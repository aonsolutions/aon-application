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comments11.xml" ContentType="application/vnd.openxmlformats-officedocument.spreadsheetml.comments+xml"/>
  <Override PartName="/xl/comments10.xml" ContentType="application/vnd.openxmlformats-officedocument.spreadsheetml.comments+xml"/>
  <Override PartName="/xl/comments13.xml" ContentType="application/vnd.openxmlformats-officedocument.spreadsheetml.comments+xml"/>
  <Override PartName="/xl/worksheets/_rels/sheet9.xml.rels" ContentType="application/vnd.openxmlformats-package.relationships+xml"/>
  <Override PartName="/xl/worksheets/_rels/sheet13.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worksheets/_rels/sheet14.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10.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4.xml" ContentType="application/vnd.openxmlformats-officedocument.spreadsheetml.comments+xml"/>
  <Override PartName="/xl/sharedStrings.xml" ContentType="application/vnd.openxmlformats-officedocument.spreadsheetml.sharedStrings+xml"/>
  <Override PartName="/xl/media/image107.png" ContentType="image/png"/>
  <Override PartName="/xl/media/image106.png" ContentType="image/png"/>
  <Override PartName="/xl/media/image99.png" ContentType="image/png"/>
  <Override PartName="/xl/media/image105.png" ContentType="image/png"/>
  <Override PartName="/xl/media/image98.png" ContentType="image/png"/>
  <Override PartName="/xl/media/image104.png" ContentType="image/png"/>
  <Override PartName="/xl/media/image97.png" ContentType="image/png"/>
  <Override PartName="/xl/media/image103.png" ContentType="image/png"/>
  <Override PartName="/xl/media/image96.png" ContentType="image/png"/>
  <Override PartName="/xl/media/image102.png" ContentType="image/png"/>
  <Override PartName="/xl/media/image95.png" ContentType="image/png"/>
  <Override PartName="/xl/media/image110.png" ContentType="image/png"/>
  <Override PartName="/xl/media/image108.png" ContentType="image/png"/>
  <Override PartName="/xl/media/image90.png" ContentType="image/png"/>
  <Override PartName="/xl/media/image111.png" ContentType="image/png"/>
  <Override PartName="/xl/media/image121.png" ContentType="image/png"/>
  <Override PartName="/xl/media/image119.png" ContentType="image/png"/>
  <Override PartName="/xl/media/image122.png" ContentType="image/png"/>
  <Override PartName="/xl/media/image123.png" ContentType="image/png"/>
  <Override PartName="/xl/media/image124.png" ContentType="image/png"/>
  <Override PartName="/xl/media/image125.png" ContentType="image/png"/>
  <Override PartName="/xl/media/image126.png" ContentType="image/png"/>
  <Override PartName="/xl/media/image127.png" ContentType="image/png"/>
  <Override PartName="/xl/media/image128.png" ContentType="image/png"/>
  <Override PartName="/xl/media/image130.png" ContentType="image/png"/>
  <Override PartName="/xl/media/image129.png" ContentType="image/png"/>
  <Override PartName="/xl/media/image131.png" ContentType="image/png"/>
  <Override PartName="/xl/media/image120.png" ContentType="image/png"/>
  <Override PartName="/xl/media/image118.png" ContentType="image/png"/>
  <Override PartName="/xl/media/image132.png" ContentType="image/png"/>
  <Override PartName="/xl/media/image117.png" ContentType="image/png"/>
  <Override PartName="/xl/media/image116.png" ContentType="image/png"/>
  <Override PartName="/xl/media/image115.png" ContentType="image/png"/>
  <Override PartName="/xl/media/image101.png" ContentType="image/png"/>
  <Override PartName="/xl/media/image94.png" ContentType="image/png"/>
  <Override PartName="/xl/media/image114.png" ContentType="image/png"/>
  <Override PartName="/xl/media/image100.png" ContentType="image/png"/>
  <Override PartName="/xl/media/image93.png" ContentType="image/png"/>
  <Override PartName="/xl/media/image113.png" ContentType="image/png"/>
  <Override PartName="/xl/media/image92.png" ContentType="image/png"/>
  <Override PartName="/xl/media/image112.png" ContentType="image/png"/>
  <Override PartName="/xl/media/image91.png" ContentType="image/png"/>
  <Override PartName="/xl/media/image89.png" ContentType="image/png"/>
  <Override PartName="/xl/media/image109.png" ContentType="image/png"/>
  <Override PartName="/xl/workbook.xml" ContentType="application/vnd.openxmlformats-officedocument.spreadsheetml.sheet.main+xml"/>
  <Override PartName="/xl/comments12.xml" ContentType="application/vnd.openxmlformats-officedocument.spreadsheetml.comments+xml"/>
  <Override PartName="/xl/styles.xml" ContentType="application/vnd.openxmlformats-officedocument.spreadsheetml.styl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9.xml" ContentType="application/vnd.openxmlformats-officedocument.spreadsheetml.comments+xml"/>
  <Override PartName="/xl/drawings/_rels/drawing8.xml.rels" ContentType="application/vnd.openxmlformats-package.relationships+xml"/>
  <Override PartName="/xl/drawings/_rels/drawing9.xml.rels" ContentType="application/vnd.openxmlformats-package.relationships+xml"/>
  <Override PartName="/xl/drawings/_rels/drawing3.xml.rels" ContentType="application/vnd.openxmlformats-package.relationships+xml"/>
  <Override PartName="/xl/drawings/_rels/drawing14.xml.rels" ContentType="application/vnd.openxmlformats-package.relationships+xml"/>
  <Override PartName="/xl/drawings/_rels/drawing11.xml.rels" ContentType="application/vnd.openxmlformats-package.relationships+xml"/>
  <Override PartName="/xl/drawings/_rels/drawing13.xml.rels" ContentType="application/vnd.openxmlformats-package.relationships+xml"/>
  <Override PartName="/xl/drawings/_rels/drawing10.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12.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drawing9.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drawing8.xml" ContentType="application/vnd.openxmlformats-officedocument.drawing+xml"/>
  <Override PartName="/xl/drawings/vmlDrawing2.vml" ContentType="application/vnd.openxmlformats-officedocument.vmlDrawing"/>
  <Override PartName="/xl/drawings/drawing1.xml" ContentType="application/vnd.openxmlformats-officedocument.drawing+xml"/>
  <Override PartName="/xl/drawings/drawing7.xml" ContentType="application/vnd.openxmlformats-officedocument.drawing+xml"/>
  <Override PartName="/xl/drawings/vmlDrawing8.vml" ContentType="application/vnd.openxmlformats-officedocument.vmlDrawing"/>
  <Override PartName="/xl/drawings/vmlDrawing1.vml" ContentType="application/vnd.openxmlformats-officedocument.vmlDrawing"/>
  <Override PartName="/xl/drawings/drawing14.xml" ContentType="application/vnd.openxmlformats-officedocument.drawing+xml"/>
  <Override PartName="/xl/drawings/drawing13.xml" ContentType="application/vnd.openxmlformats-officedocument.drawing+xml"/>
  <Override PartName="/xl/drawings/drawing12.xml" ContentType="application/vnd.openxmlformats-officedocument.drawing+xml"/>
  <Override PartName="/xl/drawings/drawing11.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vmlDrawing6.vml" ContentType="application/vnd.openxmlformats-officedocument.vmlDrawing"/>
  <Override PartName="/xl/drawings/drawing5.xml" ContentType="application/vnd.openxmlformats-officedocument.drawing+xml"/>
  <Override PartName="/xl/drawings/drawing10.xml" ContentType="application/vnd.openxmlformats-officedocument.drawing+xml"/>
  <Override PartName="/xl/drawings/drawing6.xml" ContentType="application/vnd.openxmlformats-officedocument.drawing+xml"/>
  <Override PartName="/xl/drawings/vmlDrawing7.vml" ContentType="application/vnd.openxmlformats-officedocument.vmlDrawing"/>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2"/>
    <sheet name="CAMPOS" sheetId="2" state="visible" r:id="rId3"/>
    <sheet name="CONC.RETR" sheetId="3" state="visible" r:id="rId4"/>
    <sheet name="DATOS" sheetId="4" state="visible" r:id="rId5"/>
    <sheet name="AGRUPACIONES" sheetId="5" state="visible" r:id="rId6"/>
    <sheet name="CONTRATOS" sheetId="6" state="visible" r:id="rId7"/>
    <sheet name="1.1.a.Efect.Prom" sheetId="7" state="visible" r:id="rId8"/>
    <sheet name="1.2.a.Efect.Mediana" sheetId="8" state="visible" r:id="rId9"/>
    <sheet name="2.1.a.Equip.Prom" sheetId="9" state="visible" r:id="rId10"/>
    <sheet name="2.2.a.Equip.Mediana" sheetId="10" state="visible" r:id="rId11"/>
    <sheet name="1.1.b.Efect.Prom" sheetId="11" state="visible" r:id="rId12"/>
    <sheet name="1.2.b.Efect.Mediana" sheetId="12" state="visible" r:id="rId13"/>
    <sheet name="2.1.b.Equip.Prom" sheetId="13" state="visible" r:id="rId14"/>
    <sheet name="2.2.b.Equip.Mediana" sheetId="14" state="visible" r:id="rId15"/>
  </sheets>
  <definedNames>
    <definedName function="false" hidden="false" localSheetId="5" name="_xlnm.Print_Area" vbProcedure="false">CONTRATOS!$A$1:$Q$47</definedName>
    <definedName function="false" hidden="false" name="AGR_CL_EMP" vbProcedure="false">TblAGR_CL_EMP[AGRUP. CLAS. PROF. ]</definedName>
    <definedName function="false" hidden="false" name="AGR_VAL_PTO" vbProcedure="false">TblAGR_VAL_PTO[AGRUP. VALOR. PTO]</definedName>
    <definedName function="false" hidden="false" name="DATOS" vbProcedure="false">DATOS_[]</definedName>
    <definedName function="false" hidden="false" name="rngAnualizable" vbProcedure="false">DATOS!$AE$5:$BM$5</definedName>
    <definedName function="false" hidden="false" name="rngNombre" vbProcedure="false">DATOS!$AG$6:$BM$6</definedName>
    <definedName function="false" hidden="false" name="rngNormalizable" vbProcedure="false">DATOS!$AE$4:$BM$4</definedName>
    <definedName function="false" hidden="false" name="RngTipo" vbProcedure="false">DATOS!$AE$3:$BM$3</definedName>
    <definedName function="false" hidden="false" name="_TIPO" vbProcedure="false">TblTIPOS_RETRIB[Nombre]</definedName>
    <definedName function="false" hidden="false" localSheetId="1" name="_Hlk61886961" vbProcedure="false">CAMPOS!$D$54</definedName>
    <definedName function="false" hidden="false" localSheetId="5" name="TblRngEdad" vbProcedure="false">CONTRATOS!$M$5:$N$14</definedName>
  </definedNames>
  <calcPr iterateCount="100" refMode="A1" iterate="false" iterateDelta="0.0001"/>
  <extLst>
    <ext xmlns:loext="http://schemas.libreoffice.org/" uri="{7626C862-2A13-11E5-B345-FEFF819CDC9F}">
      <loext:extCalcPr stringRefSyntax="CalcA1ExcelA1"/>
    </ext>
  </extLst>
</workbook>
</file>

<file path=xl/comments7.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8.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9.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comments10.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comments11.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12.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List>
</comments>
</file>

<file path=xl/comments13.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comments14.xml><?xml version="1.0" encoding="utf-8"?>
<comments xmlns="http://schemas.openxmlformats.org/spreadsheetml/2006/main" xmlns:xdr="http://schemas.openxmlformats.org/drawingml/2006/spreadsheetDrawing">
  <authors>
    <author> </author>
  </authors>
  <commentList>
    <comment ref="C8" authorId="0">
      <text>
        <r>
          <rPr>
            <b val="true"/>
            <sz val="9"/>
            <color rgb="FF000000"/>
            <rFont val="Tahoma"/>
            <family val="2"/>
            <charset val="1"/>
          </rPr>
          <t xml:space="preserve">Nº de ids diferentes</t>
        </r>
      </text>
    </comment>
    <comment ref="C14" authorId="0">
      <text>
        <r>
          <rPr>
            <b val="true"/>
            <sz val="9"/>
            <color rgb="FF000000"/>
            <rFont val="Tahoma"/>
            <family val="2"/>
            <charset val="1"/>
          </rPr>
          <t xml:space="preserve">Nº de ids diferentes</t>
        </r>
      </text>
    </comment>
    <comment ref="D8" authorId="0">
      <text>
        <r>
          <rPr>
            <b val="true"/>
            <sz val="9"/>
            <color rgb="FF000000"/>
            <rFont val="Tahoma"/>
            <family val="2"/>
            <charset val="1"/>
          </rPr>
          <t xml:space="preserve">nº de SC diferentes dentro del periodo de referencia de la Hoja DATOS</t>
        </r>
      </text>
    </comment>
    <comment ref="D14" authorId="0">
      <text>
        <r>
          <rPr>
            <b val="true"/>
            <sz val="9"/>
            <color rgb="FF000000"/>
            <rFont val="Tahoma"/>
            <family val="2"/>
            <charset val="1"/>
          </rPr>
          <t xml:space="preserve">nº de SC diferentes dentro del periodo de referencia (nº de filas) de la Hoja DATOS</t>
        </r>
      </text>
    </comment>
    <comment ref="H8" authorId="0">
      <text>
        <r>
          <rPr>
            <b val="true"/>
            <sz val="9"/>
            <color rgb="FF000000"/>
            <rFont val="Tahoma"/>
            <family val="2"/>
            <charset val="1"/>
          </rPr>
          <t xml:space="preserve">nº de SC que son objeto de Equiparación (nº de SC que no son al 100% de jornada ni duran el 100% del Periodo de Referencia)</t>
        </r>
      </text>
    </comment>
    <comment ref="H14" authorId="0">
      <text>
        <r>
          <rPr>
            <b val="true"/>
            <sz val="9"/>
            <color rgb="FF000000"/>
            <rFont val="Tahoma"/>
            <family val="2"/>
            <charset val="1"/>
          </rPr>
          <t xml:space="preserve">nº de SC que son objeto de Equiparación (nº de SC que no son al 100% de jornada ni duran el 100% del Periodo de Referencia)</t>
        </r>
      </text>
    </comment>
  </commentList>
</comments>
</file>

<file path=xl/sharedStrings.xml><?xml version="1.0" encoding="utf-8"?>
<sst xmlns="http://schemas.openxmlformats.org/spreadsheetml/2006/main" count="1660" uniqueCount="375">
  <si>
    <t xml:space="preserve">Razón Social:</t>
  </si>
  <si>
    <t xml:space="preserve">NIF:</t>
  </si>
  <si>
    <t xml:space="preserve">PERIODO DE REFERENCIA</t>
  </si>
  <si>
    <t xml:space="preserve">fecha inicio</t>
  </si>
  <si>
    <t xml:space="preserve">fecha fin</t>
  </si>
  <si>
    <t xml:space="preserve">TABLAS DEL REGISTRO RETRIBUTIVO</t>
  </si>
  <si>
    <t xml:space="preserve">TABLAS ADICIONALES PARA EMPRESAS QUE REALICEN AUDITORÍA RETRIBUTIVA (TRABAJOS DE IGUAL VALOR)</t>
  </si>
  <si>
    <t xml:space="preserve">CAMPO</t>
  </si>
  <si>
    <t xml:space="preserve">Tipo</t>
  </si>
  <si>
    <t xml:space="preserve">Reg.</t>
  </si>
  <si>
    <t xml:space="preserve">Descripción</t>
  </si>
  <si>
    <t xml:space="preserve">Formato</t>
  </si>
  <si>
    <t xml:space="preserve">Valores permitidos</t>
  </si>
  <si>
    <t xml:space="preserve">Ret.</t>
  </si>
  <si>
    <t xml:space="preserve">id</t>
  </si>
  <si>
    <t xml:space="preserve">PERSONA</t>
  </si>
  <si>
    <t xml:space="preserve">x</t>
  </si>
  <si>
    <t xml:space="preserve">Identificador único para cada persona trabajadora.</t>
  </si>
  <si>
    <t xml:space="preserve">Número entero</t>
  </si>
  <si>
    <t xml:space="preserve">Sexo</t>
  </si>
  <si>
    <t xml:space="preserve">Sexo de la persona trabajadora.</t>
  </si>
  <si>
    <t xml:space="preserve">Texto</t>
  </si>
  <si>
    <t xml:space="preserve">Hombre / Mujer</t>
  </si>
  <si>
    <t xml:space="preserve">Fecha Nacimiento</t>
  </si>
  <si>
    <t xml:space="preserve">Fecha de nacimiento de la persona trabajadora.</t>
  </si>
  <si>
    <t xml:space="preserve">Fecha</t>
  </si>
  <si>
    <t xml:space="preserve">dd-mm-aa</t>
  </si>
  <si>
    <t xml:space="preserve">Nivel de Estudios</t>
  </si>
  <si>
    <t xml:space="preserve">Nivel académico actual de la persona trabajadora.</t>
  </si>
  <si>
    <t xml:space="preserve">Situación Familiar</t>
  </si>
  <si>
    <t xml:space="preserve">Situación familiar conforme a MODELO 145 AEAT.</t>
  </si>
  <si>
    <t xml:space="preserve">conforme a MODELO 145 AEAT</t>
  </si>
  <si>
    <t xml:space="preserve">Hijos/as</t>
  </si>
  <si>
    <t xml:space="preserve">Número de hijos/as de la persona trabajadora, conforme a MODELO 145 AEAT.</t>
  </si>
  <si>
    <t xml:space="preserve">Fecha de Contratación</t>
  </si>
  <si>
    <t xml:space="preserve">SITUACION CONTRACTUAL</t>
  </si>
  <si>
    <t xml:space="preserve">Fecha de contratación. Se emplea exclusivamente en el caso de contrataciones con fecha posterior al inicio del periodo de referencia. Si es anterior, puede dejarse en blanco. 1/1/1900 = 0.</t>
  </si>
  <si>
    <t xml:space="preserve">Fecha fin contrato</t>
  </si>
  <si>
    <t xml:space="preserve">Fecha de fin del contrato. Se emplea exclusivamente en el caso de contrataciones finalizadas antes del fin del periodo de referencia. Si es posterior, puede dejarse en blanco. 1/1/1900 = 0.</t>
  </si>
  <si>
    <t xml:space="preserve">Fecha de Antigüedad</t>
  </si>
  <si>
    <t xml:space="preserve">Fecha que aplica a efectos de cálculo de antigüedad (puede o no coincidir con la fecha de contratación).</t>
  </si>
  <si>
    <t xml:space="preserve">Fecha Inicio Sit. Contract.</t>
  </si>
  <si>
    <t xml:space="preserve">Fecha de inicio de la Situación contractual. Se emplea exclusivamente en el caso de inicio de Situación contractual con fecha posterior al inicio del periodo de referencia. Si es anterior, puede dejarse en blanco. 1/1/1900 = 0.</t>
  </si>
  <si>
    <t xml:space="preserve">Fecha Fin Sit. Contract.</t>
  </si>
  <si>
    <t xml:space="preserve">Fecha de fin de la Situación contractual. Se emplea exclusivamente en el caso de fin de Situación contractual con fecha anterior al fin del periodo de referencia. Si es anterior, puede dejarse en blanco. 1/1/1900 = 0.</t>
  </si>
  <si>
    <t xml:space="preserve">% de jornada</t>
  </si>
  <si>
    <r>
      <rPr>
        <sz val="10"/>
        <color rgb="FF000000"/>
        <rFont val="Calibri"/>
        <family val="2"/>
        <charset val="1"/>
      </rPr>
      <t xml:space="preserve">% de jornada realizada por la persona en el periodo de referencia y Situación contractual, considerando 100% como jornada completa, y </t>
    </r>
    <r>
      <rPr>
        <b val="true"/>
        <u val="single"/>
        <sz val="10"/>
        <color rgb="FF000000"/>
        <rFont val="Calibri"/>
        <family val="2"/>
        <charset val="1"/>
      </rPr>
      <t xml:space="preserve">sin considerar las reducciones de jornada</t>
    </r>
    <r>
      <rPr>
        <sz val="10"/>
        <color rgb="FF000000"/>
        <rFont val="Calibri"/>
        <family val="2"/>
        <charset val="1"/>
      </rPr>
      <t xml:space="preserve">. Si el % ha variado a lo largo del periodo de referencia, deberá asegurarse que para el periodo indicado (inicio y fin de contrato que se indique), el % de jornada sea constante, y que los importes de retribución son igualmente consistentes con ese %. </t>
    </r>
  </si>
  <si>
    <t xml:space="preserve">Porcentaje</t>
  </si>
  <si>
    <t xml:space="preserve">%</t>
  </si>
  <si>
    <t xml:space="preserve">% jornada reducida</t>
  </si>
  <si>
    <t xml:space="preserve">Medido en relación a la jornada por contrato en la Situación contractual. Ejemplo: si una persona con contrato a tiempo completo reduce 1/3 su jornada, el % a indicar será el 66,67%. Si una persona con contrato a tiempo parcial del 50% se reduce la jornada en 1/3, el % a indicar será también del 66,67%. Dejar en blanco si no hay reducción de jornada.</t>
  </si>
  <si>
    <t xml:space="preserve">motivo reducción</t>
  </si>
  <si>
    <t xml:space="preserve">Motivo de Reducción de Jornada (dejar en blanco si no hay reducción de jornada) en la Situación contractual.</t>
  </si>
  <si>
    <t xml:space="preserve">ver tabla "Motivo reducción de jornada"</t>
  </si>
  <si>
    <t xml:space="preserve">Clave de Contrato</t>
  </si>
  <si>
    <t xml:space="preserve">Clave del contrato actual de la persona trabajadora en la Situación contractual, de acuerdo a los códigos de la Seguridad Social.</t>
  </si>
  <si>
    <t xml:space="preserve">ver tabla "Clave de Contrato"</t>
  </si>
  <si>
    <t xml:space="preserve">Area-empresa</t>
  </si>
  <si>
    <t xml:space="preserve">PUESTO ACTUAL</t>
  </si>
  <si>
    <t xml:space="preserve">Área de la empresa en la que trabaja la persona en la Situación contractual. Si resulta útil, puede emplearse este campo y el siguiente para reflejar cualquier otra organización de la empresa (centro de trabajo, división, dirección territorial, etc.).</t>
  </si>
  <si>
    <t xml:space="preserve">los de la empresa</t>
  </si>
  <si>
    <t xml:space="preserve">Dpto-empresa</t>
  </si>
  <si>
    <t xml:space="preserve">Departamento actual de la persona trabajadora en la Situación contractual.</t>
  </si>
  <si>
    <t xml:space="preserve">Puesto-empresa</t>
  </si>
  <si>
    <t xml:space="preserve">Puesto actual de la persona trabajadora en la Situación Contractual. Para una mejor visualización de los datos, se recomienda utilizar una nomenclatura con denominaciones breves.</t>
  </si>
  <si>
    <t xml:space="preserve">Horario (continuo/ partido)</t>
  </si>
  <si>
    <t xml:space="preserve">Indica el tipo de horario que realiza en la Situación Contractual.</t>
  </si>
  <si>
    <t xml:space="preserve">continuo/partido</t>
  </si>
  <si>
    <t xml:space="preserve">Trabajo a turnos</t>
  </si>
  <si>
    <t xml:space="preserve">Indica si realiza o no trabajo a turnos en la Situación Contractual.</t>
  </si>
  <si>
    <t xml:space="preserve">Sí/No</t>
  </si>
  <si>
    <t xml:space="preserve">Escala-empresa</t>
  </si>
  <si>
    <t xml:space="preserve">Escala actual de la persona trabajadora en la Situación Contractual, conforme a la escala de mando vigente en la empresa.</t>
  </si>
  <si>
    <t xml:space="preserve">AGRUP. CLAS. PROF. </t>
  </si>
  <si>
    <r>
      <rPr>
        <sz val="10"/>
        <color rgb="FF000000"/>
        <rFont val="Calibri"/>
        <family val="2"/>
        <charset val="1"/>
      </rPr>
      <t xml:space="preserve">Agrupación en la que queda agrupada la persona en su Situación Contractual </t>
    </r>
    <r>
      <rPr>
        <b val="true"/>
        <sz val="10"/>
        <color rgb="FF000000"/>
        <rFont val="Calibri"/>
        <family val="2"/>
        <charset val="1"/>
      </rPr>
      <t xml:space="preserve">según la clasificación profesional de la empresa de acuerdo con el Convenio de aplicación</t>
    </r>
    <r>
      <rPr>
        <sz val="10"/>
        <color rgb="FF000000"/>
        <rFont val="Calibri"/>
        <family val="2"/>
        <charset val="1"/>
      </rPr>
      <t xml:space="preserve">. Se nombrarán necesariamente como GRUPO 01, GRUPO 02, etc., hasta un máximo de 30. Se recomienda que este orden esté relacionado con la jerarquía dentro de las empresas. Esta agrupación es la que se emplea en las </t>
    </r>
    <r>
      <rPr>
        <b val="true"/>
        <sz val="10"/>
        <color rgb="FF000000"/>
        <rFont val="Calibri"/>
        <family val="2"/>
        <charset val="1"/>
      </rPr>
      <t xml:space="preserve">TABLAS DEL REGISTRO RETRIBUTIVO</t>
    </r>
  </si>
  <si>
    <t xml:space="preserve">GRUPO 01, GRUPO 02, … hasta GRUPO 30 (máximo)</t>
  </si>
  <si>
    <t xml:space="preserve">AGRUP. VALOR. PTO.</t>
  </si>
  <si>
    <t xml:space="preserve">(x)</t>
  </si>
  <si>
    <r>
      <rPr>
        <sz val="10"/>
        <color rgb="FF000000"/>
        <rFont val="Calibri"/>
        <family val="2"/>
        <charset val="1"/>
      </rPr>
      <t xml:space="preserve">Agrupación en la que queda agrupada la persona en su Situación Contractual </t>
    </r>
    <r>
      <rPr>
        <b val="true"/>
        <sz val="10"/>
        <color rgb="FF000000"/>
        <rFont val="Calibri"/>
        <family val="2"/>
        <charset val="1"/>
      </rPr>
      <t xml:space="preserve">según la valoración su puesto de trabajo</t>
    </r>
    <r>
      <rPr>
        <sz val="10"/>
        <color rgb="FF000000"/>
        <rFont val="Calibri"/>
        <family val="2"/>
        <charset val="1"/>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val="true"/>
        <sz val="10"/>
        <color rgb="FF000000"/>
        <rFont val="Calibri"/>
        <family val="2"/>
        <charset val="1"/>
      </rPr>
      <t xml:space="preserve">TABLAS ADICIONALES PARA EMPRESAS QUE REALICEN AUDITORÍA RERIBUTIVA (TRABAJOS DE IGUAL VALOR)</t>
    </r>
  </si>
  <si>
    <t xml:space="preserve">ESCALA 01, ESCALA 02…, hasta ESCALA 30 (máximo)</t>
  </si>
  <si>
    <t xml:space="preserve">Convenio/Área</t>
  </si>
  <si>
    <t xml:space="preserve">CONTRATO-CONVENIO</t>
  </si>
  <si>
    <t xml:space="preserve">Convenio de aplicación de cada contrato. No hace falta incluir el nº completo del convenio, basta una nomenclatura suficiente para identificarlo. En convenios con varias Áreas, indicar conjuntamente el Área para cada caso.</t>
  </si>
  <si>
    <t xml:space="preserve">los del convenio y contrato</t>
  </si>
  <si>
    <t xml:space="preserve">Categoría profesional</t>
  </si>
  <si>
    <t xml:space="preserve">Categoría profesional que corresponde a la persona en su Situación Contractual, conforme al Convenio. (Puede ser que el Convenio de referencia no utilice Categorías, sino Grupos, ver abajo).</t>
  </si>
  <si>
    <t xml:space="preserve">Grupo profesional</t>
  </si>
  <si>
    <t xml:space="preserve">Grupo profesional que corresponde a la persona en su Situación Contractual, conforme al Convenio.</t>
  </si>
  <si>
    <t xml:space="preserve">Nivel</t>
  </si>
  <si>
    <t xml:space="preserve">Nivel (retributivo) que corresponde a la persona en su Situación Contractual, conforme al Convenio.</t>
  </si>
  <si>
    <t xml:space="preserve">Grupo de Cotización Seg.Social.</t>
  </si>
  <si>
    <t xml:space="preserve">SEG-SOCIAL</t>
  </si>
  <si>
    <t xml:space="preserve">Grupo de cotización de la Seguridad Social.</t>
  </si>
  <si>
    <t xml:space="preserve">ver aquí</t>
  </si>
  <si>
    <t xml:space="preserve">S.BASE</t>
  </si>
  <si>
    <t xml:space="preserve">RETRIBUCION</t>
  </si>
  <si>
    <t xml:space="preserve">Salario base de la persona (sumatorio de importes correspondiente al periodo de referencia y Situación Contractual). Se deben añadir las pagas extraordinarias percibidas.</t>
  </si>
  <si>
    <t xml:space="preserve">Moneda</t>
  </si>
  <si>
    <t xml:space="preserve">Conc.Sal.01</t>
  </si>
  <si>
    <t xml:space="preserve">Concepto Salarial 01. A determinar por la organización (sumatorio de importes correspondiente al periodo de referencia y Situación Contractual).</t>
  </si>
  <si>
    <t xml:space="preserve">Conc.Sal.02</t>
  </si>
  <si>
    <t xml:space="preserve">Concepto Salarial 02. A determinar por la organización (sumatorio de importes correspondiente al periodo de referencia y Situación Contractual)</t>
  </si>
  <si>
    <t xml:space="preserve">Conc.Sal.03</t>
  </si>
  <si>
    <t xml:space="preserve">Concepto Salarial 03. A determinar por la organización (sumatorio de importes correspondiente al periodo de referencia y Situación Contractual).</t>
  </si>
  <si>
    <t xml:space="preserve">Conc.Sal.04</t>
  </si>
  <si>
    <t xml:space="preserve">Concepto Salarial 04. A determinar por la organización (sumatorio de importes correspondiente al periodo de referencia y Situación Contractual).</t>
  </si>
  <si>
    <t xml:space="preserve">Conc.Sal.05</t>
  </si>
  <si>
    <t xml:space="preserve">Concepto Salarial 05. A determinar por la organización (sumatorio de importes correspondiente al periodo de referencia y Situación Contractual)..</t>
  </si>
  <si>
    <t xml:space="preserve">…</t>
  </si>
  <si>
    <t xml:space="preserve">Conc.Sal.30</t>
  </si>
  <si>
    <t xml:space="preserve">Concepto Salarial 30. A determinar por la organización (sumatorio de importes correspondiente al periodo de referencia y Situación Contractual). </t>
  </si>
  <si>
    <t xml:space="preserve">C.Extra.01</t>
  </si>
  <si>
    <t xml:space="preserve">Concepto Extrasalarial 01. A determinar por la organización (sumatorio de importes correspondiente al periodo de referencia y Situación Contractual).</t>
  </si>
  <si>
    <t xml:space="preserve">C.Extra.05</t>
  </si>
  <si>
    <t xml:space="preserve">Concepto Extrasalarial 05. A determinar por la organización (sumatorio de importes correspondiente al periodo de referencia y Situación Contractual).</t>
  </si>
  <si>
    <t xml:space="preserve">F.ini.cal</t>
  </si>
  <si>
    <t xml:space="preserve">CAMPO CALCULADO</t>
  </si>
  <si>
    <t xml:space="preserve">Fecha de inicio considerada a efectos de cálculo de la anualización de importes para su equiparación.</t>
  </si>
  <si>
    <t xml:space="preserve">F.fin.cal</t>
  </si>
  <si>
    <t xml:space="preserve">Fecha de fin considerada a efectos de cálculo de la anualización de importes para su equiparación.</t>
  </si>
  <si>
    <t xml:space="preserve">% normaliz</t>
  </si>
  <si>
    <r>
      <rPr>
        <sz val="10"/>
        <color rgb="FF000000"/>
        <rFont val="Calibri"/>
        <family val="2"/>
        <charset val="1"/>
      </rPr>
      <t xml:space="preserve">% de jornada efectiva, calculada como producto del </t>
    </r>
    <r>
      <rPr>
        <b val="true"/>
        <sz val="10"/>
        <color rgb="FF000000"/>
        <rFont val="Calibri"/>
        <family val="2"/>
        <charset val="1"/>
      </rPr>
      <t xml:space="preserve">% de jornada</t>
    </r>
    <r>
      <rPr>
        <sz val="10"/>
        <color rgb="FF000000"/>
        <rFont val="Calibri"/>
        <family val="2"/>
        <charset val="1"/>
      </rPr>
      <t xml:space="preserve"> y el </t>
    </r>
    <r>
      <rPr>
        <b val="true"/>
        <sz val="10"/>
        <color rgb="FF000000"/>
        <rFont val="Calibri"/>
        <family val="2"/>
        <charset val="1"/>
      </rPr>
      <t xml:space="preserve">% de jornada reducida</t>
    </r>
    <r>
      <rPr>
        <sz val="10"/>
        <color rgb="FF000000"/>
        <rFont val="Calibri"/>
        <family val="2"/>
        <charset val="1"/>
      </rPr>
      <t xml:space="preserve"> reseñados. Se usa para la normalización de las retribuciones para su equiparación.</t>
    </r>
  </si>
  <si>
    <t xml:space="preserve">% anualiz</t>
  </si>
  <si>
    <r>
      <rPr>
        <sz val="10"/>
        <color rgb="FF000000"/>
        <rFont val="Calibri"/>
        <family val="2"/>
        <charset val="1"/>
      </rPr>
      <t xml:space="preserve">% del Periodo de Referencia en que ha estado activa la Situación Contractual, calculada como diferencia entre la </t>
    </r>
    <r>
      <rPr>
        <b val="true"/>
        <sz val="10"/>
        <color rgb="FF000000"/>
        <rFont val="Calibri"/>
        <family val="2"/>
        <charset val="1"/>
      </rPr>
      <t xml:space="preserve">F.fin.cal</t>
    </r>
    <r>
      <rPr>
        <sz val="10"/>
        <color rgb="FF000000"/>
        <rFont val="Calibri"/>
        <family val="2"/>
        <charset val="1"/>
      </rPr>
      <t xml:space="preserve"> menos la </t>
    </r>
    <r>
      <rPr>
        <b val="true"/>
        <sz val="10"/>
        <color rgb="FF000000"/>
        <rFont val="Calibri"/>
        <family val="2"/>
        <charset val="1"/>
      </rPr>
      <t xml:space="preserve">F.ini.cal.</t>
    </r>
    <r>
      <rPr>
        <sz val="10"/>
        <color rgb="FF000000"/>
        <rFont val="Calibri"/>
        <family val="2"/>
        <charset val="1"/>
      </rPr>
      <t xml:space="preserve"> Se usa para la anualización de las retribuciones para su equiparación. </t>
    </r>
  </si>
  <si>
    <t xml:space="preserve">Check Periodo Ref.</t>
  </si>
  <si>
    <r>
      <rPr>
        <sz val="10"/>
        <color rgb="FF000000"/>
        <rFont val="Calibri"/>
        <family val="2"/>
        <charset val="1"/>
      </rPr>
      <t xml:space="preserve">Campo que chequea si la Situación Contractual de la ficha está activa durante el </t>
    </r>
    <r>
      <rPr>
        <b val="true"/>
        <sz val="10"/>
        <color rgb="FF000000"/>
        <rFont val="Calibri"/>
        <family val="2"/>
        <charset val="1"/>
      </rPr>
      <t xml:space="preserve">periodo de referencia</t>
    </r>
  </si>
  <si>
    <t xml:space="preserve">Dentro / Fuera</t>
  </si>
  <si>
    <t xml:space="preserve">Check Equiparado</t>
  </si>
  <si>
    <t xml:space="preserve">Campo que chequea si la Situación Contractual es considerada a los efectos de cálculo de importes equiparados. NOTA: para los importes equiparados se emplea una sola Situación Contractual, la última del periodo de referencia.</t>
  </si>
  <si>
    <t xml:space="preserve">Sí / NO</t>
  </si>
  <si>
    <t xml:space="preserve">Check Nº SC Norm</t>
  </si>
  <si>
    <t xml:space="preserve">Campo que chequea si los importes de la Situación Contractual son objeto solamente de Normalización.</t>
  </si>
  <si>
    <t xml:space="preserve">Check Nº SC Anualiz</t>
  </si>
  <si>
    <t xml:space="preserve">Campo que chequea si los importes de la Situación Contractual son objeto solamente de Anualización.</t>
  </si>
  <si>
    <t xml:space="preserve">Check Nº SC Norm y Anualiz</t>
  </si>
  <si>
    <t xml:space="preserve">Campo que chequea si los importes de la Situación Contractual son objeto solamente de Normalización y también de Anualización.</t>
  </si>
  <si>
    <t xml:space="preserve">Check Equiparación</t>
  </si>
  <si>
    <t xml:space="preserve">Campo que chequea si los importes de esa Situación Contractual son objeto o no de equiparación.</t>
  </si>
  <si>
    <t xml:space="preserve">SALARIO BASE EQ</t>
  </si>
  <si>
    <t xml:space="preserve">Salario Base equiparado, esto es, ajustado al 100% de jornada (Normalizado), y ajustado al 100% del periodo de referencia (Anualizado).</t>
  </si>
  <si>
    <t xml:space="preserve">Tot COMPL.SAL EQ</t>
  </si>
  <si>
    <t xml:space="preserve">Sumatorio de Complementos Salariales equiparados, esto es, ajustados al 100% de jornada (Normalizado), y ajustados al 100% del periodo de referencia (Anualizado), si es que procede conforme se indique en la Tabla de CONCEPTROS RETRIBUTIVOS (columnas "Normalizable" y "Anualizable").</t>
  </si>
  <si>
    <t xml:space="preserve">TOTAL SALARIO EQ</t>
  </si>
  <si>
    <t xml:space="preserve">Suma de SALARIO BASE Eq + Tot COMPL.SAL Eq</t>
  </si>
  <si>
    <t xml:space="preserve">Tot Extrasalarial EQ</t>
  </si>
  <si>
    <t xml:space="preserve">Sumatorio de Complementos Extrasalariales equiparados, esto es, ajustados al 100% de jornada (Normalizado), y ajustados al 100% del periodo de referencia (Anualizado), si es que procede conforme se indique en la Tabla de CONCEPTROS RETRIBUTIVOS (columnas "Normalizable" y "Anualizable").</t>
  </si>
  <si>
    <t xml:space="preserve">TOTAL Retrib EQ</t>
  </si>
  <si>
    <t xml:space="preserve">Suma de TOTAL SALARIO Eq + Tot Extrasalarial Eq</t>
  </si>
  <si>
    <t xml:space="preserve">SALARIO BASE Ef</t>
  </si>
  <si>
    <t xml:space="preserve">Salario Base efectivo, conforme reportado.</t>
  </si>
  <si>
    <t xml:space="preserve">Tot COMPL.SAL Ef</t>
  </si>
  <si>
    <t xml:space="preserve">Sumatorio de Complementos Salariales efectivos, conforme reportados.</t>
  </si>
  <si>
    <t xml:space="preserve">TOTAL SALARIO Ef</t>
  </si>
  <si>
    <t xml:space="preserve">Suma de Salario Base efectivo + Total complementos salariales efectivos </t>
  </si>
  <si>
    <t xml:space="preserve">Tot Extrasalarial Ef</t>
  </si>
  <si>
    <t xml:space="preserve">Sumatorio de Complementos Extrasalariales efectivos, conforme reportados.</t>
  </si>
  <si>
    <t xml:space="preserve">TOTAL Retrib Ef</t>
  </si>
  <si>
    <t xml:space="preserve">Suma de TOTAL SALARIO Ef + Tot Extrasalarial Ef</t>
  </si>
  <si>
    <t xml:space="preserve">TABLA DE CONCEPTOS RETRIBUTIVOS</t>
  </si>
  <si>
    <t xml:space="preserve">Form. Retrib.</t>
  </si>
  <si>
    <t xml:space="preserve">Tipo de Retribución</t>
  </si>
  <si>
    <t xml:space="preserve">Retrib</t>
  </si>
  <si>
    <t xml:space="preserve">Nombre</t>
  </si>
  <si>
    <t xml:space="preserve">Dinero</t>
  </si>
  <si>
    <t xml:space="preserve">Salario Base</t>
  </si>
  <si>
    <t xml:space="preserve">En especie</t>
  </si>
  <si>
    <t xml:space="preserve">Comp. Salarial</t>
  </si>
  <si>
    <t xml:space="preserve">Extrasalarial</t>
  </si>
  <si>
    <t xml:space="preserve">Valor</t>
  </si>
  <si>
    <t xml:space="preserve">Nombre Corto</t>
  </si>
  <si>
    <t xml:space="preserve">Normalizable</t>
  </si>
  <si>
    <t xml:space="preserve">Anualizable</t>
  </si>
  <si>
    <t xml:space="preserve">AGRUP. VALOR. PTO</t>
  </si>
  <si>
    <t xml:space="preserve">GRUPO 01</t>
  </si>
  <si>
    <t xml:space="preserve">ESCALA 01</t>
  </si>
  <si>
    <t xml:space="preserve">GRUPO 02</t>
  </si>
  <si>
    <t xml:space="preserve">ESCALA 02</t>
  </si>
  <si>
    <t xml:space="preserve">GRUPO 03</t>
  </si>
  <si>
    <t xml:space="preserve">ESCALA 03</t>
  </si>
  <si>
    <t xml:space="preserve">GRUPO 04</t>
  </si>
  <si>
    <t xml:space="preserve">ESCALA 04</t>
  </si>
  <si>
    <t xml:space="preserve">GRUPO 05</t>
  </si>
  <si>
    <t xml:space="preserve">ESCALA 05</t>
  </si>
  <si>
    <t xml:space="preserve">GRUPO 06</t>
  </si>
  <si>
    <t xml:space="preserve">ESCALA 06</t>
  </si>
  <si>
    <t xml:space="preserve">Conc.Sal.06</t>
  </si>
  <si>
    <t xml:space="preserve">GRUPO 07</t>
  </si>
  <si>
    <t xml:space="preserve">ESCALA 07</t>
  </si>
  <si>
    <t xml:space="preserve">Conc.Sal.07</t>
  </si>
  <si>
    <t xml:space="preserve">GRUPO 08</t>
  </si>
  <si>
    <t xml:space="preserve">ESCALA 08</t>
  </si>
  <si>
    <t xml:space="preserve">Conc.Sal.08</t>
  </si>
  <si>
    <t xml:space="preserve">GRUPO 09</t>
  </si>
  <si>
    <t xml:space="preserve">ESCALA 09</t>
  </si>
  <si>
    <t xml:space="preserve">Conc.Sal.09</t>
  </si>
  <si>
    <t xml:space="preserve">GRUPO 10</t>
  </si>
  <si>
    <t xml:space="preserve">ESCALA 10</t>
  </si>
  <si>
    <t xml:space="preserve">Conc.Sal.10</t>
  </si>
  <si>
    <t xml:space="preserve">GRUPO 11</t>
  </si>
  <si>
    <t xml:space="preserve">ESCALA 11</t>
  </si>
  <si>
    <t xml:space="preserve">Conc.Sal.11</t>
  </si>
  <si>
    <t xml:space="preserve">GRUPO 12</t>
  </si>
  <si>
    <t xml:space="preserve">ESCALA 12</t>
  </si>
  <si>
    <t xml:space="preserve">Conc.Sal.12</t>
  </si>
  <si>
    <t xml:space="preserve">GRUPO 13</t>
  </si>
  <si>
    <t xml:space="preserve">ESCALA 13</t>
  </si>
  <si>
    <t xml:space="preserve">Conc.Sal.13</t>
  </si>
  <si>
    <t xml:space="preserve">GRUPO 14</t>
  </si>
  <si>
    <t xml:space="preserve">ESCALA 14</t>
  </si>
  <si>
    <t xml:space="preserve">Conc.Sal.14</t>
  </si>
  <si>
    <t xml:space="preserve">GRUPO 15</t>
  </si>
  <si>
    <t xml:space="preserve">ESCALA 15</t>
  </si>
  <si>
    <t xml:space="preserve">Conc.Sal.15</t>
  </si>
  <si>
    <t xml:space="preserve">GRUPO 16</t>
  </si>
  <si>
    <t xml:space="preserve">ESCALA 16</t>
  </si>
  <si>
    <t xml:space="preserve">Conc.Sal.16</t>
  </si>
  <si>
    <t xml:space="preserve">GRUPO 17</t>
  </si>
  <si>
    <t xml:space="preserve">ESCALA 17</t>
  </si>
  <si>
    <t xml:space="preserve">Conc.Sal.17</t>
  </si>
  <si>
    <t xml:space="preserve">GRUPO 18</t>
  </si>
  <si>
    <t xml:space="preserve">ESCALA 18</t>
  </si>
  <si>
    <t xml:space="preserve">Conc.Sal.18</t>
  </si>
  <si>
    <t xml:space="preserve">GRUPO 19</t>
  </si>
  <si>
    <t xml:space="preserve">ESCALA 19</t>
  </si>
  <si>
    <t xml:space="preserve">Conc.Sal.19</t>
  </si>
  <si>
    <t xml:space="preserve">GRUPO 20</t>
  </si>
  <si>
    <t xml:space="preserve">ESCALA 20</t>
  </si>
  <si>
    <t xml:space="preserve">Conc.Sal.20</t>
  </si>
  <si>
    <t xml:space="preserve">GRUPO 21</t>
  </si>
  <si>
    <t xml:space="preserve">ESCALA 21</t>
  </si>
  <si>
    <t xml:space="preserve">Conc.Sal.21</t>
  </si>
  <si>
    <t xml:space="preserve">GRUPO 22</t>
  </si>
  <si>
    <t xml:space="preserve">ESCALA 22</t>
  </si>
  <si>
    <t xml:space="preserve">Conc.Sal.22</t>
  </si>
  <si>
    <t xml:space="preserve">GRUPO 23</t>
  </si>
  <si>
    <t xml:space="preserve">ESCALA 23</t>
  </si>
  <si>
    <t xml:space="preserve">Conc.Sal.23</t>
  </si>
  <si>
    <t xml:space="preserve">GRUPO 24</t>
  </si>
  <si>
    <t xml:space="preserve">ESCALA 24</t>
  </si>
  <si>
    <t xml:space="preserve">Conc.Sal.24</t>
  </si>
  <si>
    <t xml:space="preserve">GRUPO 25</t>
  </si>
  <si>
    <t xml:space="preserve">ESCALA 25</t>
  </si>
  <si>
    <t xml:space="preserve">Conc.Sal.25</t>
  </si>
  <si>
    <t xml:space="preserve">GRUPO 26</t>
  </si>
  <si>
    <t xml:space="preserve">ESCALA 26</t>
  </si>
  <si>
    <t xml:space="preserve">Conc.Sal.26</t>
  </si>
  <si>
    <t xml:space="preserve">GRUPO 27</t>
  </si>
  <si>
    <t xml:space="preserve">ESCALA 27</t>
  </si>
  <si>
    <t xml:space="preserve">Conc.Sal.27</t>
  </si>
  <si>
    <t xml:space="preserve">GRUPO 28</t>
  </si>
  <si>
    <t xml:space="preserve">ESCALA 28</t>
  </si>
  <si>
    <t xml:space="preserve">Conc.Sal.28</t>
  </si>
  <si>
    <t xml:space="preserve">GRUPO 29</t>
  </si>
  <si>
    <t xml:space="preserve">ESCALA 29</t>
  </si>
  <si>
    <t xml:space="preserve">Conc.Sal.29</t>
  </si>
  <si>
    <t xml:space="preserve">GRUPO 30</t>
  </si>
  <si>
    <t xml:space="preserve">ESCALA 30</t>
  </si>
  <si>
    <t xml:space="preserve">C.Extra.02</t>
  </si>
  <si>
    <t xml:space="preserve">C.Extra.03</t>
  </si>
  <si>
    <t xml:space="preserve">C.Extra.04</t>
  </si>
  <si>
    <t xml:space="preserve">Nº SC Norm</t>
  </si>
  <si>
    <t xml:space="preserve">cuando % norm difer 100% y % anualiz es 100%</t>
  </si>
  <si>
    <t xml:space="preserve">Nº SC Anualiz</t>
  </si>
  <si>
    <t xml:space="preserve">días</t>
  </si>
  <si>
    <t xml:space="preserve">Nº SC Norm y Anualiz</t>
  </si>
  <si>
    <t xml:space="preserve">Fecha Fin Contrato</t>
  </si>
  <si>
    <t xml:space="preserve">Horario (continuo/partido)</t>
  </si>
  <si>
    <t xml:space="preserve">AGRUP. CLAS. PROF.</t>
  </si>
  <si>
    <t xml:space="preserve">SALARIO BASE Eq</t>
  </si>
  <si>
    <t xml:space="preserve">Tot COMPL.SAL Eq</t>
  </si>
  <si>
    <t xml:space="preserve">TOTAL SALARIO Eq</t>
  </si>
  <si>
    <t xml:space="preserve">Tot Extrasalarial Eq</t>
  </si>
  <si>
    <t xml:space="preserve">TOTAL Retrib Eq</t>
  </si>
  <si>
    <t xml:space="preserve">DIAS TRABAJ. EN EL AÑO</t>
  </si>
  <si>
    <t xml:space="preserve">REPET.</t>
  </si>
  <si>
    <t xml:space="preserve">Edad</t>
  </si>
  <si>
    <t xml:space="preserve">Antigüedad</t>
  </si>
  <si>
    <t xml:space="preserve">Jornada</t>
  </si>
  <si>
    <t xml:space="preserve">Contrato</t>
  </si>
  <si>
    <t xml:space="preserve">Intervalo Edad</t>
  </si>
  <si>
    <t xml:space="preserve">Intervalo Antigüedad</t>
  </si>
  <si>
    <t xml:space="preserve">Agrupación según clasificación profesional de la empresa</t>
  </si>
  <si>
    <t xml:space="preserve">Cuenta de Puesto-empresa</t>
  </si>
  <si>
    <t xml:space="preserve">(en blanco)</t>
  </si>
  <si>
    <t xml:space="preserve">Agrupación según valoración de puestos de trabajo (para empresas con auditoría retributiva)</t>
  </si>
  <si>
    <t xml:space="preserve">    </t>
  </si>
  <si>
    <t xml:space="preserve">TABLA DE CLAVES DE CONTRATOS</t>
  </si>
  <si>
    <t xml:space="preserve">Rangos de Antigüedad</t>
  </si>
  <si>
    <t xml:space="preserve">Rangos de Edad</t>
  </si>
  <si>
    <t xml:space="preserve">Motivo reducción de jornada</t>
  </si>
  <si>
    <t xml:space="preserve">límite inferior</t>
  </si>
  <si>
    <t xml:space="preserve">Nombre Rango</t>
  </si>
  <si>
    <t xml:space="preserve">INDEFINIDO TIEMPO COMPLETO – ORDINARIO</t>
  </si>
  <si>
    <t xml:space="preserve">Completa</t>
  </si>
  <si>
    <t xml:space="preserve">Indefinido</t>
  </si>
  <si>
    <t xml:space="preserve">0 a 1 años</t>
  </si>
  <si>
    <t xml:space="preserve">20  o menos</t>
  </si>
  <si>
    <t xml:space="preserve">Sin reducción</t>
  </si>
  <si>
    <t xml:space="preserve">INDEFINIDO TIEMPO COMPLETO – FOMENTO CONTRATACIÓN INDEFINIDA/EMPLEO ESTABLE  TRANSFORMACIÓN CONTRATO TEMPORAL</t>
  </si>
  <si>
    <t xml:space="preserve">1 a 3  años</t>
  </si>
  <si>
    <t xml:space="preserve">20 a 25</t>
  </si>
  <si>
    <t xml:space="preserve">GLM</t>
  </si>
  <si>
    <t xml:space="preserve">Guarda Legal de menor de 12 años</t>
  </si>
  <si>
    <t xml:space="preserve">INDEFINIDO TIEMPO COMPLETO - DISCAPACITADOS</t>
  </si>
  <si>
    <t xml:space="preserve">3 a 5  años</t>
  </si>
  <si>
    <t xml:space="preserve">25 a 30</t>
  </si>
  <si>
    <t xml:space="preserve">GLD</t>
  </si>
  <si>
    <t xml:space="preserve">Guarda Legal de persona discapacidad</t>
  </si>
  <si>
    <t xml:space="preserve">INDEFINIDO TIEMPO COMPLETO – DISCAPACITADOS TRANSFORMACIÓN CONTRATO TEMPORAL.</t>
  </si>
  <si>
    <t xml:space="preserve">5 a 10  años</t>
  </si>
  <si>
    <t xml:space="preserve">30 a 35</t>
  </si>
  <si>
    <t xml:space="preserve">CD</t>
  </si>
  <si>
    <t xml:space="preserve">Cuidado Directo de familiar que no pueda valerse por sí mismo</t>
  </si>
  <si>
    <t xml:space="preserve">INDEFINIDO TIEMPO COMPLETO – FOMENTO CONTRATACIÓN INDEFINIDA/EMPLEO ESTABLE INICIAL</t>
  </si>
  <si>
    <t xml:space="preserve">de 10 a 15  años</t>
  </si>
  <si>
    <t xml:space="preserve">35 a 40</t>
  </si>
  <si>
    <t xml:space="preserve">E</t>
  </si>
  <si>
    <t xml:space="preserve">Por voluntad de la Empresa</t>
  </si>
  <si>
    <t xml:space="preserve">INDEFINIDO TIEMPO COMPLETO – TRANSFORMACIÓN CONTRATO TEMPORAL.</t>
  </si>
  <si>
    <t xml:space="preserve">más de 15</t>
  </si>
  <si>
    <t xml:space="preserve">40 a 45</t>
  </si>
  <si>
    <t xml:space="preserve">INDEFINIDO TIEMPO PARCIAL – ORDINARIO</t>
  </si>
  <si>
    <t xml:space="preserve">Parcial</t>
  </si>
  <si>
    <t xml:space="preserve">45 a 50</t>
  </si>
  <si>
    <t xml:space="preserve">INDEFINIDO TIEMPO PARCIAL – FOMENTO CONTRATACIÓN INDEFINIDA/EMPLEO ESTABLE TRANSFORMACIÓN CONTRATO TEMPORAL</t>
  </si>
  <si>
    <t xml:space="preserve">50 a 55</t>
  </si>
  <si>
    <t xml:space="preserve">INDEFINIDO TIEMPO PARCIAL - DISCAPACITADOS</t>
  </si>
  <si>
    <t xml:space="preserve">55 a 60</t>
  </si>
  <si>
    <t xml:space="preserve">INDEFINIDO TIEMPO PARCIAL – DISCAPACITADOS TRANSFORMACIÓN CONTRATO TEMPORAL.</t>
  </si>
  <si>
    <t xml:space="preserve">60 en adelante</t>
  </si>
  <si>
    <t xml:space="preserve">INDEFINIDO TIEMPO PARCIAL – FOMENTO CONTRATACIÓN INDEFINIDA/EMPLEO ESTABLE INICIAL</t>
  </si>
  <si>
    <t xml:space="preserve">INDEFINIDO TIEMPO PARCIAL – TRANSFORMACIÓN CONTRATO TEMPORAL.</t>
  </si>
  <si>
    <t xml:space="preserve">INDEFINIDO FIJO/DISCONTINUO</t>
  </si>
  <si>
    <t xml:space="preserve">N.D</t>
  </si>
  <si>
    <t xml:space="preserve">Fijo discontinuo</t>
  </si>
  <si>
    <t xml:space="preserve">INDEFINIDO FIJO/DISCONTINUO – FOMENTO CONTRATACIÓN INDEFINIDA/EMPLEO ESTABLE TRANSFORMACIÓN CONTRATO TEMPORAL</t>
  </si>
  <si>
    <t xml:space="preserve">INDEFINIDO FIJO/DISCONTINUO - DISCAPACITADOS</t>
  </si>
  <si>
    <t xml:space="preserve">INDEFINIDO FIJO/DISCONTINUO – DISCAPACITADO. TRANSFORMACION </t>
  </si>
  <si>
    <t xml:space="preserve">INDEFINIDO FIJO/DISCONTINUO – FOMENTO CONTRATACIÓN INDEFINIDA/EMPLEO ESTABLE INICIAL</t>
  </si>
  <si>
    <t xml:space="preserve">INDEFINIDO FIJO/DISCONTINUO – TRANSFORMACIÓN CONTRATO TEMPORAL.</t>
  </si>
  <si>
    <t xml:space="preserve">DURACIÓN DETERMINADA TIEMPO COMPLETO – OBRA O SERVICIO DETERMINADO</t>
  </si>
  <si>
    <t xml:space="preserve">Temporal</t>
  </si>
  <si>
    <t xml:space="preserve">DURACIÓN DETERMINADA TIEMPO COMPLETO – EVENTUAL POR CIRCUNSTANCIAS DE LA PRODUCCIÓN</t>
  </si>
  <si>
    <t xml:space="preserve">DURACIÓN DETERMINADA TIEMPO COMPLETO – INSERCIÓN</t>
  </si>
  <si>
    <t xml:space="preserve">DURACIÓN DETERMINADA TIEMPO COMPLETO – CARÁCTER ADMINISTRATIVO</t>
  </si>
  <si>
    <t xml:space="preserve">DURACIÓN DETERMINADA TIEMPO COMPLETO – INTERINIDAD</t>
  </si>
  <si>
    <t xml:space="preserve">DURACIÓN DETERMINADA TIEMPO COMPLETO – INTERINIDAD CARÁCTER ADMINISTRATIVO</t>
  </si>
  <si>
    <t xml:space="preserve">DURACIÓN DETERMINADA TIEMPO COMPLETO – PRÁCTICAS</t>
  </si>
  <si>
    <t xml:space="preserve">DURACIÓN DETERMINADA TIEMPO COMPLETO – FORMACIÓN</t>
  </si>
  <si>
    <t xml:space="preserve">DURACIÓN DETERMINADA TIEMPO COMPLETO – DISCAPACITADOS</t>
  </si>
  <si>
    <t xml:space="preserve">DURACIÓN DETERMINADA TIEMPO COMPLETO – RELEVO</t>
  </si>
  <si>
    <t xml:space="preserve">DURACIÓN DETERMINADA TIEMPO COMPLETO – FOMENTO CONTRATACIÓN INDEFINIDA/EMPLEO ESTABLE</t>
  </si>
  <si>
    <t xml:space="preserve">DURACIÓN DETERMINADA TIEMPO COMPLETO – TRABAJADORES DESEMPLEADOS CONTRATADOS POR EMPRESAS DE INSERCIÓN</t>
  </si>
  <si>
    <t xml:space="preserve">DURACIÓN DETERMINADA TIEMPO PARCIAL – OBRA O SERVICIO DETERMINADO</t>
  </si>
  <si>
    <t xml:space="preserve">DURACIÓN DETERMINADA TIEMPO PARCIAL – EVENTUAL POR CIRCUNSTANCIAS DE LA PRODUCCIÓN</t>
  </si>
  <si>
    <t xml:space="preserve">DURACIÓN DETERMINADA TIEMPO PARCIAL – INSERCIÓN</t>
  </si>
  <si>
    <t xml:space="preserve">DURACIÓN DETERMINADA TIEMPO PARCIAL – CARÁCTER ADMINISTRATIVO</t>
  </si>
  <si>
    <t xml:space="preserve">DURACIÓN DETERMINADA TIEMPO PARCIAL – INTERINIDAD</t>
  </si>
  <si>
    <t xml:space="preserve">DURACIÓN DETERMINADA TIEMPO PARCIAL – INTERINIDAD CARÁCTER ADMINISTRATIVO</t>
  </si>
  <si>
    <t xml:space="preserve">DURACIÓN DETERMINADA TIEMPO PARCIAL – PRÁCTICAS</t>
  </si>
  <si>
    <t xml:space="preserve">DURACIÓN DETERMINADA TIEMPO PARCIAL – DISCAPACITADOS</t>
  </si>
  <si>
    <t xml:space="preserve">DURACIÓN DETERMINADA TIEMPO PARCIAL – JUBILACIÓN PARCIAL</t>
  </si>
  <si>
    <t xml:space="preserve">DURACIÓN DETERMINADA TIEMPO PARCIAL – RELEVO</t>
  </si>
  <si>
    <t xml:space="preserve">DURACIÓN DETERMINADA TIEMPO PARCIAL – FOMENTO CONTRATACIÓN INDEFINIDA/EMPLEO ESTABLE</t>
  </si>
  <si>
    <t xml:space="preserve">DURACIÓN DETERMINADA TIEMPO PARCIAL – TRABAJADORES DESEMPLEADOS CONTRATADOS POR EMPRESAS DE INSERCIÓN</t>
  </si>
  <si>
    <t xml:space="preserve">N/D</t>
  </si>
  <si>
    <t xml:space="preserve">NO DISPONIBLE</t>
  </si>
  <si>
    <t xml:space="preserve">REGISTRO SEGÚN LA CLASIFICACIÓN PROFESIONAL APLICABLE A LA EMPRESA</t>
  </si>
  <si>
    <t xml:space="preserve">Nº</t>
  </si>
  <si>
    <t xml:space="preserve">Nº SC</t>
  </si>
  <si>
    <t xml:space="preserve">TOTAL</t>
  </si>
  <si>
    <t xml:space="preserve">Hombre</t>
  </si>
  <si>
    <t xml:space="preserve">Mujer</t>
  </si>
  <si>
    <t xml:space="preserve">Nº SC Eq</t>
  </si>
  <si>
    <t xml:space="preserve">REGISTRO SEGÚN VALORACIÓN DE PUESTOS DE TRABAJO</t>
  </si>
</sst>
</file>

<file path=xl/styles.xml><?xml version="1.0" encoding="utf-8"?>
<styleSheet xmlns="http://schemas.openxmlformats.org/spreadsheetml/2006/main">
  <numFmts count="8">
    <numFmt numFmtId="164" formatCode="General"/>
    <numFmt numFmtId="165" formatCode="0%"/>
    <numFmt numFmtId="166" formatCode="dd\-mm\-yy;@"/>
    <numFmt numFmtId="167" formatCode="_-* #,##0.00\ _€_-;\-* #,##0.00\ _€_-;_-* \-??\ _€_-;_-@_-"/>
    <numFmt numFmtId="168" formatCode="[$-C0A]dddd&quot;, &quot;d&quot; de &quot;mmmm&quot; de &quot;yyyy"/>
    <numFmt numFmtId="169" formatCode="General"/>
    <numFmt numFmtId="170" formatCode="_-* #,##0\ _€_-;\-* #,##0\ _€_-;_-* \-??\ _€_-;_-@_-"/>
    <numFmt numFmtId="171" formatCode="#,##0"/>
  </numFmts>
  <fonts count="72">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Calibri"/>
      <family val="2"/>
      <charset val="1"/>
    </font>
    <font>
      <sz val="11"/>
      <color rgb="FFFF0000"/>
      <name val="Calibri"/>
      <family val="2"/>
      <charset val="1"/>
    </font>
    <font>
      <b val="true"/>
      <sz val="10.5"/>
      <color rgb="FF000000"/>
      <name val="Calibri"/>
      <family val="2"/>
      <charset val="1"/>
    </font>
    <font>
      <b val="true"/>
      <sz val="16"/>
      <color rgb="FF000000"/>
      <name val="Calibri"/>
      <family val="2"/>
      <charset val="1"/>
    </font>
    <font>
      <b val="true"/>
      <sz val="24"/>
      <color rgb="FFFFFFFF"/>
      <name val="Calibri"/>
      <family val="0"/>
    </font>
    <font>
      <b val="true"/>
      <sz val="12"/>
      <color rgb="FF000000"/>
      <name val="Lohit Assamese"/>
      <family val="0"/>
    </font>
    <font>
      <sz val="12"/>
      <name val="Times New Roman"/>
      <family val="0"/>
    </font>
    <font>
      <sz val="12"/>
      <color rgb="FF000000"/>
      <name val="Lohit Assamese"/>
      <family val="0"/>
    </font>
    <font>
      <b val="true"/>
      <sz val="10"/>
      <color rgb="FFFFFFFF"/>
      <name val="Calibri"/>
      <family val="2"/>
      <charset val="1"/>
    </font>
    <font>
      <sz val="10"/>
      <color rgb="FF000000"/>
      <name val="Calibri"/>
      <family val="2"/>
      <charset val="1"/>
    </font>
    <font>
      <b val="true"/>
      <u val="single"/>
      <sz val="10"/>
      <color rgb="FF000000"/>
      <name val="Calibri"/>
      <family val="2"/>
      <charset val="1"/>
    </font>
    <font>
      <u val="single"/>
      <sz val="11"/>
      <color rgb="FF0563C1"/>
      <name val="Calibri"/>
      <family val="2"/>
      <charset val="1"/>
    </font>
    <font>
      <b val="true"/>
      <sz val="10"/>
      <color rgb="FF000000"/>
      <name val="Calibri"/>
      <family val="2"/>
      <charset val="1"/>
    </font>
    <font>
      <b val="true"/>
      <i val="true"/>
      <sz val="10"/>
      <color rgb="FFFFFFFF"/>
      <name val="Calibri"/>
      <family val="2"/>
      <charset val="1"/>
    </font>
    <font>
      <u val="single"/>
      <sz val="10"/>
      <color rgb="FF0563C1"/>
      <name val="Calibri"/>
      <family val="2"/>
      <charset val="1"/>
    </font>
    <font>
      <b val="true"/>
      <sz val="10"/>
      <color rgb="FFFF0000"/>
      <name val="Calibri"/>
      <family val="2"/>
      <charset val="1"/>
    </font>
    <font>
      <i val="true"/>
      <sz val="10"/>
      <color rgb="FF000000"/>
      <name val="Calibri"/>
      <family val="2"/>
      <charset val="1"/>
    </font>
    <font>
      <b val="true"/>
      <sz val="11"/>
      <color rgb="FFFFFFFF"/>
      <name val="Calibri"/>
      <family val="2"/>
      <charset val="1"/>
    </font>
    <font>
      <b val="true"/>
      <sz val="11"/>
      <color rgb="FFF2F2F2"/>
      <name val="Calibri"/>
      <family val="2"/>
      <charset val="1"/>
    </font>
    <font>
      <sz val="11"/>
      <color rgb="FFC00000"/>
      <name val="Calibri"/>
      <family val="2"/>
      <charset val="1"/>
    </font>
    <font>
      <sz val="11"/>
      <color rgb="FF548235"/>
      <name val="Calibri"/>
      <family val="2"/>
      <charset val="1"/>
    </font>
    <font>
      <i val="true"/>
      <sz val="11"/>
      <color rgb="FF000000"/>
      <name val="Calibri"/>
      <family val="2"/>
      <charset val="1"/>
    </font>
    <font>
      <sz val="11"/>
      <color rgb="FFFFFFFF"/>
      <name val="Calibri"/>
      <family val="2"/>
      <charset val="1"/>
    </font>
    <font>
      <i val="true"/>
      <sz val="11"/>
      <color rgb="FFFFFFFF"/>
      <name val="Calibri"/>
      <family val="2"/>
      <charset val="1"/>
    </font>
    <font>
      <b val="true"/>
      <sz val="11"/>
      <color rgb="FFFF0000"/>
      <name val="Calibri"/>
      <family val="2"/>
      <charset val="1"/>
    </font>
    <font>
      <b val="true"/>
      <sz val="10"/>
      <color rgb="FFC00000"/>
      <name val="Calibri"/>
      <family val="2"/>
      <charset val="1"/>
    </font>
    <font>
      <sz val="12"/>
      <color rgb="FFFFFFFF"/>
      <name val="Calibri"/>
      <family val="2"/>
      <charset val="1"/>
    </font>
    <font>
      <i val="true"/>
      <sz val="12"/>
      <color rgb="FFFFFFFF"/>
      <name val="Calibri"/>
      <family val="2"/>
      <charset val="1"/>
    </font>
    <font>
      <sz val="11"/>
      <color rgb="FF808080"/>
      <name val="Calibri"/>
      <family val="2"/>
      <charset val="1"/>
    </font>
    <font>
      <b val="true"/>
      <sz val="11"/>
      <name val="Calibri"/>
      <family val="2"/>
      <charset val="1"/>
    </font>
    <font>
      <sz val="11"/>
      <name val="Calibri"/>
      <family val="2"/>
      <charset val="1"/>
    </font>
    <font>
      <b val="true"/>
      <i val="true"/>
      <sz val="12"/>
      <color rgb="FFFFFFFF"/>
      <name val="Calibri"/>
      <family val="0"/>
    </font>
    <font>
      <b val="true"/>
      <sz val="12"/>
      <color rgb="FFFFFFFF"/>
      <name val="Calibri"/>
      <family val="0"/>
    </font>
    <font>
      <b val="true"/>
      <sz val="14"/>
      <color rgb="FFFFFFFF"/>
      <name val="Calibri"/>
      <family val="2"/>
      <charset val="1"/>
    </font>
    <font>
      <b val="true"/>
      <sz val="8"/>
      <color rgb="FFFFFFFF"/>
      <name val="Calibri"/>
      <family val="0"/>
    </font>
    <font>
      <b val="true"/>
      <sz val="9"/>
      <color rgb="FFFFFFFF"/>
      <name val="Calibri"/>
      <family val="2"/>
      <charset val="1"/>
    </font>
    <font>
      <b val="true"/>
      <sz val="9"/>
      <color rgb="FF000000"/>
      <name val="Calibri"/>
      <family val="2"/>
      <charset val="1"/>
    </font>
    <font>
      <sz val="9"/>
      <color rgb="FF000000"/>
      <name val="Calibri"/>
      <family val="2"/>
      <charset val="1"/>
    </font>
    <font>
      <sz val="9"/>
      <color rgb="FFFFFFFF"/>
      <name val="Calibri"/>
      <family val="2"/>
      <charset val="1"/>
    </font>
    <font>
      <sz val="11"/>
      <name val="Arial Narrow"/>
      <family val="2"/>
      <charset val="1"/>
    </font>
    <font>
      <b val="true"/>
      <i val="true"/>
      <sz val="14"/>
      <name val="Arial Narrow"/>
      <family val="2"/>
      <charset val="1"/>
    </font>
    <font>
      <b val="true"/>
      <i val="true"/>
      <sz val="11"/>
      <color rgb="FF000000"/>
      <name val="Arial Narrow"/>
      <family val="2"/>
      <charset val="1"/>
    </font>
    <font>
      <i val="true"/>
      <sz val="11"/>
      <name val="Arial Narrow"/>
      <family val="2"/>
      <charset val="1"/>
    </font>
    <font>
      <b val="true"/>
      <i val="true"/>
      <sz val="10.5"/>
      <color rgb="FF000000"/>
      <name val="Arial Narrow"/>
      <family val="2"/>
      <charset val="1"/>
    </font>
    <font>
      <i val="true"/>
      <sz val="11"/>
      <color rgb="FF000000"/>
      <name val="Arial Narrow"/>
      <family val="2"/>
      <charset val="1"/>
    </font>
    <font>
      <b val="true"/>
      <i val="true"/>
      <sz val="11"/>
      <name val="Arial Narrow"/>
      <family val="2"/>
      <charset val="1"/>
    </font>
    <font>
      <b val="true"/>
      <i val="true"/>
      <sz val="12"/>
      <name val="Arial Narrow"/>
      <family val="2"/>
      <charset val="1"/>
    </font>
    <font>
      <i val="true"/>
      <sz val="10"/>
      <name val="Arial Narrow"/>
      <family val="2"/>
      <charset val="1"/>
    </font>
    <font>
      <b val="true"/>
      <sz val="9"/>
      <color rgb="FF000000"/>
      <name val="Tahoma"/>
      <family val="2"/>
      <charset val="1"/>
    </font>
    <font>
      <sz val="11"/>
      <color rgb="FF663300"/>
      <name val="Arial Narrow"/>
      <family val="2"/>
      <charset val="1"/>
    </font>
    <font>
      <b val="true"/>
      <i val="true"/>
      <sz val="11"/>
      <color rgb="FF663300"/>
      <name val="Arial Narrow"/>
      <family val="2"/>
      <charset val="1"/>
    </font>
    <font>
      <b val="true"/>
      <i val="true"/>
      <sz val="10.5"/>
      <color rgb="FF663300"/>
      <name val="Arial Narrow"/>
      <family val="2"/>
      <charset val="1"/>
    </font>
    <font>
      <i val="true"/>
      <sz val="11"/>
      <color rgb="FF663300"/>
      <name val="Arial Narrow"/>
      <family val="2"/>
      <charset val="1"/>
    </font>
    <font>
      <b val="true"/>
      <i val="true"/>
      <sz val="12"/>
      <color rgb="FF663300"/>
      <name val="Arial Narrow"/>
      <family val="2"/>
      <charset val="1"/>
    </font>
    <font>
      <b val="true"/>
      <i val="true"/>
      <sz val="10"/>
      <color rgb="FF663300"/>
      <name val="Arial Narrow"/>
      <family val="2"/>
      <charset val="1"/>
    </font>
    <font>
      <i val="true"/>
      <sz val="10"/>
      <color rgb="FF663300"/>
      <name val="Arial Narrow"/>
      <family val="2"/>
      <charset val="1"/>
    </font>
    <font>
      <b val="true"/>
      <sz val="11"/>
      <name val="Arial Narrow"/>
      <family val="2"/>
      <charset val="1"/>
    </font>
    <font>
      <b val="true"/>
      <sz val="10.5"/>
      <name val="Arial Narrow"/>
      <family val="2"/>
      <charset val="1"/>
    </font>
    <font>
      <b val="true"/>
      <sz val="12"/>
      <name val="Arial Narrow"/>
      <family val="2"/>
      <charset val="1"/>
    </font>
    <font>
      <b val="true"/>
      <sz val="10"/>
      <name val="Arial Narrow"/>
      <family val="2"/>
      <charset val="1"/>
    </font>
    <font>
      <sz val="10"/>
      <name val="Arial Narrow"/>
      <family val="2"/>
      <charset val="1"/>
    </font>
    <font>
      <b val="true"/>
      <sz val="11"/>
      <color rgb="FF663300"/>
      <name val="Arial Narrow"/>
      <family val="2"/>
      <charset val="1"/>
    </font>
    <font>
      <b val="true"/>
      <sz val="10.5"/>
      <color rgb="FF663300"/>
      <name val="Arial Narrow"/>
      <family val="2"/>
      <charset val="1"/>
    </font>
    <font>
      <b val="true"/>
      <sz val="12"/>
      <color rgb="FF663300"/>
      <name val="Arial Narrow"/>
      <family val="2"/>
      <charset val="1"/>
    </font>
    <font>
      <sz val="10"/>
      <color rgb="FF663300"/>
      <name val="Arial Narrow"/>
      <family val="2"/>
      <charset val="1"/>
    </font>
    <font>
      <b val="true"/>
      <sz val="10"/>
      <color rgb="FF663300"/>
      <name val="Arial Narrow"/>
      <family val="2"/>
      <charset val="1"/>
    </font>
    <font>
      <b val="true"/>
      <sz val="12"/>
      <color rgb="FF000000"/>
      <name val="Calibri"/>
      <family val="0"/>
    </font>
  </fonts>
  <fills count="46">
    <fill>
      <patternFill patternType="none"/>
    </fill>
    <fill>
      <patternFill patternType="gray125"/>
    </fill>
    <fill>
      <patternFill patternType="solid">
        <fgColor rgb="FF4472C4"/>
        <bgColor rgb="FF2E75B6"/>
      </patternFill>
    </fill>
    <fill>
      <patternFill patternType="solid">
        <fgColor rgb="FFFBE5D6"/>
        <bgColor rgb="FFFFF2CC"/>
      </patternFill>
    </fill>
    <fill>
      <patternFill patternType="solid">
        <fgColor rgb="FF404040"/>
        <bgColor rgb="FF3B3838"/>
      </patternFill>
    </fill>
    <fill>
      <patternFill patternType="solid">
        <fgColor rgb="FF000000"/>
        <bgColor rgb="FF003300"/>
      </patternFill>
    </fill>
    <fill>
      <patternFill patternType="solid">
        <fgColor rgb="FFD9D9D9"/>
        <bgColor rgb="FFDBDBDB"/>
      </patternFill>
    </fill>
    <fill>
      <patternFill patternType="solid">
        <fgColor rgb="FF5B9BD5"/>
        <bgColor rgb="FF4472C4"/>
      </patternFill>
    </fill>
    <fill>
      <patternFill patternType="solid">
        <fgColor rgb="FF44546A"/>
        <bgColor rgb="FF595959"/>
      </patternFill>
    </fill>
    <fill>
      <patternFill patternType="solid">
        <fgColor rgb="FFFFC000"/>
        <bgColor rgb="FFFF9900"/>
      </patternFill>
    </fill>
    <fill>
      <patternFill patternType="solid">
        <fgColor rgb="FFBF8F00"/>
        <bgColor rgb="FFBF9000"/>
      </patternFill>
    </fill>
    <fill>
      <patternFill patternType="solid">
        <fgColor rgb="FF806000"/>
        <bgColor rgb="FF595959"/>
      </patternFill>
    </fill>
    <fill>
      <patternFill patternType="solid">
        <fgColor rgb="FF663300"/>
        <bgColor rgb="FF3B3838"/>
      </patternFill>
    </fill>
    <fill>
      <patternFill patternType="solid">
        <fgColor rgb="FFED7D31"/>
        <bgColor rgb="FFFF6600"/>
      </patternFill>
    </fill>
    <fill>
      <patternFill patternType="solid">
        <fgColor rgb="FF595959"/>
        <bgColor rgb="FF44546A"/>
      </patternFill>
    </fill>
    <fill>
      <patternFill patternType="solid">
        <fgColor rgb="FF808080"/>
        <bgColor rgb="FF7F7F7F"/>
      </patternFill>
    </fill>
    <fill>
      <patternFill patternType="solid">
        <fgColor rgb="FF7030A0"/>
        <bgColor rgb="FF44546A"/>
      </patternFill>
    </fill>
    <fill>
      <patternFill patternType="solid">
        <fgColor rgb="FFC00000"/>
        <bgColor rgb="FF9C0006"/>
      </patternFill>
    </fill>
    <fill>
      <patternFill patternType="solid">
        <fgColor rgb="FFFFFF00"/>
        <bgColor rgb="FFFFC000"/>
      </patternFill>
    </fill>
    <fill>
      <patternFill patternType="solid">
        <fgColor rgb="FFFFFFFF"/>
        <bgColor rgb="FFF2F2F2"/>
      </patternFill>
    </fill>
    <fill>
      <patternFill patternType="solid">
        <fgColor rgb="FF375623"/>
        <bgColor rgb="FF385724"/>
      </patternFill>
    </fill>
    <fill>
      <patternFill patternType="solid">
        <fgColor rgb="FF3A3838"/>
        <bgColor rgb="FF3B3838"/>
      </patternFill>
    </fill>
    <fill>
      <patternFill patternType="solid">
        <fgColor rgb="FF003300"/>
        <bgColor rgb="FF3A3838"/>
      </patternFill>
    </fill>
    <fill>
      <patternFill patternType="solid">
        <fgColor rgb="FF2E75B6"/>
        <bgColor rgb="FF4472C4"/>
      </patternFill>
    </fill>
    <fill>
      <patternFill patternType="solid">
        <fgColor rgb="FF70AD47"/>
        <bgColor rgb="FF548235"/>
      </patternFill>
    </fill>
    <fill>
      <patternFill patternType="solid">
        <fgColor rgb="FFA6A6A6"/>
        <bgColor rgb="FFA5A5A5"/>
      </patternFill>
    </fill>
    <fill>
      <patternFill patternType="solid">
        <fgColor rgb="FFA5A5A5"/>
        <bgColor rgb="FFA6A6A6"/>
      </patternFill>
    </fill>
    <fill>
      <patternFill patternType="solid">
        <fgColor rgb="FF548235"/>
        <bgColor rgb="FF767171"/>
      </patternFill>
    </fill>
    <fill>
      <patternFill patternType="solid">
        <fgColor rgb="FF1F4E79"/>
        <bgColor rgb="FF44546A"/>
      </patternFill>
    </fill>
    <fill>
      <patternFill patternType="solid">
        <fgColor rgb="FFBF9000"/>
        <bgColor rgb="FFBF8F00"/>
      </patternFill>
    </fill>
    <fill>
      <patternFill patternType="solid">
        <fgColor rgb="FF7F7F7F"/>
        <bgColor rgb="FF808080"/>
      </patternFill>
    </fill>
    <fill>
      <patternFill patternType="solid">
        <fgColor rgb="FF385724"/>
        <bgColor rgb="FF375623"/>
      </patternFill>
    </fill>
    <fill>
      <patternFill patternType="solid">
        <fgColor rgb="FF3B3838"/>
        <bgColor rgb="FF3A3838"/>
      </patternFill>
    </fill>
    <fill>
      <patternFill patternType="solid">
        <fgColor rgb="FFFF6600"/>
        <bgColor rgb="FFED7D31"/>
      </patternFill>
    </fill>
    <fill>
      <patternFill patternType="solid">
        <fgColor rgb="FFFFF2CC"/>
        <bgColor rgb="FFFBE5D6"/>
      </patternFill>
    </fill>
    <fill>
      <patternFill patternType="solid">
        <fgColor rgb="FFFF9900"/>
        <bgColor rgb="FFED7D31"/>
      </patternFill>
    </fill>
    <fill>
      <patternFill patternType="solid">
        <fgColor rgb="FF33CCCC"/>
        <bgColor rgb="FF5B9BD5"/>
      </patternFill>
    </fill>
    <fill>
      <patternFill patternType="solid">
        <fgColor rgb="FFDDEBF7"/>
        <bgColor rgb="FFF2F2F2"/>
      </patternFill>
    </fill>
    <fill>
      <patternFill patternType="solid">
        <fgColor rgb="FFA9D18E"/>
        <bgColor rgb="FFC5E0B4"/>
      </patternFill>
    </fill>
    <fill>
      <patternFill patternType="solid">
        <fgColor rgb="FFBFBFBF"/>
        <bgColor rgb="FF9DC3E6"/>
      </patternFill>
    </fill>
    <fill>
      <patternFill patternType="solid">
        <fgColor rgb="FF767171"/>
        <bgColor rgb="FF7F7F7F"/>
      </patternFill>
    </fill>
    <fill>
      <patternFill patternType="solid">
        <fgColor rgb="FFF7CAAC"/>
        <bgColor rgb="FFFFC7CE"/>
      </patternFill>
    </fill>
    <fill>
      <patternFill patternType="solid">
        <fgColor rgb="FFBDD7EE"/>
        <bgColor rgb="FFD9D9D9"/>
      </patternFill>
    </fill>
    <fill>
      <patternFill patternType="solid">
        <fgColor rgb="FF9DC3E6"/>
        <bgColor rgb="FF9BC2E6"/>
      </patternFill>
    </fill>
    <fill>
      <patternFill patternType="solid">
        <fgColor rgb="FFC5E0B4"/>
        <bgColor rgb="FFD9D9D9"/>
      </patternFill>
    </fill>
    <fill>
      <patternFill patternType="solid">
        <fgColor rgb="FFDBDBDB"/>
        <bgColor rgb="FFD9D9D9"/>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right/>
      <top style="thin"/>
      <bottom/>
      <diagonal/>
    </border>
    <border diagonalUp="false" diagonalDown="false">
      <left style="medium">
        <color rgb="FFBFBFBF"/>
      </left>
      <right style="medium">
        <color rgb="FFBFBFBF"/>
      </right>
      <top style="medium">
        <color rgb="FFBFBFBF"/>
      </top>
      <bottom style="medium">
        <color rgb="FFBFBFBF"/>
      </bottom>
      <diagonal/>
    </border>
    <border diagonalUp="false" diagonalDown="false">
      <left/>
      <right style="medium">
        <color rgb="FFBFBFBF"/>
      </right>
      <top style="medium">
        <color rgb="FFBFBFBF"/>
      </top>
      <bottom/>
      <diagonal/>
    </border>
    <border diagonalUp="false" diagonalDown="false">
      <left/>
      <right style="medium">
        <color rgb="FFBFBFBF"/>
      </right>
      <top/>
      <bottom style="medium">
        <color rgb="FFBFBFBF"/>
      </bottom>
      <diagonal/>
    </border>
    <border diagonalUp="false" diagonalDown="false">
      <left style="medium">
        <color rgb="FFBFBFBF"/>
      </left>
      <right style="medium">
        <color rgb="FFBFBFBF"/>
      </right>
      <top/>
      <bottom style="medium">
        <color rgb="FFBFBFBF"/>
      </bottom>
      <diagonal/>
    </border>
    <border diagonalUp="false" diagonalDown="false">
      <left style="medium">
        <color rgb="FFBFBFBF"/>
      </left>
      <right style="medium">
        <color rgb="FFBFBFBF"/>
      </right>
      <top style="medium">
        <color rgb="FFBFBFBF"/>
      </top>
      <bottom/>
      <diagonal/>
    </border>
    <border diagonalUp="false" diagonalDown="false">
      <left/>
      <right style="medium">
        <color rgb="FFBFBFBF"/>
      </right>
      <top/>
      <bottom/>
      <diagonal/>
    </border>
    <border diagonalUp="false" diagonalDown="false">
      <left/>
      <right/>
      <top style="thin">
        <color rgb="FF4472C4"/>
      </top>
      <bottom/>
      <diagonal/>
    </border>
    <border diagonalUp="false" diagonalDown="false">
      <left/>
      <right style="double"/>
      <top/>
      <bottom/>
      <diagonal/>
    </border>
    <border diagonalUp="false" diagonalDown="false">
      <left/>
      <right style="thick"/>
      <top/>
      <bottom/>
      <diagonal/>
    </border>
    <border diagonalUp="false" diagonalDown="false">
      <left style="thick"/>
      <right/>
      <top/>
      <bottom/>
      <diagonal/>
    </border>
    <border diagonalUp="false" diagonalDown="false">
      <left style="thin">
        <color rgb="FF70AD47"/>
      </left>
      <right/>
      <top/>
      <bottom/>
      <diagonal/>
    </border>
    <border diagonalUp="false" diagonalDown="false">
      <left style="thin">
        <color rgb="FF9DC3E6"/>
      </left>
      <right/>
      <top/>
      <bottom/>
      <diagonal/>
    </border>
    <border diagonalUp="false" diagonalDown="false">
      <left/>
      <right/>
      <top/>
      <bottom style="medium">
        <color rgb="FF9BC2E6"/>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27" fillId="2" borderId="0" applyFont="true" applyBorder="false" applyAlignment="true" applyProtection="false">
      <alignment horizontal="general" vertical="bottom" textRotation="0" wrapText="false" indent="0" shrinkToFit="false"/>
    </xf>
  </cellStyleXfs>
  <cellXfs count="32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top" textRotation="0" wrapText="false" indent="0" shrinkToFit="false"/>
      <protection locked="true" hidden="false"/>
    </xf>
    <xf numFmtId="164" fontId="0" fillId="0" borderId="2" xfId="0" applyFont="false" applyBorder="true" applyAlignment="true" applyProtection="false">
      <alignment horizontal="left" vertical="top" textRotation="0" wrapText="false" indent="0" shrinkToFit="false"/>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right" vertical="bottom" textRotation="0" wrapText="false" indent="0" shrinkToFit="false"/>
      <protection locked="true" hidden="false"/>
    </xf>
    <xf numFmtId="166" fontId="0"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3" fillId="4" borderId="3" xfId="0" applyFont="true" applyBorder="true" applyAlignment="true" applyProtection="false">
      <alignment horizontal="general"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4" fontId="13" fillId="4" borderId="4" xfId="0" applyFont="true" applyBorder="true" applyAlignment="true" applyProtection="false">
      <alignment horizontal="center" vertical="center" textRotation="0" wrapText="true" indent="0" shrinkToFit="false"/>
      <protection locked="true" hidden="false"/>
    </xf>
    <xf numFmtId="164" fontId="13" fillId="4" borderId="5" xfId="0" applyFont="true" applyBorder="true" applyAlignment="true" applyProtection="false">
      <alignment horizontal="center" vertical="center" textRotation="0" wrapText="true" indent="0" shrinkToFit="false"/>
      <protection locked="true" hidden="false"/>
    </xf>
    <xf numFmtId="164" fontId="13" fillId="5" borderId="6" xfId="0" applyFont="true" applyBorder="true" applyAlignment="true" applyProtection="false">
      <alignment horizontal="general" vertical="center" textRotation="0" wrapText="true" indent="0" shrinkToFit="false"/>
      <protection locked="true" hidden="false"/>
    </xf>
    <xf numFmtId="164" fontId="14" fillId="6" borderId="5" xfId="0" applyFont="true" applyBorder="true" applyAlignment="true" applyProtection="false">
      <alignment horizontal="center" vertical="center" textRotation="0" wrapText="true" indent="0" shrinkToFit="false"/>
      <protection locked="true" hidden="false"/>
    </xf>
    <xf numFmtId="164" fontId="14" fillId="6" borderId="5" xfId="0" applyFont="true" applyBorder="true" applyAlignment="true" applyProtection="false">
      <alignment horizontal="general" vertical="center" textRotation="0" wrapText="true" indent="0" shrinkToFit="false"/>
      <protection locked="true" hidden="false"/>
    </xf>
    <xf numFmtId="164" fontId="14" fillId="0" borderId="5" xfId="0" applyFont="true" applyBorder="true" applyAlignment="true" applyProtection="false">
      <alignment horizontal="center" vertical="center" textRotation="0" wrapText="true" indent="0" shrinkToFit="false"/>
      <protection locked="true" hidden="false"/>
    </xf>
    <xf numFmtId="164" fontId="14" fillId="0" borderId="5" xfId="0" applyFont="true" applyBorder="true" applyAlignment="true" applyProtection="false">
      <alignment horizontal="general" vertical="center" textRotation="0" wrapText="true" indent="0" shrinkToFit="false"/>
      <protection locked="true" hidden="false"/>
    </xf>
    <xf numFmtId="164" fontId="13" fillId="7" borderId="6" xfId="0" applyFont="true" applyBorder="true" applyAlignment="true" applyProtection="false">
      <alignment horizontal="general" vertical="center" textRotation="0" wrapText="true" indent="0" shrinkToFit="false"/>
      <protection locked="true" hidden="false"/>
    </xf>
    <xf numFmtId="164" fontId="16" fillId="0" borderId="5" xfId="20" applyFont="true" applyBorder="true" applyAlignment="true" applyProtection="true">
      <alignment horizontal="center" vertical="center" textRotation="0" wrapText="true" indent="0" shrinkToFit="false"/>
      <protection locked="true" hidden="false"/>
    </xf>
    <xf numFmtId="164" fontId="13" fillId="8" borderId="6" xfId="0" applyFont="true" applyBorder="true" applyAlignment="true" applyProtection="false">
      <alignment horizontal="general" vertical="center" textRotation="0" wrapText="true" indent="0" shrinkToFit="false"/>
      <protection locked="true" hidden="false"/>
    </xf>
    <xf numFmtId="164" fontId="16" fillId="6" borderId="5" xfId="20" applyFont="true" applyBorder="true" applyAlignment="true" applyProtection="true">
      <alignment horizontal="center" vertical="center" textRotation="0" wrapText="true" indent="0" shrinkToFit="false"/>
      <protection locked="true" hidden="false"/>
    </xf>
    <xf numFmtId="164" fontId="13" fillId="9" borderId="6" xfId="0" applyFont="true" applyBorder="true" applyAlignment="true" applyProtection="false">
      <alignment horizontal="general" vertical="center" textRotation="0" wrapText="true" indent="0" shrinkToFit="false"/>
      <protection locked="true" hidden="false"/>
    </xf>
    <xf numFmtId="164" fontId="13" fillId="10" borderId="7" xfId="0" applyFont="true" applyBorder="true" applyAlignment="true" applyProtection="false">
      <alignment horizontal="general" vertical="center" textRotation="0" wrapText="true" indent="0" shrinkToFit="false"/>
      <protection locked="true" hidden="false"/>
    </xf>
    <xf numFmtId="164" fontId="14" fillId="0" borderId="7" xfId="0" applyFont="true" applyBorder="true" applyAlignment="true" applyProtection="false">
      <alignment horizontal="center" vertical="center" textRotation="0" wrapText="true" indent="0" shrinkToFit="false"/>
      <protection locked="true" hidden="false"/>
    </xf>
    <xf numFmtId="164" fontId="14" fillId="0" borderId="7" xfId="0" applyFont="true" applyBorder="true" applyAlignment="true" applyProtection="false">
      <alignment horizontal="general" vertical="center" textRotation="0" wrapText="true" indent="0" shrinkToFit="false"/>
      <protection locked="true" hidden="false"/>
    </xf>
    <xf numFmtId="164" fontId="14" fillId="6" borderId="7" xfId="0" applyFont="true" applyBorder="true" applyAlignment="true" applyProtection="false">
      <alignment horizontal="center" vertical="center" textRotation="0" wrapText="true" indent="0" shrinkToFit="false"/>
      <protection locked="true" hidden="false"/>
    </xf>
    <xf numFmtId="164" fontId="14" fillId="6" borderId="7" xfId="0" applyFont="true" applyBorder="true" applyAlignment="true" applyProtection="false">
      <alignment horizontal="general" vertical="center" textRotation="0" wrapText="true" indent="0" shrinkToFit="false"/>
      <protection locked="true" hidden="false"/>
    </xf>
    <xf numFmtId="164" fontId="14" fillId="6" borderId="8" xfId="0" applyFont="true" applyBorder="true" applyAlignment="true" applyProtection="false">
      <alignment horizontal="center" vertical="center" textRotation="0" wrapText="true" indent="0" shrinkToFit="false"/>
      <protection locked="true" hidden="false"/>
    </xf>
    <xf numFmtId="164" fontId="13" fillId="11" borderId="6" xfId="0" applyFont="true" applyBorder="true" applyAlignment="true" applyProtection="false">
      <alignment horizontal="general" vertical="center" textRotation="0" wrapText="true" indent="0" shrinkToFit="false"/>
      <protection locked="true" hidden="false"/>
    </xf>
    <xf numFmtId="164" fontId="18" fillId="11" borderId="6" xfId="0" applyFont="true" applyBorder="true" applyAlignment="true" applyProtection="false">
      <alignment horizontal="general" vertical="center" textRotation="0" wrapText="true" indent="0" shrinkToFit="false"/>
      <protection locked="true" hidden="false"/>
    </xf>
    <xf numFmtId="164" fontId="13" fillId="12" borderId="6" xfId="0" applyFont="true" applyBorder="true" applyAlignment="true" applyProtection="false">
      <alignment horizontal="general" vertical="center" textRotation="0" wrapText="true" indent="0" shrinkToFit="false"/>
      <protection locked="true" hidden="false"/>
    </xf>
    <xf numFmtId="164" fontId="19" fillId="0" borderId="5" xfId="20" applyFont="true" applyBorder="true" applyAlignment="true" applyProtection="true">
      <alignment horizontal="center" vertical="center" textRotation="0" wrapText="true" indent="0" shrinkToFit="false"/>
      <protection locked="true" hidden="false"/>
    </xf>
    <xf numFmtId="164" fontId="13" fillId="13" borderId="6" xfId="0" applyFont="true" applyBorder="true" applyAlignment="true" applyProtection="false">
      <alignment horizontal="general" vertical="center" textRotation="0" wrapText="true" indent="0" shrinkToFit="false"/>
      <protection locked="true" hidden="false"/>
    </xf>
    <xf numFmtId="164" fontId="13" fillId="14" borderId="6" xfId="0" applyFont="true" applyBorder="true" applyAlignment="true" applyProtection="false">
      <alignment horizontal="general" vertical="center" textRotation="0" wrapText="true" indent="0" shrinkToFit="false"/>
      <protection locked="true" hidden="false"/>
    </xf>
    <xf numFmtId="164" fontId="17" fillId="6" borderId="5" xfId="0" applyFont="true" applyBorder="true" applyAlignment="true" applyProtection="false">
      <alignment horizontal="center" vertical="center" textRotation="0" wrapText="true" indent="0" shrinkToFit="false"/>
      <protection locked="true" hidden="false"/>
    </xf>
    <xf numFmtId="164" fontId="13" fillId="15" borderId="6" xfId="0" applyFont="true" applyBorder="true" applyAlignment="true" applyProtection="false">
      <alignment horizontal="general" vertical="center" textRotation="0" wrapText="true" indent="0" shrinkToFit="false"/>
      <protection locked="true" hidden="false"/>
    </xf>
    <xf numFmtId="164" fontId="13" fillId="16" borderId="6" xfId="0" applyFont="true" applyBorder="true" applyAlignment="true" applyProtection="false">
      <alignment horizontal="general" vertical="center" textRotation="0" wrapText="false" indent="0" shrinkToFit="false"/>
      <protection locked="true" hidden="false"/>
    </xf>
    <xf numFmtId="164" fontId="13" fillId="17" borderId="6" xfId="0" applyFont="true" applyBorder="true" applyAlignment="true" applyProtection="false">
      <alignment horizontal="general" vertical="center" textRotation="0" wrapText="false" indent="0" shrinkToFit="false"/>
      <protection locked="true" hidden="false"/>
    </xf>
    <xf numFmtId="164" fontId="20" fillId="18" borderId="6" xfId="0" applyFont="true" applyBorder="true" applyAlignment="true" applyProtection="false">
      <alignment horizontal="general" vertical="center" textRotation="0" wrapText="true" indent="0" shrinkToFit="false"/>
      <protection locked="true" hidden="false"/>
    </xf>
    <xf numFmtId="164" fontId="14" fillId="19" borderId="5" xfId="0" applyFont="true" applyBorder="true" applyAlignment="true" applyProtection="false">
      <alignment horizontal="center" vertical="center" textRotation="0" wrapText="true" indent="0" shrinkToFit="false"/>
      <protection locked="true" hidden="false"/>
    </xf>
    <xf numFmtId="164" fontId="14" fillId="19" borderId="5" xfId="0" applyFont="true" applyBorder="true" applyAlignment="true" applyProtection="false">
      <alignment horizontal="general" vertical="center" textRotation="0" wrapText="true" indent="0" shrinkToFit="false"/>
      <protection locked="true" hidden="false"/>
    </xf>
    <xf numFmtId="164" fontId="13" fillId="2" borderId="6" xfId="0" applyFont="true" applyBorder="true" applyAlignment="true" applyProtection="false">
      <alignment horizontal="general" vertical="center" textRotation="0" wrapText="true" indent="0" shrinkToFit="false"/>
      <protection locked="true" hidden="false"/>
    </xf>
    <xf numFmtId="164" fontId="13" fillId="20" borderId="6" xfId="0" applyFont="true" applyBorder="true" applyAlignment="true" applyProtection="false">
      <alignment horizontal="general" vertical="center" textRotation="0" wrapText="true" indent="0" shrinkToFit="false"/>
      <protection locked="true" hidden="false"/>
    </xf>
    <xf numFmtId="164" fontId="13" fillId="21" borderId="6" xfId="0" applyFont="true" applyBorder="true" applyAlignment="true" applyProtection="false">
      <alignment horizontal="general" vertical="center" textRotation="0" wrapText="true" indent="0" shrinkToFit="false"/>
      <protection locked="true" hidden="false"/>
    </xf>
    <xf numFmtId="164" fontId="13" fillId="22" borderId="6" xfId="0" applyFont="true" applyBorder="true" applyAlignment="true" applyProtection="false">
      <alignment horizontal="general" vertical="center" textRotation="0" wrapText="true" indent="0" shrinkToFit="false"/>
      <protection locked="true" hidden="false"/>
    </xf>
    <xf numFmtId="164" fontId="18" fillId="13" borderId="6" xfId="0" applyFont="true" applyBorder="true" applyAlignment="true" applyProtection="false">
      <alignment horizontal="general" vertical="center" textRotation="0" wrapText="true" indent="0" shrinkToFit="false"/>
      <protection locked="true" hidden="false"/>
    </xf>
    <xf numFmtId="164" fontId="21" fillId="6" borderId="5" xfId="0" applyFont="true" applyBorder="true" applyAlignment="true" applyProtection="false">
      <alignment horizontal="center" vertical="center" textRotation="0" wrapText="true" indent="0" shrinkToFit="false"/>
      <protection locked="true" hidden="false"/>
    </xf>
    <xf numFmtId="164" fontId="21" fillId="6" borderId="5" xfId="0" applyFont="true" applyBorder="true" applyAlignment="true" applyProtection="false">
      <alignment horizontal="general" vertical="center" textRotation="0" wrapText="true" indent="0" shrinkToFit="false"/>
      <protection locked="true" hidden="false"/>
    </xf>
    <xf numFmtId="164" fontId="18" fillId="2" borderId="6" xfId="0" applyFont="true" applyBorder="true" applyAlignment="true" applyProtection="false">
      <alignment horizontal="general" vertical="center" textRotation="0" wrapText="true" indent="0" shrinkToFit="false"/>
      <protection locked="true" hidden="false"/>
    </xf>
    <xf numFmtId="164" fontId="21" fillId="19" borderId="5" xfId="0" applyFont="true" applyBorder="true" applyAlignment="true" applyProtection="false">
      <alignment horizontal="center" vertical="center" textRotation="0" wrapText="true" indent="0" shrinkToFit="false"/>
      <protection locked="true" hidden="false"/>
    </xf>
    <xf numFmtId="164" fontId="21" fillId="19" borderId="5" xfId="0" applyFont="true" applyBorder="true" applyAlignment="true" applyProtection="false">
      <alignment horizontal="general" vertical="center" textRotation="0" wrapText="true" indent="0" shrinkToFit="false"/>
      <protection locked="true" hidden="false"/>
    </xf>
    <xf numFmtId="164" fontId="18" fillId="20" borderId="6" xfId="0" applyFont="true" applyBorder="true" applyAlignment="true" applyProtection="false">
      <alignment horizontal="general" vertical="center" textRotation="0" wrapText="true" indent="0" shrinkToFit="false"/>
      <protection locked="true" hidden="false"/>
    </xf>
    <xf numFmtId="164" fontId="18" fillId="21" borderId="6" xfId="0" applyFont="true" applyBorder="true" applyAlignment="true" applyProtection="false">
      <alignment horizontal="general" vertical="center" textRotation="0" wrapText="true" indent="0" shrinkToFit="false"/>
      <protection locked="true" hidden="false"/>
    </xf>
    <xf numFmtId="164" fontId="18" fillId="22" borderId="6"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22" fillId="23"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false" hidden="false"/>
    </xf>
    <xf numFmtId="164" fontId="22" fillId="24" borderId="0" xfId="0" applyFont="true" applyBorder="false" applyAlignment="false" applyProtection="true">
      <alignment horizontal="general" vertical="bottom" textRotation="0" wrapText="false" indent="0" shrinkToFit="false"/>
      <protection locked="false" hidden="false"/>
    </xf>
    <xf numFmtId="164" fontId="23" fillId="25" borderId="0" xfId="0" applyFont="true" applyBorder="false" applyAlignment="true" applyProtection="true">
      <alignment horizontal="general" vertical="center" textRotation="0" wrapText="fals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4" fontId="0" fillId="24" borderId="0" xfId="0" applyFont="true" applyBorder="false" applyAlignment="true" applyProtection="true">
      <alignment horizontal="general" vertical="center" textRotation="0" wrapText="false" indent="0" shrinkToFit="false"/>
      <protection locked="false" hidden="false"/>
    </xf>
    <xf numFmtId="164" fontId="0" fillId="26" borderId="0" xfId="0" applyFont="true" applyBorder="false" applyAlignment="true" applyProtection="true">
      <alignment horizontal="general" vertical="center" textRotation="0" wrapText="false" indent="0" shrinkToFit="false"/>
      <protection locked="true" hidden="false"/>
    </xf>
    <xf numFmtId="164" fontId="0" fillId="17" borderId="0" xfId="0" applyFont="true" applyBorder="false" applyAlignment="true" applyProtection="true">
      <alignment horizontal="general" vertical="center" textRotation="0" wrapText="true" indent="0" shrinkToFit="false"/>
      <protection locked="false" hidden="false"/>
    </xf>
    <xf numFmtId="164" fontId="0" fillId="27" borderId="0" xfId="0" applyFont="true" applyBorder="false" applyAlignment="true" applyProtection="true">
      <alignment horizontal="general" vertical="center" textRotation="0" wrapText="true" indent="0" shrinkToFit="false"/>
      <protection locked="fals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24" fillId="0" borderId="0" xfId="0" applyFont="true" applyBorder="false" applyAlignment="true" applyProtection="true">
      <alignment horizontal="center" vertical="bottom" textRotation="0" wrapText="false" indent="0" shrinkToFit="false"/>
      <protection locked="false" hidden="false"/>
    </xf>
    <xf numFmtId="164" fontId="25" fillId="0" borderId="0" xfId="0" applyFont="true" applyBorder="false" applyAlignment="true" applyProtection="true">
      <alignment horizontal="center" vertical="bottom" textRotation="0" wrapText="false" indent="0" shrinkToFit="false"/>
      <protection locked="false" hidden="false"/>
    </xf>
    <xf numFmtId="164" fontId="0" fillId="0" borderId="0" xfId="0" applyFont="false" applyBorder="true" applyAlignment="true" applyProtection="false">
      <alignment horizontal="left"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right" vertical="bottom" textRotation="0" wrapText="true" indent="0" shrinkToFit="false"/>
      <protection locked="true" hidden="false"/>
    </xf>
    <xf numFmtId="166" fontId="0" fillId="3" borderId="1" xfId="0" applyFont="true" applyBorder="true" applyAlignment="true" applyProtection="false">
      <alignment horizontal="general" vertical="bottom" textRotation="0" wrapText="true" indent="0" shrinkToFit="false"/>
      <protection locked="true" hidden="false"/>
    </xf>
    <xf numFmtId="168" fontId="0" fillId="0" borderId="0" xfId="15" applyFont="true" applyBorder="true" applyAlignment="true" applyProtection="true">
      <alignment horizontal="left" vertical="bottom" textRotation="0" wrapText="true" indent="0" shrinkToFit="false"/>
      <protection locked="true" hidden="false"/>
    </xf>
    <xf numFmtId="164" fontId="27" fillId="0" borderId="0" xfId="0" applyFont="true" applyBorder="false" applyAlignment="true" applyProtection="false">
      <alignment horizontal="center" vertical="bottom" textRotation="0" wrapText="true" indent="0" shrinkToFit="false"/>
      <protection locked="true" hidden="false"/>
    </xf>
    <xf numFmtId="164" fontId="22" fillId="26" borderId="1" xfId="0" applyFont="true" applyBorder="true" applyAlignment="true" applyProtection="false">
      <alignment horizontal="center" vertical="center" textRotation="0" wrapText="true" indent="0" shrinkToFit="false"/>
      <protection locked="true" hidden="false"/>
    </xf>
    <xf numFmtId="169" fontId="0" fillId="0" borderId="1" xfId="0" applyFont="fals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6" fontId="0" fillId="3" borderId="1"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64" fontId="22" fillId="16" borderId="1" xfId="0" applyFont="tru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70" fontId="0" fillId="0" borderId="0" xfId="15" applyFont="true" applyBorder="true" applyAlignment="true" applyProtection="true">
      <alignment horizontal="center" vertical="top" textRotation="0" wrapText="false" indent="0" shrinkToFit="false"/>
      <protection locked="true" hidden="false"/>
    </xf>
    <xf numFmtId="164" fontId="22" fillId="17" borderId="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2" fillId="2" borderId="9" xfId="0" applyFont="true" applyBorder="true" applyAlignment="true" applyProtection="false">
      <alignment horizontal="general" vertical="center" textRotation="0" wrapText="false" indent="0" shrinkToFit="false"/>
      <protection locked="true" hidden="false"/>
    </xf>
    <xf numFmtId="169" fontId="5"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7" fillId="7" borderId="0" xfId="0" applyFont="true" applyBorder="false" applyAlignment="true" applyProtection="false">
      <alignment horizontal="general" vertical="top" textRotation="0" wrapText="true" indent="0" shrinkToFit="false"/>
      <protection locked="true" hidden="false"/>
    </xf>
    <xf numFmtId="164" fontId="22" fillId="7" borderId="0" xfId="0" applyFont="true" applyBorder="true" applyAlignment="true" applyProtection="false">
      <alignment horizontal="general" vertical="top" textRotation="0" wrapText="true" indent="0" shrinkToFit="false"/>
      <protection locked="true" hidden="false"/>
    </xf>
    <xf numFmtId="164" fontId="27" fillId="28" borderId="0" xfId="0" applyFont="true" applyBorder="false" applyAlignment="true" applyProtection="false">
      <alignment horizontal="general" vertical="top" textRotation="0" wrapText="true" indent="0" shrinkToFit="false"/>
      <protection locked="true" hidden="false"/>
    </xf>
    <xf numFmtId="164" fontId="27" fillId="9" borderId="0" xfId="0" applyFont="true" applyBorder="false" applyAlignment="true" applyProtection="false">
      <alignment horizontal="general" vertical="top" textRotation="0" wrapText="true" indent="0" shrinkToFit="false"/>
      <protection locked="true" hidden="false"/>
    </xf>
    <xf numFmtId="164" fontId="22" fillId="29" borderId="0" xfId="0" applyFont="true" applyBorder="false" applyAlignment="true" applyProtection="false">
      <alignment horizontal="general" vertical="top" textRotation="0" wrapText="true" indent="0" shrinkToFit="false"/>
      <protection locked="true" hidden="false"/>
    </xf>
    <xf numFmtId="164" fontId="27" fillId="11" borderId="0" xfId="0" applyFont="true" applyBorder="false" applyAlignment="true" applyProtection="false">
      <alignment horizontal="general" vertical="top" textRotation="0" wrapText="true" indent="0" shrinkToFit="false"/>
      <protection locked="true" hidden="false"/>
    </xf>
    <xf numFmtId="164" fontId="28" fillId="11" borderId="0" xfId="0" applyFont="true" applyBorder="false" applyAlignment="true" applyProtection="false">
      <alignment horizontal="general" vertical="top" textRotation="0" wrapText="true" indent="0" shrinkToFit="false"/>
      <protection locked="true" hidden="false"/>
    </xf>
    <xf numFmtId="164" fontId="27" fillId="12" borderId="0" xfId="0" applyFont="true" applyBorder="false" applyAlignment="true" applyProtection="false">
      <alignment horizontal="general" vertical="top" textRotation="0" wrapText="true" indent="0" shrinkToFit="false"/>
      <protection locked="true" hidden="false"/>
    </xf>
    <xf numFmtId="164" fontId="27" fillId="13" borderId="0" xfId="0" applyFont="true" applyBorder="false" applyAlignment="true" applyProtection="false">
      <alignment horizontal="general" vertical="top" textRotation="0" wrapText="true" indent="0" shrinkToFit="false"/>
      <protection locked="true" hidden="false"/>
    </xf>
    <xf numFmtId="164" fontId="27" fillId="14" borderId="0" xfId="0" applyFont="true" applyBorder="false" applyAlignment="true" applyProtection="false">
      <alignment horizontal="general" vertical="top" textRotation="0" wrapText="true" indent="0" shrinkToFit="false"/>
      <protection locked="true" hidden="false"/>
    </xf>
    <xf numFmtId="164" fontId="27" fillId="14" borderId="10" xfId="0" applyFont="true" applyBorder="true" applyAlignment="true" applyProtection="false">
      <alignment horizontal="general" vertical="top" textRotation="0" wrapText="true" indent="0" shrinkToFit="false"/>
      <protection locked="true" hidden="false"/>
    </xf>
    <xf numFmtId="164" fontId="27" fillId="30" borderId="0" xfId="0" applyFont="true" applyBorder="false" applyAlignment="true" applyProtection="false">
      <alignment horizontal="general" vertical="top" textRotation="0" wrapText="true" indent="0" shrinkToFit="false"/>
      <protection locked="true" hidden="false"/>
    </xf>
    <xf numFmtId="164" fontId="22" fillId="16" borderId="1" xfId="0" applyFont="true" applyBorder="true" applyAlignment="true" applyProtection="false">
      <alignment horizontal="center" vertical="top" textRotation="0" wrapText="false" indent="0" shrinkToFit="false"/>
      <protection locked="true" hidden="false"/>
    </xf>
    <xf numFmtId="164" fontId="22" fillId="17" borderId="1" xfId="0" applyFont="true" applyBorder="true" applyAlignment="true" applyProtection="false">
      <alignment horizontal="center" vertical="top" textRotation="0" wrapText="false" indent="0" shrinkToFit="false"/>
      <protection locked="true" hidden="false"/>
    </xf>
    <xf numFmtId="164" fontId="29" fillId="18" borderId="0" xfId="0" applyFont="true" applyBorder="true" applyAlignment="true" applyProtection="false">
      <alignment horizontal="center" vertical="top" textRotation="0" wrapText="true" indent="0" shrinkToFit="false"/>
      <protection locked="true" hidden="false"/>
    </xf>
    <xf numFmtId="164" fontId="30" fillId="18" borderId="0" xfId="0" applyFont="true" applyBorder="true" applyAlignment="true" applyProtection="false">
      <alignment horizontal="center" vertical="top" textRotation="0" wrapText="true" indent="0" shrinkToFit="false"/>
      <protection locked="true" hidden="false"/>
    </xf>
    <xf numFmtId="164" fontId="31" fillId="13" borderId="0" xfId="0" applyFont="true" applyBorder="true" applyAlignment="true" applyProtection="false">
      <alignment horizontal="general" vertical="top" textRotation="0" wrapText="true" indent="0" shrinkToFit="false"/>
      <protection locked="true" hidden="false"/>
    </xf>
    <xf numFmtId="164" fontId="27" fillId="2" borderId="0" xfId="0" applyFont="true" applyBorder="true" applyAlignment="true" applyProtection="false">
      <alignment horizontal="center" vertical="top" textRotation="0" wrapText="true" indent="0" shrinkToFit="false"/>
      <protection locked="true" hidden="false"/>
    </xf>
    <xf numFmtId="164" fontId="27" fillId="31" borderId="0" xfId="0" applyFont="true" applyBorder="true" applyAlignment="true" applyProtection="false">
      <alignment horizontal="center" vertical="top" textRotation="0" wrapText="true" indent="0" shrinkToFit="false"/>
      <protection locked="true" hidden="false"/>
    </xf>
    <xf numFmtId="164" fontId="27" fillId="32" borderId="0" xfId="0" applyFont="true" applyBorder="true" applyAlignment="true" applyProtection="false">
      <alignment horizontal="center" vertical="top" textRotation="0" wrapText="true" indent="0" shrinkToFit="false"/>
      <protection locked="true" hidden="false"/>
    </xf>
    <xf numFmtId="164" fontId="27" fillId="22" borderId="11" xfId="0" applyFont="true" applyBorder="true" applyAlignment="true" applyProtection="false">
      <alignment horizontal="center" vertical="top" textRotation="0" wrapText="true" indent="0" shrinkToFit="false"/>
      <protection locked="true" hidden="false"/>
    </xf>
    <xf numFmtId="164" fontId="32" fillId="13" borderId="12" xfId="0" applyFont="true" applyBorder="true" applyAlignment="true" applyProtection="false">
      <alignment horizontal="general" vertical="top" textRotation="0" wrapText="true" indent="0" shrinkToFit="false"/>
      <protection locked="true" hidden="false"/>
    </xf>
    <xf numFmtId="164" fontId="28" fillId="2" borderId="0" xfId="0" applyFont="true" applyBorder="true" applyAlignment="true" applyProtection="false">
      <alignment horizontal="center" vertical="top" textRotation="0" wrapText="true" indent="0" shrinkToFit="false"/>
      <protection locked="true" hidden="false"/>
    </xf>
    <xf numFmtId="164" fontId="28" fillId="31" borderId="0" xfId="0" applyFont="true" applyBorder="true" applyAlignment="true" applyProtection="false">
      <alignment horizontal="center" vertical="top" textRotation="0" wrapText="true" indent="0" shrinkToFit="false"/>
      <protection locked="true" hidden="false"/>
    </xf>
    <xf numFmtId="164" fontId="28" fillId="32" borderId="0" xfId="0" applyFont="true" applyBorder="true" applyAlignment="true" applyProtection="false">
      <alignment horizontal="center" vertical="top" textRotation="0" wrapText="true" indent="0" shrinkToFit="false"/>
      <protection locked="true" hidden="false"/>
    </xf>
    <xf numFmtId="164" fontId="28" fillId="22" borderId="11" xfId="0" applyFont="true" applyBorder="true" applyAlignment="true" applyProtection="false">
      <alignment horizontal="center" vertical="top" textRotation="0" wrapText="true" indent="0" shrinkToFit="false"/>
      <protection locked="true" hidden="false"/>
    </xf>
    <xf numFmtId="164" fontId="27" fillId="33" borderId="0" xfId="0" applyFont="true" applyBorder="false" applyAlignment="true" applyProtection="false">
      <alignment horizontal="center" vertical="center" textRotation="0" wrapText="tru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34" fillId="0" borderId="0" xfId="0" applyFont="true" applyBorder="false" applyAlignment="false" applyProtection="false">
      <alignment horizontal="general" vertical="bottom" textRotation="0" wrapText="false" indent="0" shrinkToFit="false"/>
      <protection locked="true" hidden="false"/>
    </xf>
    <xf numFmtId="166" fontId="35" fillId="0" borderId="0" xfId="0" applyFont="true" applyBorder="false" applyAlignment="false" applyProtection="false">
      <alignment horizontal="general" vertical="bottom" textRotation="0" wrapText="false" indent="0" shrinkToFit="false"/>
      <protection locked="true" hidden="false"/>
    </xf>
    <xf numFmtId="165" fontId="0" fillId="0" borderId="0" xfId="19" applyFont="true" applyBorder="true" applyAlignment="true" applyProtection="tru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10" xfId="0" applyFont="false" applyBorder="true" applyAlignment="false" applyProtection="false">
      <alignment horizontal="general" vertical="bottom" textRotation="0" wrapText="false" indent="0" shrinkToFit="false"/>
      <protection locked="true" hidden="false"/>
    </xf>
    <xf numFmtId="166" fontId="0" fillId="34" borderId="0" xfId="0" applyFont="false" applyBorder="false" applyAlignment="false" applyProtection="false">
      <alignment horizontal="general" vertical="bottom" textRotation="0" wrapText="false" indent="0" shrinkToFit="false"/>
      <protection locked="true" hidden="false"/>
    </xf>
    <xf numFmtId="165" fontId="0" fillId="34" borderId="0" xfId="19" applyFont="true" applyBorder="true" applyAlignment="true" applyProtection="true">
      <alignment horizontal="center" vertical="bottom" textRotation="0" wrapText="false" indent="0" shrinkToFit="false"/>
      <protection locked="true" hidden="false"/>
    </xf>
    <xf numFmtId="171" fontId="0" fillId="34" borderId="0" xfId="0" applyFont="false" applyBorder="true" applyAlignment="false" applyProtection="false">
      <alignment horizontal="general" vertical="bottom" textRotation="0" wrapText="false" indent="0" shrinkToFit="false"/>
      <protection locked="true" hidden="false"/>
    </xf>
    <xf numFmtId="171" fontId="26" fillId="34" borderId="0" xfId="0" applyFont="true" applyBorder="true" applyAlignment="false" applyProtection="false">
      <alignment horizontal="general" vertical="bottom" textRotation="0" wrapText="false" indent="0" shrinkToFit="false"/>
      <protection locked="true" hidden="false"/>
    </xf>
    <xf numFmtId="171" fontId="0" fillId="34" borderId="0" xfId="0" applyFont="false" applyBorder="false" applyAlignment="true" applyProtection="false">
      <alignment horizontal="center" vertical="bottom" textRotation="0" wrapText="false" indent="0" shrinkToFit="false"/>
      <protection locked="true" hidden="false"/>
    </xf>
    <xf numFmtId="171" fontId="0" fillId="34" borderId="0" xfId="0" applyFont="false" applyBorder="false" applyAlignment="false" applyProtection="false">
      <alignment horizontal="general" vertical="bottom" textRotation="0" wrapText="false" indent="0" shrinkToFit="false"/>
      <protection locked="true" hidden="false"/>
    </xf>
    <xf numFmtId="164" fontId="38"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38"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22" fillId="8" borderId="2" xfId="0" applyFont="true" applyBorder="true" applyAlignment="true" applyProtection="false">
      <alignment horizontal="left"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2" fillId="35" borderId="13" xfId="0" applyFont="true" applyBorder="true" applyAlignment="true" applyProtection="false">
      <alignment horizontal="center" vertical="center" textRotation="0" wrapText="false" indent="0" shrinkToFit="false"/>
      <protection locked="true" hidden="false"/>
    </xf>
    <xf numFmtId="164" fontId="22" fillId="36" borderId="0" xfId="0" applyFont="true" applyBorder="true" applyAlignment="true" applyProtection="false">
      <alignment horizontal="center" vertical="center" textRotation="0" wrapText="false" indent="0" shrinkToFit="false"/>
      <protection locked="true" hidden="false"/>
    </xf>
    <xf numFmtId="164" fontId="13" fillId="0" borderId="0" xfId="21"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0" fillId="8" borderId="14" xfId="24" applyFont="true" applyBorder="true" applyAlignment="true" applyProtection="true">
      <alignment horizontal="center" vertical="center" textRotation="0" wrapText="true" indent="0" shrinkToFit="false"/>
      <protection locked="true" hidden="false"/>
    </xf>
    <xf numFmtId="164" fontId="40" fillId="8" borderId="0" xfId="24" applyFont="true" applyBorder="true" applyAlignment="true" applyProtection="true">
      <alignment horizontal="center" vertical="center" textRotation="0" wrapText="true" indent="0" shrinkToFit="false"/>
      <protection locked="true" hidden="false"/>
    </xf>
    <xf numFmtId="164" fontId="41" fillId="35" borderId="0" xfId="0" applyFont="true" applyBorder="false" applyAlignment="true" applyProtection="false">
      <alignment horizontal="center" vertical="center" textRotation="0" wrapText="true" indent="0" shrinkToFit="false"/>
      <protection locked="true" hidden="false"/>
    </xf>
    <xf numFmtId="164" fontId="42" fillId="35" borderId="0" xfId="0" applyFont="true" applyBorder="false" applyAlignment="true" applyProtection="false">
      <alignment horizontal="center" vertical="center" textRotation="0" wrapText="true" indent="0" shrinkToFit="false"/>
      <protection locked="true" hidden="false"/>
    </xf>
    <xf numFmtId="164" fontId="40" fillId="35" borderId="0" xfId="0" applyFont="true" applyBorder="true" applyAlignment="true" applyProtection="false">
      <alignment horizontal="left" vertical="bottom" textRotation="0" wrapText="true" indent="0" shrinkToFit="false"/>
      <protection locked="true" hidden="false"/>
    </xf>
    <xf numFmtId="164" fontId="40" fillId="35" borderId="0" xfId="0" applyFont="true" applyBorder="true" applyAlignment="false" applyProtection="false">
      <alignment horizontal="general" vertical="bottom" textRotation="0" wrapText="false" indent="0" shrinkToFit="false"/>
      <protection locked="true" hidden="false"/>
    </xf>
    <xf numFmtId="164" fontId="43" fillId="36" borderId="0" xfId="24" applyFont="true" applyBorder="true" applyAlignment="true" applyProtection="true">
      <alignment horizontal="center" vertical="center" textRotation="0" wrapText="true" indent="0" shrinkToFit="false"/>
      <protection locked="true" hidden="false"/>
    </xf>
    <xf numFmtId="164" fontId="41" fillId="0" borderId="0" xfId="0" applyFont="true" applyBorder="true" applyAlignment="true" applyProtection="false">
      <alignment horizontal="left" vertical="bottom" textRotation="0" wrapText="false" indent="0" shrinkToFit="false"/>
      <protection locked="true" hidden="false"/>
    </xf>
    <xf numFmtId="164" fontId="42"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center" textRotation="0" wrapText="false" indent="0" shrinkToFit="false"/>
      <protection locked="true" hidden="false"/>
    </xf>
    <xf numFmtId="169" fontId="46" fillId="0" borderId="0" xfId="0" applyFont="true" applyBorder="true" applyAlignment="true" applyProtection="false">
      <alignment horizontal="left" vertical="bottom" textRotation="0" wrapText="false" indent="0" shrinkToFit="false"/>
      <protection locked="true" hidden="false"/>
    </xf>
    <xf numFmtId="164" fontId="47" fillId="0" borderId="0"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tru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49" fillId="0" borderId="0" xfId="0" applyFont="true" applyBorder="true" applyAlignment="true" applyProtection="false">
      <alignment horizontal="left" vertical="top" textRotation="0" wrapText="false" indent="0" shrinkToFit="false"/>
      <protection locked="true" hidden="false"/>
    </xf>
    <xf numFmtId="164" fontId="0" fillId="0" borderId="0" xfId="0" applyFont="true" applyBorder="true" applyAlignment="true" applyProtection="false">
      <alignment horizontal="left" vertical="top" textRotation="0" wrapText="false" indent="0" shrinkToFit="false"/>
      <protection locked="true" hidden="false"/>
    </xf>
    <xf numFmtId="166" fontId="47" fillId="0" borderId="0" xfId="0" applyFont="true" applyBorder="false" applyAlignment="false" applyProtection="false">
      <alignment horizontal="general" vertical="bottom" textRotation="0" wrapText="false" indent="0" shrinkToFit="false"/>
      <protection locked="true" hidden="false"/>
    </xf>
    <xf numFmtId="169" fontId="47" fillId="0" borderId="0" xfId="0" applyFont="true" applyBorder="false" applyAlignment="true" applyProtection="false">
      <alignment horizontal="left" vertical="bottom" textRotation="0" wrapText="false" indent="0" shrinkToFit="false"/>
      <protection locked="true" hidden="false"/>
    </xf>
    <xf numFmtId="164" fontId="49" fillId="0" borderId="0" xfId="0" applyFont="true" applyBorder="true" applyAlignment="true" applyProtection="false">
      <alignment horizontal="left" vertical="bottom" textRotation="0" wrapText="false" indent="0" shrinkToFit="false"/>
      <protection locked="true" hidden="false"/>
    </xf>
    <xf numFmtId="166" fontId="0" fillId="0" borderId="0" xfId="0" applyFont="true" applyBorder="true" applyAlignment="true" applyProtection="false">
      <alignment horizontal="general"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top" textRotation="0" wrapText="true" indent="0" shrinkToFit="false"/>
      <protection locked="true" hidden="false"/>
    </xf>
    <xf numFmtId="164" fontId="4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47" fillId="0" borderId="0" xfId="0" applyFont="true" applyBorder="true" applyAlignment="true" applyProtection="false">
      <alignment horizontal="center" vertical="center" textRotation="0" wrapText="false" indent="0" shrinkToFit="false"/>
      <protection locked="true" hidden="false"/>
    </xf>
    <xf numFmtId="164" fontId="50" fillId="37" borderId="0" xfId="0" applyFont="true" applyBorder="true" applyAlignment="true" applyProtection="false">
      <alignment horizontal="center" vertical="center" textRotation="0" wrapText="true" indent="0" shrinkToFit="false"/>
      <protection locked="true" hidden="false"/>
    </xf>
    <xf numFmtId="164" fontId="51" fillId="13" borderId="0" xfId="0" applyFont="true" applyBorder="true" applyAlignment="true" applyProtection="false">
      <alignment horizontal="center" vertical="center" textRotation="0" wrapText="true" indent="0" shrinkToFit="false"/>
      <protection locked="true" hidden="false"/>
    </xf>
    <xf numFmtId="169" fontId="47" fillId="7" borderId="0" xfId="0" applyFont="true" applyBorder="true" applyAlignment="true" applyProtection="false">
      <alignment horizontal="center" vertical="center" textRotation="0" wrapText="true" indent="0" shrinkToFit="false"/>
      <protection locked="true" hidden="false"/>
    </xf>
    <xf numFmtId="164" fontId="50" fillId="2" borderId="0" xfId="0" applyFont="true" applyBorder="true" applyAlignment="true" applyProtection="false">
      <alignment horizontal="center" vertical="top" textRotation="0" wrapText="true" indent="0" shrinkToFit="false"/>
      <protection locked="true" hidden="false"/>
    </xf>
    <xf numFmtId="164" fontId="50" fillId="38" borderId="0" xfId="0" applyFont="true" applyBorder="true" applyAlignment="true" applyProtection="false">
      <alignment horizontal="center" vertical="top" textRotation="0" wrapText="true" indent="0" shrinkToFit="false"/>
      <protection locked="true" hidden="false"/>
    </xf>
    <xf numFmtId="169" fontId="47" fillId="39" borderId="0" xfId="0" applyFont="true" applyBorder="true" applyAlignment="true" applyProtection="false">
      <alignment horizontal="center" vertical="center" textRotation="0" wrapText="true" indent="0" shrinkToFit="false"/>
      <protection locked="true" hidden="false"/>
    </xf>
    <xf numFmtId="164" fontId="50" fillId="40" borderId="2" xfId="0" applyFont="true" applyBorder="true" applyAlignment="true" applyProtection="false">
      <alignment horizontal="center" vertical="top" textRotation="0" wrapText="true" indent="0" shrinkToFit="false"/>
      <protection locked="true" hidden="false"/>
    </xf>
    <xf numFmtId="164" fontId="50" fillId="27" borderId="0" xfId="0" applyFont="true" applyBorder="true" applyAlignment="true" applyProtection="false">
      <alignment horizontal="center" vertical="top" textRotation="0" wrapText="tru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50" fillId="0" borderId="15" xfId="0" applyFont="true" applyBorder="true" applyAlignment="true" applyProtection="false">
      <alignment horizontal="right" vertical="center" textRotation="0" wrapText="false" indent="0" shrinkToFit="false"/>
      <protection locked="true" hidden="false"/>
    </xf>
    <xf numFmtId="164" fontId="47" fillId="0" borderId="15" xfId="0" applyFont="true" applyBorder="true" applyAlignment="true" applyProtection="false">
      <alignment horizontal="general" vertical="center" textRotation="0" wrapText="false" indent="0" shrinkToFit="false"/>
      <protection locked="true" hidden="false"/>
    </xf>
    <xf numFmtId="164" fontId="50" fillId="0" borderId="15" xfId="0" applyFont="true" applyBorder="true" applyAlignment="true" applyProtection="false">
      <alignment horizontal="center" vertical="center" textRotation="0" wrapText="true" indent="0" shrinkToFit="false"/>
      <protection locked="true" hidden="false"/>
    </xf>
    <xf numFmtId="165" fontId="50" fillId="41" borderId="15" xfId="0" applyFont="true" applyBorder="true" applyAlignment="true" applyProtection="false">
      <alignment horizontal="general" vertical="center" textRotation="0" wrapText="false" indent="0" shrinkToFit="false"/>
      <protection locked="true" hidden="false"/>
    </xf>
    <xf numFmtId="165" fontId="52" fillId="42" borderId="15" xfId="19" applyFont="true" applyBorder="true" applyAlignment="true" applyProtection="true">
      <alignment horizontal="center" vertical="bottom" textRotation="0" wrapText="false" indent="0" shrinkToFit="false"/>
      <protection locked="true" hidden="false"/>
    </xf>
    <xf numFmtId="165" fontId="52" fillId="42" borderId="15" xfId="0" applyFont="true" applyBorder="true" applyAlignment="false" applyProtection="false">
      <alignment horizontal="general" vertical="bottom" textRotation="0" wrapText="false" indent="0" shrinkToFit="false"/>
      <protection locked="true" hidden="false"/>
    </xf>
    <xf numFmtId="165" fontId="52" fillId="42" borderId="15" xfId="0" applyFont="true" applyBorder="true" applyAlignment="true" applyProtection="false">
      <alignment horizontal="center" vertical="center" textRotation="0" wrapText="true" indent="0" shrinkToFit="false"/>
      <protection locked="true" hidden="false"/>
    </xf>
    <xf numFmtId="165" fontId="52" fillId="42" borderId="15" xfId="0" applyFont="true" applyBorder="true" applyAlignment="true" applyProtection="false">
      <alignment horizontal="general" vertical="center" textRotation="0" wrapText="true" indent="0" shrinkToFit="false"/>
      <protection locked="true" hidden="false"/>
    </xf>
    <xf numFmtId="165" fontId="50" fillId="43" borderId="15" xfId="0" applyFont="true" applyBorder="true" applyAlignment="true" applyProtection="false">
      <alignment horizontal="general" vertical="center" textRotation="0" wrapText="false" indent="0" shrinkToFit="false"/>
      <protection locked="true" hidden="false"/>
    </xf>
    <xf numFmtId="165" fontId="50" fillId="44" borderId="15" xfId="0" applyFont="true" applyBorder="true" applyAlignment="true" applyProtection="false">
      <alignment horizontal="general" vertical="center" textRotation="0" wrapText="false" indent="0" shrinkToFit="false"/>
      <protection locked="true" hidden="false"/>
    </xf>
    <xf numFmtId="165" fontId="52" fillId="45" borderId="15" xfId="0" applyFont="true" applyBorder="true" applyAlignment="true" applyProtection="false">
      <alignment horizontal="general" vertical="center" textRotation="0" wrapText="true" indent="0" shrinkToFit="false"/>
      <protection locked="true" hidden="false"/>
    </xf>
    <xf numFmtId="165" fontId="50" fillId="26" borderId="15" xfId="0" applyFont="true" applyBorder="true" applyAlignment="false" applyProtection="false">
      <alignment horizontal="general" vertical="bottom" textRotation="0" wrapText="false" indent="0" shrinkToFit="false"/>
      <protection locked="true" hidden="false"/>
    </xf>
    <xf numFmtId="165" fontId="51" fillId="24" borderId="15" xfId="0" applyFont="true" applyBorder="tru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right" vertical="center" textRotation="0" wrapText="false" indent="0" shrinkToFit="false"/>
      <protection locked="true" hidden="false"/>
    </xf>
    <xf numFmtId="169" fontId="47" fillId="0" borderId="0" xfId="0" applyFont="true" applyBorder="false" applyAlignment="true" applyProtection="false">
      <alignment horizontal="center" vertical="center" textRotation="0" wrapText="false" indent="0" shrinkToFit="false"/>
      <protection locked="true" hidden="false"/>
    </xf>
    <xf numFmtId="169" fontId="47" fillId="0" borderId="0" xfId="0" applyFont="true" applyBorder="false" applyAlignment="true" applyProtection="false">
      <alignment horizontal="center" vertical="center" textRotation="0" wrapText="true" indent="0" shrinkToFit="false"/>
      <protection locked="true" hidden="false"/>
    </xf>
    <xf numFmtId="171" fontId="47" fillId="41" borderId="0" xfId="0" applyFont="true" applyBorder="false" applyAlignment="true" applyProtection="false">
      <alignment horizontal="right" vertical="center" textRotation="0" wrapText="false" indent="0" shrinkToFit="false"/>
      <protection locked="true" hidden="false"/>
    </xf>
    <xf numFmtId="171" fontId="52" fillId="42" borderId="0" xfId="0" applyFont="true" applyBorder="false" applyAlignment="true" applyProtection="false">
      <alignment horizontal="right" vertical="center" textRotation="0" wrapText="false" indent="0" shrinkToFit="false"/>
      <protection locked="true" hidden="false"/>
    </xf>
    <xf numFmtId="171" fontId="47" fillId="43" borderId="0" xfId="0" applyFont="true" applyBorder="false" applyAlignment="true" applyProtection="false">
      <alignment horizontal="right" vertical="center" textRotation="0" wrapText="false" indent="0" shrinkToFit="false"/>
      <protection locked="true" hidden="false"/>
    </xf>
    <xf numFmtId="171" fontId="50" fillId="44" borderId="0" xfId="0" applyFont="true" applyBorder="false" applyAlignment="true" applyProtection="false">
      <alignment horizontal="right" vertical="center" textRotation="0" wrapText="false" indent="0" shrinkToFit="false"/>
      <protection locked="true" hidden="false"/>
    </xf>
    <xf numFmtId="171" fontId="47" fillId="6" borderId="0" xfId="0" applyFont="true" applyBorder="false" applyAlignment="true" applyProtection="false">
      <alignment horizontal="right" vertical="center" textRotation="0" wrapText="true" indent="15" shrinkToFit="false"/>
      <protection locked="true" hidden="false"/>
    </xf>
    <xf numFmtId="171" fontId="47" fillId="26" borderId="0" xfId="0" applyFont="true" applyBorder="false" applyAlignment="true" applyProtection="false">
      <alignment horizontal="right" vertical="center" textRotation="0" wrapText="false" indent="0" shrinkToFit="false"/>
      <protection locked="true" hidden="false"/>
    </xf>
    <xf numFmtId="171" fontId="50" fillId="24" borderId="0" xfId="0" applyFont="true" applyBorder="false" applyAlignment="true" applyProtection="false">
      <alignment horizontal="right" vertical="center" textRotation="0" wrapText="false" indent="0" shrinkToFit="false"/>
      <protection locked="true" hidden="false"/>
    </xf>
    <xf numFmtId="164" fontId="52" fillId="0" borderId="0" xfId="0" applyFont="true" applyBorder="false" applyAlignment="true" applyProtection="false">
      <alignment horizontal="center" vertical="center" textRotation="0" wrapText="true" indent="0" shrinkToFit="false"/>
      <protection locked="true" hidden="false"/>
    </xf>
    <xf numFmtId="164" fontId="52" fillId="0" borderId="0" xfId="0" applyFont="true" applyBorder="false" applyAlignment="true" applyProtection="false">
      <alignment horizontal="general" vertical="center" textRotation="0" wrapText="tru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9" fontId="55" fillId="0" borderId="0" xfId="0" applyFont="true" applyBorder="true" applyAlignment="true" applyProtection="false">
      <alignment horizontal="left" vertical="bottom" textRotation="0" wrapText="false" indent="0" shrinkToFit="false"/>
      <protection locked="true" hidden="false"/>
    </xf>
    <xf numFmtId="164" fontId="55" fillId="0" borderId="0" xfId="0" applyFont="true" applyBorder="tru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true" applyAlignment="true" applyProtection="false">
      <alignment horizontal="left" vertical="top" textRotation="0" wrapText="false" indent="0" shrinkToFit="false"/>
      <protection locked="true" hidden="false"/>
    </xf>
    <xf numFmtId="166" fontId="57" fillId="0" borderId="0" xfId="0" applyFont="true" applyBorder="false" applyAlignment="false" applyProtection="false">
      <alignment horizontal="general" vertical="bottom" textRotation="0" wrapText="false" indent="0" shrinkToFit="false"/>
      <protection locked="true" hidden="false"/>
    </xf>
    <xf numFmtId="169" fontId="57" fillId="0" borderId="0" xfId="0" applyFont="true" applyBorder="false" applyAlignment="true" applyProtection="false">
      <alignment horizontal="left" vertical="bottom" textRotation="0" wrapText="false" indent="0" shrinkToFit="false"/>
      <protection locked="true" hidden="false"/>
    </xf>
    <xf numFmtId="164" fontId="57" fillId="0" borderId="0" xfId="0" applyFont="true" applyBorder="true" applyAlignment="true" applyProtection="false">
      <alignment horizontal="left" vertical="bottom" textRotation="0" wrapText="false" indent="0" shrinkToFit="false"/>
      <protection locked="true" hidden="false"/>
    </xf>
    <xf numFmtId="164" fontId="57" fillId="0" borderId="0" xfId="0" applyFont="true" applyBorder="true" applyAlignment="true" applyProtection="false">
      <alignment horizontal="center" vertical="center" textRotation="0" wrapText="false" indent="0" shrinkToFit="false"/>
      <protection locked="true" hidden="false"/>
    </xf>
    <xf numFmtId="164" fontId="55" fillId="37" borderId="0" xfId="0" applyFont="true" applyBorder="true" applyAlignment="true" applyProtection="false">
      <alignment horizontal="center" vertical="center" textRotation="0" wrapText="true" indent="0" shrinkToFit="false"/>
      <protection locked="true" hidden="false"/>
    </xf>
    <xf numFmtId="164" fontId="58" fillId="13" borderId="0" xfId="0" applyFont="true" applyBorder="true" applyAlignment="true" applyProtection="false">
      <alignment horizontal="center" vertical="center" textRotation="0" wrapText="true" indent="0" shrinkToFit="false"/>
      <protection locked="true" hidden="false"/>
    </xf>
    <xf numFmtId="169" fontId="55" fillId="7" borderId="0" xfId="0" applyFont="true" applyBorder="true" applyAlignment="true" applyProtection="false">
      <alignment horizontal="center" vertical="center" textRotation="0" wrapText="true" indent="0" shrinkToFit="false"/>
      <protection locked="true" hidden="false"/>
    </xf>
    <xf numFmtId="164" fontId="55" fillId="2" borderId="0" xfId="0" applyFont="true" applyBorder="true" applyAlignment="true" applyProtection="false">
      <alignment horizontal="center" vertical="top" textRotation="0" wrapText="true" indent="0" shrinkToFit="false"/>
      <protection locked="true" hidden="false"/>
    </xf>
    <xf numFmtId="164" fontId="55" fillId="38" borderId="0" xfId="0" applyFont="true" applyBorder="true" applyAlignment="true" applyProtection="false">
      <alignment horizontal="center" vertical="top" textRotation="0" wrapText="true" indent="0" shrinkToFit="false"/>
      <protection locked="true" hidden="false"/>
    </xf>
    <xf numFmtId="169" fontId="55" fillId="39" borderId="0" xfId="0" applyFont="true" applyBorder="true" applyAlignment="true" applyProtection="false">
      <alignment horizontal="center" vertical="center" textRotation="0" wrapText="true" indent="0" shrinkToFit="false"/>
      <protection locked="true" hidden="false"/>
    </xf>
    <xf numFmtId="164" fontId="55" fillId="40" borderId="2" xfId="0" applyFont="true" applyBorder="true" applyAlignment="true" applyProtection="false">
      <alignment horizontal="center" vertical="top" textRotation="0" wrapText="true" indent="0" shrinkToFit="false"/>
      <protection locked="true" hidden="false"/>
    </xf>
    <xf numFmtId="164" fontId="55" fillId="27" borderId="0" xfId="0" applyFont="true" applyBorder="true" applyAlignment="true" applyProtection="false">
      <alignment horizontal="center" vertical="top" textRotation="0" wrapText="tru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5" fillId="0" borderId="15" xfId="0" applyFont="true" applyBorder="true" applyAlignment="true" applyProtection="false">
      <alignment horizontal="right" vertical="center" textRotation="0" wrapText="false" indent="0" shrinkToFit="false"/>
      <protection locked="true" hidden="false"/>
    </xf>
    <xf numFmtId="164" fontId="57" fillId="0" borderId="15" xfId="0" applyFont="true" applyBorder="true" applyAlignment="true" applyProtection="false">
      <alignment horizontal="general" vertical="center" textRotation="0" wrapText="false" indent="0" shrinkToFit="false"/>
      <protection locked="true" hidden="false"/>
    </xf>
    <xf numFmtId="164" fontId="55" fillId="0" borderId="15" xfId="0" applyFont="true" applyBorder="true" applyAlignment="true" applyProtection="false">
      <alignment horizontal="center" vertical="center" textRotation="0" wrapText="true" indent="0" shrinkToFit="false"/>
      <protection locked="true" hidden="false"/>
    </xf>
    <xf numFmtId="165" fontId="55" fillId="41" borderId="15" xfId="0" applyFont="true" applyBorder="true" applyAlignment="true" applyProtection="false">
      <alignment horizontal="general" vertical="center" textRotation="0" wrapText="false" indent="0" shrinkToFit="false"/>
      <protection locked="true" hidden="false"/>
    </xf>
    <xf numFmtId="165" fontId="59" fillId="42" borderId="15" xfId="0" applyFont="true" applyBorder="true" applyAlignment="true" applyProtection="false">
      <alignment horizontal="general" vertical="center" textRotation="0" wrapText="true" indent="0" shrinkToFit="false"/>
      <protection locked="true" hidden="false"/>
    </xf>
    <xf numFmtId="165" fontId="59" fillId="42" borderId="15" xfId="0" applyFont="true" applyBorder="true" applyAlignment="true" applyProtection="false">
      <alignment horizontal="center" vertical="center" textRotation="0" wrapText="true" indent="0" shrinkToFit="false"/>
      <protection locked="true" hidden="false"/>
    </xf>
    <xf numFmtId="165" fontId="55" fillId="43" borderId="15" xfId="0" applyFont="true" applyBorder="true" applyAlignment="true" applyProtection="false">
      <alignment horizontal="general" vertical="center" textRotation="0" wrapText="false" indent="0" shrinkToFit="false"/>
      <protection locked="true" hidden="false"/>
    </xf>
    <xf numFmtId="165" fontId="55" fillId="44" borderId="15" xfId="0" applyFont="true" applyBorder="true" applyAlignment="true" applyProtection="false">
      <alignment horizontal="general" vertical="center" textRotation="0" wrapText="false" indent="0" shrinkToFit="false"/>
      <protection locked="true" hidden="false"/>
    </xf>
    <xf numFmtId="165" fontId="59" fillId="45" borderId="15" xfId="0" applyFont="true" applyBorder="true" applyAlignment="true" applyProtection="false">
      <alignment horizontal="general" vertical="center" textRotation="0" wrapText="true" indent="0" shrinkToFit="false"/>
      <protection locked="true" hidden="false"/>
    </xf>
    <xf numFmtId="165" fontId="55" fillId="26" borderId="15" xfId="0" applyFont="true" applyBorder="true" applyAlignment="false" applyProtection="false">
      <alignment horizontal="general" vertical="bottom" textRotation="0" wrapText="false" indent="0" shrinkToFit="false"/>
      <protection locked="true" hidden="false"/>
    </xf>
    <xf numFmtId="165" fontId="58" fillId="24" borderId="15" xfId="0" applyFont="true" applyBorder="true" applyAlignment="true" applyProtection="false">
      <alignment horizontal="general" vertical="center" textRotation="0" wrapText="false" indent="0" shrinkToFit="false"/>
      <protection locked="true" hidden="false"/>
    </xf>
    <xf numFmtId="164" fontId="57" fillId="0" borderId="0" xfId="0" applyFont="true" applyBorder="false" applyAlignment="true" applyProtection="false">
      <alignment horizontal="right" vertical="center" textRotation="0" wrapText="false" indent="0" shrinkToFit="false"/>
      <protection locked="true" hidden="false"/>
    </xf>
    <xf numFmtId="169" fontId="57" fillId="0" borderId="0" xfId="0" applyFont="true" applyBorder="false" applyAlignment="true" applyProtection="false">
      <alignment horizontal="center" vertical="center" textRotation="0" wrapText="false" indent="0" shrinkToFit="false"/>
      <protection locked="true" hidden="false"/>
    </xf>
    <xf numFmtId="169" fontId="57" fillId="0" borderId="0" xfId="0" applyFont="true" applyBorder="false" applyAlignment="true" applyProtection="false">
      <alignment horizontal="center" vertical="center" textRotation="0" wrapText="true" indent="0" shrinkToFit="false"/>
      <protection locked="true" hidden="false"/>
    </xf>
    <xf numFmtId="171" fontId="57" fillId="41" borderId="0" xfId="0" applyFont="true" applyBorder="false" applyAlignment="true" applyProtection="false">
      <alignment horizontal="right" vertical="center" textRotation="0" wrapText="false" indent="0" shrinkToFit="false"/>
      <protection locked="true" hidden="false"/>
    </xf>
    <xf numFmtId="171" fontId="60" fillId="42" borderId="0" xfId="0" applyFont="true" applyBorder="false" applyAlignment="true" applyProtection="false">
      <alignment horizontal="right" vertical="center" textRotation="0" wrapText="false" indent="0" shrinkToFit="false"/>
      <protection locked="true" hidden="false"/>
    </xf>
    <xf numFmtId="171" fontId="57" fillId="43" borderId="0" xfId="0" applyFont="true" applyBorder="false" applyAlignment="true" applyProtection="false">
      <alignment horizontal="right" vertical="center" textRotation="0" wrapText="false" indent="0" shrinkToFit="false"/>
      <protection locked="true" hidden="false"/>
    </xf>
    <xf numFmtId="171" fontId="55" fillId="44" borderId="0" xfId="0" applyFont="true" applyBorder="false" applyAlignment="true" applyProtection="false">
      <alignment horizontal="right" vertical="center" textRotation="0" wrapText="false" indent="0" shrinkToFit="false"/>
      <protection locked="true" hidden="false"/>
    </xf>
    <xf numFmtId="171" fontId="57" fillId="6" borderId="0" xfId="0" applyFont="true" applyBorder="false" applyAlignment="true" applyProtection="false">
      <alignment horizontal="right" vertical="center" textRotation="0" wrapText="true" indent="15" shrinkToFit="false"/>
      <protection locked="true" hidden="false"/>
    </xf>
    <xf numFmtId="171" fontId="57" fillId="26" borderId="0" xfId="0" applyFont="true" applyBorder="false" applyAlignment="true" applyProtection="false">
      <alignment horizontal="right" vertical="center" textRotation="0" wrapText="false" indent="0" shrinkToFit="false"/>
      <protection locked="true" hidden="false"/>
    </xf>
    <xf numFmtId="171" fontId="55" fillId="24" borderId="0" xfId="0" applyFont="true" applyBorder="false" applyAlignment="true" applyProtection="false">
      <alignment horizontal="right" vertical="center" textRotation="0" wrapText="false" indent="0" shrinkToFit="false"/>
      <protection locked="true" hidden="false"/>
    </xf>
    <xf numFmtId="164" fontId="60" fillId="0" borderId="0" xfId="0" applyFont="true" applyBorder="false" applyAlignment="true" applyProtection="false">
      <alignment horizontal="center" vertical="center" textRotation="0" wrapText="true" indent="0" shrinkToFit="false"/>
      <protection locked="true" hidden="false"/>
    </xf>
    <xf numFmtId="164" fontId="59" fillId="0" borderId="0" xfId="0" applyFont="true" applyBorder="false" applyAlignment="true" applyProtection="false">
      <alignment horizontal="center" vertical="center" textRotation="0" wrapText="true" indent="0" shrinkToFit="false"/>
      <protection locked="true" hidden="false"/>
    </xf>
    <xf numFmtId="164" fontId="60" fillId="0" borderId="0" xfId="0" applyFont="true" applyBorder="false" applyAlignment="true" applyProtection="false">
      <alignment horizontal="general" vertical="center" textRotation="0" wrapText="true" indent="0" shrinkToFit="false"/>
      <protection locked="true" hidden="false"/>
    </xf>
    <xf numFmtId="171" fontId="57" fillId="45" borderId="0" xfId="0" applyFont="true" applyBorder="false" applyAlignment="true" applyProtection="false">
      <alignment horizontal="right" vertical="center" textRotation="0" wrapText="true" indent="0" shrinkToFit="false"/>
      <protection locked="true" hidden="false"/>
    </xf>
    <xf numFmtId="169" fontId="61" fillId="0" borderId="0" xfId="0" applyFont="true" applyBorder="true" applyAlignment="true" applyProtection="false">
      <alignment horizontal="left" vertical="bottom" textRotation="0" wrapText="false" indent="0" shrinkToFit="false"/>
      <protection locked="true" hidden="false"/>
    </xf>
    <xf numFmtId="164" fontId="61" fillId="0" borderId="0" xfId="0" applyFont="true" applyBorder="true" applyAlignment="false" applyProtection="false">
      <alignment horizontal="general" vertical="bottom" textRotation="0" wrapText="false" indent="0" shrinkToFit="false"/>
      <protection locked="true" hidden="false"/>
    </xf>
    <xf numFmtId="164" fontId="62" fillId="0" borderId="0" xfId="0" applyFont="true" applyBorder="false" applyAlignment="false" applyProtection="false">
      <alignment horizontal="general" vertical="bottom" textRotation="0" wrapText="false" indent="0" shrinkToFit="false"/>
      <protection locked="true" hidden="false"/>
    </xf>
    <xf numFmtId="164" fontId="61" fillId="0" borderId="0" xfId="0" applyFont="true" applyBorder="true" applyAlignment="true" applyProtection="false">
      <alignment horizontal="left" vertical="top" textRotation="0" wrapText="false" indent="0" shrinkToFit="false"/>
      <protection locked="true" hidden="false"/>
    </xf>
    <xf numFmtId="166" fontId="44" fillId="0" borderId="0" xfId="0" applyFont="true" applyBorder="false" applyAlignment="false" applyProtection="false">
      <alignment horizontal="general" vertical="bottom" textRotation="0" wrapText="false" indent="0" shrinkToFit="false"/>
      <protection locked="true" hidden="false"/>
    </xf>
    <xf numFmtId="169" fontId="44" fillId="0" borderId="0" xfId="0" applyFont="true" applyBorder="false" applyAlignment="true" applyProtection="false">
      <alignment horizontal="left" vertical="bottom" textRotation="0" wrapText="false" indent="0" shrinkToFit="false"/>
      <protection locked="true" hidden="false"/>
    </xf>
    <xf numFmtId="164" fontId="44" fillId="0" borderId="0" xfId="0" applyFont="true" applyBorder="true" applyAlignment="true" applyProtection="false">
      <alignment horizontal="left" vertical="bottom" textRotation="0" wrapText="false" indent="0" shrinkToFit="false"/>
      <protection locked="true" hidden="false"/>
    </xf>
    <xf numFmtId="164" fontId="44" fillId="0" borderId="0" xfId="0" applyFont="true" applyBorder="true" applyAlignment="true" applyProtection="false">
      <alignment horizontal="center" vertical="center" textRotation="0" wrapText="false" indent="0" shrinkToFit="false"/>
      <protection locked="true" hidden="false"/>
    </xf>
    <xf numFmtId="164" fontId="61" fillId="37" borderId="0" xfId="0" applyFont="true" applyBorder="true" applyAlignment="true" applyProtection="false">
      <alignment horizontal="center" vertical="center" textRotation="0" wrapText="true" indent="0" shrinkToFit="false"/>
      <protection locked="true" hidden="false"/>
    </xf>
    <xf numFmtId="164" fontId="63" fillId="13" borderId="0" xfId="0" applyFont="true" applyBorder="true" applyAlignment="true" applyProtection="false">
      <alignment horizontal="center" vertical="center" textRotation="0" wrapText="true" indent="0" shrinkToFit="false"/>
      <protection locked="true" hidden="false"/>
    </xf>
    <xf numFmtId="169" fontId="61" fillId="7" borderId="0" xfId="0" applyFont="true" applyBorder="true" applyAlignment="true" applyProtection="false">
      <alignment horizontal="center" vertical="center" textRotation="0" wrapText="true" indent="0" shrinkToFit="false"/>
      <protection locked="true" hidden="false"/>
    </xf>
    <xf numFmtId="164" fontId="61" fillId="2" borderId="0" xfId="0" applyFont="true" applyBorder="true" applyAlignment="true" applyProtection="false">
      <alignment horizontal="center" vertical="top" textRotation="0" wrapText="true" indent="0" shrinkToFit="false"/>
      <protection locked="true" hidden="false"/>
    </xf>
    <xf numFmtId="164" fontId="61" fillId="38" borderId="0" xfId="0" applyFont="true" applyBorder="true" applyAlignment="true" applyProtection="false">
      <alignment horizontal="center" vertical="top" textRotation="0" wrapText="true" indent="0" shrinkToFit="false"/>
      <protection locked="true" hidden="false"/>
    </xf>
    <xf numFmtId="169" fontId="61" fillId="39" borderId="0" xfId="0" applyFont="true" applyBorder="true" applyAlignment="true" applyProtection="false">
      <alignment horizontal="center" vertical="center" textRotation="0" wrapText="true" indent="0" shrinkToFit="false"/>
      <protection locked="true" hidden="false"/>
    </xf>
    <xf numFmtId="164" fontId="61" fillId="40" borderId="2" xfId="0" applyFont="true" applyBorder="true" applyAlignment="true" applyProtection="false">
      <alignment horizontal="center" vertical="top" textRotation="0" wrapText="true" indent="0" shrinkToFit="false"/>
      <protection locked="true" hidden="false"/>
    </xf>
    <xf numFmtId="164" fontId="61" fillId="27" borderId="0" xfId="0" applyFont="true" applyBorder="true" applyAlignment="true" applyProtection="false">
      <alignment horizontal="center" vertical="top" textRotation="0" wrapText="true" indent="0" shrinkToFit="false"/>
      <protection locked="true" hidden="false"/>
    </xf>
    <xf numFmtId="164" fontId="61" fillId="0" borderId="15" xfId="0" applyFont="true" applyBorder="true" applyAlignment="true" applyProtection="false">
      <alignment horizontal="right" vertical="center" textRotation="0" wrapText="false" indent="0" shrinkToFit="false"/>
      <protection locked="true" hidden="false"/>
    </xf>
    <xf numFmtId="164" fontId="44" fillId="0" borderId="15" xfId="0" applyFont="true" applyBorder="true" applyAlignment="true" applyProtection="false">
      <alignment horizontal="general" vertical="center" textRotation="0" wrapText="false" indent="0" shrinkToFit="false"/>
      <protection locked="true" hidden="false"/>
    </xf>
    <xf numFmtId="164" fontId="61" fillId="0" borderId="15" xfId="0" applyFont="true" applyBorder="true" applyAlignment="true" applyProtection="false">
      <alignment horizontal="center" vertical="center" textRotation="0" wrapText="true" indent="0" shrinkToFit="false"/>
      <protection locked="true" hidden="false"/>
    </xf>
    <xf numFmtId="165" fontId="61" fillId="41" borderId="15" xfId="0" applyFont="true" applyBorder="true" applyAlignment="true" applyProtection="false">
      <alignment horizontal="general" vertical="center" textRotation="0" wrapText="false" indent="0" shrinkToFit="false"/>
      <protection locked="true" hidden="false"/>
    </xf>
    <xf numFmtId="165" fontId="64" fillId="42" borderId="15" xfId="19" applyFont="true" applyBorder="true" applyAlignment="true" applyProtection="true">
      <alignment horizontal="center" vertical="bottom" textRotation="0" wrapText="false" indent="0" shrinkToFit="false"/>
      <protection locked="true" hidden="false"/>
    </xf>
    <xf numFmtId="165" fontId="64" fillId="42" borderId="15" xfId="0" applyFont="true" applyBorder="true" applyAlignment="false" applyProtection="false">
      <alignment horizontal="general" vertical="bottom" textRotation="0" wrapText="false" indent="0" shrinkToFit="false"/>
      <protection locked="true" hidden="false"/>
    </xf>
    <xf numFmtId="165" fontId="64" fillId="42" borderId="15" xfId="0" applyFont="true" applyBorder="true" applyAlignment="true" applyProtection="false">
      <alignment horizontal="center" vertical="center" textRotation="0" wrapText="true" indent="0" shrinkToFit="false"/>
      <protection locked="true" hidden="false"/>
    </xf>
    <xf numFmtId="165" fontId="64" fillId="42" borderId="15" xfId="0" applyFont="true" applyBorder="true" applyAlignment="true" applyProtection="false">
      <alignment horizontal="general" vertical="center" textRotation="0" wrapText="true" indent="0" shrinkToFit="false"/>
      <protection locked="true" hidden="false"/>
    </xf>
    <xf numFmtId="165" fontId="61" fillId="43" borderId="15" xfId="0" applyFont="true" applyBorder="true" applyAlignment="true" applyProtection="false">
      <alignment horizontal="general" vertical="center" textRotation="0" wrapText="false" indent="0" shrinkToFit="false"/>
      <protection locked="true" hidden="false"/>
    </xf>
    <xf numFmtId="165" fontId="61" fillId="44" borderId="15" xfId="0" applyFont="true" applyBorder="true" applyAlignment="true" applyProtection="false">
      <alignment horizontal="general" vertical="center" textRotation="0" wrapText="false" indent="0" shrinkToFit="false"/>
      <protection locked="true" hidden="false"/>
    </xf>
    <xf numFmtId="165" fontId="64" fillId="45" borderId="15" xfId="0" applyFont="true" applyBorder="true" applyAlignment="true" applyProtection="false">
      <alignment horizontal="general" vertical="center" textRotation="0" wrapText="true" indent="0" shrinkToFit="false"/>
      <protection locked="true" hidden="false"/>
    </xf>
    <xf numFmtId="165" fontId="61" fillId="26" borderId="15" xfId="0" applyFont="true" applyBorder="true" applyAlignment="false" applyProtection="false">
      <alignment horizontal="general" vertical="bottom" textRotation="0" wrapText="false" indent="0" shrinkToFit="false"/>
      <protection locked="true" hidden="false"/>
    </xf>
    <xf numFmtId="165" fontId="63" fillId="24" borderId="15" xfId="0" applyFont="true" applyBorder="true" applyAlignment="true" applyProtection="false">
      <alignment horizontal="general" vertical="center" textRotation="0" wrapText="false" indent="0" shrinkToFit="false"/>
      <protection locked="true" hidden="false"/>
    </xf>
    <xf numFmtId="164" fontId="44" fillId="0" borderId="0" xfId="0" applyFont="true" applyBorder="false" applyAlignment="true" applyProtection="false">
      <alignment horizontal="right" vertical="center" textRotation="0" wrapText="false" indent="0" shrinkToFit="false"/>
      <protection locked="true" hidden="false"/>
    </xf>
    <xf numFmtId="169" fontId="44" fillId="0" borderId="0" xfId="0" applyFont="true" applyBorder="false" applyAlignment="true" applyProtection="false">
      <alignment horizontal="center" vertical="center" textRotation="0" wrapText="false" indent="0" shrinkToFit="false"/>
      <protection locked="true" hidden="false"/>
    </xf>
    <xf numFmtId="169" fontId="44" fillId="0" borderId="0" xfId="0" applyFont="true" applyBorder="false" applyAlignment="true" applyProtection="false">
      <alignment horizontal="center" vertical="center" textRotation="0" wrapText="true" indent="0" shrinkToFit="false"/>
      <protection locked="true" hidden="false"/>
    </xf>
    <xf numFmtId="171" fontId="44" fillId="41" borderId="0" xfId="0" applyFont="true" applyBorder="false" applyAlignment="true" applyProtection="false">
      <alignment horizontal="right" vertical="center" textRotation="0" wrapText="false" indent="0" shrinkToFit="false"/>
      <protection locked="true" hidden="false"/>
    </xf>
    <xf numFmtId="171" fontId="65" fillId="42" borderId="0" xfId="0" applyFont="true" applyBorder="false" applyAlignment="true" applyProtection="false">
      <alignment horizontal="right" vertical="center" textRotation="0" wrapText="true" indent="0" shrinkToFit="false"/>
      <protection locked="true" hidden="false"/>
    </xf>
    <xf numFmtId="171" fontId="44" fillId="43" borderId="0" xfId="0" applyFont="true" applyBorder="false" applyAlignment="true" applyProtection="false">
      <alignment horizontal="right" vertical="center" textRotation="0" wrapText="false" indent="0" shrinkToFit="false"/>
      <protection locked="true" hidden="false"/>
    </xf>
    <xf numFmtId="171" fontId="61" fillId="44" borderId="0" xfId="0" applyFont="true" applyBorder="false" applyAlignment="true" applyProtection="false">
      <alignment horizontal="right" vertical="center" textRotation="0" wrapText="false" indent="0" shrinkToFit="false"/>
      <protection locked="true" hidden="false"/>
    </xf>
    <xf numFmtId="171" fontId="44" fillId="6" borderId="0" xfId="0" applyFont="true" applyBorder="false" applyAlignment="true" applyProtection="false">
      <alignment horizontal="right" vertical="center" textRotation="0" wrapText="true" indent="15" shrinkToFit="false"/>
      <protection locked="true" hidden="false"/>
    </xf>
    <xf numFmtId="171" fontId="44" fillId="26" borderId="0" xfId="0" applyFont="true" applyBorder="false" applyAlignment="true" applyProtection="false">
      <alignment horizontal="right" vertical="center" textRotation="0" wrapText="false" indent="0" shrinkToFit="false"/>
      <protection locked="true" hidden="false"/>
    </xf>
    <xf numFmtId="171" fontId="61" fillId="24" borderId="0" xfId="0" applyFont="true" applyBorder="false" applyAlignment="true" applyProtection="false">
      <alignment horizontal="right" vertical="center" textRotation="0" wrapText="false" indent="0" shrinkToFit="false"/>
      <protection locked="true" hidden="false"/>
    </xf>
    <xf numFmtId="164" fontId="65" fillId="0" borderId="0" xfId="0" applyFont="true" applyBorder="false" applyAlignment="true" applyProtection="false">
      <alignment horizontal="center" vertical="center" textRotation="0" wrapText="true" indent="0" shrinkToFit="false"/>
      <protection locked="true" hidden="false"/>
    </xf>
    <xf numFmtId="164" fontId="64" fillId="0" borderId="0" xfId="0" applyFont="true" applyBorder="false" applyAlignment="true" applyProtection="false">
      <alignment horizontal="center" vertical="center" textRotation="0" wrapText="true" indent="0" shrinkToFit="false"/>
      <protection locked="true" hidden="false"/>
    </xf>
    <xf numFmtId="164" fontId="65" fillId="0" borderId="0" xfId="0" applyFont="true" applyBorder="false" applyAlignment="true" applyProtection="false">
      <alignment horizontal="general" vertical="center" textRotation="0" wrapText="true" indent="0" shrinkToFit="false"/>
      <protection locked="true" hidden="false"/>
    </xf>
    <xf numFmtId="171" fontId="65" fillId="42" borderId="0" xfId="0" applyFont="true" applyBorder="false" applyAlignment="true" applyProtection="false">
      <alignment horizontal="right" vertical="center" textRotation="0" wrapText="false" indent="0" shrinkToFit="false"/>
      <protection locked="true" hidden="false"/>
    </xf>
    <xf numFmtId="171" fontId="44" fillId="45" borderId="0" xfId="0" applyFont="true" applyBorder="false" applyAlignment="true" applyProtection="false">
      <alignment horizontal="right" vertical="center" textRotation="0" wrapText="true" indent="0" shrinkToFit="false"/>
      <protection locked="true" hidden="false"/>
    </xf>
    <xf numFmtId="169" fontId="66" fillId="0" borderId="0" xfId="0" applyFont="true" applyBorder="true" applyAlignment="true" applyProtection="false">
      <alignment horizontal="left" vertical="bottom" textRotation="0" wrapText="false" indent="0" shrinkToFit="false"/>
      <protection locked="true" hidden="false"/>
    </xf>
    <xf numFmtId="164" fontId="66" fillId="0" borderId="0" xfId="0" applyFont="true" applyBorder="true" applyAlignment="false" applyProtection="false">
      <alignment horizontal="general" vertical="bottom" textRotation="0" wrapText="false" indent="0" shrinkToFit="false"/>
      <protection locked="true" hidden="false"/>
    </xf>
    <xf numFmtId="164" fontId="67" fillId="0" borderId="0" xfId="0" applyFont="true" applyBorder="false" applyAlignment="false" applyProtection="false">
      <alignment horizontal="general" vertical="bottom" textRotation="0" wrapText="false" indent="0" shrinkToFit="false"/>
      <protection locked="true" hidden="false"/>
    </xf>
    <xf numFmtId="164" fontId="66" fillId="0" borderId="0" xfId="0" applyFont="true" applyBorder="true" applyAlignment="true" applyProtection="false">
      <alignment horizontal="left" vertical="top" textRotation="0" wrapText="false" indent="0" shrinkToFit="false"/>
      <protection locked="true" hidden="false"/>
    </xf>
    <xf numFmtId="166" fontId="54" fillId="0" borderId="0" xfId="0" applyFont="true" applyBorder="false" applyAlignment="false" applyProtection="false">
      <alignment horizontal="general" vertical="bottom" textRotation="0" wrapText="false" indent="0" shrinkToFit="false"/>
      <protection locked="true" hidden="false"/>
    </xf>
    <xf numFmtId="169" fontId="54" fillId="0" borderId="0" xfId="0" applyFont="true" applyBorder="fals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center" textRotation="0" wrapText="false" indent="0" shrinkToFit="false"/>
      <protection locked="true" hidden="false"/>
    </xf>
    <xf numFmtId="164" fontId="66" fillId="37" borderId="0" xfId="0" applyFont="true" applyBorder="true" applyAlignment="true" applyProtection="false">
      <alignment horizontal="center" vertical="center" textRotation="0" wrapText="true" indent="0" shrinkToFit="false"/>
      <protection locked="true" hidden="false"/>
    </xf>
    <xf numFmtId="164" fontId="68" fillId="13" borderId="0" xfId="0" applyFont="true" applyBorder="true" applyAlignment="true" applyProtection="false">
      <alignment horizontal="center" vertical="center" textRotation="0" wrapText="true" indent="0" shrinkToFit="false"/>
      <protection locked="true" hidden="false"/>
    </xf>
    <xf numFmtId="169" fontId="66" fillId="7" borderId="0" xfId="0" applyFont="true" applyBorder="true" applyAlignment="true" applyProtection="false">
      <alignment horizontal="center" vertical="center" textRotation="0" wrapText="true" indent="0" shrinkToFit="false"/>
      <protection locked="true" hidden="false"/>
    </xf>
    <xf numFmtId="164" fontId="66" fillId="2" borderId="0" xfId="0" applyFont="true" applyBorder="true" applyAlignment="true" applyProtection="false">
      <alignment horizontal="center" vertical="top" textRotation="0" wrapText="true" indent="0" shrinkToFit="false"/>
      <protection locked="true" hidden="false"/>
    </xf>
    <xf numFmtId="164" fontId="66" fillId="38" borderId="0" xfId="0" applyFont="true" applyBorder="true" applyAlignment="true" applyProtection="false">
      <alignment horizontal="center" vertical="top" textRotation="0" wrapText="true" indent="0" shrinkToFit="false"/>
      <protection locked="true" hidden="false"/>
    </xf>
    <xf numFmtId="169" fontId="66" fillId="39" borderId="0" xfId="0" applyFont="true" applyBorder="true" applyAlignment="true" applyProtection="false">
      <alignment horizontal="center" vertical="center" textRotation="0" wrapText="true" indent="0" shrinkToFit="false"/>
      <protection locked="true" hidden="false"/>
    </xf>
    <xf numFmtId="164" fontId="66" fillId="40" borderId="2" xfId="0" applyFont="true" applyBorder="true" applyAlignment="true" applyProtection="false">
      <alignment horizontal="center" vertical="top" textRotation="0" wrapText="true" indent="0" shrinkToFit="false"/>
      <protection locked="true" hidden="false"/>
    </xf>
    <xf numFmtId="164" fontId="66" fillId="27" borderId="0" xfId="0" applyFont="true" applyBorder="true" applyAlignment="true" applyProtection="false">
      <alignment horizontal="center" vertical="top" textRotation="0" wrapText="true" indent="0" shrinkToFit="false"/>
      <protection locked="true" hidden="false"/>
    </xf>
    <xf numFmtId="164" fontId="66" fillId="0" borderId="15" xfId="0" applyFont="true" applyBorder="true" applyAlignment="true" applyProtection="false">
      <alignment horizontal="right" vertical="center" textRotation="0" wrapText="false" indent="0" shrinkToFit="false"/>
      <protection locked="true" hidden="false"/>
    </xf>
    <xf numFmtId="165" fontId="59" fillId="42" borderId="15" xfId="19" applyFont="true" applyBorder="true" applyAlignment="true" applyProtection="true">
      <alignment horizontal="center" vertical="bottom" textRotation="0" wrapText="false" indent="0" shrinkToFit="false"/>
      <protection locked="true" hidden="false"/>
    </xf>
    <xf numFmtId="165" fontId="59" fillId="42" borderId="15" xfId="0" applyFont="true" applyBorder="true" applyAlignment="fals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right" vertical="center" textRotation="0" wrapText="false" indent="0" shrinkToFit="false"/>
      <protection locked="true" hidden="false"/>
    </xf>
    <xf numFmtId="164" fontId="69" fillId="0" borderId="0" xfId="0" applyFont="true" applyBorder="false" applyAlignment="true" applyProtection="false">
      <alignment horizontal="center" vertical="center" textRotation="0" wrapText="true" indent="0" shrinkToFit="false"/>
      <protection locked="true" hidden="false"/>
    </xf>
    <xf numFmtId="164" fontId="70" fillId="0" borderId="0" xfId="0" applyFont="true" applyBorder="false" applyAlignment="true" applyProtection="false">
      <alignment horizontal="center" vertical="center" textRotation="0" wrapText="true" indent="0" shrinkToFit="false"/>
      <protection locked="true" hidden="false"/>
    </xf>
    <xf numFmtId="164" fontId="69" fillId="0" borderId="0" xfId="0" applyFont="true" applyBorder="false" applyAlignment="true" applyProtection="false">
      <alignment horizontal="general" vertical="center"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Porcentaje 2" xfId="23"/>
    <cellStyle name="*unknown*" xfId="20" builtinId="8"/>
    <cellStyle name="Excel Built-in Accent5" xfId="24"/>
  </cellStyles>
  <dxfs count="1">
    <dxf>
      <font>
        <color rgb="FF9C0006"/>
      </font>
      <fill>
        <patternFill>
          <bgColor rgb="FFFFC7CE"/>
        </patternFill>
      </fill>
    </dxf>
  </dxfs>
  <colors>
    <indexedColors>
      <rgbColor rgb="FF000000"/>
      <rgbColor rgb="FFFFFFFF"/>
      <rgbColor rgb="FFFF0000"/>
      <rgbColor rgb="FFBF9000"/>
      <rgbColor rgb="FF0000FF"/>
      <rgbColor rgb="FFFFFF00"/>
      <rgbColor rgb="FFFFC7CE"/>
      <rgbColor rgb="FFD9D9D9"/>
      <rgbColor rgb="FF9C0006"/>
      <rgbColor rgb="FF385724"/>
      <rgbColor rgb="FF375623"/>
      <rgbColor rgb="FF806000"/>
      <rgbColor rgb="FF7F7F7F"/>
      <rgbColor rgb="FF0070C0"/>
      <rgbColor rgb="FFBFBFBF"/>
      <rgbColor rgb="FF808080"/>
      <rgbColor rgb="FFA6A6A6"/>
      <rgbColor rgb="FF7030A0"/>
      <rgbColor rgb="FFFFF2CC"/>
      <rgbColor rgb="FFDDEBF7"/>
      <rgbColor rgb="FF44546A"/>
      <rgbColor rgb="FFED7D31"/>
      <rgbColor rgb="FF0563C1"/>
      <rgbColor rgb="FFBDD7EE"/>
      <rgbColor rgb="FF000080"/>
      <rgbColor rgb="FFFF00FF"/>
      <rgbColor rgb="FFA9D18E"/>
      <rgbColor rgb="FFDBDBDB"/>
      <rgbColor rgb="FFBF8F00"/>
      <rgbColor rgb="FFC00000"/>
      <rgbColor rgb="FF2E75B6"/>
      <rgbColor rgb="FF0000FF"/>
      <rgbColor rgb="FF5B9BD5"/>
      <rgbColor rgb="FFF2F2F2"/>
      <rgbColor rgb="FFC5E0B4"/>
      <rgbColor rgb="FFFBE5D6"/>
      <rgbColor rgb="FF9DC3E6"/>
      <rgbColor rgb="FFF4B183"/>
      <rgbColor rgb="FF9BC2E6"/>
      <rgbColor rgb="FFF7CAAC"/>
      <rgbColor rgb="FF4472C4"/>
      <rgbColor rgb="FF33CCCC"/>
      <rgbColor rgb="FF70AD47"/>
      <rgbColor rgb="FFFFC000"/>
      <rgbColor rgb="FFFF9900"/>
      <rgbColor rgb="FFFF6600"/>
      <rgbColor rgb="FF767171"/>
      <rgbColor rgb="FFA5A5A5"/>
      <rgbColor rgb="FF404040"/>
      <rgbColor rgb="FF548235"/>
      <rgbColor rgb="FF003300"/>
      <rgbColor rgb="FF3B3838"/>
      <rgbColor rgb="FF663300"/>
      <rgbColor rgb="FF595959"/>
      <rgbColor rgb="FF1F4E79"/>
      <rgbColor rgb="FF3A38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CAMPOS!A1"/><Relationship Id="rId2" Type="http://schemas.openxmlformats.org/officeDocument/2006/relationships/image" Target="../media/image89.png"/><Relationship Id="rId3" Type="http://schemas.openxmlformats.org/officeDocument/2006/relationships/hyperlink" Target="#CONC.RETR.A1"/><Relationship Id="rId4" Type="http://schemas.openxmlformats.org/officeDocument/2006/relationships/image" Target="../media/image90.png"/><Relationship Id="rId5" Type="http://schemas.openxmlformats.org/officeDocument/2006/relationships/hyperlink" Target="#DATOS!A1"/><Relationship Id="rId6" Type="http://schemas.openxmlformats.org/officeDocument/2006/relationships/image" Target="../media/image91.png"/><Relationship Id="rId7" Type="http://schemas.openxmlformats.org/officeDocument/2006/relationships/hyperlink" Target="#AGRUPACIONES!A1"/><Relationship Id="rId8" Type="http://schemas.openxmlformats.org/officeDocument/2006/relationships/image" Target="../media/image92.png"/><Relationship Id="rId9" Type="http://schemas.openxmlformats.org/officeDocument/2006/relationships/hyperlink" Target="#CONTRATOS!A1"/><Relationship Id="rId10" Type="http://schemas.openxmlformats.org/officeDocument/2006/relationships/image" Target="../media/image93.png"/><Relationship Id="rId11" Type="http://schemas.openxmlformats.org/officeDocument/2006/relationships/hyperlink" Target="#&apos;1.1.a.Efect.Prom&apos;!A1"/><Relationship Id="rId12" Type="http://schemas.openxmlformats.org/officeDocument/2006/relationships/image" Target="../media/image94.png"/><Relationship Id="rId13" Type="http://schemas.openxmlformats.org/officeDocument/2006/relationships/hyperlink" Target="#&apos;1.2.a.Efect.Mediana&apos;!A1"/><Relationship Id="rId14" Type="http://schemas.openxmlformats.org/officeDocument/2006/relationships/image" Target="../media/image95.png"/><Relationship Id="rId15" Type="http://schemas.openxmlformats.org/officeDocument/2006/relationships/hyperlink" Target="#&apos;2.1.a.Equip.Prom&apos;!A1"/><Relationship Id="rId16" Type="http://schemas.openxmlformats.org/officeDocument/2006/relationships/image" Target="../media/image96.png"/><Relationship Id="rId17" Type="http://schemas.openxmlformats.org/officeDocument/2006/relationships/hyperlink" Target="#&apos;2.2.a.Equip.Mediana&apos;!A1"/><Relationship Id="rId18" Type="http://schemas.openxmlformats.org/officeDocument/2006/relationships/image" Target="../media/image97.png"/><Relationship Id="rId19" Type="http://schemas.openxmlformats.org/officeDocument/2006/relationships/hyperlink" Target="#&apos;1.1.b.Efect.Prom&apos;!A1"/><Relationship Id="rId20" Type="http://schemas.openxmlformats.org/officeDocument/2006/relationships/image" Target="../media/image98.png"/><Relationship Id="rId21" Type="http://schemas.openxmlformats.org/officeDocument/2006/relationships/hyperlink" Target="#&apos;1.2.b.Efect.Mediana&apos;!A1"/><Relationship Id="rId22" Type="http://schemas.openxmlformats.org/officeDocument/2006/relationships/image" Target="../media/image99.png"/><Relationship Id="rId23" Type="http://schemas.openxmlformats.org/officeDocument/2006/relationships/hyperlink" Target="#&apos;2.1.b.Equip.Prom&apos;!A1"/><Relationship Id="rId24" Type="http://schemas.openxmlformats.org/officeDocument/2006/relationships/image" Target="../media/image100.png"/><Relationship Id="rId25" Type="http://schemas.openxmlformats.org/officeDocument/2006/relationships/hyperlink" Target="#&apos;2.2.b.Equip.Mediana&apos;!A1"/><Relationship Id="rId26" Type="http://schemas.openxmlformats.org/officeDocument/2006/relationships/image" Target="../media/image101.png"/>
</Relationships>
</file>

<file path=xl/drawings/_rels/drawing2.xml.rels><?xml version="1.0" encoding="UTF-8"?>
<Relationships xmlns="http://schemas.openxmlformats.org/package/2006/relationships"><Relationship Id="rId1" Type="http://schemas.openxmlformats.org/officeDocument/2006/relationships/image" Target="../media/image102.png"/><Relationship Id="rId2" Type="http://schemas.openxmlformats.org/officeDocument/2006/relationships/hyperlink" Target="#Inicio!A1"/><Relationship Id="rId3" Type="http://schemas.openxmlformats.org/officeDocument/2006/relationships/image" Target="../media/image103.png"/>
</Relationships>
</file>

<file path=xl/drawings/_rels/drawing3.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104.png"/>
</Relationships>
</file>

<file path=xl/drawings/_rels/drawing4.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105.png"/>
</Relationships>
</file>

<file path=xl/drawings/_rels/drawing5.xml.rels><?xml version="1.0" encoding="UTF-8"?>
<Relationships xmlns="http://schemas.openxmlformats.org/package/2006/relationships"><Relationship Id="rId1" Type="http://schemas.openxmlformats.org/officeDocument/2006/relationships/hyperlink" Target="#AGRUPACIONES!A1"/><Relationship Id="rId2" Type="http://schemas.openxmlformats.org/officeDocument/2006/relationships/hyperlink" Target="#AGRUPACIONES!B11"/><Relationship Id="rId3" Type="http://schemas.openxmlformats.org/officeDocument/2006/relationships/image" Target="../media/image106.png"/><Relationship Id="rId4" Type="http://schemas.openxmlformats.org/officeDocument/2006/relationships/hyperlink" Target="#AGRUPACIONES!B110"/><Relationship Id="rId5" Type="http://schemas.openxmlformats.org/officeDocument/2006/relationships/image" Target="../media/image107.png"/><Relationship Id="rId6" Type="http://schemas.openxmlformats.org/officeDocument/2006/relationships/hyperlink" Target="#Inicio!A1"/><Relationship Id="rId7" Type="http://schemas.openxmlformats.org/officeDocument/2006/relationships/image" Target="../media/image108.png"/>
</Relationships>
</file>

<file path=xl/drawings/_rels/drawing6.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109.png"/>
</Relationships>
</file>

<file path=xl/drawings/_rels/drawing7.xml.rels><?xml version="1.0" encoding="UTF-8"?>
<Relationships xmlns="http://schemas.openxmlformats.org/package/2006/relationships"><Relationship Id="rId1" Type="http://schemas.openxmlformats.org/officeDocument/2006/relationships/image" Target="../media/image110.png"/><Relationship Id="rId2" Type="http://schemas.openxmlformats.org/officeDocument/2006/relationships/hyperlink" Target="#Inicio!A1"/><Relationship Id="rId3" Type="http://schemas.openxmlformats.org/officeDocument/2006/relationships/image" Target="../media/image111.png"/><Relationship Id="rId4" Type="http://schemas.openxmlformats.org/officeDocument/2006/relationships/image" Target="../media/image112.png"/>
</Relationships>
</file>

<file path=xl/drawings/_rels/drawing8.xml.rels><?xml version="1.0" encoding="UTF-8"?>
<Relationships xmlns="http://schemas.openxmlformats.org/package/2006/relationships"><Relationship Id="rId1" Type="http://schemas.openxmlformats.org/officeDocument/2006/relationships/image" Target="../media/image113.png"/><Relationship Id="rId2" Type="http://schemas.openxmlformats.org/officeDocument/2006/relationships/hyperlink" Target="#Inicio!A1"/><Relationship Id="rId3" Type="http://schemas.openxmlformats.org/officeDocument/2006/relationships/image" Target="../media/image114.png"/><Relationship Id="rId4" Type="http://schemas.openxmlformats.org/officeDocument/2006/relationships/image" Target="../media/image115.png"/>
</Relationships>
</file>

<file path=xl/drawings/_rels/drawing9.xml.rels><?xml version="1.0" encoding="UTF-8"?>
<Relationships xmlns="http://schemas.openxmlformats.org/package/2006/relationships"><Relationship Id="rId1" Type="http://schemas.openxmlformats.org/officeDocument/2006/relationships/image" Target="../media/image116.png"/><Relationship Id="rId2" Type="http://schemas.openxmlformats.org/officeDocument/2006/relationships/hyperlink" Target="#Inicio!A1"/><Relationship Id="rId3" Type="http://schemas.openxmlformats.org/officeDocument/2006/relationships/image" Target="../media/image117.png"/><Relationship Id="rId4" Type="http://schemas.openxmlformats.org/officeDocument/2006/relationships/image" Target="../media/image118.png"/>
</Relationships>
</file>

<file path=xl/drawings/_rels/drawing10.xml.rels><?xml version="1.0" encoding="UTF-8"?>
<Relationships xmlns="http://schemas.openxmlformats.org/package/2006/relationships"><Relationship Id="rId1" Type="http://schemas.openxmlformats.org/officeDocument/2006/relationships/image" Target="../media/image119.png"/><Relationship Id="rId2" Type="http://schemas.openxmlformats.org/officeDocument/2006/relationships/hyperlink" Target="#Inicio!A1"/><Relationship Id="rId3" Type="http://schemas.openxmlformats.org/officeDocument/2006/relationships/image" Target="../media/image120.png"/><Relationship Id="rId4" Type="http://schemas.openxmlformats.org/officeDocument/2006/relationships/image" Target="../media/image121.png"/>
</Relationships>
</file>

<file path=xl/drawings/_rels/drawing11.xml.rels><?xml version="1.0" encoding="UTF-8"?>
<Relationships xmlns="http://schemas.openxmlformats.org/package/2006/relationships"><Relationship Id="rId1" Type="http://schemas.openxmlformats.org/officeDocument/2006/relationships/image" Target="../media/image122.png"/><Relationship Id="rId2" Type="http://schemas.openxmlformats.org/officeDocument/2006/relationships/hyperlink" Target="#Inicio!A1"/><Relationship Id="rId3" Type="http://schemas.openxmlformats.org/officeDocument/2006/relationships/image" Target="../media/image123.png"/><Relationship Id="rId4" Type="http://schemas.openxmlformats.org/officeDocument/2006/relationships/image" Target="../media/image124.png"/>
</Relationships>
</file>

<file path=xl/drawings/_rels/drawing12.xml.rels><?xml version="1.0" encoding="UTF-8"?>
<Relationships xmlns="http://schemas.openxmlformats.org/package/2006/relationships"><Relationship Id="rId1" Type="http://schemas.openxmlformats.org/officeDocument/2006/relationships/image" Target="../media/image125.png"/><Relationship Id="rId2" Type="http://schemas.openxmlformats.org/officeDocument/2006/relationships/hyperlink" Target="#Inicio!A1"/><Relationship Id="rId3" Type="http://schemas.openxmlformats.org/officeDocument/2006/relationships/image" Target="../media/image126.png"/><Relationship Id="rId4" Type="http://schemas.openxmlformats.org/officeDocument/2006/relationships/image" Target="../media/image127.png"/>
</Relationships>
</file>

<file path=xl/drawings/_rels/drawing13.xml.rels><?xml version="1.0" encoding="UTF-8"?>
<Relationships xmlns="http://schemas.openxmlformats.org/package/2006/relationships"><Relationship Id="rId1" Type="http://schemas.openxmlformats.org/officeDocument/2006/relationships/hyperlink" Target="#Inicio!A1"/><Relationship Id="rId2" Type="http://schemas.openxmlformats.org/officeDocument/2006/relationships/image" Target="../media/image128.png"/><Relationship Id="rId3" Type="http://schemas.openxmlformats.org/officeDocument/2006/relationships/image" Target="../media/image129.png"/>
</Relationships>
</file>

<file path=xl/drawings/_rels/drawing14.xml.rels><?xml version="1.0" encoding="UTF-8"?>
<Relationships xmlns="http://schemas.openxmlformats.org/package/2006/relationships"><Relationship Id="rId1" Type="http://schemas.openxmlformats.org/officeDocument/2006/relationships/image" Target="../media/image130.png"/><Relationship Id="rId2" Type="http://schemas.openxmlformats.org/officeDocument/2006/relationships/hyperlink" Target="#Inicio!A1"/><Relationship Id="rId3" Type="http://schemas.openxmlformats.org/officeDocument/2006/relationships/image" Target="../media/image131.png"/><Relationship Id="rId4" Type="http://schemas.openxmlformats.org/officeDocument/2006/relationships/image" Target="../media/image13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784800</xdr:colOff>
      <xdr:row>1</xdr:row>
      <xdr:rowOff>601920</xdr:rowOff>
    </xdr:from>
    <xdr:to>
      <xdr:col>13</xdr:col>
      <xdr:colOff>19440</xdr:colOff>
      <xdr:row>4</xdr:row>
      <xdr:rowOff>57600</xdr:rowOff>
    </xdr:to>
    <xdr:sp>
      <xdr:nvSpPr>
        <xdr:cNvPr id="0" name="CustomShape 1"/>
        <xdr:cNvSpPr/>
      </xdr:nvSpPr>
      <xdr:spPr>
        <a:xfrm>
          <a:off x="784800" y="1735200"/>
          <a:ext cx="13377240" cy="515520"/>
        </a:xfrm>
        <a:prstGeom prst="rect">
          <a:avLst/>
        </a:prstGeom>
        <a:noFill/>
        <a:ln>
          <a:noFill/>
        </a:ln>
      </xdr:spPr>
      <xdr:style>
        <a:lnRef idx="3">
          <a:schemeClr val="lt1"/>
        </a:lnRef>
        <a:fillRef idx="1">
          <a:schemeClr val="accent1"/>
        </a:fillRef>
        <a:effectRef idx="1">
          <a:schemeClr val="accent1"/>
        </a:effectRef>
        <a:fontRef idx="minor"/>
      </xdr:style>
      <xdr:txBody>
        <a:bodyPr lIns="90000" rIns="90000" tIns="45000" bIns="45000" anchor="ctr">
          <a:noAutofit/>
        </a:bodyPr>
        <a:p>
          <a:pPr algn="ctr">
            <a:lnSpc>
              <a:spcPct val="100000"/>
            </a:lnSpc>
          </a:pPr>
          <a:r>
            <a:rPr b="1" lang="es-ES" sz="2400" spc="-1" strike="noStrike">
              <a:solidFill>
                <a:srgbClr val="ffffff"/>
              </a:solidFill>
              <a:latin typeface="Calibri"/>
            </a:rPr>
            <a:t>Herramienta de Registro Retributivo</a:t>
          </a:r>
          <a:endParaRPr b="0" lang="en-US" sz="2400" spc="-1" strike="noStrike">
            <a:latin typeface="Times New Roman"/>
          </a:endParaRPr>
        </a:p>
      </xdr:txBody>
    </xdr:sp>
    <xdr:clientData/>
  </xdr:twoCellAnchor>
  <xdr:twoCellAnchor editAs="oneCell">
    <xdr:from>
      <xdr:col>1</xdr:col>
      <xdr:colOff>23040</xdr:colOff>
      <xdr:row>12</xdr:row>
      <xdr:rowOff>19080</xdr:rowOff>
    </xdr:from>
    <xdr:to>
      <xdr:col>2</xdr:col>
      <xdr:colOff>335520</xdr:colOff>
      <xdr:row>13</xdr:row>
      <xdr:rowOff>131760</xdr:rowOff>
    </xdr:to>
    <xdr:pic>
      <xdr:nvPicPr>
        <xdr:cNvPr id="1" name="Imagen 7" descr="">
          <a:hlinkClick r:id="rId1"/>
        </xdr:cNvPr>
        <xdr:cNvPicPr/>
      </xdr:nvPicPr>
      <xdr:blipFill>
        <a:blip r:embed="rId2"/>
        <a:stretch/>
      </xdr:blipFill>
      <xdr:spPr>
        <a:xfrm>
          <a:off x="876240" y="3410280"/>
          <a:ext cx="1419840" cy="303480"/>
        </a:xfrm>
        <a:prstGeom prst="rect">
          <a:avLst/>
        </a:prstGeom>
        <a:ln>
          <a:noFill/>
        </a:ln>
      </xdr:spPr>
    </xdr:pic>
    <xdr:clientData/>
  </xdr:twoCellAnchor>
  <xdr:twoCellAnchor editAs="oneCell">
    <xdr:from>
      <xdr:col>3</xdr:col>
      <xdr:colOff>155880</xdr:colOff>
      <xdr:row>12</xdr:row>
      <xdr:rowOff>19080</xdr:rowOff>
    </xdr:from>
    <xdr:to>
      <xdr:col>5</xdr:col>
      <xdr:colOff>783720</xdr:colOff>
      <xdr:row>13</xdr:row>
      <xdr:rowOff>131760</xdr:rowOff>
    </xdr:to>
    <xdr:pic>
      <xdr:nvPicPr>
        <xdr:cNvPr id="2" name="Imagen 9" descr="">
          <a:hlinkClick r:id="rId3"/>
        </xdr:cNvPr>
        <xdr:cNvPicPr/>
      </xdr:nvPicPr>
      <xdr:blipFill>
        <a:blip r:embed="rId4"/>
        <a:stretch/>
      </xdr:blipFill>
      <xdr:spPr>
        <a:xfrm>
          <a:off x="3224160" y="3410280"/>
          <a:ext cx="2842560" cy="303480"/>
        </a:xfrm>
        <a:prstGeom prst="rect">
          <a:avLst/>
        </a:prstGeom>
        <a:ln>
          <a:noFill/>
        </a:ln>
      </xdr:spPr>
    </xdr:pic>
    <xdr:clientData/>
  </xdr:twoCellAnchor>
  <xdr:twoCellAnchor editAs="oneCell">
    <xdr:from>
      <xdr:col>6</xdr:col>
      <xdr:colOff>764280</xdr:colOff>
      <xdr:row>12</xdr:row>
      <xdr:rowOff>19080</xdr:rowOff>
    </xdr:from>
    <xdr:to>
      <xdr:col>8</xdr:col>
      <xdr:colOff>130320</xdr:colOff>
      <xdr:row>13</xdr:row>
      <xdr:rowOff>131760</xdr:rowOff>
    </xdr:to>
    <xdr:pic>
      <xdr:nvPicPr>
        <xdr:cNvPr id="3" name="Imagen 11" descr="">
          <a:hlinkClick r:id="rId5"/>
        </xdr:cNvPr>
        <xdr:cNvPicPr/>
      </xdr:nvPicPr>
      <xdr:blipFill>
        <a:blip r:embed="rId6"/>
        <a:stretch/>
      </xdr:blipFill>
      <xdr:spPr>
        <a:xfrm>
          <a:off x="7154640" y="3410280"/>
          <a:ext cx="1581120" cy="303480"/>
        </a:xfrm>
        <a:prstGeom prst="rect">
          <a:avLst/>
        </a:prstGeom>
        <a:ln>
          <a:noFill/>
        </a:ln>
      </xdr:spPr>
    </xdr:pic>
    <xdr:clientData/>
  </xdr:twoCellAnchor>
  <xdr:twoCellAnchor editAs="oneCell">
    <xdr:from>
      <xdr:col>9</xdr:col>
      <xdr:colOff>110880</xdr:colOff>
      <xdr:row>12</xdr:row>
      <xdr:rowOff>19080</xdr:rowOff>
    </xdr:from>
    <xdr:to>
      <xdr:col>10</xdr:col>
      <xdr:colOff>423360</xdr:colOff>
      <xdr:row>13</xdr:row>
      <xdr:rowOff>131760</xdr:rowOff>
    </xdr:to>
    <xdr:pic>
      <xdr:nvPicPr>
        <xdr:cNvPr id="4" name="Imagen 13" descr="">
          <a:hlinkClick r:id="rId7"/>
        </xdr:cNvPr>
        <xdr:cNvPicPr/>
      </xdr:nvPicPr>
      <xdr:blipFill>
        <a:blip r:embed="rId8"/>
        <a:stretch/>
      </xdr:blipFill>
      <xdr:spPr>
        <a:xfrm>
          <a:off x="9823680" y="3410280"/>
          <a:ext cx="1419840" cy="303480"/>
        </a:xfrm>
        <a:prstGeom prst="rect">
          <a:avLst/>
        </a:prstGeom>
        <a:ln>
          <a:noFill/>
        </a:ln>
      </xdr:spPr>
    </xdr:pic>
    <xdr:clientData/>
  </xdr:twoCellAnchor>
  <xdr:twoCellAnchor editAs="oneCell">
    <xdr:from>
      <xdr:col>11</xdr:col>
      <xdr:colOff>243720</xdr:colOff>
      <xdr:row>12</xdr:row>
      <xdr:rowOff>19080</xdr:rowOff>
    </xdr:from>
    <xdr:to>
      <xdr:col>12</xdr:col>
      <xdr:colOff>562320</xdr:colOff>
      <xdr:row>13</xdr:row>
      <xdr:rowOff>131760</xdr:rowOff>
    </xdr:to>
    <xdr:pic>
      <xdr:nvPicPr>
        <xdr:cNvPr id="5" name="Imagen 24" descr="">
          <a:hlinkClick r:id="rId9"/>
        </xdr:cNvPr>
        <xdr:cNvPicPr/>
      </xdr:nvPicPr>
      <xdr:blipFill>
        <a:blip r:embed="rId10"/>
        <a:stretch/>
      </xdr:blipFill>
      <xdr:spPr>
        <a:xfrm>
          <a:off x="12171240" y="3410280"/>
          <a:ext cx="1426320" cy="303480"/>
        </a:xfrm>
        <a:prstGeom prst="rect">
          <a:avLst/>
        </a:prstGeom>
        <a:ln>
          <a:noFill/>
        </a:ln>
      </xdr:spPr>
    </xdr:pic>
    <xdr:clientData/>
  </xdr:twoCellAnchor>
  <xdr:twoCellAnchor editAs="oneCell">
    <xdr:from>
      <xdr:col>1</xdr:col>
      <xdr:colOff>23040</xdr:colOff>
      <xdr:row>16</xdr:row>
      <xdr:rowOff>76320</xdr:rowOff>
    </xdr:from>
    <xdr:to>
      <xdr:col>3</xdr:col>
      <xdr:colOff>53640</xdr:colOff>
      <xdr:row>20</xdr:row>
      <xdr:rowOff>60840</xdr:rowOff>
    </xdr:to>
    <xdr:pic>
      <xdr:nvPicPr>
        <xdr:cNvPr id="6" name="Imagen 32" descr="">
          <a:hlinkClick r:id="rId11"/>
        </xdr:cNvPr>
        <xdr:cNvPicPr/>
      </xdr:nvPicPr>
      <xdr:blipFill>
        <a:blip r:embed="rId12"/>
        <a:stretch/>
      </xdr:blipFill>
      <xdr:spPr>
        <a:xfrm>
          <a:off x="876240" y="4368240"/>
          <a:ext cx="2245680" cy="746280"/>
        </a:xfrm>
        <a:prstGeom prst="rect">
          <a:avLst/>
        </a:prstGeom>
        <a:ln>
          <a:noFill/>
        </a:ln>
      </xdr:spPr>
    </xdr:pic>
    <xdr:clientData/>
  </xdr:twoCellAnchor>
  <xdr:twoCellAnchor editAs="oneCell">
    <xdr:from>
      <xdr:col>4</xdr:col>
      <xdr:colOff>133200</xdr:colOff>
      <xdr:row>16</xdr:row>
      <xdr:rowOff>76320</xdr:rowOff>
    </xdr:from>
    <xdr:to>
      <xdr:col>6</xdr:col>
      <xdr:colOff>169920</xdr:colOff>
      <xdr:row>20</xdr:row>
      <xdr:rowOff>60840</xdr:rowOff>
    </xdr:to>
    <xdr:pic>
      <xdr:nvPicPr>
        <xdr:cNvPr id="7" name="Imagen 33" descr="">
          <a:hlinkClick r:id="rId13"/>
        </xdr:cNvPr>
        <xdr:cNvPicPr/>
      </xdr:nvPicPr>
      <xdr:blipFill>
        <a:blip r:embed="rId14"/>
        <a:stretch/>
      </xdr:blipFill>
      <xdr:spPr>
        <a:xfrm>
          <a:off x="4308840" y="4368240"/>
          <a:ext cx="2251440" cy="746280"/>
        </a:xfrm>
        <a:prstGeom prst="rect">
          <a:avLst/>
        </a:prstGeom>
        <a:ln>
          <a:noFill/>
        </a:ln>
      </xdr:spPr>
    </xdr:pic>
    <xdr:clientData/>
  </xdr:twoCellAnchor>
  <xdr:twoCellAnchor editAs="oneCell">
    <xdr:from>
      <xdr:col>7</xdr:col>
      <xdr:colOff>249480</xdr:colOff>
      <xdr:row>16</xdr:row>
      <xdr:rowOff>76320</xdr:rowOff>
    </xdr:from>
    <xdr:to>
      <xdr:col>9</xdr:col>
      <xdr:colOff>286200</xdr:colOff>
      <xdr:row>20</xdr:row>
      <xdr:rowOff>60840</xdr:rowOff>
    </xdr:to>
    <xdr:pic>
      <xdr:nvPicPr>
        <xdr:cNvPr id="8" name="Imagen 34" descr="">
          <a:hlinkClick r:id="rId15"/>
        </xdr:cNvPr>
        <xdr:cNvPicPr/>
      </xdr:nvPicPr>
      <xdr:blipFill>
        <a:blip r:embed="rId16"/>
        <a:stretch/>
      </xdr:blipFill>
      <xdr:spPr>
        <a:xfrm>
          <a:off x="7747560" y="4368240"/>
          <a:ext cx="2251440" cy="746280"/>
        </a:xfrm>
        <a:prstGeom prst="rect">
          <a:avLst/>
        </a:prstGeom>
        <a:ln>
          <a:noFill/>
        </a:ln>
      </xdr:spPr>
    </xdr:pic>
    <xdr:clientData/>
  </xdr:twoCellAnchor>
  <xdr:twoCellAnchor editAs="oneCell">
    <xdr:from>
      <xdr:col>10</xdr:col>
      <xdr:colOff>365760</xdr:colOff>
      <xdr:row>16</xdr:row>
      <xdr:rowOff>76320</xdr:rowOff>
    </xdr:from>
    <xdr:to>
      <xdr:col>12</xdr:col>
      <xdr:colOff>402480</xdr:colOff>
      <xdr:row>20</xdr:row>
      <xdr:rowOff>60840</xdr:rowOff>
    </xdr:to>
    <xdr:pic>
      <xdr:nvPicPr>
        <xdr:cNvPr id="9" name="Imagen 35" descr="">
          <a:hlinkClick r:id="rId17"/>
        </xdr:cNvPr>
        <xdr:cNvPicPr/>
      </xdr:nvPicPr>
      <xdr:blipFill>
        <a:blip r:embed="rId18"/>
        <a:stretch/>
      </xdr:blipFill>
      <xdr:spPr>
        <a:xfrm>
          <a:off x="11185920" y="4368240"/>
          <a:ext cx="2251800" cy="746280"/>
        </a:xfrm>
        <a:prstGeom prst="rect">
          <a:avLst/>
        </a:prstGeom>
        <a:ln>
          <a:noFill/>
        </a:ln>
      </xdr:spPr>
    </xdr:pic>
    <xdr:clientData/>
  </xdr:twoCellAnchor>
  <xdr:twoCellAnchor editAs="oneCell">
    <xdr:from>
      <xdr:col>1</xdr:col>
      <xdr:colOff>23040</xdr:colOff>
      <xdr:row>22</xdr:row>
      <xdr:rowOff>110520</xdr:rowOff>
    </xdr:from>
    <xdr:to>
      <xdr:col>3</xdr:col>
      <xdr:colOff>71640</xdr:colOff>
      <xdr:row>26</xdr:row>
      <xdr:rowOff>113400</xdr:rowOff>
    </xdr:to>
    <xdr:pic>
      <xdr:nvPicPr>
        <xdr:cNvPr id="10" name="Imagen 36" descr="">
          <a:hlinkClick r:id="rId19"/>
        </xdr:cNvPr>
        <xdr:cNvPicPr/>
      </xdr:nvPicPr>
      <xdr:blipFill>
        <a:blip r:embed="rId20"/>
        <a:stretch/>
      </xdr:blipFill>
      <xdr:spPr>
        <a:xfrm>
          <a:off x="876240" y="5621400"/>
          <a:ext cx="2263680" cy="765000"/>
        </a:xfrm>
        <a:prstGeom prst="rect">
          <a:avLst/>
        </a:prstGeom>
        <a:ln>
          <a:noFill/>
        </a:ln>
      </xdr:spPr>
    </xdr:pic>
    <xdr:clientData/>
  </xdr:twoCellAnchor>
  <xdr:twoCellAnchor editAs="oneCell">
    <xdr:from>
      <xdr:col>4</xdr:col>
      <xdr:colOff>114840</xdr:colOff>
      <xdr:row>22</xdr:row>
      <xdr:rowOff>104400</xdr:rowOff>
    </xdr:from>
    <xdr:to>
      <xdr:col>6</xdr:col>
      <xdr:colOff>181800</xdr:colOff>
      <xdr:row>26</xdr:row>
      <xdr:rowOff>119520</xdr:rowOff>
    </xdr:to>
    <xdr:pic>
      <xdr:nvPicPr>
        <xdr:cNvPr id="11" name="Imagen 37" descr="">
          <a:hlinkClick r:id="rId21"/>
        </xdr:cNvPr>
        <xdr:cNvPicPr/>
      </xdr:nvPicPr>
      <xdr:blipFill>
        <a:blip r:embed="rId22"/>
        <a:stretch/>
      </xdr:blipFill>
      <xdr:spPr>
        <a:xfrm>
          <a:off x="4290480" y="5615280"/>
          <a:ext cx="2281680" cy="777240"/>
        </a:xfrm>
        <a:prstGeom prst="rect">
          <a:avLst/>
        </a:prstGeom>
        <a:ln>
          <a:noFill/>
        </a:ln>
      </xdr:spPr>
    </xdr:pic>
    <xdr:clientData/>
  </xdr:twoCellAnchor>
  <xdr:twoCellAnchor editAs="oneCell">
    <xdr:from>
      <xdr:col>7</xdr:col>
      <xdr:colOff>225000</xdr:colOff>
      <xdr:row>22</xdr:row>
      <xdr:rowOff>104400</xdr:rowOff>
    </xdr:from>
    <xdr:to>
      <xdr:col>9</xdr:col>
      <xdr:colOff>291960</xdr:colOff>
      <xdr:row>26</xdr:row>
      <xdr:rowOff>119520</xdr:rowOff>
    </xdr:to>
    <xdr:pic>
      <xdr:nvPicPr>
        <xdr:cNvPr id="12" name="Imagen 38" descr="">
          <a:hlinkClick r:id="rId23"/>
        </xdr:cNvPr>
        <xdr:cNvPicPr/>
      </xdr:nvPicPr>
      <xdr:blipFill>
        <a:blip r:embed="rId24"/>
        <a:stretch/>
      </xdr:blipFill>
      <xdr:spPr>
        <a:xfrm>
          <a:off x="7723080" y="5615280"/>
          <a:ext cx="2281680" cy="777240"/>
        </a:xfrm>
        <a:prstGeom prst="rect">
          <a:avLst/>
        </a:prstGeom>
        <a:ln>
          <a:noFill/>
        </a:ln>
      </xdr:spPr>
    </xdr:pic>
    <xdr:clientData/>
  </xdr:twoCellAnchor>
  <xdr:twoCellAnchor editAs="oneCell">
    <xdr:from>
      <xdr:col>10</xdr:col>
      <xdr:colOff>335160</xdr:colOff>
      <xdr:row>22</xdr:row>
      <xdr:rowOff>104400</xdr:rowOff>
    </xdr:from>
    <xdr:to>
      <xdr:col>12</xdr:col>
      <xdr:colOff>402120</xdr:colOff>
      <xdr:row>26</xdr:row>
      <xdr:rowOff>119520</xdr:rowOff>
    </xdr:to>
    <xdr:pic>
      <xdr:nvPicPr>
        <xdr:cNvPr id="13" name="Imagen 39" descr="">
          <a:hlinkClick r:id="rId25"/>
        </xdr:cNvPr>
        <xdr:cNvPicPr/>
      </xdr:nvPicPr>
      <xdr:blipFill>
        <a:blip r:embed="rId26"/>
        <a:stretch/>
      </xdr:blipFill>
      <xdr:spPr>
        <a:xfrm>
          <a:off x="11155320" y="5615280"/>
          <a:ext cx="2282040" cy="777240"/>
        </a:xfrm>
        <a:prstGeom prst="rect">
          <a:avLst/>
        </a:prstGeom>
        <a:ln>
          <a:noFill/>
        </a:ln>
      </xdr:spPr>
    </xdr:pic>
    <xdr:clientData/>
  </xdr:twoCellAnchor>
  <xdr:twoCellAnchor editAs="absolute">
    <xdr:from>
      <xdr:col>3</xdr:col>
      <xdr:colOff>1096920</xdr:colOff>
      <xdr:row>0</xdr:row>
      <xdr:rowOff>1127880</xdr:rowOff>
    </xdr:from>
    <xdr:to>
      <xdr:col>10</xdr:col>
      <xdr:colOff>131400</xdr:colOff>
      <xdr:row>3</xdr:row>
      <xdr:rowOff>104760</xdr:rowOff>
    </xdr:to>
    <xdr:sp>
      <xdr:nvSpPr>
        <xdr:cNvPr id="14" name="CustomShape 1"/>
        <xdr:cNvSpPr/>
      </xdr:nvSpPr>
      <xdr:spPr>
        <a:xfrm>
          <a:off x="4165200" y="1127880"/>
          <a:ext cx="6786360" cy="979560"/>
        </a:xfrm>
        <a:prstGeom prst="rect">
          <a:avLst/>
        </a:prstGeom>
        <a:solidFill>
          <a:srgbClr val="ffff38"/>
        </a:solidFill>
        <a:ln>
          <a:noFill/>
        </a:ln>
      </xdr:spPr>
      <xdr:style>
        <a:lnRef idx="0"/>
        <a:fillRef idx="0"/>
        <a:effectRef idx="0"/>
        <a:fontRef idx="minor"/>
      </xdr:style>
      <xdr:txBody>
        <a:bodyPr lIns="0" rIns="0" tIns="0" bIns="0">
          <a:spAutoFit/>
        </a:bodyPr>
        <a:p>
          <a:pPr>
            <a:lnSpc>
              <a:spcPct val="100000"/>
            </a:lnSpc>
          </a:pPr>
          <a:r>
            <a:rPr b="1" lang="en-US" sz="1200" spc="-1" strike="noStrike">
              <a:solidFill>
                <a:srgbClr val="000000"/>
              </a:solidFill>
              <a:latin typeface="Lohit Assamese"/>
            </a:rPr>
            <a:t>	</a:t>
          </a:r>
          <a:endParaRPr b="0" lang="en-US" sz="1200" spc="-1" strike="noStrike">
            <a:latin typeface="Times New Roman"/>
          </a:endParaRPr>
        </a:p>
        <a:p>
          <a:pPr>
            <a:lnSpc>
              <a:spcPct val="100000"/>
            </a:lnSpc>
          </a:pPr>
          <a:r>
            <a:rPr b="1" lang="en-US" sz="1200" spc="-1" strike="noStrike">
              <a:solidFill>
                <a:srgbClr val="000000"/>
              </a:solidFill>
              <a:latin typeface="Lohit Assamese"/>
            </a:rPr>
            <a:t> </a:t>
          </a:r>
          <a:r>
            <a:rPr b="1" lang="en-US" sz="1200" spc="-1" strike="noStrike">
              <a:solidFill>
                <a:srgbClr val="000000"/>
              </a:solidFill>
              <a:latin typeface="Lohit Assamese"/>
            </a:rPr>
            <a:t>Para que el documento se visualice correctamente es necesario actualizar las fórmulas:</a:t>
          </a:r>
          <a:endParaRPr b="0" lang="en-US" sz="1200" spc="-1" strike="noStrike">
            <a:latin typeface="Times New Roman"/>
          </a:endParaRPr>
        </a:p>
        <a:p>
          <a:pPr algn="just">
            <a:lnSpc>
              <a:spcPct val="100000"/>
            </a:lnSpc>
          </a:pPr>
          <a:endParaRPr b="0" lang="en-US" sz="1200" spc="-1" strike="noStrike">
            <a:latin typeface="Times New Roman"/>
          </a:endParaRPr>
        </a:p>
        <a:p>
          <a:pPr algn="just">
            <a:lnSpc>
              <a:spcPct val="100000"/>
            </a:lnSpc>
          </a:pPr>
          <a:r>
            <a:rPr b="1" lang="en-US" sz="1200" spc="-1" strike="noStrike">
              <a:solidFill>
                <a:srgbClr val="000000"/>
              </a:solidFill>
              <a:latin typeface="Lohit Assamese"/>
            </a:rPr>
            <a:t>	</a:t>
          </a:r>
          <a:r>
            <a:rPr b="1" lang="en-US" sz="1200" spc="-1" strike="noStrike">
              <a:solidFill>
                <a:srgbClr val="000000"/>
              </a:solidFill>
              <a:latin typeface="Lohit Assamese"/>
            </a:rPr>
            <a:t>	</a:t>
          </a:r>
          <a:r>
            <a:rPr b="1" lang="en-US" sz="1200" spc="-1" strike="noStrike">
              <a:solidFill>
                <a:srgbClr val="000000"/>
              </a:solidFill>
              <a:latin typeface="Lohit Assamese"/>
            </a:rPr>
            <a:t>	</a:t>
          </a:r>
          <a:r>
            <a:rPr b="1" lang="en-US" sz="1200" spc="-1" strike="noStrike">
              <a:solidFill>
                <a:srgbClr val="000000"/>
              </a:solidFill>
              <a:latin typeface="Lohit Assamese"/>
            </a:rPr>
            <a:t>- MICROSOFT EXCEL: </a:t>
          </a:r>
          <a:r>
            <a:rPr b="0" lang="en-US" sz="1200" spc="-1" strike="noStrike">
              <a:solidFill>
                <a:srgbClr val="000000"/>
              </a:solidFill>
              <a:latin typeface="Lohit Assamese"/>
            </a:rPr>
            <a:t>Pulsar</a:t>
          </a:r>
          <a:r>
            <a:rPr b="1" lang="en-US" sz="1200" spc="-1" strike="noStrike">
              <a:solidFill>
                <a:srgbClr val="000000"/>
              </a:solidFill>
              <a:latin typeface="Lohit Assamese"/>
            </a:rPr>
            <a:t> F9.</a:t>
          </a:r>
          <a:endParaRPr b="0" lang="en-US" sz="1200" spc="-1" strike="noStrike">
            <a:latin typeface="Times New Roman"/>
          </a:endParaRPr>
        </a:p>
        <a:p>
          <a:pPr algn="just">
            <a:lnSpc>
              <a:spcPct val="100000"/>
            </a:lnSpc>
          </a:pPr>
          <a:r>
            <a:rPr b="1" lang="en-US" sz="1200" spc="-1" strike="noStrike">
              <a:solidFill>
                <a:srgbClr val="000000"/>
              </a:solidFill>
              <a:latin typeface="Lohit Assamese"/>
            </a:rPr>
            <a:t>	</a:t>
          </a:r>
          <a:r>
            <a:rPr b="1" lang="en-US" sz="1200" spc="-1" strike="noStrike">
              <a:solidFill>
                <a:srgbClr val="000000"/>
              </a:solidFill>
              <a:latin typeface="Lohit Assamese"/>
            </a:rPr>
            <a:t>	</a:t>
          </a:r>
          <a:r>
            <a:rPr b="1" lang="en-US" sz="1200" spc="-1" strike="noStrike">
              <a:solidFill>
                <a:srgbClr val="000000"/>
              </a:solidFill>
              <a:latin typeface="Lohit Assamese"/>
            </a:rPr>
            <a:t>	</a:t>
          </a:r>
          <a:r>
            <a:rPr b="1" lang="en-US" sz="1200" spc="-1" strike="noStrike">
              <a:solidFill>
                <a:srgbClr val="000000"/>
              </a:solidFill>
              <a:latin typeface="Lohit Assamese"/>
            </a:rPr>
            <a:t>- LIBRE OFFICE: </a:t>
          </a:r>
          <a:r>
            <a:rPr b="0" lang="en-US" sz="1200" spc="-1" strike="noStrike">
              <a:solidFill>
                <a:srgbClr val="000000"/>
              </a:solidFill>
              <a:latin typeface="Lohit Assamese"/>
            </a:rPr>
            <a:t>Pulsar</a:t>
          </a:r>
          <a:r>
            <a:rPr b="1" lang="en-US" sz="1200" spc="-1" strike="noStrike">
              <a:solidFill>
                <a:srgbClr val="000000"/>
              </a:solidFill>
              <a:latin typeface="Lohit Assamese"/>
            </a:rPr>
            <a:t> Ctrl. + ⇧ + F9</a:t>
          </a:r>
          <a:endParaRPr b="0" lang="en-US" sz="12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411480</xdr:colOff>
      <xdr:row>53</xdr:row>
      <xdr:rowOff>0</xdr:rowOff>
    </xdr:from>
    <xdr:to>
      <xdr:col>2</xdr:col>
      <xdr:colOff>105120</xdr:colOff>
      <xdr:row>62</xdr:row>
      <xdr:rowOff>200160</xdr:rowOff>
    </xdr:to>
    <xdr:pic>
      <xdr:nvPicPr>
        <xdr:cNvPr id="15" name="Imagen 1" descr=""/>
        <xdr:cNvPicPr/>
      </xdr:nvPicPr>
      <xdr:blipFill>
        <a:blip r:embed="rId1"/>
        <a:stretch/>
      </xdr:blipFill>
      <xdr:spPr>
        <a:xfrm>
          <a:off x="411480" y="15940800"/>
          <a:ext cx="693720" cy="2571840"/>
        </a:xfrm>
        <a:prstGeom prst="rect">
          <a:avLst/>
        </a:prstGeom>
        <a:ln>
          <a:noFill/>
        </a:ln>
      </xdr:spPr>
    </xdr:pic>
    <xdr:clientData/>
  </xdr:twoCellAnchor>
  <xdr:twoCellAnchor editAs="oneCell">
    <xdr:from>
      <xdr:col>0</xdr:col>
      <xdr:colOff>0</xdr:colOff>
      <xdr:row>0</xdr:row>
      <xdr:rowOff>0</xdr:rowOff>
    </xdr:from>
    <xdr:to>
      <xdr:col>0</xdr:col>
      <xdr:colOff>482400</xdr:colOff>
      <xdr:row>1</xdr:row>
      <xdr:rowOff>160560</xdr:rowOff>
    </xdr:to>
    <xdr:pic>
      <xdr:nvPicPr>
        <xdr:cNvPr id="16" name="Imagen 7" descr="">
          <a:hlinkClick r:id="rId2"/>
        </xdr:cNvPr>
        <xdr:cNvPicPr/>
      </xdr:nvPicPr>
      <xdr:blipFill>
        <a:blip r:embed="rId3"/>
        <a:srcRect l="5774" t="0" r="7262" b="19460"/>
        <a:stretch/>
      </xdr:blipFill>
      <xdr:spPr>
        <a:xfrm>
          <a:off x="0" y="0"/>
          <a:ext cx="482400" cy="3510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502920</xdr:colOff>
      <xdr:row>8</xdr:row>
      <xdr:rowOff>7560</xdr:rowOff>
    </xdr:from>
    <xdr:to>
      <xdr:col>4</xdr:col>
      <xdr:colOff>507240</xdr:colOff>
      <xdr:row>9</xdr:row>
      <xdr:rowOff>156600</xdr:rowOff>
    </xdr:to>
    <xdr:sp>
      <xdr:nvSpPr>
        <xdr:cNvPr id="17" name="CustomShape 1"/>
        <xdr:cNvSpPr/>
      </xdr:nvSpPr>
      <xdr:spPr>
        <a:xfrm>
          <a:off x="8587080" y="1531440"/>
          <a:ext cx="4320" cy="339480"/>
        </a:xfrm>
        <a:custGeom>
          <a:avLst/>
          <a:gdLst/>
          <a:ahLst/>
          <a:rect l="l" t="t" r="r" b="b"/>
          <a:pathLst>
            <a:path w="21600" h="21600">
              <a:moveTo>
                <a:pt x="0" y="0"/>
              </a:moveTo>
              <a:lnTo>
                <a:pt x="21600" y="21600"/>
              </a:lnTo>
            </a:path>
          </a:pathLst>
        </a:custGeom>
        <a:noFill/>
        <a:ln>
          <a:noFill/>
        </a:ln>
      </xdr:spPr>
      <xdr:style>
        <a:lnRef idx="3">
          <a:schemeClr val="accent6"/>
        </a:lnRef>
        <a:fillRef idx="0">
          <a:schemeClr val="accent6"/>
        </a:fillRef>
        <a:effectRef idx="2">
          <a:schemeClr val="accent6"/>
        </a:effectRef>
        <a:fontRef idx="minor"/>
      </xdr:style>
    </xdr:sp>
    <xdr:clientData/>
  </xdr:twoCellAnchor>
  <xdr:twoCellAnchor editAs="twoCell">
    <xdr:from>
      <xdr:col>5</xdr:col>
      <xdr:colOff>682200</xdr:colOff>
      <xdr:row>9</xdr:row>
      <xdr:rowOff>15120</xdr:rowOff>
    </xdr:from>
    <xdr:to>
      <xdr:col>6</xdr:col>
      <xdr:colOff>183600</xdr:colOff>
      <xdr:row>9</xdr:row>
      <xdr:rowOff>156600</xdr:rowOff>
    </xdr:to>
    <xdr:sp>
      <xdr:nvSpPr>
        <xdr:cNvPr id="18" name="CustomShape 1"/>
        <xdr:cNvSpPr/>
      </xdr:nvSpPr>
      <xdr:spPr>
        <a:xfrm flipH="1">
          <a:off x="9712440" y="1729440"/>
          <a:ext cx="640440" cy="141480"/>
        </a:xfrm>
        <a:custGeom>
          <a:avLst/>
          <a:gdLst/>
          <a:ahLst/>
          <a:rect l="l" t="t" r="r" b="b"/>
          <a:pathLst>
            <a:path w="21600" h="21600">
              <a:moveTo>
                <a:pt x="0" y="0"/>
              </a:moveTo>
              <a:lnTo>
                <a:pt x="21600" y="21600"/>
              </a:lnTo>
            </a:path>
          </a:pathLst>
        </a:custGeom>
        <a:noFill/>
        <a:ln>
          <a:noFill/>
        </a:ln>
      </xdr:spPr>
      <xdr:style>
        <a:lnRef idx="3">
          <a:schemeClr val="accent3"/>
        </a:lnRef>
        <a:fillRef idx="0">
          <a:schemeClr val="accent3"/>
        </a:fillRef>
        <a:effectRef idx="2">
          <a:schemeClr val="accent3"/>
        </a:effectRef>
        <a:fontRef idx="minor"/>
      </xdr:style>
    </xdr:sp>
    <xdr:clientData/>
  </xdr:twoCellAnchor>
  <xdr:twoCellAnchor editAs="oneCell">
    <xdr:from>
      <xdr:col>0</xdr:col>
      <xdr:colOff>38160</xdr:colOff>
      <xdr:row>0</xdr:row>
      <xdr:rowOff>42480</xdr:rowOff>
    </xdr:from>
    <xdr:to>
      <xdr:col>0</xdr:col>
      <xdr:colOff>520560</xdr:colOff>
      <xdr:row>2</xdr:row>
      <xdr:rowOff>16560</xdr:rowOff>
    </xdr:to>
    <xdr:pic>
      <xdr:nvPicPr>
        <xdr:cNvPr id="19" name="Imagen 8" descr="">
          <a:hlinkClick r:id="rId1"/>
        </xdr:cNvPr>
        <xdr:cNvPicPr/>
      </xdr:nvPicPr>
      <xdr:blipFill>
        <a:blip r:embed="rId2"/>
        <a:srcRect l="5774" t="0" r="7262" b="19460"/>
        <a:stretch/>
      </xdr:blipFill>
      <xdr:spPr>
        <a:xfrm>
          <a:off x="38160" y="42480"/>
          <a:ext cx="482400" cy="35496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80</xdr:col>
      <xdr:colOff>105120</xdr:colOff>
      <xdr:row>5</xdr:row>
      <xdr:rowOff>119520</xdr:rowOff>
    </xdr:from>
    <xdr:to>
      <xdr:col>84</xdr:col>
      <xdr:colOff>645480</xdr:colOff>
      <xdr:row>6</xdr:row>
      <xdr:rowOff>76680</xdr:rowOff>
    </xdr:to>
    <xdr:sp>
      <xdr:nvSpPr>
        <xdr:cNvPr id="20" name="CustomShape 1"/>
        <xdr:cNvSpPr/>
      </xdr:nvSpPr>
      <xdr:spPr>
        <a:xfrm>
          <a:off x="62778240" y="1431720"/>
          <a:ext cx="3763440" cy="324360"/>
        </a:xfrm>
        <a:prstGeom prst="roundRect">
          <a:avLst>
            <a:gd name="adj" fmla="val 16667"/>
          </a:avLst>
        </a:prstGeom>
        <a:noFill/>
        <a:ln>
          <a:noFill/>
        </a:ln>
      </xdr:spPr>
      <xdr:style>
        <a:lnRef idx="2">
          <a:schemeClr val="accent6">
            <a:shade val="50000"/>
          </a:schemeClr>
        </a:lnRef>
        <a:fillRef idx="1">
          <a:schemeClr val="accent6"/>
        </a:fillRef>
        <a:effectRef idx="0">
          <a:schemeClr val="accent6"/>
        </a:effectRef>
        <a:fontRef idx="minor"/>
      </xdr:style>
      <xdr:txBody>
        <a:bodyPr lIns="90000" rIns="90000" tIns="45000" bIns="45000" anchor="ctr">
          <a:noAutofit/>
        </a:bodyPr>
        <a:p>
          <a:pPr algn="ctr">
            <a:lnSpc>
              <a:spcPct val="100000"/>
            </a:lnSpc>
          </a:pPr>
          <a:r>
            <a:rPr b="1" i="1" lang="es-ES" sz="1200" spc="-1" strike="noStrike">
              <a:solidFill>
                <a:srgbClr val="ffffff"/>
              </a:solidFill>
              <a:latin typeface="Calibri"/>
            </a:rPr>
            <a:t>IMPORTES EFECTIVOS </a:t>
          </a:r>
          <a:endParaRPr b="0" lang="en-US" sz="1200" spc="-1" strike="noStrike">
            <a:latin typeface="Times New Roman"/>
          </a:endParaRPr>
        </a:p>
      </xdr:txBody>
    </xdr:sp>
    <xdr:clientData/>
  </xdr:twoCellAnchor>
  <xdr:twoCellAnchor editAs="twoCell">
    <xdr:from>
      <xdr:col>75</xdr:col>
      <xdr:colOff>133200</xdr:colOff>
      <xdr:row>5</xdr:row>
      <xdr:rowOff>127800</xdr:rowOff>
    </xdr:from>
    <xdr:to>
      <xdr:col>79</xdr:col>
      <xdr:colOff>579240</xdr:colOff>
      <xdr:row>6</xdr:row>
      <xdr:rowOff>76680</xdr:rowOff>
    </xdr:to>
    <xdr:sp>
      <xdr:nvSpPr>
        <xdr:cNvPr id="21" name="CustomShape 1"/>
        <xdr:cNvSpPr/>
      </xdr:nvSpPr>
      <xdr:spPr>
        <a:xfrm>
          <a:off x="58777200" y="1440000"/>
          <a:ext cx="3669120" cy="316080"/>
        </a:xfrm>
        <a:prstGeom prst="roundRect">
          <a:avLst>
            <a:gd name="adj" fmla="val 16667"/>
          </a:avLst>
        </a:prstGeom>
        <a:noFill/>
        <a:ln>
          <a:noFill/>
        </a:ln>
      </xdr:spPr>
      <xdr:style>
        <a:lnRef idx="2">
          <a:schemeClr val="accent5">
            <a:shade val="50000"/>
          </a:schemeClr>
        </a:lnRef>
        <a:fillRef idx="1">
          <a:schemeClr val="accent5"/>
        </a:fillRef>
        <a:effectRef idx="0">
          <a:schemeClr val="accent5"/>
        </a:effectRef>
        <a:fontRef idx="minor"/>
      </xdr:style>
      <xdr:txBody>
        <a:bodyPr lIns="90000" rIns="90000" tIns="45000" bIns="45000" anchor="ctr">
          <a:noAutofit/>
        </a:bodyPr>
        <a:p>
          <a:pPr algn="ctr">
            <a:lnSpc>
              <a:spcPct val="100000"/>
            </a:lnSpc>
          </a:pPr>
          <a:r>
            <a:rPr b="1" lang="es-ES" sz="1200" spc="-1" strike="noStrike">
              <a:solidFill>
                <a:srgbClr val="ffffff"/>
              </a:solidFill>
              <a:latin typeface="Calibri"/>
            </a:rPr>
            <a:t>IMPORTES EQUIPARADOS </a:t>
          </a:r>
          <a:endParaRPr b="0" lang="en-US" sz="1200" spc="-1" strike="noStrike">
            <a:latin typeface="Times New Roman"/>
          </a:endParaRPr>
        </a:p>
      </xdr:txBody>
    </xdr:sp>
    <xdr:clientData/>
  </xdr:twoCellAnchor>
  <xdr:twoCellAnchor editAs="oneCell">
    <xdr:from>
      <xdr:col>0</xdr:col>
      <xdr:colOff>0</xdr:colOff>
      <xdr:row>0</xdr:row>
      <xdr:rowOff>0</xdr:rowOff>
    </xdr:from>
    <xdr:to>
      <xdr:col>1</xdr:col>
      <xdr:colOff>234720</xdr:colOff>
      <xdr:row>0</xdr:row>
      <xdr:rowOff>343440</xdr:rowOff>
    </xdr:to>
    <xdr:pic>
      <xdr:nvPicPr>
        <xdr:cNvPr id="22" name="Imagen 5" descr="">
          <a:hlinkClick r:id="rId1"/>
        </xdr:cNvPr>
        <xdr:cNvPicPr/>
      </xdr:nvPicPr>
      <xdr:blipFill>
        <a:blip r:embed="rId2"/>
        <a:srcRect l="5774" t="0" r="7262" b="19460"/>
        <a:stretch/>
      </xdr:blipFill>
      <xdr:spPr>
        <a:xfrm>
          <a:off x="0" y="0"/>
          <a:ext cx="536040" cy="34344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98</xdr:row>
      <xdr:rowOff>0</xdr:rowOff>
    </xdr:from>
    <xdr:to>
      <xdr:col>0</xdr:col>
      <xdr:colOff>591120</xdr:colOff>
      <xdr:row>99</xdr:row>
      <xdr:rowOff>133920</xdr:rowOff>
    </xdr:to>
    <xdr:sp>
      <xdr:nvSpPr>
        <xdr:cNvPr id="23" name="CustomShape 1">
          <a:hlinkClick r:id="rId1"/>
        </xdr:cNvPr>
        <xdr:cNvSpPr/>
      </xdr:nvSpPr>
      <xdr:spPr>
        <a:xfrm>
          <a:off x="0" y="19014840"/>
          <a:ext cx="591120" cy="372240"/>
        </a:xfrm>
        <a:prstGeom prst="upArrow">
          <a:avLst>
            <a:gd name="adj1" fmla="val 80233"/>
            <a:gd name="adj2" fmla="val 50000"/>
          </a:avLst>
        </a:prstGeom>
        <a:noFill/>
        <a:ln>
          <a:noFill/>
        </a:ln>
      </xdr:spPr>
      <xdr:style>
        <a:lnRef idx="2">
          <a:schemeClr val="accent4">
            <a:shade val="50000"/>
          </a:schemeClr>
        </a:lnRef>
        <a:fillRef idx="1">
          <a:schemeClr val="accent4"/>
        </a:fillRef>
        <a:effectRef idx="0">
          <a:schemeClr val="accent4"/>
        </a:effectRef>
        <a:fontRef idx="minor"/>
      </xdr:style>
      <xdr:txBody>
        <a:bodyPr lIns="90000" rIns="90000" tIns="45000" bIns="45000" anchor="ctr">
          <a:noAutofit/>
        </a:bodyPr>
        <a:p>
          <a:pPr algn="ctr">
            <a:lnSpc>
              <a:spcPct val="100000"/>
            </a:lnSpc>
          </a:pPr>
          <a:r>
            <a:rPr b="1" lang="es-ES" sz="800" spc="-1" strike="noStrike">
              <a:solidFill>
                <a:srgbClr val="ffffff"/>
              </a:solidFill>
              <a:latin typeface="Calibri"/>
            </a:rPr>
            <a:t>Arriba</a:t>
          </a:r>
          <a:endParaRPr b="0" lang="en-US" sz="800" spc="-1" strike="noStrike">
            <a:latin typeface="Times New Roman"/>
          </a:endParaRPr>
        </a:p>
      </xdr:txBody>
    </xdr:sp>
    <xdr:clientData/>
  </xdr:twoCellAnchor>
  <xdr:twoCellAnchor editAs="oneCell">
    <xdr:from>
      <xdr:col>2</xdr:col>
      <xdr:colOff>76320</xdr:colOff>
      <xdr:row>2</xdr:row>
      <xdr:rowOff>38160</xdr:rowOff>
    </xdr:from>
    <xdr:to>
      <xdr:col>5</xdr:col>
      <xdr:colOff>109800</xdr:colOff>
      <xdr:row>5</xdr:row>
      <xdr:rowOff>150840</xdr:rowOff>
    </xdr:to>
    <xdr:pic>
      <xdr:nvPicPr>
        <xdr:cNvPr id="24" name="Imagen 1" descr="">
          <a:hlinkClick r:id="rId2"/>
        </xdr:cNvPr>
        <xdr:cNvPicPr/>
      </xdr:nvPicPr>
      <xdr:blipFill>
        <a:blip r:embed="rId3"/>
        <a:stretch/>
      </xdr:blipFill>
      <xdr:spPr>
        <a:xfrm>
          <a:off x="1549440" y="502920"/>
          <a:ext cx="2822760" cy="684000"/>
        </a:xfrm>
        <a:prstGeom prst="rect">
          <a:avLst/>
        </a:prstGeom>
        <a:ln>
          <a:noFill/>
        </a:ln>
      </xdr:spPr>
    </xdr:pic>
    <xdr:clientData/>
  </xdr:twoCellAnchor>
  <xdr:twoCellAnchor editAs="oneCell">
    <xdr:from>
      <xdr:col>11</xdr:col>
      <xdr:colOff>221040</xdr:colOff>
      <xdr:row>2</xdr:row>
      <xdr:rowOff>91440</xdr:rowOff>
    </xdr:from>
    <xdr:to>
      <xdr:col>16</xdr:col>
      <xdr:colOff>375120</xdr:colOff>
      <xdr:row>6</xdr:row>
      <xdr:rowOff>15120</xdr:rowOff>
    </xdr:to>
    <xdr:pic>
      <xdr:nvPicPr>
        <xdr:cNvPr id="25" name="Imagen 7" descr="">
          <a:hlinkClick r:id="rId4"/>
        </xdr:cNvPr>
        <xdr:cNvPicPr/>
      </xdr:nvPicPr>
      <xdr:blipFill>
        <a:blip r:embed="rId5"/>
        <a:stretch/>
      </xdr:blipFill>
      <xdr:spPr>
        <a:xfrm>
          <a:off x="8994600" y="556200"/>
          <a:ext cx="3913200" cy="685440"/>
        </a:xfrm>
        <a:prstGeom prst="rect">
          <a:avLst/>
        </a:prstGeom>
        <a:ln>
          <a:noFill/>
        </a:ln>
      </xdr:spPr>
    </xdr:pic>
    <xdr:clientData/>
  </xdr:twoCellAnchor>
  <xdr:twoCellAnchor editAs="oneCell">
    <xdr:from>
      <xdr:col>0</xdr:col>
      <xdr:colOff>0</xdr:colOff>
      <xdr:row>0</xdr:row>
      <xdr:rowOff>0</xdr:rowOff>
    </xdr:from>
    <xdr:to>
      <xdr:col>0</xdr:col>
      <xdr:colOff>482400</xdr:colOff>
      <xdr:row>1</xdr:row>
      <xdr:rowOff>160560</xdr:rowOff>
    </xdr:to>
    <xdr:pic>
      <xdr:nvPicPr>
        <xdr:cNvPr id="26" name="Imagen 5" descr="">
          <a:hlinkClick r:id="rId6"/>
        </xdr:cNvPr>
        <xdr:cNvPicPr/>
      </xdr:nvPicPr>
      <xdr:blipFill>
        <a:blip r:embed="rId7"/>
        <a:srcRect l="5774" t="0" r="7262" b="19460"/>
        <a:stretch/>
      </xdr:blipFill>
      <xdr:spPr>
        <a:xfrm>
          <a:off x="0" y="0"/>
          <a:ext cx="482400" cy="35100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482400</xdr:colOff>
      <xdr:row>1</xdr:row>
      <xdr:rowOff>163080</xdr:rowOff>
    </xdr:to>
    <xdr:pic>
      <xdr:nvPicPr>
        <xdr:cNvPr id="27" name="Imagen 2" descr="">
          <a:hlinkClick r:id="rId1"/>
        </xdr:cNvPr>
        <xdr:cNvPicPr/>
      </xdr:nvPicPr>
      <xdr:blipFill>
        <a:blip r:embed="rId2"/>
        <a:srcRect l="5774" t="0" r="7262" b="19460"/>
        <a:stretch/>
      </xdr:blipFill>
      <xdr:spPr>
        <a:xfrm>
          <a:off x="0" y="0"/>
          <a:ext cx="482400" cy="35352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281880</xdr:colOff>
      <xdr:row>1</xdr:row>
      <xdr:rowOff>167760</xdr:rowOff>
    </xdr:from>
    <xdr:to>
      <xdr:col>3</xdr:col>
      <xdr:colOff>495360</xdr:colOff>
      <xdr:row>6</xdr:row>
      <xdr:rowOff>7560</xdr:rowOff>
    </xdr:to>
    <xdr:pic>
      <xdr:nvPicPr>
        <xdr:cNvPr id="28" name="Imagen 5" descr=""/>
        <xdr:cNvPicPr/>
      </xdr:nvPicPr>
      <xdr:blipFill>
        <a:blip r:embed="rId1"/>
        <a:stretch/>
      </xdr:blipFill>
      <xdr:spPr>
        <a:xfrm>
          <a:off x="281880" y="708480"/>
          <a:ext cx="2211120" cy="722520"/>
        </a:xfrm>
        <a:prstGeom prst="rect">
          <a:avLst/>
        </a:prstGeom>
        <a:ln>
          <a:noFill/>
        </a:ln>
      </xdr:spPr>
    </xdr:pic>
    <xdr:clientData/>
  </xdr:twoCellAnchor>
  <xdr:twoCellAnchor editAs="oneCell">
    <xdr:from>
      <xdr:col>43</xdr:col>
      <xdr:colOff>0</xdr:colOff>
      <xdr:row>1</xdr:row>
      <xdr:rowOff>0</xdr:rowOff>
    </xdr:from>
    <xdr:to>
      <xdr:col>43</xdr:col>
      <xdr:colOff>482400</xdr:colOff>
      <xdr:row>2</xdr:row>
      <xdr:rowOff>168120</xdr:rowOff>
    </xdr:to>
    <xdr:pic>
      <xdr:nvPicPr>
        <xdr:cNvPr id="29" name="Imagen 7" descr="">
          <a:hlinkClick r:id="rId2"/>
        </xdr:cNvPr>
        <xdr:cNvPicPr/>
      </xdr:nvPicPr>
      <xdr:blipFill>
        <a:blip r:embed="rId3"/>
        <a:srcRect l="5774" t="0" r="7262" b="19460"/>
        <a:stretch/>
      </xdr:blipFill>
      <xdr:spPr>
        <a:xfrm>
          <a:off x="11335320" y="540720"/>
          <a:ext cx="482400" cy="344880"/>
        </a:xfrm>
        <a:prstGeom prst="rect">
          <a:avLst/>
        </a:prstGeom>
        <a:ln>
          <a:noFill/>
        </a:ln>
      </xdr:spPr>
    </xdr:pic>
    <xdr:clientData/>
  </xdr:twoCellAnchor>
  <xdr:twoCellAnchor editAs="oneCell">
    <xdr:from>
      <xdr:col>12</xdr:col>
      <xdr:colOff>0</xdr:colOff>
      <xdr:row>2</xdr:row>
      <xdr:rowOff>0</xdr:rowOff>
    </xdr:from>
    <xdr:to>
      <xdr:col>37</xdr:col>
      <xdr:colOff>149400</xdr:colOff>
      <xdr:row>6</xdr:row>
      <xdr:rowOff>131040</xdr:rowOff>
    </xdr:to>
    <xdr:pic>
      <xdr:nvPicPr>
        <xdr:cNvPr id="30" name="Imagen 15" descr=""/>
        <xdr:cNvPicPr/>
      </xdr:nvPicPr>
      <xdr:blipFill>
        <a:blip r:embed="rId4"/>
        <a:stretch/>
      </xdr:blipFill>
      <xdr:spPr>
        <a:xfrm>
          <a:off x="7468200" y="717480"/>
          <a:ext cx="2727360" cy="83700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259200</xdr:colOff>
      <xdr:row>1</xdr:row>
      <xdr:rowOff>160200</xdr:rowOff>
    </xdr:from>
    <xdr:to>
      <xdr:col>3</xdr:col>
      <xdr:colOff>478800</xdr:colOff>
      <xdr:row>5</xdr:row>
      <xdr:rowOff>176400</xdr:rowOff>
    </xdr:to>
    <xdr:pic>
      <xdr:nvPicPr>
        <xdr:cNvPr id="31" name="Imagen 5" descr=""/>
        <xdr:cNvPicPr/>
      </xdr:nvPicPr>
      <xdr:blipFill>
        <a:blip r:embed="rId1"/>
        <a:stretch/>
      </xdr:blipFill>
      <xdr:spPr>
        <a:xfrm>
          <a:off x="259200" y="700920"/>
          <a:ext cx="2217240" cy="722520"/>
        </a:xfrm>
        <a:prstGeom prst="rect">
          <a:avLst/>
        </a:prstGeom>
        <a:ln>
          <a:noFill/>
        </a:ln>
      </xdr:spPr>
    </xdr:pic>
    <xdr:clientData/>
  </xdr:twoCellAnchor>
  <xdr:twoCellAnchor editAs="oneCell">
    <xdr:from>
      <xdr:col>43</xdr:col>
      <xdr:colOff>0</xdr:colOff>
      <xdr:row>1</xdr:row>
      <xdr:rowOff>0</xdr:rowOff>
    </xdr:from>
    <xdr:to>
      <xdr:col>43</xdr:col>
      <xdr:colOff>482400</xdr:colOff>
      <xdr:row>2</xdr:row>
      <xdr:rowOff>168120</xdr:rowOff>
    </xdr:to>
    <xdr:pic>
      <xdr:nvPicPr>
        <xdr:cNvPr id="32" name="Imagen 7" descr="">
          <a:hlinkClick r:id="rId2"/>
        </xdr:cNvPr>
        <xdr:cNvPicPr/>
      </xdr:nvPicPr>
      <xdr:blipFill>
        <a:blip r:embed="rId3"/>
        <a:srcRect l="5774" t="0" r="7262" b="19460"/>
        <a:stretch/>
      </xdr:blipFill>
      <xdr:spPr>
        <a:xfrm>
          <a:off x="11335320" y="540720"/>
          <a:ext cx="482400" cy="344880"/>
        </a:xfrm>
        <a:prstGeom prst="rect">
          <a:avLst/>
        </a:prstGeom>
        <a:ln>
          <a:noFill/>
        </a:ln>
      </xdr:spPr>
    </xdr:pic>
    <xdr:clientData/>
  </xdr:twoCellAnchor>
  <xdr:twoCellAnchor editAs="oneCell">
    <xdr:from>
      <xdr:col>12</xdr:col>
      <xdr:colOff>0</xdr:colOff>
      <xdr:row>2</xdr:row>
      <xdr:rowOff>0</xdr:rowOff>
    </xdr:from>
    <xdr:to>
      <xdr:col>37</xdr:col>
      <xdr:colOff>155520</xdr:colOff>
      <xdr:row>6</xdr:row>
      <xdr:rowOff>131040</xdr:rowOff>
    </xdr:to>
    <xdr:pic>
      <xdr:nvPicPr>
        <xdr:cNvPr id="33" name="Imagen 9" descr=""/>
        <xdr:cNvPicPr/>
      </xdr:nvPicPr>
      <xdr:blipFill>
        <a:blip r:embed="rId4"/>
        <a:stretch/>
      </xdr:blipFill>
      <xdr:spPr>
        <a:xfrm>
          <a:off x="7468200" y="717480"/>
          <a:ext cx="2733480" cy="83700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4</xdr:col>
      <xdr:colOff>326160</xdr:colOff>
      <xdr:row>6</xdr:row>
      <xdr:rowOff>15120</xdr:rowOff>
    </xdr:to>
    <xdr:pic>
      <xdr:nvPicPr>
        <xdr:cNvPr id="34" name="Imagen 6" descr=""/>
        <xdr:cNvPicPr/>
      </xdr:nvPicPr>
      <xdr:blipFill>
        <a:blip r:embed="rId1"/>
        <a:stretch/>
      </xdr:blipFill>
      <xdr:spPr>
        <a:xfrm>
          <a:off x="708480" y="717480"/>
          <a:ext cx="2195640" cy="721080"/>
        </a:xfrm>
        <a:prstGeom prst="rect">
          <a:avLst/>
        </a:prstGeom>
        <a:ln>
          <a:noFill/>
        </a:ln>
      </xdr:spPr>
    </xdr:pic>
    <xdr:clientData/>
  </xdr:twoCellAnchor>
  <xdr:twoCellAnchor editAs="oneCell">
    <xdr:from>
      <xdr:col>47</xdr:col>
      <xdr:colOff>0</xdr:colOff>
      <xdr:row>1</xdr:row>
      <xdr:rowOff>0</xdr:rowOff>
    </xdr:from>
    <xdr:to>
      <xdr:col>47</xdr:col>
      <xdr:colOff>482400</xdr:colOff>
      <xdr:row>2</xdr:row>
      <xdr:rowOff>168120</xdr:rowOff>
    </xdr:to>
    <xdr:pic>
      <xdr:nvPicPr>
        <xdr:cNvPr id="35" name="Imagen 8" descr="">
          <a:hlinkClick r:id="rId2"/>
        </xdr:cNvPr>
        <xdr:cNvPicPr/>
      </xdr:nvPicPr>
      <xdr:blipFill>
        <a:blip r:embed="rId3"/>
        <a:srcRect l="5774" t="0" r="7262" b="19460"/>
        <a:stretch/>
      </xdr:blipFill>
      <xdr:spPr>
        <a:xfrm>
          <a:off x="13785120" y="540720"/>
          <a:ext cx="482400" cy="344880"/>
        </a:xfrm>
        <a:prstGeom prst="rect">
          <a:avLst/>
        </a:prstGeom>
        <a:ln>
          <a:noFill/>
        </a:ln>
      </xdr:spPr>
    </xdr:pic>
    <xdr:clientData/>
  </xdr:twoCellAnchor>
  <xdr:twoCellAnchor editAs="oneCell">
    <xdr:from>
      <xdr:col>15</xdr:col>
      <xdr:colOff>0</xdr:colOff>
      <xdr:row>2</xdr:row>
      <xdr:rowOff>0</xdr:rowOff>
    </xdr:from>
    <xdr:to>
      <xdr:col>40</xdr:col>
      <xdr:colOff>223920</xdr:colOff>
      <xdr:row>6</xdr:row>
      <xdr:rowOff>131040</xdr:rowOff>
    </xdr:to>
    <xdr:pic>
      <xdr:nvPicPr>
        <xdr:cNvPr id="36" name="Imagen 9" descr=""/>
        <xdr:cNvPicPr/>
      </xdr:nvPicPr>
      <xdr:blipFill>
        <a:blip r:embed="rId4"/>
        <a:stretch/>
      </xdr:blipFill>
      <xdr:spPr>
        <a:xfrm>
          <a:off x="9273240" y="717480"/>
          <a:ext cx="2727360" cy="83700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4</xdr:col>
      <xdr:colOff>326160</xdr:colOff>
      <xdr:row>6</xdr:row>
      <xdr:rowOff>15120</xdr:rowOff>
    </xdr:to>
    <xdr:pic>
      <xdr:nvPicPr>
        <xdr:cNvPr id="37" name="Imagen 6" descr=""/>
        <xdr:cNvPicPr/>
      </xdr:nvPicPr>
      <xdr:blipFill>
        <a:blip r:embed="rId1"/>
        <a:stretch/>
      </xdr:blipFill>
      <xdr:spPr>
        <a:xfrm>
          <a:off x="708480" y="717480"/>
          <a:ext cx="2195640" cy="721080"/>
        </a:xfrm>
        <a:prstGeom prst="rect">
          <a:avLst/>
        </a:prstGeom>
        <a:ln>
          <a:noFill/>
        </a:ln>
      </xdr:spPr>
    </xdr:pic>
    <xdr:clientData/>
  </xdr:twoCellAnchor>
  <xdr:twoCellAnchor editAs="oneCell">
    <xdr:from>
      <xdr:col>47</xdr:col>
      <xdr:colOff>0</xdr:colOff>
      <xdr:row>1</xdr:row>
      <xdr:rowOff>0</xdr:rowOff>
    </xdr:from>
    <xdr:to>
      <xdr:col>47</xdr:col>
      <xdr:colOff>482400</xdr:colOff>
      <xdr:row>2</xdr:row>
      <xdr:rowOff>168120</xdr:rowOff>
    </xdr:to>
    <xdr:pic>
      <xdr:nvPicPr>
        <xdr:cNvPr id="38" name="Imagen 8" descr="">
          <a:hlinkClick r:id="rId2"/>
        </xdr:cNvPr>
        <xdr:cNvPicPr/>
      </xdr:nvPicPr>
      <xdr:blipFill>
        <a:blip r:embed="rId3"/>
        <a:srcRect l="5774" t="0" r="7262" b="19460"/>
        <a:stretch/>
      </xdr:blipFill>
      <xdr:spPr>
        <a:xfrm>
          <a:off x="13850280" y="540720"/>
          <a:ext cx="482400" cy="344880"/>
        </a:xfrm>
        <a:prstGeom prst="rect">
          <a:avLst/>
        </a:prstGeom>
        <a:ln>
          <a:noFill/>
        </a:ln>
      </xdr:spPr>
    </xdr:pic>
    <xdr:clientData/>
  </xdr:twoCellAnchor>
  <xdr:twoCellAnchor editAs="oneCell">
    <xdr:from>
      <xdr:col>15</xdr:col>
      <xdr:colOff>0</xdr:colOff>
      <xdr:row>2</xdr:row>
      <xdr:rowOff>0</xdr:rowOff>
    </xdr:from>
    <xdr:to>
      <xdr:col>40</xdr:col>
      <xdr:colOff>262080</xdr:colOff>
      <xdr:row>6</xdr:row>
      <xdr:rowOff>131040</xdr:rowOff>
    </xdr:to>
    <xdr:pic>
      <xdr:nvPicPr>
        <xdr:cNvPr id="39" name="Imagen 9" descr=""/>
        <xdr:cNvPicPr/>
      </xdr:nvPicPr>
      <xdr:blipFill>
        <a:blip r:embed="rId4"/>
        <a:stretch/>
      </xdr:blipFill>
      <xdr:spPr>
        <a:xfrm>
          <a:off x="9263160" y="717480"/>
          <a:ext cx="2711880" cy="837000"/>
        </a:xfrm>
        <a:prstGeom prst="rect">
          <a:avLst/>
        </a:prstGeom>
        <a:ln>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350640</xdr:colOff>
      <xdr:row>2</xdr:row>
      <xdr:rowOff>7560</xdr:rowOff>
    </xdr:from>
    <xdr:to>
      <xdr:col>3</xdr:col>
      <xdr:colOff>460440</xdr:colOff>
      <xdr:row>6</xdr:row>
      <xdr:rowOff>41040</xdr:rowOff>
    </xdr:to>
    <xdr:pic>
      <xdr:nvPicPr>
        <xdr:cNvPr id="40" name="Imagen 6" descr=""/>
        <xdr:cNvPicPr/>
      </xdr:nvPicPr>
      <xdr:blipFill>
        <a:blip r:embed="rId1"/>
        <a:stretch/>
      </xdr:blipFill>
      <xdr:spPr>
        <a:xfrm>
          <a:off x="350640" y="725040"/>
          <a:ext cx="2258640" cy="739440"/>
        </a:xfrm>
        <a:prstGeom prst="rect">
          <a:avLst/>
        </a:prstGeom>
        <a:ln>
          <a:noFill/>
        </a:ln>
      </xdr:spPr>
    </xdr:pic>
    <xdr:clientData/>
  </xdr:twoCellAnchor>
  <xdr:twoCellAnchor editAs="oneCell">
    <xdr:from>
      <xdr:col>43</xdr:col>
      <xdr:colOff>0</xdr:colOff>
      <xdr:row>1</xdr:row>
      <xdr:rowOff>0</xdr:rowOff>
    </xdr:from>
    <xdr:to>
      <xdr:col>43</xdr:col>
      <xdr:colOff>482400</xdr:colOff>
      <xdr:row>2</xdr:row>
      <xdr:rowOff>168120</xdr:rowOff>
    </xdr:to>
    <xdr:pic>
      <xdr:nvPicPr>
        <xdr:cNvPr id="41" name="Imagen 7" descr="">
          <a:hlinkClick r:id="rId2"/>
        </xdr:cNvPr>
        <xdr:cNvPicPr/>
      </xdr:nvPicPr>
      <xdr:blipFill>
        <a:blip r:embed="rId3"/>
        <a:srcRect l="5774" t="0" r="7262" b="19460"/>
        <a:stretch/>
      </xdr:blipFill>
      <xdr:spPr>
        <a:xfrm>
          <a:off x="11486160" y="540720"/>
          <a:ext cx="482400" cy="344880"/>
        </a:xfrm>
        <a:prstGeom prst="rect">
          <a:avLst/>
        </a:prstGeom>
        <a:ln>
          <a:noFill/>
        </a:ln>
      </xdr:spPr>
    </xdr:pic>
    <xdr:clientData/>
  </xdr:twoCellAnchor>
  <xdr:twoCellAnchor editAs="oneCell">
    <xdr:from>
      <xdr:col>12</xdr:col>
      <xdr:colOff>0</xdr:colOff>
      <xdr:row>2</xdr:row>
      <xdr:rowOff>0</xdr:rowOff>
    </xdr:from>
    <xdr:to>
      <xdr:col>37</xdr:col>
      <xdr:colOff>149400</xdr:colOff>
      <xdr:row>6</xdr:row>
      <xdr:rowOff>131040</xdr:rowOff>
    </xdr:to>
    <xdr:pic>
      <xdr:nvPicPr>
        <xdr:cNvPr id="42" name="Imagen 9" descr=""/>
        <xdr:cNvPicPr/>
      </xdr:nvPicPr>
      <xdr:blipFill>
        <a:blip r:embed="rId4"/>
        <a:stretch/>
      </xdr:blipFill>
      <xdr:spPr>
        <a:xfrm>
          <a:off x="7619040" y="717480"/>
          <a:ext cx="2727720" cy="837000"/>
        </a:xfrm>
        <a:prstGeom prst="rect">
          <a:avLst/>
        </a:prstGeom>
        <a:ln>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350640</xdr:colOff>
      <xdr:row>2</xdr:row>
      <xdr:rowOff>0</xdr:rowOff>
    </xdr:from>
    <xdr:to>
      <xdr:col>3</xdr:col>
      <xdr:colOff>478800</xdr:colOff>
      <xdr:row>6</xdr:row>
      <xdr:rowOff>45720</xdr:rowOff>
    </xdr:to>
    <xdr:pic>
      <xdr:nvPicPr>
        <xdr:cNvPr id="43" name="Imagen 5" descr=""/>
        <xdr:cNvPicPr/>
      </xdr:nvPicPr>
      <xdr:blipFill>
        <a:blip r:embed="rId1"/>
        <a:stretch/>
      </xdr:blipFill>
      <xdr:spPr>
        <a:xfrm>
          <a:off x="350640" y="717480"/>
          <a:ext cx="2277000" cy="751680"/>
        </a:xfrm>
        <a:prstGeom prst="rect">
          <a:avLst/>
        </a:prstGeom>
        <a:ln>
          <a:noFill/>
        </a:ln>
      </xdr:spPr>
    </xdr:pic>
    <xdr:clientData/>
  </xdr:twoCellAnchor>
  <xdr:twoCellAnchor editAs="oneCell">
    <xdr:from>
      <xdr:col>43</xdr:col>
      <xdr:colOff>0</xdr:colOff>
      <xdr:row>1</xdr:row>
      <xdr:rowOff>0</xdr:rowOff>
    </xdr:from>
    <xdr:to>
      <xdr:col>43</xdr:col>
      <xdr:colOff>482400</xdr:colOff>
      <xdr:row>2</xdr:row>
      <xdr:rowOff>168120</xdr:rowOff>
    </xdr:to>
    <xdr:pic>
      <xdr:nvPicPr>
        <xdr:cNvPr id="44" name="Imagen 6" descr="">
          <a:hlinkClick r:id="rId2"/>
        </xdr:cNvPr>
        <xdr:cNvPicPr/>
      </xdr:nvPicPr>
      <xdr:blipFill>
        <a:blip r:embed="rId3"/>
        <a:srcRect l="5774" t="0" r="7262" b="19460"/>
        <a:stretch/>
      </xdr:blipFill>
      <xdr:spPr>
        <a:xfrm>
          <a:off x="11486160" y="540720"/>
          <a:ext cx="482400" cy="344880"/>
        </a:xfrm>
        <a:prstGeom prst="rect">
          <a:avLst/>
        </a:prstGeom>
        <a:ln>
          <a:noFill/>
        </a:ln>
      </xdr:spPr>
    </xdr:pic>
    <xdr:clientData/>
  </xdr:twoCellAnchor>
  <xdr:twoCellAnchor editAs="oneCell">
    <xdr:from>
      <xdr:col>12</xdr:col>
      <xdr:colOff>0</xdr:colOff>
      <xdr:row>2</xdr:row>
      <xdr:rowOff>0</xdr:rowOff>
    </xdr:from>
    <xdr:to>
      <xdr:col>37</xdr:col>
      <xdr:colOff>155520</xdr:colOff>
      <xdr:row>6</xdr:row>
      <xdr:rowOff>131040</xdr:rowOff>
    </xdr:to>
    <xdr:pic>
      <xdr:nvPicPr>
        <xdr:cNvPr id="45" name="Imagen 8" descr=""/>
        <xdr:cNvPicPr/>
      </xdr:nvPicPr>
      <xdr:blipFill>
        <a:blip r:embed="rId4"/>
        <a:stretch/>
      </xdr:blipFill>
      <xdr:spPr>
        <a:xfrm>
          <a:off x="7619040" y="717480"/>
          <a:ext cx="2733840" cy="837000"/>
        </a:xfrm>
        <a:prstGeom prst="rect">
          <a:avLst/>
        </a:prstGeom>
        <a:ln>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2</xdr:row>
      <xdr:rowOff>0</xdr:rowOff>
    </xdr:from>
    <xdr:to>
      <xdr:col>4</xdr:col>
      <xdr:colOff>203400</xdr:colOff>
      <xdr:row>6</xdr:row>
      <xdr:rowOff>15840</xdr:rowOff>
    </xdr:to>
    <xdr:sp>
      <xdr:nvSpPr>
        <xdr:cNvPr id="46" name="CustomShape 1"/>
        <xdr:cNvSpPr/>
      </xdr:nvSpPr>
      <xdr:spPr>
        <a:xfrm>
          <a:off x="708480" y="717480"/>
          <a:ext cx="2224080" cy="721800"/>
        </a:xfrm>
        <a:prstGeom prst="roundRect">
          <a:avLst>
            <a:gd name="adj" fmla="val 16667"/>
          </a:avLst>
        </a:prstGeom>
        <a:solidFill>
          <a:srgbClr val="ffffff">
            <a:alpha val="50000"/>
          </a:srgbClr>
        </a:solidFill>
        <a:ln w="28440">
          <a:solidFill>
            <a:srgbClr val="003300"/>
          </a:solidFill>
          <a:round/>
        </a:ln>
      </xdr:spPr>
      <xdr:style>
        <a:lnRef idx="0"/>
        <a:fillRef idx="0"/>
        <a:effectRef idx="0"/>
        <a:fontRef idx="minor"/>
      </xdr:style>
      <xdr:txBody>
        <a:bodyPr lIns="90000" rIns="90000" tIns="45000" bIns="45000" anchor="ctr">
          <a:noAutofit/>
        </a:bodyPr>
        <a:p>
          <a:pPr algn="ctr">
            <a:lnSpc>
              <a:spcPct val="100000"/>
            </a:lnSpc>
          </a:pPr>
          <a:r>
            <a:rPr b="1" lang="es-ES" sz="1200" spc="-1" strike="noStrike">
              <a:solidFill>
                <a:srgbClr val="000000"/>
              </a:solidFill>
              <a:latin typeface="Calibri"/>
            </a:rPr>
            <a:t>2.1.b. IMPORTES EQUIPARADOS </a:t>
          </a:r>
          <a:endParaRPr b="0" lang="en-US" sz="1200" spc="-1" strike="noStrike">
            <a:latin typeface="Times New Roman"/>
          </a:endParaRPr>
        </a:p>
        <a:p>
          <a:pPr algn="ctr">
            <a:lnSpc>
              <a:spcPct val="100000"/>
            </a:lnSpc>
          </a:pPr>
          <a:r>
            <a:rPr b="1" lang="es-ES" sz="1200" spc="-1" strike="noStrike">
              <a:solidFill>
                <a:srgbClr val="000000"/>
              </a:solidFill>
              <a:latin typeface="Calibri"/>
            </a:rPr>
            <a:t>Promedios</a:t>
          </a:r>
          <a:endParaRPr b="0" lang="en-US" sz="1200" spc="-1" strike="noStrike">
            <a:latin typeface="Times New Roman"/>
          </a:endParaRPr>
        </a:p>
      </xdr:txBody>
    </xdr:sp>
    <xdr:clientData/>
  </xdr:twoCellAnchor>
  <xdr:twoCellAnchor editAs="oneCell">
    <xdr:from>
      <xdr:col>47</xdr:col>
      <xdr:colOff>0</xdr:colOff>
      <xdr:row>1</xdr:row>
      <xdr:rowOff>0</xdr:rowOff>
    </xdr:from>
    <xdr:to>
      <xdr:col>47</xdr:col>
      <xdr:colOff>482400</xdr:colOff>
      <xdr:row>2</xdr:row>
      <xdr:rowOff>168120</xdr:rowOff>
    </xdr:to>
    <xdr:pic>
      <xdr:nvPicPr>
        <xdr:cNvPr id="47" name="Imagen 5" descr="">
          <a:hlinkClick r:id="rId1"/>
        </xdr:cNvPr>
        <xdr:cNvPicPr/>
      </xdr:nvPicPr>
      <xdr:blipFill>
        <a:blip r:embed="rId2"/>
        <a:srcRect l="5774" t="0" r="7262" b="19460"/>
        <a:stretch/>
      </xdr:blipFill>
      <xdr:spPr>
        <a:xfrm>
          <a:off x="13936320" y="540720"/>
          <a:ext cx="482400" cy="344880"/>
        </a:xfrm>
        <a:prstGeom prst="rect">
          <a:avLst/>
        </a:prstGeom>
        <a:ln>
          <a:noFill/>
        </a:ln>
      </xdr:spPr>
    </xdr:pic>
    <xdr:clientData/>
  </xdr:twoCellAnchor>
  <xdr:twoCellAnchor editAs="oneCell">
    <xdr:from>
      <xdr:col>16</xdr:col>
      <xdr:colOff>0</xdr:colOff>
      <xdr:row>2</xdr:row>
      <xdr:rowOff>0</xdr:rowOff>
    </xdr:from>
    <xdr:to>
      <xdr:col>41</xdr:col>
      <xdr:colOff>140400</xdr:colOff>
      <xdr:row>6</xdr:row>
      <xdr:rowOff>131040</xdr:rowOff>
    </xdr:to>
    <xdr:pic>
      <xdr:nvPicPr>
        <xdr:cNvPr id="48" name="Imagen 7" descr=""/>
        <xdr:cNvPicPr/>
      </xdr:nvPicPr>
      <xdr:blipFill>
        <a:blip r:embed="rId3"/>
        <a:stretch/>
      </xdr:blipFill>
      <xdr:spPr>
        <a:xfrm>
          <a:off x="10036800" y="717480"/>
          <a:ext cx="2739960" cy="837000"/>
        </a:xfrm>
        <a:prstGeom prst="rect">
          <a:avLst/>
        </a:prstGeom>
        <a:ln>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4</xdr:col>
      <xdr:colOff>234720</xdr:colOff>
      <xdr:row>6</xdr:row>
      <xdr:rowOff>45720</xdr:rowOff>
    </xdr:to>
    <xdr:pic>
      <xdr:nvPicPr>
        <xdr:cNvPr id="49" name="Imagen 7" descr=""/>
        <xdr:cNvPicPr/>
      </xdr:nvPicPr>
      <xdr:blipFill>
        <a:blip r:embed="rId1"/>
        <a:stretch/>
      </xdr:blipFill>
      <xdr:spPr>
        <a:xfrm>
          <a:off x="708480" y="717480"/>
          <a:ext cx="2255400" cy="751680"/>
        </a:xfrm>
        <a:prstGeom prst="rect">
          <a:avLst/>
        </a:prstGeom>
        <a:ln>
          <a:noFill/>
        </a:ln>
      </xdr:spPr>
    </xdr:pic>
    <xdr:clientData/>
  </xdr:twoCellAnchor>
  <xdr:twoCellAnchor editAs="oneCell">
    <xdr:from>
      <xdr:col>47</xdr:col>
      <xdr:colOff>0</xdr:colOff>
      <xdr:row>1</xdr:row>
      <xdr:rowOff>0</xdr:rowOff>
    </xdr:from>
    <xdr:to>
      <xdr:col>47</xdr:col>
      <xdr:colOff>482400</xdr:colOff>
      <xdr:row>2</xdr:row>
      <xdr:rowOff>168120</xdr:rowOff>
    </xdr:to>
    <xdr:pic>
      <xdr:nvPicPr>
        <xdr:cNvPr id="50" name="Imagen 8" descr="">
          <a:hlinkClick r:id="rId2"/>
        </xdr:cNvPr>
        <xdr:cNvPicPr/>
      </xdr:nvPicPr>
      <xdr:blipFill>
        <a:blip r:embed="rId3"/>
        <a:srcRect l="5774" t="0" r="7262" b="19460"/>
        <a:stretch/>
      </xdr:blipFill>
      <xdr:spPr>
        <a:xfrm>
          <a:off x="14001480" y="540720"/>
          <a:ext cx="482400" cy="344880"/>
        </a:xfrm>
        <a:prstGeom prst="rect">
          <a:avLst/>
        </a:prstGeom>
        <a:ln>
          <a:noFill/>
        </a:ln>
      </xdr:spPr>
    </xdr:pic>
    <xdr:clientData/>
  </xdr:twoCellAnchor>
  <xdr:twoCellAnchor editAs="oneCell">
    <xdr:from>
      <xdr:col>16</xdr:col>
      <xdr:colOff>0</xdr:colOff>
      <xdr:row>2</xdr:row>
      <xdr:rowOff>0</xdr:rowOff>
    </xdr:from>
    <xdr:to>
      <xdr:col>41</xdr:col>
      <xdr:colOff>155520</xdr:colOff>
      <xdr:row>6</xdr:row>
      <xdr:rowOff>131040</xdr:rowOff>
    </xdr:to>
    <xdr:pic>
      <xdr:nvPicPr>
        <xdr:cNvPr id="51" name="Imagen 9" descr=""/>
        <xdr:cNvPicPr/>
      </xdr:nvPicPr>
      <xdr:blipFill>
        <a:blip r:embed="rId4"/>
        <a:stretch/>
      </xdr:blipFill>
      <xdr:spPr>
        <a:xfrm>
          <a:off x="9994680" y="717480"/>
          <a:ext cx="2733840" cy="837000"/>
        </a:xfrm>
        <a:prstGeom prst="rect">
          <a:avLst/>
        </a:prstGeom>
        <a:ln>
          <a:noFill/>
        </a:ln>
      </xdr:spPr>
    </xdr:pic>
    <xdr:clientData/>
  </xdr:twoCellAnchor>
</xdr:wsDr>
</file>

<file path=xl/tables/table1.xml><?xml version="1.0" encoding="utf-8"?>
<table xmlns="http://schemas.openxmlformats.org/spreadsheetml/2006/main" id="1" name="DATOS_" displayName="DATOS_" ref="B8:CO1008" headerRowCount="1" totalsRowCount="0" totalsRowShown="0">
  <autoFilter ref="B8:CO1008"/>
  <tableColumns count="92">
    <tableColumn id="1" name="id"/>
    <tableColumn id="2" name="Sexo"/>
    <tableColumn id="3" name="Fecha Nacimiento"/>
    <tableColumn id="4" name="Nivel de Estudios"/>
    <tableColumn id="5" name="Situación Familiar"/>
    <tableColumn id="6" name="Hijos/as"/>
    <tableColumn id="7" name="Fecha de Contratación"/>
    <tableColumn id="8" name="Fecha Fin Contrato"/>
    <tableColumn id="9" name="Fecha de Antigüedad"/>
    <tableColumn id="10" name="Fecha Inicio Sit. Contract."/>
    <tableColumn id="11" name="Fecha Fin Sit. Contract."/>
    <tableColumn id="12" name="% de jornada"/>
    <tableColumn id="13" name="% jornada reducida"/>
    <tableColumn id="14" name="motivo reducción"/>
    <tableColumn id="15" name="Clave de Contrato"/>
    <tableColumn id="16" name="Area-empresa"/>
    <tableColumn id="17" name="Dpto-empresa"/>
    <tableColumn id="18" name="Puesto-empresa"/>
    <tableColumn id="19" name="Horario (continuo/partido)"/>
    <tableColumn id="20" name="Trabajo a turnos"/>
    <tableColumn id="21" name="Escala-empresa"/>
    <tableColumn id="22" name="AGRUP. CLAS. PROF."/>
    <tableColumn id="23" name="AGRUP. VALOR. PTO."/>
    <tableColumn id="24" name="Convenio/Área"/>
    <tableColumn id="25" name="Categoría profesional"/>
    <tableColumn id="26" name="Grupo profesional"/>
    <tableColumn id="27" name="Nivel"/>
    <tableColumn id="28" name="Grupo de Cotización Seg.Social."/>
    <tableColumn id="29" name="S.BASE"/>
    <tableColumn id="30" name="Conc.Sal.01"/>
    <tableColumn id="31" name="Conc.Sal.02"/>
    <tableColumn id="32" name="Conc.Sal.03"/>
    <tableColumn id="33" name="Conc.Sal.04"/>
    <tableColumn id="34" name="Conc.Sal.05"/>
    <tableColumn id="35" name="Conc.Sal.06"/>
    <tableColumn id="36" name="Conc.Sal.07"/>
    <tableColumn id="37" name="Conc.Sal.08"/>
    <tableColumn id="38" name="Conc.Sal.09"/>
    <tableColumn id="39" name="Conc.Sal.10"/>
    <tableColumn id="40" name="Conc.Sal.11"/>
    <tableColumn id="41" name="Conc.Sal.12"/>
    <tableColumn id="42" name="Conc.Sal.13"/>
    <tableColumn id="43" name="Conc.Sal.14"/>
    <tableColumn id="44" name="Conc.Sal.15"/>
    <tableColumn id="45" name="Conc.Sal.16"/>
    <tableColumn id="46" name="Conc.Sal.17"/>
    <tableColumn id="47" name="Conc.Sal.18"/>
    <tableColumn id="48" name="Conc.Sal.19"/>
    <tableColumn id="49" name="Conc.Sal.20"/>
    <tableColumn id="50" name="Conc.Sal.21"/>
    <tableColumn id="51" name="Conc.Sal.22"/>
    <tableColumn id="52" name="Conc.Sal.23"/>
    <tableColumn id="53" name="Conc.Sal.24"/>
    <tableColumn id="54" name="Conc.Sal.25"/>
    <tableColumn id="55" name="Conc.Sal.26"/>
    <tableColumn id="56" name="Conc.Sal.27"/>
    <tableColumn id="57" name="Conc.Sal.28"/>
    <tableColumn id="58" name="Conc.Sal.29"/>
    <tableColumn id="59" name="Conc.Sal.30"/>
    <tableColumn id="60" name="C.Extra.01"/>
    <tableColumn id="61" name="C.Extra.02"/>
    <tableColumn id="62" name="C.Extra.03"/>
    <tableColumn id="63" name="C.Extra.04"/>
    <tableColumn id="64" name="C.Extra.05"/>
    <tableColumn id="65" name="F.ini.cal"/>
    <tableColumn id="66" name="F.fin.cal"/>
    <tableColumn id="67" name="% normaliz"/>
    <tableColumn id="68" name="% anualiz"/>
    <tableColumn id="69" name="Check Periodo Ref."/>
    <tableColumn id="70" name="Check Equiparado"/>
    <tableColumn id="71" name="Check Nº SC Norm"/>
    <tableColumn id="72" name="Check Nº SC Anualiz"/>
    <tableColumn id="73" name="Check Nº SC Norm y Anualiz"/>
    <tableColumn id="74" name="Check Equiparación"/>
    <tableColumn id="75" name="SALARIO BASE Eq"/>
    <tableColumn id="76" name="Tot COMPL.SAL Eq"/>
    <tableColumn id="77" name="TOTAL SALARIO Eq"/>
    <tableColumn id="78" name="Tot Extrasalarial Eq"/>
    <tableColumn id="79" name="TOTAL Retrib Eq"/>
    <tableColumn id="80" name="SALARIO BASE Ef"/>
    <tableColumn id="81" name="Tot COMPL.SAL Ef"/>
    <tableColumn id="82" name="TOTAL SALARIO Ef"/>
    <tableColumn id="83" name="Tot Extrasalarial Ef"/>
    <tableColumn id="84" name="TOTAL Retrib Ef"/>
    <tableColumn id="85" name="DIAS TRABAJ. EN EL AÑO"/>
    <tableColumn id="86" name="REPET."/>
    <tableColumn id="87" name="Edad"/>
    <tableColumn id="88" name="Antigüedad"/>
    <tableColumn id="89" name="Jornada"/>
    <tableColumn id="90" name="Contrato"/>
    <tableColumn id="91" name="Intervalo Edad"/>
    <tableColumn id="92" name="Intervalo Antigüedad"/>
  </tableColumns>
</table>
</file>

<file path=xl/tables/table2.xml><?xml version="1.0" encoding="utf-8"?>
<table xmlns="http://schemas.openxmlformats.org/spreadsheetml/2006/main" id="2" name="TblAGR_CL_EMP" displayName="TblAGR_CL_EMP" ref="J11:J41" headerRowCount="1" totalsRowCount="0" totalsRowShown="0">
  <autoFilter ref="J11:J41"/>
  <tableColumns count="1">
    <tableColumn id="1" name="AGRUP. CLAS. PROF. "/>
  </tableColumns>
</table>
</file>

<file path=xl/tables/table3.xml><?xml version="1.0" encoding="utf-8"?>
<table xmlns="http://schemas.openxmlformats.org/spreadsheetml/2006/main" id="3" name="TblAGR_VAL_PTO" displayName="TblAGR_VAL_PTO" ref="L11:L41" headerRowCount="1" totalsRowCount="0" totalsRowShown="0">
  <autoFilter ref="L11:L41"/>
  <tableColumns count="1">
    <tableColumn id="1" name="AGRUP. VALOR. PTO"/>
  </tableColumns>
</table>
</file>

<file path=xl/tables/table4.xml><?xml version="1.0" encoding="utf-8"?>
<table xmlns="http://schemas.openxmlformats.org/spreadsheetml/2006/main" id="4" name="TblComplem" displayName="TblComplem" ref="B11:H47" headerRowCount="1" totalsRowCount="0" totalsRowShown="0">
  <autoFilter ref="B11:H47"/>
  <tableColumns count="7">
    <tableColumn id="1" name="Valor"/>
    <tableColumn id="2" name="Nombre Corto"/>
    <tableColumn id="3" name="Descripción"/>
    <tableColumn id="4" name="Retrib"/>
    <tableColumn id="5" name="Tipo"/>
    <tableColumn id="6" name="Normalizable"/>
    <tableColumn id="7" name="Anualizable"/>
  </tableColumns>
</table>
</file>

<file path=xl/tables/table5.xml><?xml version="1.0" encoding="utf-8"?>
<table xmlns="http://schemas.openxmlformats.org/spreadsheetml/2006/main" id="5" name="TblFormRetrib" displayName="TblFormRetrib" ref="E6:E8" headerRowCount="1" totalsRowCount="0" totalsRowShown="0">
  <autoFilter ref="E6:E8"/>
  <tableColumns count="1">
    <tableColumn id="1" name="Retrib"/>
  </tableColumns>
</table>
</file>

<file path=xl/tables/table6.xml><?xml version="1.0" encoding="utf-8"?>
<table xmlns="http://schemas.openxmlformats.org/spreadsheetml/2006/main" id="6" name="TblRangEdad15" displayName="TblRangEdad15" ref="M4:N14" headerRowCount="1" totalsRowCount="0" totalsRowShown="0">
  <autoFilter ref="M4:N14"/>
  <tableColumns count="2">
    <tableColumn id="1" name="límite inferior"/>
    <tableColumn id="2" name="Nombre Rango"/>
  </tableColumns>
</table>
</file>

<file path=xl/tables/table7.xml><?xml version="1.0" encoding="utf-8"?>
<table xmlns="http://schemas.openxmlformats.org/spreadsheetml/2006/main" id="7" name="TblReduccionJorn16" displayName="TblReduccionJorn16" ref="P4:Q9" headerRowCount="1" totalsRowCount="0" totalsRowShown="0">
  <autoFilter ref="P4:Q9"/>
  <tableColumns count="2">
    <tableColumn id="1" name="Valor"/>
    <tableColumn id="2" name="Descripción"/>
  </tableColumns>
</table>
</file>

<file path=xl/tables/table8.xml><?xml version="1.0" encoding="utf-8"?>
<table xmlns="http://schemas.openxmlformats.org/spreadsheetml/2006/main" id="8" name="TblRngAntg14" displayName="TblRngAntg14" ref="J4:K10" headerRowCount="1" totalsRowCount="0" totalsRowShown="0">
  <autoFilter ref="J4:K10"/>
  <tableColumns count="2">
    <tableColumn id="1" name="límite inferior"/>
    <tableColumn id="2" name="Nombre Rango"/>
  </tableColumns>
</table>
</file>

<file path=xl/tables/table9.xml><?xml version="1.0" encoding="utf-8"?>
<table xmlns="http://schemas.openxmlformats.org/spreadsheetml/2006/main" id="9" name="TblTIPOS_RETRIB" displayName="TblTIPOS_RETRIB" ref="G6:G9" headerRowCount="1" totalsRowCount="0" totalsRowShown="0">
  <autoFilter ref="G6:G9"/>
  <tableColumns count="1">
    <tableColumn id="1" name="Nombre"/>
  </tableColumns>
</table>
</file>

<file path=xl/tables/table10.xml><?xml version="1.0" encoding="utf-8"?>
<table xmlns="http://schemas.openxmlformats.org/spreadsheetml/2006/main" id="10" name="TblTiposContrato13" displayName="TblTiposContrato13" ref="D4:G47" headerRowCount="1" totalsRowCount="0" totalsRowShown="0">
  <autoFilter ref="D4:G47"/>
  <tableColumns count="4">
    <tableColumn id="1" name="Valor"/>
    <tableColumn id="2" name="Descripción"/>
    <tableColumn id="3" name="Jornada"/>
    <tableColumn id="4" name="Contrato"/>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seg-social.es/wps/portal/wss/internet/Trabajadores/CotizacionRecaudacionTrabajadores/36537"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9.xml"/>
</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6.xml"/><Relationship Id="rId3" Type="http://schemas.openxmlformats.org/officeDocument/2006/relationships/table" Target="../tables/table7.xml"/><Relationship Id="rId4" Type="http://schemas.openxmlformats.org/officeDocument/2006/relationships/table" Target="../tables/table8.xml"/><Relationship Id="rId5" Type="http://schemas.openxmlformats.org/officeDocument/2006/relationships/table" Target="../tables/table10.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B1:J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10.66796875" defaultRowHeight="15" zeroHeight="false" outlineLevelRow="0" outlineLevelCol="0"/>
  <cols>
    <col collapsed="false" customWidth="true" hidden="false" outlineLevel="0" max="13" min="2" style="0" width="13.86"/>
  </cols>
  <sheetData>
    <row r="1" customFormat="false" ht="89.25" hidden="false" customHeight="true" outlineLevel="0" collapsed="false"/>
    <row r="2" customFormat="false" ht="53.45" hidden="false" customHeight="true" outlineLevel="0" collapsed="false"/>
    <row r="6" customFormat="false" ht="15" hidden="false" customHeight="false" outlineLevel="0" collapsed="false">
      <c r="B6" s="1" t="s">
        <v>0</v>
      </c>
      <c r="C6" s="2"/>
      <c r="D6" s="2"/>
      <c r="E6" s="2"/>
      <c r="F6" s="2"/>
      <c r="G6" s="2"/>
      <c r="H6" s="2"/>
    </row>
    <row r="7" customFormat="false" ht="5.45" hidden="false" customHeight="true" outlineLevel="0" collapsed="false">
      <c r="B7" s="1"/>
      <c r="C7" s="3"/>
      <c r="D7" s="3"/>
      <c r="E7" s="4"/>
      <c r="F7" s="4"/>
      <c r="G7" s="4"/>
      <c r="H7" s="4"/>
    </row>
    <row r="8" customFormat="false" ht="15" hidden="false" customHeight="false" outlineLevel="0" collapsed="false">
      <c r="B8" s="5" t="s">
        <v>1</v>
      </c>
      <c r="C8" s="6"/>
      <c r="D8" s="6"/>
      <c r="J8" s="7"/>
    </row>
    <row r="9" customFormat="false" ht="5.45" hidden="false" customHeight="true" outlineLevel="0" collapsed="false"/>
    <row r="10" customFormat="false" ht="15" hidden="false" customHeight="false" outlineLevel="0" collapsed="false">
      <c r="B10" s="8" t="s">
        <v>2</v>
      </c>
      <c r="D10" s="9" t="s">
        <v>3</v>
      </c>
      <c r="E10" s="10"/>
      <c r="F10" s="9" t="s">
        <v>4</v>
      </c>
      <c r="G10" s="10"/>
      <c r="J10" s="7"/>
    </row>
    <row r="11" customFormat="false" ht="8.45" hidden="false" customHeight="true" outlineLevel="0" collapsed="false"/>
    <row r="16" customFormat="false" ht="25.9" hidden="false" customHeight="true" outlineLevel="0" collapsed="false">
      <c r="B16" s="11" t="s">
        <v>5</v>
      </c>
    </row>
    <row r="22" customFormat="false" ht="21" hidden="false" customHeight="false" outlineLevel="0" collapsed="false">
      <c r="B22" s="11" t="s">
        <v>6</v>
      </c>
    </row>
  </sheetData>
  <mergeCells count="2">
    <mergeCell ref="C6:H6"/>
    <mergeCell ref="C8:D8"/>
  </mergeCells>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5B9BD5"/>
    <pageSetUpPr fitToPage="true"/>
  </sheetPr>
  <dimension ref="D2:I63"/>
  <sheetViews>
    <sheetView showFormulas="false" showGridLines="true" showRowColHeaders="true" showZeros="true" rightToLeft="false" tabSelected="false" showOutlineSymbols="true" defaultGridColor="true" view="normal" topLeftCell="A21" colorId="64" zoomScale="100" zoomScaleNormal="100" zoomScalePageLayoutView="100" workbookViewId="0">
      <selection pane="topLeft" activeCell="I21" activeCellId="0" sqref="I21"/>
    </sheetView>
  </sheetViews>
  <sheetFormatPr defaultColWidth="11.55859375" defaultRowHeight="15" zeroHeight="false" outlineLevelRow="0" outlineLevelCol="0"/>
  <cols>
    <col collapsed="false" customWidth="true" hidden="false" outlineLevel="0" max="1" min="1" style="12" width="8.74"/>
    <col collapsed="false" customWidth="true" hidden="false" outlineLevel="0" max="3" min="2" style="12" width="3.77"/>
    <col collapsed="false" customWidth="true" hidden="false" outlineLevel="0" max="4" min="4" style="12" width="16.14"/>
    <col collapsed="false" customWidth="true" hidden="false" outlineLevel="0" max="5" min="5" style="12" width="19.37"/>
    <col collapsed="false" customWidth="true" hidden="false" outlineLevel="0" max="6" min="6" style="12" width="4.69"/>
    <col collapsed="false" customWidth="true" hidden="false" outlineLevel="0" max="7" min="7" style="12" width="109.1"/>
    <col collapsed="false" customWidth="true" hidden="false" outlineLevel="0" max="8" min="8" style="12" width="16.68"/>
    <col collapsed="false" customWidth="true" hidden="false" outlineLevel="0" max="9" min="9" style="12" width="16.81"/>
    <col collapsed="false" customWidth="false" hidden="false" outlineLevel="0" max="1024" min="10" style="12" width="11.57"/>
  </cols>
  <sheetData>
    <row r="2" customFormat="false" ht="15.75" hidden="false" customHeight="false" outlineLevel="0" collapsed="false"/>
    <row r="3" customFormat="false" ht="15" hidden="false" customHeight="true" outlineLevel="0" collapsed="false">
      <c r="D3" s="13" t="s">
        <v>7</v>
      </c>
      <c r="E3" s="14" t="s">
        <v>8</v>
      </c>
      <c r="F3" s="15" t="s">
        <v>9</v>
      </c>
      <c r="G3" s="14" t="s">
        <v>10</v>
      </c>
      <c r="H3" s="14" t="s">
        <v>11</v>
      </c>
      <c r="I3" s="14" t="s">
        <v>12</v>
      </c>
    </row>
    <row r="4" customFormat="false" ht="15.75" hidden="false" customHeight="false" outlineLevel="0" collapsed="false">
      <c r="D4" s="13"/>
      <c r="E4" s="14"/>
      <c r="F4" s="16" t="s">
        <v>13</v>
      </c>
      <c r="G4" s="14"/>
      <c r="H4" s="14"/>
      <c r="I4" s="14"/>
    </row>
    <row r="5" customFormat="false" ht="15.75" hidden="false" customHeight="false" outlineLevel="0" collapsed="false">
      <c r="D5" s="17" t="s">
        <v>14</v>
      </c>
      <c r="E5" s="18" t="s">
        <v>15</v>
      </c>
      <c r="F5" s="18" t="s">
        <v>16</v>
      </c>
      <c r="G5" s="19" t="s">
        <v>17</v>
      </c>
      <c r="H5" s="18" t="s">
        <v>18</v>
      </c>
      <c r="I5" s="19"/>
    </row>
    <row r="6" customFormat="false" ht="15.75" hidden="false" customHeight="false" outlineLevel="0" collapsed="false">
      <c r="D6" s="17" t="s">
        <v>19</v>
      </c>
      <c r="E6" s="20" t="s">
        <v>15</v>
      </c>
      <c r="F6" s="20" t="s">
        <v>16</v>
      </c>
      <c r="G6" s="21" t="s">
        <v>20</v>
      </c>
      <c r="H6" s="20" t="s">
        <v>21</v>
      </c>
      <c r="I6" s="20" t="s">
        <v>22</v>
      </c>
    </row>
    <row r="7" customFormat="false" ht="15.75" hidden="false" customHeight="false" outlineLevel="0" collapsed="false">
      <c r="D7" s="17" t="s">
        <v>23</v>
      </c>
      <c r="E7" s="18" t="s">
        <v>15</v>
      </c>
      <c r="F7" s="19"/>
      <c r="G7" s="19" t="s">
        <v>24</v>
      </c>
      <c r="H7" s="18" t="s">
        <v>25</v>
      </c>
      <c r="I7" s="18" t="s">
        <v>26</v>
      </c>
    </row>
    <row r="8" customFormat="false" ht="15.75" hidden="false" customHeight="false" outlineLevel="0" collapsed="false">
      <c r="D8" s="17" t="s">
        <v>27</v>
      </c>
      <c r="E8" s="20" t="s">
        <v>15</v>
      </c>
      <c r="F8" s="21"/>
      <c r="G8" s="21" t="s">
        <v>28</v>
      </c>
      <c r="H8" s="20" t="s">
        <v>21</v>
      </c>
      <c r="I8" s="21"/>
    </row>
    <row r="9" customFormat="false" ht="26.25" hidden="false" customHeight="false" outlineLevel="0" collapsed="false">
      <c r="D9" s="17" t="s">
        <v>29</v>
      </c>
      <c r="E9" s="18" t="s">
        <v>15</v>
      </c>
      <c r="F9" s="19"/>
      <c r="G9" s="19" t="s">
        <v>30</v>
      </c>
      <c r="H9" s="18" t="s">
        <v>18</v>
      </c>
      <c r="I9" s="18" t="s">
        <v>31</v>
      </c>
    </row>
    <row r="10" customFormat="false" ht="15.75" hidden="false" customHeight="false" outlineLevel="0" collapsed="false">
      <c r="D10" s="17" t="s">
        <v>32</v>
      </c>
      <c r="E10" s="20" t="s">
        <v>15</v>
      </c>
      <c r="F10" s="21"/>
      <c r="G10" s="21" t="s">
        <v>33</v>
      </c>
      <c r="H10" s="20" t="s">
        <v>18</v>
      </c>
      <c r="I10" s="21"/>
    </row>
    <row r="11" customFormat="false" ht="26.25" hidden="false" customHeight="false" outlineLevel="0" collapsed="false">
      <c r="D11" s="22" t="s">
        <v>34</v>
      </c>
      <c r="E11" s="18" t="s">
        <v>35</v>
      </c>
      <c r="F11" s="18" t="s">
        <v>16</v>
      </c>
      <c r="G11" s="19" t="s">
        <v>36</v>
      </c>
      <c r="H11" s="18" t="s">
        <v>25</v>
      </c>
      <c r="I11" s="18" t="s">
        <v>26</v>
      </c>
    </row>
    <row r="12" customFormat="false" ht="26.25" hidden="false" customHeight="false" outlineLevel="0" collapsed="false">
      <c r="D12" s="22" t="s">
        <v>37</v>
      </c>
      <c r="E12" s="20" t="s">
        <v>35</v>
      </c>
      <c r="F12" s="20" t="s">
        <v>16</v>
      </c>
      <c r="G12" s="21" t="s">
        <v>38</v>
      </c>
      <c r="H12" s="20" t="s">
        <v>25</v>
      </c>
      <c r="I12" s="20" t="s">
        <v>26</v>
      </c>
    </row>
    <row r="13" customFormat="false" ht="26.25" hidden="false" customHeight="false" outlineLevel="0" collapsed="false">
      <c r="D13" s="22" t="s">
        <v>39</v>
      </c>
      <c r="E13" s="18" t="s">
        <v>35</v>
      </c>
      <c r="F13" s="19"/>
      <c r="G13" s="19" t="s">
        <v>40</v>
      </c>
      <c r="H13" s="18" t="s">
        <v>25</v>
      </c>
      <c r="I13" s="18" t="s">
        <v>26</v>
      </c>
    </row>
    <row r="14" customFormat="false" ht="26.25" hidden="false" customHeight="false" outlineLevel="0" collapsed="false">
      <c r="D14" s="22" t="s">
        <v>41</v>
      </c>
      <c r="E14" s="20" t="s">
        <v>35</v>
      </c>
      <c r="F14" s="20" t="s">
        <v>16</v>
      </c>
      <c r="G14" s="21" t="s">
        <v>42</v>
      </c>
      <c r="H14" s="20" t="s">
        <v>25</v>
      </c>
      <c r="I14" s="20" t="s">
        <v>26</v>
      </c>
    </row>
    <row r="15" customFormat="false" ht="26.25" hidden="false" customHeight="false" outlineLevel="0" collapsed="false">
      <c r="D15" s="22" t="s">
        <v>43</v>
      </c>
      <c r="E15" s="18" t="s">
        <v>35</v>
      </c>
      <c r="F15" s="18" t="s">
        <v>16</v>
      </c>
      <c r="G15" s="19" t="s">
        <v>44</v>
      </c>
      <c r="H15" s="18" t="s">
        <v>25</v>
      </c>
      <c r="I15" s="18" t="s">
        <v>26</v>
      </c>
    </row>
    <row r="16" customFormat="false" ht="41.25" hidden="false" customHeight="false" outlineLevel="0" collapsed="false">
      <c r="D16" s="22" t="s">
        <v>45</v>
      </c>
      <c r="E16" s="20" t="s">
        <v>35</v>
      </c>
      <c r="F16" s="20" t="s">
        <v>16</v>
      </c>
      <c r="G16" s="21" t="s">
        <v>46</v>
      </c>
      <c r="H16" s="20" t="s">
        <v>47</v>
      </c>
      <c r="I16" s="20" t="s">
        <v>48</v>
      </c>
    </row>
    <row r="17" customFormat="false" ht="41.25" hidden="false" customHeight="false" outlineLevel="0" collapsed="false">
      <c r="D17" s="22" t="s">
        <v>49</v>
      </c>
      <c r="E17" s="18" t="s">
        <v>35</v>
      </c>
      <c r="F17" s="18" t="s">
        <v>16</v>
      </c>
      <c r="G17" s="19" t="s">
        <v>50</v>
      </c>
      <c r="H17" s="18" t="s">
        <v>47</v>
      </c>
      <c r="I17" s="18" t="s">
        <v>48</v>
      </c>
    </row>
    <row r="18" customFormat="false" ht="42" hidden="false" customHeight="false" outlineLevel="0" collapsed="false">
      <c r="D18" s="22" t="s">
        <v>51</v>
      </c>
      <c r="E18" s="20" t="s">
        <v>35</v>
      </c>
      <c r="F18" s="21"/>
      <c r="G18" s="21" t="s">
        <v>52</v>
      </c>
      <c r="H18" s="20" t="s">
        <v>21</v>
      </c>
      <c r="I18" s="23" t="s">
        <v>53</v>
      </c>
    </row>
    <row r="19" customFormat="false" ht="28.5" hidden="false" customHeight="false" outlineLevel="0" collapsed="false">
      <c r="D19" s="24" t="s">
        <v>54</v>
      </c>
      <c r="E19" s="18" t="s">
        <v>35</v>
      </c>
      <c r="F19" s="19"/>
      <c r="G19" s="19" t="s">
        <v>55</v>
      </c>
      <c r="H19" s="18" t="s">
        <v>18</v>
      </c>
      <c r="I19" s="25" t="s">
        <v>56</v>
      </c>
    </row>
    <row r="20" customFormat="false" ht="26.25" hidden="false" customHeight="false" outlineLevel="0" collapsed="false">
      <c r="D20" s="26" t="s">
        <v>57</v>
      </c>
      <c r="E20" s="20" t="s">
        <v>58</v>
      </c>
      <c r="F20" s="21"/>
      <c r="G20" s="21" t="s">
        <v>59</v>
      </c>
      <c r="H20" s="20" t="s">
        <v>21</v>
      </c>
      <c r="I20" s="20" t="s">
        <v>60</v>
      </c>
    </row>
    <row r="21" customFormat="false" ht="15.75" hidden="false" customHeight="false" outlineLevel="0" collapsed="false">
      <c r="D21" s="26" t="s">
        <v>61</v>
      </c>
      <c r="E21" s="18" t="s">
        <v>58</v>
      </c>
      <c r="F21" s="19"/>
      <c r="G21" s="19" t="s">
        <v>62</v>
      </c>
      <c r="H21" s="18" t="s">
        <v>21</v>
      </c>
      <c r="I21" s="18" t="s">
        <v>60</v>
      </c>
    </row>
    <row r="22" customFormat="false" ht="26.25" hidden="false" customHeight="false" outlineLevel="0" collapsed="false">
      <c r="D22" s="26" t="s">
        <v>63</v>
      </c>
      <c r="E22" s="20" t="s">
        <v>58</v>
      </c>
      <c r="F22" s="20" t="s">
        <v>16</v>
      </c>
      <c r="G22" s="21" t="s">
        <v>64</v>
      </c>
      <c r="H22" s="20" t="s">
        <v>21</v>
      </c>
      <c r="I22" s="20" t="s">
        <v>60</v>
      </c>
    </row>
    <row r="23" customFormat="false" ht="26.25" hidden="false" customHeight="false" outlineLevel="0" collapsed="false">
      <c r="D23" s="26" t="s">
        <v>65</v>
      </c>
      <c r="E23" s="18" t="s">
        <v>58</v>
      </c>
      <c r="F23" s="19"/>
      <c r="G23" s="19" t="s">
        <v>66</v>
      </c>
      <c r="H23" s="18" t="s">
        <v>21</v>
      </c>
      <c r="I23" s="18" t="s">
        <v>67</v>
      </c>
    </row>
    <row r="24" customFormat="false" ht="15.75" hidden="false" customHeight="false" outlineLevel="0" collapsed="false">
      <c r="D24" s="26" t="s">
        <v>68</v>
      </c>
      <c r="E24" s="20" t="s">
        <v>58</v>
      </c>
      <c r="F24" s="21"/>
      <c r="G24" s="21" t="s">
        <v>69</v>
      </c>
      <c r="H24" s="20" t="s">
        <v>21</v>
      </c>
      <c r="I24" s="20" t="s">
        <v>70</v>
      </c>
    </row>
    <row r="25" customFormat="false" ht="15.75" hidden="false" customHeight="false" outlineLevel="0" collapsed="false">
      <c r="D25" s="26" t="s">
        <v>71</v>
      </c>
      <c r="E25" s="18" t="s">
        <v>58</v>
      </c>
      <c r="F25" s="19"/>
      <c r="G25" s="19" t="s">
        <v>72</v>
      </c>
      <c r="H25" s="18" t="s">
        <v>21</v>
      </c>
      <c r="I25" s="18" t="s">
        <v>60</v>
      </c>
    </row>
    <row r="26" customFormat="false" ht="41.25" hidden="false" customHeight="false" outlineLevel="0" collapsed="false">
      <c r="D26" s="27" t="s">
        <v>73</v>
      </c>
      <c r="E26" s="28" t="s">
        <v>58</v>
      </c>
      <c r="F26" s="28" t="s">
        <v>16</v>
      </c>
      <c r="G26" s="29" t="s">
        <v>74</v>
      </c>
      <c r="H26" s="28" t="s">
        <v>21</v>
      </c>
      <c r="I26" s="20" t="s">
        <v>75</v>
      </c>
    </row>
    <row r="27" customFormat="false" ht="52.5" hidden="false" customHeight="false" outlineLevel="0" collapsed="false">
      <c r="D27" s="27" t="s">
        <v>76</v>
      </c>
      <c r="E27" s="30" t="s">
        <v>58</v>
      </c>
      <c r="F27" s="30" t="s">
        <v>77</v>
      </c>
      <c r="G27" s="31" t="s">
        <v>78</v>
      </c>
      <c r="H27" s="30" t="s">
        <v>21</v>
      </c>
      <c r="I27" s="32" t="s">
        <v>79</v>
      </c>
    </row>
    <row r="28" customFormat="false" ht="26.25" hidden="false" customHeight="false" outlineLevel="0" collapsed="false">
      <c r="D28" s="33" t="s">
        <v>80</v>
      </c>
      <c r="E28" s="20" t="s">
        <v>81</v>
      </c>
      <c r="F28" s="20" t="s">
        <v>16</v>
      </c>
      <c r="G28" s="21" t="s">
        <v>82</v>
      </c>
      <c r="H28" s="20" t="s">
        <v>21</v>
      </c>
      <c r="I28" s="20" t="s">
        <v>83</v>
      </c>
    </row>
    <row r="29" customFormat="false" ht="26.25" hidden="false" customHeight="false" outlineLevel="0" collapsed="false">
      <c r="D29" s="34" t="s">
        <v>84</v>
      </c>
      <c r="E29" s="18" t="s">
        <v>81</v>
      </c>
      <c r="F29" s="19"/>
      <c r="G29" s="19" t="s">
        <v>85</v>
      </c>
      <c r="H29" s="18" t="s">
        <v>21</v>
      </c>
      <c r="I29" s="18" t="s">
        <v>83</v>
      </c>
    </row>
    <row r="30" customFormat="false" ht="26.25" hidden="false" customHeight="false" outlineLevel="0" collapsed="false">
      <c r="D30" s="33" t="s">
        <v>86</v>
      </c>
      <c r="E30" s="20" t="s">
        <v>81</v>
      </c>
      <c r="F30" s="21"/>
      <c r="G30" s="21" t="s">
        <v>87</v>
      </c>
      <c r="H30" s="20" t="s">
        <v>21</v>
      </c>
      <c r="I30" s="20" t="s">
        <v>83</v>
      </c>
    </row>
    <row r="31" customFormat="false" ht="26.25" hidden="false" customHeight="false" outlineLevel="0" collapsed="false">
      <c r="D31" s="33" t="s">
        <v>88</v>
      </c>
      <c r="E31" s="18" t="s">
        <v>81</v>
      </c>
      <c r="F31" s="18" t="s">
        <v>16</v>
      </c>
      <c r="G31" s="19" t="s">
        <v>89</v>
      </c>
      <c r="H31" s="18" t="s">
        <v>21</v>
      </c>
      <c r="I31" s="18" t="s">
        <v>83</v>
      </c>
    </row>
    <row r="32" customFormat="false" ht="26.25" hidden="false" customHeight="false" outlineLevel="0" collapsed="false">
      <c r="D32" s="35" t="s">
        <v>90</v>
      </c>
      <c r="E32" s="20" t="s">
        <v>91</v>
      </c>
      <c r="F32" s="21"/>
      <c r="G32" s="21" t="s">
        <v>92</v>
      </c>
      <c r="H32" s="20" t="s">
        <v>18</v>
      </c>
      <c r="I32" s="36" t="s">
        <v>93</v>
      </c>
    </row>
    <row r="33" customFormat="false" ht="26.25" hidden="false" customHeight="false" outlineLevel="0" collapsed="false">
      <c r="D33" s="37" t="s">
        <v>94</v>
      </c>
      <c r="E33" s="18" t="s">
        <v>95</v>
      </c>
      <c r="F33" s="18" t="s">
        <v>16</v>
      </c>
      <c r="G33" s="19" t="s">
        <v>96</v>
      </c>
      <c r="H33" s="18" t="s">
        <v>97</v>
      </c>
      <c r="I33" s="19"/>
    </row>
    <row r="34" customFormat="false" ht="15.75" hidden="false" customHeight="false" outlineLevel="0" collapsed="false">
      <c r="D34" s="22" t="s">
        <v>98</v>
      </c>
      <c r="E34" s="20" t="s">
        <v>95</v>
      </c>
      <c r="F34" s="20" t="s">
        <v>16</v>
      </c>
      <c r="G34" s="21" t="s">
        <v>99</v>
      </c>
      <c r="H34" s="20" t="s">
        <v>97</v>
      </c>
      <c r="I34" s="21"/>
    </row>
    <row r="35" customFormat="false" ht="15.75" hidden="false" customHeight="false" outlineLevel="0" collapsed="false">
      <c r="D35" s="22" t="s">
        <v>100</v>
      </c>
      <c r="E35" s="18" t="s">
        <v>95</v>
      </c>
      <c r="F35" s="18" t="s">
        <v>16</v>
      </c>
      <c r="G35" s="19" t="s">
        <v>101</v>
      </c>
      <c r="H35" s="18" t="s">
        <v>97</v>
      </c>
      <c r="I35" s="19"/>
    </row>
    <row r="36" customFormat="false" ht="15.75" hidden="false" customHeight="false" outlineLevel="0" collapsed="false">
      <c r="D36" s="22" t="s">
        <v>102</v>
      </c>
      <c r="E36" s="20" t="s">
        <v>95</v>
      </c>
      <c r="F36" s="20" t="s">
        <v>16</v>
      </c>
      <c r="G36" s="21" t="s">
        <v>103</v>
      </c>
      <c r="H36" s="20" t="s">
        <v>97</v>
      </c>
      <c r="I36" s="21"/>
    </row>
    <row r="37" customFormat="false" ht="15.75" hidden="false" customHeight="false" outlineLevel="0" collapsed="false">
      <c r="D37" s="22" t="s">
        <v>104</v>
      </c>
      <c r="E37" s="18" t="s">
        <v>95</v>
      </c>
      <c r="F37" s="18" t="s">
        <v>16</v>
      </c>
      <c r="G37" s="19" t="s">
        <v>105</v>
      </c>
      <c r="H37" s="18" t="s">
        <v>97</v>
      </c>
      <c r="I37" s="19"/>
    </row>
    <row r="38" customFormat="false" ht="15.75" hidden="false" customHeight="false" outlineLevel="0" collapsed="false">
      <c r="D38" s="22" t="s">
        <v>106</v>
      </c>
      <c r="E38" s="20" t="s">
        <v>95</v>
      </c>
      <c r="F38" s="20" t="s">
        <v>16</v>
      </c>
      <c r="G38" s="21" t="s">
        <v>107</v>
      </c>
      <c r="H38" s="20" t="s">
        <v>97</v>
      </c>
      <c r="I38" s="21"/>
    </row>
    <row r="39" customFormat="false" ht="15.75" hidden="false" customHeight="false" outlineLevel="0" collapsed="false">
      <c r="D39" s="22" t="s">
        <v>108</v>
      </c>
      <c r="E39" s="18" t="s">
        <v>108</v>
      </c>
      <c r="F39" s="18" t="s">
        <v>108</v>
      </c>
      <c r="G39" s="19" t="s">
        <v>108</v>
      </c>
      <c r="H39" s="19"/>
      <c r="I39" s="19"/>
    </row>
    <row r="40" customFormat="false" ht="15.75" hidden="false" customHeight="false" outlineLevel="0" collapsed="false">
      <c r="D40" s="22" t="s">
        <v>109</v>
      </c>
      <c r="E40" s="20" t="s">
        <v>95</v>
      </c>
      <c r="F40" s="20" t="s">
        <v>16</v>
      </c>
      <c r="G40" s="21" t="s">
        <v>110</v>
      </c>
      <c r="H40" s="20" t="s">
        <v>97</v>
      </c>
      <c r="I40" s="21"/>
    </row>
    <row r="41" customFormat="false" ht="26.25" hidden="false" customHeight="false" outlineLevel="0" collapsed="false">
      <c r="D41" s="38" t="s">
        <v>111</v>
      </c>
      <c r="E41" s="18" t="s">
        <v>95</v>
      </c>
      <c r="F41" s="18" t="s">
        <v>16</v>
      </c>
      <c r="G41" s="19" t="s">
        <v>112</v>
      </c>
      <c r="H41" s="18" t="s">
        <v>97</v>
      </c>
      <c r="I41" s="19"/>
    </row>
    <row r="42" customFormat="false" ht="15.75" hidden="false" customHeight="false" outlineLevel="0" collapsed="false">
      <c r="D42" s="38" t="s">
        <v>108</v>
      </c>
      <c r="E42" s="20" t="s">
        <v>108</v>
      </c>
      <c r="F42" s="20" t="s">
        <v>108</v>
      </c>
      <c r="G42" s="21" t="s">
        <v>108</v>
      </c>
      <c r="H42" s="20" t="s">
        <v>97</v>
      </c>
      <c r="I42" s="21"/>
    </row>
    <row r="43" customFormat="false" ht="26.25" hidden="false" customHeight="false" outlineLevel="0" collapsed="false">
      <c r="D43" s="38" t="s">
        <v>113</v>
      </c>
      <c r="E43" s="18" t="s">
        <v>95</v>
      </c>
      <c r="F43" s="18" t="s">
        <v>16</v>
      </c>
      <c r="G43" s="19" t="s">
        <v>114</v>
      </c>
      <c r="H43" s="18" t="s">
        <v>97</v>
      </c>
      <c r="I43" s="39"/>
    </row>
    <row r="44" customFormat="false" ht="15.75" hidden="false" customHeight="false" outlineLevel="0" collapsed="false">
      <c r="D44" s="40" t="s">
        <v>115</v>
      </c>
      <c r="E44" s="20" t="s">
        <v>116</v>
      </c>
      <c r="F44" s="21"/>
      <c r="G44" s="21" t="s">
        <v>117</v>
      </c>
      <c r="H44" s="20" t="s">
        <v>25</v>
      </c>
      <c r="I44" s="20" t="s">
        <v>26</v>
      </c>
    </row>
    <row r="45" customFormat="false" ht="15.75" hidden="false" customHeight="false" outlineLevel="0" collapsed="false">
      <c r="D45" s="40" t="s">
        <v>118</v>
      </c>
      <c r="E45" s="18" t="s">
        <v>116</v>
      </c>
      <c r="F45" s="19"/>
      <c r="G45" s="19" t="s">
        <v>119</v>
      </c>
      <c r="H45" s="18" t="s">
        <v>25</v>
      </c>
      <c r="I45" s="18" t="s">
        <v>26</v>
      </c>
    </row>
    <row r="46" customFormat="false" ht="29.25" hidden="false" customHeight="false" outlineLevel="0" collapsed="false">
      <c r="D46" s="41" t="s">
        <v>120</v>
      </c>
      <c r="E46" s="20" t="s">
        <v>116</v>
      </c>
      <c r="F46" s="21"/>
      <c r="G46" s="21" t="s">
        <v>121</v>
      </c>
      <c r="H46" s="20" t="s">
        <v>47</v>
      </c>
      <c r="I46" s="20" t="s">
        <v>48</v>
      </c>
    </row>
    <row r="47" customFormat="false" ht="29.25" hidden="false" customHeight="false" outlineLevel="0" collapsed="false">
      <c r="D47" s="42" t="s">
        <v>122</v>
      </c>
      <c r="E47" s="18" t="s">
        <v>116</v>
      </c>
      <c r="F47" s="19"/>
      <c r="G47" s="19" t="s">
        <v>123</v>
      </c>
      <c r="H47" s="18" t="s">
        <v>47</v>
      </c>
      <c r="I47" s="18" t="s">
        <v>48</v>
      </c>
    </row>
    <row r="48" customFormat="false" ht="26.45" hidden="false" customHeight="true" outlineLevel="0" collapsed="false">
      <c r="D48" s="43" t="s">
        <v>124</v>
      </c>
      <c r="E48" s="20" t="s">
        <v>116</v>
      </c>
      <c r="F48" s="21"/>
      <c r="G48" s="21" t="s">
        <v>125</v>
      </c>
      <c r="H48" s="20" t="s">
        <v>21</v>
      </c>
      <c r="I48" s="20" t="s">
        <v>126</v>
      </c>
    </row>
    <row r="49" customFormat="false" ht="26.45" hidden="false" customHeight="true" outlineLevel="0" collapsed="false">
      <c r="D49" s="43" t="s">
        <v>127</v>
      </c>
      <c r="E49" s="18" t="s">
        <v>116</v>
      </c>
      <c r="F49" s="19"/>
      <c r="G49" s="19" t="s">
        <v>128</v>
      </c>
      <c r="H49" s="18" t="s">
        <v>21</v>
      </c>
      <c r="I49" s="18" t="s">
        <v>129</v>
      </c>
    </row>
    <row r="50" customFormat="false" ht="26.45" hidden="false" customHeight="true" outlineLevel="0" collapsed="false">
      <c r="D50" s="43" t="s">
        <v>130</v>
      </c>
      <c r="E50" s="20" t="s">
        <v>116</v>
      </c>
      <c r="F50" s="20"/>
      <c r="G50" s="21" t="s">
        <v>131</v>
      </c>
      <c r="H50" s="20" t="s">
        <v>21</v>
      </c>
      <c r="I50" s="20" t="s">
        <v>129</v>
      </c>
    </row>
    <row r="51" customFormat="false" ht="26.45" hidden="false" customHeight="true" outlineLevel="0" collapsed="false">
      <c r="D51" s="43" t="s">
        <v>132</v>
      </c>
      <c r="E51" s="18" t="s">
        <v>116</v>
      </c>
      <c r="F51" s="18"/>
      <c r="G51" s="19" t="s">
        <v>133</v>
      </c>
      <c r="H51" s="18" t="s">
        <v>21</v>
      </c>
      <c r="I51" s="18" t="s">
        <v>129</v>
      </c>
    </row>
    <row r="52" customFormat="false" ht="26.45" hidden="false" customHeight="true" outlineLevel="0" collapsed="false">
      <c r="D52" s="43" t="s">
        <v>134</v>
      </c>
      <c r="E52" s="44" t="s">
        <v>116</v>
      </c>
      <c r="F52" s="44"/>
      <c r="G52" s="45" t="s">
        <v>135</v>
      </c>
      <c r="H52" s="44" t="s">
        <v>21</v>
      </c>
      <c r="I52" s="44" t="s">
        <v>129</v>
      </c>
    </row>
    <row r="53" customFormat="false" ht="26.45" hidden="false" customHeight="true" outlineLevel="0" collapsed="false">
      <c r="D53" s="43" t="s">
        <v>136</v>
      </c>
      <c r="E53" s="18" t="s">
        <v>116</v>
      </c>
      <c r="F53" s="19"/>
      <c r="G53" s="19" t="s">
        <v>137</v>
      </c>
      <c r="H53" s="18" t="s">
        <v>21</v>
      </c>
      <c r="I53" s="18" t="s">
        <v>129</v>
      </c>
    </row>
    <row r="54" customFormat="false" ht="15.75" hidden="false" customHeight="false" outlineLevel="0" collapsed="false">
      <c r="D54" s="37" t="s">
        <v>138</v>
      </c>
      <c r="E54" s="44" t="s">
        <v>116</v>
      </c>
      <c r="F54" s="45"/>
      <c r="G54" s="45" t="s">
        <v>139</v>
      </c>
      <c r="H54" s="44" t="s">
        <v>97</v>
      </c>
      <c r="I54" s="45"/>
    </row>
    <row r="55" customFormat="false" ht="38.25" hidden="false" customHeight="false" outlineLevel="0" collapsed="false">
      <c r="D55" s="46" t="s">
        <v>140</v>
      </c>
      <c r="E55" s="18" t="s">
        <v>116</v>
      </c>
      <c r="F55" s="19"/>
      <c r="G55" s="19" t="s">
        <v>141</v>
      </c>
      <c r="H55" s="18" t="s">
        <v>97</v>
      </c>
      <c r="I55" s="19"/>
    </row>
    <row r="56" customFormat="false" ht="15.75" hidden="false" customHeight="false" outlineLevel="0" collapsed="false">
      <c r="D56" s="47" t="s">
        <v>142</v>
      </c>
      <c r="E56" s="44" t="s">
        <v>116</v>
      </c>
      <c r="F56" s="45"/>
      <c r="G56" s="45" t="s">
        <v>143</v>
      </c>
      <c r="H56" s="44" t="s">
        <v>97</v>
      </c>
      <c r="I56" s="45"/>
    </row>
    <row r="57" customFormat="false" ht="38.25" hidden="false" customHeight="false" outlineLevel="0" collapsed="false">
      <c r="D57" s="48" t="s">
        <v>144</v>
      </c>
      <c r="E57" s="18" t="s">
        <v>116</v>
      </c>
      <c r="F57" s="19"/>
      <c r="G57" s="19" t="s">
        <v>145</v>
      </c>
      <c r="H57" s="18" t="s">
        <v>97</v>
      </c>
      <c r="I57" s="19"/>
    </row>
    <row r="58" customFormat="false" ht="15.75" hidden="false" customHeight="false" outlineLevel="0" collapsed="false">
      <c r="D58" s="49" t="s">
        <v>146</v>
      </c>
      <c r="E58" s="44" t="s">
        <v>116</v>
      </c>
      <c r="F58" s="45"/>
      <c r="G58" s="45" t="s">
        <v>147</v>
      </c>
      <c r="H58" s="44" t="s">
        <v>97</v>
      </c>
      <c r="I58" s="45"/>
    </row>
    <row r="59" customFormat="false" ht="15.75" hidden="false" customHeight="false" outlineLevel="0" collapsed="false">
      <c r="D59" s="50" t="s">
        <v>148</v>
      </c>
      <c r="E59" s="51" t="s">
        <v>116</v>
      </c>
      <c r="F59" s="19"/>
      <c r="G59" s="52" t="s">
        <v>149</v>
      </c>
      <c r="H59" s="51" t="s">
        <v>97</v>
      </c>
      <c r="I59" s="19"/>
    </row>
    <row r="60" customFormat="false" ht="15.75" hidden="false" customHeight="false" outlineLevel="0" collapsed="false">
      <c r="D60" s="53" t="s">
        <v>150</v>
      </c>
      <c r="E60" s="54" t="s">
        <v>116</v>
      </c>
      <c r="F60" s="45"/>
      <c r="G60" s="55" t="s">
        <v>151</v>
      </c>
      <c r="H60" s="54" t="s">
        <v>97</v>
      </c>
      <c r="I60" s="45"/>
    </row>
    <row r="61" customFormat="false" ht="15.75" hidden="false" customHeight="false" outlineLevel="0" collapsed="false">
      <c r="D61" s="56" t="s">
        <v>152</v>
      </c>
      <c r="E61" s="51" t="s">
        <v>116</v>
      </c>
      <c r="F61" s="19"/>
      <c r="G61" s="52" t="s">
        <v>153</v>
      </c>
      <c r="H61" s="51" t="s">
        <v>97</v>
      </c>
      <c r="I61" s="19"/>
    </row>
    <row r="62" customFormat="false" ht="15.75" hidden="false" customHeight="false" outlineLevel="0" collapsed="false">
      <c r="D62" s="57" t="s">
        <v>154</v>
      </c>
      <c r="E62" s="54" t="s">
        <v>116</v>
      </c>
      <c r="F62" s="45"/>
      <c r="G62" s="55" t="s">
        <v>155</v>
      </c>
      <c r="H62" s="54" t="s">
        <v>97</v>
      </c>
      <c r="I62" s="45"/>
    </row>
    <row r="63" customFormat="false" ht="15.75" hidden="false" customHeight="false" outlineLevel="0" collapsed="false">
      <c r="D63" s="58" t="s">
        <v>156</v>
      </c>
      <c r="E63" s="51" t="s">
        <v>116</v>
      </c>
      <c r="F63" s="19"/>
      <c r="G63" s="52" t="s">
        <v>157</v>
      </c>
      <c r="H63" s="51" t="s">
        <v>97</v>
      </c>
      <c r="I63" s="19"/>
    </row>
  </sheetData>
  <mergeCells count="5">
    <mergeCell ref="D3:D4"/>
    <mergeCell ref="E3:E4"/>
    <mergeCell ref="G3:G4"/>
    <mergeCell ref="H3:H4"/>
    <mergeCell ref="I3:I4"/>
  </mergeCells>
  <hyperlinks>
    <hyperlink ref="I18" location="CONTRATOS!P2" display="ver tabla &quot;Motivo reducción de jornada&quot;"/>
    <hyperlink ref="I19" location="CONTRATOS!A1" display="ver tabla &quot;Clave de Contrato&quot;"/>
    <hyperlink ref="I32" r:id="rId1" display="ver aquí"/>
  </hyperlinks>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D7D31"/>
    <pageSetUpPr fitToPage="true"/>
  </sheetPr>
  <dimension ref="A2:L47"/>
  <sheetViews>
    <sheetView showFormulas="false" showGridLines="true" showRowColHeaders="true" showZeros="true" rightToLeft="false" tabSelected="false" showOutlineSymbols="true" defaultGridColor="true" view="normal" topLeftCell="A1" colorId="64" zoomScale="99" zoomScaleNormal="99" zoomScalePageLayoutView="100" workbookViewId="0">
      <selection pane="topLeft" activeCell="J1" activeCellId="0" sqref="J1"/>
    </sheetView>
  </sheetViews>
  <sheetFormatPr defaultColWidth="11.55859375" defaultRowHeight="15" zeroHeight="false" outlineLevelRow="0" outlineLevelCol="0"/>
  <cols>
    <col collapsed="false" customWidth="true" hidden="false" outlineLevel="0" max="1" min="1" style="59" width="8.74"/>
    <col collapsed="false" customWidth="true" hidden="false" outlineLevel="0" max="2" min="2" style="59" width="13.45"/>
    <col collapsed="false" customWidth="true" hidden="false" outlineLevel="0" max="3" min="3" style="59" width="23.27"/>
    <col collapsed="false" customWidth="true" hidden="false" outlineLevel="0" max="4" min="4" style="59" width="55.69"/>
    <col collapsed="false" customWidth="true" hidden="false" outlineLevel="0" max="5" min="5" style="59" width="11.84"/>
    <col collapsed="false" customWidth="true" hidden="false" outlineLevel="0" max="6" min="6" style="59" width="14.25"/>
    <col collapsed="false" customWidth="true" hidden="false" outlineLevel="0" max="7" min="7" style="59" width="17.49"/>
    <col collapsed="false" customWidth="true" hidden="false" outlineLevel="0" max="8" min="8" style="59" width="14.66"/>
    <col collapsed="false" customWidth="true" hidden="false" outlineLevel="0" max="9" min="9" style="59" width="12.91"/>
    <col collapsed="false" customWidth="true" hidden="true" outlineLevel="0" max="10" min="10" style="59" width="20.31"/>
    <col collapsed="false" customWidth="true" hidden="true" outlineLevel="0" max="11" min="11" style="59" width="4.32"/>
    <col collapsed="false" customWidth="true" hidden="true" outlineLevel="0" max="12" min="12" style="59" width="21.39"/>
    <col collapsed="false" customWidth="false" hidden="false" outlineLevel="0" max="1024" min="13" style="59" width="11.57"/>
  </cols>
  <sheetData>
    <row r="2" customFormat="false" ht="15" hidden="false" customHeight="false" outlineLevel="0" collapsed="false">
      <c r="B2" s="60" t="s">
        <v>158</v>
      </c>
      <c r="C2" s="60"/>
      <c r="D2" s="60"/>
      <c r="E2" s="60"/>
      <c r="F2" s="60"/>
      <c r="G2" s="60"/>
      <c r="H2" s="60"/>
    </row>
    <row r="4" s="61" customFormat="true" ht="15" hidden="false" customHeight="false" outlineLevel="0" collapsed="false">
      <c r="A4" s="59"/>
      <c r="E4" s="62" t="s">
        <v>159</v>
      </c>
      <c r="G4" s="63" t="s">
        <v>160</v>
      </c>
    </row>
    <row r="6" customFormat="false" ht="15" hidden="false" customHeight="false" outlineLevel="0" collapsed="false">
      <c r="E6" s="64" t="s">
        <v>161</v>
      </c>
      <c r="G6" s="65" t="s">
        <v>162</v>
      </c>
    </row>
    <row r="7" customFormat="false" ht="15" hidden="false" customHeight="false" outlineLevel="0" collapsed="false">
      <c r="E7" s="59" t="s">
        <v>163</v>
      </c>
      <c r="G7" s="66" t="s">
        <v>164</v>
      </c>
    </row>
    <row r="8" customFormat="false" ht="15" hidden="false" customHeight="false" outlineLevel="0" collapsed="false">
      <c r="E8" s="59" t="s">
        <v>165</v>
      </c>
      <c r="G8" s="66" t="s">
        <v>166</v>
      </c>
    </row>
    <row r="9" customFormat="false" ht="15" hidden="false" customHeight="false" outlineLevel="0" collapsed="false">
      <c r="G9" s="66" t="s">
        <v>167</v>
      </c>
    </row>
    <row r="11" customFormat="false" ht="15" hidden="false" customHeight="false" outlineLevel="0" collapsed="false">
      <c r="B11" s="64" t="s">
        <v>168</v>
      </c>
      <c r="C11" s="64" t="s">
        <v>169</v>
      </c>
      <c r="D11" s="64" t="s">
        <v>10</v>
      </c>
      <c r="E11" s="67" t="s">
        <v>161</v>
      </c>
      <c r="F11" s="68" t="s">
        <v>8</v>
      </c>
      <c r="G11" s="69" t="s">
        <v>170</v>
      </c>
      <c r="H11" s="70" t="s">
        <v>171</v>
      </c>
      <c r="J11" s="71" t="s">
        <v>73</v>
      </c>
      <c r="L11" s="71" t="s">
        <v>172</v>
      </c>
    </row>
    <row r="12" customFormat="false" ht="15" hidden="false" customHeight="false" outlineLevel="0" collapsed="false">
      <c r="B12" s="65" t="s">
        <v>94</v>
      </c>
      <c r="C12" s="61"/>
      <c r="D12" s="61"/>
      <c r="F12" s="66" t="s">
        <v>164</v>
      </c>
      <c r="G12" s="72"/>
      <c r="H12" s="73"/>
      <c r="J12" s="59" t="s">
        <v>173</v>
      </c>
      <c r="L12" s="59" t="s">
        <v>174</v>
      </c>
    </row>
    <row r="13" customFormat="false" ht="15" hidden="false" customHeight="false" outlineLevel="0" collapsed="false">
      <c r="B13" s="66" t="s">
        <v>98</v>
      </c>
      <c r="F13" s="66" t="s">
        <v>166</v>
      </c>
      <c r="G13" s="72"/>
      <c r="H13" s="73"/>
      <c r="J13" s="59" t="s">
        <v>175</v>
      </c>
      <c r="L13" s="59" t="s">
        <v>176</v>
      </c>
    </row>
    <row r="14" customFormat="false" ht="15" hidden="false" customHeight="false" outlineLevel="0" collapsed="false">
      <c r="B14" s="66" t="s">
        <v>100</v>
      </c>
      <c r="F14" s="66" t="s">
        <v>166</v>
      </c>
      <c r="G14" s="72"/>
      <c r="H14" s="73"/>
      <c r="J14" s="59" t="s">
        <v>177</v>
      </c>
      <c r="L14" s="59" t="s">
        <v>178</v>
      </c>
    </row>
    <row r="15" customFormat="false" ht="15" hidden="false" customHeight="false" outlineLevel="0" collapsed="false">
      <c r="B15" s="66" t="s">
        <v>102</v>
      </c>
      <c r="F15" s="66" t="s">
        <v>166</v>
      </c>
      <c r="G15" s="72"/>
      <c r="H15" s="73"/>
      <c r="J15" s="59" t="s">
        <v>179</v>
      </c>
      <c r="L15" s="59" t="s">
        <v>180</v>
      </c>
    </row>
    <row r="16" customFormat="false" ht="15" hidden="false" customHeight="false" outlineLevel="0" collapsed="false">
      <c r="B16" s="66" t="s">
        <v>104</v>
      </c>
      <c r="F16" s="66" t="s">
        <v>166</v>
      </c>
      <c r="G16" s="72"/>
      <c r="H16" s="73"/>
      <c r="J16" s="59" t="s">
        <v>181</v>
      </c>
      <c r="L16" s="59" t="s">
        <v>182</v>
      </c>
    </row>
    <row r="17" customFormat="false" ht="15" hidden="false" customHeight="false" outlineLevel="0" collapsed="false">
      <c r="B17" s="66" t="s">
        <v>106</v>
      </c>
      <c r="F17" s="66" t="s">
        <v>166</v>
      </c>
      <c r="G17" s="72"/>
      <c r="H17" s="73"/>
      <c r="J17" s="59" t="s">
        <v>183</v>
      </c>
      <c r="L17" s="59" t="s">
        <v>184</v>
      </c>
    </row>
    <row r="18" customFormat="false" ht="15" hidden="false" customHeight="false" outlineLevel="0" collapsed="false">
      <c r="B18" s="66" t="s">
        <v>185</v>
      </c>
      <c r="F18" s="66" t="s">
        <v>166</v>
      </c>
      <c r="G18" s="72"/>
      <c r="H18" s="73"/>
      <c r="J18" s="59" t="s">
        <v>186</v>
      </c>
      <c r="L18" s="59" t="s">
        <v>187</v>
      </c>
    </row>
    <row r="19" customFormat="false" ht="15" hidden="false" customHeight="false" outlineLevel="0" collapsed="false">
      <c r="B19" s="66" t="s">
        <v>188</v>
      </c>
      <c r="F19" s="66" t="s">
        <v>166</v>
      </c>
      <c r="G19" s="72"/>
      <c r="H19" s="73"/>
      <c r="J19" s="59" t="s">
        <v>189</v>
      </c>
      <c r="L19" s="59" t="s">
        <v>190</v>
      </c>
    </row>
    <row r="20" customFormat="false" ht="15" hidden="false" customHeight="false" outlineLevel="0" collapsed="false">
      <c r="B20" s="66" t="s">
        <v>191</v>
      </c>
      <c r="F20" s="66" t="s">
        <v>166</v>
      </c>
      <c r="G20" s="72"/>
      <c r="H20" s="73"/>
      <c r="J20" s="59" t="s">
        <v>192</v>
      </c>
      <c r="L20" s="59" t="s">
        <v>193</v>
      </c>
    </row>
    <row r="21" customFormat="false" ht="15" hidden="false" customHeight="false" outlineLevel="0" collapsed="false">
      <c r="B21" s="66" t="s">
        <v>194</v>
      </c>
      <c r="F21" s="66" t="s">
        <v>166</v>
      </c>
      <c r="G21" s="72"/>
      <c r="H21" s="73"/>
      <c r="J21" s="59" t="s">
        <v>195</v>
      </c>
      <c r="L21" s="59" t="s">
        <v>196</v>
      </c>
    </row>
    <row r="22" customFormat="false" ht="15" hidden="false" customHeight="false" outlineLevel="0" collapsed="false">
      <c r="A22" s="61"/>
      <c r="B22" s="66" t="s">
        <v>197</v>
      </c>
      <c r="F22" s="66" t="s">
        <v>166</v>
      </c>
      <c r="H22" s="73"/>
      <c r="I22" s="61"/>
      <c r="J22" s="59" t="s">
        <v>198</v>
      </c>
      <c r="L22" s="59" t="s">
        <v>199</v>
      </c>
    </row>
    <row r="23" customFormat="false" ht="15" hidden="false" customHeight="false" outlineLevel="0" collapsed="false">
      <c r="B23" s="66" t="s">
        <v>200</v>
      </c>
      <c r="F23" s="66" t="s">
        <v>166</v>
      </c>
      <c r="H23" s="73"/>
      <c r="J23" s="59" t="s">
        <v>201</v>
      </c>
      <c r="L23" s="59" t="s">
        <v>202</v>
      </c>
    </row>
    <row r="24" customFormat="false" ht="15" hidden="false" customHeight="false" outlineLevel="0" collapsed="false">
      <c r="B24" s="66" t="s">
        <v>203</v>
      </c>
      <c r="F24" s="66" t="s">
        <v>166</v>
      </c>
      <c r="H24" s="73"/>
      <c r="J24" s="59" t="s">
        <v>204</v>
      </c>
      <c r="L24" s="59" t="s">
        <v>205</v>
      </c>
    </row>
    <row r="25" customFormat="false" ht="15" hidden="false" customHeight="false" outlineLevel="0" collapsed="false">
      <c r="B25" s="66" t="s">
        <v>206</v>
      </c>
      <c r="F25" s="66" t="s">
        <v>166</v>
      </c>
      <c r="H25" s="73"/>
      <c r="J25" s="59" t="s">
        <v>207</v>
      </c>
      <c r="L25" s="59" t="s">
        <v>208</v>
      </c>
    </row>
    <row r="26" customFormat="false" ht="15" hidden="false" customHeight="false" outlineLevel="0" collapsed="false">
      <c r="B26" s="66" t="s">
        <v>209</v>
      </c>
      <c r="F26" s="66" t="s">
        <v>166</v>
      </c>
      <c r="H26" s="73"/>
      <c r="J26" s="59" t="s">
        <v>210</v>
      </c>
      <c r="L26" s="59" t="s">
        <v>211</v>
      </c>
    </row>
    <row r="27" customFormat="false" ht="15" hidden="false" customHeight="false" outlineLevel="0" collapsed="false">
      <c r="B27" s="66" t="s">
        <v>212</v>
      </c>
      <c r="F27" s="66" t="s">
        <v>166</v>
      </c>
      <c r="H27" s="73"/>
      <c r="J27" s="59" t="s">
        <v>213</v>
      </c>
      <c r="L27" s="59" t="s">
        <v>214</v>
      </c>
    </row>
    <row r="28" customFormat="false" ht="15" hidden="false" customHeight="false" outlineLevel="0" collapsed="false">
      <c r="B28" s="66" t="s">
        <v>215</v>
      </c>
      <c r="F28" s="66" t="s">
        <v>166</v>
      </c>
      <c r="G28" s="61"/>
      <c r="H28" s="73"/>
      <c r="J28" s="59" t="s">
        <v>216</v>
      </c>
      <c r="L28" s="59" t="s">
        <v>217</v>
      </c>
    </row>
    <row r="29" customFormat="false" ht="15" hidden="false" customHeight="false" outlineLevel="0" collapsed="false">
      <c r="B29" s="66" t="s">
        <v>218</v>
      </c>
      <c r="F29" s="66" t="s">
        <v>166</v>
      </c>
      <c r="H29" s="73"/>
      <c r="J29" s="59" t="s">
        <v>219</v>
      </c>
      <c r="L29" s="59" t="s">
        <v>220</v>
      </c>
    </row>
    <row r="30" customFormat="false" ht="15" hidden="false" customHeight="false" outlineLevel="0" collapsed="false">
      <c r="B30" s="66" t="s">
        <v>221</v>
      </c>
      <c r="F30" s="66" t="s">
        <v>166</v>
      </c>
      <c r="H30" s="73"/>
      <c r="J30" s="59" t="s">
        <v>222</v>
      </c>
      <c r="L30" s="59" t="s">
        <v>223</v>
      </c>
    </row>
    <row r="31" customFormat="false" ht="15" hidden="false" customHeight="false" outlineLevel="0" collapsed="false">
      <c r="B31" s="66" t="s">
        <v>224</v>
      </c>
      <c r="F31" s="66" t="s">
        <v>166</v>
      </c>
      <c r="H31" s="73"/>
      <c r="J31" s="59" t="s">
        <v>225</v>
      </c>
      <c r="L31" s="59" t="s">
        <v>226</v>
      </c>
    </row>
    <row r="32" customFormat="false" ht="15" hidden="false" customHeight="false" outlineLevel="0" collapsed="false">
      <c r="B32" s="66" t="s">
        <v>227</v>
      </c>
      <c r="F32" s="66" t="s">
        <v>166</v>
      </c>
      <c r="H32" s="73"/>
      <c r="J32" s="59" t="s">
        <v>228</v>
      </c>
      <c r="L32" s="59" t="s">
        <v>229</v>
      </c>
    </row>
    <row r="33" customFormat="false" ht="15" hidden="false" customHeight="false" outlineLevel="0" collapsed="false">
      <c r="B33" s="66" t="s">
        <v>230</v>
      </c>
      <c r="F33" s="66" t="s">
        <v>166</v>
      </c>
      <c r="H33" s="73"/>
      <c r="J33" s="59" t="s">
        <v>231</v>
      </c>
      <c r="L33" s="59" t="s">
        <v>232</v>
      </c>
    </row>
    <row r="34" customFormat="false" ht="15" hidden="false" customHeight="false" outlineLevel="0" collapsed="false">
      <c r="B34" s="66" t="s">
        <v>233</v>
      </c>
      <c r="F34" s="66" t="s">
        <v>166</v>
      </c>
      <c r="H34" s="73"/>
      <c r="J34" s="59" t="s">
        <v>234</v>
      </c>
      <c r="L34" s="59" t="s">
        <v>235</v>
      </c>
    </row>
    <row r="35" customFormat="false" ht="15" hidden="false" customHeight="false" outlineLevel="0" collapsed="false">
      <c r="B35" s="66" t="s">
        <v>236</v>
      </c>
      <c r="F35" s="66" t="s">
        <v>166</v>
      </c>
      <c r="H35" s="73"/>
      <c r="J35" s="59" t="s">
        <v>237</v>
      </c>
      <c r="L35" s="59" t="s">
        <v>238</v>
      </c>
    </row>
    <row r="36" customFormat="false" ht="15" hidden="false" customHeight="false" outlineLevel="0" collapsed="false">
      <c r="B36" s="66" t="s">
        <v>239</v>
      </c>
      <c r="F36" s="66" t="s">
        <v>166</v>
      </c>
      <c r="H36" s="73"/>
      <c r="J36" s="59" t="s">
        <v>240</v>
      </c>
      <c r="L36" s="59" t="s">
        <v>241</v>
      </c>
    </row>
    <row r="37" customFormat="false" ht="15" hidden="false" customHeight="false" outlineLevel="0" collapsed="false">
      <c r="B37" s="66" t="s">
        <v>242</v>
      </c>
      <c r="F37" s="66" t="s">
        <v>166</v>
      </c>
      <c r="H37" s="73"/>
      <c r="J37" s="59" t="s">
        <v>243</v>
      </c>
      <c r="L37" s="59" t="s">
        <v>244</v>
      </c>
    </row>
    <row r="38" customFormat="false" ht="15" hidden="false" customHeight="false" outlineLevel="0" collapsed="false">
      <c r="B38" s="66" t="s">
        <v>245</v>
      </c>
      <c r="F38" s="66" t="s">
        <v>166</v>
      </c>
      <c r="H38" s="73"/>
      <c r="J38" s="59" t="s">
        <v>246</v>
      </c>
      <c r="L38" s="59" t="s">
        <v>247</v>
      </c>
    </row>
    <row r="39" customFormat="false" ht="15" hidden="false" customHeight="false" outlineLevel="0" collapsed="false">
      <c r="B39" s="66" t="s">
        <v>248</v>
      </c>
      <c r="F39" s="66" t="s">
        <v>166</v>
      </c>
      <c r="H39" s="73"/>
      <c r="J39" s="59" t="s">
        <v>249</v>
      </c>
      <c r="L39" s="59" t="s">
        <v>250</v>
      </c>
    </row>
    <row r="40" customFormat="false" ht="15" hidden="false" customHeight="false" outlineLevel="0" collapsed="false">
      <c r="B40" s="66" t="s">
        <v>251</v>
      </c>
      <c r="F40" s="66" t="s">
        <v>166</v>
      </c>
      <c r="H40" s="73"/>
      <c r="J40" s="59" t="s">
        <v>252</v>
      </c>
      <c r="L40" s="59" t="s">
        <v>253</v>
      </c>
    </row>
    <row r="41" customFormat="false" ht="15" hidden="false" customHeight="false" outlineLevel="0" collapsed="false">
      <c r="B41" s="66" t="s">
        <v>254</v>
      </c>
      <c r="F41" s="66" t="s">
        <v>166</v>
      </c>
      <c r="H41" s="73"/>
      <c r="J41" s="59" t="s">
        <v>255</v>
      </c>
      <c r="L41" s="59" t="s">
        <v>256</v>
      </c>
    </row>
    <row r="42" customFormat="false" ht="15" hidden="false" customHeight="false" outlineLevel="0" collapsed="false">
      <c r="B42" s="66" t="s">
        <v>109</v>
      </c>
      <c r="F42" s="66" t="s">
        <v>166</v>
      </c>
      <c r="H42" s="73"/>
    </row>
    <row r="43" customFormat="false" ht="15" hidden="false" customHeight="false" outlineLevel="0" collapsed="false">
      <c r="B43" s="66" t="s">
        <v>111</v>
      </c>
      <c r="F43" s="66" t="s">
        <v>167</v>
      </c>
      <c r="G43" s="72"/>
      <c r="H43" s="73"/>
    </row>
    <row r="44" customFormat="false" ht="15" hidden="false" customHeight="false" outlineLevel="0" collapsed="false">
      <c r="B44" s="66" t="s">
        <v>257</v>
      </c>
      <c r="F44" s="66" t="s">
        <v>167</v>
      </c>
      <c r="H44" s="73"/>
    </row>
    <row r="45" customFormat="false" ht="15" hidden="false" customHeight="false" outlineLevel="0" collapsed="false">
      <c r="B45" s="66" t="s">
        <v>258</v>
      </c>
      <c r="F45" s="66" t="s">
        <v>167</v>
      </c>
      <c r="H45" s="73"/>
    </row>
    <row r="46" customFormat="false" ht="15" hidden="false" customHeight="false" outlineLevel="0" collapsed="false">
      <c r="B46" s="66" t="s">
        <v>259</v>
      </c>
      <c r="F46" s="66" t="s">
        <v>167</v>
      </c>
      <c r="H46" s="73"/>
    </row>
    <row r="47" customFormat="false" ht="15" hidden="false" customHeight="false" outlineLevel="0" collapsed="false">
      <c r="B47" s="66" t="s">
        <v>113</v>
      </c>
      <c r="F47" s="66" t="s">
        <v>167</v>
      </c>
      <c r="H47" s="73"/>
    </row>
  </sheetData>
  <dataValidations count="3">
    <dataValidation allowBlank="true" operator="between" showDropDown="false" showErrorMessage="true" showInputMessage="true" sqref="F12:F47" type="list">
      <formula1>_TIPO</formula1>
      <formula2>0</formula2>
    </dataValidation>
    <dataValidation allowBlank="true" operator="between" showDropDown="false" showErrorMessage="true" showInputMessage="true" sqref="G12:H21 G23:H47" type="list">
      <formula1>"Sí,No"</formula1>
      <formula2>0</formula2>
    </dataValidation>
    <dataValidation allowBlank="true" operator="between" showDropDown="false" showErrorMessage="true" showInputMessage="true" sqref="E12:E47" type="list">
      <formula1>$E$7:$E$8</formula1>
      <formula2>0</formula2>
    </dataValidation>
  </dataValidations>
  <printOptions headings="false" gridLines="false" gridLinesSet="true" horizontalCentered="false" verticalCentered="true"/>
  <pageMargins left="0.236111111111111" right="0.236111111111111" top="0.747916666666667" bottom="0.747916666666667" header="0.511805555555555" footer="0.511805555555555"/>
  <pageSetup paperSize="9" scale="100" firstPageNumber="0" fitToWidth="0" fitToHeight="1" pageOrder="downThenOver" orientation="landscape" blackAndWhite="false" draft="false" cellComments="none" useFirstPageNumber="false" horizontalDpi="300" verticalDpi="300" copies="1"/>
  <headerFooter differentFirst="false" differentOddEven="false">
    <oddHeader/>
    <oddFooter/>
  </headerFooter>
  <drawing r:id="rId1"/>
  <tableParts>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A5A5A5"/>
    <pageSetUpPr fitToPage="true"/>
  </sheetPr>
  <dimension ref="B1:CO100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T1009" activeCellId="0" sqref="AT1009"/>
    </sheetView>
  </sheetViews>
  <sheetFormatPr defaultColWidth="6.8359375" defaultRowHeight="12.8" zeroHeight="false" outlineLevelRow="0" outlineLevelCol="1"/>
  <cols>
    <col collapsed="false" customWidth="true" hidden="false" outlineLevel="0" max="1" min="1" style="0" width="3.77"/>
    <col collapsed="false" customWidth="true" hidden="false" outlineLevel="0" max="4" min="3" style="0" width="10.89"/>
    <col collapsed="false" customWidth="true" hidden="false" outlineLevel="0" max="5" min="5" style="0" width="9.41"/>
    <col collapsed="false" customWidth="true" hidden="false" outlineLevel="0" max="9" min="8" style="0" width="11.3"/>
    <col collapsed="false" customWidth="true" hidden="false" outlineLevel="0" max="12" min="10" style="0" width="9.14"/>
    <col collapsed="false" customWidth="true" hidden="false" outlineLevel="0" max="13" min="13" style="0" width="6.72"/>
    <col collapsed="false" customWidth="true" hidden="false" outlineLevel="0" max="14" min="14" style="0" width="9.01"/>
    <col collapsed="false" customWidth="true" hidden="false" outlineLevel="0" max="16" min="16" style="0" width="10.35"/>
    <col collapsed="false" customWidth="true" hidden="false" outlineLevel="1" max="18" min="17" style="0" width="10.35"/>
    <col collapsed="false" customWidth="true" hidden="false" outlineLevel="1" max="19" min="19" style="0" width="15.6"/>
    <col collapsed="false" customWidth="true" hidden="false" outlineLevel="1" max="21" min="20" style="0" width="11.96"/>
    <col collapsed="false" customWidth="true" hidden="false" outlineLevel="1" max="22" min="22" style="0" width="10.08"/>
    <col collapsed="false" customWidth="true" hidden="false" outlineLevel="0" max="28" min="23" style="0" width="10.08"/>
    <col collapsed="false" customWidth="true" hidden="false" outlineLevel="0" max="29" min="29" style="0" width="12.91"/>
    <col collapsed="false" customWidth="true" hidden="false" outlineLevel="0" max="30" min="30" style="0" width="10.08"/>
    <col collapsed="false" customWidth="true" hidden="false" outlineLevel="1" max="65" min="31" style="0" width="10.08"/>
    <col collapsed="false" customWidth="true" hidden="false" outlineLevel="0" max="75" min="66" style="0" width="8.87"/>
    <col collapsed="false" customWidth="true" hidden="false" outlineLevel="0" max="85" min="76" style="0" width="10.08"/>
    <col collapsed="false" customWidth="true" hidden="true" outlineLevel="0" max="86" min="86" style="0" width="9.55"/>
    <col collapsed="false" customWidth="true" hidden="true" outlineLevel="0" max="91" min="87" style="0" width="10.17"/>
    <col collapsed="false" customWidth="true" hidden="true" outlineLevel="0" max="92" min="92" style="0" width="11.3"/>
    <col collapsed="false" customWidth="true" hidden="true" outlineLevel="0" max="93" min="93" style="0" width="9.68"/>
  </cols>
  <sheetData>
    <row r="1" customFormat="false" ht="28.9" hidden="false" customHeight="true" outlineLevel="0" collapsed="false">
      <c r="BX1" s="74"/>
      <c r="CC1" s="75"/>
      <c r="CD1" s="75"/>
      <c r="CE1" s="75"/>
      <c r="CF1" s="75"/>
      <c r="CG1" s="75"/>
      <c r="CH1" s="76"/>
    </row>
    <row r="2" customFormat="false" ht="15" hidden="false" customHeight="false" outlineLevel="0" collapsed="false">
      <c r="C2" s="8" t="s">
        <v>2</v>
      </c>
      <c r="BX2" s="74"/>
      <c r="CC2" s="75"/>
      <c r="CD2" s="75"/>
      <c r="CE2" s="75"/>
      <c r="CF2" s="75"/>
      <c r="CG2" s="75"/>
      <c r="CH2" s="76"/>
    </row>
    <row r="3" s="77" customFormat="true" ht="29.45" hidden="false" customHeight="true" outlineLevel="0" collapsed="false">
      <c r="C3" s="78" t="s">
        <v>3</v>
      </c>
      <c r="D3" s="79" t="n">
        <f aca="false">+Inicio!E10</f>
        <v>0</v>
      </c>
      <c r="H3" s="80"/>
      <c r="AB3" s="81" t="n">
        <v>5</v>
      </c>
      <c r="AC3" s="82" t="s">
        <v>8</v>
      </c>
      <c r="AD3" s="83" t="str">
        <f aca="false">IFERROR(IF(VLOOKUP(AD$8,TblComplem[],$AB3,0)=0,"",VLOOKUP(AD$8,TblComplem[],$AB3,0)),"")</f>
        <v>Salario Base</v>
      </c>
      <c r="AE3" s="83" t="str">
        <f aca="false">IFERROR(IF(VLOOKUP(AE$8,TblComplem[],$AB3,0)=0,"",VLOOKUP(AE$8,TblComplem[],$AB3,0)),"")</f>
        <v>Comp. Salarial</v>
      </c>
      <c r="AF3" s="83" t="str">
        <f aca="false">IFERROR(IF(VLOOKUP(AF$8,TblComplem[],$AB3,0)=0,"",VLOOKUP(AF$8,TblComplem[],$AB3,0)),"")</f>
        <v>Comp. Salarial</v>
      </c>
      <c r="AG3" s="83" t="str">
        <f aca="false">IFERROR(IF(VLOOKUP(AG$8,TblComplem[],$AB3,0)=0,"",VLOOKUP(AG$8,TblComplem[],$AB3,0)),"")</f>
        <v>Comp. Salarial</v>
      </c>
      <c r="AH3" s="83" t="str">
        <f aca="false">IFERROR(IF(VLOOKUP(AH$8,TblComplem[],$AB3,0)=0,"",VLOOKUP(AH$8,TblComplem[],$AB3,0)),"")</f>
        <v>Comp. Salarial</v>
      </c>
      <c r="AI3" s="83" t="str">
        <f aca="false">IFERROR(IF(VLOOKUP(AI$8,TblComplem[],$AB3,0)=0,"",VLOOKUP(AI$8,TblComplem[],$AB3,0)),"")</f>
        <v>Comp. Salarial</v>
      </c>
      <c r="AJ3" s="83" t="str">
        <f aca="false">IFERROR(IF(VLOOKUP(AJ$8,TblComplem[],$AB3,0)=0,"",VLOOKUP(AJ$8,TblComplem[],$AB3,0)),"")</f>
        <v>Comp. Salarial</v>
      </c>
      <c r="AK3" s="83" t="str">
        <f aca="false">IFERROR(IF(VLOOKUP(AK$8,TblComplem[],$AB3,0)=0,"",VLOOKUP(AK$8,TblComplem[],$AB3,0)),"")</f>
        <v>Comp. Salarial</v>
      </c>
      <c r="AL3" s="83" t="str">
        <f aca="false">IFERROR(IF(VLOOKUP(AL$8,TblComplem[],$AB3,0)=0,"",VLOOKUP(AL$8,TblComplem[],$AB3,0)),"")</f>
        <v>Comp. Salarial</v>
      </c>
      <c r="AM3" s="83" t="str">
        <f aca="false">IFERROR(IF(VLOOKUP(AM$8,TblComplem[],$AB3,0)=0,"",VLOOKUP(AM$8,TblComplem[],$AB3,0)),"")</f>
        <v>Comp. Salarial</v>
      </c>
      <c r="AN3" s="83" t="str">
        <f aca="false">IFERROR(IF(VLOOKUP(AN$8,TblComplem[],$AB3,0)=0,"",VLOOKUP(AN$8,TblComplem[],$AB3,0)),"")</f>
        <v>Comp. Salarial</v>
      </c>
      <c r="AO3" s="83" t="str">
        <f aca="false">IFERROR(IF(VLOOKUP(AO$8,TblComplem[],$AB3,0)=0,"",VLOOKUP(AO$8,TblComplem[],$AB3,0)),"")</f>
        <v>Comp. Salarial</v>
      </c>
      <c r="AP3" s="83" t="str">
        <f aca="false">IFERROR(IF(VLOOKUP(AP$8,TblComplem[],$AB3,0)=0,"",VLOOKUP(AP$8,TblComplem[],$AB3,0)),"")</f>
        <v>Comp. Salarial</v>
      </c>
      <c r="AQ3" s="83" t="str">
        <f aca="false">IFERROR(IF(VLOOKUP(AQ$8,TblComplem[],$AB3,0)=0,"",VLOOKUP(AQ$8,TblComplem[],$AB3,0)),"")</f>
        <v>Comp. Salarial</v>
      </c>
      <c r="AR3" s="83" t="str">
        <f aca="false">IFERROR(IF(VLOOKUP(AR$8,TblComplem[],$AB3,0)=0,"",VLOOKUP(AR$8,TblComplem[],$AB3,0)),"")</f>
        <v>Comp. Salarial</v>
      </c>
      <c r="AS3" s="83" t="str">
        <f aca="false">IFERROR(IF(VLOOKUP(AS$8,TblComplem[],$AB3,0)=0,"",VLOOKUP(AS$8,TblComplem[],$AB3,0)),"")</f>
        <v>Comp. Salarial</v>
      </c>
      <c r="AT3" s="83" t="str">
        <f aca="false">IFERROR(IF(VLOOKUP(AT$8,TblComplem[],$AB3,0)=0,"",VLOOKUP(AT$8,TblComplem[],$AB3,0)),"")</f>
        <v>Comp. Salarial</v>
      </c>
      <c r="AU3" s="83" t="str">
        <f aca="false">IFERROR(IF(VLOOKUP(AU$8,TblComplem[],$AB3,0)=0,"",VLOOKUP(AU$8,TblComplem[],$AB3,0)),"")</f>
        <v>Comp. Salarial</v>
      </c>
      <c r="AV3" s="83" t="str">
        <f aca="false">IFERROR(IF(VLOOKUP(AV$8,TblComplem[],$AB3,0)=0,"",VLOOKUP(AV$8,TblComplem[],$AB3,0)),"")</f>
        <v>Comp. Salarial</v>
      </c>
      <c r="AW3" s="83" t="str">
        <f aca="false">IFERROR(IF(VLOOKUP(AW$8,TblComplem[],$AB3,0)=0,"",VLOOKUP(AW$8,TblComplem[],$AB3,0)),"")</f>
        <v>Comp. Salarial</v>
      </c>
      <c r="AX3" s="83" t="str">
        <f aca="false">IFERROR(IF(VLOOKUP(AX$8,TblComplem[],$AB3,0)=0,"",VLOOKUP(AX$8,TblComplem[],$AB3,0)),"")</f>
        <v>Comp. Salarial</v>
      </c>
      <c r="AY3" s="83" t="str">
        <f aca="false">IFERROR(IF(VLOOKUP(AY$8,TblComplem[],$AB3,0)=0,"",VLOOKUP(AY$8,TblComplem[],$AB3,0)),"")</f>
        <v>Comp. Salarial</v>
      </c>
      <c r="AZ3" s="83" t="str">
        <f aca="false">IFERROR(IF(VLOOKUP(AZ$8,TblComplem[],$AB3,0)=0,"",VLOOKUP(AZ$8,TblComplem[],$AB3,0)),"")</f>
        <v>Comp. Salarial</v>
      </c>
      <c r="BA3" s="83" t="str">
        <f aca="false">IFERROR(IF(VLOOKUP(BA$8,TblComplem[],$AB3,0)=0,"",VLOOKUP(BA$8,TblComplem[],$AB3,0)),"")</f>
        <v>Comp. Salarial</v>
      </c>
      <c r="BB3" s="83" t="str">
        <f aca="false">IFERROR(IF(VLOOKUP(BB$8,TblComplem[],$AB3,0)=0,"",VLOOKUP(BB$8,TblComplem[],$AB3,0)),"")</f>
        <v>Comp. Salarial</v>
      </c>
      <c r="BC3" s="83" t="str">
        <f aca="false">IFERROR(IF(VLOOKUP(BC$8,TblComplem[],$AB3,0)=0,"",VLOOKUP(BC$8,TblComplem[],$AB3,0)),"")</f>
        <v>Comp. Salarial</v>
      </c>
      <c r="BD3" s="83" t="str">
        <f aca="false">IFERROR(IF(VLOOKUP(BD$8,TblComplem[],$AB3,0)=0,"",VLOOKUP(BD$8,TblComplem[],$AB3,0)),"")</f>
        <v>Comp. Salarial</v>
      </c>
      <c r="BE3" s="83" t="str">
        <f aca="false">IFERROR(IF(VLOOKUP(BE$8,TblComplem[],$AB3,0)=0,"",VLOOKUP(BE$8,TblComplem[],$AB3,0)),"")</f>
        <v>Comp. Salarial</v>
      </c>
      <c r="BF3" s="83" t="str">
        <f aca="false">IFERROR(IF(VLOOKUP(BF$8,TblComplem[],$AB3,0)=0,"",VLOOKUP(BF$8,TblComplem[],$AB3,0)),"")</f>
        <v>Comp. Salarial</v>
      </c>
      <c r="BG3" s="83" t="str">
        <f aca="false">IFERROR(IF(VLOOKUP(BG$8,TblComplem[],$AB3,0)=0,"",VLOOKUP(BG$8,TblComplem[],$AB3,0)),"")</f>
        <v>Comp. Salarial</v>
      </c>
      <c r="BH3" s="83" t="str">
        <f aca="false">IFERROR(IF(VLOOKUP(BH$8,TblComplem[],$AB3,0)=0,"",VLOOKUP(BH$8,TblComplem[],$AB3,0)),"")</f>
        <v>Comp. Salarial</v>
      </c>
      <c r="BI3" s="83" t="str">
        <f aca="false">IFERROR(IF(VLOOKUP(BI$8,TblComplem[],$AB3,0)=0,"",VLOOKUP(BI$8,TblComplem[],$AB3,0)),"")</f>
        <v>Extrasalarial</v>
      </c>
      <c r="BJ3" s="83" t="str">
        <f aca="false">IFERROR(IF(VLOOKUP(BJ$8,TblComplem[],$AB3,0)=0,"",VLOOKUP(BJ$8,TblComplem[],$AB3,0)),"")</f>
        <v>Extrasalarial</v>
      </c>
      <c r="BK3" s="83" t="str">
        <f aca="false">IFERROR(IF(VLOOKUP(BK$8,TblComplem[],$AB3,0)=0,"",VLOOKUP(BK$8,TblComplem[],$AB3,0)),"")</f>
        <v>Extrasalarial</v>
      </c>
      <c r="BL3" s="83" t="str">
        <f aca="false">IFERROR(IF(VLOOKUP(BL$8,TblComplem[],$AB3,0)=0,"",VLOOKUP(BL$8,TblComplem[],$AB3,0)),"")</f>
        <v>Extrasalarial</v>
      </c>
      <c r="BM3" s="83" t="str">
        <f aca="false">IFERROR(IF(VLOOKUP(BM$8,TblComplem[],$AB3,0)=0,"",VLOOKUP(BM$8,TblComplem[],$AB3,0)),"")</f>
        <v>Extrasalarial</v>
      </c>
      <c r="BP3" s="77" t="s">
        <v>260</v>
      </c>
      <c r="BQ3" s="77" t="s">
        <v>261</v>
      </c>
      <c r="BX3" s="84"/>
      <c r="CC3" s="85"/>
      <c r="CD3" s="85"/>
      <c r="CE3" s="85"/>
      <c r="CF3" s="85"/>
      <c r="CG3" s="85"/>
      <c r="CH3" s="86"/>
    </row>
    <row r="4" customFormat="false" ht="15" hidden="false" customHeight="false" outlineLevel="0" collapsed="false">
      <c r="C4" s="9" t="s">
        <v>4</v>
      </c>
      <c r="D4" s="87" t="n">
        <f aca="false">+Inicio!G10</f>
        <v>0</v>
      </c>
      <c r="AB4" s="88" t="n">
        <v>6</v>
      </c>
      <c r="AC4" s="89" t="s">
        <v>170</v>
      </c>
      <c r="AD4" s="90" t="str">
        <f aca="false">IFERROR(IF(VLOOKUP(AD$8,TblComplem[],$AB4,0)=0,"",VLOOKUP(AD$8,TblComplem[],$AB4,0)),"")</f>
        <v/>
      </c>
      <c r="AE4" s="90" t="str">
        <f aca="false">IFERROR(IF(VLOOKUP(AE$8,TblComplem[],$AB4,0)=0,"",VLOOKUP(AE$8,TblComplem[],$AB4,0)),"")</f>
        <v/>
      </c>
      <c r="AF4" s="90" t="str">
        <f aca="false">IFERROR(IF(VLOOKUP(AF$8,TblComplem[],$AB4,0)=0,"",VLOOKUP(AF$8,TblComplem[],$AB4,0)),"")</f>
        <v/>
      </c>
      <c r="AG4" s="90" t="str">
        <f aca="false">IFERROR(IF(VLOOKUP(AG$8,TblComplem[],$AB4,0)=0,"",VLOOKUP(AG$8,TblComplem[],$AB4,0)),"")</f>
        <v/>
      </c>
      <c r="AH4" s="90" t="str">
        <f aca="false">IFERROR(IF(VLOOKUP(AH$8,TblComplem[],$AB4,0)=0,"",VLOOKUP(AH$8,TblComplem[],$AB4,0)),"")</f>
        <v/>
      </c>
      <c r="AI4" s="90" t="str">
        <f aca="false">IFERROR(IF(VLOOKUP(AI$8,TblComplem[],$AB4,0)=0,"",VLOOKUP(AI$8,TblComplem[],$AB4,0)),"")</f>
        <v/>
      </c>
      <c r="AJ4" s="90" t="str">
        <f aca="false">IFERROR(IF(VLOOKUP(AJ$8,TblComplem[],$AB4,0)=0,"",VLOOKUP(AJ$8,TblComplem[],$AB4,0)),"")</f>
        <v/>
      </c>
      <c r="AK4" s="90" t="str">
        <f aca="false">IFERROR(IF(VLOOKUP(AK$8,TblComplem[],$AB4,0)=0,"",VLOOKUP(AK$8,TblComplem[],$AB4,0)),"")</f>
        <v/>
      </c>
      <c r="AL4" s="90" t="str">
        <f aca="false">IFERROR(IF(VLOOKUP(AL$8,TblComplem[],$AB4,0)=0,"",VLOOKUP(AL$8,TblComplem[],$AB4,0)),"")</f>
        <v/>
      </c>
      <c r="AM4" s="90" t="str">
        <f aca="false">IFERROR(IF(VLOOKUP(AM$8,TblComplem[],$AB4,0)=0,"",VLOOKUP(AM$8,TblComplem[],$AB4,0)),"")</f>
        <v/>
      </c>
      <c r="AN4" s="90" t="str">
        <f aca="false">IFERROR(IF(VLOOKUP(AN$8,TblComplem[],$AB4,0)=0,"",VLOOKUP(AN$8,TblComplem[],$AB4,0)),"")</f>
        <v/>
      </c>
      <c r="AO4" s="90" t="str">
        <f aca="false">IFERROR(IF(VLOOKUP(AO$8,TblComplem[],$AB4,0)=0,"",VLOOKUP(AO$8,TblComplem[],$AB4,0)),"")</f>
        <v/>
      </c>
      <c r="AP4" s="90" t="str">
        <f aca="false">IFERROR(IF(VLOOKUP(AP$8,TblComplem[],$AB4,0)=0,"",VLOOKUP(AP$8,TblComplem[],$AB4,0)),"")</f>
        <v/>
      </c>
      <c r="AQ4" s="90" t="str">
        <f aca="false">IFERROR(IF(VLOOKUP(AQ$8,TblComplem[],$AB4,0)=0,"",VLOOKUP(AQ$8,TblComplem[],$AB4,0)),"")</f>
        <v/>
      </c>
      <c r="AR4" s="90" t="str">
        <f aca="false">IFERROR(IF(VLOOKUP(AR$8,TblComplem[],$AB4,0)=0,"",VLOOKUP(AR$8,TblComplem[],$AB4,0)),"")</f>
        <v/>
      </c>
      <c r="AS4" s="90" t="str">
        <f aca="false">IFERROR(IF(VLOOKUP(AS$8,TblComplem[],$AB4,0)=0,"",VLOOKUP(AS$8,TblComplem[],$AB4,0)),"")</f>
        <v/>
      </c>
      <c r="AT4" s="90" t="str">
        <f aca="false">IFERROR(IF(VLOOKUP(AT$8,TblComplem[],$AB4,0)=0,"",VLOOKUP(AT$8,TblComplem[],$AB4,0)),"")</f>
        <v/>
      </c>
      <c r="AU4" s="90" t="str">
        <f aca="false">IFERROR(IF(VLOOKUP(AU$8,TblComplem[],$AB4,0)=0,"",VLOOKUP(AU$8,TblComplem[],$AB4,0)),"")</f>
        <v/>
      </c>
      <c r="AV4" s="90" t="str">
        <f aca="false">IFERROR(IF(VLOOKUP(AV$8,TblComplem[],$AB4,0)=0,"",VLOOKUP(AV$8,TblComplem[],$AB4,0)),"")</f>
        <v/>
      </c>
      <c r="AW4" s="90" t="str">
        <f aca="false">IFERROR(IF(VLOOKUP(AW$8,TblComplem[],$AB4,0)=0,"",VLOOKUP(AW$8,TblComplem[],$AB4,0)),"")</f>
        <v/>
      </c>
      <c r="AX4" s="90" t="str">
        <f aca="false">IFERROR(IF(VLOOKUP(AX$8,TblComplem[],$AB4,0)=0,"",VLOOKUP(AX$8,TblComplem[],$AB4,0)),"")</f>
        <v/>
      </c>
      <c r="AY4" s="90" t="str">
        <f aca="false">IFERROR(IF(VLOOKUP(AY$8,TblComplem[],$AB4,0)=0,"",VLOOKUP(AY$8,TblComplem[],$AB4,0)),"")</f>
        <v/>
      </c>
      <c r="AZ4" s="90" t="str">
        <f aca="false">IFERROR(IF(VLOOKUP(AZ$8,TblComplem[],$AB4,0)=0,"",VLOOKUP(AZ$8,TblComplem[],$AB4,0)),"")</f>
        <v/>
      </c>
      <c r="BA4" s="90" t="str">
        <f aca="false">IFERROR(IF(VLOOKUP(BA$8,TblComplem[],$AB4,0)=0,"",VLOOKUP(BA$8,TblComplem[],$AB4,0)),"")</f>
        <v/>
      </c>
      <c r="BB4" s="90" t="str">
        <f aca="false">IFERROR(IF(VLOOKUP(BB$8,TblComplem[],$AB4,0)=0,"",VLOOKUP(BB$8,TblComplem[],$AB4,0)),"")</f>
        <v/>
      </c>
      <c r="BC4" s="90" t="str">
        <f aca="false">IFERROR(IF(VLOOKUP(BC$8,TblComplem[],$AB4,0)=0,"",VLOOKUP(BC$8,TblComplem[],$AB4,0)),"")</f>
        <v/>
      </c>
      <c r="BD4" s="90" t="str">
        <f aca="false">IFERROR(IF(VLOOKUP(BD$8,TblComplem[],$AB4,0)=0,"",VLOOKUP(BD$8,TblComplem[],$AB4,0)),"")</f>
        <v/>
      </c>
      <c r="BE4" s="90" t="str">
        <f aca="false">IFERROR(IF(VLOOKUP(BE$8,TblComplem[],$AB4,0)=0,"",VLOOKUP(BE$8,TblComplem[],$AB4,0)),"")</f>
        <v/>
      </c>
      <c r="BF4" s="90" t="str">
        <f aca="false">IFERROR(IF(VLOOKUP(BF$8,TblComplem[],$AB4,0)=0,"",VLOOKUP(BF$8,TblComplem[],$AB4,0)),"")</f>
        <v/>
      </c>
      <c r="BG4" s="90" t="str">
        <f aca="false">IFERROR(IF(VLOOKUP(BG$8,TblComplem[],$AB4,0)=0,"",VLOOKUP(BG$8,TblComplem[],$AB4,0)),"")</f>
        <v/>
      </c>
      <c r="BH4" s="90" t="str">
        <f aca="false">IFERROR(IF(VLOOKUP(BH$8,TblComplem[],$AB4,0)=0,"",VLOOKUP(BH$8,TblComplem[],$AB4,0)),"")</f>
        <v/>
      </c>
      <c r="BI4" s="90" t="str">
        <f aca="false">IFERROR(IF(VLOOKUP(BI$8,TblComplem[],$AB4,0)=0,"",VLOOKUP(BI$8,TblComplem[],$AB4,0)),"")</f>
        <v/>
      </c>
      <c r="BJ4" s="90" t="str">
        <f aca="false">IFERROR(IF(VLOOKUP(BJ$8,TblComplem[],$AB4,0)=0,"",VLOOKUP(BJ$8,TblComplem[],$AB4,0)),"")</f>
        <v/>
      </c>
      <c r="BK4" s="90" t="str">
        <f aca="false">IFERROR(IF(VLOOKUP(BK$8,TblComplem[],$AB4,0)=0,"",VLOOKUP(BK$8,TblComplem[],$AB4,0)),"")</f>
        <v/>
      </c>
      <c r="BL4" s="90" t="str">
        <f aca="false">IFERROR(IF(VLOOKUP(BL$8,TblComplem[],$AB4,0)=0,"",VLOOKUP(BL$8,TblComplem[],$AB4,0)),"")</f>
        <v/>
      </c>
      <c r="BM4" s="90" t="str">
        <f aca="false">IFERROR(IF(VLOOKUP(BM$8,TblComplem[],$AB4,0)=0,"",VLOOKUP(BM$8,TblComplem[],$AB4,0)),"")</f>
        <v/>
      </c>
      <c r="BP4" s="0" t="s">
        <v>262</v>
      </c>
      <c r="BX4" s="74"/>
      <c r="CC4" s="75"/>
      <c r="CD4" s="75"/>
      <c r="CE4" s="75"/>
      <c r="CF4" s="75"/>
      <c r="CG4" s="75"/>
      <c r="CH4" s="76"/>
    </row>
    <row r="5" customFormat="false" ht="15" hidden="false" customHeight="false" outlineLevel="0" collapsed="false">
      <c r="C5" s="91" t="s">
        <v>263</v>
      </c>
      <c r="D5" s="92" t="n">
        <f aca="false">D4-D3+1</f>
        <v>1</v>
      </c>
      <c r="AB5" s="88" t="n">
        <v>7</v>
      </c>
      <c r="AC5" s="93" t="s">
        <v>171</v>
      </c>
      <c r="AD5" s="90" t="str">
        <f aca="false">IFERROR(IF(VLOOKUP(AD$8,TblComplem[],$AB5,0)=0,"",VLOOKUP(AD$8,TblComplem[],$AB5,0)),"")</f>
        <v/>
      </c>
      <c r="AE5" s="90" t="str">
        <f aca="false">IFERROR(IF(VLOOKUP(AE$8,TblComplem[],$AB5,0)=0,"",VLOOKUP(AE$8,TblComplem[],$AB5,0)),"")</f>
        <v/>
      </c>
      <c r="AF5" s="90" t="str">
        <f aca="false">IFERROR(IF(VLOOKUP(AF$8,TblComplem[],$AB5,0)=0,"",VLOOKUP(AF$8,TblComplem[],$AB5,0)),"")</f>
        <v/>
      </c>
      <c r="AG5" s="90" t="str">
        <f aca="false">IFERROR(IF(VLOOKUP(AG$8,TblComplem[],$AB5,0)=0,"",VLOOKUP(AG$8,TblComplem[],$AB5,0)),"")</f>
        <v/>
      </c>
      <c r="AH5" s="90" t="str">
        <f aca="false">IFERROR(IF(VLOOKUP(AH$8,TblComplem[],$AB5,0)=0,"",VLOOKUP(AH$8,TblComplem[],$AB5,0)),"")</f>
        <v/>
      </c>
      <c r="AI5" s="90" t="str">
        <f aca="false">IFERROR(IF(VLOOKUP(AI$8,TblComplem[],$AB5,0)=0,"",VLOOKUP(AI$8,TblComplem[],$AB5,0)),"")</f>
        <v/>
      </c>
      <c r="AJ5" s="90" t="str">
        <f aca="false">IFERROR(IF(VLOOKUP(AJ$8,TblComplem[],$AB5,0)=0,"",VLOOKUP(AJ$8,TblComplem[],$AB5,0)),"")</f>
        <v/>
      </c>
      <c r="AK5" s="90" t="str">
        <f aca="false">IFERROR(IF(VLOOKUP(AK$8,TblComplem[],$AB5,0)=0,"",VLOOKUP(AK$8,TblComplem[],$AB5,0)),"")</f>
        <v/>
      </c>
      <c r="AL5" s="90" t="str">
        <f aca="false">IFERROR(IF(VLOOKUP(AL$8,TblComplem[],$AB5,0)=0,"",VLOOKUP(AL$8,TblComplem[],$AB5,0)),"")</f>
        <v/>
      </c>
      <c r="AM5" s="90" t="str">
        <f aca="false">IFERROR(IF(VLOOKUP(AM$8,TblComplem[],$AB5,0)=0,"",VLOOKUP(AM$8,TblComplem[],$AB5,0)),"")</f>
        <v/>
      </c>
      <c r="AN5" s="90" t="str">
        <f aca="false">IFERROR(IF(VLOOKUP(AN$8,TblComplem[],$AB5,0)=0,"",VLOOKUP(AN$8,TblComplem[],$AB5,0)),"")</f>
        <v/>
      </c>
      <c r="AO5" s="90" t="str">
        <f aca="false">IFERROR(IF(VLOOKUP(AO$8,TblComplem[],$AB5,0)=0,"",VLOOKUP(AO$8,TblComplem[],$AB5,0)),"")</f>
        <v/>
      </c>
      <c r="AP5" s="90" t="str">
        <f aca="false">IFERROR(IF(VLOOKUP(AP$8,TblComplem[],$AB5,0)=0,"",VLOOKUP(AP$8,TblComplem[],$AB5,0)),"")</f>
        <v/>
      </c>
      <c r="AQ5" s="90" t="str">
        <f aca="false">IFERROR(IF(VLOOKUP(AQ$8,TblComplem[],$AB5,0)=0,"",VLOOKUP(AQ$8,TblComplem[],$AB5,0)),"")</f>
        <v/>
      </c>
      <c r="AR5" s="90" t="str">
        <f aca="false">IFERROR(IF(VLOOKUP(AR$8,TblComplem[],$AB5,0)=0,"",VLOOKUP(AR$8,TblComplem[],$AB5,0)),"")</f>
        <v/>
      </c>
      <c r="AS5" s="90" t="str">
        <f aca="false">IFERROR(IF(VLOOKUP(AS$8,TblComplem[],$AB5,0)=0,"",VLOOKUP(AS$8,TblComplem[],$AB5,0)),"")</f>
        <v/>
      </c>
      <c r="AT5" s="90" t="str">
        <f aca="false">IFERROR(IF(VLOOKUP(AT$8,TblComplem[],$AB5,0)=0,"",VLOOKUP(AT$8,TblComplem[],$AB5,0)),"")</f>
        <v/>
      </c>
      <c r="AU5" s="90" t="str">
        <f aca="false">IFERROR(IF(VLOOKUP(AU$8,TblComplem[],$AB5,0)=0,"",VLOOKUP(AU$8,TblComplem[],$AB5,0)),"")</f>
        <v/>
      </c>
      <c r="AV5" s="90" t="str">
        <f aca="false">IFERROR(IF(VLOOKUP(AV$8,TblComplem[],$AB5,0)=0,"",VLOOKUP(AV$8,TblComplem[],$AB5,0)),"")</f>
        <v/>
      </c>
      <c r="AW5" s="90" t="str">
        <f aca="false">IFERROR(IF(VLOOKUP(AW$8,TblComplem[],$AB5,0)=0,"",VLOOKUP(AW$8,TblComplem[],$AB5,0)),"")</f>
        <v/>
      </c>
      <c r="AX5" s="90" t="str">
        <f aca="false">IFERROR(IF(VLOOKUP(AX$8,TblComplem[],$AB5,0)=0,"",VLOOKUP(AX$8,TblComplem[],$AB5,0)),"")</f>
        <v/>
      </c>
      <c r="AY5" s="90" t="str">
        <f aca="false">IFERROR(IF(VLOOKUP(AY$8,TblComplem[],$AB5,0)=0,"",VLOOKUP(AY$8,TblComplem[],$AB5,0)),"")</f>
        <v/>
      </c>
      <c r="AZ5" s="90" t="str">
        <f aca="false">IFERROR(IF(VLOOKUP(AZ$8,TblComplem[],$AB5,0)=0,"",VLOOKUP(AZ$8,TblComplem[],$AB5,0)),"")</f>
        <v/>
      </c>
      <c r="BA5" s="90" t="str">
        <f aca="false">IFERROR(IF(VLOOKUP(BA$8,TblComplem[],$AB5,0)=0,"",VLOOKUP(BA$8,TblComplem[],$AB5,0)),"")</f>
        <v/>
      </c>
      <c r="BB5" s="90" t="str">
        <f aca="false">IFERROR(IF(VLOOKUP(BB$8,TblComplem[],$AB5,0)=0,"",VLOOKUP(BB$8,TblComplem[],$AB5,0)),"")</f>
        <v/>
      </c>
      <c r="BC5" s="90" t="str">
        <f aca="false">IFERROR(IF(VLOOKUP(BC$8,TblComplem[],$AB5,0)=0,"",VLOOKUP(BC$8,TblComplem[],$AB5,0)),"")</f>
        <v/>
      </c>
      <c r="BD5" s="90" t="str">
        <f aca="false">IFERROR(IF(VLOOKUP(BD$8,TblComplem[],$AB5,0)=0,"",VLOOKUP(BD$8,TblComplem[],$AB5,0)),"")</f>
        <v/>
      </c>
      <c r="BE5" s="90" t="str">
        <f aca="false">IFERROR(IF(VLOOKUP(BE$8,TblComplem[],$AB5,0)=0,"",VLOOKUP(BE$8,TblComplem[],$AB5,0)),"")</f>
        <v/>
      </c>
      <c r="BF5" s="90" t="str">
        <f aca="false">IFERROR(IF(VLOOKUP(BF$8,TblComplem[],$AB5,0)=0,"",VLOOKUP(BF$8,TblComplem[],$AB5,0)),"")</f>
        <v/>
      </c>
      <c r="BG5" s="90" t="str">
        <f aca="false">IFERROR(IF(VLOOKUP(BG$8,TblComplem[],$AB5,0)=0,"",VLOOKUP(BG$8,TblComplem[],$AB5,0)),"")</f>
        <v/>
      </c>
      <c r="BH5" s="90" t="str">
        <f aca="false">IFERROR(IF(VLOOKUP(BH$8,TblComplem[],$AB5,0)=0,"",VLOOKUP(BH$8,TblComplem[],$AB5,0)),"")</f>
        <v/>
      </c>
      <c r="BI5" s="90" t="str">
        <f aca="false">IFERROR(IF(VLOOKUP(BI$8,TblComplem[],$AB5,0)=0,"",VLOOKUP(BI$8,TblComplem[],$AB5,0)),"")</f>
        <v/>
      </c>
      <c r="BJ5" s="90" t="str">
        <f aca="false">IFERROR(IF(VLOOKUP(BJ$8,TblComplem[],$AB5,0)=0,"",VLOOKUP(BJ$8,TblComplem[],$AB5,0)),"")</f>
        <v/>
      </c>
      <c r="BK5" s="90" t="str">
        <f aca="false">IFERROR(IF(VLOOKUP(BK$8,TblComplem[],$AB5,0)=0,"",VLOOKUP(BK$8,TblComplem[],$AB5,0)),"")</f>
        <v/>
      </c>
      <c r="BL5" s="90" t="str">
        <f aca="false">IFERROR(IF(VLOOKUP(BL$8,TblComplem[],$AB5,0)=0,"",VLOOKUP(BL$8,TblComplem[],$AB5,0)),"")</f>
        <v/>
      </c>
      <c r="BM5" s="90" t="str">
        <f aca="false">IFERROR(IF(VLOOKUP(BM$8,TblComplem[],$AB5,0)=0,"",VLOOKUP(BM$8,TblComplem[],$AB5,0)),"")</f>
        <v/>
      </c>
      <c r="BP5" s="0" t="s">
        <v>264</v>
      </c>
      <c r="BX5" s="74"/>
      <c r="CC5" s="75"/>
      <c r="CD5" s="75"/>
      <c r="CE5" s="75"/>
      <c r="CF5" s="75"/>
      <c r="CG5" s="75"/>
      <c r="CH5" s="76"/>
    </row>
    <row r="6" s="1" customFormat="true" ht="28.9" hidden="false" customHeight="true" outlineLevel="0" collapsed="false">
      <c r="AB6" s="94" t="n">
        <v>2</v>
      </c>
      <c r="AC6" s="95" t="s">
        <v>169</v>
      </c>
      <c r="AD6" s="96" t="str">
        <f aca="false">IFERROR(IF(VLOOKUP(AD$8,TblComplem[],$AB6,0)=0,"",VLOOKUP(AD$8,TblComplem[],$AB6,0)),"")</f>
        <v/>
      </c>
      <c r="AE6" s="96" t="str">
        <f aca="false">IFERROR(IF(VLOOKUP(AE$8,TblComplem[],$AB6,0)=0,"",VLOOKUP(AE$8,TblComplem[],$AB6,0)),"")</f>
        <v/>
      </c>
      <c r="AF6" s="96" t="str">
        <f aca="false">IFERROR(IF(VLOOKUP(AF$8,TblComplem[],$AB6,0)=0,"",VLOOKUP(AF$8,TblComplem[],$AB6,0)),"")</f>
        <v/>
      </c>
      <c r="AG6" s="96" t="str">
        <f aca="false">IFERROR(IF(VLOOKUP(AG$8,TblComplem[],$AB6,0)=0,"",VLOOKUP(AG$8,TblComplem[],$AB6,0)),"")</f>
        <v/>
      </c>
      <c r="AH6" s="96" t="str">
        <f aca="false">IFERROR(IF(VLOOKUP(AH$8,TblComplem[],$AB6,0)=0,"",VLOOKUP(AH$8,TblComplem[],$AB6,0)),"")</f>
        <v/>
      </c>
      <c r="AI6" s="96" t="str">
        <f aca="false">IFERROR(IF(VLOOKUP(AI$8,TblComplem[],$AB6,0)=0,"",VLOOKUP(AI$8,TblComplem[],$AB6,0)),"")</f>
        <v/>
      </c>
      <c r="AJ6" s="96" t="str">
        <f aca="false">IFERROR(IF(VLOOKUP(AJ$8,TblComplem[],$AB6,0)=0,"",VLOOKUP(AJ$8,TblComplem[],$AB6,0)),"")</f>
        <v/>
      </c>
      <c r="AK6" s="96" t="str">
        <f aca="false">IFERROR(IF(VLOOKUP(AK$8,TblComplem[],$AB6,0)=0,"",VLOOKUP(AK$8,TblComplem[],$AB6,0)),"")</f>
        <v/>
      </c>
      <c r="AL6" s="96" t="str">
        <f aca="false">IFERROR(IF(VLOOKUP(AL$8,TblComplem[],$AB6,0)=0,"",VLOOKUP(AL$8,TblComplem[],$AB6,0)),"")</f>
        <v/>
      </c>
      <c r="AM6" s="96" t="str">
        <f aca="false">IFERROR(IF(VLOOKUP(AM$8,TblComplem[],$AB6,0)=0,"",VLOOKUP(AM$8,TblComplem[],$AB6,0)),"")</f>
        <v/>
      </c>
      <c r="AN6" s="96" t="str">
        <f aca="false">IFERROR(IF(VLOOKUP(AN$8,TblComplem[],$AB6,0)=0,"",VLOOKUP(AN$8,TblComplem[],$AB6,0)),"")</f>
        <v/>
      </c>
      <c r="AO6" s="96" t="str">
        <f aca="false">IFERROR(IF(VLOOKUP(AO$8,TblComplem[],$AB6,0)=0,"",VLOOKUP(AO$8,TblComplem[],$AB6,0)),"")</f>
        <v/>
      </c>
      <c r="AP6" s="96" t="str">
        <f aca="false">IFERROR(IF(VLOOKUP(AP$8,TblComplem[],$AB6,0)=0,"",VLOOKUP(AP$8,TblComplem[],$AB6,0)),"")</f>
        <v/>
      </c>
      <c r="AQ6" s="96" t="str">
        <f aca="false">IFERROR(IF(VLOOKUP(AQ$8,TblComplem[],$AB6,0)=0,"",VLOOKUP(AQ$8,TblComplem[],$AB6,0)),"")</f>
        <v/>
      </c>
      <c r="AR6" s="96" t="str">
        <f aca="false">IFERROR(IF(VLOOKUP(AR$8,TblComplem[],$AB6,0)=0,"",VLOOKUP(AR$8,TblComplem[],$AB6,0)),"")</f>
        <v/>
      </c>
      <c r="AS6" s="96" t="str">
        <f aca="false">IFERROR(IF(VLOOKUP(AS$8,TblComplem[],$AB6,0)=0,"",VLOOKUP(AS$8,TblComplem[],$AB6,0)),"")</f>
        <v/>
      </c>
      <c r="AT6" s="96" t="str">
        <f aca="false">IFERROR(IF(VLOOKUP(AT$8,TblComplem[],$AB6,0)=0,"",VLOOKUP(AT$8,TblComplem[],$AB6,0)),"")</f>
        <v/>
      </c>
      <c r="AU6" s="96" t="str">
        <f aca="false">IFERROR(IF(VLOOKUP(AU$8,TblComplem[],$AB6,0)=0,"",VLOOKUP(AU$8,TblComplem[],$AB6,0)),"")</f>
        <v/>
      </c>
      <c r="AV6" s="96" t="str">
        <f aca="false">IFERROR(IF(VLOOKUP(AV$8,TblComplem[],$AB6,0)=0,"",VLOOKUP(AV$8,TblComplem[],$AB6,0)),"")</f>
        <v/>
      </c>
      <c r="AW6" s="96" t="str">
        <f aca="false">IFERROR(IF(VLOOKUP(AW$8,TblComplem[],$AB6,0)=0,"",VLOOKUP(AW$8,TblComplem[],$AB6,0)),"")</f>
        <v/>
      </c>
      <c r="AX6" s="96" t="str">
        <f aca="false">IFERROR(IF(VLOOKUP(AX$8,TblComplem[],$AB6,0)=0,"",VLOOKUP(AX$8,TblComplem[],$AB6,0)),"")</f>
        <v/>
      </c>
      <c r="AY6" s="96" t="str">
        <f aca="false">IFERROR(IF(VLOOKUP(AY$8,TblComplem[],$AB6,0)=0,"",VLOOKUP(AY$8,TblComplem[],$AB6,0)),"")</f>
        <v/>
      </c>
      <c r="AZ6" s="96" t="str">
        <f aca="false">IFERROR(IF(VLOOKUP(AZ$8,TblComplem[],$AB6,0)=0,"",VLOOKUP(AZ$8,TblComplem[],$AB6,0)),"")</f>
        <v/>
      </c>
      <c r="BA6" s="96" t="str">
        <f aca="false">IFERROR(IF(VLOOKUP(BA$8,TblComplem[],$AB6,0)=0,"",VLOOKUP(BA$8,TblComplem[],$AB6,0)),"")</f>
        <v/>
      </c>
      <c r="BB6" s="96" t="str">
        <f aca="false">IFERROR(IF(VLOOKUP(BB$8,TblComplem[],$AB6,0)=0,"",VLOOKUP(BB$8,TblComplem[],$AB6,0)),"")</f>
        <v/>
      </c>
      <c r="BC6" s="96" t="str">
        <f aca="false">IFERROR(IF(VLOOKUP(BC$8,TblComplem[],$AB6,0)=0,"",VLOOKUP(BC$8,TblComplem[],$AB6,0)),"")</f>
        <v/>
      </c>
      <c r="BD6" s="96" t="str">
        <f aca="false">IFERROR(IF(VLOOKUP(BD$8,TblComplem[],$AB6,0)=0,"",VLOOKUP(BD$8,TblComplem[],$AB6,0)),"")</f>
        <v/>
      </c>
      <c r="BE6" s="96" t="str">
        <f aca="false">IFERROR(IF(VLOOKUP(BE$8,TblComplem[],$AB6,0)=0,"",VLOOKUP(BE$8,TblComplem[],$AB6,0)),"")</f>
        <v/>
      </c>
      <c r="BF6" s="96" t="str">
        <f aca="false">IFERROR(IF(VLOOKUP(BF$8,TblComplem[],$AB6,0)=0,"",VLOOKUP(BF$8,TblComplem[],$AB6,0)),"")</f>
        <v/>
      </c>
      <c r="BG6" s="96" t="str">
        <f aca="false">IFERROR(IF(VLOOKUP(BG$8,TblComplem[],$AB6,0)=0,"",VLOOKUP(BG$8,TblComplem[],$AB6,0)),"")</f>
        <v/>
      </c>
      <c r="BH6" s="96" t="str">
        <f aca="false">IFERROR(IF(VLOOKUP(BH$8,TblComplem[],$AB6,0)=0,"",VLOOKUP(BH$8,TblComplem[],$AB6,0)),"")</f>
        <v/>
      </c>
      <c r="BI6" s="96" t="str">
        <f aca="false">IFERROR(IF(VLOOKUP(BI$8,TblComplem[],$AB6,0)=0,"",VLOOKUP(BI$8,TblComplem[],$AB6,0)),"")</f>
        <v/>
      </c>
      <c r="BJ6" s="96" t="str">
        <f aca="false">IFERROR(IF(VLOOKUP(BJ$8,TblComplem[],$AB6,0)=0,"",VLOOKUP(BJ$8,TblComplem[],$AB6,0)),"")</f>
        <v/>
      </c>
      <c r="BK6" s="96" t="str">
        <f aca="false">IFERROR(IF(VLOOKUP(BK$8,TblComplem[],$AB6,0)=0,"",VLOOKUP(BK$8,TblComplem[],$AB6,0)),"")</f>
        <v/>
      </c>
      <c r="BL6" s="96" t="str">
        <f aca="false">IFERROR(IF(VLOOKUP(BL$8,TblComplem[],$AB6,0)=0,"",VLOOKUP(BL$8,TblComplem[],$AB6,0)),"")</f>
        <v/>
      </c>
      <c r="BM6" s="96" t="str">
        <f aca="false">IFERROR(IF(VLOOKUP(BM$8,TblComplem[],$AB6,0)=0,"",VLOOKUP(BM$8,TblComplem[],$AB6,0)),"")</f>
        <v/>
      </c>
      <c r="CH6" s="97"/>
    </row>
    <row r="7" customFormat="false" ht="15" hidden="false" customHeight="false" outlineLevel="0" collapsed="false">
      <c r="BY7" s="98" t="s">
        <v>166</v>
      </c>
      <c r="BZ7" s="98"/>
      <c r="CA7" s="98" t="s">
        <v>167</v>
      </c>
      <c r="CC7" s="75"/>
      <c r="CD7" s="75"/>
      <c r="CE7" s="75"/>
      <c r="CF7" s="75"/>
      <c r="CG7" s="75"/>
      <c r="CH7" s="76"/>
    </row>
    <row r="8" s="99" customFormat="true" ht="66" hidden="false" customHeight="true" outlineLevel="0" collapsed="false">
      <c r="B8" s="100" t="s">
        <v>14</v>
      </c>
      <c r="C8" s="100" t="s">
        <v>19</v>
      </c>
      <c r="D8" s="100" t="s">
        <v>23</v>
      </c>
      <c r="E8" s="100" t="s">
        <v>27</v>
      </c>
      <c r="F8" s="100" t="s">
        <v>29</v>
      </c>
      <c r="G8" s="100" t="s">
        <v>32</v>
      </c>
      <c r="H8" s="101" t="s">
        <v>34</v>
      </c>
      <c r="I8" s="101" t="s">
        <v>265</v>
      </c>
      <c r="J8" s="101" t="s">
        <v>39</v>
      </c>
      <c r="K8" s="101" t="s">
        <v>41</v>
      </c>
      <c r="L8" s="101" t="s">
        <v>43</v>
      </c>
      <c r="M8" s="101" t="s">
        <v>45</v>
      </c>
      <c r="N8" s="102" t="s">
        <v>49</v>
      </c>
      <c r="O8" s="102" t="s">
        <v>51</v>
      </c>
      <c r="P8" s="103" t="s">
        <v>54</v>
      </c>
      <c r="Q8" s="104" t="s">
        <v>57</v>
      </c>
      <c r="R8" s="104" t="s">
        <v>61</v>
      </c>
      <c r="S8" s="104" t="s">
        <v>63</v>
      </c>
      <c r="T8" s="104" t="s">
        <v>266</v>
      </c>
      <c r="U8" s="104" t="s">
        <v>68</v>
      </c>
      <c r="V8" s="104" t="s">
        <v>71</v>
      </c>
      <c r="W8" s="105" t="s">
        <v>267</v>
      </c>
      <c r="X8" s="105" t="s">
        <v>76</v>
      </c>
      <c r="Y8" s="106" t="s">
        <v>80</v>
      </c>
      <c r="Z8" s="107" t="s">
        <v>84</v>
      </c>
      <c r="AA8" s="106" t="s">
        <v>86</v>
      </c>
      <c r="AB8" s="106" t="s">
        <v>88</v>
      </c>
      <c r="AC8" s="108" t="s">
        <v>90</v>
      </c>
      <c r="AD8" s="109" t="s">
        <v>94</v>
      </c>
      <c r="AE8" s="101" t="s">
        <v>98</v>
      </c>
      <c r="AF8" s="101" t="s">
        <v>100</v>
      </c>
      <c r="AG8" s="101" t="s">
        <v>102</v>
      </c>
      <c r="AH8" s="101" t="s">
        <v>104</v>
      </c>
      <c r="AI8" s="101" t="s">
        <v>106</v>
      </c>
      <c r="AJ8" s="101" t="s">
        <v>185</v>
      </c>
      <c r="AK8" s="101" t="s">
        <v>188</v>
      </c>
      <c r="AL8" s="101" t="s">
        <v>191</v>
      </c>
      <c r="AM8" s="101" t="s">
        <v>194</v>
      </c>
      <c r="AN8" s="101" t="s">
        <v>197</v>
      </c>
      <c r="AO8" s="101" t="s">
        <v>200</v>
      </c>
      <c r="AP8" s="101" t="s">
        <v>203</v>
      </c>
      <c r="AQ8" s="101" t="s">
        <v>206</v>
      </c>
      <c r="AR8" s="101" t="s">
        <v>209</v>
      </c>
      <c r="AS8" s="101" t="s">
        <v>212</v>
      </c>
      <c r="AT8" s="101" t="s">
        <v>215</v>
      </c>
      <c r="AU8" s="101" t="s">
        <v>218</v>
      </c>
      <c r="AV8" s="101" t="s">
        <v>221</v>
      </c>
      <c r="AW8" s="101" t="s">
        <v>224</v>
      </c>
      <c r="AX8" s="101" t="s">
        <v>227</v>
      </c>
      <c r="AY8" s="101" t="s">
        <v>230</v>
      </c>
      <c r="AZ8" s="101" t="s">
        <v>233</v>
      </c>
      <c r="BA8" s="101" t="s">
        <v>236</v>
      </c>
      <c r="BB8" s="101" t="s">
        <v>239</v>
      </c>
      <c r="BC8" s="101" t="s">
        <v>242</v>
      </c>
      <c r="BD8" s="101" t="s">
        <v>245</v>
      </c>
      <c r="BE8" s="101" t="s">
        <v>248</v>
      </c>
      <c r="BF8" s="101" t="s">
        <v>251</v>
      </c>
      <c r="BG8" s="101" t="s">
        <v>254</v>
      </c>
      <c r="BH8" s="101" t="s">
        <v>109</v>
      </c>
      <c r="BI8" s="110" t="s">
        <v>111</v>
      </c>
      <c r="BJ8" s="110" t="s">
        <v>257</v>
      </c>
      <c r="BK8" s="110" t="s">
        <v>258</v>
      </c>
      <c r="BL8" s="110" t="s">
        <v>259</v>
      </c>
      <c r="BM8" s="111" t="s">
        <v>113</v>
      </c>
      <c r="BN8" s="112" t="s">
        <v>115</v>
      </c>
      <c r="BO8" s="112" t="s">
        <v>118</v>
      </c>
      <c r="BP8" s="113" t="s">
        <v>120</v>
      </c>
      <c r="BQ8" s="114" t="s">
        <v>122</v>
      </c>
      <c r="BR8" s="115" t="s">
        <v>124</v>
      </c>
      <c r="BS8" s="115" t="s">
        <v>127</v>
      </c>
      <c r="BT8" s="116" t="s">
        <v>130</v>
      </c>
      <c r="BU8" s="116" t="s">
        <v>132</v>
      </c>
      <c r="BV8" s="116" t="s">
        <v>134</v>
      </c>
      <c r="BW8" s="115" t="s">
        <v>136</v>
      </c>
      <c r="BX8" s="117" t="s">
        <v>268</v>
      </c>
      <c r="BY8" s="118" t="s">
        <v>269</v>
      </c>
      <c r="BZ8" s="119" t="s">
        <v>270</v>
      </c>
      <c r="CA8" s="120" t="s">
        <v>271</v>
      </c>
      <c r="CB8" s="121" t="s">
        <v>272</v>
      </c>
      <c r="CC8" s="122" t="s">
        <v>148</v>
      </c>
      <c r="CD8" s="123" t="s">
        <v>150</v>
      </c>
      <c r="CE8" s="124" t="s">
        <v>152</v>
      </c>
      <c r="CF8" s="125" t="s">
        <v>154</v>
      </c>
      <c r="CG8" s="126" t="s">
        <v>156</v>
      </c>
      <c r="CH8" s="127" t="s">
        <v>273</v>
      </c>
      <c r="CI8" s="127" t="s">
        <v>274</v>
      </c>
      <c r="CJ8" s="100" t="s">
        <v>275</v>
      </c>
      <c r="CK8" s="100" t="s">
        <v>276</v>
      </c>
      <c r="CL8" s="100" t="s">
        <v>277</v>
      </c>
      <c r="CM8" s="100" t="s">
        <v>278</v>
      </c>
      <c r="CN8" s="100" t="s">
        <v>279</v>
      </c>
      <c r="CO8" s="100" t="s">
        <v>280</v>
      </c>
    </row>
    <row r="9" customFormat="false" ht="13.8" hidden="false" customHeight="false" outlineLevel="0" collapsed="false">
      <c r="D9" s="128"/>
      <c r="E9" s="129"/>
      <c r="F9" s="129"/>
      <c r="G9" s="129"/>
      <c r="H9" s="130"/>
      <c r="I9" s="131"/>
      <c r="J9" s="128"/>
      <c r="K9" s="132"/>
      <c r="L9" s="132"/>
      <c r="M9" s="133"/>
      <c r="N9" s="133"/>
      <c r="O9" s="133"/>
      <c r="P9" s="129"/>
      <c r="Z9" s="75"/>
      <c r="AA9" s="76"/>
      <c r="AB9" s="76"/>
      <c r="AC9" s="129"/>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5"/>
      <c r="BN9" s="136" t="n">
        <f aca="false">+MAX($D$3,DATOS_[[#This Row],[Fecha Inicio Sit. Contract.]])</f>
        <v>0</v>
      </c>
      <c r="BO9" s="136" t="n">
        <f aca="false">+MIN($D$4,DATOS_[[#This Row],[Fecha Fin Sit. Contract.]])</f>
        <v>0</v>
      </c>
      <c r="BP9" s="137" t="n">
        <f aca="false">+DATOS_[[#This Row],[% de jornada]]*IF(DATOS_[[#This Row],[% jornada reducida]]="",1,DATOS_[[#This Row],[% jornada reducida]])</f>
        <v>0</v>
      </c>
      <c r="BQ9" s="137" t="n">
        <f aca="false">+(DATOS_[[#This Row],[F.fin.cal]]-DATOS_[[#This Row],[F.ini.cal]]+1)/($D$4-$D$3+1)</f>
        <v>1</v>
      </c>
      <c r="BR9" s="137" t="str">
        <f aca="false">IF(OR(AND(DATOS_[[#This Row],[Fecha Fin Contrato]]&lt;$D$3,DATOS_[[#This Row],[Fecha Fin Contrato]]&lt;&gt;""),DATOS_[[#This Row],[Fecha de Contratación]]&gt;$D$4),"Fuera","Dentro")</f>
        <v>Dentro</v>
      </c>
      <c r="BS9" s="137" t="str">
        <f aca="false" t="array" ref="BS9:BS9">IF(MAX(IF(DATOS_[id]=DATOS_[[#This Row],[id]],DATOS_[F.fin.cal]))=DATOS_[[#This Row],[F.fin.cal]],"Sí","NO")</f>
        <v>Sí</v>
      </c>
      <c r="BT9" s="137" t="str">
        <f aca="false">IF(AND(DATOS_[[#This Row],[% normaliz]]&lt;&gt;1,DATOS_[[#This Row],[% anualiz]]=1),"Sí","NO")</f>
        <v>Sí</v>
      </c>
      <c r="BU9" s="137" t="str">
        <f aca="false">IF(AND(DATOS_[[#This Row],[% normaliz]]=1,DATOS_[[#This Row],[% anualiz]]&lt;&gt;1),"Sí","NO")</f>
        <v>NO</v>
      </c>
      <c r="BV9" s="137" t="str">
        <f aca="false">IF(AND(DATOS_[[#This Row],[% normaliz]]&lt;&gt;1,DATOS_[[#This Row],[% anualiz]]&lt;&gt;1),"Sí","NO")</f>
        <v>NO</v>
      </c>
      <c r="BW9" s="137" t="str">
        <f aca="false">+IF(DATOS_[[#This Row],[% normaliz]]*DATOS_[[#This Row],[% anualiz]]=1,"NO","Sí")</f>
        <v>Sí</v>
      </c>
      <c r="BX9" s="138" t="e">
        <f aca="false">(DATOS_[[#This Row],[S.BASE]]*(1/DATOS_[[#This Row],[% normaliz]])*(1/DATOS_[[#This Row],[% anualiz]]))*IF(DATOS_[[#This Row],[Check Equiparado]]="Sí",1,0)</f>
        <v>#DIV/0!</v>
      </c>
      <c r="BY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 s="138" t="e">
        <f aca="false">+DATOS_[[#This Row],[SALARIO BASE Eq]]+DATOS_[[#This Row],[Tot COMPL.SAL Eq]]</f>
        <v>#DIV/0!</v>
      </c>
      <c r="CA9" s="138" t="e">
        <f aca="false" t="array" ref="CA9: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 s="138" t="e">
        <f aca="false">+DATOS_[[#This Row],[TOTAL SALARIO Eq]]+DATOS_[[#This Row],[Tot Extrasalarial Eq]]</f>
        <v>#DIV/0!</v>
      </c>
      <c r="CC9" s="139" t="n">
        <f aca="false">DATOS_[[#This Row],[S.BASE]]</f>
        <v>0</v>
      </c>
      <c r="CD9" s="139" t="n">
        <f aca="false">+SUM(DATOS_[[#This Row],[Conc.Sal.01]:[Conc.Sal.30]])</f>
        <v>0</v>
      </c>
      <c r="CE9" s="139" t="n">
        <f aca="false">+DATOS_[[#This Row],[SALARIO BASE Ef]]+DATOS_[[#This Row],[Tot COMPL.SAL Ef]]</f>
        <v>0</v>
      </c>
      <c r="CF9" s="139" t="n">
        <f aca="false">+SUM(DATOS_[[#This Row],[C.Extra.01]:[C.Extra.05]])</f>
        <v>0</v>
      </c>
      <c r="CG9" s="139" t="n">
        <f aca="false">+DATOS_[[#This Row],[TOTAL SALARIO Ef]]+DATOS_[[#This Row],[Tot Extrasalarial Ef]]</f>
        <v>0</v>
      </c>
      <c r="CH9" s="140" t="n">
        <f aca="false">MIN(IF(DATOS_[[#This Row],[Fecha Fin Contrato]]="",$D$4,DATOS_[[#This Row],[Fecha Fin Contrato]]),$D$4)-MAX(DATOS_[[#This Row],[Fecha de Contratación]],$D$3)+1</f>
        <v>1</v>
      </c>
      <c r="CI9" s="141" t="str">
        <f aca="false">IF(COUNTIFS(DATOS_[id],DATOS_[[#This Row],[id]])&gt;1,DATOS_[[#This Row],[id]],"")</f>
        <v/>
      </c>
      <c r="CJ9" s="141" t="n">
        <f aca="false">(Inicio!$G$10-DATOS_[[#This Row],[Fecha Nacimiento]])/365.25</f>
        <v>0</v>
      </c>
      <c r="CK9" s="141" t="n">
        <f aca="false">(Inicio!$G$10-DATOS_[[#This Row],[Fecha de Antigüedad]])/365.25</f>
        <v>0</v>
      </c>
      <c r="CL9" s="141" t="e">
        <f aca="false">+VLOOKUP(DATOS_[[#This Row],[Clave de Contrato]],TblTiposContrato13[],3,0)</f>
        <v>#N/A</v>
      </c>
      <c r="CM9" s="141" t="e">
        <f aca="false">+VLOOKUP(DATOS_[[#This Row],[Clave de Contrato]],TblTiposContrato13[],4,0)</f>
        <v>#N/A</v>
      </c>
      <c r="CN9" s="141" t="str">
        <f aca="false">VLOOKUP(DATOS_[[#This Row],[Edad]],CONTRATOS!TblRngEdad,2,1)</f>
        <v>20  o menos</v>
      </c>
      <c r="CO9" s="141" t="str">
        <f aca="false">VLOOKUP(DATOS_[[#This Row],[Antigüedad]],TblRngAntg14[],2,1)</f>
        <v>0 a 1 años</v>
      </c>
    </row>
    <row r="10" customFormat="false" ht="13.8" hidden="false" customHeight="false" outlineLevel="0" collapsed="false">
      <c r="D10" s="128"/>
      <c r="E10" s="129"/>
      <c r="F10" s="129"/>
      <c r="G10" s="129"/>
      <c r="H10" s="130"/>
      <c r="I10" s="131"/>
      <c r="J10" s="128"/>
      <c r="K10" s="132"/>
      <c r="L10" s="132"/>
      <c r="M10" s="133"/>
      <c r="N10" s="133"/>
      <c r="O10" s="133"/>
      <c r="P10" s="129"/>
      <c r="Z10" s="75"/>
      <c r="AA10" s="76"/>
      <c r="AB10" s="76"/>
      <c r="AC10" s="129"/>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5"/>
      <c r="BN10" s="136" t="n">
        <f aca="false">+MAX($D$3,DATOS_[[#This Row],[Fecha Inicio Sit. Contract.]])</f>
        <v>0</v>
      </c>
      <c r="BO10" s="136" t="n">
        <f aca="false">+MIN($D$4,DATOS_[[#This Row],[Fecha Fin Sit. Contract.]])</f>
        <v>0</v>
      </c>
      <c r="BP10" s="137" t="n">
        <f aca="false">+DATOS_[[#This Row],[% de jornada]]*IF(DATOS_[[#This Row],[% jornada reducida]]="",1,DATOS_[[#This Row],[% jornada reducida]])</f>
        <v>0</v>
      </c>
      <c r="BQ10" s="137" t="n">
        <f aca="false">+(DATOS_[[#This Row],[F.fin.cal]]-DATOS_[[#This Row],[F.ini.cal]]+1)/($D$4-$D$3+1)</f>
        <v>1</v>
      </c>
      <c r="BR10" s="137" t="str">
        <f aca="false">IF(OR(AND(DATOS_[[#This Row],[Fecha Fin Contrato]]&lt;$D$3,DATOS_[[#This Row],[Fecha Fin Contrato]]&lt;&gt;""),DATOS_[[#This Row],[Fecha de Contratación]]&gt;$D$4),"Fuera","Dentro")</f>
        <v>Dentro</v>
      </c>
      <c r="BS10" s="137" t="str">
        <f aca="false" t="array" ref="BS10:BS10">IF(MAX(IF(DATOS_[id]=DATOS_[[#This Row],[id]],DATOS_[F.fin.cal]))=DATOS_[[#This Row],[F.fin.cal]],"Sí","NO")</f>
        <v>Sí</v>
      </c>
      <c r="BT10" s="137" t="str">
        <f aca="false">IF(AND(DATOS_[[#This Row],[% normaliz]]&lt;&gt;1,DATOS_[[#This Row],[% anualiz]]=1),"Sí","NO")</f>
        <v>Sí</v>
      </c>
      <c r="BU10" s="137" t="str">
        <f aca="false">IF(AND(DATOS_[[#This Row],[% normaliz]]=1,DATOS_[[#This Row],[% anualiz]]&lt;&gt;1),"Sí","NO")</f>
        <v>NO</v>
      </c>
      <c r="BV10" s="137" t="str">
        <f aca="false">IF(AND(DATOS_[[#This Row],[% normaliz]]&lt;&gt;1,DATOS_[[#This Row],[% anualiz]]&lt;&gt;1),"Sí","NO")</f>
        <v>NO</v>
      </c>
      <c r="BW10" s="137" t="str">
        <f aca="false">+IF(DATOS_[[#This Row],[% normaliz]]*DATOS_[[#This Row],[% anualiz]]=1,"NO","Sí")</f>
        <v>Sí</v>
      </c>
      <c r="BX10" s="138" t="e">
        <f aca="false">(DATOS_[[#This Row],[S.BASE]]*(1/DATOS_[[#This Row],[% normaliz]])*(1/DATOS_[[#This Row],[% anualiz]]))*IF(DATOS_[[#This Row],[Check Equiparado]]="Sí",1,0)</f>
        <v>#DIV/0!</v>
      </c>
      <c r="BY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 s="138" t="e">
        <f aca="false">+DATOS_[[#This Row],[SALARIO BASE Eq]]+DATOS_[[#This Row],[Tot COMPL.SAL Eq]]</f>
        <v>#DIV/0!</v>
      </c>
      <c r="CA10" s="138" t="e">
        <f aca="false" t="array" ref="CA10: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 s="138" t="e">
        <f aca="false">+DATOS_[[#This Row],[TOTAL SALARIO Eq]]+DATOS_[[#This Row],[Tot Extrasalarial Eq]]</f>
        <v>#DIV/0!</v>
      </c>
      <c r="CC10" s="139" t="n">
        <f aca="false">DATOS_[[#This Row],[S.BASE]]</f>
        <v>0</v>
      </c>
      <c r="CD10" s="139" t="n">
        <f aca="false">+SUM(DATOS_[[#This Row],[Conc.Sal.01]:[Conc.Sal.30]])</f>
        <v>0</v>
      </c>
      <c r="CE10" s="139" t="n">
        <f aca="false">+DATOS_[[#This Row],[SALARIO BASE Ef]]+DATOS_[[#This Row],[Tot COMPL.SAL Ef]]</f>
        <v>0</v>
      </c>
      <c r="CF10" s="139" t="n">
        <f aca="false">+SUM(DATOS_[[#This Row],[C.Extra.01]:[C.Extra.05]])</f>
        <v>0</v>
      </c>
      <c r="CG10" s="139" t="n">
        <f aca="false">+DATOS_[[#This Row],[TOTAL SALARIO Ef]]+DATOS_[[#This Row],[Tot Extrasalarial Ef]]</f>
        <v>0</v>
      </c>
      <c r="CH10" s="140" t="n">
        <f aca="false">MIN(IF(DATOS_[[#This Row],[Fecha Fin Contrato]]="",$D$4,DATOS_[[#This Row],[Fecha Fin Contrato]]),$D$4)-MAX(DATOS_[[#This Row],[Fecha de Contratación]],$D$3)+1</f>
        <v>1</v>
      </c>
      <c r="CI10" s="141" t="str">
        <f aca="false">IF(COUNTIFS(DATOS_[id],DATOS_[[#This Row],[id]])&gt;1,DATOS_[[#This Row],[id]],"")</f>
        <v/>
      </c>
      <c r="CJ10" s="141" t="n">
        <f aca="false">(Inicio!$G$10-DATOS_[[#This Row],[Fecha Nacimiento]])/365.25</f>
        <v>0</v>
      </c>
      <c r="CK10" s="141" t="n">
        <f aca="false">(Inicio!$G$10-DATOS_[[#This Row],[Fecha de Antigüedad]])/365.25</f>
        <v>0</v>
      </c>
      <c r="CL10" s="141" t="e">
        <f aca="false">+VLOOKUP(DATOS_[[#This Row],[Clave de Contrato]],TblTiposContrato13[],3,0)</f>
        <v>#N/A</v>
      </c>
      <c r="CM10" s="141" t="e">
        <f aca="false">+VLOOKUP(DATOS_[[#This Row],[Clave de Contrato]],TblTiposContrato13[],4,0)</f>
        <v>#N/A</v>
      </c>
      <c r="CN10" s="141" t="str">
        <f aca="false">VLOOKUP(DATOS_[[#This Row],[Edad]],CONTRATOS!TblRngEdad,2,1)</f>
        <v>20  o menos</v>
      </c>
      <c r="CO10" s="141" t="str">
        <f aca="false">VLOOKUP(DATOS_[[#This Row],[Antigüedad]],TblRngAntg14[],2,1)</f>
        <v>0 a 1 años</v>
      </c>
    </row>
    <row r="11" customFormat="false" ht="13.8" hidden="false" customHeight="false" outlineLevel="0" collapsed="false">
      <c r="D11" s="128"/>
      <c r="E11" s="129"/>
      <c r="F11" s="129"/>
      <c r="G11" s="129"/>
      <c r="H11" s="130"/>
      <c r="I11" s="131"/>
      <c r="J11" s="128"/>
      <c r="K11" s="132"/>
      <c r="L11" s="132"/>
      <c r="M11" s="133"/>
      <c r="N11" s="133"/>
      <c r="O11" s="133"/>
      <c r="P11" s="129"/>
      <c r="Z11" s="75"/>
      <c r="AA11" s="76"/>
      <c r="AB11" s="76"/>
      <c r="AC11" s="129"/>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5"/>
      <c r="BN11" s="136" t="n">
        <f aca="false">+MAX($D$3,DATOS_[[#This Row],[Fecha Inicio Sit. Contract.]])</f>
        <v>0</v>
      </c>
      <c r="BO11" s="136" t="n">
        <f aca="false">+MIN($D$4,DATOS_[[#This Row],[Fecha Fin Sit. Contract.]])</f>
        <v>0</v>
      </c>
      <c r="BP11" s="137" t="n">
        <f aca="false">+DATOS_[[#This Row],[% de jornada]]*IF(DATOS_[[#This Row],[% jornada reducida]]="",1,DATOS_[[#This Row],[% jornada reducida]])</f>
        <v>0</v>
      </c>
      <c r="BQ11" s="137" t="n">
        <f aca="false">+(DATOS_[[#This Row],[F.fin.cal]]-DATOS_[[#This Row],[F.ini.cal]]+1)/($D$4-$D$3+1)</f>
        <v>1</v>
      </c>
      <c r="BR11" s="137" t="str">
        <f aca="false">IF(OR(AND(DATOS_[[#This Row],[Fecha Fin Contrato]]&lt;$D$3,DATOS_[[#This Row],[Fecha Fin Contrato]]&lt;&gt;""),DATOS_[[#This Row],[Fecha de Contratación]]&gt;$D$4),"Fuera","Dentro")</f>
        <v>Dentro</v>
      </c>
      <c r="BS11" s="137" t="str">
        <f aca="false" t="array" ref="BS11:BS11">IF(MAX(IF(DATOS_[id]=DATOS_[[#This Row],[id]],DATOS_[F.fin.cal]))=DATOS_[[#This Row],[F.fin.cal]],"Sí","NO")</f>
        <v>Sí</v>
      </c>
      <c r="BT11" s="137" t="str">
        <f aca="false">IF(AND(DATOS_[[#This Row],[% normaliz]]&lt;&gt;1,DATOS_[[#This Row],[% anualiz]]=1),"Sí","NO")</f>
        <v>Sí</v>
      </c>
      <c r="BU11" s="137" t="str">
        <f aca="false">IF(AND(DATOS_[[#This Row],[% normaliz]]=1,DATOS_[[#This Row],[% anualiz]]&lt;&gt;1),"Sí","NO")</f>
        <v>NO</v>
      </c>
      <c r="BV11" s="137" t="str">
        <f aca="false">IF(AND(DATOS_[[#This Row],[% normaliz]]&lt;&gt;1,DATOS_[[#This Row],[% anualiz]]&lt;&gt;1),"Sí","NO")</f>
        <v>NO</v>
      </c>
      <c r="BW11" s="137" t="str">
        <f aca="false">+IF(DATOS_[[#This Row],[% normaliz]]*DATOS_[[#This Row],[% anualiz]]=1,"NO","Sí")</f>
        <v>Sí</v>
      </c>
      <c r="BX11" s="138" t="e">
        <f aca="false">(DATOS_[[#This Row],[S.BASE]]*(1/DATOS_[[#This Row],[% normaliz]])*(1/DATOS_[[#This Row],[% anualiz]]))*IF(DATOS_[[#This Row],[Check Equiparado]]="Sí",1,0)</f>
        <v>#DIV/0!</v>
      </c>
      <c r="BY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 s="138" t="e">
        <f aca="false">+DATOS_[[#This Row],[SALARIO BASE Eq]]+DATOS_[[#This Row],[Tot COMPL.SAL Eq]]</f>
        <v>#DIV/0!</v>
      </c>
      <c r="CA11" s="138" t="e">
        <f aca="false" t="array" ref="CA11: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 s="138" t="e">
        <f aca="false">+DATOS_[[#This Row],[TOTAL SALARIO Eq]]+DATOS_[[#This Row],[Tot Extrasalarial Eq]]</f>
        <v>#DIV/0!</v>
      </c>
      <c r="CC11" s="139" t="n">
        <f aca="false">DATOS_[[#This Row],[S.BASE]]</f>
        <v>0</v>
      </c>
      <c r="CD11" s="139" t="n">
        <f aca="false">+SUM(DATOS_[[#This Row],[Conc.Sal.01]:[Conc.Sal.30]])</f>
        <v>0</v>
      </c>
      <c r="CE11" s="139" t="n">
        <f aca="false">+DATOS_[[#This Row],[SALARIO BASE Ef]]+DATOS_[[#This Row],[Tot COMPL.SAL Ef]]</f>
        <v>0</v>
      </c>
      <c r="CF11" s="139" t="n">
        <f aca="false">+SUM(DATOS_[[#This Row],[C.Extra.01]:[C.Extra.05]])</f>
        <v>0</v>
      </c>
      <c r="CG11" s="139" t="n">
        <f aca="false">+DATOS_[[#This Row],[TOTAL SALARIO Ef]]+DATOS_[[#This Row],[Tot Extrasalarial Ef]]</f>
        <v>0</v>
      </c>
      <c r="CH11" s="140" t="n">
        <f aca="false">MIN(IF(DATOS_[[#This Row],[Fecha Fin Contrato]]="",$D$4,DATOS_[[#This Row],[Fecha Fin Contrato]]),$D$4)-MAX(DATOS_[[#This Row],[Fecha de Contratación]],$D$3)+1</f>
        <v>1</v>
      </c>
      <c r="CI11" s="141" t="str">
        <f aca="false">IF(COUNTIFS(DATOS_[id],DATOS_[[#This Row],[id]])&gt;1,DATOS_[[#This Row],[id]],"")</f>
        <v/>
      </c>
      <c r="CJ11" s="141" t="n">
        <f aca="false">(Inicio!$G$10-DATOS_[[#This Row],[Fecha Nacimiento]])/365.25</f>
        <v>0</v>
      </c>
      <c r="CK11" s="141" t="n">
        <f aca="false">(Inicio!$G$10-DATOS_[[#This Row],[Fecha de Antigüedad]])/365.25</f>
        <v>0</v>
      </c>
      <c r="CL11" s="141" t="e">
        <f aca="false">+VLOOKUP(DATOS_[[#This Row],[Clave de Contrato]],TblTiposContrato13[],3,0)</f>
        <v>#N/A</v>
      </c>
      <c r="CM11" s="141" t="e">
        <f aca="false">+VLOOKUP(DATOS_[[#This Row],[Clave de Contrato]],TblTiposContrato13[],4,0)</f>
        <v>#N/A</v>
      </c>
      <c r="CN11" s="141" t="str">
        <f aca="false">VLOOKUP(DATOS_[[#This Row],[Edad]],CONTRATOS!TblRngEdad,2,1)</f>
        <v>20  o menos</v>
      </c>
      <c r="CO11" s="141" t="str">
        <f aca="false">VLOOKUP(DATOS_[[#This Row],[Antigüedad]],TblRngAntg14[],2,1)</f>
        <v>0 a 1 años</v>
      </c>
    </row>
    <row r="12" customFormat="false" ht="13.8" hidden="false" customHeight="false" outlineLevel="0" collapsed="false">
      <c r="D12" s="128"/>
      <c r="E12" s="129"/>
      <c r="F12" s="129"/>
      <c r="G12" s="129"/>
      <c r="H12" s="130"/>
      <c r="I12" s="131"/>
      <c r="J12" s="128"/>
      <c r="K12" s="132"/>
      <c r="L12" s="132"/>
      <c r="M12" s="133"/>
      <c r="N12" s="133"/>
      <c r="O12" s="133"/>
      <c r="P12" s="129"/>
      <c r="Z12" s="75"/>
      <c r="AA12" s="76"/>
      <c r="AB12" s="76"/>
      <c r="AC12" s="129"/>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5"/>
      <c r="BN12" s="136" t="n">
        <f aca="false">+MAX($D$3,DATOS_[[#This Row],[Fecha Inicio Sit. Contract.]])</f>
        <v>0</v>
      </c>
      <c r="BO12" s="136" t="n">
        <f aca="false">+MIN($D$4,DATOS_[[#This Row],[Fecha Fin Sit. Contract.]])</f>
        <v>0</v>
      </c>
      <c r="BP12" s="137" t="n">
        <f aca="false">+DATOS_[[#This Row],[% de jornada]]*IF(DATOS_[[#This Row],[% jornada reducida]]="",1,DATOS_[[#This Row],[% jornada reducida]])</f>
        <v>0</v>
      </c>
      <c r="BQ12" s="137" t="n">
        <f aca="false">+(DATOS_[[#This Row],[F.fin.cal]]-DATOS_[[#This Row],[F.ini.cal]]+1)/($D$4-$D$3+1)</f>
        <v>1</v>
      </c>
      <c r="BR12" s="137" t="str">
        <f aca="false">IF(OR(AND(DATOS_[[#This Row],[Fecha Fin Contrato]]&lt;$D$3,DATOS_[[#This Row],[Fecha Fin Contrato]]&lt;&gt;""),DATOS_[[#This Row],[Fecha de Contratación]]&gt;$D$4),"Fuera","Dentro")</f>
        <v>Dentro</v>
      </c>
      <c r="BS12" s="137" t="str">
        <f aca="false" t="array" ref="BS12:BS12">IF(MAX(IF(DATOS_[id]=DATOS_[[#This Row],[id]],DATOS_[F.fin.cal]))=DATOS_[[#This Row],[F.fin.cal]],"Sí","NO")</f>
        <v>Sí</v>
      </c>
      <c r="BT12" s="137" t="str">
        <f aca="false">IF(AND(DATOS_[[#This Row],[% normaliz]]&lt;&gt;1,DATOS_[[#This Row],[% anualiz]]=1),"Sí","NO")</f>
        <v>Sí</v>
      </c>
      <c r="BU12" s="137" t="str">
        <f aca="false">IF(AND(DATOS_[[#This Row],[% normaliz]]=1,DATOS_[[#This Row],[% anualiz]]&lt;&gt;1),"Sí","NO")</f>
        <v>NO</v>
      </c>
      <c r="BV12" s="137" t="str">
        <f aca="false">IF(AND(DATOS_[[#This Row],[% normaliz]]&lt;&gt;1,DATOS_[[#This Row],[% anualiz]]&lt;&gt;1),"Sí","NO")</f>
        <v>NO</v>
      </c>
      <c r="BW12" s="137" t="str">
        <f aca="false">+IF(DATOS_[[#This Row],[% normaliz]]*DATOS_[[#This Row],[% anualiz]]=1,"NO","Sí")</f>
        <v>Sí</v>
      </c>
      <c r="BX12" s="138" t="e">
        <f aca="false">(DATOS_[[#This Row],[S.BASE]]*(1/DATOS_[[#This Row],[% normaliz]])*(1/DATOS_[[#This Row],[% anualiz]]))*IF(DATOS_[[#This Row],[Check Equiparado]]="Sí",1,0)</f>
        <v>#DIV/0!</v>
      </c>
      <c r="BY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 s="138" t="e">
        <f aca="false">+DATOS_[[#This Row],[SALARIO BASE Eq]]+DATOS_[[#This Row],[Tot COMPL.SAL Eq]]</f>
        <v>#DIV/0!</v>
      </c>
      <c r="CA12" s="138" t="e">
        <f aca="false" t="array" ref="CA12: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 s="138" t="e">
        <f aca="false">+DATOS_[[#This Row],[TOTAL SALARIO Eq]]+DATOS_[[#This Row],[Tot Extrasalarial Eq]]</f>
        <v>#DIV/0!</v>
      </c>
      <c r="CC12" s="139" t="n">
        <f aca="false">DATOS_[[#This Row],[S.BASE]]</f>
        <v>0</v>
      </c>
      <c r="CD12" s="139" t="n">
        <f aca="false">+SUM(DATOS_[[#This Row],[Conc.Sal.01]:[Conc.Sal.30]])</f>
        <v>0</v>
      </c>
      <c r="CE12" s="139" t="n">
        <f aca="false">+DATOS_[[#This Row],[SALARIO BASE Ef]]+DATOS_[[#This Row],[Tot COMPL.SAL Ef]]</f>
        <v>0</v>
      </c>
      <c r="CF12" s="139" t="n">
        <f aca="false">+SUM(DATOS_[[#This Row],[C.Extra.01]:[C.Extra.05]])</f>
        <v>0</v>
      </c>
      <c r="CG12" s="139" t="n">
        <f aca="false">+DATOS_[[#This Row],[TOTAL SALARIO Ef]]+DATOS_[[#This Row],[Tot Extrasalarial Ef]]</f>
        <v>0</v>
      </c>
      <c r="CH12" s="140" t="n">
        <f aca="false">MIN(IF(DATOS_[[#This Row],[Fecha Fin Contrato]]="",$D$4,DATOS_[[#This Row],[Fecha Fin Contrato]]),$D$4)-MAX(DATOS_[[#This Row],[Fecha de Contratación]],$D$3)+1</f>
        <v>1</v>
      </c>
      <c r="CI12" s="141" t="str">
        <f aca="false">IF(COUNTIFS(DATOS_[id],DATOS_[[#This Row],[id]])&gt;1,DATOS_[[#This Row],[id]],"")</f>
        <v/>
      </c>
      <c r="CJ12" s="141" t="n">
        <f aca="false">(Inicio!$G$10-DATOS_[[#This Row],[Fecha Nacimiento]])/365.25</f>
        <v>0</v>
      </c>
      <c r="CK12" s="141" t="n">
        <f aca="false">(Inicio!$G$10-DATOS_[[#This Row],[Fecha de Antigüedad]])/365.25</f>
        <v>0</v>
      </c>
      <c r="CL12" s="141" t="e">
        <f aca="false">+VLOOKUP(DATOS_[[#This Row],[Clave de Contrato]],TblTiposContrato13[],3,0)</f>
        <v>#N/A</v>
      </c>
      <c r="CM12" s="141" t="e">
        <f aca="false">+VLOOKUP(DATOS_[[#This Row],[Clave de Contrato]],TblTiposContrato13[],4,0)</f>
        <v>#N/A</v>
      </c>
      <c r="CN12" s="141" t="str">
        <f aca="false">VLOOKUP(DATOS_[[#This Row],[Edad]],CONTRATOS!TblRngEdad,2,1)</f>
        <v>20  o menos</v>
      </c>
      <c r="CO12" s="141" t="str">
        <f aca="false">VLOOKUP(DATOS_[[#This Row],[Antigüedad]],TblRngAntg14[],2,1)</f>
        <v>0 a 1 años</v>
      </c>
    </row>
    <row r="13" customFormat="false" ht="13.8" hidden="false" customHeight="false" outlineLevel="0" collapsed="false">
      <c r="D13" s="128"/>
      <c r="E13" s="129"/>
      <c r="F13" s="129"/>
      <c r="G13" s="129"/>
      <c r="H13" s="130"/>
      <c r="I13" s="131"/>
      <c r="J13" s="128"/>
      <c r="K13" s="132"/>
      <c r="L13" s="132"/>
      <c r="M13" s="133"/>
      <c r="N13" s="133"/>
      <c r="O13" s="133"/>
      <c r="P13" s="129"/>
      <c r="Z13" s="75"/>
      <c r="AA13" s="76"/>
      <c r="AB13" s="76"/>
      <c r="AC13" s="129"/>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5"/>
      <c r="BN13" s="136" t="n">
        <f aca="false">+MAX($D$3,DATOS_[[#This Row],[Fecha Inicio Sit. Contract.]])</f>
        <v>0</v>
      </c>
      <c r="BO13" s="136" t="n">
        <f aca="false">+MIN($D$4,DATOS_[[#This Row],[Fecha Fin Sit. Contract.]])</f>
        <v>0</v>
      </c>
      <c r="BP13" s="137" t="n">
        <f aca="false">+DATOS_[[#This Row],[% de jornada]]*IF(DATOS_[[#This Row],[% jornada reducida]]="",1,DATOS_[[#This Row],[% jornada reducida]])</f>
        <v>0</v>
      </c>
      <c r="BQ13" s="137" t="n">
        <f aca="false">+(DATOS_[[#This Row],[F.fin.cal]]-DATOS_[[#This Row],[F.ini.cal]]+1)/($D$4-$D$3+1)</f>
        <v>1</v>
      </c>
      <c r="BR13" s="137" t="str">
        <f aca="false">IF(OR(AND(DATOS_[[#This Row],[Fecha Fin Contrato]]&lt;$D$3,DATOS_[[#This Row],[Fecha Fin Contrato]]&lt;&gt;""),DATOS_[[#This Row],[Fecha de Contratación]]&gt;$D$4),"Fuera","Dentro")</f>
        <v>Dentro</v>
      </c>
      <c r="BS13" s="137" t="str">
        <f aca="false" t="array" ref="BS13:BS13">IF(MAX(IF(DATOS_[id]=DATOS_[[#This Row],[id]],DATOS_[F.fin.cal]))=DATOS_[[#This Row],[F.fin.cal]],"Sí","NO")</f>
        <v>Sí</v>
      </c>
      <c r="BT13" s="137" t="str">
        <f aca="false">IF(AND(DATOS_[[#This Row],[% normaliz]]&lt;&gt;1,DATOS_[[#This Row],[% anualiz]]=1),"Sí","NO")</f>
        <v>Sí</v>
      </c>
      <c r="BU13" s="137" t="str">
        <f aca="false">IF(AND(DATOS_[[#This Row],[% normaliz]]=1,DATOS_[[#This Row],[% anualiz]]&lt;&gt;1),"Sí","NO")</f>
        <v>NO</v>
      </c>
      <c r="BV13" s="137" t="str">
        <f aca="false">IF(AND(DATOS_[[#This Row],[% normaliz]]&lt;&gt;1,DATOS_[[#This Row],[% anualiz]]&lt;&gt;1),"Sí","NO")</f>
        <v>NO</v>
      </c>
      <c r="BW13" s="137" t="str">
        <f aca="false">+IF(DATOS_[[#This Row],[% normaliz]]*DATOS_[[#This Row],[% anualiz]]=1,"NO","Sí")</f>
        <v>Sí</v>
      </c>
      <c r="BX13" s="138" t="e">
        <f aca="false">(DATOS_[[#This Row],[S.BASE]]*(1/DATOS_[[#This Row],[% normaliz]])*(1/DATOS_[[#This Row],[% anualiz]]))*IF(DATOS_[[#This Row],[Check Equiparado]]="Sí",1,0)</f>
        <v>#DIV/0!</v>
      </c>
      <c r="BY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 s="138" t="e">
        <f aca="false">+DATOS_[[#This Row],[SALARIO BASE Eq]]+DATOS_[[#This Row],[Tot COMPL.SAL Eq]]</f>
        <v>#DIV/0!</v>
      </c>
      <c r="CA13" s="138" t="e">
        <f aca="false" t="array" ref="CA13: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 s="138" t="e">
        <f aca="false">+DATOS_[[#This Row],[TOTAL SALARIO Eq]]+DATOS_[[#This Row],[Tot Extrasalarial Eq]]</f>
        <v>#DIV/0!</v>
      </c>
      <c r="CC13" s="139" t="n">
        <f aca="false">DATOS_[[#This Row],[S.BASE]]</f>
        <v>0</v>
      </c>
      <c r="CD13" s="139" t="n">
        <f aca="false">+SUM(DATOS_[[#This Row],[Conc.Sal.01]:[Conc.Sal.30]])</f>
        <v>0</v>
      </c>
      <c r="CE13" s="139" t="n">
        <f aca="false">+DATOS_[[#This Row],[SALARIO BASE Ef]]+DATOS_[[#This Row],[Tot COMPL.SAL Ef]]</f>
        <v>0</v>
      </c>
      <c r="CF13" s="139" t="n">
        <f aca="false">+SUM(DATOS_[[#This Row],[C.Extra.01]:[C.Extra.05]])</f>
        <v>0</v>
      </c>
      <c r="CG13" s="139" t="n">
        <f aca="false">+DATOS_[[#This Row],[TOTAL SALARIO Ef]]+DATOS_[[#This Row],[Tot Extrasalarial Ef]]</f>
        <v>0</v>
      </c>
      <c r="CH13" s="140" t="n">
        <f aca="false">MIN(IF(DATOS_[[#This Row],[Fecha Fin Contrato]]="",$D$4,DATOS_[[#This Row],[Fecha Fin Contrato]]),$D$4)-MAX(DATOS_[[#This Row],[Fecha de Contratación]],$D$3)+1</f>
        <v>1</v>
      </c>
      <c r="CI13" s="141" t="str">
        <f aca="false">IF(COUNTIFS(DATOS_[id],DATOS_[[#This Row],[id]])&gt;1,DATOS_[[#This Row],[id]],"")</f>
        <v/>
      </c>
      <c r="CJ13" s="141" t="n">
        <f aca="false">(Inicio!$G$10-DATOS_[[#This Row],[Fecha Nacimiento]])/365.25</f>
        <v>0</v>
      </c>
      <c r="CK13" s="141" t="n">
        <f aca="false">(Inicio!$G$10-DATOS_[[#This Row],[Fecha de Antigüedad]])/365.25</f>
        <v>0</v>
      </c>
      <c r="CL13" s="141" t="e">
        <f aca="false">+VLOOKUP(DATOS_[[#This Row],[Clave de Contrato]],TblTiposContrato13[],3,0)</f>
        <v>#N/A</v>
      </c>
      <c r="CM13" s="141" t="e">
        <f aca="false">+VLOOKUP(DATOS_[[#This Row],[Clave de Contrato]],TblTiposContrato13[],4,0)</f>
        <v>#N/A</v>
      </c>
      <c r="CN13" s="141" t="str">
        <f aca="false">VLOOKUP(DATOS_[[#This Row],[Edad]],CONTRATOS!TblRngEdad,2,1)</f>
        <v>20  o menos</v>
      </c>
      <c r="CO13" s="141" t="str">
        <f aca="false">VLOOKUP(DATOS_[[#This Row],[Antigüedad]],TblRngAntg14[],2,1)</f>
        <v>0 a 1 años</v>
      </c>
    </row>
    <row r="14" customFormat="false" ht="13.8" hidden="false" customHeight="false" outlineLevel="0" collapsed="false">
      <c r="D14" s="128"/>
      <c r="E14" s="129"/>
      <c r="F14" s="129"/>
      <c r="G14" s="129"/>
      <c r="H14" s="130"/>
      <c r="I14" s="131"/>
      <c r="J14" s="128"/>
      <c r="K14" s="132"/>
      <c r="L14" s="132"/>
      <c r="M14" s="133"/>
      <c r="N14" s="133"/>
      <c r="O14" s="133"/>
      <c r="P14" s="129"/>
      <c r="Z14" s="75"/>
      <c r="AA14" s="76"/>
      <c r="AB14" s="76"/>
      <c r="AC14" s="129"/>
      <c r="AD14" s="134"/>
      <c r="AE14" s="134"/>
      <c r="AF14" s="134"/>
      <c r="AG14" s="134"/>
      <c r="AH14" s="134"/>
      <c r="AI14" s="134"/>
      <c r="AJ14" s="134"/>
      <c r="AK14" s="134"/>
      <c r="AL14" s="134"/>
      <c r="AM14" s="134"/>
      <c r="AN14" s="134"/>
      <c r="AO14" s="134"/>
      <c r="AP14" s="134"/>
      <c r="AQ14" s="134"/>
      <c r="AR14" s="134"/>
      <c r="AS14" s="134"/>
      <c r="AT14" s="134"/>
      <c r="AU14" s="134"/>
      <c r="AV14" s="134"/>
      <c r="AW14" s="134"/>
      <c r="AX14" s="134"/>
      <c r="AY14" s="134"/>
      <c r="AZ14" s="134"/>
      <c r="BA14" s="134"/>
      <c r="BB14" s="134"/>
      <c r="BC14" s="134"/>
      <c r="BD14" s="134"/>
      <c r="BE14" s="134"/>
      <c r="BF14" s="134"/>
      <c r="BG14" s="134"/>
      <c r="BH14" s="134"/>
      <c r="BI14" s="134"/>
      <c r="BJ14" s="134"/>
      <c r="BK14" s="134"/>
      <c r="BL14" s="134"/>
      <c r="BM14" s="135"/>
      <c r="BN14" s="136" t="n">
        <f aca="false">+MAX($D$3,DATOS_[[#This Row],[Fecha Inicio Sit. Contract.]])</f>
        <v>0</v>
      </c>
      <c r="BO14" s="136" t="n">
        <f aca="false">+MIN($D$4,DATOS_[[#This Row],[Fecha Fin Sit. Contract.]])</f>
        <v>0</v>
      </c>
      <c r="BP14" s="137" t="n">
        <f aca="false">+DATOS_[[#This Row],[% de jornada]]*IF(DATOS_[[#This Row],[% jornada reducida]]="",1,DATOS_[[#This Row],[% jornada reducida]])</f>
        <v>0</v>
      </c>
      <c r="BQ14" s="137" t="n">
        <f aca="false">+(DATOS_[[#This Row],[F.fin.cal]]-DATOS_[[#This Row],[F.ini.cal]]+1)/($D$4-$D$3+1)</f>
        <v>1</v>
      </c>
      <c r="BR14" s="137" t="str">
        <f aca="false">IF(OR(AND(DATOS_[[#This Row],[Fecha Fin Contrato]]&lt;$D$3,DATOS_[[#This Row],[Fecha Fin Contrato]]&lt;&gt;""),DATOS_[[#This Row],[Fecha de Contratación]]&gt;$D$4),"Fuera","Dentro")</f>
        <v>Dentro</v>
      </c>
      <c r="BS14" s="137" t="str">
        <f aca="false" t="array" ref="BS14:BS14">IF(MAX(IF(DATOS_[id]=DATOS_[[#This Row],[id]],DATOS_[F.fin.cal]))=DATOS_[[#This Row],[F.fin.cal]],"Sí","NO")</f>
        <v>Sí</v>
      </c>
      <c r="BT14" s="137" t="str">
        <f aca="false">IF(AND(DATOS_[[#This Row],[% normaliz]]&lt;&gt;1,DATOS_[[#This Row],[% anualiz]]=1),"Sí","NO")</f>
        <v>Sí</v>
      </c>
      <c r="BU14" s="137" t="str">
        <f aca="false">IF(AND(DATOS_[[#This Row],[% normaliz]]=1,DATOS_[[#This Row],[% anualiz]]&lt;&gt;1),"Sí","NO")</f>
        <v>NO</v>
      </c>
      <c r="BV14" s="137" t="str">
        <f aca="false">IF(AND(DATOS_[[#This Row],[% normaliz]]&lt;&gt;1,DATOS_[[#This Row],[% anualiz]]&lt;&gt;1),"Sí","NO")</f>
        <v>NO</v>
      </c>
      <c r="BW14" s="137" t="str">
        <f aca="false">+IF(DATOS_[[#This Row],[% normaliz]]*DATOS_[[#This Row],[% anualiz]]=1,"NO","Sí")</f>
        <v>Sí</v>
      </c>
      <c r="BX14" s="138" t="e">
        <f aca="false">(DATOS_[[#This Row],[S.BASE]]*(1/DATOS_[[#This Row],[% normaliz]])*(1/DATOS_[[#This Row],[% anualiz]]))*IF(DATOS_[[#This Row],[Check Equiparado]]="Sí",1,0)</f>
        <v>#DIV/0!</v>
      </c>
      <c r="BY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 s="138" t="e">
        <f aca="false">+DATOS_[[#This Row],[SALARIO BASE Eq]]+DATOS_[[#This Row],[Tot COMPL.SAL Eq]]</f>
        <v>#DIV/0!</v>
      </c>
      <c r="CA14" s="138" t="e">
        <f aca="false" t="array" ref="CA14: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 s="138" t="e">
        <f aca="false">+DATOS_[[#This Row],[TOTAL SALARIO Eq]]+DATOS_[[#This Row],[Tot Extrasalarial Eq]]</f>
        <v>#DIV/0!</v>
      </c>
      <c r="CC14" s="139" t="n">
        <f aca="false">DATOS_[[#This Row],[S.BASE]]</f>
        <v>0</v>
      </c>
      <c r="CD14" s="139" t="n">
        <f aca="false">+SUM(DATOS_[[#This Row],[Conc.Sal.01]:[Conc.Sal.30]])</f>
        <v>0</v>
      </c>
      <c r="CE14" s="139" t="n">
        <f aca="false">+DATOS_[[#This Row],[SALARIO BASE Ef]]+DATOS_[[#This Row],[Tot COMPL.SAL Ef]]</f>
        <v>0</v>
      </c>
      <c r="CF14" s="139" t="n">
        <f aca="false">+SUM(DATOS_[[#This Row],[C.Extra.01]:[C.Extra.05]])</f>
        <v>0</v>
      </c>
      <c r="CG14" s="139" t="n">
        <f aca="false">+DATOS_[[#This Row],[TOTAL SALARIO Ef]]+DATOS_[[#This Row],[Tot Extrasalarial Ef]]</f>
        <v>0</v>
      </c>
      <c r="CH14" s="140" t="n">
        <f aca="false">MIN(IF(DATOS_[[#This Row],[Fecha Fin Contrato]]="",$D$4,DATOS_[[#This Row],[Fecha Fin Contrato]]),$D$4)-MAX(DATOS_[[#This Row],[Fecha de Contratación]],$D$3)+1</f>
        <v>1</v>
      </c>
      <c r="CI14" s="141" t="str">
        <f aca="false">IF(COUNTIFS(DATOS_[id],DATOS_[[#This Row],[id]])&gt;1,DATOS_[[#This Row],[id]],"")</f>
        <v/>
      </c>
      <c r="CJ14" s="141" t="n">
        <f aca="false">(Inicio!$G$10-DATOS_[[#This Row],[Fecha Nacimiento]])/365.25</f>
        <v>0</v>
      </c>
      <c r="CK14" s="141" t="n">
        <f aca="false">(Inicio!$G$10-DATOS_[[#This Row],[Fecha de Antigüedad]])/365.25</f>
        <v>0</v>
      </c>
      <c r="CL14" s="141" t="e">
        <f aca="false">+VLOOKUP(DATOS_[[#This Row],[Clave de Contrato]],TblTiposContrato13[],3,0)</f>
        <v>#N/A</v>
      </c>
      <c r="CM14" s="141" t="e">
        <f aca="false">+VLOOKUP(DATOS_[[#This Row],[Clave de Contrato]],TblTiposContrato13[],4,0)</f>
        <v>#N/A</v>
      </c>
      <c r="CN14" s="141" t="str">
        <f aca="false">VLOOKUP(DATOS_[[#This Row],[Edad]],CONTRATOS!TblRngEdad,2,1)</f>
        <v>20  o menos</v>
      </c>
      <c r="CO14" s="141" t="str">
        <f aca="false">VLOOKUP(DATOS_[[#This Row],[Antigüedad]],TblRngAntg14[],2,1)</f>
        <v>0 a 1 años</v>
      </c>
    </row>
    <row r="15" customFormat="false" ht="13.8" hidden="false" customHeight="false" outlineLevel="0" collapsed="false">
      <c r="D15" s="128"/>
      <c r="E15" s="129"/>
      <c r="F15" s="129"/>
      <c r="G15" s="129"/>
      <c r="H15" s="130"/>
      <c r="I15" s="131"/>
      <c r="J15" s="128"/>
      <c r="K15" s="132"/>
      <c r="L15" s="132"/>
      <c r="M15" s="133"/>
      <c r="N15" s="133"/>
      <c r="O15" s="133"/>
      <c r="P15" s="129"/>
      <c r="Z15" s="75"/>
      <c r="AA15" s="76"/>
      <c r="AB15" s="76"/>
      <c r="AC15" s="129"/>
      <c r="AD15" s="134"/>
      <c r="AE15" s="134"/>
      <c r="AF15" s="134"/>
      <c r="AG15" s="134"/>
      <c r="AH15" s="134"/>
      <c r="AI15" s="134"/>
      <c r="AJ15" s="134"/>
      <c r="AK15" s="134"/>
      <c r="AL15" s="134"/>
      <c r="AM15" s="134"/>
      <c r="AN15" s="134"/>
      <c r="AO15" s="134"/>
      <c r="AP15" s="134"/>
      <c r="AQ15" s="134"/>
      <c r="AR15" s="134"/>
      <c r="AS15" s="134"/>
      <c r="AT15" s="134"/>
      <c r="AU15" s="134"/>
      <c r="AV15" s="134"/>
      <c r="AW15" s="134"/>
      <c r="AX15" s="134"/>
      <c r="AY15" s="134"/>
      <c r="AZ15" s="134"/>
      <c r="BA15" s="134"/>
      <c r="BB15" s="134"/>
      <c r="BC15" s="134"/>
      <c r="BD15" s="134"/>
      <c r="BE15" s="134"/>
      <c r="BF15" s="134"/>
      <c r="BG15" s="134"/>
      <c r="BH15" s="134"/>
      <c r="BI15" s="134"/>
      <c r="BJ15" s="134"/>
      <c r="BK15" s="134"/>
      <c r="BL15" s="134"/>
      <c r="BM15" s="135"/>
      <c r="BN15" s="136" t="n">
        <f aca="false">+MAX($D$3,DATOS_[[#This Row],[Fecha Inicio Sit. Contract.]])</f>
        <v>0</v>
      </c>
      <c r="BO15" s="136" t="n">
        <f aca="false">+MIN($D$4,DATOS_[[#This Row],[Fecha Fin Sit. Contract.]])</f>
        <v>0</v>
      </c>
      <c r="BP15" s="137" t="n">
        <f aca="false">+DATOS_[[#This Row],[% de jornada]]*IF(DATOS_[[#This Row],[% jornada reducida]]="",1,DATOS_[[#This Row],[% jornada reducida]])</f>
        <v>0</v>
      </c>
      <c r="BQ15" s="137" t="n">
        <f aca="false">+(DATOS_[[#This Row],[F.fin.cal]]-DATOS_[[#This Row],[F.ini.cal]]+1)/($D$4-$D$3+1)</f>
        <v>1</v>
      </c>
      <c r="BR15" s="137" t="str">
        <f aca="false">IF(OR(AND(DATOS_[[#This Row],[Fecha Fin Contrato]]&lt;$D$3,DATOS_[[#This Row],[Fecha Fin Contrato]]&lt;&gt;""),DATOS_[[#This Row],[Fecha de Contratación]]&gt;$D$4),"Fuera","Dentro")</f>
        <v>Dentro</v>
      </c>
      <c r="BS15" s="137" t="str">
        <f aca="false" t="array" ref="BS15:BS15">IF(MAX(IF(DATOS_[id]=DATOS_[[#This Row],[id]],DATOS_[F.fin.cal]))=DATOS_[[#This Row],[F.fin.cal]],"Sí","NO")</f>
        <v>Sí</v>
      </c>
      <c r="BT15" s="137" t="str">
        <f aca="false">IF(AND(DATOS_[[#This Row],[% normaliz]]&lt;&gt;1,DATOS_[[#This Row],[% anualiz]]=1),"Sí","NO")</f>
        <v>Sí</v>
      </c>
      <c r="BU15" s="137" t="str">
        <f aca="false">IF(AND(DATOS_[[#This Row],[% normaliz]]=1,DATOS_[[#This Row],[% anualiz]]&lt;&gt;1),"Sí","NO")</f>
        <v>NO</v>
      </c>
      <c r="BV15" s="137" t="str">
        <f aca="false">IF(AND(DATOS_[[#This Row],[% normaliz]]&lt;&gt;1,DATOS_[[#This Row],[% anualiz]]&lt;&gt;1),"Sí","NO")</f>
        <v>NO</v>
      </c>
      <c r="BW15" s="137" t="str">
        <f aca="false">+IF(DATOS_[[#This Row],[% normaliz]]*DATOS_[[#This Row],[% anualiz]]=1,"NO","Sí")</f>
        <v>Sí</v>
      </c>
      <c r="BX15" s="138" t="e">
        <f aca="false">(DATOS_[[#This Row],[S.BASE]]*(1/DATOS_[[#This Row],[% normaliz]])*(1/DATOS_[[#This Row],[% anualiz]]))*IF(DATOS_[[#This Row],[Check Equiparado]]="Sí",1,0)</f>
        <v>#DIV/0!</v>
      </c>
      <c r="BY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 s="138" t="e">
        <f aca="false">+DATOS_[[#This Row],[SALARIO BASE Eq]]+DATOS_[[#This Row],[Tot COMPL.SAL Eq]]</f>
        <v>#DIV/0!</v>
      </c>
      <c r="CA15" s="138" t="e">
        <f aca="false" t="array" ref="CA15: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 s="138" t="e">
        <f aca="false">+DATOS_[[#This Row],[TOTAL SALARIO Eq]]+DATOS_[[#This Row],[Tot Extrasalarial Eq]]</f>
        <v>#DIV/0!</v>
      </c>
      <c r="CC15" s="139" t="n">
        <f aca="false">DATOS_[[#This Row],[S.BASE]]</f>
        <v>0</v>
      </c>
      <c r="CD15" s="139" t="n">
        <f aca="false">+SUM(DATOS_[[#This Row],[Conc.Sal.01]:[Conc.Sal.30]])</f>
        <v>0</v>
      </c>
      <c r="CE15" s="139" t="n">
        <f aca="false">+DATOS_[[#This Row],[SALARIO BASE Ef]]+DATOS_[[#This Row],[Tot COMPL.SAL Ef]]</f>
        <v>0</v>
      </c>
      <c r="CF15" s="139" t="n">
        <f aca="false">+SUM(DATOS_[[#This Row],[C.Extra.01]:[C.Extra.05]])</f>
        <v>0</v>
      </c>
      <c r="CG15" s="139" t="n">
        <f aca="false">+DATOS_[[#This Row],[TOTAL SALARIO Ef]]+DATOS_[[#This Row],[Tot Extrasalarial Ef]]</f>
        <v>0</v>
      </c>
      <c r="CH15" s="140" t="n">
        <f aca="false">MIN(IF(DATOS_[[#This Row],[Fecha Fin Contrato]]="",$D$4,DATOS_[[#This Row],[Fecha Fin Contrato]]),$D$4)-MAX(DATOS_[[#This Row],[Fecha de Contratación]],$D$3)+1</f>
        <v>1</v>
      </c>
      <c r="CI15" s="141" t="str">
        <f aca="false">IF(COUNTIFS(DATOS_[id],DATOS_[[#This Row],[id]])&gt;1,DATOS_[[#This Row],[id]],"")</f>
        <v/>
      </c>
      <c r="CJ15" s="141" t="n">
        <f aca="false">(Inicio!$G$10-DATOS_[[#This Row],[Fecha Nacimiento]])/365.25</f>
        <v>0</v>
      </c>
      <c r="CK15" s="141" t="n">
        <f aca="false">(Inicio!$G$10-DATOS_[[#This Row],[Fecha de Antigüedad]])/365.25</f>
        <v>0</v>
      </c>
      <c r="CL15" s="141" t="e">
        <f aca="false">+VLOOKUP(DATOS_[[#This Row],[Clave de Contrato]],TblTiposContrato13[],3,0)</f>
        <v>#N/A</v>
      </c>
      <c r="CM15" s="141" t="e">
        <f aca="false">+VLOOKUP(DATOS_[[#This Row],[Clave de Contrato]],TblTiposContrato13[],4,0)</f>
        <v>#N/A</v>
      </c>
      <c r="CN15" s="141" t="str">
        <f aca="false">VLOOKUP(DATOS_[[#This Row],[Edad]],CONTRATOS!TblRngEdad,2,1)</f>
        <v>20  o menos</v>
      </c>
      <c r="CO15" s="141" t="str">
        <f aca="false">VLOOKUP(DATOS_[[#This Row],[Antigüedad]],TblRngAntg14[],2,1)</f>
        <v>0 a 1 años</v>
      </c>
    </row>
    <row r="16" customFormat="false" ht="13.8" hidden="false" customHeight="false" outlineLevel="0" collapsed="false">
      <c r="D16" s="128"/>
      <c r="E16" s="129"/>
      <c r="F16" s="129"/>
      <c r="G16" s="129"/>
      <c r="H16" s="130"/>
      <c r="I16" s="131"/>
      <c r="J16" s="128"/>
      <c r="K16" s="132"/>
      <c r="L16" s="132"/>
      <c r="M16" s="133"/>
      <c r="N16" s="133"/>
      <c r="O16" s="133"/>
      <c r="P16" s="129"/>
      <c r="Z16" s="75"/>
      <c r="AA16" s="76"/>
      <c r="AB16" s="76"/>
      <c r="AC16" s="129"/>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5"/>
      <c r="BN16" s="136" t="n">
        <f aca="false">+MAX($D$3,DATOS_[[#This Row],[Fecha Inicio Sit. Contract.]])</f>
        <v>0</v>
      </c>
      <c r="BO16" s="136" t="n">
        <f aca="false">+MIN($D$4,DATOS_[[#This Row],[Fecha Fin Sit. Contract.]])</f>
        <v>0</v>
      </c>
      <c r="BP16" s="137" t="n">
        <f aca="false">+DATOS_[[#This Row],[% de jornada]]*IF(DATOS_[[#This Row],[% jornada reducida]]="",1,DATOS_[[#This Row],[% jornada reducida]])</f>
        <v>0</v>
      </c>
      <c r="BQ16" s="137" t="n">
        <f aca="false">+(DATOS_[[#This Row],[F.fin.cal]]-DATOS_[[#This Row],[F.ini.cal]]+1)/($D$4-$D$3+1)</f>
        <v>1</v>
      </c>
      <c r="BR16" s="137" t="str">
        <f aca="false">IF(OR(AND(DATOS_[[#This Row],[Fecha Fin Contrato]]&lt;$D$3,DATOS_[[#This Row],[Fecha Fin Contrato]]&lt;&gt;""),DATOS_[[#This Row],[Fecha de Contratación]]&gt;$D$4),"Fuera","Dentro")</f>
        <v>Dentro</v>
      </c>
      <c r="BS16" s="137" t="str">
        <f aca="false" t="array" ref="BS16:BS16">IF(MAX(IF(DATOS_[id]=DATOS_[[#This Row],[id]],DATOS_[F.fin.cal]))=DATOS_[[#This Row],[F.fin.cal]],"Sí","NO")</f>
        <v>Sí</v>
      </c>
      <c r="BT16" s="137" t="str">
        <f aca="false">IF(AND(DATOS_[[#This Row],[% normaliz]]&lt;&gt;1,DATOS_[[#This Row],[% anualiz]]=1),"Sí","NO")</f>
        <v>Sí</v>
      </c>
      <c r="BU16" s="137" t="str">
        <f aca="false">IF(AND(DATOS_[[#This Row],[% normaliz]]=1,DATOS_[[#This Row],[% anualiz]]&lt;&gt;1),"Sí","NO")</f>
        <v>NO</v>
      </c>
      <c r="BV16" s="137" t="str">
        <f aca="false">IF(AND(DATOS_[[#This Row],[% normaliz]]&lt;&gt;1,DATOS_[[#This Row],[% anualiz]]&lt;&gt;1),"Sí","NO")</f>
        <v>NO</v>
      </c>
      <c r="BW16" s="137" t="str">
        <f aca="false">+IF(DATOS_[[#This Row],[% normaliz]]*DATOS_[[#This Row],[% anualiz]]=1,"NO","Sí")</f>
        <v>Sí</v>
      </c>
      <c r="BX16" s="138" t="e">
        <f aca="false">(DATOS_[[#This Row],[S.BASE]]*(1/DATOS_[[#This Row],[% normaliz]])*(1/DATOS_[[#This Row],[% anualiz]]))*IF(DATOS_[[#This Row],[Check Equiparado]]="Sí",1,0)</f>
        <v>#DIV/0!</v>
      </c>
      <c r="BY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 s="138" t="e">
        <f aca="false">+DATOS_[[#This Row],[SALARIO BASE Eq]]+DATOS_[[#This Row],[Tot COMPL.SAL Eq]]</f>
        <v>#DIV/0!</v>
      </c>
      <c r="CA16" s="138" t="e">
        <f aca="false" t="array" ref="CA16: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 s="138" t="e">
        <f aca="false">+DATOS_[[#This Row],[TOTAL SALARIO Eq]]+DATOS_[[#This Row],[Tot Extrasalarial Eq]]</f>
        <v>#DIV/0!</v>
      </c>
      <c r="CC16" s="139" t="n">
        <f aca="false">DATOS_[[#This Row],[S.BASE]]</f>
        <v>0</v>
      </c>
      <c r="CD16" s="139" t="n">
        <f aca="false">+SUM(DATOS_[[#This Row],[Conc.Sal.01]:[Conc.Sal.30]])</f>
        <v>0</v>
      </c>
      <c r="CE16" s="139" t="n">
        <f aca="false">+DATOS_[[#This Row],[SALARIO BASE Ef]]+DATOS_[[#This Row],[Tot COMPL.SAL Ef]]</f>
        <v>0</v>
      </c>
      <c r="CF16" s="139" t="n">
        <f aca="false">+SUM(DATOS_[[#This Row],[C.Extra.01]:[C.Extra.05]])</f>
        <v>0</v>
      </c>
      <c r="CG16" s="139" t="n">
        <f aca="false">+DATOS_[[#This Row],[TOTAL SALARIO Ef]]+DATOS_[[#This Row],[Tot Extrasalarial Ef]]</f>
        <v>0</v>
      </c>
      <c r="CH16" s="140" t="n">
        <f aca="false">MIN(IF(DATOS_[[#This Row],[Fecha Fin Contrato]]="",$D$4,DATOS_[[#This Row],[Fecha Fin Contrato]]),$D$4)-MAX(DATOS_[[#This Row],[Fecha de Contratación]],$D$3)+1</f>
        <v>1</v>
      </c>
      <c r="CI16" s="141" t="str">
        <f aca="false">IF(COUNTIFS(DATOS_[id],DATOS_[[#This Row],[id]])&gt;1,DATOS_[[#This Row],[id]],"")</f>
        <v/>
      </c>
      <c r="CJ16" s="141" t="n">
        <f aca="false">(Inicio!$G$10-DATOS_[[#This Row],[Fecha Nacimiento]])/365.25</f>
        <v>0</v>
      </c>
      <c r="CK16" s="141" t="n">
        <f aca="false">(Inicio!$G$10-DATOS_[[#This Row],[Fecha de Antigüedad]])/365.25</f>
        <v>0</v>
      </c>
      <c r="CL16" s="141" t="e">
        <f aca="false">+VLOOKUP(DATOS_[[#This Row],[Clave de Contrato]],TblTiposContrato13[],3,0)</f>
        <v>#N/A</v>
      </c>
      <c r="CM16" s="141" t="e">
        <f aca="false">+VLOOKUP(DATOS_[[#This Row],[Clave de Contrato]],TblTiposContrato13[],4,0)</f>
        <v>#N/A</v>
      </c>
      <c r="CN16" s="141" t="str">
        <f aca="false">VLOOKUP(DATOS_[[#This Row],[Edad]],CONTRATOS!TblRngEdad,2,1)</f>
        <v>20  o menos</v>
      </c>
      <c r="CO16" s="141" t="str">
        <f aca="false">VLOOKUP(DATOS_[[#This Row],[Antigüedad]],TblRngAntg14[],2,1)</f>
        <v>0 a 1 años</v>
      </c>
    </row>
    <row r="17" customFormat="false" ht="13.8" hidden="false" customHeight="false" outlineLevel="0" collapsed="false">
      <c r="D17" s="128"/>
      <c r="E17" s="129"/>
      <c r="F17" s="129"/>
      <c r="G17" s="129"/>
      <c r="H17" s="130"/>
      <c r="I17" s="131"/>
      <c r="J17" s="128"/>
      <c r="K17" s="132"/>
      <c r="L17" s="132"/>
      <c r="M17" s="133"/>
      <c r="N17" s="133"/>
      <c r="O17" s="133"/>
      <c r="P17" s="129"/>
      <c r="Z17" s="75"/>
      <c r="AA17" s="76"/>
      <c r="AB17" s="76"/>
      <c r="AC17" s="129"/>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5"/>
      <c r="BN17" s="136" t="n">
        <f aca="false">+MAX($D$3,DATOS_[[#This Row],[Fecha Inicio Sit. Contract.]])</f>
        <v>0</v>
      </c>
      <c r="BO17" s="136" t="n">
        <f aca="false">+MIN($D$4,DATOS_[[#This Row],[Fecha Fin Sit. Contract.]])</f>
        <v>0</v>
      </c>
      <c r="BP17" s="137" t="n">
        <f aca="false">+DATOS_[[#This Row],[% de jornada]]*IF(DATOS_[[#This Row],[% jornada reducida]]="",1,DATOS_[[#This Row],[% jornada reducida]])</f>
        <v>0</v>
      </c>
      <c r="BQ17" s="137" t="n">
        <f aca="false">+(DATOS_[[#This Row],[F.fin.cal]]-DATOS_[[#This Row],[F.ini.cal]]+1)/($D$4-$D$3+1)</f>
        <v>1</v>
      </c>
      <c r="BR17" s="137" t="str">
        <f aca="false">IF(OR(AND(DATOS_[[#This Row],[Fecha Fin Contrato]]&lt;$D$3,DATOS_[[#This Row],[Fecha Fin Contrato]]&lt;&gt;""),DATOS_[[#This Row],[Fecha de Contratación]]&gt;$D$4),"Fuera","Dentro")</f>
        <v>Dentro</v>
      </c>
      <c r="BS17" s="137" t="str">
        <f aca="false" t="array" ref="BS17:BS17">IF(MAX(IF(DATOS_[id]=DATOS_[[#This Row],[id]],DATOS_[F.fin.cal]))=DATOS_[[#This Row],[F.fin.cal]],"Sí","NO")</f>
        <v>Sí</v>
      </c>
      <c r="BT17" s="137" t="str">
        <f aca="false">IF(AND(DATOS_[[#This Row],[% normaliz]]&lt;&gt;1,DATOS_[[#This Row],[% anualiz]]=1),"Sí","NO")</f>
        <v>Sí</v>
      </c>
      <c r="BU17" s="137" t="str">
        <f aca="false">IF(AND(DATOS_[[#This Row],[% normaliz]]=1,DATOS_[[#This Row],[% anualiz]]&lt;&gt;1),"Sí","NO")</f>
        <v>NO</v>
      </c>
      <c r="BV17" s="137" t="str">
        <f aca="false">IF(AND(DATOS_[[#This Row],[% normaliz]]&lt;&gt;1,DATOS_[[#This Row],[% anualiz]]&lt;&gt;1),"Sí","NO")</f>
        <v>NO</v>
      </c>
      <c r="BW17" s="137" t="str">
        <f aca="false">+IF(DATOS_[[#This Row],[% normaliz]]*DATOS_[[#This Row],[% anualiz]]=1,"NO","Sí")</f>
        <v>Sí</v>
      </c>
      <c r="BX17" s="138" t="e">
        <f aca="false">(DATOS_[[#This Row],[S.BASE]]*(1/DATOS_[[#This Row],[% normaliz]])*(1/DATOS_[[#This Row],[% anualiz]]))*IF(DATOS_[[#This Row],[Check Equiparado]]="Sí",1,0)</f>
        <v>#DIV/0!</v>
      </c>
      <c r="BY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 s="138" t="e">
        <f aca="false">+DATOS_[[#This Row],[SALARIO BASE Eq]]+DATOS_[[#This Row],[Tot COMPL.SAL Eq]]</f>
        <v>#DIV/0!</v>
      </c>
      <c r="CA17" s="138" t="e">
        <f aca="false" t="array" ref="CA17: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 s="138" t="e">
        <f aca="false">+DATOS_[[#This Row],[TOTAL SALARIO Eq]]+DATOS_[[#This Row],[Tot Extrasalarial Eq]]</f>
        <v>#DIV/0!</v>
      </c>
      <c r="CC17" s="139" t="n">
        <f aca="false">DATOS_[[#This Row],[S.BASE]]</f>
        <v>0</v>
      </c>
      <c r="CD17" s="139" t="n">
        <f aca="false">+SUM(DATOS_[[#This Row],[Conc.Sal.01]:[Conc.Sal.30]])</f>
        <v>0</v>
      </c>
      <c r="CE17" s="139" t="n">
        <f aca="false">+DATOS_[[#This Row],[SALARIO BASE Ef]]+DATOS_[[#This Row],[Tot COMPL.SAL Ef]]</f>
        <v>0</v>
      </c>
      <c r="CF17" s="139" t="n">
        <f aca="false">+SUM(DATOS_[[#This Row],[C.Extra.01]:[C.Extra.05]])</f>
        <v>0</v>
      </c>
      <c r="CG17" s="139" t="n">
        <f aca="false">+DATOS_[[#This Row],[TOTAL SALARIO Ef]]+DATOS_[[#This Row],[Tot Extrasalarial Ef]]</f>
        <v>0</v>
      </c>
      <c r="CH17" s="140" t="n">
        <f aca="false">MIN(IF(DATOS_[[#This Row],[Fecha Fin Contrato]]="",$D$4,DATOS_[[#This Row],[Fecha Fin Contrato]]),$D$4)-MAX(DATOS_[[#This Row],[Fecha de Contratación]],$D$3)+1</f>
        <v>1</v>
      </c>
      <c r="CI17" s="141" t="str">
        <f aca="false">IF(COUNTIFS(DATOS_[id],DATOS_[[#This Row],[id]])&gt;1,DATOS_[[#This Row],[id]],"")</f>
        <v/>
      </c>
      <c r="CJ17" s="141" t="n">
        <f aca="false">(Inicio!$G$10-DATOS_[[#This Row],[Fecha Nacimiento]])/365.25</f>
        <v>0</v>
      </c>
      <c r="CK17" s="141" t="n">
        <f aca="false">(Inicio!$G$10-DATOS_[[#This Row],[Fecha de Antigüedad]])/365.25</f>
        <v>0</v>
      </c>
      <c r="CL17" s="141" t="e">
        <f aca="false">+VLOOKUP(DATOS_[[#This Row],[Clave de Contrato]],TblTiposContrato13[],3,0)</f>
        <v>#N/A</v>
      </c>
      <c r="CM17" s="141" t="e">
        <f aca="false">+VLOOKUP(DATOS_[[#This Row],[Clave de Contrato]],TblTiposContrato13[],4,0)</f>
        <v>#N/A</v>
      </c>
      <c r="CN17" s="141" t="str">
        <f aca="false">VLOOKUP(DATOS_[[#This Row],[Edad]],CONTRATOS!TblRngEdad,2,1)</f>
        <v>20  o menos</v>
      </c>
      <c r="CO17" s="141" t="str">
        <f aca="false">VLOOKUP(DATOS_[[#This Row],[Antigüedad]],TblRngAntg14[],2,1)</f>
        <v>0 a 1 años</v>
      </c>
    </row>
    <row r="18" customFormat="false" ht="13.8" hidden="false" customHeight="false" outlineLevel="0" collapsed="false">
      <c r="D18" s="128"/>
      <c r="E18" s="129"/>
      <c r="F18" s="129"/>
      <c r="G18" s="129"/>
      <c r="H18" s="130"/>
      <c r="I18" s="131"/>
      <c r="J18" s="128"/>
      <c r="K18" s="132"/>
      <c r="L18" s="132"/>
      <c r="M18" s="133"/>
      <c r="N18" s="133"/>
      <c r="O18" s="133"/>
      <c r="P18" s="129"/>
      <c r="Z18" s="75"/>
      <c r="AA18" s="76"/>
      <c r="AB18" s="76"/>
      <c r="AC18" s="129"/>
      <c r="AD18" s="134"/>
      <c r="AE18" s="134"/>
      <c r="AF18" s="134"/>
      <c r="AG18" s="134"/>
      <c r="AH18" s="134"/>
      <c r="AI18" s="134"/>
      <c r="AJ18" s="134"/>
      <c r="AK18" s="134"/>
      <c r="AL18" s="134"/>
      <c r="AM18" s="134"/>
      <c r="AN18" s="134"/>
      <c r="AO18" s="134"/>
      <c r="AP18" s="134"/>
      <c r="AQ18" s="134"/>
      <c r="AR18" s="134"/>
      <c r="AS18" s="134"/>
      <c r="AT18" s="134"/>
      <c r="AU18" s="134"/>
      <c r="AV18" s="134"/>
      <c r="AW18" s="134"/>
      <c r="AX18" s="134"/>
      <c r="AY18" s="134"/>
      <c r="AZ18" s="134"/>
      <c r="BA18" s="134"/>
      <c r="BB18" s="134"/>
      <c r="BC18" s="134"/>
      <c r="BD18" s="134"/>
      <c r="BE18" s="134"/>
      <c r="BF18" s="134"/>
      <c r="BG18" s="134"/>
      <c r="BH18" s="134"/>
      <c r="BI18" s="134"/>
      <c r="BJ18" s="134"/>
      <c r="BK18" s="134"/>
      <c r="BL18" s="134"/>
      <c r="BM18" s="135"/>
      <c r="BN18" s="136" t="n">
        <f aca="false">+MAX($D$3,DATOS_[[#This Row],[Fecha Inicio Sit. Contract.]])</f>
        <v>0</v>
      </c>
      <c r="BO18" s="136" t="n">
        <f aca="false">+MIN($D$4,DATOS_[[#This Row],[Fecha Fin Sit. Contract.]])</f>
        <v>0</v>
      </c>
      <c r="BP18" s="137" t="n">
        <f aca="false">+DATOS_[[#This Row],[% de jornada]]*IF(DATOS_[[#This Row],[% jornada reducida]]="",1,DATOS_[[#This Row],[% jornada reducida]])</f>
        <v>0</v>
      </c>
      <c r="BQ18" s="137" t="n">
        <f aca="false">+(DATOS_[[#This Row],[F.fin.cal]]-DATOS_[[#This Row],[F.ini.cal]]+1)/($D$4-$D$3+1)</f>
        <v>1</v>
      </c>
      <c r="BR18" s="137" t="str">
        <f aca="false">IF(OR(AND(DATOS_[[#This Row],[Fecha Fin Contrato]]&lt;$D$3,DATOS_[[#This Row],[Fecha Fin Contrato]]&lt;&gt;""),DATOS_[[#This Row],[Fecha de Contratación]]&gt;$D$4),"Fuera","Dentro")</f>
        <v>Dentro</v>
      </c>
      <c r="BS18" s="137" t="str">
        <f aca="false" t="array" ref="BS18:BS18">IF(MAX(IF(DATOS_[id]=DATOS_[[#This Row],[id]],DATOS_[F.fin.cal]))=DATOS_[[#This Row],[F.fin.cal]],"Sí","NO")</f>
        <v>Sí</v>
      </c>
      <c r="BT18" s="137" t="str">
        <f aca="false">IF(AND(DATOS_[[#This Row],[% normaliz]]&lt;&gt;1,DATOS_[[#This Row],[% anualiz]]=1),"Sí","NO")</f>
        <v>Sí</v>
      </c>
      <c r="BU18" s="137" t="str">
        <f aca="false">IF(AND(DATOS_[[#This Row],[% normaliz]]=1,DATOS_[[#This Row],[% anualiz]]&lt;&gt;1),"Sí","NO")</f>
        <v>NO</v>
      </c>
      <c r="BV18" s="137" t="str">
        <f aca="false">IF(AND(DATOS_[[#This Row],[% normaliz]]&lt;&gt;1,DATOS_[[#This Row],[% anualiz]]&lt;&gt;1),"Sí","NO")</f>
        <v>NO</v>
      </c>
      <c r="BW18" s="137" t="str">
        <f aca="false">+IF(DATOS_[[#This Row],[% normaliz]]*DATOS_[[#This Row],[% anualiz]]=1,"NO","Sí")</f>
        <v>Sí</v>
      </c>
      <c r="BX18" s="138" t="e">
        <f aca="false">(DATOS_[[#This Row],[S.BASE]]*(1/DATOS_[[#This Row],[% normaliz]])*(1/DATOS_[[#This Row],[% anualiz]]))*IF(DATOS_[[#This Row],[Check Equiparado]]="Sí",1,0)</f>
        <v>#DIV/0!</v>
      </c>
      <c r="BY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 s="138" t="e">
        <f aca="false">+DATOS_[[#This Row],[SALARIO BASE Eq]]+DATOS_[[#This Row],[Tot COMPL.SAL Eq]]</f>
        <v>#DIV/0!</v>
      </c>
      <c r="CA18" s="138" t="e">
        <f aca="false" t="array" ref="CA18: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 s="138" t="e">
        <f aca="false">+DATOS_[[#This Row],[TOTAL SALARIO Eq]]+DATOS_[[#This Row],[Tot Extrasalarial Eq]]</f>
        <v>#DIV/0!</v>
      </c>
      <c r="CC18" s="139" t="n">
        <f aca="false">DATOS_[[#This Row],[S.BASE]]</f>
        <v>0</v>
      </c>
      <c r="CD18" s="139" t="n">
        <f aca="false">+SUM(DATOS_[[#This Row],[Conc.Sal.01]:[Conc.Sal.30]])</f>
        <v>0</v>
      </c>
      <c r="CE18" s="139" t="n">
        <f aca="false">+DATOS_[[#This Row],[SALARIO BASE Ef]]+DATOS_[[#This Row],[Tot COMPL.SAL Ef]]</f>
        <v>0</v>
      </c>
      <c r="CF18" s="139" t="n">
        <f aca="false">+SUM(DATOS_[[#This Row],[C.Extra.01]:[C.Extra.05]])</f>
        <v>0</v>
      </c>
      <c r="CG18" s="139" t="n">
        <f aca="false">+DATOS_[[#This Row],[TOTAL SALARIO Ef]]+DATOS_[[#This Row],[Tot Extrasalarial Ef]]</f>
        <v>0</v>
      </c>
      <c r="CH18" s="140" t="n">
        <f aca="false">MIN(IF(DATOS_[[#This Row],[Fecha Fin Contrato]]="",$D$4,DATOS_[[#This Row],[Fecha Fin Contrato]]),$D$4)-MAX(DATOS_[[#This Row],[Fecha de Contratación]],$D$3)+1</f>
        <v>1</v>
      </c>
      <c r="CI18" s="141" t="str">
        <f aca="false">IF(COUNTIFS(DATOS_[id],DATOS_[[#This Row],[id]])&gt;1,DATOS_[[#This Row],[id]],"")</f>
        <v/>
      </c>
      <c r="CJ18" s="141" t="n">
        <f aca="false">(Inicio!$G$10-DATOS_[[#This Row],[Fecha Nacimiento]])/365.25</f>
        <v>0</v>
      </c>
      <c r="CK18" s="141" t="n">
        <f aca="false">(Inicio!$G$10-DATOS_[[#This Row],[Fecha de Antigüedad]])/365.25</f>
        <v>0</v>
      </c>
      <c r="CL18" s="141" t="e">
        <f aca="false">+VLOOKUP(DATOS_[[#This Row],[Clave de Contrato]],TblTiposContrato13[],3,0)</f>
        <v>#N/A</v>
      </c>
      <c r="CM18" s="141" t="e">
        <f aca="false">+VLOOKUP(DATOS_[[#This Row],[Clave de Contrato]],TblTiposContrato13[],4,0)</f>
        <v>#N/A</v>
      </c>
      <c r="CN18" s="141" t="str">
        <f aca="false">VLOOKUP(DATOS_[[#This Row],[Edad]],CONTRATOS!TblRngEdad,2,1)</f>
        <v>20  o menos</v>
      </c>
      <c r="CO18" s="141" t="str">
        <f aca="false">VLOOKUP(DATOS_[[#This Row],[Antigüedad]],TblRngAntg14[],2,1)</f>
        <v>0 a 1 años</v>
      </c>
    </row>
    <row r="19" customFormat="false" ht="13.8" hidden="false" customHeight="false" outlineLevel="0" collapsed="false">
      <c r="D19" s="128"/>
      <c r="E19" s="129"/>
      <c r="F19" s="129"/>
      <c r="G19" s="129"/>
      <c r="H19" s="130"/>
      <c r="I19" s="131"/>
      <c r="J19" s="128"/>
      <c r="K19" s="132"/>
      <c r="L19" s="132"/>
      <c r="M19" s="133"/>
      <c r="N19" s="133"/>
      <c r="O19" s="133"/>
      <c r="P19" s="129"/>
      <c r="Z19" s="75"/>
      <c r="AA19" s="76"/>
      <c r="AB19" s="76"/>
      <c r="AC19" s="129"/>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4"/>
      <c r="BF19" s="134"/>
      <c r="BG19" s="134"/>
      <c r="BH19" s="134"/>
      <c r="BI19" s="134"/>
      <c r="BJ19" s="134"/>
      <c r="BK19" s="134"/>
      <c r="BL19" s="134"/>
      <c r="BM19" s="135"/>
      <c r="BN19" s="136" t="n">
        <f aca="false">+MAX($D$3,DATOS_[[#This Row],[Fecha Inicio Sit. Contract.]])</f>
        <v>0</v>
      </c>
      <c r="BO19" s="136" t="n">
        <f aca="false">+MIN($D$4,DATOS_[[#This Row],[Fecha Fin Sit. Contract.]])</f>
        <v>0</v>
      </c>
      <c r="BP19" s="137" t="n">
        <f aca="false">+DATOS_[[#This Row],[% de jornada]]*IF(DATOS_[[#This Row],[% jornada reducida]]="",1,DATOS_[[#This Row],[% jornada reducida]])</f>
        <v>0</v>
      </c>
      <c r="BQ19" s="137" t="n">
        <f aca="false">+(DATOS_[[#This Row],[F.fin.cal]]-DATOS_[[#This Row],[F.ini.cal]]+1)/($D$4-$D$3+1)</f>
        <v>1</v>
      </c>
      <c r="BR19" s="137" t="str">
        <f aca="false">IF(OR(AND(DATOS_[[#This Row],[Fecha Fin Contrato]]&lt;$D$3,DATOS_[[#This Row],[Fecha Fin Contrato]]&lt;&gt;""),DATOS_[[#This Row],[Fecha de Contratación]]&gt;$D$4),"Fuera","Dentro")</f>
        <v>Dentro</v>
      </c>
      <c r="BS19" s="137" t="str">
        <f aca="false" t="array" ref="BS19:BS19">IF(MAX(IF(DATOS_[id]=DATOS_[[#This Row],[id]],DATOS_[F.fin.cal]))=DATOS_[[#This Row],[F.fin.cal]],"Sí","NO")</f>
        <v>Sí</v>
      </c>
      <c r="BT19" s="137" t="str">
        <f aca="false">IF(AND(DATOS_[[#This Row],[% normaliz]]&lt;&gt;1,DATOS_[[#This Row],[% anualiz]]=1),"Sí","NO")</f>
        <v>Sí</v>
      </c>
      <c r="BU19" s="137" t="str">
        <f aca="false">IF(AND(DATOS_[[#This Row],[% normaliz]]=1,DATOS_[[#This Row],[% anualiz]]&lt;&gt;1),"Sí","NO")</f>
        <v>NO</v>
      </c>
      <c r="BV19" s="137" t="str">
        <f aca="false">IF(AND(DATOS_[[#This Row],[% normaliz]]&lt;&gt;1,DATOS_[[#This Row],[% anualiz]]&lt;&gt;1),"Sí","NO")</f>
        <v>NO</v>
      </c>
      <c r="BW19" s="137" t="str">
        <f aca="false">+IF(DATOS_[[#This Row],[% normaliz]]*DATOS_[[#This Row],[% anualiz]]=1,"NO","Sí")</f>
        <v>Sí</v>
      </c>
      <c r="BX19" s="138" t="e">
        <f aca="false">(DATOS_[[#This Row],[S.BASE]]*(1/DATOS_[[#This Row],[% normaliz]])*(1/DATOS_[[#This Row],[% anualiz]]))*IF(DATOS_[[#This Row],[Check Equiparado]]="Sí",1,0)</f>
        <v>#DIV/0!</v>
      </c>
      <c r="BY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 s="138" t="e">
        <f aca="false">+DATOS_[[#This Row],[SALARIO BASE Eq]]+DATOS_[[#This Row],[Tot COMPL.SAL Eq]]</f>
        <v>#DIV/0!</v>
      </c>
      <c r="CA19" s="138" t="e">
        <f aca="false" t="array" ref="CA19: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 s="138" t="e">
        <f aca="false">+DATOS_[[#This Row],[TOTAL SALARIO Eq]]+DATOS_[[#This Row],[Tot Extrasalarial Eq]]</f>
        <v>#DIV/0!</v>
      </c>
      <c r="CC19" s="139" t="n">
        <f aca="false">DATOS_[[#This Row],[S.BASE]]</f>
        <v>0</v>
      </c>
      <c r="CD19" s="139" t="n">
        <f aca="false">+SUM(DATOS_[[#This Row],[Conc.Sal.01]:[Conc.Sal.30]])</f>
        <v>0</v>
      </c>
      <c r="CE19" s="139" t="n">
        <f aca="false">+DATOS_[[#This Row],[SALARIO BASE Ef]]+DATOS_[[#This Row],[Tot COMPL.SAL Ef]]</f>
        <v>0</v>
      </c>
      <c r="CF19" s="139" t="n">
        <f aca="false">+SUM(DATOS_[[#This Row],[C.Extra.01]:[C.Extra.05]])</f>
        <v>0</v>
      </c>
      <c r="CG19" s="139" t="n">
        <f aca="false">+DATOS_[[#This Row],[TOTAL SALARIO Ef]]+DATOS_[[#This Row],[Tot Extrasalarial Ef]]</f>
        <v>0</v>
      </c>
      <c r="CH19" s="140" t="n">
        <f aca="false">MIN(IF(DATOS_[[#This Row],[Fecha Fin Contrato]]="",$D$4,DATOS_[[#This Row],[Fecha Fin Contrato]]),$D$4)-MAX(DATOS_[[#This Row],[Fecha de Contratación]],$D$3)+1</f>
        <v>1</v>
      </c>
      <c r="CI19" s="141" t="str">
        <f aca="false">IF(COUNTIFS(DATOS_[id],DATOS_[[#This Row],[id]])&gt;1,DATOS_[[#This Row],[id]],"")</f>
        <v/>
      </c>
      <c r="CJ19" s="141" t="n">
        <f aca="false">(Inicio!$G$10-DATOS_[[#This Row],[Fecha Nacimiento]])/365.25</f>
        <v>0</v>
      </c>
      <c r="CK19" s="141" t="n">
        <f aca="false">(Inicio!$G$10-DATOS_[[#This Row],[Fecha de Antigüedad]])/365.25</f>
        <v>0</v>
      </c>
      <c r="CL19" s="141" t="e">
        <f aca="false">+VLOOKUP(DATOS_[[#This Row],[Clave de Contrato]],TblTiposContrato13[],3,0)</f>
        <v>#N/A</v>
      </c>
      <c r="CM19" s="141" t="e">
        <f aca="false">+VLOOKUP(DATOS_[[#This Row],[Clave de Contrato]],TblTiposContrato13[],4,0)</f>
        <v>#N/A</v>
      </c>
      <c r="CN19" s="141" t="str">
        <f aca="false">VLOOKUP(DATOS_[[#This Row],[Edad]],CONTRATOS!TblRngEdad,2,1)</f>
        <v>20  o menos</v>
      </c>
      <c r="CO19" s="141" t="str">
        <f aca="false">VLOOKUP(DATOS_[[#This Row],[Antigüedad]],TblRngAntg14[],2,1)</f>
        <v>0 a 1 años</v>
      </c>
    </row>
    <row r="20" customFormat="false" ht="13.8" hidden="false" customHeight="false" outlineLevel="0" collapsed="false">
      <c r="D20" s="128"/>
      <c r="E20" s="129"/>
      <c r="F20" s="129"/>
      <c r="G20" s="129"/>
      <c r="H20" s="130"/>
      <c r="I20" s="131"/>
      <c r="J20" s="128"/>
      <c r="K20" s="132"/>
      <c r="L20" s="132"/>
      <c r="M20" s="133"/>
      <c r="N20" s="133"/>
      <c r="O20" s="133"/>
      <c r="P20" s="129"/>
      <c r="Z20" s="75"/>
      <c r="AA20" s="76"/>
      <c r="AB20" s="76"/>
      <c r="AC20" s="129"/>
      <c r="AD20" s="134"/>
      <c r="AE20" s="134"/>
      <c r="AF20" s="134"/>
      <c r="AG20" s="134"/>
      <c r="AH20" s="134"/>
      <c r="AI20" s="134"/>
      <c r="AJ20" s="134"/>
      <c r="AK20" s="134"/>
      <c r="AL20" s="134"/>
      <c r="AM20" s="134"/>
      <c r="AN20" s="134"/>
      <c r="AO20" s="134"/>
      <c r="AP20" s="134"/>
      <c r="AQ20" s="134"/>
      <c r="AR20" s="134"/>
      <c r="AS20" s="134"/>
      <c r="AT20" s="134"/>
      <c r="AU20" s="134"/>
      <c r="AV20" s="134"/>
      <c r="AW20" s="134"/>
      <c r="AX20" s="134"/>
      <c r="AY20" s="134"/>
      <c r="AZ20" s="134"/>
      <c r="BA20" s="134"/>
      <c r="BB20" s="134"/>
      <c r="BC20" s="134"/>
      <c r="BD20" s="134"/>
      <c r="BE20" s="134"/>
      <c r="BF20" s="134"/>
      <c r="BG20" s="134"/>
      <c r="BH20" s="134"/>
      <c r="BI20" s="134"/>
      <c r="BJ20" s="134"/>
      <c r="BK20" s="134"/>
      <c r="BL20" s="134"/>
      <c r="BM20" s="135"/>
      <c r="BN20" s="136" t="n">
        <f aca="false">+MAX($D$3,DATOS_[[#This Row],[Fecha Inicio Sit. Contract.]])</f>
        <v>0</v>
      </c>
      <c r="BO20" s="136" t="n">
        <f aca="false">+MIN($D$4,DATOS_[[#This Row],[Fecha Fin Sit. Contract.]])</f>
        <v>0</v>
      </c>
      <c r="BP20" s="137" t="n">
        <f aca="false">+DATOS_[[#This Row],[% de jornada]]*IF(DATOS_[[#This Row],[% jornada reducida]]="",1,DATOS_[[#This Row],[% jornada reducida]])</f>
        <v>0</v>
      </c>
      <c r="BQ20" s="137" t="n">
        <f aca="false">+(DATOS_[[#This Row],[F.fin.cal]]-DATOS_[[#This Row],[F.ini.cal]]+1)/($D$4-$D$3+1)</f>
        <v>1</v>
      </c>
      <c r="BR20" s="137" t="str">
        <f aca="false">IF(OR(AND(DATOS_[[#This Row],[Fecha Fin Contrato]]&lt;$D$3,DATOS_[[#This Row],[Fecha Fin Contrato]]&lt;&gt;""),DATOS_[[#This Row],[Fecha de Contratación]]&gt;$D$4),"Fuera","Dentro")</f>
        <v>Dentro</v>
      </c>
      <c r="BS20" s="137" t="str">
        <f aca="false" t="array" ref="BS20:BS20">IF(MAX(IF(DATOS_[id]=DATOS_[[#This Row],[id]],DATOS_[F.fin.cal]))=DATOS_[[#This Row],[F.fin.cal]],"Sí","NO")</f>
        <v>Sí</v>
      </c>
      <c r="BT20" s="137" t="str">
        <f aca="false">IF(AND(DATOS_[[#This Row],[% normaliz]]&lt;&gt;1,DATOS_[[#This Row],[% anualiz]]=1),"Sí","NO")</f>
        <v>Sí</v>
      </c>
      <c r="BU20" s="137" t="str">
        <f aca="false">IF(AND(DATOS_[[#This Row],[% normaliz]]=1,DATOS_[[#This Row],[% anualiz]]&lt;&gt;1),"Sí","NO")</f>
        <v>NO</v>
      </c>
      <c r="BV20" s="137" t="str">
        <f aca="false">IF(AND(DATOS_[[#This Row],[% normaliz]]&lt;&gt;1,DATOS_[[#This Row],[% anualiz]]&lt;&gt;1),"Sí","NO")</f>
        <v>NO</v>
      </c>
      <c r="BW20" s="137" t="str">
        <f aca="false">+IF(DATOS_[[#This Row],[% normaliz]]*DATOS_[[#This Row],[% anualiz]]=1,"NO","Sí")</f>
        <v>Sí</v>
      </c>
      <c r="BX20" s="138" t="e">
        <f aca="false">(DATOS_[[#This Row],[S.BASE]]*(1/DATOS_[[#This Row],[% normaliz]])*(1/DATOS_[[#This Row],[% anualiz]]))*IF(DATOS_[[#This Row],[Check Equiparado]]="Sí",1,0)</f>
        <v>#DIV/0!</v>
      </c>
      <c r="BY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 s="138" t="e">
        <f aca="false">+DATOS_[[#This Row],[SALARIO BASE Eq]]+DATOS_[[#This Row],[Tot COMPL.SAL Eq]]</f>
        <v>#DIV/0!</v>
      </c>
      <c r="CA20" s="138" t="e">
        <f aca="false" t="array" ref="CA20: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 s="138" t="e">
        <f aca="false">+DATOS_[[#This Row],[TOTAL SALARIO Eq]]+DATOS_[[#This Row],[Tot Extrasalarial Eq]]</f>
        <v>#DIV/0!</v>
      </c>
      <c r="CC20" s="139" t="n">
        <f aca="false">DATOS_[[#This Row],[S.BASE]]</f>
        <v>0</v>
      </c>
      <c r="CD20" s="139" t="n">
        <f aca="false">+SUM(DATOS_[[#This Row],[Conc.Sal.01]:[Conc.Sal.30]])</f>
        <v>0</v>
      </c>
      <c r="CE20" s="139" t="n">
        <f aca="false">+DATOS_[[#This Row],[SALARIO BASE Ef]]+DATOS_[[#This Row],[Tot COMPL.SAL Ef]]</f>
        <v>0</v>
      </c>
      <c r="CF20" s="139" t="n">
        <f aca="false">+SUM(DATOS_[[#This Row],[C.Extra.01]:[C.Extra.05]])</f>
        <v>0</v>
      </c>
      <c r="CG20" s="139" t="n">
        <f aca="false">+DATOS_[[#This Row],[TOTAL SALARIO Ef]]+DATOS_[[#This Row],[Tot Extrasalarial Ef]]</f>
        <v>0</v>
      </c>
      <c r="CH20" s="140" t="n">
        <f aca="false">MIN(IF(DATOS_[[#This Row],[Fecha Fin Contrato]]="",$D$4,DATOS_[[#This Row],[Fecha Fin Contrato]]),$D$4)-MAX(DATOS_[[#This Row],[Fecha de Contratación]],$D$3)+1</f>
        <v>1</v>
      </c>
      <c r="CI20" s="141" t="str">
        <f aca="false">IF(COUNTIFS(DATOS_[id],DATOS_[[#This Row],[id]])&gt;1,DATOS_[[#This Row],[id]],"")</f>
        <v/>
      </c>
      <c r="CJ20" s="141" t="n">
        <f aca="false">(Inicio!$G$10-DATOS_[[#This Row],[Fecha Nacimiento]])/365.25</f>
        <v>0</v>
      </c>
      <c r="CK20" s="141" t="n">
        <f aca="false">(Inicio!$G$10-DATOS_[[#This Row],[Fecha de Antigüedad]])/365.25</f>
        <v>0</v>
      </c>
      <c r="CL20" s="141" t="e">
        <f aca="false">+VLOOKUP(DATOS_[[#This Row],[Clave de Contrato]],TblTiposContrato13[],3,0)</f>
        <v>#N/A</v>
      </c>
      <c r="CM20" s="141" t="e">
        <f aca="false">+VLOOKUP(DATOS_[[#This Row],[Clave de Contrato]],TblTiposContrato13[],4,0)</f>
        <v>#N/A</v>
      </c>
      <c r="CN20" s="141" t="str">
        <f aca="false">VLOOKUP(DATOS_[[#This Row],[Edad]],CONTRATOS!TblRngEdad,2,1)</f>
        <v>20  o menos</v>
      </c>
      <c r="CO20" s="141" t="str">
        <f aca="false">VLOOKUP(DATOS_[[#This Row],[Antigüedad]],TblRngAntg14[],2,1)</f>
        <v>0 a 1 años</v>
      </c>
    </row>
    <row r="21" customFormat="false" ht="13.8" hidden="false" customHeight="false" outlineLevel="0" collapsed="false">
      <c r="D21" s="128"/>
      <c r="E21" s="129"/>
      <c r="F21" s="129"/>
      <c r="G21" s="129"/>
      <c r="H21" s="130"/>
      <c r="I21" s="131"/>
      <c r="J21" s="128"/>
      <c r="K21" s="132"/>
      <c r="L21" s="132"/>
      <c r="M21" s="133"/>
      <c r="N21" s="133"/>
      <c r="O21" s="133"/>
      <c r="P21" s="129"/>
      <c r="Z21" s="75"/>
      <c r="AA21" s="76"/>
      <c r="AB21" s="76"/>
      <c r="AC21" s="129"/>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4"/>
      <c r="BF21" s="134"/>
      <c r="BG21" s="134"/>
      <c r="BH21" s="134"/>
      <c r="BI21" s="134"/>
      <c r="BJ21" s="134"/>
      <c r="BK21" s="134"/>
      <c r="BL21" s="134"/>
      <c r="BM21" s="135"/>
      <c r="BN21" s="136" t="n">
        <f aca="false">+MAX($D$3,DATOS_[[#This Row],[Fecha Inicio Sit. Contract.]])</f>
        <v>0</v>
      </c>
      <c r="BO21" s="136" t="n">
        <f aca="false">+MIN($D$4,DATOS_[[#This Row],[Fecha Fin Sit. Contract.]])</f>
        <v>0</v>
      </c>
      <c r="BP21" s="137" t="n">
        <f aca="false">+DATOS_[[#This Row],[% de jornada]]*IF(DATOS_[[#This Row],[% jornada reducida]]="",1,DATOS_[[#This Row],[% jornada reducida]])</f>
        <v>0</v>
      </c>
      <c r="BQ21" s="137" t="n">
        <f aca="false">+(DATOS_[[#This Row],[F.fin.cal]]-DATOS_[[#This Row],[F.ini.cal]]+1)/($D$4-$D$3+1)</f>
        <v>1</v>
      </c>
      <c r="BR21" s="137" t="str">
        <f aca="false">IF(OR(AND(DATOS_[[#This Row],[Fecha Fin Contrato]]&lt;$D$3,DATOS_[[#This Row],[Fecha Fin Contrato]]&lt;&gt;""),DATOS_[[#This Row],[Fecha de Contratación]]&gt;$D$4),"Fuera","Dentro")</f>
        <v>Dentro</v>
      </c>
      <c r="BS21" s="137" t="str">
        <f aca="false" t="array" ref="BS21:BS21">IF(MAX(IF(DATOS_[id]=DATOS_[[#This Row],[id]],DATOS_[F.fin.cal]))=DATOS_[[#This Row],[F.fin.cal]],"Sí","NO")</f>
        <v>Sí</v>
      </c>
      <c r="BT21" s="137" t="str">
        <f aca="false">IF(AND(DATOS_[[#This Row],[% normaliz]]&lt;&gt;1,DATOS_[[#This Row],[% anualiz]]=1),"Sí","NO")</f>
        <v>Sí</v>
      </c>
      <c r="BU21" s="137" t="str">
        <f aca="false">IF(AND(DATOS_[[#This Row],[% normaliz]]=1,DATOS_[[#This Row],[% anualiz]]&lt;&gt;1),"Sí","NO")</f>
        <v>NO</v>
      </c>
      <c r="BV21" s="137" t="str">
        <f aca="false">IF(AND(DATOS_[[#This Row],[% normaliz]]&lt;&gt;1,DATOS_[[#This Row],[% anualiz]]&lt;&gt;1),"Sí","NO")</f>
        <v>NO</v>
      </c>
      <c r="BW21" s="137" t="str">
        <f aca="false">+IF(DATOS_[[#This Row],[% normaliz]]*DATOS_[[#This Row],[% anualiz]]=1,"NO","Sí")</f>
        <v>Sí</v>
      </c>
      <c r="BX21" s="138" t="e">
        <f aca="false">(DATOS_[[#This Row],[S.BASE]]*(1/DATOS_[[#This Row],[% normaliz]])*(1/DATOS_[[#This Row],[% anualiz]]))*IF(DATOS_[[#This Row],[Check Equiparado]]="Sí",1,0)</f>
        <v>#DIV/0!</v>
      </c>
      <c r="BY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 s="138" t="e">
        <f aca="false">+DATOS_[[#This Row],[SALARIO BASE Eq]]+DATOS_[[#This Row],[Tot COMPL.SAL Eq]]</f>
        <v>#DIV/0!</v>
      </c>
      <c r="CA21" s="138" t="e">
        <f aca="false" t="array" ref="CA21: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 s="138" t="e">
        <f aca="false">+DATOS_[[#This Row],[TOTAL SALARIO Eq]]+DATOS_[[#This Row],[Tot Extrasalarial Eq]]</f>
        <v>#DIV/0!</v>
      </c>
      <c r="CC21" s="139" t="n">
        <f aca="false">DATOS_[[#This Row],[S.BASE]]</f>
        <v>0</v>
      </c>
      <c r="CD21" s="139" t="n">
        <f aca="false">+SUM(DATOS_[[#This Row],[Conc.Sal.01]:[Conc.Sal.30]])</f>
        <v>0</v>
      </c>
      <c r="CE21" s="139" t="n">
        <f aca="false">+DATOS_[[#This Row],[SALARIO BASE Ef]]+DATOS_[[#This Row],[Tot COMPL.SAL Ef]]</f>
        <v>0</v>
      </c>
      <c r="CF21" s="139" t="n">
        <f aca="false">+SUM(DATOS_[[#This Row],[C.Extra.01]:[C.Extra.05]])</f>
        <v>0</v>
      </c>
      <c r="CG21" s="139" t="n">
        <f aca="false">+DATOS_[[#This Row],[TOTAL SALARIO Ef]]+DATOS_[[#This Row],[Tot Extrasalarial Ef]]</f>
        <v>0</v>
      </c>
      <c r="CH21" s="140" t="n">
        <f aca="false">MIN(IF(DATOS_[[#This Row],[Fecha Fin Contrato]]="",$D$4,DATOS_[[#This Row],[Fecha Fin Contrato]]),$D$4)-MAX(DATOS_[[#This Row],[Fecha de Contratación]],$D$3)+1</f>
        <v>1</v>
      </c>
      <c r="CI21" s="141" t="str">
        <f aca="false">IF(COUNTIFS(DATOS_[id],DATOS_[[#This Row],[id]])&gt;1,DATOS_[[#This Row],[id]],"")</f>
        <v/>
      </c>
      <c r="CJ21" s="141" t="n">
        <f aca="false">(Inicio!$G$10-DATOS_[[#This Row],[Fecha Nacimiento]])/365.25</f>
        <v>0</v>
      </c>
      <c r="CK21" s="141" t="n">
        <f aca="false">(Inicio!$G$10-DATOS_[[#This Row],[Fecha de Antigüedad]])/365.25</f>
        <v>0</v>
      </c>
      <c r="CL21" s="141" t="e">
        <f aca="false">+VLOOKUP(DATOS_[[#This Row],[Clave de Contrato]],TblTiposContrato13[],3,0)</f>
        <v>#N/A</v>
      </c>
      <c r="CM21" s="141" t="e">
        <f aca="false">+VLOOKUP(DATOS_[[#This Row],[Clave de Contrato]],TblTiposContrato13[],4,0)</f>
        <v>#N/A</v>
      </c>
      <c r="CN21" s="141" t="str">
        <f aca="false">VLOOKUP(DATOS_[[#This Row],[Edad]],CONTRATOS!TblRngEdad,2,1)</f>
        <v>20  o menos</v>
      </c>
      <c r="CO21" s="141" t="str">
        <f aca="false">VLOOKUP(DATOS_[[#This Row],[Antigüedad]],TblRngAntg14[],2,1)</f>
        <v>0 a 1 años</v>
      </c>
    </row>
    <row r="22" customFormat="false" ht="13.8" hidden="false" customHeight="false" outlineLevel="0" collapsed="false">
      <c r="D22" s="128"/>
      <c r="E22" s="129"/>
      <c r="F22" s="129"/>
      <c r="G22" s="129"/>
      <c r="H22" s="130"/>
      <c r="I22" s="131"/>
      <c r="J22" s="128"/>
      <c r="K22" s="132"/>
      <c r="L22" s="132"/>
      <c r="M22" s="133"/>
      <c r="N22" s="133"/>
      <c r="O22" s="133"/>
      <c r="P22" s="129"/>
      <c r="Z22" s="75"/>
      <c r="AA22" s="76"/>
      <c r="AB22" s="76"/>
      <c r="AC22" s="129"/>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5"/>
      <c r="BN22" s="136" t="n">
        <f aca="false">+MAX($D$3,DATOS_[[#This Row],[Fecha Inicio Sit. Contract.]])</f>
        <v>0</v>
      </c>
      <c r="BO22" s="136" t="n">
        <f aca="false">+MIN($D$4,DATOS_[[#This Row],[Fecha Fin Sit. Contract.]])</f>
        <v>0</v>
      </c>
      <c r="BP22" s="137" t="n">
        <f aca="false">+DATOS_[[#This Row],[% de jornada]]*IF(DATOS_[[#This Row],[% jornada reducida]]="",1,DATOS_[[#This Row],[% jornada reducida]])</f>
        <v>0</v>
      </c>
      <c r="BQ22" s="137" t="n">
        <f aca="false">+(DATOS_[[#This Row],[F.fin.cal]]-DATOS_[[#This Row],[F.ini.cal]]+1)/($D$4-$D$3+1)</f>
        <v>1</v>
      </c>
      <c r="BR22" s="137" t="str">
        <f aca="false">IF(OR(AND(DATOS_[[#This Row],[Fecha Fin Contrato]]&lt;$D$3,DATOS_[[#This Row],[Fecha Fin Contrato]]&lt;&gt;""),DATOS_[[#This Row],[Fecha de Contratación]]&gt;$D$4),"Fuera","Dentro")</f>
        <v>Dentro</v>
      </c>
      <c r="BS22" s="137" t="str">
        <f aca="false" t="array" ref="BS22:BS22">IF(MAX(IF(DATOS_[id]=DATOS_[[#This Row],[id]],DATOS_[F.fin.cal]))=DATOS_[[#This Row],[F.fin.cal]],"Sí","NO")</f>
        <v>Sí</v>
      </c>
      <c r="BT22" s="137" t="str">
        <f aca="false">IF(AND(DATOS_[[#This Row],[% normaliz]]&lt;&gt;1,DATOS_[[#This Row],[% anualiz]]=1),"Sí","NO")</f>
        <v>Sí</v>
      </c>
      <c r="BU22" s="137" t="str">
        <f aca="false">IF(AND(DATOS_[[#This Row],[% normaliz]]=1,DATOS_[[#This Row],[% anualiz]]&lt;&gt;1),"Sí","NO")</f>
        <v>NO</v>
      </c>
      <c r="BV22" s="137" t="str">
        <f aca="false">IF(AND(DATOS_[[#This Row],[% normaliz]]&lt;&gt;1,DATOS_[[#This Row],[% anualiz]]&lt;&gt;1),"Sí","NO")</f>
        <v>NO</v>
      </c>
      <c r="BW22" s="137" t="str">
        <f aca="false">+IF(DATOS_[[#This Row],[% normaliz]]*DATOS_[[#This Row],[% anualiz]]=1,"NO","Sí")</f>
        <v>Sí</v>
      </c>
      <c r="BX22" s="138" t="e">
        <f aca="false">(DATOS_[[#This Row],[S.BASE]]*(1/DATOS_[[#This Row],[% normaliz]])*(1/DATOS_[[#This Row],[% anualiz]]))*IF(DATOS_[[#This Row],[Check Equiparado]]="Sí",1,0)</f>
        <v>#DIV/0!</v>
      </c>
      <c r="BY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 s="138" t="e">
        <f aca="false">+DATOS_[[#This Row],[SALARIO BASE Eq]]+DATOS_[[#This Row],[Tot COMPL.SAL Eq]]</f>
        <v>#DIV/0!</v>
      </c>
      <c r="CA22" s="138" t="e">
        <f aca="false" t="array" ref="CA22: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 s="138" t="e">
        <f aca="false">+DATOS_[[#This Row],[TOTAL SALARIO Eq]]+DATOS_[[#This Row],[Tot Extrasalarial Eq]]</f>
        <v>#DIV/0!</v>
      </c>
      <c r="CC22" s="139" t="n">
        <f aca="false">DATOS_[[#This Row],[S.BASE]]</f>
        <v>0</v>
      </c>
      <c r="CD22" s="139" t="n">
        <f aca="false">+SUM(DATOS_[[#This Row],[Conc.Sal.01]:[Conc.Sal.30]])</f>
        <v>0</v>
      </c>
      <c r="CE22" s="139" t="n">
        <f aca="false">+DATOS_[[#This Row],[SALARIO BASE Ef]]+DATOS_[[#This Row],[Tot COMPL.SAL Ef]]</f>
        <v>0</v>
      </c>
      <c r="CF22" s="139" t="n">
        <f aca="false">+SUM(DATOS_[[#This Row],[C.Extra.01]:[C.Extra.05]])</f>
        <v>0</v>
      </c>
      <c r="CG22" s="139" t="n">
        <f aca="false">+DATOS_[[#This Row],[TOTAL SALARIO Ef]]+DATOS_[[#This Row],[Tot Extrasalarial Ef]]</f>
        <v>0</v>
      </c>
      <c r="CH22" s="140" t="n">
        <f aca="false">MIN(IF(DATOS_[[#This Row],[Fecha Fin Contrato]]="",$D$4,DATOS_[[#This Row],[Fecha Fin Contrato]]),$D$4)-MAX(DATOS_[[#This Row],[Fecha de Contratación]],$D$3)+1</f>
        <v>1</v>
      </c>
      <c r="CI22" s="141" t="str">
        <f aca="false">IF(COUNTIFS(DATOS_[id],DATOS_[[#This Row],[id]])&gt;1,DATOS_[[#This Row],[id]],"")</f>
        <v/>
      </c>
      <c r="CJ22" s="141" t="n">
        <f aca="false">(Inicio!$G$10-DATOS_[[#This Row],[Fecha Nacimiento]])/365.25</f>
        <v>0</v>
      </c>
      <c r="CK22" s="141" t="n">
        <f aca="false">(Inicio!$G$10-DATOS_[[#This Row],[Fecha de Antigüedad]])/365.25</f>
        <v>0</v>
      </c>
      <c r="CL22" s="141" t="e">
        <f aca="false">+VLOOKUP(DATOS_[[#This Row],[Clave de Contrato]],TblTiposContrato13[],3,0)</f>
        <v>#N/A</v>
      </c>
      <c r="CM22" s="141" t="e">
        <f aca="false">+VLOOKUP(DATOS_[[#This Row],[Clave de Contrato]],TblTiposContrato13[],4,0)</f>
        <v>#N/A</v>
      </c>
      <c r="CN22" s="141" t="str">
        <f aca="false">VLOOKUP(DATOS_[[#This Row],[Edad]],CONTRATOS!TblRngEdad,2,1)</f>
        <v>20  o menos</v>
      </c>
      <c r="CO22" s="141" t="str">
        <f aca="false">VLOOKUP(DATOS_[[#This Row],[Antigüedad]],TblRngAntg14[],2,1)</f>
        <v>0 a 1 años</v>
      </c>
    </row>
    <row r="23" customFormat="false" ht="13.8" hidden="false" customHeight="false" outlineLevel="0" collapsed="false">
      <c r="D23" s="128"/>
      <c r="E23" s="129"/>
      <c r="F23" s="129"/>
      <c r="G23" s="129"/>
      <c r="H23" s="130"/>
      <c r="I23" s="131"/>
      <c r="J23" s="128"/>
      <c r="K23" s="132"/>
      <c r="L23" s="132"/>
      <c r="M23" s="133"/>
      <c r="N23" s="133"/>
      <c r="O23" s="133"/>
      <c r="P23" s="129"/>
      <c r="Z23" s="75"/>
      <c r="AA23" s="76"/>
      <c r="AB23" s="76"/>
      <c r="AC23" s="129"/>
      <c r="AD23" s="134"/>
      <c r="AE23" s="134"/>
      <c r="AF23" s="134"/>
      <c r="AG23" s="134"/>
      <c r="AH23" s="134"/>
      <c r="AI23" s="134"/>
      <c r="AJ23" s="134"/>
      <c r="AK23" s="134"/>
      <c r="AL23" s="134"/>
      <c r="AM23" s="134"/>
      <c r="AN23" s="134"/>
      <c r="AO23" s="134"/>
      <c r="AP23" s="134"/>
      <c r="AQ23" s="134"/>
      <c r="AR23" s="134"/>
      <c r="AS23" s="134"/>
      <c r="AT23" s="134"/>
      <c r="AU23" s="134"/>
      <c r="AV23" s="134"/>
      <c r="AW23" s="134"/>
      <c r="AX23" s="134"/>
      <c r="AY23" s="134"/>
      <c r="AZ23" s="134"/>
      <c r="BA23" s="134"/>
      <c r="BB23" s="134"/>
      <c r="BC23" s="134"/>
      <c r="BD23" s="134"/>
      <c r="BE23" s="134"/>
      <c r="BF23" s="134"/>
      <c r="BG23" s="134"/>
      <c r="BH23" s="134"/>
      <c r="BI23" s="134"/>
      <c r="BJ23" s="134"/>
      <c r="BK23" s="134"/>
      <c r="BL23" s="134"/>
      <c r="BM23" s="135"/>
      <c r="BN23" s="136" t="n">
        <f aca="false">+MAX($D$3,DATOS_[[#This Row],[Fecha Inicio Sit. Contract.]])</f>
        <v>0</v>
      </c>
      <c r="BO23" s="136" t="n">
        <f aca="false">+MIN($D$4,DATOS_[[#This Row],[Fecha Fin Sit. Contract.]])</f>
        <v>0</v>
      </c>
      <c r="BP23" s="137" t="n">
        <f aca="false">+DATOS_[[#This Row],[% de jornada]]*IF(DATOS_[[#This Row],[% jornada reducida]]="",1,DATOS_[[#This Row],[% jornada reducida]])</f>
        <v>0</v>
      </c>
      <c r="BQ23" s="137" t="n">
        <f aca="false">+(DATOS_[[#This Row],[F.fin.cal]]-DATOS_[[#This Row],[F.ini.cal]]+1)/($D$4-$D$3+1)</f>
        <v>1</v>
      </c>
      <c r="BR23" s="137" t="str">
        <f aca="false">IF(OR(AND(DATOS_[[#This Row],[Fecha Fin Contrato]]&lt;$D$3,DATOS_[[#This Row],[Fecha Fin Contrato]]&lt;&gt;""),DATOS_[[#This Row],[Fecha de Contratación]]&gt;$D$4),"Fuera","Dentro")</f>
        <v>Dentro</v>
      </c>
      <c r="BS23" s="137" t="str">
        <f aca="false" t="array" ref="BS23:BS23">IF(MAX(IF(DATOS_[id]=DATOS_[[#This Row],[id]],DATOS_[F.fin.cal]))=DATOS_[[#This Row],[F.fin.cal]],"Sí","NO")</f>
        <v>Sí</v>
      </c>
      <c r="BT23" s="137" t="str">
        <f aca="false">IF(AND(DATOS_[[#This Row],[% normaliz]]&lt;&gt;1,DATOS_[[#This Row],[% anualiz]]=1),"Sí","NO")</f>
        <v>Sí</v>
      </c>
      <c r="BU23" s="137" t="str">
        <f aca="false">IF(AND(DATOS_[[#This Row],[% normaliz]]=1,DATOS_[[#This Row],[% anualiz]]&lt;&gt;1),"Sí","NO")</f>
        <v>NO</v>
      </c>
      <c r="BV23" s="137" t="str">
        <f aca="false">IF(AND(DATOS_[[#This Row],[% normaliz]]&lt;&gt;1,DATOS_[[#This Row],[% anualiz]]&lt;&gt;1),"Sí","NO")</f>
        <v>NO</v>
      </c>
      <c r="BW23" s="137" t="str">
        <f aca="false">+IF(DATOS_[[#This Row],[% normaliz]]*DATOS_[[#This Row],[% anualiz]]=1,"NO","Sí")</f>
        <v>Sí</v>
      </c>
      <c r="BX23" s="138" t="e">
        <f aca="false">(DATOS_[[#This Row],[S.BASE]]*(1/DATOS_[[#This Row],[% normaliz]])*(1/DATOS_[[#This Row],[% anualiz]]))*IF(DATOS_[[#This Row],[Check Equiparado]]="Sí",1,0)</f>
        <v>#DIV/0!</v>
      </c>
      <c r="BY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 s="138" t="e">
        <f aca="false">+DATOS_[[#This Row],[SALARIO BASE Eq]]+DATOS_[[#This Row],[Tot COMPL.SAL Eq]]</f>
        <v>#DIV/0!</v>
      </c>
      <c r="CA23" s="138" t="e">
        <f aca="false" t="array" ref="CA23: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 s="138" t="e">
        <f aca="false">+DATOS_[[#This Row],[TOTAL SALARIO Eq]]+DATOS_[[#This Row],[Tot Extrasalarial Eq]]</f>
        <v>#DIV/0!</v>
      </c>
      <c r="CC23" s="139" t="n">
        <f aca="false">DATOS_[[#This Row],[S.BASE]]</f>
        <v>0</v>
      </c>
      <c r="CD23" s="139" t="n">
        <f aca="false">+SUM(DATOS_[[#This Row],[Conc.Sal.01]:[Conc.Sal.30]])</f>
        <v>0</v>
      </c>
      <c r="CE23" s="139" t="n">
        <f aca="false">+DATOS_[[#This Row],[SALARIO BASE Ef]]+DATOS_[[#This Row],[Tot COMPL.SAL Ef]]</f>
        <v>0</v>
      </c>
      <c r="CF23" s="139" t="n">
        <f aca="false">+SUM(DATOS_[[#This Row],[C.Extra.01]:[C.Extra.05]])</f>
        <v>0</v>
      </c>
      <c r="CG23" s="139" t="n">
        <f aca="false">+DATOS_[[#This Row],[TOTAL SALARIO Ef]]+DATOS_[[#This Row],[Tot Extrasalarial Ef]]</f>
        <v>0</v>
      </c>
      <c r="CH23" s="140" t="n">
        <f aca="false">MIN(IF(DATOS_[[#This Row],[Fecha Fin Contrato]]="",$D$4,DATOS_[[#This Row],[Fecha Fin Contrato]]),$D$4)-MAX(DATOS_[[#This Row],[Fecha de Contratación]],$D$3)+1</f>
        <v>1</v>
      </c>
      <c r="CI23" s="141" t="str">
        <f aca="false">IF(COUNTIFS(DATOS_[id],DATOS_[[#This Row],[id]])&gt;1,DATOS_[[#This Row],[id]],"")</f>
        <v/>
      </c>
      <c r="CJ23" s="141" t="n">
        <f aca="false">(Inicio!$G$10-DATOS_[[#This Row],[Fecha Nacimiento]])/365.25</f>
        <v>0</v>
      </c>
      <c r="CK23" s="141" t="n">
        <f aca="false">(Inicio!$G$10-DATOS_[[#This Row],[Fecha de Antigüedad]])/365.25</f>
        <v>0</v>
      </c>
      <c r="CL23" s="141" t="e">
        <f aca="false">+VLOOKUP(DATOS_[[#This Row],[Clave de Contrato]],TblTiposContrato13[],3,0)</f>
        <v>#N/A</v>
      </c>
      <c r="CM23" s="141" t="e">
        <f aca="false">+VLOOKUP(DATOS_[[#This Row],[Clave de Contrato]],TblTiposContrato13[],4,0)</f>
        <v>#N/A</v>
      </c>
      <c r="CN23" s="141" t="str">
        <f aca="false">VLOOKUP(DATOS_[[#This Row],[Edad]],CONTRATOS!TblRngEdad,2,1)</f>
        <v>20  o menos</v>
      </c>
      <c r="CO23" s="141" t="str">
        <f aca="false">VLOOKUP(DATOS_[[#This Row],[Antigüedad]],TblRngAntg14[],2,1)</f>
        <v>0 a 1 años</v>
      </c>
    </row>
    <row r="24" customFormat="false" ht="13.8" hidden="false" customHeight="false" outlineLevel="0" collapsed="false">
      <c r="D24" s="128"/>
      <c r="E24" s="129"/>
      <c r="F24" s="129"/>
      <c r="G24" s="129"/>
      <c r="H24" s="130"/>
      <c r="I24" s="131"/>
      <c r="J24" s="128"/>
      <c r="K24" s="132"/>
      <c r="L24" s="132"/>
      <c r="M24" s="133"/>
      <c r="N24" s="133"/>
      <c r="O24" s="133"/>
      <c r="P24" s="129"/>
      <c r="Z24" s="75"/>
      <c r="AA24" s="76"/>
      <c r="AB24" s="76"/>
      <c r="AC24" s="129"/>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5"/>
      <c r="BN24" s="136" t="n">
        <f aca="false">+MAX($D$3,DATOS_[[#This Row],[Fecha Inicio Sit. Contract.]])</f>
        <v>0</v>
      </c>
      <c r="BO24" s="136" t="n">
        <f aca="false">+MIN($D$4,DATOS_[[#This Row],[Fecha Fin Sit. Contract.]])</f>
        <v>0</v>
      </c>
      <c r="BP24" s="137" t="n">
        <f aca="false">+DATOS_[[#This Row],[% de jornada]]*IF(DATOS_[[#This Row],[% jornada reducida]]="",1,DATOS_[[#This Row],[% jornada reducida]])</f>
        <v>0</v>
      </c>
      <c r="BQ24" s="137" t="n">
        <f aca="false">+(DATOS_[[#This Row],[F.fin.cal]]-DATOS_[[#This Row],[F.ini.cal]]+1)/($D$4-$D$3+1)</f>
        <v>1</v>
      </c>
      <c r="BR24" s="137" t="str">
        <f aca="false">IF(OR(AND(DATOS_[[#This Row],[Fecha Fin Contrato]]&lt;$D$3,DATOS_[[#This Row],[Fecha Fin Contrato]]&lt;&gt;""),DATOS_[[#This Row],[Fecha de Contratación]]&gt;$D$4),"Fuera","Dentro")</f>
        <v>Dentro</v>
      </c>
      <c r="BS24" s="137" t="str">
        <f aca="false" t="array" ref="BS24:BS24">IF(MAX(IF(DATOS_[id]=DATOS_[[#This Row],[id]],DATOS_[F.fin.cal]))=DATOS_[[#This Row],[F.fin.cal]],"Sí","NO")</f>
        <v>Sí</v>
      </c>
      <c r="BT24" s="137" t="str">
        <f aca="false">IF(AND(DATOS_[[#This Row],[% normaliz]]&lt;&gt;1,DATOS_[[#This Row],[% anualiz]]=1),"Sí","NO")</f>
        <v>Sí</v>
      </c>
      <c r="BU24" s="137" t="str">
        <f aca="false">IF(AND(DATOS_[[#This Row],[% normaliz]]=1,DATOS_[[#This Row],[% anualiz]]&lt;&gt;1),"Sí","NO")</f>
        <v>NO</v>
      </c>
      <c r="BV24" s="137" t="str">
        <f aca="false">IF(AND(DATOS_[[#This Row],[% normaliz]]&lt;&gt;1,DATOS_[[#This Row],[% anualiz]]&lt;&gt;1),"Sí","NO")</f>
        <v>NO</v>
      </c>
      <c r="BW24" s="137" t="str">
        <f aca="false">+IF(DATOS_[[#This Row],[% normaliz]]*DATOS_[[#This Row],[% anualiz]]=1,"NO","Sí")</f>
        <v>Sí</v>
      </c>
      <c r="BX24" s="138" t="e">
        <f aca="false">(DATOS_[[#This Row],[S.BASE]]*(1/DATOS_[[#This Row],[% normaliz]])*(1/DATOS_[[#This Row],[% anualiz]]))*IF(DATOS_[[#This Row],[Check Equiparado]]="Sí",1,0)</f>
        <v>#DIV/0!</v>
      </c>
      <c r="BY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 s="138" t="e">
        <f aca="false">+DATOS_[[#This Row],[SALARIO BASE Eq]]+DATOS_[[#This Row],[Tot COMPL.SAL Eq]]</f>
        <v>#DIV/0!</v>
      </c>
      <c r="CA24" s="138" t="e">
        <f aca="false" t="array" ref="CA24: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 s="138" t="e">
        <f aca="false">+DATOS_[[#This Row],[TOTAL SALARIO Eq]]+DATOS_[[#This Row],[Tot Extrasalarial Eq]]</f>
        <v>#DIV/0!</v>
      </c>
      <c r="CC24" s="139" t="n">
        <f aca="false">DATOS_[[#This Row],[S.BASE]]</f>
        <v>0</v>
      </c>
      <c r="CD24" s="139" t="n">
        <f aca="false">+SUM(DATOS_[[#This Row],[Conc.Sal.01]:[Conc.Sal.30]])</f>
        <v>0</v>
      </c>
      <c r="CE24" s="139" t="n">
        <f aca="false">+DATOS_[[#This Row],[SALARIO BASE Ef]]+DATOS_[[#This Row],[Tot COMPL.SAL Ef]]</f>
        <v>0</v>
      </c>
      <c r="CF24" s="139" t="n">
        <f aca="false">+SUM(DATOS_[[#This Row],[C.Extra.01]:[C.Extra.05]])</f>
        <v>0</v>
      </c>
      <c r="CG24" s="139" t="n">
        <f aca="false">+DATOS_[[#This Row],[TOTAL SALARIO Ef]]+DATOS_[[#This Row],[Tot Extrasalarial Ef]]</f>
        <v>0</v>
      </c>
      <c r="CH24" s="140" t="n">
        <f aca="false">MIN(IF(DATOS_[[#This Row],[Fecha Fin Contrato]]="",$D$4,DATOS_[[#This Row],[Fecha Fin Contrato]]),$D$4)-MAX(DATOS_[[#This Row],[Fecha de Contratación]],$D$3)+1</f>
        <v>1</v>
      </c>
      <c r="CI24" s="141" t="str">
        <f aca="false">IF(COUNTIFS(DATOS_[id],DATOS_[[#This Row],[id]])&gt;1,DATOS_[[#This Row],[id]],"")</f>
        <v/>
      </c>
      <c r="CJ24" s="141" t="n">
        <f aca="false">(Inicio!$G$10-DATOS_[[#This Row],[Fecha Nacimiento]])/365.25</f>
        <v>0</v>
      </c>
      <c r="CK24" s="141" t="n">
        <f aca="false">(Inicio!$G$10-DATOS_[[#This Row],[Fecha de Antigüedad]])/365.25</f>
        <v>0</v>
      </c>
      <c r="CL24" s="141" t="e">
        <f aca="false">+VLOOKUP(DATOS_[[#This Row],[Clave de Contrato]],TblTiposContrato13[],3,0)</f>
        <v>#N/A</v>
      </c>
      <c r="CM24" s="141" t="e">
        <f aca="false">+VLOOKUP(DATOS_[[#This Row],[Clave de Contrato]],TblTiposContrato13[],4,0)</f>
        <v>#N/A</v>
      </c>
      <c r="CN24" s="141" t="str">
        <f aca="false">VLOOKUP(DATOS_[[#This Row],[Edad]],CONTRATOS!TblRngEdad,2,1)</f>
        <v>20  o menos</v>
      </c>
      <c r="CO24" s="141" t="str">
        <f aca="false">VLOOKUP(DATOS_[[#This Row],[Antigüedad]],TblRngAntg14[],2,1)</f>
        <v>0 a 1 años</v>
      </c>
    </row>
    <row r="25" customFormat="false" ht="13.8" hidden="false" customHeight="false" outlineLevel="0" collapsed="false">
      <c r="D25" s="128"/>
      <c r="E25" s="129"/>
      <c r="F25" s="129"/>
      <c r="G25" s="129"/>
      <c r="H25" s="130"/>
      <c r="I25" s="131"/>
      <c r="J25" s="128"/>
      <c r="K25" s="132"/>
      <c r="L25" s="132"/>
      <c r="M25" s="133"/>
      <c r="N25" s="133"/>
      <c r="O25" s="133"/>
      <c r="P25" s="129"/>
      <c r="Z25" s="75"/>
      <c r="AA25" s="76"/>
      <c r="AB25" s="76"/>
      <c r="AC25" s="129"/>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5"/>
      <c r="BN25" s="136" t="n">
        <f aca="false">+MAX($D$3,DATOS_[[#This Row],[Fecha Inicio Sit. Contract.]])</f>
        <v>0</v>
      </c>
      <c r="BO25" s="136" t="n">
        <f aca="false">+MIN($D$4,DATOS_[[#This Row],[Fecha Fin Sit. Contract.]])</f>
        <v>0</v>
      </c>
      <c r="BP25" s="137" t="n">
        <f aca="false">+DATOS_[[#This Row],[% de jornada]]*IF(DATOS_[[#This Row],[% jornada reducida]]="",1,DATOS_[[#This Row],[% jornada reducida]])</f>
        <v>0</v>
      </c>
      <c r="BQ25" s="137" t="n">
        <f aca="false">+(DATOS_[[#This Row],[F.fin.cal]]-DATOS_[[#This Row],[F.ini.cal]]+1)/($D$4-$D$3+1)</f>
        <v>1</v>
      </c>
      <c r="BR25" s="137" t="str">
        <f aca="false">IF(OR(AND(DATOS_[[#This Row],[Fecha Fin Contrato]]&lt;$D$3,DATOS_[[#This Row],[Fecha Fin Contrato]]&lt;&gt;""),DATOS_[[#This Row],[Fecha de Contratación]]&gt;$D$4),"Fuera","Dentro")</f>
        <v>Dentro</v>
      </c>
      <c r="BS25" s="137" t="str">
        <f aca="false" t="array" ref="BS25:BS25">IF(MAX(IF(DATOS_[id]=DATOS_[[#This Row],[id]],DATOS_[F.fin.cal]))=DATOS_[[#This Row],[F.fin.cal]],"Sí","NO")</f>
        <v>Sí</v>
      </c>
      <c r="BT25" s="137" t="str">
        <f aca="false">IF(AND(DATOS_[[#This Row],[% normaliz]]&lt;&gt;1,DATOS_[[#This Row],[% anualiz]]=1),"Sí","NO")</f>
        <v>Sí</v>
      </c>
      <c r="BU25" s="137" t="str">
        <f aca="false">IF(AND(DATOS_[[#This Row],[% normaliz]]=1,DATOS_[[#This Row],[% anualiz]]&lt;&gt;1),"Sí","NO")</f>
        <v>NO</v>
      </c>
      <c r="BV25" s="137" t="str">
        <f aca="false">IF(AND(DATOS_[[#This Row],[% normaliz]]&lt;&gt;1,DATOS_[[#This Row],[% anualiz]]&lt;&gt;1),"Sí","NO")</f>
        <v>NO</v>
      </c>
      <c r="BW25" s="137" t="str">
        <f aca="false">+IF(DATOS_[[#This Row],[% normaliz]]*DATOS_[[#This Row],[% anualiz]]=1,"NO","Sí")</f>
        <v>Sí</v>
      </c>
      <c r="BX25" s="138" t="e">
        <f aca="false">(DATOS_[[#This Row],[S.BASE]]*(1/DATOS_[[#This Row],[% normaliz]])*(1/DATOS_[[#This Row],[% anualiz]]))*IF(DATOS_[[#This Row],[Check Equiparado]]="Sí",1,0)</f>
        <v>#DIV/0!</v>
      </c>
      <c r="BY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 s="138" t="e">
        <f aca="false">+DATOS_[[#This Row],[SALARIO BASE Eq]]+DATOS_[[#This Row],[Tot COMPL.SAL Eq]]</f>
        <v>#DIV/0!</v>
      </c>
      <c r="CA25" s="138" t="e">
        <f aca="false" t="array" ref="CA25: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 s="138" t="e">
        <f aca="false">+DATOS_[[#This Row],[TOTAL SALARIO Eq]]+DATOS_[[#This Row],[Tot Extrasalarial Eq]]</f>
        <v>#DIV/0!</v>
      </c>
      <c r="CC25" s="139" t="n">
        <f aca="false">DATOS_[[#This Row],[S.BASE]]</f>
        <v>0</v>
      </c>
      <c r="CD25" s="139" t="n">
        <f aca="false">+SUM(DATOS_[[#This Row],[Conc.Sal.01]:[Conc.Sal.30]])</f>
        <v>0</v>
      </c>
      <c r="CE25" s="139" t="n">
        <f aca="false">+DATOS_[[#This Row],[SALARIO BASE Ef]]+DATOS_[[#This Row],[Tot COMPL.SAL Ef]]</f>
        <v>0</v>
      </c>
      <c r="CF25" s="139" t="n">
        <f aca="false">+SUM(DATOS_[[#This Row],[C.Extra.01]:[C.Extra.05]])</f>
        <v>0</v>
      </c>
      <c r="CG25" s="139" t="n">
        <f aca="false">+DATOS_[[#This Row],[TOTAL SALARIO Ef]]+DATOS_[[#This Row],[Tot Extrasalarial Ef]]</f>
        <v>0</v>
      </c>
      <c r="CH25" s="140" t="n">
        <f aca="false">MIN(IF(DATOS_[[#This Row],[Fecha Fin Contrato]]="",$D$4,DATOS_[[#This Row],[Fecha Fin Contrato]]),$D$4)-MAX(DATOS_[[#This Row],[Fecha de Contratación]],$D$3)+1</f>
        <v>1</v>
      </c>
      <c r="CI25" s="141" t="str">
        <f aca="false">IF(COUNTIFS(DATOS_[id],DATOS_[[#This Row],[id]])&gt;1,DATOS_[[#This Row],[id]],"")</f>
        <v/>
      </c>
      <c r="CJ25" s="141" t="n">
        <f aca="false">(Inicio!$G$10-DATOS_[[#This Row],[Fecha Nacimiento]])/365.25</f>
        <v>0</v>
      </c>
      <c r="CK25" s="141" t="n">
        <f aca="false">(Inicio!$G$10-DATOS_[[#This Row],[Fecha de Antigüedad]])/365.25</f>
        <v>0</v>
      </c>
      <c r="CL25" s="141" t="e">
        <f aca="false">+VLOOKUP(DATOS_[[#This Row],[Clave de Contrato]],TblTiposContrato13[],3,0)</f>
        <v>#N/A</v>
      </c>
      <c r="CM25" s="141" t="e">
        <f aca="false">+VLOOKUP(DATOS_[[#This Row],[Clave de Contrato]],TblTiposContrato13[],4,0)</f>
        <v>#N/A</v>
      </c>
      <c r="CN25" s="141" t="str">
        <f aca="false">VLOOKUP(DATOS_[[#This Row],[Edad]],CONTRATOS!TblRngEdad,2,1)</f>
        <v>20  o menos</v>
      </c>
      <c r="CO25" s="141" t="str">
        <f aca="false">VLOOKUP(DATOS_[[#This Row],[Antigüedad]],TblRngAntg14[],2,1)</f>
        <v>0 a 1 años</v>
      </c>
    </row>
    <row r="26" customFormat="false" ht="13.8" hidden="false" customHeight="false" outlineLevel="0" collapsed="false">
      <c r="D26" s="128"/>
      <c r="E26" s="129"/>
      <c r="F26" s="129"/>
      <c r="G26" s="129"/>
      <c r="H26" s="130"/>
      <c r="I26" s="131"/>
      <c r="J26" s="128"/>
      <c r="K26" s="132"/>
      <c r="L26" s="132"/>
      <c r="M26" s="133"/>
      <c r="N26" s="133"/>
      <c r="O26" s="133"/>
      <c r="P26" s="129"/>
      <c r="Z26" s="75"/>
      <c r="AA26" s="76"/>
      <c r="AB26" s="76"/>
      <c r="AC26" s="129"/>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5"/>
      <c r="BN26" s="136" t="n">
        <f aca="false">+MAX($D$3,DATOS_[[#This Row],[Fecha Inicio Sit. Contract.]])</f>
        <v>0</v>
      </c>
      <c r="BO26" s="136" t="n">
        <f aca="false">+MIN($D$4,DATOS_[[#This Row],[Fecha Fin Sit. Contract.]])</f>
        <v>0</v>
      </c>
      <c r="BP26" s="137" t="n">
        <f aca="false">+DATOS_[[#This Row],[% de jornada]]*IF(DATOS_[[#This Row],[% jornada reducida]]="",1,DATOS_[[#This Row],[% jornada reducida]])</f>
        <v>0</v>
      </c>
      <c r="BQ26" s="137" t="n">
        <f aca="false">+(DATOS_[[#This Row],[F.fin.cal]]-DATOS_[[#This Row],[F.ini.cal]]+1)/($D$4-$D$3+1)</f>
        <v>1</v>
      </c>
      <c r="BR26" s="137" t="str">
        <f aca="false">IF(OR(AND(DATOS_[[#This Row],[Fecha Fin Contrato]]&lt;$D$3,DATOS_[[#This Row],[Fecha Fin Contrato]]&lt;&gt;""),DATOS_[[#This Row],[Fecha de Contratación]]&gt;$D$4),"Fuera","Dentro")</f>
        <v>Dentro</v>
      </c>
      <c r="BS26" s="137" t="str">
        <f aca="false" t="array" ref="BS26:BS26">IF(MAX(IF(DATOS_[id]=DATOS_[[#This Row],[id]],DATOS_[F.fin.cal]))=DATOS_[[#This Row],[F.fin.cal]],"Sí","NO")</f>
        <v>Sí</v>
      </c>
      <c r="BT26" s="137" t="str">
        <f aca="false">IF(AND(DATOS_[[#This Row],[% normaliz]]&lt;&gt;1,DATOS_[[#This Row],[% anualiz]]=1),"Sí","NO")</f>
        <v>Sí</v>
      </c>
      <c r="BU26" s="137" t="str">
        <f aca="false">IF(AND(DATOS_[[#This Row],[% normaliz]]=1,DATOS_[[#This Row],[% anualiz]]&lt;&gt;1),"Sí","NO")</f>
        <v>NO</v>
      </c>
      <c r="BV26" s="137" t="str">
        <f aca="false">IF(AND(DATOS_[[#This Row],[% normaliz]]&lt;&gt;1,DATOS_[[#This Row],[% anualiz]]&lt;&gt;1),"Sí","NO")</f>
        <v>NO</v>
      </c>
      <c r="BW26" s="137" t="str">
        <f aca="false">+IF(DATOS_[[#This Row],[% normaliz]]*DATOS_[[#This Row],[% anualiz]]=1,"NO","Sí")</f>
        <v>Sí</v>
      </c>
      <c r="BX26" s="138" t="e">
        <f aca="false">(DATOS_[[#This Row],[S.BASE]]*(1/DATOS_[[#This Row],[% normaliz]])*(1/DATOS_[[#This Row],[% anualiz]]))*IF(DATOS_[[#This Row],[Check Equiparado]]="Sí",1,0)</f>
        <v>#DIV/0!</v>
      </c>
      <c r="BY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 s="138" t="e">
        <f aca="false">+DATOS_[[#This Row],[SALARIO BASE Eq]]+DATOS_[[#This Row],[Tot COMPL.SAL Eq]]</f>
        <v>#DIV/0!</v>
      </c>
      <c r="CA26" s="138" t="e">
        <f aca="false" t="array" ref="CA26: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 s="138" t="e">
        <f aca="false">+DATOS_[[#This Row],[TOTAL SALARIO Eq]]+DATOS_[[#This Row],[Tot Extrasalarial Eq]]</f>
        <v>#DIV/0!</v>
      </c>
      <c r="CC26" s="139" t="n">
        <f aca="false">DATOS_[[#This Row],[S.BASE]]</f>
        <v>0</v>
      </c>
      <c r="CD26" s="139" t="n">
        <f aca="false">+SUM(DATOS_[[#This Row],[Conc.Sal.01]:[Conc.Sal.30]])</f>
        <v>0</v>
      </c>
      <c r="CE26" s="139" t="n">
        <f aca="false">+DATOS_[[#This Row],[SALARIO BASE Ef]]+DATOS_[[#This Row],[Tot COMPL.SAL Ef]]</f>
        <v>0</v>
      </c>
      <c r="CF26" s="139" t="n">
        <f aca="false">+SUM(DATOS_[[#This Row],[C.Extra.01]:[C.Extra.05]])</f>
        <v>0</v>
      </c>
      <c r="CG26" s="139" t="n">
        <f aca="false">+DATOS_[[#This Row],[TOTAL SALARIO Ef]]+DATOS_[[#This Row],[Tot Extrasalarial Ef]]</f>
        <v>0</v>
      </c>
      <c r="CH26" s="140" t="n">
        <f aca="false">MIN(IF(DATOS_[[#This Row],[Fecha Fin Contrato]]="",$D$4,DATOS_[[#This Row],[Fecha Fin Contrato]]),$D$4)-MAX(DATOS_[[#This Row],[Fecha de Contratación]],$D$3)+1</f>
        <v>1</v>
      </c>
      <c r="CI26" s="141" t="str">
        <f aca="false">IF(COUNTIFS(DATOS_[id],DATOS_[[#This Row],[id]])&gt;1,DATOS_[[#This Row],[id]],"")</f>
        <v/>
      </c>
      <c r="CJ26" s="141" t="n">
        <f aca="false">(Inicio!$G$10-DATOS_[[#This Row],[Fecha Nacimiento]])/365.25</f>
        <v>0</v>
      </c>
      <c r="CK26" s="141" t="n">
        <f aca="false">(Inicio!$G$10-DATOS_[[#This Row],[Fecha de Antigüedad]])/365.25</f>
        <v>0</v>
      </c>
      <c r="CL26" s="141" t="e">
        <f aca="false">+VLOOKUP(DATOS_[[#This Row],[Clave de Contrato]],TblTiposContrato13[],3,0)</f>
        <v>#N/A</v>
      </c>
      <c r="CM26" s="141" t="e">
        <f aca="false">+VLOOKUP(DATOS_[[#This Row],[Clave de Contrato]],TblTiposContrato13[],4,0)</f>
        <v>#N/A</v>
      </c>
      <c r="CN26" s="141" t="str">
        <f aca="false">VLOOKUP(DATOS_[[#This Row],[Edad]],CONTRATOS!TblRngEdad,2,1)</f>
        <v>20  o menos</v>
      </c>
      <c r="CO26" s="141" t="str">
        <f aca="false">VLOOKUP(DATOS_[[#This Row],[Antigüedad]],TblRngAntg14[],2,1)</f>
        <v>0 a 1 años</v>
      </c>
    </row>
    <row r="27" customFormat="false" ht="13.8" hidden="false" customHeight="false" outlineLevel="0" collapsed="false">
      <c r="D27" s="128"/>
      <c r="E27" s="129"/>
      <c r="F27" s="129"/>
      <c r="G27" s="129"/>
      <c r="H27" s="130"/>
      <c r="I27" s="131"/>
      <c r="J27" s="128"/>
      <c r="K27" s="132"/>
      <c r="L27" s="132"/>
      <c r="M27" s="133"/>
      <c r="N27" s="133"/>
      <c r="O27" s="133"/>
      <c r="P27" s="129"/>
      <c r="Z27" s="75"/>
      <c r="AA27" s="76"/>
      <c r="AB27" s="76"/>
      <c r="AC27" s="129"/>
      <c r="AD27" s="134"/>
      <c r="AE27" s="134"/>
      <c r="AF27" s="134"/>
      <c r="AG27" s="134"/>
      <c r="AH27" s="134"/>
      <c r="AI27" s="134"/>
      <c r="AJ27" s="134"/>
      <c r="AK27" s="134"/>
      <c r="AL27" s="134"/>
      <c r="AM27" s="134"/>
      <c r="AN27" s="134"/>
      <c r="AO27" s="134"/>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5"/>
      <c r="BN27" s="136" t="n">
        <f aca="false">+MAX($D$3,DATOS_[[#This Row],[Fecha Inicio Sit. Contract.]])</f>
        <v>0</v>
      </c>
      <c r="BO27" s="136" t="n">
        <f aca="false">+MIN($D$4,DATOS_[[#This Row],[Fecha Fin Sit. Contract.]])</f>
        <v>0</v>
      </c>
      <c r="BP27" s="137" t="n">
        <f aca="false">+DATOS_[[#This Row],[% de jornada]]*IF(DATOS_[[#This Row],[% jornada reducida]]="",1,DATOS_[[#This Row],[% jornada reducida]])</f>
        <v>0</v>
      </c>
      <c r="BQ27" s="137" t="n">
        <f aca="false">+(DATOS_[[#This Row],[F.fin.cal]]-DATOS_[[#This Row],[F.ini.cal]]+1)/($D$4-$D$3+1)</f>
        <v>1</v>
      </c>
      <c r="BR27" s="137" t="str">
        <f aca="false">IF(OR(AND(DATOS_[[#This Row],[Fecha Fin Contrato]]&lt;$D$3,DATOS_[[#This Row],[Fecha Fin Contrato]]&lt;&gt;""),DATOS_[[#This Row],[Fecha de Contratación]]&gt;$D$4),"Fuera","Dentro")</f>
        <v>Dentro</v>
      </c>
      <c r="BS27" s="137" t="str">
        <f aca="false" t="array" ref="BS27:BS27">IF(MAX(IF(DATOS_[id]=DATOS_[[#This Row],[id]],DATOS_[F.fin.cal]))=DATOS_[[#This Row],[F.fin.cal]],"Sí","NO")</f>
        <v>Sí</v>
      </c>
      <c r="BT27" s="137" t="str">
        <f aca="false">IF(AND(DATOS_[[#This Row],[% normaliz]]&lt;&gt;1,DATOS_[[#This Row],[% anualiz]]=1),"Sí","NO")</f>
        <v>Sí</v>
      </c>
      <c r="BU27" s="137" t="str">
        <f aca="false">IF(AND(DATOS_[[#This Row],[% normaliz]]=1,DATOS_[[#This Row],[% anualiz]]&lt;&gt;1),"Sí","NO")</f>
        <v>NO</v>
      </c>
      <c r="BV27" s="137" t="str">
        <f aca="false">IF(AND(DATOS_[[#This Row],[% normaliz]]&lt;&gt;1,DATOS_[[#This Row],[% anualiz]]&lt;&gt;1),"Sí","NO")</f>
        <v>NO</v>
      </c>
      <c r="BW27" s="137" t="str">
        <f aca="false">+IF(DATOS_[[#This Row],[% normaliz]]*DATOS_[[#This Row],[% anualiz]]=1,"NO","Sí")</f>
        <v>Sí</v>
      </c>
      <c r="BX27" s="138" t="e">
        <f aca="false">(DATOS_[[#This Row],[S.BASE]]*(1/DATOS_[[#This Row],[% normaliz]])*(1/DATOS_[[#This Row],[% anualiz]]))*IF(DATOS_[[#This Row],[Check Equiparado]]="Sí",1,0)</f>
        <v>#DIV/0!</v>
      </c>
      <c r="BY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 s="138" t="e">
        <f aca="false">+DATOS_[[#This Row],[SALARIO BASE Eq]]+DATOS_[[#This Row],[Tot COMPL.SAL Eq]]</f>
        <v>#DIV/0!</v>
      </c>
      <c r="CA27" s="138" t="e">
        <f aca="false" t="array" ref="CA27: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 s="138" t="e">
        <f aca="false">+DATOS_[[#This Row],[TOTAL SALARIO Eq]]+DATOS_[[#This Row],[Tot Extrasalarial Eq]]</f>
        <v>#DIV/0!</v>
      </c>
      <c r="CC27" s="139" t="n">
        <f aca="false">DATOS_[[#This Row],[S.BASE]]</f>
        <v>0</v>
      </c>
      <c r="CD27" s="139" t="n">
        <f aca="false">+SUM(DATOS_[[#This Row],[Conc.Sal.01]:[Conc.Sal.30]])</f>
        <v>0</v>
      </c>
      <c r="CE27" s="139" t="n">
        <f aca="false">+DATOS_[[#This Row],[SALARIO BASE Ef]]+DATOS_[[#This Row],[Tot COMPL.SAL Ef]]</f>
        <v>0</v>
      </c>
      <c r="CF27" s="139" t="n">
        <f aca="false">+SUM(DATOS_[[#This Row],[C.Extra.01]:[C.Extra.05]])</f>
        <v>0</v>
      </c>
      <c r="CG27" s="139" t="n">
        <f aca="false">+DATOS_[[#This Row],[TOTAL SALARIO Ef]]+DATOS_[[#This Row],[Tot Extrasalarial Ef]]</f>
        <v>0</v>
      </c>
      <c r="CH27" s="140" t="n">
        <f aca="false">MIN(IF(DATOS_[[#This Row],[Fecha Fin Contrato]]="",$D$4,DATOS_[[#This Row],[Fecha Fin Contrato]]),$D$4)-MAX(DATOS_[[#This Row],[Fecha de Contratación]],$D$3)+1</f>
        <v>1</v>
      </c>
      <c r="CI27" s="141" t="str">
        <f aca="false">IF(COUNTIFS(DATOS_[id],DATOS_[[#This Row],[id]])&gt;1,DATOS_[[#This Row],[id]],"")</f>
        <v/>
      </c>
      <c r="CJ27" s="141" t="n">
        <f aca="false">(Inicio!$G$10-DATOS_[[#This Row],[Fecha Nacimiento]])/365.25</f>
        <v>0</v>
      </c>
      <c r="CK27" s="141" t="n">
        <f aca="false">(Inicio!$G$10-DATOS_[[#This Row],[Fecha de Antigüedad]])/365.25</f>
        <v>0</v>
      </c>
      <c r="CL27" s="141" t="e">
        <f aca="false">+VLOOKUP(DATOS_[[#This Row],[Clave de Contrato]],TblTiposContrato13[],3,0)</f>
        <v>#N/A</v>
      </c>
      <c r="CM27" s="141" t="e">
        <f aca="false">+VLOOKUP(DATOS_[[#This Row],[Clave de Contrato]],TblTiposContrato13[],4,0)</f>
        <v>#N/A</v>
      </c>
      <c r="CN27" s="141" t="str">
        <f aca="false">VLOOKUP(DATOS_[[#This Row],[Edad]],CONTRATOS!TblRngEdad,2,1)</f>
        <v>20  o menos</v>
      </c>
      <c r="CO27" s="141" t="str">
        <f aca="false">VLOOKUP(DATOS_[[#This Row],[Antigüedad]],TblRngAntg14[],2,1)</f>
        <v>0 a 1 años</v>
      </c>
    </row>
    <row r="28" customFormat="false" ht="13.8" hidden="false" customHeight="false" outlineLevel="0" collapsed="false">
      <c r="D28" s="128"/>
      <c r="E28" s="129"/>
      <c r="F28" s="129"/>
      <c r="G28" s="129"/>
      <c r="H28" s="130"/>
      <c r="I28" s="131"/>
      <c r="J28" s="128"/>
      <c r="K28" s="132"/>
      <c r="L28" s="132"/>
      <c r="M28" s="133"/>
      <c r="N28" s="133"/>
      <c r="O28" s="133"/>
      <c r="P28" s="129"/>
      <c r="Z28" s="75"/>
      <c r="AA28" s="76"/>
      <c r="AB28" s="76"/>
      <c r="AC28" s="129"/>
      <c r="AD28" s="134"/>
      <c r="AE28" s="134"/>
      <c r="AF28" s="134"/>
      <c r="AG28" s="134"/>
      <c r="AH28" s="134"/>
      <c r="AI28" s="134"/>
      <c r="AJ28" s="134"/>
      <c r="AK28" s="134"/>
      <c r="AL28" s="134"/>
      <c r="AM28" s="134"/>
      <c r="AN28" s="134"/>
      <c r="AO28" s="134"/>
      <c r="AP28" s="134"/>
      <c r="AQ28" s="134"/>
      <c r="AR28" s="134"/>
      <c r="AS28" s="134"/>
      <c r="AT28" s="134"/>
      <c r="AU28" s="134"/>
      <c r="AV28" s="134"/>
      <c r="AW28" s="134"/>
      <c r="AX28" s="134"/>
      <c r="AY28" s="134"/>
      <c r="AZ28" s="134"/>
      <c r="BA28" s="134"/>
      <c r="BB28" s="134"/>
      <c r="BC28" s="134"/>
      <c r="BD28" s="134"/>
      <c r="BE28" s="134"/>
      <c r="BF28" s="134"/>
      <c r="BG28" s="134"/>
      <c r="BH28" s="134"/>
      <c r="BI28" s="134"/>
      <c r="BJ28" s="134"/>
      <c r="BK28" s="134"/>
      <c r="BL28" s="134"/>
      <c r="BM28" s="135"/>
      <c r="BN28" s="136" t="n">
        <f aca="false">+MAX($D$3,DATOS_[[#This Row],[Fecha Inicio Sit. Contract.]])</f>
        <v>0</v>
      </c>
      <c r="BO28" s="136" t="n">
        <f aca="false">+MIN($D$4,DATOS_[[#This Row],[Fecha Fin Sit. Contract.]])</f>
        <v>0</v>
      </c>
      <c r="BP28" s="137" t="n">
        <f aca="false">+DATOS_[[#This Row],[% de jornada]]*IF(DATOS_[[#This Row],[% jornada reducida]]="",1,DATOS_[[#This Row],[% jornada reducida]])</f>
        <v>0</v>
      </c>
      <c r="BQ28" s="137" t="n">
        <f aca="false">+(DATOS_[[#This Row],[F.fin.cal]]-DATOS_[[#This Row],[F.ini.cal]]+1)/($D$4-$D$3+1)</f>
        <v>1</v>
      </c>
      <c r="BR28" s="137" t="str">
        <f aca="false">IF(OR(AND(DATOS_[[#This Row],[Fecha Fin Contrato]]&lt;$D$3,DATOS_[[#This Row],[Fecha Fin Contrato]]&lt;&gt;""),DATOS_[[#This Row],[Fecha de Contratación]]&gt;$D$4),"Fuera","Dentro")</f>
        <v>Dentro</v>
      </c>
      <c r="BS28" s="137" t="str">
        <f aca="false" t="array" ref="BS28:BS28">IF(MAX(IF(DATOS_[id]=DATOS_[[#This Row],[id]],DATOS_[F.fin.cal]))=DATOS_[[#This Row],[F.fin.cal]],"Sí","NO")</f>
        <v>Sí</v>
      </c>
      <c r="BT28" s="137" t="str">
        <f aca="false">IF(AND(DATOS_[[#This Row],[% normaliz]]&lt;&gt;1,DATOS_[[#This Row],[% anualiz]]=1),"Sí","NO")</f>
        <v>Sí</v>
      </c>
      <c r="BU28" s="137" t="str">
        <f aca="false">IF(AND(DATOS_[[#This Row],[% normaliz]]=1,DATOS_[[#This Row],[% anualiz]]&lt;&gt;1),"Sí","NO")</f>
        <v>NO</v>
      </c>
      <c r="BV28" s="137" t="str">
        <f aca="false">IF(AND(DATOS_[[#This Row],[% normaliz]]&lt;&gt;1,DATOS_[[#This Row],[% anualiz]]&lt;&gt;1),"Sí","NO")</f>
        <v>NO</v>
      </c>
      <c r="BW28" s="137" t="str">
        <f aca="false">+IF(DATOS_[[#This Row],[% normaliz]]*DATOS_[[#This Row],[% anualiz]]=1,"NO","Sí")</f>
        <v>Sí</v>
      </c>
      <c r="BX28" s="138" t="e">
        <f aca="false">(DATOS_[[#This Row],[S.BASE]]*(1/DATOS_[[#This Row],[% normaliz]])*(1/DATOS_[[#This Row],[% anualiz]]))*IF(DATOS_[[#This Row],[Check Equiparado]]="Sí",1,0)</f>
        <v>#DIV/0!</v>
      </c>
      <c r="BY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 s="138" t="e">
        <f aca="false">+DATOS_[[#This Row],[SALARIO BASE Eq]]+DATOS_[[#This Row],[Tot COMPL.SAL Eq]]</f>
        <v>#DIV/0!</v>
      </c>
      <c r="CA28" s="138" t="e">
        <f aca="false" t="array" ref="CA28: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 s="138" t="e">
        <f aca="false">+DATOS_[[#This Row],[TOTAL SALARIO Eq]]+DATOS_[[#This Row],[Tot Extrasalarial Eq]]</f>
        <v>#DIV/0!</v>
      </c>
      <c r="CC28" s="139" t="n">
        <f aca="false">DATOS_[[#This Row],[S.BASE]]</f>
        <v>0</v>
      </c>
      <c r="CD28" s="139" t="n">
        <f aca="false">+SUM(DATOS_[[#This Row],[Conc.Sal.01]:[Conc.Sal.30]])</f>
        <v>0</v>
      </c>
      <c r="CE28" s="139" t="n">
        <f aca="false">+DATOS_[[#This Row],[SALARIO BASE Ef]]+DATOS_[[#This Row],[Tot COMPL.SAL Ef]]</f>
        <v>0</v>
      </c>
      <c r="CF28" s="139" t="n">
        <f aca="false">+SUM(DATOS_[[#This Row],[C.Extra.01]:[C.Extra.05]])</f>
        <v>0</v>
      </c>
      <c r="CG28" s="139" t="n">
        <f aca="false">+DATOS_[[#This Row],[TOTAL SALARIO Ef]]+DATOS_[[#This Row],[Tot Extrasalarial Ef]]</f>
        <v>0</v>
      </c>
      <c r="CH28" s="140" t="n">
        <f aca="false">MIN(IF(DATOS_[[#This Row],[Fecha Fin Contrato]]="",$D$4,DATOS_[[#This Row],[Fecha Fin Contrato]]),$D$4)-MAX(DATOS_[[#This Row],[Fecha de Contratación]],$D$3)+1</f>
        <v>1</v>
      </c>
      <c r="CI28" s="141" t="str">
        <f aca="false">IF(COUNTIFS(DATOS_[id],DATOS_[[#This Row],[id]])&gt;1,DATOS_[[#This Row],[id]],"")</f>
        <v/>
      </c>
      <c r="CJ28" s="141" t="n">
        <f aca="false">(Inicio!$G$10-DATOS_[[#This Row],[Fecha Nacimiento]])/365.25</f>
        <v>0</v>
      </c>
      <c r="CK28" s="141" t="n">
        <f aca="false">(Inicio!$G$10-DATOS_[[#This Row],[Fecha de Antigüedad]])/365.25</f>
        <v>0</v>
      </c>
      <c r="CL28" s="141" t="e">
        <f aca="false">+VLOOKUP(DATOS_[[#This Row],[Clave de Contrato]],TblTiposContrato13[],3,0)</f>
        <v>#N/A</v>
      </c>
      <c r="CM28" s="141" t="e">
        <f aca="false">+VLOOKUP(DATOS_[[#This Row],[Clave de Contrato]],TblTiposContrato13[],4,0)</f>
        <v>#N/A</v>
      </c>
      <c r="CN28" s="141" t="str">
        <f aca="false">VLOOKUP(DATOS_[[#This Row],[Edad]],CONTRATOS!TblRngEdad,2,1)</f>
        <v>20  o menos</v>
      </c>
      <c r="CO28" s="141" t="str">
        <f aca="false">VLOOKUP(DATOS_[[#This Row],[Antigüedad]],TblRngAntg14[],2,1)</f>
        <v>0 a 1 años</v>
      </c>
    </row>
    <row r="29" customFormat="false" ht="13.8" hidden="false" customHeight="false" outlineLevel="0" collapsed="false">
      <c r="D29" s="128"/>
      <c r="E29" s="129"/>
      <c r="F29" s="129"/>
      <c r="G29" s="129"/>
      <c r="H29" s="130"/>
      <c r="I29" s="131"/>
      <c r="J29" s="128"/>
      <c r="K29" s="132"/>
      <c r="L29" s="132"/>
      <c r="M29" s="133"/>
      <c r="N29" s="133"/>
      <c r="O29" s="133"/>
      <c r="P29" s="129"/>
      <c r="Z29" s="75"/>
      <c r="AA29" s="76"/>
      <c r="AB29" s="76"/>
      <c r="AC29" s="129"/>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5"/>
      <c r="BN29" s="136" t="n">
        <f aca="false">+MAX($D$3,DATOS_[[#This Row],[Fecha Inicio Sit. Contract.]])</f>
        <v>0</v>
      </c>
      <c r="BO29" s="136" t="n">
        <f aca="false">+MIN($D$4,DATOS_[[#This Row],[Fecha Fin Sit. Contract.]])</f>
        <v>0</v>
      </c>
      <c r="BP29" s="137" t="n">
        <f aca="false">+DATOS_[[#This Row],[% de jornada]]*IF(DATOS_[[#This Row],[% jornada reducida]]="",1,DATOS_[[#This Row],[% jornada reducida]])</f>
        <v>0</v>
      </c>
      <c r="BQ29" s="137" t="n">
        <f aca="false">+(DATOS_[[#This Row],[F.fin.cal]]-DATOS_[[#This Row],[F.ini.cal]]+1)/($D$4-$D$3+1)</f>
        <v>1</v>
      </c>
      <c r="BR29" s="137" t="str">
        <f aca="false">IF(OR(AND(DATOS_[[#This Row],[Fecha Fin Contrato]]&lt;$D$3,DATOS_[[#This Row],[Fecha Fin Contrato]]&lt;&gt;""),DATOS_[[#This Row],[Fecha de Contratación]]&gt;$D$4),"Fuera","Dentro")</f>
        <v>Dentro</v>
      </c>
      <c r="BS29" s="137" t="str">
        <f aca="false" t="array" ref="BS29:BS29">IF(MAX(IF(DATOS_[id]=DATOS_[[#This Row],[id]],DATOS_[F.fin.cal]))=DATOS_[[#This Row],[F.fin.cal]],"Sí","NO")</f>
        <v>Sí</v>
      </c>
      <c r="BT29" s="137" t="str">
        <f aca="false">IF(AND(DATOS_[[#This Row],[% normaliz]]&lt;&gt;1,DATOS_[[#This Row],[% anualiz]]=1),"Sí","NO")</f>
        <v>Sí</v>
      </c>
      <c r="BU29" s="137" t="str">
        <f aca="false">IF(AND(DATOS_[[#This Row],[% normaliz]]=1,DATOS_[[#This Row],[% anualiz]]&lt;&gt;1),"Sí","NO")</f>
        <v>NO</v>
      </c>
      <c r="BV29" s="137" t="str">
        <f aca="false">IF(AND(DATOS_[[#This Row],[% normaliz]]&lt;&gt;1,DATOS_[[#This Row],[% anualiz]]&lt;&gt;1),"Sí","NO")</f>
        <v>NO</v>
      </c>
      <c r="BW29" s="137" t="str">
        <f aca="false">+IF(DATOS_[[#This Row],[% normaliz]]*DATOS_[[#This Row],[% anualiz]]=1,"NO","Sí")</f>
        <v>Sí</v>
      </c>
      <c r="BX29" s="138" t="e">
        <f aca="false">(DATOS_[[#This Row],[S.BASE]]*(1/DATOS_[[#This Row],[% normaliz]])*(1/DATOS_[[#This Row],[% anualiz]]))*IF(DATOS_[[#This Row],[Check Equiparado]]="Sí",1,0)</f>
        <v>#DIV/0!</v>
      </c>
      <c r="BY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 s="138" t="e">
        <f aca="false">+DATOS_[[#This Row],[SALARIO BASE Eq]]+DATOS_[[#This Row],[Tot COMPL.SAL Eq]]</f>
        <v>#DIV/0!</v>
      </c>
      <c r="CA29" s="138" t="e">
        <f aca="false" t="array" ref="CA29: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 s="138" t="e">
        <f aca="false">+DATOS_[[#This Row],[TOTAL SALARIO Eq]]+DATOS_[[#This Row],[Tot Extrasalarial Eq]]</f>
        <v>#DIV/0!</v>
      </c>
      <c r="CC29" s="139" t="n">
        <f aca="false">DATOS_[[#This Row],[S.BASE]]</f>
        <v>0</v>
      </c>
      <c r="CD29" s="139" t="n">
        <f aca="false">+SUM(DATOS_[[#This Row],[Conc.Sal.01]:[Conc.Sal.30]])</f>
        <v>0</v>
      </c>
      <c r="CE29" s="139" t="n">
        <f aca="false">+DATOS_[[#This Row],[SALARIO BASE Ef]]+DATOS_[[#This Row],[Tot COMPL.SAL Ef]]</f>
        <v>0</v>
      </c>
      <c r="CF29" s="139" t="n">
        <f aca="false">+SUM(DATOS_[[#This Row],[C.Extra.01]:[C.Extra.05]])</f>
        <v>0</v>
      </c>
      <c r="CG29" s="139" t="n">
        <f aca="false">+DATOS_[[#This Row],[TOTAL SALARIO Ef]]+DATOS_[[#This Row],[Tot Extrasalarial Ef]]</f>
        <v>0</v>
      </c>
      <c r="CH29" s="140" t="n">
        <f aca="false">MIN(IF(DATOS_[[#This Row],[Fecha Fin Contrato]]="",$D$4,DATOS_[[#This Row],[Fecha Fin Contrato]]),$D$4)-MAX(DATOS_[[#This Row],[Fecha de Contratación]],$D$3)+1</f>
        <v>1</v>
      </c>
      <c r="CI29" s="141" t="str">
        <f aca="false">IF(COUNTIFS(DATOS_[id],DATOS_[[#This Row],[id]])&gt;1,DATOS_[[#This Row],[id]],"")</f>
        <v/>
      </c>
      <c r="CJ29" s="141" t="n">
        <f aca="false">(Inicio!$G$10-DATOS_[[#This Row],[Fecha Nacimiento]])/365.25</f>
        <v>0</v>
      </c>
      <c r="CK29" s="141" t="n">
        <f aca="false">(Inicio!$G$10-DATOS_[[#This Row],[Fecha de Antigüedad]])/365.25</f>
        <v>0</v>
      </c>
      <c r="CL29" s="141" t="e">
        <f aca="false">+VLOOKUP(DATOS_[[#This Row],[Clave de Contrato]],TblTiposContrato13[],3,0)</f>
        <v>#N/A</v>
      </c>
      <c r="CM29" s="141" t="e">
        <f aca="false">+VLOOKUP(DATOS_[[#This Row],[Clave de Contrato]],TblTiposContrato13[],4,0)</f>
        <v>#N/A</v>
      </c>
      <c r="CN29" s="141" t="str">
        <f aca="false">VLOOKUP(DATOS_[[#This Row],[Edad]],CONTRATOS!TblRngEdad,2,1)</f>
        <v>20  o menos</v>
      </c>
      <c r="CO29" s="141" t="str">
        <f aca="false">VLOOKUP(DATOS_[[#This Row],[Antigüedad]],TblRngAntg14[],2,1)</f>
        <v>0 a 1 años</v>
      </c>
    </row>
    <row r="30" customFormat="false" ht="13.8" hidden="false" customHeight="false" outlineLevel="0" collapsed="false">
      <c r="D30" s="128"/>
      <c r="E30" s="129"/>
      <c r="F30" s="129"/>
      <c r="G30" s="129"/>
      <c r="H30" s="130"/>
      <c r="I30" s="131"/>
      <c r="J30" s="128"/>
      <c r="K30" s="132"/>
      <c r="L30" s="132"/>
      <c r="M30" s="133"/>
      <c r="N30" s="133"/>
      <c r="O30" s="133"/>
      <c r="P30" s="129"/>
      <c r="Z30" s="75"/>
      <c r="AA30" s="76"/>
      <c r="AB30" s="76"/>
      <c r="AC30" s="129"/>
      <c r="AD30" s="134"/>
      <c r="AE30" s="134"/>
      <c r="AF30" s="134"/>
      <c r="AG30" s="134"/>
      <c r="AH30" s="134"/>
      <c r="AI30" s="134"/>
      <c r="AJ30" s="134"/>
      <c r="AK30" s="134"/>
      <c r="AL30" s="134"/>
      <c r="AM30" s="134"/>
      <c r="AN30" s="134"/>
      <c r="AO30" s="134"/>
      <c r="AP30" s="134"/>
      <c r="AQ30" s="134"/>
      <c r="AR30" s="134"/>
      <c r="AS30" s="134"/>
      <c r="AT30" s="134"/>
      <c r="AU30" s="134"/>
      <c r="AV30" s="134"/>
      <c r="AW30" s="134"/>
      <c r="AX30" s="134"/>
      <c r="AY30" s="134"/>
      <c r="AZ30" s="134"/>
      <c r="BA30" s="134"/>
      <c r="BB30" s="134"/>
      <c r="BC30" s="134"/>
      <c r="BD30" s="134"/>
      <c r="BE30" s="134"/>
      <c r="BF30" s="134"/>
      <c r="BG30" s="134"/>
      <c r="BH30" s="134"/>
      <c r="BI30" s="134"/>
      <c r="BJ30" s="134"/>
      <c r="BK30" s="134"/>
      <c r="BL30" s="134"/>
      <c r="BM30" s="135"/>
      <c r="BN30" s="136" t="n">
        <f aca="false">+MAX($D$3,DATOS_[[#This Row],[Fecha Inicio Sit. Contract.]])</f>
        <v>0</v>
      </c>
      <c r="BO30" s="136" t="n">
        <f aca="false">+MIN($D$4,DATOS_[[#This Row],[Fecha Fin Sit. Contract.]])</f>
        <v>0</v>
      </c>
      <c r="BP30" s="137" t="n">
        <f aca="false">+DATOS_[[#This Row],[% de jornada]]*IF(DATOS_[[#This Row],[% jornada reducida]]="",1,DATOS_[[#This Row],[% jornada reducida]])</f>
        <v>0</v>
      </c>
      <c r="BQ30" s="137" t="n">
        <f aca="false">+(DATOS_[[#This Row],[F.fin.cal]]-DATOS_[[#This Row],[F.ini.cal]]+1)/($D$4-$D$3+1)</f>
        <v>1</v>
      </c>
      <c r="BR30" s="137" t="str">
        <f aca="false">IF(OR(AND(DATOS_[[#This Row],[Fecha Fin Contrato]]&lt;$D$3,DATOS_[[#This Row],[Fecha Fin Contrato]]&lt;&gt;""),DATOS_[[#This Row],[Fecha de Contratación]]&gt;$D$4),"Fuera","Dentro")</f>
        <v>Dentro</v>
      </c>
      <c r="BS30" s="137" t="str">
        <f aca="false" t="array" ref="BS30:BS30">IF(MAX(IF(DATOS_[id]=DATOS_[[#This Row],[id]],DATOS_[F.fin.cal]))=DATOS_[[#This Row],[F.fin.cal]],"Sí","NO")</f>
        <v>Sí</v>
      </c>
      <c r="BT30" s="137" t="str">
        <f aca="false">IF(AND(DATOS_[[#This Row],[% normaliz]]&lt;&gt;1,DATOS_[[#This Row],[% anualiz]]=1),"Sí","NO")</f>
        <v>Sí</v>
      </c>
      <c r="BU30" s="137" t="str">
        <f aca="false">IF(AND(DATOS_[[#This Row],[% normaliz]]=1,DATOS_[[#This Row],[% anualiz]]&lt;&gt;1),"Sí","NO")</f>
        <v>NO</v>
      </c>
      <c r="BV30" s="137" t="str">
        <f aca="false">IF(AND(DATOS_[[#This Row],[% normaliz]]&lt;&gt;1,DATOS_[[#This Row],[% anualiz]]&lt;&gt;1),"Sí","NO")</f>
        <v>NO</v>
      </c>
      <c r="BW30" s="137" t="str">
        <f aca="false">+IF(DATOS_[[#This Row],[% normaliz]]*DATOS_[[#This Row],[% anualiz]]=1,"NO","Sí")</f>
        <v>Sí</v>
      </c>
      <c r="BX30" s="138" t="e">
        <f aca="false">(DATOS_[[#This Row],[S.BASE]]*(1/DATOS_[[#This Row],[% normaliz]])*(1/DATOS_[[#This Row],[% anualiz]]))*IF(DATOS_[[#This Row],[Check Equiparado]]="Sí",1,0)</f>
        <v>#DIV/0!</v>
      </c>
      <c r="BY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 s="138" t="e">
        <f aca="false">+DATOS_[[#This Row],[SALARIO BASE Eq]]+DATOS_[[#This Row],[Tot COMPL.SAL Eq]]</f>
        <v>#DIV/0!</v>
      </c>
      <c r="CA30" s="138" t="e">
        <f aca="false" t="array" ref="CA30: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 s="138" t="e">
        <f aca="false">+DATOS_[[#This Row],[TOTAL SALARIO Eq]]+DATOS_[[#This Row],[Tot Extrasalarial Eq]]</f>
        <v>#DIV/0!</v>
      </c>
      <c r="CC30" s="139" t="n">
        <f aca="false">DATOS_[[#This Row],[S.BASE]]</f>
        <v>0</v>
      </c>
      <c r="CD30" s="139" t="n">
        <f aca="false">+SUM(DATOS_[[#This Row],[Conc.Sal.01]:[Conc.Sal.30]])</f>
        <v>0</v>
      </c>
      <c r="CE30" s="139" t="n">
        <f aca="false">+DATOS_[[#This Row],[SALARIO BASE Ef]]+DATOS_[[#This Row],[Tot COMPL.SAL Ef]]</f>
        <v>0</v>
      </c>
      <c r="CF30" s="139" t="n">
        <f aca="false">+SUM(DATOS_[[#This Row],[C.Extra.01]:[C.Extra.05]])</f>
        <v>0</v>
      </c>
      <c r="CG30" s="139" t="n">
        <f aca="false">+DATOS_[[#This Row],[TOTAL SALARIO Ef]]+DATOS_[[#This Row],[Tot Extrasalarial Ef]]</f>
        <v>0</v>
      </c>
      <c r="CH30" s="140" t="n">
        <f aca="false">MIN(IF(DATOS_[[#This Row],[Fecha Fin Contrato]]="",$D$4,DATOS_[[#This Row],[Fecha Fin Contrato]]),$D$4)-MAX(DATOS_[[#This Row],[Fecha de Contratación]],$D$3)+1</f>
        <v>1</v>
      </c>
      <c r="CI30" s="141" t="str">
        <f aca="false">IF(COUNTIFS(DATOS_[id],DATOS_[[#This Row],[id]])&gt;1,DATOS_[[#This Row],[id]],"")</f>
        <v/>
      </c>
      <c r="CJ30" s="141" t="n">
        <f aca="false">(Inicio!$G$10-DATOS_[[#This Row],[Fecha Nacimiento]])/365.25</f>
        <v>0</v>
      </c>
      <c r="CK30" s="141" t="n">
        <f aca="false">(Inicio!$G$10-DATOS_[[#This Row],[Fecha de Antigüedad]])/365.25</f>
        <v>0</v>
      </c>
      <c r="CL30" s="141" t="e">
        <f aca="false">+VLOOKUP(DATOS_[[#This Row],[Clave de Contrato]],TblTiposContrato13[],3,0)</f>
        <v>#N/A</v>
      </c>
      <c r="CM30" s="141" t="e">
        <f aca="false">+VLOOKUP(DATOS_[[#This Row],[Clave de Contrato]],TblTiposContrato13[],4,0)</f>
        <v>#N/A</v>
      </c>
      <c r="CN30" s="141" t="str">
        <f aca="false">VLOOKUP(DATOS_[[#This Row],[Edad]],CONTRATOS!TblRngEdad,2,1)</f>
        <v>20  o menos</v>
      </c>
      <c r="CO30" s="141" t="str">
        <f aca="false">VLOOKUP(DATOS_[[#This Row],[Antigüedad]],TblRngAntg14[],2,1)</f>
        <v>0 a 1 años</v>
      </c>
    </row>
    <row r="31" customFormat="false" ht="13.8" hidden="false" customHeight="false" outlineLevel="0" collapsed="false">
      <c r="D31" s="128"/>
      <c r="E31" s="129"/>
      <c r="F31" s="129"/>
      <c r="G31" s="129"/>
      <c r="H31" s="130"/>
      <c r="I31" s="131"/>
      <c r="J31" s="128"/>
      <c r="K31" s="132"/>
      <c r="L31" s="132"/>
      <c r="M31" s="133"/>
      <c r="N31" s="133"/>
      <c r="O31" s="133"/>
      <c r="P31" s="129"/>
      <c r="Z31" s="75"/>
      <c r="AA31" s="76"/>
      <c r="AB31" s="76"/>
      <c r="AC31" s="129"/>
      <c r="AD31" s="134"/>
      <c r="AE31" s="134"/>
      <c r="AF31" s="134"/>
      <c r="AG31" s="134"/>
      <c r="AH31" s="134"/>
      <c r="AI31" s="134"/>
      <c r="AJ31" s="134"/>
      <c r="AK31" s="134"/>
      <c r="AL31" s="134"/>
      <c r="AM31" s="134"/>
      <c r="AN31" s="134"/>
      <c r="AO31" s="134"/>
      <c r="AP31" s="134"/>
      <c r="AQ31" s="134"/>
      <c r="AR31" s="134"/>
      <c r="AS31" s="134"/>
      <c r="AT31" s="134"/>
      <c r="AU31" s="134"/>
      <c r="AV31" s="134"/>
      <c r="AW31" s="134"/>
      <c r="AX31" s="134"/>
      <c r="AY31" s="134"/>
      <c r="AZ31" s="134"/>
      <c r="BA31" s="134"/>
      <c r="BB31" s="134"/>
      <c r="BC31" s="134"/>
      <c r="BD31" s="134"/>
      <c r="BE31" s="134"/>
      <c r="BF31" s="134"/>
      <c r="BG31" s="134"/>
      <c r="BH31" s="134"/>
      <c r="BI31" s="134"/>
      <c r="BJ31" s="134"/>
      <c r="BK31" s="134"/>
      <c r="BL31" s="134"/>
      <c r="BM31" s="135"/>
      <c r="BN31" s="136" t="n">
        <f aca="false">+MAX($D$3,DATOS_[[#This Row],[Fecha Inicio Sit. Contract.]])</f>
        <v>0</v>
      </c>
      <c r="BO31" s="136" t="n">
        <f aca="false">+MIN($D$4,DATOS_[[#This Row],[Fecha Fin Sit. Contract.]])</f>
        <v>0</v>
      </c>
      <c r="BP31" s="137" t="n">
        <f aca="false">+DATOS_[[#This Row],[% de jornada]]*IF(DATOS_[[#This Row],[% jornada reducida]]="",1,DATOS_[[#This Row],[% jornada reducida]])</f>
        <v>0</v>
      </c>
      <c r="BQ31" s="137" t="n">
        <f aca="false">+(DATOS_[[#This Row],[F.fin.cal]]-DATOS_[[#This Row],[F.ini.cal]]+1)/($D$4-$D$3+1)</f>
        <v>1</v>
      </c>
      <c r="BR31" s="137" t="str">
        <f aca="false">IF(OR(AND(DATOS_[[#This Row],[Fecha Fin Contrato]]&lt;$D$3,DATOS_[[#This Row],[Fecha Fin Contrato]]&lt;&gt;""),DATOS_[[#This Row],[Fecha de Contratación]]&gt;$D$4),"Fuera","Dentro")</f>
        <v>Dentro</v>
      </c>
      <c r="BS31" s="137" t="str">
        <f aca="false" t="array" ref="BS31:BS31">IF(MAX(IF(DATOS_[id]=DATOS_[[#This Row],[id]],DATOS_[F.fin.cal]))=DATOS_[[#This Row],[F.fin.cal]],"Sí","NO")</f>
        <v>Sí</v>
      </c>
      <c r="BT31" s="137" t="str">
        <f aca="false">IF(AND(DATOS_[[#This Row],[% normaliz]]&lt;&gt;1,DATOS_[[#This Row],[% anualiz]]=1),"Sí","NO")</f>
        <v>Sí</v>
      </c>
      <c r="BU31" s="137" t="str">
        <f aca="false">IF(AND(DATOS_[[#This Row],[% normaliz]]=1,DATOS_[[#This Row],[% anualiz]]&lt;&gt;1),"Sí","NO")</f>
        <v>NO</v>
      </c>
      <c r="BV31" s="137" t="str">
        <f aca="false">IF(AND(DATOS_[[#This Row],[% normaliz]]&lt;&gt;1,DATOS_[[#This Row],[% anualiz]]&lt;&gt;1),"Sí","NO")</f>
        <v>NO</v>
      </c>
      <c r="BW31" s="137" t="str">
        <f aca="false">+IF(DATOS_[[#This Row],[% normaliz]]*DATOS_[[#This Row],[% anualiz]]=1,"NO","Sí")</f>
        <v>Sí</v>
      </c>
      <c r="BX31" s="138" t="e">
        <f aca="false">(DATOS_[[#This Row],[S.BASE]]*(1/DATOS_[[#This Row],[% normaliz]])*(1/DATOS_[[#This Row],[% anualiz]]))*IF(DATOS_[[#This Row],[Check Equiparado]]="Sí",1,0)</f>
        <v>#DIV/0!</v>
      </c>
      <c r="BY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 s="138" t="e">
        <f aca="false">+DATOS_[[#This Row],[SALARIO BASE Eq]]+DATOS_[[#This Row],[Tot COMPL.SAL Eq]]</f>
        <v>#DIV/0!</v>
      </c>
      <c r="CA31" s="138" t="e">
        <f aca="false" t="array" ref="CA31: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 s="138" t="e">
        <f aca="false">+DATOS_[[#This Row],[TOTAL SALARIO Eq]]+DATOS_[[#This Row],[Tot Extrasalarial Eq]]</f>
        <v>#DIV/0!</v>
      </c>
      <c r="CC31" s="139" t="n">
        <f aca="false">DATOS_[[#This Row],[S.BASE]]</f>
        <v>0</v>
      </c>
      <c r="CD31" s="139" t="n">
        <f aca="false">+SUM(DATOS_[[#This Row],[Conc.Sal.01]:[Conc.Sal.30]])</f>
        <v>0</v>
      </c>
      <c r="CE31" s="139" t="n">
        <f aca="false">+DATOS_[[#This Row],[SALARIO BASE Ef]]+DATOS_[[#This Row],[Tot COMPL.SAL Ef]]</f>
        <v>0</v>
      </c>
      <c r="CF31" s="139" t="n">
        <f aca="false">+SUM(DATOS_[[#This Row],[C.Extra.01]:[C.Extra.05]])</f>
        <v>0</v>
      </c>
      <c r="CG31" s="139" t="n">
        <f aca="false">+DATOS_[[#This Row],[TOTAL SALARIO Ef]]+DATOS_[[#This Row],[Tot Extrasalarial Ef]]</f>
        <v>0</v>
      </c>
      <c r="CH31" s="140" t="n">
        <f aca="false">MIN(IF(DATOS_[[#This Row],[Fecha Fin Contrato]]="",$D$4,DATOS_[[#This Row],[Fecha Fin Contrato]]),$D$4)-MAX(DATOS_[[#This Row],[Fecha de Contratación]],$D$3)+1</f>
        <v>1</v>
      </c>
      <c r="CI31" s="141" t="str">
        <f aca="false">IF(COUNTIFS(DATOS_[id],DATOS_[[#This Row],[id]])&gt;1,DATOS_[[#This Row],[id]],"")</f>
        <v/>
      </c>
      <c r="CJ31" s="141" t="n">
        <f aca="false">(Inicio!$G$10-DATOS_[[#This Row],[Fecha Nacimiento]])/365.25</f>
        <v>0</v>
      </c>
      <c r="CK31" s="141" t="n">
        <f aca="false">(Inicio!$G$10-DATOS_[[#This Row],[Fecha de Antigüedad]])/365.25</f>
        <v>0</v>
      </c>
      <c r="CL31" s="141" t="e">
        <f aca="false">+VLOOKUP(DATOS_[[#This Row],[Clave de Contrato]],TblTiposContrato13[],3,0)</f>
        <v>#N/A</v>
      </c>
      <c r="CM31" s="141" t="e">
        <f aca="false">+VLOOKUP(DATOS_[[#This Row],[Clave de Contrato]],TblTiposContrato13[],4,0)</f>
        <v>#N/A</v>
      </c>
      <c r="CN31" s="141" t="str">
        <f aca="false">VLOOKUP(DATOS_[[#This Row],[Edad]],CONTRATOS!TblRngEdad,2,1)</f>
        <v>20  o menos</v>
      </c>
      <c r="CO31" s="141" t="str">
        <f aca="false">VLOOKUP(DATOS_[[#This Row],[Antigüedad]],TblRngAntg14[],2,1)</f>
        <v>0 a 1 años</v>
      </c>
    </row>
    <row r="32" customFormat="false" ht="13.8" hidden="false" customHeight="false" outlineLevel="0" collapsed="false">
      <c r="D32" s="128"/>
      <c r="E32" s="129"/>
      <c r="F32" s="129"/>
      <c r="G32" s="129"/>
      <c r="H32" s="130"/>
      <c r="I32" s="131"/>
      <c r="J32" s="128"/>
      <c r="K32" s="132"/>
      <c r="L32" s="132"/>
      <c r="M32" s="133"/>
      <c r="N32" s="133"/>
      <c r="O32" s="133"/>
      <c r="P32" s="129"/>
      <c r="Z32" s="75"/>
      <c r="AA32" s="76"/>
      <c r="AB32" s="76"/>
      <c r="AC32" s="129"/>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5"/>
      <c r="BN32" s="136" t="n">
        <f aca="false">+MAX($D$3,DATOS_[[#This Row],[Fecha Inicio Sit. Contract.]])</f>
        <v>0</v>
      </c>
      <c r="BO32" s="136" t="n">
        <f aca="false">+MIN($D$4,DATOS_[[#This Row],[Fecha Fin Sit. Contract.]])</f>
        <v>0</v>
      </c>
      <c r="BP32" s="137" t="n">
        <f aca="false">+DATOS_[[#This Row],[% de jornada]]*IF(DATOS_[[#This Row],[% jornada reducida]]="",1,DATOS_[[#This Row],[% jornada reducida]])</f>
        <v>0</v>
      </c>
      <c r="BQ32" s="137" t="n">
        <f aca="false">+(DATOS_[[#This Row],[F.fin.cal]]-DATOS_[[#This Row],[F.ini.cal]]+1)/($D$4-$D$3+1)</f>
        <v>1</v>
      </c>
      <c r="BR32" s="137" t="str">
        <f aca="false">IF(OR(AND(DATOS_[[#This Row],[Fecha Fin Contrato]]&lt;$D$3,DATOS_[[#This Row],[Fecha Fin Contrato]]&lt;&gt;""),DATOS_[[#This Row],[Fecha de Contratación]]&gt;$D$4),"Fuera","Dentro")</f>
        <v>Dentro</v>
      </c>
      <c r="BS32" s="137" t="str">
        <f aca="false" t="array" ref="BS32:BS32">IF(MAX(IF(DATOS_[id]=DATOS_[[#This Row],[id]],DATOS_[F.fin.cal]))=DATOS_[[#This Row],[F.fin.cal]],"Sí","NO")</f>
        <v>Sí</v>
      </c>
      <c r="BT32" s="137" t="str">
        <f aca="false">IF(AND(DATOS_[[#This Row],[% normaliz]]&lt;&gt;1,DATOS_[[#This Row],[% anualiz]]=1),"Sí","NO")</f>
        <v>Sí</v>
      </c>
      <c r="BU32" s="137" t="str">
        <f aca="false">IF(AND(DATOS_[[#This Row],[% normaliz]]=1,DATOS_[[#This Row],[% anualiz]]&lt;&gt;1),"Sí","NO")</f>
        <v>NO</v>
      </c>
      <c r="BV32" s="137" t="str">
        <f aca="false">IF(AND(DATOS_[[#This Row],[% normaliz]]&lt;&gt;1,DATOS_[[#This Row],[% anualiz]]&lt;&gt;1),"Sí","NO")</f>
        <v>NO</v>
      </c>
      <c r="BW32" s="137" t="str">
        <f aca="false">+IF(DATOS_[[#This Row],[% normaliz]]*DATOS_[[#This Row],[% anualiz]]=1,"NO","Sí")</f>
        <v>Sí</v>
      </c>
      <c r="BX32" s="138" t="e">
        <f aca="false">(DATOS_[[#This Row],[S.BASE]]*(1/DATOS_[[#This Row],[% normaliz]])*(1/DATOS_[[#This Row],[% anualiz]]))*IF(DATOS_[[#This Row],[Check Equiparado]]="Sí",1,0)</f>
        <v>#DIV/0!</v>
      </c>
      <c r="BY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 s="138" t="e">
        <f aca="false">+DATOS_[[#This Row],[SALARIO BASE Eq]]+DATOS_[[#This Row],[Tot COMPL.SAL Eq]]</f>
        <v>#DIV/0!</v>
      </c>
      <c r="CA32" s="138" t="e">
        <f aca="false" t="array" ref="CA32: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 s="138" t="e">
        <f aca="false">+DATOS_[[#This Row],[TOTAL SALARIO Eq]]+DATOS_[[#This Row],[Tot Extrasalarial Eq]]</f>
        <v>#DIV/0!</v>
      </c>
      <c r="CC32" s="139" t="n">
        <f aca="false">DATOS_[[#This Row],[S.BASE]]</f>
        <v>0</v>
      </c>
      <c r="CD32" s="139" t="n">
        <f aca="false">+SUM(DATOS_[[#This Row],[Conc.Sal.01]:[Conc.Sal.30]])</f>
        <v>0</v>
      </c>
      <c r="CE32" s="139" t="n">
        <f aca="false">+DATOS_[[#This Row],[SALARIO BASE Ef]]+DATOS_[[#This Row],[Tot COMPL.SAL Ef]]</f>
        <v>0</v>
      </c>
      <c r="CF32" s="139" t="n">
        <f aca="false">+SUM(DATOS_[[#This Row],[C.Extra.01]:[C.Extra.05]])</f>
        <v>0</v>
      </c>
      <c r="CG32" s="139" t="n">
        <f aca="false">+DATOS_[[#This Row],[TOTAL SALARIO Ef]]+DATOS_[[#This Row],[Tot Extrasalarial Ef]]</f>
        <v>0</v>
      </c>
      <c r="CH32" s="140" t="n">
        <f aca="false">MIN(IF(DATOS_[[#This Row],[Fecha Fin Contrato]]="",$D$4,DATOS_[[#This Row],[Fecha Fin Contrato]]),$D$4)-MAX(DATOS_[[#This Row],[Fecha de Contratación]],$D$3)+1</f>
        <v>1</v>
      </c>
      <c r="CI32" s="141" t="str">
        <f aca="false">IF(COUNTIFS(DATOS_[id],DATOS_[[#This Row],[id]])&gt;1,DATOS_[[#This Row],[id]],"")</f>
        <v/>
      </c>
      <c r="CJ32" s="141" t="n">
        <f aca="false">(Inicio!$G$10-DATOS_[[#This Row],[Fecha Nacimiento]])/365.25</f>
        <v>0</v>
      </c>
      <c r="CK32" s="141" t="n">
        <f aca="false">(Inicio!$G$10-DATOS_[[#This Row],[Fecha de Antigüedad]])/365.25</f>
        <v>0</v>
      </c>
      <c r="CL32" s="141" t="e">
        <f aca="false">+VLOOKUP(DATOS_[[#This Row],[Clave de Contrato]],TblTiposContrato13[],3,0)</f>
        <v>#N/A</v>
      </c>
      <c r="CM32" s="141" t="e">
        <f aca="false">+VLOOKUP(DATOS_[[#This Row],[Clave de Contrato]],TblTiposContrato13[],4,0)</f>
        <v>#N/A</v>
      </c>
      <c r="CN32" s="141" t="str">
        <f aca="false">VLOOKUP(DATOS_[[#This Row],[Edad]],CONTRATOS!TblRngEdad,2,1)</f>
        <v>20  o menos</v>
      </c>
      <c r="CO32" s="141" t="str">
        <f aca="false">VLOOKUP(DATOS_[[#This Row],[Antigüedad]],TblRngAntg14[],2,1)</f>
        <v>0 a 1 años</v>
      </c>
    </row>
    <row r="33" customFormat="false" ht="13.8" hidden="false" customHeight="false" outlineLevel="0" collapsed="false">
      <c r="D33" s="128"/>
      <c r="E33" s="129"/>
      <c r="F33" s="129"/>
      <c r="G33" s="129"/>
      <c r="H33" s="130"/>
      <c r="I33" s="131"/>
      <c r="J33" s="128"/>
      <c r="K33" s="132"/>
      <c r="L33" s="132"/>
      <c r="M33" s="133"/>
      <c r="N33" s="133"/>
      <c r="O33" s="133"/>
      <c r="P33" s="129"/>
      <c r="Z33" s="75"/>
      <c r="AA33" s="76"/>
      <c r="AB33" s="76"/>
      <c r="AC33" s="129"/>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4"/>
      <c r="BD33" s="134"/>
      <c r="BE33" s="134"/>
      <c r="BF33" s="134"/>
      <c r="BG33" s="134"/>
      <c r="BH33" s="134"/>
      <c r="BI33" s="134"/>
      <c r="BJ33" s="134"/>
      <c r="BK33" s="134"/>
      <c r="BL33" s="134"/>
      <c r="BM33" s="135"/>
      <c r="BN33" s="136" t="n">
        <f aca="false">+MAX($D$3,DATOS_[[#This Row],[Fecha Inicio Sit. Contract.]])</f>
        <v>0</v>
      </c>
      <c r="BO33" s="136" t="n">
        <f aca="false">+MIN($D$4,DATOS_[[#This Row],[Fecha Fin Sit. Contract.]])</f>
        <v>0</v>
      </c>
      <c r="BP33" s="137" t="n">
        <f aca="false">+DATOS_[[#This Row],[% de jornada]]*IF(DATOS_[[#This Row],[% jornada reducida]]="",1,DATOS_[[#This Row],[% jornada reducida]])</f>
        <v>0</v>
      </c>
      <c r="BQ33" s="137" t="n">
        <f aca="false">+(DATOS_[[#This Row],[F.fin.cal]]-DATOS_[[#This Row],[F.ini.cal]]+1)/($D$4-$D$3+1)</f>
        <v>1</v>
      </c>
      <c r="BR33" s="137" t="str">
        <f aca="false">IF(OR(AND(DATOS_[[#This Row],[Fecha Fin Contrato]]&lt;$D$3,DATOS_[[#This Row],[Fecha Fin Contrato]]&lt;&gt;""),DATOS_[[#This Row],[Fecha de Contratación]]&gt;$D$4),"Fuera","Dentro")</f>
        <v>Dentro</v>
      </c>
      <c r="BS33" s="137" t="str">
        <f aca="false" t="array" ref="BS33:BS33">IF(MAX(IF(DATOS_[id]=DATOS_[[#This Row],[id]],DATOS_[F.fin.cal]))=DATOS_[[#This Row],[F.fin.cal]],"Sí","NO")</f>
        <v>Sí</v>
      </c>
      <c r="BT33" s="137" t="str">
        <f aca="false">IF(AND(DATOS_[[#This Row],[% normaliz]]&lt;&gt;1,DATOS_[[#This Row],[% anualiz]]=1),"Sí","NO")</f>
        <v>Sí</v>
      </c>
      <c r="BU33" s="137" t="str">
        <f aca="false">IF(AND(DATOS_[[#This Row],[% normaliz]]=1,DATOS_[[#This Row],[% anualiz]]&lt;&gt;1),"Sí","NO")</f>
        <v>NO</v>
      </c>
      <c r="BV33" s="137" t="str">
        <f aca="false">IF(AND(DATOS_[[#This Row],[% normaliz]]&lt;&gt;1,DATOS_[[#This Row],[% anualiz]]&lt;&gt;1),"Sí","NO")</f>
        <v>NO</v>
      </c>
      <c r="BW33" s="137" t="str">
        <f aca="false">+IF(DATOS_[[#This Row],[% normaliz]]*DATOS_[[#This Row],[% anualiz]]=1,"NO","Sí")</f>
        <v>Sí</v>
      </c>
      <c r="BX33" s="138" t="e">
        <f aca="false">(DATOS_[[#This Row],[S.BASE]]*(1/DATOS_[[#This Row],[% normaliz]])*(1/DATOS_[[#This Row],[% anualiz]]))*IF(DATOS_[[#This Row],[Check Equiparado]]="Sí",1,0)</f>
        <v>#DIV/0!</v>
      </c>
      <c r="BY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 s="138" t="e">
        <f aca="false">+DATOS_[[#This Row],[SALARIO BASE Eq]]+DATOS_[[#This Row],[Tot COMPL.SAL Eq]]</f>
        <v>#DIV/0!</v>
      </c>
      <c r="CA33" s="138" t="e">
        <f aca="false" t="array" ref="CA33: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 s="138" t="e">
        <f aca="false">+DATOS_[[#This Row],[TOTAL SALARIO Eq]]+DATOS_[[#This Row],[Tot Extrasalarial Eq]]</f>
        <v>#DIV/0!</v>
      </c>
      <c r="CC33" s="139" t="n">
        <f aca="false">DATOS_[[#This Row],[S.BASE]]</f>
        <v>0</v>
      </c>
      <c r="CD33" s="139" t="n">
        <f aca="false">+SUM(DATOS_[[#This Row],[Conc.Sal.01]:[Conc.Sal.30]])</f>
        <v>0</v>
      </c>
      <c r="CE33" s="139" t="n">
        <f aca="false">+DATOS_[[#This Row],[SALARIO BASE Ef]]+DATOS_[[#This Row],[Tot COMPL.SAL Ef]]</f>
        <v>0</v>
      </c>
      <c r="CF33" s="139" t="n">
        <f aca="false">+SUM(DATOS_[[#This Row],[C.Extra.01]:[C.Extra.05]])</f>
        <v>0</v>
      </c>
      <c r="CG33" s="139" t="n">
        <f aca="false">+DATOS_[[#This Row],[TOTAL SALARIO Ef]]+DATOS_[[#This Row],[Tot Extrasalarial Ef]]</f>
        <v>0</v>
      </c>
      <c r="CH33" s="140" t="n">
        <f aca="false">MIN(IF(DATOS_[[#This Row],[Fecha Fin Contrato]]="",$D$4,DATOS_[[#This Row],[Fecha Fin Contrato]]),$D$4)-MAX(DATOS_[[#This Row],[Fecha de Contratación]],$D$3)+1</f>
        <v>1</v>
      </c>
      <c r="CI33" s="141" t="str">
        <f aca="false">IF(COUNTIFS(DATOS_[id],DATOS_[[#This Row],[id]])&gt;1,DATOS_[[#This Row],[id]],"")</f>
        <v/>
      </c>
      <c r="CJ33" s="141" t="n">
        <f aca="false">(Inicio!$G$10-DATOS_[[#This Row],[Fecha Nacimiento]])/365.25</f>
        <v>0</v>
      </c>
      <c r="CK33" s="141" t="n">
        <f aca="false">(Inicio!$G$10-DATOS_[[#This Row],[Fecha de Antigüedad]])/365.25</f>
        <v>0</v>
      </c>
      <c r="CL33" s="141" t="e">
        <f aca="false">+VLOOKUP(DATOS_[[#This Row],[Clave de Contrato]],TblTiposContrato13[],3,0)</f>
        <v>#N/A</v>
      </c>
      <c r="CM33" s="141" t="e">
        <f aca="false">+VLOOKUP(DATOS_[[#This Row],[Clave de Contrato]],TblTiposContrato13[],4,0)</f>
        <v>#N/A</v>
      </c>
      <c r="CN33" s="141" t="str">
        <f aca="false">VLOOKUP(DATOS_[[#This Row],[Edad]],CONTRATOS!TblRngEdad,2,1)</f>
        <v>20  o menos</v>
      </c>
      <c r="CO33" s="141" t="str">
        <f aca="false">VLOOKUP(DATOS_[[#This Row],[Antigüedad]],TblRngAntg14[],2,1)</f>
        <v>0 a 1 años</v>
      </c>
    </row>
    <row r="34" customFormat="false" ht="13.8" hidden="false" customHeight="false" outlineLevel="0" collapsed="false">
      <c r="D34" s="128"/>
      <c r="E34" s="129"/>
      <c r="F34" s="129"/>
      <c r="G34" s="129"/>
      <c r="H34" s="130"/>
      <c r="I34" s="131"/>
      <c r="J34" s="128"/>
      <c r="K34" s="132"/>
      <c r="L34" s="132"/>
      <c r="M34" s="133"/>
      <c r="N34" s="133"/>
      <c r="O34" s="133"/>
      <c r="P34" s="129"/>
      <c r="Z34" s="75"/>
      <c r="AA34" s="76"/>
      <c r="AB34" s="76"/>
      <c r="AC34" s="129"/>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c r="BE34" s="134"/>
      <c r="BF34" s="134"/>
      <c r="BG34" s="134"/>
      <c r="BH34" s="134"/>
      <c r="BI34" s="134"/>
      <c r="BJ34" s="134"/>
      <c r="BK34" s="134"/>
      <c r="BL34" s="134"/>
      <c r="BM34" s="135"/>
      <c r="BN34" s="136" t="n">
        <f aca="false">+MAX($D$3,DATOS_[[#This Row],[Fecha Inicio Sit. Contract.]])</f>
        <v>0</v>
      </c>
      <c r="BO34" s="136" t="n">
        <f aca="false">+MIN($D$4,DATOS_[[#This Row],[Fecha Fin Sit. Contract.]])</f>
        <v>0</v>
      </c>
      <c r="BP34" s="137" t="n">
        <f aca="false">+DATOS_[[#This Row],[% de jornada]]*IF(DATOS_[[#This Row],[% jornada reducida]]="",1,DATOS_[[#This Row],[% jornada reducida]])</f>
        <v>0</v>
      </c>
      <c r="BQ34" s="137" t="n">
        <f aca="false">+(DATOS_[[#This Row],[F.fin.cal]]-DATOS_[[#This Row],[F.ini.cal]]+1)/($D$4-$D$3+1)</f>
        <v>1</v>
      </c>
      <c r="BR34" s="137" t="str">
        <f aca="false">IF(OR(AND(DATOS_[[#This Row],[Fecha Fin Contrato]]&lt;$D$3,DATOS_[[#This Row],[Fecha Fin Contrato]]&lt;&gt;""),DATOS_[[#This Row],[Fecha de Contratación]]&gt;$D$4),"Fuera","Dentro")</f>
        <v>Dentro</v>
      </c>
      <c r="BS34" s="137" t="str">
        <f aca="false" t="array" ref="BS34:BS34">IF(MAX(IF(DATOS_[id]=DATOS_[[#This Row],[id]],DATOS_[F.fin.cal]))=DATOS_[[#This Row],[F.fin.cal]],"Sí","NO")</f>
        <v>Sí</v>
      </c>
      <c r="BT34" s="137" t="str">
        <f aca="false">IF(AND(DATOS_[[#This Row],[% normaliz]]&lt;&gt;1,DATOS_[[#This Row],[% anualiz]]=1),"Sí","NO")</f>
        <v>Sí</v>
      </c>
      <c r="BU34" s="137" t="str">
        <f aca="false">IF(AND(DATOS_[[#This Row],[% normaliz]]=1,DATOS_[[#This Row],[% anualiz]]&lt;&gt;1),"Sí","NO")</f>
        <v>NO</v>
      </c>
      <c r="BV34" s="137" t="str">
        <f aca="false">IF(AND(DATOS_[[#This Row],[% normaliz]]&lt;&gt;1,DATOS_[[#This Row],[% anualiz]]&lt;&gt;1),"Sí","NO")</f>
        <v>NO</v>
      </c>
      <c r="BW34" s="137" t="str">
        <f aca="false">+IF(DATOS_[[#This Row],[% normaliz]]*DATOS_[[#This Row],[% anualiz]]=1,"NO","Sí")</f>
        <v>Sí</v>
      </c>
      <c r="BX34" s="138" t="e">
        <f aca="false">(DATOS_[[#This Row],[S.BASE]]*(1/DATOS_[[#This Row],[% normaliz]])*(1/DATOS_[[#This Row],[% anualiz]]))*IF(DATOS_[[#This Row],[Check Equiparado]]="Sí",1,0)</f>
        <v>#DIV/0!</v>
      </c>
      <c r="BY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 s="138" t="e">
        <f aca="false">+DATOS_[[#This Row],[SALARIO BASE Eq]]+DATOS_[[#This Row],[Tot COMPL.SAL Eq]]</f>
        <v>#DIV/0!</v>
      </c>
      <c r="CA34" s="138" t="e">
        <f aca="false" t="array" ref="CA34: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 s="138" t="e">
        <f aca="false">+DATOS_[[#This Row],[TOTAL SALARIO Eq]]+DATOS_[[#This Row],[Tot Extrasalarial Eq]]</f>
        <v>#DIV/0!</v>
      </c>
      <c r="CC34" s="139" t="n">
        <f aca="false">DATOS_[[#This Row],[S.BASE]]</f>
        <v>0</v>
      </c>
      <c r="CD34" s="139" t="n">
        <f aca="false">+SUM(DATOS_[[#This Row],[Conc.Sal.01]:[Conc.Sal.30]])</f>
        <v>0</v>
      </c>
      <c r="CE34" s="139" t="n">
        <f aca="false">+DATOS_[[#This Row],[SALARIO BASE Ef]]+DATOS_[[#This Row],[Tot COMPL.SAL Ef]]</f>
        <v>0</v>
      </c>
      <c r="CF34" s="139" t="n">
        <f aca="false">+SUM(DATOS_[[#This Row],[C.Extra.01]:[C.Extra.05]])</f>
        <v>0</v>
      </c>
      <c r="CG34" s="139" t="n">
        <f aca="false">+DATOS_[[#This Row],[TOTAL SALARIO Ef]]+DATOS_[[#This Row],[Tot Extrasalarial Ef]]</f>
        <v>0</v>
      </c>
      <c r="CH34" s="140" t="n">
        <f aca="false">MIN(IF(DATOS_[[#This Row],[Fecha Fin Contrato]]="",$D$4,DATOS_[[#This Row],[Fecha Fin Contrato]]),$D$4)-MAX(DATOS_[[#This Row],[Fecha de Contratación]],$D$3)+1</f>
        <v>1</v>
      </c>
      <c r="CI34" s="141" t="str">
        <f aca="false">IF(COUNTIFS(DATOS_[id],DATOS_[[#This Row],[id]])&gt;1,DATOS_[[#This Row],[id]],"")</f>
        <v/>
      </c>
      <c r="CJ34" s="141" t="n">
        <f aca="false">(Inicio!$G$10-DATOS_[[#This Row],[Fecha Nacimiento]])/365.25</f>
        <v>0</v>
      </c>
      <c r="CK34" s="141" t="n">
        <f aca="false">(Inicio!$G$10-DATOS_[[#This Row],[Fecha de Antigüedad]])/365.25</f>
        <v>0</v>
      </c>
      <c r="CL34" s="141" t="e">
        <f aca="false">+VLOOKUP(DATOS_[[#This Row],[Clave de Contrato]],TblTiposContrato13[],3,0)</f>
        <v>#N/A</v>
      </c>
      <c r="CM34" s="141" t="e">
        <f aca="false">+VLOOKUP(DATOS_[[#This Row],[Clave de Contrato]],TblTiposContrato13[],4,0)</f>
        <v>#N/A</v>
      </c>
      <c r="CN34" s="141" t="str">
        <f aca="false">VLOOKUP(DATOS_[[#This Row],[Edad]],CONTRATOS!TblRngEdad,2,1)</f>
        <v>20  o menos</v>
      </c>
      <c r="CO34" s="141" t="str">
        <f aca="false">VLOOKUP(DATOS_[[#This Row],[Antigüedad]],TblRngAntg14[],2,1)</f>
        <v>0 a 1 años</v>
      </c>
    </row>
    <row r="35" customFormat="false" ht="13.8" hidden="false" customHeight="false" outlineLevel="0" collapsed="false">
      <c r="D35" s="128"/>
      <c r="E35" s="129"/>
      <c r="F35" s="129"/>
      <c r="G35" s="129"/>
      <c r="H35" s="130"/>
      <c r="I35" s="131"/>
      <c r="J35" s="128"/>
      <c r="K35" s="132"/>
      <c r="L35" s="132"/>
      <c r="M35" s="133"/>
      <c r="N35" s="133"/>
      <c r="O35" s="133"/>
      <c r="P35" s="129"/>
      <c r="Z35" s="75"/>
      <c r="AA35" s="76"/>
      <c r="AB35" s="76"/>
      <c r="AC35" s="129"/>
      <c r="AD35" s="134"/>
      <c r="AE35" s="134"/>
      <c r="AF35" s="134"/>
      <c r="AG35" s="134"/>
      <c r="AH35" s="134"/>
      <c r="AI35" s="134"/>
      <c r="AJ35" s="134"/>
      <c r="AK35" s="134"/>
      <c r="AL35" s="134"/>
      <c r="AM35" s="134"/>
      <c r="AN35" s="134"/>
      <c r="AO35" s="134"/>
      <c r="AP35" s="134"/>
      <c r="AQ35" s="134"/>
      <c r="AR35" s="134"/>
      <c r="AS35" s="134"/>
      <c r="AT35" s="134"/>
      <c r="AU35" s="134"/>
      <c r="AV35" s="134"/>
      <c r="AW35" s="134"/>
      <c r="AX35" s="134"/>
      <c r="AY35" s="134"/>
      <c r="AZ35" s="134"/>
      <c r="BA35" s="134"/>
      <c r="BB35" s="134"/>
      <c r="BC35" s="134"/>
      <c r="BD35" s="134"/>
      <c r="BE35" s="134"/>
      <c r="BF35" s="134"/>
      <c r="BG35" s="134"/>
      <c r="BH35" s="134"/>
      <c r="BI35" s="134"/>
      <c r="BJ35" s="134"/>
      <c r="BK35" s="134"/>
      <c r="BL35" s="134"/>
      <c r="BM35" s="135"/>
      <c r="BN35" s="136" t="n">
        <f aca="false">+MAX($D$3,DATOS_[[#This Row],[Fecha Inicio Sit. Contract.]])</f>
        <v>0</v>
      </c>
      <c r="BO35" s="136" t="n">
        <f aca="false">+MIN($D$4,DATOS_[[#This Row],[Fecha Fin Sit. Contract.]])</f>
        <v>0</v>
      </c>
      <c r="BP35" s="137" t="n">
        <f aca="false">+DATOS_[[#This Row],[% de jornada]]*IF(DATOS_[[#This Row],[% jornada reducida]]="",1,DATOS_[[#This Row],[% jornada reducida]])</f>
        <v>0</v>
      </c>
      <c r="BQ35" s="137" t="n">
        <f aca="false">+(DATOS_[[#This Row],[F.fin.cal]]-DATOS_[[#This Row],[F.ini.cal]]+1)/($D$4-$D$3+1)</f>
        <v>1</v>
      </c>
      <c r="BR35" s="137" t="str">
        <f aca="false">IF(OR(AND(DATOS_[[#This Row],[Fecha Fin Contrato]]&lt;$D$3,DATOS_[[#This Row],[Fecha Fin Contrato]]&lt;&gt;""),DATOS_[[#This Row],[Fecha de Contratación]]&gt;$D$4),"Fuera","Dentro")</f>
        <v>Dentro</v>
      </c>
      <c r="BS35" s="137" t="str">
        <f aca="false" t="array" ref="BS35:BS35">IF(MAX(IF(DATOS_[id]=DATOS_[[#This Row],[id]],DATOS_[F.fin.cal]))=DATOS_[[#This Row],[F.fin.cal]],"Sí","NO")</f>
        <v>Sí</v>
      </c>
      <c r="BT35" s="137" t="str">
        <f aca="false">IF(AND(DATOS_[[#This Row],[% normaliz]]&lt;&gt;1,DATOS_[[#This Row],[% anualiz]]=1),"Sí","NO")</f>
        <v>Sí</v>
      </c>
      <c r="BU35" s="137" t="str">
        <f aca="false">IF(AND(DATOS_[[#This Row],[% normaliz]]=1,DATOS_[[#This Row],[% anualiz]]&lt;&gt;1),"Sí","NO")</f>
        <v>NO</v>
      </c>
      <c r="BV35" s="137" t="str">
        <f aca="false">IF(AND(DATOS_[[#This Row],[% normaliz]]&lt;&gt;1,DATOS_[[#This Row],[% anualiz]]&lt;&gt;1),"Sí","NO")</f>
        <v>NO</v>
      </c>
      <c r="BW35" s="137" t="str">
        <f aca="false">+IF(DATOS_[[#This Row],[% normaliz]]*DATOS_[[#This Row],[% anualiz]]=1,"NO","Sí")</f>
        <v>Sí</v>
      </c>
      <c r="BX35" s="138" t="e">
        <f aca="false">(DATOS_[[#This Row],[S.BASE]]*(1/DATOS_[[#This Row],[% normaliz]])*(1/DATOS_[[#This Row],[% anualiz]]))*IF(DATOS_[[#This Row],[Check Equiparado]]="Sí",1,0)</f>
        <v>#DIV/0!</v>
      </c>
      <c r="BY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 s="138" t="e">
        <f aca="false">+DATOS_[[#This Row],[SALARIO BASE Eq]]+DATOS_[[#This Row],[Tot COMPL.SAL Eq]]</f>
        <v>#DIV/0!</v>
      </c>
      <c r="CA35" s="138" t="e">
        <f aca="false" t="array" ref="CA35: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 s="138" t="e">
        <f aca="false">+DATOS_[[#This Row],[TOTAL SALARIO Eq]]+DATOS_[[#This Row],[Tot Extrasalarial Eq]]</f>
        <v>#DIV/0!</v>
      </c>
      <c r="CC35" s="139" t="n">
        <f aca="false">DATOS_[[#This Row],[S.BASE]]</f>
        <v>0</v>
      </c>
      <c r="CD35" s="139" t="n">
        <f aca="false">+SUM(DATOS_[[#This Row],[Conc.Sal.01]:[Conc.Sal.30]])</f>
        <v>0</v>
      </c>
      <c r="CE35" s="139" t="n">
        <f aca="false">+DATOS_[[#This Row],[SALARIO BASE Ef]]+DATOS_[[#This Row],[Tot COMPL.SAL Ef]]</f>
        <v>0</v>
      </c>
      <c r="CF35" s="139" t="n">
        <f aca="false">+SUM(DATOS_[[#This Row],[C.Extra.01]:[C.Extra.05]])</f>
        <v>0</v>
      </c>
      <c r="CG35" s="139" t="n">
        <f aca="false">+DATOS_[[#This Row],[TOTAL SALARIO Ef]]+DATOS_[[#This Row],[Tot Extrasalarial Ef]]</f>
        <v>0</v>
      </c>
      <c r="CH35" s="140" t="n">
        <f aca="false">MIN(IF(DATOS_[[#This Row],[Fecha Fin Contrato]]="",$D$4,DATOS_[[#This Row],[Fecha Fin Contrato]]),$D$4)-MAX(DATOS_[[#This Row],[Fecha de Contratación]],$D$3)+1</f>
        <v>1</v>
      </c>
      <c r="CI35" s="141" t="str">
        <f aca="false">IF(COUNTIFS(DATOS_[id],DATOS_[[#This Row],[id]])&gt;1,DATOS_[[#This Row],[id]],"")</f>
        <v/>
      </c>
      <c r="CJ35" s="141" t="n">
        <f aca="false">(Inicio!$G$10-DATOS_[[#This Row],[Fecha Nacimiento]])/365.25</f>
        <v>0</v>
      </c>
      <c r="CK35" s="141" t="n">
        <f aca="false">(Inicio!$G$10-DATOS_[[#This Row],[Fecha de Antigüedad]])/365.25</f>
        <v>0</v>
      </c>
      <c r="CL35" s="141" t="e">
        <f aca="false">+VLOOKUP(DATOS_[[#This Row],[Clave de Contrato]],TblTiposContrato13[],3,0)</f>
        <v>#N/A</v>
      </c>
      <c r="CM35" s="141" t="e">
        <f aca="false">+VLOOKUP(DATOS_[[#This Row],[Clave de Contrato]],TblTiposContrato13[],4,0)</f>
        <v>#N/A</v>
      </c>
      <c r="CN35" s="141" t="str">
        <f aca="false">VLOOKUP(DATOS_[[#This Row],[Edad]],CONTRATOS!TblRngEdad,2,1)</f>
        <v>20  o menos</v>
      </c>
      <c r="CO35" s="141" t="str">
        <f aca="false">VLOOKUP(DATOS_[[#This Row],[Antigüedad]],TblRngAntg14[],2,1)</f>
        <v>0 a 1 años</v>
      </c>
    </row>
    <row r="36" customFormat="false" ht="13.8" hidden="false" customHeight="false" outlineLevel="0" collapsed="false">
      <c r="D36" s="128"/>
      <c r="E36" s="129"/>
      <c r="F36" s="129"/>
      <c r="G36" s="129"/>
      <c r="H36" s="130"/>
      <c r="I36" s="131"/>
      <c r="J36" s="128"/>
      <c r="K36" s="132"/>
      <c r="L36" s="132"/>
      <c r="M36" s="133"/>
      <c r="N36" s="133"/>
      <c r="O36" s="133"/>
      <c r="P36" s="129"/>
      <c r="Z36" s="75"/>
      <c r="AA36" s="76"/>
      <c r="AB36" s="76"/>
      <c r="AC36" s="129"/>
      <c r="AD36" s="134"/>
      <c r="AE36" s="134"/>
      <c r="AF36" s="134"/>
      <c r="AG36" s="134"/>
      <c r="AH36" s="134"/>
      <c r="AI36" s="134"/>
      <c r="AJ36" s="134"/>
      <c r="AK36" s="134"/>
      <c r="AL36" s="134"/>
      <c r="AM36" s="134"/>
      <c r="AN36" s="134"/>
      <c r="AO36" s="134"/>
      <c r="AP36" s="134"/>
      <c r="AQ36" s="134"/>
      <c r="AR36" s="134"/>
      <c r="AS36" s="134"/>
      <c r="AT36" s="134"/>
      <c r="AU36" s="134"/>
      <c r="AV36" s="134"/>
      <c r="AW36" s="134"/>
      <c r="AX36" s="134"/>
      <c r="AY36" s="134"/>
      <c r="AZ36" s="134"/>
      <c r="BA36" s="134"/>
      <c r="BB36" s="134"/>
      <c r="BC36" s="134"/>
      <c r="BD36" s="134"/>
      <c r="BE36" s="134"/>
      <c r="BF36" s="134"/>
      <c r="BG36" s="134"/>
      <c r="BH36" s="134"/>
      <c r="BI36" s="134"/>
      <c r="BJ36" s="134"/>
      <c r="BK36" s="134"/>
      <c r="BL36" s="134"/>
      <c r="BM36" s="135"/>
      <c r="BN36" s="136" t="n">
        <f aca="false">+MAX($D$3,DATOS_[[#This Row],[Fecha Inicio Sit. Contract.]])</f>
        <v>0</v>
      </c>
      <c r="BO36" s="136" t="n">
        <f aca="false">+MIN($D$4,DATOS_[[#This Row],[Fecha Fin Sit. Contract.]])</f>
        <v>0</v>
      </c>
      <c r="BP36" s="137" t="n">
        <f aca="false">+DATOS_[[#This Row],[% de jornada]]*IF(DATOS_[[#This Row],[% jornada reducida]]="",1,DATOS_[[#This Row],[% jornada reducida]])</f>
        <v>0</v>
      </c>
      <c r="BQ36" s="137" t="n">
        <f aca="false">+(DATOS_[[#This Row],[F.fin.cal]]-DATOS_[[#This Row],[F.ini.cal]]+1)/($D$4-$D$3+1)</f>
        <v>1</v>
      </c>
      <c r="BR36" s="137" t="str">
        <f aca="false">IF(OR(AND(DATOS_[[#This Row],[Fecha Fin Contrato]]&lt;$D$3,DATOS_[[#This Row],[Fecha Fin Contrato]]&lt;&gt;""),DATOS_[[#This Row],[Fecha de Contratación]]&gt;$D$4),"Fuera","Dentro")</f>
        <v>Dentro</v>
      </c>
      <c r="BS36" s="137" t="str">
        <f aca="false" t="array" ref="BS36:BS36">IF(MAX(IF(DATOS_[id]=DATOS_[[#This Row],[id]],DATOS_[F.fin.cal]))=DATOS_[[#This Row],[F.fin.cal]],"Sí","NO")</f>
        <v>Sí</v>
      </c>
      <c r="BT36" s="137" t="str">
        <f aca="false">IF(AND(DATOS_[[#This Row],[% normaliz]]&lt;&gt;1,DATOS_[[#This Row],[% anualiz]]=1),"Sí","NO")</f>
        <v>Sí</v>
      </c>
      <c r="BU36" s="137" t="str">
        <f aca="false">IF(AND(DATOS_[[#This Row],[% normaliz]]=1,DATOS_[[#This Row],[% anualiz]]&lt;&gt;1),"Sí","NO")</f>
        <v>NO</v>
      </c>
      <c r="BV36" s="137" t="str">
        <f aca="false">IF(AND(DATOS_[[#This Row],[% normaliz]]&lt;&gt;1,DATOS_[[#This Row],[% anualiz]]&lt;&gt;1),"Sí","NO")</f>
        <v>NO</v>
      </c>
      <c r="BW36" s="137" t="str">
        <f aca="false">+IF(DATOS_[[#This Row],[% normaliz]]*DATOS_[[#This Row],[% anualiz]]=1,"NO","Sí")</f>
        <v>Sí</v>
      </c>
      <c r="BX36" s="138" t="e">
        <f aca="false">(DATOS_[[#This Row],[S.BASE]]*(1/DATOS_[[#This Row],[% normaliz]])*(1/DATOS_[[#This Row],[% anualiz]]))*IF(DATOS_[[#This Row],[Check Equiparado]]="Sí",1,0)</f>
        <v>#DIV/0!</v>
      </c>
      <c r="BY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 s="138" t="e">
        <f aca="false">+DATOS_[[#This Row],[SALARIO BASE Eq]]+DATOS_[[#This Row],[Tot COMPL.SAL Eq]]</f>
        <v>#DIV/0!</v>
      </c>
      <c r="CA36" s="138" t="e">
        <f aca="false" t="array" ref="CA36: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 s="138" t="e">
        <f aca="false">+DATOS_[[#This Row],[TOTAL SALARIO Eq]]+DATOS_[[#This Row],[Tot Extrasalarial Eq]]</f>
        <v>#DIV/0!</v>
      </c>
      <c r="CC36" s="139" t="n">
        <f aca="false">DATOS_[[#This Row],[S.BASE]]</f>
        <v>0</v>
      </c>
      <c r="CD36" s="139" t="n">
        <f aca="false">+SUM(DATOS_[[#This Row],[Conc.Sal.01]:[Conc.Sal.30]])</f>
        <v>0</v>
      </c>
      <c r="CE36" s="139" t="n">
        <f aca="false">+DATOS_[[#This Row],[SALARIO BASE Ef]]+DATOS_[[#This Row],[Tot COMPL.SAL Ef]]</f>
        <v>0</v>
      </c>
      <c r="CF36" s="139" t="n">
        <f aca="false">+SUM(DATOS_[[#This Row],[C.Extra.01]:[C.Extra.05]])</f>
        <v>0</v>
      </c>
      <c r="CG36" s="139" t="n">
        <f aca="false">+DATOS_[[#This Row],[TOTAL SALARIO Ef]]+DATOS_[[#This Row],[Tot Extrasalarial Ef]]</f>
        <v>0</v>
      </c>
      <c r="CH36" s="140" t="n">
        <f aca="false">MIN(IF(DATOS_[[#This Row],[Fecha Fin Contrato]]="",$D$4,DATOS_[[#This Row],[Fecha Fin Contrato]]),$D$4)-MAX(DATOS_[[#This Row],[Fecha de Contratación]],$D$3)+1</f>
        <v>1</v>
      </c>
      <c r="CI36" s="141" t="str">
        <f aca="false">IF(COUNTIFS(DATOS_[id],DATOS_[[#This Row],[id]])&gt;1,DATOS_[[#This Row],[id]],"")</f>
        <v/>
      </c>
      <c r="CJ36" s="141" t="n">
        <f aca="false">(Inicio!$G$10-DATOS_[[#This Row],[Fecha Nacimiento]])/365.25</f>
        <v>0</v>
      </c>
      <c r="CK36" s="141" t="n">
        <f aca="false">(Inicio!$G$10-DATOS_[[#This Row],[Fecha de Antigüedad]])/365.25</f>
        <v>0</v>
      </c>
      <c r="CL36" s="141" t="e">
        <f aca="false">+VLOOKUP(DATOS_[[#This Row],[Clave de Contrato]],TblTiposContrato13[],3,0)</f>
        <v>#N/A</v>
      </c>
      <c r="CM36" s="141" t="e">
        <f aca="false">+VLOOKUP(DATOS_[[#This Row],[Clave de Contrato]],TblTiposContrato13[],4,0)</f>
        <v>#N/A</v>
      </c>
      <c r="CN36" s="141" t="str">
        <f aca="false">VLOOKUP(DATOS_[[#This Row],[Edad]],CONTRATOS!TblRngEdad,2,1)</f>
        <v>20  o menos</v>
      </c>
      <c r="CO36" s="141" t="str">
        <f aca="false">VLOOKUP(DATOS_[[#This Row],[Antigüedad]],TblRngAntg14[],2,1)</f>
        <v>0 a 1 años</v>
      </c>
    </row>
    <row r="37" customFormat="false" ht="13.8" hidden="false" customHeight="false" outlineLevel="0" collapsed="false">
      <c r="D37" s="128"/>
      <c r="E37" s="129"/>
      <c r="F37" s="129"/>
      <c r="G37" s="129"/>
      <c r="H37" s="130"/>
      <c r="I37" s="131"/>
      <c r="J37" s="128"/>
      <c r="K37" s="132"/>
      <c r="L37" s="132"/>
      <c r="M37" s="133"/>
      <c r="N37" s="133"/>
      <c r="O37" s="133"/>
      <c r="P37" s="129"/>
      <c r="Z37" s="75"/>
      <c r="AA37" s="76"/>
      <c r="AB37" s="76"/>
      <c r="AC37" s="129"/>
      <c r="AD37" s="134"/>
      <c r="AE37" s="134"/>
      <c r="AF37" s="134"/>
      <c r="AG37" s="134"/>
      <c r="AH37" s="134"/>
      <c r="AI37" s="134"/>
      <c r="AJ37" s="134"/>
      <c r="AK37" s="134"/>
      <c r="AL37" s="134"/>
      <c r="AM37" s="134"/>
      <c r="AN37" s="134"/>
      <c r="AO37" s="134"/>
      <c r="AP37" s="134"/>
      <c r="AQ37" s="134"/>
      <c r="AR37" s="134"/>
      <c r="AS37" s="134"/>
      <c r="AT37" s="134"/>
      <c r="AU37" s="134"/>
      <c r="AV37" s="134"/>
      <c r="AW37" s="134"/>
      <c r="AX37" s="134"/>
      <c r="AY37" s="134"/>
      <c r="AZ37" s="134"/>
      <c r="BA37" s="134"/>
      <c r="BB37" s="134"/>
      <c r="BC37" s="134"/>
      <c r="BD37" s="134"/>
      <c r="BE37" s="134"/>
      <c r="BF37" s="134"/>
      <c r="BG37" s="134"/>
      <c r="BH37" s="134"/>
      <c r="BI37" s="134"/>
      <c r="BJ37" s="134"/>
      <c r="BK37" s="134"/>
      <c r="BL37" s="134"/>
      <c r="BM37" s="135"/>
      <c r="BN37" s="136" t="n">
        <f aca="false">+MAX($D$3,DATOS_[[#This Row],[Fecha Inicio Sit. Contract.]])</f>
        <v>0</v>
      </c>
      <c r="BO37" s="136" t="n">
        <f aca="false">+MIN($D$4,DATOS_[[#This Row],[Fecha Fin Sit. Contract.]])</f>
        <v>0</v>
      </c>
      <c r="BP37" s="137" t="n">
        <f aca="false">+DATOS_[[#This Row],[% de jornada]]*IF(DATOS_[[#This Row],[% jornada reducida]]="",1,DATOS_[[#This Row],[% jornada reducida]])</f>
        <v>0</v>
      </c>
      <c r="BQ37" s="137" t="n">
        <f aca="false">+(DATOS_[[#This Row],[F.fin.cal]]-DATOS_[[#This Row],[F.ini.cal]]+1)/($D$4-$D$3+1)</f>
        <v>1</v>
      </c>
      <c r="BR37" s="137" t="str">
        <f aca="false">IF(OR(AND(DATOS_[[#This Row],[Fecha Fin Contrato]]&lt;$D$3,DATOS_[[#This Row],[Fecha Fin Contrato]]&lt;&gt;""),DATOS_[[#This Row],[Fecha de Contratación]]&gt;$D$4),"Fuera","Dentro")</f>
        <v>Dentro</v>
      </c>
      <c r="BS37" s="137" t="str">
        <f aca="false" t="array" ref="BS37:BS37">IF(MAX(IF(DATOS_[id]=DATOS_[[#This Row],[id]],DATOS_[F.fin.cal]))=DATOS_[[#This Row],[F.fin.cal]],"Sí","NO")</f>
        <v>Sí</v>
      </c>
      <c r="BT37" s="137" t="str">
        <f aca="false">IF(AND(DATOS_[[#This Row],[% normaliz]]&lt;&gt;1,DATOS_[[#This Row],[% anualiz]]=1),"Sí","NO")</f>
        <v>Sí</v>
      </c>
      <c r="BU37" s="137" t="str">
        <f aca="false">IF(AND(DATOS_[[#This Row],[% normaliz]]=1,DATOS_[[#This Row],[% anualiz]]&lt;&gt;1),"Sí","NO")</f>
        <v>NO</v>
      </c>
      <c r="BV37" s="137" t="str">
        <f aca="false">IF(AND(DATOS_[[#This Row],[% normaliz]]&lt;&gt;1,DATOS_[[#This Row],[% anualiz]]&lt;&gt;1),"Sí","NO")</f>
        <v>NO</v>
      </c>
      <c r="BW37" s="137" t="str">
        <f aca="false">+IF(DATOS_[[#This Row],[% normaliz]]*DATOS_[[#This Row],[% anualiz]]=1,"NO","Sí")</f>
        <v>Sí</v>
      </c>
      <c r="BX37" s="138" t="e">
        <f aca="false">(DATOS_[[#This Row],[S.BASE]]*(1/DATOS_[[#This Row],[% normaliz]])*(1/DATOS_[[#This Row],[% anualiz]]))*IF(DATOS_[[#This Row],[Check Equiparado]]="Sí",1,0)</f>
        <v>#DIV/0!</v>
      </c>
      <c r="BY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 s="138" t="e">
        <f aca="false">+DATOS_[[#This Row],[SALARIO BASE Eq]]+DATOS_[[#This Row],[Tot COMPL.SAL Eq]]</f>
        <v>#DIV/0!</v>
      </c>
      <c r="CA37" s="138" t="e">
        <f aca="false" t="array" ref="CA37: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 s="138" t="e">
        <f aca="false">+DATOS_[[#This Row],[TOTAL SALARIO Eq]]+DATOS_[[#This Row],[Tot Extrasalarial Eq]]</f>
        <v>#DIV/0!</v>
      </c>
      <c r="CC37" s="139" t="n">
        <f aca="false">DATOS_[[#This Row],[S.BASE]]</f>
        <v>0</v>
      </c>
      <c r="CD37" s="139" t="n">
        <f aca="false">+SUM(DATOS_[[#This Row],[Conc.Sal.01]:[Conc.Sal.30]])</f>
        <v>0</v>
      </c>
      <c r="CE37" s="139" t="n">
        <f aca="false">+DATOS_[[#This Row],[SALARIO BASE Ef]]+DATOS_[[#This Row],[Tot COMPL.SAL Ef]]</f>
        <v>0</v>
      </c>
      <c r="CF37" s="139" t="n">
        <f aca="false">+SUM(DATOS_[[#This Row],[C.Extra.01]:[C.Extra.05]])</f>
        <v>0</v>
      </c>
      <c r="CG37" s="139" t="n">
        <f aca="false">+DATOS_[[#This Row],[TOTAL SALARIO Ef]]+DATOS_[[#This Row],[Tot Extrasalarial Ef]]</f>
        <v>0</v>
      </c>
      <c r="CH37" s="140" t="n">
        <f aca="false">MIN(IF(DATOS_[[#This Row],[Fecha Fin Contrato]]="",$D$4,DATOS_[[#This Row],[Fecha Fin Contrato]]),$D$4)-MAX(DATOS_[[#This Row],[Fecha de Contratación]],$D$3)+1</f>
        <v>1</v>
      </c>
      <c r="CI37" s="141" t="str">
        <f aca="false">IF(COUNTIFS(DATOS_[id],DATOS_[[#This Row],[id]])&gt;1,DATOS_[[#This Row],[id]],"")</f>
        <v/>
      </c>
      <c r="CJ37" s="141" t="n">
        <f aca="false">(Inicio!$G$10-DATOS_[[#This Row],[Fecha Nacimiento]])/365.25</f>
        <v>0</v>
      </c>
      <c r="CK37" s="141" t="n">
        <f aca="false">(Inicio!$G$10-DATOS_[[#This Row],[Fecha de Antigüedad]])/365.25</f>
        <v>0</v>
      </c>
      <c r="CL37" s="141" t="e">
        <f aca="false">+VLOOKUP(DATOS_[[#This Row],[Clave de Contrato]],TblTiposContrato13[],3,0)</f>
        <v>#N/A</v>
      </c>
      <c r="CM37" s="141" t="e">
        <f aca="false">+VLOOKUP(DATOS_[[#This Row],[Clave de Contrato]],TblTiposContrato13[],4,0)</f>
        <v>#N/A</v>
      </c>
      <c r="CN37" s="141" t="str">
        <f aca="false">VLOOKUP(DATOS_[[#This Row],[Edad]],CONTRATOS!TblRngEdad,2,1)</f>
        <v>20  o menos</v>
      </c>
      <c r="CO37" s="141" t="str">
        <f aca="false">VLOOKUP(DATOS_[[#This Row],[Antigüedad]],TblRngAntg14[],2,1)</f>
        <v>0 a 1 años</v>
      </c>
    </row>
    <row r="38" customFormat="false" ht="13.8" hidden="false" customHeight="false" outlineLevel="0" collapsed="false">
      <c r="D38" s="128"/>
      <c r="E38" s="129"/>
      <c r="F38" s="129"/>
      <c r="G38" s="129"/>
      <c r="H38" s="130"/>
      <c r="I38" s="131"/>
      <c r="J38" s="128"/>
      <c r="K38" s="132"/>
      <c r="L38" s="132"/>
      <c r="M38" s="133"/>
      <c r="N38" s="133"/>
      <c r="O38" s="133"/>
      <c r="P38" s="129"/>
      <c r="Z38" s="75"/>
      <c r="AA38" s="76"/>
      <c r="AB38" s="76"/>
      <c r="AC38" s="129"/>
      <c r="AD38" s="134"/>
      <c r="AE38" s="134"/>
      <c r="AF38" s="134"/>
      <c r="AG38" s="134"/>
      <c r="AH38" s="134"/>
      <c r="AI38" s="134"/>
      <c r="AJ38" s="134"/>
      <c r="AK38" s="134"/>
      <c r="AL38" s="134"/>
      <c r="AM38" s="134"/>
      <c r="AN38" s="134"/>
      <c r="AO38" s="134"/>
      <c r="AP38" s="134"/>
      <c r="AQ38" s="134"/>
      <c r="AR38" s="134"/>
      <c r="AS38" s="134"/>
      <c r="AT38" s="134"/>
      <c r="AU38" s="134"/>
      <c r="AV38" s="134"/>
      <c r="AW38" s="134"/>
      <c r="AX38" s="134"/>
      <c r="AY38" s="134"/>
      <c r="AZ38" s="134"/>
      <c r="BA38" s="134"/>
      <c r="BB38" s="134"/>
      <c r="BC38" s="134"/>
      <c r="BD38" s="134"/>
      <c r="BE38" s="134"/>
      <c r="BF38" s="134"/>
      <c r="BG38" s="134"/>
      <c r="BH38" s="134"/>
      <c r="BI38" s="134"/>
      <c r="BJ38" s="134"/>
      <c r="BK38" s="134"/>
      <c r="BL38" s="134"/>
      <c r="BM38" s="135"/>
      <c r="BN38" s="136" t="n">
        <f aca="false">+MAX($D$3,DATOS_[[#This Row],[Fecha Inicio Sit. Contract.]])</f>
        <v>0</v>
      </c>
      <c r="BO38" s="136" t="n">
        <f aca="false">+MIN($D$4,DATOS_[[#This Row],[Fecha Fin Sit. Contract.]])</f>
        <v>0</v>
      </c>
      <c r="BP38" s="137" t="n">
        <f aca="false">+DATOS_[[#This Row],[% de jornada]]*IF(DATOS_[[#This Row],[% jornada reducida]]="",1,DATOS_[[#This Row],[% jornada reducida]])</f>
        <v>0</v>
      </c>
      <c r="BQ38" s="137" t="n">
        <f aca="false">+(DATOS_[[#This Row],[F.fin.cal]]-DATOS_[[#This Row],[F.ini.cal]]+1)/($D$4-$D$3+1)</f>
        <v>1</v>
      </c>
      <c r="BR38" s="137" t="str">
        <f aca="false">IF(OR(AND(DATOS_[[#This Row],[Fecha Fin Contrato]]&lt;$D$3,DATOS_[[#This Row],[Fecha Fin Contrato]]&lt;&gt;""),DATOS_[[#This Row],[Fecha de Contratación]]&gt;$D$4),"Fuera","Dentro")</f>
        <v>Dentro</v>
      </c>
      <c r="BS38" s="137" t="str">
        <f aca="false" t="array" ref="BS38:BS38">IF(MAX(IF(DATOS_[id]=DATOS_[[#This Row],[id]],DATOS_[F.fin.cal]))=DATOS_[[#This Row],[F.fin.cal]],"Sí","NO")</f>
        <v>Sí</v>
      </c>
      <c r="BT38" s="137" t="str">
        <f aca="false">IF(AND(DATOS_[[#This Row],[% normaliz]]&lt;&gt;1,DATOS_[[#This Row],[% anualiz]]=1),"Sí","NO")</f>
        <v>Sí</v>
      </c>
      <c r="BU38" s="137" t="str">
        <f aca="false">IF(AND(DATOS_[[#This Row],[% normaliz]]=1,DATOS_[[#This Row],[% anualiz]]&lt;&gt;1),"Sí","NO")</f>
        <v>NO</v>
      </c>
      <c r="BV38" s="137" t="str">
        <f aca="false">IF(AND(DATOS_[[#This Row],[% normaliz]]&lt;&gt;1,DATOS_[[#This Row],[% anualiz]]&lt;&gt;1),"Sí","NO")</f>
        <v>NO</v>
      </c>
      <c r="BW38" s="137" t="str">
        <f aca="false">+IF(DATOS_[[#This Row],[% normaliz]]*DATOS_[[#This Row],[% anualiz]]=1,"NO","Sí")</f>
        <v>Sí</v>
      </c>
      <c r="BX38" s="138" t="e">
        <f aca="false">(DATOS_[[#This Row],[S.BASE]]*(1/DATOS_[[#This Row],[% normaliz]])*(1/DATOS_[[#This Row],[% anualiz]]))*IF(DATOS_[[#This Row],[Check Equiparado]]="Sí",1,0)</f>
        <v>#DIV/0!</v>
      </c>
      <c r="BY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 s="138" t="e">
        <f aca="false">+DATOS_[[#This Row],[SALARIO BASE Eq]]+DATOS_[[#This Row],[Tot COMPL.SAL Eq]]</f>
        <v>#DIV/0!</v>
      </c>
      <c r="CA38" s="138" t="e">
        <f aca="false" t="array" ref="CA38: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 s="138" t="e">
        <f aca="false">+DATOS_[[#This Row],[TOTAL SALARIO Eq]]+DATOS_[[#This Row],[Tot Extrasalarial Eq]]</f>
        <v>#DIV/0!</v>
      </c>
      <c r="CC38" s="139" t="n">
        <f aca="false">DATOS_[[#This Row],[S.BASE]]</f>
        <v>0</v>
      </c>
      <c r="CD38" s="139" t="n">
        <f aca="false">+SUM(DATOS_[[#This Row],[Conc.Sal.01]:[Conc.Sal.30]])</f>
        <v>0</v>
      </c>
      <c r="CE38" s="139" t="n">
        <f aca="false">+DATOS_[[#This Row],[SALARIO BASE Ef]]+DATOS_[[#This Row],[Tot COMPL.SAL Ef]]</f>
        <v>0</v>
      </c>
      <c r="CF38" s="139" t="n">
        <f aca="false">+SUM(DATOS_[[#This Row],[C.Extra.01]:[C.Extra.05]])</f>
        <v>0</v>
      </c>
      <c r="CG38" s="139" t="n">
        <f aca="false">+DATOS_[[#This Row],[TOTAL SALARIO Ef]]+DATOS_[[#This Row],[Tot Extrasalarial Ef]]</f>
        <v>0</v>
      </c>
      <c r="CH38" s="140" t="n">
        <f aca="false">MIN(IF(DATOS_[[#This Row],[Fecha Fin Contrato]]="",$D$4,DATOS_[[#This Row],[Fecha Fin Contrato]]),$D$4)-MAX(DATOS_[[#This Row],[Fecha de Contratación]],$D$3)+1</f>
        <v>1</v>
      </c>
      <c r="CI38" s="141" t="str">
        <f aca="false">IF(COUNTIFS(DATOS_[id],DATOS_[[#This Row],[id]])&gt;1,DATOS_[[#This Row],[id]],"")</f>
        <v/>
      </c>
      <c r="CJ38" s="141" t="n">
        <f aca="false">(Inicio!$G$10-DATOS_[[#This Row],[Fecha Nacimiento]])/365.25</f>
        <v>0</v>
      </c>
      <c r="CK38" s="141" t="n">
        <f aca="false">(Inicio!$G$10-DATOS_[[#This Row],[Fecha de Antigüedad]])/365.25</f>
        <v>0</v>
      </c>
      <c r="CL38" s="141" t="e">
        <f aca="false">+VLOOKUP(DATOS_[[#This Row],[Clave de Contrato]],TblTiposContrato13[],3,0)</f>
        <v>#N/A</v>
      </c>
      <c r="CM38" s="141" t="e">
        <f aca="false">+VLOOKUP(DATOS_[[#This Row],[Clave de Contrato]],TblTiposContrato13[],4,0)</f>
        <v>#N/A</v>
      </c>
      <c r="CN38" s="141" t="str">
        <f aca="false">VLOOKUP(DATOS_[[#This Row],[Edad]],CONTRATOS!TblRngEdad,2,1)</f>
        <v>20  o menos</v>
      </c>
      <c r="CO38" s="141" t="str">
        <f aca="false">VLOOKUP(DATOS_[[#This Row],[Antigüedad]],TblRngAntg14[],2,1)</f>
        <v>0 a 1 años</v>
      </c>
    </row>
    <row r="39" customFormat="false" ht="13.8" hidden="false" customHeight="false" outlineLevel="0" collapsed="false">
      <c r="D39" s="128"/>
      <c r="E39" s="129"/>
      <c r="F39" s="129"/>
      <c r="G39" s="129"/>
      <c r="H39" s="130"/>
      <c r="I39" s="131"/>
      <c r="J39" s="128"/>
      <c r="K39" s="132"/>
      <c r="L39" s="132"/>
      <c r="M39" s="133"/>
      <c r="N39" s="133"/>
      <c r="O39" s="133"/>
      <c r="P39" s="129"/>
      <c r="Z39" s="75"/>
      <c r="AA39" s="76"/>
      <c r="AB39" s="76"/>
      <c r="AC39" s="129"/>
      <c r="AD39" s="134"/>
      <c r="AE39" s="134"/>
      <c r="AF39" s="134"/>
      <c r="AG39" s="134"/>
      <c r="AH39" s="134"/>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134"/>
      <c r="BG39" s="134"/>
      <c r="BH39" s="134"/>
      <c r="BI39" s="134"/>
      <c r="BJ39" s="134"/>
      <c r="BK39" s="134"/>
      <c r="BL39" s="134"/>
      <c r="BM39" s="135"/>
      <c r="BN39" s="136" t="n">
        <f aca="false">+MAX($D$3,DATOS_[[#This Row],[Fecha Inicio Sit. Contract.]])</f>
        <v>0</v>
      </c>
      <c r="BO39" s="136" t="n">
        <f aca="false">+MIN($D$4,DATOS_[[#This Row],[Fecha Fin Sit. Contract.]])</f>
        <v>0</v>
      </c>
      <c r="BP39" s="137" t="n">
        <f aca="false">+DATOS_[[#This Row],[% de jornada]]*IF(DATOS_[[#This Row],[% jornada reducida]]="",1,DATOS_[[#This Row],[% jornada reducida]])</f>
        <v>0</v>
      </c>
      <c r="BQ39" s="137" t="n">
        <f aca="false">+(DATOS_[[#This Row],[F.fin.cal]]-DATOS_[[#This Row],[F.ini.cal]]+1)/($D$4-$D$3+1)</f>
        <v>1</v>
      </c>
      <c r="BR39" s="137" t="str">
        <f aca="false">IF(OR(AND(DATOS_[[#This Row],[Fecha Fin Contrato]]&lt;$D$3,DATOS_[[#This Row],[Fecha Fin Contrato]]&lt;&gt;""),DATOS_[[#This Row],[Fecha de Contratación]]&gt;$D$4),"Fuera","Dentro")</f>
        <v>Dentro</v>
      </c>
      <c r="BS39" s="137" t="str">
        <f aca="false" t="array" ref="BS39:BS39">IF(MAX(IF(DATOS_[id]=DATOS_[[#This Row],[id]],DATOS_[F.fin.cal]))=DATOS_[[#This Row],[F.fin.cal]],"Sí","NO")</f>
        <v>Sí</v>
      </c>
      <c r="BT39" s="137" t="str">
        <f aca="false">IF(AND(DATOS_[[#This Row],[% normaliz]]&lt;&gt;1,DATOS_[[#This Row],[% anualiz]]=1),"Sí","NO")</f>
        <v>Sí</v>
      </c>
      <c r="BU39" s="137" t="str">
        <f aca="false">IF(AND(DATOS_[[#This Row],[% normaliz]]=1,DATOS_[[#This Row],[% anualiz]]&lt;&gt;1),"Sí","NO")</f>
        <v>NO</v>
      </c>
      <c r="BV39" s="137" t="str">
        <f aca="false">IF(AND(DATOS_[[#This Row],[% normaliz]]&lt;&gt;1,DATOS_[[#This Row],[% anualiz]]&lt;&gt;1),"Sí","NO")</f>
        <v>NO</v>
      </c>
      <c r="BW39" s="137" t="str">
        <f aca="false">+IF(DATOS_[[#This Row],[% normaliz]]*DATOS_[[#This Row],[% anualiz]]=1,"NO","Sí")</f>
        <v>Sí</v>
      </c>
      <c r="BX39" s="138" t="e">
        <f aca="false">(DATOS_[[#This Row],[S.BASE]]*(1/DATOS_[[#This Row],[% normaliz]])*(1/DATOS_[[#This Row],[% anualiz]]))*IF(DATOS_[[#This Row],[Check Equiparado]]="Sí",1,0)</f>
        <v>#DIV/0!</v>
      </c>
      <c r="BY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 s="138" t="e">
        <f aca="false">+DATOS_[[#This Row],[SALARIO BASE Eq]]+DATOS_[[#This Row],[Tot COMPL.SAL Eq]]</f>
        <v>#DIV/0!</v>
      </c>
      <c r="CA39" s="138" t="e">
        <f aca="false" t="array" ref="CA39: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 s="138" t="e">
        <f aca="false">+DATOS_[[#This Row],[TOTAL SALARIO Eq]]+DATOS_[[#This Row],[Tot Extrasalarial Eq]]</f>
        <v>#DIV/0!</v>
      </c>
      <c r="CC39" s="139" t="n">
        <f aca="false">DATOS_[[#This Row],[S.BASE]]</f>
        <v>0</v>
      </c>
      <c r="CD39" s="139" t="n">
        <f aca="false">+SUM(DATOS_[[#This Row],[Conc.Sal.01]:[Conc.Sal.30]])</f>
        <v>0</v>
      </c>
      <c r="CE39" s="139" t="n">
        <f aca="false">+DATOS_[[#This Row],[SALARIO BASE Ef]]+DATOS_[[#This Row],[Tot COMPL.SAL Ef]]</f>
        <v>0</v>
      </c>
      <c r="CF39" s="139" t="n">
        <f aca="false">+SUM(DATOS_[[#This Row],[C.Extra.01]:[C.Extra.05]])</f>
        <v>0</v>
      </c>
      <c r="CG39" s="139" t="n">
        <f aca="false">+DATOS_[[#This Row],[TOTAL SALARIO Ef]]+DATOS_[[#This Row],[Tot Extrasalarial Ef]]</f>
        <v>0</v>
      </c>
      <c r="CH39" s="140" t="n">
        <f aca="false">MIN(IF(DATOS_[[#This Row],[Fecha Fin Contrato]]="",$D$4,DATOS_[[#This Row],[Fecha Fin Contrato]]),$D$4)-MAX(DATOS_[[#This Row],[Fecha de Contratación]],$D$3)+1</f>
        <v>1</v>
      </c>
      <c r="CI39" s="141" t="str">
        <f aca="false">IF(COUNTIFS(DATOS_[id],DATOS_[[#This Row],[id]])&gt;1,DATOS_[[#This Row],[id]],"")</f>
        <v/>
      </c>
      <c r="CJ39" s="141" t="n">
        <f aca="false">(Inicio!$G$10-DATOS_[[#This Row],[Fecha Nacimiento]])/365.25</f>
        <v>0</v>
      </c>
      <c r="CK39" s="141" t="n">
        <f aca="false">(Inicio!$G$10-DATOS_[[#This Row],[Fecha de Antigüedad]])/365.25</f>
        <v>0</v>
      </c>
      <c r="CL39" s="141" t="e">
        <f aca="false">+VLOOKUP(DATOS_[[#This Row],[Clave de Contrato]],TblTiposContrato13[],3,0)</f>
        <v>#N/A</v>
      </c>
      <c r="CM39" s="141" t="e">
        <f aca="false">+VLOOKUP(DATOS_[[#This Row],[Clave de Contrato]],TblTiposContrato13[],4,0)</f>
        <v>#N/A</v>
      </c>
      <c r="CN39" s="141" t="str">
        <f aca="false">VLOOKUP(DATOS_[[#This Row],[Edad]],CONTRATOS!TblRngEdad,2,1)</f>
        <v>20  o menos</v>
      </c>
      <c r="CO39" s="141" t="str">
        <f aca="false">VLOOKUP(DATOS_[[#This Row],[Antigüedad]],TblRngAntg14[],2,1)</f>
        <v>0 a 1 años</v>
      </c>
    </row>
    <row r="40" customFormat="false" ht="13.8" hidden="false" customHeight="false" outlineLevel="0" collapsed="false">
      <c r="D40" s="128"/>
      <c r="E40" s="129"/>
      <c r="F40" s="129"/>
      <c r="G40" s="129"/>
      <c r="H40" s="130"/>
      <c r="I40" s="131"/>
      <c r="J40" s="128"/>
      <c r="K40" s="132"/>
      <c r="L40" s="132"/>
      <c r="M40" s="133"/>
      <c r="N40" s="133"/>
      <c r="O40" s="133"/>
      <c r="P40" s="129"/>
      <c r="Z40" s="75"/>
      <c r="AA40" s="76"/>
      <c r="AB40" s="76"/>
      <c r="AC40" s="129"/>
      <c r="AD40" s="134"/>
      <c r="AE40" s="134"/>
      <c r="AF40" s="134"/>
      <c r="AG40" s="134"/>
      <c r="AH40" s="134"/>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134"/>
      <c r="BG40" s="134"/>
      <c r="BH40" s="134"/>
      <c r="BI40" s="134"/>
      <c r="BJ40" s="134"/>
      <c r="BK40" s="134"/>
      <c r="BL40" s="134"/>
      <c r="BM40" s="135"/>
      <c r="BN40" s="136" t="n">
        <f aca="false">+MAX($D$3,DATOS_[[#This Row],[Fecha Inicio Sit. Contract.]])</f>
        <v>0</v>
      </c>
      <c r="BO40" s="136" t="n">
        <f aca="false">+MIN($D$4,DATOS_[[#This Row],[Fecha Fin Sit. Contract.]])</f>
        <v>0</v>
      </c>
      <c r="BP40" s="137" t="n">
        <f aca="false">+DATOS_[[#This Row],[% de jornada]]*IF(DATOS_[[#This Row],[% jornada reducida]]="",1,DATOS_[[#This Row],[% jornada reducida]])</f>
        <v>0</v>
      </c>
      <c r="BQ40" s="137" t="n">
        <f aca="false">+(DATOS_[[#This Row],[F.fin.cal]]-DATOS_[[#This Row],[F.ini.cal]]+1)/($D$4-$D$3+1)</f>
        <v>1</v>
      </c>
      <c r="BR40" s="137" t="str">
        <f aca="false">IF(OR(AND(DATOS_[[#This Row],[Fecha Fin Contrato]]&lt;$D$3,DATOS_[[#This Row],[Fecha Fin Contrato]]&lt;&gt;""),DATOS_[[#This Row],[Fecha de Contratación]]&gt;$D$4),"Fuera","Dentro")</f>
        <v>Dentro</v>
      </c>
      <c r="BS40" s="137" t="str">
        <f aca="false" t="array" ref="BS40:BS40">IF(MAX(IF(DATOS_[id]=DATOS_[[#This Row],[id]],DATOS_[F.fin.cal]))=DATOS_[[#This Row],[F.fin.cal]],"Sí","NO")</f>
        <v>Sí</v>
      </c>
      <c r="BT40" s="137" t="str">
        <f aca="false">IF(AND(DATOS_[[#This Row],[% normaliz]]&lt;&gt;1,DATOS_[[#This Row],[% anualiz]]=1),"Sí","NO")</f>
        <v>Sí</v>
      </c>
      <c r="BU40" s="137" t="str">
        <f aca="false">IF(AND(DATOS_[[#This Row],[% normaliz]]=1,DATOS_[[#This Row],[% anualiz]]&lt;&gt;1),"Sí","NO")</f>
        <v>NO</v>
      </c>
      <c r="BV40" s="137" t="str">
        <f aca="false">IF(AND(DATOS_[[#This Row],[% normaliz]]&lt;&gt;1,DATOS_[[#This Row],[% anualiz]]&lt;&gt;1),"Sí","NO")</f>
        <v>NO</v>
      </c>
      <c r="BW40" s="137" t="str">
        <f aca="false">+IF(DATOS_[[#This Row],[% normaliz]]*DATOS_[[#This Row],[% anualiz]]=1,"NO","Sí")</f>
        <v>Sí</v>
      </c>
      <c r="BX40" s="138" t="e">
        <f aca="false">(DATOS_[[#This Row],[S.BASE]]*(1/DATOS_[[#This Row],[% normaliz]])*(1/DATOS_[[#This Row],[% anualiz]]))*IF(DATOS_[[#This Row],[Check Equiparado]]="Sí",1,0)</f>
        <v>#DIV/0!</v>
      </c>
      <c r="BY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 s="138" t="e">
        <f aca="false">+DATOS_[[#This Row],[SALARIO BASE Eq]]+DATOS_[[#This Row],[Tot COMPL.SAL Eq]]</f>
        <v>#DIV/0!</v>
      </c>
      <c r="CA40" s="138" t="e">
        <f aca="false" t="array" ref="CA40: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 s="138" t="e">
        <f aca="false">+DATOS_[[#This Row],[TOTAL SALARIO Eq]]+DATOS_[[#This Row],[Tot Extrasalarial Eq]]</f>
        <v>#DIV/0!</v>
      </c>
      <c r="CC40" s="139" t="n">
        <f aca="false">DATOS_[[#This Row],[S.BASE]]</f>
        <v>0</v>
      </c>
      <c r="CD40" s="139" t="n">
        <f aca="false">+SUM(DATOS_[[#This Row],[Conc.Sal.01]:[Conc.Sal.30]])</f>
        <v>0</v>
      </c>
      <c r="CE40" s="139" t="n">
        <f aca="false">+DATOS_[[#This Row],[SALARIO BASE Ef]]+DATOS_[[#This Row],[Tot COMPL.SAL Ef]]</f>
        <v>0</v>
      </c>
      <c r="CF40" s="139" t="n">
        <f aca="false">+SUM(DATOS_[[#This Row],[C.Extra.01]:[C.Extra.05]])</f>
        <v>0</v>
      </c>
      <c r="CG40" s="139" t="n">
        <f aca="false">+DATOS_[[#This Row],[TOTAL SALARIO Ef]]+DATOS_[[#This Row],[Tot Extrasalarial Ef]]</f>
        <v>0</v>
      </c>
      <c r="CH40" s="140" t="n">
        <f aca="false">MIN(IF(DATOS_[[#This Row],[Fecha Fin Contrato]]="",$D$4,DATOS_[[#This Row],[Fecha Fin Contrato]]),$D$4)-MAX(DATOS_[[#This Row],[Fecha de Contratación]],$D$3)+1</f>
        <v>1</v>
      </c>
      <c r="CI40" s="141" t="str">
        <f aca="false">IF(COUNTIFS(DATOS_[id],DATOS_[[#This Row],[id]])&gt;1,DATOS_[[#This Row],[id]],"")</f>
        <v/>
      </c>
      <c r="CJ40" s="141" t="n">
        <f aca="false">(Inicio!$G$10-DATOS_[[#This Row],[Fecha Nacimiento]])/365.25</f>
        <v>0</v>
      </c>
      <c r="CK40" s="141" t="n">
        <f aca="false">(Inicio!$G$10-DATOS_[[#This Row],[Fecha de Antigüedad]])/365.25</f>
        <v>0</v>
      </c>
      <c r="CL40" s="141" t="e">
        <f aca="false">+VLOOKUP(DATOS_[[#This Row],[Clave de Contrato]],TblTiposContrato13[],3,0)</f>
        <v>#N/A</v>
      </c>
      <c r="CM40" s="141" t="e">
        <f aca="false">+VLOOKUP(DATOS_[[#This Row],[Clave de Contrato]],TblTiposContrato13[],4,0)</f>
        <v>#N/A</v>
      </c>
      <c r="CN40" s="141" t="str">
        <f aca="false">VLOOKUP(DATOS_[[#This Row],[Edad]],CONTRATOS!TblRngEdad,2,1)</f>
        <v>20  o menos</v>
      </c>
      <c r="CO40" s="141" t="str">
        <f aca="false">VLOOKUP(DATOS_[[#This Row],[Antigüedad]],TblRngAntg14[],2,1)</f>
        <v>0 a 1 años</v>
      </c>
    </row>
    <row r="41" customFormat="false" ht="13.8" hidden="false" customHeight="false" outlineLevel="0" collapsed="false">
      <c r="D41" s="128"/>
      <c r="E41" s="129"/>
      <c r="F41" s="129"/>
      <c r="G41" s="129"/>
      <c r="H41" s="130"/>
      <c r="I41" s="131"/>
      <c r="J41" s="128"/>
      <c r="K41" s="132"/>
      <c r="L41" s="132"/>
      <c r="M41" s="133"/>
      <c r="N41" s="133"/>
      <c r="O41" s="133"/>
      <c r="P41" s="129"/>
      <c r="Z41" s="75"/>
      <c r="AA41" s="76"/>
      <c r="AB41" s="76"/>
      <c r="AC41" s="129"/>
      <c r="AD41" s="134"/>
      <c r="AE41" s="134"/>
      <c r="AF41" s="134"/>
      <c r="AG41" s="134"/>
      <c r="AH41" s="134"/>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134"/>
      <c r="BG41" s="134"/>
      <c r="BH41" s="134"/>
      <c r="BI41" s="134"/>
      <c r="BJ41" s="134"/>
      <c r="BK41" s="134"/>
      <c r="BL41" s="134"/>
      <c r="BM41" s="135"/>
      <c r="BN41" s="136" t="n">
        <f aca="false">+MAX($D$3,DATOS_[[#This Row],[Fecha Inicio Sit. Contract.]])</f>
        <v>0</v>
      </c>
      <c r="BO41" s="136" t="n">
        <f aca="false">+MIN($D$4,DATOS_[[#This Row],[Fecha Fin Sit. Contract.]])</f>
        <v>0</v>
      </c>
      <c r="BP41" s="137" t="n">
        <f aca="false">+DATOS_[[#This Row],[% de jornada]]*IF(DATOS_[[#This Row],[% jornada reducida]]="",1,DATOS_[[#This Row],[% jornada reducida]])</f>
        <v>0</v>
      </c>
      <c r="BQ41" s="137" t="n">
        <f aca="false">+(DATOS_[[#This Row],[F.fin.cal]]-DATOS_[[#This Row],[F.ini.cal]]+1)/($D$4-$D$3+1)</f>
        <v>1</v>
      </c>
      <c r="BR41" s="137" t="str">
        <f aca="false">IF(OR(AND(DATOS_[[#This Row],[Fecha Fin Contrato]]&lt;$D$3,DATOS_[[#This Row],[Fecha Fin Contrato]]&lt;&gt;""),DATOS_[[#This Row],[Fecha de Contratación]]&gt;$D$4),"Fuera","Dentro")</f>
        <v>Dentro</v>
      </c>
      <c r="BS41" s="137" t="str">
        <f aca="false" t="array" ref="BS41:BS41">IF(MAX(IF(DATOS_[id]=DATOS_[[#This Row],[id]],DATOS_[F.fin.cal]))=DATOS_[[#This Row],[F.fin.cal]],"Sí","NO")</f>
        <v>Sí</v>
      </c>
      <c r="BT41" s="137" t="str">
        <f aca="false">IF(AND(DATOS_[[#This Row],[% normaliz]]&lt;&gt;1,DATOS_[[#This Row],[% anualiz]]=1),"Sí","NO")</f>
        <v>Sí</v>
      </c>
      <c r="BU41" s="137" t="str">
        <f aca="false">IF(AND(DATOS_[[#This Row],[% normaliz]]=1,DATOS_[[#This Row],[% anualiz]]&lt;&gt;1),"Sí","NO")</f>
        <v>NO</v>
      </c>
      <c r="BV41" s="137" t="str">
        <f aca="false">IF(AND(DATOS_[[#This Row],[% normaliz]]&lt;&gt;1,DATOS_[[#This Row],[% anualiz]]&lt;&gt;1),"Sí","NO")</f>
        <v>NO</v>
      </c>
      <c r="BW41" s="137" t="str">
        <f aca="false">+IF(DATOS_[[#This Row],[% normaliz]]*DATOS_[[#This Row],[% anualiz]]=1,"NO","Sí")</f>
        <v>Sí</v>
      </c>
      <c r="BX41" s="138" t="e">
        <f aca="false">(DATOS_[[#This Row],[S.BASE]]*(1/DATOS_[[#This Row],[% normaliz]])*(1/DATOS_[[#This Row],[% anualiz]]))*IF(DATOS_[[#This Row],[Check Equiparado]]="Sí",1,0)</f>
        <v>#DIV/0!</v>
      </c>
      <c r="BY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 s="138" t="e">
        <f aca="false">+DATOS_[[#This Row],[SALARIO BASE Eq]]+DATOS_[[#This Row],[Tot COMPL.SAL Eq]]</f>
        <v>#DIV/0!</v>
      </c>
      <c r="CA41" s="138" t="e">
        <f aca="false" t="array" ref="CA41: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 s="138" t="e">
        <f aca="false">+DATOS_[[#This Row],[TOTAL SALARIO Eq]]+DATOS_[[#This Row],[Tot Extrasalarial Eq]]</f>
        <v>#DIV/0!</v>
      </c>
      <c r="CC41" s="139" t="n">
        <f aca="false">DATOS_[[#This Row],[S.BASE]]</f>
        <v>0</v>
      </c>
      <c r="CD41" s="139" t="n">
        <f aca="false">+SUM(DATOS_[[#This Row],[Conc.Sal.01]:[Conc.Sal.30]])</f>
        <v>0</v>
      </c>
      <c r="CE41" s="139" t="n">
        <f aca="false">+DATOS_[[#This Row],[SALARIO BASE Ef]]+DATOS_[[#This Row],[Tot COMPL.SAL Ef]]</f>
        <v>0</v>
      </c>
      <c r="CF41" s="139" t="n">
        <f aca="false">+SUM(DATOS_[[#This Row],[C.Extra.01]:[C.Extra.05]])</f>
        <v>0</v>
      </c>
      <c r="CG41" s="139" t="n">
        <f aca="false">+DATOS_[[#This Row],[TOTAL SALARIO Ef]]+DATOS_[[#This Row],[Tot Extrasalarial Ef]]</f>
        <v>0</v>
      </c>
      <c r="CH41" s="140" t="n">
        <f aca="false">MIN(IF(DATOS_[[#This Row],[Fecha Fin Contrato]]="",$D$4,DATOS_[[#This Row],[Fecha Fin Contrato]]),$D$4)-MAX(DATOS_[[#This Row],[Fecha de Contratación]],$D$3)+1</f>
        <v>1</v>
      </c>
      <c r="CI41" s="141" t="str">
        <f aca="false">IF(COUNTIFS(DATOS_[id],DATOS_[[#This Row],[id]])&gt;1,DATOS_[[#This Row],[id]],"")</f>
        <v/>
      </c>
      <c r="CJ41" s="141" t="n">
        <f aca="false">(Inicio!$G$10-DATOS_[[#This Row],[Fecha Nacimiento]])/365.25</f>
        <v>0</v>
      </c>
      <c r="CK41" s="141" t="n">
        <f aca="false">(Inicio!$G$10-DATOS_[[#This Row],[Fecha de Antigüedad]])/365.25</f>
        <v>0</v>
      </c>
      <c r="CL41" s="141" t="e">
        <f aca="false">+VLOOKUP(DATOS_[[#This Row],[Clave de Contrato]],TblTiposContrato13[],3,0)</f>
        <v>#N/A</v>
      </c>
      <c r="CM41" s="141" t="e">
        <f aca="false">+VLOOKUP(DATOS_[[#This Row],[Clave de Contrato]],TblTiposContrato13[],4,0)</f>
        <v>#N/A</v>
      </c>
      <c r="CN41" s="141" t="str">
        <f aca="false">VLOOKUP(DATOS_[[#This Row],[Edad]],CONTRATOS!TblRngEdad,2,1)</f>
        <v>20  o menos</v>
      </c>
      <c r="CO41" s="141" t="str">
        <f aca="false">VLOOKUP(DATOS_[[#This Row],[Antigüedad]],TblRngAntg14[],2,1)</f>
        <v>0 a 1 años</v>
      </c>
    </row>
    <row r="42" customFormat="false" ht="13.8" hidden="false" customHeight="false" outlineLevel="0" collapsed="false">
      <c r="D42" s="128"/>
      <c r="E42" s="129"/>
      <c r="F42" s="129"/>
      <c r="G42" s="129"/>
      <c r="H42" s="130"/>
      <c r="I42" s="131"/>
      <c r="J42" s="128"/>
      <c r="K42" s="132"/>
      <c r="L42" s="132"/>
      <c r="M42" s="133"/>
      <c r="N42" s="133"/>
      <c r="O42" s="133"/>
      <c r="P42" s="129"/>
      <c r="Z42" s="75"/>
      <c r="AA42" s="76"/>
      <c r="AB42" s="76"/>
      <c r="AC42" s="129"/>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5"/>
      <c r="BN42" s="136" t="n">
        <f aca="false">+MAX($D$3,DATOS_[[#This Row],[Fecha Inicio Sit. Contract.]])</f>
        <v>0</v>
      </c>
      <c r="BO42" s="136" t="n">
        <f aca="false">+MIN($D$4,DATOS_[[#This Row],[Fecha Fin Sit. Contract.]])</f>
        <v>0</v>
      </c>
      <c r="BP42" s="137" t="n">
        <f aca="false">+DATOS_[[#This Row],[% de jornada]]*IF(DATOS_[[#This Row],[% jornada reducida]]="",1,DATOS_[[#This Row],[% jornada reducida]])</f>
        <v>0</v>
      </c>
      <c r="BQ42" s="137" t="n">
        <f aca="false">+(DATOS_[[#This Row],[F.fin.cal]]-DATOS_[[#This Row],[F.ini.cal]]+1)/($D$4-$D$3+1)</f>
        <v>1</v>
      </c>
      <c r="BR42" s="137" t="str">
        <f aca="false">IF(OR(AND(DATOS_[[#This Row],[Fecha Fin Contrato]]&lt;$D$3,DATOS_[[#This Row],[Fecha Fin Contrato]]&lt;&gt;""),DATOS_[[#This Row],[Fecha de Contratación]]&gt;$D$4),"Fuera","Dentro")</f>
        <v>Dentro</v>
      </c>
      <c r="BS42" s="137" t="str">
        <f aca="false" t="array" ref="BS42:BS42">IF(MAX(IF(DATOS_[id]=DATOS_[[#This Row],[id]],DATOS_[F.fin.cal]))=DATOS_[[#This Row],[F.fin.cal]],"Sí","NO")</f>
        <v>Sí</v>
      </c>
      <c r="BT42" s="137" t="str">
        <f aca="false">IF(AND(DATOS_[[#This Row],[% normaliz]]&lt;&gt;1,DATOS_[[#This Row],[% anualiz]]=1),"Sí","NO")</f>
        <v>Sí</v>
      </c>
      <c r="BU42" s="137" t="str">
        <f aca="false">IF(AND(DATOS_[[#This Row],[% normaliz]]=1,DATOS_[[#This Row],[% anualiz]]&lt;&gt;1),"Sí","NO")</f>
        <v>NO</v>
      </c>
      <c r="BV42" s="137" t="str">
        <f aca="false">IF(AND(DATOS_[[#This Row],[% normaliz]]&lt;&gt;1,DATOS_[[#This Row],[% anualiz]]&lt;&gt;1),"Sí","NO")</f>
        <v>NO</v>
      </c>
      <c r="BW42" s="137" t="str">
        <f aca="false">+IF(DATOS_[[#This Row],[% normaliz]]*DATOS_[[#This Row],[% anualiz]]=1,"NO","Sí")</f>
        <v>Sí</v>
      </c>
      <c r="BX42" s="138" t="e">
        <f aca="false">(DATOS_[[#This Row],[S.BASE]]*(1/DATOS_[[#This Row],[% normaliz]])*(1/DATOS_[[#This Row],[% anualiz]]))*IF(DATOS_[[#This Row],[Check Equiparado]]="Sí",1,0)</f>
        <v>#DIV/0!</v>
      </c>
      <c r="BY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 s="138" t="e">
        <f aca="false">+DATOS_[[#This Row],[SALARIO BASE Eq]]+DATOS_[[#This Row],[Tot COMPL.SAL Eq]]</f>
        <v>#DIV/0!</v>
      </c>
      <c r="CA42" s="138" t="e">
        <f aca="false" t="array" ref="CA42: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 s="138" t="e">
        <f aca="false">+DATOS_[[#This Row],[TOTAL SALARIO Eq]]+DATOS_[[#This Row],[Tot Extrasalarial Eq]]</f>
        <v>#DIV/0!</v>
      </c>
      <c r="CC42" s="139" t="n">
        <f aca="false">DATOS_[[#This Row],[S.BASE]]</f>
        <v>0</v>
      </c>
      <c r="CD42" s="139" t="n">
        <f aca="false">+SUM(DATOS_[[#This Row],[Conc.Sal.01]:[Conc.Sal.30]])</f>
        <v>0</v>
      </c>
      <c r="CE42" s="139" t="n">
        <f aca="false">+DATOS_[[#This Row],[SALARIO BASE Ef]]+DATOS_[[#This Row],[Tot COMPL.SAL Ef]]</f>
        <v>0</v>
      </c>
      <c r="CF42" s="139" t="n">
        <f aca="false">+SUM(DATOS_[[#This Row],[C.Extra.01]:[C.Extra.05]])</f>
        <v>0</v>
      </c>
      <c r="CG42" s="139" t="n">
        <f aca="false">+DATOS_[[#This Row],[TOTAL SALARIO Ef]]+DATOS_[[#This Row],[Tot Extrasalarial Ef]]</f>
        <v>0</v>
      </c>
      <c r="CH42" s="140" t="n">
        <f aca="false">MIN(IF(DATOS_[[#This Row],[Fecha Fin Contrato]]="",$D$4,DATOS_[[#This Row],[Fecha Fin Contrato]]),$D$4)-MAX(DATOS_[[#This Row],[Fecha de Contratación]],$D$3)+1</f>
        <v>1</v>
      </c>
      <c r="CI42" s="141" t="str">
        <f aca="false">IF(COUNTIFS(DATOS_[id],DATOS_[[#This Row],[id]])&gt;1,DATOS_[[#This Row],[id]],"")</f>
        <v/>
      </c>
      <c r="CJ42" s="141" t="n">
        <f aca="false">(Inicio!$G$10-DATOS_[[#This Row],[Fecha Nacimiento]])/365.25</f>
        <v>0</v>
      </c>
      <c r="CK42" s="141" t="n">
        <f aca="false">(Inicio!$G$10-DATOS_[[#This Row],[Fecha de Antigüedad]])/365.25</f>
        <v>0</v>
      </c>
      <c r="CL42" s="141" t="e">
        <f aca="false">+VLOOKUP(DATOS_[[#This Row],[Clave de Contrato]],TblTiposContrato13[],3,0)</f>
        <v>#N/A</v>
      </c>
      <c r="CM42" s="141" t="e">
        <f aca="false">+VLOOKUP(DATOS_[[#This Row],[Clave de Contrato]],TblTiposContrato13[],4,0)</f>
        <v>#N/A</v>
      </c>
      <c r="CN42" s="141" t="str">
        <f aca="false">VLOOKUP(DATOS_[[#This Row],[Edad]],CONTRATOS!TblRngEdad,2,1)</f>
        <v>20  o menos</v>
      </c>
      <c r="CO42" s="141" t="str">
        <f aca="false">VLOOKUP(DATOS_[[#This Row],[Antigüedad]],TblRngAntg14[],2,1)</f>
        <v>0 a 1 años</v>
      </c>
    </row>
    <row r="43" customFormat="false" ht="13.8" hidden="false" customHeight="false" outlineLevel="0" collapsed="false">
      <c r="D43" s="128"/>
      <c r="E43" s="129"/>
      <c r="F43" s="129"/>
      <c r="G43" s="129"/>
      <c r="H43" s="130"/>
      <c r="I43" s="131"/>
      <c r="J43" s="128"/>
      <c r="K43" s="132"/>
      <c r="L43" s="132"/>
      <c r="M43" s="133"/>
      <c r="N43" s="133"/>
      <c r="O43" s="133"/>
      <c r="P43" s="129"/>
      <c r="Z43" s="75"/>
      <c r="AA43" s="76"/>
      <c r="AB43" s="76"/>
      <c r="AC43" s="129"/>
      <c r="AD43" s="134"/>
      <c r="AE43" s="134"/>
      <c r="AF43" s="134"/>
      <c r="AG43" s="134"/>
      <c r="AH43" s="134"/>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134"/>
      <c r="BG43" s="134"/>
      <c r="BH43" s="134"/>
      <c r="BI43" s="134"/>
      <c r="BJ43" s="134"/>
      <c r="BK43" s="134"/>
      <c r="BL43" s="134"/>
      <c r="BM43" s="135"/>
      <c r="BN43" s="136" t="n">
        <f aca="false">+MAX($D$3,DATOS_[[#This Row],[Fecha Inicio Sit. Contract.]])</f>
        <v>0</v>
      </c>
      <c r="BO43" s="136" t="n">
        <f aca="false">+MIN($D$4,DATOS_[[#This Row],[Fecha Fin Sit. Contract.]])</f>
        <v>0</v>
      </c>
      <c r="BP43" s="137" t="n">
        <f aca="false">+DATOS_[[#This Row],[% de jornada]]*IF(DATOS_[[#This Row],[% jornada reducida]]="",1,DATOS_[[#This Row],[% jornada reducida]])</f>
        <v>0</v>
      </c>
      <c r="BQ43" s="137" t="n">
        <f aca="false">+(DATOS_[[#This Row],[F.fin.cal]]-DATOS_[[#This Row],[F.ini.cal]]+1)/($D$4-$D$3+1)</f>
        <v>1</v>
      </c>
      <c r="BR43" s="137" t="str">
        <f aca="false">IF(OR(AND(DATOS_[[#This Row],[Fecha Fin Contrato]]&lt;$D$3,DATOS_[[#This Row],[Fecha Fin Contrato]]&lt;&gt;""),DATOS_[[#This Row],[Fecha de Contratación]]&gt;$D$4),"Fuera","Dentro")</f>
        <v>Dentro</v>
      </c>
      <c r="BS43" s="137" t="str">
        <f aca="false" t="array" ref="BS43:BS43">IF(MAX(IF(DATOS_[id]=DATOS_[[#This Row],[id]],DATOS_[F.fin.cal]))=DATOS_[[#This Row],[F.fin.cal]],"Sí","NO")</f>
        <v>Sí</v>
      </c>
      <c r="BT43" s="137" t="str">
        <f aca="false">IF(AND(DATOS_[[#This Row],[% normaliz]]&lt;&gt;1,DATOS_[[#This Row],[% anualiz]]=1),"Sí","NO")</f>
        <v>Sí</v>
      </c>
      <c r="BU43" s="137" t="str">
        <f aca="false">IF(AND(DATOS_[[#This Row],[% normaliz]]=1,DATOS_[[#This Row],[% anualiz]]&lt;&gt;1),"Sí","NO")</f>
        <v>NO</v>
      </c>
      <c r="BV43" s="137" t="str">
        <f aca="false">IF(AND(DATOS_[[#This Row],[% normaliz]]&lt;&gt;1,DATOS_[[#This Row],[% anualiz]]&lt;&gt;1),"Sí","NO")</f>
        <v>NO</v>
      </c>
      <c r="BW43" s="137" t="str">
        <f aca="false">+IF(DATOS_[[#This Row],[% normaliz]]*DATOS_[[#This Row],[% anualiz]]=1,"NO","Sí")</f>
        <v>Sí</v>
      </c>
      <c r="BX43" s="138" t="e">
        <f aca="false">(DATOS_[[#This Row],[S.BASE]]*(1/DATOS_[[#This Row],[% normaliz]])*(1/DATOS_[[#This Row],[% anualiz]]))*IF(DATOS_[[#This Row],[Check Equiparado]]="Sí",1,0)</f>
        <v>#DIV/0!</v>
      </c>
      <c r="BY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 s="138" t="e">
        <f aca="false">+DATOS_[[#This Row],[SALARIO BASE Eq]]+DATOS_[[#This Row],[Tot COMPL.SAL Eq]]</f>
        <v>#DIV/0!</v>
      </c>
      <c r="CA43" s="138" t="e">
        <f aca="false" t="array" ref="CA43: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 s="138" t="e">
        <f aca="false">+DATOS_[[#This Row],[TOTAL SALARIO Eq]]+DATOS_[[#This Row],[Tot Extrasalarial Eq]]</f>
        <v>#DIV/0!</v>
      </c>
      <c r="CC43" s="139" t="n">
        <f aca="false">DATOS_[[#This Row],[S.BASE]]</f>
        <v>0</v>
      </c>
      <c r="CD43" s="139" t="n">
        <f aca="false">+SUM(DATOS_[[#This Row],[Conc.Sal.01]:[Conc.Sal.30]])</f>
        <v>0</v>
      </c>
      <c r="CE43" s="139" t="n">
        <f aca="false">+DATOS_[[#This Row],[SALARIO BASE Ef]]+DATOS_[[#This Row],[Tot COMPL.SAL Ef]]</f>
        <v>0</v>
      </c>
      <c r="CF43" s="139" t="n">
        <f aca="false">+SUM(DATOS_[[#This Row],[C.Extra.01]:[C.Extra.05]])</f>
        <v>0</v>
      </c>
      <c r="CG43" s="139" t="n">
        <f aca="false">+DATOS_[[#This Row],[TOTAL SALARIO Ef]]+DATOS_[[#This Row],[Tot Extrasalarial Ef]]</f>
        <v>0</v>
      </c>
      <c r="CH43" s="140" t="n">
        <f aca="false">MIN(IF(DATOS_[[#This Row],[Fecha Fin Contrato]]="",$D$4,DATOS_[[#This Row],[Fecha Fin Contrato]]),$D$4)-MAX(DATOS_[[#This Row],[Fecha de Contratación]],$D$3)+1</f>
        <v>1</v>
      </c>
      <c r="CI43" s="141" t="str">
        <f aca="false">IF(COUNTIFS(DATOS_[id],DATOS_[[#This Row],[id]])&gt;1,DATOS_[[#This Row],[id]],"")</f>
        <v/>
      </c>
      <c r="CJ43" s="141" t="n">
        <f aca="false">(Inicio!$G$10-DATOS_[[#This Row],[Fecha Nacimiento]])/365.25</f>
        <v>0</v>
      </c>
      <c r="CK43" s="141" t="n">
        <f aca="false">(Inicio!$G$10-DATOS_[[#This Row],[Fecha de Antigüedad]])/365.25</f>
        <v>0</v>
      </c>
      <c r="CL43" s="141" t="e">
        <f aca="false">+VLOOKUP(DATOS_[[#This Row],[Clave de Contrato]],TblTiposContrato13[],3,0)</f>
        <v>#N/A</v>
      </c>
      <c r="CM43" s="141" t="e">
        <f aca="false">+VLOOKUP(DATOS_[[#This Row],[Clave de Contrato]],TblTiposContrato13[],4,0)</f>
        <v>#N/A</v>
      </c>
      <c r="CN43" s="141" t="str">
        <f aca="false">VLOOKUP(DATOS_[[#This Row],[Edad]],CONTRATOS!TblRngEdad,2,1)</f>
        <v>20  o menos</v>
      </c>
      <c r="CO43" s="141" t="str">
        <f aca="false">VLOOKUP(DATOS_[[#This Row],[Antigüedad]],TblRngAntg14[],2,1)</f>
        <v>0 a 1 años</v>
      </c>
    </row>
    <row r="44" customFormat="false" ht="13.8" hidden="false" customHeight="false" outlineLevel="0" collapsed="false">
      <c r="D44" s="128"/>
      <c r="E44" s="129"/>
      <c r="F44" s="129"/>
      <c r="G44" s="129"/>
      <c r="H44" s="130"/>
      <c r="I44" s="131"/>
      <c r="J44" s="128"/>
      <c r="K44" s="132"/>
      <c r="L44" s="132"/>
      <c r="M44" s="133"/>
      <c r="N44" s="133"/>
      <c r="O44" s="133"/>
      <c r="P44" s="129"/>
      <c r="Z44" s="75"/>
      <c r="AA44" s="76"/>
      <c r="AB44" s="76"/>
      <c r="AC44" s="129"/>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5"/>
      <c r="BN44" s="136" t="n">
        <f aca="false">+MAX($D$3,DATOS_[[#This Row],[Fecha Inicio Sit. Contract.]])</f>
        <v>0</v>
      </c>
      <c r="BO44" s="136" t="n">
        <f aca="false">+MIN($D$4,DATOS_[[#This Row],[Fecha Fin Sit. Contract.]])</f>
        <v>0</v>
      </c>
      <c r="BP44" s="137" t="n">
        <f aca="false">+DATOS_[[#This Row],[% de jornada]]*IF(DATOS_[[#This Row],[% jornada reducida]]="",1,DATOS_[[#This Row],[% jornada reducida]])</f>
        <v>0</v>
      </c>
      <c r="BQ44" s="137" t="n">
        <f aca="false">+(DATOS_[[#This Row],[F.fin.cal]]-DATOS_[[#This Row],[F.ini.cal]]+1)/($D$4-$D$3+1)</f>
        <v>1</v>
      </c>
      <c r="BR44" s="137" t="str">
        <f aca="false">IF(OR(AND(DATOS_[[#This Row],[Fecha Fin Contrato]]&lt;$D$3,DATOS_[[#This Row],[Fecha Fin Contrato]]&lt;&gt;""),DATOS_[[#This Row],[Fecha de Contratación]]&gt;$D$4),"Fuera","Dentro")</f>
        <v>Dentro</v>
      </c>
      <c r="BS44" s="137" t="str">
        <f aca="false" t="array" ref="BS44:BS44">IF(MAX(IF(DATOS_[id]=DATOS_[[#This Row],[id]],DATOS_[F.fin.cal]))=DATOS_[[#This Row],[F.fin.cal]],"Sí","NO")</f>
        <v>Sí</v>
      </c>
      <c r="BT44" s="137" t="str">
        <f aca="false">IF(AND(DATOS_[[#This Row],[% normaliz]]&lt;&gt;1,DATOS_[[#This Row],[% anualiz]]=1),"Sí","NO")</f>
        <v>Sí</v>
      </c>
      <c r="BU44" s="137" t="str">
        <f aca="false">IF(AND(DATOS_[[#This Row],[% normaliz]]=1,DATOS_[[#This Row],[% anualiz]]&lt;&gt;1),"Sí","NO")</f>
        <v>NO</v>
      </c>
      <c r="BV44" s="137" t="str">
        <f aca="false">IF(AND(DATOS_[[#This Row],[% normaliz]]&lt;&gt;1,DATOS_[[#This Row],[% anualiz]]&lt;&gt;1),"Sí","NO")</f>
        <v>NO</v>
      </c>
      <c r="BW44" s="137" t="str">
        <f aca="false">+IF(DATOS_[[#This Row],[% normaliz]]*DATOS_[[#This Row],[% anualiz]]=1,"NO","Sí")</f>
        <v>Sí</v>
      </c>
      <c r="BX44" s="138" t="e">
        <f aca="false">(DATOS_[[#This Row],[S.BASE]]*(1/DATOS_[[#This Row],[% normaliz]])*(1/DATOS_[[#This Row],[% anualiz]]))*IF(DATOS_[[#This Row],[Check Equiparado]]="Sí",1,0)</f>
        <v>#DIV/0!</v>
      </c>
      <c r="BY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 s="138" t="e">
        <f aca="false">+DATOS_[[#This Row],[SALARIO BASE Eq]]+DATOS_[[#This Row],[Tot COMPL.SAL Eq]]</f>
        <v>#DIV/0!</v>
      </c>
      <c r="CA44" s="138" t="e">
        <f aca="false" t="array" ref="CA44: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 s="138" t="e">
        <f aca="false">+DATOS_[[#This Row],[TOTAL SALARIO Eq]]+DATOS_[[#This Row],[Tot Extrasalarial Eq]]</f>
        <v>#DIV/0!</v>
      </c>
      <c r="CC44" s="139" t="n">
        <f aca="false">DATOS_[[#This Row],[S.BASE]]</f>
        <v>0</v>
      </c>
      <c r="CD44" s="139" t="n">
        <f aca="false">+SUM(DATOS_[[#This Row],[Conc.Sal.01]:[Conc.Sal.30]])</f>
        <v>0</v>
      </c>
      <c r="CE44" s="139" t="n">
        <f aca="false">+DATOS_[[#This Row],[SALARIO BASE Ef]]+DATOS_[[#This Row],[Tot COMPL.SAL Ef]]</f>
        <v>0</v>
      </c>
      <c r="CF44" s="139" t="n">
        <f aca="false">+SUM(DATOS_[[#This Row],[C.Extra.01]:[C.Extra.05]])</f>
        <v>0</v>
      </c>
      <c r="CG44" s="139" t="n">
        <f aca="false">+DATOS_[[#This Row],[TOTAL SALARIO Ef]]+DATOS_[[#This Row],[Tot Extrasalarial Ef]]</f>
        <v>0</v>
      </c>
      <c r="CH44" s="140" t="n">
        <f aca="false">MIN(IF(DATOS_[[#This Row],[Fecha Fin Contrato]]="",$D$4,DATOS_[[#This Row],[Fecha Fin Contrato]]),$D$4)-MAX(DATOS_[[#This Row],[Fecha de Contratación]],$D$3)+1</f>
        <v>1</v>
      </c>
      <c r="CI44" s="141" t="str">
        <f aca="false">IF(COUNTIFS(DATOS_[id],DATOS_[[#This Row],[id]])&gt;1,DATOS_[[#This Row],[id]],"")</f>
        <v/>
      </c>
      <c r="CJ44" s="141" t="n">
        <f aca="false">(Inicio!$G$10-DATOS_[[#This Row],[Fecha Nacimiento]])/365.25</f>
        <v>0</v>
      </c>
      <c r="CK44" s="141" t="n">
        <f aca="false">(Inicio!$G$10-DATOS_[[#This Row],[Fecha de Antigüedad]])/365.25</f>
        <v>0</v>
      </c>
      <c r="CL44" s="141" t="e">
        <f aca="false">+VLOOKUP(DATOS_[[#This Row],[Clave de Contrato]],TblTiposContrato13[],3,0)</f>
        <v>#N/A</v>
      </c>
      <c r="CM44" s="141" t="e">
        <f aca="false">+VLOOKUP(DATOS_[[#This Row],[Clave de Contrato]],TblTiposContrato13[],4,0)</f>
        <v>#N/A</v>
      </c>
      <c r="CN44" s="141" t="str">
        <f aca="false">VLOOKUP(DATOS_[[#This Row],[Edad]],CONTRATOS!TblRngEdad,2,1)</f>
        <v>20  o menos</v>
      </c>
      <c r="CO44" s="141" t="str">
        <f aca="false">VLOOKUP(DATOS_[[#This Row],[Antigüedad]],TblRngAntg14[],2,1)</f>
        <v>0 a 1 años</v>
      </c>
    </row>
    <row r="45" customFormat="false" ht="13.8" hidden="false" customHeight="false" outlineLevel="0" collapsed="false">
      <c r="D45" s="128"/>
      <c r="E45" s="129"/>
      <c r="F45" s="129"/>
      <c r="G45" s="129"/>
      <c r="H45" s="130"/>
      <c r="I45" s="131"/>
      <c r="J45" s="128"/>
      <c r="K45" s="132"/>
      <c r="L45" s="132"/>
      <c r="M45" s="133"/>
      <c r="N45" s="133"/>
      <c r="O45" s="133"/>
      <c r="P45" s="129"/>
      <c r="Z45" s="75"/>
      <c r="AA45" s="76"/>
      <c r="AB45" s="76"/>
      <c r="AC45" s="129"/>
      <c r="AD45" s="134"/>
      <c r="AE45" s="134"/>
      <c r="AF45" s="134"/>
      <c r="AG45" s="134"/>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4"/>
      <c r="BH45" s="134"/>
      <c r="BI45" s="134"/>
      <c r="BJ45" s="134"/>
      <c r="BK45" s="134"/>
      <c r="BL45" s="134"/>
      <c r="BM45" s="135"/>
      <c r="BN45" s="136" t="n">
        <f aca="false">+MAX($D$3,DATOS_[[#This Row],[Fecha Inicio Sit. Contract.]])</f>
        <v>0</v>
      </c>
      <c r="BO45" s="136" t="n">
        <f aca="false">+MIN($D$4,DATOS_[[#This Row],[Fecha Fin Sit. Contract.]])</f>
        <v>0</v>
      </c>
      <c r="BP45" s="137" t="n">
        <f aca="false">+DATOS_[[#This Row],[% de jornada]]*IF(DATOS_[[#This Row],[% jornada reducida]]="",1,DATOS_[[#This Row],[% jornada reducida]])</f>
        <v>0</v>
      </c>
      <c r="BQ45" s="137" t="n">
        <f aca="false">+(DATOS_[[#This Row],[F.fin.cal]]-DATOS_[[#This Row],[F.ini.cal]]+1)/($D$4-$D$3+1)</f>
        <v>1</v>
      </c>
      <c r="BR45" s="137" t="str">
        <f aca="false">IF(OR(AND(DATOS_[[#This Row],[Fecha Fin Contrato]]&lt;$D$3,DATOS_[[#This Row],[Fecha Fin Contrato]]&lt;&gt;""),DATOS_[[#This Row],[Fecha de Contratación]]&gt;$D$4),"Fuera","Dentro")</f>
        <v>Dentro</v>
      </c>
      <c r="BS45" s="137" t="str">
        <f aca="false" t="array" ref="BS45:BS45">IF(MAX(IF(DATOS_[id]=DATOS_[[#This Row],[id]],DATOS_[F.fin.cal]))=DATOS_[[#This Row],[F.fin.cal]],"Sí","NO")</f>
        <v>Sí</v>
      </c>
      <c r="BT45" s="137" t="str">
        <f aca="false">IF(AND(DATOS_[[#This Row],[% normaliz]]&lt;&gt;1,DATOS_[[#This Row],[% anualiz]]=1),"Sí","NO")</f>
        <v>Sí</v>
      </c>
      <c r="BU45" s="137" t="str">
        <f aca="false">IF(AND(DATOS_[[#This Row],[% normaliz]]=1,DATOS_[[#This Row],[% anualiz]]&lt;&gt;1),"Sí","NO")</f>
        <v>NO</v>
      </c>
      <c r="BV45" s="137" t="str">
        <f aca="false">IF(AND(DATOS_[[#This Row],[% normaliz]]&lt;&gt;1,DATOS_[[#This Row],[% anualiz]]&lt;&gt;1),"Sí","NO")</f>
        <v>NO</v>
      </c>
      <c r="BW45" s="137" t="str">
        <f aca="false">+IF(DATOS_[[#This Row],[% normaliz]]*DATOS_[[#This Row],[% anualiz]]=1,"NO","Sí")</f>
        <v>Sí</v>
      </c>
      <c r="BX45" s="138" t="e">
        <f aca="false">(DATOS_[[#This Row],[S.BASE]]*(1/DATOS_[[#This Row],[% normaliz]])*(1/DATOS_[[#This Row],[% anualiz]]))*IF(DATOS_[[#This Row],[Check Equiparado]]="Sí",1,0)</f>
        <v>#DIV/0!</v>
      </c>
      <c r="BY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 s="138" t="e">
        <f aca="false">+DATOS_[[#This Row],[SALARIO BASE Eq]]+DATOS_[[#This Row],[Tot COMPL.SAL Eq]]</f>
        <v>#DIV/0!</v>
      </c>
      <c r="CA45" s="138" t="e">
        <f aca="false" t="array" ref="CA45: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 s="138" t="e">
        <f aca="false">+DATOS_[[#This Row],[TOTAL SALARIO Eq]]+DATOS_[[#This Row],[Tot Extrasalarial Eq]]</f>
        <v>#DIV/0!</v>
      </c>
      <c r="CC45" s="139" t="n">
        <f aca="false">DATOS_[[#This Row],[S.BASE]]</f>
        <v>0</v>
      </c>
      <c r="CD45" s="139" t="n">
        <f aca="false">+SUM(DATOS_[[#This Row],[Conc.Sal.01]:[Conc.Sal.30]])</f>
        <v>0</v>
      </c>
      <c r="CE45" s="139" t="n">
        <f aca="false">+DATOS_[[#This Row],[SALARIO BASE Ef]]+DATOS_[[#This Row],[Tot COMPL.SAL Ef]]</f>
        <v>0</v>
      </c>
      <c r="CF45" s="139" t="n">
        <f aca="false">+SUM(DATOS_[[#This Row],[C.Extra.01]:[C.Extra.05]])</f>
        <v>0</v>
      </c>
      <c r="CG45" s="139" t="n">
        <f aca="false">+DATOS_[[#This Row],[TOTAL SALARIO Ef]]+DATOS_[[#This Row],[Tot Extrasalarial Ef]]</f>
        <v>0</v>
      </c>
      <c r="CH45" s="140" t="n">
        <f aca="false">MIN(IF(DATOS_[[#This Row],[Fecha Fin Contrato]]="",$D$4,DATOS_[[#This Row],[Fecha Fin Contrato]]),$D$4)-MAX(DATOS_[[#This Row],[Fecha de Contratación]],$D$3)+1</f>
        <v>1</v>
      </c>
      <c r="CI45" s="141" t="str">
        <f aca="false">IF(COUNTIFS(DATOS_[id],DATOS_[[#This Row],[id]])&gt;1,DATOS_[[#This Row],[id]],"")</f>
        <v/>
      </c>
      <c r="CJ45" s="141" t="n">
        <f aca="false">(Inicio!$G$10-DATOS_[[#This Row],[Fecha Nacimiento]])/365.25</f>
        <v>0</v>
      </c>
      <c r="CK45" s="141" t="n">
        <f aca="false">(Inicio!$G$10-DATOS_[[#This Row],[Fecha de Antigüedad]])/365.25</f>
        <v>0</v>
      </c>
      <c r="CL45" s="141" t="e">
        <f aca="false">+VLOOKUP(DATOS_[[#This Row],[Clave de Contrato]],TblTiposContrato13[],3,0)</f>
        <v>#N/A</v>
      </c>
      <c r="CM45" s="141" t="e">
        <f aca="false">+VLOOKUP(DATOS_[[#This Row],[Clave de Contrato]],TblTiposContrato13[],4,0)</f>
        <v>#N/A</v>
      </c>
      <c r="CN45" s="141" t="str">
        <f aca="false">VLOOKUP(DATOS_[[#This Row],[Edad]],CONTRATOS!TblRngEdad,2,1)</f>
        <v>20  o menos</v>
      </c>
      <c r="CO45" s="141" t="str">
        <f aca="false">VLOOKUP(DATOS_[[#This Row],[Antigüedad]],TblRngAntg14[],2,1)</f>
        <v>0 a 1 años</v>
      </c>
    </row>
    <row r="46" customFormat="false" ht="13.8" hidden="false" customHeight="false" outlineLevel="0" collapsed="false">
      <c r="D46" s="128"/>
      <c r="E46" s="129"/>
      <c r="F46" s="129"/>
      <c r="G46" s="129"/>
      <c r="H46" s="130"/>
      <c r="I46" s="131"/>
      <c r="J46" s="128"/>
      <c r="K46" s="132"/>
      <c r="L46" s="132"/>
      <c r="M46" s="133"/>
      <c r="N46" s="133"/>
      <c r="O46" s="133"/>
      <c r="P46" s="129"/>
      <c r="Z46" s="75"/>
      <c r="AA46" s="76"/>
      <c r="AB46" s="76"/>
      <c r="AC46" s="129"/>
      <c r="AD46" s="134"/>
      <c r="AE46" s="134"/>
      <c r="AF46" s="134"/>
      <c r="AG46" s="134"/>
      <c r="AH46" s="134"/>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5"/>
      <c r="BN46" s="136" t="n">
        <f aca="false">+MAX($D$3,DATOS_[[#This Row],[Fecha Inicio Sit. Contract.]])</f>
        <v>0</v>
      </c>
      <c r="BO46" s="136" t="n">
        <f aca="false">+MIN($D$4,DATOS_[[#This Row],[Fecha Fin Sit. Contract.]])</f>
        <v>0</v>
      </c>
      <c r="BP46" s="137" t="n">
        <f aca="false">+DATOS_[[#This Row],[% de jornada]]*IF(DATOS_[[#This Row],[% jornada reducida]]="",1,DATOS_[[#This Row],[% jornada reducida]])</f>
        <v>0</v>
      </c>
      <c r="BQ46" s="137" t="n">
        <f aca="false">+(DATOS_[[#This Row],[F.fin.cal]]-DATOS_[[#This Row],[F.ini.cal]]+1)/($D$4-$D$3+1)</f>
        <v>1</v>
      </c>
      <c r="BR46" s="137" t="str">
        <f aca="false">IF(OR(AND(DATOS_[[#This Row],[Fecha Fin Contrato]]&lt;$D$3,DATOS_[[#This Row],[Fecha Fin Contrato]]&lt;&gt;""),DATOS_[[#This Row],[Fecha de Contratación]]&gt;$D$4),"Fuera","Dentro")</f>
        <v>Dentro</v>
      </c>
      <c r="BS46" s="137" t="str">
        <f aca="false" t="array" ref="BS46:BS46">IF(MAX(IF(DATOS_[id]=DATOS_[[#This Row],[id]],DATOS_[F.fin.cal]))=DATOS_[[#This Row],[F.fin.cal]],"Sí","NO")</f>
        <v>Sí</v>
      </c>
      <c r="BT46" s="137" t="str">
        <f aca="false">IF(AND(DATOS_[[#This Row],[% normaliz]]&lt;&gt;1,DATOS_[[#This Row],[% anualiz]]=1),"Sí","NO")</f>
        <v>Sí</v>
      </c>
      <c r="BU46" s="137" t="str">
        <f aca="false">IF(AND(DATOS_[[#This Row],[% normaliz]]=1,DATOS_[[#This Row],[% anualiz]]&lt;&gt;1),"Sí","NO")</f>
        <v>NO</v>
      </c>
      <c r="BV46" s="137" t="str">
        <f aca="false">IF(AND(DATOS_[[#This Row],[% normaliz]]&lt;&gt;1,DATOS_[[#This Row],[% anualiz]]&lt;&gt;1),"Sí","NO")</f>
        <v>NO</v>
      </c>
      <c r="BW46" s="137" t="str">
        <f aca="false">+IF(DATOS_[[#This Row],[% normaliz]]*DATOS_[[#This Row],[% anualiz]]=1,"NO","Sí")</f>
        <v>Sí</v>
      </c>
      <c r="BX46" s="138" t="e">
        <f aca="false">(DATOS_[[#This Row],[S.BASE]]*(1/DATOS_[[#This Row],[% normaliz]])*(1/DATOS_[[#This Row],[% anualiz]]))*IF(DATOS_[[#This Row],[Check Equiparado]]="Sí",1,0)</f>
        <v>#DIV/0!</v>
      </c>
      <c r="BY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 s="138" t="e">
        <f aca="false">+DATOS_[[#This Row],[SALARIO BASE Eq]]+DATOS_[[#This Row],[Tot COMPL.SAL Eq]]</f>
        <v>#DIV/0!</v>
      </c>
      <c r="CA46" s="138" t="e">
        <f aca="false" t="array" ref="CA46: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 s="138" t="e">
        <f aca="false">+DATOS_[[#This Row],[TOTAL SALARIO Eq]]+DATOS_[[#This Row],[Tot Extrasalarial Eq]]</f>
        <v>#DIV/0!</v>
      </c>
      <c r="CC46" s="139" t="n">
        <f aca="false">DATOS_[[#This Row],[S.BASE]]</f>
        <v>0</v>
      </c>
      <c r="CD46" s="139" t="n">
        <f aca="false">+SUM(DATOS_[[#This Row],[Conc.Sal.01]:[Conc.Sal.30]])</f>
        <v>0</v>
      </c>
      <c r="CE46" s="139" t="n">
        <f aca="false">+DATOS_[[#This Row],[SALARIO BASE Ef]]+DATOS_[[#This Row],[Tot COMPL.SAL Ef]]</f>
        <v>0</v>
      </c>
      <c r="CF46" s="139" t="n">
        <f aca="false">+SUM(DATOS_[[#This Row],[C.Extra.01]:[C.Extra.05]])</f>
        <v>0</v>
      </c>
      <c r="CG46" s="139" t="n">
        <f aca="false">+DATOS_[[#This Row],[TOTAL SALARIO Ef]]+DATOS_[[#This Row],[Tot Extrasalarial Ef]]</f>
        <v>0</v>
      </c>
      <c r="CH46" s="140" t="n">
        <f aca="false">MIN(IF(DATOS_[[#This Row],[Fecha Fin Contrato]]="",$D$4,DATOS_[[#This Row],[Fecha Fin Contrato]]),$D$4)-MAX(DATOS_[[#This Row],[Fecha de Contratación]],$D$3)+1</f>
        <v>1</v>
      </c>
      <c r="CI46" s="141" t="str">
        <f aca="false">IF(COUNTIFS(DATOS_[id],DATOS_[[#This Row],[id]])&gt;1,DATOS_[[#This Row],[id]],"")</f>
        <v/>
      </c>
      <c r="CJ46" s="141" t="n">
        <f aca="false">(Inicio!$G$10-DATOS_[[#This Row],[Fecha Nacimiento]])/365.25</f>
        <v>0</v>
      </c>
      <c r="CK46" s="141" t="n">
        <f aca="false">(Inicio!$G$10-DATOS_[[#This Row],[Fecha de Antigüedad]])/365.25</f>
        <v>0</v>
      </c>
      <c r="CL46" s="141" t="e">
        <f aca="false">+VLOOKUP(DATOS_[[#This Row],[Clave de Contrato]],TblTiposContrato13[],3,0)</f>
        <v>#N/A</v>
      </c>
      <c r="CM46" s="141" t="e">
        <f aca="false">+VLOOKUP(DATOS_[[#This Row],[Clave de Contrato]],TblTiposContrato13[],4,0)</f>
        <v>#N/A</v>
      </c>
      <c r="CN46" s="141" t="str">
        <f aca="false">VLOOKUP(DATOS_[[#This Row],[Edad]],CONTRATOS!TblRngEdad,2,1)</f>
        <v>20  o menos</v>
      </c>
      <c r="CO46" s="141" t="str">
        <f aca="false">VLOOKUP(DATOS_[[#This Row],[Antigüedad]],TblRngAntg14[],2,1)</f>
        <v>0 a 1 años</v>
      </c>
    </row>
    <row r="47" customFormat="false" ht="13.8" hidden="false" customHeight="false" outlineLevel="0" collapsed="false">
      <c r="D47" s="128"/>
      <c r="E47" s="129"/>
      <c r="F47" s="129"/>
      <c r="G47" s="129"/>
      <c r="H47" s="130"/>
      <c r="I47" s="131"/>
      <c r="J47" s="128"/>
      <c r="K47" s="132"/>
      <c r="L47" s="132"/>
      <c r="M47" s="133"/>
      <c r="N47" s="133"/>
      <c r="O47" s="133"/>
      <c r="P47" s="129"/>
      <c r="Z47" s="75"/>
      <c r="AA47" s="76"/>
      <c r="AB47" s="76"/>
      <c r="AC47" s="129"/>
      <c r="AD47" s="134"/>
      <c r="AE47" s="134"/>
      <c r="AF47" s="134"/>
      <c r="AG47" s="134"/>
      <c r="AH47" s="134"/>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5"/>
      <c r="BN47" s="136" t="n">
        <f aca="false">+MAX($D$3,DATOS_[[#This Row],[Fecha Inicio Sit. Contract.]])</f>
        <v>0</v>
      </c>
      <c r="BO47" s="136" t="n">
        <f aca="false">+MIN($D$4,DATOS_[[#This Row],[Fecha Fin Sit. Contract.]])</f>
        <v>0</v>
      </c>
      <c r="BP47" s="137" t="n">
        <f aca="false">+DATOS_[[#This Row],[% de jornada]]*IF(DATOS_[[#This Row],[% jornada reducida]]="",1,DATOS_[[#This Row],[% jornada reducida]])</f>
        <v>0</v>
      </c>
      <c r="BQ47" s="137" t="n">
        <f aca="false">+(DATOS_[[#This Row],[F.fin.cal]]-DATOS_[[#This Row],[F.ini.cal]]+1)/($D$4-$D$3+1)</f>
        <v>1</v>
      </c>
      <c r="BR47" s="137" t="str">
        <f aca="false">IF(OR(AND(DATOS_[[#This Row],[Fecha Fin Contrato]]&lt;$D$3,DATOS_[[#This Row],[Fecha Fin Contrato]]&lt;&gt;""),DATOS_[[#This Row],[Fecha de Contratación]]&gt;$D$4),"Fuera","Dentro")</f>
        <v>Dentro</v>
      </c>
      <c r="BS47" s="137" t="str">
        <f aca="false" t="array" ref="BS47:BS47">IF(MAX(IF(DATOS_[id]=DATOS_[[#This Row],[id]],DATOS_[F.fin.cal]))=DATOS_[[#This Row],[F.fin.cal]],"Sí","NO")</f>
        <v>Sí</v>
      </c>
      <c r="BT47" s="137" t="str">
        <f aca="false">IF(AND(DATOS_[[#This Row],[% normaliz]]&lt;&gt;1,DATOS_[[#This Row],[% anualiz]]=1),"Sí","NO")</f>
        <v>Sí</v>
      </c>
      <c r="BU47" s="137" t="str">
        <f aca="false">IF(AND(DATOS_[[#This Row],[% normaliz]]=1,DATOS_[[#This Row],[% anualiz]]&lt;&gt;1),"Sí","NO")</f>
        <v>NO</v>
      </c>
      <c r="BV47" s="137" t="str">
        <f aca="false">IF(AND(DATOS_[[#This Row],[% normaliz]]&lt;&gt;1,DATOS_[[#This Row],[% anualiz]]&lt;&gt;1),"Sí","NO")</f>
        <v>NO</v>
      </c>
      <c r="BW47" s="137" t="str">
        <f aca="false">+IF(DATOS_[[#This Row],[% normaliz]]*DATOS_[[#This Row],[% anualiz]]=1,"NO","Sí")</f>
        <v>Sí</v>
      </c>
      <c r="BX47" s="138" t="e">
        <f aca="false">(DATOS_[[#This Row],[S.BASE]]*(1/DATOS_[[#This Row],[% normaliz]])*(1/DATOS_[[#This Row],[% anualiz]]))*IF(DATOS_[[#This Row],[Check Equiparado]]="Sí",1,0)</f>
        <v>#DIV/0!</v>
      </c>
      <c r="BY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 s="138" t="e">
        <f aca="false">+DATOS_[[#This Row],[SALARIO BASE Eq]]+DATOS_[[#This Row],[Tot COMPL.SAL Eq]]</f>
        <v>#DIV/0!</v>
      </c>
      <c r="CA47" s="138" t="e">
        <f aca="false" t="array" ref="CA47: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 s="138" t="e">
        <f aca="false">+DATOS_[[#This Row],[TOTAL SALARIO Eq]]+DATOS_[[#This Row],[Tot Extrasalarial Eq]]</f>
        <v>#DIV/0!</v>
      </c>
      <c r="CC47" s="139" t="n">
        <f aca="false">DATOS_[[#This Row],[S.BASE]]</f>
        <v>0</v>
      </c>
      <c r="CD47" s="139" t="n">
        <f aca="false">+SUM(DATOS_[[#This Row],[Conc.Sal.01]:[Conc.Sal.30]])</f>
        <v>0</v>
      </c>
      <c r="CE47" s="139" t="n">
        <f aca="false">+DATOS_[[#This Row],[SALARIO BASE Ef]]+DATOS_[[#This Row],[Tot COMPL.SAL Ef]]</f>
        <v>0</v>
      </c>
      <c r="CF47" s="139" t="n">
        <f aca="false">+SUM(DATOS_[[#This Row],[C.Extra.01]:[C.Extra.05]])</f>
        <v>0</v>
      </c>
      <c r="CG47" s="139" t="n">
        <f aca="false">+DATOS_[[#This Row],[TOTAL SALARIO Ef]]+DATOS_[[#This Row],[Tot Extrasalarial Ef]]</f>
        <v>0</v>
      </c>
      <c r="CH47" s="140" t="n">
        <f aca="false">MIN(IF(DATOS_[[#This Row],[Fecha Fin Contrato]]="",$D$4,DATOS_[[#This Row],[Fecha Fin Contrato]]),$D$4)-MAX(DATOS_[[#This Row],[Fecha de Contratación]],$D$3)+1</f>
        <v>1</v>
      </c>
      <c r="CI47" s="141" t="str">
        <f aca="false">IF(COUNTIFS(DATOS_[id],DATOS_[[#This Row],[id]])&gt;1,DATOS_[[#This Row],[id]],"")</f>
        <v/>
      </c>
      <c r="CJ47" s="141" t="n">
        <f aca="false">(Inicio!$G$10-DATOS_[[#This Row],[Fecha Nacimiento]])/365.25</f>
        <v>0</v>
      </c>
      <c r="CK47" s="141" t="n">
        <f aca="false">(Inicio!$G$10-DATOS_[[#This Row],[Fecha de Antigüedad]])/365.25</f>
        <v>0</v>
      </c>
      <c r="CL47" s="141" t="e">
        <f aca="false">+VLOOKUP(DATOS_[[#This Row],[Clave de Contrato]],TblTiposContrato13[],3,0)</f>
        <v>#N/A</v>
      </c>
      <c r="CM47" s="141" t="e">
        <f aca="false">+VLOOKUP(DATOS_[[#This Row],[Clave de Contrato]],TblTiposContrato13[],4,0)</f>
        <v>#N/A</v>
      </c>
      <c r="CN47" s="141" t="str">
        <f aca="false">VLOOKUP(DATOS_[[#This Row],[Edad]],CONTRATOS!TblRngEdad,2,1)</f>
        <v>20  o menos</v>
      </c>
      <c r="CO47" s="141" t="str">
        <f aca="false">VLOOKUP(DATOS_[[#This Row],[Antigüedad]],TblRngAntg14[],2,1)</f>
        <v>0 a 1 años</v>
      </c>
    </row>
    <row r="48" customFormat="false" ht="13.8" hidden="false" customHeight="false" outlineLevel="0" collapsed="false">
      <c r="D48" s="128"/>
      <c r="E48" s="129"/>
      <c r="F48" s="129"/>
      <c r="G48" s="129"/>
      <c r="H48" s="130"/>
      <c r="I48" s="131"/>
      <c r="J48" s="128"/>
      <c r="K48" s="132"/>
      <c r="L48" s="132"/>
      <c r="M48" s="133"/>
      <c r="N48" s="133"/>
      <c r="O48" s="133"/>
      <c r="P48" s="129"/>
      <c r="Z48" s="75"/>
      <c r="AA48" s="76"/>
      <c r="AB48" s="76"/>
      <c r="AC48" s="129"/>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5"/>
      <c r="BN48" s="136" t="n">
        <f aca="false">+MAX($D$3,DATOS_[[#This Row],[Fecha Inicio Sit. Contract.]])</f>
        <v>0</v>
      </c>
      <c r="BO48" s="136" t="n">
        <f aca="false">+MIN($D$4,DATOS_[[#This Row],[Fecha Fin Sit. Contract.]])</f>
        <v>0</v>
      </c>
      <c r="BP48" s="137" t="n">
        <f aca="false">+DATOS_[[#This Row],[% de jornada]]*IF(DATOS_[[#This Row],[% jornada reducida]]="",1,DATOS_[[#This Row],[% jornada reducida]])</f>
        <v>0</v>
      </c>
      <c r="BQ48" s="137" t="n">
        <f aca="false">+(DATOS_[[#This Row],[F.fin.cal]]-DATOS_[[#This Row],[F.ini.cal]]+1)/($D$4-$D$3+1)</f>
        <v>1</v>
      </c>
      <c r="BR48" s="137" t="str">
        <f aca="false">IF(OR(AND(DATOS_[[#This Row],[Fecha Fin Contrato]]&lt;$D$3,DATOS_[[#This Row],[Fecha Fin Contrato]]&lt;&gt;""),DATOS_[[#This Row],[Fecha de Contratación]]&gt;$D$4),"Fuera","Dentro")</f>
        <v>Dentro</v>
      </c>
      <c r="BS48" s="137" t="str">
        <f aca="false" t="array" ref="BS48:BS48">IF(MAX(IF(DATOS_[id]=DATOS_[[#This Row],[id]],DATOS_[F.fin.cal]))=DATOS_[[#This Row],[F.fin.cal]],"Sí","NO")</f>
        <v>Sí</v>
      </c>
      <c r="BT48" s="137" t="str">
        <f aca="false">IF(AND(DATOS_[[#This Row],[% normaliz]]&lt;&gt;1,DATOS_[[#This Row],[% anualiz]]=1),"Sí","NO")</f>
        <v>Sí</v>
      </c>
      <c r="BU48" s="137" t="str">
        <f aca="false">IF(AND(DATOS_[[#This Row],[% normaliz]]=1,DATOS_[[#This Row],[% anualiz]]&lt;&gt;1),"Sí","NO")</f>
        <v>NO</v>
      </c>
      <c r="BV48" s="137" t="str">
        <f aca="false">IF(AND(DATOS_[[#This Row],[% normaliz]]&lt;&gt;1,DATOS_[[#This Row],[% anualiz]]&lt;&gt;1),"Sí","NO")</f>
        <v>NO</v>
      </c>
      <c r="BW48" s="137" t="str">
        <f aca="false">+IF(DATOS_[[#This Row],[% normaliz]]*DATOS_[[#This Row],[% anualiz]]=1,"NO","Sí")</f>
        <v>Sí</v>
      </c>
      <c r="BX48" s="138" t="e">
        <f aca="false">(DATOS_[[#This Row],[S.BASE]]*(1/DATOS_[[#This Row],[% normaliz]])*(1/DATOS_[[#This Row],[% anualiz]]))*IF(DATOS_[[#This Row],[Check Equiparado]]="Sí",1,0)</f>
        <v>#DIV/0!</v>
      </c>
      <c r="BY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 s="138" t="e">
        <f aca="false">+DATOS_[[#This Row],[SALARIO BASE Eq]]+DATOS_[[#This Row],[Tot COMPL.SAL Eq]]</f>
        <v>#DIV/0!</v>
      </c>
      <c r="CA48" s="138" t="e">
        <f aca="false" t="array" ref="CA48: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 s="138" t="e">
        <f aca="false">+DATOS_[[#This Row],[TOTAL SALARIO Eq]]+DATOS_[[#This Row],[Tot Extrasalarial Eq]]</f>
        <v>#DIV/0!</v>
      </c>
      <c r="CC48" s="139" t="n">
        <f aca="false">DATOS_[[#This Row],[S.BASE]]</f>
        <v>0</v>
      </c>
      <c r="CD48" s="139" t="n">
        <f aca="false">+SUM(DATOS_[[#This Row],[Conc.Sal.01]:[Conc.Sal.30]])</f>
        <v>0</v>
      </c>
      <c r="CE48" s="139" t="n">
        <f aca="false">+DATOS_[[#This Row],[SALARIO BASE Ef]]+DATOS_[[#This Row],[Tot COMPL.SAL Ef]]</f>
        <v>0</v>
      </c>
      <c r="CF48" s="139" t="n">
        <f aca="false">+SUM(DATOS_[[#This Row],[C.Extra.01]:[C.Extra.05]])</f>
        <v>0</v>
      </c>
      <c r="CG48" s="139" t="n">
        <f aca="false">+DATOS_[[#This Row],[TOTAL SALARIO Ef]]+DATOS_[[#This Row],[Tot Extrasalarial Ef]]</f>
        <v>0</v>
      </c>
      <c r="CH48" s="140" t="n">
        <f aca="false">MIN(IF(DATOS_[[#This Row],[Fecha Fin Contrato]]="",$D$4,DATOS_[[#This Row],[Fecha Fin Contrato]]),$D$4)-MAX(DATOS_[[#This Row],[Fecha de Contratación]],$D$3)+1</f>
        <v>1</v>
      </c>
      <c r="CI48" s="141" t="str">
        <f aca="false">IF(COUNTIFS(DATOS_[id],DATOS_[[#This Row],[id]])&gt;1,DATOS_[[#This Row],[id]],"")</f>
        <v/>
      </c>
      <c r="CJ48" s="141" t="n">
        <f aca="false">(Inicio!$G$10-DATOS_[[#This Row],[Fecha Nacimiento]])/365.25</f>
        <v>0</v>
      </c>
      <c r="CK48" s="141" t="n">
        <f aca="false">(Inicio!$G$10-DATOS_[[#This Row],[Fecha de Antigüedad]])/365.25</f>
        <v>0</v>
      </c>
      <c r="CL48" s="141" t="e">
        <f aca="false">+VLOOKUP(DATOS_[[#This Row],[Clave de Contrato]],TblTiposContrato13[],3,0)</f>
        <v>#N/A</v>
      </c>
      <c r="CM48" s="141" t="e">
        <f aca="false">+VLOOKUP(DATOS_[[#This Row],[Clave de Contrato]],TblTiposContrato13[],4,0)</f>
        <v>#N/A</v>
      </c>
      <c r="CN48" s="141" t="str">
        <f aca="false">VLOOKUP(DATOS_[[#This Row],[Edad]],CONTRATOS!TblRngEdad,2,1)</f>
        <v>20  o menos</v>
      </c>
      <c r="CO48" s="141" t="str">
        <f aca="false">VLOOKUP(DATOS_[[#This Row],[Antigüedad]],TblRngAntg14[],2,1)</f>
        <v>0 a 1 años</v>
      </c>
    </row>
    <row r="49" customFormat="false" ht="13.8" hidden="false" customHeight="false" outlineLevel="0" collapsed="false">
      <c r="D49" s="128"/>
      <c r="E49" s="129"/>
      <c r="F49" s="129"/>
      <c r="G49" s="129"/>
      <c r="H49" s="130"/>
      <c r="I49" s="131"/>
      <c r="J49" s="128"/>
      <c r="K49" s="132"/>
      <c r="L49" s="132"/>
      <c r="M49" s="133"/>
      <c r="N49" s="133"/>
      <c r="O49" s="133"/>
      <c r="P49" s="129"/>
      <c r="Z49" s="75"/>
      <c r="AA49" s="76"/>
      <c r="AB49" s="76"/>
      <c r="AC49" s="129"/>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5"/>
      <c r="BN49" s="136" t="n">
        <f aca="false">+MAX($D$3,DATOS_[[#This Row],[Fecha Inicio Sit. Contract.]])</f>
        <v>0</v>
      </c>
      <c r="BO49" s="136" t="n">
        <f aca="false">+MIN($D$4,DATOS_[[#This Row],[Fecha Fin Sit. Contract.]])</f>
        <v>0</v>
      </c>
      <c r="BP49" s="137" t="n">
        <f aca="false">+DATOS_[[#This Row],[% de jornada]]*IF(DATOS_[[#This Row],[% jornada reducida]]="",1,DATOS_[[#This Row],[% jornada reducida]])</f>
        <v>0</v>
      </c>
      <c r="BQ49" s="137" t="n">
        <f aca="false">+(DATOS_[[#This Row],[F.fin.cal]]-DATOS_[[#This Row],[F.ini.cal]]+1)/($D$4-$D$3+1)</f>
        <v>1</v>
      </c>
      <c r="BR49" s="137" t="str">
        <f aca="false">IF(OR(AND(DATOS_[[#This Row],[Fecha Fin Contrato]]&lt;$D$3,DATOS_[[#This Row],[Fecha Fin Contrato]]&lt;&gt;""),DATOS_[[#This Row],[Fecha de Contratación]]&gt;$D$4),"Fuera","Dentro")</f>
        <v>Dentro</v>
      </c>
      <c r="BS49" s="137" t="str">
        <f aca="false" t="array" ref="BS49:BS49">IF(MAX(IF(DATOS_[id]=DATOS_[[#This Row],[id]],DATOS_[F.fin.cal]))=DATOS_[[#This Row],[F.fin.cal]],"Sí","NO")</f>
        <v>Sí</v>
      </c>
      <c r="BT49" s="137" t="str">
        <f aca="false">IF(AND(DATOS_[[#This Row],[% normaliz]]&lt;&gt;1,DATOS_[[#This Row],[% anualiz]]=1),"Sí","NO")</f>
        <v>Sí</v>
      </c>
      <c r="BU49" s="137" t="str">
        <f aca="false">IF(AND(DATOS_[[#This Row],[% normaliz]]=1,DATOS_[[#This Row],[% anualiz]]&lt;&gt;1),"Sí","NO")</f>
        <v>NO</v>
      </c>
      <c r="BV49" s="137" t="str">
        <f aca="false">IF(AND(DATOS_[[#This Row],[% normaliz]]&lt;&gt;1,DATOS_[[#This Row],[% anualiz]]&lt;&gt;1),"Sí","NO")</f>
        <v>NO</v>
      </c>
      <c r="BW49" s="137" t="str">
        <f aca="false">+IF(DATOS_[[#This Row],[% normaliz]]*DATOS_[[#This Row],[% anualiz]]=1,"NO","Sí")</f>
        <v>Sí</v>
      </c>
      <c r="BX49" s="138" t="e">
        <f aca="false">(DATOS_[[#This Row],[S.BASE]]*(1/DATOS_[[#This Row],[% normaliz]])*(1/DATOS_[[#This Row],[% anualiz]]))*IF(DATOS_[[#This Row],[Check Equiparado]]="Sí",1,0)</f>
        <v>#DIV/0!</v>
      </c>
      <c r="BY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 s="138" t="e">
        <f aca="false">+DATOS_[[#This Row],[SALARIO BASE Eq]]+DATOS_[[#This Row],[Tot COMPL.SAL Eq]]</f>
        <v>#DIV/0!</v>
      </c>
      <c r="CA49" s="138" t="e">
        <f aca="false" t="array" ref="CA49: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 s="138" t="e">
        <f aca="false">+DATOS_[[#This Row],[TOTAL SALARIO Eq]]+DATOS_[[#This Row],[Tot Extrasalarial Eq]]</f>
        <v>#DIV/0!</v>
      </c>
      <c r="CC49" s="139" t="n">
        <f aca="false">DATOS_[[#This Row],[S.BASE]]</f>
        <v>0</v>
      </c>
      <c r="CD49" s="139" t="n">
        <f aca="false">+SUM(DATOS_[[#This Row],[Conc.Sal.01]:[Conc.Sal.30]])</f>
        <v>0</v>
      </c>
      <c r="CE49" s="139" t="n">
        <f aca="false">+DATOS_[[#This Row],[SALARIO BASE Ef]]+DATOS_[[#This Row],[Tot COMPL.SAL Ef]]</f>
        <v>0</v>
      </c>
      <c r="CF49" s="139" t="n">
        <f aca="false">+SUM(DATOS_[[#This Row],[C.Extra.01]:[C.Extra.05]])</f>
        <v>0</v>
      </c>
      <c r="CG49" s="139" t="n">
        <f aca="false">+DATOS_[[#This Row],[TOTAL SALARIO Ef]]+DATOS_[[#This Row],[Tot Extrasalarial Ef]]</f>
        <v>0</v>
      </c>
      <c r="CH49" s="140" t="n">
        <f aca="false">MIN(IF(DATOS_[[#This Row],[Fecha Fin Contrato]]="",$D$4,DATOS_[[#This Row],[Fecha Fin Contrato]]),$D$4)-MAX(DATOS_[[#This Row],[Fecha de Contratación]],$D$3)+1</f>
        <v>1</v>
      </c>
      <c r="CI49" s="141" t="str">
        <f aca="false">IF(COUNTIFS(DATOS_[id],DATOS_[[#This Row],[id]])&gt;1,DATOS_[[#This Row],[id]],"")</f>
        <v/>
      </c>
      <c r="CJ49" s="141" t="n">
        <f aca="false">(Inicio!$G$10-DATOS_[[#This Row],[Fecha Nacimiento]])/365.25</f>
        <v>0</v>
      </c>
      <c r="CK49" s="141" t="n">
        <f aca="false">(Inicio!$G$10-DATOS_[[#This Row],[Fecha de Antigüedad]])/365.25</f>
        <v>0</v>
      </c>
      <c r="CL49" s="141" t="e">
        <f aca="false">+VLOOKUP(DATOS_[[#This Row],[Clave de Contrato]],TblTiposContrato13[],3,0)</f>
        <v>#N/A</v>
      </c>
      <c r="CM49" s="141" t="e">
        <f aca="false">+VLOOKUP(DATOS_[[#This Row],[Clave de Contrato]],TblTiposContrato13[],4,0)</f>
        <v>#N/A</v>
      </c>
      <c r="CN49" s="141" t="str">
        <f aca="false">VLOOKUP(DATOS_[[#This Row],[Edad]],CONTRATOS!TblRngEdad,2,1)</f>
        <v>20  o menos</v>
      </c>
      <c r="CO49" s="141" t="str">
        <f aca="false">VLOOKUP(DATOS_[[#This Row],[Antigüedad]],TblRngAntg14[],2,1)</f>
        <v>0 a 1 años</v>
      </c>
    </row>
    <row r="50" customFormat="false" ht="13.8" hidden="false" customHeight="false" outlineLevel="0" collapsed="false">
      <c r="D50" s="128"/>
      <c r="E50" s="129"/>
      <c r="F50" s="129"/>
      <c r="G50" s="129"/>
      <c r="H50" s="130"/>
      <c r="I50" s="131"/>
      <c r="J50" s="128"/>
      <c r="K50" s="132"/>
      <c r="L50" s="132"/>
      <c r="M50" s="133"/>
      <c r="N50" s="133"/>
      <c r="O50" s="133"/>
      <c r="P50" s="129"/>
      <c r="Z50" s="75"/>
      <c r="AA50" s="76"/>
      <c r="AB50" s="76"/>
      <c r="AC50" s="129"/>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5"/>
      <c r="BN50" s="136" t="n">
        <f aca="false">+MAX($D$3,DATOS_[[#This Row],[Fecha Inicio Sit. Contract.]])</f>
        <v>0</v>
      </c>
      <c r="BO50" s="136" t="n">
        <f aca="false">+MIN($D$4,DATOS_[[#This Row],[Fecha Fin Sit. Contract.]])</f>
        <v>0</v>
      </c>
      <c r="BP50" s="137" t="n">
        <f aca="false">+DATOS_[[#This Row],[% de jornada]]*IF(DATOS_[[#This Row],[% jornada reducida]]="",1,DATOS_[[#This Row],[% jornada reducida]])</f>
        <v>0</v>
      </c>
      <c r="BQ50" s="137" t="n">
        <f aca="false">+(DATOS_[[#This Row],[F.fin.cal]]-DATOS_[[#This Row],[F.ini.cal]]+1)/($D$4-$D$3+1)</f>
        <v>1</v>
      </c>
      <c r="BR50" s="137" t="str">
        <f aca="false">IF(OR(AND(DATOS_[[#This Row],[Fecha Fin Contrato]]&lt;$D$3,DATOS_[[#This Row],[Fecha Fin Contrato]]&lt;&gt;""),DATOS_[[#This Row],[Fecha de Contratación]]&gt;$D$4),"Fuera","Dentro")</f>
        <v>Dentro</v>
      </c>
      <c r="BS50" s="137" t="str">
        <f aca="false" t="array" ref="BS50:BS50">IF(MAX(IF(DATOS_[id]=DATOS_[[#This Row],[id]],DATOS_[F.fin.cal]))=DATOS_[[#This Row],[F.fin.cal]],"Sí","NO")</f>
        <v>Sí</v>
      </c>
      <c r="BT50" s="137" t="str">
        <f aca="false">IF(AND(DATOS_[[#This Row],[% normaliz]]&lt;&gt;1,DATOS_[[#This Row],[% anualiz]]=1),"Sí","NO")</f>
        <v>Sí</v>
      </c>
      <c r="BU50" s="137" t="str">
        <f aca="false">IF(AND(DATOS_[[#This Row],[% normaliz]]=1,DATOS_[[#This Row],[% anualiz]]&lt;&gt;1),"Sí","NO")</f>
        <v>NO</v>
      </c>
      <c r="BV50" s="137" t="str">
        <f aca="false">IF(AND(DATOS_[[#This Row],[% normaliz]]&lt;&gt;1,DATOS_[[#This Row],[% anualiz]]&lt;&gt;1),"Sí","NO")</f>
        <v>NO</v>
      </c>
      <c r="BW50" s="137" t="str">
        <f aca="false">+IF(DATOS_[[#This Row],[% normaliz]]*DATOS_[[#This Row],[% anualiz]]=1,"NO","Sí")</f>
        <v>Sí</v>
      </c>
      <c r="BX50" s="138" t="e">
        <f aca="false">(DATOS_[[#This Row],[S.BASE]]*(1/DATOS_[[#This Row],[% normaliz]])*(1/DATOS_[[#This Row],[% anualiz]]))*IF(DATOS_[[#This Row],[Check Equiparado]]="Sí",1,0)</f>
        <v>#DIV/0!</v>
      </c>
      <c r="BY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 s="138" t="e">
        <f aca="false">+DATOS_[[#This Row],[SALARIO BASE Eq]]+DATOS_[[#This Row],[Tot COMPL.SAL Eq]]</f>
        <v>#DIV/0!</v>
      </c>
      <c r="CA50" s="138" t="e">
        <f aca="false" t="array" ref="CA50: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 s="138" t="e">
        <f aca="false">+DATOS_[[#This Row],[TOTAL SALARIO Eq]]+DATOS_[[#This Row],[Tot Extrasalarial Eq]]</f>
        <v>#DIV/0!</v>
      </c>
      <c r="CC50" s="139" t="n">
        <f aca="false">DATOS_[[#This Row],[S.BASE]]</f>
        <v>0</v>
      </c>
      <c r="CD50" s="139" t="n">
        <f aca="false">+SUM(DATOS_[[#This Row],[Conc.Sal.01]:[Conc.Sal.30]])</f>
        <v>0</v>
      </c>
      <c r="CE50" s="139" t="n">
        <f aca="false">+DATOS_[[#This Row],[SALARIO BASE Ef]]+DATOS_[[#This Row],[Tot COMPL.SAL Ef]]</f>
        <v>0</v>
      </c>
      <c r="CF50" s="139" t="n">
        <f aca="false">+SUM(DATOS_[[#This Row],[C.Extra.01]:[C.Extra.05]])</f>
        <v>0</v>
      </c>
      <c r="CG50" s="139" t="n">
        <f aca="false">+DATOS_[[#This Row],[TOTAL SALARIO Ef]]+DATOS_[[#This Row],[Tot Extrasalarial Ef]]</f>
        <v>0</v>
      </c>
      <c r="CH50" s="140" t="n">
        <f aca="false">MIN(IF(DATOS_[[#This Row],[Fecha Fin Contrato]]="",$D$4,DATOS_[[#This Row],[Fecha Fin Contrato]]),$D$4)-MAX(DATOS_[[#This Row],[Fecha de Contratación]],$D$3)+1</f>
        <v>1</v>
      </c>
      <c r="CI50" s="141" t="str">
        <f aca="false">IF(COUNTIFS(DATOS_[id],DATOS_[[#This Row],[id]])&gt;1,DATOS_[[#This Row],[id]],"")</f>
        <v/>
      </c>
      <c r="CJ50" s="141" t="n">
        <f aca="false">(Inicio!$G$10-DATOS_[[#This Row],[Fecha Nacimiento]])/365.25</f>
        <v>0</v>
      </c>
      <c r="CK50" s="141" t="n">
        <f aca="false">(Inicio!$G$10-DATOS_[[#This Row],[Fecha de Antigüedad]])/365.25</f>
        <v>0</v>
      </c>
      <c r="CL50" s="141" t="e">
        <f aca="false">+VLOOKUP(DATOS_[[#This Row],[Clave de Contrato]],TblTiposContrato13[],3,0)</f>
        <v>#N/A</v>
      </c>
      <c r="CM50" s="141" t="e">
        <f aca="false">+VLOOKUP(DATOS_[[#This Row],[Clave de Contrato]],TblTiposContrato13[],4,0)</f>
        <v>#N/A</v>
      </c>
      <c r="CN50" s="141" t="str">
        <f aca="false">VLOOKUP(DATOS_[[#This Row],[Edad]],CONTRATOS!TblRngEdad,2,1)</f>
        <v>20  o menos</v>
      </c>
      <c r="CO50" s="141" t="str">
        <f aca="false">VLOOKUP(DATOS_[[#This Row],[Antigüedad]],TblRngAntg14[],2,1)</f>
        <v>0 a 1 años</v>
      </c>
    </row>
    <row r="51" customFormat="false" ht="13.8" hidden="false" customHeight="false" outlineLevel="0" collapsed="false">
      <c r="D51" s="128"/>
      <c r="E51" s="129"/>
      <c r="F51" s="129"/>
      <c r="G51" s="129"/>
      <c r="H51" s="130"/>
      <c r="I51" s="131"/>
      <c r="J51" s="128"/>
      <c r="K51" s="132"/>
      <c r="L51" s="132"/>
      <c r="M51" s="133"/>
      <c r="N51" s="133"/>
      <c r="O51" s="133"/>
      <c r="P51" s="129"/>
      <c r="Z51" s="75"/>
      <c r="AA51" s="76"/>
      <c r="AB51" s="76"/>
      <c r="AC51" s="129"/>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5"/>
      <c r="BN51" s="136" t="n">
        <f aca="false">+MAX($D$3,DATOS_[[#This Row],[Fecha Inicio Sit. Contract.]])</f>
        <v>0</v>
      </c>
      <c r="BO51" s="136" t="n">
        <f aca="false">+MIN($D$4,DATOS_[[#This Row],[Fecha Fin Sit. Contract.]])</f>
        <v>0</v>
      </c>
      <c r="BP51" s="137" t="n">
        <f aca="false">+DATOS_[[#This Row],[% de jornada]]*IF(DATOS_[[#This Row],[% jornada reducida]]="",1,DATOS_[[#This Row],[% jornada reducida]])</f>
        <v>0</v>
      </c>
      <c r="BQ51" s="137" t="n">
        <f aca="false">+(DATOS_[[#This Row],[F.fin.cal]]-DATOS_[[#This Row],[F.ini.cal]]+1)/($D$4-$D$3+1)</f>
        <v>1</v>
      </c>
      <c r="BR51" s="137" t="str">
        <f aca="false">IF(OR(AND(DATOS_[[#This Row],[Fecha Fin Contrato]]&lt;$D$3,DATOS_[[#This Row],[Fecha Fin Contrato]]&lt;&gt;""),DATOS_[[#This Row],[Fecha de Contratación]]&gt;$D$4),"Fuera","Dentro")</f>
        <v>Dentro</v>
      </c>
      <c r="BS51" s="137" t="str">
        <f aca="false" t="array" ref="BS51:BS51">IF(MAX(IF(DATOS_[id]=DATOS_[[#This Row],[id]],DATOS_[F.fin.cal]))=DATOS_[[#This Row],[F.fin.cal]],"Sí","NO")</f>
        <v>Sí</v>
      </c>
      <c r="BT51" s="137" t="str">
        <f aca="false">IF(AND(DATOS_[[#This Row],[% normaliz]]&lt;&gt;1,DATOS_[[#This Row],[% anualiz]]=1),"Sí","NO")</f>
        <v>Sí</v>
      </c>
      <c r="BU51" s="137" t="str">
        <f aca="false">IF(AND(DATOS_[[#This Row],[% normaliz]]=1,DATOS_[[#This Row],[% anualiz]]&lt;&gt;1),"Sí","NO")</f>
        <v>NO</v>
      </c>
      <c r="BV51" s="137" t="str">
        <f aca="false">IF(AND(DATOS_[[#This Row],[% normaliz]]&lt;&gt;1,DATOS_[[#This Row],[% anualiz]]&lt;&gt;1),"Sí","NO")</f>
        <v>NO</v>
      </c>
      <c r="BW51" s="137" t="str">
        <f aca="false">+IF(DATOS_[[#This Row],[% normaliz]]*DATOS_[[#This Row],[% anualiz]]=1,"NO","Sí")</f>
        <v>Sí</v>
      </c>
      <c r="BX51" s="138" t="e">
        <f aca="false">(DATOS_[[#This Row],[S.BASE]]*(1/DATOS_[[#This Row],[% normaliz]])*(1/DATOS_[[#This Row],[% anualiz]]))*IF(DATOS_[[#This Row],[Check Equiparado]]="Sí",1,0)</f>
        <v>#DIV/0!</v>
      </c>
      <c r="BY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 s="138" t="e">
        <f aca="false">+DATOS_[[#This Row],[SALARIO BASE Eq]]+DATOS_[[#This Row],[Tot COMPL.SAL Eq]]</f>
        <v>#DIV/0!</v>
      </c>
      <c r="CA51" s="138" t="e">
        <f aca="false" t="array" ref="CA51: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 s="138" t="e">
        <f aca="false">+DATOS_[[#This Row],[TOTAL SALARIO Eq]]+DATOS_[[#This Row],[Tot Extrasalarial Eq]]</f>
        <v>#DIV/0!</v>
      </c>
      <c r="CC51" s="139" t="n">
        <f aca="false">DATOS_[[#This Row],[S.BASE]]</f>
        <v>0</v>
      </c>
      <c r="CD51" s="139" t="n">
        <f aca="false">+SUM(DATOS_[[#This Row],[Conc.Sal.01]:[Conc.Sal.30]])</f>
        <v>0</v>
      </c>
      <c r="CE51" s="139" t="n">
        <f aca="false">+DATOS_[[#This Row],[SALARIO BASE Ef]]+DATOS_[[#This Row],[Tot COMPL.SAL Ef]]</f>
        <v>0</v>
      </c>
      <c r="CF51" s="139" t="n">
        <f aca="false">+SUM(DATOS_[[#This Row],[C.Extra.01]:[C.Extra.05]])</f>
        <v>0</v>
      </c>
      <c r="CG51" s="139" t="n">
        <f aca="false">+DATOS_[[#This Row],[TOTAL SALARIO Ef]]+DATOS_[[#This Row],[Tot Extrasalarial Ef]]</f>
        <v>0</v>
      </c>
      <c r="CH51" s="140" t="n">
        <f aca="false">MIN(IF(DATOS_[[#This Row],[Fecha Fin Contrato]]="",$D$4,DATOS_[[#This Row],[Fecha Fin Contrato]]),$D$4)-MAX(DATOS_[[#This Row],[Fecha de Contratación]],$D$3)+1</f>
        <v>1</v>
      </c>
      <c r="CI51" s="141" t="str">
        <f aca="false">IF(COUNTIFS(DATOS_[id],DATOS_[[#This Row],[id]])&gt;1,DATOS_[[#This Row],[id]],"")</f>
        <v/>
      </c>
      <c r="CJ51" s="141" t="n">
        <f aca="false">(Inicio!$G$10-DATOS_[[#This Row],[Fecha Nacimiento]])/365.25</f>
        <v>0</v>
      </c>
      <c r="CK51" s="141" t="n">
        <f aca="false">(Inicio!$G$10-DATOS_[[#This Row],[Fecha de Antigüedad]])/365.25</f>
        <v>0</v>
      </c>
      <c r="CL51" s="141" t="e">
        <f aca="false">+VLOOKUP(DATOS_[[#This Row],[Clave de Contrato]],TblTiposContrato13[],3,0)</f>
        <v>#N/A</v>
      </c>
      <c r="CM51" s="141" t="e">
        <f aca="false">+VLOOKUP(DATOS_[[#This Row],[Clave de Contrato]],TblTiposContrato13[],4,0)</f>
        <v>#N/A</v>
      </c>
      <c r="CN51" s="141" t="str">
        <f aca="false">VLOOKUP(DATOS_[[#This Row],[Edad]],CONTRATOS!TblRngEdad,2,1)</f>
        <v>20  o menos</v>
      </c>
      <c r="CO51" s="141" t="str">
        <f aca="false">VLOOKUP(DATOS_[[#This Row],[Antigüedad]],TblRngAntg14[],2,1)</f>
        <v>0 a 1 años</v>
      </c>
    </row>
    <row r="52" customFormat="false" ht="13.8" hidden="false" customHeight="false" outlineLevel="0" collapsed="false">
      <c r="D52" s="128"/>
      <c r="E52" s="129"/>
      <c r="F52" s="129"/>
      <c r="G52" s="129"/>
      <c r="H52" s="130"/>
      <c r="I52" s="131"/>
      <c r="J52" s="128"/>
      <c r="K52" s="132"/>
      <c r="L52" s="132"/>
      <c r="M52" s="133"/>
      <c r="N52" s="133"/>
      <c r="O52" s="133"/>
      <c r="P52" s="129"/>
      <c r="Z52" s="75"/>
      <c r="AA52" s="76"/>
      <c r="AB52" s="76"/>
      <c r="AC52" s="129"/>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34"/>
      <c r="BA52" s="134"/>
      <c r="BB52" s="134"/>
      <c r="BC52" s="134"/>
      <c r="BD52" s="134"/>
      <c r="BE52" s="134"/>
      <c r="BF52" s="134"/>
      <c r="BG52" s="134"/>
      <c r="BH52" s="134"/>
      <c r="BI52" s="134"/>
      <c r="BJ52" s="134"/>
      <c r="BK52" s="134"/>
      <c r="BL52" s="134"/>
      <c r="BM52" s="135"/>
      <c r="BN52" s="136" t="n">
        <f aca="false">+MAX($D$3,DATOS_[[#This Row],[Fecha Inicio Sit. Contract.]])</f>
        <v>0</v>
      </c>
      <c r="BO52" s="136" t="n">
        <f aca="false">+MIN($D$4,DATOS_[[#This Row],[Fecha Fin Sit. Contract.]])</f>
        <v>0</v>
      </c>
      <c r="BP52" s="137" t="n">
        <f aca="false">+DATOS_[[#This Row],[% de jornada]]*IF(DATOS_[[#This Row],[% jornada reducida]]="",1,DATOS_[[#This Row],[% jornada reducida]])</f>
        <v>0</v>
      </c>
      <c r="BQ52" s="137" t="n">
        <f aca="false">+(DATOS_[[#This Row],[F.fin.cal]]-DATOS_[[#This Row],[F.ini.cal]]+1)/($D$4-$D$3+1)</f>
        <v>1</v>
      </c>
      <c r="BR52" s="137" t="str">
        <f aca="false">IF(OR(AND(DATOS_[[#This Row],[Fecha Fin Contrato]]&lt;$D$3,DATOS_[[#This Row],[Fecha Fin Contrato]]&lt;&gt;""),DATOS_[[#This Row],[Fecha de Contratación]]&gt;$D$4),"Fuera","Dentro")</f>
        <v>Dentro</v>
      </c>
      <c r="BS52" s="137" t="str">
        <f aca="false" t="array" ref="BS52:BS52">IF(MAX(IF(DATOS_[id]=DATOS_[[#This Row],[id]],DATOS_[F.fin.cal]))=DATOS_[[#This Row],[F.fin.cal]],"Sí","NO")</f>
        <v>Sí</v>
      </c>
      <c r="BT52" s="137" t="str">
        <f aca="false">IF(AND(DATOS_[[#This Row],[% normaliz]]&lt;&gt;1,DATOS_[[#This Row],[% anualiz]]=1),"Sí","NO")</f>
        <v>Sí</v>
      </c>
      <c r="BU52" s="137" t="str">
        <f aca="false">IF(AND(DATOS_[[#This Row],[% normaliz]]=1,DATOS_[[#This Row],[% anualiz]]&lt;&gt;1),"Sí","NO")</f>
        <v>NO</v>
      </c>
      <c r="BV52" s="137" t="str">
        <f aca="false">IF(AND(DATOS_[[#This Row],[% normaliz]]&lt;&gt;1,DATOS_[[#This Row],[% anualiz]]&lt;&gt;1),"Sí","NO")</f>
        <v>NO</v>
      </c>
      <c r="BW52" s="137" t="str">
        <f aca="false">+IF(DATOS_[[#This Row],[% normaliz]]*DATOS_[[#This Row],[% anualiz]]=1,"NO","Sí")</f>
        <v>Sí</v>
      </c>
      <c r="BX52" s="138" t="e">
        <f aca="false">(DATOS_[[#This Row],[S.BASE]]*(1/DATOS_[[#This Row],[% normaliz]])*(1/DATOS_[[#This Row],[% anualiz]]))*IF(DATOS_[[#This Row],[Check Equiparado]]="Sí",1,0)</f>
        <v>#DIV/0!</v>
      </c>
      <c r="BY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 s="138" t="e">
        <f aca="false">+DATOS_[[#This Row],[SALARIO BASE Eq]]+DATOS_[[#This Row],[Tot COMPL.SAL Eq]]</f>
        <v>#DIV/0!</v>
      </c>
      <c r="CA52" s="138" t="e">
        <f aca="false" t="array" ref="CA52: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 s="138" t="e">
        <f aca="false">+DATOS_[[#This Row],[TOTAL SALARIO Eq]]+DATOS_[[#This Row],[Tot Extrasalarial Eq]]</f>
        <v>#DIV/0!</v>
      </c>
      <c r="CC52" s="139" t="n">
        <f aca="false">DATOS_[[#This Row],[S.BASE]]</f>
        <v>0</v>
      </c>
      <c r="CD52" s="139" t="n">
        <f aca="false">+SUM(DATOS_[[#This Row],[Conc.Sal.01]:[Conc.Sal.30]])</f>
        <v>0</v>
      </c>
      <c r="CE52" s="139" t="n">
        <f aca="false">+DATOS_[[#This Row],[SALARIO BASE Ef]]+DATOS_[[#This Row],[Tot COMPL.SAL Ef]]</f>
        <v>0</v>
      </c>
      <c r="CF52" s="139" t="n">
        <f aca="false">+SUM(DATOS_[[#This Row],[C.Extra.01]:[C.Extra.05]])</f>
        <v>0</v>
      </c>
      <c r="CG52" s="139" t="n">
        <f aca="false">+DATOS_[[#This Row],[TOTAL SALARIO Ef]]+DATOS_[[#This Row],[Tot Extrasalarial Ef]]</f>
        <v>0</v>
      </c>
      <c r="CH52" s="140" t="n">
        <f aca="false">MIN(IF(DATOS_[[#This Row],[Fecha Fin Contrato]]="",$D$4,DATOS_[[#This Row],[Fecha Fin Contrato]]),$D$4)-MAX(DATOS_[[#This Row],[Fecha de Contratación]],$D$3)+1</f>
        <v>1</v>
      </c>
      <c r="CI52" s="141" t="str">
        <f aca="false">IF(COUNTIFS(DATOS_[id],DATOS_[[#This Row],[id]])&gt;1,DATOS_[[#This Row],[id]],"")</f>
        <v/>
      </c>
      <c r="CJ52" s="141" t="n">
        <f aca="false">(Inicio!$G$10-DATOS_[[#This Row],[Fecha Nacimiento]])/365.25</f>
        <v>0</v>
      </c>
      <c r="CK52" s="141" t="n">
        <f aca="false">(Inicio!$G$10-DATOS_[[#This Row],[Fecha de Antigüedad]])/365.25</f>
        <v>0</v>
      </c>
      <c r="CL52" s="141" t="e">
        <f aca="false">+VLOOKUP(DATOS_[[#This Row],[Clave de Contrato]],TblTiposContrato13[],3,0)</f>
        <v>#N/A</v>
      </c>
      <c r="CM52" s="141" t="e">
        <f aca="false">+VLOOKUP(DATOS_[[#This Row],[Clave de Contrato]],TblTiposContrato13[],4,0)</f>
        <v>#N/A</v>
      </c>
      <c r="CN52" s="141" t="str">
        <f aca="false">VLOOKUP(DATOS_[[#This Row],[Edad]],CONTRATOS!TblRngEdad,2,1)</f>
        <v>20  o menos</v>
      </c>
      <c r="CO52" s="141" t="str">
        <f aca="false">VLOOKUP(DATOS_[[#This Row],[Antigüedad]],TblRngAntg14[],2,1)</f>
        <v>0 a 1 años</v>
      </c>
    </row>
    <row r="53" customFormat="false" ht="13.8" hidden="false" customHeight="false" outlineLevel="0" collapsed="false">
      <c r="D53" s="128"/>
      <c r="E53" s="129"/>
      <c r="F53" s="129"/>
      <c r="G53" s="129"/>
      <c r="H53" s="130"/>
      <c r="I53" s="131"/>
      <c r="J53" s="128"/>
      <c r="K53" s="132"/>
      <c r="L53" s="132"/>
      <c r="M53" s="133"/>
      <c r="N53" s="133"/>
      <c r="O53" s="133"/>
      <c r="P53" s="129"/>
      <c r="Z53" s="75"/>
      <c r="AA53" s="76"/>
      <c r="AB53" s="76"/>
      <c r="AC53" s="129"/>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34"/>
      <c r="BA53" s="134"/>
      <c r="BB53" s="134"/>
      <c r="BC53" s="134"/>
      <c r="BD53" s="134"/>
      <c r="BE53" s="134"/>
      <c r="BF53" s="134"/>
      <c r="BG53" s="134"/>
      <c r="BH53" s="134"/>
      <c r="BI53" s="134"/>
      <c r="BJ53" s="134"/>
      <c r="BK53" s="134"/>
      <c r="BL53" s="134"/>
      <c r="BM53" s="135"/>
      <c r="BN53" s="136" t="n">
        <f aca="false">+MAX($D$3,DATOS_[[#This Row],[Fecha Inicio Sit. Contract.]])</f>
        <v>0</v>
      </c>
      <c r="BO53" s="136" t="n">
        <f aca="false">+MIN($D$4,DATOS_[[#This Row],[Fecha Fin Sit. Contract.]])</f>
        <v>0</v>
      </c>
      <c r="BP53" s="137" t="n">
        <f aca="false">+DATOS_[[#This Row],[% de jornada]]*IF(DATOS_[[#This Row],[% jornada reducida]]="",1,DATOS_[[#This Row],[% jornada reducida]])</f>
        <v>0</v>
      </c>
      <c r="BQ53" s="137" t="n">
        <f aca="false">+(DATOS_[[#This Row],[F.fin.cal]]-DATOS_[[#This Row],[F.ini.cal]]+1)/($D$4-$D$3+1)</f>
        <v>1</v>
      </c>
      <c r="BR53" s="137" t="str">
        <f aca="false">IF(OR(AND(DATOS_[[#This Row],[Fecha Fin Contrato]]&lt;$D$3,DATOS_[[#This Row],[Fecha Fin Contrato]]&lt;&gt;""),DATOS_[[#This Row],[Fecha de Contratación]]&gt;$D$4),"Fuera","Dentro")</f>
        <v>Dentro</v>
      </c>
      <c r="BS53" s="137" t="str">
        <f aca="false" t="array" ref="BS53:BS53">IF(MAX(IF(DATOS_[id]=DATOS_[[#This Row],[id]],DATOS_[F.fin.cal]))=DATOS_[[#This Row],[F.fin.cal]],"Sí","NO")</f>
        <v>Sí</v>
      </c>
      <c r="BT53" s="137" t="str">
        <f aca="false">IF(AND(DATOS_[[#This Row],[% normaliz]]&lt;&gt;1,DATOS_[[#This Row],[% anualiz]]=1),"Sí","NO")</f>
        <v>Sí</v>
      </c>
      <c r="BU53" s="137" t="str">
        <f aca="false">IF(AND(DATOS_[[#This Row],[% normaliz]]=1,DATOS_[[#This Row],[% anualiz]]&lt;&gt;1),"Sí","NO")</f>
        <v>NO</v>
      </c>
      <c r="BV53" s="137" t="str">
        <f aca="false">IF(AND(DATOS_[[#This Row],[% normaliz]]&lt;&gt;1,DATOS_[[#This Row],[% anualiz]]&lt;&gt;1),"Sí","NO")</f>
        <v>NO</v>
      </c>
      <c r="BW53" s="137" t="str">
        <f aca="false">+IF(DATOS_[[#This Row],[% normaliz]]*DATOS_[[#This Row],[% anualiz]]=1,"NO","Sí")</f>
        <v>Sí</v>
      </c>
      <c r="BX53" s="138" t="e">
        <f aca="false">(DATOS_[[#This Row],[S.BASE]]*(1/DATOS_[[#This Row],[% normaliz]])*(1/DATOS_[[#This Row],[% anualiz]]))*IF(DATOS_[[#This Row],[Check Equiparado]]="Sí",1,0)</f>
        <v>#DIV/0!</v>
      </c>
      <c r="BY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 s="138" t="e">
        <f aca="false">+DATOS_[[#This Row],[SALARIO BASE Eq]]+DATOS_[[#This Row],[Tot COMPL.SAL Eq]]</f>
        <v>#DIV/0!</v>
      </c>
      <c r="CA53" s="138" t="e">
        <f aca="false" t="array" ref="CA53: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 s="138" t="e">
        <f aca="false">+DATOS_[[#This Row],[TOTAL SALARIO Eq]]+DATOS_[[#This Row],[Tot Extrasalarial Eq]]</f>
        <v>#DIV/0!</v>
      </c>
      <c r="CC53" s="139" t="n">
        <f aca="false">DATOS_[[#This Row],[S.BASE]]</f>
        <v>0</v>
      </c>
      <c r="CD53" s="139" t="n">
        <f aca="false">+SUM(DATOS_[[#This Row],[Conc.Sal.01]:[Conc.Sal.30]])</f>
        <v>0</v>
      </c>
      <c r="CE53" s="139" t="n">
        <f aca="false">+DATOS_[[#This Row],[SALARIO BASE Ef]]+DATOS_[[#This Row],[Tot COMPL.SAL Ef]]</f>
        <v>0</v>
      </c>
      <c r="CF53" s="139" t="n">
        <f aca="false">+SUM(DATOS_[[#This Row],[C.Extra.01]:[C.Extra.05]])</f>
        <v>0</v>
      </c>
      <c r="CG53" s="139" t="n">
        <f aca="false">+DATOS_[[#This Row],[TOTAL SALARIO Ef]]+DATOS_[[#This Row],[Tot Extrasalarial Ef]]</f>
        <v>0</v>
      </c>
      <c r="CH53" s="140" t="n">
        <f aca="false">MIN(IF(DATOS_[[#This Row],[Fecha Fin Contrato]]="",$D$4,DATOS_[[#This Row],[Fecha Fin Contrato]]),$D$4)-MAX(DATOS_[[#This Row],[Fecha de Contratación]],$D$3)+1</f>
        <v>1</v>
      </c>
      <c r="CI53" s="141" t="str">
        <f aca="false">IF(COUNTIFS(DATOS_[id],DATOS_[[#This Row],[id]])&gt;1,DATOS_[[#This Row],[id]],"")</f>
        <v/>
      </c>
      <c r="CJ53" s="141" t="n">
        <f aca="false">(Inicio!$G$10-DATOS_[[#This Row],[Fecha Nacimiento]])/365.25</f>
        <v>0</v>
      </c>
      <c r="CK53" s="141" t="n">
        <f aca="false">(Inicio!$G$10-DATOS_[[#This Row],[Fecha de Antigüedad]])/365.25</f>
        <v>0</v>
      </c>
      <c r="CL53" s="141" t="e">
        <f aca="false">+VLOOKUP(DATOS_[[#This Row],[Clave de Contrato]],TblTiposContrato13[],3,0)</f>
        <v>#N/A</v>
      </c>
      <c r="CM53" s="141" t="e">
        <f aca="false">+VLOOKUP(DATOS_[[#This Row],[Clave de Contrato]],TblTiposContrato13[],4,0)</f>
        <v>#N/A</v>
      </c>
      <c r="CN53" s="141" t="str">
        <f aca="false">VLOOKUP(DATOS_[[#This Row],[Edad]],CONTRATOS!TblRngEdad,2,1)</f>
        <v>20  o menos</v>
      </c>
      <c r="CO53" s="141" t="str">
        <f aca="false">VLOOKUP(DATOS_[[#This Row],[Antigüedad]],TblRngAntg14[],2,1)</f>
        <v>0 a 1 años</v>
      </c>
    </row>
    <row r="54" customFormat="false" ht="13.8" hidden="false" customHeight="false" outlineLevel="0" collapsed="false">
      <c r="D54" s="128"/>
      <c r="E54" s="129"/>
      <c r="F54" s="129"/>
      <c r="G54" s="129"/>
      <c r="H54" s="130"/>
      <c r="I54" s="131"/>
      <c r="J54" s="128"/>
      <c r="K54" s="132"/>
      <c r="L54" s="132"/>
      <c r="M54" s="133"/>
      <c r="N54" s="133"/>
      <c r="O54" s="133"/>
      <c r="P54" s="129"/>
      <c r="Z54" s="75"/>
      <c r="AA54" s="76"/>
      <c r="AB54" s="76"/>
      <c r="AC54" s="129"/>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134"/>
      <c r="BG54" s="134"/>
      <c r="BH54" s="134"/>
      <c r="BI54" s="134"/>
      <c r="BJ54" s="134"/>
      <c r="BK54" s="134"/>
      <c r="BL54" s="134"/>
      <c r="BM54" s="135"/>
      <c r="BN54" s="136" t="n">
        <f aca="false">+MAX($D$3,DATOS_[[#This Row],[Fecha Inicio Sit. Contract.]])</f>
        <v>0</v>
      </c>
      <c r="BO54" s="136" t="n">
        <f aca="false">+MIN($D$4,DATOS_[[#This Row],[Fecha Fin Sit. Contract.]])</f>
        <v>0</v>
      </c>
      <c r="BP54" s="137" t="n">
        <f aca="false">+DATOS_[[#This Row],[% de jornada]]*IF(DATOS_[[#This Row],[% jornada reducida]]="",1,DATOS_[[#This Row],[% jornada reducida]])</f>
        <v>0</v>
      </c>
      <c r="BQ54" s="137" t="n">
        <f aca="false">+(DATOS_[[#This Row],[F.fin.cal]]-DATOS_[[#This Row],[F.ini.cal]]+1)/($D$4-$D$3+1)</f>
        <v>1</v>
      </c>
      <c r="BR54" s="137" t="str">
        <f aca="false">IF(OR(AND(DATOS_[[#This Row],[Fecha Fin Contrato]]&lt;$D$3,DATOS_[[#This Row],[Fecha Fin Contrato]]&lt;&gt;""),DATOS_[[#This Row],[Fecha de Contratación]]&gt;$D$4),"Fuera","Dentro")</f>
        <v>Dentro</v>
      </c>
      <c r="BS54" s="137" t="str">
        <f aca="false" t="array" ref="BS54:BS54">IF(MAX(IF(DATOS_[id]=DATOS_[[#This Row],[id]],DATOS_[F.fin.cal]))=DATOS_[[#This Row],[F.fin.cal]],"Sí","NO")</f>
        <v>Sí</v>
      </c>
      <c r="BT54" s="137" t="str">
        <f aca="false">IF(AND(DATOS_[[#This Row],[% normaliz]]&lt;&gt;1,DATOS_[[#This Row],[% anualiz]]=1),"Sí","NO")</f>
        <v>Sí</v>
      </c>
      <c r="BU54" s="137" t="str">
        <f aca="false">IF(AND(DATOS_[[#This Row],[% normaliz]]=1,DATOS_[[#This Row],[% anualiz]]&lt;&gt;1),"Sí","NO")</f>
        <v>NO</v>
      </c>
      <c r="BV54" s="137" t="str">
        <f aca="false">IF(AND(DATOS_[[#This Row],[% normaliz]]&lt;&gt;1,DATOS_[[#This Row],[% anualiz]]&lt;&gt;1),"Sí","NO")</f>
        <v>NO</v>
      </c>
      <c r="BW54" s="137" t="str">
        <f aca="false">+IF(DATOS_[[#This Row],[% normaliz]]*DATOS_[[#This Row],[% anualiz]]=1,"NO","Sí")</f>
        <v>Sí</v>
      </c>
      <c r="BX54" s="138" t="e">
        <f aca="false">(DATOS_[[#This Row],[S.BASE]]*(1/DATOS_[[#This Row],[% normaliz]])*(1/DATOS_[[#This Row],[% anualiz]]))*IF(DATOS_[[#This Row],[Check Equiparado]]="Sí",1,0)</f>
        <v>#DIV/0!</v>
      </c>
      <c r="BY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 s="138" t="e">
        <f aca="false">+DATOS_[[#This Row],[SALARIO BASE Eq]]+DATOS_[[#This Row],[Tot COMPL.SAL Eq]]</f>
        <v>#DIV/0!</v>
      </c>
      <c r="CA54" s="138" t="e">
        <f aca="false" t="array" ref="CA54: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 s="138" t="e">
        <f aca="false">+DATOS_[[#This Row],[TOTAL SALARIO Eq]]+DATOS_[[#This Row],[Tot Extrasalarial Eq]]</f>
        <v>#DIV/0!</v>
      </c>
      <c r="CC54" s="139" t="n">
        <f aca="false">DATOS_[[#This Row],[S.BASE]]</f>
        <v>0</v>
      </c>
      <c r="CD54" s="139" t="n">
        <f aca="false">+SUM(DATOS_[[#This Row],[Conc.Sal.01]:[Conc.Sal.30]])</f>
        <v>0</v>
      </c>
      <c r="CE54" s="139" t="n">
        <f aca="false">+DATOS_[[#This Row],[SALARIO BASE Ef]]+DATOS_[[#This Row],[Tot COMPL.SAL Ef]]</f>
        <v>0</v>
      </c>
      <c r="CF54" s="139" t="n">
        <f aca="false">+SUM(DATOS_[[#This Row],[C.Extra.01]:[C.Extra.05]])</f>
        <v>0</v>
      </c>
      <c r="CG54" s="139" t="n">
        <f aca="false">+DATOS_[[#This Row],[TOTAL SALARIO Ef]]+DATOS_[[#This Row],[Tot Extrasalarial Ef]]</f>
        <v>0</v>
      </c>
      <c r="CH54" s="140" t="n">
        <f aca="false">MIN(IF(DATOS_[[#This Row],[Fecha Fin Contrato]]="",$D$4,DATOS_[[#This Row],[Fecha Fin Contrato]]),$D$4)-MAX(DATOS_[[#This Row],[Fecha de Contratación]],$D$3)+1</f>
        <v>1</v>
      </c>
      <c r="CI54" s="141" t="str">
        <f aca="false">IF(COUNTIFS(DATOS_[id],DATOS_[[#This Row],[id]])&gt;1,DATOS_[[#This Row],[id]],"")</f>
        <v/>
      </c>
      <c r="CJ54" s="141" t="n">
        <f aca="false">(Inicio!$G$10-DATOS_[[#This Row],[Fecha Nacimiento]])/365.25</f>
        <v>0</v>
      </c>
      <c r="CK54" s="141" t="n">
        <f aca="false">(Inicio!$G$10-DATOS_[[#This Row],[Fecha de Antigüedad]])/365.25</f>
        <v>0</v>
      </c>
      <c r="CL54" s="141" t="e">
        <f aca="false">+VLOOKUP(DATOS_[[#This Row],[Clave de Contrato]],TblTiposContrato13[],3,0)</f>
        <v>#N/A</v>
      </c>
      <c r="CM54" s="141" t="e">
        <f aca="false">+VLOOKUP(DATOS_[[#This Row],[Clave de Contrato]],TblTiposContrato13[],4,0)</f>
        <v>#N/A</v>
      </c>
      <c r="CN54" s="141" t="str">
        <f aca="false">VLOOKUP(DATOS_[[#This Row],[Edad]],CONTRATOS!TblRngEdad,2,1)</f>
        <v>20  o menos</v>
      </c>
      <c r="CO54" s="141" t="str">
        <f aca="false">VLOOKUP(DATOS_[[#This Row],[Antigüedad]],TblRngAntg14[],2,1)</f>
        <v>0 a 1 años</v>
      </c>
    </row>
    <row r="55" customFormat="false" ht="13.8" hidden="false" customHeight="false" outlineLevel="0" collapsed="false">
      <c r="D55" s="128"/>
      <c r="E55" s="129"/>
      <c r="F55" s="129"/>
      <c r="G55" s="129"/>
      <c r="H55" s="130"/>
      <c r="I55" s="131"/>
      <c r="J55" s="128"/>
      <c r="K55" s="132"/>
      <c r="L55" s="132"/>
      <c r="M55" s="133"/>
      <c r="N55" s="133"/>
      <c r="O55" s="133"/>
      <c r="P55" s="129"/>
      <c r="Z55" s="75"/>
      <c r="AA55" s="76"/>
      <c r="AB55" s="76"/>
      <c r="AC55" s="129"/>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4"/>
      <c r="BD55" s="134"/>
      <c r="BE55" s="134"/>
      <c r="BF55" s="134"/>
      <c r="BG55" s="134"/>
      <c r="BH55" s="134"/>
      <c r="BI55" s="134"/>
      <c r="BJ55" s="134"/>
      <c r="BK55" s="134"/>
      <c r="BL55" s="134"/>
      <c r="BM55" s="135"/>
      <c r="BN55" s="136" t="n">
        <f aca="false">+MAX($D$3,DATOS_[[#This Row],[Fecha Inicio Sit. Contract.]])</f>
        <v>0</v>
      </c>
      <c r="BO55" s="136" t="n">
        <f aca="false">+MIN($D$4,DATOS_[[#This Row],[Fecha Fin Sit. Contract.]])</f>
        <v>0</v>
      </c>
      <c r="BP55" s="137" t="n">
        <f aca="false">+DATOS_[[#This Row],[% de jornada]]*IF(DATOS_[[#This Row],[% jornada reducida]]="",1,DATOS_[[#This Row],[% jornada reducida]])</f>
        <v>0</v>
      </c>
      <c r="BQ55" s="137" t="n">
        <f aca="false">+(DATOS_[[#This Row],[F.fin.cal]]-DATOS_[[#This Row],[F.ini.cal]]+1)/($D$4-$D$3+1)</f>
        <v>1</v>
      </c>
      <c r="BR55" s="137" t="str">
        <f aca="false">IF(OR(AND(DATOS_[[#This Row],[Fecha Fin Contrato]]&lt;$D$3,DATOS_[[#This Row],[Fecha Fin Contrato]]&lt;&gt;""),DATOS_[[#This Row],[Fecha de Contratación]]&gt;$D$4),"Fuera","Dentro")</f>
        <v>Dentro</v>
      </c>
      <c r="BS55" s="137" t="str">
        <f aca="false" t="array" ref="BS55:BS55">IF(MAX(IF(DATOS_[id]=DATOS_[[#This Row],[id]],DATOS_[F.fin.cal]))=DATOS_[[#This Row],[F.fin.cal]],"Sí","NO")</f>
        <v>Sí</v>
      </c>
      <c r="BT55" s="137" t="str">
        <f aca="false">IF(AND(DATOS_[[#This Row],[% normaliz]]&lt;&gt;1,DATOS_[[#This Row],[% anualiz]]=1),"Sí","NO")</f>
        <v>Sí</v>
      </c>
      <c r="BU55" s="137" t="str">
        <f aca="false">IF(AND(DATOS_[[#This Row],[% normaliz]]=1,DATOS_[[#This Row],[% anualiz]]&lt;&gt;1),"Sí","NO")</f>
        <v>NO</v>
      </c>
      <c r="BV55" s="137" t="str">
        <f aca="false">IF(AND(DATOS_[[#This Row],[% normaliz]]&lt;&gt;1,DATOS_[[#This Row],[% anualiz]]&lt;&gt;1),"Sí","NO")</f>
        <v>NO</v>
      </c>
      <c r="BW55" s="137" t="str">
        <f aca="false">+IF(DATOS_[[#This Row],[% normaliz]]*DATOS_[[#This Row],[% anualiz]]=1,"NO","Sí")</f>
        <v>Sí</v>
      </c>
      <c r="BX55" s="138" t="e">
        <f aca="false">(DATOS_[[#This Row],[S.BASE]]*(1/DATOS_[[#This Row],[% normaliz]])*(1/DATOS_[[#This Row],[% anualiz]]))*IF(DATOS_[[#This Row],[Check Equiparado]]="Sí",1,0)</f>
        <v>#DIV/0!</v>
      </c>
      <c r="BY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 s="138" t="e">
        <f aca="false">+DATOS_[[#This Row],[SALARIO BASE Eq]]+DATOS_[[#This Row],[Tot COMPL.SAL Eq]]</f>
        <v>#DIV/0!</v>
      </c>
      <c r="CA55" s="138" t="e">
        <f aca="false" t="array" ref="CA55: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 s="138" t="e">
        <f aca="false">+DATOS_[[#This Row],[TOTAL SALARIO Eq]]+DATOS_[[#This Row],[Tot Extrasalarial Eq]]</f>
        <v>#DIV/0!</v>
      </c>
      <c r="CC55" s="139" t="n">
        <f aca="false">DATOS_[[#This Row],[S.BASE]]</f>
        <v>0</v>
      </c>
      <c r="CD55" s="139" t="n">
        <f aca="false">+SUM(DATOS_[[#This Row],[Conc.Sal.01]:[Conc.Sal.30]])</f>
        <v>0</v>
      </c>
      <c r="CE55" s="139" t="n">
        <f aca="false">+DATOS_[[#This Row],[SALARIO BASE Ef]]+DATOS_[[#This Row],[Tot COMPL.SAL Ef]]</f>
        <v>0</v>
      </c>
      <c r="CF55" s="139" t="n">
        <f aca="false">+SUM(DATOS_[[#This Row],[C.Extra.01]:[C.Extra.05]])</f>
        <v>0</v>
      </c>
      <c r="CG55" s="139" t="n">
        <f aca="false">+DATOS_[[#This Row],[TOTAL SALARIO Ef]]+DATOS_[[#This Row],[Tot Extrasalarial Ef]]</f>
        <v>0</v>
      </c>
      <c r="CH55" s="140" t="n">
        <f aca="false">MIN(IF(DATOS_[[#This Row],[Fecha Fin Contrato]]="",$D$4,DATOS_[[#This Row],[Fecha Fin Contrato]]),$D$4)-MAX(DATOS_[[#This Row],[Fecha de Contratación]],$D$3)+1</f>
        <v>1</v>
      </c>
      <c r="CI55" s="141" t="str">
        <f aca="false">IF(COUNTIFS(DATOS_[id],DATOS_[[#This Row],[id]])&gt;1,DATOS_[[#This Row],[id]],"")</f>
        <v/>
      </c>
      <c r="CJ55" s="141" t="n">
        <f aca="false">(Inicio!$G$10-DATOS_[[#This Row],[Fecha Nacimiento]])/365.25</f>
        <v>0</v>
      </c>
      <c r="CK55" s="141" t="n">
        <f aca="false">(Inicio!$G$10-DATOS_[[#This Row],[Fecha de Antigüedad]])/365.25</f>
        <v>0</v>
      </c>
      <c r="CL55" s="141" t="e">
        <f aca="false">+VLOOKUP(DATOS_[[#This Row],[Clave de Contrato]],TblTiposContrato13[],3,0)</f>
        <v>#N/A</v>
      </c>
      <c r="CM55" s="141" t="e">
        <f aca="false">+VLOOKUP(DATOS_[[#This Row],[Clave de Contrato]],TblTiposContrato13[],4,0)</f>
        <v>#N/A</v>
      </c>
      <c r="CN55" s="141" t="str">
        <f aca="false">VLOOKUP(DATOS_[[#This Row],[Edad]],CONTRATOS!TblRngEdad,2,1)</f>
        <v>20  o menos</v>
      </c>
      <c r="CO55" s="141" t="str">
        <f aca="false">VLOOKUP(DATOS_[[#This Row],[Antigüedad]],TblRngAntg14[],2,1)</f>
        <v>0 a 1 años</v>
      </c>
    </row>
    <row r="56" customFormat="false" ht="13.8" hidden="false" customHeight="false" outlineLevel="0" collapsed="false">
      <c r="D56" s="128"/>
      <c r="E56" s="129"/>
      <c r="F56" s="129"/>
      <c r="G56" s="129"/>
      <c r="H56" s="130"/>
      <c r="I56" s="131"/>
      <c r="J56" s="128"/>
      <c r="K56" s="132"/>
      <c r="L56" s="132"/>
      <c r="M56" s="133"/>
      <c r="N56" s="133"/>
      <c r="O56" s="133"/>
      <c r="P56" s="129"/>
      <c r="Z56" s="75"/>
      <c r="AA56" s="76"/>
      <c r="AB56" s="76"/>
      <c r="AC56" s="129"/>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4"/>
      <c r="BD56" s="134"/>
      <c r="BE56" s="134"/>
      <c r="BF56" s="134"/>
      <c r="BG56" s="134"/>
      <c r="BH56" s="134"/>
      <c r="BI56" s="134"/>
      <c r="BJ56" s="134"/>
      <c r="BK56" s="134"/>
      <c r="BL56" s="134"/>
      <c r="BM56" s="135"/>
      <c r="BN56" s="136" t="n">
        <f aca="false">+MAX($D$3,DATOS_[[#This Row],[Fecha Inicio Sit. Contract.]])</f>
        <v>0</v>
      </c>
      <c r="BO56" s="136" t="n">
        <f aca="false">+MIN($D$4,DATOS_[[#This Row],[Fecha Fin Sit. Contract.]])</f>
        <v>0</v>
      </c>
      <c r="BP56" s="137" t="n">
        <f aca="false">+DATOS_[[#This Row],[% de jornada]]*IF(DATOS_[[#This Row],[% jornada reducida]]="",1,DATOS_[[#This Row],[% jornada reducida]])</f>
        <v>0</v>
      </c>
      <c r="BQ56" s="137" t="n">
        <f aca="false">+(DATOS_[[#This Row],[F.fin.cal]]-DATOS_[[#This Row],[F.ini.cal]]+1)/($D$4-$D$3+1)</f>
        <v>1</v>
      </c>
      <c r="BR56" s="137" t="str">
        <f aca="false">IF(OR(AND(DATOS_[[#This Row],[Fecha Fin Contrato]]&lt;$D$3,DATOS_[[#This Row],[Fecha Fin Contrato]]&lt;&gt;""),DATOS_[[#This Row],[Fecha de Contratación]]&gt;$D$4),"Fuera","Dentro")</f>
        <v>Dentro</v>
      </c>
      <c r="BS56" s="137" t="str">
        <f aca="false" t="array" ref="BS56:BS56">IF(MAX(IF(DATOS_[id]=DATOS_[[#This Row],[id]],DATOS_[F.fin.cal]))=DATOS_[[#This Row],[F.fin.cal]],"Sí","NO")</f>
        <v>Sí</v>
      </c>
      <c r="BT56" s="137" t="str">
        <f aca="false">IF(AND(DATOS_[[#This Row],[% normaliz]]&lt;&gt;1,DATOS_[[#This Row],[% anualiz]]=1),"Sí","NO")</f>
        <v>Sí</v>
      </c>
      <c r="BU56" s="137" t="str">
        <f aca="false">IF(AND(DATOS_[[#This Row],[% normaliz]]=1,DATOS_[[#This Row],[% anualiz]]&lt;&gt;1),"Sí","NO")</f>
        <v>NO</v>
      </c>
      <c r="BV56" s="137" t="str">
        <f aca="false">IF(AND(DATOS_[[#This Row],[% normaliz]]&lt;&gt;1,DATOS_[[#This Row],[% anualiz]]&lt;&gt;1),"Sí","NO")</f>
        <v>NO</v>
      </c>
      <c r="BW56" s="137" t="str">
        <f aca="false">+IF(DATOS_[[#This Row],[% normaliz]]*DATOS_[[#This Row],[% anualiz]]=1,"NO","Sí")</f>
        <v>Sí</v>
      </c>
      <c r="BX56" s="138" t="e">
        <f aca="false">(DATOS_[[#This Row],[S.BASE]]*(1/DATOS_[[#This Row],[% normaliz]])*(1/DATOS_[[#This Row],[% anualiz]]))*IF(DATOS_[[#This Row],[Check Equiparado]]="Sí",1,0)</f>
        <v>#DIV/0!</v>
      </c>
      <c r="BY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 s="138" t="e">
        <f aca="false">+DATOS_[[#This Row],[SALARIO BASE Eq]]+DATOS_[[#This Row],[Tot COMPL.SAL Eq]]</f>
        <v>#DIV/0!</v>
      </c>
      <c r="CA56" s="138" t="e">
        <f aca="false" t="array" ref="CA56: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 s="138" t="e">
        <f aca="false">+DATOS_[[#This Row],[TOTAL SALARIO Eq]]+DATOS_[[#This Row],[Tot Extrasalarial Eq]]</f>
        <v>#DIV/0!</v>
      </c>
      <c r="CC56" s="139" t="n">
        <f aca="false">DATOS_[[#This Row],[S.BASE]]</f>
        <v>0</v>
      </c>
      <c r="CD56" s="139" t="n">
        <f aca="false">+SUM(DATOS_[[#This Row],[Conc.Sal.01]:[Conc.Sal.30]])</f>
        <v>0</v>
      </c>
      <c r="CE56" s="139" t="n">
        <f aca="false">+DATOS_[[#This Row],[SALARIO BASE Ef]]+DATOS_[[#This Row],[Tot COMPL.SAL Ef]]</f>
        <v>0</v>
      </c>
      <c r="CF56" s="139" t="n">
        <f aca="false">+SUM(DATOS_[[#This Row],[C.Extra.01]:[C.Extra.05]])</f>
        <v>0</v>
      </c>
      <c r="CG56" s="139" t="n">
        <f aca="false">+DATOS_[[#This Row],[TOTAL SALARIO Ef]]+DATOS_[[#This Row],[Tot Extrasalarial Ef]]</f>
        <v>0</v>
      </c>
      <c r="CH56" s="140" t="n">
        <f aca="false">MIN(IF(DATOS_[[#This Row],[Fecha Fin Contrato]]="",$D$4,DATOS_[[#This Row],[Fecha Fin Contrato]]),$D$4)-MAX(DATOS_[[#This Row],[Fecha de Contratación]],$D$3)+1</f>
        <v>1</v>
      </c>
      <c r="CI56" s="141" t="str">
        <f aca="false">IF(COUNTIFS(DATOS_[id],DATOS_[[#This Row],[id]])&gt;1,DATOS_[[#This Row],[id]],"")</f>
        <v/>
      </c>
      <c r="CJ56" s="141" t="n">
        <f aca="false">(Inicio!$G$10-DATOS_[[#This Row],[Fecha Nacimiento]])/365.25</f>
        <v>0</v>
      </c>
      <c r="CK56" s="141" t="n">
        <f aca="false">(Inicio!$G$10-DATOS_[[#This Row],[Fecha de Antigüedad]])/365.25</f>
        <v>0</v>
      </c>
      <c r="CL56" s="141" t="e">
        <f aca="false">+VLOOKUP(DATOS_[[#This Row],[Clave de Contrato]],TblTiposContrato13[],3,0)</f>
        <v>#N/A</v>
      </c>
      <c r="CM56" s="141" t="e">
        <f aca="false">+VLOOKUP(DATOS_[[#This Row],[Clave de Contrato]],TblTiposContrato13[],4,0)</f>
        <v>#N/A</v>
      </c>
      <c r="CN56" s="141" t="str">
        <f aca="false">VLOOKUP(DATOS_[[#This Row],[Edad]],CONTRATOS!TblRngEdad,2,1)</f>
        <v>20  o menos</v>
      </c>
      <c r="CO56" s="141" t="str">
        <f aca="false">VLOOKUP(DATOS_[[#This Row],[Antigüedad]],TblRngAntg14[],2,1)</f>
        <v>0 a 1 años</v>
      </c>
    </row>
    <row r="57" customFormat="false" ht="13.8" hidden="false" customHeight="false" outlineLevel="0" collapsed="false">
      <c r="D57" s="128"/>
      <c r="E57" s="129"/>
      <c r="F57" s="129"/>
      <c r="G57" s="129"/>
      <c r="H57" s="130"/>
      <c r="I57" s="131"/>
      <c r="J57" s="128"/>
      <c r="K57" s="132"/>
      <c r="L57" s="132"/>
      <c r="M57" s="133"/>
      <c r="N57" s="133"/>
      <c r="O57" s="133"/>
      <c r="P57" s="129"/>
      <c r="Z57" s="75"/>
      <c r="AA57" s="76"/>
      <c r="AB57" s="76"/>
      <c r="AC57" s="129"/>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134"/>
      <c r="BG57" s="134"/>
      <c r="BH57" s="134"/>
      <c r="BI57" s="134"/>
      <c r="BJ57" s="134"/>
      <c r="BK57" s="134"/>
      <c r="BL57" s="134"/>
      <c r="BM57" s="135"/>
      <c r="BN57" s="136" t="n">
        <f aca="false">+MAX($D$3,DATOS_[[#This Row],[Fecha Inicio Sit. Contract.]])</f>
        <v>0</v>
      </c>
      <c r="BO57" s="136" t="n">
        <f aca="false">+MIN($D$4,DATOS_[[#This Row],[Fecha Fin Sit. Contract.]])</f>
        <v>0</v>
      </c>
      <c r="BP57" s="137" t="n">
        <f aca="false">+DATOS_[[#This Row],[% de jornada]]*IF(DATOS_[[#This Row],[% jornada reducida]]="",1,DATOS_[[#This Row],[% jornada reducida]])</f>
        <v>0</v>
      </c>
      <c r="BQ57" s="137" t="n">
        <f aca="false">+(DATOS_[[#This Row],[F.fin.cal]]-DATOS_[[#This Row],[F.ini.cal]]+1)/($D$4-$D$3+1)</f>
        <v>1</v>
      </c>
      <c r="BR57" s="137" t="str">
        <f aca="false">IF(OR(AND(DATOS_[[#This Row],[Fecha Fin Contrato]]&lt;$D$3,DATOS_[[#This Row],[Fecha Fin Contrato]]&lt;&gt;""),DATOS_[[#This Row],[Fecha de Contratación]]&gt;$D$4),"Fuera","Dentro")</f>
        <v>Dentro</v>
      </c>
      <c r="BS57" s="137" t="str">
        <f aca="false" t="array" ref="BS57:BS57">IF(MAX(IF(DATOS_[id]=DATOS_[[#This Row],[id]],DATOS_[F.fin.cal]))=DATOS_[[#This Row],[F.fin.cal]],"Sí","NO")</f>
        <v>Sí</v>
      </c>
      <c r="BT57" s="137" t="str">
        <f aca="false">IF(AND(DATOS_[[#This Row],[% normaliz]]&lt;&gt;1,DATOS_[[#This Row],[% anualiz]]=1),"Sí","NO")</f>
        <v>Sí</v>
      </c>
      <c r="BU57" s="137" t="str">
        <f aca="false">IF(AND(DATOS_[[#This Row],[% normaliz]]=1,DATOS_[[#This Row],[% anualiz]]&lt;&gt;1),"Sí","NO")</f>
        <v>NO</v>
      </c>
      <c r="BV57" s="137" t="str">
        <f aca="false">IF(AND(DATOS_[[#This Row],[% normaliz]]&lt;&gt;1,DATOS_[[#This Row],[% anualiz]]&lt;&gt;1),"Sí","NO")</f>
        <v>NO</v>
      </c>
      <c r="BW57" s="137" t="str">
        <f aca="false">+IF(DATOS_[[#This Row],[% normaliz]]*DATOS_[[#This Row],[% anualiz]]=1,"NO","Sí")</f>
        <v>Sí</v>
      </c>
      <c r="BX57" s="138" t="e">
        <f aca="false">(DATOS_[[#This Row],[S.BASE]]*(1/DATOS_[[#This Row],[% normaliz]])*(1/DATOS_[[#This Row],[% anualiz]]))*IF(DATOS_[[#This Row],[Check Equiparado]]="Sí",1,0)</f>
        <v>#DIV/0!</v>
      </c>
      <c r="BY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 s="138" t="e">
        <f aca="false">+DATOS_[[#This Row],[SALARIO BASE Eq]]+DATOS_[[#This Row],[Tot COMPL.SAL Eq]]</f>
        <v>#DIV/0!</v>
      </c>
      <c r="CA57" s="138" t="e">
        <f aca="false" t="array" ref="CA57: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 s="138" t="e">
        <f aca="false">+DATOS_[[#This Row],[TOTAL SALARIO Eq]]+DATOS_[[#This Row],[Tot Extrasalarial Eq]]</f>
        <v>#DIV/0!</v>
      </c>
      <c r="CC57" s="139" t="n">
        <f aca="false">DATOS_[[#This Row],[S.BASE]]</f>
        <v>0</v>
      </c>
      <c r="CD57" s="139" t="n">
        <f aca="false">+SUM(DATOS_[[#This Row],[Conc.Sal.01]:[Conc.Sal.30]])</f>
        <v>0</v>
      </c>
      <c r="CE57" s="139" t="n">
        <f aca="false">+DATOS_[[#This Row],[SALARIO BASE Ef]]+DATOS_[[#This Row],[Tot COMPL.SAL Ef]]</f>
        <v>0</v>
      </c>
      <c r="CF57" s="139" t="n">
        <f aca="false">+SUM(DATOS_[[#This Row],[C.Extra.01]:[C.Extra.05]])</f>
        <v>0</v>
      </c>
      <c r="CG57" s="139" t="n">
        <f aca="false">+DATOS_[[#This Row],[TOTAL SALARIO Ef]]+DATOS_[[#This Row],[Tot Extrasalarial Ef]]</f>
        <v>0</v>
      </c>
      <c r="CH57" s="140" t="n">
        <f aca="false">MIN(IF(DATOS_[[#This Row],[Fecha Fin Contrato]]="",$D$4,DATOS_[[#This Row],[Fecha Fin Contrato]]),$D$4)-MAX(DATOS_[[#This Row],[Fecha de Contratación]],$D$3)+1</f>
        <v>1</v>
      </c>
      <c r="CI57" s="141" t="str">
        <f aca="false">IF(COUNTIFS(DATOS_[id],DATOS_[[#This Row],[id]])&gt;1,DATOS_[[#This Row],[id]],"")</f>
        <v/>
      </c>
      <c r="CJ57" s="141" t="n">
        <f aca="false">(Inicio!$G$10-DATOS_[[#This Row],[Fecha Nacimiento]])/365.25</f>
        <v>0</v>
      </c>
      <c r="CK57" s="141" t="n">
        <f aca="false">(Inicio!$G$10-DATOS_[[#This Row],[Fecha de Antigüedad]])/365.25</f>
        <v>0</v>
      </c>
      <c r="CL57" s="141" t="e">
        <f aca="false">+VLOOKUP(DATOS_[[#This Row],[Clave de Contrato]],TblTiposContrato13[],3,0)</f>
        <v>#N/A</v>
      </c>
      <c r="CM57" s="141" t="e">
        <f aca="false">+VLOOKUP(DATOS_[[#This Row],[Clave de Contrato]],TblTiposContrato13[],4,0)</f>
        <v>#N/A</v>
      </c>
      <c r="CN57" s="141" t="str">
        <f aca="false">VLOOKUP(DATOS_[[#This Row],[Edad]],CONTRATOS!TblRngEdad,2,1)</f>
        <v>20  o menos</v>
      </c>
      <c r="CO57" s="141" t="str">
        <f aca="false">VLOOKUP(DATOS_[[#This Row],[Antigüedad]],TblRngAntg14[],2,1)</f>
        <v>0 a 1 años</v>
      </c>
    </row>
    <row r="58" customFormat="false" ht="13.8" hidden="false" customHeight="false" outlineLevel="0" collapsed="false">
      <c r="D58" s="128"/>
      <c r="E58" s="129"/>
      <c r="F58" s="129"/>
      <c r="G58" s="129"/>
      <c r="H58" s="130"/>
      <c r="I58" s="131"/>
      <c r="J58" s="128"/>
      <c r="K58" s="132"/>
      <c r="L58" s="132"/>
      <c r="M58" s="133"/>
      <c r="N58" s="133"/>
      <c r="O58" s="133"/>
      <c r="P58" s="129"/>
      <c r="Z58" s="75"/>
      <c r="AA58" s="76"/>
      <c r="AB58" s="76"/>
      <c r="AC58" s="129"/>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4"/>
      <c r="BD58" s="134"/>
      <c r="BE58" s="134"/>
      <c r="BF58" s="134"/>
      <c r="BG58" s="134"/>
      <c r="BH58" s="134"/>
      <c r="BI58" s="134"/>
      <c r="BJ58" s="134"/>
      <c r="BK58" s="134"/>
      <c r="BL58" s="134"/>
      <c r="BM58" s="135"/>
      <c r="BN58" s="136" t="n">
        <f aca="false">+MAX($D$3,DATOS_[[#This Row],[Fecha Inicio Sit. Contract.]])</f>
        <v>0</v>
      </c>
      <c r="BO58" s="136" t="n">
        <f aca="false">+MIN($D$4,DATOS_[[#This Row],[Fecha Fin Sit. Contract.]])</f>
        <v>0</v>
      </c>
      <c r="BP58" s="137" t="n">
        <f aca="false">+DATOS_[[#This Row],[% de jornada]]*IF(DATOS_[[#This Row],[% jornada reducida]]="",1,DATOS_[[#This Row],[% jornada reducida]])</f>
        <v>0</v>
      </c>
      <c r="BQ58" s="137" t="n">
        <f aca="false">+(DATOS_[[#This Row],[F.fin.cal]]-DATOS_[[#This Row],[F.ini.cal]]+1)/($D$4-$D$3+1)</f>
        <v>1</v>
      </c>
      <c r="BR58" s="137" t="str">
        <f aca="false">IF(OR(AND(DATOS_[[#This Row],[Fecha Fin Contrato]]&lt;$D$3,DATOS_[[#This Row],[Fecha Fin Contrato]]&lt;&gt;""),DATOS_[[#This Row],[Fecha de Contratación]]&gt;$D$4),"Fuera","Dentro")</f>
        <v>Dentro</v>
      </c>
      <c r="BS58" s="137" t="str">
        <f aca="false" t="array" ref="BS58:BS58">IF(MAX(IF(DATOS_[id]=DATOS_[[#This Row],[id]],DATOS_[F.fin.cal]))=DATOS_[[#This Row],[F.fin.cal]],"Sí","NO")</f>
        <v>Sí</v>
      </c>
      <c r="BT58" s="137" t="str">
        <f aca="false">IF(AND(DATOS_[[#This Row],[% normaliz]]&lt;&gt;1,DATOS_[[#This Row],[% anualiz]]=1),"Sí","NO")</f>
        <v>Sí</v>
      </c>
      <c r="BU58" s="137" t="str">
        <f aca="false">IF(AND(DATOS_[[#This Row],[% normaliz]]=1,DATOS_[[#This Row],[% anualiz]]&lt;&gt;1),"Sí","NO")</f>
        <v>NO</v>
      </c>
      <c r="BV58" s="137" t="str">
        <f aca="false">IF(AND(DATOS_[[#This Row],[% normaliz]]&lt;&gt;1,DATOS_[[#This Row],[% anualiz]]&lt;&gt;1),"Sí","NO")</f>
        <v>NO</v>
      </c>
      <c r="BW58" s="137" t="str">
        <f aca="false">+IF(DATOS_[[#This Row],[% normaliz]]*DATOS_[[#This Row],[% anualiz]]=1,"NO","Sí")</f>
        <v>Sí</v>
      </c>
      <c r="BX58" s="138" t="e">
        <f aca="false">(DATOS_[[#This Row],[S.BASE]]*(1/DATOS_[[#This Row],[% normaliz]])*(1/DATOS_[[#This Row],[% anualiz]]))*IF(DATOS_[[#This Row],[Check Equiparado]]="Sí",1,0)</f>
        <v>#DIV/0!</v>
      </c>
      <c r="BY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 s="138" t="e">
        <f aca="false">+DATOS_[[#This Row],[SALARIO BASE Eq]]+DATOS_[[#This Row],[Tot COMPL.SAL Eq]]</f>
        <v>#DIV/0!</v>
      </c>
      <c r="CA58" s="138" t="e">
        <f aca="false" t="array" ref="CA58: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 s="138" t="e">
        <f aca="false">+DATOS_[[#This Row],[TOTAL SALARIO Eq]]+DATOS_[[#This Row],[Tot Extrasalarial Eq]]</f>
        <v>#DIV/0!</v>
      </c>
      <c r="CC58" s="139" t="n">
        <f aca="false">DATOS_[[#This Row],[S.BASE]]</f>
        <v>0</v>
      </c>
      <c r="CD58" s="139" t="n">
        <f aca="false">+SUM(DATOS_[[#This Row],[Conc.Sal.01]:[Conc.Sal.30]])</f>
        <v>0</v>
      </c>
      <c r="CE58" s="139" t="n">
        <f aca="false">+DATOS_[[#This Row],[SALARIO BASE Ef]]+DATOS_[[#This Row],[Tot COMPL.SAL Ef]]</f>
        <v>0</v>
      </c>
      <c r="CF58" s="139" t="n">
        <f aca="false">+SUM(DATOS_[[#This Row],[C.Extra.01]:[C.Extra.05]])</f>
        <v>0</v>
      </c>
      <c r="CG58" s="139" t="n">
        <f aca="false">+DATOS_[[#This Row],[TOTAL SALARIO Ef]]+DATOS_[[#This Row],[Tot Extrasalarial Ef]]</f>
        <v>0</v>
      </c>
      <c r="CH58" s="140" t="n">
        <f aca="false">MIN(IF(DATOS_[[#This Row],[Fecha Fin Contrato]]="",$D$4,DATOS_[[#This Row],[Fecha Fin Contrato]]),$D$4)-MAX(DATOS_[[#This Row],[Fecha de Contratación]],$D$3)+1</f>
        <v>1</v>
      </c>
      <c r="CI58" s="141" t="str">
        <f aca="false">IF(COUNTIFS(DATOS_[id],DATOS_[[#This Row],[id]])&gt;1,DATOS_[[#This Row],[id]],"")</f>
        <v/>
      </c>
      <c r="CJ58" s="141" t="n">
        <f aca="false">(Inicio!$G$10-DATOS_[[#This Row],[Fecha Nacimiento]])/365.25</f>
        <v>0</v>
      </c>
      <c r="CK58" s="141" t="n">
        <f aca="false">(Inicio!$G$10-DATOS_[[#This Row],[Fecha de Antigüedad]])/365.25</f>
        <v>0</v>
      </c>
      <c r="CL58" s="141" t="e">
        <f aca="false">+VLOOKUP(DATOS_[[#This Row],[Clave de Contrato]],TblTiposContrato13[],3,0)</f>
        <v>#N/A</v>
      </c>
      <c r="CM58" s="141" t="e">
        <f aca="false">+VLOOKUP(DATOS_[[#This Row],[Clave de Contrato]],TblTiposContrato13[],4,0)</f>
        <v>#N/A</v>
      </c>
      <c r="CN58" s="141" t="str">
        <f aca="false">VLOOKUP(DATOS_[[#This Row],[Edad]],CONTRATOS!TblRngEdad,2,1)</f>
        <v>20  o menos</v>
      </c>
      <c r="CO58" s="141" t="str">
        <f aca="false">VLOOKUP(DATOS_[[#This Row],[Antigüedad]],TblRngAntg14[],2,1)</f>
        <v>0 a 1 años</v>
      </c>
    </row>
    <row r="59" customFormat="false" ht="13.8" hidden="false" customHeight="false" outlineLevel="0" collapsed="false">
      <c r="D59" s="128"/>
      <c r="E59" s="129"/>
      <c r="F59" s="129"/>
      <c r="G59" s="129"/>
      <c r="H59" s="130"/>
      <c r="I59" s="131"/>
      <c r="J59" s="128"/>
      <c r="K59" s="132"/>
      <c r="L59" s="132"/>
      <c r="M59" s="133"/>
      <c r="N59" s="133"/>
      <c r="O59" s="133"/>
      <c r="P59" s="129"/>
      <c r="Z59" s="75"/>
      <c r="AA59" s="76"/>
      <c r="AB59" s="76"/>
      <c r="AC59" s="129"/>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4"/>
      <c r="BD59" s="134"/>
      <c r="BE59" s="134"/>
      <c r="BF59" s="134"/>
      <c r="BG59" s="134"/>
      <c r="BH59" s="134"/>
      <c r="BI59" s="134"/>
      <c r="BJ59" s="134"/>
      <c r="BK59" s="134"/>
      <c r="BL59" s="134"/>
      <c r="BM59" s="135"/>
      <c r="BN59" s="136" t="n">
        <f aca="false">+MAX($D$3,DATOS_[[#This Row],[Fecha Inicio Sit. Contract.]])</f>
        <v>0</v>
      </c>
      <c r="BO59" s="136" t="n">
        <f aca="false">+MIN($D$4,DATOS_[[#This Row],[Fecha Fin Sit. Contract.]])</f>
        <v>0</v>
      </c>
      <c r="BP59" s="137" t="n">
        <f aca="false">+DATOS_[[#This Row],[% de jornada]]*IF(DATOS_[[#This Row],[% jornada reducida]]="",1,DATOS_[[#This Row],[% jornada reducida]])</f>
        <v>0</v>
      </c>
      <c r="BQ59" s="137" t="n">
        <f aca="false">+(DATOS_[[#This Row],[F.fin.cal]]-DATOS_[[#This Row],[F.ini.cal]]+1)/($D$4-$D$3+1)</f>
        <v>1</v>
      </c>
      <c r="BR59" s="137" t="str">
        <f aca="false">IF(OR(AND(DATOS_[[#This Row],[Fecha Fin Contrato]]&lt;$D$3,DATOS_[[#This Row],[Fecha Fin Contrato]]&lt;&gt;""),DATOS_[[#This Row],[Fecha de Contratación]]&gt;$D$4),"Fuera","Dentro")</f>
        <v>Dentro</v>
      </c>
      <c r="BS59" s="137" t="str">
        <f aca="false" t="array" ref="BS59:BS59">IF(MAX(IF(DATOS_[id]=DATOS_[[#This Row],[id]],DATOS_[F.fin.cal]))=DATOS_[[#This Row],[F.fin.cal]],"Sí","NO")</f>
        <v>Sí</v>
      </c>
      <c r="BT59" s="137" t="str">
        <f aca="false">IF(AND(DATOS_[[#This Row],[% normaliz]]&lt;&gt;1,DATOS_[[#This Row],[% anualiz]]=1),"Sí","NO")</f>
        <v>Sí</v>
      </c>
      <c r="BU59" s="137" t="str">
        <f aca="false">IF(AND(DATOS_[[#This Row],[% normaliz]]=1,DATOS_[[#This Row],[% anualiz]]&lt;&gt;1),"Sí","NO")</f>
        <v>NO</v>
      </c>
      <c r="BV59" s="137" t="str">
        <f aca="false">IF(AND(DATOS_[[#This Row],[% normaliz]]&lt;&gt;1,DATOS_[[#This Row],[% anualiz]]&lt;&gt;1),"Sí","NO")</f>
        <v>NO</v>
      </c>
      <c r="BW59" s="137" t="str">
        <f aca="false">+IF(DATOS_[[#This Row],[% normaliz]]*DATOS_[[#This Row],[% anualiz]]=1,"NO","Sí")</f>
        <v>Sí</v>
      </c>
      <c r="BX59" s="138" t="e">
        <f aca="false">(DATOS_[[#This Row],[S.BASE]]*(1/DATOS_[[#This Row],[% normaliz]])*(1/DATOS_[[#This Row],[% anualiz]]))*IF(DATOS_[[#This Row],[Check Equiparado]]="Sí",1,0)</f>
        <v>#DIV/0!</v>
      </c>
      <c r="BY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 s="138" t="e">
        <f aca="false">+DATOS_[[#This Row],[SALARIO BASE Eq]]+DATOS_[[#This Row],[Tot COMPL.SAL Eq]]</f>
        <v>#DIV/0!</v>
      </c>
      <c r="CA59" s="138" t="e">
        <f aca="false" t="array" ref="CA59: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 s="138" t="e">
        <f aca="false">+DATOS_[[#This Row],[TOTAL SALARIO Eq]]+DATOS_[[#This Row],[Tot Extrasalarial Eq]]</f>
        <v>#DIV/0!</v>
      </c>
      <c r="CC59" s="139" t="n">
        <f aca="false">DATOS_[[#This Row],[S.BASE]]</f>
        <v>0</v>
      </c>
      <c r="CD59" s="139" t="n">
        <f aca="false">+SUM(DATOS_[[#This Row],[Conc.Sal.01]:[Conc.Sal.30]])</f>
        <v>0</v>
      </c>
      <c r="CE59" s="139" t="n">
        <f aca="false">+DATOS_[[#This Row],[SALARIO BASE Ef]]+DATOS_[[#This Row],[Tot COMPL.SAL Ef]]</f>
        <v>0</v>
      </c>
      <c r="CF59" s="139" t="n">
        <f aca="false">+SUM(DATOS_[[#This Row],[C.Extra.01]:[C.Extra.05]])</f>
        <v>0</v>
      </c>
      <c r="CG59" s="139" t="n">
        <f aca="false">+DATOS_[[#This Row],[TOTAL SALARIO Ef]]+DATOS_[[#This Row],[Tot Extrasalarial Ef]]</f>
        <v>0</v>
      </c>
      <c r="CH59" s="140" t="n">
        <f aca="false">MIN(IF(DATOS_[[#This Row],[Fecha Fin Contrato]]="",$D$4,DATOS_[[#This Row],[Fecha Fin Contrato]]),$D$4)-MAX(DATOS_[[#This Row],[Fecha de Contratación]],$D$3)+1</f>
        <v>1</v>
      </c>
      <c r="CI59" s="141" t="str">
        <f aca="false">IF(COUNTIFS(DATOS_[id],DATOS_[[#This Row],[id]])&gt;1,DATOS_[[#This Row],[id]],"")</f>
        <v/>
      </c>
      <c r="CJ59" s="141" t="n">
        <f aca="false">(Inicio!$G$10-DATOS_[[#This Row],[Fecha Nacimiento]])/365.25</f>
        <v>0</v>
      </c>
      <c r="CK59" s="141" t="n">
        <f aca="false">(Inicio!$G$10-DATOS_[[#This Row],[Fecha de Antigüedad]])/365.25</f>
        <v>0</v>
      </c>
      <c r="CL59" s="141" t="e">
        <f aca="false">+VLOOKUP(DATOS_[[#This Row],[Clave de Contrato]],TblTiposContrato13[],3,0)</f>
        <v>#N/A</v>
      </c>
      <c r="CM59" s="141" t="e">
        <f aca="false">+VLOOKUP(DATOS_[[#This Row],[Clave de Contrato]],TblTiposContrato13[],4,0)</f>
        <v>#N/A</v>
      </c>
      <c r="CN59" s="141" t="str">
        <f aca="false">VLOOKUP(DATOS_[[#This Row],[Edad]],CONTRATOS!TblRngEdad,2,1)</f>
        <v>20  o menos</v>
      </c>
      <c r="CO59" s="141" t="str">
        <f aca="false">VLOOKUP(DATOS_[[#This Row],[Antigüedad]],TblRngAntg14[],2,1)</f>
        <v>0 a 1 años</v>
      </c>
    </row>
    <row r="60" customFormat="false" ht="13.8" hidden="false" customHeight="false" outlineLevel="0" collapsed="false">
      <c r="D60" s="128"/>
      <c r="E60" s="129"/>
      <c r="F60" s="129"/>
      <c r="G60" s="129"/>
      <c r="H60" s="130"/>
      <c r="I60" s="131"/>
      <c r="J60" s="128"/>
      <c r="K60" s="132"/>
      <c r="L60" s="132"/>
      <c r="M60" s="133"/>
      <c r="N60" s="133"/>
      <c r="O60" s="133"/>
      <c r="P60" s="129"/>
      <c r="Z60" s="75"/>
      <c r="AA60" s="76"/>
      <c r="AB60" s="76"/>
      <c r="AC60" s="129"/>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134"/>
      <c r="BG60" s="134"/>
      <c r="BH60" s="134"/>
      <c r="BI60" s="134"/>
      <c r="BJ60" s="134"/>
      <c r="BK60" s="134"/>
      <c r="BL60" s="134"/>
      <c r="BM60" s="135"/>
      <c r="BN60" s="136" t="n">
        <f aca="false">+MAX($D$3,DATOS_[[#This Row],[Fecha Inicio Sit. Contract.]])</f>
        <v>0</v>
      </c>
      <c r="BO60" s="136" t="n">
        <f aca="false">+MIN($D$4,DATOS_[[#This Row],[Fecha Fin Sit. Contract.]])</f>
        <v>0</v>
      </c>
      <c r="BP60" s="137" t="n">
        <f aca="false">+DATOS_[[#This Row],[% de jornada]]*IF(DATOS_[[#This Row],[% jornada reducida]]="",1,DATOS_[[#This Row],[% jornada reducida]])</f>
        <v>0</v>
      </c>
      <c r="BQ60" s="137" t="n">
        <f aca="false">+(DATOS_[[#This Row],[F.fin.cal]]-DATOS_[[#This Row],[F.ini.cal]]+1)/($D$4-$D$3+1)</f>
        <v>1</v>
      </c>
      <c r="BR60" s="137" t="str">
        <f aca="false">IF(OR(AND(DATOS_[[#This Row],[Fecha Fin Contrato]]&lt;$D$3,DATOS_[[#This Row],[Fecha Fin Contrato]]&lt;&gt;""),DATOS_[[#This Row],[Fecha de Contratación]]&gt;$D$4),"Fuera","Dentro")</f>
        <v>Dentro</v>
      </c>
      <c r="BS60" s="137" t="str">
        <f aca="false" t="array" ref="BS60:BS60">IF(MAX(IF(DATOS_[id]=DATOS_[[#This Row],[id]],DATOS_[F.fin.cal]))=DATOS_[[#This Row],[F.fin.cal]],"Sí","NO")</f>
        <v>Sí</v>
      </c>
      <c r="BT60" s="137" t="str">
        <f aca="false">IF(AND(DATOS_[[#This Row],[% normaliz]]&lt;&gt;1,DATOS_[[#This Row],[% anualiz]]=1),"Sí","NO")</f>
        <v>Sí</v>
      </c>
      <c r="BU60" s="137" t="str">
        <f aca="false">IF(AND(DATOS_[[#This Row],[% normaliz]]=1,DATOS_[[#This Row],[% anualiz]]&lt;&gt;1),"Sí","NO")</f>
        <v>NO</v>
      </c>
      <c r="BV60" s="137" t="str">
        <f aca="false">IF(AND(DATOS_[[#This Row],[% normaliz]]&lt;&gt;1,DATOS_[[#This Row],[% anualiz]]&lt;&gt;1),"Sí","NO")</f>
        <v>NO</v>
      </c>
      <c r="BW60" s="137" t="str">
        <f aca="false">+IF(DATOS_[[#This Row],[% normaliz]]*DATOS_[[#This Row],[% anualiz]]=1,"NO","Sí")</f>
        <v>Sí</v>
      </c>
      <c r="BX60" s="138" t="e">
        <f aca="false">(DATOS_[[#This Row],[S.BASE]]*(1/DATOS_[[#This Row],[% normaliz]])*(1/DATOS_[[#This Row],[% anualiz]]))*IF(DATOS_[[#This Row],[Check Equiparado]]="Sí",1,0)</f>
        <v>#DIV/0!</v>
      </c>
      <c r="BY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 s="138" t="e">
        <f aca="false">+DATOS_[[#This Row],[SALARIO BASE Eq]]+DATOS_[[#This Row],[Tot COMPL.SAL Eq]]</f>
        <v>#DIV/0!</v>
      </c>
      <c r="CA60" s="138" t="e">
        <f aca="false" t="array" ref="CA60: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 s="138" t="e">
        <f aca="false">+DATOS_[[#This Row],[TOTAL SALARIO Eq]]+DATOS_[[#This Row],[Tot Extrasalarial Eq]]</f>
        <v>#DIV/0!</v>
      </c>
      <c r="CC60" s="139" t="n">
        <f aca="false">DATOS_[[#This Row],[S.BASE]]</f>
        <v>0</v>
      </c>
      <c r="CD60" s="139" t="n">
        <f aca="false">+SUM(DATOS_[[#This Row],[Conc.Sal.01]:[Conc.Sal.30]])</f>
        <v>0</v>
      </c>
      <c r="CE60" s="139" t="n">
        <f aca="false">+DATOS_[[#This Row],[SALARIO BASE Ef]]+DATOS_[[#This Row],[Tot COMPL.SAL Ef]]</f>
        <v>0</v>
      </c>
      <c r="CF60" s="139" t="n">
        <f aca="false">+SUM(DATOS_[[#This Row],[C.Extra.01]:[C.Extra.05]])</f>
        <v>0</v>
      </c>
      <c r="CG60" s="139" t="n">
        <f aca="false">+DATOS_[[#This Row],[TOTAL SALARIO Ef]]+DATOS_[[#This Row],[Tot Extrasalarial Ef]]</f>
        <v>0</v>
      </c>
      <c r="CH60" s="140" t="n">
        <f aca="false">MIN(IF(DATOS_[[#This Row],[Fecha Fin Contrato]]="",$D$4,DATOS_[[#This Row],[Fecha Fin Contrato]]),$D$4)-MAX(DATOS_[[#This Row],[Fecha de Contratación]],$D$3)+1</f>
        <v>1</v>
      </c>
      <c r="CI60" s="141" t="str">
        <f aca="false">IF(COUNTIFS(DATOS_[id],DATOS_[[#This Row],[id]])&gt;1,DATOS_[[#This Row],[id]],"")</f>
        <v/>
      </c>
      <c r="CJ60" s="141" t="n">
        <f aca="false">(Inicio!$G$10-DATOS_[[#This Row],[Fecha Nacimiento]])/365.25</f>
        <v>0</v>
      </c>
      <c r="CK60" s="141" t="n">
        <f aca="false">(Inicio!$G$10-DATOS_[[#This Row],[Fecha de Antigüedad]])/365.25</f>
        <v>0</v>
      </c>
      <c r="CL60" s="141" t="e">
        <f aca="false">+VLOOKUP(DATOS_[[#This Row],[Clave de Contrato]],TblTiposContrato13[],3,0)</f>
        <v>#N/A</v>
      </c>
      <c r="CM60" s="141" t="e">
        <f aca="false">+VLOOKUP(DATOS_[[#This Row],[Clave de Contrato]],TblTiposContrato13[],4,0)</f>
        <v>#N/A</v>
      </c>
      <c r="CN60" s="141" t="str">
        <f aca="false">VLOOKUP(DATOS_[[#This Row],[Edad]],CONTRATOS!TblRngEdad,2,1)</f>
        <v>20  o menos</v>
      </c>
      <c r="CO60" s="141" t="str">
        <f aca="false">VLOOKUP(DATOS_[[#This Row],[Antigüedad]],TblRngAntg14[],2,1)</f>
        <v>0 a 1 años</v>
      </c>
    </row>
    <row r="61" customFormat="false" ht="13.8" hidden="false" customHeight="false" outlineLevel="0" collapsed="false">
      <c r="D61" s="128"/>
      <c r="E61" s="129"/>
      <c r="F61" s="129"/>
      <c r="G61" s="129"/>
      <c r="H61" s="130"/>
      <c r="I61" s="131"/>
      <c r="J61" s="128"/>
      <c r="K61" s="132"/>
      <c r="L61" s="132"/>
      <c r="M61" s="133"/>
      <c r="N61" s="133"/>
      <c r="O61" s="133"/>
      <c r="P61" s="129"/>
      <c r="Z61" s="75"/>
      <c r="AA61" s="76"/>
      <c r="AB61" s="76"/>
      <c r="AC61" s="129"/>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5"/>
      <c r="BN61" s="136" t="n">
        <f aca="false">+MAX($D$3,DATOS_[[#This Row],[Fecha Inicio Sit. Contract.]])</f>
        <v>0</v>
      </c>
      <c r="BO61" s="136" t="n">
        <f aca="false">+MIN($D$4,DATOS_[[#This Row],[Fecha Fin Sit. Contract.]])</f>
        <v>0</v>
      </c>
      <c r="BP61" s="137" t="n">
        <f aca="false">+DATOS_[[#This Row],[% de jornada]]*IF(DATOS_[[#This Row],[% jornada reducida]]="",1,DATOS_[[#This Row],[% jornada reducida]])</f>
        <v>0</v>
      </c>
      <c r="BQ61" s="137" t="n">
        <f aca="false">+(DATOS_[[#This Row],[F.fin.cal]]-DATOS_[[#This Row],[F.ini.cal]]+1)/($D$4-$D$3+1)</f>
        <v>1</v>
      </c>
      <c r="BR61" s="137" t="str">
        <f aca="false">IF(OR(AND(DATOS_[[#This Row],[Fecha Fin Contrato]]&lt;$D$3,DATOS_[[#This Row],[Fecha Fin Contrato]]&lt;&gt;""),DATOS_[[#This Row],[Fecha de Contratación]]&gt;$D$4),"Fuera","Dentro")</f>
        <v>Dentro</v>
      </c>
      <c r="BS61" s="137" t="str">
        <f aca="false" t="array" ref="BS61:BS61">IF(MAX(IF(DATOS_[id]=DATOS_[[#This Row],[id]],DATOS_[F.fin.cal]))=DATOS_[[#This Row],[F.fin.cal]],"Sí","NO")</f>
        <v>Sí</v>
      </c>
      <c r="BT61" s="137" t="str">
        <f aca="false">IF(AND(DATOS_[[#This Row],[% normaliz]]&lt;&gt;1,DATOS_[[#This Row],[% anualiz]]=1),"Sí","NO")</f>
        <v>Sí</v>
      </c>
      <c r="BU61" s="137" t="str">
        <f aca="false">IF(AND(DATOS_[[#This Row],[% normaliz]]=1,DATOS_[[#This Row],[% anualiz]]&lt;&gt;1),"Sí","NO")</f>
        <v>NO</v>
      </c>
      <c r="BV61" s="137" t="str">
        <f aca="false">IF(AND(DATOS_[[#This Row],[% normaliz]]&lt;&gt;1,DATOS_[[#This Row],[% anualiz]]&lt;&gt;1),"Sí","NO")</f>
        <v>NO</v>
      </c>
      <c r="BW61" s="137" t="str">
        <f aca="false">+IF(DATOS_[[#This Row],[% normaliz]]*DATOS_[[#This Row],[% anualiz]]=1,"NO","Sí")</f>
        <v>Sí</v>
      </c>
      <c r="BX61" s="138" t="e">
        <f aca="false">(DATOS_[[#This Row],[S.BASE]]*(1/DATOS_[[#This Row],[% normaliz]])*(1/DATOS_[[#This Row],[% anualiz]]))*IF(DATOS_[[#This Row],[Check Equiparado]]="Sí",1,0)</f>
        <v>#DIV/0!</v>
      </c>
      <c r="BY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 s="138" t="e">
        <f aca="false">+DATOS_[[#This Row],[SALARIO BASE Eq]]+DATOS_[[#This Row],[Tot COMPL.SAL Eq]]</f>
        <v>#DIV/0!</v>
      </c>
      <c r="CA61" s="138" t="e">
        <f aca="false" t="array" ref="CA61: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 s="138" t="e">
        <f aca="false">+DATOS_[[#This Row],[TOTAL SALARIO Eq]]+DATOS_[[#This Row],[Tot Extrasalarial Eq]]</f>
        <v>#DIV/0!</v>
      </c>
      <c r="CC61" s="139" t="n">
        <f aca="false">DATOS_[[#This Row],[S.BASE]]</f>
        <v>0</v>
      </c>
      <c r="CD61" s="139" t="n">
        <f aca="false">+SUM(DATOS_[[#This Row],[Conc.Sal.01]:[Conc.Sal.30]])</f>
        <v>0</v>
      </c>
      <c r="CE61" s="139" t="n">
        <f aca="false">+DATOS_[[#This Row],[SALARIO BASE Ef]]+DATOS_[[#This Row],[Tot COMPL.SAL Ef]]</f>
        <v>0</v>
      </c>
      <c r="CF61" s="139" t="n">
        <f aca="false">+SUM(DATOS_[[#This Row],[C.Extra.01]:[C.Extra.05]])</f>
        <v>0</v>
      </c>
      <c r="CG61" s="139" t="n">
        <f aca="false">+DATOS_[[#This Row],[TOTAL SALARIO Ef]]+DATOS_[[#This Row],[Tot Extrasalarial Ef]]</f>
        <v>0</v>
      </c>
      <c r="CH61" s="140" t="n">
        <f aca="false">MIN(IF(DATOS_[[#This Row],[Fecha Fin Contrato]]="",$D$4,DATOS_[[#This Row],[Fecha Fin Contrato]]),$D$4)-MAX(DATOS_[[#This Row],[Fecha de Contratación]],$D$3)+1</f>
        <v>1</v>
      </c>
      <c r="CI61" s="141" t="str">
        <f aca="false">IF(COUNTIFS(DATOS_[id],DATOS_[[#This Row],[id]])&gt;1,DATOS_[[#This Row],[id]],"")</f>
        <v/>
      </c>
      <c r="CJ61" s="141" t="n">
        <f aca="false">(Inicio!$G$10-DATOS_[[#This Row],[Fecha Nacimiento]])/365.25</f>
        <v>0</v>
      </c>
      <c r="CK61" s="141" t="n">
        <f aca="false">(Inicio!$G$10-DATOS_[[#This Row],[Fecha de Antigüedad]])/365.25</f>
        <v>0</v>
      </c>
      <c r="CL61" s="141" t="e">
        <f aca="false">+VLOOKUP(DATOS_[[#This Row],[Clave de Contrato]],TblTiposContrato13[],3,0)</f>
        <v>#N/A</v>
      </c>
      <c r="CM61" s="141" t="e">
        <f aca="false">+VLOOKUP(DATOS_[[#This Row],[Clave de Contrato]],TblTiposContrato13[],4,0)</f>
        <v>#N/A</v>
      </c>
      <c r="CN61" s="141" t="str">
        <f aca="false">VLOOKUP(DATOS_[[#This Row],[Edad]],CONTRATOS!TblRngEdad,2,1)</f>
        <v>20  o menos</v>
      </c>
      <c r="CO61" s="141" t="str">
        <f aca="false">VLOOKUP(DATOS_[[#This Row],[Antigüedad]],TblRngAntg14[],2,1)</f>
        <v>0 a 1 años</v>
      </c>
    </row>
    <row r="62" customFormat="false" ht="13.8" hidden="false" customHeight="false" outlineLevel="0" collapsed="false">
      <c r="D62" s="128"/>
      <c r="E62" s="129"/>
      <c r="F62" s="129"/>
      <c r="G62" s="129"/>
      <c r="H62" s="130"/>
      <c r="I62" s="131"/>
      <c r="J62" s="128"/>
      <c r="K62" s="132"/>
      <c r="L62" s="132"/>
      <c r="M62" s="133"/>
      <c r="N62" s="133"/>
      <c r="O62" s="133"/>
      <c r="P62" s="129"/>
      <c r="Z62" s="75"/>
      <c r="AA62" s="76"/>
      <c r="AB62" s="76"/>
      <c r="AC62" s="129"/>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134"/>
      <c r="BG62" s="134"/>
      <c r="BH62" s="134"/>
      <c r="BI62" s="134"/>
      <c r="BJ62" s="134"/>
      <c r="BK62" s="134"/>
      <c r="BL62" s="134"/>
      <c r="BM62" s="135"/>
      <c r="BN62" s="136" t="n">
        <f aca="false">+MAX($D$3,DATOS_[[#This Row],[Fecha Inicio Sit. Contract.]])</f>
        <v>0</v>
      </c>
      <c r="BO62" s="136" t="n">
        <f aca="false">+MIN($D$4,DATOS_[[#This Row],[Fecha Fin Sit. Contract.]])</f>
        <v>0</v>
      </c>
      <c r="BP62" s="137" t="n">
        <f aca="false">+DATOS_[[#This Row],[% de jornada]]*IF(DATOS_[[#This Row],[% jornada reducida]]="",1,DATOS_[[#This Row],[% jornada reducida]])</f>
        <v>0</v>
      </c>
      <c r="BQ62" s="137" t="n">
        <f aca="false">+(DATOS_[[#This Row],[F.fin.cal]]-DATOS_[[#This Row],[F.ini.cal]]+1)/($D$4-$D$3+1)</f>
        <v>1</v>
      </c>
      <c r="BR62" s="137" t="str">
        <f aca="false">IF(OR(AND(DATOS_[[#This Row],[Fecha Fin Contrato]]&lt;$D$3,DATOS_[[#This Row],[Fecha Fin Contrato]]&lt;&gt;""),DATOS_[[#This Row],[Fecha de Contratación]]&gt;$D$4),"Fuera","Dentro")</f>
        <v>Dentro</v>
      </c>
      <c r="BS62" s="137" t="str">
        <f aca="false" t="array" ref="BS62:BS62">IF(MAX(IF(DATOS_[id]=DATOS_[[#This Row],[id]],DATOS_[F.fin.cal]))=DATOS_[[#This Row],[F.fin.cal]],"Sí","NO")</f>
        <v>Sí</v>
      </c>
      <c r="BT62" s="137" t="str">
        <f aca="false">IF(AND(DATOS_[[#This Row],[% normaliz]]&lt;&gt;1,DATOS_[[#This Row],[% anualiz]]=1),"Sí","NO")</f>
        <v>Sí</v>
      </c>
      <c r="BU62" s="137" t="str">
        <f aca="false">IF(AND(DATOS_[[#This Row],[% normaliz]]=1,DATOS_[[#This Row],[% anualiz]]&lt;&gt;1),"Sí","NO")</f>
        <v>NO</v>
      </c>
      <c r="BV62" s="137" t="str">
        <f aca="false">IF(AND(DATOS_[[#This Row],[% normaliz]]&lt;&gt;1,DATOS_[[#This Row],[% anualiz]]&lt;&gt;1),"Sí","NO")</f>
        <v>NO</v>
      </c>
      <c r="BW62" s="137" t="str">
        <f aca="false">+IF(DATOS_[[#This Row],[% normaliz]]*DATOS_[[#This Row],[% anualiz]]=1,"NO","Sí")</f>
        <v>Sí</v>
      </c>
      <c r="BX62" s="138" t="e">
        <f aca="false">(DATOS_[[#This Row],[S.BASE]]*(1/DATOS_[[#This Row],[% normaliz]])*(1/DATOS_[[#This Row],[% anualiz]]))*IF(DATOS_[[#This Row],[Check Equiparado]]="Sí",1,0)</f>
        <v>#DIV/0!</v>
      </c>
      <c r="BY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 s="138" t="e">
        <f aca="false">+DATOS_[[#This Row],[SALARIO BASE Eq]]+DATOS_[[#This Row],[Tot COMPL.SAL Eq]]</f>
        <v>#DIV/0!</v>
      </c>
      <c r="CA62" s="138" t="e">
        <f aca="false" t="array" ref="CA62: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 s="138" t="e">
        <f aca="false">+DATOS_[[#This Row],[TOTAL SALARIO Eq]]+DATOS_[[#This Row],[Tot Extrasalarial Eq]]</f>
        <v>#DIV/0!</v>
      </c>
      <c r="CC62" s="139" t="n">
        <f aca="false">DATOS_[[#This Row],[S.BASE]]</f>
        <v>0</v>
      </c>
      <c r="CD62" s="139" t="n">
        <f aca="false">+SUM(DATOS_[[#This Row],[Conc.Sal.01]:[Conc.Sal.30]])</f>
        <v>0</v>
      </c>
      <c r="CE62" s="139" t="n">
        <f aca="false">+DATOS_[[#This Row],[SALARIO BASE Ef]]+DATOS_[[#This Row],[Tot COMPL.SAL Ef]]</f>
        <v>0</v>
      </c>
      <c r="CF62" s="139" t="n">
        <f aca="false">+SUM(DATOS_[[#This Row],[C.Extra.01]:[C.Extra.05]])</f>
        <v>0</v>
      </c>
      <c r="CG62" s="139" t="n">
        <f aca="false">+DATOS_[[#This Row],[TOTAL SALARIO Ef]]+DATOS_[[#This Row],[Tot Extrasalarial Ef]]</f>
        <v>0</v>
      </c>
      <c r="CH62" s="140" t="n">
        <f aca="false">MIN(IF(DATOS_[[#This Row],[Fecha Fin Contrato]]="",$D$4,DATOS_[[#This Row],[Fecha Fin Contrato]]),$D$4)-MAX(DATOS_[[#This Row],[Fecha de Contratación]],$D$3)+1</f>
        <v>1</v>
      </c>
      <c r="CI62" s="141" t="str">
        <f aca="false">IF(COUNTIFS(DATOS_[id],DATOS_[[#This Row],[id]])&gt;1,DATOS_[[#This Row],[id]],"")</f>
        <v/>
      </c>
      <c r="CJ62" s="141" t="n">
        <f aca="false">(Inicio!$G$10-DATOS_[[#This Row],[Fecha Nacimiento]])/365.25</f>
        <v>0</v>
      </c>
      <c r="CK62" s="141" t="n">
        <f aca="false">(Inicio!$G$10-DATOS_[[#This Row],[Fecha de Antigüedad]])/365.25</f>
        <v>0</v>
      </c>
      <c r="CL62" s="141" t="e">
        <f aca="false">+VLOOKUP(DATOS_[[#This Row],[Clave de Contrato]],TblTiposContrato13[],3,0)</f>
        <v>#N/A</v>
      </c>
      <c r="CM62" s="141" t="e">
        <f aca="false">+VLOOKUP(DATOS_[[#This Row],[Clave de Contrato]],TblTiposContrato13[],4,0)</f>
        <v>#N/A</v>
      </c>
      <c r="CN62" s="141" t="str">
        <f aca="false">VLOOKUP(DATOS_[[#This Row],[Edad]],CONTRATOS!TblRngEdad,2,1)</f>
        <v>20  o menos</v>
      </c>
      <c r="CO62" s="141" t="str">
        <f aca="false">VLOOKUP(DATOS_[[#This Row],[Antigüedad]],TblRngAntg14[],2,1)</f>
        <v>0 a 1 años</v>
      </c>
    </row>
    <row r="63" customFormat="false" ht="13.8" hidden="false" customHeight="false" outlineLevel="0" collapsed="false">
      <c r="D63" s="128"/>
      <c r="E63" s="129"/>
      <c r="F63" s="129"/>
      <c r="G63" s="129"/>
      <c r="H63" s="130"/>
      <c r="I63" s="131"/>
      <c r="J63" s="128"/>
      <c r="K63" s="132"/>
      <c r="L63" s="132"/>
      <c r="M63" s="133"/>
      <c r="N63" s="133"/>
      <c r="O63" s="133"/>
      <c r="P63" s="129"/>
      <c r="Z63" s="75"/>
      <c r="AA63" s="76"/>
      <c r="AB63" s="76"/>
      <c r="AC63" s="129"/>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4"/>
      <c r="BD63" s="134"/>
      <c r="BE63" s="134"/>
      <c r="BF63" s="134"/>
      <c r="BG63" s="134"/>
      <c r="BH63" s="134"/>
      <c r="BI63" s="134"/>
      <c r="BJ63" s="134"/>
      <c r="BK63" s="134"/>
      <c r="BL63" s="134"/>
      <c r="BM63" s="135"/>
      <c r="BN63" s="136" t="n">
        <f aca="false">+MAX($D$3,DATOS_[[#This Row],[Fecha Inicio Sit. Contract.]])</f>
        <v>0</v>
      </c>
      <c r="BO63" s="136" t="n">
        <f aca="false">+MIN($D$4,DATOS_[[#This Row],[Fecha Fin Sit. Contract.]])</f>
        <v>0</v>
      </c>
      <c r="BP63" s="137" t="n">
        <f aca="false">+DATOS_[[#This Row],[% de jornada]]*IF(DATOS_[[#This Row],[% jornada reducida]]="",1,DATOS_[[#This Row],[% jornada reducida]])</f>
        <v>0</v>
      </c>
      <c r="BQ63" s="137" t="n">
        <f aca="false">+(DATOS_[[#This Row],[F.fin.cal]]-DATOS_[[#This Row],[F.ini.cal]]+1)/($D$4-$D$3+1)</f>
        <v>1</v>
      </c>
      <c r="BR63" s="137" t="str">
        <f aca="false">IF(OR(AND(DATOS_[[#This Row],[Fecha Fin Contrato]]&lt;$D$3,DATOS_[[#This Row],[Fecha Fin Contrato]]&lt;&gt;""),DATOS_[[#This Row],[Fecha de Contratación]]&gt;$D$4),"Fuera","Dentro")</f>
        <v>Dentro</v>
      </c>
      <c r="BS63" s="137" t="str">
        <f aca="false" t="array" ref="BS63:BS63">IF(MAX(IF(DATOS_[id]=DATOS_[[#This Row],[id]],DATOS_[F.fin.cal]))=DATOS_[[#This Row],[F.fin.cal]],"Sí","NO")</f>
        <v>Sí</v>
      </c>
      <c r="BT63" s="137" t="str">
        <f aca="false">IF(AND(DATOS_[[#This Row],[% normaliz]]&lt;&gt;1,DATOS_[[#This Row],[% anualiz]]=1),"Sí","NO")</f>
        <v>Sí</v>
      </c>
      <c r="BU63" s="137" t="str">
        <f aca="false">IF(AND(DATOS_[[#This Row],[% normaliz]]=1,DATOS_[[#This Row],[% anualiz]]&lt;&gt;1),"Sí","NO")</f>
        <v>NO</v>
      </c>
      <c r="BV63" s="137" t="str">
        <f aca="false">IF(AND(DATOS_[[#This Row],[% normaliz]]&lt;&gt;1,DATOS_[[#This Row],[% anualiz]]&lt;&gt;1),"Sí","NO")</f>
        <v>NO</v>
      </c>
      <c r="BW63" s="137" t="str">
        <f aca="false">+IF(DATOS_[[#This Row],[% normaliz]]*DATOS_[[#This Row],[% anualiz]]=1,"NO","Sí")</f>
        <v>Sí</v>
      </c>
      <c r="BX63" s="138" t="e">
        <f aca="false">(DATOS_[[#This Row],[S.BASE]]*(1/DATOS_[[#This Row],[% normaliz]])*(1/DATOS_[[#This Row],[% anualiz]]))*IF(DATOS_[[#This Row],[Check Equiparado]]="Sí",1,0)</f>
        <v>#DIV/0!</v>
      </c>
      <c r="BY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 s="138" t="e">
        <f aca="false">+DATOS_[[#This Row],[SALARIO BASE Eq]]+DATOS_[[#This Row],[Tot COMPL.SAL Eq]]</f>
        <v>#DIV/0!</v>
      </c>
      <c r="CA63" s="138" t="e">
        <f aca="false" t="array" ref="CA63: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 s="138" t="e">
        <f aca="false">+DATOS_[[#This Row],[TOTAL SALARIO Eq]]+DATOS_[[#This Row],[Tot Extrasalarial Eq]]</f>
        <v>#DIV/0!</v>
      </c>
      <c r="CC63" s="139" t="n">
        <f aca="false">DATOS_[[#This Row],[S.BASE]]</f>
        <v>0</v>
      </c>
      <c r="CD63" s="139" t="n">
        <f aca="false">+SUM(DATOS_[[#This Row],[Conc.Sal.01]:[Conc.Sal.30]])</f>
        <v>0</v>
      </c>
      <c r="CE63" s="139" t="n">
        <f aca="false">+DATOS_[[#This Row],[SALARIO BASE Ef]]+DATOS_[[#This Row],[Tot COMPL.SAL Ef]]</f>
        <v>0</v>
      </c>
      <c r="CF63" s="139" t="n">
        <f aca="false">+SUM(DATOS_[[#This Row],[C.Extra.01]:[C.Extra.05]])</f>
        <v>0</v>
      </c>
      <c r="CG63" s="139" t="n">
        <f aca="false">+DATOS_[[#This Row],[TOTAL SALARIO Ef]]+DATOS_[[#This Row],[Tot Extrasalarial Ef]]</f>
        <v>0</v>
      </c>
      <c r="CH63" s="140" t="n">
        <f aca="false">MIN(IF(DATOS_[[#This Row],[Fecha Fin Contrato]]="",$D$4,DATOS_[[#This Row],[Fecha Fin Contrato]]),$D$4)-MAX(DATOS_[[#This Row],[Fecha de Contratación]],$D$3)+1</f>
        <v>1</v>
      </c>
      <c r="CI63" s="141" t="str">
        <f aca="false">IF(COUNTIFS(DATOS_[id],DATOS_[[#This Row],[id]])&gt;1,DATOS_[[#This Row],[id]],"")</f>
        <v/>
      </c>
      <c r="CJ63" s="141" t="n">
        <f aca="false">(Inicio!$G$10-DATOS_[[#This Row],[Fecha Nacimiento]])/365.25</f>
        <v>0</v>
      </c>
      <c r="CK63" s="141" t="n">
        <f aca="false">(Inicio!$G$10-DATOS_[[#This Row],[Fecha de Antigüedad]])/365.25</f>
        <v>0</v>
      </c>
      <c r="CL63" s="141" t="e">
        <f aca="false">+VLOOKUP(DATOS_[[#This Row],[Clave de Contrato]],TblTiposContrato13[],3,0)</f>
        <v>#N/A</v>
      </c>
      <c r="CM63" s="141" t="e">
        <f aca="false">+VLOOKUP(DATOS_[[#This Row],[Clave de Contrato]],TblTiposContrato13[],4,0)</f>
        <v>#N/A</v>
      </c>
      <c r="CN63" s="141" t="str">
        <f aca="false">VLOOKUP(DATOS_[[#This Row],[Edad]],CONTRATOS!TblRngEdad,2,1)</f>
        <v>20  o menos</v>
      </c>
      <c r="CO63" s="141" t="str">
        <f aca="false">VLOOKUP(DATOS_[[#This Row],[Antigüedad]],TblRngAntg14[],2,1)</f>
        <v>0 a 1 años</v>
      </c>
    </row>
    <row r="64" customFormat="false" ht="13.8" hidden="false" customHeight="false" outlineLevel="0" collapsed="false">
      <c r="D64" s="128"/>
      <c r="E64" s="129"/>
      <c r="F64" s="129"/>
      <c r="G64" s="129"/>
      <c r="H64" s="130"/>
      <c r="I64" s="131"/>
      <c r="J64" s="128"/>
      <c r="K64" s="132"/>
      <c r="L64" s="132"/>
      <c r="M64" s="133"/>
      <c r="N64" s="133"/>
      <c r="O64" s="133"/>
      <c r="P64" s="129"/>
      <c r="Z64" s="75"/>
      <c r="AA64" s="76"/>
      <c r="AB64" s="76"/>
      <c r="AC64" s="129"/>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34"/>
      <c r="BI64" s="134"/>
      <c r="BJ64" s="134"/>
      <c r="BK64" s="134"/>
      <c r="BL64" s="134"/>
      <c r="BM64" s="135"/>
      <c r="BN64" s="136" t="n">
        <f aca="false">+MAX($D$3,DATOS_[[#This Row],[Fecha Inicio Sit. Contract.]])</f>
        <v>0</v>
      </c>
      <c r="BO64" s="136" t="n">
        <f aca="false">+MIN($D$4,DATOS_[[#This Row],[Fecha Fin Sit. Contract.]])</f>
        <v>0</v>
      </c>
      <c r="BP64" s="137" t="n">
        <f aca="false">+DATOS_[[#This Row],[% de jornada]]*IF(DATOS_[[#This Row],[% jornada reducida]]="",1,DATOS_[[#This Row],[% jornada reducida]])</f>
        <v>0</v>
      </c>
      <c r="BQ64" s="137" t="n">
        <f aca="false">+(DATOS_[[#This Row],[F.fin.cal]]-DATOS_[[#This Row],[F.ini.cal]]+1)/($D$4-$D$3+1)</f>
        <v>1</v>
      </c>
      <c r="BR64" s="137" t="str">
        <f aca="false">IF(OR(AND(DATOS_[[#This Row],[Fecha Fin Contrato]]&lt;$D$3,DATOS_[[#This Row],[Fecha Fin Contrato]]&lt;&gt;""),DATOS_[[#This Row],[Fecha de Contratación]]&gt;$D$4),"Fuera","Dentro")</f>
        <v>Dentro</v>
      </c>
      <c r="BS64" s="137" t="str">
        <f aca="false" t="array" ref="BS64:BS64">IF(MAX(IF(DATOS_[id]=DATOS_[[#This Row],[id]],DATOS_[F.fin.cal]))=DATOS_[[#This Row],[F.fin.cal]],"Sí","NO")</f>
        <v>Sí</v>
      </c>
      <c r="BT64" s="137" t="str">
        <f aca="false">IF(AND(DATOS_[[#This Row],[% normaliz]]&lt;&gt;1,DATOS_[[#This Row],[% anualiz]]=1),"Sí","NO")</f>
        <v>Sí</v>
      </c>
      <c r="BU64" s="137" t="str">
        <f aca="false">IF(AND(DATOS_[[#This Row],[% normaliz]]=1,DATOS_[[#This Row],[% anualiz]]&lt;&gt;1),"Sí","NO")</f>
        <v>NO</v>
      </c>
      <c r="BV64" s="137" t="str">
        <f aca="false">IF(AND(DATOS_[[#This Row],[% normaliz]]&lt;&gt;1,DATOS_[[#This Row],[% anualiz]]&lt;&gt;1),"Sí","NO")</f>
        <v>NO</v>
      </c>
      <c r="BW64" s="137" t="str">
        <f aca="false">+IF(DATOS_[[#This Row],[% normaliz]]*DATOS_[[#This Row],[% anualiz]]=1,"NO","Sí")</f>
        <v>Sí</v>
      </c>
      <c r="BX64" s="138" t="e">
        <f aca="false">(DATOS_[[#This Row],[S.BASE]]*(1/DATOS_[[#This Row],[% normaliz]])*(1/DATOS_[[#This Row],[% anualiz]]))*IF(DATOS_[[#This Row],[Check Equiparado]]="Sí",1,0)</f>
        <v>#DIV/0!</v>
      </c>
      <c r="BY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 s="138" t="e">
        <f aca="false">+DATOS_[[#This Row],[SALARIO BASE Eq]]+DATOS_[[#This Row],[Tot COMPL.SAL Eq]]</f>
        <v>#DIV/0!</v>
      </c>
      <c r="CA64" s="138" t="e">
        <f aca="false" t="array" ref="CA64: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 s="138" t="e">
        <f aca="false">+DATOS_[[#This Row],[TOTAL SALARIO Eq]]+DATOS_[[#This Row],[Tot Extrasalarial Eq]]</f>
        <v>#DIV/0!</v>
      </c>
      <c r="CC64" s="139" t="n">
        <f aca="false">DATOS_[[#This Row],[S.BASE]]</f>
        <v>0</v>
      </c>
      <c r="CD64" s="139" t="n">
        <f aca="false">+SUM(DATOS_[[#This Row],[Conc.Sal.01]:[Conc.Sal.30]])</f>
        <v>0</v>
      </c>
      <c r="CE64" s="139" t="n">
        <f aca="false">+DATOS_[[#This Row],[SALARIO BASE Ef]]+DATOS_[[#This Row],[Tot COMPL.SAL Ef]]</f>
        <v>0</v>
      </c>
      <c r="CF64" s="139" t="n">
        <f aca="false">+SUM(DATOS_[[#This Row],[C.Extra.01]:[C.Extra.05]])</f>
        <v>0</v>
      </c>
      <c r="CG64" s="139" t="n">
        <f aca="false">+DATOS_[[#This Row],[TOTAL SALARIO Ef]]+DATOS_[[#This Row],[Tot Extrasalarial Ef]]</f>
        <v>0</v>
      </c>
      <c r="CH64" s="140" t="n">
        <f aca="false">MIN(IF(DATOS_[[#This Row],[Fecha Fin Contrato]]="",$D$4,DATOS_[[#This Row],[Fecha Fin Contrato]]),$D$4)-MAX(DATOS_[[#This Row],[Fecha de Contratación]],$D$3)+1</f>
        <v>1</v>
      </c>
      <c r="CI64" s="141" t="str">
        <f aca="false">IF(COUNTIFS(DATOS_[id],DATOS_[[#This Row],[id]])&gt;1,DATOS_[[#This Row],[id]],"")</f>
        <v/>
      </c>
      <c r="CJ64" s="141" t="n">
        <f aca="false">(Inicio!$G$10-DATOS_[[#This Row],[Fecha Nacimiento]])/365.25</f>
        <v>0</v>
      </c>
      <c r="CK64" s="141" t="n">
        <f aca="false">(Inicio!$G$10-DATOS_[[#This Row],[Fecha de Antigüedad]])/365.25</f>
        <v>0</v>
      </c>
      <c r="CL64" s="141" t="e">
        <f aca="false">+VLOOKUP(DATOS_[[#This Row],[Clave de Contrato]],TblTiposContrato13[],3,0)</f>
        <v>#N/A</v>
      </c>
      <c r="CM64" s="141" t="e">
        <f aca="false">+VLOOKUP(DATOS_[[#This Row],[Clave de Contrato]],TblTiposContrato13[],4,0)</f>
        <v>#N/A</v>
      </c>
      <c r="CN64" s="141" t="str">
        <f aca="false">VLOOKUP(DATOS_[[#This Row],[Edad]],CONTRATOS!TblRngEdad,2,1)</f>
        <v>20  o menos</v>
      </c>
      <c r="CO64" s="141" t="str">
        <f aca="false">VLOOKUP(DATOS_[[#This Row],[Antigüedad]],TblRngAntg14[],2,1)</f>
        <v>0 a 1 años</v>
      </c>
    </row>
    <row r="65" customFormat="false" ht="13.8" hidden="false" customHeight="false" outlineLevel="0" collapsed="false">
      <c r="D65" s="128"/>
      <c r="E65" s="129"/>
      <c r="F65" s="129"/>
      <c r="G65" s="129"/>
      <c r="H65" s="130"/>
      <c r="I65" s="131"/>
      <c r="J65" s="128"/>
      <c r="K65" s="132"/>
      <c r="L65" s="132"/>
      <c r="M65" s="133"/>
      <c r="N65" s="133"/>
      <c r="O65" s="133"/>
      <c r="P65" s="129"/>
      <c r="Z65" s="75"/>
      <c r="AA65" s="76"/>
      <c r="AB65" s="76"/>
      <c r="AC65" s="129"/>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4"/>
      <c r="BD65" s="134"/>
      <c r="BE65" s="134"/>
      <c r="BF65" s="134"/>
      <c r="BG65" s="134"/>
      <c r="BH65" s="134"/>
      <c r="BI65" s="134"/>
      <c r="BJ65" s="134"/>
      <c r="BK65" s="134"/>
      <c r="BL65" s="134"/>
      <c r="BM65" s="135"/>
      <c r="BN65" s="136" t="n">
        <f aca="false">+MAX($D$3,DATOS_[[#This Row],[Fecha Inicio Sit. Contract.]])</f>
        <v>0</v>
      </c>
      <c r="BO65" s="136" t="n">
        <f aca="false">+MIN($D$4,DATOS_[[#This Row],[Fecha Fin Sit. Contract.]])</f>
        <v>0</v>
      </c>
      <c r="BP65" s="137" t="n">
        <f aca="false">+DATOS_[[#This Row],[% de jornada]]*IF(DATOS_[[#This Row],[% jornada reducida]]="",1,DATOS_[[#This Row],[% jornada reducida]])</f>
        <v>0</v>
      </c>
      <c r="BQ65" s="137" t="n">
        <f aca="false">+(DATOS_[[#This Row],[F.fin.cal]]-DATOS_[[#This Row],[F.ini.cal]]+1)/($D$4-$D$3+1)</f>
        <v>1</v>
      </c>
      <c r="BR65" s="137" t="str">
        <f aca="false">IF(OR(AND(DATOS_[[#This Row],[Fecha Fin Contrato]]&lt;$D$3,DATOS_[[#This Row],[Fecha Fin Contrato]]&lt;&gt;""),DATOS_[[#This Row],[Fecha de Contratación]]&gt;$D$4),"Fuera","Dentro")</f>
        <v>Dentro</v>
      </c>
      <c r="BS65" s="137" t="str">
        <f aca="false" t="array" ref="BS65:BS65">IF(MAX(IF(DATOS_[id]=DATOS_[[#This Row],[id]],DATOS_[F.fin.cal]))=DATOS_[[#This Row],[F.fin.cal]],"Sí","NO")</f>
        <v>Sí</v>
      </c>
      <c r="BT65" s="137" t="str">
        <f aca="false">IF(AND(DATOS_[[#This Row],[% normaliz]]&lt;&gt;1,DATOS_[[#This Row],[% anualiz]]=1),"Sí","NO")</f>
        <v>Sí</v>
      </c>
      <c r="BU65" s="137" t="str">
        <f aca="false">IF(AND(DATOS_[[#This Row],[% normaliz]]=1,DATOS_[[#This Row],[% anualiz]]&lt;&gt;1),"Sí","NO")</f>
        <v>NO</v>
      </c>
      <c r="BV65" s="137" t="str">
        <f aca="false">IF(AND(DATOS_[[#This Row],[% normaliz]]&lt;&gt;1,DATOS_[[#This Row],[% anualiz]]&lt;&gt;1),"Sí","NO")</f>
        <v>NO</v>
      </c>
      <c r="BW65" s="137" t="str">
        <f aca="false">+IF(DATOS_[[#This Row],[% normaliz]]*DATOS_[[#This Row],[% anualiz]]=1,"NO","Sí")</f>
        <v>Sí</v>
      </c>
      <c r="BX65" s="138" t="e">
        <f aca="false">(DATOS_[[#This Row],[S.BASE]]*(1/DATOS_[[#This Row],[% normaliz]])*(1/DATOS_[[#This Row],[% anualiz]]))*IF(DATOS_[[#This Row],[Check Equiparado]]="Sí",1,0)</f>
        <v>#DIV/0!</v>
      </c>
      <c r="BY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 s="138" t="e">
        <f aca="false">+DATOS_[[#This Row],[SALARIO BASE Eq]]+DATOS_[[#This Row],[Tot COMPL.SAL Eq]]</f>
        <v>#DIV/0!</v>
      </c>
      <c r="CA65" s="138" t="e">
        <f aca="false" t="array" ref="CA65: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 s="138" t="e">
        <f aca="false">+DATOS_[[#This Row],[TOTAL SALARIO Eq]]+DATOS_[[#This Row],[Tot Extrasalarial Eq]]</f>
        <v>#DIV/0!</v>
      </c>
      <c r="CC65" s="139" t="n">
        <f aca="false">DATOS_[[#This Row],[S.BASE]]</f>
        <v>0</v>
      </c>
      <c r="CD65" s="139" t="n">
        <f aca="false">+SUM(DATOS_[[#This Row],[Conc.Sal.01]:[Conc.Sal.30]])</f>
        <v>0</v>
      </c>
      <c r="CE65" s="139" t="n">
        <f aca="false">+DATOS_[[#This Row],[SALARIO BASE Ef]]+DATOS_[[#This Row],[Tot COMPL.SAL Ef]]</f>
        <v>0</v>
      </c>
      <c r="CF65" s="139" t="n">
        <f aca="false">+SUM(DATOS_[[#This Row],[C.Extra.01]:[C.Extra.05]])</f>
        <v>0</v>
      </c>
      <c r="CG65" s="139" t="n">
        <f aca="false">+DATOS_[[#This Row],[TOTAL SALARIO Ef]]+DATOS_[[#This Row],[Tot Extrasalarial Ef]]</f>
        <v>0</v>
      </c>
      <c r="CH65" s="140" t="n">
        <f aca="false">MIN(IF(DATOS_[[#This Row],[Fecha Fin Contrato]]="",$D$4,DATOS_[[#This Row],[Fecha Fin Contrato]]),$D$4)-MAX(DATOS_[[#This Row],[Fecha de Contratación]],$D$3)+1</f>
        <v>1</v>
      </c>
      <c r="CI65" s="141" t="str">
        <f aca="false">IF(COUNTIFS(DATOS_[id],DATOS_[[#This Row],[id]])&gt;1,DATOS_[[#This Row],[id]],"")</f>
        <v/>
      </c>
      <c r="CJ65" s="141" t="n">
        <f aca="false">(Inicio!$G$10-DATOS_[[#This Row],[Fecha Nacimiento]])/365.25</f>
        <v>0</v>
      </c>
      <c r="CK65" s="141" t="n">
        <f aca="false">(Inicio!$G$10-DATOS_[[#This Row],[Fecha de Antigüedad]])/365.25</f>
        <v>0</v>
      </c>
      <c r="CL65" s="141" t="e">
        <f aca="false">+VLOOKUP(DATOS_[[#This Row],[Clave de Contrato]],TblTiposContrato13[],3,0)</f>
        <v>#N/A</v>
      </c>
      <c r="CM65" s="141" t="e">
        <f aca="false">+VLOOKUP(DATOS_[[#This Row],[Clave de Contrato]],TblTiposContrato13[],4,0)</f>
        <v>#N/A</v>
      </c>
      <c r="CN65" s="141" t="str">
        <f aca="false">VLOOKUP(DATOS_[[#This Row],[Edad]],CONTRATOS!TblRngEdad,2,1)</f>
        <v>20  o menos</v>
      </c>
      <c r="CO65" s="141" t="str">
        <f aca="false">VLOOKUP(DATOS_[[#This Row],[Antigüedad]],TblRngAntg14[],2,1)</f>
        <v>0 a 1 años</v>
      </c>
    </row>
    <row r="66" customFormat="false" ht="13.8" hidden="false" customHeight="false" outlineLevel="0" collapsed="false">
      <c r="D66" s="128"/>
      <c r="E66" s="129"/>
      <c r="F66" s="129"/>
      <c r="G66" s="129"/>
      <c r="H66" s="130"/>
      <c r="I66" s="131"/>
      <c r="J66" s="128"/>
      <c r="K66" s="132"/>
      <c r="L66" s="132"/>
      <c r="M66" s="133"/>
      <c r="N66" s="133"/>
      <c r="O66" s="133"/>
      <c r="P66" s="129"/>
      <c r="Z66" s="75"/>
      <c r="AA66" s="76"/>
      <c r="AB66" s="76"/>
      <c r="AC66" s="129"/>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4"/>
      <c r="BK66" s="134"/>
      <c r="BL66" s="134"/>
      <c r="BM66" s="135"/>
      <c r="BN66" s="136" t="n">
        <f aca="false">+MAX($D$3,DATOS_[[#This Row],[Fecha Inicio Sit. Contract.]])</f>
        <v>0</v>
      </c>
      <c r="BO66" s="136" t="n">
        <f aca="false">+MIN($D$4,DATOS_[[#This Row],[Fecha Fin Sit. Contract.]])</f>
        <v>0</v>
      </c>
      <c r="BP66" s="137" t="n">
        <f aca="false">+DATOS_[[#This Row],[% de jornada]]*IF(DATOS_[[#This Row],[% jornada reducida]]="",1,DATOS_[[#This Row],[% jornada reducida]])</f>
        <v>0</v>
      </c>
      <c r="BQ66" s="137" t="n">
        <f aca="false">+(DATOS_[[#This Row],[F.fin.cal]]-DATOS_[[#This Row],[F.ini.cal]]+1)/($D$4-$D$3+1)</f>
        <v>1</v>
      </c>
      <c r="BR66" s="137" t="str">
        <f aca="false">IF(OR(AND(DATOS_[[#This Row],[Fecha Fin Contrato]]&lt;$D$3,DATOS_[[#This Row],[Fecha Fin Contrato]]&lt;&gt;""),DATOS_[[#This Row],[Fecha de Contratación]]&gt;$D$4),"Fuera","Dentro")</f>
        <v>Dentro</v>
      </c>
      <c r="BS66" s="137" t="str">
        <f aca="false" t="array" ref="BS66:BS66">IF(MAX(IF(DATOS_[id]=DATOS_[[#This Row],[id]],DATOS_[F.fin.cal]))=DATOS_[[#This Row],[F.fin.cal]],"Sí","NO")</f>
        <v>Sí</v>
      </c>
      <c r="BT66" s="137" t="str">
        <f aca="false">IF(AND(DATOS_[[#This Row],[% normaliz]]&lt;&gt;1,DATOS_[[#This Row],[% anualiz]]=1),"Sí","NO")</f>
        <v>Sí</v>
      </c>
      <c r="BU66" s="137" t="str">
        <f aca="false">IF(AND(DATOS_[[#This Row],[% normaliz]]=1,DATOS_[[#This Row],[% anualiz]]&lt;&gt;1),"Sí","NO")</f>
        <v>NO</v>
      </c>
      <c r="BV66" s="137" t="str">
        <f aca="false">IF(AND(DATOS_[[#This Row],[% normaliz]]&lt;&gt;1,DATOS_[[#This Row],[% anualiz]]&lt;&gt;1),"Sí","NO")</f>
        <v>NO</v>
      </c>
      <c r="BW66" s="137" t="str">
        <f aca="false">+IF(DATOS_[[#This Row],[% normaliz]]*DATOS_[[#This Row],[% anualiz]]=1,"NO","Sí")</f>
        <v>Sí</v>
      </c>
      <c r="BX66" s="138" t="e">
        <f aca="false">(DATOS_[[#This Row],[S.BASE]]*(1/DATOS_[[#This Row],[% normaliz]])*(1/DATOS_[[#This Row],[% anualiz]]))*IF(DATOS_[[#This Row],[Check Equiparado]]="Sí",1,0)</f>
        <v>#DIV/0!</v>
      </c>
      <c r="BY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 s="138" t="e">
        <f aca="false">+DATOS_[[#This Row],[SALARIO BASE Eq]]+DATOS_[[#This Row],[Tot COMPL.SAL Eq]]</f>
        <v>#DIV/0!</v>
      </c>
      <c r="CA66" s="138" t="e">
        <f aca="false" t="array" ref="CA66: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 s="138" t="e">
        <f aca="false">+DATOS_[[#This Row],[TOTAL SALARIO Eq]]+DATOS_[[#This Row],[Tot Extrasalarial Eq]]</f>
        <v>#DIV/0!</v>
      </c>
      <c r="CC66" s="139" t="n">
        <f aca="false">DATOS_[[#This Row],[S.BASE]]</f>
        <v>0</v>
      </c>
      <c r="CD66" s="139" t="n">
        <f aca="false">+SUM(DATOS_[[#This Row],[Conc.Sal.01]:[Conc.Sal.30]])</f>
        <v>0</v>
      </c>
      <c r="CE66" s="139" t="n">
        <f aca="false">+DATOS_[[#This Row],[SALARIO BASE Ef]]+DATOS_[[#This Row],[Tot COMPL.SAL Ef]]</f>
        <v>0</v>
      </c>
      <c r="CF66" s="139" t="n">
        <f aca="false">+SUM(DATOS_[[#This Row],[C.Extra.01]:[C.Extra.05]])</f>
        <v>0</v>
      </c>
      <c r="CG66" s="139" t="n">
        <f aca="false">+DATOS_[[#This Row],[TOTAL SALARIO Ef]]+DATOS_[[#This Row],[Tot Extrasalarial Ef]]</f>
        <v>0</v>
      </c>
      <c r="CH66" s="140" t="n">
        <f aca="false">MIN(IF(DATOS_[[#This Row],[Fecha Fin Contrato]]="",$D$4,DATOS_[[#This Row],[Fecha Fin Contrato]]),$D$4)-MAX(DATOS_[[#This Row],[Fecha de Contratación]],$D$3)+1</f>
        <v>1</v>
      </c>
      <c r="CI66" s="141" t="str">
        <f aca="false">IF(COUNTIFS(DATOS_[id],DATOS_[[#This Row],[id]])&gt;1,DATOS_[[#This Row],[id]],"")</f>
        <v/>
      </c>
      <c r="CJ66" s="141" t="n">
        <f aca="false">(Inicio!$G$10-DATOS_[[#This Row],[Fecha Nacimiento]])/365.25</f>
        <v>0</v>
      </c>
      <c r="CK66" s="141" t="n">
        <f aca="false">(Inicio!$G$10-DATOS_[[#This Row],[Fecha de Antigüedad]])/365.25</f>
        <v>0</v>
      </c>
      <c r="CL66" s="141" t="e">
        <f aca="false">+VLOOKUP(DATOS_[[#This Row],[Clave de Contrato]],TblTiposContrato13[],3,0)</f>
        <v>#N/A</v>
      </c>
      <c r="CM66" s="141" t="e">
        <f aca="false">+VLOOKUP(DATOS_[[#This Row],[Clave de Contrato]],TblTiposContrato13[],4,0)</f>
        <v>#N/A</v>
      </c>
      <c r="CN66" s="141" t="str">
        <f aca="false">VLOOKUP(DATOS_[[#This Row],[Edad]],CONTRATOS!TblRngEdad,2,1)</f>
        <v>20  o menos</v>
      </c>
      <c r="CO66" s="141" t="str">
        <f aca="false">VLOOKUP(DATOS_[[#This Row],[Antigüedad]],TblRngAntg14[],2,1)</f>
        <v>0 a 1 años</v>
      </c>
    </row>
    <row r="67" customFormat="false" ht="13.8" hidden="false" customHeight="false" outlineLevel="0" collapsed="false">
      <c r="D67" s="128"/>
      <c r="E67" s="129"/>
      <c r="F67" s="129"/>
      <c r="G67" s="129"/>
      <c r="H67" s="130"/>
      <c r="I67" s="131"/>
      <c r="J67" s="128"/>
      <c r="K67" s="132"/>
      <c r="L67" s="132"/>
      <c r="M67" s="133"/>
      <c r="N67" s="133"/>
      <c r="O67" s="133"/>
      <c r="P67" s="129"/>
      <c r="Z67" s="75"/>
      <c r="AA67" s="76"/>
      <c r="AB67" s="76"/>
      <c r="AC67" s="129"/>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5"/>
      <c r="BN67" s="136" t="n">
        <f aca="false">+MAX($D$3,DATOS_[[#This Row],[Fecha Inicio Sit. Contract.]])</f>
        <v>0</v>
      </c>
      <c r="BO67" s="136" t="n">
        <f aca="false">+MIN($D$4,DATOS_[[#This Row],[Fecha Fin Sit. Contract.]])</f>
        <v>0</v>
      </c>
      <c r="BP67" s="137" t="n">
        <f aca="false">+DATOS_[[#This Row],[% de jornada]]*IF(DATOS_[[#This Row],[% jornada reducida]]="",1,DATOS_[[#This Row],[% jornada reducida]])</f>
        <v>0</v>
      </c>
      <c r="BQ67" s="137" t="n">
        <f aca="false">+(DATOS_[[#This Row],[F.fin.cal]]-DATOS_[[#This Row],[F.ini.cal]]+1)/($D$4-$D$3+1)</f>
        <v>1</v>
      </c>
      <c r="BR67" s="137" t="str">
        <f aca="false">IF(OR(AND(DATOS_[[#This Row],[Fecha Fin Contrato]]&lt;$D$3,DATOS_[[#This Row],[Fecha Fin Contrato]]&lt;&gt;""),DATOS_[[#This Row],[Fecha de Contratación]]&gt;$D$4),"Fuera","Dentro")</f>
        <v>Dentro</v>
      </c>
      <c r="BS67" s="137" t="str">
        <f aca="false" t="array" ref="BS67:BS67">IF(MAX(IF(DATOS_[id]=DATOS_[[#This Row],[id]],DATOS_[F.fin.cal]))=DATOS_[[#This Row],[F.fin.cal]],"Sí","NO")</f>
        <v>Sí</v>
      </c>
      <c r="BT67" s="137" t="str">
        <f aca="false">IF(AND(DATOS_[[#This Row],[% normaliz]]&lt;&gt;1,DATOS_[[#This Row],[% anualiz]]=1),"Sí","NO")</f>
        <v>Sí</v>
      </c>
      <c r="BU67" s="137" t="str">
        <f aca="false">IF(AND(DATOS_[[#This Row],[% normaliz]]=1,DATOS_[[#This Row],[% anualiz]]&lt;&gt;1),"Sí","NO")</f>
        <v>NO</v>
      </c>
      <c r="BV67" s="137" t="str">
        <f aca="false">IF(AND(DATOS_[[#This Row],[% normaliz]]&lt;&gt;1,DATOS_[[#This Row],[% anualiz]]&lt;&gt;1),"Sí","NO")</f>
        <v>NO</v>
      </c>
      <c r="BW67" s="137" t="str">
        <f aca="false">+IF(DATOS_[[#This Row],[% normaliz]]*DATOS_[[#This Row],[% anualiz]]=1,"NO","Sí")</f>
        <v>Sí</v>
      </c>
      <c r="BX67" s="138" t="e">
        <f aca="false">(DATOS_[[#This Row],[S.BASE]]*(1/DATOS_[[#This Row],[% normaliz]])*(1/DATOS_[[#This Row],[% anualiz]]))*IF(DATOS_[[#This Row],[Check Equiparado]]="Sí",1,0)</f>
        <v>#DIV/0!</v>
      </c>
      <c r="BY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 s="138" t="e">
        <f aca="false">+DATOS_[[#This Row],[SALARIO BASE Eq]]+DATOS_[[#This Row],[Tot COMPL.SAL Eq]]</f>
        <v>#DIV/0!</v>
      </c>
      <c r="CA67" s="138" t="e">
        <f aca="false" t="array" ref="CA67: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 s="138" t="e">
        <f aca="false">+DATOS_[[#This Row],[TOTAL SALARIO Eq]]+DATOS_[[#This Row],[Tot Extrasalarial Eq]]</f>
        <v>#DIV/0!</v>
      </c>
      <c r="CC67" s="139" t="n">
        <f aca="false">DATOS_[[#This Row],[S.BASE]]</f>
        <v>0</v>
      </c>
      <c r="CD67" s="139" t="n">
        <f aca="false">+SUM(DATOS_[[#This Row],[Conc.Sal.01]:[Conc.Sal.30]])</f>
        <v>0</v>
      </c>
      <c r="CE67" s="139" t="n">
        <f aca="false">+DATOS_[[#This Row],[SALARIO BASE Ef]]+DATOS_[[#This Row],[Tot COMPL.SAL Ef]]</f>
        <v>0</v>
      </c>
      <c r="CF67" s="139" t="n">
        <f aca="false">+SUM(DATOS_[[#This Row],[C.Extra.01]:[C.Extra.05]])</f>
        <v>0</v>
      </c>
      <c r="CG67" s="139" t="n">
        <f aca="false">+DATOS_[[#This Row],[TOTAL SALARIO Ef]]+DATOS_[[#This Row],[Tot Extrasalarial Ef]]</f>
        <v>0</v>
      </c>
      <c r="CH67" s="140" t="n">
        <f aca="false">MIN(IF(DATOS_[[#This Row],[Fecha Fin Contrato]]="",$D$4,DATOS_[[#This Row],[Fecha Fin Contrato]]),$D$4)-MAX(DATOS_[[#This Row],[Fecha de Contratación]],$D$3)+1</f>
        <v>1</v>
      </c>
      <c r="CI67" s="141" t="str">
        <f aca="false">IF(COUNTIFS(DATOS_[id],DATOS_[[#This Row],[id]])&gt;1,DATOS_[[#This Row],[id]],"")</f>
        <v/>
      </c>
      <c r="CJ67" s="141" t="n">
        <f aca="false">(Inicio!$G$10-DATOS_[[#This Row],[Fecha Nacimiento]])/365.25</f>
        <v>0</v>
      </c>
      <c r="CK67" s="141" t="n">
        <f aca="false">(Inicio!$G$10-DATOS_[[#This Row],[Fecha de Antigüedad]])/365.25</f>
        <v>0</v>
      </c>
      <c r="CL67" s="141" t="e">
        <f aca="false">+VLOOKUP(DATOS_[[#This Row],[Clave de Contrato]],TblTiposContrato13[],3,0)</f>
        <v>#N/A</v>
      </c>
      <c r="CM67" s="141" t="e">
        <f aca="false">+VLOOKUP(DATOS_[[#This Row],[Clave de Contrato]],TblTiposContrato13[],4,0)</f>
        <v>#N/A</v>
      </c>
      <c r="CN67" s="141" t="str">
        <f aca="false">VLOOKUP(DATOS_[[#This Row],[Edad]],CONTRATOS!TblRngEdad,2,1)</f>
        <v>20  o menos</v>
      </c>
      <c r="CO67" s="141" t="str">
        <f aca="false">VLOOKUP(DATOS_[[#This Row],[Antigüedad]],TblRngAntg14[],2,1)</f>
        <v>0 a 1 años</v>
      </c>
    </row>
    <row r="68" customFormat="false" ht="13.8" hidden="false" customHeight="false" outlineLevel="0" collapsed="false">
      <c r="D68" s="128"/>
      <c r="E68" s="129"/>
      <c r="F68" s="129"/>
      <c r="G68" s="129"/>
      <c r="H68" s="130"/>
      <c r="I68" s="131"/>
      <c r="J68" s="128"/>
      <c r="K68" s="132"/>
      <c r="L68" s="132"/>
      <c r="M68" s="133"/>
      <c r="N68" s="133"/>
      <c r="O68" s="133"/>
      <c r="P68" s="129"/>
      <c r="Z68" s="75"/>
      <c r="AA68" s="76"/>
      <c r="AB68" s="76"/>
      <c r="AC68" s="129"/>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4"/>
      <c r="BA68" s="134"/>
      <c r="BB68" s="134"/>
      <c r="BC68" s="134"/>
      <c r="BD68" s="134"/>
      <c r="BE68" s="134"/>
      <c r="BF68" s="134"/>
      <c r="BG68" s="134"/>
      <c r="BH68" s="134"/>
      <c r="BI68" s="134"/>
      <c r="BJ68" s="134"/>
      <c r="BK68" s="134"/>
      <c r="BL68" s="134"/>
      <c r="BM68" s="135"/>
      <c r="BN68" s="136" t="n">
        <f aca="false">+MAX($D$3,DATOS_[[#This Row],[Fecha Inicio Sit. Contract.]])</f>
        <v>0</v>
      </c>
      <c r="BO68" s="136" t="n">
        <f aca="false">+MIN($D$4,DATOS_[[#This Row],[Fecha Fin Sit. Contract.]])</f>
        <v>0</v>
      </c>
      <c r="BP68" s="137" t="n">
        <f aca="false">+DATOS_[[#This Row],[% de jornada]]*IF(DATOS_[[#This Row],[% jornada reducida]]="",1,DATOS_[[#This Row],[% jornada reducida]])</f>
        <v>0</v>
      </c>
      <c r="BQ68" s="137" t="n">
        <f aca="false">+(DATOS_[[#This Row],[F.fin.cal]]-DATOS_[[#This Row],[F.ini.cal]]+1)/($D$4-$D$3+1)</f>
        <v>1</v>
      </c>
      <c r="BR68" s="137" t="str">
        <f aca="false">IF(OR(AND(DATOS_[[#This Row],[Fecha Fin Contrato]]&lt;$D$3,DATOS_[[#This Row],[Fecha Fin Contrato]]&lt;&gt;""),DATOS_[[#This Row],[Fecha de Contratación]]&gt;$D$4),"Fuera","Dentro")</f>
        <v>Dentro</v>
      </c>
      <c r="BS68" s="137" t="str">
        <f aca="false" t="array" ref="BS68:BS68">IF(MAX(IF(DATOS_[id]=DATOS_[[#This Row],[id]],DATOS_[F.fin.cal]))=DATOS_[[#This Row],[F.fin.cal]],"Sí","NO")</f>
        <v>Sí</v>
      </c>
      <c r="BT68" s="137" t="str">
        <f aca="false">IF(AND(DATOS_[[#This Row],[% normaliz]]&lt;&gt;1,DATOS_[[#This Row],[% anualiz]]=1),"Sí","NO")</f>
        <v>Sí</v>
      </c>
      <c r="BU68" s="137" t="str">
        <f aca="false">IF(AND(DATOS_[[#This Row],[% normaliz]]=1,DATOS_[[#This Row],[% anualiz]]&lt;&gt;1),"Sí","NO")</f>
        <v>NO</v>
      </c>
      <c r="BV68" s="137" t="str">
        <f aca="false">IF(AND(DATOS_[[#This Row],[% normaliz]]&lt;&gt;1,DATOS_[[#This Row],[% anualiz]]&lt;&gt;1),"Sí","NO")</f>
        <v>NO</v>
      </c>
      <c r="BW68" s="137" t="str">
        <f aca="false">+IF(DATOS_[[#This Row],[% normaliz]]*DATOS_[[#This Row],[% anualiz]]=1,"NO","Sí")</f>
        <v>Sí</v>
      </c>
      <c r="BX68" s="138" t="e">
        <f aca="false">(DATOS_[[#This Row],[S.BASE]]*(1/DATOS_[[#This Row],[% normaliz]])*(1/DATOS_[[#This Row],[% anualiz]]))*IF(DATOS_[[#This Row],[Check Equiparado]]="Sí",1,0)</f>
        <v>#DIV/0!</v>
      </c>
      <c r="BY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 s="138" t="e">
        <f aca="false">+DATOS_[[#This Row],[SALARIO BASE Eq]]+DATOS_[[#This Row],[Tot COMPL.SAL Eq]]</f>
        <v>#DIV/0!</v>
      </c>
      <c r="CA68" s="138" t="e">
        <f aca="false" t="array" ref="CA68: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 s="138" t="e">
        <f aca="false">+DATOS_[[#This Row],[TOTAL SALARIO Eq]]+DATOS_[[#This Row],[Tot Extrasalarial Eq]]</f>
        <v>#DIV/0!</v>
      </c>
      <c r="CC68" s="139" t="n">
        <f aca="false">DATOS_[[#This Row],[S.BASE]]</f>
        <v>0</v>
      </c>
      <c r="CD68" s="139" t="n">
        <f aca="false">+SUM(DATOS_[[#This Row],[Conc.Sal.01]:[Conc.Sal.30]])</f>
        <v>0</v>
      </c>
      <c r="CE68" s="139" t="n">
        <f aca="false">+DATOS_[[#This Row],[SALARIO BASE Ef]]+DATOS_[[#This Row],[Tot COMPL.SAL Ef]]</f>
        <v>0</v>
      </c>
      <c r="CF68" s="139" t="n">
        <f aca="false">+SUM(DATOS_[[#This Row],[C.Extra.01]:[C.Extra.05]])</f>
        <v>0</v>
      </c>
      <c r="CG68" s="139" t="n">
        <f aca="false">+DATOS_[[#This Row],[TOTAL SALARIO Ef]]+DATOS_[[#This Row],[Tot Extrasalarial Ef]]</f>
        <v>0</v>
      </c>
      <c r="CH68" s="140" t="n">
        <f aca="false">MIN(IF(DATOS_[[#This Row],[Fecha Fin Contrato]]="",$D$4,DATOS_[[#This Row],[Fecha Fin Contrato]]),$D$4)-MAX(DATOS_[[#This Row],[Fecha de Contratación]],$D$3)+1</f>
        <v>1</v>
      </c>
      <c r="CI68" s="141" t="str">
        <f aca="false">IF(COUNTIFS(DATOS_[id],DATOS_[[#This Row],[id]])&gt;1,DATOS_[[#This Row],[id]],"")</f>
        <v/>
      </c>
      <c r="CJ68" s="141" t="n">
        <f aca="false">(Inicio!$G$10-DATOS_[[#This Row],[Fecha Nacimiento]])/365.25</f>
        <v>0</v>
      </c>
      <c r="CK68" s="141" t="n">
        <f aca="false">(Inicio!$G$10-DATOS_[[#This Row],[Fecha de Antigüedad]])/365.25</f>
        <v>0</v>
      </c>
      <c r="CL68" s="141" t="e">
        <f aca="false">+VLOOKUP(DATOS_[[#This Row],[Clave de Contrato]],TblTiposContrato13[],3,0)</f>
        <v>#N/A</v>
      </c>
      <c r="CM68" s="141" t="e">
        <f aca="false">+VLOOKUP(DATOS_[[#This Row],[Clave de Contrato]],TblTiposContrato13[],4,0)</f>
        <v>#N/A</v>
      </c>
      <c r="CN68" s="141" t="str">
        <f aca="false">VLOOKUP(DATOS_[[#This Row],[Edad]],CONTRATOS!TblRngEdad,2,1)</f>
        <v>20  o menos</v>
      </c>
      <c r="CO68" s="141" t="str">
        <f aca="false">VLOOKUP(DATOS_[[#This Row],[Antigüedad]],TblRngAntg14[],2,1)</f>
        <v>0 a 1 años</v>
      </c>
    </row>
    <row r="69" customFormat="false" ht="13.8" hidden="false" customHeight="false" outlineLevel="0" collapsed="false">
      <c r="D69" s="128"/>
      <c r="E69" s="129"/>
      <c r="F69" s="129"/>
      <c r="G69" s="129"/>
      <c r="H69" s="130"/>
      <c r="I69" s="131"/>
      <c r="J69" s="128"/>
      <c r="K69" s="132"/>
      <c r="L69" s="132"/>
      <c r="M69" s="133"/>
      <c r="N69" s="133"/>
      <c r="O69" s="133"/>
      <c r="P69" s="129"/>
      <c r="Z69" s="75"/>
      <c r="AA69" s="76"/>
      <c r="AB69" s="76"/>
      <c r="AC69" s="129"/>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4"/>
      <c r="BD69" s="134"/>
      <c r="BE69" s="134"/>
      <c r="BF69" s="134"/>
      <c r="BG69" s="134"/>
      <c r="BH69" s="134"/>
      <c r="BI69" s="134"/>
      <c r="BJ69" s="134"/>
      <c r="BK69" s="134"/>
      <c r="BL69" s="134"/>
      <c r="BM69" s="135"/>
      <c r="BN69" s="136" t="n">
        <f aca="false">+MAX($D$3,DATOS_[[#This Row],[Fecha Inicio Sit. Contract.]])</f>
        <v>0</v>
      </c>
      <c r="BO69" s="136" t="n">
        <f aca="false">+MIN($D$4,DATOS_[[#This Row],[Fecha Fin Sit. Contract.]])</f>
        <v>0</v>
      </c>
      <c r="BP69" s="137" t="n">
        <f aca="false">+DATOS_[[#This Row],[% de jornada]]*IF(DATOS_[[#This Row],[% jornada reducida]]="",1,DATOS_[[#This Row],[% jornada reducida]])</f>
        <v>0</v>
      </c>
      <c r="BQ69" s="137" t="n">
        <f aca="false">+(DATOS_[[#This Row],[F.fin.cal]]-DATOS_[[#This Row],[F.ini.cal]]+1)/($D$4-$D$3+1)</f>
        <v>1</v>
      </c>
      <c r="BR69" s="137" t="str">
        <f aca="false">IF(OR(AND(DATOS_[[#This Row],[Fecha Fin Contrato]]&lt;$D$3,DATOS_[[#This Row],[Fecha Fin Contrato]]&lt;&gt;""),DATOS_[[#This Row],[Fecha de Contratación]]&gt;$D$4),"Fuera","Dentro")</f>
        <v>Dentro</v>
      </c>
      <c r="BS69" s="137" t="str">
        <f aca="false" t="array" ref="BS69:BS69">IF(MAX(IF(DATOS_[id]=DATOS_[[#This Row],[id]],DATOS_[F.fin.cal]))=DATOS_[[#This Row],[F.fin.cal]],"Sí","NO")</f>
        <v>Sí</v>
      </c>
      <c r="BT69" s="137" t="str">
        <f aca="false">IF(AND(DATOS_[[#This Row],[% normaliz]]&lt;&gt;1,DATOS_[[#This Row],[% anualiz]]=1),"Sí","NO")</f>
        <v>Sí</v>
      </c>
      <c r="BU69" s="137" t="str">
        <f aca="false">IF(AND(DATOS_[[#This Row],[% normaliz]]=1,DATOS_[[#This Row],[% anualiz]]&lt;&gt;1),"Sí","NO")</f>
        <v>NO</v>
      </c>
      <c r="BV69" s="137" t="str">
        <f aca="false">IF(AND(DATOS_[[#This Row],[% normaliz]]&lt;&gt;1,DATOS_[[#This Row],[% anualiz]]&lt;&gt;1),"Sí","NO")</f>
        <v>NO</v>
      </c>
      <c r="BW69" s="137" t="str">
        <f aca="false">+IF(DATOS_[[#This Row],[% normaliz]]*DATOS_[[#This Row],[% anualiz]]=1,"NO","Sí")</f>
        <v>Sí</v>
      </c>
      <c r="BX69" s="138" t="e">
        <f aca="false">(DATOS_[[#This Row],[S.BASE]]*(1/DATOS_[[#This Row],[% normaliz]])*(1/DATOS_[[#This Row],[% anualiz]]))*IF(DATOS_[[#This Row],[Check Equiparado]]="Sí",1,0)</f>
        <v>#DIV/0!</v>
      </c>
      <c r="BY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 s="138" t="e">
        <f aca="false">+DATOS_[[#This Row],[SALARIO BASE Eq]]+DATOS_[[#This Row],[Tot COMPL.SAL Eq]]</f>
        <v>#DIV/0!</v>
      </c>
      <c r="CA69" s="138" t="e">
        <f aca="false" t="array" ref="CA69: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 s="138" t="e">
        <f aca="false">+DATOS_[[#This Row],[TOTAL SALARIO Eq]]+DATOS_[[#This Row],[Tot Extrasalarial Eq]]</f>
        <v>#DIV/0!</v>
      </c>
      <c r="CC69" s="139" t="n">
        <f aca="false">DATOS_[[#This Row],[S.BASE]]</f>
        <v>0</v>
      </c>
      <c r="CD69" s="139" t="n">
        <f aca="false">+SUM(DATOS_[[#This Row],[Conc.Sal.01]:[Conc.Sal.30]])</f>
        <v>0</v>
      </c>
      <c r="CE69" s="139" t="n">
        <f aca="false">+DATOS_[[#This Row],[SALARIO BASE Ef]]+DATOS_[[#This Row],[Tot COMPL.SAL Ef]]</f>
        <v>0</v>
      </c>
      <c r="CF69" s="139" t="n">
        <f aca="false">+SUM(DATOS_[[#This Row],[C.Extra.01]:[C.Extra.05]])</f>
        <v>0</v>
      </c>
      <c r="CG69" s="139" t="n">
        <f aca="false">+DATOS_[[#This Row],[TOTAL SALARIO Ef]]+DATOS_[[#This Row],[Tot Extrasalarial Ef]]</f>
        <v>0</v>
      </c>
      <c r="CH69" s="140" t="n">
        <f aca="false">MIN(IF(DATOS_[[#This Row],[Fecha Fin Contrato]]="",$D$4,DATOS_[[#This Row],[Fecha Fin Contrato]]),$D$4)-MAX(DATOS_[[#This Row],[Fecha de Contratación]],$D$3)+1</f>
        <v>1</v>
      </c>
      <c r="CI69" s="141" t="str">
        <f aca="false">IF(COUNTIFS(DATOS_[id],DATOS_[[#This Row],[id]])&gt;1,DATOS_[[#This Row],[id]],"")</f>
        <v/>
      </c>
      <c r="CJ69" s="141" t="n">
        <f aca="false">(Inicio!$G$10-DATOS_[[#This Row],[Fecha Nacimiento]])/365.25</f>
        <v>0</v>
      </c>
      <c r="CK69" s="141" t="n">
        <f aca="false">(Inicio!$G$10-DATOS_[[#This Row],[Fecha de Antigüedad]])/365.25</f>
        <v>0</v>
      </c>
      <c r="CL69" s="141" t="e">
        <f aca="false">+VLOOKUP(DATOS_[[#This Row],[Clave de Contrato]],TblTiposContrato13[],3,0)</f>
        <v>#N/A</v>
      </c>
      <c r="CM69" s="141" t="e">
        <f aca="false">+VLOOKUP(DATOS_[[#This Row],[Clave de Contrato]],TblTiposContrato13[],4,0)</f>
        <v>#N/A</v>
      </c>
      <c r="CN69" s="141" t="str">
        <f aca="false">VLOOKUP(DATOS_[[#This Row],[Edad]],CONTRATOS!TblRngEdad,2,1)</f>
        <v>20  o menos</v>
      </c>
      <c r="CO69" s="141" t="str">
        <f aca="false">VLOOKUP(DATOS_[[#This Row],[Antigüedad]],TblRngAntg14[],2,1)</f>
        <v>0 a 1 años</v>
      </c>
    </row>
    <row r="70" customFormat="false" ht="13.8" hidden="false" customHeight="false" outlineLevel="0" collapsed="false">
      <c r="D70" s="128"/>
      <c r="E70" s="129"/>
      <c r="F70" s="129"/>
      <c r="G70" s="129"/>
      <c r="H70" s="130"/>
      <c r="I70" s="131"/>
      <c r="J70" s="128"/>
      <c r="K70" s="132"/>
      <c r="L70" s="132"/>
      <c r="M70" s="133"/>
      <c r="N70" s="133"/>
      <c r="O70" s="133"/>
      <c r="P70" s="129"/>
      <c r="Z70" s="75"/>
      <c r="AA70" s="76"/>
      <c r="AB70" s="76"/>
      <c r="AC70" s="129"/>
      <c r="AD70" s="134"/>
      <c r="AE70" s="134"/>
      <c r="AF70" s="134"/>
      <c r="AG70" s="134"/>
      <c r="AH70" s="134"/>
      <c r="AI70" s="134"/>
      <c r="AJ70" s="134"/>
      <c r="AK70" s="134"/>
      <c r="AL70" s="134"/>
      <c r="AM70" s="134"/>
      <c r="AN70" s="134"/>
      <c r="AO70" s="134"/>
      <c r="AP70" s="134"/>
      <c r="AQ70" s="134"/>
      <c r="AR70" s="134"/>
      <c r="AS70" s="134"/>
      <c r="AT70" s="134"/>
      <c r="AU70" s="134"/>
      <c r="AV70" s="134"/>
      <c r="AW70" s="134"/>
      <c r="AX70" s="134"/>
      <c r="AY70" s="134"/>
      <c r="AZ70" s="134"/>
      <c r="BA70" s="134"/>
      <c r="BB70" s="134"/>
      <c r="BC70" s="134"/>
      <c r="BD70" s="134"/>
      <c r="BE70" s="134"/>
      <c r="BF70" s="134"/>
      <c r="BG70" s="134"/>
      <c r="BH70" s="134"/>
      <c r="BI70" s="134"/>
      <c r="BJ70" s="134"/>
      <c r="BK70" s="134"/>
      <c r="BL70" s="134"/>
      <c r="BM70" s="135"/>
      <c r="BN70" s="136" t="n">
        <f aca="false">+MAX($D$3,DATOS_[[#This Row],[Fecha Inicio Sit. Contract.]])</f>
        <v>0</v>
      </c>
      <c r="BO70" s="136" t="n">
        <f aca="false">+MIN($D$4,DATOS_[[#This Row],[Fecha Fin Sit. Contract.]])</f>
        <v>0</v>
      </c>
      <c r="BP70" s="137" t="n">
        <f aca="false">+DATOS_[[#This Row],[% de jornada]]*IF(DATOS_[[#This Row],[% jornada reducida]]="",1,DATOS_[[#This Row],[% jornada reducida]])</f>
        <v>0</v>
      </c>
      <c r="BQ70" s="137" t="n">
        <f aca="false">+(DATOS_[[#This Row],[F.fin.cal]]-DATOS_[[#This Row],[F.ini.cal]]+1)/($D$4-$D$3+1)</f>
        <v>1</v>
      </c>
      <c r="BR70" s="137" t="str">
        <f aca="false">IF(OR(AND(DATOS_[[#This Row],[Fecha Fin Contrato]]&lt;$D$3,DATOS_[[#This Row],[Fecha Fin Contrato]]&lt;&gt;""),DATOS_[[#This Row],[Fecha de Contratación]]&gt;$D$4),"Fuera","Dentro")</f>
        <v>Dentro</v>
      </c>
      <c r="BS70" s="137" t="str">
        <f aca="false" t="array" ref="BS70:BS70">IF(MAX(IF(DATOS_[id]=DATOS_[[#This Row],[id]],DATOS_[F.fin.cal]))=DATOS_[[#This Row],[F.fin.cal]],"Sí","NO")</f>
        <v>Sí</v>
      </c>
      <c r="BT70" s="137" t="str">
        <f aca="false">IF(AND(DATOS_[[#This Row],[% normaliz]]&lt;&gt;1,DATOS_[[#This Row],[% anualiz]]=1),"Sí","NO")</f>
        <v>Sí</v>
      </c>
      <c r="BU70" s="137" t="str">
        <f aca="false">IF(AND(DATOS_[[#This Row],[% normaliz]]=1,DATOS_[[#This Row],[% anualiz]]&lt;&gt;1),"Sí","NO")</f>
        <v>NO</v>
      </c>
      <c r="BV70" s="137" t="str">
        <f aca="false">IF(AND(DATOS_[[#This Row],[% normaliz]]&lt;&gt;1,DATOS_[[#This Row],[% anualiz]]&lt;&gt;1),"Sí","NO")</f>
        <v>NO</v>
      </c>
      <c r="BW70" s="137" t="str">
        <f aca="false">+IF(DATOS_[[#This Row],[% normaliz]]*DATOS_[[#This Row],[% anualiz]]=1,"NO","Sí")</f>
        <v>Sí</v>
      </c>
      <c r="BX70" s="138" t="e">
        <f aca="false">(DATOS_[[#This Row],[S.BASE]]*(1/DATOS_[[#This Row],[% normaliz]])*(1/DATOS_[[#This Row],[% anualiz]]))*IF(DATOS_[[#This Row],[Check Equiparado]]="Sí",1,0)</f>
        <v>#DIV/0!</v>
      </c>
      <c r="BY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 s="138" t="e">
        <f aca="false">+DATOS_[[#This Row],[SALARIO BASE Eq]]+DATOS_[[#This Row],[Tot COMPL.SAL Eq]]</f>
        <v>#DIV/0!</v>
      </c>
      <c r="CA70" s="138" t="e">
        <f aca="false" t="array" ref="CA70: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 s="138" t="e">
        <f aca="false">+DATOS_[[#This Row],[TOTAL SALARIO Eq]]+DATOS_[[#This Row],[Tot Extrasalarial Eq]]</f>
        <v>#DIV/0!</v>
      </c>
      <c r="CC70" s="139" t="n">
        <f aca="false">DATOS_[[#This Row],[S.BASE]]</f>
        <v>0</v>
      </c>
      <c r="CD70" s="139" t="n">
        <f aca="false">+SUM(DATOS_[[#This Row],[Conc.Sal.01]:[Conc.Sal.30]])</f>
        <v>0</v>
      </c>
      <c r="CE70" s="139" t="n">
        <f aca="false">+DATOS_[[#This Row],[SALARIO BASE Ef]]+DATOS_[[#This Row],[Tot COMPL.SAL Ef]]</f>
        <v>0</v>
      </c>
      <c r="CF70" s="139" t="n">
        <f aca="false">+SUM(DATOS_[[#This Row],[C.Extra.01]:[C.Extra.05]])</f>
        <v>0</v>
      </c>
      <c r="CG70" s="139" t="n">
        <f aca="false">+DATOS_[[#This Row],[TOTAL SALARIO Ef]]+DATOS_[[#This Row],[Tot Extrasalarial Ef]]</f>
        <v>0</v>
      </c>
      <c r="CH70" s="140" t="n">
        <f aca="false">MIN(IF(DATOS_[[#This Row],[Fecha Fin Contrato]]="",$D$4,DATOS_[[#This Row],[Fecha Fin Contrato]]),$D$4)-MAX(DATOS_[[#This Row],[Fecha de Contratación]],$D$3)+1</f>
        <v>1</v>
      </c>
      <c r="CI70" s="141" t="str">
        <f aca="false">IF(COUNTIFS(DATOS_[id],DATOS_[[#This Row],[id]])&gt;1,DATOS_[[#This Row],[id]],"")</f>
        <v/>
      </c>
      <c r="CJ70" s="141" t="n">
        <f aca="false">(Inicio!$G$10-DATOS_[[#This Row],[Fecha Nacimiento]])/365.25</f>
        <v>0</v>
      </c>
      <c r="CK70" s="141" t="n">
        <f aca="false">(Inicio!$G$10-DATOS_[[#This Row],[Fecha de Antigüedad]])/365.25</f>
        <v>0</v>
      </c>
      <c r="CL70" s="141" t="e">
        <f aca="false">+VLOOKUP(DATOS_[[#This Row],[Clave de Contrato]],TblTiposContrato13[],3,0)</f>
        <v>#N/A</v>
      </c>
      <c r="CM70" s="141" t="e">
        <f aca="false">+VLOOKUP(DATOS_[[#This Row],[Clave de Contrato]],TblTiposContrato13[],4,0)</f>
        <v>#N/A</v>
      </c>
      <c r="CN70" s="141" t="str">
        <f aca="false">VLOOKUP(DATOS_[[#This Row],[Edad]],CONTRATOS!TblRngEdad,2,1)</f>
        <v>20  o menos</v>
      </c>
      <c r="CO70" s="141" t="str">
        <f aca="false">VLOOKUP(DATOS_[[#This Row],[Antigüedad]],TblRngAntg14[],2,1)</f>
        <v>0 a 1 años</v>
      </c>
    </row>
    <row r="71" customFormat="false" ht="13.8" hidden="false" customHeight="false" outlineLevel="0" collapsed="false">
      <c r="D71" s="128"/>
      <c r="E71" s="129"/>
      <c r="F71" s="129"/>
      <c r="G71" s="129"/>
      <c r="H71" s="130"/>
      <c r="I71" s="131"/>
      <c r="J71" s="128"/>
      <c r="K71" s="132"/>
      <c r="L71" s="132"/>
      <c r="M71" s="133"/>
      <c r="N71" s="133"/>
      <c r="O71" s="133"/>
      <c r="P71" s="129"/>
      <c r="Z71" s="75"/>
      <c r="AA71" s="76"/>
      <c r="AB71" s="76"/>
      <c r="AC71" s="129"/>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5"/>
      <c r="BN71" s="136" t="n">
        <f aca="false">+MAX($D$3,DATOS_[[#This Row],[Fecha Inicio Sit. Contract.]])</f>
        <v>0</v>
      </c>
      <c r="BO71" s="136" t="n">
        <f aca="false">+MIN($D$4,DATOS_[[#This Row],[Fecha Fin Sit. Contract.]])</f>
        <v>0</v>
      </c>
      <c r="BP71" s="137" t="n">
        <f aca="false">+DATOS_[[#This Row],[% de jornada]]*IF(DATOS_[[#This Row],[% jornada reducida]]="",1,DATOS_[[#This Row],[% jornada reducida]])</f>
        <v>0</v>
      </c>
      <c r="BQ71" s="137" t="n">
        <f aca="false">+(DATOS_[[#This Row],[F.fin.cal]]-DATOS_[[#This Row],[F.ini.cal]]+1)/($D$4-$D$3+1)</f>
        <v>1</v>
      </c>
      <c r="BR71" s="137" t="str">
        <f aca="false">IF(OR(AND(DATOS_[[#This Row],[Fecha Fin Contrato]]&lt;$D$3,DATOS_[[#This Row],[Fecha Fin Contrato]]&lt;&gt;""),DATOS_[[#This Row],[Fecha de Contratación]]&gt;$D$4),"Fuera","Dentro")</f>
        <v>Dentro</v>
      </c>
      <c r="BS71" s="137" t="str">
        <f aca="false" t="array" ref="BS71:BS71">IF(MAX(IF(DATOS_[id]=DATOS_[[#This Row],[id]],DATOS_[F.fin.cal]))=DATOS_[[#This Row],[F.fin.cal]],"Sí","NO")</f>
        <v>Sí</v>
      </c>
      <c r="BT71" s="137" t="str">
        <f aca="false">IF(AND(DATOS_[[#This Row],[% normaliz]]&lt;&gt;1,DATOS_[[#This Row],[% anualiz]]=1),"Sí","NO")</f>
        <v>Sí</v>
      </c>
      <c r="BU71" s="137" t="str">
        <f aca="false">IF(AND(DATOS_[[#This Row],[% normaliz]]=1,DATOS_[[#This Row],[% anualiz]]&lt;&gt;1),"Sí","NO")</f>
        <v>NO</v>
      </c>
      <c r="BV71" s="137" t="str">
        <f aca="false">IF(AND(DATOS_[[#This Row],[% normaliz]]&lt;&gt;1,DATOS_[[#This Row],[% anualiz]]&lt;&gt;1),"Sí","NO")</f>
        <v>NO</v>
      </c>
      <c r="BW71" s="137" t="str">
        <f aca="false">+IF(DATOS_[[#This Row],[% normaliz]]*DATOS_[[#This Row],[% anualiz]]=1,"NO","Sí")</f>
        <v>Sí</v>
      </c>
      <c r="BX71" s="138" t="e">
        <f aca="false">(DATOS_[[#This Row],[S.BASE]]*(1/DATOS_[[#This Row],[% normaliz]])*(1/DATOS_[[#This Row],[% anualiz]]))*IF(DATOS_[[#This Row],[Check Equiparado]]="Sí",1,0)</f>
        <v>#DIV/0!</v>
      </c>
      <c r="BY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 s="138" t="e">
        <f aca="false">+DATOS_[[#This Row],[SALARIO BASE Eq]]+DATOS_[[#This Row],[Tot COMPL.SAL Eq]]</f>
        <v>#DIV/0!</v>
      </c>
      <c r="CA71" s="138" t="e">
        <f aca="false" t="array" ref="CA71: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 s="138" t="e">
        <f aca="false">+DATOS_[[#This Row],[TOTAL SALARIO Eq]]+DATOS_[[#This Row],[Tot Extrasalarial Eq]]</f>
        <v>#DIV/0!</v>
      </c>
      <c r="CC71" s="139" t="n">
        <f aca="false">DATOS_[[#This Row],[S.BASE]]</f>
        <v>0</v>
      </c>
      <c r="CD71" s="139" t="n">
        <f aca="false">+SUM(DATOS_[[#This Row],[Conc.Sal.01]:[Conc.Sal.30]])</f>
        <v>0</v>
      </c>
      <c r="CE71" s="139" t="n">
        <f aca="false">+DATOS_[[#This Row],[SALARIO BASE Ef]]+DATOS_[[#This Row],[Tot COMPL.SAL Ef]]</f>
        <v>0</v>
      </c>
      <c r="CF71" s="139" t="n">
        <f aca="false">+SUM(DATOS_[[#This Row],[C.Extra.01]:[C.Extra.05]])</f>
        <v>0</v>
      </c>
      <c r="CG71" s="139" t="n">
        <f aca="false">+DATOS_[[#This Row],[TOTAL SALARIO Ef]]+DATOS_[[#This Row],[Tot Extrasalarial Ef]]</f>
        <v>0</v>
      </c>
      <c r="CH71" s="140" t="n">
        <f aca="false">MIN(IF(DATOS_[[#This Row],[Fecha Fin Contrato]]="",$D$4,DATOS_[[#This Row],[Fecha Fin Contrato]]),$D$4)-MAX(DATOS_[[#This Row],[Fecha de Contratación]],$D$3)+1</f>
        <v>1</v>
      </c>
      <c r="CI71" s="141" t="str">
        <f aca="false">IF(COUNTIFS(DATOS_[id],DATOS_[[#This Row],[id]])&gt;1,DATOS_[[#This Row],[id]],"")</f>
        <v/>
      </c>
      <c r="CJ71" s="141" t="n">
        <f aca="false">(Inicio!$G$10-DATOS_[[#This Row],[Fecha Nacimiento]])/365.25</f>
        <v>0</v>
      </c>
      <c r="CK71" s="141" t="n">
        <f aca="false">(Inicio!$G$10-DATOS_[[#This Row],[Fecha de Antigüedad]])/365.25</f>
        <v>0</v>
      </c>
      <c r="CL71" s="141" t="e">
        <f aca="false">+VLOOKUP(DATOS_[[#This Row],[Clave de Contrato]],TblTiposContrato13[],3,0)</f>
        <v>#N/A</v>
      </c>
      <c r="CM71" s="141" t="e">
        <f aca="false">+VLOOKUP(DATOS_[[#This Row],[Clave de Contrato]],TblTiposContrato13[],4,0)</f>
        <v>#N/A</v>
      </c>
      <c r="CN71" s="141" t="str">
        <f aca="false">VLOOKUP(DATOS_[[#This Row],[Edad]],CONTRATOS!TblRngEdad,2,1)</f>
        <v>20  o menos</v>
      </c>
      <c r="CO71" s="141" t="str">
        <f aca="false">VLOOKUP(DATOS_[[#This Row],[Antigüedad]],TblRngAntg14[],2,1)</f>
        <v>0 a 1 años</v>
      </c>
    </row>
    <row r="72" customFormat="false" ht="13.8" hidden="false" customHeight="false" outlineLevel="0" collapsed="false">
      <c r="D72" s="128"/>
      <c r="E72" s="129"/>
      <c r="F72" s="129"/>
      <c r="G72" s="129"/>
      <c r="H72" s="130"/>
      <c r="I72" s="131"/>
      <c r="J72" s="128"/>
      <c r="K72" s="132"/>
      <c r="L72" s="132"/>
      <c r="M72" s="133"/>
      <c r="N72" s="133"/>
      <c r="O72" s="133"/>
      <c r="P72" s="129"/>
      <c r="Z72" s="75"/>
      <c r="AA72" s="76"/>
      <c r="AB72" s="76"/>
      <c r="AC72" s="129"/>
      <c r="AD72" s="134"/>
      <c r="AE72" s="134"/>
      <c r="AF72" s="134"/>
      <c r="AG72" s="134"/>
      <c r="AH72" s="134"/>
      <c r="AI72" s="134"/>
      <c r="AJ72" s="134"/>
      <c r="AK72" s="134"/>
      <c r="AL72" s="134"/>
      <c r="AM72" s="134"/>
      <c r="AN72" s="134"/>
      <c r="AO72" s="134"/>
      <c r="AP72" s="134"/>
      <c r="AQ72" s="134"/>
      <c r="AR72" s="134"/>
      <c r="AS72" s="134"/>
      <c r="AT72" s="134"/>
      <c r="AU72" s="134"/>
      <c r="AV72" s="134"/>
      <c r="AW72" s="134"/>
      <c r="AX72" s="134"/>
      <c r="AY72" s="134"/>
      <c r="AZ72" s="134"/>
      <c r="BA72" s="134"/>
      <c r="BB72" s="134"/>
      <c r="BC72" s="134"/>
      <c r="BD72" s="134"/>
      <c r="BE72" s="134"/>
      <c r="BF72" s="134"/>
      <c r="BG72" s="134"/>
      <c r="BH72" s="134"/>
      <c r="BI72" s="134"/>
      <c r="BJ72" s="134"/>
      <c r="BK72" s="134"/>
      <c r="BL72" s="134"/>
      <c r="BM72" s="135"/>
      <c r="BN72" s="136" t="n">
        <f aca="false">+MAX($D$3,DATOS_[[#This Row],[Fecha Inicio Sit. Contract.]])</f>
        <v>0</v>
      </c>
      <c r="BO72" s="136" t="n">
        <f aca="false">+MIN($D$4,DATOS_[[#This Row],[Fecha Fin Sit. Contract.]])</f>
        <v>0</v>
      </c>
      <c r="BP72" s="137" t="n">
        <f aca="false">+DATOS_[[#This Row],[% de jornada]]*IF(DATOS_[[#This Row],[% jornada reducida]]="",1,DATOS_[[#This Row],[% jornada reducida]])</f>
        <v>0</v>
      </c>
      <c r="BQ72" s="137" t="n">
        <f aca="false">+(DATOS_[[#This Row],[F.fin.cal]]-DATOS_[[#This Row],[F.ini.cal]]+1)/($D$4-$D$3+1)</f>
        <v>1</v>
      </c>
      <c r="BR72" s="137" t="str">
        <f aca="false">IF(OR(AND(DATOS_[[#This Row],[Fecha Fin Contrato]]&lt;$D$3,DATOS_[[#This Row],[Fecha Fin Contrato]]&lt;&gt;""),DATOS_[[#This Row],[Fecha de Contratación]]&gt;$D$4),"Fuera","Dentro")</f>
        <v>Dentro</v>
      </c>
      <c r="BS72" s="137" t="str">
        <f aca="false" t="array" ref="BS72:BS72">IF(MAX(IF(DATOS_[id]=DATOS_[[#This Row],[id]],DATOS_[F.fin.cal]))=DATOS_[[#This Row],[F.fin.cal]],"Sí","NO")</f>
        <v>Sí</v>
      </c>
      <c r="BT72" s="137" t="str">
        <f aca="false">IF(AND(DATOS_[[#This Row],[% normaliz]]&lt;&gt;1,DATOS_[[#This Row],[% anualiz]]=1),"Sí","NO")</f>
        <v>Sí</v>
      </c>
      <c r="BU72" s="137" t="str">
        <f aca="false">IF(AND(DATOS_[[#This Row],[% normaliz]]=1,DATOS_[[#This Row],[% anualiz]]&lt;&gt;1),"Sí","NO")</f>
        <v>NO</v>
      </c>
      <c r="BV72" s="137" t="str">
        <f aca="false">IF(AND(DATOS_[[#This Row],[% normaliz]]&lt;&gt;1,DATOS_[[#This Row],[% anualiz]]&lt;&gt;1),"Sí","NO")</f>
        <v>NO</v>
      </c>
      <c r="BW72" s="137" t="str">
        <f aca="false">+IF(DATOS_[[#This Row],[% normaliz]]*DATOS_[[#This Row],[% anualiz]]=1,"NO","Sí")</f>
        <v>Sí</v>
      </c>
      <c r="BX72" s="138" t="e">
        <f aca="false">(DATOS_[[#This Row],[S.BASE]]*(1/DATOS_[[#This Row],[% normaliz]])*(1/DATOS_[[#This Row],[% anualiz]]))*IF(DATOS_[[#This Row],[Check Equiparado]]="Sí",1,0)</f>
        <v>#DIV/0!</v>
      </c>
      <c r="BY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 s="138" t="e">
        <f aca="false">+DATOS_[[#This Row],[SALARIO BASE Eq]]+DATOS_[[#This Row],[Tot COMPL.SAL Eq]]</f>
        <v>#DIV/0!</v>
      </c>
      <c r="CA72" s="138" t="e">
        <f aca="false" t="array" ref="CA72: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 s="138" t="e">
        <f aca="false">+DATOS_[[#This Row],[TOTAL SALARIO Eq]]+DATOS_[[#This Row],[Tot Extrasalarial Eq]]</f>
        <v>#DIV/0!</v>
      </c>
      <c r="CC72" s="139" t="n">
        <f aca="false">DATOS_[[#This Row],[S.BASE]]</f>
        <v>0</v>
      </c>
      <c r="CD72" s="139" t="n">
        <f aca="false">+SUM(DATOS_[[#This Row],[Conc.Sal.01]:[Conc.Sal.30]])</f>
        <v>0</v>
      </c>
      <c r="CE72" s="139" t="n">
        <f aca="false">+DATOS_[[#This Row],[SALARIO BASE Ef]]+DATOS_[[#This Row],[Tot COMPL.SAL Ef]]</f>
        <v>0</v>
      </c>
      <c r="CF72" s="139" t="n">
        <f aca="false">+SUM(DATOS_[[#This Row],[C.Extra.01]:[C.Extra.05]])</f>
        <v>0</v>
      </c>
      <c r="CG72" s="139" t="n">
        <f aca="false">+DATOS_[[#This Row],[TOTAL SALARIO Ef]]+DATOS_[[#This Row],[Tot Extrasalarial Ef]]</f>
        <v>0</v>
      </c>
      <c r="CH72" s="140" t="n">
        <f aca="false">MIN(IF(DATOS_[[#This Row],[Fecha Fin Contrato]]="",$D$4,DATOS_[[#This Row],[Fecha Fin Contrato]]),$D$4)-MAX(DATOS_[[#This Row],[Fecha de Contratación]],$D$3)+1</f>
        <v>1</v>
      </c>
      <c r="CI72" s="141" t="str">
        <f aca="false">IF(COUNTIFS(DATOS_[id],DATOS_[[#This Row],[id]])&gt;1,DATOS_[[#This Row],[id]],"")</f>
        <v/>
      </c>
      <c r="CJ72" s="141" t="n">
        <f aca="false">(Inicio!$G$10-DATOS_[[#This Row],[Fecha Nacimiento]])/365.25</f>
        <v>0</v>
      </c>
      <c r="CK72" s="141" t="n">
        <f aca="false">(Inicio!$G$10-DATOS_[[#This Row],[Fecha de Antigüedad]])/365.25</f>
        <v>0</v>
      </c>
      <c r="CL72" s="141" t="e">
        <f aca="false">+VLOOKUP(DATOS_[[#This Row],[Clave de Contrato]],TblTiposContrato13[],3,0)</f>
        <v>#N/A</v>
      </c>
      <c r="CM72" s="141" t="e">
        <f aca="false">+VLOOKUP(DATOS_[[#This Row],[Clave de Contrato]],TblTiposContrato13[],4,0)</f>
        <v>#N/A</v>
      </c>
      <c r="CN72" s="141" t="str">
        <f aca="false">VLOOKUP(DATOS_[[#This Row],[Edad]],CONTRATOS!TblRngEdad,2,1)</f>
        <v>20  o menos</v>
      </c>
      <c r="CO72" s="141" t="str">
        <f aca="false">VLOOKUP(DATOS_[[#This Row],[Antigüedad]],TblRngAntg14[],2,1)</f>
        <v>0 a 1 años</v>
      </c>
    </row>
    <row r="73" customFormat="false" ht="13.8" hidden="false" customHeight="false" outlineLevel="0" collapsed="false">
      <c r="D73" s="128"/>
      <c r="E73" s="129"/>
      <c r="F73" s="129"/>
      <c r="G73" s="129"/>
      <c r="H73" s="130"/>
      <c r="I73" s="131"/>
      <c r="J73" s="128"/>
      <c r="K73" s="132"/>
      <c r="L73" s="132"/>
      <c r="M73" s="133"/>
      <c r="N73" s="133"/>
      <c r="O73" s="133"/>
      <c r="P73" s="129"/>
      <c r="Z73" s="75"/>
      <c r="AA73" s="76"/>
      <c r="AB73" s="76"/>
      <c r="AC73" s="129"/>
      <c r="AD73" s="134"/>
      <c r="AE73" s="134"/>
      <c r="AF73" s="134"/>
      <c r="AG73" s="134"/>
      <c r="AH73" s="134"/>
      <c r="AI73" s="134"/>
      <c r="AJ73" s="134"/>
      <c r="AK73" s="134"/>
      <c r="AL73" s="134"/>
      <c r="AM73" s="134"/>
      <c r="AN73" s="134"/>
      <c r="AO73" s="134"/>
      <c r="AP73" s="134"/>
      <c r="AQ73" s="134"/>
      <c r="AR73" s="134"/>
      <c r="AS73" s="134"/>
      <c r="AT73" s="134"/>
      <c r="AU73" s="134"/>
      <c r="AV73" s="134"/>
      <c r="AW73" s="134"/>
      <c r="AX73" s="134"/>
      <c r="AY73" s="134"/>
      <c r="AZ73" s="134"/>
      <c r="BA73" s="134"/>
      <c r="BB73" s="134"/>
      <c r="BC73" s="134"/>
      <c r="BD73" s="134"/>
      <c r="BE73" s="134"/>
      <c r="BF73" s="134"/>
      <c r="BG73" s="134"/>
      <c r="BH73" s="134"/>
      <c r="BI73" s="134"/>
      <c r="BJ73" s="134"/>
      <c r="BK73" s="134"/>
      <c r="BL73" s="134"/>
      <c r="BM73" s="135"/>
      <c r="BN73" s="136" t="n">
        <f aca="false">+MAX($D$3,DATOS_[[#This Row],[Fecha Inicio Sit. Contract.]])</f>
        <v>0</v>
      </c>
      <c r="BO73" s="136" t="n">
        <f aca="false">+MIN($D$4,DATOS_[[#This Row],[Fecha Fin Sit. Contract.]])</f>
        <v>0</v>
      </c>
      <c r="BP73" s="137" t="n">
        <f aca="false">+DATOS_[[#This Row],[% de jornada]]*IF(DATOS_[[#This Row],[% jornada reducida]]="",1,DATOS_[[#This Row],[% jornada reducida]])</f>
        <v>0</v>
      </c>
      <c r="BQ73" s="137" t="n">
        <f aca="false">+(DATOS_[[#This Row],[F.fin.cal]]-DATOS_[[#This Row],[F.ini.cal]]+1)/($D$4-$D$3+1)</f>
        <v>1</v>
      </c>
      <c r="BR73" s="137" t="str">
        <f aca="false">IF(OR(AND(DATOS_[[#This Row],[Fecha Fin Contrato]]&lt;$D$3,DATOS_[[#This Row],[Fecha Fin Contrato]]&lt;&gt;""),DATOS_[[#This Row],[Fecha de Contratación]]&gt;$D$4),"Fuera","Dentro")</f>
        <v>Dentro</v>
      </c>
      <c r="BS73" s="137" t="str">
        <f aca="false" t="array" ref="BS73:BS73">IF(MAX(IF(DATOS_[id]=DATOS_[[#This Row],[id]],DATOS_[F.fin.cal]))=DATOS_[[#This Row],[F.fin.cal]],"Sí","NO")</f>
        <v>Sí</v>
      </c>
      <c r="BT73" s="137" t="str">
        <f aca="false">IF(AND(DATOS_[[#This Row],[% normaliz]]&lt;&gt;1,DATOS_[[#This Row],[% anualiz]]=1),"Sí","NO")</f>
        <v>Sí</v>
      </c>
      <c r="BU73" s="137" t="str">
        <f aca="false">IF(AND(DATOS_[[#This Row],[% normaliz]]=1,DATOS_[[#This Row],[% anualiz]]&lt;&gt;1),"Sí","NO")</f>
        <v>NO</v>
      </c>
      <c r="BV73" s="137" t="str">
        <f aca="false">IF(AND(DATOS_[[#This Row],[% normaliz]]&lt;&gt;1,DATOS_[[#This Row],[% anualiz]]&lt;&gt;1),"Sí","NO")</f>
        <v>NO</v>
      </c>
      <c r="BW73" s="137" t="str">
        <f aca="false">+IF(DATOS_[[#This Row],[% normaliz]]*DATOS_[[#This Row],[% anualiz]]=1,"NO","Sí")</f>
        <v>Sí</v>
      </c>
      <c r="BX73" s="138" t="e">
        <f aca="false">(DATOS_[[#This Row],[S.BASE]]*(1/DATOS_[[#This Row],[% normaliz]])*(1/DATOS_[[#This Row],[% anualiz]]))*IF(DATOS_[[#This Row],[Check Equiparado]]="Sí",1,0)</f>
        <v>#DIV/0!</v>
      </c>
      <c r="BY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 s="138" t="e">
        <f aca="false">+DATOS_[[#This Row],[SALARIO BASE Eq]]+DATOS_[[#This Row],[Tot COMPL.SAL Eq]]</f>
        <v>#DIV/0!</v>
      </c>
      <c r="CA73" s="138" t="e">
        <f aca="false" t="array" ref="CA73: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 s="138" t="e">
        <f aca="false">+DATOS_[[#This Row],[TOTAL SALARIO Eq]]+DATOS_[[#This Row],[Tot Extrasalarial Eq]]</f>
        <v>#DIV/0!</v>
      </c>
      <c r="CC73" s="139" t="n">
        <f aca="false">DATOS_[[#This Row],[S.BASE]]</f>
        <v>0</v>
      </c>
      <c r="CD73" s="139" t="n">
        <f aca="false">+SUM(DATOS_[[#This Row],[Conc.Sal.01]:[Conc.Sal.30]])</f>
        <v>0</v>
      </c>
      <c r="CE73" s="139" t="n">
        <f aca="false">+DATOS_[[#This Row],[SALARIO BASE Ef]]+DATOS_[[#This Row],[Tot COMPL.SAL Ef]]</f>
        <v>0</v>
      </c>
      <c r="CF73" s="139" t="n">
        <f aca="false">+SUM(DATOS_[[#This Row],[C.Extra.01]:[C.Extra.05]])</f>
        <v>0</v>
      </c>
      <c r="CG73" s="139" t="n">
        <f aca="false">+DATOS_[[#This Row],[TOTAL SALARIO Ef]]+DATOS_[[#This Row],[Tot Extrasalarial Ef]]</f>
        <v>0</v>
      </c>
      <c r="CH73" s="140" t="n">
        <f aca="false">MIN(IF(DATOS_[[#This Row],[Fecha Fin Contrato]]="",$D$4,DATOS_[[#This Row],[Fecha Fin Contrato]]),$D$4)-MAX(DATOS_[[#This Row],[Fecha de Contratación]],$D$3)+1</f>
        <v>1</v>
      </c>
      <c r="CI73" s="141" t="str">
        <f aca="false">IF(COUNTIFS(DATOS_[id],DATOS_[[#This Row],[id]])&gt;1,DATOS_[[#This Row],[id]],"")</f>
        <v/>
      </c>
      <c r="CJ73" s="141" t="n">
        <f aca="false">(Inicio!$G$10-DATOS_[[#This Row],[Fecha Nacimiento]])/365.25</f>
        <v>0</v>
      </c>
      <c r="CK73" s="141" t="n">
        <f aca="false">(Inicio!$G$10-DATOS_[[#This Row],[Fecha de Antigüedad]])/365.25</f>
        <v>0</v>
      </c>
      <c r="CL73" s="141" t="e">
        <f aca="false">+VLOOKUP(DATOS_[[#This Row],[Clave de Contrato]],TblTiposContrato13[],3,0)</f>
        <v>#N/A</v>
      </c>
      <c r="CM73" s="141" t="e">
        <f aca="false">+VLOOKUP(DATOS_[[#This Row],[Clave de Contrato]],TblTiposContrato13[],4,0)</f>
        <v>#N/A</v>
      </c>
      <c r="CN73" s="141" t="str">
        <f aca="false">VLOOKUP(DATOS_[[#This Row],[Edad]],CONTRATOS!TblRngEdad,2,1)</f>
        <v>20  o menos</v>
      </c>
      <c r="CO73" s="141" t="str">
        <f aca="false">VLOOKUP(DATOS_[[#This Row],[Antigüedad]],TblRngAntg14[],2,1)</f>
        <v>0 a 1 años</v>
      </c>
    </row>
    <row r="74" customFormat="false" ht="13.8" hidden="false" customHeight="false" outlineLevel="0" collapsed="false">
      <c r="D74" s="128"/>
      <c r="E74" s="129"/>
      <c r="F74" s="129"/>
      <c r="G74" s="129"/>
      <c r="H74" s="130"/>
      <c r="I74" s="131"/>
      <c r="J74" s="128"/>
      <c r="K74" s="132"/>
      <c r="L74" s="132"/>
      <c r="M74" s="133"/>
      <c r="N74" s="133"/>
      <c r="O74" s="133"/>
      <c r="P74" s="129"/>
      <c r="Z74" s="75"/>
      <c r="AA74" s="76"/>
      <c r="AB74" s="76"/>
      <c r="AC74" s="129"/>
      <c r="AD74" s="134"/>
      <c r="AE74" s="134"/>
      <c r="AF74" s="134"/>
      <c r="AG74" s="134"/>
      <c r="AH74" s="134"/>
      <c r="AI74" s="134"/>
      <c r="AJ74" s="134"/>
      <c r="AK74" s="134"/>
      <c r="AL74" s="134"/>
      <c r="AM74" s="134"/>
      <c r="AN74" s="134"/>
      <c r="AO74" s="134"/>
      <c r="AP74" s="134"/>
      <c r="AQ74" s="134"/>
      <c r="AR74" s="134"/>
      <c r="AS74" s="134"/>
      <c r="AT74" s="134"/>
      <c r="AU74" s="134"/>
      <c r="AV74" s="134"/>
      <c r="AW74" s="134"/>
      <c r="AX74" s="134"/>
      <c r="AY74" s="134"/>
      <c r="AZ74" s="134"/>
      <c r="BA74" s="134"/>
      <c r="BB74" s="134"/>
      <c r="BC74" s="134"/>
      <c r="BD74" s="134"/>
      <c r="BE74" s="134"/>
      <c r="BF74" s="134"/>
      <c r="BG74" s="134"/>
      <c r="BH74" s="134"/>
      <c r="BI74" s="134"/>
      <c r="BJ74" s="134"/>
      <c r="BK74" s="134"/>
      <c r="BL74" s="134"/>
      <c r="BM74" s="135"/>
      <c r="BN74" s="136" t="n">
        <f aca="false">+MAX($D$3,DATOS_[[#This Row],[Fecha Inicio Sit. Contract.]])</f>
        <v>0</v>
      </c>
      <c r="BO74" s="136" t="n">
        <f aca="false">+MIN($D$4,DATOS_[[#This Row],[Fecha Fin Sit. Contract.]])</f>
        <v>0</v>
      </c>
      <c r="BP74" s="137" t="n">
        <f aca="false">+DATOS_[[#This Row],[% de jornada]]*IF(DATOS_[[#This Row],[% jornada reducida]]="",1,DATOS_[[#This Row],[% jornada reducida]])</f>
        <v>0</v>
      </c>
      <c r="BQ74" s="137" t="n">
        <f aca="false">+(DATOS_[[#This Row],[F.fin.cal]]-DATOS_[[#This Row],[F.ini.cal]]+1)/($D$4-$D$3+1)</f>
        <v>1</v>
      </c>
      <c r="BR74" s="137" t="str">
        <f aca="false">IF(OR(AND(DATOS_[[#This Row],[Fecha Fin Contrato]]&lt;$D$3,DATOS_[[#This Row],[Fecha Fin Contrato]]&lt;&gt;""),DATOS_[[#This Row],[Fecha de Contratación]]&gt;$D$4),"Fuera","Dentro")</f>
        <v>Dentro</v>
      </c>
      <c r="BS74" s="137" t="str">
        <f aca="false" t="array" ref="BS74:BS74">IF(MAX(IF(DATOS_[id]=DATOS_[[#This Row],[id]],DATOS_[F.fin.cal]))=DATOS_[[#This Row],[F.fin.cal]],"Sí","NO")</f>
        <v>Sí</v>
      </c>
      <c r="BT74" s="137" t="str">
        <f aca="false">IF(AND(DATOS_[[#This Row],[% normaliz]]&lt;&gt;1,DATOS_[[#This Row],[% anualiz]]=1),"Sí","NO")</f>
        <v>Sí</v>
      </c>
      <c r="BU74" s="137" t="str">
        <f aca="false">IF(AND(DATOS_[[#This Row],[% normaliz]]=1,DATOS_[[#This Row],[% anualiz]]&lt;&gt;1),"Sí","NO")</f>
        <v>NO</v>
      </c>
      <c r="BV74" s="137" t="str">
        <f aca="false">IF(AND(DATOS_[[#This Row],[% normaliz]]&lt;&gt;1,DATOS_[[#This Row],[% anualiz]]&lt;&gt;1),"Sí","NO")</f>
        <v>NO</v>
      </c>
      <c r="BW74" s="137" t="str">
        <f aca="false">+IF(DATOS_[[#This Row],[% normaliz]]*DATOS_[[#This Row],[% anualiz]]=1,"NO","Sí")</f>
        <v>Sí</v>
      </c>
      <c r="BX74" s="138" t="e">
        <f aca="false">(DATOS_[[#This Row],[S.BASE]]*(1/DATOS_[[#This Row],[% normaliz]])*(1/DATOS_[[#This Row],[% anualiz]]))*IF(DATOS_[[#This Row],[Check Equiparado]]="Sí",1,0)</f>
        <v>#DIV/0!</v>
      </c>
      <c r="BY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 s="138" t="e">
        <f aca="false">+DATOS_[[#This Row],[SALARIO BASE Eq]]+DATOS_[[#This Row],[Tot COMPL.SAL Eq]]</f>
        <v>#DIV/0!</v>
      </c>
      <c r="CA74" s="138" t="e">
        <f aca="false" t="array" ref="CA74: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 s="138" t="e">
        <f aca="false">+DATOS_[[#This Row],[TOTAL SALARIO Eq]]+DATOS_[[#This Row],[Tot Extrasalarial Eq]]</f>
        <v>#DIV/0!</v>
      </c>
      <c r="CC74" s="139" t="n">
        <f aca="false">DATOS_[[#This Row],[S.BASE]]</f>
        <v>0</v>
      </c>
      <c r="CD74" s="139" t="n">
        <f aca="false">+SUM(DATOS_[[#This Row],[Conc.Sal.01]:[Conc.Sal.30]])</f>
        <v>0</v>
      </c>
      <c r="CE74" s="139" t="n">
        <f aca="false">+DATOS_[[#This Row],[SALARIO BASE Ef]]+DATOS_[[#This Row],[Tot COMPL.SAL Ef]]</f>
        <v>0</v>
      </c>
      <c r="CF74" s="139" t="n">
        <f aca="false">+SUM(DATOS_[[#This Row],[C.Extra.01]:[C.Extra.05]])</f>
        <v>0</v>
      </c>
      <c r="CG74" s="139" t="n">
        <f aca="false">+DATOS_[[#This Row],[TOTAL SALARIO Ef]]+DATOS_[[#This Row],[Tot Extrasalarial Ef]]</f>
        <v>0</v>
      </c>
      <c r="CH74" s="140" t="n">
        <f aca="false">MIN(IF(DATOS_[[#This Row],[Fecha Fin Contrato]]="",$D$4,DATOS_[[#This Row],[Fecha Fin Contrato]]),$D$4)-MAX(DATOS_[[#This Row],[Fecha de Contratación]],$D$3)+1</f>
        <v>1</v>
      </c>
      <c r="CI74" s="141" t="str">
        <f aca="false">IF(COUNTIFS(DATOS_[id],DATOS_[[#This Row],[id]])&gt;1,DATOS_[[#This Row],[id]],"")</f>
        <v/>
      </c>
      <c r="CJ74" s="141" t="n">
        <f aca="false">(Inicio!$G$10-DATOS_[[#This Row],[Fecha Nacimiento]])/365.25</f>
        <v>0</v>
      </c>
      <c r="CK74" s="141" t="n">
        <f aca="false">(Inicio!$G$10-DATOS_[[#This Row],[Fecha de Antigüedad]])/365.25</f>
        <v>0</v>
      </c>
      <c r="CL74" s="141" t="e">
        <f aca="false">+VLOOKUP(DATOS_[[#This Row],[Clave de Contrato]],TblTiposContrato13[],3,0)</f>
        <v>#N/A</v>
      </c>
      <c r="CM74" s="141" t="e">
        <f aca="false">+VLOOKUP(DATOS_[[#This Row],[Clave de Contrato]],TblTiposContrato13[],4,0)</f>
        <v>#N/A</v>
      </c>
      <c r="CN74" s="141" t="str">
        <f aca="false">VLOOKUP(DATOS_[[#This Row],[Edad]],CONTRATOS!TblRngEdad,2,1)</f>
        <v>20  o menos</v>
      </c>
      <c r="CO74" s="141" t="str">
        <f aca="false">VLOOKUP(DATOS_[[#This Row],[Antigüedad]],TblRngAntg14[],2,1)</f>
        <v>0 a 1 años</v>
      </c>
    </row>
    <row r="75" customFormat="false" ht="13.8" hidden="false" customHeight="false" outlineLevel="0" collapsed="false">
      <c r="D75" s="128"/>
      <c r="E75" s="129"/>
      <c r="F75" s="129"/>
      <c r="G75" s="129"/>
      <c r="H75" s="130"/>
      <c r="I75" s="131"/>
      <c r="J75" s="128"/>
      <c r="K75" s="132"/>
      <c r="L75" s="132"/>
      <c r="M75" s="133"/>
      <c r="N75" s="133"/>
      <c r="O75" s="133"/>
      <c r="P75" s="129"/>
      <c r="Z75" s="75"/>
      <c r="AA75" s="76"/>
      <c r="AB75" s="76"/>
      <c r="AC75" s="129"/>
      <c r="AD75" s="134"/>
      <c r="AE75" s="134"/>
      <c r="AF75" s="134"/>
      <c r="AG75" s="134"/>
      <c r="AH75" s="134"/>
      <c r="AI75" s="134"/>
      <c r="AJ75" s="134"/>
      <c r="AK75" s="134"/>
      <c r="AL75" s="134"/>
      <c r="AM75" s="134"/>
      <c r="AN75" s="134"/>
      <c r="AO75" s="134"/>
      <c r="AP75" s="134"/>
      <c r="AQ75" s="134"/>
      <c r="AR75" s="134"/>
      <c r="AS75" s="134"/>
      <c r="AT75" s="134"/>
      <c r="AU75" s="134"/>
      <c r="AV75" s="134"/>
      <c r="AW75" s="134"/>
      <c r="AX75" s="134"/>
      <c r="AY75" s="134"/>
      <c r="AZ75" s="134"/>
      <c r="BA75" s="134"/>
      <c r="BB75" s="134"/>
      <c r="BC75" s="134"/>
      <c r="BD75" s="134"/>
      <c r="BE75" s="134"/>
      <c r="BF75" s="134"/>
      <c r="BG75" s="134"/>
      <c r="BH75" s="134"/>
      <c r="BI75" s="134"/>
      <c r="BJ75" s="134"/>
      <c r="BK75" s="134"/>
      <c r="BL75" s="134"/>
      <c r="BM75" s="135"/>
      <c r="BN75" s="136" t="n">
        <f aca="false">+MAX($D$3,DATOS_[[#This Row],[Fecha Inicio Sit. Contract.]])</f>
        <v>0</v>
      </c>
      <c r="BO75" s="136" t="n">
        <f aca="false">+MIN($D$4,DATOS_[[#This Row],[Fecha Fin Sit. Contract.]])</f>
        <v>0</v>
      </c>
      <c r="BP75" s="137" t="n">
        <f aca="false">+DATOS_[[#This Row],[% de jornada]]*IF(DATOS_[[#This Row],[% jornada reducida]]="",1,DATOS_[[#This Row],[% jornada reducida]])</f>
        <v>0</v>
      </c>
      <c r="BQ75" s="137" t="n">
        <f aca="false">+(DATOS_[[#This Row],[F.fin.cal]]-DATOS_[[#This Row],[F.ini.cal]]+1)/($D$4-$D$3+1)</f>
        <v>1</v>
      </c>
      <c r="BR75" s="137" t="str">
        <f aca="false">IF(OR(AND(DATOS_[[#This Row],[Fecha Fin Contrato]]&lt;$D$3,DATOS_[[#This Row],[Fecha Fin Contrato]]&lt;&gt;""),DATOS_[[#This Row],[Fecha de Contratación]]&gt;$D$4),"Fuera","Dentro")</f>
        <v>Dentro</v>
      </c>
      <c r="BS75" s="137" t="str">
        <f aca="false" t="array" ref="BS75:BS75">IF(MAX(IF(DATOS_[id]=DATOS_[[#This Row],[id]],DATOS_[F.fin.cal]))=DATOS_[[#This Row],[F.fin.cal]],"Sí","NO")</f>
        <v>Sí</v>
      </c>
      <c r="BT75" s="137" t="str">
        <f aca="false">IF(AND(DATOS_[[#This Row],[% normaliz]]&lt;&gt;1,DATOS_[[#This Row],[% anualiz]]=1),"Sí","NO")</f>
        <v>Sí</v>
      </c>
      <c r="BU75" s="137" t="str">
        <f aca="false">IF(AND(DATOS_[[#This Row],[% normaliz]]=1,DATOS_[[#This Row],[% anualiz]]&lt;&gt;1),"Sí","NO")</f>
        <v>NO</v>
      </c>
      <c r="BV75" s="137" t="str">
        <f aca="false">IF(AND(DATOS_[[#This Row],[% normaliz]]&lt;&gt;1,DATOS_[[#This Row],[% anualiz]]&lt;&gt;1),"Sí","NO")</f>
        <v>NO</v>
      </c>
      <c r="BW75" s="137" t="str">
        <f aca="false">+IF(DATOS_[[#This Row],[% normaliz]]*DATOS_[[#This Row],[% anualiz]]=1,"NO","Sí")</f>
        <v>Sí</v>
      </c>
      <c r="BX75" s="138" t="e">
        <f aca="false">(DATOS_[[#This Row],[S.BASE]]*(1/DATOS_[[#This Row],[% normaliz]])*(1/DATOS_[[#This Row],[% anualiz]]))*IF(DATOS_[[#This Row],[Check Equiparado]]="Sí",1,0)</f>
        <v>#DIV/0!</v>
      </c>
      <c r="BY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 s="138" t="e">
        <f aca="false">+DATOS_[[#This Row],[SALARIO BASE Eq]]+DATOS_[[#This Row],[Tot COMPL.SAL Eq]]</f>
        <v>#DIV/0!</v>
      </c>
      <c r="CA75" s="138" t="e">
        <f aca="false" t="array" ref="CA75: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 s="138" t="e">
        <f aca="false">+DATOS_[[#This Row],[TOTAL SALARIO Eq]]+DATOS_[[#This Row],[Tot Extrasalarial Eq]]</f>
        <v>#DIV/0!</v>
      </c>
      <c r="CC75" s="139" t="n">
        <f aca="false">DATOS_[[#This Row],[S.BASE]]</f>
        <v>0</v>
      </c>
      <c r="CD75" s="139" t="n">
        <f aca="false">+SUM(DATOS_[[#This Row],[Conc.Sal.01]:[Conc.Sal.30]])</f>
        <v>0</v>
      </c>
      <c r="CE75" s="139" t="n">
        <f aca="false">+DATOS_[[#This Row],[SALARIO BASE Ef]]+DATOS_[[#This Row],[Tot COMPL.SAL Ef]]</f>
        <v>0</v>
      </c>
      <c r="CF75" s="139" t="n">
        <f aca="false">+SUM(DATOS_[[#This Row],[C.Extra.01]:[C.Extra.05]])</f>
        <v>0</v>
      </c>
      <c r="CG75" s="139" t="n">
        <f aca="false">+DATOS_[[#This Row],[TOTAL SALARIO Ef]]+DATOS_[[#This Row],[Tot Extrasalarial Ef]]</f>
        <v>0</v>
      </c>
      <c r="CH75" s="140" t="n">
        <f aca="false">MIN(IF(DATOS_[[#This Row],[Fecha Fin Contrato]]="",$D$4,DATOS_[[#This Row],[Fecha Fin Contrato]]),$D$4)-MAX(DATOS_[[#This Row],[Fecha de Contratación]],$D$3)+1</f>
        <v>1</v>
      </c>
      <c r="CI75" s="141" t="str">
        <f aca="false">IF(COUNTIFS(DATOS_[id],DATOS_[[#This Row],[id]])&gt;1,DATOS_[[#This Row],[id]],"")</f>
        <v/>
      </c>
      <c r="CJ75" s="141" t="n">
        <f aca="false">(Inicio!$G$10-DATOS_[[#This Row],[Fecha Nacimiento]])/365.25</f>
        <v>0</v>
      </c>
      <c r="CK75" s="141" t="n">
        <f aca="false">(Inicio!$G$10-DATOS_[[#This Row],[Fecha de Antigüedad]])/365.25</f>
        <v>0</v>
      </c>
      <c r="CL75" s="141" t="e">
        <f aca="false">+VLOOKUP(DATOS_[[#This Row],[Clave de Contrato]],TblTiposContrato13[],3,0)</f>
        <v>#N/A</v>
      </c>
      <c r="CM75" s="141" t="e">
        <f aca="false">+VLOOKUP(DATOS_[[#This Row],[Clave de Contrato]],TblTiposContrato13[],4,0)</f>
        <v>#N/A</v>
      </c>
      <c r="CN75" s="141" t="str">
        <f aca="false">VLOOKUP(DATOS_[[#This Row],[Edad]],CONTRATOS!TblRngEdad,2,1)</f>
        <v>20  o menos</v>
      </c>
      <c r="CO75" s="141" t="str">
        <f aca="false">VLOOKUP(DATOS_[[#This Row],[Antigüedad]],TblRngAntg14[],2,1)</f>
        <v>0 a 1 años</v>
      </c>
    </row>
    <row r="76" customFormat="false" ht="13.8" hidden="false" customHeight="false" outlineLevel="0" collapsed="false">
      <c r="D76" s="128"/>
      <c r="E76" s="129"/>
      <c r="F76" s="129"/>
      <c r="G76" s="129"/>
      <c r="H76" s="130"/>
      <c r="I76" s="131"/>
      <c r="J76" s="128"/>
      <c r="K76" s="132"/>
      <c r="L76" s="132"/>
      <c r="M76" s="133"/>
      <c r="N76" s="133"/>
      <c r="O76" s="133"/>
      <c r="P76" s="129"/>
      <c r="Z76" s="75"/>
      <c r="AA76" s="76"/>
      <c r="AB76" s="76"/>
      <c r="AC76" s="129"/>
      <c r="AD76" s="134"/>
      <c r="AE76" s="134"/>
      <c r="AF76" s="134"/>
      <c r="AG76" s="134"/>
      <c r="AH76" s="134"/>
      <c r="AI76" s="134"/>
      <c r="AJ76" s="134"/>
      <c r="AK76" s="134"/>
      <c r="AL76" s="134"/>
      <c r="AM76" s="134"/>
      <c r="AN76" s="134"/>
      <c r="AO76" s="134"/>
      <c r="AP76" s="134"/>
      <c r="AQ76" s="134"/>
      <c r="AR76" s="134"/>
      <c r="AS76" s="134"/>
      <c r="AT76" s="134"/>
      <c r="AU76" s="134"/>
      <c r="AV76" s="134"/>
      <c r="AW76" s="134"/>
      <c r="AX76" s="134"/>
      <c r="AY76" s="134"/>
      <c r="AZ76" s="134"/>
      <c r="BA76" s="134"/>
      <c r="BB76" s="134"/>
      <c r="BC76" s="134"/>
      <c r="BD76" s="134"/>
      <c r="BE76" s="134"/>
      <c r="BF76" s="134"/>
      <c r="BG76" s="134"/>
      <c r="BH76" s="134"/>
      <c r="BI76" s="134"/>
      <c r="BJ76" s="134"/>
      <c r="BK76" s="134"/>
      <c r="BL76" s="134"/>
      <c r="BM76" s="135"/>
      <c r="BN76" s="136" t="n">
        <f aca="false">+MAX($D$3,DATOS_[[#This Row],[Fecha Inicio Sit. Contract.]])</f>
        <v>0</v>
      </c>
      <c r="BO76" s="136" t="n">
        <f aca="false">+MIN($D$4,DATOS_[[#This Row],[Fecha Fin Sit. Contract.]])</f>
        <v>0</v>
      </c>
      <c r="BP76" s="137" t="n">
        <f aca="false">+DATOS_[[#This Row],[% de jornada]]*IF(DATOS_[[#This Row],[% jornada reducida]]="",1,DATOS_[[#This Row],[% jornada reducida]])</f>
        <v>0</v>
      </c>
      <c r="BQ76" s="137" t="n">
        <f aca="false">+(DATOS_[[#This Row],[F.fin.cal]]-DATOS_[[#This Row],[F.ini.cal]]+1)/($D$4-$D$3+1)</f>
        <v>1</v>
      </c>
      <c r="BR76" s="137" t="str">
        <f aca="false">IF(OR(AND(DATOS_[[#This Row],[Fecha Fin Contrato]]&lt;$D$3,DATOS_[[#This Row],[Fecha Fin Contrato]]&lt;&gt;""),DATOS_[[#This Row],[Fecha de Contratación]]&gt;$D$4),"Fuera","Dentro")</f>
        <v>Dentro</v>
      </c>
      <c r="BS76" s="137" t="str">
        <f aca="false" t="array" ref="BS76:BS76">IF(MAX(IF(DATOS_[id]=DATOS_[[#This Row],[id]],DATOS_[F.fin.cal]))=DATOS_[[#This Row],[F.fin.cal]],"Sí","NO")</f>
        <v>Sí</v>
      </c>
      <c r="BT76" s="137" t="str">
        <f aca="false">IF(AND(DATOS_[[#This Row],[% normaliz]]&lt;&gt;1,DATOS_[[#This Row],[% anualiz]]=1),"Sí","NO")</f>
        <v>Sí</v>
      </c>
      <c r="BU76" s="137" t="str">
        <f aca="false">IF(AND(DATOS_[[#This Row],[% normaliz]]=1,DATOS_[[#This Row],[% anualiz]]&lt;&gt;1),"Sí","NO")</f>
        <v>NO</v>
      </c>
      <c r="BV76" s="137" t="str">
        <f aca="false">IF(AND(DATOS_[[#This Row],[% normaliz]]&lt;&gt;1,DATOS_[[#This Row],[% anualiz]]&lt;&gt;1),"Sí","NO")</f>
        <v>NO</v>
      </c>
      <c r="BW76" s="137" t="str">
        <f aca="false">+IF(DATOS_[[#This Row],[% normaliz]]*DATOS_[[#This Row],[% anualiz]]=1,"NO","Sí")</f>
        <v>Sí</v>
      </c>
      <c r="BX76" s="138" t="e">
        <f aca="false">(DATOS_[[#This Row],[S.BASE]]*(1/DATOS_[[#This Row],[% normaliz]])*(1/DATOS_[[#This Row],[% anualiz]]))*IF(DATOS_[[#This Row],[Check Equiparado]]="Sí",1,0)</f>
        <v>#DIV/0!</v>
      </c>
      <c r="BY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 s="138" t="e">
        <f aca="false">+DATOS_[[#This Row],[SALARIO BASE Eq]]+DATOS_[[#This Row],[Tot COMPL.SAL Eq]]</f>
        <v>#DIV/0!</v>
      </c>
      <c r="CA76" s="138" t="e">
        <f aca="false" t="array" ref="CA76: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 s="138" t="e">
        <f aca="false">+DATOS_[[#This Row],[TOTAL SALARIO Eq]]+DATOS_[[#This Row],[Tot Extrasalarial Eq]]</f>
        <v>#DIV/0!</v>
      </c>
      <c r="CC76" s="139" t="n">
        <f aca="false">DATOS_[[#This Row],[S.BASE]]</f>
        <v>0</v>
      </c>
      <c r="CD76" s="139" t="n">
        <f aca="false">+SUM(DATOS_[[#This Row],[Conc.Sal.01]:[Conc.Sal.30]])</f>
        <v>0</v>
      </c>
      <c r="CE76" s="139" t="n">
        <f aca="false">+DATOS_[[#This Row],[SALARIO BASE Ef]]+DATOS_[[#This Row],[Tot COMPL.SAL Ef]]</f>
        <v>0</v>
      </c>
      <c r="CF76" s="139" t="n">
        <f aca="false">+SUM(DATOS_[[#This Row],[C.Extra.01]:[C.Extra.05]])</f>
        <v>0</v>
      </c>
      <c r="CG76" s="139" t="n">
        <f aca="false">+DATOS_[[#This Row],[TOTAL SALARIO Ef]]+DATOS_[[#This Row],[Tot Extrasalarial Ef]]</f>
        <v>0</v>
      </c>
      <c r="CH76" s="140" t="n">
        <f aca="false">MIN(IF(DATOS_[[#This Row],[Fecha Fin Contrato]]="",$D$4,DATOS_[[#This Row],[Fecha Fin Contrato]]),$D$4)-MAX(DATOS_[[#This Row],[Fecha de Contratación]],$D$3)+1</f>
        <v>1</v>
      </c>
      <c r="CI76" s="141" t="str">
        <f aca="false">IF(COUNTIFS(DATOS_[id],DATOS_[[#This Row],[id]])&gt;1,DATOS_[[#This Row],[id]],"")</f>
        <v/>
      </c>
      <c r="CJ76" s="141" t="n">
        <f aca="false">(Inicio!$G$10-DATOS_[[#This Row],[Fecha Nacimiento]])/365.25</f>
        <v>0</v>
      </c>
      <c r="CK76" s="141" t="n">
        <f aca="false">(Inicio!$G$10-DATOS_[[#This Row],[Fecha de Antigüedad]])/365.25</f>
        <v>0</v>
      </c>
      <c r="CL76" s="141" t="e">
        <f aca="false">+VLOOKUP(DATOS_[[#This Row],[Clave de Contrato]],TblTiposContrato13[],3,0)</f>
        <v>#N/A</v>
      </c>
      <c r="CM76" s="141" t="e">
        <f aca="false">+VLOOKUP(DATOS_[[#This Row],[Clave de Contrato]],TblTiposContrato13[],4,0)</f>
        <v>#N/A</v>
      </c>
      <c r="CN76" s="141" t="str">
        <f aca="false">VLOOKUP(DATOS_[[#This Row],[Edad]],CONTRATOS!TblRngEdad,2,1)</f>
        <v>20  o menos</v>
      </c>
      <c r="CO76" s="141" t="str">
        <f aca="false">VLOOKUP(DATOS_[[#This Row],[Antigüedad]],TblRngAntg14[],2,1)</f>
        <v>0 a 1 años</v>
      </c>
    </row>
    <row r="77" customFormat="false" ht="13.8" hidden="false" customHeight="false" outlineLevel="0" collapsed="false">
      <c r="D77" s="128"/>
      <c r="E77" s="129"/>
      <c r="F77" s="129"/>
      <c r="G77" s="129"/>
      <c r="H77" s="130"/>
      <c r="I77" s="131"/>
      <c r="J77" s="128"/>
      <c r="K77" s="132"/>
      <c r="L77" s="132"/>
      <c r="M77" s="133"/>
      <c r="N77" s="133"/>
      <c r="O77" s="133"/>
      <c r="P77" s="129"/>
      <c r="Z77" s="75"/>
      <c r="AA77" s="76"/>
      <c r="AB77" s="76"/>
      <c r="AC77" s="129"/>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5"/>
      <c r="BN77" s="136" t="n">
        <f aca="false">+MAX($D$3,DATOS_[[#This Row],[Fecha Inicio Sit. Contract.]])</f>
        <v>0</v>
      </c>
      <c r="BO77" s="136" t="n">
        <f aca="false">+MIN($D$4,DATOS_[[#This Row],[Fecha Fin Sit. Contract.]])</f>
        <v>0</v>
      </c>
      <c r="BP77" s="137" t="n">
        <f aca="false">+DATOS_[[#This Row],[% de jornada]]*IF(DATOS_[[#This Row],[% jornada reducida]]="",1,DATOS_[[#This Row],[% jornada reducida]])</f>
        <v>0</v>
      </c>
      <c r="BQ77" s="137" t="n">
        <f aca="false">+(DATOS_[[#This Row],[F.fin.cal]]-DATOS_[[#This Row],[F.ini.cal]]+1)/($D$4-$D$3+1)</f>
        <v>1</v>
      </c>
      <c r="BR77" s="137" t="str">
        <f aca="false">IF(OR(AND(DATOS_[[#This Row],[Fecha Fin Contrato]]&lt;$D$3,DATOS_[[#This Row],[Fecha Fin Contrato]]&lt;&gt;""),DATOS_[[#This Row],[Fecha de Contratación]]&gt;$D$4),"Fuera","Dentro")</f>
        <v>Dentro</v>
      </c>
      <c r="BS77" s="137" t="str">
        <f aca="false" t="array" ref="BS77:BS77">IF(MAX(IF(DATOS_[id]=DATOS_[[#This Row],[id]],DATOS_[F.fin.cal]))=DATOS_[[#This Row],[F.fin.cal]],"Sí","NO")</f>
        <v>Sí</v>
      </c>
      <c r="BT77" s="137" t="str">
        <f aca="false">IF(AND(DATOS_[[#This Row],[% normaliz]]&lt;&gt;1,DATOS_[[#This Row],[% anualiz]]=1),"Sí","NO")</f>
        <v>Sí</v>
      </c>
      <c r="BU77" s="137" t="str">
        <f aca="false">IF(AND(DATOS_[[#This Row],[% normaliz]]=1,DATOS_[[#This Row],[% anualiz]]&lt;&gt;1),"Sí","NO")</f>
        <v>NO</v>
      </c>
      <c r="BV77" s="137" t="str">
        <f aca="false">IF(AND(DATOS_[[#This Row],[% normaliz]]&lt;&gt;1,DATOS_[[#This Row],[% anualiz]]&lt;&gt;1),"Sí","NO")</f>
        <v>NO</v>
      </c>
      <c r="BW77" s="137" t="str">
        <f aca="false">+IF(DATOS_[[#This Row],[% normaliz]]*DATOS_[[#This Row],[% anualiz]]=1,"NO","Sí")</f>
        <v>Sí</v>
      </c>
      <c r="BX77" s="138" t="e">
        <f aca="false">(DATOS_[[#This Row],[S.BASE]]*(1/DATOS_[[#This Row],[% normaliz]])*(1/DATOS_[[#This Row],[% anualiz]]))*IF(DATOS_[[#This Row],[Check Equiparado]]="Sí",1,0)</f>
        <v>#DIV/0!</v>
      </c>
      <c r="BY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 s="138" t="e">
        <f aca="false">+DATOS_[[#This Row],[SALARIO BASE Eq]]+DATOS_[[#This Row],[Tot COMPL.SAL Eq]]</f>
        <v>#DIV/0!</v>
      </c>
      <c r="CA77" s="138" t="e">
        <f aca="false" t="array" ref="CA77: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 s="138" t="e">
        <f aca="false">+DATOS_[[#This Row],[TOTAL SALARIO Eq]]+DATOS_[[#This Row],[Tot Extrasalarial Eq]]</f>
        <v>#DIV/0!</v>
      </c>
      <c r="CC77" s="139" t="n">
        <f aca="false">DATOS_[[#This Row],[S.BASE]]</f>
        <v>0</v>
      </c>
      <c r="CD77" s="139" t="n">
        <f aca="false">+SUM(DATOS_[[#This Row],[Conc.Sal.01]:[Conc.Sal.30]])</f>
        <v>0</v>
      </c>
      <c r="CE77" s="139" t="n">
        <f aca="false">+DATOS_[[#This Row],[SALARIO BASE Ef]]+DATOS_[[#This Row],[Tot COMPL.SAL Ef]]</f>
        <v>0</v>
      </c>
      <c r="CF77" s="139" t="n">
        <f aca="false">+SUM(DATOS_[[#This Row],[C.Extra.01]:[C.Extra.05]])</f>
        <v>0</v>
      </c>
      <c r="CG77" s="139" t="n">
        <f aca="false">+DATOS_[[#This Row],[TOTAL SALARIO Ef]]+DATOS_[[#This Row],[Tot Extrasalarial Ef]]</f>
        <v>0</v>
      </c>
      <c r="CH77" s="140" t="n">
        <f aca="false">MIN(IF(DATOS_[[#This Row],[Fecha Fin Contrato]]="",$D$4,DATOS_[[#This Row],[Fecha Fin Contrato]]),$D$4)-MAX(DATOS_[[#This Row],[Fecha de Contratación]],$D$3)+1</f>
        <v>1</v>
      </c>
      <c r="CI77" s="141" t="str">
        <f aca="false">IF(COUNTIFS(DATOS_[id],DATOS_[[#This Row],[id]])&gt;1,DATOS_[[#This Row],[id]],"")</f>
        <v/>
      </c>
      <c r="CJ77" s="141" t="n">
        <f aca="false">(Inicio!$G$10-DATOS_[[#This Row],[Fecha Nacimiento]])/365.25</f>
        <v>0</v>
      </c>
      <c r="CK77" s="141" t="n">
        <f aca="false">(Inicio!$G$10-DATOS_[[#This Row],[Fecha de Antigüedad]])/365.25</f>
        <v>0</v>
      </c>
      <c r="CL77" s="141" t="e">
        <f aca="false">+VLOOKUP(DATOS_[[#This Row],[Clave de Contrato]],TblTiposContrato13[],3,0)</f>
        <v>#N/A</v>
      </c>
      <c r="CM77" s="141" t="e">
        <f aca="false">+VLOOKUP(DATOS_[[#This Row],[Clave de Contrato]],TblTiposContrato13[],4,0)</f>
        <v>#N/A</v>
      </c>
      <c r="CN77" s="141" t="str">
        <f aca="false">VLOOKUP(DATOS_[[#This Row],[Edad]],CONTRATOS!TblRngEdad,2,1)</f>
        <v>20  o menos</v>
      </c>
      <c r="CO77" s="141" t="str">
        <f aca="false">VLOOKUP(DATOS_[[#This Row],[Antigüedad]],TblRngAntg14[],2,1)</f>
        <v>0 a 1 años</v>
      </c>
    </row>
    <row r="78" customFormat="false" ht="13.8" hidden="false" customHeight="false" outlineLevel="0" collapsed="false">
      <c r="D78" s="128"/>
      <c r="E78" s="129"/>
      <c r="F78" s="129"/>
      <c r="G78" s="129"/>
      <c r="H78" s="130"/>
      <c r="I78" s="131"/>
      <c r="J78" s="128"/>
      <c r="K78" s="132"/>
      <c r="L78" s="132"/>
      <c r="M78" s="133"/>
      <c r="N78" s="133"/>
      <c r="O78" s="133"/>
      <c r="P78" s="129"/>
      <c r="Z78" s="75"/>
      <c r="AA78" s="76"/>
      <c r="AB78" s="76"/>
      <c r="AC78" s="129"/>
      <c r="AD78" s="134"/>
      <c r="AE78" s="134"/>
      <c r="AF78" s="134"/>
      <c r="AG78" s="134"/>
      <c r="AH78" s="134"/>
      <c r="AI78" s="134"/>
      <c r="AJ78" s="134"/>
      <c r="AK78" s="134"/>
      <c r="AL78" s="134"/>
      <c r="AM78" s="134"/>
      <c r="AN78" s="134"/>
      <c r="AO78" s="134"/>
      <c r="AP78" s="134"/>
      <c r="AQ78" s="134"/>
      <c r="AR78" s="134"/>
      <c r="AS78" s="134"/>
      <c r="AT78" s="134"/>
      <c r="AU78" s="134"/>
      <c r="AV78" s="134"/>
      <c r="AW78" s="134"/>
      <c r="AX78" s="134"/>
      <c r="AY78" s="134"/>
      <c r="AZ78" s="134"/>
      <c r="BA78" s="134"/>
      <c r="BB78" s="134"/>
      <c r="BC78" s="134"/>
      <c r="BD78" s="134"/>
      <c r="BE78" s="134"/>
      <c r="BF78" s="134"/>
      <c r="BG78" s="134"/>
      <c r="BH78" s="134"/>
      <c r="BI78" s="134"/>
      <c r="BJ78" s="134"/>
      <c r="BK78" s="134"/>
      <c r="BL78" s="134"/>
      <c r="BM78" s="135"/>
      <c r="BN78" s="136" t="n">
        <f aca="false">+MAX($D$3,DATOS_[[#This Row],[Fecha Inicio Sit. Contract.]])</f>
        <v>0</v>
      </c>
      <c r="BO78" s="136" t="n">
        <f aca="false">+MIN($D$4,DATOS_[[#This Row],[Fecha Fin Sit. Contract.]])</f>
        <v>0</v>
      </c>
      <c r="BP78" s="137" t="n">
        <f aca="false">+DATOS_[[#This Row],[% de jornada]]*IF(DATOS_[[#This Row],[% jornada reducida]]="",1,DATOS_[[#This Row],[% jornada reducida]])</f>
        <v>0</v>
      </c>
      <c r="BQ78" s="137" t="n">
        <f aca="false">+(DATOS_[[#This Row],[F.fin.cal]]-DATOS_[[#This Row],[F.ini.cal]]+1)/($D$4-$D$3+1)</f>
        <v>1</v>
      </c>
      <c r="BR78" s="137" t="str">
        <f aca="false">IF(OR(AND(DATOS_[[#This Row],[Fecha Fin Contrato]]&lt;$D$3,DATOS_[[#This Row],[Fecha Fin Contrato]]&lt;&gt;""),DATOS_[[#This Row],[Fecha de Contratación]]&gt;$D$4),"Fuera","Dentro")</f>
        <v>Dentro</v>
      </c>
      <c r="BS78" s="137" t="str">
        <f aca="false" t="array" ref="BS78:BS78">IF(MAX(IF(DATOS_[id]=DATOS_[[#This Row],[id]],DATOS_[F.fin.cal]))=DATOS_[[#This Row],[F.fin.cal]],"Sí","NO")</f>
        <v>Sí</v>
      </c>
      <c r="BT78" s="137" t="str">
        <f aca="false">IF(AND(DATOS_[[#This Row],[% normaliz]]&lt;&gt;1,DATOS_[[#This Row],[% anualiz]]=1),"Sí","NO")</f>
        <v>Sí</v>
      </c>
      <c r="BU78" s="137" t="str">
        <f aca="false">IF(AND(DATOS_[[#This Row],[% normaliz]]=1,DATOS_[[#This Row],[% anualiz]]&lt;&gt;1),"Sí","NO")</f>
        <v>NO</v>
      </c>
      <c r="BV78" s="137" t="str">
        <f aca="false">IF(AND(DATOS_[[#This Row],[% normaliz]]&lt;&gt;1,DATOS_[[#This Row],[% anualiz]]&lt;&gt;1),"Sí","NO")</f>
        <v>NO</v>
      </c>
      <c r="BW78" s="137" t="str">
        <f aca="false">+IF(DATOS_[[#This Row],[% normaliz]]*DATOS_[[#This Row],[% anualiz]]=1,"NO","Sí")</f>
        <v>Sí</v>
      </c>
      <c r="BX78" s="138" t="e">
        <f aca="false">(DATOS_[[#This Row],[S.BASE]]*(1/DATOS_[[#This Row],[% normaliz]])*(1/DATOS_[[#This Row],[% anualiz]]))*IF(DATOS_[[#This Row],[Check Equiparado]]="Sí",1,0)</f>
        <v>#DIV/0!</v>
      </c>
      <c r="BY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 s="138" t="e">
        <f aca="false">+DATOS_[[#This Row],[SALARIO BASE Eq]]+DATOS_[[#This Row],[Tot COMPL.SAL Eq]]</f>
        <v>#DIV/0!</v>
      </c>
      <c r="CA78" s="138" t="e">
        <f aca="false" t="array" ref="CA78: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 s="138" t="e">
        <f aca="false">+DATOS_[[#This Row],[TOTAL SALARIO Eq]]+DATOS_[[#This Row],[Tot Extrasalarial Eq]]</f>
        <v>#DIV/0!</v>
      </c>
      <c r="CC78" s="139" t="n">
        <f aca="false">DATOS_[[#This Row],[S.BASE]]</f>
        <v>0</v>
      </c>
      <c r="CD78" s="139" t="n">
        <f aca="false">+SUM(DATOS_[[#This Row],[Conc.Sal.01]:[Conc.Sal.30]])</f>
        <v>0</v>
      </c>
      <c r="CE78" s="139" t="n">
        <f aca="false">+DATOS_[[#This Row],[SALARIO BASE Ef]]+DATOS_[[#This Row],[Tot COMPL.SAL Ef]]</f>
        <v>0</v>
      </c>
      <c r="CF78" s="139" t="n">
        <f aca="false">+SUM(DATOS_[[#This Row],[C.Extra.01]:[C.Extra.05]])</f>
        <v>0</v>
      </c>
      <c r="CG78" s="139" t="n">
        <f aca="false">+DATOS_[[#This Row],[TOTAL SALARIO Ef]]+DATOS_[[#This Row],[Tot Extrasalarial Ef]]</f>
        <v>0</v>
      </c>
      <c r="CH78" s="140" t="n">
        <f aca="false">MIN(IF(DATOS_[[#This Row],[Fecha Fin Contrato]]="",$D$4,DATOS_[[#This Row],[Fecha Fin Contrato]]),$D$4)-MAX(DATOS_[[#This Row],[Fecha de Contratación]],$D$3)+1</f>
        <v>1</v>
      </c>
      <c r="CI78" s="141" t="str">
        <f aca="false">IF(COUNTIFS(DATOS_[id],DATOS_[[#This Row],[id]])&gt;1,DATOS_[[#This Row],[id]],"")</f>
        <v/>
      </c>
      <c r="CJ78" s="141" t="n">
        <f aca="false">(Inicio!$G$10-DATOS_[[#This Row],[Fecha Nacimiento]])/365.25</f>
        <v>0</v>
      </c>
      <c r="CK78" s="141" t="n">
        <f aca="false">(Inicio!$G$10-DATOS_[[#This Row],[Fecha de Antigüedad]])/365.25</f>
        <v>0</v>
      </c>
      <c r="CL78" s="141" t="e">
        <f aca="false">+VLOOKUP(DATOS_[[#This Row],[Clave de Contrato]],TblTiposContrato13[],3,0)</f>
        <v>#N/A</v>
      </c>
      <c r="CM78" s="141" t="e">
        <f aca="false">+VLOOKUP(DATOS_[[#This Row],[Clave de Contrato]],TblTiposContrato13[],4,0)</f>
        <v>#N/A</v>
      </c>
      <c r="CN78" s="141" t="str">
        <f aca="false">VLOOKUP(DATOS_[[#This Row],[Edad]],CONTRATOS!TblRngEdad,2,1)</f>
        <v>20  o menos</v>
      </c>
      <c r="CO78" s="141" t="str">
        <f aca="false">VLOOKUP(DATOS_[[#This Row],[Antigüedad]],TblRngAntg14[],2,1)</f>
        <v>0 a 1 años</v>
      </c>
    </row>
    <row r="79" customFormat="false" ht="13.8" hidden="false" customHeight="false" outlineLevel="0" collapsed="false">
      <c r="D79" s="128"/>
      <c r="E79" s="129"/>
      <c r="F79" s="129"/>
      <c r="G79" s="129"/>
      <c r="H79" s="130"/>
      <c r="I79" s="131"/>
      <c r="J79" s="128"/>
      <c r="K79" s="132"/>
      <c r="L79" s="132"/>
      <c r="M79" s="133"/>
      <c r="N79" s="133"/>
      <c r="O79" s="133"/>
      <c r="P79" s="129"/>
      <c r="Z79" s="75"/>
      <c r="AA79" s="76"/>
      <c r="AB79" s="76"/>
      <c r="AC79" s="129"/>
      <c r="AD79" s="134"/>
      <c r="AE79" s="134"/>
      <c r="AF79" s="134"/>
      <c r="AG79" s="134"/>
      <c r="AH79" s="134"/>
      <c r="AI79" s="134"/>
      <c r="AJ79" s="134"/>
      <c r="AK79" s="134"/>
      <c r="AL79" s="134"/>
      <c r="AM79" s="134"/>
      <c r="AN79" s="134"/>
      <c r="AO79" s="134"/>
      <c r="AP79" s="134"/>
      <c r="AQ79" s="134"/>
      <c r="AR79" s="134"/>
      <c r="AS79" s="134"/>
      <c r="AT79" s="134"/>
      <c r="AU79" s="134"/>
      <c r="AV79" s="134"/>
      <c r="AW79" s="134"/>
      <c r="AX79" s="134"/>
      <c r="AY79" s="134"/>
      <c r="AZ79" s="134"/>
      <c r="BA79" s="134"/>
      <c r="BB79" s="134"/>
      <c r="BC79" s="134"/>
      <c r="BD79" s="134"/>
      <c r="BE79" s="134"/>
      <c r="BF79" s="134"/>
      <c r="BG79" s="134"/>
      <c r="BH79" s="134"/>
      <c r="BI79" s="134"/>
      <c r="BJ79" s="134"/>
      <c r="BK79" s="134"/>
      <c r="BL79" s="134"/>
      <c r="BM79" s="135"/>
      <c r="BN79" s="136" t="n">
        <f aca="false">+MAX($D$3,DATOS_[[#This Row],[Fecha Inicio Sit. Contract.]])</f>
        <v>0</v>
      </c>
      <c r="BO79" s="136" t="n">
        <f aca="false">+MIN($D$4,DATOS_[[#This Row],[Fecha Fin Sit. Contract.]])</f>
        <v>0</v>
      </c>
      <c r="BP79" s="137" t="n">
        <f aca="false">+DATOS_[[#This Row],[% de jornada]]*IF(DATOS_[[#This Row],[% jornada reducida]]="",1,DATOS_[[#This Row],[% jornada reducida]])</f>
        <v>0</v>
      </c>
      <c r="BQ79" s="137" t="n">
        <f aca="false">+(DATOS_[[#This Row],[F.fin.cal]]-DATOS_[[#This Row],[F.ini.cal]]+1)/($D$4-$D$3+1)</f>
        <v>1</v>
      </c>
      <c r="BR79" s="137" t="str">
        <f aca="false">IF(OR(AND(DATOS_[[#This Row],[Fecha Fin Contrato]]&lt;$D$3,DATOS_[[#This Row],[Fecha Fin Contrato]]&lt;&gt;""),DATOS_[[#This Row],[Fecha de Contratación]]&gt;$D$4),"Fuera","Dentro")</f>
        <v>Dentro</v>
      </c>
      <c r="BS79" s="137" t="str">
        <f aca="false" t="array" ref="BS79:BS79">IF(MAX(IF(DATOS_[id]=DATOS_[[#This Row],[id]],DATOS_[F.fin.cal]))=DATOS_[[#This Row],[F.fin.cal]],"Sí","NO")</f>
        <v>Sí</v>
      </c>
      <c r="BT79" s="137" t="str">
        <f aca="false">IF(AND(DATOS_[[#This Row],[% normaliz]]&lt;&gt;1,DATOS_[[#This Row],[% anualiz]]=1),"Sí","NO")</f>
        <v>Sí</v>
      </c>
      <c r="BU79" s="137" t="str">
        <f aca="false">IF(AND(DATOS_[[#This Row],[% normaliz]]=1,DATOS_[[#This Row],[% anualiz]]&lt;&gt;1),"Sí","NO")</f>
        <v>NO</v>
      </c>
      <c r="BV79" s="137" t="str">
        <f aca="false">IF(AND(DATOS_[[#This Row],[% normaliz]]&lt;&gt;1,DATOS_[[#This Row],[% anualiz]]&lt;&gt;1),"Sí","NO")</f>
        <v>NO</v>
      </c>
      <c r="BW79" s="137" t="str">
        <f aca="false">+IF(DATOS_[[#This Row],[% normaliz]]*DATOS_[[#This Row],[% anualiz]]=1,"NO","Sí")</f>
        <v>Sí</v>
      </c>
      <c r="BX79" s="138" t="e">
        <f aca="false">(DATOS_[[#This Row],[S.BASE]]*(1/DATOS_[[#This Row],[% normaliz]])*(1/DATOS_[[#This Row],[% anualiz]]))*IF(DATOS_[[#This Row],[Check Equiparado]]="Sí",1,0)</f>
        <v>#DIV/0!</v>
      </c>
      <c r="BY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 s="138" t="e">
        <f aca="false">+DATOS_[[#This Row],[SALARIO BASE Eq]]+DATOS_[[#This Row],[Tot COMPL.SAL Eq]]</f>
        <v>#DIV/0!</v>
      </c>
      <c r="CA79" s="138" t="e">
        <f aca="false" t="array" ref="CA79: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 s="138" t="e">
        <f aca="false">+DATOS_[[#This Row],[TOTAL SALARIO Eq]]+DATOS_[[#This Row],[Tot Extrasalarial Eq]]</f>
        <v>#DIV/0!</v>
      </c>
      <c r="CC79" s="139" t="n">
        <f aca="false">DATOS_[[#This Row],[S.BASE]]</f>
        <v>0</v>
      </c>
      <c r="CD79" s="139" t="n">
        <f aca="false">+SUM(DATOS_[[#This Row],[Conc.Sal.01]:[Conc.Sal.30]])</f>
        <v>0</v>
      </c>
      <c r="CE79" s="139" t="n">
        <f aca="false">+DATOS_[[#This Row],[SALARIO BASE Ef]]+DATOS_[[#This Row],[Tot COMPL.SAL Ef]]</f>
        <v>0</v>
      </c>
      <c r="CF79" s="139" t="n">
        <f aca="false">+SUM(DATOS_[[#This Row],[C.Extra.01]:[C.Extra.05]])</f>
        <v>0</v>
      </c>
      <c r="CG79" s="139" t="n">
        <f aca="false">+DATOS_[[#This Row],[TOTAL SALARIO Ef]]+DATOS_[[#This Row],[Tot Extrasalarial Ef]]</f>
        <v>0</v>
      </c>
      <c r="CH79" s="140" t="n">
        <f aca="false">MIN(IF(DATOS_[[#This Row],[Fecha Fin Contrato]]="",$D$4,DATOS_[[#This Row],[Fecha Fin Contrato]]),$D$4)-MAX(DATOS_[[#This Row],[Fecha de Contratación]],$D$3)+1</f>
        <v>1</v>
      </c>
      <c r="CI79" s="141" t="str">
        <f aca="false">IF(COUNTIFS(DATOS_[id],DATOS_[[#This Row],[id]])&gt;1,DATOS_[[#This Row],[id]],"")</f>
        <v/>
      </c>
      <c r="CJ79" s="141" t="n">
        <f aca="false">(Inicio!$G$10-DATOS_[[#This Row],[Fecha Nacimiento]])/365.25</f>
        <v>0</v>
      </c>
      <c r="CK79" s="141" t="n">
        <f aca="false">(Inicio!$G$10-DATOS_[[#This Row],[Fecha de Antigüedad]])/365.25</f>
        <v>0</v>
      </c>
      <c r="CL79" s="141" t="e">
        <f aca="false">+VLOOKUP(DATOS_[[#This Row],[Clave de Contrato]],TblTiposContrato13[],3,0)</f>
        <v>#N/A</v>
      </c>
      <c r="CM79" s="141" t="e">
        <f aca="false">+VLOOKUP(DATOS_[[#This Row],[Clave de Contrato]],TblTiposContrato13[],4,0)</f>
        <v>#N/A</v>
      </c>
      <c r="CN79" s="141" t="str">
        <f aca="false">VLOOKUP(DATOS_[[#This Row],[Edad]],CONTRATOS!TblRngEdad,2,1)</f>
        <v>20  o menos</v>
      </c>
      <c r="CO79" s="141" t="str">
        <f aca="false">VLOOKUP(DATOS_[[#This Row],[Antigüedad]],TblRngAntg14[],2,1)</f>
        <v>0 a 1 años</v>
      </c>
    </row>
    <row r="80" customFormat="false" ht="13.8" hidden="false" customHeight="false" outlineLevel="0" collapsed="false">
      <c r="D80" s="128"/>
      <c r="E80" s="129"/>
      <c r="F80" s="129"/>
      <c r="G80" s="129"/>
      <c r="H80" s="130"/>
      <c r="I80" s="131"/>
      <c r="J80" s="128"/>
      <c r="K80" s="132"/>
      <c r="L80" s="132"/>
      <c r="M80" s="133"/>
      <c r="N80" s="133"/>
      <c r="O80" s="133"/>
      <c r="P80" s="129"/>
      <c r="Z80" s="75"/>
      <c r="AA80" s="76"/>
      <c r="AB80" s="76"/>
      <c r="AC80" s="129"/>
      <c r="AD80" s="134"/>
      <c r="AE80" s="134"/>
      <c r="AF80" s="134"/>
      <c r="AG80" s="134"/>
      <c r="AH80" s="134"/>
      <c r="AI80" s="134"/>
      <c r="AJ80" s="134"/>
      <c r="AK80" s="134"/>
      <c r="AL80" s="134"/>
      <c r="AM80" s="134"/>
      <c r="AN80" s="134"/>
      <c r="AO80" s="134"/>
      <c r="AP80" s="134"/>
      <c r="AQ80" s="134"/>
      <c r="AR80" s="134"/>
      <c r="AS80" s="134"/>
      <c r="AT80" s="134"/>
      <c r="AU80" s="134"/>
      <c r="AV80" s="134"/>
      <c r="AW80" s="134"/>
      <c r="AX80" s="134"/>
      <c r="AY80" s="134"/>
      <c r="AZ80" s="134"/>
      <c r="BA80" s="134"/>
      <c r="BB80" s="134"/>
      <c r="BC80" s="134"/>
      <c r="BD80" s="134"/>
      <c r="BE80" s="134"/>
      <c r="BF80" s="134"/>
      <c r="BG80" s="134"/>
      <c r="BH80" s="134"/>
      <c r="BI80" s="134"/>
      <c r="BJ80" s="134"/>
      <c r="BK80" s="134"/>
      <c r="BL80" s="134"/>
      <c r="BM80" s="135"/>
      <c r="BN80" s="136" t="n">
        <f aca="false">+MAX($D$3,DATOS_[[#This Row],[Fecha Inicio Sit. Contract.]])</f>
        <v>0</v>
      </c>
      <c r="BO80" s="136" t="n">
        <f aca="false">+MIN($D$4,DATOS_[[#This Row],[Fecha Fin Sit. Contract.]])</f>
        <v>0</v>
      </c>
      <c r="BP80" s="137" t="n">
        <f aca="false">+DATOS_[[#This Row],[% de jornada]]*IF(DATOS_[[#This Row],[% jornada reducida]]="",1,DATOS_[[#This Row],[% jornada reducida]])</f>
        <v>0</v>
      </c>
      <c r="BQ80" s="137" t="n">
        <f aca="false">+(DATOS_[[#This Row],[F.fin.cal]]-DATOS_[[#This Row],[F.ini.cal]]+1)/($D$4-$D$3+1)</f>
        <v>1</v>
      </c>
      <c r="BR80" s="137" t="str">
        <f aca="false">IF(OR(AND(DATOS_[[#This Row],[Fecha Fin Contrato]]&lt;$D$3,DATOS_[[#This Row],[Fecha Fin Contrato]]&lt;&gt;""),DATOS_[[#This Row],[Fecha de Contratación]]&gt;$D$4),"Fuera","Dentro")</f>
        <v>Dentro</v>
      </c>
      <c r="BS80" s="137" t="str">
        <f aca="false" t="array" ref="BS80:BS80">IF(MAX(IF(DATOS_[id]=DATOS_[[#This Row],[id]],DATOS_[F.fin.cal]))=DATOS_[[#This Row],[F.fin.cal]],"Sí","NO")</f>
        <v>Sí</v>
      </c>
      <c r="BT80" s="137" t="str">
        <f aca="false">IF(AND(DATOS_[[#This Row],[% normaliz]]&lt;&gt;1,DATOS_[[#This Row],[% anualiz]]=1),"Sí","NO")</f>
        <v>Sí</v>
      </c>
      <c r="BU80" s="137" t="str">
        <f aca="false">IF(AND(DATOS_[[#This Row],[% normaliz]]=1,DATOS_[[#This Row],[% anualiz]]&lt;&gt;1),"Sí","NO")</f>
        <v>NO</v>
      </c>
      <c r="BV80" s="137" t="str">
        <f aca="false">IF(AND(DATOS_[[#This Row],[% normaliz]]&lt;&gt;1,DATOS_[[#This Row],[% anualiz]]&lt;&gt;1),"Sí","NO")</f>
        <v>NO</v>
      </c>
      <c r="BW80" s="137" t="str">
        <f aca="false">+IF(DATOS_[[#This Row],[% normaliz]]*DATOS_[[#This Row],[% anualiz]]=1,"NO","Sí")</f>
        <v>Sí</v>
      </c>
      <c r="BX80" s="138" t="e">
        <f aca="false">(DATOS_[[#This Row],[S.BASE]]*(1/DATOS_[[#This Row],[% normaliz]])*(1/DATOS_[[#This Row],[% anualiz]]))*IF(DATOS_[[#This Row],[Check Equiparado]]="Sí",1,0)</f>
        <v>#DIV/0!</v>
      </c>
      <c r="BY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 s="138" t="e">
        <f aca="false">+DATOS_[[#This Row],[SALARIO BASE Eq]]+DATOS_[[#This Row],[Tot COMPL.SAL Eq]]</f>
        <v>#DIV/0!</v>
      </c>
      <c r="CA80" s="138" t="e">
        <f aca="false" t="array" ref="CA80: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 s="138" t="e">
        <f aca="false">+DATOS_[[#This Row],[TOTAL SALARIO Eq]]+DATOS_[[#This Row],[Tot Extrasalarial Eq]]</f>
        <v>#DIV/0!</v>
      </c>
      <c r="CC80" s="139" t="n">
        <f aca="false">DATOS_[[#This Row],[S.BASE]]</f>
        <v>0</v>
      </c>
      <c r="CD80" s="139" t="n">
        <f aca="false">+SUM(DATOS_[[#This Row],[Conc.Sal.01]:[Conc.Sal.30]])</f>
        <v>0</v>
      </c>
      <c r="CE80" s="139" t="n">
        <f aca="false">+DATOS_[[#This Row],[SALARIO BASE Ef]]+DATOS_[[#This Row],[Tot COMPL.SAL Ef]]</f>
        <v>0</v>
      </c>
      <c r="CF80" s="139" t="n">
        <f aca="false">+SUM(DATOS_[[#This Row],[C.Extra.01]:[C.Extra.05]])</f>
        <v>0</v>
      </c>
      <c r="CG80" s="139" t="n">
        <f aca="false">+DATOS_[[#This Row],[TOTAL SALARIO Ef]]+DATOS_[[#This Row],[Tot Extrasalarial Ef]]</f>
        <v>0</v>
      </c>
      <c r="CH80" s="140" t="n">
        <f aca="false">MIN(IF(DATOS_[[#This Row],[Fecha Fin Contrato]]="",$D$4,DATOS_[[#This Row],[Fecha Fin Contrato]]),$D$4)-MAX(DATOS_[[#This Row],[Fecha de Contratación]],$D$3)+1</f>
        <v>1</v>
      </c>
      <c r="CI80" s="141" t="str">
        <f aca="false">IF(COUNTIFS(DATOS_[id],DATOS_[[#This Row],[id]])&gt;1,DATOS_[[#This Row],[id]],"")</f>
        <v/>
      </c>
      <c r="CJ80" s="141" t="n">
        <f aca="false">(Inicio!$G$10-DATOS_[[#This Row],[Fecha Nacimiento]])/365.25</f>
        <v>0</v>
      </c>
      <c r="CK80" s="141" t="n">
        <f aca="false">(Inicio!$G$10-DATOS_[[#This Row],[Fecha de Antigüedad]])/365.25</f>
        <v>0</v>
      </c>
      <c r="CL80" s="141" t="e">
        <f aca="false">+VLOOKUP(DATOS_[[#This Row],[Clave de Contrato]],TblTiposContrato13[],3,0)</f>
        <v>#N/A</v>
      </c>
      <c r="CM80" s="141" t="e">
        <f aca="false">+VLOOKUP(DATOS_[[#This Row],[Clave de Contrato]],TblTiposContrato13[],4,0)</f>
        <v>#N/A</v>
      </c>
      <c r="CN80" s="141" t="str">
        <f aca="false">VLOOKUP(DATOS_[[#This Row],[Edad]],CONTRATOS!TblRngEdad,2,1)</f>
        <v>20  o menos</v>
      </c>
      <c r="CO80" s="141" t="str">
        <f aca="false">VLOOKUP(DATOS_[[#This Row],[Antigüedad]],TblRngAntg14[],2,1)</f>
        <v>0 a 1 años</v>
      </c>
    </row>
    <row r="81" customFormat="false" ht="13.8" hidden="false" customHeight="false" outlineLevel="0" collapsed="false">
      <c r="D81" s="128"/>
      <c r="E81" s="129"/>
      <c r="F81" s="129"/>
      <c r="G81" s="129"/>
      <c r="H81" s="130"/>
      <c r="I81" s="131"/>
      <c r="J81" s="128"/>
      <c r="K81" s="132"/>
      <c r="L81" s="132"/>
      <c r="M81" s="133"/>
      <c r="N81" s="133"/>
      <c r="O81" s="133"/>
      <c r="P81" s="129"/>
      <c r="Z81" s="75"/>
      <c r="AA81" s="76"/>
      <c r="AB81" s="76"/>
      <c r="AC81" s="129"/>
      <c r="AD81" s="134"/>
      <c r="AE81" s="134"/>
      <c r="AF81" s="134"/>
      <c r="AG81" s="134"/>
      <c r="AH81" s="134"/>
      <c r="AI81" s="134"/>
      <c r="AJ81" s="134"/>
      <c r="AK81" s="134"/>
      <c r="AL81" s="134"/>
      <c r="AM81" s="134"/>
      <c r="AN81" s="134"/>
      <c r="AO81" s="134"/>
      <c r="AP81" s="134"/>
      <c r="AQ81" s="134"/>
      <c r="AR81" s="134"/>
      <c r="AS81" s="134"/>
      <c r="AT81" s="134"/>
      <c r="AU81" s="134"/>
      <c r="AV81" s="134"/>
      <c r="AW81" s="134"/>
      <c r="AX81" s="134"/>
      <c r="AY81" s="134"/>
      <c r="AZ81" s="134"/>
      <c r="BA81" s="134"/>
      <c r="BB81" s="134"/>
      <c r="BC81" s="134"/>
      <c r="BD81" s="134"/>
      <c r="BE81" s="134"/>
      <c r="BF81" s="134"/>
      <c r="BG81" s="134"/>
      <c r="BH81" s="134"/>
      <c r="BI81" s="134"/>
      <c r="BJ81" s="134"/>
      <c r="BK81" s="134"/>
      <c r="BL81" s="134"/>
      <c r="BM81" s="135"/>
      <c r="BN81" s="136" t="n">
        <f aca="false">+MAX($D$3,DATOS_[[#This Row],[Fecha Inicio Sit. Contract.]])</f>
        <v>0</v>
      </c>
      <c r="BO81" s="136" t="n">
        <f aca="false">+MIN($D$4,DATOS_[[#This Row],[Fecha Fin Sit. Contract.]])</f>
        <v>0</v>
      </c>
      <c r="BP81" s="137" t="n">
        <f aca="false">+DATOS_[[#This Row],[% de jornada]]*IF(DATOS_[[#This Row],[% jornada reducida]]="",1,DATOS_[[#This Row],[% jornada reducida]])</f>
        <v>0</v>
      </c>
      <c r="BQ81" s="137" t="n">
        <f aca="false">+(DATOS_[[#This Row],[F.fin.cal]]-DATOS_[[#This Row],[F.ini.cal]]+1)/($D$4-$D$3+1)</f>
        <v>1</v>
      </c>
      <c r="BR81" s="137" t="str">
        <f aca="false">IF(OR(AND(DATOS_[[#This Row],[Fecha Fin Contrato]]&lt;$D$3,DATOS_[[#This Row],[Fecha Fin Contrato]]&lt;&gt;""),DATOS_[[#This Row],[Fecha de Contratación]]&gt;$D$4),"Fuera","Dentro")</f>
        <v>Dentro</v>
      </c>
      <c r="BS81" s="137" t="str">
        <f aca="false" t="array" ref="BS81:BS81">IF(MAX(IF(DATOS_[id]=DATOS_[[#This Row],[id]],DATOS_[F.fin.cal]))=DATOS_[[#This Row],[F.fin.cal]],"Sí","NO")</f>
        <v>Sí</v>
      </c>
      <c r="BT81" s="137" t="str">
        <f aca="false">IF(AND(DATOS_[[#This Row],[% normaliz]]&lt;&gt;1,DATOS_[[#This Row],[% anualiz]]=1),"Sí","NO")</f>
        <v>Sí</v>
      </c>
      <c r="BU81" s="137" t="str">
        <f aca="false">IF(AND(DATOS_[[#This Row],[% normaliz]]=1,DATOS_[[#This Row],[% anualiz]]&lt;&gt;1),"Sí","NO")</f>
        <v>NO</v>
      </c>
      <c r="BV81" s="137" t="str">
        <f aca="false">IF(AND(DATOS_[[#This Row],[% normaliz]]&lt;&gt;1,DATOS_[[#This Row],[% anualiz]]&lt;&gt;1),"Sí","NO")</f>
        <v>NO</v>
      </c>
      <c r="BW81" s="137" t="str">
        <f aca="false">+IF(DATOS_[[#This Row],[% normaliz]]*DATOS_[[#This Row],[% anualiz]]=1,"NO","Sí")</f>
        <v>Sí</v>
      </c>
      <c r="BX81" s="138" t="e">
        <f aca="false">(DATOS_[[#This Row],[S.BASE]]*(1/DATOS_[[#This Row],[% normaliz]])*(1/DATOS_[[#This Row],[% anualiz]]))*IF(DATOS_[[#This Row],[Check Equiparado]]="Sí",1,0)</f>
        <v>#DIV/0!</v>
      </c>
      <c r="BY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 s="138" t="e">
        <f aca="false">+DATOS_[[#This Row],[SALARIO BASE Eq]]+DATOS_[[#This Row],[Tot COMPL.SAL Eq]]</f>
        <v>#DIV/0!</v>
      </c>
      <c r="CA81" s="138" t="e">
        <f aca="false" t="array" ref="CA81: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 s="138" t="e">
        <f aca="false">+DATOS_[[#This Row],[TOTAL SALARIO Eq]]+DATOS_[[#This Row],[Tot Extrasalarial Eq]]</f>
        <v>#DIV/0!</v>
      </c>
      <c r="CC81" s="139" t="n">
        <f aca="false">DATOS_[[#This Row],[S.BASE]]</f>
        <v>0</v>
      </c>
      <c r="CD81" s="139" t="n">
        <f aca="false">+SUM(DATOS_[[#This Row],[Conc.Sal.01]:[Conc.Sal.30]])</f>
        <v>0</v>
      </c>
      <c r="CE81" s="139" t="n">
        <f aca="false">+DATOS_[[#This Row],[SALARIO BASE Ef]]+DATOS_[[#This Row],[Tot COMPL.SAL Ef]]</f>
        <v>0</v>
      </c>
      <c r="CF81" s="139" t="n">
        <f aca="false">+SUM(DATOS_[[#This Row],[C.Extra.01]:[C.Extra.05]])</f>
        <v>0</v>
      </c>
      <c r="CG81" s="139" t="n">
        <f aca="false">+DATOS_[[#This Row],[TOTAL SALARIO Ef]]+DATOS_[[#This Row],[Tot Extrasalarial Ef]]</f>
        <v>0</v>
      </c>
      <c r="CH81" s="140" t="n">
        <f aca="false">MIN(IF(DATOS_[[#This Row],[Fecha Fin Contrato]]="",$D$4,DATOS_[[#This Row],[Fecha Fin Contrato]]),$D$4)-MAX(DATOS_[[#This Row],[Fecha de Contratación]],$D$3)+1</f>
        <v>1</v>
      </c>
      <c r="CI81" s="141" t="str">
        <f aca="false">IF(COUNTIFS(DATOS_[id],DATOS_[[#This Row],[id]])&gt;1,DATOS_[[#This Row],[id]],"")</f>
        <v/>
      </c>
      <c r="CJ81" s="141" t="n">
        <f aca="false">(Inicio!$G$10-DATOS_[[#This Row],[Fecha Nacimiento]])/365.25</f>
        <v>0</v>
      </c>
      <c r="CK81" s="141" t="n">
        <f aca="false">(Inicio!$G$10-DATOS_[[#This Row],[Fecha de Antigüedad]])/365.25</f>
        <v>0</v>
      </c>
      <c r="CL81" s="141" t="e">
        <f aca="false">+VLOOKUP(DATOS_[[#This Row],[Clave de Contrato]],TblTiposContrato13[],3,0)</f>
        <v>#N/A</v>
      </c>
      <c r="CM81" s="141" t="e">
        <f aca="false">+VLOOKUP(DATOS_[[#This Row],[Clave de Contrato]],TblTiposContrato13[],4,0)</f>
        <v>#N/A</v>
      </c>
      <c r="CN81" s="141" t="str">
        <f aca="false">VLOOKUP(DATOS_[[#This Row],[Edad]],CONTRATOS!TblRngEdad,2,1)</f>
        <v>20  o menos</v>
      </c>
      <c r="CO81" s="141" t="str">
        <f aca="false">VLOOKUP(DATOS_[[#This Row],[Antigüedad]],TblRngAntg14[],2,1)</f>
        <v>0 a 1 años</v>
      </c>
    </row>
    <row r="82" customFormat="false" ht="13.8" hidden="false" customHeight="false" outlineLevel="0" collapsed="false">
      <c r="D82" s="128"/>
      <c r="E82" s="129"/>
      <c r="F82" s="129"/>
      <c r="G82" s="129"/>
      <c r="H82" s="130"/>
      <c r="I82" s="131"/>
      <c r="J82" s="128"/>
      <c r="K82" s="132"/>
      <c r="L82" s="132"/>
      <c r="M82" s="133"/>
      <c r="N82" s="133"/>
      <c r="O82" s="133"/>
      <c r="P82" s="129"/>
      <c r="Z82" s="75"/>
      <c r="AA82" s="76"/>
      <c r="AB82" s="76"/>
      <c r="AC82" s="129"/>
      <c r="AD82" s="134"/>
      <c r="AE82" s="134"/>
      <c r="AF82" s="134"/>
      <c r="AG82" s="134"/>
      <c r="AH82" s="134"/>
      <c r="AI82" s="134"/>
      <c r="AJ82" s="134"/>
      <c r="AK82" s="134"/>
      <c r="AL82" s="134"/>
      <c r="AM82" s="134"/>
      <c r="AN82" s="134"/>
      <c r="AO82" s="134"/>
      <c r="AP82" s="134"/>
      <c r="AQ82" s="134"/>
      <c r="AR82" s="134"/>
      <c r="AS82" s="134"/>
      <c r="AT82" s="134"/>
      <c r="AU82" s="134"/>
      <c r="AV82" s="134"/>
      <c r="AW82" s="134"/>
      <c r="AX82" s="134"/>
      <c r="AY82" s="134"/>
      <c r="AZ82" s="134"/>
      <c r="BA82" s="134"/>
      <c r="BB82" s="134"/>
      <c r="BC82" s="134"/>
      <c r="BD82" s="134"/>
      <c r="BE82" s="134"/>
      <c r="BF82" s="134"/>
      <c r="BG82" s="134"/>
      <c r="BH82" s="134"/>
      <c r="BI82" s="134"/>
      <c r="BJ82" s="134"/>
      <c r="BK82" s="134"/>
      <c r="BL82" s="134"/>
      <c r="BM82" s="135"/>
      <c r="BN82" s="136" t="n">
        <f aca="false">+MAX($D$3,DATOS_[[#This Row],[Fecha Inicio Sit. Contract.]])</f>
        <v>0</v>
      </c>
      <c r="BO82" s="136" t="n">
        <f aca="false">+MIN($D$4,DATOS_[[#This Row],[Fecha Fin Sit. Contract.]])</f>
        <v>0</v>
      </c>
      <c r="BP82" s="137" t="n">
        <f aca="false">+DATOS_[[#This Row],[% de jornada]]*IF(DATOS_[[#This Row],[% jornada reducida]]="",1,DATOS_[[#This Row],[% jornada reducida]])</f>
        <v>0</v>
      </c>
      <c r="BQ82" s="137" t="n">
        <f aca="false">+(DATOS_[[#This Row],[F.fin.cal]]-DATOS_[[#This Row],[F.ini.cal]]+1)/($D$4-$D$3+1)</f>
        <v>1</v>
      </c>
      <c r="BR82" s="137" t="str">
        <f aca="false">IF(OR(AND(DATOS_[[#This Row],[Fecha Fin Contrato]]&lt;$D$3,DATOS_[[#This Row],[Fecha Fin Contrato]]&lt;&gt;""),DATOS_[[#This Row],[Fecha de Contratación]]&gt;$D$4),"Fuera","Dentro")</f>
        <v>Dentro</v>
      </c>
      <c r="BS82" s="137" t="str">
        <f aca="false" t="array" ref="BS82:BS82">IF(MAX(IF(DATOS_[id]=DATOS_[[#This Row],[id]],DATOS_[F.fin.cal]))=DATOS_[[#This Row],[F.fin.cal]],"Sí","NO")</f>
        <v>Sí</v>
      </c>
      <c r="BT82" s="137" t="str">
        <f aca="false">IF(AND(DATOS_[[#This Row],[% normaliz]]&lt;&gt;1,DATOS_[[#This Row],[% anualiz]]=1),"Sí","NO")</f>
        <v>Sí</v>
      </c>
      <c r="BU82" s="137" t="str">
        <f aca="false">IF(AND(DATOS_[[#This Row],[% normaliz]]=1,DATOS_[[#This Row],[% anualiz]]&lt;&gt;1),"Sí","NO")</f>
        <v>NO</v>
      </c>
      <c r="BV82" s="137" t="str">
        <f aca="false">IF(AND(DATOS_[[#This Row],[% normaliz]]&lt;&gt;1,DATOS_[[#This Row],[% anualiz]]&lt;&gt;1),"Sí","NO")</f>
        <v>NO</v>
      </c>
      <c r="BW82" s="137" t="str">
        <f aca="false">+IF(DATOS_[[#This Row],[% normaliz]]*DATOS_[[#This Row],[% anualiz]]=1,"NO","Sí")</f>
        <v>Sí</v>
      </c>
      <c r="BX82" s="138" t="e">
        <f aca="false">(DATOS_[[#This Row],[S.BASE]]*(1/DATOS_[[#This Row],[% normaliz]])*(1/DATOS_[[#This Row],[% anualiz]]))*IF(DATOS_[[#This Row],[Check Equiparado]]="Sí",1,0)</f>
        <v>#DIV/0!</v>
      </c>
      <c r="BY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 s="138" t="e">
        <f aca="false">+DATOS_[[#This Row],[SALARIO BASE Eq]]+DATOS_[[#This Row],[Tot COMPL.SAL Eq]]</f>
        <v>#DIV/0!</v>
      </c>
      <c r="CA82" s="138" t="e">
        <f aca="false" t="array" ref="CA82: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 s="138" t="e">
        <f aca="false">+DATOS_[[#This Row],[TOTAL SALARIO Eq]]+DATOS_[[#This Row],[Tot Extrasalarial Eq]]</f>
        <v>#DIV/0!</v>
      </c>
      <c r="CC82" s="139" t="n">
        <f aca="false">DATOS_[[#This Row],[S.BASE]]</f>
        <v>0</v>
      </c>
      <c r="CD82" s="139" t="n">
        <f aca="false">+SUM(DATOS_[[#This Row],[Conc.Sal.01]:[Conc.Sal.30]])</f>
        <v>0</v>
      </c>
      <c r="CE82" s="139" t="n">
        <f aca="false">+DATOS_[[#This Row],[SALARIO BASE Ef]]+DATOS_[[#This Row],[Tot COMPL.SAL Ef]]</f>
        <v>0</v>
      </c>
      <c r="CF82" s="139" t="n">
        <f aca="false">+SUM(DATOS_[[#This Row],[C.Extra.01]:[C.Extra.05]])</f>
        <v>0</v>
      </c>
      <c r="CG82" s="139" t="n">
        <f aca="false">+DATOS_[[#This Row],[TOTAL SALARIO Ef]]+DATOS_[[#This Row],[Tot Extrasalarial Ef]]</f>
        <v>0</v>
      </c>
      <c r="CH82" s="140" t="n">
        <f aca="false">MIN(IF(DATOS_[[#This Row],[Fecha Fin Contrato]]="",$D$4,DATOS_[[#This Row],[Fecha Fin Contrato]]),$D$4)-MAX(DATOS_[[#This Row],[Fecha de Contratación]],$D$3)+1</f>
        <v>1</v>
      </c>
      <c r="CI82" s="141" t="str">
        <f aca="false">IF(COUNTIFS(DATOS_[id],DATOS_[[#This Row],[id]])&gt;1,DATOS_[[#This Row],[id]],"")</f>
        <v/>
      </c>
      <c r="CJ82" s="141" t="n">
        <f aca="false">(Inicio!$G$10-DATOS_[[#This Row],[Fecha Nacimiento]])/365.25</f>
        <v>0</v>
      </c>
      <c r="CK82" s="141" t="n">
        <f aca="false">(Inicio!$G$10-DATOS_[[#This Row],[Fecha de Antigüedad]])/365.25</f>
        <v>0</v>
      </c>
      <c r="CL82" s="141" t="e">
        <f aca="false">+VLOOKUP(DATOS_[[#This Row],[Clave de Contrato]],TblTiposContrato13[],3,0)</f>
        <v>#N/A</v>
      </c>
      <c r="CM82" s="141" t="e">
        <f aca="false">+VLOOKUP(DATOS_[[#This Row],[Clave de Contrato]],TblTiposContrato13[],4,0)</f>
        <v>#N/A</v>
      </c>
      <c r="CN82" s="141" t="str">
        <f aca="false">VLOOKUP(DATOS_[[#This Row],[Edad]],CONTRATOS!TblRngEdad,2,1)</f>
        <v>20  o menos</v>
      </c>
      <c r="CO82" s="141" t="str">
        <f aca="false">VLOOKUP(DATOS_[[#This Row],[Antigüedad]],TblRngAntg14[],2,1)</f>
        <v>0 a 1 años</v>
      </c>
    </row>
    <row r="83" customFormat="false" ht="13.8" hidden="false" customHeight="false" outlineLevel="0" collapsed="false">
      <c r="D83" s="128"/>
      <c r="E83" s="129"/>
      <c r="F83" s="129"/>
      <c r="G83" s="129"/>
      <c r="H83" s="130"/>
      <c r="I83" s="131"/>
      <c r="J83" s="128"/>
      <c r="K83" s="132"/>
      <c r="L83" s="132"/>
      <c r="M83" s="133"/>
      <c r="N83" s="133"/>
      <c r="O83" s="133"/>
      <c r="P83" s="129"/>
      <c r="Z83" s="75"/>
      <c r="AA83" s="76"/>
      <c r="AB83" s="76"/>
      <c r="AC83" s="129"/>
      <c r="AD83" s="134"/>
      <c r="AE83" s="134"/>
      <c r="AF83" s="134"/>
      <c r="AG83" s="134"/>
      <c r="AH83" s="134"/>
      <c r="AI83" s="134"/>
      <c r="AJ83" s="134"/>
      <c r="AK83" s="134"/>
      <c r="AL83" s="134"/>
      <c r="AM83" s="134"/>
      <c r="AN83" s="134"/>
      <c r="AO83" s="134"/>
      <c r="AP83" s="134"/>
      <c r="AQ83" s="134"/>
      <c r="AR83" s="134"/>
      <c r="AS83" s="134"/>
      <c r="AT83" s="134"/>
      <c r="AU83" s="134"/>
      <c r="AV83" s="134"/>
      <c r="AW83" s="134"/>
      <c r="AX83" s="134"/>
      <c r="AY83" s="134"/>
      <c r="AZ83" s="134"/>
      <c r="BA83" s="134"/>
      <c r="BB83" s="134"/>
      <c r="BC83" s="134"/>
      <c r="BD83" s="134"/>
      <c r="BE83" s="134"/>
      <c r="BF83" s="134"/>
      <c r="BG83" s="134"/>
      <c r="BH83" s="134"/>
      <c r="BI83" s="134"/>
      <c r="BJ83" s="134"/>
      <c r="BK83" s="134"/>
      <c r="BL83" s="134"/>
      <c r="BM83" s="135"/>
      <c r="BN83" s="136" t="n">
        <f aca="false">+MAX($D$3,DATOS_[[#This Row],[Fecha Inicio Sit. Contract.]])</f>
        <v>0</v>
      </c>
      <c r="BO83" s="136" t="n">
        <f aca="false">+MIN($D$4,DATOS_[[#This Row],[Fecha Fin Sit. Contract.]])</f>
        <v>0</v>
      </c>
      <c r="BP83" s="137" t="n">
        <f aca="false">+DATOS_[[#This Row],[% de jornada]]*IF(DATOS_[[#This Row],[% jornada reducida]]="",1,DATOS_[[#This Row],[% jornada reducida]])</f>
        <v>0</v>
      </c>
      <c r="BQ83" s="137" t="n">
        <f aca="false">+(DATOS_[[#This Row],[F.fin.cal]]-DATOS_[[#This Row],[F.ini.cal]]+1)/($D$4-$D$3+1)</f>
        <v>1</v>
      </c>
      <c r="BR83" s="137" t="str">
        <f aca="false">IF(OR(AND(DATOS_[[#This Row],[Fecha Fin Contrato]]&lt;$D$3,DATOS_[[#This Row],[Fecha Fin Contrato]]&lt;&gt;""),DATOS_[[#This Row],[Fecha de Contratación]]&gt;$D$4),"Fuera","Dentro")</f>
        <v>Dentro</v>
      </c>
      <c r="BS83" s="137" t="str">
        <f aca="false" t="array" ref="BS83:BS83">IF(MAX(IF(DATOS_[id]=DATOS_[[#This Row],[id]],DATOS_[F.fin.cal]))=DATOS_[[#This Row],[F.fin.cal]],"Sí","NO")</f>
        <v>Sí</v>
      </c>
      <c r="BT83" s="137" t="str">
        <f aca="false">IF(AND(DATOS_[[#This Row],[% normaliz]]&lt;&gt;1,DATOS_[[#This Row],[% anualiz]]=1),"Sí","NO")</f>
        <v>Sí</v>
      </c>
      <c r="BU83" s="137" t="str">
        <f aca="false">IF(AND(DATOS_[[#This Row],[% normaliz]]=1,DATOS_[[#This Row],[% anualiz]]&lt;&gt;1),"Sí","NO")</f>
        <v>NO</v>
      </c>
      <c r="BV83" s="137" t="str">
        <f aca="false">IF(AND(DATOS_[[#This Row],[% normaliz]]&lt;&gt;1,DATOS_[[#This Row],[% anualiz]]&lt;&gt;1),"Sí","NO")</f>
        <v>NO</v>
      </c>
      <c r="BW83" s="137" t="str">
        <f aca="false">+IF(DATOS_[[#This Row],[% normaliz]]*DATOS_[[#This Row],[% anualiz]]=1,"NO","Sí")</f>
        <v>Sí</v>
      </c>
      <c r="BX83" s="138" t="e">
        <f aca="false">(DATOS_[[#This Row],[S.BASE]]*(1/DATOS_[[#This Row],[% normaliz]])*(1/DATOS_[[#This Row],[% anualiz]]))*IF(DATOS_[[#This Row],[Check Equiparado]]="Sí",1,0)</f>
        <v>#DIV/0!</v>
      </c>
      <c r="BY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 s="138" t="e">
        <f aca="false">+DATOS_[[#This Row],[SALARIO BASE Eq]]+DATOS_[[#This Row],[Tot COMPL.SAL Eq]]</f>
        <v>#DIV/0!</v>
      </c>
      <c r="CA83" s="138" t="e">
        <f aca="false" t="array" ref="CA83: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 s="138" t="e">
        <f aca="false">+DATOS_[[#This Row],[TOTAL SALARIO Eq]]+DATOS_[[#This Row],[Tot Extrasalarial Eq]]</f>
        <v>#DIV/0!</v>
      </c>
      <c r="CC83" s="139" t="n">
        <f aca="false">DATOS_[[#This Row],[S.BASE]]</f>
        <v>0</v>
      </c>
      <c r="CD83" s="139" t="n">
        <f aca="false">+SUM(DATOS_[[#This Row],[Conc.Sal.01]:[Conc.Sal.30]])</f>
        <v>0</v>
      </c>
      <c r="CE83" s="139" t="n">
        <f aca="false">+DATOS_[[#This Row],[SALARIO BASE Ef]]+DATOS_[[#This Row],[Tot COMPL.SAL Ef]]</f>
        <v>0</v>
      </c>
      <c r="CF83" s="139" t="n">
        <f aca="false">+SUM(DATOS_[[#This Row],[C.Extra.01]:[C.Extra.05]])</f>
        <v>0</v>
      </c>
      <c r="CG83" s="139" t="n">
        <f aca="false">+DATOS_[[#This Row],[TOTAL SALARIO Ef]]+DATOS_[[#This Row],[Tot Extrasalarial Ef]]</f>
        <v>0</v>
      </c>
      <c r="CH83" s="140" t="n">
        <f aca="false">MIN(IF(DATOS_[[#This Row],[Fecha Fin Contrato]]="",$D$4,DATOS_[[#This Row],[Fecha Fin Contrato]]),$D$4)-MAX(DATOS_[[#This Row],[Fecha de Contratación]],$D$3)+1</f>
        <v>1</v>
      </c>
      <c r="CI83" s="141" t="str">
        <f aca="false">IF(COUNTIFS(DATOS_[id],DATOS_[[#This Row],[id]])&gt;1,DATOS_[[#This Row],[id]],"")</f>
        <v/>
      </c>
      <c r="CJ83" s="141" t="n">
        <f aca="false">(Inicio!$G$10-DATOS_[[#This Row],[Fecha Nacimiento]])/365.25</f>
        <v>0</v>
      </c>
      <c r="CK83" s="141" t="n">
        <f aca="false">(Inicio!$G$10-DATOS_[[#This Row],[Fecha de Antigüedad]])/365.25</f>
        <v>0</v>
      </c>
      <c r="CL83" s="141" t="e">
        <f aca="false">+VLOOKUP(DATOS_[[#This Row],[Clave de Contrato]],TblTiposContrato13[],3,0)</f>
        <v>#N/A</v>
      </c>
      <c r="CM83" s="141" t="e">
        <f aca="false">+VLOOKUP(DATOS_[[#This Row],[Clave de Contrato]],TblTiposContrato13[],4,0)</f>
        <v>#N/A</v>
      </c>
      <c r="CN83" s="141" t="str">
        <f aca="false">VLOOKUP(DATOS_[[#This Row],[Edad]],CONTRATOS!TblRngEdad,2,1)</f>
        <v>20  o menos</v>
      </c>
      <c r="CO83" s="141" t="str">
        <f aca="false">VLOOKUP(DATOS_[[#This Row],[Antigüedad]],TblRngAntg14[],2,1)</f>
        <v>0 a 1 años</v>
      </c>
    </row>
    <row r="84" customFormat="false" ht="13.8" hidden="false" customHeight="false" outlineLevel="0" collapsed="false">
      <c r="D84" s="128"/>
      <c r="E84" s="129"/>
      <c r="F84" s="129"/>
      <c r="G84" s="129"/>
      <c r="H84" s="130"/>
      <c r="I84" s="131"/>
      <c r="J84" s="128"/>
      <c r="K84" s="132"/>
      <c r="L84" s="132"/>
      <c r="M84" s="133"/>
      <c r="N84" s="133"/>
      <c r="O84" s="133"/>
      <c r="P84" s="129"/>
      <c r="Z84" s="75"/>
      <c r="AA84" s="76"/>
      <c r="AB84" s="76"/>
      <c r="AC84" s="129"/>
      <c r="AD84" s="134"/>
      <c r="AE84" s="134"/>
      <c r="AF84" s="134"/>
      <c r="AG84" s="134"/>
      <c r="AH84" s="134"/>
      <c r="AI84" s="134"/>
      <c r="AJ84" s="134"/>
      <c r="AK84" s="134"/>
      <c r="AL84" s="134"/>
      <c r="AM84" s="134"/>
      <c r="AN84" s="134"/>
      <c r="AO84" s="134"/>
      <c r="AP84" s="134"/>
      <c r="AQ84" s="134"/>
      <c r="AR84" s="134"/>
      <c r="AS84" s="134"/>
      <c r="AT84" s="134"/>
      <c r="AU84" s="134"/>
      <c r="AV84" s="134"/>
      <c r="AW84" s="134"/>
      <c r="AX84" s="134"/>
      <c r="AY84" s="134"/>
      <c r="AZ84" s="134"/>
      <c r="BA84" s="134"/>
      <c r="BB84" s="134"/>
      <c r="BC84" s="134"/>
      <c r="BD84" s="134"/>
      <c r="BE84" s="134"/>
      <c r="BF84" s="134"/>
      <c r="BG84" s="134"/>
      <c r="BH84" s="134"/>
      <c r="BI84" s="134"/>
      <c r="BJ84" s="134"/>
      <c r="BK84" s="134"/>
      <c r="BL84" s="134"/>
      <c r="BM84" s="135"/>
      <c r="BN84" s="136" t="n">
        <f aca="false">+MAX($D$3,DATOS_[[#This Row],[Fecha Inicio Sit. Contract.]])</f>
        <v>0</v>
      </c>
      <c r="BO84" s="136" t="n">
        <f aca="false">+MIN($D$4,DATOS_[[#This Row],[Fecha Fin Sit. Contract.]])</f>
        <v>0</v>
      </c>
      <c r="BP84" s="137" t="n">
        <f aca="false">+DATOS_[[#This Row],[% de jornada]]*IF(DATOS_[[#This Row],[% jornada reducida]]="",1,DATOS_[[#This Row],[% jornada reducida]])</f>
        <v>0</v>
      </c>
      <c r="BQ84" s="137" t="n">
        <f aca="false">+(DATOS_[[#This Row],[F.fin.cal]]-DATOS_[[#This Row],[F.ini.cal]]+1)/($D$4-$D$3+1)</f>
        <v>1</v>
      </c>
      <c r="BR84" s="137" t="str">
        <f aca="false">IF(OR(AND(DATOS_[[#This Row],[Fecha Fin Contrato]]&lt;$D$3,DATOS_[[#This Row],[Fecha Fin Contrato]]&lt;&gt;""),DATOS_[[#This Row],[Fecha de Contratación]]&gt;$D$4),"Fuera","Dentro")</f>
        <v>Dentro</v>
      </c>
      <c r="BS84" s="137" t="str">
        <f aca="false" t="array" ref="BS84:BS84">IF(MAX(IF(DATOS_[id]=DATOS_[[#This Row],[id]],DATOS_[F.fin.cal]))=DATOS_[[#This Row],[F.fin.cal]],"Sí","NO")</f>
        <v>Sí</v>
      </c>
      <c r="BT84" s="137" t="str">
        <f aca="false">IF(AND(DATOS_[[#This Row],[% normaliz]]&lt;&gt;1,DATOS_[[#This Row],[% anualiz]]=1),"Sí","NO")</f>
        <v>Sí</v>
      </c>
      <c r="BU84" s="137" t="str">
        <f aca="false">IF(AND(DATOS_[[#This Row],[% normaliz]]=1,DATOS_[[#This Row],[% anualiz]]&lt;&gt;1),"Sí","NO")</f>
        <v>NO</v>
      </c>
      <c r="BV84" s="137" t="str">
        <f aca="false">IF(AND(DATOS_[[#This Row],[% normaliz]]&lt;&gt;1,DATOS_[[#This Row],[% anualiz]]&lt;&gt;1),"Sí","NO")</f>
        <v>NO</v>
      </c>
      <c r="BW84" s="137" t="str">
        <f aca="false">+IF(DATOS_[[#This Row],[% normaliz]]*DATOS_[[#This Row],[% anualiz]]=1,"NO","Sí")</f>
        <v>Sí</v>
      </c>
      <c r="BX84" s="138" t="e">
        <f aca="false">(DATOS_[[#This Row],[S.BASE]]*(1/DATOS_[[#This Row],[% normaliz]])*(1/DATOS_[[#This Row],[% anualiz]]))*IF(DATOS_[[#This Row],[Check Equiparado]]="Sí",1,0)</f>
        <v>#DIV/0!</v>
      </c>
      <c r="BY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 s="138" t="e">
        <f aca="false">+DATOS_[[#This Row],[SALARIO BASE Eq]]+DATOS_[[#This Row],[Tot COMPL.SAL Eq]]</f>
        <v>#DIV/0!</v>
      </c>
      <c r="CA84" s="138" t="e">
        <f aca="false" t="array" ref="CA84: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 s="138" t="e">
        <f aca="false">+DATOS_[[#This Row],[TOTAL SALARIO Eq]]+DATOS_[[#This Row],[Tot Extrasalarial Eq]]</f>
        <v>#DIV/0!</v>
      </c>
      <c r="CC84" s="139" t="n">
        <f aca="false">DATOS_[[#This Row],[S.BASE]]</f>
        <v>0</v>
      </c>
      <c r="CD84" s="139" t="n">
        <f aca="false">+SUM(DATOS_[[#This Row],[Conc.Sal.01]:[Conc.Sal.30]])</f>
        <v>0</v>
      </c>
      <c r="CE84" s="139" t="n">
        <f aca="false">+DATOS_[[#This Row],[SALARIO BASE Ef]]+DATOS_[[#This Row],[Tot COMPL.SAL Ef]]</f>
        <v>0</v>
      </c>
      <c r="CF84" s="139" t="n">
        <f aca="false">+SUM(DATOS_[[#This Row],[C.Extra.01]:[C.Extra.05]])</f>
        <v>0</v>
      </c>
      <c r="CG84" s="139" t="n">
        <f aca="false">+DATOS_[[#This Row],[TOTAL SALARIO Ef]]+DATOS_[[#This Row],[Tot Extrasalarial Ef]]</f>
        <v>0</v>
      </c>
      <c r="CH84" s="140" t="n">
        <f aca="false">MIN(IF(DATOS_[[#This Row],[Fecha Fin Contrato]]="",$D$4,DATOS_[[#This Row],[Fecha Fin Contrato]]),$D$4)-MAX(DATOS_[[#This Row],[Fecha de Contratación]],$D$3)+1</f>
        <v>1</v>
      </c>
      <c r="CI84" s="141" t="str">
        <f aca="false">IF(COUNTIFS(DATOS_[id],DATOS_[[#This Row],[id]])&gt;1,DATOS_[[#This Row],[id]],"")</f>
        <v/>
      </c>
      <c r="CJ84" s="141" t="n">
        <f aca="false">(Inicio!$G$10-DATOS_[[#This Row],[Fecha Nacimiento]])/365.25</f>
        <v>0</v>
      </c>
      <c r="CK84" s="141" t="n">
        <f aca="false">(Inicio!$G$10-DATOS_[[#This Row],[Fecha de Antigüedad]])/365.25</f>
        <v>0</v>
      </c>
      <c r="CL84" s="141" t="e">
        <f aca="false">+VLOOKUP(DATOS_[[#This Row],[Clave de Contrato]],TblTiposContrato13[],3,0)</f>
        <v>#N/A</v>
      </c>
      <c r="CM84" s="141" t="e">
        <f aca="false">+VLOOKUP(DATOS_[[#This Row],[Clave de Contrato]],TblTiposContrato13[],4,0)</f>
        <v>#N/A</v>
      </c>
      <c r="CN84" s="141" t="str">
        <f aca="false">VLOOKUP(DATOS_[[#This Row],[Edad]],CONTRATOS!TblRngEdad,2,1)</f>
        <v>20  o menos</v>
      </c>
      <c r="CO84" s="141" t="str">
        <f aca="false">VLOOKUP(DATOS_[[#This Row],[Antigüedad]],TblRngAntg14[],2,1)</f>
        <v>0 a 1 años</v>
      </c>
    </row>
    <row r="85" customFormat="false" ht="13.8" hidden="false" customHeight="false" outlineLevel="0" collapsed="false">
      <c r="D85" s="128"/>
      <c r="E85" s="129"/>
      <c r="F85" s="129"/>
      <c r="G85" s="129"/>
      <c r="H85" s="130"/>
      <c r="I85" s="131"/>
      <c r="J85" s="128"/>
      <c r="K85" s="132"/>
      <c r="L85" s="132"/>
      <c r="M85" s="133"/>
      <c r="N85" s="133"/>
      <c r="O85" s="133"/>
      <c r="P85" s="129"/>
      <c r="Z85" s="75"/>
      <c r="AA85" s="76"/>
      <c r="AB85" s="76"/>
      <c r="AC85" s="129"/>
      <c r="AD85" s="134"/>
      <c r="AE85" s="134"/>
      <c r="AF85" s="134"/>
      <c r="AG85" s="134"/>
      <c r="AH85" s="134"/>
      <c r="AI85" s="134"/>
      <c r="AJ85" s="134"/>
      <c r="AK85" s="134"/>
      <c r="AL85" s="134"/>
      <c r="AM85" s="134"/>
      <c r="AN85" s="134"/>
      <c r="AO85" s="134"/>
      <c r="AP85" s="134"/>
      <c r="AQ85" s="134"/>
      <c r="AR85" s="134"/>
      <c r="AS85" s="134"/>
      <c r="AT85" s="134"/>
      <c r="AU85" s="134"/>
      <c r="AV85" s="134"/>
      <c r="AW85" s="134"/>
      <c r="AX85" s="134"/>
      <c r="AY85" s="134"/>
      <c r="AZ85" s="134"/>
      <c r="BA85" s="134"/>
      <c r="BB85" s="134"/>
      <c r="BC85" s="134"/>
      <c r="BD85" s="134"/>
      <c r="BE85" s="134"/>
      <c r="BF85" s="134"/>
      <c r="BG85" s="134"/>
      <c r="BH85" s="134"/>
      <c r="BI85" s="134"/>
      <c r="BJ85" s="134"/>
      <c r="BK85" s="134"/>
      <c r="BL85" s="134"/>
      <c r="BM85" s="135"/>
      <c r="BN85" s="136" t="n">
        <f aca="false">+MAX($D$3,DATOS_[[#This Row],[Fecha Inicio Sit. Contract.]])</f>
        <v>0</v>
      </c>
      <c r="BO85" s="136" t="n">
        <f aca="false">+MIN($D$4,DATOS_[[#This Row],[Fecha Fin Sit. Contract.]])</f>
        <v>0</v>
      </c>
      <c r="BP85" s="137" t="n">
        <f aca="false">+DATOS_[[#This Row],[% de jornada]]*IF(DATOS_[[#This Row],[% jornada reducida]]="",1,DATOS_[[#This Row],[% jornada reducida]])</f>
        <v>0</v>
      </c>
      <c r="BQ85" s="137" t="n">
        <f aca="false">+(DATOS_[[#This Row],[F.fin.cal]]-DATOS_[[#This Row],[F.ini.cal]]+1)/($D$4-$D$3+1)</f>
        <v>1</v>
      </c>
      <c r="BR85" s="137" t="str">
        <f aca="false">IF(OR(AND(DATOS_[[#This Row],[Fecha Fin Contrato]]&lt;$D$3,DATOS_[[#This Row],[Fecha Fin Contrato]]&lt;&gt;""),DATOS_[[#This Row],[Fecha de Contratación]]&gt;$D$4),"Fuera","Dentro")</f>
        <v>Dentro</v>
      </c>
      <c r="BS85" s="137" t="str">
        <f aca="false" t="array" ref="BS85:BS85">IF(MAX(IF(DATOS_[id]=DATOS_[[#This Row],[id]],DATOS_[F.fin.cal]))=DATOS_[[#This Row],[F.fin.cal]],"Sí","NO")</f>
        <v>Sí</v>
      </c>
      <c r="BT85" s="137" t="str">
        <f aca="false">IF(AND(DATOS_[[#This Row],[% normaliz]]&lt;&gt;1,DATOS_[[#This Row],[% anualiz]]=1),"Sí","NO")</f>
        <v>Sí</v>
      </c>
      <c r="BU85" s="137" t="str">
        <f aca="false">IF(AND(DATOS_[[#This Row],[% normaliz]]=1,DATOS_[[#This Row],[% anualiz]]&lt;&gt;1),"Sí","NO")</f>
        <v>NO</v>
      </c>
      <c r="BV85" s="137" t="str">
        <f aca="false">IF(AND(DATOS_[[#This Row],[% normaliz]]&lt;&gt;1,DATOS_[[#This Row],[% anualiz]]&lt;&gt;1),"Sí","NO")</f>
        <v>NO</v>
      </c>
      <c r="BW85" s="137" t="str">
        <f aca="false">+IF(DATOS_[[#This Row],[% normaliz]]*DATOS_[[#This Row],[% anualiz]]=1,"NO","Sí")</f>
        <v>Sí</v>
      </c>
      <c r="BX85" s="138" t="e">
        <f aca="false">(DATOS_[[#This Row],[S.BASE]]*(1/DATOS_[[#This Row],[% normaliz]])*(1/DATOS_[[#This Row],[% anualiz]]))*IF(DATOS_[[#This Row],[Check Equiparado]]="Sí",1,0)</f>
        <v>#DIV/0!</v>
      </c>
      <c r="BY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 s="138" t="e">
        <f aca="false">+DATOS_[[#This Row],[SALARIO BASE Eq]]+DATOS_[[#This Row],[Tot COMPL.SAL Eq]]</f>
        <v>#DIV/0!</v>
      </c>
      <c r="CA85" s="138" t="e">
        <f aca="false" t="array" ref="CA85: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 s="138" t="e">
        <f aca="false">+DATOS_[[#This Row],[TOTAL SALARIO Eq]]+DATOS_[[#This Row],[Tot Extrasalarial Eq]]</f>
        <v>#DIV/0!</v>
      </c>
      <c r="CC85" s="139" t="n">
        <f aca="false">DATOS_[[#This Row],[S.BASE]]</f>
        <v>0</v>
      </c>
      <c r="CD85" s="139" t="n">
        <f aca="false">+SUM(DATOS_[[#This Row],[Conc.Sal.01]:[Conc.Sal.30]])</f>
        <v>0</v>
      </c>
      <c r="CE85" s="139" t="n">
        <f aca="false">+DATOS_[[#This Row],[SALARIO BASE Ef]]+DATOS_[[#This Row],[Tot COMPL.SAL Ef]]</f>
        <v>0</v>
      </c>
      <c r="CF85" s="139" t="n">
        <f aca="false">+SUM(DATOS_[[#This Row],[C.Extra.01]:[C.Extra.05]])</f>
        <v>0</v>
      </c>
      <c r="CG85" s="139" t="n">
        <f aca="false">+DATOS_[[#This Row],[TOTAL SALARIO Ef]]+DATOS_[[#This Row],[Tot Extrasalarial Ef]]</f>
        <v>0</v>
      </c>
      <c r="CH85" s="140" t="n">
        <f aca="false">MIN(IF(DATOS_[[#This Row],[Fecha Fin Contrato]]="",$D$4,DATOS_[[#This Row],[Fecha Fin Contrato]]),$D$4)-MAX(DATOS_[[#This Row],[Fecha de Contratación]],$D$3)+1</f>
        <v>1</v>
      </c>
      <c r="CI85" s="141" t="str">
        <f aca="false">IF(COUNTIFS(DATOS_[id],DATOS_[[#This Row],[id]])&gt;1,DATOS_[[#This Row],[id]],"")</f>
        <v/>
      </c>
      <c r="CJ85" s="141" t="n">
        <f aca="false">(Inicio!$G$10-DATOS_[[#This Row],[Fecha Nacimiento]])/365.25</f>
        <v>0</v>
      </c>
      <c r="CK85" s="141" t="n">
        <f aca="false">(Inicio!$G$10-DATOS_[[#This Row],[Fecha de Antigüedad]])/365.25</f>
        <v>0</v>
      </c>
      <c r="CL85" s="141" t="e">
        <f aca="false">+VLOOKUP(DATOS_[[#This Row],[Clave de Contrato]],TblTiposContrato13[],3,0)</f>
        <v>#N/A</v>
      </c>
      <c r="CM85" s="141" t="e">
        <f aca="false">+VLOOKUP(DATOS_[[#This Row],[Clave de Contrato]],TblTiposContrato13[],4,0)</f>
        <v>#N/A</v>
      </c>
      <c r="CN85" s="141" t="str">
        <f aca="false">VLOOKUP(DATOS_[[#This Row],[Edad]],CONTRATOS!TblRngEdad,2,1)</f>
        <v>20  o menos</v>
      </c>
      <c r="CO85" s="141" t="str">
        <f aca="false">VLOOKUP(DATOS_[[#This Row],[Antigüedad]],TblRngAntg14[],2,1)</f>
        <v>0 a 1 años</v>
      </c>
    </row>
    <row r="86" customFormat="false" ht="13.8" hidden="false" customHeight="false" outlineLevel="0" collapsed="false">
      <c r="D86" s="128"/>
      <c r="E86" s="129"/>
      <c r="F86" s="129"/>
      <c r="G86" s="129"/>
      <c r="H86" s="130"/>
      <c r="I86" s="131"/>
      <c r="J86" s="128"/>
      <c r="K86" s="132"/>
      <c r="L86" s="132"/>
      <c r="M86" s="133"/>
      <c r="N86" s="133"/>
      <c r="O86" s="133"/>
      <c r="P86" s="129"/>
      <c r="Z86" s="75"/>
      <c r="AA86" s="76"/>
      <c r="AB86" s="76"/>
      <c r="AC86" s="129"/>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5"/>
      <c r="BN86" s="136" t="n">
        <f aca="false">+MAX($D$3,DATOS_[[#This Row],[Fecha Inicio Sit. Contract.]])</f>
        <v>0</v>
      </c>
      <c r="BO86" s="136" t="n">
        <f aca="false">+MIN($D$4,DATOS_[[#This Row],[Fecha Fin Sit. Contract.]])</f>
        <v>0</v>
      </c>
      <c r="BP86" s="137" t="n">
        <f aca="false">+DATOS_[[#This Row],[% de jornada]]*IF(DATOS_[[#This Row],[% jornada reducida]]="",1,DATOS_[[#This Row],[% jornada reducida]])</f>
        <v>0</v>
      </c>
      <c r="BQ86" s="137" t="n">
        <f aca="false">+(DATOS_[[#This Row],[F.fin.cal]]-DATOS_[[#This Row],[F.ini.cal]]+1)/($D$4-$D$3+1)</f>
        <v>1</v>
      </c>
      <c r="BR86" s="137" t="str">
        <f aca="false">IF(OR(AND(DATOS_[[#This Row],[Fecha Fin Contrato]]&lt;$D$3,DATOS_[[#This Row],[Fecha Fin Contrato]]&lt;&gt;""),DATOS_[[#This Row],[Fecha de Contratación]]&gt;$D$4),"Fuera","Dentro")</f>
        <v>Dentro</v>
      </c>
      <c r="BS86" s="137" t="str">
        <f aca="false" t="array" ref="BS86:BS86">IF(MAX(IF(DATOS_[id]=DATOS_[[#This Row],[id]],DATOS_[F.fin.cal]))=DATOS_[[#This Row],[F.fin.cal]],"Sí","NO")</f>
        <v>Sí</v>
      </c>
      <c r="BT86" s="137" t="str">
        <f aca="false">IF(AND(DATOS_[[#This Row],[% normaliz]]&lt;&gt;1,DATOS_[[#This Row],[% anualiz]]=1),"Sí","NO")</f>
        <v>Sí</v>
      </c>
      <c r="BU86" s="137" t="str">
        <f aca="false">IF(AND(DATOS_[[#This Row],[% normaliz]]=1,DATOS_[[#This Row],[% anualiz]]&lt;&gt;1),"Sí","NO")</f>
        <v>NO</v>
      </c>
      <c r="BV86" s="137" t="str">
        <f aca="false">IF(AND(DATOS_[[#This Row],[% normaliz]]&lt;&gt;1,DATOS_[[#This Row],[% anualiz]]&lt;&gt;1),"Sí","NO")</f>
        <v>NO</v>
      </c>
      <c r="BW86" s="137" t="str">
        <f aca="false">+IF(DATOS_[[#This Row],[% normaliz]]*DATOS_[[#This Row],[% anualiz]]=1,"NO","Sí")</f>
        <v>Sí</v>
      </c>
      <c r="BX86" s="138" t="e">
        <f aca="false">(DATOS_[[#This Row],[S.BASE]]*(1/DATOS_[[#This Row],[% normaliz]])*(1/DATOS_[[#This Row],[% anualiz]]))*IF(DATOS_[[#This Row],[Check Equiparado]]="Sí",1,0)</f>
        <v>#DIV/0!</v>
      </c>
      <c r="BY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 s="138" t="e">
        <f aca="false">+DATOS_[[#This Row],[SALARIO BASE Eq]]+DATOS_[[#This Row],[Tot COMPL.SAL Eq]]</f>
        <v>#DIV/0!</v>
      </c>
      <c r="CA86" s="138" t="e">
        <f aca="false" t="array" ref="CA86: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 s="138" t="e">
        <f aca="false">+DATOS_[[#This Row],[TOTAL SALARIO Eq]]+DATOS_[[#This Row],[Tot Extrasalarial Eq]]</f>
        <v>#DIV/0!</v>
      </c>
      <c r="CC86" s="139" t="n">
        <f aca="false">DATOS_[[#This Row],[S.BASE]]</f>
        <v>0</v>
      </c>
      <c r="CD86" s="139" t="n">
        <f aca="false">+SUM(DATOS_[[#This Row],[Conc.Sal.01]:[Conc.Sal.30]])</f>
        <v>0</v>
      </c>
      <c r="CE86" s="139" t="n">
        <f aca="false">+DATOS_[[#This Row],[SALARIO BASE Ef]]+DATOS_[[#This Row],[Tot COMPL.SAL Ef]]</f>
        <v>0</v>
      </c>
      <c r="CF86" s="139" t="n">
        <f aca="false">+SUM(DATOS_[[#This Row],[C.Extra.01]:[C.Extra.05]])</f>
        <v>0</v>
      </c>
      <c r="CG86" s="139" t="n">
        <f aca="false">+DATOS_[[#This Row],[TOTAL SALARIO Ef]]+DATOS_[[#This Row],[Tot Extrasalarial Ef]]</f>
        <v>0</v>
      </c>
      <c r="CH86" s="140" t="n">
        <f aca="false">MIN(IF(DATOS_[[#This Row],[Fecha Fin Contrato]]="",$D$4,DATOS_[[#This Row],[Fecha Fin Contrato]]),$D$4)-MAX(DATOS_[[#This Row],[Fecha de Contratación]],$D$3)+1</f>
        <v>1</v>
      </c>
      <c r="CI86" s="141" t="str">
        <f aca="false">IF(COUNTIFS(DATOS_[id],DATOS_[[#This Row],[id]])&gt;1,DATOS_[[#This Row],[id]],"")</f>
        <v/>
      </c>
      <c r="CJ86" s="141" t="n">
        <f aca="false">(Inicio!$G$10-DATOS_[[#This Row],[Fecha Nacimiento]])/365.25</f>
        <v>0</v>
      </c>
      <c r="CK86" s="141" t="n">
        <f aca="false">(Inicio!$G$10-DATOS_[[#This Row],[Fecha de Antigüedad]])/365.25</f>
        <v>0</v>
      </c>
      <c r="CL86" s="141" t="e">
        <f aca="false">+VLOOKUP(DATOS_[[#This Row],[Clave de Contrato]],TblTiposContrato13[],3,0)</f>
        <v>#N/A</v>
      </c>
      <c r="CM86" s="141" t="e">
        <f aca="false">+VLOOKUP(DATOS_[[#This Row],[Clave de Contrato]],TblTiposContrato13[],4,0)</f>
        <v>#N/A</v>
      </c>
      <c r="CN86" s="141" t="str">
        <f aca="false">VLOOKUP(DATOS_[[#This Row],[Edad]],CONTRATOS!TblRngEdad,2,1)</f>
        <v>20  o menos</v>
      </c>
      <c r="CO86" s="141" t="str">
        <f aca="false">VLOOKUP(DATOS_[[#This Row],[Antigüedad]],TblRngAntg14[],2,1)</f>
        <v>0 a 1 años</v>
      </c>
    </row>
    <row r="87" customFormat="false" ht="13.8" hidden="false" customHeight="false" outlineLevel="0" collapsed="false">
      <c r="D87" s="128"/>
      <c r="E87" s="129"/>
      <c r="F87" s="129"/>
      <c r="G87" s="129"/>
      <c r="H87" s="130"/>
      <c r="I87" s="131"/>
      <c r="J87" s="128"/>
      <c r="K87" s="132"/>
      <c r="L87" s="132"/>
      <c r="M87" s="133"/>
      <c r="N87" s="133"/>
      <c r="O87" s="133"/>
      <c r="P87" s="129"/>
      <c r="Z87" s="75"/>
      <c r="AA87" s="76"/>
      <c r="AB87" s="76"/>
      <c r="AC87" s="129"/>
      <c r="AD87" s="134"/>
      <c r="AE87" s="134"/>
      <c r="AF87" s="134"/>
      <c r="AG87" s="134"/>
      <c r="AH87" s="134"/>
      <c r="AI87" s="134"/>
      <c r="AJ87" s="134"/>
      <c r="AK87" s="134"/>
      <c r="AL87" s="134"/>
      <c r="AM87" s="134"/>
      <c r="AN87" s="134"/>
      <c r="AO87" s="134"/>
      <c r="AP87" s="134"/>
      <c r="AQ87" s="134"/>
      <c r="AR87" s="134"/>
      <c r="AS87" s="134"/>
      <c r="AT87" s="134"/>
      <c r="AU87" s="134"/>
      <c r="AV87" s="134"/>
      <c r="AW87" s="134"/>
      <c r="AX87" s="134"/>
      <c r="AY87" s="134"/>
      <c r="AZ87" s="134"/>
      <c r="BA87" s="134"/>
      <c r="BB87" s="134"/>
      <c r="BC87" s="134"/>
      <c r="BD87" s="134"/>
      <c r="BE87" s="134"/>
      <c r="BF87" s="134"/>
      <c r="BG87" s="134"/>
      <c r="BH87" s="134"/>
      <c r="BI87" s="134"/>
      <c r="BJ87" s="134"/>
      <c r="BK87" s="134"/>
      <c r="BL87" s="134"/>
      <c r="BM87" s="135"/>
      <c r="BN87" s="136" t="n">
        <f aca="false">+MAX($D$3,DATOS_[[#This Row],[Fecha Inicio Sit. Contract.]])</f>
        <v>0</v>
      </c>
      <c r="BO87" s="136" t="n">
        <f aca="false">+MIN($D$4,DATOS_[[#This Row],[Fecha Fin Sit. Contract.]])</f>
        <v>0</v>
      </c>
      <c r="BP87" s="137" t="n">
        <f aca="false">+DATOS_[[#This Row],[% de jornada]]*IF(DATOS_[[#This Row],[% jornada reducida]]="",1,DATOS_[[#This Row],[% jornada reducida]])</f>
        <v>0</v>
      </c>
      <c r="BQ87" s="137" t="n">
        <f aca="false">+(DATOS_[[#This Row],[F.fin.cal]]-DATOS_[[#This Row],[F.ini.cal]]+1)/($D$4-$D$3+1)</f>
        <v>1</v>
      </c>
      <c r="BR87" s="137" t="str">
        <f aca="false">IF(OR(AND(DATOS_[[#This Row],[Fecha Fin Contrato]]&lt;$D$3,DATOS_[[#This Row],[Fecha Fin Contrato]]&lt;&gt;""),DATOS_[[#This Row],[Fecha de Contratación]]&gt;$D$4),"Fuera","Dentro")</f>
        <v>Dentro</v>
      </c>
      <c r="BS87" s="137" t="str">
        <f aca="false" t="array" ref="BS87:BS87">IF(MAX(IF(DATOS_[id]=DATOS_[[#This Row],[id]],DATOS_[F.fin.cal]))=DATOS_[[#This Row],[F.fin.cal]],"Sí","NO")</f>
        <v>Sí</v>
      </c>
      <c r="BT87" s="137" t="str">
        <f aca="false">IF(AND(DATOS_[[#This Row],[% normaliz]]&lt;&gt;1,DATOS_[[#This Row],[% anualiz]]=1),"Sí","NO")</f>
        <v>Sí</v>
      </c>
      <c r="BU87" s="137" t="str">
        <f aca="false">IF(AND(DATOS_[[#This Row],[% normaliz]]=1,DATOS_[[#This Row],[% anualiz]]&lt;&gt;1),"Sí","NO")</f>
        <v>NO</v>
      </c>
      <c r="BV87" s="137" t="str">
        <f aca="false">IF(AND(DATOS_[[#This Row],[% normaliz]]&lt;&gt;1,DATOS_[[#This Row],[% anualiz]]&lt;&gt;1),"Sí","NO")</f>
        <v>NO</v>
      </c>
      <c r="BW87" s="137" t="str">
        <f aca="false">+IF(DATOS_[[#This Row],[% normaliz]]*DATOS_[[#This Row],[% anualiz]]=1,"NO","Sí")</f>
        <v>Sí</v>
      </c>
      <c r="BX87" s="138" t="e">
        <f aca="false">(DATOS_[[#This Row],[S.BASE]]*(1/DATOS_[[#This Row],[% normaliz]])*(1/DATOS_[[#This Row],[% anualiz]]))*IF(DATOS_[[#This Row],[Check Equiparado]]="Sí",1,0)</f>
        <v>#DIV/0!</v>
      </c>
      <c r="BY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 s="138" t="e">
        <f aca="false">+DATOS_[[#This Row],[SALARIO BASE Eq]]+DATOS_[[#This Row],[Tot COMPL.SAL Eq]]</f>
        <v>#DIV/0!</v>
      </c>
      <c r="CA87" s="138" t="e">
        <f aca="false" t="array" ref="CA87: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 s="138" t="e">
        <f aca="false">+DATOS_[[#This Row],[TOTAL SALARIO Eq]]+DATOS_[[#This Row],[Tot Extrasalarial Eq]]</f>
        <v>#DIV/0!</v>
      </c>
      <c r="CC87" s="139" t="n">
        <f aca="false">DATOS_[[#This Row],[S.BASE]]</f>
        <v>0</v>
      </c>
      <c r="CD87" s="139" t="n">
        <f aca="false">+SUM(DATOS_[[#This Row],[Conc.Sal.01]:[Conc.Sal.30]])</f>
        <v>0</v>
      </c>
      <c r="CE87" s="139" t="n">
        <f aca="false">+DATOS_[[#This Row],[SALARIO BASE Ef]]+DATOS_[[#This Row],[Tot COMPL.SAL Ef]]</f>
        <v>0</v>
      </c>
      <c r="CF87" s="139" t="n">
        <f aca="false">+SUM(DATOS_[[#This Row],[C.Extra.01]:[C.Extra.05]])</f>
        <v>0</v>
      </c>
      <c r="CG87" s="139" t="n">
        <f aca="false">+DATOS_[[#This Row],[TOTAL SALARIO Ef]]+DATOS_[[#This Row],[Tot Extrasalarial Ef]]</f>
        <v>0</v>
      </c>
      <c r="CH87" s="140" t="n">
        <f aca="false">MIN(IF(DATOS_[[#This Row],[Fecha Fin Contrato]]="",$D$4,DATOS_[[#This Row],[Fecha Fin Contrato]]),$D$4)-MAX(DATOS_[[#This Row],[Fecha de Contratación]],$D$3)+1</f>
        <v>1</v>
      </c>
      <c r="CI87" s="141" t="str">
        <f aca="false">IF(COUNTIFS(DATOS_[id],DATOS_[[#This Row],[id]])&gt;1,DATOS_[[#This Row],[id]],"")</f>
        <v/>
      </c>
      <c r="CJ87" s="141" t="n">
        <f aca="false">(Inicio!$G$10-DATOS_[[#This Row],[Fecha Nacimiento]])/365.25</f>
        <v>0</v>
      </c>
      <c r="CK87" s="141" t="n">
        <f aca="false">(Inicio!$G$10-DATOS_[[#This Row],[Fecha de Antigüedad]])/365.25</f>
        <v>0</v>
      </c>
      <c r="CL87" s="141" t="e">
        <f aca="false">+VLOOKUP(DATOS_[[#This Row],[Clave de Contrato]],TblTiposContrato13[],3,0)</f>
        <v>#N/A</v>
      </c>
      <c r="CM87" s="141" t="e">
        <f aca="false">+VLOOKUP(DATOS_[[#This Row],[Clave de Contrato]],TblTiposContrato13[],4,0)</f>
        <v>#N/A</v>
      </c>
      <c r="CN87" s="141" t="str">
        <f aca="false">VLOOKUP(DATOS_[[#This Row],[Edad]],CONTRATOS!TblRngEdad,2,1)</f>
        <v>20  o menos</v>
      </c>
      <c r="CO87" s="141" t="str">
        <f aca="false">VLOOKUP(DATOS_[[#This Row],[Antigüedad]],TblRngAntg14[],2,1)</f>
        <v>0 a 1 años</v>
      </c>
    </row>
    <row r="88" customFormat="false" ht="13.8" hidden="false" customHeight="false" outlineLevel="0" collapsed="false">
      <c r="D88" s="128"/>
      <c r="E88" s="129"/>
      <c r="F88" s="129"/>
      <c r="G88" s="129"/>
      <c r="H88" s="130"/>
      <c r="I88" s="131"/>
      <c r="J88" s="128"/>
      <c r="K88" s="132"/>
      <c r="L88" s="132"/>
      <c r="M88" s="133"/>
      <c r="N88" s="133"/>
      <c r="O88" s="133"/>
      <c r="P88" s="129"/>
      <c r="Z88" s="75"/>
      <c r="AA88" s="76"/>
      <c r="AB88" s="76"/>
      <c r="AC88" s="129"/>
      <c r="AD88" s="134"/>
      <c r="AE88" s="134"/>
      <c r="AF88" s="134"/>
      <c r="AG88" s="134"/>
      <c r="AH88" s="134"/>
      <c r="AI88" s="134"/>
      <c r="AJ88" s="134"/>
      <c r="AK88" s="134"/>
      <c r="AL88" s="134"/>
      <c r="AM88" s="134"/>
      <c r="AN88" s="134"/>
      <c r="AO88" s="134"/>
      <c r="AP88" s="134"/>
      <c r="AQ88" s="134"/>
      <c r="AR88" s="134"/>
      <c r="AS88" s="134"/>
      <c r="AT88" s="134"/>
      <c r="AU88" s="134"/>
      <c r="AV88" s="134"/>
      <c r="AW88" s="134"/>
      <c r="AX88" s="134"/>
      <c r="AY88" s="134"/>
      <c r="AZ88" s="134"/>
      <c r="BA88" s="134"/>
      <c r="BB88" s="134"/>
      <c r="BC88" s="134"/>
      <c r="BD88" s="134"/>
      <c r="BE88" s="134"/>
      <c r="BF88" s="134"/>
      <c r="BG88" s="134"/>
      <c r="BH88" s="134"/>
      <c r="BI88" s="134"/>
      <c r="BJ88" s="134"/>
      <c r="BK88" s="134"/>
      <c r="BL88" s="134"/>
      <c r="BM88" s="135"/>
      <c r="BN88" s="136" t="n">
        <f aca="false">+MAX($D$3,DATOS_[[#This Row],[Fecha Inicio Sit. Contract.]])</f>
        <v>0</v>
      </c>
      <c r="BO88" s="136" t="n">
        <f aca="false">+MIN($D$4,DATOS_[[#This Row],[Fecha Fin Sit. Contract.]])</f>
        <v>0</v>
      </c>
      <c r="BP88" s="137" t="n">
        <f aca="false">+DATOS_[[#This Row],[% de jornada]]*IF(DATOS_[[#This Row],[% jornada reducida]]="",1,DATOS_[[#This Row],[% jornada reducida]])</f>
        <v>0</v>
      </c>
      <c r="BQ88" s="137" t="n">
        <f aca="false">+(DATOS_[[#This Row],[F.fin.cal]]-DATOS_[[#This Row],[F.ini.cal]]+1)/($D$4-$D$3+1)</f>
        <v>1</v>
      </c>
      <c r="BR88" s="137" t="str">
        <f aca="false">IF(OR(AND(DATOS_[[#This Row],[Fecha Fin Contrato]]&lt;$D$3,DATOS_[[#This Row],[Fecha Fin Contrato]]&lt;&gt;""),DATOS_[[#This Row],[Fecha de Contratación]]&gt;$D$4),"Fuera","Dentro")</f>
        <v>Dentro</v>
      </c>
      <c r="BS88" s="137" t="str">
        <f aca="false" t="array" ref="BS88:BS88">IF(MAX(IF(DATOS_[id]=DATOS_[[#This Row],[id]],DATOS_[F.fin.cal]))=DATOS_[[#This Row],[F.fin.cal]],"Sí","NO")</f>
        <v>Sí</v>
      </c>
      <c r="BT88" s="137" t="str">
        <f aca="false">IF(AND(DATOS_[[#This Row],[% normaliz]]&lt;&gt;1,DATOS_[[#This Row],[% anualiz]]=1),"Sí","NO")</f>
        <v>Sí</v>
      </c>
      <c r="BU88" s="137" t="str">
        <f aca="false">IF(AND(DATOS_[[#This Row],[% normaliz]]=1,DATOS_[[#This Row],[% anualiz]]&lt;&gt;1),"Sí","NO")</f>
        <v>NO</v>
      </c>
      <c r="BV88" s="137" t="str">
        <f aca="false">IF(AND(DATOS_[[#This Row],[% normaliz]]&lt;&gt;1,DATOS_[[#This Row],[% anualiz]]&lt;&gt;1),"Sí","NO")</f>
        <v>NO</v>
      </c>
      <c r="BW88" s="137" t="str">
        <f aca="false">+IF(DATOS_[[#This Row],[% normaliz]]*DATOS_[[#This Row],[% anualiz]]=1,"NO","Sí")</f>
        <v>Sí</v>
      </c>
      <c r="BX88" s="138" t="e">
        <f aca="false">(DATOS_[[#This Row],[S.BASE]]*(1/DATOS_[[#This Row],[% normaliz]])*(1/DATOS_[[#This Row],[% anualiz]]))*IF(DATOS_[[#This Row],[Check Equiparado]]="Sí",1,0)</f>
        <v>#DIV/0!</v>
      </c>
      <c r="BY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 s="138" t="e">
        <f aca="false">+DATOS_[[#This Row],[SALARIO BASE Eq]]+DATOS_[[#This Row],[Tot COMPL.SAL Eq]]</f>
        <v>#DIV/0!</v>
      </c>
      <c r="CA88" s="138" t="e">
        <f aca="false" t="array" ref="CA88: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 s="138" t="e">
        <f aca="false">+DATOS_[[#This Row],[TOTAL SALARIO Eq]]+DATOS_[[#This Row],[Tot Extrasalarial Eq]]</f>
        <v>#DIV/0!</v>
      </c>
      <c r="CC88" s="139" t="n">
        <f aca="false">DATOS_[[#This Row],[S.BASE]]</f>
        <v>0</v>
      </c>
      <c r="CD88" s="139" t="n">
        <f aca="false">+SUM(DATOS_[[#This Row],[Conc.Sal.01]:[Conc.Sal.30]])</f>
        <v>0</v>
      </c>
      <c r="CE88" s="139" t="n">
        <f aca="false">+DATOS_[[#This Row],[SALARIO BASE Ef]]+DATOS_[[#This Row],[Tot COMPL.SAL Ef]]</f>
        <v>0</v>
      </c>
      <c r="CF88" s="139" t="n">
        <f aca="false">+SUM(DATOS_[[#This Row],[C.Extra.01]:[C.Extra.05]])</f>
        <v>0</v>
      </c>
      <c r="CG88" s="139" t="n">
        <f aca="false">+DATOS_[[#This Row],[TOTAL SALARIO Ef]]+DATOS_[[#This Row],[Tot Extrasalarial Ef]]</f>
        <v>0</v>
      </c>
      <c r="CH88" s="140" t="n">
        <f aca="false">MIN(IF(DATOS_[[#This Row],[Fecha Fin Contrato]]="",$D$4,DATOS_[[#This Row],[Fecha Fin Contrato]]),$D$4)-MAX(DATOS_[[#This Row],[Fecha de Contratación]],$D$3)+1</f>
        <v>1</v>
      </c>
      <c r="CI88" s="141" t="str">
        <f aca="false">IF(COUNTIFS(DATOS_[id],DATOS_[[#This Row],[id]])&gt;1,DATOS_[[#This Row],[id]],"")</f>
        <v/>
      </c>
      <c r="CJ88" s="141" t="n">
        <f aca="false">(Inicio!$G$10-DATOS_[[#This Row],[Fecha Nacimiento]])/365.25</f>
        <v>0</v>
      </c>
      <c r="CK88" s="141" t="n">
        <f aca="false">(Inicio!$G$10-DATOS_[[#This Row],[Fecha de Antigüedad]])/365.25</f>
        <v>0</v>
      </c>
      <c r="CL88" s="141" t="e">
        <f aca="false">+VLOOKUP(DATOS_[[#This Row],[Clave de Contrato]],TblTiposContrato13[],3,0)</f>
        <v>#N/A</v>
      </c>
      <c r="CM88" s="141" t="e">
        <f aca="false">+VLOOKUP(DATOS_[[#This Row],[Clave de Contrato]],TblTiposContrato13[],4,0)</f>
        <v>#N/A</v>
      </c>
      <c r="CN88" s="141" t="str">
        <f aca="false">VLOOKUP(DATOS_[[#This Row],[Edad]],CONTRATOS!TblRngEdad,2,1)</f>
        <v>20  o menos</v>
      </c>
      <c r="CO88" s="141" t="str">
        <f aca="false">VLOOKUP(DATOS_[[#This Row],[Antigüedad]],TblRngAntg14[],2,1)</f>
        <v>0 a 1 años</v>
      </c>
    </row>
    <row r="89" customFormat="false" ht="13.8" hidden="false" customHeight="false" outlineLevel="0" collapsed="false">
      <c r="D89" s="128"/>
      <c r="E89" s="129"/>
      <c r="F89" s="129"/>
      <c r="G89" s="129"/>
      <c r="H89" s="130"/>
      <c r="I89" s="131"/>
      <c r="J89" s="128"/>
      <c r="K89" s="132"/>
      <c r="L89" s="132"/>
      <c r="M89" s="133"/>
      <c r="N89" s="133"/>
      <c r="O89" s="133"/>
      <c r="P89" s="129"/>
      <c r="Z89" s="75"/>
      <c r="AA89" s="76"/>
      <c r="AB89" s="76"/>
      <c r="AC89" s="129"/>
      <c r="AD89" s="134"/>
      <c r="AE89" s="134"/>
      <c r="AF89" s="134"/>
      <c r="AG89" s="134"/>
      <c r="AH89" s="134"/>
      <c r="AI89" s="134"/>
      <c r="AJ89" s="134"/>
      <c r="AK89" s="134"/>
      <c r="AL89" s="134"/>
      <c r="AM89" s="134"/>
      <c r="AN89" s="134"/>
      <c r="AO89" s="134"/>
      <c r="AP89" s="134"/>
      <c r="AQ89" s="134"/>
      <c r="AR89" s="134"/>
      <c r="AS89" s="134"/>
      <c r="AT89" s="134"/>
      <c r="AU89" s="134"/>
      <c r="AV89" s="134"/>
      <c r="AW89" s="134"/>
      <c r="AX89" s="134"/>
      <c r="AY89" s="134"/>
      <c r="AZ89" s="134"/>
      <c r="BA89" s="134"/>
      <c r="BB89" s="134"/>
      <c r="BC89" s="134"/>
      <c r="BD89" s="134"/>
      <c r="BE89" s="134"/>
      <c r="BF89" s="134"/>
      <c r="BG89" s="134"/>
      <c r="BH89" s="134"/>
      <c r="BI89" s="134"/>
      <c r="BJ89" s="134"/>
      <c r="BK89" s="134"/>
      <c r="BL89" s="134"/>
      <c r="BM89" s="135"/>
      <c r="BN89" s="136" t="n">
        <f aca="false">+MAX($D$3,DATOS_[[#This Row],[Fecha Inicio Sit. Contract.]])</f>
        <v>0</v>
      </c>
      <c r="BO89" s="136" t="n">
        <f aca="false">+MIN($D$4,DATOS_[[#This Row],[Fecha Fin Sit. Contract.]])</f>
        <v>0</v>
      </c>
      <c r="BP89" s="137" t="n">
        <f aca="false">+DATOS_[[#This Row],[% de jornada]]*IF(DATOS_[[#This Row],[% jornada reducida]]="",1,DATOS_[[#This Row],[% jornada reducida]])</f>
        <v>0</v>
      </c>
      <c r="BQ89" s="137" t="n">
        <f aca="false">+(DATOS_[[#This Row],[F.fin.cal]]-DATOS_[[#This Row],[F.ini.cal]]+1)/($D$4-$D$3+1)</f>
        <v>1</v>
      </c>
      <c r="BR89" s="137" t="str">
        <f aca="false">IF(OR(AND(DATOS_[[#This Row],[Fecha Fin Contrato]]&lt;$D$3,DATOS_[[#This Row],[Fecha Fin Contrato]]&lt;&gt;""),DATOS_[[#This Row],[Fecha de Contratación]]&gt;$D$4),"Fuera","Dentro")</f>
        <v>Dentro</v>
      </c>
      <c r="BS89" s="137" t="str">
        <f aca="false" t="array" ref="BS89:BS89">IF(MAX(IF(DATOS_[id]=DATOS_[[#This Row],[id]],DATOS_[F.fin.cal]))=DATOS_[[#This Row],[F.fin.cal]],"Sí","NO")</f>
        <v>Sí</v>
      </c>
      <c r="BT89" s="137" t="str">
        <f aca="false">IF(AND(DATOS_[[#This Row],[% normaliz]]&lt;&gt;1,DATOS_[[#This Row],[% anualiz]]=1),"Sí","NO")</f>
        <v>Sí</v>
      </c>
      <c r="BU89" s="137" t="str">
        <f aca="false">IF(AND(DATOS_[[#This Row],[% normaliz]]=1,DATOS_[[#This Row],[% anualiz]]&lt;&gt;1),"Sí","NO")</f>
        <v>NO</v>
      </c>
      <c r="BV89" s="137" t="str">
        <f aca="false">IF(AND(DATOS_[[#This Row],[% normaliz]]&lt;&gt;1,DATOS_[[#This Row],[% anualiz]]&lt;&gt;1),"Sí","NO")</f>
        <v>NO</v>
      </c>
      <c r="BW89" s="137" t="str">
        <f aca="false">+IF(DATOS_[[#This Row],[% normaliz]]*DATOS_[[#This Row],[% anualiz]]=1,"NO","Sí")</f>
        <v>Sí</v>
      </c>
      <c r="BX89" s="138" t="e">
        <f aca="false">(DATOS_[[#This Row],[S.BASE]]*(1/DATOS_[[#This Row],[% normaliz]])*(1/DATOS_[[#This Row],[% anualiz]]))*IF(DATOS_[[#This Row],[Check Equiparado]]="Sí",1,0)</f>
        <v>#DIV/0!</v>
      </c>
      <c r="BY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 s="138" t="e">
        <f aca="false">+DATOS_[[#This Row],[SALARIO BASE Eq]]+DATOS_[[#This Row],[Tot COMPL.SAL Eq]]</f>
        <v>#DIV/0!</v>
      </c>
      <c r="CA89" s="138" t="e">
        <f aca="false" t="array" ref="CA89: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 s="138" t="e">
        <f aca="false">+DATOS_[[#This Row],[TOTAL SALARIO Eq]]+DATOS_[[#This Row],[Tot Extrasalarial Eq]]</f>
        <v>#DIV/0!</v>
      </c>
      <c r="CC89" s="139" t="n">
        <f aca="false">DATOS_[[#This Row],[S.BASE]]</f>
        <v>0</v>
      </c>
      <c r="CD89" s="139" t="n">
        <f aca="false">+SUM(DATOS_[[#This Row],[Conc.Sal.01]:[Conc.Sal.30]])</f>
        <v>0</v>
      </c>
      <c r="CE89" s="139" t="n">
        <f aca="false">+DATOS_[[#This Row],[SALARIO BASE Ef]]+DATOS_[[#This Row],[Tot COMPL.SAL Ef]]</f>
        <v>0</v>
      </c>
      <c r="CF89" s="139" t="n">
        <f aca="false">+SUM(DATOS_[[#This Row],[C.Extra.01]:[C.Extra.05]])</f>
        <v>0</v>
      </c>
      <c r="CG89" s="139" t="n">
        <f aca="false">+DATOS_[[#This Row],[TOTAL SALARIO Ef]]+DATOS_[[#This Row],[Tot Extrasalarial Ef]]</f>
        <v>0</v>
      </c>
      <c r="CH89" s="140" t="n">
        <f aca="false">MIN(IF(DATOS_[[#This Row],[Fecha Fin Contrato]]="",$D$4,DATOS_[[#This Row],[Fecha Fin Contrato]]),$D$4)-MAX(DATOS_[[#This Row],[Fecha de Contratación]],$D$3)+1</f>
        <v>1</v>
      </c>
      <c r="CI89" s="141" t="str">
        <f aca="false">IF(COUNTIFS(DATOS_[id],DATOS_[[#This Row],[id]])&gt;1,DATOS_[[#This Row],[id]],"")</f>
        <v/>
      </c>
      <c r="CJ89" s="141" t="n">
        <f aca="false">(Inicio!$G$10-DATOS_[[#This Row],[Fecha Nacimiento]])/365.25</f>
        <v>0</v>
      </c>
      <c r="CK89" s="141" t="n">
        <f aca="false">(Inicio!$G$10-DATOS_[[#This Row],[Fecha de Antigüedad]])/365.25</f>
        <v>0</v>
      </c>
      <c r="CL89" s="141" t="e">
        <f aca="false">+VLOOKUP(DATOS_[[#This Row],[Clave de Contrato]],TblTiposContrato13[],3,0)</f>
        <v>#N/A</v>
      </c>
      <c r="CM89" s="141" t="e">
        <f aca="false">+VLOOKUP(DATOS_[[#This Row],[Clave de Contrato]],TblTiposContrato13[],4,0)</f>
        <v>#N/A</v>
      </c>
      <c r="CN89" s="141" t="str">
        <f aca="false">VLOOKUP(DATOS_[[#This Row],[Edad]],CONTRATOS!TblRngEdad,2,1)</f>
        <v>20  o menos</v>
      </c>
      <c r="CO89" s="141" t="str">
        <f aca="false">VLOOKUP(DATOS_[[#This Row],[Antigüedad]],TblRngAntg14[],2,1)</f>
        <v>0 a 1 años</v>
      </c>
    </row>
    <row r="90" customFormat="false" ht="13.8" hidden="false" customHeight="false" outlineLevel="0" collapsed="false">
      <c r="D90" s="128"/>
      <c r="E90" s="129"/>
      <c r="F90" s="129"/>
      <c r="G90" s="129"/>
      <c r="H90" s="130"/>
      <c r="I90" s="131"/>
      <c r="J90" s="128"/>
      <c r="K90" s="132"/>
      <c r="L90" s="132"/>
      <c r="M90" s="133"/>
      <c r="N90" s="133"/>
      <c r="O90" s="133"/>
      <c r="P90" s="129"/>
      <c r="Z90" s="75"/>
      <c r="AA90" s="76"/>
      <c r="AB90" s="76"/>
      <c r="AC90" s="129"/>
      <c r="AD90" s="134"/>
      <c r="AE90" s="134"/>
      <c r="AF90" s="134"/>
      <c r="AG90" s="134"/>
      <c r="AH90" s="134"/>
      <c r="AI90" s="134"/>
      <c r="AJ90" s="134"/>
      <c r="AK90" s="134"/>
      <c r="AL90" s="134"/>
      <c r="AM90" s="134"/>
      <c r="AN90" s="134"/>
      <c r="AO90" s="134"/>
      <c r="AP90" s="134"/>
      <c r="AQ90" s="134"/>
      <c r="AR90" s="134"/>
      <c r="AS90" s="134"/>
      <c r="AT90" s="134"/>
      <c r="AU90" s="134"/>
      <c r="AV90" s="134"/>
      <c r="AW90" s="134"/>
      <c r="AX90" s="134"/>
      <c r="AY90" s="134"/>
      <c r="AZ90" s="134"/>
      <c r="BA90" s="134"/>
      <c r="BB90" s="134"/>
      <c r="BC90" s="134"/>
      <c r="BD90" s="134"/>
      <c r="BE90" s="134"/>
      <c r="BF90" s="134"/>
      <c r="BG90" s="134"/>
      <c r="BH90" s="134"/>
      <c r="BI90" s="134"/>
      <c r="BJ90" s="134"/>
      <c r="BK90" s="134"/>
      <c r="BL90" s="134"/>
      <c r="BM90" s="135"/>
      <c r="BN90" s="136" t="n">
        <f aca="false">+MAX($D$3,DATOS_[[#This Row],[Fecha Inicio Sit. Contract.]])</f>
        <v>0</v>
      </c>
      <c r="BO90" s="136" t="n">
        <f aca="false">+MIN($D$4,DATOS_[[#This Row],[Fecha Fin Sit. Contract.]])</f>
        <v>0</v>
      </c>
      <c r="BP90" s="137" t="n">
        <f aca="false">+DATOS_[[#This Row],[% de jornada]]*IF(DATOS_[[#This Row],[% jornada reducida]]="",1,DATOS_[[#This Row],[% jornada reducida]])</f>
        <v>0</v>
      </c>
      <c r="BQ90" s="137" t="n">
        <f aca="false">+(DATOS_[[#This Row],[F.fin.cal]]-DATOS_[[#This Row],[F.ini.cal]]+1)/($D$4-$D$3+1)</f>
        <v>1</v>
      </c>
      <c r="BR90" s="137" t="str">
        <f aca="false">IF(OR(AND(DATOS_[[#This Row],[Fecha Fin Contrato]]&lt;$D$3,DATOS_[[#This Row],[Fecha Fin Contrato]]&lt;&gt;""),DATOS_[[#This Row],[Fecha de Contratación]]&gt;$D$4),"Fuera","Dentro")</f>
        <v>Dentro</v>
      </c>
      <c r="BS90" s="137" t="str">
        <f aca="false" t="array" ref="BS90:BS90">IF(MAX(IF(DATOS_[id]=DATOS_[[#This Row],[id]],DATOS_[F.fin.cal]))=DATOS_[[#This Row],[F.fin.cal]],"Sí","NO")</f>
        <v>Sí</v>
      </c>
      <c r="BT90" s="137" t="str">
        <f aca="false">IF(AND(DATOS_[[#This Row],[% normaliz]]&lt;&gt;1,DATOS_[[#This Row],[% anualiz]]=1),"Sí","NO")</f>
        <v>Sí</v>
      </c>
      <c r="BU90" s="137" t="str">
        <f aca="false">IF(AND(DATOS_[[#This Row],[% normaliz]]=1,DATOS_[[#This Row],[% anualiz]]&lt;&gt;1),"Sí","NO")</f>
        <v>NO</v>
      </c>
      <c r="BV90" s="137" t="str">
        <f aca="false">IF(AND(DATOS_[[#This Row],[% normaliz]]&lt;&gt;1,DATOS_[[#This Row],[% anualiz]]&lt;&gt;1),"Sí","NO")</f>
        <v>NO</v>
      </c>
      <c r="BW90" s="137" t="str">
        <f aca="false">+IF(DATOS_[[#This Row],[% normaliz]]*DATOS_[[#This Row],[% anualiz]]=1,"NO","Sí")</f>
        <v>Sí</v>
      </c>
      <c r="BX90" s="138" t="e">
        <f aca="false">(DATOS_[[#This Row],[S.BASE]]*(1/DATOS_[[#This Row],[% normaliz]])*(1/DATOS_[[#This Row],[% anualiz]]))*IF(DATOS_[[#This Row],[Check Equiparado]]="Sí",1,0)</f>
        <v>#DIV/0!</v>
      </c>
      <c r="BY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 s="138" t="e">
        <f aca="false">+DATOS_[[#This Row],[SALARIO BASE Eq]]+DATOS_[[#This Row],[Tot COMPL.SAL Eq]]</f>
        <v>#DIV/0!</v>
      </c>
      <c r="CA90" s="138" t="e">
        <f aca="false" t="array" ref="CA90: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 s="138" t="e">
        <f aca="false">+DATOS_[[#This Row],[TOTAL SALARIO Eq]]+DATOS_[[#This Row],[Tot Extrasalarial Eq]]</f>
        <v>#DIV/0!</v>
      </c>
      <c r="CC90" s="139" t="n">
        <f aca="false">DATOS_[[#This Row],[S.BASE]]</f>
        <v>0</v>
      </c>
      <c r="CD90" s="139" t="n">
        <f aca="false">+SUM(DATOS_[[#This Row],[Conc.Sal.01]:[Conc.Sal.30]])</f>
        <v>0</v>
      </c>
      <c r="CE90" s="139" t="n">
        <f aca="false">+DATOS_[[#This Row],[SALARIO BASE Ef]]+DATOS_[[#This Row],[Tot COMPL.SAL Ef]]</f>
        <v>0</v>
      </c>
      <c r="CF90" s="139" t="n">
        <f aca="false">+SUM(DATOS_[[#This Row],[C.Extra.01]:[C.Extra.05]])</f>
        <v>0</v>
      </c>
      <c r="CG90" s="139" t="n">
        <f aca="false">+DATOS_[[#This Row],[TOTAL SALARIO Ef]]+DATOS_[[#This Row],[Tot Extrasalarial Ef]]</f>
        <v>0</v>
      </c>
      <c r="CH90" s="140" t="n">
        <f aca="false">MIN(IF(DATOS_[[#This Row],[Fecha Fin Contrato]]="",$D$4,DATOS_[[#This Row],[Fecha Fin Contrato]]),$D$4)-MAX(DATOS_[[#This Row],[Fecha de Contratación]],$D$3)+1</f>
        <v>1</v>
      </c>
      <c r="CI90" s="141" t="str">
        <f aca="false">IF(COUNTIFS(DATOS_[id],DATOS_[[#This Row],[id]])&gt;1,DATOS_[[#This Row],[id]],"")</f>
        <v/>
      </c>
      <c r="CJ90" s="141" t="n">
        <f aca="false">(Inicio!$G$10-DATOS_[[#This Row],[Fecha Nacimiento]])/365.25</f>
        <v>0</v>
      </c>
      <c r="CK90" s="141" t="n">
        <f aca="false">(Inicio!$G$10-DATOS_[[#This Row],[Fecha de Antigüedad]])/365.25</f>
        <v>0</v>
      </c>
      <c r="CL90" s="141" t="e">
        <f aca="false">+VLOOKUP(DATOS_[[#This Row],[Clave de Contrato]],TblTiposContrato13[],3,0)</f>
        <v>#N/A</v>
      </c>
      <c r="CM90" s="141" t="e">
        <f aca="false">+VLOOKUP(DATOS_[[#This Row],[Clave de Contrato]],TblTiposContrato13[],4,0)</f>
        <v>#N/A</v>
      </c>
      <c r="CN90" s="141" t="str">
        <f aca="false">VLOOKUP(DATOS_[[#This Row],[Edad]],CONTRATOS!TblRngEdad,2,1)</f>
        <v>20  o menos</v>
      </c>
      <c r="CO90" s="141" t="str">
        <f aca="false">VLOOKUP(DATOS_[[#This Row],[Antigüedad]],TblRngAntg14[],2,1)</f>
        <v>0 a 1 años</v>
      </c>
    </row>
    <row r="91" customFormat="false" ht="13.8" hidden="false" customHeight="false" outlineLevel="0" collapsed="false">
      <c r="D91" s="128"/>
      <c r="E91" s="129"/>
      <c r="F91" s="129"/>
      <c r="G91" s="129"/>
      <c r="H91" s="130"/>
      <c r="I91" s="131"/>
      <c r="J91" s="128"/>
      <c r="K91" s="132"/>
      <c r="L91" s="132"/>
      <c r="M91" s="133"/>
      <c r="N91" s="133"/>
      <c r="O91" s="133"/>
      <c r="P91" s="129"/>
      <c r="Z91" s="75"/>
      <c r="AA91" s="76"/>
      <c r="AB91" s="76"/>
      <c r="AC91" s="129"/>
      <c r="AD91" s="134"/>
      <c r="AE91" s="134"/>
      <c r="AF91" s="134"/>
      <c r="AG91" s="134"/>
      <c r="AH91" s="134"/>
      <c r="AI91" s="134"/>
      <c r="AJ91" s="134"/>
      <c r="AK91" s="134"/>
      <c r="AL91" s="134"/>
      <c r="AM91" s="134"/>
      <c r="AN91" s="134"/>
      <c r="AO91" s="134"/>
      <c r="AP91" s="134"/>
      <c r="AQ91" s="134"/>
      <c r="AR91" s="134"/>
      <c r="AS91" s="134"/>
      <c r="AT91" s="134"/>
      <c r="AU91" s="134"/>
      <c r="AV91" s="134"/>
      <c r="AW91" s="134"/>
      <c r="AX91" s="134"/>
      <c r="AY91" s="134"/>
      <c r="AZ91" s="134"/>
      <c r="BA91" s="134"/>
      <c r="BB91" s="134"/>
      <c r="BC91" s="134"/>
      <c r="BD91" s="134"/>
      <c r="BE91" s="134"/>
      <c r="BF91" s="134"/>
      <c r="BG91" s="134"/>
      <c r="BH91" s="134"/>
      <c r="BI91" s="134"/>
      <c r="BJ91" s="134"/>
      <c r="BK91" s="134"/>
      <c r="BL91" s="134"/>
      <c r="BM91" s="135"/>
      <c r="BN91" s="136" t="n">
        <f aca="false">+MAX($D$3,DATOS_[[#This Row],[Fecha Inicio Sit. Contract.]])</f>
        <v>0</v>
      </c>
      <c r="BO91" s="136" t="n">
        <f aca="false">+MIN($D$4,DATOS_[[#This Row],[Fecha Fin Sit. Contract.]])</f>
        <v>0</v>
      </c>
      <c r="BP91" s="137" t="n">
        <f aca="false">+DATOS_[[#This Row],[% de jornada]]*IF(DATOS_[[#This Row],[% jornada reducida]]="",1,DATOS_[[#This Row],[% jornada reducida]])</f>
        <v>0</v>
      </c>
      <c r="BQ91" s="137" t="n">
        <f aca="false">+(DATOS_[[#This Row],[F.fin.cal]]-DATOS_[[#This Row],[F.ini.cal]]+1)/($D$4-$D$3+1)</f>
        <v>1</v>
      </c>
      <c r="BR91" s="137" t="str">
        <f aca="false">IF(OR(AND(DATOS_[[#This Row],[Fecha Fin Contrato]]&lt;$D$3,DATOS_[[#This Row],[Fecha Fin Contrato]]&lt;&gt;""),DATOS_[[#This Row],[Fecha de Contratación]]&gt;$D$4),"Fuera","Dentro")</f>
        <v>Dentro</v>
      </c>
      <c r="BS91" s="137" t="str">
        <f aca="false" t="array" ref="BS91:BS91">IF(MAX(IF(DATOS_[id]=DATOS_[[#This Row],[id]],DATOS_[F.fin.cal]))=DATOS_[[#This Row],[F.fin.cal]],"Sí","NO")</f>
        <v>Sí</v>
      </c>
      <c r="BT91" s="137" t="str">
        <f aca="false">IF(AND(DATOS_[[#This Row],[% normaliz]]&lt;&gt;1,DATOS_[[#This Row],[% anualiz]]=1),"Sí","NO")</f>
        <v>Sí</v>
      </c>
      <c r="BU91" s="137" t="str">
        <f aca="false">IF(AND(DATOS_[[#This Row],[% normaliz]]=1,DATOS_[[#This Row],[% anualiz]]&lt;&gt;1),"Sí","NO")</f>
        <v>NO</v>
      </c>
      <c r="BV91" s="137" t="str">
        <f aca="false">IF(AND(DATOS_[[#This Row],[% normaliz]]&lt;&gt;1,DATOS_[[#This Row],[% anualiz]]&lt;&gt;1),"Sí","NO")</f>
        <v>NO</v>
      </c>
      <c r="BW91" s="137" t="str">
        <f aca="false">+IF(DATOS_[[#This Row],[% normaliz]]*DATOS_[[#This Row],[% anualiz]]=1,"NO","Sí")</f>
        <v>Sí</v>
      </c>
      <c r="BX91" s="138" t="e">
        <f aca="false">(DATOS_[[#This Row],[S.BASE]]*(1/DATOS_[[#This Row],[% normaliz]])*(1/DATOS_[[#This Row],[% anualiz]]))*IF(DATOS_[[#This Row],[Check Equiparado]]="Sí",1,0)</f>
        <v>#DIV/0!</v>
      </c>
      <c r="BY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 s="138" t="e">
        <f aca="false">+DATOS_[[#This Row],[SALARIO BASE Eq]]+DATOS_[[#This Row],[Tot COMPL.SAL Eq]]</f>
        <v>#DIV/0!</v>
      </c>
      <c r="CA91" s="138" t="e">
        <f aca="false" t="array" ref="CA91: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 s="138" t="e">
        <f aca="false">+DATOS_[[#This Row],[TOTAL SALARIO Eq]]+DATOS_[[#This Row],[Tot Extrasalarial Eq]]</f>
        <v>#DIV/0!</v>
      </c>
      <c r="CC91" s="139" t="n">
        <f aca="false">DATOS_[[#This Row],[S.BASE]]</f>
        <v>0</v>
      </c>
      <c r="CD91" s="139" t="n">
        <f aca="false">+SUM(DATOS_[[#This Row],[Conc.Sal.01]:[Conc.Sal.30]])</f>
        <v>0</v>
      </c>
      <c r="CE91" s="139" t="n">
        <f aca="false">+DATOS_[[#This Row],[SALARIO BASE Ef]]+DATOS_[[#This Row],[Tot COMPL.SAL Ef]]</f>
        <v>0</v>
      </c>
      <c r="CF91" s="139" t="n">
        <f aca="false">+SUM(DATOS_[[#This Row],[C.Extra.01]:[C.Extra.05]])</f>
        <v>0</v>
      </c>
      <c r="CG91" s="139" t="n">
        <f aca="false">+DATOS_[[#This Row],[TOTAL SALARIO Ef]]+DATOS_[[#This Row],[Tot Extrasalarial Ef]]</f>
        <v>0</v>
      </c>
      <c r="CH91" s="140" t="n">
        <f aca="false">MIN(IF(DATOS_[[#This Row],[Fecha Fin Contrato]]="",$D$4,DATOS_[[#This Row],[Fecha Fin Contrato]]),$D$4)-MAX(DATOS_[[#This Row],[Fecha de Contratación]],$D$3)+1</f>
        <v>1</v>
      </c>
      <c r="CI91" s="141" t="str">
        <f aca="false">IF(COUNTIFS(DATOS_[id],DATOS_[[#This Row],[id]])&gt;1,DATOS_[[#This Row],[id]],"")</f>
        <v/>
      </c>
      <c r="CJ91" s="141" t="n">
        <f aca="false">(Inicio!$G$10-DATOS_[[#This Row],[Fecha Nacimiento]])/365.25</f>
        <v>0</v>
      </c>
      <c r="CK91" s="141" t="n">
        <f aca="false">(Inicio!$G$10-DATOS_[[#This Row],[Fecha de Antigüedad]])/365.25</f>
        <v>0</v>
      </c>
      <c r="CL91" s="141" t="e">
        <f aca="false">+VLOOKUP(DATOS_[[#This Row],[Clave de Contrato]],TblTiposContrato13[],3,0)</f>
        <v>#N/A</v>
      </c>
      <c r="CM91" s="141" t="e">
        <f aca="false">+VLOOKUP(DATOS_[[#This Row],[Clave de Contrato]],TblTiposContrato13[],4,0)</f>
        <v>#N/A</v>
      </c>
      <c r="CN91" s="141" t="str">
        <f aca="false">VLOOKUP(DATOS_[[#This Row],[Edad]],CONTRATOS!TblRngEdad,2,1)</f>
        <v>20  o menos</v>
      </c>
      <c r="CO91" s="141" t="str">
        <f aca="false">VLOOKUP(DATOS_[[#This Row],[Antigüedad]],TblRngAntg14[],2,1)</f>
        <v>0 a 1 años</v>
      </c>
    </row>
    <row r="92" customFormat="false" ht="13.8" hidden="false" customHeight="false" outlineLevel="0" collapsed="false">
      <c r="D92" s="128"/>
      <c r="E92" s="129"/>
      <c r="F92" s="129"/>
      <c r="G92" s="129"/>
      <c r="H92" s="130"/>
      <c r="I92" s="131"/>
      <c r="J92" s="128"/>
      <c r="K92" s="132"/>
      <c r="L92" s="132"/>
      <c r="M92" s="133"/>
      <c r="N92" s="133"/>
      <c r="O92" s="133"/>
      <c r="P92" s="129"/>
      <c r="Z92" s="75"/>
      <c r="AA92" s="76"/>
      <c r="AB92" s="76"/>
      <c r="AC92" s="129"/>
      <c r="AD92" s="134"/>
      <c r="AE92" s="134"/>
      <c r="AF92" s="134"/>
      <c r="AG92" s="134"/>
      <c r="AH92" s="134"/>
      <c r="AI92" s="134"/>
      <c r="AJ92" s="134"/>
      <c r="AK92" s="134"/>
      <c r="AL92" s="134"/>
      <c r="AM92" s="134"/>
      <c r="AN92" s="134"/>
      <c r="AO92" s="134"/>
      <c r="AP92" s="134"/>
      <c r="AQ92" s="134"/>
      <c r="AR92" s="134"/>
      <c r="AS92" s="134"/>
      <c r="AT92" s="134"/>
      <c r="AU92" s="134"/>
      <c r="AV92" s="134"/>
      <c r="AW92" s="134"/>
      <c r="AX92" s="134"/>
      <c r="AY92" s="134"/>
      <c r="AZ92" s="134"/>
      <c r="BA92" s="134"/>
      <c r="BB92" s="134"/>
      <c r="BC92" s="134"/>
      <c r="BD92" s="134"/>
      <c r="BE92" s="134"/>
      <c r="BF92" s="134"/>
      <c r="BG92" s="134"/>
      <c r="BH92" s="134"/>
      <c r="BI92" s="134"/>
      <c r="BJ92" s="134"/>
      <c r="BK92" s="134"/>
      <c r="BL92" s="134"/>
      <c r="BM92" s="135"/>
      <c r="BN92" s="136" t="n">
        <f aca="false">+MAX($D$3,DATOS_[[#This Row],[Fecha Inicio Sit. Contract.]])</f>
        <v>0</v>
      </c>
      <c r="BO92" s="136" t="n">
        <f aca="false">+MIN($D$4,DATOS_[[#This Row],[Fecha Fin Sit. Contract.]])</f>
        <v>0</v>
      </c>
      <c r="BP92" s="137" t="n">
        <f aca="false">+DATOS_[[#This Row],[% de jornada]]*IF(DATOS_[[#This Row],[% jornada reducida]]="",1,DATOS_[[#This Row],[% jornada reducida]])</f>
        <v>0</v>
      </c>
      <c r="BQ92" s="137" t="n">
        <f aca="false">+(DATOS_[[#This Row],[F.fin.cal]]-DATOS_[[#This Row],[F.ini.cal]]+1)/($D$4-$D$3+1)</f>
        <v>1</v>
      </c>
      <c r="BR92" s="137" t="str">
        <f aca="false">IF(OR(AND(DATOS_[[#This Row],[Fecha Fin Contrato]]&lt;$D$3,DATOS_[[#This Row],[Fecha Fin Contrato]]&lt;&gt;""),DATOS_[[#This Row],[Fecha de Contratación]]&gt;$D$4),"Fuera","Dentro")</f>
        <v>Dentro</v>
      </c>
      <c r="BS92" s="137" t="str">
        <f aca="false" t="array" ref="BS92:BS92">IF(MAX(IF(DATOS_[id]=DATOS_[[#This Row],[id]],DATOS_[F.fin.cal]))=DATOS_[[#This Row],[F.fin.cal]],"Sí","NO")</f>
        <v>Sí</v>
      </c>
      <c r="BT92" s="137" t="str">
        <f aca="false">IF(AND(DATOS_[[#This Row],[% normaliz]]&lt;&gt;1,DATOS_[[#This Row],[% anualiz]]=1),"Sí","NO")</f>
        <v>Sí</v>
      </c>
      <c r="BU92" s="137" t="str">
        <f aca="false">IF(AND(DATOS_[[#This Row],[% normaliz]]=1,DATOS_[[#This Row],[% anualiz]]&lt;&gt;1),"Sí","NO")</f>
        <v>NO</v>
      </c>
      <c r="BV92" s="137" t="str">
        <f aca="false">IF(AND(DATOS_[[#This Row],[% normaliz]]&lt;&gt;1,DATOS_[[#This Row],[% anualiz]]&lt;&gt;1),"Sí","NO")</f>
        <v>NO</v>
      </c>
      <c r="BW92" s="137" t="str">
        <f aca="false">+IF(DATOS_[[#This Row],[% normaliz]]*DATOS_[[#This Row],[% anualiz]]=1,"NO","Sí")</f>
        <v>Sí</v>
      </c>
      <c r="BX92" s="138" t="e">
        <f aca="false">(DATOS_[[#This Row],[S.BASE]]*(1/DATOS_[[#This Row],[% normaliz]])*(1/DATOS_[[#This Row],[% anualiz]]))*IF(DATOS_[[#This Row],[Check Equiparado]]="Sí",1,0)</f>
        <v>#DIV/0!</v>
      </c>
      <c r="BY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 s="138" t="e">
        <f aca="false">+DATOS_[[#This Row],[SALARIO BASE Eq]]+DATOS_[[#This Row],[Tot COMPL.SAL Eq]]</f>
        <v>#DIV/0!</v>
      </c>
      <c r="CA92" s="138" t="e">
        <f aca="false" t="array" ref="CA92: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 s="138" t="e">
        <f aca="false">+DATOS_[[#This Row],[TOTAL SALARIO Eq]]+DATOS_[[#This Row],[Tot Extrasalarial Eq]]</f>
        <v>#DIV/0!</v>
      </c>
      <c r="CC92" s="139" t="n">
        <f aca="false">DATOS_[[#This Row],[S.BASE]]</f>
        <v>0</v>
      </c>
      <c r="CD92" s="139" t="n">
        <f aca="false">+SUM(DATOS_[[#This Row],[Conc.Sal.01]:[Conc.Sal.30]])</f>
        <v>0</v>
      </c>
      <c r="CE92" s="139" t="n">
        <f aca="false">+DATOS_[[#This Row],[SALARIO BASE Ef]]+DATOS_[[#This Row],[Tot COMPL.SAL Ef]]</f>
        <v>0</v>
      </c>
      <c r="CF92" s="139" t="n">
        <f aca="false">+SUM(DATOS_[[#This Row],[C.Extra.01]:[C.Extra.05]])</f>
        <v>0</v>
      </c>
      <c r="CG92" s="139" t="n">
        <f aca="false">+DATOS_[[#This Row],[TOTAL SALARIO Ef]]+DATOS_[[#This Row],[Tot Extrasalarial Ef]]</f>
        <v>0</v>
      </c>
      <c r="CH92" s="140" t="n">
        <f aca="false">MIN(IF(DATOS_[[#This Row],[Fecha Fin Contrato]]="",$D$4,DATOS_[[#This Row],[Fecha Fin Contrato]]),$D$4)-MAX(DATOS_[[#This Row],[Fecha de Contratación]],$D$3)+1</f>
        <v>1</v>
      </c>
      <c r="CI92" s="141" t="str">
        <f aca="false">IF(COUNTIFS(DATOS_[id],DATOS_[[#This Row],[id]])&gt;1,DATOS_[[#This Row],[id]],"")</f>
        <v/>
      </c>
      <c r="CJ92" s="141" t="n">
        <f aca="false">(Inicio!$G$10-DATOS_[[#This Row],[Fecha Nacimiento]])/365.25</f>
        <v>0</v>
      </c>
      <c r="CK92" s="141" t="n">
        <f aca="false">(Inicio!$G$10-DATOS_[[#This Row],[Fecha de Antigüedad]])/365.25</f>
        <v>0</v>
      </c>
      <c r="CL92" s="141" t="e">
        <f aca="false">+VLOOKUP(DATOS_[[#This Row],[Clave de Contrato]],TblTiposContrato13[],3,0)</f>
        <v>#N/A</v>
      </c>
      <c r="CM92" s="141" t="e">
        <f aca="false">+VLOOKUP(DATOS_[[#This Row],[Clave de Contrato]],TblTiposContrato13[],4,0)</f>
        <v>#N/A</v>
      </c>
      <c r="CN92" s="141" t="str">
        <f aca="false">VLOOKUP(DATOS_[[#This Row],[Edad]],CONTRATOS!TblRngEdad,2,1)</f>
        <v>20  o menos</v>
      </c>
      <c r="CO92" s="141" t="str">
        <f aca="false">VLOOKUP(DATOS_[[#This Row],[Antigüedad]],TblRngAntg14[],2,1)</f>
        <v>0 a 1 años</v>
      </c>
    </row>
    <row r="93" customFormat="false" ht="13.8" hidden="false" customHeight="false" outlineLevel="0" collapsed="false">
      <c r="D93" s="128"/>
      <c r="E93" s="129"/>
      <c r="F93" s="129"/>
      <c r="G93" s="129"/>
      <c r="H93" s="130"/>
      <c r="I93" s="131"/>
      <c r="J93" s="128"/>
      <c r="K93" s="132"/>
      <c r="L93" s="132"/>
      <c r="M93" s="133"/>
      <c r="N93" s="133"/>
      <c r="O93" s="133"/>
      <c r="P93" s="129"/>
      <c r="Z93" s="75"/>
      <c r="AA93" s="76"/>
      <c r="AB93" s="76"/>
      <c r="AC93" s="129"/>
      <c r="AD93" s="134"/>
      <c r="AE93" s="134"/>
      <c r="AF93" s="134"/>
      <c r="AG93" s="134"/>
      <c r="AH93" s="134"/>
      <c r="AI93" s="134"/>
      <c r="AJ93" s="134"/>
      <c r="AK93" s="134"/>
      <c r="AL93" s="134"/>
      <c r="AM93" s="134"/>
      <c r="AN93" s="134"/>
      <c r="AO93" s="134"/>
      <c r="AP93" s="134"/>
      <c r="AQ93" s="134"/>
      <c r="AR93" s="134"/>
      <c r="AS93" s="134"/>
      <c r="AT93" s="134"/>
      <c r="AU93" s="134"/>
      <c r="AV93" s="134"/>
      <c r="AW93" s="134"/>
      <c r="AX93" s="134"/>
      <c r="AY93" s="134"/>
      <c r="AZ93" s="134"/>
      <c r="BA93" s="134"/>
      <c r="BB93" s="134"/>
      <c r="BC93" s="134"/>
      <c r="BD93" s="134"/>
      <c r="BE93" s="134"/>
      <c r="BF93" s="134"/>
      <c r="BG93" s="134"/>
      <c r="BH93" s="134"/>
      <c r="BI93" s="134"/>
      <c r="BJ93" s="134"/>
      <c r="BK93" s="134"/>
      <c r="BL93" s="134"/>
      <c r="BM93" s="135"/>
      <c r="BN93" s="136" t="n">
        <f aca="false">+MAX($D$3,DATOS_[[#This Row],[Fecha Inicio Sit. Contract.]])</f>
        <v>0</v>
      </c>
      <c r="BO93" s="136" t="n">
        <f aca="false">+MIN($D$4,DATOS_[[#This Row],[Fecha Fin Sit. Contract.]])</f>
        <v>0</v>
      </c>
      <c r="BP93" s="137" t="n">
        <f aca="false">+DATOS_[[#This Row],[% de jornada]]*IF(DATOS_[[#This Row],[% jornada reducida]]="",1,DATOS_[[#This Row],[% jornada reducida]])</f>
        <v>0</v>
      </c>
      <c r="BQ93" s="137" t="n">
        <f aca="false">+(DATOS_[[#This Row],[F.fin.cal]]-DATOS_[[#This Row],[F.ini.cal]]+1)/($D$4-$D$3+1)</f>
        <v>1</v>
      </c>
      <c r="BR93" s="137" t="str">
        <f aca="false">IF(OR(AND(DATOS_[[#This Row],[Fecha Fin Contrato]]&lt;$D$3,DATOS_[[#This Row],[Fecha Fin Contrato]]&lt;&gt;""),DATOS_[[#This Row],[Fecha de Contratación]]&gt;$D$4),"Fuera","Dentro")</f>
        <v>Dentro</v>
      </c>
      <c r="BS93" s="137" t="str">
        <f aca="false" t="array" ref="BS93:BS93">IF(MAX(IF(DATOS_[id]=DATOS_[[#This Row],[id]],DATOS_[F.fin.cal]))=DATOS_[[#This Row],[F.fin.cal]],"Sí","NO")</f>
        <v>Sí</v>
      </c>
      <c r="BT93" s="137" t="str">
        <f aca="false">IF(AND(DATOS_[[#This Row],[% normaliz]]&lt;&gt;1,DATOS_[[#This Row],[% anualiz]]=1),"Sí","NO")</f>
        <v>Sí</v>
      </c>
      <c r="BU93" s="137" t="str">
        <f aca="false">IF(AND(DATOS_[[#This Row],[% normaliz]]=1,DATOS_[[#This Row],[% anualiz]]&lt;&gt;1),"Sí","NO")</f>
        <v>NO</v>
      </c>
      <c r="BV93" s="137" t="str">
        <f aca="false">IF(AND(DATOS_[[#This Row],[% normaliz]]&lt;&gt;1,DATOS_[[#This Row],[% anualiz]]&lt;&gt;1),"Sí","NO")</f>
        <v>NO</v>
      </c>
      <c r="BW93" s="137" t="str">
        <f aca="false">+IF(DATOS_[[#This Row],[% normaliz]]*DATOS_[[#This Row],[% anualiz]]=1,"NO","Sí")</f>
        <v>Sí</v>
      </c>
      <c r="BX93" s="138" t="e">
        <f aca="false">(DATOS_[[#This Row],[S.BASE]]*(1/DATOS_[[#This Row],[% normaliz]])*(1/DATOS_[[#This Row],[% anualiz]]))*IF(DATOS_[[#This Row],[Check Equiparado]]="Sí",1,0)</f>
        <v>#DIV/0!</v>
      </c>
      <c r="BY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 s="138" t="e">
        <f aca="false">+DATOS_[[#This Row],[SALARIO BASE Eq]]+DATOS_[[#This Row],[Tot COMPL.SAL Eq]]</f>
        <v>#DIV/0!</v>
      </c>
      <c r="CA93" s="138" t="e">
        <f aca="false" t="array" ref="CA93: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 s="138" t="e">
        <f aca="false">+DATOS_[[#This Row],[TOTAL SALARIO Eq]]+DATOS_[[#This Row],[Tot Extrasalarial Eq]]</f>
        <v>#DIV/0!</v>
      </c>
      <c r="CC93" s="139" t="n">
        <f aca="false">DATOS_[[#This Row],[S.BASE]]</f>
        <v>0</v>
      </c>
      <c r="CD93" s="139" t="n">
        <f aca="false">+SUM(DATOS_[[#This Row],[Conc.Sal.01]:[Conc.Sal.30]])</f>
        <v>0</v>
      </c>
      <c r="CE93" s="139" t="n">
        <f aca="false">+DATOS_[[#This Row],[SALARIO BASE Ef]]+DATOS_[[#This Row],[Tot COMPL.SAL Ef]]</f>
        <v>0</v>
      </c>
      <c r="CF93" s="139" t="n">
        <f aca="false">+SUM(DATOS_[[#This Row],[C.Extra.01]:[C.Extra.05]])</f>
        <v>0</v>
      </c>
      <c r="CG93" s="139" t="n">
        <f aca="false">+DATOS_[[#This Row],[TOTAL SALARIO Ef]]+DATOS_[[#This Row],[Tot Extrasalarial Ef]]</f>
        <v>0</v>
      </c>
      <c r="CH93" s="140" t="n">
        <f aca="false">MIN(IF(DATOS_[[#This Row],[Fecha Fin Contrato]]="",$D$4,DATOS_[[#This Row],[Fecha Fin Contrato]]),$D$4)-MAX(DATOS_[[#This Row],[Fecha de Contratación]],$D$3)+1</f>
        <v>1</v>
      </c>
      <c r="CI93" s="141" t="str">
        <f aca="false">IF(COUNTIFS(DATOS_[id],DATOS_[[#This Row],[id]])&gt;1,DATOS_[[#This Row],[id]],"")</f>
        <v/>
      </c>
      <c r="CJ93" s="141" t="n">
        <f aca="false">(Inicio!$G$10-DATOS_[[#This Row],[Fecha Nacimiento]])/365.25</f>
        <v>0</v>
      </c>
      <c r="CK93" s="141" t="n">
        <f aca="false">(Inicio!$G$10-DATOS_[[#This Row],[Fecha de Antigüedad]])/365.25</f>
        <v>0</v>
      </c>
      <c r="CL93" s="141" t="e">
        <f aca="false">+VLOOKUP(DATOS_[[#This Row],[Clave de Contrato]],TblTiposContrato13[],3,0)</f>
        <v>#N/A</v>
      </c>
      <c r="CM93" s="141" t="e">
        <f aca="false">+VLOOKUP(DATOS_[[#This Row],[Clave de Contrato]],TblTiposContrato13[],4,0)</f>
        <v>#N/A</v>
      </c>
      <c r="CN93" s="141" t="str">
        <f aca="false">VLOOKUP(DATOS_[[#This Row],[Edad]],CONTRATOS!TblRngEdad,2,1)</f>
        <v>20  o menos</v>
      </c>
      <c r="CO93" s="141" t="str">
        <f aca="false">VLOOKUP(DATOS_[[#This Row],[Antigüedad]],TblRngAntg14[],2,1)</f>
        <v>0 a 1 años</v>
      </c>
    </row>
    <row r="94" customFormat="false" ht="13.8" hidden="false" customHeight="false" outlineLevel="0" collapsed="false">
      <c r="D94" s="128"/>
      <c r="E94" s="129"/>
      <c r="F94" s="129"/>
      <c r="G94" s="129"/>
      <c r="H94" s="130"/>
      <c r="I94" s="131"/>
      <c r="J94" s="128"/>
      <c r="K94" s="132"/>
      <c r="L94" s="132"/>
      <c r="M94" s="133"/>
      <c r="N94" s="133"/>
      <c r="O94" s="133"/>
      <c r="P94" s="129"/>
      <c r="Z94" s="75"/>
      <c r="AA94" s="76"/>
      <c r="AB94" s="76"/>
      <c r="AC94" s="129"/>
      <c r="AD94" s="134"/>
      <c r="AE94" s="134"/>
      <c r="AF94" s="134"/>
      <c r="AG94" s="134"/>
      <c r="AH94" s="134"/>
      <c r="AI94" s="134"/>
      <c r="AJ94" s="134"/>
      <c r="AK94" s="134"/>
      <c r="AL94" s="134"/>
      <c r="AM94" s="134"/>
      <c r="AN94" s="134"/>
      <c r="AO94" s="134"/>
      <c r="AP94" s="134"/>
      <c r="AQ94" s="134"/>
      <c r="AR94" s="134"/>
      <c r="AS94" s="134"/>
      <c r="AT94" s="134"/>
      <c r="AU94" s="134"/>
      <c r="AV94" s="134"/>
      <c r="AW94" s="134"/>
      <c r="AX94" s="134"/>
      <c r="AY94" s="134"/>
      <c r="AZ94" s="134"/>
      <c r="BA94" s="134"/>
      <c r="BB94" s="134"/>
      <c r="BC94" s="134"/>
      <c r="BD94" s="134"/>
      <c r="BE94" s="134"/>
      <c r="BF94" s="134"/>
      <c r="BG94" s="134"/>
      <c r="BH94" s="134"/>
      <c r="BI94" s="134"/>
      <c r="BJ94" s="134"/>
      <c r="BK94" s="134"/>
      <c r="BL94" s="134"/>
      <c r="BM94" s="135"/>
      <c r="BN94" s="136" t="n">
        <f aca="false">+MAX($D$3,DATOS_[[#This Row],[Fecha Inicio Sit. Contract.]])</f>
        <v>0</v>
      </c>
      <c r="BO94" s="136" t="n">
        <f aca="false">+MIN($D$4,DATOS_[[#This Row],[Fecha Fin Sit. Contract.]])</f>
        <v>0</v>
      </c>
      <c r="BP94" s="137" t="n">
        <f aca="false">+DATOS_[[#This Row],[% de jornada]]*IF(DATOS_[[#This Row],[% jornada reducida]]="",1,DATOS_[[#This Row],[% jornada reducida]])</f>
        <v>0</v>
      </c>
      <c r="BQ94" s="137" t="n">
        <f aca="false">+(DATOS_[[#This Row],[F.fin.cal]]-DATOS_[[#This Row],[F.ini.cal]]+1)/($D$4-$D$3+1)</f>
        <v>1</v>
      </c>
      <c r="BR94" s="137" t="str">
        <f aca="false">IF(OR(AND(DATOS_[[#This Row],[Fecha Fin Contrato]]&lt;$D$3,DATOS_[[#This Row],[Fecha Fin Contrato]]&lt;&gt;""),DATOS_[[#This Row],[Fecha de Contratación]]&gt;$D$4),"Fuera","Dentro")</f>
        <v>Dentro</v>
      </c>
      <c r="BS94" s="137" t="str">
        <f aca="false" t="array" ref="BS94:BS94">IF(MAX(IF(DATOS_[id]=DATOS_[[#This Row],[id]],DATOS_[F.fin.cal]))=DATOS_[[#This Row],[F.fin.cal]],"Sí","NO")</f>
        <v>Sí</v>
      </c>
      <c r="BT94" s="137" t="str">
        <f aca="false">IF(AND(DATOS_[[#This Row],[% normaliz]]&lt;&gt;1,DATOS_[[#This Row],[% anualiz]]=1),"Sí","NO")</f>
        <v>Sí</v>
      </c>
      <c r="BU94" s="137" t="str">
        <f aca="false">IF(AND(DATOS_[[#This Row],[% normaliz]]=1,DATOS_[[#This Row],[% anualiz]]&lt;&gt;1),"Sí","NO")</f>
        <v>NO</v>
      </c>
      <c r="BV94" s="137" t="str">
        <f aca="false">IF(AND(DATOS_[[#This Row],[% normaliz]]&lt;&gt;1,DATOS_[[#This Row],[% anualiz]]&lt;&gt;1),"Sí","NO")</f>
        <v>NO</v>
      </c>
      <c r="BW94" s="137" t="str">
        <f aca="false">+IF(DATOS_[[#This Row],[% normaliz]]*DATOS_[[#This Row],[% anualiz]]=1,"NO","Sí")</f>
        <v>Sí</v>
      </c>
      <c r="BX94" s="138" t="e">
        <f aca="false">(DATOS_[[#This Row],[S.BASE]]*(1/DATOS_[[#This Row],[% normaliz]])*(1/DATOS_[[#This Row],[% anualiz]]))*IF(DATOS_[[#This Row],[Check Equiparado]]="Sí",1,0)</f>
        <v>#DIV/0!</v>
      </c>
      <c r="BY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 s="138" t="e">
        <f aca="false">+DATOS_[[#This Row],[SALARIO BASE Eq]]+DATOS_[[#This Row],[Tot COMPL.SAL Eq]]</f>
        <v>#DIV/0!</v>
      </c>
      <c r="CA94" s="138" t="e">
        <f aca="false" t="array" ref="CA94:CA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 s="138" t="e">
        <f aca="false">+DATOS_[[#This Row],[TOTAL SALARIO Eq]]+DATOS_[[#This Row],[Tot Extrasalarial Eq]]</f>
        <v>#DIV/0!</v>
      </c>
      <c r="CC94" s="139" t="n">
        <f aca="false">DATOS_[[#This Row],[S.BASE]]</f>
        <v>0</v>
      </c>
      <c r="CD94" s="139" t="n">
        <f aca="false">+SUM(DATOS_[[#This Row],[Conc.Sal.01]:[Conc.Sal.30]])</f>
        <v>0</v>
      </c>
      <c r="CE94" s="139" t="n">
        <f aca="false">+DATOS_[[#This Row],[SALARIO BASE Ef]]+DATOS_[[#This Row],[Tot COMPL.SAL Ef]]</f>
        <v>0</v>
      </c>
      <c r="CF94" s="139" t="n">
        <f aca="false">+SUM(DATOS_[[#This Row],[C.Extra.01]:[C.Extra.05]])</f>
        <v>0</v>
      </c>
      <c r="CG94" s="139" t="n">
        <f aca="false">+DATOS_[[#This Row],[TOTAL SALARIO Ef]]+DATOS_[[#This Row],[Tot Extrasalarial Ef]]</f>
        <v>0</v>
      </c>
      <c r="CH94" s="140" t="n">
        <f aca="false">MIN(IF(DATOS_[[#This Row],[Fecha Fin Contrato]]="",$D$4,DATOS_[[#This Row],[Fecha Fin Contrato]]),$D$4)-MAX(DATOS_[[#This Row],[Fecha de Contratación]],$D$3)+1</f>
        <v>1</v>
      </c>
      <c r="CI94" s="141" t="str">
        <f aca="false">IF(COUNTIFS(DATOS_[id],DATOS_[[#This Row],[id]])&gt;1,DATOS_[[#This Row],[id]],"")</f>
        <v/>
      </c>
      <c r="CJ94" s="141" t="n">
        <f aca="false">(Inicio!$G$10-DATOS_[[#This Row],[Fecha Nacimiento]])/365.25</f>
        <v>0</v>
      </c>
      <c r="CK94" s="141" t="n">
        <f aca="false">(Inicio!$G$10-DATOS_[[#This Row],[Fecha de Antigüedad]])/365.25</f>
        <v>0</v>
      </c>
      <c r="CL94" s="141" t="e">
        <f aca="false">+VLOOKUP(DATOS_[[#This Row],[Clave de Contrato]],TblTiposContrato13[],3,0)</f>
        <v>#N/A</v>
      </c>
      <c r="CM94" s="141" t="e">
        <f aca="false">+VLOOKUP(DATOS_[[#This Row],[Clave de Contrato]],TblTiposContrato13[],4,0)</f>
        <v>#N/A</v>
      </c>
      <c r="CN94" s="141" t="str">
        <f aca="false">VLOOKUP(DATOS_[[#This Row],[Edad]],CONTRATOS!TblRngEdad,2,1)</f>
        <v>20  o menos</v>
      </c>
      <c r="CO94" s="141" t="str">
        <f aca="false">VLOOKUP(DATOS_[[#This Row],[Antigüedad]],TblRngAntg14[],2,1)</f>
        <v>0 a 1 años</v>
      </c>
    </row>
    <row r="95" customFormat="false" ht="13.8" hidden="false" customHeight="false" outlineLevel="0" collapsed="false">
      <c r="D95" s="128"/>
      <c r="E95" s="129"/>
      <c r="F95" s="129"/>
      <c r="G95" s="129"/>
      <c r="H95" s="130"/>
      <c r="I95" s="131"/>
      <c r="J95" s="128"/>
      <c r="K95" s="132"/>
      <c r="L95" s="132"/>
      <c r="M95" s="133"/>
      <c r="N95" s="133"/>
      <c r="O95" s="133"/>
      <c r="P95" s="129"/>
      <c r="Z95" s="75"/>
      <c r="AA95" s="76"/>
      <c r="AB95" s="76"/>
      <c r="AC95" s="129"/>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5"/>
      <c r="BN95" s="136" t="n">
        <f aca="false">+MAX($D$3,DATOS_[[#This Row],[Fecha Inicio Sit. Contract.]])</f>
        <v>0</v>
      </c>
      <c r="BO95" s="136" t="n">
        <f aca="false">+MIN($D$4,DATOS_[[#This Row],[Fecha Fin Sit. Contract.]])</f>
        <v>0</v>
      </c>
      <c r="BP95" s="137" t="n">
        <f aca="false">+DATOS_[[#This Row],[% de jornada]]*IF(DATOS_[[#This Row],[% jornada reducida]]="",1,DATOS_[[#This Row],[% jornada reducida]])</f>
        <v>0</v>
      </c>
      <c r="BQ95" s="137" t="n">
        <f aca="false">+(DATOS_[[#This Row],[F.fin.cal]]-DATOS_[[#This Row],[F.ini.cal]]+1)/($D$4-$D$3+1)</f>
        <v>1</v>
      </c>
      <c r="BR95" s="137" t="str">
        <f aca="false">IF(OR(AND(DATOS_[[#This Row],[Fecha Fin Contrato]]&lt;$D$3,DATOS_[[#This Row],[Fecha Fin Contrato]]&lt;&gt;""),DATOS_[[#This Row],[Fecha de Contratación]]&gt;$D$4),"Fuera","Dentro")</f>
        <v>Dentro</v>
      </c>
      <c r="BS95" s="137" t="str">
        <f aca="false" t="array" ref="BS95:BS95">IF(MAX(IF(DATOS_[id]=DATOS_[[#This Row],[id]],DATOS_[F.fin.cal]))=DATOS_[[#This Row],[F.fin.cal]],"Sí","NO")</f>
        <v>Sí</v>
      </c>
      <c r="BT95" s="137" t="str">
        <f aca="false">IF(AND(DATOS_[[#This Row],[% normaliz]]&lt;&gt;1,DATOS_[[#This Row],[% anualiz]]=1),"Sí","NO")</f>
        <v>Sí</v>
      </c>
      <c r="BU95" s="137" t="str">
        <f aca="false">IF(AND(DATOS_[[#This Row],[% normaliz]]=1,DATOS_[[#This Row],[% anualiz]]&lt;&gt;1),"Sí","NO")</f>
        <v>NO</v>
      </c>
      <c r="BV95" s="137" t="str">
        <f aca="false">IF(AND(DATOS_[[#This Row],[% normaliz]]&lt;&gt;1,DATOS_[[#This Row],[% anualiz]]&lt;&gt;1),"Sí","NO")</f>
        <v>NO</v>
      </c>
      <c r="BW95" s="137" t="str">
        <f aca="false">+IF(DATOS_[[#This Row],[% normaliz]]*DATOS_[[#This Row],[% anualiz]]=1,"NO","Sí")</f>
        <v>Sí</v>
      </c>
      <c r="BX95" s="138" t="e">
        <f aca="false">(DATOS_[[#This Row],[S.BASE]]*(1/DATOS_[[#This Row],[% normaliz]])*(1/DATOS_[[#This Row],[% anualiz]]))*IF(DATOS_[[#This Row],[Check Equiparado]]="Sí",1,0)</f>
        <v>#DIV/0!</v>
      </c>
      <c r="BY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 s="138" t="e">
        <f aca="false">+DATOS_[[#This Row],[SALARIO BASE Eq]]+DATOS_[[#This Row],[Tot COMPL.SAL Eq]]</f>
        <v>#DIV/0!</v>
      </c>
      <c r="CA95" s="138" t="e">
        <f aca="false" t="array" ref="CA95:CA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 s="138" t="e">
        <f aca="false">+DATOS_[[#This Row],[TOTAL SALARIO Eq]]+DATOS_[[#This Row],[Tot Extrasalarial Eq]]</f>
        <v>#DIV/0!</v>
      </c>
      <c r="CC95" s="139" t="n">
        <f aca="false">DATOS_[[#This Row],[S.BASE]]</f>
        <v>0</v>
      </c>
      <c r="CD95" s="139" t="n">
        <f aca="false">+SUM(DATOS_[[#This Row],[Conc.Sal.01]:[Conc.Sal.30]])</f>
        <v>0</v>
      </c>
      <c r="CE95" s="139" t="n">
        <f aca="false">+DATOS_[[#This Row],[SALARIO BASE Ef]]+DATOS_[[#This Row],[Tot COMPL.SAL Ef]]</f>
        <v>0</v>
      </c>
      <c r="CF95" s="139" t="n">
        <f aca="false">+SUM(DATOS_[[#This Row],[C.Extra.01]:[C.Extra.05]])</f>
        <v>0</v>
      </c>
      <c r="CG95" s="139" t="n">
        <f aca="false">+DATOS_[[#This Row],[TOTAL SALARIO Ef]]+DATOS_[[#This Row],[Tot Extrasalarial Ef]]</f>
        <v>0</v>
      </c>
      <c r="CH95" s="140" t="n">
        <f aca="false">MIN(IF(DATOS_[[#This Row],[Fecha Fin Contrato]]="",$D$4,DATOS_[[#This Row],[Fecha Fin Contrato]]),$D$4)-MAX(DATOS_[[#This Row],[Fecha de Contratación]],$D$3)+1</f>
        <v>1</v>
      </c>
      <c r="CI95" s="141" t="str">
        <f aca="false">IF(COUNTIFS(DATOS_[id],DATOS_[[#This Row],[id]])&gt;1,DATOS_[[#This Row],[id]],"")</f>
        <v/>
      </c>
      <c r="CJ95" s="141" t="n">
        <f aca="false">(Inicio!$G$10-DATOS_[[#This Row],[Fecha Nacimiento]])/365.25</f>
        <v>0</v>
      </c>
      <c r="CK95" s="141" t="n">
        <f aca="false">(Inicio!$G$10-DATOS_[[#This Row],[Fecha de Antigüedad]])/365.25</f>
        <v>0</v>
      </c>
      <c r="CL95" s="141" t="e">
        <f aca="false">+VLOOKUP(DATOS_[[#This Row],[Clave de Contrato]],TblTiposContrato13[],3,0)</f>
        <v>#N/A</v>
      </c>
      <c r="CM95" s="141" t="e">
        <f aca="false">+VLOOKUP(DATOS_[[#This Row],[Clave de Contrato]],TblTiposContrato13[],4,0)</f>
        <v>#N/A</v>
      </c>
      <c r="CN95" s="141" t="str">
        <f aca="false">VLOOKUP(DATOS_[[#This Row],[Edad]],CONTRATOS!TblRngEdad,2,1)</f>
        <v>20  o menos</v>
      </c>
      <c r="CO95" s="141" t="str">
        <f aca="false">VLOOKUP(DATOS_[[#This Row],[Antigüedad]],TblRngAntg14[],2,1)</f>
        <v>0 a 1 años</v>
      </c>
    </row>
    <row r="96" customFormat="false" ht="13.8" hidden="false" customHeight="false" outlineLevel="0" collapsed="false">
      <c r="D96" s="128"/>
      <c r="E96" s="129"/>
      <c r="F96" s="129"/>
      <c r="G96" s="129"/>
      <c r="H96" s="130"/>
      <c r="I96" s="131"/>
      <c r="J96" s="128"/>
      <c r="K96" s="132"/>
      <c r="L96" s="132"/>
      <c r="M96" s="133"/>
      <c r="N96" s="133"/>
      <c r="O96" s="133"/>
      <c r="P96" s="129"/>
      <c r="Z96" s="75"/>
      <c r="AA96" s="76"/>
      <c r="AB96" s="76"/>
      <c r="AC96" s="129"/>
      <c r="AD96" s="134"/>
      <c r="AE96" s="134"/>
      <c r="AF96" s="134"/>
      <c r="AG96" s="134"/>
      <c r="AH96" s="134"/>
      <c r="AI96" s="134"/>
      <c r="AJ96" s="134"/>
      <c r="AK96" s="134"/>
      <c r="AL96" s="134"/>
      <c r="AM96" s="134"/>
      <c r="AN96" s="134"/>
      <c r="AO96" s="134"/>
      <c r="AP96" s="134"/>
      <c r="AQ96" s="134"/>
      <c r="AR96" s="134"/>
      <c r="AS96" s="134"/>
      <c r="AT96" s="134"/>
      <c r="AU96" s="134"/>
      <c r="AV96" s="134"/>
      <c r="AW96" s="134"/>
      <c r="AX96" s="134"/>
      <c r="AY96" s="134"/>
      <c r="AZ96" s="134"/>
      <c r="BA96" s="134"/>
      <c r="BB96" s="134"/>
      <c r="BC96" s="134"/>
      <c r="BD96" s="134"/>
      <c r="BE96" s="134"/>
      <c r="BF96" s="134"/>
      <c r="BG96" s="134"/>
      <c r="BH96" s="134"/>
      <c r="BI96" s="134"/>
      <c r="BJ96" s="134"/>
      <c r="BK96" s="134"/>
      <c r="BL96" s="134"/>
      <c r="BM96" s="135"/>
      <c r="BN96" s="136" t="n">
        <f aca="false">+MAX($D$3,DATOS_[[#This Row],[Fecha Inicio Sit. Contract.]])</f>
        <v>0</v>
      </c>
      <c r="BO96" s="136" t="n">
        <f aca="false">+MIN($D$4,DATOS_[[#This Row],[Fecha Fin Sit. Contract.]])</f>
        <v>0</v>
      </c>
      <c r="BP96" s="137" t="n">
        <f aca="false">+DATOS_[[#This Row],[% de jornada]]*IF(DATOS_[[#This Row],[% jornada reducida]]="",1,DATOS_[[#This Row],[% jornada reducida]])</f>
        <v>0</v>
      </c>
      <c r="BQ96" s="137" t="n">
        <f aca="false">+(DATOS_[[#This Row],[F.fin.cal]]-DATOS_[[#This Row],[F.ini.cal]]+1)/($D$4-$D$3+1)</f>
        <v>1</v>
      </c>
      <c r="BR96" s="137" t="str">
        <f aca="false">IF(OR(AND(DATOS_[[#This Row],[Fecha Fin Contrato]]&lt;$D$3,DATOS_[[#This Row],[Fecha Fin Contrato]]&lt;&gt;""),DATOS_[[#This Row],[Fecha de Contratación]]&gt;$D$4),"Fuera","Dentro")</f>
        <v>Dentro</v>
      </c>
      <c r="BS96" s="137" t="str">
        <f aca="false" t="array" ref="BS96:BS96">IF(MAX(IF(DATOS_[id]=DATOS_[[#This Row],[id]],DATOS_[F.fin.cal]))=DATOS_[[#This Row],[F.fin.cal]],"Sí","NO")</f>
        <v>Sí</v>
      </c>
      <c r="BT96" s="137" t="str">
        <f aca="false">IF(AND(DATOS_[[#This Row],[% normaliz]]&lt;&gt;1,DATOS_[[#This Row],[% anualiz]]=1),"Sí","NO")</f>
        <v>Sí</v>
      </c>
      <c r="BU96" s="137" t="str">
        <f aca="false">IF(AND(DATOS_[[#This Row],[% normaliz]]=1,DATOS_[[#This Row],[% anualiz]]&lt;&gt;1),"Sí","NO")</f>
        <v>NO</v>
      </c>
      <c r="BV96" s="137" t="str">
        <f aca="false">IF(AND(DATOS_[[#This Row],[% normaliz]]&lt;&gt;1,DATOS_[[#This Row],[% anualiz]]&lt;&gt;1),"Sí","NO")</f>
        <v>NO</v>
      </c>
      <c r="BW96" s="137" t="str">
        <f aca="false">+IF(DATOS_[[#This Row],[% normaliz]]*DATOS_[[#This Row],[% anualiz]]=1,"NO","Sí")</f>
        <v>Sí</v>
      </c>
      <c r="BX96" s="138" t="e">
        <f aca="false">(DATOS_[[#This Row],[S.BASE]]*(1/DATOS_[[#This Row],[% normaliz]])*(1/DATOS_[[#This Row],[% anualiz]]))*IF(DATOS_[[#This Row],[Check Equiparado]]="Sí",1,0)</f>
        <v>#DIV/0!</v>
      </c>
      <c r="BY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 s="138" t="e">
        <f aca="false">+DATOS_[[#This Row],[SALARIO BASE Eq]]+DATOS_[[#This Row],[Tot COMPL.SAL Eq]]</f>
        <v>#DIV/0!</v>
      </c>
      <c r="CA96" s="138" t="e">
        <f aca="false" t="array" ref="CA96:CA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 s="138" t="e">
        <f aca="false">+DATOS_[[#This Row],[TOTAL SALARIO Eq]]+DATOS_[[#This Row],[Tot Extrasalarial Eq]]</f>
        <v>#DIV/0!</v>
      </c>
      <c r="CC96" s="139" t="n">
        <f aca="false">DATOS_[[#This Row],[S.BASE]]</f>
        <v>0</v>
      </c>
      <c r="CD96" s="139" t="n">
        <f aca="false">+SUM(DATOS_[[#This Row],[Conc.Sal.01]:[Conc.Sal.30]])</f>
        <v>0</v>
      </c>
      <c r="CE96" s="139" t="n">
        <f aca="false">+DATOS_[[#This Row],[SALARIO BASE Ef]]+DATOS_[[#This Row],[Tot COMPL.SAL Ef]]</f>
        <v>0</v>
      </c>
      <c r="CF96" s="139" t="n">
        <f aca="false">+SUM(DATOS_[[#This Row],[C.Extra.01]:[C.Extra.05]])</f>
        <v>0</v>
      </c>
      <c r="CG96" s="139" t="n">
        <f aca="false">+DATOS_[[#This Row],[TOTAL SALARIO Ef]]+DATOS_[[#This Row],[Tot Extrasalarial Ef]]</f>
        <v>0</v>
      </c>
      <c r="CH96" s="140" t="n">
        <f aca="false">MIN(IF(DATOS_[[#This Row],[Fecha Fin Contrato]]="",$D$4,DATOS_[[#This Row],[Fecha Fin Contrato]]),$D$4)-MAX(DATOS_[[#This Row],[Fecha de Contratación]],$D$3)+1</f>
        <v>1</v>
      </c>
      <c r="CI96" s="141" t="str">
        <f aca="false">IF(COUNTIFS(DATOS_[id],DATOS_[[#This Row],[id]])&gt;1,DATOS_[[#This Row],[id]],"")</f>
        <v/>
      </c>
      <c r="CJ96" s="141" t="n">
        <f aca="false">(Inicio!$G$10-DATOS_[[#This Row],[Fecha Nacimiento]])/365.25</f>
        <v>0</v>
      </c>
      <c r="CK96" s="141" t="n">
        <f aca="false">(Inicio!$G$10-DATOS_[[#This Row],[Fecha de Antigüedad]])/365.25</f>
        <v>0</v>
      </c>
      <c r="CL96" s="141" t="e">
        <f aca="false">+VLOOKUP(DATOS_[[#This Row],[Clave de Contrato]],TblTiposContrato13[],3,0)</f>
        <v>#N/A</v>
      </c>
      <c r="CM96" s="141" t="e">
        <f aca="false">+VLOOKUP(DATOS_[[#This Row],[Clave de Contrato]],TblTiposContrato13[],4,0)</f>
        <v>#N/A</v>
      </c>
      <c r="CN96" s="141" t="str">
        <f aca="false">VLOOKUP(DATOS_[[#This Row],[Edad]],CONTRATOS!TblRngEdad,2,1)</f>
        <v>20  o menos</v>
      </c>
      <c r="CO96" s="141" t="str">
        <f aca="false">VLOOKUP(DATOS_[[#This Row],[Antigüedad]],TblRngAntg14[],2,1)</f>
        <v>0 a 1 años</v>
      </c>
    </row>
    <row r="97" customFormat="false" ht="13.8" hidden="false" customHeight="false" outlineLevel="0" collapsed="false">
      <c r="D97" s="128"/>
      <c r="E97" s="129"/>
      <c r="F97" s="129"/>
      <c r="G97" s="129"/>
      <c r="H97" s="130"/>
      <c r="I97" s="131"/>
      <c r="J97" s="128"/>
      <c r="K97" s="132"/>
      <c r="L97" s="132"/>
      <c r="M97" s="133"/>
      <c r="N97" s="133"/>
      <c r="O97" s="133"/>
      <c r="P97" s="129"/>
      <c r="Z97" s="75"/>
      <c r="AA97" s="76"/>
      <c r="AB97" s="76"/>
      <c r="AC97" s="129"/>
      <c r="AD97" s="134"/>
      <c r="AE97" s="134"/>
      <c r="AF97" s="134"/>
      <c r="AG97" s="134"/>
      <c r="AH97" s="134"/>
      <c r="AI97" s="134"/>
      <c r="AJ97" s="134"/>
      <c r="AK97" s="134"/>
      <c r="AL97" s="134"/>
      <c r="AM97" s="134"/>
      <c r="AN97" s="134"/>
      <c r="AO97" s="134"/>
      <c r="AP97" s="134"/>
      <c r="AQ97" s="134"/>
      <c r="AR97" s="134"/>
      <c r="AS97" s="134"/>
      <c r="AT97" s="134"/>
      <c r="AU97" s="134"/>
      <c r="AV97" s="134"/>
      <c r="AW97" s="134"/>
      <c r="AX97" s="134"/>
      <c r="AY97" s="134"/>
      <c r="AZ97" s="134"/>
      <c r="BA97" s="134"/>
      <c r="BB97" s="134"/>
      <c r="BC97" s="134"/>
      <c r="BD97" s="134"/>
      <c r="BE97" s="134"/>
      <c r="BF97" s="134"/>
      <c r="BG97" s="134"/>
      <c r="BH97" s="134"/>
      <c r="BI97" s="134"/>
      <c r="BJ97" s="134"/>
      <c r="BK97" s="134"/>
      <c r="BL97" s="134"/>
      <c r="BM97" s="135"/>
      <c r="BN97" s="136" t="n">
        <f aca="false">+MAX($D$3,DATOS_[[#This Row],[Fecha Inicio Sit. Contract.]])</f>
        <v>0</v>
      </c>
      <c r="BO97" s="136" t="n">
        <f aca="false">+MIN($D$4,DATOS_[[#This Row],[Fecha Fin Sit. Contract.]])</f>
        <v>0</v>
      </c>
      <c r="BP97" s="137" t="n">
        <f aca="false">+DATOS_[[#This Row],[% de jornada]]*IF(DATOS_[[#This Row],[% jornada reducida]]="",1,DATOS_[[#This Row],[% jornada reducida]])</f>
        <v>0</v>
      </c>
      <c r="BQ97" s="137" t="n">
        <f aca="false">+(DATOS_[[#This Row],[F.fin.cal]]-DATOS_[[#This Row],[F.ini.cal]]+1)/($D$4-$D$3+1)</f>
        <v>1</v>
      </c>
      <c r="BR97" s="137" t="str">
        <f aca="false">IF(OR(AND(DATOS_[[#This Row],[Fecha Fin Contrato]]&lt;$D$3,DATOS_[[#This Row],[Fecha Fin Contrato]]&lt;&gt;""),DATOS_[[#This Row],[Fecha de Contratación]]&gt;$D$4),"Fuera","Dentro")</f>
        <v>Dentro</v>
      </c>
      <c r="BS97" s="137" t="str">
        <f aca="false" t="array" ref="BS97:BS97">IF(MAX(IF(DATOS_[id]=DATOS_[[#This Row],[id]],DATOS_[F.fin.cal]))=DATOS_[[#This Row],[F.fin.cal]],"Sí","NO")</f>
        <v>Sí</v>
      </c>
      <c r="BT97" s="137" t="str">
        <f aca="false">IF(AND(DATOS_[[#This Row],[% normaliz]]&lt;&gt;1,DATOS_[[#This Row],[% anualiz]]=1),"Sí","NO")</f>
        <v>Sí</v>
      </c>
      <c r="BU97" s="137" t="str">
        <f aca="false">IF(AND(DATOS_[[#This Row],[% normaliz]]=1,DATOS_[[#This Row],[% anualiz]]&lt;&gt;1),"Sí","NO")</f>
        <v>NO</v>
      </c>
      <c r="BV97" s="137" t="str">
        <f aca="false">IF(AND(DATOS_[[#This Row],[% normaliz]]&lt;&gt;1,DATOS_[[#This Row],[% anualiz]]&lt;&gt;1),"Sí","NO")</f>
        <v>NO</v>
      </c>
      <c r="BW97" s="137" t="str">
        <f aca="false">+IF(DATOS_[[#This Row],[% normaliz]]*DATOS_[[#This Row],[% anualiz]]=1,"NO","Sí")</f>
        <v>Sí</v>
      </c>
      <c r="BX97" s="138" t="e">
        <f aca="false">(DATOS_[[#This Row],[S.BASE]]*(1/DATOS_[[#This Row],[% normaliz]])*(1/DATOS_[[#This Row],[% anualiz]]))*IF(DATOS_[[#This Row],[Check Equiparado]]="Sí",1,0)</f>
        <v>#DIV/0!</v>
      </c>
      <c r="BY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 s="138" t="e">
        <f aca="false">+DATOS_[[#This Row],[SALARIO BASE Eq]]+DATOS_[[#This Row],[Tot COMPL.SAL Eq]]</f>
        <v>#DIV/0!</v>
      </c>
      <c r="CA97" s="138" t="e">
        <f aca="false" t="array" ref="CA97:CA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 s="138" t="e">
        <f aca="false">+DATOS_[[#This Row],[TOTAL SALARIO Eq]]+DATOS_[[#This Row],[Tot Extrasalarial Eq]]</f>
        <v>#DIV/0!</v>
      </c>
      <c r="CC97" s="139" t="n">
        <f aca="false">DATOS_[[#This Row],[S.BASE]]</f>
        <v>0</v>
      </c>
      <c r="CD97" s="139" t="n">
        <f aca="false">+SUM(DATOS_[[#This Row],[Conc.Sal.01]:[Conc.Sal.30]])</f>
        <v>0</v>
      </c>
      <c r="CE97" s="139" t="n">
        <f aca="false">+DATOS_[[#This Row],[SALARIO BASE Ef]]+DATOS_[[#This Row],[Tot COMPL.SAL Ef]]</f>
        <v>0</v>
      </c>
      <c r="CF97" s="139" t="n">
        <f aca="false">+SUM(DATOS_[[#This Row],[C.Extra.01]:[C.Extra.05]])</f>
        <v>0</v>
      </c>
      <c r="CG97" s="139" t="n">
        <f aca="false">+DATOS_[[#This Row],[TOTAL SALARIO Ef]]+DATOS_[[#This Row],[Tot Extrasalarial Ef]]</f>
        <v>0</v>
      </c>
      <c r="CH97" s="140" t="n">
        <f aca="false">MIN(IF(DATOS_[[#This Row],[Fecha Fin Contrato]]="",$D$4,DATOS_[[#This Row],[Fecha Fin Contrato]]),$D$4)-MAX(DATOS_[[#This Row],[Fecha de Contratación]],$D$3)+1</f>
        <v>1</v>
      </c>
      <c r="CI97" s="141" t="str">
        <f aca="false">IF(COUNTIFS(DATOS_[id],DATOS_[[#This Row],[id]])&gt;1,DATOS_[[#This Row],[id]],"")</f>
        <v/>
      </c>
      <c r="CJ97" s="141" t="n">
        <f aca="false">(Inicio!$G$10-DATOS_[[#This Row],[Fecha Nacimiento]])/365.25</f>
        <v>0</v>
      </c>
      <c r="CK97" s="141" t="n">
        <f aca="false">(Inicio!$G$10-DATOS_[[#This Row],[Fecha de Antigüedad]])/365.25</f>
        <v>0</v>
      </c>
      <c r="CL97" s="141" t="e">
        <f aca="false">+VLOOKUP(DATOS_[[#This Row],[Clave de Contrato]],TblTiposContrato13[],3,0)</f>
        <v>#N/A</v>
      </c>
      <c r="CM97" s="141" t="e">
        <f aca="false">+VLOOKUP(DATOS_[[#This Row],[Clave de Contrato]],TblTiposContrato13[],4,0)</f>
        <v>#N/A</v>
      </c>
      <c r="CN97" s="141" t="str">
        <f aca="false">VLOOKUP(DATOS_[[#This Row],[Edad]],CONTRATOS!TblRngEdad,2,1)</f>
        <v>20  o menos</v>
      </c>
      <c r="CO97" s="141" t="str">
        <f aca="false">VLOOKUP(DATOS_[[#This Row],[Antigüedad]],TblRngAntg14[],2,1)</f>
        <v>0 a 1 años</v>
      </c>
    </row>
    <row r="98" customFormat="false" ht="13.8" hidden="false" customHeight="false" outlineLevel="0" collapsed="false">
      <c r="D98" s="128"/>
      <c r="E98" s="129"/>
      <c r="F98" s="129"/>
      <c r="G98" s="129"/>
      <c r="H98" s="130"/>
      <c r="I98" s="131"/>
      <c r="J98" s="128"/>
      <c r="K98" s="132"/>
      <c r="L98" s="132"/>
      <c r="M98" s="133"/>
      <c r="N98" s="133"/>
      <c r="O98" s="133"/>
      <c r="P98" s="129"/>
      <c r="Z98" s="75"/>
      <c r="AA98" s="76"/>
      <c r="AB98" s="76"/>
      <c r="AC98" s="129"/>
      <c r="AD98" s="134"/>
      <c r="AE98" s="134"/>
      <c r="AF98" s="134"/>
      <c r="AG98" s="134"/>
      <c r="AH98" s="134"/>
      <c r="AI98" s="134"/>
      <c r="AJ98" s="134"/>
      <c r="AK98" s="134"/>
      <c r="AL98" s="134"/>
      <c r="AM98" s="134"/>
      <c r="AN98" s="134"/>
      <c r="AO98" s="134"/>
      <c r="AP98" s="134"/>
      <c r="AQ98" s="134"/>
      <c r="AR98" s="134"/>
      <c r="AS98" s="134"/>
      <c r="AT98" s="134"/>
      <c r="AU98" s="134"/>
      <c r="AV98" s="134"/>
      <c r="AW98" s="134"/>
      <c r="AX98" s="134"/>
      <c r="AY98" s="134"/>
      <c r="AZ98" s="134"/>
      <c r="BA98" s="134"/>
      <c r="BB98" s="134"/>
      <c r="BC98" s="134"/>
      <c r="BD98" s="134"/>
      <c r="BE98" s="134"/>
      <c r="BF98" s="134"/>
      <c r="BG98" s="134"/>
      <c r="BH98" s="134"/>
      <c r="BI98" s="134"/>
      <c r="BJ98" s="134"/>
      <c r="BK98" s="134"/>
      <c r="BL98" s="134"/>
      <c r="BM98" s="135"/>
      <c r="BN98" s="136" t="n">
        <f aca="false">+MAX($D$3,DATOS_[[#This Row],[Fecha Inicio Sit. Contract.]])</f>
        <v>0</v>
      </c>
      <c r="BO98" s="136" t="n">
        <f aca="false">+MIN($D$4,DATOS_[[#This Row],[Fecha Fin Sit. Contract.]])</f>
        <v>0</v>
      </c>
      <c r="BP98" s="137" t="n">
        <f aca="false">+DATOS_[[#This Row],[% de jornada]]*IF(DATOS_[[#This Row],[% jornada reducida]]="",1,DATOS_[[#This Row],[% jornada reducida]])</f>
        <v>0</v>
      </c>
      <c r="BQ98" s="137" t="n">
        <f aca="false">+(DATOS_[[#This Row],[F.fin.cal]]-DATOS_[[#This Row],[F.ini.cal]]+1)/($D$4-$D$3+1)</f>
        <v>1</v>
      </c>
      <c r="BR98" s="137" t="str">
        <f aca="false">IF(OR(AND(DATOS_[[#This Row],[Fecha Fin Contrato]]&lt;$D$3,DATOS_[[#This Row],[Fecha Fin Contrato]]&lt;&gt;""),DATOS_[[#This Row],[Fecha de Contratación]]&gt;$D$4),"Fuera","Dentro")</f>
        <v>Dentro</v>
      </c>
      <c r="BS98" s="137" t="str">
        <f aca="false" t="array" ref="BS98:BS98">IF(MAX(IF(DATOS_[id]=DATOS_[[#This Row],[id]],DATOS_[F.fin.cal]))=DATOS_[[#This Row],[F.fin.cal]],"Sí","NO")</f>
        <v>Sí</v>
      </c>
      <c r="BT98" s="137" t="str">
        <f aca="false">IF(AND(DATOS_[[#This Row],[% normaliz]]&lt;&gt;1,DATOS_[[#This Row],[% anualiz]]=1),"Sí","NO")</f>
        <v>Sí</v>
      </c>
      <c r="BU98" s="137" t="str">
        <f aca="false">IF(AND(DATOS_[[#This Row],[% normaliz]]=1,DATOS_[[#This Row],[% anualiz]]&lt;&gt;1),"Sí","NO")</f>
        <v>NO</v>
      </c>
      <c r="BV98" s="137" t="str">
        <f aca="false">IF(AND(DATOS_[[#This Row],[% normaliz]]&lt;&gt;1,DATOS_[[#This Row],[% anualiz]]&lt;&gt;1),"Sí","NO")</f>
        <v>NO</v>
      </c>
      <c r="BW98" s="137" t="str">
        <f aca="false">+IF(DATOS_[[#This Row],[% normaliz]]*DATOS_[[#This Row],[% anualiz]]=1,"NO","Sí")</f>
        <v>Sí</v>
      </c>
      <c r="BX98" s="138" t="e">
        <f aca="false">(DATOS_[[#This Row],[S.BASE]]*(1/DATOS_[[#This Row],[% normaliz]])*(1/DATOS_[[#This Row],[% anualiz]]))*IF(DATOS_[[#This Row],[Check Equiparado]]="Sí",1,0)</f>
        <v>#DIV/0!</v>
      </c>
      <c r="BY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 s="138" t="e">
        <f aca="false">+DATOS_[[#This Row],[SALARIO BASE Eq]]+DATOS_[[#This Row],[Tot COMPL.SAL Eq]]</f>
        <v>#DIV/0!</v>
      </c>
      <c r="CA98" s="138" t="e">
        <f aca="false" t="array" ref="CA98:CA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 s="138" t="e">
        <f aca="false">+DATOS_[[#This Row],[TOTAL SALARIO Eq]]+DATOS_[[#This Row],[Tot Extrasalarial Eq]]</f>
        <v>#DIV/0!</v>
      </c>
      <c r="CC98" s="139" t="n">
        <f aca="false">DATOS_[[#This Row],[S.BASE]]</f>
        <v>0</v>
      </c>
      <c r="CD98" s="139" t="n">
        <f aca="false">+SUM(DATOS_[[#This Row],[Conc.Sal.01]:[Conc.Sal.30]])</f>
        <v>0</v>
      </c>
      <c r="CE98" s="139" t="n">
        <f aca="false">+DATOS_[[#This Row],[SALARIO BASE Ef]]+DATOS_[[#This Row],[Tot COMPL.SAL Ef]]</f>
        <v>0</v>
      </c>
      <c r="CF98" s="139" t="n">
        <f aca="false">+SUM(DATOS_[[#This Row],[C.Extra.01]:[C.Extra.05]])</f>
        <v>0</v>
      </c>
      <c r="CG98" s="139" t="n">
        <f aca="false">+DATOS_[[#This Row],[TOTAL SALARIO Ef]]+DATOS_[[#This Row],[Tot Extrasalarial Ef]]</f>
        <v>0</v>
      </c>
      <c r="CH98" s="140" t="n">
        <f aca="false">MIN(IF(DATOS_[[#This Row],[Fecha Fin Contrato]]="",$D$4,DATOS_[[#This Row],[Fecha Fin Contrato]]),$D$4)-MAX(DATOS_[[#This Row],[Fecha de Contratación]],$D$3)+1</f>
        <v>1</v>
      </c>
      <c r="CI98" s="141" t="str">
        <f aca="false">IF(COUNTIFS(DATOS_[id],DATOS_[[#This Row],[id]])&gt;1,DATOS_[[#This Row],[id]],"")</f>
        <v/>
      </c>
      <c r="CJ98" s="141" t="n">
        <f aca="false">(Inicio!$G$10-DATOS_[[#This Row],[Fecha Nacimiento]])/365.25</f>
        <v>0</v>
      </c>
      <c r="CK98" s="141" t="n">
        <f aca="false">(Inicio!$G$10-DATOS_[[#This Row],[Fecha de Antigüedad]])/365.25</f>
        <v>0</v>
      </c>
      <c r="CL98" s="141" t="e">
        <f aca="false">+VLOOKUP(DATOS_[[#This Row],[Clave de Contrato]],TblTiposContrato13[],3,0)</f>
        <v>#N/A</v>
      </c>
      <c r="CM98" s="141" t="e">
        <f aca="false">+VLOOKUP(DATOS_[[#This Row],[Clave de Contrato]],TblTiposContrato13[],4,0)</f>
        <v>#N/A</v>
      </c>
      <c r="CN98" s="141" t="str">
        <f aca="false">VLOOKUP(DATOS_[[#This Row],[Edad]],CONTRATOS!TblRngEdad,2,1)</f>
        <v>20  o menos</v>
      </c>
      <c r="CO98" s="141" t="str">
        <f aca="false">VLOOKUP(DATOS_[[#This Row],[Antigüedad]],TblRngAntg14[],2,1)</f>
        <v>0 a 1 años</v>
      </c>
    </row>
    <row r="99" customFormat="false" ht="13.8" hidden="false" customHeight="false" outlineLevel="0" collapsed="false">
      <c r="D99" s="128"/>
      <c r="E99" s="129"/>
      <c r="F99" s="129"/>
      <c r="G99" s="129"/>
      <c r="H99" s="130"/>
      <c r="I99" s="131"/>
      <c r="J99" s="128"/>
      <c r="K99" s="132"/>
      <c r="L99" s="132"/>
      <c r="M99" s="133"/>
      <c r="N99" s="133"/>
      <c r="O99" s="133"/>
      <c r="P99" s="129"/>
      <c r="Z99" s="75"/>
      <c r="AA99" s="76"/>
      <c r="AB99" s="76"/>
      <c r="AC99" s="129"/>
      <c r="AD99" s="134"/>
      <c r="AE99" s="134"/>
      <c r="AF99" s="134"/>
      <c r="AG99" s="134"/>
      <c r="AH99" s="134"/>
      <c r="AI99" s="134"/>
      <c r="AJ99" s="134"/>
      <c r="AK99" s="134"/>
      <c r="AL99" s="134"/>
      <c r="AM99" s="134"/>
      <c r="AN99" s="134"/>
      <c r="AO99" s="134"/>
      <c r="AP99" s="134"/>
      <c r="AQ99" s="134"/>
      <c r="AR99" s="134"/>
      <c r="AS99" s="134"/>
      <c r="AT99" s="134"/>
      <c r="AU99" s="134"/>
      <c r="AV99" s="134"/>
      <c r="AW99" s="134"/>
      <c r="AX99" s="134"/>
      <c r="AY99" s="134"/>
      <c r="AZ99" s="134"/>
      <c r="BA99" s="134"/>
      <c r="BB99" s="134"/>
      <c r="BC99" s="134"/>
      <c r="BD99" s="134"/>
      <c r="BE99" s="134"/>
      <c r="BF99" s="134"/>
      <c r="BG99" s="134"/>
      <c r="BH99" s="134"/>
      <c r="BI99" s="134"/>
      <c r="BJ99" s="134"/>
      <c r="BK99" s="134"/>
      <c r="BL99" s="134"/>
      <c r="BM99" s="135"/>
      <c r="BN99" s="136" t="n">
        <f aca="false">+MAX($D$3,DATOS_[[#This Row],[Fecha Inicio Sit. Contract.]])</f>
        <v>0</v>
      </c>
      <c r="BO99" s="136" t="n">
        <f aca="false">+MIN($D$4,DATOS_[[#This Row],[Fecha Fin Sit. Contract.]])</f>
        <v>0</v>
      </c>
      <c r="BP99" s="137" t="n">
        <f aca="false">+DATOS_[[#This Row],[% de jornada]]*IF(DATOS_[[#This Row],[% jornada reducida]]="",1,DATOS_[[#This Row],[% jornada reducida]])</f>
        <v>0</v>
      </c>
      <c r="BQ99" s="137" t="n">
        <f aca="false">+(DATOS_[[#This Row],[F.fin.cal]]-DATOS_[[#This Row],[F.ini.cal]]+1)/($D$4-$D$3+1)</f>
        <v>1</v>
      </c>
      <c r="BR99" s="137" t="str">
        <f aca="false">IF(OR(AND(DATOS_[[#This Row],[Fecha Fin Contrato]]&lt;$D$3,DATOS_[[#This Row],[Fecha Fin Contrato]]&lt;&gt;""),DATOS_[[#This Row],[Fecha de Contratación]]&gt;$D$4),"Fuera","Dentro")</f>
        <v>Dentro</v>
      </c>
      <c r="BS99" s="137" t="str">
        <f aca="false" t="array" ref="BS99:BS99">IF(MAX(IF(DATOS_[id]=DATOS_[[#This Row],[id]],DATOS_[F.fin.cal]))=DATOS_[[#This Row],[F.fin.cal]],"Sí","NO")</f>
        <v>Sí</v>
      </c>
      <c r="BT99" s="137" t="str">
        <f aca="false">IF(AND(DATOS_[[#This Row],[% normaliz]]&lt;&gt;1,DATOS_[[#This Row],[% anualiz]]=1),"Sí","NO")</f>
        <v>Sí</v>
      </c>
      <c r="BU99" s="137" t="str">
        <f aca="false">IF(AND(DATOS_[[#This Row],[% normaliz]]=1,DATOS_[[#This Row],[% anualiz]]&lt;&gt;1),"Sí","NO")</f>
        <v>NO</v>
      </c>
      <c r="BV99" s="137" t="str">
        <f aca="false">IF(AND(DATOS_[[#This Row],[% normaliz]]&lt;&gt;1,DATOS_[[#This Row],[% anualiz]]&lt;&gt;1),"Sí","NO")</f>
        <v>NO</v>
      </c>
      <c r="BW99" s="137" t="str">
        <f aca="false">+IF(DATOS_[[#This Row],[% normaliz]]*DATOS_[[#This Row],[% anualiz]]=1,"NO","Sí")</f>
        <v>Sí</v>
      </c>
      <c r="BX99" s="138" t="e">
        <f aca="false">(DATOS_[[#This Row],[S.BASE]]*(1/DATOS_[[#This Row],[% normaliz]])*(1/DATOS_[[#This Row],[% anualiz]]))*IF(DATOS_[[#This Row],[Check Equiparado]]="Sí",1,0)</f>
        <v>#DIV/0!</v>
      </c>
      <c r="BY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 s="138" t="e">
        <f aca="false">+DATOS_[[#This Row],[SALARIO BASE Eq]]+DATOS_[[#This Row],[Tot COMPL.SAL Eq]]</f>
        <v>#DIV/0!</v>
      </c>
      <c r="CA99" s="138" t="e">
        <f aca="false" t="array" ref="CA99:CA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 s="138" t="e">
        <f aca="false">+DATOS_[[#This Row],[TOTAL SALARIO Eq]]+DATOS_[[#This Row],[Tot Extrasalarial Eq]]</f>
        <v>#DIV/0!</v>
      </c>
      <c r="CC99" s="139" t="n">
        <f aca="false">DATOS_[[#This Row],[S.BASE]]</f>
        <v>0</v>
      </c>
      <c r="CD99" s="139" t="n">
        <f aca="false">+SUM(DATOS_[[#This Row],[Conc.Sal.01]:[Conc.Sal.30]])</f>
        <v>0</v>
      </c>
      <c r="CE99" s="139" t="n">
        <f aca="false">+DATOS_[[#This Row],[SALARIO BASE Ef]]+DATOS_[[#This Row],[Tot COMPL.SAL Ef]]</f>
        <v>0</v>
      </c>
      <c r="CF99" s="139" t="n">
        <f aca="false">+SUM(DATOS_[[#This Row],[C.Extra.01]:[C.Extra.05]])</f>
        <v>0</v>
      </c>
      <c r="CG99" s="139" t="n">
        <f aca="false">+DATOS_[[#This Row],[TOTAL SALARIO Ef]]+DATOS_[[#This Row],[Tot Extrasalarial Ef]]</f>
        <v>0</v>
      </c>
      <c r="CH99" s="140" t="n">
        <f aca="false">MIN(IF(DATOS_[[#This Row],[Fecha Fin Contrato]]="",$D$4,DATOS_[[#This Row],[Fecha Fin Contrato]]),$D$4)-MAX(DATOS_[[#This Row],[Fecha de Contratación]],$D$3)+1</f>
        <v>1</v>
      </c>
      <c r="CI99" s="141" t="str">
        <f aca="false">IF(COUNTIFS(DATOS_[id],DATOS_[[#This Row],[id]])&gt;1,DATOS_[[#This Row],[id]],"")</f>
        <v/>
      </c>
      <c r="CJ99" s="141" t="n">
        <f aca="false">(Inicio!$G$10-DATOS_[[#This Row],[Fecha Nacimiento]])/365.25</f>
        <v>0</v>
      </c>
      <c r="CK99" s="141" t="n">
        <f aca="false">(Inicio!$G$10-DATOS_[[#This Row],[Fecha de Antigüedad]])/365.25</f>
        <v>0</v>
      </c>
      <c r="CL99" s="141" t="e">
        <f aca="false">+VLOOKUP(DATOS_[[#This Row],[Clave de Contrato]],TblTiposContrato13[],3,0)</f>
        <v>#N/A</v>
      </c>
      <c r="CM99" s="141" t="e">
        <f aca="false">+VLOOKUP(DATOS_[[#This Row],[Clave de Contrato]],TblTiposContrato13[],4,0)</f>
        <v>#N/A</v>
      </c>
      <c r="CN99" s="141" t="str">
        <f aca="false">VLOOKUP(DATOS_[[#This Row],[Edad]],CONTRATOS!TblRngEdad,2,1)</f>
        <v>20  o menos</v>
      </c>
      <c r="CO99" s="141" t="str">
        <f aca="false">VLOOKUP(DATOS_[[#This Row],[Antigüedad]],TblRngAntg14[],2,1)</f>
        <v>0 a 1 años</v>
      </c>
    </row>
    <row r="100" customFormat="false" ht="13.8" hidden="false" customHeight="false" outlineLevel="0" collapsed="false">
      <c r="D100" s="128"/>
      <c r="E100" s="129"/>
      <c r="F100" s="129"/>
      <c r="G100" s="129"/>
      <c r="H100" s="130"/>
      <c r="I100" s="131"/>
      <c r="J100" s="128"/>
      <c r="K100" s="132"/>
      <c r="L100" s="132"/>
      <c r="M100" s="133"/>
      <c r="N100" s="133"/>
      <c r="O100" s="133"/>
      <c r="P100" s="129"/>
      <c r="Z100" s="75"/>
      <c r="AA100" s="76"/>
      <c r="AB100" s="76"/>
      <c r="AC100" s="129"/>
      <c r="AD100" s="134"/>
      <c r="AE100" s="134"/>
      <c r="AF100" s="134"/>
      <c r="AG100" s="134"/>
      <c r="AH100" s="134"/>
      <c r="AI100" s="134"/>
      <c r="AJ100" s="134"/>
      <c r="AK100" s="134"/>
      <c r="AL100" s="134"/>
      <c r="AM100" s="134"/>
      <c r="AN100" s="134"/>
      <c r="AO100" s="134"/>
      <c r="AP100" s="134"/>
      <c r="AQ100" s="134"/>
      <c r="AR100" s="134"/>
      <c r="AS100" s="134"/>
      <c r="AT100" s="134"/>
      <c r="AU100" s="134"/>
      <c r="AV100" s="134"/>
      <c r="AW100" s="134"/>
      <c r="AX100" s="134"/>
      <c r="AY100" s="134"/>
      <c r="AZ100" s="134"/>
      <c r="BA100" s="134"/>
      <c r="BB100" s="134"/>
      <c r="BC100" s="134"/>
      <c r="BD100" s="134"/>
      <c r="BE100" s="134"/>
      <c r="BF100" s="134"/>
      <c r="BG100" s="134"/>
      <c r="BH100" s="134"/>
      <c r="BI100" s="134"/>
      <c r="BJ100" s="134"/>
      <c r="BK100" s="134"/>
      <c r="BL100" s="134"/>
      <c r="BM100" s="135"/>
      <c r="BN100" s="136" t="n">
        <f aca="false">+MAX($D$3,DATOS_[[#This Row],[Fecha Inicio Sit. Contract.]])</f>
        <v>0</v>
      </c>
      <c r="BO100" s="136" t="n">
        <f aca="false">+MIN($D$4,DATOS_[[#This Row],[Fecha Fin Sit. Contract.]])</f>
        <v>0</v>
      </c>
      <c r="BP100" s="137" t="n">
        <f aca="false">+DATOS_[[#This Row],[% de jornada]]*IF(DATOS_[[#This Row],[% jornada reducida]]="",1,DATOS_[[#This Row],[% jornada reducida]])</f>
        <v>0</v>
      </c>
      <c r="BQ100" s="137" t="n">
        <f aca="false">+(DATOS_[[#This Row],[F.fin.cal]]-DATOS_[[#This Row],[F.ini.cal]]+1)/($D$4-$D$3+1)</f>
        <v>1</v>
      </c>
      <c r="BR100" s="137" t="str">
        <f aca="false">IF(OR(AND(DATOS_[[#This Row],[Fecha Fin Contrato]]&lt;$D$3,DATOS_[[#This Row],[Fecha Fin Contrato]]&lt;&gt;""),DATOS_[[#This Row],[Fecha de Contratación]]&gt;$D$4),"Fuera","Dentro")</f>
        <v>Dentro</v>
      </c>
      <c r="BS100" s="137" t="str">
        <f aca="false" t="array" ref="BS100:BS100">IF(MAX(IF(DATOS_[id]=DATOS_[[#This Row],[id]],DATOS_[F.fin.cal]))=DATOS_[[#This Row],[F.fin.cal]],"Sí","NO")</f>
        <v>Sí</v>
      </c>
      <c r="BT100" s="137" t="str">
        <f aca="false">IF(AND(DATOS_[[#This Row],[% normaliz]]&lt;&gt;1,DATOS_[[#This Row],[% anualiz]]=1),"Sí","NO")</f>
        <v>Sí</v>
      </c>
      <c r="BU100" s="137" t="str">
        <f aca="false">IF(AND(DATOS_[[#This Row],[% normaliz]]=1,DATOS_[[#This Row],[% anualiz]]&lt;&gt;1),"Sí","NO")</f>
        <v>NO</v>
      </c>
      <c r="BV100" s="137" t="str">
        <f aca="false">IF(AND(DATOS_[[#This Row],[% normaliz]]&lt;&gt;1,DATOS_[[#This Row],[% anualiz]]&lt;&gt;1),"Sí","NO")</f>
        <v>NO</v>
      </c>
      <c r="BW100" s="137" t="str">
        <f aca="false">+IF(DATOS_[[#This Row],[% normaliz]]*DATOS_[[#This Row],[% anualiz]]=1,"NO","Sí")</f>
        <v>Sí</v>
      </c>
      <c r="BX100" s="138" t="e">
        <f aca="false">(DATOS_[[#This Row],[S.BASE]]*(1/DATOS_[[#This Row],[% normaliz]])*(1/DATOS_[[#This Row],[% anualiz]]))*IF(DATOS_[[#This Row],[Check Equiparado]]="Sí",1,0)</f>
        <v>#DIV/0!</v>
      </c>
      <c r="BY1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 s="138" t="e">
        <f aca="false">+DATOS_[[#This Row],[SALARIO BASE Eq]]+DATOS_[[#This Row],[Tot COMPL.SAL Eq]]</f>
        <v>#DIV/0!</v>
      </c>
      <c r="CA100" s="138" t="e">
        <f aca="false" t="array" ref="CA100:CA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 s="138" t="e">
        <f aca="false">+DATOS_[[#This Row],[TOTAL SALARIO Eq]]+DATOS_[[#This Row],[Tot Extrasalarial Eq]]</f>
        <v>#DIV/0!</v>
      </c>
      <c r="CC100" s="139" t="n">
        <f aca="false">DATOS_[[#This Row],[S.BASE]]</f>
        <v>0</v>
      </c>
      <c r="CD100" s="139" t="n">
        <f aca="false">+SUM(DATOS_[[#This Row],[Conc.Sal.01]:[Conc.Sal.30]])</f>
        <v>0</v>
      </c>
      <c r="CE100" s="139" t="n">
        <f aca="false">+DATOS_[[#This Row],[SALARIO BASE Ef]]+DATOS_[[#This Row],[Tot COMPL.SAL Ef]]</f>
        <v>0</v>
      </c>
      <c r="CF100" s="139" t="n">
        <f aca="false">+SUM(DATOS_[[#This Row],[C.Extra.01]:[C.Extra.05]])</f>
        <v>0</v>
      </c>
      <c r="CG100" s="139" t="n">
        <f aca="false">+DATOS_[[#This Row],[TOTAL SALARIO Ef]]+DATOS_[[#This Row],[Tot Extrasalarial Ef]]</f>
        <v>0</v>
      </c>
      <c r="CH100" s="140" t="n">
        <f aca="false">MIN(IF(DATOS_[[#This Row],[Fecha Fin Contrato]]="",$D$4,DATOS_[[#This Row],[Fecha Fin Contrato]]),$D$4)-MAX(DATOS_[[#This Row],[Fecha de Contratación]],$D$3)+1</f>
        <v>1</v>
      </c>
      <c r="CI100" s="141" t="str">
        <f aca="false">IF(COUNTIFS(DATOS_[id],DATOS_[[#This Row],[id]])&gt;1,DATOS_[[#This Row],[id]],"")</f>
        <v/>
      </c>
      <c r="CJ100" s="141" t="n">
        <f aca="false">(Inicio!$G$10-DATOS_[[#This Row],[Fecha Nacimiento]])/365.25</f>
        <v>0</v>
      </c>
      <c r="CK100" s="141" t="n">
        <f aca="false">(Inicio!$G$10-DATOS_[[#This Row],[Fecha de Antigüedad]])/365.25</f>
        <v>0</v>
      </c>
      <c r="CL100" s="141" t="e">
        <f aca="false">+VLOOKUP(DATOS_[[#This Row],[Clave de Contrato]],TblTiposContrato13[],3,0)</f>
        <v>#N/A</v>
      </c>
      <c r="CM100" s="141" t="e">
        <f aca="false">+VLOOKUP(DATOS_[[#This Row],[Clave de Contrato]],TblTiposContrato13[],4,0)</f>
        <v>#N/A</v>
      </c>
      <c r="CN100" s="141" t="str">
        <f aca="false">VLOOKUP(DATOS_[[#This Row],[Edad]],CONTRATOS!TblRngEdad,2,1)</f>
        <v>20  o menos</v>
      </c>
      <c r="CO100" s="141" t="str">
        <f aca="false">VLOOKUP(DATOS_[[#This Row],[Antigüedad]],TblRngAntg14[],2,1)</f>
        <v>0 a 1 años</v>
      </c>
    </row>
    <row r="101" customFormat="false" ht="13.8" hidden="false" customHeight="false" outlineLevel="0" collapsed="false">
      <c r="D101" s="128"/>
      <c r="E101" s="129"/>
      <c r="F101" s="129"/>
      <c r="G101" s="129"/>
      <c r="H101" s="130"/>
      <c r="I101" s="131"/>
      <c r="J101" s="128"/>
      <c r="K101" s="132"/>
      <c r="L101" s="132"/>
      <c r="M101" s="133"/>
      <c r="N101" s="133"/>
      <c r="O101" s="133"/>
      <c r="P101" s="129"/>
      <c r="Z101" s="75"/>
      <c r="AA101" s="76"/>
      <c r="AB101" s="76"/>
      <c r="AC101" s="129"/>
      <c r="AD101" s="134"/>
      <c r="AE101" s="134"/>
      <c r="AF101" s="134"/>
      <c r="AG101" s="134"/>
      <c r="AH101" s="134"/>
      <c r="AI101" s="134"/>
      <c r="AJ101" s="134"/>
      <c r="AK101" s="134"/>
      <c r="AL101" s="134"/>
      <c r="AM101" s="134"/>
      <c r="AN101" s="134"/>
      <c r="AO101" s="134"/>
      <c r="AP101" s="134"/>
      <c r="AQ101" s="134"/>
      <c r="AR101" s="134"/>
      <c r="AS101" s="134"/>
      <c r="AT101" s="134"/>
      <c r="AU101" s="134"/>
      <c r="AV101" s="134"/>
      <c r="AW101" s="134"/>
      <c r="AX101" s="134"/>
      <c r="AY101" s="134"/>
      <c r="AZ101" s="134"/>
      <c r="BA101" s="134"/>
      <c r="BB101" s="134"/>
      <c r="BC101" s="134"/>
      <c r="BD101" s="134"/>
      <c r="BE101" s="134"/>
      <c r="BF101" s="134"/>
      <c r="BG101" s="134"/>
      <c r="BH101" s="134"/>
      <c r="BI101" s="134"/>
      <c r="BJ101" s="134"/>
      <c r="BK101" s="134"/>
      <c r="BL101" s="134"/>
      <c r="BM101" s="135"/>
      <c r="BN101" s="136" t="n">
        <f aca="false">+MAX($D$3,DATOS_[[#This Row],[Fecha Inicio Sit. Contract.]])</f>
        <v>0</v>
      </c>
      <c r="BO101" s="136" t="n">
        <f aca="false">+MIN($D$4,DATOS_[[#This Row],[Fecha Fin Sit. Contract.]])</f>
        <v>0</v>
      </c>
      <c r="BP101" s="137" t="n">
        <f aca="false">+DATOS_[[#This Row],[% de jornada]]*IF(DATOS_[[#This Row],[% jornada reducida]]="",1,DATOS_[[#This Row],[% jornada reducida]])</f>
        <v>0</v>
      </c>
      <c r="BQ101" s="137" t="n">
        <f aca="false">+(DATOS_[[#This Row],[F.fin.cal]]-DATOS_[[#This Row],[F.ini.cal]]+1)/($D$4-$D$3+1)</f>
        <v>1</v>
      </c>
      <c r="BR101" s="137" t="str">
        <f aca="false">IF(OR(AND(DATOS_[[#This Row],[Fecha Fin Contrato]]&lt;$D$3,DATOS_[[#This Row],[Fecha Fin Contrato]]&lt;&gt;""),DATOS_[[#This Row],[Fecha de Contratación]]&gt;$D$4),"Fuera","Dentro")</f>
        <v>Dentro</v>
      </c>
      <c r="BS101" s="137" t="str">
        <f aca="false" t="array" ref="BS101:BS101">IF(MAX(IF(DATOS_[id]=DATOS_[[#This Row],[id]],DATOS_[F.fin.cal]))=DATOS_[[#This Row],[F.fin.cal]],"Sí","NO")</f>
        <v>Sí</v>
      </c>
      <c r="BT101" s="137" t="str">
        <f aca="false">IF(AND(DATOS_[[#This Row],[% normaliz]]&lt;&gt;1,DATOS_[[#This Row],[% anualiz]]=1),"Sí","NO")</f>
        <v>Sí</v>
      </c>
      <c r="BU101" s="137" t="str">
        <f aca="false">IF(AND(DATOS_[[#This Row],[% normaliz]]=1,DATOS_[[#This Row],[% anualiz]]&lt;&gt;1),"Sí","NO")</f>
        <v>NO</v>
      </c>
      <c r="BV101" s="137" t="str">
        <f aca="false">IF(AND(DATOS_[[#This Row],[% normaliz]]&lt;&gt;1,DATOS_[[#This Row],[% anualiz]]&lt;&gt;1),"Sí","NO")</f>
        <v>NO</v>
      </c>
      <c r="BW101" s="137" t="str">
        <f aca="false">+IF(DATOS_[[#This Row],[% normaliz]]*DATOS_[[#This Row],[% anualiz]]=1,"NO","Sí")</f>
        <v>Sí</v>
      </c>
      <c r="BX101" s="138" t="e">
        <f aca="false">(DATOS_[[#This Row],[S.BASE]]*(1/DATOS_[[#This Row],[% normaliz]])*(1/DATOS_[[#This Row],[% anualiz]]))*IF(DATOS_[[#This Row],[Check Equiparado]]="Sí",1,0)</f>
        <v>#DIV/0!</v>
      </c>
      <c r="BY1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 s="138" t="e">
        <f aca="false">+DATOS_[[#This Row],[SALARIO BASE Eq]]+DATOS_[[#This Row],[Tot COMPL.SAL Eq]]</f>
        <v>#DIV/0!</v>
      </c>
      <c r="CA101" s="138" t="e">
        <f aca="false" t="array" ref="CA101:CA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 s="138" t="e">
        <f aca="false">+DATOS_[[#This Row],[TOTAL SALARIO Eq]]+DATOS_[[#This Row],[Tot Extrasalarial Eq]]</f>
        <v>#DIV/0!</v>
      </c>
      <c r="CC101" s="139" t="n">
        <f aca="false">DATOS_[[#This Row],[S.BASE]]</f>
        <v>0</v>
      </c>
      <c r="CD101" s="139" t="n">
        <f aca="false">+SUM(DATOS_[[#This Row],[Conc.Sal.01]:[Conc.Sal.30]])</f>
        <v>0</v>
      </c>
      <c r="CE101" s="139" t="n">
        <f aca="false">+DATOS_[[#This Row],[SALARIO BASE Ef]]+DATOS_[[#This Row],[Tot COMPL.SAL Ef]]</f>
        <v>0</v>
      </c>
      <c r="CF101" s="139" t="n">
        <f aca="false">+SUM(DATOS_[[#This Row],[C.Extra.01]:[C.Extra.05]])</f>
        <v>0</v>
      </c>
      <c r="CG101" s="139" t="n">
        <f aca="false">+DATOS_[[#This Row],[TOTAL SALARIO Ef]]+DATOS_[[#This Row],[Tot Extrasalarial Ef]]</f>
        <v>0</v>
      </c>
      <c r="CH101" s="140" t="n">
        <f aca="false">MIN(IF(DATOS_[[#This Row],[Fecha Fin Contrato]]="",$D$4,DATOS_[[#This Row],[Fecha Fin Contrato]]),$D$4)-MAX(DATOS_[[#This Row],[Fecha de Contratación]],$D$3)+1</f>
        <v>1</v>
      </c>
      <c r="CI101" s="141" t="str">
        <f aca="false">IF(COUNTIFS(DATOS_[id],DATOS_[[#This Row],[id]])&gt;1,DATOS_[[#This Row],[id]],"")</f>
        <v/>
      </c>
      <c r="CJ101" s="141" t="n">
        <f aca="false">(Inicio!$G$10-DATOS_[[#This Row],[Fecha Nacimiento]])/365.25</f>
        <v>0</v>
      </c>
      <c r="CK101" s="141" t="n">
        <f aca="false">(Inicio!$G$10-DATOS_[[#This Row],[Fecha de Antigüedad]])/365.25</f>
        <v>0</v>
      </c>
      <c r="CL101" s="141" t="e">
        <f aca="false">+VLOOKUP(DATOS_[[#This Row],[Clave de Contrato]],TblTiposContrato13[],3,0)</f>
        <v>#N/A</v>
      </c>
      <c r="CM101" s="141" t="e">
        <f aca="false">+VLOOKUP(DATOS_[[#This Row],[Clave de Contrato]],TblTiposContrato13[],4,0)</f>
        <v>#N/A</v>
      </c>
      <c r="CN101" s="141" t="str">
        <f aca="false">VLOOKUP(DATOS_[[#This Row],[Edad]],CONTRATOS!TblRngEdad,2,1)</f>
        <v>20  o menos</v>
      </c>
      <c r="CO101" s="141" t="str">
        <f aca="false">VLOOKUP(DATOS_[[#This Row],[Antigüedad]],TblRngAntg14[],2,1)</f>
        <v>0 a 1 años</v>
      </c>
    </row>
    <row r="102" customFormat="false" ht="13.8" hidden="false" customHeight="false" outlineLevel="0" collapsed="false">
      <c r="D102" s="128"/>
      <c r="E102" s="129"/>
      <c r="F102" s="129"/>
      <c r="G102" s="129"/>
      <c r="H102" s="130"/>
      <c r="I102" s="131"/>
      <c r="J102" s="128"/>
      <c r="K102" s="132"/>
      <c r="L102" s="132"/>
      <c r="M102" s="133"/>
      <c r="N102" s="133"/>
      <c r="O102" s="133"/>
      <c r="P102" s="129"/>
      <c r="Z102" s="75"/>
      <c r="AA102" s="76"/>
      <c r="AB102" s="76"/>
      <c r="AC102" s="129"/>
      <c r="AD102" s="134"/>
      <c r="AE102" s="134"/>
      <c r="AF102" s="134"/>
      <c r="AG102" s="134"/>
      <c r="AH102" s="134"/>
      <c r="AI102" s="134"/>
      <c r="AJ102" s="134"/>
      <c r="AK102" s="134"/>
      <c r="AL102" s="134"/>
      <c r="AM102" s="134"/>
      <c r="AN102" s="134"/>
      <c r="AO102" s="134"/>
      <c r="AP102" s="134"/>
      <c r="AQ102" s="134"/>
      <c r="AR102" s="134"/>
      <c r="AS102" s="134"/>
      <c r="AT102" s="134"/>
      <c r="AU102" s="134"/>
      <c r="AV102" s="134"/>
      <c r="AW102" s="134"/>
      <c r="AX102" s="134"/>
      <c r="AY102" s="134"/>
      <c r="AZ102" s="134"/>
      <c r="BA102" s="134"/>
      <c r="BB102" s="134"/>
      <c r="BC102" s="134"/>
      <c r="BD102" s="134"/>
      <c r="BE102" s="134"/>
      <c r="BF102" s="134"/>
      <c r="BG102" s="134"/>
      <c r="BH102" s="134"/>
      <c r="BI102" s="134"/>
      <c r="BJ102" s="134"/>
      <c r="BK102" s="134"/>
      <c r="BL102" s="134"/>
      <c r="BM102" s="135"/>
      <c r="BN102" s="136" t="n">
        <f aca="false">+MAX($D$3,DATOS_[[#This Row],[Fecha Inicio Sit. Contract.]])</f>
        <v>0</v>
      </c>
      <c r="BO102" s="136" t="n">
        <f aca="false">+MIN($D$4,DATOS_[[#This Row],[Fecha Fin Sit. Contract.]])</f>
        <v>0</v>
      </c>
      <c r="BP102" s="137" t="n">
        <f aca="false">+DATOS_[[#This Row],[% de jornada]]*IF(DATOS_[[#This Row],[% jornada reducida]]="",1,DATOS_[[#This Row],[% jornada reducida]])</f>
        <v>0</v>
      </c>
      <c r="BQ102" s="137" t="n">
        <f aca="false">+(DATOS_[[#This Row],[F.fin.cal]]-DATOS_[[#This Row],[F.ini.cal]]+1)/($D$4-$D$3+1)</f>
        <v>1</v>
      </c>
      <c r="BR102" s="137" t="str">
        <f aca="false">IF(OR(AND(DATOS_[[#This Row],[Fecha Fin Contrato]]&lt;$D$3,DATOS_[[#This Row],[Fecha Fin Contrato]]&lt;&gt;""),DATOS_[[#This Row],[Fecha de Contratación]]&gt;$D$4),"Fuera","Dentro")</f>
        <v>Dentro</v>
      </c>
      <c r="BS102" s="137" t="str">
        <f aca="false" t="array" ref="BS102:BS102">IF(MAX(IF(DATOS_[id]=DATOS_[[#This Row],[id]],DATOS_[F.fin.cal]))=DATOS_[[#This Row],[F.fin.cal]],"Sí","NO")</f>
        <v>Sí</v>
      </c>
      <c r="BT102" s="137" t="str">
        <f aca="false">IF(AND(DATOS_[[#This Row],[% normaliz]]&lt;&gt;1,DATOS_[[#This Row],[% anualiz]]=1),"Sí","NO")</f>
        <v>Sí</v>
      </c>
      <c r="BU102" s="137" t="str">
        <f aca="false">IF(AND(DATOS_[[#This Row],[% normaliz]]=1,DATOS_[[#This Row],[% anualiz]]&lt;&gt;1),"Sí","NO")</f>
        <v>NO</v>
      </c>
      <c r="BV102" s="137" t="str">
        <f aca="false">IF(AND(DATOS_[[#This Row],[% normaliz]]&lt;&gt;1,DATOS_[[#This Row],[% anualiz]]&lt;&gt;1),"Sí","NO")</f>
        <v>NO</v>
      </c>
      <c r="BW102" s="137" t="str">
        <f aca="false">+IF(DATOS_[[#This Row],[% normaliz]]*DATOS_[[#This Row],[% anualiz]]=1,"NO","Sí")</f>
        <v>Sí</v>
      </c>
      <c r="BX102" s="138" t="e">
        <f aca="false">(DATOS_[[#This Row],[S.BASE]]*(1/DATOS_[[#This Row],[% normaliz]])*(1/DATOS_[[#This Row],[% anualiz]]))*IF(DATOS_[[#This Row],[Check Equiparado]]="Sí",1,0)</f>
        <v>#DIV/0!</v>
      </c>
      <c r="BY1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 s="138" t="e">
        <f aca="false">+DATOS_[[#This Row],[SALARIO BASE Eq]]+DATOS_[[#This Row],[Tot COMPL.SAL Eq]]</f>
        <v>#DIV/0!</v>
      </c>
      <c r="CA102" s="138" t="e">
        <f aca="false" t="array" ref="CA102:CA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 s="138" t="e">
        <f aca="false">+DATOS_[[#This Row],[TOTAL SALARIO Eq]]+DATOS_[[#This Row],[Tot Extrasalarial Eq]]</f>
        <v>#DIV/0!</v>
      </c>
      <c r="CC102" s="139" t="n">
        <f aca="false">DATOS_[[#This Row],[S.BASE]]</f>
        <v>0</v>
      </c>
      <c r="CD102" s="139" t="n">
        <f aca="false">+SUM(DATOS_[[#This Row],[Conc.Sal.01]:[Conc.Sal.30]])</f>
        <v>0</v>
      </c>
      <c r="CE102" s="139" t="n">
        <f aca="false">+DATOS_[[#This Row],[SALARIO BASE Ef]]+DATOS_[[#This Row],[Tot COMPL.SAL Ef]]</f>
        <v>0</v>
      </c>
      <c r="CF102" s="139" t="n">
        <f aca="false">+SUM(DATOS_[[#This Row],[C.Extra.01]:[C.Extra.05]])</f>
        <v>0</v>
      </c>
      <c r="CG102" s="139" t="n">
        <f aca="false">+DATOS_[[#This Row],[TOTAL SALARIO Ef]]+DATOS_[[#This Row],[Tot Extrasalarial Ef]]</f>
        <v>0</v>
      </c>
      <c r="CH102" s="140" t="n">
        <f aca="false">MIN(IF(DATOS_[[#This Row],[Fecha Fin Contrato]]="",$D$4,DATOS_[[#This Row],[Fecha Fin Contrato]]),$D$4)-MAX(DATOS_[[#This Row],[Fecha de Contratación]],$D$3)+1</f>
        <v>1</v>
      </c>
      <c r="CI102" s="141" t="str">
        <f aca="false">IF(COUNTIFS(DATOS_[id],DATOS_[[#This Row],[id]])&gt;1,DATOS_[[#This Row],[id]],"")</f>
        <v/>
      </c>
      <c r="CJ102" s="141" t="n">
        <f aca="false">(Inicio!$G$10-DATOS_[[#This Row],[Fecha Nacimiento]])/365.25</f>
        <v>0</v>
      </c>
      <c r="CK102" s="141" t="n">
        <f aca="false">(Inicio!$G$10-DATOS_[[#This Row],[Fecha de Antigüedad]])/365.25</f>
        <v>0</v>
      </c>
      <c r="CL102" s="141" t="e">
        <f aca="false">+VLOOKUP(DATOS_[[#This Row],[Clave de Contrato]],TblTiposContrato13[],3,0)</f>
        <v>#N/A</v>
      </c>
      <c r="CM102" s="141" t="e">
        <f aca="false">+VLOOKUP(DATOS_[[#This Row],[Clave de Contrato]],TblTiposContrato13[],4,0)</f>
        <v>#N/A</v>
      </c>
      <c r="CN102" s="141" t="str">
        <f aca="false">VLOOKUP(DATOS_[[#This Row],[Edad]],CONTRATOS!TblRngEdad,2,1)</f>
        <v>20  o menos</v>
      </c>
      <c r="CO102" s="141" t="str">
        <f aca="false">VLOOKUP(DATOS_[[#This Row],[Antigüedad]],TblRngAntg14[],2,1)</f>
        <v>0 a 1 años</v>
      </c>
    </row>
    <row r="103" customFormat="false" ht="13.8" hidden="false" customHeight="false" outlineLevel="0" collapsed="false">
      <c r="D103" s="128"/>
      <c r="E103" s="129"/>
      <c r="F103" s="129"/>
      <c r="G103" s="129"/>
      <c r="H103" s="130"/>
      <c r="I103" s="131"/>
      <c r="J103" s="128"/>
      <c r="K103" s="132"/>
      <c r="L103" s="132"/>
      <c r="M103" s="133"/>
      <c r="N103" s="133"/>
      <c r="O103" s="133"/>
      <c r="P103" s="129"/>
      <c r="Z103" s="75"/>
      <c r="AA103" s="76"/>
      <c r="AB103" s="76"/>
      <c r="AC103" s="129"/>
      <c r="AD103" s="134"/>
      <c r="AE103" s="134"/>
      <c r="AF103" s="134"/>
      <c r="AG103" s="134"/>
      <c r="AH103" s="134"/>
      <c r="AI103" s="134"/>
      <c r="AJ103" s="134"/>
      <c r="AK103" s="134"/>
      <c r="AL103" s="134"/>
      <c r="AM103" s="134"/>
      <c r="AN103" s="134"/>
      <c r="AO103" s="134"/>
      <c r="AP103" s="134"/>
      <c r="AQ103" s="134"/>
      <c r="AR103" s="134"/>
      <c r="AS103" s="134"/>
      <c r="AT103" s="134"/>
      <c r="AU103" s="134"/>
      <c r="AV103" s="134"/>
      <c r="AW103" s="134"/>
      <c r="AX103" s="134"/>
      <c r="AY103" s="134"/>
      <c r="AZ103" s="134"/>
      <c r="BA103" s="134"/>
      <c r="BB103" s="134"/>
      <c r="BC103" s="134"/>
      <c r="BD103" s="134"/>
      <c r="BE103" s="134"/>
      <c r="BF103" s="134"/>
      <c r="BG103" s="134"/>
      <c r="BH103" s="134"/>
      <c r="BI103" s="134"/>
      <c r="BJ103" s="134"/>
      <c r="BK103" s="134"/>
      <c r="BL103" s="134"/>
      <c r="BM103" s="135"/>
      <c r="BN103" s="136" t="n">
        <f aca="false">+MAX($D$3,DATOS_[[#This Row],[Fecha Inicio Sit. Contract.]])</f>
        <v>0</v>
      </c>
      <c r="BO103" s="136" t="n">
        <f aca="false">+MIN($D$4,DATOS_[[#This Row],[Fecha Fin Sit. Contract.]])</f>
        <v>0</v>
      </c>
      <c r="BP103" s="137" t="n">
        <f aca="false">+DATOS_[[#This Row],[% de jornada]]*IF(DATOS_[[#This Row],[% jornada reducida]]="",1,DATOS_[[#This Row],[% jornada reducida]])</f>
        <v>0</v>
      </c>
      <c r="BQ103" s="137" t="n">
        <f aca="false">+(DATOS_[[#This Row],[F.fin.cal]]-DATOS_[[#This Row],[F.ini.cal]]+1)/($D$4-$D$3+1)</f>
        <v>1</v>
      </c>
      <c r="BR103" s="137" t="str">
        <f aca="false">IF(OR(AND(DATOS_[[#This Row],[Fecha Fin Contrato]]&lt;$D$3,DATOS_[[#This Row],[Fecha Fin Contrato]]&lt;&gt;""),DATOS_[[#This Row],[Fecha de Contratación]]&gt;$D$4),"Fuera","Dentro")</f>
        <v>Dentro</v>
      </c>
      <c r="BS103" s="137" t="str">
        <f aca="false" t="array" ref="BS103:BS103">IF(MAX(IF(DATOS_[id]=DATOS_[[#This Row],[id]],DATOS_[F.fin.cal]))=DATOS_[[#This Row],[F.fin.cal]],"Sí","NO")</f>
        <v>Sí</v>
      </c>
      <c r="BT103" s="137" t="str">
        <f aca="false">IF(AND(DATOS_[[#This Row],[% normaliz]]&lt;&gt;1,DATOS_[[#This Row],[% anualiz]]=1),"Sí","NO")</f>
        <v>Sí</v>
      </c>
      <c r="BU103" s="137" t="str">
        <f aca="false">IF(AND(DATOS_[[#This Row],[% normaliz]]=1,DATOS_[[#This Row],[% anualiz]]&lt;&gt;1),"Sí","NO")</f>
        <v>NO</v>
      </c>
      <c r="BV103" s="137" t="str">
        <f aca="false">IF(AND(DATOS_[[#This Row],[% normaliz]]&lt;&gt;1,DATOS_[[#This Row],[% anualiz]]&lt;&gt;1),"Sí","NO")</f>
        <v>NO</v>
      </c>
      <c r="BW103" s="137" t="str">
        <f aca="false">+IF(DATOS_[[#This Row],[% normaliz]]*DATOS_[[#This Row],[% anualiz]]=1,"NO","Sí")</f>
        <v>Sí</v>
      </c>
      <c r="BX103" s="138" t="e">
        <f aca="false">(DATOS_[[#This Row],[S.BASE]]*(1/DATOS_[[#This Row],[% normaliz]])*(1/DATOS_[[#This Row],[% anualiz]]))*IF(DATOS_[[#This Row],[Check Equiparado]]="Sí",1,0)</f>
        <v>#DIV/0!</v>
      </c>
      <c r="BY1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 s="138" t="e">
        <f aca="false">+DATOS_[[#This Row],[SALARIO BASE Eq]]+DATOS_[[#This Row],[Tot COMPL.SAL Eq]]</f>
        <v>#DIV/0!</v>
      </c>
      <c r="CA103" s="138" t="e">
        <f aca="false" t="array" ref="CA103:CA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 s="138" t="e">
        <f aca="false">+DATOS_[[#This Row],[TOTAL SALARIO Eq]]+DATOS_[[#This Row],[Tot Extrasalarial Eq]]</f>
        <v>#DIV/0!</v>
      </c>
      <c r="CC103" s="139" t="n">
        <f aca="false">DATOS_[[#This Row],[S.BASE]]</f>
        <v>0</v>
      </c>
      <c r="CD103" s="139" t="n">
        <f aca="false">+SUM(DATOS_[[#This Row],[Conc.Sal.01]:[Conc.Sal.30]])</f>
        <v>0</v>
      </c>
      <c r="CE103" s="139" t="n">
        <f aca="false">+DATOS_[[#This Row],[SALARIO BASE Ef]]+DATOS_[[#This Row],[Tot COMPL.SAL Ef]]</f>
        <v>0</v>
      </c>
      <c r="CF103" s="139" t="n">
        <f aca="false">+SUM(DATOS_[[#This Row],[C.Extra.01]:[C.Extra.05]])</f>
        <v>0</v>
      </c>
      <c r="CG103" s="139" t="n">
        <f aca="false">+DATOS_[[#This Row],[TOTAL SALARIO Ef]]+DATOS_[[#This Row],[Tot Extrasalarial Ef]]</f>
        <v>0</v>
      </c>
      <c r="CH103" s="140" t="n">
        <f aca="false">MIN(IF(DATOS_[[#This Row],[Fecha Fin Contrato]]="",$D$4,DATOS_[[#This Row],[Fecha Fin Contrato]]),$D$4)-MAX(DATOS_[[#This Row],[Fecha de Contratación]],$D$3)+1</f>
        <v>1</v>
      </c>
      <c r="CI103" s="141" t="str">
        <f aca="false">IF(COUNTIFS(DATOS_[id],DATOS_[[#This Row],[id]])&gt;1,DATOS_[[#This Row],[id]],"")</f>
        <v/>
      </c>
      <c r="CJ103" s="141" t="n">
        <f aca="false">(Inicio!$G$10-DATOS_[[#This Row],[Fecha Nacimiento]])/365.25</f>
        <v>0</v>
      </c>
      <c r="CK103" s="141" t="n">
        <f aca="false">(Inicio!$G$10-DATOS_[[#This Row],[Fecha de Antigüedad]])/365.25</f>
        <v>0</v>
      </c>
      <c r="CL103" s="141" t="e">
        <f aca="false">+VLOOKUP(DATOS_[[#This Row],[Clave de Contrato]],TblTiposContrato13[],3,0)</f>
        <v>#N/A</v>
      </c>
      <c r="CM103" s="141" t="e">
        <f aca="false">+VLOOKUP(DATOS_[[#This Row],[Clave de Contrato]],TblTiposContrato13[],4,0)</f>
        <v>#N/A</v>
      </c>
      <c r="CN103" s="141" t="str">
        <f aca="false">VLOOKUP(DATOS_[[#This Row],[Edad]],CONTRATOS!TblRngEdad,2,1)</f>
        <v>20  o menos</v>
      </c>
      <c r="CO103" s="141" t="str">
        <f aca="false">VLOOKUP(DATOS_[[#This Row],[Antigüedad]],TblRngAntg14[],2,1)</f>
        <v>0 a 1 años</v>
      </c>
    </row>
    <row r="104" customFormat="false" ht="13.8" hidden="false" customHeight="false" outlineLevel="0" collapsed="false">
      <c r="D104" s="128"/>
      <c r="E104" s="129"/>
      <c r="F104" s="129"/>
      <c r="G104" s="129"/>
      <c r="H104" s="130"/>
      <c r="I104" s="131"/>
      <c r="J104" s="128"/>
      <c r="K104" s="132"/>
      <c r="L104" s="132"/>
      <c r="M104" s="133"/>
      <c r="N104" s="133"/>
      <c r="O104" s="133"/>
      <c r="P104" s="129"/>
      <c r="Z104" s="75"/>
      <c r="AA104" s="76"/>
      <c r="AB104" s="76"/>
      <c r="AC104" s="129"/>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5"/>
      <c r="BN104" s="136" t="n">
        <f aca="false">+MAX($D$3,DATOS_[[#This Row],[Fecha Inicio Sit. Contract.]])</f>
        <v>0</v>
      </c>
      <c r="BO104" s="136" t="n">
        <f aca="false">+MIN($D$4,DATOS_[[#This Row],[Fecha Fin Sit. Contract.]])</f>
        <v>0</v>
      </c>
      <c r="BP104" s="137" t="n">
        <f aca="false">+DATOS_[[#This Row],[% de jornada]]*IF(DATOS_[[#This Row],[% jornada reducida]]="",1,DATOS_[[#This Row],[% jornada reducida]])</f>
        <v>0</v>
      </c>
      <c r="BQ104" s="137" t="n">
        <f aca="false">+(DATOS_[[#This Row],[F.fin.cal]]-DATOS_[[#This Row],[F.ini.cal]]+1)/($D$4-$D$3+1)</f>
        <v>1</v>
      </c>
      <c r="BR104" s="137" t="str">
        <f aca="false">IF(OR(AND(DATOS_[[#This Row],[Fecha Fin Contrato]]&lt;$D$3,DATOS_[[#This Row],[Fecha Fin Contrato]]&lt;&gt;""),DATOS_[[#This Row],[Fecha de Contratación]]&gt;$D$4),"Fuera","Dentro")</f>
        <v>Dentro</v>
      </c>
      <c r="BS104" s="137" t="str">
        <f aca="false" t="array" ref="BS104:BS104">IF(MAX(IF(DATOS_[id]=DATOS_[[#This Row],[id]],DATOS_[F.fin.cal]))=DATOS_[[#This Row],[F.fin.cal]],"Sí","NO")</f>
        <v>Sí</v>
      </c>
      <c r="BT104" s="137" t="str">
        <f aca="false">IF(AND(DATOS_[[#This Row],[% normaliz]]&lt;&gt;1,DATOS_[[#This Row],[% anualiz]]=1),"Sí","NO")</f>
        <v>Sí</v>
      </c>
      <c r="BU104" s="137" t="str">
        <f aca="false">IF(AND(DATOS_[[#This Row],[% normaliz]]=1,DATOS_[[#This Row],[% anualiz]]&lt;&gt;1),"Sí","NO")</f>
        <v>NO</v>
      </c>
      <c r="BV104" s="137" t="str">
        <f aca="false">IF(AND(DATOS_[[#This Row],[% normaliz]]&lt;&gt;1,DATOS_[[#This Row],[% anualiz]]&lt;&gt;1),"Sí","NO")</f>
        <v>NO</v>
      </c>
      <c r="BW104" s="137" t="str">
        <f aca="false">+IF(DATOS_[[#This Row],[% normaliz]]*DATOS_[[#This Row],[% anualiz]]=1,"NO","Sí")</f>
        <v>Sí</v>
      </c>
      <c r="BX104" s="138" t="e">
        <f aca="false">(DATOS_[[#This Row],[S.BASE]]*(1/DATOS_[[#This Row],[% normaliz]])*(1/DATOS_[[#This Row],[% anualiz]]))*IF(DATOS_[[#This Row],[Check Equiparado]]="Sí",1,0)</f>
        <v>#DIV/0!</v>
      </c>
      <c r="BY1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 s="138" t="e">
        <f aca="false">+DATOS_[[#This Row],[SALARIO BASE Eq]]+DATOS_[[#This Row],[Tot COMPL.SAL Eq]]</f>
        <v>#DIV/0!</v>
      </c>
      <c r="CA104" s="138" t="e">
        <f aca="false" t="array" ref="CA104:CA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 s="138" t="e">
        <f aca="false">+DATOS_[[#This Row],[TOTAL SALARIO Eq]]+DATOS_[[#This Row],[Tot Extrasalarial Eq]]</f>
        <v>#DIV/0!</v>
      </c>
      <c r="CC104" s="139" t="n">
        <f aca="false">DATOS_[[#This Row],[S.BASE]]</f>
        <v>0</v>
      </c>
      <c r="CD104" s="139" t="n">
        <f aca="false">+SUM(DATOS_[[#This Row],[Conc.Sal.01]:[Conc.Sal.30]])</f>
        <v>0</v>
      </c>
      <c r="CE104" s="139" t="n">
        <f aca="false">+DATOS_[[#This Row],[SALARIO BASE Ef]]+DATOS_[[#This Row],[Tot COMPL.SAL Ef]]</f>
        <v>0</v>
      </c>
      <c r="CF104" s="139" t="n">
        <f aca="false">+SUM(DATOS_[[#This Row],[C.Extra.01]:[C.Extra.05]])</f>
        <v>0</v>
      </c>
      <c r="CG104" s="139" t="n">
        <f aca="false">+DATOS_[[#This Row],[TOTAL SALARIO Ef]]+DATOS_[[#This Row],[Tot Extrasalarial Ef]]</f>
        <v>0</v>
      </c>
      <c r="CH104" s="140" t="n">
        <f aca="false">MIN(IF(DATOS_[[#This Row],[Fecha Fin Contrato]]="",$D$4,DATOS_[[#This Row],[Fecha Fin Contrato]]),$D$4)-MAX(DATOS_[[#This Row],[Fecha de Contratación]],$D$3)+1</f>
        <v>1</v>
      </c>
      <c r="CI104" s="141" t="str">
        <f aca="false">IF(COUNTIFS(DATOS_[id],DATOS_[[#This Row],[id]])&gt;1,DATOS_[[#This Row],[id]],"")</f>
        <v/>
      </c>
      <c r="CJ104" s="141" t="n">
        <f aca="false">(Inicio!$G$10-DATOS_[[#This Row],[Fecha Nacimiento]])/365.25</f>
        <v>0</v>
      </c>
      <c r="CK104" s="141" t="n">
        <f aca="false">(Inicio!$G$10-DATOS_[[#This Row],[Fecha de Antigüedad]])/365.25</f>
        <v>0</v>
      </c>
      <c r="CL104" s="141" t="e">
        <f aca="false">+VLOOKUP(DATOS_[[#This Row],[Clave de Contrato]],TblTiposContrato13[],3,0)</f>
        <v>#N/A</v>
      </c>
      <c r="CM104" s="141" t="e">
        <f aca="false">+VLOOKUP(DATOS_[[#This Row],[Clave de Contrato]],TblTiposContrato13[],4,0)</f>
        <v>#N/A</v>
      </c>
      <c r="CN104" s="141" t="str">
        <f aca="false">VLOOKUP(DATOS_[[#This Row],[Edad]],CONTRATOS!TblRngEdad,2,1)</f>
        <v>20  o menos</v>
      </c>
      <c r="CO104" s="141" t="str">
        <f aca="false">VLOOKUP(DATOS_[[#This Row],[Antigüedad]],TblRngAntg14[],2,1)</f>
        <v>0 a 1 años</v>
      </c>
    </row>
    <row r="105" customFormat="false" ht="13.8" hidden="false" customHeight="false" outlineLevel="0" collapsed="false">
      <c r="D105" s="128"/>
      <c r="E105" s="129"/>
      <c r="F105" s="129"/>
      <c r="G105" s="129"/>
      <c r="H105" s="130"/>
      <c r="I105" s="131"/>
      <c r="J105" s="128"/>
      <c r="K105" s="132"/>
      <c r="L105" s="132"/>
      <c r="M105" s="133"/>
      <c r="N105" s="133"/>
      <c r="O105" s="133"/>
      <c r="P105" s="129"/>
      <c r="Z105" s="75"/>
      <c r="AA105" s="76"/>
      <c r="AB105" s="76"/>
      <c r="AC105" s="129"/>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5"/>
      <c r="BN105" s="136" t="n">
        <f aca="false">+MAX($D$3,DATOS_[[#This Row],[Fecha Inicio Sit. Contract.]])</f>
        <v>0</v>
      </c>
      <c r="BO105" s="136" t="n">
        <f aca="false">+MIN($D$4,DATOS_[[#This Row],[Fecha Fin Sit. Contract.]])</f>
        <v>0</v>
      </c>
      <c r="BP105" s="137" t="n">
        <f aca="false">+DATOS_[[#This Row],[% de jornada]]*IF(DATOS_[[#This Row],[% jornada reducida]]="",1,DATOS_[[#This Row],[% jornada reducida]])</f>
        <v>0</v>
      </c>
      <c r="BQ105" s="137" t="n">
        <f aca="false">+(DATOS_[[#This Row],[F.fin.cal]]-DATOS_[[#This Row],[F.ini.cal]]+1)/($D$4-$D$3+1)</f>
        <v>1</v>
      </c>
      <c r="BR105" s="137" t="str">
        <f aca="false">IF(OR(AND(DATOS_[[#This Row],[Fecha Fin Contrato]]&lt;$D$3,DATOS_[[#This Row],[Fecha Fin Contrato]]&lt;&gt;""),DATOS_[[#This Row],[Fecha de Contratación]]&gt;$D$4),"Fuera","Dentro")</f>
        <v>Dentro</v>
      </c>
      <c r="BS105" s="137" t="str">
        <f aca="false" t="array" ref="BS105:BS105">IF(MAX(IF(DATOS_[id]=DATOS_[[#This Row],[id]],DATOS_[F.fin.cal]))=DATOS_[[#This Row],[F.fin.cal]],"Sí","NO")</f>
        <v>Sí</v>
      </c>
      <c r="BT105" s="137" t="str">
        <f aca="false">IF(AND(DATOS_[[#This Row],[% normaliz]]&lt;&gt;1,DATOS_[[#This Row],[% anualiz]]=1),"Sí","NO")</f>
        <v>Sí</v>
      </c>
      <c r="BU105" s="137" t="str">
        <f aca="false">IF(AND(DATOS_[[#This Row],[% normaliz]]=1,DATOS_[[#This Row],[% anualiz]]&lt;&gt;1),"Sí","NO")</f>
        <v>NO</v>
      </c>
      <c r="BV105" s="137" t="str">
        <f aca="false">IF(AND(DATOS_[[#This Row],[% normaliz]]&lt;&gt;1,DATOS_[[#This Row],[% anualiz]]&lt;&gt;1),"Sí","NO")</f>
        <v>NO</v>
      </c>
      <c r="BW105" s="137" t="str">
        <f aca="false">+IF(DATOS_[[#This Row],[% normaliz]]*DATOS_[[#This Row],[% anualiz]]=1,"NO","Sí")</f>
        <v>Sí</v>
      </c>
      <c r="BX105" s="138" t="e">
        <f aca="false">(DATOS_[[#This Row],[S.BASE]]*(1/DATOS_[[#This Row],[% normaliz]])*(1/DATOS_[[#This Row],[% anualiz]]))*IF(DATOS_[[#This Row],[Check Equiparado]]="Sí",1,0)</f>
        <v>#DIV/0!</v>
      </c>
      <c r="BY1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 s="138" t="e">
        <f aca="false">+DATOS_[[#This Row],[SALARIO BASE Eq]]+DATOS_[[#This Row],[Tot COMPL.SAL Eq]]</f>
        <v>#DIV/0!</v>
      </c>
      <c r="CA105" s="138" t="e">
        <f aca="false" t="array" ref="CA105:CA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 s="138" t="e">
        <f aca="false">+DATOS_[[#This Row],[TOTAL SALARIO Eq]]+DATOS_[[#This Row],[Tot Extrasalarial Eq]]</f>
        <v>#DIV/0!</v>
      </c>
      <c r="CC105" s="139" t="n">
        <f aca="false">DATOS_[[#This Row],[S.BASE]]</f>
        <v>0</v>
      </c>
      <c r="CD105" s="139" t="n">
        <f aca="false">+SUM(DATOS_[[#This Row],[Conc.Sal.01]:[Conc.Sal.30]])</f>
        <v>0</v>
      </c>
      <c r="CE105" s="139" t="n">
        <f aca="false">+DATOS_[[#This Row],[SALARIO BASE Ef]]+DATOS_[[#This Row],[Tot COMPL.SAL Ef]]</f>
        <v>0</v>
      </c>
      <c r="CF105" s="139" t="n">
        <f aca="false">+SUM(DATOS_[[#This Row],[C.Extra.01]:[C.Extra.05]])</f>
        <v>0</v>
      </c>
      <c r="CG105" s="139" t="n">
        <f aca="false">+DATOS_[[#This Row],[TOTAL SALARIO Ef]]+DATOS_[[#This Row],[Tot Extrasalarial Ef]]</f>
        <v>0</v>
      </c>
      <c r="CH105" s="140" t="n">
        <f aca="false">MIN(IF(DATOS_[[#This Row],[Fecha Fin Contrato]]="",$D$4,DATOS_[[#This Row],[Fecha Fin Contrato]]),$D$4)-MAX(DATOS_[[#This Row],[Fecha de Contratación]],$D$3)+1</f>
        <v>1</v>
      </c>
      <c r="CI105" s="141" t="str">
        <f aca="false">IF(COUNTIFS(DATOS_[id],DATOS_[[#This Row],[id]])&gt;1,DATOS_[[#This Row],[id]],"")</f>
        <v/>
      </c>
      <c r="CJ105" s="141" t="n">
        <f aca="false">(Inicio!$G$10-DATOS_[[#This Row],[Fecha Nacimiento]])/365.25</f>
        <v>0</v>
      </c>
      <c r="CK105" s="141" t="n">
        <f aca="false">(Inicio!$G$10-DATOS_[[#This Row],[Fecha de Antigüedad]])/365.25</f>
        <v>0</v>
      </c>
      <c r="CL105" s="141" t="e">
        <f aca="false">+VLOOKUP(DATOS_[[#This Row],[Clave de Contrato]],TblTiposContrato13[],3,0)</f>
        <v>#N/A</v>
      </c>
      <c r="CM105" s="141" t="e">
        <f aca="false">+VLOOKUP(DATOS_[[#This Row],[Clave de Contrato]],TblTiposContrato13[],4,0)</f>
        <v>#N/A</v>
      </c>
      <c r="CN105" s="141" t="str">
        <f aca="false">VLOOKUP(DATOS_[[#This Row],[Edad]],CONTRATOS!TblRngEdad,2,1)</f>
        <v>20  o menos</v>
      </c>
      <c r="CO105" s="141" t="str">
        <f aca="false">VLOOKUP(DATOS_[[#This Row],[Antigüedad]],TblRngAntg14[],2,1)</f>
        <v>0 a 1 años</v>
      </c>
    </row>
    <row r="106" customFormat="false" ht="13.8" hidden="false" customHeight="false" outlineLevel="0" collapsed="false">
      <c r="D106" s="128"/>
      <c r="E106" s="129"/>
      <c r="F106" s="129"/>
      <c r="G106" s="129"/>
      <c r="H106" s="130"/>
      <c r="I106" s="131"/>
      <c r="J106" s="128"/>
      <c r="K106" s="132"/>
      <c r="L106" s="132"/>
      <c r="M106" s="133"/>
      <c r="N106" s="133"/>
      <c r="O106" s="133"/>
      <c r="P106" s="129"/>
      <c r="Z106" s="75"/>
      <c r="AA106" s="76"/>
      <c r="AB106" s="76"/>
      <c r="AC106" s="129"/>
      <c r="AD106" s="134"/>
      <c r="AE106" s="134"/>
      <c r="AF106" s="134"/>
      <c r="AG106" s="134"/>
      <c r="AH106" s="134"/>
      <c r="AI106" s="134"/>
      <c r="AJ106" s="134"/>
      <c r="AK106" s="134"/>
      <c r="AL106" s="134"/>
      <c r="AM106" s="134"/>
      <c r="AN106" s="134"/>
      <c r="AO106" s="134"/>
      <c r="AP106" s="134"/>
      <c r="AQ106" s="134"/>
      <c r="AR106" s="134"/>
      <c r="AS106" s="134"/>
      <c r="AT106" s="134"/>
      <c r="AU106" s="134"/>
      <c r="AV106" s="134"/>
      <c r="AW106" s="134"/>
      <c r="AX106" s="134"/>
      <c r="AY106" s="134"/>
      <c r="AZ106" s="134"/>
      <c r="BA106" s="134"/>
      <c r="BB106" s="134"/>
      <c r="BC106" s="134"/>
      <c r="BD106" s="134"/>
      <c r="BE106" s="134"/>
      <c r="BF106" s="134"/>
      <c r="BG106" s="134"/>
      <c r="BH106" s="134"/>
      <c r="BI106" s="134"/>
      <c r="BJ106" s="134"/>
      <c r="BK106" s="134"/>
      <c r="BL106" s="134"/>
      <c r="BM106" s="135"/>
      <c r="BN106" s="136" t="n">
        <f aca="false">+MAX($D$3,DATOS_[[#This Row],[Fecha Inicio Sit. Contract.]])</f>
        <v>0</v>
      </c>
      <c r="BO106" s="136" t="n">
        <f aca="false">+MIN($D$4,DATOS_[[#This Row],[Fecha Fin Sit. Contract.]])</f>
        <v>0</v>
      </c>
      <c r="BP106" s="137" t="n">
        <f aca="false">+DATOS_[[#This Row],[% de jornada]]*IF(DATOS_[[#This Row],[% jornada reducida]]="",1,DATOS_[[#This Row],[% jornada reducida]])</f>
        <v>0</v>
      </c>
      <c r="BQ106" s="137" t="n">
        <f aca="false">+(DATOS_[[#This Row],[F.fin.cal]]-DATOS_[[#This Row],[F.ini.cal]]+1)/($D$4-$D$3+1)</f>
        <v>1</v>
      </c>
      <c r="BR106" s="137" t="str">
        <f aca="false">IF(OR(AND(DATOS_[[#This Row],[Fecha Fin Contrato]]&lt;$D$3,DATOS_[[#This Row],[Fecha Fin Contrato]]&lt;&gt;""),DATOS_[[#This Row],[Fecha de Contratación]]&gt;$D$4),"Fuera","Dentro")</f>
        <v>Dentro</v>
      </c>
      <c r="BS106" s="137" t="str">
        <f aca="false" t="array" ref="BS106:BS106">IF(MAX(IF(DATOS_[id]=DATOS_[[#This Row],[id]],DATOS_[F.fin.cal]))=DATOS_[[#This Row],[F.fin.cal]],"Sí","NO")</f>
        <v>Sí</v>
      </c>
      <c r="BT106" s="137" t="str">
        <f aca="false">IF(AND(DATOS_[[#This Row],[% normaliz]]&lt;&gt;1,DATOS_[[#This Row],[% anualiz]]=1),"Sí","NO")</f>
        <v>Sí</v>
      </c>
      <c r="BU106" s="137" t="str">
        <f aca="false">IF(AND(DATOS_[[#This Row],[% normaliz]]=1,DATOS_[[#This Row],[% anualiz]]&lt;&gt;1),"Sí","NO")</f>
        <v>NO</v>
      </c>
      <c r="BV106" s="137" t="str">
        <f aca="false">IF(AND(DATOS_[[#This Row],[% normaliz]]&lt;&gt;1,DATOS_[[#This Row],[% anualiz]]&lt;&gt;1),"Sí","NO")</f>
        <v>NO</v>
      </c>
      <c r="BW106" s="137" t="str">
        <f aca="false">+IF(DATOS_[[#This Row],[% normaliz]]*DATOS_[[#This Row],[% anualiz]]=1,"NO","Sí")</f>
        <v>Sí</v>
      </c>
      <c r="BX106" s="138" t="e">
        <f aca="false">(DATOS_[[#This Row],[S.BASE]]*(1/DATOS_[[#This Row],[% normaliz]])*(1/DATOS_[[#This Row],[% anualiz]]))*IF(DATOS_[[#This Row],[Check Equiparado]]="Sí",1,0)</f>
        <v>#DIV/0!</v>
      </c>
      <c r="BY1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 s="138" t="e">
        <f aca="false">+DATOS_[[#This Row],[SALARIO BASE Eq]]+DATOS_[[#This Row],[Tot COMPL.SAL Eq]]</f>
        <v>#DIV/0!</v>
      </c>
      <c r="CA106" s="138" t="e">
        <f aca="false" t="array" ref="CA106:CA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 s="138" t="e">
        <f aca="false">+DATOS_[[#This Row],[TOTAL SALARIO Eq]]+DATOS_[[#This Row],[Tot Extrasalarial Eq]]</f>
        <v>#DIV/0!</v>
      </c>
      <c r="CC106" s="139" t="n">
        <f aca="false">DATOS_[[#This Row],[S.BASE]]</f>
        <v>0</v>
      </c>
      <c r="CD106" s="139" t="n">
        <f aca="false">+SUM(DATOS_[[#This Row],[Conc.Sal.01]:[Conc.Sal.30]])</f>
        <v>0</v>
      </c>
      <c r="CE106" s="139" t="n">
        <f aca="false">+DATOS_[[#This Row],[SALARIO BASE Ef]]+DATOS_[[#This Row],[Tot COMPL.SAL Ef]]</f>
        <v>0</v>
      </c>
      <c r="CF106" s="139" t="n">
        <f aca="false">+SUM(DATOS_[[#This Row],[C.Extra.01]:[C.Extra.05]])</f>
        <v>0</v>
      </c>
      <c r="CG106" s="139" t="n">
        <f aca="false">+DATOS_[[#This Row],[TOTAL SALARIO Ef]]+DATOS_[[#This Row],[Tot Extrasalarial Ef]]</f>
        <v>0</v>
      </c>
      <c r="CH106" s="140" t="n">
        <f aca="false">MIN(IF(DATOS_[[#This Row],[Fecha Fin Contrato]]="",$D$4,DATOS_[[#This Row],[Fecha Fin Contrato]]),$D$4)-MAX(DATOS_[[#This Row],[Fecha de Contratación]],$D$3)+1</f>
        <v>1</v>
      </c>
      <c r="CI106" s="141" t="str">
        <f aca="false">IF(COUNTIFS(DATOS_[id],DATOS_[[#This Row],[id]])&gt;1,DATOS_[[#This Row],[id]],"")</f>
        <v/>
      </c>
      <c r="CJ106" s="141" t="n">
        <f aca="false">(Inicio!$G$10-DATOS_[[#This Row],[Fecha Nacimiento]])/365.25</f>
        <v>0</v>
      </c>
      <c r="CK106" s="141" t="n">
        <f aca="false">(Inicio!$G$10-DATOS_[[#This Row],[Fecha de Antigüedad]])/365.25</f>
        <v>0</v>
      </c>
      <c r="CL106" s="141" t="e">
        <f aca="false">+VLOOKUP(DATOS_[[#This Row],[Clave de Contrato]],TblTiposContrato13[],3,0)</f>
        <v>#N/A</v>
      </c>
      <c r="CM106" s="141" t="e">
        <f aca="false">+VLOOKUP(DATOS_[[#This Row],[Clave de Contrato]],TblTiposContrato13[],4,0)</f>
        <v>#N/A</v>
      </c>
      <c r="CN106" s="141" t="str">
        <f aca="false">VLOOKUP(DATOS_[[#This Row],[Edad]],CONTRATOS!TblRngEdad,2,1)</f>
        <v>20  o menos</v>
      </c>
      <c r="CO106" s="141" t="str">
        <f aca="false">VLOOKUP(DATOS_[[#This Row],[Antigüedad]],TblRngAntg14[],2,1)</f>
        <v>0 a 1 años</v>
      </c>
    </row>
    <row r="107" customFormat="false" ht="13.8" hidden="false" customHeight="false" outlineLevel="0" collapsed="false">
      <c r="D107" s="128"/>
      <c r="E107" s="129"/>
      <c r="F107" s="129"/>
      <c r="G107" s="129"/>
      <c r="H107" s="130"/>
      <c r="I107" s="131"/>
      <c r="J107" s="128"/>
      <c r="K107" s="132"/>
      <c r="L107" s="132"/>
      <c r="M107" s="133"/>
      <c r="N107" s="133"/>
      <c r="O107" s="133"/>
      <c r="P107" s="129"/>
      <c r="Z107" s="75"/>
      <c r="AA107" s="76"/>
      <c r="AB107" s="76"/>
      <c r="AC107" s="129"/>
      <c r="AD107" s="134"/>
      <c r="AE107" s="134"/>
      <c r="AF107" s="134"/>
      <c r="AG107" s="134"/>
      <c r="AH107" s="134"/>
      <c r="AI107" s="134"/>
      <c r="AJ107" s="134"/>
      <c r="AK107" s="134"/>
      <c r="AL107" s="134"/>
      <c r="AM107" s="134"/>
      <c r="AN107" s="134"/>
      <c r="AO107" s="134"/>
      <c r="AP107" s="134"/>
      <c r="AQ107" s="134"/>
      <c r="AR107" s="134"/>
      <c r="AS107" s="134"/>
      <c r="AT107" s="134"/>
      <c r="AU107" s="134"/>
      <c r="AV107" s="134"/>
      <c r="AW107" s="134"/>
      <c r="AX107" s="134"/>
      <c r="AY107" s="134"/>
      <c r="AZ107" s="134"/>
      <c r="BA107" s="134"/>
      <c r="BB107" s="134"/>
      <c r="BC107" s="134"/>
      <c r="BD107" s="134"/>
      <c r="BE107" s="134"/>
      <c r="BF107" s="134"/>
      <c r="BG107" s="134"/>
      <c r="BH107" s="134"/>
      <c r="BI107" s="134"/>
      <c r="BJ107" s="134"/>
      <c r="BK107" s="134"/>
      <c r="BL107" s="134"/>
      <c r="BM107" s="135"/>
      <c r="BN107" s="136" t="n">
        <f aca="false">+MAX($D$3,DATOS_[[#This Row],[Fecha Inicio Sit. Contract.]])</f>
        <v>0</v>
      </c>
      <c r="BO107" s="136" t="n">
        <f aca="false">+MIN($D$4,DATOS_[[#This Row],[Fecha Fin Sit. Contract.]])</f>
        <v>0</v>
      </c>
      <c r="BP107" s="137" t="n">
        <f aca="false">+DATOS_[[#This Row],[% de jornada]]*IF(DATOS_[[#This Row],[% jornada reducida]]="",1,DATOS_[[#This Row],[% jornada reducida]])</f>
        <v>0</v>
      </c>
      <c r="BQ107" s="137" t="n">
        <f aca="false">+(DATOS_[[#This Row],[F.fin.cal]]-DATOS_[[#This Row],[F.ini.cal]]+1)/($D$4-$D$3+1)</f>
        <v>1</v>
      </c>
      <c r="BR107" s="137" t="str">
        <f aca="false">IF(OR(AND(DATOS_[[#This Row],[Fecha Fin Contrato]]&lt;$D$3,DATOS_[[#This Row],[Fecha Fin Contrato]]&lt;&gt;""),DATOS_[[#This Row],[Fecha de Contratación]]&gt;$D$4),"Fuera","Dentro")</f>
        <v>Dentro</v>
      </c>
      <c r="BS107" s="137" t="str">
        <f aca="false" t="array" ref="BS107:BS107">IF(MAX(IF(DATOS_[id]=DATOS_[[#This Row],[id]],DATOS_[F.fin.cal]))=DATOS_[[#This Row],[F.fin.cal]],"Sí","NO")</f>
        <v>Sí</v>
      </c>
      <c r="BT107" s="137" t="str">
        <f aca="false">IF(AND(DATOS_[[#This Row],[% normaliz]]&lt;&gt;1,DATOS_[[#This Row],[% anualiz]]=1),"Sí","NO")</f>
        <v>Sí</v>
      </c>
      <c r="BU107" s="137" t="str">
        <f aca="false">IF(AND(DATOS_[[#This Row],[% normaliz]]=1,DATOS_[[#This Row],[% anualiz]]&lt;&gt;1),"Sí","NO")</f>
        <v>NO</v>
      </c>
      <c r="BV107" s="137" t="str">
        <f aca="false">IF(AND(DATOS_[[#This Row],[% normaliz]]&lt;&gt;1,DATOS_[[#This Row],[% anualiz]]&lt;&gt;1),"Sí","NO")</f>
        <v>NO</v>
      </c>
      <c r="BW107" s="137" t="str">
        <f aca="false">+IF(DATOS_[[#This Row],[% normaliz]]*DATOS_[[#This Row],[% anualiz]]=1,"NO","Sí")</f>
        <v>Sí</v>
      </c>
      <c r="BX107" s="138" t="e">
        <f aca="false">(DATOS_[[#This Row],[S.BASE]]*(1/DATOS_[[#This Row],[% normaliz]])*(1/DATOS_[[#This Row],[% anualiz]]))*IF(DATOS_[[#This Row],[Check Equiparado]]="Sí",1,0)</f>
        <v>#DIV/0!</v>
      </c>
      <c r="BY1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 s="138" t="e">
        <f aca="false">+DATOS_[[#This Row],[SALARIO BASE Eq]]+DATOS_[[#This Row],[Tot COMPL.SAL Eq]]</f>
        <v>#DIV/0!</v>
      </c>
      <c r="CA107" s="138" t="e">
        <f aca="false" t="array" ref="CA107:CA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 s="138" t="e">
        <f aca="false">+DATOS_[[#This Row],[TOTAL SALARIO Eq]]+DATOS_[[#This Row],[Tot Extrasalarial Eq]]</f>
        <v>#DIV/0!</v>
      </c>
      <c r="CC107" s="139" t="n">
        <f aca="false">DATOS_[[#This Row],[S.BASE]]</f>
        <v>0</v>
      </c>
      <c r="CD107" s="139" t="n">
        <f aca="false">+SUM(DATOS_[[#This Row],[Conc.Sal.01]:[Conc.Sal.30]])</f>
        <v>0</v>
      </c>
      <c r="CE107" s="139" t="n">
        <f aca="false">+DATOS_[[#This Row],[SALARIO BASE Ef]]+DATOS_[[#This Row],[Tot COMPL.SAL Ef]]</f>
        <v>0</v>
      </c>
      <c r="CF107" s="139" t="n">
        <f aca="false">+SUM(DATOS_[[#This Row],[C.Extra.01]:[C.Extra.05]])</f>
        <v>0</v>
      </c>
      <c r="CG107" s="139" t="n">
        <f aca="false">+DATOS_[[#This Row],[TOTAL SALARIO Ef]]+DATOS_[[#This Row],[Tot Extrasalarial Ef]]</f>
        <v>0</v>
      </c>
      <c r="CH107" s="140" t="n">
        <f aca="false">MIN(IF(DATOS_[[#This Row],[Fecha Fin Contrato]]="",$D$4,DATOS_[[#This Row],[Fecha Fin Contrato]]),$D$4)-MAX(DATOS_[[#This Row],[Fecha de Contratación]],$D$3)+1</f>
        <v>1</v>
      </c>
      <c r="CI107" s="141" t="str">
        <f aca="false">IF(COUNTIFS(DATOS_[id],DATOS_[[#This Row],[id]])&gt;1,DATOS_[[#This Row],[id]],"")</f>
        <v/>
      </c>
      <c r="CJ107" s="141" t="n">
        <f aca="false">(Inicio!$G$10-DATOS_[[#This Row],[Fecha Nacimiento]])/365.25</f>
        <v>0</v>
      </c>
      <c r="CK107" s="141" t="n">
        <f aca="false">(Inicio!$G$10-DATOS_[[#This Row],[Fecha de Antigüedad]])/365.25</f>
        <v>0</v>
      </c>
      <c r="CL107" s="141" t="e">
        <f aca="false">+VLOOKUP(DATOS_[[#This Row],[Clave de Contrato]],TblTiposContrato13[],3,0)</f>
        <v>#N/A</v>
      </c>
      <c r="CM107" s="141" t="e">
        <f aca="false">+VLOOKUP(DATOS_[[#This Row],[Clave de Contrato]],TblTiposContrato13[],4,0)</f>
        <v>#N/A</v>
      </c>
      <c r="CN107" s="141" t="str">
        <f aca="false">VLOOKUP(DATOS_[[#This Row],[Edad]],CONTRATOS!TblRngEdad,2,1)</f>
        <v>20  o menos</v>
      </c>
      <c r="CO107" s="141" t="str">
        <f aca="false">VLOOKUP(DATOS_[[#This Row],[Antigüedad]],TblRngAntg14[],2,1)</f>
        <v>0 a 1 años</v>
      </c>
    </row>
    <row r="108" customFormat="false" ht="13.8" hidden="false" customHeight="false" outlineLevel="0" collapsed="false">
      <c r="D108" s="128"/>
      <c r="E108" s="129"/>
      <c r="F108" s="129"/>
      <c r="G108" s="129"/>
      <c r="H108" s="130"/>
      <c r="I108" s="131"/>
      <c r="J108" s="128"/>
      <c r="K108" s="132"/>
      <c r="L108" s="132"/>
      <c r="M108" s="133"/>
      <c r="N108" s="133"/>
      <c r="O108" s="133"/>
      <c r="P108" s="129"/>
      <c r="Z108" s="75"/>
      <c r="AA108" s="76"/>
      <c r="AB108" s="76"/>
      <c r="AC108" s="129"/>
      <c r="AD108" s="134"/>
      <c r="AE108" s="134"/>
      <c r="AF108" s="134"/>
      <c r="AG108" s="134"/>
      <c r="AH108" s="134"/>
      <c r="AI108" s="134"/>
      <c r="AJ108" s="134"/>
      <c r="AK108" s="134"/>
      <c r="AL108" s="134"/>
      <c r="AM108" s="134"/>
      <c r="AN108" s="134"/>
      <c r="AO108" s="134"/>
      <c r="AP108" s="134"/>
      <c r="AQ108" s="134"/>
      <c r="AR108" s="134"/>
      <c r="AS108" s="134"/>
      <c r="AT108" s="134"/>
      <c r="AU108" s="134"/>
      <c r="AV108" s="134"/>
      <c r="AW108" s="134"/>
      <c r="AX108" s="134"/>
      <c r="AY108" s="134"/>
      <c r="AZ108" s="134"/>
      <c r="BA108" s="134"/>
      <c r="BB108" s="134"/>
      <c r="BC108" s="134"/>
      <c r="BD108" s="134"/>
      <c r="BE108" s="134"/>
      <c r="BF108" s="134"/>
      <c r="BG108" s="134"/>
      <c r="BH108" s="134"/>
      <c r="BI108" s="134"/>
      <c r="BJ108" s="134"/>
      <c r="BK108" s="134"/>
      <c r="BL108" s="134"/>
      <c r="BM108" s="135"/>
      <c r="BN108" s="136" t="n">
        <f aca="false">+MAX($D$3,DATOS_[[#This Row],[Fecha Inicio Sit. Contract.]])</f>
        <v>0</v>
      </c>
      <c r="BO108" s="136" t="n">
        <f aca="false">+MIN($D$4,DATOS_[[#This Row],[Fecha Fin Sit. Contract.]])</f>
        <v>0</v>
      </c>
      <c r="BP108" s="137" t="n">
        <f aca="false">+DATOS_[[#This Row],[% de jornada]]*IF(DATOS_[[#This Row],[% jornada reducida]]="",1,DATOS_[[#This Row],[% jornada reducida]])</f>
        <v>0</v>
      </c>
      <c r="BQ108" s="137" t="n">
        <f aca="false">+(DATOS_[[#This Row],[F.fin.cal]]-DATOS_[[#This Row],[F.ini.cal]]+1)/($D$4-$D$3+1)</f>
        <v>1</v>
      </c>
      <c r="BR108" s="137" t="str">
        <f aca="false">IF(OR(AND(DATOS_[[#This Row],[Fecha Fin Contrato]]&lt;$D$3,DATOS_[[#This Row],[Fecha Fin Contrato]]&lt;&gt;""),DATOS_[[#This Row],[Fecha de Contratación]]&gt;$D$4),"Fuera","Dentro")</f>
        <v>Dentro</v>
      </c>
      <c r="BS108" s="137" t="str">
        <f aca="false" t="array" ref="BS108:BS108">IF(MAX(IF(DATOS_[id]=DATOS_[[#This Row],[id]],DATOS_[F.fin.cal]))=DATOS_[[#This Row],[F.fin.cal]],"Sí","NO")</f>
        <v>Sí</v>
      </c>
      <c r="BT108" s="137" t="str">
        <f aca="false">IF(AND(DATOS_[[#This Row],[% normaliz]]&lt;&gt;1,DATOS_[[#This Row],[% anualiz]]=1),"Sí","NO")</f>
        <v>Sí</v>
      </c>
      <c r="BU108" s="137" t="str">
        <f aca="false">IF(AND(DATOS_[[#This Row],[% normaliz]]=1,DATOS_[[#This Row],[% anualiz]]&lt;&gt;1),"Sí","NO")</f>
        <v>NO</v>
      </c>
      <c r="BV108" s="137" t="str">
        <f aca="false">IF(AND(DATOS_[[#This Row],[% normaliz]]&lt;&gt;1,DATOS_[[#This Row],[% anualiz]]&lt;&gt;1),"Sí","NO")</f>
        <v>NO</v>
      </c>
      <c r="BW108" s="137" t="str">
        <f aca="false">+IF(DATOS_[[#This Row],[% normaliz]]*DATOS_[[#This Row],[% anualiz]]=1,"NO","Sí")</f>
        <v>Sí</v>
      </c>
      <c r="BX108" s="138" t="e">
        <f aca="false">(DATOS_[[#This Row],[S.BASE]]*(1/DATOS_[[#This Row],[% normaliz]])*(1/DATOS_[[#This Row],[% anualiz]]))*IF(DATOS_[[#This Row],[Check Equiparado]]="Sí",1,0)</f>
        <v>#DIV/0!</v>
      </c>
      <c r="BY1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 s="138" t="e">
        <f aca="false">+DATOS_[[#This Row],[SALARIO BASE Eq]]+DATOS_[[#This Row],[Tot COMPL.SAL Eq]]</f>
        <v>#DIV/0!</v>
      </c>
      <c r="CA108" s="138" t="e">
        <f aca="false" t="array" ref="CA108:CA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 s="138" t="e">
        <f aca="false">+DATOS_[[#This Row],[TOTAL SALARIO Eq]]+DATOS_[[#This Row],[Tot Extrasalarial Eq]]</f>
        <v>#DIV/0!</v>
      </c>
      <c r="CC108" s="139" t="n">
        <f aca="false">DATOS_[[#This Row],[S.BASE]]</f>
        <v>0</v>
      </c>
      <c r="CD108" s="139" t="n">
        <f aca="false">+SUM(DATOS_[[#This Row],[Conc.Sal.01]:[Conc.Sal.30]])</f>
        <v>0</v>
      </c>
      <c r="CE108" s="139" t="n">
        <f aca="false">+DATOS_[[#This Row],[SALARIO BASE Ef]]+DATOS_[[#This Row],[Tot COMPL.SAL Ef]]</f>
        <v>0</v>
      </c>
      <c r="CF108" s="139" t="n">
        <f aca="false">+SUM(DATOS_[[#This Row],[C.Extra.01]:[C.Extra.05]])</f>
        <v>0</v>
      </c>
      <c r="CG108" s="139" t="n">
        <f aca="false">+DATOS_[[#This Row],[TOTAL SALARIO Ef]]+DATOS_[[#This Row],[Tot Extrasalarial Ef]]</f>
        <v>0</v>
      </c>
      <c r="CH108" s="140" t="n">
        <f aca="false">MIN(IF(DATOS_[[#This Row],[Fecha Fin Contrato]]="",$D$4,DATOS_[[#This Row],[Fecha Fin Contrato]]),$D$4)-MAX(DATOS_[[#This Row],[Fecha de Contratación]],$D$3)+1</f>
        <v>1</v>
      </c>
      <c r="CI108" s="141" t="str">
        <f aca="false">IF(COUNTIFS(DATOS_[id],DATOS_[[#This Row],[id]])&gt;1,DATOS_[[#This Row],[id]],"")</f>
        <v/>
      </c>
      <c r="CJ108" s="141" t="n">
        <f aca="false">(Inicio!$G$10-DATOS_[[#This Row],[Fecha Nacimiento]])/365.25</f>
        <v>0</v>
      </c>
      <c r="CK108" s="141" t="n">
        <f aca="false">(Inicio!$G$10-DATOS_[[#This Row],[Fecha de Antigüedad]])/365.25</f>
        <v>0</v>
      </c>
      <c r="CL108" s="141" t="e">
        <f aca="false">+VLOOKUP(DATOS_[[#This Row],[Clave de Contrato]],TblTiposContrato13[],3,0)</f>
        <v>#N/A</v>
      </c>
      <c r="CM108" s="141" t="e">
        <f aca="false">+VLOOKUP(DATOS_[[#This Row],[Clave de Contrato]],TblTiposContrato13[],4,0)</f>
        <v>#N/A</v>
      </c>
      <c r="CN108" s="141" t="str">
        <f aca="false">VLOOKUP(DATOS_[[#This Row],[Edad]],CONTRATOS!TblRngEdad,2,1)</f>
        <v>20  o menos</v>
      </c>
      <c r="CO108" s="141" t="str">
        <f aca="false">VLOOKUP(DATOS_[[#This Row],[Antigüedad]],TblRngAntg14[],2,1)</f>
        <v>0 a 1 años</v>
      </c>
    </row>
    <row r="109" customFormat="false" ht="13.8" hidden="false" customHeight="false" outlineLevel="0" collapsed="false">
      <c r="D109" s="128"/>
      <c r="E109" s="129"/>
      <c r="F109" s="129"/>
      <c r="G109" s="129"/>
      <c r="H109" s="130"/>
      <c r="I109" s="131"/>
      <c r="J109" s="128"/>
      <c r="K109" s="132"/>
      <c r="L109" s="132"/>
      <c r="M109" s="133"/>
      <c r="N109" s="133"/>
      <c r="O109" s="133"/>
      <c r="P109" s="129"/>
      <c r="Z109" s="75"/>
      <c r="AA109" s="76"/>
      <c r="AB109" s="76"/>
      <c r="AC109" s="129"/>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4"/>
      <c r="BD109" s="134"/>
      <c r="BE109" s="134"/>
      <c r="BF109" s="134"/>
      <c r="BG109" s="134"/>
      <c r="BH109" s="134"/>
      <c r="BI109" s="134"/>
      <c r="BJ109" s="134"/>
      <c r="BK109" s="134"/>
      <c r="BL109" s="134"/>
      <c r="BM109" s="135"/>
      <c r="BN109" s="136" t="n">
        <f aca="false">+MAX($D$3,DATOS_[[#This Row],[Fecha Inicio Sit. Contract.]])</f>
        <v>0</v>
      </c>
      <c r="BO109" s="136" t="n">
        <f aca="false">+MIN($D$4,DATOS_[[#This Row],[Fecha Fin Sit. Contract.]])</f>
        <v>0</v>
      </c>
      <c r="BP109" s="137" t="n">
        <f aca="false">+DATOS_[[#This Row],[% de jornada]]*IF(DATOS_[[#This Row],[% jornada reducida]]="",1,DATOS_[[#This Row],[% jornada reducida]])</f>
        <v>0</v>
      </c>
      <c r="BQ109" s="137" t="n">
        <f aca="false">+(DATOS_[[#This Row],[F.fin.cal]]-DATOS_[[#This Row],[F.ini.cal]]+1)/($D$4-$D$3+1)</f>
        <v>1</v>
      </c>
      <c r="BR109" s="137" t="str">
        <f aca="false">IF(OR(AND(DATOS_[[#This Row],[Fecha Fin Contrato]]&lt;$D$3,DATOS_[[#This Row],[Fecha Fin Contrato]]&lt;&gt;""),DATOS_[[#This Row],[Fecha de Contratación]]&gt;$D$4),"Fuera","Dentro")</f>
        <v>Dentro</v>
      </c>
      <c r="BS109" s="137" t="str">
        <f aca="false" t="array" ref="BS109:BS109">IF(MAX(IF(DATOS_[id]=DATOS_[[#This Row],[id]],DATOS_[F.fin.cal]))=DATOS_[[#This Row],[F.fin.cal]],"Sí","NO")</f>
        <v>Sí</v>
      </c>
      <c r="BT109" s="137" t="str">
        <f aca="false">IF(AND(DATOS_[[#This Row],[% normaliz]]&lt;&gt;1,DATOS_[[#This Row],[% anualiz]]=1),"Sí","NO")</f>
        <v>Sí</v>
      </c>
      <c r="BU109" s="137" t="str">
        <f aca="false">IF(AND(DATOS_[[#This Row],[% normaliz]]=1,DATOS_[[#This Row],[% anualiz]]&lt;&gt;1),"Sí","NO")</f>
        <v>NO</v>
      </c>
      <c r="BV109" s="137" t="str">
        <f aca="false">IF(AND(DATOS_[[#This Row],[% normaliz]]&lt;&gt;1,DATOS_[[#This Row],[% anualiz]]&lt;&gt;1),"Sí","NO")</f>
        <v>NO</v>
      </c>
      <c r="BW109" s="137" t="str">
        <f aca="false">+IF(DATOS_[[#This Row],[% normaliz]]*DATOS_[[#This Row],[% anualiz]]=1,"NO","Sí")</f>
        <v>Sí</v>
      </c>
      <c r="BX109" s="138" t="e">
        <f aca="false">(DATOS_[[#This Row],[S.BASE]]*(1/DATOS_[[#This Row],[% normaliz]])*(1/DATOS_[[#This Row],[% anualiz]]))*IF(DATOS_[[#This Row],[Check Equiparado]]="Sí",1,0)</f>
        <v>#DIV/0!</v>
      </c>
      <c r="BY1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 s="138" t="e">
        <f aca="false">+DATOS_[[#This Row],[SALARIO BASE Eq]]+DATOS_[[#This Row],[Tot COMPL.SAL Eq]]</f>
        <v>#DIV/0!</v>
      </c>
      <c r="CA109" s="138" t="e">
        <f aca="false" t="array" ref="CA109:CA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 s="138" t="e">
        <f aca="false">+DATOS_[[#This Row],[TOTAL SALARIO Eq]]+DATOS_[[#This Row],[Tot Extrasalarial Eq]]</f>
        <v>#DIV/0!</v>
      </c>
      <c r="CC109" s="139" t="n">
        <f aca="false">DATOS_[[#This Row],[S.BASE]]</f>
        <v>0</v>
      </c>
      <c r="CD109" s="139" t="n">
        <f aca="false">+SUM(DATOS_[[#This Row],[Conc.Sal.01]:[Conc.Sal.30]])</f>
        <v>0</v>
      </c>
      <c r="CE109" s="139" t="n">
        <f aca="false">+DATOS_[[#This Row],[SALARIO BASE Ef]]+DATOS_[[#This Row],[Tot COMPL.SAL Ef]]</f>
        <v>0</v>
      </c>
      <c r="CF109" s="139" t="n">
        <f aca="false">+SUM(DATOS_[[#This Row],[C.Extra.01]:[C.Extra.05]])</f>
        <v>0</v>
      </c>
      <c r="CG109" s="139" t="n">
        <f aca="false">+DATOS_[[#This Row],[TOTAL SALARIO Ef]]+DATOS_[[#This Row],[Tot Extrasalarial Ef]]</f>
        <v>0</v>
      </c>
      <c r="CH109" s="140" t="n">
        <f aca="false">MIN(IF(DATOS_[[#This Row],[Fecha Fin Contrato]]="",$D$4,DATOS_[[#This Row],[Fecha Fin Contrato]]),$D$4)-MAX(DATOS_[[#This Row],[Fecha de Contratación]],$D$3)+1</f>
        <v>1</v>
      </c>
      <c r="CI109" s="141" t="str">
        <f aca="false">IF(COUNTIFS(DATOS_[id],DATOS_[[#This Row],[id]])&gt;1,DATOS_[[#This Row],[id]],"")</f>
        <v/>
      </c>
      <c r="CJ109" s="141" t="n">
        <f aca="false">(Inicio!$G$10-DATOS_[[#This Row],[Fecha Nacimiento]])/365.25</f>
        <v>0</v>
      </c>
      <c r="CK109" s="141" t="n">
        <f aca="false">(Inicio!$G$10-DATOS_[[#This Row],[Fecha de Antigüedad]])/365.25</f>
        <v>0</v>
      </c>
      <c r="CL109" s="141" t="e">
        <f aca="false">+VLOOKUP(DATOS_[[#This Row],[Clave de Contrato]],TblTiposContrato13[],3,0)</f>
        <v>#N/A</v>
      </c>
      <c r="CM109" s="141" t="e">
        <f aca="false">+VLOOKUP(DATOS_[[#This Row],[Clave de Contrato]],TblTiposContrato13[],4,0)</f>
        <v>#N/A</v>
      </c>
      <c r="CN109" s="141" t="str">
        <f aca="false">VLOOKUP(DATOS_[[#This Row],[Edad]],CONTRATOS!TblRngEdad,2,1)</f>
        <v>20  o menos</v>
      </c>
      <c r="CO109" s="141" t="str">
        <f aca="false">VLOOKUP(DATOS_[[#This Row],[Antigüedad]],TblRngAntg14[],2,1)</f>
        <v>0 a 1 años</v>
      </c>
    </row>
    <row r="110" customFormat="false" ht="13.8" hidden="false" customHeight="false" outlineLevel="0" collapsed="false">
      <c r="D110" s="128"/>
      <c r="E110" s="129"/>
      <c r="F110" s="129"/>
      <c r="G110" s="129"/>
      <c r="H110" s="130"/>
      <c r="I110" s="131"/>
      <c r="J110" s="128"/>
      <c r="K110" s="132"/>
      <c r="L110" s="132"/>
      <c r="M110" s="133"/>
      <c r="N110" s="133"/>
      <c r="O110" s="133"/>
      <c r="P110" s="129"/>
      <c r="Z110" s="75"/>
      <c r="AA110" s="76"/>
      <c r="AB110" s="76"/>
      <c r="AC110" s="129"/>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c r="BJ110" s="134"/>
      <c r="BK110" s="134"/>
      <c r="BL110" s="134"/>
      <c r="BM110" s="135"/>
      <c r="BN110" s="136" t="n">
        <f aca="false">+MAX($D$3,DATOS_[[#This Row],[Fecha Inicio Sit. Contract.]])</f>
        <v>0</v>
      </c>
      <c r="BO110" s="136" t="n">
        <f aca="false">+MIN($D$4,DATOS_[[#This Row],[Fecha Fin Sit. Contract.]])</f>
        <v>0</v>
      </c>
      <c r="BP110" s="137" t="n">
        <f aca="false">+DATOS_[[#This Row],[% de jornada]]*IF(DATOS_[[#This Row],[% jornada reducida]]="",1,DATOS_[[#This Row],[% jornada reducida]])</f>
        <v>0</v>
      </c>
      <c r="BQ110" s="137" t="n">
        <f aca="false">+(DATOS_[[#This Row],[F.fin.cal]]-DATOS_[[#This Row],[F.ini.cal]]+1)/($D$4-$D$3+1)</f>
        <v>1</v>
      </c>
      <c r="BR110" s="137" t="str">
        <f aca="false">IF(OR(AND(DATOS_[[#This Row],[Fecha Fin Contrato]]&lt;$D$3,DATOS_[[#This Row],[Fecha Fin Contrato]]&lt;&gt;""),DATOS_[[#This Row],[Fecha de Contratación]]&gt;$D$4),"Fuera","Dentro")</f>
        <v>Dentro</v>
      </c>
      <c r="BS110" s="137" t="str">
        <f aca="false" t="array" ref="BS110:BS110">IF(MAX(IF(DATOS_[id]=DATOS_[[#This Row],[id]],DATOS_[F.fin.cal]))=DATOS_[[#This Row],[F.fin.cal]],"Sí","NO")</f>
        <v>Sí</v>
      </c>
      <c r="BT110" s="137" t="str">
        <f aca="false">IF(AND(DATOS_[[#This Row],[% normaliz]]&lt;&gt;1,DATOS_[[#This Row],[% anualiz]]=1),"Sí","NO")</f>
        <v>Sí</v>
      </c>
      <c r="BU110" s="137" t="str">
        <f aca="false">IF(AND(DATOS_[[#This Row],[% normaliz]]=1,DATOS_[[#This Row],[% anualiz]]&lt;&gt;1),"Sí","NO")</f>
        <v>NO</v>
      </c>
      <c r="BV110" s="137" t="str">
        <f aca="false">IF(AND(DATOS_[[#This Row],[% normaliz]]&lt;&gt;1,DATOS_[[#This Row],[% anualiz]]&lt;&gt;1),"Sí","NO")</f>
        <v>NO</v>
      </c>
      <c r="BW110" s="137" t="str">
        <f aca="false">+IF(DATOS_[[#This Row],[% normaliz]]*DATOS_[[#This Row],[% anualiz]]=1,"NO","Sí")</f>
        <v>Sí</v>
      </c>
      <c r="BX110" s="138" t="e">
        <f aca="false">(DATOS_[[#This Row],[S.BASE]]*(1/DATOS_[[#This Row],[% normaliz]])*(1/DATOS_[[#This Row],[% anualiz]]))*IF(DATOS_[[#This Row],[Check Equiparado]]="Sí",1,0)</f>
        <v>#DIV/0!</v>
      </c>
      <c r="BY1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 s="138" t="e">
        <f aca="false">+DATOS_[[#This Row],[SALARIO BASE Eq]]+DATOS_[[#This Row],[Tot COMPL.SAL Eq]]</f>
        <v>#DIV/0!</v>
      </c>
      <c r="CA110" s="138" t="e">
        <f aca="false" t="array" ref="CA110:CA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 s="138" t="e">
        <f aca="false">+DATOS_[[#This Row],[TOTAL SALARIO Eq]]+DATOS_[[#This Row],[Tot Extrasalarial Eq]]</f>
        <v>#DIV/0!</v>
      </c>
      <c r="CC110" s="139" t="n">
        <f aca="false">DATOS_[[#This Row],[S.BASE]]</f>
        <v>0</v>
      </c>
      <c r="CD110" s="139" t="n">
        <f aca="false">+SUM(DATOS_[[#This Row],[Conc.Sal.01]:[Conc.Sal.30]])</f>
        <v>0</v>
      </c>
      <c r="CE110" s="139" t="n">
        <f aca="false">+DATOS_[[#This Row],[SALARIO BASE Ef]]+DATOS_[[#This Row],[Tot COMPL.SAL Ef]]</f>
        <v>0</v>
      </c>
      <c r="CF110" s="139" t="n">
        <f aca="false">+SUM(DATOS_[[#This Row],[C.Extra.01]:[C.Extra.05]])</f>
        <v>0</v>
      </c>
      <c r="CG110" s="139" t="n">
        <f aca="false">+DATOS_[[#This Row],[TOTAL SALARIO Ef]]+DATOS_[[#This Row],[Tot Extrasalarial Ef]]</f>
        <v>0</v>
      </c>
      <c r="CH110" s="140" t="n">
        <f aca="false">MIN(IF(DATOS_[[#This Row],[Fecha Fin Contrato]]="",$D$4,DATOS_[[#This Row],[Fecha Fin Contrato]]),$D$4)-MAX(DATOS_[[#This Row],[Fecha de Contratación]],$D$3)+1</f>
        <v>1</v>
      </c>
      <c r="CI110" s="141" t="str">
        <f aca="false">IF(COUNTIFS(DATOS_[id],DATOS_[[#This Row],[id]])&gt;1,DATOS_[[#This Row],[id]],"")</f>
        <v/>
      </c>
      <c r="CJ110" s="141" t="n">
        <f aca="false">(Inicio!$G$10-DATOS_[[#This Row],[Fecha Nacimiento]])/365.25</f>
        <v>0</v>
      </c>
      <c r="CK110" s="141" t="n">
        <f aca="false">(Inicio!$G$10-DATOS_[[#This Row],[Fecha de Antigüedad]])/365.25</f>
        <v>0</v>
      </c>
      <c r="CL110" s="141" t="e">
        <f aca="false">+VLOOKUP(DATOS_[[#This Row],[Clave de Contrato]],TblTiposContrato13[],3,0)</f>
        <v>#N/A</v>
      </c>
      <c r="CM110" s="141" t="e">
        <f aca="false">+VLOOKUP(DATOS_[[#This Row],[Clave de Contrato]],TblTiposContrato13[],4,0)</f>
        <v>#N/A</v>
      </c>
      <c r="CN110" s="141" t="str">
        <f aca="false">VLOOKUP(DATOS_[[#This Row],[Edad]],CONTRATOS!TblRngEdad,2,1)</f>
        <v>20  o menos</v>
      </c>
      <c r="CO110" s="141" t="str">
        <f aca="false">VLOOKUP(DATOS_[[#This Row],[Antigüedad]],TblRngAntg14[],2,1)</f>
        <v>0 a 1 años</v>
      </c>
    </row>
    <row r="111" customFormat="false" ht="13.8" hidden="false" customHeight="false" outlineLevel="0" collapsed="false">
      <c r="D111" s="128"/>
      <c r="E111" s="129"/>
      <c r="F111" s="129"/>
      <c r="G111" s="129"/>
      <c r="H111" s="130"/>
      <c r="I111" s="131"/>
      <c r="J111" s="128"/>
      <c r="K111" s="132"/>
      <c r="L111" s="132"/>
      <c r="M111" s="133"/>
      <c r="N111" s="133"/>
      <c r="O111" s="133"/>
      <c r="P111" s="129"/>
      <c r="Z111" s="75"/>
      <c r="AA111" s="76"/>
      <c r="AB111" s="76"/>
      <c r="AC111" s="129"/>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c r="BJ111" s="134"/>
      <c r="BK111" s="134"/>
      <c r="BL111" s="134"/>
      <c r="BM111" s="135"/>
      <c r="BN111" s="136" t="n">
        <f aca="false">+MAX($D$3,DATOS_[[#This Row],[Fecha Inicio Sit. Contract.]])</f>
        <v>0</v>
      </c>
      <c r="BO111" s="136" t="n">
        <f aca="false">+MIN($D$4,DATOS_[[#This Row],[Fecha Fin Sit. Contract.]])</f>
        <v>0</v>
      </c>
      <c r="BP111" s="137" t="n">
        <f aca="false">+DATOS_[[#This Row],[% de jornada]]*IF(DATOS_[[#This Row],[% jornada reducida]]="",1,DATOS_[[#This Row],[% jornada reducida]])</f>
        <v>0</v>
      </c>
      <c r="BQ111" s="137" t="n">
        <f aca="false">+(DATOS_[[#This Row],[F.fin.cal]]-DATOS_[[#This Row],[F.ini.cal]]+1)/($D$4-$D$3+1)</f>
        <v>1</v>
      </c>
      <c r="BR111" s="137" t="str">
        <f aca="false">IF(OR(AND(DATOS_[[#This Row],[Fecha Fin Contrato]]&lt;$D$3,DATOS_[[#This Row],[Fecha Fin Contrato]]&lt;&gt;""),DATOS_[[#This Row],[Fecha de Contratación]]&gt;$D$4),"Fuera","Dentro")</f>
        <v>Dentro</v>
      </c>
      <c r="BS111" s="137" t="str">
        <f aca="false" t="array" ref="BS111:BS111">IF(MAX(IF(DATOS_[id]=DATOS_[[#This Row],[id]],DATOS_[F.fin.cal]))=DATOS_[[#This Row],[F.fin.cal]],"Sí","NO")</f>
        <v>Sí</v>
      </c>
      <c r="BT111" s="137" t="str">
        <f aca="false">IF(AND(DATOS_[[#This Row],[% normaliz]]&lt;&gt;1,DATOS_[[#This Row],[% anualiz]]=1),"Sí","NO")</f>
        <v>Sí</v>
      </c>
      <c r="BU111" s="137" t="str">
        <f aca="false">IF(AND(DATOS_[[#This Row],[% normaliz]]=1,DATOS_[[#This Row],[% anualiz]]&lt;&gt;1),"Sí","NO")</f>
        <v>NO</v>
      </c>
      <c r="BV111" s="137" t="str">
        <f aca="false">IF(AND(DATOS_[[#This Row],[% normaliz]]&lt;&gt;1,DATOS_[[#This Row],[% anualiz]]&lt;&gt;1),"Sí","NO")</f>
        <v>NO</v>
      </c>
      <c r="BW111" s="137" t="str">
        <f aca="false">+IF(DATOS_[[#This Row],[% normaliz]]*DATOS_[[#This Row],[% anualiz]]=1,"NO","Sí")</f>
        <v>Sí</v>
      </c>
      <c r="BX111" s="138" t="e">
        <f aca="false">(DATOS_[[#This Row],[S.BASE]]*(1/DATOS_[[#This Row],[% normaliz]])*(1/DATOS_[[#This Row],[% anualiz]]))*IF(DATOS_[[#This Row],[Check Equiparado]]="Sí",1,0)</f>
        <v>#DIV/0!</v>
      </c>
      <c r="BY1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 s="138" t="e">
        <f aca="false">+DATOS_[[#This Row],[SALARIO BASE Eq]]+DATOS_[[#This Row],[Tot COMPL.SAL Eq]]</f>
        <v>#DIV/0!</v>
      </c>
      <c r="CA111" s="138" t="e">
        <f aca="false" t="array" ref="CA111:CA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 s="138" t="e">
        <f aca="false">+DATOS_[[#This Row],[TOTAL SALARIO Eq]]+DATOS_[[#This Row],[Tot Extrasalarial Eq]]</f>
        <v>#DIV/0!</v>
      </c>
      <c r="CC111" s="139" t="n">
        <f aca="false">DATOS_[[#This Row],[S.BASE]]</f>
        <v>0</v>
      </c>
      <c r="CD111" s="139" t="n">
        <f aca="false">+SUM(DATOS_[[#This Row],[Conc.Sal.01]:[Conc.Sal.30]])</f>
        <v>0</v>
      </c>
      <c r="CE111" s="139" t="n">
        <f aca="false">+DATOS_[[#This Row],[SALARIO BASE Ef]]+DATOS_[[#This Row],[Tot COMPL.SAL Ef]]</f>
        <v>0</v>
      </c>
      <c r="CF111" s="139" t="n">
        <f aca="false">+SUM(DATOS_[[#This Row],[C.Extra.01]:[C.Extra.05]])</f>
        <v>0</v>
      </c>
      <c r="CG111" s="139" t="n">
        <f aca="false">+DATOS_[[#This Row],[TOTAL SALARIO Ef]]+DATOS_[[#This Row],[Tot Extrasalarial Ef]]</f>
        <v>0</v>
      </c>
      <c r="CH111" s="140" t="n">
        <f aca="false">MIN(IF(DATOS_[[#This Row],[Fecha Fin Contrato]]="",$D$4,DATOS_[[#This Row],[Fecha Fin Contrato]]),$D$4)-MAX(DATOS_[[#This Row],[Fecha de Contratación]],$D$3)+1</f>
        <v>1</v>
      </c>
      <c r="CI111" s="141" t="str">
        <f aca="false">IF(COUNTIFS(DATOS_[id],DATOS_[[#This Row],[id]])&gt;1,DATOS_[[#This Row],[id]],"")</f>
        <v/>
      </c>
      <c r="CJ111" s="141" t="n">
        <f aca="false">(Inicio!$G$10-DATOS_[[#This Row],[Fecha Nacimiento]])/365.25</f>
        <v>0</v>
      </c>
      <c r="CK111" s="141" t="n">
        <f aca="false">(Inicio!$G$10-DATOS_[[#This Row],[Fecha de Antigüedad]])/365.25</f>
        <v>0</v>
      </c>
      <c r="CL111" s="141" t="e">
        <f aca="false">+VLOOKUP(DATOS_[[#This Row],[Clave de Contrato]],TblTiposContrato13[],3,0)</f>
        <v>#N/A</v>
      </c>
      <c r="CM111" s="141" t="e">
        <f aca="false">+VLOOKUP(DATOS_[[#This Row],[Clave de Contrato]],TblTiposContrato13[],4,0)</f>
        <v>#N/A</v>
      </c>
      <c r="CN111" s="141" t="str">
        <f aca="false">VLOOKUP(DATOS_[[#This Row],[Edad]],CONTRATOS!TblRngEdad,2,1)</f>
        <v>20  o menos</v>
      </c>
      <c r="CO111" s="141" t="str">
        <f aca="false">VLOOKUP(DATOS_[[#This Row],[Antigüedad]],TblRngAntg14[],2,1)</f>
        <v>0 a 1 años</v>
      </c>
    </row>
    <row r="112" customFormat="false" ht="13.8" hidden="false" customHeight="false" outlineLevel="0" collapsed="false">
      <c r="D112" s="128"/>
      <c r="E112" s="129"/>
      <c r="F112" s="129"/>
      <c r="G112" s="129"/>
      <c r="H112" s="130"/>
      <c r="I112" s="131"/>
      <c r="J112" s="128"/>
      <c r="K112" s="132"/>
      <c r="L112" s="132"/>
      <c r="M112" s="133"/>
      <c r="N112" s="133"/>
      <c r="O112" s="133"/>
      <c r="P112" s="129"/>
      <c r="Z112" s="75"/>
      <c r="AA112" s="76"/>
      <c r="AB112" s="76"/>
      <c r="AC112" s="129"/>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5"/>
      <c r="BN112" s="136" t="n">
        <f aca="false">+MAX($D$3,DATOS_[[#This Row],[Fecha Inicio Sit. Contract.]])</f>
        <v>0</v>
      </c>
      <c r="BO112" s="136" t="n">
        <f aca="false">+MIN($D$4,DATOS_[[#This Row],[Fecha Fin Sit. Contract.]])</f>
        <v>0</v>
      </c>
      <c r="BP112" s="137" t="n">
        <f aca="false">+DATOS_[[#This Row],[% de jornada]]*IF(DATOS_[[#This Row],[% jornada reducida]]="",1,DATOS_[[#This Row],[% jornada reducida]])</f>
        <v>0</v>
      </c>
      <c r="BQ112" s="137" t="n">
        <f aca="false">+(DATOS_[[#This Row],[F.fin.cal]]-DATOS_[[#This Row],[F.ini.cal]]+1)/($D$4-$D$3+1)</f>
        <v>1</v>
      </c>
      <c r="BR112" s="137" t="str">
        <f aca="false">IF(OR(AND(DATOS_[[#This Row],[Fecha Fin Contrato]]&lt;$D$3,DATOS_[[#This Row],[Fecha Fin Contrato]]&lt;&gt;""),DATOS_[[#This Row],[Fecha de Contratación]]&gt;$D$4),"Fuera","Dentro")</f>
        <v>Dentro</v>
      </c>
      <c r="BS112" s="137" t="str">
        <f aca="false" t="array" ref="BS112:BS112">IF(MAX(IF(DATOS_[id]=DATOS_[[#This Row],[id]],DATOS_[F.fin.cal]))=DATOS_[[#This Row],[F.fin.cal]],"Sí","NO")</f>
        <v>Sí</v>
      </c>
      <c r="BT112" s="137" t="str">
        <f aca="false">IF(AND(DATOS_[[#This Row],[% normaliz]]&lt;&gt;1,DATOS_[[#This Row],[% anualiz]]=1),"Sí","NO")</f>
        <v>Sí</v>
      </c>
      <c r="BU112" s="137" t="str">
        <f aca="false">IF(AND(DATOS_[[#This Row],[% normaliz]]=1,DATOS_[[#This Row],[% anualiz]]&lt;&gt;1),"Sí","NO")</f>
        <v>NO</v>
      </c>
      <c r="BV112" s="137" t="str">
        <f aca="false">IF(AND(DATOS_[[#This Row],[% normaliz]]&lt;&gt;1,DATOS_[[#This Row],[% anualiz]]&lt;&gt;1),"Sí","NO")</f>
        <v>NO</v>
      </c>
      <c r="BW112" s="137" t="str">
        <f aca="false">+IF(DATOS_[[#This Row],[% normaliz]]*DATOS_[[#This Row],[% anualiz]]=1,"NO","Sí")</f>
        <v>Sí</v>
      </c>
      <c r="BX112" s="138" t="e">
        <f aca="false">(DATOS_[[#This Row],[S.BASE]]*(1/DATOS_[[#This Row],[% normaliz]])*(1/DATOS_[[#This Row],[% anualiz]]))*IF(DATOS_[[#This Row],[Check Equiparado]]="Sí",1,0)</f>
        <v>#DIV/0!</v>
      </c>
      <c r="BY1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 s="138" t="e">
        <f aca="false">+DATOS_[[#This Row],[SALARIO BASE Eq]]+DATOS_[[#This Row],[Tot COMPL.SAL Eq]]</f>
        <v>#DIV/0!</v>
      </c>
      <c r="CA112" s="138" t="e">
        <f aca="false" t="array" ref="CA112:CA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 s="138" t="e">
        <f aca="false">+DATOS_[[#This Row],[TOTAL SALARIO Eq]]+DATOS_[[#This Row],[Tot Extrasalarial Eq]]</f>
        <v>#DIV/0!</v>
      </c>
      <c r="CC112" s="139" t="n">
        <f aca="false">DATOS_[[#This Row],[S.BASE]]</f>
        <v>0</v>
      </c>
      <c r="CD112" s="139" t="n">
        <f aca="false">+SUM(DATOS_[[#This Row],[Conc.Sal.01]:[Conc.Sal.30]])</f>
        <v>0</v>
      </c>
      <c r="CE112" s="139" t="n">
        <f aca="false">+DATOS_[[#This Row],[SALARIO BASE Ef]]+DATOS_[[#This Row],[Tot COMPL.SAL Ef]]</f>
        <v>0</v>
      </c>
      <c r="CF112" s="139" t="n">
        <f aca="false">+SUM(DATOS_[[#This Row],[C.Extra.01]:[C.Extra.05]])</f>
        <v>0</v>
      </c>
      <c r="CG112" s="139" t="n">
        <f aca="false">+DATOS_[[#This Row],[TOTAL SALARIO Ef]]+DATOS_[[#This Row],[Tot Extrasalarial Ef]]</f>
        <v>0</v>
      </c>
      <c r="CH112" s="140" t="n">
        <f aca="false">MIN(IF(DATOS_[[#This Row],[Fecha Fin Contrato]]="",$D$4,DATOS_[[#This Row],[Fecha Fin Contrato]]),$D$4)-MAX(DATOS_[[#This Row],[Fecha de Contratación]],$D$3)+1</f>
        <v>1</v>
      </c>
      <c r="CI112" s="141" t="str">
        <f aca="false">IF(COUNTIFS(DATOS_[id],DATOS_[[#This Row],[id]])&gt;1,DATOS_[[#This Row],[id]],"")</f>
        <v/>
      </c>
      <c r="CJ112" s="141" t="n">
        <f aca="false">(Inicio!$G$10-DATOS_[[#This Row],[Fecha Nacimiento]])/365.25</f>
        <v>0</v>
      </c>
      <c r="CK112" s="141" t="n">
        <f aca="false">(Inicio!$G$10-DATOS_[[#This Row],[Fecha de Antigüedad]])/365.25</f>
        <v>0</v>
      </c>
      <c r="CL112" s="141" t="e">
        <f aca="false">+VLOOKUP(DATOS_[[#This Row],[Clave de Contrato]],TblTiposContrato13[],3,0)</f>
        <v>#N/A</v>
      </c>
      <c r="CM112" s="141" t="e">
        <f aca="false">+VLOOKUP(DATOS_[[#This Row],[Clave de Contrato]],TblTiposContrato13[],4,0)</f>
        <v>#N/A</v>
      </c>
      <c r="CN112" s="141" t="str">
        <f aca="false">VLOOKUP(DATOS_[[#This Row],[Edad]],CONTRATOS!TblRngEdad,2,1)</f>
        <v>20  o menos</v>
      </c>
      <c r="CO112" s="141" t="str">
        <f aca="false">VLOOKUP(DATOS_[[#This Row],[Antigüedad]],TblRngAntg14[],2,1)</f>
        <v>0 a 1 años</v>
      </c>
    </row>
    <row r="113" customFormat="false" ht="13.8" hidden="false" customHeight="false" outlineLevel="0" collapsed="false">
      <c r="D113" s="128"/>
      <c r="E113" s="129"/>
      <c r="F113" s="129"/>
      <c r="G113" s="129"/>
      <c r="H113" s="130"/>
      <c r="I113" s="131"/>
      <c r="J113" s="128"/>
      <c r="K113" s="132"/>
      <c r="L113" s="132"/>
      <c r="M113" s="133"/>
      <c r="N113" s="133"/>
      <c r="O113" s="133"/>
      <c r="P113" s="129"/>
      <c r="Z113" s="75"/>
      <c r="AA113" s="76"/>
      <c r="AB113" s="76"/>
      <c r="AC113" s="129"/>
      <c r="AD113" s="134"/>
      <c r="AE113" s="134"/>
      <c r="AF113" s="134"/>
      <c r="AG113" s="134"/>
      <c r="AH113" s="134"/>
      <c r="AI113" s="134"/>
      <c r="AJ113" s="134"/>
      <c r="AK113" s="134"/>
      <c r="AL113" s="134"/>
      <c r="AM113" s="134"/>
      <c r="AN113" s="134"/>
      <c r="AO113" s="134"/>
      <c r="AP113" s="134"/>
      <c r="AQ113" s="134"/>
      <c r="AR113" s="134"/>
      <c r="AS113" s="134"/>
      <c r="AT113" s="134"/>
      <c r="AU113" s="134"/>
      <c r="AV113" s="134"/>
      <c r="AW113" s="134"/>
      <c r="AX113" s="134"/>
      <c r="AY113" s="134"/>
      <c r="AZ113" s="134"/>
      <c r="BA113" s="134"/>
      <c r="BB113" s="134"/>
      <c r="BC113" s="134"/>
      <c r="BD113" s="134"/>
      <c r="BE113" s="134"/>
      <c r="BF113" s="134"/>
      <c r="BG113" s="134"/>
      <c r="BH113" s="134"/>
      <c r="BI113" s="134"/>
      <c r="BJ113" s="134"/>
      <c r="BK113" s="134"/>
      <c r="BL113" s="134"/>
      <c r="BM113" s="135"/>
      <c r="BN113" s="136" t="n">
        <f aca="false">+MAX($D$3,DATOS_[[#This Row],[Fecha Inicio Sit. Contract.]])</f>
        <v>0</v>
      </c>
      <c r="BO113" s="136" t="n">
        <f aca="false">+MIN($D$4,DATOS_[[#This Row],[Fecha Fin Sit. Contract.]])</f>
        <v>0</v>
      </c>
      <c r="BP113" s="137" t="n">
        <f aca="false">+DATOS_[[#This Row],[% de jornada]]*IF(DATOS_[[#This Row],[% jornada reducida]]="",1,DATOS_[[#This Row],[% jornada reducida]])</f>
        <v>0</v>
      </c>
      <c r="BQ113" s="137" t="n">
        <f aca="false">+(DATOS_[[#This Row],[F.fin.cal]]-DATOS_[[#This Row],[F.ini.cal]]+1)/($D$4-$D$3+1)</f>
        <v>1</v>
      </c>
      <c r="BR113" s="137" t="str">
        <f aca="false">IF(OR(AND(DATOS_[[#This Row],[Fecha Fin Contrato]]&lt;$D$3,DATOS_[[#This Row],[Fecha Fin Contrato]]&lt;&gt;""),DATOS_[[#This Row],[Fecha de Contratación]]&gt;$D$4),"Fuera","Dentro")</f>
        <v>Dentro</v>
      </c>
      <c r="BS113" s="137" t="str">
        <f aca="false" t="array" ref="BS113:BS113">IF(MAX(IF(DATOS_[id]=DATOS_[[#This Row],[id]],DATOS_[F.fin.cal]))=DATOS_[[#This Row],[F.fin.cal]],"Sí","NO")</f>
        <v>Sí</v>
      </c>
      <c r="BT113" s="137" t="str">
        <f aca="false">IF(AND(DATOS_[[#This Row],[% normaliz]]&lt;&gt;1,DATOS_[[#This Row],[% anualiz]]=1),"Sí","NO")</f>
        <v>Sí</v>
      </c>
      <c r="BU113" s="137" t="str">
        <f aca="false">IF(AND(DATOS_[[#This Row],[% normaliz]]=1,DATOS_[[#This Row],[% anualiz]]&lt;&gt;1),"Sí","NO")</f>
        <v>NO</v>
      </c>
      <c r="BV113" s="137" t="str">
        <f aca="false">IF(AND(DATOS_[[#This Row],[% normaliz]]&lt;&gt;1,DATOS_[[#This Row],[% anualiz]]&lt;&gt;1),"Sí","NO")</f>
        <v>NO</v>
      </c>
      <c r="BW113" s="137" t="str">
        <f aca="false">+IF(DATOS_[[#This Row],[% normaliz]]*DATOS_[[#This Row],[% anualiz]]=1,"NO","Sí")</f>
        <v>Sí</v>
      </c>
      <c r="BX113" s="138" t="e">
        <f aca="false">(DATOS_[[#This Row],[S.BASE]]*(1/DATOS_[[#This Row],[% normaliz]])*(1/DATOS_[[#This Row],[% anualiz]]))*IF(DATOS_[[#This Row],[Check Equiparado]]="Sí",1,0)</f>
        <v>#DIV/0!</v>
      </c>
      <c r="BY1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 s="138" t="e">
        <f aca="false">+DATOS_[[#This Row],[SALARIO BASE Eq]]+DATOS_[[#This Row],[Tot COMPL.SAL Eq]]</f>
        <v>#DIV/0!</v>
      </c>
      <c r="CA113" s="138" t="e">
        <f aca="false" t="array" ref="CA113:CA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 s="138" t="e">
        <f aca="false">+DATOS_[[#This Row],[TOTAL SALARIO Eq]]+DATOS_[[#This Row],[Tot Extrasalarial Eq]]</f>
        <v>#DIV/0!</v>
      </c>
      <c r="CC113" s="139" t="n">
        <f aca="false">DATOS_[[#This Row],[S.BASE]]</f>
        <v>0</v>
      </c>
      <c r="CD113" s="139" t="n">
        <f aca="false">+SUM(DATOS_[[#This Row],[Conc.Sal.01]:[Conc.Sal.30]])</f>
        <v>0</v>
      </c>
      <c r="CE113" s="139" t="n">
        <f aca="false">+DATOS_[[#This Row],[SALARIO BASE Ef]]+DATOS_[[#This Row],[Tot COMPL.SAL Ef]]</f>
        <v>0</v>
      </c>
      <c r="CF113" s="139" t="n">
        <f aca="false">+SUM(DATOS_[[#This Row],[C.Extra.01]:[C.Extra.05]])</f>
        <v>0</v>
      </c>
      <c r="CG113" s="139" t="n">
        <f aca="false">+DATOS_[[#This Row],[TOTAL SALARIO Ef]]+DATOS_[[#This Row],[Tot Extrasalarial Ef]]</f>
        <v>0</v>
      </c>
      <c r="CH113" s="140" t="n">
        <f aca="false">MIN(IF(DATOS_[[#This Row],[Fecha Fin Contrato]]="",$D$4,DATOS_[[#This Row],[Fecha Fin Contrato]]),$D$4)-MAX(DATOS_[[#This Row],[Fecha de Contratación]],$D$3)+1</f>
        <v>1</v>
      </c>
      <c r="CI113" s="141" t="str">
        <f aca="false">IF(COUNTIFS(DATOS_[id],DATOS_[[#This Row],[id]])&gt;1,DATOS_[[#This Row],[id]],"")</f>
        <v/>
      </c>
      <c r="CJ113" s="141" t="n">
        <f aca="false">(Inicio!$G$10-DATOS_[[#This Row],[Fecha Nacimiento]])/365.25</f>
        <v>0</v>
      </c>
      <c r="CK113" s="141" t="n">
        <f aca="false">(Inicio!$G$10-DATOS_[[#This Row],[Fecha de Antigüedad]])/365.25</f>
        <v>0</v>
      </c>
      <c r="CL113" s="141" t="e">
        <f aca="false">+VLOOKUP(DATOS_[[#This Row],[Clave de Contrato]],TblTiposContrato13[],3,0)</f>
        <v>#N/A</v>
      </c>
      <c r="CM113" s="141" t="e">
        <f aca="false">+VLOOKUP(DATOS_[[#This Row],[Clave de Contrato]],TblTiposContrato13[],4,0)</f>
        <v>#N/A</v>
      </c>
      <c r="CN113" s="141" t="str">
        <f aca="false">VLOOKUP(DATOS_[[#This Row],[Edad]],CONTRATOS!TblRngEdad,2,1)</f>
        <v>20  o menos</v>
      </c>
      <c r="CO113" s="141" t="str">
        <f aca="false">VLOOKUP(DATOS_[[#This Row],[Antigüedad]],TblRngAntg14[],2,1)</f>
        <v>0 a 1 años</v>
      </c>
    </row>
    <row r="114" customFormat="false" ht="13.8" hidden="false" customHeight="false" outlineLevel="0" collapsed="false">
      <c r="D114" s="128"/>
      <c r="E114" s="129"/>
      <c r="F114" s="129"/>
      <c r="G114" s="129"/>
      <c r="H114" s="130"/>
      <c r="I114" s="131"/>
      <c r="J114" s="128"/>
      <c r="K114" s="132"/>
      <c r="L114" s="132"/>
      <c r="M114" s="133"/>
      <c r="N114" s="133"/>
      <c r="O114" s="133"/>
      <c r="P114" s="129"/>
      <c r="Z114" s="75"/>
      <c r="AA114" s="76"/>
      <c r="AB114" s="76"/>
      <c r="AC114" s="129"/>
      <c r="AD114" s="134"/>
      <c r="AE114" s="134"/>
      <c r="AF114" s="134"/>
      <c r="AG114" s="134"/>
      <c r="AH114" s="134"/>
      <c r="AI114" s="134"/>
      <c r="AJ114" s="134"/>
      <c r="AK114" s="134"/>
      <c r="AL114" s="134"/>
      <c r="AM114" s="134"/>
      <c r="AN114" s="134"/>
      <c r="AO114" s="134"/>
      <c r="AP114" s="134"/>
      <c r="AQ114" s="134"/>
      <c r="AR114" s="134"/>
      <c r="AS114" s="134"/>
      <c r="AT114" s="134"/>
      <c r="AU114" s="134"/>
      <c r="AV114" s="134"/>
      <c r="AW114" s="134"/>
      <c r="AX114" s="134"/>
      <c r="AY114" s="134"/>
      <c r="AZ114" s="134"/>
      <c r="BA114" s="134"/>
      <c r="BB114" s="134"/>
      <c r="BC114" s="134"/>
      <c r="BD114" s="134"/>
      <c r="BE114" s="134"/>
      <c r="BF114" s="134"/>
      <c r="BG114" s="134"/>
      <c r="BH114" s="134"/>
      <c r="BI114" s="134"/>
      <c r="BJ114" s="134"/>
      <c r="BK114" s="134"/>
      <c r="BL114" s="134"/>
      <c r="BM114" s="135"/>
      <c r="BN114" s="136" t="n">
        <f aca="false">+MAX($D$3,DATOS_[[#This Row],[Fecha Inicio Sit. Contract.]])</f>
        <v>0</v>
      </c>
      <c r="BO114" s="136" t="n">
        <f aca="false">+MIN($D$4,DATOS_[[#This Row],[Fecha Fin Sit. Contract.]])</f>
        <v>0</v>
      </c>
      <c r="BP114" s="137" t="n">
        <f aca="false">+DATOS_[[#This Row],[% de jornada]]*IF(DATOS_[[#This Row],[% jornada reducida]]="",1,DATOS_[[#This Row],[% jornada reducida]])</f>
        <v>0</v>
      </c>
      <c r="BQ114" s="137" t="n">
        <f aca="false">+(DATOS_[[#This Row],[F.fin.cal]]-DATOS_[[#This Row],[F.ini.cal]]+1)/($D$4-$D$3+1)</f>
        <v>1</v>
      </c>
      <c r="BR114" s="137" t="str">
        <f aca="false">IF(OR(AND(DATOS_[[#This Row],[Fecha Fin Contrato]]&lt;$D$3,DATOS_[[#This Row],[Fecha Fin Contrato]]&lt;&gt;""),DATOS_[[#This Row],[Fecha de Contratación]]&gt;$D$4),"Fuera","Dentro")</f>
        <v>Dentro</v>
      </c>
      <c r="BS114" s="137" t="str">
        <f aca="false" t="array" ref="BS114:BS114">IF(MAX(IF(DATOS_[id]=DATOS_[[#This Row],[id]],DATOS_[F.fin.cal]))=DATOS_[[#This Row],[F.fin.cal]],"Sí","NO")</f>
        <v>Sí</v>
      </c>
      <c r="BT114" s="137" t="str">
        <f aca="false">IF(AND(DATOS_[[#This Row],[% normaliz]]&lt;&gt;1,DATOS_[[#This Row],[% anualiz]]=1),"Sí","NO")</f>
        <v>Sí</v>
      </c>
      <c r="BU114" s="137" t="str">
        <f aca="false">IF(AND(DATOS_[[#This Row],[% normaliz]]=1,DATOS_[[#This Row],[% anualiz]]&lt;&gt;1),"Sí","NO")</f>
        <v>NO</v>
      </c>
      <c r="BV114" s="137" t="str">
        <f aca="false">IF(AND(DATOS_[[#This Row],[% normaliz]]&lt;&gt;1,DATOS_[[#This Row],[% anualiz]]&lt;&gt;1),"Sí","NO")</f>
        <v>NO</v>
      </c>
      <c r="BW114" s="137" t="str">
        <f aca="false">+IF(DATOS_[[#This Row],[% normaliz]]*DATOS_[[#This Row],[% anualiz]]=1,"NO","Sí")</f>
        <v>Sí</v>
      </c>
      <c r="BX114" s="138" t="e">
        <f aca="false">(DATOS_[[#This Row],[S.BASE]]*(1/DATOS_[[#This Row],[% normaliz]])*(1/DATOS_[[#This Row],[% anualiz]]))*IF(DATOS_[[#This Row],[Check Equiparado]]="Sí",1,0)</f>
        <v>#DIV/0!</v>
      </c>
      <c r="BY1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 s="138" t="e">
        <f aca="false">+DATOS_[[#This Row],[SALARIO BASE Eq]]+DATOS_[[#This Row],[Tot COMPL.SAL Eq]]</f>
        <v>#DIV/0!</v>
      </c>
      <c r="CA114" s="138" t="e">
        <f aca="false" t="array" ref="CA114:CA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 s="138" t="e">
        <f aca="false">+DATOS_[[#This Row],[TOTAL SALARIO Eq]]+DATOS_[[#This Row],[Tot Extrasalarial Eq]]</f>
        <v>#DIV/0!</v>
      </c>
      <c r="CC114" s="139" t="n">
        <f aca="false">DATOS_[[#This Row],[S.BASE]]</f>
        <v>0</v>
      </c>
      <c r="CD114" s="139" t="n">
        <f aca="false">+SUM(DATOS_[[#This Row],[Conc.Sal.01]:[Conc.Sal.30]])</f>
        <v>0</v>
      </c>
      <c r="CE114" s="139" t="n">
        <f aca="false">+DATOS_[[#This Row],[SALARIO BASE Ef]]+DATOS_[[#This Row],[Tot COMPL.SAL Ef]]</f>
        <v>0</v>
      </c>
      <c r="CF114" s="139" t="n">
        <f aca="false">+SUM(DATOS_[[#This Row],[C.Extra.01]:[C.Extra.05]])</f>
        <v>0</v>
      </c>
      <c r="CG114" s="139" t="n">
        <f aca="false">+DATOS_[[#This Row],[TOTAL SALARIO Ef]]+DATOS_[[#This Row],[Tot Extrasalarial Ef]]</f>
        <v>0</v>
      </c>
      <c r="CH114" s="140" t="n">
        <f aca="false">MIN(IF(DATOS_[[#This Row],[Fecha Fin Contrato]]="",$D$4,DATOS_[[#This Row],[Fecha Fin Contrato]]),$D$4)-MAX(DATOS_[[#This Row],[Fecha de Contratación]],$D$3)+1</f>
        <v>1</v>
      </c>
      <c r="CI114" s="141" t="str">
        <f aca="false">IF(COUNTIFS(DATOS_[id],DATOS_[[#This Row],[id]])&gt;1,DATOS_[[#This Row],[id]],"")</f>
        <v/>
      </c>
      <c r="CJ114" s="141" t="n">
        <f aca="false">(Inicio!$G$10-DATOS_[[#This Row],[Fecha Nacimiento]])/365.25</f>
        <v>0</v>
      </c>
      <c r="CK114" s="141" t="n">
        <f aca="false">(Inicio!$G$10-DATOS_[[#This Row],[Fecha de Antigüedad]])/365.25</f>
        <v>0</v>
      </c>
      <c r="CL114" s="141" t="e">
        <f aca="false">+VLOOKUP(DATOS_[[#This Row],[Clave de Contrato]],TblTiposContrato13[],3,0)</f>
        <v>#N/A</v>
      </c>
      <c r="CM114" s="141" t="e">
        <f aca="false">+VLOOKUP(DATOS_[[#This Row],[Clave de Contrato]],TblTiposContrato13[],4,0)</f>
        <v>#N/A</v>
      </c>
      <c r="CN114" s="141" t="str">
        <f aca="false">VLOOKUP(DATOS_[[#This Row],[Edad]],CONTRATOS!TblRngEdad,2,1)</f>
        <v>20  o menos</v>
      </c>
      <c r="CO114" s="141" t="str">
        <f aca="false">VLOOKUP(DATOS_[[#This Row],[Antigüedad]],TblRngAntg14[],2,1)</f>
        <v>0 a 1 años</v>
      </c>
    </row>
    <row r="115" customFormat="false" ht="13.8" hidden="false" customHeight="false" outlineLevel="0" collapsed="false">
      <c r="D115" s="128"/>
      <c r="E115" s="129"/>
      <c r="F115" s="129"/>
      <c r="G115" s="129"/>
      <c r="H115" s="130"/>
      <c r="I115" s="131"/>
      <c r="J115" s="128"/>
      <c r="K115" s="132"/>
      <c r="L115" s="132"/>
      <c r="M115" s="133"/>
      <c r="N115" s="133"/>
      <c r="O115" s="133"/>
      <c r="P115" s="129"/>
      <c r="Z115" s="75"/>
      <c r="AA115" s="76"/>
      <c r="AB115" s="76"/>
      <c r="AC115" s="129"/>
      <c r="AD115" s="134"/>
      <c r="AE115" s="134"/>
      <c r="AF115" s="134"/>
      <c r="AG115" s="134"/>
      <c r="AH115" s="134"/>
      <c r="AI115" s="134"/>
      <c r="AJ115" s="134"/>
      <c r="AK115" s="134"/>
      <c r="AL115" s="134"/>
      <c r="AM115" s="134"/>
      <c r="AN115" s="134"/>
      <c r="AO115" s="134"/>
      <c r="AP115" s="134"/>
      <c r="AQ115" s="134"/>
      <c r="AR115" s="134"/>
      <c r="AS115" s="134"/>
      <c r="AT115" s="134"/>
      <c r="AU115" s="134"/>
      <c r="AV115" s="134"/>
      <c r="AW115" s="134"/>
      <c r="AX115" s="134"/>
      <c r="AY115" s="134"/>
      <c r="AZ115" s="134"/>
      <c r="BA115" s="134"/>
      <c r="BB115" s="134"/>
      <c r="BC115" s="134"/>
      <c r="BD115" s="134"/>
      <c r="BE115" s="134"/>
      <c r="BF115" s="134"/>
      <c r="BG115" s="134"/>
      <c r="BH115" s="134"/>
      <c r="BI115" s="134"/>
      <c r="BJ115" s="134"/>
      <c r="BK115" s="134"/>
      <c r="BL115" s="134"/>
      <c r="BM115" s="135"/>
      <c r="BN115" s="136" t="n">
        <f aca="false">+MAX($D$3,DATOS_[[#This Row],[Fecha Inicio Sit. Contract.]])</f>
        <v>0</v>
      </c>
      <c r="BO115" s="136" t="n">
        <f aca="false">+MIN($D$4,DATOS_[[#This Row],[Fecha Fin Sit. Contract.]])</f>
        <v>0</v>
      </c>
      <c r="BP115" s="137" t="n">
        <f aca="false">+DATOS_[[#This Row],[% de jornada]]*IF(DATOS_[[#This Row],[% jornada reducida]]="",1,DATOS_[[#This Row],[% jornada reducida]])</f>
        <v>0</v>
      </c>
      <c r="BQ115" s="137" t="n">
        <f aca="false">+(DATOS_[[#This Row],[F.fin.cal]]-DATOS_[[#This Row],[F.ini.cal]]+1)/($D$4-$D$3+1)</f>
        <v>1</v>
      </c>
      <c r="BR115" s="137" t="str">
        <f aca="false">IF(OR(AND(DATOS_[[#This Row],[Fecha Fin Contrato]]&lt;$D$3,DATOS_[[#This Row],[Fecha Fin Contrato]]&lt;&gt;""),DATOS_[[#This Row],[Fecha de Contratación]]&gt;$D$4),"Fuera","Dentro")</f>
        <v>Dentro</v>
      </c>
      <c r="BS115" s="137" t="str">
        <f aca="false" t="array" ref="BS115:BS115">IF(MAX(IF(DATOS_[id]=DATOS_[[#This Row],[id]],DATOS_[F.fin.cal]))=DATOS_[[#This Row],[F.fin.cal]],"Sí","NO")</f>
        <v>Sí</v>
      </c>
      <c r="BT115" s="137" t="str">
        <f aca="false">IF(AND(DATOS_[[#This Row],[% normaliz]]&lt;&gt;1,DATOS_[[#This Row],[% anualiz]]=1),"Sí","NO")</f>
        <v>Sí</v>
      </c>
      <c r="BU115" s="137" t="str">
        <f aca="false">IF(AND(DATOS_[[#This Row],[% normaliz]]=1,DATOS_[[#This Row],[% anualiz]]&lt;&gt;1),"Sí","NO")</f>
        <v>NO</v>
      </c>
      <c r="BV115" s="137" t="str">
        <f aca="false">IF(AND(DATOS_[[#This Row],[% normaliz]]&lt;&gt;1,DATOS_[[#This Row],[% anualiz]]&lt;&gt;1),"Sí","NO")</f>
        <v>NO</v>
      </c>
      <c r="BW115" s="137" t="str">
        <f aca="false">+IF(DATOS_[[#This Row],[% normaliz]]*DATOS_[[#This Row],[% anualiz]]=1,"NO","Sí")</f>
        <v>Sí</v>
      </c>
      <c r="BX115" s="138" t="e">
        <f aca="false">(DATOS_[[#This Row],[S.BASE]]*(1/DATOS_[[#This Row],[% normaliz]])*(1/DATOS_[[#This Row],[% anualiz]]))*IF(DATOS_[[#This Row],[Check Equiparado]]="Sí",1,0)</f>
        <v>#DIV/0!</v>
      </c>
      <c r="BY1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 s="138" t="e">
        <f aca="false">+DATOS_[[#This Row],[SALARIO BASE Eq]]+DATOS_[[#This Row],[Tot COMPL.SAL Eq]]</f>
        <v>#DIV/0!</v>
      </c>
      <c r="CA115" s="138" t="e">
        <f aca="false" t="array" ref="CA115:CA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 s="138" t="e">
        <f aca="false">+DATOS_[[#This Row],[TOTAL SALARIO Eq]]+DATOS_[[#This Row],[Tot Extrasalarial Eq]]</f>
        <v>#DIV/0!</v>
      </c>
      <c r="CC115" s="139" t="n">
        <f aca="false">DATOS_[[#This Row],[S.BASE]]</f>
        <v>0</v>
      </c>
      <c r="CD115" s="139" t="n">
        <f aca="false">+SUM(DATOS_[[#This Row],[Conc.Sal.01]:[Conc.Sal.30]])</f>
        <v>0</v>
      </c>
      <c r="CE115" s="139" t="n">
        <f aca="false">+DATOS_[[#This Row],[SALARIO BASE Ef]]+DATOS_[[#This Row],[Tot COMPL.SAL Ef]]</f>
        <v>0</v>
      </c>
      <c r="CF115" s="139" t="n">
        <f aca="false">+SUM(DATOS_[[#This Row],[C.Extra.01]:[C.Extra.05]])</f>
        <v>0</v>
      </c>
      <c r="CG115" s="139" t="n">
        <f aca="false">+DATOS_[[#This Row],[TOTAL SALARIO Ef]]+DATOS_[[#This Row],[Tot Extrasalarial Ef]]</f>
        <v>0</v>
      </c>
      <c r="CH115" s="140" t="n">
        <f aca="false">MIN(IF(DATOS_[[#This Row],[Fecha Fin Contrato]]="",$D$4,DATOS_[[#This Row],[Fecha Fin Contrato]]),$D$4)-MAX(DATOS_[[#This Row],[Fecha de Contratación]],$D$3)+1</f>
        <v>1</v>
      </c>
      <c r="CI115" s="141" t="str">
        <f aca="false">IF(COUNTIFS(DATOS_[id],DATOS_[[#This Row],[id]])&gt;1,DATOS_[[#This Row],[id]],"")</f>
        <v/>
      </c>
      <c r="CJ115" s="141" t="n">
        <f aca="false">(Inicio!$G$10-DATOS_[[#This Row],[Fecha Nacimiento]])/365.25</f>
        <v>0</v>
      </c>
      <c r="CK115" s="141" t="n">
        <f aca="false">(Inicio!$G$10-DATOS_[[#This Row],[Fecha de Antigüedad]])/365.25</f>
        <v>0</v>
      </c>
      <c r="CL115" s="141" t="e">
        <f aca="false">+VLOOKUP(DATOS_[[#This Row],[Clave de Contrato]],TblTiposContrato13[],3,0)</f>
        <v>#N/A</v>
      </c>
      <c r="CM115" s="141" t="e">
        <f aca="false">+VLOOKUP(DATOS_[[#This Row],[Clave de Contrato]],TblTiposContrato13[],4,0)</f>
        <v>#N/A</v>
      </c>
      <c r="CN115" s="141" t="str">
        <f aca="false">VLOOKUP(DATOS_[[#This Row],[Edad]],CONTRATOS!TblRngEdad,2,1)</f>
        <v>20  o menos</v>
      </c>
      <c r="CO115" s="141" t="str">
        <f aca="false">VLOOKUP(DATOS_[[#This Row],[Antigüedad]],TblRngAntg14[],2,1)</f>
        <v>0 a 1 años</v>
      </c>
    </row>
    <row r="116" customFormat="false" ht="13.8" hidden="false" customHeight="false" outlineLevel="0" collapsed="false">
      <c r="D116" s="128"/>
      <c r="E116" s="129"/>
      <c r="F116" s="129"/>
      <c r="G116" s="129"/>
      <c r="H116" s="130"/>
      <c r="I116" s="131"/>
      <c r="J116" s="128"/>
      <c r="K116" s="132"/>
      <c r="L116" s="132"/>
      <c r="M116" s="133"/>
      <c r="N116" s="133"/>
      <c r="O116" s="133"/>
      <c r="P116" s="129"/>
      <c r="Z116" s="75"/>
      <c r="AA116" s="76"/>
      <c r="AB116" s="76"/>
      <c r="AC116" s="129"/>
      <c r="AD116" s="134"/>
      <c r="AE116" s="134"/>
      <c r="AF116" s="134"/>
      <c r="AG116" s="134"/>
      <c r="AH116" s="134"/>
      <c r="AI116" s="134"/>
      <c r="AJ116" s="134"/>
      <c r="AK116" s="134"/>
      <c r="AL116" s="134"/>
      <c r="AM116" s="134"/>
      <c r="AN116" s="134"/>
      <c r="AO116" s="134"/>
      <c r="AP116" s="134"/>
      <c r="AQ116" s="134"/>
      <c r="AR116" s="134"/>
      <c r="AS116" s="134"/>
      <c r="AT116" s="134"/>
      <c r="AU116" s="134"/>
      <c r="AV116" s="134"/>
      <c r="AW116" s="134"/>
      <c r="AX116" s="134"/>
      <c r="AY116" s="134"/>
      <c r="AZ116" s="134"/>
      <c r="BA116" s="134"/>
      <c r="BB116" s="134"/>
      <c r="BC116" s="134"/>
      <c r="BD116" s="134"/>
      <c r="BE116" s="134"/>
      <c r="BF116" s="134"/>
      <c r="BG116" s="134"/>
      <c r="BH116" s="134"/>
      <c r="BI116" s="134"/>
      <c r="BJ116" s="134"/>
      <c r="BK116" s="134"/>
      <c r="BL116" s="134"/>
      <c r="BM116" s="135"/>
      <c r="BN116" s="136" t="n">
        <f aca="false">+MAX($D$3,DATOS_[[#This Row],[Fecha Inicio Sit. Contract.]])</f>
        <v>0</v>
      </c>
      <c r="BO116" s="136" t="n">
        <f aca="false">+MIN($D$4,DATOS_[[#This Row],[Fecha Fin Sit. Contract.]])</f>
        <v>0</v>
      </c>
      <c r="BP116" s="137" t="n">
        <f aca="false">+DATOS_[[#This Row],[% de jornada]]*IF(DATOS_[[#This Row],[% jornada reducida]]="",1,DATOS_[[#This Row],[% jornada reducida]])</f>
        <v>0</v>
      </c>
      <c r="BQ116" s="137" t="n">
        <f aca="false">+(DATOS_[[#This Row],[F.fin.cal]]-DATOS_[[#This Row],[F.ini.cal]]+1)/($D$4-$D$3+1)</f>
        <v>1</v>
      </c>
      <c r="BR116" s="137" t="str">
        <f aca="false">IF(OR(AND(DATOS_[[#This Row],[Fecha Fin Contrato]]&lt;$D$3,DATOS_[[#This Row],[Fecha Fin Contrato]]&lt;&gt;""),DATOS_[[#This Row],[Fecha de Contratación]]&gt;$D$4),"Fuera","Dentro")</f>
        <v>Dentro</v>
      </c>
      <c r="BS116" s="137" t="str">
        <f aca="false" t="array" ref="BS116:BS116">IF(MAX(IF(DATOS_[id]=DATOS_[[#This Row],[id]],DATOS_[F.fin.cal]))=DATOS_[[#This Row],[F.fin.cal]],"Sí","NO")</f>
        <v>Sí</v>
      </c>
      <c r="BT116" s="137" t="str">
        <f aca="false">IF(AND(DATOS_[[#This Row],[% normaliz]]&lt;&gt;1,DATOS_[[#This Row],[% anualiz]]=1),"Sí","NO")</f>
        <v>Sí</v>
      </c>
      <c r="BU116" s="137" t="str">
        <f aca="false">IF(AND(DATOS_[[#This Row],[% normaliz]]=1,DATOS_[[#This Row],[% anualiz]]&lt;&gt;1),"Sí","NO")</f>
        <v>NO</v>
      </c>
      <c r="BV116" s="137" t="str">
        <f aca="false">IF(AND(DATOS_[[#This Row],[% normaliz]]&lt;&gt;1,DATOS_[[#This Row],[% anualiz]]&lt;&gt;1),"Sí","NO")</f>
        <v>NO</v>
      </c>
      <c r="BW116" s="137" t="str">
        <f aca="false">+IF(DATOS_[[#This Row],[% normaliz]]*DATOS_[[#This Row],[% anualiz]]=1,"NO","Sí")</f>
        <v>Sí</v>
      </c>
      <c r="BX116" s="138" t="e">
        <f aca="false">(DATOS_[[#This Row],[S.BASE]]*(1/DATOS_[[#This Row],[% normaliz]])*(1/DATOS_[[#This Row],[% anualiz]]))*IF(DATOS_[[#This Row],[Check Equiparado]]="Sí",1,0)</f>
        <v>#DIV/0!</v>
      </c>
      <c r="BY1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 s="138" t="e">
        <f aca="false">+DATOS_[[#This Row],[SALARIO BASE Eq]]+DATOS_[[#This Row],[Tot COMPL.SAL Eq]]</f>
        <v>#DIV/0!</v>
      </c>
      <c r="CA116" s="138" t="e">
        <f aca="false" t="array" ref="CA116:CA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 s="138" t="e">
        <f aca="false">+DATOS_[[#This Row],[TOTAL SALARIO Eq]]+DATOS_[[#This Row],[Tot Extrasalarial Eq]]</f>
        <v>#DIV/0!</v>
      </c>
      <c r="CC116" s="139" t="n">
        <f aca="false">DATOS_[[#This Row],[S.BASE]]</f>
        <v>0</v>
      </c>
      <c r="CD116" s="139" t="n">
        <f aca="false">+SUM(DATOS_[[#This Row],[Conc.Sal.01]:[Conc.Sal.30]])</f>
        <v>0</v>
      </c>
      <c r="CE116" s="139" t="n">
        <f aca="false">+DATOS_[[#This Row],[SALARIO BASE Ef]]+DATOS_[[#This Row],[Tot COMPL.SAL Ef]]</f>
        <v>0</v>
      </c>
      <c r="CF116" s="139" t="n">
        <f aca="false">+SUM(DATOS_[[#This Row],[C.Extra.01]:[C.Extra.05]])</f>
        <v>0</v>
      </c>
      <c r="CG116" s="139" t="n">
        <f aca="false">+DATOS_[[#This Row],[TOTAL SALARIO Ef]]+DATOS_[[#This Row],[Tot Extrasalarial Ef]]</f>
        <v>0</v>
      </c>
      <c r="CH116" s="140" t="n">
        <f aca="false">MIN(IF(DATOS_[[#This Row],[Fecha Fin Contrato]]="",$D$4,DATOS_[[#This Row],[Fecha Fin Contrato]]),$D$4)-MAX(DATOS_[[#This Row],[Fecha de Contratación]],$D$3)+1</f>
        <v>1</v>
      </c>
      <c r="CI116" s="141" t="str">
        <f aca="false">IF(COUNTIFS(DATOS_[id],DATOS_[[#This Row],[id]])&gt;1,DATOS_[[#This Row],[id]],"")</f>
        <v/>
      </c>
      <c r="CJ116" s="141" t="n">
        <f aca="false">(Inicio!$G$10-DATOS_[[#This Row],[Fecha Nacimiento]])/365.25</f>
        <v>0</v>
      </c>
      <c r="CK116" s="141" t="n">
        <f aca="false">(Inicio!$G$10-DATOS_[[#This Row],[Fecha de Antigüedad]])/365.25</f>
        <v>0</v>
      </c>
      <c r="CL116" s="141" t="e">
        <f aca="false">+VLOOKUP(DATOS_[[#This Row],[Clave de Contrato]],TblTiposContrato13[],3,0)</f>
        <v>#N/A</v>
      </c>
      <c r="CM116" s="141" t="e">
        <f aca="false">+VLOOKUP(DATOS_[[#This Row],[Clave de Contrato]],TblTiposContrato13[],4,0)</f>
        <v>#N/A</v>
      </c>
      <c r="CN116" s="141" t="str">
        <f aca="false">VLOOKUP(DATOS_[[#This Row],[Edad]],CONTRATOS!TblRngEdad,2,1)</f>
        <v>20  o menos</v>
      </c>
      <c r="CO116" s="141" t="str">
        <f aca="false">VLOOKUP(DATOS_[[#This Row],[Antigüedad]],TblRngAntg14[],2,1)</f>
        <v>0 a 1 años</v>
      </c>
    </row>
    <row r="117" customFormat="false" ht="13.8" hidden="false" customHeight="false" outlineLevel="0" collapsed="false">
      <c r="D117" s="128"/>
      <c r="E117" s="129"/>
      <c r="F117" s="129"/>
      <c r="G117" s="129"/>
      <c r="H117" s="130"/>
      <c r="I117" s="131"/>
      <c r="J117" s="128"/>
      <c r="K117" s="132"/>
      <c r="L117" s="132"/>
      <c r="M117" s="133"/>
      <c r="N117" s="133"/>
      <c r="O117" s="133"/>
      <c r="P117" s="129"/>
      <c r="Z117" s="75"/>
      <c r="AA117" s="76"/>
      <c r="AB117" s="76"/>
      <c r="AC117" s="129"/>
      <c r="AD117" s="134"/>
      <c r="AE117" s="134"/>
      <c r="AF117" s="134"/>
      <c r="AG117" s="134"/>
      <c r="AH117" s="134"/>
      <c r="AI117" s="134"/>
      <c r="AJ117" s="134"/>
      <c r="AK117" s="134"/>
      <c r="AL117" s="134"/>
      <c r="AM117" s="134"/>
      <c r="AN117" s="134"/>
      <c r="AO117" s="134"/>
      <c r="AP117" s="134"/>
      <c r="AQ117" s="134"/>
      <c r="AR117" s="134"/>
      <c r="AS117" s="134"/>
      <c r="AT117" s="134"/>
      <c r="AU117" s="134"/>
      <c r="AV117" s="134"/>
      <c r="AW117" s="134"/>
      <c r="AX117" s="134"/>
      <c r="AY117" s="134"/>
      <c r="AZ117" s="134"/>
      <c r="BA117" s="134"/>
      <c r="BB117" s="134"/>
      <c r="BC117" s="134"/>
      <c r="BD117" s="134"/>
      <c r="BE117" s="134"/>
      <c r="BF117" s="134"/>
      <c r="BG117" s="134"/>
      <c r="BH117" s="134"/>
      <c r="BI117" s="134"/>
      <c r="BJ117" s="134"/>
      <c r="BK117" s="134"/>
      <c r="BL117" s="134"/>
      <c r="BM117" s="135"/>
      <c r="BN117" s="136" t="n">
        <f aca="false">+MAX($D$3,DATOS_[[#This Row],[Fecha Inicio Sit. Contract.]])</f>
        <v>0</v>
      </c>
      <c r="BO117" s="136" t="n">
        <f aca="false">+MIN($D$4,DATOS_[[#This Row],[Fecha Fin Sit. Contract.]])</f>
        <v>0</v>
      </c>
      <c r="BP117" s="137" t="n">
        <f aca="false">+DATOS_[[#This Row],[% de jornada]]*IF(DATOS_[[#This Row],[% jornada reducida]]="",1,DATOS_[[#This Row],[% jornada reducida]])</f>
        <v>0</v>
      </c>
      <c r="BQ117" s="137" t="n">
        <f aca="false">+(DATOS_[[#This Row],[F.fin.cal]]-DATOS_[[#This Row],[F.ini.cal]]+1)/($D$4-$D$3+1)</f>
        <v>1</v>
      </c>
      <c r="BR117" s="137" t="str">
        <f aca="false">IF(OR(AND(DATOS_[[#This Row],[Fecha Fin Contrato]]&lt;$D$3,DATOS_[[#This Row],[Fecha Fin Contrato]]&lt;&gt;""),DATOS_[[#This Row],[Fecha de Contratación]]&gt;$D$4),"Fuera","Dentro")</f>
        <v>Dentro</v>
      </c>
      <c r="BS117" s="137" t="str">
        <f aca="false" t="array" ref="BS117:BS117">IF(MAX(IF(DATOS_[id]=DATOS_[[#This Row],[id]],DATOS_[F.fin.cal]))=DATOS_[[#This Row],[F.fin.cal]],"Sí","NO")</f>
        <v>Sí</v>
      </c>
      <c r="BT117" s="137" t="str">
        <f aca="false">IF(AND(DATOS_[[#This Row],[% normaliz]]&lt;&gt;1,DATOS_[[#This Row],[% anualiz]]=1),"Sí","NO")</f>
        <v>Sí</v>
      </c>
      <c r="BU117" s="137" t="str">
        <f aca="false">IF(AND(DATOS_[[#This Row],[% normaliz]]=1,DATOS_[[#This Row],[% anualiz]]&lt;&gt;1),"Sí","NO")</f>
        <v>NO</v>
      </c>
      <c r="BV117" s="137" t="str">
        <f aca="false">IF(AND(DATOS_[[#This Row],[% normaliz]]&lt;&gt;1,DATOS_[[#This Row],[% anualiz]]&lt;&gt;1),"Sí","NO")</f>
        <v>NO</v>
      </c>
      <c r="BW117" s="137" t="str">
        <f aca="false">+IF(DATOS_[[#This Row],[% normaliz]]*DATOS_[[#This Row],[% anualiz]]=1,"NO","Sí")</f>
        <v>Sí</v>
      </c>
      <c r="BX117" s="138" t="e">
        <f aca="false">(DATOS_[[#This Row],[S.BASE]]*(1/DATOS_[[#This Row],[% normaliz]])*(1/DATOS_[[#This Row],[% anualiz]]))*IF(DATOS_[[#This Row],[Check Equiparado]]="Sí",1,0)</f>
        <v>#DIV/0!</v>
      </c>
      <c r="BY1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 s="138" t="e">
        <f aca="false">+DATOS_[[#This Row],[SALARIO BASE Eq]]+DATOS_[[#This Row],[Tot COMPL.SAL Eq]]</f>
        <v>#DIV/0!</v>
      </c>
      <c r="CA117" s="138" t="e">
        <f aca="false" t="array" ref="CA117:CA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 s="138" t="e">
        <f aca="false">+DATOS_[[#This Row],[TOTAL SALARIO Eq]]+DATOS_[[#This Row],[Tot Extrasalarial Eq]]</f>
        <v>#DIV/0!</v>
      </c>
      <c r="CC117" s="139" t="n">
        <f aca="false">DATOS_[[#This Row],[S.BASE]]</f>
        <v>0</v>
      </c>
      <c r="CD117" s="139" t="n">
        <f aca="false">+SUM(DATOS_[[#This Row],[Conc.Sal.01]:[Conc.Sal.30]])</f>
        <v>0</v>
      </c>
      <c r="CE117" s="139" t="n">
        <f aca="false">+DATOS_[[#This Row],[SALARIO BASE Ef]]+DATOS_[[#This Row],[Tot COMPL.SAL Ef]]</f>
        <v>0</v>
      </c>
      <c r="CF117" s="139" t="n">
        <f aca="false">+SUM(DATOS_[[#This Row],[C.Extra.01]:[C.Extra.05]])</f>
        <v>0</v>
      </c>
      <c r="CG117" s="139" t="n">
        <f aca="false">+DATOS_[[#This Row],[TOTAL SALARIO Ef]]+DATOS_[[#This Row],[Tot Extrasalarial Ef]]</f>
        <v>0</v>
      </c>
      <c r="CH117" s="140" t="n">
        <f aca="false">MIN(IF(DATOS_[[#This Row],[Fecha Fin Contrato]]="",$D$4,DATOS_[[#This Row],[Fecha Fin Contrato]]),$D$4)-MAX(DATOS_[[#This Row],[Fecha de Contratación]],$D$3)+1</f>
        <v>1</v>
      </c>
      <c r="CI117" s="141" t="str">
        <f aca="false">IF(COUNTIFS(DATOS_[id],DATOS_[[#This Row],[id]])&gt;1,DATOS_[[#This Row],[id]],"")</f>
        <v/>
      </c>
      <c r="CJ117" s="141" t="n">
        <f aca="false">(Inicio!$G$10-DATOS_[[#This Row],[Fecha Nacimiento]])/365.25</f>
        <v>0</v>
      </c>
      <c r="CK117" s="141" t="n">
        <f aca="false">(Inicio!$G$10-DATOS_[[#This Row],[Fecha de Antigüedad]])/365.25</f>
        <v>0</v>
      </c>
      <c r="CL117" s="141" t="e">
        <f aca="false">+VLOOKUP(DATOS_[[#This Row],[Clave de Contrato]],TblTiposContrato13[],3,0)</f>
        <v>#N/A</v>
      </c>
      <c r="CM117" s="141" t="e">
        <f aca="false">+VLOOKUP(DATOS_[[#This Row],[Clave de Contrato]],TblTiposContrato13[],4,0)</f>
        <v>#N/A</v>
      </c>
      <c r="CN117" s="141" t="str">
        <f aca="false">VLOOKUP(DATOS_[[#This Row],[Edad]],CONTRATOS!TblRngEdad,2,1)</f>
        <v>20  o menos</v>
      </c>
      <c r="CO117" s="141" t="str">
        <f aca="false">VLOOKUP(DATOS_[[#This Row],[Antigüedad]],TblRngAntg14[],2,1)</f>
        <v>0 a 1 años</v>
      </c>
    </row>
    <row r="118" customFormat="false" ht="13.8" hidden="false" customHeight="false" outlineLevel="0" collapsed="false">
      <c r="D118" s="128"/>
      <c r="E118" s="129"/>
      <c r="F118" s="129"/>
      <c r="G118" s="129"/>
      <c r="H118" s="130"/>
      <c r="I118" s="131"/>
      <c r="J118" s="128"/>
      <c r="K118" s="132"/>
      <c r="L118" s="132"/>
      <c r="M118" s="133"/>
      <c r="N118" s="133"/>
      <c r="O118" s="133"/>
      <c r="P118" s="129"/>
      <c r="Z118" s="75"/>
      <c r="AA118" s="76"/>
      <c r="AB118" s="76"/>
      <c r="AC118" s="129"/>
      <c r="AD118" s="134"/>
      <c r="AE118" s="134"/>
      <c r="AF118" s="134"/>
      <c r="AG118" s="134"/>
      <c r="AH118" s="134"/>
      <c r="AI118" s="134"/>
      <c r="AJ118" s="134"/>
      <c r="AK118" s="134"/>
      <c r="AL118" s="134"/>
      <c r="AM118" s="134"/>
      <c r="AN118" s="134"/>
      <c r="AO118" s="134"/>
      <c r="AP118" s="134"/>
      <c r="AQ118" s="134"/>
      <c r="AR118" s="134"/>
      <c r="AS118" s="134"/>
      <c r="AT118" s="134"/>
      <c r="AU118" s="134"/>
      <c r="AV118" s="134"/>
      <c r="AW118" s="134"/>
      <c r="AX118" s="134"/>
      <c r="AY118" s="134"/>
      <c r="AZ118" s="134"/>
      <c r="BA118" s="134"/>
      <c r="BB118" s="134"/>
      <c r="BC118" s="134"/>
      <c r="BD118" s="134"/>
      <c r="BE118" s="134"/>
      <c r="BF118" s="134"/>
      <c r="BG118" s="134"/>
      <c r="BH118" s="134"/>
      <c r="BI118" s="134"/>
      <c r="BJ118" s="134"/>
      <c r="BK118" s="134"/>
      <c r="BL118" s="134"/>
      <c r="BM118" s="135"/>
      <c r="BN118" s="136" t="n">
        <f aca="false">+MAX($D$3,DATOS_[[#This Row],[Fecha Inicio Sit. Contract.]])</f>
        <v>0</v>
      </c>
      <c r="BO118" s="136" t="n">
        <f aca="false">+MIN($D$4,DATOS_[[#This Row],[Fecha Fin Sit. Contract.]])</f>
        <v>0</v>
      </c>
      <c r="BP118" s="137" t="n">
        <f aca="false">+DATOS_[[#This Row],[% de jornada]]*IF(DATOS_[[#This Row],[% jornada reducida]]="",1,DATOS_[[#This Row],[% jornada reducida]])</f>
        <v>0</v>
      </c>
      <c r="BQ118" s="137" t="n">
        <f aca="false">+(DATOS_[[#This Row],[F.fin.cal]]-DATOS_[[#This Row],[F.ini.cal]]+1)/($D$4-$D$3+1)</f>
        <v>1</v>
      </c>
      <c r="BR118" s="137" t="str">
        <f aca="false">IF(OR(AND(DATOS_[[#This Row],[Fecha Fin Contrato]]&lt;$D$3,DATOS_[[#This Row],[Fecha Fin Contrato]]&lt;&gt;""),DATOS_[[#This Row],[Fecha de Contratación]]&gt;$D$4),"Fuera","Dentro")</f>
        <v>Dentro</v>
      </c>
      <c r="BS118" s="137" t="str">
        <f aca="false" t="array" ref="BS118:BS118">IF(MAX(IF(DATOS_[id]=DATOS_[[#This Row],[id]],DATOS_[F.fin.cal]))=DATOS_[[#This Row],[F.fin.cal]],"Sí","NO")</f>
        <v>Sí</v>
      </c>
      <c r="BT118" s="137" t="str">
        <f aca="false">IF(AND(DATOS_[[#This Row],[% normaliz]]&lt;&gt;1,DATOS_[[#This Row],[% anualiz]]=1),"Sí","NO")</f>
        <v>Sí</v>
      </c>
      <c r="BU118" s="137" t="str">
        <f aca="false">IF(AND(DATOS_[[#This Row],[% normaliz]]=1,DATOS_[[#This Row],[% anualiz]]&lt;&gt;1),"Sí","NO")</f>
        <v>NO</v>
      </c>
      <c r="BV118" s="137" t="str">
        <f aca="false">IF(AND(DATOS_[[#This Row],[% normaliz]]&lt;&gt;1,DATOS_[[#This Row],[% anualiz]]&lt;&gt;1),"Sí","NO")</f>
        <v>NO</v>
      </c>
      <c r="BW118" s="137" t="str">
        <f aca="false">+IF(DATOS_[[#This Row],[% normaliz]]*DATOS_[[#This Row],[% anualiz]]=1,"NO","Sí")</f>
        <v>Sí</v>
      </c>
      <c r="BX118" s="138" t="e">
        <f aca="false">(DATOS_[[#This Row],[S.BASE]]*(1/DATOS_[[#This Row],[% normaliz]])*(1/DATOS_[[#This Row],[% anualiz]]))*IF(DATOS_[[#This Row],[Check Equiparado]]="Sí",1,0)</f>
        <v>#DIV/0!</v>
      </c>
      <c r="BY1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 s="138" t="e">
        <f aca="false">+DATOS_[[#This Row],[SALARIO BASE Eq]]+DATOS_[[#This Row],[Tot COMPL.SAL Eq]]</f>
        <v>#DIV/0!</v>
      </c>
      <c r="CA118" s="138" t="e">
        <f aca="false" t="array" ref="CA118:CA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 s="138" t="e">
        <f aca="false">+DATOS_[[#This Row],[TOTAL SALARIO Eq]]+DATOS_[[#This Row],[Tot Extrasalarial Eq]]</f>
        <v>#DIV/0!</v>
      </c>
      <c r="CC118" s="139" t="n">
        <f aca="false">DATOS_[[#This Row],[S.BASE]]</f>
        <v>0</v>
      </c>
      <c r="CD118" s="139" t="n">
        <f aca="false">+SUM(DATOS_[[#This Row],[Conc.Sal.01]:[Conc.Sal.30]])</f>
        <v>0</v>
      </c>
      <c r="CE118" s="139" t="n">
        <f aca="false">+DATOS_[[#This Row],[SALARIO BASE Ef]]+DATOS_[[#This Row],[Tot COMPL.SAL Ef]]</f>
        <v>0</v>
      </c>
      <c r="CF118" s="139" t="n">
        <f aca="false">+SUM(DATOS_[[#This Row],[C.Extra.01]:[C.Extra.05]])</f>
        <v>0</v>
      </c>
      <c r="CG118" s="139" t="n">
        <f aca="false">+DATOS_[[#This Row],[TOTAL SALARIO Ef]]+DATOS_[[#This Row],[Tot Extrasalarial Ef]]</f>
        <v>0</v>
      </c>
      <c r="CH118" s="140" t="n">
        <f aca="false">MIN(IF(DATOS_[[#This Row],[Fecha Fin Contrato]]="",$D$4,DATOS_[[#This Row],[Fecha Fin Contrato]]),$D$4)-MAX(DATOS_[[#This Row],[Fecha de Contratación]],$D$3)+1</f>
        <v>1</v>
      </c>
      <c r="CI118" s="141" t="str">
        <f aca="false">IF(COUNTIFS(DATOS_[id],DATOS_[[#This Row],[id]])&gt;1,DATOS_[[#This Row],[id]],"")</f>
        <v/>
      </c>
      <c r="CJ118" s="141" t="n">
        <f aca="false">(Inicio!$G$10-DATOS_[[#This Row],[Fecha Nacimiento]])/365.25</f>
        <v>0</v>
      </c>
      <c r="CK118" s="141" t="n">
        <f aca="false">(Inicio!$G$10-DATOS_[[#This Row],[Fecha de Antigüedad]])/365.25</f>
        <v>0</v>
      </c>
      <c r="CL118" s="141" t="e">
        <f aca="false">+VLOOKUP(DATOS_[[#This Row],[Clave de Contrato]],TblTiposContrato13[],3,0)</f>
        <v>#N/A</v>
      </c>
      <c r="CM118" s="141" t="e">
        <f aca="false">+VLOOKUP(DATOS_[[#This Row],[Clave de Contrato]],TblTiposContrato13[],4,0)</f>
        <v>#N/A</v>
      </c>
      <c r="CN118" s="141" t="str">
        <f aca="false">VLOOKUP(DATOS_[[#This Row],[Edad]],CONTRATOS!TblRngEdad,2,1)</f>
        <v>20  o menos</v>
      </c>
      <c r="CO118" s="141" t="str">
        <f aca="false">VLOOKUP(DATOS_[[#This Row],[Antigüedad]],TblRngAntg14[],2,1)</f>
        <v>0 a 1 años</v>
      </c>
    </row>
    <row r="119" customFormat="false" ht="13.8" hidden="false" customHeight="false" outlineLevel="0" collapsed="false">
      <c r="D119" s="128"/>
      <c r="E119" s="129"/>
      <c r="F119" s="129"/>
      <c r="G119" s="129"/>
      <c r="H119" s="130"/>
      <c r="I119" s="131"/>
      <c r="J119" s="128"/>
      <c r="K119" s="132"/>
      <c r="L119" s="132"/>
      <c r="M119" s="133"/>
      <c r="N119" s="133"/>
      <c r="O119" s="133"/>
      <c r="P119" s="129"/>
      <c r="Z119" s="75"/>
      <c r="AA119" s="76"/>
      <c r="AB119" s="76"/>
      <c r="AC119" s="129"/>
      <c r="AD119" s="134"/>
      <c r="AE119" s="134"/>
      <c r="AF119" s="134"/>
      <c r="AG119" s="134"/>
      <c r="AH119" s="134"/>
      <c r="AI119" s="134"/>
      <c r="AJ119" s="134"/>
      <c r="AK119" s="134"/>
      <c r="AL119" s="134"/>
      <c r="AM119" s="134"/>
      <c r="AN119" s="134"/>
      <c r="AO119" s="134"/>
      <c r="AP119" s="134"/>
      <c r="AQ119" s="134"/>
      <c r="AR119" s="134"/>
      <c r="AS119" s="134"/>
      <c r="AT119" s="134"/>
      <c r="AU119" s="134"/>
      <c r="AV119" s="134"/>
      <c r="AW119" s="134"/>
      <c r="AX119" s="134"/>
      <c r="AY119" s="134"/>
      <c r="AZ119" s="134"/>
      <c r="BA119" s="134"/>
      <c r="BB119" s="134"/>
      <c r="BC119" s="134"/>
      <c r="BD119" s="134"/>
      <c r="BE119" s="134"/>
      <c r="BF119" s="134"/>
      <c r="BG119" s="134"/>
      <c r="BH119" s="134"/>
      <c r="BI119" s="134"/>
      <c r="BJ119" s="134"/>
      <c r="BK119" s="134"/>
      <c r="BL119" s="134"/>
      <c r="BM119" s="135"/>
      <c r="BN119" s="136" t="n">
        <f aca="false">+MAX($D$3,DATOS_[[#This Row],[Fecha Inicio Sit. Contract.]])</f>
        <v>0</v>
      </c>
      <c r="BO119" s="136" t="n">
        <f aca="false">+MIN($D$4,DATOS_[[#This Row],[Fecha Fin Sit. Contract.]])</f>
        <v>0</v>
      </c>
      <c r="BP119" s="137" t="n">
        <f aca="false">+DATOS_[[#This Row],[% de jornada]]*IF(DATOS_[[#This Row],[% jornada reducida]]="",1,DATOS_[[#This Row],[% jornada reducida]])</f>
        <v>0</v>
      </c>
      <c r="BQ119" s="137" t="n">
        <f aca="false">+(DATOS_[[#This Row],[F.fin.cal]]-DATOS_[[#This Row],[F.ini.cal]]+1)/($D$4-$D$3+1)</f>
        <v>1</v>
      </c>
      <c r="BR119" s="137" t="str">
        <f aca="false">IF(OR(AND(DATOS_[[#This Row],[Fecha Fin Contrato]]&lt;$D$3,DATOS_[[#This Row],[Fecha Fin Contrato]]&lt;&gt;""),DATOS_[[#This Row],[Fecha de Contratación]]&gt;$D$4),"Fuera","Dentro")</f>
        <v>Dentro</v>
      </c>
      <c r="BS119" s="137" t="str">
        <f aca="false" t="array" ref="BS119:BS119">IF(MAX(IF(DATOS_[id]=DATOS_[[#This Row],[id]],DATOS_[F.fin.cal]))=DATOS_[[#This Row],[F.fin.cal]],"Sí","NO")</f>
        <v>Sí</v>
      </c>
      <c r="BT119" s="137" t="str">
        <f aca="false">IF(AND(DATOS_[[#This Row],[% normaliz]]&lt;&gt;1,DATOS_[[#This Row],[% anualiz]]=1),"Sí","NO")</f>
        <v>Sí</v>
      </c>
      <c r="BU119" s="137" t="str">
        <f aca="false">IF(AND(DATOS_[[#This Row],[% normaliz]]=1,DATOS_[[#This Row],[% anualiz]]&lt;&gt;1),"Sí","NO")</f>
        <v>NO</v>
      </c>
      <c r="BV119" s="137" t="str">
        <f aca="false">IF(AND(DATOS_[[#This Row],[% normaliz]]&lt;&gt;1,DATOS_[[#This Row],[% anualiz]]&lt;&gt;1),"Sí","NO")</f>
        <v>NO</v>
      </c>
      <c r="BW119" s="137" t="str">
        <f aca="false">+IF(DATOS_[[#This Row],[% normaliz]]*DATOS_[[#This Row],[% anualiz]]=1,"NO","Sí")</f>
        <v>Sí</v>
      </c>
      <c r="BX119" s="138" t="e">
        <f aca="false">(DATOS_[[#This Row],[S.BASE]]*(1/DATOS_[[#This Row],[% normaliz]])*(1/DATOS_[[#This Row],[% anualiz]]))*IF(DATOS_[[#This Row],[Check Equiparado]]="Sí",1,0)</f>
        <v>#DIV/0!</v>
      </c>
      <c r="BY1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 s="138" t="e">
        <f aca="false">+DATOS_[[#This Row],[SALARIO BASE Eq]]+DATOS_[[#This Row],[Tot COMPL.SAL Eq]]</f>
        <v>#DIV/0!</v>
      </c>
      <c r="CA119" s="138" t="e">
        <f aca="false" t="array" ref="CA119:CA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 s="138" t="e">
        <f aca="false">+DATOS_[[#This Row],[TOTAL SALARIO Eq]]+DATOS_[[#This Row],[Tot Extrasalarial Eq]]</f>
        <v>#DIV/0!</v>
      </c>
      <c r="CC119" s="139" t="n">
        <f aca="false">DATOS_[[#This Row],[S.BASE]]</f>
        <v>0</v>
      </c>
      <c r="CD119" s="139" t="n">
        <f aca="false">+SUM(DATOS_[[#This Row],[Conc.Sal.01]:[Conc.Sal.30]])</f>
        <v>0</v>
      </c>
      <c r="CE119" s="139" t="n">
        <f aca="false">+DATOS_[[#This Row],[SALARIO BASE Ef]]+DATOS_[[#This Row],[Tot COMPL.SAL Ef]]</f>
        <v>0</v>
      </c>
      <c r="CF119" s="139" t="n">
        <f aca="false">+SUM(DATOS_[[#This Row],[C.Extra.01]:[C.Extra.05]])</f>
        <v>0</v>
      </c>
      <c r="CG119" s="139" t="n">
        <f aca="false">+DATOS_[[#This Row],[TOTAL SALARIO Ef]]+DATOS_[[#This Row],[Tot Extrasalarial Ef]]</f>
        <v>0</v>
      </c>
      <c r="CH119" s="140" t="n">
        <f aca="false">MIN(IF(DATOS_[[#This Row],[Fecha Fin Contrato]]="",$D$4,DATOS_[[#This Row],[Fecha Fin Contrato]]),$D$4)-MAX(DATOS_[[#This Row],[Fecha de Contratación]],$D$3)+1</f>
        <v>1</v>
      </c>
      <c r="CI119" s="141" t="str">
        <f aca="false">IF(COUNTIFS(DATOS_[id],DATOS_[[#This Row],[id]])&gt;1,DATOS_[[#This Row],[id]],"")</f>
        <v/>
      </c>
      <c r="CJ119" s="141" t="n">
        <f aca="false">(Inicio!$G$10-DATOS_[[#This Row],[Fecha Nacimiento]])/365.25</f>
        <v>0</v>
      </c>
      <c r="CK119" s="141" t="n">
        <f aca="false">(Inicio!$G$10-DATOS_[[#This Row],[Fecha de Antigüedad]])/365.25</f>
        <v>0</v>
      </c>
      <c r="CL119" s="141" t="e">
        <f aca="false">+VLOOKUP(DATOS_[[#This Row],[Clave de Contrato]],TblTiposContrato13[],3,0)</f>
        <v>#N/A</v>
      </c>
      <c r="CM119" s="141" t="e">
        <f aca="false">+VLOOKUP(DATOS_[[#This Row],[Clave de Contrato]],TblTiposContrato13[],4,0)</f>
        <v>#N/A</v>
      </c>
      <c r="CN119" s="141" t="str">
        <f aca="false">VLOOKUP(DATOS_[[#This Row],[Edad]],CONTRATOS!TblRngEdad,2,1)</f>
        <v>20  o menos</v>
      </c>
      <c r="CO119" s="141" t="str">
        <f aca="false">VLOOKUP(DATOS_[[#This Row],[Antigüedad]],TblRngAntg14[],2,1)</f>
        <v>0 a 1 años</v>
      </c>
    </row>
    <row r="120" customFormat="false" ht="13.8" hidden="false" customHeight="false" outlineLevel="0" collapsed="false">
      <c r="D120" s="128"/>
      <c r="E120" s="129"/>
      <c r="F120" s="129"/>
      <c r="G120" s="129"/>
      <c r="H120" s="130"/>
      <c r="I120" s="131"/>
      <c r="J120" s="128"/>
      <c r="K120" s="132"/>
      <c r="L120" s="132"/>
      <c r="M120" s="133"/>
      <c r="N120" s="133"/>
      <c r="O120" s="133"/>
      <c r="P120" s="129"/>
      <c r="Z120" s="75"/>
      <c r="AA120" s="76"/>
      <c r="AB120" s="76"/>
      <c r="AC120" s="129"/>
      <c r="AD120" s="134"/>
      <c r="AE120" s="134"/>
      <c r="AF120" s="134"/>
      <c r="AG120" s="134"/>
      <c r="AH120" s="134"/>
      <c r="AI120" s="134"/>
      <c r="AJ120" s="134"/>
      <c r="AK120" s="134"/>
      <c r="AL120" s="134"/>
      <c r="AM120" s="134"/>
      <c r="AN120" s="134"/>
      <c r="AO120" s="134"/>
      <c r="AP120" s="134"/>
      <c r="AQ120" s="134"/>
      <c r="AR120" s="134"/>
      <c r="AS120" s="134"/>
      <c r="AT120" s="134"/>
      <c r="AU120" s="134"/>
      <c r="AV120" s="134"/>
      <c r="AW120" s="134"/>
      <c r="AX120" s="134"/>
      <c r="AY120" s="134"/>
      <c r="AZ120" s="134"/>
      <c r="BA120" s="134"/>
      <c r="BB120" s="134"/>
      <c r="BC120" s="134"/>
      <c r="BD120" s="134"/>
      <c r="BE120" s="134"/>
      <c r="BF120" s="134"/>
      <c r="BG120" s="134"/>
      <c r="BH120" s="134"/>
      <c r="BI120" s="134"/>
      <c r="BJ120" s="134"/>
      <c r="BK120" s="134"/>
      <c r="BL120" s="134"/>
      <c r="BM120" s="135"/>
      <c r="BN120" s="136" t="n">
        <f aca="false">+MAX($D$3,DATOS_[[#This Row],[Fecha Inicio Sit. Contract.]])</f>
        <v>0</v>
      </c>
      <c r="BO120" s="136" t="n">
        <f aca="false">+MIN($D$4,DATOS_[[#This Row],[Fecha Fin Sit. Contract.]])</f>
        <v>0</v>
      </c>
      <c r="BP120" s="137" t="n">
        <f aca="false">+DATOS_[[#This Row],[% de jornada]]*IF(DATOS_[[#This Row],[% jornada reducida]]="",1,DATOS_[[#This Row],[% jornada reducida]])</f>
        <v>0</v>
      </c>
      <c r="BQ120" s="137" t="n">
        <f aca="false">+(DATOS_[[#This Row],[F.fin.cal]]-DATOS_[[#This Row],[F.ini.cal]]+1)/($D$4-$D$3+1)</f>
        <v>1</v>
      </c>
      <c r="BR120" s="137" t="str">
        <f aca="false">IF(OR(AND(DATOS_[[#This Row],[Fecha Fin Contrato]]&lt;$D$3,DATOS_[[#This Row],[Fecha Fin Contrato]]&lt;&gt;""),DATOS_[[#This Row],[Fecha de Contratación]]&gt;$D$4),"Fuera","Dentro")</f>
        <v>Dentro</v>
      </c>
      <c r="BS120" s="137" t="str">
        <f aca="false" t="array" ref="BS120:BS120">IF(MAX(IF(DATOS_[id]=DATOS_[[#This Row],[id]],DATOS_[F.fin.cal]))=DATOS_[[#This Row],[F.fin.cal]],"Sí","NO")</f>
        <v>Sí</v>
      </c>
      <c r="BT120" s="137" t="str">
        <f aca="false">IF(AND(DATOS_[[#This Row],[% normaliz]]&lt;&gt;1,DATOS_[[#This Row],[% anualiz]]=1),"Sí","NO")</f>
        <v>Sí</v>
      </c>
      <c r="BU120" s="137" t="str">
        <f aca="false">IF(AND(DATOS_[[#This Row],[% normaliz]]=1,DATOS_[[#This Row],[% anualiz]]&lt;&gt;1),"Sí","NO")</f>
        <v>NO</v>
      </c>
      <c r="BV120" s="137" t="str">
        <f aca="false">IF(AND(DATOS_[[#This Row],[% normaliz]]&lt;&gt;1,DATOS_[[#This Row],[% anualiz]]&lt;&gt;1),"Sí","NO")</f>
        <v>NO</v>
      </c>
      <c r="BW120" s="137" t="str">
        <f aca="false">+IF(DATOS_[[#This Row],[% normaliz]]*DATOS_[[#This Row],[% anualiz]]=1,"NO","Sí")</f>
        <v>Sí</v>
      </c>
      <c r="BX120" s="138" t="e">
        <f aca="false">(DATOS_[[#This Row],[S.BASE]]*(1/DATOS_[[#This Row],[% normaliz]])*(1/DATOS_[[#This Row],[% anualiz]]))*IF(DATOS_[[#This Row],[Check Equiparado]]="Sí",1,0)</f>
        <v>#DIV/0!</v>
      </c>
      <c r="BY1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 s="138" t="e">
        <f aca="false">+DATOS_[[#This Row],[SALARIO BASE Eq]]+DATOS_[[#This Row],[Tot COMPL.SAL Eq]]</f>
        <v>#DIV/0!</v>
      </c>
      <c r="CA120" s="138" t="e">
        <f aca="false" t="array" ref="CA120:CA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 s="138" t="e">
        <f aca="false">+DATOS_[[#This Row],[TOTAL SALARIO Eq]]+DATOS_[[#This Row],[Tot Extrasalarial Eq]]</f>
        <v>#DIV/0!</v>
      </c>
      <c r="CC120" s="139" t="n">
        <f aca="false">DATOS_[[#This Row],[S.BASE]]</f>
        <v>0</v>
      </c>
      <c r="CD120" s="139" t="n">
        <f aca="false">+SUM(DATOS_[[#This Row],[Conc.Sal.01]:[Conc.Sal.30]])</f>
        <v>0</v>
      </c>
      <c r="CE120" s="139" t="n">
        <f aca="false">+DATOS_[[#This Row],[SALARIO BASE Ef]]+DATOS_[[#This Row],[Tot COMPL.SAL Ef]]</f>
        <v>0</v>
      </c>
      <c r="CF120" s="139" t="n">
        <f aca="false">+SUM(DATOS_[[#This Row],[C.Extra.01]:[C.Extra.05]])</f>
        <v>0</v>
      </c>
      <c r="CG120" s="139" t="n">
        <f aca="false">+DATOS_[[#This Row],[TOTAL SALARIO Ef]]+DATOS_[[#This Row],[Tot Extrasalarial Ef]]</f>
        <v>0</v>
      </c>
      <c r="CH120" s="140" t="n">
        <f aca="false">MIN(IF(DATOS_[[#This Row],[Fecha Fin Contrato]]="",$D$4,DATOS_[[#This Row],[Fecha Fin Contrato]]),$D$4)-MAX(DATOS_[[#This Row],[Fecha de Contratación]],$D$3)+1</f>
        <v>1</v>
      </c>
      <c r="CI120" s="141" t="str">
        <f aca="false">IF(COUNTIFS(DATOS_[id],DATOS_[[#This Row],[id]])&gt;1,DATOS_[[#This Row],[id]],"")</f>
        <v/>
      </c>
      <c r="CJ120" s="141" t="n">
        <f aca="false">(Inicio!$G$10-DATOS_[[#This Row],[Fecha Nacimiento]])/365.25</f>
        <v>0</v>
      </c>
      <c r="CK120" s="141" t="n">
        <f aca="false">(Inicio!$G$10-DATOS_[[#This Row],[Fecha de Antigüedad]])/365.25</f>
        <v>0</v>
      </c>
      <c r="CL120" s="141" t="e">
        <f aca="false">+VLOOKUP(DATOS_[[#This Row],[Clave de Contrato]],TblTiposContrato13[],3,0)</f>
        <v>#N/A</v>
      </c>
      <c r="CM120" s="141" t="e">
        <f aca="false">+VLOOKUP(DATOS_[[#This Row],[Clave de Contrato]],TblTiposContrato13[],4,0)</f>
        <v>#N/A</v>
      </c>
      <c r="CN120" s="141" t="str">
        <f aca="false">VLOOKUP(DATOS_[[#This Row],[Edad]],CONTRATOS!TblRngEdad,2,1)</f>
        <v>20  o menos</v>
      </c>
      <c r="CO120" s="141" t="str">
        <f aca="false">VLOOKUP(DATOS_[[#This Row],[Antigüedad]],TblRngAntg14[],2,1)</f>
        <v>0 a 1 años</v>
      </c>
    </row>
    <row r="121" customFormat="false" ht="13.8" hidden="false" customHeight="false" outlineLevel="0" collapsed="false">
      <c r="D121" s="128"/>
      <c r="E121" s="129"/>
      <c r="F121" s="129"/>
      <c r="G121" s="129"/>
      <c r="H121" s="130"/>
      <c r="I121" s="131"/>
      <c r="J121" s="128"/>
      <c r="K121" s="132"/>
      <c r="L121" s="132"/>
      <c r="M121" s="133"/>
      <c r="N121" s="133"/>
      <c r="O121" s="133"/>
      <c r="P121" s="129"/>
      <c r="Z121" s="75"/>
      <c r="AA121" s="76"/>
      <c r="AB121" s="76"/>
      <c r="AC121" s="129"/>
      <c r="AD121" s="134"/>
      <c r="AE121" s="134"/>
      <c r="AF121" s="134"/>
      <c r="AG121" s="134"/>
      <c r="AH121" s="134"/>
      <c r="AI121" s="134"/>
      <c r="AJ121" s="134"/>
      <c r="AK121" s="134"/>
      <c r="AL121" s="134"/>
      <c r="AM121" s="134"/>
      <c r="AN121" s="134"/>
      <c r="AO121" s="134"/>
      <c r="AP121" s="134"/>
      <c r="AQ121" s="134"/>
      <c r="AR121" s="134"/>
      <c r="AS121" s="134"/>
      <c r="AT121" s="134"/>
      <c r="AU121" s="134"/>
      <c r="AV121" s="134"/>
      <c r="AW121" s="134"/>
      <c r="AX121" s="134"/>
      <c r="AY121" s="134"/>
      <c r="AZ121" s="134"/>
      <c r="BA121" s="134"/>
      <c r="BB121" s="134"/>
      <c r="BC121" s="134"/>
      <c r="BD121" s="134"/>
      <c r="BE121" s="134"/>
      <c r="BF121" s="134"/>
      <c r="BG121" s="134"/>
      <c r="BH121" s="134"/>
      <c r="BI121" s="134"/>
      <c r="BJ121" s="134"/>
      <c r="BK121" s="134"/>
      <c r="BL121" s="134"/>
      <c r="BM121" s="135"/>
      <c r="BN121" s="136" t="n">
        <f aca="false">+MAX($D$3,DATOS_[[#This Row],[Fecha Inicio Sit. Contract.]])</f>
        <v>0</v>
      </c>
      <c r="BO121" s="136" t="n">
        <f aca="false">+MIN($D$4,DATOS_[[#This Row],[Fecha Fin Sit. Contract.]])</f>
        <v>0</v>
      </c>
      <c r="BP121" s="137" t="n">
        <f aca="false">+DATOS_[[#This Row],[% de jornada]]*IF(DATOS_[[#This Row],[% jornada reducida]]="",1,DATOS_[[#This Row],[% jornada reducida]])</f>
        <v>0</v>
      </c>
      <c r="BQ121" s="137" t="n">
        <f aca="false">+(DATOS_[[#This Row],[F.fin.cal]]-DATOS_[[#This Row],[F.ini.cal]]+1)/($D$4-$D$3+1)</f>
        <v>1</v>
      </c>
      <c r="BR121" s="137" t="str">
        <f aca="false">IF(OR(AND(DATOS_[[#This Row],[Fecha Fin Contrato]]&lt;$D$3,DATOS_[[#This Row],[Fecha Fin Contrato]]&lt;&gt;""),DATOS_[[#This Row],[Fecha de Contratación]]&gt;$D$4),"Fuera","Dentro")</f>
        <v>Dentro</v>
      </c>
      <c r="BS121" s="137" t="str">
        <f aca="false" t="array" ref="BS121:BS121">IF(MAX(IF(DATOS_[id]=DATOS_[[#This Row],[id]],DATOS_[F.fin.cal]))=DATOS_[[#This Row],[F.fin.cal]],"Sí","NO")</f>
        <v>Sí</v>
      </c>
      <c r="BT121" s="137" t="str">
        <f aca="false">IF(AND(DATOS_[[#This Row],[% normaliz]]&lt;&gt;1,DATOS_[[#This Row],[% anualiz]]=1),"Sí","NO")</f>
        <v>Sí</v>
      </c>
      <c r="BU121" s="137" t="str">
        <f aca="false">IF(AND(DATOS_[[#This Row],[% normaliz]]=1,DATOS_[[#This Row],[% anualiz]]&lt;&gt;1),"Sí","NO")</f>
        <v>NO</v>
      </c>
      <c r="BV121" s="137" t="str">
        <f aca="false">IF(AND(DATOS_[[#This Row],[% normaliz]]&lt;&gt;1,DATOS_[[#This Row],[% anualiz]]&lt;&gt;1),"Sí","NO")</f>
        <v>NO</v>
      </c>
      <c r="BW121" s="137" t="str">
        <f aca="false">+IF(DATOS_[[#This Row],[% normaliz]]*DATOS_[[#This Row],[% anualiz]]=1,"NO","Sí")</f>
        <v>Sí</v>
      </c>
      <c r="BX121" s="138" t="e">
        <f aca="false">(DATOS_[[#This Row],[S.BASE]]*(1/DATOS_[[#This Row],[% normaliz]])*(1/DATOS_[[#This Row],[% anualiz]]))*IF(DATOS_[[#This Row],[Check Equiparado]]="Sí",1,0)</f>
        <v>#DIV/0!</v>
      </c>
      <c r="BY1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 s="138" t="e">
        <f aca="false">+DATOS_[[#This Row],[SALARIO BASE Eq]]+DATOS_[[#This Row],[Tot COMPL.SAL Eq]]</f>
        <v>#DIV/0!</v>
      </c>
      <c r="CA121" s="138" t="e">
        <f aca="false" t="array" ref="CA121:CA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 s="138" t="e">
        <f aca="false">+DATOS_[[#This Row],[TOTAL SALARIO Eq]]+DATOS_[[#This Row],[Tot Extrasalarial Eq]]</f>
        <v>#DIV/0!</v>
      </c>
      <c r="CC121" s="139" t="n">
        <f aca="false">DATOS_[[#This Row],[S.BASE]]</f>
        <v>0</v>
      </c>
      <c r="CD121" s="139" t="n">
        <f aca="false">+SUM(DATOS_[[#This Row],[Conc.Sal.01]:[Conc.Sal.30]])</f>
        <v>0</v>
      </c>
      <c r="CE121" s="139" t="n">
        <f aca="false">+DATOS_[[#This Row],[SALARIO BASE Ef]]+DATOS_[[#This Row],[Tot COMPL.SAL Ef]]</f>
        <v>0</v>
      </c>
      <c r="CF121" s="139" t="n">
        <f aca="false">+SUM(DATOS_[[#This Row],[C.Extra.01]:[C.Extra.05]])</f>
        <v>0</v>
      </c>
      <c r="CG121" s="139" t="n">
        <f aca="false">+DATOS_[[#This Row],[TOTAL SALARIO Ef]]+DATOS_[[#This Row],[Tot Extrasalarial Ef]]</f>
        <v>0</v>
      </c>
      <c r="CH121" s="140" t="n">
        <f aca="false">MIN(IF(DATOS_[[#This Row],[Fecha Fin Contrato]]="",$D$4,DATOS_[[#This Row],[Fecha Fin Contrato]]),$D$4)-MAX(DATOS_[[#This Row],[Fecha de Contratación]],$D$3)+1</f>
        <v>1</v>
      </c>
      <c r="CI121" s="141" t="str">
        <f aca="false">IF(COUNTIFS(DATOS_[id],DATOS_[[#This Row],[id]])&gt;1,DATOS_[[#This Row],[id]],"")</f>
        <v/>
      </c>
      <c r="CJ121" s="141" t="n">
        <f aca="false">(Inicio!$G$10-DATOS_[[#This Row],[Fecha Nacimiento]])/365.25</f>
        <v>0</v>
      </c>
      <c r="CK121" s="141" t="n">
        <f aca="false">(Inicio!$G$10-DATOS_[[#This Row],[Fecha de Antigüedad]])/365.25</f>
        <v>0</v>
      </c>
      <c r="CL121" s="141" t="e">
        <f aca="false">+VLOOKUP(DATOS_[[#This Row],[Clave de Contrato]],TblTiposContrato13[],3,0)</f>
        <v>#N/A</v>
      </c>
      <c r="CM121" s="141" t="e">
        <f aca="false">+VLOOKUP(DATOS_[[#This Row],[Clave de Contrato]],TblTiposContrato13[],4,0)</f>
        <v>#N/A</v>
      </c>
      <c r="CN121" s="141" t="str">
        <f aca="false">VLOOKUP(DATOS_[[#This Row],[Edad]],CONTRATOS!TblRngEdad,2,1)</f>
        <v>20  o menos</v>
      </c>
      <c r="CO121" s="141" t="str">
        <f aca="false">VLOOKUP(DATOS_[[#This Row],[Antigüedad]],TblRngAntg14[],2,1)</f>
        <v>0 a 1 años</v>
      </c>
    </row>
    <row r="122" customFormat="false" ht="13.8" hidden="false" customHeight="false" outlineLevel="0" collapsed="false">
      <c r="D122" s="128"/>
      <c r="E122" s="129"/>
      <c r="F122" s="129"/>
      <c r="G122" s="129"/>
      <c r="H122" s="130"/>
      <c r="I122" s="131"/>
      <c r="J122" s="128"/>
      <c r="K122" s="132"/>
      <c r="L122" s="132"/>
      <c r="M122" s="133"/>
      <c r="N122" s="133"/>
      <c r="O122" s="133"/>
      <c r="P122" s="129"/>
      <c r="Z122" s="75"/>
      <c r="AA122" s="76"/>
      <c r="AB122" s="76"/>
      <c r="AC122" s="129"/>
      <c r="AD122" s="134"/>
      <c r="AE122" s="134"/>
      <c r="AF122" s="134"/>
      <c r="AG122" s="134"/>
      <c r="AH122" s="134"/>
      <c r="AI122" s="134"/>
      <c r="AJ122" s="134"/>
      <c r="AK122" s="134"/>
      <c r="AL122" s="134"/>
      <c r="AM122" s="134"/>
      <c r="AN122" s="134"/>
      <c r="AO122" s="134"/>
      <c r="AP122" s="134"/>
      <c r="AQ122" s="134"/>
      <c r="AR122" s="134"/>
      <c r="AS122" s="134"/>
      <c r="AT122" s="134"/>
      <c r="AU122" s="134"/>
      <c r="AV122" s="134"/>
      <c r="AW122" s="134"/>
      <c r="AX122" s="134"/>
      <c r="AY122" s="134"/>
      <c r="AZ122" s="134"/>
      <c r="BA122" s="134"/>
      <c r="BB122" s="134"/>
      <c r="BC122" s="134"/>
      <c r="BD122" s="134"/>
      <c r="BE122" s="134"/>
      <c r="BF122" s="134"/>
      <c r="BG122" s="134"/>
      <c r="BH122" s="134"/>
      <c r="BI122" s="134"/>
      <c r="BJ122" s="134"/>
      <c r="BK122" s="134"/>
      <c r="BL122" s="134"/>
      <c r="BM122" s="135"/>
      <c r="BN122" s="136" t="n">
        <f aca="false">+MAX($D$3,DATOS_[[#This Row],[Fecha Inicio Sit. Contract.]])</f>
        <v>0</v>
      </c>
      <c r="BO122" s="136" t="n">
        <f aca="false">+MIN($D$4,DATOS_[[#This Row],[Fecha Fin Sit. Contract.]])</f>
        <v>0</v>
      </c>
      <c r="BP122" s="137" t="n">
        <f aca="false">+DATOS_[[#This Row],[% de jornada]]*IF(DATOS_[[#This Row],[% jornada reducida]]="",1,DATOS_[[#This Row],[% jornada reducida]])</f>
        <v>0</v>
      </c>
      <c r="BQ122" s="137" t="n">
        <f aca="false">+(DATOS_[[#This Row],[F.fin.cal]]-DATOS_[[#This Row],[F.ini.cal]]+1)/($D$4-$D$3+1)</f>
        <v>1</v>
      </c>
      <c r="BR122" s="137" t="str">
        <f aca="false">IF(OR(AND(DATOS_[[#This Row],[Fecha Fin Contrato]]&lt;$D$3,DATOS_[[#This Row],[Fecha Fin Contrato]]&lt;&gt;""),DATOS_[[#This Row],[Fecha de Contratación]]&gt;$D$4),"Fuera","Dentro")</f>
        <v>Dentro</v>
      </c>
      <c r="BS122" s="137" t="str">
        <f aca="false" t="array" ref="BS122:BS122">IF(MAX(IF(DATOS_[id]=DATOS_[[#This Row],[id]],DATOS_[F.fin.cal]))=DATOS_[[#This Row],[F.fin.cal]],"Sí","NO")</f>
        <v>Sí</v>
      </c>
      <c r="BT122" s="137" t="str">
        <f aca="false">IF(AND(DATOS_[[#This Row],[% normaliz]]&lt;&gt;1,DATOS_[[#This Row],[% anualiz]]=1),"Sí","NO")</f>
        <v>Sí</v>
      </c>
      <c r="BU122" s="137" t="str">
        <f aca="false">IF(AND(DATOS_[[#This Row],[% normaliz]]=1,DATOS_[[#This Row],[% anualiz]]&lt;&gt;1),"Sí","NO")</f>
        <v>NO</v>
      </c>
      <c r="BV122" s="137" t="str">
        <f aca="false">IF(AND(DATOS_[[#This Row],[% normaliz]]&lt;&gt;1,DATOS_[[#This Row],[% anualiz]]&lt;&gt;1),"Sí","NO")</f>
        <v>NO</v>
      </c>
      <c r="BW122" s="137" t="str">
        <f aca="false">+IF(DATOS_[[#This Row],[% normaliz]]*DATOS_[[#This Row],[% anualiz]]=1,"NO","Sí")</f>
        <v>Sí</v>
      </c>
      <c r="BX122" s="138" t="e">
        <f aca="false">(DATOS_[[#This Row],[S.BASE]]*(1/DATOS_[[#This Row],[% normaliz]])*(1/DATOS_[[#This Row],[% anualiz]]))*IF(DATOS_[[#This Row],[Check Equiparado]]="Sí",1,0)</f>
        <v>#DIV/0!</v>
      </c>
      <c r="BY1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 s="138" t="e">
        <f aca="false">+DATOS_[[#This Row],[SALARIO BASE Eq]]+DATOS_[[#This Row],[Tot COMPL.SAL Eq]]</f>
        <v>#DIV/0!</v>
      </c>
      <c r="CA122" s="138" t="e">
        <f aca="false" t="array" ref="CA122:CA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 s="138" t="e">
        <f aca="false">+DATOS_[[#This Row],[TOTAL SALARIO Eq]]+DATOS_[[#This Row],[Tot Extrasalarial Eq]]</f>
        <v>#DIV/0!</v>
      </c>
      <c r="CC122" s="139" t="n">
        <f aca="false">DATOS_[[#This Row],[S.BASE]]</f>
        <v>0</v>
      </c>
      <c r="CD122" s="139" t="n">
        <f aca="false">+SUM(DATOS_[[#This Row],[Conc.Sal.01]:[Conc.Sal.30]])</f>
        <v>0</v>
      </c>
      <c r="CE122" s="139" t="n">
        <f aca="false">+DATOS_[[#This Row],[SALARIO BASE Ef]]+DATOS_[[#This Row],[Tot COMPL.SAL Ef]]</f>
        <v>0</v>
      </c>
      <c r="CF122" s="139" t="n">
        <f aca="false">+SUM(DATOS_[[#This Row],[C.Extra.01]:[C.Extra.05]])</f>
        <v>0</v>
      </c>
      <c r="CG122" s="139" t="n">
        <f aca="false">+DATOS_[[#This Row],[TOTAL SALARIO Ef]]+DATOS_[[#This Row],[Tot Extrasalarial Ef]]</f>
        <v>0</v>
      </c>
      <c r="CH122" s="140" t="n">
        <f aca="false">MIN(IF(DATOS_[[#This Row],[Fecha Fin Contrato]]="",$D$4,DATOS_[[#This Row],[Fecha Fin Contrato]]),$D$4)-MAX(DATOS_[[#This Row],[Fecha de Contratación]],$D$3)+1</f>
        <v>1</v>
      </c>
      <c r="CI122" s="141" t="str">
        <f aca="false">IF(COUNTIFS(DATOS_[id],DATOS_[[#This Row],[id]])&gt;1,DATOS_[[#This Row],[id]],"")</f>
        <v/>
      </c>
      <c r="CJ122" s="141" t="n">
        <f aca="false">(Inicio!$G$10-DATOS_[[#This Row],[Fecha Nacimiento]])/365.25</f>
        <v>0</v>
      </c>
      <c r="CK122" s="141" t="n">
        <f aca="false">(Inicio!$G$10-DATOS_[[#This Row],[Fecha de Antigüedad]])/365.25</f>
        <v>0</v>
      </c>
      <c r="CL122" s="141" t="e">
        <f aca="false">+VLOOKUP(DATOS_[[#This Row],[Clave de Contrato]],TblTiposContrato13[],3,0)</f>
        <v>#N/A</v>
      </c>
      <c r="CM122" s="141" t="e">
        <f aca="false">+VLOOKUP(DATOS_[[#This Row],[Clave de Contrato]],TblTiposContrato13[],4,0)</f>
        <v>#N/A</v>
      </c>
      <c r="CN122" s="141" t="str">
        <f aca="false">VLOOKUP(DATOS_[[#This Row],[Edad]],CONTRATOS!TblRngEdad,2,1)</f>
        <v>20  o menos</v>
      </c>
      <c r="CO122" s="141" t="str">
        <f aca="false">VLOOKUP(DATOS_[[#This Row],[Antigüedad]],TblRngAntg14[],2,1)</f>
        <v>0 a 1 años</v>
      </c>
    </row>
    <row r="123" customFormat="false" ht="13.8" hidden="false" customHeight="false" outlineLevel="0" collapsed="false">
      <c r="D123" s="128"/>
      <c r="E123" s="129"/>
      <c r="F123" s="129"/>
      <c r="G123" s="129"/>
      <c r="H123" s="130"/>
      <c r="I123" s="131"/>
      <c r="J123" s="128"/>
      <c r="K123" s="132"/>
      <c r="L123" s="132"/>
      <c r="M123" s="133"/>
      <c r="N123" s="133"/>
      <c r="O123" s="133"/>
      <c r="P123" s="129"/>
      <c r="Z123" s="75"/>
      <c r="AA123" s="76"/>
      <c r="AB123" s="76"/>
      <c r="AC123" s="129"/>
      <c r="AD123" s="134"/>
      <c r="AE123" s="134"/>
      <c r="AF123" s="134"/>
      <c r="AG123" s="134"/>
      <c r="AH123" s="134"/>
      <c r="AI123" s="134"/>
      <c r="AJ123" s="134"/>
      <c r="AK123" s="134"/>
      <c r="AL123" s="134"/>
      <c r="AM123" s="134"/>
      <c r="AN123" s="134"/>
      <c r="AO123" s="134"/>
      <c r="AP123" s="134"/>
      <c r="AQ123" s="134"/>
      <c r="AR123" s="134"/>
      <c r="AS123" s="134"/>
      <c r="AT123" s="134"/>
      <c r="AU123" s="134"/>
      <c r="AV123" s="134"/>
      <c r="AW123" s="134"/>
      <c r="AX123" s="134"/>
      <c r="AY123" s="134"/>
      <c r="AZ123" s="134"/>
      <c r="BA123" s="134"/>
      <c r="BB123" s="134"/>
      <c r="BC123" s="134"/>
      <c r="BD123" s="134"/>
      <c r="BE123" s="134"/>
      <c r="BF123" s="134"/>
      <c r="BG123" s="134"/>
      <c r="BH123" s="134"/>
      <c r="BI123" s="134"/>
      <c r="BJ123" s="134"/>
      <c r="BK123" s="134"/>
      <c r="BL123" s="134"/>
      <c r="BM123" s="135"/>
      <c r="BN123" s="136" t="n">
        <f aca="false">+MAX($D$3,DATOS_[[#This Row],[Fecha Inicio Sit. Contract.]])</f>
        <v>0</v>
      </c>
      <c r="BO123" s="136" t="n">
        <f aca="false">+MIN($D$4,DATOS_[[#This Row],[Fecha Fin Sit. Contract.]])</f>
        <v>0</v>
      </c>
      <c r="BP123" s="137" t="n">
        <f aca="false">+DATOS_[[#This Row],[% de jornada]]*IF(DATOS_[[#This Row],[% jornada reducida]]="",1,DATOS_[[#This Row],[% jornada reducida]])</f>
        <v>0</v>
      </c>
      <c r="BQ123" s="137" t="n">
        <f aca="false">+(DATOS_[[#This Row],[F.fin.cal]]-DATOS_[[#This Row],[F.ini.cal]]+1)/($D$4-$D$3+1)</f>
        <v>1</v>
      </c>
      <c r="BR123" s="137" t="str">
        <f aca="false">IF(OR(AND(DATOS_[[#This Row],[Fecha Fin Contrato]]&lt;$D$3,DATOS_[[#This Row],[Fecha Fin Contrato]]&lt;&gt;""),DATOS_[[#This Row],[Fecha de Contratación]]&gt;$D$4),"Fuera","Dentro")</f>
        <v>Dentro</v>
      </c>
      <c r="BS123" s="137" t="str">
        <f aca="false" t="array" ref="BS123:BS123">IF(MAX(IF(DATOS_[id]=DATOS_[[#This Row],[id]],DATOS_[F.fin.cal]))=DATOS_[[#This Row],[F.fin.cal]],"Sí","NO")</f>
        <v>Sí</v>
      </c>
      <c r="BT123" s="137" t="str">
        <f aca="false">IF(AND(DATOS_[[#This Row],[% normaliz]]&lt;&gt;1,DATOS_[[#This Row],[% anualiz]]=1),"Sí","NO")</f>
        <v>Sí</v>
      </c>
      <c r="BU123" s="137" t="str">
        <f aca="false">IF(AND(DATOS_[[#This Row],[% normaliz]]=1,DATOS_[[#This Row],[% anualiz]]&lt;&gt;1),"Sí","NO")</f>
        <v>NO</v>
      </c>
      <c r="BV123" s="137" t="str">
        <f aca="false">IF(AND(DATOS_[[#This Row],[% normaliz]]&lt;&gt;1,DATOS_[[#This Row],[% anualiz]]&lt;&gt;1),"Sí","NO")</f>
        <v>NO</v>
      </c>
      <c r="BW123" s="137" t="str">
        <f aca="false">+IF(DATOS_[[#This Row],[% normaliz]]*DATOS_[[#This Row],[% anualiz]]=1,"NO","Sí")</f>
        <v>Sí</v>
      </c>
      <c r="BX123" s="138" t="e">
        <f aca="false">(DATOS_[[#This Row],[S.BASE]]*(1/DATOS_[[#This Row],[% normaliz]])*(1/DATOS_[[#This Row],[% anualiz]]))*IF(DATOS_[[#This Row],[Check Equiparado]]="Sí",1,0)</f>
        <v>#DIV/0!</v>
      </c>
      <c r="BY1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 s="138" t="e">
        <f aca="false">+DATOS_[[#This Row],[SALARIO BASE Eq]]+DATOS_[[#This Row],[Tot COMPL.SAL Eq]]</f>
        <v>#DIV/0!</v>
      </c>
      <c r="CA123" s="138" t="e">
        <f aca="false" t="array" ref="CA123:CA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 s="138" t="e">
        <f aca="false">+DATOS_[[#This Row],[TOTAL SALARIO Eq]]+DATOS_[[#This Row],[Tot Extrasalarial Eq]]</f>
        <v>#DIV/0!</v>
      </c>
      <c r="CC123" s="139" t="n">
        <f aca="false">DATOS_[[#This Row],[S.BASE]]</f>
        <v>0</v>
      </c>
      <c r="CD123" s="139" t="n">
        <f aca="false">+SUM(DATOS_[[#This Row],[Conc.Sal.01]:[Conc.Sal.30]])</f>
        <v>0</v>
      </c>
      <c r="CE123" s="139" t="n">
        <f aca="false">+DATOS_[[#This Row],[SALARIO BASE Ef]]+DATOS_[[#This Row],[Tot COMPL.SAL Ef]]</f>
        <v>0</v>
      </c>
      <c r="CF123" s="139" t="n">
        <f aca="false">+SUM(DATOS_[[#This Row],[C.Extra.01]:[C.Extra.05]])</f>
        <v>0</v>
      </c>
      <c r="CG123" s="139" t="n">
        <f aca="false">+DATOS_[[#This Row],[TOTAL SALARIO Ef]]+DATOS_[[#This Row],[Tot Extrasalarial Ef]]</f>
        <v>0</v>
      </c>
      <c r="CH123" s="140" t="n">
        <f aca="false">MIN(IF(DATOS_[[#This Row],[Fecha Fin Contrato]]="",$D$4,DATOS_[[#This Row],[Fecha Fin Contrato]]),$D$4)-MAX(DATOS_[[#This Row],[Fecha de Contratación]],$D$3)+1</f>
        <v>1</v>
      </c>
      <c r="CI123" s="141" t="str">
        <f aca="false">IF(COUNTIFS(DATOS_[id],DATOS_[[#This Row],[id]])&gt;1,DATOS_[[#This Row],[id]],"")</f>
        <v/>
      </c>
      <c r="CJ123" s="141" t="n">
        <f aca="false">(Inicio!$G$10-DATOS_[[#This Row],[Fecha Nacimiento]])/365.25</f>
        <v>0</v>
      </c>
      <c r="CK123" s="141" t="n">
        <f aca="false">(Inicio!$G$10-DATOS_[[#This Row],[Fecha de Antigüedad]])/365.25</f>
        <v>0</v>
      </c>
      <c r="CL123" s="141" t="e">
        <f aca="false">+VLOOKUP(DATOS_[[#This Row],[Clave de Contrato]],TblTiposContrato13[],3,0)</f>
        <v>#N/A</v>
      </c>
      <c r="CM123" s="141" t="e">
        <f aca="false">+VLOOKUP(DATOS_[[#This Row],[Clave de Contrato]],TblTiposContrato13[],4,0)</f>
        <v>#N/A</v>
      </c>
      <c r="CN123" s="141" t="str">
        <f aca="false">VLOOKUP(DATOS_[[#This Row],[Edad]],CONTRATOS!TblRngEdad,2,1)</f>
        <v>20  o menos</v>
      </c>
      <c r="CO123" s="141" t="str">
        <f aca="false">VLOOKUP(DATOS_[[#This Row],[Antigüedad]],TblRngAntg14[],2,1)</f>
        <v>0 a 1 años</v>
      </c>
    </row>
    <row r="124" customFormat="false" ht="13.8" hidden="false" customHeight="false" outlineLevel="0" collapsed="false">
      <c r="D124" s="128"/>
      <c r="E124" s="129"/>
      <c r="F124" s="129"/>
      <c r="G124" s="129"/>
      <c r="H124" s="130"/>
      <c r="I124" s="131"/>
      <c r="J124" s="128"/>
      <c r="K124" s="132"/>
      <c r="L124" s="132"/>
      <c r="M124" s="133"/>
      <c r="N124" s="133"/>
      <c r="O124" s="133"/>
      <c r="P124" s="129"/>
      <c r="Z124" s="75"/>
      <c r="AA124" s="76"/>
      <c r="AB124" s="76"/>
      <c r="AC124" s="129"/>
      <c r="AD124" s="134"/>
      <c r="AE124" s="134"/>
      <c r="AF124" s="134"/>
      <c r="AG124" s="134"/>
      <c r="AH124" s="134"/>
      <c r="AI124" s="134"/>
      <c r="AJ124" s="134"/>
      <c r="AK124" s="134"/>
      <c r="AL124" s="134"/>
      <c r="AM124" s="134"/>
      <c r="AN124" s="134"/>
      <c r="AO124" s="134"/>
      <c r="AP124" s="134"/>
      <c r="AQ124" s="134"/>
      <c r="AR124" s="134"/>
      <c r="AS124" s="134"/>
      <c r="AT124" s="134"/>
      <c r="AU124" s="134"/>
      <c r="AV124" s="134"/>
      <c r="AW124" s="134"/>
      <c r="AX124" s="134"/>
      <c r="AY124" s="134"/>
      <c r="AZ124" s="134"/>
      <c r="BA124" s="134"/>
      <c r="BB124" s="134"/>
      <c r="BC124" s="134"/>
      <c r="BD124" s="134"/>
      <c r="BE124" s="134"/>
      <c r="BF124" s="134"/>
      <c r="BG124" s="134"/>
      <c r="BH124" s="134"/>
      <c r="BI124" s="134"/>
      <c r="BJ124" s="134"/>
      <c r="BK124" s="134"/>
      <c r="BL124" s="134"/>
      <c r="BM124" s="135"/>
      <c r="BN124" s="136" t="n">
        <f aca="false">+MAX($D$3,DATOS_[[#This Row],[Fecha Inicio Sit. Contract.]])</f>
        <v>0</v>
      </c>
      <c r="BO124" s="136" t="n">
        <f aca="false">+MIN($D$4,DATOS_[[#This Row],[Fecha Fin Sit. Contract.]])</f>
        <v>0</v>
      </c>
      <c r="BP124" s="137" t="n">
        <f aca="false">+DATOS_[[#This Row],[% de jornada]]*IF(DATOS_[[#This Row],[% jornada reducida]]="",1,DATOS_[[#This Row],[% jornada reducida]])</f>
        <v>0</v>
      </c>
      <c r="BQ124" s="137" t="n">
        <f aca="false">+(DATOS_[[#This Row],[F.fin.cal]]-DATOS_[[#This Row],[F.ini.cal]]+1)/($D$4-$D$3+1)</f>
        <v>1</v>
      </c>
      <c r="BR124" s="137" t="str">
        <f aca="false">IF(OR(AND(DATOS_[[#This Row],[Fecha Fin Contrato]]&lt;$D$3,DATOS_[[#This Row],[Fecha Fin Contrato]]&lt;&gt;""),DATOS_[[#This Row],[Fecha de Contratación]]&gt;$D$4),"Fuera","Dentro")</f>
        <v>Dentro</v>
      </c>
      <c r="BS124" s="137" t="str">
        <f aca="false" t="array" ref="BS124:BS124">IF(MAX(IF(DATOS_[id]=DATOS_[[#This Row],[id]],DATOS_[F.fin.cal]))=DATOS_[[#This Row],[F.fin.cal]],"Sí","NO")</f>
        <v>Sí</v>
      </c>
      <c r="BT124" s="137" t="str">
        <f aca="false">IF(AND(DATOS_[[#This Row],[% normaliz]]&lt;&gt;1,DATOS_[[#This Row],[% anualiz]]=1),"Sí","NO")</f>
        <v>Sí</v>
      </c>
      <c r="BU124" s="137" t="str">
        <f aca="false">IF(AND(DATOS_[[#This Row],[% normaliz]]=1,DATOS_[[#This Row],[% anualiz]]&lt;&gt;1),"Sí","NO")</f>
        <v>NO</v>
      </c>
      <c r="BV124" s="137" t="str">
        <f aca="false">IF(AND(DATOS_[[#This Row],[% normaliz]]&lt;&gt;1,DATOS_[[#This Row],[% anualiz]]&lt;&gt;1),"Sí","NO")</f>
        <v>NO</v>
      </c>
      <c r="BW124" s="137" t="str">
        <f aca="false">+IF(DATOS_[[#This Row],[% normaliz]]*DATOS_[[#This Row],[% anualiz]]=1,"NO","Sí")</f>
        <v>Sí</v>
      </c>
      <c r="BX124" s="138" t="e">
        <f aca="false">(DATOS_[[#This Row],[S.BASE]]*(1/DATOS_[[#This Row],[% normaliz]])*(1/DATOS_[[#This Row],[% anualiz]]))*IF(DATOS_[[#This Row],[Check Equiparado]]="Sí",1,0)</f>
        <v>#DIV/0!</v>
      </c>
      <c r="BY1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 s="138" t="e">
        <f aca="false">+DATOS_[[#This Row],[SALARIO BASE Eq]]+DATOS_[[#This Row],[Tot COMPL.SAL Eq]]</f>
        <v>#DIV/0!</v>
      </c>
      <c r="CA124" s="138" t="e">
        <f aca="false" t="array" ref="CA124:CA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 s="138" t="e">
        <f aca="false">+DATOS_[[#This Row],[TOTAL SALARIO Eq]]+DATOS_[[#This Row],[Tot Extrasalarial Eq]]</f>
        <v>#DIV/0!</v>
      </c>
      <c r="CC124" s="139" t="n">
        <f aca="false">DATOS_[[#This Row],[S.BASE]]</f>
        <v>0</v>
      </c>
      <c r="CD124" s="139" t="n">
        <f aca="false">+SUM(DATOS_[[#This Row],[Conc.Sal.01]:[Conc.Sal.30]])</f>
        <v>0</v>
      </c>
      <c r="CE124" s="139" t="n">
        <f aca="false">+DATOS_[[#This Row],[SALARIO BASE Ef]]+DATOS_[[#This Row],[Tot COMPL.SAL Ef]]</f>
        <v>0</v>
      </c>
      <c r="CF124" s="139" t="n">
        <f aca="false">+SUM(DATOS_[[#This Row],[C.Extra.01]:[C.Extra.05]])</f>
        <v>0</v>
      </c>
      <c r="CG124" s="139" t="n">
        <f aca="false">+DATOS_[[#This Row],[TOTAL SALARIO Ef]]+DATOS_[[#This Row],[Tot Extrasalarial Ef]]</f>
        <v>0</v>
      </c>
      <c r="CH124" s="140" t="n">
        <f aca="false">MIN(IF(DATOS_[[#This Row],[Fecha Fin Contrato]]="",$D$4,DATOS_[[#This Row],[Fecha Fin Contrato]]),$D$4)-MAX(DATOS_[[#This Row],[Fecha de Contratación]],$D$3)+1</f>
        <v>1</v>
      </c>
      <c r="CI124" s="141" t="str">
        <f aca="false">IF(COUNTIFS(DATOS_[id],DATOS_[[#This Row],[id]])&gt;1,DATOS_[[#This Row],[id]],"")</f>
        <v/>
      </c>
      <c r="CJ124" s="141" t="n">
        <f aca="false">(Inicio!$G$10-DATOS_[[#This Row],[Fecha Nacimiento]])/365.25</f>
        <v>0</v>
      </c>
      <c r="CK124" s="141" t="n">
        <f aca="false">(Inicio!$G$10-DATOS_[[#This Row],[Fecha de Antigüedad]])/365.25</f>
        <v>0</v>
      </c>
      <c r="CL124" s="141" t="e">
        <f aca="false">+VLOOKUP(DATOS_[[#This Row],[Clave de Contrato]],TblTiposContrato13[],3,0)</f>
        <v>#N/A</v>
      </c>
      <c r="CM124" s="141" t="e">
        <f aca="false">+VLOOKUP(DATOS_[[#This Row],[Clave de Contrato]],TblTiposContrato13[],4,0)</f>
        <v>#N/A</v>
      </c>
      <c r="CN124" s="141" t="str">
        <f aca="false">VLOOKUP(DATOS_[[#This Row],[Edad]],CONTRATOS!TblRngEdad,2,1)</f>
        <v>20  o menos</v>
      </c>
      <c r="CO124" s="141" t="str">
        <f aca="false">VLOOKUP(DATOS_[[#This Row],[Antigüedad]],TblRngAntg14[],2,1)</f>
        <v>0 a 1 años</v>
      </c>
    </row>
    <row r="125" customFormat="false" ht="13.8" hidden="false" customHeight="false" outlineLevel="0" collapsed="false">
      <c r="D125" s="128"/>
      <c r="E125" s="129"/>
      <c r="F125" s="129"/>
      <c r="G125" s="129"/>
      <c r="H125" s="130"/>
      <c r="I125" s="131"/>
      <c r="J125" s="128"/>
      <c r="K125" s="132"/>
      <c r="L125" s="132"/>
      <c r="M125" s="133"/>
      <c r="N125" s="133"/>
      <c r="O125" s="133"/>
      <c r="P125" s="129"/>
      <c r="Z125" s="75"/>
      <c r="AA125" s="76"/>
      <c r="AB125" s="76"/>
      <c r="AC125" s="129"/>
      <c r="AD125" s="134"/>
      <c r="AE125" s="134"/>
      <c r="AF125" s="134"/>
      <c r="AG125" s="134"/>
      <c r="AH125" s="134"/>
      <c r="AI125" s="134"/>
      <c r="AJ125" s="134"/>
      <c r="AK125" s="134"/>
      <c r="AL125" s="134"/>
      <c r="AM125" s="134"/>
      <c r="AN125" s="134"/>
      <c r="AO125" s="134"/>
      <c r="AP125" s="134"/>
      <c r="AQ125" s="134"/>
      <c r="AR125" s="134"/>
      <c r="AS125" s="134"/>
      <c r="AT125" s="134"/>
      <c r="AU125" s="134"/>
      <c r="AV125" s="134"/>
      <c r="AW125" s="134"/>
      <c r="AX125" s="134"/>
      <c r="AY125" s="134"/>
      <c r="AZ125" s="134"/>
      <c r="BA125" s="134"/>
      <c r="BB125" s="134"/>
      <c r="BC125" s="134"/>
      <c r="BD125" s="134"/>
      <c r="BE125" s="134"/>
      <c r="BF125" s="134"/>
      <c r="BG125" s="134"/>
      <c r="BH125" s="134"/>
      <c r="BI125" s="134"/>
      <c r="BJ125" s="134"/>
      <c r="BK125" s="134"/>
      <c r="BL125" s="134"/>
      <c r="BM125" s="135"/>
      <c r="BN125" s="136" t="n">
        <f aca="false">+MAX($D$3,DATOS_[[#This Row],[Fecha Inicio Sit. Contract.]])</f>
        <v>0</v>
      </c>
      <c r="BO125" s="136" t="n">
        <f aca="false">+MIN($D$4,DATOS_[[#This Row],[Fecha Fin Sit. Contract.]])</f>
        <v>0</v>
      </c>
      <c r="BP125" s="137" t="n">
        <f aca="false">+DATOS_[[#This Row],[% de jornada]]*IF(DATOS_[[#This Row],[% jornada reducida]]="",1,DATOS_[[#This Row],[% jornada reducida]])</f>
        <v>0</v>
      </c>
      <c r="BQ125" s="137" t="n">
        <f aca="false">+(DATOS_[[#This Row],[F.fin.cal]]-DATOS_[[#This Row],[F.ini.cal]]+1)/($D$4-$D$3+1)</f>
        <v>1</v>
      </c>
      <c r="BR125" s="137" t="str">
        <f aca="false">IF(OR(AND(DATOS_[[#This Row],[Fecha Fin Contrato]]&lt;$D$3,DATOS_[[#This Row],[Fecha Fin Contrato]]&lt;&gt;""),DATOS_[[#This Row],[Fecha de Contratación]]&gt;$D$4),"Fuera","Dentro")</f>
        <v>Dentro</v>
      </c>
      <c r="BS125" s="137" t="str">
        <f aca="false" t="array" ref="BS125:BS125">IF(MAX(IF(DATOS_[id]=DATOS_[[#This Row],[id]],DATOS_[F.fin.cal]))=DATOS_[[#This Row],[F.fin.cal]],"Sí","NO")</f>
        <v>Sí</v>
      </c>
      <c r="BT125" s="137" t="str">
        <f aca="false">IF(AND(DATOS_[[#This Row],[% normaliz]]&lt;&gt;1,DATOS_[[#This Row],[% anualiz]]=1),"Sí","NO")</f>
        <v>Sí</v>
      </c>
      <c r="BU125" s="137" t="str">
        <f aca="false">IF(AND(DATOS_[[#This Row],[% normaliz]]=1,DATOS_[[#This Row],[% anualiz]]&lt;&gt;1),"Sí","NO")</f>
        <v>NO</v>
      </c>
      <c r="BV125" s="137" t="str">
        <f aca="false">IF(AND(DATOS_[[#This Row],[% normaliz]]&lt;&gt;1,DATOS_[[#This Row],[% anualiz]]&lt;&gt;1),"Sí","NO")</f>
        <v>NO</v>
      </c>
      <c r="BW125" s="137" t="str">
        <f aca="false">+IF(DATOS_[[#This Row],[% normaliz]]*DATOS_[[#This Row],[% anualiz]]=1,"NO","Sí")</f>
        <v>Sí</v>
      </c>
      <c r="BX125" s="138" t="e">
        <f aca="false">(DATOS_[[#This Row],[S.BASE]]*(1/DATOS_[[#This Row],[% normaliz]])*(1/DATOS_[[#This Row],[% anualiz]]))*IF(DATOS_[[#This Row],[Check Equiparado]]="Sí",1,0)</f>
        <v>#DIV/0!</v>
      </c>
      <c r="BY1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 s="138" t="e">
        <f aca="false">+DATOS_[[#This Row],[SALARIO BASE Eq]]+DATOS_[[#This Row],[Tot COMPL.SAL Eq]]</f>
        <v>#DIV/0!</v>
      </c>
      <c r="CA125" s="138" t="e">
        <f aca="false" t="array" ref="CA125:CA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 s="138" t="e">
        <f aca="false">+DATOS_[[#This Row],[TOTAL SALARIO Eq]]+DATOS_[[#This Row],[Tot Extrasalarial Eq]]</f>
        <v>#DIV/0!</v>
      </c>
      <c r="CC125" s="139" t="n">
        <f aca="false">DATOS_[[#This Row],[S.BASE]]</f>
        <v>0</v>
      </c>
      <c r="CD125" s="139" t="n">
        <f aca="false">+SUM(DATOS_[[#This Row],[Conc.Sal.01]:[Conc.Sal.30]])</f>
        <v>0</v>
      </c>
      <c r="CE125" s="139" t="n">
        <f aca="false">+DATOS_[[#This Row],[SALARIO BASE Ef]]+DATOS_[[#This Row],[Tot COMPL.SAL Ef]]</f>
        <v>0</v>
      </c>
      <c r="CF125" s="139" t="n">
        <f aca="false">+SUM(DATOS_[[#This Row],[C.Extra.01]:[C.Extra.05]])</f>
        <v>0</v>
      </c>
      <c r="CG125" s="139" t="n">
        <f aca="false">+DATOS_[[#This Row],[TOTAL SALARIO Ef]]+DATOS_[[#This Row],[Tot Extrasalarial Ef]]</f>
        <v>0</v>
      </c>
      <c r="CH125" s="140" t="n">
        <f aca="false">MIN(IF(DATOS_[[#This Row],[Fecha Fin Contrato]]="",$D$4,DATOS_[[#This Row],[Fecha Fin Contrato]]),$D$4)-MAX(DATOS_[[#This Row],[Fecha de Contratación]],$D$3)+1</f>
        <v>1</v>
      </c>
      <c r="CI125" s="141" t="str">
        <f aca="false">IF(COUNTIFS(DATOS_[id],DATOS_[[#This Row],[id]])&gt;1,DATOS_[[#This Row],[id]],"")</f>
        <v/>
      </c>
      <c r="CJ125" s="141" t="n">
        <f aca="false">(Inicio!$G$10-DATOS_[[#This Row],[Fecha Nacimiento]])/365.25</f>
        <v>0</v>
      </c>
      <c r="CK125" s="141" t="n">
        <f aca="false">(Inicio!$G$10-DATOS_[[#This Row],[Fecha de Antigüedad]])/365.25</f>
        <v>0</v>
      </c>
      <c r="CL125" s="141" t="e">
        <f aca="false">+VLOOKUP(DATOS_[[#This Row],[Clave de Contrato]],TblTiposContrato13[],3,0)</f>
        <v>#N/A</v>
      </c>
      <c r="CM125" s="141" t="e">
        <f aca="false">+VLOOKUP(DATOS_[[#This Row],[Clave de Contrato]],TblTiposContrato13[],4,0)</f>
        <v>#N/A</v>
      </c>
      <c r="CN125" s="141" t="str">
        <f aca="false">VLOOKUP(DATOS_[[#This Row],[Edad]],CONTRATOS!TblRngEdad,2,1)</f>
        <v>20  o menos</v>
      </c>
      <c r="CO125" s="141" t="str">
        <f aca="false">VLOOKUP(DATOS_[[#This Row],[Antigüedad]],TblRngAntg14[],2,1)</f>
        <v>0 a 1 años</v>
      </c>
    </row>
    <row r="126" customFormat="false" ht="13.8" hidden="false" customHeight="false" outlineLevel="0" collapsed="false">
      <c r="D126" s="128"/>
      <c r="E126" s="129"/>
      <c r="F126" s="129"/>
      <c r="G126" s="129"/>
      <c r="H126" s="130"/>
      <c r="I126" s="131"/>
      <c r="J126" s="128"/>
      <c r="K126" s="132"/>
      <c r="L126" s="132"/>
      <c r="M126" s="133"/>
      <c r="N126" s="133"/>
      <c r="O126" s="133"/>
      <c r="P126" s="129"/>
      <c r="Z126" s="75"/>
      <c r="AA126" s="76"/>
      <c r="AB126" s="76"/>
      <c r="AC126" s="129"/>
      <c r="AD126" s="134"/>
      <c r="AE126" s="134"/>
      <c r="AF126" s="134"/>
      <c r="AG126" s="134"/>
      <c r="AH126" s="134"/>
      <c r="AI126" s="134"/>
      <c r="AJ126" s="134"/>
      <c r="AK126" s="134"/>
      <c r="AL126" s="134"/>
      <c r="AM126" s="134"/>
      <c r="AN126" s="134"/>
      <c r="AO126" s="134"/>
      <c r="AP126" s="134"/>
      <c r="AQ126" s="134"/>
      <c r="AR126" s="134"/>
      <c r="AS126" s="134"/>
      <c r="AT126" s="134"/>
      <c r="AU126" s="134"/>
      <c r="AV126" s="134"/>
      <c r="AW126" s="134"/>
      <c r="AX126" s="134"/>
      <c r="AY126" s="134"/>
      <c r="AZ126" s="134"/>
      <c r="BA126" s="134"/>
      <c r="BB126" s="134"/>
      <c r="BC126" s="134"/>
      <c r="BD126" s="134"/>
      <c r="BE126" s="134"/>
      <c r="BF126" s="134"/>
      <c r="BG126" s="134"/>
      <c r="BH126" s="134"/>
      <c r="BI126" s="134"/>
      <c r="BJ126" s="134"/>
      <c r="BK126" s="134"/>
      <c r="BL126" s="134"/>
      <c r="BM126" s="135"/>
      <c r="BN126" s="136" t="n">
        <f aca="false">+MAX($D$3,DATOS_[[#This Row],[Fecha Inicio Sit. Contract.]])</f>
        <v>0</v>
      </c>
      <c r="BO126" s="136" t="n">
        <f aca="false">+MIN($D$4,DATOS_[[#This Row],[Fecha Fin Sit. Contract.]])</f>
        <v>0</v>
      </c>
      <c r="BP126" s="137" t="n">
        <f aca="false">+DATOS_[[#This Row],[% de jornada]]*IF(DATOS_[[#This Row],[% jornada reducida]]="",1,DATOS_[[#This Row],[% jornada reducida]])</f>
        <v>0</v>
      </c>
      <c r="BQ126" s="137" t="n">
        <f aca="false">+(DATOS_[[#This Row],[F.fin.cal]]-DATOS_[[#This Row],[F.ini.cal]]+1)/($D$4-$D$3+1)</f>
        <v>1</v>
      </c>
      <c r="BR126" s="137" t="str">
        <f aca="false">IF(OR(AND(DATOS_[[#This Row],[Fecha Fin Contrato]]&lt;$D$3,DATOS_[[#This Row],[Fecha Fin Contrato]]&lt;&gt;""),DATOS_[[#This Row],[Fecha de Contratación]]&gt;$D$4),"Fuera","Dentro")</f>
        <v>Dentro</v>
      </c>
      <c r="BS126" s="137" t="str">
        <f aca="false" t="array" ref="BS126:BS126">IF(MAX(IF(DATOS_[id]=DATOS_[[#This Row],[id]],DATOS_[F.fin.cal]))=DATOS_[[#This Row],[F.fin.cal]],"Sí","NO")</f>
        <v>Sí</v>
      </c>
      <c r="BT126" s="137" t="str">
        <f aca="false">IF(AND(DATOS_[[#This Row],[% normaliz]]&lt;&gt;1,DATOS_[[#This Row],[% anualiz]]=1),"Sí","NO")</f>
        <v>Sí</v>
      </c>
      <c r="BU126" s="137" t="str">
        <f aca="false">IF(AND(DATOS_[[#This Row],[% normaliz]]=1,DATOS_[[#This Row],[% anualiz]]&lt;&gt;1),"Sí","NO")</f>
        <v>NO</v>
      </c>
      <c r="BV126" s="137" t="str">
        <f aca="false">IF(AND(DATOS_[[#This Row],[% normaliz]]&lt;&gt;1,DATOS_[[#This Row],[% anualiz]]&lt;&gt;1),"Sí","NO")</f>
        <v>NO</v>
      </c>
      <c r="BW126" s="137" t="str">
        <f aca="false">+IF(DATOS_[[#This Row],[% normaliz]]*DATOS_[[#This Row],[% anualiz]]=1,"NO","Sí")</f>
        <v>Sí</v>
      </c>
      <c r="BX126" s="138" t="e">
        <f aca="false">(DATOS_[[#This Row],[S.BASE]]*(1/DATOS_[[#This Row],[% normaliz]])*(1/DATOS_[[#This Row],[% anualiz]]))*IF(DATOS_[[#This Row],[Check Equiparado]]="Sí",1,0)</f>
        <v>#DIV/0!</v>
      </c>
      <c r="BY1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 s="138" t="e">
        <f aca="false">+DATOS_[[#This Row],[SALARIO BASE Eq]]+DATOS_[[#This Row],[Tot COMPL.SAL Eq]]</f>
        <v>#DIV/0!</v>
      </c>
      <c r="CA126" s="138" t="e">
        <f aca="false" t="array" ref="CA126:CA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 s="138" t="e">
        <f aca="false">+DATOS_[[#This Row],[TOTAL SALARIO Eq]]+DATOS_[[#This Row],[Tot Extrasalarial Eq]]</f>
        <v>#DIV/0!</v>
      </c>
      <c r="CC126" s="139" t="n">
        <f aca="false">DATOS_[[#This Row],[S.BASE]]</f>
        <v>0</v>
      </c>
      <c r="CD126" s="139" t="n">
        <f aca="false">+SUM(DATOS_[[#This Row],[Conc.Sal.01]:[Conc.Sal.30]])</f>
        <v>0</v>
      </c>
      <c r="CE126" s="139" t="n">
        <f aca="false">+DATOS_[[#This Row],[SALARIO BASE Ef]]+DATOS_[[#This Row],[Tot COMPL.SAL Ef]]</f>
        <v>0</v>
      </c>
      <c r="CF126" s="139" t="n">
        <f aca="false">+SUM(DATOS_[[#This Row],[C.Extra.01]:[C.Extra.05]])</f>
        <v>0</v>
      </c>
      <c r="CG126" s="139" t="n">
        <f aca="false">+DATOS_[[#This Row],[TOTAL SALARIO Ef]]+DATOS_[[#This Row],[Tot Extrasalarial Ef]]</f>
        <v>0</v>
      </c>
      <c r="CH126" s="140" t="n">
        <f aca="false">MIN(IF(DATOS_[[#This Row],[Fecha Fin Contrato]]="",$D$4,DATOS_[[#This Row],[Fecha Fin Contrato]]),$D$4)-MAX(DATOS_[[#This Row],[Fecha de Contratación]],$D$3)+1</f>
        <v>1</v>
      </c>
      <c r="CI126" s="141" t="str">
        <f aca="false">IF(COUNTIFS(DATOS_[id],DATOS_[[#This Row],[id]])&gt;1,DATOS_[[#This Row],[id]],"")</f>
        <v/>
      </c>
      <c r="CJ126" s="141" t="n">
        <f aca="false">(Inicio!$G$10-DATOS_[[#This Row],[Fecha Nacimiento]])/365.25</f>
        <v>0</v>
      </c>
      <c r="CK126" s="141" t="n">
        <f aca="false">(Inicio!$G$10-DATOS_[[#This Row],[Fecha de Antigüedad]])/365.25</f>
        <v>0</v>
      </c>
      <c r="CL126" s="141" t="e">
        <f aca="false">+VLOOKUP(DATOS_[[#This Row],[Clave de Contrato]],TblTiposContrato13[],3,0)</f>
        <v>#N/A</v>
      </c>
      <c r="CM126" s="141" t="e">
        <f aca="false">+VLOOKUP(DATOS_[[#This Row],[Clave de Contrato]],TblTiposContrato13[],4,0)</f>
        <v>#N/A</v>
      </c>
      <c r="CN126" s="141" t="str">
        <f aca="false">VLOOKUP(DATOS_[[#This Row],[Edad]],CONTRATOS!TblRngEdad,2,1)</f>
        <v>20  o menos</v>
      </c>
      <c r="CO126" s="141" t="str">
        <f aca="false">VLOOKUP(DATOS_[[#This Row],[Antigüedad]],TblRngAntg14[],2,1)</f>
        <v>0 a 1 años</v>
      </c>
    </row>
    <row r="127" customFormat="false" ht="13.8" hidden="false" customHeight="false" outlineLevel="0" collapsed="false">
      <c r="D127" s="128"/>
      <c r="E127" s="129"/>
      <c r="F127" s="129"/>
      <c r="G127" s="129"/>
      <c r="H127" s="130"/>
      <c r="I127" s="131"/>
      <c r="J127" s="128"/>
      <c r="K127" s="132"/>
      <c r="L127" s="132"/>
      <c r="M127" s="133"/>
      <c r="N127" s="133"/>
      <c r="O127" s="133"/>
      <c r="P127" s="129"/>
      <c r="Z127" s="75"/>
      <c r="AA127" s="76"/>
      <c r="AB127" s="76"/>
      <c r="AC127" s="129"/>
      <c r="AD127" s="134"/>
      <c r="AE127" s="134"/>
      <c r="AF127" s="134"/>
      <c r="AG127" s="134"/>
      <c r="AH127" s="134"/>
      <c r="AI127" s="134"/>
      <c r="AJ127" s="134"/>
      <c r="AK127" s="134"/>
      <c r="AL127" s="134"/>
      <c r="AM127" s="134"/>
      <c r="AN127" s="134"/>
      <c r="AO127" s="134"/>
      <c r="AP127" s="134"/>
      <c r="AQ127" s="134"/>
      <c r="AR127" s="134"/>
      <c r="AS127" s="134"/>
      <c r="AT127" s="134"/>
      <c r="AU127" s="134"/>
      <c r="AV127" s="134"/>
      <c r="AW127" s="134"/>
      <c r="AX127" s="134"/>
      <c r="AY127" s="134"/>
      <c r="AZ127" s="134"/>
      <c r="BA127" s="134"/>
      <c r="BB127" s="134"/>
      <c r="BC127" s="134"/>
      <c r="BD127" s="134"/>
      <c r="BE127" s="134"/>
      <c r="BF127" s="134"/>
      <c r="BG127" s="134"/>
      <c r="BH127" s="134"/>
      <c r="BI127" s="134"/>
      <c r="BJ127" s="134"/>
      <c r="BK127" s="134"/>
      <c r="BL127" s="134"/>
      <c r="BM127" s="135"/>
      <c r="BN127" s="136" t="n">
        <f aca="false">+MAX($D$3,DATOS_[[#This Row],[Fecha Inicio Sit. Contract.]])</f>
        <v>0</v>
      </c>
      <c r="BO127" s="136" t="n">
        <f aca="false">+MIN($D$4,DATOS_[[#This Row],[Fecha Fin Sit. Contract.]])</f>
        <v>0</v>
      </c>
      <c r="BP127" s="137" t="n">
        <f aca="false">+DATOS_[[#This Row],[% de jornada]]*IF(DATOS_[[#This Row],[% jornada reducida]]="",1,DATOS_[[#This Row],[% jornada reducida]])</f>
        <v>0</v>
      </c>
      <c r="BQ127" s="137" t="n">
        <f aca="false">+(DATOS_[[#This Row],[F.fin.cal]]-DATOS_[[#This Row],[F.ini.cal]]+1)/($D$4-$D$3+1)</f>
        <v>1</v>
      </c>
      <c r="BR127" s="137" t="str">
        <f aca="false">IF(OR(AND(DATOS_[[#This Row],[Fecha Fin Contrato]]&lt;$D$3,DATOS_[[#This Row],[Fecha Fin Contrato]]&lt;&gt;""),DATOS_[[#This Row],[Fecha de Contratación]]&gt;$D$4),"Fuera","Dentro")</f>
        <v>Dentro</v>
      </c>
      <c r="BS127" s="137" t="str">
        <f aca="false" t="array" ref="BS127:BS127">IF(MAX(IF(DATOS_[id]=DATOS_[[#This Row],[id]],DATOS_[F.fin.cal]))=DATOS_[[#This Row],[F.fin.cal]],"Sí","NO")</f>
        <v>Sí</v>
      </c>
      <c r="BT127" s="137" t="str">
        <f aca="false">IF(AND(DATOS_[[#This Row],[% normaliz]]&lt;&gt;1,DATOS_[[#This Row],[% anualiz]]=1),"Sí","NO")</f>
        <v>Sí</v>
      </c>
      <c r="BU127" s="137" t="str">
        <f aca="false">IF(AND(DATOS_[[#This Row],[% normaliz]]=1,DATOS_[[#This Row],[% anualiz]]&lt;&gt;1),"Sí","NO")</f>
        <v>NO</v>
      </c>
      <c r="BV127" s="137" t="str">
        <f aca="false">IF(AND(DATOS_[[#This Row],[% normaliz]]&lt;&gt;1,DATOS_[[#This Row],[% anualiz]]&lt;&gt;1),"Sí","NO")</f>
        <v>NO</v>
      </c>
      <c r="BW127" s="137" t="str">
        <f aca="false">+IF(DATOS_[[#This Row],[% normaliz]]*DATOS_[[#This Row],[% anualiz]]=1,"NO","Sí")</f>
        <v>Sí</v>
      </c>
      <c r="BX127" s="138" t="e">
        <f aca="false">(DATOS_[[#This Row],[S.BASE]]*(1/DATOS_[[#This Row],[% normaliz]])*(1/DATOS_[[#This Row],[% anualiz]]))*IF(DATOS_[[#This Row],[Check Equiparado]]="Sí",1,0)</f>
        <v>#DIV/0!</v>
      </c>
      <c r="BY1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 s="138" t="e">
        <f aca="false">+DATOS_[[#This Row],[SALARIO BASE Eq]]+DATOS_[[#This Row],[Tot COMPL.SAL Eq]]</f>
        <v>#DIV/0!</v>
      </c>
      <c r="CA127" s="138" t="e">
        <f aca="false" t="array" ref="CA127:CA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 s="138" t="e">
        <f aca="false">+DATOS_[[#This Row],[TOTAL SALARIO Eq]]+DATOS_[[#This Row],[Tot Extrasalarial Eq]]</f>
        <v>#DIV/0!</v>
      </c>
      <c r="CC127" s="139" t="n">
        <f aca="false">DATOS_[[#This Row],[S.BASE]]</f>
        <v>0</v>
      </c>
      <c r="CD127" s="139" t="n">
        <f aca="false">+SUM(DATOS_[[#This Row],[Conc.Sal.01]:[Conc.Sal.30]])</f>
        <v>0</v>
      </c>
      <c r="CE127" s="139" t="n">
        <f aca="false">+DATOS_[[#This Row],[SALARIO BASE Ef]]+DATOS_[[#This Row],[Tot COMPL.SAL Ef]]</f>
        <v>0</v>
      </c>
      <c r="CF127" s="139" t="n">
        <f aca="false">+SUM(DATOS_[[#This Row],[C.Extra.01]:[C.Extra.05]])</f>
        <v>0</v>
      </c>
      <c r="CG127" s="139" t="n">
        <f aca="false">+DATOS_[[#This Row],[TOTAL SALARIO Ef]]+DATOS_[[#This Row],[Tot Extrasalarial Ef]]</f>
        <v>0</v>
      </c>
      <c r="CH127" s="140" t="n">
        <f aca="false">MIN(IF(DATOS_[[#This Row],[Fecha Fin Contrato]]="",$D$4,DATOS_[[#This Row],[Fecha Fin Contrato]]),$D$4)-MAX(DATOS_[[#This Row],[Fecha de Contratación]],$D$3)+1</f>
        <v>1</v>
      </c>
      <c r="CI127" s="141" t="str">
        <f aca="false">IF(COUNTIFS(DATOS_[id],DATOS_[[#This Row],[id]])&gt;1,DATOS_[[#This Row],[id]],"")</f>
        <v/>
      </c>
      <c r="CJ127" s="141" t="n">
        <f aca="false">(Inicio!$G$10-DATOS_[[#This Row],[Fecha Nacimiento]])/365.25</f>
        <v>0</v>
      </c>
      <c r="CK127" s="141" t="n">
        <f aca="false">(Inicio!$G$10-DATOS_[[#This Row],[Fecha de Antigüedad]])/365.25</f>
        <v>0</v>
      </c>
      <c r="CL127" s="141" t="e">
        <f aca="false">+VLOOKUP(DATOS_[[#This Row],[Clave de Contrato]],TblTiposContrato13[],3,0)</f>
        <v>#N/A</v>
      </c>
      <c r="CM127" s="141" t="e">
        <f aca="false">+VLOOKUP(DATOS_[[#This Row],[Clave de Contrato]],TblTiposContrato13[],4,0)</f>
        <v>#N/A</v>
      </c>
      <c r="CN127" s="141" t="str">
        <f aca="false">VLOOKUP(DATOS_[[#This Row],[Edad]],CONTRATOS!TblRngEdad,2,1)</f>
        <v>20  o menos</v>
      </c>
      <c r="CO127" s="141" t="str">
        <f aca="false">VLOOKUP(DATOS_[[#This Row],[Antigüedad]],TblRngAntg14[],2,1)</f>
        <v>0 a 1 años</v>
      </c>
    </row>
    <row r="128" customFormat="false" ht="13.8" hidden="false" customHeight="false" outlineLevel="0" collapsed="false">
      <c r="D128" s="128"/>
      <c r="E128" s="129"/>
      <c r="F128" s="129"/>
      <c r="G128" s="129"/>
      <c r="H128" s="130"/>
      <c r="I128" s="131"/>
      <c r="J128" s="128"/>
      <c r="K128" s="132"/>
      <c r="L128" s="132"/>
      <c r="M128" s="133"/>
      <c r="N128" s="133"/>
      <c r="O128" s="133"/>
      <c r="P128" s="129"/>
      <c r="Z128" s="75"/>
      <c r="AA128" s="76"/>
      <c r="AB128" s="76"/>
      <c r="AC128" s="129"/>
      <c r="AD128" s="134"/>
      <c r="AE128" s="134"/>
      <c r="AF128" s="134"/>
      <c r="AG128" s="134"/>
      <c r="AH128" s="134"/>
      <c r="AI128" s="134"/>
      <c r="AJ128" s="134"/>
      <c r="AK128" s="134"/>
      <c r="AL128" s="134"/>
      <c r="AM128" s="134"/>
      <c r="AN128" s="134"/>
      <c r="AO128" s="134"/>
      <c r="AP128" s="134"/>
      <c r="AQ128" s="134"/>
      <c r="AR128" s="134"/>
      <c r="AS128" s="134"/>
      <c r="AT128" s="134"/>
      <c r="AU128" s="134"/>
      <c r="AV128" s="134"/>
      <c r="AW128" s="134"/>
      <c r="AX128" s="134"/>
      <c r="AY128" s="134"/>
      <c r="AZ128" s="134"/>
      <c r="BA128" s="134"/>
      <c r="BB128" s="134"/>
      <c r="BC128" s="134"/>
      <c r="BD128" s="134"/>
      <c r="BE128" s="134"/>
      <c r="BF128" s="134"/>
      <c r="BG128" s="134"/>
      <c r="BH128" s="134"/>
      <c r="BI128" s="134"/>
      <c r="BJ128" s="134"/>
      <c r="BK128" s="134"/>
      <c r="BL128" s="134"/>
      <c r="BM128" s="135"/>
      <c r="BN128" s="136" t="n">
        <f aca="false">+MAX($D$3,DATOS_[[#This Row],[Fecha Inicio Sit. Contract.]])</f>
        <v>0</v>
      </c>
      <c r="BO128" s="136" t="n">
        <f aca="false">+MIN($D$4,DATOS_[[#This Row],[Fecha Fin Sit. Contract.]])</f>
        <v>0</v>
      </c>
      <c r="BP128" s="137" t="n">
        <f aca="false">+DATOS_[[#This Row],[% de jornada]]*IF(DATOS_[[#This Row],[% jornada reducida]]="",1,DATOS_[[#This Row],[% jornada reducida]])</f>
        <v>0</v>
      </c>
      <c r="BQ128" s="137" t="n">
        <f aca="false">+(DATOS_[[#This Row],[F.fin.cal]]-DATOS_[[#This Row],[F.ini.cal]]+1)/($D$4-$D$3+1)</f>
        <v>1</v>
      </c>
      <c r="BR128" s="137" t="str">
        <f aca="false">IF(OR(AND(DATOS_[[#This Row],[Fecha Fin Contrato]]&lt;$D$3,DATOS_[[#This Row],[Fecha Fin Contrato]]&lt;&gt;""),DATOS_[[#This Row],[Fecha de Contratación]]&gt;$D$4),"Fuera","Dentro")</f>
        <v>Dentro</v>
      </c>
      <c r="BS128" s="137" t="str">
        <f aca="false" t="array" ref="BS128:BS128">IF(MAX(IF(DATOS_[id]=DATOS_[[#This Row],[id]],DATOS_[F.fin.cal]))=DATOS_[[#This Row],[F.fin.cal]],"Sí","NO")</f>
        <v>Sí</v>
      </c>
      <c r="BT128" s="137" t="str">
        <f aca="false">IF(AND(DATOS_[[#This Row],[% normaliz]]&lt;&gt;1,DATOS_[[#This Row],[% anualiz]]=1),"Sí","NO")</f>
        <v>Sí</v>
      </c>
      <c r="BU128" s="137" t="str">
        <f aca="false">IF(AND(DATOS_[[#This Row],[% normaliz]]=1,DATOS_[[#This Row],[% anualiz]]&lt;&gt;1),"Sí","NO")</f>
        <v>NO</v>
      </c>
      <c r="BV128" s="137" t="str">
        <f aca="false">IF(AND(DATOS_[[#This Row],[% normaliz]]&lt;&gt;1,DATOS_[[#This Row],[% anualiz]]&lt;&gt;1),"Sí","NO")</f>
        <v>NO</v>
      </c>
      <c r="BW128" s="137" t="str">
        <f aca="false">+IF(DATOS_[[#This Row],[% normaliz]]*DATOS_[[#This Row],[% anualiz]]=1,"NO","Sí")</f>
        <v>Sí</v>
      </c>
      <c r="BX128" s="138" t="e">
        <f aca="false">(DATOS_[[#This Row],[S.BASE]]*(1/DATOS_[[#This Row],[% normaliz]])*(1/DATOS_[[#This Row],[% anualiz]]))*IF(DATOS_[[#This Row],[Check Equiparado]]="Sí",1,0)</f>
        <v>#DIV/0!</v>
      </c>
      <c r="BY1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 s="138" t="e">
        <f aca="false">+DATOS_[[#This Row],[SALARIO BASE Eq]]+DATOS_[[#This Row],[Tot COMPL.SAL Eq]]</f>
        <v>#DIV/0!</v>
      </c>
      <c r="CA128" s="138" t="e">
        <f aca="false" t="array" ref="CA128:CA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 s="138" t="e">
        <f aca="false">+DATOS_[[#This Row],[TOTAL SALARIO Eq]]+DATOS_[[#This Row],[Tot Extrasalarial Eq]]</f>
        <v>#DIV/0!</v>
      </c>
      <c r="CC128" s="139" t="n">
        <f aca="false">DATOS_[[#This Row],[S.BASE]]</f>
        <v>0</v>
      </c>
      <c r="CD128" s="139" t="n">
        <f aca="false">+SUM(DATOS_[[#This Row],[Conc.Sal.01]:[Conc.Sal.30]])</f>
        <v>0</v>
      </c>
      <c r="CE128" s="139" t="n">
        <f aca="false">+DATOS_[[#This Row],[SALARIO BASE Ef]]+DATOS_[[#This Row],[Tot COMPL.SAL Ef]]</f>
        <v>0</v>
      </c>
      <c r="CF128" s="139" t="n">
        <f aca="false">+SUM(DATOS_[[#This Row],[C.Extra.01]:[C.Extra.05]])</f>
        <v>0</v>
      </c>
      <c r="CG128" s="139" t="n">
        <f aca="false">+DATOS_[[#This Row],[TOTAL SALARIO Ef]]+DATOS_[[#This Row],[Tot Extrasalarial Ef]]</f>
        <v>0</v>
      </c>
      <c r="CH128" s="140" t="n">
        <f aca="false">MIN(IF(DATOS_[[#This Row],[Fecha Fin Contrato]]="",$D$4,DATOS_[[#This Row],[Fecha Fin Contrato]]),$D$4)-MAX(DATOS_[[#This Row],[Fecha de Contratación]],$D$3)+1</f>
        <v>1</v>
      </c>
      <c r="CI128" s="141" t="str">
        <f aca="false">IF(COUNTIFS(DATOS_[id],DATOS_[[#This Row],[id]])&gt;1,DATOS_[[#This Row],[id]],"")</f>
        <v/>
      </c>
      <c r="CJ128" s="141" t="n">
        <f aca="false">(Inicio!$G$10-DATOS_[[#This Row],[Fecha Nacimiento]])/365.25</f>
        <v>0</v>
      </c>
      <c r="CK128" s="141" t="n">
        <f aca="false">(Inicio!$G$10-DATOS_[[#This Row],[Fecha de Antigüedad]])/365.25</f>
        <v>0</v>
      </c>
      <c r="CL128" s="141" t="e">
        <f aca="false">+VLOOKUP(DATOS_[[#This Row],[Clave de Contrato]],TblTiposContrato13[],3,0)</f>
        <v>#N/A</v>
      </c>
      <c r="CM128" s="141" t="e">
        <f aca="false">+VLOOKUP(DATOS_[[#This Row],[Clave de Contrato]],TblTiposContrato13[],4,0)</f>
        <v>#N/A</v>
      </c>
      <c r="CN128" s="141" t="str">
        <f aca="false">VLOOKUP(DATOS_[[#This Row],[Edad]],CONTRATOS!TblRngEdad,2,1)</f>
        <v>20  o menos</v>
      </c>
      <c r="CO128" s="141" t="str">
        <f aca="false">VLOOKUP(DATOS_[[#This Row],[Antigüedad]],TblRngAntg14[],2,1)</f>
        <v>0 a 1 años</v>
      </c>
    </row>
    <row r="129" customFormat="false" ht="13.8" hidden="false" customHeight="false" outlineLevel="0" collapsed="false">
      <c r="D129" s="128"/>
      <c r="E129" s="129"/>
      <c r="F129" s="129"/>
      <c r="G129" s="129"/>
      <c r="H129" s="130"/>
      <c r="I129" s="131"/>
      <c r="J129" s="128"/>
      <c r="K129" s="132"/>
      <c r="L129" s="132"/>
      <c r="M129" s="133"/>
      <c r="N129" s="133"/>
      <c r="O129" s="133"/>
      <c r="P129" s="129"/>
      <c r="Z129" s="75"/>
      <c r="AA129" s="76"/>
      <c r="AB129" s="76"/>
      <c r="AC129" s="129"/>
      <c r="AD129" s="134"/>
      <c r="AE129" s="134"/>
      <c r="AF129" s="134"/>
      <c r="AG129" s="134"/>
      <c r="AH129" s="134"/>
      <c r="AI129" s="134"/>
      <c r="AJ129" s="134"/>
      <c r="AK129" s="134"/>
      <c r="AL129" s="134"/>
      <c r="AM129" s="134"/>
      <c r="AN129" s="134"/>
      <c r="AO129" s="134"/>
      <c r="AP129" s="134"/>
      <c r="AQ129" s="134"/>
      <c r="AR129" s="134"/>
      <c r="AS129" s="134"/>
      <c r="AT129" s="134"/>
      <c r="AU129" s="134"/>
      <c r="AV129" s="134"/>
      <c r="AW129" s="134"/>
      <c r="AX129" s="134"/>
      <c r="AY129" s="134"/>
      <c r="AZ129" s="134"/>
      <c r="BA129" s="134"/>
      <c r="BB129" s="134"/>
      <c r="BC129" s="134"/>
      <c r="BD129" s="134"/>
      <c r="BE129" s="134"/>
      <c r="BF129" s="134"/>
      <c r="BG129" s="134"/>
      <c r="BH129" s="134"/>
      <c r="BI129" s="134"/>
      <c r="BJ129" s="134"/>
      <c r="BK129" s="134"/>
      <c r="BL129" s="134"/>
      <c r="BM129" s="135"/>
      <c r="BN129" s="136" t="n">
        <f aca="false">+MAX($D$3,DATOS_[[#This Row],[Fecha Inicio Sit. Contract.]])</f>
        <v>0</v>
      </c>
      <c r="BO129" s="136" t="n">
        <f aca="false">+MIN($D$4,DATOS_[[#This Row],[Fecha Fin Sit. Contract.]])</f>
        <v>0</v>
      </c>
      <c r="BP129" s="137" t="n">
        <f aca="false">+DATOS_[[#This Row],[% de jornada]]*IF(DATOS_[[#This Row],[% jornada reducida]]="",1,DATOS_[[#This Row],[% jornada reducida]])</f>
        <v>0</v>
      </c>
      <c r="BQ129" s="137" t="n">
        <f aca="false">+(DATOS_[[#This Row],[F.fin.cal]]-DATOS_[[#This Row],[F.ini.cal]]+1)/($D$4-$D$3+1)</f>
        <v>1</v>
      </c>
      <c r="BR129" s="137" t="str">
        <f aca="false">IF(OR(AND(DATOS_[[#This Row],[Fecha Fin Contrato]]&lt;$D$3,DATOS_[[#This Row],[Fecha Fin Contrato]]&lt;&gt;""),DATOS_[[#This Row],[Fecha de Contratación]]&gt;$D$4),"Fuera","Dentro")</f>
        <v>Dentro</v>
      </c>
      <c r="BS129" s="137" t="str">
        <f aca="false" t="array" ref="BS129:BS129">IF(MAX(IF(DATOS_[id]=DATOS_[[#This Row],[id]],DATOS_[F.fin.cal]))=DATOS_[[#This Row],[F.fin.cal]],"Sí","NO")</f>
        <v>Sí</v>
      </c>
      <c r="BT129" s="137" t="str">
        <f aca="false">IF(AND(DATOS_[[#This Row],[% normaliz]]&lt;&gt;1,DATOS_[[#This Row],[% anualiz]]=1),"Sí","NO")</f>
        <v>Sí</v>
      </c>
      <c r="BU129" s="137" t="str">
        <f aca="false">IF(AND(DATOS_[[#This Row],[% normaliz]]=1,DATOS_[[#This Row],[% anualiz]]&lt;&gt;1),"Sí","NO")</f>
        <v>NO</v>
      </c>
      <c r="BV129" s="137" t="str">
        <f aca="false">IF(AND(DATOS_[[#This Row],[% normaliz]]&lt;&gt;1,DATOS_[[#This Row],[% anualiz]]&lt;&gt;1),"Sí","NO")</f>
        <v>NO</v>
      </c>
      <c r="BW129" s="137" t="str">
        <f aca="false">+IF(DATOS_[[#This Row],[% normaliz]]*DATOS_[[#This Row],[% anualiz]]=1,"NO","Sí")</f>
        <v>Sí</v>
      </c>
      <c r="BX129" s="138" t="e">
        <f aca="false">(DATOS_[[#This Row],[S.BASE]]*(1/DATOS_[[#This Row],[% normaliz]])*(1/DATOS_[[#This Row],[% anualiz]]))*IF(DATOS_[[#This Row],[Check Equiparado]]="Sí",1,0)</f>
        <v>#DIV/0!</v>
      </c>
      <c r="BY1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 s="138" t="e">
        <f aca="false">+DATOS_[[#This Row],[SALARIO BASE Eq]]+DATOS_[[#This Row],[Tot COMPL.SAL Eq]]</f>
        <v>#DIV/0!</v>
      </c>
      <c r="CA129" s="138" t="e">
        <f aca="false" t="array" ref="CA129:CA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 s="138" t="e">
        <f aca="false">+DATOS_[[#This Row],[TOTAL SALARIO Eq]]+DATOS_[[#This Row],[Tot Extrasalarial Eq]]</f>
        <v>#DIV/0!</v>
      </c>
      <c r="CC129" s="139" t="n">
        <f aca="false">DATOS_[[#This Row],[S.BASE]]</f>
        <v>0</v>
      </c>
      <c r="CD129" s="139" t="n">
        <f aca="false">+SUM(DATOS_[[#This Row],[Conc.Sal.01]:[Conc.Sal.30]])</f>
        <v>0</v>
      </c>
      <c r="CE129" s="139" t="n">
        <f aca="false">+DATOS_[[#This Row],[SALARIO BASE Ef]]+DATOS_[[#This Row],[Tot COMPL.SAL Ef]]</f>
        <v>0</v>
      </c>
      <c r="CF129" s="139" t="n">
        <f aca="false">+SUM(DATOS_[[#This Row],[C.Extra.01]:[C.Extra.05]])</f>
        <v>0</v>
      </c>
      <c r="CG129" s="139" t="n">
        <f aca="false">+DATOS_[[#This Row],[TOTAL SALARIO Ef]]+DATOS_[[#This Row],[Tot Extrasalarial Ef]]</f>
        <v>0</v>
      </c>
      <c r="CH129" s="140" t="n">
        <f aca="false">MIN(IF(DATOS_[[#This Row],[Fecha Fin Contrato]]="",$D$4,DATOS_[[#This Row],[Fecha Fin Contrato]]),$D$4)-MAX(DATOS_[[#This Row],[Fecha de Contratación]],$D$3)+1</f>
        <v>1</v>
      </c>
      <c r="CI129" s="141" t="str">
        <f aca="false">IF(COUNTIFS(DATOS_[id],DATOS_[[#This Row],[id]])&gt;1,DATOS_[[#This Row],[id]],"")</f>
        <v/>
      </c>
      <c r="CJ129" s="141" t="n">
        <f aca="false">(Inicio!$G$10-DATOS_[[#This Row],[Fecha Nacimiento]])/365.25</f>
        <v>0</v>
      </c>
      <c r="CK129" s="141" t="n">
        <f aca="false">(Inicio!$G$10-DATOS_[[#This Row],[Fecha de Antigüedad]])/365.25</f>
        <v>0</v>
      </c>
      <c r="CL129" s="141" t="e">
        <f aca="false">+VLOOKUP(DATOS_[[#This Row],[Clave de Contrato]],TblTiposContrato13[],3,0)</f>
        <v>#N/A</v>
      </c>
      <c r="CM129" s="141" t="e">
        <f aca="false">+VLOOKUP(DATOS_[[#This Row],[Clave de Contrato]],TblTiposContrato13[],4,0)</f>
        <v>#N/A</v>
      </c>
      <c r="CN129" s="141" t="str">
        <f aca="false">VLOOKUP(DATOS_[[#This Row],[Edad]],CONTRATOS!TblRngEdad,2,1)</f>
        <v>20  o menos</v>
      </c>
      <c r="CO129" s="141" t="str">
        <f aca="false">VLOOKUP(DATOS_[[#This Row],[Antigüedad]],TblRngAntg14[],2,1)</f>
        <v>0 a 1 años</v>
      </c>
    </row>
    <row r="130" customFormat="false" ht="13.8" hidden="false" customHeight="false" outlineLevel="0" collapsed="false">
      <c r="D130" s="128"/>
      <c r="E130" s="129"/>
      <c r="F130" s="129"/>
      <c r="G130" s="129"/>
      <c r="H130" s="130"/>
      <c r="I130" s="131"/>
      <c r="J130" s="128"/>
      <c r="K130" s="132"/>
      <c r="L130" s="132"/>
      <c r="M130" s="133"/>
      <c r="N130" s="133"/>
      <c r="O130" s="133"/>
      <c r="P130" s="129"/>
      <c r="Z130" s="75"/>
      <c r="AA130" s="76"/>
      <c r="AB130" s="76"/>
      <c r="AC130" s="129"/>
      <c r="AD130" s="134"/>
      <c r="AE130" s="134"/>
      <c r="AF130" s="134"/>
      <c r="AG130" s="134"/>
      <c r="AH130" s="134"/>
      <c r="AI130" s="134"/>
      <c r="AJ130" s="134"/>
      <c r="AK130" s="134"/>
      <c r="AL130" s="134"/>
      <c r="AM130" s="134"/>
      <c r="AN130" s="134"/>
      <c r="AO130" s="134"/>
      <c r="AP130" s="134"/>
      <c r="AQ130" s="134"/>
      <c r="AR130" s="134"/>
      <c r="AS130" s="134"/>
      <c r="AT130" s="134"/>
      <c r="AU130" s="134"/>
      <c r="AV130" s="134"/>
      <c r="AW130" s="134"/>
      <c r="AX130" s="134"/>
      <c r="AY130" s="134"/>
      <c r="AZ130" s="134"/>
      <c r="BA130" s="134"/>
      <c r="BB130" s="134"/>
      <c r="BC130" s="134"/>
      <c r="BD130" s="134"/>
      <c r="BE130" s="134"/>
      <c r="BF130" s="134"/>
      <c r="BG130" s="134"/>
      <c r="BH130" s="134"/>
      <c r="BI130" s="134"/>
      <c r="BJ130" s="134"/>
      <c r="BK130" s="134"/>
      <c r="BL130" s="134"/>
      <c r="BM130" s="135"/>
      <c r="BN130" s="136" t="n">
        <f aca="false">+MAX($D$3,DATOS_[[#This Row],[Fecha Inicio Sit. Contract.]])</f>
        <v>0</v>
      </c>
      <c r="BO130" s="136" t="n">
        <f aca="false">+MIN($D$4,DATOS_[[#This Row],[Fecha Fin Sit. Contract.]])</f>
        <v>0</v>
      </c>
      <c r="BP130" s="137" t="n">
        <f aca="false">+DATOS_[[#This Row],[% de jornada]]*IF(DATOS_[[#This Row],[% jornada reducida]]="",1,DATOS_[[#This Row],[% jornada reducida]])</f>
        <v>0</v>
      </c>
      <c r="BQ130" s="137" t="n">
        <f aca="false">+(DATOS_[[#This Row],[F.fin.cal]]-DATOS_[[#This Row],[F.ini.cal]]+1)/($D$4-$D$3+1)</f>
        <v>1</v>
      </c>
      <c r="BR130" s="137" t="str">
        <f aca="false">IF(OR(AND(DATOS_[[#This Row],[Fecha Fin Contrato]]&lt;$D$3,DATOS_[[#This Row],[Fecha Fin Contrato]]&lt;&gt;""),DATOS_[[#This Row],[Fecha de Contratación]]&gt;$D$4),"Fuera","Dentro")</f>
        <v>Dentro</v>
      </c>
      <c r="BS130" s="137" t="str">
        <f aca="false" t="array" ref="BS130:BS130">IF(MAX(IF(DATOS_[id]=DATOS_[[#This Row],[id]],DATOS_[F.fin.cal]))=DATOS_[[#This Row],[F.fin.cal]],"Sí","NO")</f>
        <v>Sí</v>
      </c>
      <c r="BT130" s="137" t="str">
        <f aca="false">IF(AND(DATOS_[[#This Row],[% normaliz]]&lt;&gt;1,DATOS_[[#This Row],[% anualiz]]=1),"Sí","NO")</f>
        <v>Sí</v>
      </c>
      <c r="BU130" s="137" t="str">
        <f aca="false">IF(AND(DATOS_[[#This Row],[% normaliz]]=1,DATOS_[[#This Row],[% anualiz]]&lt;&gt;1),"Sí","NO")</f>
        <v>NO</v>
      </c>
      <c r="BV130" s="137" t="str">
        <f aca="false">IF(AND(DATOS_[[#This Row],[% normaliz]]&lt;&gt;1,DATOS_[[#This Row],[% anualiz]]&lt;&gt;1),"Sí","NO")</f>
        <v>NO</v>
      </c>
      <c r="BW130" s="137" t="str">
        <f aca="false">+IF(DATOS_[[#This Row],[% normaliz]]*DATOS_[[#This Row],[% anualiz]]=1,"NO","Sí")</f>
        <v>Sí</v>
      </c>
      <c r="BX130" s="138" t="e">
        <f aca="false">(DATOS_[[#This Row],[S.BASE]]*(1/DATOS_[[#This Row],[% normaliz]])*(1/DATOS_[[#This Row],[% anualiz]]))*IF(DATOS_[[#This Row],[Check Equiparado]]="Sí",1,0)</f>
        <v>#DIV/0!</v>
      </c>
      <c r="BY1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 s="138" t="e">
        <f aca="false">+DATOS_[[#This Row],[SALARIO BASE Eq]]+DATOS_[[#This Row],[Tot COMPL.SAL Eq]]</f>
        <v>#DIV/0!</v>
      </c>
      <c r="CA130" s="138" t="e">
        <f aca="false" t="array" ref="CA130:CA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 s="138" t="e">
        <f aca="false">+DATOS_[[#This Row],[TOTAL SALARIO Eq]]+DATOS_[[#This Row],[Tot Extrasalarial Eq]]</f>
        <v>#DIV/0!</v>
      </c>
      <c r="CC130" s="139" t="n">
        <f aca="false">DATOS_[[#This Row],[S.BASE]]</f>
        <v>0</v>
      </c>
      <c r="CD130" s="139" t="n">
        <f aca="false">+SUM(DATOS_[[#This Row],[Conc.Sal.01]:[Conc.Sal.30]])</f>
        <v>0</v>
      </c>
      <c r="CE130" s="139" t="n">
        <f aca="false">+DATOS_[[#This Row],[SALARIO BASE Ef]]+DATOS_[[#This Row],[Tot COMPL.SAL Ef]]</f>
        <v>0</v>
      </c>
      <c r="CF130" s="139" t="n">
        <f aca="false">+SUM(DATOS_[[#This Row],[C.Extra.01]:[C.Extra.05]])</f>
        <v>0</v>
      </c>
      <c r="CG130" s="139" t="n">
        <f aca="false">+DATOS_[[#This Row],[TOTAL SALARIO Ef]]+DATOS_[[#This Row],[Tot Extrasalarial Ef]]</f>
        <v>0</v>
      </c>
      <c r="CH130" s="140" t="n">
        <f aca="false">MIN(IF(DATOS_[[#This Row],[Fecha Fin Contrato]]="",$D$4,DATOS_[[#This Row],[Fecha Fin Contrato]]),$D$4)-MAX(DATOS_[[#This Row],[Fecha de Contratación]],$D$3)+1</f>
        <v>1</v>
      </c>
      <c r="CI130" s="141" t="str">
        <f aca="false">IF(COUNTIFS(DATOS_[id],DATOS_[[#This Row],[id]])&gt;1,DATOS_[[#This Row],[id]],"")</f>
        <v/>
      </c>
      <c r="CJ130" s="141" t="n">
        <f aca="false">(Inicio!$G$10-DATOS_[[#This Row],[Fecha Nacimiento]])/365.25</f>
        <v>0</v>
      </c>
      <c r="CK130" s="141" t="n">
        <f aca="false">(Inicio!$G$10-DATOS_[[#This Row],[Fecha de Antigüedad]])/365.25</f>
        <v>0</v>
      </c>
      <c r="CL130" s="141" t="e">
        <f aca="false">+VLOOKUP(DATOS_[[#This Row],[Clave de Contrato]],TblTiposContrato13[],3,0)</f>
        <v>#N/A</v>
      </c>
      <c r="CM130" s="141" t="e">
        <f aca="false">+VLOOKUP(DATOS_[[#This Row],[Clave de Contrato]],TblTiposContrato13[],4,0)</f>
        <v>#N/A</v>
      </c>
      <c r="CN130" s="141" t="str">
        <f aca="false">VLOOKUP(DATOS_[[#This Row],[Edad]],CONTRATOS!TblRngEdad,2,1)</f>
        <v>20  o menos</v>
      </c>
      <c r="CO130" s="141" t="str">
        <f aca="false">VLOOKUP(DATOS_[[#This Row],[Antigüedad]],TblRngAntg14[],2,1)</f>
        <v>0 a 1 años</v>
      </c>
    </row>
    <row r="131" customFormat="false" ht="13.8" hidden="false" customHeight="false" outlineLevel="0" collapsed="false">
      <c r="D131" s="128"/>
      <c r="E131" s="129"/>
      <c r="F131" s="129"/>
      <c r="G131" s="129"/>
      <c r="H131" s="130"/>
      <c r="I131" s="131"/>
      <c r="J131" s="128"/>
      <c r="K131" s="132"/>
      <c r="L131" s="132"/>
      <c r="M131" s="133"/>
      <c r="N131" s="133"/>
      <c r="O131" s="133"/>
      <c r="P131" s="129"/>
      <c r="Z131" s="75"/>
      <c r="AA131" s="76"/>
      <c r="AB131" s="76"/>
      <c r="AC131" s="129"/>
      <c r="AD131" s="134"/>
      <c r="AE131" s="134"/>
      <c r="AF131" s="134"/>
      <c r="AG131" s="134"/>
      <c r="AH131" s="134"/>
      <c r="AI131" s="134"/>
      <c r="AJ131" s="134"/>
      <c r="AK131" s="134"/>
      <c r="AL131" s="134"/>
      <c r="AM131" s="134"/>
      <c r="AN131" s="134"/>
      <c r="AO131" s="134"/>
      <c r="AP131" s="134"/>
      <c r="AQ131" s="134"/>
      <c r="AR131" s="134"/>
      <c r="AS131" s="134"/>
      <c r="AT131" s="134"/>
      <c r="AU131" s="134"/>
      <c r="AV131" s="134"/>
      <c r="AW131" s="134"/>
      <c r="AX131" s="134"/>
      <c r="AY131" s="134"/>
      <c r="AZ131" s="134"/>
      <c r="BA131" s="134"/>
      <c r="BB131" s="134"/>
      <c r="BC131" s="134"/>
      <c r="BD131" s="134"/>
      <c r="BE131" s="134"/>
      <c r="BF131" s="134"/>
      <c r="BG131" s="134"/>
      <c r="BH131" s="134"/>
      <c r="BI131" s="134"/>
      <c r="BJ131" s="134"/>
      <c r="BK131" s="134"/>
      <c r="BL131" s="134"/>
      <c r="BM131" s="135"/>
      <c r="BN131" s="136" t="n">
        <f aca="false">+MAX($D$3,DATOS_[[#This Row],[Fecha Inicio Sit. Contract.]])</f>
        <v>0</v>
      </c>
      <c r="BO131" s="136" t="n">
        <f aca="false">+MIN($D$4,DATOS_[[#This Row],[Fecha Fin Sit. Contract.]])</f>
        <v>0</v>
      </c>
      <c r="BP131" s="137" t="n">
        <f aca="false">+DATOS_[[#This Row],[% de jornada]]*IF(DATOS_[[#This Row],[% jornada reducida]]="",1,DATOS_[[#This Row],[% jornada reducida]])</f>
        <v>0</v>
      </c>
      <c r="BQ131" s="137" t="n">
        <f aca="false">+(DATOS_[[#This Row],[F.fin.cal]]-DATOS_[[#This Row],[F.ini.cal]]+1)/($D$4-$D$3+1)</f>
        <v>1</v>
      </c>
      <c r="BR131" s="137" t="str">
        <f aca="false">IF(OR(AND(DATOS_[[#This Row],[Fecha Fin Contrato]]&lt;$D$3,DATOS_[[#This Row],[Fecha Fin Contrato]]&lt;&gt;""),DATOS_[[#This Row],[Fecha de Contratación]]&gt;$D$4),"Fuera","Dentro")</f>
        <v>Dentro</v>
      </c>
      <c r="BS131" s="137" t="str">
        <f aca="false" t="array" ref="BS131:BS131">IF(MAX(IF(DATOS_[id]=DATOS_[[#This Row],[id]],DATOS_[F.fin.cal]))=DATOS_[[#This Row],[F.fin.cal]],"Sí","NO")</f>
        <v>Sí</v>
      </c>
      <c r="BT131" s="137" t="str">
        <f aca="false">IF(AND(DATOS_[[#This Row],[% normaliz]]&lt;&gt;1,DATOS_[[#This Row],[% anualiz]]=1),"Sí","NO")</f>
        <v>Sí</v>
      </c>
      <c r="BU131" s="137" t="str">
        <f aca="false">IF(AND(DATOS_[[#This Row],[% normaliz]]=1,DATOS_[[#This Row],[% anualiz]]&lt;&gt;1),"Sí","NO")</f>
        <v>NO</v>
      </c>
      <c r="BV131" s="137" t="str">
        <f aca="false">IF(AND(DATOS_[[#This Row],[% normaliz]]&lt;&gt;1,DATOS_[[#This Row],[% anualiz]]&lt;&gt;1),"Sí","NO")</f>
        <v>NO</v>
      </c>
      <c r="BW131" s="137" t="str">
        <f aca="false">+IF(DATOS_[[#This Row],[% normaliz]]*DATOS_[[#This Row],[% anualiz]]=1,"NO","Sí")</f>
        <v>Sí</v>
      </c>
      <c r="BX131" s="138" t="e">
        <f aca="false">(DATOS_[[#This Row],[S.BASE]]*(1/DATOS_[[#This Row],[% normaliz]])*(1/DATOS_[[#This Row],[% anualiz]]))*IF(DATOS_[[#This Row],[Check Equiparado]]="Sí",1,0)</f>
        <v>#DIV/0!</v>
      </c>
      <c r="BY1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 s="138" t="e">
        <f aca="false">+DATOS_[[#This Row],[SALARIO BASE Eq]]+DATOS_[[#This Row],[Tot COMPL.SAL Eq]]</f>
        <v>#DIV/0!</v>
      </c>
      <c r="CA131" s="138" t="e">
        <f aca="false" t="array" ref="CA131:CA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 s="138" t="e">
        <f aca="false">+DATOS_[[#This Row],[TOTAL SALARIO Eq]]+DATOS_[[#This Row],[Tot Extrasalarial Eq]]</f>
        <v>#DIV/0!</v>
      </c>
      <c r="CC131" s="139" t="n">
        <f aca="false">DATOS_[[#This Row],[S.BASE]]</f>
        <v>0</v>
      </c>
      <c r="CD131" s="139" t="n">
        <f aca="false">+SUM(DATOS_[[#This Row],[Conc.Sal.01]:[Conc.Sal.30]])</f>
        <v>0</v>
      </c>
      <c r="CE131" s="139" t="n">
        <f aca="false">+DATOS_[[#This Row],[SALARIO BASE Ef]]+DATOS_[[#This Row],[Tot COMPL.SAL Ef]]</f>
        <v>0</v>
      </c>
      <c r="CF131" s="139" t="n">
        <f aca="false">+SUM(DATOS_[[#This Row],[C.Extra.01]:[C.Extra.05]])</f>
        <v>0</v>
      </c>
      <c r="CG131" s="139" t="n">
        <f aca="false">+DATOS_[[#This Row],[TOTAL SALARIO Ef]]+DATOS_[[#This Row],[Tot Extrasalarial Ef]]</f>
        <v>0</v>
      </c>
      <c r="CH131" s="140" t="n">
        <f aca="false">MIN(IF(DATOS_[[#This Row],[Fecha Fin Contrato]]="",$D$4,DATOS_[[#This Row],[Fecha Fin Contrato]]),$D$4)-MAX(DATOS_[[#This Row],[Fecha de Contratación]],$D$3)+1</f>
        <v>1</v>
      </c>
      <c r="CI131" s="141" t="str">
        <f aca="false">IF(COUNTIFS(DATOS_[id],DATOS_[[#This Row],[id]])&gt;1,DATOS_[[#This Row],[id]],"")</f>
        <v/>
      </c>
      <c r="CJ131" s="141" t="n">
        <f aca="false">(Inicio!$G$10-DATOS_[[#This Row],[Fecha Nacimiento]])/365.25</f>
        <v>0</v>
      </c>
      <c r="CK131" s="141" t="n">
        <f aca="false">(Inicio!$G$10-DATOS_[[#This Row],[Fecha de Antigüedad]])/365.25</f>
        <v>0</v>
      </c>
      <c r="CL131" s="141" t="e">
        <f aca="false">+VLOOKUP(DATOS_[[#This Row],[Clave de Contrato]],TblTiposContrato13[],3,0)</f>
        <v>#N/A</v>
      </c>
      <c r="CM131" s="141" t="e">
        <f aca="false">+VLOOKUP(DATOS_[[#This Row],[Clave de Contrato]],TblTiposContrato13[],4,0)</f>
        <v>#N/A</v>
      </c>
      <c r="CN131" s="141" t="str">
        <f aca="false">VLOOKUP(DATOS_[[#This Row],[Edad]],CONTRATOS!TblRngEdad,2,1)</f>
        <v>20  o menos</v>
      </c>
      <c r="CO131" s="141" t="str">
        <f aca="false">VLOOKUP(DATOS_[[#This Row],[Antigüedad]],TblRngAntg14[],2,1)</f>
        <v>0 a 1 años</v>
      </c>
    </row>
    <row r="132" customFormat="false" ht="13.8" hidden="false" customHeight="false" outlineLevel="0" collapsed="false">
      <c r="D132" s="128"/>
      <c r="E132" s="129"/>
      <c r="F132" s="129"/>
      <c r="G132" s="129"/>
      <c r="H132" s="130"/>
      <c r="I132" s="131"/>
      <c r="J132" s="128"/>
      <c r="K132" s="132"/>
      <c r="L132" s="132"/>
      <c r="M132" s="133"/>
      <c r="N132" s="133"/>
      <c r="O132" s="133"/>
      <c r="P132" s="129"/>
      <c r="Z132" s="75"/>
      <c r="AA132" s="76"/>
      <c r="AB132" s="76"/>
      <c r="AC132" s="129"/>
      <c r="AD132" s="134"/>
      <c r="AE132" s="134"/>
      <c r="AF132" s="134"/>
      <c r="AG132" s="134"/>
      <c r="AH132" s="134"/>
      <c r="AI132" s="134"/>
      <c r="AJ132" s="134"/>
      <c r="AK132" s="134"/>
      <c r="AL132" s="134"/>
      <c r="AM132" s="134"/>
      <c r="AN132" s="134"/>
      <c r="AO132" s="134"/>
      <c r="AP132" s="134"/>
      <c r="AQ132" s="134"/>
      <c r="AR132" s="134"/>
      <c r="AS132" s="134"/>
      <c r="AT132" s="134"/>
      <c r="AU132" s="134"/>
      <c r="AV132" s="134"/>
      <c r="AW132" s="134"/>
      <c r="AX132" s="134"/>
      <c r="AY132" s="134"/>
      <c r="AZ132" s="134"/>
      <c r="BA132" s="134"/>
      <c r="BB132" s="134"/>
      <c r="BC132" s="134"/>
      <c r="BD132" s="134"/>
      <c r="BE132" s="134"/>
      <c r="BF132" s="134"/>
      <c r="BG132" s="134"/>
      <c r="BH132" s="134"/>
      <c r="BI132" s="134"/>
      <c r="BJ132" s="134"/>
      <c r="BK132" s="134"/>
      <c r="BL132" s="134"/>
      <c r="BM132" s="135"/>
      <c r="BN132" s="136" t="n">
        <f aca="false">+MAX($D$3,DATOS_[[#This Row],[Fecha Inicio Sit. Contract.]])</f>
        <v>0</v>
      </c>
      <c r="BO132" s="136" t="n">
        <f aca="false">+MIN($D$4,DATOS_[[#This Row],[Fecha Fin Sit. Contract.]])</f>
        <v>0</v>
      </c>
      <c r="BP132" s="137" t="n">
        <f aca="false">+DATOS_[[#This Row],[% de jornada]]*IF(DATOS_[[#This Row],[% jornada reducida]]="",1,DATOS_[[#This Row],[% jornada reducida]])</f>
        <v>0</v>
      </c>
      <c r="BQ132" s="137" t="n">
        <f aca="false">+(DATOS_[[#This Row],[F.fin.cal]]-DATOS_[[#This Row],[F.ini.cal]]+1)/($D$4-$D$3+1)</f>
        <v>1</v>
      </c>
      <c r="BR132" s="137" t="str">
        <f aca="false">IF(OR(AND(DATOS_[[#This Row],[Fecha Fin Contrato]]&lt;$D$3,DATOS_[[#This Row],[Fecha Fin Contrato]]&lt;&gt;""),DATOS_[[#This Row],[Fecha de Contratación]]&gt;$D$4),"Fuera","Dentro")</f>
        <v>Dentro</v>
      </c>
      <c r="BS132" s="137" t="str">
        <f aca="false" t="array" ref="BS132:BS132">IF(MAX(IF(DATOS_[id]=DATOS_[[#This Row],[id]],DATOS_[F.fin.cal]))=DATOS_[[#This Row],[F.fin.cal]],"Sí","NO")</f>
        <v>Sí</v>
      </c>
      <c r="BT132" s="137" t="str">
        <f aca="false">IF(AND(DATOS_[[#This Row],[% normaliz]]&lt;&gt;1,DATOS_[[#This Row],[% anualiz]]=1),"Sí","NO")</f>
        <v>Sí</v>
      </c>
      <c r="BU132" s="137" t="str">
        <f aca="false">IF(AND(DATOS_[[#This Row],[% normaliz]]=1,DATOS_[[#This Row],[% anualiz]]&lt;&gt;1),"Sí","NO")</f>
        <v>NO</v>
      </c>
      <c r="BV132" s="137" t="str">
        <f aca="false">IF(AND(DATOS_[[#This Row],[% normaliz]]&lt;&gt;1,DATOS_[[#This Row],[% anualiz]]&lt;&gt;1),"Sí","NO")</f>
        <v>NO</v>
      </c>
      <c r="BW132" s="137" t="str">
        <f aca="false">+IF(DATOS_[[#This Row],[% normaliz]]*DATOS_[[#This Row],[% anualiz]]=1,"NO","Sí")</f>
        <v>Sí</v>
      </c>
      <c r="BX132" s="138" t="e">
        <f aca="false">(DATOS_[[#This Row],[S.BASE]]*(1/DATOS_[[#This Row],[% normaliz]])*(1/DATOS_[[#This Row],[% anualiz]]))*IF(DATOS_[[#This Row],[Check Equiparado]]="Sí",1,0)</f>
        <v>#DIV/0!</v>
      </c>
      <c r="BY1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 s="138" t="e">
        <f aca="false">+DATOS_[[#This Row],[SALARIO BASE Eq]]+DATOS_[[#This Row],[Tot COMPL.SAL Eq]]</f>
        <v>#DIV/0!</v>
      </c>
      <c r="CA132" s="138" t="e">
        <f aca="false" t="array" ref="CA132:CA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 s="138" t="e">
        <f aca="false">+DATOS_[[#This Row],[TOTAL SALARIO Eq]]+DATOS_[[#This Row],[Tot Extrasalarial Eq]]</f>
        <v>#DIV/0!</v>
      </c>
      <c r="CC132" s="139" t="n">
        <f aca="false">DATOS_[[#This Row],[S.BASE]]</f>
        <v>0</v>
      </c>
      <c r="CD132" s="139" t="n">
        <f aca="false">+SUM(DATOS_[[#This Row],[Conc.Sal.01]:[Conc.Sal.30]])</f>
        <v>0</v>
      </c>
      <c r="CE132" s="139" t="n">
        <f aca="false">+DATOS_[[#This Row],[SALARIO BASE Ef]]+DATOS_[[#This Row],[Tot COMPL.SAL Ef]]</f>
        <v>0</v>
      </c>
      <c r="CF132" s="139" t="n">
        <f aca="false">+SUM(DATOS_[[#This Row],[C.Extra.01]:[C.Extra.05]])</f>
        <v>0</v>
      </c>
      <c r="CG132" s="139" t="n">
        <f aca="false">+DATOS_[[#This Row],[TOTAL SALARIO Ef]]+DATOS_[[#This Row],[Tot Extrasalarial Ef]]</f>
        <v>0</v>
      </c>
      <c r="CH132" s="140" t="n">
        <f aca="false">MIN(IF(DATOS_[[#This Row],[Fecha Fin Contrato]]="",$D$4,DATOS_[[#This Row],[Fecha Fin Contrato]]),$D$4)-MAX(DATOS_[[#This Row],[Fecha de Contratación]],$D$3)+1</f>
        <v>1</v>
      </c>
      <c r="CI132" s="141" t="str">
        <f aca="false">IF(COUNTIFS(DATOS_[id],DATOS_[[#This Row],[id]])&gt;1,DATOS_[[#This Row],[id]],"")</f>
        <v/>
      </c>
      <c r="CJ132" s="141" t="n">
        <f aca="false">(Inicio!$G$10-DATOS_[[#This Row],[Fecha Nacimiento]])/365.25</f>
        <v>0</v>
      </c>
      <c r="CK132" s="141" t="n">
        <f aca="false">(Inicio!$G$10-DATOS_[[#This Row],[Fecha de Antigüedad]])/365.25</f>
        <v>0</v>
      </c>
      <c r="CL132" s="141" t="e">
        <f aca="false">+VLOOKUP(DATOS_[[#This Row],[Clave de Contrato]],TblTiposContrato13[],3,0)</f>
        <v>#N/A</v>
      </c>
      <c r="CM132" s="141" t="e">
        <f aca="false">+VLOOKUP(DATOS_[[#This Row],[Clave de Contrato]],TblTiposContrato13[],4,0)</f>
        <v>#N/A</v>
      </c>
      <c r="CN132" s="141" t="str">
        <f aca="false">VLOOKUP(DATOS_[[#This Row],[Edad]],CONTRATOS!TblRngEdad,2,1)</f>
        <v>20  o menos</v>
      </c>
      <c r="CO132" s="141" t="str">
        <f aca="false">VLOOKUP(DATOS_[[#This Row],[Antigüedad]],TblRngAntg14[],2,1)</f>
        <v>0 a 1 años</v>
      </c>
    </row>
    <row r="133" customFormat="false" ht="13.8" hidden="false" customHeight="false" outlineLevel="0" collapsed="false">
      <c r="D133" s="128"/>
      <c r="E133" s="129"/>
      <c r="F133" s="129"/>
      <c r="G133" s="129"/>
      <c r="H133" s="130"/>
      <c r="I133" s="131"/>
      <c r="J133" s="128"/>
      <c r="K133" s="132"/>
      <c r="L133" s="132"/>
      <c r="M133" s="133"/>
      <c r="N133" s="133"/>
      <c r="O133" s="133"/>
      <c r="P133" s="129"/>
      <c r="Z133" s="75"/>
      <c r="AA133" s="76"/>
      <c r="AB133" s="76"/>
      <c r="AC133" s="129"/>
      <c r="AD133" s="134"/>
      <c r="AE133" s="134"/>
      <c r="AF133" s="134"/>
      <c r="AG133" s="134"/>
      <c r="AH133" s="134"/>
      <c r="AI133" s="134"/>
      <c r="AJ133" s="134"/>
      <c r="AK133" s="134"/>
      <c r="AL133" s="134"/>
      <c r="AM133" s="134"/>
      <c r="AN133" s="134"/>
      <c r="AO133" s="134"/>
      <c r="AP133" s="134"/>
      <c r="AQ133" s="134"/>
      <c r="AR133" s="134"/>
      <c r="AS133" s="134"/>
      <c r="AT133" s="134"/>
      <c r="AU133" s="134"/>
      <c r="AV133" s="134"/>
      <c r="AW133" s="134"/>
      <c r="AX133" s="134"/>
      <c r="AY133" s="134"/>
      <c r="AZ133" s="134"/>
      <c r="BA133" s="134"/>
      <c r="BB133" s="134"/>
      <c r="BC133" s="134"/>
      <c r="BD133" s="134"/>
      <c r="BE133" s="134"/>
      <c r="BF133" s="134"/>
      <c r="BG133" s="134"/>
      <c r="BH133" s="134"/>
      <c r="BI133" s="134"/>
      <c r="BJ133" s="134"/>
      <c r="BK133" s="134"/>
      <c r="BL133" s="134"/>
      <c r="BM133" s="135"/>
      <c r="BN133" s="136" t="n">
        <f aca="false">+MAX($D$3,DATOS_[[#This Row],[Fecha Inicio Sit. Contract.]])</f>
        <v>0</v>
      </c>
      <c r="BO133" s="136" t="n">
        <f aca="false">+MIN($D$4,DATOS_[[#This Row],[Fecha Fin Sit. Contract.]])</f>
        <v>0</v>
      </c>
      <c r="BP133" s="137" t="n">
        <f aca="false">+DATOS_[[#This Row],[% de jornada]]*IF(DATOS_[[#This Row],[% jornada reducida]]="",1,DATOS_[[#This Row],[% jornada reducida]])</f>
        <v>0</v>
      </c>
      <c r="BQ133" s="137" t="n">
        <f aca="false">+(DATOS_[[#This Row],[F.fin.cal]]-DATOS_[[#This Row],[F.ini.cal]]+1)/($D$4-$D$3+1)</f>
        <v>1</v>
      </c>
      <c r="BR133" s="137" t="str">
        <f aca="false">IF(OR(AND(DATOS_[[#This Row],[Fecha Fin Contrato]]&lt;$D$3,DATOS_[[#This Row],[Fecha Fin Contrato]]&lt;&gt;""),DATOS_[[#This Row],[Fecha de Contratación]]&gt;$D$4),"Fuera","Dentro")</f>
        <v>Dentro</v>
      </c>
      <c r="BS133" s="137" t="str">
        <f aca="false" t="array" ref="BS133:BS133">IF(MAX(IF(DATOS_[id]=DATOS_[[#This Row],[id]],DATOS_[F.fin.cal]))=DATOS_[[#This Row],[F.fin.cal]],"Sí","NO")</f>
        <v>Sí</v>
      </c>
      <c r="BT133" s="137" t="str">
        <f aca="false">IF(AND(DATOS_[[#This Row],[% normaliz]]&lt;&gt;1,DATOS_[[#This Row],[% anualiz]]=1),"Sí","NO")</f>
        <v>Sí</v>
      </c>
      <c r="BU133" s="137" t="str">
        <f aca="false">IF(AND(DATOS_[[#This Row],[% normaliz]]=1,DATOS_[[#This Row],[% anualiz]]&lt;&gt;1),"Sí","NO")</f>
        <v>NO</v>
      </c>
      <c r="BV133" s="137" t="str">
        <f aca="false">IF(AND(DATOS_[[#This Row],[% normaliz]]&lt;&gt;1,DATOS_[[#This Row],[% anualiz]]&lt;&gt;1),"Sí","NO")</f>
        <v>NO</v>
      </c>
      <c r="BW133" s="137" t="str">
        <f aca="false">+IF(DATOS_[[#This Row],[% normaliz]]*DATOS_[[#This Row],[% anualiz]]=1,"NO","Sí")</f>
        <v>Sí</v>
      </c>
      <c r="BX133" s="138" t="e">
        <f aca="false">(DATOS_[[#This Row],[S.BASE]]*(1/DATOS_[[#This Row],[% normaliz]])*(1/DATOS_[[#This Row],[% anualiz]]))*IF(DATOS_[[#This Row],[Check Equiparado]]="Sí",1,0)</f>
        <v>#DIV/0!</v>
      </c>
      <c r="BY1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 s="138" t="e">
        <f aca="false">+DATOS_[[#This Row],[SALARIO BASE Eq]]+DATOS_[[#This Row],[Tot COMPL.SAL Eq]]</f>
        <v>#DIV/0!</v>
      </c>
      <c r="CA133" s="138" t="e">
        <f aca="false" t="array" ref="CA133:CA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 s="138" t="e">
        <f aca="false">+DATOS_[[#This Row],[TOTAL SALARIO Eq]]+DATOS_[[#This Row],[Tot Extrasalarial Eq]]</f>
        <v>#DIV/0!</v>
      </c>
      <c r="CC133" s="139" t="n">
        <f aca="false">DATOS_[[#This Row],[S.BASE]]</f>
        <v>0</v>
      </c>
      <c r="CD133" s="139" t="n">
        <f aca="false">+SUM(DATOS_[[#This Row],[Conc.Sal.01]:[Conc.Sal.30]])</f>
        <v>0</v>
      </c>
      <c r="CE133" s="139" t="n">
        <f aca="false">+DATOS_[[#This Row],[SALARIO BASE Ef]]+DATOS_[[#This Row],[Tot COMPL.SAL Ef]]</f>
        <v>0</v>
      </c>
      <c r="CF133" s="139" t="n">
        <f aca="false">+SUM(DATOS_[[#This Row],[C.Extra.01]:[C.Extra.05]])</f>
        <v>0</v>
      </c>
      <c r="CG133" s="139" t="n">
        <f aca="false">+DATOS_[[#This Row],[TOTAL SALARIO Ef]]+DATOS_[[#This Row],[Tot Extrasalarial Ef]]</f>
        <v>0</v>
      </c>
      <c r="CH133" s="140" t="n">
        <f aca="false">MIN(IF(DATOS_[[#This Row],[Fecha Fin Contrato]]="",$D$4,DATOS_[[#This Row],[Fecha Fin Contrato]]),$D$4)-MAX(DATOS_[[#This Row],[Fecha de Contratación]],$D$3)+1</f>
        <v>1</v>
      </c>
      <c r="CI133" s="141" t="str">
        <f aca="false">IF(COUNTIFS(DATOS_[id],DATOS_[[#This Row],[id]])&gt;1,DATOS_[[#This Row],[id]],"")</f>
        <v/>
      </c>
      <c r="CJ133" s="141" t="n">
        <f aca="false">(Inicio!$G$10-DATOS_[[#This Row],[Fecha Nacimiento]])/365.25</f>
        <v>0</v>
      </c>
      <c r="CK133" s="141" t="n">
        <f aca="false">(Inicio!$G$10-DATOS_[[#This Row],[Fecha de Antigüedad]])/365.25</f>
        <v>0</v>
      </c>
      <c r="CL133" s="141" t="e">
        <f aca="false">+VLOOKUP(DATOS_[[#This Row],[Clave de Contrato]],TblTiposContrato13[],3,0)</f>
        <v>#N/A</v>
      </c>
      <c r="CM133" s="141" t="e">
        <f aca="false">+VLOOKUP(DATOS_[[#This Row],[Clave de Contrato]],TblTiposContrato13[],4,0)</f>
        <v>#N/A</v>
      </c>
      <c r="CN133" s="141" t="str">
        <f aca="false">VLOOKUP(DATOS_[[#This Row],[Edad]],CONTRATOS!TblRngEdad,2,1)</f>
        <v>20  o menos</v>
      </c>
      <c r="CO133" s="141" t="str">
        <f aca="false">VLOOKUP(DATOS_[[#This Row],[Antigüedad]],TblRngAntg14[],2,1)</f>
        <v>0 a 1 años</v>
      </c>
    </row>
    <row r="134" customFormat="false" ht="13.8" hidden="false" customHeight="false" outlineLevel="0" collapsed="false">
      <c r="D134" s="128"/>
      <c r="E134" s="129"/>
      <c r="F134" s="129"/>
      <c r="G134" s="129"/>
      <c r="H134" s="130"/>
      <c r="I134" s="131"/>
      <c r="J134" s="128"/>
      <c r="K134" s="132"/>
      <c r="L134" s="132"/>
      <c r="M134" s="133"/>
      <c r="N134" s="133"/>
      <c r="O134" s="133"/>
      <c r="P134" s="129"/>
      <c r="Z134" s="75"/>
      <c r="AA134" s="76"/>
      <c r="AB134" s="76"/>
      <c r="AC134" s="129"/>
      <c r="AD134" s="134"/>
      <c r="AE134" s="134"/>
      <c r="AF134" s="134"/>
      <c r="AG134" s="134"/>
      <c r="AH134" s="134"/>
      <c r="AI134" s="134"/>
      <c r="AJ134" s="134"/>
      <c r="AK134" s="134"/>
      <c r="AL134" s="134"/>
      <c r="AM134" s="134"/>
      <c r="AN134" s="134"/>
      <c r="AO134" s="134"/>
      <c r="AP134" s="134"/>
      <c r="AQ134" s="134"/>
      <c r="AR134" s="134"/>
      <c r="AS134" s="134"/>
      <c r="AT134" s="134"/>
      <c r="AU134" s="134"/>
      <c r="AV134" s="134"/>
      <c r="AW134" s="134"/>
      <c r="AX134" s="134"/>
      <c r="AY134" s="134"/>
      <c r="AZ134" s="134"/>
      <c r="BA134" s="134"/>
      <c r="BB134" s="134"/>
      <c r="BC134" s="134"/>
      <c r="BD134" s="134"/>
      <c r="BE134" s="134"/>
      <c r="BF134" s="134"/>
      <c r="BG134" s="134"/>
      <c r="BH134" s="134"/>
      <c r="BI134" s="134"/>
      <c r="BJ134" s="134"/>
      <c r="BK134" s="134"/>
      <c r="BL134" s="134"/>
      <c r="BM134" s="135"/>
      <c r="BN134" s="136" t="n">
        <f aca="false">+MAX($D$3,DATOS_[[#This Row],[Fecha Inicio Sit. Contract.]])</f>
        <v>0</v>
      </c>
      <c r="BO134" s="136" t="n">
        <f aca="false">+MIN($D$4,DATOS_[[#This Row],[Fecha Fin Sit. Contract.]])</f>
        <v>0</v>
      </c>
      <c r="BP134" s="137" t="n">
        <f aca="false">+DATOS_[[#This Row],[% de jornada]]*IF(DATOS_[[#This Row],[% jornada reducida]]="",1,DATOS_[[#This Row],[% jornada reducida]])</f>
        <v>0</v>
      </c>
      <c r="BQ134" s="137" t="n">
        <f aca="false">+(DATOS_[[#This Row],[F.fin.cal]]-DATOS_[[#This Row],[F.ini.cal]]+1)/($D$4-$D$3+1)</f>
        <v>1</v>
      </c>
      <c r="BR134" s="137" t="str">
        <f aca="false">IF(OR(AND(DATOS_[[#This Row],[Fecha Fin Contrato]]&lt;$D$3,DATOS_[[#This Row],[Fecha Fin Contrato]]&lt;&gt;""),DATOS_[[#This Row],[Fecha de Contratación]]&gt;$D$4),"Fuera","Dentro")</f>
        <v>Dentro</v>
      </c>
      <c r="BS134" s="137" t="str">
        <f aca="false" t="array" ref="BS134:BS134">IF(MAX(IF(DATOS_[id]=DATOS_[[#This Row],[id]],DATOS_[F.fin.cal]))=DATOS_[[#This Row],[F.fin.cal]],"Sí","NO")</f>
        <v>Sí</v>
      </c>
      <c r="BT134" s="137" t="str">
        <f aca="false">IF(AND(DATOS_[[#This Row],[% normaliz]]&lt;&gt;1,DATOS_[[#This Row],[% anualiz]]=1),"Sí","NO")</f>
        <v>Sí</v>
      </c>
      <c r="BU134" s="137" t="str">
        <f aca="false">IF(AND(DATOS_[[#This Row],[% normaliz]]=1,DATOS_[[#This Row],[% anualiz]]&lt;&gt;1),"Sí","NO")</f>
        <v>NO</v>
      </c>
      <c r="BV134" s="137" t="str">
        <f aca="false">IF(AND(DATOS_[[#This Row],[% normaliz]]&lt;&gt;1,DATOS_[[#This Row],[% anualiz]]&lt;&gt;1),"Sí","NO")</f>
        <v>NO</v>
      </c>
      <c r="BW134" s="137" t="str">
        <f aca="false">+IF(DATOS_[[#This Row],[% normaliz]]*DATOS_[[#This Row],[% anualiz]]=1,"NO","Sí")</f>
        <v>Sí</v>
      </c>
      <c r="BX134" s="138" t="e">
        <f aca="false">(DATOS_[[#This Row],[S.BASE]]*(1/DATOS_[[#This Row],[% normaliz]])*(1/DATOS_[[#This Row],[% anualiz]]))*IF(DATOS_[[#This Row],[Check Equiparado]]="Sí",1,0)</f>
        <v>#DIV/0!</v>
      </c>
      <c r="BY1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 s="138" t="e">
        <f aca="false">+DATOS_[[#This Row],[SALARIO BASE Eq]]+DATOS_[[#This Row],[Tot COMPL.SAL Eq]]</f>
        <v>#DIV/0!</v>
      </c>
      <c r="CA134" s="138" t="e">
        <f aca="false" t="array" ref="CA134:CA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 s="138" t="e">
        <f aca="false">+DATOS_[[#This Row],[TOTAL SALARIO Eq]]+DATOS_[[#This Row],[Tot Extrasalarial Eq]]</f>
        <v>#DIV/0!</v>
      </c>
      <c r="CC134" s="139" t="n">
        <f aca="false">DATOS_[[#This Row],[S.BASE]]</f>
        <v>0</v>
      </c>
      <c r="CD134" s="139" t="n">
        <f aca="false">+SUM(DATOS_[[#This Row],[Conc.Sal.01]:[Conc.Sal.30]])</f>
        <v>0</v>
      </c>
      <c r="CE134" s="139" t="n">
        <f aca="false">+DATOS_[[#This Row],[SALARIO BASE Ef]]+DATOS_[[#This Row],[Tot COMPL.SAL Ef]]</f>
        <v>0</v>
      </c>
      <c r="CF134" s="139" t="n">
        <f aca="false">+SUM(DATOS_[[#This Row],[C.Extra.01]:[C.Extra.05]])</f>
        <v>0</v>
      </c>
      <c r="CG134" s="139" t="n">
        <f aca="false">+DATOS_[[#This Row],[TOTAL SALARIO Ef]]+DATOS_[[#This Row],[Tot Extrasalarial Ef]]</f>
        <v>0</v>
      </c>
      <c r="CH134" s="140" t="n">
        <f aca="false">MIN(IF(DATOS_[[#This Row],[Fecha Fin Contrato]]="",$D$4,DATOS_[[#This Row],[Fecha Fin Contrato]]),$D$4)-MAX(DATOS_[[#This Row],[Fecha de Contratación]],$D$3)+1</f>
        <v>1</v>
      </c>
      <c r="CI134" s="141" t="str">
        <f aca="false">IF(COUNTIFS(DATOS_[id],DATOS_[[#This Row],[id]])&gt;1,DATOS_[[#This Row],[id]],"")</f>
        <v/>
      </c>
      <c r="CJ134" s="141" t="n">
        <f aca="false">(Inicio!$G$10-DATOS_[[#This Row],[Fecha Nacimiento]])/365.25</f>
        <v>0</v>
      </c>
      <c r="CK134" s="141" t="n">
        <f aca="false">(Inicio!$G$10-DATOS_[[#This Row],[Fecha de Antigüedad]])/365.25</f>
        <v>0</v>
      </c>
      <c r="CL134" s="141" t="e">
        <f aca="false">+VLOOKUP(DATOS_[[#This Row],[Clave de Contrato]],TblTiposContrato13[],3,0)</f>
        <v>#N/A</v>
      </c>
      <c r="CM134" s="141" t="e">
        <f aca="false">+VLOOKUP(DATOS_[[#This Row],[Clave de Contrato]],TblTiposContrato13[],4,0)</f>
        <v>#N/A</v>
      </c>
      <c r="CN134" s="141" t="str">
        <f aca="false">VLOOKUP(DATOS_[[#This Row],[Edad]],CONTRATOS!TblRngEdad,2,1)</f>
        <v>20  o menos</v>
      </c>
      <c r="CO134" s="141" t="str">
        <f aca="false">VLOOKUP(DATOS_[[#This Row],[Antigüedad]],TblRngAntg14[],2,1)</f>
        <v>0 a 1 años</v>
      </c>
    </row>
    <row r="135" customFormat="false" ht="13.8" hidden="false" customHeight="false" outlineLevel="0" collapsed="false">
      <c r="D135" s="128"/>
      <c r="E135" s="129"/>
      <c r="F135" s="129"/>
      <c r="G135" s="129"/>
      <c r="H135" s="130"/>
      <c r="I135" s="131"/>
      <c r="J135" s="128"/>
      <c r="K135" s="132"/>
      <c r="L135" s="132"/>
      <c r="M135" s="133"/>
      <c r="N135" s="133"/>
      <c r="O135" s="133"/>
      <c r="P135" s="129"/>
      <c r="Z135" s="75"/>
      <c r="AA135" s="76"/>
      <c r="AB135" s="76"/>
      <c r="AC135" s="129"/>
      <c r="AD135" s="134"/>
      <c r="AE135" s="134"/>
      <c r="AF135" s="134"/>
      <c r="AG135" s="134"/>
      <c r="AH135" s="134"/>
      <c r="AI135" s="134"/>
      <c r="AJ135" s="134"/>
      <c r="AK135" s="134"/>
      <c r="AL135" s="134"/>
      <c r="AM135" s="134"/>
      <c r="AN135" s="134"/>
      <c r="AO135" s="134"/>
      <c r="AP135" s="134"/>
      <c r="AQ135" s="134"/>
      <c r="AR135" s="134"/>
      <c r="AS135" s="134"/>
      <c r="AT135" s="134"/>
      <c r="AU135" s="134"/>
      <c r="AV135" s="134"/>
      <c r="AW135" s="134"/>
      <c r="AX135" s="134"/>
      <c r="AY135" s="134"/>
      <c r="AZ135" s="134"/>
      <c r="BA135" s="134"/>
      <c r="BB135" s="134"/>
      <c r="BC135" s="134"/>
      <c r="BD135" s="134"/>
      <c r="BE135" s="134"/>
      <c r="BF135" s="134"/>
      <c r="BG135" s="134"/>
      <c r="BH135" s="134"/>
      <c r="BI135" s="134"/>
      <c r="BJ135" s="134"/>
      <c r="BK135" s="134"/>
      <c r="BL135" s="134"/>
      <c r="BM135" s="135"/>
      <c r="BN135" s="136" t="n">
        <f aca="false">+MAX($D$3,DATOS_[[#This Row],[Fecha Inicio Sit. Contract.]])</f>
        <v>0</v>
      </c>
      <c r="BO135" s="136" t="n">
        <f aca="false">+MIN($D$4,DATOS_[[#This Row],[Fecha Fin Sit. Contract.]])</f>
        <v>0</v>
      </c>
      <c r="BP135" s="137" t="n">
        <f aca="false">+DATOS_[[#This Row],[% de jornada]]*IF(DATOS_[[#This Row],[% jornada reducida]]="",1,DATOS_[[#This Row],[% jornada reducida]])</f>
        <v>0</v>
      </c>
      <c r="BQ135" s="137" t="n">
        <f aca="false">+(DATOS_[[#This Row],[F.fin.cal]]-DATOS_[[#This Row],[F.ini.cal]]+1)/($D$4-$D$3+1)</f>
        <v>1</v>
      </c>
      <c r="BR135" s="137" t="str">
        <f aca="false">IF(OR(AND(DATOS_[[#This Row],[Fecha Fin Contrato]]&lt;$D$3,DATOS_[[#This Row],[Fecha Fin Contrato]]&lt;&gt;""),DATOS_[[#This Row],[Fecha de Contratación]]&gt;$D$4),"Fuera","Dentro")</f>
        <v>Dentro</v>
      </c>
      <c r="BS135" s="137" t="str">
        <f aca="false" t="array" ref="BS135:BS135">IF(MAX(IF(DATOS_[id]=DATOS_[[#This Row],[id]],DATOS_[F.fin.cal]))=DATOS_[[#This Row],[F.fin.cal]],"Sí","NO")</f>
        <v>Sí</v>
      </c>
      <c r="BT135" s="137" t="str">
        <f aca="false">IF(AND(DATOS_[[#This Row],[% normaliz]]&lt;&gt;1,DATOS_[[#This Row],[% anualiz]]=1),"Sí","NO")</f>
        <v>Sí</v>
      </c>
      <c r="BU135" s="137" t="str">
        <f aca="false">IF(AND(DATOS_[[#This Row],[% normaliz]]=1,DATOS_[[#This Row],[% anualiz]]&lt;&gt;1),"Sí","NO")</f>
        <v>NO</v>
      </c>
      <c r="BV135" s="137" t="str">
        <f aca="false">IF(AND(DATOS_[[#This Row],[% normaliz]]&lt;&gt;1,DATOS_[[#This Row],[% anualiz]]&lt;&gt;1),"Sí","NO")</f>
        <v>NO</v>
      </c>
      <c r="BW135" s="137" t="str">
        <f aca="false">+IF(DATOS_[[#This Row],[% normaliz]]*DATOS_[[#This Row],[% anualiz]]=1,"NO","Sí")</f>
        <v>Sí</v>
      </c>
      <c r="BX135" s="138" t="e">
        <f aca="false">(DATOS_[[#This Row],[S.BASE]]*(1/DATOS_[[#This Row],[% normaliz]])*(1/DATOS_[[#This Row],[% anualiz]]))*IF(DATOS_[[#This Row],[Check Equiparado]]="Sí",1,0)</f>
        <v>#DIV/0!</v>
      </c>
      <c r="BY1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 s="138" t="e">
        <f aca="false">+DATOS_[[#This Row],[SALARIO BASE Eq]]+DATOS_[[#This Row],[Tot COMPL.SAL Eq]]</f>
        <v>#DIV/0!</v>
      </c>
      <c r="CA135" s="138" t="e">
        <f aca="false" t="array" ref="CA135:CA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 s="138" t="e">
        <f aca="false">+DATOS_[[#This Row],[TOTAL SALARIO Eq]]+DATOS_[[#This Row],[Tot Extrasalarial Eq]]</f>
        <v>#DIV/0!</v>
      </c>
      <c r="CC135" s="139" t="n">
        <f aca="false">DATOS_[[#This Row],[S.BASE]]</f>
        <v>0</v>
      </c>
      <c r="CD135" s="139" t="n">
        <f aca="false">+SUM(DATOS_[[#This Row],[Conc.Sal.01]:[Conc.Sal.30]])</f>
        <v>0</v>
      </c>
      <c r="CE135" s="139" t="n">
        <f aca="false">+DATOS_[[#This Row],[SALARIO BASE Ef]]+DATOS_[[#This Row],[Tot COMPL.SAL Ef]]</f>
        <v>0</v>
      </c>
      <c r="CF135" s="139" t="n">
        <f aca="false">+SUM(DATOS_[[#This Row],[C.Extra.01]:[C.Extra.05]])</f>
        <v>0</v>
      </c>
      <c r="CG135" s="139" t="n">
        <f aca="false">+DATOS_[[#This Row],[TOTAL SALARIO Ef]]+DATOS_[[#This Row],[Tot Extrasalarial Ef]]</f>
        <v>0</v>
      </c>
      <c r="CH135" s="140" t="n">
        <f aca="false">MIN(IF(DATOS_[[#This Row],[Fecha Fin Contrato]]="",$D$4,DATOS_[[#This Row],[Fecha Fin Contrato]]),$D$4)-MAX(DATOS_[[#This Row],[Fecha de Contratación]],$D$3)+1</f>
        <v>1</v>
      </c>
      <c r="CI135" s="141" t="str">
        <f aca="false">IF(COUNTIFS(DATOS_[id],DATOS_[[#This Row],[id]])&gt;1,DATOS_[[#This Row],[id]],"")</f>
        <v/>
      </c>
      <c r="CJ135" s="141" t="n">
        <f aca="false">(Inicio!$G$10-DATOS_[[#This Row],[Fecha Nacimiento]])/365.25</f>
        <v>0</v>
      </c>
      <c r="CK135" s="141" t="n">
        <f aca="false">(Inicio!$G$10-DATOS_[[#This Row],[Fecha de Antigüedad]])/365.25</f>
        <v>0</v>
      </c>
      <c r="CL135" s="141" t="e">
        <f aca="false">+VLOOKUP(DATOS_[[#This Row],[Clave de Contrato]],TblTiposContrato13[],3,0)</f>
        <v>#N/A</v>
      </c>
      <c r="CM135" s="141" t="e">
        <f aca="false">+VLOOKUP(DATOS_[[#This Row],[Clave de Contrato]],TblTiposContrato13[],4,0)</f>
        <v>#N/A</v>
      </c>
      <c r="CN135" s="141" t="str">
        <f aca="false">VLOOKUP(DATOS_[[#This Row],[Edad]],CONTRATOS!TblRngEdad,2,1)</f>
        <v>20  o menos</v>
      </c>
      <c r="CO135" s="141" t="str">
        <f aca="false">VLOOKUP(DATOS_[[#This Row],[Antigüedad]],TblRngAntg14[],2,1)</f>
        <v>0 a 1 años</v>
      </c>
    </row>
    <row r="136" customFormat="false" ht="13.8" hidden="false" customHeight="false" outlineLevel="0" collapsed="false">
      <c r="D136" s="128"/>
      <c r="E136" s="129"/>
      <c r="F136" s="129"/>
      <c r="G136" s="129"/>
      <c r="H136" s="130"/>
      <c r="I136" s="131"/>
      <c r="J136" s="128"/>
      <c r="K136" s="132"/>
      <c r="L136" s="132"/>
      <c r="M136" s="133"/>
      <c r="N136" s="133"/>
      <c r="O136" s="133"/>
      <c r="P136" s="129"/>
      <c r="Z136" s="75"/>
      <c r="AA136" s="76"/>
      <c r="AB136" s="76"/>
      <c r="AC136" s="129"/>
      <c r="AD136" s="134"/>
      <c r="AE136" s="134"/>
      <c r="AF136" s="134"/>
      <c r="AG136" s="134"/>
      <c r="AH136" s="134"/>
      <c r="AI136" s="134"/>
      <c r="AJ136" s="134"/>
      <c r="AK136" s="134"/>
      <c r="AL136" s="134"/>
      <c r="AM136" s="134"/>
      <c r="AN136" s="134"/>
      <c r="AO136" s="134"/>
      <c r="AP136" s="134"/>
      <c r="AQ136" s="134"/>
      <c r="AR136" s="134"/>
      <c r="AS136" s="134"/>
      <c r="AT136" s="134"/>
      <c r="AU136" s="134"/>
      <c r="AV136" s="134"/>
      <c r="AW136" s="134"/>
      <c r="AX136" s="134"/>
      <c r="AY136" s="134"/>
      <c r="AZ136" s="134"/>
      <c r="BA136" s="134"/>
      <c r="BB136" s="134"/>
      <c r="BC136" s="134"/>
      <c r="BD136" s="134"/>
      <c r="BE136" s="134"/>
      <c r="BF136" s="134"/>
      <c r="BG136" s="134"/>
      <c r="BH136" s="134"/>
      <c r="BI136" s="134"/>
      <c r="BJ136" s="134"/>
      <c r="BK136" s="134"/>
      <c r="BL136" s="134"/>
      <c r="BM136" s="135"/>
      <c r="BN136" s="136" t="n">
        <f aca="false">+MAX($D$3,DATOS_[[#This Row],[Fecha Inicio Sit. Contract.]])</f>
        <v>0</v>
      </c>
      <c r="BO136" s="136" t="n">
        <f aca="false">+MIN($D$4,DATOS_[[#This Row],[Fecha Fin Sit. Contract.]])</f>
        <v>0</v>
      </c>
      <c r="BP136" s="137" t="n">
        <f aca="false">+DATOS_[[#This Row],[% de jornada]]*IF(DATOS_[[#This Row],[% jornada reducida]]="",1,DATOS_[[#This Row],[% jornada reducida]])</f>
        <v>0</v>
      </c>
      <c r="BQ136" s="137" t="n">
        <f aca="false">+(DATOS_[[#This Row],[F.fin.cal]]-DATOS_[[#This Row],[F.ini.cal]]+1)/($D$4-$D$3+1)</f>
        <v>1</v>
      </c>
      <c r="BR136" s="137" t="str">
        <f aca="false">IF(OR(AND(DATOS_[[#This Row],[Fecha Fin Contrato]]&lt;$D$3,DATOS_[[#This Row],[Fecha Fin Contrato]]&lt;&gt;""),DATOS_[[#This Row],[Fecha de Contratación]]&gt;$D$4),"Fuera","Dentro")</f>
        <v>Dentro</v>
      </c>
      <c r="BS136" s="137" t="str">
        <f aca="false" t="array" ref="BS136:BS136">IF(MAX(IF(DATOS_[id]=DATOS_[[#This Row],[id]],DATOS_[F.fin.cal]))=DATOS_[[#This Row],[F.fin.cal]],"Sí","NO")</f>
        <v>Sí</v>
      </c>
      <c r="BT136" s="137" t="str">
        <f aca="false">IF(AND(DATOS_[[#This Row],[% normaliz]]&lt;&gt;1,DATOS_[[#This Row],[% anualiz]]=1),"Sí","NO")</f>
        <v>Sí</v>
      </c>
      <c r="BU136" s="137" t="str">
        <f aca="false">IF(AND(DATOS_[[#This Row],[% normaliz]]=1,DATOS_[[#This Row],[% anualiz]]&lt;&gt;1),"Sí","NO")</f>
        <v>NO</v>
      </c>
      <c r="BV136" s="137" t="str">
        <f aca="false">IF(AND(DATOS_[[#This Row],[% normaliz]]&lt;&gt;1,DATOS_[[#This Row],[% anualiz]]&lt;&gt;1),"Sí","NO")</f>
        <v>NO</v>
      </c>
      <c r="BW136" s="137" t="str">
        <f aca="false">+IF(DATOS_[[#This Row],[% normaliz]]*DATOS_[[#This Row],[% anualiz]]=1,"NO","Sí")</f>
        <v>Sí</v>
      </c>
      <c r="BX136" s="138" t="e">
        <f aca="false">(DATOS_[[#This Row],[S.BASE]]*(1/DATOS_[[#This Row],[% normaliz]])*(1/DATOS_[[#This Row],[% anualiz]]))*IF(DATOS_[[#This Row],[Check Equiparado]]="Sí",1,0)</f>
        <v>#DIV/0!</v>
      </c>
      <c r="BY1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 s="138" t="e">
        <f aca="false">+DATOS_[[#This Row],[SALARIO BASE Eq]]+DATOS_[[#This Row],[Tot COMPL.SAL Eq]]</f>
        <v>#DIV/0!</v>
      </c>
      <c r="CA136" s="138" t="e">
        <f aca="false" t="array" ref="CA136:CA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 s="138" t="e">
        <f aca="false">+DATOS_[[#This Row],[TOTAL SALARIO Eq]]+DATOS_[[#This Row],[Tot Extrasalarial Eq]]</f>
        <v>#DIV/0!</v>
      </c>
      <c r="CC136" s="139" t="n">
        <f aca="false">DATOS_[[#This Row],[S.BASE]]</f>
        <v>0</v>
      </c>
      <c r="CD136" s="139" t="n">
        <f aca="false">+SUM(DATOS_[[#This Row],[Conc.Sal.01]:[Conc.Sal.30]])</f>
        <v>0</v>
      </c>
      <c r="CE136" s="139" t="n">
        <f aca="false">+DATOS_[[#This Row],[SALARIO BASE Ef]]+DATOS_[[#This Row],[Tot COMPL.SAL Ef]]</f>
        <v>0</v>
      </c>
      <c r="CF136" s="139" t="n">
        <f aca="false">+SUM(DATOS_[[#This Row],[C.Extra.01]:[C.Extra.05]])</f>
        <v>0</v>
      </c>
      <c r="CG136" s="139" t="n">
        <f aca="false">+DATOS_[[#This Row],[TOTAL SALARIO Ef]]+DATOS_[[#This Row],[Tot Extrasalarial Ef]]</f>
        <v>0</v>
      </c>
      <c r="CH136" s="140" t="n">
        <f aca="false">MIN(IF(DATOS_[[#This Row],[Fecha Fin Contrato]]="",$D$4,DATOS_[[#This Row],[Fecha Fin Contrato]]),$D$4)-MAX(DATOS_[[#This Row],[Fecha de Contratación]],$D$3)+1</f>
        <v>1</v>
      </c>
      <c r="CI136" s="141" t="str">
        <f aca="false">IF(COUNTIFS(DATOS_[id],DATOS_[[#This Row],[id]])&gt;1,DATOS_[[#This Row],[id]],"")</f>
        <v/>
      </c>
      <c r="CJ136" s="141" t="n">
        <f aca="false">(Inicio!$G$10-DATOS_[[#This Row],[Fecha Nacimiento]])/365.25</f>
        <v>0</v>
      </c>
      <c r="CK136" s="141" t="n">
        <f aca="false">(Inicio!$G$10-DATOS_[[#This Row],[Fecha de Antigüedad]])/365.25</f>
        <v>0</v>
      </c>
      <c r="CL136" s="141" t="e">
        <f aca="false">+VLOOKUP(DATOS_[[#This Row],[Clave de Contrato]],TblTiposContrato13[],3,0)</f>
        <v>#N/A</v>
      </c>
      <c r="CM136" s="141" t="e">
        <f aca="false">+VLOOKUP(DATOS_[[#This Row],[Clave de Contrato]],TblTiposContrato13[],4,0)</f>
        <v>#N/A</v>
      </c>
      <c r="CN136" s="141" t="str">
        <f aca="false">VLOOKUP(DATOS_[[#This Row],[Edad]],CONTRATOS!TblRngEdad,2,1)</f>
        <v>20  o menos</v>
      </c>
      <c r="CO136" s="141" t="str">
        <f aca="false">VLOOKUP(DATOS_[[#This Row],[Antigüedad]],TblRngAntg14[],2,1)</f>
        <v>0 a 1 años</v>
      </c>
    </row>
    <row r="137" customFormat="false" ht="13.8" hidden="false" customHeight="false" outlineLevel="0" collapsed="false">
      <c r="D137" s="128"/>
      <c r="E137" s="129"/>
      <c r="F137" s="129"/>
      <c r="G137" s="129"/>
      <c r="H137" s="130"/>
      <c r="I137" s="131"/>
      <c r="J137" s="128"/>
      <c r="K137" s="132"/>
      <c r="L137" s="132"/>
      <c r="M137" s="133"/>
      <c r="N137" s="133"/>
      <c r="O137" s="133"/>
      <c r="P137" s="129"/>
      <c r="Z137" s="75"/>
      <c r="AA137" s="76"/>
      <c r="AB137" s="76"/>
      <c r="AC137" s="129"/>
      <c r="AD137" s="134"/>
      <c r="AE137" s="134"/>
      <c r="AF137" s="134"/>
      <c r="AG137" s="134"/>
      <c r="AH137" s="134"/>
      <c r="AI137" s="134"/>
      <c r="AJ137" s="134"/>
      <c r="AK137" s="134"/>
      <c r="AL137" s="134"/>
      <c r="AM137" s="134"/>
      <c r="AN137" s="134"/>
      <c r="AO137" s="134"/>
      <c r="AP137" s="134"/>
      <c r="AQ137" s="134"/>
      <c r="AR137" s="134"/>
      <c r="AS137" s="134"/>
      <c r="AT137" s="134"/>
      <c r="AU137" s="134"/>
      <c r="AV137" s="134"/>
      <c r="AW137" s="134"/>
      <c r="AX137" s="134"/>
      <c r="AY137" s="134"/>
      <c r="AZ137" s="134"/>
      <c r="BA137" s="134"/>
      <c r="BB137" s="134"/>
      <c r="BC137" s="134"/>
      <c r="BD137" s="134"/>
      <c r="BE137" s="134"/>
      <c r="BF137" s="134"/>
      <c r="BG137" s="134"/>
      <c r="BH137" s="134"/>
      <c r="BI137" s="134"/>
      <c r="BJ137" s="134"/>
      <c r="BK137" s="134"/>
      <c r="BL137" s="134"/>
      <c r="BM137" s="135"/>
      <c r="BN137" s="136" t="n">
        <f aca="false">+MAX($D$3,DATOS_[[#This Row],[Fecha Inicio Sit. Contract.]])</f>
        <v>0</v>
      </c>
      <c r="BO137" s="136" t="n">
        <f aca="false">+MIN($D$4,DATOS_[[#This Row],[Fecha Fin Sit. Contract.]])</f>
        <v>0</v>
      </c>
      <c r="BP137" s="137" t="n">
        <f aca="false">+DATOS_[[#This Row],[% de jornada]]*IF(DATOS_[[#This Row],[% jornada reducida]]="",1,DATOS_[[#This Row],[% jornada reducida]])</f>
        <v>0</v>
      </c>
      <c r="BQ137" s="137" t="n">
        <f aca="false">+(DATOS_[[#This Row],[F.fin.cal]]-DATOS_[[#This Row],[F.ini.cal]]+1)/($D$4-$D$3+1)</f>
        <v>1</v>
      </c>
      <c r="BR137" s="137" t="str">
        <f aca="false">IF(OR(AND(DATOS_[[#This Row],[Fecha Fin Contrato]]&lt;$D$3,DATOS_[[#This Row],[Fecha Fin Contrato]]&lt;&gt;""),DATOS_[[#This Row],[Fecha de Contratación]]&gt;$D$4),"Fuera","Dentro")</f>
        <v>Dentro</v>
      </c>
      <c r="BS137" s="137" t="str">
        <f aca="false" t="array" ref="BS137:BS137">IF(MAX(IF(DATOS_[id]=DATOS_[[#This Row],[id]],DATOS_[F.fin.cal]))=DATOS_[[#This Row],[F.fin.cal]],"Sí","NO")</f>
        <v>Sí</v>
      </c>
      <c r="BT137" s="137" t="str">
        <f aca="false">IF(AND(DATOS_[[#This Row],[% normaliz]]&lt;&gt;1,DATOS_[[#This Row],[% anualiz]]=1),"Sí","NO")</f>
        <v>Sí</v>
      </c>
      <c r="BU137" s="137" t="str">
        <f aca="false">IF(AND(DATOS_[[#This Row],[% normaliz]]=1,DATOS_[[#This Row],[% anualiz]]&lt;&gt;1),"Sí","NO")</f>
        <v>NO</v>
      </c>
      <c r="BV137" s="137" t="str">
        <f aca="false">IF(AND(DATOS_[[#This Row],[% normaliz]]&lt;&gt;1,DATOS_[[#This Row],[% anualiz]]&lt;&gt;1),"Sí","NO")</f>
        <v>NO</v>
      </c>
      <c r="BW137" s="137" t="str">
        <f aca="false">+IF(DATOS_[[#This Row],[% normaliz]]*DATOS_[[#This Row],[% anualiz]]=1,"NO","Sí")</f>
        <v>Sí</v>
      </c>
      <c r="BX137" s="138" t="e">
        <f aca="false">(DATOS_[[#This Row],[S.BASE]]*(1/DATOS_[[#This Row],[% normaliz]])*(1/DATOS_[[#This Row],[% anualiz]]))*IF(DATOS_[[#This Row],[Check Equiparado]]="Sí",1,0)</f>
        <v>#DIV/0!</v>
      </c>
      <c r="BY1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 s="138" t="e">
        <f aca="false">+DATOS_[[#This Row],[SALARIO BASE Eq]]+DATOS_[[#This Row],[Tot COMPL.SAL Eq]]</f>
        <v>#DIV/0!</v>
      </c>
      <c r="CA137" s="138" t="e">
        <f aca="false" t="array" ref="CA137:CA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 s="138" t="e">
        <f aca="false">+DATOS_[[#This Row],[TOTAL SALARIO Eq]]+DATOS_[[#This Row],[Tot Extrasalarial Eq]]</f>
        <v>#DIV/0!</v>
      </c>
      <c r="CC137" s="139" t="n">
        <f aca="false">DATOS_[[#This Row],[S.BASE]]</f>
        <v>0</v>
      </c>
      <c r="CD137" s="139" t="n">
        <f aca="false">+SUM(DATOS_[[#This Row],[Conc.Sal.01]:[Conc.Sal.30]])</f>
        <v>0</v>
      </c>
      <c r="CE137" s="139" t="n">
        <f aca="false">+DATOS_[[#This Row],[SALARIO BASE Ef]]+DATOS_[[#This Row],[Tot COMPL.SAL Ef]]</f>
        <v>0</v>
      </c>
      <c r="CF137" s="139" t="n">
        <f aca="false">+SUM(DATOS_[[#This Row],[C.Extra.01]:[C.Extra.05]])</f>
        <v>0</v>
      </c>
      <c r="CG137" s="139" t="n">
        <f aca="false">+DATOS_[[#This Row],[TOTAL SALARIO Ef]]+DATOS_[[#This Row],[Tot Extrasalarial Ef]]</f>
        <v>0</v>
      </c>
      <c r="CH137" s="140" t="n">
        <f aca="false">MIN(IF(DATOS_[[#This Row],[Fecha Fin Contrato]]="",$D$4,DATOS_[[#This Row],[Fecha Fin Contrato]]),$D$4)-MAX(DATOS_[[#This Row],[Fecha de Contratación]],$D$3)+1</f>
        <v>1</v>
      </c>
      <c r="CI137" s="141" t="str">
        <f aca="false">IF(COUNTIFS(DATOS_[id],DATOS_[[#This Row],[id]])&gt;1,DATOS_[[#This Row],[id]],"")</f>
        <v/>
      </c>
      <c r="CJ137" s="141" t="n">
        <f aca="false">(Inicio!$G$10-DATOS_[[#This Row],[Fecha Nacimiento]])/365.25</f>
        <v>0</v>
      </c>
      <c r="CK137" s="141" t="n">
        <f aca="false">(Inicio!$G$10-DATOS_[[#This Row],[Fecha de Antigüedad]])/365.25</f>
        <v>0</v>
      </c>
      <c r="CL137" s="141" t="e">
        <f aca="false">+VLOOKUP(DATOS_[[#This Row],[Clave de Contrato]],TblTiposContrato13[],3,0)</f>
        <v>#N/A</v>
      </c>
      <c r="CM137" s="141" t="e">
        <f aca="false">+VLOOKUP(DATOS_[[#This Row],[Clave de Contrato]],TblTiposContrato13[],4,0)</f>
        <v>#N/A</v>
      </c>
      <c r="CN137" s="141" t="str">
        <f aca="false">VLOOKUP(DATOS_[[#This Row],[Edad]],CONTRATOS!TblRngEdad,2,1)</f>
        <v>20  o menos</v>
      </c>
      <c r="CO137" s="141" t="str">
        <f aca="false">VLOOKUP(DATOS_[[#This Row],[Antigüedad]],TblRngAntg14[],2,1)</f>
        <v>0 a 1 años</v>
      </c>
    </row>
    <row r="138" customFormat="false" ht="13.8" hidden="false" customHeight="false" outlineLevel="0" collapsed="false">
      <c r="D138" s="128"/>
      <c r="E138" s="129"/>
      <c r="F138" s="129"/>
      <c r="G138" s="129"/>
      <c r="H138" s="130"/>
      <c r="I138" s="131"/>
      <c r="J138" s="128"/>
      <c r="K138" s="132"/>
      <c r="L138" s="132"/>
      <c r="M138" s="133"/>
      <c r="N138" s="133"/>
      <c r="O138" s="133"/>
      <c r="P138" s="129"/>
      <c r="Z138" s="75"/>
      <c r="AA138" s="76"/>
      <c r="AB138" s="76"/>
      <c r="AC138" s="129"/>
      <c r="AD138" s="134"/>
      <c r="AE138" s="134"/>
      <c r="AF138" s="134"/>
      <c r="AG138" s="134"/>
      <c r="AH138" s="134"/>
      <c r="AI138" s="134"/>
      <c r="AJ138" s="134"/>
      <c r="AK138" s="134"/>
      <c r="AL138" s="134"/>
      <c r="AM138" s="134"/>
      <c r="AN138" s="134"/>
      <c r="AO138" s="134"/>
      <c r="AP138" s="134"/>
      <c r="AQ138" s="134"/>
      <c r="AR138" s="134"/>
      <c r="AS138" s="134"/>
      <c r="AT138" s="134"/>
      <c r="AU138" s="134"/>
      <c r="AV138" s="134"/>
      <c r="AW138" s="134"/>
      <c r="AX138" s="134"/>
      <c r="AY138" s="134"/>
      <c r="AZ138" s="134"/>
      <c r="BA138" s="134"/>
      <c r="BB138" s="134"/>
      <c r="BC138" s="134"/>
      <c r="BD138" s="134"/>
      <c r="BE138" s="134"/>
      <c r="BF138" s="134"/>
      <c r="BG138" s="134"/>
      <c r="BH138" s="134"/>
      <c r="BI138" s="134"/>
      <c r="BJ138" s="134"/>
      <c r="BK138" s="134"/>
      <c r="BL138" s="134"/>
      <c r="BM138" s="135"/>
      <c r="BN138" s="136" t="n">
        <f aca="false">+MAX($D$3,DATOS_[[#This Row],[Fecha Inicio Sit. Contract.]])</f>
        <v>0</v>
      </c>
      <c r="BO138" s="136" t="n">
        <f aca="false">+MIN($D$4,DATOS_[[#This Row],[Fecha Fin Sit. Contract.]])</f>
        <v>0</v>
      </c>
      <c r="BP138" s="137" t="n">
        <f aca="false">+DATOS_[[#This Row],[% de jornada]]*IF(DATOS_[[#This Row],[% jornada reducida]]="",1,DATOS_[[#This Row],[% jornada reducida]])</f>
        <v>0</v>
      </c>
      <c r="BQ138" s="137" t="n">
        <f aca="false">+(DATOS_[[#This Row],[F.fin.cal]]-DATOS_[[#This Row],[F.ini.cal]]+1)/($D$4-$D$3+1)</f>
        <v>1</v>
      </c>
      <c r="BR138" s="137" t="str">
        <f aca="false">IF(OR(AND(DATOS_[[#This Row],[Fecha Fin Contrato]]&lt;$D$3,DATOS_[[#This Row],[Fecha Fin Contrato]]&lt;&gt;""),DATOS_[[#This Row],[Fecha de Contratación]]&gt;$D$4),"Fuera","Dentro")</f>
        <v>Dentro</v>
      </c>
      <c r="BS138" s="137" t="str">
        <f aca="false" t="array" ref="BS138:BS138">IF(MAX(IF(DATOS_[id]=DATOS_[[#This Row],[id]],DATOS_[F.fin.cal]))=DATOS_[[#This Row],[F.fin.cal]],"Sí","NO")</f>
        <v>Sí</v>
      </c>
      <c r="BT138" s="137" t="str">
        <f aca="false">IF(AND(DATOS_[[#This Row],[% normaliz]]&lt;&gt;1,DATOS_[[#This Row],[% anualiz]]=1),"Sí","NO")</f>
        <v>Sí</v>
      </c>
      <c r="BU138" s="137" t="str">
        <f aca="false">IF(AND(DATOS_[[#This Row],[% normaliz]]=1,DATOS_[[#This Row],[% anualiz]]&lt;&gt;1),"Sí","NO")</f>
        <v>NO</v>
      </c>
      <c r="BV138" s="137" t="str">
        <f aca="false">IF(AND(DATOS_[[#This Row],[% normaliz]]&lt;&gt;1,DATOS_[[#This Row],[% anualiz]]&lt;&gt;1),"Sí","NO")</f>
        <v>NO</v>
      </c>
      <c r="BW138" s="137" t="str">
        <f aca="false">+IF(DATOS_[[#This Row],[% normaliz]]*DATOS_[[#This Row],[% anualiz]]=1,"NO","Sí")</f>
        <v>Sí</v>
      </c>
      <c r="BX138" s="138" t="e">
        <f aca="false">(DATOS_[[#This Row],[S.BASE]]*(1/DATOS_[[#This Row],[% normaliz]])*(1/DATOS_[[#This Row],[% anualiz]]))*IF(DATOS_[[#This Row],[Check Equiparado]]="Sí",1,0)</f>
        <v>#DIV/0!</v>
      </c>
      <c r="BY1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 s="138" t="e">
        <f aca="false">+DATOS_[[#This Row],[SALARIO BASE Eq]]+DATOS_[[#This Row],[Tot COMPL.SAL Eq]]</f>
        <v>#DIV/0!</v>
      </c>
      <c r="CA138" s="138" t="e">
        <f aca="false" t="array" ref="CA138:CA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 s="138" t="e">
        <f aca="false">+DATOS_[[#This Row],[TOTAL SALARIO Eq]]+DATOS_[[#This Row],[Tot Extrasalarial Eq]]</f>
        <v>#DIV/0!</v>
      </c>
      <c r="CC138" s="139" t="n">
        <f aca="false">DATOS_[[#This Row],[S.BASE]]</f>
        <v>0</v>
      </c>
      <c r="CD138" s="139" t="n">
        <f aca="false">+SUM(DATOS_[[#This Row],[Conc.Sal.01]:[Conc.Sal.30]])</f>
        <v>0</v>
      </c>
      <c r="CE138" s="139" t="n">
        <f aca="false">+DATOS_[[#This Row],[SALARIO BASE Ef]]+DATOS_[[#This Row],[Tot COMPL.SAL Ef]]</f>
        <v>0</v>
      </c>
      <c r="CF138" s="139" t="n">
        <f aca="false">+SUM(DATOS_[[#This Row],[C.Extra.01]:[C.Extra.05]])</f>
        <v>0</v>
      </c>
      <c r="CG138" s="139" t="n">
        <f aca="false">+DATOS_[[#This Row],[TOTAL SALARIO Ef]]+DATOS_[[#This Row],[Tot Extrasalarial Ef]]</f>
        <v>0</v>
      </c>
      <c r="CH138" s="140" t="n">
        <f aca="false">MIN(IF(DATOS_[[#This Row],[Fecha Fin Contrato]]="",$D$4,DATOS_[[#This Row],[Fecha Fin Contrato]]),$D$4)-MAX(DATOS_[[#This Row],[Fecha de Contratación]],$D$3)+1</f>
        <v>1</v>
      </c>
      <c r="CI138" s="141" t="str">
        <f aca="false">IF(COUNTIFS(DATOS_[id],DATOS_[[#This Row],[id]])&gt;1,DATOS_[[#This Row],[id]],"")</f>
        <v/>
      </c>
      <c r="CJ138" s="141" t="n">
        <f aca="false">(Inicio!$G$10-DATOS_[[#This Row],[Fecha Nacimiento]])/365.25</f>
        <v>0</v>
      </c>
      <c r="CK138" s="141" t="n">
        <f aca="false">(Inicio!$G$10-DATOS_[[#This Row],[Fecha de Antigüedad]])/365.25</f>
        <v>0</v>
      </c>
      <c r="CL138" s="141" t="e">
        <f aca="false">+VLOOKUP(DATOS_[[#This Row],[Clave de Contrato]],TblTiposContrato13[],3,0)</f>
        <v>#N/A</v>
      </c>
      <c r="CM138" s="141" t="e">
        <f aca="false">+VLOOKUP(DATOS_[[#This Row],[Clave de Contrato]],TblTiposContrato13[],4,0)</f>
        <v>#N/A</v>
      </c>
      <c r="CN138" s="141" t="str">
        <f aca="false">VLOOKUP(DATOS_[[#This Row],[Edad]],CONTRATOS!TblRngEdad,2,1)</f>
        <v>20  o menos</v>
      </c>
      <c r="CO138" s="141" t="str">
        <f aca="false">VLOOKUP(DATOS_[[#This Row],[Antigüedad]],TblRngAntg14[],2,1)</f>
        <v>0 a 1 años</v>
      </c>
    </row>
    <row r="139" customFormat="false" ht="13.8" hidden="false" customHeight="false" outlineLevel="0" collapsed="false">
      <c r="D139" s="128"/>
      <c r="E139" s="129"/>
      <c r="F139" s="129"/>
      <c r="G139" s="129"/>
      <c r="H139" s="130"/>
      <c r="I139" s="131"/>
      <c r="J139" s="128"/>
      <c r="K139" s="132"/>
      <c r="L139" s="132"/>
      <c r="M139" s="133"/>
      <c r="N139" s="133"/>
      <c r="O139" s="133"/>
      <c r="P139" s="129"/>
      <c r="Z139" s="75"/>
      <c r="AA139" s="76"/>
      <c r="AB139" s="76"/>
      <c r="AC139" s="129"/>
      <c r="AD139" s="134"/>
      <c r="AE139" s="134"/>
      <c r="AF139" s="134"/>
      <c r="AG139" s="134"/>
      <c r="AH139" s="134"/>
      <c r="AI139" s="134"/>
      <c r="AJ139" s="134"/>
      <c r="AK139" s="134"/>
      <c r="AL139" s="134"/>
      <c r="AM139" s="134"/>
      <c r="AN139" s="134"/>
      <c r="AO139" s="134"/>
      <c r="AP139" s="134"/>
      <c r="AQ139" s="134"/>
      <c r="AR139" s="134"/>
      <c r="AS139" s="134"/>
      <c r="AT139" s="134"/>
      <c r="AU139" s="134"/>
      <c r="AV139" s="134"/>
      <c r="AW139" s="134"/>
      <c r="AX139" s="134"/>
      <c r="AY139" s="134"/>
      <c r="AZ139" s="134"/>
      <c r="BA139" s="134"/>
      <c r="BB139" s="134"/>
      <c r="BC139" s="134"/>
      <c r="BD139" s="134"/>
      <c r="BE139" s="134"/>
      <c r="BF139" s="134"/>
      <c r="BG139" s="134"/>
      <c r="BH139" s="134"/>
      <c r="BI139" s="134"/>
      <c r="BJ139" s="134"/>
      <c r="BK139" s="134"/>
      <c r="BL139" s="134"/>
      <c r="BM139" s="135"/>
      <c r="BN139" s="136" t="n">
        <f aca="false">+MAX($D$3,DATOS_[[#This Row],[Fecha Inicio Sit. Contract.]])</f>
        <v>0</v>
      </c>
      <c r="BO139" s="136" t="n">
        <f aca="false">+MIN($D$4,DATOS_[[#This Row],[Fecha Fin Sit. Contract.]])</f>
        <v>0</v>
      </c>
      <c r="BP139" s="137" t="n">
        <f aca="false">+DATOS_[[#This Row],[% de jornada]]*IF(DATOS_[[#This Row],[% jornada reducida]]="",1,DATOS_[[#This Row],[% jornada reducida]])</f>
        <v>0</v>
      </c>
      <c r="BQ139" s="137" t="n">
        <f aca="false">+(DATOS_[[#This Row],[F.fin.cal]]-DATOS_[[#This Row],[F.ini.cal]]+1)/($D$4-$D$3+1)</f>
        <v>1</v>
      </c>
      <c r="BR139" s="137" t="str">
        <f aca="false">IF(OR(AND(DATOS_[[#This Row],[Fecha Fin Contrato]]&lt;$D$3,DATOS_[[#This Row],[Fecha Fin Contrato]]&lt;&gt;""),DATOS_[[#This Row],[Fecha de Contratación]]&gt;$D$4),"Fuera","Dentro")</f>
        <v>Dentro</v>
      </c>
      <c r="BS139" s="137" t="str">
        <f aca="false" t="array" ref="BS139:BS139">IF(MAX(IF(DATOS_[id]=DATOS_[[#This Row],[id]],DATOS_[F.fin.cal]))=DATOS_[[#This Row],[F.fin.cal]],"Sí","NO")</f>
        <v>Sí</v>
      </c>
      <c r="BT139" s="137" t="str">
        <f aca="false">IF(AND(DATOS_[[#This Row],[% normaliz]]&lt;&gt;1,DATOS_[[#This Row],[% anualiz]]=1),"Sí","NO")</f>
        <v>Sí</v>
      </c>
      <c r="BU139" s="137" t="str">
        <f aca="false">IF(AND(DATOS_[[#This Row],[% normaliz]]=1,DATOS_[[#This Row],[% anualiz]]&lt;&gt;1),"Sí","NO")</f>
        <v>NO</v>
      </c>
      <c r="BV139" s="137" t="str">
        <f aca="false">IF(AND(DATOS_[[#This Row],[% normaliz]]&lt;&gt;1,DATOS_[[#This Row],[% anualiz]]&lt;&gt;1),"Sí","NO")</f>
        <v>NO</v>
      </c>
      <c r="BW139" s="137" t="str">
        <f aca="false">+IF(DATOS_[[#This Row],[% normaliz]]*DATOS_[[#This Row],[% anualiz]]=1,"NO","Sí")</f>
        <v>Sí</v>
      </c>
      <c r="BX139" s="138" t="e">
        <f aca="false">(DATOS_[[#This Row],[S.BASE]]*(1/DATOS_[[#This Row],[% normaliz]])*(1/DATOS_[[#This Row],[% anualiz]]))*IF(DATOS_[[#This Row],[Check Equiparado]]="Sí",1,0)</f>
        <v>#DIV/0!</v>
      </c>
      <c r="BY1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 s="138" t="e">
        <f aca="false">+DATOS_[[#This Row],[SALARIO BASE Eq]]+DATOS_[[#This Row],[Tot COMPL.SAL Eq]]</f>
        <v>#DIV/0!</v>
      </c>
      <c r="CA139" s="138" t="e">
        <f aca="false" t="array" ref="CA139:CA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 s="138" t="e">
        <f aca="false">+DATOS_[[#This Row],[TOTAL SALARIO Eq]]+DATOS_[[#This Row],[Tot Extrasalarial Eq]]</f>
        <v>#DIV/0!</v>
      </c>
      <c r="CC139" s="139" t="n">
        <f aca="false">DATOS_[[#This Row],[S.BASE]]</f>
        <v>0</v>
      </c>
      <c r="CD139" s="139" t="n">
        <f aca="false">+SUM(DATOS_[[#This Row],[Conc.Sal.01]:[Conc.Sal.30]])</f>
        <v>0</v>
      </c>
      <c r="CE139" s="139" t="n">
        <f aca="false">+DATOS_[[#This Row],[SALARIO BASE Ef]]+DATOS_[[#This Row],[Tot COMPL.SAL Ef]]</f>
        <v>0</v>
      </c>
      <c r="CF139" s="139" t="n">
        <f aca="false">+SUM(DATOS_[[#This Row],[C.Extra.01]:[C.Extra.05]])</f>
        <v>0</v>
      </c>
      <c r="CG139" s="139" t="n">
        <f aca="false">+DATOS_[[#This Row],[TOTAL SALARIO Ef]]+DATOS_[[#This Row],[Tot Extrasalarial Ef]]</f>
        <v>0</v>
      </c>
      <c r="CH139" s="140" t="n">
        <f aca="false">MIN(IF(DATOS_[[#This Row],[Fecha Fin Contrato]]="",$D$4,DATOS_[[#This Row],[Fecha Fin Contrato]]),$D$4)-MAX(DATOS_[[#This Row],[Fecha de Contratación]],$D$3)+1</f>
        <v>1</v>
      </c>
      <c r="CI139" s="141" t="str">
        <f aca="false">IF(COUNTIFS(DATOS_[id],DATOS_[[#This Row],[id]])&gt;1,DATOS_[[#This Row],[id]],"")</f>
        <v/>
      </c>
      <c r="CJ139" s="141" t="n">
        <f aca="false">(Inicio!$G$10-DATOS_[[#This Row],[Fecha Nacimiento]])/365.25</f>
        <v>0</v>
      </c>
      <c r="CK139" s="141" t="n">
        <f aca="false">(Inicio!$G$10-DATOS_[[#This Row],[Fecha de Antigüedad]])/365.25</f>
        <v>0</v>
      </c>
      <c r="CL139" s="141" t="e">
        <f aca="false">+VLOOKUP(DATOS_[[#This Row],[Clave de Contrato]],TblTiposContrato13[],3,0)</f>
        <v>#N/A</v>
      </c>
      <c r="CM139" s="141" t="e">
        <f aca="false">+VLOOKUP(DATOS_[[#This Row],[Clave de Contrato]],TblTiposContrato13[],4,0)</f>
        <v>#N/A</v>
      </c>
      <c r="CN139" s="141" t="str">
        <f aca="false">VLOOKUP(DATOS_[[#This Row],[Edad]],CONTRATOS!TblRngEdad,2,1)</f>
        <v>20  o menos</v>
      </c>
      <c r="CO139" s="141" t="str">
        <f aca="false">VLOOKUP(DATOS_[[#This Row],[Antigüedad]],TblRngAntg14[],2,1)</f>
        <v>0 a 1 años</v>
      </c>
    </row>
    <row r="140" customFormat="false" ht="13.8" hidden="false" customHeight="false" outlineLevel="0" collapsed="false">
      <c r="D140" s="128"/>
      <c r="E140" s="129"/>
      <c r="F140" s="129"/>
      <c r="G140" s="129"/>
      <c r="H140" s="130"/>
      <c r="I140" s="131"/>
      <c r="J140" s="128"/>
      <c r="K140" s="132"/>
      <c r="L140" s="132"/>
      <c r="M140" s="133"/>
      <c r="N140" s="133"/>
      <c r="O140" s="133"/>
      <c r="P140" s="129"/>
      <c r="Z140" s="75"/>
      <c r="AA140" s="76"/>
      <c r="AB140" s="76"/>
      <c r="AC140" s="129"/>
      <c r="AD140" s="134"/>
      <c r="AE140" s="134"/>
      <c r="AF140" s="134"/>
      <c r="AG140" s="134"/>
      <c r="AH140" s="134"/>
      <c r="AI140" s="134"/>
      <c r="AJ140" s="134"/>
      <c r="AK140" s="134"/>
      <c r="AL140" s="134"/>
      <c r="AM140" s="134"/>
      <c r="AN140" s="134"/>
      <c r="AO140" s="134"/>
      <c r="AP140" s="134"/>
      <c r="AQ140" s="134"/>
      <c r="AR140" s="134"/>
      <c r="AS140" s="134"/>
      <c r="AT140" s="134"/>
      <c r="AU140" s="134"/>
      <c r="AV140" s="134"/>
      <c r="AW140" s="134"/>
      <c r="AX140" s="134"/>
      <c r="AY140" s="134"/>
      <c r="AZ140" s="134"/>
      <c r="BA140" s="134"/>
      <c r="BB140" s="134"/>
      <c r="BC140" s="134"/>
      <c r="BD140" s="134"/>
      <c r="BE140" s="134"/>
      <c r="BF140" s="134"/>
      <c r="BG140" s="134"/>
      <c r="BH140" s="134"/>
      <c r="BI140" s="134"/>
      <c r="BJ140" s="134"/>
      <c r="BK140" s="134"/>
      <c r="BL140" s="134"/>
      <c r="BM140" s="135"/>
      <c r="BN140" s="136" t="n">
        <f aca="false">+MAX($D$3,DATOS_[[#This Row],[Fecha Inicio Sit. Contract.]])</f>
        <v>0</v>
      </c>
      <c r="BO140" s="136" t="n">
        <f aca="false">+MIN($D$4,DATOS_[[#This Row],[Fecha Fin Sit. Contract.]])</f>
        <v>0</v>
      </c>
      <c r="BP140" s="137" t="n">
        <f aca="false">+DATOS_[[#This Row],[% de jornada]]*IF(DATOS_[[#This Row],[% jornada reducida]]="",1,DATOS_[[#This Row],[% jornada reducida]])</f>
        <v>0</v>
      </c>
      <c r="BQ140" s="137" t="n">
        <f aca="false">+(DATOS_[[#This Row],[F.fin.cal]]-DATOS_[[#This Row],[F.ini.cal]]+1)/($D$4-$D$3+1)</f>
        <v>1</v>
      </c>
      <c r="BR140" s="137" t="str">
        <f aca="false">IF(OR(AND(DATOS_[[#This Row],[Fecha Fin Contrato]]&lt;$D$3,DATOS_[[#This Row],[Fecha Fin Contrato]]&lt;&gt;""),DATOS_[[#This Row],[Fecha de Contratación]]&gt;$D$4),"Fuera","Dentro")</f>
        <v>Dentro</v>
      </c>
      <c r="BS140" s="137" t="str">
        <f aca="false" t="array" ref="BS140:BS140">IF(MAX(IF(DATOS_[id]=DATOS_[[#This Row],[id]],DATOS_[F.fin.cal]))=DATOS_[[#This Row],[F.fin.cal]],"Sí","NO")</f>
        <v>Sí</v>
      </c>
      <c r="BT140" s="137" t="str">
        <f aca="false">IF(AND(DATOS_[[#This Row],[% normaliz]]&lt;&gt;1,DATOS_[[#This Row],[% anualiz]]=1),"Sí","NO")</f>
        <v>Sí</v>
      </c>
      <c r="BU140" s="137" t="str">
        <f aca="false">IF(AND(DATOS_[[#This Row],[% normaliz]]=1,DATOS_[[#This Row],[% anualiz]]&lt;&gt;1),"Sí","NO")</f>
        <v>NO</v>
      </c>
      <c r="BV140" s="137" t="str">
        <f aca="false">IF(AND(DATOS_[[#This Row],[% normaliz]]&lt;&gt;1,DATOS_[[#This Row],[% anualiz]]&lt;&gt;1),"Sí","NO")</f>
        <v>NO</v>
      </c>
      <c r="BW140" s="137" t="str">
        <f aca="false">+IF(DATOS_[[#This Row],[% normaliz]]*DATOS_[[#This Row],[% anualiz]]=1,"NO","Sí")</f>
        <v>Sí</v>
      </c>
      <c r="BX140" s="138" t="e">
        <f aca="false">(DATOS_[[#This Row],[S.BASE]]*(1/DATOS_[[#This Row],[% normaliz]])*(1/DATOS_[[#This Row],[% anualiz]]))*IF(DATOS_[[#This Row],[Check Equiparado]]="Sí",1,0)</f>
        <v>#DIV/0!</v>
      </c>
      <c r="BY1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 s="138" t="e">
        <f aca="false">+DATOS_[[#This Row],[SALARIO BASE Eq]]+DATOS_[[#This Row],[Tot COMPL.SAL Eq]]</f>
        <v>#DIV/0!</v>
      </c>
      <c r="CA140" s="138" t="e">
        <f aca="false" t="array" ref="CA140:CA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 s="138" t="e">
        <f aca="false">+DATOS_[[#This Row],[TOTAL SALARIO Eq]]+DATOS_[[#This Row],[Tot Extrasalarial Eq]]</f>
        <v>#DIV/0!</v>
      </c>
      <c r="CC140" s="139" t="n">
        <f aca="false">DATOS_[[#This Row],[S.BASE]]</f>
        <v>0</v>
      </c>
      <c r="CD140" s="139" t="n">
        <f aca="false">+SUM(DATOS_[[#This Row],[Conc.Sal.01]:[Conc.Sal.30]])</f>
        <v>0</v>
      </c>
      <c r="CE140" s="139" t="n">
        <f aca="false">+DATOS_[[#This Row],[SALARIO BASE Ef]]+DATOS_[[#This Row],[Tot COMPL.SAL Ef]]</f>
        <v>0</v>
      </c>
      <c r="CF140" s="139" t="n">
        <f aca="false">+SUM(DATOS_[[#This Row],[C.Extra.01]:[C.Extra.05]])</f>
        <v>0</v>
      </c>
      <c r="CG140" s="139" t="n">
        <f aca="false">+DATOS_[[#This Row],[TOTAL SALARIO Ef]]+DATOS_[[#This Row],[Tot Extrasalarial Ef]]</f>
        <v>0</v>
      </c>
      <c r="CH140" s="140" t="n">
        <f aca="false">MIN(IF(DATOS_[[#This Row],[Fecha Fin Contrato]]="",$D$4,DATOS_[[#This Row],[Fecha Fin Contrato]]),$D$4)-MAX(DATOS_[[#This Row],[Fecha de Contratación]],$D$3)+1</f>
        <v>1</v>
      </c>
      <c r="CI140" s="141" t="str">
        <f aca="false">IF(COUNTIFS(DATOS_[id],DATOS_[[#This Row],[id]])&gt;1,DATOS_[[#This Row],[id]],"")</f>
        <v/>
      </c>
      <c r="CJ140" s="141" t="n">
        <f aca="false">(Inicio!$G$10-DATOS_[[#This Row],[Fecha Nacimiento]])/365.25</f>
        <v>0</v>
      </c>
      <c r="CK140" s="141" t="n">
        <f aca="false">(Inicio!$G$10-DATOS_[[#This Row],[Fecha de Antigüedad]])/365.25</f>
        <v>0</v>
      </c>
      <c r="CL140" s="141" t="e">
        <f aca="false">+VLOOKUP(DATOS_[[#This Row],[Clave de Contrato]],TblTiposContrato13[],3,0)</f>
        <v>#N/A</v>
      </c>
      <c r="CM140" s="141" t="e">
        <f aca="false">+VLOOKUP(DATOS_[[#This Row],[Clave de Contrato]],TblTiposContrato13[],4,0)</f>
        <v>#N/A</v>
      </c>
      <c r="CN140" s="141" t="str">
        <f aca="false">VLOOKUP(DATOS_[[#This Row],[Edad]],CONTRATOS!TblRngEdad,2,1)</f>
        <v>20  o menos</v>
      </c>
      <c r="CO140" s="141" t="str">
        <f aca="false">VLOOKUP(DATOS_[[#This Row],[Antigüedad]],TblRngAntg14[],2,1)</f>
        <v>0 a 1 años</v>
      </c>
    </row>
    <row r="141" customFormat="false" ht="13.8" hidden="false" customHeight="false" outlineLevel="0" collapsed="false">
      <c r="D141" s="128"/>
      <c r="E141" s="129"/>
      <c r="F141" s="129"/>
      <c r="G141" s="129"/>
      <c r="H141" s="130"/>
      <c r="I141" s="131"/>
      <c r="J141" s="128"/>
      <c r="K141" s="132"/>
      <c r="L141" s="132"/>
      <c r="M141" s="133"/>
      <c r="N141" s="133"/>
      <c r="O141" s="133"/>
      <c r="P141" s="129"/>
      <c r="Z141" s="75"/>
      <c r="AA141" s="76"/>
      <c r="AB141" s="76"/>
      <c r="AC141" s="129"/>
      <c r="AD141" s="134"/>
      <c r="AE141" s="134"/>
      <c r="AF141" s="134"/>
      <c r="AG141" s="134"/>
      <c r="AH141" s="134"/>
      <c r="AI141" s="134"/>
      <c r="AJ141" s="134"/>
      <c r="AK141" s="134"/>
      <c r="AL141" s="134"/>
      <c r="AM141" s="134"/>
      <c r="AN141" s="134"/>
      <c r="AO141" s="134"/>
      <c r="AP141" s="134"/>
      <c r="AQ141" s="134"/>
      <c r="AR141" s="134"/>
      <c r="AS141" s="134"/>
      <c r="AT141" s="134"/>
      <c r="AU141" s="134"/>
      <c r="AV141" s="134"/>
      <c r="AW141" s="134"/>
      <c r="AX141" s="134"/>
      <c r="AY141" s="134"/>
      <c r="AZ141" s="134"/>
      <c r="BA141" s="134"/>
      <c r="BB141" s="134"/>
      <c r="BC141" s="134"/>
      <c r="BD141" s="134"/>
      <c r="BE141" s="134"/>
      <c r="BF141" s="134"/>
      <c r="BG141" s="134"/>
      <c r="BH141" s="134"/>
      <c r="BI141" s="134"/>
      <c r="BJ141" s="134"/>
      <c r="BK141" s="134"/>
      <c r="BL141" s="134"/>
      <c r="BM141" s="135"/>
      <c r="BN141" s="136" t="n">
        <f aca="false">+MAX($D$3,DATOS_[[#This Row],[Fecha Inicio Sit. Contract.]])</f>
        <v>0</v>
      </c>
      <c r="BO141" s="136" t="n">
        <f aca="false">+MIN($D$4,DATOS_[[#This Row],[Fecha Fin Sit. Contract.]])</f>
        <v>0</v>
      </c>
      <c r="BP141" s="137" t="n">
        <f aca="false">+DATOS_[[#This Row],[% de jornada]]*IF(DATOS_[[#This Row],[% jornada reducida]]="",1,DATOS_[[#This Row],[% jornada reducida]])</f>
        <v>0</v>
      </c>
      <c r="BQ141" s="137" t="n">
        <f aca="false">+(DATOS_[[#This Row],[F.fin.cal]]-DATOS_[[#This Row],[F.ini.cal]]+1)/($D$4-$D$3+1)</f>
        <v>1</v>
      </c>
      <c r="BR141" s="137" t="str">
        <f aca="false">IF(OR(AND(DATOS_[[#This Row],[Fecha Fin Contrato]]&lt;$D$3,DATOS_[[#This Row],[Fecha Fin Contrato]]&lt;&gt;""),DATOS_[[#This Row],[Fecha de Contratación]]&gt;$D$4),"Fuera","Dentro")</f>
        <v>Dentro</v>
      </c>
      <c r="BS141" s="137" t="str">
        <f aca="false" t="array" ref="BS141:BS141">IF(MAX(IF(DATOS_[id]=DATOS_[[#This Row],[id]],DATOS_[F.fin.cal]))=DATOS_[[#This Row],[F.fin.cal]],"Sí","NO")</f>
        <v>Sí</v>
      </c>
      <c r="BT141" s="137" t="str">
        <f aca="false">IF(AND(DATOS_[[#This Row],[% normaliz]]&lt;&gt;1,DATOS_[[#This Row],[% anualiz]]=1),"Sí","NO")</f>
        <v>Sí</v>
      </c>
      <c r="BU141" s="137" t="str">
        <f aca="false">IF(AND(DATOS_[[#This Row],[% normaliz]]=1,DATOS_[[#This Row],[% anualiz]]&lt;&gt;1),"Sí","NO")</f>
        <v>NO</v>
      </c>
      <c r="BV141" s="137" t="str">
        <f aca="false">IF(AND(DATOS_[[#This Row],[% normaliz]]&lt;&gt;1,DATOS_[[#This Row],[% anualiz]]&lt;&gt;1),"Sí","NO")</f>
        <v>NO</v>
      </c>
      <c r="BW141" s="137" t="str">
        <f aca="false">+IF(DATOS_[[#This Row],[% normaliz]]*DATOS_[[#This Row],[% anualiz]]=1,"NO","Sí")</f>
        <v>Sí</v>
      </c>
      <c r="BX141" s="138" t="e">
        <f aca="false">(DATOS_[[#This Row],[S.BASE]]*(1/DATOS_[[#This Row],[% normaliz]])*(1/DATOS_[[#This Row],[% anualiz]]))*IF(DATOS_[[#This Row],[Check Equiparado]]="Sí",1,0)</f>
        <v>#DIV/0!</v>
      </c>
      <c r="BY1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 s="138" t="e">
        <f aca="false">+DATOS_[[#This Row],[SALARIO BASE Eq]]+DATOS_[[#This Row],[Tot COMPL.SAL Eq]]</f>
        <v>#DIV/0!</v>
      </c>
      <c r="CA141" s="138" t="e">
        <f aca="false" t="array" ref="CA141:CA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 s="138" t="e">
        <f aca="false">+DATOS_[[#This Row],[TOTAL SALARIO Eq]]+DATOS_[[#This Row],[Tot Extrasalarial Eq]]</f>
        <v>#DIV/0!</v>
      </c>
      <c r="CC141" s="139" t="n">
        <f aca="false">DATOS_[[#This Row],[S.BASE]]</f>
        <v>0</v>
      </c>
      <c r="CD141" s="139" t="n">
        <f aca="false">+SUM(DATOS_[[#This Row],[Conc.Sal.01]:[Conc.Sal.30]])</f>
        <v>0</v>
      </c>
      <c r="CE141" s="139" t="n">
        <f aca="false">+DATOS_[[#This Row],[SALARIO BASE Ef]]+DATOS_[[#This Row],[Tot COMPL.SAL Ef]]</f>
        <v>0</v>
      </c>
      <c r="CF141" s="139" t="n">
        <f aca="false">+SUM(DATOS_[[#This Row],[C.Extra.01]:[C.Extra.05]])</f>
        <v>0</v>
      </c>
      <c r="CG141" s="139" t="n">
        <f aca="false">+DATOS_[[#This Row],[TOTAL SALARIO Ef]]+DATOS_[[#This Row],[Tot Extrasalarial Ef]]</f>
        <v>0</v>
      </c>
      <c r="CH141" s="140" t="n">
        <f aca="false">MIN(IF(DATOS_[[#This Row],[Fecha Fin Contrato]]="",$D$4,DATOS_[[#This Row],[Fecha Fin Contrato]]),$D$4)-MAX(DATOS_[[#This Row],[Fecha de Contratación]],$D$3)+1</f>
        <v>1</v>
      </c>
      <c r="CI141" s="141" t="str">
        <f aca="false">IF(COUNTIFS(DATOS_[id],DATOS_[[#This Row],[id]])&gt;1,DATOS_[[#This Row],[id]],"")</f>
        <v/>
      </c>
      <c r="CJ141" s="141" t="n">
        <f aca="false">(Inicio!$G$10-DATOS_[[#This Row],[Fecha Nacimiento]])/365.25</f>
        <v>0</v>
      </c>
      <c r="CK141" s="141" t="n">
        <f aca="false">(Inicio!$G$10-DATOS_[[#This Row],[Fecha de Antigüedad]])/365.25</f>
        <v>0</v>
      </c>
      <c r="CL141" s="141" t="e">
        <f aca="false">+VLOOKUP(DATOS_[[#This Row],[Clave de Contrato]],TblTiposContrato13[],3,0)</f>
        <v>#N/A</v>
      </c>
      <c r="CM141" s="141" t="e">
        <f aca="false">+VLOOKUP(DATOS_[[#This Row],[Clave de Contrato]],TblTiposContrato13[],4,0)</f>
        <v>#N/A</v>
      </c>
      <c r="CN141" s="141" t="str">
        <f aca="false">VLOOKUP(DATOS_[[#This Row],[Edad]],CONTRATOS!TblRngEdad,2,1)</f>
        <v>20  o menos</v>
      </c>
      <c r="CO141" s="141" t="str">
        <f aca="false">VLOOKUP(DATOS_[[#This Row],[Antigüedad]],TblRngAntg14[],2,1)</f>
        <v>0 a 1 años</v>
      </c>
    </row>
    <row r="142" customFormat="false" ht="13.8" hidden="false" customHeight="false" outlineLevel="0" collapsed="false">
      <c r="D142" s="128"/>
      <c r="E142" s="129"/>
      <c r="F142" s="129"/>
      <c r="G142" s="129"/>
      <c r="H142" s="130"/>
      <c r="I142" s="131"/>
      <c r="J142" s="128"/>
      <c r="K142" s="132"/>
      <c r="L142" s="132"/>
      <c r="M142" s="133"/>
      <c r="N142" s="133"/>
      <c r="O142" s="133"/>
      <c r="P142" s="129"/>
      <c r="Z142" s="75"/>
      <c r="AA142" s="76"/>
      <c r="AB142" s="76"/>
      <c r="AC142" s="129"/>
      <c r="AD142" s="134"/>
      <c r="AE142" s="134"/>
      <c r="AF142" s="134"/>
      <c r="AG142" s="134"/>
      <c r="AH142" s="134"/>
      <c r="AI142" s="134"/>
      <c r="AJ142" s="134"/>
      <c r="AK142" s="134"/>
      <c r="AL142" s="134"/>
      <c r="AM142" s="134"/>
      <c r="AN142" s="134"/>
      <c r="AO142" s="134"/>
      <c r="AP142" s="134"/>
      <c r="AQ142" s="134"/>
      <c r="AR142" s="134"/>
      <c r="AS142" s="134"/>
      <c r="AT142" s="134"/>
      <c r="AU142" s="134"/>
      <c r="AV142" s="134"/>
      <c r="AW142" s="134"/>
      <c r="AX142" s="134"/>
      <c r="AY142" s="134"/>
      <c r="AZ142" s="134"/>
      <c r="BA142" s="134"/>
      <c r="BB142" s="134"/>
      <c r="BC142" s="134"/>
      <c r="BD142" s="134"/>
      <c r="BE142" s="134"/>
      <c r="BF142" s="134"/>
      <c r="BG142" s="134"/>
      <c r="BH142" s="134"/>
      <c r="BI142" s="134"/>
      <c r="BJ142" s="134"/>
      <c r="BK142" s="134"/>
      <c r="BL142" s="134"/>
      <c r="BM142" s="135"/>
      <c r="BN142" s="136" t="n">
        <f aca="false">+MAX($D$3,DATOS_[[#This Row],[Fecha Inicio Sit. Contract.]])</f>
        <v>0</v>
      </c>
      <c r="BO142" s="136" t="n">
        <f aca="false">+MIN($D$4,DATOS_[[#This Row],[Fecha Fin Sit. Contract.]])</f>
        <v>0</v>
      </c>
      <c r="BP142" s="137" t="n">
        <f aca="false">+DATOS_[[#This Row],[% de jornada]]*IF(DATOS_[[#This Row],[% jornada reducida]]="",1,DATOS_[[#This Row],[% jornada reducida]])</f>
        <v>0</v>
      </c>
      <c r="BQ142" s="137" t="n">
        <f aca="false">+(DATOS_[[#This Row],[F.fin.cal]]-DATOS_[[#This Row],[F.ini.cal]]+1)/($D$4-$D$3+1)</f>
        <v>1</v>
      </c>
      <c r="BR142" s="137" t="str">
        <f aca="false">IF(OR(AND(DATOS_[[#This Row],[Fecha Fin Contrato]]&lt;$D$3,DATOS_[[#This Row],[Fecha Fin Contrato]]&lt;&gt;""),DATOS_[[#This Row],[Fecha de Contratación]]&gt;$D$4),"Fuera","Dentro")</f>
        <v>Dentro</v>
      </c>
      <c r="BS142" s="137" t="str">
        <f aca="false" t="array" ref="BS142:BS142">IF(MAX(IF(DATOS_[id]=DATOS_[[#This Row],[id]],DATOS_[F.fin.cal]))=DATOS_[[#This Row],[F.fin.cal]],"Sí","NO")</f>
        <v>Sí</v>
      </c>
      <c r="BT142" s="137" t="str">
        <f aca="false">IF(AND(DATOS_[[#This Row],[% normaliz]]&lt;&gt;1,DATOS_[[#This Row],[% anualiz]]=1),"Sí","NO")</f>
        <v>Sí</v>
      </c>
      <c r="BU142" s="137" t="str">
        <f aca="false">IF(AND(DATOS_[[#This Row],[% normaliz]]=1,DATOS_[[#This Row],[% anualiz]]&lt;&gt;1),"Sí","NO")</f>
        <v>NO</v>
      </c>
      <c r="BV142" s="137" t="str">
        <f aca="false">IF(AND(DATOS_[[#This Row],[% normaliz]]&lt;&gt;1,DATOS_[[#This Row],[% anualiz]]&lt;&gt;1),"Sí","NO")</f>
        <v>NO</v>
      </c>
      <c r="BW142" s="137" t="str">
        <f aca="false">+IF(DATOS_[[#This Row],[% normaliz]]*DATOS_[[#This Row],[% anualiz]]=1,"NO","Sí")</f>
        <v>Sí</v>
      </c>
      <c r="BX142" s="138" t="e">
        <f aca="false">(DATOS_[[#This Row],[S.BASE]]*(1/DATOS_[[#This Row],[% normaliz]])*(1/DATOS_[[#This Row],[% anualiz]]))*IF(DATOS_[[#This Row],[Check Equiparado]]="Sí",1,0)</f>
        <v>#DIV/0!</v>
      </c>
      <c r="BY1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 s="138" t="e">
        <f aca="false">+DATOS_[[#This Row],[SALARIO BASE Eq]]+DATOS_[[#This Row],[Tot COMPL.SAL Eq]]</f>
        <v>#DIV/0!</v>
      </c>
      <c r="CA142" s="138" t="e">
        <f aca="false" t="array" ref="CA142:CA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 s="138" t="e">
        <f aca="false">+DATOS_[[#This Row],[TOTAL SALARIO Eq]]+DATOS_[[#This Row],[Tot Extrasalarial Eq]]</f>
        <v>#DIV/0!</v>
      </c>
      <c r="CC142" s="139" t="n">
        <f aca="false">DATOS_[[#This Row],[S.BASE]]</f>
        <v>0</v>
      </c>
      <c r="CD142" s="139" t="n">
        <f aca="false">+SUM(DATOS_[[#This Row],[Conc.Sal.01]:[Conc.Sal.30]])</f>
        <v>0</v>
      </c>
      <c r="CE142" s="139" t="n">
        <f aca="false">+DATOS_[[#This Row],[SALARIO BASE Ef]]+DATOS_[[#This Row],[Tot COMPL.SAL Ef]]</f>
        <v>0</v>
      </c>
      <c r="CF142" s="139" t="n">
        <f aca="false">+SUM(DATOS_[[#This Row],[C.Extra.01]:[C.Extra.05]])</f>
        <v>0</v>
      </c>
      <c r="CG142" s="139" t="n">
        <f aca="false">+DATOS_[[#This Row],[TOTAL SALARIO Ef]]+DATOS_[[#This Row],[Tot Extrasalarial Ef]]</f>
        <v>0</v>
      </c>
      <c r="CH142" s="140" t="n">
        <f aca="false">MIN(IF(DATOS_[[#This Row],[Fecha Fin Contrato]]="",$D$4,DATOS_[[#This Row],[Fecha Fin Contrato]]),$D$4)-MAX(DATOS_[[#This Row],[Fecha de Contratación]],$D$3)+1</f>
        <v>1</v>
      </c>
      <c r="CI142" s="141" t="str">
        <f aca="false">IF(COUNTIFS(DATOS_[id],DATOS_[[#This Row],[id]])&gt;1,DATOS_[[#This Row],[id]],"")</f>
        <v/>
      </c>
      <c r="CJ142" s="141" t="n">
        <f aca="false">(Inicio!$G$10-DATOS_[[#This Row],[Fecha Nacimiento]])/365.25</f>
        <v>0</v>
      </c>
      <c r="CK142" s="141" t="n">
        <f aca="false">(Inicio!$G$10-DATOS_[[#This Row],[Fecha de Antigüedad]])/365.25</f>
        <v>0</v>
      </c>
      <c r="CL142" s="141" t="e">
        <f aca="false">+VLOOKUP(DATOS_[[#This Row],[Clave de Contrato]],TblTiposContrato13[],3,0)</f>
        <v>#N/A</v>
      </c>
      <c r="CM142" s="141" t="e">
        <f aca="false">+VLOOKUP(DATOS_[[#This Row],[Clave de Contrato]],TblTiposContrato13[],4,0)</f>
        <v>#N/A</v>
      </c>
      <c r="CN142" s="141" t="str">
        <f aca="false">VLOOKUP(DATOS_[[#This Row],[Edad]],CONTRATOS!TblRngEdad,2,1)</f>
        <v>20  o menos</v>
      </c>
      <c r="CO142" s="141" t="str">
        <f aca="false">VLOOKUP(DATOS_[[#This Row],[Antigüedad]],TblRngAntg14[],2,1)</f>
        <v>0 a 1 años</v>
      </c>
    </row>
    <row r="143" customFormat="false" ht="13.8" hidden="false" customHeight="false" outlineLevel="0" collapsed="false">
      <c r="D143" s="128"/>
      <c r="E143" s="129"/>
      <c r="F143" s="129"/>
      <c r="G143" s="129"/>
      <c r="H143" s="130"/>
      <c r="I143" s="131"/>
      <c r="J143" s="128"/>
      <c r="K143" s="132"/>
      <c r="L143" s="132"/>
      <c r="M143" s="133"/>
      <c r="N143" s="133"/>
      <c r="O143" s="133"/>
      <c r="P143" s="129"/>
      <c r="Z143" s="75"/>
      <c r="AA143" s="76"/>
      <c r="AB143" s="76"/>
      <c r="AC143" s="129"/>
      <c r="AD143" s="134"/>
      <c r="AE143" s="134"/>
      <c r="AF143" s="134"/>
      <c r="AG143" s="134"/>
      <c r="AH143" s="134"/>
      <c r="AI143" s="134"/>
      <c r="AJ143" s="134"/>
      <c r="AK143" s="134"/>
      <c r="AL143" s="134"/>
      <c r="AM143" s="134"/>
      <c r="AN143" s="134"/>
      <c r="AO143" s="134"/>
      <c r="AP143" s="134"/>
      <c r="AQ143" s="134"/>
      <c r="AR143" s="134"/>
      <c r="AS143" s="134"/>
      <c r="AT143" s="134"/>
      <c r="AU143" s="134"/>
      <c r="AV143" s="134"/>
      <c r="AW143" s="134"/>
      <c r="AX143" s="134"/>
      <c r="AY143" s="134"/>
      <c r="AZ143" s="134"/>
      <c r="BA143" s="134"/>
      <c r="BB143" s="134"/>
      <c r="BC143" s="134"/>
      <c r="BD143" s="134"/>
      <c r="BE143" s="134"/>
      <c r="BF143" s="134"/>
      <c r="BG143" s="134"/>
      <c r="BH143" s="134"/>
      <c r="BI143" s="134"/>
      <c r="BJ143" s="134"/>
      <c r="BK143" s="134"/>
      <c r="BL143" s="134"/>
      <c r="BM143" s="135"/>
      <c r="BN143" s="136" t="n">
        <f aca="false">+MAX($D$3,DATOS_[[#This Row],[Fecha Inicio Sit. Contract.]])</f>
        <v>0</v>
      </c>
      <c r="BO143" s="136" t="n">
        <f aca="false">+MIN($D$4,DATOS_[[#This Row],[Fecha Fin Sit. Contract.]])</f>
        <v>0</v>
      </c>
      <c r="BP143" s="137" t="n">
        <f aca="false">+DATOS_[[#This Row],[% de jornada]]*IF(DATOS_[[#This Row],[% jornada reducida]]="",1,DATOS_[[#This Row],[% jornada reducida]])</f>
        <v>0</v>
      </c>
      <c r="BQ143" s="137" t="n">
        <f aca="false">+(DATOS_[[#This Row],[F.fin.cal]]-DATOS_[[#This Row],[F.ini.cal]]+1)/($D$4-$D$3+1)</f>
        <v>1</v>
      </c>
      <c r="BR143" s="137" t="str">
        <f aca="false">IF(OR(AND(DATOS_[[#This Row],[Fecha Fin Contrato]]&lt;$D$3,DATOS_[[#This Row],[Fecha Fin Contrato]]&lt;&gt;""),DATOS_[[#This Row],[Fecha de Contratación]]&gt;$D$4),"Fuera","Dentro")</f>
        <v>Dentro</v>
      </c>
      <c r="BS143" s="137" t="str">
        <f aca="false" t="array" ref="BS143:BS143">IF(MAX(IF(DATOS_[id]=DATOS_[[#This Row],[id]],DATOS_[F.fin.cal]))=DATOS_[[#This Row],[F.fin.cal]],"Sí","NO")</f>
        <v>Sí</v>
      </c>
      <c r="BT143" s="137" t="str">
        <f aca="false">IF(AND(DATOS_[[#This Row],[% normaliz]]&lt;&gt;1,DATOS_[[#This Row],[% anualiz]]=1),"Sí","NO")</f>
        <v>Sí</v>
      </c>
      <c r="BU143" s="137" t="str">
        <f aca="false">IF(AND(DATOS_[[#This Row],[% normaliz]]=1,DATOS_[[#This Row],[% anualiz]]&lt;&gt;1),"Sí","NO")</f>
        <v>NO</v>
      </c>
      <c r="BV143" s="137" t="str">
        <f aca="false">IF(AND(DATOS_[[#This Row],[% normaliz]]&lt;&gt;1,DATOS_[[#This Row],[% anualiz]]&lt;&gt;1),"Sí","NO")</f>
        <v>NO</v>
      </c>
      <c r="BW143" s="137" t="str">
        <f aca="false">+IF(DATOS_[[#This Row],[% normaliz]]*DATOS_[[#This Row],[% anualiz]]=1,"NO","Sí")</f>
        <v>Sí</v>
      </c>
      <c r="BX143" s="138" t="e">
        <f aca="false">(DATOS_[[#This Row],[S.BASE]]*(1/DATOS_[[#This Row],[% normaliz]])*(1/DATOS_[[#This Row],[% anualiz]]))*IF(DATOS_[[#This Row],[Check Equiparado]]="Sí",1,0)</f>
        <v>#DIV/0!</v>
      </c>
      <c r="BY1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 s="138" t="e">
        <f aca="false">+DATOS_[[#This Row],[SALARIO BASE Eq]]+DATOS_[[#This Row],[Tot COMPL.SAL Eq]]</f>
        <v>#DIV/0!</v>
      </c>
      <c r="CA143" s="138" t="e">
        <f aca="false" t="array" ref="CA143:CA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 s="138" t="e">
        <f aca="false">+DATOS_[[#This Row],[TOTAL SALARIO Eq]]+DATOS_[[#This Row],[Tot Extrasalarial Eq]]</f>
        <v>#DIV/0!</v>
      </c>
      <c r="CC143" s="139" t="n">
        <f aca="false">DATOS_[[#This Row],[S.BASE]]</f>
        <v>0</v>
      </c>
      <c r="CD143" s="139" t="n">
        <f aca="false">+SUM(DATOS_[[#This Row],[Conc.Sal.01]:[Conc.Sal.30]])</f>
        <v>0</v>
      </c>
      <c r="CE143" s="139" t="n">
        <f aca="false">+DATOS_[[#This Row],[SALARIO BASE Ef]]+DATOS_[[#This Row],[Tot COMPL.SAL Ef]]</f>
        <v>0</v>
      </c>
      <c r="CF143" s="139" t="n">
        <f aca="false">+SUM(DATOS_[[#This Row],[C.Extra.01]:[C.Extra.05]])</f>
        <v>0</v>
      </c>
      <c r="CG143" s="139" t="n">
        <f aca="false">+DATOS_[[#This Row],[TOTAL SALARIO Ef]]+DATOS_[[#This Row],[Tot Extrasalarial Ef]]</f>
        <v>0</v>
      </c>
      <c r="CH143" s="140" t="n">
        <f aca="false">MIN(IF(DATOS_[[#This Row],[Fecha Fin Contrato]]="",$D$4,DATOS_[[#This Row],[Fecha Fin Contrato]]),$D$4)-MAX(DATOS_[[#This Row],[Fecha de Contratación]],$D$3)+1</f>
        <v>1</v>
      </c>
      <c r="CI143" s="141" t="str">
        <f aca="false">IF(COUNTIFS(DATOS_[id],DATOS_[[#This Row],[id]])&gt;1,DATOS_[[#This Row],[id]],"")</f>
        <v/>
      </c>
      <c r="CJ143" s="141" t="n">
        <f aca="false">(Inicio!$G$10-DATOS_[[#This Row],[Fecha Nacimiento]])/365.25</f>
        <v>0</v>
      </c>
      <c r="CK143" s="141" t="n">
        <f aca="false">(Inicio!$G$10-DATOS_[[#This Row],[Fecha de Antigüedad]])/365.25</f>
        <v>0</v>
      </c>
      <c r="CL143" s="141" t="e">
        <f aca="false">+VLOOKUP(DATOS_[[#This Row],[Clave de Contrato]],TblTiposContrato13[],3,0)</f>
        <v>#N/A</v>
      </c>
      <c r="CM143" s="141" t="e">
        <f aca="false">+VLOOKUP(DATOS_[[#This Row],[Clave de Contrato]],TblTiposContrato13[],4,0)</f>
        <v>#N/A</v>
      </c>
      <c r="CN143" s="141" t="str">
        <f aca="false">VLOOKUP(DATOS_[[#This Row],[Edad]],CONTRATOS!TblRngEdad,2,1)</f>
        <v>20  o menos</v>
      </c>
      <c r="CO143" s="141" t="str">
        <f aca="false">VLOOKUP(DATOS_[[#This Row],[Antigüedad]],TblRngAntg14[],2,1)</f>
        <v>0 a 1 años</v>
      </c>
    </row>
    <row r="144" customFormat="false" ht="13.8" hidden="false" customHeight="false" outlineLevel="0" collapsed="false">
      <c r="D144" s="128"/>
      <c r="E144" s="129"/>
      <c r="F144" s="129"/>
      <c r="G144" s="129"/>
      <c r="H144" s="130"/>
      <c r="I144" s="131"/>
      <c r="J144" s="128"/>
      <c r="K144" s="132"/>
      <c r="L144" s="132"/>
      <c r="M144" s="133"/>
      <c r="N144" s="133"/>
      <c r="O144" s="133"/>
      <c r="P144" s="129"/>
      <c r="Z144" s="75"/>
      <c r="AA144" s="76"/>
      <c r="AB144" s="76"/>
      <c r="AC144" s="129"/>
      <c r="AD144" s="134"/>
      <c r="AE144" s="134"/>
      <c r="AF144" s="134"/>
      <c r="AG144" s="134"/>
      <c r="AH144" s="134"/>
      <c r="AI144" s="134"/>
      <c r="AJ144" s="134"/>
      <c r="AK144" s="134"/>
      <c r="AL144" s="134"/>
      <c r="AM144" s="134"/>
      <c r="AN144" s="134"/>
      <c r="AO144" s="134"/>
      <c r="AP144" s="134"/>
      <c r="AQ144" s="134"/>
      <c r="AR144" s="134"/>
      <c r="AS144" s="134"/>
      <c r="AT144" s="134"/>
      <c r="AU144" s="134"/>
      <c r="AV144" s="134"/>
      <c r="AW144" s="134"/>
      <c r="AX144" s="134"/>
      <c r="AY144" s="134"/>
      <c r="AZ144" s="134"/>
      <c r="BA144" s="134"/>
      <c r="BB144" s="134"/>
      <c r="BC144" s="134"/>
      <c r="BD144" s="134"/>
      <c r="BE144" s="134"/>
      <c r="BF144" s="134"/>
      <c r="BG144" s="134"/>
      <c r="BH144" s="134"/>
      <c r="BI144" s="134"/>
      <c r="BJ144" s="134"/>
      <c r="BK144" s="134"/>
      <c r="BL144" s="134"/>
      <c r="BM144" s="135"/>
      <c r="BN144" s="136" t="n">
        <f aca="false">+MAX($D$3,DATOS_[[#This Row],[Fecha Inicio Sit. Contract.]])</f>
        <v>0</v>
      </c>
      <c r="BO144" s="136" t="n">
        <f aca="false">+MIN($D$4,DATOS_[[#This Row],[Fecha Fin Sit. Contract.]])</f>
        <v>0</v>
      </c>
      <c r="BP144" s="137" t="n">
        <f aca="false">+DATOS_[[#This Row],[% de jornada]]*IF(DATOS_[[#This Row],[% jornada reducida]]="",1,DATOS_[[#This Row],[% jornada reducida]])</f>
        <v>0</v>
      </c>
      <c r="BQ144" s="137" t="n">
        <f aca="false">+(DATOS_[[#This Row],[F.fin.cal]]-DATOS_[[#This Row],[F.ini.cal]]+1)/($D$4-$D$3+1)</f>
        <v>1</v>
      </c>
      <c r="BR144" s="137" t="str">
        <f aca="false">IF(OR(AND(DATOS_[[#This Row],[Fecha Fin Contrato]]&lt;$D$3,DATOS_[[#This Row],[Fecha Fin Contrato]]&lt;&gt;""),DATOS_[[#This Row],[Fecha de Contratación]]&gt;$D$4),"Fuera","Dentro")</f>
        <v>Dentro</v>
      </c>
      <c r="BS144" s="137" t="str">
        <f aca="false" t="array" ref="BS144:BS144">IF(MAX(IF(DATOS_[id]=DATOS_[[#This Row],[id]],DATOS_[F.fin.cal]))=DATOS_[[#This Row],[F.fin.cal]],"Sí","NO")</f>
        <v>Sí</v>
      </c>
      <c r="BT144" s="137" t="str">
        <f aca="false">IF(AND(DATOS_[[#This Row],[% normaliz]]&lt;&gt;1,DATOS_[[#This Row],[% anualiz]]=1),"Sí","NO")</f>
        <v>Sí</v>
      </c>
      <c r="BU144" s="137" t="str">
        <f aca="false">IF(AND(DATOS_[[#This Row],[% normaliz]]=1,DATOS_[[#This Row],[% anualiz]]&lt;&gt;1),"Sí","NO")</f>
        <v>NO</v>
      </c>
      <c r="BV144" s="137" t="str">
        <f aca="false">IF(AND(DATOS_[[#This Row],[% normaliz]]&lt;&gt;1,DATOS_[[#This Row],[% anualiz]]&lt;&gt;1),"Sí","NO")</f>
        <v>NO</v>
      </c>
      <c r="BW144" s="137" t="str">
        <f aca="false">+IF(DATOS_[[#This Row],[% normaliz]]*DATOS_[[#This Row],[% anualiz]]=1,"NO","Sí")</f>
        <v>Sí</v>
      </c>
      <c r="BX144" s="138" t="e">
        <f aca="false">(DATOS_[[#This Row],[S.BASE]]*(1/DATOS_[[#This Row],[% normaliz]])*(1/DATOS_[[#This Row],[% anualiz]]))*IF(DATOS_[[#This Row],[Check Equiparado]]="Sí",1,0)</f>
        <v>#DIV/0!</v>
      </c>
      <c r="BY1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 s="138" t="e">
        <f aca="false">+DATOS_[[#This Row],[SALARIO BASE Eq]]+DATOS_[[#This Row],[Tot COMPL.SAL Eq]]</f>
        <v>#DIV/0!</v>
      </c>
      <c r="CA144" s="138" t="e">
        <f aca="false" t="array" ref="CA144:CA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 s="138" t="e">
        <f aca="false">+DATOS_[[#This Row],[TOTAL SALARIO Eq]]+DATOS_[[#This Row],[Tot Extrasalarial Eq]]</f>
        <v>#DIV/0!</v>
      </c>
      <c r="CC144" s="139" t="n">
        <f aca="false">DATOS_[[#This Row],[S.BASE]]</f>
        <v>0</v>
      </c>
      <c r="CD144" s="139" t="n">
        <f aca="false">+SUM(DATOS_[[#This Row],[Conc.Sal.01]:[Conc.Sal.30]])</f>
        <v>0</v>
      </c>
      <c r="CE144" s="139" t="n">
        <f aca="false">+DATOS_[[#This Row],[SALARIO BASE Ef]]+DATOS_[[#This Row],[Tot COMPL.SAL Ef]]</f>
        <v>0</v>
      </c>
      <c r="CF144" s="139" t="n">
        <f aca="false">+SUM(DATOS_[[#This Row],[C.Extra.01]:[C.Extra.05]])</f>
        <v>0</v>
      </c>
      <c r="CG144" s="139" t="n">
        <f aca="false">+DATOS_[[#This Row],[TOTAL SALARIO Ef]]+DATOS_[[#This Row],[Tot Extrasalarial Ef]]</f>
        <v>0</v>
      </c>
      <c r="CH144" s="140" t="n">
        <f aca="false">MIN(IF(DATOS_[[#This Row],[Fecha Fin Contrato]]="",$D$4,DATOS_[[#This Row],[Fecha Fin Contrato]]),$D$4)-MAX(DATOS_[[#This Row],[Fecha de Contratación]],$D$3)+1</f>
        <v>1</v>
      </c>
      <c r="CI144" s="141" t="str">
        <f aca="false">IF(COUNTIFS(DATOS_[id],DATOS_[[#This Row],[id]])&gt;1,DATOS_[[#This Row],[id]],"")</f>
        <v/>
      </c>
      <c r="CJ144" s="141" t="n">
        <f aca="false">(Inicio!$G$10-DATOS_[[#This Row],[Fecha Nacimiento]])/365.25</f>
        <v>0</v>
      </c>
      <c r="CK144" s="141" t="n">
        <f aca="false">(Inicio!$G$10-DATOS_[[#This Row],[Fecha de Antigüedad]])/365.25</f>
        <v>0</v>
      </c>
      <c r="CL144" s="141" t="e">
        <f aca="false">+VLOOKUP(DATOS_[[#This Row],[Clave de Contrato]],TblTiposContrato13[],3,0)</f>
        <v>#N/A</v>
      </c>
      <c r="CM144" s="141" t="e">
        <f aca="false">+VLOOKUP(DATOS_[[#This Row],[Clave de Contrato]],TblTiposContrato13[],4,0)</f>
        <v>#N/A</v>
      </c>
      <c r="CN144" s="141" t="str">
        <f aca="false">VLOOKUP(DATOS_[[#This Row],[Edad]],CONTRATOS!TblRngEdad,2,1)</f>
        <v>20  o menos</v>
      </c>
      <c r="CO144" s="141" t="str">
        <f aca="false">VLOOKUP(DATOS_[[#This Row],[Antigüedad]],TblRngAntg14[],2,1)</f>
        <v>0 a 1 años</v>
      </c>
    </row>
    <row r="145" customFormat="false" ht="13.8" hidden="false" customHeight="false" outlineLevel="0" collapsed="false">
      <c r="D145" s="128"/>
      <c r="E145" s="129"/>
      <c r="F145" s="129"/>
      <c r="G145" s="129"/>
      <c r="H145" s="130"/>
      <c r="I145" s="131"/>
      <c r="J145" s="128"/>
      <c r="K145" s="132"/>
      <c r="L145" s="132"/>
      <c r="M145" s="133"/>
      <c r="N145" s="133"/>
      <c r="O145" s="133"/>
      <c r="P145" s="129"/>
      <c r="Z145" s="75"/>
      <c r="AA145" s="76"/>
      <c r="AB145" s="76"/>
      <c r="AC145" s="129"/>
      <c r="AD145" s="134"/>
      <c r="AE145" s="134"/>
      <c r="AF145" s="134"/>
      <c r="AG145" s="134"/>
      <c r="AH145" s="134"/>
      <c r="AI145" s="134"/>
      <c r="AJ145" s="134"/>
      <c r="AK145" s="134"/>
      <c r="AL145" s="134"/>
      <c r="AM145" s="134"/>
      <c r="AN145" s="134"/>
      <c r="AO145" s="134"/>
      <c r="AP145" s="134"/>
      <c r="AQ145" s="134"/>
      <c r="AR145" s="134"/>
      <c r="AS145" s="134"/>
      <c r="AT145" s="134"/>
      <c r="AU145" s="134"/>
      <c r="AV145" s="134"/>
      <c r="AW145" s="134"/>
      <c r="AX145" s="134"/>
      <c r="AY145" s="134"/>
      <c r="AZ145" s="134"/>
      <c r="BA145" s="134"/>
      <c r="BB145" s="134"/>
      <c r="BC145" s="134"/>
      <c r="BD145" s="134"/>
      <c r="BE145" s="134"/>
      <c r="BF145" s="134"/>
      <c r="BG145" s="134"/>
      <c r="BH145" s="134"/>
      <c r="BI145" s="134"/>
      <c r="BJ145" s="134"/>
      <c r="BK145" s="134"/>
      <c r="BL145" s="134"/>
      <c r="BM145" s="135"/>
      <c r="BN145" s="136" t="n">
        <f aca="false">+MAX($D$3,DATOS_[[#This Row],[Fecha Inicio Sit. Contract.]])</f>
        <v>0</v>
      </c>
      <c r="BO145" s="136" t="n">
        <f aca="false">+MIN($D$4,DATOS_[[#This Row],[Fecha Fin Sit. Contract.]])</f>
        <v>0</v>
      </c>
      <c r="BP145" s="137" t="n">
        <f aca="false">+DATOS_[[#This Row],[% de jornada]]*IF(DATOS_[[#This Row],[% jornada reducida]]="",1,DATOS_[[#This Row],[% jornada reducida]])</f>
        <v>0</v>
      </c>
      <c r="BQ145" s="137" t="n">
        <f aca="false">+(DATOS_[[#This Row],[F.fin.cal]]-DATOS_[[#This Row],[F.ini.cal]]+1)/($D$4-$D$3+1)</f>
        <v>1</v>
      </c>
      <c r="BR145" s="137" t="str">
        <f aca="false">IF(OR(AND(DATOS_[[#This Row],[Fecha Fin Contrato]]&lt;$D$3,DATOS_[[#This Row],[Fecha Fin Contrato]]&lt;&gt;""),DATOS_[[#This Row],[Fecha de Contratación]]&gt;$D$4),"Fuera","Dentro")</f>
        <v>Dentro</v>
      </c>
      <c r="BS145" s="137" t="str">
        <f aca="false" t="array" ref="BS145:BS145">IF(MAX(IF(DATOS_[id]=DATOS_[[#This Row],[id]],DATOS_[F.fin.cal]))=DATOS_[[#This Row],[F.fin.cal]],"Sí","NO")</f>
        <v>Sí</v>
      </c>
      <c r="BT145" s="137" t="str">
        <f aca="false">IF(AND(DATOS_[[#This Row],[% normaliz]]&lt;&gt;1,DATOS_[[#This Row],[% anualiz]]=1),"Sí","NO")</f>
        <v>Sí</v>
      </c>
      <c r="BU145" s="137" t="str">
        <f aca="false">IF(AND(DATOS_[[#This Row],[% normaliz]]=1,DATOS_[[#This Row],[% anualiz]]&lt;&gt;1),"Sí","NO")</f>
        <v>NO</v>
      </c>
      <c r="BV145" s="137" t="str">
        <f aca="false">IF(AND(DATOS_[[#This Row],[% normaliz]]&lt;&gt;1,DATOS_[[#This Row],[% anualiz]]&lt;&gt;1),"Sí","NO")</f>
        <v>NO</v>
      </c>
      <c r="BW145" s="137" t="str">
        <f aca="false">+IF(DATOS_[[#This Row],[% normaliz]]*DATOS_[[#This Row],[% anualiz]]=1,"NO","Sí")</f>
        <v>Sí</v>
      </c>
      <c r="BX145" s="138" t="e">
        <f aca="false">(DATOS_[[#This Row],[S.BASE]]*(1/DATOS_[[#This Row],[% normaliz]])*(1/DATOS_[[#This Row],[% anualiz]]))*IF(DATOS_[[#This Row],[Check Equiparado]]="Sí",1,0)</f>
        <v>#DIV/0!</v>
      </c>
      <c r="BY1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 s="138" t="e">
        <f aca="false">+DATOS_[[#This Row],[SALARIO BASE Eq]]+DATOS_[[#This Row],[Tot COMPL.SAL Eq]]</f>
        <v>#DIV/0!</v>
      </c>
      <c r="CA145" s="138" t="e">
        <f aca="false" t="array" ref="CA145:CA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 s="138" t="e">
        <f aca="false">+DATOS_[[#This Row],[TOTAL SALARIO Eq]]+DATOS_[[#This Row],[Tot Extrasalarial Eq]]</f>
        <v>#DIV/0!</v>
      </c>
      <c r="CC145" s="139" t="n">
        <f aca="false">DATOS_[[#This Row],[S.BASE]]</f>
        <v>0</v>
      </c>
      <c r="CD145" s="139" t="n">
        <f aca="false">+SUM(DATOS_[[#This Row],[Conc.Sal.01]:[Conc.Sal.30]])</f>
        <v>0</v>
      </c>
      <c r="CE145" s="139" t="n">
        <f aca="false">+DATOS_[[#This Row],[SALARIO BASE Ef]]+DATOS_[[#This Row],[Tot COMPL.SAL Ef]]</f>
        <v>0</v>
      </c>
      <c r="CF145" s="139" t="n">
        <f aca="false">+SUM(DATOS_[[#This Row],[C.Extra.01]:[C.Extra.05]])</f>
        <v>0</v>
      </c>
      <c r="CG145" s="139" t="n">
        <f aca="false">+DATOS_[[#This Row],[TOTAL SALARIO Ef]]+DATOS_[[#This Row],[Tot Extrasalarial Ef]]</f>
        <v>0</v>
      </c>
      <c r="CH145" s="140" t="n">
        <f aca="false">MIN(IF(DATOS_[[#This Row],[Fecha Fin Contrato]]="",$D$4,DATOS_[[#This Row],[Fecha Fin Contrato]]),$D$4)-MAX(DATOS_[[#This Row],[Fecha de Contratación]],$D$3)+1</f>
        <v>1</v>
      </c>
      <c r="CI145" s="141" t="str">
        <f aca="false">IF(COUNTIFS(DATOS_[id],DATOS_[[#This Row],[id]])&gt;1,DATOS_[[#This Row],[id]],"")</f>
        <v/>
      </c>
      <c r="CJ145" s="141" t="n">
        <f aca="false">(Inicio!$G$10-DATOS_[[#This Row],[Fecha Nacimiento]])/365.25</f>
        <v>0</v>
      </c>
      <c r="CK145" s="141" t="n">
        <f aca="false">(Inicio!$G$10-DATOS_[[#This Row],[Fecha de Antigüedad]])/365.25</f>
        <v>0</v>
      </c>
      <c r="CL145" s="141" t="e">
        <f aca="false">+VLOOKUP(DATOS_[[#This Row],[Clave de Contrato]],TblTiposContrato13[],3,0)</f>
        <v>#N/A</v>
      </c>
      <c r="CM145" s="141" t="e">
        <f aca="false">+VLOOKUP(DATOS_[[#This Row],[Clave de Contrato]],TblTiposContrato13[],4,0)</f>
        <v>#N/A</v>
      </c>
      <c r="CN145" s="141" t="str">
        <f aca="false">VLOOKUP(DATOS_[[#This Row],[Edad]],CONTRATOS!TblRngEdad,2,1)</f>
        <v>20  o menos</v>
      </c>
      <c r="CO145" s="141" t="str">
        <f aca="false">VLOOKUP(DATOS_[[#This Row],[Antigüedad]],TblRngAntg14[],2,1)</f>
        <v>0 a 1 años</v>
      </c>
    </row>
    <row r="146" customFormat="false" ht="13.8" hidden="false" customHeight="false" outlineLevel="0" collapsed="false">
      <c r="D146" s="128"/>
      <c r="E146" s="129"/>
      <c r="F146" s="129"/>
      <c r="G146" s="129"/>
      <c r="H146" s="130"/>
      <c r="I146" s="131"/>
      <c r="J146" s="128"/>
      <c r="K146" s="132"/>
      <c r="L146" s="132"/>
      <c r="M146" s="133"/>
      <c r="N146" s="133"/>
      <c r="O146" s="133"/>
      <c r="P146" s="129"/>
      <c r="Z146" s="75"/>
      <c r="AA146" s="76"/>
      <c r="AB146" s="76"/>
      <c r="AC146" s="129"/>
      <c r="AD146" s="134"/>
      <c r="AE146" s="134"/>
      <c r="AF146" s="134"/>
      <c r="AG146" s="134"/>
      <c r="AH146" s="134"/>
      <c r="AI146" s="134"/>
      <c r="AJ146" s="134"/>
      <c r="AK146" s="134"/>
      <c r="AL146" s="134"/>
      <c r="AM146" s="134"/>
      <c r="AN146" s="134"/>
      <c r="AO146" s="134"/>
      <c r="AP146" s="134"/>
      <c r="AQ146" s="134"/>
      <c r="AR146" s="134"/>
      <c r="AS146" s="134"/>
      <c r="AT146" s="134"/>
      <c r="AU146" s="134"/>
      <c r="AV146" s="134"/>
      <c r="AW146" s="134"/>
      <c r="AX146" s="134"/>
      <c r="AY146" s="134"/>
      <c r="AZ146" s="134"/>
      <c r="BA146" s="134"/>
      <c r="BB146" s="134"/>
      <c r="BC146" s="134"/>
      <c r="BD146" s="134"/>
      <c r="BE146" s="134"/>
      <c r="BF146" s="134"/>
      <c r="BG146" s="134"/>
      <c r="BH146" s="134"/>
      <c r="BI146" s="134"/>
      <c r="BJ146" s="134"/>
      <c r="BK146" s="134"/>
      <c r="BL146" s="134"/>
      <c r="BM146" s="135"/>
      <c r="BN146" s="136" t="n">
        <f aca="false">+MAX($D$3,DATOS_[[#This Row],[Fecha Inicio Sit. Contract.]])</f>
        <v>0</v>
      </c>
      <c r="BO146" s="136" t="n">
        <f aca="false">+MIN($D$4,DATOS_[[#This Row],[Fecha Fin Sit. Contract.]])</f>
        <v>0</v>
      </c>
      <c r="BP146" s="137" t="n">
        <f aca="false">+DATOS_[[#This Row],[% de jornada]]*IF(DATOS_[[#This Row],[% jornada reducida]]="",1,DATOS_[[#This Row],[% jornada reducida]])</f>
        <v>0</v>
      </c>
      <c r="BQ146" s="137" t="n">
        <f aca="false">+(DATOS_[[#This Row],[F.fin.cal]]-DATOS_[[#This Row],[F.ini.cal]]+1)/($D$4-$D$3+1)</f>
        <v>1</v>
      </c>
      <c r="BR146" s="137" t="str">
        <f aca="false">IF(OR(AND(DATOS_[[#This Row],[Fecha Fin Contrato]]&lt;$D$3,DATOS_[[#This Row],[Fecha Fin Contrato]]&lt;&gt;""),DATOS_[[#This Row],[Fecha de Contratación]]&gt;$D$4),"Fuera","Dentro")</f>
        <v>Dentro</v>
      </c>
      <c r="BS146" s="137" t="str">
        <f aca="false" t="array" ref="BS146:BS146">IF(MAX(IF(DATOS_[id]=DATOS_[[#This Row],[id]],DATOS_[F.fin.cal]))=DATOS_[[#This Row],[F.fin.cal]],"Sí","NO")</f>
        <v>Sí</v>
      </c>
      <c r="BT146" s="137" t="str">
        <f aca="false">IF(AND(DATOS_[[#This Row],[% normaliz]]&lt;&gt;1,DATOS_[[#This Row],[% anualiz]]=1),"Sí","NO")</f>
        <v>Sí</v>
      </c>
      <c r="BU146" s="137" t="str">
        <f aca="false">IF(AND(DATOS_[[#This Row],[% normaliz]]=1,DATOS_[[#This Row],[% anualiz]]&lt;&gt;1),"Sí","NO")</f>
        <v>NO</v>
      </c>
      <c r="BV146" s="137" t="str">
        <f aca="false">IF(AND(DATOS_[[#This Row],[% normaliz]]&lt;&gt;1,DATOS_[[#This Row],[% anualiz]]&lt;&gt;1),"Sí","NO")</f>
        <v>NO</v>
      </c>
      <c r="BW146" s="137" t="str">
        <f aca="false">+IF(DATOS_[[#This Row],[% normaliz]]*DATOS_[[#This Row],[% anualiz]]=1,"NO","Sí")</f>
        <v>Sí</v>
      </c>
      <c r="BX146" s="138" t="e">
        <f aca="false">(DATOS_[[#This Row],[S.BASE]]*(1/DATOS_[[#This Row],[% normaliz]])*(1/DATOS_[[#This Row],[% anualiz]]))*IF(DATOS_[[#This Row],[Check Equiparado]]="Sí",1,0)</f>
        <v>#DIV/0!</v>
      </c>
      <c r="BY1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 s="138" t="e">
        <f aca="false">+DATOS_[[#This Row],[SALARIO BASE Eq]]+DATOS_[[#This Row],[Tot COMPL.SAL Eq]]</f>
        <v>#DIV/0!</v>
      </c>
      <c r="CA146" s="138" t="e">
        <f aca="false" t="array" ref="CA146:CA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 s="138" t="e">
        <f aca="false">+DATOS_[[#This Row],[TOTAL SALARIO Eq]]+DATOS_[[#This Row],[Tot Extrasalarial Eq]]</f>
        <v>#DIV/0!</v>
      </c>
      <c r="CC146" s="139" t="n">
        <f aca="false">DATOS_[[#This Row],[S.BASE]]</f>
        <v>0</v>
      </c>
      <c r="CD146" s="139" t="n">
        <f aca="false">+SUM(DATOS_[[#This Row],[Conc.Sal.01]:[Conc.Sal.30]])</f>
        <v>0</v>
      </c>
      <c r="CE146" s="139" t="n">
        <f aca="false">+DATOS_[[#This Row],[SALARIO BASE Ef]]+DATOS_[[#This Row],[Tot COMPL.SAL Ef]]</f>
        <v>0</v>
      </c>
      <c r="CF146" s="139" t="n">
        <f aca="false">+SUM(DATOS_[[#This Row],[C.Extra.01]:[C.Extra.05]])</f>
        <v>0</v>
      </c>
      <c r="CG146" s="139" t="n">
        <f aca="false">+DATOS_[[#This Row],[TOTAL SALARIO Ef]]+DATOS_[[#This Row],[Tot Extrasalarial Ef]]</f>
        <v>0</v>
      </c>
      <c r="CH146" s="140" t="n">
        <f aca="false">MIN(IF(DATOS_[[#This Row],[Fecha Fin Contrato]]="",$D$4,DATOS_[[#This Row],[Fecha Fin Contrato]]),$D$4)-MAX(DATOS_[[#This Row],[Fecha de Contratación]],$D$3)+1</f>
        <v>1</v>
      </c>
      <c r="CI146" s="141" t="str">
        <f aca="false">IF(COUNTIFS(DATOS_[id],DATOS_[[#This Row],[id]])&gt;1,DATOS_[[#This Row],[id]],"")</f>
        <v/>
      </c>
      <c r="CJ146" s="141" t="n">
        <f aca="false">(Inicio!$G$10-DATOS_[[#This Row],[Fecha Nacimiento]])/365.25</f>
        <v>0</v>
      </c>
      <c r="CK146" s="141" t="n">
        <f aca="false">(Inicio!$G$10-DATOS_[[#This Row],[Fecha de Antigüedad]])/365.25</f>
        <v>0</v>
      </c>
      <c r="CL146" s="141" t="e">
        <f aca="false">+VLOOKUP(DATOS_[[#This Row],[Clave de Contrato]],TblTiposContrato13[],3,0)</f>
        <v>#N/A</v>
      </c>
      <c r="CM146" s="141" t="e">
        <f aca="false">+VLOOKUP(DATOS_[[#This Row],[Clave de Contrato]],TblTiposContrato13[],4,0)</f>
        <v>#N/A</v>
      </c>
      <c r="CN146" s="141" t="str">
        <f aca="false">VLOOKUP(DATOS_[[#This Row],[Edad]],CONTRATOS!TblRngEdad,2,1)</f>
        <v>20  o menos</v>
      </c>
      <c r="CO146" s="141" t="str">
        <f aca="false">VLOOKUP(DATOS_[[#This Row],[Antigüedad]],TblRngAntg14[],2,1)</f>
        <v>0 a 1 años</v>
      </c>
    </row>
    <row r="147" customFormat="false" ht="13.8" hidden="false" customHeight="false" outlineLevel="0" collapsed="false">
      <c r="D147" s="128"/>
      <c r="E147" s="129"/>
      <c r="F147" s="129"/>
      <c r="G147" s="129"/>
      <c r="H147" s="130"/>
      <c r="I147" s="131"/>
      <c r="J147" s="128"/>
      <c r="K147" s="132"/>
      <c r="L147" s="132"/>
      <c r="M147" s="133"/>
      <c r="N147" s="133"/>
      <c r="O147" s="133"/>
      <c r="P147" s="129"/>
      <c r="Z147" s="75"/>
      <c r="AA147" s="76"/>
      <c r="AB147" s="76"/>
      <c r="AC147" s="129"/>
      <c r="AD147" s="134"/>
      <c r="AE147" s="134"/>
      <c r="AF147" s="134"/>
      <c r="AG147" s="134"/>
      <c r="AH147" s="134"/>
      <c r="AI147" s="134"/>
      <c r="AJ147" s="134"/>
      <c r="AK147" s="134"/>
      <c r="AL147" s="134"/>
      <c r="AM147" s="134"/>
      <c r="AN147" s="134"/>
      <c r="AO147" s="134"/>
      <c r="AP147" s="134"/>
      <c r="AQ147" s="134"/>
      <c r="AR147" s="134"/>
      <c r="AS147" s="134"/>
      <c r="AT147" s="134"/>
      <c r="AU147" s="134"/>
      <c r="AV147" s="134"/>
      <c r="AW147" s="134"/>
      <c r="AX147" s="134"/>
      <c r="AY147" s="134"/>
      <c r="AZ147" s="134"/>
      <c r="BA147" s="134"/>
      <c r="BB147" s="134"/>
      <c r="BC147" s="134"/>
      <c r="BD147" s="134"/>
      <c r="BE147" s="134"/>
      <c r="BF147" s="134"/>
      <c r="BG147" s="134"/>
      <c r="BH147" s="134"/>
      <c r="BI147" s="134"/>
      <c r="BJ147" s="134"/>
      <c r="BK147" s="134"/>
      <c r="BL147" s="134"/>
      <c r="BM147" s="135"/>
      <c r="BN147" s="136" t="n">
        <f aca="false">+MAX($D$3,DATOS_[[#This Row],[Fecha Inicio Sit. Contract.]])</f>
        <v>0</v>
      </c>
      <c r="BO147" s="136" t="n">
        <f aca="false">+MIN($D$4,DATOS_[[#This Row],[Fecha Fin Sit. Contract.]])</f>
        <v>0</v>
      </c>
      <c r="BP147" s="137" t="n">
        <f aca="false">+DATOS_[[#This Row],[% de jornada]]*IF(DATOS_[[#This Row],[% jornada reducida]]="",1,DATOS_[[#This Row],[% jornada reducida]])</f>
        <v>0</v>
      </c>
      <c r="BQ147" s="137" t="n">
        <f aca="false">+(DATOS_[[#This Row],[F.fin.cal]]-DATOS_[[#This Row],[F.ini.cal]]+1)/($D$4-$D$3+1)</f>
        <v>1</v>
      </c>
      <c r="BR147" s="137" t="str">
        <f aca="false">IF(OR(AND(DATOS_[[#This Row],[Fecha Fin Contrato]]&lt;$D$3,DATOS_[[#This Row],[Fecha Fin Contrato]]&lt;&gt;""),DATOS_[[#This Row],[Fecha de Contratación]]&gt;$D$4),"Fuera","Dentro")</f>
        <v>Dentro</v>
      </c>
      <c r="BS147" s="137" t="str">
        <f aca="false" t="array" ref="BS147:BS147">IF(MAX(IF(DATOS_[id]=DATOS_[[#This Row],[id]],DATOS_[F.fin.cal]))=DATOS_[[#This Row],[F.fin.cal]],"Sí","NO")</f>
        <v>Sí</v>
      </c>
      <c r="BT147" s="137" t="str">
        <f aca="false">IF(AND(DATOS_[[#This Row],[% normaliz]]&lt;&gt;1,DATOS_[[#This Row],[% anualiz]]=1),"Sí","NO")</f>
        <v>Sí</v>
      </c>
      <c r="BU147" s="137" t="str">
        <f aca="false">IF(AND(DATOS_[[#This Row],[% normaliz]]=1,DATOS_[[#This Row],[% anualiz]]&lt;&gt;1),"Sí","NO")</f>
        <v>NO</v>
      </c>
      <c r="BV147" s="137" t="str">
        <f aca="false">IF(AND(DATOS_[[#This Row],[% normaliz]]&lt;&gt;1,DATOS_[[#This Row],[% anualiz]]&lt;&gt;1),"Sí","NO")</f>
        <v>NO</v>
      </c>
      <c r="BW147" s="137" t="str">
        <f aca="false">+IF(DATOS_[[#This Row],[% normaliz]]*DATOS_[[#This Row],[% anualiz]]=1,"NO","Sí")</f>
        <v>Sí</v>
      </c>
      <c r="BX147" s="138" t="e">
        <f aca="false">(DATOS_[[#This Row],[S.BASE]]*(1/DATOS_[[#This Row],[% normaliz]])*(1/DATOS_[[#This Row],[% anualiz]]))*IF(DATOS_[[#This Row],[Check Equiparado]]="Sí",1,0)</f>
        <v>#DIV/0!</v>
      </c>
      <c r="BY1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 s="138" t="e">
        <f aca="false">+DATOS_[[#This Row],[SALARIO BASE Eq]]+DATOS_[[#This Row],[Tot COMPL.SAL Eq]]</f>
        <v>#DIV/0!</v>
      </c>
      <c r="CA147" s="138" t="e">
        <f aca="false" t="array" ref="CA147:CA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 s="138" t="e">
        <f aca="false">+DATOS_[[#This Row],[TOTAL SALARIO Eq]]+DATOS_[[#This Row],[Tot Extrasalarial Eq]]</f>
        <v>#DIV/0!</v>
      </c>
      <c r="CC147" s="139" t="n">
        <f aca="false">DATOS_[[#This Row],[S.BASE]]</f>
        <v>0</v>
      </c>
      <c r="CD147" s="139" t="n">
        <f aca="false">+SUM(DATOS_[[#This Row],[Conc.Sal.01]:[Conc.Sal.30]])</f>
        <v>0</v>
      </c>
      <c r="CE147" s="139" t="n">
        <f aca="false">+DATOS_[[#This Row],[SALARIO BASE Ef]]+DATOS_[[#This Row],[Tot COMPL.SAL Ef]]</f>
        <v>0</v>
      </c>
      <c r="CF147" s="139" t="n">
        <f aca="false">+SUM(DATOS_[[#This Row],[C.Extra.01]:[C.Extra.05]])</f>
        <v>0</v>
      </c>
      <c r="CG147" s="139" t="n">
        <f aca="false">+DATOS_[[#This Row],[TOTAL SALARIO Ef]]+DATOS_[[#This Row],[Tot Extrasalarial Ef]]</f>
        <v>0</v>
      </c>
      <c r="CH147" s="140" t="n">
        <f aca="false">MIN(IF(DATOS_[[#This Row],[Fecha Fin Contrato]]="",$D$4,DATOS_[[#This Row],[Fecha Fin Contrato]]),$D$4)-MAX(DATOS_[[#This Row],[Fecha de Contratación]],$D$3)+1</f>
        <v>1</v>
      </c>
      <c r="CI147" s="141" t="str">
        <f aca="false">IF(COUNTIFS(DATOS_[id],DATOS_[[#This Row],[id]])&gt;1,DATOS_[[#This Row],[id]],"")</f>
        <v/>
      </c>
      <c r="CJ147" s="141" t="n">
        <f aca="false">(Inicio!$G$10-DATOS_[[#This Row],[Fecha Nacimiento]])/365.25</f>
        <v>0</v>
      </c>
      <c r="CK147" s="141" t="n">
        <f aca="false">(Inicio!$G$10-DATOS_[[#This Row],[Fecha de Antigüedad]])/365.25</f>
        <v>0</v>
      </c>
      <c r="CL147" s="141" t="e">
        <f aca="false">+VLOOKUP(DATOS_[[#This Row],[Clave de Contrato]],TblTiposContrato13[],3,0)</f>
        <v>#N/A</v>
      </c>
      <c r="CM147" s="141" t="e">
        <f aca="false">+VLOOKUP(DATOS_[[#This Row],[Clave de Contrato]],TblTiposContrato13[],4,0)</f>
        <v>#N/A</v>
      </c>
      <c r="CN147" s="141" t="str">
        <f aca="false">VLOOKUP(DATOS_[[#This Row],[Edad]],CONTRATOS!TblRngEdad,2,1)</f>
        <v>20  o menos</v>
      </c>
      <c r="CO147" s="141" t="str">
        <f aca="false">VLOOKUP(DATOS_[[#This Row],[Antigüedad]],TblRngAntg14[],2,1)</f>
        <v>0 a 1 años</v>
      </c>
    </row>
    <row r="148" customFormat="false" ht="13.8" hidden="false" customHeight="false" outlineLevel="0" collapsed="false">
      <c r="D148" s="128"/>
      <c r="E148" s="129"/>
      <c r="F148" s="129"/>
      <c r="G148" s="129"/>
      <c r="H148" s="130"/>
      <c r="I148" s="131"/>
      <c r="J148" s="128"/>
      <c r="K148" s="132"/>
      <c r="L148" s="132"/>
      <c r="M148" s="133"/>
      <c r="N148" s="133"/>
      <c r="O148" s="133"/>
      <c r="P148" s="129"/>
      <c r="Z148" s="75"/>
      <c r="AA148" s="76"/>
      <c r="AB148" s="76"/>
      <c r="AC148" s="129"/>
      <c r="AD148" s="134"/>
      <c r="AE148" s="134"/>
      <c r="AF148" s="134"/>
      <c r="AG148" s="134"/>
      <c r="AH148" s="134"/>
      <c r="AI148" s="134"/>
      <c r="AJ148" s="134"/>
      <c r="AK148" s="134"/>
      <c r="AL148" s="134"/>
      <c r="AM148" s="134"/>
      <c r="AN148" s="134"/>
      <c r="AO148" s="134"/>
      <c r="AP148" s="134"/>
      <c r="AQ148" s="134"/>
      <c r="AR148" s="134"/>
      <c r="AS148" s="134"/>
      <c r="AT148" s="134"/>
      <c r="AU148" s="134"/>
      <c r="AV148" s="134"/>
      <c r="AW148" s="134"/>
      <c r="AX148" s="134"/>
      <c r="AY148" s="134"/>
      <c r="AZ148" s="134"/>
      <c r="BA148" s="134"/>
      <c r="BB148" s="134"/>
      <c r="BC148" s="134"/>
      <c r="BD148" s="134"/>
      <c r="BE148" s="134"/>
      <c r="BF148" s="134"/>
      <c r="BG148" s="134"/>
      <c r="BH148" s="134"/>
      <c r="BI148" s="134"/>
      <c r="BJ148" s="134"/>
      <c r="BK148" s="134"/>
      <c r="BL148" s="134"/>
      <c r="BM148" s="135"/>
      <c r="BN148" s="136" t="n">
        <f aca="false">+MAX($D$3,DATOS_[[#This Row],[Fecha Inicio Sit. Contract.]])</f>
        <v>0</v>
      </c>
      <c r="BO148" s="136" t="n">
        <f aca="false">+MIN($D$4,DATOS_[[#This Row],[Fecha Fin Sit. Contract.]])</f>
        <v>0</v>
      </c>
      <c r="BP148" s="137" t="n">
        <f aca="false">+DATOS_[[#This Row],[% de jornada]]*IF(DATOS_[[#This Row],[% jornada reducida]]="",1,DATOS_[[#This Row],[% jornada reducida]])</f>
        <v>0</v>
      </c>
      <c r="BQ148" s="137" t="n">
        <f aca="false">+(DATOS_[[#This Row],[F.fin.cal]]-DATOS_[[#This Row],[F.ini.cal]]+1)/($D$4-$D$3+1)</f>
        <v>1</v>
      </c>
      <c r="BR148" s="137" t="str">
        <f aca="false">IF(OR(AND(DATOS_[[#This Row],[Fecha Fin Contrato]]&lt;$D$3,DATOS_[[#This Row],[Fecha Fin Contrato]]&lt;&gt;""),DATOS_[[#This Row],[Fecha de Contratación]]&gt;$D$4),"Fuera","Dentro")</f>
        <v>Dentro</v>
      </c>
      <c r="BS148" s="137" t="str">
        <f aca="false" t="array" ref="BS148:BS148">IF(MAX(IF(DATOS_[id]=DATOS_[[#This Row],[id]],DATOS_[F.fin.cal]))=DATOS_[[#This Row],[F.fin.cal]],"Sí","NO")</f>
        <v>Sí</v>
      </c>
      <c r="BT148" s="137" t="str">
        <f aca="false">IF(AND(DATOS_[[#This Row],[% normaliz]]&lt;&gt;1,DATOS_[[#This Row],[% anualiz]]=1),"Sí","NO")</f>
        <v>Sí</v>
      </c>
      <c r="BU148" s="137" t="str">
        <f aca="false">IF(AND(DATOS_[[#This Row],[% normaliz]]=1,DATOS_[[#This Row],[% anualiz]]&lt;&gt;1),"Sí","NO")</f>
        <v>NO</v>
      </c>
      <c r="BV148" s="137" t="str">
        <f aca="false">IF(AND(DATOS_[[#This Row],[% normaliz]]&lt;&gt;1,DATOS_[[#This Row],[% anualiz]]&lt;&gt;1),"Sí","NO")</f>
        <v>NO</v>
      </c>
      <c r="BW148" s="137" t="str">
        <f aca="false">+IF(DATOS_[[#This Row],[% normaliz]]*DATOS_[[#This Row],[% anualiz]]=1,"NO","Sí")</f>
        <v>Sí</v>
      </c>
      <c r="BX148" s="138" t="e">
        <f aca="false">(DATOS_[[#This Row],[S.BASE]]*(1/DATOS_[[#This Row],[% normaliz]])*(1/DATOS_[[#This Row],[% anualiz]]))*IF(DATOS_[[#This Row],[Check Equiparado]]="Sí",1,0)</f>
        <v>#DIV/0!</v>
      </c>
      <c r="BY1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 s="138" t="e">
        <f aca="false">+DATOS_[[#This Row],[SALARIO BASE Eq]]+DATOS_[[#This Row],[Tot COMPL.SAL Eq]]</f>
        <v>#DIV/0!</v>
      </c>
      <c r="CA148" s="138" t="e">
        <f aca="false" t="array" ref="CA148:CA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 s="138" t="e">
        <f aca="false">+DATOS_[[#This Row],[TOTAL SALARIO Eq]]+DATOS_[[#This Row],[Tot Extrasalarial Eq]]</f>
        <v>#DIV/0!</v>
      </c>
      <c r="CC148" s="139" t="n">
        <f aca="false">DATOS_[[#This Row],[S.BASE]]</f>
        <v>0</v>
      </c>
      <c r="CD148" s="139" t="n">
        <f aca="false">+SUM(DATOS_[[#This Row],[Conc.Sal.01]:[Conc.Sal.30]])</f>
        <v>0</v>
      </c>
      <c r="CE148" s="139" t="n">
        <f aca="false">+DATOS_[[#This Row],[SALARIO BASE Ef]]+DATOS_[[#This Row],[Tot COMPL.SAL Ef]]</f>
        <v>0</v>
      </c>
      <c r="CF148" s="139" t="n">
        <f aca="false">+SUM(DATOS_[[#This Row],[C.Extra.01]:[C.Extra.05]])</f>
        <v>0</v>
      </c>
      <c r="CG148" s="139" t="n">
        <f aca="false">+DATOS_[[#This Row],[TOTAL SALARIO Ef]]+DATOS_[[#This Row],[Tot Extrasalarial Ef]]</f>
        <v>0</v>
      </c>
      <c r="CH148" s="140" t="n">
        <f aca="false">MIN(IF(DATOS_[[#This Row],[Fecha Fin Contrato]]="",$D$4,DATOS_[[#This Row],[Fecha Fin Contrato]]),$D$4)-MAX(DATOS_[[#This Row],[Fecha de Contratación]],$D$3)+1</f>
        <v>1</v>
      </c>
      <c r="CI148" s="141" t="str">
        <f aca="false">IF(COUNTIFS(DATOS_[id],DATOS_[[#This Row],[id]])&gt;1,DATOS_[[#This Row],[id]],"")</f>
        <v/>
      </c>
      <c r="CJ148" s="141" t="n">
        <f aca="false">(Inicio!$G$10-DATOS_[[#This Row],[Fecha Nacimiento]])/365.25</f>
        <v>0</v>
      </c>
      <c r="CK148" s="141" t="n">
        <f aca="false">(Inicio!$G$10-DATOS_[[#This Row],[Fecha de Antigüedad]])/365.25</f>
        <v>0</v>
      </c>
      <c r="CL148" s="141" t="e">
        <f aca="false">+VLOOKUP(DATOS_[[#This Row],[Clave de Contrato]],TblTiposContrato13[],3,0)</f>
        <v>#N/A</v>
      </c>
      <c r="CM148" s="141" t="e">
        <f aca="false">+VLOOKUP(DATOS_[[#This Row],[Clave de Contrato]],TblTiposContrato13[],4,0)</f>
        <v>#N/A</v>
      </c>
      <c r="CN148" s="141" t="str">
        <f aca="false">VLOOKUP(DATOS_[[#This Row],[Edad]],CONTRATOS!TblRngEdad,2,1)</f>
        <v>20  o menos</v>
      </c>
      <c r="CO148" s="141" t="str">
        <f aca="false">VLOOKUP(DATOS_[[#This Row],[Antigüedad]],TblRngAntg14[],2,1)</f>
        <v>0 a 1 años</v>
      </c>
    </row>
    <row r="149" customFormat="false" ht="13.8" hidden="false" customHeight="false" outlineLevel="0" collapsed="false">
      <c r="D149" s="128"/>
      <c r="E149" s="129"/>
      <c r="F149" s="129"/>
      <c r="G149" s="129"/>
      <c r="H149" s="130"/>
      <c r="I149" s="131"/>
      <c r="J149" s="128"/>
      <c r="K149" s="132"/>
      <c r="L149" s="132"/>
      <c r="M149" s="133"/>
      <c r="N149" s="133"/>
      <c r="O149" s="133"/>
      <c r="P149" s="129"/>
      <c r="Z149" s="75"/>
      <c r="AA149" s="76"/>
      <c r="AB149" s="76"/>
      <c r="AC149" s="129"/>
      <c r="AD149" s="134"/>
      <c r="AE149" s="134"/>
      <c r="AF149" s="134"/>
      <c r="AG149" s="134"/>
      <c r="AH149" s="134"/>
      <c r="AI149" s="134"/>
      <c r="AJ149" s="134"/>
      <c r="AK149" s="134"/>
      <c r="AL149" s="134"/>
      <c r="AM149" s="134"/>
      <c r="AN149" s="134"/>
      <c r="AO149" s="134"/>
      <c r="AP149" s="134"/>
      <c r="AQ149" s="134"/>
      <c r="AR149" s="134"/>
      <c r="AS149" s="134"/>
      <c r="AT149" s="134"/>
      <c r="AU149" s="134"/>
      <c r="AV149" s="134"/>
      <c r="AW149" s="134"/>
      <c r="AX149" s="134"/>
      <c r="AY149" s="134"/>
      <c r="AZ149" s="134"/>
      <c r="BA149" s="134"/>
      <c r="BB149" s="134"/>
      <c r="BC149" s="134"/>
      <c r="BD149" s="134"/>
      <c r="BE149" s="134"/>
      <c r="BF149" s="134"/>
      <c r="BG149" s="134"/>
      <c r="BH149" s="134"/>
      <c r="BI149" s="134"/>
      <c r="BJ149" s="134"/>
      <c r="BK149" s="134"/>
      <c r="BL149" s="134"/>
      <c r="BM149" s="135"/>
      <c r="BN149" s="136" t="n">
        <f aca="false">+MAX($D$3,DATOS_[[#This Row],[Fecha Inicio Sit. Contract.]])</f>
        <v>0</v>
      </c>
      <c r="BO149" s="136" t="n">
        <f aca="false">+MIN($D$4,DATOS_[[#This Row],[Fecha Fin Sit. Contract.]])</f>
        <v>0</v>
      </c>
      <c r="BP149" s="137" t="n">
        <f aca="false">+DATOS_[[#This Row],[% de jornada]]*IF(DATOS_[[#This Row],[% jornada reducida]]="",1,DATOS_[[#This Row],[% jornada reducida]])</f>
        <v>0</v>
      </c>
      <c r="BQ149" s="137" t="n">
        <f aca="false">+(DATOS_[[#This Row],[F.fin.cal]]-DATOS_[[#This Row],[F.ini.cal]]+1)/($D$4-$D$3+1)</f>
        <v>1</v>
      </c>
      <c r="BR149" s="137" t="str">
        <f aca="false">IF(OR(AND(DATOS_[[#This Row],[Fecha Fin Contrato]]&lt;$D$3,DATOS_[[#This Row],[Fecha Fin Contrato]]&lt;&gt;""),DATOS_[[#This Row],[Fecha de Contratación]]&gt;$D$4),"Fuera","Dentro")</f>
        <v>Dentro</v>
      </c>
      <c r="BS149" s="137" t="str">
        <f aca="false" t="array" ref="BS149:BS149">IF(MAX(IF(DATOS_[id]=DATOS_[[#This Row],[id]],DATOS_[F.fin.cal]))=DATOS_[[#This Row],[F.fin.cal]],"Sí","NO")</f>
        <v>Sí</v>
      </c>
      <c r="BT149" s="137" t="str">
        <f aca="false">IF(AND(DATOS_[[#This Row],[% normaliz]]&lt;&gt;1,DATOS_[[#This Row],[% anualiz]]=1),"Sí","NO")</f>
        <v>Sí</v>
      </c>
      <c r="BU149" s="137" t="str">
        <f aca="false">IF(AND(DATOS_[[#This Row],[% normaliz]]=1,DATOS_[[#This Row],[% anualiz]]&lt;&gt;1),"Sí","NO")</f>
        <v>NO</v>
      </c>
      <c r="BV149" s="137" t="str">
        <f aca="false">IF(AND(DATOS_[[#This Row],[% normaliz]]&lt;&gt;1,DATOS_[[#This Row],[% anualiz]]&lt;&gt;1),"Sí","NO")</f>
        <v>NO</v>
      </c>
      <c r="BW149" s="137" t="str">
        <f aca="false">+IF(DATOS_[[#This Row],[% normaliz]]*DATOS_[[#This Row],[% anualiz]]=1,"NO","Sí")</f>
        <v>Sí</v>
      </c>
      <c r="BX149" s="138" t="e">
        <f aca="false">(DATOS_[[#This Row],[S.BASE]]*(1/DATOS_[[#This Row],[% normaliz]])*(1/DATOS_[[#This Row],[% anualiz]]))*IF(DATOS_[[#This Row],[Check Equiparado]]="Sí",1,0)</f>
        <v>#DIV/0!</v>
      </c>
      <c r="BY1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 s="138" t="e">
        <f aca="false">+DATOS_[[#This Row],[SALARIO BASE Eq]]+DATOS_[[#This Row],[Tot COMPL.SAL Eq]]</f>
        <v>#DIV/0!</v>
      </c>
      <c r="CA149" s="138" t="e">
        <f aca="false" t="array" ref="CA149:CA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 s="138" t="e">
        <f aca="false">+DATOS_[[#This Row],[TOTAL SALARIO Eq]]+DATOS_[[#This Row],[Tot Extrasalarial Eq]]</f>
        <v>#DIV/0!</v>
      </c>
      <c r="CC149" s="139" t="n">
        <f aca="false">DATOS_[[#This Row],[S.BASE]]</f>
        <v>0</v>
      </c>
      <c r="CD149" s="139" t="n">
        <f aca="false">+SUM(DATOS_[[#This Row],[Conc.Sal.01]:[Conc.Sal.30]])</f>
        <v>0</v>
      </c>
      <c r="CE149" s="139" t="n">
        <f aca="false">+DATOS_[[#This Row],[SALARIO BASE Ef]]+DATOS_[[#This Row],[Tot COMPL.SAL Ef]]</f>
        <v>0</v>
      </c>
      <c r="CF149" s="139" t="n">
        <f aca="false">+SUM(DATOS_[[#This Row],[C.Extra.01]:[C.Extra.05]])</f>
        <v>0</v>
      </c>
      <c r="CG149" s="139" t="n">
        <f aca="false">+DATOS_[[#This Row],[TOTAL SALARIO Ef]]+DATOS_[[#This Row],[Tot Extrasalarial Ef]]</f>
        <v>0</v>
      </c>
      <c r="CH149" s="140" t="n">
        <f aca="false">MIN(IF(DATOS_[[#This Row],[Fecha Fin Contrato]]="",$D$4,DATOS_[[#This Row],[Fecha Fin Contrato]]),$D$4)-MAX(DATOS_[[#This Row],[Fecha de Contratación]],$D$3)+1</f>
        <v>1</v>
      </c>
      <c r="CI149" s="141" t="str">
        <f aca="false">IF(COUNTIFS(DATOS_[id],DATOS_[[#This Row],[id]])&gt;1,DATOS_[[#This Row],[id]],"")</f>
        <v/>
      </c>
      <c r="CJ149" s="141" t="n">
        <f aca="false">(Inicio!$G$10-DATOS_[[#This Row],[Fecha Nacimiento]])/365.25</f>
        <v>0</v>
      </c>
      <c r="CK149" s="141" t="n">
        <f aca="false">(Inicio!$G$10-DATOS_[[#This Row],[Fecha de Antigüedad]])/365.25</f>
        <v>0</v>
      </c>
      <c r="CL149" s="141" t="e">
        <f aca="false">+VLOOKUP(DATOS_[[#This Row],[Clave de Contrato]],TblTiposContrato13[],3,0)</f>
        <v>#N/A</v>
      </c>
      <c r="CM149" s="141" t="e">
        <f aca="false">+VLOOKUP(DATOS_[[#This Row],[Clave de Contrato]],TblTiposContrato13[],4,0)</f>
        <v>#N/A</v>
      </c>
      <c r="CN149" s="141" t="str">
        <f aca="false">VLOOKUP(DATOS_[[#This Row],[Edad]],CONTRATOS!TblRngEdad,2,1)</f>
        <v>20  o menos</v>
      </c>
      <c r="CO149" s="141" t="str">
        <f aca="false">VLOOKUP(DATOS_[[#This Row],[Antigüedad]],TblRngAntg14[],2,1)</f>
        <v>0 a 1 años</v>
      </c>
    </row>
    <row r="150" customFormat="false" ht="13.8" hidden="false" customHeight="false" outlineLevel="0" collapsed="false">
      <c r="D150" s="128"/>
      <c r="E150" s="129"/>
      <c r="F150" s="129"/>
      <c r="G150" s="129"/>
      <c r="H150" s="130"/>
      <c r="I150" s="131"/>
      <c r="J150" s="128"/>
      <c r="K150" s="132"/>
      <c r="L150" s="132"/>
      <c r="M150" s="133"/>
      <c r="N150" s="133"/>
      <c r="O150" s="133"/>
      <c r="P150" s="129"/>
      <c r="Z150" s="75"/>
      <c r="AA150" s="76"/>
      <c r="AB150" s="76"/>
      <c r="AC150" s="129"/>
      <c r="AD150" s="134"/>
      <c r="AE150" s="134"/>
      <c r="AF150" s="134"/>
      <c r="AG150" s="134"/>
      <c r="AH150" s="134"/>
      <c r="AI150" s="134"/>
      <c r="AJ150" s="134"/>
      <c r="AK150" s="134"/>
      <c r="AL150" s="134"/>
      <c r="AM150" s="134"/>
      <c r="AN150" s="134"/>
      <c r="AO150" s="134"/>
      <c r="AP150" s="134"/>
      <c r="AQ150" s="134"/>
      <c r="AR150" s="134"/>
      <c r="AS150" s="134"/>
      <c r="AT150" s="134"/>
      <c r="AU150" s="134"/>
      <c r="AV150" s="134"/>
      <c r="AW150" s="134"/>
      <c r="AX150" s="134"/>
      <c r="AY150" s="134"/>
      <c r="AZ150" s="134"/>
      <c r="BA150" s="134"/>
      <c r="BB150" s="134"/>
      <c r="BC150" s="134"/>
      <c r="BD150" s="134"/>
      <c r="BE150" s="134"/>
      <c r="BF150" s="134"/>
      <c r="BG150" s="134"/>
      <c r="BH150" s="134"/>
      <c r="BI150" s="134"/>
      <c r="BJ150" s="134"/>
      <c r="BK150" s="134"/>
      <c r="BL150" s="134"/>
      <c r="BM150" s="135"/>
      <c r="BN150" s="136" t="n">
        <f aca="false">+MAX($D$3,DATOS_[[#This Row],[Fecha Inicio Sit. Contract.]])</f>
        <v>0</v>
      </c>
      <c r="BO150" s="136" t="n">
        <f aca="false">+MIN($D$4,DATOS_[[#This Row],[Fecha Fin Sit. Contract.]])</f>
        <v>0</v>
      </c>
      <c r="BP150" s="137" t="n">
        <f aca="false">+DATOS_[[#This Row],[% de jornada]]*IF(DATOS_[[#This Row],[% jornada reducida]]="",1,DATOS_[[#This Row],[% jornada reducida]])</f>
        <v>0</v>
      </c>
      <c r="BQ150" s="137" t="n">
        <f aca="false">+(DATOS_[[#This Row],[F.fin.cal]]-DATOS_[[#This Row],[F.ini.cal]]+1)/($D$4-$D$3+1)</f>
        <v>1</v>
      </c>
      <c r="BR150" s="137" t="str">
        <f aca="false">IF(OR(AND(DATOS_[[#This Row],[Fecha Fin Contrato]]&lt;$D$3,DATOS_[[#This Row],[Fecha Fin Contrato]]&lt;&gt;""),DATOS_[[#This Row],[Fecha de Contratación]]&gt;$D$4),"Fuera","Dentro")</f>
        <v>Dentro</v>
      </c>
      <c r="BS150" s="137" t="str">
        <f aca="false" t="array" ref="BS150:BS150">IF(MAX(IF(DATOS_[id]=DATOS_[[#This Row],[id]],DATOS_[F.fin.cal]))=DATOS_[[#This Row],[F.fin.cal]],"Sí","NO")</f>
        <v>Sí</v>
      </c>
      <c r="BT150" s="137" t="str">
        <f aca="false">IF(AND(DATOS_[[#This Row],[% normaliz]]&lt;&gt;1,DATOS_[[#This Row],[% anualiz]]=1),"Sí","NO")</f>
        <v>Sí</v>
      </c>
      <c r="BU150" s="137" t="str">
        <f aca="false">IF(AND(DATOS_[[#This Row],[% normaliz]]=1,DATOS_[[#This Row],[% anualiz]]&lt;&gt;1),"Sí","NO")</f>
        <v>NO</v>
      </c>
      <c r="BV150" s="137" t="str">
        <f aca="false">IF(AND(DATOS_[[#This Row],[% normaliz]]&lt;&gt;1,DATOS_[[#This Row],[% anualiz]]&lt;&gt;1),"Sí","NO")</f>
        <v>NO</v>
      </c>
      <c r="BW150" s="137" t="str">
        <f aca="false">+IF(DATOS_[[#This Row],[% normaliz]]*DATOS_[[#This Row],[% anualiz]]=1,"NO","Sí")</f>
        <v>Sí</v>
      </c>
      <c r="BX150" s="138" t="e">
        <f aca="false">(DATOS_[[#This Row],[S.BASE]]*(1/DATOS_[[#This Row],[% normaliz]])*(1/DATOS_[[#This Row],[% anualiz]]))*IF(DATOS_[[#This Row],[Check Equiparado]]="Sí",1,0)</f>
        <v>#DIV/0!</v>
      </c>
      <c r="BY1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 s="138" t="e">
        <f aca="false">+DATOS_[[#This Row],[SALARIO BASE Eq]]+DATOS_[[#This Row],[Tot COMPL.SAL Eq]]</f>
        <v>#DIV/0!</v>
      </c>
      <c r="CA150" s="138" t="e">
        <f aca="false" t="array" ref="CA150:CA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 s="138" t="e">
        <f aca="false">+DATOS_[[#This Row],[TOTAL SALARIO Eq]]+DATOS_[[#This Row],[Tot Extrasalarial Eq]]</f>
        <v>#DIV/0!</v>
      </c>
      <c r="CC150" s="139" t="n">
        <f aca="false">DATOS_[[#This Row],[S.BASE]]</f>
        <v>0</v>
      </c>
      <c r="CD150" s="139" t="n">
        <f aca="false">+SUM(DATOS_[[#This Row],[Conc.Sal.01]:[Conc.Sal.30]])</f>
        <v>0</v>
      </c>
      <c r="CE150" s="139" t="n">
        <f aca="false">+DATOS_[[#This Row],[SALARIO BASE Ef]]+DATOS_[[#This Row],[Tot COMPL.SAL Ef]]</f>
        <v>0</v>
      </c>
      <c r="CF150" s="139" t="n">
        <f aca="false">+SUM(DATOS_[[#This Row],[C.Extra.01]:[C.Extra.05]])</f>
        <v>0</v>
      </c>
      <c r="CG150" s="139" t="n">
        <f aca="false">+DATOS_[[#This Row],[TOTAL SALARIO Ef]]+DATOS_[[#This Row],[Tot Extrasalarial Ef]]</f>
        <v>0</v>
      </c>
      <c r="CH150" s="140" t="n">
        <f aca="false">MIN(IF(DATOS_[[#This Row],[Fecha Fin Contrato]]="",$D$4,DATOS_[[#This Row],[Fecha Fin Contrato]]),$D$4)-MAX(DATOS_[[#This Row],[Fecha de Contratación]],$D$3)+1</f>
        <v>1</v>
      </c>
      <c r="CI150" s="141" t="str">
        <f aca="false">IF(COUNTIFS(DATOS_[id],DATOS_[[#This Row],[id]])&gt;1,DATOS_[[#This Row],[id]],"")</f>
        <v/>
      </c>
      <c r="CJ150" s="141" t="n">
        <f aca="false">(Inicio!$G$10-DATOS_[[#This Row],[Fecha Nacimiento]])/365.25</f>
        <v>0</v>
      </c>
      <c r="CK150" s="141" t="n">
        <f aca="false">(Inicio!$G$10-DATOS_[[#This Row],[Fecha de Antigüedad]])/365.25</f>
        <v>0</v>
      </c>
      <c r="CL150" s="141" t="e">
        <f aca="false">+VLOOKUP(DATOS_[[#This Row],[Clave de Contrato]],TblTiposContrato13[],3,0)</f>
        <v>#N/A</v>
      </c>
      <c r="CM150" s="141" t="e">
        <f aca="false">+VLOOKUP(DATOS_[[#This Row],[Clave de Contrato]],TblTiposContrato13[],4,0)</f>
        <v>#N/A</v>
      </c>
      <c r="CN150" s="141" t="str">
        <f aca="false">VLOOKUP(DATOS_[[#This Row],[Edad]],CONTRATOS!TblRngEdad,2,1)</f>
        <v>20  o menos</v>
      </c>
      <c r="CO150" s="141" t="str">
        <f aca="false">VLOOKUP(DATOS_[[#This Row],[Antigüedad]],TblRngAntg14[],2,1)</f>
        <v>0 a 1 años</v>
      </c>
    </row>
    <row r="151" customFormat="false" ht="13.8" hidden="false" customHeight="false" outlineLevel="0" collapsed="false">
      <c r="D151" s="128"/>
      <c r="E151" s="129"/>
      <c r="F151" s="129"/>
      <c r="G151" s="129"/>
      <c r="H151" s="130"/>
      <c r="I151" s="131"/>
      <c r="J151" s="128"/>
      <c r="K151" s="132"/>
      <c r="L151" s="132"/>
      <c r="M151" s="133"/>
      <c r="N151" s="133"/>
      <c r="O151" s="133"/>
      <c r="P151" s="129"/>
      <c r="Z151" s="75"/>
      <c r="AA151" s="76"/>
      <c r="AB151" s="76"/>
      <c r="AC151" s="129"/>
      <c r="AD151" s="134"/>
      <c r="AE151" s="134"/>
      <c r="AF151" s="134"/>
      <c r="AG151" s="134"/>
      <c r="AH151" s="134"/>
      <c r="AI151" s="134"/>
      <c r="AJ151" s="134"/>
      <c r="AK151" s="134"/>
      <c r="AL151" s="134"/>
      <c r="AM151" s="134"/>
      <c r="AN151" s="134"/>
      <c r="AO151" s="134"/>
      <c r="AP151" s="134"/>
      <c r="AQ151" s="134"/>
      <c r="AR151" s="134"/>
      <c r="AS151" s="134"/>
      <c r="AT151" s="134"/>
      <c r="AU151" s="134"/>
      <c r="AV151" s="134"/>
      <c r="AW151" s="134"/>
      <c r="AX151" s="134"/>
      <c r="AY151" s="134"/>
      <c r="AZ151" s="134"/>
      <c r="BA151" s="134"/>
      <c r="BB151" s="134"/>
      <c r="BC151" s="134"/>
      <c r="BD151" s="134"/>
      <c r="BE151" s="134"/>
      <c r="BF151" s="134"/>
      <c r="BG151" s="134"/>
      <c r="BH151" s="134"/>
      <c r="BI151" s="134"/>
      <c r="BJ151" s="134"/>
      <c r="BK151" s="134"/>
      <c r="BL151" s="134"/>
      <c r="BM151" s="135"/>
      <c r="BN151" s="136" t="n">
        <f aca="false">+MAX($D$3,DATOS_[[#This Row],[Fecha Inicio Sit. Contract.]])</f>
        <v>0</v>
      </c>
      <c r="BO151" s="136" t="n">
        <f aca="false">+MIN($D$4,DATOS_[[#This Row],[Fecha Fin Sit. Contract.]])</f>
        <v>0</v>
      </c>
      <c r="BP151" s="137" t="n">
        <f aca="false">+DATOS_[[#This Row],[% de jornada]]*IF(DATOS_[[#This Row],[% jornada reducida]]="",1,DATOS_[[#This Row],[% jornada reducida]])</f>
        <v>0</v>
      </c>
      <c r="BQ151" s="137" t="n">
        <f aca="false">+(DATOS_[[#This Row],[F.fin.cal]]-DATOS_[[#This Row],[F.ini.cal]]+1)/($D$4-$D$3+1)</f>
        <v>1</v>
      </c>
      <c r="BR151" s="137" t="str">
        <f aca="false">IF(OR(AND(DATOS_[[#This Row],[Fecha Fin Contrato]]&lt;$D$3,DATOS_[[#This Row],[Fecha Fin Contrato]]&lt;&gt;""),DATOS_[[#This Row],[Fecha de Contratación]]&gt;$D$4),"Fuera","Dentro")</f>
        <v>Dentro</v>
      </c>
      <c r="BS151" s="137" t="str">
        <f aca="false" t="array" ref="BS151:BS151">IF(MAX(IF(DATOS_[id]=DATOS_[[#This Row],[id]],DATOS_[F.fin.cal]))=DATOS_[[#This Row],[F.fin.cal]],"Sí","NO")</f>
        <v>Sí</v>
      </c>
      <c r="BT151" s="137" t="str">
        <f aca="false">IF(AND(DATOS_[[#This Row],[% normaliz]]&lt;&gt;1,DATOS_[[#This Row],[% anualiz]]=1),"Sí","NO")</f>
        <v>Sí</v>
      </c>
      <c r="BU151" s="137" t="str">
        <f aca="false">IF(AND(DATOS_[[#This Row],[% normaliz]]=1,DATOS_[[#This Row],[% anualiz]]&lt;&gt;1),"Sí","NO")</f>
        <v>NO</v>
      </c>
      <c r="BV151" s="137" t="str">
        <f aca="false">IF(AND(DATOS_[[#This Row],[% normaliz]]&lt;&gt;1,DATOS_[[#This Row],[% anualiz]]&lt;&gt;1),"Sí","NO")</f>
        <v>NO</v>
      </c>
      <c r="BW151" s="137" t="str">
        <f aca="false">+IF(DATOS_[[#This Row],[% normaliz]]*DATOS_[[#This Row],[% anualiz]]=1,"NO","Sí")</f>
        <v>Sí</v>
      </c>
      <c r="BX151" s="138" t="e">
        <f aca="false">(DATOS_[[#This Row],[S.BASE]]*(1/DATOS_[[#This Row],[% normaliz]])*(1/DATOS_[[#This Row],[% anualiz]]))*IF(DATOS_[[#This Row],[Check Equiparado]]="Sí",1,0)</f>
        <v>#DIV/0!</v>
      </c>
      <c r="BY1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1" s="138" t="e">
        <f aca="false">+DATOS_[[#This Row],[SALARIO BASE Eq]]+DATOS_[[#This Row],[Tot COMPL.SAL Eq]]</f>
        <v>#DIV/0!</v>
      </c>
      <c r="CA151" s="138" t="e">
        <f aca="false" t="array" ref="CA151:CA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1" s="138" t="e">
        <f aca="false">+DATOS_[[#This Row],[TOTAL SALARIO Eq]]+DATOS_[[#This Row],[Tot Extrasalarial Eq]]</f>
        <v>#DIV/0!</v>
      </c>
      <c r="CC151" s="139" t="n">
        <f aca="false">DATOS_[[#This Row],[S.BASE]]</f>
        <v>0</v>
      </c>
      <c r="CD151" s="139" t="n">
        <f aca="false">+SUM(DATOS_[[#This Row],[Conc.Sal.01]:[Conc.Sal.30]])</f>
        <v>0</v>
      </c>
      <c r="CE151" s="139" t="n">
        <f aca="false">+DATOS_[[#This Row],[SALARIO BASE Ef]]+DATOS_[[#This Row],[Tot COMPL.SAL Ef]]</f>
        <v>0</v>
      </c>
      <c r="CF151" s="139" t="n">
        <f aca="false">+SUM(DATOS_[[#This Row],[C.Extra.01]:[C.Extra.05]])</f>
        <v>0</v>
      </c>
      <c r="CG151" s="139" t="n">
        <f aca="false">+DATOS_[[#This Row],[TOTAL SALARIO Ef]]+DATOS_[[#This Row],[Tot Extrasalarial Ef]]</f>
        <v>0</v>
      </c>
      <c r="CH151" s="140" t="n">
        <f aca="false">MIN(IF(DATOS_[[#This Row],[Fecha Fin Contrato]]="",$D$4,DATOS_[[#This Row],[Fecha Fin Contrato]]),$D$4)-MAX(DATOS_[[#This Row],[Fecha de Contratación]],$D$3)+1</f>
        <v>1</v>
      </c>
      <c r="CI151" s="141" t="str">
        <f aca="false">IF(COUNTIFS(DATOS_[id],DATOS_[[#This Row],[id]])&gt;1,DATOS_[[#This Row],[id]],"")</f>
        <v/>
      </c>
      <c r="CJ151" s="141" t="n">
        <f aca="false">(Inicio!$G$10-DATOS_[[#This Row],[Fecha Nacimiento]])/365.25</f>
        <v>0</v>
      </c>
      <c r="CK151" s="141" t="n">
        <f aca="false">(Inicio!$G$10-DATOS_[[#This Row],[Fecha de Antigüedad]])/365.25</f>
        <v>0</v>
      </c>
      <c r="CL151" s="141" t="e">
        <f aca="false">+VLOOKUP(DATOS_[[#This Row],[Clave de Contrato]],TblTiposContrato13[],3,0)</f>
        <v>#N/A</v>
      </c>
      <c r="CM151" s="141" t="e">
        <f aca="false">+VLOOKUP(DATOS_[[#This Row],[Clave de Contrato]],TblTiposContrato13[],4,0)</f>
        <v>#N/A</v>
      </c>
      <c r="CN151" s="141" t="str">
        <f aca="false">VLOOKUP(DATOS_[[#This Row],[Edad]],CONTRATOS!TblRngEdad,2,1)</f>
        <v>20  o menos</v>
      </c>
      <c r="CO151" s="141" t="str">
        <f aca="false">VLOOKUP(DATOS_[[#This Row],[Antigüedad]],TblRngAntg14[],2,1)</f>
        <v>0 a 1 años</v>
      </c>
    </row>
    <row r="152" customFormat="false" ht="13.8" hidden="false" customHeight="false" outlineLevel="0" collapsed="false">
      <c r="D152" s="128"/>
      <c r="E152" s="129"/>
      <c r="F152" s="129"/>
      <c r="G152" s="129"/>
      <c r="H152" s="130"/>
      <c r="I152" s="131"/>
      <c r="J152" s="128"/>
      <c r="K152" s="132"/>
      <c r="L152" s="132"/>
      <c r="M152" s="133"/>
      <c r="N152" s="133"/>
      <c r="O152" s="133"/>
      <c r="P152" s="129"/>
      <c r="Z152" s="75"/>
      <c r="AA152" s="76"/>
      <c r="AB152" s="76"/>
      <c r="AC152" s="129"/>
      <c r="AD152" s="134"/>
      <c r="AE152" s="134"/>
      <c r="AF152" s="134"/>
      <c r="AG152" s="134"/>
      <c r="AH152" s="134"/>
      <c r="AI152" s="134"/>
      <c r="AJ152" s="134"/>
      <c r="AK152" s="134"/>
      <c r="AL152" s="134"/>
      <c r="AM152" s="134"/>
      <c r="AN152" s="134"/>
      <c r="AO152" s="134"/>
      <c r="AP152" s="134"/>
      <c r="AQ152" s="134"/>
      <c r="AR152" s="134"/>
      <c r="AS152" s="134"/>
      <c r="AT152" s="134"/>
      <c r="AU152" s="134"/>
      <c r="AV152" s="134"/>
      <c r="AW152" s="134"/>
      <c r="AX152" s="134"/>
      <c r="AY152" s="134"/>
      <c r="AZ152" s="134"/>
      <c r="BA152" s="134"/>
      <c r="BB152" s="134"/>
      <c r="BC152" s="134"/>
      <c r="BD152" s="134"/>
      <c r="BE152" s="134"/>
      <c r="BF152" s="134"/>
      <c r="BG152" s="134"/>
      <c r="BH152" s="134"/>
      <c r="BI152" s="134"/>
      <c r="BJ152" s="134"/>
      <c r="BK152" s="134"/>
      <c r="BL152" s="134"/>
      <c r="BM152" s="135"/>
      <c r="BN152" s="136" t="n">
        <f aca="false">+MAX($D$3,DATOS_[[#This Row],[Fecha Inicio Sit. Contract.]])</f>
        <v>0</v>
      </c>
      <c r="BO152" s="136" t="n">
        <f aca="false">+MIN($D$4,DATOS_[[#This Row],[Fecha Fin Sit. Contract.]])</f>
        <v>0</v>
      </c>
      <c r="BP152" s="137" t="n">
        <f aca="false">+DATOS_[[#This Row],[% de jornada]]*IF(DATOS_[[#This Row],[% jornada reducida]]="",1,DATOS_[[#This Row],[% jornada reducida]])</f>
        <v>0</v>
      </c>
      <c r="BQ152" s="137" t="n">
        <f aca="false">+(DATOS_[[#This Row],[F.fin.cal]]-DATOS_[[#This Row],[F.ini.cal]]+1)/($D$4-$D$3+1)</f>
        <v>1</v>
      </c>
      <c r="BR152" s="137" t="str">
        <f aca="false">IF(OR(AND(DATOS_[[#This Row],[Fecha Fin Contrato]]&lt;$D$3,DATOS_[[#This Row],[Fecha Fin Contrato]]&lt;&gt;""),DATOS_[[#This Row],[Fecha de Contratación]]&gt;$D$4),"Fuera","Dentro")</f>
        <v>Dentro</v>
      </c>
      <c r="BS152" s="137" t="str">
        <f aca="false" t="array" ref="BS152:BS152">IF(MAX(IF(DATOS_[id]=DATOS_[[#This Row],[id]],DATOS_[F.fin.cal]))=DATOS_[[#This Row],[F.fin.cal]],"Sí","NO")</f>
        <v>Sí</v>
      </c>
      <c r="BT152" s="137" t="str">
        <f aca="false">IF(AND(DATOS_[[#This Row],[% normaliz]]&lt;&gt;1,DATOS_[[#This Row],[% anualiz]]=1),"Sí","NO")</f>
        <v>Sí</v>
      </c>
      <c r="BU152" s="137" t="str">
        <f aca="false">IF(AND(DATOS_[[#This Row],[% normaliz]]=1,DATOS_[[#This Row],[% anualiz]]&lt;&gt;1),"Sí","NO")</f>
        <v>NO</v>
      </c>
      <c r="BV152" s="137" t="str">
        <f aca="false">IF(AND(DATOS_[[#This Row],[% normaliz]]&lt;&gt;1,DATOS_[[#This Row],[% anualiz]]&lt;&gt;1),"Sí","NO")</f>
        <v>NO</v>
      </c>
      <c r="BW152" s="137" t="str">
        <f aca="false">+IF(DATOS_[[#This Row],[% normaliz]]*DATOS_[[#This Row],[% anualiz]]=1,"NO","Sí")</f>
        <v>Sí</v>
      </c>
      <c r="BX152" s="138" t="e">
        <f aca="false">(DATOS_[[#This Row],[S.BASE]]*(1/DATOS_[[#This Row],[% normaliz]])*(1/DATOS_[[#This Row],[% anualiz]]))*IF(DATOS_[[#This Row],[Check Equiparado]]="Sí",1,0)</f>
        <v>#DIV/0!</v>
      </c>
      <c r="BY1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2" s="138" t="e">
        <f aca="false">+DATOS_[[#This Row],[SALARIO BASE Eq]]+DATOS_[[#This Row],[Tot COMPL.SAL Eq]]</f>
        <v>#DIV/0!</v>
      </c>
      <c r="CA152" s="138" t="e">
        <f aca="false" t="array" ref="CA152:CA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2" s="138" t="e">
        <f aca="false">+DATOS_[[#This Row],[TOTAL SALARIO Eq]]+DATOS_[[#This Row],[Tot Extrasalarial Eq]]</f>
        <v>#DIV/0!</v>
      </c>
      <c r="CC152" s="139" t="n">
        <f aca="false">DATOS_[[#This Row],[S.BASE]]</f>
        <v>0</v>
      </c>
      <c r="CD152" s="139" t="n">
        <f aca="false">+SUM(DATOS_[[#This Row],[Conc.Sal.01]:[Conc.Sal.30]])</f>
        <v>0</v>
      </c>
      <c r="CE152" s="139" t="n">
        <f aca="false">+DATOS_[[#This Row],[SALARIO BASE Ef]]+DATOS_[[#This Row],[Tot COMPL.SAL Ef]]</f>
        <v>0</v>
      </c>
      <c r="CF152" s="139" t="n">
        <f aca="false">+SUM(DATOS_[[#This Row],[C.Extra.01]:[C.Extra.05]])</f>
        <v>0</v>
      </c>
      <c r="CG152" s="139" t="n">
        <f aca="false">+DATOS_[[#This Row],[TOTAL SALARIO Ef]]+DATOS_[[#This Row],[Tot Extrasalarial Ef]]</f>
        <v>0</v>
      </c>
      <c r="CH152" s="140" t="n">
        <f aca="false">MIN(IF(DATOS_[[#This Row],[Fecha Fin Contrato]]="",$D$4,DATOS_[[#This Row],[Fecha Fin Contrato]]),$D$4)-MAX(DATOS_[[#This Row],[Fecha de Contratación]],$D$3)+1</f>
        <v>1</v>
      </c>
      <c r="CI152" s="141" t="str">
        <f aca="false">IF(COUNTIFS(DATOS_[id],DATOS_[[#This Row],[id]])&gt;1,DATOS_[[#This Row],[id]],"")</f>
        <v/>
      </c>
      <c r="CJ152" s="141" t="n">
        <f aca="false">(Inicio!$G$10-DATOS_[[#This Row],[Fecha Nacimiento]])/365.25</f>
        <v>0</v>
      </c>
      <c r="CK152" s="141" t="n">
        <f aca="false">(Inicio!$G$10-DATOS_[[#This Row],[Fecha de Antigüedad]])/365.25</f>
        <v>0</v>
      </c>
      <c r="CL152" s="141" t="e">
        <f aca="false">+VLOOKUP(DATOS_[[#This Row],[Clave de Contrato]],TblTiposContrato13[],3,0)</f>
        <v>#N/A</v>
      </c>
      <c r="CM152" s="141" t="e">
        <f aca="false">+VLOOKUP(DATOS_[[#This Row],[Clave de Contrato]],TblTiposContrato13[],4,0)</f>
        <v>#N/A</v>
      </c>
      <c r="CN152" s="141" t="str">
        <f aca="false">VLOOKUP(DATOS_[[#This Row],[Edad]],CONTRATOS!TblRngEdad,2,1)</f>
        <v>20  o menos</v>
      </c>
      <c r="CO152" s="141" t="str">
        <f aca="false">VLOOKUP(DATOS_[[#This Row],[Antigüedad]],TblRngAntg14[],2,1)</f>
        <v>0 a 1 años</v>
      </c>
    </row>
    <row r="153" customFormat="false" ht="13.8" hidden="false" customHeight="false" outlineLevel="0" collapsed="false">
      <c r="D153" s="128"/>
      <c r="E153" s="129"/>
      <c r="F153" s="129"/>
      <c r="G153" s="129"/>
      <c r="H153" s="130"/>
      <c r="I153" s="131"/>
      <c r="J153" s="128"/>
      <c r="K153" s="132"/>
      <c r="L153" s="132"/>
      <c r="M153" s="133"/>
      <c r="N153" s="133"/>
      <c r="O153" s="133"/>
      <c r="P153" s="129"/>
      <c r="Z153" s="75"/>
      <c r="AA153" s="76"/>
      <c r="AB153" s="76"/>
      <c r="AC153" s="129"/>
      <c r="AD153" s="134"/>
      <c r="AE153" s="134"/>
      <c r="AF153" s="134"/>
      <c r="AG153" s="134"/>
      <c r="AH153" s="134"/>
      <c r="AI153" s="134"/>
      <c r="AJ153" s="134"/>
      <c r="AK153" s="134"/>
      <c r="AL153" s="134"/>
      <c r="AM153" s="134"/>
      <c r="AN153" s="134"/>
      <c r="AO153" s="134"/>
      <c r="AP153" s="134"/>
      <c r="AQ153" s="134"/>
      <c r="AR153" s="134"/>
      <c r="AS153" s="134"/>
      <c r="AT153" s="134"/>
      <c r="AU153" s="134"/>
      <c r="AV153" s="134"/>
      <c r="AW153" s="134"/>
      <c r="AX153" s="134"/>
      <c r="AY153" s="134"/>
      <c r="AZ153" s="134"/>
      <c r="BA153" s="134"/>
      <c r="BB153" s="134"/>
      <c r="BC153" s="134"/>
      <c r="BD153" s="134"/>
      <c r="BE153" s="134"/>
      <c r="BF153" s="134"/>
      <c r="BG153" s="134"/>
      <c r="BH153" s="134"/>
      <c r="BI153" s="134"/>
      <c r="BJ153" s="134"/>
      <c r="BK153" s="134"/>
      <c r="BL153" s="134"/>
      <c r="BM153" s="135"/>
      <c r="BN153" s="136" t="n">
        <f aca="false">+MAX($D$3,DATOS_[[#This Row],[Fecha Inicio Sit. Contract.]])</f>
        <v>0</v>
      </c>
      <c r="BO153" s="136" t="n">
        <f aca="false">+MIN($D$4,DATOS_[[#This Row],[Fecha Fin Sit. Contract.]])</f>
        <v>0</v>
      </c>
      <c r="BP153" s="137" t="n">
        <f aca="false">+DATOS_[[#This Row],[% de jornada]]*IF(DATOS_[[#This Row],[% jornada reducida]]="",1,DATOS_[[#This Row],[% jornada reducida]])</f>
        <v>0</v>
      </c>
      <c r="BQ153" s="137" t="n">
        <f aca="false">+(DATOS_[[#This Row],[F.fin.cal]]-DATOS_[[#This Row],[F.ini.cal]]+1)/($D$4-$D$3+1)</f>
        <v>1</v>
      </c>
      <c r="BR153" s="137" t="str">
        <f aca="false">IF(OR(AND(DATOS_[[#This Row],[Fecha Fin Contrato]]&lt;$D$3,DATOS_[[#This Row],[Fecha Fin Contrato]]&lt;&gt;""),DATOS_[[#This Row],[Fecha de Contratación]]&gt;$D$4),"Fuera","Dentro")</f>
        <v>Dentro</v>
      </c>
      <c r="BS153" s="137" t="str">
        <f aca="false" t="array" ref="BS153:BS153">IF(MAX(IF(DATOS_[id]=DATOS_[[#This Row],[id]],DATOS_[F.fin.cal]))=DATOS_[[#This Row],[F.fin.cal]],"Sí","NO")</f>
        <v>Sí</v>
      </c>
      <c r="BT153" s="137" t="str">
        <f aca="false">IF(AND(DATOS_[[#This Row],[% normaliz]]&lt;&gt;1,DATOS_[[#This Row],[% anualiz]]=1),"Sí","NO")</f>
        <v>Sí</v>
      </c>
      <c r="BU153" s="137" t="str">
        <f aca="false">IF(AND(DATOS_[[#This Row],[% normaliz]]=1,DATOS_[[#This Row],[% anualiz]]&lt;&gt;1),"Sí","NO")</f>
        <v>NO</v>
      </c>
      <c r="BV153" s="137" t="str">
        <f aca="false">IF(AND(DATOS_[[#This Row],[% normaliz]]&lt;&gt;1,DATOS_[[#This Row],[% anualiz]]&lt;&gt;1),"Sí","NO")</f>
        <v>NO</v>
      </c>
      <c r="BW153" s="137" t="str">
        <f aca="false">+IF(DATOS_[[#This Row],[% normaliz]]*DATOS_[[#This Row],[% anualiz]]=1,"NO","Sí")</f>
        <v>Sí</v>
      </c>
      <c r="BX153" s="138" t="e">
        <f aca="false">(DATOS_[[#This Row],[S.BASE]]*(1/DATOS_[[#This Row],[% normaliz]])*(1/DATOS_[[#This Row],[% anualiz]]))*IF(DATOS_[[#This Row],[Check Equiparado]]="Sí",1,0)</f>
        <v>#DIV/0!</v>
      </c>
      <c r="BY1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3" s="138" t="e">
        <f aca="false">+DATOS_[[#This Row],[SALARIO BASE Eq]]+DATOS_[[#This Row],[Tot COMPL.SAL Eq]]</f>
        <v>#DIV/0!</v>
      </c>
      <c r="CA153" s="138" t="e">
        <f aca="false" t="array" ref="CA153:CA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3" s="138" t="e">
        <f aca="false">+DATOS_[[#This Row],[TOTAL SALARIO Eq]]+DATOS_[[#This Row],[Tot Extrasalarial Eq]]</f>
        <v>#DIV/0!</v>
      </c>
      <c r="CC153" s="139" t="n">
        <f aca="false">DATOS_[[#This Row],[S.BASE]]</f>
        <v>0</v>
      </c>
      <c r="CD153" s="139" t="n">
        <f aca="false">+SUM(DATOS_[[#This Row],[Conc.Sal.01]:[Conc.Sal.30]])</f>
        <v>0</v>
      </c>
      <c r="CE153" s="139" t="n">
        <f aca="false">+DATOS_[[#This Row],[SALARIO BASE Ef]]+DATOS_[[#This Row],[Tot COMPL.SAL Ef]]</f>
        <v>0</v>
      </c>
      <c r="CF153" s="139" t="n">
        <f aca="false">+SUM(DATOS_[[#This Row],[C.Extra.01]:[C.Extra.05]])</f>
        <v>0</v>
      </c>
      <c r="CG153" s="139" t="n">
        <f aca="false">+DATOS_[[#This Row],[TOTAL SALARIO Ef]]+DATOS_[[#This Row],[Tot Extrasalarial Ef]]</f>
        <v>0</v>
      </c>
      <c r="CH153" s="140" t="n">
        <f aca="false">MIN(IF(DATOS_[[#This Row],[Fecha Fin Contrato]]="",$D$4,DATOS_[[#This Row],[Fecha Fin Contrato]]),$D$4)-MAX(DATOS_[[#This Row],[Fecha de Contratación]],$D$3)+1</f>
        <v>1</v>
      </c>
      <c r="CI153" s="141" t="str">
        <f aca="false">IF(COUNTIFS(DATOS_[id],DATOS_[[#This Row],[id]])&gt;1,DATOS_[[#This Row],[id]],"")</f>
        <v/>
      </c>
      <c r="CJ153" s="141" t="n">
        <f aca="false">(Inicio!$G$10-DATOS_[[#This Row],[Fecha Nacimiento]])/365.25</f>
        <v>0</v>
      </c>
      <c r="CK153" s="141" t="n">
        <f aca="false">(Inicio!$G$10-DATOS_[[#This Row],[Fecha de Antigüedad]])/365.25</f>
        <v>0</v>
      </c>
      <c r="CL153" s="141" t="e">
        <f aca="false">+VLOOKUP(DATOS_[[#This Row],[Clave de Contrato]],TblTiposContrato13[],3,0)</f>
        <v>#N/A</v>
      </c>
      <c r="CM153" s="141" t="e">
        <f aca="false">+VLOOKUP(DATOS_[[#This Row],[Clave de Contrato]],TblTiposContrato13[],4,0)</f>
        <v>#N/A</v>
      </c>
      <c r="CN153" s="141" t="str">
        <f aca="false">VLOOKUP(DATOS_[[#This Row],[Edad]],CONTRATOS!TblRngEdad,2,1)</f>
        <v>20  o menos</v>
      </c>
      <c r="CO153" s="141" t="str">
        <f aca="false">VLOOKUP(DATOS_[[#This Row],[Antigüedad]],TblRngAntg14[],2,1)</f>
        <v>0 a 1 años</v>
      </c>
    </row>
    <row r="154" customFormat="false" ht="13.8" hidden="false" customHeight="false" outlineLevel="0" collapsed="false">
      <c r="D154" s="128"/>
      <c r="E154" s="129"/>
      <c r="F154" s="129"/>
      <c r="G154" s="129"/>
      <c r="H154" s="130"/>
      <c r="I154" s="131"/>
      <c r="J154" s="128"/>
      <c r="K154" s="132"/>
      <c r="L154" s="132"/>
      <c r="M154" s="133"/>
      <c r="N154" s="133"/>
      <c r="O154" s="133"/>
      <c r="P154" s="129"/>
      <c r="Z154" s="75"/>
      <c r="AA154" s="76"/>
      <c r="AB154" s="76"/>
      <c r="AC154" s="129"/>
      <c r="AD154" s="134"/>
      <c r="AE154" s="134"/>
      <c r="AF154" s="134"/>
      <c r="AG154" s="134"/>
      <c r="AH154" s="134"/>
      <c r="AI154" s="134"/>
      <c r="AJ154" s="134"/>
      <c r="AK154" s="134"/>
      <c r="AL154" s="134"/>
      <c r="AM154" s="134"/>
      <c r="AN154" s="134"/>
      <c r="AO154" s="134"/>
      <c r="AP154" s="134"/>
      <c r="AQ154" s="134"/>
      <c r="AR154" s="134"/>
      <c r="AS154" s="134"/>
      <c r="AT154" s="134"/>
      <c r="AU154" s="134"/>
      <c r="AV154" s="134"/>
      <c r="AW154" s="134"/>
      <c r="AX154" s="134"/>
      <c r="AY154" s="134"/>
      <c r="AZ154" s="134"/>
      <c r="BA154" s="134"/>
      <c r="BB154" s="134"/>
      <c r="BC154" s="134"/>
      <c r="BD154" s="134"/>
      <c r="BE154" s="134"/>
      <c r="BF154" s="134"/>
      <c r="BG154" s="134"/>
      <c r="BH154" s="134"/>
      <c r="BI154" s="134"/>
      <c r="BJ154" s="134"/>
      <c r="BK154" s="134"/>
      <c r="BL154" s="134"/>
      <c r="BM154" s="135"/>
      <c r="BN154" s="136" t="n">
        <f aca="false">+MAX($D$3,DATOS_[[#This Row],[Fecha Inicio Sit. Contract.]])</f>
        <v>0</v>
      </c>
      <c r="BO154" s="136" t="n">
        <f aca="false">+MIN($D$4,DATOS_[[#This Row],[Fecha Fin Sit. Contract.]])</f>
        <v>0</v>
      </c>
      <c r="BP154" s="137" t="n">
        <f aca="false">+DATOS_[[#This Row],[% de jornada]]*IF(DATOS_[[#This Row],[% jornada reducida]]="",1,DATOS_[[#This Row],[% jornada reducida]])</f>
        <v>0</v>
      </c>
      <c r="BQ154" s="137" t="n">
        <f aca="false">+(DATOS_[[#This Row],[F.fin.cal]]-DATOS_[[#This Row],[F.ini.cal]]+1)/($D$4-$D$3+1)</f>
        <v>1</v>
      </c>
      <c r="BR154" s="137" t="str">
        <f aca="false">IF(OR(AND(DATOS_[[#This Row],[Fecha Fin Contrato]]&lt;$D$3,DATOS_[[#This Row],[Fecha Fin Contrato]]&lt;&gt;""),DATOS_[[#This Row],[Fecha de Contratación]]&gt;$D$4),"Fuera","Dentro")</f>
        <v>Dentro</v>
      </c>
      <c r="BS154" s="137" t="str">
        <f aca="false" t="array" ref="BS154:BS154">IF(MAX(IF(DATOS_[id]=DATOS_[[#This Row],[id]],DATOS_[F.fin.cal]))=DATOS_[[#This Row],[F.fin.cal]],"Sí","NO")</f>
        <v>Sí</v>
      </c>
      <c r="BT154" s="137" t="str">
        <f aca="false">IF(AND(DATOS_[[#This Row],[% normaliz]]&lt;&gt;1,DATOS_[[#This Row],[% anualiz]]=1),"Sí","NO")</f>
        <v>Sí</v>
      </c>
      <c r="BU154" s="137" t="str">
        <f aca="false">IF(AND(DATOS_[[#This Row],[% normaliz]]=1,DATOS_[[#This Row],[% anualiz]]&lt;&gt;1),"Sí","NO")</f>
        <v>NO</v>
      </c>
      <c r="BV154" s="137" t="str">
        <f aca="false">IF(AND(DATOS_[[#This Row],[% normaliz]]&lt;&gt;1,DATOS_[[#This Row],[% anualiz]]&lt;&gt;1),"Sí","NO")</f>
        <v>NO</v>
      </c>
      <c r="BW154" s="137" t="str">
        <f aca="false">+IF(DATOS_[[#This Row],[% normaliz]]*DATOS_[[#This Row],[% anualiz]]=1,"NO","Sí")</f>
        <v>Sí</v>
      </c>
      <c r="BX154" s="138" t="e">
        <f aca="false">(DATOS_[[#This Row],[S.BASE]]*(1/DATOS_[[#This Row],[% normaliz]])*(1/DATOS_[[#This Row],[% anualiz]]))*IF(DATOS_[[#This Row],[Check Equiparado]]="Sí",1,0)</f>
        <v>#DIV/0!</v>
      </c>
      <c r="BY1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4" s="138" t="e">
        <f aca="false">+DATOS_[[#This Row],[SALARIO BASE Eq]]+DATOS_[[#This Row],[Tot COMPL.SAL Eq]]</f>
        <v>#DIV/0!</v>
      </c>
      <c r="CA154" s="138" t="e">
        <f aca="false" t="array" ref="CA154:CA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4" s="138" t="e">
        <f aca="false">+DATOS_[[#This Row],[TOTAL SALARIO Eq]]+DATOS_[[#This Row],[Tot Extrasalarial Eq]]</f>
        <v>#DIV/0!</v>
      </c>
      <c r="CC154" s="139" t="n">
        <f aca="false">DATOS_[[#This Row],[S.BASE]]</f>
        <v>0</v>
      </c>
      <c r="CD154" s="139" t="n">
        <f aca="false">+SUM(DATOS_[[#This Row],[Conc.Sal.01]:[Conc.Sal.30]])</f>
        <v>0</v>
      </c>
      <c r="CE154" s="139" t="n">
        <f aca="false">+DATOS_[[#This Row],[SALARIO BASE Ef]]+DATOS_[[#This Row],[Tot COMPL.SAL Ef]]</f>
        <v>0</v>
      </c>
      <c r="CF154" s="139" t="n">
        <f aca="false">+SUM(DATOS_[[#This Row],[C.Extra.01]:[C.Extra.05]])</f>
        <v>0</v>
      </c>
      <c r="CG154" s="139" t="n">
        <f aca="false">+DATOS_[[#This Row],[TOTAL SALARIO Ef]]+DATOS_[[#This Row],[Tot Extrasalarial Ef]]</f>
        <v>0</v>
      </c>
      <c r="CH154" s="140" t="n">
        <f aca="false">MIN(IF(DATOS_[[#This Row],[Fecha Fin Contrato]]="",$D$4,DATOS_[[#This Row],[Fecha Fin Contrato]]),$D$4)-MAX(DATOS_[[#This Row],[Fecha de Contratación]],$D$3)+1</f>
        <v>1</v>
      </c>
      <c r="CI154" s="141" t="str">
        <f aca="false">IF(COUNTIFS(DATOS_[id],DATOS_[[#This Row],[id]])&gt;1,DATOS_[[#This Row],[id]],"")</f>
        <v/>
      </c>
      <c r="CJ154" s="141" t="n">
        <f aca="false">(Inicio!$G$10-DATOS_[[#This Row],[Fecha Nacimiento]])/365.25</f>
        <v>0</v>
      </c>
      <c r="CK154" s="141" t="n">
        <f aca="false">(Inicio!$G$10-DATOS_[[#This Row],[Fecha de Antigüedad]])/365.25</f>
        <v>0</v>
      </c>
      <c r="CL154" s="141" t="e">
        <f aca="false">+VLOOKUP(DATOS_[[#This Row],[Clave de Contrato]],TblTiposContrato13[],3,0)</f>
        <v>#N/A</v>
      </c>
      <c r="CM154" s="141" t="e">
        <f aca="false">+VLOOKUP(DATOS_[[#This Row],[Clave de Contrato]],TblTiposContrato13[],4,0)</f>
        <v>#N/A</v>
      </c>
      <c r="CN154" s="141" t="str">
        <f aca="false">VLOOKUP(DATOS_[[#This Row],[Edad]],CONTRATOS!TblRngEdad,2,1)</f>
        <v>20  o menos</v>
      </c>
      <c r="CO154" s="141" t="str">
        <f aca="false">VLOOKUP(DATOS_[[#This Row],[Antigüedad]],TblRngAntg14[],2,1)</f>
        <v>0 a 1 años</v>
      </c>
    </row>
    <row r="155" customFormat="false" ht="13.8" hidden="false" customHeight="false" outlineLevel="0" collapsed="false">
      <c r="D155" s="128"/>
      <c r="E155" s="129"/>
      <c r="F155" s="129"/>
      <c r="G155" s="129"/>
      <c r="H155" s="130"/>
      <c r="I155" s="131"/>
      <c r="J155" s="128"/>
      <c r="K155" s="132"/>
      <c r="L155" s="132"/>
      <c r="M155" s="133"/>
      <c r="N155" s="133"/>
      <c r="O155" s="133"/>
      <c r="P155" s="129"/>
      <c r="Z155" s="75"/>
      <c r="AA155" s="76"/>
      <c r="AB155" s="76"/>
      <c r="AC155" s="129"/>
      <c r="AD155" s="134"/>
      <c r="AE155" s="134"/>
      <c r="AF155" s="134"/>
      <c r="AG155" s="134"/>
      <c r="AH155" s="134"/>
      <c r="AI155" s="134"/>
      <c r="AJ155" s="134"/>
      <c r="AK155" s="134"/>
      <c r="AL155" s="134"/>
      <c r="AM155" s="134"/>
      <c r="AN155" s="134"/>
      <c r="AO155" s="134"/>
      <c r="AP155" s="134"/>
      <c r="AQ155" s="134"/>
      <c r="AR155" s="134"/>
      <c r="AS155" s="134"/>
      <c r="AT155" s="134"/>
      <c r="AU155" s="134"/>
      <c r="AV155" s="134"/>
      <c r="AW155" s="134"/>
      <c r="AX155" s="134"/>
      <c r="AY155" s="134"/>
      <c r="AZ155" s="134"/>
      <c r="BA155" s="134"/>
      <c r="BB155" s="134"/>
      <c r="BC155" s="134"/>
      <c r="BD155" s="134"/>
      <c r="BE155" s="134"/>
      <c r="BF155" s="134"/>
      <c r="BG155" s="134"/>
      <c r="BH155" s="134"/>
      <c r="BI155" s="134"/>
      <c r="BJ155" s="134"/>
      <c r="BK155" s="134"/>
      <c r="BL155" s="134"/>
      <c r="BM155" s="135"/>
      <c r="BN155" s="136" t="n">
        <f aca="false">+MAX($D$3,DATOS_[[#This Row],[Fecha Inicio Sit. Contract.]])</f>
        <v>0</v>
      </c>
      <c r="BO155" s="136" t="n">
        <f aca="false">+MIN($D$4,DATOS_[[#This Row],[Fecha Fin Sit. Contract.]])</f>
        <v>0</v>
      </c>
      <c r="BP155" s="137" t="n">
        <f aca="false">+DATOS_[[#This Row],[% de jornada]]*IF(DATOS_[[#This Row],[% jornada reducida]]="",1,DATOS_[[#This Row],[% jornada reducida]])</f>
        <v>0</v>
      </c>
      <c r="BQ155" s="137" t="n">
        <f aca="false">+(DATOS_[[#This Row],[F.fin.cal]]-DATOS_[[#This Row],[F.ini.cal]]+1)/($D$4-$D$3+1)</f>
        <v>1</v>
      </c>
      <c r="BR155" s="137" t="str">
        <f aca="false">IF(OR(AND(DATOS_[[#This Row],[Fecha Fin Contrato]]&lt;$D$3,DATOS_[[#This Row],[Fecha Fin Contrato]]&lt;&gt;""),DATOS_[[#This Row],[Fecha de Contratación]]&gt;$D$4),"Fuera","Dentro")</f>
        <v>Dentro</v>
      </c>
      <c r="BS155" s="137" t="str">
        <f aca="false" t="array" ref="BS155:BS155">IF(MAX(IF(DATOS_[id]=DATOS_[[#This Row],[id]],DATOS_[F.fin.cal]))=DATOS_[[#This Row],[F.fin.cal]],"Sí","NO")</f>
        <v>Sí</v>
      </c>
      <c r="BT155" s="137" t="str">
        <f aca="false">IF(AND(DATOS_[[#This Row],[% normaliz]]&lt;&gt;1,DATOS_[[#This Row],[% anualiz]]=1),"Sí","NO")</f>
        <v>Sí</v>
      </c>
      <c r="BU155" s="137" t="str">
        <f aca="false">IF(AND(DATOS_[[#This Row],[% normaliz]]=1,DATOS_[[#This Row],[% anualiz]]&lt;&gt;1),"Sí","NO")</f>
        <v>NO</v>
      </c>
      <c r="BV155" s="137" t="str">
        <f aca="false">IF(AND(DATOS_[[#This Row],[% normaliz]]&lt;&gt;1,DATOS_[[#This Row],[% anualiz]]&lt;&gt;1),"Sí","NO")</f>
        <v>NO</v>
      </c>
      <c r="BW155" s="137" t="str">
        <f aca="false">+IF(DATOS_[[#This Row],[% normaliz]]*DATOS_[[#This Row],[% anualiz]]=1,"NO","Sí")</f>
        <v>Sí</v>
      </c>
      <c r="BX155" s="138" t="e">
        <f aca="false">(DATOS_[[#This Row],[S.BASE]]*(1/DATOS_[[#This Row],[% normaliz]])*(1/DATOS_[[#This Row],[% anualiz]]))*IF(DATOS_[[#This Row],[Check Equiparado]]="Sí",1,0)</f>
        <v>#DIV/0!</v>
      </c>
      <c r="BY1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5" s="138" t="e">
        <f aca="false">+DATOS_[[#This Row],[SALARIO BASE Eq]]+DATOS_[[#This Row],[Tot COMPL.SAL Eq]]</f>
        <v>#DIV/0!</v>
      </c>
      <c r="CA155" s="138" t="e">
        <f aca="false" t="array" ref="CA155:CA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5" s="138" t="e">
        <f aca="false">+DATOS_[[#This Row],[TOTAL SALARIO Eq]]+DATOS_[[#This Row],[Tot Extrasalarial Eq]]</f>
        <v>#DIV/0!</v>
      </c>
      <c r="CC155" s="139" t="n">
        <f aca="false">DATOS_[[#This Row],[S.BASE]]</f>
        <v>0</v>
      </c>
      <c r="CD155" s="139" t="n">
        <f aca="false">+SUM(DATOS_[[#This Row],[Conc.Sal.01]:[Conc.Sal.30]])</f>
        <v>0</v>
      </c>
      <c r="CE155" s="139" t="n">
        <f aca="false">+DATOS_[[#This Row],[SALARIO BASE Ef]]+DATOS_[[#This Row],[Tot COMPL.SAL Ef]]</f>
        <v>0</v>
      </c>
      <c r="CF155" s="139" t="n">
        <f aca="false">+SUM(DATOS_[[#This Row],[C.Extra.01]:[C.Extra.05]])</f>
        <v>0</v>
      </c>
      <c r="CG155" s="139" t="n">
        <f aca="false">+DATOS_[[#This Row],[TOTAL SALARIO Ef]]+DATOS_[[#This Row],[Tot Extrasalarial Ef]]</f>
        <v>0</v>
      </c>
      <c r="CH155" s="140" t="n">
        <f aca="false">MIN(IF(DATOS_[[#This Row],[Fecha Fin Contrato]]="",$D$4,DATOS_[[#This Row],[Fecha Fin Contrato]]),$D$4)-MAX(DATOS_[[#This Row],[Fecha de Contratación]],$D$3)+1</f>
        <v>1</v>
      </c>
      <c r="CI155" s="141" t="str">
        <f aca="false">IF(COUNTIFS(DATOS_[id],DATOS_[[#This Row],[id]])&gt;1,DATOS_[[#This Row],[id]],"")</f>
        <v/>
      </c>
      <c r="CJ155" s="141" t="n">
        <f aca="false">(Inicio!$G$10-DATOS_[[#This Row],[Fecha Nacimiento]])/365.25</f>
        <v>0</v>
      </c>
      <c r="CK155" s="141" t="n">
        <f aca="false">(Inicio!$G$10-DATOS_[[#This Row],[Fecha de Antigüedad]])/365.25</f>
        <v>0</v>
      </c>
      <c r="CL155" s="141" t="e">
        <f aca="false">+VLOOKUP(DATOS_[[#This Row],[Clave de Contrato]],TblTiposContrato13[],3,0)</f>
        <v>#N/A</v>
      </c>
      <c r="CM155" s="141" t="e">
        <f aca="false">+VLOOKUP(DATOS_[[#This Row],[Clave de Contrato]],TblTiposContrato13[],4,0)</f>
        <v>#N/A</v>
      </c>
      <c r="CN155" s="141" t="str">
        <f aca="false">VLOOKUP(DATOS_[[#This Row],[Edad]],CONTRATOS!TblRngEdad,2,1)</f>
        <v>20  o menos</v>
      </c>
      <c r="CO155" s="141" t="str">
        <f aca="false">VLOOKUP(DATOS_[[#This Row],[Antigüedad]],TblRngAntg14[],2,1)</f>
        <v>0 a 1 años</v>
      </c>
    </row>
    <row r="156" customFormat="false" ht="13.8" hidden="false" customHeight="false" outlineLevel="0" collapsed="false">
      <c r="D156" s="128"/>
      <c r="E156" s="129"/>
      <c r="F156" s="129"/>
      <c r="G156" s="129"/>
      <c r="H156" s="130"/>
      <c r="I156" s="131"/>
      <c r="J156" s="128"/>
      <c r="K156" s="132"/>
      <c r="L156" s="132"/>
      <c r="M156" s="133"/>
      <c r="N156" s="133"/>
      <c r="O156" s="133"/>
      <c r="P156" s="129"/>
      <c r="Z156" s="75"/>
      <c r="AA156" s="76"/>
      <c r="AB156" s="76"/>
      <c r="AC156" s="129"/>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4"/>
      <c r="AY156" s="134"/>
      <c r="AZ156" s="134"/>
      <c r="BA156" s="134"/>
      <c r="BB156" s="134"/>
      <c r="BC156" s="134"/>
      <c r="BD156" s="134"/>
      <c r="BE156" s="134"/>
      <c r="BF156" s="134"/>
      <c r="BG156" s="134"/>
      <c r="BH156" s="134"/>
      <c r="BI156" s="134"/>
      <c r="BJ156" s="134"/>
      <c r="BK156" s="134"/>
      <c r="BL156" s="134"/>
      <c r="BM156" s="135"/>
      <c r="BN156" s="136" t="n">
        <f aca="false">+MAX($D$3,DATOS_[[#This Row],[Fecha Inicio Sit. Contract.]])</f>
        <v>0</v>
      </c>
      <c r="BO156" s="136" t="n">
        <f aca="false">+MIN($D$4,DATOS_[[#This Row],[Fecha Fin Sit. Contract.]])</f>
        <v>0</v>
      </c>
      <c r="BP156" s="137" t="n">
        <f aca="false">+DATOS_[[#This Row],[% de jornada]]*IF(DATOS_[[#This Row],[% jornada reducida]]="",1,DATOS_[[#This Row],[% jornada reducida]])</f>
        <v>0</v>
      </c>
      <c r="BQ156" s="137" t="n">
        <f aca="false">+(DATOS_[[#This Row],[F.fin.cal]]-DATOS_[[#This Row],[F.ini.cal]]+1)/($D$4-$D$3+1)</f>
        <v>1</v>
      </c>
      <c r="BR156" s="137" t="str">
        <f aca="false">IF(OR(AND(DATOS_[[#This Row],[Fecha Fin Contrato]]&lt;$D$3,DATOS_[[#This Row],[Fecha Fin Contrato]]&lt;&gt;""),DATOS_[[#This Row],[Fecha de Contratación]]&gt;$D$4),"Fuera","Dentro")</f>
        <v>Dentro</v>
      </c>
      <c r="BS156" s="137" t="str">
        <f aca="false" t="array" ref="BS156:BS156">IF(MAX(IF(DATOS_[id]=DATOS_[[#This Row],[id]],DATOS_[F.fin.cal]))=DATOS_[[#This Row],[F.fin.cal]],"Sí","NO")</f>
        <v>Sí</v>
      </c>
      <c r="BT156" s="137" t="str">
        <f aca="false">IF(AND(DATOS_[[#This Row],[% normaliz]]&lt;&gt;1,DATOS_[[#This Row],[% anualiz]]=1),"Sí","NO")</f>
        <v>Sí</v>
      </c>
      <c r="BU156" s="137" t="str">
        <f aca="false">IF(AND(DATOS_[[#This Row],[% normaliz]]=1,DATOS_[[#This Row],[% anualiz]]&lt;&gt;1),"Sí","NO")</f>
        <v>NO</v>
      </c>
      <c r="BV156" s="137" t="str">
        <f aca="false">IF(AND(DATOS_[[#This Row],[% normaliz]]&lt;&gt;1,DATOS_[[#This Row],[% anualiz]]&lt;&gt;1),"Sí","NO")</f>
        <v>NO</v>
      </c>
      <c r="BW156" s="137" t="str">
        <f aca="false">+IF(DATOS_[[#This Row],[% normaliz]]*DATOS_[[#This Row],[% anualiz]]=1,"NO","Sí")</f>
        <v>Sí</v>
      </c>
      <c r="BX156" s="138" t="e">
        <f aca="false">(DATOS_[[#This Row],[S.BASE]]*(1/DATOS_[[#This Row],[% normaliz]])*(1/DATOS_[[#This Row],[% anualiz]]))*IF(DATOS_[[#This Row],[Check Equiparado]]="Sí",1,0)</f>
        <v>#DIV/0!</v>
      </c>
      <c r="BY1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6" s="138" t="e">
        <f aca="false">+DATOS_[[#This Row],[SALARIO BASE Eq]]+DATOS_[[#This Row],[Tot COMPL.SAL Eq]]</f>
        <v>#DIV/0!</v>
      </c>
      <c r="CA156" s="138" t="e">
        <f aca="false" t="array" ref="CA156:CA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6" s="138" t="e">
        <f aca="false">+DATOS_[[#This Row],[TOTAL SALARIO Eq]]+DATOS_[[#This Row],[Tot Extrasalarial Eq]]</f>
        <v>#DIV/0!</v>
      </c>
      <c r="CC156" s="139" t="n">
        <f aca="false">DATOS_[[#This Row],[S.BASE]]</f>
        <v>0</v>
      </c>
      <c r="CD156" s="139" t="n">
        <f aca="false">+SUM(DATOS_[[#This Row],[Conc.Sal.01]:[Conc.Sal.30]])</f>
        <v>0</v>
      </c>
      <c r="CE156" s="139" t="n">
        <f aca="false">+DATOS_[[#This Row],[SALARIO BASE Ef]]+DATOS_[[#This Row],[Tot COMPL.SAL Ef]]</f>
        <v>0</v>
      </c>
      <c r="CF156" s="139" t="n">
        <f aca="false">+SUM(DATOS_[[#This Row],[C.Extra.01]:[C.Extra.05]])</f>
        <v>0</v>
      </c>
      <c r="CG156" s="139" t="n">
        <f aca="false">+DATOS_[[#This Row],[TOTAL SALARIO Ef]]+DATOS_[[#This Row],[Tot Extrasalarial Ef]]</f>
        <v>0</v>
      </c>
      <c r="CH156" s="140" t="n">
        <f aca="false">MIN(IF(DATOS_[[#This Row],[Fecha Fin Contrato]]="",$D$4,DATOS_[[#This Row],[Fecha Fin Contrato]]),$D$4)-MAX(DATOS_[[#This Row],[Fecha de Contratación]],$D$3)+1</f>
        <v>1</v>
      </c>
      <c r="CI156" s="141" t="str">
        <f aca="false">IF(COUNTIFS(DATOS_[id],DATOS_[[#This Row],[id]])&gt;1,DATOS_[[#This Row],[id]],"")</f>
        <v/>
      </c>
      <c r="CJ156" s="141" t="n">
        <f aca="false">(Inicio!$G$10-DATOS_[[#This Row],[Fecha Nacimiento]])/365.25</f>
        <v>0</v>
      </c>
      <c r="CK156" s="141" t="n">
        <f aca="false">(Inicio!$G$10-DATOS_[[#This Row],[Fecha de Antigüedad]])/365.25</f>
        <v>0</v>
      </c>
      <c r="CL156" s="141" t="e">
        <f aca="false">+VLOOKUP(DATOS_[[#This Row],[Clave de Contrato]],TblTiposContrato13[],3,0)</f>
        <v>#N/A</v>
      </c>
      <c r="CM156" s="141" t="e">
        <f aca="false">+VLOOKUP(DATOS_[[#This Row],[Clave de Contrato]],TblTiposContrato13[],4,0)</f>
        <v>#N/A</v>
      </c>
      <c r="CN156" s="141" t="str">
        <f aca="false">VLOOKUP(DATOS_[[#This Row],[Edad]],CONTRATOS!TblRngEdad,2,1)</f>
        <v>20  o menos</v>
      </c>
      <c r="CO156" s="141" t="str">
        <f aca="false">VLOOKUP(DATOS_[[#This Row],[Antigüedad]],TblRngAntg14[],2,1)</f>
        <v>0 a 1 años</v>
      </c>
    </row>
    <row r="157" customFormat="false" ht="13.8" hidden="false" customHeight="false" outlineLevel="0" collapsed="false">
      <c r="D157" s="128"/>
      <c r="E157" s="129"/>
      <c r="F157" s="129"/>
      <c r="G157" s="129"/>
      <c r="H157" s="130"/>
      <c r="I157" s="131"/>
      <c r="J157" s="128"/>
      <c r="K157" s="132"/>
      <c r="L157" s="132"/>
      <c r="M157" s="133"/>
      <c r="N157" s="133"/>
      <c r="O157" s="133"/>
      <c r="P157" s="129"/>
      <c r="Z157" s="75"/>
      <c r="AA157" s="76"/>
      <c r="AB157" s="76"/>
      <c r="AC157" s="129"/>
      <c r="AD157" s="134"/>
      <c r="AE157" s="134"/>
      <c r="AF157" s="134"/>
      <c r="AG157" s="134"/>
      <c r="AH157" s="134"/>
      <c r="AI157" s="134"/>
      <c r="AJ157" s="134"/>
      <c r="AK157" s="134"/>
      <c r="AL157" s="134"/>
      <c r="AM157" s="134"/>
      <c r="AN157" s="134"/>
      <c r="AO157" s="134"/>
      <c r="AP157" s="134"/>
      <c r="AQ157" s="134"/>
      <c r="AR157" s="134"/>
      <c r="AS157" s="134"/>
      <c r="AT157" s="134"/>
      <c r="AU157" s="134"/>
      <c r="AV157" s="134"/>
      <c r="AW157" s="134"/>
      <c r="AX157" s="134"/>
      <c r="AY157" s="134"/>
      <c r="AZ157" s="134"/>
      <c r="BA157" s="134"/>
      <c r="BB157" s="134"/>
      <c r="BC157" s="134"/>
      <c r="BD157" s="134"/>
      <c r="BE157" s="134"/>
      <c r="BF157" s="134"/>
      <c r="BG157" s="134"/>
      <c r="BH157" s="134"/>
      <c r="BI157" s="134"/>
      <c r="BJ157" s="134"/>
      <c r="BK157" s="134"/>
      <c r="BL157" s="134"/>
      <c r="BM157" s="135"/>
      <c r="BN157" s="136" t="n">
        <f aca="false">+MAX($D$3,DATOS_[[#This Row],[Fecha Inicio Sit. Contract.]])</f>
        <v>0</v>
      </c>
      <c r="BO157" s="136" t="n">
        <f aca="false">+MIN($D$4,DATOS_[[#This Row],[Fecha Fin Sit. Contract.]])</f>
        <v>0</v>
      </c>
      <c r="BP157" s="137" t="n">
        <f aca="false">+DATOS_[[#This Row],[% de jornada]]*IF(DATOS_[[#This Row],[% jornada reducida]]="",1,DATOS_[[#This Row],[% jornada reducida]])</f>
        <v>0</v>
      </c>
      <c r="BQ157" s="137" t="n">
        <f aca="false">+(DATOS_[[#This Row],[F.fin.cal]]-DATOS_[[#This Row],[F.ini.cal]]+1)/($D$4-$D$3+1)</f>
        <v>1</v>
      </c>
      <c r="BR157" s="137" t="str">
        <f aca="false">IF(OR(AND(DATOS_[[#This Row],[Fecha Fin Contrato]]&lt;$D$3,DATOS_[[#This Row],[Fecha Fin Contrato]]&lt;&gt;""),DATOS_[[#This Row],[Fecha de Contratación]]&gt;$D$4),"Fuera","Dentro")</f>
        <v>Dentro</v>
      </c>
      <c r="BS157" s="137" t="str">
        <f aca="false" t="array" ref="BS157:BS157">IF(MAX(IF(DATOS_[id]=DATOS_[[#This Row],[id]],DATOS_[F.fin.cal]))=DATOS_[[#This Row],[F.fin.cal]],"Sí","NO")</f>
        <v>Sí</v>
      </c>
      <c r="BT157" s="137" t="str">
        <f aca="false">IF(AND(DATOS_[[#This Row],[% normaliz]]&lt;&gt;1,DATOS_[[#This Row],[% anualiz]]=1),"Sí","NO")</f>
        <v>Sí</v>
      </c>
      <c r="BU157" s="137" t="str">
        <f aca="false">IF(AND(DATOS_[[#This Row],[% normaliz]]=1,DATOS_[[#This Row],[% anualiz]]&lt;&gt;1),"Sí","NO")</f>
        <v>NO</v>
      </c>
      <c r="BV157" s="137" t="str">
        <f aca="false">IF(AND(DATOS_[[#This Row],[% normaliz]]&lt;&gt;1,DATOS_[[#This Row],[% anualiz]]&lt;&gt;1),"Sí","NO")</f>
        <v>NO</v>
      </c>
      <c r="BW157" s="137" t="str">
        <f aca="false">+IF(DATOS_[[#This Row],[% normaliz]]*DATOS_[[#This Row],[% anualiz]]=1,"NO","Sí")</f>
        <v>Sí</v>
      </c>
      <c r="BX157" s="138" t="e">
        <f aca="false">(DATOS_[[#This Row],[S.BASE]]*(1/DATOS_[[#This Row],[% normaliz]])*(1/DATOS_[[#This Row],[% anualiz]]))*IF(DATOS_[[#This Row],[Check Equiparado]]="Sí",1,0)</f>
        <v>#DIV/0!</v>
      </c>
      <c r="BY1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7" s="138" t="e">
        <f aca="false">+DATOS_[[#This Row],[SALARIO BASE Eq]]+DATOS_[[#This Row],[Tot COMPL.SAL Eq]]</f>
        <v>#DIV/0!</v>
      </c>
      <c r="CA157" s="138" t="e">
        <f aca="false" t="array" ref="CA157:CA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7" s="138" t="e">
        <f aca="false">+DATOS_[[#This Row],[TOTAL SALARIO Eq]]+DATOS_[[#This Row],[Tot Extrasalarial Eq]]</f>
        <v>#DIV/0!</v>
      </c>
      <c r="CC157" s="139" t="n">
        <f aca="false">DATOS_[[#This Row],[S.BASE]]</f>
        <v>0</v>
      </c>
      <c r="CD157" s="139" t="n">
        <f aca="false">+SUM(DATOS_[[#This Row],[Conc.Sal.01]:[Conc.Sal.30]])</f>
        <v>0</v>
      </c>
      <c r="CE157" s="139" t="n">
        <f aca="false">+DATOS_[[#This Row],[SALARIO BASE Ef]]+DATOS_[[#This Row],[Tot COMPL.SAL Ef]]</f>
        <v>0</v>
      </c>
      <c r="CF157" s="139" t="n">
        <f aca="false">+SUM(DATOS_[[#This Row],[C.Extra.01]:[C.Extra.05]])</f>
        <v>0</v>
      </c>
      <c r="CG157" s="139" t="n">
        <f aca="false">+DATOS_[[#This Row],[TOTAL SALARIO Ef]]+DATOS_[[#This Row],[Tot Extrasalarial Ef]]</f>
        <v>0</v>
      </c>
      <c r="CH157" s="140" t="n">
        <f aca="false">MIN(IF(DATOS_[[#This Row],[Fecha Fin Contrato]]="",$D$4,DATOS_[[#This Row],[Fecha Fin Contrato]]),$D$4)-MAX(DATOS_[[#This Row],[Fecha de Contratación]],$D$3)+1</f>
        <v>1</v>
      </c>
      <c r="CI157" s="141" t="str">
        <f aca="false">IF(COUNTIFS(DATOS_[id],DATOS_[[#This Row],[id]])&gt;1,DATOS_[[#This Row],[id]],"")</f>
        <v/>
      </c>
      <c r="CJ157" s="141" t="n">
        <f aca="false">(Inicio!$G$10-DATOS_[[#This Row],[Fecha Nacimiento]])/365.25</f>
        <v>0</v>
      </c>
      <c r="CK157" s="141" t="n">
        <f aca="false">(Inicio!$G$10-DATOS_[[#This Row],[Fecha de Antigüedad]])/365.25</f>
        <v>0</v>
      </c>
      <c r="CL157" s="141" t="e">
        <f aca="false">+VLOOKUP(DATOS_[[#This Row],[Clave de Contrato]],TblTiposContrato13[],3,0)</f>
        <v>#N/A</v>
      </c>
      <c r="CM157" s="141" t="e">
        <f aca="false">+VLOOKUP(DATOS_[[#This Row],[Clave de Contrato]],TblTiposContrato13[],4,0)</f>
        <v>#N/A</v>
      </c>
      <c r="CN157" s="141" t="str">
        <f aca="false">VLOOKUP(DATOS_[[#This Row],[Edad]],CONTRATOS!TblRngEdad,2,1)</f>
        <v>20  o menos</v>
      </c>
      <c r="CO157" s="141" t="str">
        <f aca="false">VLOOKUP(DATOS_[[#This Row],[Antigüedad]],TblRngAntg14[],2,1)</f>
        <v>0 a 1 años</v>
      </c>
    </row>
    <row r="158" customFormat="false" ht="13.8" hidden="false" customHeight="false" outlineLevel="0" collapsed="false">
      <c r="D158" s="128"/>
      <c r="E158" s="129"/>
      <c r="F158" s="129"/>
      <c r="G158" s="129"/>
      <c r="H158" s="130"/>
      <c r="I158" s="131"/>
      <c r="J158" s="128"/>
      <c r="K158" s="132"/>
      <c r="L158" s="132"/>
      <c r="M158" s="133"/>
      <c r="N158" s="133"/>
      <c r="O158" s="133"/>
      <c r="P158" s="129"/>
      <c r="Z158" s="75"/>
      <c r="AA158" s="76"/>
      <c r="AB158" s="76"/>
      <c r="AC158" s="129"/>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4"/>
      <c r="BD158" s="134"/>
      <c r="BE158" s="134"/>
      <c r="BF158" s="134"/>
      <c r="BG158" s="134"/>
      <c r="BH158" s="134"/>
      <c r="BI158" s="134"/>
      <c r="BJ158" s="134"/>
      <c r="BK158" s="134"/>
      <c r="BL158" s="134"/>
      <c r="BM158" s="135"/>
      <c r="BN158" s="136" t="n">
        <f aca="false">+MAX($D$3,DATOS_[[#This Row],[Fecha Inicio Sit. Contract.]])</f>
        <v>0</v>
      </c>
      <c r="BO158" s="136" t="n">
        <f aca="false">+MIN($D$4,DATOS_[[#This Row],[Fecha Fin Sit. Contract.]])</f>
        <v>0</v>
      </c>
      <c r="BP158" s="137" t="n">
        <f aca="false">+DATOS_[[#This Row],[% de jornada]]*IF(DATOS_[[#This Row],[% jornada reducida]]="",1,DATOS_[[#This Row],[% jornada reducida]])</f>
        <v>0</v>
      </c>
      <c r="BQ158" s="137" t="n">
        <f aca="false">+(DATOS_[[#This Row],[F.fin.cal]]-DATOS_[[#This Row],[F.ini.cal]]+1)/($D$4-$D$3+1)</f>
        <v>1</v>
      </c>
      <c r="BR158" s="137" t="str">
        <f aca="false">IF(OR(AND(DATOS_[[#This Row],[Fecha Fin Contrato]]&lt;$D$3,DATOS_[[#This Row],[Fecha Fin Contrato]]&lt;&gt;""),DATOS_[[#This Row],[Fecha de Contratación]]&gt;$D$4),"Fuera","Dentro")</f>
        <v>Dentro</v>
      </c>
      <c r="BS158" s="137" t="str">
        <f aca="false" t="array" ref="BS158:BS158">IF(MAX(IF(DATOS_[id]=DATOS_[[#This Row],[id]],DATOS_[F.fin.cal]))=DATOS_[[#This Row],[F.fin.cal]],"Sí","NO")</f>
        <v>Sí</v>
      </c>
      <c r="BT158" s="137" t="str">
        <f aca="false">IF(AND(DATOS_[[#This Row],[% normaliz]]&lt;&gt;1,DATOS_[[#This Row],[% anualiz]]=1),"Sí","NO")</f>
        <v>Sí</v>
      </c>
      <c r="BU158" s="137" t="str">
        <f aca="false">IF(AND(DATOS_[[#This Row],[% normaliz]]=1,DATOS_[[#This Row],[% anualiz]]&lt;&gt;1),"Sí","NO")</f>
        <v>NO</v>
      </c>
      <c r="BV158" s="137" t="str">
        <f aca="false">IF(AND(DATOS_[[#This Row],[% normaliz]]&lt;&gt;1,DATOS_[[#This Row],[% anualiz]]&lt;&gt;1),"Sí","NO")</f>
        <v>NO</v>
      </c>
      <c r="BW158" s="137" t="str">
        <f aca="false">+IF(DATOS_[[#This Row],[% normaliz]]*DATOS_[[#This Row],[% anualiz]]=1,"NO","Sí")</f>
        <v>Sí</v>
      </c>
      <c r="BX158" s="138" t="e">
        <f aca="false">(DATOS_[[#This Row],[S.BASE]]*(1/DATOS_[[#This Row],[% normaliz]])*(1/DATOS_[[#This Row],[% anualiz]]))*IF(DATOS_[[#This Row],[Check Equiparado]]="Sí",1,0)</f>
        <v>#DIV/0!</v>
      </c>
      <c r="BY1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8" s="138" t="e">
        <f aca="false">+DATOS_[[#This Row],[SALARIO BASE Eq]]+DATOS_[[#This Row],[Tot COMPL.SAL Eq]]</f>
        <v>#DIV/0!</v>
      </c>
      <c r="CA158" s="138" t="e">
        <f aca="false" t="array" ref="CA158:CA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8" s="138" t="e">
        <f aca="false">+DATOS_[[#This Row],[TOTAL SALARIO Eq]]+DATOS_[[#This Row],[Tot Extrasalarial Eq]]</f>
        <v>#DIV/0!</v>
      </c>
      <c r="CC158" s="139" t="n">
        <f aca="false">DATOS_[[#This Row],[S.BASE]]</f>
        <v>0</v>
      </c>
      <c r="CD158" s="139" t="n">
        <f aca="false">+SUM(DATOS_[[#This Row],[Conc.Sal.01]:[Conc.Sal.30]])</f>
        <v>0</v>
      </c>
      <c r="CE158" s="139" t="n">
        <f aca="false">+DATOS_[[#This Row],[SALARIO BASE Ef]]+DATOS_[[#This Row],[Tot COMPL.SAL Ef]]</f>
        <v>0</v>
      </c>
      <c r="CF158" s="139" t="n">
        <f aca="false">+SUM(DATOS_[[#This Row],[C.Extra.01]:[C.Extra.05]])</f>
        <v>0</v>
      </c>
      <c r="CG158" s="139" t="n">
        <f aca="false">+DATOS_[[#This Row],[TOTAL SALARIO Ef]]+DATOS_[[#This Row],[Tot Extrasalarial Ef]]</f>
        <v>0</v>
      </c>
      <c r="CH158" s="140" t="n">
        <f aca="false">MIN(IF(DATOS_[[#This Row],[Fecha Fin Contrato]]="",$D$4,DATOS_[[#This Row],[Fecha Fin Contrato]]),$D$4)-MAX(DATOS_[[#This Row],[Fecha de Contratación]],$D$3)+1</f>
        <v>1</v>
      </c>
      <c r="CI158" s="141" t="str">
        <f aca="false">IF(COUNTIFS(DATOS_[id],DATOS_[[#This Row],[id]])&gt;1,DATOS_[[#This Row],[id]],"")</f>
        <v/>
      </c>
      <c r="CJ158" s="141" t="n">
        <f aca="false">(Inicio!$G$10-DATOS_[[#This Row],[Fecha Nacimiento]])/365.25</f>
        <v>0</v>
      </c>
      <c r="CK158" s="141" t="n">
        <f aca="false">(Inicio!$G$10-DATOS_[[#This Row],[Fecha de Antigüedad]])/365.25</f>
        <v>0</v>
      </c>
      <c r="CL158" s="141" t="e">
        <f aca="false">+VLOOKUP(DATOS_[[#This Row],[Clave de Contrato]],TblTiposContrato13[],3,0)</f>
        <v>#N/A</v>
      </c>
      <c r="CM158" s="141" t="e">
        <f aca="false">+VLOOKUP(DATOS_[[#This Row],[Clave de Contrato]],TblTiposContrato13[],4,0)</f>
        <v>#N/A</v>
      </c>
      <c r="CN158" s="141" t="str">
        <f aca="false">VLOOKUP(DATOS_[[#This Row],[Edad]],CONTRATOS!TblRngEdad,2,1)</f>
        <v>20  o menos</v>
      </c>
      <c r="CO158" s="141" t="str">
        <f aca="false">VLOOKUP(DATOS_[[#This Row],[Antigüedad]],TblRngAntg14[],2,1)</f>
        <v>0 a 1 años</v>
      </c>
    </row>
    <row r="159" customFormat="false" ht="13.8" hidden="false" customHeight="false" outlineLevel="0" collapsed="false">
      <c r="D159" s="128"/>
      <c r="E159" s="129"/>
      <c r="F159" s="129"/>
      <c r="G159" s="129"/>
      <c r="H159" s="130"/>
      <c r="I159" s="131"/>
      <c r="J159" s="128"/>
      <c r="K159" s="132"/>
      <c r="L159" s="132"/>
      <c r="M159" s="133"/>
      <c r="N159" s="133"/>
      <c r="O159" s="133"/>
      <c r="P159" s="129"/>
      <c r="Z159" s="75"/>
      <c r="AA159" s="76"/>
      <c r="AB159" s="76"/>
      <c r="AC159" s="129"/>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4"/>
      <c r="BD159" s="134"/>
      <c r="BE159" s="134"/>
      <c r="BF159" s="134"/>
      <c r="BG159" s="134"/>
      <c r="BH159" s="134"/>
      <c r="BI159" s="134"/>
      <c r="BJ159" s="134"/>
      <c r="BK159" s="134"/>
      <c r="BL159" s="134"/>
      <c r="BM159" s="135"/>
      <c r="BN159" s="136" t="n">
        <f aca="false">+MAX($D$3,DATOS_[[#This Row],[Fecha Inicio Sit. Contract.]])</f>
        <v>0</v>
      </c>
      <c r="BO159" s="136" t="n">
        <f aca="false">+MIN($D$4,DATOS_[[#This Row],[Fecha Fin Sit. Contract.]])</f>
        <v>0</v>
      </c>
      <c r="BP159" s="137" t="n">
        <f aca="false">+DATOS_[[#This Row],[% de jornada]]*IF(DATOS_[[#This Row],[% jornada reducida]]="",1,DATOS_[[#This Row],[% jornada reducida]])</f>
        <v>0</v>
      </c>
      <c r="BQ159" s="137" t="n">
        <f aca="false">+(DATOS_[[#This Row],[F.fin.cal]]-DATOS_[[#This Row],[F.ini.cal]]+1)/($D$4-$D$3+1)</f>
        <v>1</v>
      </c>
      <c r="BR159" s="137" t="str">
        <f aca="false">IF(OR(AND(DATOS_[[#This Row],[Fecha Fin Contrato]]&lt;$D$3,DATOS_[[#This Row],[Fecha Fin Contrato]]&lt;&gt;""),DATOS_[[#This Row],[Fecha de Contratación]]&gt;$D$4),"Fuera","Dentro")</f>
        <v>Dentro</v>
      </c>
      <c r="BS159" s="137" t="str">
        <f aca="false" t="array" ref="BS159:BS159">IF(MAX(IF(DATOS_[id]=DATOS_[[#This Row],[id]],DATOS_[F.fin.cal]))=DATOS_[[#This Row],[F.fin.cal]],"Sí","NO")</f>
        <v>Sí</v>
      </c>
      <c r="BT159" s="137" t="str">
        <f aca="false">IF(AND(DATOS_[[#This Row],[% normaliz]]&lt;&gt;1,DATOS_[[#This Row],[% anualiz]]=1),"Sí","NO")</f>
        <v>Sí</v>
      </c>
      <c r="BU159" s="137" t="str">
        <f aca="false">IF(AND(DATOS_[[#This Row],[% normaliz]]=1,DATOS_[[#This Row],[% anualiz]]&lt;&gt;1),"Sí","NO")</f>
        <v>NO</v>
      </c>
      <c r="BV159" s="137" t="str">
        <f aca="false">IF(AND(DATOS_[[#This Row],[% normaliz]]&lt;&gt;1,DATOS_[[#This Row],[% anualiz]]&lt;&gt;1),"Sí","NO")</f>
        <v>NO</v>
      </c>
      <c r="BW159" s="137" t="str">
        <f aca="false">+IF(DATOS_[[#This Row],[% normaliz]]*DATOS_[[#This Row],[% anualiz]]=1,"NO","Sí")</f>
        <v>Sí</v>
      </c>
      <c r="BX159" s="138" t="e">
        <f aca="false">(DATOS_[[#This Row],[S.BASE]]*(1/DATOS_[[#This Row],[% normaliz]])*(1/DATOS_[[#This Row],[% anualiz]]))*IF(DATOS_[[#This Row],[Check Equiparado]]="Sí",1,0)</f>
        <v>#DIV/0!</v>
      </c>
      <c r="BY1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9" s="138" t="e">
        <f aca="false">+DATOS_[[#This Row],[SALARIO BASE Eq]]+DATOS_[[#This Row],[Tot COMPL.SAL Eq]]</f>
        <v>#DIV/0!</v>
      </c>
      <c r="CA159" s="138" t="e">
        <f aca="false" t="array" ref="CA159:CA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9" s="138" t="e">
        <f aca="false">+DATOS_[[#This Row],[TOTAL SALARIO Eq]]+DATOS_[[#This Row],[Tot Extrasalarial Eq]]</f>
        <v>#DIV/0!</v>
      </c>
      <c r="CC159" s="139" t="n">
        <f aca="false">DATOS_[[#This Row],[S.BASE]]</f>
        <v>0</v>
      </c>
      <c r="CD159" s="139" t="n">
        <f aca="false">+SUM(DATOS_[[#This Row],[Conc.Sal.01]:[Conc.Sal.30]])</f>
        <v>0</v>
      </c>
      <c r="CE159" s="139" t="n">
        <f aca="false">+DATOS_[[#This Row],[SALARIO BASE Ef]]+DATOS_[[#This Row],[Tot COMPL.SAL Ef]]</f>
        <v>0</v>
      </c>
      <c r="CF159" s="139" t="n">
        <f aca="false">+SUM(DATOS_[[#This Row],[C.Extra.01]:[C.Extra.05]])</f>
        <v>0</v>
      </c>
      <c r="CG159" s="139" t="n">
        <f aca="false">+DATOS_[[#This Row],[TOTAL SALARIO Ef]]+DATOS_[[#This Row],[Tot Extrasalarial Ef]]</f>
        <v>0</v>
      </c>
      <c r="CH159" s="140" t="n">
        <f aca="false">MIN(IF(DATOS_[[#This Row],[Fecha Fin Contrato]]="",$D$4,DATOS_[[#This Row],[Fecha Fin Contrato]]),$D$4)-MAX(DATOS_[[#This Row],[Fecha de Contratación]],$D$3)+1</f>
        <v>1</v>
      </c>
      <c r="CI159" s="141" t="str">
        <f aca="false">IF(COUNTIFS(DATOS_[id],DATOS_[[#This Row],[id]])&gt;1,DATOS_[[#This Row],[id]],"")</f>
        <v/>
      </c>
      <c r="CJ159" s="141" t="n">
        <f aca="false">(Inicio!$G$10-DATOS_[[#This Row],[Fecha Nacimiento]])/365.25</f>
        <v>0</v>
      </c>
      <c r="CK159" s="141" t="n">
        <f aca="false">(Inicio!$G$10-DATOS_[[#This Row],[Fecha de Antigüedad]])/365.25</f>
        <v>0</v>
      </c>
      <c r="CL159" s="141" t="e">
        <f aca="false">+VLOOKUP(DATOS_[[#This Row],[Clave de Contrato]],TblTiposContrato13[],3,0)</f>
        <v>#N/A</v>
      </c>
      <c r="CM159" s="141" t="e">
        <f aca="false">+VLOOKUP(DATOS_[[#This Row],[Clave de Contrato]],TblTiposContrato13[],4,0)</f>
        <v>#N/A</v>
      </c>
      <c r="CN159" s="141" t="str">
        <f aca="false">VLOOKUP(DATOS_[[#This Row],[Edad]],CONTRATOS!TblRngEdad,2,1)</f>
        <v>20  o menos</v>
      </c>
      <c r="CO159" s="141" t="str">
        <f aca="false">VLOOKUP(DATOS_[[#This Row],[Antigüedad]],TblRngAntg14[],2,1)</f>
        <v>0 a 1 años</v>
      </c>
    </row>
    <row r="160" customFormat="false" ht="13.8" hidden="false" customHeight="false" outlineLevel="0" collapsed="false">
      <c r="D160" s="128"/>
      <c r="E160" s="129"/>
      <c r="F160" s="129"/>
      <c r="G160" s="129"/>
      <c r="H160" s="130"/>
      <c r="I160" s="131"/>
      <c r="J160" s="128"/>
      <c r="K160" s="132"/>
      <c r="L160" s="132"/>
      <c r="M160" s="133"/>
      <c r="N160" s="133"/>
      <c r="O160" s="133"/>
      <c r="P160" s="129"/>
      <c r="Z160" s="75"/>
      <c r="AA160" s="76"/>
      <c r="AB160" s="76"/>
      <c r="AC160" s="129"/>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4"/>
      <c r="BD160" s="134"/>
      <c r="BE160" s="134"/>
      <c r="BF160" s="134"/>
      <c r="BG160" s="134"/>
      <c r="BH160" s="134"/>
      <c r="BI160" s="134"/>
      <c r="BJ160" s="134"/>
      <c r="BK160" s="134"/>
      <c r="BL160" s="134"/>
      <c r="BM160" s="135"/>
      <c r="BN160" s="136" t="n">
        <f aca="false">+MAX($D$3,DATOS_[[#This Row],[Fecha Inicio Sit. Contract.]])</f>
        <v>0</v>
      </c>
      <c r="BO160" s="136" t="n">
        <f aca="false">+MIN($D$4,DATOS_[[#This Row],[Fecha Fin Sit. Contract.]])</f>
        <v>0</v>
      </c>
      <c r="BP160" s="137" t="n">
        <f aca="false">+DATOS_[[#This Row],[% de jornada]]*IF(DATOS_[[#This Row],[% jornada reducida]]="",1,DATOS_[[#This Row],[% jornada reducida]])</f>
        <v>0</v>
      </c>
      <c r="BQ160" s="137" t="n">
        <f aca="false">+(DATOS_[[#This Row],[F.fin.cal]]-DATOS_[[#This Row],[F.ini.cal]]+1)/($D$4-$D$3+1)</f>
        <v>1</v>
      </c>
      <c r="BR160" s="137" t="str">
        <f aca="false">IF(OR(AND(DATOS_[[#This Row],[Fecha Fin Contrato]]&lt;$D$3,DATOS_[[#This Row],[Fecha Fin Contrato]]&lt;&gt;""),DATOS_[[#This Row],[Fecha de Contratación]]&gt;$D$4),"Fuera","Dentro")</f>
        <v>Dentro</v>
      </c>
      <c r="BS160" s="137" t="str">
        <f aca="false" t="array" ref="BS160:BS160">IF(MAX(IF(DATOS_[id]=DATOS_[[#This Row],[id]],DATOS_[F.fin.cal]))=DATOS_[[#This Row],[F.fin.cal]],"Sí","NO")</f>
        <v>Sí</v>
      </c>
      <c r="BT160" s="137" t="str">
        <f aca="false">IF(AND(DATOS_[[#This Row],[% normaliz]]&lt;&gt;1,DATOS_[[#This Row],[% anualiz]]=1),"Sí","NO")</f>
        <v>Sí</v>
      </c>
      <c r="BU160" s="137" t="str">
        <f aca="false">IF(AND(DATOS_[[#This Row],[% normaliz]]=1,DATOS_[[#This Row],[% anualiz]]&lt;&gt;1),"Sí","NO")</f>
        <v>NO</v>
      </c>
      <c r="BV160" s="137" t="str">
        <f aca="false">IF(AND(DATOS_[[#This Row],[% normaliz]]&lt;&gt;1,DATOS_[[#This Row],[% anualiz]]&lt;&gt;1),"Sí","NO")</f>
        <v>NO</v>
      </c>
      <c r="BW160" s="137" t="str">
        <f aca="false">+IF(DATOS_[[#This Row],[% normaliz]]*DATOS_[[#This Row],[% anualiz]]=1,"NO","Sí")</f>
        <v>Sí</v>
      </c>
      <c r="BX160" s="138" t="e">
        <f aca="false">(DATOS_[[#This Row],[S.BASE]]*(1/DATOS_[[#This Row],[% normaliz]])*(1/DATOS_[[#This Row],[% anualiz]]))*IF(DATOS_[[#This Row],[Check Equiparado]]="Sí",1,0)</f>
        <v>#DIV/0!</v>
      </c>
      <c r="BY1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0" s="138" t="e">
        <f aca="false">+DATOS_[[#This Row],[SALARIO BASE Eq]]+DATOS_[[#This Row],[Tot COMPL.SAL Eq]]</f>
        <v>#DIV/0!</v>
      </c>
      <c r="CA160" s="138" t="e">
        <f aca="false" t="array" ref="CA160:CA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0" s="138" t="e">
        <f aca="false">+DATOS_[[#This Row],[TOTAL SALARIO Eq]]+DATOS_[[#This Row],[Tot Extrasalarial Eq]]</f>
        <v>#DIV/0!</v>
      </c>
      <c r="CC160" s="139" t="n">
        <f aca="false">DATOS_[[#This Row],[S.BASE]]</f>
        <v>0</v>
      </c>
      <c r="CD160" s="139" t="n">
        <f aca="false">+SUM(DATOS_[[#This Row],[Conc.Sal.01]:[Conc.Sal.30]])</f>
        <v>0</v>
      </c>
      <c r="CE160" s="139" t="n">
        <f aca="false">+DATOS_[[#This Row],[SALARIO BASE Ef]]+DATOS_[[#This Row],[Tot COMPL.SAL Ef]]</f>
        <v>0</v>
      </c>
      <c r="CF160" s="139" t="n">
        <f aca="false">+SUM(DATOS_[[#This Row],[C.Extra.01]:[C.Extra.05]])</f>
        <v>0</v>
      </c>
      <c r="CG160" s="139" t="n">
        <f aca="false">+DATOS_[[#This Row],[TOTAL SALARIO Ef]]+DATOS_[[#This Row],[Tot Extrasalarial Ef]]</f>
        <v>0</v>
      </c>
      <c r="CH160" s="140" t="n">
        <f aca="false">MIN(IF(DATOS_[[#This Row],[Fecha Fin Contrato]]="",$D$4,DATOS_[[#This Row],[Fecha Fin Contrato]]),$D$4)-MAX(DATOS_[[#This Row],[Fecha de Contratación]],$D$3)+1</f>
        <v>1</v>
      </c>
      <c r="CI160" s="141" t="str">
        <f aca="false">IF(COUNTIFS(DATOS_[id],DATOS_[[#This Row],[id]])&gt;1,DATOS_[[#This Row],[id]],"")</f>
        <v/>
      </c>
      <c r="CJ160" s="141" t="n">
        <f aca="false">(Inicio!$G$10-DATOS_[[#This Row],[Fecha Nacimiento]])/365.25</f>
        <v>0</v>
      </c>
      <c r="CK160" s="141" t="n">
        <f aca="false">(Inicio!$G$10-DATOS_[[#This Row],[Fecha de Antigüedad]])/365.25</f>
        <v>0</v>
      </c>
      <c r="CL160" s="141" t="e">
        <f aca="false">+VLOOKUP(DATOS_[[#This Row],[Clave de Contrato]],TblTiposContrato13[],3,0)</f>
        <v>#N/A</v>
      </c>
      <c r="CM160" s="141" t="e">
        <f aca="false">+VLOOKUP(DATOS_[[#This Row],[Clave de Contrato]],TblTiposContrato13[],4,0)</f>
        <v>#N/A</v>
      </c>
      <c r="CN160" s="141" t="str">
        <f aca="false">VLOOKUP(DATOS_[[#This Row],[Edad]],CONTRATOS!TblRngEdad,2,1)</f>
        <v>20  o menos</v>
      </c>
      <c r="CO160" s="141" t="str">
        <f aca="false">VLOOKUP(DATOS_[[#This Row],[Antigüedad]],TblRngAntg14[],2,1)</f>
        <v>0 a 1 años</v>
      </c>
    </row>
    <row r="161" customFormat="false" ht="13.8" hidden="false" customHeight="false" outlineLevel="0" collapsed="false">
      <c r="D161" s="128"/>
      <c r="E161" s="129"/>
      <c r="F161" s="129"/>
      <c r="G161" s="129"/>
      <c r="H161" s="130"/>
      <c r="I161" s="131"/>
      <c r="J161" s="128"/>
      <c r="K161" s="132"/>
      <c r="L161" s="132"/>
      <c r="M161" s="133"/>
      <c r="N161" s="133"/>
      <c r="O161" s="133"/>
      <c r="P161" s="129"/>
      <c r="Z161" s="75"/>
      <c r="AA161" s="76"/>
      <c r="AB161" s="76"/>
      <c r="AC161" s="129"/>
      <c r="AD161" s="134"/>
      <c r="AE161" s="134"/>
      <c r="AF161" s="134"/>
      <c r="AG161" s="134"/>
      <c r="AH161" s="134"/>
      <c r="AI161" s="134"/>
      <c r="AJ161" s="134"/>
      <c r="AK161" s="134"/>
      <c r="AL161" s="134"/>
      <c r="AM161" s="134"/>
      <c r="AN161" s="134"/>
      <c r="AO161" s="134"/>
      <c r="AP161" s="134"/>
      <c r="AQ161" s="134"/>
      <c r="AR161" s="134"/>
      <c r="AS161" s="134"/>
      <c r="AT161" s="134"/>
      <c r="AU161" s="134"/>
      <c r="AV161" s="134"/>
      <c r="AW161" s="134"/>
      <c r="AX161" s="134"/>
      <c r="AY161" s="134"/>
      <c r="AZ161" s="134"/>
      <c r="BA161" s="134"/>
      <c r="BB161" s="134"/>
      <c r="BC161" s="134"/>
      <c r="BD161" s="134"/>
      <c r="BE161" s="134"/>
      <c r="BF161" s="134"/>
      <c r="BG161" s="134"/>
      <c r="BH161" s="134"/>
      <c r="BI161" s="134"/>
      <c r="BJ161" s="134"/>
      <c r="BK161" s="134"/>
      <c r="BL161" s="134"/>
      <c r="BM161" s="135"/>
      <c r="BN161" s="136" t="n">
        <f aca="false">+MAX($D$3,DATOS_[[#This Row],[Fecha Inicio Sit. Contract.]])</f>
        <v>0</v>
      </c>
      <c r="BO161" s="136" t="n">
        <f aca="false">+MIN($D$4,DATOS_[[#This Row],[Fecha Fin Sit. Contract.]])</f>
        <v>0</v>
      </c>
      <c r="BP161" s="137" t="n">
        <f aca="false">+DATOS_[[#This Row],[% de jornada]]*IF(DATOS_[[#This Row],[% jornada reducida]]="",1,DATOS_[[#This Row],[% jornada reducida]])</f>
        <v>0</v>
      </c>
      <c r="BQ161" s="137" t="n">
        <f aca="false">+(DATOS_[[#This Row],[F.fin.cal]]-DATOS_[[#This Row],[F.ini.cal]]+1)/($D$4-$D$3+1)</f>
        <v>1</v>
      </c>
      <c r="BR161" s="137" t="str">
        <f aca="false">IF(OR(AND(DATOS_[[#This Row],[Fecha Fin Contrato]]&lt;$D$3,DATOS_[[#This Row],[Fecha Fin Contrato]]&lt;&gt;""),DATOS_[[#This Row],[Fecha de Contratación]]&gt;$D$4),"Fuera","Dentro")</f>
        <v>Dentro</v>
      </c>
      <c r="BS161" s="137" t="str">
        <f aca="false" t="array" ref="BS161:BS161">IF(MAX(IF(DATOS_[id]=DATOS_[[#This Row],[id]],DATOS_[F.fin.cal]))=DATOS_[[#This Row],[F.fin.cal]],"Sí","NO")</f>
        <v>Sí</v>
      </c>
      <c r="BT161" s="137" t="str">
        <f aca="false">IF(AND(DATOS_[[#This Row],[% normaliz]]&lt;&gt;1,DATOS_[[#This Row],[% anualiz]]=1),"Sí","NO")</f>
        <v>Sí</v>
      </c>
      <c r="BU161" s="137" t="str">
        <f aca="false">IF(AND(DATOS_[[#This Row],[% normaliz]]=1,DATOS_[[#This Row],[% anualiz]]&lt;&gt;1),"Sí","NO")</f>
        <v>NO</v>
      </c>
      <c r="BV161" s="137" t="str">
        <f aca="false">IF(AND(DATOS_[[#This Row],[% normaliz]]&lt;&gt;1,DATOS_[[#This Row],[% anualiz]]&lt;&gt;1),"Sí","NO")</f>
        <v>NO</v>
      </c>
      <c r="BW161" s="137" t="str">
        <f aca="false">+IF(DATOS_[[#This Row],[% normaliz]]*DATOS_[[#This Row],[% anualiz]]=1,"NO","Sí")</f>
        <v>Sí</v>
      </c>
      <c r="BX161" s="138" t="e">
        <f aca="false">(DATOS_[[#This Row],[S.BASE]]*(1/DATOS_[[#This Row],[% normaliz]])*(1/DATOS_[[#This Row],[% anualiz]]))*IF(DATOS_[[#This Row],[Check Equiparado]]="Sí",1,0)</f>
        <v>#DIV/0!</v>
      </c>
      <c r="BY1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1" s="138" t="e">
        <f aca="false">+DATOS_[[#This Row],[SALARIO BASE Eq]]+DATOS_[[#This Row],[Tot COMPL.SAL Eq]]</f>
        <v>#DIV/0!</v>
      </c>
      <c r="CA161" s="138" t="e">
        <f aca="false" t="array" ref="CA161:CA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1" s="138" t="e">
        <f aca="false">+DATOS_[[#This Row],[TOTAL SALARIO Eq]]+DATOS_[[#This Row],[Tot Extrasalarial Eq]]</f>
        <v>#DIV/0!</v>
      </c>
      <c r="CC161" s="139" t="n">
        <f aca="false">DATOS_[[#This Row],[S.BASE]]</f>
        <v>0</v>
      </c>
      <c r="CD161" s="139" t="n">
        <f aca="false">+SUM(DATOS_[[#This Row],[Conc.Sal.01]:[Conc.Sal.30]])</f>
        <v>0</v>
      </c>
      <c r="CE161" s="139" t="n">
        <f aca="false">+DATOS_[[#This Row],[SALARIO BASE Ef]]+DATOS_[[#This Row],[Tot COMPL.SAL Ef]]</f>
        <v>0</v>
      </c>
      <c r="CF161" s="139" t="n">
        <f aca="false">+SUM(DATOS_[[#This Row],[C.Extra.01]:[C.Extra.05]])</f>
        <v>0</v>
      </c>
      <c r="CG161" s="139" t="n">
        <f aca="false">+DATOS_[[#This Row],[TOTAL SALARIO Ef]]+DATOS_[[#This Row],[Tot Extrasalarial Ef]]</f>
        <v>0</v>
      </c>
      <c r="CH161" s="140" t="n">
        <f aca="false">MIN(IF(DATOS_[[#This Row],[Fecha Fin Contrato]]="",$D$4,DATOS_[[#This Row],[Fecha Fin Contrato]]),$D$4)-MAX(DATOS_[[#This Row],[Fecha de Contratación]],$D$3)+1</f>
        <v>1</v>
      </c>
      <c r="CI161" s="141" t="str">
        <f aca="false">IF(COUNTIFS(DATOS_[id],DATOS_[[#This Row],[id]])&gt;1,DATOS_[[#This Row],[id]],"")</f>
        <v/>
      </c>
      <c r="CJ161" s="141" t="n">
        <f aca="false">(Inicio!$G$10-DATOS_[[#This Row],[Fecha Nacimiento]])/365.25</f>
        <v>0</v>
      </c>
      <c r="CK161" s="141" t="n">
        <f aca="false">(Inicio!$G$10-DATOS_[[#This Row],[Fecha de Antigüedad]])/365.25</f>
        <v>0</v>
      </c>
      <c r="CL161" s="141" t="e">
        <f aca="false">+VLOOKUP(DATOS_[[#This Row],[Clave de Contrato]],TblTiposContrato13[],3,0)</f>
        <v>#N/A</v>
      </c>
      <c r="CM161" s="141" t="e">
        <f aca="false">+VLOOKUP(DATOS_[[#This Row],[Clave de Contrato]],TblTiposContrato13[],4,0)</f>
        <v>#N/A</v>
      </c>
      <c r="CN161" s="141" t="str">
        <f aca="false">VLOOKUP(DATOS_[[#This Row],[Edad]],CONTRATOS!TblRngEdad,2,1)</f>
        <v>20  o menos</v>
      </c>
      <c r="CO161" s="141" t="str">
        <f aca="false">VLOOKUP(DATOS_[[#This Row],[Antigüedad]],TblRngAntg14[],2,1)</f>
        <v>0 a 1 años</v>
      </c>
    </row>
    <row r="162" customFormat="false" ht="13.8" hidden="false" customHeight="false" outlineLevel="0" collapsed="false">
      <c r="D162" s="128"/>
      <c r="E162" s="129"/>
      <c r="F162" s="129"/>
      <c r="G162" s="129"/>
      <c r="H162" s="130"/>
      <c r="I162" s="131"/>
      <c r="J162" s="128"/>
      <c r="K162" s="132"/>
      <c r="L162" s="132"/>
      <c r="M162" s="133"/>
      <c r="N162" s="133"/>
      <c r="O162" s="133"/>
      <c r="P162" s="129"/>
      <c r="Z162" s="75"/>
      <c r="AA162" s="76"/>
      <c r="AB162" s="76"/>
      <c r="AC162" s="129"/>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4"/>
      <c r="BD162" s="134"/>
      <c r="BE162" s="134"/>
      <c r="BF162" s="134"/>
      <c r="BG162" s="134"/>
      <c r="BH162" s="134"/>
      <c r="BI162" s="134"/>
      <c r="BJ162" s="134"/>
      <c r="BK162" s="134"/>
      <c r="BL162" s="134"/>
      <c r="BM162" s="135"/>
      <c r="BN162" s="136" t="n">
        <f aca="false">+MAX($D$3,DATOS_[[#This Row],[Fecha Inicio Sit. Contract.]])</f>
        <v>0</v>
      </c>
      <c r="BO162" s="136" t="n">
        <f aca="false">+MIN($D$4,DATOS_[[#This Row],[Fecha Fin Sit. Contract.]])</f>
        <v>0</v>
      </c>
      <c r="BP162" s="137" t="n">
        <f aca="false">+DATOS_[[#This Row],[% de jornada]]*IF(DATOS_[[#This Row],[% jornada reducida]]="",1,DATOS_[[#This Row],[% jornada reducida]])</f>
        <v>0</v>
      </c>
      <c r="BQ162" s="137" t="n">
        <f aca="false">+(DATOS_[[#This Row],[F.fin.cal]]-DATOS_[[#This Row],[F.ini.cal]]+1)/($D$4-$D$3+1)</f>
        <v>1</v>
      </c>
      <c r="BR162" s="137" t="str">
        <f aca="false">IF(OR(AND(DATOS_[[#This Row],[Fecha Fin Contrato]]&lt;$D$3,DATOS_[[#This Row],[Fecha Fin Contrato]]&lt;&gt;""),DATOS_[[#This Row],[Fecha de Contratación]]&gt;$D$4),"Fuera","Dentro")</f>
        <v>Dentro</v>
      </c>
      <c r="BS162" s="137" t="str">
        <f aca="false" t="array" ref="BS162:BS162">IF(MAX(IF(DATOS_[id]=DATOS_[[#This Row],[id]],DATOS_[F.fin.cal]))=DATOS_[[#This Row],[F.fin.cal]],"Sí","NO")</f>
        <v>Sí</v>
      </c>
      <c r="BT162" s="137" t="str">
        <f aca="false">IF(AND(DATOS_[[#This Row],[% normaliz]]&lt;&gt;1,DATOS_[[#This Row],[% anualiz]]=1),"Sí","NO")</f>
        <v>Sí</v>
      </c>
      <c r="BU162" s="137" t="str">
        <f aca="false">IF(AND(DATOS_[[#This Row],[% normaliz]]=1,DATOS_[[#This Row],[% anualiz]]&lt;&gt;1),"Sí","NO")</f>
        <v>NO</v>
      </c>
      <c r="BV162" s="137" t="str">
        <f aca="false">IF(AND(DATOS_[[#This Row],[% normaliz]]&lt;&gt;1,DATOS_[[#This Row],[% anualiz]]&lt;&gt;1),"Sí","NO")</f>
        <v>NO</v>
      </c>
      <c r="BW162" s="137" t="str">
        <f aca="false">+IF(DATOS_[[#This Row],[% normaliz]]*DATOS_[[#This Row],[% anualiz]]=1,"NO","Sí")</f>
        <v>Sí</v>
      </c>
      <c r="BX162" s="138" t="e">
        <f aca="false">(DATOS_[[#This Row],[S.BASE]]*(1/DATOS_[[#This Row],[% normaliz]])*(1/DATOS_[[#This Row],[% anualiz]]))*IF(DATOS_[[#This Row],[Check Equiparado]]="Sí",1,0)</f>
        <v>#DIV/0!</v>
      </c>
      <c r="BY1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2" s="138" t="e">
        <f aca="false">+DATOS_[[#This Row],[SALARIO BASE Eq]]+DATOS_[[#This Row],[Tot COMPL.SAL Eq]]</f>
        <v>#DIV/0!</v>
      </c>
      <c r="CA162" s="138" t="e">
        <f aca="false" t="array" ref="CA162:CA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2" s="138" t="e">
        <f aca="false">+DATOS_[[#This Row],[TOTAL SALARIO Eq]]+DATOS_[[#This Row],[Tot Extrasalarial Eq]]</f>
        <v>#DIV/0!</v>
      </c>
      <c r="CC162" s="139" t="n">
        <f aca="false">DATOS_[[#This Row],[S.BASE]]</f>
        <v>0</v>
      </c>
      <c r="CD162" s="139" t="n">
        <f aca="false">+SUM(DATOS_[[#This Row],[Conc.Sal.01]:[Conc.Sal.30]])</f>
        <v>0</v>
      </c>
      <c r="CE162" s="139" t="n">
        <f aca="false">+DATOS_[[#This Row],[SALARIO BASE Ef]]+DATOS_[[#This Row],[Tot COMPL.SAL Ef]]</f>
        <v>0</v>
      </c>
      <c r="CF162" s="139" t="n">
        <f aca="false">+SUM(DATOS_[[#This Row],[C.Extra.01]:[C.Extra.05]])</f>
        <v>0</v>
      </c>
      <c r="CG162" s="139" t="n">
        <f aca="false">+DATOS_[[#This Row],[TOTAL SALARIO Ef]]+DATOS_[[#This Row],[Tot Extrasalarial Ef]]</f>
        <v>0</v>
      </c>
      <c r="CH162" s="140" t="n">
        <f aca="false">MIN(IF(DATOS_[[#This Row],[Fecha Fin Contrato]]="",$D$4,DATOS_[[#This Row],[Fecha Fin Contrato]]),$D$4)-MAX(DATOS_[[#This Row],[Fecha de Contratación]],$D$3)+1</f>
        <v>1</v>
      </c>
      <c r="CI162" s="141" t="str">
        <f aca="false">IF(COUNTIFS(DATOS_[id],DATOS_[[#This Row],[id]])&gt;1,DATOS_[[#This Row],[id]],"")</f>
        <v/>
      </c>
      <c r="CJ162" s="141" t="n">
        <f aca="false">(Inicio!$G$10-DATOS_[[#This Row],[Fecha Nacimiento]])/365.25</f>
        <v>0</v>
      </c>
      <c r="CK162" s="141" t="n">
        <f aca="false">(Inicio!$G$10-DATOS_[[#This Row],[Fecha de Antigüedad]])/365.25</f>
        <v>0</v>
      </c>
      <c r="CL162" s="141" t="e">
        <f aca="false">+VLOOKUP(DATOS_[[#This Row],[Clave de Contrato]],TblTiposContrato13[],3,0)</f>
        <v>#N/A</v>
      </c>
      <c r="CM162" s="141" t="e">
        <f aca="false">+VLOOKUP(DATOS_[[#This Row],[Clave de Contrato]],TblTiposContrato13[],4,0)</f>
        <v>#N/A</v>
      </c>
      <c r="CN162" s="141" t="str">
        <f aca="false">VLOOKUP(DATOS_[[#This Row],[Edad]],CONTRATOS!TblRngEdad,2,1)</f>
        <v>20  o menos</v>
      </c>
      <c r="CO162" s="141" t="str">
        <f aca="false">VLOOKUP(DATOS_[[#This Row],[Antigüedad]],TblRngAntg14[],2,1)</f>
        <v>0 a 1 años</v>
      </c>
    </row>
    <row r="163" customFormat="false" ht="13.8" hidden="false" customHeight="false" outlineLevel="0" collapsed="false">
      <c r="D163" s="128"/>
      <c r="E163" s="129"/>
      <c r="F163" s="129"/>
      <c r="G163" s="129"/>
      <c r="H163" s="130"/>
      <c r="I163" s="131"/>
      <c r="J163" s="128"/>
      <c r="K163" s="132"/>
      <c r="L163" s="132"/>
      <c r="M163" s="133"/>
      <c r="N163" s="133"/>
      <c r="O163" s="133"/>
      <c r="P163" s="129"/>
      <c r="Z163" s="75"/>
      <c r="AA163" s="76"/>
      <c r="AB163" s="76"/>
      <c r="AC163" s="129"/>
      <c r="AD163" s="134"/>
      <c r="AE163" s="134"/>
      <c r="AF163" s="134"/>
      <c r="AG163" s="134"/>
      <c r="AH163" s="134"/>
      <c r="AI163" s="134"/>
      <c r="AJ163" s="134"/>
      <c r="AK163" s="134"/>
      <c r="AL163" s="134"/>
      <c r="AM163" s="134"/>
      <c r="AN163" s="134"/>
      <c r="AO163" s="134"/>
      <c r="AP163" s="134"/>
      <c r="AQ163" s="134"/>
      <c r="AR163" s="134"/>
      <c r="AS163" s="134"/>
      <c r="AT163" s="134"/>
      <c r="AU163" s="134"/>
      <c r="AV163" s="134"/>
      <c r="AW163" s="134"/>
      <c r="AX163" s="134"/>
      <c r="AY163" s="134"/>
      <c r="AZ163" s="134"/>
      <c r="BA163" s="134"/>
      <c r="BB163" s="134"/>
      <c r="BC163" s="134"/>
      <c r="BD163" s="134"/>
      <c r="BE163" s="134"/>
      <c r="BF163" s="134"/>
      <c r="BG163" s="134"/>
      <c r="BH163" s="134"/>
      <c r="BI163" s="134"/>
      <c r="BJ163" s="134"/>
      <c r="BK163" s="134"/>
      <c r="BL163" s="134"/>
      <c r="BM163" s="135"/>
      <c r="BN163" s="136" t="n">
        <f aca="false">+MAX($D$3,DATOS_[[#This Row],[Fecha Inicio Sit. Contract.]])</f>
        <v>0</v>
      </c>
      <c r="BO163" s="136" t="n">
        <f aca="false">+MIN($D$4,DATOS_[[#This Row],[Fecha Fin Sit. Contract.]])</f>
        <v>0</v>
      </c>
      <c r="BP163" s="137" t="n">
        <f aca="false">+DATOS_[[#This Row],[% de jornada]]*IF(DATOS_[[#This Row],[% jornada reducida]]="",1,DATOS_[[#This Row],[% jornada reducida]])</f>
        <v>0</v>
      </c>
      <c r="BQ163" s="137" t="n">
        <f aca="false">+(DATOS_[[#This Row],[F.fin.cal]]-DATOS_[[#This Row],[F.ini.cal]]+1)/($D$4-$D$3+1)</f>
        <v>1</v>
      </c>
      <c r="BR163" s="137" t="str">
        <f aca="false">IF(OR(AND(DATOS_[[#This Row],[Fecha Fin Contrato]]&lt;$D$3,DATOS_[[#This Row],[Fecha Fin Contrato]]&lt;&gt;""),DATOS_[[#This Row],[Fecha de Contratación]]&gt;$D$4),"Fuera","Dentro")</f>
        <v>Dentro</v>
      </c>
      <c r="BS163" s="137" t="str">
        <f aca="false" t="array" ref="BS163:BS163">IF(MAX(IF(DATOS_[id]=DATOS_[[#This Row],[id]],DATOS_[F.fin.cal]))=DATOS_[[#This Row],[F.fin.cal]],"Sí","NO")</f>
        <v>Sí</v>
      </c>
      <c r="BT163" s="137" t="str">
        <f aca="false">IF(AND(DATOS_[[#This Row],[% normaliz]]&lt;&gt;1,DATOS_[[#This Row],[% anualiz]]=1),"Sí","NO")</f>
        <v>Sí</v>
      </c>
      <c r="BU163" s="137" t="str">
        <f aca="false">IF(AND(DATOS_[[#This Row],[% normaliz]]=1,DATOS_[[#This Row],[% anualiz]]&lt;&gt;1),"Sí","NO")</f>
        <v>NO</v>
      </c>
      <c r="BV163" s="137" t="str">
        <f aca="false">IF(AND(DATOS_[[#This Row],[% normaliz]]&lt;&gt;1,DATOS_[[#This Row],[% anualiz]]&lt;&gt;1),"Sí","NO")</f>
        <v>NO</v>
      </c>
      <c r="BW163" s="137" t="str">
        <f aca="false">+IF(DATOS_[[#This Row],[% normaliz]]*DATOS_[[#This Row],[% anualiz]]=1,"NO","Sí")</f>
        <v>Sí</v>
      </c>
      <c r="BX163" s="138" t="e">
        <f aca="false">(DATOS_[[#This Row],[S.BASE]]*(1/DATOS_[[#This Row],[% normaliz]])*(1/DATOS_[[#This Row],[% anualiz]]))*IF(DATOS_[[#This Row],[Check Equiparado]]="Sí",1,0)</f>
        <v>#DIV/0!</v>
      </c>
      <c r="BY1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3" s="138" t="e">
        <f aca="false">+DATOS_[[#This Row],[SALARIO BASE Eq]]+DATOS_[[#This Row],[Tot COMPL.SAL Eq]]</f>
        <v>#DIV/0!</v>
      </c>
      <c r="CA163" s="138" t="e">
        <f aca="false" t="array" ref="CA163:CA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3" s="138" t="e">
        <f aca="false">+DATOS_[[#This Row],[TOTAL SALARIO Eq]]+DATOS_[[#This Row],[Tot Extrasalarial Eq]]</f>
        <v>#DIV/0!</v>
      </c>
      <c r="CC163" s="139" t="n">
        <f aca="false">DATOS_[[#This Row],[S.BASE]]</f>
        <v>0</v>
      </c>
      <c r="CD163" s="139" t="n">
        <f aca="false">+SUM(DATOS_[[#This Row],[Conc.Sal.01]:[Conc.Sal.30]])</f>
        <v>0</v>
      </c>
      <c r="CE163" s="139" t="n">
        <f aca="false">+DATOS_[[#This Row],[SALARIO BASE Ef]]+DATOS_[[#This Row],[Tot COMPL.SAL Ef]]</f>
        <v>0</v>
      </c>
      <c r="CF163" s="139" t="n">
        <f aca="false">+SUM(DATOS_[[#This Row],[C.Extra.01]:[C.Extra.05]])</f>
        <v>0</v>
      </c>
      <c r="CG163" s="139" t="n">
        <f aca="false">+DATOS_[[#This Row],[TOTAL SALARIO Ef]]+DATOS_[[#This Row],[Tot Extrasalarial Ef]]</f>
        <v>0</v>
      </c>
      <c r="CH163" s="140" t="n">
        <f aca="false">MIN(IF(DATOS_[[#This Row],[Fecha Fin Contrato]]="",$D$4,DATOS_[[#This Row],[Fecha Fin Contrato]]),$D$4)-MAX(DATOS_[[#This Row],[Fecha de Contratación]],$D$3)+1</f>
        <v>1</v>
      </c>
      <c r="CI163" s="141" t="str">
        <f aca="false">IF(COUNTIFS(DATOS_[id],DATOS_[[#This Row],[id]])&gt;1,DATOS_[[#This Row],[id]],"")</f>
        <v/>
      </c>
      <c r="CJ163" s="141" t="n">
        <f aca="false">(Inicio!$G$10-DATOS_[[#This Row],[Fecha Nacimiento]])/365.25</f>
        <v>0</v>
      </c>
      <c r="CK163" s="141" t="n">
        <f aca="false">(Inicio!$G$10-DATOS_[[#This Row],[Fecha de Antigüedad]])/365.25</f>
        <v>0</v>
      </c>
      <c r="CL163" s="141" t="e">
        <f aca="false">+VLOOKUP(DATOS_[[#This Row],[Clave de Contrato]],TblTiposContrato13[],3,0)</f>
        <v>#N/A</v>
      </c>
      <c r="CM163" s="141" t="e">
        <f aca="false">+VLOOKUP(DATOS_[[#This Row],[Clave de Contrato]],TblTiposContrato13[],4,0)</f>
        <v>#N/A</v>
      </c>
      <c r="CN163" s="141" t="str">
        <f aca="false">VLOOKUP(DATOS_[[#This Row],[Edad]],CONTRATOS!TblRngEdad,2,1)</f>
        <v>20  o menos</v>
      </c>
      <c r="CO163" s="141" t="str">
        <f aca="false">VLOOKUP(DATOS_[[#This Row],[Antigüedad]],TblRngAntg14[],2,1)</f>
        <v>0 a 1 años</v>
      </c>
    </row>
    <row r="164" customFormat="false" ht="13.8" hidden="false" customHeight="false" outlineLevel="0" collapsed="false">
      <c r="D164" s="128"/>
      <c r="E164" s="129"/>
      <c r="F164" s="129"/>
      <c r="G164" s="129"/>
      <c r="H164" s="130"/>
      <c r="I164" s="131"/>
      <c r="J164" s="128"/>
      <c r="K164" s="132"/>
      <c r="L164" s="132"/>
      <c r="M164" s="133"/>
      <c r="N164" s="133"/>
      <c r="O164" s="133"/>
      <c r="P164" s="129"/>
      <c r="Z164" s="75"/>
      <c r="AA164" s="76"/>
      <c r="AB164" s="76"/>
      <c r="AC164" s="129"/>
      <c r="AD164" s="134"/>
      <c r="AE164" s="134"/>
      <c r="AF164" s="134"/>
      <c r="AG164" s="134"/>
      <c r="AH164" s="134"/>
      <c r="AI164" s="134"/>
      <c r="AJ164" s="134"/>
      <c r="AK164" s="134"/>
      <c r="AL164" s="134"/>
      <c r="AM164" s="134"/>
      <c r="AN164" s="134"/>
      <c r="AO164" s="134"/>
      <c r="AP164" s="134"/>
      <c r="AQ164" s="134"/>
      <c r="AR164" s="134"/>
      <c r="AS164" s="134"/>
      <c r="AT164" s="134"/>
      <c r="AU164" s="134"/>
      <c r="AV164" s="134"/>
      <c r="AW164" s="134"/>
      <c r="AX164" s="134"/>
      <c r="AY164" s="134"/>
      <c r="AZ164" s="134"/>
      <c r="BA164" s="134"/>
      <c r="BB164" s="134"/>
      <c r="BC164" s="134"/>
      <c r="BD164" s="134"/>
      <c r="BE164" s="134"/>
      <c r="BF164" s="134"/>
      <c r="BG164" s="134"/>
      <c r="BH164" s="134"/>
      <c r="BI164" s="134"/>
      <c r="BJ164" s="134"/>
      <c r="BK164" s="134"/>
      <c r="BL164" s="134"/>
      <c r="BM164" s="135"/>
      <c r="BN164" s="136" t="n">
        <f aca="false">+MAX($D$3,DATOS_[[#This Row],[Fecha Inicio Sit. Contract.]])</f>
        <v>0</v>
      </c>
      <c r="BO164" s="136" t="n">
        <f aca="false">+MIN($D$4,DATOS_[[#This Row],[Fecha Fin Sit. Contract.]])</f>
        <v>0</v>
      </c>
      <c r="BP164" s="137" t="n">
        <f aca="false">+DATOS_[[#This Row],[% de jornada]]*IF(DATOS_[[#This Row],[% jornada reducida]]="",1,DATOS_[[#This Row],[% jornada reducida]])</f>
        <v>0</v>
      </c>
      <c r="BQ164" s="137" t="n">
        <f aca="false">+(DATOS_[[#This Row],[F.fin.cal]]-DATOS_[[#This Row],[F.ini.cal]]+1)/($D$4-$D$3+1)</f>
        <v>1</v>
      </c>
      <c r="BR164" s="137" t="str">
        <f aca="false">IF(OR(AND(DATOS_[[#This Row],[Fecha Fin Contrato]]&lt;$D$3,DATOS_[[#This Row],[Fecha Fin Contrato]]&lt;&gt;""),DATOS_[[#This Row],[Fecha de Contratación]]&gt;$D$4),"Fuera","Dentro")</f>
        <v>Dentro</v>
      </c>
      <c r="BS164" s="137" t="str">
        <f aca="false" t="array" ref="BS164:BS164">IF(MAX(IF(DATOS_[id]=DATOS_[[#This Row],[id]],DATOS_[F.fin.cal]))=DATOS_[[#This Row],[F.fin.cal]],"Sí","NO")</f>
        <v>Sí</v>
      </c>
      <c r="BT164" s="137" t="str">
        <f aca="false">IF(AND(DATOS_[[#This Row],[% normaliz]]&lt;&gt;1,DATOS_[[#This Row],[% anualiz]]=1),"Sí","NO")</f>
        <v>Sí</v>
      </c>
      <c r="BU164" s="137" t="str">
        <f aca="false">IF(AND(DATOS_[[#This Row],[% normaliz]]=1,DATOS_[[#This Row],[% anualiz]]&lt;&gt;1),"Sí","NO")</f>
        <v>NO</v>
      </c>
      <c r="BV164" s="137" t="str">
        <f aca="false">IF(AND(DATOS_[[#This Row],[% normaliz]]&lt;&gt;1,DATOS_[[#This Row],[% anualiz]]&lt;&gt;1),"Sí","NO")</f>
        <v>NO</v>
      </c>
      <c r="BW164" s="137" t="str">
        <f aca="false">+IF(DATOS_[[#This Row],[% normaliz]]*DATOS_[[#This Row],[% anualiz]]=1,"NO","Sí")</f>
        <v>Sí</v>
      </c>
      <c r="BX164" s="138" t="e">
        <f aca="false">(DATOS_[[#This Row],[S.BASE]]*(1/DATOS_[[#This Row],[% normaliz]])*(1/DATOS_[[#This Row],[% anualiz]]))*IF(DATOS_[[#This Row],[Check Equiparado]]="Sí",1,0)</f>
        <v>#DIV/0!</v>
      </c>
      <c r="BY1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4" s="138" t="e">
        <f aca="false">+DATOS_[[#This Row],[SALARIO BASE Eq]]+DATOS_[[#This Row],[Tot COMPL.SAL Eq]]</f>
        <v>#DIV/0!</v>
      </c>
      <c r="CA164" s="138" t="e">
        <f aca="false" t="array" ref="CA164:CA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4" s="138" t="e">
        <f aca="false">+DATOS_[[#This Row],[TOTAL SALARIO Eq]]+DATOS_[[#This Row],[Tot Extrasalarial Eq]]</f>
        <v>#DIV/0!</v>
      </c>
      <c r="CC164" s="139" t="n">
        <f aca="false">DATOS_[[#This Row],[S.BASE]]</f>
        <v>0</v>
      </c>
      <c r="CD164" s="139" t="n">
        <f aca="false">+SUM(DATOS_[[#This Row],[Conc.Sal.01]:[Conc.Sal.30]])</f>
        <v>0</v>
      </c>
      <c r="CE164" s="139" t="n">
        <f aca="false">+DATOS_[[#This Row],[SALARIO BASE Ef]]+DATOS_[[#This Row],[Tot COMPL.SAL Ef]]</f>
        <v>0</v>
      </c>
      <c r="CF164" s="139" t="n">
        <f aca="false">+SUM(DATOS_[[#This Row],[C.Extra.01]:[C.Extra.05]])</f>
        <v>0</v>
      </c>
      <c r="CG164" s="139" t="n">
        <f aca="false">+DATOS_[[#This Row],[TOTAL SALARIO Ef]]+DATOS_[[#This Row],[Tot Extrasalarial Ef]]</f>
        <v>0</v>
      </c>
      <c r="CH164" s="140" t="n">
        <f aca="false">MIN(IF(DATOS_[[#This Row],[Fecha Fin Contrato]]="",$D$4,DATOS_[[#This Row],[Fecha Fin Contrato]]),$D$4)-MAX(DATOS_[[#This Row],[Fecha de Contratación]],$D$3)+1</f>
        <v>1</v>
      </c>
      <c r="CI164" s="141" t="str">
        <f aca="false">IF(COUNTIFS(DATOS_[id],DATOS_[[#This Row],[id]])&gt;1,DATOS_[[#This Row],[id]],"")</f>
        <v/>
      </c>
      <c r="CJ164" s="141" t="n">
        <f aca="false">(Inicio!$G$10-DATOS_[[#This Row],[Fecha Nacimiento]])/365.25</f>
        <v>0</v>
      </c>
      <c r="CK164" s="141" t="n">
        <f aca="false">(Inicio!$G$10-DATOS_[[#This Row],[Fecha de Antigüedad]])/365.25</f>
        <v>0</v>
      </c>
      <c r="CL164" s="141" t="e">
        <f aca="false">+VLOOKUP(DATOS_[[#This Row],[Clave de Contrato]],TblTiposContrato13[],3,0)</f>
        <v>#N/A</v>
      </c>
      <c r="CM164" s="141" t="e">
        <f aca="false">+VLOOKUP(DATOS_[[#This Row],[Clave de Contrato]],TblTiposContrato13[],4,0)</f>
        <v>#N/A</v>
      </c>
      <c r="CN164" s="141" t="str">
        <f aca="false">VLOOKUP(DATOS_[[#This Row],[Edad]],CONTRATOS!TblRngEdad,2,1)</f>
        <v>20  o menos</v>
      </c>
      <c r="CO164" s="141" t="str">
        <f aca="false">VLOOKUP(DATOS_[[#This Row],[Antigüedad]],TblRngAntg14[],2,1)</f>
        <v>0 a 1 años</v>
      </c>
    </row>
    <row r="165" customFormat="false" ht="13.8" hidden="false" customHeight="false" outlineLevel="0" collapsed="false">
      <c r="D165" s="128"/>
      <c r="E165" s="129"/>
      <c r="F165" s="129"/>
      <c r="G165" s="129"/>
      <c r="H165" s="130"/>
      <c r="I165" s="131"/>
      <c r="J165" s="128"/>
      <c r="K165" s="132"/>
      <c r="L165" s="132"/>
      <c r="M165" s="133"/>
      <c r="N165" s="133"/>
      <c r="O165" s="133"/>
      <c r="P165" s="129"/>
      <c r="Z165" s="75"/>
      <c r="AA165" s="76"/>
      <c r="AB165" s="76"/>
      <c r="AC165" s="129"/>
      <c r="AD165" s="134"/>
      <c r="AE165" s="134"/>
      <c r="AF165" s="134"/>
      <c r="AG165" s="134"/>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4"/>
      <c r="BD165" s="134"/>
      <c r="BE165" s="134"/>
      <c r="BF165" s="134"/>
      <c r="BG165" s="134"/>
      <c r="BH165" s="134"/>
      <c r="BI165" s="134"/>
      <c r="BJ165" s="134"/>
      <c r="BK165" s="134"/>
      <c r="BL165" s="134"/>
      <c r="BM165" s="135"/>
      <c r="BN165" s="136" t="n">
        <f aca="false">+MAX($D$3,DATOS_[[#This Row],[Fecha Inicio Sit. Contract.]])</f>
        <v>0</v>
      </c>
      <c r="BO165" s="136" t="n">
        <f aca="false">+MIN($D$4,DATOS_[[#This Row],[Fecha Fin Sit. Contract.]])</f>
        <v>0</v>
      </c>
      <c r="BP165" s="137" t="n">
        <f aca="false">+DATOS_[[#This Row],[% de jornada]]*IF(DATOS_[[#This Row],[% jornada reducida]]="",1,DATOS_[[#This Row],[% jornada reducida]])</f>
        <v>0</v>
      </c>
      <c r="BQ165" s="137" t="n">
        <f aca="false">+(DATOS_[[#This Row],[F.fin.cal]]-DATOS_[[#This Row],[F.ini.cal]]+1)/($D$4-$D$3+1)</f>
        <v>1</v>
      </c>
      <c r="BR165" s="137" t="str">
        <f aca="false">IF(OR(AND(DATOS_[[#This Row],[Fecha Fin Contrato]]&lt;$D$3,DATOS_[[#This Row],[Fecha Fin Contrato]]&lt;&gt;""),DATOS_[[#This Row],[Fecha de Contratación]]&gt;$D$4),"Fuera","Dentro")</f>
        <v>Dentro</v>
      </c>
      <c r="BS165" s="137" t="str">
        <f aca="false" t="array" ref="BS165:BS165">IF(MAX(IF(DATOS_[id]=DATOS_[[#This Row],[id]],DATOS_[F.fin.cal]))=DATOS_[[#This Row],[F.fin.cal]],"Sí","NO")</f>
        <v>Sí</v>
      </c>
      <c r="BT165" s="137" t="str">
        <f aca="false">IF(AND(DATOS_[[#This Row],[% normaliz]]&lt;&gt;1,DATOS_[[#This Row],[% anualiz]]=1),"Sí","NO")</f>
        <v>Sí</v>
      </c>
      <c r="BU165" s="137" t="str">
        <f aca="false">IF(AND(DATOS_[[#This Row],[% normaliz]]=1,DATOS_[[#This Row],[% anualiz]]&lt;&gt;1),"Sí","NO")</f>
        <v>NO</v>
      </c>
      <c r="BV165" s="137" t="str">
        <f aca="false">IF(AND(DATOS_[[#This Row],[% normaliz]]&lt;&gt;1,DATOS_[[#This Row],[% anualiz]]&lt;&gt;1),"Sí","NO")</f>
        <v>NO</v>
      </c>
      <c r="BW165" s="137" t="str">
        <f aca="false">+IF(DATOS_[[#This Row],[% normaliz]]*DATOS_[[#This Row],[% anualiz]]=1,"NO","Sí")</f>
        <v>Sí</v>
      </c>
      <c r="BX165" s="138" t="e">
        <f aca="false">(DATOS_[[#This Row],[S.BASE]]*(1/DATOS_[[#This Row],[% normaliz]])*(1/DATOS_[[#This Row],[% anualiz]]))*IF(DATOS_[[#This Row],[Check Equiparado]]="Sí",1,0)</f>
        <v>#DIV/0!</v>
      </c>
      <c r="BY1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5" s="138" t="e">
        <f aca="false">+DATOS_[[#This Row],[SALARIO BASE Eq]]+DATOS_[[#This Row],[Tot COMPL.SAL Eq]]</f>
        <v>#DIV/0!</v>
      </c>
      <c r="CA165" s="138" t="e">
        <f aca="false" t="array" ref="CA165:CA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5" s="138" t="e">
        <f aca="false">+DATOS_[[#This Row],[TOTAL SALARIO Eq]]+DATOS_[[#This Row],[Tot Extrasalarial Eq]]</f>
        <v>#DIV/0!</v>
      </c>
      <c r="CC165" s="139" t="n">
        <f aca="false">DATOS_[[#This Row],[S.BASE]]</f>
        <v>0</v>
      </c>
      <c r="CD165" s="139" t="n">
        <f aca="false">+SUM(DATOS_[[#This Row],[Conc.Sal.01]:[Conc.Sal.30]])</f>
        <v>0</v>
      </c>
      <c r="CE165" s="139" t="n">
        <f aca="false">+DATOS_[[#This Row],[SALARIO BASE Ef]]+DATOS_[[#This Row],[Tot COMPL.SAL Ef]]</f>
        <v>0</v>
      </c>
      <c r="CF165" s="139" t="n">
        <f aca="false">+SUM(DATOS_[[#This Row],[C.Extra.01]:[C.Extra.05]])</f>
        <v>0</v>
      </c>
      <c r="CG165" s="139" t="n">
        <f aca="false">+DATOS_[[#This Row],[TOTAL SALARIO Ef]]+DATOS_[[#This Row],[Tot Extrasalarial Ef]]</f>
        <v>0</v>
      </c>
      <c r="CH165" s="140" t="n">
        <f aca="false">MIN(IF(DATOS_[[#This Row],[Fecha Fin Contrato]]="",$D$4,DATOS_[[#This Row],[Fecha Fin Contrato]]),$D$4)-MAX(DATOS_[[#This Row],[Fecha de Contratación]],$D$3)+1</f>
        <v>1</v>
      </c>
      <c r="CI165" s="141" t="str">
        <f aca="false">IF(COUNTIFS(DATOS_[id],DATOS_[[#This Row],[id]])&gt;1,DATOS_[[#This Row],[id]],"")</f>
        <v/>
      </c>
      <c r="CJ165" s="141" t="n">
        <f aca="false">(Inicio!$G$10-DATOS_[[#This Row],[Fecha Nacimiento]])/365.25</f>
        <v>0</v>
      </c>
      <c r="CK165" s="141" t="n">
        <f aca="false">(Inicio!$G$10-DATOS_[[#This Row],[Fecha de Antigüedad]])/365.25</f>
        <v>0</v>
      </c>
      <c r="CL165" s="141" t="e">
        <f aca="false">+VLOOKUP(DATOS_[[#This Row],[Clave de Contrato]],TblTiposContrato13[],3,0)</f>
        <v>#N/A</v>
      </c>
      <c r="CM165" s="141" t="e">
        <f aca="false">+VLOOKUP(DATOS_[[#This Row],[Clave de Contrato]],TblTiposContrato13[],4,0)</f>
        <v>#N/A</v>
      </c>
      <c r="CN165" s="141" t="str">
        <f aca="false">VLOOKUP(DATOS_[[#This Row],[Edad]],CONTRATOS!TblRngEdad,2,1)</f>
        <v>20  o menos</v>
      </c>
      <c r="CO165" s="141" t="str">
        <f aca="false">VLOOKUP(DATOS_[[#This Row],[Antigüedad]],TblRngAntg14[],2,1)</f>
        <v>0 a 1 años</v>
      </c>
    </row>
    <row r="166" customFormat="false" ht="13.8" hidden="false" customHeight="false" outlineLevel="0" collapsed="false">
      <c r="D166" s="128"/>
      <c r="E166" s="129"/>
      <c r="F166" s="129"/>
      <c r="G166" s="129"/>
      <c r="H166" s="130"/>
      <c r="I166" s="131"/>
      <c r="J166" s="128"/>
      <c r="K166" s="132"/>
      <c r="L166" s="132"/>
      <c r="M166" s="133"/>
      <c r="N166" s="133"/>
      <c r="O166" s="133"/>
      <c r="P166" s="129"/>
      <c r="Z166" s="75"/>
      <c r="AA166" s="76"/>
      <c r="AB166" s="76"/>
      <c r="AC166" s="129"/>
      <c r="AD166" s="134"/>
      <c r="AE166" s="134"/>
      <c r="AF166" s="134"/>
      <c r="AG166" s="134"/>
      <c r="AH166" s="134"/>
      <c r="AI166" s="134"/>
      <c r="AJ166" s="134"/>
      <c r="AK166" s="134"/>
      <c r="AL166" s="134"/>
      <c r="AM166" s="134"/>
      <c r="AN166" s="134"/>
      <c r="AO166" s="134"/>
      <c r="AP166" s="134"/>
      <c r="AQ166" s="134"/>
      <c r="AR166" s="134"/>
      <c r="AS166" s="134"/>
      <c r="AT166" s="134"/>
      <c r="AU166" s="134"/>
      <c r="AV166" s="134"/>
      <c r="AW166" s="134"/>
      <c r="AX166" s="134"/>
      <c r="AY166" s="134"/>
      <c r="AZ166" s="134"/>
      <c r="BA166" s="134"/>
      <c r="BB166" s="134"/>
      <c r="BC166" s="134"/>
      <c r="BD166" s="134"/>
      <c r="BE166" s="134"/>
      <c r="BF166" s="134"/>
      <c r="BG166" s="134"/>
      <c r="BH166" s="134"/>
      <c r="BI166" s="134"/>
      <c r="BJ166" s="134"/>
      <c r="BK166" s="134"/>
      <c r="BL166" s="134"/>
      <c r="BM166" s="135"/>
      <c r="BN166" s="136" t="n">
        <f aca="false">+MAX($D$3,DATOS_[[#This Row],[Fecha Inicio Sit. Contract.]])</f>
        <v>0</v>
      </c>
      <c r="BO166" s="136" t="n">
        <f aca="false">+MIN($D$4,DATOS_[[#This Row],[Fecha Fin Sit. Contract.]])</f>
        <v>0</v>
      </c>
      <c r="BP166" s="137" t="n">
        <f aca="false">+DATOS_[[#This Row],[% de jornada]]*IF(DATOS_[[#This Row],[% jornada reducida]]="",1,DATOS_[[#This Row],[% jornada reducida]])</f>
        <v>0</v>
      </c>
      <c r="BQ166" s="137" t="n">
        <f aca="false">+(DATOS_[[#This Row],[F.fin.cal]]-DATOS_[[#This Row],[F.ini.cal]]+1)/($D$4-$D$3+1)</f>
        <v>1</v>
      </c>
      <c r="BR166" s="137" t="str">
        <f aca="false">IF(OR(AND(DATOS_[[#This Row],[Fecha Fin Contrato]]&lt;$D$3,DATOS_[[#This Row],[Fecha Fin Contrato]]&lt;&gt;""),DATOS_[[#This Row],[Fecha de Contratación]]&gt;$D$4),"Fuera","Dentro")</f>
        <v>Dentro</v>
      </c>
      <c r="BS166" s="137" t="str">
        <f aca="false" t="array" ref="BS166:BS166">IF(MAX(IF(DATOS_[id]=DATOS_[[#This Row],[id]],DATOS_[F.fin.cal]))=DATOS_[[#This Row],[F.fin.cal]],"Sí","NO")</f>
        <v>Sí</v>
      </c>
      <c r="BT166" s="137" t="str">
        <f aca="false">IF(AND(DATOS_[[#This Row],[% normaliz]]&lt;&gt;1,DATOS_[[#This Row],[% anualiz]]=1),"Sí","NO")</f>
        <v>Sí</v>
      </c>
      <c r="BU166" s="137" t="str">
        <f aca="false">IF(AND(DATOS_[[#This Row],[% normaliz]]=1,DATOS_[[#This Row],[% anualiz]]&lt;&gt;1),"Sí","NO")</f>
        <v>NO</v>
      </c>
      <c r="BV166" s="137" t="str">
        <f aca="false">IF(AND(DATOS_[[#This Row],[% normaliz]]&lt;&gt;1,DATOS_[[#This Row],[% anualiz]]&lt;&gt;1),"Sí","NO")</f>
        <v>NO</v>
      </c>
      <c r="BW166" s="137" t="str">
        <f aca="false">+IF(DATOS_[[#This Row],[% normaliz]]*DATOS_[[#This Row],[% anualiz]]=1,"NO","Sí")</f>
        <v>Sí</v>
      </c>
      <c r="BX166" s="138" t="e">
        <f aca="false">(DATOS_[[#This Row],[S.BASE]]*(1/DATOS_[[#This Row],[% normaliz]])*(1/DATOS_[[#This Row],[% anualiz]]))*IF(DATOS_[[#This Row],[Check Equiparado]]="Sí",1,0)</f>
        <v>#DIV/0!</v>
      </c>
      <c r="BY1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6" s="138" t="e">
        <f aca="false">+DATOS_[[#This Row],[SALARIO BASE Eq]]+DATOS_[[#This Row],[Tot COMPL.SAL Eq]]</f>
        <v>#DIV/0!</v>
      </c>
      <c r="CA166" s="138" t="e">
        <f aca="false" t="array" ref="CA166:CA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6" s="138" t="e">
        <f aca="false">+DATOS_[[#This Row],[TOTAL SALARIO Eq]]+DATOS_[[#This Row],[Tot Extrasalarial Eq]]</f>
        <v>#DIV/0!</v>
      </c>
      <c r="CC166" s="139" t="n">
        <f aca="false">DATOS_[[#This Row],[S.BASE]]</f>
        <v>0</v>
      </c>
      <c r="CD166" s="139" t="n">
        <f aca="false">+SUM(DATOS_[[#This Row],[Conc.Sal.01]:[Conc.Sal.30]])</f>
        <v>0</v>
      </c>
      <c r="CE166" s="139" t="n">
        <f aca="false">+DATOS_[[#This Row],[SALARIO BASE Ef]]+DATOS_[[#This Row],[Tot COMPL.SAL Ef]]</f>
        <v>0</v>
      </c>
      <c r="CF166" s="139" t="n">
        <f aca="false">+SUM(DATOS_[[#This Row],[C.Extra.01]:[C.Extra.05]])</f>
        <v>0</v>
      </c>
      <c r="CG166" s="139" t="n">
        <f aca="false">+DATOS_[[#This Row],[TOTAL SALARIO Ef]]+DATOS_[[#This Row],[Tot Extrasalarial Ef]]</f>
        <v>0</v>
      </c>
      <c r="CH166" s="140" t="n">
        <f aca="false">MIN(IF(DATOS_[[#This Row],[Fecha Fin Contrato]]="",$D$4,DATOS_[[#This Row],[Fecha Fin Contrato]]),$D$4)-MAX(DATOS_[[#This Row],[Fecha de Contratación]],$D$3)+1</f>
        <v>1</v>
      </c>
      <c r="CI166" s="141" t="str">
        <f aca="false">IF(COUNTIFS(DATOS_[id],DATOS_[[#This Row],[id]])&gt;1,DATOS_[[#This Row],[id]],"")</f>
        <v/>
      </c>
      <c r="CJ166" s="141" t="n">
        <f aca="false">(Inicio!$G$10-DATOS_[[#This Row],[Fecha Nacimiento]])/365.25</f>
        <v>0</v>
      </c>
      <c r="CK166" s="141" t="n">
        <f aca="false">(Inicio!$G$10-DATOS_[[#This Row],[Fecha de Antigüedad]])/365.25</f>
        <v>0</v>
      </c>
      <c r="CL166" s="141" t="e">
        <f aca="false">+VLOOKUP(DATOS_[[#This Row],[Clave de Contrato]],TblTiposContrato13[],3,0)</f>
        <v>#N/A</v>
      </c>
      <c r="CM166" s="141" t="e">
        <f aca="false">+VLOOKUP(DATOS_[[#This Row],[Clave de Contrato]],TblTiposContrato13[],4,0)</f>
        <v>#N/A</v>
      </c>
      <c r="CN166" s="141" t="str">
        <f aca="false">VLOOKUP(DATOS_[[#This Row],[Edad]],CONTRATOS!TblRngEdad,2,1)</f>
        <v>20  o menos</v>
      </c>
      <c r="CO166" s="141" t="str">
        <f aca="false">VLOOKUP(DATOS_[[#This Row],[Antigüedad]],TblRngAntg14[],2,1)</f>
        <v>0 a 1 años</v>
      </c>
    </row>
    <row r="167" customFormat="false" ht="13.8" hidden="false" customHeight="false" outlineLevel="0" collapsed="false">
      <c r="D167" s="128"/>
      <c r="E167" s="129"/>
      <c r="F167" s="129"/>
      <c r="G167" s="129"/>
      <c r="H167" s="130"/>
      <c r="I167" s="131"/>
      <c r="J167" s="128"/>
      <c r="K167" s="132"/>
      <c r="L167" s="132"/>
      <c r="M167" s="133"/>
      <c r="N167" s="133"/>
      <c r="O167" s="133"/>
      <c r="P167" s="129"/>
      <c r="Z167" s="75"/>
      <c r="AA167" s="76"/>
      <c r="AB167" s="76"/>
      <c r="AC167" s="129"/>
      <c r="AD167" s="134"/>
      <c r="AE167" s="134"/>
      <c r="AF167" s="134"/>
      <c r="AG167" s="134"/>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4"/>
      <c r="BD167" s="134"/>
      <c r="BE167" s="134"/>
      <c r="BF167" s="134"/>
      <c r="BG167" s="134"/>
      <c r="BH167" s="134"/>
      <c r="BI167" s="134"/>
      <c r="BJ167" s="134"/>
      <c r="BK167" s="134"/>
      <c r="BL167" s="134"/>
      <c r="BM167" s="135"/>
      <c r="BN167" s="136" t="n">
        <f aca="false">+MAX($D$3,DATOS_[[#This Row],[Fecha Inicio Sit. Contract.]])</f>
        <v>0</v>
      </c>
      <c r="BO167" s="136" t="n">
        <f aca="false">+MIN($D$4,DATOS_[[#This Row],[Fecha Fin Sit. Contract.]])</f>
        <v>0</v>
      </c>
      <c r="BP167" s="137" t="n">
        <f aca="false">+DATOS_[[#This Row],[% de jornada]]*IF(DATOS_[[#This Row],[% jornada reducida]]="",1,DATOS_[[#This Row],[% jornada reducida]])</f>
        <v>0</v>
      </c>
      <c r="BQ167" s="137" t="n">
        <f aca="false">+(DATOS_[[#This Row],[F.fin.cal]]-DATOS_[[#This Row],[F.ini.cal]]+1)/($D$4-$D$3+1)</f>
        <v>1</v>
      </c>
      <c r="BR167" s="137" t="str">
        <f aca="false">IF(OR(AND(DATOS_[[#This Row],[Fecha Fin Contrato]]&lt;$D$3,DATOS_[[#This Row],[Fecha Fin Contrato]]&lt;&gt;""),DATOS_[[#This Row],[Fecha de Contratación]]&gt;$D$4),"Fuera","Dentro")</f>
        <v>Dentro</v>
      </c>
      <c r="BS167" s="137" t="str">
        <f aca="false" t="array" ref="BS167:BS167">IF(MAX(IF(DATOS_[id]=DATOS_[[#This Row],[id]],DATOS_[F.fin.cal]))=DATOS_[[#This Row],[F.fin.cal]],"Sí","NO")</f>
        <v>Sí</v>
      </c>
      <c r="BT167" s="137" t="str">
        <f aca="false">IF(AND(DATOS_[[#This Row],[% normaliz]]&lt;&gt;1,DATOS_[[#This Row],[% anualiz]]=1),"Sí","NO")</f>
        <v>Sí</v>
      </c>
      <c r="BU167" s="137" t="str">
        <f aca="false">IF(AND(DATOS_[[#This Row],[% normaliz]]=1,DATOS_[[#This Row],[% anualiz]]&lt;&gt;1),"Sí","NO")</f>
        <v>NO</v>
      </c>
      <c r="BV167" s="137" t="str">
        <f aca="false">IF(AND(DATOS_[[#This Row],[% normaliz]]&lt;&gt;1,DATOS_[[#This Row],[% anualiz]]&lt;&gt;1),"Sí","NO")</f>
        <v>NO</v>
      </c>
      <c r="BW167" s="137" t="str">
        <f aca="false">+IF(DATOS_[[#This Row],[% normaliz]]*DATOS_[[#This Row],[% anualiz]]=1,"NO","Sí")</f>
        <v>Sí</v>
      </c>
      <c r="BX167" s="138" t="e">
        <f aca="false">(DATOS_[[#This Row],[S.BASE]]*(1/DATOS_[[#This Row],[% normaliz]])*(1/DATOS_[[#This Row],[% anualiz]]))*IF(DATOS_[[#This Row],[Check Equiparado]]="Sí",1,0)</f>
        <v>#DIV/0!</v>
      </c>
      <c r="BY1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7" s="138" t="e">
        <f aca="false">+DATOS_[[#This Row],[SALARIO BASE Eq]]+DATOS_[[#This Row],[Tot COMPL.SAL Eq]]</f>
        <v>#DIV/0!</v>
      </c>
      <c r="CA167" s="138" t="e">
        <f aca="false" t="array" ref="CA167:CA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7" s="138" t="e">
        <f aca="false">+DATOS_[[#This Row],[TOTAL SALARIO Eq]]+DATOS_[[#This Row],[Tot Extrasalarial Eq]]</f>
        <v>#DIV/0!</v>
      </c>
      <c r="CC167" s="139" t="n">
        <f aca="false">DATOS_[[#This Row],[S.BASE]]</f>
        <v>0</v>
      </c>
      <c r="CD167" s="139" t="n">
        <f aca="false">+SUM(DATOS_[[#This Row],[Conc.Sal.01]:[Conc.Sal.30]])</f>
        <v>0</v>
      </c>
      <c r="CE167" s="139" t="n">
        <f aca="false">+DATOS_[[#This Row],[SALARIO BASE Ef]]+DATOS_[[#This Row],[Tot COMPL.SAL Ef]]</f>
        <v>0</v>
      </c>
      <c r="CF167" s="139" t="n">
        <f aca="false">+SUM(DATOS_[[#This Row],[C.Extra.01]:[C.Extra.05]])</f>
        <v>0</v>
      </c>
      <c r="CG167" s="139" t="n">
        <f aca="false">+DATOS_[[#This Row],[TOTAL SALARIO Ef]]+DATOS_[[#This Row],[Tot Extrasalarial Ef]]</f>
        <v>0</v>
      </c>
      <c r="CH167" s="140" t="n">
        <f aca="false">MIN(IF(DATOS_[[#This Row],[Fecha Fin Contrato]]="",$D$4,DATOS_[[#This Row],[Fecha Fin Contrato]]),$D$4)-MAX(DATOS_[[#This Row],[Fecha de Contratación]],$D$3)+1</f>
        <v>1</v>
      </c>
      <c r="CI167" s="141" t="str">
        <f aca="false">IF(COUNTIFS(DATOS_[id],DATOS_[[#This Row],[id]])&gt;1,DATOS_[[#This Row],[id]],"")</f>
        <v/>
      </c>
      <c r="CJ167" s="141" t="n">
        <f aca="false">(Inicio!$G$10-DATOS_[[#This Row],[Fecha Nacimiento]])/365.25</f>
        <v>0</v>
      </c>
      <c r="CK167" s="141" t="n">
        <f aca="false">(Inicio!$G$10-DATOS_[[#This Row],[Fecha de Antigüedad]])/365.25</f>
        <v>0</v>
      </c>
      <c r="CL167" s="141" t="e">
        <f aca="false">+VLOOKUP(DATOS_[[#This Row],[Clave de Contrato]],TblTiposContrato13[],3,0)</f>
        <v>#N/A</v>
      </c>
      <c r="CM167" s="141" t="e">
        <f aca="false">+VLOOKUP(DATOS_[[#This Row],[Clave de Contrato]],TblTiposContrato13[],4,0)</f>
        <v>#N/A</v>
      </c>
      <c r="CN167" s="141" t="str">
        <f aca="false">VLOOKUP(DATOS_[[#This Row],[Edad]],CONTRATOS!TblRngEdad,2,1)</f>
        <v>20  o menos</v>
      </c>
      <c r="CO167" s="141" t="str">
        <f aca="false">VLOOKUP(DATOS_[[#This Row],[Antigüedad]],TblRngAntg14[],2,1)</f>
        <v>0 a 1 años</v>
      </c>
    </row>
    <row r="168" customFormat="false" ht="13.8" hidden="false" customHeight="false" outlineLevel="0" collapsed="false">
      <c r="D168" s="128"/>
      <c r="E168" s="129"/>
      <c r="F168" s="129"/>
      <c r="G168" s="129"/>
      <c r="H168" s="130"/>
      <c r="I168" s="131"/>
      <c r="J168" s="128"/>
      <c r="K168" s="132"/>
      <c r="L168" s="132"/>
      <c r="M168" s="133"/>
      <c r="N168" s="133"/>
      <c r="O168" s="133"/>
      <c r="P168" s="129"/>
      <c r="Z168" s="75"/>
      <c r="AA168" s="76"/>
      <c r="AB168" s="76"/>
      <c r="AC168" s="129"/>
      <c r="AD168" s="134"/>
      <c r="AE168" s="134"/>
      <c r="AF168" s="134"/>
      <c r="AG168" s="134"/>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4"/>
      <c r="BD168" s="134"/>
      <c r="BE168" s="134"/>
      <c r="BF168" s="134"/>
      <c r="BG168" s="134"/>
      <c r="BH168" s="134"/>
      <c r="BI168" s="134"/>
      <c r="BJ168" s="134"/>
      <c r="BK168" s="134"/>
      <c r="BL168" s="134"/>
      <c r="BM168" s="135"/>
      <c r="BN168" s="136" t="n">
        <f aca="false">+MAX($D$3,DATOS_[[#This Row],[Fecha Inicio Sit. Contract.]])</f>
        <v>0</v>
      </c>
      <c r="BO168" s="136" t="n">
        <f aca="false">+MIN($D$4,DATOS_[[#This Row],[Fecha Fin Sit. Contract.]])</f>
        <v>0</v>
      </c>
      <c r="BP168" s="137" t="n">
        <f aca="false">+DATOS_[[#This Row],[% de jornada]]*IF(DATOS_[[#This Row],[% jornada reducida]]="",1,DATOS_[[#This Row],[% jornada reducida]])</f>
        <v>0</v>
      </c>
      <c r="BQ168" s="137" t="n">
        <f aca="false">+(DATOS_[[#This Row],[F.fin.cal]]-DATOS_[[#This Row],[F.ini.cal]]+1)/($D$4-$D$3+1)</f>
        <v>1</v>
      </c>
      <c r="BR168" s="137" t="str">
        <f aca="false">IF(OR(AND(DATOS_[[#This Row],[Fecha Fin Contrato]]&lt;$D$3,DATOS_[[#This Row],[Fecha Fin Contrato]]&lt;&gt;""),DATOS_[[#This Row],[Fecha de Contratación]]&gt;$D$4),"Fuera","Dentro")</f>
        <v>Dentro</v>
      </c>
      <c r="BS168" s="137" t="str">
        <f aca="false" t="array" ref="BS168:BS168">IF(MAX(IF(DATOS_[id]=DATOS_[[#This Row],[id]],DATOS_[F.fin.cal]))=DATOS_[[#This Row],[F.fin.cal]],"Sí","NO")</f>
        <v>Sí</v>
      </c>
      <c r="BT168" s="137" t="str">
        <f aca="false">IF(AND(DATOS_[[#This Row],[% normaliz]]&lt;&gt;1,DATOS_[[#This Row],[% anualiz]]=1),"Sí","NO")</f>
        <v>Sí</v>
      </c>
      <c r="BU168" s="137" t="str">
        <f aca="false">IF(AND(DATOS_[[#This Row],[% normaliz]]=1,DATOS_[[#This Row],[% anualiz]]&lt;&gt;1),"Sí","NO")</f>
        <v>NO</v>
      </c>
      <c r="BV168" s="137" t="str">
        <f aca="false">IF(AND(DATOS_[[#This Row],[% normaliz]]&lt;&gt;1,DATOS_[[#This Row],[% anualiz]]&lt;&gt;1),"Sí","NO")</f>
        <v>NO</v>
      </c>
      <c r="BW168" s="137" t="str">
        <f aca="false">+IF(DATOS_[[#This Row],[% normaliz]]*DATOS_[[#This Row],[% anualiz]]=1,"NO","Sí")</f>
        <v>Sí</v>
      </c>
      <c r="BX168" s="138" t="e">
        <f aca="false">(DATOS_[[#This Row],[S.BASE]]*(1/DATOS_[[#This Row],[% normaliz]])*(1/DATOS_[[#This Row],[% anualiz]]))*IF(DATOS_[[#This Row],[Check Equiparado]]="Sí",1,0)</f>
        <v>#DIV/0!</v>
      </c>
      <c r="BY1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8" s="138" t="e">
        <f aca="false">+DATOS_[[#This Row],[SALARIO BASE Eq]]+DATOS_[[#This Row],[Tot COMPL.SAL Eq]]</f>
        <v>#DIV/0!</v>
      </c>
      <c r="CA168" s="138" t="e">
        <f aca="false" t="array" ref="CA168:CA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8" s="138" t="e">
        <f aca="false">+DATOS_[[#This Row],[TOTAL SALARIO Eq]]+DATOS_[[#This Row],[Tot Extrasalarial Eq]]</f>
        <v>#DIV/0!</v>
      </c>
      <c r="CC168" s="139" t="n">
        <f aca="false">DATOS_[[#This Row],[S.BASE]]</f>
        <v>0</v>
      </c>
      <c r="CD168" s="139" t="n">
        <f aca="false">+SUM(DATOS_[[#This Row],[Conc.Sal.01]:[Conc.Sal.30]])</f>
        <v>0</v>
      </c>
      <c r="CE168" s="139" t="n">
        <f aca="false">+DATOS_[[#This Row],[SALARIO BASE Ef]]+DATOS_[[#This Row],[Tot COMPL.SAL Ef]]</f>
        <v>0</v>
      </c>
      <c r="CF168" s="139" t="n">
        <f aca="false">+SUM(DATOS_[[#This Row],[C.Extra.01]:[C.Extra.05]])</f>
        <v>0</v>
      </c>
      <c r="CG168" s="139" t="n">
        <f aca="false">+DATOS_[[#This Row],[TOTAL SALARIO Ef]]+DATOS_[[#This Row],[Tot Extrasalarial Ef]]</f>
        <v>0</v>
      </c>
      <c r="CH168" s="140" t="n">
        <f aca="false">MIN(IF(DATOS_[[#This Row],[Fecha Fin Contrato]]="",$D$4,DATOS_[[#This Row],[Fecha Fin Contrato]]),$D$4)-MAX(DATOS_[[#This Row],[Fecha de Contratación]],$D$3)+1</f>
        <v>1</v>
      </c>
      <c r="CI168" s="141" t="str">
        <f aca="false">IF(COUNTIFS(DATOS_[id],DATOS_[[#This Row],[id]])&gt;1,DATOS_[[#This Row],[id]],"")</f>
        <v/>
      </c>
      <c r="CJ168" s="141" t="n">
        <f aca="false">(Inicio!$G$10-DATOS_[[#This Row],[Fecha Nacimiento]])/365.25</f>
        <v>0</v>
      </c>
      <c r="CK168" s="141" t="n">
        <f aca="false">(Inicio!$G$10-DATOS_[[#This Row],[Fecha de Antigüedad]])/365.25</f>
        <v>0</v>
      </c>
      <c r="CL168" s="141" t="e">
        <f aca="false">+VLOOKUP(DATOS_[[#This Row],[Clave de Contrato]],TblTiposContrato13[],3,0)</f>
        <v>#N/A</v>
      </c>
      <c r="CM168" s="141" t="e">
        <f aca="false">+VLOOKUP(DATOS_[[#This Row],[Clave de Contrato]],TblTiposContrato13[],4,0)</f>
        <v>#N/A</v>
      </c>
      <c r="CN168" s="141" t="str">
        <f aca="false">VLOOKUP(DATOS_[[#This Row],[Edad]],CONTRATOS!TblRngEdad,2,1)</f>
        <v>20  o menos</v>
      </c>
      <c r="CO168" s="141" t="str">
        <f aca="false">VLOOKUP(DATOS_[[#This Row],[Antigüedad]],TblRngAntg14[],2,1)</f>
        <v>0 a 1 años</v>
      </c>
    </row>
    <row r="169" customFormat="false" ht="13.8" hidden="false" customHeight="false" outlineLevel="0" collapsed="false">
      <c r="D169" s="128"/>
      <c r="E169" s="129"/>
      <c r="F169" s="129"/>
      <c r="G169" s="129"/>
      <c r="H169" s="130"/>
      <c r="I169" s="131"/>
      <c r="J169" s="128"/>
      <c r="K169" s="132"/>
      <c r="L169" s="132"/>
      <c r="M169" s="133"/>
      <c r="N169" s="133"/>
      <c r="O169" s="133"/>
      <c r="P169" s="129"/>
      <c r="Z169" s="75"/>
      <c r="AA169" s="76"/>
      <c r="AB169" s="76"/>
      <c r="AC169" s="129"/>
      <c r="AD169" s="134"/>
      <c r="AE169" s="134"/>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c r="BE169" s="134"/>
      <c r="BF169" s="134"/>
      <c r="BG169" s="134"/>
      <c r="BH169" s="134"/>
      <c r="BI169" s="134"/>
      <c r="BJ169" s="134"/>
      <c r="BK169" s="134"/>
      <c r="BL169" s="134"/>
      <c r="BM169" s="135"/>
      <c r="BN169" s="136" t="n">
        <f aca="false">+MAX($D$3,DATOS_[[#This Row],[Fecha Inicio Sit. Contract.]])</f>
        <v>0</v>
      </c>
      <c r="BO169" s="136" t="n">
        <f aca="false">+MIN($D$4,DATOS_[[#This Row],[Fecha Fin Sit. Contract.]])</f>
        <v>0</v>
      </c>
      <c r="BP169" s="137" t="n">
        <f aca="false">+DATOS_[[#This Row],[% de jornada]]*IF(DATOS_[[#This Row],[% jornada reducida]]="",1,DATOS_[[#This Row],[% jornada reducida]])</f>
        <v>0</v>
      </c>
      <c r="BQ169" s="137" t="n">
        <f aca="false">+(DATOS_[[#This Row],[F.fin.cal]]-DATOS_[[#This Row],[F.ini.cal]]+1)/($D$4-$D$3+1)</f>
        <v>1</v>
      </c>
      <c r="BR169" s="137" t="str">
        <f aca="false">IF(OR(AND(DATOS_[[#This Row],[Fecha Fin Contrato]]&lt;$D$3,DATOS_[[#This Row],[Fecha Fin Contrato]]&lt;&gt;""),DATOS_[[#This Row],[Fecha de Contratación]]&gt;$D$4),"Fuera","Dentro")</f>
        <v>Dentro</v>
      </c>
      <c r="BS169" s="137" t="str">
        <f aca="false" t="array" ref="BS169:BS169">IF(MAX(IF(DATOS_[id]=DATOS_[[#This Row],[id]],DATOS_[F.fin.cal]))=DATOS_[[#This Row],[F.fin.cal]],"Sí","NO")</f>
        <v>Sí</v>
      </c>
      <c r="BT169" s="137" t="str">
        <f aca="false">IF(AND(DATOS_[[#This Row],[% normaliz]]&lt;&gt;1,DATOS_[[#This Row],[% anualiz]]=1),"Sí","NO")</f>
        <v>Sí</v>
      </c>
      <c r="BU169" s="137" t="str">
        <f aca="false">IF(AND(DATOS_[[#This Row],[% normaliz]]=1,DATOS_[[#This Row],[% anualiz]]&lt;&gt;1),"Sí","NO")</f>
        <v>NO</v>
      </c>
      <c r="BV169" s="137" t="str">
        <f aca="false">IF(AND(DATOS_[[#This Row],[% normaliz]]&lt;&gt;1,DATOS_[[#This Row],[% anualiz]]&lt;&gt;1),"Sí","NO")</f>
        <v>NO</v>
      </c>
      <c r="BW169" s="137" t="str">
        <f aca="false">+IF(DATOS_[[#This Row],[% normaliz]]*DATOS_[[#This Row],[% anualiz]]=1,"NO","Sí")</f>
        <v>Sí</v>
      </c>
      <c r="BX169" s="138" t="e">
        <f aca="false">(DATOS_[[#This Row],[S.BASE]]*(1/DATOS_[[#This Row],[% normaliz]])*(1/DATOS_[[#This Row],[% anualiz]]))*IF(DATOS_[[#This Row],[Check Equiparado]]="Sí",1,0)</f>
        <v>#DIV/0!</v>
      </c>
      <c r="BY1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9" s="138" t="e">
        <f aca="false">+DATOS_[[#This Row],[SALARIO BASE Eq]]+DATOS_[[#This Row],[Tot COMPL.SAL Eq]]</f>
        <v>#DIV/0!</v>
      </c>
      <c r="CA169" s="138" t="e">
        <f aca="false" t="array" ref="CA169:CA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9" s="138" t="e">
        <f aca="false">+DATOS_[[#This Row],[TOTAL SALARIO Eq]]+DATOS_[[#This Row],[Tot Extrasalarial Eq]]</f>
        <v>#DIV/0!</v>
      </c>
      <c r="CC169" s="139" t="n">
        <f aca="false">DATOS_[[#This Row],[S.BASE]]</f>
        <v>0</v>
      </c>
      <c r="CD169" s="139" t="n">
        <f aca="false">+SUM(DATOS_[[#This Row],[Conc.Sal.01]:[Conc.Sal.30]])</f>
        <v>0</v>
      </c>
      <c r="CE169" s="139" t="n">
        <f aca="false">+DATOS_[[#This Row],[SALARIO BASE Ef]]+DATOS_[[#This Row],[Tot COMPL.SAL Ef]]</f>
        <v>0</v>
      </c>
      <c r="CF169" s="139" t="n">
        <f aca="false">+SUM(DATOS_[[#This Row],[C.Extra.01]:[C.Extra.05]])</f>
        <v>0</v>
      </c>
      <c r="CG169" s="139" t="n">
        <f aca="false">+DATOS_[[#This Row],[TOTAL SALARIO Ef]]+DATOS_[[#This Row],[Tot Extrasalarial Ef]]</f>
        <v>0</v>
      </c>
      <c r="CH169" s="140" t="n">
        <f aca="false">MIN(IF(DATOS_[[#This Row],[Fecha Fin Contrato]]="",$D$4,DATOS_[[#This Row],[Fecha Fin Contrato]]),$D$4)-MAX(DATOS_[[#This Row],[Fecha de Contratación]],$D$3)+1</f>
        <v>1</v>
      </c>
      <c r="CI169" s="141" t="str">
        <f aca="false">IF(COUNTIFS(DATOS_[id],DATOS_[[#This Row],[id]])&gt;1,DATOS_[[#This Row],[id]],"")</f>
        <v/>
      </c>
      <c r="CJ169" s="141" t="n">
        <f aca="false">(Inicio!$G$10-DATOS_[[#This Row],[Fecha Nacimiento]])/365.25</f>
        <v>0</v>
      </c>
      <c r="CK169" s="141" t="n">
        <f aca="false">(Inicio!$G$10-DATOS_[[#This Row],[Fecha de Antigüedad]])/365.25</f>
        <v>0</v>
      </c>
      <c r="CL169" s="141" t="e">
        <f aca="false">+VLOOKUP(DATOS_[[#This Row],[Clave de Contrato]],TblTiposContrato13[],3,0)</f>
        <v>#N/A</v>
      </c>
      <c r="CM169" s="141" t="e">
        <f aca="false">+VLOOKUP(DATOS_[[#This Row],[Clave de Contrato]],TblTiposContrato13[],4,0)</f>
        <v>#N/A</v>
      </c>
      <c r="CN169" s="141" t="str">
        <f aca="false">VLOOKUP(DATOS_[[#This Row],[Edad]],CONTRATOS!TblRngEdad,2,1)</f>
        <v>20  o menos</v>
      </c>
      <c r="CO169" s="141" t="str">
        <f aca="false">VLOOKUP(DATOS_[[#This Row],[Antigüedad]],TblRngAntg14[],2,1)</f>
        <v>0 a 1 años</v>
      </c>
    </row>
    <row r="170" customFormat="false" ht="13.8" hidden="false" customHeight="false" outlineLevel="0" collapsed="false">
      <c r="D170" s="128"/>
      <c r="E170" s="129"/>
      <c r="F170" s="129"/>
      <c r="G170" s="129"/>
      <c r="H170" s="130"/>
      <c r="I170" s="131"/>
      <c r="J170" s="128"/>
      <c r="K170" s="132"/>
      <c r="L170" s="132"/>
      <c r="M170" s="133"/>
      <c r="N170" s="133"/>
      <c r="O170" s="133"/>
      <c r="P170" s="129"/>
      <c r="Z170" s="75"/>
      <c r="AA170" s="76"/>
      <c r="AB170" s="76"/>
      <c r="AC170" s="129"/>
      <c r="AD170" s="134"/>
      <c r="AE170" s="134"/>
      <c r="AF170" s="134"/>
      <c r="AG170" s="134"/>
      <c r="AH170" s="134"/>
      <c r="AI170" s="134"/>
      <c r="AJ170" s="134"/>
      <c r="AK170" s="134"/>
      <c r="AL170" s="134"/>
      <c r="AM170" s="134"/>
      <c r="AN170" s="134"/>
      <c r="AO170" s="134"/>
      <c r="AP170" s="134"/>
      <c r="AQ170" s="134"/>
      <c r="AR170" s="134"/>
      <c r="AS170" s="134"/>
      <c r="AT170" s="134"/>
      <c r="AU170" s="134"/>
      <c r="AV170" s="134"/>
      <c r="AW170" s="134"/>
      <c r="AX170" s="134"/>
      <c r="AY170" s="134"/>
      <c r="AZ170" s="134"/>
      <c r="BA170" s="134"/>
      <c r="BB170" s="134"/>
      <c r="BC170" s="134"/>
      <c r="BD170" s="134"/>
      <c r="BE170" s="134"/>
      <c r="BF170" s="134"/>
      <c r="BG170" s="134"/>
      <c r="BH170" s="134"/>
      <c r="BI170" s="134"/>
      <c r="BJ170" s="134"/>
      <c r="BK170" s="134"/>
      <c r="BL170" s="134"/>
      <c r="BM170" s="135"/>
      <c r="BN170" s="136" t="n">
        <f aca="false">+MAX($D$3,DATOS_[[#This Row],[Fecha Inicio Sit. Contract.]])</f>
        <v>0</v>
      </c>
      <c r="BO170" s="136" t="n">
        <f aca="false">+MIN($D$4,DATOS_[[#This Row],[Fecha Fin Sit. Contract.]])</f>
        <v>0</v>
      </c>
      <c r="BP170" s="137" t="n">
        <f aca="false">+DATOS_[[#This Row],[% de jornada]]*IF(DATOS_[[#This Row],[% jornada reducida]]="",1,DATOS_[[#This Row],[% jornada reducida]])</f>
        <v>0</v>
      </c>
      <c r="BQ170" s="137" t="n">
        <f aca="false">+(DATOS_[[#This Row],[F.fin.cal]]-DATOS_[[#This Row],[F.ini.cal]]+1)/($D$4-$D$3+1)</f>
        <v>1</v>
      </c>
      <c r="BR170" s="137" t="str">
        <f aca="false">IF(OR(AND(DATOS_[[#This Row],[Fecha Fin Contrato]]&lt;$D$3,DATOS_[[#This Row],[Fecha Fin Contrato]]&lt;&gt;""),DATOS_[[#This Row],[Fecha de Contratación]]&gt;$D$4),"Fuera","Dentro")</f>
        <v>Dentro</v>
      </c>
      <c r="BS170" s="137" t="str">
        <f aca="false" t="array" ref="BS170:BS170">IF(MAX(IF(DATOS_[id]=DATOS_[[#This Row],[id]],DATOS_[F.fin.cal]))=DATOS_[[#This Row],[F.fin.cal]],"Sí","NO")</f>
        <v>Sí</v>
      </c>
      <c r="BT170" s="137" t="str">
        <f aca="false">IF(AND(DATOS_[[#This Row],[% normaliz]]&lt;&gt;1,DATOS_[[#This Row],[% anualiz]]=1),"Sí","NO")</f>
        <v>Sí</v>
      </c>
      <c r="BU170" s="137" t="str">
        <f aca="false">IF(AND(DATOS_[[#This Row],[% normaliz]]=1,DATOS_[[#This Row],[% anualiz]]&lt;&gt;1),"Sí","NO")</f>
        <v>NO</v>
      </c>
      <c r="BV170" s="137" t="str">
        <f aca="false">IF(AND(DATOS_[[#This Row],[% normaliz]]&lt;&gt;1,DATOS_[[#This Row],[% anualiz]]&lt;&gt;1),"Sí","NO")</f>
        <v>NO</v>
      </c>
      <c r="BW170" s="137" t="str">
        <f aca="false">+IF(DATOS_[[#This Row],[% normaliz]]*DATOS_[[#This Row],[% anualiz]]=1,"NO","Sí")</f>
        <v>Sí</v>
      </c>
      <c r="BX170" s="138" t="e">
        <f aca="false">(DATOS_[[#This Row],[S.BASE]]*(1/DATOS_[[#This Row],[% normaliz]])*(1/DATOS_[[#This Row],[% anualiz]]))*IF(DATOS_[[#This Row],[Check Equiparado]]="Sí",1,0)</f>
        <v>#DIV/0!</v>
      </c>
      <c r="BY1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0" s="138" t="e">
        <f aca="false">+DATOS_[[#This Row],[SALARIO BASE Eq]]+DATOS_[[#This Row],[Tot COMPL.SAL Eq]]</f>
        <v>#DIV/0!</v>
      </c>
      <c r="CA170" s="138" t="e">
        <f aca="false" t="array" ref="CA170:CA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0" s="138" t="e">
        <f aca="false">+DATOS_[[#This Row],[TOTAL SALARIO Eq]]+DATOS_[[#This Row],[Tot Extrasalarial Eq]]</f>
        <v>#DIV/0!</v>
      </c>
      <c r="CC170" s="139" t="n">
        <f aca="false">DATOS_[[#This Row],[S.BASE]]</f>
        <v>0</v>
      </c>
      <c r="CD170" s="139" t="n">
        <f aca="false">+SUM(DATOS_[[#This Row],[Conc.Sal.01]:[Conc.Sal.30]])</f>
        <v>0</v>
      </c>
      <c r="CE170" s="139" t="n">
        <f aca="false">+DATOS_[[#This Row],[SALARIO BASE Ef]]+DATOS_[[#This Row],[Tot COMPL.SAL Ef]]</f>
        <v>0</v>
      </c>
      <c r="CF170" s="139" t="n">
        <f aca="false">+SUM(DATOS_[[#This Row],[C.Extra.01]:[C.Extra.05]])</f>
        <v>0</v>
      </c>
      <c r="CG170" s="139" t="n">
        <f aca="false">+DATOS_[[#This Row],[TOTAL SALARIO Ef]]+DATOS_[[#This Row],[Tot Extrasalarial Ef]]</f>
        <v>0</v>
      </c>
      <c r="CH170" s="140" t="n">
        <f aca="false">MIN(IF(DATOS_[[#This Row],[Fecha Fin Contrato]]="",$D$4,DATOS_[[#This Row],[Fecha Fin Contrato]]),$D$4)-MAX(DATOS_[[#This Row],[Fecha de Contratación]],$D$3)+1</f>
        <v>1</v>
      </c>
      <c r="CI170" s="141" t="str">
        <f aca="false">IF(COUNTIFS(DATOS_[id],DATOS_[[#This Row],[id]])&gt;1,DATOS_[[#This Row],[id]],"")</f>
        <v/>
      </c>
      <c r="CJ170" s="141" t="n">
        <f aca="false">(Inicio!$G$10-DATOS_[[#This Row],[Fecha Nacimiento]])/365.25</f>
        <v>0</v>
      </c>
      <c r="CK170" s="141" t="n">
        <f aca="false">(Inicio!$G$10-DATOS_[[#This Row],[Fecha de Antigüedad]])/365.25</f>
        <v>0</v>
      </c>
      <c r="CL170" s="141" t="e">
        <f aca="false">+VLOOKUP(DATOS_[[#This Row],[Clave de Contrato]],TblTiposContrato13[],3,0)</f>
        <v>#N/A</v>
      </c>
      <c r="CM170" s="141" t="e">
        <f aca="false">+VLOOKUP(DATOS_[[#This Row],[Clave de Contrato]],TblTiposContrato13[],4,0)</f>
        <v>#N/A</v>
      </c>
      <c r="CN170" s="141" t="str">
        <f aca="false">VLOOKUP(DATOS_[[#This Row],[Edad]],CONTRATOS!TblRngEdad,2,1)</f>
        <v>20  o menos</v>
      </c>
      <c r="CO170" s="141" t="str">
        <f aca="false">VLOOKUP(DATOS_[[#This Row],[Antigüedad]],TblRngAntg14[],2,1)</f>
        <v>0 a 1 años</v>
      </c>
    </row>
    <row r="171" customFormat="false" ht="13.8" hidden="false" customHeight="false" outlineLevel="0" collapsed="false">
      <c r="D171" s="128"/>
      <c r="E171" s="129"/>
      <c r="F171" s="129"/>
      <c r="G171" s="129"/>
      <c r="H171" s="130"/>
      <c r="I171" s="131"/>
      <c r="J171" s="128"/>
      <c r="K171" s="132"/>
      <c r="L171" s="132"/>
      <c r="M171" s="133"/>
      <c r="N171" s="133"/>
      <c r="O171" s="133"/>
      <c r="P171" s="129"/>
      <c r="Z171" s="75"/>
      <c r="AA171" s="76"/>
      <c r="AB171" s="76"/>
      <c r="AC171" s="129"/>
      <c r="AD171" s="134"/>
      <c r="AE171" s="134"/>
      <c r="AF171" s="134"/>
      <c r="AG171" s="134"/>
      <c r="AH171" s="134"/>
      <c r="AI171" s="134"/>
      <c r="AJ171" s="134"/>
      <c r="AK171" s="134"/>
      <c r="AL171" s="134"/>
      <c r="AM171" s="134"/>
      <c r="AN171" s="134"/>
      <c r="AO171" s="134"/>
      <c r="AP171" s="134"/>
      <c r="AQ171" s="134"/>
      <c r="AR171" s="134"/>
      <c r="AS171" s="134"/>
      <c r="AT171" s="134"/>
      <c r="AU171" s="134"/>
      <c r="AV171" s="134"/>
      <c r="AW171" s="134"/>
      <c r="AX171" s="134"/>
      <c r="AY171" s="134"/>
      <c r="AZ171" s="134"/>
      <c r="BA171" s="134"/>
      <c r="BB171" s="134"/>
      <c r="BC171" s="134"/>
      <c r="BD171" s="134"/>
      <c r="BE171" s="134"/>
      <c r="BF171" s="134"/>
      <c r="BG171" s="134"/>
      <c r="BH171" s="134"/>
      <c r="BI171" s="134"/>
      <c r="BJ171" s="134"/>
      <c r="BK171" s="134"/>
      <c r="BL171" s="134"/>
      <c r="BM171" s="135"/>
      <c r="BN171" s="136" t="n">
        <f aca="false">+MAX($D$3,DATOS_[[#This Row],[Fecha Inicio Sit. Contract.]])</f>
        <v>0</v>
      </c>
      <c r="BO171" s="136" t="n">
        <f aca="false">+MIN($D$4,DATOS_[[#This Row],[Fecha Fin Sit. Contract.]])</f>
        <v>0</v>
      </c>
      <c r="BP171" s="137" t="n">
        <f aca="false">+DATOS_[[#This Row],[% de jornada]]*IF(DATOS_[[#This Row],[% jornada reducida]]="",1,DATOS_[[#This Row],[% jornada reducida]])</f>
        <v>0</v>
      </c>
      <c r="BQ171" s="137" t="n">
        <f aca="false">+(DATOS_[[#This Row],[F.fin.cal]]-DATOS_[[#This Row],[F.ini.cal]]+1)/($D$4-$D$3+1)</f>
        <v>1</v>
      </c>
      <c r="BR171" s="137" t="str">
        <f aca="false">IF(OR(AND(DATOS_[[#This Row],[Fecha Fin Contrato]]&lt;$D$3,DATOS_[[#This Row],[Fecha Fin Contrato]]&lt;&gt;""),DATOS_[[#This Row],[Fecha de Contratación]]&gt;$D$4),"Fuera","Dentro")</f>
        <v>Dentro</v>
      </c>
      <c r="BS171" s="137" t="str">
        <f aca="false" t="array" ref="BS171:BS171">IF(MAX(IF(DATOS_[id]=DATOS_[[#This Row],[id]],DATOS_[F.fin.cal]))=DATOS_[[#This Row],[F.fin.cal]],"Sí","NO")</f>
        <v>Sí</v>
      </c>
      <c r="BT171" s="137" t="str">
        <f aca="false">IF(AND(DATOS_[[#This Row],[% normaliz]]&lt;&gt;1,DATOS_[[#This Row],[% anualiz]]=1),"Sí","NO")</f>
        <v>Sí</v>
      </c>
      <c r="BU171" s="137" t="str">
        <f aca="false">IF(AND(DATOS_[[#This Row],[% normaliz]]=1,DATOS_[[#This Row],[% anualiz]]&lt;&gt;1),"Sí","NO")</f>
        <v>NO</v>
      </c>
      <c r="BV171" s="137" t="str">
        <f aca="false">IF(AND(DATOS_[[#This Row],[% normaliz]]&lt;&gt;1,DATOS_[[#This Row],[% anualiz]]&lt;&gt;1),"Sí","NO")</f>
        <v>NO</v>
      </c>
      <c r="BW171" s="137" t="str">
        <f aca="false">+IF(DATOS_[[#This Row],[% normaliz]]*DATOS_[[#This Row],[% anualiz]]=1,"NO","Sí")</f>
        <v>Sí</v>
      </c>
      <c r="BX171" s="138" t="e">
        <f aca="false">(DATOS_[[#This Row],[S.BASE]]*(1/DATOS_[[#This Row],[% normaliz]])*(1/DATOS_[[#This Row],[% anualiz]]))*IF(DATOS_[[#This Row],[Check Equiparado]]="Sí",1,0)</f>
        <v>#DIV/0!</v>
      </c>
      <c r="BY1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1" s="138" t="e">
        <f aca="false">+DATOS_[[#This Row],[SALARIO BASE Eq]]+DATOS_[[#This Row],[Tot COMPL.SAL Eq]]</f>
        <v>#DIV/0!</v>
      </c>
      <c r="CA171" s="138" t="e">
        <f aca="false" t="array" ref="CA171:CA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1" s="138" t="e">
        <f aca="false">+DATOS_[[#This Row],[TOTAL SALARIO Eq]]+DATOS_[[#This Row],[Tot Extrasalarial Eq]]</f>
        <v>#DIV/0!</v>
      </c>
      <c r="CC171" s="139" t="n">
        <f aca="false">DATOS_[[#This Row],[S.BASE]]</f>
        <v>0</v>
      </c>
      <c r="CD171" s="139" t="n">
        <f aca="false">+SUM(DATOS_[[#This Row],[Conc.Sal.01]:[Conc.Sal.30]])</f>
        <v>0</v>
      </c>
      <c r="CE171" s="139" t="n">
        <f aca="false">+DATOS_[[#This Row],[SALARIO BASE Ef]]+DATOS_[[#This Row],[Tot COMPL.SAL Ef]]</f>
        <v>0</v>
      </c>
      <c r="CF171" s="139" t="n">
        <f aca="false">+SUM(DATOS_[[#This Row],[C.Extra.01]:[C.Extra.05]])</f>
        <v>0</v>
      </c>
      <c r="CG171" s="139" t="n">
        <f aca="false">+DATOS_[[#This Row],[TOTAL SALARIO Ef]]+DATOS_[[#This Row],[Tot Extrasalarial Ef]]</f>
        <v>0</v>
      </c>
      <c r="CH171" s="140" t="n">
        <f aca="false">MIN(IF(DATOS_[[#This Row],[Fecha Fin Contrato]]="",$D$4,DATOS_[[#This Row],[Fecha Fin Contrato]]),$D$4)-MAX(DATOS_[[#This Row],[Fecha de Contratación]],$D$3)+1</f>
        <v>1</v>
      </c>
      <c r="CI171" s="141" t="str">
        <f aca="false">IF(COUNTIFS(DATOS_[id],DATOS_[[#This Row],[id]])&gt;1,DATOS_[[#This Row],[id]],"")</f>
        <v/>
      </c>
      <c r="CJ171" s="141" t="n">
        <f aca="false">(Inicio!$G$10-DATOS_[[#This Row],[Fecha Nacimiento]])/365.25</f>
        <v>0</v>
      </c>
      <c r="CK171" s="141" t="n">
        <f aca="false">(Inicio!$G$10-DATOS_[[#This Row],[Fecha de Antigüedad]])/365.25</f>
        <v>0</v>
      </c>
      <c r="CL171" s="141" t="e">
        <f aca="false">+VLOOKUP(DATOS_[[#This Row],[Clave de Contrato]],TblTiposContrato13[],3,0)</f>
        <v>#N/A</v>
      </c>
      <c r="CM171" s="141" t="e">
        <f aca="false">+VLOOKUP(DATOS_[[#This Row],[Clave de Contrato]],TblTiposContrato13[],4,0)</f>
        <v>#N/A</v>
      </c>
      <c r="CN171" s="141" t="str">
        <f aca="false">VLOOKUP(DATOS_[[#This Row],[Edad]],CONTRATOS!TblRngEdad,2,1)</f>
        <v>20  o menos</v>
      </c>
      <c r="CO171" s="141" t="str">
        <f aca="false">VLOOKUP(DATOS_[[#This Row],[Antigüedad]],TblRngAntg14[],2,1)</f>
        <v>0 a 1 años</v>
      </c>
    </row>
    <row r="172" customFormat="false" ht="13.8" hidden="false" customHeight="false" outlineLevel="0" collapsed="false">
      <c r="D172" s="128"/>
      <c r="E172" s="129"/>
      <c r="F172" s="129"/>
      <c r="G172" s="129"/>
      <c r="H172" s="130"/>
      <c r="I172" s="131"/>
      <c r="J172" s="128"/>
      <c r="K172" s="132"/>
      <c r="L172" s="132"/>
      <c r="M172" s="133"/>
      <c r="N172" s="133"/>
      <c r="O172" s="133"/>
      <c r="P172" s="129"/>
      <c r="Z172" s="75"/>
      <c r="AA172" s="76"/>
      <c r="AB172" s="76"/>
      <c r="AC172" s="129"/>
      <c r="AD172" s="134"/>
      <c r="AE172" s="134"/>
      <c r="AF172" s="134"/>
      <c r="AG172" s="134"/>
      <c r="AH172" s="134"/>
      <c r="AI172" s="134"/>
      <c r="AJ172" s="134"/>
      <c r="AK172" s="134"/>
      <c r="AL172" s="134"/>
      <c r="AM172" s="134"/>
      <c r="AN172" s="134"/>
      <c r="AO172" s="134"/>
      <c r="AP172" s="134"/>
      <c r="AQ172" s="134"/>
      <c r="AR172" s="134"/>
      <c r="AS172" s="134"/>
      <c r="AT172" s="134"/>
      <c r="AU172" s="134"/>
      <c r="AV172" s="134"/>
      <c r="AW172" s="134"/>
      <c r="AX172" s="134"/>
      <c r="AY172" s="134"/>
      <c r="AZ172" s="134"/>
      <c r="BA172" s="134"/>
      <c r="BB172" s="134"/>
      <c r="BC172" s="134"/>
      <c r="BD172" s="134"/>
      <c r="BE172" s="134"/>
      <c r="BF172" s="134"/>
      <c r="BG172" s="134"/>
      <c r="BH172" s="134"/>
      <c r="BI172" s="134"/>
      <c r="BJ172" s="134"/>
      <c r="BK172" s="134"/>
      <c r="BL172" s="134"/>
      <c r="BM172" s="135"/>
      <c r="BN172" s="136" t="n">
        <f aca="false">+MAX($D$3,DATOS_[[#This Row],[Fecha Inicio Sit. Contract.]])</f>
        <v>0</v>
      </c>
      <c r="BO172" s="136" t="n">
        <f aca="false">+MIN($D$4,DATOS_[[#This Row],[Fecha Fin Sit. Contract.]])</f>
        <v>0</v>
      </c>
      <c r="BP172" s="137" t="n">
        <f aca="false">+DATOS_[[#This Row],[% de jornada]]*IF(DATOS_[[#This Row],[% jornada reducida]]="",1,DATOS_[[#This Row],[% jornada reducida]])</f>
        <v>0</v>
      </c>
      <c r="BQ172" s="137" t="n">
        <f aca="false">+(DATOS_[[#This Row],[F.fin.cal]]-DATOS_[[#This Row],[F.ini.cal]]+1)/($D$4-$D$3+1)</f>
        <v>1</v>
      </c>
      <c r="BR172" s="137" t="str">
        <f aca="false">IF(OR(AND(DATOS_[[#This Row],[Fecha Fin Contrato]]&lt;$D$3,DATOS_[[#This Row],[Fecha Fin Contrato]]&lt;&gt;""),DATOS_[[#This Row],[Fecha de Contratación]]&gt;$D$4),"Fuera","Dentro")</f>
        <v>Dentro</v>
      </c>
      <c r="BS172" s="137" t="str">
        <f aca="false" t="array" ref="BS172:BS172">IF(MAX(IF(DATOS_[id]=DATOS_[[#This Row],[id]],DATOS_[F.fin.cal]))=DATOS_[[#This Row],[F.fin.cal]],"Sí","NO")</f>
        <v>Sí</v>
      </c>
      <c r="BT172" s="137" t="str">
        <f aca="false">IF(AND(DATOS_[[#This Row],[% normaliz]]&lt;&gt;1,DATOS_[[#This Row],[% anualiz]]=1),"Sí","NO")</f>
        <v>Sí</v>
      </c>
      <c r="BU172" s="137" t="str">
        <f aca="false">IF(AND(DATOS_[[#This Row],[% normaliz]]=1,DATOS_[[#This Row],[% anualiz]]&lt;&gt;1),"Sí","NO")</f>
        <v>NO</v>
      </c>
      <c r="BV172" s="137" t="str">
        <f aca="false">IF(AND(DATOS_[[#This Row],[% normaliz]]&lt;&gt;1,DATOS_[[#This Row],[% anualiz]]&lt;&gt;1),"Sí","NO")</f>
        <v>NO</v>
      </c>
      <c r="BW172" s="137" t="str">
        <f aca="false">+IF(DATOS_[[#This Row],[% normaliz]]*DATOS_[[#This Row],[% anualiz]]=1,"NO","Sí")</f>
        <v>Sí</v>
      </c>
      <c r="BX172" s="138" t="e">
        <f aca="false">(DATOS_[[#This Row],[S.BASE]]*(1/DATOS_[[#This Row],[% normaliz]])*(1/DATOS_[[#This Row],[% anualiz]]))*IF(DATOS_[[#This Row],[Check Equiparado]]="Sí",1,0)</f>
        <v>#DIV/0!</v>
      </c>
      <c r="BY1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2" s="138" t="e">
        <f aca="false">+DATOS_[[#This Row],[SALARIO BASE Eq]]+DATOS_[[#This Row],[Tot COMPL.SAL Eq]]</f>
        <v>#DIV/0!</v>
      </c>
      <c r="CA172" s="138" t="e">
        <f aca="false" t="array" ref="CA172:CA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2" s="138" t="e">
        <f aca="false">+DATOS_[[#This Row],[TOTAL SALARIO Eq]]+DATOS_[[#This Row],[Tot Extrasalarial Eq]]</f>
        <v>#DIV/0!</v>
      </c>
      <c r="CC172" s="139" t="n">
        <f aca="false">DATOS_[[#This Row],[S.BASE]]</f>
        <v>0</v>
      </c>
      <c r="CD172" s="139" t="n">
        <f aca="false">+SUM(DATOS_[[#This Row],[Conc.Sal.01]:[Conc.Sal.30]])</f>
        <v>0</v>
      </c>
      <c r="CE172" s="139" t="n">
        <f aca="false">+DATOS_[[#This Row],[SALARIO BASE Ef]]+DATOS_[[#This Row],[Tot COMPL.SAL Ef]]</f>
        <v>0</v>
      </c>
      <c r="CF172" s="139" t="n">
        <f aca="false">+SUM(DATOS_[[#This Row],[C.Extra.01]:[C.Extra.05]])</f>
        <v>0</v>
      </c>
      <c r="CG172" s="139" t="n">
        <f aca="false">+DATOS_[[#This Row],[TOTAL SALARIO Ef]]+DATOS_[[#This Row],[Tot Extrasalarial Ef]]</f>
        <v>0</v>
      </c>
      <c r="CH172" s="140" t="n">
        <f aca="false">MIN(IF(DATOS_[[#This Row],[Fecha Fin Contrato]]="",$D$4,DATOS_[[#This Row],[Fecha Fin Contrato]]),$D$4)-MAX(DATOS_[[#This Row],[Fecha de Contratación]],$D$3)+1</f>
        <v>1</v>
      </c>
      <c r="CI172" s="141" t="str">
        <f aca="false">IF(COUNTIFS(DATOS_[id],DATOS_[[#This Row],[id]])&gt;1,DATOS_[[#This Row],[id]],"")</f>
        <v/>
      </c>
      <c r="CJ172" s="141" t="n">
        <f aca="false">(Inicio!$G$10-DATOS_[[#This Row],[Fecha Nacimiento]])/365.25</f>
        <v>0</v>
      </c>
      <c r="CK172" s="141" t="n">
        <f aca="false">(Inicio!$G$10-DATOS_[[#This Row],[Fecha de Antigüedad]])/365.25</f>
        <v>0</v>
      </c>
      <c r="CL172" s="141" t="e">
        <f aca="false">+VLOOKUP(DATOS_[[#This Row],[Clave de Contrato]],TblTiposContrato13[],3,0)</f>
        <v>#N/A</v>
      </c>
      <c r="CM172" s="141" t="e">
        <f aca="false">+VLOOKUP(DATOS_[[#This Row],[Clave de Contrato]],TblTiposContrato13[],4,0)</f>
        <v>#N/A</v>
      </c>
      <c r="CN172" s="141" t="str">
        <f aca="false">VLOOKUP(DATOS_[[#This Row],[Edad]],CONTRATOS!TblRngEdad,2,1)</f>
        <v>20  o menos</v>
      </c>
      <c r="CO172" s="141" t="str">
        <f aca="false">VLOOKUP(DATOS_[[#This Row],[Antigüedad]],TblRngAntg14[],2,1)</f>
        <v>0 a 1 años</v>
      </c>
    </row>
    <row r="173" customFormat="false" ht="13.8" hidden="false" customHeight="false" outlineLevel="0" collapsed="false">
      <c r="D173" s="128"/>
      <c r="E173" s="129"/>
      <c r="F173" s="129"/>
      <c r="G173" s="129"/>
      <c r="H173" s="130"/>
      <c r="I173" s="131"/>
      <c r="J173" s="128"/>
      <c r="K173" s="132"/>
      <c r="L173" s="132"/>
      <c r="M173" s="133"/>
      <c r="N173" s="133"/>
      <c r="O173" s="133"/>
      <c r="P173" s="129"/>
      <c r="Z173" s="75"/>
      <c r="AA173" s="76"/>
      <c r="AB173" s="76"/>
      <c r="AC173" s="129"/>
      <c r="AD173" s="134"/>
      <c r="AE173" s="134"/>
      <c r="AF173" s="134"/>
      <c r="AG173" s="134"/>
      <c r="AH173" s="134"/>
      <c r="AI173" s="134"/>
      <c r="AJ173" s="134"/>
      <c r="AK173" s="134"/>
      <c r="AL173" s="134"/>
      <c r="AM173" s="134"/>
      <c r="AN173" s="134"/>
      <c r="AO173" s="134"/>
      <c r="AP173" s="134"/>
      <c r="AQ173" s="134"/>
      <c r="AR173" s="134"/>
      <c r="AS173" s="134"/>
      <c r="AT173" s="134"/>
      <c r="AU173" s="134"/>
      <c r="AV173" s="134"/>
      <c r="AW173" s="134"/>
      <c r="AX173" s="134"/>
      <c r="AY173" s="134"/>
      <c r="AZ173" s="134"/>
      <c r="BA173" s="134"/>
      <c r="BB173" s="134"/>
      <c r="BC173" s="134"/>
      <c r="BD173" s="134"/>
      <c r="BE173" s="134"/>
      <c r="BF173" s="134"/>
      <c r="BG173" s="134"/>
      <c r="BH173" s="134"/>
      <c r="BI173" s="134"/>
      <c r="BJ173" s="134"/>
      <c r="BK173" s="134"/>
      <c r="BL173" s="134"/>
      <c r="BM173" s="135"/>
      <c r="BN173" s="136" t="n">
        <f aca="false">+MAX($D$3,DATOS_[[#This Row],[Fecha Inicio Sit. Contract.]])</f>
        <v>0</v>
      </c>
      <c r="BO173" s="136" t="n">
        <f aca="false">+MIN($D$4,DATOS_[[#This Row],[Fecha Fin Sit. Contract.]])</f>
        <v>0</v>
      </c>
      <c r="BP173" s="137" t="n">
        <f aca="false">+DATOS_[[#This Row],[% de jornada]]*IF(DATOS_[[#This Row],[% jornada reducida]]="",1,DATOS_[[#This Row],[% jornada reducida]])</f>
        <v>0</v>
      </c>
      <c r="BQ173" s="137" t="n">
        <f aca="false">+(DATOS_[[#This Row],[F.fin.cal]]-DATOS_[[#This Row],[F.ini.cal]]+1)/($D$4-$D$3+1)</f>
        <v>1</v>
      </c>
      <c r="BR173" s="137" t="str">
        <f aca="false">IF(OR(AND(DATOS_[[#This Row],[Fecha Fin Contrato]]&lt;$D$3,DATOS_[[#This Row],[Fecha Fin Contrato]]&lt;&gt;""),DATOS_[[#This Row],[Fecha de Contratación]]&gt;$D$4),"Fuera","Dentro")</f>
        <v>Dentro</v>
      </c>
      <c r="BS173" s="137" t="str">
        <f aca="false" t="array" ref="BS173:BS173">IF(MAX(IF(DATOS_[id]=DATOS_[[#This Row],[id]],DATOS_[F.fin.cal]))=DATOS_[[#This Row],[F.fin.cal]],"Sí","NO")</f>
        <v>Sí</v>
      </c>
      <c r="BT173" s="137" t="str">
        <f aca="false">IF(AND(DATOS_[[#This Row],[% normaliz]]&lt;&gt;1,DATOS_[[#This Row],[% anualiz]]=1),"Sí","NO")</f>
        <v>Sí</v>
      </c>
      <c r="BU173" s="137" t="str">
        <f aca="false">IF(AND(DATOS_[[#This Row],[% normaliz]]=1,DATOS_[[#This Row],[% anualiz]]&lt;&gt;1),"Sí","NO")</f>
        <v>NO</v>
      </c>
      <c r="BV173" s="137" t="str">
        <f aca="false">IF(AND(DATOS_[[#This Row],[% normaliz]]&lt;&gt;1,DATOS_[[#This Row],[% anualiz]]&lt;&gt;1),"Sí","NO")</f>
        <v>NO</v>
      </c>
      <c r="BW173" s="137" t="str">
        <f aca="false">+IF(DATOS_[[#This Row],[% normaliz]]*DATOS_[[#This Row],[% anualiz]]=1,"NO","Sí")</f>
        <v>Sí</v>
      </c>
      <c r="BX173" s="138" t="e">
        <f aca="false">(DATOS_[[#This Row],[S.BASE]]*(1/DATOS_[[#This Row],[% normaliz]])*(1/DATOS_[[#This Row],[% anualiz]]))*IF(DATOS_[[#This Row],[Check Equiparado]]="Sí",1,0)</f>
        <v>#DIV/0!</v>
      </c>
      <c r="BY1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3" s="138" t="e">
        <f aca="false">+DATOS_[[#This Row],[SALARIO BASE Eq]]+DATOS_[[#This Row],[Tot COMPL.SAL Eq]]</f>
        <v>#DIV/0!</v>
      </c>
      <c r="CA173" s="138" t="e">
        <f aca="false" t="array" ref="CA173:CA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3" s="138" t="e">
        <f aca="false">+DATOS_[[#This Row],[TOTAL SALARIO Eq]]+DATOS_[[#This Row],[Tot Extrasalarial Eq]]</f>
        <v>#DIV/0!</v>
      </c>
      <c r="CC173" s="139" t="n">
        <f aca="false">DATOS_[[#This Row],[S.BASE]]</f>
        <v>0</v>
      </c>
      <c r="CD173" s="139" t="n">
        <f aca="false">+SUM(DATOS_[[#This Row],[Conc.Sal.01]:[Conc.Sal.30]])</f>
        <v>0</v>
      </c>
      <c r="CE173" s="139" t="n">
        <f aca="false">+DATOS_[[#This Row],[SALARIO BASE Ef]]+DATOS_[[#This Row],[Tot COMPL.SAL Ef]]</f>
        <v>0</v>
      </c>
      <c r="CF173" s="139" t="n">
        <f aca="false">+SUM(DATOS_[[#This Row],[C.Extra.01]:[C.Extra.05]])</f>
        <v>0</v>
      </c>
      <c r="CG173" s="139" t="n">
        <f aca="false">+DATOS_[[#This Row],[TOTAL SALARIO Ef]]+DATOS_[[#This Row],[Tot Extrasalarial Ef]]</f>
        <v>0</v>
      </c>
      <c r="CH173" s="140" t="n">
        <f aca="false">MIN(IF(DATOS_[[#This Row],[Fecha Fin Contrato]]="",$D$4,DATOS_[[#This Row],[Fecha Fin Contrato]]),$D$4)-MAX(DATOS_[[#This Row],[Fecha de Contratación]],$D$3)+1</f>
        <v>1</v>
      </c>
      <c r="CI173" s="141" t="str">
        <f aca="false">IF(COUNTIFS(DATOS_[id],DATOS_[[#This Row],[id]])&gt;1,DATOS_[[#This Row],[id]],"")</f>
        <v/>
      </c>
      <c r="CJ173" s="141" t="n">
        <f aca="false">(Inicio!$G$10-DATOS_[[#This Row],[Fecha Nacimiento]])/365.25</f>
        <v>0</v>
      </c>
      <c r="CK173" s="141" t="n">
        <f aca="false">(Inicio!$G$10-DATOS_[[#This Row],[Fecha de Antigüedad]])/365.25</f>
        <v>0</v>
      </c>
      <c r="CL173" s="141" t="e">
        <f aca="false">+VLOOKUP(DATOS_[[#This Row],[Clave de Contrato]],TblTiposContrato13[],3,0)</f>
        <v>#N/A</v>
      </c>
      <c r="CM173" s="141" t="e">
        <f aca="false">+VLOOKUP(DATOS_[[#This Row],[Clave de Contrato]],TblTiposContrato13[],4,0)</f>
        <v>#N/A</v>
      </c>
      <c r="CN173" s="141" t="str">
        <f aca="false">VLOOKUP(DATOS_[[#This Row],[Edad]],CONTRATOS!TblRngEdad,2,1)</f>
        <v>20  o menos</v>
      </c>
      <c r="CO173" s="141" t="str">
        <f aca="false">VLOOKUP(DATOS_[[#This Row],[Antigüedad]],TblRngAntg14[],2,1)</f>
        <v>0 a 1 años</v>
      </c>
    </row>
    <row r="174" customFormat="false" ht="13.8" hidden="false" customHeight="false" outlineLevel="0" collapsed="false">
      <c r="D174" s="128"/>
      <c r="E174" s="129"/>
      <c r="F174" s="129"/>
      <c r="G174" s="129"/>
      <c r="H174" s="130"/>
      <c r="I174" s="131"/>
      <c r="J174" s="128"/>
      <c r="K174" s="132"/>
      <c r="L174" s="132"/>
      <c r="M174" s="133"/>
      <c r="N174" s="133"/>
      <c r="O174" s="133"/>
      <c r="P174" s="129"/>
      <c r="Z174" s="75"/>
      <c r="AA174" s="76"/>
      <c r="AB174" s="76"/>
      <c r="AC174" s="129"/>
      <c r="AD174" s="134"/>
      <c r="AE174" s="134"/>
      <c r="AF174" s="134"/>
      <c r="AG174" s="134"/>
      <c r="AH174" s="134"/>
      <c r="AI174" s="134"/>
      <c r="AJ174" s="134"/>
      <c r="AK174" s="134"/>
      <c r="AL174" s="134"/>
      <c r="AM174" s="134"/>
      <c r="AN174" s="134"/>
      <c r="AO174" s="134"/>
      <c r="AP174" s="134"/>
      <c r="AQ174" s="134"/>
      <c r="AR174" s="134"/>
      <c r="AS174" s="134"/>
      <c r="AT174" s="134"/>
      <c r="AU174" s="134"/>
      <c r="AV174" s="134"/>
      <c r="AW174" s="134"/>
      <c r="AX174" s="134"/>
      <c r="AY174" s="134"/>
      <c r="AZ174" s="134"/>
      <c r="BA174" s="134"/>
      <c r="BB174" s="134"/>
      <c r="BC174" s="134"/>
      <c r="BD174" s="134"/>
      <c r="BE174" s="134"/>
      <c r="BF174" s="134"/>
      <c r="BG174" s="134"/>
      <c r="BH174" s="134"/>
      <c r="BI174" s="134"/>
      <c r="BJ174" s="134"/>
      <c r="BK174" s="134"/>
      <c r="BL174" s="134"/>
      <c r="BM174" s="135"/>
      <c r="BN174" s="136" t="n">
        <f aca="false">+MAX($D$3,DATOS_[[#This Row],[Fecha Inicio Sit. Contract.]])</f>
        <v>0</v>
      </c>
      <c r="BO174" s="136" t="n">
        <f aca="false">+MIN($D$4,DATOS_[[#This Row],[Fecha Fin Sit. Contract.]])</f>
        <v>0</v>
      </c>
      <c r="BP174" s="137" t="n">
        <f aca="false">+DATOS_[[#This Row],[% de jornada]]*IF(DATOS_[[#This Row],[% jornada reducida]]="",1,DATOS_[[#This Row],[% jornada reducida]])</f>
        <v>0</v>
      </c>
      <c r="BQ174" s="137" t="n">
        <f aca="false">+(DATOS_[[#This Row],[F.fin.cal]]-DATOS_[[#This Row],[F.ini.cal]]+1)/($D$4-$D$3+1)</f>
        <v>1</v>
      </c>
      <c r="BR174" s="137" t="str">
        <f aca="false">IF(OR(AND(DATOS_[[#This Row],[Fecha Fin Contrato]]&lt;$D$3,DATOS_[[#This Row],[Fecha Fin Contrato]]&lt;&gt;""),DATOS_[[#This Row],[Fecha de Contratación]]&gt;$D$4),"Fuera","Dentro")</f>
        <v>Dentro</v>
      </c>
      <c r="BS174" s="137" t="str">
        <f aca="false" t="array" ref="BS174:BS174">IF(MAX(IF(DATOS_[id]=DATOS_[[#This Row],[id]],DATOS_[F.fin.cal]))=DATOS_[[#This Row],[F.fin.cal]],"Sí","NO")</f>
        <v>Sí</v>
      </c>
      <c r="BT174" s="137" t="str">
        <f aca="false">IF(AND(DATOS_[[#This Row],[% normaliz]]&lt;&gt;1,DATOS_[[#This Row],[% anualiz]]=1),"Sí","NO")</f>
        <v>Sí</v>
      </c>
      <c r="BU174" s="137" t="str">
        <f aca="false">IF(AND(DATOS_[[#This Row],[% normaliz]]=1,DATOS_[[#This Row],[% anualiz]]&lt;&gt;1),"Sí","NO")</f>
        <v>NO</v>
      </c>
      <c r="BV174" s="137" t="str">
        <f aca="false">IF(AND(DATOS_[[#This Row],[% normaliz]]&lt;&gt;1,DATOS_[[#This Row],[% anualiz]]&lt;&gt;1),"Sí","NO")</f>
        <v>NO</v>
      </c>
      <c r="BW174" s="137" t="str">
        <f aca="false">+IF(DATOS_[[#This Row],[% normaliz]]*DATOS_[[#This Row],[% anualiz]]=1,"NO","Sí")</f>
        <v>Sí</v>
      </c>
      <c r="BX174" s="138" t="e">
        <f aca="false">(DATOS_[[#This Row],[S.BASE]]*(1/DATOS_[[#This Row],[% normaliz]])*(1/DATOS_[[#This Row],[% anualiz]]))*IF(DATOS_[[#This Row],[Check Equiparado]]="Sí",1,0)</f>
        <v>#DIV/0!</v>
      </c>
      <c r="BY1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4" s="138" t="e">
        <f aca="false">+DATOS_[[#This Row],[SALARIO BASE Eq]]+DATOS_[[#This Row],[Tot COMPL.SAL Eq]]</f>
        <v>#DIV/0!</v>
      </c>
      <c r="CA174" s="138" t="e">
        <f aca="false" t="array" ref="CA174:CA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4" s="138" t="e">
        <f aca="false">+DATOS_[[#This Row],[TOTAL SALARIO Eq]]+DATOS_[[#This Row],[Tot Extrasalarial Eq]]</f>
        <v>#DIV/0!</v>
      </c>
      <c r="CC174" s="139" t="n">
        <f aca="false">DATOS_[[#This Row],[S.BASE]]</f>
        <v>0</v>
      </c>
      <c r="CD174" s="139" t="n">
        <f aca="false">+SUM(DATOS_[[#This Row],[Conc.Sal.01]:[Conc.Sal.30]])</f>
        <v>0</v>
      </c>
      <c r="CE174" s="139" t="n">
        <f aca="false">+DATOS_[[#This Row],[SALARIO BASE Ef]]+DATOS_[[#This Row],[Tot COMPL.SAL Ef]]</f>
        <v>0</v>
      </c>
      <c r="CF174" s="139" t="n">
        <f aca="false">+SUM(DATOS_[[#This Row],[C.Extra.01]:[C.Extra.05]])</f>
        <v>0</v>
      </c>
      <c r="CG174" s="139" t="n">
        <f aca="false">+DATOS_[[#This Row],[TOTAL SALARIO Ef]]+DATOS_[[#This Row],[Tot Extrasalarial Ef]]</f>
        <v>0</v>
      </c>
      <c r="CH174" s="140" t="n">
        <f aca="false">MIN(IF(DATOS_[[#This Row],[Fecha Fin Contrato]]="",$D$4,DATOS_[[#This Row],[Fecha Fin Contrato]]),$D$4)-MAX(DATOS_[[#This Row],[Fecha de Contratación]],$D$3)+1</f>
        <v>1</v>
      </c>
      <c r="CI174" s="141" t="str">
        <f aca="false">IF(COUNTIFS(DATOS_[id],DATOS_[[#This Row],[id]])&gt;1,DATOS_[[#This Row],[id]],"")</f>
        <v/>
      </c>
      <c r="CJ174" s="141" t="n">
        <f aca="false">(Inicio!$G$10-DATOS_[[#This Row],[Fecha Nacimiento]])/365.25</f>
        <v>0</v>
      </c>
      <c r="CK174" s="141" t="n">
        <f aca="false">(Inicio!$G$10-DATOS_[[#This Row],[Fecha de Antigüedad]])/365.25</f>
        <v>0</v>
      </c>
      <c r="CL174" s="141" t="e">
        <f aca="false">+VLOOKUP(DATOS_[[#This Row],[Clave de Contrato]],TblTiposContrato13[],3,0)</f>
        <v>#N/A</v>
      </c>
      <c r="CM174" s="141" t="e">
        <f aca="false">+VLOOKUP(DATOS_[[#This Row],[Clave de Contrato]],TblTiposContrato13[],4,0)</f>
        <v>#N/A</v>
      </c>
      <c r="CN174" s="141" t="str">
        <f aca="false">VLOOKUP(DATOS_[[#This Row],[Edad]],CONTRATOS!TblRngEdad,2,1)</f>
        <v>20  o menos</v>
      </c>
      <c r="CO174" s="141" t="str">
        <f aca="false">VLOOKUP(DATOS_[[#This Row],[Antigüedad]],TblRngAntg14[],2,1)</f>
        <v>0 a 1 años</v>
      </c>
    </row>
    <row r="175" customFormat="false" ht="13.8" hidden="false" customHeight="false" outlineLevel="0" collapsed="false">
      <c r="D175" s="128"/>
      <c r="E175" s="129"/>
      <c r="F175" s="129"/>
      <c r="G175" s="129"/>
      <c r="H175" s="130"/>
      <c r="I175" s="131"/>
      <c r="J175" s="128"/>
      <c r="K175" s="132"/>
      <c r="L175" s="132"/>
      <c r="M175" s="133"/>
      <c r="N175" s="133"/>
      <c r="O175" s="133"/>
      <c r="P175" s="129"/>
      <c r="Z175" s="75"/>
      <c r="AA175" s="76"/>
      <c r="AB175" s="76"/>
      <c r="AC175" s="129"/>
      <c r="AD175" s="134"/>
      <c r="AE175" s="134"/>
      <c r="AF175" s="134"/>
      <c r="AG175" s="134"/>
      <c r="AH175" s="134"/>
      <c r="AI175" s="134"/>
      <c r="AJ175" s="134"/>
      <c r="AK175" s="134"/>
      <c r="AL175" s="134"/>
      <c r="AM175" s="134"/>
      <c r="AN175" s="134"/>
      <c r="AO175" s="134"/>
      <c r="AP175" s="134"/>
      <c r="AQ175" s="134"/>
      <c r="AR175" s="134"/>
      <c r="AS175" s="134"/>
      <c r="AT175" s="134"/>
      <c r="AU175" s="134"/>
      <c r="AV175" s="134"/>
      <c r="AW175" s="134"/>
      <c r="AX175" s="134"/>
      <c r="AY175" s="134"/>
      <c r="AZ175" s="134"/>
      <c r="BA175" s="134"/>
      <c r="BB175" s="134"/>
      <c r="BC175" s="134"/>
      <c r="BD175" s="134"/>
      <c r="BE175" s="134"/>
      <c r="BF175" s="134"/>
      <c r="BG175" s="134"/>
      <c r="BH175" s="134"/>
      <c r="BI175" s="134"/>
      <c r="BJ175" s="134"/>
      <c r="BK175" s="134"/>
      <c r="BL175" s="134"/>
      <c r="BM175" s="135"/>
      <c r="BN175" s="136" t="n">
        <f aca="false">+MAX($D$3,DATOS_[[#This Row],[Fecha Inicio Sit. Contract.]])</f>
        <v>0</v>
      </c>
      <c r="BO175" s="136" t="n">
        <f aca="false">+MIN($D$4,DATOS_[[#This Row],[Fecha Fin Sit. Contract.]])</f>
        <v>0</v>
      </c>
      <c r="BP175" s="137" t="n">
        <f aca="false">+DATOS_[[#This Row],[% de jornada]]*IF(DATOS_[[#This Row],[% jornada reducida]]="",1,DATOS_[[#This Row],[% jornada reducida]])</f>
        <v>0</v>
      </c>
      <c r="BQ175" s="137" t="n">
        <f aca="false">+(DATOS_[[#This Row],[F.fin.cal]]-DATOS_[[#This Row],[F.ini.cal]]+1)/($D$4-$D$3+1)</f>
        <v>1</v>
      </c>
      <c r="BR175" s="137" t="str">
        <f aca="false">IF(OR(AND(DATOS_[[#This Row],[Fecha Fin Contrato]]&lt;$D$3,DATOS_[[#This Row],[Fecha Fin Contrato]]&lt;&gt;""),DATOS_[[#This Row],[Fecha de Contratación]]&gt;$D$4),"Fuera","Dentro")</f>
        <v>Dentro</v>
      </c>
      <c r="BS175" s="137" t="str">
        <f aca="false" t="array" ref="BS175:BS175">IF(MAX(IF(DATOS_[id]=DATOS_[[#This Row],[id]],DATOS_[F.fin.cal]))=DATOS_[[#This Row],[F.fin.cal]],"Sí","NO")</f>
        <v>Sí</v>
      </c>
      <c r="BT175" s="137" t="str">
        <f aca="false">IF(AND(DATOS_[[#This Row],[% normaliz]]&lt;&gt;1,DATOS_[[#This Row],[% anualiz]]=1),"Sí","NO")</f>
        <v>Sí</v>
      </c>
      <c r="BU175" s="137" t="str">
        <f aca="false">IF(AND(DATOS_[[#This Row],[% normaliz]]=1,DATOS_[[#This Row],[% anualiz]]&lt;&gt;1),"Sí","NO")</f>
        <v>NO</v>
      </c>
      <c r="BV175" s="137" t="str">
        <f aca="false">IF(AND(DATOS_[[#This Row],[% normaliz]]&lt;&gt;1,DATOS_[[#This Row],[% anualiz]]&lt;&gt;1),"Sí","NO")</f>
        <v>NO</v>
      </c>
      <c r="BW175" s="137" t="str">
        <f aca="false">+IF(DATOS_[[#This Row],[% normaliz]]*DATOS_[[#This Row],[% anualiz]]=1,"NO","Sí")</f>
        <v>Sí</v>
      </c>
      <c r="BX175" s="138" t="e">
        <f aca="false">(DATOS_[[#This Row],[S.BASE]]*(1/DATOS_[[#This Row],[% normaliz]])*(1/DATOS_[[#This Row],[% anualiz]]))*IF(DATOS_[[#This Row],[Check Equiparado]]="Sí",1,0)</f>
        <v>#DIV/0!</v>
      </c>
      <c r="BY1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5" s="138" t="e">
        <f aca="false">+DATOS_[[#This Row],[SALARIO BASE Eq]]+DATOS_[[#This Row],[Tot COMPL.SAL Eq]]</f>
        <v>#DIV/0!</v>
      </c>
      <c r="CA175" s="138" t="e">
        <f aca="false" t="array" ref="CA175:CA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5" s="138" t="e">
        <f aca="false">+DATOS_[[#This Row],[TOTAL SALARIO Eq]]+DATOS_[[#This Row],[Tot Extrasalarial Eq]]</f>
        <v>#DIV/0!</v>
      </c>
      <c r="CC175" s="139" t="n">
        <f aca="false">DATOS_[[#This Row],[S.BASE]]</f>
        <v>0</v>
      </c>
      <c r="CD175" s="139" t="n">
        <f aca="false">+SUM(DATOS_[[#This Row],[Conc.Sal.01]:[Conc.Sal.30]])</f>
        <v>0</v>
      </c>
      <c r="CE175" s="139" t="n">
        <f aca="false">+DATOS_[[#This Row],[SALARIO BASE Ef]]+DATOS_[[#This Row],[Tot COMPL.SAL Ef]]</f>
        <v>0</v>
      </c>
      <c r="CF175" s="139" t="n">
        <f aca="false">+SUM(DATOS_[[#This Row],[C.Extra.01]:[C.Extra.05]])</f>
        <v>0</v>
      </c>
      <c r="CG175" s="139" t="n">
        <f aca="false">+DATOS_[[#This Row],[TOTAL SALARIO Ef]]+DATOS_[[#This Row],[Tot Extrasalarial Ef]]</f>
        <v>0</v>
      </c>
      <c r="CH175" s="140" t="n">
        <f aca="false">MIN(IF(DATOS_[[#This Row],[Fecha Fin Contrato]]="",$D$4,DATOS_[[#This Row],[Fecha Fin Contrato]]),$D$4)-MAX(DATOS_[[#This Row],[Fecha de Contratación]],$D$3)+1</f>
        <v>1</v>
      </c>
      <c r="CI175" s="141" t="str">
        <f aca="false">IF(COUNTIFS(DATOS_[id],DATOS_[[#This Row],[id]])&gt;1,DATOS_[[#This Row],[id]],"")</f>
        <v/>
      </c>
      <c r="CJ175" s="141" t="n">
        <f aca="false">(Inicio!$G$10-DATOS_[[#This Row],[Fecha Nacimiento]])/365.25</f>
        <v>0</v>
      </c>
      <c r="CK175" s="141" t="n">
        <f aca="false">(Inicio!$G$10-DATOS_[[#This Row],[Fecha de Antigüedad]])/365.25</f>
        <v>0</v>
      </c>
      <c r="CL175" s="141" t="e">
        <f aca="false">+VLOOKUP(DATOS_[[#This Row],[Clave de Contrato]],TblTiposContrato13[],3,0)</f>
        <v>#N/A</v>
      </c>
      <c r="CM175" s="141" t="e">
        <f aca="false">+VLOOKUP(DATOS_[[#This Row],[Clave de Contrato]],TblTiposContrato13[],4,0)</f>
        <v>#N/A</v>
      </c>
      <c r="CN175" s="141" t="str">
        <f aca="false">VLOOKUP(DATOS_[[#This Row],[Edad]],CONTRATOS!TblRngEdad,2,1)</f>
        <v>20  o menos</v>
      </c>
      <c r="CO175" s="141" t="str">
        <f aca="false">VLOOKUP(DATOS_[[#This Row],[Antigüedad]],TblRngAntg14[],2,1)</f>
        <v>0 a 1 años</v>
      </c>
    </row>
    <row r="176" customFormat="false" ht="13.8" hidden="false" customHeight="false" outlineLevel="0" collapsed="false">
      <c r="D176" s="128"/>
      <c r="E176" s="129"/>
      <c r="F176" s="129"/>
      <c r="G176" s="129"/>
      <c r="H176" s="130"/>
      <c r="I176" s="131"/>
      <c r="J176" s="128"/>
      <c r="K176" s="132"/>
      <c r="L176" s="132"/>
      <c r="M176" s="133"/>
      <c r="N176" s="133"/>
      <c r="O176" s="133"/>
      <c r="P176" s="129"/>
      <c r="Z176" s="75"/>
      <c r="AA176" s="76"/>
      <c r="AB176" s="76"/>
      <c r="AC176" s="129"/>
      <c r="AD176" s="134"/>
      <c r="AE176" s="134"/>
      <c r="AF176" s="134"/>
      <c r="AG176" s="134"/>
      <c r="AH176" s="134"/>
      <c r="AI176" s="134"/>
      <c r="AJ176" s="134"/>
      <c r="AK176" s="134"/>
      <c r="AL176" s="134"/>
      <c r="AM176" s="134"/>
      <c r="AN176" s="134"/>
      <c r="AO176" s="134"/>
      <c r="AP176" s="134"/>
      <c r="AQ176" s="134"/>
      <c r="AR176" s="134"/>
      <c r="AS176" s="134"/>
      <c r="AT176" s="134"/>
      <c r="AU176" s="134"/>
      <c r="AV176" s="134"/>
      <c r="AW176" s="134"/>
      <c r="AX176" s="134"/>
      <c r="AY176" s="134"/>
      <c r="AZ176" s="134"/>
      <c r="BA176" s="134"/>
      <c r="BB176" s="134"/>
      <c r="BC176" s="134"/>
      <c r="BD176" s="134"/>
      <c r="BE176" s="134"/>
      <c r="BF176" s="134"/>
      <c r="BG176" s="134"/>
      <c r="BH176" s="134"/>
      <c r="BI176" s="134"/>
      <c r="BJ176" s="134"/>
      <c r="BK176" s="134"/>
      <c r="BL176" s="134"/>
      <c r="BM176" s="135"/>
      <c r="BN176" s="136" t="n">
        <f aca="false">+MAX($D$3,DATOS_[[#This Row],[Fecha Inicio Sit. Contract.]])</f>
        <v>0</v>
      </c>
      <c r="BO176" s="136" t="n">
        <f aca="false">+MIN($D$4,DATOS_[[#This Row],[Fecha Fin Sit. Contract.]])</f>
        <v>0</v>
      </c>
      <c r="BP176" s="137" t="n">
        <f aca="false">+DATOS_[[#This Row],[% de jornada]]*IF(DATOS_[[#This Row],[% jornada reducida]]="",1,DATOS_[[#This Row],[% jornada reducida]])</f>
        <v>0</v>
      </c>
      <c r="BQ176" s="137" t="n">
        <f aca="false">+(DATOS_[[#This Row],[F.fin.cal]]-DATOS_[[#This Row],[F.ini.cal]]+1)/($D$4-$D$3+1)</f>
        <v>1</v>
      </c>
      <c r="BR176" s="137" t="str">
        <f aca="false">IF(OR(AND(DATOS_[[#This Row],[Fecha Fin Contrato]]&lt;$D$3,DATOS_[[#This Row],[Fecha Fin Contrato]]&lt;&gt;""),DATOS_[[#This Row],[Fecha de Contratación]]&gt;$D$4),"Fuera","Dentro")</f>
        <v>Dentro</v>
      </c>
      <c r="BS176" s="137" t="str">
        <f aca="false" t="array" ref="BS176:BS176">IF(MAX(IF(DATOS_[id]=DATOS_[[#This Row],[id]],DATOS_[F.fin.cal]))=DATOS_[[#This Row],[F.fin.cal]],"Sí","NO")</f>
        <v>Sí</v>
      </c>
      <c r="BT176" s="137" t="str">
        <f aca="false">IF(AND(DATOS_[[#This Row],[% normaliz]]&lt;&gt;1,DATOS_[[#This Row],[% anualiz]]=1),"Sí","NO")</f>
        <v>Sí</v>
      </c>
      <c r="BU176" s="137" t="str">
        <f aca="false">IF(AND(DATOS_[[#This Row],[% normaliz]]=1,DATOS_[[#This Row],[% anualiz]]&lt;&gt;1),"Sí","NO")</f>
        <v>NO</v>
      </c>
      <c r="BV176" s="137" t="str">
        <f aca="false">IF(AND(DATOS_[[#This Row],[% normaliz]]&lt;&gt;1,DATOS_[[#This Row],[% anualiz]]&lt;&gt;1),"Sí","NO")</f>
        <v>NO</v>
      </c>
      <c r="BW176" s="137" t="str">
        <f aca="false">+IF(DATOS_[[#This Row],[% normaliz]]*DATOS_[[#This Row],[% anualiz]]=1,"NO","Sí")</f>
        <v>Sí</v>
      </c>
      <c r="BX176" s="138" t="e">
        <f aca="false">(DATOS_[[#This Row],[S.BASE]]*(1/DATOS_[[#This Row],[% normaliz]])*(1/DATOS_[[#This Row],[% anualiz]]))*IF(DATOS_[[#This Row],[Check Equiparado]]="Sí",1,0)</f>
        <v>#DIV/0!</v>
      </c>
      <c r="BY1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6" s="138" t="e">
        <f aca="false">+DATOS_[[#This Row],[SALARIO BASE Eq]]+DATOS_[[#This Row],[Tot COMPL.SAL Eq]]</f>
        <v>#DIV/0!</v>
      </c>
      <c r="CA176" s="138" t="e">
        <f aca="false" t="array" ref="CA176:CA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6" s="138" t="e">
        <f aca="false">+DATOS_[[#This Row],[TOTAL SALARIO Eq]]+DATOS_[[#This Row],[Tot Extrasalarial Eq]]</f>
        <v>#DIV/0!</v>
      </c>
      <c r="CC176" s="139" t="n">
        <f aca="false">DATOS_[[#This Row],[S.BASE]]</f>
        <v>0</v>
      </c>
      <c r="CD176" s="139" t="n">
        <f aca="false">+SUM(DATOS_[[#This Row],[Conc.Sal.01]:[Conc.Sal.30]])</f>
        <v>0</v>
      </c>
      <c r="CE176" s="139" t="n">
        <f aca="false">+DATOS_[[#This Row],[SALARIO BASE Ef]]+DATOS_[[#This Row],[Tot COMPL.SAL Ef]]</f>
        <v>0</v>
      </c>
      <c r="CF176" s="139" t="n">
        <f aca="false">+SUM(DATOS_[[#This Row],[C.Extra.01]:[C.Extra.05]])</f>
        <v>0</v>
      </c>
      <c r="CG176" s="139" t="n">
        <f aca="false">+DATOS_[[#This Row],[TOTAL SALARIO Ef]]+DATOS_[[#This Row],[Tot Extrasalarial Ef]]</f>
        <v>0</v>
      </c>
      <c r="CH176" s="140" t="n">
        <f aca="false">MIN(IF(DATOS_[[#This Row],[Fecha Fin Contrato]]="",$D$4,DATOS_[[#This Row],[Fecha Fin Contrato]]),$D$4)-MAX(DATOS_[[#This Row],[Fecha de Contratación]],$D$3)+1</f>
        <v>1</v>
      </c>
      <c r="CI176" s="141" t="str">
        <f aca="false">IF(COUNTIFS(DATOS_[id],DATOS_[[#This Row],[id]])&gt;1,DATOS_[[#This Row],[id]],"")</f>
        <v/>
      </c>
      <c r="CJ176" s="141" t="n">
        <f aca="false">(Inicio!$G$10-DATOS_[[#This Row],[Fecha Nacimiento]])/365.25</f>
        <v>0</v>
      </c>
      <c r="CK176" s="141" t="n">
        <f aca="false">(Inicio!$G$10-DATOS_[[#This Row],[Fecha de Antigüedad]])/365.25</f>
        <v>0</v>
      </c>
      <c r="CL176" s="141" t="e">
        <f aca="false">+VLOOKUP(DATOS_[[#This Row],[Clave de Contrato]],TblTiposContrato13[],3,0)</f>
        <v>#N/A</v>
      </c>
      <c r="CM176" s="141" t="e">
        <f aca="false">+VLOOKUP(DATOS_[[#This Row],[Clave de Contrato]],TblTiposContrato13[],4,0)</f>
        <v>#N/A</v>
      </c>
      <c r="CN176" s="141" t="str">
        <f aca="false">VLOOKUP(DATOS_[[#This Row],[Edad]],CONTRATOS!TblRngEdad,2,1)</f>
        <v>20  o menos</v>
      </c>
      <c r="CO176" s="141" t="str">
        <f aca="false">VLOOKUP(DATOS_[[#This Row],[Antigüedad]],TblRngAntg14[],2,1)</f>
        <v>0 a 1 años</v>
      </c>
    </row>
    <row r="177" customFormat="false" ht="13.8" hidden="false" customHeight="false" outlineLevel="0" collapsed="false">
      <c r="D177" s="128"/>
      <c r="E177" s="129"/>
      <c r="F177" s="129"/>
      <c r="G177" s="129"/>
      <c r="H177" s="130"/>
      <c r="I177" s="131"/>
      <c r="J177" s="128"/>
      <c r="K177" s="132"/>
      <c r="L177" s="132"/>
      <c r="M177" s="133"/>
      <c r="N177" s="133"/>
      <c r="O177" s="133"/>
      <c r="P177" s="129"/>
      <c r="Z177" s="75"/>
      <c r="AA177" s="76"/>
      <c r="AB177" s="76"/>
      <c r="AC177" s="129"/>
      <c r="AD177" s="134"/>
      <c r="AE177" s="134"/>
      <c r="AF177" s="134"/>
      <c r="AG177" s="134"/>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c r="BB177" s="134"/>
      <c r="BC177" s="134"/>
      <c r="BD177" s="134"/>
      <c r="BE177" s="134"/>
      <c r="BF177" s="134"/>
      <c r="BG177" s="134"/>
      <c r="BH177" s="134"/>
      <c r="BI177" s="134"/>
      <c r="BJ177" s="134"/>
      <c r="BK177" s="134"/>
      <c r="BL177" s="134"/>
      <c r="BM177" s="135"/>
      <c r="BN177" s="136" t="n">
        <f aca="false">+MAX($D$3,DATOS_[[#This Row],[Fecha Inicio Sit. Contract.]])</f>
        <v>0</v>
      </c>
      <c r="BO177" s="136" t="n">
        <f aca="false">+MIN($D$4,DATOS_[[#This Row],[Fecha Fin Sit. Contract.]])</f>
        <v>0</v>
      </c>
      <c r="BP177" s="137" t="n">
        <f aca="false">+DATOS_[[#This Row],[% de jornada]]*IF(DATOS_[[#This Row],[% jornada reducida]]="",1,DATOS_[[#This Row],[% jornada reducida]])</f>
        <v>0</v>
      </c>
      <c r="BQ177" s="137" t="n">
        <f aca="false">+(DATOS_[[#This Row],[F.fin.cal]]-DATOS_[[#This Row],[F.ini.cal]]+1)/($D$4-$D$3+1)</f>
        <v>1</v>
      </c>
      <c r="BR177" s="137" t="str">
        <f aca="false">IF(OR(AND(DATOS_[[#This Row],[Fecha Fin Contrato]]&lt;$D$3,DATOS_[[#This Row],[Fecha Fin Contrato]]&lt;&gt;""),DATOS_[[#This Row],[Fecha de Contratación]]&gt;$D$4),"Fuera","Dentro")</f>
        <v>Dentro</v>
      </c>
      <c r="BS177" s="137" t="str">
        <f aca="false" t="array" ref="BS177:BS177">IF(MAX(IF(DATOS_[id]=DATOS_[[#This Row],[id]],DATOS_[F.fin.cal]))=DATOS_[[#This Row],[F.fin.cal]],"Sí","NO")</f>
        <v>Sí</v>
      </c>
      <c r="BT177" s="137" t="str">
        <f aca="false">IF(AND(DATOS_[[#This Row],[% normaliz]]&lt;&gt;1,DATOS_[[#This Row],[% anualiz]]=1),"Sí","NO")</f>
        <v>Sí</v>
      </c>
      <c r="BU177" s="137" t="str">
        <f aca="false">IF(AND(DATOS_[[#This Row],[% normaliz]]=1,DATOS_[[#This Row],[% anualiz]]&lt;&gt;1),"Sí","NO")</f>
        <v>NO</v>
      </c>
      <c r="BV177" s="137" t="str">
        <f aca="false">IF(AND(DATOS_[[#This Row],[% normaliz]]&lt;&gt;1,DATOS_[[#This Row],[% anualiz]]&lt;&gt;1),"Sí","NO")</f>
        <v>NO</v>
      </c>
      <c r="BW177" s="137" t="str">
        <f aca="false">+IF(DATOS_[[#This Row],[% normaliz]]*DATOS_[[#This Row],[% anualiz]]=1,"NO","Sí")</f>
        <v>Sí</v>
      </c>
      <c r="BX177" s="138" t="e">
        <f aca="false">(DATOS_[[#This Row],[S.BASE]]*(1/DATOS_[[#This Row],[% normaliz]])*(1/DATOS_[[#This Row],[% anualiz]]))*IF(DATOS_[[#This Row],[Check Equiparado]]="Sí",1,0)</f>
        <v>#DIV/0!</v>
      </c>
      <c r="BY1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7" s="138" t="e">
        <f aca="false">+DATOS_[[#This Row],[SALARIO BASE Eq]]+DATOS_[[#This Row],[Tot COMPL.SAL Eq]]</f>
        <v>#DIV/0!</v>
      </c>
      <c r="CA177" s="138" t="e">
        <f aca="false" t="array" ref="CA177:CA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7" s="138" t="e">
        <f aca="false">+DATOS_[[#This Row],[TOTAL SALARIO Eq]]+DATOS_[[#This Row],[Tot Extrasalarial Eq]]</f>
        <v>#DIV/0!</v>
      </c>
      <c r="CC177" s="139" t="n">
        <f aca="false">DATOS_[[#This Row],[S.BASE]]</f>
        <v>0</v>
      </c>
      <c r="CD177" s="139" t="n">
        <f aca="false">+SUM(DATOS_[[#This Row],[Conc.Sal.01]:[Conc.Sal.30]])</f>
        <v>0</v>
      </c>
      <c r="CE177" s="139" t="n">
        <f aca="false">+DATOS_[[#This Row],[SALARIO BASE Ef]]+DATOS_[[#This Row],[Tot COMPL.SAL Ef]]</f>
        <v>0</v>
      </c>
      <c r="CF177" s="139" t="n">
        <f aca="false">+SUM(DATOS_[[#This Row],[C.Extra.01]:[C.Extra.05]])</f>
        <v>0</v>
      </c>
      <c r="CG177" s="139" t="n">
        <f aca="false">+DATOS_[[#This Row],[TOTAL SALARIO Ef]]+DATOS_[[#This Row],[Tot Extrasalarial Ef]]</f>
        <v>0</v>
      </c>
      <c r="CH177" s="140" t="n">
        <f aca="false">MIN(IF(DATOS_[[#This Row],[Fecha Fin Contrato]]="",$D$4,DATOS_[[#This Row],[Fecha Fin Contrato]]),$D$4)-MAX(DATOS_[[#This Row],[Fecha de Contratación]],$D$3)+1</f>
        <v>1</v>
      </c>
      <c r="CI177" s="141" t="str">
        <f aca="false">IF(COUNTIFS(DATOS_[id],DATOS_[[#This Row],[id]])&gt;1,DATOS_[[#This Row],[id]],"")</f>
        <v/>
      </c>
      <c r="CJ177" s="141" t="n">
        <f aca="false">(Inicio!$G$10-DATOS_[[#This Row],[Fecha Nacimiento]])/365.25</f>
        <v>0</v>
      </c>
      <c r="CK177" s="141" t="n">
        <f aca="false">(Inicio!$G$10-DATOS_[[#This Row],[Fecha de Antigüedad]])/365.25</f>
        <v>0</v>
      </c>
      <c r="CL177" s="141" t="e">
        <f aca="false">+VLOOKUP(DATOS_[[#This Row],[Clave de Contrato]],TblTiposContrato13[],3,0)</f>
        <v>#N/A</v>
      </c>
      <c r="CM177" s="141" t="e">
        <f aca="false">+VLOOKUP(DATOS_[[#This Row],[Clave de Contrato]],TblTiposContrato13[],4,0)</f>
        <v>#N/A</v>
      </c>
      <c r="CN177" s="141" t="str">
        <f aca="false">VLOOKUP(DATOS_[[#This Row],[Edad]],CONTRATOS!TblRngEdad,2,1)</f>
        <v>20  o menos</v>
      </c>
      <c r="CO177" s="141" t="str">
        <f aca="false">VLOOKUP(DATOS_[[#This Row],[Antigüedad]],TblRngAntg14[],2,1)</f>
        <v>0 a 1 años</v>
      </c>
    </row>
    <row r="178" customFormat="false" ht="13.8" hidden="false" customHeight="false" outlineLevel="0" collapsed="false">
      <c r="D178" s="128"/>
      <c r="E178" s="129"/>
      <c r="F178" s="129"/>
      <c r="G178" s="129"/>
      <c r="H178" s="130"/>
      <c r="I178" s="131"/>
      <c r="J178" s="128"/>
      <c r="K178" s="132"/>
      <c r="L178" s="132"/>
      <c r="M178" s="133"/>
      <c r="N178" s="133"/>
      <c r="O178" s="133"/>
      <c r="P178" s="129"/>
      <c r="Z178" s="75"/>
      <c r="AA178" s="76"/>
      <c r="AB178" s="76"/>
      <c r="AC178" s="129"/>
      <c r="AD178" s="134"/>
      <c r="AE178" s="134"/>
      <c r="AF178" s="134"/>
      <c r="AG178" s="134"/>
      <c r="AH178" s="134"/>
      <c r="AI178" s="134"/>
      <c r="AJ178" s="134"/>
      <c r="AK178" s="134"/>
      <c r="AL178" s="134"/>
      <c r="AM178" s="134"/>
      <c r="AN178" s="134"/>
      <c r="AO178" s="134"/>
      <c r="AP178" s="134"/>
      <c r="AQ178" s="134"/>
      <c r="AR178" s="134"/>
      <c r="AS178" s="134"/>
      <c r="AT178" s="134"/>
      <c r="AU178" s="134"/>
      <c r="AV178" s="134"/>
      <c r="AW178" s="134"/>
      <c r="AX178" s="134"/>
      <c r="AY178" s="134"/>
      <c r="AZ178" s="134"/>
      <c r="BA178" s="134"/>
      <c r="BB178" s="134"/>
      <c r="BC178" s="134"/>
      <c r="BD178" s="134"/>
      <c r="BE178" s="134"/>
      <c r="BF178" s="134"/>
      <c r="BG178" s="134"/>
      <c r="BH178" s="134"/>
      <c r="BI178" s="134"/>
      <c r="BJ178" s="134"/>
      <c r="BK178" s="134"/>
      <c r="BL178" s="134"/>
      <c r="BM178" s="135"/>
      <c r="BN178" s="136" t="n">
        <f aca="false">+MAX($D$3,DATOS_[[#This Row],[Fecha Inicio Sit. Contract.]])</f>
        <v>0</v>
      </c>
      <c r="BO178" s="136" t="n">
        <f aca="false">+MIN($D$4,DATOS_[[#This Row],[Fecha Fin Sit. Contract.]])</f>
        <v>0</v>
      </c>
      <c r="BP178" s="137" t="n">
        <f aca="false">+DATOS_[[#This Row],[% de jornada]]*IF(DATOS_[[#This Row],[% jornada reducida]]="",1,DATOS_[[#This Row],[% jornada reducida]])</f>
        <v>0</v>
      </c>
      <c r="BQ178" s="137" t="n">
        <f aca="false">+(DATOS_[[#This Row],[F.fin.cal]]-DATOS_[[#This Row],[F.ini.cal]]+1)/($D$4-$D$3+1)</f>
        <v>1</v>
      </c>
      <c r="BR178" s="137" t="str">
        <f aca="false">IF(OR(AND(DATOS_[[#This Row],[Fecha Fin Contrato]]&lt;$D$3,DATOS_[[#This Row],[Fecha Fin Contrato]]&lt;&gt;""),DATOS_[[#This Row],[Fecha de Contratación]]&gt;$D$4),"Fuera","Dentro")</f>
        <v>Dentro</v>
      </c>
      <c r="BS178" s="137" t="str">
        <f aca="false" t="array" ref="BS178:BS178">IF(MAX(IF(DATOS_[id]=DATOS_[[#This Row],[id]],DATOS_[F.fin.cal]))=DATOS_[[#This Row],[F.fin.cal]],"Sí","NO")</f>
        <v>Sí</v>
      </c>
      <c r="BT178" s="137" t="str">
        <f aca="false">IF(AND(DATOS_[[#This Row],[% normaliz]]&lt;&gt;1,DATOS_[[#This Row],[% anualiz]]=1),"Sí","NO")</f>
        <v>Sí</v>
      </c>
      <c r="BU178" s="137" t="str">
        <f aca="false">IF(AND(DATOS_[[#This Row],[% normaliz]]=1,DATOS_[[#This Row],[% anualiz]]&lt;&gt;1),"Sí","NO")</f>
        <v>NO</v>
      </c>
      <c r="BV178" s="137" t="str">
        <f aca="false">IF(AND(DATOS_[[#This Row],[% normaliz]]&lt;&gt;1,DATOS_[[#This Row],[% anualiz]]&lt;&gt;1),"Sí","NO")</f>
        <v>NO</v>
      </c>
      <c r="BW178" s="137" t="str">
        <f aca="false">+IF(DATOS_[[#This Row],[% normaliz]]*DATOS_[[#This Row],[% anualiz]]=1,"NO","Sí")</f>
        <v>Sí</v>
      </c>
      <c r="BX178" s="138" t="e">
        <f aca="false">(DATOS_[[#This Row],[S.BASE]]*(1/DATOS_[[#This Row],[% normaliz]])*(1/DATOS_[[#This Row],[% anualiz]]))*IF(DATOS_[[#This Row],[Check Equiparado]]="Sí",1,0)</f>
        <v>#DIV/0!</v>
      </c>
      <c r="BY1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8" s="138" t="e">
        <f aca="false">+DATOS_[[#This Row],[SALARIO BASE Eq]]+DATOS_[[#This Row],[Tot COMPL.SAL Eq]]</f>
        <v>#DIV/0!</v>
      </c>
      <c r="CA178" s="138" t="e">
        <f aca="false" t="array" ref="CA178:CA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8" s="138" t="e">
        <f aca="false">+DATOS_[[#This Row],[TOTAL SALARIO Eq]]+DATOS_[[#This Row],[Tot Extrasalarial Eq]]</f>
        <v>#DIV/0!</v>
      </c>
      <c r="CC178" s="139" t="n">
        <f aca="false">DATOS_[[#This Row],[S.BASE]]</f>
        <v>0</v>
      </c>
      <c r="CD178" s="139" t="n">
        <f aca="false">+SUM(DATOS_[[#This Row],[Conc.Sal.01]:[Conc.Sal.30]])</f>
        <v>0</v>
      </c>
      <c r="CE178" s="139" t="n">
        <f aca="false">+DATOS_[[#This Row],[SALARIO BASE Ef]]+DATOS_[[#This Row],[Tot COMPL.SAL Ef]]</f>
        <v>0</v>
      </c>
      <c r="CF178" s="139" t="n">
        <f aca="false">+SUM(DATOS_[[#This Row],[C.Extra.01]:[C.Extra.05]])</f>
        <v>0</v>
      </c>
      <c r="CG178" s="139" t="n">
        <f aca="false">+DATOS_[[#This Row],[TOTAL SALARIO Ef]]+DATOS_[[#This Row],[Tot Extrasalarial Ef]]</f>
        <v>0</v>
      </c>
      <c r="CH178" s="140" t="n">
        <f aca="false">MIN(IF(DATOS_[[#This Row],[Fecha Fin Contrato]]="",$D$4,DATOS_[[#This Row],[Fecha Fin Contrato]]),$D$4)-MAX(DATOS_[[#This Row],[Fecha de Contratación]],$D$3)+1</f>
        <v>1</v>
      </c>
      <c r="CI178" s="141" t="str">
        <f aca="false">IF(COUNTIFS(DATOS_[id],DATOS_[[#This Row],[id]])&gt;1,DATOS_[[#This Row],[id]],"")</f>
        <v/>
      </c>
      <c r="CJ178" s="141" t="n">
        <f aca="false">(Inicio!$G$10-DATOS_[[#This Row],[Fecha Nacimiento]])/365.25</f>
        <v>0</v>
      </c>
      <c r="CK178" s="141" t="n">
        <f aca="false">(Inicio!$G$10-DATOS_[[#This Row],[Fecha de Antigüedad]])/365.25</f>
        <v>0</v>
      </c>
      <c r="CL178" s="141" t="e">
        <f aca="false">+VLOOKUP(DATOS_[[#This Row],[Clave de Contrato]],TblTiposContrato13[],3,0)</f>
        <v>#N/A</v>
      </c>
      <c r="CM178" s="141" t="e">
        <f aca="false">+VLOOKUP(DATOS_[[#This Row],[Clave de Contrato]],TblTiposContrato13[],4,0)</f>
        <v>#N/A</v>
      </c>
      <c r="CN178" s="141" t="str">
        <f aca="false">VLOOKUP(DATOS_[[#This Row],[Edad]],CONTRATOS!TblRngEdad,2,1)</f>
        <v>20  o menos</v>
      </c>
      <c r="CO178" s="141" t="str">
        <f aca="false">VLOOKUP(DATOS_[[#This Row],[Antigüedad]],TblRngAntg14[],2,1)</f>
        <v>0 a 1 años</v>
      </c>
    </row>
    <row r="179" customFormat="false" ht="13.8" hidden="false" customHeight="false" outlineLevel="0" collapsed="false">
      <c r="D179" s="128"/>
      <c r="E179" s="129"/>
      <c r="F179" s="129"/>
      <c r="G179" s="129"/>
      <c r="H179" s="130"/>
      <c r="I179" s="131"/>
      <c r="J179" s="128"/>
      <c r="K179" s="132"/>
      <c r="L179" s="132"/>
      <c r="M179" s="133"/>
      <c r="N179" s="133"/>
      <c r="O179" s="133"/>
      <c r="P179" s="129"/>
      <c r="Z179" s="75"/>
      <c r="AA179" s="76"/>
      <c r="AB179" s="76"/>
      <c r="AC179" s="129"/>
      <c r="AD179" s="134"/>
      <c r="AE179" s="134"/>
      <c r="AF179" s="134"/>
      <c r="AG179" s="134"/>
      <c r="AH179" s="134"/>
      <c r="AI179" s="134"/>
      <c r="AJ179" s="134"/>
      <c r="AK179" s="134"/>
      <c r="AL179" s="134"/>
      <c r="AM179" s="134"/>
      <c r="AN179" s="134"/>
      <c r="AO179" s="134"/>
      <c r="AP179" s="134"/>
      <c r="AQ179" s="134"/>
      <c r="AR179" s="134"/>
      <c r="AS179" s="134"/>
      <c r="AT179" s="134"/>
      <c r="AU179" s="134"/>
      <c r="AV179" s="134"/>
      <c r="AW179" s="134"/>
      <c r="AX179" s="134"/>
      <c r="AY179" s="134"/>
      <c r="AZ179" s="134"/>
      <c r="BA179" s="134"/>
      <c r="BB179" s="134"/>
      <c r="BC179" s="134"/>
      <c r="BD179" s="134"/>
      <c r="BE179" s="134"/>
      <c r="BF179" s="134"/>
      <c r="BG179" s="134"/>
      <c r="BH179" s="134"/>
      <c r="BI179" s="134"/>
      <c r="BJ179" s="134"/>
      <c r="BK179" s="134"/>
      <c r="BL179" s="134"/>
      <c r="BM179" s="135"/>
      <c r="BN179" s="136" t="n">
        <f aca="false">+MAX($D$3,DATOS_[[#This Row],[Fecha Inicio Sit. Contract.]])</f>
        <v>0</v>
      </c>
      <c r="BO179" s="136" t="n">
        <f aca="false">+MIN($D$4,DATOS_[[#This Row],[Fecha Fin Sit. Contract.]])</f>
        <v>0</v>
      </c>
      <c r="BP179" s="137" t="n">
        <f aca="false">+DATOS_[[#This Row],[% de jornada]]*IF(DATOS_[[#This Row],[% jornada reducida]]="",1,DATOS_[[#This Row],[% jornada reducida]])</f>
        <v>0</v>
      </c>
      <c r="BQ179" s="137" t="n">
        <f aca="false">+(DATOS_[[#This Row],[F.fin.cal]]-DATOS_[[#This Row],[F.ini.cal]]+1)/($D$4-$D$3+1)</f>
        <v>1</v>
      </c>
      <c r="BR179" s="137" t="str">
        <f aca="false">IF(OR(AND(DATOS_[[#This Row],[Fecha Fin Contrato]]&lt;$D$3,DATOS_[[#This Row],[Fecha Fin Contrato]]&lt;&gt;""),DATOS_[[#This Row],[Fecha de Contratación]]&gt;$D$4),"Fuera","Dentro")</f>
        <v>Dentro</v>
      </c>
      <c r="BS179" s="137" t="str">
        <f aca="false" t="array" ref="BS179:BS179">IF(MAX(IF(DATOS_[id]=DATOS_[[#This Row],[id]],DATOS_[F.fin.cal]))=DATOS_[[#This Row],[F.fin.cal]],"Sí","NO")</f>
        <v>Sí</v>
      </c>
      <c r="BT179" s="137" t="str">
        <f aca="false">IF(AND(DATOS_[[#This Row],[% normaliz]]&lt;&gt;1,DATOS_[[#This Row],[% anualiz]]=1),"Sí","NO")</f>
        <v>Sí</v>
      </c>
      <c r="BU179" s="137" t="str">
        <f aca="false">IF(AND(DATOS_[[#This Row],[% normaliz]]=1,DATOS_[[#This Row],[% anualiz]]&lt;&gt;1),"Sí","NO")</f>
        <v>NO</v>
      </c>
      <c r="BV179" s="137" t="str">
        <f aca="false">IF(AND(DATOS_[[#This Row],[% normaliz]]&lt;&gt;1,DATOS_[[#This Row],[% anualiz]]&lt;&gt;1),"Sí","NO")</f>
        <v>NO</v>
      </c>
      <c r="BW179" s="137" t="str">
        <f aca="false">+IF(DATOS_[[#This Row],[% normaliz]]*DATOS_[[#This Row],[% anualiz]]=1,"NO","Sí")</f>
        <v>Sí</v>
      </c>
      <c r="BX179" s="138" t="e">
        <f aca="false">(DATOS_[[#This Row],[S.BASE]]*(1/DATOS_[[#This Row],[% normaliz]])*(1/DATOS_[[#This Row],[% anualiz]]))*IF(DATOS_[[#This Row],[Check Equiparado]]="Sí",1,0)</f>
        <v>#DIV/0!</v>
      </c>
      <c r="BY1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9" s="138" t="e">
        <f aca="false">+DATOS_[[#This Row],[SALARIO BASE Eq]]+DATOS_[[#This Row],[Tot COMPL.SAL Eq]]</f>
        <v>#DIV/0!</v>
      </c>
      <c r="CA179" s="138" t="e">
        <f aca="false" t="array" ref="CA179:CA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9" s="138" t="e">
        <f aca="false">+DATOS_[[#This Row],[TOTAL SALARIO Eq]]+DATOS_[[#This Row],[Tot Extrasalarial Eq]]</f>
        <v>#DIV/0!</v>
      </c>
      <c r="CC179" s="139" t="n">
        <f aca="false">DATOS_[[#This Row],[S.BASE]]</f>
        <v>0</v>
      </c>
      <c r="CD179" s="139" t="n">
        <f aca="false">+SUM(DATOS_[[#This Row],[Conc.Sal.01]:[Conc.Sal.30]])</f>
        <v>0</v>
      </c>
      <c r="CE179" s="139" t="n">
        <f aca="false">+DATOS_[[#This Row],[SALARIO BASE Ef]]+DATOS_[[#This Row],[Tot COMPL.SAL Ef]]</f>
        <v>0</v>
      </c>
      <c r="CF179" s="139" t="n">
        <f aca="false">+SUM(DATOS_[[#This Row],[C.Extra.01]:[C.Extra.05]])</f>
        <v>0</v>
      </c>
      <c r="CG179" s="139" t="n">
        <f aca="false">+DATOS_[[#This Row],[TOTAL SALARIO Ef]]+DATOS_[[#This Row],[Tot Extrasalarial Ef]]</f>
        <v>0</v>
      </c>
      <c r="CH179" s="140" t="n">
        <f aca="false">MIN(IF(DATOS_[[#This Row],[Fecha Fin Contrato]]="",$D$4,DATOS_[[#This Row],[Fecha Fin Contrato]]),$D$4)-MAX(DATOS_[[#This Row],[Fecha de Contratación]],$D$3)+1</f>
        <v>1</v>
      </c>
      <c r="CI179" s="141" t="str">
        <f aca="false">IF(COUNTIFS(DATOS_[id],DATOS_[[#This Row],[id]])&gt;1,DATOS_[[#This Row],[id]],"")</f>
        <v/>
      </c>
      <c r="CJ179" s="141" t="n">
        <f aca="false">(Inicio!$G$10-DATOS_[[#This Row],[Fecha Nacimiento]])/365.25</f>
        <v>0</v>
      </c>
      <c r="CK179" s="141" t="n">
        <f aca="false">(Inicio!$G$10-DATOS_[[#This Row],[Fecha de Antigüedad]])/365.25</f>
        <v>0</v>
      </c>
      <c r="CL179" s="141" t="e">
        <f aca="false">+VLOOKUP(DATOS_[[#This Row],[Clave de Contrato]],TblTiposContrato13[],3,0)</f>
        <v>#N/A</v>
      </c>
      <c r="CM179" s="141" t="e">
        <f aca="false">+VLOOKUP(DATOS_[[#This Row],[Clave de Contrato]],TblTiposContrato13[],4,0)</f>
        <v>#N/A</v>
      </c>
      <c r="CN179" s="141" t="str">
        <f aca="false">VLOOKUP(DATOS_[[#This Row],[Edad]],CONTRATOS!TblRngEdad,2,1)</f>
        <v>20  o menos</v>
      </c>
      <c r="CO179" s="141" t="str">
        <f aca="false">VLOOKUP(DATOS_[[#This Row],[Antigüedad]],TblRngAntg14[],2,1)</f>
        <v>0 a 1 años</v>
      </c>
    </row>
    <row r="180" customFormat="false" ht="13.8" hidden="false" customHeight="false" outlineLevel="0" collapsed="false">
      <c r="D180" s="128"/>
      <c r="E180" s="129"/>
      <c r="F180" s="129"/>
      <c r="G180" s="129"/>
      <c r="H180" s="130"/>
      <c r="I180" s="131"/>
      <c r="J180" s="128"/>
      <c r="K180" s="132"/>
      <c r="L180" s="132"/>
      <c r="M180" s="133"/>
      <c r="N180" s="133"/>
      <c r="O180" s="133"/>
      <c r="P180" s="129"/>
      <c r="Z180" s="75"/>
      <c r="AA180" s="76"/>
      <c r="AB180" s="76"/>
      <c r="AC180" s="129"/>
      <c r="AD180" s="134"/>
      <c r="AE180" s="134"/>
      <c r="AF180" s="134"/>
      <c r="AG180" s="134"/>
      <c r="AH180" s="134"/>
      <c r="AI180" s="134"/>
      <c r="AJ180" s="134"/>
      <c r="AK180" s="134"/>
      <c r="AL180" s="134"/>
      <c r="AM180" s="134"/>
      <c r="AN180" s="134"/>
      <c r="AO180" s="134"/>
      <c r="AP180" s="134"/>
      <c r="AQ180" s="134"/>
      <c r="AR180" s="134"/>
      <c r="AS180" s="134"/>
      <c r="AT180" s="134"/>
      <c r="AU180" s="134"/>
      <c r="AV180" s="134"/>
      <c r="AW180" s="134"/>
      <c r="AX180" s="134"/>
      <c r="AY180" s="134"/>
      <c r="AZ180" s="134"/>
      <c r="BA180" s="134"/>
      <c r="BB180" s="134"/>
      <c r="BC180" s="134"/>
      <c r="BD180" s="134"/>
      <c r="BE180" s="134"/>
      <c r="BF180" s="134"/>
      <c r="BG180" s="134"/>
      <c r="BH180" s="134"/>
      <c r="BI180" s="134"/>
      <c r="BJ180" s="134"/>
      <c r="BK180" s="134"/>
      <c r="BL180" s="134"/>
      <c r="BM180" s="135"/>
      <c r="BN180" s="136" t="n">
        <f aca="false">+MAX($D$3,DATOS_[[#This Row],[Fecha Inicio Sit. Contract.]])</f>
        <v>0</v>
      </c>
      <c r="BO180" s="136" t="n">
        <f aca="false">+MIN($D$4,DATOS_[[#This Row],[Fecha Fin Sit. Contract.]])</f>
        <v>0</v>
      </c>
      <c r="BP180" s="137" t="n">
        <f aca="false">+DATOS_[[#This Row],[% de jornada]]*IF(DATOS_[[#This Row],[% jornada reducida]]="",1,DATOS_[[#This Row],[% jornada reducida]])</f>
        <v>0</v>
      </c>
      <c r="BQ180" s="137" t="n">
        <f aca="false">+(DATOS_[[#This Row],[F.fin.cal]]-DATOS_[[#This Row],[F.ini.cal]]+1)/($D$4-$D$3+1)</f>
        <v>1</v>
      </c>
      <c r="BR180" s="137" t="str">
        <f aca="false">IF(OR(AND(DATOS_[[#This Row],[Fecha Fin Contrato]]&lt;$D$3,DATOS_[[#This Row],[Fecha Fin Contrato]]&lt;&gt;""),DATOS_[[#This Row],[Fecha de Contratación]]&gt;$D$4),"Fuera","Dentro")</f>
        <v>Dentro</v>
      </c>
      <c r="BS180" s="137" t="str">
        <f aca="false" t="array" ref="BS180:BS180">IF(MAX(IF(DATOS_[id]=DATOS_[[#This Row],[id]],DATOS_[F.fin.cal]))=DATOS_[[#This Row],[F.fin.cal]],"Sí","NO")</f>
        <v>Sí</v>
      </c>
      <c r="BT180" s="137" t="str">
        <f aca="false">IF(AND(DATOS_[[#This Row],[% normaliz]]&lt;&gt;1,DATOS_[[#This Row],[% anualiz]]=1),"Sí","NO")</f>
        <v>Sí</v>
      </c>
      <c r="BU180" s="137" t="str">
        <f aca="false">IF(AND(DATOS_[[#This Row],[% normaliz]]=1,DATOS_[[#This Row],[% anualiz]]&lt;&gt;1),"Sí","NO")</f>
        <v>NO</v>
      </c>
      <c r="BV180" s="137" t="str">
        <f aca="false">IF(AND(DATOS_[[#This Row],[% normaliz]]&lt;&gt;1,DATOS_[[#This Row],[% anualiz]]&lt;&gt;1),"Sí","NO")</f>
        <v>NO</v>
      </c>
      <c r="BW180" s="137" t="str">
        <f aca="false">+IF(DATOS_[[#This Row],[% normaliz]]*DATOS_[[#This Row],[% anualiz]]=1,"NO","Sí")</f>
        <v>Sí</v>
      </c>
      <c r="BX180" s="138" t="e">
        <f aca="false">(DATOS_[[#This Row],[S.BASE]]*(1/DATOS_[[#This Row],[% normaliz]])*(1/DATOS_[[#This Row],[% anualiz]]))*IF(DATOS_[[#This Row],[Check Equiparado]]="Sí",1,0)</f>
        <v>#DIV/0!</v>
      </c>
      <c r="BY1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0" s="138" t="e">
        <f aca="false">+DATOS_[[#This Row],[SALARIO BASE Eq]]+DATOS_[[#This Row],[Tot COMPL.SAL Eq]]</f>
        <v>#DIV/0!</v>
      </c>
      <c r="CA180" s="138" t="e">
        <f aca="false" t="array" ref="CA180:CA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0" s="138" t="e">
        <f aca="false">+DATOS_[[#This Row],[TOTAL SALARIO Eq]]+DATOS_[[#This Row],[Tot Extrasalarial Eq]]</f>
        <v>#DIV/0!</v>
      </c>
      <c r="CC180" s="139" t="n">
        <f aca="false">DATOS_[[#This Row],[S.BASE]]</f>
        <v>0</v>
      </c>
      <c r="CD180" s="139" t="n">
        <f aca="false">+SUM(DATOS_[[#This Row],[Conc.Sal.01]:[Conc.Sal.30]])</f>
        <v>0</v>
      </c>
      <c r="CE180" s="139" t="n">
        <f aca="false">+DATOS_[[#This Row],[SALARIO BASE Ef]]+DATOS_[[#This Row],[Tot COMPL.SAL Ef]]</f>
        <v>0</v>
      </c>
      <c r="CF180" s="139" t="n">
        <f aca="false">+SUM(DATOS_[[#This Row],[C.Extra.01]:[C.Extra.05]])</f>
        <v>0</v>
      </c>
      <c r="CG180" s="139" t="n">
        <f aca="false">+DATOS_[[#This Row],[TOTAL SALARIO Ef]]+DATOS_[[#This Row],[Tot Extrasalarial Ef]]</f>
        <v>0</v>
      </c>
      <c r="CH180" s="140" t="n">
        <f aca="false">MIN(IF(DATOS_[[#This Row],[Fecha Fin Contrato]]="",$D$4,DATOS_[[#This Row],[Fecha Fin Contrato]]),$D$4)-MAX(DATOS_[[#This Row],[Fecha de Contratación]],$D$3)+1</f>
        <v>1</v>
      </c>
      <c r="CI180" s="141" t="str">
        <f aca="false">IF(COUNTIFS(DATOS_[id],DATOS_[[#This Row],[id]])&gt;1,DATOS_[[#This Row],[id]],"")</f>
        <v/>
      </c>
      <c r="CJ180" s="141" t="n">
        <f aca="false">(Inicio!$G$10-DATOS_[[#This Row],[Fecha Nacimiento]])/365.25</f>
        <v>0</v>
      </c>
      <c r="CK180" s="141" t="n">
        <f aca="false">(Inicio!$G$10-DATOS_[[#This Row],[Fecha de Antigüedad]])/365.25</f>
        <v>0</v>
      </c>
      <c r="CL180" s="141" t="e">
        <f aca="false">+VLOOKUP(DATOS_[[#This Row],[Clave de Contrato]],TblTiposContrato13[],3,0)</f>
        <v>#N/A</v>
      </c>
      <c r="CM180" s="141" t="e">
        <f aca="false">+VLOOKUP(DATOS_[[#This Row],[Clave de Contrato]],TblTiposContrato13[],4,0)</f>
        <v>#N/A</v>
      </c>
      <c r="CN180" s="141" t="str">
        <f aca="false">VLOOKUP(DATOS_[[#This Row],[Edad]],CONTRATOS!TblRngEdad,2,1)</f>
        <v>20  o menos</v>
      </c>
      <c r="CO180" s="141" t="str">
        <f aca="false">VLOOKUP(DATOS_[[#This Row],[Antigüedad]],TblRngAntg14[],2,1)</f>
        <v>0 a 1 años</v>
      </c>
    </row>
    <row r="181" customFormat="false" ht="13.8" hidden="false" customHeight="false" outlineLevel="0" collapsed="false">
      <c r="D181" s="128"/>
      <c r="E181" s="129"/>
      <c r="F181" s="129"/>
      <c r="G181" s="129"/>
      <c r="H181" s="130"/>
      <c r="I181" s="131"/>
      <c r="J181" s="128"/>
      <c r="K181" s="132"/>
      <c r="L181" s="132"/>
      <c r="M181" s="133"/>
      <c r="N181" s="133"/>
      <c r="O181" s="133"/>
      <c r="P181" s="129"/>
      <c r="Z181" s="75"/>
      <c r="AA181" s="76"/>
      <c r="AB181" s="76"/>
      <c r="AC181" s="129"/>
      <c r="AD181" s="134"/>
      <c r="AE181" s="134"/>
      <c r="AF181" s="134"/>
      <c r="AG181" s="134"/>
      <c r="AH181" s="134"/>
      <c r="AI181" s="134"/>
      <c r="AJ181" s="134"/>
      <c r="AK181" s="134"/>
      <c r="AL181" s="134"/>
      <c r="AM181" s="134"/>
      <c r="AN181" s="134"/>
      <c r="AO181" s="134"/>
      <c r="AP181" s="134"/>
      <c r="AQ181" s="134"/>
      <c r="AR181" s="134"/>
      <c r="AS181" s="134"/>
      <c r="AT181" s="134"/>
      <c r="AU181" s="134"/>
      <c r="AV181" s="134"/>
      <c r="AW181" s="134"/>
      <c r="AX181" s="134"/>
      <c r="AY181" s="134"/>
      <c r="AZ181" s="134"/>
      <c r="BA181" s="134"/>
      <c r="BB181" s="134"/>
      <c r="BC181" s="134"/>
      <c r="BD181" s="134"/>
      <c r="BE181" s="134"/>
      <c r="BF181" s="134"/>
      <c r="BG181" s="134"/>
      <c r="BH181" s="134"/>
      <c r="BI181" s="134"/>
      <c r="BJ181" s="134"/>
      <c r="BK181" s="134"/>
      <c r="BL181" s="134"/>
      <c r="BM181" s="135"/>
      <c r="BN181" s="136" t="n">
        <f aca="false">+MAX($D$3,DATOS_[[#This Row],[Fecha Inicio Sit. Contract.]])</f>
        <v>0</v>
      </c>
      <c r="BO181" s="136" t="n">
        <f aca="false">+MIN($D$4,DATOS_[[#This Row],[Fecha Fin Sit. Contract.]])</f>
        <v>0</v>
      </c>
      <c r="BP181" s="137" t="n">
        <f aca="false">+DATOS_[[#This Row],[% de jornada]]*IF(DATOS_[[#This Row],[% jornada reducida]]="",1,DATOS_[[#This Row],[% jornada reducida]])</f>
        <v>0</v>
      </c>
      <c r="BQ181" s="137" t="n">
        <f aca="false">+(DATOS_[[#This Row],[F.fin.cal]]-DATOS_[[#This Row],[F.ini.cal]]+1)/($D$4-$D$3+1)</f>
        <v>1</v>
      </c>
      <c r="BR181" s="137" t="str">
        <f aca="false">IF(OR(AND(DATOS_[[#This Row],[Fecha Fin Contrato]]&lt;$D$3,DATOS_[[#This Row],[Fecha Fin Contrato]]&lt;&gt;""),DATOS_[[#This Row],[Fecha de Contratación]]&gt;$D$4),"Fuera","Dentro")</f>
        <v>Dentro</v>
      </c>
      <c r="BS181" s="137" t="str">
        <f aca="false" t="array" ref="BS181:BS181">IF(MAX(IF(DATOS_[id]=DATOS_[[#This Row],[id]],DATOS_[F.fin.cal]))=DATOS_[[#This Row],[F.fin.cal]],"Sí","NO")</f>
        <v>Sí</v>
      </c>
      <c r="BT181" s="137" t="str">
        <f aca="false">IF(AND(DATOS_[[#This Row],[% normaliz]]&lt;&gt;1,DATOS_[[#This Row],[% anualiz]]=1),"Sí","NO")</f>
        <v>Sí</v>
      </c>
      <c r="BU181" s="137" t="str">
        <f aca="false">IF(AND(DATOS_[[#This Row],[% normaliz]]=1,DATOS_[[#This Row],[% anualiz]]&lt;&gt;1),"Sí","NO")</f>
        <v>NO</v>
      </c>
      <c r="BV181" s="137" t="str">
        <f aca="false">IF(AND(DATOS_[[#This Row],[% normaliz]]&lt;&gt;1,DATOS_[[#This Row],[% anualiz]]&lt;&gt;1),"Sí","NO")</f>
        <v>NO</v>
      </c>
      <c r="BW181" s="137" t="str">
        <f aca="false">+IF(DATOS_[[#This Row],[% normaliz]]*DATOS_[[#This Row],[% anualiz]]=1,"NO","Sí")</f>
        <v>Sí</v>
      </c>
      <c r="BX181" s="138" t="e">
        <f aca="false">(DATOS_[[#This Row],[S.BASE]]*(1/DATOS_[[#This Row],[% normaliz]])*(1/DATOS_[[#This Row],[% anualiz]]))*IF(DATOS_[[#This Row],[Check Equiparado]]="Sí",1,0)</f>
        <v>#DIV/0!</v>
      </c>
      <c r="BY1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1" s="138" t="e">
        <f aca="false">+DATOS_[[#This Row],[SALARIO BASE Eq]]+DATOS_[[#This Row],[Tot COMPL.SAL Eq]]</f>
        <v>#DIV/0!</v>
      </c>
      <c r="CA181" s="138" t="e">
        <f aca="false" t="array" ref="CA181:CA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1" s="138" t="e">
        <f aca="false">+DATOS_[[#This Row],[TOTAL SALARIO Eq]]+DATOS_[[#This Row],[Tot Extrasalarial Eq]]</f>
        <v>#DIV/0!</v>
      </c>
      <c r="CC181" s="139" t="n">
        <f aca="false">DATOS_[[#This Row],[S.BASE]]</f>
        <v>0</v>
      </c>
      <c r="CD181" s="139" t="n">
        <f aca="false">+SUM(DATOS_[[#This Row],[Conc.Sal.01]:[Conc.Sal.30]])</f>
        <v>0</v>
      </c>
      <c r="CE181" s="139" t="n">
        <f aca="false">+DATOS_[[#This Row],[SALARIO BASE Ef]]+DATOS_[[#This Row],[Tot COMPL.SAL Ef]]</f>
        <v>0</v>
      </c>
      <c r="CF181" s="139" t="n">
        <f aca="false">+SUM(DATOS_[[#This Row],[C.Extra.01]:[C.Extra.05]])</f>
        <v>0</v>
      </c>
      <c r="CG181" s="139" t="n">
        <f aca="false">+DATOS_[[#This Row],[TOTAL SALARIO Ef]]+DATOS_[[#This Row],[Tot Extrasalarial Ef]]</f>
        <v>0</v>
      </c>
      <c r="CH181" s="140" t="n">
        <f aca="false">MIN(IF(DATOS_[[#This Row],[Fecha Fin Contrato]]="",$D$4,DATOS_[[#This Row],[Fecha Fin Contrato]]),$D$4)-MAX(DATOS_[[#This Row],[Fecha de Contratación]],$D$3)+1</f>
        <v>1</v>
      </c>
      <c r="CI181" s="141" t="str">
        <f aca="false">IF(COUNTIFS(DATOS_[id],DATOS_[[#This Row],[id]])&gt;1,DATOS_[[#This Row],[id]],"")</f>
        <v/>
      </c>
      <c r="CJ181" s="141" t="n">
        <f aca="false">(Inicio!$G$10-DATOS_[[#This Row],[Fecha Nacimiento]])/365.25</f>
        <v>0</v>
      </c>
      <c r="CK181" s="141" t="n">
        <f aca="false">(Inicio!$G$10-DATOS_[[#This Row],[Fecha de Antigüedad]])/365.25</f>
        <v>0</v>
      </c>
      <c r="CL181" s="141" t="e">
        <f aca="false">+VLOOKUP(DATOS_[[#This Row],[Clave de Contrato]],TblTiposContrato13[],3,0)</f>
        <v>#N/A</v>
      </c>
      <c r="CM181" s="141" t="e">
        <f aca="false">+VLOOKUP(DATOS_[[#This Row],[Clave de Contrato]],TblTiposContrato13[],4,0)</f>
        <v>#N/A</v>
      </c>
      <c r="CN181" s="141" t="str">
        <f aca="false">VLOOKUP(DATOS_[[#This Row],[Edad]],CONTRATOS!TblRngEdad,2,1)</f>
        <v>20  o menos</v>
      </c>
      <c r="CO181" s="141" t="str">
        <f aca="false">VLOOKUP(DATOS_[[#This Row],[Antigüedad]],TblRngAntg14[],2,1)</f>
        <v>0 a 1 años</v>
      </c>
    </row>
    <row r="182" customFormat="false" ht="13.8" hidden="false" customHeight="false" outlineLevel="0" collapsed="false">
      <c r="D182" s="128"/>
      <c r="E182" s="129"/>
      <c r="F182" s="129"/>
      <c r="G182" s="129"/>
      <c r="H182" s="130"/>
      <c r="I182" s="131"/>
      <c r="J182" s="128"/>
      <c r="K182" s="132"/>
      <c r="L182" s="132"/>
      <c r="M182" s="133"/>
      <c r="N182" s="133"/>
      <c r="O182" s="133"/>
      <c r="P182" s="129"/>
      <c r="Z182" s="75"/>
      <c r="AA182" s="76"/>
      <c r="AB182" s="76"/>
      <c r="AC182" s="129"/>
      <c r="AD182" s="134"/>
      <c r="AE182" s="134"/>
      <c r="AF182" s="134"/>
      <c r="AG182" s="134"/>
      <c r="AH182" s="134"/>
      <c r="AI182" s="134"/>
      <c r="AJ182" s="134"/>
      <c r="AK182" s="134"/>
      <c r="AL182" s="134"/>
      <c r="AM182" s="134"/>
      <c r="AN182" s="134"/>
      <c r="AO182" s="134"/>
      <c r="AP182" s="134"/>
      <c r="AQ182" s="134"/>
      <c r="AR182" s="134"/>
      <c r="AS182" s="134"/>
      <c r="AT182" s="134"/>
      <c r="AU182" s="134"/>
      <c r="AV182" s="134"/>
      <c r="AW182" s="134"/>
      <c r="AX182" s="134"/>
      <c r="AY182" s="134"/>
      <c r="AZ182" s="134"/>
      <c r="BA182" s="134"/>
      <c r="BB182" s="134"/>
      <c r="BC182" s="134"/>
      <c r="BD182" s="134"/>
      <c r="BE182" s="134"/>
      <c r="BF182" s="134"/>
      <c r="BG182" s="134"/>
      <c r="BH182" s="134"/>
      <c r="BI182" s="134"/>
      <c r="BJ182" s="134"/>
      <c r="BK182" s="134"/>
      <c r="BL182" s="134"/>
      <c r="BM182" s="135"/>
      <c r="BN182" s="136" t="n">
        <f aca="false">+MAX($D$3,DATOS_[[#This Row],[Fecha Inicio Sit. Contract.]])</f>
        <v>0</v>
      </c>
      <c r="BO182" s="136" t="n">
        <f aca="false">+MIN($D$4,DATOS_[[#This Row],[Fecha Fin Sit. Contract.]])</f>
        <v>0</v>
      </c>
      <c r="BP182" s="137" t="n">
        <f aca="false">+DATOS_[[#This Row],[% de jornada]]*IF(DATOS_[[#This Row],[% jornada reducida]]="",1,DATOS_[[#This Row],[% jornada reducida]])</f>
        <v>0</v>
      </c>
      <c r="BQ182" s="137" t="n">
        <f aca="false">+(DATOS_[[#This Row],[F.fin.cal]]-DATOS_[[#This Row],[F.ini.cal]]+1)/($D$4-$D$3+1)</f>
        <v>1</v>
      </c>
      <c r="BR182" s="137" t="str">
        <f aca="false">IF(OR(AND(DATOS_[[#This Row],[Fecha Fin Contrato]]&lt;$D$3,DATOS_[[#This Row],[Fecha Fin Contrato]]&lt;&gt;""),DATOS_[[#This Row],[Fecha de Contratación]]&gt;$D$4),"Fuera","Dentro")</f>
        <v>Dentro</v>
      </c>
      <c r="BS182" s="137" t="str">
        <f aca="false" t="array" ref="BS182:BS182">IF(MAX(IF(DATOS_[id]=DATOS_[[#This Row],[id]],DATOS_[F.fin.cal]))=DATOS_[[#This Row],[F.fin.cal]],"Sí","NO")</f>
        <v>Sí</v>
      </c>
      <c r="BT182" s="137" t="str">
        <f aca="false">IF(AND(DATOS_[[#This Row],[% normaliz]]&lt;&gt;1,DATOS_[[#This Row],[% anualiz]]=1),"Sí","NO")</f>
        <v>Sí</v>
      </c>
      <c r="BU182" s="137" t="str">
        <f aca="false">IF(AND(DATOS_[[#This Row],[% normaliz]]=1,DATOS_[[#This Row],[% anualiz]]&lt;&gt;1),"Sí","NO")</f>
        <v>NO</v>
      </c>
      <c r="BV182" s="137" t="str">
        <f aca="false">IF(AND(DATOS_[[#This Row],[% normaliz]]&lt;&gt;1,DATOS_[[#This Row],[% anualiz]]&lt;&gt;1),"Sí","NO")</f>
        <v>NO</v>
      </c>
      <c r="BW182" s="137" t="str">
        <f aca="false">+IF(DATOS_[[#This Row],[% normaliz]]*DATOS_[[#This Row],[% anualiz]]=1,"NO","Sí")</f>
        <v>Sí</v>
      </c>
      <c r="BX182" s="138" t="e">
        <f aca="false">(DATOS_[[#This Row],[S.BASE]]*(1/DATOS_[[#This Row],[% normaliz]])*(1/DATOS_[[#This Row],[% anualiz]]))*IF(DATOS_[[#This Row],[Check Equiparado]]="Sí",1,0)</f>
        <v>#DIV/0!</v>
      </c>
      <c r="BY1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2" s="138" t="e">
        <f aca="false">+DATOS_[[#This Row],[SALARIO BASE Eq]]+DATOS_[[#This Row],[Tot COMPL.SAL Eq]]</f>
        <v>#DIV/0!</v>
      </c>
      <c r="CA182" s="138" t="e">
        <f aca="false" t="array" ref="CA182:CA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2" s="138" t="e">
        <f aca="false">+DATOS_[[#This Row],[TOTAL SALARIO Eq]]+DATOS_[[#This Row],[Tot Extrasalarial Eq]]</f>
        <v>#DIV/0!</v>
      </c>
      <c r="CC182" s="139" t="n">
        <f aca="false">DATOS_[[#This Row],[S.BASE]]</f>
        <v>0</v>
      </c>
      <c r="CD182" s="139" t="n">
        <f aca="false">+SUM(DATOS_[[#This Row],[Conc.Sal.01]:[Conc.Sal.30]])</f>
        <v>0</v>
      </c>
      <c r="CE182" s="139" t="n">
        <f aca="false">+DATOS_[[#This Row],[SALARIO BASE Ef]]+DATOS_[[#This Row],[Tot COMPL.SAL Ef]]</f>
        <v>0</v>
      </c>
      <c r="CF182" s="139" t="n">
        <f aca="false">+SUM(DATOS_[[#This Row],[C.Extra.01]:[C.Extra.05]])</f>
        <v>0</v>
      </c>
      <c r="CG182" s="139" t="n">
        <f aca="false">+DATOS_[[#This Row],[TOTAL SALARIO Ef]]+DATOS_[[#This Row],[Tot Extrasalarial Ef]]</f>
        <v>0</v>
      </c>
      <c r="CH182" s="140" t="n">
        <f aca="false">MIN(IF(DATOS_[[#This Row],[Fecha Fin Contrato]]="",$D$4,DATOS_[[#This Row],[Fecha Fin Contrato]]),$D$4)-MAX(DATOS_[[#This Row],[Fecha de Contratación]],$D$3)+1</f>
        <v>1</v>
      </c>
      <c r="CI182" s="141" t="str">
        <f aca="false">IF(COUNTIFS(DATOS_[id],DATOS_[[#This Row],[id]])&gt;1,DATOS_[[#This Row],[id]],"")</f>
        <v/>
      </c>
      <c r="CJ182" s="141" t="n">
        <f aca="false">(Inicio!$G$10-DATOS_[[#This Row],[Fecha Nacimiento]])/365.25</f>
        <v>0</v>
      </c>
      <c r="CK182" s="141" t="n">
        <f aca="false">(Inicio!$G$10-DATOS_[[#This Row],[Fecha de Antigüedad]])/365.25</f>
        <v>0</v>
      </c>
      <c r="CL182" s="141" t="e">
        <f aca="false">+VLOOKUP(DATOS_[[#This Row],[Clave de Contrato]],TblTiposContrato13[],3,0)</f>
        <v>#N/A</v>
      </c>
      <c r="CM182" s="141" t="e">
        <f aca="false">+VLOOKUP(DATOS_[[#This Row],[Clave de Contrato]],TblTiposContrato13[],4,0)</f>
        <v>#N/A</v>
      </c>
      <c r="CN182" s="141" t="str">
        <f aca="false">VLOOKUP(DATOS_[[#This Row],[Edad]],CONTRATOS!TblRngEdad,2,1)</f>
        <v>20  o menos</v>
      </c>
      <c r="CO182" s="141" t="str">
        <f aca="false">VLOOKUP(DATOS_[[#This Row],[Antigüedad]],TblRngAntg14[],2,1)</f>
        <v>0 a 1 años</v>
      </c>
    </row>
    <row r="183" customFormat="false" ht="13.8" hidden="false" customHeight="false" outlineLevel="0" collapsed="false">
      <c r="D183" s="128"/>
      <c r="E183" s="129"/>
      <c r="F183" s="129"/>
      <c r="G183" s="129"/>
      <c r="H183" s="130"/>
      <c r="I183" s="131"/>
      <c r="J183" s="128"/>
      <c r="K183" s="132"/>
      <c r="L183" s="132"/>
      <c r="M183" s="133"/>
      <c r="N183" s="133"/>
      <c r="O183" s="133"/>
      <c r="P183" s="129"/>
      <c r="Z183" s="75"/>
      <c r="AA183" s="76"/>
      <c r="AB183" s="76"/>
      <c r="AC183" s="129"/>
      <c r="AD183" s="134"/>
      <c r="AE183" s="134"/>
      <c r="AF183" s="134"/>
      <c r="AG183" s="134"/>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4"/>
      <c r="BD183" s="134"/>
      <c r="BE183" s="134"/>
      <c r="BF183" s="134"/>
      <c r="BG183" s="134"/>
      <c r="BH183" s="134"/>
      <c r="BI183" s="134"/>
      <c r="BJ183" s="134"/>
      <c r="BK183" s="134"/>
      <c r="BL183" s="134"/>
      <c r="BM183" s="135"/>
      <c r="BN183" s="136" t="n">
        <f aca="false">+MAX($D$3,DATOS_[[#This Row],[Fecha Inicio Sit. Contract.]])</f>
        <v>0</v>
      </c>
      <c r="BO183" s="136" t="n">
        <f aca="false">+MIN($D$4,DATOS_[[#This Row],[Fecha Fin Sit. Contract.]])</f>
        <v>0</v>
      </c>
      <c r="BP183" s="137" t="n">
        <f aca="false">+DATOS_[[#This Row],[% de jornada]]*IF(DATOS_[[#This Row],[% jornada reducida]]="",1,DATOS_[[#This Row],[% jornada reducida]])</f>
        <v>0</v>
      </c>
      <c r="BQ183" s="137" t="n">
        <f aca="false">+(DATOS_[[#This Row],[F.fin.cal]]-DATOS_[[#This Row],[F.ini.cal]]+1)/($D$4-$D$3+1)</f>
        <v>1</v>
      </c>
      <c r="BR183" s="137" t="str">
        <f aca="false">IF(OR(AND(DATOS_[[#This Row],[Fecha Fin Contrato]]&lt;$D$3,DATOS_[[#This Row],[Fecha Fin Contrato]]&lt;&gt;""),DATOS_[[#This Row],[Fecha de Contratación]]&gt;$D$4),"Fuera","Dentro")</f>
        <v>Dentro</v>
      </c>
      <c r="BS183" s="137" t="str">
        <f aca="false" t="array" ref="BS183:BS183">IF(MAX(IF(DATOS_[id]=DATOS_[[#This Row],[id]],DATOS_[F.fin.cal]))=DATOS_[[#This Row],[F.fin.cal]],"Sí","NO")</f>
        <v>Sí</v>
      </c>
      <c r="BT183" s="137" t="str">
        <f aca="false">IF(AND(DATOS_[[#This Row],[% normaliz]]&lt;&gt;1,DATOS_[[#This Row],[% anualiz]]=1),"Sí","NO")</f>
        <v>Sí</v>
      </c>
      <c r="BU183" s="137" t="str">
        <f aca="false">IF(AND(DATOS_[[#This Row],[% normaliz]]=1,DATOS_[[#This Row],[% anualiz]]&lt;&gt;1),"Sí","NO")</f>
        <v>NO</v>
      </c>
      <c r="BV183" s="137" t="str">
        <f aca="false">IF(AND(DATOS_[[#This Row],[% normaliz]]&lt;&gt;1,DATOS_[[#This Row],[% anualiz]]&lt;&gt;1),"Sí","NO")</f>
        <v>NO</v>
      </c>
      <c r="BW183" s="137" t="str">
        <f aca="false">+IF(DATOS_[[#This Row],[% normaliz]]*DATOS_[[#This Row],[% anualiz]]=1,"NO","Sí")</f>
        <v>Sí</v>
      </c>
      <c r="BX183" s="138" t="e">
        <f aca="false">(DATOS_[[#This Row],[S.BASE]]*(1/DATOS_[[#This Row],[% normaliz]])*(1/DATOS_[[#This Row],[% anualiz]]))*IF(DATOS_[[#This Row],[Check Equiparado]]="Sí",1,0)</f>
        <v>#DIV/0!</v>
      </c>
      <c r="BY1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3" s="138" t="e">
        <f aca="false">+DATOS_[[#This Row],[SALARIO BASE Eq]]+DATOS_[[#This Row],[Tot COMPL.SAL Eq]]</f>
        <v>#DIV/0!</v>
      </c>
      <c r="CA183" s="138" t="e">
        <f aca="false" t="array" ref="CA183:CA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3" s="138" t="e">
        <f aca="false">+DATOS_[[#This Row],[TOTAL SALARIO Eq]]+DATOS_[[#This Row],[Tot Extrasalarial Eq]]</f>
        <v>#DIV/0!</v>
      </c>
      <c r="CC183" s="139" t="n">
        <f aca="false">DATOS_[[#This Row],[S.BASE]]</f>
        <v>0</v>
      </c>
      <c r="CD183" s="139" t="n">
        <f aca="false">+SUM(DATOS_[[#This Row],[Conc.Sal.01]:[Conc.Sal.30]])</f>
        <v>0</v>
      </c>
      <c r="CE183" s="139" t="n">
        <f aca="false">+DATOS_[[#This Row],[SALARIO BASE Ef]]+DATOS_[[#This Row],[Tot COMPL.SAL Ef]]</f>
        <v>0</v>
      </c>
      <c r="CF183" s="139" t="n">
        <f aca="false">+SUM(DATOS_[[#This Row],[C.Extra.01]:[C.Extra.05]])</f>
        <v>0</v>
      </c>
      <c r="CG183" s="139" t="n">
        <f aca="false">+DATOS_[[#This Row],[TOTAL SALARIO Ef]]+DATOS_[[#This Row],[Tot Extrasalarial Ef]]</f>
        <v>0</v>
      </c>
      <c r="CH183" s="140" t="n">
        <f aca="false">MIN(IF(DATOS_[[#This Row],[Fecha Fin Contrato]]="",$D$4,DATOS_[[#This Row],[Fecha Fin Contrato]]),$D$4)-MAX(DATOS_[[#This Row],[Fecha de Contratación]],$D$3)+1</f>
        <v>1</v>
      </c>
      <c r="CI183" s="141" t="str">
        <f aca="false">IF(COUNTIFS(DATOS_[id],DATOS_[[#This Row],[id]])&gt;1,DATOS_[[#This Row],[id]],"")</f>
        <v/>
      </c>
      <c r="CJ183" s="141" t="n">
        <f aca="false">(Inicio!$G$10-DATOS_[[#This Row],[Fecha Nacimiento]])/365.25</f>
        <v>0</v>
      </c>
      <c r="CK183" s="141" t="n">
        <f aca="false">(Inicio!$G$10-DATOS_[[#This Row],[Fecha de Antigüedad]])/365.25</f>
        <v>0</v>
      </c>
      <c r="CL183" s="141" t="e">
        <f aca="false">+VLOOKUP(DATOS_[[#This Row],[Clave de Contrato]],TblTiposContrato13[],3,0)</f>
        <v>#N/A</v>
      </c>
      <c r="CM183" s="141" t="e">
        <f aca="false">+VLOOKUP(DATOS_[[#This Row],[Clave de Contrato]],TblTiposContrato13[],4,0)</f>
        <v>#N/A</v>
      </c>
      <c r="CN183" s="141" t="str">
        <f aca="false">VLOOKUP(DATOS_[[#This Row],[Edad]],CONTRATOS!TblRngEdad,2,1)</f>
        <v>20  o menos</v>
      </c>
      <c r="CO183" s="141" t="str">
        <f aca="false">VLOOKUP(DATOS_[[#This Row],[Antigüedad]],TblRngAntg14[],2,1)</f>
        <v>0 a 1 años</v>
      </c>
    </row>
    <row r="184" customFormat="false" ht="13.8" hidden="false" customHeight="false" outlineLevel="0" collapsed="false">
      <c r="D184" s="128"/>
      <c r="E184" s="129"/>
      <c r="F184" s="129"/>
      <c r="G184" s="129"/>
      <c r="H184" s="130"/>
      <c r="I184" s="131"/>
      <c r="J184" s="128"/>
      <c r="K184" s="132"/>
      <c r="L184" s="132"/>
      <c r="M184" s="133"/>
      <c r="N184" s="133"/>
      <c r="O184" s="133"/>
      <c r="P184" s="129"/>
      <c r="Z184" s="75"/>
      <c r="AA184" s="76"/>
      <c r="AB184" s="76"/>
      <c r="AC184" s="129"/>
      <c r="AD184" s="134"/>
      <c r="AE184" s="134"/>
      <c r="AF184" s="134"/>
      <c r="AG184" s="134"/>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c r="BB184" s="134"/>
      <c r="BC184" s="134"/>
      <c r="BD184" s="134"/>
      <c r="BE184" s="134"/>
      <c r="BF184" s="134"/>
      <c r="BG184" s="134"/>
      <c r="BH184" s="134"/>
      <c r="BI184" s="134"/>
      <c r="BJ184" s="134"/>
      <c r="BK184" s="134"/>
      <c r="BL184" s="134"/>
      <c r="BM184" s="135"/>
      <c r="BN184" s="136" t="n">
        <f aca="false">+MAX($D$3,DATOS_[[#This Row],[Fecha Inicio Sit. Contract.]])</f>
        <v>0</v>
      </c>
      <c r="BO184" s="136" t="n">
        <f aca="false">+MIN($D$4,DATOS_[[#This Row],[Fecha Fin Sit. Contract.]])</f>
        <v>0</v>
      </c>
      <c r="BP184" s="137" t="n">
        <f aca="false">+DATOS_[[#This Row],[% de jornada]]*IF(DATOS_[[#This Row],[% jornada reducida]]="",1,DATOS_[[#This Row],[% jornada reducida]])</f>
        <v>0</v>
      </c>
      <c r="BQ184" s="137" t="n">
        <f aca="false">+(DATOS_[[#This Row],[F.fin.cal]]-DATOS_[[#This Row],[F.ini.cal]]+1)/($D$4-$D$3+1)</f>
        <v>1</v>
      </c>
      <c r="BR184" s="137" t="str">
        <f aca="false">IF(OR(AND(DATOS_[[#This Row],[Fecha Fin Contrato]]&lt;$D$3,DATOS_[[#This Row],[Fecha Fin Contrato]]&lt;&gt;""),DATOS_[[#This Row],[Fecha de Contratación]]&gt;$D$4),"Fuera","Dentro")</f>
        <v>Dentro</v>
      </c>
      <c r="BS184" s="137" t="str">
        <f aca="false" t="array" ref="BS184:BS184">IF(MAX(IF(DATOS_[id]=DATOS_[[#This Row],[id]],DATOS_[F.fin.cal]))=DATOS_[[#This Row],[F.fin.cal]],"Sí","NO")</f>
        <v>Sí</v>
      </c>
      <c r="BT184" s="137" t="str">
        <f aca="false">IF(AND(DATOS_[[#This Row],[% normaliz]]&lt;&gt;1,DATOS_[[#This Row],[% anualiz]]=1),"Sí","NO")</f>
        <v>Sí</v>
      </c>
      <c r="BU184" s="137" t="str">
        <f aca="false">IF(AND(DATOS_[[#This Row],[% normaliz]]=1,DATOS_[[#This Row],[% anualiz]]&lt;&gt;1),"Sí","NO")</f>
        <v>NO</v>
      </c>
      <c r="BV184" s="137" t="str">
        <f aca="false">IF(AND(DATOS_[[#This Row],[% normaliz]]&lt;&gt;1,DATOS_[[#This Row],[% anualiz]]&lt;&gt;1),"Sí","NO")</f>
        <v>NO</v>
      </c>
      <c r="BW184" s="137" t="str">
        <f aca="false">+IF(DATOS_[[#This Row],[% normaliz]]*DATOS_[[#This Row],[% anualiz]]=1,"NO","Sí")</f>
        <v>Sí</v>
      </c>
      <c r="BX184" s="138" t="e">
        <f aca="false">(DATOS_[[#This Row],[S.BASE]]*(1/DATOS_[[#This Row],[% normaliz]])*(1/DATOS_[[#This Row],[% anualiz]]))*IF(DATOS_[[#This Row],[Check Equiparado]]="Sí",1,0)</f>
        <v>#DIV/0!</v>
      </c>
      <c r="BY1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4" s="138" t="e">
        <f aca="false">+DATOS_[[#This Row],[SALARIO BASE Eq]]+DATOS_[[#This Row],[Tot COMPL.SAL Eq]]</f>
        <v>#DIV/0!</v>
      </c>
      <c r="CA184" s="138" t="e">
        <f aca="false" t="array" ref="CA184:CA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4" s="138" t="e">
        <f aca="false">+DATOS_[[#This Row],[TOTAL SALARIO Eq]]+DATOS_[[#This Row],[Tot Extrasalarial Eq]]</f>
        <v>#DIV/0!</v>
      </c>
      <c r="CC184" s="139" t="n">
        <f aca="false">DATOS_[[#This Row],[S.BASE]]</f>
        <v>0</v>
      </c>
      <c r="CD184" s="139" t="n">
        <f aca="false">+SUM(DATOS_[[#This Row],[Conc.Sal.01]:[Conc.Sal.30]])</f>
        <v>0</v>
      </c>
      <c r="CE184" s="139" t="n">
        <f aca="false">+DATOS_[[#This Row],[SALARIO BASE Ef]]+DATOS_[[#This Row],[Tot COMPL.SAL Ef]]</f>
        <v>0</v>
      </c>
      <c r="CF184" s="139" t="n">
        <f aca="false">+SUM(DATOS_[[#This Row],[C.Extra.01]:[C.Extra.05]])</f>
        <v>0</v>
      </c>
      <c r="CG184" s="139" t="n">
        <f aca="false">+DATOS_[[#This Row],[TOTAL SALARIO Ef]]+DATOS_[[#This Row],[Tot Extrasalarial Ef]]</f>
        <v>0</v>
      </c>
      <c r="CH184" s="140" t="n">
        <f aca="false">MIN(IF(DATOS_[[#This Row],[Fecha Fin Contrato]]="",$D$4,DATOS_[[#This Row],[Fecha Fin Contrato]]),$D$4)-MAX(DATOS_[[#This Row],[Fecha de Contratación]],$D$3)+1</f>
        <v>1</v>
      </c>
      <c r="CI184" s="141" t="str">
        <f aca="false">IF(COUNTIFS(DATOS_[id],DATOS_[[#This Row],[id]])&gt;1,DATOS_[[#This Row],[id]],"")</f>
        <v/>
      </c>
      <c r="CJ184" s="141" t="n">
        <f aca="false">(Inicio!$G$10-DATOS_[[#This Row],[Fecha Nacimiento]])/365.25</f>
        <v>0</v>
      </c>
      <c r="CK184" s="141" t="n">
        <f aca="false">(Inicio!$G$10-DATOS_[[#This Row],[Fecha de Antigüedad]])/365.25</f>
        <v>0</v>
      </c>
      <c r="CL184" s="141" t="e">
        <f aca="false">+VLOOKUP(DATOS_[[#This Row],[Clave de Contrato]],TblTiposContrato13[],3,0)</f>
        <v>#N/A</v>
      </c>
      <c r="CM184" s="141" t="e">
        <f aca="false">+VLOOKUP(DATOS_[[#This Row],[Clave de Contrato]],TblTiposContrato13[],4,0)</f>
        <v>#N/A</v>
      </c>
      <c r="CN184" s="141" t="str">
        <f aca="false">VLOOKUP(DATOS_[[#This Row],[Edad]],CONTRATOS!TblRngEdad,2,1)</f>
        <v>20  o menos</v>
      </c>
      <c r="CO184" s="141" t="str">
        <f aca="false">VLOOKUP(DATOS_[[#This Row],[Antigüedad]],TblRngAntg14[],2,1)</f>
        <v>0 a 1 años</v>
      </c>
    </row>
    <row r="185" customFormat="false" ht="13.8" hidden="false" customHeight="false" outlineLevel="0" collapsed="false">
      <c r="D185" s="128"/>
      <c r="E185" s="129"/>
      <c r="F185" s="129"/>
      <c r="G185" s="129"/>
      <c r="H185" s="130"/>
      <c r="I185" s="131"/>
      <c r="J185" s="128"/>
      <c r="K185" s="132"/>
      <c r="L185" s="132"/>
      <c r="M185" s="133"/>
      <c r="N185" s="133"/>
      <c r="O185" s="133"/>
      <c r="P185" s="129"/>
      <c r="Z185" s="75"/>
      <c r="AA185" s="76"/>
      <c r="AB185" s="76"/>
      <c r="AC185" s="129"/>
      <c r="AD185" s="134"/>
      <c r="AE185" s="134"/>
      <c r="AF185" s="134"/>
      <c r="AG185" s="134"/>
      <c r="AH185" s="134"/>
      <c r="AI185" s="134"/>
      <c r="AJ185" s="134"/>
      <c r="AK185" s="134"/>
      <c r="AL185" s="134"/>
      <c r="AM185" s="134"/>
      <c r="AN185" s="134"/>
      <c r="AO185" s="134"/>
      <c r="AP185" s="134"/>
      <c r="AQ185" s="134"/>
      <c r="AR185" s="134"/>
      <c r="AS185" s="134"/>
      <c r="AT185" s="134"/>
      <c r="AU185" s="134"/>
      <c r="AV185" s="134"/>
      <c r="AW185" s="134"/>
      <c r="AX185" s="134"/>
      <c r="AY185" s="134"/>
      <c r="AZ185" s="134"/>
      <c r="BA185" s="134"/>
      <c r="BB185" s="134"/>
      <c r="BC185" s="134"/>
      <c r="BD185" s="134"/>
      <c r="BE185" s="134"/>
      <c r="BF185" s="134"/>
      <c r="BG185" s="134"/>
      <c r="BH185" s="134"/>
      <c r="BI185" s="134"/>
      <c r="BJ185" s="134"/>
      <c r="BK185" s="134"/>
      <c r="BL185" s="134"/>
      <c r="BM185" s="135"/>
      <c r="BN185" s="136" t="n">
        <f aca="false">+MAX($D$3,DATOS_[[#This Row],[Fecha Inicio Sit. Contract.]])</f>
        <v>0</v>
      </c>
      <c r="BO185" s="136" t="n">
        <f aca="false">+MIN($D$4,DATOS_[[#This Row],[Fecha Fin Sit. Contract.]])</f>
        <v>0</v>
      </c>
      <c r="BP185" s="137" t="n">
        <f aca="false">+DATOS_[[#This Row],[% de jornada]]*IF(DATOS_[[#This Row],[% jornada reducida]]="",1,DATOS_[[#This Row],[% jornada reducida]])</f>
        <v>0</v>
      </c>
      <c r="BQ185" s="137" t="n">
        <f aca="false">+(DATOS_[[#This Row],[F.fin.cal]]-DATOS_[[#This Row],[F.ini.cal]]+1)/($D$4-$D$3+1)</f>
        <v>1</v>
      </c>
      <c r="BR185" s="137" t="str">
        <f aca="false">IF(OR(AND(DATOS_[[#This Row],[Fecha Fin Contrato]]&lt;$D$3,DATOS_[[#This Row],[Fecha Fin Contrato]]&lt;&gt;""),DATOS_[[#This Row],[Fecha de Contratación]]&gt;$D$4),"Fuera","Dentro")</f>
        <v>Dentro</v>
      </c>
      <c r="BS185" s="137" t="str">
        <f aca="false" t="array" ref="BS185:BS185">IF(MAX(IF(DATOS_[id]=DATOS_[[#This Row],[id]],DATOS_[F.fin.cal]))=DATOS_[[#This Row],[F.fin.cal]],"Sí","NO")</f>
        <v>Sí</v>
      </c>
      <c r="BT185" s="137" t="str">
        <f aca="false">IF(AND(DATOS_[[#This Row],[% normaliz]]&lt;&gt;1,DATOS_[[#This Row],[% anualiz]]=1),"Sí","NO")</f>
        <v>Sí</v>
      </c>
      <c r="BU185" s="137" t="str">
        <f aca="false">IF(AND(DATOS_[[#This Row],[% normaliz]]=1,DATOS_[[#This Row],[% anualiz]]&lt;&gt;1),"Sí","NO")</f>
        <v>NO</v>
      </c>
      <c r="BV185" s="137" t="str">
        <f aca="false">IF(AND(DATOS_[[#This Row],[% normaliz]]&lt;&gt;1,DATOS_[[#This Row],[% anualiz]]&lt;&gt;1),"Sí","NO")</f>
        <v>NO</v>
      </c>
      <c r="BW185" s="137" t="str">
        <f aca="false">+IF(DATOS_[[#This Row],[% normaliz]]*DATOS_[[#This Row],[% anualiz]]=1,"NO","Sí")</f>
        <v>Sí</v>
      </c>
      <c r="BX185" s="138" t="e">
        <f aca="false">(DATOS_[[#This Row],[S.BASE]]*(1/DATOS_[[#This Row],[% normaliz]])*(1/DATOS_[[#This Row],[% anualiz]]))*IF(DATOS_[[#This Row],[Check Equiparado]]="Sí",1,0)</f>
        <v>#DIV/0!</v>
      </c>
      <c r="BY1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5" s="138" t="e">
        <f aca="false">+DATOS_[[#This Row],[SALARIO BASE Eq]]+DATOS_[[#This Row],[Tot COMPL.SAL Eq]]</f>
        <v>#DIV/0!</v>
      </c>
      <c r="CA185" s="138" t="e">
        <f aca="false" t="array" ref="CA185:CA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5" s="138" t="e">
        <f aca="false">+DATOS_[[#This Row],[TOTAL SALARIO Eq]]+DATOS_[[#This Row],[Tot Extrasalarial Eq]]</f>
        <v>#DIV/0!</v>
      </c>
      <c r="CC185" s="139" t="n">
        <f aca="false">DATOS_[[#This Row],[S.BASE]]</f>
        <v>0</v>
      </c>
      <c r="CD185" s="139" t="n">
        <f aca="false">+SUM(DATOS_[[#This Row],[Conc.Sal.01]:[Conc.Sal.30]])</f>
        <v>0</v>
      </c>
      <c r="CE185" s="139" t="n">
        <f aca="false">+DATOS_[[#This Row],[SALARIO BASE Ef]]+DATOS_[[#This Row],[Tot COMPL.SAL Ef]]</f>
        <v>0</v>
      </c>
      <c r="CF185" s="139" t="n">
        <f aca="false">+SUM(DATOS_[[#This Row],[C.Extra.01]:[C.Extra.05]])</f>
        <v>0</v>
      </c>
      <c r="CG185" s="139" t="n">
        <f aca="false">+DATOS_[[#This Row],[TOTAL SALARIO Ef]]+DATOS_[[#This Row],[Tot Extrasalarial Ef]]</f>
        <v>0</v>
      </c>
      <c r="CH185" s="140" t="n">
        <f aca="false">MIN(IF(DATOS_[[#This Row],[Fecha Fin Contrato]]="",$D$4,DATOS_[[#This Row],[Fecha Fin Contrato]]),$D$4)-MAX(DATOS_[[#This Row],[Fecha de Contratación]],$D$3)+1</f>
        <v>1</v>
      </c>
      <c r="CI185" s="141" t="str">
        <f aca="false">IF(COUNTIFS(DATOS_[id],DATOS_[[#This Row],[id]])&gt;1,DATOS_[[#This Row],[id]],"")</f>
        <v/>
      </c>
      <c r="CJ185" s="141" t="n">
        <f aca="false">(Inicio!$G$10-DATOS_[[#This Row],[Fecha Nacimiento]])/365.25</f>
        <v>0</v>
      </c>
      <c r="CK185" s="141" t="n">
        <f aca="false">(Inicio!$G$10-DATOS_[[#This Row],[Fecha de Antigüedad]])/365.25</f>
        <v>0</v>
      </c>
      <c r="CL185" s="141" t="e">
        <f aca="false">+VLOOKUP(DATOS_[[#This Row],[Clave de Contrato]],TblTiposContrato13[],3,0)</f>
        <v>#N/A</v>
      </c>
      <c r="CM185" s="141" t="e">
        <f aca="false">+VLOOKUP(DATOS_[[#This Row],[Clave de Contrato]],TblTiposContrato13[],4,0)</f>
        <v>#N/A</v>
      </c>
      <c r="CN185" s="141" t="str">
        <f aca="false">VLOOKUP(DATOS_[[#This Row],[Edad]],CONTRATOS!TblRngEdad,2,1)</f>
        <v>20  o menos</v>
      </c>
      <c r="CO185" s="141" t="str">
        <f aca="false">VLOOKUP(DATOS_[[#This Row],[Antigüedad]],TblRngAntg14[],2,1)</f>
        <v>0 a 1 años</v>
      </c>
    </row>
    <row r="186" customFormat="false" ht="13.8" hidden="false" customHeight="false" outlineLevel="0" collapsed="false">
      <c r="D186" s="128"/>
      <c r="E186" s="129"/>
      <c r="F186" s="129"/>
      <c r="G186" s="129"/>
      <c r="H186" s="130"/>
      <c r="I186" s="131"/>
      <c r="J186" s="128"/>
      <c r="K186" s="132"/>
      <c r="L186" s="132"/>
      <c r="M186" s="133"/>
      <c r="N186" s="133"/>
      <c r="O186" s="133"/>
      <c r="P186" s="129"/>
      <c r="Z186" s="75"/>
      <c r="AA186" s="76"/>
      <c r="AB186" s="76"/>
      <c r="AC186" s="129"/>
      <c r="AD186" s="134"/>
      <c r="AE186" s="134"/>
      <c r="AF186" s="134"/>
      <c r="AG186" s="134"/>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4"/>
      <c r="BD186" s="134"/>
      <c r="BE186" s="134"/>
      <c r="BF186" s="134"/>
      <c r="BG186" s="134"/>
      <c r="BH186" s="134"/>
      <c r="BI186" s="134"/>
      <c r="BJ186" s="134"/>
      <c r="BK186" s="134"/>
      <c r="BL186" s="134"/>
      <c r="BM186" s="135"/>
      <c r="BN186" s="136" t="n">
        <f aca="false">+MAX($D$3,DATOS_[[#This Row],[Fecha Inicio Sit. Contract.]])</f>
        <v>0</v>
      </c>
      <c r="BO186" s="136" t="n">
        <f aca="false">+MIN($D$4,DATOS_[[#This Row],[Fecha Fin Sit. Contract.]])</f>
        <v>0</v>
      </c>
      <c r="BP186" s="137" t="n">
        <f aca="false">+DATOS_[[#This Row],[% de jornada]]*IF(DATOS_[[#This Row],[% jornada reducida]]="",1,DATOS_[[#This Row],[% jornada reducida]])</f>
        <v>0</v>
      </c>
      <c r="BQ186" s="137" t="n">
        <f aca="false">+(DATOS_[[#This Row],[F.fin.cal]]-DATOS_[[#This Row],[F.ini.cal]]+1)/($D$4-$D$3+1)</f>
        <v>1</v>
      </c>
      <c r="BR186" s="137" t="str">
        <f aca="false">IF(OR(AND(DATOS_[[#This Row],[Fecha Fin Contrato]]&lt;$D$3,DATOS_[[#This Row],[Fecha Fin Contrato]]&lt;&gt;""),DATOS_[[#This Row],[Fecha de Contratación]]&gt;$D$4),"Fuera","Dentro")</f>
        <v>Dentro</v>
      </c>
      <c r="BS186" s="137" t="str">
        <f aca="false" t="array" ref="BS186:BS186">IF(MAX(IF(DATOS_[id]=DATOS_[[#This Row],[id]],DATOS_[F.fin.cal]))=DATOS_[[#This Row],[F.fin.cal]],"Sí","NO")</f>
        <v>Sí</v>
      </c>
      <c r="BT186" s="137" t="str">
        <f aca="false">IF(AND(DATOS_[[#This Row],[% normaliz]]&lt;&gt;1,DATOS_[[#This Row],[% anualiz]]=1),"Sí","NO")</f>
        <v>Sí</v>
      </c>
      <c r="BU186" s="137" t="str">
        <f aca="false">IF(AND(DATOS_[[#This Row],[% normaliz]]=1,DATOS_[[#This Row],[% anualiz]]&lt;&gt;1),"Sí","NO")</f>
        <v>NO</v>
      </c>
      <c r="BV186" s="137" t="str">
        <f aca="false">IF(AND(DATOS_[[#This Row],[% normaliz]]&lt;&gt;1,DATOS_[[#This Row],[% anualiz]]&lt;&gt;1),"Sí","NO")</f>
        <v>NO</v>
      </c>
      <c r="BW186" s="137" t="str">
        <f aca="false">+IF(DATOS_[[#This Row],[% normaliz]]*DATOS_[[#This Row],[% anualiz]]=1,"NO","Sí")</f>
        <v>Sí</v>
      </c>
      <c r="BX186" s="138" t="e">
        <f aca="false">(DATOS_[[#This Row],[S.BASE]]*(1/DATOS_[[#This Row],[% normaliz]])*(1/DATOS_[[#This Row],[% anualiz]]))*IF(DATOS_[[#This Row],[Check Equiparado]]="Sí",1,0)</f>
        <v>#DIV/0!</v>
      </c>
      <c r="BY1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6" s="138" t="e">
        <f aca="false">+DATOS_[[#This Row],[SALARIO BASE Eq]]+DATOS_[[#This Row],[Tot COMPL.SAL Eq]]</f>
        <v>#DIV/0!</v>
      </c>
      <c r="CA186" s="138" t="e">
        <f aca="false" t="array" ref="CA186:CA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6" s="138" t="e">
        <f aca="false">+DATOS_[[#This Row],[TOTAL SALARIO Eq]]+DATOS_[[#This Row],[Tot Extrasalarial Eq]]</f>
        <v>#DIV/0!</v>
      </c>
      <c r="CC186" s="139" t="n">
        <f aca="false">DATOS_[[#This Row],[S.BASE]]</f>
        <v>0</v>
      </c>
      <c r="CD186" s="139" t="n">
        <f aca="false">+SUM(DATOS_[[#This Row],[Conc.Sal.01]:[Conc.Sal.30]])</f>
        <v>0</v>
      </c>
      <c r="CE186" s="139" t="n">
        <f aca="false">+DATOS_[[#This Row],[SALARIO BASE Ef]]+DATOS_[[#This Row],[Tot COMPL.SAL Ef]]</f>
        <v>0</v>
      </c>
      <c r="CF186" s="139" t="n">
        <f aca="false">+SUM(DATOS_[[#This Row],[C.Extra.01]:[C.Extra.05]])</f>
        <v>0</v>
      </c>
      <c r="CG186" s="139" t="n">
        <f aca="false">+DATOS_[[#This Row],[TOTAL SALARIO Ef]]+DATOS_[[#This Row],[Tot Extrasalarial Ef]]</f>
        <v>0</v>
      </c>
      <c r="CH186" s="140" t="n">
        <f aca="false">MIN(IF(DATOS_[[#This Row],[Fecha Fin Contrato]]="",$D$4,DATOS_[[#This Row],[Fecha Fin Contrato]]),$D$4)-MAX(DATOS_[[#This Row],[Fecha de Contratación]],$D$3)+1</f>
        <v>1</v>
      </c>
      <c r="CI186" s="141" t="str">
        <f aca="false">IF(COUNTIFS(DATOS_[id],DATOS_[[#This Row],[id]])&gt;1,DATOS_[[#This Row],[id]],"")</f>
        <v/>
      </c>
      <c r="CJ186" s="141" t="n">
        <f aca="false">(Inicio!$G$10-DATOS_[[#This Row],[Fecha Nacimiento]])/365.25</f>
        <v>0</v>
      </c>
      <c r="CK186" s="141" t="n">
        <f aca="false">(Inicio!$G$10-DATOS_[[#This Row],[Fecha de Antigüedad]])/365.25</f>
        <v>0</v>
      </c>
      <c r="CL186" s="141" t="e">
        <f aca="false">+VLOOKUP(DATOS_[[#This Row],[Clave de Contrato]],TblTiposContrato13[],3,0)</f>
        <v>#N/A</v>
      </c>
      <c r="CM186" s="141" t="e">
        <f aca="false">+VLOOKUP(DATOS_[[#This Row],[Clave de Contrato]],TblTiposContrato13[],4,0)</f>
        <v>#N/A</v>
      </c>
      <c r="CN186" s="141" t="str">
        <f aca="false">VLOOKUP(DATOS_[[#This Row],[Edad]],CONTRATOS!TblRngEdad,2,1)</f>
        <v>20  o menos</v>
      </c>
      <c r="CO186" s="141" t="str">
        <f aca="false">VLOOKUP(DATOS_[[#This Row],[Antigüedad]],TblRngAntg14[],2,1)</f>
        <v>0 a 1 años</v>
      </c>
    </row>
    <row r="187" customFormat="false" ht="13.8" hidden="false" customHeight="false" outlineLevel="0" collapsed="false">
      <c r="D187" s="128"/>
      <c r="E187" s="129"/>
      <c r="F187" s="129"/>
      <c r="G187" s="129"/>
      <c r="H187" s="130"/>
      <c r="I187" s="131"/>
      <c r="J187" s="128"/>
      <c r="K187" s="132"/>
      <c r="L187" s="132"/>
      <c r="M187" s="133"/>
      <c r="N187" s="133"/>
      <c r="O187" s="133"/>
      <c r="P187" s="129"/>
      <c r="Z187" s="75"/>
      <c r="AA187" s="76"/>
      <c r="AB187" s="76"/>
      <c r="AC187" s="129"/>
      <c r="AD187" s="134"/>
      <c r="AE187" s="134"/>
      <c r="AF187" s="134"/>
      <c r="AG187" s="134"/>
      <c r="AH187" s="134"/>
      <c r="AI187" s="134"/>
      <c r="AJ187" s="134"/>
      <c r="AK187" s="134"/>
      <c r="AL187" s="134"/>
      <c r="AM187" s="134"/>
      <c r="AN187" s="134"/>
      <c r="AO187" s="134"/>
      <c r="AP187" s="134"/>
      <c r="AQ187" s="134"/>
      <c r="AR187" s="134"/>
      <c r="AS187" s="134"/>
      <c r="AT187" s="134"/>
      <c r="AU187" s="134"/>
      <c r="AV187" s="134"/>
      <c r="AW187" s="134"/>
      <c r="AX187" s="134"/>
      <c r="AY187" s="134"/>
      <c r="AZ187" s="134"/>
      <c r="BA187" s="134"/>
      <c r="BB187" s="134"/>
      <c r="BC187" s="134"/>
      <c r="BD187" s="134"/>
      <c r="BE187" s="134"/>
      <c r="BF187" s="134"/>
      <c r="BG187" s="134"/>
      <c r="BH187" s="134"/>
      <c r="BI187" s="134"/>
      <c r="BJ187" s="134"/>
      <c r="BK187" s="134"/>
      <c r="BL187" s="134"/>
      <c r="BM187" s="135"/>
      <c r="BN187" s="136" t="n">
        <f aca="false">+MAX($D$3,DATOS_[[#This Row],[Fecha Inicio Sit. Contract.]])</f>
        <v>0</v>
      </c>
      <c r="BO187" s="136" t="n">
        <f aca="false">+MIN($D$4,DATOS_[[#This Row],[Fecha Fin Sit. Contract.]])</f>
        <v>0</v>
      </c>
      <c r="BP187" s="137" t="n">
        <f aca="false">+DATOS_[[#This Row],[% de jornada]]*IF(DATOS_[[#This Row],[% jornada reducida]]="",1,DATOS_[[#This Row],[% jornada reducida]])</f>
        <v>0</v>
      </c>
      <c r="BQ187" s="137" t="n">
        <f aca="false">+(DATOS_[[#This Row],[F.fin.cal]]-DATOS_[[#This Row],[F.ini.cal]]+1)/($D$4-$D$3+1)</f>
        <v>1</v>
      </c>
      <c r="BR187" s="137" t="str">
        <f aca="false">IF(OR(AND(DATOS_[[#This Row],[Fecha Fin Contrato]]&lt;$D$3,DATOS_[[#This Row],[Fecha Fin Contrato]]&lt;&gt;""),DATOS_[[#This Row],[Fecha de Contratación]]&gt;$D$4),"Fuera","Dentro")</f>
        <v>Dentro</v>
      </c>
      <c r="BS187" s="137" t="str">
        <f aca="false" t="array" ref="BS187:BS187">IF(MAX(IF(DATOS_[id]=DATOS_[[#This Row],[id]],DATOS_[F.fin.cal]))=DATOS_[[#This Row],[F.fin.cal]],"Sí","NO")</f>
        <v>Sí</v>
      </c>
      <c r="BT187" s="137" t="str">
        <f aca="false">IF(AND(DATOS_[[#This Row],[% normaliz]]&lt;&gt;1,DATOS_[[#This Row],[% anualiz]]=1),"Sí","NO")</f>
        <v>Sí</v>
      </c>
      <c r="BU187" s="137" t="str">
        <f aca="false">IF(AND(DATOS_[[#This Row],[% normaliz]]=1,DATOS_[[#This Row],[% anualiz]]&lt;&gt;1),"Sí","NO")</f>
        <v>NO</v>
      </c>
      <c r="BV187" s="137" t="str">
        <f aca="false">IF(AND(DATOS_[[#This Row],[% normaliz]]&lt;&gt;1,DATOS_[[#This Row],[% anualiz]]&lt;&gt;1),"Sí","NO")</f>
        <v>NO</v>
      </c>
      <c r="BW187" s="137" t="str">
        <f aca="false">+IF(DATOS_[[#This Row],[% normaliz]]*DATOS_[[#This Row],[% anualiz]]=1,"NO","Sí")</f>
        <v>Sí</v>
      </c>
      <c r="BX187" s="138" t="e">
        <f aca="false">(DATOS_[[#This Row],[S.BASE]]*(1/DATOS_[[#This Row],[% normaliz]])*(1/DATOS_[[#This Row],[% anualiz]]))*IF(DATOS_[[#This Row],[Check Equiparado]]="Sí",1,0)</f>
        <v>#DIV/0!</v>
      </c>
      <c r="BY1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7" s="138" t="e">
        <f aca="false">+DATOS_[[#This Row],[SALARIO BASE Eq]]+DATOS_[[#This Row],[Tot COMPL.SAL Eq]]</f>
        <v>#DIV/0!</v>
      </c>
      <c r="CA187" s="138" t="e">
        <f aca="false" t="array" ref="CA187:CA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7" s="138" t="e">
        <f aca="false">+DATOS_[[#This Row],[TOTAL SALARIO Eq]]+DATOS_[[#This Row],[Tot Extrasalarial Eq]]</f>
        <v>#DIV/0!</v>
      </c>
      <c r="CC187" s="139" t="n">
        <f aca="false">DATOS_[[#This Row],[S.BASE]]</f>
        <v>0</v>
      </c>
      <c r="CD187" s="139" t="n">
        <f aca="false">+SUM(DATOS_[[#This Row],[Conc.Sal.01]:[Conc.Sal.30]])</f>
        <v>0</v>
      </c>
      <c r="CE187" s="139" t="n">
        <f aca="false">+DATOS_[[#This Row],[SALARIO BASE Ef]]+DATOS_[[#This Row],[Tot COMPL.SAL Ef]]</f>
        <v>0</v>
      </c>
      <c r="CF187" s="139" t="n">
        <f aca="false">+SUM(DATOS_[[#This Row],[C.Extra.01]:[C.Extra.05]])</f>
        <v>0</v>
      </c>
      <c r="CG187" s="139" t="n">
        <f aca="false">+DATOS_[[#This Row],[TOTAL SALARIO Ef]]+DATOS_[[#This Row],[Tot Extrasalarial Ef]]</f>
        <v>0</v>
      </c>
      <c r="CH187" s="140" t="n">
        <f aca="false">MIN(IF(DATOS_[[#This Row],[Fecha Fin Contrato]]="",$D$4,DATOS_[[#This Row],[Fecha Fin Contrato]]),$D$4)-MAX(DATOS_[[#This Row],[Fecha de Contratación]],$D$3)+1</f>
        <v>1</v>
      </c>
      <c r="CI187" s="141" t="str">
        <f aca="false">IF(COUNTIFS(DATOS_[id],DATOS_[[#This Row],[id]])&gt;1,DATOS_[[#This Row],[id]],"")</f>
        <v/>
      </c>
      <c r="CJ187" s="141" t="n">
        <f aca="false">(Inicio!$G$10-DATOS_[[#This Row],[Fecha Nacimiento]])/365.25</f>
        <v>0</v>
      </c>
      <c r="CK187" s="141" t="n">
        <f aca="false">(Inicio!$G$10-DATOS_[[#This Row],[Fecha de Antigüedad]])/365.25</f>
        <v>0</v>
      </c>
      <c r="CL187" s="141" t="e">
        <f aca="false">+VLOOKUP(DATOS_[[#This Row],[Clave de Contrato]],TblTiposContrato13[],3,0)</f>
        <v>#N/A</v>
      </c>
      <c r="CM187" s="141" t="e">
        <f aca="false">+VLOOKUP(DATOS_[[#This Row],[Clave de Contrato]],TblTiposContrato13[],4,0)</f>
        <v>#N/A</v>
      </c>
      <c r="CN187" s="141" t="str">
        <f aca="false">VLOOKUP(DATOS_[[#This Row],[Edad]],CONTRATOS!TblRngEdad,2,1)</f>
        <v>20  o menos</v>
      </c>
      <c r="CO187" s="141" t="str">
        <f aca="false">VLOOKUP(DATOS_[[#This Row],[Antigüedad]],TblRngAntg14[],2,1)</f>
        <v>0 a 1 años</v>
      </c>
    </row>
    <row r="188" customFormat="false" ht="13.8" hidden="false" customHeight="false" outlineLevel="0" collapsed="false">
      <c r="D188" s="128"/>
      <c r="E188" s="129"/>
      <c r="F188" s="129"/>
      <c r="G188" s="129"/>
      <c r="H188" s="130"/>
      <c r="I188" s="131"/>
      <c r="J188" s="128"/>
      <c r="K188" s="132"/>
      <c r="L188" s="132"/>
      <c r="M188" s="133"/>
      <c r="N188" s="133"/>
      <c r="O188" s="133"/>
      <c r="P188" s="129"/>
      <c r="Z188" s="75"/>
      <c r="AA188" s="76"/>
      <c r="AB188" s="76"/>
      <c r="AC188" s="129"/>
      <c r="AD188" s="134"/>
      <c r="AE188" s="134"/>
      <c r="AF188" s="134"/>
      <c r="AG188" s="134"/>
      <c r="AH188" s="134"/>
      <c r="AI188" s="134"/>
      <c r="AJ188" s="134"/>
      <c r="AK188" s="134"/>
      <c r="AL188" s="134"/>
      <c r="AM188" s="134"/>
      <c r="AN188" s="134"/>
      <c r="AO188" s="134"/>
      <c r="AP188" s="134"/>
      <c r="AQ188" s="134"/>
      <c r="AR188" s="134"/>
      <c r="AS188" s="134"/>
      <c r="AT188" s="134"/>
      <c r="AU188" s="134"/>
      <c r="AV188" s="134"/>
      <c r="AW188" s="134"/>
      <c r="AX188" s="134"/>
      <c r="AY188" s="134"/>
      <c r="AZ188" s="134"/>
      <c r="BA188" s="134"/>
      <c r="BB188" s="134"/>
      <c r="BC188" s="134"/>
      <c r="BD188" s="134"/>
      <c r="BE188" s="134"/>
      <c r="BF188" s="134"/>
      <c r="BG188" s="134"/>
      <c r="BH188" s="134"/>
      <c r="BI188" s="134"/>
      <c r="BJ188" s="134"/>
      <c r="BK188" s="134"/>
      <c r="BL188" s="134"/>
      <c r="BM188" s="135"/>
      <c r="BN188" s="136" t="n">
        <f aca="false">+MAX($D$3,DATOS_[[#This Row],[Fecha Inicio Sit. Contract.]])</f>
        <v>0</v>
      </c>
      <c r="BO188" s="136" t="n">
        <f aca="false">+MIN($D$4,DATOS_[[#This Row],[Fecha Fin Sit. Contract.]])</f>
        <v>0</v>
      </c>
      <c r="BP188" s="137" t="n">
        <f aca="false">+DATOS_[[#This Row],[% de jornada]]*IF(DATOS_[[#This Row],[% jornada reducida]]="",1,DATOS_[[#This Row],[% jornada reducida]])</f>
        <v>0</v>
      </c>
      <c r="BQ188" s="137" t="n">
        <f aca="false">+(DATOS_[[#This Row],[F.fin.cal]]-DATOS_[[#This Row],[F.ini.cal]]+1)/($D$4-$D$3+1)</f>
        <v>1</v>
      </c>
      <c r="BR188" s="137" t="str">
        <f aca="false">IF(OR(AND(DATOS_[[#This Row],[Fecha Fin Contrato]]&lt;$D$3,DATOS_[[#This Row],[Fecha Fin Contrato]]&lt;&gt;""),DATOS_[[#This Row],[Fecha de Contratación]]&gt;$D$4),"Fuera","Dentro")</f>
        <v>Dentro</v>
      </c>
      <c r="BS188" s="137" t="str">
        <f aca="false" t="array" ref="BS188:BS188">IF(MAX(IF(DATOS_[id]=DATOS_[[#This Row],[id]],DATOS_[F.fin.cal]))=DATOS_[[#This Row],[F.fin.cal]],"Sí","NO")</f>
        <v>Sí</v>
      </c>
      <c r="BT188" s="137" t="str">
        <f aca="false">IF(AND(DATOS_[[#This Row],[% normaliz]]&lt;&gt;1,DATOS_[[#This Row],[% anualiz]]=1),"Sí","NO")</f>
        <v>Sí</v>
      </c>
      <c r="BU188" s="137" t="str">
        <f aca="false">IF(AND(DATOS_[[#This Row],[% normaliz]]=1,DATOS_[[#This Row],[% anualiz]]&lt;&gt;1),"Sí","NO")</f>
        <v>NO</v>
      </c>
      <c r="BV188" s="137" t="str">
        <f aca="false">IF(AND(DATOS_[[#This Row],[% normaliz]]&lt;&gt;1,DATOS_[[#This Row],[% anualiz]]&lt;&gt;1),"Sí","NO")</f>
        <v>NO</v>
      </c>
      <c r="BW188" s="137" t="str">
        <f aca="false">+IF(DATOS_[[#This Row],[% normaliz]]*DATOS_[[#This Row],[% anualiz]]=1,"NO","Sí")</f>
        <v>Sí</v>
      </c>
      <c r="BX188" s="138" t="e">
        <f aca="false">(DATOS_[[#This Row],[S.BASE]]*(1/DATOS_[[#This Row],[% normaliz]])*(1/DATOS_[[#This Row],[% anualiz]]))*IF(DATOS_[[#This Row],[Check Equiparado]]="Sí",1,0)</f>
        <v>#DIV/0!</v>
      </c>
      <c r="BY1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8" s="138" t="e">
        <f aca="false">+DATOS_[[#This Row],[SALARIO BASE Eq]]+DATOS_[[#This Row],[Tot COMPL.SAL Eq]]</f>
        <v>#DIV/0!</v>
      </c>
      <c r="CA188" s="138" t="e">
        <f aca="false" t="array" ref="CA188:CA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8" s="138" t="e">
        <f aca="false">+DATOS_[[#This Row],[TOTAL SALARIO Eq]]+DATOS_[[#This Row],[Tot Extrasalarial Eq]]</f>
        <v>#DIV/0!</v>
      </c>
      <c r="CC188" s="139" t="n">
        <f aca="false">DATOS_[[#This Row],[S.BASE]]</f>
        <v>0</v>
      </c>
      <c r="CD188" s="139" t="n">
        <f aca="false">+SUM(DATOS_[[#This Row],[Conc.Sal.01]:[Conc.Sal.30]])</f>
        <v>0</v>
      </c>
      <c r="CE188" s="139" t="n">
        <f aca="false">+DATOS_[[#This Row],[SALARIO BASE Ef]]+DATOS_[[#This Row],[Tot COMPL.SAL Ef]]</f>
        <v>0</v>
      </c>
      <c r="CF188" s="139" t="n">
        <f aca="false">+SUM(DATOS_[[#This Row],[C.Extra.01]:[C.Extra.05]])</f>
        <v>0</v>
      </c>
      <c r="CG188" s="139" t="n">
        <f aca="false">+DATOS_[[#This Row],[TOTAL SALARIO Ef]]+DATOS_[[#This Row],[Tot Extrasalarial Ef]]</f>
        <v>0</v>
      </c>
      <c r="CH188" s="140" t="n">
        <f aca="false">MIN(IF(DATOS_[[#This Row],[Fecha Fin Contrato]]="",$D$4,DATOS_[[#This Row],[Fecha Fin Contrato]]),$D$4)-MAX(DATOS_[[#This Row],[Fecha de Contratación]],$D$3)+1</f>
        <v>1</v>
      </c>
      <c r="CI188" s="141" t="str">
        <f aca="false">IF(COUNTIFS(DATOS_[id],DATOS_[[#This Row],[id]])&gt;1,DATOS_[[#This Row],[id]],"")</f>
        <v/>
      </c>
      <c r="CJ188" s="141" t="n">
        <f aca="false">(Inicio!$G$10-DATOS_[[#This Row],[Fecha Nacimiento]])/365.25</f>
        <v>0</v>
      </c>
      <c r="CK188" s="141" t="n">
        <f aca="false">(Inicio!$G$10-DATOS_[[#This Row],[Fecha de Antigüedad]])/365.25</f>
        <v>0</v>
      </c>
      <c r="CL188" s="141" t="e">
        <f aca="false">+VLOOKUP(DATOS_[[#This Row],[Clave de Contrato]],TblTiposContrato13[],3,0)</f>
        <v>#N/A</v>
      </c>
      <c r="CM188" s="141" t="e">
        <f aca="false">+VLOOKUP(DATOS_[[#This Row],[Clave de Contrato]],TblTiposContrato13[],4,0)</f>
        <v>#N/A</v>
      </c>
      <c r="CN188" s="141" t="str">
        <f aca="false">VLOOKUP(DATOS_[[#This Row],[Edad]],CONTRATOS!TblRngEdad,2,1)</f>
        <v>20  o menos</v>
      </c>
      <c r="CO188" s="141" t="str">
        <f aca="false">VLOOKUP(DATOS_[[#This Row],[Antigüedad]],TblRngAntg14[],2,1)</f>
        <v>0 a 1 años</v>
      </c>
    </row>
    <row r="189" customFormat="false" ht="13.8" hidden="false" customHeight="false" outlineLevel="0" collapsed="false">
      <c r="D189" s="128"/>
      <c r="E189" s="129"/>
      <c r="F189" s="129"/>
      <c r="G189" s="129"/>
      <c r="H189" s="130"/>
      <c r="I189" s="131"/>
      <c r="J189" s="128"/>
      <c r="K189" s="132"/>
      <c r="L189" s="132"/>
      <c r="M189" s="133"/>
      <c r="N189" s="133"/>
      <c r="O189" s="133"/>
      <c r="P189" s="129"/>
      <c r="Z189" s="75"/>
      <c r="AA189" s="76"/>
      <c r="AB189" s="76"/>
      <c r="AC189" s="129"/>
      <c r="AD189" s="134"/>
      <c r="AE189" s="134"/>
      <c r="AF189" s="134"/>
      <c r="AG189" s="134"/>
      <c r="AH189" s="134"/>
      <c r="AI189" s="134"/>
      <c r="AJ189" s="134"/>
      <c r="AK189" s="134"/>
      <c r="AL189" s="134"/>
      <c r="AM189" s="134"/>
      <c r="AN189" s="134"/>
      <c r="AO189" s="134"/>
      <c r="AP189" s="134"/>
      <c r="AQ189" s="134"/>
      <c r="AR189" s="134"/>
      <c r="AS189" s="134"/>
      <c r="AT189" s="134"/>
      <c r="AU189" s="134"/>
      <c r="AV189" s="134"/>
      <c r="AW189" s="134"/>
      <c r="AX189" s="134"/>
      <c r="AY189" s="134"/>
      <c r="AZ189" s="134"/>
      <c r="BA189" s="134"/>
      <c r="BB189" s="134"/>
      <c r="BC189" s="134"/>
      <c r="BD189" s="134"/>
      <c r="BE189" s="134"/>
      <c r="BF189" s="134"/>
      <c r="BG189" s="134"/>
      <c r="BH189" s="134"/>
      <c r="BI189" s="134"/>
      <c r="BJ189" s="134"/>
      <c r="BK189" s="134"/>
      <c r="BL189" s="134"/>
      <c r="BM189" s="135"/>
      <c r="BN189" s="136" t="n">
        <f aca="false">+MAX($D$3,DATOS_[[#This Row],[Fecha Inicio Sit. Contract.]])</f>
        <v>0</v>
      </c>
      <c r="BO189" s="136" t="n">
        <f aca="false">+MIN($D$4,DATOS_[[#This Row],[Fecha Fin Sit. Contract.]])</f>
        <v>0</v>
      </c>
      <c r="BP189" s="137" t="n">
        <f aca="false">+DATOS_[[#This Row],[% de jornada]]*IF(DATOS_[[#This Row],[% jornada reducida]]="",1,DATOS_[[#This Row],[% jornada reducida]])</f>
        <v>0</v>
      </c>
      <c r="BQ189" s="137" t="n">
        <f aca="false">+(DATOS_[[#This Row],[F.fin.cal]]-DATOS_[[#This Row],[F.ini.cal]]+1)/($D$4-$D$3+1)</f>
        <v>1</v>
      </c>
      <c r="BR189" s="137" t="str">
        <f aca="false">IF(OR(AND(DATOS_[[#This Row],[Fecha Fin Contrato]]&lt;$D$3,DATOS_[[#This Row],[Fecha Fin Contrato]]&lt;&gt;""),DATOS_[[#This Row],[Fecha de Contratación]]&gt;$D$4),"Fuera","Dentro")</f>
        <v>Dentro</v>
      </c>
      <c r="BS189" s="137" t="str">
        <f aca="false" t="array" ref="BS189:BS189">IF(MAX(IF(DATOS_[id]=DATOS_[[#This Row],[id]],DATOS_[F.fin.cal]))=DATOS_[[#This Row],[F.fin.cal]],"Sí","NO")</f>
        <v>Sí</v>
      </c>
      <c r="BT189" s="137" t="str">
        <f aca="false">IF(AND(DATOS_[[#This Row],[% normaliz]]&lt;&gt;1,DATOS_[[#This Row],[% anualiz]]=1),"Sí","NO")</f>
        <v>Sí</v>
      </c>
      <c r="BU189" s="137" t="str">
        <f aca="false">IF(AND(DATOS_[[#This Row],[% normaliz]]=1,DATOS_[[#This Row],[% anualiz]]&lt;&gt;1),"Sí","NO")</f>
        <v>NO</v>
      </c>
      <c r="BV189" s="137" t="str">
        <f aca="false">IF(AND(DATOS_[[#This Row],[% normaliz]]&lt;&gt;1,DATOS_[[#This Row],[% anualiz]]&lt;&gt;1),"Sí","NO")</f>
        <v>NO</v>
      </c>
      <c r="BW189" s="137" t="str">
        <f aca="false">+IF(DATOS_[[#This Row],[% normaliz]]*DATOS_[[#This Row],[% anualiz]]=1,"NO","Sí")</f>
        <v>Sí</v>
      </c>
      <c r="BX189" s="138" t="e">
        <f aca="false">(DATOS_[[#This Row],[S.BASE]]*(1/DATOS_[[#This Row],[% normaliz]])*(1/DATOS_[[#This Row],[% anualiz]]))*IF(DATOS_[[#This Row],[Check Equiparado]]="Sí",1,0)</f>
        <v>#DIV/0!</v>
      </c>
      <c r="BY1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9" s="138" t="e">
        <f aca="false">+DATOS_[[#This Row],[SALARIO BASE Eq]]+DATOS_[[#This Row],[Tot COMPL.SAL Eq]]</f>
        <v>#DIV/0!</v>
      </c>
      <c r="CA189" s="138" t="e">
        <f aca="false" t="array" ref="CA189:CA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9" s="138" t="e">
        <f aca="false">+DATOS_[[#This Row],[TOTAL SALARIO Eq]]+DATOS_[[#This Row],[Tot Extrasalarial Eq]]</f>
        <v>#DIV/0!</v>
      </c>
      <c r="CC189" s="139" t="n">
        <f aca="false">DATOS_[[#This Row],[S.BASE]]</f>
        <v>0</v>
      </c>
      <c r="CD189" s="139" t="n">
        <f aca="false">+SUM(DATOS_[[#This Row],[Conc.Sal.01]:[Conc.Sal.30]])</f>
        <v>0</v>
      </c>
      <c r="CE189" s="139" t="n">
        <f aca="false">+DATOS_[[#This Row],[SALARIO BASE Ef]]+DATOS_[[#This Row],[Tot COMPL.SAL Ef]]</f>
        <v>0</v>
      </c>
      <c r="CF189" s="139" t="n">
        <f aca="false">+SUM(DATOS_[[#This Row],[C.Extra.01]:[C.Extra.05]])</f>
        <v>0</v>
      </c>
      <c r="CG189" s="139" t="n">
        <f aca="false">+DATOS_[[#This Row],[TOTAL SALARIO Ef]]+DATOS_[[#This Row],[Tot Extrasalarial Ef]]</f>
        <v>0</v>
      </c>
      <c r="CH189" s="140" t="n">
        <f aca="false">MIN(IF(DATOS_[[#This Row],[Fecha Fin Contrato]]="",$D$4,DATOS_[[#This Row],[Fecha Fin Contrato]]),$D$4)-MAX(DATOS_[[#This Row],[Fecha de Contratación]],$D$3)+1</f>
        <v>1</v>
      </c>
      <c r="CI189" s="141" t="str">
        <f aca="false">IF(COUNTIFS(DATOS_[id],DATOS_[[#This Row],[id]])&gt;1,DATOS_[[#This Row],[id]],"")</f>
        <v/>
      </c>
      <c r="CJ189" s="141" t="n">
        <f aca="false">(Inicio!$G$10-DATOS_[[#This Row],[Fecha Nacimiento]])/365.25</f>
        <v>0</v>
      </c>
      <c r="CK189" s="141" t="n">
        <f aca="false">(Inicio!$G$10-DATOS_[[#This Row],[Fecha de Antigüedad]])/365.25</f>
        <v>0</v>
      </c>
      <c r="CL189" s="141" t="e">
        <f aca="false">+VLOOKUP(DATOS_[[#This Row],[Clave de Contrato]],TblTiposContrato13[],3,0)</f>
        <v>#N/A</v>
      </c>
      <c r="CM189" s="141" t="e">
        <f aca="false">+VLOOKUP(DATOS_[[#This Row],[Clave de Contrato]],TblTiposContrato13[],4,0)</f>
        <v>#N/A</v>
      </c>
      <c r="CN189" s="141" t="str">
        <f aca="false">VLOOKUP(DATOS_[[#This Row],[Edad]],CONTRATOS!TblRngEdad,2,1)</f>
        <v>20  o menos</v>
      </c>
      <c r="CO189" s="141" t="str">
        <f aca="false">VLOOKUP(DATOS_[[#This Row],[Antigüedad]],TblRngAntg14[],2,1)</f>
        <v>0 a 1 años</v>
      </c>
    </row>
    <row r="190" customFormat="false" ht="13.8" hidden="false" customHeight="false" outlineLevel="0" collapsed="false">
      <c r="D190" s="128"/>
      <c r="E190" s="129"/>
      <c r="F190" s="129"/>
      <c r="G190" s="129"/>
      <c r="H190" s="130"/>
      <c r="I190" s="131"/>
      <c r="J190" s="128"/>
      <c r="K190" s="132"/>
      <c r="L190" s="132"/>
      <c r="M190" s="133"/>
      <c r="N190" s="133"/>
      <c r="O190" s="133"/>
      <c r="P190" s="129"/>
      <c r="Z190" s="75"/>
      <c r="AA190" s="76"/>
      <c r="AB190" s="76"/>
      <c r="AC190" s="129"/>
      <c r="AD190" s="134"/>
      <c r="AE190" s="134"/>
      <c r="AF190" s="134"/>
      <c r="AG190" s="134"/>
      <c r="AH190" s="134"/>
      <c r="AI190" s="134"/>
      <c r="AJ190" s="134"/>
      <c r="AK190" s="134"/>
      <c r="AL190" s="134"/>
      <c r="AM190" s="134"/>
      <c r="AN190" s="134"/>
      <c r="AO190" s="134"/>
      <c r="AP190" s="134"/>
      <c r="AQ190" s="134"/>
      <c r="AR190" s="134"/>
      <c r="AS190" s="134"/>
      <c r="AT190" s="134"/>
      <c r="AU190" s="134"/>
      <c r="AV190" s="134"/>
      <c r="AW190" s="134"/>
      <c r="AX190" s="134"/>
      <c r="AY190" s="134"/>
      <c r="AZ190" s="134"/>
      <c r="BA190" s="134"/>
      <c r="BB190" s="134"/>
      <c r="BC190" s="134"/>
      <c r="BD190" s="134"/>
      <c r="BE190" s="134"/>
      <c r="BF190" s="134"/>
      <c r="BG190" s="134"/>
      <c r="BH190" s="134"/>
      <c r="BI190" s="134"/>
      <c r="BJ190" s="134"/>
      <c r="BK190" s="134"/>
      <c r="BL190" s="134"/>
      <c r="BM190" s="135"/>
      <c r="BN190" s="136" t="n">
        <f aca="false">+MAX($D$3,DATOS_[[#This Row],[Fecha Inicio Sit. Contract.]])</f>
        <v>0</v>
      </c>
      <c r="BO190" s="136" t="n">
        <f aca="false">+MIN($D$4,DATOS_[[#This Row],[Fecha Fin Sit. Contract.]])</f>
        <v>0</v>
      </c>
      <c r="BP190" s="137" t="n">
        <f aca="false">+DATOS_[[#This Row],[% de jornada]]*IF(DATOS_[[#This Row],[% jornada reducida]]="",1,DATOS_[[#This Row],[% jornada reducida]])</f>
        <v>0</v>
      </c>
      <c r="BQ190" s="137" t="n">
        <f aca="false">+(DATOS_[[#This Row],[F.fin.cal]]-DATOS_[[#This Row],[F.ini.cal]]+1)/($D$4-$D$3+1)</f>
        <v>1</v>
      </c>
      <c r="BR190" s="137" t="str">
        <f aca="false">IF(OR(AND(DATOS_[[#This Row],[Fecha Fin Contrato]]&lt;$D$3,DATOS_[[#This Row],[Fecha Fin Contrato]]&lt;&gt;""),DATOS_[[#This Row],[Fecha de Contratación]]&gt;$D$4),"Fuera","Dentro")</f>
        <v>Dentro</v>
      </c>
      <c r="BS190" s="137" t="str">
        <f aca="false" t="array" ref="BS190:BS190">IF(MAX(IF(DATOS_[id]=DATOS_[[#This Row],[id]],DATOS_[F.fin.cal]))=DATOS_[[#This Row],[F.fin.cal]],"Sí","NO")</f>
        <v>Sí</v>
      </c>
      <c r="BT190" s="137" t="str">
        <f aca="false">IF(AND(DATOS_[[#This Row],[% normaliz]]&lt;&gt;1,DATOS_[[#This Row],[% anualiz]]=1),"Sí","NO")</f>
        <v>Sí</v>
      </c>
      <c r="BU190" s="137" t="str">
        <f aca="false">IF(AND(DATOS_[[#This Row],[% normaliz]]=1,DATOS_[[#This Row],[% anualiz]]&lt;&gt;1),"Sí","NO")</f>
        <v>NO</v>
      </c>
      <c r="BV190" s="137" t="str">
        <f aca="false">IF(AND(DATOS_[[#This Row],[% normaliz]]&lt;&gt;1,DATOS_[[#This Row],[% anualiz]]&lt;&gt;1),"Sí","NO")</f>
        <v>NO</v>
      </c>
      <c r="BW190" s="137" t="str">
        <f aca="false">+IF(DATOS_[[#This Row],[% normaliz]]*DATOS_[[#This Row],[% anualiz]]=1,"NO","Sí")</f>
        <v>Sí</v>
      </c>
      <c r="BX190" s="138" t="e">
        <f aca="false">(DATOS_[[#This Row],[S.BASE]]*(1/DATOS_[[#This Row],[% normaliz]])*(1/DATOS_[[#This Row],[% anualiz]]))*IF(DATOS_[[#This Row],[Check Equiparado]]="Sí",1,0)</f>
        <v>#DIV/0!</v>
      </c>
      <c r="BY1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0" s="138" t="e">
        <f aca="false">+DATOS_[[#This Row],[SALARIO BASE Eq]]+DATOS_[[#This Row],[Tot COMPL.SAL Eq]]</f>
        <v>#DIV/0!</v>
      </c>
      <c r="CA190" s="138" t="e">
        <f aca="false" t="array" ref="CA190:CA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0" s="138" t="e">
        <f aca="false">+DATOS_[[#This Row],[TOTAL SALARIO Eq]]+DATOS_[[#This Row],[Tot Extrasalarial Eq]]</f>
        <v>#DIV/0!</v>
      </c>
      <c r="CC190" s="139" t="n">
        <f aca="false">DATOS_[[#This Row],[S.BASE]]</f>
        <v>0</v>
      </c>
      <c r="CD190" s="139" t="n">
        <f aca="false">+SUM(DATOS_[[#This Row],[Conc.Sal.01]:[Conc.Sal.30]])</f>
        <v>0</v>
      </c>
      <c r="CE190" s="139" t="n">
        <f aca="false">+DATOS_[[#This Row],[SALARIO BASE Ef]]+DATOS_[[#This Row],[Tot COMPL.SAL Ef]]</f>
        <v>0</v>
      </c>
      <c r="CF190" s="139" t="n">
        <f aca="false">+SUM(DATOS_[[#This Row],[C.Extra.01]:[C.Extra.05]])</f>
        <v>0</v>
      </c>
      <c r="CG190" s="139" t="n">
        <f aca="false">+DATOS_[[#This Row],[TOTAL SALARIO Ef]]+DATOS_[[#This Row],[Tot Extrasalarial Ef]]</f>
        <v>0</v>
      </c>
      <c r="CH190" s="140" t="n">
        <f aca="false">MIN(IF(DATOS_[[#This Row],[Fecha Fin Contrato]]="",$D$4,DATOS_[[#This Row],[Fecha Fin Contrato]]),$D$4)-MAX(DATOS_[[#This Row],[Fecha de Contratación]],$D$3)+1</f>
        <v>1</v>
      </c>
      <c r="CI190" s="141" t="str">
        <f aca="false">IF(COUNTIFS(DATOS_[id],DATOS_[[#This Row],[id]])&gt;1,DATOS_[[#This Row],[id]],"")</f>
        <v/>
      </c>
      <c r="CJ190" s="141" t="n">
        <f aca="false">(Inicio!$G$10-DATOS_[[#This Row],[Fecha Nacimiento]])/365.25</f>
        <v>0</v>
      </c>
      <c r="CK190" s="141" t="n">
        <f aca="false">(Inicio!$G$10-DATOS_[[#This Row],[Fecha de Antigüedad]])/365.25</f>
        <v>0</v>
      </c>
      <c r="CL190" s="141" t="e">
        <f aca="false">+VLOOKUP(DATOS_[[#This Row],[Clave de Contrato]],TblTiposContrato13[],3,0)</f>
        <v>#N/A</v>
      </c>
      <c r="CM190" s="141" t="e">
        <f aca="false">+VLOOKUP(DATOS_[[#This Row],[Clave de Contrato]],TblTiposContrato13[],4,0)</f>
        <v>#N/A</v>
      </c>
      <c r="CN190" s="141" t="str">
        <f aca="false">VLOOKUP(DATOS_[[#This Row],[Edad]],CONTRATOS!TblRngEdad,2,1)</f>
        <v>20  o menos</v>
      </c>
      <c r="CO190" s="141" t="str">
        <f aca="false">VLOOKUP(DATOS_[[#This Row],[Antigüedad]],TblRngAntg14[],2,1)</f>
        <v>0 a 1 años</v>
      </c>
    </row>
    <row r="191" customFormat="false" ht="13.8" hidden="false" customHeight="false" outlineLevel="0" collapsed="false">
      <c r="D191" s="128"/>
      <c r="E191" s="129"/>
      <c r="F191" s="129"/>
      <c r="G191" s="129"/>
      <c r="H191" s="130"/>
      <c r="I191" s="131"/>
      <c r="J191" s="128"/>
      <c r="K191" s="132"/>
      <c r="L191" s="132"/>
      <c r="M191" s="133"/>
      <c r="N191" s="133"/>
      <c r="O191" s="133"/>
      <c r="P191" s="129"/>
      <c r="Z191" s="75"/>
      <c r="AA191" s="76"/>
      <c r="AB191" s="76"/>
      <c r="AC191" s="129"/>
      <c r="AD191" s="134"/>
      <c r="AE191" s="134"/>
      <c r="AF191" s="134"/>
      <c r="AG191" s="134"/>
      <c r="AH191" s="134"/>
      <c r="AI191" s="134"/>
      <c r="AJ191" s="134"/>
      <c r="AK191" s="134"/>
      <c r="AL191" s="134"/>
      <c r="AM191" s="134"/>
      <c r="AN191" s="134"/>
      <c r="AO191" s="134"/>
      <c r="AP191" s="134"/>
      <c r="AQ191" s="134"/>
      <c r="AR191" s="134"/>
      <c r="AS191" s="134"/>
      <c r="AT191" s="134"/>
      <c r="AU191" s="134"/>
      <c r="AV191" s="134"/>
      <c r="AW191" s="134"/>
      <c r="AX191" s="134"/>
      <c r="AY191" s="134"/>
      <c r="AZ191" s="134"/>
      <c r="BA191" s="134"/>
      <c r="BB191" s="134"/>
      <c r="BC191" s="134"/>
      <c r="BD191" s="134"/>
      <c r="BE191" s="134"/>
      <c r="BF191" s="134"/>
      <c r="BG191" s="134"/>
      <c r="BH191" s="134"/>
      <c r="BI191" s="134"/>
      <c r="BJ191" s="134"/>
      <c r="BK191" s="134"/>
      <c r="BL191" s="134"/>
      <c r="BM191" s="135"/>
      <c r="BN191" s="136" t="n">
        <f aca="false">+MAX($D$3,DATOS_[[#This Row],[Fecha Inicio Sit. Contract.]])</f>
        <v>0</v>
      </c>
      <c r="BO191" s="136" t="n">
        <f aca="false">+MIN($D$4,DATOS_[[#This Row],[Fecha Fin Sit. Contract.]])</f>
        <v>0</v>
      </c>
      <c r="BP191" s="137" t="n">
        <f aca="false">+DATOS_[[#This Row],[% de jornada]]*IF(DATOS_[[#This Row],[% jornada reducida]]="",1,DATOS_[[#This Row],[% jornada reducida]])</f>
        <v>0</v>
      </c>
      <c r="BQ191" s="137" t="n">
        <f aca="false">+(DATOS_[[#This Row],[F.fin.cal]]-DATOS_[[#This Row],[F.ini.cal]]+1)/($D$4-$D$3+1)</f>
        <v>1</v>
      </c>
      <c r="BR191" s="137" t="str">
        <f aca="false">IF(OR(AND(DATOS_[[#This Row],[Fecha Fin Contrato]]&lt;$D$3,DATOS_[[#This Row],[Fecha Fin Contrato]]&lt;&gt;""),DATOS_[[#This Row],[Fecha de Contratación]]&gt;$D$4),"Fuera","Dentro")</f>
        <v>Dentro</v>
      </c>
      <c r="BS191" s="137" t="str">
        <f aca="false" t="array" ref="BS191:BS191">IF(MAX(IF(DATOS_[id]=DATOS_[[#This Row],[id]],DATOS_[F.fin.cal]))=DATOS_[[#This Row],[F.fin.cal]],"Sí","NO")</f>
        <v>Sí</v>
      </c>
      <c r="BT191" s="137" t="str">
        <f aca="false">IF(AND(DATOS_[[#This Row],[% normaliz]]&lt;&gt;1,DATOS_[[#This Row],[% anualiz]]=1),"Sí","NO")</f>
        <v>Sí</v>
      </c>
      <c r="BU191" s="137" t="str">
        <f aca="false">IF(AND(DATOS_[[#This Row],[% normaliz]]=1,DATOS_[[#This Row],[% anualiz]]&lt;&gt;1),"Sí","NO")</f>
        <v>NO</v>
      </c>
      <c r="BV191" s="137" t="str">
        <f aca="false">IF(AND(DATOS_[[#This Row],[% normaliz]]&lt;&gt;1,DATOS_[[#This Row],[% anualiz]]&lt;&gt;1),"Sí","NO")</f>
        <v>NO</v>
      </c>
      <c r="BW191" s="137" t="str">
        <f aca="false">+IF(DATOS_[[#This Row],[% normaliz]]*DATOS_[[#This Row],[% anualiz]]=1,"NO","Sí")</f>
        <v>Sí</v>
      </c>
      <c r="BX191" s="138" t="e">
        <f aca="false">(DATOS_[[#This Row],[S.BASE]]*(1/DATOS_[[#This Row],[% normaliz]])*(1/DATOS_[[#This Row],[% anualiz]]))*IF(DATOS_[[#This Row],[Check Equiparado]]="Sí",1,0)</f>
        <v>#DIV/0!</v>
      </c>
      <c r="BY1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1" s="138" t="e">
        <f aca="false">+DATOS_[[#This Row],[SALARIO BASE Eq]]+DATOS_[[#This Row],[Tot COMPL.SAL Eq]]</f>
        <v>#DIV/0!</v>
      </c>
      <c r="CA191" s="138" t="e">
        <f aca="false" t="array" ref="CA191:CA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1" s="138" t="e">
        <f aca="false">+DATOS_[[#This Row],[TOTAL SALARIO Eq]]+DATOS_[[#This Row],[Tot Extrasalarial Eq]]</f>
        <v>#DIV/0!</v>
      </c>
      <c r="CC191" s="139" t="n">
        <f aca="false">DATOS_[[#This Row],[S.BASE]]</f>
        <v>0</v>
      </c>
      <c r="CD191" s="139" t="n">
        <f aca="false">+SUM(DATOS_[[#This Row],[Conc.Sal.01]:[Conc.Sal.30]])</f>
        <v>0</v>
      </c>
      <c r="CE191" s="139" t="n">
        <f aca="false">+DATOS_[[#This Row],[SALARIO BASE Ef]]+DATOS_[[#This Row],[Tot COMPL.SAL Ef]]</f>
        <v>0</v>
      </c>
      <c r="CF191" s="139" t="n">
        <f aca="false">+SUM(DATOS_[[#This Row],[C.Extra.01]:[C.Extra.05]])</f>
        <v>0</v>
      </c>
      <c r="CG191" s="139" t="n">
        <f aca="false">+DATOS_[[#This Row],[TOTAL SALARIO Ef]]+DATOS_[[#This Row],[Tot Extrasalarial Ef]]</f>
        <v>0</v>
      </c>
      <c r="CH191" s="140" t="n">
        <f aca="false">MIN(IF(DATOS_[[#This Row],[Fecha Fin Contrato]]="",$D$4,DATOS_[[#This Row],[Fecha Fin Contrato]]),$D$4)-MAX(DATOS_[[#This Row],[Fecha de Contratación]],$D$3)+1</f>
        <v>1</v>
      </c>
      <c r="CI191" s="141" t="str">
        <f aca="false">IF(COUNTIFS(DATOS_[id],DATOS_[[#This Row],[id]])&gt;1,DATOS_[[#This Row],[id]],"")</f>
        <v/>
      </c>
      <c r="CJ191" s="141" t="n">
        <f aca="false">(Inicio!$G$10-DATOS_[[#This Row],[Fecha Nacimiento]])/365.25</f>
        <v>0</v>
      </c>
      <c r="CK191" s="141" t="n">
        <f aca="false">(Inicio!$G$10-DATOS_[[#This Row],[Fecha de Antigüedad]])/365.25</f>
        <v>0</v>
      </c>
      <c r="CL191" s="141" t="e">
        <f aca="false">+VLOOKUP(DATOS_[[#This Row],[Clave de Contrato]],TblTiposContrato13[],3,0)</f>
        <v>#N/A</v>
      </c>
      <c r="CM191" s="141" t="e">
        <f aca="false">+VLOOKUP(DATOS_[[#This Row],[Clave de Contrato]],TblTiposContrato13[],4,0)</f>
        <v>#N/A</v>
      </c>
      <c r="CN191" s="141" t="str">
        <f aca="false">VLOOKUP(DATOS_[[#This Row],[Edad]],CONTRATOS!TblRngEdad,2,1)</f>
        <v>20  o menos</v>
      </c>
      <c r="CO191" s="141" t="str">
        <f aca="false">VLOOKUP(DATOS_[[#This Row],[Antigüedad]],TblRngAntg14[],2,1)</f>
        <v>0 a 1 años</v>
      </c>
    </row>
    <row r="192" customFormat="false" ht="13.8" hidden="false" customHeight="false" outlineLevel="0" collapsed="false">
      <c r="D192" s="128"/>
      <c r="E192" s="129"/>
      <c r="F192" s="129"/>
      <c r="G192" s="129"/>
      <c r="H192" s="130"/>
      <c r="I192" s="131"/>
      <c r="J192" s="128"/>
      <c r="K192" s="132"/>
      <c r="L192" s="132"/>
      <c r="M192" s="133"/>
      <c r="N192" s="133"/>
      <c r="O192" s="133"/>
      <c r="P192" s="129"/>
      <c r="Z192" s="75"/>
      <c r="AA192" s="76"/>
      <c r="AB192" s="76"/>
      <c r="AC192" s="129"/>
      <c r="AD192" s="134"/>
      <c r="AE192" s="134"/>
      <c r="AF192" s="134"/>
      <c r="AG192" s="134"/>
      <c r="AH192" s="134"/>
      <c r="AI192" s="134"/>
      <c r="AJ192" s="134"/>
      <c r="AK192" s="134"/>
      <c r="AL192" s="134"/>
      <c r="AM192" s="134"/>
      <c r="AN192" s="134"/>
      <c r="AO192" s="134"/>
      <c r="AP192" s="134"/>
      <c r="AQ192" s="134"/>
      <c r="AR192" s="134"/>
      <c r="AS192" s="134"/>
      <c r="AT192" s="134"/>
      <c r="AU192" s="134"/>
      <c r="AV192" s="134"/>
      <c r="AW192" s="134"/>
      <c r="AX192" s="134"/>
      <c r="AY192" s="134"/>
      <c r="AZ192" s="134"/>
      <c r="BA192" s="134"/>
      <c r="BB192" s="134"/>
      <c r="BC192" s="134"/>
      <c r="BD192" s="134"/>
      <c r="BE192" s="134"/>
      <c r="BF192" s="134"/>
      <c r="BG192" s="134"/>
      <c r="BH192" s="134"/>
      <c r="BI192" s="134"/>
      <c r="BJ192" s="134"/>
      <c r="BK192" s="134"/>
      <c r="BL192" s="134"/>
      <c r="BM192" s="135"/>
      <c r="BN192" s="136" t="n">
        <f aca="false">+MAX($D$3,DATOS_[[#This Row],[Fecha Inicio Sit. Contract.]])</f>
        <v>0</v>
      </c>
      <c r="BO192" s="136" t="n">
        <f aca="false">+MIN($D$4,DATOS_[[#This Row],[Fecha Fin Sit. Contract.]])</f>
        <v>0</v>
      </c>
      <c r="BP192" s="137" t="n">
        <f aca="false">+DATOS_[[#This Row],[% de jornada]]*IF(DATOS_[[#This Row],[% jornada reducida]]="",1,DATOS_[[#This Row],[% jornada reducida]])</f>
        <v>0</v>
      </c>
      <c r="BQ192" s="137" t="n">
        <f aca="false">+(DATOS_[[#This Row],[F.fin.cal]]-DATOS_[[#This Row],[F.ini.cal]]+1)/($D$4-$D$3+1)</f>
        <v>1</v>
      </c>
      <c r="BR192" s="137" t="str">
        <f aca="false">IF(OR(AND(DATOS_[[#This Row],[Fecha Fin Contrato]]&lt;$D$3,DATOS_[[#This Row],[Fecha Fin Contrato]]&lt;&gt;""),DATOS_[[#This Row],[Fecha de Contratación]]&gt;$D$4),"Fuera","Dentro")</f>
        <v>Dentro</v>
      </c>
      <c r="BS192" s="137" t="str">
        <f aca="false" t="array" ref="BS192:BS192">IF(MAX(IF(DATOS_[id]=DATOS_[[#This Row],[id]],DATOS_[F.fin.cal]))=DATOS_[[#This Row],[F.fin.cal]],"Sí","NO")</f>
        <v>Sí</v>
      </c>
      <c r="BT192" s="137" t="str">
        <f aca="false">IF(AND(DATOS_[[#This Row],[% normaliz]]&lt;&gt;1,DATOS_[[#This Row],[% anualiz]]=1),"Sí","NO")</f>
        <v>Sí</v>
      </c>
      <c r="BU192" s="137" t="str">
        <f aca="false">IF(AND(DATOS_[[#This Row],[% normaliz]]=1,DATOS_[[#This Row],[% anualiz]]&lt;&gt;1),"Sí","NO")</f>
        <v>NO</v>
      </c>
      <c r="BV192" s="137" t="str">
        <f aca="false">IF(AND(DATOS_[[#This Row],[% normaliz]]&lt;&gt;1,DATOS_[[#This Row],[% anualiz]]&lt;&gt;1),"Sí","NO")</f>
        <v>NO</v>
      </c>
      <c r="BW192" s="137" t="str">
        <f aca="false">+IF(DATOS_[[#This Row],[% normaliz]]*DATOS_[[#This Row],[% anualiz]]=1,"NO","Sí")</f>
        <v>Sí</v>
      </c>
      <c r="BX192" s="138" t="e">
        <f aca="false">(DATOS_[[#This Row],[S.BASE]]*(1/DATOS_[[#This Row],[% normaliz]])*(1/DATOS_[[#This Row],[% anualiz]]))*IF(DATOS_[[#This Row],[Check Equiparado]]="Sí",1,0)</f>
        <v>#DIV/0!</v>
      </c>
      <c r="BY1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2" s="138" t="e">
        <f aca="false">+DATOS_[[#This Row],[SALARIO BASE Eq]]+DATOS_[[#This Row],[Tot COMPL.SAL Eq]]</f>
        <v>#DIV/0!</v>
      </c>
      <c r="CA192" s="138" t="e">
        <f aca="false" t="array" ref="CA192:CA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2" s="138" t="e">
        <f aca="false">+DATOS_[[#This Row],[TOTAL SALARIO Eq]]+DATOS_[[#This Row],[Tot Extrasalarial Eq]]</f>
        <v>#DIV/0!</v>
      </c>
      <c r="CC192" s="139" t="n">
        <f aca="false">DATOS_[[#This Row],[S.BASE]]</f>
        <v>0</v>
      </c>
      <c r="CD192" s="139" t="n">
        <f aca="false">+SUM(DATOS_[[#This Row],[Conc.Sal.01]:[Conc.Sal.30]])</f>
        <v>0</v>
      </c>
      <c r="CE192" s="139" t="n">
        <f aca="false">+DATOS_[[#This Row],[SALARIO BASE Ef]]+DATOS_[[#This Row],[Tot COMPL.SAL Ef]]</f>
        <v>0</v>
      </c>
      <c r="CF192" s="139" t="n">
        <f aca="false">+SUM(DATOS_[[#This Row],[C.Extra.01]:[C.Extra.05]])</f>
        <v>0</v>
      </c>
      <c r="CG192" s="139" t="n">
        <f aca="false">+DATOS_[[#This Row],[TOTAL SALARIO Ef]]+DATOS_[[#This Row],[Tot Extrasalarial Ef]]</f>
        <v>0</v>
      </c>
      <c r="CH192" s="140" t="n">
        <f aca="false">MIN(IF(DATOS_[[#This Row],[Fecha Fin Contrato]]="",$D$4,DATOS_[[#This Row],[Fecha Fin Contrato]]),$D$4)-MAX(DATOS_[[#This Row],[Fecha de Contratación]],$D$3)+1</f>
        <v>1</v>
      </c>
      <c r="CI192" s="141" t="str">
        <f aca="false">IF(COUNTIFS(DATOS_[id],DATOS_[[#This Row],[id]])&gt;1,DATOS_[[#This Row],[id]],"")</f>
        <v/>
      </c>
      <c r="CJ192" s="141" t="n">
        <f aca="false">(Inicio!$G$10-DATOS_[[#This Row],[Fecha Nacimiento]])/365.25</f>
        <v>0</v>
      </c>
      <c r="CK192" s="141" t="n">
        <f aca="false">(Inicio!$G$10-DATOS_[[#This Row],[Fecha de Antigüedad]])/365.25</f>
        <v>0</v>
      </c>
      <c r="CL192" s="141" t="e">
        <f aca="false">+VLOOKUP(DATOS_[[#This Row],[Clave de Contrato]],TblTiposContrato13[],3,0)</f>
        <v>#N/A</v>
      </c>
      <c r="CM192" s="141" t="e">
        <f aca="false">+VLOOKUP(DATOS_[[#This Row],[Clave de Contrato]],TblTiposContrato13[],4,0)</f>
        <v>#N/A</v>
      </c>
      <c r="CN192" s="141" t="str">
        <f aca="false">VLOOKUP(DATOS_[[#This Row],[Edad]],CONTRATOS!TblRngEdad,2,1)</f>
        <v>20  o menos</v>
      </c>
      <c r="CO192" s="141" t="str">
        <f aca="false">VLOOKUP(DATOS_[[#This Row],[Antigüedad]],TblRngAntg14[],2,1)</f>
        <v>0 a 1 años</v>
      </c>
    </row>
    <row r="193" customFormat="false" ht="13.8" hidden="false" customHeight="false" outlineLevel="0" collapsed="false">
      <c r="D193" s="128"/>
      <c r="E193" s="129"/>
      <c r="F193" s="129"/>
      <c r="G193" s="129"/>
      <c r="H193" s="130"/>
      <c r="I193" s="131"/>
      <c r="J193" s="128"/>
      <c r="K193" s="132"/>
      <c r="L193" s="132"/>
      <c r="M193" s="133"/>
      <c r="N193" s="133"/>
      <c r="O193" s="133"/>
      <c r="P193" s="129"/>
      <c r="Z193" s="75"/>
      <c r="AA193" s="76"/>
      <c r="AB193" s="76"/>
      <c r="AC193" s="129"/>
      <c r="AD193" s="134"/>
      <c r="AE193" s="134"/>
      <c r="AF193" s="134"/>
      <c r="AG193" s="134"/>
      <c r="AH193" s="134"/>
      <c r="AI193" s="134"/>
      <c r="AJ193" s="134"/>
      <c r="AK193" s="134"/>
      <c r="AL193" s="134"/>
      <c r="AM193" s="134"/>
      <c r="AN193" s="134"/>
      <c r="AO193" s="134"/>
      <c r="AP193" s="134"/>
      <c r="AQ193" s="134"/>
      <c r="AR193" s="134"/>
      <c r="AS193" s="134"/>
      <c r="AT193" s="134"/>
      <c r="AU193" s="134"/>
      <c r="AV193" s="134"/>
      <c r="AW193" s="134"/>
      <c r="AX193" s="134"/>
      <c r="AY193" s="134"/>
      <c r="AZ193" s="134"/>
      <c r="BA193" s="134"/>
      <c r="BB193" s="134"/>
      <c r="BC193" s="134"/>
      <c r="BD193" s="134"/>
      <c r="BE193" s="134"/>
      <c r="BF193" s="134"/>
      <c r="BG193" s="134"/>
      <c r="BH193" s="134"/>
      <c r="BI193" s="134"/>
      <c r="BJ193" s="134"/>
      <c r="BK193" s="134"/>
      <c r="BL193" s="134"/>
      <c r="BM193" s="135"/>
      <c r="BN193" s="136" t="n">
        <f aca="false">+MAX($D$3,DATOS_[[#This Row],[Fecha Inicio Sit. Contract.]])</f>
        <v>0</v>
      </c>
      <c r="BO193" s="136" t="n">
        <f aca="false">+MIN($D$4,DATOS_[[#This Row],[Fecha Fin Sit. Contract.]])</f>
        <v>0</v>
      </c>
      <c r="BP193" s="137" t="n">
        <f aca="false">+DATOS_[[#This Row],[% de jornada]]*IF(DATOS_[[#This Row],[% jornada reducida]]="",1,DATOS_[[#This Row],[% jornada reducida]])</f>
        <v>0</v>
      </c>
      <c r="BQ193" s="137" t="n">
        <f aca="false">+(DATOS_[[#This Row],[F.fin.cal]]-DATOS_[[#This Row],[F.ini.cal]]+1)/($D$4-$D$3+1)</f>
        <v>1</v>
      </c>
      <c r="BR193" s="137" t="str">
        <f aca="false">IF(OR(AND(DATOS_[[#This Row],[Fecha Fin Contrato]]&lt;$D$3,DATOS_[[#This Row],[Fecha Fin Contrato]]&lt;&gt;""),DATOS_[[#This Row],[Fecha de Contratación]]&gt;$D$4),"Fuera","Dentro")</f>
        <v>Dentro</v>
      </c>
      <c r="BS193" s="137" t="str">
        <f aca="false" t="array" ref="BS193:BS193">IF(MAX(IF(DATOS_[id]=DATOS_[[#This Row],[id]],DATOS_[F.fin.cal]))=DATOS_[[#This Row],[F.fin.cal]],"Sí","NO")</f>
        <v>Sí</v>
      </c>
      <c r="BT193" s="137" t="str">
        <f aca="false">IF(AND(DATOS_[[#This Row],[% normaliz]]&lt;&gt;1,DATOS_[[#This Row],[% anualiz]]=1),"Sí","NO")</f>
        <v>Sí</v>
      </c>
      <c r="BU193" s="137" t="str">
        <f aca="false">IF(AND(DATOS_[[#This Row],[% normaliz]]=1,DATOS_[[#This Row],[% anualiz]]&lt;&gt;1),"Sí","NO")</f>
        <v>NO</v>
      </c>
      <c r="BV193" s="137" t="str">
        <f aca="false">IF(AND(DATOS_[[#This Row],[% normaliz]]&lt;&gt;1,DATOS_[[#This Row],[% anualiz]]&lt;&gt;1),"Sí","NO")</f>
        <v>NO</v>
      </c>
      <c r="BW193" s="137" t="str">
        <f aca="false">+IF(DATOS_[[#This Row],[% normaliz]]*DATOS_[[#This Row],[% anualiz]]=1,"NO","Sí")</f>
        <v>Sí</v>
      </c>
      <c r="BX193" s="138" t="e">
        <f aca="false">(DATOS_[[#This Row],[S.BASE]]*(1/DATOS_[[#This Row],[% normaliz]])*(1/DATOS_[[#This Row],[% anualiz]]))*IF(DATOS_[[#This Row],[Check Equiparado]]="Sí",1,0)</f>
        <v>#DIV/0!</v>
      </c>
      <c r="BY1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3" s="138" t="e">
        <f aca="false">+DATOS_[[#This Row],[SALARIO BASE Eq]]+DATOS_[[#This Row],[Tot COMPL.SAL Eq]]</f>
        <v>#DIV/0!</v>
      </c>
      <c r="CA193" s="138" t="e">
        <f aca="false" t="array" ref="CA193:CA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3" s="138" t="e">
        <f aca="false">+DATOS_[[#This Row],[TOTAL SALARIO Eq]]+DATOS_[[#This Row],[Tot Extrasalarial Eq]]</f>
        <v>#DIV/0!</v>
      </c>
      <c r="CC193" s="139" t="n">
        <f aca="false">DATOS_[[#This Row],[S.BASE]]</f>
        <v>0</v>
      </c>
      <c r="CD193" s="139" t="n">
        <f aca="false">+SUM(DATOS_[[#This Row],[Conc.Sal.01]:[Conc.Sal.30]])</f>
        <v>0</v>
      </c>
      <c r="CE193" s="139" t="n">
        <f aca="false">+DATOS_[[#This Row],[SALARIO BASE Ef]]+DATOS_[[#This Row],[Tot COMPL.SAL Ef]]</f>
        <v>0</v>
      </c>
      <c r="CF193" s="139" t="n">
        <f aca="false">+SUM(DATOS_[[#This Row],[C.Extra.01]:[C.Extra.05]])</f>
        <v>0</v>
      </c>
      <c r="CG193" s="139" t="n">
        <f aca="false">+DATOS_[[#This Row],[TOTAL SALARIO Ef]]+DATOS_[[#This Row],[Tot Extrasalarial Ef]]</f>
        <v>0</v>
      </c>
      <c r="CH193" s="140" t="n">
        <f aca="false">MIN(IF(DATOS_[[#This Row],[Fecha Fin Contrato]]="",$D$4,DATOS_[[#This Row],[Fecha Fin Contrato]]),$D$4)-MAX(DATOS_[[#This Row],[Fecha de Contratación]],$D$3)+1</f>
        <v>1</v>
      </c>
      <c r="CI193" s="141" t="str">
        <f aca="false">IF(COUNTIFS(DATOS_[id],DATOS_[[#This Row],[id]])&gt;1,DATOS_[[#This Row],[id]],"")</f>
        <v/>
      </c>
      <c r="CJ193" s="141" t="n">
        <f aca="false">(Inicio!$G$10-DATOS_[[#This Row],[Fecha Nacimiento]])/365.25</f>
        <v>0</v>
      </c>
      <c r="CK193" s="141" t="n">
        <f aca="false">(Inicio!$G$10-DATOS_[[#This Row],[Fecha de Antigüedad]])/365.25</f>
        <v>0</v>
      </c>
      <c r="CL193" s="141" t="e">
        <f aca="false">+VLOOKUP(DATOS_[[#This Row],[Clave de Contrato]],TblTiposContrato13[],3,0)</f>
        <v>#N/A</v>
      </c>
      <c r="CM193" s="141" t="e">
        <f aca="false">+VLOOKUP(DATOS_[[#This Row],[Clave de Contrato]],TblTiposContrato13[],4,0)</f>
        <v>#N/A</v>
      </c>
      <c r="CN193" s="141" t="str">
        <f aca="false">VLOOKUP(DATOS_[[#This Row],[Edad]],CONTRATOS!TblRngEdad,2,1)</f>
        <v>20  o menos</v>
      </c>
      <c r="CO193" s="141" t="str">
        <f aca="false">VLOOKUP(DATOS_[[#This Row],[Antigüedad]],TblRngAntg14[],2,1)</f>
        <v>0 a 1 años</v>
      </c>
    </row>
    <row r="194" customFormat="false" ht="13.8" hidden="false" customHeight="false" outlineLevel="0" collapsed="false">
      <c r="D194" s="128"/>
      <c r="E194" s="129"/>
      <c r="F194" s="129"/>
      <c r="G194" s="129"/>
      <c r="H194" s="130"/>
      <c r="I194" s="131"/>
      <c r="J194" s="128"/>
      <c r="K194" s="132"/>
      <c r="L194" s="132"/>
      <c r="M194" s="133"/>
      <c r="N194" s="133"/>
      <c r="O194" s="133"/>
      <c r="P194" s="129"/>
      <c r="Z194" s="75"/>
      <c r="AA194" s="76"/>
      <c r="AB194" s="76"/>
      <c r="AC194" s="129"/>
      <c r="AD194" s="134"/>
      <c r="AE194" s="134"/>
      <c r="AF194" s="134"/>
      <c r="AG194" s="134"/>
      <c r="AH194" s="134"/>
      <c r="AI194" s="134"/>
      <c r="AJ194" s="134"/>
      <c r="AK194" s="134"/>
      <c r="AL194" s="134"/>
      <c r="AM194" s="134"/>
      <c r="AN194" s="134"/>
      <c r="AO194" s="134"/>
      <c r="AP194" s="134"/>
      <c r="AQ194" s="134"/>
      <c r="AR194" s="134"/>
      <c r="AS194" s="134"/>
      <c r="AT194" s="134"/>
      <c r="AU194" s="134"/>
      <c r="AV194" s="134"/>
      <c r="AW194" s="134"/>
      <c r="AX194" s="134"/>
      <c r="AY194" s="134"/>
      <c r="AZ194" s="134"/>
      <c r="BA194" s="134"/>
      <c r="BB194" s="134"/>
      <c r="BC194" s="134"/>
      <c r="BD194" s="134"/>
      <c r="BE194" s="134"/>
      <c r="BF194" s="134"/>
      <c r="BG194" s="134"/>
      <c r="BH194" s="134"/>
      <c r="BI194" s="134"/>
      <c r="BJ194" s="134"/>
      <c r="BK194" s="134"/>
      <c r="BL194" s="134"/>
      <c r="BM194" s="135"/>
      <c r="BN194" s="136" t="n">
        <f aca="false">+MAX($D$3,DATOS_[[#This Row],[Fecha Inicio Sit. Contract.]])</f>
        <v>0</v>
      </c>
      <c r="BO194" s="136" t="n">
        <f aca="false">+MIN($D$4,DATOS_[[#This Row],[Fecha Fin Sit. Contract.]])</f>
        <v>0</v>
      </c>
      <c r="BP194" s="137" t="n">
        <f aca="false">+DATOS_[[#This Row],[% de jornada]]*IF(DATOS_[[#This Row],[% jornada reducida]]="",1,DATOS_[[#This Row],[% jornada reducida]])</f>
        <v>0</v>
      </c>
      <c r="BQ194" s="137" t="n">
        <f aca="false">+(DATOS_[[#This Row],[F.fin.cal]]-DATOS_[[#This Row],[F.ini.cal]]+1)/($D$4-$D$3+1)</f>
        <v>1</v>
      </c>
      <c r="BR194" s="137" t="str">
        <f aca="false">IF(OR(AND(DATOS_[[#This Row],[Fecha Fin Contrato]]&lt;$D$3,DATOS_[[#This Row],[Fecha Fin Contrato]]&lt;&gt;""),DATOS_[[#This Row],[Fecha de Contratación]]&gt;$D$4),"Fuera","Dentro")</f>
        <v>Dentro</v>
      </c>
      <c r="BS194" s="137" t="str">
        <f aca="false" t="array" ref="BS194:BS194">IF(MAX(IF(DATOS_[id]=DATOS_[[#This Row],[id]],DATOS_[F.fin.cal]))=DATOS_[[#This Row],[F.fin.cal]],"Sí","NO")</f>
        <v>Sí</v>
      </c>
      <c r="BT194" s="137" t="str">
        <f aca="false">IF(AND(DATOS_[[#This Row],[% normaliz]]&lt;&gt;1,DATOS_[[#This Row],[% anualiz]]=1),"Sí","NO")</f>
        <v>Sí</v>
      </c>
      <c r="BU194" s="137" t="str">
        <f aca="false">IF(AND(DATOS_[[#This Row],[% normaliz]]=1,DATOS_[[#This Row],[% anualiz]]&lt;&gt;1),"Sí","NO")</f>
        <v>NO</v>
      </c>
      <c r="BV194" s="137" t="str">
        <f aca="false">IF(AND(DATOS_[[#This Row],[% normaliz]]&lt;&gt;1,DATOS_[[#This Row],[% anualiz]]&lt;&gt;1),"Sí","NO")</f>
        <v>NO</v>
      </c>
      <c r="BW194" s="137" t="str">
        <f aca="false">+IF(DATOS_[[#This Row],[% normaliz]]*DATOS_[[#This Row],[% anualiz]]=1,"NO","Sí")</f>
        <v>Sí</v>
      </c>
      <c r="BX194" s="138" t="e">
        <f aca="false">(DATOS_[[#This Row],[S.BASE]]*(1/DATOS_[[#This Row],[% normaliz]])*(1/DATOS_[[#This Row],[% anualiz]]))*IF(DATOS_[[#This Row],[Check Equiparado]]="Sí",1,0)</f>
        <v>#DIV/0!</v>
      </c>
      <c r="BY1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4" s="138" t="e">
        <f aca="false">+DATOS_[[#This Row],[SALARIO BASE Eq]]+DATOS_[[#This Row],[Tot COMPL.SAL Eq]]</f>
        <v>#DIV/0!</v>
      </c>
      <c r="CA194" s="138" t="e">
        <f aca="false" t="array" ref="CA194:CA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4" s="138" t="e">
        <f aca="false">+DATOS_[[#This Row],[TOTAL SALARIO Eq]]+DATOS_[[#This Row],[Tot Extrasalarial Eq]]</f>
        <v>#DIV/0!</v>
      </c>
      <c r="CC194" s="139" t="n">
        <f aca="false">DATOS_[[#This Row],[S.BASE]]</f>
        <v>0</v>
      </c>
      <c r="CD194" s="139" t="n">
        <f aca="false">+SUM(DATOS_[[#This Row],[Conc.Sal.01]:[Conc.Sal.30]])</f>
        <v>0</v>
      </c>
      <c r="CE194" s="139" t="n">
        <f aca="false">+DATOS_[[#This Row],[SALARIO BASE Ef]]+DATOS_[[#This Row],[Tot COMPL.SAL Ef]]</f>
        <v>0</v>
      </c>
      <c r="CF194" s="139" t="n">
        <f aca="false">+SUM(DATOS_[[#This Row],[C.Extra.01]:[C.Extra.05]])</f>
        <v>0</v>
      </c>
      <c r="CG194" s="139" t="n">
        <f aca="false">+DATOS_[[#This Row],[TOTAL SALARIO Ef]]+DATOS_[[#This Row],[Tot Extrasalarial Ef]]</f>
        <v>0</v>
      </c>
      <c r="CH194" s="140" t="n">
        <f aca="false">MIN(IF(DATOS_[[#This Row],[Fecha Fin Contrato]]="",$D$4,DATOS_[[#This Row],[Fecha Fin Contrato]]),$D$4)-MAX(DATOS_[[#This Row],[Fecha de Contratación]],$D$3)+1</f>
        <v>1</v>
      </c>
      <c r="CI194" s="141" t="str">
        <f aca="false">IF(COUNTIFS(DATOS_[id],DATOS_[[#This Row],[id]])&gt;1,DATOS_[[#This Row],[id]],"")</f>
        <v/>
      </c>
      <c r="CJ194" s="141" t="n">
        <f aca="false">(Inicio!$G$10-DATOS_[[#This Row],[Fecha Nacimiento]])/365.25</f>
        <v>0</v>
      </c>
      <c r="CK194" s="141" t="n">
        <f aca="false">(Inicio!$G$10-DATOS_[[#This Row],[Fecha de Antigüedad]])/365.25</f>
        <v>0</v>
      </c>
      <c r="CL194" s="141" t="e">
        <f aca="false">+VLOOKUP(DATOS_[[#This Row],[Clave de Contrato]],TblTiposContrato13[],3,0)</f>
        <v>#N/A</v>
      </c>
      <c r="CM194" s="141" t="e">
        <f aca="false">+VLOOKUP(DATOS_[[#This Row],[Clave de Contrato]],TblTiposContrato13[],4,0)</f>
        <v>#N/A</v>
      </c>
      <c r="CN194" s="141" t="str">
        <f aca="false">VLOOKUP(DATOS_[[#This Row],[Edad]],CONTRATOS!TblRngEdad,2,1)</f>
        <v>20  o menos</v>
      </c>
      <c r="CO194" s="141" t="str">
        <f aca="false">VLOOKUP(DATOS_[[#This Row],[Antigüedad]],TblRngAntg14[],2,1)</f>
        <v>0 a 1 años</v>
      </c>
    </row>
    <row r="195" customFormat="false" ht="13.8" hidden="false" customHeight="false" outlineLevel="0" collapsed="false">
      <c r="D195" s="128"/>
      <c r="E195" s="129"/>
      <c r="F195" s="129"/>
      <c r="G195" s="129"/>
      <c r="H195" s="130"/>
      <c r="I195" s="131"/>
      <c r="J195" s="128"/>
      <c r="K195" s="132"/>
      <c r="L195" s="132"/>
      <c r="M195" s="133"/>
      <c r="N195" s="133"/>
      <c r="O195" s="133"/>
      <c r="P195" s="129"/>
      <c r="Z195" s="75"/>
      <c r="AA195" s="76"/>
      <c r="AB195" s="76"/>
      <c r="AC195" s="129"/>
      <c r="AD195" s="134"/>
      <c r="AE195" s="134"/>
      <c r="AF195" s="134"/>
      <c r="AG195" s="134"/>
      <c r="AH195" s="134"/>
      <c r="AI195" s="134"/>
      <c r="AJ195" s="134"/>
      <c r="AK195" s="134"/>
      <c r="AL195" s="134"/>
      <c r="AM195" s="134"/>
      <c r="AN195" s="134"/>
      <c r="AO195" s="134"/>
      <c r="AP195" s="134"/>
      <c r="AQ195" s="134"/>
      <c r="AR195" s="134"/>
      <c r="AS195" s="134"/>
      <c r="AT195" s="134"/>
      <c r="AU195" s="134"/>
      <c r="AV195" s="134"/>
      <c r="AW195" s="134"/>
      <c r="AX195" s="134"/>
      <c r="AY195" s="134"/>
      <c r="AZ195" s="134"/>
      <c r="BA195" s="134"/>
      <c r="BB195" s="134"/>
      <c r="BC195" s="134"/>
      <c r="BD195" s="134"/>
      <c r="BE195" s="134"/>
      <c r="BF195" s="134"/>
      <c r="BG195" s="134"/>
      <c r="BH195" s="134"/>
      <c r="BI195" s="134"/>
      <c r="BJ195" s="134"/>
      <c r="BK195" s="134"/>
      <c r="BL195" s="134"/>
      <c r="BM195" s="135"/>
      <c r="BN195" s="136" t="n">
        <f aca="false">+MAX($D$3,DATOS_[[#This Row],[Fecha Inicio Sit. Contract.]])</f>
        <v>0</v>
      </c>
      <c r="BO195" s="136" t="n">
        <f aca="false">+MIN($D$4,DATOS_[[#This Row],[Fecha Fin Sit. Contract.]])</f>
        <v>0</v>
      </c>
      <c r="BP195" s="137" t="n">
        <f aca="false">+DATOS_[[#This Row],[% de jornada]]*IF(DATOS_[[#This Row],[% jornada reducida]]="",1,DATOS_[[#This Row],[% jornada reducida]])</f>
        <v>0</v>
      </c>
      <c r="BQ195" s="137" t="n">
        <f aca="false">+(DATOS_[[#This Row],[F.fin.cal]]-DATOS_[[#This Row],[F.ini.cal]]+1)/($D$4-$D$3+1)</f>
        <v>1</v>
      </c>
      <c r="BR195" s="137" t="str">
        <f aca="false">IF(OR(AND(DATOS_[[#This Row],[Fecha Fin Contrato]]&lt;$D$3,DATOS_[[#This Row],[Fecha Fin Contrato]]&lt;&gt;""),DATOS_[[#This Row],[Fecha de Contratación]]&gt;$D$4),"Fuera","Dentro")</f>
        <v>Dentro</v>
      </c>
      <c r="BS195" s="137" t="str">
        <f aca="false" t="array" ref="BS195:BS195">IF(MAX(IF(DATOS_[id]=DATOS_[[#This Row],[id]],DATOS_[F.fin.cal]))=DATOS_[[#This Row],[F.fin.cal]],"Sí","NO")</f>
        <v>Sí</v>
      </c>
      <c r="BT195" s="137" t="str">
        <f aca="false">IF(AND(DATOS_[[#This Row],[% normaliz]]&lt;&gt;1,DATOS_[[#This Row],[% anualiz]]=1),"Sí","NO")</f>
        <v>Sí</v>
      </c>
      <c r="BU195" s="137" t="str">
        <f aca="false">IF(AND(DATOS_[[#This Row],[% normaliz]]=1,DATOS_[[#This Row],[% anualiz]]&lt;&gt;1),"Sí","NO")</f>
        <v>NO</v>
      </c>
      <c r="BV195" s="137" t="str">
        <f aca="false">IF(AND(DATOS_[[#This Row],[% normaliz]]&lt;&gt;1,DATOS_[[#This Row],[% anualiz]]&lt;&gt;1),"Sí","NO")</f>
        <v>NO</v>
      </c>
      <c r="BW195" s="137" t="str">
        <f aca="false">+IF(DATOS_[[#This Row],[% normaliz]]*DATOS_[[#This Row],[% anualiz]]=1,"NO","Sí")</f>
        <v>Sí</v>
      </c>
      <c r="BX195" s="138" t="e">
        <f aca="false">(DATOS_[[#This Row],[S.BASE]]*(1/DATOS_[[#This Row],[% normaliz]])*(1/DATOS_[[#This Row],[% anualiz]]))*IF(DATOS_[[#This Row],[Check Equiparado]]="Sí",1,0)</f>
        <v>#DIV/0!</v>
      </c>
      <c r="BY1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5" s="138" t="e">
        <f aca="false">+DATOS_[[#This Row],[SALARIO BASE Eq]]+DATOS_[[#This Row],[Tot COMPL.SAL Eq]]</f>
        <v>#DIV/0!</v>
      </c>
      <c r="CA195" s="138" t="e">
        <f aca="false" t="array" ref="CA195:CA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5" s="138" t="e">
        <f aca="false">+DATOS_[[#This Row],[TOTAL SALARIO Eq]]+DATOS_[[#This Row],[Tot Extrasalarial Eq]]</f>
        <v>#DIV/0!</v>
      </c>
      <c r="CC195" s="139" t="n">
        <f aca="false">DATOS_[[#This Row],[S.BASE]]</f>
        <v>0</v>
      </c>
      <c r="CD195" s="139" t="n">
        <f aca="false">+SUM(DATOS_[[#This Row],[Conc.Sal.01]:[Conc.Sal.30]])</f>
        <v>0</v>
      </c>
      <c r="CE195" s="139" t="n">
        <f aca="false">+DATOS_[[#This Row],[SALARIO BASE Ef]]+DATOS_[[#This Row],[Tot COMPL.SAL Ef]]</f>
        <v>0</v>
      </c>
      <c r="CF195" s="139" t="n">
        <f aca="false">+SUM(DATOS_[[#This Row],[C.Extra.01]:[C.Extra.05]])</f>
        <v>0</v>
      </c>
      <c r="CG195" s="139" t="n">
        <f aca="false">+DATOS_[[#This Row],[TOTAL SALARIO Ef]]+DATOS_[[#This Row],[Tot Extrasalarial Ef]]</f>
        <v>0</v>
      </c>
      <c r="CH195" s="140" t="n">
        <f aca="false">MIN(IF(DATOS_[[#This Row],[Fecha Fin Contrato]]="",$D$4,DATOS_[[#This Row],[Fecha Fin Contrato]]),$D$4)-MAX(DATOS_[[#This Row],[Fecha de Contratación]],$D$3)+1</f>
        <v>1</v>
      </c>
      <c r="CI195" s="141" t="str">
        <f aca="false">IF(COUNTIFS(DATOS_[id],DATOS_[[#This Row],[id]])&gt;1,DATOS_[[#This Row],[id]],"")</f>
        <v/>
      </c>
      <c r="CJ195" s="141" t="n">
        <f aca="false">(Inicio!$G$10-DATOS_[[#This Row],[Fecha Nacimiento]])/365.25</f>
        <v>0</v>
      </c>
      <c r="CK195" s="141" t="n">
        <f aca="false">(Inicio!$G$10-DATOS_[[#This Row],[Fecha de Antigüedad]])/365.25</f>
        <v>0</v>
      </c>
      <c r="CL195" s="141" t="e">
        <f aca="false">+VLOOKUP(DATOS_[[#This Row],[Clave de Contrato]],TblTiposContrato13[],3,0)</f>
        <v>#N/A</v>
      </c>
      <c r="CM195" s="141" t="e">
        <f aca="false">+VLOOKUP(DATOS_[[#This Row],[Clave de Contrato]],TblTiposContrato13[],4,0)</f>
        <v>#N/A</v>
      </c>
      <c r="CN195" s="141" t="str">
        <f aca="false">VLOOKUP(DATOS_[[#This Row],[Edad]],CONTRATOS!TblRngEdad,2,1)</f>
        <v>20  o menos</v>
      </c>
      <c r="CO195" s="141" t="str">
        <f aca="false">VLOOKUP(DATOS_[[#This Row],[Antigüedad]],TblRngAntg14[],2,1)</f>
        <v>0 a 1 años</v>
      </c>
    </row>
    <row r="196" customFormat="false" ht="13.8" hidden="false" customHeight="false" outlineLevel="0" collapsed="false">
      <c r="D196" s="128"/>
      <c r="E196" s="129"/>
      <c r="F196" s="129"/>
      <c r="G196" s="129"/>
      <c r="H196" s="130"/>
      <c r="I196" s="131"/>
      <c r="J196" s="128"/>
      <c r="K196" s="132"/>
      <c r="L196" s="132"/>
      <c r="M196" s="133"/>
      <c r="N196" s="133"/>
      <c r="O196" s="133"/>
      <c r="P196" s="129"/>
      <c r="Z196" s="75"/>
      <c r="AA196" s="76"/>
      <c r="AB196" s="76"/>
      <c r="AC196" s="129"/>
      <c r="AD196" s="134"/>
      <c r="AE196" s="134"/>
      <c r="AF196" s="134"/>
      <c r="AG196" s="134"/>
      <c r="AH196" s="134"/>
      <c r="AI196" s="134"/>
      <c r="AJ196" s="134"/>
      <c r="AK196" s="134"/>
      <c r="AL196" s="134"/>
      <c r="AM196" s="134"/>
      <c r="AN196" s="134"/>
      <c r="AO196" s="134"/>
      <c r="AP196" s="134"/>
      <c r="AQ196" s="134"/>
      <c r="AR196" s="134"/>
      <c r="AS196" s="134"/>
      <c r="AT196" s="134"/>
      <c r="AU196" s="134"/>
      <c r="AV196" s="134"/>
      <c r="AW196" s="134"/>
      <c r="AX196" s="134"/>
      <c r="AY196" s="134"/>
      <c r="AZ196" s="134"/>
      <c r="BA196" s="134"/>
      <c r="BB196" s="134"/>
      <c r="BC196" s="134"/>
      <c r="BD196" s="134"/>
      <c r="BE196" s="134"/>
      <c r="BF196" s="134"/>
      <c r="BG196" s="134"/>
      <c r="BH196" s="134"/>
      <c r="BI196" s="134"/>
      <c r="BJ196" s="134"/>
      <c r="BK196" s="134"/>
      <c r="BL196" s="134"/>
      <c r="BM196" s="135"/>
      <c r="BN196" s="136" t="n">
        <f aca="false">+MAX($D$3,DATOS_[[#This Row],[Fecha Inicio Sit. Contract.]])</f>
        <v>0</v>
      </c>
      <c r="BO196" s="136" t="n">
        <f aca="false">+MIN($D$4,DATOS_[[#This Row],[Fecha Fin Sit. Contract.]])</f>
        <v>0</v>
      </c>
      <c r="BP196" s="137" t="n">
        <f aca="false">+DATOS_[[#This Row],[% de jornada]]*IF(DATOS_[[#This Row],[% jornada reducida]]="",1,DATOS_[[#This Row],[% jornada reducida]])</f>
        <v>0</v>
      </c>
      <c r="BQ196" s="137" t="n">
        <f aca="false">+(DATOS_[[#This Row],[F.fin.cal]]-DATOS_[[#This Row],[F.ini.cal]]+1)/($D$4-$D$3+1)</f>
        <v>1</v>
      </c>
      <c r="BR196" s="137" t="str">
        <f aca="false">IF(OR(AND(DATOS_[[#This Row],[Fecha Fin Contrato]]&lt;$D$3,DATOS_[[#This Row],[Fecha Fin Contrato]]&lt;&gt;""),DATOS_[[#This Row],[Fecha de Contratación]]&gt;$D$4),"Fuera","Dentro")</f>
        <v>Dentro</v>
      </c>
      <c r="BS196" s="137" t="str">
        <f aca="false" t="array" ref="BS196:BS196">IF(MAX(IF(DATOS_[id]=DATOS_[[#This Row],[id]],DATOS_[F.fin.cal]))=DATOS_[[#This Row],[F.fin.cal]],"Sí","NO")</f>
        <v>Sí</v>
      </c>
      <c r="BT196" s="137" t="str">
        <f aca="false">IF(AND(DATOS_[[#This Row],[% normaliz]]&lt;&gt;1,DATOS_[[#This Row],[% anualiz]]=1),"Sí","NO")</f>
        <v>Sí</v>
      </c>
      <c r="BU196" s="137" t="str">
        <f aca="false">IF(AND(DATOS_[[#This Row],[% normaliz]]=1,DATOS_[[#This Row],[% anualiz]]&lt;&gt;1),"Sí","NO")</f>
        <v>NO</v>
      </c>
      <c r="BV196" s="137" t="str">
        <f aca="false">IF(AND(DATOS_[[#This Row],[% normaliz]]&lt;&gt;1,DATOS_[[#This Row],[% anualiz]]&lt;&gt;1),"Sí","NO")</f>
        <v>NO</v>
      </c>
      <c r="BW196" s="137" t="str">
        <f aca="false">+IF(DATOS_[[#This Row],[% normaliz]]*DATOS_[[#This Row],[% anualiz]]=1,"NO","Sí")</f>
        <v>Sí</v>
      </c>
      <c r="BX196" s="138" t="e">
        <f aca="false">(DATOS_[[#This Row],[S.BASE]]*(1/DATOS_[[#This Row],[% normaliz]])*(1/DATOS_[[#This Row],[% anualiz]]))*IF(DATOS_[[#This Row],[Check Equiparado]]="Sí",1,0)</f>
        <v>#DIV/0!</v>
      </c>
      <c r="BY1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6" s="138" t="e">
        <f aca="false">+DATOS_[[#This Row],[SALARIO BASE Eq]]+DATOS_[[#This Row],[Tot COMPL.SAL Eq]]</f>
        <v>#DIV/0!</v>
      </c>
      <c r="CA196" s="138" t="e">
        <f aca="false" t="array" ref="CA196:CA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6" s="138" t="e">
        <f aca="false">+DATOS_[[#This Row],[TOTAL SALARIO Eq]]+DATOS_[[#This Row],[Tot Extrasalarial Eq]]</f>
        <v>#DIV/0!</v>
      </c>
      <c r="CC196" s="139" t="n">
        <f aca="false">DATOS_[[#This Row],[S.BASE]]</f>
        <v>0</v>
      </c>
      <c r="CD196" s="139" t="n">
        <f aca="false">+SUM(DATOS_[[#This Row],[Conc.Sal.01]:[Conc.Sal.30]])</f>
        <v>0</v>
      </c>
      <c r="CE196" s="139" t="n">
        <f aca="false">+DATOS_[[#This Row],[SALARIO BASE Ef]]+DATOS_[[#This Row],[Tot COMPL.SAL Ef]]</f>
        <v>0</v>
      </c>
      <c r="CF196" s="139" t="n">
        <f aca="false">+SUM(DATOS_[[#This Row],[C.Extra.01]:[C.Extra.05]])</f>
        <v>0</v>
      </c>
      <c r="CG196" s="139" t="n">
        <f aca="false">+DATOS_[[#This Row],[TOTAL SALARIO Ef]]+DATOS_[[#This Row],[Tot Extrasalarial Ef]]</f>
        <v>0</v>
      </c>
      <c r="CH196" s="140" t="n">
        <f aca="false">MIN(IF(DATOS_[[#This Row],[Fecha Fin Contrato]]="",$D$4,DATOS_[[#This Row],[Fecha Fin Contrato]]),$D$4)-MAX(DATOS_[[#This Row],[Fecha de Contratación]],$D$3)+1</f>
        <v>1</v>
      </c>
      <c r="CI196" s="141" t="str">
        <f aca="false">IF(COUNTIFS(DATOS_[id],DATOS_[[#This Row],[id]])&gt;1,DATOS_[[#This Row],[id]],"")</f>
        <v/>
      </c>
      <c r="CJ196" s="141" t="n">
        <f aca="false">(Inicio!$G$10-DATOS_[[#This Row],[Fecha Nacimiento]])/365.25</f>
        <v>0</v>
      </c>
      <c r="CK196" s="141" t="n">
        <f aca="false">(Inicio!$G$10-DATOS_[[#This Row],[Fecha de Antigüedad]])/365.25</f>
        <v>0</v>
      </c>
      <c r="CL196" s="141" t="e">
        <f aca="false">+VLOOKUP(DATOS_[[#This Row],[Clave de Contrato]],TblTiposContrato13[],3,0)</f>
        <v>#N/A</v>
      </c>
      <c r="CM196" s="141" t="e">
        <f aca="false">+VLOOKUP(DATOS_[[#This Row],[Clave de Contrato]],TblTiposContrato13[],4,0)</f>
        <v>#N/A</v>
      </c>
      <c r="CN196" s="141" t="str">
        <f aca="false">VLOOKUP(DATOS_[[#This Row],[Edad]],CONTRATOS!TblRngEdad,2,1)</f>
        <v>20  o menos</v>
      </c>
      <c r="CO196" s="141" t="str">
        <f aca="false">VLOOKUP(DATOS_[[#This Row],[Antigüedad]],TblRngAntg14[],2,1)</f>
        <v>0 a 1 años</v>
      </c>
    </row>
    <row r="197" customFormat="false" ht="13.8" hidden="false" customHeight="false" outlineLevel="0" collapsed="false">
      <c r="D197" s="128"/>
      <c r="E197" s="129"/>
      <c r="F197" s="129"/>
      <c r="G197" s="129"/>
      <c r="H197" s="130"/>
      <c r="I197" s="131"/>
      <c r="J197" s="128"/>
      <c r="K197" s="132"/>
      <c r="L197" s="132"/>
      <c r="M197" s="133"/>
      <c r="N197" s="133"/>
      <c r="O197" s="133"/>
      <c r="P197" s="129"/>
      <c r="Z197" s="75"/>
      <c r="AA197" s="76"/>
      <c r="AB197" s="76"/>
      <c r="AC197" s="129"/>
      <c r="AD197" s="134"/>
      <c r="AE197" s="134"/>
      <c r="AF197" s="134"/>
      <c r="AG197" s="134"/>
      <c r="AH197" s="134"/>
      <c r="AI197" s="134"/>
      <c r="AJ197" s="134"/>
      <c r="AK197" s="134"/>
      <c r="AL197" s="134"/>
      <c r="AM197" s="134"/>
      <c r="AN197" s="134"/>
      <c r="AO197" s="134"/>
      <c r="AP197" s="134"/>
      <c r="AQ197" s="134"/>
      <c r="AR197" s="134"/>
      <c r="AS197" s="134"/>
      <c r="AT197" s="134"/>
      <c r="AU197" s="134"/>
      <c r="AV197" s="134"/>
      <c r="AW197" s="134"/>
      <c r="AX197" s="134"/>
      <c r="AY197" s="134"/>
      <c r="AZ197" s="134"/>
      <c r="BA197" s="134"/>
      <c r="BB197" s="134"/>
      <c r="BC197" s="134"/>
      <c r="BD197" s="134"/>
      <c r="BE197" s="134"/>
      <c r="BF197" s="134"/>
      <c r="BG197" s="134"/>
      <c r="BH197" s="134"/>
      <c r="BI197" s="134"/>
      <c r="BJ197" s="134"/>
      <c r="BK197" s="134"/>
      <c r="BL197" s="134"/>
      <c r="BM197" s="135"/>
      <c r="BN197" s="136" t="n">
        <f aca="false">+MAX($D$3,DATOS_[[#This Row],[Fecha Inicio Sit. Contract.]])</f>
        <v>0</v>
      </c>
      <c r="BO197" s="136" t="n">
        <f aca="false">+MIN($D$4,DATOS_[[#This Row],[Fecha Fin Sit. Contract.]])</f>
        <v>0</v>
      </c>
      <c r="BP197" s="137" t="n">
        <f aca="false">+DATOS_[[#This Row],[% de jornada]]*IF(DATOS_[[#This Row],[% jornada reducida]]="",1,DATOS_[[#This Row],[% jornada reducida]])</f>
        <v>0</v>
      </c>
      <c r="BQ197" s="137" t="n">
        <f aca="false">+(DATOS_[[#This Row],[F.fin.cal]]-DATOS_[[#This Row],[F.ini.cal]]+1)/($D$4-$D$3+1)</f>
        <v>1</v>
      </c>
      <c r="BR197" s="137" t="str">
        <f aca="false">IF(OR(AND(DATOS_[[#This Row],[Fecha Fin Contrato]]&lt;$D$3,DATOS_[[#This Row],[Fecha Fin Contrato]]&lt;&gt;""),DATOS_[[#This Row],[Fecha de Contratación]]&gt;$D$4),"Fuera","Dentro")</f>
        <v>Dentro</v>
      </c>
      <c r="BS197" s="137" t="str">
        <f aca="false" t="array" ref="BS197:BS197">IF(MAX(IF(DATOS_[id]=DATOS_[[#This Row],[id]],DATOS_[F.fin.cal]))=DATOS_[[#This Row],[F.fin.cal]],"Sí","NO")</f>
        <v>Sí</v>
      </c>
      <c r="BT197" s="137" t="str">
        <f aca="false">IF(AND(DATOS_[[#This Row],[% normaliz]]&lt;&gt;1,DATOS_[[#This Row],[% anualiz]]=1),"Sí","NO")</f>
        <v>Sí</v>
      </c>
      <c r="BU197" s="137" t="str">
        <f aca="false">IF(AND(DATOS_[[#This Row],[% normaliz]]=1,DATOS_[[#This Row],[% anualiz]]&lt;&gt;1),"Sí","NO")</f>
        <v>NO</v>
      </c>
      <c r="BV197" s="137" t="str">
        <f aca="false">IF(AND(DATOS_[[#This Row],[% normaliz]]&lt;&gt;1,DATOS_[[#This Row],[% anualiz]]&lt;&gt;1),"Sí","NO")</f>
        <v>NO</v>
      </c>
      <c r="BW197" s="137" t="str">
        <f aca="false">+IF(DATOS_[[#This Row],[% normaliz]]*DATOS_[[#This Row],[% anualiz]]=1,"NO","Sí")</f>
        <v>Sí</v>
      </c>
      <c r="BX197" s="138" t="e">
        <f aca="false">(DATOS_[[#This Row],[S.BASE]]*(1/DATOS_[[#This Row],[% normaliz]])*(1/DATOS_[[#This Row],[% anualiz]]))*IF(DATOS_[[#This Row],[Check Equiparado]]="Sí",1,0)</f>
        <v>#DIV/0!</v>
      </c>
      <c r="BY1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7" s="138" t="e">
        <f aca="false">+DATOS_[[#This Row],[SALARIO BASE Eq]]+DATOS_[[#This Row],[Tot COMPL.SAL Eq]]</f>
        <v>#DIV/0!</v>
      </c>
      <c r="CA197" s="138" t="e">
        <f aca="false" t="array" ref="CA197:CA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7" s="138" t="e">
        <f aca="false">+DATOS_[[#This Row],[TOTAL SALARIO Eq]]+DATOS_[[#This Row],[Tot Extrasalarial Eq]]</f>
        <v>#DIV/0!</v>
      </c>
      <c r="CC197" s="139" t="n">
        <f aca="false">DATOS_[[#This Row],[S.BASE]]</f>
        <v>0</v>
      </c>
      <c r="CD197" s="139" t="n">
        <f aca="false">+SUM(DATOS_[[#This Row],[Conc.Sal.01]:[Conc.Sal.30]])</f>
        <v>0</v>
      </c>
      <c r="CE197" s="139" t="n">
        <f aca="false">+DATOS_[[#This Row],[SALARIO BASE Ef]]+DATOS_[[#This Row],[Tot COMPL.SAL Ef]]</f>
        <v>0</v>
      </c>
      <c r="CF197" s="139" t="n">
        <f aca="false">+SUM(DATOS_[[#This Row],[C.Extra.01]:[C.Extra.05]])</f>
        <v>0</v>
      </c>
      <c r="CG197" s="139" t="n">
        <f aca="false">+DATOS_[[#This Row],[TOTAL SALARIO Ef]]+DATOS_[[#This Row],[Tot Extrasalarial Ef]]</f>
        <v>0</v>
      </c>
      <c r="CH197" s="140" t="n">
        <f aca="false">MIN(IF(DATOS_[[#This Row],[Fecha Fin Contrato]]="",$D$4,DATOS_[[#This Row],[Fecha Fin Contrato]]),$D$4)-MAX(DATOS_[[#This Row],[Fecha de Contratación]],$D$3)+1</f>
        <v>1</v>
      </c>
      <c r="CI197" s="141" t="str">
        <f aca="false">IF(COUNTIFS(DATOS_[id],DATOS_[[#This Row],[id]])&gt;1,DATOS_[[#This Row],[id]],"")</f>
        <v/>
      </c>
      <c r="CJ197" s="141" t="n">
        <f aca="false">(Inicio!$G$10-DATOS_[[#This Row],[Fecha Nacimiento]])/365.25</f>
        <v>0</v>
      </c>
      <c r="CK197" s="141" t="n">
        <f aca="false">(Inicio!$G$10-DATOS_[[#This Row],[Fecha de Antigüedad]])/365.25</f>
        <v>0</v>
      </c>
      <c r="CL197" s="141" t="e">
        <f aca="false">+VLOOKUP(DATOS_[[#This Row],[Clave de Contrato]],TblTiposContrato13[],3,0)</f>
        <v>#N/A</v>
      </c>
      <c r="CM197" s="141" t="e">
        <f aca="false">+VLOOKUP(DATOS_[[#This Row],[Clave de Contrato]],TblTiposContrato13[],4,0)</f>
        <v>#N/A</v>
      </c>
      <c r="CN197" s="141" t="str">
        <f aca="false">VLOOKUP(DATOS_[[#This Row],[Edad]],CONTRATOS!TblRngEdad,2,1)</f>
        <v>20  o menos</v>
      </c>
      <c r="CO197" s="141" t="str">
        <f aca="false">VLOOKUP(DATOS_[[#This Row],[Antigüedad]],TblRngAntg14[],2,1)</f>
        <v>0 a 1 años</v>
      </c>
    </row>
    <row r="198" customFormat="false" ht="13.8" hidden="false" customHeight="false" outlineLevel="0" collapsed="false">
      <c r="D198" s="128"/>
      <c r="E198" s="129"/>
      <c r="F198" s="129"/>
      <c r="G198" s="129"/>
      <c r="H198" s="130"/>
      <c r="I198" s="131"/>
      <c r="J198" s="128"/>
      <c r="K198" s="132"/>
      <c r="L198" s="132"/>
      <c r="M198" s="133"/>
      <c r="N198" s="133"/>
      <c r="O198" s="133"/>
      <c r="P198" s="129"/>
      <c r="Z198" s="75"/>
      <c r="AA198" s="76"/>
      <c r="AB198" s="76"/>
      <c r="AC198" s="129"/>
      <c r="AD198" s="134"/>
      <c r="AE198" s="134"/>
      <c r="AF198" s="134"/>
      <c r="AG198" s="134"/>
      <c r="AH198" s="134"/>
      <c r="AI198" s="134"/>
      <c r="AJ198" s="134"/>
      <c r="AK198" s="134"/>
      <c r="AL198" s="134"/>
      <c r="AM198" s="134"/>
      <c r="AN198" s="134"/>
      <c r="AO198" s="134"/>
      <c r="AP198" s="134"/>
      <c r="AQ198" s="134"/>
      <c r="AR198" s="134"/>
      <c r="AS198" s="134"/>
      <c r="AT198" s="134"/>
      <c r="AU198" s="134"/>
      <c r="AV198" s="134"/>
      <c r="AW198" s="134"/>
      <c r="AX198" s="134"/>
      <c r="AY198" s="134"/>
      <c r="AZ198" s="134"/>
      <c r="BA198" s="134"/>
      <c r="BB198" s="134"/>
      <c r="BC198" s="134"/>
      <c r="BD198" s="134"/>
      <c r="BE198" s="134"/>
      <c r="BF198" s="134"/>
      <c r="BG198" s="134"/>
      <c r="BH198" s="134"/>
      <c r="BI198" s="134"/>
      <c r="BJ198" s="134"/>
      <c r="BK198" s="134"/>
      <c r="BL198" s="134"/>
      <c r="BM198" s="135"/>
      <c r="BN198" s="136" t="n">
        <f aca="false">+MAX($D$3,DATOS_[[#This Row],[Fecha Inicio Sit. Contract.]])</f>
        <v>0</v>
      </c>
      <c r="BO198" s="136" t="n">
        <f aca="false">+MIN($D$4,DATOS_[[#This Row],[Fecha Fin Sit. Contract.]])</f>
        <v>0</v>
      </c>
      <c r="BP198" s="137" t="n">
        <f aca="false">+DATOS_[[#This Row],[% de jornada]]*IF(DATOS_[[#This Row],[% jornada reducida]]="",1,DATOS_[[#This Row],[% jornada reducida]])</f>
        <v>0</v>
      </c>
      <c r="BQ198" s="137" t="n">
        <f aca="false">+(DATOS_[[#This Row],[F.fin.cal]]-DATOS_[[#This Row],[F.ini.cal]]+1)/($D$4-$D$3+1)</f>
        <v>1</v>
      </c>
      <c r="BR198" s="137" t="str">
        <f aca="false">IF(OR(AND(DATOS_[[#This Row],[Fecha Fin Contrato]]&lt;$D$3,DATOS_[[#This Row],[Fecha Fin Contrato]]&lt;&gt;""),DATOS_[[#This Row],[Fecha de Contratación]]&gt;$D$4),"Fuera","Dentro")</f>
        <v>Dentro</v>
      </c>
      <c r="BS198" s="137" t="str">
        <f aca="false" t="array" ref="BS198:BS198">IF(MAX(IF(DATOS_[id]=DATOS_[[#This Row],[id]],DATOS_[F.fin.cal]))=DATOS_[[#This Row],[F.fin.cal]],"Sí","NO")</f>
        <v>Sí</v>
      </c>
      <c r="BT198" s="137" t="str">
        <f aca="false">IF(AND(DATOS_[[#This Row],[% normaliz]]&lt;&gt;1,DATOS_[[#This Row],[% anualiz]]=1),"Sí","NO")</f>
        <v>Sí</v>
      </c>
      <c r="BU198" s="137" t="str">
        <f aca="false">IF(AND(DATOS_[[#This Row],[% normaliz]]=1,DATOS_[[#This Row],[% anualiz]]&lt;&gt;1),"Sí","NO")</f>
        <v>NO</v>
      </c>
      <c r="BV198" s="137" t="str">
        <f aca="false">IF(AND(DATOS_[[#This Row],[% normaliz]]&lt;&gt;1,DATOS_[[#This Row],[% anualiz]]&lt;&gt;1),"Sí","NO")</f>
        <v>NO</v>
      </c>
      <c r="BW198" s="137" t="str">
        <f aca="false">+IF(DATOS_[[#This Row],[% normaliz]]*DATOS_[[#This Row],[% anualiz]]=1,"NO","Sí")</f>
        <v>Sí</v>
      </c>
      <c r="BX198" s="138" t="e">
        <f aca="false">(DATOS_[[#This Row],[S.BASE]]*(1/DATOS_[[#This Row],[% normaliz]])*(1/DATOS_[[#This Row],[% anualiz]]))*IF(DATOS_[[#This Row],[Check Equiparado]]="Sí",1,0)</f>
        <v>#DIV/0!</v>
      </c>
      <c r="BY1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8" s="138" t="e">
        <f aca="false">+DATOS_[[#This Row],[SALARIO BASE Eq]]+DATOS_[[#This Row],[Tot COMPL.SAL Eq]]</f>
        <v>#DIV/0!</v>
      </c>
      <c r="CA198" s="138" t="e">
        <f aca="false" t="array" ref="CA198:CA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8" s="138" t="e">
        <f aca="false">+DATOS_[[#This Row],[TOTAL SALARIO Eq]]+DATOS_[[#This Row],[Tot Extrasalarial Eq]]</f>
        <v>#DIV/0!</v>
      </c>
      <c r="CC198" s="139" t="n">
        <f aca="false">DATOS_[[#This Row],[S.BASE]]</f>
        <v>0</v>
      </c>
      <c r="CD198" s="139" t="n">
        <f aca="false">+SUM(DATOS_[[#This Row],[Conc.Sal.01]:[Conc.Sal.30]])</f>
        <v>0</v>
      </c>
      <c r="CE198" s="139" t="n">
        <f aca="false">+DATOS_[[#This Row],[SALARIO BASE Ef]]+DATOS_[[#This Row],[Tot COMPL.SAL Ef]]</f>
        <v>0</v>
      </c>
      <c r="CF198" s="139" t="n">
        <f aca="false">+SUM(DATOS_[[#This Row],[C.Extra.01]:[C.Extra.05]])</f>
        <v>0</v>
      </c>
      <c r="CG198" s="139" t="n">
        <f aca="false">+DATOS_[[#This Row],[TOTAL SALARIO Ef]]+DATOS_[[#This Row],[Tot Extrasalarial Ef]]</f>
        <v>0</v>
      </c>
      <c r="CH198" s="140" t="n">
        <f aca="false">MIN(IF(DATOS_[[#This Row],[Fecha Fin Contrato]]="",$D$4,DATOS_[[#This Row],[Fecha Fin Contrato]]),$D$4)-MAX(DATOS_[[#This Row],[Fecha de Contratación]],$D$3)+1</f>
        <v>1</v>
      </c>
      <c r="CI198" s="141" t="str">
        <f aca="false">IF(COUNTIFS(DATOS_[id],DATOS_[[#This Row],[id]])&gt;1,DATOS_[[#This Row],[id]],"")</f>
        <v/>
      </c>
      <c r="CJ198" s="141" t="n">
        <f aca="false">(Inicio!$G$10-DATOS_[[#This Row],[Fecha Nacimiento]])/365.25</f>
        <v>0</v>
      </c>
      <c r="CK198" s="141" t="n">
        <f aca="false">(Inicio!$G$10-DATOS_[[#This Row],[Fecha de Antigüedad]])/365.25</f>
        <v>0</v>
      </c>
      <c r="CL198" s="141" t="e">
        <f aca="false">+VLOOKUP(DATOS_[[#This Row],[Clave de Contrato]],TblTiposContrato13[],3,0)</f>
        <v>#N/A</v>
      </c>
      <c r="CM198" s="141" t="e">
        <f aca="false">+VLOOKUP(DATOS_[[#This Row],[Clave de Contrato]],TblTiposContrato13[],4,0)</f>
        <v>#N/A</v>
      </c>
      <c r="CN198" s="141" t="str">
        <f aca="false">VLOOKUP(DATOS_[[#This Row],[Edad]],CONTRATOS!TblRngEdad,2,1)</f>
        <v>20  o menos</v>
      </c>
      <c r="CO198" s="141" t="str">
        <f aca="false">VLOOKUP(DATOS_[[#This Row],[Antigüedad]],TblRngAntg14[],2,1)</f>
        <v>0 a 1 años</v>
      </c>
    </row>
    <row r="199" customFormat="false" ht="13.8" hidden="false" customHeight="false" outlineLevel="0" collapsed="false">
      <c r="D199" s="128"/>
      <c r="E199" s="129"/>
      <c r="F199" s="129"/>
      <c r="G199" s="129"/>
      <c r="H199" s="130"/>
      <c r="I199" s="131"/>
      <c r="J199" s="128"/>
      <c r="K199" s="132"/>
      <c r="L199" s="132"/>
      <c r="M199" s="133"/>
      <c r="N199" s="133"/>
      <c r="O199" s="133"/>
      <c r="P199" s="129"/>
      <c r="Z199" s="75"/>
      <c r="AA199" s="76"/>
      <c r="AB199" s="76"/>
      <c r="AC199" s="129"/>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4"/>
      <c r="BD199" s="134"/>
      <c r="BE199" s="134"/>
      <c r="BF199" s="134"/>
      <c r="BG199" s="134"/>
      <c r="BH199" s="134"/>
      <c r="BI199" s="134"/>
      <c r="BJ199" s="134"/>
      <c r="BK199" s="134"/>
      <c r="BL199" s="134"/>
      <c r="BM199" s="135"/>
      <c r="BN199" s="136" t="n">
        <f aca="false">+MAX($D$3,DATOS_[[#This Row],[Fecha Inicio Sit. Contract.]])</f>
        <v>0</v>
      </c>
      <c r="BO199" s="136" t="n">
        <f aca="false">+MIN($D$4,DATOS_[[#This Row],[Fecha Fin Sit. Contract.]])</f>
        <v>0</v>
      </c>
      <c r="BP199" s="137" t="n">
        <f aca="false">+DATOS_[[#This Row],[% de jornada]]*IF(DATOS_[[#This Row],[% jornada reducida]]="",1,DATOS_[[#This Row],[% jornada reducida]])</f>
        <v>0</v>
      </c>
      <c r="BQ199" s="137" t="n">
        <f aca="false">+(DATOS_[[#This Row],[F.fin.cal]]-DATOS_[[#This Row],[F.ini.cal]]+1)/($D$4-$D$3+1)</f>
        <v>1</v>
      </c>
      <c r="BR199" s="137" t="str">
        <f aca="false">IF(OR(AND(DATOS_[[#This Row],[Fecha Fin Contrato]]&lt;$D$3,DATOS_[[#This Row],[Fecha Fin Contrato]]&lt;&gt;""),DATOS_[[#This Row],[Fecha de Contratación]]&gt;$D$4),"Fuera","Dentro")</f>
        <v>Dentro</v>
      </c>
      <c r="BS199" s="137" t="str">
        <f aca="false" t="array" ref="BS199:BS199">IF(MAX(IF(DATOS_[id]=DATOS_[[#This Row],[id]],DATOS_[F.fin.cal]))=DATOS_[[#This Row],[F.fin.cal]],"Sí","NO")</f>
        <v>Sí</v>
      </c>
      <c r="BT199" s="137" t="str">
        <f aca="false">IF(AND(DATOS_[[#This Row],[% normaliz]]&lt;&gt;1,DATOS_[[#This Row],[% anualiz]]=1),"Sí","NO")</f>
        <v>Sí</v>
      </c>
      <c r="BU199" s="137" t="str">
        <f aca="false">IF(AND(DATOS_[[#This Row],[% normaliz]]=1,DATOS_[[#This Row],[% anualiz]]&lt;&gt;1),"Sí","NO")</f>
        <v>NO</v>
      </c>
      <c r="BV199" s="137" t="str">
        <f aca="false">IF(AND(DATOS_[[#This Row],[% normaliz]]&lt;&gt;1,DATOS_[[#This Row],[% anualiz]]&lt;&gt;1),"Sí","NO")</f>
        <v>NO</v>
      </c>
      <c r="BW199" s="137" t="str">
        <f aca="false">+IF(DATOS_[[#This Row],[% normaliz]]*DATOS_[[#This Row],[% anualiz]]=1,"NO","Sí")</f>
        <v>Sí</v>
      </c>
      <c r="BX199" s="138" t="e">
        <f aca="false">(DATOS_[[#This Row],[S.BASE]]*(1/DATOS_[[#This Row],[% normaliz]])*(1/DATOS_[[#This Row],[% anualiz]]))*IF(DATOS_[[#This Row],[Check Equiparado]]="Sí",1,0)</f>
        <v>#DIV/0!</v>
      </c>
      <c r="BY1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9" s="138" t="e">
        <f aca="false">+DATOS_[[#This Row],[SALARIO BASE Eq]]+DATOS_[[#This Row],[Tot COMPL.SAL Eq]]</f>
        <v>#DIV/0!</v>
      </c>
      <c r="CA199" s="138" t="e">
        <f aca="false" t="array" ref="CA199:CA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9" s="138" t="e">
        <f aca="false">+DATOS_[[#This Row],[TOTAL SALARIO Eq]]+DATOS_[[#This Row],[Tot Extrasalarial Eq]]</f>
        <v>#DIV/0!</v>
      </c>
      <c r="CC199" s="139" t="n">
        <f aca="false">DATOS_[[#This Row],[S.BASE]]</f>
        <v>0</v>
      </c>
      <c r="CD199" s="139" t="n">
        <f aca="false">+SUM(DATOS_[[#This Row],[Conc.Sal.01]:[Conc.Sal.30]])</f>
        <v>0</v>
      </c>
      <c r="CE199" s="139" t="n">
        <f aca="false">+DATOS_[[#This Row],[SALARIO BASE Ef]]+DATOS_[[#This Row],[Tot COMPL.SAL Ef]]</f>
        <v>0</v>
      </c>
      <c r="CF199" s="139" t="n">
        <f aca="false">+SUM(DATOS_[[#This Row],[C.Extra.01]:[C.Extra.05]])</f>
        <v>0</v>
      </c>
      <c r="CG199" s="139" t="n">
        <f aca="false">+DATOS_[[#This Row],[TOTAL SALARIO Ef]]+DATOS_[[#This Row],[Tot Extrasalarial Ef]]</f>
        <v>0</v>
      </c>
      <c r="CH199" s="140" t="n">
        <f aca="false">MIN(IF(DATOS_[[#This Row],[Fecha Fin Contrato]]="",$D$4,DATOS_[[#This Row],[Fecha Fin Contrato]]),$D$4)-MAX(DATOS_[[#This Row],[Fecha de Contratación]],$D$3)+1</f>
        <v>1</v>
      </c>
      <c r="CI199" s="141" t="str">
        <f aca="false">IF(COUNTIFS(DATOS_[id],DATOS_[[#This Row],[id]])&gt;1,DATOS_[[#This Row],[id]],"")</f>
        <v/>
      </c>
      <c r="CJ199" s="141" t="n">
        <f aca="false">(Inicio!$G$10-DATOS_[[#This Row],[Fecha Nacimiento]])/365.25</f>
        <v>0</v>
      </c>
      <c r="CK199" s="141" t="n">
        <f aca="false">(Inicio!$G$10-DATOS_[[#This Row],[Fecha de Antigüedad]])/365.25</f>
        <v>0</v>
      </c>
      <c r="CL199" s="141" t="e">
        <f aca="false">+VLOOKUP(DATOS_[[#This Row],[Clave de Contrato]],TblTiposContrato13[],3,0)</f>
        <v>#N/A</v>
      </c>
      <c r="CM199" s="141" t="e">
        <f aca="false">+VLOOKUP(DATOS_[[#This Row],[Clave de Contrato]],TblTiposContrato13[],4,0)</f>
        <v>#N/A</v>
      </c>
      <c r="CN199" s="141" t="str">
        <f aca="false">VLOOKUP(DATOS_[[#This Row],[Edad]],CONTRATOS!TblRngEdad,2,1)</f>
        <v>20  o menos</v>
      </c>
      <c r="CO199" s="141" t="str">
        <f aca="false">VLOOKUP(DATOS_[[#This Row],[Antigüedad]],TblRngAntg14[],2,1)</f>
        <v>0 a 1 años</v>
      </c>
    </row>
    <row r="200" customFormat="false" ht="13.8" hidden="false" customHeight="false" outlineLevel="0" collapsed="false">
      <c r="D200" s="128"/>
      <c r="E200" s="129"/>
      <c r="F200" s="129"/>
      <c r="G200" s="129"/>
      <c r="H200" s="130"/>
      <c r="I200" s="131"/>
      <c r="J200" s="128"/>
      <c r="K200" s="132"/>
      <c r="L200" s="132"/>
      <c r="M200" s="133"/>
      <c r="N200" s="133"/>
      <c r="O200" s="133"/>
      <c r="P200" s="129"/>
      <c r="Z200" s="75"/>
      <c r="AA200" s="76"/>
      <c r="AB200" s="76"/>
      <c r="AC200" s="129"/>
      <c r="AD200" s="134"/>
      <c r="AE200" s="134"/>
      <c r="AF200" s="134"/>
      <c r="AG200" s="134"/>
      <c r="AH200" s="134"/>
      <c r="AI200" s="134"/>
      <c r="AJ200" s="134"/>
      <c r="AK200" s="134"/>
      <c r="AL200" s="134"/>
      <c r="AM200" s="134"/>
      <c r="AN200" s="134"/>
      <c r="AO200" s="134"/>
      <c r="AP200" s="134"/>
      <c r="AQ200" s="134"/>
      <c r="AR200" s="134"/>
      <c r="AS200" s="134"/>
      <c r="AT200" s="134"/>
      <c r="AU200" s="134"/>
      <c r="AV200" s="134"/>
      <c r="AW200" s="134"/>
      <c r="AX200" s="134"/>
      <c r="AY200" s="134"/>
      <c r="AZ200" s="134"/>
      <c r="BA200" s="134"/>
      <c r="BB200" s="134"/>
      <c r="BC200" s="134"/>
      <c r="BD200" s="134"/>
      <c r="BE200" s="134"/>
      <c r="BF200" s="134"/>
      <c r="BG200" s="134"/>
      <c r="BH200" s="134"/>
      <c r="BI200" s="134"/>
      <c r="BJ200" s="134"/>
      <c r="BK200" s="134"/>
      <c r="BL200" s="134"/>
      <c r="BM200" s="135"/>
      <c r="BN200" s="136" t="n">
        <f aca="false">+MAX($D$3,DATOS_[[#This Row],[Fecha Inicio Sit. Contract.]])</f>
        <v>0</v>
      </c>
      <c r="BO200" s="136" t="n">
        <f aca="false">+MIN($D$4,DATOS_[[#This Row],[Fecha Fin Sit. Contract.]])</f>
        <v>0</v>
      </c>
      <c r="BP200" s="137" t="n">
        <f aca="false">+DATOS_[[#This Row],[% de jornada]]*IF(DATOS_[[#This Row],[% jornada reducida]]="",1,DATOS_[[#This Row],[% jornada reducida]])</f>
        <v>0</v>
      </c>
      <c r="BQ200" s="137" t="n">
        <f aca="false">+(DATOS_[[#This Row],[F.fin.cal]]-DATOS_[[#This Row],[F.ini.cal]]+1)/($D$4-$D$3+1)</f>
        <v>1</v>
      </c>
      <c r="BR200" s="137" t="str">
        <f aca="false">IF(OR(AND(DATOS_[[#This Row],[Fecha Fin Contrato]]&lt;$D$3,DATOS_[[#This Row],[Fecha Fin Contrato]]&lt;&gt;""),DATOS_[[#This Row],[Fecha de Contratación]]&gt;$D$4),"Fuera","Dentro")</f>
        <v>Dentro</v>
      </c>
      <c r="BS200" s="137" t="str">
        <f aca="false" t="array" ref="BS200:BS200">IF(MAX(IF(DATOS_[id]=DATOS_[[#This Row],[id]],DATOS_[F.fin.cal]))=DATOS_[[#This Row],[F.fin.cal]],"Sí","NO")</f>
        <v>Sí</v>
      </c>
      <c r="BT200" s="137" t="str">
        <f aca="false">IF(AND(DATOS_[[#This Row],[% normaliz]]&lt;&gt;1,DATOS_[[#This Row],[% anualiz]]=1),"Sí","NO")</f>
        <v>Sí</v>
      </c>
      <c r="BU200" s="137" t="str">
        <f aca="false">IF(AND(DATOS_[[#This Row],[% normaliz]]=1,DATOS_[[#This Row],[% anualiz]]&lt;&gt;1),"Sí","NO")</f>
        <v>NO</v>
      </c>
      <c r="BV200" s="137" t="str">
        <f aca="false">IF(AND(DATOS_[[#This Row],[% normaliz]]&lt;&gt;1,DATOS_[[#This Row],[% anualiz]]&lt;&gt;1),"Sí","NO")</f>
        <v>NO</v>
      </c>
      <c r="BW200" s="137" t="str">
        <f aca="false">+IF(DATOS_[[#This Row],[% normaliz]]*DATOS_[[#This Row],[% anualiz]]=1,"NO","Sí")</f>
        <v>Sí</v>
      </c>
      <c r="BX200" s="138" t="e">
        <f aca="false">(DATOS_[[#This Row],[S.BASE]]*(1/DATOS_[[#This Row],[% normaliz]])*(1/DATOS_[[#This Row],[% anualiz]]))*IF(DATOS_[[#This Row],[Check Equiparado]]="Sí",1,0)</f>
        <v>#DIV/0!</v>
      </c>
      <c r="BY2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0" s="138" t="e">
        <f aca="false">+DATOS_[[#This Row],[SALARIO BASE Eq]]+DATOS_[[#This Row],[Tot COMPL.SAL Eq]]</f>
        <v>#DIV/0!</v>
      </c>
      <c r="CA200" s="138" t="e">
        <f aca="false" t="array" ref="CA200:CA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0" s="138" t="e">
        <f aca="false">+DATOS_[[#This Row],[TOTAL SALARIO Eq]]+DATOS_[[#This Row],[Tot Extrasalarial Eq]]</f>
        <v>#DIV/0!</v>
      </c>
      <c r="CC200" s="139" t="n">
        <f aca="false">DATOS_[[#This Row],[S.BASE]]</f>
        <v>0</v>
      </c>
      <c r="CD200" s="139" t="n">
        <f aca="false">+SUM(DATOS_[[#This Row],[Conc.Sal.01]:[Conc.Sal.30]])</f>
        <v>0</v>
      </c>
      <c r="CE200" s="139" t="n">
        <f aca="false">+DATOS_[[#This Row],[SALARIO BASE Ef]]+DATOS_[[#This Row],[Tot COMPL.SAL Ef]]</f>
        <v>0</v>
      </c>
      <c r="CF200" s="139" t="n">
        <f aca="false">+SUM(DATOS_[[#This Row],[C.Extra.01]:[C.Extra.05]])</f>
        <v>0</v>
      </c>
      <c r="CG200" s="139" t="n">
        <f aca="false">+DATOS_[[#This Row],[TOTAL SALARIO Ef]]+DATOS_[[#This Row],[Tot Extrasalarial Ef]]</f>
        <v>0</v>
      </c>
      <c r="CH200" s="140" t="n">
        <f aca="false">MIN(IF(DATOS_[[#This Row],[Fecha Fin Contrato]]="",$D$4,DATOS_[[#This Row],[Fecha Fin Contrato]]),$D$4)-MAX(DATOS_[[#This Row],[Fecha de Contratación]],$D$3)+1</f>
        <v>1</v>
      </c>
      <c r="CI200" s="141" t="str">
        <f aca="false">IF(COUNTIFS(DATOS_[id],DATOS_[[#This Row],[id]])&gt;1,DATOS_[[#This Row],[id]],"")</f>
        <v/>
      </c>
      <c r="CJ200" s="141" t="n">
        <f aca="false">(Inicio!$G$10-DATOS_[[#This Row],[Fecha Nacimiento]])/365.25</f>
        <v>0</v>
      </c>
      <c r="CK200" s="141" t="n">
        <f aca="false">(Inicio!$G$10-DATOS_[[#This Row],[Fecha de Antigüedad]])/365.25</f>
        <v>0</v>
      </c>
      <c r="CL200" s="141" t="e">
        <f aca="false">+VLOOKUP(DATOS_[[#This Row],[Clave de Contrato]],TblTiposContrato13[],3,0)</f>
        <v>#N/A</v>
      </c>
      <c r="CM200" s="141" t="e">
        <f aca="false">+VLOOKUP(DATOS_[[#This Row],[Clave de Contrato]],TblTiposContrato13[],4,0)</f>
        <v>#N/A</v>
      </c>
      <c r="CN200" s="141" t="str">
        <f aca="false">VLOOKUP(DATOS_[[#This Row],[Edad]],CONTRATOS!TblRngEdad,2,1)</f>
        <v>20  o menos</v>
      </c>
      <c r="CO200" s="141" t="str">
        <f aca="false">VLOOKUP(DATOS_[[#This Row],[Antigüedad]],TblRngAntg14[],2,1)</f>
        <v>0 a 1 años</v>
      </c>
    </row>
    <row r="201" customFormat="false" ht="13.8" hidden="false" customHeight="false" outlineLevel="0" collapsed="false">
      <c r="D201" s="128"/>
      <c r="E201" s="129"/>
      <c r="F201" s="129"/>
      <c r="G201" s="129"/>
      <c r="H201" s="130"/>
      <c r="I201" s="131"/>
      <c r="J201" s="128"/>
      <c r="K201" s="132"/>
      <c r="L201" s="132"/>
      <c r="M201" s="133"/>
      <c r="N201" s="133"/>
      <c r="O201" s="133"/>
      <c r="P201" s="129"/>
      <c r="Z201" s="75"/>
      <c r="AA201" s="76"/>
      <c r="AB201" s="76"/>
      <c r="AC201" s="129"/>
      <c r="AD201" s="134"/>
      <c r="AE201" s="134"/>
      <c r="AF201" s="134"/>
      <c r="AG201" s="134"/>
      <c r="AH201" s="134"/>
      <c r="AI201" s="134"/>
      <c r="AJ201" s="134"/>
      <c r="AK201" s="134"/>
      <c r="AL201" s="134"/>
      <c r="AM201" s="134"/>
      <c r="AN201" s="134"/>
      <c r="AO201" s="134"/>
      <c r="AP201" s="134"/>
      <c r="AQ201" s="134"/>
      <c r="AR201" s="134"/>
      <c r="AS201" s="134"/>
      <c r="AT201" s="134"/>
      <c r="AU201" s="134"/>
      <c r="AV201" s="134"/>
      <c r="AW201" s="134"/>
      <c r="AX201" s="134"/>
      <c r="AY201" s="134"/>
      <c r="AZ201" s="134"/>
      <c r="BA201" s="134"/>
      <c r="BB201" s="134"/>
      <c r="BC201" s="134"/>
      <c r="BD201" s="134"/>
      <c r="BE201" s="134"/>
      <c r="BF201" s="134"/>
      <c r="BG201" s="134"/>
      <c r="BH201" s="134"/>
      <c r="BI201" s="134"/>
      <c r="BJ201" s="134"/>
      <c r="BK201" s="134"/>
      <c r="BL201" s="134"/>
      <c r="BM201" s="135"/>
      <c r="BN201" s="136" t="n">
        <f aca="false">+MAX($D$3,DATOS_[[#This Row],[Fecha Inicio Sit. Contract.]])</f>
        <v>0</v>
      </c>
      <c r="BO201" s="136" t="n">
        <f aca="false">+MIN($D$4,DATOS_[[#This Row],[Fecha Fin Sit. Contract.]])</f>
        <v>0</v>
      </c>
      <c r="BP201" s="137" t="n">
        <f aca="false">+DATOS_[[#This Row],[% de jornada]]*IF(DATOS_[[#This Row],[% jornada reducida]]="",1,DATOS_[[#This Row],[% jornada reducida]])</f>
        <v>0</v>
      </c>
      <c r="BQ201" s="137" t="n">
        <f aca="false">+(DATOS_[[#This Row],[F.fin.cal]]-DATOS_[[#This Row],[F.ini.cal]]+1)/($D$4-$D$3+1)</f>
        <v>1</v>
      </c>
      <c r="BR201" s="137" t="str">
        <f aca="false">IF(OR(AND(DATOS_[[#This Row],[Fecha Fin Contrato]]&lt;$D$3,DATOS_[[#This Row],[Fecha Fin Contrato]]&lt;&gt;""),DATOS_[[#This Row],[Fecha de Contratación]]&gt;$D$4),"Fuera","Dentro")</f>
        <v>Dentro</v>
      </c>
      <c r="BS201" s="137" t="str">
        <f aca="false" t="array" ref="BS201:BS201">IF(MAX(IF(DATOS_[id]=DATOS_[[#This Row],[id]],DATOS_[F.fin.cal]))=DATOS_[[#This Row],[F.fin.cal]],"Sí","NO")</f>
        <v>Sí</v>
      </c>
      <c r="BT201" s="137" t="str">
        <f aca="false">IF(AND(DATOS_[[#This Row],[% normaliz]]&lt;&gt;1,DATOS_[[#This Row],[% anualiz]]=1),"Sí","NO")</f>
        <v>Sí</v>
      </c>
      <c r="BU201" s="137" t="str">
        <f aca="false">IF(AND(DATOS_[[#This Row],[% normaliz]]=1,DATOS_[[#This Row],[% anualiz]]&lt;&gt;1),"Sí","NO")</f>
        <v>NO</v>
      </c>
      <c r="BV201" s="137" t="str">
        <f aca="false">IF(AND(DATOS_[[#This Row],[% normaliz]]&lt;&gt;1,DATOS_[[#This Row],[% anualiz]]&lt;&gt;1),"Sí","NO")</f>
        <v>NO</v>
      </c>
      <c r="BW201" s="137" t="str">
        <f aca="false">+IF(DATOS_[[#This Row],[% normaliz]]*DATOS_[[#This Row],[% anualiz]]=1,"NO","Sí")</f>
        <v>Sí</v>
      </c>
      <c r="BX201" s="138" t="e">
        <f aca="false">(DATOS_[[#This Row],[S.BASE]]*(1/DATOS_[[#This Row],[% normaliz]])*(1/DATOS_[[#This Row],[% anualiz]]))*IF(DATOS_[[#This Row],[Check Equiparado]]="Sí",1,0)</f>
        <v>#DIV/0!</v>
      </c>
      <c r="BY2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1" s="138" t="e">
        <f aca="false">+DATOS_[[#This Row],[SALARIO BASE Eq]]+DATOS_[[#This Row],[Tot COMPL.SAL Eq]]</f>
        <v>#DIV/0!</v>
      </c>
      <c r="CA201" s="138" t="e">
        <f aca="false" t="array" ref="CA201:CA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1" s="138" t="e">
        <f aca="false">+DATOS_[[#This Row],[TOTAL SALARIO Eq]]+DATOS_[[#This Row],[Tot Extrasalarial Eq]]</f>
        <v>#DIV/0!</v>
      </c>
      <c r="CC201" s="139" t="n">
        <f aca="false">DATOS_[[#This Row],[S.BASE]]</f>
        <v>0</v>
      </c>
      <c r="CD201" s="139" t="n">
        <f aca="false">+SUM(DATOS_[[#This Row],[Conc.Sal.01]:[Conc.Sal.30]])</f>
        <v>0</v>
      </c>
      <c r="CE201" s="139" t="n">
        <f aca="false">+DATOS_[[#This Row],[SALARIO BASE Ef]]+DATOS_[[#This Row],[Tot COMPL.SAL Ef]]</f>
        <v>0</v>
      </c>
      <c r="CF201" s="139" t="n">
        <f aca="false">+SUM(DATOS_[[#This Row],[C.Extra.01]:[C.Extra.05]])</f>
        <v>0</v>
      </c>
      <c r="CG201" s="139" t="n">
        <f aca="false">+DATOS_[[#This Row],[TOTAL SALARIO Ef]]+DATOS_[[#This Row],[Tot Extrasalarial Ef]]</f>
        <v>0</v>
      </c>
      <c r="CH201" s="140" t="n">
        <f aca="false">MIN(IF(DATOS_[[#This Row],[Fecha Fin Contrato]]="",$D$4,DATOS_[[#This Row],[Fecha Fin Contrato]]),$D$4)-MAX(DATOS_[[#This Row],[Fecha de Contratación]],$D$3)+1</f>
        <v>1</v>
      </c>
      <c r="CI201" s="141" t="str">
        <f aca="false">IF(COUNTIFS(DATOS_[id],DATOS_[[#This Row],[id]])&gt;1,DATOS_[[#This Row],[id]],"")</f>
        <v/>
      </c>
      <c r="CJ201" s="141" t="n">
        <f aca="false">(Inicio!$G$10-DATOS_[[#This Row],[Fecha Nacimiento]])/365.25</f>
        <v>0</v>
      </c>
      <c r="CK201" s="141" t="n">
        <f aca="false">(Inicio!$G$10-DATOS_[[#This Row],[Fecha de Antigüedad]])/365.25</f>
        <v>0</v>
      </c>
      <c r="CL201" s="141" t="e">
        <f aca="false">+VLOOKUP(DATOS_[[#This Row],[Clave de Contrato]],TblTiposContrato13[],3,0)</f>
        <v>#N/A</v>
      </c>
      <c r="CM201" s="141" t="e">
        <f aca="false">+VLOOKUP(DATOS_[[#This Row],[Clave de Contrato]],TblTiposContrato13[],4,0)</f>
        <v>#N/A</v>
      </c>
      <c r="CN201" s="141" t="str">
        <f aca="false">VLOOKUP(DATOS_[[#This Row],[Edad]],CONTRATOS!TblRngEdad,2,1)</f>
        <v>20  o menos</v>
      </c>
      <c r="CO201" s="141" t="str">
        <f aca="false">VLOOKUP(DATOS_[[#This Row],[Antigüedad]],TblRngAntg14[],2,1)</f>
        <v>0 a 1 años</v>
      </c>
    </row>
    <row r="202" customFormat="false" ht="13.8" hidden="false" customHeight="false" outlineLevel="0" collapsed="false">
      <c r="D202" s="128"/>
      <c r="E202" s="129"/>
      <c r="F202" s="129"/>
      <c r="G202" s="129"/>
      <c r="H202" s="130"/>
      <c r="I202" s="131"/>
      <c r="J202" s="128"/>
      <c r="K202" s="132"/>
      <c r="L202" s="132"/>
      <c r="M202" s="133"/>
      <c r="N202" s="133"/>
      <c r="O202" s="133"/>
      <c r="P202" s="129"/>
      <c r="Z202" s="75"/>
      <c r="AA202" s="76"/>
      <c r="AB202" s="76"/>
      <c r="AC202" s="129"/>
      <c r="AD202" s="134"/>
      <c r="AE202" s="134"/>
      <c r="AF202" s="134"/>
      <c r="AG202" s="134"/>
      <c r="AH202" s="134"/>
      <c r="AI202" s="134"/>
      <c r="AJ202" s="134"/>
      <c r="AK202" s="134"/>
      <c r="AL202" s="134"/>
      <c r="AM202" s="134"/>
      <c r="AN202" s="134"/>
      <c r="AO202" s="134"/>
      <c r="AP202" s="134"/>
      <c r="AQ202" s="134"/>
      <c r="AR202" s="134"/>
      <c r="AS202" s="134"/>
      <c r="AT202" s="134"/>
      <c r="AU202" s="134"/>
      <c r="AV202" s="134"/>
      <c r="AW202" s="134"/>
      <c r="AX202" s="134"/>
      <c r="AY202" s="134"/>
      <c r="AZ202" s="134"/>
      <c r="BA202" s="134"/>
      <c r="BB202" s="134"/>
      <c r="BC202" s="134"/>
      <c r="BD202" s="134"/>
      <c r="BE202" s="134"/>
      <c r="BF202" s="134"/>
      <c r="BG202" s="134"/>
      <c r="BH202" s="134"/>
      <c r="BI202" s="134"/>
      <c r="BJ202" s="134"/>
      <c r="BK202" s="134"/>
      <c r="BL202" s="134"/>
      <c r="BM202" s="135"/>
      <c r="BN202" s="136" t="n">
        <f aca="false">+MAX($D$3,DATOS_[[#This Row],[Fecha Inicio Sit. Contract.]])</f>
        <v>0</v>
      </c>
      <c r="BO202" s="136" t="n">
        <f aca="false">+MIN($D$4,DATOS_[[#This Row],[Fecha Fin Sit. Contract.]])</f>
        <v>0</v>
      </c>
      <c r="BP202" s="137" t="n">
        <f aca="false">+DATOS_[[#This Row],[% de jornada]]*IF(DATOS_[[#This Row],[% jornada reducida]]="",1,DATOS_[[#This Row],[% jornada reducida]])</f>
        <v>0</v>
      </c>
      <c r="BQ202" s="137" t="n">
        <f aca="false">+(DATOS_[[#This Row],[F.fin.cal]]-DATOS_[[#This Row],[F.ini.cal]]+1)/($D$4-$D$3+1)</f>
        <v>1</v>
      </c>
      <c r="BR202" s="137" t="str">
        <f aca="false">IF(OR(AND(DATOS_[[#This Row],[Fecha Fin Contrato]]&lt;$D$3,DATOS_[[#This Row],[Fecha Fin Contrato]]&lt;&gt;""),DATOS_[[#This Row],[Fecha de Contratación]]&gt;$D$4),"Fuera","Dentro")</f>
        <v>Dentro</v>
      </c>
      <c r="BS202" s="137" t="str">
        <f aca="false" t="array" ref="BS202:BS202">IF(MAX(IF(DATOS_[id]=DATOS_[[#This Row],[id]],DATOS_[F.fin.cal]))=DATOS_[[#This Row],[F.fin.cal]],"Sí","NO")</f>
        <v>Sí</v>
      </c>
      <c r="BT202" s="137" t="str">
        <f aca="false">IF(AND(DATOS_[[#This Row],[% normaliz]]&lt;&gt;1,DATOS_[[#This Row],[% anualiz]]=1),"Sí","NO")</f>
        <v>Sí</v>
      </c>
      <c r="BU202" s="137" t="str">
        <f aca="false">IF(AND(DATOS_[[#This Row],[% normaliz]]=1,DATOS_[[#This Row],[% anualiz]]&lt;&gt;1),"Sí","NO")</f>
        <v>NO</v>
      </c>
      <c r="BV202" s="137" t="str">
        <f aca="false">IF(AND(DATOS_[[#This Row],[% normaliz]]&lt;&gt;1,DATOS_[[#This Row],[% anualiz]]&lt;&gt;1),"Sí","NO")</f>
        <v>NO</v>
      </c>
      <c r="BW202" s="137" t="str">
        <f aca="false">+IF(DATOS_[[#This Row],[% normaliz]]*DATOS_[[#This Row],[% anualiz]]=1,"NO","Sí")</f>
        <v>Sí</v>
      </c>
      <c r="BX202" s="138" t="e">
        <f aca="false">(DATOS_[[#This Row],[S.BASE]]*(1/DATOS_[[#This Row],[% normaliz]])*(1/DATOS_[[#This Row],[% anualiz]]))*IF(DATOS_[[#This Row],[Check Equiparado]]="Sí",1,0)</f>
        <v>#DIV/0!</v>
      </c>
      <c r="BY2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2" s="138" t="e">
        <f aca="false">+DATOS_[[#This Row],[SALARIO BASE Eq]]+DATOS_[[#This Row],[Tot COMPL.SAL Eq]]</f>
        <v>#DIV/0!</v>
      </c>
      <c r="CA202" s="138" t="e">
        <f aca="false" t="array" ref="CA202:CA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2" s="138" t="e">
        <f aca="false">+DATOS_[[#This Row],[TOTAL SALARIO Eq]]+DATOS_[[#This Row],[Tot Extrasalarial Eq]]</f>
        <v>#DIV/0!</v>
      </c>
      <c r="CC202" s="139" t="n">
        <f aca="false">DATOS_[[#This Row],[S.BASE]]</f>
        <v>0</v>
      </c>
      <c r="CD202" s="139" t="n">
        <f aca="false">+SUM(DATOS_[[#This Row],[Conc.Sal.01]:[Conc.Sal.30]])</f>
        <v>0</v>
      </c>
      <c r="CE202" s="139" t="n">
        <f aca="false">+DATOS_[[#This Row],[SALARIO BASE Ef]]+DATOS_[[#This Row],[Tot COMPL.SAL Ef]]</f>
        <v>0</v>
      </c>
      <c r="CF202" s="139" t="n">
        <f aca="false">+SUM(DATOS_[[#This Row],[C.Extra.01]:[C.Extra.05]])</f>
        <v>0</v>
      </c>
      <c r="CG202" s="139" t="n">
        <f aca="false">+DATOS_[[#This Row],[TOTAL SALARIO Ef]]+DATOS_[[#This Row],[Tot Extrasalarial Ef]]</f>
        <v>0</v>
      </c>
      <c r="CH202" s="140" t="n">
        <f aca="false">MIN(IF(DATOS_[[#This Row],[Fecha Fin Contrato]]="",$D$4,DATOS_[[#This Row],[Fecha Fin Contrato]]),$D$4)-MAX(DATOS_[[#This Row],[Fecha de Contratación]],$D$3)+1</f>
        <v>1</v>
      </c>
      <c r="CI202" s="141" t="str">
        <f aca="false">IF(COUNTIFS(DATOS_[id],DATOS_[[#This Row],[id]])&gt;1,DATOS_[[#This Row],[id]],"")</f>
        <v/>
      </c>
      <c r="CJ202" s="141" t="n">
        <f aca="false">(Inicio!$G$10-DATOS_[[#This Row],[Fecha Nacimiento]])/365.25</f>
        <v>0</v>
      </c>
      <c r="CK202" s="141" t="n">
        <f aca="false">(Inicio!$G$10-DATOS_[[#This Row],[Fecha de Antigüedad]])/365.25</f>
        <v>0</v>
      </c>
      <c r="CL202" s="141" t="e">
        <f aca="false">+VLOOKUP(DATOS_[[#This Row],[Clave de Contrato]],TblTiposContrato13[],3,0)</f>
        <v>#N/A</v>
      </c>
      <c r="CM202" s="141" t="e">
        <f aca="false">+VLOOKUP(DATOS_[[#This Row],[Clave de Contrato]],TblTiposContrato13[],4,0)</f>
        <v>#N/A</v>
      </c>
      <c r="CN202" s="141" t="str">
        <f aca="false">VLOOKUP(DATOS_[[#This Row],[Edad]],CONTRATOS!TblRngEdad,2,1)</f>
        <v>20  o menos</v>
      </c>
      <c r="CO202" s="141" t="str">
        <f aca="false">VLOOKUP(DATOS_[[#This Row],[Antigüedad]],TblRngAntg14[],2,1)</f>
        <v>0 a 1 años</v>
      </c>
    </row>
    <row r="203" customFormat="false" ht="13.8" hidden="false" customHeight="false" outlineLevel="0" collapsed="false">
      <c r="D203" s="128"/>
      <c r="E203" s="129"/>
      <c r="F203" s="129"/>
      <c r="G203" s="129"/>
      <c r="H203" s="130"/>
      <c r="I203" s="131"/>
      <c r="J203" s="128"/>
      <c r="K203" s="132"/>
      <c r="L203" s="132"/>
      <c r="M203" s="133"/>
      <c r="N203" s="133"/>
      <c r="O203" s="133"/>
      <c r="P203" s="129"/>
      <c r="Z203" s="75"/>
      <c r="AA203" s="76"/>
      <c r="AB203" s="76"/>
      <c r="AC203" s="129"/>
      <c r="AD203" s="134"/>
      <c r="AE203" s="134"/>
      <c r="AF203" s="134"/>
      <c r="AG203" s="134"/>
      <c r="AH203" s="134"/>
      <c r="AI203" s="134"/>
      <c r="AJ203" s="134"/>
      <c r="AK203" s="134"/>
      <c r="AL203" s="134"/>
      <c r="AM203" s="134"/>
      <c r="AN203" s="134"/>
      <c r="AO203" s="134"/>
      <c r="AP203" s="134"/>
      <c r="AQ203" s="134"/>
      <c r="AR203" s="134"/>
      <c r="AS203" s="134"/>
      <c r="AT203" s="134"/>
      <c r="AU203" s="134"/>
      <c r="AV203" s="134"/>
      <c r="AW203" s="134"/>
      <c r="AX203" s="134"/>
      <c r="AY203" s="134"/>
      <c r="AZ203" s="134"/>
      <c r="BA203" s="134"/>
      <c r="BB203" s="134"/>
      <c r="BC203" s="134"/>
      <c r="BD203" s="134"/>
      <c r="BE203" s="134"/>
      <c r="BF203" s="134"/>
      <c r="BG203" s="134"/>
      <c r="BH203" s="134"/>
      <c r="BI203" s="134"/>
      <c r="BJ203" s="134"/>
      <c r="BK203" s="134"/>
      <c r="BL203" s="134"/>
      <c r="BM203" s="135"/>
      <c r="BN203" s="136" t="n">
        <f aca="false">+MAX($D$3,DATOS_[[#This Row],[Fecha Inicio Sit. Contract.]])</f>
        <v>0</v>
      </c>
      <c r="BO203" s="136" t="n">
        <f aca="false">+MIN($D$4,DATOS_[[#This Row],[Fecha Fin Sit. Contract.]])</f>
        <v>0</v>
      </c>
      <c r="BP203" s="137" t="n">
        <f aca="false">+DATOS_[[#This Row],[% de jornada]]*IF(DATOS_[[#This Row],[% jornada reducida]]="",1,DATOS_[[#This Row],[% jornada reducida]])</f>
        <v>0</v>
      </c>
      <c r="BQ203" s="137" t="n">
        <f aca="false">+(DATOS_[[#This Row],[F.fin.cal]]-DATOS_[[#This Row],[F.ini.cal]]+1)/($D$4-$D$3+1)</f>
        <v>1</v>
      </c>
      <c r="BR203" s="137" t="str">
        <f aca="false">IF(OR(AND(DATOS_[[#This Row],[Fecha Fin Contrato]]&lt;$D$3,DATOS_[[#This Row],[Fecha Fin Contrato]]&lt;&gt;""),DATOS_[[#This Row],[Fecha de Contratación]]&gt;$D$4),"Fuera","Dentro")</f>
        <v>Dentro</v>
      </c>
      <c r="BS203" s="137" t="str">
        <f aca="false" t="array" ref="BS203:BS203">IF(MAX(IF(DATOS_[id]=DATOS_[[#This Row],[id]],DATOS_[F.fin.cal]))=DATOS_[[#This Row],[F.fin.cal]],"Sí","NO")</f>
        <v>Sí</v>
      </c>
      <c r="BT203" s="137" t="str">
        <f aca="false">IF(AND(DATOS_[[#This Row],[% normaliz]]&lt;&gt;1,DATOS_[[#This Row],[% anualiz]]=1),"Sí","NO")</f>
        <v>Sí</v>
      </c>
      <c r="BU203" s="137" t="str">
        <f aca="false">IF(AND(DATOS_[[#This Row],[% normaliz]]=1,DATOS_[[#This Row],[% anualiz]]&lt;&gt;1),"Sí","NO")</f>
        <v>NO</v>
      </c>
      <c r="BV203" s="137" t="str">
        <f aca="false">IF(AND(DATOS_[[#This Row],[% normaliz]]&lt;&gt;1,DATOS_[[#This Row],[% anualiz]]&lt;&gt;1),"Sí","NO")</f>
        <v>NO</v>
      </c>
      <c r="BW203" s="137" t="str">
        <f aca="false">+IF(DATOS_[[#This Row],[% normaliz]]*DATOS_[[#This Row],[% anualiz]]=1,"NO","Sí")</f>
        <v>Sí</v>
      </c>
      <c r="BX203" s="138" t="e">
        <f aca="false">(DATOS_[[#This Row],[S.BASE]]*(1/DATOS_[[#This Row],[% normaliz]])*(1/DATOS_[[#This Row],[% anualiz]]))*IF(DATOS_[[#This Row],[Check Equiparado]]="Sí",1,0)</f>
        <v>#DIV/0!</v>
      </c>
      <c r="BY2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3" s="138" t="e">
        <f aca="false">+DATOS_[[#This Row],[SALARIO BASE Eq]]+DATOS_[[#This Row],[Tot COMPL.SAL Eq]]</f>
        <v>#DIV/0!</v>
      </c>
      <c r="CA203" s="138" t="e">
        <f aca="false" t="array" ref="CA203:CA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3" s="138" t="e">
        <f aca="false">+DATOS_[[#This Row],[TOTAL SALARIO Eq]]+DATOS_[[#This Row],[Tot Extrasalarial Eq]]</f>
        <v>#DIV/0!</v>
      </c>
      <c r="CC203" s="139" t="n">
        <f aca="false">DATOS_[[#This Row],[S.BASE]]</f>
        <v>0</v>
      </c>
      <c r="CD203" s="139" t="n">
        <f aca="false">+SUM(DATOS_[[#This Row],[Conc.Sal.01]:[Conc.Sal.30]])</f>
        <v>0</v>
      </c>
      <c r="CE203" s="139" t="n">
        <f aca="false">+DATOS_[[#This Row],[SALARIO BASE Ef]]+DATOS_[[#This Row],[Tot COMPL.SAL Ef]]</f>
        <v>0</v>
      </c>
      <c r="CF203" s="139" t="n">
        <f aca="false">+SUM(DATOS_[[#This Row],[C.Extra.01]:[C.Extra.05]])</f>
        <v>0</v>
      </c>
      <c r="CG203" s="139" t="n">
        <f aca="false">+DATOS_[[#This Row],[TOTAL SALARIO Ef]]+DATOS_[[#This Row],[Tot Extrasalarial Ef]]</f>
        <v>0</v>
      </c>
      <c r="CH203" s="140" t="n">
        <f aca="false">MIN(IF(DATOS_[[#This Row],[Fecha Fin Contrato]]="",$D$4,DATOS_[[#This Row],[Fecha Fin Contrato]]),$D$4)-MAX(DATOS_[[#This Row],[Fecha de Contratación]],$D$3)+1</f>
        <v>1</v>
      </c>
      <c r="CI203" s="141" t="str">
        <f aca="false">IF(COUNTIFS(DATOS_[id],DATOS_[[#This Row],[id]])&gt;1,DATOS_[[#This Row],[id]],"")</f>
        <v/>
      </c>
      <c r="CJ203" s="141" t="n">
        <f aca="false">(Inicio!$G$10-DATOS_[[#This Row],[Fecha Nacimiento]])/365.25</f>
        <v>0</v>
      </c>
      <c r="CK203" s="141" t="n">
        <f aca="false">(Inicio!$G$10-DATOS_[[#This Row],[Fecha de Antigüedad]])/365.25</f>
        <v>0</v>
      </c>
      <c r="CL203" s="141" t="e">
        <f aca="false">+VLOOKUP(DATOS_[[#This Row],[Clave de Contrato]],TblTiposContrato13[],3,0)</f>
        <v>#N/A</v>
      </c>
      <c r="CM203" s="141" t="e">
        <f aca="false">+VLOOKUP(DATOS_[[#This Row],[Clave de Contrato]],TblTiposContrato13[],4,0)</f>
        <v>#N/A</v>
      </c>
      <c r="CN203" s="141" t="str">
        <f aca="false">VLOOKUP(DATOS_[[#This Row],[Edad]],CONTRATOS!TblRngEdad,2,1)</f>
        <v>20  o menos</v>
      </c>
      <c r="CO203" s="141" t="str">
        <f aca="false">VLOOKUP(DATOS_[[#This Row],[Antigüedad]],TblRngAntg14[],2,1)</f>
        <v>0 a 1 años</v>
      </c>
    </row>
    <row r="204" customFormat="false" ht="13.8" hidden="false" customHeight="false" outlineLevel="0" collapsed="false">
      <c r="D204" s="128"/>
      <c r="E204" s="129"/>
      <c r="F204" s="129"/>
      <c r="G204" s="129"/>
      <c r="H204" s="130"/>
      <c r="I204" s="131"/>
      <c r="J204" s="128"/>
      <c r="K204" s="132"/>
      <c r="L204" s="132"/>
      <c r="M204" s="133"/>
      <c r="N204" s="133"/>
      <c r="O204" s="133"/>
      <c r="P204" s="129"/>
      <c r="Z204" s="75"/>
      <c r="AA204" s="76"/>
      <c r="AB204" s="76"/>
      <c r="AC204" s="129"/>
      <c r="AD204" s="134"/>
      <c r="AE204" s="134"/>
      <c r="AF204" s="134"/>
      <c r="AG204" s="134"/>
      <c r="AH204" s="134"/>
      <c r="AI204" s="134"/>
      <c r="AJ204" s="134"/>
      <c r="AK204" s="134"/>
      <c r="AL204" s="134"/>
      <c r="AM204" s="134"/>
      <c r="AN204" s="134"/>
      <c r="AO204" s="134"/>
      <c r="AP204" s="134"/>
      <c r="AQ204" s="134"/>
      <c r="AR204" s="134"/>
      <c r="AS204" s="134"/>
      <c r="AT204" s="134"/>
      <c r="AU204" s="134"/>
      <c r="AV204" s="134"/>
      <c r="AW204" s="134"/>
      <c r="AX204" s="134"/>
      <c r="AY204" s="134"/>
      <c r="AZ204" s="134"/>
      <c r="BA204" s="134"/>
      <c r="BB204" s="134"/>
      <c r="BC204" s="134"/>
      <c r="BD204" s="134"/>
      <c r="BE204" s="134"/>
      <c r="BF204" s="134"/>
      <c r="BG204" s="134"/>
      <c r="BH204" s="134"/>
      <c r="BI204" s="134"/>
      <c r="BJ204" s="134"/>
      <c r="BK204" s="134"/>
      <c r="BL204" s="134"/>
      <c r="BM204" s="135"/>
      <c r="BN204" s="136" t="n">
        <f aca="false">+MAX($D$3,DATOS_[[#This Row],[Fecha Inicio Sit. Contract.]])</f>
        <v>0</v>
      </c>
      <c r="BO204" s="136" t="n">
        <f aca="false">+MIN($D$4,DATOS_[[#This Row],[Fecha Fin Sit. Contract.]])</f>
        <v>0</v>
      </c>
      <c r="BP204" s="137" t="n">
        <f aca="false">+DATOS_[[#This Row],[% de jornada]]*IF(DATOS_[[#This Row],[% jornada reducida]]="",1,DATOS_[[#This Row],[% jornada reducida]])</f>
        <v>0</v>
      </c>
      <c r="BQ204" s="137" t="n">
        <f aca="false">+(DATOS_[[#This Row],[F.fin.cal]]-DATOS_[[#This Row],[F.ini.cal]]+1)/($D$4-$D$3+1)</f>
        <v>1</v>
      </c>
      <c r="BR204" s="137" t="str">
        <f aca="false">IF(OR(AND(DATOS_[[#This Row],[Fecha Fin Contrato]]&lt;$D$3,DATOS_[[#This Row],[Fecha Fin Contrato]]&lt;&gt;""),DATOS_[[#This Row],[Fecha de Contratación]]&gt;$D$4),"Fuera","Dentro")</f>
        <v>Dentro</v>
      </c>
      <c r="BS204" s="137" t="str">
        <f aca="false" t="array" ref="BS204:BS204">IF(MAX(IF(DATOS_[id]=DATOS_[[#This Row],[id]],DATOS_[F.fin.cal]))=DATOS_[[#This Row],[F.fin.cal]],"Sí","NO")</f>
        <v>Sí</v>
      </c>
      <c r="BT204" s="137" t="str">
        <f aca="false">IF(AND(DATOS_[[#This Row],[% normaliz]]&lt;&gt;1,DATOS_[[#This Row],[% anualiz]]=1),"Sí","NO")</f>
        <v>Sí</v>
      </c>
      <c r="BU204" s="137" t="str">
        <f aca="false">IF(AND(DATOS_[[#This Row],[% normaliz]]=1,DATOS_[[#This Row],[% anualiz]]&lt;&gt;1),"Sí","NO")</f>
        <v>NO</v>
      </c>
      <c r="BV204" s="137" t="str">
        <f aca="false">IF(AND(DATOS_[[#This Row],[% normaliz]]&lt;&gt;1,DATOS_[[#This Row],[% anualiz]]&lt;&gt;1),"Sí","NO")</f>
        <v>NO</v>
      </c>
      <c r="BW204" s="137" t="str">
        <f aca="false">+IF(DATOS_[[#This Row],[% normaliz]]*DATOS_[[#This Row],[% anualiz]]=1,"NO","Sí")</f>
        <v>Sí</v>
      </c>
      <c r="BX204" s="138" t="e">
        <f aca="false">(DATOS_[[#This Row],[S.BASE]]*(1/DATOS_[[#This Row],[% normaliz]])*(1/DATOS_[[#This Row],[% anualiz]]))*IF(DATOS_[[#This Row],[Check Equiparado]]="Sí",1,0)</f>
        <v>#DIV/0!</v>
      </c>
      <c r="BY2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4" s="138" t="e">
        <f aca="false">+DATOS_[[#This Row],[SALARIO BASE Eq]]+DATOS_[[#This Row],[Tot COMPL.SAL Eq]]</f>
        <v>#DIV/0!</v>
      </c>
      <c r="CA204" s="138" t="e">
        <f aca="false" t="array" ref="CA204:CA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4" s="138" t="e">
        <f aca="false">+DATOS_[[#This Row],[TOTAL SALARIO Eq]]+DATOS_[[#This Row],[Tot Extrasalarial Eq]]</f>
        <v>#DIV/0!</v>
      </c>
      <c r="CC204" s="139" t="n">
        <f aca="false">DATOS_[[#This Row],[S.BASE]]</f>
        <v>0</v>
      </c>
      <c r="CD204" s="139" t="n">
        <f aca="false">+SUM(DATOS_[[#This Row],[Conc.Sal.01]:[Conc.Sal.30]])</f>
        <v>0</v>
      </c>
      <c r="CE204" s="139" t="n">
        <f aca="false">+DATOS_[[#This Row],[SALARIO BASE Ef]]+DATOS_[[#This Row],[Tot COMPL.SAL Ef]]</f>
        <v>0</v>
      </c>
      <c r="CF204" s="139" t="n">
        <f aca="false">+SUM(DATOS_[[#This Row],[C.Extra.01]:[C.Extra.05]])</f>
        <v>0</v>
      </c>
      <c r="CG204" s="139" t="n">
        <f aca="false">+DATOS_[[#This Row],[TOTAL SALARIO Ef]]+DATOS_[[#This Row],[Tot Extrasalarial Ef]]</f>
        <v>0</v>
      </c>
      <c r="CH204" s="140" t="n">
        <f aca="false">MIN(IF(DATOS_[[#This Row],[Fecha Fin Contrato]]="",$D$4,DATOS_[[#This Row],[Fecha Fin Contrato]]),$D$4)-MAX(DATOS_[[#This Row],[Fecha de Contratación]],$D$3)+1</f>
        <v>1</v>
      </c>
      <c r="CI204" s="141" t="str">
        <f aca="false">IF(COUNTIFS(DATOS_[id],DATOS_[[#This Row],[id]])&gt;1,DATOS_[[#This Row],[id]],"")</f>
        <v/>
      </c>
      <c r="CJ204" s="141" t="n">
        <f aca="false">(Inicio!$G$10-DATOS_[[#This Row],[Fecha Nacimiento]])/365.25</f>
        <v>0</v>
      </c>
      <c r="CK204" s="141" t="n">
        <f aca="false">(Inicio!$G$10-DATOS_[[#This Row],[Fecha de Antigüedad]])/365.25</f>
        <v>0</v>
      </c>
      <c r="CL204" s="141" t="e">
        <f aca="false">+VLOOKUP(DATOS_[[#This Row],[Clave de Contrato]],TblTiposContrato13[],3,0)</f>
        <v>#N/A</v>
      </c>
      <c r="CM204" s="141" t="e">
        <f aca="false">+VLOOKUP(DATOS_[[#This Row],[Clave de Contrato]],TblTiposContrato13[],4,0)</f>
        <v>#N/A</v>
      </c>
      <c r="CN204" s="141" t="str">
        <f aca="false">VLOOKUP(DATOS_[[#This Row],[Edad]],CONTRATOS!TblRngEdad,2,1)</f>
        <v>20  o menos</v>
      </c>
      <c r="CO204" s="141" t="str">
        <f aca="false">VLOOKUP(DATOS_[[#This Row],[Antigüedad]],TblRngAntg14[],2,1)</f>
        <v>0 a 1 años</v>
      </c>
    </row>
    <row r="205" customFormat="false" ht="13.8" hidden="false" customHeight="false" outlineLevel="0" collapsed="false">
      <c r="D205" s="128"/>
      <c r="E205" s="129"/>
      <c r="F205" s="129"/>
      <c r="G205" s="129"/>
      <c r="H205" s="130"/>
      <c r="I205" s="131"/>
      <c r="J205" s="128"/>
      <c r="K205" s="132"/>
      <c r="L205" s="132"/>
      <c r="M205" s="133"/>
      <c r="N205" s="133"/>
      <c r="O205" s="133"/>
      <c r="P205" s="129"/>
      <c r="Z205" s="75"/>
      <c r="AA205" s="76"/>
      <c r="AB205" s="76"/>
      <c r="AC205" s="129"/>
      <c r="AD205" s="134"/>
      <c r="AE205" s="134"/>
      <c r="AF205" s="134"/>
      <c r="AG205" s="134"/>
      <c r="AH205" s="134"/>
      <c r="AI205" s="134"/>
      <c r="AJ205" s="134"/>
      <c r="AK205" s="134"/>
      <c r="AL205" s="134"/>
      <c r="AM205" s="134"/>
      <c r="AN205" s="134"/>
      <c r="AO205" s="134"/>
      <c r="AP205" s="134"/>
      <c r="AQ205" s="134"/>
      <c r="AR205" s="134"/>
      <c r="AS205" s="134"/>
      <c r="AT205" s="134"/>
      <c r="AU205" s="134"/>
      <c r="AV205" s="134"/>
      <c r="AW205" s="134"/>
      <c r="AX205" s="134"/>
      <c r="AY205" s="134"/>
      <c r="AZ205" s="134"/>
      <c r="BA205" s="134"/>
      <c r="BB205" s="134"/>
      <c r="BC205" s="134"/>
      <c r="BD205" s="134"/>
      <c r="BE205" s="134"/>
      <c r="BF205" s="134"/>
      <c r="BG205" s="134"/>
      <c r="BH205" s="134"/>
      <c r="BI205" s="134"/>
      <c r="BJ205" s="134"/>
      <c r="BK205" s="134"/>
      <c r="BL205" s="134"/>
      <c r="BM205" s="135"/>
      <c r="BN205" s="136" t="n">
        <f aca="false">+MAX($D$3,DATOS_[[#This Row],[Fecha Inicio Sit. Contract.]])</f>
        <v>0</v>
      </c>
      <c r="BO205" s="136" t="n">
        <f aca="false">+MIN($D$4,DATOS_[[#This Row],[Fecha Fin Sit. Contract.]])</f>
        <v>0</v>
      </c>
      <c r="BP205" s="137" t="n">
        <f aca="false">+DATOS_[[#This Row],[% de jornada]]*IF(DATOS_[[#This Row],[% jornada reducida]]="",1,DATOS_[[#This Row],[% jornada reducida]])</f>
        <v>0</v>
      </c>
      <c r="BQ205" s="137" t="n">
        <f aca="false">+(DATOS_[[#This Row],[F.fin.cal]]-DATOS_[[#This Row],[F.ini.cal]]+1)/($D$4-$D$3+1)</f>
        <v>1</v>
      </c>
      <c r="BR205" s="137" t="str">
        <f aca="false">IF(OR(AND(DATOS_[[#This Row],[Fecha Fin Contrato]]&lt;$D$3,DATOS_[[#This Row],[Fecha Fin Contrato]]&lt;&gt;""),DATOS_[[#This Row],[Fecha de Contratación]]&gt;$D$4),"Fuera","Dentro")</f>
        <v>Dentro</v>
      </c>
      <c r="BS205" s="137" t="str">
        <f aca="false" t="array" ref="BS205:BS205">IF(MAX(IF(DATOS_[id]=DATOS_[[#This Row],[id]],DATOS_[F.fin.cal]))=DATOS_[[#This Row],[F.fin.cal]],"Sí","NO")</f>
        <v>Sí</v>
      </c>
      <c r="BT205" s="137" t="str">
        <f aca="false">IF(AND(DATOS_[[#This Row],[% normaliz]]&lt;&gt;1,DATOS_[[#This Row],[% anualiz]]=1),"Sí","NO")</f>
        <v>Sí</v>
      </c>
      <c r="BU205" s="137" t="str">
        <f aca="false">IF(AND(DATOS_[[#This Row],[% normaliz]]=1,DATOS_[[#This Row],[% anualiz]]&lt;&gt;1),"Sí","NO")</f>
        <v>NO</v>
      </c>
      <c r="BV205" s="137" t="str">
        <f aca="false">IF(AND(DATOS_[[#This Row],[% normaliz]]&lt;&gt;1,DATOS_[[#This Row],[% anualiz]]&lt;&gt;1),"Sí","NO")</f>
        <v>NO</v>
      </c>
      <c r="BW205" s="137" t="str">
        <f aca="false">+IF(DATOS_[[#This Row],[% normaliz]]*DATOS_[[#This Row],[% anualiz]]=1,"NO","Sí")</f>
        <v>Sí</v>
      </c>
      <c r="BX205" s="138" t="e">
        <f aca="false">(DATOS_[[#This Row],[S.BASE]]*(1/DATOS_[[#This Row],[% normaliz]])*(1/DATOS_[[#This Row],[% anualiz]]))*IF(DATOS_[[#This Row],[Check Equiparado]]="Sí",1,0)</f>
        <v>#DIV/0!</v>
      </c>
      <c r="BY2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5" s="138" t="e">
        <f aca="false">+DATOS_[[#This Row],[SALARIO BASE Eq]]+DATOS_[[#This Row],[Tot COMPL.SAL Eq]]</f>
        <v>#DIV/0!</v>
      </c>
      <c r="CA205" s="138" t="e">
        <f aca="false" t="array" ref="CA205:CA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5" s="138" t="e">
        <f aca="false">+DATOS_[[#This Row],[TOTAL SALARIO Eq]]+DATOS_[[#This Row],[Tot Extrasalarial Eq]]</f>
        <v>#DIV/0!</v>
      </c>
      <c r="CC205" s="139" t="n">
        <f aca="false">DATOS_[[#This Row],[S.BASE]]</f>
        <v>0</v>
      </c>
      <c r="CD205" s="139" t="n">
        <f aca="false">+SUM(DATOS_[[#This Row],[Conc.Sal.01]:[Conc.Sal.30]])</f>
        <v>0</v>
      </c>
      <c r="CE205" s="139" t="n">
        <f aca="false">+DATOS_[[#This Row],[SALARIO BASE Ef]]+DATOS_[[#This Row],[Tot COMPL.SAL Ef]]</f>
        <v>0</v>
      </c>
      <c r="CF205" s="139" t="n">
        <f aca="false">+SUM(DATOS_[[#This Row],[C.Extra.01]:[C.Extra.05]])</f>
        <v>0</v>
      </c>
      <c r="CG205" s="139" t="n">
        <f aca="false">+DATOS_[[#This Row],[TOTAL SALARIO Ef]]+DATOS_[[#This Row],[Tot Extrasalarial Ef]]</f>
        <v>0</v>
      </c>
      <c r="CH205" s="140" t="n">
        <f aca="false">MIN(IF(DATOS_[[#This Row],[Fecha Fin Contrato]]="",$D$4,DATOS_[[#This Row],[Fecha Fin Contrato]]),$D$4)-MAX(DATOS_[[#This Row],[Fecha de Contratación]],$D$3)+1</f>
        <v>1</v>
      </c>
      <c r="CI205" s="141" t="str">
        <f aca="false">IF(COUNTIFS(DATOS_[id],DATOS_[[#This Row],[id]])&gt;1,DATOS_[[#This Row],[id]],"")</f>
        <v/>
      </c>
      <c r="CJ205" s="141" t="n">
        <f aca="false">(Inicio!$G$10-DATOS_[[#This Row],[Fecha Nacimiento]])/365.25</f>
        <v>0</v>
      </c>
      <c r="CK205" s="141" t="n">
        <f aca="false">(Inicio!$G$10-DATOS_[[#This Row],[Fecha de Antigüedad]])/365.25</f>
        <v>0</v>
      </c>
      <c r="CL205" s="141" t="e">
        <f aca="false">+VLOOKUP(DATOS_[[#This Row],[Clave de Contrato]],TblTiposContrato13[],3,0)</f>
        <v>#N/A</v>
      </c>
      <c r="CM205" s="141" t="e">
        <f aca="false">+VLOOKUP(DATOS_[[#This Row],[Clave de Contrato]],TblTiposContrato13[],4,0)</f>
        <v>#N/A</v>
      </c>
      <c r="CN205" s="141" t="str">
        <f aca="false">VLOOKUP(DATOS_[[#This Row],[Edad]],CONTRATOS!TblRngEdad,2,1)</f>
        <v>20  o menos</v>
      </c>
      <c r="CO205" s="141" t="str">
        <f aca="false">VLOOKUP(DATOS_[[#This Row],[Antigüedad]],TblRngAntg14[],2,1)</f>
        <v>0 a 1 años</v>
      </c>
    </row>
    <row r="206" customFormat="false" ht="13.8" hidden="false" customHeight="false" outlineLevel="0" collapsed="false">
      <c r="D206" s="128"/>
      <c r="E206" s="129"/>
      <c r="F206" s="129"/>
      <c r="G206" s="129"/>
      <c r="H206" s="130"/>
      <c r="I206" s="131"/>
      <c r="J206" s="128"/>
      <c r="K206" s="132"/>
      <c r="L206" s="132"/>
      <c r="M206" s="133"/>
      <c r="N206" s="133"/>
      <c r="O206" s="133"/>
      <c r="P206" s="129"/>
      <c r="Z206" s="75"/>
      <c r="AA206" s="76"/>
      <c r="AB206" s="76"/>
      <c r="AC206" s="129"/>
      <c r="AD206" s="134"/>
      <c r="AE206" s="134"/>
      <c r="AF206" s="134"/>
      <c r="AG206" s="134"/>
      <c r="AH206" s="134"/>
      <c r="AI206" s="134"/>
      <c r="AJ206" s="134"/>
      <c r="AK206" s="134"/>
      <c r="AL206" s="134"/>
      <c r="AM206" s="134"/>
      <c r="AN206" s="134"/>
      <c r="AO206" s="134"/>
      <c r="AP206" s="134"/>
      <c r="AQ206" s="134"/>
      <c r="AR206" s="134"/>
      <c r="AS206" s="134"/>
      <c r="AT206" s="134"/>
      <c r="AU206" s="134"/>
      <c r="AV206" s="134"/>
      <c r="AW206" s="134"/>
      <c r="AX206" s="134"/>
      <c r="AY206" s="134"/>
      <c r="AZ206" s="134"/>
      <c r="BA206" s="134"/>
      <c r="BB206" s="134"/>
      <c r="BC206" s="134"/>
      <c r="BD206" s="134"/>
      <c r="BE206" s="134"/>
      <c r="BF206" s="134"/>
      <c r="BG206" s="134"/>
      <c r="BH206" s="134"/>
      <c r="BI206" s="134"/>
      <c r="BJ206" s="134"/>
      <c r="BK206" s="134"/>
      <c r="BL206" s="134"/>
      <c r="BM206" s="135"/>
      <c r="BN206" s="136" t="n">
        <f aca="false">+MAX($D$3,DATOS_[[#This Row],[Fecha Inicio Sit. Contract.]])</f>
        <v>0</v>
      </c>
      <c r="BO206" s="136" t="n">
        <f aca="false">+MIN($D$4,DATOS_[[#This Row],[Fecha Fin Sit. Contract.]])</f>
        <v>0</v>
      </c>
      <c r="BP206" s="137" t="n">
        <f aca="false">+DATOS_[[#This Row],[% de jornada]]*IF(DATOS_[[#This Row],[% jornada reducida]]="",1,DATOS_[[#This Row],[% jornada reducida]])</f>
        <v>0</v>
      </c>
      <c r="BQ206" s="137" t="n">
        <f aca="false">+(DATOS_[[#This Row],[F.fin.cal]]-DATOS_[[#This Row],[F.ini.cal]]+1)/($D$4-$D$3+1)</f>
        <v>1</v>
      </c>
      <c r="BR206" s="137" t="str">
        <f aca="false">IF(OR(AND(DATOS_[[#This Row],[Fecha Fin Contrato]]&lt;$D$3,DATOS_[[#This Row],[Fecha Fin Contrato]]&lt;&gt;""),DATOS_[[#This Row],[Fecha de Contratación]]&gt;$D$4),"Fuera","Dentro")</f>
        <v>Dentro</v>
      </c>
      <c r="BS206" s="137" t="str">
        <f aca="false" t="array" ref="BS206:BS206">IF(MAX(IF(DATOS_[id]=DATOS_[[#This Row],[id]],DATOS_[F.fin.cal]))=DATOS_[[#This Row],[F.fin.cal]],"Sí","NO")</f>
        <v>Sí</v>
      </c>
      <c r="BT206" s="137" t="str">
        <f aca="false">IF(AND(DATOS_[[#This Row],[% normaliz]]&lt;&gt;1,DATOS_[[#This Row],[% anualiz]]=1),"Sí","NO")</f>
        <v>Sí</v>
      </c>
      <c r="BU206" s="137" t="str">
        <f aca="false">IF(AND(DATOS_[[#This Row],[% normaliz]]=1,DATOS_[[#This Row],[% anualiz]]&lt;&gt;1),"Sí","NO")</f>
        <v>NO</v>
      </c>
      <c r="BV206" s="137" t="str">
        <f aca="false">IF(AND(DATOS_[[#This Row],[% normaliz]]&lt;&gt;1,DATOS_[[#This Row],[% anualiz]]&lt;&gt;1),"Sí","NO")</f>
        <v>NO</v>
      </c>
      <c r="BW206" s="137" t="str">
        <f aca="false">+IF(DATOS_[[#This Row],[% normaliz]]*DATOS_[[#This Row],[% anualiz]]=1,"NO","Sí")</f>
        <v>Sí</v>
      </c>
      <c r="BX206" s="138" t="e">
        <f aca="false">(DATOS_[[#This Row],[S.BASE]]*(1/DATOS_[[#This Row],[% normaliz]])*(1/DATOS_[[#This Row],[% anualiz]]))*IF(DATOS_[[#This Row],[Check Equiparado]]="Sí",1,0)</f>
        <v>#DIV/0!</v>
      </c>
      <c r="BY2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6" s="138" t="e">
        <f aca="false">+DATOS_[[#This Row],[SALARIO BASE Eq]]+DATOS_[[#This Row],[Tot COMPL.SAL Eq]]</f>
        <v>#DIV/0!</v>
      </c>
      <c r="CA206" s="138" t="e">
        <f aca="false" t="array" ref="CA206:CA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6" s="138" t="e">
        <f aca="false">+DATOS_[[#This Row],[TOTAL SALARIO Eq]]+DATOS_[[#This Row],[Tot Extrasalarial Eq]]</f>
        <v>#DIV/0!</v>
      </c>
      <c r="CC206" s="139" t="n">
        <f aca="false">DATOS_[[#This Row],[S.BASE]]</f>
        <v>0</v>
      </c>
      <c r="CD206" s="139" t="n">
        <f aca="false">+SUM(DATOS_[[#This Row],[Conc.Sal.01]:[Conc.Sal.30]])</f>
        <v>0</v>
      </c>
      <c r="CE206" s="139" t="n">
        <f aca="false">+DATOS_[[#This Row],[SALARIO BASE Ef]]+DATOS_[[#This Row],[Tot COMPL.SAL Ef]]</f>
        <v>0</v>
      </c>
      <c r="CF206" s="139" t="n">
        <f aca="false">+SUM(DATOS_[[#This Row],[C.Extra.01]:[C.Extra.05]])</f>
        <v>0</v>
      </c>
      <c r="CG206" s="139" t="n">
        <f aca="false">+DATOS_[[#This Row],[TOTAL SALARIO Ef]]+DATOS_[[#This Row],[Tot Extrasalarial Ef]]</f>
        <v>0</v>
      </c>
      <c r="CH206" s="140" t="n">
        <f aca="false">MIN(IF(DATOS_[[#This Row],[Fecha Fin Contrato]]="",$D$4,DATOS_[[#This Row],[Fecha Fin Contrato]]),$D$4)-MAX(DATOS_[[#This Row],[Fecha de Contratación]],$D$3)+1</f>
        <v>1</v>
      </c>
      <c r="CI206" s="141" t="str">
        <f aca="false">IF(COUNTIFS(DATOS_[id],DATOS_[[#This Row],[id]])&gt;1,DATOS_[[#This Row],[id]],"")</f>
        <v/>
      </c>
      <c r="CJ206" s="141" t="n">
        <f aca="false">(Inicio!$G$10-DATOS_[[#This Row],[Fecha Nacimiento]])/365.25</f>
        <v>0</v>
      </c>
      <c r="CK206" s="141" t="n">
        <f aca="false">(Inicio!$G$10-DATOS_[[#This Row],[Fecha de Antigüedad]])/365.25</f>
        <v>0</v>
      </c>
      <c r="CL206" s="141" t="e">
        <f aca="false">+VLOOKUP(DATOS_[[#This Row],[Clave de Contrato]],TblTiposContrato13[],3,0)</f>
        <v>#N/A</v>
      </c>
      <c r="CM206" s="141" t="e">
        <f aca="false">+VLOOKUP(DATOS_[[#This Row],[Clave de Contrato]],TblTiposContrato13[],4,0)</f>
        <v>#N/A</v>
      </c>
      <c r="CN206" s="141" t="str">
        <f aca="false">VLOOKUP(DATOS_[[#This Row],[Edad]],CONTRATOS!TblRngEdad,2,1)</f>
        <v>20  o menos</v>
      </c>
      <c r="CO206" s="141" t="str">
        <f aca="false">VLOOKUP(DATOS_[[#This Row],[Antigüedad]],TblRngAntg14[],2,1)</f>
        <v>0 a 1 años</v>
      </c>
    </row>
    <row r="207" customFormat="false" ht="13.8" hidden="false" customHeight="false" outlineLevel="0" collapsed="false">
      <c r="D207" s="128"/>
      <c r="E207" s="129"/>
      <c r="F207" s="129"/>
      <c r="G207" s="129"/>
      <c r="H207" s="130"/>
      <c r="I207" s="131"/>
      <c r="J207" s="128"/>
      <c r="K207" s="132"/>
      <c r="L207" s="132"/>
      <c r="M207" s="133"/>
      <c r="N207" s="133"/>
      <c r="O207" s="133"/>
      <c r="P207" s="129"/>
      <c r="Z207" s="75"/>
      <c r="AA207" s="76"/>
      <c r="AB207" s="76"/>
      <c r="AC207" s="129"/>
      <c r="AD207" s="134"/>
      <c r="AE207" s="134"/>
      <c r="AF207" s="134"/>
      <c r="AG207" s="134"/>
      <c r="AH207" s="134"/>
      <c r="AI207" s="134"/>
      <c r="AJ207" s="134"/>
      <c r="AK207" s="134"/>
      <c r="AL207" s="134"/>
      <c r="AM207" s="134"/>
      <c r="AN207" s="134"/>
      <c r="AO207" s="134"/>
      <c r="AP207" s="134"/>
      <c r="AQ207" s="134"/>
      <c r="AR207" s="134"/>
      <c r="AS207" s="134"/>
      <c r="AT207" s="134"/>
      <c r="AU207" s="134"/>
      <c r="AV207" s="134"/>
      <c r="AW207" s="134"/>
      <c r="AX207" s="134"/>
      <c r="AY207" s="134"/>
      <c r="AZ207" s="134"/>
      <c r="BA207" s="134"/>
      <c r="BB207" s="134"/>
      <c r="BC207" s="134"/>
      <c r="BD207" s="134"/>
      <c r="BE207" s="134"/>
      <c r="BF207" s="134"/>
      <c r="BG207" s="134"/>
      <c r="BH207" s="134"/>
      <c r="BI207" s="134"/>
      <c r="BJ207" s="134"/>
      <c r="BK207" s="134"/>
      <c r="BL207" s="134"/>
      <c r="BM207" s="135"/>
      <c r="BN207" s="136" t="n">
        <f aca="false">+MAX($D$3,DATOS_[[#This Row],[Fecha Inicio Sit. Contract.]])</f>
        <v>0</v>
      </c>
      <c r="BO207" s="136" t="n">
        <f aca="false">+MIN($D$4,DATOS_[[#This Row],[Fecha Fin Sit. Contract.]])</f>
        <v>0</v>
      </c>
      <c r="BP207" s="137" t="n">
        <f aca="false">+DATOS_[[#This Row],[% de jornada]]*IF(DATOS_[[#This Row],[% jornada reducida]]="",1,DATOS_[[#This Row],[% jornada reducida]])</f>
        <v>0</v>
      </c>
      <c r="BQ207" s="137" t="n">
        <f aca="false">+(DATOS_[[#This Row],[F.fin.cal]]-DATOS_[[#This Row],[F.ini.cal]]+1)/($D$4-$D$3+1)</f>
        <v>1</v>
      </c>
      <c r="BR207" s="137" t="str">
        <f aca="false">IF(OR(AND(DATOS_[[#This Row],[Fecha Fin Contrato]]&lt;$D$3,DATOS_[[#This Row],[Fecha Fin Contrato]]&lt;&gt;""),DATOS_[[#This Row],[Fecha de Contratación]]&gt;$D$4),"Fuera","Dentro")</f>
        <v>Dentro</v>
      </c>
      <c r="BS207" s="137" t="str">
        <f aca="false" t="array" ref="BS207:BS207">IF(MAX(IF(DATOS_[id]=DATOS_[[#This Row],[id]],DATOS_[F.fin.cal]))=DATOS_[[#This Row],[F.fin.cal]],"Sí","NO")</f>
        <v>Sí</v>
      </c>
      <c r="BT207" s="137" t="str">
        <f aca="false">IF(AND(DATOS_[[#This Row],[% normaliz]]&lt;&gt;1,DATOS_[[#This Row],[% anualiz]]=1),"Sí","NO")</f>
        <v>Sí</v>
      </c>
      <c r="BU207" s="137" t="str">
        <f aca="false">IF(AND(DATOS_[[#This Row],[% normaliz]]=1,DATOS_[[#This Row],[% anualiz]]&lt;&gt;1),"Sí","NO")</f>
        <v>NO</v>
      </c>
      <c r="BV207" s="137" t="str">
        <f aca="false">IF(AND(DATOS_[[#This Row],[% normaliz]]&lt;&gt;1,DATOS_[[#This Row],[% anualiz]]&lt;&gt;1),"Sí","NO")</f>
        <v>NO</v>
      </c>
      <c r="BW207" s="137" t="str">
        <f aca="false">+IF(DATOS_[[#This Row],[% normaliz]]*DATOS_[[#This Row],[% anualiz]]=1,"NO","Sí")</f>
        <v>Sí</v>
      </c>
      <c r="BX207" s="138" t="e">
        <f aca="false">(DATOS_[[#This Row],[S.BASE]]*(1/DATOS_[[#This Row],[% normaliz]])*(1/DATOS_[[#This Row],[% anualiz]]))*IF(DATOS_[[#This Row],[Check Equiparado]]="Sí",1,0)</f>
        <v>#DIV/0!</v>
      </c>
      <c r="BY2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7" s="138" t="e">
        <f aca="false">+DATOS_[[#This Row],[SALARIO BASE Eq]]+DATOS_[[#This Row],[Tot COMPL.SAL Eq]]</f>
        <v>#DIV/0!</v>
      </c>
      <c r="CA207" s="138" t="e">
        <f aca="false" t="array" ref="CA207:CA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7" s="138" t="e">
        <f aca="false">+DATOS_[[#This Row],[TOTAL SALARIO Eq]]+DATOS_[[#This Row],[Tot Extrasalarial Eq]]</f>
        <v>#DIV/0!</v>
      </c>
      <c r="CC207" s="139" t="n">
        <f aca="false">DATOS_[[#This Row],[S.BASE]]</f>
        <v>0</v>
      </c>
      <c r="CD207" s="139" t="n">
        <f aca="false">+SUM(DATOS_[[#This Row],[Conc.Sal.01]:[Conc.Sal.30]])</f>
        <v>0</v>
      </c>
      <c r="CE207" s="139" t="n">
        <f aca="false">+DATOS_[[#This Row],[SALARIO BASE Ef]]+DATOS_[[#This Row],[Tot COMPL.SAL Ef]]</f>
        <v>0</v>
      </c>
      <c r="CF207" s="139" t="n">
        <f aca="false">+SUM(DATOS_[[#This Row],[C.Extra.01]:[C.Extra.05]])</f>
        <v>0</v>
      </c>
      <c r="CG207" s="139" t="n">
        <f aca="false">+DATOS_[[#This Row],[TOTAL SALARIO Ef]]+DATOS_[[#This Row],[Tot Extrasalarial Ef]]</f>
        <v>0</v>
      </c>
      <c r="CH207" s="140" t="n">
        <f aca="false">MIN(IF(DATOS_[[#This Row],[Fecha Fin Contrato]]="",$D$4,DATOS_[[#This Row],[Fecha Fin Contrato]]),$D$4)-MAX(DATOS_[[#This Row],[Fecha de Contratación]],$D$3)+1</f>
        <v>1</v>
      </c>
      <c r="CI207" s="141" t="str">
        <f aca="false">IF(COUNTIFS(DATOS_[id],DATOS_[[#This Row],[id]])&gt;1,DATOS_[[#This Row],[id]],"")</f>
        <v/>
      </c>
      <c r="CJ207" s="141" t="n">
        <f aca="false">(Inicio!$G$10-DATOS_[[#This Row],[Fecha Nacimiento]])/365.25</f>
        <v>0</v>
      </c>
      <c r="CK207" s="141" t="n">
        <f aca="false">(Inicio!$G$10-DATOS_[[#This Row],[Fecha de Antigüedad]])/365.25</f>
        <v>0</v>
      </c>
      <c r="CL207" s="141" t="e">
        <f aca="false">+VLOOKUP(DATOS_[[#This Row],[Clave de Contrato]],TblTiposContrato13[],3,0)</f>
        <v>#N/A</v>
      </c>
      <c r="CM207" s="141" t="e">
        <f aca="false">+VLOOKUP(DATOS_[[#This Row],[Clave de Contrato]],TblTiposContrato13[],4,0)</f>
        <v>#N/A</v>
      </c>
      <c r="CN207" s="141" t="str">
        <f aca="false">VLOOKUP(DATOS_[[#This Row],[Edad]],CONTRATOS!TblRngEdad,2,1)</f>
        <v>20  o menos</v>
      </c>
      <c r="CO207" s="141" t="str">
        <f aca="false">VLOOKUP(DATOS_[[#This Row],[Antigüedad]],TblRngAntg14[],2,1)</f>
        <v>0 a 1 años</v>
      </c>
    </row>
    <row r="208" customFormat="false" ht="13.8" hidden="false" customHeight="false" outlineLevel="0" collapsed="false">
      <c r="D208" s="128"/>
      <c r="E208" s="129"/>
      <c r="F208" s="129"/>
      <c r="G208" s="129"/>
      <c r="H208" s="130"/>
      <c r="I208" s="131"/>
      <c r="J208" s="128"/>
      <c r="K208" s="132"/>
      <c r="L208" s="132"/>
      <c r="M208" s="133"/>
      <c r="N208" s="133"/>
      <c r="O208" s="133"/>
      <c r="P208" s="129"/>
      <c r="Z208" s="75"/>
      <c r="AA208" s="76"/>
      <c r="AB208" s="76"/>
      <c r="AC208" s="129"/>
      <c r="AD208" s="134"/>
      <c r="AE208" s="134"/>
      <c r="AF208" s="134"/>
      <c r="AG208" s="134"/>
      <c r="AH208" s="134"/>
      <c r="AI208" s="134"/>
      <c r="AJ208" s="134"/>
      <c r="AK208" s="134"/>
      <c r="AL208" s="134"/>
      <c r="AM208" s="134"/>
      <c r="AN208" s="134"/>
      <c r="AO208" s="134"/>
      <c r="AP208" s="134"/>
      <c r="AQ208" s="134"/>
      <c r="AR208" s="134"/>
      <c r="AS208" s="134"/>
      <c r="AT208" s="134"/>
      <c r="AU208" s="134"/>
      <c r="AV208" s="134"/>
      <c r="AW208" s="134"/>
      <c r="AX208" s="134"/>
      <c r="AY208" s="134"/>
      <c r="AZ208" s="134"/>
      <c r="BA208" s="134"/>
      <c r="BB208" s="134"/>
      <c r="BC208" s="134"/>
      <c r="BD208" s="134"/>
      <c r="BE208" s="134"/>
      <c r="BF208" s="134"/>
      <c r="BG208" s="134"/>
      <c r="BH208" s="134"/>
      <c r="BI208" s="134"/>
      <c r="BJ208" s="134"/>
      <c r="BK208" s="134"/>
      <c r="BL208" s="134"/>
      <c r="BM208" s="135"/>
      <c r="BN208" s="136" t="n">
        <f aca="false">+MAX($D$3,DATOS_[[#This Row],[Fecha Inicio Sit. Contract.]])</f>
        <v>0</v>
      </c>
      <c r="BO208" s="136" t="n">
        <f aca="false">+MIN($D$4,DATOS_[[#This Row],[Fecha Fin Sit. Contract.]])</f>
        <v>0</v>
      </c>
      <c r="BP208" s="137" t="n">
        <f aca="false">+DATOS_[[#This Row],[% de jornada]]*IF(DATOS_[[#This Row],[% jornada reducida]]="",1,DATOS_[[#This Row],[% jornada reducida]])</f>
        <v>0</v>
      </c>
      <c r="BQ208" s="137" t="n">
        <f aca="false">+(DATOS_[[#This Row],[F.fin.cal]]-DATOS_[[#This Row],[F.ini.cal]]+1)/($D$4-$D$3+1)</f>
        <v>1</v>
      </c>
      <c r="BR208" s="137" t="str">
        <f aca="false">IF(OR(AND(DATOS_[[#This Row],[Fecha Fin Contrato]]&lt;$D$3,DATOS_[[#This Row],[Fecha Fin Contrato]]&lt;&gt;""),DATOS_[[#This Row],[Fecha de Contratación]]&gt;$D$4),"Fuera","Dentro")</f>
        <v>Dentro</v>
      </c>
      <c r="BS208" s="137" t="str">
        <f aca="false" t="array" ref="BS208:BS208">IF(MAX(IF(DATOS_[id]=DATOS_[[#This Row],[id]],DATOS_[F.fin.cal]))=DATOS_[[#This Row],[F.fin.cal]],"Sí","NO")</f>
        <v>Sí</v>
      </c>
      <c r="BT208" s="137" t="str">
        <f aca="false">IF(AND(DATOS_[[#This Row],[% normaliz]]&lt;&gt;1,DATOS_[[#This Row],[% anualiz]]=1),"Sí","NO")</f>
        <v>Sí</v>
      </c>
      <c r="BU208" s="137" t="str">
        <f aca="false">IF(AND(DATOS_[[#This Row],[% normaliz]]=1,DATOS_[[#This Row],[% anualiz]]&lt;&gt;1),"Sí","NO")</f>
        <v>NO</v>
      </c>
      <c r="BV208" s="137" t="str">
        <f aca="false">IF(AND(DATOS_[[#This Row],[% normaliz]]&lt;&gt;1,DATOS_[[#This Row],[% anualiz]]&lt;&gt;1),"Sí","NO")</f>
        <v>NO</v>
      </c>
      <c r="BW208" s="137" t="str">
        <f aca="false">+IF(DATOS_[[#This Row],[% normaliz]]*DATOS_[[#This Row],[% anualiz]]=1,"NO","Sí")</f>
        <v>Sí</v>
      </c>
      <c r="BX208" s="138" t="e">
        <f aca="false">(DATOS_[[#This Row],[S.BASE]]*(1/DATOS_[[#This Row],[% normaliz]])*(1/DATOS_[[#This Row],[% anualiz]]))*IF(DATOS_[[#This Row],[Check Equiparado]]="Sí",1,0)</f>
        <v>#DIV/0!</v>
      </c>
      <c r="BY2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8" s="138" t="e">
        <f aca="false">+DATOS_[[#This Row],[SALARIO BASE Eq]]+DATOS_[[#This Row],[Tot COMPL.SAL Eq]]</f>
        <v>#DIV/0!</v>
      </c>
      <c r="CA208" s="138" t="e">
        <f aca="false" t="array" ref="CA208:CA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8" s="138" t="e">
        <f aca="false">+DATOS_[[#This Row],[TOTAL SALARIO Eq]]+DATOS_[[#This Row],[Tot Extrasalarial Eq]]</f>
        <v>#DIV/0!</v>
      </c>
      <c r="CC208" s="139" t="n">
        <f aca="false">DATOS_[[#This Row],[S.BASE]]</f>
        <v>0</v>
      </c>
      <c r="CD208" s="139" t="n">
        <f aca="false">+SUM(DATOS_[[#This Row],[Conc.Sal.01]:[Conc.Sal.30]])</f>
        <v>0</v>
      </c>
      <c r="CE208" s="139" t="n">
        <f aca="false">+DATOS_[[#This Row],[SALARIO BASE Ef]]+DATOS_[[#This Row],[Tot COMPL.SAL Ef]]</f>
        <v>0</v>
      </c>
      <c r="CF208" s="139" t="n">
        <f aca="false">+SUM(DATOS_[[#This Row],[C.Extra.01]:[C.Extra.05]])</f>
        <v>0</v>
      </c>
      <c r="CG208" s="139" t="n">
        <f aca="false">+DATOS_[[#This Row],[TOTAL SALARIO Ef]]+DATOS_[[#This Row],[Tot Extrasalarial Ef]]</f>
        <v>0</v>
      </c>
      <c r="CH208" s="140" t="n">
        <f aca="false">MIN(IF(DATOS_[[#This Row],[Fecha Fin Contrato]]="",$D$4,DATOS_[[#This Row],[Fecha Fin Contrato]]),$D$4)-MAX(DATOS_[[#This Row],[Fecha de Contratación]],$D$3)+1</f>
        <v>1</v>
      </c>
      <c r="CI208" s="141" t="str">
        <f aca="false">IF(COUNTIFS(DATOS_[id],DATOS_[[#This Row],[id]])&gt;1,DATOS_[[#This Row],[id]],"")</f>
        <v/>
      </c>
      <c r="CJ208" s="141" t="n">
        <f aca="false">(Inicio!$G$10-DATOS_[[#This Row],[Fecha Nacimiento]])/365.25</f>
        <v>0</v>
      </c>
      <c r="CK208" s="141" t="n">
        <f aca="false">(Inicio!$G$10-DATOS_[[#This Row],[Fecha de Antigüedad]])/365.25</f>
        <v>0</v>
      </c>
      <c r="CL208" s="141" t="e">
        <f aca="false">+VLOOKUP(DATOS_[[#This Row],[Clave de Contrato]],TblTiposContrato13[],3,0)</f>
        <v>#N/A</v>
      </c>
      <c r="CM208" s="141" t="e">
        <f aca="false">+VLOOKUP(DATOS_[[#This Row],[Clave de Contrato]],TblTiposContrato13[],4,0)</f>
        <v>#N/A</v>
      </c>
      <c r="CN208" s="141" t="str">
        <f aca="false">VLOOKUP(DATOS_[[#This Row],[Edad]],CONTRATOS!TblRngEdad,2,1)</f>
        <v>20  o menos</v>
      </c>
      <c r="CO208" s="141" t="str">
        <f aca="false">VLOOKUP(DATOS_[[#This Row],[Antigüedad]],TblRngAntg14[],2,1)</f>
        <v>0 a 1 años</v>
      </c>
    </row>
    <row r="209" customFormat="false" ht="13.8" hidden="false" customHeight="false" outlineLevel="0" collapsed="false">
      <c r="D209" s="128"/>
      <c r="E209" s="129"/>
      <c r="F209" s="129"/>
      <c r="G209" s="129"/>
      <c r="H209" s="130"/>
      <c r="I209" s="131"/>
      <c r="J209" s="128"/>
      <c r="K209" s="132"/>
      <c r="L209" s="132"/>
      <c r="M209" s="133"/>
      <c r="N209" s="133"/>
      <c r="O209" s="133"/>
      <c r="P209" s="129"/>
      <c r="Z209" s="75"/>
      <c r="AA209" s="76"/>
      <c r="AB209" s="76"/>
      <c r="AC209" s="129"/>
      <c r="AD209" s="134"/>
      <c r="AE209" s="134"/>
      <c r="AF209" s="134"/>
      <c r="AG209" s="134"/>
      <c r="AH209" s="134"/>
      <c r="AI209" s="134"/>
      <c r="AJ209" s="134"/>
      <c r="AK209" s="134"/>
      <c r="AL209" s="134"/>
      <c r="AM209" s="134"/>
      <c r="AN209" s="134"/>
      <c r="AO209" s="134"/>
      <c r="AP209" s="134"/>
      <c r="AQ209" s="134"/>
      <c r="AR209" s="134"/>
      <c r="AS209" s="134"/>
      <c r="AT209" s="134"/>
      <c r="AU209" s="134"/>
      <c r="AV209" s="134"/>
      <c r="AW209" s="134"/>
      <c r="AX209" s="134"/>
      <c r="AY209" s="134"/>
      <c r="AZ209" s="134"/>
      <c r="BA209" s="134"/>
      <c r="BB209" s="134"/>
      <c r="BC209" s="134"/>
      <c r="BD209" s="134"/>
      <c r="BE209" s="134"/>
      <c r="BF209" s="134"/>
      <c r="BG209" s="134"/>
      <c r="BH209" s="134"/>
      <c r="BI209" s="134"/>
      <c r="BJ209" s="134"/>
      <c r="BK209" s="134"/>
      <c r="BL209" s="134"/>
      <c r="BM209" s="135"/>
      <c r="BN209" s="136" t="n">
        <f aca="false">+MAX($D$3,DATOS_[[#This Row],[Fecha Inicio Sit. Contract.]])</f>
        <v>0</v>
      </c>
      <c r="BO209" s="136" t="n">
        <f aca="false">+MIN($D$4,DATOS_[[#This Row],[Fecha Fin Sit. Contract.]])</f>
        <v>0</v>
      </c>
      <c r="BP209" s="137" t="n">
        <f aca="false">+DATOS_[[#This Row],[% de jornada]]*IF(DATOS_[[#This Row],[% jornada reducida]]="",1,DATOS_[[#This Row],[% jornada reducida]])</f>
        <v>0</v>
      </c>
      <c r="BQ209" s="137" t="n">
        <f aca="false">+(DATOS_[[#This Row],[F.fin.cal]]-DATOS_[[#This Row],[F.ini.cal]]+1)/($D$4-$D$3+1)</f>
        <v>1</v>
      </c>
      <c r="BR209" s="137" t="str">
        <f aca="false">IF(OR(AND(DATOS_[[#This Row],[Fecha Fin Contrato]]&lt;$D$3,DATOS_[[#This Row],[Fecha Fin Contrato]]&lt;&gt;""),DATOS_[[#This Row],[Fecha de Contratación]]&gt;$D$4),"Fuera","Dentro")</f>
        <v>Dentro</v>
      </c>
      <c r="BS209" s="137" t="str">
        <f aca="false" t="array" ref="BS209:BS209">IF(MAX(IF(DATOS_[id]=DATOS_[[#This Row],[id]],DATOS_[F.fin.cal]))=DATOS_[[#This Row],[F.fin.cal]],"Sí","NO")</f>
        <v>Sí</v>
      </c>
      <c r="BT209" s="137" t="str">
        <f aca="false">IF(AND(DATOS_[[#This Row],[% normaliz]]&lt;&gt;1,DATOS_[[#This Row],[% anualiz]]=1),"Sí","NO")</f>
        <v>Sí</v>
      </c>
      <c r="BU209" s="137" t="str">
        <f aca="false">IF(AND(DATOS_[[#This Row],[% normaliz]]=1,DATOS_[[#This Row],[% anualiz]]&lt;&gt;1),"Sí","NO")</f>
        <v>NO</v>
      </c>
      <c r="BV209" s="137" t="str">
        <f aca="false">IF(AND(DATOS_[[#This Row],[% normaliz]]&lt;&gt;1,DATOS_[[#This Row],[% anualiz]]&lt;&gt;1),"Sí","NO")</f>
        <v>NO</v>
      </c>
      <c r="BW209" s="137" t="str">
        <f aca="false">+IF(DATOS_[[#This Row],[% normaliz]]*DATOS_[[#This Row],[% anualiz]]=1,"NO","Sí")</f>
        <v>Sí</v>
      </c>
      <c r="BX209" s="138" t="e">
        <f aca="false">(DATOS_[[#This Row],[S.BASE]]*(1/DATOS_[[#This Row],[% normaliz]])*(1/DATOS_[[#This Row],[% anualiz]]))*IF(DATOS_[[#This Row],[Check Equiparado]]="Sí",1,0)</f>
        <v>#DIV/0!</v>
      </c>
      <c r="BY2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9" s="138" t="e">
        <f aca="false">+DATOS_[[#This Row],[SALARIO BASE Eq]]+DATOS_[[#This Row],[Tot COMPL.SAL Eq]]</f>
        <v>#DIV/0!</v>
      </c>
      <c r="CA209" s="138" t="e">
        <f aca="false" t="array" ref="CA209:CA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9" s="138" t="e">
        <f aca="false">+DATOS_[[#This Row],[TOTAL SALARIO Eq]]+DATOS_[[#This Row],[Tot Extrasalarial Eq]]</f>
        <v>#DIV/0!</v>
      </c>
      <c r="CC209" s="139" t="n">
        <f aca="false">DATOS_[[#This Row],[S.BASE]]</f>
        <v>0</v>
      </c>
      <c r="CD209" s="139" t="n">
        <f aca="false">+SUM(DATOS_[[#This Row],[Conc.Sal.01]:[Conc.Sal.30]])</f>
        <v>0</v>
      </c>
      <c r="CE209" s="139" t="n">
        <f aca="false">+DATOS_[[#This Row],[SALARIO BASE Ef]]+DATOS_[[#This Row],[Tot COMPL.SAL Ef]]</f>
        <v>0</v>
      </c>
      <c r="CF209" s="139" t="n">
        <f aca="false">+SUM(DATOS_[[#This Row],[C.Extra.01]:[C.Extra.05]])</f>
        <v>0</v>
      </c>
      <c r="CG209" s="139" t="n">
        <f aca="false">+DATOS_[[#This Row],[TOTAL SALARIO Ef]]+DATOS_[[#This Row],[Tot Extrasalarial Ef]]</f>
        <v>0</v>
      </c>
      <c r="CH209" s="140" t="n">
        <f aca="false">MIN(IF(DATOS_[[#This Row],[Fecha Fin Contrato]]="",$D$4,DATOS_[[#This Row],[Fecha Fin Contrato]]),$D$4)-MAX(DATOS_[[#This Row],[Fecha de Contratación]],$D$3)+1</f>
        <v>1</v>
      </c>
      <c r="CI209" s="141" t="str">
        <f aca="false">IF(COUNTIFS(DATOS_[id],DATOS_[[#This Row],[id]])&gt;1,DATOS_[[#This Row],[id]],"")</f>
        <v/>
      </c>
      <c r="CJ209" s="141" t="n">
        <f aca="false">(Inicio!$G$10-DATOS_[[#This Row],[Fecha Nacimiento]])/365.25</f>
        <v>0</v>
      </c>
      <c r="CK209" s="141" t="n">
        <f aca="false">(Inicio!$G$10-DATOS_[[#This Row],[Fecha de Antigüedad]])/365.25</f>
        <v>0</v>
      </c>
      <c r="CL209" s="141" t="e">
        <f aca="false">+VLOOKUP(DATOS_[[#This Row],[Clave de Contrato]],TblTiposContrato13[],3,0)</f>
        <v>#N/A</v>
      </c>
      <c r="CM209" s="141" t="e">
        <f aca="false">+VLOOKUP(DATOS_[[#This Row],[Clave de Contrato]],TblTiposContrato13[],4,0)</f>
        <v>#N/A</v>
      </c>
      <c r="CN209" s="141" t="str">
        <f aca="false">VLOOKUP(DATOS_[[#This Row],[Edad]],CONTRATOS!TblRngEdad,2,1)</f>
        <v>20  o menos</v>
      </c>
      <c r="CO209" s="141" t="str">
        <f aca="false">VLOOKUP(DATOS_[[#This Row],[Antigüedad]],TblRngAntg14[],2,1)</f>
        <v>0 a 1 años</v>
      </c>
    </row>
    <row r="210" customFormat="false" ht="13.8" hidden="false" customHeight="false" outlineLevel="0" collapsed="false">
      <c r="D210" s="128"/>
      <c r="E210" s="129"/>
      <c r="F210" s="129"/>
      <c r="G210" s="129"/>
      <c r="H210" s="130"/>
      <c r="I210" s="131"/>
      <c r="J210" s="128"/>
      <c r="K210" s="132"/>
      <c r="L210" s="132"/>
      <c r="M210" s="133"/>
      <c r="N210" s="133"/>
      <c r="O210" s="133"/>
      <c r="P210" s="129"/>
      <c r="Z210" s="75"/>
      <c r="AA210" s="76"/>
      <c r="AB210" s="76"/>
      <c r="AC210" s="129"/>
      <c r="AD210" s="134"/>
      <c r="AE210" s="134"/>
      <c r="AF210" s="134"/>
      <c r="AG210" s="134"/>
      <c r="AH210" s="134"/>
      <c r="AI210" s="134"/>
      <c r="AJ210" s="134"/>
      <c r="AK210" s="134"/>
      <c r="AL210" s="134"/>
      <c r="AM210" s="134"/>
      <c r="AN210" s="134"/>
      <c r="AO210" s="134"/>
      <c r="AP210" s="134"/>
      <c r="AQ210" s="134"/>
      <c r="AR210" s="134"/>
      <c r="AS210" s="134"/>
      <c r="AT210" s="134"/>
      <c r="AU210" s="134"/>
      <c r="AV210" s="134"/>
      <c r="AW210" s="134"/>
      <c r="AX210" s="134"/>
      <c r="AY210" s="134"/>
      <c r="AZ210" s="134"/>
      <c r="BA210" s="134"/>
      <c r="BB210" s="134"/>
      <c r="BC210" s="134"/>
      <c r="BD210" s="134"/>
      <c r="BE210" s="134"/>
      <c r="BF210" s="134"/>
      <c r="BG210" s="134"/>
      <c r="BH210" s="134"/>
      <c r="BI210" s="134"/>
      <c r="BJ210" s="134"/>
      <c r="BK210" s="134"/>
      <c r="BL210" s="134"/>
      <c r="BM210" s="135"/>
      <c r="BN210" s="136" t="n">
        <f aca="false">+MAX($D$3,DATOS_[[#This Row],[Fecha Inicio Sit. Contract.]])</f>
        <v>0</v>
      </c>
      <c r="BO210" s="136" t="n">
        <f aca="false">+MIN($D$4,DATOS_[[#This Row],[Fecha Fin Sit. Contract.]])</f>
        <v>0</v>
      </c>
      <c r="BP210" s="137" t="n">
        <f aca="false">+DATOS_[[#This Row],[% de jornada]]*IF(DATOS_[[#This Row],[% jornada reducida]]="",1,DATOS_[[#This Row],[% jornada reducida]])</f>
        <v>0</v>
      </c>
      <c r="BQ210" s="137" t="n">
        <f aca="false">+(DATOS_[[#This Row],[F.fin.cal]]-DATOS_[[#This Row],[F.ini.cal]]+1)/($D$4-$D$3+1)</f>
        <v>1</v>
      </c>
      <c r="BR210" s="137" t="str">
        <f aca="false">IF(OR(AND(DATOS_[[#This Row],[Fecha Fin Contrato]]&lt;$D$3,DATOS_[[#This Row],[Fecha Fin Contrato]]&lt;&gt;""),DATOS_[[#This Row],[Fecha de Contratación]]&gt;$D$4),"Fuera","Dentro")</f>
        <v>Dentro</v>
      </c>
      <c r="BS210" s="137" t="str">
        <f aca="false" t="array" ref="BS210:BS210">IF(MAX(IF(DATOS_[id]=DATOS_[[#This Row],[id]],DATOS_[F.fin.cal]))=DATOS_[[#This Row],[F.fin.cal]],"Sí","NO")</f>
        <v>Sí</v>
      </c>
      <c r="BT210" s="137" t="str">
        <f aca="false">IF(AND(DATOS_[[#This Row],[% normaliz]]&lt;&gt;1,DATOS_[[#This Row],[% anualiz]]=1),"Sí","NO")</f>
        <v>Sí</v>
      </c>
      <c r="BU210" s="137" t="str">
        <f aca="false">IF(AND(DATOS_[[#This Row],[% normaliz]]=1,DATOS_[[#This Row],[% anualiz]]&lt;&gt;1),"Sí","NO")</f>
        <v>NO</v>
      </c>
      <c r="BV210" s="137" t="str">
        <f aca="false">IF(AND(DATOS_[[#This Row],[% normaliz]]&lt;&gt;1,DATOS_[[#This Row],[% anualiz]]&lt;&gt;1),"Sí","NO")</f>
        <v>NO</v>
      </c>
      <c r="BW210" s="137" t="str">
        <f aca="false">+IF(DATOS_[[#This Row],[% normaliz]]*DATOS_[[#This Row],[% anualiz]]=1,"NO","Sí")</f>
        <v>Sí</v>
      </c>
      <c r="BX210" s="138" t="e">
        <f aca="false">(DATOS_[[#This Row],[S.BASE]]*(1/DATOS_[[#This Row],[% normaliz]])*(1/DATOS_[[#This Row],[% anualiz]]))*IF(DATOS_[[#This Row],[Check Equiparado]]="Sí",1,0)</f>
        <v>#DIV/0!</v>
      </c>
      <c r="BY2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0" s="138" t="e">
        <f aca="false">+DATOS_[[#This Row],[SALARIO BASE Eq]]+DATOS_[[#This Row],[Tot COMPL.SAL Eq]]</f>
        <v>#DIV/0!</v>
      </c>
      <c r="CA210" s="138" t="e">
        <f aca="false" t="array" ref="CA210:CA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0" s="138" t="e">
        <f aca="false">+DATOS_[[#This Row],[TOTAL SALARIO Eq]]+DATOS_[[#This Row],[Tot Extrasalarial Eq]]</f>
        <v>#DIV/0!</v>
      </c>
      <c r="CC210" s="139" t="n">
        <f aca="false">DATOS_[[#This Row],[S.BASE]]</f>
        <v>0</v>
      </c>
      <c r="CD210" s="139" t="n">
        <f aca="false">+SUM(DATOS_[[#This Row],[Conc.Sal.01]:[Conc.Sal.30]])</f>
        <v>0</v>
      </c>
      <c r="CE210" s="139" t="n">
        <f aca="false">+DATOS_[[#This Row],[SALARIO BASE Ef]]+DATOS_[[#This Row],[Tot COMPL.SAL Ef]]</f>
        <v>0</v>
      </c>
      <c r="CF210" s="139" t="n">
        <f aca="false">+SUM(DATOS_[[#This Row],[C.Extra.01]:[C.Extra.05]])</f>
        <v>0</v>
      </c>
      <c r="CG210" s="139" t="n">
        <f aca="false">+DATOS_[[#This Row],[TOTAL SALARIO Ef]]+DATOS_[[#This Row],[Tot Extrasalarial Ef]]</f>
        <v>0</v>
      </c>
      <c r="CH210" s="140" t="n">
        <f aca="false">MIN(IF(DATOS_[[#This Row],[Fecha Fin Contrato]]="",$D$4,DATOS_[[#This Row],[Fecha Fin Contrato]]),$D$4)-MAX(DATOS_[[#This Row],[Fecha de Contratación]],$D$3)+1</f>
        <v>1</v>
      </c>
      <c r="CI210" s="141" t="str">
        <f aca="false">IF(COUNTIFS(DATOS_[id],DATOS_[[#This Row],[id]])&gt;1,DATOS_[[#This Row],[id]],"")</f>
        <v/>
      </c>
      <c r="CJ210" s="141" t="n">
        <f aca="false">(Inicio!$G$10-DATOS_[[#This Row],[Fecha Nacimiento]])/365.25</f>
        <v>0</v>
      </c>
      <c r="CK210" s="141" t="n">
        <f aca="false">(Inicio!$G$10-DATOS_[[#This Row],[Fecha de Antigüedad]])/365.25</f>
        <v>0</v>
      </c>
      <c r="CL210" s="141" t="e">
        <f aca="false">+VLOOKUP(DATOS_[[#This Row],[Clave de Contrato]],TblTiposContrato13[],3,0)</f>
        <v>#N/A</v>
      </c>
      <c r="CM210" s="141" t="e">
        <f aca="false">+VLOOKUP(DATOS_[[#This Row],[Clave de Contrato]],TblTiposContrato13[],4,0)</f>
        <v>#N/A</v>
      </c>
      <c r="CN210" s="141" t="str">
        <f aca="false">VLOOKUP(DATOS_[[#This Row],[Edad]],CONTRATOS!TblRngEdad,2,1)</f>
        <v>20  o menos</v>
      </c>
      <c r="CO210" s="141" t="str">
        <f aca="false">VLOOKUP(DATOS_[[#This Row],[Antigüedad]],TblRngAntg14[],2,1)</f>
        <v>0 a 1 años</v>
      </c>
    </row>
    <row r="211" customFormat="false" ht="13.8" hidden="false" customHeight="false" outlineLevel="0" collapsed="false">
      <c r="D211" s="128"/>
      <c r="E211" s="129"/>
      <c r="F211" s="129"/>
      <c r="G211" s="129"/>
      <c r="H211" s="130"/>
      <c r="I211" s="131"/>
      <c r="J211" s="128"/>
      <c r="K211" s="132"/>
      <c r="L211" s="132"/>
      <c r="M211" s="133"/>
      <c r="N211" s="133"/>
      <c r="O211" s="133"/>
      <c r="P211" s="129"/>
      <c r="Z211" s="75"/>
      <c r="AA211" s="76"/>
      <c r="AB211" s="76"/>
      <c r="AC211" s="129"/>
      <c r="AD211" s="134"/>
      <c r="AE211" s="134"/>
      <c r="AF211" s="134"/>
      <c r="AG211" s="134"/>
      <c r="AH211" s="134"/>
      <c r="AI211" s="134"/>
      <c r="AJ211" s="134"/>
      <c r="AK211" s="134"/>
      <c r="AL211" s="134"/>
      <c r="AM211" s="134"/>
      <c r="AN211" s="134"/>
      <c r="AO211" s="134"/>
      <c r="AP211" s="134"/>
      <c r="AQ211" s="134"/>
      <c r="AR211" s="134"/>
      <c r="AS211" s="134"/>
      <c r="AT211" s="134"/>
      <c r="AU211" s="134"/>
      <c r="AV211" s="134"/>
      <c r="AW211" s="134"/>
      <c r="AX211" s="134"/>
      <c r="AY211" s="134"/>
      <c r="AZ211" s="134"/>
      <c r="BA211" s="134"/>
      <c r="BB211" s="134"/>
      <c r="BC211" s="134"/>
      <c r="BD211" s="134"/>
      <c r="BE211" s="134"/>
      <c r="BF211" s="134"/>
      <c r="BG211" s="134"/>
      <c r="BH211" s="134"/>
      <c r="BI211" s="134"/>
      <c r="BJ211" s="134"/>
      <c r="BK211" s="134"/>
      <c r="BL211" s="134"/>
      <c r="BM211" s="135"/>
      <c r="BN211" s="136" t="n">
        <f aca="false">+MAX($D$3,DATOS_[[#This Row],[Fecha Inicio Sit. Contract.]])</f>
        <v>0</v>
      </c>
      <c r="BO211" s="136" t="n">
        <f aca="false">+MIN($D$4,DATOS_[[#This Row],[Fecha Fin Sit. Contract.]])</f>
        <v>0</v>
      </c>
      <c r="BP211" s="137" t="n">
        <f aca="false">+DATOS_[[#This Row],[% de jornada]]*IF(DATOS_[[#This Row],[% jornada reducida]]="",1,DATOS_[[#This Row],[% jornada reducida]])</f>
        <v>0</v>
      </c>
      <c r="BQ211" s="137" t="n">
        <f aca="false">+(DATOS_[[#This Row],[F.fin.cal]]-DATOS_[[#This Row],[F.ini.cal]]+1)/($D$4-$D$3+1)</f>
        <v>1</v>
      </c>
      <c r="BR211" s="137" t="str">
        <f aca="false">IF(OR(AND(DATOS_[[#This Row],[Fecha Fin Contrato]]&lt;$D$3,DATOS_[[#This Row],[Fecha Fin Contrato]]&lt;&gt;""),DATOS_[[#This Row],[Fecha de Contratación]]&gt;$D$4),"Fuera","Dentro")</f>
        <v>Dentro</v>
      </c>
      <c r="BS211" s="137" t="str">
        <f aca="false" t="array" ref="BS211:BS211">IF(MAX(IF(DATOS_[id]=DATOS_[[#This Row],[id]],DATOS_[F.fin.cal]))=DATOS_[[#This Row],[F.fin.cal]],"Sí","NO")</f>
        <v>Sí</v>
      </c>
      <c r="BT211" s="137" t="str">
        <f aca="false">IF(AND(DATOS_[[#This Row],[% normaliz]]&lt;&gt;1,DATOS_[[#This Row],[% anualiz]]=1),"Sí","NO")</f>
        <v>Sí</v>
      </c>
      <c r="BU211" s="137" t="str">
        <f aca="false">IF(AND(DATOS_[[#This Row],[% normaliz]]=1,DATOS_[[#This Row],[% anualiz]]&lt;&gt;1),"Sí","NO")</f>
        <v>NO</v>
      </c>
      <c r="BV211" s="137" t="str">
        <f aca="false">IF(AND(DATOS_[[#This Row],[% normaliz]]&lt;&gt;1,DATOS_[[#This Row],[% anualiz]]&lt;&gt;1),"Sí","NO")</f>
        <v>NO</v>
      </c>
      <c r="BW211" s="137" t="str">
        <f aca="false">+IF(DATOS_[[#This Row],[% normaliz]]*DATOS_[[#This Row],[% anualiz]]=1,"NO","Sí")</f>
        <v>Sí</v>
      </c>
      <c r="BX211" s="138" t="e">
        <f aca="false">(DATOS_[[#This Row],[S.BASE]]*(1/DATOS_[[#This Row],[% normaliz]])*(1/DATOS_[[#This Row],[% anualiz]]))*IF(DATOS_[[#This Row],[Check Equiparado]]="Sí",1,0)</f>
        <v>#DIV/0!</v>
      </c>
      <c r="BY2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1" s="138" t="e">
        <f aca="false">+DATOS_[[#This Row],[SALARIO BASE Eq]]+DATOS_[[#This Row],[Tot COMPL.SAL Eq]]</f>
        <v>#DIV/0!</v>
      </c>
      <c r="CA211" s="138" t="e">
        <f aca="false" t="array" ref="CA211:CA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1" s="138" t="e">
        <f aca="false">+DATOS_[[#This Row],[TOTAL SALARIO Eq]]+DATOS_[[#This Row],[Tot Extrasalarial Eq]]</f>
        <v>#DIV/0!</v>
      </c>
      <c r="CC211" s="139" t="n">
        <f aca="false">DATOS_[[#This Row],[S.BASE]]</f>
        <v>0</v>
      </c>
      <c r="CD211" s="139" t="n">
        <f aca="false">+SUM(DATOS_[[#This Row],[Conc.Sal.01]:[Conc.Sal.30]])</f>
        <v>0</v>
      </c>
      <c r="CE211" s="139" t="n">
        <f aca="false">+DATOS_[[#This Row],[SALARIO BASE Ef]]+DATOS_[[#This Row],[Tot COMPL.SAL Ef]]</f>
        <v>0</v>
      </c>
      <c r="CF211" s="139" t="n">
        <f aca="false">+SUM(DATOS_[[#This Row],[C.Extra.01]:[C.Extra.05]])</f>
        <v>0</v>
      </c>
      <c r="CG211" s="139" t="n">
        <f aca="false">+DATOS_[[#This Row],[TOTAL SALARIO Ef]]+DATOS_[[#This Row],[Tot Extrasalarial Ef]]</f>
        <v>0</v>
      </c>
      <c r="CH211" s="140" t="n">
        <f aca="false">MIN(IF(DATOS_[[#This Row],[Fecha Fin Contrato]]="",$D$4,DATOS_[[#This Row],[Fecha Fin Contrato]]),$D$4)-MAX(DATOS_[[#This Row],[Fecha de Contratación]],$D$3)+1</f>
        <v>1</v>
      </c>
      <c r="CI211" s="141" t="str">
        <f aca="false">IF(COUNTIFS(DATOS_[id],DATOS_[[#This Row],[id]])&gt;1,DATOS_[[#This Row],[id]],"")</f>
        <v/>
      </c>
      <c r="CJ211" s="141" t="n">
        <f aca="false">(Inicio!$G$10-DATOS_[[#This Row],[Fecha Nacimiento]])/365.25</f>
        <v>0</v>
      </c>
      <c r="CK211" s="141" t="n">
        <f aca="false">(Inicio!$G$10-DATOS_[[#This Row],[Fecha de Antigüedad]])/365.25</f>
        <v>0</v>
      </c>
      <c r="CL211" s="141" t="e">
        <f aca="false">+VLOOKUP(DATOS_[[#This Row],[Clave de Contrato]],TblTiposContrato13[],3,0)</f>
        <v>#N/A</v>
      </c>
      <c r="CM211" s="141" t="e">
        <f aca="false">+VLOOKUP(DATOS_[[#This Row],[Clave de Contrato]],TblTiposContrato13[],4,0)</f>
        <v>#N/A</v>
      </c>
      <c r="CN211" s="141" t="str">
        <f aca="false">VLOOKUP(DATOS_[[#This Row],[Edad]],CONTRATOS!TblRngEdad,2,1)</f>
        <v>20  o menos</v>
      </c>
      <c r="CO211" s="141" t="str">
        <f aca="false">VLOOKUP(DATOS_[[#This Row],[Antigüedad]],TblRngAntg14[],2,1)</f>
        <v>0 a 1 años</v>
      </c>
    </row>
    <row r="212" customFormat="false" ht="13.8" hidden="false" customHeight="false" outlineLevel="0" collapsed="false">
      <c r="D212" s="128"/>
      <c r="E212" s="129"/>
      <c r="F212" s="129"/>
      <c r="G212" s="129"/>
      <c r="H212" s="130"/>
      <c r="I212" s="131"/>
      <c r="J212" s="128"/>
      <c r="K212" s="132"/>
      <c r="L212" s="132"/>
      <c r="M212" s="133"/>
      <c r="N212" s="133"/>
      <c r="O212" s="133"/>
      <c r="P212" s="129"/>
      <c r="Z212" s="75"/>
      <c r="AA212" s="76"/>
      <c r="AB212" s="76"/>
      <c r="AC212" s="129"/>
      <c r="AD212" s="134"/>
      <c r="AE212" s="134"/>
      <c r="AF212" s="134"/>
      <c r="AG212" s="134"/>
      <c r="AH212" s="134"/>
      <c r="AI212" s="134"/>
      <c r="AJ212" s="134"/>
      <c r="AK212" s="134"/>
      <c r="AL212" s="134"/>
      <c r="AM212" s="134"/>
      <c r="AN212" s="134"/>
      <c r="AO212" s="134"/>
      <c r="AP212" s="134"/>
      <c r="AQ212" s="134"/>
      <c r="AR212" s="134"/>
      <c r="AS212" s="134"/>
      <c r="AT212" s="134"/>
      <c r="AU212" s="134"/>
      <c r="AV212" s="134"/>
      <c r="AW212" s="134"/>
      <c r="AX212" s="134"/>
      <c r="AY212" s="134"/>
      <c r="AZ212" s="134"/>
      <c r="BA212" s="134"/>
      <c r="BB212" s="134"/>
      <c r="BC212" s="134"/>
      <c r="BD212" s="134"/>
      <c r="BE212" s="134"/>
      <c r="BF212" s="134"/>
      <c r="BG212" s="134"/>
      <c r="BH212" s="134"/>
      <c r="BI212" s="134"/>
      <c r="BJ212" s="134"/>
      <c r="BK212" s="134"/>
      <c r="BL212" s="134"/>
      <c r="BM212" s="135"/>
      <c r="BN212" s="136" t="n">
        <f aca="false">+MAX($D$3,DATOS_[[#This Row],[Fecha Inicio Sit. Contract.]])</f>
        <v>0</v>
      </c>
      <c r="BO212" s="136" t="n">
        <f aca="false">+MIN($D$4,DATOS_[[#This Row],[Fecha Fin Sit. Contract.]])</f>
        <v>0</v>
      </c>
      <c r="BP212" s="137" t="n">
        <f aca="false">+DATOS_[[#This Row],[% de jornada]]*IF(DATOS_[[#This Row],[% jornada reducida]]="",1,DATOS_[[#This Row],[% jornada reducida]])</f>
        <v>0</v>
      </c>
      <c r="BQ212" s="137" t="n">
        <f aca="false">+(DATOS_[[#This Row],[F.fin.cal]]-DATOS_[[#This Row],[F.ini.cal]]+1)/($D$4-$D$3+1)</f>
        <v>1</v>
      </c>
      <c r="BR212" s="137" t="str">
        <f aca="false">IF(OR(AND(DATOS_[[#This Row],[Fecha Fin Contrato]]&lt;$D$3,DATOS_[[#This Row],[Fecha Fin Contrato]]&lt;&gt;""),DATOS_[[#This Row],[Fecha de Contratación]]&gt;$D$4),"Fuera","Dentro")</f>
        <v>Dentro</v>
      </c>
      <c r="BS212" s="137" t="str">
        <f aca="false" t="array" ref="BS212:BS212">IF(MAX(IF(DATOS_[id]=DATOS_[[#This Row],[id]],DATOS_[F.fin.cal]))=DATOS_[[#This Row],[F.fin.cal]],"Sí","NO")</f>
        <v>Sí</v>
      </c>
      <c r="BT212" s="137" t="str">
        <f aca="false">IF(AND(DATOS_[[#This Row],[% normaliz]]&lt;&gt;1,DATOS_[[#This Row],[% anualiz]]=1),"Sí","NO")</f>
        <v>Sí</v>
      </c>
      <c r="BU212" s="137" t="str">
        <f aca="false">IF(AND(DATOS_[[#This Row],[% normaliz]]=1,DATOS_[[#This Row],[% anualiz]]&lt;&gt;1),"Sí","NO")</f>
        <v>NO</v>
      </c>
      <c r="BV212" s="137" t="str">
        <f aca="false">IF(AND(DATOS_[[#This Row],[% normaliz]]&lt;&gt;1,DATOS_[[#This Row],[% anualiz]]&lt;&gt;1),"Sí","NO")</f>
        <v>NO</v>
      </c>
      <c r="BW212" s="137" t="str">
        <f aca="false">+IF(DATOS_[[#This Row],[% normaliz]]*DATOS_[[#This Row],[% anualiz]]=1,"NO","Sí")</f>
        <v>Sí</v>
      </c>
      <c r="BX212" s="138" t="e">
        <f aca="false">(DATOS_[[#This Row],[S.BASE]]*(1/DATOS_[[#This Row],[% normaliz]])*(1/DATOS_[[#This Row],[% anualiz]]))*IF(DATOS_[[#This Row],[Check Equiparado]]="Sí",1,0)</f>
        <v>#DIV/0!</v>
      </c>
      <c r="BY2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2" s="138" t="e">
        <f aca="false">+DATOS_[[#This Row],[SALARIO BASE Eq]]+DATOS_[[#This Row],[Tot COMPL.SAL Eq]]</f>
        <v>#DIV/0!</v>
      </c>
      <c r="CA212" s="138" t="e">
        <f aca="false" t="array" ref="CA212:CA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2" s="138" t="e">
        <f aca="false">+DATOS_[[#This Row],[TOTAL SALARIO Eq]]+DATOS_[[#This Row],[Tot Extrasalarial Eq]]</f>
        <v>#DIV/0!</v>
      </c>
      <c r="CC212" s="139" t="n">
        <f aca="false">DATOS_[[#This Row],[S.BASE]]</f>
        <v>0</v>
      </c>
      <c r="CD212" s="139" t="n">
        <f aca="false">+SUM(DATOS_[[#This Row],[Conc.Sal.01]:[Conc.Sal.30]])</f>
        <v>0</v>
      </c>
      <c r="CE212" s="139" t="n">
        <f aca="false">+DATOS_[[#This Row],[SALARIO BASE Ef]]+DATOS_[[#This Row],[Tot COMPL.SAL Ef]]</f>
        <v>0</v>
      </c>
      <c r="CF212" s="139" t="n">
        <f aca="false">+SUM(DATOS_[[#This Row],[C.Extra.01]:[C.Extra.05]])</f>
        <v>0</v>
      </c>
      <c r="CG212" s="139" t="n">
        <f aca="false">+DATOS_[[#This Row],[TOTAL SALARIO Ef]]+DATOS_[[#This Row],[Tot Extrasalarial Ef]]</f>
        <v>0</v>
      </c>
      <c r="CH212" s="140" t="n">
        <f aca="false">MIN(IF(DATOS_[[#This Row],[Fecha Fin Contrato]]="",$D$4,DATOS_[[#This Row],[Fecha Fin Contrato]]),$D$4)-MAX(DATOS_[[#This Row],[Fecha de Contratación]],$D$3)+1</f>
        <v>1</v>
      </c>
      <c r="CI212" s="141" t="str">
        <f aca="false">IF(COUNTIFS(DATOS_[id],DATOS_[[#This Row],[id]])&gt;1,DATOS_[[#This Row],[id]],"")</f>
        <v/>
      </c>
      <c r="CJ212" s="141" t="n">
        <f aca="false">(Inicio!$G$10-DATOS_[[#This Row],[Fecha Nacimiento]])/365.25</f>
        <v>0</v>
      </c>
      <c r="CK212" s="141" t="n">
        <f aca="false">(Inicio!$G$10-DATOS_[[#This Row],[Fecha de Antigüedad]])/365.25</f>
        <v>0</v>
      </c>
      <c r="CL212" s="141" t="e">
        <f aca="false">+VLOOKUP(DATOS_[[#This Row],[Clave de Contrato]],TblTiposContrato13[],3,0)</f>
        <v>#N/A</v>
      </c>
      <c r="CM212" s="141" t="e">
        <f aca="false">+VLOOKUP(DATOS_[[#This Row],[Clave de Contrato]],TblTiposContrato13[],4,0)</f>
        <v>#N/A</v>
      </c>
      <c r="CN212" s="141" t="str">
        <f aca="false">VLOOKUP(DATOS_[[#This Row],[Edad]],CONTRATOS!TblRngEdad,2,1)</f>
        <v>20  o menos</v>
      </c>
      <c r="CO212" s="141" t="str">
        <f aca="false">VLOOKUP(DATOS_[[#This Row],[Antigüedad]],TblRngAntg14[],2,1)</f>
        <v>0 a 1 años</v>
      </c>
    </row>
    <row r="213" customFormat="false" ht="13.8" hidden="false" customHeight="false" outlineLevel="0" collapsed="false">
      <c r="D213" s="128"/>
      <c r="E213" s="129"/>
      <c r="F213" s="129"/>
      <c r="G213" s="129"/>
      <c r="H213" s="130"/>
      <c r="I213" s="131"/>
      <c r="J213" s="128"/>
      <c r="K213" s="132"/>
      <c r="L213" s="132"/>
      <c r="M213" s="133"/>
      <c r="N213" s="133"/>
      <c r="O213" s="133"/>
      <c r="P213" s="129"/>
      <c r="Z213" s="75"/>
      <c r="AA213" s="76"/>
      <c r="AB213" s="76"/>
      <c r="AC213" s="129"/>
      <c r="AD213" s="134"/>
      <c r="AE213" s="134"/>
      <c r="AF213" s="134"/>
      <c r="AG213" s="134"/>
      <c r="AH213" s="134"/>
      <c r="AI213" s="134"/>
      <c r="AJ213" s="134"/>
      <c r="AK213" s="134"/>
      <c r="AL213" s="134"/>
      <c r="AM213" s="134"/>
      <c r="AN213" s="134"/>
      <c r="AO213" s="134"/>
      <c r="AP213" s="134"/>
      <c r="AQ213" s="134"/>
      <c r="AR213" s="134"/>
      <c r="AS213" s="134"/>
      <c r="AT213" s="134"/>
      <c r="AU213" s="134"/>
      <c r="AV213" s="134"/>
      <c r="AW213" s="134"/>
      <c r="AX213" s="134"/>
      <c r="AY213" s="134"/>
      <c r="AZ213" s="134"/>
      <c r="BA213" s="134"/>
      <c r="BB213" s="134"/>
      <c r="BC213" s="134"/>
      <c r="BD213" s="134"/>
      <c r="BE213" s="134"/>
      <c r="BF213" s="134"/>
      <c r="BG213" s="134"/>
      <c r="BH213" s="134"/>
      <c r="BI213" s="134"/>
      <c r="BJ213" s="134"/>
      <c r="BK213" s="134"/>
      <c r="BL213" s="134"/>
      <c r="BM213" s="135"/>
      <c r="BN213" s="136" t="n">
        <f aca="false">+MAX($D$3,DATOS_[[#This Row],[Fecha Inicio Sit. Contract.]])</f>
        <v>0</v>
      </c>
      <c r="BO213" s="136" t="n">
        <f aca="false">+MIN($D$4,DATOS_[[#This Row],[Fecha Fin Sit. Contract.]])</f>
        <v>0</v>
      </c>
      <c r="BP213" s="137" t="n">
        <f aca="false">+DATOS_[[#This Row],[% de jornada]]*IF(DATOS_[[#This Row],[% jornada reducida]]="",1,DATOS_[[#This Row],[% jornada reducida]])</f>
        <v>0</v>
      </c>
      <c r="BQ213" s="137" t="n">
        <f aca="false">+(DATOS_[[#This Row],[F.fin.cal]]-DATOS_[[#This Row],[F.ini.cal]]+1)/($D$4-$D$3+1)</f>
        <v>1</v>
      </c>
      <c r="BR213" s="137" t="str">
        <f aca="false">IF(OR(AND(DATOS_[[#This Row],[Fecha Fin Contrato]]&lt;$D$3,DATOS_[[#This Row],[Fecha Fin Contrato]]&lt;&gt;""),DATOS_[[#This Row],[Fecha de Contratación]]&gt;$D$4),"Fuera","Dentro")</f>
        <v>Dentro</v>
      </c>
      <c r="BS213" s="137" t="str">
        <f aca="false" t="array" ref="BS213:BS213">IF(MAX(IF(DATOS_[id]=DATOS_[[#This Row],[id]],DATOS_[F.fin.cal]))=DATOS_[[#This Row],[F.fin.cal]],"Sí","NO")</f>
        <v>Sí</v>
      </c>
      <c r="BT213" s="137" t="str">
        <f aca="false">IF(AND(DATOS_[[#This Row],[% normaliz]]&lt;&gt;1,DATOS_[[#This Row],[% anualiz]]=1),"Sí","NO")</f>
        <v>Sí</v>
      </c>
      <c r="BU213" s="137" t="str">
        <f aca="false">IF(AND(DATOS_[[#This Row],[% normaliz]]=1,DATOS_[[#This Row],[% anualiz]]&lt;&gt;1),"Sí","NO")</f>
        <v>NO</v>
      </c>
      <c r="BV213" s="137" t="str">
        <f aca="false">IF(AND(DATOS_[[#This Row],[% normaliz]]&lt;&gt;1,DATOS_[[#This Row],[% anualiz]]&lt;&gt;1),"Sí","NO")</f>
        <v>NO</v>
      </c>
      <c r="BW213" s="137" t="str">
        <f aca="false">+IF(DATOS_[[#This Row],[% normaliz]]*DATOS_[[#This Row],[% anualiz]]=1,"NO","Sí")</f>
        <v>Sí</v>
      </c>
      <c r="BX213" s="138" t="e">
        <f aca="false">(DATOS_[[#This Row],[S.BASE]]*(1/DATOS_[[#This Row],[% normaliz]])*(1/DATOS_[[#This Row],[% anualiz]]))*IF(DATOS_[[#This Row],[Check Equiparado]]="Sí",1,0)</f>
        <v>#DIV/0!</v>
      </c>
      <c r="BY2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3" s="138" t="e">
        <f aca="false">+DATOS_[[#This Row],[SALARIO BASE Eq]]+DATOS_[[#This Row],[Tot COMPL.SAL Eq]]</f>
        <v>#DIV/0!</v>
      </c>
      <c r="CA213" s="138" t="e">
        <f aca="false" t="array" ref="CA213:CA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3" s="138" t="e">
        <f aca="false">+DATOS_[[#This Row],[TOTAL SALARIO Eq]]+DATOS_[[#This Row],[Tot Extrasalarial Eq]]</f>
        <v>#DIV/0!</v>
      </c>
      <c r="CC213" s="139" t="n">
        <f aca="false">DATOS_[[#This Row],[S.BASE]]</f>
        <v>0</v>
      </c>
      <c r="CD213" s="139" t="n">
        <f aca="false">+SUM(DATOS_[[#This Row],[Conc.Sal.01]:[Conc.Sal.30]])</f>
        <v>0</v>
      </c>
      <c r="CE213" s="139" t="n">
        <f aca="false">+DATOS_[[#This Row],[SALARIO BASE Ef]]+DATOS_[[#This Row],[Tot COMPL.SAL Ef]]</f>
        <v>0</v>
      </c>
      <c r="CF213" s="139" t="n">
        <f aca="false">+SUM(DATOS_[[#This Row],[C.Extra.01]:[C.Extra.05]])</f>
        <v>0</v>
      </c>
      <c r="CG213" s="139" t="n">
        <f aca="false">+DATOS_[[#This Row],[TOTAL SALARIO Ef]]+DATOS_[[#This Row],[Tot Extrasalarial Ef]]</f>
        <v>0</v>
      </c>
      <c r="CH213" s="140" t="n">
        <f aca="false">MIN(IF(DATOS_[[#This Row],[Fecha Fin Contrato]]="",$D$4,DATOS_[[#This Row],[Fecha Fin Contrato]]),$D$4)-MAX(DATOS_[[#This Row],[Fecha de Contratación]],$D$3)+1</f>
        <v>1</v>
      </c>
      <c r="CI213" s="141" t="str">
        <f aca="false">IF(COUNTIFS(DATOS_[id],DATOS_[[#This Row],[id]])&gt;1,DATOS_[[#This Row],[id]],"")</f>
        <v/>
      </c>
      <c r="CJ213" s="141" t="n">
        <f aca="false">(Inicio!$G$10-DATOS_[[#This Row],[Fecha Nacimiento]])/365.25</f>
        <v>0</v>
      </c>
      <c r="CK213" s="141" t="n">
        <f aca="false">(Inicio!$G$10-DATOS_[[#This Row],[Fecha de Antigüedad]])/365.25</f>
        <v>0</v>
      </c>
      <c r="CL213" s="141" t="e">
        <f aca="false">+VLOOKUP(DATOS_[[#This Row],[Clave de Contrato]],TblTiposContrato13[],3,0)</f>
        <v>#N/A</v>
      </c>
      <c r="CM213" s="141" t="e">
        <f aca="false">+VLOOKUP(DATOS_[[#This Row],[Clave de Contrato]],TblTiposContrato13[],4,0)</f>
        <v>#N/A</v>
      </c>
      <c r="CN213" s="141" t="str">
        <f aca="false">VLOOKUP(DATOS_[[#This Row],[Edad]],CONTRATOS!TblRngEdad,2,1)</f>
        <v>20  o menos</v>
      </c>
      <c r="CO213" s="141" t="str">
        <f aca="false">VLOOKUP(DATOS_[[#This Row],[Antigüedad]],TblRngAntg14[],2,1)</f>
        <v>0 a 1 años</v>
      </c>
    </row>
    <row r="214" customFormat="false" ht="13.8" hidden="false" customHeight="false" outlineLevel="0" collapsed="false">
      <c r="D214" s="128"/>
      <c r="E214" s="129"/>
      <c r="F214" s="129"/>
      <c r="G214" s="129"/>
      <c r="H214" s="130"/>
      <c r="I214" s="131"/>
      <c r="J214" s="128"/>
      <c r="K214" s="132"/>
      <c r="L214" s="132"/>
      <c r="M214" s="133"/>
      <c r="N214" s="133"/>
      <c r="O214" s="133"/>
      <c r="P214" s="129"/>
      <c r="Z214" s="75"/>
      <c r="AA214" s="76"/>
      <c r="AB214" s="76"/>
      <c r="AC214" s="129"/>
      <c r="AD214" s="134"/>
      <c r="AE214" s="134"/>
      <c r="AF214" s="134"/>
      <c r="AG214" s="134"/>
      <c r="AH214" s="134"/>
      <c r="AI214" s="134"/>
      <c r="AJ214" s="134"/>
      <c r="AK214" s="134"/>
      <c r="AL214" s="134"/>
      <c r="AM214" s="134"/>
      <c r="AN214" s="134"/>
      <c r="AO214" s="134"/>
      <c r="AP214" s="134"/>
      <c r="AQ214" s="134"/>
      <c r="AR214" s="134"/>
      <c r="AS214" s="134"/>
      <c r="AT214" s="134"/>
      <c r="AU214" s="134"/>
      <c r="AV214" s="134"/>
      <c r="AW214" s="134"/>
      <c r="AX214" s="134"/>
      <c r="AY214" s="134"/>
      <c r="AZ214" s="134"/>
      <c r="BA214" s="134"/>
      <c r="BB214" s="134"/>
      <c r="BC214" s="134"/>
      <c r="BD214" s="134"/>
      <c r="BE214" s="134"/>
      <c r="BF214" s="134"/>
      <c r="BG214" s="134"/>
      <c r="BH214" s="134"/>
      <c r="BI214" s="134"/>
      <c r="BJ214" s="134"/>
      <c r="BK214" s="134"/>
      <c r="BL214" s="134"/>
      <c r="BM214" s="135"/>
      <c r="BN214" s="136" t="n">
        <f aca="false">+MAX($D$3,DATOS_[[#This Row],[Fecha Inicio Sit. Contract.]])</f>
        <v>0</v>
      </c>
      <c r="BO214" s="136" t="n">
        <f aca="false">+MIN($D$4,DATOS_[[#This Row],[Fecha Fin Sit. Contract.]])</f>
        <v>0</v>
      </c>
      <c r="BP214" s="137" t="n">
        <f aca="false">+DATOS_[[#This Row],[% de jornada]]*IF(DATOS_[[#This Row],[% jornada reducida]]="",1,DATOS_[[#This Row],[% jornada reducida]])</f>
        <v>0</v>
      </c>
      <c r="BQ214" s="137" t="n">
        <f aca="false">+(DATOS_[[#This Row],[F.fin.cal]]-DATOS_[[#This Row],[F.ini.cal]]+1)/($D$4-$D$3+1)</f>
        <v>1</v>
      </c>
      <c r="BR214" s="137" t="str">
        <f aca="false">IF(OR(AND(DATOS_[[#This Row],[Fecha Fin Contrato]]&lt;$D$3,DATOS_[[#This Row],[Fecha Fin Contrato]]&lt;&gt;""),DATOS_[[#This Row],[Fecha de Contratación]]&gt;$D$4),"Fuera","Dentro")</f>
        <v>Dentro</v>
      </c>
      <c r="BS214" s="137" t="str">
        <f aca="false" t="array" ref="BS214:BS214">IF(MAX(IF(DATOS_[id]=DATOS_[[#This Row],[id]],DATOS_[F.fin.cal]))=DATOS_[[#This Row],[F.fin.cal]],"Sí","NO")</f>
        <v>Sí</v>
      </c>
      <c r="BT214" s="137" t="str">
        <f aca="false">IF(AND(DATOS_[[#This Row],[% normaliz]]&lt;&gt;1,DATOS_[[#This Row],[% anualiz]]=1),"Sí","NO")</f>
        <v>Sí</v>
      </c>
      <c r="BU214" s="137" t="str">
        <f aca="false">IF(AND(DATOS_[[#This Row],[% normaliz]]=1,DATOS_[[#This Row],[% anualiz]]&lt;&gt;1),"Sí","NO")</f>
        <v>NO</v>
      </c>
      <c r="BV214" s="137" t="str">
        <f aca="false">IF(AND(DATOS_[[#This Row],[% normaliz]]&lt;&gt;1,DATOS_[[#This Row],[% anualiz]]&lt;&gt;1),"Sí","NO")</f>
        <v>NO</v>
      </c>
      <c r="BW214" s="137" t="str">
        <f aca="false">+IF(DATOS_[[#This Row],[% normaliz]]*DATOS_[[#This Row],[% anualiz]]=1,"NO","Sí")</f>
        <v>Sí</v>
      </c>
      <c r="BX214" s="138" t="e">
        <f aca="false">(DATOS_[[#This Row],[S.BASE]]*(1/DATOS_[[#This Row],[% normaliz]])*(1/DATOS_[[#This Row],[% anualiz]]))*IF(DATOS_[[#This Row],[Check Equiparado]]="Sí",1,0)</f>
        <v>#DIV/0!</v>
      </c>
      <c r="BY2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4" s="138" t="e">
        <f aca="false">+DATOS_[[#This Row],[SALARIO BASE Eq]]+DATOS_[[#This Row],[Tot COMPL.SAL Eq]]</f>
        <v>#DIV/0!</v>
      </c>
      <c r="CA214" s="138" t="e">
        <f aca="false" t="array" ref="CA214:CA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4" s="138" t="e">
        <f aca="false">+DATOS_[[#This Row],[TOTAL SALARIO Eq]]+DATOS_[[#This Row],[Tot Extrasalarial Eq]]</f>
        <v>#DIV/0!</v>
      </c>
      <c r="CC214" s="139" t="n">
        <f aca="false">DATOS_[[#This Row],[S.BASE]]</f>
        <v>0</v>
      </c>
      <c r="CD214" s="139" t="n">
        <f aca="false">+SUM(DATOS_[[#This Row],[Conc.Sal.01]:[Conc.Sal.30]])</f>
        <v>0</v>
      </c>
      <c r="CE214" s="139" t="n">
        <f aca="false">+DATOS_[[#This Row],[SALARIO BASE Ef]]+DATOS_[[#This Row],[Tot COMPL.SAL Ef]]</f>
        <v>0</v>
      </c>
      <c r="CF214" s="139" t="n">
        <f aca="false">+SUM(DATOS_[[#This Row],[C.Extra.01]:[C.Extra.05]])</f>
        <v>0</v>
      </c>
      <c r="CG214" s="139" t="n">
        <f aca="false">+DATOS_[[#This Row],[TOTAL SALARIO Ef]]+DATOS_[[#This Row],[Tot Extrasalarial Ef]]</f>
        <v>0</v>
      </c>
      <c r="CH214" s="140" t="n">
        <f aca="false">MIN(IF(DATOS_[[#This Row],[Fecha Fin Contrato]]="",$D$4,DATOS_[[#This Row],[Fecha Fin Contrato]]),$D$4)-MAX(DATOS_[[#This Row],[Fecha de Contratación]],$D$3)+1</f>
        <v>1</v>
      </c>
      <c r="CI214" s="141" t="str">
        <f aca="false">IF(COUNTIFS(DATOS_[id],DATOS_[[#This Row],[id]])&gt;1,DATOS_[[#This Row],[id]],"")</f>
        <v/>
      </c>
      <c r="CJ214" s="141" t="n">
        <f aca="false">(Inicio!$G$10-DATOS_[[#This Row],[Fecha Nacimiento]])/365.25</f>
        <v>0</v>
      </c>
      <c r="CK214" s="141" t="n">
        <f aca="false">(Inicio!$G$10-DATOS_[[#This Row],[Fecha de Antigüedad]])/365.25</f>
        <v>0</v>
      </c>
      <c r="CL214" s="141" t="e">
        <f aca="false">+VLOOKUP(DATOS_[[#This Row],[Clave de Contrato]],TblTiposContrato13[],3,0)</f>
        <v>#N/A</v>
      </c>
      <c r="CM214" s="141" t="e">
        <f aca="false">+VLOOKUP(DATOS_[[#This Row],[Clave de Contrato]],TblTiposContrato13[],4,0)</f>
        <v>#N/A</v>
      </c>
      <c r="CN214" s="141" t="str">
        <f aca="false">VLOOKUP(DATOS_[[#This Row],[Edad]],CONTRATOS!TblRngEdad,2,1)</f>
        <v>20  o menos</v>
      </c>
      <c r="CO214" s="141" t="str">
        <f aca="false">VLOOKUP(DATOS_[[#This Row],[Antigüedad]],TblRngAntg14[],2,1)</f>
        <v>0 a 1 años</v>
      </c>
    </row>
    <row r="215" customFormat="false" ht="13.8" hidden="false" customHeight="false" outlineLevel="0" collapsed="false">
      <c r="D215" s="128"/>
      <c r="E215" s="129"/>
      <c r="F215" s="129"/>
      <c r="G215" s="129"/>
      <c r="H215" s="130"/>
      <c r="I215" s="131"/>
      <c r="J215" s="128"/>
      <c r="K215" s="132"/>
      <c r="L215" s="132"/>
      <c r="M215" s="133"/>
      <c r="N215" s="133"/>
      <c r="O215" s="133"/>
      <c r="P215" s="129"/>
      <c r="Z215" s="75"/>
      <c r="AA215" s="76"/>
      <c r="AB215" s="76"/>
      <c r="AC215" s="129"/>
      <c r="AD215" s="134"/>
      <c r="AE215" s="134"/>
      <c r="AF215" s="134"/>
      <c r="AG215" s="134"/>
      <c r="AH215" s="134"/>
      <c r="AI215" s="134"/>
      <c r="AJ215" s="134"/>
      <c r="AK215" s="134"/>
      <c r="AL215" s="134"/>
      <c r="AM215" s="134"/>
      <c r="AN215" s="134"/>
      <c r="AO215" s="134"/>
      <c r="AP215" s="134"/>
      <c r="AQ215" s="134"/>
      <c r="AR215" s="134"/>
      <c r="AS215" s="134"/>
      <c r="AT215" s="134"/>
      <c r="AU215" s="134"/>
      <c r="AV215" s="134"/>
      <c r="AW215" s="134"/>
      <c r="AX215" s="134"/>
      <c r="AY215" s="134"/>
      <c r="AZ215" s="134"/>
      <c r="BA215" s="134"/>
      <c r="BB215" s="134"/>
      <c r="BC215" s="134"/>
      <c r="BD215" s="134"/>
      <c r="BE215" s="134"/>
      <c r="BF215" s="134"/>
      <c r="BG215" s="134"/>
      <c r="BH215" s="134"/>
      <c r="BI215" s="134"/>
      <c r="BJ215" s="134"/>
      <c r="BK215" s="134"/>
      <c r="BL215" s="134"/>
      <c r="BM215" s="135"/>
      <c r="BN215" s="136" t="n">
        <f aca="false">+MAX($D$3,DATOS_[[#This Row],[Fecha Inicio Sit. Contract.]])</f>
        <v>0</v>
      </c>
      <c r="BO215" s="136" t="n">
        <f aca="false">+MIN($D$4,DATOS_[[#This Row],[Fecha Fin Sit. Contract.]])</f>
        <v>0</v>
      </c>
      <c r="BP215" s="137" t="n">
        <f aca="false">+DATOS_[[#This Row],[% de jornada]]*IF(DATOS_[[#This Row],[% jornada reducida]]="",1,DATOS_[[#This Row],[% jornada reducida]])</f>
        <v>0</v>
      </c>
      <c r="BQ215" s="137" t="n">
        <f aca="false">+(DATOS_[[#This Row],[F.fin.cal]]-DATOS_[[#This Row],[F.ini.cal]]+1)/($D$4-$D$3+1)</f>
        <v>1</v>
      </c>
      <c r="BR215" s="137" t="str">
        <f aca="false">IF(OR(AND(DATOS_[[#This Row],[Fecha Fin Contrato]]&lt;$D$3,DATOS_[[#This Row],[Fecha Fin Contrato]]&lt;&gt;""),DATOS_[[#This Row],[Fecha de Contratación]]&gt;$D$4),"Fuera","Dentro")</f>
        <v>Dentro</v>
      </c>
      <c r="BS215" s="137" t="str">
        <f aca="false" t="array" ref="BS215:BS215">IF(MAX(IF(DATOS_[id]=DATOS_[[#This Row],[id]],DATOS_[F.fin.cal]))=DATOS_[[#This Row],[F.fin.cal]],"Sí","NO")</f>
        <v>Sí</v>
      </c>
      <c r="BT215" s="137" t="str">
        <f aca="false">IF(AND(DATOS_[[#This Row],[% normaliz]]&lt;&gt;1,DATOS_[[#This Row],[% anualiz]]=1),"Sí","NO")</f>
        <v>Sí</v>
      </c>
      <c r="BU215" s="137" t="str">
        <f aca="false">IF(AND(DATOS_[[#This Row],[% normaliz]]=1,DATOS_[[#This Row],[% anualiz]]&lt;&gt;1),"Sí","NO")</f>
        <v>NO</v>
      </c>
      <c r="BV215" s="137" t="str">
        <f aca="false">IF(AND(DATOS_[[#This Row],[% normaliz]]&lt;&gt;1,DATOS_[[#This Row],[% anualiz]]&lt;&gt;1),"Sí","NO")</f>
        <v>NO</v>
      </c>
      <c r="BW215" s="137" t="str">
        <f aca="false">+IF(DATOS_[[#This Row],[% normaliz]]*DATOS_[[#This Row],[% anualiz]]=1,"NO","Sí")</f>
        <v>Sí</v>
      </c>
      <c r="BX215" s="138" t="e">
        <f aca="false">(DATOS_[[#This Row],[S.BASE]]*(1/DATOS_[[#This Row],[% normaliz]])*(1/DATOS_[[#This Row],[% anualiz]]))*IF(DATOS_[[#This Row],[Check Equiparado]]="Sí",1,0)</f>
        <v>#DIV/0!</v>
      </c>
      <c r="BY2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5" s="138" t="e">
        <f aca="false">+DATOS_[[#This Row],[SALARIO BASE Eq]]+DATOS_[[#This Row],[Tot COMPL.SAL Eq]]</f>
        <v>#DIV/0!</v>
      </c>
      <c r="CA215" s="138" t="e">
        <f aca="false" t="array" ref="CA215:CA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5" s="138" t="e">
        <f aca="false">+DATOS_[[#This Row],[TOTAL SALARIO Eq]]+DATOS_[[#This Row],[Tot Extrasalarial Eq]]</f>
        <v>#DIV/0!</v>
      </c>
      <c r="CC215" s="139" t="n">
        <f aca="false">DATOS_[[#This Row],[S.BASE]]</f>
        <v>0</v>
      </c>
      <c r="CD215" s="139" t="n">
        <f aca="false">+SUM(DATOS_[[#This Row],[Conc.Sal.01]:[Conc.Sal.30]])</f>
        <v>0</v>
      </c>
      <c r="CE215" s="139" t="n">
        <f aca="false">+DATOS_[[#This Row],[SALARIO BASE Ef]]+DATOS_[[#This Row],[Tot COMPL.SAL Ef]]</f>
        <v>0</v>
      </c>
      <c r="CF215" s="139" t="n">
        <f aca="false">+SUM(DATOS_[[#This Row],[C.Extra.01]:[C.Extra.05]])</f>
        <v>0</v>
      </c>
      <c r="CG215" s="139" t="n">
        <f aca="false">+DATOS_[[#This Row],[TOTAL SALARIO Ef]]+DATOS_[[#This Row],[Tot Extrasalarial Ef]]</f>
        <v>0</v>
      </c>
      <c r="CH215" s="140" t="n">
        <f aca="false">MIN(IF(DATOS_[[#This Row],[Fecha Fin Contrato]]="",$D$4,DATOS_[[#This Row],[Fecha Fin Contrato]]),$D$4)-MAX(DATOS_[[#This Row],[Fecha de Contratación]],$D$3)+1</f>
        <v>1</v>
      </c>
      <c r="CI215" s="141" t="str">
        <f aca="false">IF(COUNTIFS(DATOS_[id],DATOS_[[#This Row],[id]])&gt;1,DATOS_[[#This Row],[id]],"")</f>
        <v/>
      </c>
      <c r="CJ215" s="141" t="n">
        <f aca="false">(Inicio!$G$10-DATOS_[[#This Row],[Fecha Nacimiento]])/365.25</f>
        <v>0</v>
      </c>
      <c r="CK215" s="141" t="n">
        <f aca="false">(Inicio!$G$10-DATOS_[[#This Row],[Fecha de Antigüedad]])/365.25</f>
        <v>0</v>
      </c>
      <c r="CL215" s="141" t="e">
        <f aca="false">+VLOOKUP(DATOS_[[#This Row],[Clave de Contrato]],TblTiposContrato13[],3,0)</f>
        <v>#N/A</v>
      </c>
      <c r="CM215" s="141" t="e">
        <f aca="false">+VLOOKUP(DATOS_[[#This Row],[Clave de Contrato]],TblTiposContrato13[],4,0)</f>
        <v>#N/A</v>
      </c>
      <c r="CN215" s="141" t="str">
        <f aca="false">VLOOKUP(DATOS_[[#This Row],[Edad]],CONTRATOS!TblRngEdad,2,1)</f>
        <v>20  o menos</v>
      </c>
      <c r="CO215" s="141" t="str">
        <f aca="false">VLOOKUP(DATOS_[[#This Row],[Antigüedad]],TblRngAntg14[],2,1)</f>
        <v>0 a 1 años</v>
      </c>
    </row>
    <row r="216" customFormat="false" ht="13.8" hidden="false" customHeight="false" outlineLevel="0" collapsed="false">
      <c r="D216" s="128"/>
      <c r="E216" s="129"/>
      <c r="F216" s="129"/>
      <c r="G216" s="129"/>
      <c r="H216" s="130"/>
      <c r="I216" s="131"/>
      <c r="J216" s="128"/>
      <c r="K216" s="132"/>
      <c r="L216" s="132"/>
      <c r="M216" s="133"/>
      <c r="N216" s="133"/>
      <c r="O216" s="133"/>
      <c r="P216" s="129"/>
      <c r="Z216" s="75"/>
      <c r="AA216" s="76"/>
      <c r="AB216" s="76"/>
      <c r="AC216" s="129"/>
      <c r="AD216" s="134"/>
      <c r="AE216" s="134"/>
      <c r="AF216" s="134"/>
      <c r="AG216" s="134"/>
      <c r="AH216" s="134"/>
      <c r="AI216" s="134"/>
      <c r="AJ216" s="134"/>
      <c r="AK216" s="134"/>
      <c r="AL216" s="134"/>
      <c r="AM216" s="134"/>
      <c r="AN216" s="134"/>
      <c r="AO216" s="134"/>
      <c r="AP216" s="134"/>
      <c r="AQ216" s="134"/>
      <c r="AR216" s="134"/>
      <c r="AS216" s="134"/>
      <c r="AT216" s="134"/>
      <c r="AU216" s="134"/>
      <c r="AV216" s="134"/>
      <c r="AW216" s="134"/>
      <c r="AX216" s="134"/>
      <c r="AY216" s="134"/>
      <c r="AZ216" s="134"/>
      <c r="BA216" s="134"/>
      <c r="BB216" s="134"/>
      <c r="BC216" s="134"/>
      <c r="BD216" s="134"/>
      <c r="BE216" s="134"/>
      <c r="BF216" s="134"/>
      <c r="BG216" s="134"/>
      <c r="BH216" s="134"/>
      <c r="BI216" s="134"/>
      <c r="BJ216" s="134"/>
      <c r="BK216" s="134"/>
      <c r="BL216" s="134"/>
      <c r="BM216" s="135"/>
      <c r="BN216" s="136" t="n">
        <f aca="false">+MAX($D$3,DATOS_[[#This Row],[Fecha Inicio Sit. Contract.]])</f>
        <v>0</v>
      </c>
      <c r="BO216" s="136" t="n">
        <f aca="false">+MIN($D$4,DATOS_[[#This Row],[Fecha Fin Sit. Contract.]])</f>
        <v>0</v>
      </c>
      <c r="BP216" s="137" t="n">
        <f aca="false">+DATOS_[[#This Row],[% de jornada]]*IF(DATOS_[[#This Row],[% jornada reducida]]="",1,DATOS_[[#This Row],[% jornada reducida]])</f>
        <v>0</v>
      </c>
      <c r="BQ216" s="137" t="n">
        <f aca="false">+(DATOS_[[#This Row],[F.fin.cal]]-DATOS_[[#This Row],[F.ini.cal]]+1)/($D$4-$D$3+1)</f>
        <v>1</v>
      </c>
      <c r="BR216" s="137" t="str">
        <f aca="false">IF(OR(AND(DATOS_[[#This Row],[Fecha Fin Contrato]]&lt;$D$3,DATOS_[[#This Row],[Fecha Fin Contrato]]&lt;&gt;""),DATOS_[[#This Row],[Fecha de Contratación]]&gt;$D$4),"Fuera","Dentro")</f>
        <v>Dentro</v>
      </c>
      <c r="BS216" s="137" t="str">
        <f aca="false" t="array" ref="BS216:BS216">IF(MAX(IF(DATOS_[id]=DATOS_[[#This Row],[id]],DATOS_[F.fin.cal]))=DATOS_[[#This Row],[F.fin.cal]],"Sí","NO")</f>
        <v>Sí</v>
      </c>
      <c r="BT216" s="137" t="str">
        <f aca="false">IF(AND(DATOS_[[#This Row],[% normaliz]]&lt;&gt;1,DATOS_[[#This Row],[% anualiz]]=1),"Sí","NO")</f>
        <v>Sí</v>
      </c>
      <c r="BU216" s="137" t="str">
        <f aca="false">IF(AND(DATOS_[[#This Row],[% normaliz]]=1,DATOS_[[#This Row],[% anualiz]]&lt;&gt;1),"Sí","NO")</f>
        <v>NO</v>
      </c>
      <c r="BV216" s="137" t="str">
        <f aca="false">IF(AND(DATOS_[[#This Row],[% normaliz]]&lt;&gt;1,DATOS_[[#This Row],[% anualiz]]&lt;&gt;1),"Sí","NO")</f>
        <v>NO</v>
      </c>
      <c r="BW216" s="137" t="str">
        <f aca="false">+IF(DATOS_[[#This Row],[% normaliz]]*DATOS_[[#This Row],[% anualiz]]=1,"NO","Sí")</f>
        <v>Sí</v>
      </c>
      <c r="BX216" s="138" t="e">
        <f aca="false">(DATOS_[[#This Row],[S.BASE]]*(1/DATOS_[[#This Row],[% normaliz]])*(1/DATOS_[[#This Row],[% anualiz]]))*IF(DATOS_[[#This Row],[Check Equiparado]]="Sí",1,0)</f>
        <v>#DIV/0!</v>
      </c>
      <c r="BY2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6" s="138" t="e">
        <f aca="false">+DATOS_[[#This Row],[SALARIO BASE Eq]]+DATOS_[[#This Row],[Tot COMPL.SAL Eq]]</f>
        <v>#DIV/0!</v>
      </c>
      <c r="CA216" s="138" t="e">
        <f aca="false" t="array" ref="CA216:CA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6" s="138" t="e">
        <f aca="false">+DATOS_[[#This Row],[TOTAL SALARIO Eq]]+DATOS_[[#This Row],[Tot Extrasalarial Eq]]</f>
        <v>#DIV/0!</v>
      </c>
      <c r="CC216" s="139" t="n">
        <f aca="false">DATOS_[[#This Row],[S.BASE]]</f>
        <v>0</v>
      </c>
      <c r="CD216" s="139" t="n">
        <f aca="false">+SUM(DATOS_[[#This Row],[Conc.Sal.01]:[Conc.Sal.30]])</f>
        <v>0</v>
      </c>
      <c r="CE216" s="139" t="n">
        <f aca="false">+DATOS_[[#This Row],[SALARIO BASE Ef]]+DATOS_[[#This Row],[Tot COMPL.SAL Ef]]</f>
        <v>0</v>
      </c>
      <c r="CF216" s="139" t="n">
        <f aca="false">+SUM(DATOS_[[#This Row],[C.Extra.01]:[C.Extra.05]])</f>
        <v>0</v>
      </c>
      <c r="CG216" s="139" t="n">
        <f aca="false">+DATOS_[[#This Row],[TOTAL SALARIO Ef]]+DATOS_[[#This Row],[Tot Extrasalarial Ef]]</f>
        <v>0</v>
      </c>
      <c r="CH216" s="140" t="n">
        <f aca="false">MIN(IF(DATOS_[[#This Row],[Fecha Fin Contrato]]="",$D$4,DATOS_[[#This Row],[Fecha Fin Contrato]]),$D$4)-MAX(DATOS_[[#This Row],[Fecha de Contratación]],$D$3)+1</f>
        <v>1</v>
      </c>
      <c r="CI216" s="141" t="str">
        <f aca="false">IF(COUNTIFS(DATOS_[id],DATOS_[[#This Row],[id]])&gt;1,DATOS_[[#This Row],[id]],"")</f>
        <v/>
      </c>
      <c r="CJ216" s="141" t="n">
        <f aca="false">(Inicio!$G$10-DATOS_[[#This Row],[Fecha Nacimiento]])/365.25</f>
        <v>0</v>
      </c>
      <c r="CK216" s="141" t="n">
        <f aca="false">(Inicio!$G$10-DATOS_[[#This Row],[Fecha de Antigüedad]])/365.25</f>
        <v>0</v>
      </c>
      <c r="CL216" s="141" t="e">
        <f aca="false">+VLOOKUP(DATOS_[[#This Row],[Clave de Contrato]],TblTiposContrato13[],3,0)</f>
        <v>#N/A</v>
      </c>
      <c r="CM216" s="141" t="e">
        <f aca="false">+VLOOKUP(DATOS_[[#This Row],[Clave de Contrato]],TblTiposContrato13[],4,0)</f>
        <v>#N/A</v>
      </c>
      <c r="CN216" s="141" t="str">
        <f aca="false">VLOOKUP(DATOS_[[#This Row],[Edad]],CONTRATOS!TblRngEdad,2,1)</f>
        <v>20  o menos</v>
      </c>
      <c r="CO216" s="141" t="str">
        <f aca="false">VLOOKUP(DATOS_[[#This Row],[Antigüedad]],TblRngAntg14[],2,1)</f>
        <v>0 a 1 años</v>
      </c>
    </row>
    <row r="217" customFormat="false" ht="13.8" hidden="false" customHeight="false" outlineLevel="0" collapsed="false">
      <c r="D217" s="128"/>
      <c r="E217" s="129"/>
      <c r="F217" s="129"/>
      <c r="G217" s="129"/>
      <c r="H217" s="130"/>
      <c r="I217" s="131"/>
      <c r="J217" s="128"/>
      <c r="K217" s="132"/>
      <c r="L217" s="132"/>
      <c r="M217" s="133"/>
      <c r="N217" s="133"/>
      <c r="O217" s="133"/>
      <c r="P217" s="129"/>
      <c r="Z217" s="75"/>
      <c r="AA217" s="76"/>
      <c r="AB217" s="76"/>
      <c r="AC217" s="129"/>
      <c r="AD217" s="134"/>
      <c r="AE217" s="134"/>
      <c r="AF217" s="134"/>
      <c r="AG217" s="134"/>
      <c r="AH217" s="134"/>
      <c r="AI217" s="134"/>
      <c r="AJ217" s="134"/>
      <c r="AK217" s="134"/>
      <c r="AL217" s="134"/>
      <c r="AM217" s="134"/>
      <c r="AN217" s="134"/>
      <c r="AO217" s="134"/>
      <c r="AP217" s="134"/>
      <c r="AQ217" s="134"/>
      <c r="AR217" s="134"/>
      <c r="AS217" s="134"/>
      <c r="AT217" s="134"/>
      <c r="AU217" s="134"/>
      <c r="AV217" s="134"/>
      <c r="AW217" s="134"/>
      <c r="AX217" s="134"/>
      <c r="AY217" s="134"/>
      <c r="AZ217" s="134"/>
      <c r="BA217" s="134"/>
      <c r="BB217" s="134"/>
      <c r="BC217" s="134"/>
      <c r="BD217" s="134"/>
      <c r="BE217" s="134"/>
      <c r="BF217" s="134"/>
      <c r="BG217" s="134"/>
      <c r="BH217" s="134"/>
      <c r="BI217" s="134"/>
      <c r="BJ217" s="134"/>
      <c r="BK217" s="134"/>
      <c r="BL217" s="134"/>
      <c r="BM217" s="135"/>
      <c r="BN217" s="136" t="n">
        <f aca="false">+MAX($D$3,DATOS_[[#This Row],[Fecha Inicio Sit. Contract.]])</f>
        <v>0</v>
      </c>
      <c r="BO217" s="136" t="n">
        <f aca="false">+MIN($D$4,DATOS_[[#This Row],[Fecha Fin Sit. Contract.]])</f>
        <v>0</v>
      </c>
      <c r="BP217" s="137" t="n">
        <f aca="false">+DATOS_[[#This Row],[% de jornada]]*IF(DATOS_[[#This Row],[% jornada reducida]]="",1,DATOS_[[#This Row],[% jornada reducida]])</f>
        <v>0</v>
      </c>
      <c r="BQ217" s="137" t="n">
        <f aca="false">+(DATOS_[[#This Row],[F.fin.cal]]-DATOS_[[#This Row],[F.ini.cal]]+1)/($D$4-$D$3+1)</f>
        <v>1</v>
      </c>
      <c r="BR217" s="137" t="str">
        <f aca="false">IF(OR(AND(DATOS_[[#This Row],[Fecha Fin Contrato]]&lt;$D$3,DATOS_[[#This Row],[Fecha Fin Contrato]]&lt;&gt;""),DATOS_[[#This Row],[Fecha de Contratación]]&gt;$D$4),"Fuera","Dentro")</f>
        <v>Dentro</v>
      </c>
      <c r="BS217" s="137" t="str">
        <f aca="false" t="array" ref="BS217:BS217">IF(MAX(IF(DATOS_[id]=DATOS_[[#This Row],[id]],DATOS_[F.fin.cal]))=DATOS_[[#This Row],[F.fin.cal]],"Sí","NO")</f>
        <v>Sí</v>
      </c>
      <c r="BT217" s="137" t="str">
        <f aca="false">IF(AND(DATOS_[[#This Row],[% normaliz]]&lt;&gt;1,DATOS_[[#This Row],[% anualiz]]=1),"Sí","NO")</f>
        <v>Sí</v>
      </c>
      <c r="BU217" s="137" t="str">
        <f aca="false">IF(AND(DATOS_[[#This Row],[% normaliz]]=1,DATOS_[[#This Row],[% anualiz]]&lt;&gt;1),"Sí","NO")</f>
        <v>NO</v>
      </c>
      <c r="BV217" s="137" t="str">
        <f aca="false">IF(AND(DATOS_[[#This Row],[% normaliz]]&lt;&gt;1,DATOS_[[#This Row],[% anualiz]]&lt;&gt;1),"Sí","NO")</f>
        <v>NO</v>
      </c>
      <c r="BW217" s="137" t="str">
        <f aca="false">+IF(DATOS_[[#This Row],[% normaliz]]*DATOS_[[#This Row],[% anualiz]]=1,"NO","Sí")</f>
        <v>Sí</v>
      </c>
      <c r="BX217" s="138" t="e">
        <f aca="false">(DATOS_[[#This Row],[S.BASE]]*(1/DATOS_[[#This Row],[% normaliz]])*(1/DATOS_[[#This Row],[% anualiz]]))*IF(DATOS_[[#This Row],[Check Equiparado]]="Sí",1,0)</f>
        <v>#DIV/0!</v>
      </c>
      <c r="BY2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7" s="138" t="e">
        <f aca="false">+DATOS_[[#This Row],[SALARIO BASE Eq]]+DATOS_[[#This Row],[Tot COMPL.SAL Eq]]</f>
        <v>#DIV/0!</v>
      </c>
      <c r="CA217" s="138" t="e">
        <f aca="false" t="array" ref="CA217:CA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7" s="138" t="e">
        <f aca="false">+DATOS_[[#This Row],[TOTAL SALARIO Eq]]+DATOS_[[#This Row],[Tot Extrasalarial Eq]]</f>
        <v>#DIV/0!</v>
      </c>
      <c r="CC217" s="139" t="n">
        <f aca="false">DATOS_[[#This Row],[S.BASE]]</f>
        <v>0</v>
      </c>
      <c r="CD217" s="139" t="n">
        <f aca="false">+SUM(DATOS_[[#This Row],[Conc.Sal.01]:[Conc.Sal.30]])</f>
        <v>0</v>
      </c>
      <c r="CE217" s="139" t="n">
        <f aca="false">+DATOS_[[#This Row],[SALARIO BASE Ef]]+DATOS_[[#This Row],[Tot COMPL.SAL Ef]]</f>
        <v>0</v>
      </c>
      <c r="CF217" s="139" t="n">
        <f aca="false">+SUM(DATOS_[[#This Row],[C.Extra.01]:[C.Extra.05]])</f>
        <v>0</v>
      </c>
      <c r="CG217" s="139" t="n">
        <f aca="false">+DATOS_[[#This Row],[TOTAL SALARIO Ef]]+DATOS_[[#This Row],[Tot Extrasalarial Ef]]</f>
        <v>0</v>
      </c>
      <c r="CH217" s="140" t="n">
        <f aca="false">MIN(IF(DATOS_[[#This Row],[Fecha Fin Contrato]]="",$D$4,DATOS_[[#This Row],[Fecha Fin Contrato]]),$D$4)-MAX(DATOS_[[#This Row],[Fecha de Contratación]],$D$3)+1</f>
        <v>1</v>
      </c>
      <c r="CI217" s="141" t="str">
        <f aca="false">IF(COUNTIFS(DATOS_[id],DATOS_[[#This Row],[id]])&gt;1,DATOS_[[#This Row],[id]],"")</f>
        <v/>
      </c>
      <c r="CJ217" s="141" t="n">
        <f aca="false">(Inicio!$G$10-DATOS_[[#This Row],[Fecha Nacimiento]])/365.25</f>
        <v>0</v>
      </c>
      <c r="CK217" s="141" t="n">
        <f aca="false">(Inicio!$G$10-DATOS_[[#This Row],[Fecha de Antigüedad]])/365.25</f>
        <v>0</v>
      </c>
      <c r="CL217" s="141" t="e">
        <f aca="false">+VLOOKUP(DATOS_[[#This Row],[Clave de Contrato]],TblTiposContrato13[],3,0)</f>
        <v>#N/A</v>
      </c>
      <c r="CM217" s="141" t="e">
        <f aca="false">+VLOOKUP(DATOS_[[#This Row],[Clave de Contrato]],TblTiposContrato13[],4,0)</f>
        <v>#N/A</v>
      </c>
      <c r="CN217" s="141" t="str">
        <f aca="false">VLOOKUP(DATOS_[[#This Row],[Edad]],CONTRATOS!TblRngEdad,2,1)</f>
        <v>20  o menos</v>
      </c>
      <c r="CO217" s="141" t="str">
        <f aca="false">VLOOKUP(DATOS_[[#This Row],[Antigüedad]],TblRngAntg14[],2,1)</f>
        <v>0 a 1 años</v>
      </c>
    </row>
    <row r="218" customFormat="false" ht="13.8" hidden="false" customHeight="false" outlineLevel="0" collapsed="false">
      <c r="D218" s="128"/>
      <c r="E218" s="129"/>
      <c r="F218" s="129"/>
      <c r="G218" s="129"/>
      <c r="H218" s="130"/>
      <c r="I218" s="131"/>
      <c r="J218" s="128"/>
      <c r="K218" s="132"/>
      <c r="L218" s="132"/>
      <c r="M218" s="133"/>
      <c r="N218" s="133"/>
      <c r="O218" s="133"/>
      <c r="P218" s="129"/>
      <c r="Z218" s="75"/>
      <c r="AA218" s="76"/>
      <c r="AB218" s="76"/>
      <c r="AC218" s="129"/>
      <c r="AD218" s="134"/>
      <c r="AE218" s="134"/>
      <c r="AF218" s="134"/>
      <c r="AG218" s="134"/>
      <c r="AH218" s="134"/>
      <c r="AI218" s="134"/>
      <c r="AJ218" s="134"/>
      <c r="AK218" s="134"/>
      <c r="AL218" s="134"/>
      <c r="AM218" s="134"/>
      <c r="AN218" s="134"/>
      <c r="AO218" s="134"/>
      <c r="AP218" s="134"/>
      <c r="AQ218" s="134"/>
      <c r="AR218" s="134"/>
      <c r="AS218" s="134"/>
      <c r="AT218" s="134"/>
      <c r="AU218" s="134"/>
      <c r="AV218" s="134"/>
      <c r="AW218" s="134"/>
      <c r="AX218" s="134"/>
      <c r="AY218" s="134"/>
      <c r="AZ218" s="134"/>
      <c r="BA218" s="134"/>
      <c r="BB218" s="134"/>
      <c r="BC218" s="134"/>
      <c r="BD218" s="134"/>
      <c r="BE218" s="134"/>
      <c r="BF218" s="134"/>
      <c r="BG218" s="134"/>
      <c r="BH218" s="134"/>
      <c r="BI218" s="134"/>
      <c r="BJ218" s="134"/>
      <c r="BK218" s="134"/>
      <c r="BL218" s="134"/>
      <c r="BM218" s="135"/>
      <c r="BN218" s="136" t="n">
        <f aca="false">+MAX($D$3,DATOS_[[#This Row],[Fecha Inicio Sit. Contract.]])</f>
        <v>0</v>
      </c>
      <c r="BO218" s="136" t="n">
        <f aca="false">+MIN($D$4,DATOS_[[#This Row],[Fecha Fin Sit. Contract.]])</f>
        <v>0</v>
      </c>
      <c r="BP218" s="137" t="n">
        <f aca="false">+DATOS_[[#This Row],[% de jornada]]*IF(DATOS_[[#This Row],[% jornada reducida]]="",1,DATOS_[[#This Row],[% jornada reducida]])</f>
        <v>0</v>
      </c>
      <c r="BQ218" s="137" t="n">
        <f aca="false">+(DATOS_[[#This Row],[F.fin.cal]]-DATOS_[[#This Row],[F.ini.cal]]+1)/($D$4-$D$3+1)</f>
        <v>1</v>
      </c>
      <c r="BR218" s="137" t="str">
        <f aca="false">IF(OR(AND(DATOS_[[#This Row],[Fecha Fin Contrato]]&lt;$D$3,DATOS_[[#This Row],[Fecha Fin Contrato]]&lt;&gt;""),DATOS_[[#This Row],[Fecha de Contratación]]&gt;$D$4),"Fuera","Dentro")</f>
        <v>Dentro</v>
      </c>
      <c r="BS218" s="137" t="str">
        <f aca="false" t="array" ref="BS218:BS218">IF(MAX(IF(DATOS_[id]=DATOS_[[#This Row],[id]],DATOS_[F.fin.cal]))=DATOS_[[#This Row],[F.fin.cal]],"Sí","NO")</f>
        <v>Sí</v>
      </c>
      <c r="BT218" s="137" t="str">
        <f aca="false">IF(AND(DATOS_[[#This Row],[% normaliz]]&lt;&gt;1,DATOS_[[#This Row],[% anualiz]]=1),"Sí","NO")</f>
        <v>Sí</v>
      </c>
      <c r="BU218" s="137" t="str">
        <f aca="false">IF(AND(DATOS_[[#This Row],[% normaliz]]=1,DATOS_[[#This Row],[% anualiz]]&lt;&gt;1),"Sí","NO")</f>
        <v>NO</v>
      </c>
      <c r="BV218" s="137" t="str">
        <f aca="false">IF(AND(DATOS_[[#This Row],[% normaliz]]&lt;&gt;1,DATOS_[[#This Row],[% anualiz]]&lt;&gt;1),"Sí","NO")</f>
        <v>NO</v>
      </c>
      <c r="BW218" s="137" t="str">
        <f aca="false">+IF(DATOS_[[#This Row],[% normaliz]]*DATOS_[[#This Row],[% anualiz]]=1,"NO","Sí")</f>
        <v>Sí</v>
      </c>
      <c r="BX218" s="138" t="e">
        <f aca="false">(DATOS_[[#This Row],[S.BASE]]*(1/DATOS_[[#This Row],[% normaliz]])*(1/DATOS_[[#This Row],[% anualiz]]))*IF(DATOS_[[#This Row],[Check Equiparado]]="Sí",1,0)</f>
        <v>#DIV/0!</v>
      </c>
      <c r="BY2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8" s="138" t="e">
        <f aca="false">+DATOS_[[#This Row],[SALARIO BASE Eq]]+DATOS_[[#This Row],[Tot COMPL.SAL Eq]]</f>
        <v>#DIV/0!</v>
      </c>
      <c r="CA218" s="138" t="e">
        <f aca="false" t="array" ref="CA218:CA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8" s="138" t="e">
        <f aca="false">+DATOS_[[#This Row],[TOTAL SALARIO Eq]]+DATOS_[[#This Row],[Tot Extrasalarial Eq]]</f>
        <v>#DIV/0!</v>
      </c>
      <c r="CC218" s="139" t="n">
        <f aca="false">DATOS_[[#This Row],[S.BASE]]</f>
        <v>0</v>
      </c>
      <c r="CD218" s="139" t="n">
        <f aca="false">+SUM(DATOS_[[#This Row],[Conc.Sal.01]:[Conc.Sal.30]])</f>
        <v>0</v>
      </c>
      <c r="CE218" s="139" t="n">
        <f aca="false">+DATOS_[[#This Row],[SALARIO BASE Ef]]+DATOS_[[#This Row],[Tot COMPL.SAL Ef]]</f>
        <v>0</v>
      </c>
      <c r="CF218" s="139" t="n">
        <f aca="false">+SUM(DATOS_[[#This Row],[C.Extra.01]:[C.Extra.05]])</f>
        <v>0</v>
      </c>
      <c r="CG218" s="139" t="n">
        <f aca="false">+DATOS_[[#This Row],[TOTAL SALARIO Ef]]+DATOS_[[#This Row],[Tot Extrasalarial Ef]]</f>
        <v>0</v>
      </c>
      <c r="CH218" s="140" t="n">
        <f aca="false">MIN(IF(DATOS_[[#This Row],[Fecha Fin Contrato]]="",$D$4,DATOS_[[#This Row],[Fecha Fin Contrato]]),$D$4)-MAX(DATOS_[[#This Row],[Fecha de Contratación]],$D$3)+1</f>
        <v>1</v>
      </c>
      <c r="CI218" s="141" t="str">
        <f aca="false">IF(COUNTIFS(DATOS_[id],DATOS_[[#This Row],[id]])&gt;1,DATOS_[[#This Row],[id]],"")</f>
        <v/>
      </c>
      <c r="CJ218" s="141" t="n">
        <f aca="false">(Inicio!$G$10-DATOS_[[#This Row],[Fecha Nacimiento]])/365.25</f>
        <v>0</v>
      </c>
      <c r="CK218" s="141" t="n">
        <f aca="false">(Inicio!$G$10-DATOS_[[#This Row],[Fecha de Antigüedad]])/365.25</f>
        <v>0</v>
      </c>
      <c r="CL218" s="141" t="e">
        <f aca="false">+VLOOKUP(DATOS_[[#This Row],[Clave de Contrato]],TblTiposContrato13[],3,0)</f>
        <v>#N/A</v>
      </c>
      <c r="CM218" s="141" t="e">
        <f aca="false">+VLOOKUP(DATOS_[[#This Row],[Clave de Contrato]],TblTiposContrato13[],4,0)</f>
        <v>#N/A</v>
      </c>
      <c r="CN218" s="141" t="str">
        <f aca="false">VLOOKUP(DATOS_[[#This Row],[Edad]],CONTRATOS!TblRngEdad,2,1)</f>
        <v>20  o menos</v>
      </c>
      <c r="CO218" s="141" t="str">
        <f aca="false">VLOOKUP(DATOS_[[#This Row],[Antigüedad]],TblRngAntg14[],2,1)</f>
        <v>0 a 1 años</v>
      </c>
    </row>
    <row r="219" customFormat="false" ht="13.8" hidden="false" customHeight="false" outlineLevel="0" collapsed="false">
      <c r="D219" s="128"/>
      <c r="E219" s="129"/>
      <c r="F219" s="129"/>
      <c r="G219" s="129"/>
      <c r="H219" s="130"/>
      <c r="I219" s="131"/>
      <c r="J219" s="128"/>
      <c r="K219" s="132"/>
      <c r="L219" s="132"/>
      <c r="M219" s="133"/>
      <c r="N219" s="133"/>
      <c r="O219" s="133"/>
      <c r="P219" s="129"/>
      <c r="Z219" s="75"/>
      <c r="AA219" s="76"/>
      <c r="AB219" s="76"/>
      <c r="AC219" s="129"/>
      <c r="AD219" s="134"/>
      <c r="AE219" s="134"/>
      <c r="AF219" s="134"/>
      <c r="AG219" s="134"/>
      <c r="AH219" s="134"/>
      <c r="AI219" s="134"/>
      <c r="AJ219" s="134"/>
      <c r="AK219" s="134"/>
      <c r="AL219" s="134"/>
      <c r="AM219" s="134"/>
      <c r="AN219" s="134"/>
      <c r="AO219" s="134"/>
      <c r="AP219" s="134"/>
      <c r="AQ219" s="134"/>
      <c r="AR219" s="134"/>
      <c r="AS219" s="134"/>
      <c r="AT219" s="134"/>
      <c r="AU219" s="134"/>
      <c r="AV219" s="134"/>
      <c r="AW219" s="134"/>
      <c r="AX219" s="134"/>
      <c r="AY219" s="134"/>
      <c r="AZ219" s="134"/>
      <c r="BA219" s="134"/>
      <c r="BB219" s="134"/>
      <c r="BC219" s="134"/>
      <c r="BD219" s="134"/>
      <c r="BE219" s="134"/>
      <c r="BF219" s="134"/>
      <c r="BG219" s="134"/>
      <c r="BH219" s="134"/>
      <c r="BI219" s="134"/>
      <c r="BJ219" s="134"/>
      <c r="BK219" s="134"/>
      <c r="BL219" s="134"/>
      <c r="BM219" s="135"/>
      <c r="BN219" s="136" t="n">
        <f aca="false">+MAX($D$3,DATOS_[[#This Row],[Fecha Inicio Sit. Contract.]])</f>
        <v>0</v>
      </c>
      <c r="BO219" s="136" t="n">
        <f aca="false">+MIN($D$4,DATOS_[[#This Row],[Fecha Fin Sit. Contract.]])</f>
        <v>0</v>
      </c>
      <c r="BP219" s="137" t="n">
        <f aca="false">+DATOS_[[#This Row],[% de jornada]]*IF(DATOS_[[#This Row],[% jornada reducida]]="",1,DATOS_[[#This Row],[% jornada reducida]])</f>
        <v>0</v>
      </c>
      <c r="BQ219" s="137" t="n">
        <f aca="false">+(DATOS_[[#This Row],[F.fin.cal]]-DATOS_[[#This Row],[F.ini.cal]]+1)/($D$4-$D$3+1)</f>
        <v>1</v>
      </c>
      <c r="BR219" s="137" t="str">
        <f aca="false">IF(OR(AND(DATOS_[[#This Row],[Fecha Fin Contrato]]&lt;$D$3,DATOS_[[#This Row],[Fecha Fin Contrato]]&lt;&gt;""),DATOS_[[#This Row],[Fecha de Contratación]]&gt;$D$4),"Fuera","Dentro")</f>
        <v>Dentro</v>
      </c>
      <c r="BS219" s="137" t="str">
        <f aca="false" t="array" ref="BS219:BS219">IF(MAX(IF(DATOS_[id]=DATOS_[[#This Row],[id]],DATOS_[F.fin.cal]))=DATOS_[[#This Row],[F.fin.cal]],"Sí","NO")</f>
        <v>Sí</v>
      </c>
      <c r="BT219" s="137" t="str">
        <f aca="false">IF(AND(DATOS_[[#This Row],[% normaliz]]&lt;&gt;1,DATOS_[[#This Row],[% anualiz]]=1),"Sí","NO")</f>
        <v>Sí</v>
      </c>
      <c r="BU219" s="137" t="str">
        <f aca="false">IF(AND(DATOS_[[#This Row],[% normaliz]]=1,DATOS_[[#This Row],[% anualiz]]&lt;&gt;1),"Sí","NO")</f>
        <v>NO</v>
      </c>
      <c r="BV219" s="137" t="str">
        <f aca="false">IF(AND(DATOS_[[#This Row],[% normaliz]]&lt;&gt;1,DATOS_[[#This Row],[% anualiz]]&lt;&gt;1),"Sí","NO")</f>
        <v>NO</v>
      </c>
      <c r="BW219" s="137" t="str">
        <f aca="false">+IF(DATOS_[[#This Row],[% normaliz]]*DATOS_[[#This Row],[% anualiz]]=1,"NO","Sí")</f>
        <v>Sí</v>
      </c>
      <c r="BX219" s="138" t="e">
        <f aca="false">(DATOS_[[#This Row],[S.BASE]]*(1/DATOS_[[#This Row],[% normaliz]])*(1/DATOS_[[#This Row],[% anualiz]]))*IF(DATOS_[[#This Row],[Check Equiparado]]="Sí",1,0)</f>
        <v>#DIV/0!</v>
      </c>
      <c r="BY2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9" s="138" t="e">
        <f aca="false">+DATOS_[[#This Row],[SALARIO BASE Eq]]+DATOS_[[#This Row],[Tot COMPL.SAL Eq]]</f>
        <v>#DIV/0!</v>
      </c>
      <c r="CA219" s="138" t="e">
        <f aca="false" t="array" ref="CA219:CA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9" s="138" t="e">
        <f aca="false">+DATOS_[[#This Row],[TOTAL SALARIO Eq]]+DATOS_[[#This Row],[Tot Extrasalarial Eq]]</f>
        <v>#DIV/0!</v>
      </c>
      <c r="CC219" s="139" t="n">
        <f aca="false">DATOS_[[#This Row],[S.BASE]]</f>
        <v>0</v>
      </c>
      <c r="CD219" s="139" t="n">
        <f aca="false">+SUM(DATOS_[[#This Row],[Conc.Sal.01]:[Conc.Sal.30]])</f>
        <v>0</v>
      </c>
      <c r="CE219" s="139" t="n">
        <f aca="false">+DATOS_[[#This Row],[SALARIO BASE Ef]]+DATOS_[[#This Row],[Tot COMPL.SAL Ef]]</f>
        <v>0</v>
      </c>
      <c r="CF219" s="139" t="n">
        <f aca="false">+SUM(DATOS_[[#This Row],[C.Extra.01]:[C.Extra.05]])</f>
        <v>0</v>
      </c>
      <c r="CG219" s="139" t="n">
        <f aca="false">+DATOS_[[#This Row],[TOTAL SALARIO Ef]]+DATOS_[[#This Row],[Tot Extrasalarial Ef]]</f>
        <v>0</v>
      </c>
      <c r="CH219" s="140" t="n">
        <f aca="false">MIN(IF(DATOS_[[#This Row],[Fecha Fin Contrato]]="",$D$4,DATOS_[[#This Row],[Fecha Fin Contrato]]),$D$4)-MAX(DATOS_[[#This Row],[Fecha de Contratación]],$D$3)+1</f>
        <v>1</v>
      </c>
      <c r="CI219" s="141" t="str">
        <f aca="false">IF(COUNTIFS(DATOS_[id],DATOS_[[#This Row],[id]])&gt;1,DATOS_[[#This Row],[id]],"")</f>
        <v/>
      </c>
      <c r="CJ219" s="141" t="n">
        <f aca="false">(Inicio!$G$10-DATOS_[[#This Row],[Fecha Nacimiento]])/365.25</f>
        <v>0</v>
      </c>
      <c r="CK219" s="141" t="n">
        <f aca="false">(Inicio!$G$10-DATOS_[[#This Row],[Fecha de Antigüedad]])/365.25</f>
        <v>0</v>
      </c>
      <c r="CL219" s="141" t="e">
        <f aca="false">+VLOOKUP(DATOS_[[#This Row],[Clave de Contrato]],TblTiposContrato13[],3,0)</f>
        <v>#N/A</v>
      </c>
      <c r="CM219" s="141" t="e">
        <f aca="false">+VLOOKUP(DATOS_[[#This Row],[Clave de Contrato]],TblTiposContrato13[],4,0)</f>
        <v>#N/A</v>
      </c>
      <c r="CN219" s="141" t="str">
        <f aca="false">VLOOKUP(DATOS_[[#This Row],[Edad]],CONTRATOS!TblRngEdad,2,1)</f>
        <v>20  o menos</v>
      </c>
      <c r="CO219" s="141" t="str">
        <f aca="false">VLOOKUP(DATOS_[[#This Row],[Antigüedad]],TblRngAntg14[],2,1)</f>
        <v>0 a 1 años</v>
      </c>
    </row>
    <row r="220" customFormat="false" ht="13.8" hidden="false" customHeight="false" outlineLevel="0" collapsed="false">
      <c r="D220" s="128"/>
      <c r="E220" s="129"/>
      <c r="F220" s="129"/>
      <c r="G220" s="129"/>
      <c r="H220" s="130"/>
      <c r="I220" s="131"/>
      <c r="J220" s="128"/>
      <c r="K220" s="132"/>
      <c r="L220" s="132"/>
      <c r="M220" s="133"/>
      <c r="N220" s="133"/>
      <c r="O220" s="133"/>
      <c r="P220" s="129"/>
      <c r="Z220" s="75"/>
      <c r="AA220" s="76"/>
      <c r="AB220" s="76"/>
      <c r="AC220" s="129"/>
      <c r="AD220" s="134"/>
      <c r="AE220" s="134"/>
      <c r="AF220" s="134"/>
      <c r="AG220" s="134"/>
      <c r="AH220" s="134"/>
      <c r="AI220" s="134"/>
      <c r="AJ220" s="134"/>
      <c r="AK220" s="134"/>
      <c r="AL220" s="134"/>
      <c r="AM220" s="134"/>
      <c r="AN220" s="134"/>
      <c r="AO220" s="134"/>
      <c r="AP220" s="134"/>
      <c r="AQ220" s="134"/>
      <c r="AR220" s="134"/>
      <c r="AS220" s="134"/>
      <c r="AT220" s="134"/>
      <c r="AU220" s="134"/>
      <c r="AV220" s="134"/>
      <c r="AW220" s="134"/>
      <c r="AX220" s="134"/>
      <c r="AY220" s="134"/>
      <c r="AZ220" s="134"/>
      <c r="BA220" s="134"/>
      <c r="BB220" s="134"/>
      <c r="BC220" s="134"/>
      <c r="BD220" s="134"/>
      <c r="BE220" s="134"/>
      <c r="BF220" s="134"/>
      <c r="BG220" s="134"/>
      <c r="BH220" s="134"/>
      <c r="BI220" s="134"/>
      <c r="BJ220" s="134"/>
      <c r="BK220" s="134"/>
      <c r="BL220" s="134"/>
      <c r="BM220" s="135"/>
      <c r="BN220" s="136" t="n">
        <f aca="false">+MAX($D$3,DATOS_[[#This Row],[Fecha Inicio Sit. Contract.]])</f>
        <v>0</v>
      </c>
      <c r="BO220" s="136" t="n">
        <f aca="false">+MIN($D$4,DATOS_[[#This Row],[Fecha Fin Sit. Contract.]])</f>
        <v>0</v>
      </c>
      <c r="BP220" s="137" t="n">
        <f aca="false">+DATOS_[[#This Row],[% de jornada]]*IF(DATOS_[[#This Row],[% jornada reducida]]="",1,DATOS_[[#This Row],[% jornada reducida]])</f>
        <v>0</v>
      </c>
      <c r="BQ220" s="137" t="n">
        <f aca="false">+(DATOS_[[#This Row],[F.fin.cal]]-DATOS_[[#This Row],[F.ini.cal]]+1)/($D$4-$D$3+1)</f>
        <v>1</v>
      </c>
      <c r="BR220" s="137" t="str">
        <f aca="false">IF(OR(AND(DATOS_[[#This Row],[Fecha Fin Contrato]]&lt;$D$3,DATOS_[[#This Row],[Fecha Fin Contrato]]&lt;&gt;""),DATOS_[[#This Row],[Fecha de Contratación]]&gt;$D$4),"Fuera","Dentro")</f>
        <v>Dentro</v>
      </c>
      <c r="BS220" s="137" t="str">
        <f aca="false" t="array" ref="BS220:BS220">IF(MAX(IF(DATOS_[id]=DATOS_[[#This Row],[id]],DATOS_[F.fin.cal]))=DATOS_[[#This Row],[F.fin.cal]],"Sí","NO")</f>
        <v>Sí</v>
      </c>
      <c r="BT220" s="137" t="str">
        <f aca="false">IF(AND(DATOS_[[#This Row],[% normaliz]]&lt;&gt;1,DATOS_[[#This Row],[% anualiz]]=1),"Sí","NO")</f>
        <v>Sí</v>
      </c>
      <c r="BU220" s="137" t="str">
        <f aca="false">IF(AND(DATOS_[[#This Row],[% normaliz]]=1,DATOS_[[#This Row],[% anualiz]]&lt;&gt;1),"Sí","NO")</f>
        <v>NO</v>
      </c>
      <c r="BV220" s="137" t="str">
        <f aca="false">IF(AND(DATOS_[[#This Row],[% normaliz]]&lt;&gt;1,DATOS_[[#This Row],[% anualiz]]&lt;&gt;1),"Sí","NO")</f>
        <v>NO</v>
      </c>
      <c r="BW220" s="137" t="str">
        <f aca="false">+IF(DATOS_[[#This Row],[% normaliz]]*DATOS_[[#This Row],[% anualiz]]=1,"NO","Sí")</f>
        <v>Sí</v>
      </c>
      <c r="BX220" s="138" t="e">
        <f aca="false">(DATOS_[[#This Row],[S.BASE]]*(1/DATOS_[[#This Row],[% normaliz]])*(1/DATOS_[[#This Row],[% anualiz]]))*IF(DATOS_[[#This Row],[Check Equiparado]]="Sí",1,0)</f>
        <v>#DIV/0!</v>
      </c>
      <c r="BY2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0" s="138" t="e">
        <f aca="false">+DATOS_[[#This Row],[SALARIO BASE Eq]]+DATOS_[[#This Row],[Tot COMPL.SAL Eq]]</f>
        <v>#DIV/0!</v>
      </c>
      <c r="CA220" s="138" t="e">
        <f aca="false" t="array" ref="CA220:CA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0" s="138" t="e">
        <f aca="false">+DATOS_[[#This Row],[TOTAL SALARIO Eq]]+DATOS_[[#This Row],[Tot Extrasalarial Eq]]</f>
        <v>#DIV/0!</v>
      </c>
      <c r="CC220" s="139" t="n">
        <f aca="false">DATOS_[[#This Row],[S.BASE]]</f>
        <v>0</v>
      </c>
      <c r="CD220" s="139" t="n">
        <f aca="false">+SUM(DATOS_[[#This Row],[Conc.Sal.01]:[Conc.Sal.30]])</f>
        <v>0</v>
      </c>
      <c r="CE220" s="139" t="n">
        <f aca="false">+DATOS_[[#This Row],[SALARIO BASE Ef]]+DATOS_[[#This Row],[Tot COMPL.SAL Ef]]</f>
        <v>0</v>
      </c>
      <c r="CF220" s="139" t="n">
        <f aca="false">+SUM(DATOS_[[#This Row],[C.Extra.01]:[C.Extra.05]])</f>
        <v>0</v>
      </c>
      <c r="CG220" s="139" t="n">
        <f aca="false">+DATOS_[[#This Row],[TOTAL SALARIO Ef]]+DATOS_[[#This Row],[Tot Extrasalarial Ef]]</f>
        <v>0</v>
      </c>
      <c r="CH220" s="140" t="n">
        <f aca="false">MIN(IF(DATOS_[[#This Row],[Fecha Fin Contrato]]="",$D$4,DATOS_[[#This Row],[Fecha Fin Contrato]]),$D$4)-MAX(DATOS_[[#This Row],[Fecha de Contratación]],$D$3)+1</f>
        <v>1</v>
      </c>
      <c r="CI220" s="141" t="str">
        <f aca="false">IF(COUNTIFS(DATOS_[id],DATOS_[[#This Row],[id]])&gt;1,DATOS_[[#This Row],[id]],"")</f>
        <v/>
      </c>
      <c r="CJ220" s="141" t="n">
        <f aca="false">(Inicio!$G$10-DATOS_[[#This Row],[Fecha Nacimiento]])/365.25</f>
        <v>0</v>
      </c>
      <c r="CK220" s="141" t="n">
        <f aca="false">(Inicio!$G$10-DATOS_[[#This Row],[Fecha de Antigüedad]])/365.25</f>
        <v>0</v>
      </c>
      <c r="CL220" s="141" t="e">
        <f aca="false">+VLOOKUP(DATOS_[[#This Row],[Clave de Contrato]],TblTiposContrato13[],3,0)</f>
        <v>#N/A</v>
      </c>
      <c r="CM220" s="141" t="e">
        <f aca="false">+VLOOKUP(DATOS_[[#This Row],[Clave de Contrato]],TblTiposContrato13[],4,0)</f>
        <v>#N/A</v>
      </c>
      <c r="CN220" s="141" t="str">
        <f aca="false">VLOOKUP(DATOS_[[#This Row],[Edad]],CONTRATOS!TblRngEdad,2,1)</f>
        <v>20  o menos</v>
      </c>
      <c r="CO220" s="141" t="str">
        <f aca="false">VLOOKUP(DATOS_[[#This Row],[Antigüedad]],TblRngAntg14[],2,1)</f>
        <v>0 a 1 años</v>
      </c>
    </row>
    <row r="221" customFormat="false" ht="13.8" hidden="false" customHeight="false" outlineLevel="0" collapsed="false">
      <c r="D221" s="128"/>
      <c r="E221" s="129"/>
      <c r="F221" s="129"/>
      <c r="G221" s="129"/>
      <c r="H221" s="130"/>
      <c r="I221" s="131"/>
      <c r="J221" s="128"/>
      <c r="K221" s="132"/>
      <c r="L221" s="132"/>
      <c r="M221" s="133"/>
      <c r="N221" s="133"/>
      <c r="O221" s="133"/>
      <c r="P221" s="129"/>
      <c r="Z221" s="75"/>
      <c r="AA221" s="76"/>
      <c r="AB221" s="76"/>
      <c r="AC221" s="129"/>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4"/>
      <c r="BD221" s="134"/>
      <c r="BE221" s="134"/>
      <c r="BF221" s="134"/>
      <c r="BG221" s="134"/>
      <c r="BH221" s="134"/>
      <c r="BI221" s="134"/>
      <c r="BJ221" s="134"/>
      <c r="BK221" s="134"/>
      <c r="BL221" s="134"/>
      <c r="BM221" s="135"/>
      <c r="BN221" s="136" t="n">
        <f aca="false">+MAX($D$3,DATOS_[[#This Row],[Fecha Inicio Sit. Contract.]])</f>
        <v>0</v>
      </c>
      <c r="BO221" s="136" t="n">
        <f aca="false">+MIN($D$4,DATOS_[[#This Row],[Fecha Fin Sit. Contract.]])</f>
        <v>0</v>
      </c>
      <c r="BP221" s="137" t="n">
        <f aca="false">+DATOS_[[#This Row],[% de jornada]]*IF(DATOS_[[#This Row],[% jornada reducida]]="",1,DATOS_[[#This Row],[% jornada reducida]])</f>
        <v>0</v>
      </c>
      <c r="BQ221" s="137" t="n">
        <f aca="false">+(DATOS_[[#This Row],[F.fin.cal]]-DATOS_[[#This Row],[F.ini.cal]]+1)/($D$4-$D$3+1)</f>
        <v>1</v>
      </c>
      <c r="BR221" s="137" t="str">
        <f aca="false">IF(OR(AND(DATOS_[[#This Row],[Fecha Fin Contrato]]&lt;$D$3,DATOS_[[#This Row],[Fecha Fin Contrato]]&lt;&gt;""),DATOS_[[#This Row],[Fecha de Contratación]]&gt;$D$4),"Fuera","Dentro")</f>
        <v>Dentro</v>
      </c>
      <c r="BS221" s="137" t="str">
        <f aca="false" t="array" ref="BS221:BS221">IF(MAX(IF(DATOS_[id]=DATOS_[[#This Row],[id]],DATOS_[F.fin.cal]))=DATOS_[[#This Row],[F.fin.cal]],"Sí","NO")</f>
        <v>Sí</v>
      </c>
      <c r="BT221" s="137" t="str">
        <f aca="false">IF(AND(DATOS_[[#This Row],[% normaliz]]&lt;&gt;1,DATOS_[[#This Row],[% anualiz]]=1),"Sí","NO")</f>
        <v>Sí</v>
      </c>
      <c r="BU221" s="137" t="str">
        <f aca="false">IF(AND(DATOS_[[#This Row],[% normaliz]]=1,DATOS_[[#This Row],[% anualiz]]&lt;&gt;1),"Sí","NO")</f>
        <v>NO</v>
      </c>
      <c r="BV221" s="137" t="str">
        <f aca="false">IF(AND(DATOS_[[#This Row],[% normaliz]]&lt;&gt;1,DATOS_[[#This Row],[% anualiz]]&lt;&gt;1),"Sí","NO")</f>
        <v>NO</v>
      </c>
      <c r="BW221" s="137" t="str">
        <f aca="false">+IF(DATOS_[[#This Row],[% normaliz]]*DATOS_[[#This Row],[% anualiz]]=1,"NO","Sí")</f>
        <v>Sí</v>
      </c>
      <c r="BX221" s="138" t="e">
        <f aca="false">(DATOS_[[#This Row],[S.BASE]]*(1/DATOS_[[#This Row],[% normaliz]])*(1/DATOS_[[#This Row],[% anualiz]]))*IF(DATOS_[[#This Row],[Check Equiparado]]="Sí",1,0)</f>
        <v>#DIV/0!</v>
      </c>
      <c r="BY2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1" s="138" t="e">
        <f aca="false">+DATOS_[[#This Row],[SALARIO BASE Eq]]+DATOS_[[#This Row],[Tot COMPL.SAL Eq]]</f>
        <v>#DIV/0!</v>
      </c>
      <c r="CA221" s="138" t="e">
        <f aca="false" t="array" ref="CA221:CA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1" s="138" t="e">
        <f aca="false">+DATOS_[[#This Row],[TOTAL SALARIO Eq]]+DATOS_[[#This Row],[Tot Extrasalarial Eq]]</f>
        <v>#DIV/0!</v>
      </c>
      <c r="CC221" s="139" t="n">
        <f aca="false">DATOS_[[#This Row],[S.BASE]]</f>
        <v>0</v>
      </c>
      <c r="CD221" s="139" t="n">
        <f aca="false">+SUM(DATOS_[[#This Row],[Conc.Sal.01]:[Conc.Sal.30]])</f>
        <v>0</v>
      </c>
      <c r="CE221" s="139" t="n">
        <f aca="false">+DATOS_[[#This Row],[SALARIO BASE Ef]]+DATOS_[[#This Row],[Tot COMPL.SAL Ef]]</f>
        <v>0</v>
      </c>
      <c r="CF221" s="139" t="n">
        <f aca="false">+SUM(DATOS_[[#This Row],[C.Extra.01]:[C.Extra.05]])</f>
        <v>0</v>
      </c>
      <c r="CG221" s="139" t="n">
        <f aca="false">+DATOS_[[#This Row],[TOTAL SALARIO Ef]]+DATOS_[[#This Row],[Tot Extrasalarial Ef]]</f>
        <v>0</v>
      </c>
      <c r="CH221" s="140" t="n">
        <f aca="false">MIN(IF(DATOS_[[#This Row],[Fecha Fin Contrato]]="",$D$4,DATOS_[[#This Row],[Fecha Fin Contrato]]),$D$4)-MAX(DATOS_[[#This Row],[Fecha de Contratación]],$D$3)+1</f>
        <v>1</v>
      </c>
      <c r="CI221" s="141" t="str">
        <f aca="false">IF(COUNTIFS(DATOS_[id],DATOS_[[#This Row],[id]])&gt;1,DATOS_[[#This Row],[id]],"")</f>
        <v/>
      </c>
      <c r="CJ221" s="141" t="n">
        <f aca="false">(Inicio!$G$10-DATOS_[[#This Row],[Fecha Nacimiento]])/365.25</f>
        <v>0</v>
      </c>
      <c r="CK221" s="141" t="n">
        <f aca="false">(Inicio!$G$10-DATOS_[[#This Row],[Fecha de Antigüedad]])/365.25</f>
        <v>0</v>
      </c>
      <c r="CL221" s="141" t="e">
        <f aca="false">+VLOOKUP(DATOS_[[#This Row],[Clave de Contrato]],TblTiposContrato13[],3,0)</f>
        <v>#N/A</v>
      </c>
      <c r="CM221" s="141" t="e">
        <f aca="false">+VLOOKUP(DATOS_[[#This Row],[Clave de Contrato]],TblTiposContrato13[],4,0)</f>
        <v>#N/A</v>
      </c>
      <c r="CN221" s="141" t="str">
        <f aca="false">VLOOKUP(DATOS_[[#This Row],[Edad]],CONTRATOS!TblRngEdad,2,1)</f>
        <v>20  o menos</v>
      </c>
      <c r="CO221" s="141" t="str">
        <f aca="false">VLOOKUP(DATOS_[[#This Row],[Antigüedad]],TblRngAntg14[],2,1)</f>
        <v>0 a 1 años</v>
      </c>
    </row>
    <row r="222" customFormat="false" ht="13.8" hidden="false" customHeight="false" outlineLevel="0" collapsed="false">
      <c r="D222" s="128"/>
      <c r="E222" s="129"/>
      <c r="F222" s="129"/>
      <c r="G222" s="129"/>
      <c r="H222" s="130"/>
      <c r="I222" s="131"/>
      <c r="J222" s="128"/>
      <c r="K222" s="132"/>
      <c r="L222" s="132"/>
      <c r="M222" s="133"/>
      <c r="N222" s="133"/>
      <c r="O222" s="133"/>
      <c r="P222" s="129"/>
      <c r="Z222" s="75"/>
      <c r="AA222" s="76"/>
      <c r="AB222" s="76"/>
      <c r="AC222" s="129"/>
      <c r="AD222" s="134"/>
      <c r="AE222" s="134"/>
      <c r="AF222" s="134"/>
      <c r="AG222" s="134"/>
      <c r="AH222" s="134"/>
      <c r="AI222" s="134"/>
      <c r="AJ222" s="134"/>
      <c r="AK222" s="134"/>
      <c r="AL222" s="134"/>
      <c r="AM222" s="134"/>
      <c r="AN222" s="134"/>
      <c r="AO222" s="134"/>
      <c r="AP222" s="134"/>
      <c r="AQ222" s="134"/>
      <c r="AR222" s="134"/>
      <c r="AS222" s="134"/>
      <c r="AT222" s="134"/>
      <c r="AU222" s="134"/>
      <c r="AV222" s="134"/>
      <c r="AW222" s="134"/>
      <c r="AX222" s="134"/>
      <c r="AY222" s="134"/>
      <c r="AZ222" s="134"/>
      <c r="BA222" s="134"/>
      <c r="BB222" s="134"/>
      <c r="BC222" s="134"/>
      <c r="BD222" s="134"/>
      <c r="BE222" s="134"/>
      <c r="BF222" s="134"/>
      <c r="BG222" s="134"/>
      <c r="BH222" s="134"/>
      <c r="BI222" s="134"/>
      <c r="BJ222" s="134"/>
      <c r="BK222" s="134"/>
      <c r="BL222" s="134"/>
      <c r="BM222" s="135"/>
      <c r="BN222" s="136" t="n">
        <f aca="false">+MAX($D$3,DATOS_[[#This Row],[Fecha Inicio Sit. Contract.]])</f>
        <v>0</v>
      </c>
      <c r="BO222" s="136" t="n">
        <f aca="false">+MIN($D$4,DATOS_[[#This Row],[Fecha Fin Sit. Contract.]])</f>
        <v>0</v>
      </c>
      <c r="BP222" s="137" t="n">
        <f aca="false">+DATOS_[[#This Row],[% de jornada]]*IF(DATOS_[[#This Row],[% jornada reducida]]="",1,DATOS_[[#This Row],[% jornada reducida]])</f>
        <v>0</v>
      </c>
      <c r="BQ222" s="137" t="n">
        <f aca="false">+(DATOS_[[#This Row],[F.fin.cal]]-DATOS_[[#This Row],[F.ini.cal]]+1)/($D$4-$D$3+1)</f>
        <v>1</v>
      </c>
      <c r="BR222" s="137" t="str">
        <f aca="false">IF(OR(AND(DATOS_[[#This Row],[Fecha Fin Contrato]]&lt;$D$3,DATOS_[[#This Row],[Fecha Fin Contrato]]&lt;&gt;""),DATOS_[[#This Row],[Fecha de Contratación]]&gt;$D$4),"Fuera","Dentro")</f>
        <v>Dentro</v>
      </c>
      <c r="BS222" s="137" t="str">
        <f aca="false" t="array" ref="BS222:BS222">IF(MAX(IF(DATOS_[id]=DATOS_[[#This Row],[id]],DATOS_[F.fin.cal]))=DATOS_[[#This Row],[F.fin.cal]],"Sí","NO")</f>
        <v>Sí</v>
      </c>
      <c r="BT222" s="137" t="str">
        <f aca="false">IF(AND(DATOS_[[#This Row],[% normaliz]]&lt;&gt;1,DATOS_[[#This Row],[% anualiz]]=1),"Sí","NO")</f>
        <v>Sí</v>
      </c>
      <c r="BU222" s="137" t="str">
        <f aca="false">IF(AND(DATOS_[[#This Row],[% normaliz]]=1,DATOS_[[#This Row],[% anualiz]]&lt;&gt;1),"Sí","NO")</f>
        <v>NO</v>
      </c>
      <c r="BV222" s="137" t="str">
        <f aca="false">IF(AND(DATOS_[[#This Row],[% normaliz]]&lt;&gt;1,DATOS_[[#This Row],[% anualiz]]&lt;&gt;1),"Sí","NO")</f>
        <v>NO</v>
      </c>
      <c r="BW222" s="137" t="str">
        <f aca="false">+IF(DATOS_[[#This Row],[% normaliz]]*DATOS_[[#This Row],[% anualiz]]=1,"NO","Sí")</f>
        <v>Sí</v>
      </c>
      <c r="BX222" s="138" t="e">
        <f aca="false">(DATOS_[[#This Row],[S.BASE]]*(1/DATOS_[[#This Row],[% normaliz]])*(1/DATOS_[[#This Row],[% anualiz]]))*IF(DATOS_[[#This Row],[Check Equiparado]]="Sí",1,0)</f>
        <v>#DIV/0!</v>
      </c>
      <c r="BY2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2" s="138" t="e">
        <f aca="false">+DATOS_[[#This Row],[SALARIO BASE Eq]]+DATOS_[[#This Row],[Tot COMPL.SAL Eq]]</f>
        <v>#DIV/0!</v>
      </c>
      <c r="CA222" s="138" t="e">
        <f aca="false" t="array" ref="CA222:CA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2" s="138" t="e">
        <f aca="false">+DATOS_[[#This Row],[TOTAL SALARIO Eq]]+DATOS_[[#This Row],[Tot Extrasalarial Eq]]</f>
        <v>#DIV/0!</v>
      </c>
      <c r="CC222" s="139" t="n">
        <f aca="false">DATOS_[[#This Row],[S.BASE]]</f>
        <v>0</v>
      </c>
      <c r="CD222" s="139" t="n">
        <f aca="false">+SUM(DATOS_[[#This Row],[Conc.Sal.01]:[Conc.Sal.30]])</f>
        <v>0</v>
      </c>
      <c r="CE222" s="139" t="n">
        <f aca="false">+DATOS_[[#This Row],[SALARIO BASE Ef]]+DATOS_[[#This Row],[Tot COMPL.SAL Ef]]</f>
        <v>0</v>
      </c>
      <c r="CF222" s="139" t="n">
        <f aca="false">+SUM(DATOS_[[#This Row],[C.Extra.01]:[C.Extra.05]])</f>
        <v>0</v>
      </c>
      <c r="CG222" s="139" t="n">
        <f aca="false">+DATOS_[[#This Row],[TOTAL SALARIO Ef]]+DATOS_[[#This Row],[Tot Extrasalarial Ef]]</f>
        <v>0</v>
      </c>
      <c r="CH222" s="140" t="n">
        <f aca="false">MIN(IF(DATOS_[[#This Row],[Fecha Fin Contrato]]="",$D$4,DATOS_[[#This Row],[Fecha Fin Contrato]]),$D$4)-MAX(DATOS_[[#This Row],[Fecha de Contratación]],$D$3)+1</f>
        <v>1</v>
      </c>
      <c r="CI222" s="141" t="str">
        <f aca="false">IF(COUNTIFS(DATOS_[id],DATOS_[[#This Row],[id]])&gt;1,DATOS_[[#This Row],[id]],"")</f>
        <v/>
      </c>
      <c r="CJ222" s="141" t="n">
        <f aca="false">(Inicio!$G$10-DATOS_[[#This Row],[Fecha Nacimiento]])/365.25</f>
        <v>0</v>
      </c>
      <c r="CK222" s="141" t="n">
        <f aca="false">(Inicio!$G$10-DATOS_[[#This Row],[Fecha de Antigüedad]])/365.25</f>
        <v>0</v>
      </c>
      <c r="CL222" s="141" t="e">
        <f aca="false">+VLOOKUP(DATOS_[[#This Row],[Clave de Contrato]],TblTiposContrato13[],3,0)</f>
        <v>#N/A</v>
      </c>
      <c r="CM222" s="141" t="e">
        <f aca="false">+VLOOKUP(DATOS_[[#This Row],[Clave de Contrato]],TblTiposContrato13[],4,0)</f>
        <v>#N/A</v>
      </c>
      <c r="CN222" s="141" t="str">
        <f aca="false">VLOOKUP(DATOS_[[#This Row],[Edad]],CONTRATOS!TblRngEdad,2,1)</f>
        <v>20  o menos</v>
      </c>
      <c r="CO222" s="141" t="str">
        <f aca="false">VLOOKUP(DATOS_[[#This Row],[Antigüedad]],TblRngAntg14[],2,1)</f>
        <v>0 a 1 años</v>
      </c>
    </row>
    <row r="223" customFormat="false" ht="13.8" hidden="false" customHeight="false" outlineLevel="0" collapsed="false">
      <c r="D223" s="128"/>
      <c r="E223" s="129"/>
      <c r="F223" s="129"/>
      <c r="G223" s="129"/>
      <c r="H223" s="130"/>
      <c r="I223" s="131"/>
      <c r="J223" s="128"/>
      <c r="K223" s="132"/>
      <c r="L223" s="132"/>
      <c r="M223" s="133"/>
      <c r="N223" s="133"/>
      <c r="O223" s="133"/>
      <c r="P223" s="129"/>
      <c r="Z223" s="75"/>
      <c r="AA223" s="76"/>
      <c r="AB223" s="76"/>
      <c r="AC223" s="129"/>
      <c r="AD223" s="134"/>
      <c r="AE223" s="134"/>
      <c r="AF223" s="134"/>
      <c r="AG223" s="134"/>
      <c r="AH223" s="134"/>
      <c r="AI223" s="134"/>
      <c r="AJ223" s="134"/>
      <c r="AK223" s="134"/>
      <c r="AL223" s="134"/>
      <c r="AM223" s="134"/>
      <c r="AN223" s="134"/>
      <c r="AO223" s="134"/>
      <c r="AP223" s="134"/>
      <c r="AQ223" s="134"/>
      <c r="AR223" s="134"/>
      <c r="AS223" s="134"/>
      <c r="AT223" s="134"/>
      <c r="AU223" s="134"/>
      <c r="AV223" s="134"/>
      <c r="AW223" s="134"/>
      <c r="AX223" s="134"/>
      <c r="AY223" s="134"/>
      <c r="AZ223" s="134"/>
      <c r="BA223" s="134"/>
      <c r="BB223" s="134"/>
      <c r="BC223" s="134"/>
      <c r="BD223" s="134"/>
      <c r="BE223" s="134"/>
      <c r="BF223" s="134"/>
      <c r="BG223" s="134"/>
      <c r="BH223" s="134"/>
      <c r="BI223" s="134"/>
      <c r="BJ223" s="134"/>
      <c r="BK223" s="134"/>
      <c r="BL223" s="134"/>
      <c r="BM223" s="135"/>
      <c r="BN223" s="136" t="n">
        <f aca="false">+MAX($D$3,DATOS_[[#This Row],[Fecha Inicio Sit. Contract.]])</f>
        <v>0</v>
      </c>
      <c r="BO223" s="136" t="n">
        <f aca="false">+MIN($D$4,DATOS_[[#This Row],[Fecha Fin Sit. Contract.]])</f>
        <v>0</v>
      </c>
      <c r="BP223" s="137" t="n">
        <f aca="false">+DATOS_[[#This Row],[% de jornada]]*IF(DATOS_[[#This Row],[% jornada reducida]]="",1,DATOS_[[#This Row],[% jornada reducida]])</f>
        <v>0</v>
      </c>
      <c r="BQ223" s="137" t="n">
        <f aca="false">+(DATOS_[[#This Row],[F.fin.cal]]-DATOS_[[#This Row],[F.ini.cal]]+1)/($D$4-$D$3+1)</f>
        <v>1</v>
      </c>
      <c r="BR223" s="137" t="str">
        <f aca="false">IF(OR(AND(DATOS_[[#This Row],[Fecha Fin Contrato]]&lt;$D$3,DATOS_[[#This Row],[Fecha Fin Contrato]]&lt;&gt;""),DATOS_[[#This Row],[Fecha de Contratación]]&gt;$D$4),"Fuera","Dentro")</f>
        <v>Dentro</v>
      </c>
      <c r="BS223" s="137" t="str">
        <f aca="false" t="array" ref="BS223:BS223">IF(MAX(IF(DATOS_[id]=DATOS_[[#This Row],[id]],DATOS_[F.fin.cal]))=DATOS_[[#This Row],[F.fin.cal]],"Sí","NO")</f>
        <v>Sí</v>
      </c>
      <c r="BT223" s="137" t="str">
        <f aca="false">IF(AND(DATOS_[[#This Row],[% normaliz]]&lt;&gt;1,DATOS_[[#This Row],[% anualiz]]=1),"Sí","NO")</f>
        <v>Sí</v>
      </c>
      <c r="BU223" s="137" t="str">
        <f aca="false">IF(AND(DATOS_[[#This Row],[% normaliz]]=1,DATOS_[[#This Row],[% anualiz]]&lt;&gt;1),"Sí","NO")</f>
        <v>NO</v>
      </c>
      <c r="BV223" s="137" t="str">
        <f aca="false">IF(AND(DATOS_[[#This Row],[% normaliz]]&lt;&gt;1,DATOS_[[#This Row],[% anualiz]]&lt;&gt;1),"Sí","NO")</f>
        <v>NO</v>
      </c>
      <c r="BW223" s="137" t="str">
        <f aca="false">+IF(DATOS_[[#This Row],[% normaliz]]*DATOS_[[#This Row],[% anualiz]]=1,"NO","Sí")</f>
        <v>Sí</v>
      </c>
      <c r="BX223" s="138" t="e">
        <f aca="false">(DATOS_[[#This Row],[S.BASE]]*(1/DATOS_[[#This Row],[% normaliz]])*(1/DATOS_[[#This Row],[% anualiz]]))*IF(DATOS_[[#This Row],[Check Equiparado]]="Sí",1,0)</f>
        <v>#DIV/0!</v>
      </c>
      <c r="BY2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3" s="138" t="e">
        <f aca="false">+DATOS_[[#This Row],[SALARIO BASE Eq]]+DATOS_[[#This Row],[Tot COMPL.SAL Eq]]</f>
        <v>#DIV/0!</v>
      </c>
      <c r="CA223" s="138" t="e">
        <f aca="false" t="array" ref="CA223:CA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3" s="138" t="e">
        <f aca="false">+DATOS_[[#This Row],[TOTAL SALARIO Eq]]+DATOS_[[#This Row],[Tot Extrasalarial Eq]]</f>
        <v>#DIV/0!</v>
      </c>
      <c r="CC223" s="139" t="n">
        <f aca="false">DATOS_[[#This Row],[S.BASE]]</f>
        <v>0</v>
      </c>
      <c r="CD223" s="139" t="n">
        <f aca="false">+SUM(DATOS_[[#This Row],[Conc.Sal.01]:[Conc.Sal.30]])</f>
        <v>0</v>
      </c>
      <c r="CE223" s="139" t="n">
        <f aca="false">+DATOS_[[#This Row],[SALARIO BASE Ef]]+DATOS_[[#This Row],[Tot COMPL.SAL Ef]]</f>
        <v>0</v>
      </c>
      <c r="CF223" s="139" t="n">
        <f aca="false">+SUM(DATOS_[[#This Row],[C.Extra.01]:[C.Extra.05]])</f>
        <v>0</v>
      </c>
      <c r="CG223" s="139" t="n">
        <f aca="false">+DATOS_[[#This Row],[TOTAL SALARIO Ef]]+DATOS_[[#This Row],[Tot Extrasalarial Ef]]</f>
        <v>0</v>
      </c>
      <c r="CH223" s="140" t="n">
        <f aca="false">MIN(IF(DATOS_[[#This Row],[Fecha Fin Contrato]]="",$D$4,DATOS_[[#This Row],[Fecha Fin Contrato]]),$D$4)-MAX(DATOS_[[#This Row],[Fecha de Contratación]],$D$3)+1</f>
        <v>1</v>
      </c>
      <c r="CI223" s="141" t="str">
        <f aca="false">IF(COUNTIFS(DATOS_[id],DATOS_[[#This Row],[id]])&gt;1,DATOS_[[#This Row],[id]],"")</f>
        <v/>
      </c>
      <c r="CJ223" s="141" t="n">
        <f aca="false">(Inicio!$G$10-DATOS_[[#This Row],[Fecha Nacimiento]])/365.25</f>
        <v>0</v>
      </c>
      <c r="CK223" s="141" t="n">
        <f aca="false">(Inicio!$G$10-DATOS_[[#This Row],[Fecha de Antigüedad]])/365.25</f>
        <v>0</v>
      </c>
      <c r="CL223" s="141" t="e">
        <f aca="false">+VLOOKUP(DATOS_[[#This Row],[Clave de Contrato]],TblTiposContrato13[],3,0)</f>
        <v>#N/A</v>
      </c>
      <c r="CM223" s="141" t="e">
        <f aca="false">+VLOOKUP(DATOS_[[#This Row],[Clave de Contrato]],TblTiposContrato13[],4,0)</f>
        <v>#N/A</v>
      </c>
      <c r="CN223" s="141" t="str">
        <f aca="false">VLOOKUP(DATOS_[[#This Row],[Edad]],CONTRATOS!TblRngEdad,2,1)</f>
        <v>20  o menos</v>
      </c>
      <c r="CO223" s="141" t="str">
        <f aca="false">VLOOKUP(DATOS_[[#This Row],[Antigüedad]],TblRngAntg14[],2,1)</f>
        <v>0 a 1 años</v>
      </c>
    </row>
    <row r="224" customFormat="false" ht="13.8" hidden="false" customHeight="false" outlineLevel="0" collapsed="false">
      <c r="D224" s="128"/>
      <c r="E224" s="129"/>
      <c r="F224" s="129"/>
      <c r="G224" s="129"/>
      <c r="H224" s="130"/>
      <c r="I224" s="131"/>
      <c r="J224" s="128"/>
      <c r="K224" s="132"/>
      <c r="L224" s="132"/>
      <c r="M224" s="133"/>
      <c r="N224" s="133"/>
      <c r="O224" s="133"/>
      <c r="P224" s="129"/>
      <c r="Z224" s="75"/>
      <c r="AA224" s="76"/>
      <c r="AB224" s="76"/>
      <c r="AC224" s="129"/>
      <c r="AD224" s="134"/>
      <c r="AE224" s="134"/>
      <c r="AF224" s="134"/>
      <c r="AG224" s="134"/>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4"/>
      <c r="BD224" s="134"/>
      <c r="BE224" s="134"/>
      <c r="BF224" s="134"/>
      <c r="BG224" s="134"/>
      <c r="BH224" s="134"/>
      <c r="BI224" s="134"/>
      <c r="BJ224" s="134"/>
      <c r="BK224" s="134"/>
      <c r="BL224" s="134"/>
      <c r="BM224" s="135"/>
      <c r="BN224" s="136" t="n">
        <f aca="false">+MAX($D$3,DATOS_[[#This Row],[Fecha Inicio Sit. Contract.]])</f>
        <v>0</v>
      </c>
      <c r="BO224" s="136" t="n">
        <f aca="false">+MIN($D$4,DATOS_[[#This Row],[Fecha Fin Sit. Contract.]])</f>
        <v>0</v>
      </c>
      <c r="BP224" s="137" t="n">
        <f aca="false">+DATOS_[[#This Row],[% de jornada]]*IF(DATOS_[[#This Row],[% jornada reducida]]="",1,DATOS_[[#This Row],[% jornada reducida]])</f>
        <v>0</v>
      </c>
      <c r="BQ224" s="137" t="n">
        <f aca="false">+(DATOS_[[#This Row],[F.fin.cal]]-DATOS_[[#This Row],[F.ini.cal]]+1)/($D$4-$D$3+1)</f>
        <v>1</v>
      </c>
      <c r="BR224" s="137" t="str">
        <f aca="false">IF(OR(AND(DATOS_[[#This Row],[Fecha Fin Contrato]]&lt;$D$3,DATOS_[[#This Row],[Fecha Fin Contrato]]&lt;&gt;""),DATOS_[[#This Row],[Fecha de Contratación]]&gt;$D$4),"Fuera","Dentro")</f>
        <v>Dentro</v>
      </c>
      <c r="BS224" s="137" t="str">
        <f aca="false" t="array" ref="BS224:BS224">IF(MAX(IF(DATOS_[id]=DATOS_[[#This Row],[id]],DATOS_[F.fin.cal]))=DATOS_[[#This Row],[F.fin.cal]],"Sí","NO")</f>
        <v>Sí</v>
      </c>
      <c r="BT224" s="137" t="str">
        <f aca="false">IF(AND(DATOS_[[#This Row],[% normaliz]]&lt;&gt;1,DATOS_[[#This Row],[% anualiz]]=1),"Sí","NO")</f>
        <v>Sí</v>
      </c>
      <c r="BU224" s="137" t="str">
        <f aca="false">IF(AND(DATOS_[[#This Row],[% normaliz]]=1,DATOS_[[#This Row],[% anualiz]]&lt;&gt;1),"Sí","NO")</f>
        <v>NO</v>
      </c>
      <c r="BV224" s="137" t="str">
        <f aca="false">IF(AND(DATOS_[[#This Row],[% normaliz]]&lt;&gt;1,DATOS_[[#This Row],[% anualiz]]&lt;&gt;1),"Sí","NO")</f>
        <v>NO</v>
      </c>
      <c r="BW224" s="137" t="str">
        <f aca="false">+IF(DATOS_[[#This Row],[% normaliz]]*DATOS_[[#This Row],[% anualiz]]=1,"NO","Sí")</f>
        <v>Sí</v>
      </c>
      <c r="BX224" s="138" t="e">
        <f aca="false">(DATOS_[[#This Row],[S.BASE]]*(1/DATOS_[[#This Row],[% normaliz]])*(1/DATOS_[[#This Row],[% anualiz]]))*IF(DATOS_[[#This Row],[Check Equiparado]]="Sí",1,0)</f>
        <v>#DIV/0!</v>
      </c>
      <c r="BY2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4" s="138" t="e">
        <f aca="false">+DATOS_[[#This Row],[SALARIO BASE Eq]]+DATOS_[[#This Row],[Tot COMPL.SAL Eq]]</f>
        <v>#DIV/0!</v>
      </c>
      <c r="CA224" s="138" t="e">
        <f aca="false" t="array" ref="CA224:CA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4" s="138" t="e">
        <f aca="false">+DATOS_[[#This Row],[TOTAL SALARIO Eq]]+DATOS_[[#This Row],[Tot Extrasalarial Eq]]</f>
        <v>#DIV/0!</v>
      </c>
      <c r="CC224" s="139" t="n">
        <f aca="false">DATOS_[[#This Row],[S.BASE]]</f>
        <v>0</v>
      </c>
      <c r="CD224" s="139" t="n">
        <f aca="false">+SUM(DATOS_[[#This Row],[Conc.Sal.01]:[Conc.Sal.30]])</f>
        <v>0</v>
      </c>
      <c r="CE224" s="139" t="n">
        <f aca="false">+DATOS_[[#This Row],[SALARIO BASE Ef]]+DATOS_[[#This Row],[Tot COMPL.SAL Ef]]</f>
        <v>0</v>
      </c>
      <c r="CF224" s="139" t="n">
        <f aca="false">+SUM(DATOS_[[#This Row],[C.Extra.01]:[C.Extra.05]])</f>
        <v>0</v>
      </c>
      <c r="CG224" s="139" t="n">
        <f aca="false">+DATOS_[[#This Row],[TOTAL SALARIO Ef]]+DATOS_[[#This Row],[Tot Extrasalarial Ef]]</f>
        <v>0</v>
      </c>
      <c r="CH224" s="140" t="n">
        <f aca="false">MIN(IF(DATOS_[[#This Row],[Fecha Fin Contrato]]="",$D$4,DATOS_[[#This Row],[Fecha Fin Contrato]]),$D$4)-MAX(DATOS_[[#This Row],[Fecha de Contratación]],$D$3)+1</f>
        <v>1</v>
      </c>
      <c r="CI224" s="141" t="str">
        <f aca="false">IF(COUNTIFS(DATOS_[id],DATOS_[[#This Row],[id]])&gt;1,DATOS_[[#This Row],[id]],"")</f>
        <v/>
      </c>
      <c r="CJ224" s="141" t="n">
        <f aca="false">(Inicio!$G$10-DATOS_[[#This Row],[Fecha Nacimiento]])/365.25</f>
        <v>0</v>
      </c>
      <c r="CK224" s="141" t="n">
        <f aca="false">(Inicio!$G$10-DATOS_[[#This Row],[Fecha de Antigüedad]])/365.25</f>
        <v>0</v>
      </c>
      <c r="CL224" s="141" t="e">
        <f aca="false">+VLOOKUP(DATOS_[[#This Row],[Clave de Contrato]],TblTiposContrato13[],3,0)</f>
        <v>#N/A</v>
      </c>
      <c r="CM224" s="141" t="e">
        <f aca="false">+VLOOKUP(DATOS_[[#This Row],[Clave de Contrato]],TblTiposContrato13[],4,0)</f>
        <v>#N/A</v>
      </c>
      <c r="CN224" s="141" t="str">
        <f aca="false">VLOOKUP(DATOS_[[#This Row],[Edad]],CONTRATOS!TblRngEdad,2,1)</f>
        <v>20  o menos</v>
      </c>
      <c r="CO224" s="141" t="str">
        <f aca="false">VLOOKUP(DATOS_[[#This Row],[Antigüedad]],TblRngAntg14[],2,1)</f>
        <v>0 a 1 años</v>
      </c>
    </row>
    <row r="225" customFormat="false" ht="13.8" hidden="false" customHeight="false" outlineLevel="0" collapsed="false">
      <c r="D225" s="128"/>
      <c r="E225" s="129"/>
      <c r="F225" s="129"/>
      <c r="G225" s="129"/>
      <c r="H225" s="130"/>
      <c r="I225" s="131"/>
      <c r="J225" s="128"/>
      <c r="K225" s="132"/>
      <c r="L225" s="132"/>
      <c r="M225" s="133"/>
      <c r="N225" s="133"/>
      <c r="O225" s="133"/>
      <c r="P225" s="129"/>
      <c r="Z225" s="75"/>
      <c r="AA225" s="76"/>
      <c r="AB225" s="76"/>
      <c r="AC225" s="129"/>
      <c r="AD225" s="134"/>
      <c r="AE225" s="134"/>
      <c r="AF225" s="134"/>
      <c r="AG225" s="134"/>
      <c r="AH225" s="134"/>
      <c r="AI225" s="134"/>
      <c r="AJ225" s="134"/>
      <c r="AK225" s="134"/>
      <c r="AL225" s="134"/>
      <c r="AM225" s="134"/>
      <c r="AN225" s="134"/>
      <c r="AO225" s="134"/>
      <c r="AP225" s="134"/>
      <c r="AQ225" s="134"/>
      <c r="AR225" s="134"/>
      <c r="AS225" s="134"/>
      <c r="AT225" s="134"/>
      <c r="AU225" s="134"/>
      <c r="AV225" s="134"/>
      <c r="AW225" s="134"/>
      <c r="AX225" s="134"/>
      <c r="AY225" s="134"/>
      <c r="AZ225" s="134"/>
      <c r="BA225" s="134"/>
      <c r="BB225" s="134"/>
      <c r="BC225" s="134"/>
      <c r="BD225" s="134"/>
      <c r="BE225" s="134"/>
      <c r="BF225" s="134"/>
      <c r="BG225" s="134"/>
      <c r="BH225" s="134"/>
      <c r="BI225" s="134"/>
      <c r="BJ225" s="134"/>
      <c r="BK225" s="134"/>
      <c r="BL225" s="134"/>
      <c r="BM225" s="135"/>
      <c r="BN225" s="136" t="n">
        <f aca="false">+MAX($D$3,DATOS_[[#This Row],[Fecha Inicio Sit. Contract.]])</f>
        <v>0</v>
      </c>
      <c r="BO225" s="136" t="n">
        <f aca="false">+MIN($D$4,DATOS_[[#This Row],[Fecha Fin Sit. Contract.]])</f>
        <v>0</v>
      </c>
      <c r="BP225" s="137" t="n">
        <f aca="false">+DATOS_[[#This Row],[% de jornada]]*IF(DATOS_[[#This Row],[% jornada reducida]]="",1,DATOS_[[#This Row],[% jornada reducida]])</f>
        <v>0</v>
      </c>
      <c r="BQ225" s="137" t="n">
        <f aca="false">+(DATOS_[[#This Row],[F.fin.cal]]-DATOS_[[#This Row],[F.ini.cal]]+1)/($D$4-$D$3+1)</f>
        <v>1</v>
      </c>
      <c r="BR225" s="137" t="str">
        <f aca="false">IF(OR(AND(DATOS_[[#This Row],[Fecha Fin Contrato]]&lt;$D$3,DATOS_[[#This Row],[Fecha Fin Contrato]]&lt;&gt;""),DATOS_[[#This Row],[Fecha de Contratación]]&gt;$D$4),"Fuera","Dentro")</f>
        <v>Dentro</v>
      </c>
      <c r="BS225" s="137" t="str">
        <f aca="false" t="array" ref="BS225:BS225">IF(MAX(IF(DATOS_[id]=DATOS_[[#This Row],[id]],DATOS_[F.fin.cal]))=DATOS_[[#This Row],[F.fin.cal]],"Sí","NO")</f>
        <v>Sí</v>
      </c>
      <c r="BT225" s="137" t="str">
        <f aca="false">IF(AND(DATOS_[[#This Row],[% normaliz]]&lt;&gt;1,DATOS_[[#This Row],[% anualiz]]=1),"Sí","NO")</f>
        <v>Sí</v>
      </c>
      <c r="BU225" s="137" t="str">
        <f aca="false">IF(AND(DATOS_[[#This Row],[% normaliz]]=1,DATOS_[[#This Row],[% anualiz]]&lt;&gt;1),"Sí","NO")</f>
        <v>NO</v>
      </c>
      <c r="BV225" s="137" t="str">
        <f aca="false">IF(AND(DATOS_[[#This Row],[% normaliz]]&lt;&gt;1,DATOS_[[#This Row],[% anualiz]]&lt;&gt;1),"Sí","NO")</f>
        <v>NO</v>
      </c>
      <c r="BW225" s="137" t="str">
        <f aca="false">+IF(DATOS_[[#This Row],[% normaliz]]*DATOS_[[#This Row],[% anualiz]]=1,"NO","Sí")</f>
        <v>Sí</v>
      </c>
      <c r="BX225" s="138" t="e">
        <f aca="false">(DATOS_[[#This Row],[S.BASE]]*(1/DATOS_[[#This Row],[% normaliz]])*(1/DATOS_[[#This Row],[% anualiz]]))*IF(DATOS_[[#This Row],[Check Equiparado]]="Sí",1,0)</f>
        <v>#DIV/0!</v>
      </c>
      <c r="BY2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5" s="138" t="e">
        <f aca="false">+DATOS_[[#This Row],[SALARIO BASE Eq]]+DATOS_[[#This Row],[Tot COMPL.SAL Eq]]</f>
        <v>#DIV/0!</v>
      </c>
      <c r="CA225" s="138" t="e">
        <f aca="false" t="array" ref="CA225:CA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5" s="138" t="e">
        <f aca="false">+DATOS_[[#This Row],[TOTAL SALARIO Eq]]+DATOS_[[#This Row],[Tot Extrasalarial Eq]]</f>
        <v>#DIV/0!</v>
      </c>
      <c r="CC225" s="139" t="n">
        <f aca="false">DATOS_[[#This Row],[S.BASE]]</f>
        <v>0</v>
      </c>
      <c r="CD225" s="139" t="n">
        <f aca="false">+SUM(DATOS_[[#This Row],[Conc.Sal.01]:[Conc.Sal.30]])</f>
        <v>0</v>
      </c>
      <c r="CE225" s="139" t="n">
        <f aca="false">+DATOS_[[#This Row],[SALARIO BASE Ef]]+DATOS_[[#This Row],[Tot COMPL.SAL Ef]]</f>
        <v>0</v>
      </c>
      <c r="CF225" s="139" t="n">
        <f aca="false">+SUM(DATOS_[[#This Row],[C.Extra.01]:[C.Extra.05]])</f>
        <v>0</v>
      </c>
      <c r="CG225" s="139" t="n">
        <f aca="false">+DATOS_[[#This Row],[TOTAL SALARIO Ef]]+DATOS_[[#This Row],[Tot Extrasalarial Ef]]</f>
        <v>0</v>
      </c>
      <c r="CH225" s="140" t="n">
        <f aca="false">MIN(IF(DATOS_[[#This Row],[Fecha Fin Contrato]]="",$D$4,DATOS_[[#This Row],[Fecha Fin Contrato]]),$D$4)-MAX(DATOS_[[#This Row],[Fecha de Contratación]],$D$3)+1</f>
        <v>1</v>
      </c>
      <c r="CI225" s="141" t="str">
        <f aca="false">IF(COUNTIFS(DATOS_[id],DATOS_[[#This Row],[id]])&gt;1,DATOS_[[#This Row],[id]],"")</f>
        <v/>
      </c>
      <c r="CJ225" s="141" t="n">
        <f aca="false">(Inicio!$G$10-DATOS_[[#This Row],[Fecha Nacimiento]])/365.25</f>
        <v>0</v>
      </c>
      <c r="CK225" s="141" t="n">
        <f aca="false">(Inicio!$G$10-DATOS_[[#This Row],[Fecha de Antigüedad]])/365.25</f>
        <v>0</v>
      </c>
      <c r="CL225" s="141" t="e">
        <f aca="false">+VLOOKUP(DATOS_[[#This Row],[Clave de Contrato]],TblTiposContrato13[],3,0)</f>
        <v>#N/A</v>
      </c>
      <c r="CM225" s="141" t="e">
        <f aca="false">+VLOOKUP(DATOS_[[#This Row],[Clave de Contrato]],TblTiposContrato13[],4,0)</f>
        <v>#N/A</v>
      </c>
      <c r="CN225" s="141" t="str">
        <f aca="false">VLOOKUP(DATOS_[[#This Row],[Edad]],CONTRATOS!TblRngEdad,2,1)</f>
        <v>20  o menos</v>
      </c>
      <c r="CO225" s="141" t="str">
        <f aca="false">VLOOKUP(DATOS_[[#This Row],[Antigüedad]],TblRngAntg14[],2,1)</f>
        <v>0 a 1 años</v>
      </c>
    </row>
    <row r="226" customFormat="false" ht="13.8" hidden="false" customHeight="false" outlineLevel="0" collapsed="false">
      <c r="D226" s="128"/>
      <c r="E226" s="129"/>
      <c r="F226" s="129"/>
      <c r="G226" s="129"/>
      <c r="H226" s="130"/>
      <c r="I226" s="131"/>
      <c r="J226" s="128"/>
      <c r="K226" s="132"/>
      <c r="L226" s="132"/>
      <c r="M226" s="133"/>
      <c r="N226" s="133"/>
      <c r="O226" s="133"/>
      <c r="P226" s="129"/>
      <c r="Z226" s="75"/>
      <c r="AA226" s="76"/>
      <c r="AB226" s="76"/>
      <c r="AC226" s="129"/>
      <c r="AD226" s="134"/>
      <c r="AE226" s="134"/>
      <c r="AF226" s="134"/>
      <c r="AG226" s="134"/>
      <c r="AH226" s="134"/>
      <c r="AI226" s="134"/>
      <c r="AJ226" s="134"/>
      <c r="AK226" s="134"/>
      <c r="AL226" s="134"/>
      <c r="AM226" s="134"/>
      <c r="AN226" s="134"/>
      <c r="AO226" s="134"/>
      <c r="AP226" s="134"/>
      <c r="AQ226" s="134"/>
      <c r="AR226" s="134"/>
      <c r="AS226" s="134"/>
      <c r="AT226" s="134"/>
      <c r="AU226" s="134"/>
      <c r="AV226" s="134"/>
      <c r="AW226" s="134"/>
      <c r="AX226" s="134"/>
      <c r="AY226" s="134"/>
      <c r="AZ226" s="134"/>
      <c r="BA226" s="134"/>
      <c r="BB226" s="134"/>
      <c r="BC226" s="134"/>
      <c r="BD226" s="134"/>
      <c r="BE226" s="134"/>
      <c r="BF226" s="134"/>
      <c r="BG226" s="134"/>
      <c r="BH226" s="134"/>
      <c r="BI226" s="134"/>
      <c r="BJ226" s="134"/>
      <c r="BK226" s="134"/>
      <c r="BL226" s="134"/>
      <c r="BM226" s="135"/>
      <c r="BN226" s="136" t="n">
        <f aca="false">+MAX($D$3,DATOS_[[#This Row],[Fecha Inicio Sit. Contract.]])</f>
        <v>0</v>
      </c>
      <c r="BO226" s="136" t="n">
        <f aca="false">+MIN($D$4,DATOS_[[#This Row],[Fecha Fin Sit. Contract.]])</f>
        <v>0</v>
      </c>
      <c r="BP226" s="137" t="n">
        <f aca="false">+DATOS_[[#This Row],[% de jornada]]*IF(DATOS_[[#This Row],[% jornada reducida]]="",1,DATOS_[[#This Row],[% jornada reducida]])</f>
        <v>0</v>
      </c>
      <c r="BQ226" s="137" t="n">
        <f aca="false">+(DATOS_[[#This Row],[F.fin.cal]]-DATOS_[[#This Row],[F.ini.cal]]+1)/($D$4-$D$3+1)</f>
        <v>1</v>
      </c>
      <c r="BR226" s="137" t="str">
        <f aca="false">IF(OR(AND(DATOS_[[#This Row],[Fecha Fin Contrato]]&lt;$D$3,DATOS_[[#This Row],[Fecha Fin Contrato]]&lt;&gt;""),DATOS_[[#This Row],[Fecha de Contratación]]&gt;$D$4),"Fuera","Dentro")</f>
        <v>Dentro</v>
      </c>
      <c r="BS226" s="137" t="str">
        <f aca="false" t="array" ref="BS226:BS226">IF(MAX(IF(DATOS_[id]=DATOS_[[#This Row],[id]],DATOS_[F.fin.cal]))=DATOS_[[#This Row],[F.fin.cal]],"Sí","NO")</f>
        <v>Sí</v>
      </c>
      <c r="BT226" s="137" t="str">
        <f aca="false">IF(AND(DATOS_[[#This Row],[% normaliz]]&lt;&gt;1,DATOS_[[#This Row],[% anualiz]]=1),"Sí","NO")</f>
        <v>Sí</v>
      </c>
      <c r="BU226" s="137" t="str">
        <f aca="false">IF(AND(DATOS_[[#This Row],[% normaliz]]=1,DATOS_[[#This Row],[% anualiz]]&lt;&gt;1),"Sí","NO")</f>
        <v>NO</v>
      </c>
      <c r="BV226" s="137" t="str">
        <f aca="false">IF(AND(DATOS_[[#This Row],[% normaliz]]&lt;&gt;1,DATOS_[[#This Row],[% anualiz]]&lt;&gt;1),"Sí","NO")</f>
        <v>NO</v>
      </c>
      <c r="BW226" s="137" t="str">
        <f aca="false">+IF(DATOS_[[#This Row],[% normaliz]]*DATOS_[[#This Row],[% anualiz]]=1,"NO","Sí")</f>
        <v>Sí</v>
      </c>
      <c r="BX226" s="138" t="e">
        <f aca="false">(DATOS_[[#This Row],[S.BASE]]*(1/DATOS_[[#This Row],[% normaliz]])*(1/DATOS_[[#This Row],[% anualiz]]))*IF(DATOS_[[#This Row],[Check Equiparado]]="Sí",1,0)</f>
        <v>#DIV/0!</v>
      </c>
      <c r="BY2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6" s="138" t="e">
        <f aca="false">+DATOS_[[#This Row],[SALARIO BASE Eq]]+DATOS_[[#This Row],[Tot COMPL.SAL Eq]]</f>
        <v>#DIV/0!</v>
      </c>
      <c r="CA226" s="138" t="e">
        <f aca="false" t="array" ref="CA226:CA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6" s="138" t="e">
        <f aca="false">+DATOS_[[#This Row],[TOTAL SALARIO Eq]]+DATOS_[[#This Row],[Tot Extrasalarial Eq]]</f>
        <v>#DIV/0!</v>
      </c>
      <c r="CC226" s="139" t="n">
        <f aca="false">DATOS_[[#This Row],[S.BASE]]</f>
        <v>0</v>
      </c>
      <c r="CD226" s="139" t="n">
        <f aca="false">+SUM(DATOS_[[#This Row],[Conc.Sal.01]:[Conc.Sal.30]])</f>
        <v>0</v>
      </c>
      <c r="CE226" s="139" t="n">
        <f aca="false">+DATOS_[[#This Row],[SALARIO BASE Ef]]+DATOS_[[#This Row],[Tot COMPL.SAL Ef]]</f>
        <v>0</v>
      </c>
      <c r="CF226" s="139" t="n">
        <f aca="false">+SUM(DATOS_[[#This Row],[C.Extra.01]:[C.Extra.05]])</f>
        <v>0</v>
      </c>
      <c r="CG226" s="139" t="n">
        <f aca="false">+DATOS_[[#This Row],[TOTAL SALARIO Ef]]+DATOS_[[#This Row],[Tot Extrasalarial Ef]]</f>
        <v>0</v>
      </c>
      <c r="CH226" s="140" t="n">
        <f aca="false">MIN(IF(DATOS_[[#This Row],[Fecha Fin Contrato]]="",$D$4,DATOS_[[#This Row],[Fecha Fin Contrato]]),$D$4)-MAX(DATOS_[[#This Row],[Fecha de Contratación]],$D$3)+1</f>
        <v>1</v>
      </c>
      <c r="CI226" s="141" t="str">
        <f aca="false">IF(COUNTIFS(DATOS_[id],DATOS_[[#This Row],[id]])&gt;1,DATOS_[[#This Row],[id]],"")</f>
        <v/>
      </c>
      <c r="CJ226" s="141" t="n">
        <f aca="false">(Inicio!$G$10-DATOS_[[#This Row],[Fecha Nacimiento]])/365.25</f>
        <v>0</v>
      </c>
      <c r="CK226" s="141" t="n">
        <f aca="false">(Inicio!$G$10-DATOS_[[#This Row],[Fecha de Antigüedad]])/365.25</f>
        <v>0</v>
      </c>
      <c r="CL226" s="141" t="e">
        <f aca="false">+VLOOKUP(DATOS_[[#This Row],[Clave de Contrato]],TblTiposContrato13[],3,0)</f>
        <v>#N/A</v>
      </c>
      <c r="CM226" s="141" t="e">
        <f aca="false">+VLOOKUP(DATOS_[[#This Row],[Clave de Contrato]],TblTiposContrato13[],4,0)</f>
        <v>#N/A</v>
      </c>
      <c r="CN226" s="141" t="str">
        <f aca="false">VLOOKUP(DATOS_[[#This Row],[Edad]],CONTRATOS!TblRngEdad,2,1)</f>
        <v>20  o menos</v>
      </c>
      <c r="CO226" s="141" t="str">
        <f aca="false">VLOOKUP(DATOS_[[#This Row],[Antigüedad]],TblRngAntg14[],2,1)</f>
        <v>0 a 1 años</v>
      </c>
    </row>
    <row r="227" customFormat="false" ht="13.8" hidden="false" customHeight="false" outlineLevel="0" collapsed="false">
      <c r="D227" s="128"/>
      <c r="E227" s="129"/>
      <c r="F227" s="129"/>
      <c r="G227" s="129"/>
      <c r="H227" s="130"/>
      <c r="I227" s="131"/>
      <c r="J227" s="128"/>
      <c r="K227" s="132"/>
      <c r="L227" s="132"/>
      <c r="M227" s="133"/>
      <c r="N227" s="133"/>
      <c r="O227" s="133"/>
      <c r="P227" s="129"/>
      <c r="Z227" s="75"/>
      <c r="AA227" s="76"/>
      <c r="AB227" s="76"/>
      <c r="AC227" s="129"/>
      <c r="AD227" s="134"/>
      <c r="AE227" s="134"/>
      <c r="AF227" s="134"/>
      <c r="AG227" s="134"/>
      <c r="AH227" s="134"/>
      <c r="AI227" s="134"/>
      <c r="AJ227" s="134"/>
      <c r="AK227" s="134"/>
      <c r="AL227" s="134"/>
      <c r="AM227" s="134"/>
      <c r="AN227" s="134"/>
      <c r="AO227" s="134"/>
      <c r="AP227" s="134"/>
      <c r="AQ227" s="134"/>
      <c r="AR227" s="134"/>
      <c r="AS227" s="134"/>
      <c r="AT227" s="134"/>
      <c r="AU227" s="134"/>
      <c r="AV227" s="134"/>
      <c r="AW227" s="134"/>
      <c r="AX227" s="134"/>
      <c r="AY227" s="134"/>
      <c r="AZ227" s="134"/>
      <c r="BA227" s="134"/>
      <c r="BB227" s="134"/>
      <c r="BC227" s="134"/>
      <c r="BD227" s="134"/>
      <c r="BE227" s="134"/>
      <c r="BF227" s="134"/>
      <c r="BG227" s="134"/>
      <c r="BH227" s="134"/>
      <c r="BI227" s="134"/>
      <c r="BJ227" s="134"/>
      <c r="BK227" s="134"/>
      <c r="BL227" s="134"/>
      <c r="BM227" s="135"/>
      <c r="BN227" s="136" t="n">
        <f aca="false">+MAX($D$3,DATOS_[[#This Row],[Fecha Inicio Sit. Contract.]])</f>
        <v>0</v>
      </c>
      <c r="BO227" s="136" t="n">
        <f aca="false">+MIN($D$4,DATOS_[[#This Row],[Fecha Fin Sit. Contract.]])</f>
        <v>0</v>
      </c>
      <c r="BP227" s="137" t="n">
        <f aca="false">+DATOS_[[#This Row],[% de jornada]]*IF(DATOS_[[#This Row],[% jornada reducida]]="",1,DATOS_[[#This Row],[% jornada reducida]])</f>
        <v>0</v>
      </c>
      <c r="BQ227" s="137" t="n">
        <f aca="false">+(DATOS_[[#This Row],[F.fin.cal]]-DATOS_[[#This Row],[F.ini.cal]]+1)/($D$4-$D$3+1)</f>
        <v>1</v>
      </c>
      <c r="BR227" s="137" t="str">
        <f aca="false">IF(OR(AND(DATOS_[[#This Row],[Fecha Fin Contrato]]&lt;$D$3,DATOS_[[#This Row],[Fecha Fin Contrato]]&lt;&gt;""),DATOS_[[#This Row],[Fecha de Contratación]]&gt;$D$4),"Fuera","Dentro")</f>
        <v>Dentro</v>
      </c>
      <c r="BS227" s="137" t="str">
        <f aca="false" t="array" ref="BS227:BS227">IF(MAX(IF(DATOS_[id]=DATOS_[[#This Row],[id]],DATOS_[F.fin.cal]))=DATOS_[[#This Row],[F.fin.cal]],"Sí","NO")</f>
        <v>Sí</v>
      </c>
      <c r="BT227" s="137" t="str">
        <f aca="false">IF(AND(DATOS_[[#This Row],[% normaliz]]&lt;&gt;1,DATOS_[[#This Row],[% anualiz]]=1),"Sí","NO")</f>
        <v>Sí</v>
      </c>
      <c r="BU227" s="137" t="str">
        <f aca="false">IF(AND(DATOS_[[#This Row],[% normaliz]]=1,DATOS_[[#This Row],[% anualiz]]&lt;&gt;1),"Sí","NO")</f>
        <v>NO</v>
      </c>
      <c r="BV227" s="137" t="str">
        <f aca="false">IF(AND(DATOS_[[#This Row],[% normaliz]]&lt;&gt;1,DATOS_[[#This Row],[% anualiz]]&lt;&gt;1),"Sí","NO")</f>
        <v>NO</v>
      </c>
      <c r="BW227" s="137" t="str">
        <f aca="false">+IF(DATOS_[[#This Row],[% normaliz]]*DATOS_[[#This Row],[% anualiz]]=1,"NO","Sí")</f>
        <v>Sí</v>
      </c>
      <c r="BX227" s="138" t="e">
        <f aca="false">(DATOS_[[#This Row],[S.BASE]]*(1/DATOS_[[#This Row],[% normaliz]])*(1/DATOS_[[#This Row],[% anualiz]]))*IF(DATOS_[[#This Row],[Check Equiparado]]="Sí",1,0)</f>
        <v>#DIV/0!</v>
      </c>
      <c r="BY2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7" s="138" t="e">
        <f aca="false">+DATOS_[[#This Row],[SALARIO BASE Eq]]+DATOS_[[#This Row],[Tot COMPL.SAL Eq]]</f>
        <v>#DIV/0!</v>
      </c>
      <c r="CA227" s="138" t="e">
        <f aca="false" t="array" ref="CA227:CA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7" s="138" t="e">
        <f aca="false">+DATOS_[[#This Row],[TOTAL SALARIO Eq]]+DATOS_[[#This Row],[Tot Extrasalarial Eq]]</f>
        <v>#DIV/0!</v>
      </c>
      <c r="CC227" s="139" t="n">
        <f aca="false">DATOS_[[#This Row],[S.BASE]]</f>
        <v>0</v>
      </c>
      <c r="CD227" s="139" t="n">
        <f aca="false">+SUM(DATOS_[[#This Row],[Conc.Sal.01]:[Conc.Sal.30]])</f>
        <v>0</v>
      </c>
      <c r="CE227" s="139" t="n">
        <f aca="false">+DATOS_[[#This Row],[SALARIO BASE Ef]]+DATOS_[[#This Row],[Tot COMPL.SAL Ef]]</f>
        <v>0</v>
      </c>
      <c r="CF227" s="139" t="n">
        <f aca="false">+SUM(DATOS_[[#This Row],[C.Extra.01]:[C.Extra.05]])</f>
        <v>0</v>
      </c>
      <c r="CG227" s="139" t="n">
        <f aca="false">+DATOS_[[#This Row],[TOTAL SALARIO Ef]]+DATOS_[[#This Row],[Tot Extrasalarial Ef]]</f>
        <v>0</v>
      </c>
      <c r="CH227" s="140" t="n">
        <f aca="false">MIN(IF(DATOS_[[#This Row],[Fecha Fin Contrato]]="",$D$4,DATOS_[[#This Row],[Fecha Fin Contrato]]),$D$4)-MAX(DATOS_[[#This Row],[Fecha de Contratación]],$D$3)+1</f>
        <v>1</v>
      </c>
      <c r="CI227" s="141" t="str">
        <f aca="false">IF(COUNTIFS(DATOS_[id],DATOS_[[#This Row],[id]])&gt;1,DATOS_[[#This Row],[id]],"")</f>
        <v/>
      </c>
      <c r="CJ227" s="141" t="n">
        <f aca="false">(Inicio!$G$10-DATOS_[[#This Row],[Fecha Nacimiento]])/365.25</f>
        <v>0</v>
      </c>
      <c r="CK227" s="141" t="n">
        <f aca="false">(Inicio!$G$10-DATOS_[[#This Row],[Fecha de Antigüedad]])/365.25</f>
        <v>0</v>
      </c>
      <c r="CL227" s="141" t="e">
        <f aca="false">+VLOOKUP(DATOS_[[#This Row],[Clave de Contrato]],TblTiposContrato13[],3,0)</f>
        <v>#N/A</v>
      </c>
      <c r="CM227" s="141" t="e">
        <f aca="false">+VLOOKUP(DATOS_[[#This Row],[Clave de Contrato]],TblTiposContrato13[],4,0)</f>
        <v>#N/A</v>
      </c>
      <c r="CN227" s="141" t="str">
        <f aca="false">VLOOKUP(DATOS_[[#This Row],[Edad]],CONTRATOS!TblRngEdad,2,1)</f>
        <v>20  o menos</v>
      </c>
      <c r="CO227" s="141" t="str">
        <f aca="false">VLOOKUP(DATOS_[[#This Row],[Antigüedad]],TblRngAntg14[],2,1)</f>
        <v>0 a 1 años</v>
      </c>
    </row>
    <row r="228" customFormat="false" ht="13.8" hidden="false" customHeight="false" outlineLevel="0" collapsed="false">
      <c r="D228" s="128"/>
      <c r="E228" s="129"/>
      <c r="F228" s="129"/>
      <c r="G228" s="129"/>
      <c r="H228" s="130"/>
      <c r="I228" s="131"/>
      <c r="J228" s="128"/>
      <c r="K228" s="132"/>
      <c r="L228" s="132"/>
      <c r="M228" s="133"/>
      <c r="N228" s="133"/>
      <c r="O228" s="133"/>
      <c r="P228" s="129"/>
      <c r="Z228" s="75"/>
      <c r="AA228" s="76"/>
      <c r="AB228" s="76"/>
      <c r="AC228" s="129"/>
      <c r="AD228" s="134"/>
      <c r="AE228" s="134"/>
      <c r="AF228" s="134"/>
      <c r="AG228" s="134"/>
      <c r="AH228" s="134"/>
      <c r="AI228" s="134"/>
      <c r="AJ228" s="134"/>
      <c r="AK228" s="134"/>
      <c r="AL228" s="134"/>
      <c r="AM228" s="134"/>
      <c r="AN228" s="134"/>
      <c r="AO228" s="134"/>
      <c r="AP228" s="134"/>
      <c r="AQ228" s="134"/>
      <c r="AR228" s="134"/>
      <c r="AS228" s="134"/>
      <c r="AT228" s="134"/>
      <c r="AU228" s="134"/>
      <c r="AV228" s="134"/>
      <c r="AW228" s="134"/>
      <c r="AX228" s="134"/>
      <c r="AY228" s="134"/>
      <c r="AZ228" s="134"/>
      <c r="BA228" s="134"/>
      <c r="BB228" s="134"/>
      <c r="BC228" s="134"/>
      <c r="BD228" s="134"/>
      <c r="BE228" s="134"/>
      <c r="BF228" s="134"/>
      <c r="BG228" s="134"/>
      <c r="BH228" s="134"/>
      <c r="BI228" s="134"/>
      <c r="BJ228" s="134"/>
      <c r="BK228" s="134"/>
      <c r="BL228" s="134"/>
      <c r="BM228" s="135"/>
      <c r="BN228" s="136" t="n">
        <f aca="false">+MAX($D$3,DATOS_[[#This Row],[Fecha Inicio Sit. Contract.]])</f>
        <v>0</v>
      </c>
      <c r="BO228" s="136" t="n">
        <f aca="false">+MIN($D$4,DATOS_[[#This Row],[Fecha Fin Sit. Contract.]])</f>
        <v>0</v>
      </c>
      <c r="BP228" s="137" t="n">
        <f aca="false">+DATOS_[[#This Row],[% de jornada]]*IF(DATOS_[[#This Row],[% jornada reducida]]="",1,DATOS_[[#This Row],[% jornada reducida]])</f>
        <v>0</v>
      </c>
      <c r="BQ228" s="137" t="n">
        <f aca="false">+(DATOS_[[#This Row],[F.fin.cal]]-DATOS_[[#This Row],[F.ini.cal]]+1)/($D$4-$D$3+1)</f>
        <v>1</v>
      </c>
      <c r="BR228" s="137" t="str">
        <f aca="false">IF(OR(AND(DATOS_[[#This Row],[Fecha Fin Contrato]]&lt;$D$3,DATOS_[[#This Row],[Fecha Fin Contrato]]&lt;&gt;""),DATOS_[[#This Row],[Fecha de Contratación]]&gt;$D$4),"Fuera","Dentro")</f>
        <v>Dentro</v>
      </c>
      <c r="BS228" s="137" t="str">
        <f aca="false" t="array" ref="BS228:BS228">IF(MAX(IF(DATOS_[id]=DATOS_[[#This Row],[id]],DATOS_[F.fin.cal]))=DATOS_[[#This Row],[F.fin.cal]],"Sí","NO")</f>
        <v>Sí</v>
      </c>
      <c r="BT228" s="137" t="str">
        <f aca="false">IF(AND(DATOS_[[#This Row],[% normaliz]]&lt;&gt;1,DATOS_[[#This Row],[% anualiz]]=1),"Sí","NO")</f>
        <v>Sí</v>
      </c>
      <c r="BU228" s="137" t="str">
        <f aca="false">IF(AND(DATOS_[[#This Row],[% normaliz]]=1,DATOS_[[#This Row],[% anualiz]]&lt;&gt;1),"Sí","NO")</f>
        <v>NO</v>
      </c>
      <c r="BV228" s="137" t="str">
        <f aca="false">IF(AND(DATOS_[[#This Row],[% normaliz]]&lt;&gt;1,DATOS_[[#This Row],[% anualiz]]&lt;&gt;1),"Sí","NO")</f>
        <v>NO</v>
      </c>
      <c r="BW228" s="137" t="str">
        <f aca="false">+IF(DATOS_[[#This Row],[% normaliz]]*DATOS_[[#This Row],[% anualiz]]=1,"NO","Sí")</f>
        <v>Sí</v>
      </c>
      <c r="BX228" s="138" t="e">
        <f aca="false">(DATOS_[[#This Row],[S.BASE]]*(1/DATOS_[[#This Row],[% normaliz]])*(1/DATOS_[[#This Row],[% anualiz]]))*IF(DATOS_[[#This Row],[Check Equiparado]]="Sí",1,0)</f>
        <v>#DIV/0!</v>
      </c>
      <c r="BY2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8" s="138" t="e">
        <f aca="false">+DATOS_[[#This Row],[SALARIO BASE Eq]]+DATOS_[[#This Row],[Tot COMPL.SAL Eq]]</f>
        <v>#DIV/0!</v>
      </c>
      <c r="CA228" s="138" t="e">
        <f aca="false" t="array" ref="CA228:CA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8" s="138" t="e">
        <f aca="false">+DATOS_[[#This Row],[TOTAL SALARIO Eq]]+DATOS_[[#This Row],[Tot Extrasalarial Eq]]</f>
        <v>#DIV/0!</v>
      </c>
      <c r="CC228" s="139" t="n">
        <f aca="false">DATOS_[[#This Row],[S.BASE]]</f>
        <v>0</v>
      </c>
      <c r="CD228" s="139" t="n">
        <f aca="false">+SUM(DATOS_[[#This Row],[Conc.Sal.01]:[Conc.Sal.30]])</f>
        <v>0</v>
      </c>
      <c r="CE228" s="139" t="n">
        <f aca="false">+DATOS_[[#This Row],[SALARIO BASE Ef]]+DATOS_[[#This Row],[Tot COMPL.SAL Ef]]</f>
        <v>0</v>
      </c>
      <c r="CF228" s="139" t="n">
        <f aca="false">+SUM(DATOS_[[#This Row],[C.Extra.01]:[C.Extra.05]])</f>
        <v>0</v>
      </c>
      <c r="CG228" s="139" t="n">
        <f aca="false">+DATOS_[[#This Row],[TOTAL SALARIO Ef]]+DATOS_[[#This Row],[Tot Extrasalarial Ef]]</f>
        <v>0</v>
      </c>
      <c r="CH228" s="140" t="n">
        <f aca="false">MIN(IF(DATOS_[[#This Row],[Fecha Fin Contrato]]="",$D$4,DATOS_[[#This Row],[Fecha Fin Contrato]]),$D$4)-MAX(DATOS_[[#This Row],[Fecha de Contratación]],$D$3)+1</f>
        <v>1</v>
      </c>
      <c r="CI228" s="141" t="str">
        <f aca="false">IF(COUNTIFS(DATOS_[id],DATOS_[[#This Row],[id]])&gt;1,DATOS_[[#This Row],[id]],"")</f>
        <v/>
      </c>
      <c r="CJ228" s="141" t="n">
        <f aca="false">(Inicio!$G$10-DATOS_[[#This Row],[Fecha Nacimiento]])/365.25</f>
        <v>0</v>
      </c>
      <c r="CK228" s="141" t="n">
        <f aca="false">(Inicio!$G$10-DATOS_[[#This Row],[Fecha de Antigüedad]])/365.25</f>
        <v>0</v>
      </c>
      <c r="CL228" s="141" t="e">
        <f aca="false">+VLOOKUP(DATOS_[[#This Row],[Clave de Contrato]],TblTiposContrato13[],3,0)</f>
        <v>#N/A</v>
      </c>
      <c r="CM228" s="141" t="e">
        <f aca="false">+VLOOKUP(DATOS_[[#This Row],[Clave de Contrato]],TblTiposContrato13[],4,0)</f>
        <v>#N/A</v>
      </c>
      <c r="CN228" s="141" t="str">
        <f aca="false">VLOOKUP(DATOS_[[#This Row],[Edad]],CONTRATOS!TblRngEdad,2,1)</f>
        <v>20  o menos</v>
      </c>
      <c r="CO228" s="141" t="str">
        <f aca="false">VLOOKUP(DATOS_[[#This Row],[Antigüedad]],TblRngAntg14[],2,1)</f>
        <v>0 a 1 años</v>
      </c>
    </row>
    <row r="229" customFormat="false" ht="13.8" hidden="false" customHeight="false" outlineLevel="0" collapsed="false">
      <c r="D229" s="128"/>
      <c r="E229" s="129"/>
      <c r="F229" s="129"/>
      <c r="G229" s="129"/>
      <c r="H229" s="130"/>
      <c r="I229" s="131"/>
      <c r="J229" s="128"/>
      <c r="K229" s="132"/>
      <c r="L229" s="132"/>
      <c r="M229" s="133"/>
      <c r="N229" s="133"/>
      <c r="O229" s="133"/>
      <c r="P229" s="129"/>
      <c r="Z229" s="75"/>
      <c r="AA229" s="76"/>
      <c r="AB229" s="76"/>
      <c r="AC229" s="129"/>
      <c r="AD229" s="134"/>
      <c r="AE229" s="134"/>
      <c r="AF229" s="134"/>
      <c r="AG229" s="134"/>
      <c r="AH229" s="134"/>
      <c r="AI229" s="134"/>
      <c r="AJ229" s="134"/>
      <c r="AK229" s="134"/>
      <c r="AL229" s="134"/>
      <c r="AM229" s="134"/>
      <c r="AN229" s="134"/>
      <c r="AO229" s="134"/>
      <c r="AP229" s="134"/>
      <c r="AQ229" s="134"/>
      <c r="AR229" s="134"/>
      <c r="AS229" s="134"/>
      <c r="AT229" s="134"/>
      <c r="AU229" s="134"/>
      <c r="AV229" s="134"/>
      <c r="AW229" s="134"/>
      <c r="AX229" s="134"/>
      <c r="AY229" s="134"/>
      <c r="AZ229" s="134"/>
      <c r="BA229" s="134"/>
      <c r="BB229" s="134"/>
      <c r="BC229" s="134"/>
      <c r="BD229" s="134"/>
      <c r="BE229" s="134"/>
      <c r="BF229" s="134"/>
      <c r="BG229" s="134"/>
      <c r="BH229" s="134"/>
      <c r="BI229" s="134"/>
      <c r="BJ229" s="134"/>
      <c r="BK229" s="134"/>
      <c r="BL229" s="134"/>
      <c r="BM229" s="135"/>
      <c r="BN229" s="136" t="n">
        <f aca="false">+MAX($D$3,DATOS_[[#This Row],[Fecha Inicio Sit. Contract.]])</f>
        <v>0</v>
      </c>
      <c r="BO229" s="136" t="n">
        <f aca="false">+MIN($D$4,DATOS_[[#This Row],[Fecha Fin Sit. Contract.]])</f>
        <v>0</v>
      </c>
      <c r="BP229" s="137" t="n">
        <f aca="false">+DATOS_[[#This Row],[% de jornada]]*IF(DATOS_[[#This Row],[% jornada reducida]]="",1,DATOS_[[#This Row],[% jornada reducida]])</f>
        <v>0</v>
      </c>
      <c r="BQ229" s="137" t="n">
        <f aca="false">+(DATOS_[[#This Row],[F.fin.cal]]-DATOS_[[#This Row],[F.ini.cal]]+1)/($D$4-$D$3+1)</f>
        <v>1</v>
      </c>
      <c r="BR229" s="137" t="str">
        <f aca="false">IF(OR(AND(DATOS_[[#This Row],[Fecha Fin Contrato]]&lt;$D$3,DATOS_[[#This Row],[Fecha Fin Contrato]]&lt;&gt;""),DATOS_[[#This Row],[Fecha de Contratación]]&gt;$D$4),"Fuera","Dentro")</f>
        <v>Dentro</v>
      </c>
      <c r="BS229" s="137" t="str">
        <f aca="false" t="array" ref="BS229:BS229">IF(MAX(IF(DATOS_[id]=DATOS_[[#This Row],[id]],DATOS_[F.fin.cal]))=DATOS_[[#This Row],[F.fin.cal]],"Sí","NO")</f>
        <v>Sí</v>
      </c>
      <c r="BT229" s="137" t="str">
        <f aca="false">IF(AND(DATOS_[[#This Row],[% normaliz]]&lt;&gt;1,DATOS_[[#This Row],[% anualiz]]=1),"Sí","NO")</f>
        <v>Sí</v>
      </c>
      <c r="BU229" s="137" t="str">
        <f aca="false">IF(AND(DATOS_[[#This Row],[% normaliz]]=1,DATOS_[[#This Row],[% anualiz]]&lt;&gt;1),"Sí","NO")</f>
        <v>NO</v>
      </c>
      <c r="BV229" s="137" t="str">
        <f aca="false">IF(AND(DATOS_[[#This Row],[% normaliz]]&lt;&gt;1,DATOS_[[#This Row],[% anualiz]]&lt;&gt;1),"Sí","NO")</f>
        <v>NO</v>
      </c>
      <c r="BW229" s="137" t="str">
        <f aca="false">+IF(DATOS_[[#This Row],[% normaliz]]*DATOS_[[#This Row],[% anualiz]]=1,"NO","Sí")</f>
        <v>Sí</v>
      </c>
      <c r="BX229" s="138" t="e">
        <f aca="false">(DATOS_[[#This Row],[S.BASE]]*(1/DATOS_[[#This Row],[% normaliz]])*(1/DATOS_[[#This Row],[% anualiz]]))*IF(DATOS_[[#This Row],[Check Equiparado]]="Sí",1,0)</f>
        <v>#DIV/0!</v>
      </c>
      <c r="BY2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9" s="138" t="e">
        <f aca="false">+DATOS_[[#This Row],[SALARIO BASE Eq]]+DATOS_[[#This Row],[Tot COMPL.SAL Eq]]</f>
        <v>#DIV/0!</v>
      </c>
      <c r="CA229" s="138" t="e">
        <f aca="false" t="array" ref="CA229:CA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9" s="138" t="e">
        <f aca="false">+DATOS_[[#This Row],[TOTAL SALARIO Eq]]+DATOS_[[#This Row],[Tot Extrasalarial Eq]]</f>
        <v>#DIV/0!</v>
      </c>
      <c r="CC229" s="139" t="n">
        <f aca="false">DATOS_[[#This Row],[S.BASE]]</f>
        <v>0</v>
      </c>
      <c r="CD229" s="139" t="n">
        <f aca="false">+SUM(DATOS_[[#This Row],[Conc.Sal.01]:[Conc.Sal.30]])</f>
        <v>0</v>
      </c>
      <c r="CE229" s="139" t="n">
        <f aca="false">+DATOS_[[#This Row],[SALARIO BASE Ef]]+DATOS_[[#This Row],[Tot COMPL.SAL Ef]]</f>
        <v>0</v>
      </c>
      <c r="CF229" s="139" t="n">
        <f aca="false">+SUM(DATOS_[[#This Row],[C.Extra.01]:[C.Extra.05]])</f>
        <v>0</v>
      </c>
      <c r="CG229" s="139" t="n">
        <f aca="false">+DATOS_[[#This Row],[TOTAL SALARIO Ef]]+DATOS_[[#This Row],[Tot Extrasalarial Ef]]</f>
        <v>0</v>
      </c>
      <c r="CH229" s="140" t="n">
        <f aca="false">MIN(IF(DATOS_[[#This Row],[Fecha Fin Contrato]]="",$D$4,DATOS_[[#This Row],[Fecha Fin Contrato]]),$D$4)-MAX(DATOS_[[#This Row],[Fecha de Contratación]],$D$3)+1</f>
        <v>1</v>
      </c>
      <c r="CI229" s="141" t="str">
        <f aca="false">IF(COUNTIFS(DATOS_[id],DATOS_[[#This Row],[id]])&gt;1,DATOS_[[#This Row],[id]],"")</f>
        <v/>
      </c>
      <c r="CJ229" s="141" t="n">
        <f aca="false">(Inicio!$G$10-DATOS_[[#This Row],[Fecha Nacimiento]])/365.25</f>
        <v>0</v>
      </c>
      <c r="CK229" s="141" t="n">
        <f aca="false">(Inicio!$G$10-DATOS_[[#This Row],[Fecha de Antigüedad]])/365.25</f>
        <v>0</v>
      </c>
      <c r="CL229" s="141" t="e">
        <f aca="false">+VLOOKUP(DATOS_[[#This Row],[Clave de Contrato]],TblTiposContrato13[],3,0)</f>
        <v>#N/A</v>
      </c>
      <c r="CM229" s="141" t="e">
        <f aca="false">+VLOOKUP(DATOS_[[#This Row],[Clave de Contrato]],TblTiposContrato13[],4,0)</f>
        <v>#N/A</v>
      </c>
      <c r="CN229" s="141" t="str">
        <f aca="false">VLOOKUP(DATOS_[[#This Row],[Edad]],CONTRATOS!TblRngEdad,2,1)</f>
        <v>20  o menos</v>
      </c>
      <c r="CO229" s="141" t="str">
        <f aca="false">VLOOKUP(DATOS_[[#This Row],[Antigüedad]],TblRngAntg14[],2,1)</f>
        <v>0 a 1 años</v>
      </c>
    </row>
    <row r="230" customFormat="false" ht="13.8" hidden="false" customHeight="false" outlineLevel="0" collapsed="false">
      <c r="D230" s="128"/>
      <c r="E230" s="129"/>
      <c r="F230" s="129"/>
      <c r="G230" s="129"/>
      <c r="H230" s="130"/>
      <c r="I230" s="131"/>
      <c r="J230" s="128"/>
      <c r="K230" s="132"/>
      <c r="L230" s="132"/>
      <c r="M230" s="133"/>
      <c r="N230" s="133"/>
      <c r="O230" s="133"/>
      <c r="P230" s="129"/>
      <c r="Z230" s="75"/>
      <c r="AA230" s="76"/>
      <c r="AB230" s="76"/>
      <c r="AC230" s="129"/>
      <c r="AD230" s="134"/>
      <c r="AE230" s="134"/>
      <c r="AF230" s="134"/>
      <c r="AG230" s="134"/>
      <c r="AH230" s="134"/>
      <c r="AI230" s="134"/>
      <c r="AJ230" s="134"/>
      <c r="AK230" s="134"/>
      <c r="AL230" s="134"/>
      <c r="AM230" s="134"/>
      <c r="AN230" s="134"/>
      <c r="AO230" s="134"/>
      <c r="AP230" s="134"/>
      <c r="AQ230" s="134"/>
      <c r="AR230" s="134"/>
      <c r="AS230" s="134"/>
      <c r="AT230" s="134"/>
      <c r="AU230" s="134"/>
      <c r="AV230" s="134"/>
      <c r="AW230" s="134"/>
      <c r="AX230" s="134"/>
      <c r="AY230" s="134"/>
      <c r="AZ230" s="134"/>
      <c r="BA230" s="134"/>
      <c r="BB230" s="134"/>
      <c r="BC230" s="134"/>
      <c r="BD230" s="134"/>
      <c r="BE230" s="134"/>
      <c r="BF230" s="134"/>
      <c r="BG230" s="134"/>
      <c r="BH230" s="134"/>
      <c r="BI230" s="134"/>
      <c r="BJ230" s="134"/>
      <c r="BK230" s="134"/>
      <c r="BL230" s="134"/>
      <c r="BM230" s="135"/>
      <c r="BN230" s="136" t="n">
        <f aca="false">+MAX($D$3,DATOS_[[#This Row],[Fecha Inicio Sit. Contract.]])</f>
        <v>0</v>
      </c>
      <c r="BO230" s="136" t="n">
        <f aca="false">+MIN($D$4,DATOS_[[#This Row],[Fecha Fin Sit. Contract.]])</f>
        <v>0</v>
      </c>
      <c r="BP230" s="137" t="n">
        <f aca="false">+DATOS_[[#This Row],[% de jornada]]*IF(DATOS_[[#This Row],[% jornada reducida]]="",1,DATOS_[[#This Row],[% jornada reducida]])</f>
        <v>0</v>
      </c>
      <c r="BQ230" s="137" t="n">
        <f aca="false">+(DATOS_[[#This Row],[F.fin.cal]]-DATOS_[[#This Row],[F.ini.cal]]+1)/($D$4-$D$3+1)</f>
        <v>1</v>
      </c>
      <c r="BR230" s="137" t="str">
        <f aca="false">IF(OR(AND(DATOS_[[#This Row],[Fecha Fin Contrato]]&lt;$D$3,DATOS_[[#This Row],[Fecha Fin Contrato]]&lt;&gt;""),DATOS_[[#This Row],[Fecha de Contratación]]&gt;$D$4),"Fuera","Dentro")</f>
        <v>Dentro</v>
      </c>
      <c r="BS230" s="137" t="str">
        <f aca="false" t="array" ref="BS230:BS230">IF(MAX(IF(DATOS_[id]=DATOS_[[#This Row],[id]],DATOS_[F.fin.cal]))=DATOS_[[#This Row],[F.fin.cal]],"Sí","NO")</f>
        <v>Sí</v>
      </c>
      <c r="BT230" s="137" t="str">
        <f aca="false">IF(AND(DATOS_[[#This Row],[% normaliz]]&lt;&gt;1,DATOS_[[#This Row],[% anualiz]]=1),"Sí","NO")</f>
        <v>Sí</v>
      </c>
      <c r="BU230" s="137" t="str">
        <f aca="false">IF(AND(DATOS_[[#This Row],[% normaliz]]=1,DATOS_[[#This Row],[% anualiz]]&lt;&gt;1),"Sí","NO")</f>
        <v>NO</v>
      </c>
      <c r="BV230" s="137" t="str">
        <f aca="false">IF(AND(DATOS_[[#This Row],[% normaliz]]&lt;&gt;1,DATOS_[[#This Row],[% anualiz]]&lt;&gt;1),"Sí","NO")</f>
        <v>NO</v>
      </c>
      <c r="BW230" s="137" t="str">
        <f aca="false">+IF(DATOS_[[#This Row],[% normaliz]]*DATOS_[[#This Row],[% anualiz]]=1,"NO","Sí")</f>
        <v>Sí</v>
      </c>
      <c r="BX230" s="138" t="e">
        <f aca="false">(DATOS_[[#This Row],[S.BASE]]*(1/DATOS_[[#This Row],[% normaliz]])*(1/DATOS_[[#This Row],[% anualiz]]))*IF(DATOS_[[#This Row],[Check Equiparado]]="Sí",1,0)</f>
        <v>#DIV/0!</v>
      </c>
      <c r="BY2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0" s="138" t="e">
        <f aca="false">+DATOS_[[#This Row],[SALARIO BASE Eq]]+DATOS_[[#This Row],[Tot COMPL.SAL Eq]]</f>
        <v>#DIV/0!</v>
      </c>
      <c r="CA230" s="138" t="e">
        <f aca="false" t="array" ref="CA230:CA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0" s="138" t="e">
        <f aca="false">+DATOS_[[#This Row],[TOTAL SALARIO Eq]]+DATOS_[[#This Row],[Tot Extrasalarial Eq]]</f>
        <v>#DIV/0!</v>
      </c>
      <c r="CC230" s="139" t="n">
        <f aca="false">DATOS_[[#This Row],[S.BASE]]</f>
        <v>0</v>
      </c>
      <c r="CD230" s="139" t="n">
        <f aca="false">+SUM(DATOS_[[#This Row],[Conc.Sal.01]:[Conc.Sal.30]])</f>
        <v>0</v>
      </c>
      <c r="CE230" s="139" t="n">
        <f aca="false">+DATOS_[[#This Row],[SALARIO BASE Ef]]+DATOS_[[#This Row],[Tot COMPL.SAL Ef]]</f>
        <v>0</v>
      </c>
      <c r="CF230" s="139" t="n">
        <f aca="false">+SUM(DATOS_[[#This Row],[C.Extra.01]:[C.Extra.05]])</f>
        <v>0</v>
      </c>
      <c r="CG230" s="139" t="n">
        <f aca="false">+DATOS_[[#This Row],[TOTAL SALARIO Ef]]+DATOS_[[#This Row],[Tot Extrasalarial Ef]]</f>
        <v>0</v>
      </c>
      <c r="CH230" s="140" t="n">
        <f aca="false">MIN(IF(DATOS_[[#This Row],[Fecha Fin Contrato]]="",$D$4,DATOS_[[#This Row],[Fecha Fin Contrato]]),$D$4)-MAX(DATOS_[[#This Row],[Fecha de Contratación]],$D$3)+1</f>
        <v>1</v>
      </c>
      <c r="CI230" s="141" t="str">
        <f aca="false">IF(COUNTIFS(DATOS_[id],DATOS_[[#This Row],[id]])&gt;1,DATOS_[[#This Row],[id]],"")</f>
        <v/>
      </c>
      <c r="CJ230" s="141" t="n">
        <f aca="false">(Inicio!$G$10-DATOS_[[#This Row],[Fecha Nacimiento]])/365.25</f>
        <v>0</v>
      </c>
      <c r="CK230" s="141" t="n">
        <f aca="false">(Inicio!$G$10-DATOS_[[#This Row],[Fecha de Antigüedad]])/365.25</f>
        <v>0</v>
      </c>
      <c r="CL230" s="141" t="e">
        <f aca="false">+VLOOKUP(DATOS_[[#This Row],[Clave de Contrato]],TblTiposContrato13[],3,0)</f>
        <v>#N/A</v>
      </c>
      <c r="CM230" s="141" t="e">
        <f aca="false">+VLOOKUP(DATOS_[[#This Row],[Clave de Contrato]],TblTiposContrato13[],4,0)</f>
        <v>#N/A</v>
      </c>
      <c r="CN230" s="141" t="str">
        <f aca="false">VLOOKUP(DATOS_[[#This Row],[Edad]],CONTRATOS!TblRngEdad,2,1)</f>
        <v>20  o menos</v>
      </c>
      <c r="CO230" s="141" t="str">
        <f aca="false">VLOOKUP(DATOS_[[#This Row],[Antigüedad]],TblRngAntg14[],2,1)</f>
        <v>0 a 1 años</v>
      </c>
    </row>
    <row r="231" customFormat="false" ht="13.8" hidden="false" customHeight="false" outlineLevel="0" collapsed="false">
      <c r="D231" s="128"/>
      <c r="E231" s="129"/>
      <c r="F231" s="129"/>
      <c r="G231" s="129"/>
      <c r="H231" s="130"/>
      <c r="I231" s="131"/>
      <c r="J231" s="128"/>
      <c r="K231" s="132"/>
      <c r="L231" s="132"/>
      <c r="M231" s="133"/>
      <c r="N231" s="133"/>
      <c r="O231" s="133"/>
      <c r="P231" s="129"/>
      <c r="Z231" s="75"/>
      <c r="AA231" s="76"/>
      <c r="AB231" s="76"/>
      <c r="AC231" s="129"/>
      <c r="AD231" s="134"/>
      <c r="AE231" s="134"/>
      <c r="AF231" s="134"/>
      <c r="AG231" s="134"/>
      <c r="AH231" s="134"/>
      <c r="AI231" s="134"/>
      <c r="AJ231" s="134"/>
      <c r="AK231" s="134"/>
      <c r="AL231" s="134"/>
      <c r="AM231" s="134"/>
      <c r="AN231" s="134"/>
      <c r="AO231" s="134"/>
      <c r="AP231" s="134"/>
      <c r="AQ231" s="134"/>
      <c r="AR231" s="134"/>
      <c r="AS231" s="134"/>
      <c r="AT231" s="134"/>
      <c r="AU231" s="134"/>
      <c r="AV231" s="134"/>
      <c r="AW231" s="134"/>
      <c r="AX231" s="134"/>
      <c r="AY231" s="134"/>
      <c r="AZ231" s="134"/>
      <c r="BA231" s="134"/>
      <c r="BB231" s="134"/>
      <c r="BC231" s="134"/>
      <c r="BD231" s="134"/>
      <c r="BE231" s="134"/>
      <c r="BF231" s="134"/>
      <c r="BG231" s="134"/>
      <c r="BH231" s="134"/>
      <c r="BI231" s="134"/>
      <c r="BJ231" s="134"/>
      <c r="BK231" s="134"/>
      <c r="BL231" s="134"/>
      <c r="BM231" s="135"/>
      <c r="BN231" s="136" t="n">
        <f aca="false">+MAX($D$3,DATOS_[[#This Row],[Fecha Inicio Sit. Contract.]])</f>
        <v>0</v>
      </c>
      <c r="BO231" s="136" t="n">
        <f aca="false">+MIN($D$4,DATOS_[[#This Row],[Fecha Fin Sit. Contract.]])</f>
        <v>0</v>
      </c>
      <c r="BP231" s="137" t="n">
        <f aca="false">+DATOS_[[#This Row],[% de jornada]]*IF(DATOS_[[#This Row],[% jornada reducida]]="",1,DATOS_[[#This Row],[% jornada reducida]])</f>
        <v>0</v>
      </c>
      <c r="BQ231" s="137" t="n">
        <f aca="false">+(DATOS_[[#This Row],[F.fin.cal]]-DATOS_[[#This Row],[F.ini.cal]]+1)/($D$4-$D$3+1)</f>
        <v>1</v>
      </c>
      <c r="BR231" s="137" t="str">
        <f aca="false">IF(OR(AND(DATOS_[[#This Row],[Fecha Fin Contrato]]&lt;$D$3,DATOS_[[#This Row],[Fecha Fin Contrato]]&lt;&gt;""),DATOS_[[#This Row],[Fecha de Contratación]]&gt;$D$4),"Fuera","Dentro")</f>
        <v>Dentro</v>
      </c>
      <c r="BS231" s="137" t="str">
        <f aca="false" t="array" ref="BS231:BS231">IF(MAX(IF(DATOS_[id]=DATOS_[[#This Row],[id]],DATOS_[F.fin.cal]))=DATOS_[[#This Row],[F.fin.cal]],"Sí","NO")</f>
        <v>Sí</v>
      </c>
      <c r="BT231" s="137" t="str">
        <f aca="false">IF(AND(DATOS_[[#This Row],[% normaliz]]&lt;&gt;1,DATOS_[[#This Row],[% anualiz]]=1),"Sí","NO")</f>
        <v>Sí</v>
      </c>
      <c r="BU231" s="137" t="str">
        <f aca="false">IF(AND(DATOS_[[#This Row],[% normaliz]]=1,DATOS_[[#This Row],[% anualiz]]&lt;&gt;1),"Sí","NO")</f>
        <v>NO</v>
      </c>
      <c r="BV231" s="137" t="str">
        <f aca="false">IF(AND(DATOS_[[#This Row],[% normaliz]]&lt;&gt;1,DATOS_[[#This Row],[% anualiz]]&lt;&gt;1),"Sí","NO")</f>
        <v>NO</v>
      </c>
      <c r="BW231" s="137" t="str">
        <f aca="false">+IF(DATOS_[[#This Row],[% normaliz]]*DATOS_[[#This Row],[% anualiz]]=1,"NO","Sí")</f>
        <v>Sí</v>
      </c>
      <c r="BX231" s="138" t="e">
        <f aca="false">(DATOS_[[#This Row],[S.BASE]]*(1/DATOS_[[#This Row],[% normaliz]])*(1/DATOS_[[#This Row],[% anualiz]]))*IF(DATOS_[[#This Row],[Check Equiparado]]="Sí",1,0)</f>
        <v>#DIV/0!</v>
      </c>
      <c r="BY2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1" s="138" t="e">
        <f aca="false">+DATOS_[[#This Row],[SALARIO BASE Eq]]+DATOS_[[#This Row],[Tot COMPL.SAL Eq]]</f>
        <v>#DIV/0!</v>
      </c>
      <c r="CA231" s="138" t="e">
        <f aca="false" t="array" ref="CA231:CA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1" s="138" t="e">
        <f aca="false">+DATOS_[[#This Row],[TOTAL SALARIO Eq]]+DATOS_[[#This Row],[Tot Extrasalarial Eq]]</f>
        <v>#DIV/0!</v>
      </c>
      <c r="CC231" s="139" t="n">
        <f aca="false">DATOS_[[#This Row],[S.BASE]]</f>
        <v>0</v>
      </c>
      <c r="CD231" s="139" t="n">
        <f aca="false">+SUM(DATOS_[[#This Row],[Conc.Sal.01]:[Conc.Sal.30]])</f>
        <v>0</v>
      </c>
      <c r="CE231" s="139" t="n">
        <f aca="false">+DATOS_[[#This Row],[SALARIO BASE Ef]]+DATOS_[[#This Row],[Tot COMPL.SAL Ef]]</f>
        <v>0</v>
      </c>
      <c r="CF231" s="139" t="n">
        <f aca="false">+SUM(DATOS_[[#This Row],[C.Extra.01]:[C.Extra.05]])</f>
        <v>0</v>
      </c>
      <c r="CG231" s="139" t="n">
        <f aca="false">+DATOS_[[#This Row],[TOTAL SALARIO Ef]]+DATOS_[[#This Row],[Tot Extrasalarial Ef]]</f>
        <v>0</v>
      </c>
      <c r="CH231" s="140" t="n">
        <f aca="false">MIN(IF(DATOS_[[#This Row],[Fecha Fin Contrato]]="",$D$4,DATOS_[[#This Row],[Fecha Fin Contrato]]),$D$4)-MAX(DATOS_[[#This Row],[Fecha de Contratación]],$D$3)+1</f>
        <v>1</v>
      </c>
      <c r="CI231" s="141" t="str">
        <f aca="false">IF(COUNTIFS(DATOS_[id],DATOS_[[#This Row],[id]])&gt;1,DATOS_[[#This Row],[id]],"")</f>
        <v/>
      </c>
      <c r="CJ231" s="141" t="n">
        <f aca="false">(Inicio!$G$10-DATOS_[[#This Row],[Fecha Nacimiento]])/365.25</f>
        <v>0</v>
      </c>
      <c r="CK231" s="141" t="n">
        <f aca="false">(Inicio!$G$10-DATOS_[[#This Row],[Fecha de Antigüedad]])/365.25</f>
        <v>0</v>
      </c>
      <c r="CL231" s="141" t="e">
        <f aca="false">+VLOOKUP(DATOS_[[#This Row],[Clave de Contrato]],TblTiposContrato13[],3,0)</f>
        <v>#N/A</v>
      </c>
      <c r="CM231" s="141" t="e">
        <f aca="false">+VLOOKUP(DATOS_[[#This Row],[Clave de Contrato]],TblTiposContrato13[],4,0)</f>
        <v>#N/A</v>
      </c>
      <c r="CN231" s="141" t="str">
        <f aca="false">VLOOKUP(DATOS_[[#This Row],[Edad]],CONTRATOS!TblRngEdad,2,1)</f>
        <v>20  o menos</v>
      </c>
      <c r="CO231" s="141" t="str">
        <f aca="false">VLOOKUP(DATOS_[[#This Row],[Antigüedad]],TblRngAntg14[],2,1)</f>
        <v>0 a 1 años</v>
      </c>
    </row>
    <row r="232" customFormat="false" ht="13.8" hidden="false" customHeight="false" outlineLevel="0" collapsed="false">
      <c r="D232" s="128"/>
      <c r="E232" s="129"/>
      <c r="F232" s="129"/>
      <c r="G232" s="129"/>
      <c r="H232" s="130"/>
      <c r="I232" s="131"/>
      <c r="J232" s="128"/>
      <c r="K232" s="132"/>
      <c r="L232" s="132"/>
      <c r="M232" s="133"/>
      <c r="N232" s="133"/>
      <c r="O232" s="133"/>
      <c r="P232" s="129"/>
      <c r="Z232" s="75"/>
      <c r="AA232" s="76"/>
      <c r="AB232" s="76"/>
      <c r="AC232" s="129"/>
      <c r="AD232" s="134"/>
      <c r="AE232" s="134"/>
      <c r="AF232" s="134"/>
      <c r="AG232" s="134"/>
      <c r="AH232" s="134"/>
      <c r="AI232" s="134"/>
      <c r="AJ232" s="134"/>
      <c r="AK232" s="134"/>
      <c r="AL232" s="134"/>
      <c r="AM232" s="134"/>
      <c r="AN232" s="134"/>
      <c r="AO232" s="134"/>
      <c r="AP232" s="134"/>
      <c r="AQ232" s="134"/>
      <c r="AR232" s="134"/>
      <c r="AS232" s="134"/>
      <c r="AT232" s="134"/>
      <c r="AU232" s="134"/>
      <c r="AV232" s="134"/>
      <c r="AW232" s="134"/>
      <c r="AX232" s="134"/>
      <c r="AY232" s="134"/>
      <c r="AZ232" s="134"/>
      <c r="BA232" s="134"/>
      <c r="BB232" s="134"/>
      <c r="BC232" s="134"/>
      <c r="BD232" s="134"/>
      <c r="BE232" s="134"/>
      <c r="BF232" s="134"/>
      <c r="BG232" s="134"/>
      <c r="BH232" s="134"/>
      <c r="BI232" s="134"/>
      <c r="BJ232" s="134"/>
      <c r="BK232" s="134"/>
      <c r="BL232" s="134"/>
      <c r="BM232" s="135"/>
      <c r="BN232" s="136" t="n">
        <f aca="false">+MAX($D$3,DATOS_[[#This Row],[Fecha Inicio Sit. Contract.]])</f>
        <v>0</v>
      </c>
      <c r="BO232" s="136" t="n">
        <f aca="false">+MIN($D$4,DATOS_[[#This Row],[Fecha Fin Sit. Contract.]])</f>
        <v>0</v>
      </c>
      <c r="BP232" s="137" t="n">
        <f aca="false">+DATOS_[[#This Row],[% de jornada]]*IF(DATOS_[[#This Row],[% jornada reducida]]="",1,DATOS_[[#This Row],[% jornada reducida]])</f>
        <v>0</v>
      </c>
      <c r="BQ232" s="137" t="n">
        <f aca="false">+(DATOS_[[#This Row],[F.fin.cal]]-DATOS_[[#This Row],[F.ini.cal]]+1)/($D$4-$D$3+1)</f>
        <v>1</v>
      </c>
      <c r="BR232" s="137" t="str">
        <f aca="false">IF(OR(AND(DATOS_[[#This Row],[Fecha Fin Contrato]]&lt;$D$3,DATOS_[[#This Row],[Fecha Fin Contrato]]&lt;&gt;""),DATOS_[[#This Row],[Fecha de Contratación]]&gt;$D$4),"Fuera","Dentro")</f>
        <v>Dentro</v>
      </c>
      <c r="BS232" s="137" t="str">
        <f aca="false" t="array" ref="BS232:BS232">IF(MAX(IF(DATOS_[id]=DATOS_[[#This Row],[id]],DATOS_[F.fin.cal]))=DATOS_[[#This Row],[F.fin.cal]],"Sí","NO")</f>
        <v>Sí</v>
      </c>
      <c r="BT232" s="137" t="str">
        <f aca="false">IF(AND(DATOS_[[#This Row],[% normaliz]]&lt;&gt;1,DATOS_[[#This Row],[% anualiz]]=1),"Sí","NO")</f>
        <v>Sí</v>
      </c>
      <c r="BU232" s="137" t="str">
        <f aca="false">IF(AND(DATOS_[[#This Row],[% normaliz]]=1,DATOS_[[#This Row],[% anualiz]]&lt;&gt;1),"Sí","NO")</f>
        <v>NO</v>
      </c>
      <c r="BV232" s="137" t="str">
        <f aca="false">IF(AND(DATOS_[[#This Row],[% normaliz]]&lt;&gt;1,DATOS_[[#This Row],[% anualiz]]&lt;&gt;1),"Sí","NO")</f>
        <v>NO</v>
      </c>
      <c r="BW232" s="137" t="str">
        <f aca="false">+IF(DATOS_[[#This Row],[% normaliz]]*DATOS_[[#This Row],[% anualiz]]=1,"NO","Sí")</f>
        <v>Sí</v>
      </c>
      <c r="BX232" s="138" t="e">
        <f aca="false">(DATOS_[[#This Row],[S.BASE]]*(1/DATOS_[[#This Row],[% normaliz]])*(1/DATOS_[[#This Row],[% anualiz]]))*IF(DATOS_[[#This Row],[Check Equiparado]]="Sí",1,0)</f>
        <v>#DIV/0!</v>
      </c>
      <c r="BY2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2" s="138" t="e">
        <f aca="false">+DATOS_[[#This Row],[SALARIO BASE Eq]]+DATOS_[[#This Row],[Tot COMPL.SAL Eq]]</f>
        <v>#DIV/0!</v>
      </c>
      <c r="CA232" s="138" t="e">
        <f aca="false" t="array" ref="CA232:CA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2" s="138" t="e">
        <f aca="false">+DATOS_[[#This Row],[TOTAL SALARIO Eq]]+DATOS_[[#This Row],[Tot Extrasalarial Eq]]</f>
        <v>#DIV/0!</v>
      </c>
      <c r="CC232" s="139" t="n">
        <f aca="false">DATOS_[[#This Row],[S.BASE]]</f>
        <v>0</v>
      </c>
      <c r="CD232" s="139" t="n">
        <f aca="false">+SUM(DATOS_[[#This Row],[Conc.Sal.01]:[Conc.Sal.30]])</f>
        <v>0</v>
      </c>
      <c r="CE232" s="139" t="n">
        <f aca="false">+DATOS_[[#This Row],[SALARIO BASE Ef]]+DATOS_[[#This Row],[Tot COMPL.SAL Ef]]</f>
        <v>0</v>
      </c>
      <c r="CF232" s="139" t="n">
        <f aca="false">+SUM(DATOS_[[#This Row],[C.Extra.01]:[C.Extra.05]])</f>
        <v>0</v>
      </c>
      <c r="CG232" s="139" t="n">
        <f aca="false">+DATOS_[[#This Row],[TOTAL SALARIO Ef]]+DATOS_[[#This Row],[Tot Extrasalarial Ef]]</f>
        <v>0</v>
      </c>
      <c r="CH232" s="140" t="n">
        <f aca="false">MIN(IF(DATOS_[[#This Row],[Fecha Fin Contrato]]="",$D$4,DATOS_[[#This Row],[Fecha Fin Contrato]]),$D$4)-MAX(DATOS_[[#This Row],[Fecha de Contratación]],$D$3)+1</f>
        <v>1</v>
      </c>
      <c r="CI232" s="141" t="str">
        <f aca="false">IF(COUNTIFS(DATOS_[id],DATOS_[[#This Row],[id]])&gt;1,DATOS_[[#This Row],[id]],"")</f>
        <v/>
      </c>
      <c r="CJ232" s="141" t="n">
        <f aca="false">(Inicio!$G$10-DATOS_[[#This Row],[Fecha Nacimiento]])/365.25</f>
        <v>0</v>
      </c>
      <c r="CK232" s="141" t="n">
        <f aca="false">(Inicio!$G$10-DATOS_[[#This Row],[Fecha de Antigüedad]])/365.25</f>
        <v>0</v>
      </c>
      <c r="CL232" s="141" t="e">
        <f aca="false">+VLOOKUP(DATOS_[[#This Row],[Clave de Contrato]],TblTiposContrato13[],3,0)</f>
        <v>#N/A</v>
      </c>
      <c r="CM232" s="141" t="e">
        <f aca="false">+VLOOKUP(DATOS_[[#This Row],[Clave de Contrato]],TblTiposContrato13[],4,0)</f>
        <v>#N/A</v>
      </c>
      <c r="CN232" s="141" t="str">
        <f aca="false">VLOOKUP(DATOS_[[#This Row],[Edad]],CONTRATOS!TblRngEdad,2,1)</f>
        <v>20  o menos</v>
      </c>
      <c r="CO232" s="141" t="str">
        <f aca="false">VLOOKUP(DATOS_[[#This Row],[Antigüedad]],TblRngAntg14[],2,1)</f>
        <v>0 a 1 años</v>
      </c>
    </row>
    <row r="233" customFormat="false" ht="13.8" hidden="false" customHeight="false" outlineLevel="0" collapsed="false">
      <c r="D233" s="128"/>
      <c r="E233" s="129"/>
      <c r="F233" s="129"/>
      <c r="G233" s="129"/>
      <c r="H233" s="130"/>
      <c r="I233" s="131"/>
      <c r="J233" s="128"/>
      <c r="K233" s="132"/>
      <c r="L233" s="132"/>
      <c r="M233" s="133"/>
      <c r="N233" s="133"/>
      <c r="O233" s="133"/>
      <c r="P233" s="129"/>
      <c r="Z233" s="75"/>
      <c r="AA233" s="76"/>
      <c r="AB233" s="76"/>
      <c r="AC233" s="129"/>
      <c r="AD233" s="134"/>
      <c r="AE233" s="134"/>
      <c r="AF233" s="134"/>
      <c r="AG233" s="134"/>
      <c r="AH233" s="134"/>
      <c r="AI233" s="134"/>
      <c r="AJ233" s="134"/>
      <c r="AK233" s="134"/>
      <c r="AL233" s="134"/>
      <c r="AM233" s="134"/>
      <c r="AN233" s="134"/>
      <c r="AO233" s="134"/>
      <c r="AP233" s="134"/>
      <c r="AQ233" s="134"/>
      <c r="AR233" s="134"/>
      <c r="AS233" s="134"/>
      <c r="AT233" s="134"/>
      <c r="AU233" s="134"/>
      <c r="AV233" s="134"/>
      <c r="AW233" s="134"/>
      <c r="AX233" s="134"/>
      <c r="AY233" s="134"/>
      <c r="AZ233" s="134"/>
      <c r="BA233" s="134"/>
      <c r="BB233" s="134"/>
      <c r="BC233" s="134"/>
      <c r="BD233" s="134"/>
      <c r="BE233" s="134"/>
      <c r="BF233" s="134"/>
      <c r="BG233" s="134"/>
      <c r="BH233" s="134"/>
      <c r="BI233" s="134"/>
      <c r="BJ233" s="134"/>
      <c r="BK233" s="134"/>
      <c r="BL233" s="134"/>
      <c r="BM233" s="135"/>
      <c r="BN233" s="136" t="n">
        <f aca="false">+MAX($D$3,DATOS_[[#This Row],[Fecha Inicio Sit. Contract.]])</f>
        <v>0</v>
      </c>
      <c r="BO233" s="136" t="n">
        <f aca="false">+MIN($D$4,DATOS_[[#This Row],[Fecha Fin Sit. Contract.]])</f>
        <v>0</v>
      </c>
      <c r="BP233" s="137" t="n">
        <f aca="false">+DATOS_[[#This Row],[% de jornada]]*IF(DATOS_[[#This Row],[% jornada reducida]]="",1,DATOS_[[#This Row],[% jornada reducida]])</f>
        <v>0</v>
      </c>
      <c r="BQ233" s="137" t="n">
        <f aca="false">+(DATOS_[[#This Row],[F.fin.cal]]-DATOS_[[#This Row],[F.ini.cal]]+1)/($D$4-$D$3+1)</f>
        <v>1</v>
      </c>
      <c r="BR233" s="137" t="str">
        <f aca="false">IF(OR(AND(DATOS_[[#This Row],[Fecha Fin Contrato]]&lt;$D$3,DATOS_[[#This Row],[Fecha Fin Contrato]]&lt;&gt;""),DATOS_[[#This Row],[Fecha de Contratación]]&gt;$D$4),"Fuera","Dentro")</f>
        <v>Dentro</v>
      </c>
      <c r="BS233" s="137" t="str">
        <f aca="false" t="array" ref="BS233:BS233">IF(MAX(IF(DATOS_[id]=DATOS_[[#This Row],[id]],DATOS_[F.fin.cal]))=DATOS_[[#This Row],[F.fin.cal]],"Sí","NO")</f>
        <v>Sí</v>
      </c>
      <c r="BT233" s="137" t="str">
        <f aca="false">IF(AND(DATOS_[[#This Row],[% normaliz]]&lt;&gt;1,DATOS_[[#This Row],[% anualiz]]=1),"Sí","NO")</f>
        <v>Sí</v>
      </c>
      <c r="BU233" s="137" t="str">
        <f aca="false">IF(AND(DATOS_[[#This Row],[% normaliz]]=1,DATOS_[[#This Row],[% anualiz]]&lt;&gt;1),"Sí","NO")</f>
        <v>NO</v>
      </c>
      <c r="BV233" s="137" t="str">
        <f aca="false">IF(AND(DATOS_[[#This Row],[% normaliz]]&lt;&gt;1,DATOS_[[#This Row],[% anualiz]]&lt;&gt;1),"Sí","NO")</f>
        <v>NO</v>
      </c>
      <c r="BW233" s="137" t="str">
        <f aca="false">+IF(DATOS_[[#This Row],[% normaliz]]*DATOS_[[#This Row],[% anualiz]]=1,"NO","Sí")</f>
        <v>Sí</v>
      </c>
      <c r="BX233" s="138" t="e">
        <f aca="false">(DATOS_[[#This Row],[S.BASE]]*(1/DATOS_[[#This Row],[% normaliz]])*(1/DATOS_[[#This Row],[% anualiz]]))*IF(DATOS_[[#This Row],[Check Equiparado]]="Sí",1,0)</f>
        <v>#DIV/0!</v>
      </c>
      <c r="BY2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3" s="138" t="e">
        <f aca="false">+DATOS_[[#This Row],[SALARIO BASE Eq]]+DATOS_[[#This Row],[Tot COMPL.SAL Eq]]</f>
        <v>#DIV/0!</v>
      </c>
      <c r="CA233" s="138" t="e">
        <f aca="false" t="array" ref="CA233:CA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3" s="138" t="e">
        <f aca="false">+DATOS_[[#This Row],[TOTAL SALARIO Eq]]+DATOS_[[#This Row],[Tot Extrasalarial Eq]]</f>
        <v>#DIV/0!</v>
      </c>
      <c r="CC233" s="139" t="n">
        <f aca="false">DATOS_[[#This Row],[S.BASE]]</f>
        <v>0</v>
      </c>
      <c r="CD233" s="139" t="n">
        <f aca="false">+SUM(DATOS_[[#This Row],[Conc.Sal.01]:[Conc.Sal.30]])</f>
        <v>0</v>
      </c>
      <c r="CE233" s="139" t="n">
        <f aca="false">+DATOS_[[#This Row],[SALARIO BASE Ef]]+DATOS_[[#This Row],[Tot COMPL.SAL Ef]]</f>
        <v>0</v>
      </c>
      <c r="CF233" s="139" t="n">
        <f aca="false">+SUM(DATOS_[[#This Row],[C.Extra.01]:[C.Extra.05]])</f>
        <v>0</v>
      </c>
      <c r="CG233" s="139" t="n">
        <f aca="false">+DATOS_[[#This Row],[TOTAL SALARIO Ef]]+DATOS_[[#This Row],[Tot Extrasalarial Ef]]</f>
        <v>0</v>
      </c>
      <c r="CH233" s="140" t="n">
        <f aca="false">MIN(IF(DATOS_[[#This Row],[Fecha Fin Contrato]]="",$D$4,DATOS_[[#This Row],[Fecha Fin Contrato]]),$D$4)-MAX(DATOS_[[#This Row],[Fecha de Contratación]],$D$3)+1</f>
        <v>1</v>
      </c>
      <c r="CI233" s="141" t="str">
        <f aca="false">IF(COUNTIFS(DATOS_[id],DATOS_[[#This Row],[id]])&gt;1,DATOS_[[#This Row],[id]],"")</f>
        <v/>
      </c>
      <c r="CJ233" s="141" t="n">
        <f aca="false">(Inicio!$G$10-DATOS_[[#This Row],[Fecha Nacimiento]])/365.25</f>
        <v>0</v>
      </c>
      <c r="CK233" s="141" t="n">
        <f aca="false">(Inicio!$G$10-DATOS_[[#This Row],[Fecha de Antigüedad]])/365.25</f>
        <v>0</v>
      </c>
      <c r="CL233" s="141" t="e">
        <f aca="false">+VLOOKUP(DATOS_[[#This Row],[Clave de Contrato]],TblTiposContrato13[],3,0)</f>
        <v>#N/A</v>
      </c>
      <c r="CM233" s="141" t="e">
        <f aca="false">+VLOOKUP(DATOS_[[#This Row],[Clave de Contrato]],TblTiposContrato13[],4,0)</f>
        <v>#N/A</v>
      </c>
      <c r="CN233" s="141" t="str">
        <f aca="false">VLOOKUP(DATOS_[[#This Row],[Edad]],CONTRATOS!TblRngEdad,2,1)</f>
        <v>20  o menos</v>
      </c>
      <c r="CO233" s="141" t="str">
        <f aca="false">VLOOKUP(DATOS_[[#This Row],[Antigüedad]],TblRngAntg14[],2,1)</f>
        <v>0 a 1 años</v>
      </c>
    </row>
    <row r="234" customFormat="false" ht="13.8" hidden="false" customHeight="false" outlineLevel="0" collapsed="false">
      <c r="D234" s="128"/>
      <c r="E234" s="129"/>
      <c r="F234" s="129"/>
      <c r="G234" s="129"/>
      <c r="H234" s="130"/>
      <c r="I234" s="131"/>
      <c r="J234" s="128"/>
      <c r="K234" s="132"/>
      <c r="L234" s="132"/>
      <c r="M234" s="133"/>
      <c r="N234" s="133"/>
      <c r="O234" s="133"/>
      <c r="P234" s="129"/>
      <c r="Z234" s="75"/>
      <c r="AA234" s="76"/>
      <c r="AB234" s="76"/>
      <c r="AC234" s="129"/>
      <c r="AD234" s="134"/>
      <c r="AE234" s="134"/>
      <c r="AF234" s="134"/>
      <c r="AG234" s="134"/>
      <c r="AH234" s="134"/>
      <c r="AI234" s="134"/>
      <c r="AJ234" s="134"/>
      <c r="AK234" s="134"/>
      <c r="AL234" s="134"/>
      <c r="AM234" s="134"/>
      <c r="AN234" s="134"/>
      <c r="AO234" s="134"/>
      <c r="AP234" s="134"/>
      <c r="AQ234" s="134"/>
      <c r="AR234" s="134"/>
      <c r="AS234" s="134"/>
      <c r="AT234" s="134"/>
      <c r="AU234" s="134"/>
      <c r="AV234" s="134"/>
      <c r="AW234" s="134"/>
      <c r="AX234" s="134"/>
      <c r="AY234" s="134"/>
      <c r="AZ234" s="134"/>
      <c r="BA234" s="134"/>
      <c r="BB234" s="134"/>
      <c r="BC234" s="134"/>
      <c r="BD234" s="134"/>
      <c r="BE234" s="134"/>
      <c r="BF234" s="134"/>
      <c r="BG234" s="134"/>
      <c r="BH234" s="134"/>
      <c r="BI234" s="134"/>
      <c r="BJ234" s="134"/>
      <c r="BK234" s="134"/>
      <c r="BL234" s="134"/>
      <c r="BM234" s="135"/>
      <c r="BN234" s="136" t="n">
        <f aca="false">+MAX($D$3,DATOS_[[#This Row],[Fecha Inicio Sit. Contract.]])</f>
        <v>0</v>
      </c>
      <c r="BO234" s="136" t="n">
        <f aca="false">+MIN($D$4,DATOS_[[#This Row],[Fecha Fin Sit. Contract.]])</f>
        <v>0</v>
      </c>
      <c r="BP234" s="137" t="n">
        <f aca="false">+DATOS_[[#This Row],[% de jornada]]*IF(DATOS_[[#This Row],[% jornada reducida]]="",1,DATOS_[[#This Row],[% jornada reducida]])</f>
        <v>0</v>
      </c>
      <c r="BQ234" s="137" t="n">
        <f aca="false">+(DATOS_[[#This Row],[F.fin.cal]]-DATOS_[[#This Row],[F.ini.cal]]+1)/($D$4-$D$3+1)</f>
        <v>1</v>
      </c>
      <c r="BR234" s="137" t="str">
        <f aca="false">IF(OR(AND(DATOS_[[#This Row],[Fecha Fin Contrato]]&lt;$D$3,DATOS_[[#This Row],[Fecha Fin Contrato]]&lt;&gt;""),DATOS_[[#This Row],[Fecha de Contratación]]&gt;$D$4),"Fuera","Dentro")</f>
        <v>Dentro</v>
      </c>
      <c r="BS234" s="137" t="str">
        <f aca="false" t="array" ref="BS234:BS234">IF(MAX(IF(DATOS_[id]=DATOS_[[#This Row],[id]],DATOS_[F.fin.cal]))=DATOS_[[#This Row],[F.fin.cal]],"Sí","NO")</f>
        <v>Sí</v>
      </c>
      <c r="BT234" s="137" t="str">
        <f aca="false">IF(AND(DATOS_[[#This Row],[% normaliz]]&lt;&gt;1,DATOS_[[#This Row],[% anualiz]]=1),"Sí","NO")</f>
        <v>Sí</v>
      </c>
      <c r="BU234" s="137" t="str">
        <f aca="false">IF(AND(DATOS_[[#This Row],[% normaliz]]=1,DATOS_[[#This Row],[% anualiz]]&lt;&gt;1),"Sí","NO")</f>
        <v>NO</v>
      </c>
      <c r="BV234" s="137" t="str">
        <f aca="false">IF(AND(DATOS_[[#This Row],[% normaliz]]&lt;&gt;1,DATOS_[[#This Row],[% anualiz]]&lt;&gt;1),"Sí","NO")</f>
        <v>NO</v>
      </c>
      <c r="BW234" s="137" t="str">
        <f aca="false">+IF(DATOS_[[#This Row],[% normaliz]]*DATOS_[[#This Row],[% anualiz]]=1,"NO","Sí")</f>
        <v>Sí</v>
      </c>
      <c r="BX234" s="138" t="e">
        <f aca="false">(DATOS_[[#This Row],[S.BASE]]*(1/DATOS_[[#This Row],[% normaliz]])*(1/DATOS_[[#This Row],[% anualiz]]))*IF(DATOS_[[#This Row],[Check Equiparado]]="Sí",1,0)</f>
        <v>#DIV/0!</v>
      </c>
      <c r="BY2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4" s="138" t="e">
        <f aca="false">+DATOS_[[#This Row],[SALARIO BASE Eq]]+DATOS_[[#This Row],[Tot COMPL.SAL Eq]]</f>
        <v>#DIV/0!</v>
      </c>
      <c r="CA234" s="138" t="e">
        <f aca="false" t="array" ref="CA234:CA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4" s="138" t="e">
        <f aca="false">+DATOS_[[#This Row],[TOTAL SALARIO Eq]]+DATOS_[[#This Row],[Tot Extrasalarial Eq]]</f>
        <v>#DIV/0!</v>
      </c>
      <c r="CC234" s="139" t="n">
        <f aca="false">DATOS_[[#This Row],[S.BASE]]</f>
        <v>0</v>
      </c>
      <c r="CD234" s="139" t="n">
        <f aca="false">+SUM(DATOS_[[#This Row],[Conc.Sal.01]:[Conc.Sal.30]])</f>
        <v>0</v>
      </c>
      <c r="CE234" s="139" t="n">
        <f aca="false">+DATOS_[[#This Row],[SALARIO BASE Ef]]+DATOS_[[#This Row],[Tot COMPL.SAL Ef]]</f>
        <v>0</v>
      </c>
      <c r="CF234" s="139" t="n">
        <f aca="false">+SUM(DATOS_[[#This Row],[C.Extra.01]:[C.Extra.05]])</f>
        <v>0</v>
      </c>
      <c r="CG234" s="139" t="n">
        <f aca="false">+DATOS_[[#This Row],[TOTAL SALARIO Ef]]+DATOS_[[#This Row],[Tot Extrasalarial Ef]]</f>
        <v>0</v>
      </c>
      <c r="CH234" s="140" t="n">
        <f aca="false">MIN(IF(DATOS_[[#This Row],[Fecha Fin Contrato]]="",$D$4,DATOS_[[#This Row],[Fecha Fin Contrato]]),$D$4)-MAX(DATOS_[[#This Row],[Fecha de Contratación]],$D$3)+1</f>
        <v>1</v>
      </c>
      <c r="CI234" s="141" t="str">
        <f aca="false">IF(COUNTIFS(DATOS_[id],DATOS_[[#This Row],[id]])&gt;1,DATOS_[[#This Row],[id]],"")</f>
        <v/>
      </c>
      <c r="CJ234" s="141" t="n">
        <f aca="false">(Inicio!$G$10-DATOS_[[#This Row],[Fecha Nacimiento]])/365.25</f>
        <v>0</v>
      </c>
      <c r="CK234" s="141" t="n">
        <f aca="false">(Inicio!$G$10-DATOS_[[#This Row],[Fecha de Antigüedad]])/365.25</f>
        <v>0</v>
      </c>
      <c r="CL234" s="141" t="e">
        <f aca="false">+VLOOKUP(DATOS_[[#This Row],[Clave de Contrato]],TblTiposContrato13[],3,0)</f>
        <v>#N/A</v>
      </c>
      <c r="CM234" s="141" t="e">
        <f aca="false">+VLOOKUP(DATOS_[[#This Row],[Clave de Contrato]],TblTiposContrato13[],4,0)</f>
        <v>#N/A</v>
      </c>
      <c r="CN234" s="141" t="str">
        <f aca="false">VLOOKUP(DATOS_[[#This Row],[Edad]],CONTRATOS!TblRngEdad,2,1)</f>
        <v>20  o menos</v>
      </c>
      <c r="CO234" s="141" t="str">
        <f aca="false">VLOOKUP(DATOS_[[#This Row],[Antigüedad]],TblRngAntg14[],2,1)</f>
        <v>0 a 1 años</v>
      </c>
    </row>
    <row r="235" customFormat="false" ht="13.8" hidden="false" customHeight="false" outlineLevel="0" collapsed="false">
      <c r="D235" s="128"/>
      <c r="E235" s="129"/>
      <c r="F235" s="129"/>
      <c r="G235" s="129"/>
      <c r="H235" s="130"/>
      <c r="I235" s="131"/>
      <c r="J235" s="128"/>
      <c r="K235" s="132"/>
      <c r="L235" s="132"/>
      <c r="M235" s="133"/>
      <c r="N235" s="133"/>
      <c r="O235" s="133"/>
      <c r="P235" s="129"/>
      <c r="Z235" s="75"/>
      <c r="AA235" s="76"/>
      <c r="AB235" s="76"/>
      <c r="AC235" s="129"/>
      <c r="AD235" s="134"/>
      <c r="AE235" s="134"/>
      <c r="AF235" s="134"/>
      <c r="AG235" s="134"/>
      <c r="AH235" s="134"/>
      <c r="AI235" s="134"/>
      <c r="AJ235" s="134"/>
      <c r="AK235" s="134"/>
      <c r="AL235" s="134"/>
      <c r="AM235" s="134"/>
      <c r="AN235" s="134"/>
      <c r="AO235" s="134"/>
      <c r="AP235" s="134"/>
      <c r="AQ235" s="134"/>
      <c r="AR235" s="134"/>
      <c r="AS235" s="134"/>
      <c r="AT235" s="134"/>
      <c r="AU235" s="134"/>
      <c r="AV235" s="134"/>
      <c r="AW235" s="134"/>
      <c r="AX235" s="134"/>
      <c r="AY235" s="134"/>
      <c r="AZ235" s="134"/>
      <c r="BA235" s="134"/>
      <c r="BB235" s="134"/>
      <c r="BC235" s="134"/>
      <c r="BD235" s="134"/>
      <c r="BE235" s="134"/>
      <c r="BF235" s="134"/>
      <c r="BG235" s="134"/>
      <c r="BH235" s="134"/>
      <c r="BI235" s="134"/>
      <c r="BJ235" s="134"/>
      <c r="BK235" s="134"/>
      <c r="BL235" s="134"/>
      <c r="BM235" s="135"/>
      <c r="BN235" s="136" t="n">
        <f aca="false">+MAX($D$3,DATOS_[[#This Row],[Fecha Inicio Sit. Contract.]])</f>
        <v>0</v>
      </c>
      <c r="BO235" s="136" t="n">
        <f aca="false">+MIN($D$4,DATOS_[[#This Row],[Fecha Fin Sit. Contract.]])</f>
        <v>0</v>
      </c>
      <c r="BP235" s="137" t="n">
        <f aca="false">+DATOS_[[#This Row],[% de jornada]]*IF(DATOS_[[#This Row],[% jornada reducida]]="",1,DATOS_[[#This Row],[% jornada reducida]])</f>
        <v>0</v>
      </c>
      <c r="BQ235" s="137" t="n">
        <f aca="false">+(DATOS_[[#This Row],[F.fin.cal]]-DATOS_[[#This Row],[F.ini.cal]]+1)/($D$4-$D$3+1)</f>
        <v>1</v>
      </c>
      <c r="BR235" s="137" t="str">
        <f aca="false">IF(OR(AND(DATOS_[[#This Row],[Fecha Fin Contrato]]&lt;$D$3,DATOS_[[#This Row],[Fecha Fin Contrato]]&lt;&gt;""),DATOS_[[#This Row],[Fecha de Contratación]]&gt;$D$4),"Fuera","Dentro")</f>
        <v>Dentro</v>
      </c>
      <c r="BS235" s="137" t="str">
        <f aca="false" t="array" ref="BS235:BS235">IF(MAX(IF(DATOS_[id]=DATOS_[[#This Row],[id]],DATOS_[F.fin.cal]))=DATOS_[[#This Row],[F.fin.cal]],"Sí","NO")</f>
        <v>Sí</v>
      </c>
      <c r="BT235" s="137" t="str">
        <f aca="false">IF(AND(DATOS_[[#This Row],[% normaliz]]&lt;&gt;1,DATOS_[[#This Row],[% anualiz]]=1),"Sí","NO")</f>
        <v>Sí</v>
      </c>
      <c r="BU235" s="137" t="str">
        <f aca="false">IF(AND(DATOS_[[#This Row],[% normaliz]]=1,DATOS_[[#This Row],[% anualiz]]&lt;&gt;1),"Sí","NO")</f>
        <v>NO</v>
      </c>
      <c r="BV235" s="137" t="str">
        <f aca="false">IF(AND(DATOS_[[#This Row],[% normaliz]]&lt;&gt;1,DATOS_[[#This Row],[% anualiz]]&lt;&gt;1),"Sí","NO")</f>
        <v>NO</v>
      </c>
      <c r="BW235" s="137" t="str">
        <f aca="false">+IF(DATOS_[[#This Row],[% normaliz]]*DATOS_[[#This Row],[% anualiz]]=1,"NO","Sí")</f>
        <v>Sí</v>
      </c>
      <c r="BX235" s="138" t="e">
        <f aca="false">(DATOS_[[#This Row],[S.BASE]]*(1/DATOS_[[#This Row],[% normaliz]])*(1/DATOS_[[#This Row],[% anualiz]]))*IF(DATOS_[[#This Row],[Check Equiparado]]="Sí",1,0)</f>
        <v>#DIV/0!</v>
      </c>
      <c r="BY2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5" s="138" t="e">
        <f aca="false">+DATOS_[[#This Row],[SALARIO BASE Eq]]+DATOS_[[#This Row],[Tot COMPL.SAL Eq]]</f>
        <v>#DIV/0!</v>
      </c>
      <c r="CA235" s="138" t="e">
        <f aca="false" t="array" ref="CA235:CA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5" s="138" t="e">
        <f aca="false">+DATOS_[[#This Row],[TOTAL SALARIO Eq]]+DATOS_[[#This Row],[Tot Extrasalarial Eq]]</f>
        <v>#DIV/0!</v>
      </c>
      <c r="CC235" s="139" t="n">
        <f aca="false">DATOS_[[#This Row],[S.BASE]]</f>
        <v>0</v>
      </c>
      <c r="CD235" s="139" t="n">
        <f aca="false">+SUM(DATOS_[[#This Row],[Conc.Sal.01]:[Conc.Sal.30]])</f>
        <v>0</v>
      </c>
      <c r="CE235" s="139" t="n">
        <f aca="false">+DATOS_[[#This Row],[SALARIO BASE Ef]]+DATOS_[[#This Row],[Tot COMPL.SAL Ef]]</f>
        <v>0</v>
      </c>
      <c r="CF235" s="139" t="n">
        <f aca="false">+SUM(DATOS_[[#This Row],[C.Extra.01]:[C.Extra.05]])</f>
        <v>0</v>
      </c>
      <c r="CG235" s="139" t="n">
        <f aca="false">+DATOS_[[#This Row],[TOTAL SALARIO Ef]]+DATOS_[[#This Row],[Tot Extrasalarial Ef]]</f>
        <v>0</v>
      </c>
      <c r="CH235" s="140" t="n">
        <f aca="false">MIN(IF(DATOS_[[#This Row],[Fecha Fin Contrato]]="",$D$4,DATOS_[[#This Row],[Fecha Fin Contrato]]),$D$4)-MAX(DATOS_[[#This Row],[Fecha de Contratación]],$D$3)+1</f>
        <v>1</v>
      </c>
      <c r="CI235" s="141" t="str">
        <f aca="false">IF(COUNTIFS(DATOS_[id],DATOS_[[#This Row],[id]])&gt;1,DATOS_[[#This Row],[id]],"")</f>
        <v/>
      </c>
      <c r="CJ235" s="141" t="n">
        <f aca="false">(Inicio!$G$10-DATOS_[[#This Row],[Fecha Nacimiento]])/365.25</f>
        <v>0</v>
      </c>
      <c r="CK235" s="141" t="n">
        <f aca="false">(Inicio!$G$10-DATOS_[[#This Row],[Fecha de Antigüedad]])/365.25</f>
        <v>0</v>
      </c>
      <c r="CL235" s="141" t="e">
        <f aca="false">+VLOOKUP(DATOS_[[#This Row],[Clave de Contrato]],TblTiposContrato13[],3,0)</f>
        <v>#N/A</v>
      </c>
      <c r="CM235" s="141" t="e">
        <f aca="false">+VLOOKUP(DATOS_[[#This Row],[Clave de Contrato]],TblTiposContrato13[],4,0)</f>
        <v>#N/A</v>
      </c>
      <c r="CN235" s="141" t="str">
        <f aca="false">VLOOKUP(DATOS_[[#This Row],[Edad]],CONTRATOS!TblRngEdad,2,1)</f>
        <v>20  o menos</v>
      </c>
      <c r="CO235" s="141" t="str">
        <f aca="false">VLOOKUP(DATOS_[[#This Row],[Antigüedad]],TblRngAntg14[],2,1)</f>
        <v>0 a 1 años</v>
      </c>
    </row>
    <row r="236" customFormat="false" ht="13.8" hidden="false" customHeight="false" outlineLevel="0" collapsed="false">
      <c r="D236" s="128"/>
      <c r="E236" s="129"/>
      <c r="F236" s="129"/>
      <c r="G236" s="129"/>
      <c r="H236" s="130"/>
      <c r="I236" s="131"/>
      <c r="J236" s="128"/>
      <c r="K236" s="132"/>
      <c r="L236" s="132"/>
      <c r="M236" s="133"/>
      <c r="N236" s="133"/>
      <c r="O236" s="133"/>
      <c r="P236" s="129"/>
      <c r="Z236" s="75"/>
      <c r="AA236" s="76"/>
      <c r="AB236" s="76"/>
      <c r="AC236" s="129"/>
      <c r="AD236" s="134"/>
      <c r="AE236" s="134"/>
      <c r="AF236" s="134"/>
      <c r="AG236" s="134"/>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134"/>
      <c r="BD236" s="134"/>
      <c r="BE236" s="134"/>
      <c r="BF236" s="134"/>
      <c r="BG236" s="134"/>
      <c r="BH236" s="134"/>
      <c r="BI236" s="134"/>
      <c r="BJ236" s="134"/>
      <c r="BK236" s="134"/>
      <c r="BL236" s="134"/>
      <c r="BM236" s="135"/>
      <c r="BN236" s="136" t="n">
        <f aca="false">+MAX($D$3,DATOS_[[#This Row],[Fecha Inicio Sit. Contract.]])</f>
        <v>0</v>
      </c>
      <c r="BO236" s="136" t="n">
        <f aca="false">+MIN($D$4,DATOS_[[#This Row],[Fecha Fin Sit. Contract.]])</f>
        <v>0</v>
      </c>
      <c r="BP236" s="137" t="n">
        <f aca="false">+DATOS_[[#This Row],[% de jornada]]*IF(DATOS_[[#This Row],[% jornada reducida]]="",1,DATOS_[[#This Row],[% jornada reducida]])</f>
        <v>0</v>
      </c>
      <c r="BQ236" s="137" t="n">
        <f aca="false">+(DATOS_[[#This Row],[F.fin.cal]]-DATOS_[[#This Row],[F.ini.cal]]+1)/($D$4-$D$3+1)</f>
        <v>1</v>
      </c>
      <c r="BR236" s="137" t="str">
        <f aca="false">IF(OR(AND(DATOS_[[#This Row],[Fecha Fin Contrato]]&lt;$D$3,DATOS_[[#This Row],[Fecha Fin Contrato]]&lt;&gt;""),DATOS_[[#This Row],[Fecha de Contratación]]&gt;$D$4),"Fuera","Dentro")</f>
        <v>Dentro</v>
      </c>
      <c r="BS236" s="137" t="str">
        <f aca="false" t="array" ref="BS236:BS236">IF(MAX(IF(DATOS_[id]=DATOS_[[#This Row],[id]],DATOS_[F.fin.cal]))=DATOS_[[#This Row],[F.fin.cal]],"Sí","NO")</f>
        <v>Sí</v>
      </c>
      <c r="BT236" s="137" t="str">
        <f aca="false">IF(AND(DATOS_[[#This Row],[% normaliz]]&lt;&gt;1,DATOS_[[#This Row],[% anualiz]]=1),"Sí","NO")</f>
        <v>Sí</v>
      </c>
      <c r="BU236" s="137" t="str">
        <f aca="false">IF(AND(DATOS_[[#This Row],[% normaliz]]=1,DATOS_[[#This Row],[% anualiz]]&lt;&gt;1),"Sí","NO")</f>
        <v>NO</v>
      </c>
      <c r="BV236" s="137" t="str">
        <f aca="false">IF(AND(DATOS_[[#This Row],[% normaliz]]&lt;&gt;1,DATOS_[[#This Row],[% anualiz]]&lt;&gt;1),"Sí","NO")</f>
        <v>NO</v>
      </c>
      <c r="BW236" s="137" t="str">
        <f aca="false">+IF(DATOS_[[#This Row],[% normaliz]]*DATOS_[[#This Row],[% anualiz]]=1,"NO","Sí")</f>
        <v>Sí</v>
      </c>
      <c r="BX236" s="138" t="e">
        <f aca="false">(DATOS_[[#This Row],[S.BASE]]*(1/DATOS_[[#This Row],[% normaliz]])*(1/DATOS_[[#This Row],[% anualiz]]))*IF(DATOS_[[#This Row],[Check Equiparado]]="Sí",1,0)</f>
        <v>#DIV/0!</v>
      </c>
      <c r="BY2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6" s="138" t="e">
        <f aca="false">+DATOS_[[#This Row],[SALARIO BASE Eq]]+DATOS_[[#This Row],[Tot COMPL.SAL Eq]]</f>
        <v>#DIV/0!</v>
      </c>
      <c r="CA236" s="138" t="e">
        <f aca="false" t="array" ref="CA236:CA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6" s="138" t="e">
        <f aca="false">+DATOS_[[#This Row],[TOTAL SALARIO Eq]]+DATOS_[[#This Row],[Tot Extrasalarial Eq]]</f>
        <v>#DIV/0!</v>
      </c>
      <c r="CC236" s="139" t="n">
        <f aca="false">DATOS_[[#This Row],[S.BASE]]</f>
        <v>0</v>
      </c>
      <c r="CD236" s="139" t="n">
        <f aca="false">+SUM(DATOS_[[#This Row],[Conc.Sal.01]:[Conc.Sal.30]])</f>
        <v>0</v>
      </c>
      <c r="CE236" s="139" t="n">
        <f aca="false">+DATOS_[[#This Row],[SALARIO BASE Ef]]+DATOS_[[#This Row],[Tot COMPL.SAL Ef]]</f>
        <v>0</v>
      </c>
      <c r="CF236" s="139" t="n">
        <f aca="false">+SUM(DATOS_[[#This Row],[C.Extra.01]:[C.Extra.05]])</f>
        <v>0</v>
      </c>
      <c r="CG236" s="139" t="n">
        <f aca="false">+DATOS_[[#This Row],[TOTAL SALARIO Ef]]+DATOS_[[#This Row],[Tot Extrasalarial Ef]]</f>
        <v>0</v>
      </c>
      <c r="CH236" s="140" t="n">
        <f aca="false">MIN(IF(DATOS_[[#This Row],[Fecha Fin Contrato]]="",$D$4,DATOS_[[#This Row],[Fecha Fin Contrato]]),$D$4)-MAX(DATOS_[[#This Row],[Fecha de Contratación]],$D$3)+1</f>
        <v>1</v>
      </c>
      <c r="CI236" s="141" t="str">
        <f aca="false">IF(COUNTIFS(DATOS_[id],DATOS_[[#This Row],[id]])&gt;1,DATOS_[[#This Row],[id]],"")</f>
        <v/>
      </c>
      <c r="CJ236" s="141" t="n">
        <f aca="false">(Inicio!$G$10-DATOS_[[#This Row],[Fecha Nacimiento]])/365.25</f>
        <v>0</v>
      </c>
      <c r="CK236" s="141" t="n">
        <f aca="false">(Inicio!$G$10-DATOS_[[#This Row],[Fecha de Antigüedad]])/365.25</f>
        <v>0</v>
      </c>
      <c r="CL236" s="141" t="e">
        <f aca="false">+VLOOKUP(DATOS_[[#This Row],[Clave de Contrato]],TblTiposContrato13[],3,0)</f>
        <v>#N/A</v>
      </c>
      <c r="CM236" s="141" t="e">
        <f aca="false">+VLOOKUP(DATOS_[[#This Row],[Clave de Contrato]],TblTiposContrato13[],4,0)</f>
        <v>#N/A</v>
      </c>
      <c r="CN236" s="141" t="str">
        <f aca="false">VLOOKUP(DATOS_[[#This Row],[Edad]],CONTRATOS!TblRngEdad,2,1)</f>
        <v>20  o menos</v>
      </c>
      <c r="CO236" s="141" t="str">
        <f aca="false">VLOOKUP(DATOS_[[#This Row],[Antigüedad]],TblRngAntg14[],2,1)</f>
        <v>0 a 1 años</v>
      </c>
    </row>
    <row r="237" customFormat="false" ht="13.8" hidden="false" customHeight="false" outlineLevel="0" collapsed="false">
      <c r="D237" s="128"/>
      <c r="E237" s="129"/>
      <c r="F237" s="129"/>
      <c r="G237" s="129"/>
      <c r="H237" s="130"/>
      <c r="I237" s="131"/>
      <c r="J237" s="128"/>
      <c r="K237" s="132"/>
      <c r="L237" s="132"/>
      <c r="M237" s="133"/>
      <c r="N237" s="133"/>
      <c r="O237" s="133"/>
      <c r="P237" s="129"/>
      <c r="Z237" s="75"/>
      <c r="AA237" s="76"/>
      <c r="AB237" s="76"/>
      <c r="AC237" s="129"/>
      <c r="AD237" s="134"/>
      <c r="AE237" s="134"/>
      <c r="AF237" s="134"/>
      <c r="AG237" s="134"/>
      <c r="AH237" s="134"/>
      <c r="AI237" s="134"/>
      <c r="AJ237" s="134"/>
      <c r="AK237" s="134"/>
      <c r="AL237" s="134"/>
      <c r="AM237" s="134"/>
      <c r="AN237" s="134"/>
      <c r="AO237" s="134"/>
      <c r="AP237" s="134"/>
      <c r="AQ237" s="134"/>
      <c r="AR237" s="134"/>
      <c r="AS237" s="134"/>
      <c r="AT237" s="134"/>
      <c r="AU237" s="134"/>
      <c r="AV237" s="134"/>
      <c r="AW237" s="134"/>
      <c r="AX237" s="134"/>
      <c r="AY237" s="134"/>
      <c r="AZ237" s="134"/>
      <c r="BA237" s="134"/>
      <c r="BB237" s="134"/>
      <c r="BC237" s="134"/>
      <c r="BD237" s="134"/>
      <c r="BE237" s="134"/>
      <c r="BF237" s="134"/>
      <c r="BG237" s="134"/>
      <c r="BH237" s="134"/>
      <c r="BI237" s="134"/>
      <c r="BJ237" s="134"/>
      <c r="BK237" s="134"/>
      <c r="BL237" s="134"/>
      <c r="BM237" s="135"/>
      <c r="BN237" s="136" t="n">
        <f aca="false">+MAX($D$3,DATOS_[[#This Row],[Fecha Inicio Sit. Contract.]])</f>
        <v>0</v>
      </c>
      <c r="BO237" s="136" t="n">
        <f aca="false">+MIN($D$4,DATOS_[[#This Row],[Fecha Fin Sit. Contract.]])</f>
        <v>0</v>
      </c>
      <c r="BP237" s="137" t="n">
        <f aca="false">+DATOS_[[#This Row],[% de jornada]]*IF(DATOS_[[#This Row],[% jornada reducida]]="",1,DATOS_[[#This Row],[% jornada reducida]])</f>
        <v>0</v>
      </c>
      <c r="BQ237" s="137" t="n">
        <f aca="false">+(DATOS_[[#This Row],[F.fin.cal]]-DATOS_[[#This Row],[F.ini.cal]]+1)/($D$4-$D$3+1)</f>
        <v>1</v>
      </c>
      <c r="BR237" s="137" t="str">
        <f aca="false">IF(OR(AND(DATOS_[[#This Row],[Fecha Fin Contrato]]&lt;$D$3,DATOS_[[#This Row],[Fecha Fin Contrato]]&lt;&gt;""),DATOS_[[#This Row],[Fecha de Contratación]]&gt;$D$4),"Fuera","Dentro")</f>
        <v>Dentro</v>
      </c>
      <c r="BS237" s="137" t="str">
        <f aca="false" t="array" ref="BS237:BS237">IF(MAX(IF(DATOS_[id]=DATOS_[[#This Row],[id]],DATOS_[F.fin.cal]))=DATOS_[[#This Row],[F.fin.cal]],"Sí","NO")</f>
        <v>Sí</v>
      </c>
      <c r="BT237" s="137" t="str">
        <f aca="false">IF(AND(DATOS_[[#This Row],[% normaliz]]&lt;&gt;1,DATOS_[[#This Row],[% anualiz]]=1),"Sí","NO")</f>
        <v>Sí</v>
      </c>
      <c r="BU237" s="137" t="str">
        <f aca="false">IF(AND(DATOS_[[#This Row],[% normaliz]]=1,DATOS_[[#This Row],[% anualiz]]&lt;&gt;1),"Sí","NO")</f>
        <v>NO</v>
      </c>
      <c r="BV237" s="137" t="str">
        <f aca="false">IF(AND(DATOS_[[#This Row],[% normaliz]]&lt;&gt;1,DATOS_[[#This Row],[% anualiz]]&lt;&gt;1),"Sí","NO")</f>
        <v>NO</v>
      </c>
      <c r="BW237" s="137" t="str">
        <f aca="false">+IF(DATOS_[[#This Row],[% normaliz]]*DATOS_[[#This Row],[% anualiz]]=1,"NO","Sí")</f>
        <v>Sí</v>
      </c>
      <c r="BX237" s="138" t="e">
        <f aca="false">(DATOS_[[#This Row],[S.BASE]]*(1/DATOS_[[#This Row],[% normaliz]])*(1/DATOS_[[#This Row],[% anualiz]]))*IF(DATOS_[[#This Row],[Check Equiparado]]="Sí",1,0)</f>
        <v>#DIV/0!</v>
      </c>
      <c r="BY2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7" s="138" t="e">
        <f aca="false">+DATOS_[[#This Row],[SALARIO BASE Eq]]+DATOS_[[#This Row],[Tot COMPL.SAL Eq]]</f>
        <v>#DIV/0!</v>
      </c>
      <c r="CA237" s="138" t="e">
        <f aca="false" t="array" ref="CA237:CA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7" s="138" t="e">
        <f aca="false">+DATOS_[[#This Row],[TOTAL SALARIO Eq]]+DATOS_[[#This Row],[Tot Extrasalarial Eq]]</f>
        <v>#DIV/0!</v>
      </c>
      <c r="CC237" s="139" t="n">
        <f aca="false">DATOS_[[#This Row],[S.BASE]]</f>
        <v>0</v>
      </c>
      <c r="CD237" s="139" t="n">
        <f aca="false">+SUM(DATOS_[[#This Row],[Conc.Sal.01]:[Conc.Sal.30]])</f>
        <v>0</v>
      </c>
      <c r="CE237" s="139" t="n">
        <f aca="false">+DATOS_[[#This Row],[SALARIO BASE Ef]]+DATOS_[[#This Row],[Tot COMPL.SAL Ef]]</f>
        <v>0</v>
      </c>
      <c r="CF237" s="139" t="n">
        <f aca="false">+SUM(DATOS_[[#This Row],[C.Extra.01]:[C.Extra.05]])</f>
        <v>0</v>
      </c>
      <c r="CG237" s="139" t="n">
        <f aca="false">+DATOS_[[#This Row],[TOTAL SALARIO Ef]]+DATOS_[[#This Row],[Tot Extrasalarial Ef]]</f>
        <v>0</v>
      </c>
      <c r="CH237" s="140" t="n">
        <f aca="false">MIN(IF(DATOS_[[#This Row],[Fecha Fin Contrato]]="",$D$4,DATOS_[[#This Row],[Fecha Fin Contrato]]),$D$4)-MAX(DATOS_[[#This Row],[Fecha de Contratación]],$D$3)+1</f>
        <v>1</v>
      </c>
      <c r="CI237" s="141" t="str">
        <f aca="false">IF(COUNTIFS(DATOS_[id],DATOS_[[#This Row],[id]])&gt;1,DATOS_[[#This Row],[id]],"")</f>
        <v/>
      </c>
      <c r="CJ237" s="141" t="n">
        <f aca="false">(Inicio!$G$10-DATOS_[[#This Row],[Fecha Nacimiento]])/365.25</f>
        <v>0</v>
      </c>
      <c r="CK237" s="141" t="n">
        <f aca="false">(Inicio!$G$10-DATOS_[[#This Row],[Fecha de Antigüedad]])/365.25</f>
        <v>0</v>
      </c>
      <c r="CL237" s="141" t="e">
        <f aca="false">+VLOOKUP(DATOS_[[#This Row],[Clave de Contrato]],TblTiposContrato13[],3,0)</f>
        <v>#N/A</v>
      </c>
      <c r="CM237" s="141" t="e">
        <f aca="false">+VLOOKUP(DATOS_[[#This Row],[Clave de Contrato]],TblTiposContrato13[],4,0)</f>
        <v>#N/A</v>
      </c>
      <c r="CN237" s="141" t="str">
        <f aca="false">VLOOKUP(DATOS_[[#This Row],[Edad]],CONTRATOS!TblRngEdad,2,1)</f>
        <v>20  o menos</v>
      </c>
      <c r="CO237" s="141" t="str">
        <f aca="false">VLOOKUP(DATOS_[[#This Row],[Antigüedad]],TblRngAntg14[],2,1)</f>
        <v>0 a 1 años</v>
      </c>
    </row>
    <row r="238" customFormat="false" ht="13.8" hidden="false" customHeight="false" outlineLevel="0" collapsed="false">
      <c r="D238" s="128"/>
      <c r="E238" s="129"/>
      <c r="F238" s="129"/>
      <c r="G238" s="129"/>
      <c r="H238" s="130"/>
      <c r="I238" s="131"/>
      <c r="J238" s="128"/>
      <c r="K238" s="132"/>
      <c r="L238" s="132"/>
      <c r="M238" s="133"/>
      <c r="N238" s="133"/>
      <c r="O238" s="133"/>
      <c r="P238" s="129"/>
      <c r="Z238" s="75"/>
      <c r="AA238" s="76"/>
      <c r="AB238" s="76"/>
      <c r="AC238" s="129"/>
      <c r="AD238" s="134"/>
      <c r="AE238" s="134"/>
      <c r="AF238" s="134"/>
      <c r="AG238" s="134"/>
      <c r="AH238" s="134"/>
      <c r="AI238" s="134"/>
      <c r="AJ238" s="134"/>
      <c r="AK238" s="134"/>
      <c r="AL238" s="134"/>
      <c r="AM238" s="134"/>
      <c r="AN238" s="134"/>
      <c r="AO238" s="134"/>
      <c r="AP238" s="134"/>
      <c r="AQ238" s="134"/>
      <c r="AR238" s="134"/>
      <c r="AS238" s="134"/>
      <c r="AT238" s="134"/>
      <c r="AU238" s="134"/>
      <c r="AV238" s="134"/>
      <c r="AW238" s="134"/>
      <c r="AX238" s="134"/>
      <c r="AY238" s="134"/>
      <c r="AZ238" s="134"/>
      <c r="BA238" s="134"/>
      <c r="BB238" s="134"/>
      <c r="BC238" s="134"/>
      <c r="BD238" s="134"/>
      <c r="BE238" s="134"/>
      <c r="BF238" s="134"/>
      <c r="BG238" s="134"/>
      <c r="BH238" s="134"/>
      <c r="BI238" s="134"/>
      <c r="BJ238" s="134"/>
      <c r="BK238" s="134"/>
      <c r="BL238" s="134"/>
      <c r="BM238" s="135"/>
      <c r="BN238" s="136" t="n">
        <f aca="false">+MAX($D$3,DATOS_[[#This Row],[Fecha Inicio Sit. Contract.]])</f>
        <v>0</v>
      </c>
      <c r="BO238" s="136" t="n">
        <f aca="false">+MIN($D$4,DATOS_[[#This Row],[Fecha Fin Sit. Contract.]])</f>
        <v>0</v>
      </c>
      <c r="BP238" s="137" t="n">
        <f aca="false">+DATOS_[[#This Row],[% de jornada]]*IF(DATOS_[[#This Row],[% jornada reducida]]="",1,DATOS_[[#This Row],[% jornada reducida]])</f>
        <v>0</v>
      </c>
      <c r="BQ238" s="137" t="n">
        <f aca="false">+(DATOS_[[#This Row],[F.fin.cal]]-DATOS_[[#This Row],[F.ini.cal]]+1)/($D$4-$D$3+1)</f>
        <v>1</v>
      </c>
      <c r="BR238" s="137" t="str">
        <f aca="false">IF(OR(AND(DATOS_[[#This Row],[Fecha Fin Contrato]]&lt;$D$3,DATOS_[[#This Row],[Fecha Fin Contrato]]&lt;&gt;""),DATOS_[[#This Row],[Fecha de Contratación]]&gt;$D$4),"Fuera","Dentro")</f>
        <v>Dentro</v>
      </c>
      <c r="BS238" s="137" t="str">
        <f aca="false" t="array" ref="BS238:BS238">IF(MAX(IF(DATOS_[id]=DATOS_[[#This Row],[id]],DATOS_[F.fin.cal]))=DATOS_[[#This Row],[F.fin.cal]],"Sí","NO")</f>
        <v>Sí</v>
      </c>
      <c r="BT238" s="137" t="str">
        <f aca="false">IF(AND(DATOS_[[#This Row],[% normaliz]]&lt;&gt;1,DATOS_[[#This Row],[% anualiz]]=1),"Sí","NO")</f>
        <v>Sí</v>
      </c>
      <c r="BU238" s="137" t="str">
        <f aca="false">IF(AND(DATOS_[[#This Row],[% normaliz]]=1,DATOS_[[#This Row],[% anualiz]]&lt;&gt;1),"Sí","NO")</f>
        <v>NO</v>
      </c>
      <c r="BV238" s="137" t="str">
        <f aca="false">IF(AND(DATOS_[[#This Row],[% normaliz]]&lt;&gt;1,DATOS_[[#This Row],[% anualiz]]&lt;&gt;1),"Sí","NO")</f>
        <v>NO</v>
      </c>
      <c r="BW238" s="137" t="str">
        <f aca="false">+IF(DATOS_[[#This Row],[% normaliz]]*DATOS_[[#This Row],[% anualiz]]=1,"NO","Sí")</f>
        <v>Sí</v>
      </c>
      <c r="BX238" s="138" t="e">
        <f aca="false">(DATOS_[[#This Row],[S.BASE]]*(1/DATOS_[[#This Row],[% normaliz]])*(1/DATOS_[[#This Row],[% anualiz]]))*IF(DATOS_[[#This Row],[Check Equiparado]]="Sí",1,0)</f>
        <v>#DIV/0!</v>
      </c>
      <c r="BY2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8" s="138" t="e">
        <f aca="false">+DATOS_[[#This Row],[SALARIO BASE Eq]]+DATOS_[[#This Row],[Tot COMPL.SAL Eq]]</f>
        <v>#DIV/0!</v>
      </c>
      <c r="CA238" s="138" t="e">
        <f aca="false" t="array" ref="CA238:CA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8" s="138" t="e">
        <f aca="false">+DATOS_[[#This Row],[TOTAL SALARIO Eq]]+DATOS_[[#This Row],[Tot Extrasalarial Eq]]</f>
        <v>#DIV/0!</v>
      </c>
      <c r="CC238" s="139" t="n">
        <f aca="false">DATOS_[[#This Row],[S.BASE]]</f>
        <v>0</v>
      </c>
      <c r="CD238" s="139" t="n">
        <f aca="false">+SUM(DATOS_[[#This Row],[Conc.Sal.01]:[Conc.Sal.30]])</f>
        <v>0</v>
      </c>
      <c r="CE238" s="139" t="n">
        <f aca="false">+DATOS_[[#This Row],[SALARIO BASE Ef]]+DATOS_[[#This Row],[Tot COMPL.SAL Ef]]</f>
        <v>0</v>
      </c>
      <c r="CF238" s="139" t="n">
        <f aca="false">+SUM(DATOS_[[#This Row],[C.Extra.01]:[C.Extra.05]])</f>
        <v>0</v>
      </c>
      <c r="CG238" s="139" t="n">
        <f aca="false">+DATOS_[[#This Row],[TOTAL SALARIO Ef]]+DATOS_[[#This Row],[Tot Extrasalarial Ef]]</f>
        <v>0</v>
      </c>
      <c r="CH238" s="140" t="n">
        <f aca="false">MIN(IF(DATOS_[[#This Row],[Fecha Fin Contrato]]="",$D$4,DATOS_[[#This Row],[Fecha Fin Contrato]]),$D$4)-MAX(DATOS_[[#This Row],[Fecha de Contratación]],$D$3)+1</f>
        <v>1</v>
      </c>
      <c r="CI238" s="141" t="str">
        <f aca="false">IF(COUNTIFS(DATOS_[id],DATOS_[[#This Row],[id]])&gt;1,DATOS_[[#This Row],[id]],"")</f>
        <v/>
      </c>
      <c r="CJ238" s="141" t="n">
        <f aca="false">(Inicio!$G$10-DATOS_[[#This Row],[Fecha Nacimiento]])/365.25</f>
        <v>0</v>
      </c>
      <c r="CK238" s="141" t="n">
        <f aca="false">(Inicio!$G$10-DATOS_[[#This Row],[Fecha de Antigüedad]])/365.25</f>
        <v>0</v>
      </c>
      <c r="CL238" s="141" t="e">
        <f aca="false">+VLOOKUP(DATOS_[[#This Row],[Clave de Contrato]],TblTiposContrato13[],3,0)</f>
        <v>#N/A</v>
      </c>
      <c r="CM238" s="141" t="e">
        <f aca="false">+VLOOKUP(DATOS_[[#This Row],[Clave de Contrato]],TblTiposContrato13[],4,0)</f>
        <v>#N/A</v>
      </c>
      <c r="CN238" s="141" t="str">
        <f aca="false">VLOOKUP(DATOS_[[#This Row],[Edad]],CONTRATOS!TblRngEdad,2,1)</f>
        <v>20  o menos</v>
      </c>
      <c r="CO238" s="141" t="str">
        <f aca="false">VLOOKUP(DATOS_[[#This Row],[Antigüedad]],TblRngAntg14[],2,1)</f>
        <v>0 a 1 años</v>
      </c>
    </row>
    <row r="239" customFormat="false" ht="13.8" hidden="false" customHeight="false" outlineLevel="0" collapsed="false">
      <c r="D239" s="128"/>
      <c r="E239" s="129"/>
      <c r="F239" s="129"/>
      <c r="G239" s="129"/>
      <c r="H239" s="130"/>
      <c r="I239" s="131"/>
      <c r="J239" s="128"/>
      <c r="K239" s="132"/>
      <c r="L239" s="132"/>
      <c r="M239" s="133"/>
      <c r="N239" s="133"/>
      <c r="O239" s="133"/>
      <c r="P239" s="129"/>
      <c r="Z239" s="75"/>
      <c r="AA239" s="76"/>
      <c r="AB239" s="76"/>
      <c r="AC239" s="129"/>
      <c r="AD239" s="134"/>
      <c r="AE239" s="134"/>
      <c r="AF239" s="134"/>
      <c r="AG239" s="134"/>
      <c r="AH239" s="134"/>
      <c r="AI239" s="134"/>
      <c r="AJ239" s="134"/>
      <c r="AK239" s="134"/>
      <c r="AL239" s="134"/>
      <c r="AM239" s="134"/>
      <c r="AN239" s="134"/>
      <c r="AO239" s="134"/>
      <c r="AP239" s="134"/>
      <c r="AQ239" s="134"/>
      <c r="AR239" s="134"/>
      <c r="AS239" s="134"/>
      <c r="AT239" s="134"/>
      <c r="AU239" s="134"/>
      <c r="AV239" s="134"/>
      <c r="AW239" s="134"/>
      <c r="AX239" s="134"/>
      <c r="AY239" s="134"/>
      <c r="AZ239" s="134"/>
      <c r="BA239" s="134"/>
      <c r="BB239" s="134"/>
      <c r="BC239" s="134"/>
      <c r="BD239" s="134"/>
      <c r="BE239" s="134"/>
      <c r="BF239" s="134"/>
      <c r="BG239" s="134"/>
      <c r="BH239" s="134"/>
      <c r="BI239" s="134"/>
      <c r="BJ239" s="134"/>
      <c r="BK239" s="134"/>
      <c r="BL239" s="134"/>
      <c r="BM239" s="135"/>
      <c r="BN239" s="136" t="n">
        <f aca="false">+MAX($D$3,DATOS_[[#This Row],[Fecha Inicio Sit. Contract.]])</f>
        <v>0</v>
      </c>
      <c r="BO239" s="136" t="n">
        <f aca="false">+MIN($D$4,DATOS_[[#This Row],[Fecha Fin Sit. Contract.]])</f>
        <v>0</v>
      </c>
      <c r="BP239" s="137" t="n">
        <f aca="false">+DATOS_[[#This Row],[% de jornada]]*IF(DATOS_[[#This Row],[% jornada reducida]]="",1,DATOS_[[#This Row],[% jornada reducida]])</f>
        <v>0</v>
      </c>
      <c r="BQ239" s="137" t="n">
        <f aca="false">+(DATOS_[[#This Row],[F.fin.cal]]-DATOS_[[#This Row],[F.ini.cal]]+1)/($D$4-$D$3+1)</f>
        <v>1</v>
      </c>
      <c r="BR239" s="137" t="str">
        <f aca="false">IF(OR(AND(DATOS_[[#This Row],[Fecha Fin Contrato]]&lt;$D$3,DATOS_[[#This Row],[Fecha Fin Contrato]]&lt;&gt;""),DATOS_[[#This Row],[Fecha de Contratación]]&gt;$D$4),"Fuera","Dentro")</f>
        <v>Dentro</v>
      </c>
      <c r="BS239" s="137" t="str">
        <f aca="false" t="array" ref="BS239:BS239">IF(MAX(IF(DATOS_[id]=DATOS_[[#This Row],[id]],DATOS_[F.fin.cal]))=DATOS_[[#This Row],[F.fin.cal]],"Sí","NO")</f>
        <v>Sí</v>
      </c>
      <c r="BT239" s="137" t="str">
        <f aca="false">IF(AND(DATOS_[[#This Row],[% normaliz]]&lt;&gt;1,DATOS_[[#This Row],[% anualiz]]=1),"Sí","NO")</f>
        <v>Sí</v>
      </c>
      <c r="BU239" s="137" t="str">
        <f aca="false">IF(AND(DATOS_[[#This Row],[% normaliz]]=1,DATOS_[[#This Row],[% anualiz]]&lt;&gt;1),"Sí","NO")</f>
        <v>NO</v>
      </c>
      <c r="BV239" s="137" t="str">
        <f aca="false">IF(AND(DATOS_[[#This Row],[% normaliz]]&lt;&gt;1,DATOS_[[#This Row],[% anualiz]]&lt;&gt;1),"Sí","NO")</f>
        <v>NO</v>
      </c>
      <c r="BW239" s="137" t="str">
        <f aca="false">+IF(DATOS_[[#This Row],[% normaliz]]*DATOS_[[#This Row],[% anualiz]]=1,"NO","Sí")</f>
        <v>Sí</v>
      </c>
      <c r="BX239" s="138" t="e">
        <f aca="false">(DATOS_[[#This Row],[S.BASE]]*(1/DATOS_[[#This Row],[% normaliz]])*(1/DATOS_[[#This Row],[% anualiz]]))*IF(DATOS_[[#This Row],[Check Equiparado]]="Sí",1,0)</f>
        <v>#DIV/0!</v>
      </c>
      <c r="BY2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9" s="138" t="e">
        <f aca="false">+DATOS_[[#This Row],[SALARIO BASE Eq]]+DATOS_[[#This Row],[Tot COMPL.SAL Eq]]</f>
        <v>#DIV/0!</v>
      </c>
      <c r="CA239" s="138" t="e">
        <f aca="false" t="array" ref="CA239:CA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9" s="138" t="e">
        <f aca="false">+DATOS_[[#This Row],[TOTAL SALARIO Eq]]+DATOS_[[#This Row],[Tot Extrasalarial Eq]]</f>
        <v>#DIV/0!</v>
      </c>
      <c r="CC239" s="139" t="n">
        <f aca="false">DATOS_[[#This Row],[S.BASE]]</f>
        <v>0</v>
      </c>
      <c r="CD239" s="139" t="n">
        <f aca="false">+SUM(DATOS_[[#This Row],[Conc.Sal.01]:[Conc.Sal.30]])</f>
        <v>0</v>
      </c>
      <c r="CE239" s="139" t="n">
        <f aca="false">+DATOS_[[#This Row],[SALARIO BASE Ef]]+DATOS_[[#This Row],[Tot COMPL.SAL Ef]]</f>
        <v>0</v>
      </c>
      <c r="CF239" s="139" t="n">
        <f aca="false">+SUM(DATOS_[[#This Row],[C.Extra.01]:[C.Extra.05]])</f>
        <v>0</v>
      </c>
      <c r="CG239" s="139" t="n">
        <f aca="false">+DATOS_[[#This Row],[TOTAL SALARIO Ef]]+DATOS_[[#This Row],[Tot Extrasalarial Ef]]</f>
        <v>0</v>
      </c>
      <c r="CH239" s="140" t="n">
        <f aca="false">MIN(IF(DATOS_[[#This Row],[Fecha Fin Contrato]]="",$D$4,DATOS_[[#This Row],[Fecha Fin Contrato]]),$D$4)-MAX(DATOS_[[#This Row],[Fecha de Contratación]],$D$3)+1</f>
        <v>1</v>
      </c>
      <c r="CI239" s="141" t="str">
        <f aca="false">IF(COUNTIFS(DATOS_[id],DATOS_[[#This Row],[id]])&gt;1,DATOS_[[#This Row],[id]],"")</f>
        <v/>
      </c>
      <c r="CJ239" s="141" t="n">
        <f aca="false">(Inicio!$G$10-DATOS_[[#This Row],[Fecha Nacimiento]])/365.25</f>
        <v>0</v>
      </c>
      <c r="CK239" s="141" t="n">
        <f aca="false">(Inicio!$G$10-DATOS_[[#This Row],[Fecha de Antigüedad]])/365.25</f>
        <v>0</v>
      </c>
      <c r="CL239" s="141" t="e">
        <f aca="false">+VLOOKUP(DATOS_[[#This Row],[Clave de Contrato]],TblTiposContrato13[],3,0)</f>
        <v>#N/A</v>
      </c>
      <c r="CM239" s="141" t="e">
        <f aca="false">+VLOOKUP(DATOS_[[#This Row],[Clave de Contrato]],TblTiposContrato13[],4,0)</f>
        <v>#N/A</v>
      </c>
      <c r="CN239" s="141" t="str">
        <f aca="false">VLOOKUP(DATOS_[[#This Row],[Edad]],CONTRATOS!TblRngEdad,2,1)</f>
        <v>20  o menos</v>
      </c>
      <c r="CO239" s="141" t="str">
        <f aca="false">VLOOKUP(DATOS_[[#This Row],[Antigüedad]],TblRngAntg14[],2,1)</f>
        <v>0 a 1 años</v>
      </c>
    </row>
    <row r="240" customFormat="false" ht="13.8" hidden="false" customHeight="false" outlineLevel="0" collapsed="false">
      <c r="D240" s="128"/>
      <c r="E240" s="129"/>
      <c r="F240" s="129"/>
      <c r="G240" s="129"/>
      <c r="H240" s="130"/>
      <c r="I240" s="131"/>
      <c r="J240" s="128"/>
      <c r="K240" s="132"/>
      <c r="L240" s="132"/>
      <c r="M240" s="133"/>
      <c r="N240" s="133"/>
      <c r="O240" s="133"/>
      <c r="P240" s="129"/>
      <c r="Z240" s="75"/>
      <c r="AA240" s="76"/>
      <c r="AB240" s="76"/>
      <c r="AC240" s="129"/>
      <c r="AD240" s="134"/>
      <c r="AE240" s="134"/>
      <c r="AF240" s="134"/>
      <c r="AG240" s="134"/>
      <c r="AH240" s="134"/>
      <c r="AI240" s="134"/>
      <c r="AJ240" s="134"/>
      <c r="AK240" s="134"/>
      <c r="AL240" s="134"/>
      <c r="AM240" s="134"/>
      <c r="AN240" s="134"/>
      <c r="AO240" s="134"/>
      <c r="AP240" s="134"/>
      <c r="AQ240" s="134"/>
      <c r="AR240" s="134"/>
      <c r="AS240" s="134"/>
      <c r="AT240" s="134"/>
      <c r="AU240" s="134"/>
      <c r="AV240" s="134"/>
      <c r="AW240" s="134"/>
      <c r="AX240" s="134"/>
      <c r="AY240" s="134"/>
      <c r="AZ240" s="134"/>
      <c r="BA240" s="134"/>
      <c r="BB240" s="134"/>
      <c r="BC240" s="134"/>
      <c r="BD240" s="134"/>
      <c r="BE240" s="134"/>
      <c r="BF240" s="134"/>
      <c r="BG240" s="134"/>
      <c r="BH240" s="134"/>
      <c r="BI240" s="134"/>
      <c r="BJ240" s="134"/>
      <c r="BK240" s="134"/>
      <c r="BL240" s="134"/>
      <c r="BM240" s="135"/>
      <c r="BN240" s="136" t="n">
        <f aca="false">+MAX($D$3,DATOS_[[#This Row],[Fecha Inicio Sit. Contract.]])</f>
        <v>0</v>
      </c>
      <c r="BO240" s="136" t="n">
        <f aca="false">+MIN($D$4,DATOS_[[#This Row],[Fecha Fin Sit. Contract.]])</f>
        <v>0</v>
      </c>
      <c r="BP240" s="137" t="n">
        <f aca="false">+DATOS_[[#This Row],[% de jornada]]*IF(DATOS_[[#This Row],[% jornada reducida]]="",1,DATOS_[[#This Row],[% jornada reducida]])</f>
        <v>0</v>
      </c>
      <c r="BQ240" s="137" t="n">
        <f aca="false">+(DATOS_[[#This Row],[F.fin.cal]]-DATOS_[[#This Row],[F.ini.cal]]+1)/($D$4-$D$3+1)</f>
        <v>1</v>
      </c>
      <c r="BR240" s="137" t="str">
        <f aca="false">IF(OR(AND(DATOS_[[#This Row],[Fecha Fin Contrato]]&lt;$D$3,DATOS_[[#This Row],[Fecha Fin Contrato]]&lt;&gt;""),DATOS_[[#This Row],[Fecha de Contratación]]&gt;$D$4),"Fuera","Dentro")</f>
        <v>Dentro</v>
      </c>
      <c r="BS240" s="137" t="str">
        <f aca="false" t="array" ref="BS240:BS240">IF(MAX(IF(DATOS_[id]=DATOS_[[#This Row],[id]],DATOS_[F.fin.cal]))=DATOS_[[#This Row],[F.fin.cal]],"Sí","NO")</f>
        <v>Sí</v>
      </c>
      <c r="BT240" s="137" t="str">
        <f aca="false">IF(AND(DATOS_[[#This Row],[% normaliz]]&lt;&gt;1,DATOS_[[#This Row],[% anualiz]]=1),"Sí","NO")</f>
        <v>Sí</v>
      </c>
      <c r="BU240" s="137" t="str">
        <f aca="false">IF(AND(DATOS_[[#This Row],[% normaliz]]=1,DATOS_[[#This Row],[% anualiz]]&lt;&gt;1),"Sí","NO")</f>
        <v>NO</v>
      </c>
      <c r="BV240" s="137" t="str">
        <f aca="false">IF(AND(DATOS_[[#This Row],[% normaliz]]&lt;&gt;1,DATOS_[[#This Row],[% anualiz]]&lt;&gt;1),"Sí","NO")</f>
        <v>NO</v>
      </c>
      <c r="BW240" s="137" t="str">
        <f aca="false">+IF(DATOS_[[#This Row],[% normaliz]]*DATOS_[[#This Row],[% anualiz]]=1,"NO","Sí")</f>
        <v>Sí</v>
      </c>
      <c r="BX240" s="138" t="e">
        <f aca="false">(DATOS_[[#This Row],[S.BASE]]*(1/DATOS_[[#This Row],[% normaliz]])*(1/DATOS_[[#This Row],[% anualiz]]))*IF(DATOS_[[#This Row],[Check Equiparado]]="Sí",1,0)</f>
        <v>#DIV/0!</v>
      </c>
      <c r="BY2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0" s="138" t="e">
        <f aca="false">+DATOS_[[#This Row],[SALARIO BASE Eq]]+DATOS_[[#This Row],[Tot COMPL.SAL Eq]]</f>
        <v>#DIV/0!</v>
      </c>
      <c r="CA240" s="138" t="e">
        <f aca="false" t="array" ref="CA240:CA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0" s="138" t="e">
        <f aca="false">+DATOS_[[#This Row],[TOTAL SALARIO Eq]]+DATOS_[[#This Row],[Tot Extrasalarial Eq]]</f>
        <v>#DIV/0!</v>
      </c>
      <c r="CC240" s="139" t="n">
        <f aca="false">DATOS_[[#This Row],[S.BASE]]</f>
        <v>0</v>
      </c>
      <c r="CD240" s="139" t="n">
        <f aca="false">+SUM(DATOS_[[#This Row],[Conc.Sal.01]:[Conc.Sal.30]])</f>
        <v>0</v>
      </c>
      <c r="CE240" s="139" t="n">
        <f aca="false">+DATOS_[[#This Row],[SALARIO BASE Ef]]+DATOS_[[#This Row],[Tot COMPL.SAL Ef]]</f>
        <v>0</v>
      </c>
      <c r="CF240" s="139" t="n">
        <f aca="false">+SUM(DATOS_[[#This Row],[C.Extra.01]:[C.Extra.05]])</f>
        <v>0</v>
      </c>
      <c r="CG240" s="139" t="n">
        <f aca="false">+DATOS_[[#This Row],[TOTAL SALARIO Ef]]+DATOS_[[#This Row],[Tot Extrasalarial Ef]]</f>
        <v>0</v>
      </c>
      <c r="CH240" s="140" t="n">
        <f aca="false">MIN(IF(DATOS_[[#This Row],[Fecha Fin Contrato]]="",$D$4,DATOS_[[#This Row],[Fecha Fin Contrato]]),$D$4)-MAX(DATOS_[[#This Row],[Fecha de Contratación]],$D$3)+1</f>
        <v>1</v>
      </c>
      <c r="CI240" s="141" t="str">
        <f aca="false">IF(COUNTIFS(DATOS_[id],DATOS_[[#This Row],[id]])&gt;1,DATOS_[[#This Row],[id]],"")</f>
        <v/>
      </c>
      <c r="CJ240" s="141" t="n">
        <f aca="false">(Inicio!$G$10-DATOS_[[#This Row],[Fecha Nacimiento]])/365.25</f>
        <v>0</v>
      </c>
      <c r="CK240" s="141" t="n">
        <f aca="false">(Inicio!$G$10-DATOS_[[#This Row],[Fecha de Antigüedad]])/365.25</f>
        <v>0</v>
      </c>
      <c r="CL240" s="141" t="e">
        <f aca="false">+VLOOKUP(DATOS_[[#This Row],[Clave de Contrato]],TblTiposContrato13[],3,0)</f>
        <v>#N/A</v>
      </c>
      <c r="CM240" s="141" t="e">
        <f aca="false">+VLOOKUP(DATOS_[[#This Row],[Clave de Contrato]],TblTiposContrato13[],4,0)</f>
        <v>#N/A</v>
      </c>
      <c r="CN240" s="141" t="str">
        <f aca="false">VLOOKUP(DATOS_[[#This Row],[Edad]],CONTRATOS!TblRngEdad,2,1)</f>
        <v>20  o menos</v>
      </c>
      <c r="CO240" s="141" t="str">
        <f aca="false">VLOOKUP(DATOS_[[#This Row],[Antigüedad]],TblRngAntg14[],2,1)</f>
        <v>0 a 1 años</v>
      </c>
    </row>
    <row r="241" customFormat="false" ht="13.8" hidden="false" customHeight="false" outlineLevel="0" collapsed="false">
      <c r="D241" s="128"/>
      <c r="E241" s="129"/>
      <c r="F241" s="129"/>
      <c r="G241" s="129"/>
      <c r="H241" s="130"/>
      <c r="I241" s="131"/>
      <c r="J241" s="128"/>
      <c r="K241" s="132"/>
      <c r="L241" s="132"/>
      <c r="M241" s="133"/>
      <c r="N241" s="133"/>
      <c r="O241" s="133"/>
      <c r="P241" s="129"/>
      <c r="Z241" s="75"/>
      <c r="AA241" s="76"/>
      <c r="AB241" s="76"/>
      <c r="AC241" s="129"/>
      <c r="AD241" s="134"/>
      <c r="AE241" s="134"/>
      <c r="AF241" s="134"/>
      <c r="AG241" s="134"/>
      <c r="AH241" s="134"/>
      <c r="AI241" s="134"/>
      <c r="AJ241" s="134"/>
      <c r="AK241" s="134"/>
      <c r="AL241" s="134"/>
      <c r="AM241" s="134"/>
      <c r="AN241" s="134"/>
      <c r="AO241" s="134"/>
      <c r="AP241" s="134"/>
      <c r="AQ241" s="134"/>
      <c r="AR241" s="134"/>
      <c r="AS241" s="134"/>
      <c r="AT241" s="134"/>
      <c r="AU241" s="134"/>
      <c r="AV241" s="134"/>
      <c r="AW241" s="134"/>
      <c r="AX241" s="134"/>
      <c r="AY241" s="134"/>
      <c r="AZ241" s="134"/>
      <c r="BA241" s="134"/>
      <c r="BB241" s="134"/>
      <c r="BC241" s="134"/>
      <c r="BD241" s="134"/>
      <c r="BE241" s="134"/>
      <c r="BF241" s="134"/>
      <c r="BG241" s="134"/>
      <c r="BH241" s="134"/>
      <c r="BI241" s="134"/>
      <c r="BJ241" s="134"/>
      <c r="BK241" s="134"/>
      <c r="BL241" s="134"/>
      <c r="BM241" s="135"/>
      <c r="BN241" s="136" t="n">
        <f aca="false">+MAX($D$3,DATOS_[[#This Row],[Fecha Inicio Sit. Contract.]])</f>
        <v>0</v>
      </c>
      <c r="BO241" s="136" t="n">
        <f aca="false">+MIN($D$4,DATOS_[[#This Row],[Fecha Fin Sit. Contract.]])</f>
        <v>0</v>
      </c>
      <c r="BP241" s="137" t="n">
        <f aca="false">+DATOS_[[#This Row],[% de jornada]]*IF(DATOS_[[#This Row],[% jornada reducida]]="",1,DATOS_[[#This Row],[% jornada reducida]])</f>
        <v>0</v>
      </c>
      <c r="BQ241" s="137" t="n">
        <f aca="false">+(DATOS_[[#This Row],[F.fin.cal]]-DATOS_[[#This Row],[F.ini.cal]]+1)/($D$4-$D$3+1)</f>
        <v>1</v>
      </c>
      <c r="BR241" s="137" t="str">
        <f aca="false">IF(OR(AND(DATOS_[[#This Row],[Fecha Fin Contrato]]&lt;$D$3,DATOS_[[#This Row],[Fecha Fin Contrato]]&lt;&gt;""),DATOS_[[#This Row],[Fecha de Contratación]]&gt;$D$4),"Fuera","Dentro")</f>
        <v>Dentro</v>
      </c>
      <c r="BS241" s="137" t="str">
        <f aca="false" t="array" ref="BS241:BS241">IF(MAX(IF(DATOS_[id]=DATOS_[[#This Row],[id]],DATOS_[F.fin.cal]))=DATOS_[[#This Row],[F.fin.cal]],"Sí","NO")</f>
        <v>Sí</v>
      </c>
      <c r="BT241" s="137" t="str">
        <f aca="false">IF(AND(DATOS_[[#This Row],[% normaliz]]&lt;&gt;1,DATOS_[[#This Row],[% anualiz]]=1),"Sí","NO")</f>
        <v>Sí</v>
      </c>
      <c r="BU241" s="137" t="str">
        <f aca="false">IF(AND(DATOS_[[#This Row],[% normaliz]]=1,DATOS_[[#This Row],[% anualiz]]&lt;&gt;1),"Sí","NO")</f>
        <v>NO</v>
      </c>
      <c r="BV241" s="137" t="str">
        <f aca="false">IF(AND(DATOS_[[#This Row],[% normaliz]]&lt;&gt;1,DATOS_[[#This Row],[% anualiz]]&lt;&gt;1),"Sí","NO")</f>
        <v>NO</v>
      </c>
      <c r="BW241" s="137" t="str">
        <f aca="false">+IF(DATOS_[[#This Row],[% normaliz]]*DATOS_[[#This Row],[% anualiz]]=1,"NO","Sí")</f>
        <v>Sí</v>
      </c>
      <c r="BX241" s="138" t="e">
        <f aca="false">(DATOS_[[#This Row],[S.BASE]]*(1/DATOS_[[#This Row],[% normaliz]])*(1/DATOS_[[#This Row],[% anualiz]]))*IF(DATOS_[[#This Row],[Check Equiparado]]="Sí",1,0)</f>
        <v>#DIV/0!</v>
      </c>
      <c r="BY2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1" s="138" t="e">
        <f aca="false">+DATOS_[[#This Row],[SALARIO BASE Eq]]+DATOS_[[#This Row],[Tot COMPL.SAL Eq]]</f>
        <v>#DIV/0!</v>
      </c>
      <c r="CA241" s="138" t="e">
        <f aca="false" t="array" ref="CA241:CA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1" s="138" t="e">
        <f aca="false">+DATOS_[[#This Row],[TOTAL SALARIO Eq]]+DATOS_[[#This Row],[Tot Extrasalarial Eq]]</f>
        <v>#DIV/0!</v>
      </c>
      <c r="CC241" s="139" t="n">
        <f aca="false">DATOS_[[#This Row],[S.BASE]]</f>
        <v>0</v>
      </c>
      <c r="CD241" s="139" t="n">
        <f aca="false">+SUM(DATOS_[[#This Row],[Conc.Sal.01]:[Conc.Sal.30]])</f>
        <v>0</v>
      </c>
      <c r="CE241" s="139" t="n">
        <f aca="false">+DATOS_[[#This Row],[SALARIO BASE Ef]]+DATOS_[[#This Row],[Tot COMPL.SAL Ef]]</f>
        <v>0</v>
      </c>
      <c r="CF241" s="139" t="n">
        <f aca="false">+SUM(DATOS_[[#This Row],[C.Extra.01]:[C.Extra.05]])</f>
        <v>0</v>
      </c>
      <c r="CG241" s="139" t="n">
        <f aca="false">+DATOS_[[#This Row],[TOTAL SALARIO Ef]]+DATOS_[[#This Row],[Tot Extrasalarial Ef]]</f>
        <v>0</v>
      </c>
      <c r="CH241" s="140" t="n">
        <f aca="false">MIN(IF(DATOS_[[#This Row],[Fecha Fin Contrato]]="",$D$4,DATOS_[[#This Row],[Fecha Fin Contrato]]),$D$4)-MAX(DATOS_[[#This Row],[Fecha de Contratación]],$D$3)+1</f>
        <v>1</v>
      </c>
      <c r="CI241" s="141" t="str">
        <f aca="false">IF(COUNTIFS(DATOS_[id],DATOS_[[#This Row],[id]])&gt;1,DATOS_[[#This Row],[id]],"")</f>
        <v/>
      </c>
      <c r="CJ241" s="141" t="n">
        <f aca="false">(Inicio!$G$10-DATOS_[[#This Row],[Fecha Nacimiento]])/365.25</f>
        <v>0</v>
      </c>
      <c r="CK241" s="141" t="n">
        <f aca="false">(Inicio!$G$10-DATOS_[[#This Row],[Fecha de Antigüedad]])/365.25</f>
        <v>0</v>
      </c>
      <c r="CL241" s="141" t="e">
        <f aca="false">+VLOOKUP(DATOS_[[#This Row],[Clave de Contrato]],TblTiposContrato13[],3,0)</f>
        <v>#N/A</v>
      </c>
      <c r="CM241" s="141" t="e">
        <f aca="false">+VLOOKUP(DATOS_[[#This Row],[Clave de Contrato]],TblTiposContrato13[],4,0)</f>
        <v>#N/A</v>
      </c>
      <c r="CN241" s="141" t="str">
        <f aca="false">VLOOKUP(DATOS_[[#This Row],[Edad]],CONTRATOS!TblRngEdad,2,1)</f>
        <v>20  o menos</v>
      </c>
      <c r="CO241" s="141" t="str">
        <f aca="false">VLOOKUP(DATOS_[[#This Row],[Antigüedad]],TblRngAntg14[],2,1)</f>
        <v>0 a 1 años</v>
      </c>
    </row>
    <row r="242" customFormat="false" ht="13.8" hidden="false" customHeight="false" outlineLevel="0" collapsed="false">
      <c r="D242" s="128"/>
      <c r="E242" s="129"/>
      <c r="F242" s="129"/>
      <c r="G242" s="129"/>
      <c r="H242" s="130"/>
      <c r="I242" s="131"/>
      <c r="J242" s="128"/>
      <c r="K242" s="132"/>
      <c r="L242" s="132"/>
      <c r="M242" s="133"/>
      <c r="N242" s="133"/>
      <c r="O242" s="133"/>
      <c r="P242" s="129"/>
      <c r="Z242" s="75"/>
      <c r="AA242" s="76"/>
      <c r="AB242" s="76"/>
      <c r="AC242" s="129"/>
      <c r="AD242" s="134"/>
      <c r="AE242" s="134"/>
      <c r="AF242" s="134"/>
      <c r="AG242" s="134"/>
      <c r="AH242" s="134"/>
      <c r="AI242" s="134"/>
      <c r="AJ242" s="134"/>
      <c r="AK242" s="134"/>
      <c r="AL242" s="134"/>
      <c r="AM242" s="134"/>
      <c r="AN242" s="134"/>
      <c r="AO242" s="134"/>
      <c r="AP242" s="134"/>
      <c r="AQ242" s="134"/>
      <c r="AR242" s="134"/>
      <c r="AS242" s="134"/>
      <c r="AT242" s="134"/>
      <c r="AU242" s="134"/>
      <c r="AV242" s="134"/>
      <c r="AW242" s="134"/>
      <c r="AX242" s="134"/>
      <c r="AY242" s="134"/>
      <c r="AZ242" s="134"/>
      <c r="BA242" s="134"/>
      <c r="BB242" s="134"/>
      <c r="BC242" s="134"/>
      <c r="BD242" s="134"/>
      <c r="BE242" s="134"/>
      <c r="BF242" s="134"/>
      <c r="BG242" s="134"/>
      <c r="BH242" s="134"/>
      <c r="BI242" s="134"/>
      <c r="BJ242" s="134"/>
      <c r="BK242" s="134"/>
      <c r="BL242" s="134"/>
      <c r="BM242" s="135"/>
      <c r="BN242" s="136" t="n">
        <f aca="false">+MAX($D$3,DATOS_[[#This Row],[Fecha Inicio Sit. Contract.]])</f>
        <v>0</v>
      </c>
      <c r="BO242" s="136" t="n">
        <f aca="false">+MIN($D$4,DATOS_[[#This Row],[Fecha Fin Sit. Contract.]])</f>
        <v>0</v>
      </c>
      <c r="BP242" s="137" t="n">
        <f aca="false">+DATOS_[[#This Row],[% de jornada]]*IF(DATOS_[[#This Row],[% jornada reducida]]="",1,DATOS_[[#This Row],[% jornada reducida]])</f>
        <v>0</v>
      </c>
      <c r="BQ242" s="137" t="n">
        <f aca="false">+(DATOS_[[#This Row],[F.fin.cal]]-DATOS_[[#This Row],[F.ini.cal]]+1)/($D$4-$D$3+1)</f>
        <v>1</v>
      </c>
      <c r="BR242" s="137" t="str">
        <f aca="false">IF(OR(AND(DATOS_[[#This Row],[Fecha Fin Contrato]]&lt;$D$3,DATOS_[[#This Row],[Fecha Fin Contrato]]&lt;&gt;""),DATOS_[[#This Row],[Fecha de Contratación]]&gt;$D$4),"Fuera","Dentro")</f>
        <v>Dentro</v>
      </c>
      <c r="BS242" s="137" t="str">
        <f aca="false" t="array" ref="BS242:BS242">IF(MAX(IF(DATOS_[id]=DATOS_[[#This Row],[id]],DATOS_[F.fin.cal]))=DATOS_[[#This Row],[F.fin.cal]],"Sí","NO")</f>
        <v>Sí</v>
      </c>
      <c r="BT242" s="137" t="str">
        <f aca="false">IF(AND(DATOS_[[#This Row],[% normaliz]]&lt;&gt;1,DATOS_[[#This Row],[% anualiz]]=1),"Sí","NO")</f>
        <v>Sí</v>
      </c>
      <c r="BU242" s="137" t="str">
        <f aca="false">IF(AND(DATOS_[[#This Row],[% normaliz]]=1,DATOS_[[#This Row],[% anualiz]]&lt;&gt;1),"Sí","NO")</f>
        <v>NO</v>
      </c>
      <c r="BV242" s="137" t="str">
        <f aca="false">IF(AND(DATOS_[[#This Row],[% normaliz]]&lt;&gt;1,DATOS_[[#This Row],[% anualiz]]&lt;&gt;1),"Sí","NO")</f>
        <v>NO</v>
      </c>
      <c r="BW242" s="137" t="str">
        <f aca="false">+IF(DATOS_[[#This Row],[% normaliz]]*DATOS_[[#This Row],[% anualiz]]=1,"NO","Sí")</f>
        <v>Sí</v>
      </c>
      <c r="BX242" s="138" t="e">
        <f aca="false">(DATOS_[[#This Row],[S.BASE]]*(1/DATOS_[[#This Row],[% normaliz]])*(1/DATOS_[[#This Row],[% anualiz]]))*IF(DATOS_[[#This Row],[Check Equiparado]]="Sí",1,0)</f>
        <v>#DIV/0!</v>
      </c>
      <c r="BY2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2" s="138" t="e">
        <f aca="false">+DATOS_[[#This Row],[SALARIO BASE Eq]]+DATOS_[[#This Row],[Tot COMPL.SAL Eq]]</f>
        <v>#DIV/0!</v>
      </c>
      <c r="CA242" s="138" t="e">
        <f aca="false" t="array" ref="CA242:CA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2" s="138" t="e">
        <f aca="false">+DATOS_[[#This Row],[TOTAL SALARIO Eq]]+DATOS_[[#This Row],[Tot Extrasalarial Eq]]</f>
        <v>#DIV/0!</v>
      </c>
      <c r="CC242" s="139" t="n">
        <f aca="false">DATOS_[[#This Row],[S.BASE]]</f>
        <v>0</v>
      </c>
      <c r="CD242" s="139" t="n">
        <f aca="false">+SUM(DATOS_[[#This Row],[Conc.Sal.01]:[Conc.Sal.30]])</f>
        <v>0</v>
      </c>
      <c r="CE242" s="139" t="n">
        <f aca="false">+DATOS_[[#This Row],[SALARIO BASE Ef]]+DATOS_[[#This Row],[Tot COMPL.SAL Ef]]</f>
        <v>0</v>
      </c>
      <c r="CF242" s="139" t="n">
        <f aca="false">+SUM(DATOS_[[#This Row],[C.Extra.01]:[C.Extra.05]])</f>
        <v>0</v>
      </c>
      <c r="CG242" s="139" t="n">
        <f aca="false">+DATOS_[[#This Row],[TOTAL SALARIO Ef]]+DATOS_[[#This Row],[Tot Extrasalarial Ef]]</f>
        <v>0</v>
      </c>
      <c r="CH242" s="140" t="n">
        <f aca="false">MIN(IF(DATOS_[[#This Row],[Fecha Fin Contrato]]="",$D$4,DATOS_[[#This Row],[Fecha Fin Contrato]]),$D$4)-MAX(DATOS_[[#This Row],[Fecha de Contratación]],$D$3)+1</f>
        <v>1</v>
      </c>
      <c r="CI242" s="141" t="str">
        <f aca="false">IF(COUNTIFS(DATOS_[id],DATOS_[[#This Row],[id]])&gt;1,DATOS_[[#This Row],[id]],"")</f>
        <v/>
      </c>
      <c r="CJ242" s="141" t="n">
        <f aca="false">(Inicio!$G$10-DATOS_[[#This Row],[Fecha Nacimiento]])/365.25</f>
        <v>0</v>
      </c>
      <c r="CK242" s="141" t="n">
        <f aca="false">(Inicio!$G$10-DATOS_[[#This Row],[Fecha de Antigüedad]])/365.25</f>
        <v>0</v>
      </c>
      <c r="CL242" s="141" t="e">
        <f aca="false">+VLOOKUP(DATOS_[[#This Row],[Clave de Contrato]],TblTiposContrato13[],3,0)</f>
        <v>#N/A</v>
      </c>
      <c r="CM242" s="141" t="e">
        <f aca="false">+VLOOKUP(DATOS_[[#This Row],[Clave de Contrato]],TblTiposContrato13[],4,0)</f>
        <v>#N/A</v>
      </c>
      <c r="CN242" s="141" t="str">
        <f aca="false">VLOOKUP(DATOS_[[#This Row],[Edad]],CONTRATOS!TblRngEdad,2,1)</f>
        <v>20  o menos</v>
      </c>
      <c r="CO242" s="141" t="str">
        <f aca="false">VLOOKUP(DATOS_[[#This Row],[Antigüedad]],TblRngAntg14[],2,1)</f>
        <v>0 a 1 años</v>
      </c>
    </row>
    <row r="243" customFormat="false" ht="13.8" hidden="false" customHeight="false" outlineLevel="0" collapsed="false">
      <c r="D243" s="128"/>
      <c r="E243" s="129"/>
      <c r="F243" s="129"/>
      <c r="G243" s="129"/>
      <c r="H243" s="130"/>
      <c r="I243" s="131"/>
      <c r="J243" s="128"/>
      <c r="K243" s="132"/>
      <c r="L243" s="132"/>
      <c r="M243" s="133"/>
      <c r="N243" s="133"/>
      <c r="O243" s="133"/>
      <c r="P243" s="129"/>
      <c r="Z243" s="75"/>
      <c r="AA243" s="76"/>
      <c r="AB243" s="76"/>
      <c r="AC243" s="129"/>
      <c r="AD243" s="134"/>
      <c r="AE243" s="134"/>
      <c r="AF243" s="134"/>
      <c r="AG243" s="134"/>
      <c r="AH243" s="134"/>
      <c r="AI243" s="134"/>
      <c r="AJ243" s="134"/>
      <c r="AK243" s="134"/>
      <c r="AL243" s="134"/>
      <c r="AM243" s="134"/>
      <c r="AN243" s="134"/>
      <c r="AO243" s="134"/>
      <c r="AP243" s="134"/>
      <c r="AQ243" s="134"/>
      <c r="AR243" s="134"/>
      <c r="AS243" s="134"/>
      <c r="AT243" s="134"/>
      <c r="AU243" s="134"/>
      <c r="AV243" s="134"/>
      <c r="AW243" s="134"/>
      <c r="AX243" s="134"/>
      <c r="AY243" s="134"/>
      <c r="AZ243" s="134"/>
      <c r="BA243" s="134"/>
      <c r="BB243" s="134"/>
      <c r="BC243" s="134"/>
      <c r="BD243" s="134"/>
      <c r="BE243" s="134"/>
      <c r="BF243" s="134"/>
      <c r="BG243" s="134"/>
      <c r="BH243" s="134"/>
      <c r="BI243" s="134"/>
      <c r="BJ243" s="134"/>
      <c r="BK243" s="134"/>
      <c r="BL243" s="134"/>
      <c r="BM243" s="135"/>
      <c r="BN243" s="136" t="n">
        <f aca="false">+MAX($D$3,DATOS_[[#This Row],[Fecha Inicio Sit. Contract.]])</f>
        <v>0</v>
      </c>
      <c r="BO243" s="136" t="n">
        <f aca="false">+MIN($D$4,DATOS_[[#This Row],[Fecha Fin Sit. Contract.]])</f>
        <v>0</v>
      </c>
      <c r="BP243" s="137" t="n">
        <f aca="false">+DATOS_[[#This Row],[% de jornada]]*IF(DATOS_[[#This Row],[% jornada reducida]]="",1,DATOS_[[#This Row],[% jornada reducida]])</f>
        <v>0</v>
      </c>
      <c r="BQ243" s="137" t="n">
        <f aca="false">+(DATOS_[[#This Row],[F.fin.cal]]-DATOS_[[#This Row],[F.ini.cal]]+1)/($D$4-$D$3+1)</f>
        <v>1</v>
      </c>
      <c r="BR243" s="137" t="str">
        <f aca="false">IF(OR(AND(DATOS_[[#This Row],[Fecha Fin Contrato]]&lt;$D$3,DATOS_[[#This Row],[Fecha Fin Contrato]]&lt;&gt;""),DATOS_[[#This Row],[Fecha de Contratación]]&gt;$D$4),"Fuera","Dentro")</f>
        <v>Dentro</v>
      </c>
      <c r="BS243" s="137" t="str">
        <f aca="false" t="array" ref="BS243:BS243">IF(MAX(IF(DATOS_[id]=DATOS_[[#This Row],[id]],DATOS_[F.fin.cal]))=DATOS_[[#This Row],[F.fin.cal]],"Sí","NO")</f>
        <v>Sí</v>
      </c>
      <c r="BT243" s="137" t="str">
        <f aca="false">IF(AND(DATOS_[[#This Row],[% normaliz]]&lt;&gt;1,DATOS_[[#This Row],[% anualiz]]=1),"Sí","NO")</f>
        <v>Sí</v>
      </c>
      <c r="BU243" s="137" t="str">
        <f aca="false">IF(AND(DATOS_[[#This Row],[% normaliz]]=1,DATOS_[[#This Row],[% anualiz]]&lt;&gt;1),"Sí","NO")</f>
        <v>NO</v>
      </c>
      <c r="BV243" s="137" t="str">
        <f aca="false">IF(AND(DATOS_[[#This Row],[% normaliz]]&lt;&gt;1,DATOS_[[#This Row],[% anualiz]]&lt;&gt;1),"Sí","NO")</f>
        <v>NO</v>
      </c>
      <c r="BW243" s="137" t="str">
        <f aca="false">+IF(DATOS_[[#This Row],[% normaliz]]*DATOS_[[#This Row],[% anualiz]]=1,"NO","Sí")</f>
        <v>Sí</v>
      </c>
      <c r="BX243" s="138" t="e">
        <f aca="false">(DATOS_[[#This Row],[S.BASE]]*(1/DATOS_[[#This Row],[% normaliz]])*(1/DATOS_[[#This Row],[% anualiz]]))*IF(DATOS_[[#This Row],[Check Equiparado]]="Sí",1,0)</f>
        <v>#DIV/0!</v>
      </c>
      <c r="BY2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3" s="138" t="e">
        <f aca="false">+DATOS_[[#This Row],[SALARIO BASE Eq]]+DATOS_[[#This Row],[Tot COMPL.SAL Eq]]</f>
        <v>#DIV/0!</v>
      </c>
      <c r="CA243" s="138" t="e">
        <f aca="false" t="array" ref="CA243:CA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3" s="138" t="e">
        <f aca="false">+DATOS_[[#This Row],[TOTAL SALARIO Eq]]+DATOS_[[#This Row],[Tot Extrasalarial Eq]]</f>
        <v>#DIV/0!</v>
      </c>
      <c r="CC243" s="139" t="n">
        <f aca="false">DATOS_[[#This Row],[S.BASE]]</f>
        <v>0</v>
      </c>
      <c r="CD243" s="139" t="n">
        <f aca="false">+SUM(DATOS_[[#This Row],[Conc.Sal.01]:[Conc.Sal.30]])</f>
        <v>0</v>
      </c>
      <c r="CE243" s="139" t="n">
        <f aca="false">+DATOS_[[#This Row],[SALARIO BASE Ef]]+DATOS_[[#This Row],[Tot COMPL.SAL Ef]]</f>
        <v>0</v>
      </c>
      <c r="CF243" s="139" t="n">
        <f aca="false">+SUM(DATOS_[[#This Row],[C.Extra.01]:[C.Extra.05]])</f>
        <v>0</v>
      </c>
      <c r="CG243" s="139" t="n">
        <f aca="false">+DATOS_[[#This Row],[TOTAL SALARIO Ef]]+DATOS_[[#This Row],[Tot Extrasalarial Ef]]</f>
        <v>0</v>
      </c>
      <c r="CH243" s="140" t="n">
        <f aca="false">MIN(IF(DATOS_[[#This Row],[Fecha Fin Contrato]]="",$D$4,DATOS_[[#This Row],[Fecha Fin Contrato]]),$D$4)-MAX(DATOS_[[#This Row],[Fecha de Contratación]],$D$3)+1</f>
        <v>1</v>
      </c>
      <c r="CI243" s="141" t="str">
        <f aca="false">IF(COUNTIFS(DATOS_[id],DATOS_[[#This Row],[id]])&gt;1,DATOS_[[#This Row],[id]],"")</f>
        <v/>
      </c>
      <c r="CJ243" s="141" t="n">
        <f aca="false">(Inicio!$G$10-DATOS_[[#This Row],[Fecha Nacimiento]])/365.25</f>
        <v>0</v>
      </c>
      <c r="CK243" s="141" t="n">
        <f aca="false">(Inicio!$G$10-DATOS_[[#This Row],[Fecha de Antigüedad]])/365.25</f>
        <v>0</v>
      </c>
      <c r="CL243" s="141" t="e">
        <f aca="false">+VLOOKUP(DATOS_[[#This Row],[Clave de Contrato]],TblTiposContrato13[],3,0)</f>
        <v>#N/A</v>
      </c>
      <c r="CM243" s="141" t="e">
        <f aca="false">+VLOOKUP(DATOS_[[#This Row],[Clave de Contrato]],TblTiposContrato13[],4,0)</f>
        <v>#N/A</v>
      </c>
      <c r="CN243" s="141" t="str">
        <f aca="false">VLOOKUP(DATOS_[[#This Row],[Edad]],CONTRATOS!TblRngEdad,2,1)</f>
        <v>20  o menos</v>
      </c>
      <c r="CO243" s="141" t="str">
        <f aca="false">VLOOKUP(DATOS_[[#This Row],[Antigüedad]],TblRngAntg14[],2,1)</f>
        <v>0 a 1 años</v>
      </c>
    </row>
    <row r="244" customFormat="false" ht="13.8" hidden="false" customHeight="false" outlineLevel="0" collapsed="false">
      <c r="D244" s="128"/>
      <c r="E244" s="129"/>
      <c r="F244" s="129"/>
      <c r="G244" s="129"/>
      <c r="H244" s="130"/>
      <c r="I244" s="131"/>
      <c r="J244" s="128"/>
      <c r="K244" s="132"/>
      <c r="L244" s="132"/>
      <c r="M244" s="133"/>
      <c r="N244" s="133"/>
      <c r="O244" s="133"/>
      <c r="P244" s="129"/>
      <c r="Z244" s="75"/>
      <c r="AA244" s="76"/>
      <c r="AB244" s="76"/>
      <c r="AC244" s="129"/>
      <c r="AD244" s="134"/>
      <c r="AE244" s="134"/>
      <c r="AF244" s="134"/>
      <c r="AG244" s="134"/>
      <c r="AH244" s="134"/>
      <c r="AI244" s="134"/>
      <c r="AJ244" s="134"/>
      <c r="AK244" s="134"/>
      <c r="AL244" s="134"/>
      <c r="AM244" s="134"/>
      <c r="AN244" s="134"/>
      <c r="AO244" s="134"/>
      <c r="AP244" s="134"/>
      <c r="AQ244" s="134"/>
      <c r="AR244" s="134"/>
      <c r="AS244" s="134"/>
      <c r="AT244" s="134"/>
      <c r="AU244" s="134"/>
      <c r="AV244" s="134"/>
      <c r="AW244" s="134"/>
      <c r="AX244" s="134"/>
      <c r="AY244" s="134"/>
      <c r="AZ244" s="134"/>
      <c r="BA244" s="134"/>
      <c r="BB244" s="134"/>
      <c r="BC244" s="134"/>
      <c r="BD244" s="134"/>
      <c r="BE244" s="134"/>
      <c r="BF244" s="134"/>
      <c r="BG244" s="134"/>
      <c r="BH244" s="134"/>
      <c r="BI244" s="134"/>
      <c r="BJ244" s="134"/>
      <c r="BK244" s="134"/>
      <c r="BL244" s="134"/>
      <c r="BM244" s="135"/>
      <c r="BN244" s="136" t="n">
        <f aca="false">+MAX($D$3,DATOS_[[#This Row],[Fecha Inicio Sit. Contract.]])</f>
        <v>0</v>
      </c>
      <c r="BO244" s="136" t="n">
        <f aca="false">+MIN($D$4,DATOS_[[#This Row],[Fecha Fin Sit. Contract.]])</f>
        <v>0</v>
      </c>
      <c r="BP244" s="137" t="n">
        <f aca="false">+DATOS_[[#This Row],[% de jornada]]*IF(DATOS_[[#This Row],[% jornada reducida]]="",1,DATOS_[[#This Row],[% jornada reducida]])</f>
        <v>0</v>
      </c>
      <c r="BQ244" s="137" t="n">
        <f aca="false">+(DATOS_[[#This Row],[F.fin.cal]]-DATOS_[[#This Row],[F.ini.cal]]+1)/($D$4-$D$3+1)</f>
        <v>1</v>
      </c>
      <c r="BR244" s="137" t="str">
        <f aca="false">IF(OR(AND(DATOS_[[#This Row],[Fecha Fin Contrato]]&lt;$D$3,DATOS_[[#This Row],[Fecha Fin Contrato]]&lt;&gt;""),DATOS_[[#This Row],[Fecha de Contratación]]&gt;$D$4),"Fuera","Dentro")</f>
        <v>Dentro</v>
      </c>
      <c r="BS244" s="137" t="str">
        <f aca="false" t="array" ref="BS244:BS244">IF(MAX(IF(DATOS_[id]=DATOS_[[#This Row],[id]],DATOS_[F.fin.cal]))=DATOS_[[#This Row],[F.fin.cal]],"Sí","NO")</f>
        <v>Sí</v>
      </c>
      <c r="BT244" s="137" t="str">
        <f aca="false">IF(AND(DATOS_[[#This Row],[% normaliz]]&lt;&gt;1,DATOS_[[#This Row],[% anualiz]]=1),"Sí","NO")</f>
        <v>Sí</v>
      </c>
      <c r="BU244" s="137" t="str">
        <f aca="false">IF(AND(DATOS_[[#This Row],[% normaliz]]=1,DATOS_[[#This Row],[% anualiz]]&lt;&gt;1),"Sí","NO")</f>
        <v>NO</v>
      </c>
      <c r="BV244" s="137" t="str">
        <f aca="false">IF(AND(DATOS_[[#This Row],[% normaliz]]&lt;&gt;1,DATOS_[[#This Row],[% anualiz]]&lt;&gt;1),"Sí","NO")</f>
        <v>NO</v>
      </c>
      <c r="BW244" s="137" t="str">
        <f aca="false">+IF(DATOS_[[#This Row],[% normaliz]]*DATOS_[[#This Row],[% anualiz]]=1,"NO","Sí")</f>
        <v>Sí</v>
      </c>
      <c r="BX244" s="138" t="e">
        <f aca="false">(DATOS_[[#This Row],[S.BASE]]*(1/DATOS_[[#This Row],[% normaliz]])*(1/DATOS_[[#This Row],[% anualiz]]))*IF(DATOS_[[#This Row],[Check Equiparado]]="Sí",1,0)</f>
        <v>#DIV/0!</v>
      </c>
      <c r="BY2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4" s="138" t="e">
        <f aca="false">+DATOS_[[#This Row],[SALARIO BASE Eq]]+DATOS_[[#This Row],[Tot COMPL.SAL Eq]]</f>
        <v>#DIV/0!</v>
      </c>
      <c r="CA244" s="138" t="e">
        <f aca="false" t="array" ref="CA244:CA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4" s="138" t="e">
        <f aca="false">+DATOS_[[#This Row],[TOTAL SALARIO Eq]]+DATOS_[[#This Row],[Tot Extrasalarial Eq]]</f>
        <v>#DIV/0!</v>
      </c>
      <c r="CC244" s="139" t="n">
        <f aca="false">DATOS_[[#This Row],[S.BASE]]</f>
        <v>0</v>
      </c>
      <c r="CD244" s="139" t="n">
        <f aca="false">+SUM(DATOS_[[#This Row],[Conc.Sal.01]:[Conc.Sal.30]])</f>
        <v>0</v>
      </c>
      <c r="CE244" s="139" t="n">
        <f aca="false">+DATOS_[[#This Row],[SALARIO BASE Ef]]+DATOS_[[#This Row],[Tot COMPL.SAL Ef]]</f>
        <v>0</v>
      </c>
      <c r="CF244" s="139" t="n">
        <f aca="false">+SUM(DATOS_[[#This Row],[C.Extra.01]:[C.Extra.05]])</f>
        <v>0</v>
      </c>
      <c r="CG244" s="139" t="n">
        <f aca="false">+DATOS_[[#This Row],[TOTAL SALARIO Ef]]+DATOS_[[#This Row],[Tot Extrasalarial Ef]]</f>
        <v>0</v>
      </c>
      <c r="CH244" s="140" t="n">
        <f aca="false">MIN(IF(DATOS_[[#This Row],[Fecha Fin Contrato]]="",$D$4,DATOS_[[#This Row],[Fecha Fin Contrato]]),$D$4)-MAX(DATOS_[[#This Row],[Fecha de Contratación]],$D$3)+1</f>
        <v>1</v>
      </c>
      <c r="CI244" s="141" t="str">
        <f aca="false">IF(COUNTIFS(DATOS_[id],DATOS_[[#This Row],[id]])&gt;1,DATOS_[[#This Row],[id]],"")</f>
        <v/>
      </c>
      <c r="CJ244" s="141" t="n">
        <f aca="false">(Inicio!$G$10-DATOS_[[#This Row],[Fecha Nacimiento]])/365.25</f>
        <v>0</v>
      </c>
      <c r="CK244" s="141" t="n">
        <f aca="false">(Inicio!$G$10-DATOS_[[#This Row],[Fecha de Antigüedad]])/365.25</f>
        <v>0</v>
      </c>
      <c r="CL244" s="141" t="e">
        <f aca="false">+VLOOKUP(DATOS_[[#This Row],[Clave de Contrato]],TblTiposContrato13[],3,0)</f>
        <v>#N/A</v>
      </c>
      <c r="CM244" s="141" t="e">
        <f aca="false">+VLOOKUP(DATOS_[[#This Row],[Clave de Contrato]],TblTiposContrato13[],4,0)</f>
        <v>#N/A</v>
      </c>
      <c r="CN244" s="141" t="str">
        <f aca="false">VLOOKUP(DATOS_[[#This Row],[Edad]],CONTRATOS!TblRngEdad,2,1)</f>
        <v>20  o menos</v>
      </c>
      <c r="CO244" s="141" t="str">
        <f aca="false">VLOOKUP(DATOS_[[#This Row],[Antigüedad]],TblRngAntg14[],2,1)</f>
        <v>0 a 1 años</v>
      </c>
    </row>
    <row r="245" customFormat="false" ht="13.8" hidden="false" customHeight="false" outlineLevel="0" collapsed="false">
      <c r="D245" s="128"/>
      <c r="E245" s="129"/>
      <c r="F245" s="129"/>
      <c r="G245" s="129"/>
      <c r="H245" s="130"/>
      <c r="I245" s="131"/>
      <c r="J245" s="128"/>
      <c r="K245" s="132"/>
      <c r="L245" s="132"/>
      <c r="M245" s="133"/>
      <c r="N245" s="133"/>
      <c r="O245" s="133"/>
      <c r="P245" s="129"/>
      <c r="Z245" s="75"/>
      <c r="AA245" s="76"/>
      <c r="AB245" s="76"/>
      <c r="AC245" s="129"/>
      <c r="AD245" s="134"/>
      <c r="AE245" s="134"/>
      <c r="AF245" s="134"/>
      <c r="AG245" s="134"/>
      <c r="AH245" s="134"/>
      <c r="AI245" s="134"/>
      <c r="AJ245" s="134"/>
      <c r="AK245" s="134"/>
      <c r="AL245" s="134"/>
      <c r="AM245" s="134"/>
      <c r="AN245" s="134"/>
      <c r="AO245" s="134"/>
      <c r="AP245" s="134"/>
      <c r="AQ245" s="134"/>
      <c r="AR245" s="134"/>
      <c r="AS245" s="134"/>
      <c r="AT245" s="134"/>
      <c r="AU245" s="134"/>
      <c r="AV245" s="134"/>
      <c r="AW245" s="134"/>
      <c r="AX245" s="134"/>
      <c r="AY245" s="134"/>
      <c r="AZ245" s="134"/>
      <c r="BA245" s="134"/>
      <c r="BB245" s="134"/>
      <c r="BC245" s="134"/>
      <c r="BD245" s="134"/>
      <c r="BE245" s="134"/>
      <c r="BF245" s="134"/>
      <c r="BG245" s="134"/>
      <c r="BH245" s="134"/>
      <c r="BI245" s="134"/>
      <c r="BJ245" s="134"/>
      <c r="BK245" s="134"/>
      <c r="BL245" s="134"/>
      <c r="BM245" s="135"/>
      <c r="BN245" s="136" t="n">
        <f aca="false">+MAX($D$3,DATOS_[[#This Row],[Fecha Inicio Sit. Contract.]])</f>
        <v>0</v>
      </c>
      <c r="BO245" s="136" t="n">
        <f aca="false">+MIN($D$4,DATOS_[[#This Row],[Fecha Fin Sit. Contract.]])</f>
        <v>0</v>
      </c>
      <c r="BP245" s="137" t="n">
        <f aca="false">+DATOS_[[#This Row],[% de jornada]]*IF(DATOS_[[#This Row],[% jornada reducida]]="",1,DATOS_[[#This Row],[% jornada reducida]])</f>
        <v>0</v>
      </c>
      <c r="BQ245" s="137" t="n">
        <f aca="false">+(DATOS_[[#This Row],[F.fin.cal]]-DATOS_[[#This Row],[F.ini.cal]]+1)/($D$4-$D$3+1)</f>
        <v>1</v>
      </c>
      <c r="BR245" s="137" t="str">
        <f aca="false">IF(OR(AND(DATOS_[[#This Row],[Fecha Fin Contrato]]&lt;$D$3,DATOS_[[#This Row],[Fecha Fin Contrato]]&lt;&gt;""),DATOS_[[#This Row],[Fecha de Contratación]]&gt;$D$4),"Fuera","Dentro")</f>
        <v>Dentro</v>
      </c>
      <c r="BS245" s="137" t="str">
        <f aca="false" t="array" ref="BS245:BS245">IF(MAX(IF(DATOS_[id]=DATOS_[[#This Row],[id]],DATOS_[F.fin.cal]))=DATOS_[[#This Row],[F.fin.cal]],"Sí","NO")</f>
        <v>Sí</v>
      </c>
      <c r="BT245" s="137" t="str">
        <f aca="false">IF(AND(DATOS_[[#This Row],[% normaliz]]&lt;&gt;1,DATOS_[[#This Row],[% anualiz]]=1),"Sí","NO")</f>
        <v>Sí</v>
      </c>
      <c r="BU245" s="137" t="str">
        <f aca="false">IF(AND(DATOS_[[#This Row],[% normaliz]]=1,DATOS_[[#This Row],[% anualiz]]&lt;&gt;1),"Sí","NO")</f>
        <v>NO</v>
      </c>
      <c r="BV245" s="137" t="str">
        <f aca="false">IF(AND(DATOS_[[#This Row],[% normaliz]]&lt;&gt;1,DATOS_[[#This Row],[% anualiz]]&lt;&gt;1),"Sí","NO")</f>
        <v>NO</v>
      </c>
      <c r="BW245" s="137" t="str">
        <f aca="false">+IF(DATOS_[[#This Row],[% normaliz]]*DATOS_[[#This Row],[% anualiz]]=1,"NO","Sí")</f>
        <v>Sí</v>
      </c>
      <c r="BX245" s="138" t="e">
        <f aca="false">(DATOS_[[#This Row],[S.BASE]]*(1/DATOS_[[#This Row],[% normaliz]])*(1/DATOS_[[#This Row],[% anualiz]]))*IF(DATOS_[[#This Row],[Check Equiparado]]="Sí",1,0)</f>
        <v>#DIV/0!</v>
      </c>
      <c r="BY2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5" s="138" t="e">
        <f aca="false">+DATOS_[[#This Row],[SALARIO BASE Eq]]+DATOS_[[#This Row],[Tot COMPL.SAL Eq]]</f>
        <v>#DIV/0!</v>
      </c>
      <c r="CA245" s="138" t="e">
        <f aca="false" t="array" ref="CA245:CA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5" s="138" t="e">
        <f aca="false">+DATOS_[[#This Row],[TOTAL SALARIO Eq]]+DATOS_[[#This Row],[Tot Extrasalarial Eq]]</f>
        <v>#DIV/0!</v>
      </c>
      <c r="CC245" s="139" t="n">
        <f aca="false">DATOS_[[#This Row],[S.BASE]]</f>
        <v>0</v>
      </c>
      <c r="CD245" s="139" t="n">
        <f aca="false">+SUM(DATOS_[[#This Row],[Conc.Sal.01]:[Conc.Sal.30]])</f>
        <v>0</v>
      </c>
      <c r="CE245" s="139" t="n">
        <f aca="false">+DATOS_[[#This Row],[SALARIO BASE Ef]]+DATOS_[[#This Row],[Tot COMPL.SAL Ef]]</f>
        <v>0</v>
      </c>
      <c r="CF245" s="139" t="n">
        <f aca="false">+SUM(DATOS_[[#This Row],[C.Extra.01]:[C.Extra.05]])</f>
        <v>0</v>
      </c>
      <c r="CG245" s="139" t="n">
        <f aca="false">+DATOS_[[#This Row],[TOTAL SALARIO Ef]]+DATOS_[[#This Row],[Tot Extrasalarial Ef]]</f>
        <v>0</v>
      </c>
      <c r="CH245" s="140" t="n">
        <f aca="false">MIN(IF(DATOS_[[#This Row],[Fecha Fin Contrato]]="",$D$4,DATOS_[[#This Row],[Fecha Fin Contrato]]),$D$4)-MAX(DATOS_[[#This Row],[Fecha de Contratación]],$D$3)+1</f>
        <v>1</v>
      </c>
      <c r="CI245" s="141" t="str">
        <f aca="false">IF(COUNTIFS(DATOS_[id],DATOS_[[#This Row],[id]])&gt;1,DATOS_[[#This Row],[id]],"")</f>
        <v/>
      </c>
      <c r="CJ245" s="141" t="n">
        <f aca="false">(Inicio!$G$10-DATOS_[[#This Row],[Fecha Nacimiento]])/365.25</f>
        <v>0</v>
      </c>
      <c r="CK245" s="141" t="n">
        <f aca="false">(Inicio!$G$10-DATOS_[[#This Row],[Fecha de Antigüedad]])/365.25</f>
        <v>0</v>
      </c>
      <c r="CL245" s="141" t="e">
        <f aca="false">+VLOOKUP(DATOS_[[#This Row],[Clave de Contrato]],TblTiposContrato13[],3,0)</f>
        <v>#N/A</v>
      </c>
      <c r="CM245" s="141" t="e">
        <f aca="false">+VLOOKUP(DATOS_[[#This Row],[Clave de Contrato]],TblTiposContrato13[],4,0)</f>
        <v>#N/A</v>
      </c>
      <c r="CN245" s="141" t="str">
        <f aca="false">VLOOKUP(DATOS_[[#This Row],[Edad]],CONTRATOS!TblRngEdad,2,1)</f>
        <v>20  o menos</v>
      </c>
      <c r="CO245" s="141" t="str">
        <f aca="false">VLOOKUP(DATOS_[[#This Row],[Antigüedad]],TblRngAntg14[],2,1)</f>
        <v>0 a 1 años</v>
      </c>
    </row>
    <row r="246" customFormat="false" ht="13.8" hidden="false" customHeight="false" outlineLevel="0" collapsed="false">
      <c r="D246" s="128"/>
      <c r="E246" s="129"/>
      <c r="F246" s="129"/>
      <c r="G246" s="129"/>
      <c r="H246" s="130"/>
      <c r="I246" s="131"/>
      <c r="J246" s="128"/>
      <c r="K246" s="132"/>
      <c r="L246" s="132"/>
      <c r="M246" s="133"/>
      <c r="N246" s="133"/>
      <c r="O246" s="133"/>
      <c r="P246" s="129"/>
      <c r="Z246" s="75"/>
      <c r="AA246" s="76"/>
      <c r="AB246" s="76"/>
      <c r="AC246" s="129"/>
      <c r="AD246" s="134"/>
      <c r="AE246" s="134"/>
      <c r="AF246" s="134"/>
      <c r="AG246" s="134"/>
      <c r="AH246" s="134"/>
      <c r="AI246" s="134"/>
      <c r="AJ246" s="134"/>
      <c r="AK246" s="134"/>
      <c r="AL246" s="134"/>
      <c r="AM246" s="134"/>
      <c r="AN246" s="134"/>
      <c r="AO246" s="134"/>
      <c r="AP246" s="134"/>
      <c r="AQ246" s="134"/>
      <c r="AR246" s="134"/>
      <c r="AS246" s="134"/>
      <c r="AT246" s="134"/>
      <c r="AU246" s="134"/>
      <c r="AV246" s="134"/>
      <c r="AW246" s="134"/>
      <c r="AX246" s="134"/>
      <c r="AY246" s="134"/>
      <c r="AZ246" s="134"/>
      <c r="BA246" s="134"/>
      <c r="BB246" s="134"/>
      <c r="BC246" s="134"/>
      <c r="BD246" s="134"/>
      <c r="BE246" s="134"/>
      <c r="BF246" s="134"/>
      <c r="BG246" s="134"/>
      <c r="BH246" s="134"/>
      <c r="BI246" s="134"/>
      <c r="BJ246" s="134"/>
      <c r="BK246" s="134"/>
      <c r="BL246" s="134"/>
      <c r="BM246" s="135"/>
      <c r="BN246" s="136" t="n">
        <f aca="false">+MAX($D$3,DATOS_[[#This Row],[Fecha Inicio Sit. Contract.]])</f>
        <v>0</v>
      </c>
      <c r="BO246" s="136" t="n">
        <f aca="false">+MIN($D$4,DATOS_[[#This Row],[Fecha Fin Sit. Contract.]])</f>
        <v>0</v>
      </c>
      <c r="BP246" s="137" t="n">
        <f aca="false">+DATOS_[[#This Row],[% de jornada]]*IF(DATOS_[[#This Row],[% jornada reducida]]="",1,DATOS_[[#This Row],[% jornada reducida]])</f>
        <v>0</v>
      </c>
      <c r="BQ246" s="137" t="n">
        <f aca="false">+(DATOS_[[#This Row],[F.fin.cal]]-DATOS_[[#This Row],[F.ini.cal]]+1)/($D$4-$D$3+1)</f>
        <v>1</v>
      </c>
      <c r="BR246" s="137" t="str">
        <f aca="false">IF(OR(AND(DATOS_[[#This Row],[Fecha Fin Contrato]]&lt;$D$3,DATOS_[[#This Row],[Fecha Fin Contrato]]&lt;&gt;""),DATOS_[[#This Row],[Fecha de Contratación]]&gt;$D$4),"Fuera","Dentro")</f>
        <v>Dentro</v>
      </c>
      <c r="BS246" s="137" t="str">
        <f aca="false" t="array" ref="BS246:BS246">IF(MAX(IF(DATOS_[id]=DATOS_[[#This Row],[id]],DATOS_[F.fin.cal]))=DATOS_[[#This Row],[F.fin.cal]],"Sí","NO")</f>
        <v>Sí</v>
      </c>
      <c r="BT246" s="137" t="str">
        <f aca="false">IF(AND(DATOS_[[#This Row],[% normaliz]]&lt;&gt;1,DATOS_[[#This Row],[% anualiz]]=1),"Sí","NO")</f>
        <v>Sí</v>
      </c>
      <c r="BU246" s="137" t="str">
        <f aca="false">IF(AND(DATOS_[[#This Row],[% normaliz]]=1,DATOS_[[#This Row],[% anualiz]]&lt;&gt;1),"Sí","NO")</f>
        <v>NO</v>
      </c>
      <c r="BV246" s="137" t="str">
        <f aca="false">IF(AND(DATOS_[[#This Row],[% normaliz]]&lt;&gt;1,DATOS_[[#This Row],[% anualiz]]&lt;&gt;1),"Sí","NO")</f>
        <v>NO</v>
      </c>
      <c r="BW246" s="137" t="str">
        <f aca="false">+IF(DATOS_[[#This Row],[% normaliz]]*DATOS_[[#This Row],[% anualiz]]=1,"NO","Sí")</f>
        <v>Sí</v>
      </c>
      <c r="BX246" s="138" t="e">
        <f aca="false">(DATOS_[[#This Row],[S.BASE]]*(1/DATOS_[[#This Row],[% normaliz]])*(1/DATOS_[[#This Row],[% anualiz]]))*IF(DATOS_[[#This Row],[Check Equiparado]]="Sí",1,0)</f>
        <v>#DIV/0!</v>
      </c>
      <c r="BY2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6" s="138" t="e">
        <f aca="false">+DATOS_[[#This Row],[SALARIO BASE Eq]]+DATOS_[[#This Row],[Tot COMPL.SAL Eq]]</f>
        <v>#DIV/0!</v>
      </c>
      <c r="CA246" s="138" t="e">
        <f aca="false" t="array" ref="CA246:CA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6" s="138" t="e">
        <f aca="false">+DATOS_[[#This Row],[TOTAL SALARIO Eq]]+DATOS_[[#This Row],[Tot Extrasalarial Eq]]</f>
        <v>#DIV/0!</v>
      </c>
      <c r="CC246" s="139" t="n">
        <f aca="false">DATOS_[[#This Row],[S.BASE]]</f>
        <v>0</v>
      </c>
      <c r="CD246" s="139" t="n">
        <f aca="false">+SUM(DATOS_[[#This Row],[Conc.Sal.01]:[Conc.Sal.30]])</f>
        <v>0</v>
      </c>
      <c r="CE246" s="139" t="n">
        <f aca="false">+DATOS_[[#This Row],[SALARIO BASE Ef]]+DATOS_[[#This Row],[Tot COMPL.SAL Ef]]</f>
        <v>0</v>
      </c>
      <c r="CF246" s="139" t="n">
        <f aca="false">+SUM(DATOS_[[#This Row],[C.Extra.01]:[C.Extra.05]])</f>
        <v>0</v>
      </c>
      <c r="CG246" s="139" t="n">
        <f aca="false">+DATOS_[[#This Row],[TOTAL SALARIO Ef]]+DATOS_[[#This Row],[Tot Extrasalarial Ef]]</f>
        <v>0</v>
      </c>
      <c r="CH246" s="140" t="n">
        <f aca="false">MIN(IF(DATOS_[[#This Row],[Fecha Fin Contrato]]="",$D$4,DATOS_[[#This Row],[Fecha Fin Contrato]]),$D$4)-MAX(DATOS_[[#This Row],[Fecha de Contratación]],$D$3)+1</f>
        <v>1</v>
      </c>
      <c r="CI246" s="141" t="str">
        <f aca="false">IF(COUNTIFS(DATOS_[id],DATOS_[[#This Row],[id]])&gt;1,DATOS_[[#This Row],[id]],"")</f>
        <v/>
      </c>
      <c r="CJ246" s="141" t="n">
        <f aca="false">(Inicio!$G$10-DATOS_[[#This Row],[Fecha Nacimiento]])/365.25</f>
        <v>0</v>
      </c>
      <c r="CK246" s="141" t="n">
        <f aca="false">(Inicio!$G$10-DATOS_[[#This Row],[Fecha de Antigüedad]])/365.25</f>
        <v>0</v>
      </c>
      <c r="CL246" s="141" t="e">
        <f aca="false">+VLOOKUP(DATOS_[[#This Row],[Clave de Contrato]],TblTiposContrato13[],3,0)</f>
        <v>#N/A</v>
      </c>
      <c r="CM246" s="141" t="e">
        <f aca="false">+VLOOKUP(DATOS_[[#This Row],[Clave de Contrato]],TblTiposContrato13[],4,0)</f>
        <v>#N/A</v>
      </c>
      <c r="CN246" s="141" t="str">
        <f aca="false">VLOOKUP(DATOS_[[#This Row],[Edad]],CONTRATOS!TblRngEdad,2,1)</f>
        <v>20  o menos</v>
      </c>
      <c r="CO246" s="141" t="str">
        <f aca="false">VLOOKUP(DATOS_[[#This Row],[Antigüedad]],TblRngAntg14[],2,1)</f>
        <v>0 a 1 años</v>
      </c>
    </row>
    <row r="247" customFormat="false" ht="13.8" hidden="false" customHeight="false" outlineLevel="0" collapsed="false">
      <c r="D247" s="128"/>
      <c r="E247" s="129"/>
      <c r="F247" s="129"/>
      <c r="G247" s="129"/>
      <c r="H247" s="130"/>
      <c r="I247" s="131"/>
      <c r="J247" s="128"/>
      <c r="K247" s="132"/>
      <c r="L247" s="132"/>
      <c r="M247" s="133"/>
      <c r="N247" s="133"/>
      <c r="O247" s="133"/>
      <c r="P247" s="129"/>
      <c r="Z247" s="75"/>
      <c r="AA247" s="76"/>
      <c r="AB247" s="76"/>
      <c r="AC247" s="129"/>
      <c r="AD247" s="134"/>
      <c r="AE247" s="134"/>
      <c r="AF247" s="134"/>
      <c r="AG247" s="134"/>
      <c r="AH247" s="134"/>
      <c r="AI247" s="134"/>
      <c r="AJ247" s="134"/>
      <c r="AK247" s="134"/>
      <c r="AL247" s="134"/>
      <c r="AM247" s="134"/>
      <c r="AN247" s="134"/>
      <c r="AO247" s="134"/>
      <c r="AP247" s="134"/>
      <c r="AQ247" s="134"/>
      <c r="AR247" s="134"/>
      <c r="AS247" s="134"/>
      <c r="AT247" s="134"/>
      <c r="AU247" s="134"/>
      <c r="AV247" s="134"/>
      <c r="AW247" s="134"/>
      <c r="AX247" s="134"/>
      <c r="AY247" s="134"/>
      <c r="AZ247" s="134"/>
      <c r="BA247" s="134"/>
      <c r="BB247" s="134"/>
      <c r="BC247" s="134"/>
      <c r="BD247" s="134"/>
      <c r="BE247" s="134"/>
      <c r="BF247" s="134"/>
      <c r="BG247" s="134"/>
      <c r="BH247" s="134"/>
      <c r="BI247" s="134"/>
      <c r="BJ247" s="134"/>
      <c r="BK247" s="134"/>
      <c r="BL247" s="134"/>
      <c r="BM247" s="135"/>
      <c r="BN247" s="136" t="n">
        <f aca="false">+MAX($D$3,DATOS_[[#This Row],[Fecha Inicio Sit. Contract.]])</f>
        <v>0</v>
      </c>
      <c r="BO247" s="136" t="n">
        <f aca="false">+MIN($D$4,DATOS_[[#This Row],[Fecha Fin Sit. Contract.]])</f>
        <v>0</v>
      </c>
      <c r="BP247" s="137" t="n">
        <f aca="false">+DATOS_[[#This Row],[% de jornada]]*IF(DATOS_[[#This Row],[% jornada reducida]]="",1,DATOS_[[#This Row],[% jornada reducida]])</f>
        <v>0</v>
      </c>
      <c r="BQ247" s="137" t="n">
        <f aca="false">+(DATOS_[[#This Row],[F.fin.cal]]-DATOS_[[#This Row],[F.ini.cal]]+1)/($D$4-$D$3+1)</f>
        <v>1</v>
      </c>
      <c r="BR247" s="137" t="str">
        <f aca="false">IF(OR(AND(DATOS_[[#This Row],[Fecha Fin Contrato]]&lt;$D$3,DATOS_[[#This Row],[Fecha Fin Contrato]]&lt;&gt;""),DATOS_[[#This Row],[Fecha de Contratación]]&gt;$D$4),"Fuera","Dentro")</f>
        <v>Dentro</v>
      </c>
      <c r="BS247" s="137" t="str">
        <f aca="false" t="array" ref="BS247:BS247">IF(MAX(IF(DATOS_[id]=DATOS_[[#This Row],[id]],DATOS_[F.fin.cal]))=DATOS_[[#This Row],[F.fin.cal]],"Sí","NO")</f>
        <v>Sí</v>
      </c>
      <c r="BT247" s="137" t="str">
        <f aca="false">IF(AND(DATOS_[[#This Row],[% normaliz]]&lt;&gt;1,DATOS_[[#This Row],[% anualiz]]=1),"Sí","NO")</f>
        <v>Sí</v>
      </c>
      <c r="BU247" s="137" t="str">
        <f aca="false">IF(AND(DATOS_[[#This Row],[% normaliz]]=1,DATOS_[[#This Row],[% anualiz]]&lt;&gt;1),"Sí","NO")</f>
        <v>NO</v>
      </c>
      <c r="BV247" s="137" t="str">
        <f aca="false">IF(AND(DATOS_[[#This Row],[% normaliz]]&lt;&gt;1,DATOS_[[#This Row],[% anualiz]]&lt;&gt;1),"Sí","NO")</f>
        <v>NO</v>
      </c>
      <c r="BW247" s="137" t="str">
        <f aca="false">+IF(DATOS_[[#This Row],[% normaliz]]*DATOS_[[#This Row],[% anualiz]]=1,"NO","Sí")</f>
        <v>Sí</v>
      </c>
      <c r="BX247" s="138" t="e">
        <f aca="false">(DATOS_[[#This Row],[S.BASE]]*(1/DATOS_[[#This Row],[% normaliz]])*(1/DATOS_[[#This Row],[% anualiz]]))*IF(DATOS_[[#This Row],[Check Equiparado]]="Sí",1,0)</f>
        <v>#DIV/0!</v>
      </c>
      <c r="BY2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7" s="138" t="e">
        <f aca="false">+DATOS_[[#This Row],[SALARIO BASE Eq]]+DATOS_[[#This Row],[Tot COMPL.SAL Eq]]</f>
        <v>#DIV/0!</v>
      </c>
      <c r="CA247" s="138" t="e">
        <f aca="false" t="array" ref="CA247:CA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7" s="138" t="e">
        <f aca="false">+DATOS_[[#This Row],[TOTAL SALARIO Eq]]+DATOS_[[#This Row],[Tot Extrasalarial Eq]]</f>
        <v>#DIV/0!</v>
      </c>
      <c r="CC247" s="139" t="n">
        <f aca="false">DATOS_[[#This Row],[S.BASE]]</f>
        <v>0</v>
      </c>
      <c r="CD247" s="139" t="n">
        <f aca="false">+SUM(DATOS_[[#This Row],[Conc.Sal.01]:[Conc.Sal.30]])</f>
        <v>0</v>
      </c>
      <c r="CE247" s="139" t="n">
        <f aca="false">+DATOS_[[#This Row],[SALARIO BASE Ef]]+DATOS_[[#This Row],[Tot COMPL.SAL Ef]]</f>
        <v>0</v>
      </c>
      <c r="CF247" s="139" t="n">
        <f aca="false">+SUM(DATOS_[[#This Row],[C.Extra.01]:[C.Extra.05]])</f>
        <v>0</v>
      </c>
      <c r="CG247" s="139" t="n">
        <f aca="false">+DATOS_[[#This Row],[TOTAL SALARIO Ef]]+DATOS_[[#This Row],[Tot Extrasalarial Ef]]</f>
        <v>0</v>
      </c>
      <c r="CH247" s="140" t="n">
        <f aca="false">MIN(IF(DATOS_[[#This Row],[Fecha Fin Contrato]]="",$D$4,DATOS_[[#This Row],[Fecha Fin Contrato]]),$D$4)-MAX(DATOS_[[#This Row],[Fecha de Contratación]],$D$3)+1</f>
        <v>1</v>
      </c>
      <c r="CI247" s="141" t="str">
        <f aca="false">IF(COUNTIFS(DATOS_[id],DATOS_[[#This Row],[id]])&gt;1,DATOS_[[#This Row],[id]],"")</f>
        <v/>
      </c>
      <c r="CJ247" s="141" t="n">
        <f aca="false">(Inicio!$G$10-DATOS_[[#This Row],[Fecha Nacimiento]])/365.25</f>
        <v>0</v>
      </c>
      <c r="CK247" s="141" t="n">
        <f aca="false">(Inicio!$G$10-DATOS_[[#This Row],[Fecha de Antigüedad]])/365.25</f>
        <v>0</v>
      </c>
      <c r="CL247" s="141" t="e">
        <f aca="false">+VLOOKUP(DATOS_[[#This Row],[Clave de Contrato]],TblTiposContrato13[],3,0)</f>
        <v>#N/A</v>
      </c>
      <c r="CM247" s="141" t="e">
        <f aca="false">+VLOOKUP(DATOS_[[#This Row],[Clave de Contrato]],TblTiposContrato13[],4,0)</f>
        <v>#N/A</v>
      </c>
      <c r="CN247" s="141" t="str">
        <f aca="false">VLOOKUP(DATOS_[[#This Row],[Edad]],CONTRATOS!TblRngEdad,2,1)</f>
        <v>20  o menos</v>
      </c>
      <c r="CO247" s="141" t="str">
        <f aca="false">VLOOKUP(DATOS_[[#This Row],[Antigüedad]],TblRngAntg14[],2,1)</f>
        <v>0 a 1 años</v>
      </c>
    </row>
    <row r="248" customFormat="false" ht="13.8" hidden="false" customHeight="false" outlineLevel="0" collapsed="false">
      <c r="D248" s="128"/>
      <c r="E248" s="129"/>
      <c r="F248" s="129"/>
      <c r="G248" s="129"/>
      <c r="H248" s="130"/>
      <c r="I248" s="131"/>
      <c r="J248" s="128"/>
      <c r="K248" s="132"/>
      <c r="L248" s="132"/>
      <c r="M248" s="133"/>
      <c r="N248" s="133"/>
      <c r="O248" s="133"/>
      <c r="P248" s="129"/>
      <c r="Z248" s="75"/>
      <c r="AA248" s="76"/>
      <c r="AB248" s="76"/>
      <c r="AC248" s="129"/>
      <c r="AD248" s="134"/>
      <c r="AE248" s="134"/>
      <c r="AF248" s="134"/>
      <c r="AG248" s="134"/>
      <c r="AH248" s="134"/>
      <c r="AI248" s="134"/>
      <c r="AJ248" s="134"/>
      <c r="AK248" s="134"/>
      <c r="AL248" s="134"/>
      <c r="AM248" s="134"/>
      <c r="AN248" s="134"/>
      <c r="AO248" s="134"/>
      <c r="AP248" s="134"/>
      <c r="AQ248" s="134"/>
      <c r="AR248" s="134"/>
      <c r="AS248" s="134"/>
      <c r="AT248" s="134"/>
      <c r="AU248" s="134"/>
      <c r="AV248" s="134"/>
      <c r="AW248" s="134"/>
      <c r="AX248" s="134"/>
      <c r="AY248" s="134"/>
      <c r="AZ248" s="134"/>
      <c r="BA248" s="134"/>
      <c r="BB248" s="134"/>
      <c r="BC248" s="134"/>
      <c r="BD248" s="134"/>
      <c r="BE248" s="134"/>
      <c r="BF248" s="134"/>
      <c r="BG248" s="134"/>
      <c r="BH248" s="134"/>
      <c r="BI248" s="134"/>
      <c r="BJ248" s="134"/>
      <c r="BK248" s="134"/>
      <c r="BL248" s="134"/>
      <c r="BM248" s="135"/>
      <c r="BN248" s="136" t="n">
        <f aca="false">+MAX($D$3,DATOS_[[#This Row],[Fecha Inicio Sit. Contract.]])</f>
        <v>0</v>
      </c>
      <c r="BO248" s="136" t="n">
        <f aca="false">+MIN($D$4,DATOS_[[#This Row],[Fecha Fin Sit. Contract.]])</f>
        <v>0</v>
      </c>
      <c r="BP248" s="137" t="n">
        <f aca="false">+DATOS_[[#This Row],[% de jornada]]*IF(DATOS_[[#This Row],[% jornada reducida]]="",1,DATOS_[[#This Row],[% jornada reducida]])</f>
        <v>0</v>
      </c>
      <c r="BQ248" s="137" t="n">
        <f aca="false">+(DATOS_[[#This Row],[F.fin.cal]]-DATOS_[[#This Row],[F.ini.cal]]+1)/($D$4-$D$3+1)</f>
        <v>1</v>
      </c>
      <c r="BR248" s="137" t="str">
        <f aca="false">IF(OR(AND(DATOS_[[#This Row],[Fecha Fin Contrato]]&lt;$D$3,DATOS_[[#This Row],[Fecha Fin Contrato]]&lt;&gt;""),DATOS_[[#This Row],[Fecha de Contratación]]&gt;$D$4),"Fuera","Dentro")</f>
        <v>Dentro</v>
      </c>
      <c r="BS248" s="137" t="str">
        <f aca="false" t="array" ref="BS248:BS248">IF(MAX(IF(DATOS_[id]=DATOS_[[#This Row],[id]],DATOS_[F.fin.cal]))=DATOS_[[#This Row],[F.fin.cal]],"Sí","NO")</f>
        <v>Sí</v>
      </c>
      <c r="BT248" s="137" t="str">
        <f aca="false">IF(AND(DATOS_[[#This Row],[% normaliz]]&lt;&gt;1,DATOS_[[#This Row],[% anualiz]]=1),"Sí","NO")</f>
        <v>Sí</v>
      </c>
      <c r="BU248" s="137" t="str">
        <f aca="false">IF(AND(DATOS_[[#This Row],[% normaliz]]=1,DATOS_[[#This Row],[% anualiz]]&lt;&gt;1),"Sí","NO")</f>
        <v>NO</v>
      </c>
      <c r="BV248" s="137" t="str">
        <f aca="false">IF(AND(DATOS_[[#This Row],[% normaliz]]&lt;&gt;1,DATOS_[[#This Row],[% anualiz]]&lt;&gt;1),"Sí","NO")</f>
        <v>NO</v>
      </c>
      <c r="BW248" s="137" t="str">
        <f aca="false">+IF(DATOS_[[#This Row],[% normaliz]]*DATOS_[[#This Row],[% anualiz]]=1,"NO","Sí")</f>
        <v>Sí</v>
      </c>
      <c r="BX248" s="138" t="e">
        <f aca="false">(DATOS_[[#This Row],[S.BASE]]*(1/DATOS_[[#This Row],[% normaliz]])*(1/DATOS_[[#This Row],[% anualiz]]))*IF(DATOS_[[#This Row],[Check Equiparado]]="Sí",1,0)</f>
        <v>#DIV/0!</v>
      </c>
      <c r="BY2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8" s="138" t="e">
        <f aca="false">+DATOS_[[#This Row],[SALARIO BASE Eq]]+DATOS_[[#This Row],[Tot COMPL.SAL Eq]]</f>
        <v>#DIV/0!</v>
      </c>
      <c r="CA248" s="138" t="e">
        <f aca="false" t="array" ref="CA248:CA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8" s="138" t="e">
        <f aca="false">+DATOS_[[#This Row],[TOTAL SALARIO Eq]]+DATOS_[[#This Row],[Tot Extrasalarial Eq]]</f>
        <v>#DIV/0!</v>
      </c>
      <c r="CC248" s="139" t="n">
        <f aca="false">DATOS_[[#This Row],[S.BASE]]</f>
        <v>0</v>
      </c>
      <c r="CD248" s="139" t="n">
        <f aca="false">+SUM(DATOS_[[#This Row],[Conc.Sal.01]:[Conc.Sal.30]])</f>
        <v>0</v>
      </c>
      <c r="CE248" s="139" t="n">
        <f aca="false">+DATOS_[[#This Row],[SALARIO BASE Ef]]+DATOS_[[#This Row],[Tot COMPL.SAL Ef]]</f>
        <v>0</v>
      </c>
      <c r="CF248" s="139" t="n">
        <f aca="false">+SUM(DATOS_[[#This Row],[C.Extra.01]:[C.Extra.05]])</f>
        <v>0</v>
      </c>
      <c r="CG248" s="139" t="n">
        <f aca="false">+DATOS_[[#This Row],[TOTAL SALARIO Ef]]+DATOS_[[#This Row],[Tot Extrasalarial Ef]]</f>
        <v>0</v>
      </c>
      <c r="CH248" s="140" t="n">
        <f aca="false">MIN(IF(DATOS_[[#This Row],[Fecha Fin Contrato]]="",$D$4,DATOS_[[#This Row],[Fecha Fin Contrato]]),$D$4)-MAX(DATOS_[[#This Row],[Fecha de Contratación]],$D$3)+1</f>
        <v>1</v>
      </c>
      <c r="CI248" s="141" t="str">
        <f aca="false">IF(COUNTIFS(DATOS_[id],DATOS_[[#This Row],[id]])&gt;1,DATOS_[[#This Row],[id]],"")</f>
        <v/>
      </c>
      <c r="CJ248" s="141" t="n">
        <f aca="false">(Inicio!$G$10-DATOS_[[#This Row],[Fecha Nacimiento]])/365.25</f>
        <v>0</v>
      </c>
      <c r="CK248" s="141" t="n">
        <f aca="false">(Inicio!$G$10-DATOS_[[#This Row],[Fecha de Antigüedad]])/365.25</f>
        <v>0</v>
      </c>
      <c r="CL248" s="141" t="e">
        <f aca="false">+VLOOKUP(DATOS_[[#This Row],[Clave de Contrato]],TblTiposContrato13[],3,0)</f>
        <v>#N/A</v>
      </c>
      <c r="CM248" s="141" t="e">
        <f aca="false">+VLOOKUP(DATOS_[[#This Row],[Clave de Contrato]],TblTiposContrato13[],4,0)</f>
        <v>#N/A</v>
      </c>
      <c r="CN248" s="141" t="str">
        <f aca="false">VLOOKUP(DATOS_[[#This Row],[Edad]],CONTRATOS!TblRngEdad,2,1)</f>
        <v>20  o menos</v>
      </c>
      <c r="CO248" s="141" t="str">
        <f aca="false">VLOOKUP(DATOS_[[#This Row],[Antigüedad]],TblRngAntg14[],2,1)</f>
        <v>0 a 1 años</v>
      </c>
    </row>
    <row r="249" customFormat="false" ht="13.8" hidden="false" customHeight="false" outlineLevel="0" collapsed="false">
      <c r="D249" s="128"/>
      <c r="E249" s="129"/>
      <c r="F249" s="129"/>
      <c r="G249" s="129"/>
      <c r="H249" s="130"/>
      <c r="I249" s="131"/>
      <c r="J249" s="128"/>
      <c r="K249" s="132"/>
      <c r="L249" s="132"/>
      <c r="M249" s="133"/>
      <c r="N249" s="133"/>
      <c r="O249" s="133"/>
      <c r="P249" s="129"/>
      <c r="Z249" s="75"/>
      <c r="AA249" s="76"/>
      <c r="AB249" s="76"/>
      <c r="AC249" s="129"/>
      <c r="AD249" s="134"/>
      <c r="AE249" s="134"/>
      <c r="AF249" s="134"/>
      <c r="AG249" s="134"/>
      <c r="AH249" s="134"/>
      <c r="AI249" s="134"/>
      <c r="AJ249" s="134"/>
      <c r="AK249" s="134"/>
      <c r="AL249" s="134"/>
      <c r="AM249" s="134"/>
      <c r="AN249" s="134"/>
      <c r="AO249" s="134"/>
      <c r="AP249" s="134"/>
      <c r="AQ249" s="134"/>
      <c r="AR249" s="134"/>
      <c r="AS249" s="134"/>
      <c r="AT249" s="134"/>
      <c r="AU249" s="134"/>
      <c r="AV249" s="134"/>
      <c r="AW249" s="134"/>
      <c r="AX249" s="134"/>
      <c r="AY249" s="134"/>
      <c r="AZ249" s="134"/>
      <c r="BA249" s="134"/>
      <c r="BB249" s="134"/>
      <c r="BC249" s="134"/>
      <c r="BD249" s="134"/>
      <c r="BE249" s="134"/>
      <c r="BF249" s="134"/>
      <c r="BG249" s="134"/>
      <c r="BH249" s="134"/>
      <c r="BI249" s="134"/>
      <c r="BJ249" s="134"/>
      <c r="BK249" s="134"/>
      <c r="BL249" s="134"/>
      <c r="BM249" s="135"/>
      <c r="BN249" s="136" t="n">
        <f aca="false">+MAX($D$3,DATOS_[[#This Row],[Fecha Inicio Sit. Contract.]])</f>
        <v>0</v>
      </c>
      <c r="BO249" s="136" t="n">
        <f aca="false">+MIN($D$4,DATOS_[[#This Row],[Fecha Fin Sit. Contract.]])</f>
        <v>0</v>
      </c>
      <c r="BP249" s="137" t="n">
        <f aca="false">+DATOS_[[#This Row],[% de jornada]]*IF(DATOS_[[#This Row],[% jornada reducida]]="",1,DATOS_[[#This Row],[% jornada reducida]])</f>
        <v>0</v>
      </c>
      <c r="BQ249" s="137" t="n">
        <f aca="false">+(DATOS_[[#This Row],[F.fin.cal]]-DATOS_[[#This Row],[F.ini.cal]]+1)/($D$4-$D$3+1)</f>
        <v>1</v>
      </c>
      <c r="BR249" s="137" t="str">
        <f aca="false">IF(OR(AND(DATOS_[[#This Row],[Fecha Fin Contrato]]&lt;$D$3,DATOS_[[#This Row],[Fecha Fin Contrato]]&lt;&gt;""),DATOS_[[#This Row],[Fecha de Contratación]]&gt;$D$4),"Fuera","Dentro")</f>
        <v>Dentro</v>
      </c>
      <c r="BS249" s="137" t="str">
        <f aca="false" t="array" ref="BS249:BS249">IF(MAX(IF(DATOS_[id]=DATOS_[[#This Row],[id]],DATOS_[F.fin.cal]))=DATOS_[[#This Row],[F.fin.cal]],"Sí","NO")</f>
        <v>Sí</v>
      </c>
      <c r="BT249" s="137" t="str">
        <f aca="false">IF(AND(DATOS_[[#This Row],[% normaliz]]&lt;&gt;1,DATOS_[[#This Row],[% anualiz]]=1),"Sí","NO")</f>
        <v>Sí</v>
      </c>
      <c r="BU249" s="137" t="str">
        <f aca="false">IF(AND(DATOS_[[#This Row],[% normaliz]]=1,DATOS_[[#This Row],[% anualiz]]&lt;&gt;1),"Sí","NO")</f>
        <v>NO</v>
      </c>
      <c r="BV249" s="137" t="str">
        <f aca="false">IF(AND(DATOS_[[#This Row],[% normaliz]]&lt;&gt;1,DATOS_[[#This Row],[% anualiz]]&lt;&gt;1),"Sí","NO")</f>
        <v>NO</v>
      </c>
      <c r="BW249" s="137" t="str">
        <f aca="false">+IF(DATOS_[[#This Row],[% normaliz]]*DATOS_[[#This Row],[% anualiz]]=1,"NO","Sí")</f>
        <v>Sí</v>
      </c>
      <c r="BX249" s="138" t="e">
        <f aca="false">(DATOS_[[#This Row],[S.BASE]]*(1/DATOS_[[#This Row],[% normaliz]])*(1/DATOS_[[#This Row],[% anualiz]]))*IF(DATOS_[[#This Row],[Check Equiparado]]="Sí",1,0)</f>
        <v>#DIV/0!</v>
      </c>
      <c r="BY2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9" s="138" t="e">
        <f aca="false">+DATOS_[[#This Row],[SALARIO BASE Eq]]+DATOS_[[#This Row],[Tot COMPL.SAL Eq]]</f>
        <v>#DIV/0!</v>
      </c>
      <c r="CA249" s="138" t="e">
        <f aca="false" t="array" ref="CA249:CA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9" s="138" t="e">
        <f aca="false">+DATOS_[[#This Row],[TOTAL SALARIO Eq]]+DATOS_[[#This Row],[Tot Extrasalarial Eq]]</f>
        <v>#DIV/0!</v>
      </c>
      <c r="CC249" s="139" t="n">
        <f aca="false">DATOS_[[#This Row],[S.BASE]]</f>
        <v>0</v>
      </c>
      <c r="CD249" s="139" t="n">
        <f aca="false">+SUM(DATOS_[[#This Row],[Conc.Sal.01]:[Conc.Sal.30]])</f>
        <v>0</v>
      </c>
      <c r="CE249" s="139" t="n">
        <f aca="false">+DATOS_[[#This Row],[SALARIO BASE Ef]]+DATOS_[[#This Row],[Tot COMPL.SAL Ef]]</f>
        <v>0</v>
      </c>
      <c r="CF249" s="139" t="n">
        <f aca="false">+SUM(DATOS_[[#This Row],[C.Extra.01]:[C.Extra.05]])</f>
        <v>0</v>
      </c>
      <c r="CG249" s="139" t="n">
        <f aca="false">+DATOS_[[#This Row],[TOTAL SALARIO Ef]]+DATOS_[[#This Row],[Tot Extrasalarial Ef]]</f>
        <v>0</v>
      </c>
      <c r="CH249" s="140" t="n">
        <f aca="false">MIN(IF(DATOS_[[#This Row],[Fecha Fin Contrato]]="",$D$4,DATOS_[[#This Row],[Fecha Fin Contrato]]),$D$4)-MAX(DATOS_[[#This Row],[Fecha de Contratación]],$D$3)+1</f>
        <v>1</v>
      </c>
      <c r="CI249" s="141" t="str">
        <f aca="false">IF(COUNTIFS(DATOS_[id],DATOS_[[#This Row],[id]])&gt;1,DATOS_[[#This Row],[id]],"")</f>
        <v/>
      </c>
      <c r="CJ249" s="141" t="n">
        <f aca="false">(Inicio!$G$10-DATOS_[[#This Row],[Fecha Nacimiento]])/365.25</f>
        <v>0</v>
      </c>
      <c r="CK249" s="141" t="n">
        <f aca="false">(Inicio!$G$10-DATOS_[[#This Row],[Fecha de Antigüedad]])/365.25</f>
        <v>0</v>
      </c>
      <c r="CL249" s="141" t="e">
        <f aca="false">+VLOOKUP(DATOS_[[#This Row],[Clave de Contrato]],TblTiposContrato13[],3,0)</f>
        <v>#N/A</v>
      </c>
      <c r="CM249" s="141" t="e">
        <f aca="false">+VLOOKUP(DATOS_[[#This Row],[Clave de Contrato]],TblTiposContrato13[],4,0)</f>
        <v>#N/A</v>
      </c>
      <c r="CN249" s="141" t="str">
        <f aca="false">VLOOKUP(DATOS_[[#This Row],[Edad]],CONTRATOS!TblRngEdad,2,1)</f>
        <v>20  o menos</v>
      </c>
      <c r="CO249" s="141" t="str">
        <f aca="false">VLOOKUP(DATOS_[[#This Row],[Antigüedad]],TblRngAntg14[],2,1)</f>
        <v>0 a 1 años</v>
      </c>
    </row>
    <row r="250" customFormat="false" ht="13.8" hidden="false" customHeight="false" outlineLevel="0" collapsed="false">
      <c r="D250" s="128"/>
      <c r="E250" s="129"/>
      <c r="F250" s="129"/>
      <c r="G250" s="129"/>
      <c r="H250" s="130"/>
      <c r="I250" s="131"/>
      <c r="J250" s="128"/>
      <c r="K250" s="132"/>
      <c r="L250" s="132"/>
      <c r="M250" s="133"/>
      <c r="N250" s="133"/>
      <c r="O250" s="133"/>
      <c r="P250" s="129"/>
      <c r="Z250" s="75"/>
      <c r="AA250" s="76"/>
      <c r="AB250" s="76"/>
      <c r="AC250" s="129"/>
      <c r="AD250" s="134"/>
      <c r="AE250" s="134"/>
      <c r="AF250" s="134"/>
      <c r="AG250" s="134"/>
      <c r="AH250" s="134"/>
      <c r="AI250" s="134"/>
      <c r="AJ250" s="134"/>
      <c r="AK250" s="134"/>
      <c r="AL250" s="134"/>
      <c r="AM250" s="134"/>
      <c r="AN250" s="134"/>
      <c r="AO250" s="134"/>
      <c r="AP250" s="134"/>
      <c r="AQ250" s="134"/>
      <c r="AR250" s="134"/>
      <c r="AS250" s="134"/>
      <c r="AT250" s="134"/>
      <c r="AU250" s="134"/>
      <c r="AV250" s="134"/>
      <c r="AW250" s="134"/>
      <c r="AX250" s="134"/>
      <c r="AY250" s="134"/>
      <c r="AZ250" s="134"/>
      <c r="BA250" s="134"/>
      <c r="BB250" s="134"/>
      <c r="BC250" s="134"/>
      <c r="BD250" s="134"/>
      <c r="BE250" s="134"/>
      <c r="BF250" s="134"/>
      <c r="BG250" s="134"/>
      <c r="BH250" s="134"/>
      <c r="BI250" s="134"/>
      <c r="BJ250" s="134"/>
      <c r="BK250" s="134"/>
      <c r="BL250" s="134"/>
      <c r="BM250" s="135"/>
      <c r="BN250" s="136" t="n">
        <f aca="false">+MAX($D$3,DATOS_[[#This Row],[Fecha Inicio Sit. Contract.]])</f>
        <v>0</v>
      </c>
      <c r="BO250" s="136" t="n">
        <f aca="false">+MIN($D$4,DATOS_[[#This Row],[Fecha Fin Sit. Contract.]])</f>
        <v>0</v>
      </c>
      <c r="BP250" s="137" t="n">
        <f aca="false">+DATOS_[[#This Row],[% de jornada]]*IF(DATOS_[[#This Row],[% jornada reducida]]="",1,DATOS_[[#This Row],[% jornada reducida]])</f>
        <v>0</v>
      </c>
      <c r="BQ250" s="137" t="n">
        <f aca="false">+(DATOS_[[#This Row],[F.fin.cal]]-DATOS_[[#This Row],[F.ini.cal]]+1)/($D$4-$D$3+1)</f>
        <v>1</v>
      </c>
      <c r="BR250" s="137" t="str">
        <f aca="false">IF(OR(AND(DATOS_[[#This Row],[Fecha Fin Contrato]]&lt;$D$3,DATOS_[[#This Row],[Fecha Fin Contrato]]&lt;&gt;""),DATOS_[[#This Row],[Fecha de Contratación]]&gt;$D$4),"Fuera","Dentro")</f>
        <v>Dentro</v>
      </c>
      <c r="BS250" s="137" t="str">
        <f aca="false" t="array" ref="BS250:BS250">IF(MAX(IF(DATOS_[id]=DATOS_[[#This Row],[id]],DATOS_[F.fin.cal]))=DATOS_[[#This Row],[F.fin.cal]],"Sí","NO")</f>
        <v>Sí</v>
      </c>
      <c r="BT250" s="137" t="str">
        <f aca="false">IF(AND(DATOS_[[#This Row],[% normaliz]]&lt;&gt;1,DATOS_[[#This Row],[% anualiz]]=1),"Sí","NO")</f>
        <v>Sí</v>
      </c>
      <c r="BU250" s="137" t="str">
        <f aca="false">IF(AND(DATOS_[[#This Row],[% normaliz]]=1,DATOS_[[#This Row],[% anualiz]]&lt;&gt;1),"Sí","NO")</f>
        <v>NO</v>
      </c>
      <c r="BV250" s="137" t="str">
        <f aca="false">IF(AND(DATOS_[[#This Row],[% normaliz]]&lt;&gt;1,DATOS_[[#This Row],[% anualiz]]&lt;&gt;1),"Sí","NO")</f>
        <v>NO</v>
      </c>
      <c r="BW250" s="137" t="str">
        <f aca="false">+IF(DATOS_[[#This Row],[% normaliz]]*DATOS_[[#This Row],[% anualiz]]=1,"NO","Sí")</f>
        <v>Sí</v>
      </c>
      <c r="BX250" s="138" t="e">
        <f aca="false">(DATOS_[[#This Row],[S.BASE]]*(1/DATOS_[[#This Row],[% normaliz]])*(1/DATOS_[[#This Row],[% anualiz]]))*IF(DATOS_[[#This Row],[Check Equiparado]]="Sí",1,0)</f>
        <v>#DIV/0!</v>
      </c>
      <c r="BY2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0" s="138" t="e">
        <f aca="false">+DATOS_[[#This Row],[SALARIO BASE Eq]]+DATOS_[[#This Row],[Tot COMPL.SAL Eq]]</f>
        <v>#DIV/0!</v>
      </c>
      <c r="CA250" s="138" t="e">
        <f aca="false" t="array" ref="CA250:CA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0" s="138" t="e">
        <f aca="false">+DATOS_[[#This Row],[TOTAL SALARIO Eq]]+DATOS_[[#This Row],[Tot Extrasalarial Eq]]</f>
        <v>#DIV/0!</v>
      </c>
      <c r="CC250" s="139" t="n">
        <f aca="false">DATOS_[[#This Row],[S.BASE]]</f>
        <v>0</v>
      </c>
      <c r="CD250" s="139" t="n">
        <f aca="false">+SUM(DATOS_[[#This Row],[Conc.Sal.01]:[Conc.Sal.30]])</f>
        <v>0</v>
      </c>
      <c r="CE250" s="139" t="n">
        <f aca="false">+DATOS_[[#This Row],[SALARIO BASE Ef]]+DATOS_[[#This Row],[Tot COMPL.SAL Ef]]</f>
        <v>0</v>
      </c>
      <c r="CF250" s="139" t="n">
        <f aca="false">+SUM(DATOS_[[#This Row],[C.Extra.01]:[C.Extra.05]])</f>
        <v>0</v>
      </c>
      <c r="CG250" s="139" t="n">
        <f aca="false">+DATOS_[[#This Row],[TOTAL SALARIO Ef]]+DATOS_[[#This Row],[Tot Extrasalarial Ef]]</f>
        <v>0</v>
      </c>
      <c r="CH250" s="140" t="n">
        <f aca="false">MIN(IF(DATOS_[[#This Row],[Fecha Fin Contrato]]="",$D$4,DATOS_[[#This Row],[Fecha Fin Contrato]]),$D$4)-MAX(DATOS_[[#This Row],[Fecha de Contratación]],$D$3)+1</f>
        <v>1</v>
      </c>
      <c r="CI250" s="141" t="str">
        <f aca="false">IF(COUNTIFS(DATOS_[id],DATOS_[[#This Row],[id]])&gt;1,DATOS_[[#This Row],[id]],"")</f>
        <v/>
      </c>
      <c r="CJ250" s="141" t="n">
        <f aca="false">(Inicio!$G$10-DATOS_[[#This Row],[Fecha Nacimiento]])/365.25</f>
        <v>0</v>
      </c>
      <c r="CK250" s="141" t="n">
        <f aca="false">(Inicio!$G$10-DATOS_[[#This Row],[Fecha de Antigüedad]])/365.25</f>
        <v>0</v>
      </c>
      <c r="CL250" s="141" t="e">
        <f aca="false">+VLOOKUP(DATOS_[[#This Row],[Clave de Contrato]],TblTiposContrato13[],3,0)</f>
        <v>#N/A</v>
      </c>
      <c r="CM250" s="141" t="e">
        <f aca="false">+VLOOKUP(DATOS_[[#This Row],[Clave de Contrato]],TblTiposContrato13[],4,0)</f>
        <v>#N/A</v>
      </c>
      <c r="CN250" s="141" t="str">
        <f aca="false">VLOOKUP(DATOS_[[#This Row],[Edad]],CONTRATOS!TblRngEdad,2,1)</f>
        <v>20  o menos</v>
      </c>
      <c r="CO250" s="141" t="str">
        <f aca="false">VLOOKUP(DATOS_[[#This Row],[Antigüedad]],TblRngAntg14[],2,1)</f>
        <v>0 a 1 años</v>
      </c>
    </row>
    <row r="251" customFormat="false" ht="13.8" hidden="false" customHeight="false" outlineLevel="0" collapsed="false">
      <c r="D251" s="128"/>
      <c r="E251" s="129"/>
      <c r="F251" s="129"/>
      <c r="G251" s="129"/>
      <c r="H251" s="130"/>
      <c r="I251" s="131"/>
      <c r="J251" s="128"/>
      <c r="K251" s="132"/>
      <c r="L251" s="132"/>
      <c r="M251" s="133"/>
      <c r="N251" s="133"/>
      <c r="O251" s="133"/>
      <c r="P251" s="129"/>
      <c r="Z251" s="75"/>
      <c r="AA251" s="76"/>
      <c r="AB251" s="76"/>
      <c r="AC251" s="129"/>
      <c r="AD251" s="134"/>
      <c r="AE251" s="134"/>
      <c r="AF251" s="134"/>
      <c r="AG251" s="134"/>
      <c r="AH251" s="134"/>
      <c r="AI251" s="134"/>
      <c r="AJ251" s="134"/>
      <c r="AK251" s="134"/>
      <c r="AL251" s="134"/>
      <c r="AM251" s="134"/>
      <c r="AN251" s="134"/>
      <c r="AO251" s="134"/>
      <c r="AP251" s="134"/>
      <c r="AQ251" s="134"/>
      <c r="AR251" s="134"/>
      <c r="AS251" s="134"/>
      <c r="AT251" s="134"/>
      <c r="AU251" s="134"/>
      <c r="AV251" s="134"/>
      <c r="AW251" s="134"/>
      <c r="AX251" s="134"/>
      <c r="AY251" s="134"/>
      <c r="AZ251" s="134"/>
      <c r="BA251" s="134"/>
      <c r="BB251" s="134"/>
      <c r="BC251" s="134"/>
      <c r="BD251" s="134"/>
      <c r="BE251" s="134"/>
      <c r="BF251" s="134"/>
      <c r="BG251" s="134"/>
      <c r="BH251" s="134"/>
      <c r="BI251" s="134"/>
      <c r="BJ251" s="134"/>
      <c r="BK251" s="134"/>
      <c r="BL251" s="134"/>
      <c r="BM251" s="135"/>
      <c r="BN251" s="136" t="n">
        <f aca="false">+MAX($D$3,DATOS_[[#This Row],[Fecha Inicio Sit. Contract.]])</f>
        <v>0</v>
      </c>
      <c r="BO251" s="136" t="n">
        <f aca="false">+MIN($D$4,DATOS_[[#This Row],[Fecha Fin Sit. Contract.]])</f>
        <v>0</v>
      </c>
      <c r="BP251" s="137" t="n">
        <f aca="false">+DATOS_[[#This Row],[% de jornada]]*IF(DATOS_[[#This Row],[% jornada reducida]]="",1,DATOS_[[#This Row],[% jornada reducida]])</f>
        <v>0</v>
      </c>
      <c r="BQ251" s="137" t="n">
        <f aca="false">+(DATOS_[[#This Row],[F.fin.cal]]-DATOS_[[#This Row],[F.ini.cal]]+1)/($D$4-$D$3+1)</f>
        <v>1</v>
      </c>
      <c r="BR251" s="137" t="str">
        <f aca="false">IF(OR(AND(DATOS_[[#This Row],[Fecha Fin Contrato]]&lt;$D$3,DATOS_[[#This Row],[Fecha Fin Contrato]]&lt;&gt;""),DATOS_[[#This Row],[Fecha de Contratación]]&gt;$D$4),"Fuera","Dentro")</f>
        <v>Dentro</v>
      </c>
      <c r="BS251" s="137" t="str">
        <f aca="false" t="array" ref="BS251:BS251">IF(MAX(IF(DATOS_[id]=DATOS_[[#This Row],[id]],DATOS_[F.fin.cal]))=DATOS_[[#This Row],[F.fin.cal]],"Sí","NO")</f>
        <v>Sí</v>
      </c>
      <c r="BT251" s="137" t="str">
        <f aca="false">IF(AND(DATOS_[[#This Row],[% normaliz]]&lt;&gt;1,DATOS_[[#This Row],[% anualiz]]=1),"Sí","NO")</f>
        <v>Sí</v>
      </c>
      <c r="BU251" s="137" t="str">
        <f aca="false">IF(AND(DATOS_[[#This Row],[% normaliz]]=1,DATOS_[[#This Row],[% anualiz]]&lt;&gt;1),"Sí","NO")</f>
        <v>NO</v>
      </c>
      <c r="BV251" s="137" t="str">
        <f aca="false">IF(AND(DATOS_[[#This Row],[% normaliz]]&lt;&gt;1,DATOS_[[#This Row],[% anualiz]]&lt;&gt;1),"Sí","NO")</f>
        <v>NO</v>
      </c>
      <c r="BW251" s="137" t="str">
        <f aca="false">+IF(DATOS_[[#This Row],[% normaliz]]*DATOS_[[#This Row],[% anualiz]]=1,"NO","Sí")</f>
        <v>Sí</v>
      </c>
      <c r="BX251" s="138" t="e">
        <f aca="false">(DATOS_[[#This Row],[S.BASE]]*(1/DATOS_[[#This Row],[% normaliz]])*(1/DATOS_[[#This Row],[% anualiz]]))*IF(DATOS_[[#This Row],[Check Equiparado]]="Sí",1,0)</f>
        <v>#DIV/0!</v>
      </c>
      <c r="BY2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1" s="138" t="e">
        <f aca="false">+DATOS_[[#This Row],[SALARIO BASE Eq]]+DATOS_[[#This Row],[Tot COMPL.SAL Eq]]</f>
        <v>#DIV/0!</v>
      </c>
      <c r="CA251" s="138" t="e">
        <f aca="false" t="array" ref="CA251:CA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1" s="138" t="e">
        <f aca="false">+DATOS_[[#This Row],[TOTAL SALARIO Eq]]+DATOS_[[#This Row],[Tot Extrasalarial Eq]]</f>
        <v>#DIV/0!</v>
      </c>
      <c r="CC251" s="139" t="n">
        <f aca="false">DATOS_[[#This Row],[S.BASE]]</f>
        <v>0</v>
      </c>
      <c r="CD251" s="139" t="n">
        <f aca="false">+SUM(DATOS_[[#This Row],[Conc.Sal.01]:[Conc.Sal.30]])</f>
        <v>0</v>
      </c>
      <c r="CE251" s="139" t="n">
        <f aca="false">+DATOS_[[#This Row],[SALARIO BASE Ef]]+DATOS_[[#This Row],[Tot COMPL.SAL Ef]]</f>
        <v>0</v>
      </c>
      <c r="CF251" s="139" t="n">
        <f aca="false">+SUM(DATOS_[[#This Row],[C.Extra.01]:[C.Extra.05]])</f>
        <v>0</v>
      </c>
      <c r="CG251" s="139" t="n">
        <f aca="false">+DATOS_[[#This Row],[TOTAL SALARIO Ef]]+DATOS_[[#This Row],[Tot Extrasalarial Ef]]</f>
        <v>0</v>
      </c>
      <c r="CH251" s="140" t="n">
        <f aca="false">MIN(IF(DATOS_[[#This Row],[Fecha Fin Contrato]]="",$D$4,DATOS_[[#This Row],[Fecha Fin Contrato]]),$D$4)-MAX(DATOS_[[#This Row],[Fecha de Contratación]],$D$3)+1</f>
        <v>1</v>
      </c>
      <c r="CI251" s="141" t="str">
        <f aca="false">IF(COUNTIFS(DATOS_[id],DATOS_[[#This Row],[id]])&gt;1,DATOS_[[#This Row],[id]],"")</f>
        <v/>
      </c>
      <c r="CJ251" s="141" t="n">
        <f aca="false">(Inicio!$G$10-DATOS_[[#This Row],[Fecha Nacimiento]])/365.25</f>
        <v>0</v>
      </c>
      <c r="CK251" s="141" t="n">
        <f aca="false">(Inicio!$G$10-DATOS_[[#This Row],[Fecha de Antigüedad]])/365.25</f>
        <v>0</v>
      </c>
      <c r="CL251" s="141" t="e">
        <f aca="false">+VLOOKUP(DATOS_[[#This Row],[Clave de Contrato]],TblTiposContrato13[],3,0)</f>
        <v>#N/A</v>
      </c>
      <c r="CM251" s="141" t="e">
        <f aca="false">+VLOOKUP(DATOS_[[#This Row],[Clave de Contrato]],TblTiposContrato13[],4,0)</f>
        <v>#N/A</v>
      </c>
      <c r="CN251" s="141" t="str">
        <f aca="false">VLOOKUP(DATOS_[[#This Row],[Edad]],CONTRATOS!TblRngEdad,2,1)</f>
        <v>20  o menos</v>
      </c>
      <c r="CO251" s="141" t="str">
        <f aca="false">VLOOKUP(DATOS_[[#This Row],[Antigüedad]],TblRngAntg14[],2,1)</f>
        <v>0 a 1 años</v>
      </c>
    </row>
    <row r="252" customFormat="false" ht="13.8" hidden="false" customHeight="false" outlineLevel="0" collapsed="false">
      <c r="D252" s="128"/>
      <c r="E252" s="129"/>
      <c r="F252" s="129"/>
      <c r="G252" s="129"/>
      <c r="H252" s="130"/>
      <c r="I252" s="131"/>
      <c r="J252" s="128"/>
      <c r="K252" s="132"/>
      <c r="L252" s="132"/>
      <c r="M252" s="133"/>
      <c r="N252" s="133"/>
      <c r="O252" s="133"/>
      <c r="P252" s="129"/>
      <c r="Z252" s="75"/>
      <c r="AA252" s="76"/>
      <c r="AB252" s="76"/>
      <c r="AC252" s="129"/>
      <c r="AD252" s="134"/>
      <c r="AE252" s="134"/>
      <c r="AF252" s="134"/>
      <c r="AG252" s="134"/>
      <c r="AH252" s="134"/>
      <c r="AI252" s="134"/>
      <c r="AJ252" s="134"/>
      <c r="AK252" s="134"/>
      <c r="AL252" s="134"/>
      <c r="AM252" s="134"/>
      <c r="AN252" s="134"/>
      <c r="AO252" s="134"/>
      <c r="AP252" s="134"/>
      <c r="AQ252" s="134"/>
      <c r="AR252" s="134"/>
      <c r="AS252" s="134"/>
      <c r="AT252" s="134"/>
      <c r="AU252" s="134"/>
      <c r="AV252" s="134"/>
      <c r="AW252" s="134"/>
      <c r="AX252" s="134"/>
      <c r="AY252" s="134"/>
      <c r="AZ252" s="134"/>
      <c r="BA252" s="134"/>
      <c r="BB252" s="134"/>
      <c r="BC252" s="134"/>
      <c r="BD252" s="134"/>
      <c r="BE252" s="134"/>
      <c r="BF252" s="134"/>
      <c r="BG252" s="134"/>
      <c r="BH252" s="134"/>
      <c r="BI252" s="134"/>
      <c r="BJ252" s="134"/>
      <c r="BK252" s="134"/>
      <c r="BL252" s="134"/>
      <c r="BM252" s="135"/>
      <c r="BN252" s="136" t="n">
        <f aca="false">+MAX($D$3,DATOS_[[#This Row],[Fecha Inicio Sit. Contract.]])</f>
        <v>0</v>
      </c>
      <c r="BO252" s="136" t="n">
        <f aca="false">+MIN($D$4,DATOS_[[#This Row],[Fecha Fin Sit. Contract.]])</f>
        <v>0</v>
      </c>
      <c r="BP252" s="137" t="n">
        <f aca="false">+DATOS_[[#This Row],[% de jornada]]*IF(DATOS_[[#This Row],[% jornada reducida]]="",1,DATOS_[[#This Row],[% jornada reducida]])</f>
        <v>0</v>
      </c>
      <c r="BQ252" s="137" t="n">
        <f aca="false">+(DATOS_[[#This Row],[F.fin.cal]]-DATOS_[[#This Row],[F.ini.cal]]+1)/($D$4-$D$3+1)</f>
        <v>1</v>
      </c>
      <c r="BR252" s="137" t="str">
        <f aca="false">IF(OR(AND(DATOS_[[#This Row],[Fecha Fin Contrato]]&lt;$D$3,DATOS_[[#This Row],[Fecha Fin Contrato]]&lt;&gt;""),DATOS_[[#This Row],[Fecha de Contratación]]&gt;$D$4),"Fuera","Dentro")</f>
        <v>Dentro</v>
      </c>
      <c r="BS252" s="137" t="str">
        <f aca="false" t="array" ref="BS252:BS252">IF(MAX(IF(DATOS_[id]=DATOS_[[#This Row],[id]],DATOS_[F.fin.cal]))=DATOS_[[#This Row],[F.fin.cal]],"Sí","NO")</f>
        <v>Sí</v>
      </c>
      <c r="BT252" s="137" t="str">
        <f aca="false">IF(AND(DATOS_[[#This Row],[% normaliz]]&lt;&gt;1,DATOS_[[#This Row],[% anualiz]]=1),"Sí","NO")</f>
        <v>Sí</v>
      </c>
      <c r="BU252" s="137" t="str">
        <f aca="false">IF(AND(DATOS_[[#This Row],[% normaliz]]=1,DATOS_[[#This Row],[% anualiz]]&lt;&gt;1),"Sí","NO")</f>
        <v>NO</v>
      </c>
      <c r="BV252" s="137" t="str">
        <f aca="false">IF(AND(DATOS_[[#This Row],[% normaliz]]&lt;&gt;1,DATOS_[[#This Row],[% anualiz]]&lt;&gt;1),"Sí","NO")</f>
        <v>NO</v>
      </c>
      <c r="BW252" s="137" t="str">
        <f aca="false">+IF(DATOS_[[#This Row],[% normaliz]]*DATOS_[[#This Row],[% anualiz]]=1,"NO","Sí")</f>
        <v>Sí</v>
      </c>
      <c r="BX252" s="138" t="e">
        <f aca="false">(DATOS_[[#This Row],[S.BASE]]*(1/DATOS_[[#This Row],[% normaliz]])*(1/DATOS_[[#This Row],[% anualiz]]))*IF(DATOS_[[#This Row],[Check Equiparado]]="Sí",1,0)</f>
        <v>#DIV/0!</v>
      </c>
      <c r="BY2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2" s="138" t="e">
        <f aca="false">+DATOS_[[#This Row],[SALARIO BASE Eq]]+DATOS_[[#This Row],[Tot COMPL.SAL Eq]]</f>
        <v>#DIV/0!</v>
      </c>
      <c r="CA252" s="138" t="e">
        <f aca="false" t="array" ref="CA252:CA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2" s="138" t="e">
        <f aca="false">+DATOS_[[#This Row],[TOTAL SALARIO Eq]]+DATOS_[[#This Row],[Tot Extrasalarial Eq]]</f>
        <v>#DIV/0!</v>
      </c>
      <c r="CC252" s="139" t="n">
        <f aca="false">DATOS_[[#This Row],[S.BASE]]</f>
        <v>0</v>
      </c>
      <c r="CD252" s="139" t="n">
        <f aca="false">+SUM(DATOS_[[#This Row],[Conc.Sal.01]:[Conc.Sal.30]])</f>
        <v>0</v>
      </c>
      <c r="CE252" s="139" t="n">
        <f aca="false">+DATOS_[[#This Row],[SALARIO BASE Ef]]+DATOS_[[#This Row],[Tot COMPL.SAL Ef]]</f>
        <v>0</v>
      </c>
      <c r="CF252" s="139" t="n">
        <f aca="false">+SUM(DATOS_[[#This Row],[C.Extra.01]:[C.Extra.05]])</f>
        <v>0</v>
      </c>
      <c r="CG252" s="139" t="n">
        <f aca="false">+DATOS_[[#This Row],[TOTAL SALARIO Ef]]+DATOS_[[#This Row],[Tot Extrasalarial Ef]]</f>
        <v>0</v>
      </c>
      <c r="CH252" s="140" t="n">
        <f aca="false">MIN(IF(DATOS_[[#This Row],[Fecha Fin Contrato]]="",$D$4,DATOS_[[#This Row],[Fecha Fin Contrato]]),$D$4)-MAX(DATOS_[[#This Row],[Fecha de Contratación]],$D$3)+1</f>
        <v>1</v>
      </c>
      <c r="CI252" s="141" t="str">
        <f aca="false">IF(COUNTIFS(DATOS_[id],DATOS_[[#This Row],[id]])&gt;1,DATOS_[[#This Row],[id]],"")</f>
        <v/>
      </c>
      <c r="CJ252" s="141" t="n">
        <f aca="false">(Inicio!$G$10-DATOS_[[#This Row],[Fecha Nacimiento]])/365.25</f>
        <v>0</v>
      </c>
      <c r="CK252" s="141" t="n">
        <f aca="false">(Inicio!$G$10-DATOS_[[#This Row],[Fecha de Antigüedad]])/365.25</f>
        <v>0</v>
      </c>
      <c r="CL252" s="141" t="e">
        <f aca="false">+VLOOKUP(DATOS_[[#This Row],[Clave de Contrato]],TblTiposContrato13[],3,0)</f>
        <v>#N/A</v>
      </c>
      <c r="CM252" s="141" t="e">
        <f aca="false">+VLOOKUP(DATOS_[[#This Row],[Clave de Contrato]],TblTiposContrato13[],4,0)</f>
        <v>#N/A</v>
      </c>
      <c r="CN252" s="141" t="str">
        <f aca="false">VLOOKUP(DATOS_[[#This Row],[Edad]],CONTRATOS!TblRngEdad,2,1)</f>
        <v>20  o menos</v>
      </c>
      <c r="CO252" s="141" t="str">
        <f aca="false">VLOOKUP(DATOS_[[#This Row],[Antigüedad]],TblRngAntg14[],2,1)</f>
        <v>0 a 1 años</v>
      </c>
    </row>
    <row r="253" customFormat="false" ht="13.8" hidden="false" customHeight="false" outlineLevel="0" collapsed="false">
      <c r="D253" s="128"/>
      <c r="E253" s="129"/>
      <c r="F253" s="129"/>
      <c r="G253" s="129"/>
      <c r="H253" s="130"/>
      <c r="I253" s="131"/>
      <c r="J253" s="128"/>
      <c r="K253" s="132"/>
      <c r="L253" s="132"/>
      <c r="M253" s="133"/>
      <c r="N253" s="133"/>
      <c r="O253" s="133"/>
      <c r="P253" s="129"/>
      <c r="Z253" s="75"/>
      <c r="AA253" s="76"/>
      <c r="AB253" s="76"/>
      <c r="AC253" s="129"/>
      <c r="AD253" s="134"/>
      <c r="AE253" s="134"/>
      <c r="AF253" s="134"/>
      <c r="AG253" s="134"/>
      <c r="AH253" s="134"/>
      <c r="AI253" s="134"/>
      <c r="AJ253" s="134"/>
      <c r="AK253" s="134"/>
      <c r="AL253" s="134"/>
      <c r="AM253" s="134"/>
      <c r="AN253" s="134"/>
      <c r="AO253" s="134"/>
      <c r="AP253" s="134"/>
      <c r="AQ253" s="134"/>
      <c r="AR253" s="134"/>
      <c r="AS253" s="134"/>
      <c r="AT253" s="134"/>
      <c r="AU253" s="134"/>
      <c r="AV253" s="134"/>
      <c r="AW253" s="134"/>
      <c r="AX253" s="134"/>
      <c r="AY253" s="134"/>
      <c r="AZ253" s="134"/>
      <c r="BA253" s="134"/>
      <c r="BB253" s="134"/>
      <c r="BC253" s="134"/>
      <c r="BD253" s="134"/>
      <c r="BE253" s="134"/>
      <c r="BF253" s="134"/>
      <c r="BG253" s="134"/>
      <c r="BH253" s="134"/>
      <c r="BI253" s="134"/>
      <c r="BJ253" s="134"/>
      <c r="BK253" s="134"/>
      <c r="BL253" s="134"/>
      <c r="BM253" s="135"/>
      <c r="BN253" s="136" t="n">
        <f aca="false">+MAX($D$3,DATOS_[[#This Row],[Fecha Inicio Sit. Contract.]])</f>
        <v>0</v>
      </c>
      <c r="BO253" s="136" t="n">
        <f aca="false">+MIN($D$4,DATOS_[[#This Row],[Fecha Fin Sit. Contract.]])</f>
        <v>0</v>
      </c>
      <c r="BP253" s="137" t="n">
        <f aca="false">+DATOS_[[#This Row],[% de jornada]]*IF(DATOS_[[#This Row],[% jornada reducida]]="",1,DATOS_[[#This Row],[% jornada reducida]])</f>
        <v>0</v>
      </c>
      <c r="BQ253" s="137" t="n">
        <f aca="false">+(DATOS_[[#This Row],[F.fin.cal]]-DATOS_[[#This Row],[F.ini.cal]]+1)/($D$4-$D$3+1)</f>
        <v>1</v>
      </c>
      <c r="BR253" s="137" t="str">
        <f aca="false">IF(OR(AND(DATOS_[[#This Row],[Fecha Fin Contrato]]&lt;$D$3,DATOS_[[#This Row],[Fecha Fin Contrato]]&lt;&gt;""),DATOS_[[#This Row],[Fecha de Contratación]]&gt;$D$4),"Fuera","Dentro")</f>
        <v>Dentro</v>
      </c>
      <c r="BS253" s="137" t="str">
        <f aca="false" t="array" ref="BS253:BS253">IF(MAX(IF(DATOS_[id]=DATOS_[[#This Row],[id]],DATOS_[F.fin.cal]))=DATOS_[[#This Row],[F.fin.cal]],"Sí","NO")</f>
        <v>Sí</v>
      </c>
      <c r="BT253" s="137" t="str">
        <f aca="false">IF(AND(DATOS_[[#This Row],[% normaliz]]&lt;&gt;1,DATOS_[[#This Row],[% anualiz]]=1),"Sí","NO")</f>
        <v>Sí</v>
      </c>
      <c r="BU253" s="137" t="str">
        <f aca="false">IF(AND(DATOS_[[#This Row],[% normaliz]]=1,DATOS_[[#This Row],[% anualiz]]&lt;&gt;1),"Sí","NO")</f>
        <v>NO</v>
      </c>
      <c r="BV253" s="137" t="str">
        <f aca="false">IF(AND(DATOS_[[#This Row],[% normaliz]]&lt;&gt;1,DATOS_[[#This Row],[% anualiz]]&lt;&gt;1),"Sí","NO")</f>
        <v>NO</v>
      </c>
      <c r="BW253" s="137" t="str">
        <f aca="false">+IF(DATOS_[[#This Row],[% normaliz]]*DATOS_[[#This Row],[% anualiz]]=1,"NO","Sí")</f>
        <v>Sí</v>
      </c>
      <c r="BX253" s="138" t="e">
        <f aca="false">(DATOS_[[#This Row],[S.BASE]]*(1/DATOS_[[#This Row],[% normaliz]])*(1/DATOS_[[#This Row],[% anualiz]]))*IF(DATOS_[[#This Row],[Check Equiparado]]="Sí",1,0)</f>
        <v>#DIV/0!</v>
      </c>
      <c r="BY2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3" s="138" t="e">
        <f aca="false">+DATOS_[[#This Row],[SALARIO BASE Eq]]+DATOS_[[#This Row],[Tot COMPL.SAL Eq]]</f>
        <v>#DIV/0!</v>
      </c>
      <c r="CA253" s="138" t="e">
        <f aca="false" t="array" ref="CA253:CA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3" s="138" t="e">
        <f aca="false">+DATOS_[[#This Row],[TOTAL SALARIO Eq]]+DATOS_[[#This Row],[Tot Extrasalarial Eq]]</f>
        <v>#DIV/0!</v>
      </c>
      <c r="CC253" s="139" t="n">
        <f aca="false">DATOS_[[#This Row],[S.BASE]]</f>
        <v>0</v>
      </c>
      <c r="CD253" s="139" t="n">
        <f aca="false">+SUM(DATOS_[[#This Row],[Conc.Sal.01]:[Conc.Sal.30]])</f>
        <v>0</v>
      </c>
      <c r="CE253" s="139" t="n">
        <f aca="false">+DATOS_[[#This Row],[SALARIO BASE Ef]]+DATOS_[[#This Row],[Tot COMPL.SAL Ef]]</f>
        <v>0</v>
      </c>
      <c r="CF253" s="139" t="n">
        <f aca="false">+SUM(DATOS_[[#This Row],[C.Extra.01]:[C.Extra.05]])</f>
        <v>0</v>
      </c>
      <c r="CG253" s="139" t="n">
        <f aca="false">+DATOS_[[#This Row],[TOTAL SALARIO Ef]]+DATOS_[[#This Row],[Tot Extrasalarial Ef]]</f>
        <v>0</v>
      </c>
      <c r="CH253" s="140" t="n">
        <f aca="false">MIN(IF(DATOS_[[#This Row],[Fecha Fin Contrato]]="",$D$4,DATOS_[[#This Row],[Fecha Fin Contrato]]),$D$4)-MAX(DATOS_[[#This Row],[Fecha de Contratación]],$D$3)+1</f>
        <v>1</v>
      </c>
      <c r="CI253" s="141" t="str">
        <f aca="false">IF(COUNTIFS(DATOS_[id],DATOS_[[#This Row],[id]])&gt;1,DATOS_[[#This Row],[id]],"")</f>
        <v/>
      </c>
      <c r="CJ253" s="141" t="n">
        <f aca="false">(Inicio!$G$10-DATOS_[[#This Row],[Fecha Nacimiento]])/365.25</f>
        <v>0</v>
      </c>
      <c r="CK253" s="141" t="n">
        <f aca="false">(Inicio!$G$10-DATOS_[[#This Row],[Fecha de Antigüedad]])/365.25</f>
        <v>0</v>
      </c>
      <c r="CL253" s="141" t="e">
        <f aca="false">+VLOOKUP(DATOS_[[#This Row],[Clave de Contrato]],TblTiposContrato13[],3,0)</f>
        <v>#N/A</v>
      </c>
      <c r="CM253" s="141" t="e">
        <f aca="false">+VLOOKUP(DATOS_[[#This Row],[Clave de Contrato]],TblTiposContrato13[],4,0)</f>
        <v>#N/A</v>
      </c>
      <c r="CN253" s="141" t="str">
        <f aca="false">VLOOKUP(DATOS_[[#This Row],[Edad]],CONTRATOS!TblRngEdad,2,1)</f>
        <v>20  o menos</v>
      </c>
      <c r="CO253" s="141" t="str">
        <f aca="false">VLOOKUP(DATOS_[[#This Row],[Antigüedad]],TblRngAntg14[],2,1)</f>
        <v>0 a 1 años</v>
      </c>
    </row>
    <row r="254" customFormat="false" ht="13.8" hidden="false" customHeight="false" outlineLevel="0" collapsed="false">
      <c r="D254" s="128"/>
      <c r="E254" s="129"/>
      <c r="F254" s="129"/>
      <c r="G254" s="129"/>
      <c r="H254" s="130"/>
      <c r="I254" s="131"/>
      <c r="J254" s="128"/>
      <c r="K254" s="132"/>
      <c r="L254" s="132"/>
      <c r="M254" s="133"/>
      <c r="N254" s="133"/>
      <c r="O254" s="133"/>
      <c r="P254" s="129"/>
      <c r="Z254" s="75"/>
      <c r="AA254" s="76"/>
      <c r="AB254" s="76"/>
      <c r="AC254" s="129"/>
      <c r="AD254" s="134"/>
      <c r="AE254" s="134"/>
      <c r="AF254" s="134"/>
      <c r="AG254" s="134"/>
      <c r="AH254" s="134"/>
      <c r="AI254" s="134"/>
      <c r="AJ254" s="134"/>
      <c r="AK254" s="134"/>
      <c r="AL254" s="134"/>
      <c r="AM254" s="134"/>
      <c r="AN254" s="134"/>
      <c r="AO254" s="134"/>
      <c r="AP254" s="134"/>
      <c r="AQ254" s="134"/>
      <c r="AR254" s="134"/>
      <c r="AS254" s="134"/>
      <c r="AT254" s="134"/>
      <c r="AU254" s="134"/>
      <c r="AV254" s="134"/>
      <c r="AW254" s="134"/>
      <c r="AX254" s="134"/>
      <c r="AY254" s="134"/>
      <c r="AZ254" s="134"/>
      <c r="BA254" s="134"/>
      <c r="BB254" s="134"/>
      <c r="BC254" s="134"/>
      <c r="BD254" s="134"/>
      <c r="BE254" s="134"/>
      <c r="BF254" s="134"/>
      <c r="BG254" s="134"/>
      <c r="BH254" s="134"/>
      <c r="BI254" s="134"/>
      <c r="BJ254" s="134"/>
      <c r="BK254" s="134"/>
      <c r="BL254" s="134"/>
      <c r="BM254" s="135"/>
      <c r="BN254" s="136" t="n">
        <f aca="false">+MAX($D$3,DATOS_[[#This Row],[Fecha Inicio Sit. Contract.]])</f>
        <v>0</v>
      </c>
      <c r="BO254" s="136" t="n">
        <f aca="false">+MIN($D$4,DATOS_[[#This Row],[Fecha Fin Sit. Contract.]])</f>
        <v>0</v>
      </c>
      <c r="BP254" s="137" t="n">
        <f aca="false">+DATOS_[[#This Row],[% de jornada]]*IF(DATOS_[[#This Row],[% jornada reducida]]="",1,DATOS_[[#This Row],[% jornada reducida]])</f>
        <v>0</v>
      </c>
      <c r="BQ254" s="137" t="n">
        <f aca="false">+(DATOS_[[#This Row],[F.fin.cal]]-DATOS_[[#This Row],[F.ini.cal]]+1)/($D$4-$D$3+1)</f>
        <v>1</v>
      </c>
      <c r="BR254" s="137" t="str">
        <f aca="false">IF(OR(AND(DATOS_[[#This Row],[Fecha Fin Contrato]]&lt;$D$3,DATOS_[[#This Row],[Fecha Fin Contrato]]&lt;&gt;""),DATOS_[[#This Row],[Fecha de Contratación]]&gt;$D$4),"Fuera","Dentro")</f>
        <v>Dentro</v>
      </c>
      <c r="BS254" s="137" t="str">
        <f aca="false" t="array" ref="BS254:BS254">IF(MAX(IF(DATOS_[id]=DATOS_[[#This Row],[id]],DATOS_[F.fin.cal]))=DATOS_[[#This Row],[F.fin.cal]],"Sí","NO")</f>
        <v>Sí</v>
      </c>
      <c r="BT254" s="137" t="str">
        <f aca="false">IF(AND(DATOS_[[#This Row],[% normaliz]]&lt;&gt;1,DATOS_[[#This Row],[% anualiz]]=1),"Sí","NO")</f>
        <v>Sí</v>
      </c>
      <c r="BU254" s="137" t="str">
        <f aca="false">IF(AND(DATOS_[[#This Row],[% normaliz]]=1,DATOS_[[#This Row],[% anualiz]]&lt;&gt;1),"Sí","NO")</f>
        <v>NO</v>
      </c>
      <c r="BV254" s="137" t="str">
        <f aca="false">IF(AND(DATOS_[[#This Row],[% normaliz]]&lt;&gt;1,DATOS_[[#This Row],[% anualiz]]&lt;&gt;1),"Sí","NO")</f>
        <v>NO</v>
      </c>
      <c r="BW254" s="137" t="str">
        <f aca="false">+IF(DATOS_[[#This Row],[% normaliz]]*DATOS_[[#This Row],[% anualiz]]=1,"NO","Sí")</f>
        <v>Sí</v>
      </c>
      <c r="BX254" s="138" t="e">
        <f aca="false">(DATOS_[[#This Row],[S.BASE]]*(1/DATOS_[[#This Row],[% normaliz]])*(1/DATOS_[[#This Row],[% anualiz]]))*IF(DATOS_[[#This Row],[Check Equiparado]]="Sí",1,0)</f>
        <v>#DIV/0!</v>
      </c>
      <c r="BY2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4" s="138" t="e">
        <f aca="false">+DATOS_[[#This Row],[SALARIO BASE Eq]]+DATOS_[[#This Row],[Tot COMPL.SAL Eq]]</f>
        <v>#DIV/0!</v>
      </c>
      <c r="CA254" s="138" t="e">
        <f aca="false" t="array" ref="CA254:CA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4" s="138" t="e">
        <f aca="false">+DATOS_[[#This Row],[TOTAL SALARIO Eq]]+DATOS_[[#This Row],[Tot Extrasalarial Eq]]</f>
        <v>#DIV/0!</v>
      </c>
      <c r="CC254" s="139" t="n">
        <f aca="false">DATOS_[[#This Row],[S.BASE]]</f>
        <v>0</v>
      </c>
      <c r="CD254" s="139" t="n">
        <f aca="false">+SUM(DATOS_[[#This Row],[Conc.Sal.01]:[Conc.Sal.30]])</f>
        <v>0</v>
      </c>
      <c r="CE254" s="139" t="n">
        <f aca="false">+DATOS_[[#This Row],[SALARIO BASE Ef]]+DATOS_[[#This Row],[Tot COMPL.SAL Ef]]</f>
        <v>0</v>
      </c>
      <c r="CF254" s="139" t="n">
        <f aca="false">+SUM(DATOS_[[#This Row],[C.Extra.01]:[C.Extra.05]])</f>
        <v>0</v>
      </c>
      <c r="CG254" s="139" t="n">
        <f aca="false">+DATOS_[[#This Row],[TOTAL SALARIO Ef]]+DATOS_[[#This Row],[Tot Extrasalarial Ef]]</f>
        <v>0</v>
      </c>
      <c r="CH254" s="140" t="n">
        <f aca="false">MIN(IF(DATOS_[[#This Row],[Fecha Fin Contrato]]="",$D$4,DATOS_[[#This Row],[Fecha Fin Contrato]]),$D$4)-MAX(DATOS_[[#This Row],[Fecha de Contratación]],$D$3)+1</f>
        <v>1</v>
      </c>
      <c r="CI254" s="141" t="str">
        <f aca="false">IF(COUNTIFS(DATOS_[id],DATOS_[[#This Row],[id]])&gt;1,DATOS_[[#This Row],[id]],"")</f>
        <v/>
      </c>
      <c r="CJ254" s="141" t="n">
        <f aca="false">(Inicio!$G$10-DATOS_[[#This Row],[Fecha Nacimiento]])/365.25</f>
        <v>0</v>
      </c>
      <c r="CK254" s="141" t="n">
        <f aca="false">(Inicio!$G$10-DATOS_[[#This Row],[Fecha de Antigüedad]])/365.25</f>
        <v>0</v>
      </c>
      <c r="CL254" s="141" t="e">
        <f aca="false">+VLOOKUP(DATOS_[[#This Row],[Clave de Contrato]],TblTiposContrato13[],3,0)</f>
        <v>#N/A</v>
      </c>
      <c r="CM254" s="141" t="e">
        <f aca="false">+VLOOKUP(DATOS_[[#This Row],[Clave de Contrato]],TblTiposContrato13[],4,0)</f>
        <v>#N/A</v>
      </c>
      <c r="CN254" s="141" t="str">
        <f aca="false">VLOOKUP(DATOS_[[#This Row],[Edad]],CONTRATOS!TblRngEdad,2,1)</f>
        <v>20  o menos</v>
      </c>
      <c r="CO254" s="141" t="str">
        <f aca="false">VLOOKUP(DATOS_[[#This Row],[Antigüedad]],TblRngAntg14[],2,1)</f>
        <v>0 a 1 años</v>
      </c>
    </row>
    <row r="255" customFormat="false" ht="13.8" hidden="false" customHeight="false" outlineLevel="0" collapsed="false">
      <c r="D255" s="128"/>
      <c r="E255" s="129"/>
      <c r="F255" s="129"/>
      <c r="G255" s="129"/>
      <c r="H255" s="130"/>
      <c r="I255" s="131"/>
      <c r="J255" s="128"/>
      <c r="K255" s="132"/>
      <c r="L255" s="132"/>
      <c r="M255" s="133"/>
      <c r="N255" s="133"/>
      <c r="O255" s="133"/>
      <c r="P255" s="129"/>
      <c r="Z255" s="75"/>
      <c r="AA255" s="76"/>
      <c r="AB255" s="76"/>
      <c r="AC255" s="129"/>
      <c r="AD255" s="134"/>
      <c r="AE255" s="134"/>
      <c r="AF255" s="134"/>
      <c r="AG255" s="134"/>
      <c r="AH255" s="134"/>
      <c r="AI255" s="134"/>
      <c r="AJ255" s="134"/>
      <c r="AK255" s="134"/>
      <c r="AL255" s="134"/>
      <c r="AM255" s="134"/>
      <c r="AN255" s="134"/>
      <c r="AO255" s="134"/>
      <c r="AP255" s="134"/>
      <c r="AQ255" s="134"/>
      <c r="AR255" s="134"/>
      <c r="AS255" s="134"/>
      <c r="AT255" s="134"/>
      <c r="AU255" s="134"/>
      <c r="AV255" s="134"/>
      <c r="AW255" s="134"/>
      <c r="AX255" s="134"/>
      <c r="AY255" s="134"/>
      <c r="AZ255" s="134"/>
      <c r="BA255" s="134"/>
      <c r="BB255" s="134"/>
      <c r="BC255" s="134"/>
      <c r="BD255" s="134"/>
      <c r="BE255" s="134"/>
      <c r="BF255" s="134"/>
      <c r="BG255" s="134"/>
      <c r="BH255" s="134"/>
      <c r="BI255" s="134"/>
      <c r="BJ255" s="134"/>
      <c r="BK255" s="134"/>
      <c r="BL255" s="134"/>
      <c r="BM255" s="135"/>
      <c r="BN255" s="136" t="n">
        <f aca="false">+MAX($D$3,DATOS_[[#This Row],[Fecha Inicio Sit. Contract.]])</f>
        <v>0</v>
      </c>
      <c r="BO255" s="136" t="n">
        <f aca="false">+MIN($D$4,DATOS_[[#This Row],[Fecha Fin Sit. Contract.]])</f>
        <v>0</v>
      </c>
      <c r="BP255" s="137" t="n">
        <f aca="false">+DATOS_[[#This Row],[% de jornada]]*IF(DATOS_[[#This Row],[% jornada reducida]]="",1,DATOS_[[#This Row],[% jornada reducida]])</f>
        <v>0</v>
      </c>
      <c r="BQ255" s="137" t="n">
        <f aca="false">+(DATOS_[[#This Row],[F.fin.cal]]-DATOS_[[#This Row],[F.ini.cal]]+1)/($D$4-$D$3+1)</f>
        <v>1</v>
      </c>
      <c r="BR255" s="137" t="str">
        <f aca="false">IF(OR(AND(DATOS_[[#This Row],[Fecha Fin Contrato]]&lt;$D$3,DATOS_[[#This Row],[Fecha Fin Contrato]]&lt;&gt;""),DATOS_[[#This Row],[Fecha de Contratación]]&gt;$D$4),"Fuera","Dentro")</f>
        <v>Dentro</v>
      </c>
      <c r="BS255" s="137" t="str">
        <f aca="false" t="array" ref="BS255:BS255">IF(MAX(IF(DATOS_[id]=DATOS_[[#This Row],[id]],DATOS_[F.fin.cal]))=DATOS_[[#This Row],[F.fin.cal]],"Sí","NO")</f>
        <v>Sí</v>
      </c>
      <c r="BT255" s="137" t="str">
        <f aca="false">IF(AND(DATOS_[[#This Row],[% normaliz]]&lt;&gt;1,DATOS_[[#This Row],[% anualiz]]=1),"Sí","NO")</f>
        <v>Sí</v>
      </c>
      <c r="BU255" s="137" t="str">
        <f aca="false">IF(AND(DATOS_[[#This Row],[% normaliz]]=1,DATOS_[[#This Row],[% anualiz]]&lt;&gt;1),"Sí","NO")</f>
        <v>NO</v>
      </c>
      <c r="BV255" s="137" t="str">
        <f aca="false">IF(AND(DATOS_[[#This Row],[% normaliz]]&lt;&gt;1,DATOS_[[#This Row],[% anualiz]]&lt;&gt;1),"Sí","NO")</f>
        <v>NO</v>
      </c>
      <c r="BW255" s="137" t="str">
        <f aca="false">+IF(DATOS_[[#This Row],[% normaliz]]*DATOS_[[#This Row],[% anualiz]]=1,"NO","Sí")</f>
        <v>Sí</v>
      </c>
      <c r="BX255" s="138" t="e">
        <f aca="false">(DATOS_[[#This Row],[S.BASE]]*(1/DATOS_[[#This Row],[% normaliz]])*(1/DATOS_[[#This Row],[% anualiz]]))*IF(DATOS_[[#This Row],[Check Equiparado]]="Sí",1,0)</f>
        <v>#DIV/0!</v>
      </c>
      <c r="BY2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5" s="138" t="e">
        <f aca="false">+DATOS_[[#This Row],[SALARIO BASE Eq]]+DATOS_[[#This Row],[Tot COMPL.SAL Eq]]</f>
        <v>#DIV/0!</v>
      </c>
      <c r="CA255" s="138" t="e">
        <f aca="false" t="array" ref="CA255:CA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5" s="138" t="e">
        <f aca="false">+DATOS_[[#This Row],[TOTAL SALARIO Eq]]+DATOS_[[#This Row],[Tot Extrasalarial Eq]]</f>
        <v>#DIV/0!</v>
      </c>
      <c r="CC255" s="139" t="n">
        <f aca="false">DATOS_[[#This Row],[S.BASE]]</f>
        <v>0</v>
      </c>
      <c r="CD255" s="139" t="n">
        <f aca="false">+SUM(DATOS_[[#This Row],[Conc.Sal.01]:[Conc.Sal.30]])</f>
        <v>0</v>
      </c>
      <c r="CE255" s="139" t="n">
        <f aca="false">+DATOS_[[#This Row],[SALARIO BASE Ef]]+DATOS_[[#This Row],[Tot COMPL.SAL Ef]]</f>
        <v>0</v>
      </c>
      <c r="CF255" s="139" t="n">
        <f aca="false">+SUM(DATOS_[[#This Row],[C.Extra.01]:[C.Extra.05]])</f>
        <v>0</v>
      </c>
      <c r="CG255" s="139" t="n">
        <f aca="false">+DATOS_[[#This Row],[TOTAL SALARIO Ef]]+DATOS_[[#This Row],[Tot Extrasalarial Ef]]</f>
        <v>0</v>
      </c>
      <c r="CH255" s="140" t="n">
        <f aca="false">MIN(IF(DATOS_[[#This Row],[Fecha Fin Contrato]]="",$D$4,DATOS_[[#This Row],[Fecha Fin Contrato]]),$D$4)-MAX(DATOS_[[#This Row],[Fecha de Contratación]],$D$3)+1</f>
        <v>1</v>
      </c>
      <c r="CI255" s="141" t="str">
        <f aca="false">IF(COUNTIFS(DATOS_[id],DATOS_[[#This Row],[id]])&gt;1,DATOS_[[#This Row],[id]],"")</f>
        <v/>
      </c>
      <c r="CJ255" s="141" t="n">
        <f aca="false">(Inicio!$G$10-DATOS_[[#This Row],[Fecha Nacimiento]])/365.25</f>
        <v>0</v>
      </c>
      <c r="CK255" s="141" t="n">
        <f aca="false">(Inicio!$G$10-DATOS_[[#This Row],[Fecha de Antigüedad]])/365.25</f>
        <v>0</v>
      </c>
      <c r="CL255" s="141" t="e">
        <f aca="false">+VLOOKUP(DATOS_[[#This Row],[Clave de Contrato]],TblTiposContrato13[],3,0)</f>
        <v>#N/A</v>
      </c>
      <c r="CM255" s="141" t="e">
        <f aca="false">+VLOOKUP(DATOS_[[#This Row],[Clave de Contrato]],TblTiposContrato13[],4,0)</f>
        <v>#N/A</v>
      </c>
      <c r="CN255" s="141" t="str">
        <f aca="false">VLOOKUP(DATOS_[[#This Row],[Edad]],CONTRATOS!TblRngEdad,2,1)</f>
        <v>20  o menos</v>
      </c>
      <c r="CO255" s="141" t="str">
        <f aca="false">VLOOKUP(DATOS_[[#This Row],[Antigüedad]],TblRngAntg14[],2,1)</f>
        <v>0 a 1 años</v>
      </c>
    </row>
    <row r="256" customFormat="false" ht="13.8" hidden="false" customHeight="false" outlineLevel="0" collapsed="false">
      <c r="D256" s="128"/>
      <c r="E256" s="129"/>
      <c r="F256" s="129"/>
      <c r="G256" s="129"/>
      <c r="H256" s="130"/>
      <c r="I256" s="131"/>
      <c r="J256" s="128"/>
      <c r="K256" s="132"/>
      <c r="L256" s="132"/>
      <c r="M256" s="133"/>
      <c r="N256" s="133"/>
      <c r="O256" s="133"/>
      <c r="P256" s="129"/>
      <c r="Z256" s="75"/>
      <c r="AA256" s="76"/>
      <c r="AB256" s="76"/>
      <c r="AC256" s="129"/>
      <c r="AD256" s="134"/>
      <c r="AE256" s="134"/>
      <c r="AF256" s="134"/>
      <c r="AG256" s="134"/>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4"/>
      <c r="BD256" s="134"/>
      <c r="BE256" s="134"/>
      <c r="BF256" s="134"/>
      <c r="BG256" s="134"/>
      <c r="BH256" s="134"/>
      <c r="BI256" s="134"/>
      <c r="BJ256" s="134"/>
      <c r="BK256" s="134"/>
      <c r="BL256" s="134"/>
      <c r="BM256" s="135"/>
      <c r="BN256" s="136" t="n">
        <f aca="false">+MAX($D$3,DATOS_[[#This Row],[Fecha Inicio Sit. Contract.]])</f>
        <v>0</v>
      </c>
      <c r="BO256" s="136" t="n">
        <f aca="false">+MIN($D$4,DATOS_[[#This Row],[Fecha Fin Sit. Contract.]])</f>
        <v>0</v>
      </c>
      <c r="BP256" s="137" t="n">
        <f aca="false">+DATOS_[[#This Row],[% de jornada]]*IF(DATOS_[[#This Row],[% jornada reducida]]="",1,DATOS_[[#This Row],[% jornada reducida]])</f>
        <v>0</v>
      </c>
      <c r="BQ256" s="137" t="n">
        <f aca="false">+(DATOS_[[#This Row],[F.fin.cal]]-DATOS_[[#This Row],[F.ini.cal]]+1)/($D$4-$D$3+1)</f>
        <v>1</v>
      </c>
      <c r="BR256" s="137" t="str">
        <f aca="false">IF(OR(AND(DATOS_[[#This Row],[Fecha Fin Contrato]]&lt;$D$3,DATOS_[[#This Row],[Fecha Fin Contrato]]&lt;&gt;""),DATOS_[[#This Row],[Fecha de Contratación]]&gt;$D$4),"Fuera","Dentro")</f>
        <v>Dentro</v>
      </c>
      <c r="BS256" s="137" t="str">
        <f aca="false" t="array" ref="BS256:BS256">IF(MAX(IF(DATOS_[id]=DATOS_[[#This Row],[id]],DATOS_[F.fin.cal]))=DATOS_[[#This Row],[F.fin.cal]],"Sí","NO")</f>
        <v>Sí</v>
      </c>
      <c r="BT256" s="137" t="str">
        <f aca="false">IF(AND(DATOS_[[#This Row],[% normaliz]]&lt;&gt;1,DATOS_[[#This Row],[% anualiz]]=1),"Sí","NO")</f>
        <v>Sí</v>
      </c>
      <c r="BU256" s="137" t="str">
        <f aca="false">IF(AND(DATOS_[[#This Row],[% normaliz]]=1,DATOS_[[#This Row],[% anualiz]]&lt;&gt;1),"Sí","NO")</f>
        <v>NO</v>
      </c>
      <c r="BV256" s="137" t="str">
        <f aca="false">IF(AND(DATOS_[[#This Row],[% normaliz]]&lt;&gt;1,DATOS_[[#This Row],[% anualiz]]&lt;&gt;1),"Sí","NO")</f>
        <v>NO</v>
      </c>
      <c r="BW256" s="137" t="str">
        <f aca="false">+IF(DATOS_[[#This Row],[% normaliz]]*DATOS_[[#This Row],[% anualiz]]=1,"NO","Sí")</f>
        <v>Sí</v>
      </c>
      <c r="BX256" s="138" t="e">
        <f aca="false">(DATOS_[[#This Row],[S.BASE]]*(1/DATOS_[[#This Row],[% normaliz]])*(1/DATOS_[[#This Row],[% anualiz]]))*IF(DATOS_[[#This Row],[Check Equiparado]]="Sí",1,0)</f>
        <v>#DIV/0!</v>
      </c>
      <c r="BY2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6" s="138" t="e">
        <f aca="false">+DATOS_[[#This Row],[SALARIO BASE Eq]]+DATOS_[[#This Row],[Tot COMPL.SAL Eq]]</f>
        <v>#DIV/0!</v>
      </c>
      <c r="CA256" s="138" t="e">
        <f aca="false" t="array" ref="CA256:CA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6" s="138" t="e">
        <f aca="false">+DATOS_[[#This Row],[TOTAL SALARIO Eq]]+DATOS_[[#This Row],[Tot Extrasalarial Eq]]</f>
        <v>#DIV/0!</v>
      </c>
      <c r="CC256" s="139" t="n">
        <f aca="false">DATOS_[[#This Row],[S.BASE]]</f>
        <v>0</v>
      </c>
      <c r="CD256" s="139" t="n">
        <f aca="false">+SUM(DATOS_[[#This Row],[Conc.Sal.01]:[Conc.Sal.30]])</f>
        <v>0</v>
      </c>
      <c r="CE256" s="139" t="n">
        <f aca="false">+DATOS_[[#This Row],[SALARIO BASE Ef]]+DATOS_[[#This Row],[Tot COMPL.SAL Ef]]</f>
        <v>0</v>
      </c>
      <c r="CF256" s="139" t="n">
        <f aca="false">+SUM(DATOS_[[#This Row],[C.Extra.01]:[C.Extra.05]])</f>
        <v>0</v>
      </c>
      <c r="CG256" s="139" t="n">
        <f aca="false">+DATOS_[[#This Row],[TOTAL SALARIO Ef]]+DATOS_[[#This Row],[Tot Extrasalarial Ef]]</f>
        <v>0</v>
      </c>
      <c r="CH256" s="140" t="n">
        <f aca="false">MIN(IF(DATOS_[[#This Row],[Fecha Fin Contrato]]="",$D$4,DATOS_[[#This Row],[Fecha Fin Contrato]]),$D$4)-MAX(DATOS_[[#This Row],[Fecha de Contratación]],$D$3)+1</f>
        <v>1</v>
      </c>
      <c r="CI256" s="141" t="str">
        <f aca="false">IF(COUNTIFS(DATOS_[id],DATOS_[[#This Row],[id]])&gt;1,DATOS_[[#This Row],[id]],"")</f>
        <v/>
      </c>
      <c r="CJ256" s="141" t="n">
        <f aca="false">(Inicio!$G$10-DATOS_[[#This Row],[Fecha Nacimiento]])/365.25</f>
        <v>0</v>
      </c>
      <c r="CK256" s="141" t="n">
        <f aca="false">(Inicio!$G$10-DATOS_[[#This Row],[Fecha de Antigüedad]])/365.25</f>
        <v>0</v>
      </c>
      <c r="CL256" s="141" t="e">
        <f aca="false">+VLOOKUP(DATOS_[[#This Row],[Clave de Contrato]],TblTiposContrato13[],3,0)</f>
        <v>#N/A</v>
      </c>
      <c r="CM256" s="141" t="e">
        <f aca="false">+VLOOKUP(DATOS_[[#This Row],[Clave de Contrato]],TblTiposContrato13[],4,0)</f>
        <v>#N/A</v>
      </c>
      <c r="CN256" s="141" t="str">
        <f aca="false">VLOOKUP(DATOS_[[#This Row],[Edad]],CONTRATOS!TblRngEdad,2,1)</f>
        <v>20  o menos</v>
      </c>
      <c r="CO256" s="141" t="str">
        <f aca="false">VLOOKUP(DATOS_[[#This Row],[Antigüedad]],TblRngAntg14[],2,1)</f>
        <v>0 a 1 años</v>
      </c>
    </row>
    <row r="257" customFormat="false" ht="13.8" hidden="false" customHeight="false" outlineLevel="0" collapsed="false">
      <c r="D257" s="128"/>
      <c r="E257" s="129"/>
      <c r="F257" s="129"/>
      <c r="G257" s="129"/>
      <c r="H257" s="130"/>
      <c r="I257" s="131"/>
      <c r="J257" s="128"/>
      <c r="K257" s="132"/>
      <c r="L257" s="132"/>
      <c r="M257" s="133"/>
      <c r="N257" s="133"/>
      <c r="O257" s="133"/>
      <c r="P257" s="129"/>
      <c r="Z257" s="75"/>
      <c r="AA257" s="76"/>
      <c r="AB257" s="76"/>
      <c r="AC257" s="129"/>
      <c r="AD257" s="134"/>
      <c r="AE257" s="134"/>
      <c r="AF257" s="134"/>
      <c r="AG257" s="134"/>
      <c r="AH257" s="134"/>
      <c r="AI257" s="134"/>
      <c r="AJ257" s="134"/>
      <c r="AK257" s="134"/>
      <c r="AL257" s="134"/>
      <c r="AM257" s="134"/>
      <c r="AN257" s="134"/>
      <c r="AO257" s="134"/>
      <c r="AP257" s="134"/>
      <c r="AQ257" s="134"/>
      <c r="AR257" s="134"/>
      <c r="AS257" s="134"/>
      <c r="AT257" s="134"/>
      <c r="AU257" s="134"/>
      <c r="AV257" s="134"/>
      <c r="AW257" s="134"/>
      <c r="AX257" s="134"/>
      <c r="AY257" s="134"/>
      <c r="AZ257" s="134"/>
      <c r="BA257" s="134"/>
      <c r="BB257" s="134"/>
      <c r="BC257" s="134"/>
      <c r="BD257" s="134"/>
      <c r="BE257" s="134"/>
      <c r="BF257" s="134"/>
      <c r="BG257" s="134"/>
      <c r="BH257" s="134"/>
      <c r="BI257" s="134"/>
      <c r="BJ257" s="134"/>
      <c r="BK257" s="134"/>
      <c r="BL257" s="134"/>
      <c r="BM257" s="135"/>
      <c r="BN257" s="136" t="n">
        <f aca="false">+MAX($D$3,DATOS_[[#This Row],[Fecha Inicio Sit. Contract.]])</f>
        <v>0</v>
      </c>
      <c r="BO257" s="136" t="n">
        <f aca="false">+MIN($D$4,DATOS_[[#This Row],[Fecha Fin Sit. Contract.]])</f>
        <v>0</v>
      </c>
      <c r="BP257" s="137" t="n">
        <f aca="false">+DATOS_[[#This Row],[% de jornada]]*IF(DATOS_[[#This Row],[% jornada reducida]]="",1,DATOS_[[#This Row],[% jornada reducida]])</f>
        <v>0</v>
      </c>
      <c r="BQ257" s="137" t="n">
        <f aca="false">+(DATOS_[[#This Row],[F.fin.cal]]-DATOS_[[#This Row],[F.ini.cal]]+1)/($D$4-$D$3+1)</f>
        <v>1</v>
      </c>
      <c r="BR257" s="137" t="str">
        <f aca="false">IF(OR(AND(DATOS_[[#This Row],[Fecha Fin Contrato]]&lt;$D$3,DATOS_[[#This Row],[Fecha Fin Contrato]]&lt;&gt;""),DATOS_[[#This Row],[Fecha de Contratación]]&gt;$D$4),"Fuera","Dentro")</f>
        <v>Dentro</v>
      </c>
      <c r="BS257" s="137" t="str">
        <f aca="false" t="array" ref="BS257:BS257">IF(MAX(IF(DATOS_[id]=DATOS_[[#This Row],[id]],DATOS_[F.fin.cal]))=DATOS_[[#This Row],[F.fin.cal]],"Sí","NO")</f>
        <v>Sí</v>
      </c>
      <c r="BT257" s="137" t="str">
        <f aca="false">IF(AND(DATOS_[[#This Row],[% normaliz]]&lt;&gt;1,DATOS_[[#This Row],[% anualiz]]=1),"Sí","NO")</f>
        <v>Sí</v>
      </c>
      <c r="BU257" s="137" t="str">
        <f aca="false">IF(AND(DATOS_[[#This Row],[% normaliz]]=1,DATOS_[[#This Row],[% anualiz]]&lt;&gt;1),"Sí","NO")</f>
        <v>NO</v>
      </c>
      <c r="BV257" s="137" t="str">
        <f aca="false">IF(AND(DATOS_[[#This Row],[% normaliz]]&lt;&gt;1,DATOS_[[#This Row],[% anualiz]]&lt;&gt;1),"Sí","NO")</f>
        <v>NO</v>
      </c>
      <c r="BW257" s="137" t="str">
        <f aca="false">+IF(DATOS_[[#This Row],[% normaliz]]*DATOS_[[#This Row],[% anualiz]]=1,"NO","Sí")</f>
        <v>Sí</v>
      </c>
      <c r="BX257" s="138" t="e">
        <f aca="false">(DATOS_[[#This Row],[S.BASE]]*(1/DATOS_[[#This Row],[% normaliz]])*(1/DATOS_[[#This Row],[% anualiz]]))*IF(DATOS_[[#This Row],[Check Equiparado]]="Sí",1,0)</f>
        <v>#DIV/0!</v>
      </c>
      <c r="BY2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7" s="138" t="e">
        <f aca="false">+DATOS_[[#This Row],[SALARIO BASE Eq]]+DATOS_[[#This Row],[Tot COMPL.SAL Eq]]</f>
        <v>#DIV/0!</v>
      </c>
      <c r="CA257" s="138" t="e">
        <f aca="false" t="array" ref="CA257:CA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7" s="138" t="e">
        <f aca="false">+DATOS_[[#This Row],[TOTAL SALARIO Eq]]+DATOS_[[#This Row],[Tot Extrasalarial Eq]]</f>
        <v>#DIV/0!</v>
      </c>
      <c r="CC257" s="139" t="n">
        <f aca="false">DATOS_[[#This Row],[S.BASE]]</f>
        <v>0</v>
      </c>
      <c r="CD257" s="139" t="n">
        <f aca="false">+SUM(DATOS_[[#This Row],[Conc.Sal.01]:[Conc.Sal.30]])</f>
        <v>0</v>
      </c>
      <c r="CE257" s="139" t="n">
        <f aca="false">+DATOS_[[#This Row],[SALARIO BASE Ef]]+DATOS_[[#This Row],[Tot COMPL.SAL Ef]]</f>
        <v>0</v>
      </c>
      <c r="CF257" s="139" t="n">
        <f aca="false">+SUM(DATOS_[[#This Row],[C.Extra.01]:[C.Extra.05]])</f>
        <v>0</v>
      </c>
      <c r="CG257" s="139" t="n">
        <f aca="false">+DATOS_[[#This Row],[TOTAL SALARIO Ef]]+DATOS_[[#This Row],[Tot Extrasalarial Ef]]</f>
        <v>0</v>
      </c>
      <c r="CH257" s="140" t="n">
        <f aca="false">MIN(IF(DATOS_[[#This Row],[Fecha Fin Contrato]]="",$D$4,DATOS_[[#This Row],[Fecha Fin Contrato]]),$D$4)-MAX(DATOS_[[#This Row],[Fecha de Contratación]],$D$3)+1</f>
        <v>1</v>
      </c>
      <c r="CI257" s="141" t="str">
        <f aca="false">IF(COUNTIFS(DATOS_[id],DATOS_[[#This Row],[id]])&gt;1,DATOS_[[#This Row],[id]],"")</f>
        <v/>
      </c>
      <c r="CJ257" s="141" t="n">
        <f aca="false">(Inicio!$G$10-DATOS_[[#This Row],[Fecha Nacimiento]])/365.25</f>
        <v>0</v>
      </c>
      <c r="CK257" s="141" t="n">
        <f aca="false">(Inicio!$G$10-DATOS_[[#This Row],[Fecha de Antigüedad]])/365.25</f>
        <v>0</v>
      </c>
      <c r="CL257" s="141" t="e">
        <f aca="false">+VLOOKUP(DATOS_[[#This Row],[Clave de Contrato]],TblTiposContrato13[],3,0)</f>
        <v>#N/A</v>
      </c>
      <c r="CM257" s="141" t="e">
        <f aca="false">+VLOOKUP(DATOS_[[#This Row],[Clave de Contrato]],TblTiposContrato13[],4,0)</f>
        <v>#N/A</v>
      </c>
      <c r="CN257" s="141" t="str">
        <f aca="false">VLOOKUP(DATOS_[[#This Row],[Edad]],CONTRATOS!TblRngEdad,2,1)</f>
        <v>20  o menos</v>
      </c>
      <c r="CO257" s="141" t="str">
        <f aca="false">VLOOKUP(DATOS_[[#This Row],[Antigüedad]],TblRngAntg14[],2,1)</f>
        <v>0 a 1 años</v>
      </c>
    </row>
    <row r="258" customFormat="false" ht="13.8" hidden="false" customHeight="false" outlineLevel="0" collapsed="false">
      <c r="D258" s="128"/>
      <c r="E258" s="129"/>
      <c r="F258" s="129"/>
      <c r="G258" s="129"/>
      <c r="H258" s="130"/>
      <c r="I258" s="131"/>
      <c r="J258" s="128"/>
      <c r="K258" s="132"/>
      <c r="L258" s="132"/>
      <c r="M258" s="133"/>
      <c r="N258" s="133"/>
      <c r="O258" s="133"/>
      <c r="P258" s="129"/>
      <c r="Z258" s="75"/>
      <c r="AA258" s="76"/>
      <c r="AB258" s="76"/>
      <c r="AC258" s="129"/>
      <c r="AD258" s="134"/>
      <c r="AE258" s="134"/>
      <c r="AF258" s="134"/>
      <c r="AG258" s="134"/>
      <c r="AH258" s="134"/>
      <c r="AI258" s="134"/>
      <c r="AJ258" s="134"/>
      <c r="AK258" s="134"/>
      <c r="AL258" s="134"/>
      <c r="AM258" s="134"/>
      <c r="AN258" s="134"/>
      <c r="AO258" s="134"/>
      <c r="AP258" s="134"/>
      <c r="AQ258" s="134"/>
      <c r="AR258" s="134"/>
      <c r="AS258" s="134"/>
      <c r="AT258" s="134"/>
      <c r="AU258" s="134"/>
      <c r="AV258" s="134"/>
      <c r="AW258" s="134"/>
      <c r="AX258" s="134"/>
      <c r="AY258" s="134"/>
      <c r="AZ258" s="134"/>
      <c r="BA258" s="134"/>
      <c r="BB258" s="134"/>
      <c r="BC258" s="134"/>
      <c r="BD258" s="134"/>
      <c r="BE258" s="134"/>
      <c r="BF258" s="134"/>
      <c r="BG258" s="134"/>
      <c r="BH258" s="134"/>
      <c r="BI258" s="134"/>
      <c r="BJ258" s="134"/>
      <c r="BK258" s="134"/>
      <c r="BL258" s="134"/>
      <c r="BM258" s="135"/>
      <c r="BN258" s="136" t="n">
        <f aca="false">+MAX($D$3,DATOS_[[#This Row],[Fecha Inicio Sit. Contract.]])</f>
        <v>0</v>
      </c>
      <c r="BO258" s="136" t="n">
        <f aca="false">+MIN($D$4,DATOS_[[#This Row],[Fecha Fin Sit. Contract.]])</f>
        <v>0</v>
      </c>
      <c r="BP258" s="137" t="n">
        <f aca="false">+DATOS_[[#This Row],[% de jornada]]*IF(DATOS_[[#This Row],[% jornada reducida]]="",1,DATOS_[[#This Row],[% jornada reducida]])</f>
        <v>0</v>
      </c>
      <c r="BQ258" s="137" t="n">
        <f aca="false">+(DATOS_[[#This Row],[F.fin.cal]]-DATOS_[[#This Row],[F.ini.cal]]+1)/($D$4-$D$3+1)</f>
        <v>1</v>
      </c>
      <c r="BR258" s="137" t="str">
        <f aca="false">IF(OR(AND(DATOS_[[#This Row],[Fecha Fin Contrato]]&lt;$D$3,DATOS_[[#This Row],[Fecha Fin Contrato]]&lt;&gt;""),DATOS_[[#This Row],[Fecha de Contratación]]&gt;$D$4),"Fuera","Dentro")</f>
        <v>Dentro</v>
      </c>
      <c r="BS258" s="137" t="str">
        <f aca="false" t="array" ref="BS258:BS258">IF(MAX(IF(DATOS_[id]=DATOS_[[#This Row],[id]],DATOS_[F.fin.cal]))=DATOS_[[#This Row],[F.fin.cal]],"Sí","NO")</f>
        <v>Sí</v>
      </c>
      <c r="BT258" s="137" t="str">
        <f aca="false">IF(AND(DATOS_[[#This Row],[% normaliz]]&lt;&gt;1,DATOS_[[#This Row],[% anualiz]]=1),"Sí","NO")</f>
        <v>Sí</v>
      </c>
      <c r="BU258" s="137" t="str">
        <f aca="false">IF(AND(DATOS_[[#This Row],[% normaliz]]=1,DATOS_[[#This Row],[% anualiz]]&lt;&gt;1),"Sí","NO")</f>
        <v>NO</v>
      </c>
      <c r="BV258" s="137" t="str">
        <f aca="false">IF(AND(DATOS_[[#This Row],[% normaliz]]&lt;&gt;1,DATOS_[[#This Row],[% anualiz]]&lt;&gt;1),"Sí","NO")</f>
        <v>NO</v>
      </c>
      <c r="BW258" s="137" t="str">
        <f aca="false">+IF(DATOS_[[#This Row],[% normaliz]]*DATOS_[[#This Row],[% anualiz]]=1,"NO","Sí")</f>
        <v>Sí</v>
      </c>
      <c r="BX258" s="138" t="e">
        <f aca="false">(DATOS_[[#This Row],[S.BASE]]*(1/DATOS_[[#This Row],[% normaliz]])*(1/DATOS_[[#This Row],[% anualiz]]))*IF(DATOS_[[#This Row],[Check Equiparado]]="Sí",1,0)</f>
        <v>#DIV/0!</v>
      </c>
      <c r="BY2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8" s="138" t="e">
        <f aca="false">+DATOS_[[#This Row],[SALARIO BASE Eq]]+DATOS_[[#This Row],[Tot COMPL.SAL Eq]]</f>
        <v>#DIV/0!</v>
      </c>
      <c r="CA258" s="138" t="e">
        <f aca="false" t="array" ref="CA258:CA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8" s="138" t="e">
        <f aca="false">+DATOS_[[#This Row],[TOTAL SALARIO Eq]]+DATOS_[[#This Row],[Tot Extrasalarial Eq]]</f>
        <v>#DIV/0!</v>
      </c>
      <c r="CC258" s="139" t="n">
        <f aca="false">DATOS_[[#This Row],[S.BASE]]</f>
        <v>0</v>
      </c>
      <c r="CD258" s="139" t="n">
        <f aca="false">+SUM(DATOS_[[#This Row],[Conc.Sal.01]:[Conc.Sal.30]])</f>
        <v>0</v>
      </c>
      <c r="CE258" s="139" t="n">
        <f aca="false">+DATOS_[[#This Row],[SALARIO BASE Ef]]+DATOS_[[#This Row],[Tot COMPL.SAL Ef]]</f>
        <v>0</v>
      </c>
      <c r="CF258" s="139" t="n">
        <f aca="false">+SUM(DATOS_[[#This Row],[C.Extra.01]:[C.Extra.05]])</f>
        <v>0</v>
      </c>
      <c r="CG258" s="139" t="n">
        <f aca="false">+DATOS_[[#This Row],[TOTAL SALARIO Ef]]+DATOS_[[#This Row],[Tot Extrasalarial Ef]]</f>
        <v>0</v>
      </c>
      <c r="CH258" s="140" t="n">
        <f aca="false">MIN(IF(DATOS_[[#This Row],[Fecha Fin Contrato]]="",$D$4,DATOS_[[#This Row],[Fecha Fin Contrato]]),$D$4)-MAX(DATOS_[[#This Row],[Fecha de Contratación]],$D$3)+1</f>
        <v>1</v>
      </c>
      <c r="CI258" s="141" t="str">
        <f aca="false">IF(COUNTIFS(DATOS_[id],DATOS_[[#This Row],[id]])&gt;1,DATOS_[[#This Row],[id]],"")</f>
        <v/>
      </c>
      <c r="CJ258" s="141" t="n">
        <f aca="false">(Inicio!$G$10-DATOS_[[#This Row],[Fecha Nacimiento]])/365.25</f>
        <v>0</v>
      </c>
      <c r="CK258" s="141" t="n">
        <f aca="false">(Inicio!$G$10-DATOS_[[#This Row],[Fecha de Antigüedad]])/365.25</f>
        <v>0</v>
      </c>
      <c r="CL258" s="141" t="e">
        <f aca="false">+VLOOKUP(DATOS_[[#This Row],[Clave de Contrato]],TblTiposContrato13[],3,0)</f>
        <v>#N/A</v>
      </c>
      <c r="CM258" s="141" t="e">
        <f aca="false">+VLOOKUP(DATOS_[[#This Row],[Clave de Contrato]],TblTiposContrato13[],4,0)</f>
        <v>#N/A</v>
      </c>
      <c r="CN258" s="141" t="str">
        <f aca="false">VLOOKUP(DATOS_[[#This Row],[Edad]],CONTRATOS!TblRngEdad,2,1)</f>
        <v>20  o menos</v>
      </c>
      <c r="CO258" s="141" t="str">
        <f aca="false">VLOOKUP(DATOS_[[#This Row],[Antigüedad]],TblRngAntg14[],2,1)</f>
        <v>0 a 1 años</v>
      </c>
    </row>
    <row r="259" customFormat="false" ht="13.8" hidden="false" customHeight="false" outlineLevel="0" collapsed="false">
      <c r="D259" s="128"/>
      <c r="E259" s="129"/>
      <c r="F259" s="129"/>
      <c r="G259" s="129"/>
      <c r="H259" s="130"/>
      <c r="I259" s="131"/>
      <c r="J259" s="128"/>
      <c r="K259" s="132"/>
      <c r="L259" s="132"/>
      <c r="M259" s="133"/>
      <c r="N259" s="133"/>
      <c r="O259" s="133"/>
      <c r="P259" s="129"/>
      <c r="Z259" s="75"/>
      <c r="AA259" s="76"/>
      <c r="AB259" s="76"/>
      <c r="AC259" s="129"/>
      <c r="AD259" s="134"/>
      <c r="AE259" s="134"/>
      <c r="AF259" s="134"/>
      <c r="AG259" s="134"/>
      <c r="AH259" s="134"/>
      <c r="AI259" s="134"/>
      <c r="AJ259" s="134"/>
      <c r="AK259" s="134"/>
      <c r="AL259" s="134"/>
      <c r="AM259" s="134"/>
      <c r="AN259" s="134"/>
      <c r="AO259" s="134"/>
      <c r="AP259" s="134"/>
      <c r="AQ259" s="134"/>
      <c r="AR259" s="134"/>
      <c r="AS259" s="134"/>
      <c r="AT259" s="134"/>
      <c r="AU259" s="134"/>
      <c r="AV259" s="134"/>
      <c r="AW259" s="134"/>
      <c r="AX259" s="134"/>
      <c r="AY259" s="134"/>
      <c r="AZ259" s="134"/>
      <c r="BA259" s="134"/>
      <c r="BB259" s="134"/>
      <c r="BC259" s="134"/>
      <c r="BD259" s="134"/>
      <c r="BE259" s="134"/>
      <c r="BF259" s="134"/>
      <c r="BG259" s="134"/>
      <c r="BH259" s="134"/>
      <c r="BI259" s="134"/>
      <c r="BJ259" s="134"/>
      <c r="BK259" s="134"/>
      <c r="BL259" s="134"/>
      <c r="BM259" s="135"/>
      <c r="BN259" s="136" t="n">
        <f aca="false">+MAX($D$3,DATOS_[[#This Row],[Fecha Inicio Sit. Contract.]])</f>
        <v>0</v>
      </c>
      <c r="BO259" s="136" t="n">
        <f aca="false">+MIN($D$4,DATOS_[[#This Row],[Fecha Fin Sit. Contract.]])</f>
        <v>0</v>
      </c>
      <c r="BP259" s="137" t="n">
        <f aca="false">+DATOS_[[#This Row],[% de jornada]]*IF(DATOS_[[#This Row],[% jornada reducida]]="",1,DATOS_[[#This Row],[% jornada reducida]])</f>
        <v>0</v>
      </c>
      <c r="BQ259" s="137" t="n">
        <f aca="false">+(DATOS_[[#This Row],[F.fin.cal]]-DATOS_[[#This Row],[F.ini.cal]]+1)/($D$4-$D$3+1)</f>
        <v>1</v>
      </c>
      <c r="BR259" s="137" t="str">
        <f aca="false">IF(OR(AND(DATOS_[[#This Row],[Fecha Fin Contrato]]&lt;$D$3,DATOS_[[#This Row],[Fecha Fin Contrato]]&lt;&gt;""),DATOS_[[#This Row],[Fecha de Contratación]]&gt;$D$4),"Fuera","Dentro")</f>
        <v>Dentro</v>
      </c>
      <c r="BS259" s="137" t="str">
        <f aca="false" t="array" ref="BS259:BS259">IF(MAX(IF(DATOS_[id]=DATOS_[[#This Row],[id]],DATOS_[F.fin.cal]))=DATOS_[[#This Row],[F.fin.cal]],"Sí","NO")</f>
        <v>Sí</v>
      </c>
      <c r="BT259" s="137" t="str">
        <f aca="false">IF(AND(DATOS_[[#This Row],[% normaliz]]&lt;&gt;1,DATOS_[[#This Row],[% anualiz]]=1),"Sí","NO")</f>
        <v>Sí</v>
      </c>
      <c r="BU259" s="137" t="str">
        <f aca="false">IF(AND(DATOS_[[#This Row],[% normaliz]]=1,DATOS_[[#This Row],[% anualiz]]&lt;&gt;1),"Sí","NO")</f>
        <v>NO</v>
      </c>
      <c r="BV259" s="137" t="str">
        <f aca="false">IF(AND(DATOS_[[#This Row],[% normaliz]]&lt;&gt;1,DATOS_[[#This Row],[% anualiz]]&lt;&gt;1),"Sí","NO")</f>
        <v>NO</v>
      </c>
      <c r="BW259" s="137" t="str">
        <f aca="false">+IF(DATOS_[[#This Row],[% normaliz]]*DATOS_[[#This Row],[% anualiz]]=1,"NO","Sí")</f>
        <v>Sí</v>
      </c>
      <c r="BX259" s="138" t="e">
        <f aca="false">(DATOS_[[#This Row],[S.BASE]]*(1/DATOS_[[#This Row],[% normaliz]])*(1/DATOS_[[#This Row],[% anualiz]]))*IF(DATOS_[[#This Row],[Check Equiparado]]="Sí",1,0)</f>
        <v>#DIV/0!</v>
      </c>
      <c r="BY2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9" s="138" t="e">
        <f aca="false">+DATOS_[[#This Row],[SALARIO BASE Eq]]+DATOS_[[#This Row],[Tot COMPL.SAL Eq]]</f>
        <v>#DIV/0!</v>
      </c>
      <c r="CA259" s="138" t="e">
        <f aca="false" t="array" ref="CA259:CA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9" s="138" t="e">
        <f aca="false">+DATOS_[[#This Row],[TOTAL SALARIO Eq]]+DATOS_[[#This Row],[Tot Extrasalarial Eq]]</f>
        <v>#DIV/0!</v>
      </c>
      <c r="CC259" s="139" t="n">
        <f aca="false">DATOS_[[#This Row],[S.BASE]]</f>
        <v>0</v>
      </c>
      <c r="CD259" s="139" t="n">
        <f aca="false">+SUM(DATOS_[[#This Row],[Conc.Sal.01]:[Conc.Sal.30]])</f>
        <v>0</v>
      </c>
      <c r="CE259" s="139" t="n">
        <f aca="false">+DATOS_[[#This Row],[SALARIO BASE Ef]]+DATOS_[[#This Row],[Tot COMPL.SAL Ef]]</f>
        <v>0</v>
      </c>
      <c r="CF259" s="139" t="n">
        <f aca="false">+SUM(DATOS_[[#This Row],[C.Extra.01]:[C.Extra.05]])</f>
        <v>0</v>
      </c>
      <c r="CG259" s="139" t="n">
        <f aca="false">+DATOS_[[#This Row],[TOTAL SALARIO Ef]]+DATOS_[[#This Row],[Tot Extrasalarial Ef]]</f>
        <v>0</v>
      </c>
      <c r="CH259" s="140" t="n">
        <f aca="false">MIN(IF(DATOS_[[#This Row],[Fecha Fin Contrato]]="",$D$4,DATOS_[[#This Row],[Fecha Fin Contrato]]),$D$4)-MAX(DATOS_[[#This Row],[Fecha de Contratación]],$D$3)+1</f>
        <v>1</v>
      </c>
      <c r="CI259" s="141" t="str">
        <f aca="false">IF(COUNTIFS(DATOS_[id],DATOS_[[#This Row],[id]])&gt;1,DATOS_[[#This Row],[id]],"")</f>
        <v/>
      </c>
      <c r="CJ259" s="141" t="n">
        <f aca="false">(Inicio!$G$10-DATOS_[[#This Row],[Fecha Nacimiento]])/365.25</f>
        <v>0</v>
      </c>
      <c r="CK259" s="141" t="n">
        <f aca="false">(Inicio!$G$10-DATOS_[[#This Row],[Fecha de Antigüedad]])/365.25</f>
        <v>0</v>
      </c>
      <c r="CL259" s="141" t="e">
        <f aca="false">+VLOOKUP(DATOS_[[#This Row],[Clave de Contrato]],TblTiposContrato13[],3,0)</f>
        <v>#N/A</v>
      </c>
      <c r="CM259" s="141" t="e">
        <f aca="false">+VLOOKUP(DATOS_[[#This Row],[Clave de Contrato]],TblTiposContrato13[],4,0)</f>
        <v>#N/A</v>
      </c>
      <c r="CN259" s="141" t="str">
        <f aca="false">VLOOKUP(DATOS_[[#This Row],[Edad]],CONTRATOS!TblRngEdad,2,1)</f>
        <v>20  o menos</v>
      </c>
      <c r="CO259" s="141" t="str">
        <f aca="false">VLOOKUP(DATOS_[[#This Row],[Antigüedad]],TblRngAntg14[],2,1)</f>
        <v>0 a 1 años</v>
      </c>
    </row>
    <row r="260" customFormat="false" ht="13.8" hidden="false" customHeight="false" outlineLevel="0" collapsed="false">
      <c r="D260" s="128"/>
      <c r="E260" s="129"/>
      <c r="F260" s="129"/>
      <c r="G260" s="129"/>
      <c r="H260" s="130"/>
      <c r="I260" s="131"/>
      <c r="J260" s="128"/>
      <c r="K260" s="132"/>
      <c r="L260" s="132"/>
      <c r="M260" s="133"/>
      <c r="N260" s="133"/>
      <c r="O260" s="133"/>
      <c r="P260" s="129"/>
      <c r="Z260" s="75"/>
      <c r="AA260" s="76"/>
      <c r="AB260" s="76"/>
      <c r="AC260" s="129"/>
      <c r="AD260" s="134"/>
      <c r="AE260" s="134"/>
      <c r="AF260" s="134"/>
      <c r="AG260" s="134"/>
      <c r="AH260" s="134"/>
      <c r="AI260" s="134"/>
      <c r="AJ260" s="134"/>
      <c r="AK260" s="134"/>
      <c r="AL260" s="134"/>
      <c r="AM260" s="134"/>
      <c r="AN260" s="134"/>
      <c r="AO260" s="134"/>
      <c r="AP260" s="134"/>
      <c r="AQ260" s="134"/>
      <c r="AR260" s="134"/>
      <c r="AS260" s="134"/>
      <c r="AT260" s="134"/>
      <c r="AU260" s="134"/>
      <c r="AV260" s="134"/>
      <c r="AW260" s="134"/>
      <c r="AX260" s="134"/>
      <c r="AY260" s="134"/>
      <c r="AZ260" s="134"/>
      <c r="BA260" s="134"/>
      <c r="BB260" s="134"/>
      <c r="BC260" s="134"/>
      <c r="BD260" s="134"/>
      <c r="BE260" s="134"/>
      <c r="BF260" s="134"/>
      <c r="BG260" s="134"/>
      <c r="BH260" s="134"/>
      <c r="BI260" s="134"/>
      <c r="BJ260" s="134"/>
      <c r="BK260" s="134"/>
      <c r="BL260" s="134"/>
      <c r="BM260" s="135"/>
      <c r="BN260" s="136" t="n">
        <f aca="false">+MAX($D$3,DATOS_[[#This Row],[Fecha Inicio Sit. Contract.]])</f>
        <v>0</v>
      </c>
      <c r="BO260" s="136" t="n">
        <f aca="false">+MIN($D$4,DATOS_[[#This Row],[Fecha Fin Sit. Contract.]])</f>
        <v>0</v>
      </c>
      <c r="BP260" s="137" t="n">
        <f aca="false">+DATOS_[[#This Row],[% de jornada]]*IF(DATOS_[[#This Row],[% jornada reducida]]="",1,DATOS_[[#This Row],[% jornada reducida]])</f>
        <v>0</v>
      </c>
      <c r="BQ260" s="137" t="n">
        <f aca="false">+(DATOS_[[#This Row],[F.fin.cal]]-DATOS_[[#This Row],[F.ini.cal]]+1)/($D$4-$D$3+1)</f>
        <v>1</v>
      </c>
      <c r="BR260" s="137" t="str">
        <f aca="false">IF(OR(AND(DATOS_[[#This Row],[Fecha Fin Contrato]]&lt;$D$3,DATOS_[[#This Row],[Fecha Fin Contrato]]&lt;&gt;""),DATOS_[[#This Row],[Fecha de Contratación]]&gt;$D$4),"Fuera","Dentro")</f>
        <v>Dentro</v>
      </c>
      <c r="BS260" s="137" t="str">
        <f aca="false" t="array" ref="BS260:BS260">IF(MAX(IF(DATOS_[id]=DATOS_[[#This Row],[id]],DATOS_[F.fin.cal]))=DATOS_[[#This Row],[F.fin.cal]],"Sí","NO")</f>
        <v>Sí</v>
      </c>
      <c r="BT260" s="137" t="str">
        <f aca="false">IF(AND(DATOS_[[#This Row],[% normaliz]]&lt;&gt;1,DATOS_[[#This Row],[% anualiz]]=1),"Sí","NO")</f>
        <v>Sí</v>
      </c>
      <c r="BU260" s="137" t="str">
        <f aca="false">IF(AND(DATOS_[[#This Row],[% normaliz]]=1,DATOS_[[#This Row],[% anualiz]]&lt;&gt;1),"Sí","NO")</f>
        <v>NO</v>
      </c>
      <c r="BV260" s="137" t="str">
        <f aca="false">IF(AND(DATOS_[[#This Row],[% normaliz]]&lt;&gt;1,DATOS_[[#This Row],[% anualiz]]&lt;&gt;1),"Sí","NO")</f>
        <v>NO</v>
      </c>
      <c r="BW260" s="137" t="str">
        <f aca="false">+IF(DATOS_[[#This Row],[% normaliz]]*DATOS_[[#This Row],[% anualiz]]=1,"NO","Sí")</f>
        <v>Sí</v>
      </c>
      <c r="BX260" s="138" t="e">
        <f aca="false">(DATOS_[[#This Row],[S.BASE]]*(1/DATOS_[[#This Row],[% normaliz]])*(1/DATOS_[[#This Row],[% anualiz]]))*IF(DATOS_[[#This Row],[Check Equiparado]]="Sí",1,0)</f>
        <v>#DIV/0!</v>
      </c>
      <c r="BY2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0" s="138" t="e">
        <f aca="false">+DATOS_[[#This Row],[SALARIO BASE Eq]]+DATOS_[[#This Row],[Tot COMPL.SAL Eq]]</f>
        <v>#DIV/0!</v>
      </c>
      <c r="CA260" s="138" t="e">
        <f aca="false" t="array" ref="CA260:CA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0" s="138" t="e">
        <f aca="false">+DATOS_[[#This Row],[TOTAL SALARIO Eq]]+DATOS_[[#This Row],[Tot Extrasalarial Eq]]</f>
        <v>#DIV/0!</v>
      </c>
      <c r="CC260" s="139" t="n">
        <f aca="false">DATOS_[[#This Row],[S.BASE]]</f>
        <v>0</v>
      </c>
      <c r="CD260" s="139" t="n">
        <f aca="false">+SUM(DATOS_[[#This Row],[Conc.Sal.01]:[Conc.Sal.30]])</f>
        <v>0</v>
      </c>
      <c r="CE260" s="139" t="n">
        <f aca="false">+DATOS_[[#This Row],[SALARIO BASE Ef]]+DATOS_[[#This Row],[Tot COMPL.SAL Ef]]</f>
        <v>0</v>
      </c>
      <c r="CF260" s="139" t="n">
        <f aca="false">+SUM(DATOS_[[#This Row],[C.Extra.01]:[C.Extra.05]])</f>
        <v>0</v>
      </c>
      <c r="CG260" s="139" t="n">
        <f aca="false">+DATOS_[[#This Row],[TOTAL SALARIO Ef]]+DATOS_[[#This Row],[Tot Extrasalarial Ef]]</f>
        <v>0</v>
      </c>
      <c r="CH260" s="140" t="n">
        <f aca="false">MIN(IF(DATOS_[[#This Row],[Fecha Fin Contrato]]="",$D$4,DATOS_[[#This Row],[Fecha Fin Contrato]]),$D$4)-MAX(DATOS_[[#This Row],[Fecha de Contratación]],$D$3)+1</f>
        <v>1</v>
      </c>
      <c r="CI260" s="141" t="str">
        <f aca="false">IF(COUNTIFS(DATOS_[id],DATOS_[[#This Row],[id]])&gt;1,DATOS_[[#This Row],[id]],"")</f>
        <v/>
      </c>
      <c r="CJ260" s="141" t="n">
        <f aca="false">(Inicio!$G$10-DATOS_[[#This Row],[Fecha Nacimiento]])/365.25</f>
        <v>0</v>
      </c>
      <c r="CK260" s="141" t="n">
        <f aca="false">(Inicio!$G$10-DATOS_[[#This Row],[Fecha de Antigüedad]])/365.25</f>
        <v>0</v>
      </c>
      <c r="CL260" s="141" t="e">
        <f aca="false">+VLOOKUP(DATOS_[[#This Row],[Clave de Contrato]],TblTiposContrato13[],3,0)</f>
        <v>#N/A</v>
      </c>
      <c r="CM260" s="141" t="e">
        <f aca="false">+VLOOKUP(DATOS_[[#This Row],[Clave de Contrato]],TblTiposContrato13[],4,0)</f>
        <v>#N/A</v>
      </c>
      <c r="CN260" s="141" t="str">
        <f aca="false">VLOOKUP(DATOS_[[#This Row],[Edad]],CONTRATOS!TblRngEdad,2,1)</f>
        <v>20  o menos</v>
      </c>
      <c r="CO260" s="141" t="str">
        <f aca="false">VLOOKUP(DATOS_[[#This Row],[Antigüedad]],TblRngAntg14[],2,1)</f>
        <v>0 a 1 años</v>
      </c>
    </row>
    <row r="261" customFormat="false" ht="13.8" hidden="false" customHeight="false" outlineLevel="0" collapsed="false">
      <c r="D261" s="128"/>
      <c r="E261" s="129"/>
      <c r="F261" s="129"/>
      <c r="G261" s="129"/>
      <c r="H261" s="130"/>
      <c r="I261" s="131"/>
      <c r="J261" s="128"/>
      <c r="K261" s="132"/>
      <c r="L261" s="132"/>
      <c r="M261" s="133"/>
      <c r="N261" s="133"/>
      <c r="O261" s="133"/>
      <c r="P261" s="129"/>
      <c r="Z261" s="75"/>
      <c r="AA261" s="76"/>
      <c r="AB261" s="76"/>
      <c r="AC261" s="129"/>
      <c r="AD261" s="134"/>
      <c r="AE261" s="134"/>
      <c r="AF261" s="134"/>
      <c r="AG261" s="134"/>
      <c r="AH261" s="134"/>
      <c r="AI261" s="134"/>
      <c r="AJ261" s="134"/>
      <c r="AK261" s="134"/>
      <c r="AL261" s="134"/>
      <c r="AM261" s="134"/>
      <c r="AN261" s="134"/>
      <c r="AO261" s="134"/>
      <c r="AP261" s="134"/>
      <c r="AQ261" s="134"/>
      <c r="AR261" s="134"/>
      <c r="AS261" s="134"/>
      <c r="AT261" s="134"/>
      <c r="AU261" s="134"/>
      <c r="AV261" s="134"/>
      <c r="AW261" s="134"/>
      <c r="AX261" s="134"/>
      <c r="AY261" s="134"/>
      <c r="AZ261" s="134"/>
      <c r="BA261" s="134"/>
      <c r="BB261" s="134"/>
      <c r="BC261" s="134"/>
      <c r="BD261" s="134"/>
      <c r="BE261" s="134"/>
      <c r="BF261" s="134"/>
      <c r="BG261" s="134"/>
      <c r="BH261" s="134"/>
      <c r="BI261" s="134"/>
      <c r="BJ261" s="134"/>
      <c r="BK261" s="134"/>
      <c r="BL261" s="134"/>
      <c r="BM261" s="135"/>
      <c r="BN261" s="136" t="n">
        <f aca="false">+MAX($D$3,DATOS_[[#This Row],[Fecha Inicio Sit. Contract.]])</f>
        <v>0</v>
      </c>
      <c r="BO261" s="136" t="n">
        <f aca="false">+MIN($D$4,DATOS_[[#This Row],[Fecha Fin Sit. Contract.]])</f>
        <v>0</v>
      </c>
      <c r="BP261" s="137" t="n">
        <f aca="false">+DATOS_[[#This Row],[% de jornada]]*IF(DATOS_[[#This Row],[% jornada reducida]]="",1,DATOS_[[#This Row],[% jornada reducida]])</f>
        <v>0</v>
      </c>
      <c r="BQ261" s="137" t="n">
        <f aca="false">+(DATOS_[[#This Row],[F.fin.cal]]-DATOS_[[#This Row],[F.ini.cal]]+1)/($D$4-$D$3+1)</f>
        <v>1</v>
      </c>
      <c r="BR261" s="137" t="str">
        <f aca="false">IF(OR(AND(DATOS_[[#This Row],[Fecha Fin Contrato]]&lt;$D$3,DATOS_[[#This Row],[Fecha Fin Contrato]]&lt;&gt;""),DATOS_[[#This Row],[Fecha de Contratación]]&gt;$D$4),"Fuera","Dentro")</f>
        <v>Dentro</v>
      </c>
      <c r="BS261" s="137" t="str">
        <f aca="false" t="array" ref="BS261:BS261">IF(MAX(IF(DATOS_[id]=DATOS_[[#This Row],[id]],DATOS_[F.fin.cal]))=DATOS_[[#This Row],[F.fin.cal]],"Sí","NO")</f>
        <v>Sí</v>
      </c>
      <c r="BT261" s="137" t="str">
        <f aca="false">IF(AND(DATOS_[[#This Row],[% normaliz]]&lt;&gt;1,DATOS_[[#This Row],[% anualiz]]=1),"Sí","NO")</f>
        <v>Sí</v>
      </c>
      <c r="BU261" s="137" t="str">
        <f aca="false">IF(AND(DATOS_[[#This Row],[% normaliz]]=1,DATOS_[[#This Row],[% anualiz]]&lt;&gt;1),"Sí","NO")</f>
        <v>NO</v>
      </c>
      <c r="BV261" s="137" t="str">
        <f aca="false">IF(AND(DATOS_[[#This Row],[% normaliz]]&lt;&gt;1,DATOS_[[#This Row],[% anualiz]]&lt;&gt;1),"Sí","NO")</f>
        <v>NO</v>
      </c>
      <c r="BW261" s="137" t="str">
        <f aca="false">+IF(DATOS_[[#This Row],[% normaliz]]*DATOS_[[#This Row],[% anualiz]]=1,"NO","Sí")</f>
        <v>Sí</v>
      </c>
      <c r="BX261" s="138" t="e">
        <f aca="false">(DATOS_[[#This Row],[S.BASE]]*(1/DATOS_[[#This Row],[% normaliz]])*(1/DATOS_[[#This Row],[% anualiz]]))*IF(DATOS_[[#This Row],[Check Equiparado]]="Sí",1,0)</f>
        <v>#DIV/0!</v>
      </c>
      <c r="BY2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1" s="138" t="e">
        <f aca="false">+DATOS_[[#This Row],[SALARIO BASE Eq]]+DATOS_[[#This Row],[Tot COMPL.SAL Eq]]</f>
        <v>#DIV/0!</v>
      </c>
      <c r="CA261" s="138" t="e">
        <f aca="false" t="array" ref="CA261:CA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1" s="138" t="e">
        <f aca="false">+DATOS_[[#This Row],[TOTAL SALARIO Eq]]+DATOS_[[#This Row],[Tot Extrasalarial Eq]]</f>
        <v>#DIV/0!</v>
      </c>
      <c r="CC261" s="139" t="n">
        <f aca="false">DATOS_[[#This Row],[S.BASE]]</f>
        <v>0</v>
      </c>
      <c r="CD261" s="139" t="n">
        <f aca="false">+SUM(DATOS_[[#This Row],[Conc.Sal.01]:[Conc.Sal.30]])</f>
        <v>0</v>
      </c>
      <c r="CE261" s="139" t="n">
        <f aca="false">+DATOS_[[#This Row],[SALARIO BASE Ef]]+DATOS_[[#This Row],[Tot COMPL.SAL Ef]]</f>
        <v>0</v>
      </c>
      <c r="CF261" s="139" t="n">
        <f aca="false">+SUM(DATOS_[[#This Row],[C.Extra.01]:[C.Extra.05]])</f>
        <v>0</v>
      </c>
      <c r="CG261" s="139" t="n">
        <f aca="false">+DATOS_[[#This Row],[TOTAL SALARIO Ef]]+DATOS_[[#This Row],[Tot Extrasalarial Ef]]</f>
        <v>0</v>
      </c>
      <c r="CH261" s="140" t="n">
        <f aca="false">MIN(IF(DATOS_[[#This Row],[Fecha Fin Contrato]]="",$D$4,DATOS_[[#This Row],[Fecha Fin Contrato]]),$D$4)-MAX(DATOS_[[#This Row],[Fecha de Contratación]],$D$3)+1</f>
        <v>1</v>
      </c>
      <c r="CI261" s="141" t="str">
        <f aca="false">IF(COUNTIFS(DATOS_[id],DATOS_[[#This Row],[id]])&gt;1,DATOS_[[#This Row],[id]],"")</f>
        <v/>
      </c>
      <c r="CJ261" s="141" t="n">
        <f aca="false">(Inicio!$G$10-DATOS_[[#This Row],[Fecha Nacimiento]])/365.25</f>
        <v>0</v>
      </c>
      <c r="CK261" s="141" t="n">
        <f aca="false">(Inicio!$G$10-DATOS_[[#This Row],[Fecha de Antigüedad]])/365.25</f>
        <v>0</v>
      </c>
      <c r="CL261" s="141" t="e">
        <f aca="false">+VLOOKUP(DATOS_[[#This Row],[Clave de Contrato]],TblTiposContrato13[],3,0)</f>
        <v>#N/A</v>
      </c>
      <c r="CM261" s="141" t="e">
        <f aca="false">+VLOOKUP(DATOS_[[#This Row],[Clave de Contrato]],TblTiposContrato13[],4,0)</f>
        <v>#N/A</v>
      </c>
      <c r="CN261" s="141" t="str">
        <f aca="false">VLOOKUP(DATOS_[[#This Row],[Edad]],CONTRATOS!TblRngEdad,2,1)</f>
        <v>20  o menos</v>
      </c>
      <c r="CO261" s="141" t="str">
        <f aca="false">VLOOKUP(DATOS_[[#This Row],[Antigüedad]],TblRngAntg14[],2,1)</f>
        <v>0 a 1 años</v>
      </c>
    </row>
    <row r="262" customFormat="false" ht="13.8" hidden="false" customHeight="false" outlineLevel="0" collapsed="false">
      <c r="D262" s="128"/>
      <c r="E262" s="129"/>
      <c r="F262" s="129"/>
      <c r="G262" s="129"/>
      <c r="H262" s="130"/>
      <c r="I262" s="131"/>
      <c r="J262" s="128"/>
      <c r="K262" s="132"/>
      <c r="L262" s="132"/>
      <c r="M262" s="133"/>
      <c r="N262" s="133"/>
      <c r="O262" s="133"/>
      <c r="P262" s="129"/>
      <c r="Z262" s="75"/>
      <c r="AA262" s="76"/>
      <c r="AB262" s="76"/>
      <c r="AC262" s="129"/>
      <c r="AD262" s="134"/>
      <c r="AE262" s="134"/>
      <c r="AF262" s="134"/>
      <c r="AG262" s="134"/>
      <c r="AH262" s="134"/>
      <c r="AI262" s="134"/>
      <c r="AJ262" s="134"/>
      <c r="AK262" s="134"/>
      <c r="AL262" s="134"/>
      <c r="AM262" s="134"/>
      <c r="AN262" s="134"/>
      <c r="AO262" s="134"/>
      <c r="AP262" s="134"/>
      <c r="AQ262" s="134"/>
      <c r="AR262" s="134"/>
      <c r="AS262" s="134"/>
      <c r="AT262" s="134"/>
      <c r="AU262" s="134"/>
      <c r="AV262" s="134"/>
      <c r="AW262" s="134"/>
      <c r="AX262" s="134"/>
      <c r="AY262" s="134"/>
      <c r="AZ262" s="134"/>
      <c r="BA262" s="134"/>
      <c r="BB262" s="134"/>
      <c r="BC262" s="134"/>
      <c r="BD262" s="134"/>
      <c r="BE262" s="134"/>
      <c r="BF262" s="134"/>
      <c r="BG262" s="134"/>
      <c r="BH262" s="134"/>
      <c r="BI262" s="134"/>
      <c r="BJ262" s="134"/>
      <c r="BK262" s="134"/>
      <c r="BL262" s="134"/>
      <c r="BM262" s="135"/>
      <c r="BN262" s="136" t="n">
        <f aca="false">+MAX($D$3,DATOS_[[#This Row],[Fecha Inicio Sit. Contract.]])</f>
        <v>0</v>
      </c>
      <c r="BO262" s="136" t="n">
        <f aca="false">+MIN($D$4,DATOS_[[#This Row],[Fecha Fin Sit. Contract.]])</f>
        <v>0</v>
      </c>
      <c r="BP262" s="137" t="n">
        <f aca="false">+DATOS_[[#This Row],[% de jornada]]*IF(DATOS_[[#This Row],[% jornada reducida]]="",1,DATOS_[[#This Row],[% jornada reducida]])</f>
        <v>0</v>
      </c>
      <c r="BQ262" s="137" t="n">
        <f aca="false">+(DATOS_[[#This Row],[F.fin.cal]]-DATOS_[[#This Row],[F.ini.cal]]+1)/($D$4-$D$3+1)</f>
        <v>1</v>
      </c>
      <c r="BR262" s="137" t="str">
        <f aca="false">IF(OR(AND(DATOS_[[#This Row],[Fecha Fin Contrato]]&lt;$D$3,DATOS_[[#This Row],[Fecha Fin Contrato]]&lt;&gt;""),DATOS_[[#This Row],[Fecha de Contratación]]&gt;$D$4),"Fuera","Dentro")</f>
        <v>Dentro</v>
      </c>
      <c r="BS262" s="137" t="str">
        <f aca="false" t="array" ref="BS262:BS262">IF(MAX(IF(DATOS_[id]=DATOS_[[#This Row],[id]],DATOS_[F.fin.cal]))=DATOS_[[#This Row],[F.fin.cal]],"Sí","NO")</f>
        <v>Sí</v>
      </c>
      <c r="BT262" s="137" t="str">
        <f aca="false">IF(AND(DATOS_[[#This Row],[% normaliz]]&lt;&gt;1,DATOS_[[#This Row],[% anualiz]]=1),"Sí","NO")</f>
        <v>Sí</v>
      </c>
      <c r="BU262" s="137" t="str">
        <f aca="false">IF(AND(DATOS_[[#This Row],[% normaliz]]=1,DATOS_[[#This Row],[% anualiz]]&lt;&gt;1),"Sí","NO")</f>
        <v>NO</v>
      </c>
      <c r="BV262" s="137" t="str">
        <f aca="false">IF(AND(DATOS_[[#This Row],[% normaliz]]&lt;&gt;1,DATOS_[[#This Row],[% anualiz]]&lt;&gt;1),"Sí","NO")</f>
        <v>NO</v>
      </c>
      <c r="BW262" s="137" t="str">
        <f aca="false">+IF(DATOS_[[#This Row],[% normaliz]]*DATOS_[[#This Row],[% anualiz]]=1,"NO","Sí")</f>
        <v>Sí</v>
      </c>
      <c r="BX262" s="138" t="e">
        <f aca="false">(DATOS_[[#This Row],[S.BASE]]*(1/DATOS_[[#This Row],[% normaliz]])*(1/DATOS_[[#This Row],[% anualiz]]))*IF(DATOS_[[#This Row],[Check Equiparado]]="Sí",1,0)</f>
        <v>#DIV/0!</v>
      </c>
      <c r="BY2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2" s="138" t="e">
        <f aca="false">+DATOS_[[#This Row],[SALARIO BASE Eq]]+DATOS_[[#This Row],[Tot COMPL.SAL Eq]]</f>
        <v>#DIV/0!</v>
      </c>
      <c r="CA262" s="138" t="e">
        <f aca="false" t="array" ref="CA262:CA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2" s="138" t="e">
        <f aca="false">+DATOS_[[#This Row],[TOTAL SALARIO Eq]]+DATOS_[[#This Row],[Tot Extrasalarial Eq]]</f>
        <v>#DIV/0!</v>
      </c>
      <c r="CC262" s="139" t="n">
        <f aca="false">DATOS_[[#This Row],[S.BASE]]</f>
        <v>0</v>
      </c>
      <c r="CD262" s="139" t="n">
        <f aca="false">+SUM(DATOS_[[#This Row],[Conc.Sal.01]:[Conc.Sal.30]])</f>
        <v>0</v>
      </c>
      <c r="CE262" s="139" t="n">
        <f aca="false">+DATOS_[[#This Row],[SALARIO BASE Ef]]+DATOS_[[#This Row],[Tot COMPL.SAL Ef]]</f>
        <v>0</v>
      </c>
      <c r="CF262" s="139" t="n">
        <f aca="false">+SUM(DATOS_[[#This Row],[C.Extra.01]:[C.Extra.05]])</f>
        <v>0</v>
      </c>
      <c r="CG262" s="139" t="n">
        <f aca="false">+DATOS_[[#This Row],[TOTAL SALARIO Ef]]+DATOS_[[#This Row],[Tot Extrasalarial Ef]]</f>
        <v>0</v>
      </c>
      <c r="CH262" s="140" t="n">
        <f aca="false">MIN(IF(DATOS_[[#This Row],[Fecha Fin Contrato]]="",$D$4,DATOS_[[#This Row],[Fecha Fin Contrato]]),$D$4)-MAX(DATOS_[[#This Row],[Fecha de Contratación]],$D$3)+1</f>
        <v>1</v>
      </c>
      <c r="CI262" s="141" t="str">
        <f aca="false">IF(COUNTIFS(DATOS_[id],DATOS_[[#This Row],[id]])&gt;1,DATOS_[[#This Row],[id]],"")</f>
        <v/>
      </c>
      <c r="CJ262" s="141" t="n">
        <f aca="false">(Inicio!$G$10-DATOS_[[#This Row],[Fecha Nacimiento]])/365.25</f>
        <v>0</v>
      </c>
      <c r="CK262" s="141" t="n">
        <f aca="false">(Inicio!$G$10-DATOS_[[#This Row],[Fecha de Antigüedad]])/365.25</f>
        <v>0</v>
      </c>
      <c r="CL262" s="141" t="e">
        <f aca="false">+VLOOKUP(DATOS_[[#This Row],[Clave de Contrato]],TblTiposContrato13[],3,0)</f>
        <v>#N/A</v>
      </c>
      <c r="CM262" s="141" t="e">
        <f aca="false">+VLOOKUP(DATOS_[[#This Row],[Clave de Contrato]],TblTiposContrato13[],4,0)</f>
        <v>#N/A</v>
      </c>
      <c r="CN262" s="141" t="str">
        <f aca="false">VLOOKUP(DATOS_[[#This Row],[Edad]],CONTRATOS!TblRngEdad,2,1)</f>
        <v>20  o menos</v>
      </c>
      <c r="CO262" s="141" t="str">
        <f aca="false">VLOOKUP(DATOS_[[#This Row],[Antigüedad]],TblRngAntg14[],2,1)</f>
        <v>0 a 1 años</v>
      </c>
    </row>
    <row r="263" customFormat="false" ht="13.8" hidden="false" customHeight="false" outlineLevel="0" collapsed="false">
      <c r="D263" s="128"/>
      <c r="E263" s="129"/>
      <c r="F263" s="129"/>
      <c r="G263" s="129"/>
      <c r="H263" s="130"/>
      <c r="I263" s="131"/>
      <c r="J263" s="128"/>
      <c r="K263" s="132"/>
      <c r="L263" s="132"/>
      <c r="M263" s="133"/>
      <c r="N263" s="133"/>
      <c r="O263" s="133"/>
      <c r="P263" s="129"/>
      <c r="Z263" s="75"/>
      <c r="AA263" s="76"/>
      <c r="AB263" s="76"/>
      <c r="AC263" s="129"/>
      <c r="AD263" s="134"/>
      <c r="AE263" s="134"/>
      <c r="AF263" s="134"/>
      <c r="AG263" s="134"/>
      <c r="AH263" s="134"/>
      <c r="AI263" s="134"/>
      <c r="AJ263" s="134"/>
      <c r="AK263" s="134"/>
      <c r="AL263" s="134"/>
      <c r="AM263" s="134"/>
      <c r="AN263" s="134"/>
      <c r="AO263" s="134"/>
      <c r="AP263" s="134"/>
      <c r="AQ263" s="134"/>
      <c r="AR263" s="134"/>
      <c r="AS263" s="134"/>
      <c r="AT263" s="134"/>
      <c r="AU263" s="134"/>
      <c r="AV263" s="134"/>
      <c r="AW263" s="134"/>
      <c r="AX263" s="134"/>
      <c r="AY263" s="134"/>
      <c r="AZ263" s="134"/>
      <c r="BA263" s="134"/>
      <c r="BB263" s="134"/>
      <c r="BC263" s="134"/>
      <c r="BD263" s="134"/>
      <c r="BE263" s="134"/>
      <c r="BF263" s="134"/>
      <c r="BG263" s="134"/>
      <c r="BH263" s="134"/>
      <c r="BI263" s="134"/>
      <c r="BJ263" s="134"/>
      <c r="BK263" s="134"/>
      <c r="BL263" s="134"/>
      <c r="BM263" s="135"/>
      <c r="BN263" s="136" t="n">
        <f aca="false">+MAX($D$3,DATOS_[[#This Row],[Fecha Inicio Sit. Contract.]])</f>
        <v>0</v>
      </c>
      <c r="BO263" s="136" t="n">
        <f aca="false">+MIN($D$4,DATOS_[[#This Row],[Fecha Fin Sit. Contract.]])</f>
        <v>0</v>
      </c>
      <c r="BP263" s="137" t="n">
        <f aca="false">+DATOS_[[#This Row],[% de jornada]]*IF(DATOS_[[#This Row],[% jornada reducida]]="",1,DATOS_[[#This Row],[% jornada reducida]])</f>
        <v>0</v>
      </c>
      <c r="BQ263" s="137" t="n">
        <f aca="false">+(DATOS_[[#This Row],[F.fin.cal]]-DATOS_[[#This Row],[F.ini.cal]]+1)/($D$4-$D$3+1)</f>
        <v>1</v>
      </c>
      <c r="BR263" s="137" t="str">
        <f aca="false">IF(OR(AND(DATOS_[[#This Row],[Fecha Fin Contrato]]&lt;$D$3,DATOS_[[#This Row],[Fecha Fin Contrato]]&lt;&gt;""),DATOS_[[#This Row],[Fecha de Contratación]]&gt;$D$4),"Fuera","Dentro")</f>
        <v>Dentro</v>
      </c>
      <c r="BS263" s="137" t="str">
        <f aca="false" t="array" ref="BS263:BS263">IF(MAX(IF(DATOS_[id]=DATOS_[[#This Row],[id]],DATOS_[F.fin.cal]))=DATOS_[[#This Row],[F.fin.cal]],"Sí","NO")</f>
        <v>Sí</v>
      </c>
      <c r="BT263" s="137" t="str">
        <f aca="false">IF(AND(DATOS_[[#This Row],[% normaliz]]&lt;&gt;1,DATOS_[[#This Row],[% anualiz]]=1),"Sí","NO")</f>
        <v>Sí</v>
      </c>
      <c r="BU263" s="137" t="str">
        <f aca="false">IF(AND(DATOS_[[#This Row],[% normaliz]]=1,DATOS_[[#This Row],[% anualiz]]&lt;&gt;1),"Sí","NO")</f>
        <v>NO</v>
      </c>
      <c r="BV263" s="137" t="str">
        <f aca="false">IF(AND(DATOS_[[#This Row],[% normaliz]]&lt;&gt;1,DATOS_[[#This Row],[% anualiz]]&lt;&gt;1),"Sí","NO")</f>
        <v>NO</v>
      </c>
      <c r="BW263" s="137" t="str">
        <f aca="false">+IF(DATOS_[[#This Row],[% normaliz]]*DATOS_[[#This Row],[% anualiz]]=1,"NO","Sí")</f>
        <v>Sí</v>
      </c>
      <c r="BX263" s="138" t="e">
        <f aca="false">(DATOS_[[#This Row],[S.BASE]]*(1/DATOS_[[#This Row],[% normaliz]])*(1/DATOS_[[#This Row],[% anualiz]]))*IF(DATOS_[[#This Row],[Check Equiparado]]="Sí",1,0)</f>
        <v>#DIV/0!</v>
      </c>
      <c r="BY2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3" s="138" t="e">
        <f aca="false">+DATOS_[[#This Row],[SALARIO BASE Eq]]+DATOS_[[#This Row],[Tot COMPL.SAL Eq]]</f>
        <v>#DIV/0!</v>
      </c>
      <c r="CA263" s="138" t="e">
        <f aca="false" t="array" ref="CA263:CA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3" s="138" t="e">
        <f aca="false">+DATOS_[[#This Row],[TOTAL SALARIO Eq]]+DATOS_[[#This Row],[Tot Extrasalarial Eq]]</f>
        <v>#DIV/0!</v>
      </c>
      <c r="CC263" s="139" t="n">
        <f aca="false">DATOS_[[#This Row],[S.BASE]]</f>
        <v>0</v>
      </c>
      <c r="CD263" s="139" t="n">
        <f aca="false">+SUM(DATOS_[[#This Row],[Conc.Sal.01]:[Conc.Sal.30]])</f>
        <v>0</v>
      </c>
      <c r="CE263" s="139" t="n">
        <f aca="false">+DATOS_[[#This Row],[SALARIO BASE Ef]]+DATOS_[[#This Row],[Tot COMPL.SAL Ef]]</f>
        <v>0</v>
      </c>
      <c r="CF263" s="139" t="n">
        <f aca="false">+SUM(DATOS_[[#This Row],[C.Extra.01]:[C.Extra.05]])</f>
        <v>0</v>
      </c>
      <c r="CG263" s="139" t="n">
        <f aca="false">+DATOS_[[#This Row],[TOTAL SALARIO Ef]]+DATOS_[[#This Row],[Tot Extrasalarial Ef]]</f>
        <v>0</v>
      </c>
      <c r="CH263" s="140" t="n">
        <f aca="false">MIN(IF(DATOS_[[#This Row],[Fecha Fin Contrato]]="",$D$4,DATOS_[[#This Row],[Fecha Fin Contrato]]),$D$4)-MAX(DATOS_[[#This Row],[Fecha de Contratación]],$D$3)+1</f>
        <v>1</v>
      </c>
      <c r="CI263" s="141" t="str">
        <f aca="false">IF(COUNTIFS(DATOS_[id],DATOS_[[#This Row],[id]])&gt;1,DATOS_[[#This Row],[id]],"")</f>
        <v/>
      </c>
      <c r="CJ263" s="141" t="n">
        <f aca="false">(Inicio!$G$10-DATOS_[[#This Row],[Fecha Nacimiento]])/365.25</f>
        <v>0</v>
      </c>
      <c r="CK263" s="141" t="n">
        <f aca="false">(Inicio!$G$10-DATOS_[[#This Row],[Fecha de Antigüedad]])/365.25</f>
        <v>0</v>
      </c>
      <c r="CL263" s="141" t="e">
        <f aca="false">+VLOOKUP(DATOS_[[#This Row],[Clave de Contrato]],TblTiposContrato13[],3,0)</f>
        <v>#N/A</v>
      </c>
      <c r="CM263" s="141" t="e">
        <f aca="false">+VLOOKUP(DATOS_[[#This Row],[Clave de Contrato]],TblTiposContrato13[],4,0)</f>
        <v>#N/A</v>
      </c>
      <c r="CN263" s="141" t="str">
        <f aca="false">VLOOKUP(DATOS_[[#This Row],[Edad]],CONTRATOS!TblRngEdad,2,1)</f>
        <v>20  o menos</v>
      </c>
      <c r="CO263" s="141" t="str">
        <f aca="false">VLOOKUP(DATOS_[[#This Row],[Antigüedad]],TblRngAntg14[],2,1)</f>
        <v>0 a 1 años</v>
      </c>
    </row>
    <row r="264" customFormat="false" ht="13.8" hidden="false" customHeight="false" outlineLevel="0" collapsed="false">
      <c r="D264" s="128"/>
      <c r="E264" s="129"/>
      <c r="F264" s="129"/>
      <c r="G264" s="129"/>
      <c r="H264" s="130"/>
      <c r="I264" s="131"/>
      <c r="J264" s="128"/>
      <c r="K264" s="132"/>
      <c r="L264" s="132"/>
      <c r="M264" s="133"/>
      <c r="N264" s="133"/>
      <c r="O264" s="133"/>
      <c r="P264" s="129"/>
      <c r="Z264" s="75"/>
      <c r="AA264" s="76"/>
      <c r="AB264" s="76"/>
      <c r="AC264" s="129"/>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134"/>
      <c r="BJ264" s="134"/>
      <c r="BK264" s="134"/>
      <c r="BL264" s="134"/>
      <c r="BM264" s="135"/>
      <c r="BN264" s="136" t="n">
        <f aca="false">+MAX($D$3,DATOS_[[#This Row],[Fecha Inicio Sit. Contract.]])</f>
        <v>0</v>
      </c>
      <c r="BO264" s="136" t="n">
        <f aca="false">+MIN($D$4,DATOS_[[#This Row],[Fecha Fin Sit. Contract.]])</f>
        <v>0</v>
      </c>
      <c r="BP264" s="137" t="n">
        <f aca="false">+DATOS_[[#This Row],[% de jornada]]*IF(DATOS_[[#This Row],[% jornada reducida]]="",1,DATOS_[[#This Row],[% jornada reducida]])</f>
        <v>0</v>
      </c>
      <c r="BQ264" s="137" t="n">
        <f aca="false">+(DATOS_[[#This Row],[F.fin.cal]]-DATOS_[[#This Row],[F.ini.cal]]+1)/($D$4-$D$3+1)</f>
        <v>1</v>
      </c>
      <c r="BR264" s="137" t="str">
        <f aca="false">IF(OR(AND(DATOS_[[#This Row],[Fecha Fin Contrato]]&lt;$D$3,DATOS_[[#This Row],[Fecha Fin Contrato]]&lt;&gt;""),DATOS_[[#This Row],[Fecha de Contratación]]&gt;$D$4),"Fuera","Dentro")</f>
        <v>Dentro</v>
      </c>
      <c r="BS264" s="137" t="str">
        <f aca="false" t="array" ref="BS264:BS264">IF(MAX(IF(DATOS_[id]=DATOS_[[#This Row],[id]],DATOS_[F.fin.cal]))=DATOS_[[#This Row],[F.fin.cal]],"Sí","NO")</f>
        <v>Sí</v>
      </c>
      <c r="BT264" s="137" t="str">
        <f aca="false">IF(AND(DATOS_[[#This Row],[% normaliz]]&lt;&gt;1,DATOS_[[#This Row],[% anualiz]]=1),"Sí","NO")</f>
        <v>Sí</v>
      </c>
      <c r="BU264" s="137" t="str">
        <f aca="false">IF(AND(DATOS_[[#This Row],[% normaliz]]=1,DATOS_[[#This Row],[% anualiz]]&lt;&gt;1),"Sí","NO")</f>
        <v>NO</v>
      </c>
      <c r="BV264" s="137" t="str">
        <f aca="false">IF(AND(DATOS_[[#This Row],[% normaliz]]&lt;&gt;1,DATOS_[[#This Row],[% anualiz]]&lt;&gt;1),"Sí","NO")</f>
        <v>NO</v>
      </c>
      <c r="BW264" s="137" t="str">
        <f aca="false">+IF(DATOS_[[#This Row],[% normaliz]]*DATOS_[[#This Row],[% anualiz]]=1,"NO","Sí")</f>
        <v>Sí</v>
      </c>
      <c r="BX264" s="138" t="e">
        <f aca="false">(DATOS_[[#This Row],[S.BASE]]*(1/DATOS_[[#This Row],[% normaliz]])*(1/DATOS_[[#This Row],[% anualiz]]))*IF(DATOS_[[#This Row],[Check Equiparado]]="Sí",1,0)</f>
        <v>#DIV/0!</v>
      </c>
      <c r="BY2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4" s="138" t="e">
        <f aca="false">+DATOS_[[#This Row],[SALARIO BASE Eq]]+DATOS_[[#This Row],[Tot COMPL.SAL Eq]]</f>
        <v>#DIV/0!</v>
      </c>
      <c r="CA264" s="138" t="e">
        <f aca="false" t="array" ref="CA264:CA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4" s="138" t="e">
        <f aca="false">+DATOS_[[#This Row],[TOTAL SALARIO Eq]]+DATOS_[[#This Row],[Tot Extrasalarial Eq]]</f>
        <v>#DIV/0!</v>
      </c>
      <c r="CC264" s="139" t="n">
        <f aca="false">DATOS_[[#This Row],[S.BASE]]</f>
        <v>0</v>
      </c>
      <c r="CD264" s="139" t="n">
        <f aca="false">+SUM(DATOS_[[#This Row],[Conc.Sal.01]:[Conc.Sal.30]])</f>
        <v>0</v>
      </c>
      <c r="CE264" s="139" t="n">
        <f aca="false">+DATOS_[[#This Row],[SALARIO BASE Ef]]+DATOS_[[#This Row],[Tot COMPL.SAL Ef]]</f>
        <v>0</v>
      </c>
      <c r="CF264" s="139" t="n">
        <f aca="false">+SUM(DATOS_[[#This Row],[C.Extra.01]:[C.Extra.05]])</f>
        <v>0</v>
      </c>
      <c r="CG264" s="139" t="n">
        <f aca="false">+DATOS_[[#This Row],[TOTAL SALARIO Ef]]+DATOS_[[#This Row],[Tot Extrasalarial Ef]]</f>
        <v>0</v>
      </c>
      <c r="CH264" s="140" t="n">
        <f aca="false">MIN(IF(DATOS_[[#This Row],[Fecha Fin Contrato]]="",$D$4,DATOS_[[#This Row],[Fecha Fin Contrato]]),$D$4)-MAX(DATOS_[[#This Row],[Fecha de Contratación]],$D$3)+1</f>
        <v>1</v>
      </c>
      <c r="CI264" s="141" t="str">
        <f aca="false">IF(COUNTIFS(DATOS_[id],DATOS_[[#This Row],[id]])&gt;1,DATOS_[[#This Row],[id]],"")</f>
        <v/>
      </c>
      <c r="CJ264" s="141" t="n">
        <f aca="false">(Inicio!$G$10-DATOS_[[#This Row],[Fecha Nacimiento]])/365.25</f>
        <v>0</v>
      </c>
      <c r="CK264" s="141" t="n">
        <f aca="false">(Inicio!$G$10-DATOS_[[#This Row],[Fecha de Antigüedad]])/365.25</f>
        <v>0</v>
      </c>
      <c r="CL264" s="141" t="e">
        <f aca="false">+VLOOKUP(DATOS_[[#This Row],[Clave de Contrato]],TblTiposContrato13[],3,0)</f>
        <v>#N/A</v>
      </c>
      <c r="CM264" s="141" t="e">
        <f aca="false">+VLOOKUP(DATOS_[[#This Row],[Clave de Contrato]],TblTiposContrato13[],4,0)</f>
        <v>#N/A</v>
      </c>
      <c r="CN264" s="141" t="str">
        <f aca="false">VLOOKUP(DATOS_[[#This Row],[Edad]],CONTRATOS!TblRngEdad,2,1)</f>
        <v>20  o menos</v>
      </c>
      <c r="CO264" s="141" t="str">
        <f aca="false">VLOOKUP(DATOS_[[#This Row],[Antigüedad]],TblRngAntg14[],2,1)</f>
        <v>0 a 1 años</v>
      </c>
    </row>
    <row r="265" customFormat="false" ht="13.8" hidden="false" customHeight="false" outlineLevel="0" collapsed="false">
      <c r="D265" s="128"/>
      <c r="E265" s="129"/>
      <c r="F265" s="129"/>
      <c r="G265" s="129"/>
      <c r="H265" s="130"/>
      <c r="I265" s="131"/>
      <c r="J265" s="128"/>
      <c r="K265" s="132"/>
      <c r="L265" s="132"/>
      <c r="M265" s="133"/>
      <c r="N265" s="133"/>
      <c r="O265" s="133"/>
      <c r="P265" s="129"/>
      <c r="Z265" s="75"/>
      <c r="AA265" s="76"/>
      <c r="AB265" s="76"/>
      <c r="AC265" s="129"/>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134"/>
      <c r="BJ265" s="134"/>
      <c r="BK265" s="134"/>
      <c r="BL265" s="134"/>
      <c r="BM265" s="135"/>
      <c r="BN265" s="136" t="n">
        <f aca="false">+MAX($D$3,DATOS_[[#This Row],[Fecha Inicio Sit. Contract.]])</f>
        <v>0</v>
      </c>
      <c r="BO265" s="136" t="n">
        <f aca="false">+MIN($D$4,DATOS_[[#This Row],[Fecha Fin Sit. Contract.]])</f>
        <v>0</v>
      </c>
      <c r="BP265" s="137" t="n">
        <f aca="false">+DATOS_[[#This Row],[% de jornada]]*IF(DATOS_[[#This Row],[% jornada reducida]]="",1,DATOS_[[#This Row],[% jornada reducida]])</f>
        <v>0</v>
      </c>
      <c r="BQ265" s="137" t="n">
        <f aca="false">+(DATOS_[[#This Row],[F.fin.cal]]-DATOS_[[#This Row],[F.ini.cal]]+1)/($D$4-$D$3+1)</f>
        <v>1</v>
      </c>
      <c r="BR265" s="137" t="str">
        <f aca="false">IF(OR(AND(DATOS_[[#This Row],[Fecha Fin Contrato]]&lt;$D$3,DATOS_[[#This Row],[Fecha Fin Contrato]]&lt;&gt;""),DATOS_[[#This Row],[Fecha de Contratación]]&gt;$D$4),"Fuera","Dentro")</f>
        <v>Dentro</v>
      </c>
      <c r="BS265" s="137" t="str">
        <f aca="false" t="array" ref="BS265:BS265">IF(MAX(IF(DATOS_[id]=DATOS_[[#This Row],[id]],DATOS_[F.fin.cal]))=DATOS_[[#This Row],[F.fin.cal]],"Sí","NO")</f>
        <v>Sí</v>
      </c>
      <c r="BT265" s="137" t="str">
        <f aca="false">IF(AND(DATOS_[[#This Row],[% normaliz]]&lt;&gt;1,DATOS_[[#This Row],[% anualiz]]=1),"Sí","NO")</f>
        <v>Sí</v>
      </c>
      <c r="BU265" s="137" t="str">
        <f aca="false">IF(AND(DATOS_[[#This Row],[% normaliz]]=1,DATOS_[[#This Row],[% anualiz]]&lt;&gt;1),"Sí","NO")</f>
        <v>NO</v>
      </c>
      <c r="BV265" s="137" t="str">
        <f aca="false">IF(AND(DATOS_[[#This Row],[% normaliz]]&lt;&gt;1,DATOS_[[#This Row],[% anualiz]]&lt;&gt;1),"Sí","NO")</f>
        <v>NO</v>
      </c>
      <c r="BW265" s="137" t="str">
        <f aca="false">+IF(DATOS_[[#This Row],[% normaliz]]*DATOS_[[#This Row],[% anualiz]]=1,"NO","Sí")</f>
        <v>Sí</v>
      </c>
      <c r="BX265" s="138" t="e">
        <f aca="false">(DATOS_[[#This Row],[S.BASE]]*(1/DATOS_[[#This Row],[% normaliz]])*(1/DATOS_[[#This Row],[% anualiz]]))*IF(DATOS_[[#This Row],[Check Equiparado]]="Sí",1,0)</f>
        <v>#DIV/0!</v>
      </c>
      <c r="BY2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5" s="138" t="e">
        <f aca="false">+DATOS_[[#This Row],[SALARIO BASE Eq]]+DATOS_[[#This Row],[Tot COMPL.SAL Eq]]</f>
        <v>#DIV/0!</v>
      </c>
      <c r="CA265" s="138" t="e">
        <f aca="false" t="array" ref="CA265:CA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5" s="138" t="e">
        <f aca="false">+DATOS_[[#This Row],[TOTAL SALARIO Eq]]+DATOS_[[#This Row],[Tot Extrasalarial Eq]]</f>
        <v>#DIV/0!</v>
      </c>
      <c r="CC265" s="139" t="n">
        <f aca="false">DATOS_[[#This Row],[S.BASE]]</f>
        <v>0</v>
      </c>
      <c r="CD265" s="139" t="n">
        <f aca="false">+SUM(DATOS_[[#This Row],[Conc.Sal.01]:[Conc.Sal.30]])</f>
        <v>0</v>
      </c>
      <c r="CE265" s="139" t="n">
        <f aca="false">+DATOS_[[#This Row],[SALARIO BASE Ef]]+DATOS_[[#This Row],[Tot COMPL.SAL Ef]]</f>
        <v>0</v>
      </c>
      <c r="CF265" s="139" t="n">
        <f aca="false">+SUM(DATOS_[[#This Row],[C.Extra.01]:[C.Extra.05]])</f>
        <v>0</v>
      </c>
      <c r="CG265" s="139" t="n">
        <f aca="false">+DATOS_[[#This Row],[TOTAL SALARIO Ef]]+DATOS_[[#This Row],[Tot Extrasalarial Ef]]</f>
        <v>0</v>
      </c>
      <c r="CH265" s="140" t="n">
        <f aca="false">MIN(IF(DATOS_[[#This Row],[Fecha Fin Contrato]]="",$D$4,DATOS_[[#This Row],[Fecha Fin Contrato]]),$D$4)-MAX(DATOS_[[#This Row],[Fecha de Contratación]],$D$3)+1</f>
        <v>1</v>
      </c>
      <c r="CI265" s="141" t="str">
        <f aca="false">IF(COUNTIFS(DATOS_[id],DATOS_[[#This Row],[id]])&gt;1,DATOS_[[#This Row],[id]],"")</f>
        <v/>
      </c>
      <c r="CJ265" s="141" t="n">
        <f aca="false">(Inicio!$G$10-DATOS_[[#This Row],[Fecha Nacimiento]])/365.25</f>
        <v>0</v>
      </c>
      <c r="CK265" s="141" t="n">
        <f aca="false">(Inicio!$G$10-DATOS_[[#This Row],[Fecha de Antigüedad]])/365.25</f>
        <v>0</v>
      </c>
      <c r="CL265" s="141" t="e">
        <f aca="false">+VLOOKUP(DATOS_[[#This Row],[Clave de Contrato]],TblTiposContrato13[],3,0)</f>
        <v>#N/A</v>
      </c>
      <c r="CM265" s="141" t="e">
        <f aca="false">+VLOOKUP(DATOS_[[#This Row],[Clave de Contrato]],TblTiposContrato13[],4,0)</f>
        <v>#N/A</v>
      </c>
      <c r="CN265" s="141" t="str">
        <f aca="false">VLOOKUP(DATOS_[[#This Row],[Edad]],CONTRATOS!TblRngEdad,2,1)</f>
        <v>20  o menos</v>
      </c>
      <c r="CO265" s="141" t="str">
        <f aca="false">VLOOKUP(DATOS_[[#This Row],[Antigüedad]],TblRngAntg14[],2,1)</f>
        <v>0 a 1 años</v>
      </c>
    </row>
    <row r="266" customFormat="false" ht="13.8" hidden="false" customHeight="false" outlineLevel="0" collapsed="false">
      <c r="D266" s="128"/>
      <c r="E266" s="129"/>
      <c r="F266" s="129"/>
      <c r="G266" s="129"/>
      <c r="H266" s="130"/>
      <c r="I266" s="131"/>
      <c r="J266" s="128"/>
      <c r="K266" s="132"/>
      <c r="L266" s="132"/>
      <c r="M266" s="133"/>
      <c r="N266" s="133"/>
      <c r="O266" s="133"/>
      <c r="P266" s="129"/>
      <c r="Z266" s="75"/>
      <c r="AA266" s="76"/>
      <c r="AB266" s="76"/>
      <c r="AC266" s="129"/>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134"/>
      <c r="BJ266" s="134"/>
      <c r="BK266" s="134"/>
      <c r="BL266" s="134"/>
      <c r="BM266" s="135"/>
      <c r="BN266" s="136" t="n">
        <f aca="false">+MAX($D$3,DATOS_[[#This Row],[Fecha Inicio Sit. Contract.]])</f>
        <v>0</v>
      </c>
      <c r="BO266" s="136" t="n">
        <f aca="false">+MIN($D$4,DATOS_[[#This Row],[Fecha Fin Sit. Contract.]])</f>
        <v>0</v>
      </c>
      <c r="BP266" s="137" t="n">
        <f aca="false">+DATOS_[[#This Row],[% de jornada]]*IF(DATOS_[[#This Row],[% jornada reducida]]="",1,DATOS_[[#This Row],[% jornada reducida]])</f>
        <v>0</v>
      </c>
      <c r="BQ266" s="137" t="n">
        <f aca="false">+(DATOS_[[#This Row],[F.fin.cal]]-DATOS_[[#This Row],[F.ini.cal]]+1)/($D$4-$D$3+1)</f>
        <v>1</v>
      </c>
      <c r="BR266" s="137" t="str">
        <f aca="false">IF(OR(AND(DATOS_[[#This Row],[Fecha Fin Contrato]]&lt;$D$3,DATOS_[[#This Row],[Fecha Fin Contrato]]&lt;&gt;""),DATOS_[[#This Row],[Fecha de Contratación]]&gt;$D$4),"Fuera","Dentro")</f>
        <v>Dentro</v>
      </c>
      <c r="BS266" s="137" t="str">
        <f aca="false" t="array" ref="BS266:BS266">IF(MAX(IF(DATOS_[id]=DATOS_[[#This Row],[id]],DATOS_[F.fin.cal]))=DATOS_[[#This Row],[F.fin.cal]],"Sí","NO")</f>
        <v>Sí</v>
      </c>
      <c r="BT266" s="137" t="str">
        <f aca="false">IF(AND(DATOS_[[#This Row],[% normaliz]]&lt;&gt;1,DATOS_[[#This Row],[% anualiz]]=1),"Sí","NO")</f>
        <v>Sí</v>
      </c>
      <c r="BU266" s="137" t="str">
        <f aca="false">IF(AND(DATOS_[[#This Row],[% normaliz]]=1,DATOS_[[#This Row],[% anualiz]]&lt;&gt;1),"Sí","NO")</f>
        <v>NO</v>
      </c>
      <c r="BV266" s="137" t="str">
        <f aca="false">IF(AND(DATOS_[[#This Row],[% normaliz]]&lt;&gt;1,DATOS_[[#This Row],[% anualiz]]&lt;&gt;1),"Sí","NO")</f>
        <v>NO</v>
      </c>
      <c r="BW266" s="137" t="str">
        <f aca="false">+IF(DATOS_[[#This Row],[% normaliz]]*DATOS_[[#This Row],[% anualiz]]=1,"NO","Sí")</f>
        <v>Sí</v>
      </c>
      <c r="BX266" s="138" t="e">
        <f aca="false">(DATOS_[[#This Row],[S.BASE]]*(1/DATOS_[[#This Row],[% normaliz]])*(1/DATOS_[[#This Row],[% anualiz]]))*IF(DATOS_[[#This Row],[Check Equiparado]]="Sí",1,0)</f>
        <v>#DIV/0!</v>
      </c>
      <c r="BY2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6" s="138" t="e">
        <f aca="false">+DATOS_[[#This Row],[SALARIO BASE Eq]]+DATOS_[[#This Row],[Tot COMPL.SAL Eq]]</f>
        <v>#DIV/0!</v>
      </c>
      <c r="CA266" s="138" t="e">
        <f aca="false" t="array" ref="CA266:CA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6" s="138" t="e">
        <f aca="false">+DATOS_[[#This Row],[TOTAL SALARIO Eq]]+DATOS_[[#This Row],[Tot Extrasalarial Eq]]</f>
        <v>#DIV/0!</v>
      </c>
      <c r="CC266" s="139" t="n">
        <f aca="false">DATOS_[[#This Row],[S.BASE]]</f>
        <v>0</v>
      </c>
      <c r="CD266" s="139" t="n">
        <f aca="false">+SUM(DATOS_[[#This Row],[Conc.Sal.01]:[Conc.Sal.30]])</f>
        <v>0</v>
      </c>
      <c r="CE266" s="139" t="n">
        <f aca="false">+DATOS_[[#This Row],[SALARIO BASE Ef]]+DATOS_[[#This Row],[Tot COMPL.SAL Ef]]</f>
        <v>0</v>
      </c>
      <c r="CF266" s="139" t="n">
        <f aca="false">+SUM(DATOS_[[#This Row],[C.Extra.01]:[C.Extra.05]])</f>
        <v>0</v>
      </c>
      <c r="CG266" s="139" t="n">
        <f aca="false">+DATOS_[[#This Row],[TOTAL SALARIO Ef]]+DATOS_[[#This Row],[Tot Extrasalarial Ef]]</f>
        <v>0</v>
      </c>
      <c r="CH266" s="140" t="n">
        <f aca="false">MIN(IF(DATOS_[[#This Row],[Fecha Fin Contrato]]="",$D$4,DATOS_[[#This Row],[Fecha Fin Contrato]]),$D$4)-MAX(DATOS_[[#This Row],[Fecha de Contratación]],$D$3)+1</f>
        <v>1</v>
      </c>
      <c r="CI266" s="141" t="str">
        <f aca="false">IF(COUNTIFS(DATOS_[id],DATOS_[[#This Row],[id]])&gt;1,DATOS_[[#This Row],[id]],"")</f>
        <v/>
      </c>
      <c r="CJ266" s="141" t="n">
        <f aca="false">(Inicio!$G$10-DATOS_[[#This Row],[Fecha Nacimiento]])/365.25</f>
        <v>0</v>
      </c>
      <c r="CK266" s="141" t="n">
        <f aca="false">(Inicio!$G$10-DATOS_[[#This Row],[Fecha de Antigüedad]])/365.25</f>
        <v>0</v>
      </c>
      <c r="CL266" s="141" t="e">
        <f aca="false">+VLOOKUP(DATOS_[[#This Row],[Clave de Contrato]],TblTiposContrato13[],3,0)</f>
        <v>#N/A</v>
      </c>
      <c r="CM266" s="141" t="e">
        <f aca="false">+VLOOKUP(DATOS_[[#This Row],[Clave de Contrato]],TblTiposContrato13[],4,0)</f>
        <v>#N/A</v>
      </c>
      <c r="CN266" s="141" t="str">
        <f aca="false">VLOOKUP(DATOS_[[#This Row],[Edad]],CONTRATOS!TblRngEdad,2,1)</f>
        <v>20  o menos</v>
      </c>
      <c r="CO266" s="141" t="str">
        <f aca="false">VLOOKUP(DATOS_[[#This Row],[Antigüedad]],TblRngAntg14[],2,1)</f>
        <v>0 a 1 años</v>
      </c>
    </row>
    <row r="267" customFormat="false" ht="13.8" hidden="false" customHeight="false" outlineLevel="0" collapsed="false">
      <c r="D267" s="128"/>
      <c r="E267" s="129"/>
      <c r="F267" s="129"/>
      <c r="G267" s="129"/>
      <c r="H267" s="130"/>
      <c r="I267" s="131"/>
      <c r="J267" s="128"/>
      <c r="K267" s="132"/>
      <c r="L267" s="132"/>
      <c r="M267" s="133"/>
      <c r="N267" s="133"/>
      <c r="O267" s="133"/>
      <c r="P267" s="129"/>
      <c r="Z267" s="75"/>
      <c r="AA267" s="76"/>
      <c r="AB267" s="76"/>
      <c r="AC267" s="129"/>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134"/>
      <c r="BJ267" s="134"/>
      <c r="BK267" s="134"/>
      <c r="BL267" s="134"/>
      <c r="BM267" s="135"/>
      <c r="BN267" s="136" t="n">
        <f aca="false">+MAX($D$3,DATOS_[[#This Row],[Fecha Inicio Sit. Contract.]])</f>
        <v>0</v>
      </c>
      <c r="BO267" s="136" t="n">
        <f aca="false">+MIN($D$4,DATOS_[[#This Row],[Fecha Fin Sit. Contract.]])</f>
        <v>0</v>
      </c>
      <c r="BP267" s="137" t="n">
        <f aca="false">+DATOS_[[#This Row],[% de jornada]]*IF(DATOS_[[#This Row],[% jornada reducida]]="",1,DATOS_[[#This Row],[% jornada reducida]])</f>
        <v>0</v>
      </c>
      <c r="BQ267" s="137" t="n">
        <f aca="false">+(DATOS_[[#This Row],[F.fin.cal]]-DATOS_[[#This Row],[F.ini.cal]]+1)/($D$4-$D$3+1)</f>
        <v>1</v>
      </c>
      <c r="BR267" s="137" t="str">
        <f aca="false">IF(OR(AND(DATOS_[[#This Row],[Fecha Fin Contrato]]&lt;$D$3,DATOS_[[#This Row],[Fecha Fin Contrato]]&lt;&gt;""),DATOS_[[#This Row],[Fecha de Contratación]]&gt;$D$4),"Fuera","Dentro")</f>
        <v>Dentro</v>
      </c>
      <c r="BS267" s="137" t="str">
        <f aca="false" t="array" ref="BS267:BS267">IF(MAX(IF(DATOS_[id]=DATOS_[[#This Row],[id]],DATOS_[F.fin.cal]))=DATOS_[[#This Row],[F.fin.cal]],"Sí","NO")</f>
        <v>Sí</v>
      </c>
      <c r="BT267" s="137" t="str">
        <f aca="false">IF(AND(DATOS_[[#This Row],[% normaliz]]&lt;&gt;1,DATOS_[[#This Row],[% anualiz]]=1),"Sí","NO")</f>
        <v>Sí</v>
      </c>
      <c r="BU267" s="137" t="str">
        <f aca="false">IF(AND(DATOS_[[#This Row],[% normaliz]]=1,DATOS_[[#This Row],[% anualiz]]&lt;&gt;1),"Sí","NO")</f>
        <v>NO</v>
      </c>
      <c r="BV267" s="137" t="str">
        <f aca="false">IF(AND(DATOS_[[#This Row],[% normaliz]]&lt;&gt;1,DATOS_[[#This Row],[% anualiz]]&lt;&gt;1),"Sí","NO")</f>
        <v>NO</v>
      </c>
      <c r="BW267" s="137" t="str">
        <f aca="false">+IF(DATOS_[[#This Row],[% normaliz]]*DATOS_[[#This Row],[% anualiz]]=1,"NO","Sí")</f>
        <v>Sí</v>
      </c>
      <c r="BX267" s="138" t="e">
        <f aca="false">(DATOS_[[#This Row],[S.BASE]]*(1/DATOS_[[#This Row],[% normaliz]])*(1/DATOS_[[#This Row],[% anualiz]]))*IF(DATOS_[[#This Row],[Check Equiparado]]="Sí",1,0)</f>
        <v>#DIV/0!</v>
      </c>
      <c r="BY2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7" s="138" t="e">
        <f aca="false">+DATOS_[[#This Row],[SALARIO BASE Eq]]+DATOS_[[#This Row],[Tot COMPL.SAL Eq]]</f>
        <v>#DIV/0!</v>
      </c>
      <c r="CA267" s="138" t="e">
        <f aca="false" t="array" ref="CA267:CA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7" s="138" t="e">
        <f aca="false">+DATOS_[[#This Row],[TOTAL SALARIO Eq]]+DATOS_[[#This Row],[Tot Extrasalarial Eq]]</f>
        <v>#DIV/0!</v>
      </c>
      <c r="CC267" s="139" t="n">
        <f aca="false">DATOS_[[#This Row],[S.BASE]]</f>
        <v>0</v>
      </c>
      <c r="CD267" s="139" t="n">
        <f aca="false">+SUM(DATOS_[[#This Row],[Conc.Sal.01]:[Conc.Sal.30]])</f>
        <v>0</v>
      </c>
      <c r="CE267" s="139" t="n">
        <f aca="false">+DATOS_[[#This Row],[SALARIO BASE Ef]]+DATOS_[[#This Row],[Tot COMPL.SAL Ef]]</f>
        <v>0</v>
      </c>
      <c r="CF267" s="139" t="n">
        <f aca="false">+SUM(DATOS_[[#This Row],[C.Extra.01]:[C.Extra.05]])</f>
        <v>0</v>
      </c>
      <c r="CG267" s="139" t="n">
        <f aca="false">+DATOS_[[#This Row],[TOTAL SALARIO Ef]]+DATOS_[[#This Row],[Tot Extrasalarial Ef]]</f>
        <v>0</v>
      </c>
      <c r="CH267" s="140" t="n">
        <f aca="false">MIN(IF(DATOS_[[#This Row],[Fecha Fin Contrato]]="",$D$4,DATOS_[[#This Row],[Fecha Fin Contrato]]),$D$4)-MAX(DATOS_[[#This Row],[Fecha de Contratación]],$D$3)+1</f>
        <v>1</v>
      </c>
      <c r="CI267" s="141" t="str">
        <f aca="false">IF(COUNTIFS(DATOS_[id],DATOS_[[#This Row],[id]])&gt;1,DATOS_[[#This Row],[id]],"")</f>
        <v/>
      </c>
      <c r="CJ267" s="141" t="n">
        <f aca="false">(Inicio!$G$10-DATOS_[[#This Row],[Fecha Nacimiento]])/365.25</f>
        <v>0</v>
      </c>
      <c r="CK267" s="141" t="n">
        <f aca="false">(Inicio!$G$10-DATOS_[[#This Row],[Fecha de Antigüedad]])/365.25</f>
        <v>0</v>
      </c>
      <c r="CL267" s="141" t="e">
        <f aca="false">+VLOOKUP(DATOS_[[#This Row],[Clave de Contrato]],TblTiposContrato13[],3,0)</f>
        <v>#N/A</v>
      </c>
      <c r="CM267" s="141" t="e">
        <f aca="false">+VLOOKUP(DATOS_[[#This Row],[Clave de Contrato]],TblTiposContrato13[],4,0)</f>
        <v>#N/A</v>
      </c>
      <c r="CN267" s="141" t="str">
        <f aca="false">VLOOKUP(DATOS_[[#This Row],[Edad]],CONTRATOS!TblRngEdad,2,1)</f>
        <v>20  o menos</v>
      </c>
      <c r="CO267" s="141" t="str">
        <f aca="false">VLOOKUP(DATOS_[[#This Row],[Antigüedad]],TblRngAntg14[],2,1)</f>
        <v>0 a 1 años</v>
      </c>
    </row>
    <row r="268" customFormat="false" ht="13.8" hidden="false" customHeight="false" outlineLevel="0" collapsed="false">
      <c r="D268" s="128"/>
      <c r="E268" s="129"/>
      <c r="F268" s="129"/>
      <c r="G268" s="129"/>
      <c r="H268" s="130"/>
      <c r="I268" s="131"/>
      <c r="J268" s="128"/>
      <c r="K268" s="132"/>
      <c r="L268" s="132"/>
      <c r="M268" s="133"/>
      <c r="N268" s="133"/>
      <c r="O268" s="133"/>
      <c r="P268" s="129"/>
      <c r="Z268" s="75"/>
      <c r="AA268" s="76"/>
      <c r="AB268" s="76"/>
      <c r="AC268" s="129"/>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134"/>
      <c r="BJ268" s="134"/>
      <c r="BK268" s="134"/>
      <c r="BL268" s="134"/>
      <c r="BM268" s="135"/>
      <c r="BN268" s="136" t="n">
        <f aca="false">+MAX($D$3,DATOS_[[#This Row],[Fecha Inicio Sit. Contract.]])</f>
        <v>0</v>
      </c>
      <c r="BO268" s="136" t="n">
        <f aca="false">+MIN($D$4,DATOS_[[#This Row],[Fecha Fin Sit. Contract.]])</f>
        <v>0</v>
      </c>
      <c r="BP268" s="137" t="n">
        <f aca="false">+DATOS_[[#This Row],[% de jornada]]*IF(DATOS_[[#This Row],[% jornada reducida]]="",1,DATOS_[[#This Row],[% jornada reducida]])</f>
        <v>0</v>
      </c>
      <c r="BQ268" s="137" t="n">
        <f aca="false">+(DATOS_[[#This Row],[F.fin.cal]]-DATOS_[[#This Row],[F.ini.cal]]+1)/($D$4-$D$3+1)</f>
        <v>1</v>
      </c>
      <c r="BR268" s="137" t="str">
        <f aca="false">IF(OR(AND(DATOS_[[#This Row],[Fecha Fin Contrato]]&lt;$D$3,DATOS_[[#This Row],[Fecha Fin Contrato]]&lt;&gt;""),DATOS_[[#This Row],[Fecha de Contratación]]&gt;$D$4),"Fuera","Dentro")</f>
        <v>Dentro</v>
      </c>
      <c r="BS268" s="137" t="str">
        <f aca="false" t="array" ref="BS268:BS268">IF(MAX(IF(DATOS_[id]=DATOS_[[#This Row],[id]],DATOS_[F.fin.cal]))=DATOS_[[#This Row],[F.fin.cal]],"Sí","NO")</f>
        <v>Sí</v>
      </c>
      <c r="BT268" s="137" t="str">
        <f aca="false">IF(AND(DATOS_[[#This Row],[% normaliz]]&lt;&gt;1,DATOS_[[#This Row],[% anualiz]]=1),"Sí","NO")</f>
        <v>Sí</v>
      </c>
      <c r="BU268" s="137" t="str">
        <f aca="false">IF(AND(DATOS_[[#This Row],[% normaliz]]=1,DATOS_[[#This Row],[% anualiz]]&lt;&gt;1),"Sí","NO")</f>
        <v>NO</v>
      </c>
      <c r="BV268" s="137" t="str">
        <f aca="false">IF(AND(DATOS_[[#This Row],[% normaliz]]&lt;&gt;1,DATOS_[[#This Row],[% anualiz]]&lt;&gt;1),"Sí","NO")</f>
        <v>NO</v>
      </c>
      <c r="BW268" s="137" t="str">
        <f aca="false">+IF(DATOS_[[#This Row],[% normaliz]]*DATOS_[[#This Row],[% anualiz]]=1,"NO","Sí")</f>
        <v>Sí</v>
      </c>
      <c r="BX268" s="138" t="e">
        <f aca="false">(DATOS_[[#This Row],[S.BASE]]*(1/DATOS_[[#This Row],[% normaliz]])*(1/DATOS_[[#This Row],[% anualiz]]))*IF(DATOS_[[#This Row],[Check Equiparado]]="Sí",1,0)</f>
        <v>#DIV/0!</v>
      </c>
      <c r="BY2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8" s="138" t="e">
        <f aca="false">+DATOS_[[#This Row],[SALARIO BASE Eq]]+DATOS_[[#This Row],[Tot COMPL.SAL Eq]]</f>
        <v>#DIV/0!</v>
      </c>
      <c r="CA268" s="138" t="e">
        <f aca="false" t="array" ref="CA268:CA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8" s="138" t="e">
        <f aca="false">+DATOS_[[#This Row],[TOTAL SALARIO Eq]]+DATOS_[[#This Row],[Tot Extrasalarial Eq]]</f>
        <v>#DIV/0!</v>
      </c>
      <c r="CC268" s="139" t="n">
        <f aca="false">DATOS_[[#This Row],[S.BASE]]</f>
        <v>0</v>
      </c>
      <c r="CD268" s="139" t="n">
        <f aca="false">+SUM(DATOS_[[#This Row],[Conc.Sal.01]:[Conc.Sal.30]])</f>
        <v>0</v>
      </c>
      <c r="CE268" s="139" t="n">
        <f aca="false">+DATOS_[[#This Row],[SALARIO BASE Ef]]+DATOS_[[#This Row],[Tot COMPL.SAL Ef]]</f>
        <v>0</v>
      </c>
      <c r="CF268" s="139" t="n">
        <f aca="false">+SUM(DATOS_[[#This Row],[C.Extra.01]:[C.Extra.05]])</f>
        <v>0</v>
      </c>
      <c r="CG268" s="139" t="n">
        <f aca="false">+DATOS_[[#This Row],[TOTAL SALARIO Ef]]+DATOS_[[#This Row],[Tot Extrasalarial Ef]]</f>
        <v>0</v>
      </c>
      <c r="CH268" s="140" t="n">
        <f aca="false">MIN(IF(DATOS_[[#This Row],[Fecha Fin Contrato]]="",$D$4,DATOS_[[#This Row],[Fecha Fin Contrato]]),$D$4)-MAX(DATOS_[[#This Row],[Fecha de Contratación]],$D$3)+1</f>
        <v>1</v>
      </c>
      <c r="CI268" s="141" t="str">
        <f aca="false">IF(COUNTIFS(DATOS_[id],DATOS_[[#This Row],[id]])&gt;1,DATOS_[[#This Row],[id]],"")</f>
        <v/>
      </c>
      <c r="CJ268" s="141" t="n">
        <f aca="false">(Inicio!$G$10-DATOS_[[#This Row],[Fecha Nacimiento]])/365.25</f>
        <v>0</v>
      </c>
      <c r="CK268" s="141" t="n">
        <f aca="false">(Inicio!$G$10-DATOS_[[#This Row],[Fecha de Antigüedad]])/365.25</f>
        <v>0</v>
      </c>
      <c r="CL268" s="141" t="e">
        <f aca="false">+VLOOKUP(DATOS_[[#This Row],[Clave de Contrato]],TblTiposContrato13[],3,0)</f>
        <v>#N/A</v>
      </c>
      <c r="CM268" s="141" t="e">
        <f aca="false">+VLOOKUP(DATOS_[[#This Row],[Clave de Contrato]],TblTiposContrato13[],4,0)</f>
        <v>#N/A</v>
      </c>
      <c r="CN268" s="141" t="str">
        <f aca="false">VLOOKUP(DATOS_[[#This Row],[Edad]],CONTRATOS!TblRngEdad,2,1)</f>
        <v>20  o menos</v>
      </c>
      <c r="CO268" s="141" t="str">
        <f aca="false">VLOOKUP(DATOS_[[#This Row],[Antigüedad]],TblRngAntg14[],2,1)</f>
        <v>0 a 1 años</v>
      </c>
    </row>
    <row r="269" customFormat="false" ht="13.8" hidden="false" customHeight="false" outlineLevel="0" collapsed="false">
      <c r="D269" s="128"/>
      <c r="E269" s="129"/>
      <c r="F269" s="129"/>
      <c r="G269" s="129"/>
      <c r="H269" s="130"/>
      <c r="I269" s="131"/>
      <c r="J269" s="128"/>
      <c r="K269" s="132"/>
      <c r="L269" s="132"/>
      <c r="M269" s="133"/>
      <c r="N269" s="133"/>
      <c r="O269" s="133"/>
      <c r="P269" s="129"/>
      <c r="Z269" s="75"/>
      <c r="AA269" s="76"/>
      <c r="AB269" s="76"/>
      <c r="AC269" s="129"/>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134"/>
      <c r="BJ269" s="134"/>
      <c r="BK269" s="134"/>
      <c r="BL269" s="134"/>
      <c r="BM269" s="135"/>
      <c r="BN269" s="136" t="n">
        <f aca="false">+MAX($D$3,DATOS_[[#This Row],[Fecha Inicio Sit. Contract.]])</f>
        <v>0</v>
      </c>
      <c r="BO269" s="136" t="n">
        <f aca="false">+MIN($D$4,DATOS_[[#This Row],[Fecha Fin Sit. Contract.]])</f>
        <v>0</v>
      </c>
      <c r="BP269" s="137" t="n">
        <f aca="false">+DATOS_[[#This Row],[% de jornada]]*IF(DATOS_[[#This Row],[% jornada reducida]]="",1,DATOS_[[#This Row],[% jornada reducida]])</f>
        <v>0</v>
      </c>
      <c r="BQ269" s="137" t="n">
        <f aca="false">+(DATOS_[[#This Row],[F.fin.cal]]-DATOS_[[#This Row],[F.ini.cal]]+1)/($D$4-$D$3+1)</f>
        <v>1</v>
      </c>
      <c r="BR269" s="137" t="str">
        <f aca="false">IF(OR(AND(DATOS_[[#This Row],[Fecha Fin Contrato]]&lt;$D$3,DATOS_[[#This Row],[Fecha Fin Contrato]]&lt;&gt;""),DATOS_[[#This Row],[Fecha de Contratación]]&gt;$D$4),"Fuera","Dentro")</f>
        <v>Dentro</v>
      </c>
      <c r="BS269" s="137" t="str">
        <f aca="false" t="array" ref="BS269:BS269">IF(MAX(IF(DATOS_[id]=DATOS_[[#This Row],[id]],DATOS_[F.fin.cal]))=DATOS_[[#This Row],[F.fin.cal]],"Sí","NO")</f>
        <v>Sí</v>
      </c>
      <c r="BT269" s="137" t="str">
        <f aca="false">IF(AND(DATOS_[[#This Row],[% normaliz]]&lt;&gt;1,DATOS_[[#This Row],[% anualiz]]=1),"Sí","NO")</f>
        <v>Sí</v>
      </c>
      <c r="BU269" s="137" t="str">
        <f aca="false">IF(AND(DATOS_[[#This Row],[% normaliz]]=1,DATOS_[[#This Row],[% anualiz]]&lt;&gt;1),"Sí","NO")</f>
        <v>NO</v>
      </c>
      <c r="BV269" s="137" t="str">
        <f aca="false">IF(AND(DATOS_[[#This Row],[% normaliz]]&lt;&gt;1,DATOS_[[#This Row],[% anualiz]]&lt;&gt;1),"Sí","NO")</f>
        <v>NO</v>
      </c>
      <c r="BW269" s="137" t="str">
        <f aca="false">+IF(DATOS_[[#This Row],[% normaliz]]*DATOS_[[#This Row],[% anualiz]]=1,"NO","Sí")</f>
        <v>Sí</v>
      </c>
      <c r="BX269" s="138" t="e">
        <f aca="false">(DATOS_[[#This Row],[S.BASE]]*(1/DATOS_[[#This Row],[% normaliz]])*(1/DATOS_[[#This Row],[% anualiz]]))*IF(DATOS_[[#This Row],[Check Equiparado]]="Sí",1,0)</f>
        <v>#DIV/0!</v>
      </c>
      <c r="BY2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9" s="138" t="e">
        <f aca="false">+DATOS_[[#This Row],[SALARIO BASE Eq]]+DATOS_[[#This Row],[Tot COMPL.SAL Eq]]</f>
        <v>#DIV/0!</v>
      </c>
      <c r="CA269" s="138" t="e">
        <f aca="false" t="array" ref="CA269:CA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9" s="138" t="e">
        <f aca="false">+DATOS_[[#This Row],[TOTAL SALARIO Eq]]+DATOS_[[#This Row],[Tot Extrasalarial Eq]]</f>
        <v>#DIV/0!</v>
      </c>
      <c r="CC269" s="139" t="n">
        <f aca="false">DATOS_[[#This Row],[S.BASE]]</f>
        <v>0</v>
      </c>
      <c r="CD269" s="139" t="n">
        <f aca="false">+SUM(DATOS_[[#This Row],[Conc.Sal.01]:[Conc.Sal.30]])</f>
        <v>0</v>
      </c>
      <c r="CE269" s="139" t="n">
        <f aca="false">+DATOS_[[#This Row],[SALARIO BASE Ef]]+DATOS_[[#This Row],[Tot COMPL.SAL Ef]]</f>
        <v>0</v>
      </c>
      <c r="CF269" s="139" t="n">
        <f aca="false">+SUM(DATOS_[[#This Row],[C.Extra.01]:[C.Extra.05]])</f>
        <v>0</v>
      </c>
      <c r="CG269" s="139" t="n">
        <f aca="false">+DATOS_[[#This Row],[TOTAL SALARIO Ef]]+DATOS_[[#This Row],[Tot Extrasalarial Ef]]</f>
        <v>0</v>
      </c>
      <c r="CH269" s="140" t="n">
        <f aca="false">MIN(IF(DATOS_[[#This Row],[Fecha Fin Contrato]]="",$D$4,DATOS_[[#This Row],[Fecha Fin Contrato]]),$D$4)-MAX(DATOS_[[#This Row],[Fecha de Contratación]],$D$3)+1</f>
        <v>1</v>
      </c>
      <c r="CI269" s="141" t="str">
        <f aca="false">IF(COUNTIFS(DATOS_[id],DATOS_[[#This Row],[id]])&gt;1,DATOS_[[#This Row],[id]],"")</f>
        <v/>
      </c>
      <c r="CJ269" s="141" t="n">
        <f aca="false">(Inicio!$G$10-DATOS_[[#This Row],[Fecha Nacimiento]])/365.25</f>
        <v>0</v>
      </c>
      <c r="CK269" s="141" t="n">
        <f aca="false">(Inicio!$G$10-DATOS_[[#This Row],[Fecha de Antigüedad]])/365.25</f>
        <v>0</v>
      </c>
      <c r="CL269" s="141" t="e">
        <f aca="false">+VLOOKUP(DATOS_[[#This Row],[Clave de Contrato]],TblTiposContrato13[],3,0)</f>
        <v>#N/A</v>
      </c>
      <c r="CM269" s="141" t="e">
        <f aca="false">+VLOOKUP(DATOS_[[#This Row],[Clave de Contrato]],TblTiposContrato13[],4,0)</f>
        <v>#N/A</v>
      </c>
      <c r="CN269" s="141" t="str">
        <f aca="false">VLOOKUP(DATOS_[[#This Row],[Edad]],CONTRATOS!TblRngEdad,2,1)</f>
        <v>20  o menos</v>
      </c>
      <c r="CO269" s="141" t="str">
        <f aca="false">VLOOKUP(DATOS_[[#This Row],[Antigüedad]],TblRngAntg14[],2,1)</f>
        <v>0 a 1 años</v>
      </c>
    </row>
    <row r="270" customFormat="false" ht="13.8" hidden="false" customHeight="false" outlineLevel="0" collapsed="false">
      <c r="D270" s="128"/>
      <c r="E270" s="129"/>
      <c r="F270" s="129"/>
      <c r="G270" s="129"/>
      <c r="H270" s="130"/>
      <c r="I270" s="131"/>
      <c r="J270" s="128"/>
      <c r="K270" s="132"/>
      <c r="L270" s="132"/>
      <c r="M270" s="133"/>
      <c r="N270" s="133"/>
      <c r="O270" s="133"/>
      <c r="P270" s="129"/>
      <c r="Z270" s="75"/>
      <c r="AA270" s="76"/>
      <c r="AB270" s="76"/>
      <c r="AC270" s="129"/>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134"/>
      <c r="BJ270" s="134"/>
      <c r="BK270" s="134"/>
      <c r="BL270" s="134"/>
      <c r="BM270" s="135"/>
      <c r="BN270" s="136" t="n">
        <f aca="false">+MAX($D$3,DATOS_[[#This Row],[Fecha Inicio Sit. Contract.]])</f>
        <v>0</v>
      </c>
      <c r="BO270" s="136" t="n">
        <f aca="false">+MIN($D$4,DATOS_[[#This Row],[Fecha Fin Sit. Contract.]])</f>
        <v>0</v>
      </c>
      <c r="BP270" s="137" t="n">
        <f aca="false">+DATOS_[[#This Row],[% de jornada]]*IF(DATOS_[[#This Row],[% jornada reducida]]="",1,DATOS_[[#This Row],[% jornada reducida]])</f>
        <v>0</v>
      </c>
      <c r="BQ270" s="137" t="n">
        <f aca="false">+(DATOS_[[#This Row],[F.fin.cal]]-DATOS_[[#This Row],[F.ini.cal]]+1)/($D$4-$D$3+1)</f>
        <v>1</v>
      </c>
      <c r="BR270" s="137" t="str">
        <f aca="false">IF(OR(AND(DATOS_[[#This Row],[Fecha Fin Contrato]]&lt;$D$3,DATOS_[[#This Row],[Fecha Fin Contrato]]&lt;&gt;""),DATOS_[[#This Row],[Fecha de Contratación]]&gt;$D$4),"Fuera","Dentro")</f>
        <v>Dentro</v>
      </c>
      <c r="BS270" s="137" t="str">
        <f aca="false" t="array" ref="BS270:BS270">IF(MAX(IF(DATOS_[id]=DATOS_[[#This Row],[id]],DATOS_[F.fin.cal]))=DATOS_[[#This Row],[F.fin.cal]],"Sí","NO")</f>
        <v>Sí</v>
      </c>
      <c r="BT270" s="137" t="str">
        <f aca="false">IF(AND(DATOS_[[#This Row],[% normaliz]]&lt;&gt;1,DATOS_[[#This Row],[% anualiz]]=1),"Sí","NO")</f>
        <v>Sí</v>
      </c>
      <c r="BU270" s="137" t="str">
        <f aca="false">IF(AND(DATOS_[[#This Row],[% normaliz]]=1,DATOS_[[#This Row],[% anualiz]]&lt;&gt;1),"Sí","NO")</f>
        <v>NO</v>
      </c>
      <c r="BV270" s="137" t="str">
        <f aca="false">IF(AND(DATOS_[[#This Row],[% normaliz]]&lt;&gt;1,DATOS_[[#This Row],[% anualiz]]&lt;&gt;1),"Sí","NO")</f>
        <v>NO</v>
      </c>
      <c r="BW270" s="137" t="str">
        <f aca="false">+IF(DATOS_[[#This Row],[% normaliz]]*DATOS_[[#This Row],[% anualiz]]=1,"NO","Sí")</f>
        <v>Sí</v>
      </c>
      <c r="BX270" s="138" t="e">
        <f aca="false">(DATOS_[[#This Row],[S.BASE]]*(1/DATOS_[[#This Row],[% normaliz]])*(1/DATOS_[[#This Row],[% anualiz]]))*IF(DATOS_[[#This Row],[Check Equiparado]]="Sí",1,0)</f>
        <v>#DIV/0!</v>
      </c>
      <c r="BY2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0" s="138" t="e">
        <f aca="false">+DATOS_[[#This Row],[SALARIO BASE Eq]]+DATOS_[[#This Row],[Tot COMPL.SAL Eq]]</f>
        <v>#DIV/0!</v>
      </c>
      <c r="CA270" s="138" t="e">
        <f aca="false" t="array" ref="CA270:CA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0" s="138" t="e">
        <f aca="false">+DATOS_[[#This Row],[TOTAL SALARIO Eq]]+DATOS_[[#This Row],[Tot Extrasalarial Eq]]</f>
        <v>#DIV/0!</v>
      </c>
      <c r="CC270" s="139" t="n">
        <f aca="false">DATOS_[[#This Row],[S.BASE]]</f>
        <v>0</v>
      </c>
      <c r="CD270" s="139" t="n">
        <f aca="false">+SUM(DATOS_[[#This Row],[Conc.Sal.01]:[Conc.Sal.30]])</f>
        <v>0</v>
      </c>
      <c r="CE270" s="139" t="n">
        <f aca="false">+DATOS_[[#This Row],[SALARIO BASE Ef]]+DATOS_[[#This Row],[Tot COMPL.SAL Ef]]</f>
        <v>0</v>
      </c>
      <c r="CF270" s="139" t="n">
        <f aca="false">+SUM(DATOS_[[#This Row],[C.Extra.01]:[C.Extra.05]])</f>
        <v>0</v>
      </c>
      <c r="CG270" s="139" t="n">
        <f aca="false">+DATOS_[[#This Row],[TOTAL SALARIO Ef]]+DATOS_[[#This Row],[Tot Extrasalarial Ef]]</f>
        <v>0</v>
      </c>
      <c r="CH270" s="140" t="n">
        <f aca="false">MIN(IF(DATOS_[[#This Row],[Fecha Fin Contrato]]="",$D$4,DATOS_[[#This Row],[Fecha Fin Contrato]]),$D$4)-MAX(DATOS_[[#This Row],[Fecha de Contratación]],$D$3)+1</f>
        <v>1</v>
      </c>
      <c r="CI270" s="141" t="str">
        <f aca="false">IF(COUNTIFS(DATOS_[id],DATOS_[[#This Row],[id]])&gt;1,DATOS_[[#This Row],[id]],"")</f>
        <v/>
      </c>
      <c r="CJ270" s="141" t="n">
        <f aca="false">(Inicio!$G$10-DATOS_[[#This Row],[Fecha Nacimiento]])/365.25</f>
        <v>0</v>
      </c>
      <c r="CK270" s="141" t="n">
        <f aca="false">(Inicio!$G$10-DATOS_[[#This Row],[Fecha de Antigüedad]])/365.25</f>
        <v>0</v>
      </c>
      <c r="CL270" s="141" t="e">
        <f aca="false">+VLOOKUP(DATOS_[[#This Row],[Clave de Contrato]],TblTiposContrato13[],3,0)</f>
        <v>#N/A</v>
      </c>
      <c r="CM270" s="141" t="e">
        <f aca="false">+VLOOKUP(DATOS_[[#This Row],[Clave de Contrato]],TblTiposContrato13[],4,0)</f>
        <v>#N/A</v>
      </c>
      <c r="CN270" s="141" t="str">
        <f aca="false">VLOOKUP(DATOS_[[#This Row],[Edad]],CONTRATOS!TblRngEdad,2,1)</f>
        <v>20  o menos</v>
      </c>
      <c r="CO270" s="141" t="str">
        <f aca="false">VLOOKUP(DATOS_[[#This Row],[Antigüedad]],TblRngAntg14[],2,1)</f>
        <v>0 a 1 años</v>
      </c>
    </row>
    <row r="271" customFormat="false" ht="13.8" hidden="false" customHeight="false" outlineLevel="0" collapsed="false">
      <c r="D271" s="128"/>
      <c r="E271" s="129"/>
      <c r="F271" s="129"/>
      <c r="G271" s="129"/>
      <c r="H271" s="130"/>
      <c r="I271" s="131"/>
      <c r="J271" s="128"/>
      <c r="K271" s="132"/>
      <c r="L271" s="132"/>
      <c r="M271" s="133"/>
      <c r="N271" s="133"/>
      <c r="O271" s="133"/>
      <c r="P271" s="129"/>
      <c r="Z271" s="75"/>
      <c r="AA271" s="76"/>
      <c r="AB271" s="76"/>
      <c r="AC271" s="129"/>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134"/>
      <c r="BJ271" s="134"/>
      <c r="BK271" s="134"/>
      <c r="BL271" s="134"/>
      <c r="BM271" s="135"/>
      <c r="BN271" s="136" t="n">
        <f aca="false">+MAX($D$3,DATOS_[[#This Row],[Fecha Inicio Sit. Contract.]])</f>
        <v>0</v>
      </c>
      <c r="BO271" s="136" t="n">
        <f aca="false">+MIN($D$4,DATOS_[[#This Row],[Fecha Fin Sit. Contract.]])</f>
        <v>0</v>
      </c>
      <c r="BP271" s="137" t="n">
        <f aca="false">+DATOS_[[#This Row],[% de jornada]]*IF(DATOS_[[#This Row],[% jornada reducida]]="",1,DATOS_[[#This Row],[% jornada reducida]])</f>
        <v>0</v>
      </c>
      <c r="BQ271" s="137" t="n">
        <f aca="false">+(DATOS_[[#This Row],[F.fin.cal]]-DATOS_[[#This Row],[F.ini.cal]]+1)/($D$4-$D$3+1)</f>
        <v>1</v>
      </c>
      <c r="BR271" s="137" t="str">
        <f aca="false">IF(OR(AND(DATOS_[[#This Row],[Fecha Fin Contrato]]&lt;$D$3,DATOS_[[#This Row],[Fecha Fin Contrato]]&lt;&gt;""),DATOS_[[#This Row],[Fecha de Contratación]]&gt;$D$4),"Fuera","Dentro")</f>
        <v>Dentro</v>
      </c>
      <c r="BS271" s="137" t="str">
        <f aca="false" t="array" ref="BS271:BS271">IF(MAX(IF(DATOS_[id]=DATOS_[[#This Row],[id]],DATOS_[F.fin.cal]))=DATOS_[[#This Row],[F.fin.cal]],"Sí","NO")</f>
        <v>Sí</v>
      </c>
      <c r="BT271" s="137" t="str">
        <f aca="false">IF(AND(DATOS_[[#This Row],[% normaliz]]&lt;&gt;1,DATOS_[[#This Row],[% anualiz]]=1),"Sí","NO")</f>
        <v>Sí</v>
      </c>
      <c r="BU271" s="137" t="str">
        <f aca="false">IF(AND(DATOS_[[#This Row],[% normaliz]]=1,DATOS_[[#This Row],[% anualiz]]&lt;&gt;1),"Sí","NO")</f>
        <v>NO</v>
      </c>
      <c r="BV271" s="137" t="str">
        <f aca="false">IF(AND(DATOS_[[#This Row],[% normaliz]]&lt;&gt;1,DATOS_[[#This Row],[% anualiz]]&lt;&gt;1),"Sí","NO")</f>
        <v>NO</v>
      </c>
      <c r="BW271" s="137" t="str">
        <f aca="false">+IF(DATOS_[[#This Row],[% normaliz]]*DATOS_[[#This Row],[% anualiz]]=1,"NO","Sí")</f>
        <v>Sí</v>
      </c>
      <c r="BX271" s="138" t="e">
        <f aca="false">(DATOS_[[#This Row],[S.BASE]]*(1/DATOS_[[#This Row],[% normaliz]])*(1/DATOS_[[#This Row],[% anualiz]]))*IF(DATOS_[[#This Row],[Check Equiparado]]="Sí",1,0)</f>
        <v>#DIV/0!</v>
      </c>
      <c r="BY2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1" s="138" t="e">
        <f aca="false">+DATOS_[[#This Row],[SALARIO BASE Eq]]+DATOS_[[#This Row],[Tot COMPL.SAL Eq]]</f>
        <v>#DIV/0!</v>
      </c>
      <c r="CA271" s="138" t="e">
        <f aca="false" t="array" ref="CA271:CA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1" s="138" t="e">
        <f aca="false">+DATOS_[[#This Row],[TOTAL SALARIO Eq]]+DATOS_[[#This Row],[Tot Extrasalarial Eq]]</f>
        <v>#DIV/0!</v>
      </c>
      <c r="CC271" s="139" t="n">
        <f aca="false">DATOS_[[#This Row],[S.BASE]]</f>
        <v>0</v>
      </c>
      <c r="CD271" s="139" t="n">
        <f aca="false">+SUM(DATOS_[[#This Row],[Conc.Sal.01]:[Conc.Sal.30]])</f>
        <v>0</v>
      </c>
      <c r="CE271" s="139" t="n">
        <f aca="false">+DATOS_[[#This Row],[SALARIO BASE Ef]]+DATOS_[[#This Row],[Tot COMPL.SAL Ef]]</f>
        <v>0</v>
      </c>
      <c r="CF271" s="139" t="n">
        <f aca="false">+SUM(DATOS_[[#This Row],[C.Extra.01]:[C.Extra.05]])</f>
        <v>0</v>
      </c>
      <c r="CG271" s="139" t="n">
        <f aca="false">+DATOS_[[#This Row],[TOTAL SALARIO Ef]]+DATOS_[[#This Row],[Tot Extrasalarial Ef]]</f>
        <v>0</v>
      </c>
      <c r="CH271" s="140" t="n">
        <f aca="false">MIN(IF(DATOS_[[#This Row],[Fecha Fin Contrato]]="",$D$4,DATOS_[[#This Row],[Fecha Fin Contrato]]),$D$4)-MAX(DATOS_[[#This Row],[Fecha de Contratación]],$D$3)+1</f>
        <v>1</v>
      </c>
      <c r="CI271" s="141" t="str">
        <f aca="false">IF(COUNTIFS(DATOS_[id],DATOS_[[#This Row],[id]])&gt;1,DATOS_[[#This Row],[id]],"")</f>
        <v/>
      </c>
      <c r="CJ271" s="141" t="n">
        <f aca="false">(Inicio!$G$10-DATOS_[[#This Row],[Fecha Nacimiento]])/365.25</f>
        <v>0</v>
      </c>
      <c r="CK271" s="141" t="n">
        <f aca="false">(Inicio!$G$10-DATOS_[[#This Row],[Fecha de Antigüedad]])/365.25</f>
        <v>0</v>
      </c>
      <c r="CL271" s="141" t="e">
        <f aca="false">+VLOOKUP(DATOS_[[#This Row],[Clave de Contrato]],TblTiposContrato13[],3,0)</f>
        <v>#N/A</v>
      </c>
      <c r="CM271" s="141" t="e">
        <f aca="false">+VLOOKUP(DATOS_[[#This Row],[Clave de Contrato]],TblTiposContrato13[],4,0)</f>
        <v>#N/A</v>
      </c>
      <c r="CN271" s="141" t="str">
        <f aca="false">VLOOKUP(DATOS_[[#This Row],[Edad]],CONTRATOS!TblRngEdad,2,1)</f>
        <v>20  o menos</v>
      </c>
      <c r="CO271" s="141" t="str">
        <f aca="false">VLOOKUP(DATOS_[[#This Row],[Antigüedad]],TblRngAntg14[],2,1)</f>
        <v>0 a 1 años</v>
      </c>
    </row>
    <row r="272" customFormat="false" ht="13.8" hidden="false" customHeight="false" outlineLevel="0" collapsed="false">
      <c r="D272" s="128"/>
      <c r="E272" s="129"/>
      <c r="F272" s="129"/>
      <c r="G272" s="129"/>
      <c r="H272" s="130"/>
      <c r="I272" s="131"/>
      <c r="J272" s="128"/>
      <c r="K272" s="132"/>
      <c r="L272" s="132"/>
      <c r="M272" s="133"/>
      <c r="N272" s="133"/>
      <c r="O272" s="133"/>
      <c r="P272" s="129"/>
      <c r="Z272" s="75"/>
      <c r="AA272" s="76"/>
      <c r="AB272" s="76"/>
      <c r="AC272" s="129"/>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134"/>
      <c r="BJ272" s="134"/>
      <c r="BK272" s="134"/>
      <c r="BL272" s="134"/>
      <c r="BM272" s="135"/>
      <c r="BN272" s="136" t="n">
        <f aca="false">+MAX($D$3,DATOS_[[#This Row],[Fecha Inicio Sit. Contract.]])</f>
        <v>0</v>
      </c>
      <c r="BO272" s="136" t="n">
        <f aca="false">+MIN($D$4,DATOS_[[#This Row],[Fecha Fin Sit. Contract.]])</f>
        <v>0</v>
      </c>
      <c r="BP272" s="137" t="n">
        <f aca="false">+DATOS_[[#This Row],[% de jornada]]*IF(DATOS_[[#This Row],[% jornada reducida]]="",1,DATOS_[[#This Row],[% jornada reducida]])</f>
        <v>0</v>
      </c>
      <c r="BQ272" s="137" t="n">
        <f aca="false">+(DATOS_[[#This Row],[F.fin.cal]]-DATOS_[[#This Row],[F.ini.cal]]+1)/($D$4-$D$3+1)</f>
        <v>1</v>
      </c>
      <c r="BR272" s="137" t="str">
        <f aca="false">IF(OR(AND(DATOS_[[#This Row],[Fecha Fin Contrato]]&lt;$D$3,DATOS_[[#This Row],[Fecha Fin Contrato]]&lt;&gt;""),DATOS_[[#This Row],[Fecha de Contratación]]&gt;$D$4),"Fuera","Dentro")</f>
        <v>Dentro</v>
      </c>
      <c r="BS272" s="137" t="str">
        <f aca="false" t="array" ref="BS272:BS272">IF(MAX(IF(DATOS_[id]=DATOS_[[#This Row],[id]],DATOS_[F.fin.cal]))=DATOS_[[#This Row],[F.fin.cal]],"Sí","NO")</f>
        <v>Sí</v>
      </c>
      <c r="BT272" s="137" t="str">
        <f aca="false">IF(AND(DATOS_[[#This Row],[% normaliz]]&lt;&gt;1,DATOS_[[#This Row],[% anualiz]]=1),"Sí","NO")</f>
        <v>Sí</v>
      </c>
      <c r="BU272" s="137" t="str">
        <f aca="false">IF(AND(DATOS_[[#This Row],[% normaliz]]=1,DATOS_[[#This Row],[% anualiz]]&lt;&gt;1),"Sí","NO")</f>
        <v>NO</v>
      </c>
      <c r="BV272" s="137" t="str">
        <f aca="false">IF(AND(DATOS_[[#This Row],[% normaliz]]&lt;&gt;1,DATOS_[[#This Row],[% anualiz]]&lt;&gt;1),"Sí","NO")</f>
        <v>NO</v>
      </c>
      <c r="BW272" s="137" t="str">
        <f aca="false">+IF(DATOS_[[#This Row],[% normaliz]]*DATOS_[[#This Row],[% anualiz]]=1,"NO","Sí")</f>
        <v>Sí</v>
      </c>
      <c r="BX272" s="138" t="e">
        <f aca="false">(DATOS_[[#This Row],[S.BASE]]*(1/DATOS_[[#This Row],[% normaliz]])*(1/DATOS_[[#This Row],[% anualiz]]))*IF(DATOS_[[#This Row],[Check Equiparado]]="Sí",1,0)</f>
        <v>#DIV/0!</v>
      </c>
      <c r="BY2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2" s="138" t="e">
        <f aca="false">+DATOS_[[#This Row],[SALARIO BASE Eq]]+DATOS_[[#This Row],[Tot COMPL.SAL Eq]]</f>
        <v>#DIV/0!</v>
      </c>
      <c r="CA272" s="138" t="e">
        <f aca="false" t="array" ref="CA272:CA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2" s="138" t="e">
        <f aca="false">+DATOS_[[#This Row],[TOTAL SALARIO Eq]]+DATOS_[[#This Row],[Tot Extrasalarial Eq]]</f>
        <v>#DIV/0!</v>
      </c>
      <c r="CC272" s="139" t="n">
        <f aca="false">DATOS_[[#This Row],[S.BASE]]</f>
        <v>0</v>
      </c>
      <c r="CD272" s="139" t="n">
        <f aca="false">+SUM(DATOS_[[#This Row],[Conc.Sal.01]:[Conc.Sal.30]])</f>
        <v>0</v>
      </c>
      <c r="CE272" s="139" t="n">
        <f aca="false">+DATOS_[[#This Row],[SALARIO BASE Ef]]+DATOS_[[#This Row],[Tot COMPL.SAL Ef]]</f>
        <v>0</v>
      </c>
      <c r="CF272" s="139" t="n">
        <f aca="false">+SUM(DATOS_[[#This Row],[C.Extra.01]:[C.Extra.05]])</f>
        <v>0</v>
      </c>
      <c r="CG272" s="139" t="n">
        <f aca="false">+DATOS_[[#This Row],[TOTAL SALARIO Ef]]+DATOS_[[#This Row],[Tot Extrasalarial Ef]]</f>
        <v>0</v>
      </c>
      <c r="CH272" s="140" t="n">
        <f aca="false">MIN(IF(DATOS_[[#This Row],[Fecha Fin Contrato]]="",$D$4,DATOS_[[#This Row],[Fecha Fin Contrato]]),$D$4)-MAX(DATOS_[[#This Row],[Fecha de Contratación]],$D$3)+1</f>
        <v>1</v>
      </c>
      <c r="CI272" s="141" t="str">
        <f aca="false">IF(COUNTIFS(DATOS_[id],DATOS_[[#This Row],[id]])&gt;1,DATOS_[[#This Row],[id]],"")</f>
        <v/>
      </c>
      <c r="CJ272" s="141" t="n">
        <f aca="false">(Inicio!$G$10-DATOS_[[#This Row],[Fecha Nacimiento]])/365.25</f>
        <v>0</v>
      </c>
      <c r="CK272" s="141" t="n">
        <f aca="false">(Inicio!$G$10-DATOS_[[#This Row],[Fecha de Antigüedad]])/365.25</f>
        <v>0</v>
      </c>
      <c r="CL272" s="141" t="e">
        <f aca="false">+VLOOKUP(DATOS_[[#This Row],[Clave de Contrato]],TblTiposContrato13[],3,0)</f>
        <v>#N/A</v>
      </c>
      <c r="CM272" s="141" t="e">
        <f aca="false">+VLOOKUP(DATOS_[[#This Row],[Clave de Contrato]],TblTiposContrato13[],4,0)</f>
        <v>#N/A</v>
      </c>
      <c r="CN272" s="141" t="str">
        <f aca="false">VLOOKUP(DATOS_[[#This Row],[Edad]],CONTRATOS!TblRngEdad,2,1)</f>
        <v>20  o menos</v>
      </c>
      <c r="CO272" s="141" t="str">
        <f aca="false">VLOOKUP(DATOS_[[#This Row],[Antigüedad]],TblRngAntg14[],2,1)</f>
        <v>0 a 1 años</v>
      </c>
    </row>
    <row r="273" customFormat="false" ht="13.8" hidden="false" customHeight="false" outlineLevel="0" collapsed="false">
      <c r="D273" s="128"/>
      <c r="E273" s="129"/>
      <c r="F273" s="129"/>
      <c r="G273" s="129"/>
      <c r="H273" s="130"/>
      <c r="I273" s="131"/>
      <c r="J273" s="128"/>
      <c r="K273" s="132"/>
      <c r="L273" s="132"/>
      <c r="M273" s="133"/>
      <c r="N273" s="133"/>
      <c r="O273" s="133"/>
      <c r="P273" s="129"/>
      <c r="Z273" s="75"/>
      <c r="AA273" s="76"/>
      <c r="AB273" s="76"/>
      <c r="AC273" s="129"/>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134"/>
      <c r="BK273" s="134"/>
      <c r="BL273" s="134"/>
      <c r="BM273" s="135"/>
      <c r="BN273" s="136" t="n">
        <f aca="false">+MAX($D$3,DATOS_[[#This Row],[Fecha Inicio Sit. Contract.]])</f>
        <v>0</v>
      </c>
      <c r="BO273" s="136" t="n">
        <f aca="false">+MIN($D$4,DATOS_[[#This Row],[Fecha Fin Sit. Contract.]])</f>
        <v>0</v>
      </c>
      <c r="BP273" s="137" t="n">
        <f aca="false">+DATOS_[[#This Row],[% de jornada]]*IF(DATOS_[[#This Row],[% jornada reducida]]="",1,DATOS_[[#This Row],[% jornada reducida]])</f>
        <v>0</v>
      </c>
      <c r="BQ273" s="137" t="n">
        <f aca="false">+(DATOS_[[#This Row],[F.fin.cal]]-DATOS_[[#This Row],[F.ini.cal]]+1)/($D$4-$D$3+1)</f>
        <v>1</v>
      </c>
      <c r="BR273" s="137" t="str">
        <f aca="false">IF(OR(AND(DATOS_[[#This Row],[Fecha Fin Contrato]]&lt;$D$3,DATOS_[[#This Row],[Fecha Fin Contrato]]&lt;&gt;""),DATOS_[[#This Row],[Fecha de Contratación]]&gt;$D$4),"Fuera","Dentro")</f>
        <v>Dentro</v>
      </c>
      <c r="BS273" s="137" t="str">
        <f aca="false" t="array" ref="BS273:BS273">IF(MAX(IF(DATOS_[id]=DATOS_[[#This Row],[id]],DATOS_[F.fin.cal]))=DATOS_[[#This Row],[F.fin.cal]],"Sí","NO")</f>
        <v>Sí</v>
      </c>
      <c r="BT273" s="137" t="str">
        <f aca="false">IF(AND(DATOS_[[#This Row],[% normaliz]]&lt;&gt;1,DATOS_[[#This Row],[% anualiz]]=1),"Sí","NO")</f>
        <v>Sí</v>
      </c>
      <c r="BU273" s="137" t="str">
        <f aca="false">IF(AND(DATOS_[[#This Row],[% normaliz]]=1,DATOS_[[#This Row],[% anualiz]]&lt;&gt;1),"Sí","NO")</f>
        <v>NO</v>
      </c>
      <c r="BV273" s="137" t="str">
        <f aca="false">IF(AND(DATOS_[[#This Row],[% normaliz]]&lt;&gt;1,DATOS_[[#This Row],[% anualiz]]&lt;&gt;1),"Sí","NO")</f>
        <v>NO</v>
      </c>
      <c r="BW273" s="137" t="str">
        <f aca="false">+IF(DATOS_[[#This Row],[% normaliz]]*DATOS_[[#This Row],[% anualiz]]=1,"NO","Sí")</f>
        <v>Sí</v>
      </c>
      <c r="BX273" s="138" t="e">
        <f aca="false">(DATOS_[[#This Row],[S.BASE]]*(1/DATOS_[[#This Row],[% normaliz]])*(1/DATOS_[[#This Row],[% anualiz]]))*IF(DATOS_[[#This Row],[Check Equiparado]]="Sí",1,0)</f>
        <v>#DIV/0!</v>
      </c>
      <c r="BY2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3" s="138" t="e">
        <f aca="false">+DATOS_[[#This Row],[SALARIO BASE Eq]]+DATOS_[[#This Row],[Tot COMPL.SAL Eq]]</f>
        <v>#DIV/0!</v>
      </c>
      <c r="CA273" s="138" t="e">
        <f aca="false" t="array" ref="CA273:CA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3" s="138" t="e">
        <f aca="false">+DATOS_[[#This Row],[TOTAL SALARIO Eq]]+DATOS_[[#This Row],[Tot Extrasalarial Eq]]</f>
        <v>#DIV/0!</v>
      </c>
      <c r="CC273" s="139" t="n">
        <f aca="false">DATOS_[[#This Row],[S.BASE]]</f>
        <v>0</v>
      </c>
      <c r="CD273" s="139" t="n">
        <f aca="false">+SUM(DATOS_[[#This Row],[Conc.Sal.01]:[Conc.Sal.30]])</f>
        <v>0</v>
      </c>
      <c r="CE273" s="139" t="n">
        <f aca="false">+DATOS_[[#This Row],[SALARIO BASE Ef]]+DATOS_[[#This Row],[Tot COMPL.SAL Ef]]</f>
        <v>0</v>
      </c>
      <c r="CF273" s="139" t="n">
        <f aca="false">+SUM(DATOS_[[#This Row],[C.Extra.01]:[C.Extra.05]])</f>
        <v>0</v>
      </c>
      <c r="CG273" s="139" t="n">
        <f aca="false">+DATOS_[[#This Row],[TOTAL SALARIO Ef]]+DATOS_[[#This Row],[Tot Extrasalarial Ef]]</f>
        <v>0</v>
      </c>
      <c r="CH273" s="140" t="n">
        <f aca="false">MIN(IF(DATOS_[[#This Row],[Fecha Fin Contrato]]="",$D$4,DATOS_[[#This Row],[Fecha Fin Contrato]]),$D$4)-MAX(DATOS_[[#This Row],[Fecha de Contratación]],$D$3)+1</f>
        <v>1</v>
      </c>
      <c r="CI273" s="141" t="str">
        <f aca="false">IF(COUNTIFS(DATOS_[id],DATOS_[[#This Row],[id]])&gt;1,DATOS_[[#This Row],[id]],"")</f>
        <v/>
      </c>
      <c r="CJ273" s="141" t="n">
        <f aca="false">(Inicio!$G$10-DATOS_[[#This Row],[Fecha Nacimiento]])/365.25</f>
        <v>0</v>
      </c>
      <c r="CK273" s="141" t="n">
        <f aca="false">(Inicio!$G$10-DATOS_[[#This Row],[Fecha de Antigüedad]])/365.25</f>
        <v>0</v>
      </c>
      <c r="CL273" s="141" t="e">
        <f aca="false">+VLOOKUP(DATOS_[[#This Row],[Clave de Contrato]],TblTiposContrato13[],3,0)</f>
        <v>#N/A</v>
      </c>
      <c r="CM273" s="141" t="e">
        <f aca="false">+VLOOKUP(DATOS_[[#This Row],[Clave de Contrato]],TblTiposContrato13[],4,0)</f>
        <v>#N/A</v>
      </c>
      <c r="CN273" s="141" t="str">
        <f aca="false">VLOOKUP(DATOS_[[#This Row],[Edad]],CONTRATOS!TblRngEdad,2,1)</f>
        <v>20  o menos</v>
      </c>
      <c r="CO273" s="141" t="str">
        <f aca="false">VLOOKUP(DATOS_[[#This Row],[Antigüedad]],TblRngAntg14[],2,1)</f>
        <v>0 a 1 años</v>
      </c>
    </row>
    <row r="274" customFormat="false" ht="13.8" hidden="false" customHeight="false" outlineLevel="0" collapsed="false">
      <c r="D274" s="128"/>
      <c r="E274" s="129"/>
      <c r="F274" s="129"/>
      <c r="G274" s="129"/>
      <c r="H274" s="130"/>
      <c r="I274" s="131"/>
      <c r="J274" s="128"/>
      <c r="K274" s="132"/>
      <c r="L274" s="132"/>
      <c r="M274" s="133"/>
      <c r="N274" s="133"/>
      <c r="O274" s="133"/>
      <c r="P274" s="129"/>
      <c r="Z274" s="75"/>
      <c r="AA274" s="76"/>
      <c r="AB274" s="76"/>
      <c r="AC274" s="129"/>
      <c r="AD274" s="134"/>
      <c r="AE274" s="134"/>
      <c r="AF274" s="134"/>
      <c r="AG274" s="134"/>
      <c r="AH274" s="134"/>
      <c r="AI274" s="134"/>
      <c r="AJ274" s="134"/>
      <c r="AK274" s="134"/>
      <c r="AL274" s="134"/>
      <c r="AM274" s="134"/>
      <c r="AN274" s="134"/>
      <c r="AO274" s="134"/>
      <c r="AP274" s="134"/>
      <c r="AQ274" s="134"/>
      <c r="AR274" s="134"/>
      <c r="AS274" s="134"/>
      <c r="AT274" s="134"/>
      <c r="AU274" s="134"/>
      <c r="AV274" s="134"/>
      <c r="AW274" s="134"/>
      <c r="AX274" s="134"/>
      <c r="AY274" s="134"/>
      <c r="AZ274" s="134"/>
      <c r="BA274" s="134"/>
      <c r="BB274" s="134"/>
      <c r="BC274" s="134"/>
      <c r="BD274" s="134"/>
      <c r="BE274" s="134"/>
      <c r="BF274" s="134"/>
      <c r="BG274" s="134"/>
      <c r="BH274" s="134"/>
      <c r="BI274" s="134"/>
      <c r="BJ274" s="134"/>
      <c r="BK274" s="134"/>
      <c r="BL274" s="134"/>
      <c r="BM274" s="135"/>
      <c r="BN274" s="136" t="n">
        <f aca="false">+MAX($D$3,DATOS_[[#This Row],[Fecha Inicio Sit. Contract.]])</f>
        <v>0</v>
      </c>
      <c r="BO274" s="136" t="n">
        <f aca="false">+MIN($D$4,DATOS_[[#This Row],[Fecha Fin Sit. Contract.]])</f>
        <v>0</v>
      </c>
      <c r="BP274" s="137" t="n">
        <f aca="false">+DATOS_[[#This Row],[% de jornada]]*IF(DATOS_[[#This Row],[% jornada reducida]]="",1,DATOS_[[#This Row],[% jornada reducida]])</f>
        <v>0</v>
      </c>
      <c r="BQ274" s="137" t="n">
        <f aca="false">+(DATOS_[[#This Row],[F.fin.cal]]-DATOS_[[#This Row],[F.ini.cal]]+1)/($D$4-$D$3+1)</f>
        <v>1</v>
      </c>
      <c r="BR274" s="137" t="str">
        <f aca="false">IF(OR(AND(DATOS_[[#This Row],[Fecha Fin Contrato]]&lt;$D$3,DATOS_[[#This Row],[Fecha Fin Contrato]]&lt;&gt;""),DATOS_[[#This Row],[Fecha de Contratación]]&gt;$D$4),"Fuera","Dentro")</f>
        <v>Dentro</v>
      </c>
      <c r="BS274" s="137" t="str">
        <f aca="false" t="array" ref="BS274:BS274">IF(MAX(IF(DATOS_[id]=DATOS_[[#This Row],[id]],DATOS_[F.fin.cal]))=DATOS_[[#This Row],[F.fin.cal]],"Sí","NO")</f>
        <v>Sí</v>
      </c>
      <c r="BT274" s="137" t="str">
        <f aca="false">IF(AND(DATOS_[[#This Row],[% normaliz]]&lt;&gt;1,DATOS_[[#This Row],[% anualiz]]=1),"Sí","NO")</f>
        <v>Sí</v>
      </c>
      <c r="BU274" s="137" t="str">
        <f aca="false">IF(AND(DATOS_[[#This Row],[% normaliz]]=1,DATOS_[[#This Row],[% anualiz]]&lt;&gt;1),"Sí","NO")</f>
        <v>NO</v>
      </c>
      <c r="BV274" s="137" t="str">
        <f aca="false">IF(AND(DATOS_[[#This Row],[% normaliz]]&lt;&gt;1,DATOS_[[#This Row],[% anualiz]]&lt;&gt;1),"Sí","NO")</f>
        <v>NO</v>
      </c>
      <c r="BW274" s="137" t="str">
        <f aca="false">+IF(DATOS_[[#This Row],[% normaliz]]*DATOS_[[#This Row],[% anualiz]]=1,"NO","Sí")</f>
        <v>Sí</v>
      </c>
      <c r="BX274" s="138" t="e">
        <f aca="false">(DATOS_[[#This Row],[S.BASE]]*(1/DATOS_[[#This Row],[% normaliz]])*(1/DATOS_[[#This Row],[% anualiz]]))*IF(DATOS_[[#This Row],[Check Equiparado]]="Sí",1,0)</f>
        <v>#DIV/0!</v>
      </c>
      <c r="BY2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4" s="138" t="e">
        <f aca="false">+DATOS_[[#This Row],[SALARIO BASE Eq]]+DATOS_[[#This Row],[Tot COMPL.SAL Eq]]</f>
        <v>#DIV/0!</v>
      </c>
      <c r="CA274" s="138" t="e">
        <f aca="false" t="array" ref="CA274:CA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4" s="138" t="e">
        <f aca="false">+DATOS_[[#This Row],[TOTAL SALARIO Eq]]+DATOS_[[#This Row],[Tot Extrasalarial Eq]]</f>
        <v>#DIV/0!</v>
      </c>
      <c r="CC274" s="139" t="n">
        <f aca="false">DATOS_[[#This Row],[S.BASE]]</f>
        <v>0</v>
      </c>
      <c r="CD274" s="139" t="n">
        <f aca="false">+SUM(DATOS_[[#This Row],[Conc.Sal.01]:[Conc.Sal.30]])</f>
        <v>0</v>
      </c>
      <c r="CE274" s="139" t="n">
        <f aca="false">+DATOS_[[#This Row],[SALARIO BASE Ef]]+DATOS_[[#This Row],[Tot COMPL.SAL Ef]]</f>
        <v>0</v>
      </c>
      <c r="CF274" s="139" t="n">
        <f aca="false">+SUM(DATOS_[[#This Row],[C.Extra.01]:[C.Extra.05]])</f>
        <v>0</v>
      </c>
      <c r="CG274" s="139" t="n">
        <f aca="false">+DATOS_[[#This Row],[TOTAL SALARIO Ef]]+DATOS_[[#This Row],[Tot Extrasalarial Ef]]</f>
        <v>0</v>
      </c>
      <c r="CH274" s="140" t="n">
        <f aca="false">MIN(IF(DATOS_[[#This Row],[Fecha Fin Contrato]]="",$D$4,DATOS_[[#This Row],[Fecha Fin Contrato]]),$D$4)-MAX(DATOS_[[#This Row],[Fecha de Contratación]],$D$3)+1</f>
        <v>1</v>
      </c>
      <c r="CI274" s="141" t="str">
        <f aca="false">IF(COUNTIFS(DATOS_[id],DATOS_[[#This Row],[id]])&gt;1,DATOS_[[#This Row],[id]],"")</f>
        <v/>
      </c>
      <c r="CJ274" s="141" t="n">
        <f aca="false">(Inicio!$G$10-DATOS_[[#This Row],[Fecha Nacimiento]])/365.25</f>
        <v>0</v>
      </c>
      <c r="CK274" s="141" t="n">
        <f aca="false">(Inicio!$G$10-DATOS_[[#This Row],[Fecha de Antigüedad]])/365.25</f>
        <v>0</v>
      </c>
      <c r="CL274" s="141" t="e">
        <f aca="false">+VLOOKUP(DATOS_[[#This Row],[Clave de Contrato]],TblTiposContrato13[],3,0)</f>
        <v>#N/A</v>
      </c>
      <c r="CM274" s="141" t="e">
        <f aca="false">+VLOOKUP(DATOS_[[#This Row],[Clave de Contrato]],TblTiposContrato13[],4,0)</f>
        <v>#N/A</v>
      </c>
      <c r="CN274" s="141" t="str">
        <f aca="false">VLOOKUP(DATOS_[[#This Row],[Edad]],CONTRATOS!TblRngEdad,2,1)</f>
        <v>20  o menos</v>
      </c>
      <c r="CO274" s="141" t="str">
        <f aca="false">VLOOKUP(DATOS_[[#This Row],[Antigüedad]],TblRngAntg14[],2,1)</f>
        <v>0 a 1 años</v>
      </c>
    </row>
    <row r="275" customFormat="false" ht="13.8" hidden="false" customHeight="false" outlineLevel="0" collapsed="false">
      <c r="D275" s="128"/>
      <c r="E275" s="129"/>
      <c r="F275" s="129"/>
      <c r="G275" s="129"/>
      <c r="H275" s="130"/>
      <c r="I275" s="131"/>
      <c r="J275" s="128"/>
      <c r="K275" s="132"/>
      <c r="L275" s="132"/>
      <c r="M275" s="133"/>
      <c r="N275" s="133"/>
      <c r="O275" s="133"/>
      <c r="P275" s="129"/>
      <c r="Z275" s="75"/>
      <c r="AA275" s="76"/>
      <c r="AB275" s="76"/>
      <c r="AC275" s="129"/>
      <c r="AD275" s="134"/>
      <c r="AE275" s="134"/>
      <c r="AF275" s="134"/>
      <c r="AG275" s="134"/>
      <c r="AH275" s="134"/>
      <c r="AI275" s="134"/>
      <c r="AJ275" s="134"/>
      <c r="AK275" s="134"/>
      <c r="AL275" s="134"/>
      <c r="AM275" s="134"/>
      <c r="AN275" s="134"/>
      <c r="AO275" s="134"/>
      <c r="AP275" s="134"/>
      <c r="AQ275" s="134"/>
      <c r="AR275" s="134"/>
      <c r="AS275" s="134"/>
      <c r="AT275" s="134"/>
      <c r="AU275" s="134"/>
      <c r="AV275" s="134"/>
      <c r="AW275" s="134"/>
      <c r="AX275" s="134"/>
      <c r="AY275" s="134"/>
      <c r="AZ275" s="134"/>
      <c r="BA275" s="134"/>
      <c r="BB275" s="134"/>
      <c r="BC275" s="134"/>
      <c r="BD275" s="134"/>
      <c r="BE275" s="134"/>
      <c r="BF275" s="134"/>
      <c r="BG275" s="134"/>
      <c r="BH275" s="134"/>
      <c r="BI275" s="134"/>
      <c r="BJ275" s="134"/>
      <c r="BK275" s="134"/>
      <c r="BL275" s="134"/>
      <c r="BM275" s="135"/>
      <c r="BN275" s="136" t="n">
        <f aca="false">+MAX($D$3,DATOS_[[#This Row],[Fecha Inicio Sit. Contract.]])</f>
        <v>0</v>
      </c>
      <c r="BO275" s="136" t="n">
        <f aca="false">+MIN($D$4,DATOS_[[#This Row],[Fecha Fin Sit. Contract.]])</f>
        <v>0</v>
      </c>
      <c r="BP275" s="137" t="n">
        <f aca="false">+DATOS_[[#This Row],[% de jornada]]*IF(DATOS_[[#This Row],[% jornada reducida]]="",1,DATOS_[[#This Row],[% jornada reducida]])</f>
        <v>0</v>
      </c>
      <c r="BQ275" s="137" t="n">
        <f aca="false">+(DATOS_[[#This Row],[F.fin.cal]]-DATOS_[[#This Row],[F.ini.cal]]+1)/($D$4-$D$3+1)</f>
        <v>1</v>
      </c>
      <c r="BR275" s="137" t="str">
        <f aca="false">IF(OR(AND(DATOS_[[#This Row],[Fecha Fin Contrato]]&lt;$D$3,DATOS_[[#This Row],[Fecha Fin Contrato]]&lt;&gt;""),DATOS_[[#This Row],[Fecha de Contratación]]&gt;$D$4),"Fuera","Dentro")</f>
        <v>Dentro</v>
      </c>
      <c r="BS275" s="137" t="str">
        <f aca="false" t="array" ref="BS275:BS275">IF(MAX(IF(DATOS_[id]=DATOS_[[#This Row],[id]],DATOS_[F.fin.cal]))=DATOS_[[#This Row],[F.fin.cal]],"Sí","NO")</f>
        <v>Sí</v>
      </c>
      <c r="BT275" s="137" t="str">
        <f aca="false">IF(AND(DATOS_[[#This Row],[% normaliz]]&lt;&gt;1,DATOS_[[#This Row],[% anualiz]]=1),"Sí","NO")</f>
        <v>Sí</v>
      </c>
      <c r="BU275" s="137" t="str">
        <f aca="false">IF(AND(DATOS_[[#This Row],[% normaliz]]=1,DATOS_[[#This Row],[% anualiz]]&lt;&gt;1),"Sí","NO")</f>
        <v>NO</v>
      </c>
      <c r="BV275" s="137" t="str">
        <f aca="false">IF(AND(DATOS_[[#This Row],[% normaliz]]&lt;&gt;1,DATOS_[[#This Row],[% anualiz]]&lt;&gt;1),"Sí","NO")</f>
        <v>NO</v>
      </c>
      <c r="BW275" s="137" t="str">
        <f aca="false">+IF(DATOS_[[#This Row],[% normaliz]]*DATOS_[[#This Row],[% anualiz]]=1,"NO","Sí")</f>
        <v>Sí</v>
      </c>
      <c r="BX275" s="138" t="e">
        <f aca="false">(DATOS_[[#This Row],[S.BASE]]*(1/DATOS_[[#This Row],[% normaliz]])*(1/DATOS_[[#This Row],[% anualiz]]))*IF(DATOS_[[#This Row],[Check Equiparado]]="Sí",1,0)</f>
        <v>#DIV/0!</v>
      </c>
      <c r="BY2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5" s="138" t="e">
        <f aca="false">+DATOS_[[#This Row],[SALARIO BASE Eq]]+DATOS_[[#This Row],[Tot COMPL.SAL Eq]]</f>
        <v>#DIV/0!</v>
      </c>
      <c r="CA275" s="138" t="e">
        <f aca="false" t="array" ref="CA275:CA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5" s="138" t="e">
        <f aca="false">+DATOS_[[#This Row],[TOTAL SALARIO Eq]]+DATOS_[[#This Row],[Tot Extrasalarial Eq]]</f>
        <v>#DIV/0!</v>
      </c>
      <c r="CC275" s="139" t="n">
        <f aca="false">DATOS_[[#This Row],[S.BASE]]</f>
        <v>0</v>
      </c>
      <c r="CD275" s="139" t="n">
        <f aca="false">+SUM(DATOS_[[#This Row],[Conc.Sal.01]:[Conc.Sal.30]])</f>
        <v>0</v>
      </c>
      <c r="CE275" s="139" t="n">
        <f aca="false">+DATOS_[[#This Row],[SALARIO BASE Ef]]+DATOS_[[#This Row],[Tot COMPL.SAL Ef]]</f>
        <v>0</v>
      </c>
      <c r="CF275" s="139" t="n">
        <f aca="false">+SUM(DATOS_[[#This Row],[C.Extra.01]:[C.Extra.05]])</f>
        <v>0</v>
      </c>
      <c r="CG275" s="139" t="n">
        <f aca="false">+DATOS_[[#This Row],[TOTAL SALARIO Ef]]+DATOS_[[#This Row],[Tot Extrasalarial Ef]]</f>
        <v>0</v>
      </c>
      <c r="CH275" s="140" t="n">
        <f aca="false">MIN(IF(DATOS_[[#This Row],[Fecha Fin Contrato]]="",$D$4,DATOS_[[#This Row],[Fecha Fin Contrato]]),$D$4)-MAX(DATOS_[[#This Row],[Fecha de Contratación]],$D$3)+1</f>
        <v>1</v>
      </c>
      <c r="CI275" s="141" t="str">
        <f aca="false">IF(COUNTIFS(DATOS_[id],DATOS_[[#This Row],[id]])&gt;1,DATOS_[[#This Row],[id]],"")</f>
        <v/>
      </c>
      <c r="CJ275" s="141" t="n">
        <f aca="false">(Inicio!$G$10-DATOS_[[#This Row],[Fecha Nacimiento]])/365.25</f>
        <v>0</v>
      </c>
      <c r="CK275" s="141" t="n">
        <f aca="false">(Inicio!$G$10-DATOS_[[#This Row],[Fecha de Antigüedad]])/365.25</f>
        <v>0</v>
      </c>
      <c r="CL275" s="141" t="e">
        <f aca="false">+VLOOKUP(DATOS_[[#This Row],[Clave de Contrato]],TblTiposContrato13[],3,0)</f>
        <v>#N/A</v>
      </c>
      <c r="CM275" s="141" t="e">
        <f aca="false">+VLOOKUP(DATOS_[[#This Row],[Clave de Contrato]],TblTiposContrato13[],4,0)</f>
        <v>#N/A</v>
      </c>
      <c r="CN275" s="141" t="str">
        <f aca="false">VLOOKUP(DATOS_[[#This Row],[Edad]],CONTRATOS!TblRngEdad,2,1)</f>
        <v>20  o menos</v>
      </c>
      <c r="CO275" s="141" t="str">
        <f aca="false">VLOOKUP(DATOS_[[#This Row],[Antigüedad]],TblRngAntg14[],2,1)</f>
        <v>0 a 1 años</v>
      </c>
    </row>
    <row r="276" customFormat="false" ht="13.8" hidden="false" customHeight="false" outlineLevel="0" collapsed="false">
      <c r="D276" s="128"/>
      <c r="E276" s="129"/>
      <c r="F276" s="129"/>
      <c r="G276" s="129"/>
      <c r="H276" s="130"/>
      <c r="I276" s="131"/>
      <c r="J276" s="128"/>
      <c r="K276" s="132"/>
      <c r="L276" s="132"/>
      <c r="M276" s="133"/>
      <c r="N276" s="133"/>
      <c r="O276" s="133"/>
      <c r="P276" s="129"/>
      <c r="Z276" s="75"/>
      <c r="AA276" s="76"/>
      <c r="AB276" s="76"/>
      <c r="AC276" s="129"/>
      <c r="AD276" s="134"/>
      <c r="AE276" s="134"/>
      <c r="AF276" s="134"/>
      <c r="AG276" s="134"/>
      <c r="AH276" s="134"/>
      <c r="AI276" s="134"/>
      <c r="AJ276" s="134"/>
      <c r="AK276" s="134"/>
      <c r="AL276" s="134"/>
      <c r="AM276" s="134"/>
      <c r="AN276" s="134"/>
      <c r="AO276" s="134"/>
      <c r="AP276" s="134"/>
      <c r="AQ276" s="134"/>
      <c r="AR276" s="134"/>
      <c r="AS276" s="134"/>
      <c r="AT276" s="134"/>
      <c r="AU276" s="134"/>
      <c r="AV276" s="134"/>
      <c r="AW276" s="134"/>
      <c r="AX276" s="134"/>
      <c r="AY276" s="134"/>
      <c r="AZ276" s="134"/>
      <c r="BA276" s="134"/>
      <c r="BB276" s="134"/>
      <c r="BC276" s="134"/>
      <c r="BD276" s="134"/>
      <c r="BE276" s="134"/>
      <c r="BF276" s="134"/>
      <c r="BG276" s="134"/>
      <c r="BH276" s="134"/>
      <c r="BI276" s="134"/>
      <c r="BJ276" s="134"/>
      <c r="BK276" s="134"/>
      <c r="BL276" s="134"/>
      <c r="BM276" s="135"/>
      <c r="BN276" s="136" t="n">
        <f aca="false">+MAX($D$3,DATOS_[[#This Row],[Fecha Inicio Sit. Contract.]])</f>
        <v>0</v>
      </c>
      <c r="BO276" s="136" t="n">
        <f aca="false">+MIN($D$4,DATOS_[[#This Row],[Fecha Fin Sit. Contract.]])</f>
        <v>0</v>
      </c>
      <c r="BP276" s="137" t="n">
        <f aca="false">+DATOS_[[#This Row],[% de jornada]]*IF(DATOS_[[#This Row],[% jornada reducida]]="",1,DATOS_[[#This Row],[% jornada reducida]])</f>
        <v>0</v>
      </c>
      <c r="BQ276" s="137" t="n">
        <f aca="false">+(DATOS_[[#This Row],[F.fin.cal]]-DATOS_[[#This Row],[F.ini.cal]]+1)/($D$4-$D$3+1)</f>
        <v>1</v>
      </c>
      <c r="BR276" s="137" t="str">
        <f aca="false">IF(OR(AND(DATOS_[[#This Row],[Fecha Fin Contrato]]&lt;$D$3,DATOS_[[#This Row],[Fecha Fin Contrato]]&lt;&gt;""),DATOS_[[#This Row],[Fecha de Contratación]]&gt;$D$4),"Fuera","Dentro")</f>
        <v>Dentro</v>
      </c>
      <c r="BS276" s="137" t="str">
        <f aca="false" t="array" ref="BS276:BS276">IF(MAX(IF(DATOS_[id]=DATOS_[[#This Row],[id]],DATOS_[F.fin.cal]))=DATOS_[[#This Row],[F.fin.cal]],"Sí","NO")</f>
        <v>Sí</v>
      </c>
      <c r="BT276" s="137" t="str">
        <f aca="false">IF(AND(DATOS_[[#This Row],[% normaliz]]&lt;&gt;1,DATOS_[[#This Row],[% anualiz]]=1),"Sí","NO")</f>
        <v>Sí</v>
      </c>
      <c r="BU276" s="137" t="str">
        <f aca="false">IF(AND(DATOS_[[#This Row],[% normaliz]]=1,DATOS_[[#This Row],[% anualiz]]&lt;&gt;1),"Sí","NO")</f>
        <v>NO</v>
      </c>
      <c r="BV276" s="137" t="str">
        <f aca="false">IF(AND(DATOS_[[#This Row],[% normaliz]]&lt;&gt;1,DATOS_[[#This Row],[% anualiz]]&lt;&gt;1),"Sí","NO")</f>
        <v>NO</v>
      </c>
      <c r="BW276" s="137" t="str">
        <f aca="false">+IF(DATOS_[[#This Row],[% normaliz]]*DATOS_[[#This Row],[% anualiz]]=1,"NO","Sí")</f>
        <v>Sí</v>
      </c>
      <c r="BX276" s="138" t="e">
        <f aca="false">(DATOS_[[#This Row],[S.BASE]]*(1/DATOS_[[#This Row],[% normaliz]])*(1/DATOS_[[#This Row],[% anualiz]]))*IF(DATOS_[[#This Row],[Check Equiparado]]="Sí",1,0)</f>
        <v>#DIV/0!</v>
      </c>
      <c r="BY2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6" s="138" t="e">
        <f aca="false">+DATOS_[[#This Row],[SALARIO BASE Eq]]+DATOS_[[#This Row],[Tot COMPL.SAL Eq]]</f>
        <v>#DIV/0!</v>
      </c>
      <c r="CA276" s="138" t="e">
        <f aca="false" t="array" ref="CA276:CA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6" s="138" t="e">
        <f aca="false">+DATOS_[[#This Row],[TOTAL SALARIO Eq]]+DATOS_[[#This Row],[Tot Extrasalarial Eq]]</f>
        <v>#DIV/0!</v>
      </c>
      <c r="CC276" s="139" t="n">
        <f aca="false">DATOS_[[#This Row],[S.BASE]]</f>
        <v>0</v>
      </c>
      <c r="CD276" s="139" t="n">
        <f aca="false">+SUM(DATOS_[[#This Row],[Conc.Sal.01]:[Conc.Sal.30]])</f>
        <v>0</v>
      </c>
      <c r="CE276" s="139" t="n">
        <f aca="false">+DATOS_[[#This Row],[SALARIO BASE Ef]]+DATOS_[[#This Row],[Tot COMPL.SAL Ef]]</f>
        <v>0</v>
      </c>
      <c r="CF276" s="139" t="n">
        <f aca="false">+SUM(DATOS_[[#This Row],[C.Extra.01]:[C.Extra.05]])</f>
        <v>0</v>
      </c>
      <c r="CG276" s="139" t="n">
        <f aca="false">+DATOS_[[#This Row],[TOTAL SALARIO Ef]]+DATOS_[[#This Row],[Tot Extrasalarial Ef]]</f>
        <v>0</v>
      </c>
      <c r="CH276" s="140" t="n">
        <f aca="false">MIN(IF(DATOS_[[#This Row],[Fecha Fin Contrato]]="",$D$4,DATOS_[[#This Row],[Fecha Fin Contrato]]),$D$4)-MAX(DATOS_[[#This Row],[Fecha de Contratación]],$D$3)+1</f>
        <v>1</v>
      </c>
      <c r="CI276" s="141" t="str">
        <f aca="false">IF(COUNTIFS(DATOS_[id],DATOS_[[#This Row],[id]])&gt;1,DATOS_[[#This Row],[id]],"")</f>
        <v/>
      </c>
      <c r="CJ276" s="141" t="n">
        <f aca="false">(Inicio!$G$10-DATOS_[[#This Row],[Fecha Nacimiento]])/365.25</f>
        <v>0</v>
      </c>
      <c r="CK276" s="141" t="n">
        <f aca="false">(Inicio!$G$10-DATOS_[[#This Row],[Fecha de Antigüedad]])/365.25</f>
        <v>0</v>
      </c>
      <c r="CL276" s="141" t="e">
        <f aca="false">+VLOOKUP(DATOS_[[#This Row],[Clave de Contrato]],TblTiposContrato13[],3,0)</f>
        <v>#N/A</v>
      </c>
      <c r="CM276" s="141" t="e">
        <f aca="false">+VLOOKUP(DATOS_[[#This Row],[Clave de Contrato]],TblTiposContrato13[],4,0)</f>
        <v>#N/A</v>
      </c>
      <c r="CN276" s="141" t="str">
        <f aca="false">VLOOKUP(DATOS_[[#This Row],[Edad]],CONTRATOS!TblRngEdad,2,1)</f>
        <v>20  o menos</v>
      </c>
      <c r="CO276" s="141" t="str">
        <f aca="false">VLOOKUP(DATOS_[[#This Row],[Antigüedad]],TblRngAntg14[],2,1)</f>
        <v>0 a 1 años</v>
      </c>
    </row>
    <row r="277" customFormat="false" ht="13.8" hidden="false" customHeight="false" outlineLevel="0" collapsed="false">
      <c r="D277" s="128"/>
      <c r="E277" s="129"/>
      <c r="F277" s="129"/>
      <c r="G277" s="129"/>
      <c r="H277" s="130"/>
      <c r="I277" s="131"/>
      <c r="J277" s="128"/>
      <c r="K277" s="132"/>
      <c r="L277" s="132"/>
      <c r="M277" s="133"/>
      <c r="N277" s="133"/>
      <c r="O277" s="133"/>
      <c r="P277" s="129"/>
      <c r="Z277" s="75"/>
      <c r="AA277" s="76"/>
      <c r="AB277" s="76"/>
      <c r="AC277" s="129"/>
      <c r="AD277" s="134"/>
      <c r="AE277" s="134"/>
      <c r="AF277" s="134"/>
      <c r="AG277" s="134"/>
      <c r="AH277" s="134"/>
      <c r="AI277" s="134"/>
      <c r="AJ277" s="134"/>
      <c r="AK277" s="134"/>
      <c r="AL277" s="134"/>
      <c r="AM277" s="134"/>
      <c r="AN277" s="134"/>
      <c r="AO277" s="134"/>
      <c r="AP277" s="134"/>
      <c r="AQ277" s="134"/>
      <c r="AR277" s="134"/>
      <c r="AS277" s="134"/>
      <c r="AT277" s="134"/>
      <c r="AU277" s="134"/>
      <c r="AV277" s="134"/>
      <c r="AW277" s="134"/>
      <c r="AX277" s="134"/>
      <c r="AY277" s="134"/>
      <c r="AZ277" s="134"/>
      <c r="BA277" s="134"/>
      <c r="BB277" s="134"/>
      <c r="BC277" s="134"/>
      <c r="BD277" s="134"/>
      <c r="BE277" s="134"/>
      <c r="BF277" s="134"/>
      <c r="BG277" s="134"/>
      <c r="BH277" s="134"/>
      <c r="BI277" s="134"/>
      <c r="BJ277" s="134"/>
      <c r="BK277" s="134"/>
      <c r="BL277" s="134"/>
      <c r="BM277" s="135"/>
      <c r="BN277" s="136" t="n">
        <f aca="false">+MAX($D$3,DATOS_[[#This Row],[Fecha Inicio Sit. Contract.]])</f>
        <v>0</v>
      </c>
      <c r="BO277" s="136" t="n">
        <f aca="false">+MIN($D$4,DATOS_[[#This Row],[Fecha Fin Sit. Contract.]])</f>
        <v>0</v>
      </c>
      <c r="BP277" s="137" t="n">
        <f aca="false">+DATOS_[[#This Row],[% de jornada]]*IF(DATOS_[[#This Row],[% jornada reducida]]="",1,DATOS_[[#This Row],[% jornada reducida]])</f>
        <v>0</v>
      </c>
      <c r="BQ277" s="137" t="n">
        <f aca="false">+(DATOS_[[#This Row],[F.fin.cal]]-DATOS_[[#This Row],[F.ini.cal]]+1)/($D$4-$D$3+1)</f>
        <v>1</v>
      </c>
      <c r="BR277" s="137" t="str">
        <f aca="false">IF(OR(AND(DATOS_[[#This Row],[Fecha Fin Contrato]]&lt;$D$3,DATOS_[[#This Row],[Fecha Fin Contrato]]&lt;&gt;""),DATOS_[[#This Row],[Fecha de Contratación]]&gt;$D$4),"Fuera","Dentro")</f>
        <v>Dentro</v>
      </c>
      <c r="BS277" s="137" t="str">
        <f aca="false" t="array" ref="BS277:BS277">IF(MAX(IF(DATOS_[id]=DATOS_[[#This Row],[id]],DATOS_[F.fin.cal]))=DATOS_[[#This Row],[F.fin.cal]],"Sí","NO")</f>
        <v>Sí</v>
      </c>
      <c r="BT277" s="137" t="str">
        <f aca="false">IF(AND(DATOS_[[#This Row],[% normaliz]]&lt;&gt;1,DATOS_[[#This Row],[% anualiz]]=1),"Sí","NO")</f>
        <v>Sí</v>
      </c>
      <c r="BU277" s="137" t="str">
        <f aca="false">IF(AND(DATOS_[[#This Row],[% normaliz]]=1,DATOS_[[#This Row],[% anualiz]]&lt;&gt;1),"Sí","NO")</f>
        <v>NO</v>
      </c>
      <c r="BV277" s="137" t="str">
        <f aca="false">IF(AND(DATOS_[[#This Row],[% normaliz]]&lt;&gt;1,DATOS_[[#This Row],[% anualiz]]&lt;&gt;1),"Sí","NO")</f>
        <v>NO</v>
      </c>
      <c r="BW277" s="137" t="str">
        <f aca="false">+IF(DATOS_[[#This Row],[% normaliz]]*DATOS_[[#This Row],[% anualiz]]=1,"NO","Sí")</f>
        <v>Sí</v>
      </c>
      <c r="BX277" s="138" t="e">
        <f aca="false">(DATOS_[[#This Row],[S.BASE]]*(1/DATOS_[[#This Row],[% normaliz]])*(1/DATOS_[[#This Row],[% anualiz]]))*IF(DATOS_[[#This Row],[Check Equiparado]]="Sí",1,0)</f>
        <v>#DIV/0!</v>
      </c>
      <c r="BY2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7" s="138" t="e">
        <f aca="false">+DATOS_[[#This Row],[SALARIO BASE Eq]]+DATOS_[[#This Row],[Tot COMPL.SAL Eq]]</f>
        <v>#DIV/0!</v>
      </c>
      <c r="CA277" s="138" t="e">
        <f aca="false" t="array" ref="CA277:CA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7" s="138" t="e">
        <f aca="false">+DATOS_[[#This Row],[TOTAL SALARIO Eq]]+DATOS_[[#This Row],[Tot Extrasalarial Eq]]</f>
        <v>#DIV/0!</v>
      </c>
      <c r="CC277" s="139" t="n">
        <f aca="false">DATOS_[[#This Row],[S.BASE]]</f>
        <v>0</v>
      </c>
      <c r="CD277" s="139" t="n">
        <f aca="false">+SUM(DATOS_[[#This Row],[Conc.Sal.01]:[Conc.Sal.30]])</f>
        <v>0</v>
      </c>
      <c r="CE277" s="139" t="n">
        <f aca="false">+DATOS_[[#This Row],[SALARIO BASE Ef]]+DATOS_[[#This Row],[Tot COMPL.SAL Ef]]</f>
        <v>0</v>
      </c>
      <c r="CF277" s="139" t="n">
        <f aca="false">+SUM(DATOS_[[#This Row],[C.Extra.01]:[C.Extra.05]])</f>
        <v>0</v>
      </c>
      <c r="CG277" s="139" t="n">
        <f aca="false">+DATOS_[[#This Row],[TOTAL SALARIO Ef]]+DATOS_[[#This Row],[Tot Extrasalarial Ef]]</f>
        <v>0</v>
      </c>
      <c r="CH277" s="140" t="n">
        <f aca="false">MIN(IF(DATOS_[[#This Row],[Fecha Fin Contrato]]="",$D$4,DATOS_[[#This Row],[Fecha Fin Contrato]]),$D$4)-MAX(DATOS_[[#This Row],[Fecha de Contratación]],$D$3)+1</f>
        <v>1</v>
      </c>
      <c r="CI277" s="141" t="str">
        <f aca="false">IF(COUNTIFS(DATOS_[id],DATOS_[[#This Row],[id]])&gt;1,DATOS_[[#This Row],[id]],"")</f>
        <v/>
      </c>
      <c r="CJ277" s="141" t="n">
        <f aca="false">(Inicio!$G$10-DATOS_[[#This Row],[Fecha Nacimiento]])/365.25</f>
        <v>0</v>
      </c>
      <c r="CK277" s="141" t="n">
        <f aca="false">(Inicio!$G$10-DATOS_[[#This Row],[Fecha de Antigüedad]])/365.25</f>
        <v>0</v>
      </c>
      <c r="CL277" s="141" t="e">
        <f aca="false">+VLOOKUP(DATOS_[[#This Row],[Clave de Contrato]],TblTiposContrato13[],3,0)</f>
        <v>#N/A</v>
      </c>
      <c r="CM277" s="141" t="e">
        <f aca="false">+VLOOKUP(DATOS_[[#This Row],[Clave de Contrato]],TblTiposContrato13[],4,0)</f>
        <v>#N/A</v>
      </c>
      <c r="CN277" s="141" t="str">
        <f aca="false">VLOOKUP(DATOS_[[#This Row],[Edad]],CONTRATOS!TblRngEdad,2,1)</f>
        <v>20  o menos</v>
      </c>
      <c r="CO277" s="141" t="str">
        <f aca="false">VLOOKUP(DATOS_[[#This Row],[Antigüedad]],TblRngAntg14[],2,1)</f>
        <v>0 a 1 años</v>
      </c>
    </row>
    <row r="278" customFormat="false" ht="13.8" hidden="false" customHeight="false" outlineLevel="0" collapsed="false">
      <c r="D278" s="128"/>
      <c r="E278" s="129"/>
      <c r="F278" s="129"/>
      <c r="G278" s="129"/>
      <c r="H278" s="130"/>
      <c r="I278" s="131"/>
      <c r="J278" s="128"/>
      <c r="K278" s="132"/>
      <c r="L278" s="132"/>
      <c r="M278" s="133"/>
      <c r="N278" s="133"/>
      <c r="O278" s="133"/>
      <c r="P278" s="129"/>
      <c r="Z278" s="75"/>
      <c r="AA278" s="76"/>
      <c r="AB278" s="76"/>
      <c r="AC278" s="129"/>
      <c r="AD278" s="134"/>
      <c r="AE278" s="134"/>
      <c r="AF278" s="134"/>
      <c r="AG278" s="134"/>
      <c r="AH278" s="134"/>
      <c r="AI278" s="134"/>
      <c r="AJ278" s="134"/>
      <c r="AK278" s="134"/>
      <c r="AL278" s="134"/>
      <c r="AM278" s="134"/>
      <c r="AN278" s="134"/>
      <c r="AO278" s="134"/>
      <c r="AP278" s="134"/>
      <c r="AQ278" s="134"/>
      <c r="AR278" s="134"/>
      <c r="AS278" s="134"/>
      <c r="AT278" s="134"/>
      <c r="AU278" s="134"/>
      <c r="AV278" s="134"/>
      <c r="AW278" s="134"/>
      <c r="AX278" s="134"/>
      <c r="AY278" s="134"/>
      <c r="AZ278" s="134"/>
      <c r="BA278" s="134"/>
      <c r="BB278" s="134"/>
      <c r="BC278" s="134"/>
      <c r="BD278" s="134"/>
      <c r="BE278" s="134"/>
      <c r="BF278" s="134"/>
      <c r="BG278" s="134"/>
      <c r="BH278" s="134"/>
      <c r="BI278" s="134"/>
      <c r="BJ278" s="134"/>
      <c r="BK278" s="134"/>
      <c r="BL278" s="134"/>
      <c r="BM278" s="135"/>
      <c r="BN278" s="136" t="n">
        <f aca="false">+MAX($D$3,DATOS_[[#This Row],[Fecha Inicio Sit. Contract.]])</f>
        <v>0</v>
      </c>
      <c r="BO278" s="136" t="n">
        <f aca="false">+MIN($D$4,DATOS_[[#This Row],[Fecha Fin Sit. Contract.]])</f>
        <v>0</v>
      </c>
      <c r="BP278" s="137" t="n">
        <f aca="false">+DATOS_[[#This Row],[% de jornada]]*IF(DATOS_[[#This Row],[% jornada reducida]]="",1,DATOS_[[#This Row],[% jornada reducida]])</f>
        <v>0</v>
      </c>
      <c r="BQ278" s="137" t="n">
        <f aca="false">+(DATOS_[[#This Row],[F.fin.cal]]-DATOS_[[#This Row],[F.ini.cal]]+1)/($D$4-$D$3+1)</f>
        <v>1</v>
      </c>
      <c r="BR278" s="137" t="str">
        <f aca="false">IF(OR(AND(DATOS_[[#This Row],[Fecha Fin Contrato]]&lt;$D$3,DATOS_[[#This Row],[Fecha Fin Contrato]]&lt;&gt;""),DATOS_[[#This Row],[Fecha de Contratación]]&gt;$D$4),"Fuera","Dentro")</f>
        <v>Dentro</v>
      </c>
      <c r="BS278" s="137" t="str">
        <f aca="false" t="array" ref="BS278:BS278">IF(MAX(IF(DATOS_[id]=DATOS_[[#This Row],[id]],DATOS_[F.fin.cal]))=DATOS_[[#This Row],[F.fin.cal]],"Sí","NO")</f>
        <v>Sí</v>
      </c>
      <c r="BT278" s="137" t="str">
        <f aca="false">IF(AND(DATOS_[[#This Row],[% normaliz]]&lt;&gt;1,DATOS_[[#This Row],[% anualiz]]=1),"Sí","NO")</f>
        <v>Sí</v>
      </c>
      <c r="BU278" s="137" t="str">
        <f aca="false">IF(AND(DATOS_[[#This Row],[% normaliz]]=1,DATOS_[[#This Row],[% anualiz]]&lt;&gt;1),"Sí","NO")</f>
        <v>NO</v>
      </c>
      <c r="BV278" s="137" t="str">
        <f aca="false">IF(AND(DATOS_[[#This Row],[% normaliz]]&lt;&gt;1,DATOS_[[#This Row],[% anualiz]]&lt;&gt;1),"Sí","NO")</f>
        <v>NO</v>
      </c>
      <c r="BW278" s="137" t="str">
        <f aca="false">+IF(DATOS_[[#This Row],[% normaliz]]*DATOS_[[#This Row],[% anualiz]]=1,"NO","Sí")</f>
        <v>Sí</v>
      </c>
      <c r="BX278" s="138" t="e">
        <f aca="false">(DATOS_[[#This Row],[S.BASE]]*(1/DATOS_[[#This Row],[% normaliz]])*(1/DATOS_[[#This Row],[% anualiz]]))*IF(DATOS_[[#This Row],[Check Equiparado]]="Sí",1,0)</f>
        <v>#DIV/0!</v>
      </c>
      <c r="BY2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8" s="138" t="e">
        <f aca="false">+DATOS_[[#This Row],[SALARIO BASE Eq]]+DATOS_[[#This Row],[Tot COMPL.SAL Eq]]</f>
        <v>#DIV/0!</v>
      </c>
      <c r="CA278" s="138" t="e">
        <f aca="false" t="array" ref="CA278:CA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8" s="138" t="e">
        <f aca="false">+DATOS_[[#This Row],[TOTAL SALARIO Eq]]+DATOS_[[#This Row],[Tot Extrasalarial Eq]]</f>
        <v>#DIV/0!</v>
      </c>
      <c r="CC278" s="139" t="n">
        <f aca="false">DATOS_[[#This Row],[S.BASE]]</f>
        <v>0</v>
      </c>
      <c r="CD278" s="139" t="n">
        <f aca="false">+SUM(DATOS_[[#This Row],[Conc.Sal.01]:[Conc.Sal.30]])</f>
        <v>0</v>
      </c>
      <c r="CE278" s="139" t="n">
        <f aca="false">+DATOS_[[#This Row],[SALARIO BASE Ef]]+DATOS_[[#This Row],[Tot COMPL.SAL Ef]]</f>
        <v>0</v>
      </c>
      <c r="CF278" s="139" t="n">
        <f aca="false">+SUM(DATOS_[[#This Row],[C.Extra.01]:[C.Extra.05]])</f>
        <v>0</v>
      </c>
      <c r="CG278" s="139" t="n">
        <f aca="false">+DATOS_[[#This Row],[TOTAL SALARIO Ef]]+DATOS_[[#This Row],[Tot Extrasalarial Ef]]</f>
        <v>0</v>
      </c>
      <c r="CH278" s="140" t="n">
        <f aca="false">MIN(IF(DATOS_[[#This Row],[Fecha Fin Contrato]]="",$D$4,DATOS_[[#This Row],[Fecha Fin Contrato]]),$D$4)-MAX(DATOS_[[#This Row],[Fecha de Contratación]],$D$3)+1</f>
        <v>1</v>
      </c>
      <c r="CI278" s="141" t="str">
        <f aca="false">IF(COUNTIFS(DATOS_[id],DATOS_[[#This Row],[id]])&gt;1,DATOS_[[#This Row],[id]],"")</f>
        <v/>
      </c>
      <c r="CJ278" s="141" t="n">
        <f aca="false">(Inicio!$G$10-DATOS_[[#This Row],[Fecha Nacimiento]])/365.25</f>
        <v>0</v>
      </c>
      <c r="CK278" s="141" t="n">
        <f aca="false">(Inicio!$G$10-DATOS_[[#This Row],[Fecha de Antigüedad]])/365.25</f>
        <v>0</v>
      </c>
      <c r="CL278" s="141" t="e">
        <f aca="false">+VLOOKUP(DATOS_[[#This Row],[Clave de Contrato]],TblTiposContrato13[],3,0)</f>
        <v>#N/A</v>
      </c>
      <c r="CM278" s="141" t="e">
        <f aca="false">+VLOOKUP(DATOS_[[#This Row],[Clave de Contrato]],TblTiposContrato13[],4,0)</f>
        <v>#N/A</v>
      </c>
      <c r="CN278" s="141" t="str">
        <f aca="false">VLOOKUP(DATOS_[[#This Row],[Edad]],CONTRATOS!TblRngEdad,2,1)</f>
        <v>20  o menos</v>
      </c>
      <c r="CO278" s="141" t="str">
        <f aca="false">VLOOKUP(DATOS_[[#This Row],[Antigüedad]],TblRngAntg14[],2,1)</f>
        <v>0 a 1 años</v>
      </c>
    </row>
    <row r="279" customFormat="false" ht="13.8" hidden="false" customHeight="false" outlineLevel="0" collapsed="false">
      <c r="D279" s="128"/>
      <c r="E279" s="129"/>
      <c r="F279" s="129"/>
      <c r="G279" s="129"/>
      <c r="H279" s="130"/>
      <c r="I279" s="131"/>
      <c r="J279" s="128"/>
      <c r="K279" s="132"/>
      <c r="L279" s="132"/>
      <c r="M279" s="133"/>
      <c r="N279" s="133"/>
      <c r="O279" s="133"/>
      <c r="P279" s="129"/>
      <c r="Z279" s="75"/>
      <c r="AA279" s="76"/>
      <c r="AB279" s="76"/>
      <c r="AC279" s="129"/>
      <c r="AD279" s="134"/>
      <c r="AE279" s="134"/>
      <c r="AF279" s="134"/>
      <c r="AG279" s="134"/>
      <c r="AH279" s="134"/>
      <c r="AI279" s="134"/>
      <c r="AJ279" s="134"/>
      <c r="AK279" s="134"/>
      <c r="AL279" s="134"/>
      <c r="AM279" s="134"/>
      <c r="AN279" s="134"/>
      <c r="AO279" s="134"/>
      <c r="AP279" s="134"/>
      <c r="AQ279" s="134"/>
      <c r="AR279" s="134"/>
      <c r="AS279" s="134"/>
      <c r="AT279" s="134"/>
      <c r="AU279" s="134"/>
      <c r="AV279" s="134"/>
      <c r="AW279" s="134"/>
      <c r="AX279" s="134"/>
      <c r="AY279" s="134"/>
      <c r="AZ279" s="134"/>
      <c r="BA279" s="134"/>
      <c r="BB279" s="134"/>
      <c r="BC279" s="134"/>
      <c r="BD279" s="134"/>
      <c r="BE279" s="134"/>
      <c r="BF279" s="134"/>
      <c r="BG279" s="134"/>
      <c r="BH279" s="134"/>
      <c r="BI279" s="134"/>
      <c r="BJ279" s="134"/>
      <c r="BK279" s="134"/>
      <c r="BL279" s="134"/>
      <c r="BM279" s="135"/>
      <c r="BN279" s="136" t="n">
        <f aca="false">+MAX($D$3,DATOS_[[#This Row],[Fecha Inicio Sit. Contract.]])</f>
        <v>0</v>
      </c>
      <c r="BO279" s="136" t="n">
        <f aca="false">+MIN($D$4,DATOS_[[#This Row],[Fecha Fin Sit. Contract.]])</f>
        <v>0</v>
      </c>
      <c r="BP279" s="137" t="n">
        <f aca="false">+DATOS_[[#This Row],[% de jornada]]*IF(DATOS_[[#This Row],[% jornada reducida]]="",1,DATOS_[[#This Row],[% jornada reducida]])</f>
        <v>0</v>
      </c>
      <c r="BQ279" s="137" t="n">
        <f aca="false">+(DATOS_[[#This Row],[F.fin.cal]]-DATOS_[[#This Row],[F.ini.cal]]+1)/($D$4-$D$3+1)</f>
        <v>1</v>
      </c>
      <c r="BR279" s="137" t="str">
        <f aca="false">IF(OR(AND(DATOS_[[#This Row],[Fecha Fin Contrato]]&lt;$D$3,DATOS_[[#This Row],[Fecha Fin Contrato]]&lt;&gt;""),DATOS_[[#This Row],[Fecha de Contratación]]&gt;$D$4),"Fuera","Dentro")</f>
        <v>Dentro</v>
      </c>
      <c r="BS279" s="137" t="str">
        <f aca="false" t="array" ref="BS279:BS279">IF(MAX(IF(DATOS_[id]=DATOS_[[#This Row],[id]],DATOS_[F.fin.cal]))=DATOS_[[#This Row],[F.fin.cal]],"Sí","NO")</f>
        <v>Sí</v>
      </c>
      <c r="BT279" s="137" t="str">
        <f aca="false">IF(AND(DATOS_[[#This Row],[% normaliz]]&lt;&gt;1,DATOS_[[#This Row],[% anualiz]]=1),"Sí","NO")</f>
        <v>Sí</v>
      </c>
      <c r="BU279" s="137" t="str">
        <f aca="false">IF(AND(DATOS_[[#This Row],[% normaliz]]=1,DATOS_[[#This Row],[% anualiz]]&lt;&gt;1),"Sí","NO")</f>
        <v>NO</v>
      </c>
      <c r="BV279" s="137" t="str">
        <f aca="false">IF(AND(DATOS_[[#This Row],[% normaliz]]&lt;&gt;1,DATOS_[[#This Row],[% anualiz]]&lt;&gt;1),"Sí","NO")</f>
        <v>NO</v>
      </c>
      <c r="BW279" s="137" t="str">
        <f aca="false">+IF(DATOS_[[#This Row],[% normaliz]]*DATOS_[[#This Row],[% anualiz]]=1,"NO","Sí")</f>
        <v>Sí</v>
      </c>
      <c r="BX279" s="138" t="e">
        <f aca="false">(DATOS_[[#This Row],[S.BASE]]*(1/DATOS_[[#This Row],[% normaliz]])*(1/DATOS_[[#This Row],[% anualiz]]))*IF(DATOS_[[#This Row],[Check Equiparado]]="Sí",1,0)</f>
        <v>#DIV/0!</v>
      </c>
      <c r="BY2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9" s="138" t="e">
        <f aca="false">+DATOS_[[#This Row],[SALARIO BASE Eq]]+DATOS_[[#This Row],[Tot COMPL.SAL Eq]]</f>
        <v>#DIV/0!</v>
      </c>
      <c r="CA279" s="138" t="e">
        <f aca="false" t="array" ref="CA279:CA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9" s="138" t="e">
        <f aca="false">+DATOS_[[#This Row],[TOTAL SALARIO Eq]]+DATOS_[[#This Row],[Tot Extrasalarial Eq]]</f>
        <v>#DIV/0!</v>
      </c>
      <c r="CC279" s="139" t="n">
        <f aca="false">DATOS_[[#This Row],[S.BASE]]</f>
        <v>0</v>
      </c>
      <c r="CD279" s="139" t="n">
        <f aca="false">+SUM(DATOS_[[#This Row],[Conc.Sal.01]:[Conc.Sal.30]])</f>
        <v>0</v>
      </c>
      <c r="CE279" s="139" t="n">
        <f aca="false">+DATOS_[[#This Row],[SALARIO BASE Ef]]+DATOS_[[#This Row],[Tot COMPL.SAL Ef]]</f>
        <v>0</v>
      </c>
      <c r="CF279" s="139" t="n">
        <f aca="false">+SUM(DATOS_[[#This Row],[C.Extra.01]:[C.Extra.05]])</f>
        <v>0</v>
      </c>
      <c r="CG279" s="139" t="n">
        <f aca="false">+DATOS_[[#This Row],[TOTAL SALARIO Ef]]+DATOS_[[#This Row],[Tot Extrasalarial Ef]]</f>
        <v>0</v>
      </c>
      <c r="CH279" s="140" t="n">
        <f aca="false">MIN(IF(DATOS_[[#This Row],[Fecha Fin Contrato]]="",$D$4,DATOS_[[#This Row],[Fecha Fin Contrato]]),$D$4)-MAX(DATOS_[[#This Row],[Fecha de Contratación]],$D$3)+1</f>
        <v>1</v>
      </c>
      <c r="CI279" s="141" t="str">
        <f aca="false">IF(COUNTIFS(DATOS_[id],DATOS_[[#This Row],[id]])&gt;1,DATOS_[[#This Row],[id]],"")</f>
        <v/>
      </c>
      <c r="CJ279" s="141" t="n">
        <f aca="false">(Inicio!$G$10-DATOS_[[#This Row],[Fecha Nacimiento]])/365.25</f>
        <v>0</v>
      </c>
      <c r="CK279" s="141" t="n">
        <f aca="false">(Inicio!$G$10-DATOS_[[#This Row],[Fecha de Antigüedad]])/365.25</f>
        <v>0</v>
      </c>
      <c r="CL279" s="141" t="e">
        <f aca="false">+VLOOKUP(DATOS_[[#This Row],[Clave de Contrato]],TblTiposContrato13[],3,0)</f>
        <v>#N/A</v>
      </c>
      <c r="CM279" s="141" t="e">
        <f aca="false">+VLOOKUP(DATOS_[[#This Row],[Clave de Contrato]],TblTiposContrato13[],4,0)</f>
        <v>#N/A</v>
      </c>
      <c r="CN279" s="141" t="str">
        <f aca="false">VLOOKUP(DATOS_[[#This Row],[Edad]],CONTRATOS!TblRngEdad,2,1)</f>
        <v>20  o menos</v>
      </c>
      <c r="CO279" s="141" t="str">
        <f aca="false">VLOOKUP(DATOS_[[#This Row],[Antigüedad]],TblRngAntg14[],2,1)</f>
        <v>0 a 1 años</v>
      </c>
    </row>
    <row r="280" customFormat="false" ht="13.8" hidden="false" customHeight="false" outlineLevel="0" collapsed="false">
      <c r="D280" s="128"/>
      <c r="E280" s="129"/>
      <c r="F280" s="129"/>
      <c r="G280" s="129"/>
      <c r="H280" s="130"/>
      <c r="I280" s="131"/>
      <c r="J280" s="128"/>
      <c r="K280" s="132"/>
      <c r="L280" s="132"/>
      <c r="M280" s="133"/>
      <c r="N280" s="133"/>
      <c r="O280" s="133"/>
      <c r="P280" s="129"/>
      <c r="Z280" s="75"/>
      <c r="AA280" s="76"/>
      <c r="AB280" s="76"/>
      <c r="AC280" s="129"/>
      <c r="AD280" s="134"/>
      <c r="AE280" s="134"/>
      <c r="AF280" s="134"/>
      <c r="AG280" s="134"/>
      <c r="AH280" s="134"/>
      <c r="AI280" s="134"/>
      <c r="AJ280" s="134"/>
      <c r="AK280" s="134"/>
      <c r="AL280" s="134"/>
      <c r="AM280" s="134"/>
      <c r="AN280" s="134"/>
      <c r="AO280" s="134"/>
      <c r="AP280" s="134"/>
      <c r="AQ280" s="134"/>
      <c r="AR280" s="134"/>
      <c r="AS280" s="134"/>
      <c r="AT280" s="134"/>
      <c r="AU280" s="134"/>
      <c r="AV280" s="134"/>
      <c r="AW280" s="134"/>
      <c r="AX280" s="134"/>
      <c r="AY280" s="134"/>
      <c r="AZ280" s="134"/>
      <c r="BA280" s="134"/>
      <c r="BB280" s="134"/>
      <c r="BC280" s="134"/>
      <c r="BD280" s="134"/>
      <c r="BE280" s="134"/>
      <c r="BF280" s="134"/>
      <c r="BG280" s="134"/>
      <c r="BH280" s="134"/>
      <c r="BI280" s="134"/>
      <c r="BJ280" s="134"/>
      <c r="BK280" s="134"/>
      <c r="BL280" s="134"/>
      <c r="BM280" s="135"/>
      <c r="BN280" s="136" t="n">
        <f aca="false">+MAX($D$3,DATOS_[[#This Row],[Fecha Inicio Sit. Contract.]])</f>
        <v>0</v>
      </c>
      <c r="BO280" s="136" t="n">
        <f aca="false">+MIN($D$4,DATOS_[[#This Row],[Fecha Fin Sit. Contract.]])</f>
        <v>0</v>
      </c>
      <c r="BP280" s="137" t="n">
        <f aca="false">+DATOS_[[#This Row],[% de jornada]]*IF(DATOS_[[#This Row],[% jornada reducida]]="",1,DATOS_[[#This Row],[% jornada reducida]])</f>
        <v>0</v>
      </c>
      <c r="BQ280" s="137" t="n">
        <f aca="false">+(DATOS_[[#This Row],[F.fin.cal]]-DATOS_[[#This Row],[F.ini.cal]]+1)/($D$4-$D$3+1)</f>
        <v>1</v>
      </c>
      <c r="BR280" s="137" t="str">
        <f aca="false">IF(OR(AND(DATOS_[[#This Row],[Fecha Fin Contrato]]&lt;$D$3,DATOS_[[#This Row],[Fecha Fin Contrato]]&lt;&gt;""),DATOS_[[#This Row],[Fecha de Contratación]]&gt;$D$4),"Fuera","Dentro")</f>
        <v>Dentro</v>
      </c>
      <c r="BS280" s="137" t="str">
        <f aca="false" t="array" ref="BS280:BS280">IF(MAX(IF(DATOS_[id]=DATOS_[[#This Row],[id]],DATOS_[F.fin.cal]))=DATOS_[[#This Row],[F.fin.cal]],"Sí","NO")</f>
        <v>Sí</v>
      </c>
      <c r="BT280" s="137" t="str">
        <f aca="false">IF(AND(DATOS_[[#This Row],[% normaliz]]&lt;&gt;1,DATOS_[[#This Row],[% anualiz]]=1),"Sí","NO")</f>
        <v>Sí</v>
      </c>
      <c r="BU280" s="137" t="str">
        <f aca="false">IF(AND(DATOS_[[#This Row],[% normaliz]]=1,DATOS_[[#This Row],[% anualiz]]&lt;&gt;1),"Sí","NO")</f>
        <v>NO</v>
      </c>
      <c r="BV280" s="137" t="str">
        <f aca="false">IF(AND(DATOS_[[#This Row],[% normaliz]]&lt;&gt;1,DATOS_[[#This Row],[% anualiz]]&lt;&gt;1),"Sí","NO")</f>
        <v>NO</v>
      </c>
      <c r="BW280" s="137" t="str">
        <f aca="false">+IF(DATOS_[[#This Row],[% normaliz]]*DATOS_[[#This Row],[% anualiz]]=1,"NO","Sí")</f>
        <v>Sí</v>
      </c>
      <c r="BX280" s="138" t="e">
        <f aca="false">(DATOS_[[#This Row],[S.BASE]]*(1/DATOS_[[#This Row],[% normaliz]])*(1/DATOS_[[#This Row],[% anualiz]]))*IF(DATOS_[[#This Row],[Check Equiparado]]="Sí",1,0)</f>
        <v>#DIV/0!</v>
      </c>
      <c r="BY2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0" s="138" t="e">
        <f aca="false">+DATOS_[[#This Row],[SALARIO BASE Eq]]+DATOS_[[#This Row],[Tot COMPL.SAL Eq]]</f>
        <v>#DIV/0!</v>
      </c>
      <c r="CA280" s="138" t="e">
        <f aca="false" t="array" ref="CA280:CA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0" s="138" t="e">
        <f aca="false">+DATOS_[[#This Row],[TOTAL SALARIO Eq]]+DATOS_[[#This Row],[Tot Extrasalarial Eq]]</f>
        <v>#DIV/0!</v>
      </c>
      <c r="CC280" s="139" t="n">
        <f aca="false">DATOS_[[#This Row],[S.BASE]]</f>
        <v>0</v>
      </c>
      <c r="CD280" s="139" t="n">
        <f aca="false">+SUM(DATOS_[[#This Row],[Conc.Sal.01]:[Conc.Sal.30]])</f>
        <v>0</v>
      </c>
      <c r="CE280" s="139" t="n">
        <f aca="false">+DATOS_[[#This Row],[SALARIO BASE Ef]]+DATOS_[[#This Row],[Tot COMPL.SAL Ef]]</f>
        <v>0</v>
      </c>
      <c r="CF280" s="139" t="n">
        <f aca="false">+SUM(DATOS_[[#This Row],[C.Extra.01]:[C.Extra.05]])</f>
        <v>0</v>
      </c>
      <c r="CG280" s="139" t="n">
        <f aca="false">+DATOS_[[#This Row],[TOTAL SALARIO Ef]]+DATOS_[[#This Row],[Tot Extrasalarial Ef]]</f>
        <v>0</v>
      </c>
      <c r="CH280" s="140" t="n">
        <f aca="false">MIN(IF(DATOS_[[#This Row],[Fecha Fin Contrato]]="",$D$4,DATOS_[[#This Row],[Fecha Fin Contrato]]),$D$4)-MAX(DATOS_[[#This Row],[Fecha de Contratación]],$D$3)+1</f>
        <v>1</v>
      </c>
      <c r="CI280" s="141" t="str">
        <f aca="false">IF(COUNTIFS(DATOS_[id],DATOS_[[#This Row],[id]])&gt;1,DATOS_[[#This Row],[id]],"")</f>
        <v/>
      </c>
      <c r="CJ280" s="141" t="n">
        <f aca="false">(Inicio!$G$10-DATOS_[[#This Row],[Fecha Nacimiento]])/365.25</f>
        <v>0</v>
      </c>
      <c r="CK280" s="141" t="n">
        <f aca="false">(Inicio!$G$10-DATOS_[[#This Row],[Fecha de Antigüedad]])/365.25</f>
        <v>0</v>
      </c>
      <c r="CL280" s="141" t="e">
        <f aca="false">+VLOOKUP(DATOS_[[#This Row],[Clave de Contrato]],TblTiposContrato13[],3,0)</f>
        <v>#N/A</v>
      </c>
      <c r="CM280" s="141" t="e">
        <f aca="false">+VLOOKUP(DATOS_[[#This Row],[Clave de Contrato]],TblTiposContrato13[],4,0)</f>
        <v>#N/A</v>
      </c>
      <c r="CN280" s="141" t="str">
        <f aca="false">VLOOKUP(DATOS_[[#This Row],[Edad]],CONTRATOS!TblRngEdad,2,1)</f>
        <v>20  o menos</v>
      </c>
      <c r="CO280" s="141" t="str">
        <f aca="false">VLOOKUP(DATOS_[[#This Row],[Antigüedad]],TblRngAntg14[],2,1)</f>
        <v>0 a 1 años</v>
      </c>
    </row>
    <row r="281" customFormat="false" ht="13.8" hidden="false" customHeight="false" outlineLevel="0" collapsed="false">
      <c r="D281" s="128"/>
      <c r="E281" s="129"/>
      <c r="F281" s="129"/>
      <c r="G281" s="129"/>
      <c r="H281" s="130"/>
      <c r="I281" s="131"/>
      <c r="J281" s="128"/>
      <c r="K281" s="132"/>
      <c r="L281" s="132"/>
      <c r="M281" s="133"/>
      <c r="N281" s="133"/>
      <c r="O281" s="133"/>
      <c r="P281" s="129"/>
      <c r="Z281" s="75"/>
      <c r="AA281" s="76"/>
      <c r="AB281" s="76"/>
      <c r="AC281" s="129"/>
      <c r="AD281" s="134"/>
      <c r="AE281" s="134"/>
      <c r="AF281" s="134"/>
      <c r="AG281" s="134"/>
      <c r="AH281" s="134"/>
      <c r="AI281" s="134"/>
      <c r="AJ281" s="134"/>
      <c r="AK281" s="134"/>
      <c r="AL281" s="134"/>
      <c r="AM281" s="134"/>
      <c r="AN281" s="134"/>
      <c r="AO281" s="134"/>
      <c r="AP281" s="134"/>
      <c r="AQ281" s="134"/>
      <c r="AR281" s="134"/>
      <c r="AS281" s="134"/>
      <c r="AT281" s="134"/>
      <c r="AU281" s="134"/>
      <c r="AV281" s="134"/>
      <c r="AW281" s="134"/>
      <c r="AX281" s="134"/>
      <c r="AY281" s="134"/>
      <c r="AZ281" s="134"/>
      <c r="BA281" s="134"/>
      <c r="BB281" s="134"/>
      <c r="BC281" s="134"/>
      <c r="BD281" s="134"/>
      <c r="BE281" s="134"/>
      <c r="BF281" s="134"/>
      <c r="BG281" s="134"/>
      <c r="BH281" s="134"/>
      <c r="BI281" s="134"/>
      <c r="BJ281" s="134"/>
      <c r="BK281" s="134"/>
      <c r="BL281" s="134"/>
      <c r="BM281" s="135"/>
      <c r="BN281" s="136" t="n">
        <f aca="false">+MAX($D$3,DATOS_[[#This Row],[Fecha Inicio Sit. Contract.]])</f>
        <v>0</v>
      </c>
      <c r="BO281" s="136" t="n">
        <f aca="false">+MIN($D$4,DATOS_[[#This Row],[Fecha Fin Sit. Contract.]])</f>
        <v>0</v>
      </c>
      <c r="BP281" s="137" t="n">
        <f aca="false">+DATOS_[[#This Row],[% de jornada]]*IF(DATOS_[[#This Row],[% jornada reducida]]="",1,DATOS_[[#This Row],[% jornada reducida]])</f>
        <v>0</v>
      </c>
      <c r="BQ281" s="137" t="n">
        <f aca="false">+(DATOS_[[#This Row],[F.fin.cal]]-DATOS_[[#This Row],[F.ini.cal]]+1)/($D$4-$D$3+1)</f>
        <v>1</v>
      </c>
      <c r="BR281" s="137" t="str">
        <f aca="false">IF(OR(AND(DATOS_[[#This Row],[Fecha Fin Contrato]]&lt;$D$3,DATOS_[[#This Row],[Fecha Fin Contrato]]&lt;&gt;""),DATOS_[[#This Row],[Fecha de Contratación]]&gt;$D$4),"Fuera","Dentro")</f>
        <v>Dentro</v>
      </c>
      <c r="BS281" s="137" t="str">
        <f aca="false" t="array" ref="BS281:BS281">IF(MAX(IF(DATOS_[id]=DATOS_[[#This Row],[id]],DATOS_[F.fin.cal]))=DATOS_[[#This Row],[F.fin.cal]],"Sí","NO")</f>
        <v>Sí</v>
      </c>
      <c r="BT281" s="137" t="str">
        <f aca="false">IF(AND(DATOS_[[#This Row],[% normaliz]]&lt;&gt;1,DATOS_[[#This Row],[% anualiz]]=1),"Sí","NO")</f>
        <v>Sí</v>
      </c>
      <c r="BU281" s="137" t="str">
        <f aca="false">IF(AND(DATOS_[[#This Row],[% normaliz]]=1,DATOS_[[#This Row],[% anualiz]]&lt;&gt;1),"Sí","NO")</f>
        <v>NO</v>
      </c>
      <c r="BV281" s="137" t="str">
        <f aca="false">IF(AND(DATOS_[[#This Row],[% normaliz]]&lt;&gt;1,DATOS_[[#This Row],[% anualiz]]&lt;&gt;1),"Sí","NO")</f>
        <v>NO</v>
      </c>
      <c r="BW281" s="137" t="str">
        <f aca="false">+IF(DATOS_[[#This Row],[% normaliz]]*DATOS_[[#This Row],[% anualiz]]=1,"NO","Sí")</f>
        <v>Sí</v>
      </c>
      <c r="BX281" s="138" t="e">
        <f aca="false">(DATOS_[[#This Row],[S.BASE]]*(1/DATOS_[[#This Row],[% normaliz]])*(1/DATOS_[[#This Row],[% anualiz]]))*IF(DATOS_[[#This Row],[Check Equiparado]]="Sí",1,0)</f>
        <v>#DIV/0!</v>
      </c>
      <c r="BY2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1" s="138" t="e">
        <f aca="false">+DATOS_[[#This Row],[SALARIO BASE Eq]]+DATOS_[[#This Row],[Tot COMPL.SAL Eq]]</f>
        <v>#DIV/0!</v>
      </c>
      <c r="CA281" s="138" t="e">
        <f aca="false" t="array" ref="CA281:CA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1" s="138" t="e">
        <f aca="false">+DATOS_[[#This Row],[TOTAL SALARIO Eq]]+DATOS_[[#This Row],[Tot Extrasalarial Eq]]</f>
        <v>#DIV/0!</v>
      </c>
      <c r="CC281" s="139" t="n">
        <f aca="false">DATOS_[[#This Row],[S.BASE]]</f>
        <v>0</v>
      </c>
      <c r="CD281" s="139" t="n">
        <f aca="false">+SUM(DATOS_[[#This Row],[Conc.Sal.01]:[Conc.Sal.30]])</f>
        <v>0</v>
      </c>
      <c r="CE281" s="139" t="n">
        <f aca="false">+DATOS_[[#This Row],[SALARIO BASE Ef]]+DATOS_[[#This Row],[Tot COMPL.SAL Ef]]</f>
        <v>0</v>
      </c>
      <c r="CF281" s="139" t="n">
        <f aca="false">+SUM(DATOS_[[#This Row],[C.Extra.01]:[C.Extra.05]])</f>
        <v>0</v>
      </c>
      <c r="CG281" s="139" t="n">
        <f aca="false">+DATOS_[[#This Row],[TOTAL SALARIO Ef]]+DATOS_[[#This Row],[Tot Extrasalarial Ef]]</f>
        <v>0</v>
      </c>
      <c r="CH281" s="140" t="n">
        <f aca="false">MIN(IF(DATOS_[[#This Row],[Fecha Fin Contrato]]="",$D$4,DATOS_[[#This Row],[Fecha Fin Contrato]]),$D$4)-MAX(DATOS_[[#This Row],[Fecha de Contratación]],$D$3)+1</f>
        <v>1</v>
      </c>
      <c r="CI281" s="141" t="str">
        <f aca="false">IF(COUNTIFS(DATOS_[id],DATOS_[[#This Row],[id]])&gt;1,DATOS_[[#This Row],[id]],"")</f>
        <v/>
      </c>
      <c r="CJ281" s="141" t="n">
        <f aca="false">(Inicio!$G$10-DATOS_[[#This Row],[Fecha Nacimiento]])/365.25</f>
        <v>0</v>
      </c>
      <c r="CK281" s="141" t="n">
        <f aca="false">(Inicio!$G$10-DATOS_[[#This Row],[Fecha de Antigüedad]])/365.25</f>
        <v>0</v>
      </c>
      <c r="CL281" s="141" t="e">
        <f aca="false">+VLOOKUP(DATOS_[[#This Row],[Clave de Contrato]],TblTiposContrato13[],3,0)</f>
        <v>#N/A</v>
      </c>
      <c r="CM281" s="141" t="e">
        <f aca="false">+VLOOKUP(DATOS_[[#This Row],[Clave de Contrato]],TblTiposContrato13[],4,0)</f>
        <v>#N/A</v>
      </c>
      <c r="CN281" s="141" t="str">
        <f aca="false">VLOOKUP(DATOS_[[#This Row],[Edad]],CONTRATOS!TblRngEdad,2,1)</f>
        <v>20  o menos</v>
      </c>
      <c r="CO281" s="141" t="str">
        <f aca="false">VLOOKUP(DATOS_[[#This Row],[Antigüedad]],TblRngAntg14[],2,1)</f>
        <v>0 a 1 años</v>
      </c>
    </row>
    <row r="282" customFormat="false" ht="13.8" hidden="false" customHeight="false" outlineLevel="0" collapsed="false">
      <c r="D282" s="128"/>
      <c r="E282" s="129"/>
      <c r="F282" s="129"/>
      <c r="G282" s="129"/>
      <c r="H282" s="130"/>
      <c r="I282" s="131"/>
      <c r="J282" s="128"/>
      <c r="K282" s="132"/>
      <c r="L282" s="132"/>
      <c r="M282" s="133"/>
      <c r="N282" s="133"/>
      <c r="O282" s="133"/>
      <c r="P282" s="129"/>
      <c r="Z282" s="75"/>
      <c r="AA282" s="76"/>
      <c r="AB282" s="76"/>
      <c r="AC282" s="129"/>
      <c r="AD282" s="134"/>
      <c r="AE282" s="134"/>
      <c r="AF282" s="134"/>
      <c r="AG282" s="134"/>
      <c r="AH282" s="134"/>
      <c r="AI282" s="134"/>
      <c r="AJ282" s="134"/>
      <c r="AK282" s="134"/>
      <c r="AL282" s="134"/>
      <c r="AM282" s="134"/>
      <c r="AN282" s="134"/>
      <c r="AO282" s="134"/>
      <c r="AP282" s="134"/>
      <c r="AQ282" s="134"/>
      <c r="AR282" s="134"/>
      <c r="AS282" s="134"/>
      <c r="AT282" s="134"/>
      <c r="AU282" s="134"/>
      <c r="AV282" s="134"/>
      <c r="AW282" s="134"/>
      <c r="AX282" s="134"/>
      <c r="AY282" s="134"/>
      <c r="AZ282" s="134"/>
      <c r="BA282" s="134"/>
      <c r="BB282" s="134"/>
      <c r="BC282" s="134"/>
      <c r="BD282" s="134"/>
      <c r="BE282" s="134"/>
      <c r="BF282" s="134"/>
      <c r="BG282" s="134"/>
      <c r="BH282" s="134"/>
      <c r="BI282" s="134"/>
      <c r="BJ282" s="134"/>
      <c r="BK282" s="134"/>
      <c r="BL282" s="134"/>
      <c r="BM282" s="135"/>
      <c r="BN282" s="136" t="n">
        <f aca="false">+MAX($D$3,DATOS_[[#This Row],[Fecha Inicio Sit. Contract.]])</f>
        <v>0</v>
      </c>
      <c r="BO282" s="136" t="n">
        <f aca="false">+MIN($D$4,DATOS_[[#This Row],[Fecha Fin Sit. Contract.]])</f>
        <v>0</v>
      </c>
      <c r="BP282" s="137" t="n">
        <f aca="false">+DATOS_[[#This Row],[% de jornada]]*IF(DATOS_[[#This Row],[% jornada reducida]]="",1,DATOS_[[#This Row],[% jornada reducida]])</f>
        <v>0</v>
      </c>
      <c r="BQ282" s="137" t="n">
        <f aca="false">+(DATOS_[[#This Row],[F.fin.cal]]-DATOS_[[#This Row],[F.ini.cal]]+1)/($D$4-$D$3+1)</f>
        <v>1</v>
      </c>
      <c r="BR282" s="137" t="str">
        <f aca="false">IF(OR(AND(DATOS_[[#This Row],[Fecha Fin Contrato]]&lt;$D$3,DATOS_[[#This Row],[Fecha Fin Contrato]]&lt;&gt;""),DATOS_[[#This Row],[Fecha de Contratación]]&gt;$D$4),"Fuera","Dentro")</f>
        <v>Dentro</v>
      </c>
      <c r="BS282" s="137" t="str">
        <f aca="false" t="array" ref="BS282:BS282">IF(MAX(IF(DATOS_[id]=DATOS_[[#This Row],[id]],DATOS_[F.fin.cal]))=DATOS_[[#This Row],[F.fin.cal]],"Sí","NO")</f>
        <v>Sí</v>
      </c>
      <c r="BT282" s="137" t="str">
        <f aca="false">IF(AND(DATOS_[[#This Row],[% normaliz]]&lt;&gt;1,DATOS_[[#This Row],[% anualiz]]=1),"Sí","NO")</f>
        <v>Sí</v>
      </c>
      <c r="BU282" s="137" t="str">
        <f aca="false">IF(AND(DATOS_[[#This Row],[% normaliz]]=1,DATOS_[[#This Row],[% anualiz]]&lt;&gt;1),"Sí","NO")</f>
        <v>NO</v>
      </c>
      <c r="BV282" s="137" t="str">
        <f aca="false">IF(AND(DATOS_[[#This Row],[% normaliz]]&lt;&gt;1,DATOS_[[#This Row],[% anualiz]]&lt;&gt;1),"Sí","NO")</f>
        <v>NO</v>
      </c>
      <c r="BW282" s="137" t="str">
        <f aca="false">+IF(DATOS_[[#This Row],[% normaliz]]*DATOS_[[#This Row],[% anualiz]]=1,"NO","Sí")</f>
        <v>Sí</v>
      </c>
      <c r="BX282" s="138" t="e">
        <f aca="false">(DATOS_[[#This Row],[S.BASE]]*(1/DATOS_[[#This Row],[% normaliz]])*(1/DATOS_[[#This Row],[% anualiz]]))*IF(DATOS_[[#This Row],[Check Equiparado]]="Sí",1,0)</f>
        <v>#DIV/0!</v>
      </c>
      <c r="BY2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2" s="138" t="e">
        <f aca="false">+DATOS_[[#This Row],[SALARIO BASE Eq]]+DATOS_[[#This Row],[Tot COMPL.SAL Eq]]</f>
        <v>#DIV/0!</v>
      </c>
      <c r="CA282" s="138" t="e">
        <f aca="false" t="array" ref="CA282:CA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2" s="138" t="e">
        <f aca="false">+DATOS_[[#This Row],[TOTAL SALARIO Eq]]+DATOS_[[#This Row],[Tot Extrasalarial Eq]]</f>
        <v>#DIV/0!</v>
      </c>
      <c r="CC282" s="139" t="n">
        <f aca="false">DATOS_[[#This Row],[S.BASE]]</f>
        <v>0</v>
      </c>
      <c r="CD282" s="139" t="n">
        <f aca="false">+SUM(DATOS_[[#This Row],[Conc.Sal.01]:[Conc.Sal.30]])</f>
        <v>0</v>
      </c>
      <c r="CE282" s="139" t="n">
        <f aca="false">+DATOS_[[#This Row],[SALARIO BASE Ef]]+DATOS_[[#This Row],[Tot COMPL.SAL Ef]]</f>
        <v>0</v>
      </c>
      <c r="CF282" s="139" t="n">
        <f aca="false">+SUM(DATOS_[[#This Row],[C.Extra.01]:[C.Extra.05]])</f>
        <v>0</v>
      </c>
      <c r="CG282" s="139" t="n">
        <f aca="false">+DATOS_[[#This Row],[TOTAL SALARIO Ef]]+DATOS_[[#This Row],[Tot Extrasalarial Ef]]</f>
        <v>0</v>
      </c>
      <c r="CH282" s="140" t="n">
        <f aca="false">MIN(IF(DATOS_[[#This Row],[Fecha Fin Contrato]]="",$D$4,DATOS_[[#This Row],[Fecha Fin Contrato]]),$D$4)-MAX(DATOS_[[#This Row],[Fecha de Contratación]],$D$3)+1</f>
        <v>1</v>
      </c>
      <c r="CI282" s="141" t="str">
        <f aca="false">IF(COUNTIFS(DATOS_[id],DATOS_[[#This Row],[id]])&gt;1,DATOS_[[#This Row],[id]],"")</f>
        <v/>
      </c>
      <c r="CJ282" s="141" t="n">
        <f aca="false">(Inicio!$G$10-DATOS_[[#This Row],[Fecha Nacimiento]])/365.25</f>
        <v>0</v>
      </c>
      <c r="CK282" s="141" t="n">
        <f aca="false">(Inicio!$G$10-DATOS_[[#This Row],[Fecha de Antigüedad]])/365.25</f>
        <v>0</v>
      </c>
      <c r="CL282" s="141" t="e">
        <f aca="false">+VLOOKUP(DATOS_[[#This Row],[Clave de Contrato]],TblTiposContrato13[],3,0)</f>
        <v>#N/A</v>
      </c>
      <c r="CM282" s="141" t="e">
        <f aca="false">+VLOOKUP(DATOS_[[#This Row],[Clave de Contrato]],TblTiposContrato13[],4,0)</f>
        <v>#N/A</v>
      </c>
      <c r="CN282" s="141" t="str">
        <f aca="false">VLOOKUP(DATOS_[[#This Row],[Edad]],CONTRATOS!TblRngEdad,2,1)</f>
        <v>20  o menos</v>
      </c>
      <c r="CO282" s="141" t="str">
        <f aca="false">VLOOKUP(DATOS_[[#This Row],[Antigüedad]],TblRngAntg14[],2,1)</f>
        <v>0 a 1 años</v>
      </c>
    </row>
    <row r="283" customFormat="false" ht="13.8" hidden="false" customHeight="false" outlineLevel="0" collapsed="false">
      <c r="D283" s="128"/>
      <c r="E283" s="129"/>
      <c r="F283" s="129"/>
      <c r="G283" s="129"/>
      <c r="H283" s="130"/>
      <c r="I283" s="131"/>
      <c r="J283" s="128"/>
      <c r="K283" s="132"/>
      <c r="L283" s="132"/>
      <c r="M283" s="133"/>
      <c r="N283" s="133"/>
      <c r="O283" s="133"/>
      <c r="P283" s="129"/>
      <c r="Z283" s="75"/>
      <c r="AA283" s="76"/>
      <c r="AB283" s="76"/>
      <c r="AC283" s="129"/>
      <c r="AD283" s="134"/>
      <c r="AE283" s="134"/>
      <c r="AF283" s="134"/>
      <c r="AG283" s="134"/>
      <c r="AH283" s="134"/>
      <c r="AI283" s="134"/>
      <c r="AJ283" s="134"/>
      <c r="AK283" s="134"/>
      <c r="AL283" s="134"/>
      <c r="AM283" s="134"/>
      <c r="AN283" s="134"/>
      <c r="AO283" s="134"/>
      <c r="AP283" s="134"/>
      <c r="AQ283" s="134"/>
      <c r="AR283" s="134"/>
      <c r="AS283" s="134"/>
      <c r="AT283" s="134"/>
      <c r="AU283" s="134"/>
      <c r="AV283" s="134"/>
      <c r="AW283" s="134"/>
      <c r="AX283" s="134"/>
      <c r="AY283" s="134"/>
      <c r="AZ283" s="134"/>
      <c r="BA283" s="134"/>
      <c r="BB283" s="134"/>
      <c r="BC283" s="134"/>
      <c r="BD283" s="134"/>
      <c r="BE283" s="134"/>
      <c r="BF283" s="134"/>
      <c r="BG283" s="134"/>
      <c r="BH283" s="134"/>
      <c r="BI283" s="134"/>
      <c r="BJ283" s="134"/>
      <c r="BK283" s="134"/>
      <c r="BL283" s="134"/>
      <c r="BM283" s="135"/>
      <c r="BN283" s="136" t="n">
        <f aca="false">+MAX($D$3,DATOS_[[#This Row],[Fecha Inicio Sit. Contract.]])</f>
        <v>0</v>
      </c>
      <c r="BO283" s="136" t="n">
        <f aca="false">+MIN($D$4,DATOS_[[#This Row],[Fecha Fin Sit. Contract.]])</f>
        <v>0</v>
      </c>
      <c r="BP283" s="137" t="n">
        <f aca="false">+DATOS_[[#This Row],[% de jornada]]*IF(DATOS_[[#This Row],[% jornada reducida]]="",1,DATOS_[[#This Row],[% jornada reducida]])</f>
        <v>0</v>
      </c>
      <c r="BQ283" s="137" t="n">
        <f aca="false">+(DATOS_[[#This Row],[F.fin.cal]]-DATOS_[[#This Row],[F.ini.cal]]+1)/($D$4-$D$3+1)</f>
        <v>1</v>
      </c>
      <c r="BR283" s="137" t="str">
        <f aca="false">IF(OR(AND(DATOS_[[#This Row],[Fecha Fin Contrato]]&lt;$D$3,DATOS_[[#This Row],[Fecha Fin Contrato]]&lt;&gt;""),DATOS_[[#This Row],[Fecha de Contratación]]&gt;$D$4),"Fuera","Dentro")</f>
        <v>Dentro</v>
      </c>
      <c r="BS283" s="137" t="str">
        <f aca="false" t="array" ref="BS283:BS283">IF(MAX(IF(DATOS_[id]=DATOS_[[#This Row],[id]],DATOS_[F.fin.cal]))=DATOS_[[#This Row],[F.fin.cal]],"Sí","NO")</f>
        <v>Sí</v>
      </c>
      <c r="BT283" s="137" t="str">
        <f aca="false">IF(AND(DATOS_[[#This Row],[% normaliz]]&lt;&gt;1,DATOS_[[#This Row],[% anualiz]]=1),"Sí","NO")</f>
        <v>Sí</v>
      </c>
      <c r="BU283" s="137" t="str">
        <f aca="false">IF(AND(DATOS_[[#This Row],[% normaliz]]=1,DATOS_[[#This Row],[% anualiz]]&lt;&gt;1),"Sí","NO")</f>
        <v>NO</v>
      </c>
      <c r="BV283" s="137" t="str">
        <f aca="false">IF(AND(DATOS_[[#This Row],[% normaliz]]&lt;&gt;1,DATOS_[[#This Row],[% anualiz]]&lt;&gt;1),"Sí","NO")</f>
        <v>NO</v>
      </c>
      <c r="BW283" s="137" t="str">
        <f aca="false">+IF(DATOS_[[#This Row],[% normaliz]]*DATOS_[[#This Row],[% anualiz]]=1,"NO","Sí")</f>
        <v>Sí</v>
      </c>
      <c r="BX283" s="138" t="e">
        <f aca="false">(DATOS_[[#This Row],[S.BASE]]*(1/DATOS_[[#This Row],[% normaliz]])*(1/DATOS_[[#This Row],[% anualiz]]))*IF(DATOS_[[#This Row],[Check Equiparado]]="Sí",1,0)</f>
        <v>#DIV/0!</v>
      </c>
      <c r="BY2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3" s="138" t="e">
        <f aca="false">+DATOS_[[#This Row],[SALARIO BASE Eq]]+DATOS_[[#This Row],[Tot COMPL.SAL Eq]]</f>
        <v>#DIV/0!</v>
      </c>
      <c r="CA283" s="138" t="e">
        <f aca="false" t="array" ref="CA283:CA2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3" s="138" t="e">
        <f aca="false">+DATOS_[[#This Row],[TOTAL SALARIO Eq]]+DATOS_[[#This Row],[Tot Extrasalarial Eq]]</f>
        <v>#DIV/0!</v>
      </c>
      <c r="CC283" s="139" t="n">
        <f aca="false">DATOS_[[#This Row],[S.BASE]]</f>
        <v>0</v>
      </c>
      <c r="CD283" s="139" t="n">
        <f aca="false">+SUM(DATOS_[[#This Row],[Conc.Sal.01]:[Conc.Sal.30]])</f>
        <v>0</v>
      </c>
      <c r="CE283" s="139" t="n">
        <f aca="false">+DATOS_[[#This Row],[SALARIO BASE Ef]]+DATOS_[[#This Row],[Tot COMPL.SAL Ef]]</f>
        <v>0</v>
      </c>
      <c r="CF283" s="139" t="n">
        <f aca="false">+SUM(DATOS_[[#This Row],[C.Extra.01]:[C.Extra.05]])</f>
        <v>0</v>
      </c>
      <c r="CG283" s="139" t="n">
        <f aca="false">+DATOS_[[#This Row],[TOTAL SALARIO Ef]]+DATOS_[[#This Row],[Tot Extrasalarial Ef]]</f>
        <v>0</v>
      </c>
      <c r="CH283" s="140" t="n">
        <f aca="false">MIN(IF(DATOS_[[#This Row],[Fecha Fin Contrato]]="",$D$4,DATOS_[[#This Row],[Fecha Fin Contrato]]),$D$4)-MAX(DATOS_[[#This Row],[Fecha de Contratación]],$D$3)+1</f>
        <v>1</v>
      </c>
      <c r="CI283" s="141" t="str">
        <f aca="false">IF(COUNTIFS(DATOS_[id],DATOS_[[#This Row],[id]])&gt;1,DATOS_[[#This Row],[id]],"")</f>
        <v/>
      </c>
      <c r="CJ283" s="141" t="n">
        <f aca="false">(Inicio!$G$10-DATOS_[[#This Row],[Fecha Nacimiento]])/365.25</f>
        <v>0</v>
      </c>
      <c r="CK283" s="141" t="n">
        <f aca="false">(Inicio!$G$10-DATOS_[[#This Row],[Fecha de Antigüedad]])/365.25</f>
        <v>0</v>
      </c>
      <c r="CL283" s="141" t="e">
        <f aca="false">+VLOOKUP(DATOS_[[#This Row],[Clave de Contrato]],TblTiposContrato13[],3,0)</f>
        <v>#N/A</v>
      </c>
      <c r="CM283" s="141" t="e">
        <f aca="false">+VLOOKUP(DATOS_[[#This Row],[Clave de Contrato]],TblTiposContrato13[],4,0)</f>
        <v>#N/A</v>
      </c>
      <c r="CN283" s="141" t="str">
        <f aca="false">VLOOKUP(DATOS_[[#This Row],[Edad]],CONTRATOS!TblRngEdad,2,1)</f>
        <v>20  o menos</v>
      </c>
      <c r="CO283" s="141" t="str">
        <f aca="false">VLOOKUP(DATOS_[[#This Row],[Antigüedad]],TblRngAntg14[],2,1)</f>
        <v>0 a 1 años</v>
      </c>
    </row>
    <row r="284" customFormat="false" ht="13.8" hidden="false" customHeight="false" outlineLevel="0" collapsed="false">
      <c r="D284" s="128"/>
      <c r="E284" s="129"/>
      <c r="F284" s="129"/>
      <c r="G284" s="129"/>
      <c r="H284" s="130"/>
      <c r="I284" s="131"/>
      <c r="J284" s="128"/>
      <c r="K284" s="132"/>
      <c r="L284" s="132"/>
      <c r="M284" s="133"/>
      <c r="N284" s="133"/>
      <c r="O284" s="133"/>
      <c r="P284" s="129"/>
      <c r="Z284" s="75"/>
      <c r="AA284" s="76"/>
      <c r="AB284" s="76"/>
      <c r="AC284" s="129"/>
      <c r="AD284" s="134"/>
      <c r="AE284" s="134"/>
      <c r="AF284" s="134"/>
      <c r="AG284" s="134"/>
      <c r="AH284" s="134"/>
      <c r="AI284" s="134"/>
      <c r="AJ284" s="134"/>
      <c r="AK284" s="134"/>
      <c r="AL284" s="134"/>
      <c r="AM284" s="134"/>
      <c r="AN284" s="134"/>
      <c r="AO284" s="134"/>
      <c r="AP284" s="134"/>
      <c r="AQ284" s="134"/>
      <c r="AR284" s="134"/>
      <c r="AS284" s="134"/>
      <c r="AT284" s="134"/>
      <c r="AU284" s="134"/>
      <c r="AV284" s="134"/>
      <c r="AW284" s="134"/>
      <c r="AX284" s="134"/>
      <c r="AY284" s="134"/>
      <c r="AZ284" s="134"/>
      <c r="BA284" s="134"/>
      <c r="BB284" s="134"/>
      <c r="BC284" s="134"/>
      <c r="BD284" s="134"/>
      <c r="BE284" s="134"/>
      <c r="BF284" s="134"/>
      <c r="BG284" s="134"/>
      <c r="BH284" s="134"/>
      <c r="BI284" s="134"/>
      <c r="BJ284" s="134"/>
      <c r="BK284" s="134"/>
      <c r="BL284" s="134"/>
      <c r="BM284" s="135"/>
      <c r="BN284" s="136" t="n">
        <f aca="false">+MAX($D$3,DATOS_[[#This Row],[Fecha Inicio Sit. Contract.]])</f>
        <v>0</v>
      </c>
      <c r="BO284" s="136" t="n">
        <f aca="false">+MIN($D$4,DATOS_[[#This Row],[Fecha Fin Sit. Contract.]])</f>
        <v>0</v>
      </c>
      <c r="BP284" s="137" t="n">
        <f aca="false">+DATOS_[[#This Row],[% de jornada]]*IF(DATOS_[[#This Row],[% jornada reducida]]="",1,DATOS_[[#This Row],[% jornada reducida]])</f>
        <v>0</v>
      </c>
      <c r="BQ284" s="137" t="n">
        <f aca="false">+(DATOS_[[#This Row],[F.fin.cal]]-DATOS_[[#This Row],[F.ini.cal]]+1)/($D$4-$D$3+1)</f>
        <v>1</v>
      </c>
      <c r="BR284" s="137" t="str">
        <f aca="false">IF(OR(AND(DATOS_[[#This Row],[Fecha Fin Contrato]]&lt;$D$3,DATOS_[[#This Row],[Fecha Fin Contrato]]&lt;&gt;""),DATOS_[[#This Row],[Fecha de Contratación]]&gt;$D$4),"Fuera","Dentro")</f>
        <v>Dentro</v>
      </c>
      <c r="BS284" s="137" t="str">
        <f aca="false" t="array" ref="BS284:BS284">IF(MAX(IF(DATOS_[id]=DATOS_[[#This Row],[id]],DATOS_[F.fin.cal]))=DATOS_[[#This Row],[F.fin.cal]],"Sí","NO")</f>
        <v>Sí</v>
      </c>
      <c r="BT284" s="137" t="str">
        <f aca="false">IF(AND(DATOS_[[#This Row],[% normaliz]]&lt;&gt;1,DATOS_[[#This Row],[% anualiz]]=1),"Sí","NO")</f>
        <v>Sí</v>
      </c>
      <c r="BU284" s="137" t="str">
        <f aca="false">IF(AND(DATOS_[[#This Row],[% normaliz]]=1,DATOS_[[#This Row],[% anualiz]]&lt;&gt;1),"Sí","NO")</f>
        <v>NO</v>
      </c>
      <c r="BV284" s="137" t="str">
        <f aca="false">IF(AND(DATOS_[[#This Row],[% normaliz]]&lt;&gt;1,DATOS_[[#This Row],[% anualiz]]&lt;&gt;1),"Sí","NO")</f>
        <v>NO</v>
      </c>
      <c r="BW284" s="137" t="str">
        <f aca="false">+IF(DATOS_[[#This Row],[% normaliz]]*DATOS_[[#This Row],[% anualiz]]=1,"NO","Sí")</f>
        <v>Sí</v>
      </c>
      <c r="BX284" s="138" t="e">
        <f aca="false">(DATOS_[[#This Row],[S.BASE]]*(1/DATOS_[[#This Row],[% normaliz]])*(1/DATOS_[[#This Row],[% anualiz]]))*IF(DATOS_[[#This Row],[Check Equiparado]]="Sí",1,0)</f>
        <v>#DIV/0!</v>
      </c>
      <c r="BY2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4" s="138" t="e">
        <f aca="false">+DATOS_[[#This Row],[SALARIO BASE Eq]]+DATOS_[[#This Row],[Tot COMPL.SAL Eq]]</f>
        <v>#DIV/0!</v>
      </c>
      <c r="CA284" s="138" t="e">
        <f aca="false" t="array" ref="CA284:CA2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4" s="138" t="e">
        <f aca="false">+DATOS_[[#This Row],[TOTAL SALARIO Eq]]+DATOS_[[#This Row],[Tot Extrasalarial Eq]]</f>
        <v>#DIV/0!</v>
      </c>
      <c r="CC284" s="139" t="n">
        <f aca="false">DATOS_[[#This Row],[S.BASE]]</f>
        <v>0</v>
      </c>
      <c r="CD284" s="139" t="n">
        <f aca="false">+SUM(DATOS_[[#This Row],[Conc.Sal.01]:[Conc.Sal.30]])</f>
        <v>0</v>
      </c>
      <c r="CE284" s="139" t="n">
        <f aca="false">+DATOS_[[#This Row],[SALARIO BASE Ef]]+DATOS_[[#This Row],[Tot COMPL.SAL Ef]]</f>
        <v>0</v>
      </c>
      <c r="CF284" s="139" t="n">
        <f aca="false">+SUM(DATOS_[[#This Row],[C.Extra.01]:[C.Extra.05]])</f>
        <v>0</v>
      </c>
      <c r="CG284" s="139" t="n">
        <f aca="false">+DATOS_[[#This Row],[TOTAL SALARIO Ef]]+DATOS_[[#This Row],[Tot Extrasalarial Ef]]</f>
        <v>0</v>
      </c>
      <c r="CH284" s="140" t="n">
        <f aca="false">MIN(IF(DATOS_[[#This Row],[Fecha Fin Contrato]]="",$D$4,DATOS_[[#This Row],[Fecha Fin Contrato]]),$D$4)-MAX(DATOS_[[#This Row],[Fecha de Contratación]],$D$3)+1</f>
        <v>1</v>
      </c>
      <c r="CI284" s="141" t="str">
        <f aca="false">IF(COUNTIFS(DATOS_[id],DATOS_[[#This Row],[id]])&gt;1,DATOS_[[#This Row],[id]],"")</f>
        <v/>
      </c>
      <c r="CJ284" s="141" t="n">
        <f aca="false">(Inicio!$G$10-DATOS_[[#This Row],[Fecha Nacimiento]])/365.25</f>
        <v>0</v>
      </c>
      <c r="CK284" s="141" t="n">
        <f aca="false">(Inicio!$G$10-DATOS_[[#This Row],[Fecha de Antigüedad]])/365.25</f>
        <v>0</v>
      </c>
      <c r="CL284" s="141" t="e">
        <f aca="false">+VLOOKUP(DATOS_[[#This Row],[Clave de Contrato]],TblTiposContrato13[],3,0)</f>
        <v>#N/A</v>
      </c>
      <c r="CM284" s="141" t="e">
        <f aca="false">+VLOOKUP(DATOS_[[#This Row],[Clave de Contrato]],TblTiposContrato13[],4,0)</f>
        <v>#N/A</v>
      </c>
      <c r="CN284" s="141" t="str">
        <f aca="false">VLOOKUP(DATOS_[[#This Row],[Edad]],CONTRATOS!TblRngEdad,2,1)</f>
        <v>20  o menos</v>
      </c>
      <c r="CO284" s="141" t="str">
        <f aca="false">VLOOKUP(DATOS_[[#This Row],[Antigüedad]],TblRngAntg14[],2,1)</f>
        <v>0 a 1 años</v>
      </c>
    </row>
    <row r="285" customFormat="false" ht="13.8" hidden="false" customHeight="false" outlineLevel="0" collapsed="false">
      <c r="D285" s="128"/>
      <c r="E285" s="129"/>
      <c r="F285" s="129"/>
      <c r="G285" s="129"/>
      <c r="H285" s="130"/>
      <c r="I285" s="131"/>
      <c r="J285" s="128"/>
      <c r="K285" s="132"/>
      <c r="L285" s="132"/>
      <c r="M285" s="133"/>
      <c r="N285" s="133"/>
      <c r="O285" s="133"/>
      <c r="P285" s="129"/>
      <c r="Z285" s="75"/>
      <c r="AA285" s="76"/>
      <c r="AB285" s="76"/>
      <c r="AC285" s="129"/>
      <c r="AD285" s="134"/>
      <c r="AE285" s="134"/>
      <c r="AF285" s="134"/>
      <c r="AG285" s="134"/>
      <c r="AH285" s="134"/>
      <c r="AI285" s="134"/>
      <c r="AJ285" s="134"/>
      <c r="AK285" s="134"/>
      <c r="AL285" s="134"/>
      <c r="AM285" s="134"/>
      <c r="AN285" s="134"/>
      <c r="AO285" s="134"/>
      <c r="AP285" s="134"/>
      <c r="AQ285" s="134"/>
      <c r="AR285" s="134"/>
      <c r="AS285" s="134"/>
      <c r="AT285" s="134"/>
      <c r="AU285" s="134"/>
      <c r="AV285" s="134"/>
      <c r="AW285" s="134"/>
      <c r="AX285" s="134"/>
      <c r="AY285" s="134"/>
      <c r="AZ285" s="134"/>
      <c r="BA285" s="134"/>
      <c r="BB285" s="134"/>
      <c r="BC285" s="134"/>
      <c r="BD285" s="134"/>
      <c r="BE285" s="134"/>
      <c r="BF285" s="134"/>
      <c r="BG285" s="134"/>
      <c r="BH285" s="134"/>
      <c r="BI285" s="134"/>
      <c r="BJ285" s="134"/>
      <c r="BK285" s="134"/>
      <c r="BL285" s="134"/>
      <c r="BM285" s="135"/>
      <c r="BN285" s="136" t="n">
        <f aca="false">+MAX($D$3,DATOS_[[#This Row],[Fecha Inicio Sit. Contract.]])</f>
        <v>0</v>
      </c>
      <c r="BO285" s="136" t="n">
        <f aca="false">+MIN($D$4,DATOS_[[#This Row],[Fecha Fin Sit. Contract.]])</f>
        <v>0</v>
      </c>
      <c r="BP285" s="137" t="n">
        <f aca="false">+DATOS_[[#This Row],[% de jornada]]*IF(DATOS_[[#This Row],[% jornada reducida]]="",1,DATOS_[[#This Row],[% jornada reducida]])</f>
        <v>0</v>
      </c>
      <c r="BQ285" s="137" t="n">
        <f aca="false">+(DATOS_[[#This Row],[F.fin.cal]]-DATOS_[[#This Row],[F.ini.cal]]+1)/($D$4-$D$3+1)</f>
        <v>1</v>
      </c>
      <c r="BR285" s="137" t="str">
        <f aca="false">IF(OR(AND(DATOS_[[#This Row],[Fecha Fin Contrato]]&lt;$D$3,DATOS_[[#This Row],[Fecha Fin Contrato]]&lt;&gt;""),DATOS_[[#This Row],[Fecha de Contratación]]&gt;$D$4),"Fuera","Dentro")</f>
        <v>Dentro</v>
      </c>
      <c r="BS285" s="137" t="str">
        <f aca="false" t="array" ref="BS285:BS285">IF(MAX(IF(DATOS_[id]=DATOS_[[#This Row],[id]],DATOS_[F.fin.cal]))=DATOS_[[#This Row],[F.fin.cal]],"Sí","NO")</f>
        <v>Sí</v>
      </c>
      <c r="BT285" s="137" t="str">
        <f aca="false">IF(AND(DATOS_[[#This Row],[% normaliz]]&lt;&gt;1,DATOS_[[#This Row],[% anualiz]]=1),"Sí","NO")</f>
        <v>Sí</v>
      </c>
      <c r="BU285" s="137" t="str">
        <f aca="false">IF(AND(DATOS_[[#This Row],[% normaliz]]=1,DATOS_[[#This Row],[% anualiz]]&lt;&gt;1),"Sí","NO")</f>
        <v>NO</v>
      </c>
      <c r="BV285" s="137" t="str">
        <f aca="false">IF(AND(DATOS_[[#This Row],[% normaliz]]&lt;&gt;1,DATOS_[[#This Row],[% anualiz]]&lt;&gt;1),"Sí","NO")</f>
        <v>NO</v>
      </c>
      <c r="BW285" s="137" t="str">
        <f aca="false">+IF(DATOS_[[#This Row],[% normaliz]]*DATOS_[[#This Row],[% anualiz]]=1,"NO","Sí")</f>
        <v>Sí</v>
      </c>
      <c r="BX285" s="138" t="e">
        <f aca="false">(DATOS_[[#This Row],[S.BASE]]*(1/DATOS_[[#This Row],[% normaliz]])*(1/DATOS_[[#This Row],[% anualiz]]))*IF(DATOS_[[#This Row],[Check Equiparado]]="Sí",1,0)</f>
        <v>#DIV/0!</v>
      </c>
      <c r="BY2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5" s="138" t="e">
        <f aca="false">+DATOS_[[#This Row],[SALARIO BASE Eq]]+DATOS_[[#This Row],[Tot COMPL.SAL Eq]]</f>
        <v>#DIV/0!</v>
      </c>
      <c r="CA285" s="138" t="e">
        <f aca="false" t="array" ref="CA285:CA2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5" s="138" t="e">
        <f aca="false">+DATOS_[[#This Row],[TOTAL SALARIO Eq]]+DATOS_[[#This Row],[Tot Extrasalarial Eq]]</f>
        <v>#DIV/0!</v>
      </c>
      <c r="CC285" s="139" t="n">
        <f aca="false">DATOS_[[#This Row],[S.BASE]]</f>
        <v>0</v>
      </c>
      <c r="CD285" s="139" t="n">
        <f aca="false">+SUM(DATOS_[[#This Row],[Conc.Sal.01]:[Conc.Sal.30]])</f>
        <v>0</v>
      </c>
      <c r="CE285" s="139" t="n">
        <f aca="false">+DATOS_[[#This Row],[SALARIO BASE Ef]]+DATOS_[[#This Row],[Tot COMPL.SAL Ef]]</f>
        <v>0</v>
      </c>
      <c r="CF285" s="139" t="n">
        <f aca="false">+SUM(DATOS_[[#This Row],[C.Extra.01]:[C.Extra.05]])</f>
        <v>0</v>
      </c>
      <c r="CG285" s="139" t="n">
        <f aca="false">+DATOS_[[#This Row],[TOTAL SALARIO Ef]]+DATOS_[[#This Row],[Tot Extrasalarial Ef]]</f>
        <v>0</v>
      </c>
      <c r="CH285" s="140" t="n">
        <f aca="false">MIN(IF(DATOS_[[#This Row],[Fecha Fin Contrato]]="",$D$4,DATOS_[[#This Row],[Fecha Fin Contrato]]),$D$4)-MAX(DATOS_[[#This Row],[Fecha de Contratación]],$D$3)+1</f>
        <v>1</v>
      </c>
      <c r="CI285" s="141" t="str">
        <f aca="false">IF(COUNTIFS(DATOS_[id],DATOS_[[#This Row],[id]])&gt;1,DATOS_[[#This Row],[id]],"")</f>
        <v/>
      </c>
      <c r="CJ285" s="141" t="n">
        <f aca="false">(Inicio!$G$10-DATOS_[[#This Row],[Fecha Nacimiento]])/365.25</f>
        <v>0</v>
      </c>
      <c r="CK285" s="141" t="n">
        <f aca="false">(Inicio!$G$10-DATOS_[[#This Row],[Fecha de Antigüedad]])/365.25</f>
        <v>0</v>
      </c>
      <c r="CL285" s="141" t="e">
        <f aca="false">+VLOOKUP(DATOS_[[#This Row],[Clave de Contrato]],TblTiposContrato13[],3,0)</f>
        <v>#N/A</v>
      </c>
      <c r="CM285" s="141" t="e">
        <f aca="false">+VLOOKUP(DATOS_[[#This Row],[Clave de Contrato]],TblTiposContrato13[],4,0)</f>
        <v>#N/A</v>
      </c>
      <c r="CN285" s="141" t="str">
        <f aca="false">VLOOKUP(DATOS_[[#This Row],[Edad]],CONTRATOS!TblRngEdad,2,1)</f>
        <v>20  o menos</v>
      </c>
      <c r="CO285" s="141" t="str">
        <f aca="false">VLOOKUP(DATOS_[[#This Row],[Antigüedad]],TblRngAntg14[],2,1)</f>
        <v>0 a 1 años</v>
      </c>
    </row>
    <row r="286" customFormat="false" ht="13.8" hidden="false" customHeight="false" outlineLevel="0" collapsed="false">
      <c r="D286" s="128"/>
      <c r="E286" s="129"/>
      <c r="F286" s="129"/>
      <c r="G286" s="129"/>
      <c r="H286" s="130"/>
      <c r="I286" s="131"/>
      <c r="J286" s="128"/>
      <c r="K286" s="132"/>
      <c r="L286" s="132"/>
      <c r="M286" s="133"/>
      <c r="N286" s="133"/>
      <c r="O286" s="133"/>
      <c r="P286" s="129"/>
      <c r="Z286" s="75"/>
      <c r="AA286" s="76"/>
      <c r="AB286" s="76"/>
      <c r="AC286" s="129"/>
      <c r="AD286" s="134"/>
      <c r="AE286" s="134"/>
      <c r="AF286" s="134"/>
      <c r="AG286" s="134"/>
      <c r="AH286" s="134"/>
      <c r="AI286" s="134"/>
      <c r="AJ286" s="134"/>
      <c r="AK286" s="134"/>
      <c r="AL286" s="134"/>
      <c r="AM286" s="134"/>
      <c r="AN286" s="134"/>
      <c r="AO286" s="134"/>
      <c r="AP286" s="134"/>
      <c r="AQ286" s="134"/>
      <c r="AR286" s="134"/>
      <c r="AS286" s="134"/>
      <c r="AT286" s="134"/>
      <c r="AU286" s="134"/>
      <c r="AV286" s="134"/>
      <c r="AW286" s="134"/>
      <c r="AX286" s="134"/>
      <c r="AY286" s="134"/>
      <c r="AZ286" s="134"/>
      <c r="BA286" s="134"/>
      <c r="BB286" s="134"/>
      <c r="BC286" s="134"/>
      <c r="BD286" s="134"/>
      <c r="BE286" s="134"/>
      <c r="BF286" s="134"/>
      <c r="BG286" s="134"/>
      <c r="BH286" s="134"/>
      <c r="BI286" s="134"/>
      <c r="BJ286" s="134"/>
      <c r="BK286" s="134"/>
      <c r="BL286" s="134"/>
      <c r="BM286" s="135"/>
      <c r="BN286" s="136" t="n">
        <f aca="false">+MAX($D$3,DATOS_[[#This Row],[Fecha Inicio Sit. Contract.]])</f>
        <v>0</v>
      </c>
      <c r="BO286" s="136" t="n">
        <f aca="false">+MIN($D$4,DATOS_[[#This Row],[Fecha Fin Sit. Contract.]])</f>
        <v>0</v>
      </c>
      <c r="BP286" s="137" t="n">
        <f aca="false">+DATOS_[[#This Row],[% de jornada]]*IF(DATOS_[[#This Row],[% jornada reducida]]="",1,DATOS_[[#This Row],[% jornada reducida]])</f>
        <v>0</v>
      </c>
      <c r="BQ286" s="137" t="n">
        <f aca="false">+(DATOS_[[#This Row],[F.fin.cal]]-DATOS_[[#This Row],[F.ini.cal]]+1)/($D$4-$D$3+1)</f>
        <v>1</v>
      </c>
      <c r="BR286" s="137" t="str">
        <f aca="false">IF(OR(AND(DATOS_[[#This Row],[Fecha Fin Contrato]]&lt;$D$3,DATOS_[[#This Row],[Fecha Fin Contrato]]&lt;&gt;""),DATOS_[[#This Row],[Fecha de Contratación]]&gt;$D$4),"Fuera","Dentro")</f>
        <v>Dentro</v>
      </c>
      <c r="BS286" s="137" t="str">
        <f aca="false" t="array" ref="BS286:BS286">IF(MAX(IF(DATOS_[id]=DATOS_[[#This Row],[id]],DATOS_[F.fin.cal]))=DATOS_[[#This Row],[F.fin.cal]],"Sí","NO")</f>
        <v>Sí</v>
      </c>
      <c r="BT286" s="137" t="str">
        <f aca="false">IF(AND(DATOS_[[#This Row],[% normaliz]]&lt;&gt;1,DATOS_[[#This Row],[% anualiz]]=1),"Sí","NO")</f>
        <v>Sí</v>
      </c>
      <c r="BU286" s="137" t="str">
        <f aca="false">IF(AND(DATOS_[[#This Row],[% normaliz]]=1,DATOS_[[#This Row],[% anualiz]]&lt;&gt;1),"Sí","NO")</f>
        <v>NO</v>
      </c>
      <c r="BV286" s="137" t="str">
        <f aca="false">IF(AND(DATOS_[[#This Row],[% normaliz]]&lt;&gt;1,DATOS_[[#This Row],[% anualiz]]&lt;&gt;1),"Sí","NO")</f>
        <v>NO</v>
      </c>
      <c r="BW286" s="137" t="str">
        <f aca="false">+IF(DATOS_[[#This Row],[% normaliz]]*DATOS_[[#This Row],[% anualiz]]=1,"NO","Sí")</f>
        <v>Sí</v>
      </c>
      <c r="BX286" s="138" t="e">
        <f aca="false">(DATOS_[[#This Row],[S.BASE]]*(1/DATOS_[[#This Row],[% normaliz]])*(1/DATOS_[[#This Row],[% anualiz]]))*IF(DATOS_[[#This Row],[Check Equiparado]]="Sí",1,0)</f>
        <v>#DIV/0!</v>
      </c>
      <c r="BY2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6" s="138" t="e">
        <f aca="false">+DATOS_[[#This Row],[SALARIO BASE Eq]]+DATOS_[[#This Row],[Tot COMPL.SAL Eq]]</f>
        <v>#DIV/0!</v>
      </c>
      <c r="CA286" s="138" t="e">
        <f aca="false" t="array" ref="CA286:CA2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6" s="138" t="e">
        <f aca="false">+DATOS_[[#This Row],[TOTAL SALARIO Eq]]+DATOS_[[#This Row],[Tot Extrasalarial Eq]]</f>
        <v>#DIV/0!</v>
      </c>
      <c r="CC286" s="139" t="n">
        <f aca="false">DATOS_[[#This Row],[S.BASE]]</f>
        <v>0</v>
      </c>
      <c r="CD286" s="139" t="n">
        <f aca="false">+SUM(DATOS_[[#This Row],[Conc.Sal.01]:[Conc.Sal.30]])</f>
        <v>0</v>
      </c>
      <c r="CE286" s="139" t="n">
        <f aca="false">+DATOS_[[#This Row],[SALARIO BASE Ef]]+DATOS_[[#This Row],[Tot COMPL.SAL Ef]]</f>
        <v>0</v>
      </c>
      <c r="CF286" s="139" t="n">
        <f aca="false">+SUM(DATOS_[[#This Row],[C.Extra.01]:[C.Extra.05]])</f>
        <v>0</v>
      </c>
      <c r="CG286" s="139" t="n">
        <f aca="false">+DATOS_[[#This Row],[TOTAL SALARIO Ef]]+DATOS_[[#This Row],[Tot Extrasalarial Ef]]</f>
        <v>0</v>
      </c>
      <c r="CH286" s="140" t="n">
        <f aca="false">MIN(IF(DATOS_[[#This Row],[Fecha Fin Contrato]]="",$D$4,DATOS_[[#This Row],[Fecha Fin Contrato]]),$D$4)-MAX(DATOS_[[#This Row],[Fecha de Contratación]],$D$3)+1</f>
        <v>1</v>
      </c>
      <c r="CI286" s="141" t="str">
        <f aca="false">IF(COUNTIFS(DATOS_[id],DATOS_[[#This Row],[id]])&gt;1,DATOS_[[#This Row],[id]],"")</f>
        <v/>
      </c>
      <c r="CJ286" s="141" t="n">
        <f aca="false">(Inicio!$G$10-DATOS_[[#This Row],[Fecha Nacimiento]])/365.25</f>
        <v>0</v>
      </c>
      <c r="CK286" s="141" t="n">
        <f aca="false">(Inicio!$G$10-DATOS_[[#This Row],[Fecha de Antigüedad]])/365.25</f>
        <v>0</v>
      </c>
      <c r="CL286" s="141" t="e">
        <f aca="false">+VLOOKUP(DATOS_[[#This Row],[Clave de Contrato]],TblTiposContrato13[],3,0)</f>
        <v>#N/A</v>
      </c>
      <c r="CM286" s="141" t="e">
        <f aca="false">+VLOOKUP(DATOS_[[#This Row],[Clave de Contrato]],TblTiposContrato13[],4,0)</f>
        <v>#N/A</v>
      </c>
      <c r="CN286" s="141" t="str">
        <f aca="false">VLOOKUP(DATOS_[[#This Row],[Edad]],CONTRATOS!TblRngEdad,2,1)</f>
        <v>20  o menos</v>
      </c>
      <c r="CO286" s="141" t="str">
        <f aca="false">VLOOKUP(DATOS_[[#This Row],[Antigüedad]],TblRngAntg14[],2,1)</f>
        <v>0 a 1 años</v>
      </c>
    </row>
    <row r="287" customFormat="false" ht="13.8" hidden="false" customHeight="false" outlineLevel="0" collapsed="false">
      <c r="D287" s="128"/>
      <c r="E287" s="129"/>
      <c r="F287" s="129"/>
      <c r="G287" s="129"/>
      <c r="H287" s="130"/>
      <c r="I287" s="131"/>
      <c r="J287" s="128"/>
      <c r="K287" s="132"/>
      <c r="L287" s="132"/>
      <c r="M287" s="133"/>
      <c r="N287" s="133"/>
      <c r="O287" s="133"/>
      <c r="P287" s="129"/>
      <c r="Z287" s="75"/>
      <c r="AA287" s="76"/>
      <c r="AB287" s="76"/>
      <c r="AC287" s="129"/>
      <c r="AD287" s="134"/>
      <c r="AE287" s="134"/>
      <c r="AF287" s="134"/>
      <c r="AG287" s="134"/>
      <c r="AH287" s="134"/>
      <c r="AI287" s="134"/>
      <c r="AJ287" s="134"/>
      <c r="AK287" s="134"/>
      <c r="AL287" s="134"/>
      <c r="AM287" s="134"/>
      <c r="AN287" s="134"/>
      <c r="AO287" s="134"/>
      <c r="AP287" s="134"/>
      <c r="AQ287" s="134"/>
      <c r="AR287" s="134"/>
      <c r="AS287" s="134"/>
      <c r="AT287" s="134"/>
      <c r="AU287" s="134"/>
      <c r="AV287" s="134"/>
      <c r="AW287" s="134"/>
      <c r="AX287" s="134"/>
      <c r="AY287" s="134"/>
      <c r="AZ287" s="134"/>
      <c r="BA287" s="134"/>
      <c r="BB287" s="134"/>
      <c r="BC287" s="134"/>
      <c r="BD287" s="134"/>
      <c r="BE287" s="134"/>
      <c r="BF287" s="134"/>
      <c r="BG287" s="134"/>
      <c r="BH287" s="134"/>
      <c r="BI287" s="134"/>
      <c r="BJ287" s="134"/>
      <c r="BK287" s="134"/>
      <c r="BL287" s="134"/>
      <c r="BM287" s="135"/>
      <c r="BN287" s="136" t="n">
        <f aca="false">+MAX($D$3,DATOS_[[#This Row],[Fecha Inicio Sit. Contract.]])</f>
        <v>0</v>
      </c>
      <c r="BO287" s="136" t="n">
        <f aca="false">+MIN($D$4,DATOS_[[#This Row],[Fecha Fin Sit. Contract.]])</f>
        <v>0</v>
      </c>
      <c r="BP287" s="137" t="n">
        <f aca="false">+DATOS_[[#This Row],[% de jornada]]*IF(DATOS_[[#This Row],[% jornada reducida]]="",1,DATOS_[[#This Row],[% jornada reducida]])</f>
        <v>0</v>
      </c>
      <c r="BQ287" s="137" t="n">
        <f aca="false">+(DATOS_[[#This Row],[F.fin.cal]]-DATOS_[[#This Row],[F.ini.cal]]+1)/($D$4-$D$3+1)</f>
        <v>1</v>
      </c>
      <c r="BR287" s="137" t="str">
        <f aca="false">IF(OR(AND(DATOS_[[#This Row],[Fecha Fin Contrato]]&lt;$D$3,DATOS_[[#This Row],[Fecha Fin Contrato]]&lt;&gt;""),DATOS_[[#This Row],[Fecha de Contratación]]&gt;$D$4),"Fuera","Dentro")</f>
        <v>Dentro</v>
      </c>
      <c r="BS287" s="137" t="str">
        <f aca="false" t="array" ref="BS287:BS287">IF(MAX(IF(DATOS_[id]=DATOS_[[#This Row],[id]],DATOS_[F.fin.cal]))=DATOS_[[#This Row],[F.fin.cal]],"Sí","NO")</f>
        <v>Sí</v>
      </c>
      <c r="BT287" s="137" t="str">
        <f aca="false">IF(AND(DATOS_[[#This Row],[% normaliz]]&lt;&gt;1,DATOS_[[#This Row],[% anualiz]]=1),"Sí","NO")</f>
        <v>Sí</v>
      </c>
      <c r="BU287" s="137" t="str">
        <f aca="false">IF(AND(DATOS_[[#This Row],[% normaliz]]=1,DATOS_[[#This Row],[% anualiz]]&lt;&gt;1),"Sí","NO")</f>
        <v>NO</v>
      </c>
      <c r="BV287" s="137" t="str">
        <f aca="false">IF(AND(DATOS_[[#This Row],[% normaliz]]&lt;&gt;1,DATOS_[[#This Row],[% anualiz]]&lt;&gt;1),"Sí","NO")</f>
        <v>NO</v>
      </c>
      <c r="BW287" s="137" t="str">
        <f aca="false">+IF(DATOS_[[#This Row],[% normaliz]]*DATOS_[[#This Row],[% anualiz]]=1,"NO","Sí")</f>
        <v>Sí</v>
      </c>
      <c r="BX287" s="138" t="e">
        <f aca="false">(DATOS_[[#This Row],[S.BASE]]*(1/DATOS_[[#This Row],[% normaliz]])*(1/DATOS_[[#This Row],[% anualiz]]))*IF(DATOS_[[#This Row],[Check Equiparado]]="Sí",1,0)</f>
        <v>#DIV/0!</v>
      </c>
      <c r="BY2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7" s="138" t="e">
        <f aca="false">+DATOS_[[#This Row],[SALARIO BASE Eq]]+DATOS_[[#This Row],[Tot COMPL.SAL Eq]]</f>
        <v>#DIV/0!</v>
      </c>
      <c r="CA287" s="138" t="e">
        <f aca="false" t="array" ref="CA287:CA2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7" s="138" t="e">
        <f aca="false">+DATOS_[[#This Row],[TOTAL SALARIO Eq]]+DATOS_[[#This Row],[Tot Extrasalarial Eq]]</f>
        <v>#DIV/0!</v>
      </c>
      <c r="CC287" s="139" t="n">
        <f aca="false">DATOS_[[#This Row],[S.BASE]]</f>
        <v>0</v>
      </c>
      <c r="CD287" s="139" t="n">
        <f aca="false">+SUM(DATOS_[[#This Row],[Conc.Sal.01]:[Conc.Sal.30]])</f>
        <v>0</v>
      </c>
      <c r="CE287" s="139" t="n">
        <f aca="false">+DATOS_[[#This Row],[SALARIO BASE Ef]]+DATOS_[[#This Row],[Tot COMPL.SAL Ef]]</f>
        <v>0</v>
      </c>
      <c r="CF287" s="139" t="n">
        <f aca="false">+SUM(DATOS_[[#This Row],[C.Extra.01]:[C.Extra.05]])</f>
        <v>0</v>
      </c>
      <c r="CG287" s="139" t="n">
        <f aca="false">+DATOS_[[#This Row],[TOTAL SALARIO Ef]]+DATOS_[[#This Row],[Tot Extrasalarial Ef]]</f>
        <v>0</v>
      </c>
      <c r="CH287" s="140" t="n">
        <f aca="false">MIN(IF(DATOS_[[#This Row],[Fecha Fin Contrato]]="",$D$4,DATOS_[[#This Row],[Fecha Fin Contrato]]),$D$4)-MAX(DATOS_[[#This Row],[Fecha de Contratación]],$D$3)+1</f>
        <v>1</v>
      </c>
      <c r="CI287" s="141" t="str">
        <f aca="false">IF(COUNTIFS(DATOS_[id],DATOS_[[#This Row],[id]])&gt;1,DATOS_[[#This Row],[id]],"")</f>
        <v/>
      </c>
      <c r="CJ287" s="141" t="n">
        <f aca="false">(Inicio!$G$10-DATOS_[[#This Row],[Fecha Nacimiento]])/365.25</f>
        <v>0</v>
      </c>
      <c r="CK287" s="141" t="n">
        <f aca="false">(Inicio!$G$10-DATOS_[[#This Row],[Fecha de Antigüedad]])/365.25</f>
        <v>0</v>
      </c>
      <c r="CL287" s="141" t="e">
        <f aca="false">+VLOOKUP(DATOS_[[#This Row],[Clave de Contrato]],TblTiposContrato13[],3,0)</f>
        <v>#N/A</v>
      </c>
      <c r="CM287" s="141" t="e">
        <f aca="false">+VLOOKUP(DATOS_[[#This Row],[Clave de Contrato]],TblTiposContrato13[],4,0)</f>
        <v>#N/A</v>
      </c>
      <c r="CN287" s="141" t="str">
        <f aca="false">VLOOKUP(DATOS_[[#This Row],[Edad]],CONTRATOS!TblRngEdad,2,1)</f>
        <v>20  o menos</v>
      </c>
      <c r="CO287" s="141" t="str">
        <f aca="false">VLOOKUP(DATOS_[[#This Row],[Antigüedad]],TblRngAntg14[],2,1)</f>
        <v>0 a 1 años</v>
      </c>
    </row>
    <row r="288" customFormat="false" ht="13.8" hidden="false" customHeight="false" outlineLevel="0" collapsed="false">
      <c r="D288" s="128"/>
      <c r="E288" s="129"/>
      <c r="F288" s="129"/>
      <c r="G288" s="129"/>
      <c r="H288" s="130"/>
      <c r="I288" s="131"/>
      <c r="J288" s="128"/>
      <c r="K288" s="132"/>
      <c r="L288" s="132"/>
      <c r="M288" s="133"/>
      <c r="N288" s="133"/>
      <c r="O288" s="133"/>
      <c r="P288" s="129"/>
      <c r="Z288" s="75"/>
      <c r="AA288" s="76"/>
      <c r="AB288" s="76"/>
      <c r="AC288" s="129"/>
      <c r="AD288" s="134"/>
      <c r="AE288" s="134"/>
      <c r="AF288" s="134"/>
      <c r="AG288" s="134"/>
      <c r="AH288" s="134"/>
      <c r="AI288" s="134"/>
      <c r="AJ288" s="134"/>
      <c r="AK288" s="134"/>
      <c r="AL288" s="134"/>
      <c r="AM288" s="134"/>
      <c r="AN288" s="134"/>
      <c r="AO288" s="134"/>
      <c r="AP288" s="134"/>
      <c r="AQ288" s="134"/>
      <c r="AR288" s="134"/>
      <c r="AS288" s="134"/>
      <c r="AT288" s="134"/>
      <c r="AU288" s="134"/>
      <c r="AV288" s="134"/>
      <c r="AW288" s="134"/>
      <c r="AX288" s="134"/>
      <c r="AY288" s="134"/>
      <c r="AZ288" s="134"/>
      <c r="BA288" s="134"/>
      <c r="BB288" s="134"/>
      <c r="BC288" s="134"/>
      <c r="BD288" s="134"/>
      <c r="BE288" s="134"/>
      <c r="BF288" s="134"/>
      <c r="BG288" s="134"/>
      <c r="BH288" s="134"/>
      <c r="BI288" s="134"/>
      <c r="BJ288" s="134"/>
      <c r="BK288" s="134"/>
      <c r="BL288" s="134"/>
      <c r="BM288" s="135"/>
      <c r="BN288" s="136" t="n">
        <f aca="false">+MAX($D$3,DATOS_[[#This Row],[Fecha Inicio Sit. Contract.]])</f>
        <v>0</v>
      </c>
      <c r="BO288" s="136" t="n">
        <f aca="false">+MIN($D$4,DATOS_[[#This Row],[Fecha Fin Sit. Contract.]])</f>
        <v>0</v>
      </c>
      <c r="BP288" s="137" t="n">
        <f aca="false">+DATOS_[[#This Row],[% de jornada]]*IF(DATOS_[[#This Row],[% jornada reducida]]="",1,DATOS_[[#This Row],[% jornada reducida]])</f>
        <v>0</v>
      </c>
      <c r="BQ288" s="137" t="n">
        <f aca="false">+(DATOS_[[#This Row],[F.fin.cal]]-DATOS_[[#This Row],[F.ini.cal]]+1)/($D$4-$D$3+1)</f>
        <v>1</v>
      </c>
      <c r="BR288" s="137" t="str">
        <f aca="false">IF(OR(AND(DATOS_[[#This Row],[Fecha Fin Contrato]]&lt;$D$3,DATOS_[[#This Row],[Fecha Fin Contrato]]&lt;&gt;""),DATOS_[[#This Row],[Fecha de Contratación]]&gt;$D$4),"Fuera","Dentro")</f>
        <v>Dentro</v>
      </c>
      <c r="BS288" s="137" t="str">
        <f aca="false" t="array" ref="BS288:BS288">IF(MAX(IF(DATOS_[id]=DATOS_[[#This Row],[id]],DATOS_[F.fin.cal]))=DATOS_[[#This Row],[F.fin.cal]],"Sí","NO")</f>
        <v>Sí</v>
      </c>
      <c r="BT288" s="137" t="str">
        <f aca="false">IF(AND(DATOS_[[#This Row],[% normaliz]]&lt;&gt;1,DATOS_[[#This Row],[% anualiz]]=1),"Sí","NO")</f>
        <v>Sí</v>
      </c>
      <c r="BU288" s="137" t="str">
        <f aca="false">IF(AND(DATOS_[[#This Row],[% normaliz]]=1,DATOS_[[#This Row],[% anualiz]]&lt;&gt;1),"Sí","NO")</f>
        <v>NO</v>
      </c>
      <c r="BV288" s="137" t="str">
        <f aca="false">IF(AND(DATOS_[[#This Row],[% normaliz]]&lt;&gt;1,DATOS_[[#This Row],[% anualiz]]&lt;&gt;1),"Sí","NO")</f>
        <v>NO</v>
      </c>
      <c r="BW288" s="137" t="str">
        <f aca="false">+IF(DATOS_[[#This Row],[% normaliz]]*DATOS_[[#This Row],[% anualiz]]=1,"NO","Sí")</f>
        <v>Sí</v>
      </c>
      <c r="BX288" s="138" t="e">
        <f aca="false">(DATOS_[[#This Row],[S.BASE]]*(1/DATOS_[[#This Row],[% normaliz]])*(1/DATOS_[[#This Row],[% anualiz]]))*IF(DATOS_[[#This Row],[Check Equiparado]]="Sí",1,0)</f>
        <v>#DIV/0!</v>
      </c>
      <c r="BY2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8" s="138" t="e">
        <f aca="false">+DATOS_[[#This Row],[SALARIO BASE Eq]]+DATOS_[[#This Row],[Tot COMPL.SAL Eq]]</f>
        <v>#DIV/0!</v>
      </c>
      <c r="CA288" s="138" t="e">
        <f aca="false" t="array" ref="CA288:CA2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8" s="138" t="e">
        <f aca="false">+DATOS_[[#This Row],[TOTAL SALARIO Eq]]+DATOS_[[#This Row],[Tot Extrasalarial Eq]]</f>
        <v>#DIV/0!</v>
      </c>
      <c r="CC288" s="139" t="n">
        <f aca="false">DATOS_[[#This Row],[S.BASE]]</f>
        <v>0</v>
      </c>
      <c r="CD288" s="139" t="n">
        <f aca="false">+SUM(DATOS_[[#This Row],[Conc.Sal.01]:[Conc.Sal.30]])</f>
        <v>0</v>
      </c>
      <c r="CE288" s="139" t="n">
        <f aca="false">+DATOS_[[#This Row],[SALARIO BASE Ef]]+DATOS_[[#This Row],[Tot COMPL.SAL Ef]]</f>
        <v>0</v>
      </c>
      <c r="CF288" s="139" t="n">
        <f aca="false">+SUM(DATOS_[[#This Row],[C.Extra.01]:[C.Extra.05]])</f>
        <v>0</v>
      </c>
      <c r="CG288" s="139" t="n">
        <f aca="false">+DATOS_[[#This Row],[TOTAL SALARIO Ef]]+DATOS_[[#This Row],[Tot Extrasalarial Ef]]</f>
        <v>0</v>
      </c>
      <c r="CH288" s="140" t="n">
        <f aca="false">MIN(IF(DATOS_[[#This Row],[Fecha Fin Contrato]]="",$D$4,DATOS_[[#This Row],[Fecha Fin Contrato]]),$D$4)-MAX(DATOS_[[#This Row],[Fecha de Contratación]],$D$3)+1</f>
        <v>1</v>
      </c>
      <c r="CI288" s="141" t="str">
        <f aca="false">IF(COUNTIFS(DATOS_[id],DATOS_[[#This Row],[id]])&gt;1,DATOS_[[#This Row],[id]],"")</f>
        <v/>
      </c>
      <c r="CJ288" s="141" t="n">
        <f aca="false">(Inicio!$G$10-DATOS_[[#This Row],[Fecha Nacimiento]])/365.25</f>
        <v>0</v>
      </c>
      <c r="CK288" s="141" t="n">
        <f aca="false">(Inicio!$G$10-DATOS_[[#This Row],[Fecha de Antigüedad]])/365.25</f>
        <v>0</v>
      </c>
      <c r="CL288" s="141" t="e">
        <f aca="false">+VLOOKUP(DATOS_[[#This Row],[Clave de Contrato]],TblTiposContrato13[],3,0)</f>
        <v>#N/A</v>
      </c>
      <c r="CM288" s="141" t="e">
        <f aca="false">+VLOOKUP(DATOS_[[#This Row],[Clave de Contrato]],TblTiposContrato13[],4,0)</f>
        <v>#N/A</v>
      </c>
      <c r="CN288" s="141" t="str">
        <f aca="false">VLOOKUP(DATOS_[[#This Row],[Edad]],CONTRATOS!TblRngEdad,2,1)</f>
        <v>20  o menos</v>
      </c>
      <c r="CO288" s="141" t="str">
        <f aca="false">VLOOKUP(DATOS_[[#This Row],[Antigüedad]],TblRngAntg14[],2,1)</f>
        <v>0 a 1 años</v>
      </c>
    </row>
    <row r="289" customFormat="false" ht="13.8" hidden="false" customHeight="false" outlineLevel="0" collapsed="false">
      <c r="D289" s="128"/>
      <c r="E289" s="129"/>
      <c r="F289" s="129"/>
      <c r="G289" s="129"/>
      <c r="H289" s="130"/>
      <c r="I289" s="131"/>
      <c r="J289" s="128"/>
      <c r="K289" s="132"/>
      <c r="L289" s="132"/>
      <c r="M289" s="133"/>
      <c r="N289" s="133"/>
      <c r="O289" s="133"/>
      <c r="P289" s="129"/>
      <c r="Z289" s="75"/>
      <c r="AA289" s="76"/>
      <c r="AB289" s="76"/>
      <c r="AC289" s="129"/>
      <c r="AD289" s="134"/>
      <c r="AE289" s="134"/>
      <c r="AF289" s="134"/>
      <c r="AG289" s="134"/>
      <c r="AH289" s="134"/>
      <c r="AI289" s="134"/>
      <c r="AJ289" s="134"/>
      <c r="AK289" s="134"/>
      <c r="AL289" s="134"/>
      <c r="AM289" s="134"/>
      <c r="AN289" s="134"/>
      <c r="AO289" s="134"/>
      <c r="AP289" s="134"/>
      <c r="AQ289" s="134"/>
      <c r="AR289" s="134"/>
      <c r="AS289" s="134"/>
      <c r="AT289" s="134"/>
      <c r="AU289" s="134"/>
      <c r="AV289" s="134"/>
      <c r="AW289" s="134"/>
      <c r="AX289" s="134"/>
      <c r="AY289" s="134"/>
      <c r="AZ289" s="134"/>
      <c r="BA289" s="134"/>
      <c r="BB289" s="134"/>
      <c r="BC289" s="134"/>
      <c r="BD289" s="134"/>
      <c r="BE289" s="134"/>
      <c r="BF289" s="134"/>
      <c r="BG289" s="134"/>
      <c r="BH289" s="134"/>
      <c r="BI289" s="134"/>
      <c r="BJ289" s="134"/>
      <c r="BK289" s="134"/>
      <c r="BL289" s="134"/>
      <c r="BM289" s="135"/>
      <c r="BN289" s="136" t="n">
        <f aca="false">+MAX($D$3,DATOS_[[#This Row],[Fecha Inicio Sit. Contract.]])</f>
        <v>0</v>
      </c>
      <c r="BO289" s="136" t="n">
        <f aca="false">+MIN($D$4,DATOS_[[#This Row],[Fecha Fin Sit. Contract.]])</f>
        <v>0</v>
      </c>
      <c r="BP289" s="137" t="n">
        <f aca="false">+DATOS_[[#This Row],[% de jornada]]*IF(DATOS_[[#This Row],[% jornada reducida]]="",1,DATOS_[[#This Row],[% jornada reducida]])</f>
        <v>0</v>
      </c>
      <c r="BQ289" s="137" t="n">
        <f aca="false">+(DATOS_[[#This Row],[F.fin.cal]]-DATOS_[[#This Row],[F.ini.cal]]+1)/($D$4-$D$3+1)</f>
        <v>1</v>
      </c>
      <c r="BR289" s="137" t="str">
        <f aca="false">IF(OR(AND(DATOS_[[#This Row],[Fecha Fin Contrato]]&lt;$D$3,DATOS_[[#This Row],[Fecha Fin Contrato]]&lt;&gt;""),DATOS_[[#This Row],[Fecha de Contratación]]&gt;$D$4),"Fuera","Dentro")</f>
        <v>Dentro</v>
      </c>
      <c r="BS289" s="137" t="str">
        <f aca="false" t="array" ref="BS289:BS289">IF(MAX(IF(DATOS_[id]=DATOS_[[#This Row],[id]],DATOS_[F.fin.cal]))=DATOS_[[#This Row],[F.fin.cal]],"Sí","NO")</f>
        <v>Sí</v>
      </c>
      <c r="BT289" s="137" t="str">
        <f aca="false">IF(AND(DATOS_[[#This Row],[% normaliz]]&lt;&gt;1,DATOS_[[#This Row],[% anualiz]]=1),"Sí","NO")</f>
        <v>Sí</v>
      </c>
      <c r="BU289" s="137" t="str">
        <f aca="false">IF(AND(DATOS_[[#This Row],[% normaliz]]=1,DATOS_[[#This Row],[% anualiz]]&lt;&gt;1),"Sí","NO")</f>
        <v>NO</v>
      </c>
      <c r="BV289" s="137" t="str">
        <f aca="false">IF(AND(DATOS_[[#This Row],[% normaliz]]&lt;&gt;1,DATOS_[[#This Row],[% anualiz]]&lt;&gt;1),"Sí","NO")</f>
        <v>NO</v>
      </c>
      <c r="BW289" s="137" t="str">
        <f aca="false">+IF(DATOS_[[#This Row],[% normaliz]]*DATOS_[[#This Row],[% anualiz]]=1,"NO","Sí")</f>
        <v>Sí</v>
      </c>
      <c r="BX289" s="138" t="e">
        <f aca="false">(DATOS_[[#This Row],[S.BASE]]*(1/DATOS_[[#This Row],[% normaliz]])*(1/DATOS_[[#This Row],[% anualiz]]))*IF(DATOS_[[#This Row],[Check Equiparado]]="Sí",1,0)</f>
        <v>#DIV/0!</v>
      </c>
      <c r="BY2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9" s="138" t="e">
        <f aca="false">+DATOS_[[#This Row],[SALARIO BASE Eq]]+DATOS_[[#This Row],[Tot COMPL.SAL Eq]]</f>
        <v>#DIV/0!</v>
      </c>
      <c r="CA289" s="138" t="e">
        <f aca="false" t="array" ref="CA289:CA2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9" s="138" t="e">
        <f aca="false">+DATOS_[[#This Row],[TOTAL SALARIO Eq]]+DATOS_[[#This Row],[Tot Extrasalarial Eq]]</f>
        <v>#DIV/0!</v>
      </c>
      <c r="CC289" s="139" t="n">
        <f aca="false">DATOS_[[#This Row],[S.BASE]]</f>
        <v>0</v>
      </c>
      <c r="CD289" s="139" t="n">
        <f aca="false">+SUM(DATOS_[[#This Row],[Conc.Sal.01]:[Conc.Sal.30]])</f>
        <v>0</v>
      </c>
      <c r="CE289" s="139" t="n">
        <f aca="false">+DATOS_[[#This Row],[SALARIO BASE Ef]]+DATOS_[[#This Row],[Tot COMPL.SAL Ef]]</f>
        <v>0</v>
      </c>
      <c r="CF289" s="139" t="n">
        <f aca="false">+SUM(DATOS_[[#This Row],[C.Extra.01]:[C.Extra.05]])</f>
        <v>0</v>
      </c>
      <c r="CG289" s="139" t="n">
        <f aca="false">+DATOS_[[#This Row],[TOTAL SALARIO Ef]]+DATOS_[[#This Row],[Tot Extrasalarial Ef]]</f>
        <v>0</v>
      </c>
      <c r="CH289" s="140" t="n">
        <f aca="false">MIN(IF(DATOS_[[#This Row],[Fecha Fin Contrato]]="",$D$4,DATOS_[[#This Row],[Fecha Fin Contrato]]),$D$4)-MAX(DATOS_[[#This Row],[Fecha de Contratación]],$D$3)+1</f>
        <v>1</v>
      </c>
      <c r="CI289" s="141" t="str">
        <f aca="false">IF(COUNTIFS(DATOS_[id],DATOS_[[#This Row],[id]])&gt;1,DATOS_[[#This Row],[id]],"")</f>
        <v/>
      </c>
      <c r="CJ289" s="141" t="n">
        <f aca="false">(Inicio!$G$10-DATOS_[[#This Row],[Fecha Nacimiento]])/365.25</f>
        <v>0</v>
      </c>
      <c r="CK289" s="141" t="n">
        <f aca="false">(Inicio!$G$10-DATOS_[[#This Row],[Fecha de Antigüedad]])/365.25</f>
        <v>0</v>
      </c>
      <c r="CL289" s="141" t="e">
        <f aca="false">+VLOOKUP(DATOS_[[#This Row],[Clave de Contrato]],TblTiposContrato13[],3,0)</f>
        <v>#N/A</v>
      </c>
      <c r="CM289" s="141" t="e">
        <f aca="false">+VLOOKUP(DATOS_[[#This Row],[Clave de Contrato]],TblTiposContrato13[],4,0)</f>
        <v>#N/A</v>
      </c>
      <c r="CN289" s="141" t="str">
        <f aca="false">VLOOKUP(DATOS_[[#This Row],[Edad]],CONTRATOS!TblRngEdad,2,1)</f>
        <v>20  o menos</v>
      </c>
      <c r="CO289" s="141" t="str">
        <f aca="false">VLOOKUP(DATOS_[[#This Row],[Antigüedad]],TblRngAntg14[],2,1)</f>
        <v>0 a 1 años</v>
      </c>
    </row>
    <row r="290" customFormat="false" ht="13.8" hidden="false" customHeight="false" outlineLevel="0" collapsed="false">
      <c r="D290" s="128"/>
      <c r="E290" s="129"/>
      <c r="F290" s="129"/>
      <c r="G290" s="129"/>
      <c r="H290" s="130"/>
      <c r="I290" s="131"/>
      <c r="J290" s="128"/>
      <c r="K290" s="132"/>
      <c r="L290" s="132"/>
      <c r="M290" s="133"/>
      <c r="N290" s="133"/>
      <c r="O290" s="133"/>
      <c r="P290" s="129"/>
      <c r="Z290" s="75"/>
      <c r="AA290" s="76"/>
      <c r="AB290" s="76"/>
      <c r="AC290" s="129"/>
      <c r="AD290" s="134"/>
      <c r="AE290" s="134"/>
      <c r="AF290" s="134"/>
      <c r="AG290" s="134"/>
      <c r="AH290" s="134"/>
      <c r="AI290" s="134"/>
      <c r="AJ290" s="134"/>
      <c r="AK290" s="134"/>
      <c r="AL290" s="134"/>
      <c r="AM290" s="134"/>
      <c r="AN290" s="134"/>
      <c r="AO290" s="134"/>
      <c r="AP290" s="134"/>
      <c r="AQ290" s="134"/>
      <c r="AR290" s="134"/>
      <c r="AS290" s="134"/>
      <c r="AT290" s="134"/>
      <c r="AU290" s="134"/>
      <c r="AV290" s="134"/>
      <c r="AW290" s="134"/>
      <c r="AX290" s="134"/>
      <c r="AY290" s="134"/>
      <c r="AZ290" s="134"/>
      <c r="BA290" s="134"/>
      <c r="BB290" s="134"/>
      <c r="BC290" s="134"/>
      <c r="BD290" s="134"/>
      <c r="BE290" s="134"/>
      <c r="BF290" s="134"/>
      <c r="BG290" s="134"/>
      <c r="BH290" s="134"/>
      <c r="BI290" s="134"/>
      <c r="BJ290" s="134"/>
      <c r="BK290" s="134"/>
      <c r="BL290" s="134"/>
      <c r="BM290" s="135"/>
      <c r="BN290" s="136" t="n">
        <f aca="false">+MAX($D$3,DATOS_[[#This Row],[Fecha Inicio Sit. Contract.]])</f>
        <v>0</v>
      </c>
      <c r="BO290" s="136" t="n">
        <f aca="false">+MIN($D$4,DATOS_[[#This Row],[Fecha Fin Sit. Contract.]])</f>
        <v>0</v>
      </c>
      <c r="BP290" s="137" t="n">
        <f aca="false">+DATOS_[[#This Row],[% de jornada]]*IF(DATOS_[[#This Row],[% jornada reducida]]="",1,DATOS_[[#This Row],[% jornada reducida]])</f>
        <v>0</v>
      </c>
      <c r="BQ290" s="137" t="n">
        <f aca="false">+(DATOS_[[#This Row],[F.fin.cal]]-DATOS_[[#This Row],[F.ini.cal]]+1)/($D$4-$D$3+1)</f>
        <v>1</v>
      </c>
      <c r="BR290" s="137" t="str">
        <f aca="false">IF(OR(AND(DATOS_[[#This Row],[Fecha Fin Contrato]]&lt;$D$3,DATOS_[[#This Row],[Fecha Fin Contrato]]&lt;&gt;""),DATOS_[[#This Row],[Fecha de Contratación]]&gt;$D$4),"Fuera","Dentro")</f>
        <v>Dentro</v>
      </c>
      <c r="BS290" s="137" t="str">
        <f aca="false" t="array" ref="BS290:BS290">IF(MAX(IF(DATOS_[id]=DATOS_[[#This Row],[id]],DATOS_[F.fin.cal]))=DATOS_[[#This Row],[F.fin.cal]],"Sí","NO")</f>
        <v>Sí</v>
      </c>
      <c r="BT290" s="137" t="str">
        <f aca="false">IF(AND(DATOS_[[#This Row],[% normaliz]]&lt;&gt;1,DATOS_[[#This Row],[% anualiz]]=1),"Sí","NO")</f>
        <v>Sí</v>
      </c>
      <c r="BU290" s="137" t="str">
        <f aca="false">IF(AND(DATOS_[[#This Row],[% normaliz]]=1,DATOS_[[#This Row],[% anualiz]]&lt;&gt;1),"Sí","NO")</f>
        <v>NO</v>
      </c>
      <c r="BV290" s="137" t="str">
        <f aca="false">IF(AND(DATOS_[[#This Row],[% normaliz]]&lt;&gt;1,DATOS_[[#This Row],[% anualiz]]&lt;&gt;1),"Sí","NO")</f>
        <v>NO</v>
      </c>
      <c r="BW290" s="137" t="str">
        <f aca="false">+IF(DATOS_[[#This Row],[% normaliz]]*DATOS_[[#This Row],[% anualiz]]=1,"NO","Sí")</f>
        <v>Sí</v>
      </c>
      <c r="BX290" s="138" t="e">
        <f aca="false">(DATOS_[[#This Row],[S.BASE]]*(1/DATOS_[[#This Row],[% normaliz]])*(1/DATOS_[[#This Row],[% anualiz]]))*IF(DATOS_[[#This Row],[Check Equiparado]]="Sí",1,0)</f>
        <v>#DIV/0!</v>
      </c>
      <c r="BY2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0" s="138" t="e">
        <f aca="false">+DATOS_[[#This Row],[SALARIO BASE Eq]]+DATOS_[[#This Row],[Tot COMPL.SAL Eq]]</f>
        <v>#DIV/0!</v>
      </c>
      <c r="CA290" s="138" t="e">
        <f aca="false" t="array" ref="CA290:CA2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0" s="138" t="e">
        <f aca="false">+DATOS_[[#This Row],[TOTAL SALARIO Eq]]+DATOS_[[#This Row],[Tot Extrasalarial Eq]]</f>
        <v>#DIV/0!</v>
      </c>
      <c r="CC290" s="139" t="n">
        <f aca="false">DATOS_[[#This Row],[S.BASE]]</f>
        <v>0</v>
      </c>
      <c r="CD290" s="139" t="n">
        <f aca="false">+SUM(DATOS_[[#This Row],[Conc.Sal.01]:[Conc.Sal.30]])</f>
        <v>0</v>
      </c>
      <c r="CE290" s="139" t="n">
        <f aca="false">+DATOS_[[#This Row],[SALARIO BASE Ef]]+DATOS_[[#This Row],[Tot COMPL.SAL Ef]]</f>
        <v>0</v>
      </c>
      <c r="CF290" s="139" t="n">
        <f aca="false">+SUM(DATOS_[[#This Row],[C.Extra.01]:[C.Extra.05]])</f>
        <v>0</v>
      </c>
      <c r="CG290" s="139" t="n">
        <f aca="false">+DATOS_[[#This Row],[TOTAL SALARIO Ef]]+DATOS_[[#This Row],[Tot Extrasalarial Ef]]</f>
        <v>0</v>
      </c>
      <c r="CH290" s="140" t="n">
        <f aca="false">MIN(IF(DATOS_[[#This Row],[Fecha Fin Contrato]]="",$D$4,DATOS_[[#This Row],[Fecha Fin Contrato]]),$D$4)-MAX(DATOS_[[#This Row],[Fecha de Contratación]],$D$3)+1</f>
        <v>1</v>
      </c>
      <c r="CI290" s="141" t="str">
        <f aca="false">IF(COUNTIFS(DATOS_[id],DATOS_[[#This Row],[id]])&gt;1,DATOS_[[#This Row],[id]],"")</f>
        <v/>
      </c>
      <c r="CJ290" s="141" t="n">
        <f aca="false">(Inicio!$G$10-DATOS_[[#This Row],[Fecha Nacimiento]])/365.25</f>
        <v>0</v>
      </c>
      <c r="CK290" s="141" t="n">
        <f aca="false">(Inicio!$G$10-DATOS_[[#This Row],[Fecha de Antigüedad]])/365.25</f>
        <v>0</v>
      </c>
      <c r="CL290" s="141" t="e">
        <f aca="false">+VLOOKUP(DATOS_[[#This Row],[Clave de Contrato]],TblTiposContrato13[],3,0)</f>
        <v>#N/A</v>
      </c>
      <c r="CM290" s="141" t="e">
        <f aca="false">+VLOOKUP(DATOS_[[#This Row],[Clave de Contrato]],TblTiposContrato13[],4,0)</f>
        <v>#N/A</v>
      </c>
      <c r="CN290" s="141" t="str">
        <f aca="false">VLOOKUP(DATOS_[[#This Row],[Edad]],CONTRATOS!TblRngEdad,2,1)</f>
        <v>20  o menos</v>
      </c>
      <c r="CO290" s="141" t="str">
        <f aca="false">VLOOKUP(DATOS_[[#This Row],[Antigüedad]],TblRngAntg14[],2,1)</f>
        <v>0 a 1 años</v>
      </c>
    </row>
    <row r="291" customFormat="false" ht="13.8" hidden="false" customHeight="false" outlineLevel="0" collapsed="false">
      <c r="D291" s="128"/>
      <c r="E291" s="129"/>
      <c r="F291" s="129"/>
      <c r="G291" s="129"/>
      <c r="H291" s="130"/>
      <c r="I291" s="131"/>
      <c r="J291" s="128"/>
      <c r="K291" s="132"/>
      <c r="L291" s="132"/>
      <c r="M291" s="133"/>
      <c r="N291" s="133"/>
      <c r="O291" s="133"/>
      <c r="P291" s="129"/>
      <c r="Z291" s="75"/>
      <c r="AA291" s="76"/>
      <c r="AB291" s="76"/>
      <c r="AC291" s="129"/>
      <c r="AD291" s="134"/>
      <c r="AE291" s="134"/>
      <c r="AF291" s="134"/>
      <c r="AG291" s="134"/>
      <c r="AH291" s="134"/>
      <c r="AI291" s="134"/>
      <c r="AJ291" s="134"/>
      <c r="AK291" s="134"/>
      <c r="AL291" s="134"/>
      <c r="AM291" s="134"/>
      <c r="AN291" s="134"/>
      <c r="AO291" s="134"/>
      <c r="AP291" s="134"/>
      <c r="AQ291" s="134"/>
      <c r="AR291" s="134"/>
      <c r="AS291" s="134"/>
      <c r="AT291" s="134"/>
      <c r="AU291" s="134"/>
      <c r="AV291" s="134"/>
      <c r="AW291" s="134"/>
      <c r="AX291" s="134"/>
      <c r="AY291" s="134"/>
      <c r="AZ291" s="134"/>
      <c r="BA291" s="134"/>
      <c r="BB291" s="134"/>
      <c r="BC291" s="134"/>
      <c r="BD291" s="134"/>
      <c r="BE291" s="134"/>
      <c r="BF291" s="134"/>
      <c r="BG291" s="134"/>
      <c r="BH291" s="134"/>
      <c r="BI291" s="134"/>
      <c r="BJ291" s="134"/>
      <c r="BK291" s="134"/>
      <c r="BL291" s="134"/>
      <c r="BM291" s="135"/>
      <c r="BN291" s="136" t="n">
        <f aca="false">+MAX($D$3,DATOS_[[#This Row],[Fecha Inicio Sit. Contract.]])</f>
        <v>0</v>
      </c>
      <c r="BO291" s="136" t="n">
        <f aca="false">+MIN($D$4,DATOS_[[#This Row],[Fecha Fin Sit. Contract.]])</f>
        <v>0</v>
      </c>
      <c r="BP291" s="137" t="n">
        <f aca="false">+DATOS_[[#This Row],[% de jornada]]*IF(DATOS_[[#This Row],[% jornada reducida]]="",1,DATOS_[[#This Row],[% jornada reducida]])</f>
        <v>0</v>
      </c>
      <c r="BQ291" s="137" t="n">
        <f aca="false">+(DATOS_[[#This Row],[F.fin.cal]]-DATOS_[[#This Row],[F.ini.cal]]+1)/($D$4-$D$3+1)</f>
        <v>1</v>
      </c>
      <c r="BR291" s="137" t="str">
        <f aca="false">IF(OR(AND(DATOS_[[#This Row],[Fecha Fin Contrato]]&lt;$D$3,DATOS_[[#This Row],[Fecha Fin Contrato]]&lt;&gt;""),DATOS_[[#This Row],[Fecha de Contratación]]&gt;$D$4),"Fuera","Dentro")</f>
        <v>Dentro</v>
      </c>
      <c r="BS291" s="137" t="str">
        <f aca="false" t="array" ref="BS291:BS291">IF(MAX(IF(DATOS_[id]=DATOS_[[#This Row],[id]],DATOS_[F.fin.cal]))=DATOS_[[#This Row],[F.fin.cal]],"Sí","NO")</f>
        <v>Sí</v>
      </c>
      <c r="BT291" s="137" t="str">
        <f aca="false">IF(AND(DATOS_[[#This Row],[% normaliz]]&lt;&gt;1,DATOS_[[#This Row],[% anualiz]]=1),"Sí","NO")</f>
        <v>Sí</v>
      </c>
      <c r="BU291" s="137" t="str">
        <f aca="false">IF(AND(DATOS_[[#This Row],[% normaliz]]=1,DATOS_[[#This Row],[% anualiz]]&lt;&gt;1),"Sí","NO")</f>
        <v>NO</v>
      </c>
      <c r="BV291" s="137" t="str">
        <f aca="false">IF(AND(DATOS_[[#This Row],[% normaliz]]&lt;&gt;1,DATOS_[[#This Row],[% anualiz]]&lt;&gt;1),"Sí","NO")</f>
        <v>NO</v>
      </c>
      <c r="BW291" s="137" t="str">
        <f aca="false">+IF(DATOS_[[#This Row],[% normaliz]]*DATOS_[[#This Row],[% anualiz]]=1,"NO","Sí")</f>
        <v>Sí</v>
      </c>
      <c r="BX291" s="138" t="e">
        <f aca="false">(DATOS_[[#This Row],[S.BASE]]*(1/DATOS_[[#This Row],[% normaliz]])*(1/DATOS_[[#This Row],[% anualiz]]))*IF(DATOS_[[#This Row],[Check Equiparado]]="Sí",1,0)</f>
        <v>#DIV/0!</v>
      </c>
      <c r="BY2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1" s="138" t="e">
        <f aca="false">+DATOS_[[#This Row],[SALARIO BASE Eq]]+DATOS_[[#This Row],[Tot COMPL.SAL Eq]]</f>
        <v>#DIV/0!</v>
      </c>
      <c r="CA291" s="138" t="e">
        <f aca="false" t="array" ref="CA291:CA2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1" s="138" t="e">
        <f aca="false">+DATOS_[[#This Row],[TOTAL SALARIO Eq]]+DATOS_[[#This Row],[Tot Extrasalarial Eq]]</f>
        <v>#DIV/0!</v>
      </c>
      <c r="CC291" s="139" t="n">
        <f aca="false">DATOS_[[#This Row],[S.BASE]]</f>
        <v>0</v>
      </c>
      <c r="CD291" s="139" t="n">
        <f aca="false">+SUM(DATOS_[[#This Row],[Conc.Sal.01]:[Conc.Sal.30]])</f>
        <v>0</v>
      </c>
      <c r="CE291" s="139" t="n">
        <f aca="false">+DATOS_[[#This Row],[SALARIO BASE Ef]]+DATOS_[[#This Row],[Tot COMPL.SAL Ef]]</f>
        <v>0</v>
      </c>
      <c r="CF291" s="139" t="n">
        <f aca="false">+SUM(DATOS_[[#This Row],[C.Extra.01]:[C.Extra.05]])</f>
        <v>0</v>
      </c>
      <c r="CG291" s="139" t="n">
        <f aca="false">+DATOS_[[#This Row],[TOTAL SALARIO Ef]]+DATOS_[[#This Row],[Tot Extrasalarial Ef]]</f>
        <v>0</v>
      </c>
      <c r="CH291" s="140" t="n">
        <f aca="false">MIN(IF(DATOS_[[#This Row],[Fecha Fin Contrato]]="",$D$4,DATOS_[[#This Row],[Fecha Fin Contrato]]),$D$4)-MAX(DATOS_[[#This Row],[Fecha de Contratación]],$D$3)+1</f>
        <v>1</v>
      </c>
      <c r="CI291" s="141" t="str">
        <f aca="false">IF(COUNTIFS(DATOS_[id],DATOS_[[#This Row],[id]])&gt;1,DATOS_[[#This Row],[id]],"")</f>
        <v/>
      </c>
      <c r="CJ291" s="141" t="n">
        <f aca="false">(Inicio!$G$10-DATOS_[[#This Row],[Fecha Nacimiento]])/365.25</f>
        <v>0</v>
      </c>
      <c r="CK291" s="141" t="n">
        <f aca="false">(Inicio!$G$10-DATOS_[[#This Row],[Fecha de Antigüedad]])/365.25</f>
        <v>0</v>
      </c>
      <c r="CL291" s="141" t="e">
        <f aca="false">+VLOOKUP(DATOS_[[#This Row],[Clave de Contrato]],TblTiposContrato13[],3,0)</f>
        <v>#N/A</v>
      </c>
      <c r="CM291" s="141" t="e">
        <f aca="false">+VLOOKUP(DATOS_[[#This Row],[Clave de Contrato]],TblTiposContrato13[],4,0)</f>
        <v>#N/A</v>
      </c>
      <c r="CN291" s="141" t="str">
        <f aca="false">VLOOKUP(DATOS_[[#This Row],[Edad]],CONTRATOS!TblRngEdad,2,1)</f>
        <v>20  o menos</v>
      </c>
      <c r="CO291" s="141" t="str">
        <f aca="false">VLOOKUP(DATOS_[[#This Row],[Antigüedad]],TblRngAntg14[],2,1)</f>
        <v>0 a 1 años</v>
      </c>
    </row>
    <row r="292" customFormat="false" ht="13.8" hidden="false" customHeight="false" outlineLevel="0" collapsed="false">
      <c r="D292" s="128"/>
      <c r="E292" s="129"/>
      <c r="F292" s="129"/>
      <c r="G292" s="129"/>
      <c r="H292" s="130"/>
      <c r="I292" s="131"/>
      <c r="J292" s="128"/>
      <c r="K292" s="132"/>
      <c r="L292" s="132"/>
      <c r="M292" s="133"/>
      <c r="N292" s="133"/>
      <c r="O292" s="133"/>
      <c r="P292" s="129"/>
      <c r="Z292" s="75"/>
      <c r="AA292" s="76"/>
      <c r="AB292" s="76"/>
      <c r="AC292" s="129"/>
      <c r="AD292" s="134"/>
      <c r="AE292" s="134"/>
      <c r="AF292" s="134"/>
      <c r="AG292" s="134"/>
      <c r="AH292" s="134"/>
      <c r="AI292" s="134"/>
      <c r="AJ292" s="134"/>
      <c r="AK292" s="134"/>
      <c r="AL292" s="134"/>
      <c r="AM292" s="134"/>
      <c r="AN292" s="134"/>
      <c r="AO292" s="134"/>
      <c r="AP292" s="134"/>
      <c r="AQ292" s="134"/>
      <c r="AR292" s="134"/>
      <c r="AS292" s="134"/>
      <c r="AT292" s="134"/>
      <c r="AU292" s="134"/>
      <c r="AV292" s="134"/>
      <c r="AW292" s="134"/>
      <c r="AX292" s="134"/>
      <c r="AY292" s="134"/>
      <c r="AZ292" s="134"/>
      <c r="BA292" s="134"/>
      <c r="BB292" s="134"/>
      <c r="BC292" s="134"/>
      <c r="BD292" s="134"/>
      <c r="BE292" s="134"/>
      <c r="BF292" s="134"/>
      <c r="BG292" s="134"/>
      <c r="BH292" s="134"/>
      <c r="BI292" s="134"/>
      <c r="BJ292" s="134"/>
      <c r="BK292" s="134"/>
      <c r="BL292" s="134"/>
      <c r="BM292" s="135"/>
      <c r="BN292" s="136" t="n">
        <f aca="false">+MAX($D$3,DATOS_[[#This Row],[Fecha Inicio Sit. Contract.]])</f>
        <v>0</v>
      </c>
      <c r="BO292" s="136" t="n">
        <f aca="false">+MIN($D$4,DATOS_[[#This Row],[Fecha Fin Sit. Contract.]])</f>
        <v>0</v>
      </c>
      <c r="BP292" s="137" t="n">
        <f aca="false">+DATOS_[[#This Row],[% de jornada]]*IF(DATOS_[[#This Row],[% jornada reducida]]="",1,DATOS_[[#This Row],[% jornada reducida]])</f>
        <v>0</v>
      </c>
      <c r="BQ292" s="137" t="n">
        <f aca="false">+(DATOS_[[#This Row],[F.fin.cal]]-DATOS_[[#This Row],[F.ini.cal]]+1)/($D$4-$D$3+1)</f>
        <v>1</v>
      </c>
      <c r="BR292" s="137" t="str">
        <f aca="false">IF(OR(AND(DATOS_[[#This Row],[Fecha Fin Contrato]]&lt;$D$3,DATOS_[[#This Row],[Fecha Fin Contrato]]&lt;&gt;""),DATOS_[[#This Row],[Fecha de Contratación]]&gt;$D$4),"Fuera","Dentro")</f>
        <v>Dentro</v>
      </c>
      <c r="BS292" s="137" t="str">
        <f aca="false" t="array" ref="BS292:BS292">IF(MAX(IF(DATOS_[id]=DATOS_[[#This Row],[id]],DATOS_[F.fin.cal]))=DATOS_[[#This Row],[F.fin.cal]],"Sí","NO")</f>
        <v>Sí</v>
      </c>
      <c r="BT292" s="137" t="str">
        <f aca="false">IF(AND(DATOS_[[#This Row],[% normaliz]]&lt;&gt;1,DATOS_[[#This Row],[% anualiz]]=1),"Sí","NO")</f>
        <v>Sí</v>
      </c>
      <c r="BU292" s="137" t="str">
        <f aca="false">IF(AND(DATOS_[[#This Row],[% normaliz]]=1,DATOS_[[#This Row],[% anualiz]]&lt;&gt;1),"Sí","NO")</f>
        <v>NO</v>
      </c>
      <c r="BV292" s="137" t="str">
        <f aca="false">IF(AND(DATOS_[[#This Row],[% normaliz]]&lt;&gt;1,DATOS_[[#This Row],[% anualiz]]&lt;&gt;1),"Sí","NO")</f>
        <v>NO</v>
      </c>
      <c r="BW292" s="137" t="str">
        <f aca="false">+IF(DATOS_[[#This Row],[% normaliz]]*DATOS_[[#This Row],[% anualiz]]=1,"NO","Sí")</f>
        <v>Sí</v>
      </c>
      <c r="BX292" s="138" t="e">
        <f aca="false">(DATOS_[[#This Row],[S.BASE]]*(1/DATOS_[[#This Row],[% normaliz]])*(1/DATOS_[[#This Row],[% anualiz]]))*IF(DATOS_[[#This Row],[Check Equiparado]]="Sí",1,0)</f>
        <v>#DIV/0!</v>
      </c>
      <c r="BY2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2" s="138" t="e">
        <f aca="false">+DATOS_[[#This Row],[SALARIO BASE Eq]]+DATOS_[[#This Row],[Tot COMPL.SAL Eq]]</f>
        <v>#DIV/0!</v>
      </c>
      <c r="CA292" s="138" t="e">
        <f aca="false" t="array" ref="CA292:CA2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2" s="138" t="e">
        <f aca="false">+DATOS_[[#This Row],[TOTAL SALARIO Eq]]+DATOS_[[#This Row],[Tot Extrasalarial Eq]]</f>
        <v>#DIV/0!</v>
      </c>
      <c r="CC292" s="139" t="n">
        <f aca="false">DATOS_[[#This Row],[S.BASE]]</f>
        <v>0</v>
      </c>
      <c r="CD292" s="139" t="n">
        <f aca="false">+SUM(DATOS_[[#This Row],[Conc.Sal.01]:[Conc.Sal.30]])</f>
        <v>0</v>
      </c>
      <c r="CE292" s="139" t="n">
        <f aca="false">+DATOS_[[#This Row],[SALARIO BASE Ef]]+DATOS_[[#This Row],[Tot COMPL.SAL Ef]]</f>
        <v>0</v>
      </c>
      <c r="CF292" s="139" t="n">
        <f aca="false">+SUM(DATOS_[[#This Row],[C.Extra.01]:[C.Extra.05]])</f>
        <v>0</v>
      </c>
      <c r="CG292" s="139" t="n">
        <f aca="false">+DATOS_[[#This Row],[TOTAL SALARIO Ef]]+DATOS_[[#This Row],[Tot Extrasalarial Ef]]</f>
        <v>0</v>
      </c>
      <c r="CH292" s="140" t="n">
        <f aca="false">MIN(IF(DATOS_[[#This Row],[Fecha Fin Contrato]]="",$D$4,DATOS_[[#This Row],[Fecha Fin Contrato]]),$D$4)-MAX(DATOS_[[#This Row],[Fecha de Contratación]],$D$3)+1</f>
        <v>1</v>
      </c>
      <c r="CI292" s="141" t="str">
        <f aca="false">IF(COUNTIFS(DATOS_[id],DATOS_[[#This Row],[id]])&gt;1,DATOS_[[#This Row],[id]],"")</f>
        <v/>
      </c>
      <c r="CJ292" s="141" t="n">
        <f aca="false">(Inicio!$G$10-DATOS_[[#This Row],[Fecha Nacimiento]])/365.25</f>
        <v>0</v>
      </c>
      <c r="CK292" s="141" t="n">
        <f aca="false">(Inicio!$G$10-DATOS_[[#This Row],[Fecha de Antigüedad]])/365.25</f>
        <v>0</v>
      </c>
      <c r="CL292" s="141" t="e">
        <f aca="false">+VLOOKUP(DATOS_[[#This Row],[Clave de Contrato]],TblTiposContrato13[],3,0)</f>
        <v>#N/A</v>
      </c>
      <c r="CM292" s="141" t="e">
        <f aca="false">+VLOOKUP(DATOS_[[#This Row],[Clave de Contrato]],TblTiposContrato13[],4,0)</f>
        <v>#N/A</v>
      </c>
      <c r="CN292" s="141" t="str">
        <f aca="false">VLOOKUP(DATOS_[[#This Row],[Edad]],CONTRATOS!TblRngEdad,2,1)</f>
        <v>20  o menos</v>
      </c>
      <c r="CO292" s="141" t="str">
        <f aca="false">VLOOKUP(DATOS_[[#This Row],[Antigüedad]],TblRngAntg14[],2,1)</f>
        <v>0 a 1 años</v>
      </c>
    </row>
    <row r="293" customFormat="false" ht="13.8" hidden="false" customHeight="false" outlineLevel="0" collapsed="false">
      <c r="D293" s="128"/>
      <c r="E293" s="129"/>
      <c r="F293" s="129"/>
      <c r="G293" s="129"/>
      <c r="H293" s="130"/>
      <c r="I293" s="131"/>
      <c r="J293" s="128"/>
      <c r="K293" s="132"/>
      <c r="L293" s="132"/>
      <c r="M293" s="133"/>
      <c r="N293" s="133"/>
      <c r="O293" s="133"/>
      <c r="P293" s="129"/>
      <c r="Z293" s="75"/>
      <c r="AA293" s="76"/>
      <c r="AB293" s="76"/>
      <c r="AC293" s="129"/>
      <c r="AD293" s="134"/>
      <c r="AE293" s="134"/>
      <c r="AF293" s="134"/>
      <c r="AG293" s="134"/>
      <c r="AH293" s="134"/>
      <c r="AI293" s="134"/>
      <c r="AJ293" s="134"/>
      <c r="AK293" s="134"/>
      <c r="AL293" s="134"/>
      <c r="AM293" s="134"/>
      <c r="AN293" s="134"/>
      <c r="AO293" s="134"/>
      <c r="AP293" s="134"/>
      <c r="AQ293" s="134"/>
      <c r="AR293" s="134"/>
      <c r="AS293" s="134"/>
      <c r="AT293" s="134"/>
      <c r="AU293" s="134"/>
      <c r="AV293" s="134"/>
      <c r="AW293" s="134"/>
      <c r="AX293" s="134"/>
      <c r="AY293" s="134"/>
      <c r="AZ293" s="134"/>
      <c r="BA293" s="134"/>
      <c r="BB293" s="134"/>
      <c r="BC293" s="134"/>
      <c r="BD293" s="134"/>
      <c r="BE293" s="134"/>
      <c r="BF293" s="134"/>
      <c r="BG293" s="134"/>
      <c r="BH293" s="134"/>
      <c r="BI293" s="134"/>
      <c r="BJ293" s="134"/>
      <c r="BK293" s="134"/>
      <c r="BL293" s="134"/>
      <c r="BM293" s="135"/>
      <c r="BN293" s="136" t="n">
        <f aca="false">+MAX($D$3,DATOS_[[#This Row],[Fecha Inicio Sit. Contract.]])</f>
        <v>0</v>
      </c>
      <c r="BO293" s="136" t="n">
        <f aca="false">+MIN($D$4,DATOS_[[#This Row],[Fecha Fin Sit. Contract.]])</f>
        <v>0</v>
      </c>
      <c r="BP293" s="137" t="n">
        <f aca="false">+DATOS_[[#This Row],[% de jornada]]*IF(DATOS_[[#This Row],[% jornada reducida]]="",1,DATOS_[[#This Row],[% jornada reducida]])</f>
        <v>0</v>
      </c>
      <c r="BQ293" s="137" t="n">
        <f aca="false">+(DATOS_[[#This Row],[F.fin.cal]]-DATOS_[[#This Row],[F.ini.cal]]+1)/($D$4-$D$3+1)</f>
        <v>1</v>
      </c>
      <c r="BR293" s="137" t="str">
        <f aca="false">IF(OR(AND(DATOS_[[#This Row],[Fecha Fin Contrato]]&lt;$D$3,DATOS_[[#This Row],[Fecha Fin Contrato]]&lt;&gt;""),DATOS_[[#This Row],[Fecha de Contratación]]&gt;$D$4),"Fuera","Dentro")</f>
        <v>Dentro</v>
      </c>
      <c r="BS293" s="137" t="str">
        <f aca="false" t="array" ref="BS293:BS293">IF(MAX(IF(DATOS_[id]=DATOS_[[#This Row],[id]],DATOS_[F.fin.cal]))=DATOS_[[#This Row],[F.fin.cal]],"Sí","NO")</f>
        <v>Sí</v>
      </c>
      <c r="BT293" s="137" t="str">
        <f aca="false">IF(AND(DATOS_[[#This Row],[% normaliz]]&lt;&gt;1,DATOS_[[#This Row],[% anualiz]]=1),"Sí","NO")</f>
        <v>Sí</v>
      </c>
      <c r="BU293" s="137" t="str">
        <f aca="false">IF(AND(DATOS_[[#This Row],[% normaliz]]=1,DATOS_[[#This Row],[% anualiz]]&lt;&gt;1),"Sí","NO")</f>
        <v>NO</v>
      </c>
      <c r="BV293" s="137" t="str">
        <f aca="false">IF(AND(DATOS_[[#This Row],[% normaliz]]&lt;&gt;1,DATOS_[[#This Row],[% anualiz]]&lt;&gt;1),"Sí","NO")</f>
        <v>NO</v>
      </c>
      <c r="BW293" s="137" t="str">
        <f aca="false">+IF(DATOS_[[#This Row],[% normaliz]]*DATOS_[[#This Row],[% anualiz]]=1,"NO","Sí")</f>
        <v>Sí</v>
      </c>
      <c r="BX293" s="138" t="e">
        <f aca="false">(DATOS_[[#This Row],[S.BASE]]*(1/DATOS_[[#This Row],[% normaliz]])*(1/DATOS_[[#This Row],[% anualiz]]))*IF(DATOS_[[#This Row],[Check Equiparado]]="Sí",1,0)</f>
        <v>#DIV/0!</v>
      </c>
      <c r="BY2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3" s="138" t="e">
        <f aca="false">+DATOS_[[#This Row],[SALARIO BASE Eq]]+DATOS_[[#This Row],[Tot COMPL.SAL Eq]]</f>
        <v>#DIV/0!</v>
      </c>
      <c r="CA293" s="138" t="e">
        <f aca="false" t="array" ref="CA293:CA2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3" s="138" t="e">
        <f aca="false">+DATOS_[[#This Row],[TOTAL SALARIO Eq]]+DATOS_[[#This Row],[Tot Extrasalarial Eq]]</f>
        <v>#DIV/0!</v>
      </c>
      <c r="CC293" s="139" t="n">
        <f aca="false">DATOS_[[#This Row],[S.BASE]]</f>
        <v>0</v>
      </c>
      <c r="CD293" s="139" t="n">
        <f aca="false">+SUM(DATOS_[[#This Row],[Conc.Sal.01]:[Conc.Sal.30]])</f>
        <v>0</v>
      </c>
      <c r="CE293" s="139" t="n">
        <f aca="false">+DATOS_[[#This Row],[SALARIO BASE Ef]]+DATOS_[[#This Row],[Tot COMPL.SAL Ef]]</f>
        <v>0</v>
      </c>
      <c r="CF293" s="139" t="n">
        <f aca="false">+SUM(DATOS_[[#This Row],[C.Extra.01]:[C.Extra.05]])</f>
        <v>0</v>
      </c>
      <c r="CG293" s="139" t="n">
        <f aca="false">+DATOS_[[#This Row],[TOTAL SALARIO Ef]]+DATOS_[[#This Row],[Tot Extrasalarial Ef]]</f>
        <v>0</v>
      </c>
      <c r="CH293" s="140" t="n">
        <f aca="false">MIN(IF(DATOS_[[#This Row],[Fecha Fin Contrato]]="",$D$4,DATOS_[[#This Row],[Fecha Fin Contrato]]),$D$4)-MAX(DATOS_[[#This Row],[Fecha de Contratación]],$D$3)+1</f>
        <v>1</v>
      </c>
      <c r="CI293" s="141" t="str">
        <f aca="false">IF(COUNTIFS(DATOS_[id],DATOS_[[#This Row],[id]])&gt;1,DATOS_[[#This Row],[id]],"")</f>
        <v/>
      </c>
      <c r="CJ293" s="141" t="n">
        <f aca="false">(Inicio!$G$10-DATOS_[[#This Row],[Fecha Nacimiento]])/365.25</f>
        <v>0</v>
      </c>
      <c r="CK293" s="141" t="n">
        <f aca="false">(Inicio!$G$10-DATOS_[[#This Row],[Fecha de Antigüedad]])/365.25</f>
        <v>0</v>
      </c>
      <c r="CL293" s="141" t="e">
        <f aca="false">+VLOOKUP(DATOS_[[#This Row],[Clave de Contrato]],TblTiposContrato13[],3,0)</f>
        <v>#N/A</v>
      </c>
      <c r="CM293" s="141" t="e">
        <f aca="false">+VLOOKUP(DATOS_[[#This Row],[Clave de Contrato]],TblTiposContrato13[],4,0)</f>
        <v>#N/A</v>
      </c>
      <c r="CN293" s="141" t="str">
        <f aca="false">VLOOKUP(DATOS_[[#This Row],[Edad]],CONTRATOS!TblRngEdad,2,1)</f>
        <v>20  o menos</v>
      </c>
      <c r="CO293" s="141" t="str">
        <f aca="false">VLOOKUP(DATOS_[[#This Row],[Antigüedad]],TblRngAntg14[],2,1)</f>
        <v>0 a 1 años</v>
      </c>
    </row>
    <row r="294" customFormat="false" ht="13.8" hidden="false" customHeight="false" outlineLevel="0" collapsed="false">
      <c r="D294" s="128"/>
      <c r="E294" s="129"/>
      <c r="F294" s="129"/>
      <c r="G294" s="129"/>
      <c r="H294" s="130"/>
      <c r="I294" s="131"/>
      <c r="J294" s="128"/>
      <c r="K294" s="132"/>
      <c r="L294" s="132"/>
      <c r="M294" s="133"/>
      <c r="N294" s="133"/>
      <c r="O294" s="133"/>
      <c r="P294" s="129"/>
      <c r="Z294" s="75"/>
      <c r="AA294" s="76"/>
      <c r="AB294" s="76"/>
      <c r="AC294" s="129"/>
      <c r="AD294" s="134"/>
      <c r="AE294" s="134"/>
      <c r="AF294" s="134"/>
      <c r="AG294" s="134"/>
      <c r="AH294" s="134"/>
      <c r="AI294" s="134"/>
      <c r="AJ294" s="134"/>
      <c r="AK294" s="134"/>
      <c r="AL294" s="134"/>
      <c r="AM294" s="134"/>
      <c r="AN294" s="134"/>
      <c r="AO294" s="134"/>
      <c r="AP294" s="134"/>
      <c r="AQ294" s="134"/>
      <c r="AR294" s="134"/>
      <c r="AS294" s="134"/>
      <c r="AT294" s="134"/>
      <c r="AU294" s="134"/>
      <c r="AV294" s="134"/>
      <c r="AW294" s="134"/>
      <c r="AX294" s="134"/>
      <c r="AY294" s="134"/>
      <c r="AZ294" s="134"/>
      <c r="BA294" s="134"/>
      <c r="BB294" s="134"/>
      <c r="BC294" s="134"/>
      <c r="BD294" s="134"/>
      <c r="BE294" s="134"/>
      <c r="BF294" s="134"/>
      <c r="BG294" s="134"/>
      <c r="BH294" s="134"/>
      <c r="BI294" s="134"/>
      <c r="BJ294" s="134"/>
      <c r="BK294" s="134"/>
      <c r="BL294" s="134"/>
      <c r="BM294" s="135"/>
      <c r="BN294" s="136" t="n">
        <f aca="false">+MAX($D$3,DATOS_[[#This Row],[Fecha Inicio Sit. Contract.]])</f>
        <v>0</v>
      </c>
      <c r="BO294" s="136" t="n">
        <f aca="false">+MIN($D$4,DATOS_[[#This Row],[Fecha Fin Sit. Contract.]])</f>
        <v>0</v>
      </c>
      <c r="BP294" s="137" t="n">
        <f aca="false">+DATOS_[[#This Row],[% de jornada]]*IF(DATOS_[[#This Row],[% jornada reducida]]="",1,DATOS_[[#This Row],[% jornada reducida]])</f>
        <v>0</v>
      </c>
      <c r="BQ294" s="137" t="n">
        <f aca="false">+(DATOS_[[#This Row],[F.fin.cal]]-DATOS_[[#This Row],[F.ini.cal]]+1)/($D$4-$D$3+1)</f>
        <v>1</v>
      </c>
      <c r="BR294" s="137" t="str">
        <f aca="false">IF(OR(AND(DATOS_[[#This Row],[Fecha Fin Contrato]]&lt;$D$3,DATOS_[[#This Row],[Fecha Fin Contrato]]&lt;&gt;""),DATOS_[[#This Row],[Fecha de Contratación]]&gt;$D$4),"Fuera","Dentro")</f>
        <v>Dentro</v>
      </c>
      <c r="BS294" s="137" t="str">
        <f aca="false" t="array" ref="BS294:BS294">IF(MAX(IF(DATOS_[id]=DATOS_[[#This Row],[id]],DATOS_[F.fin.cal]))=DATOS_[[#This Row],[F.fin.cal]],"Sí","NO")</f>
        <v>Sí</v>
      </c>
      <c r="BT294" s="137" t="str">
        <f aca="false">IF(AND(DATOS_[[#This Row],[% normaliz]]&lt;&gt;1,DATOS_[[#This Row],[% anualiz]]=1),"Sí","NO")</f>
        <v>Sí</v>
      </c>
      <c r="BU294" s="137" t="str">
        <f aca="false">IF(AND(DATOS_[[#This Row],[% normaliz]]=1,DATOS_[[#This Row],[% anualiz]]&lt;&gt;1),"Sí","NO")</f>
        <v>NO</v>
      </c>
      <c r="BV294" s="137" t="str">
        <f aca="false">IF(AND(DATOS_[[#This Row],[% normaliz]]&lt;&gt;1,DATOS_[[#This Row],[% anualiz]]&lt;&gt;1),"Sí","NO")</f>
        <v>NO</v>
      </c>
      <c r="BW294" s="137" t="str">
        <f aca="false">+IF(DATOS_[[#This Row],[% normaliz]]*DATOS_[[#This Row],[% anualiz]]=1,"NO","Sí")</f>
        <v>Sí</v>
      </c>
      <c r="BX294" s="138" t="e">
        <f aca="false">(DATOS_[[#This Row],[S.BASE]]*(1/DATOS_[[#This Row],[% normaliz]])*(1/DATOS_[[#This Row],[% anualiz]]))*IF(DATOS_[[#This Row],[Check Equiparado]]="Sí",1,0)</f>
        <v>#DIV/0!</v>
      </c>
      <c r="BY2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4" s="138" t="e">
        <f aca="false">+DATOS_[[#This Row],[SALARIO BASE Eq]]+DATOS_[[#This Row],[Tot COMPL.SAL Eq]]</f>
        <v>#DIV/0!</v>
      </c>
      <c r="CA294" s="138" t="e">
        <f aca="false" t="array" ref="CA294:CA2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4" s="138" t="e">
        <f aca="false">+DATOS_[[#This Row],[TOTAL SALARIO Eq]]+DATOS_[[#This Row],[Tot Extrasalarial Eq]]</f>
        <v>#DIV/0!</v>
      </c>
      <c r="CC294" s="139" t="n">
        <f aca="false">DATOS_[[#This Row],[S.BASE]]</f>
        <v>0</v>
      </c>
      <c r="CD294" s="139" t="n">
        <f aca="false">+SUM(DATOS_[[#This Row],[Conc.Sal.01]:[Conc.Sal.30]])</f>
        <v>0</v>
      </c>
      <c r="CE294" s="139" t="n">
        <f aca="false">+DATOS_[[#This Row],[SALARIO BASE Ef]]+DATOS_[[#This Row],[Tot COMPL.SAL Ef]]</f>
        <v>0</v>
      </c>
      <c r="CF294" s="139" t="n">
        <f aca="false">+SUM(DATOS_[[#This Row],[C.Extra.01]:[C.Extra.05]])</f>
        <v>0</v>
      </c>
      <c r="CG294" s="139" t="n">
        <f aca="false">+DATOS_[[#This Row],[TOTAL SALARIO Ef]]+DATOS_[[#This Row],[Tot Extrasalarial Ef]]</f>
        <v>0</v>
      </c>
      <c r="CH294" s="140" t="n">
        <f aca="false">MIN(IF(DATOS_[[#This Row],[Fecha Fin Contrato]]="",$D$4,DATOS_[[#This Row],[Fecha Fin Contrato]]),$D$4)-MAX(DATOS_[[#This Row],[Fecha de Contratación]],$D$3)+1</f>
        <v>1</v>
      </c>
      <c r="CI294" s="141" t="str">
        <f aca="false">IF(COUNTIFS(DATOS_[id],DATOS_[[#This Row],[id]])&gt;1,DATOS_[[#This Row],[id]],"")</f>
        <v/>
      </c>
      <c r="CJ294" s="141" t="n">
        <f aca="false">(Inicio!$G$10-DATOS_[[#This Row],[Fecha Nacimiento]])/365.25</f>
        <v>0</v>
      </c>
      <c r="CK294" s="141" t="n">
        <f aca="false">(Inicio!$G$10-DATOS_[[#This Row],[Fecha de Antigüedad]])/365.25</f>
        <v>0</v>
      </c>
      <c r="CL294" s="141" t="e">
        <f aca="false">+VLOOKUP(DATOS_[[#This Row],[Clave de Contrato]],TblTiposContrato13[],3,0)</f>
        <v>#N/A</v>
      </c>
      <c r="CM294" s="141" t="e">
        <f aca="false">+VLOOKUP(DATOS_[[#This Row],[Clave de Contrato]],TblTiposContrato13[],4,0)</f>
        <v>#N/A</v>
      </c>
      <c r="CN294" s="141" t="str">
        <f aca="false">VLOOKUP(DATOS_[[#This Row],[Edad]],CONTRATOS!TblRngEdad,2,1)</f>
        <v>20  o menos</v>
      </c>
      <c r="CO294" s="141" t="str">
        <f aca="false">VLOOKUP(DATOS_[[#This Row],[Antigüedad]],TblRngAntg14[],2,1)</f>
        <v>0 a 1 años</v>
      </c>
    </row>
    <row r="295" customFormat="false" ht="13.8" hidden="false" customHeight="false" outlineLevel="0" collapsed="false">
      <c r="D295" s="128"/>
      <c r="E295" s="129"/>
      <c r="F295" s="129"/>
      <c r="G295" s="129"/>
      <c r="H295" s="130"/>
      <c r="I295" s="131"/>
      <c r="J295" s="128"/>
      <c r="K295" s="132"/>
      <c r="L295" s="132"/>
      <c r="M295" s="133"/>
      <c r="N295" s="133"/>
      <c r="O295" s="133"/>
      <c r="P295" s="129"/>
      <c r="Z295" s="75"/>
      <c r="AA295" s="76"/>
      <c r="AB295" s="76"/>
      <c r="AC295" s="129"/>
      <c r="AD295" s="134"/>
      <c r="AE295" s="134"/>
      <c r="AF295" s="134"/>
      <c r="AG295" s="134"/>
      <c r="AH295" s="134"/>
      <c r="AI295" s="134"/>
      <c r="AJ295" s="134"/>
      <c r="AK295" s="134"/>
      <c r="AL295" s="134"/>
      <c r="AM295" s="134"/>
      <c r="AN295" s="134"/>
      <c r="AO295" s="134"/>
      <c r="AP295" s="134"/>
      <c r="AQ295" s="134"/>
      <c r="AR295" s="134"/>
      <c r="AS295" s="134"/>
      <c r="AT295" s="134"/>
      <c r="AU295" s="134"/>
      <c r="AV295" s="134"/>
      <c r="AW295" s="134"/>
      <c r="AX295" s="134"/>
      <c r="AY295" s="134"/>
      <c r="AZ295" s="134"/>
      <c r="BA295" s="134"/>
      <c r="BB295" s="134"/>
      <c r="BC295" s="134"/>
      <c r="BD295" s="134"/>
      <c r="BE295" s="134"/>
      <c r="BF295" s="134"/>
      <c r="BG295" s="134"/>
      <c r="BH295" s="134"/>
      <c r="BI295" s="134"/>
      <c r="BJ295" s="134"/>
      <c r="BK295" s="134"/>
      <c r="BL295" s="134"/>
      <c r="BM295" s="135"/>
      <c r="BN295" s="136" t="n">
        <f aca="false">+MAX($D$3,DATOS_[[#This Row],[Fecha Inicio Sit. Contract.]])</f>
        <v>0</v>
      </c>
      <c r="BO295" s="136" t="n">
        <f aca="false">+MIN($D$4,DATOS_[[#This Row],[Fecha Fin Sit. Contract.]])</f>
        <v>0</v>
      </c>
      <c r="BP295" s="137" t="n">
        <f aca="false">+DATOS_[[#This Row],[% de jornada]]*IF(DATOS_[[#This Row],[% jornada reducida]]="",1,DATOS_[[#This Row],[% jornada reducida]])</f>
        <v>0</v>
      </c>
      <c r="BQ295" s="137" t="n">
        <f aca="false">+(DATOS_[[#This Row],[F.fin.cal]]-DATOS_[[#This Row],[F.ini.cal]]+1)/($D$4-$D$3+1)</f>
        <v>1</v>
      </c>
      <c r="BR295" s="137" t="str">
        <f aca="false">IF(OR(AND(DATOS_[[#This Row],[Fecha Fin Contrato]]&lt;$D$3,DATOS_[[#This Row],[Fecha Fin Contrato]]&lt;&gt;""),DATOS_[[#This Row],[Fecha de Contratación]]&gt;$D$4),"Fuera","Dentro")</f>
        <v>Dentro</v>
      </c>
      <c r="BS295" s="137" t="str">
        <f aca="false" t="array" ref="BS295:BS295">IF(MAX(IF(DATOS_[id]=DATOS_[[#This Row],[id]],DATOS_[F.fin.cal]))=DATOS_[[#This Row],[F.fin.cal]],"Sí","NO")</f>
        <v>Sí</v>
      </c>
      <c r="BT295" s="137" t="str">
        <f aca="false">IF(AND(DATOS_[[#This Row],[% normaliz]]&lt;&gt;1,DATOS_[[#This Row],[% anualiz]]=1),"Sí","NO")</f>
        <v>Sí</v>
      </c>
      <c r="BU295" s="137" t="str">
        <f aca="false">IF(AND(DATOS_[[#This Row],[% normaliz]]=1,DATOS_[[#This Row],[% anualiz]]&lt;&gt;1),"Sí","NO")</f>
        <v>NO</v>
      </c>
      <c r="BV295" s="137" t="str">
        <f aca="false">IF(AND(DATOS_[[#This Row],[% normaliz]]&lt;&gt;1,DATOS_[[#This Row],[% anualiz]]&lt;&gt;1),"Sí","NO")</f>
        <v>NO</v>
      </c>
      <c r="BW295" s="137" t="str">
        <f aca="false">+IF(DATOS_[[#This Row],[% normaliz]]*DATOS_[[#This Row],[% anualiz]]=1,"NO","Sí")</f>
        <v>Sí</v>
      </c>
      <c r="BX295" s="138" t="e">
        <f aca="false">(DATOS_[[#This Row],[S.BASE]]*(1/DATOS_[[#This Row],[% normaliz]])*(1/DATOS_[[#This Row],[% anualiz]]))*IF(DATOS_[[#This Row],[Check Equiparado]]="Sí",1,0)</f>
        <v>#DIV/0!</v>
      </c>
      <c r="BY2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5" s="138" t="e">
        <f aca="false">+DATOS_[[#This Row],[SALARIO BASE Eq]]+DATOS_[[#This Row],[Tot COMPL.SAL Eq]]</f>
        <v>#DIV/0!</v>
      </c>
      <c r="CA295" s="138" t="e">
        <f aca="false" t="array" ref="CA295:CA2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5" s="138" t="e">
        <f aca="false">+DATOS_[[#This Row],[TOTAL SALARIO Eq]]+DATOS_[[#This Row],[Tot Extrasalarial Eq]]</f>
        <v>#DIV/0!</v>
      </c>
      <c r="CC295" s="139" t="n">
        <f aca="false">DATOS_[[#This Row],[S.BASE]]</f>
        <v>0</v>
      </c>
      <c r="CD295" s="139" t="n">
        <f aca="false">+SUM(DATOS_[[#This Row],[Conc.Sal.01]:[Conc.Sal.30]])</f>
        <v>0</v>
      </c>
      <c r="CE295" s="139" t="n">
        <f aca="false">+DATOS_[[#This Row],[SALARIO BASE Ef]]+DATOS_[[#This Row],[Tot COMPL.SAL Ef]]</f>
        <v>0</v>
      </c>
      <c r="CF295" s="139" t="n">
        <f aca="false">+SUM(DATOS_[[#This Row],[C.Extra.01]:[C.Extra.05]])</f>
        <v>0</v>
      </c>
      <c r="CG295" s="139" t="n">
        <f aca="false">+DATOS_[[#This Row],[TOTAL SALARIO Ef]]+DATOS_[[#This Row],[Tot Extrasalarial Ef]]</f>
        <v>0</v>
      </c>
      <c r="CH295" s="140" t="n">
        <f aca="false">MIN(IF(DATOS_[[#This Row],[Fecha Fin Contrato]]="",$D$4,DATOS_[[#This Row],[Fecha Fin Contrato]]),$D$4)-MAX(DATOS_[[#This Row],[Fecha de Contratación]],$D$3)+1</f>
        <v>1</v>
      </c>
      <c r="CI295" s="141" t="str">
        <f aca="false">IF(COUNTIFS(DATOS_[id],DATOS_[[#This Row],[id]])&gt;1,DATOS_[[#This Row],[id]],"")</f>
        <v/>
      </c>
      <c r="CJ295" s="141" t="n">
        <f aca="false">(Inicio!$G$10-DATOS_[[#This Row],[Fecha Nacimiento]])/365.25</f>
        <v>0</v>
      </c>
      <c r="CK295" s="141" t="n">
        <f aca="false">(Inicio!$G$10-DATOS_[[#This Row],[Fecha de Antigüedad]])/365.25</f>
        <v>0</v>
      </c>
      <c r="CL295" s="141" t="e">
        <f aca="false">+VLOOKUP(DATOS_[[#This Row],[Clave de Contrato]],TblTiposContrato13[],3,0)</f>
        <v>#N/A</v>
      </c>
      <c r="CM295" s="141" t="e">
        <f aca="false">+VLOOKUP(DATOS_[[#This Row],[Clave de Contrato]],TblTiposContrato13[],4,0)</f>
        <v>#N/A</v>
      </c>
      <c r="CN295" s="141" t="str">
        <f aca="false">VLOOKUP(DATOS_[[#This Row],[Edad]],CONTRATOS!TblRngEdad,2,1)</f>
        <v>20  o menos</v>
      </c>
      <c r="CO295" s="141" t="str">
        <f aca="false">VLOOKUP(DATOS_[[#This Row],[Antigüedad]],TblRngAntg14[],2,1)</f>
        <v>0 a 1 años</v>
      </c>
    </row>
    <row r="296" customFormat="false" ht="13.8" hidden="false" customHeight="false" outlineLevel="0" collapsed="false">
      <c r="D296" s="128"/>
      <c r="E296" s="129"/>
      <c r="F296" s="129"/>
      <c r="G296" s="129"/>
      <c r="H296" s="130"/>
      <c r="I296" s="131"/>
      <c r="J296" s="128"/>
      <c r="K296" s="132"/>
      <c r="L296" s="132"/>
      <c r="M296" s="133"/>
      <c r="N296" s="133"/>
      <c r="O296" s="133"/>
      <c r="P296" s="129"/>
      <c r="Z296" s="75"/>
      <c r="AA296" s="76"/>
      <c r="AB296" s="76"/>
      <c r="AC296" s="129"/>
      <c r="AD296" s="134"/>
      <c r="AE296" s="134"/>
      <c r="AF296" s="134"/>
      <c r="AG296" s="134"/>
      <c r="AH296" s="134"/>
      <c r="AI296" s="134"/>
      <c r="AJ296" s="134"/>
      <c r="AK296" s="134"/>
      <c r="AL296" s="134"/>
      <c r="AM296" s="134"/>
      <c r="AN296" s="134"/>
      <c r="AO296" s="134"/>
      <c r="AP296" s="134"/>
      <c r="AQ296" s="134"/>
      <c r="AR296" s="134"/>
      <c r="AS296" s="134"/>
      <c r="AT296" s="134"/>
      <c r="AU296" s="134"/>
      <c r="AV296" s="134"/>
      <c r="AW296" s="134"/>
      <c r="AX296" s="134"/>
      <c r="AY296" s="134"/>
      <c r="AZ296" s="134"/>
      <c r="BA296" s="134"/>
      <c r="BB296" s="134"/>
      <c r="BC296" s="134"/>
      <c r="BD296" s="134"/>
      <c r="BE296" s="134"/>
      <c r="BF296" s="134"/>
      <c r="BG296" s="134"/>
      <c r="BH296" s="134"/>
      <c r="BI296" s="134"/>
      <c r="BJ296" s="134"/>
      <c r="BK296" s="134"/>
      <c r="BL296" s="134"/>
      <c r="BM296" s="135"/>
      <c r="BN296" s="136" t="n">
        <f aca="false">+MAX($D$3,DATOS_[[#This Row],[Fecha Inicio Sit. Contract.]])</f>
        <v>0</v>
      </c>
      <c r="BO296" s="136" t="n">
        <f aca="false">+MIN($D$4,DATOS_[[#This Row],[Fecha Fin Sit. Contract.]])</f>
        <v>0</v>
      </c>
      <c r="BP296" s="137" t="n">
        <f aca="false">+DATOS_[[#This Row],[% de jornada]]*IF(DATOS_[[#This Row],[% jornada reducida]]="",1,DATOS_[[#This Row],[% jornada reducida]])</f>
        <v>0</v>
      </c>
      <c r="BQ296" s="137" t="n">
        <f aca="false">+(DATOS_[[#This Row],[F.fin.cal]]-DATOS_[[#This Row],[F.ini.cal]]+1)/($D$4-$D$3+1)</f>
        <v>1</v>
      </c>
      <c r="BR296" s="137" t="str">
        <f aca="false">IF(OR(AND(DATOS_[[#This Row],[Fecha Fin Contrato]]&lt;$D$3,DATOS_[[#This Row],[Fecha Fin Contrato]]&lt;&gt;""),DATOS_[[#This Row],[Fecha de Contratación]]&gt;$D$4),"Fuera","Dentro")</f>
        <v>Dentro</v>
      </c>
      <c r="BS296" s="137" t="str">
        <f aca="false" t="array" ref="BS296:BS296">IF(MAX(IF(DATOS_[id]=DATOS_[[#This Row],[id]],DATOS_[F.fin.cal]))=DATOS_[[#This Row],[F.fin.cal]],"Sí","NO")</f>
        <v>Sí</v>
      </c>
      <c r="BT296" s="137" t="str">
        <f aca="false">IF(AND(DATOS_[[#This Row],[% normaliz]]&lt;&gt;1,DATOS_[[#This Row],[% anualiz]]=1),"Sí","NO")</f>
        <v>Sí</v>
      </c>
      <c r="BU296" s="137" t="str">
        <f aca="false">IF(AND(DATOS_[[#This Row],[% normaliz]]=1,DATOS_[[#This Row],[% anualiz]]&lt;&gt;1),"Sí","NO")</f>
        <v>NO</v>
      </c>
      <c r="BV296" s="137" t="str">
        <f aca="false">IF(AND(DATOS_[[#This Row],[% normaliz]]&lt;&gt;1,DATOS_[[#This Row],[% anualiz]]&lt;&gt;1),"Sí","NO")</f>
        <v>NO</v>
      </c>
      <c r="BW296" s="137" t="str">
        <f aca="false">+IF(DATOS_[[#This Row],[% normaliz]]*DATOS_[[#This Row],[% anualiz]]=1,"NO","Sí")</f>
        <v>Sí</v>
      </c>
      <c r="BX296" s="138" t="e">
        <f aca="false">(DATOS_[[#This Row],[S.BASE]]*(1/DATOS_[[#This Row],[% normaliz]])*(1/DATOS_[[#This Row],[% anualiz]]))*IF(DATOS_[[#This Row],[Check Equiparado]]="Sí",1,0)</f>
        <v>#DIV/0!</v>
      </c>
      <c r="BY2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6" s="138" t="e">
        <f aca="false">+DATOS_[[#This Row],[SALARIO BASE Eq]]+DATOS_[[#This Row],[Tot COMPL.SAL Eq]]</f>
        <v>#DIV/0!</v>
      </c>
      <c r="CA296" s="138" t="e">
        <f aca="false" t="array" ref="CA296:CA2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6" s="138" t="e">
        <f aca="false">+DATOS_[[#This Row],[TOTAL SALARIO Eq]]+DATOS_[[#This Row],[Tot Extrasalarial Eq]]</f>
        <v>#DIV/0!</v>
      </c>
      <c r="CC296" s="139" t="n">
        <f aca="false">DATOS_[[#This Row],[S.BASE]]</f>
        <v>0</v>
      </c>
      <c r="CD296" s="139" t="n">
        <f aca="false">+SUM(DATOS_[[#This Row],[Conc.Sal.01]:[Conc.Sal.30]])</f>
        <v>0</v>
      </c>
      <c r="CE296" s="139" t="n">
        <f aca="false">+DATOS_[[#This Row],[SALARIO BASE Ef]]+DATOS_[[#This Row],[Tot COMPL.SAL Ef]]</f>
        <v>0</v>
      </c>
      <c r="CF296" s="139" t="n">
        <f aca="false">+SUM(DATOS_[[#This Row],[C.Extra.01]:[C.Extra.05]])</f>
        <v>0</v>
      </c>
      <c r="CG296" s="139" t="n">
        <f aca="false">+DATOS_[[#This Row],[TOTAL SALARIO Ef]]+DATOS_[[#This Row],[Tot Extrasalarial Ef]]</f>
        <v>0</v>
      </c>
      <c r="CH296" s="140" t="n">
        <f aca="false">MIN(IF(DATOS_[[#This Row],[Fecha Fin Contrato]]="",$D$4,DATOS_[[#This Row],[Fecha Fin Contrato]]),$D$4)-MAX(DATOS_[[#This Row],[Fecha de Contratación]],$D$3)+1</f>
        <v>1</v>
      </c>
      <c r="CI296" s="141" t="str">
        <f aca="false">IF(COUNTIFS(DATOS_[id],DATOS_[[#This Row],[id]])&gt;1,DATOS_[[#This Row],[id]],"")</f>
        <v/>
      </c>
      <c r="CJ296" s="141" t="n">
        <f aca="false">(Inicio!$G$10-DATOS_[[#This Row],[Fecha Nacimiento]])/365.25</f>
        <v>0</v>
      </c>
      <c r="CK296" s="141" t="n">
        <f aca="false">(Inicio!$G$10-DATOS_[[#This Row],[Fecha de Antigüedad]])/365.25</f>
        <v>0</v>
      </c>
      <c r="CL296" s="141" t="e">
        <f aca="false">+VLOOKUP(DATOS_[[#This Row],[Clave de Contrato]],TblTiposContrato13[],3,0)</f>
        <v>#N/A</v>
      </c>
      <c r="CM296" s="141" t="e">
        <f aca="false">+VLOOKUP(DATOS_[[#This Row],[Clave de Contrato]],TblTiposContrato13[],4,0)</f>
        <v>#N/A</v>
      </c>
      <c r="CN296" s="141" t="str">
        <f aca="false">VLOOKUP(DATOS_[[#This Row],[Edad]],CONTRATOS!TblRngEdad,2,1)</f>
        <v>20  o menos</v>
      </c>
      <c r="CO296" s="141" t="str">
        <f aca="false">VLOOKUP(DATOS_[[#This Row],[Antigüedad]],TblRngAntg14[],2,1)</f>
        <v>0 a 1 años</v>
      </c>
    </row>
    <row r="297" customFormat="false" ht="13.8" hidden="false" customHeight="false" outlineLevel="0" collapsed="false">
      <c r="D297" s="128"/>
      <c r="E297" s="129"/>
      <c r="F297" s="129"/>
      <c r="G297" s="129"/>
      <c r="H297" s="130"/>
      <c r="I297" s="131"/>
      <c r="J297" s="128"/>
      <c r="K297" s="132"/>
      <c r="L297" s="132"/>
      <c r="M297" s="133"/>
      <c r="N297" s="133"/>
      <c r="O297" s="133"/>
      <c r="P297" s="129"/>
      <c r="Z297" s="75"/>
      <c r="AA297" s="76"/>
      <c r="AB297" s="76"/>
      <c r="AC297" s="129"/>
      <c r="AD297" s="134"/>
      <c r="AE297" s="134"/>
      <c r="AF297" s="134"/>
      <c r="AG297" s="134"/>
      <c r="AH297" s="134"/>
      <c r="AI297" s="134"/>
      <c r="AJ297" s="134"/>
      <c r="AK297" s="134"/>
      <c r="AL297" s="134"/>
      <c r="AM297" s="134"/>
      <c r="AN297" s="134"/>
      <c r="AO297" s="134"/>
      <c r="AP297" s="134"/>
      <c r="AQ297" s="134"/>
      <c r="AR297" s="134"/>
      <c r="AS297" s="134"/>
      <c r="AT297" s="134"/>
      <c r="AU297" s="134"/>
      <c r="AV297" s="134"/>
      <c r="AW297" s="134"/>
      <c r="AX297" s="134"/>
      <c r="AY297" s="134"/>
      <c r="AZ297" s="134"/>
      <c r="BA297" s="134"/>
      <c r="BB297" s="134"/>
      <c r="BC297" s="134"/>
      <c r="BD297" s="134"/>
      <c r="BE297" s="134"/>
      <c r="BF297" s="134"/>
      <c r="BG297" s="134"/>
      <c r="BH297" s="134"/>
      <c r="BI297" s="134"/>
      <c r="BJ297" s="134"/>
      <c r="BK297" s="134"/>
      <c r="BL297" s="134"/>
      <c r="BM297" s="135"/>
      <c r="BN297" s="136" t="n">
        <f aca="false">+MAX($D$3,DATOS_[[#This Row],[Fecha Inicio Sit. Contract.]])</f>
        <v>0</v>
      </c>
      <c r="BO297" s="136" t="n">
        <f aca="false">+MIN($D$4,DATOS_[[#This Row],[Fecha Fin Sit. Contract.]])</f>
        <v>0</v>
      </c>
      <c r="BP297" s="137" t="n">
        <f aca="false">+DATOS_[[#This Row],[% de jornada]]*IF(DATOS_[[#This Row],[% jornada reducida]]="",1,DATOS_[[#This Row],[% jornada reducida]])</f>
        <v>0</v>
      </c>
      <c r="BQ297" s="137" t="n">
        <f aca="false">+(DATOS_[[#This Row],[F.fin.cal]]-DATOS_[[#This Row],[F.ini.cal]]+1)/($D$4-$D$3+1)</f>
        <v>1</v>
      </c>
      <c r="BR297" s="137" t="str">
        <f aca="false">IF(OR(AND(DATOS_[[#This Row],[Fecha Fin Contrato]]&lt;$D$3,DATOS_[[#This Row],[Fecha Fin Contrato]]&lt;&gt;""),DATOS_[[#This Row],[Fecha de Contratación]]&gt;$D$4),"Fuera","Dentro")</f>
        <v>Dentro</v>
      </c>
      <c r="BS297" s="137" t="str">
        <f aca="false" t="array" ref="BS297:BS297">IF(MAX(IF(DATOS_[id]=DATOS_[[#This Row],[id]],DATOS_[F.fin.cal]))=DATOS_[[#This Row],[F.fin.cal]],"Sí","NO")</f>
        <v>Sí</v>
      </c>
      <c r="BT297" s="137" t="str">
        <f aca="false">IF(AND(DATOS_[[#This Row],[% normaliz]]&lt;&gt;1,DATOS_[[#This Row],[% anualiz]]=1),"Sí","NO")</f>
        <v>Sí</v>
      </c>
      <c r="BU297" s="137" t="str">
        <f aca="false">IF(AND(DATOS_[[#This Row],[% normaliz]]=1,DATOS_[[#This Row],[% anualiz]]&lt;&gt;1),"Sí","NO")</f>
        <v>NO</v>
      </c>
      <c r="BV297" s="137" t="str">
        <f aca="false">IF(AND(DATOS_[[#This Row],[% normaliz]]&lt;&gt;1,DATOS_[[#This Row],[% anualiz]]&lt;&gt;1),"Sí","NO")</f>
        <v>NO</v>
      </c>
      <c r="BW297" s="137" t="str">
        <f aca="false">+IF(DATOS_[[#This Row],[% normaliz]]*DATOS_[[#This Row],[% anualiz]]=1,"NO","Sí")</f>
        <v>Sí</v>
      </c>
      <c r="BX297" s="138" t="e">
        <f aca="false">(DATOS_[[#This Row],[S.BASE]]*(1/DATOS_[[#This Row],[% normaliz]])*(1/DATOS_[[#This Row],[% anualiz]]))*IF(DATOS_[[#This Row],[Check Equiparado]]="Sí",1,0)</f>
        <v>#DIV/0!</v>
      </c>
      <c r="BY2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7" s="138" t="e">
        <f aca="false">+DATOS_[[#This Row],[SALARIO BASE Eq]]+DATOS_[[#This Row],[Tot COMPL.SAL Eq]]</f>
        <v>#DIV/0!</v>
      </c>
      <c r="CA297" s="138" t="e">
        <f aca="false" t="array" ref="CA297:CA2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7" s="138" t="e">
        <f aca="false">+DATOS_[[#This Row],[TOTAL SALARIO Eq]]+DATOS_[[#This Row],[Tot Extrasalarial Eq]]</f>
        <v>#DIV/0!</v>
      </c>
      <c r="CC297" s="139" t="n">
        <f aca="false">DATOS_[[#This Row],[S.BASE]]</f>
        <v>0</v>
      </c>
      <c r="CD297" s="139" t="n">
        <f aca="false">+SUM(DATOS_[[#This Row],[Conc.Sal.01]:[Conc.Sal.30]])</f>
        <v>0</v>
      </c>
      <c r="CE297" s="139" t="n">
        <f aca="false">+DATOS_[[#This Row],[SALARIO BASE Ef]]+DATOS_[[#This Row],[Tot COMPL.SAL Ef]]</f>
        <v>0</v>
      </c>
      <c r="CF297" s="139" t="n">
        <f aca="false">+SUM(DATOS_[[#This Row],[C.Extra.01]:[C.Extra.05]])</f>
        <v>0</v>
      </c>
      <c r="CG297" s="139" t="n">
        <f aca="false">+DATOS_[[#This Row],[TOTAL SALARIO Ef]]+DATOS_[[#This Row],[Tot Extrasalarial Ef]]</f>
        <v>0</v>
      </c>
      <c r="CH297" s="140" t="n">
        <f aca="false">MIN(IF(DATOS_[[#This Row],[Fecha Fin Contrato]]="",$D$4,DATOS_[[#This Row],[Fecha Fin Contrato]]),$D$4)-MAX(DATOS_[[#This Row],[Fecha de Contratación]],$D$3)+1</f>
        <v>1</v>
      </c>
      <c r="CI297" s="141" t="str">
        <f aca="false">IF(COUNTIFS(DATOS_[id],DATOS_[[#This Row],[id]])&gt;1,DATOS_[[#This Row],[id]],"")</f>
        <v/>
      </c>
      <c r="CJ297" s="141" t="n">
        <f aca="false">(Inicio!$G$10-DATOS_[[#This Row],[Fecha Nacimiento]])/365.25</f>
        <v>0</v>
      </c>
      <c r="CK297" s="141" t="n">
        <f aca="false">(Inicio!$G$10-DATOS_[[#This Row],[Fecha de Antigüedad]])/365.25</f>
        <v>0</v>
      </c>
      <c r="CL297" s="141" t="e">
        <f aca="false">+VLOOKUP(DATOS_[[#This Row],[Clave de Contrato]],TblTiposContrato13[],3,0)</f>
        <v>#N/A</v>
      </c>
      <c r="CM297" s="141" t="e">
        <f aca="false">+VLOOKUP(DATOS_[[#This Row],[Clave de Contrato]],TblTiposContrato13[],4,0)</f>
        <v>#N/A</v>
      </c>
      <c r="CN297" s="141" t="str">
        <f aca="false">VLOOKUP(DATOS_[[#This Row],[Edad]],CONTRATOS!TblRngEdad,2,1)</f>
        <v>20  o menos</v>
      </c>
      <c r="CO297" s="141" t="str">
        <f aca="false">VLOOKUP(DATOS_[[#This Row],[Antigüedad]],TblRngAntg14[],2,1)</f>
        <v>0 a 1 años</v>
      </c>
    </row>
    <row r="298" customFormat="false" ht="13.8" hidden="false" customHeight="false" outlineLevel="0" collapsed="false">
      <c r="D298" s="128"/>
      <c r="E298" s="129"/>
      <c r="F298" s="129"/>
      <c r="G298" s="129"/>
      <c r="H298" s="130"/>
      <c r="I298" s="131"/>
      <c r="J298" s="128"/>
      <c r="K298" s="132"/>
      <c r="L298" s="132"/>
      <c r="M298" s="133"/>
      <c r="N298" s="133"/>
      <c r="O298" s="133"/>
      <c r="P298" s="129"/>
      <c r="Z298" s="75"/>
      <c r="AA298" s="76"/>
      <c r="AB298" s="76"/>
      <c r="AC298" s="129"/>
      <c r="AD298" s="134"/>
      <c r="AE298" s="134"/>
      <c r="AF298" s="134"/>
      <c r="AG298" s="134"/>
      <c r="AH298" s="134"/>
      <c r="AI298" s="134"/>
      <c r="AJ298" s="134"/>
      <c r="AK298" s="134"/>
      <c r="AL298" s="134"/>
      <c r="AM298" s="134"/>
      <c r="AN298" s="134"/>
      <c r="AO298" s="134"/>
      <c r="AP298" s="134"/>
      <c r="AQ298" s="134"/>
      <c r="AR298" s="134"/>
      <c r="AS298" s="134"/>
      <c r="AT298" s="134"/>
      <c r="AU298" s="134"/>
      <c r="AV298" s="134"/>
      <c r="AW298" s="134"/>
      <c r="AX298" s="134"/>
      <c r="AY298" s="134"/>
      <c r="AZ298" s="134"/>
      <c r="BA298" s="134"/>
      <c r="BB298" s="134"/>
      <c r="BC298" s="134"/>
      <c r="BD298" s="134"/>
      <c r="BE298" s="134"/>
      <c r="BF298" s="134"/>
      <c r="BG298" s="134"/>
      <c r="BH298" s="134"/>
      <c r="BI298" s="134"/>
      <c r="BJ298" s="134"/>
      <c r="BK298" s="134"/>
      <c r="BL298" s="134"/>
      <c r="BM298" s="135"/>
      <c r="BN298" s="136" t="n">
        <f aca="false">+MAX($D$3,DATOS_[[#This Row],[Fecha Inicio Sit. Contract.]])</f>
        <v>0</v>
      </c>
      <c r="BO298" s="136" t="n">
        <f aca="false">+MIN($D$4,DATOS_[[#This Row],[Fecha Fin Sit. Contract.]])</f>
        <v>0</v>
      </c>
      <c r="BP298" s="137" t="n">
        <f aca="false">+DATOS_[[#This Row],[% de jornada]]*IF(DATOS_[[#This Row],[% jornada reducida]]="",1,DATOS_[[#This Row],[% jornada reducida]])</f>
        <v>0</v>
      </c>
      <c r="BQ298" s="137" t="n">
        <f aca="false">+(DATOS_[[#This Row],[F.fin.cal]]-DATOS_[[#This Row],[F.ini.cal]]+1)/($D$4-$D$3+1)</f>
        <v>1</v>
      </c>
      <c r="BR298" s="137" t="str">
        <f aca="false">IF(OR(AND(DATOS_[[#This Row],[Fecha Fin Contrato]]&lt;$D$3,DATOS_[[#This Row],[Fecha Fin Contrato]]&lt;&gt;""),DATOS_[[#This Row],[Fecha de Contratación]]&gt;$D$4),"Fuera","Dentro")</f>
        <v>Dentro</v>
      </c>
      <c r="BS298" s="137" t="str">
        <f aca="false" t="array" ref="BS298:BS298">IF(MAX(IF(DATOS_[id]=DATOS_[[#This Row],[id]],DATOS_[F.fin.cal]))=DATOS_[[#This Row],[F.fin.cal]],"Sí","NO")</f>
        <v>Sí</v>
      </c>
      <c r="BT298" s="137" t="str">
        <f aca="false">IF(AND(DATOS_[[#This Row],[% normaliz]]&lt;&gt;1,DATOS_[[#This Row],[% anualiz]]=1),"Sí","NO")</f>
        <v>Sí</v>
      </c>
      <c r="BU298" s="137" t="str">
        <f aca="false">IF(AND(DATOS_[[#This Row],[% normaliz]]=1,DATOS_[[#This Row],[% anualiz]]&lt;&gt;1),"Sí","NO")</f>
        <v>NO</v>
      </c>
      <c r="BV298" s="137" t="str">
        <f aca="false">IF(AND(DATOS_[[#This Row],[% normaliz]]&lt;&gt;1,DATOS_[[#This Row],[% anualiz]]&lt;&gt;1),"Sí","NO")</f>
        <v>NO</v>
      </c>
      <c r="BW298" s="137" t="str">
        <f aca="false">+IF(DATOS_[[#This Row],[% normaliz]]*DATOS_[[#This Row],[% anualiz]]=1,"NO","Sí")</f>
        <v>Sí</v>
      </c>
      <c r="BX298" s="138" t="e">
        <f aca="false">(DATOS_[[#This Row],[S.BASE]]*(1/DATOS_[[#This Row],[% normaliz]])*(1/DATOS_[[#This Row],[% anualiz]]))*IF(DATOS_[[#This Row],[Check Equiparado]]="Sí",1,0)</f>
        <v>#DIV/0!</v>
      </c>
      <c r="BY2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8" s="138" t="e">
        <f aca="false">+DATOS_[[#This Row],[SALARIO BASE Eq]]+DATOS_[[#This Row],[Tot COMPL.SAL Eq]]</f>
        <v>#DIV/0!</v>
      </c>
      <c r="CA298" s="138" t="e">
        <f aca="false" t="array" ref="CA298:CA2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8" s="138" t="e">
        <f aca="false">+DATOS_[[#This Row],[TOTAL SALARIO Eq]]+DATOS_[[#This Row],[Tot Extrasalarial Eq]]</f>
        <v>#DIV/0!</v>
      </c>
      <c r="CC298" s="139" t="n">
        <f aca="false">DATOS_[[#This Row],[S.BASE]]</f>
        <v>0</v>
      </c>
      <c r="CD298" s="139" t="n">
        <f aca="false">+SUM(DATOS_[[#This Row],[Conc.Sal.01]:[Conc.Sal.30]])</f>
        <v>0</v>
      </c>
      <c r="CE298" s="139" t="n">
        <f aca="false">+DATOS_[[#This Row],[SALARIO BASE Ef]]+DATOS_[[#This Row],[Tot COMPL.SAL Ef]]</f>
        <v>0</v>
      </c>
      <c r="CF298" s="139" t="n">
        <f aca="false">+SUM(DATOS_[[#This Row],[C.Extra.01]:[C.Extra.05]])</f>
        <v>0</v>
      </c>
      <c r="CG298" s="139" t="n">
        <f aca="false">+DATOS_[[#This Row],[TOTAL SALARIO Ef]]+DATOS_[[#This Row],[Tot Extrasalarial Ef]]</f>
        <v>0</v>
      </c>
      <c r="CH298" s="140" t="n">
        <f aca="false">MIN(IF(DATOS_[[#This Row],[Fecha Fin Contrato]]="",$D$4,DATOS_[[#This Row],[Fecha Fin Contrato]]),$D$4)-MAX(DATOS_[[#This Row],[Fecha de Contratación]],$D$3)+1</f>
        <v>1</v>
      </c>
      <c r="CI298" s="141" t="str">
        <f aca="false">IF(COUNTIFS(DATOS_[id],DATOS_[[#This Row],[id]])&gt;1,DATOS_[[#This Row],[id]],"")</f>
        <v/>
      </c>
      <c r="CJ298" s="141" t="n">
        <f aca="false">(Inicio!$G$10-DATOS_[[#This Row],[Fecha Nacimiento]])/365.25</f>
        <v>0</v>
      </c>
      <c r="CK298" s="141" t="n">
        <f aca="false">(Inicio!$G$10-DATOS_[[#This Row],[Fecha de Antigüedad]])/365.25</f>
        <v>0</v>
      </c>
      <c r="CL298" s="141" t="e">
        <f aca="false">+VLOOKUP(DATOS_[[#This Row],[Clave de Contrato]],TblTiposContrato13[],3,0)</f>
        <v>#N/A</v>
      </c>
      <c r="CM298" s="141" t="e">
        <f aca="false">+VLOOKUP(DATOS_[[#This Row],[Clave de Contrato]],TblTiposContrato13[],4,0)</f>
        <v>#N/A</v>
      </c>
      <c r="CN298" s="141" t="str">
        <f aca="false">VLOOKUP(DATOS_[[#This Row],[Edad]],CONTRATOS!TblRngEdad,2,1)</f>
        <v>20  o menos</v>
      </c>
      <c r="CO298" s="141" t="str">
        <f aca="false">VLOOKUP(DATOS_[[#This Row],[Antigüedad]],TblRngAntg14[],2,1)</f>
        <v>0 a 1 años</v>
      </c>
    </row>
    <row r="299" customFormat="false" ht="13.8" hidden="false" customHeight="false" outlineLevel="0" collapsed="false">
      <c r="D299" s="128"/>
      <c r="E299" s="129"/>
      <c r="F299" s="129"/>
      <c r="G299" s="129"/>
      <c r="H299" s="130"/>
      <c r="I299" s="131"/>
      <c r="J299" s="128"/>
      <c r="K299" s="132"/>
      <c r="L299" s="132"/>
      <c r="M299" s="133"/>
      <c r="N299" s="133"/>
      <c r="O299" s="133"/>
      <c r="P299" s="129"/>
      <c r="Z299" s="75"/>
      <c r="AA299" s="76"/>
      <c r="AB299" s="76"/>
      <c r="AC299" s="129"/>
      <c r="AD299" s="134"/>
      <c r="AE299" s="134"/>
      <c r="AF299" s="134"/>
      <c r="AG299" s="134"/>
      <c r="AH299" s="134"/>
      <c r="AI299" s="134"/>
      <c r="AJ299" s="134"/>
      <c r="AK299" s="134"/>
      <c r="AL299" s="134"/>
      <c r="AM299" s="134"/>
      <c r="AN299" s="134"/>
      <c r="AO299" s="134"/>
      <c r="AP299" s="134"/>
      <c r="AQ299" s="134"/>
      <c r="AR299" s="134"/>
      <c r="AS299" s="134"/>
      <c r="AT299" s="134"/>
      <c r="AU299" s="134"/>
      <c r="AV299" s="134"/>
      <c r="AW299" s="134"/>
      <c r="AX299" s="134"/>
      <c r="AY299" s="134"/>
      <c r="AZ299" s="134"/>
      <c r="BA299" s="134"/>
      <c r="BB299" s="134"/>
      <c r="BC299" s="134"/>
      <c r="BD299" s="134"/>
      <c r="BE299" s="134"/>
      <c r="BF299" s="134"/>
      <c r="BG299" s="134"/>
      <c r="BH299" s="134"/>
      <c r="BI299" s="134"/>
      <c r="BJ299" s="134"/>
      <c r="BK299" s="134"/>
      <c r="BL299" s="134"/>
      <c r="BM299" s="135"/>
      <c r="BN299" s="136" t="n">
        <f aca="false">+MAX($D$3,DATOS_[[#This Row],[Fecha Inicio Sit. Contract.]])</f>
        <v>0</v>
      </c>
      <c r="BO299" s="136" t="n">
        <f aca="false">+MIN($D$4,DATOS_[[#This Row],[Fecha Fin Sit. Contract.]])</f>
        <v>0</v>
      </c>
      <c r="BP299" s="137" t="n">
        <f aca="false">+DATOS_[[#This Row],[% de jornada]]*IF(DATOS_[[#This Row],[% jornada reducida]]="",1,DATOS_[[#This Row],[% jornada reducida]])</f>
        <v>0</v>
      </c>
      <c r="BQ299" s="137" t="n">
        <f aca="false">+(DATOS_[[#This Row],[F.fin.cal]]-DATOS_[[#This Row],[F.ini.cal]]+1)/($D$4-$D$3+1)</f>
        <v>1</v>
      </c>
      <c r="BR299" s="137" t="str">
        <f aca="false">IF(OR(AND(DATOS_[[#This Row],[Fecha Fin Contrato]]&lt;$D$3,DATOS_[[#This Row],[Fecha Fin Contrato]]&lt;&gt;""),DATOS_[[#This Row],[Fecha de Contratación]]&gt;$D$4),"Fuera","Dentro")</f>
        <v>Dentro</v>
      </c>
      <c r="BS299" s="137" t="str">
        <f aca="false" t="array" ref="BS299:BS299">IF(MAX(IF(DATOS_[id]=DATOS_[[#This Row],[id]],DATOS_[F.fin.cal]))=DATOS_[[#This Row],[F.fin.cal]],"Sí","NO")</f>
        <v>Sí</v>
      </c>
      <c r="BT299" s="137" t="str">
        <f aca="false">IF(AND(DATOS_[[#This Row],[% normaliz]]&lt;&gt;1,DATOS_[[#This Row],[% anualiz]]=1),"Sí","NO")</f>
        <v>Sí</v>
      </c>
      <c r="BU299" s="137" t="str">
        <f aca="false">IF(AND(DATOS_[[#This Row],[% normaliz]]=1,DATOS_[[#This Row],[% anualiz]]&lt;&gt;1),"Sí","NO")</f>
        <v>NO</v>
      </c>
      <c r="BV299" s="137" t="str">
        <f aca="false">IF(AND(DATOS_[[#This Row],[% normaliz]]&lt;&gt;1,DATOS_[[#This Row],[% anualiz]]&lt;&gt;1),"Sí","NO")</f>
        <v>NO</v>
      </c>
      <c r="BW299" s="137" t="str">
        <f aca="false">+IF(DATOS_[[#This Row],[% normaliz]]*DATOS_[[#This Row],[% anualiz]]=1,"NO","Sí")</f>
        <v>Sí</v>
      </c>
      <c r="BX299" s="138" t="e">
        <f aca="false">(DATOS_[[#This Row],[S.BASE]]*(1/DATOS_[[#This Row],[% normaliz]])*(1/DATOS_[[#This Row],[% anualiz]]))*IF(DATOS_[[#This Row],[Check Equiparado]]="Sí",1,0)</f>
        <v>#DIV/0!</v>
      </c>
      <c r="BY2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9" s="138" t="e">
        <f aca="false">+DATOS_[[#This Row],[SALARIO BASE Eq]]+DATOS_[[#This Row],[Tot COMPL.SAL Eq]]</f>
        <v>#DIV/0!</v>
      </c>
      <c r="CA299" s="138" t="e">
        <f aca="false" t="array" ref="CA299:CA2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9" s="138" t="e">
        <f aca="false">+DATOS_[[#This Row],[TOTAL SALARIO Eq]]+DATOS_[[#This Row],[Tot Extrasalarial Eq]]</f>
        <v>#DIV/0!</v>
      </c>
      <c r="CC299" s="139" t="n">
        <f aca="false">DATOS_[[#This Row],[S.BASE]]</f>
        <v>0</v>
      </c>
      <c r="CD299" s="139" t="n">
        <f aca="false">+SUM(DATOS_[[#This Row],[Conc.Sal.01]:[Conc.Sal.30]])</f>
        <v>0</v>
      </c>
      <c r="CE299" s="139" t="n">
        <f aca="false">+DATOS_[[#This Row],[SALARIO BASE Ef]]+DATOS_[[#This Row],[Tot COMPL.SAL Ef]]</f>
        <v>0</v>
      </c>
      <c r="CF299" s="139" t="n">
        <f aca="false">+SUM(DATOS_[[#This Row],[C.Extra.01]:[C.Extra.05]])</f>
        <v>0</v>
      </c>
      <c r="CG299" s="139" t="n">
        <f aca="false">+DATOS_[[#This Row],[TOTAL SALARIO Ef]]+DATOS_[[#This Row],[Tot Extrasalarial Ef]]</f>
        <v>0</v>
      </c>
      <c r="CH299" s="140" t="n">
        <f aca="false">MIN(IF(DATOS_[[#This Row],[Fecha Fin Contrato]]="",$D$4,DATOS_[[#This Row],[Fecha Fin Contrato]]),$D$4)-MAX(DATOS_[[#This Row],[Fecha de Contratación]],$D$3)+1</f>
        <v>1</v>
      </c>
      <c r="CI299" s="141" t="str">
        <f aca="false">IF(COUNTIFS(DATOS_[id],DATOS_[[#This Row],[id]])&gt;1,DATOS_[[#This Row],[id]],"")</f>
        <v/>
      </c>
      <c r="CJ299" s="141" t="n">
        <f aca="false">(Inicio!$G$10-DATOS_[[#This Row],[Fecha Nacimiento]])/365.25</f>
        <v>0</v>
      </c>
      <c r="CK299" s="141" t="n">
        <f aca="false">(Inicio!$G$10-DATOS_[[#This Row],[Fecha de Antigüedad]])/365.25</f>
        <v>0</v>
      </c>
      <c r="CL299" s="141" t="e">
        <f aca="false">+VLOOKUP(DATOS_[[#This Row],[Clave de Contrato]],TblTiposContrato13[],3,0)</f>
        <v>#N/A</v>
      </c>
      <c r="CM299" s="141" t="e">
        <f aca="false">+VLOOKUP(DATOS_[[#This Row],[Clave de Contrato]],TblTiposContrato13[],4,0)</f>
        <v>#N/A</v>
      </c>
      <c r="CN299" s="141" t="str">
        <f aca="false">VLOOKUP(DATOS_[[#This Row],[Edad]],CONTRATOS!TblRngEdad,2,1)</f>
        <v>20  o menos</v>
      </c>
      <c r="CO299" s="141" t="str">
        <f aca="false">VLOOKUP(DATOS_[[#This Row],[Antigüedad]],TblRngAntg14[],2,1)</f>
        <v>0 a 1 años</v>
      </c>
    </row>
    <row r="300" customFormat="false" ht="13.8" hidden="false" customHeight="false" outlineLevel="0" collapsed="false">
      <c r="D300" s="128"/>
      <c r="E300" s="129"/>
      <c r="F300" s="129"/>
      <c r="G300" s="129"/>
      <c r="H300" s="130"/>
      <c r="I300" s="131"/>
      <c r="J300" s="128"/>
      <c r="K300" s="132"/>
      <c r="L300" s="132"/>
      <c r="M300" s="133"/>
      <c r="N300" s="133"/>
      <c r="O300" s="133"/>
      <c r="P300" s="129"/>
      <c r="Z300" s="75"/>
      <c r="AA300" s="76"/>
      <c r="AB300" s="76"/>
      <c r="AC300" s="129"/>
      <c r="AD300" s="134"/>
      <c r="AE300" s="134"/>
      <c r="AF300" s="134"/>
      <c r="AG300" s="134"/>
      <c r="AH300" s="134"/>
      <c r="AI300" s="134"/>
      <c r="AJ300" s="134"/>
      <c r="AK300" s="134"/>
      <c r="AL300" s="134"/>
      <c r="AM300" s="134"/>
      <c r="AN300" s="134"/>
      <c r="AO300" s="134"/>
      <c r="AP300" s="134"/>
      <c r="AQ300" s="134"/>
      <c r="AR300" s="134"/>
      <c r="AS300" s="134"/>
      <c r="AT300" s="134"/>
      <c r="AU300" s="134"/>
      <c r="AV300" s="134"/>
      <c r="AW300" s="134"/>
      <c r="AX300" s="134"/>
      <c r="AY300" s="134"/>
      <c r="AZ300" s="134"/>
      <c r="BA300" s="134"/>
      <c r="BB300" s="134"/>
      <c r="BC300" s="134"/>
      <c r="BD300" s="134"/>
      <c r="BE300" s="134"/>
      <c r="BF300" s="134"/>
      <c r="BG300" s="134"/>
      <c r="BH300" s="134"/>
      <c r="BI300" s="134"/>
      <c r="BJ300" s="134"/>
      <c r="BK300" s="134"/>
      <c r="BL300" s="134"/>
      <c r="BM300" s="135"/>
      <c r="BN300" s="136" t="n">
        <f aca="false">+MAX($D$3,DATOS_[[#This Row],[Fecha Inicio Sit. Contract.]])</f>
        <v>0</v>
      </c>
      <c r="BO300" s="136" t="n">
        <f aca="false">+MIN($D$4,DATOS_[[#This Row],[Fecha Fin Sit. Contract.]])</f>
        <v>0</v>
      </c>
      <c r="BP300" s="137" t="n">
        <f aca="false">+DATOS_[[#This Row],[% de jornada]]*IF(DATOS_[[#This Row],[% jornada reducida]]="",1,DATOS_[[#This Row],[% jornada reducida]])</f>
        <v>0</v>
      </c>
      <c r="BQ300" s="137" t="n">
        <f aca="false">+(DATOS_[[#This Row],[F.fin.cal]]-DATOS_[[#This Row],[F.ini.cal]]+1)/($D$4-$D$3+1)</f>
        <v>1</v>
      </c>
      <c r="BR300" s="137" t="str">
        <f aca="false">IF(OR(AND(DATOS_[[#This Row],[Fecha Fin Contrato]]&lt;$D$3,DATOS_[[#This Row],[Fecha Fin Contrato]]&lt;&gt;""),DATOS_[[#This Row],[Fecha de Contratación]]&gt;$D$4),"Fuera","Dentro")</f>
        <v>Dentro</v>
      </c>
      <c r="BS300" s="137" t="str">
        <f aca="false" t="array" ref="BS300:BS300">IF(MAX(IF(DATOS_[id]=DATOS_[[#This Row],[id]],DATOS_[F.fin.cal]))=DATOS_[[#This Row],[F.fin.cal]],"Sí","NO")</f>
        <v>Sí</v>
      </c>
      <c r="BT300" s="137" t="str">
        <f aca="false">IF(AND(DATOS_[[#This Row],[% normaliz]]&lt;&gt;1,DATOS_[[#This Row],[% anualiz]]=1),"Sí","NO")</f>
        <v>Sí</v>
      </c>
      <c r="BU300" s="137" t="str">
        <f aca="false">IF(AND(DATOS_[[#This Row],[% normaliz]]=1,DATOS_[[#This Row],[% anualiz]]&lt;&gt;1),"Sí","NO")</f>
        <v>NO</v>
      </c>
      <c r="BV300" s="137" t="str">
        <f aca="false">IF(AND(DATOS_[[#This Row],[% normaliz]]&lt;&gt;1,DATOS_[[#This Row],[% anualiz]]&lt;&gt;1),"Sí","NO")</f>
        <v>NO</v>
      </c>
      <c r="BW300" s="137" t="str">
        <f aca="false">+IF(DATOS_[[#This Row],[% normaliz]]*DATOS_[[#This Row],[% anualiz]]=1,"NO","Sí")</f>
        <v>Sí</v>
      </c>
      <c r="BX300" s="138" t="e">
        <f aca="false">(DATOS_[[#This Row],[S.BASE]]*(1/DATOS_[[#This Row],[% normaliz]])*(1/DATOS_[[#This Row],[% anualiz]]))*IF(DATOS_[[#This Row],[Check Equiparado]]="Sí",1,0)</f>
        <v>#DIV/0!</v>
      </c>
      <c r="BY3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0" s="138" t="e">
        <f aca="false">+DATOS_[[#This Row],[SALARIO BASE Eq]]+DATOS_[[#This Row],[Tot COMPL.SAL Eq]]</f>
        <v>#DIV/0!</v>
      </c>
      <c r="CA300" s="138" t="e">
        <f aca="false" t="array" ref="CA300:CA3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0" s="138" t="e">
        <f aca="false">+DATOS_[[#This Row],[TOTAL SALARIO Eq]]+DATOS_[[#This Row],[Tot Extrasalarial Eq]]</f>
        <v>#DIV/0!</v>
      </c>
      <c r="CC300" s="139" t="n">
        <f aca="false">DATOS_[[#This Row],[S.BASE]]</f>
        <v>0</v>
      </c>
      <c r="CD300" s="139" t="n">
        <f aca="false">+SUM(DATOS_[[#This Row],[Conc.Sal.01]:[Conc.Sal.30]])</f>
        <v>0</v>
      </c>
      <c r="CE300" s="139" t="n">
        <f aca="false">+DATOS_[[#This Row],[SALARIO BASE Ef]]+DATOS_[[#This Row],[Tot COMPL.SAL Ef]]</f>
        <v>0</v>
      </c>
      <c r="CF300" s="139" t="n">
        <f aca="false">+SUM(DATOS_[[#This Row],[C.Extra.01]:[C.Extra.05]])</f>
        <v>0</v>
      </c>
      <c r="CG300" s="139" t="n">
        <f aca="false">+DATOS_[[#This Row],[TOTAL SALARIO Ef]]+DATOS_[[#This Row],[Tot Extrasalarial Ef]]</f>
        <v>0</v>
      </c>
      <c r="CH300" s="140" t="n">
        <f aca="false">MIN(IF(DATOS_[[#This Row],[Fecha Fin Contrato]]="",$D$4,DATOS_[[#This Row],[Fecha Fin Contrato]]),$D$4)-MAX(DATOS_[[#This Row],[Fecha de Contratación]],$D$3)+1</f>
        <v>1</v>
      </c>
      <c r="CI300" s="141" t="str">
        <f aca="false">IF(COUNTIFS(DATOS_[id],DATOS_[[#This Row],[id]])&gt;1,DATOS_[[#This Row],[id]],"")</f>
        <v/>
      </c>
      <c r="CJ300" s="141" t="n">
        <f aca="false">(Inicio!$G$10-DATOS_[[#This Row],[Fecha Nacimiento]])/365.25</f>
        <v>0</v>
      </c>
      <c r="CK300" s="141" t="n">
        <f aca="false">(Inicio!$G$10-DATOS_[[#This Row],[Fecha de Antigüedad]])/365.25</f>
        <v>0</v>
      </c>
      <c r="CL300" s="141" t="e">
        <f aca="false">+VLOOKUP(DATOS_[[#This Row],[Clave de Contrato]],TblTiposContrato13[],3,0)</f>
        <v>#N/A</v>
      </c>
      <c r="CM300" s="141" t="e">
        <f aca="false">+VLOOKUP(DATOS_[[#This Row],[Clave de Contrato]],TblTiposContrato13[],4,0)</f>
        <v>#N/A</v>
      </c>
      <c r="CN300" s="141" t="str">
        <f aca="false">VLOOKUP(DATOS_[[#This Row],[Edad]],CONTRATOS!TblRngEdad,2,1)</f>
        <v>20  o menos</v>
      </c>
      <c r="CO300" s="141" t="str">
        <f aca="false">VLOOKUP(DATOS_[[#This Row],[Antigüedad]],TblRngAntg14[],2,1)</f>
        <v>0 a 1 años</v>
      </c>
    </row>
    <row r="301" customFormat="false" ht="13.8" hidden="false" customHeight="false" outlineLevel="0" collapsed="false">
      <c r="D301" s="128"/>
      <c r="E301" s="129"/>
      <c r="F301" s="129"/>
      <c r="G301" s="129"/>
      <c r="H301" s="130"/>
      <c r="I301" s="131"/>
      <c r="J301" s="128"/>
      <c r="K301" s="132"/>
      <c r="L301" s="132"/>
      <c r="M301" s="133"/>
      <c r="N301" s="133"/>
      <c r="O301" s="133"/>
      <c r="P301" s="129"/>
      <c r="Z301" s="75"/>
      <c r="AA301" s="76"/>
      <c r="AB301" s="76"/>
      <c r="AC301" s="129"/>
      <c r="AD301" s="134"/>
      <c r="AE301" s="134"/>
      <c r="AF301" s="134"/>
      <c r="AG301" s="134"/>
      <c r="AH301" s="134"/>
      <c r="AI301" s="134"/>
      <c r="AJ301" s="134"/>
      <c r="AK301" s="134"/>
      <c r="AL301" s="134"/>
      <c r="AM301" s="134"/>
      <c r="AN301" s="134"/>
      <c r="AO301" s="134"/>
      <c r="AP301" s="134"/>
      <c r="AQ301" s="134"/>
      <c r="AR301" s="134"/>
      <c r="AS301" s="134"/>
      <c r="AT301" s="134"/>
      <c r="AU301" s="134"/>
      <c r="AV301" s="134"/>
      <c r="AW301" s="134"/>
      <c r="AX301" s="134"/>
      <c r="AY301" s="134"/>
      <c r="AZ301" s="134"/>
      <c r="BA301" s="134"/>
      <c r="BB301" s="134"/>
      <c r="BC301" s="134"/>
      <c r="BD301" s="134"/>
      <c r="BE301" s="134"/>
      <c r="BF301" s="134"/>
      <c r="BG301" s="134"/>
      <c r="BH301" s="134"/>
      <c r="BI301" s="134"/>
      <c r="BJ301" s="134"/>
      <c r="BK301" s="134"/>
      <c r="BL301" s="134"/>
      <c r="BM301" s="135"/>
      <c r="BN301" s="136" t="n">
        <f aca="false">+MAX($D$3,DATOS_[[#This Row],[Fecha Inicio Sit. Contract.]])</f>
        <v>0</v>
      </c>
      <c r="BO301" s="136" t="n">
        <f aca="false">+MIN($D$4,DATOS_[[#This Row],[Fecha Fin Sit. Contract.]])</f>
        <v>0</v>
      </c>
      <c r="BP301" s="137" t="n">
        <f aca="false">+DATOS_[[#This Row],[% de jornada]]*IF(DATOS_[[#This Row],[% jornada reducida]]="",1,DATOS_[[#This Row],[% jornada reducida]])</f>
        <v>0</v>
      </c>
      <c r="BQ301" s="137" t="n">
        <f aca="false">+(DATOS_[[#This Row],[F.fin.cal]]-DATOS_[[#This Row],[F.ini.cal]]+1)/($D$4-$D$3+1)</f>
        <v>1</v>
      </c>
      <c r="BR301" s="137" t="str">
        <f aca="false">IF(OR(AND(DATOS_[[#This Row],[Fecha Fin Contrato]]&lt;$D$3,DATOS_[[#This Row],[Fecha Fin Contrato]]&lt;&gt;""),DATOS_[[#This Row],[Fecha de Contratación]]&gt;$D$4),"Fuera","Dentro")</f>
        <v>Dentro</v>
      </c>
      <c r="BS301" s="137" t="str">
        <f aca="false" t="array" ref="BS301:BS301">IF(MAX(IF(DATOS_[id]=DATOS_[[#This Row],[id]],DATOS_[F.fin.cal]))=DATOS_[[#This Row],[F.fin.cal]],"Sí","NO")</f>
        <v>Sí</v>
      </c>
      <c r="BT301" s="137" t="str">
        <f aca="false">IF(AND(DATOS_[[#This Row],[% normaliz]]&lt;&gt;1,DATOS_[[#This Row],[% anualiz]]=1),"Sí","NO")</f>
        <v>Sí</v>
      </c>
      <c r="BU301" s="137" t="str">
        <f aca="false">IF(AND(DATOS_[[#This Row],[% normaliz]]=1,DATOS_[[#This Row],[% anualiz]]&lt;&gt;1),"Sí","NO")</f>
        <v>NO</v>
      </c>
      <c r="BV301" s="137" t="str">
        <f aca="false">IF(AND(DATOS_[[#This Row],[% normaliz]]&lt;&gt;1,DATOS_[[#This Row],[% anualiz]]&lt;&gt;1),"Sí","NO")</f>
        <v>NO</v>
      </c>
      <c r="BW301" s="137" t="str">
        <f aca="false">+IF(DATOS_[[#This Row],[% normaliz]]*DATOS_[[#This Row],[% anualiz]]=1,"NO","Sí")</f>
        <v>Sí</v>
      </c>
      <c r="BX301" s="138" t="e">
        <f aca="false">(DATOS_[[#This Row],[S.BASE]]*(1/DATOS_[[#This Row],[% normaliz]])*(1/DATOS_[[#This Row],[% anualiz]]))*IF(DATOS_[[#This Row],[Check Equiparado]]="Sí",1,0)</f>
        <v>#DIV/0!</v>
      </c>
      <c r="BY3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1" s="138" t="e">
        <f aca="false">+DATOS_[[#This Row],[SALARIO BASE Eq]]+DATOS_[[#This Row],[Tot COMPL.SAL Eq]]</f>
        <v>#DIV/0!</v>
      </c>
      <c r="CA301" s="138" t="e">
        <f aca="false" t="array" ref="CA301:CA3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1" s="138" t="e">
        <f aca="false">+DATOS_[[#This Row],[TOTAL SALARIO Eq]]+DATOS_[[#This Row],[Tot Extrasalarial Eq]]</f>
        <v>#DIV/0!</v>
      </c>
      <c r="CC301" s="139" t="n">
        <f aca="false">DATOS_[[#This Row],[S.BASE]]</f>
        <v>0</v>
      </c>
      <c r="CD301" s="139" t="n">
        <f aca="false">+SUM(DATOS_[[#This Row],[Conc.Sal.01]:[Conc.Sal.30]])</f>
        <v>0</v>
      </c>
      <c r="CE301" s="139" t="n">
        <f aca="false">+DATOS_[[#This Row],[SALARIO BASE Ef]]+DATOS_[[#This Row],[Tot COMPL.SAL Ef]]</f>
        <v>0</v>
      </c>
      <c r="CF301" s="139" t="n">
        <f aca="false">+SUM(DATOS_[[#This Row],[C.Extra.01]:[C.Extra.05]])</f>
        <v>0</v>
      </c>
      <c r="CG301" s="139" t="n">
        <f aca="false">+DATOS_[[#This Row],[TOTAL SALARIO Ef]]+DATOS_[[#This Row],[Tot Extrasalarial Ef]]</f>
        <v>0</v>
      </c>
      <c r="CH301" s="140" t="n">
        <f aca="false">MIN(IF(DATOS_[[#This Row],[Fecha Fin Contrato]]="",$D$4,DATOS_[[#This Row],[Fecha Fin Contrato]]),$D$4)-MAX(DATOS_[[#This Row],[Fecha de Contratación]],$D$3)+1</f>
        <v>1</v>
      </c>
      <c r="CI301" s="141" t="str">
        <f aca="false">IF(COUNTIFS(DATOS_[id],DATOS_[[#This Row],[id]])&gt;1,DATOS_[[#This Row],[id]],"")</f>
        <v/>
      </c>
      <c r="CJ301" s="141" t="n">
        <f aca="false">(Inicio!$G$10-DATOS_[[#This Row],[Fecha Nacimiento]])/365.25</f>
        <v>0</v>
      </c>
      <c r="CK301" s="141" t="n">
        <f aca="false">(Inicio!$G$10-DATOS_[[#This Row],[Fecha de Antigüedad]])/365.25</f>
        <v>0</v>
      </c>
      <c r="CL301" s="141" t="e">
        <f aca="false">+VLOOKUP(DATOS_[[#This Row],[Clave de Contrato]],TblTiposContrato13[],3,0)</f>
        <v>#N/A</v>
      </c>
      <c r="CM301" s="141" t="e">
        <f aca="false">+VLOOKUP(DATOS_[[#This Row],[Clave de Contrato]],TblTiposContrato13[],4,0)</f>
        <v>#N/A</v>
      </c>
      <c r="CN301" s="141" t="str">
        <f aca="false">VLOOKUP(DATOS_[[#This Row],[Edad]],CONTRATOS!TblRngEdad,2,1)</f>
        <v>20  o menos</v>
      </c>
      <c r="CO301" s="141" t="str">
        <f aca="false">VLOOKUP(DATOS_[[#This Row],[Antigüedad]],TblRngAntg14[],2,1)</f>
        <v>0 a 1 años</v>
      </c>
    </row>
    <row r="302" customFormat="false" ht="13.8" hidden="false" customHeight="false" outlineLevel="0" collapsed="false">
      <c r="D302" s="128"/>
      <c r="E302" s="129"/>
      <c r="F302" s="129"/>
      <c r="G302" s="129"/>
      <c r="H302" s="130"/>
      <c r="I302" s="131"/>
      <c r="J302" s="128"/>
      <c r="K302" s="132"/>
      <c r="L302" s="132"/>
      <c r="M302" s="133"/>
      <c r="N302" s="133"/>
      <c r="O302" s="133"/>
      <c r="P302" s="129"/>
      <c r="Z302" s="75"/>
      <c r="AA302" s="76"/>
      <c r="AB302" s="76"/>
      <c r="AC302" s="129"/>
      <c r="AD302" s="134"/>
      <c r="AE302" s="134"/>
      <c r="AF302" s="134"/>
      <c r="AG302" s="134"/>
      <c r="AH302" s="134"/>
      <c r="AI302" s="134"/>
      <c r="AJ302" s="134"/>
      <c r="AK302" s="134"/>
      <c r="AL302" s="134"/>
      <c r="AM302" s="134"/>
      <c r="AN302" s="134"/>
      <c r="AO302" s="134"/>
      <c r="AP302" s="134"/>
      <c r="AQ302" s="134"/>
      <c r="AR302" s="134"/>
      <c r="AS302" s="134"/>
      <c r="AT302" s="134"/>
      <c r="AU302" s="134"/>
      <c r="AV302" s="134"/>
      <c r="AW302" s="134"/>
      <c r="AX302" s="134"/>
      <c r="AY302" s="134"/>
      <c r="AZ302" s="134"/>
      <c r="BA302" s="134"/>
      <c r="BB302" s="134"/>
      <c r="BC302" s="134"/>
      <c r="BD302" s="134"/>
      <c r="BE302" s="134"/>
      <c r="BF302" s="134"/>
      <c r="BG302" s="134"/>
      <c r="BH302" s="134"/>
      <c r="BI302" s="134"/>
      <c r="BJ302" s="134"/>
      <c r="BK302" s="134"/>
      <c r="BL302" s="134"/>
      <c r="BM302" s="135"/>
      <c r="BN302" s="136" t="n">
        <f aca="false">+MAX($D$3,DATOS_[[#This Row],[Fecha Inicio Sit. Contract.]])</f>
        <v>0</v>
      </c>
      <c r="BO302" s="136" t="n">
        <f aca="false">+MIN($D$4,DATOS_[[#This Row],[Fecha Fin Sit. Contract.]])</f>
        <v>0</v>
      </c>
      <c r="BP302" s="137" t="n">
        <f aca="false">+DATOS_[[#This Row],[% de jornada]]*IF(DATOS_[[#This Row],[% jornada reducida]]="",1,DATOS_[[#This Row],[% jornada reducida]])</f>
        <v>0</v>
      </c>
      <c r="BQ302" s="137" t="n">
        <f aca="false">+(DATOS_[[#This Row],[F.fin.cal]]-DATOS_[[#This Row],[F.ini.cal]]+1)/($D$4-$D$3+1)</f>
        <v>1</v>
      </c>
      <c r="BR302" s="137" t="str">
        <f aca="false">IF(OR(AND(DATOS_[[#This Row],[Fecha Fin Contrato]]&lt;$D$3,DATOS_[[#This Row],[Fecha Fin Contrato]]&lt;&gt;""),DATOS_[[#This Row],[Fecha de Contratación]]&gt;$D$4),"Fuera","Dentro")</f>
        <v>Dentro</v>
      </c>
      <c r="BS302" s="137" t="str">
        <f aca="false" t="array" ref="BS302:BS302">IF(MAX(IF(DATOS_[id]=DATOS_[[#This Row],[id]],DATOS_[F.fin.cal]))=DATOS_[[#This Row],[F.fin.cal]],"Sí","NO")</f>
        <v>Sí</v>
      </c>
      <c r="BT302" s="137" t="str">
        <f aca="false">IF(AND(DATOS_[[#This Row],[% normaliz]]&lt;&gt;1,DATOS_[[#This Row],[% anualiz]]=1),"Sí","NO")</f>
        <v>Sí</v>
      </c>
      <c r="BU302" s="137" t="str">
        <f aca="false">IF(AND(DATOS_[[#This Row],[% normaliz]]=1,DATOS_[[#This Row],[% anualiz]]&lt;&gt;1),"Sí","NO")</f>
        <v>NO</v>
      </c>
      <c r="BV302" s="137" t="str">
        <f aca="false">IF(AND(DATOS_[[#This Row],[% normaliz]]&lt;&gt;1,DATOS_[[#This Row],[% anualiz]]&lt;&gt;1),"Sí","NO")</f>
        <v>NO</v>
      </c>
      <c r="BW302" s="137" t="str">
        <f aca="false">+IF(DATOS_[[#This Row],[% normaliz]]*DATOS_[[#This Row],[% anualiz]]=1,"NO","Sí")</f>
        <v>Sí</v>
      </c>
      <c r="BX302" s="138" t="e">
        <f aca="false">(DATOS_[[#This Row],[S.BASE]]*(1/DATOS_[[#This Row],[% normaliz]])*(1/DATOS_[[#This Row],[% anualiz]]))*IF(DATOS_[[#This Row],[Check Equiparado]]="Sí",1,0)</f>
        <v>#DIV/0!</v>
      </c>
      <c r="BY3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2" s="138" t="e">
        <f aca="false">+DATOS_[[#This Row],[SALARIO BASE Eq]]+DATOS_[[#This Row],[Tot COMPL.SAL Eq]]</f>
        <v>#DIV/0!</v>
      </c>
      <c r="CA302" s="138" t="e">
        <f aca="false" t="array" ref="CA302:CA3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2" s="138" t="e">
        <f aca="false">+DATOS_[[#This Row],[TOTAL SALARIO Eq]]+DATOS_[[#This Row],[Tot Extrasalarial Eq]]</f>
        <v>#DIV/0!</v>
      </c>
      <c r="CC302" s="139" t="n">
        <f aca="false">DATOS_[[#This Row],[S.BASE]]</f>
        <v>0</v>
      </c>
      <c r="CD302" s="139" t="n">
        <f aca="false">+SUM(DATOS_[[#This Row],[Conc.Sal.01]:[Conc.Sal.30]])</f>
        <v>0</v>
      </c>
      <c r="CE302" s="139" t="n">
        <f aca="false">+DATOS_[[#This Row],[SALARIO BASE Ef]]+DATOS_[[#This Row],[Tot COMPL.SAL Ef]]</f>
        <v>0</v>
      </c>
      <c r="CF302" s="139" t="n">
        <f aca="false">+SUM(DATOS_[[#This Row],[C.Extra.01]:[C.Extra.05]])</f>
        <v>0</v>
      </c>
      <c r="CG302" s="139" t="n">
        <f aca="false">+DATOS_[[#This Row],[TOTAL SALARIO Ef]]+DATOS_[[#This Row],[Tot Extrasalarial Ef]]</f>
        <v>0</v>
      </c>
      <c r="CH302" s="140" t="n">
        <f aca="false">MIN(IF(DATOS_[[#This Row],[Fecha Fin Contrato]]="",$D$4,DATOS_[[#This Row],[Fecha Fin Contrato]]),$D$4)-MAX(DATOS_[[#This Row],[Fecha de Contratación]],$D$3)+1</f>
        <v>1</v>
      </c>
      <c r="CI302" s="141" t="str">
        <f aca="false">IF(COUNTIFS(DATOS_[id],DATOS_[[#This Row],[id]])&gt;1,DATOS_[[#This Row],[id]],"")</f>
        <v/>
      </c>
      <c r="CJ302" s="141" t="n">
        <f aca="false">(Inicio!$G$10-DATOS_[[#This Row],[Fecha Nacimiento]])/365.25</f>
        <v>0</v>
      </c>
      <c r="CK302" s="141" t="n">
        <f aca="false">(Inicio!$G$10-DATOS_[[#This Row],[Fecha de Antigüedad]])/365.25</f>
        <v>0</v>
      </c>
      <c r="CL302" s="141" t="e">
        <f aca="false">+VLOOKUP(DATOS_[[#This Row],[Clave de Contrato]],TblTiposContrato13[],3,0)</f>
        <v>#N/A</v>
      </c>
      <c r="CM302" s="141" t="e">
        <f aca="false">+VLOOKUP(DATOS_[[#This Row],[Clave de Contrato]],TblTiposContrato13[],4,0)</f>
        <v>#N/A</v>
      </c>
      <c r="CN302" s="141" t="str">
        <f aca="false">VLOOKUP(DATOS_[[#This Row],[Edad]],CONTRATOS!TblRngEdad,2,1)</f>
        <v>20  o menos</v>
      </c>
      <c r="CO302" s="141" t="str">
        <f aca="false">VLOOKUP(DATOS_[[#This Row],[Antigüedad]],TblRngAntg14[],2,1)</f>
        <v>0 a 1 años</v>
      </c>
    </row>
    <row r="303" customFormat="false" ht="13.8" hidden="false" customHeight="false" outlineLevel="0" collapsed="false">
      <c r="D303" s="128"/>
      <c r="E303" s="129"/>
      <c r="F303" s="129"/>
      <c r="G303" s="129"/>
      <c r="H303" s="130"/>
      <c r="I303" s="131"/>
      <c r="J303" s="128"/>
      <c r="K303" s="132"/>
      <c r="L303" s="132"/>
      <c r="M303" s="133"/>
      <c r="N303" s="133"/>
      <c r="O303" s="133"/>
      <c r="P303" s="129"/>
      <c r="Z303" s="75"/>
      <c r="AA303" s="76"/>
      <c r="AB303" s="76"/>
      <c r="AC303" s="129"/>
      <c r="AD303" s="134"/>
      <c r="AE303" s="134"/>
      <c r="AF303" s="134"/>
      <c r="AG303" s="134"/>
      <c r="AH303" s="134"/>
      <c r="AI303" s="134"/>
      <c r="AJ303" s="134"/>
      <c r="AK303" s="134"/>
      <c r="AL303" s="134"/>
      <c r="AM303" s="134"/>
      <c r="AN303" s="134"/>
      <c r="AO303" s="134"/>
      <c r="AP303" s="134"/>
      <c r="AQ303" s="134"/>
      <c r="AR303" s="134"/>
      <c r="AS303" s="134"/>
      <c r="AT303" s="134"/>
      <c r="AU303" s="134"/>
      <c r="AV303" s="134"/>
      <c r="AW303" s="134"/>
      <c r="AX303" s="134"/>
      <c r="AY303" s="134"/>
      <c r="AZ303" s="134"/>
      <c r="BA303" s="134"/>
      <c r="BB303" s="134"/>
      <c r="BC303" s="134"/>
      <c r="BD303" s="134"/>
      <c r="BE303" s="134"/>
      <c r="BF303" s="134"/>
      <c r="BG303" s="134"/>
      <c r="BH303" s="134"/>
      <c r="BI303" s="134"/>
      <c r="BJ303" s="134"/>
      <c r="BK303" s="134"/>
      <c r="BL303" s="134"/>
      <c r="BM303" s="135"/>
      <c r="BN303" s="136" t="n">
        <f aca="false">+MAX($D$3,DATOS_[[#This Row],[Fecha Inicio Sit. Contract.]])</f>
        <v>0</v>
      </c>
      <c r="BO303" s="136" t="n">
        <f aca="false">+MIN($D$4,DATOS_[[#This Row],[Fecha Fin Sit. Contract.]])</f>
        <v>0</v>
      </c>
      <c r="BP303" s="137" t="n">
        <f aca="false">+DATOS_[[#This Row],[% de jornada]]*IF(DATOS_[[#This Row],[% jornada reducida]]="",1,DATOS_[[#This Row],[% jornada reducida]])</f>
        <v>0</v>
      </c>
      <c r="BQ303" s="137" t="n">
        <f aca="false">+(DATOS_[[#This Row],[F.fin.cal]]-DATOS_[[#This Row],[F.ini.cal]]+1)/($D$4-$D$3+1)</f>
        <v>1</v>
      </c>
      <c r="BR303" s="137" t="str">
        <f aca="false">IF(OR(AND(DATOS_[[#This Row],[Fecha Fin Contrato]]&lt;$D$3,DATOS_[[#This Row],[Fecha Fin Contrato]]&lt;&gt;""),DATOS_[[#This Row],[Fecha de Contratación]]&gt;$D$4),"Fuera","Dentro")</f>
        <v>Dentro</v>
      </c>
      <c r="BS303" s="137" t="str">
        <f aca="false" t="array" ref="BS303:BS303">IF(MAX(IF(DATOS_[id]=DATOS_[[#This Row],[id]],DATOS_[F.fin.cal]))=DATOS_[[#This Row],[F.fin.cal]],"Sí","NO")</f>
        <v>Sí</v>
      </c>
      <c r="BT303" s="137" t="str">
        <f aca="false">IF(AND(DATOS_[[#This Row],[% normaliz]]&lt;&gt;1,DATOS_[[#This Row],[% anualiz]]=1),"Sí","NO")</f>
        <v>Sí</v>
      </c>
      <c r="BU303" s="137" t="str">
        <f aca="false">IF(AND(DATOS_[[#This Row],[% normaliz]]=1,DATOS_[[#This Row],[% anualiz]]&lt;&gt;1),"Sí","NO")</f>
        <v>NO</v>
      </c>
      <c r="BV303" s="137" t="str">
        <f aca="false">IF(AND(DATOS_[[#This Row],[% normaliz]]&lt;&gt;1,DATOS_[[#This Row],[% anualiz]]&lt;&gt;1),"Sí","NO")</f>
        <v>NO</v>
      </c>
      <c r="BW303" s="137" t="str">
        <f aca="false">+IF(DATOS_[[#This Row],[% normaliz]]*DATOS_[[#This Row],[% anualiz]]=1,"NO","Sí")</f>
        <v>Sí</v>
      </c>
      <c r="BX303" s="138" t="e">
        <f aca="false">(DATOS_[[#This Row],[S.BASE]]*(1/DATOS_[[#This Row],[% normaliz]])*(1/DATOS_[[#This Row],[% anualiz]]))*IF(DATOS_[[#This Row],[Check Equiparado]]="Sí",1,0)</f>
        <v>#DIV/0!</v>
      </c>
      <c r="BY3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3" s="138" t="e">
        <f aca="false">+DATOS_[[#This Row],[SALARIO BASE Eq]]+DATOS_[[#This Row],[Tot COMPL.SAL Eq]]</f>
        <v>#DIV/0!</v>
      </c>
      <c r="CA303" s="138" t="e">
        <f aca="false" t="array" ref="CA303:CA3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3" s="138" t="e">
        <f aca="false">+DATOS_[[#This Row],[TOTAL SALARIO Eq]]+DATOS_[[#This Row],[Tot Extrasalarial Eq]]</f>
        <v>#DIV/0!</v>
      </c>
      <c r="CC303" s="139" t="n">
        <f aca="false">DATOS_[[#This Row],[S.BASE]]</f>
        <v>0</v>
      </c>
      <c r="CD303" s="139" t="n">
        <f aca="false">+SUM(DATOS_[[#This Row],[Conc.Sal.01]:[Conc.Sal.30]])</f>
        <v>0</v>
      </c>
      <c r="CE303" s="139" t="n">
        <f aca="false">+DATOS_[[#This Row],[SALARIO BASE Ef]]+DATOS_[[#This Row],[Tot COMPL.SAL Ef]]</f>
        <v>0</v>
      </c>
      <c r="CF303" s="139" t="n">
        <f aca="false">+SUM(DATOS_[[#This Row],[C.Extra.01]:[C.Extra.05]])</f>
        <v>0</v>
      </c>
      <c r="CG303" s="139" t="n">
        <f aca="false">+DATOS_[[#This Row],[TOTAL SALARIO Ef]]+DATOS_[[#This Row],[Tot Extrasalarial Ef]]</f>
        <v>0</v>
      </c>
      <c r="CH303" s="140" t="n">
        <f aca="false">MIN(IF(DATOS_[[#This Row],[Fecha Fin Contrato]]="",$D$4,DATOS_[[#This Row],[Fecha Fin Contrato]]),$D$4)-MAX(DATOS_[[#This Row],[Fecha de Contratación]],$D$3)+1</f>
        <v>1</v>
      </c>
      <c r="CI303" s="141" t="str">
        <f aca="false">IF(COUNTIFS(DATOS_[id],DATOS_[[#This Row],[id]])&gt;1,DATOS_[[#This Row],[id]],"")</f>
        <v/>
      </c>
      <c r="CJ303" s="141" t="n">
        <f aca="false">(Inicio!$G$10-DATOS_[[#This Row],[Fecha Nacimiento]])/365.25</f>
        <v>0</v>
      </c>
      <c r="CK303" s="141" t="n">
        <f aca="false">(Inicio!$G$10-DATOS_[[#This Row],[Fecha de Antigüedad]])/365.25</f>
        <v>0</v>
      </c>
      <c r="CL303" s="141" t="e">
        <f aca="false">+VLOOKUP(DATOS_[[#This Row],[Clave de Contrato]],TblTiposContrato13[],3,0)</f>
        <v>#N/A</v>
      </c>
      <c r="CM303" s="141" t="e">
        <f aca="false">+VLOOKUP(DATOS_[[#This Row],[Clave de Contrato]],TblTiposContrato13[],4,0)</f>
        <v>#N/A</v>
      </c>
      <c r="CN303" s="141" t="str">
        <f aca="false">VLOOKUP(DATOS_[[#This Row],[Edad]],CONTRATOS!TblRngEdad,2,1)</f>
        <v>20  o menos</v>
      </c>
      <c r="CO303" s="141" t="str">
        <f aca="false">VLOOKUP(DATOS_[[#This Row],[Antigüedad]],TblRngAntg14[],2,1)</f>
        <v>0 a 1 años</v>
      </c>
    </row>
    <row r="304" customFormat="false" ht="13.8" hidden="false" customHeight="false" outlineLevel="0" collapsed="false">
      <c r="D304" s="128"/>
      <c r="E304" s="129"/>
      <c r="F304" s="129"/>
      <c r="G304" s="129"/>
      <c r="H304" s="130"/>
      <c r="I304" s="131"/>
      <c r="J304" s="128"/>
      <c r="K304" s="132"/>
      <c r="L304" s="132"/>
      <c r="M304" s="133"/>
      <c r="N304" s="133"/>
      <c r="O304" s="133"/>
      <c r="P304" s="129"/>
      <c r="Z304" s="75"/>
      <c r="AA304" s="76"/>
      <c r="AB304" s="76"/>
      <c r="AC304" s="129"/>
      <c r="AD304" s="134"/>
      <c r="AE304" s="134"/>
      <c r="AF304" s="134"/>
      <c r="AG304" s="134"/>
      <c r="AH304" s="134"/>
      <c r="AI304" s="134"/>
      <c r="AJ304" s="134"/>
      <c r="AK304" s="134"/>
      <c r="AL304" s="134"/>
      <c r="AM304" s="134"/>
      <c r="AN304" s="134"/>
      <c r="AO304" s="134"/>
      <c r="AP304" s="134"/>
      <c r="AQ304" s="134"/>
      <c r="AR304" s="134"/>
      <c r="AS304" s="134"/>
      <c r="AT304" s="134"/>
      <c r="AU304" s="134"/>
      <c r="AV304" s="134"/>
      <c r="AW304" s="134"/>
      <c r="AX304" s="134"/>
      <c r="AY304" s="134"/>
      <c r="AZ304" s="134"/>
      <c r="BA304" s="134"/>
      <c r="BB304" s="134"/>
      <c r="BC304" s="134"/>
      <c r="BD304" s="134"/>
      <c r="BE304" s="134"/>
      <c r="BF304" s="134"/>
      <c r="BG304" s="134"/>
      <c r="BH304" s="134"/>
      <c r="BI304" s="134"/>
      <c r="BJ304" s="134"/>
      <c r="BK304" s="134"/>
      <c r="BL304" s="134"/>
      <c r="BM304" s="135"/>
      <c r="BN304" s="136" t="n">
        <f aca="false">+MAX($D$3,DATOS_[[#This Row],[Fecha Inicio Sit. Contract.]])</f>
        <v>0</v>
      </c>
      <c r="BO304" s="136" t="n">
        <f aca="false">+MIN($D$4,DATOS_[[#This Row],[Fecha Fin Sit. Contract.]])</f>
        <v>0</v>
      </c>
      <c r="BP304" s="137" t="n">
        <f aca="false">+DATOS_[[#This Row],[% de jornada]]*IF(DATOS_[[#This Row],[% jornada reducida]]="",1,DATOS_[[#This Row],[% jornada reducida]])</f>
        <v>0</v>
      </c>
      <c r="BQ304" s="137" t="n">
        <f aca="false">+(DATOS_[[#This Row],[F.fin.cal]]-DATOS_[[#This Row],[F.ini.cal]]+1)/($D$4-$D$3+1)</f>
        <v>1</v>
      </c>
      <c r="BR304" s="137" t="str">
        <f aca="false">IF(OR(AND(DATOS_[[#This Row],[Fecha Fin Contrato]]&lt;$D$3,DATOS_[[#This Row],[Fecha Fin Contrato]]&lt;&gt;""),DATOS_[[#This Row],[Fecha de Contratación]]&gt;$D$4),"Fuera","Dentro")</f>
        <v>Dentro</v>
      </c>
      <c r="BS304" s="137" t="str">
        <f aca="false" t="array" ref="BS304:BS304">IF(MAX(IF(DATOS_[id]=DATOS_[[#This Row],[id]],DATOS_[F.fin.cal]))=DATOS_[[#This Row],[F.fin.cal]],"Sí","NO")</f>
        <v>Sí</v>
      </c>
      <c r="BT304" s="137" t="str">
        <f aca="false">IF(AND(DATOS_[[#This Row],[% normaliz]]&lt;&gt;1,DATOS_[[#This Row],[% anualiz]]=1),"Sí","NO")</f>
        <v>Sí</v>
      </c>
      <c r="BU304" s="137" t="str">
        <f aca="false">IF(AND(DATOS_[[#This Row],[% normaliz]]=1,DATOS_[[#This Row],[% anualiz]]&lt;&gt;1),"Sí","NO")</f>
        <v>NO</v>
      </c>
      <c r="BV304" s="137" t="str">
        <f aca="false">IF(AND(DATOS_[[#This Row],[% normaliz]]&lt;&gt;1,DATOS_[[#This Row],[% anualiz]]&lt;&gt;1),"Sí","NO")</f>
        <v>NO</v>
      </c>
      <c r="BW304" s="137" t="str">
        <f aca="false">+IF(DATOS_[[#This Row],[% normaliz]]*DATOS_[[#This Row],[% anualiz]]=1,"NO","Sí")</f>
        <v>Sí</v>
      </c>
      <c r="BX304" s="138" t="e">
        <f aca="false">(DATOS_[[#This Row],[S.BASE]]*(1/DATOS_[[#This Row],[% normaliz]])*(1/DATOS_[[#This Row],[% anualiz]]))*IF(DATOS_[[#This Row],[Check Equiparado]]="Sí",1,0)</f>
        <v>#DIV/0!</v>
      </c>
      <c r="BY3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4" s="138" t="e">
        <f aca="false">+DATOS_[[#This Row],[SALARIO BASE Eq]]+DATOS_[[#This Row],[Tot COMPL.SAL Eq]]</f>
        <v>#DIV/0!</v>
      </c>
      <c r="CA304" s="138" t="e">
        <f aca="false" t="array" ref="CA304:CA3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4" s="138" t="e">
        <f aca="false">+DATOS_[[#This Row],[TOTAL SALARIO Eq]]+DATOS_[[#This Row],[Tot Extrasalarial Eq]]</f>
        <v>#DIV/0!</v>
      </c>
      <c r="CC304" s="139" t="n">
        <f aca="false">DATOS_[[#This Row],[S.BASE]]</f>
        <v>0</v>
      </c>
      <c r="CD304" s="139" t="n">
        <f aca="false">+SUM(DATOS_[[#This Row],[Conc.Sal.01]:[Conc.Sal.30]])</f>
        <v>0</v>
      </c>
      <c r="CE304" s="139" t="n">
        <f aca="false">+DATOS_[[#This Row],[SALARIO BASE Ef]]+DATOS_[[#This Row],[Tot COMPL.SAL Ef]]</f>
        <v>0</v>
      </c>
      <c r="CF304" s="139" t="n">
        <f aca="false">+SUM(DATOS_[[#This Row],[C.Extra.01]:[C.Extra.05]])</f>
        <v>0</v>
      </c>
      <c r="CG304" s="139" t="n">
        <f aca="false">+DATOS_[[#This Row],[TOTAL SALARIO Ef]]+DATOS_[[#This Row],[Tot Extrasalarial Ef]]</f>
        <v>0</v>
      </c>
      <c r="CH304" s="140" t="n">
        <f aca="false">MIN(IF(DATOS_[[#This Row],[Fecha Fin Contrato]]="",$D$4,DATOS_[[#This Row],[Fecha Fin Contrato]]),$D$4)-MAX(DATOS_[[#This Row],[Fecha de Contratación]],$D$3)+1</f>
        <v>1</v>
      </c>
      <c r="CI304" s="141" t="str">
        <f aca="false">IF(COUNTIFS(DATOS_[id],DATOS_[[#This Row],[id]])&gt;1,DATOS_[[#This Row],[id]],"")</f>
        <v/>
      </c>
      <c r="CJ304" s="141" t="n">
        <f aca="false">(Inicio!$G$10-DATOS_[[#This Row],[Fecha Nacimiento]])/365.25</f>
        <v>0</v>
      </c>
      <c r="CK304" s="141" t="n">
        <f aca="false">(Inicio!$G$10-DATOS_[[#This Row],[Fecha de Antigüedad]])/365.25</f>
        <v>0</v>
      </c>
      <c r="CL304" s="141" t="e">
        <f aca="false">+VLOOKUP(DATOS_[[#This Row],[Clave de Contrato]],TblTiposContrato13[],3,0)</f>
        <v>#N/A</v>
      </c>
      <c r="CM304" s="141" t="e">
        <f aca="false">+VLOOKUP(DATOS_[[#This Row],[Clave de Contrato]],TblTiposContrato13[],4,0)</f>
        <v>#N/A</v>
      </c>
      <c r="CN304" s="141" t="str">
        <f aca="false">VLOOKUP(DATOS_[[#This Row],[Edad]],CONTRATOS!TblRngEdad,2,1)</f>
        <v>20  o menos</v>
      </c>
      <c r="CO304" s="141" t="str">
        <f aca="false">VLOOKUP(DATOS_[[#This Row],[Antigüedad]],TblRngAntg14[],2,1)</f>
        <v>0 a 1 años</v>
      </c>
    </row>
    <row r="305" customFormat="false" ht="13.8" hidden="false" customHeight="false" outlineLevel="0" collapsed="false">
      <c r="D305" s="128"/>
      <c r="E305" s="129"/>
      <c r="F305" s="129"/>
      <c r="G305" s="129"/>
      <c r="H305" s="130"/>
      <c r="I305" s="131"/>
      <c r="J305" s="128"/>
      <c r="K305" s="132"/>
      <c r="L305" s="132"/>
      <c r="M305" s="133"/>
      <c r="N305" s="133"/>
      <c r="O305" s="133"/>
      <c r="P305" s="129"/>
      <c r="Z305" s="75"/>
      <c r="AA305" s="76"/>
      <c r="AB305" s="76"/>
      <c r="AC305" s="129"/>
      <c r="AD305" s="134"/>
      <c r="AE305" s="134"/>
      <c r="AF305" s="134"/>
      <c r="AG305" s="134"/>
      <c r="AH305" s="134"/>
      <c r="AI305" s="134"/>
      <c r="AJ305" s="134"/>
      <c r="AK305" s="134"/>
      <c r="AL305" s="134"/>
      <c r="AM305" s="134"/>
      <c r="AN305" s="134"/>
      <c r="AO305" s="134"/>
      <c r="AP305" s="134"/>
      <c r="AQ305" s="134"/>
      <c r="AR305" s="134"/>
      <c r="AS305" s="134"/>
      <c r="AT305" s="134"/>
      <c r="AU305" s="134"/>
      <c r="AV305" s="134"/>
      <c r="AW305" s="134"/>
      <c r="AX305" s="134"/>
      <c r="AY305" s="134"/>
      <c r="AZ305" s="134"/>
      <c r="BA305" s="134"/>
      <c r="BB305" s="134"/>
      <c r="BC305" s="134"/>
      <c r="BD305" s="134"/>
      <c r="BE305" s="134"/>
      <c r="BF305" s="134"/>
      <c r="BG305" s="134"/>
      <c r="BH305" s="134"/>
      <c r="BI305" s="134"/>
      <c r="BJ305" s="134"/>
      <c r="BK305" s="134"/>
      <c r="BL305" s="134"/>
      <c r="BM305" s="135"/>
      <c r="BN305" s="136" t="n">
        <f aca="false">+MAX($D$3,DATOS_[[#This Row],[Fecha Inicio Sit. Contract.]])</f>
        <v>0</v>
      </c>
      <c r="BO305" s="136" t="n">
        <f aca="false">+MIN($D$4,DATOS_[[#This Row],[Fecha Fin Sit. Contract.]])</f>
        <v>0</v>
      </c>
      <c r="BP305" s="137" t="n">
        <f aca="false">+DATOS_[[#This Row],[% de jornada]]*IF(DATOS_[[#This Row],[% jornada reducida]]="",1,DATOS_[[#This Row],[% jornada reducida]])</f>
        <v>0</v>
      </c>
      <c r="BQ305" s="137" t="n">
        <f aca="false">+(DATOS_[[#This Row],[F.fin.cal]]-DATOS_[[#This Row],[F.ini.cal]]+1)/($D$4-$D$3+1)</f>
        <v>1</v>
      </c>
      <c r="BR305" s="137" t="str">
        <f aca="false">IF(OR(AND(DATOS_[[#This Row],[Fecha Fin Contrato]]&lt;$D$3,DATOS_[[#This Row],[Fecha Fin Contrato]]&lt;&gt;""),DATOS_[[#This Row],[Fecha de Contratación]]&gt;$D$4),"Fuera","Dentro")</f>
        <v>Dentro</v>
      </c>
      <c r="BS305" s="137" t="str">
        <f aca="false" t="array" ref="BS305:BS305">IF(MAX(IF(DATOS_[id]=DATOS_[[#This Row],[id]],DATOS_[F.fin.cal]))=DATOS_[[#This Row],[F.fin.cal]],"Sí","NO")</f>
        <v>Sí</v>
      </c>
      <c r="BT305" s="137" t="str">
        <f aca="false">IF(AND(DATOS_[[#This Row],[% normaliz]]&lt;&gt;1,DATOS_[[#This Row],[% anualiz]]=1),"Sí","NO")</f>
        <v>Sí</v>
      </c>
      <c r="BU305" s="137" t="str">
        <f aca="false">IF(AND(DATOS_[[#This Row],[% normaliz]]=1,DATOS_[[#This Row],[% anualiz]]&lt;&gt;1),"Sí","NO")</f>
        <v>NO</v>
      </c>
      <c r="BV305" s="137" t="str">
        <f aca="false">IF(AND(DATOS_[[#This Row],[% normaliz]]&lt;&gt;1,DATOS_[[#This Row],[% anualiz]]&lt;&gt;1),"Sí","NO")</f>
        <v>NO</v>
      </c>
      <c r="BW305" s="137" t="str">
        <f aca="false">+IF(DATOS_[[#This Row],[% normaliz]]*DATOS_[[#This Row],[% anualiz]]=1,"NO","Sí")</f>
        <v>Sí</v>
      </c>
      <c r="BX305" s="138" t="e">
        <f aca="false">(DATOS_[[#This Row],[S.BASE]]*(1/DATOS_[[#This Row],[% normaliz]])*(1/DATOS_[[#This Row],[% anualiz]]))*IF(DATOS_[[#This Row],[Check Equiparado]]="Sí",1,0)</f>
        <v>#DIV/0!</v>
      </c>
      <c r="BY3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5" s="138" t="e">
        <f aca="false">+DATOS_[[#This Row],[SALARIO BASE Eq]]+DATOS_[[#This Row],[Tot COMPL.SAL Eq]]</f>
        <v>#DIV/0!</v>
      </c>
      <c r="CA305" s="138" t="e">
        <f aca="false" t="array" ref="CA305:CA3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5" s="138" t="e">
        <f aca="false">+DATOS_[[#This Row],[TOTAL SALARIO Eq]]+DATOS_[[#This Row],[Tot Extrasalarial Eq]]</f>
        <v>#DIV/0!</v>
      </c>
      <c r="CC305" s="139" t="n">
        <f aca="false">DATOS_[[#This Row],[S.BASE]]</f>
        <v>0</v>
      </c>
      <c r="CD305" s="139" t="n">
        <f aca="false">+SUM(DATOS_[[#This Row],[Conc.Sal.01]:[Conc.Sal.30]])</f>
        <v>0</v>
      </c>
      <c r="CE305" s="139" t="n">
        <f aca="false">+DATOS_[[#This Row],[SALARIO BASE Ef]]+DATOS_[[#This Row],[Tot COMPL.SAL Ef]]</f>
        <v>0</v>
      </c>
      <c r="CF305" s="139" t="n">
        <f aca="false">+SUM(DATOS_[[#This Row],[C.Extra.01]:[C.Extra.05]])</f>
        <v>0</v>
      </c>
      <c r="CG305" s="139" t="n">
        <f aca="false">+DATOS_[[#This Row],[TOTAL SALARIO Ef]]+DATOS_[[#This Row],[Tot Extrasalarial Ef]]</f>
        <v>0</v>
      </c>
      <c r="CH305" s="140" t="n">
        <f aca="false">MIN(IF(DATOS_[[#This Row],[Fecha Fin Contrato]]="",$D$4,DATOS_[[#This Row],[Fecha Fin Contrato]]),$D$4)-MAX(DATOS_[[#This Row],[Fecha de Contratación]],$D$3)+1</f>
        <v>1</v>
      </c>
      <c r="CI305" s="141" t="str">
        <f aca="false">IF(COUNTIFS(DATOS_[id],DATOS_[[#This Row],[id]])&gt;1,DATOS_[[#This Row],[id]],"")</f>
        <v/>
      </c>
      <c r="CJ305" s="141" t="n">
        <f aca="false">(Inicio!$G$10-DATOS_[[#This Row],[Fecha Nacimiento]])/365.25</f>
        <v>0</v>
      </c>
      <c r="CK305" s="141" t="n">
        <f aca="false">(Inicio!$G$10-DATOS_[[#This Row],[Fecha de Antigüedad]])/365.25</f>
        <v>0</v>
      </c>
      <c r="CL305" s="141" t="e">
        <f aca="false">+VLOOKUP(DATOS_[[#This Row],[Clave de Contrato]],TblTiposContrato13[],3,0)</f>
        <v>#N/A</v>
      </c>
      <c r="CM305" s="141" t="e">
        <f aca="false">+VLOOKUP(DATOS_[[#This Row],[Clave de Contrato]],TblTiposContrato13[],4,0)</f>
        <v>#N/A</v>
      </c>
      <c r="CN305" s="141" t="str">
        <f aca="false">VLOOKUP(DATOS_[[#This Row],[Edad]],CONTRATOS!TblRngEdad,2,1)</f>
        <v>20  o menos</v>
      </c>
      <c r="CO305" s="141" t="str">
        <f aca="false">VLOOKUP(DATOS_[[#This Row],[Antigüedad]],TblRngAntg14[],2,1)</f>
        <v>0 a 1 años</v>
      </c>
    </row>
    <row r="306" customFormat="false" ht="13.8" hidden="false" customHeight="false" outlineLevel="0" collapsed="false">
      <c r="D306" s="128"/>
      <c r="E306" s="129"/>
      <c r="F306" s="129"/>
      <c r="G306" s="129"/>
      <c r="H306" s="130"/>
      <c r="I306" s="131"/>
      <c r="J306" s="128"/>
      <c r="K306" s="132"/>
      <c r="L306" s="132"/>
      <c r="M306" s="133"/>
      <c r="N306" s="133"/>
      <c r="O306" s="133"/>
      <c r="P306" s="129"/>
      <c r="Z306" s="75"/>
      <c r="AA306" s="76"/>
      <c r="AB306" s="76"/>
      <c r="AC306" s="129"/>
      <c r="AD306" s="134"/>
      <c r="AE306" s="134"/>
      <c r="AF306" s="134"/>
      <c r="AG306" s="134"/>
      <c r="AH306" s="134"/>
      <c r="AI306" s="134"/>
      <c r="AJ306" s="134"/>
      <c r="AK306" s="134"/>
      <c r="AL306" s="134"/>
      <c r="AM306" s="134"/>
      <c r="AN306" s="134"/>
      <c r="AO306" s="134"/>
      <c r="AP306" s="134"/>
      <c r="AQ306" s="134"/>
      <c r="AR306" s="134"/>
      <c r="AS306" s="134"/>
      <c r="AT306" s="134"/>
      <c r="AU306" s="134"/>
      <c r="AV306" s="134"/>
      <c r="AW306" s="134"/>
      <c r="AX306" s="134"/>
      <c r="AY306" s="134"/>
      <c r="AZ306" s="134"/>
      <c r="BA306" s="134"/>
      <c r="BB306" s="134"/>
      <c r="BC306" s="134"/>
      <c r="BD306" s="134"/>
      <c r="BE306" s="134"/>
      <c r="BF306" s="134"/>
      <c r="BG306" s="134"/>
      <c r="BH306" s="134"/>
      <c r="BI306" s="134"/>
      <c r="BJ306" s="134"/>
      <c r="BK306" s="134"/>
      <c r="BL306" s="134"/>
      <c r="BM306" s="135"/>
      <c r="BN306" s="136" t="n">
        <f aca="false">+MAX($D$3,DATOS_[[#This Row],[Fecha Inicio Sit. Contract.]])</f>
        <v>0</v>
      </c>
      <c r="BO306" s="136" t="n">
        <f aca="false">+MIN($D$4,DATOS_[[#This Row],[Fecha Fin Sit. Contract.]])</f>
        <v>0</v>
      </c>
      <c r="BP306" s="137" t="n">
        <f aca="false">+DATOS_[[#This Row],[% de jornada]]*IF(DATOS_[[#This Row],[% jornada reducida]]="",1,DATOS_[[#This Row],[% jornada reducida]])</f>
        <v>0</v>
      </c>
      <c r="BQ306" s="137" t="n">
        <f aca="false">+(DATOS_[[#This Row],[F.fin.cal]]-DATOS_[[#This Row],[F.ini.cal]]+1)/($D$4-$D$3+1)</f>
        <v>1</v>
      </c>
      <c r="BR306" s="137" t="str">
        <f aca="false">IF(OR(AND(DATOS_[[#This Row],[Fecha Fin Contrato]]&lt;$D$3,DATOS_[[#This Row],[Fecha Fin Contrato]]&lt;&gt;""),DATOS_[[#This Row],[Fecha de Contratación]]&gt;$D$4),"Fuera","Dentro")</f>
        <v>Dentro</v>
      </c>
      <c r="BS306" s="137" t="str">
        <f aca="false" t="array" ref="BS306:BS306">IF(MAX(IF(DATOS_[id]=DATOS_[[#This Row],[id]],DATOS_[F.fin.cal]))=DATOS_[[#This Row],[F.fin.cal]],"Sí","NO")</f>
        <v>Sí</v>
      </c>
      <c r="BT306" s="137" t="str">
        <f aca="false">IF(AND(DATOS_[[#This Row],[% normaliz]]&lt;&gt;1,DATOS_[[#This Row],[% anualiz]]=1),"Sí","NO")</f>
        <v>Sí</v>
      </c>
      <c r="BU306" s="137" t="str">
        <f aca="false">IF(AND(DATOS_[[#This Row],[% normaliz]]=1,DATOS_[[#This Row],[% anualiz]]&lt;&gt;1),"Sí","NO")</f>
        <v>NO</v>
      </c>
      <c r="BV306" s="137" t="str">
        <f aca="false">IF(AND(DATOS_[[#This Row],[% normaliz]]&lt;&gt;1,DATOS_[[#This Row],[% anualiz]]&lt;&gt;1),"Sí","NO")</f>
        <v>NO</v>
      </c>
      <c r="BW306" s="137" t="str">
        <f aca="false">+IF(DATOS_[[#This Row],[% normaliz]]*DATOS_[[#This Row],[% anualiz]]=1,"NO","Sí")</f>
        <v>Sí</v>
      </c>
      <c r="BX306" s="138" t="e">
        <f aca="false">(DATOS_[[#This Row],[S.BASE]]*(1/DATOS_[[#This Row],[% normaliz]])*(1/DATOS_[[#This Row],[% anualiz]]))*IF(DATOS_[[#This Row],[Check Equiparado]]="Sí",1,0)</f>
        <v>#DIV/0!</v>
      </c>
      <c r="BY3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6" s="138" t="e">
        <f aca="false">+DATOS_[[#This Row],[SALARIO BASE Eq]]+DATOS_[[#This Row],[Tot COMPL.SAL Eq]]</f>
        <v>#DIV/0!</v>
      </c>
      <c r="CA306" s="138" t="e">
        <f aca="false" t="array" ref="CA306:CA3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6" s="138" t="e">
        <f aca="false">+DATOS_[[#This Row],[TOTAL SALARIO Eq]]+DATOS_[[#This Row],[Tot Extrasalarial Eq]]</f>
        <v>#DIV/0!</v>
      </c>
      <c r="CC306" s="139" t="n">
        <f aca="false">DATOS_[[#This Row],[S.BASE]]</f>
        <v>0</v>
      </c>
      <c r="CD306" s="139" t="n">
        <f aca="false">+SUM(DATOS_[[#This Row],[Conc.Sal.01]:[Conc.Sal.30]])</f>
        <v>0</v>
      </c>
      <c r="CE306" s="139" t="n">
        <f aca="false">+DATOS_[[#This Row],[SALARIO BASE Ef]]+DATOS_[[#This Row],[Tot COMPL.SAL Ef]]</f>
        <v>0</v>
      </c>
      <c r="CF306" s="139" t="n">
        <f aca="false">+SUM(DATOS_[[#This Row],[C.Extra.01]:[C.Extra.05]])</f>
        <v>0</v>
      </c>
      <c r="CG306" s="139" t="n">
        <f aca="false">+DATOS_[[#This Row],[TOTAL SALARIO Ef]]+DATOS_[[#This Row],[Tot Extrasalarial Ef]]</f>
        <v>0</v>
      </c>
      <c r="CH306" s="140" t="n">
        <f aca="false">MIN(IF(DATOS_[[#This Row],[Fecha Fin Contrato]]="",$D$4,DATOS_[[#This Row],[Fecha Fin Contrato]]),$D$4)-MAX(DATOS_[[#This Row],[Fecha de Contratación]],$D$3)+1</f>
        <v>1</v>
      </c>
      <c r="CI306" s="141" t="str">
        <f aca="false">IF(COUNTIFS(DATOS_[id],DATOS_[[#This Row],[id]])&gt;1,DATOS_[[#This Row],[id]],"")</f>
        <v/>
      </c>
      <c r="CJ306" s="141" t="n">
        <f aca="false">(Inicio!$G$10-DATOS_[[#This Row],[Fecha Nacimiento]])/365.25</f>
        <v>0</v>
      </c>
      <c r="CK306" s="141" t="n">
        <f aca="false">(Inicio!$G$10-DATOS_[[#This Row],[Fecha de Antigüedad]])/365.25</f>
        <v>0</v>
      </c>
      <c r="CL306" s="141" t="e">
        <f aca="false">+VLOOKUP(DATOS_[[#This Row],[Clave de Contrato]],TblTiposContrato13[],3,0)</f>
        <v>#N/A</v>
      </c>
      <c r="CM306" s="141" t="e">
        <f aca="false">+VLOOKUP(DATOS_[[#This Row],[Clave de Contrato]],TblTiposContrato13[],4,0)</f>
        <v>#N/A</v>
      </c>
      <c r="CN306" s="141" t="str">
        <f aca="false">VLOOKUP(DATOS_[[#This Row],[Edad]],CONTRATOS!TblRngEdad,2,1)</f>
        <v>20  o menos</v>
      </c>
      <c r="CO306" s="141" t="str">
        <f aca="false">VLOOKUP(DATOS_[[#This Row],[Antigüedad]],TblRngAntg14[],2,1)</f>
        <v>0 a 1 años</v>
      </c>
    </row>
    <row r="307" customFormat="false" ht="13.8" hidden="false" customHeight="false" outlineLevel="0" collapsed="false">
      <c r="D307" s="128"/>
      <c r="E307" s="129"/>
      <c r="F307" s="129"/>
      <c r="G307" s="129"/>
      <c r="H307" s="130"/>
      <c r="I307" s="131"/>
      <c r="J307" s="128"/>
      <c r="K307" s="132"/>
      <c r="L307" s="132"/>
      <c r="M307" s="133"/>
      <c r="N307" s="133"/>
      <c r="O307" s="133"/>
      <c r="P307" s="129"/>
      <c r="Z307" s="75"/>
      <c r="AA307" s="76"/>
      <c r="AB307" s="76"/>
      <c r="AC307" s="129"/>
      <c r="AD307" s="134"/>
      <c r="AE307" s="134"/>
      <c r="AF307" s="134"/>
      <c r="AG307" s="134"/>
      <c r="AH307" s="134"/>
      <c r="AI307" s="134"/>
      <c r="AJ307" s="134"/>
      <c r="AK307" s="134"/>
      <c r="AL307" s="134"/>
      <c r="AM307" s="134"/>
      <c r="AN307" s="134"/>
      <c r="AO307" s="134"/>
      <c r="AP307" s="134"/>
      <c r="AQ307" s="134"/>
      <c r="AR307" s="134"/>
      <c r="AS307" s="134"/>
      <c r="AT307" s="134"/>
      <c r="AU307" s="134"/>
      <c r="AV307" s="134"/>
      <c r="AW307" s="134"/>
      <c r="AX307" s="134"/>
      <c r="AY307" s="134"/>
      <c r="AZ307" s="134"/>
      <c r="BA307" s="134"/>
      <c r="BB307" s="134"/>
      <c r="BC307" s="134"/>
      <c r="BD307" s="134"/>
      <c r="BE307" s="134"/>
      <c r="BF307" s="134"/>
      <c r="BG307" s="134"/>
      <c r="BH307" s="134"/>
      <c r="BI307" s="134"/>
      <c r="BJ307" s="134"/>
      <c r="BK307" s="134"/>
      <c r="BL307" s="134"/>
      <c r="BM307" s="135"/>
      <c r="BN307" s="136" t="n">
        <f aca="false">+MAX($D$3,DATOS_[[#This Row],[Fecha Inicio Sit. Contract.]])</f>
        <v>0</v>
      </c>
      <c r="BO307" s="136" t="n">
        <f aca="false">+MIN($D$4,DATOS_[[#This Row],[Fecha Fin Sit. Contract.]])</f>
        <v>0</v>
      </c>
      <c r="BP307" s="137" t="n">
        <f aca="false">+DATOS_[[#This Row],[% de jornada]]*IF(DATOS_[[#This Row],[% jornada reducida]]="",1,DATOS_[[#This Row],[% jornada reducida]])</f>
        <v>0</v>
      </c>
      <c r="BQ307" s="137" t="n">
        <f aca="false">+(DATOS_[[#This Row],[F.fin.cal]]-DATOS_[[#This Row],[F.ini.cal]]+1)/($D$4-$D$3+1)</f>
        <v>1</v>
      </c>
      <c r="BR307" s="137" t="str">
        <f aca="false">IF(OR(AND(DATOS_[[#This Row],[Fecha Fin Contrato]]&lt;$D$3,DATOS_[[#This Row],[Fecha Fin Contrato]]&lt;&gt;""),DATOS_[[#This Row],[Fecha de Contratación]]&gt;$D$4),"Fuera","Dentro")</f>
        <v>Dentro</v>
      </c>
      <c r="BS307" s="137" t="str">
        <f aca="false" t="array" ref="BS307:BS307">IF(MAX(IF(DATOS_[id]=DATOS_[[#This Row],[id]],DATOS_[F.fin.cal]))=DATOS_[[#This Row],[F.fin.cal]],"Sí","NO")</f>
        <v>Sí</v>
      </c>
      <c r="BT307" s="137" t="str">
        <f aca="false">IF(AND(DATOS_[[#This Row],[% normaliz]]&lt;&gt;1,DATOS_[[#This Row],[% anualiz]]=1),"Sí","NO")</f>
        <v>Sí</v>
      </c>
      <c r="BU307" s="137" t="str">
        <f aca="false">IF(AND(DATOS_[[#This Row],[% normaliz]]=1,DATOS_[[#This Row],[% anualiz]]&lt;&gt;1),"Sí","NO")</f>
        <v>NO</v>
      </c>
      <c r="BV307" s="137" t="str">
        <f aca="false">IF(AND(DATOS_[[#This Row],[% normaliz]]&lt;&gt;1,DATOS_[[#This Row],[% anualiz]]&lt;&gt;1),"Sí","NO")</f>
        <v>NO</v>
      </c>
      <c r="BW307" s="137" t="str">
        <f aca="false">+IF(DATOS_[[#This Row],[% normaliz]]*DATOS_[[#This Row],[% anualiz]]=1,"NO","Sí")</f>
        <v>Sí</v>
      </c>
      <c r="BX307" s="138" t="e">
        <f aca="false">(DATOS_[[#This Row],[S.BASE]]*(1/DATOS_[[#This Row],[% normaliz]])*(1/DATOS_[[#This Row],[% anualiz]]))*IF(DATOS_[[#This Row],[Check Equiparado]]="Sí",1,0)</f>
        <v>#DIV/0!</v>
      </c>
      <c r="BY3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7" s="138" t="e">
        <f aca="false">+DATOS_[[#This Row],[SALARIO BASE Eq]]+DATOS_[[#This Row],[Tot COMPL.SAL Eq]]</f>
        <v>#DIV/0!</v>
      </c>
      <c r="CA307" s="138" t="e">
        <f aca="false" t="array" ref="CA307:CA3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7" s="138" t="e">
        <f aca="false">+DATOS_[[#This Row],[TOTAL SALARIO Eq]]+DATOS_[[#This Row],[Tot Extrasalarial Eq]]</f>
        <v>#DIV/0!</v>
      </c>
      <c r="CC307" s="139" t="n">
        <f aca="false">DATOS_[[#This Row],[S.BASE]]</f>
        <v>0</v>
      </c>
      <c r="CD307" s="139" t="n">
        <f aca="false">+SUM(DATOS_[[#This Row],[Conc.Sal.01]:[Conc.Sal.30]])</f>
        <v>0</v>
      </c>
      <c r="CE307" s="139" t="n">
        <f aca="false">+DATOS_[[#This Row],[SALARIO BASE Ef]]+DATOS_[[#This Row],[Tot COMPL.SAL Ef]]</f>
        <v>0</v>
      </c>
      <c r="CF307" s="139" t="n">
        <f aca="false">+SUM(DATOS_[[#This Row],[C.Extra.01]:[C.Extra.05]])</f>
        <v>0</v>
      </c>
      <c r="CG307" s="139" t="n">
        <f aca="false">+DATOS_[[#This Row],[TOTAL SALARIO Ef]]+DATOS_[[#This Row],[Tot Extrasalarial Ef]]</f>
        <v>0</v>
      </c>
      <c r="CH307" s="140" t="n">
        <f aca="false">MIN(IF(DATOS_[[#This Row],[Fecha Fin Contrato]]="",$D$4,DATOS_[[#This Row],[Fecha Fin Contrato]]),$D$4)-MAX(DATOS_[[#This Row],[Fecha de Contratación]],$D$3)+1</f>
        <v>1</v>
      </c>
      <c r="CI307" s="141" t="str">
        <f aca="false">IF(COUNTIFS(DATOS_[id],DATOS_[[#This Row],[id]])&gt;1,DATOS_[[#This Row],[id]],"")</f>
        <v/>
      </c>
      <c r="CJ307" s="141" t="n">
        <f aca="false">(Inicio!$G$10-DATOS_[[#This Row],[Fecha Nacimiento]])/365.25</f>
        <v>0</v>
      </c>
      <c r="CK307" s="141" t="n">
        <f aca="false">(Inicio!$G$10-DATOS_[[#This Row],[Fecha de Antigüedad]])/365.25</f>
        <v>0</v>
      </c>
      <c r="CL307" s="141" t="e">
        <f aca="false">+VLOOKUP(DATOS_[[#This Row],[Clave de Contrato]],TblTiposContrato13[],3,0)</f>
        <v>#N/A</v>
      </c>
      <c r="CM307" s="141" t="e">
        <f aca="false">+VLOOKUP(DATOS_[[#This Row],[Clave de Contrato]],TblTiposContrato13[],4,0)</f>
        <v>#N/A</v>
      </c>
      <c r="CN307" s="141" t="str">
        <f aca="false">VLOOKUP(DATOS_[[#This Row],[Edad]],CONTRATOS!TblRngEdad,2,1)</f>
        <v>20  o menos</v>
      </c>
      <c r="CO307" s="141" t="str">
        <f aca="false">VLOOKUP(DATOS_[[#This Row],[Antigüedad]],TblRngAntg14[],2,1)</f>
        <v>0 a 1 años</v>
      </c>
    </row>
    <row r="308" customFormat="false" ht="13.8" hidden="false" customHeight="false" outlineLevel="0" collapsed="false">
      <c r="D308" s="128"/>
      <c r="E308" s="129"/>
      <c r="F308" s="129"/>
      <c r="G308" s="129"/>
      <c r="H308" s="130"/>
      <c r="I308" s="131"/>
      <c r="J308" s="128"/>
      <c r="K308" s="132"/>
      <c r="L308" s="132"/>
      <c r="M308" s="133"/>
      <c r="N308" s="133"/>
      <c r="O308" s="133"/>
      <c r="P308" s="129"/>
      <c r="Z308" s="75"/>
      <c r="AA308" s="76"/>
      <c r="AB308" s="76"/>
      <c r="AC308" s="129"/>
      <c r="AD308" s="134"/>
      <c r="AE308" s="134"/>
      <c r="AF308" s="134"/>
      <c r="AG308" s="134"/>
      <c r="AH308" s="134"/>
      <c r="AI308" s="134"/>
      <c r="AJ308" s="134"/>
      <c r="AK308" s="134"/>
      <c r="AL308" s="134"/>
      <c r="AM308" s="134"/>
      <c r="AN308" s="134"/>
      <c r="AO308" s="134"/>
      <c r="AP308" s="134"/>
      <c r="AQ308" s="134"/>
      <c r="AR308" s="134"/>
      <c r="AS308" s="134"/>
      <c r="AT308" s="134"/>
      <c r="AU308" s="134"/>
      <c r="AV308" s="134"/>
      <c r="AW308" s="134"/>
      <c r="AX308" s="134"/>
      <c r="AY308" s="134"/>
      <c r="AZ308" s="134"/>
      <c r="BA308" s="134"/>
      <c r="BB308" s="134"/>
      <c r="BC308" s="134"/>
      <c r="BD308" s="134"/>
      <c r="BE308" s="134"/>
      <c r="BF308" s="134"/>
      <c r="BG308" s="134"/>
      <c r="BH308" s="134"/>
      <c r="BI308" s="134"/>
      <c r="BJ308" s="134"/>
      <c r="BK308" s="134"/>
      <c r="BL308" s="134"/>
      <c r="BM308" s="135"/>
      <c r="BN308" s="136" t="n">
        <f aca="false">+MAX($D$3,DATOS_[[#This Row],[Fecha Inicio Sit. Contract.]])</f>
        <v>0</v>
      </c>
      <c r="BO308" s="136" t="n">
        <f aca="false">+MIN($D$4,DATOS_[[#This Row],[Fecha Fin Sit. Contract.]])</f>
        <v>0</v>
      </c>
      <c r="BP308" s="137" t="n">
        <f aca="false">+DATOS_[[#This Row],[% de jornada]]*IF(DATOS_[[#This Row],[% jornada reducida]]="",1,DATOS_[[#This Row],[% jornada reducida]])</f>
        <v>0</v>
      </c>
      <c r="BQ308" s="137" t="n">
        <f aca="false">+(DATOS_[[#This Row],[F.fin.cal]]-DATOS_[[#This Row],[F.ini.cal]]+1)/($D$4-$D$3+1)</f>
        <v>1</v>
      </c>
      <c r="BR308" s="137" t="str">
        <f aca="false">IF(OR(AND(DATOS_[[#This Row],[Fecha Fin Contrato]]&lt;$D$3,DATOS_[[#This Row],[Fecha Fin Contrato]]&lt;&gt;""),DATOS_[[#This Row],[Fecha de Contratación]]&gt;$D$4),"Fuera","Dentro")</f>
        <v>Dentro</v>
      </c>
      <c r="BS308" s="137" t="str">
        <f aca="false" t="array" ref="BS308:BS308">IF(MAX(IF(DATOS_[id]=DATOS_[[#This Row],[id]],DATOS_[F.fin.cal]))=DATOS_[[#This Row],[F.fin.cal]],"Sí","NO")</f>
        <v>Sí</v>
      </c>
      <c r="BT308" s="137" t="str">
        <f aca="false">IF(AND(DATOS_[[#This Row],[% normaliz]]&lt;&gt;1,DATOS_[[#This Row],[% anualiz]]=1),"Sí","NO")</f>
        <v>Sí</v>
      </c>
      <c r="BU308" s="137" t="str">
        <f aca="false">IF(AND(DATOS_[[#This Row],[% normaliz]]=1,DATOS_[[#This Row],[% anualiz]]&lt;&gt;1),"Sí","NO")</f>
        <v>NO</v>
      </c>
      <c r="BV308" s="137" t="str">
        <f aca="false">IF(AND(DATOS_[[#This Row],[% normaliz]]&lt;&gt;1,DATOS_[[#This Row],[% anualiz]]&lt;&gt;1),"Sí","NO")</f>
        <v>NO</v>
      </c>
      <c r="BW308" s="137" t="str">
        <f aca="false">+IF(DATOS_[[#This Row],[% normaliz]]*DATOS_[[#This Row],[% anualiz]]=1,"NO","Sí")</f>
        <v>Sí</v>
      </c>
      <c r="BX308" s="138" t="e">
        <f aca="false">(DATOS_[[#This Row],[S.BASE]]*(1/DATOS_[[#This Row],[% normaliz]])*(1/DATOS_[[#This Row],[% anualiz]]))*IF(DATOS_[[#This Row],[Check Equiparado]]="Sí",1,0)</f>
        <v>#DIV/0!</v>
      </c>
      <c r="BY3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8" s="138" t="e">
        <f aca="false">+DATOS_[[#This Row],[SALARIO BASE Eq]]+DATOS_[[#This Row],[Tot COMPL.SAL Eq]]</f>
        <v>#DIV/0!</v>
      </c>
      <c r="CA308" s="138" t="e">
        <f aca="false" t="array" ref="CA308:CA3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8" s="138" t="e">
        <f aca="false">+DATOS_[[#This Row],[TOTAL SALARIO Eq]]+DATOS_[[#This Row],[Tot Extrasalarial Eq]]</f>
        <v>#DIV/0!</v>
      </c>
      <c r="CC308" s="139" t="n">
        <f aca="false">DATOS_[[#This Row],[S.BASE]]</f>
        <v>0</v>
      </c>
      <c r="CD308" s="139" t="n">
        <f aca="false">+SUM(DATOS_[[#This Row],[Conc.Sal.01]:[Conc.Sal.30]])</f>
        <v>0</v>
      </c>
      <c r="CE308" s="139" t="n">
        <f aca="false">+DATOS_[[#This Row],[SALARIO BASE Ef]]+DATOS_[[#This Row],[Tot COMPL.SAL Ef]]</f>
        <v>0</v>
      </c>
      <c r="CF308" s="139" t="n">
        <f aca="false">+SUM(DATOS_[[#This Row],[C.Extra.01]:[C.Extra.05]])</f>
        <v>0</v>
      </c>
      <c r="CG308" s="139" t="n">
        <f aca="false">+DATOS_[[#This Row],[TOTAL SALARIO Ef]]+DATOS_[[#This Row],[Tot Extrasalarial Ef]]</f>
        <v>0</v>
      </c>
      <c r="CH308" s="140" t="n">
        <f aca="false">MIN(IF(DATOS_[[#This Row],[Fecha Fin Contrato]]="",$D$4,DATOS_[[#This Row],[Fecha Fin Contrato]]),$D$4)-MAX(DATOS_[[#This Row],[Fecha de Contratación]],$D$3)+1</f>
        <v>1</v>
      </c>
      <c r="CI308" s="141" t="str">
        <f aca="false">IF(COUNTIFS(DATOS_[id],DATOS_[[#This Row],[id]])&gt;1,DATOS_[[#This Row],[id]],"")</f>
        <v/>
      </c>
      <c r="CJ308" s="141" t="n">
        <f aca="false">(Inicio!$G$10-DATOS_[[#This Row],[Fecha Nacimiento]])/365.25</f>
        <v>0</v>
      </c>
      <c r="CK308" s="141" t="n">
        <f aca="false">(Inicio!$G$10-DATOS_[[#This Row],[Fecha de Antigüedad]])/365.25</f>
        <v>0</v>
      </c>
      <c r="CL308" s="141" t="e">
        <f aca="false">+VLOOKUP(DATOS_[[#This Row],[Clave de Contrato]],TblTiposContrato13[],3,0)</f>
        <v>#N/A</v>
      </c>
      <c r="CM308" s="141" t="e">
        <f aca="false">+VLOOKUP(DATOS_[[#This Row],[Clave de Contrato]],TblTiposContrato13[],4,0)</f>
        <v>#N/A</v>
      </c>
      <c r="CN308" s="141" t="str">
        <f aca="false">VLOOKUP(DATOS_[[#This Row],[Edad]],CONTRATOS!TblRngEdad,2,1)</f>
        <v>20  o menos</v>
      </c>
      <c r="CO308" s="141" t="str">
        <f aca="false">VLOOKUP(DATOS_[[#This Row],[Antigüedad]],TblRngAntg14[],2,1)</f>
        <v>0 a 1 años</v>
      </c>
    </row>
    <row r="309" customFormat="false" ht="13.8" hidden="false" customHeight="false" outlineLevel="0" collapsed="false">
      <c r="D309" s="128"/>
      <c r="E309" s="129"/>
      <c r="F309" s="129"/>
      <c r="G309" s="129"/>
      <c r="H309" s="130"/>
      <c r="I309" s="131"/>
      <c r="J309" s="128"/>
      <c r="K309" s="132"/>
      <c r="L309" s="132"/>
      <c r="M309" s="133"/>
      <c r="N309" s="133"/>
      <c r="O309" s="133"/>
      <c r="P309" s="129"/>
      <c r="Z309" s="75"/>
      <c r="AA309" s="76"/>
      <c r="AB309" s="76"/>
      <c r="AC309" s="129"/>
      <c r="AD309" s="134"/>
      <c r="AE309" s="134"/>
      <c r="AF309" s="134"/>
      <c r="AG309" s="134"/>
      <c r="AH309" s="134"/>
      <c r="AI309" s="134"/>
      <c r="AJ309" s="134"/>
      <c r="AK309" s="134"/>
      <c r="AL309" s="134"/>
      <c r="AM309" s="134"/>
      <c r="AN309" s="134"/>
      <c r="AO309" s="134"/>
      <c r="AP309" s="134"/>
      <c r="AQ309" s="134"/>
      <c r="AR309" s="134"/>
      <c r="AS309" s="134"/>
      <c r="AT309" s="134"/>
      <c r="AU309" s="134"/>
      <c r="AV309" s="134"/>
      <c r="AW309" s="134"/>
      <c r="AX309" s="134"/>
      <c r="AY309" s="134"/>
      <c r="AZ309" s="134"/>
      <c r="BA309" s="134"/>
      <c r="BB309" s="134"/>
      <c r="BC309" s="134"/>
      <c r="BD309" s="134"/>
      <c r="BE309" s="134"/>
      <c r="BF309" s="134"/>
      <c r="BG309" s="134"/>
      <c r="BH309" s="134"/>
      <c r="BI309" s="134"/>
      <c r="BJ309" s="134"/>
      <c r="BK309" s="134"/>
      <c r="BL309" s="134"/>
      <c r="BM309" s="135"/>
      <c r="BN309" s="136" t="n">
        <f aca="false">+MAX($D$3,DATOS_[[#This Row],[Fecha Inicio Sit. Contract.]])</f>
        <v>0</v>
      </c>
      <c r="BO309" s="136" t="n">
        <f aca="false">+MIN($D$4,DATOS_[[#This Row],[Fecha Fin Sit. Contract.]])</f>
        <v>0</v>
      </c>
      <c r="BP309" s="137" t="n">
        <f aca="false">+DATOS_[[#This Row],[% de jornada]]*IF(DATOS_[[#This Row],[% jornada reducida]]="",1,DATOS_[[#This Row],[% jornada reducida]])</f>
        <v>0</v>
      </c>
      <c r="BQ309" s="137" t="n">
        <f aca="false">+(DATOS_[[#This Row],[F.fin.cal]]-DATOS_[[#This Row],[F.ini.cal]]+1)/($D$4-$D$3+1)</f>
        <v>1</v>
      </c>
      <c r="BR309" s="137" t="str">
        <f aca="false">IF(OR(AND(DATOS_[[#This Row],[Fecha Fin Contrato]]&lt;$D$3,DATOS_[[#This Row],[Fecha Fin Contrato]]&lt;&gt;""),DATOS_[[#This Row],[Fecha de Contratación]]&gt;$D$4),"Fuera","Dentro")</f>
        <v>Dentro</v>
      </c>
      <c r="BS309" s="137" t="str">
        <f aca="false" t="array" ref="BS309:BS309">IF(MAX(IF(DATOS_[id]=DATOS_[[#This Row],[id]],DATOS_[F.fin.cal]))=DATOS_[[#This Row],[F.fin.cal]],"Sí","NO")</f>
        <v>Sí</v>
      </c>
      <c r="BT309" s="137" t="str">
        <f aca="false">IF(AND(DATOS_[[#This Row],[% normaliz]]&lt;&gt;1,DATOS_[[#This Row],[% anualiz]]=1),"Sí","NO")</f>
        <v>Sí</v>
      </c>
      <c r="BU309" s="137" t="str">
        <f aca="false">IF(AND(DATOS_[[#This Row],[% normaliz]]=1,DATOS_[[#This Row],[% anualiz]]&lt;&gt;1),"Sí","NO")</f>
        <v>NO</v>
      </c>
      <c r="BV309" s="137" t="str">
        <f aca="false">IF(AND(DATOS_[[#This Row],[% normaliz]]&lt;&gt;1,DATOS_[[#This Row],[% anualiz]]&lt;&gt;1),"Sí","NO")</f>
        <v>NO</v>
      </c>
      <c r="BW309" s="137" t="str">
        <f aca="false">+IF(DATOS_[[#This Row],[% normaliz]]*DATOS_[[#This Row],[% anualiz]]=1,"NO","Sí")</f>
        <v>Sí</v>
      </c>
      <c r="BX309" s="138" t="e">
        <f aca="false">(DATOS_[[#This Row],[S.BASE]]*(1/DATOS_[[#This Row],[% normaliz]])*(1/DATOS_[[#This Row],[% anualiz]]))*IF(DATOS_[[#This Row],[Check Equiparado]]="Sí",1,0)</f>
        <v>#DIV/0!</v>
      </c>
      <c r="BY3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9" s="138" t="e">
        <f aca="false">+DATOS_[[#This Row],[SALARIO BASE Eq]]+DATOS_[[#This Row],[Tot COMPL.SAL Eq]]</f>
        <v>#DIV/0!</v>
      </c>
      <c r="CA309" s="138" t="e">
        <f aca="false" t="array" ref="CA309:CA3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9" s="138" t="e">
        <f aca="false">+DATOS_[[#This Row],[TOTAL SALARIO Eq]]+DATOS_[[#This Row],[Tot Extrasalarial Eq]]</f>
        <v>#DIV/0!</v>
      </c>
      <c r="CC309" s="139" t="n">
        <f aca="false">DATOS_[[#This Row],[S.BASE]]</f>
        <v>0</v>
      </c>
      <c r="CD309" s="139" t="n">
        <f aca="false">+SUM(DATOS_[[#This Row],[Conc.Sal.01]:[Conc.Sal.30]])</f>
        <v>0</v>
      </c>
      <c r="CE309" s="139" t="n">
        <f aca="false">+DATOS_[[#This Row],[SALARIO BASE Ef]]+DATOS_[[#This Row],[Tot COMPL.SAL Ef]]</f>
        <v>0</v>
      </c>
      <c r="CF309" s="139" t="n">
        <f aca="false">+SUM(DATOS_[[#This Row],[C.Extra.01]:[C.Extra.05]])</f>
        <v>0</v>
      </c>
      <c r="CG309" s="139" t="n">
        <f aca="false">+DATOS_[[#This Row],[TOTAL SALARIO Ef]]+DATOS_[[#This Row],[Tot Extrasalarial Ef]]</f>
        <v>0</v>
      </c>
      <c r="CH309" s="140" t="n">
        <f aca="false">MIN(IF(DATOS_[[#This Row],[Fecha Fin Contrato]]="",$D$4,DATOS_[[#This Row],[Fecha Fin Contrato]]),$D$4)-MAX(DATOS_[[#This Row],[Fecha de Contratación]],$D$3)+1</f>
        <v>1</v>
      </c>
      <c r="CI309" s="141" t="str">
        <f aca="false">IF(COUNTIFS(DATOS_[id],DATOS_[[#This Row],[id]])&gt;1,DATOS_[[#This Row],[id]],"")</f>
        <v/>
      </c>
      <c r="CJ309" s="141" t="n">
        <f aca="false">(Inicio!$G$10-DATOS_[[#This Row],[Fecha Nacimiento]])/365.25</f>
        <v>0</v>
      </c>
      <c r="CK309" s="141" t="n">
        <f aca="false">(Inicio!$G$10-DATOS_[[#This Row],[Fecha de Antigüedad]])/365.25</f>
        <v>0</v>
      </c>
      <c r="CL309" s="141" t="e">
        <f aca="false">+VLOOKUP(DATOS_[[#This Row],[Clave de Contrato]],TblTiposContrato13[],3,0)</f>
        <v>#N/A</v>
      </c>
      <c r="CM309" s="141" t="e">
        <f aca="false">+VLOOKUP(DATOS_[[#This Row],[Clave de Contrato]],TblTiposContrato13[],4,0)</f>
        <v>#N/A</v>
      </c>
      <c r="CN309" s="141" t="str">
        <f aca="false">VLOOKUP(DATOS_[[#This Row],[Edad]],CONTRATOS!TblRngEdad,2,1)</f>
        <v>20  o menos</v>
      </c>
      <c r="CO309" s="141" t="str">
        <f aca="false">VLOOKUP(DATOS_[[#This Row],[Antigüedad]],TblRngAntg14[],2,1)</f>
        <v>0 a 1 años</v>
      </c>
    </row>
    <row r="310" customFormat="false" ht="13.8" hidden="false" customHeight="false" outlineLevel="0" collapsed="false">
      <c r="D310" s="128"/>
      <c r="E310" s="129"/>
      <c r="F310" s="129"/>
      <c r="G310" s="129"/>
      <c r="H310" s="130"/>
      <c r="I310" s="131"/>
      <c r="J310" s="128"/>
      <c r="K310" s="132"/>
      <c r="L310" s="132"/>
      <c r="M310" s="133"/>
      <c r="N310" s="133"/>
      <c r="O310" s="133"/>
      <c r="P310" s="129"/>
      <c r="Z310" s="75"/>
      <c r="AA310" s="76"/>
      <c r="AB310" s="76"/>
      <c r="AC310" s="129"/>
      <c r="AD310" s="134"/>
      <c r="AE310" s="134"/>
      <c r="AF310" s="134"/>
      <c r="AG310" s="134"/>
      <c r="AH310" s="134"/>
      <c r="AI310" s="134"/>
      <c r="AJ310" s="134"/>
      <c r="AK310" s="134"/>
      <c r="AL310" s="134"/>
      <c r="AM310" s="134"/>
      <c r="AN310" s="134"/>
      <c r="AO310" s="134"/>
      <c r="AP310" s="134"/>
      <c r="AQ310" s="134"/>
      <c r="AR310" s="134"/>
      <c r="AS310" s="134"/>
      <c r="AT310" s="134"/>
      <c r="AU310" s="134"/>
      <c r="AV310" s="134"/>
      <c r="AW310" s="134"/>
      <c r="AX310" s="134"/>
      <c r="AY310" s="134"/>
      <c r="AZ310" s="134"/>
      <c r="BA310" s="134"/>
      <c r="BB310" s="134"/>
      <c r="BC310" s="134"/>
      <c r="BD310" s="134"/>
      <c r="BE310" s="134"/>
      <c r="BF310" s="134"/>
      <c r="BG310" s="134"/>
      <c r="BH310" s="134"/>
      <c r="BI310" s="134"/>
      <c r="BJ310" s="134"/>
      <c r="BK310" s="134"/>
      <c r="BL310" s="134"/>
      <c r="BM310" s="135"/>
      <c r="BN310" s="136" t="n">
        <f aca="false">+MAX($D$3,DATOS_[[#This Row],[Fecha Inicio Sit. Contract.]])</f>
        <v>0</v>
      </c>
      <c r="BO310" s="136" t="n">
        <f aca="false">+MIN($D$4,DATOS_[[#This Row],[Fecha Fin Sit. Contract.]])</f>
        <v>0</v>
      </c>
      <c r="BP310" s="137" t="n">
        <f aca="false">+DATOS_[[#This Row],[% de jornada]]*IF(DATOS_[[#This Row],[% jornada reducida]]="",1,DATOS_[[#This Row],[% jornada reducida]])</f>
        <v>0</v>
      </c>
      <c r="BQ310" s="137" t="n">
        <f aca="false">+(DATOS_[[#This Row],[F.fin.cal]]-DATOS_[[#This Row],[F.ini.cal]]+1)/($D$4-$D$3+1)</f>
        <v>1</v>
      </c>
      <c r="BR310" s="137" t="str">
        <f aca="false">IF(OR(AND(DATOS_[[#This Row],[Fecha Fin Contrato]]&lt;$D$3,DATOS_[[#This Row],[Fecha Fin Contrato]]&lt;&gt;""),DATOS_[[#This Row],[Fecha de Contratación]]&gt;$D$4),"Fuera","Dentro")</f>
        <v>Dentro</v>
      </c>
      <c r="BS310" s="137" t="str">
        <f aca="false" t="array" ref="BS310:BS310">IF(MAX(IF(DATOS_[id]=DATOS_[[#This Row],[id]],DATOS_[F.fin.cal]))=DATOS_[[#This Row],[F.fin.cal]],"Sí","NO")</f>
        <v>Sí</v>
      </c>
      <c r="BT310" s="137" t="str">
        <f aca="false">IF(AND(DATOS_[[#This Row],[% normaliz]]&lt;&gt;1,DATOS_[[#This Row],[% anualiz]]=1),"Sí","NO")</f>
        <v>Sí</v>
      </c>
      <c r="BU310" s="137" t="str">
        <f aca="false">IF(AND(DATOS_[[#This Row],[% normaliz]]=1,DATOS_[[#This Row],[% anualiz]]&lt;&gt;1),"Sí","NO")</f>
        <v>NO</v>
      </c>
      <c r="BV310" s="137" t="str">
        <f aca="false">IF(AND(DATOS_[[#This Row],[% normaliz]]&lt;&gt;1,DATOS_[[#This Row],[% anualiz]]&lt;&gt;1),"Sí","NO")</f>
        <v>NO</v>
      </c>
      <c r="BW310" s="137" t="str">
        <f aca="false">+IF(DATOS_[[#This Row],[% normaliz]]*DATOS_[[#This Row],[% anualiz]]=1,"NO","Sí")</f>
        <v>Sí</v>
      </c>
      <c r="BX310" s="138" t="e">
        <f aca="false">(DATOS_[[#This Row],[S.BASE]]*(1/DATOS_[[#This Row],[% normaliz]])*(1/DATOS_[[#This Row],[% anualiz]]))*IF(DATOS_[[#This Row],[Check Equiparado]]="Sí",1,0)</f>
        <v>#DIV/0!</v>
      </c>
      <c r="BY3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0" s="138" t="e">
        <f aca="false">+DATOS_[[#This Row],[SALARIO BASE Eq]]+DATOS_[[#This Row],[Tot COMPL.SAL Eq]]</f>
        <v>#DIV/0!</v>
      </c>
      <c r="CA310" s="138" t="e">
        <f aca="false" t="array" ref="CA310:CA3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0" s="138" t="e">
        <f aca="false">+DATOS_[[#This Row],[TOTAL SALARIO Eq]]+DATOS_[[#This Row],[Tot Extrasalarial Eq]]</f>
        <v>#DIV/0!</v>
      </c>
      <c r="CC310" s="139" t="n">
        <f aca="false">DATOS_[[#This Row],[S.BASE]]</f>
        <v>0</v>
      </c>
      <c r="CD310" s="139" t="n">
        <f aca="false">+SUM(DATOS_[[#This Row],[Conc.Sal.01]:[Conc.Sal.30]])</f>
        <v>0</v>
      </c>
      <c r="CE310" s="139" t="n">
        <f aca="false">+DATOS_[[#This Row],[SALARIO BASE Ef]]+DATOS_[[#This Row],[Tot COMPL.SAL Ef]]</f>
        <v>0</v>
      </c>
      <c r="CF310" s="139" t="n">
        <f aca="false">+SUM(DATOS_[[#This Row],[C.Extra.01]:[C.Extra.05]])</f>
        <v>0</v>
      </c>
      <c r="CG310" s="139" t="n">
        <f aca="false">+DATOS_[[#This Row],[TOTAL SALARIO Ef]]+DATOS_[[#This Row],[Tot Extrasalarial Ef]]</f>
        <v>0</v>
      </c>
      <c r="CH310" s="140" t="n">
        <f aca="false">MIN(IF(DATOS_[[#This Row],[Fecha Fin Contrato]]="",$D$4,DATOS_[[#This Row],[Fecha Fin Contrato]]),$D$4)-MAX(DATOS_[[#This Row],[Fecha de Contratación]],$D$3)+1</f>
        <v>1</v>
      </c>
      <c r="CI310" s="141" t="str">
        <f aca="false">IF(COUNTIFS(DATOS_[id],DATOS_[[#This Row],[id]])&gt;1,DATOS_[[#This Row],[id]],"")</f>
        <v/>
      </c>
      <c r="CJ310" s="141" t="n">
        <f aca="false">(Inicio!$G$10-DATOS_[[#This Row],[Fecha Nacimiento]])/365.25</f>
        <v>0</v>
      </c>
      <c r="CK310" s="141" t="n">
        <f aca="false">(Inicio!$G$10-DATOS_[[#This Row],[Fecha de Antigüedad]])/365.25</f>
        <v>0</v>
      </c>
      <c r="CL310" s="141" t="e">
        <f aca="false">+VLOOKUP(DATOS_[[#This Row],[Clave de Contrato]],TblTiposContrato13[],3,0)</f>
        <v>#N/A</v>
      </c>
      <c r="CM310" s="141" t="e">
        <f aca="false">+VLOOKUP(DATOS_[[#This Row],[Clave de Contrato]],TblTiposContrato13[],4,0)</f>
        <v>#N/A</v>
      </c>
      <c r="CN310" s="141" t="str">
        <f aca="false">VLOOKUP(DATOS_[[#This Row],[Edad]],CONTRATOS!TblRngEdad,2,1)</f>
        <v>20  o menos</v>
      </c>
      <c r="CO310" s="141" t="str">
        <f aca="false">VLOOKUP(DATOS_[[#This Row],[Antigüedad]],TblRngAntg14[],2,1)</f>
        <v>0 a 1 años</v>
      </c>
    </row>
    <row r="311" customFormat="false" ht="13.8" hidden="false" customHeight="false" outlineLevel="0" collapsed="false">
      <c r="D311" s="128"/>
      <c r="E311" s="129"/>
      <c r="F311" s="129"/>
      <c r="G311" s="129"/>
      <c r="H311" s="130"/>
      <c r="I311" s="131"/>
      <c r="J311" s="128"/>
      <c r="K311" s="132"/>
      <c r="L311" s="132"/>
      <c r="M311" s="133"/>
      <c r="N311" s="133"/>
      <c r="O311" s="133"/>
      <c r="P311" s="129"/>
      <c r="Z311" s="75"/>
      <c r="AA311" s="76"/>
      <c r="AB311" s="76"/>
      <c r="AC311" s="129"/>
      <c r="AD311" s="134"/>
      <c r="AE311" s="134"/>
      <c r="AF311" s="134"/>
      <c r="AG311" s="134"/>
      <c r="AH311" s="134"/>
      <c r="AI311" s="134"/>
      <c r="AJ311" s="134"/>
      <c r="AK311" s="134"/>
      <c r="AL311" s="134"/>
      <c r="AM311" s="134"/>
      <c r="AN311" s="134"/>
      <c r="AO311" s="134"/>
      <c r="AP311" s="134"/>
      <c r="AQ311" s="134"/>
      <c r="AR311" s="134"/>
      <c r="AS311" s="134"/>
      <c r="AT311" s="134"/>
      <c r="AU311" s="134"/>
      <c r="AV311" s="134"/>
      <c r="AW311" s="134"/>
      <c r="AX311" s="134"/>
      <c r="AY311" s="134"/>
      <c r="AZ311" s="134"/>
      <c r="BA311" s="134"/>
      <c r="BB311" s="134"/>
      <c r="BC311" s="134"/>
      <c r="BD311" s="134"/>
      <c r="BE311" s="134"/>
      <c r="BF311" s="134"/>
      <c r="BG311" s="134"/>
      <c r="BH311" s="134"/>
      <c r="BI311" s="134"/>
      <c r="BJ311" s="134"/>
      <c r="BK311" s="134"/>
      <c r="BL311" s="134"/>
      <c r="BM311" s="135"/>
      <c r="BN311" s="136" t="n">
        <f aca="false">+MAX($D$3,DATOS_[[#This Row],[Fecha Inicio Sit. Contract.]])</f>
        <v>0</v>
      </c>
      <c r="BO311" s="136" t="n">
        <f aca="false">+MIN($D$4,DATOS_[[#This Row],[Fecha Fin Sit. Contract.]])</f>
        <v>0</v>
      </c>
      <c r="BP311" s="137" t="n">
        <f aca="false">+DATOS_[[#This Row],[% de jornada]]*IF(DATOS_[[#This Row],[% jornada reducida]]="",1,DATOS_[[#This Row],[% jornada reducida]])</f>
        <v>0</v>
      </c>
      <c r="BQ311" s="137" t="n">
        <f aca="false">+(DATOS_[[#This Row],[F.fin.cal]]-DATOS_[[#This Row],[F.ini.cal]]+1)/($D$4-$D$3+1)</f>
        <v>1</v>
      </c>
      <c r="BR311" s="137" t="str">
        <f aca="false">IF(OR(AND(DATOS_[[#This Row],[Fecha Fin Contrato]]&lt;$D$3,DATOS_[[#This Row],[Fecha Fin Contrato]]&lt;&gt;""),DATOS_[[#This Row],[Fecha de Contratación]]&gt;$D$4),"Fuera","Dentro")</f>
        <v>Dentro</v>
      </c>
      <c r="BS311" s="137" t="str">
        <f aca="false" t="array" ref="BS311:BS311">IF(MAX(IF(DATOS_[id]=DATOS_[[#This Row],[id]],DATOS_[F.fin.cal]))=DATOS_[[#This Row],[F.fin.cal]],"Sí","NO")</f>
        <v>Sí</v>
      </c>
      <c r="BT311" s="137" t="str">
        <f aca="false">IF(AND(DATOS_[[#This Row],[% normaliz]]&lt;&gt;1,DATOS_[[#This Row],[% anualiz]]=1),"Sí","NO")</f>
        <v>Sí</v>
      </c>
      <c r="BU311" s="137" t="str">
        <f aca="false">IF(AND(DATOS_[[#This Row],[% normaliz]]=1,DATOS_[[#This Row],[% anualiz]]&lt;&gt;1),"Sí","NO")</f>
        <v>NO</v>
      </c>
      <c r="BV311" s="137" t="str">
        <f aca="false">IF(AND(DATOS_[[#This Row],[% normaliz]]&lt;&gt;1,DATOS_[[#This Row],[% anualiz]]&lt;&gt;1),"Sí","NO")</f>
        <v>NO</v>
      </c>
      <c r="BW311" s="137" t="str">
        <f aca="false">+IF(DATOS_[[#This Row],[% normaliz]]*DATOS_[[#This Row],[% anualiz]]=1,"NO","Sí")</f>
        <v>Sí</v>
      </c>
      <c r="BX311" s="138" t="e">
        <f aca="false">(DATOS_[[#This Row],[S.BASE]]*(1/DATOS_[[#This Row],[% normaliz]])*(1/DATOS_[[#This Row],[% anualiz]]))*IF(DATOS_[[#This Row],[Check Equiparado]]="Sí",1,0)</f>
        <v>#DIV/0!</v>
      </c>
      <c r="BY3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1" s="138" t="e">
        <f aca="false">+DATOS_[[#This Row],[SALARIO BASE Eq]]+DATOS_[[#This Row],[Tot COMPL.SAL Eq]]</f>
        <v>#DIV/0!</v>
      </c>
      <c r="CA311" s="138" t="e">
        <f aca="false" t="array" ref="CA311:CA3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1" s="138" t="e">
        <f aca="false">+DATOS_[[#This Row],[TOTAL SALARIO Eq]]+DATOS_[[#This Row],[Tot Extrasalarial Eq]]</f>
        <v>#DIV/0!</v>
      </c>
      <c r="CC311" s="139" t="n">
        <f aca="false">DATOS_[[#This Row],[S.BASE]]</f>
        <v>0</v>
      </c>
      <c r="CD311" s="139" t="n">
        <f aca="false">+SUM(DATOS_[[#This Row],[Conc.Sal.01]:[Conc.Sal.30]])</f>
        <v>0</v>
      </c>
      <c r="CE311" s="139" t="n">
        <f aca="false">+DATOS_[[#This Row],[SALARIO BASE Ef]]+DATOS_[[#This Row],[Tot COMPL.SAL Ef]]</f>
        <v>0</v>
      </c>
      <c r="CF311" s="139" t="n">
        <f aca="false">+SUM(DATOS_[[#This Row],[C.Extra.01]:[C.Extra.05]])</f>
        <v>0</v>
      </c>
      <c r="CG311" s="139" t="n">
        <f aca="false">+DATOS_[[#This Row],[TOTAL SALARIO Ef]]+DATOS_[[#This Row],[Tot Extrasalarial Ef]]</f>
        <v>0</v>
      </c>
      <c r="CH311" s="140" t="n">
        <f aca="false">MIN(IF(DATOS_[[#This Row],[Fecha Fin Contrato]]="",$D$4,DATOS_[[#This Row],[Fecha Fin Contrato]]),$D$4)-MAX(DATOS_[[#This Row],[Fecha de Contratación]],$D$3)+1</f>
        <v>1</v>
      </c>
      <c r="CI311" s="141" t="str">
        <f aca="false">IF(COUNTIFS(DATOS_[id],DATOS_[[#This Row],[id]])&gt;1,DATOS_[[#This Row],[id]],"")</f>
        <v/>
      </c>
      <c r="CJ311" s="141" t="n">
        <f aca="false">(Inicio!$G$10-DATOS_[[#This Row],[Fecha Nacimiento]])/365.25</f>
        <v>0</v>
      </c>
      <c r="CK311" s="141" t="n">
        <f aca="false">(Inicio!$G$10-DATOS_[[#This Row],[Fecha de Antigüedad]])/365.25</f>
        <v>0</v>
      </c>
      <c r="CL311" s="141" t="e">
        <f aca="false">+VLOOKUP(DATOS_[[#This Row],[Clave de Contrato]],TblTiposContrato13[],3,0)</f>
        <v>#N/A</v>
      </c>
      <c r="CM311" s="141" t="e">
        <f aca="false">+VLOOKUP(DATOS_[[#This Row],[Clave de Contrato]],TblTiposContrato13[],4,0)</f>
        <v>#N/A</v>
      </c>
      <c r="CN311" s="141" t="str">
        <f aca="false">VLOOKUP(DATOS_[[#This Row],[Edad]],CONTRATOS!TblRngEdad,2,1)</f>
        <v>20  o menos</v>
      </c>
      <c r="CO311" s="141" t="str">
        <f aca="false">VLOOKUP(DATOS_[[#This Row],[Antigüedad]],TblRngAntg14[],2,1)</f>
        <v>0 a 1 años</v>
      </c>
    </row>
    <row r="312" customFormat="false" ht="13.8" hidden="false" customHeight="false" outlineLevel="0" collapsed="false">
      <c r="D312" s="128"/>
      <c r="E312" s="129"/>
      <c r="F312" s="129"/>
      <c r="G312" s="129"/>
      <c r="H312" s="130"/>
      <c r="I312" s="131"/>
      <c r="J312" s="128"/>
      <c r="K312" s="132"/>
      <c r="L312" s="132"/>
      <c r="M312" s="133"/>
      <c r="N312" s="133"/>
      <c r="O312" s="133"/>
      <c r="P312" s="129"/>
      <c r="Z312" s="75"/>
      <c r="AA312" s="76"/>
      <c r="AB312" s="76"/>
      <c r="AC312" s="129"/>
      <c r="AD312" s="134"/>
      <c r="AE312" s="134"/>
      <c r="AF312" s="134"/>
      <c r="AG312" s="134"/>
      <c r="AH312" s="134"/>
      <c r="AI312" s="134"/>
      <c r="AJ312" s="134"/>
      <c r="AK312" s="134"/>
      <c r="AL312" s="134"/>
      <c r="AM312" s="134"/>
      <c r="AN312" s="134"/>
      <c r="AO312" s="134"/>
      <c r="AP312" s="134"/>
      <c r="AQ312" s="134"/>
      <c r="AR312" s="134"/>
      <c r="AS312" s="134"/>
      <c r="AT312" s="134"/>
      <c r="AU312" s="134"/>
      <c r="AV312" s="134"/>
      <c r="AW312" s="134"/>
      <c r="AX312" s="134"/>
      <c r="AY312" s="134"/>
      <c r="AZ312" s="134"/>
      <c r="BA312" s="134"/>
      <c r="BB312" s="134"/>
      <c r="BC312" s="134"/>
      <c r="BD312" s="134"/>
      <c r="BE312" s="134"/>
      <c r="BF312" s="134"/>
      <c r="BG312" s="134"/>
      <c r="BH312" s="134"/>
      <c r="BI312" s="134"/>
      <c r="BJ312" s="134"/>
      <c r="BK312" s="134"/>
      <c r="BL312" s="134"/>
      <c r="BM312" s="135"/>
      <c r="BN312" s="136" t="n">
        <f aca="false">+MAX($D$3,DATOS_[[#This Row],[Fecha Inicio Sit. Contract.]])</f>
        <v>0</v>
      </c>
      <c r="BO312" s="136" t="n">
        <f aca="false">+MIN($D$4,DATOS_[[#This Row],[Fecha Fin Sit. Contract.]])</f>
        <v>0</v>
      </c>
      <c r="BP312" s="137" t="n">
        <f aca="false">+DATOS_[[#This Row],[% de jornada]]*IF(DATOS_[[#This Row],[% jornada reducida]]="",1,DATOS_[[#This Row],[% jornada reducida]])</f>
        <v>0</v>
      </c>
      <c r="BQ312" s="137" t="n">
        <f aca="false">+(DATOS_[[#This Row],[F.fin.cal]]-DATOS_[[#This Row],[F.ini.cal]]+1)/($D$4-$D$3+1)</f>
        <v>1</v>
      </c>
      <c r="BR312" s="137" t="str">
        <f aca="false">IF(OR(AND(DATOS_[[#This Row],[Fecha Fin Contrato]]&lt;$D$3,DATOS_[[#This Row],[Fecha Fin Contrato]]&lt;&gt;""),DATOS_[[#This Row],[Fecha de Contratación]]&gt;$D$4),"Fuera","Dentro")</f>
        <v>Dentro</v>
      </c>
      <c r="BS312" s="137" t="str">
        <f aca="false" t="array" ref="BS312:BS312">IF(MAX(IF(DATOS_[id]=DATOS_[[#This Row],[id]],DATOS_[F.fin.cal]))=DATOS_[[#This Row],[F.fin.cal]],"Sí","NO")</f>
        <v>Sí</v>
      </c>
      <c r="BT312" s="137" t="str">
        <f aca="false">IF(AND(DATOS_[[#This Row],[% normaliz]]&lt;&gt;1,DATOS_[[#This Row],[% anualiz]]=1),"Sí","NO")</f>
        <v>Sí</v>
      </c>
      <c r="BU312" s="137" t="str">
        <f aca="false">IF(AND(DATOS_[[#This Row],[% normaliz]]=1,DATOS_[[#This Row],[% anualiz]]&lt;&gt;1),"Sí","NO")</f>
        <v>NO</v>
      </c>
      <c r="BV312" s="137" t="str">
        <f aca="false">IF(AND(DATOS_[[#This Row],[% normaliz]]&lt;&gt;1,DATOS_[[#This Row],[% anualiz]]&lt;&gt;1),"Sí","NO")</f>
        <v>NO</v>
      </c>
      <c r="BW312" s="137" t="str">
        <f aca="false">+IF(DATOS_[[#This Row],[% normaliz]]*DATOS_[[#This Row],[% anualiz]]=1,"NO","Sí")</f>
        <v>Sí</v>
      </c>
      <c r="BX312" s="138" t="e">
        <f aca="false">(DATOS_[[#This Row],[S.BASE]]*(1/DATOS_[[#This Row],[% normaliz]])*(1/DATOS_[[#This Row],[% anualiz]]))*IF(DATOS_[[#This Row],[Check Equiparado]]="Sí",1,0)</f>
        <v>#DIV/0!</v>
      </c>
      <c r="BY3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2" s="138" t="e">
        <f aca="false">+DATOS_[[#This Row],[SALARIO BASE Eq]]+DATOS_[[#This Row],[Tot COMPL.SAL Eq]]</f>
        <v>#DIV/0!</v>
      </c>
      <c r="CA312" s="138" t="e">
        <f aca="false" t="array" ref="CA312:CA3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2" s="138" t="e">
        <f aca="false">+DATOS_[[#This Row],[TOTAL SALARIO Eq]]+DATOS_[[#This Row],[Tot Extrasalarial Eq]]</f>
        <v>#DIV/0!</v>
      </c>
      <c r="CC312" s="139" t="n">
        <f aca="false">DATOS_[[#This Row],[S.BASE]]</f>
        <v>0</v>
      </c>
      <c r="CD312" s="139" t="n">
        <f aca="false">+SUM(DATOS_[[#This Row],[Conc.Sal.01]:[Conc.Sal.30]])</f>
        <v>0</v>
      </c>
      <c r="CE312" s="139" t="n">
        <f aca="false">+DATOS_[[#This Row],[SALARIO BASE Ef]]+DATOS_[[#This Row],[Tot COMPL.SAL Ef]]</f>
        <v>0</v>
      </c>
      <c r="CF312" s="139" t="n">
        <f aca="false">+SUM(DATOS_[[#This Row],[C.Extra.01]:[C.Extra.05]])</f>
        <v>0</v>
      </c>
      <c r="CG312" s="139" t="n">
        <f aca="false">+DATOS_[[#This Row],[TOTAL SALARIO Ef]]+DATOS_[[#This Row],[Tot Extrasalarial Ef]]</f>
        <v>0</v>
      </c>
      <c r="CH312" s="140" t="n">
        <f aca="false">MIN(IF(DATOS_[[#This Row],[Fecha Fin Contrato]]="",$D$4,DATOS_[[#This Row],[Fecha Fin Contrato]]),$D$4)-MAX(DATOS_[[#This Row],[Fecha de Contratación]],$D$3)+1</f>
        <v>1</v>
      </c>
      <c r="CI312" s="141" t="str">
        <f aca="false">IF(COUNTIFS(DATOS_[id],DATOS_[[#This Row],[id]])&gt;1,DATOS_[[#This Row],[id]],"")</f>
        <v/>
      </c>
      <c r="CJ312" s="141" t="n">
        <f aca="false">(Inicio!$G$10-DATOS_[[#This Row],[Fecha Nacimiento]])/365.25</f>
        <v>0</v>
      </c>
      <c r="CK312" s="141" t="n">
        <f aca="false">(Inicio!$G$10-DATOS_[[#This Row],[Fecha de Antigüedad]])/365.25</f>
        <v>0</v>
      </c>
      <c r="CL312" s="141" t="e">
        <f aca="false">+VLOOKUP(DATOS_[[#This Row],[Clave de Contrato]],TblTiposContrato13[],3,0)</f>
        <v>#N/A</v>
      </c>
      <c r="CM312" s="141" t="e">
        <f aca="false">+VLOOKUP(DATOS_[[#This Row],[Clave de Contrato]],TblTiposContrato13[],4,0)</f>
        <v>#N/A</v>
      </c>
      <c r="CN312" s="141" t="str">
        <f aca="false">VLOOKUP(DATOS_[[#This Row],[Edad]],CONTRATOS!TblRngEdad,2,1)</f>
        <v>20  o menos</v>
      </c>
      <c r="CO312" s="141" t="str">
        <f aca="false">VLOOKUP(DATOS_[[#This Row],[Antigüedad]],TblRngAntg14[],2,1)</f>
        <v>0 a 1 años</v>
      </c>
    </row>
    <row r="313" customFormat="false" ht="13.8" hidden="false" customHeight="false" outlineLevel="0" collapsed="false">
      <c r="D313" s="128"/>
      <c r="E313" s="129"/>
      <c r="F313" s="129"/>
      <c r="G313" s="129"/>
      <c r="H313" s="130"/>
      <c r="I313" s="131"/>
      <c r="J313" s="128"/>
      <c r="K313" s="132"/>
      <c r="L313" s="132"/>
      <c r="M313" s="133"/>
      <c r="N313" s="133"/>
      <c r="O313" s="133"/>
      <c r="P313" s="129"/>
      <c r="Z313" s="75"/>
      <c r="AA313" s="76"/>
      <c r="AB313" s="76"/>
      <c r="AC313" s="129"/>
      <c r="AD313" s="134"/>
      <c r="AE313" s="134"/>
      <c r="AF313" s="134"/>
      <c r="AG313" s="134"/>
      <c r="AH313" s="134"/>
      <c r="AI313" s="134"/>
      <c r="AJ313" s="134"/>
      <c r="AK313" s="134"/>
      <c r="AL313" s="134"/>
      <c r="AM313" s="134"/>
      <c r="AN313" s="134"/>
      <c r="AO313" s="134"/>
      <c r="AP313" s="134"/>
      <c r="AQ313" s="134"/>
      <c r="AR313" s="134"/>
      <c r="AS313" s="134"/>
      <c r="AT313" s="134"/>
      <c r="AU313" s="134"/>
      <c r="AV313" s="134"/>
      <c r="AW313" s="134"/>
      <c r="AX313" s="134"/>
      <c r="AY313" s="134"/>
      <c r="AZ313" s="134"/>
      <c r="BA313" s="134"/>
      <c r="BB313" s="134"/>
      <c r="BC313" s="134"/>
      <c r="BD313" s="134"/>
      <c r="BE313" s="134"/>
      <c r="BF313" s="134"/>
      <c r="BG313" s="134"/>
      <c r="BH313" s="134"/>
      <c r="BI313" s="134"/>
      <c r="BJ313" s="134"/>
      <c r="BK313" s="134"/>
      <c r="BL313" s="134"/>
      <c r="BM313" s="135"/>
      <c r="BN313" s="136" t="n">
        <f aca="false">+MAX($D$3,DATOS_[[#This Row],[Fecha Inicio Sit. Contract.]])</f>
        <v>0</v>
      </c>
      <c r="BO313" s="136" t="n">
        <f aca="false">+MIN($D$4,DATOS_[[#This Row],[Fecha Fin Sit. Contract.]])</f>
        <v>0</v>
      </c>
      <c r="BP313" s="137" t="n">
        <f aca="false">+DATOS_[[#This Row],[% de jornada]]*IF(DATOS_[[#This Row],[% jornada reducida]]="",1,DATOS_[[#This Row],[% jornada reducida]])</f>
        <v>0</v>
      </c>
      <c r="BQ313" s="137" t="n">
        <f aca="false">+(DATOS_[[#This Row],[F.fin.cal]]-DATOS_[[#This Row],[F.ini.cal]]+1)/($D$4-$D$3+1)</f>
        <v>1</v>
      </c>
      <c r="BR313" s="137" t="str">
        <f aca="false">IF(OR(AND(DATOS_[[#This Row],[Fecha Fin Contrato]]&lt;$D$3,DATOS_[[#This Row],[Fecha Fin Contrato]]&lt;&gt;""),DATOS_[[#This Row],[Fecha de Contratación]]&gt;$D$4),"Fuera","Dentro")</f>
        <v>Dentro</v>
      </c>
      <c r="BS313" s="137" t="str">
        <f aca="false" t="array" ref="BS313:BS313">IF(MAX(IF(DATOS_[id]=DATOS_[[#This Row],[id]],DATOS_[F.fin.cal]))=DATOS_[[#This Row],[F.fin.cal]],"Sí","NO")</f>
        <v>Sí</v>
      </c>
      <c r="BT313" s="137" t="str">
        <f aca="false">IF(AND(DATOS_[[#This Row],[% normaliz]]&lt;&gt;1,DATOS_[[#This Row],[% anualiz]]=1),"Sí","NO")</f>
        <v>Sí</v>
      </c>
      <c r="BU313" s="137" t="str">
        <f aca="false">IF(AND(DATOS_[[#This Row],[% normaliz]]=1,DATOS_[[#This Row],[% anualiz]]&lt;&gt;1),"Sí","NO")</f>
        <v>NO</v>
      </c>
      <c r="BV313" s="137" t="str">
        <f aca="false">IF(AND(DATOS_[[#This Row],[% normaliz]]&lt;&gt;1,DATOS_[[#This Row],[% anualiz]]&lt;&gt;1),"Sí","NO")</f>
        <v>NO</v>
      </c>
      <c r="BW313" s="137" t="str">
        <f aca="false">+IF(DATOS_[[#This Row],[% normaliz]]*DATOS_[[#This Row],[% anualiz]]=1,"NO","Sí")</f>
        <v>Sí</v>
      </c>
      <c r="BX313" s="138" t="e">
        <f aca="false">(DATOS_[[#This Row],[S.BASE]]*(1/DATOS_[[#This Row],[% normaliz]])*(1/DATOS_[[#This Row],[% anualiz]]))*IF(DATOS_[[#This Row],[Check Equiparado]]="Sí",1,0)</f>
        <v>#DIV/0!</v>
      </c>
      <c r="BY3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3" s="138" t="e">
        <f aca="false">+DATOS_[[#This Row],[SALARIO BASE Eq]]+DATOS_[[#This Row],[Tot COMPL.SAL Eq]]</f>
        <v>#DIV/0!</v>
      </c>
      <c r="CA313" s="138" t="e">
        <f aca="false" t="array" ref="CA313:CA3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3" s="138" t="e">
        <f aca="false">+DATOS_[[#This Row],[TOTAL SALARIO Eq]]+DATOS_[[#This Row],[Tot Extrasalarial Eq]]</f>
        <v>#DIV/0!</v>
      </c>
      <c r="CC313" s="139" t="n">
        <f aca="false">DATOS_[[#This Row],[S.BASE]]</f>
        <v>0</v>
      </c>
      <c r="CD313" s="139" t="n">
        <f aca="false">+SUM(DATOS_[[#This Row],[Conc.Sal.01]:[Conc.Sal.30]])</f>
        <v>0</v>
      </c>
      <c r="CE313" s="139" t="n">
        <f aca="false">+DATOS_[[#This Row],[SALARIO BASE Ef]]+DATOS_[[#This Row],[Tot COMPL.SAL Ef]]</f>
        <v>0</v>
      </c>
      <c r="CF313" s="139" t="n">
        <f aca="false">+SUM(DATOS_[[#This Row],[C.Extra.01]:[C.Extra.05]])</f>
        <v>0</v>
      </c>
      <c r="CG313" s="139" t="n">
        <f aca="false">+DATOS_[[#This Row],[TOTAL SALARIO Ef]]+DATOS_[[#This Row],[Tot Extrasalarial Ef]]</f>
        <v>0</v>
      </c>
      <c r="CH313" s="140" t="n">
        <f aca="false">MIN(IF(DATOS_[[#This Row],[Fecha Fin Contrato]]="",$D$4,DATOS_[[#This Row],[Fecha Fin Contrato]]),$D$4)-MAX(DATOS_[[#This Row],[Fecha de Contratación]],$D$3)+1</f>
        <v>1</v>
      </c>
      <c r="CI313" s="141" t="str">
        <f aca="false">IF(COUNTIFS(DATOS_[id],DATOS_[[#This Row],[id]])&gt;1,DATOS_[[#This Row],[id]],"")</f>
        <v/>
      </c>
      <c r="CJ313" s="141" t="n">
        <f aca="false">(Inicio!$G$10-DATOS_[[#This Row],[Fecha Nacimiento]])/365.25</f>
        <v>0</v>
      </c>
      <c r="CK313" s="141" t="n">
        <f aca="false">(Inicio!$G$10-DATOS_[[#This Row],[Fecha de Antigüedad]])/365.25</f>
        <v>0</v>
      </c>
      <c r="CL313" s="141" t="e">
        <f aca="false">+VLOOKUP(DATOS_[[#This Row],[Clave de Contrato]],TblTiposContrato13[],3,0)</f>
        <v>#N/A</v>
      </c>
      <c r="CM313" s="141" t="e">
        <f aca="false">+VLOOKUP(DATOS_[[#This Row],[Clave de Contrato]],TblTiposContrato13[],4,0)</f>
        <v>#N/A</v>
      </c>
      <c r="CN313" s="141" t="str">
        <f aca="false">VLOOKUP(DATOS_[[#This Row],[Edad]],CONTRATOS!TblRngEdad,2,1)</f>
        <v>20  o menos</v>
      </c>
      <c r="CO313" s="141" t="str">
        <f aca="false">VLOOKUP(DATOS_[[#This Row],[Antigüedad]],TblRngAntg14[],2,1)</f>
        <v>0 a 1 años</v>
      </c>
    </row>
    <row r="314" customFormat="false" ht="13.8" hidden="false" customHeight="false" outlineLevel="0" collapsed="false">
      <c r="D314" s="128"/>
      <c r="E314" s="129"/>
      <c r="F314" s="129"/>
      <c r="G314" s="129"/>
      <c r="H314" s="130"/>
      <c r="I314" s="131"/>
      <c r="J314" s="128"/>
      <c r="K314" s="132"/>
      <c r="L314" s="132"/>
      <c r="M314" s="133"/>
      <c r="N314" s="133"/>
      <c r="O314" s="133"/>
      <c r="P314" s="129"/>
      <c r="Z314" s="75"/>
      <c r="AA314" s="76"/>
      <c r="AB314" s="76"/>
      <c r="AC314" s="129"/>
      <c r="AD314" s="134"/>
      <c r="AE314" s="134"/>
      <c r="AF314" s="134"/>
      <c r="AG314" s="134"/>
      <c r="AH314" s="134"/>
      <c r="AI314" s="134"/>
      <c r="AJ314" s="134"/>
      <c r="AK314" s="134"/>
      <c r="AL314" s="134"/>
      <c r="AM314" s="134"/>
      <c r="AN314" s="134"/>
      <c r="AO314" s="134"/>
      <c r="AP314" s="134"/>
      <c r="AQ314" s="134"/>
      <c r="AR314" s="134"/>
      <c r="AS314" s="134"/>
      <c r="AT314" s="134"/>
      <c r="AU314" s="134"/>
      <c r="AV314" s="134"/>
      <c r="AW314" s="134"/>
      <c r="AX314" s="134"/>
      <c r="AY314" s="134"/>
      <c r="AZ314" s="134"/>
      <c r="BA314" s="134"/>
      <c r="BB314" s="134"/>
      <c r="BC314" s="134"/>
      <c r="BD314" s="134"/>
      <c r="BE314" s="134"/>
      <c r="BF314" s="134"/>
      <c r="BG314" s="134"/>
      <c r="BH314" s="134"/>
      <c r="BI314" s="134"/>
      <c r="BJ314" s="134"/>
      <c r="BK314" s="134"/>
      <c r="BL314" s="134"/>
      <c r="BM314" s="135"/>
      <c r="BN314" s="136" t="n">
        <f aca="false">+MAX($D$3,DATOS_[[#This Row],[Fecha Inicio Sit. Contract.]])</f>
        <v>0</v>
      </c>
      <c r="BO314" s="136" t="n">
        <f aca="false">+MIN($D$4,DATOS_[[#This Row],[Fecha Fin Sit. Contract.]])</f>
        <v>0</v>
      </c>
      <c r="BP314" s="137" t="n">
        <f aca="false">+DATOS_[[#This Row],[% de jornada]]*IF(DATOS_[[#This Row],[% jornada reducida]]="",1,DATOS_[[#This Row],[% jornada reducida]])</f>
        <v>0</v>
      </c>
      <c r="BQ314" s="137" t="n">
        <f aca="false">+(DATOS_[[#This Row],[F.fin.cal]]-DATOS_[[#This Row],[F.ini.cal]]+1)/($D$4-$D$3+1)</f>
        <v>1</v>
      </c>
      <c r="BR314" s="137" t="str">
        <f aca="false">IF(OR(AND(DATOS_[[#This Row],[Fecha Fin Contrato]]&lt;$D$3,DATOS_[[#This Row],[Fecha Fin Contrato]]&lt;&gt;""),DATOS_[[#This Row],[Fecha de Contratación]]&gt;$D$4),"Fuera","Dentro")</f>
        <v>Dentro</v>
      </c>
      <c r="BS314" s="137" t="str">
        <f aca="false" t="array" ref="BS314:BS314">IF(MAX(IF(DATOS_[id]=DATOS_[[#This Row],[id]],DATOS_[F.fin.cal]))=DATOS_[[#This Row],[F.fin.cal]],"Sí","NO")</f>
        <v>Sí</v>
      </c>
      <c r="BT314" s="137" t="str">
        <f aca="false">IF(AND(DATOS_[[#This Row],[% normaliz]]&lt;&gt;1,DATOS_[[#This Row],[% anualiz]]=1),"Sí","NO")</f>
        <v>Sí</v>
      </c>
      <c r="BU314" s="137" t="str">
        <f aca="false">IF(AND(DATOS_[[#This Row],[% normaliz]]=1,DATOS_[[#This Row],[% anualiz]]&lt;&gt;1),"Sí","NO")</f>
        <v>NO</v>
      </c>
      <c r="BV314" s="137" t="str">
        <f aca="false">IF(AND(DATOS_[[#This Row],[% normaliz]]&lt;&gt;1,DATOS_[[#This Row],[% anualiz]]&lt;&gt;1),"Sí","NO")</f>
        <v>NO</v>
      </c>
      <c r="BW314" s="137" t="str">
        <f aca="false">+IF(DATOS_[[#This Row],[% normaliz]]*DATOS_[[#This Row],[% anualiz]]=1,"NO","Sí")</f>
        <v>Sí</v>
      </c>
      <c r="BX314" s="138" t="e">
        <f aca="false">(DATOS_[[#This Row],[S.BASE]]*(1/DATOS_[[#This Row],[% normaliz]])*(1/DATOS_[[#This Row],[% anualiz]]))*IF(DATOS_[[#This Row],[Check Equiparado]]="Sí",1,0)</f>
        <v>#DIV/0!</v>
      </c>
      <c r="BY3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4" s="138" t="e">
        <f aca="false">+DATOS_[[#This Row],[SALARIO BASE Eq]]+DATOS_[[#This Row],[Tot COMPL.SAL Eq]]</f>
        <v>#DIV/0!</v>
      </c>
      <c r="CA314" s="138" t="e">
        <f aca="false" t="array" ref="CA314:CA3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4" s="138" t="e">
        <f aca="false">+DATOS_[[#This Row],[TOTAL SALARIO Eq]]+DATOS_[[#This Row],[Tot Extrasalarial Eq]]</f>
        <v>#DIV/0!</v>
      </c>
      <c r="CC314" s="139" t="n">
        <f aca="false">DATOS_[[#This Row],[S.BASE]]</f>
        <v>0</v>
      </c>
      <c r="CD314" s="139" t="n">
        <f aca="false">+SUM(DATOS_[[#This Row],[Conc.Sal.01]:[Conc.Sal.30]])</f>
        <v>0</v>
      </c>
      <c r="CE314" s="139" t="n">
        <f aca="false">+DATOS_[[#This Row],[SALARIO BASE Ef]]+DATOS_[[#This Row],[Tot COMPL.SAL Ef]]</f>
        <v>0</v>
      </c>
      <c r="CF314" s="139" t="n">
        <f aca="false">+SUM(DATOS_[[#This Row],[C.Extra.01]:[C.Extra.05]])</f>
        <v>0</v>
      </c>
      <c r="CG314" s="139" t="n">
        <f aca="false">+DATOS_[[#This Row],[TOTAL SALARIO Ef]]+DATOS_[[#This Row],[Tot Extrasalarial Ef]]</f>
        <v>0</v>
      </c>
      <c r="CH314" s="140" t="n">
        <f aca="false">MIN(IF(DATOS_[[#This Row],[Fecha Fin Contrato]]="",$D$4,DATOS_[[#This Row],[Fecha Fin Contrato]]),$D$4)-MAX(DATOS_[[#This Row],[Fecha de Contratación]],$D$3)+1</f>
        <v>1</v>
      </c>
      <c r="CI314" s="141" t="str">
        <f aca="false">IF(COUNTIFS(DATOS_[id],DATOS_[[#This Row],[id]])&gt;1,DATOS_[[#This Row],[id]],"")</f>
        <v/>
      </c>
      <c r="CJ314" s="141" t="n">
        <f aca="false">(Inicio!$G$10-DATOS_[[#This Row],[Fecha Nacimiento]])/365.25</f>
        <v>0</v>
      </c>
      <c r="CK314" s="141" t="n">
        <f aca="false">(Inicio!$G$10-DATOS_[[#This Row],[Fecha de Antigüedad]])/365.25</f>
        <v>0</v>
      </c>
      <c r="CL314" s="141" t="e">
        <f aca="false">+VLOOKUP(DATOS_[[#This Row],[Clave de Contrato]],TblTiposContrato13[],3,0)</f>
        <v>#N/A</v>
      </c>
      <c r="CM314" s="141" t="e">
        <f aca="false">+VLOOKUP(DATOS_[[#This Row],[Clave de Contrato]],TblTiposContrato13[],4,0)</f>
        <v>#N/A</v>
      </c>
      <c r="CN314" s="141" t="str">
        <f aca="false">VLOOKUP(DATOS_[[#This Row],[Edad]],CONTRATOS!TblRngEdad,2,1)</f>
        <v>20  o menos</v>
      </c>
      <c r="CO314" s="141" t="str">
        <f aca="false">VLOOKUP(DATOS_[[#This Row],[Antigüedad]],TblRngAntg14[],2,1)</f>
        <v>0 a 1 años</v>
      </c>
    </row>
    <row r="315" customFormat="false" ht="13.8" hidden="false" customHeight="false" outlineLevel="0" collapsed="false">
      <c r="D315" s="128"/>
      <c r="E315" s="129"/>
      <c r="F315" s="129"/>
      <c r="G315" s="129"/>
      <c r="H315" s="130"/>
      <c r="I315" s="131"/>
      <c r="J315" s="128"/>
      <c r="K315" s="132"/>
      <c r="L315" s="132"/>
      <c r="M315" s="133"/>
      <c r="N315" s="133"/>
      <c r="O315" s="133"/>
      <c r="P315" s="129"/>
      <c r="Z315" s="75"/>
      <c r="AA315" s="76"/>
      <c r="AB315" s="76"/>
      <c r="AC315" s="129"/>
      <c r="AD315" s="134"/>
      <c r="AE315" s="134"/>
      <c r="AF315" s="134"/>
      <c r="AG315" s="134"/>
      <c r="AH315" s="134"/>
      <c r="AI315" s="134"/>
      <c r="AJ315" s="134"/>
      <c r="AK315" s="134"/>
      <c r="AL315" s="134"/>
      <c r="AM315" s="134"/>
      <c r="AN315" s="134"/>
      <c r="AO315" s="134"/>
      <c r="AP315" s="134"/>
      <c r="AQ315" s="134"/>
      <c r="AR315" s="134"/>
      <c r="AS315" s="134"/>
      <c r="AT315" s="134"/>
      <c r="AU315" s="134"/>
      <c r="AV315" s="134"/>
      <c r="AW315" s="134"/>
      <c r="AX315" s="134"/>
      <c r="AY315" s="134"/>
      <c r="AZ315" s="134"/>
      <c r="BA315" s="134"/>
      <c r="BB315" s="134"/>
      <c r="BC315" s="134"/>
      <c r="BD315" s="134"/>
      <c r="BE315" s="134"/>
      <c r="BF315" s="134"/>
      <c r="BG315" s="134"/>
      <c r="BH315" s="134"/>
      <c r="BI315" s="134"/>
      <c r="BJ315" s="134"/>
      <c r="BK315" s="134"/>
      <c r="BL315" s="134"/>
      <c r="BM315" s="135"/>
      <c r="BN315" s="136" t="n">
        <f aca="false">+MAX($D$3,DATOS_[[#This Row],[Fecha Inicio Sit. Contract.]])</f>
        <v>0</v>
      </c>
      <c r="BO315" s="136" t="n">
        <f aca="false">+MIN($D$4,DATOS_[[#This Row],[Fecha Fin Sit. Contract.]])</f>
        <v>0</v>
      </c>
      <c r="BP315" s="137" t="n">
        <f aca="false">+DATOS_[[#This Row],[% de jornada]]*IF(DATOS_[[#This Row],[% jornada reducida]]="",1,DATOS_[[#This Row],[% jornada reducida]])</f>
        <v>0</v>
      </c>
      <c r="BQ315" s="137" t="n">
        <f aca="false">+(DATOS_[[#This Row],[F.fin.cal]]-DATOS_[[#This Row],[F.ini.cal]]+1)/($D$4-$D$3+1)</f>
        <v>1</v>
      </c>
      <c r="BR315" s="137" t="str">
        <f aca="false">IF(OR(AND(DATOS_[[#This Row],[Fecha Fin Contrato]]&lt;$D$3,DATOS_[[#This Row],[Fecha Fin Contrato]]&lt;&gt;""),DATOS_[[#This Row],[Fecha de Contratación]]&gt;$D$4),"Fuera","Dentro")</f>
        <v>Dentro</v>
      </c>
      <c r="BS315" s="137" t="str">
        <f aca="false" t="array" ref="BS315:BS315">IF(MAX(IF(DATOS_[id]=DATOS_[[#This Row],[id]],DATOS_[F.fin.cal]))=DATOS_[[#This Row],[F.fin.cal]],"Sí","NO")</f>
        <v>Sí</v>
      </c>
      <c r="BT315" s="137" t="str">
        <f aca="false">IF(AND(DATOS_[[#This Row],[% normaliz]]&lt;&gt;1,DATOS_[[#This Row],[% anualiz]]=1),"Sí","NO")</f>
        <v>Sí</v>
      </c>
      <c r="BU315" s="137" t="str">
        <f aca="false">IF(AND(DATOS_[[#This Row],[% normaliz]]=1,DATOS_[[#This Row],[% anualiz]]&lt;&gt;1),"Sí","NO")</f>
        <v>NO</v>
      </c>
      <c r="BV315" s="137" t="str">
        <f aca="false">IF(AND(DATOS_[[#This Row],[% normaliz]]&lt;&gt;1,DATOS_[[#This Row],[% anualiz]]&lt;&gt;1),"Sí","NO")</f>
        <v>NO</v>
      </c>
      <c r="BW315" s="137" t="str">
        <f aca="false">+IF(DATOS_[[#This Row],[% normaliz]]*DATOS_[[#This Row],[% anualiz]]=1,"NO","Sí")</f>
        <v>Sí</v>
      </c>
      <c r="BX315" s="138" t="e">
        <f aca="false">(DATOS_[[#This Row],[S.BASE]]*(1/DATOS_[[#This Row],[% normaliz]])*(1/DATOS_[[#This Row],[% anualiz]]))*IF(DATOS_[[#This Row],[Check Equiparado]]="Sí",1,0)</f>
        <v>#DIV/0!</v>
      </c>
      <c r="BY3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5" s="138" t="e">
        <f aca="false">+DATOS_[[#This Row],[SALARIO BASE Eq]]+DATOS_[[#This Row],[Tot COMPL.SAL Eq]]</f>
        <v>#DIV/0!</v>
      </c>
      <c r="CA315" s="138" t="e">
        <f aca="false" t="array" ref="CA315:CA3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5" s="138" t="e">
        <f aca="false">+DATOS_[[#This Row],[TOTAL SALARIO Eq]]+DATOS_[[#This Row],[Tot Extrasalarial Eq]]</f>
        <v>#DIV/0!</v>
      </c>
      <c r="CC315" s="139" t="n">
        <f aca="false">DATOS_[[#This Row],[S.BASE]]</f>
        <v>0</v>
      </c>
      <c r="CD315" s="139" t="n">
        <f aca="false">+SUM(DATOS_[[#This Row],[Conc.Sal.01]:[Conc.Sal.30]])</f>
        <v>0</v>
      </c>
      <c r="CE315" s="139" t="n">
        <f aca="false">+DATOS_[[#This Row],[SALARIO BASE Ef]]+DATOS_[[#This Row],[Tot COMPL.SAL Ef]]</f>
        <v>0</v>
      </c>
      <c r="CF315" s="139" t="n">
        <f aca="false">+SUM(DATOS_[[#This Row],[C.Extra.01]:[C.Extra.05]])</f>
        <v>0</v>
      </c>
      <c r="CG315" s="139" t="n">
        <f aca="false">+DATOS_[[#This Row],[TOTAL SALARIO Ef]]+DATOS_[[#This Row],[Tot Extrasalarial Ef]]</f>
        <v>0</v>
      </c>
      <c r="CH315" s="140" t="n">
        <f aca="false">MIN(IF(DATOS_[[#This Row],[Fecha Fin Contrato]]="",$D$4,DATOS_[[#This Row],[Fecha Fin Contrato]]),$D$4)-MAX(DATOS_[[#This Row],[Fecha de Contratación]],$D$3)+1</f>
        <v>1</v>
      </c>
      <c r="CI315" s="141" t="str">
        <f aca="false">IF(COUNTIFS(DATOS_[id],DATOS_[[#This Row],[id]])&gt;1,DATOS_[[#This Row],[id]],"")</f>
        <v/>
      </c>
      <c r="CJ315" s="141" t="n">
        <f aca="false">(Inicio!$G$10-DATOS_[[#This Row],[Fecha Nacimiento]])/365.25</f>
        <v>0</v>
      </c>
      <c r="CK315" s="141" t="n">
        <f aca="false">(Inicio!$G$10-DATOS_[[#This Row],[Fecha de Antigüedad]])/365.25</f>
        <v>0</v>
      </c>
      <c r="CL315" s="141" t="e">
        <f aca="false">+VLOOKUP(DATOS_[[#This Row],[Clave de Contrato]],TblTiposContrato13[],3,0)</f>
        <v>#N/A</v>
      </c>
      <c r="CM315" s="141" t="e">
        <f aca="false">+VLOOKUP(DATOS_[[#This Row],[Clave de Contrato]],TblTiposContrato13[],4,0)</f>
        <v>#N/A</v>
      </c>
      <c r="CN315" s="141" t="str">
        <f aca="false">VLOOKUP(DATOS_[[#This Row],[Edad]],CONTRATOS!TblRngEdad,2,1)</f>
        <v>20  o menos</v>
      </c>
      <c r="CO315" s="141" t="str">
        <f aca="false">VLOOKUP(DATOS_[[#This Row],[Antigüedad]],TblRngAntg14[],2,1)</f>
        <v>0 a 1 años</v>
      </c>
    </row>
    <row r="316" customFormat="false" ht="13.8" hidden="false" customHeight="false" outlineLevel="0" collapsed="false">
      <c r="D316" s="128"/>
      <c r="E316" s="129"/>
      <c r="F316" s="129"/>
      <c r="G316" s="129"/>
      <c r="H316" s="130"/>
      <c r="I316" s="131"/>
      <c r="J316" s="128"/>
      <c r="K316" s="132"/>
      <c r="L316" s="132"/>
      <c r="M316" s="133"/>
      <c r="N316" s="133"/>
      <c r="O316" s="133"/>
      <c r="P316" s="129"/>
      <c r="Z316" s="75"/>
      <c r="AA316" s="76"/>
      <c r="AB316" s="76"/>
      <c r="AC316" s="129"/>
      <c r="AD316" s="134"/>
      <c r="AE316" s="134"/>
      <c r="AF316" s="134"/>
      <c r="AG316" s="134"/>
      <c r="AH316" s="134"/>
      <c r="AI316" s="134"/>
      <c r="AJ316" s="134"/>
      <c r="AK316" s="134"/>
      <c r="AL316" s="134"/>
      <c r="AM316" s="134"/>
      <c r="AN316" s="134"/>
      <c r="AO316" s="134"/>
      <c r="AP316" s="134"/>
      <c r="AQ316" s="134"/>
      <c r="AR316" s="134"/>
      <c r="AS316" s="134"/>
      <c r="AT316" s="134"/>
      <c r="AU316" s="134"/>
      <c r="AV316" s="134"/>
      <c r="AW316" s="134"/>
      <c r="AX316" s="134"/>
      <c r="AY316" s="134"/>
      <c r="AZ316" s="134"/>
      <c r="BA316" s="134"/>
      <c r="BB316" s="134"/>
      <c r="BC316" s="134"/>
      <c r="BD316" s="134"/>
      <c r="BE316" s="134"/>
      <c r="BF316" s="134"/>
      <c r="BG316" s="134"/>
      <c r="BH316" s="134"/>
      <c r="BI316" s="134"/>
      <c r="BJ316" s="134"/>
      <c r="BK316" s="134"/>
      <c r="BL316" s="134"/>
      <c r="BM316" s="135"/>
      <c r="BN316" s="136" t="n">
        <f aca="false">+MAX($D$3,DATOS_[[#This Row],[Fecha Inicio Sit. Contract.]])</f>
        <v>0</v>
      </c>
      <c r="BO316" s="136" t="n">
        <f aca="false">+MIN($D$4,DATOS_[[#This Row],[Fecha Fin Sit. Contract.]])</f>
        <v>0</v>
      </c>
      <c r="BP316" s="137" t="n">
        <f aca="false">+DATOS_[[#This Row],[% de jornada]]*IF(DATOS_[[#This Row],[% jornada reducida]]="",1,DATOS_[[#This Row],[% jornada reducida]])</f>
        <v>0</v>
      </c>
      <c r="BQ316" s="137" t="n">
        <f aca="false">+(DATOS_[[#This Row],[F.fin.cal]]-DATOS_[[#This Row],[F.ini.cal]]+1)/($D$4-$D$3+1)</f>
        <v>1</v>
      </c>
      <c r="BR316" s="137" t="str">
        <f aca="false">IF(OR(AND(DATOS_[[#This Row],[Fecha Fin Contrato]]&lt;$D$3,DATOS_[[#This Row],[Fecha Fin Contrato]]&lt;&gt;""),DATOS_[[#This Row],[Fecha de Contratación]]&gt;$D$4),"Fuera","Dentro")</f>
        <v>Dentro</v>
      </c>
      <c r="BS316" s="137" t="str">
        <f aca="false" t="array" ref="BS316:BS316">IF(MAX(IF(DATOS_[id]=DATOS_[[#This Row],[id]],DATOS_[F.fin.cal]))=DATOS_[[#This Row],[F.fin.cal]],"Sí","NO")</f>
        <v>Sí</v>
      </c>
      <c r="BT316" s="137" t="str">
        <f aca="false">IF(AND(DATOS_[[#This Row],[% normaliz]]&lt;&gt;1,DATOS_[[#This Row],[% anualiz]]=1),"Sí","NO")</f>
        <v>Sí</v>
      </c>
      <c r="BU316" s="137" t="str">
        <f aca="false">IF(AND(DATOS_[[#This Row],[% normaliz]]=1,DATOS_[[#This Row],[% anualiz]]&lt;&gt;1),"Sí","NO")</f>
        <v>NO</v>
      </c>
      <c r="BV316" s="137" t="str">
        <f aca="false">IF(AND(DATOS_[[#This Row],[% normaliz]]&lt;&gt;1,DATOS_[[#This Row],[% anualiz]]&lt;&gt;1),"Sí","NO")</f>
        <v>NO</v>
      </c>
      <c r="BW316" s="137" t="str">
        <f aca="false">+IF(DATOS_[[#This Row],[% normaliz]]*DATOS_[[#This Row],[% anualiz]]=1,"NO","Sí")</f>
        <v>Sí</v>
      </c>
      <c r="BX316" s="138" t="e">
        <f aca="false">(DATOS_[[#This Row],[S.BASE]]*(1/DATOS_[[#This Row],[% normaliz]])*(1/DATOS_[[#This Row],[% anualiz]]))*IF(DATOS_[[#This Row],[Check Equiparado]]="Sí",1,0)</f>
        <v>#DIV/0!</v>
      </c>
      <c r="BY3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6" s="138" t="e">
        <f aca="false">+DATOS_[[#This Row],[SALARIO BASE Eq]]+DATOS_[[#This Row],[Tot COMPL.SAL Eq]]</f>
        <v>#DIV/0!</v>
      </c>
      <c r="CA316" s="138" t="e">
        <f aca="false" t="array" ref="CA316:CA3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6" s="138" t="e">
        <f aca="false">+DATOS_[[#This Row],[TOTAL SALARIO Eq]]+DATOS_[[#This Row],[Tot Extrasalarial Eq]]</f>
        <v>#DIV/0!</v>
      </c>
      <c r="CC316" s="139" t="n">
        <f aca="false">DATOS_[[#This Row],[S.BASE]]</f>
        <v>0</v>
      </c>
      <c r="CD316" s="139" t="n">
        <f aca="false">+SUM(DATOS_[[#This Row],[Conc.Sal.01]:[Conc.Sal.30]])</f>
        <v>0</v>
      </c>
      <c r="CE316" s="139" t="n">
        <f aca="false">+DATOS_[[#This Row],[SALARIO BASE Ef]]+DATOS_[[#This Row],[Tot COMPL.SAL Ef]]</f>
        <v>0</v>
      </c>
      <c r="CF316" s="139" t="n">
        <f aca="false">+SUM(DATOS_[[#This Row],[C.Extra.01]:[C.Extra.05]])</f>
        <v>0</v>
      </c>
      <c r="CG316" s="139" t="n">
        <f aca="false">+DATOS_[[#This Row],[TOTAL SALARIO Ef]]+DATOS_[[#This Row],[Tot Extrasalarial Ef]]</f>
        <v>0</v>
      </c>
      <c r="CH316" s="140" t="n">
        <f aca="false">MIN(IF(DATOS_[[#This Row],[Fecha Fin Contrato]]="",$D$4,DATOS_[[#This Row],[Fecha Fin Contrato]]),$D$4)-MAX(DATOS_[[#This Row],[Fecha de Contratación]],$D$3)+1</f>
        <v>1</v>
      </c>
      <c r="CI316" s="141" t="str">
        <f aca="false">IF(COUNTIFS(DATOS_[id],DATOS_[[#This Row],[id]])&gt;1,DATOS_[[#This Row],[id]],"")</f>
        <v/>
      </c>
      <c r="CJ316" s="141" t="n">
        <f aca="false">(Inicio!$G$10-DATOS_[[#This Row],[Fecha Nacimiento]])/365.25</f>
        <v>0</v>
      </c>
      <c r="CK316" s="141" t="n">
        <f aca="false">(Inicio!$G$10-DATOS_[[#This Row],[Fecha de Antigüedad]])/365.25</f>
        <v>0</v>
      </c>
      <c r="CL316" s="141" t="e">
        <f aca="false">+VLOOKUP(DATOS_[[#This Row],[Clave de Contrato]],TblTiposContrato13[],3,0)</f>
        <v>#N/A</v>
      </c>
      <c r="CM316" s="141" t="e">
        <f aca="false">+VLOOKUP(DATOS_[[#This Row],[Clave de Contrato]],TblTiposContrato13[],4,0)</f>
        <v>#N/A</v>
      </c>
      <c r="CN316" s="141" t="str">
        <f aca="false">VLOOKUP(DATOS_[[#This Row],[Edad]],CONTRATOS!TblRngEdad,2,1)</f>
        <v>20  o menos</v>
      </c>
      <c r="CO316" s="141" t="str">
        <f aca="false">VLOOKUP(DATOS_[[#This Row],[Antigüedad]],TblRngAntg14[],2,1)</f>
        <v>0 a 1 años</v>
      </c>
    </row>
    <row r="317" customFormat="false" ht="13.8" hidden="false" customHeight="false" outlineLevel="0" collapsed="false">
      <c r="D317" s="128"/>
      <c r="E317" s="129"/>
      <c r="F317" s="129"/>
      <c r="G317" s="129"/>
      <c r="H317" s="130"/>
      <c r="I317" s="131"/>
      <c r="J317" s="128"/>
      <c r="K317" s="132"/>
      <c r="L317" s="132"/>
      <c r="M317" s="133"/>
      <c r="N317" s="133"/>
      <c r="O317" s="133"/>
      <c r="P317" s="129"/>
      <c r="Z317" s="75"/>
      <c r="AA317" s="76"/>
      <c r="AB317" s="76"/>
      <c r="AC317" s="129"/>
      <c r="AD317" s="134"/>
      <c r="AE317" s="134"/>
      <c r="AF317" s="134"/>
      <c r="AG317" s="134"/>
      <c r="AH317" s="134"/>
      <c r="AI317" s="134"/>
      <c r="AJ317" s="134"/>
      <c r="AK317" s="134"/>
      <c r="AL317" s="134"/>
      <c r="AM317" s="134"/>
      <c r="AN317" s="134"/>
      <c r="AO317" s="134"/>
      <c r="AP317" s="134"/>
      <c r="AQ317" s="134"/>
      <c r="AR317" s="134"/>
      <c r="AS317" s="134"/>
      <c r="AT317" s="134"/>
      <c r="AU317" s="134"/>
      <c r="AV317" s="134"/>
      <c r="AW317" s="134"/>
      <c r="AX317" s="134"/>
      <c r="AY317" s="134"/>
      <c r="AZ317" s="134"/>
      <c r="BA317" s="134"/>
      <c r="BB317" s="134"/>
      <c r="BC317" s="134"/>
      <c r="BD317" s="134"/>
      <c r="BE317" s="134"/>
      <c r="BF317" s="134"/>
      <c r="BG317" s="134"/>
      <c r="BH317" s="134"/>
      <c r="BI317" s="134"/>
      <c r="BJ317" s="134"/>
      <c r="BK317" s="134"/>
      <c r="BL317" s="134"/>
      <c r="BM317" s="135"/>
      <c r="BN317" s="136" t="n">
        <f aca="false">+MAX($D$3,DATOS_[[#This Row],[Fecha Inicio Sit. Contract.]])</f>
        <v>0</v>
      </c>
      <c r="BO317" s="136" t="n">
        <f aca="false">+MIN($D$4,DATOS_[[#This Row],[Fecha Fin Sit. Contract.]])</f>
        <v>0</v>
      </c>
      <c r="BP317" s="137" t="n">
        <f aca="false">+DATOS_[[#This Row],[% de jornada]]*IF(DATOS_[[#This Row],[% jornada reducida]]="",1,DATOS_[[#This Row],[% jornada reducida]])</f>
        <v>0</v>
      </c>
      <c r="BQ317" s="137" t="n">
        <f aca="false">+(DATOS_[[#This Row],[F.fin.cal]]-DATOS_[[#This Row],[F.ini.cal]]+1)/($D$4-$D$3+1)</f>
        <v>1</v>
      </c>
      <c r="BR317" s="137" t="str">
        <f aca="false">IF(OR(AND(DATOS_[[#This Row],[Fecha Fin Contrato]]&lt;$D$3,DATOS_[[#This Row],[Fecha Fin Contrato]]&lt;&gt;""),DATOS_[[#This Row],[Fecha de Contratación]]&gt;$D$4),"Fuera","Dentro")</f>
        <v>Dentro</v>
      </c>
      <c r="BS317" s="137" t="str">
        <f aca="false" t="array" ref="BS317:BS317">IF(MAX(IF(DATOS_[id]=DATOS_[[#This Row],[id]],DATOS_[F.fin.cal]))=DATOS_[[#This Row],[F.fin.cal]],"Sí","NO")</f>
        <v>Sí</v>
      </c>
      <c r="BT317" s="137" t="str">
        <f aca="false">IF(AND(DATOS_[[#This Row],[% normaliz]]&lt;&gt;1,DATOS_[[#This Row],[% anualiz]]=1),"Sí","NO")</f>
        <v>Sí</v>
      </c>
      <c r="BU317" s="137" t="str">
        <f aca="false">IF(AND(DATOS_[[#This Row],[% normaliz]]=1,DATOS_[[#This Row],[% anualiz]]&lt;&gt;1),"Sí","NO")</f>
        <v>NO</v>
      </c>
      <c r="BV317" s="137" t="str">
        <f aca="false">IF(AND(DATOS_[[#This Row],[% normaliz]]&lt;&gt;1,DATOS_[[#This Row],[% anualiz]]&lt;&gt;1),"Sí","NO")</f>
        <v>NO</v>
      </c>
      <c r="BW317" s="137" t="str">
        <f aca="false">+IF(DATOS_[[#This Row],[% normaliz]]*DATOS_[[#This Row],[% anualiz]]=1,"NO","Sí")</f>
        <v>Sí</v>
      </c>
      <c r="BX317" s="138" t="e">
        <f aca="false">(DATOS_[[#This Row],[S.BASE]]*(1/DATOS_[[#This Row],[% normaliz]])*(1/DATOS_[[#This Row],[% anualiz]]))*IF(DATOS_[[#This Row],[Check Equiparado]]="Sí",1,0)</f>
        <v>#DIV/0!</v>
      </c>
      <c r="BY3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7" s="138" t="e">
        <f aca="false">+DATOS_[[#This Row],[SALARIO BASE Eq]]+DATOS_[[#This Row],[Tot COMPL.SAL Eq]]</f>
        <v>#DIV/0!</v>
      </c>
      <c r="CA317" s="138" t="e">
        <f aca="false" t="array" ref="CA317:CA3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7" s="138" t="e">
        <f aca="false">+DATOS_[[#This Row],[TOTAL SALARIO Eq]]+DATOS_[[#This Row],[Tot Extrasalarial Eq]]</f>
        <v>#DIV/0!</v>
      </c>
      <c r="CC317" s="139" t="n">
        <f aca="false">DATOS_[[#This Row],[S.BASE]]</f>
        <v>0</v>
      </c>
      <c r="CD317" s="139" t="n">
        <f aca="false">+SUM(DATOS_[[#This Row],[Conc.Sal.01]:[Conc.Sal.30]])</f>
        <v>0</v>
      </c>
      <c r="CE317" s="139" t="n">
        <f aca="false">+DATOS_[[#This Row],[SALARIO BASE Ef]]+DATOS_[[#This Row],[Tot COMPL.SAL Ef]]</f>
        <v>0</v>
      </c>
      <c r="CF317" s="139" t="n">
        <f aca="false">+SUM(DATOS_[[#This Row],[C.Extra.01]:[C.Extra.05]])</f>
        <v>0</v>
      </c>
      <c r="CG317" s="139" t="n">
        <f aca="false">+DATOS_[[#This Row],[TOTAL SALARIO Ef]]+DATOS_[[#This Row],[Tot Extrasalarial Ef]]</f>
        <v>0</v>
      </c>
      <c r="CH317" s="140" t="n">
        <f aca="false">MIN(IF(DATOS_[[#This Row],[Fecha Fin Contrato]]="",$D$4,DATOS_[[#This Row],[Fecha Fin Contrato]]),$D$4)-MAX(DATOS_[[#This Row],[Fecha de Contratación]],$D$3)+1</f>
        <v>1</v>
      </c>
      <c r="CI317" s="141" t="str">
        <f aca="false">IF(COUNTIFS(DATOS_[id],DATOS_[[#This Row],[id]])&gt;1,DATOS_[[#This Row],[id]],"")</f>
        <v/>
      </c>
      <c r="CJ317" s="141" t="n">
        <f aca="false">(Inicio!$G$10-DATOS_[[#This Row],[Fecha Nacimiento]])/365.25</f>
        <v>0</v>
      </c>
      <c r="CK317" s="141" t="n">
        <f aca="false">(Inicio!$G$10-DATOS_[[#This Row],[Fecha de Antigüedad]])/365.25</f>
        <v>0</v>
      </c>
      <c r="CL317" s="141" t="e">
        <f aca="false">+VLOOKUP(DATOS_[[#This Row],[Clave de Contrato]],TblTiposContrato13[],3,0)</f>
        <v>#N/A</v>
      </c>
      <c r="CM317" s="141" t="e">
        <f aca="false">+VLOOKUP(DATOS_[[#This Row],[Clave de Contrato]],TblTiposContrato13[],4,0)</f>
        <v>#N/A</v>
      </c>
      <c r="CN317" s="141" t="str">
        <f aca="false">VLOOKUP(DATOS_[[#This Row],[Edad]],CONTRATOS!TblRngEdad,2,1)</f>
        <v>20  o menos</v>
      </c>
      <c r="CO317" s="141" t="str">
        <f aca="false">VLOOKUP(DATOS_[[#This Row],[Antigüedad]],TblRngAntg14[],2,1)</f>
        <v>0 a 1 años</v>
      </c>
    </row>
    <row r="318" customFormat="false" ht="13.8" hidden="false" customHeight="false" outlineLevel="0" collapsed="false">
      <c r="D318" s="128"/>
      <c r="E318" s="129"/>
      <c r="F318" s="129"/>
      <c r="G318" s="129"/>
      <c r="H318" s="130"/>
      <c r="I318" s="131"/>
      <c r="J318" s="128"/>
      <c r="K318" s="132"/>
      <c r="L318" s="132"/>
      <c r="M318" s="133"/>
      <c r="N318" s="133"/>
      <c r="O318" s="133"/>
      <c r="P318" s="129"/>
      <c r="Z318" s="75"/>
      <c r="AA318" s="76"/>
      <c r="AB318" s="76"/>
      <c r="AC318" s="129"/>
      <c r="AD318" s="134"/>
      <c r="AE318" s="134"/>
      <c r="AF318" s="134"/>
      <c r="AG318" s="134"/>
      <c r="AH318" s="134"/>
      <c r="AI318" s="134"/>
      <c r="AJ318" s="134"/>
      <c r="AK318" s="134"/>
      <c r="AL318" s="134"/>
      <c r="AM318" s="134"/>
      <c r="AN318" s="134"/>
      <c r="AO318" s="134"/>
      <c r="AP318" s="134"/>
      <c r="AQ318" s="134"/>
      <c r="AR318" s="134"/>
      <c r="AS318" s="134"/>
      <c r="AT318" s="134"/>
      <c r="AU318" s="134"/>
      <c r="AV318" s="134"/>
      <c r="AW318" s="134"/>
      <c r="AX318" s="134"/>
      <c r="AY318" s="134"/>
      <c r="AZ318" s="134"/>
      <c r="BA318" s="134"/>
      <c r="BB318" s="134"/>
      <c r="BC318" s="134"/>
      <c r="BD318" s="134"/>
      <c r="BE318" s="134"/>
      <c r="BF318" s="134"/>
      <c r="BG318" s="134"/>
      <c r="BH318" s="134"/>
      <c r="BI318" s="134"/>
      <c r="BJ318" s="134"/>
      <c r="BK318" s="134"/>
      <c r="BL318" s="134"/>
      <c r="BM318" s="135"/>
      <c r="BN318" s="136" t="n">
        <f aca="false">+MAX($D$3,DATOS_[[#This Row],[Fecha Inicio Sit. Contract.]])</f>
        <v>0</v>
      </c>
      <c r="BO318" s="136" t="n">
        <f aca="false">+MIN($D$4,DATOS_[[#This Row],[Fecha Fin Sit. Contract.]])</f>
        <v>0</v>
      </c>
      <c r="BP318" s="137" t="n">
        <f aca="false">+DATOS_[[#This Row],[% de jornada]]*IF(DATOS_[[#This Row],[% jornada reducida]]="",1,DATOS_[[#This Row],[% jornada reducida]])</f>
        <v>0</v>
      </c>
      <c r="BQ318" s="137" t="n">
        <f aca="false">+(DATOS_[[#This Row],[F.fin.cal]]-DATOS_[[#This Row],[F.ini.cal]]+1)/($D$4-$D$3+1)</f>
        <v>1</v>
      </c>
      <c r="BR318" s="137" t="str">
        <f aca="false">IF(OR(AND(DATOS_[[#This Row],[Fecha Fin Contrato]]&lt;$D$3,DATOS_[[#This Row],[Fecha Fin Contrato]]&lt;&gt;""),DATOS_[[#This Row],[Fecha de Contratación]]&gt;$D$4),"Fuera","Dentro")</f>
        <v>Dentro</v>
      </c>
      <c r="BS318" s="137" t="str">
        <f aca="false" t="array" ref="BS318:BS318">IF(MAX(IF(DATOS_[id]=DATOS_[[#This Row],[id]],DATOS_[F.fin.cal]))=DATOS_[[#This Row],[F.fin.cal]],"Sí","NO")</f>
        <v>Sí</v>
      </c>
      <c r="BT318" s="137" t="str">
        <f aca="false">IF(AND(DATOS_[[#This Row],[% normaliz]]&lt;&gt;1,DATOS_[[#This Row],[% anualiz]]=1),"Sí","NO")</f>
        <v>Sí</v>
      </c>
      <c r="BU318" s="137" t="str">
        <f aca="false">IF(AND(DATOS_[[#This Row],[% normaliz]]=1,DATOS_[[#This Row],[% anualiz]]&lt;&gt;1),"Sí","NO")</f>
        <v>NO</v>
      </c>
      <c r="BV318" s="137" t="str">
        <f aca="false">IF(AND(DATOS_[[#This Row],[% normaliz]]&lt;&gt;1,DATOS_[[#This Row],[% anualiz]]&lt;&gt;1),"Sí","NO")</f>
        <v>NO</v>
      </c>
      <c r="BW318" s="137" t="str">
        <f aca="false">+IF(DATOS_[[#This Row],[% normaliz]]*DATOS_[[#This Row],[% anualiz]]=1,"NO","Sí")</f>
        <v>Sí</v>
      </c>
      <c r="BX318" s="138" t="e">
        <f aca="false">(DATOS_[[#This Row],[S.BASE]]*(1/DATOS_[[#This Row],[% normaliz]])*(1/DATOS_[[#This Row],[% anualiz]]))*IF(DATOS_[[#This Row],[Check Equiparado]]="Sí",1,0)</f>
        <v>#DIV/0!</v>
      </c>
      <c r="BY3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8" s="138" t="e">
        <f aca="false">+DATOS_[[#This Row],[SALARIO BASE Eq]]+DATOS_[[#This Row],[Tot COMPL.SAL Eq]]</f>
        <v>#DIV/0!</v>
      </c>
      <c r="CA318" s="138" t="e">
        <f aca="false" t="array" ref="CA318:CA3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8" s="138" t="e">
        <f aca="false">+DATOS_[[#This Row],[TOTAL SALARIO Eq]]+DATOS_[[#This Row],[Tot Extrasalarial Eq]]</f>
        <v>#DIV/0!</v>
      </c>
      <c r="CC318" s="139" t="n">
        <f aca="false">DATOS_[[#This Row],[S.BASE]]</f>
        <v>0</v>
      </c>
      <c r="CD318" s="139" t="n">
        <f aca="false">+SUM(DATOS_[[#This Row],[Conc.Sal.01]:[Conc.Sal.30]])</f>
        <v>0</v>
      </c>
      <c r="CE318" s="139" t="n">
        <f aca="false">+DATOS_[[#This Row],[SALARIO BASE Ef]]+DATOS_[[#This Row],[Tot COMPL.SAL Ef]]</f>
        <v>0</v>
      </c>
      <c r="CF318" s="139" t="n">
        <f aca="false">+SUM(DATOS_[[#This Row],[C.Extra.01]:[C.Extra.05]])</f>
        <v>0</v>
      </c>
      <c r="CG318" s="139" t="n">
        <f aca="false">+DATOS_[[#This Row],[TOTAL SALARIO Ef]]+DATOS_[[#This Row],[Tot Extrasalarial Ef]]</f>
        <v>0</v>
      </c>
      <c r="CH318" s="140" t="n">
        <f aca="false">MIN(IF(DATOS_[[#This Row],[Fecha Fin Contrato]]="",$D$4,DATOS_[[#This Row],[Fecha Fin Contrato]]),$D$4)-MAX(DATOS_[[#This Row],[Fecha de Contratación]],$D$3)+1</f>
        <v>1</v>
      </c>
      <c r="CI318" s="141" t="str">
        <f aca="false">IF(COUNTIFS(DATOS_[id],DATOS_[[#This Row],[id]])&gt;1,DATOS_[[#This Row],[id]],"")</f>
        <v/>
      </c>
      <c r="CJ318" s="141" t="n">
        <f aca="false">(Inicio!$G$10-DATOS_[[#This Row],[Fecha Nacimiento]])/365.25</f>
        <v>0</v>
      </c>
      <c r="CK318" s="141" t="n">
        <f aca="false">(Inicio!$G$10-DATOS_[[#This Row],[Fecha de Antigüedad]])/365.25</f>
        <v>0</v>
      </c>
      <c r="CL318" s="141" t="e">
        <f aca="false">+VLOOKUP(DATOS_[[#This Row],[Clave de Contrato]],TblTiposContrato13[],3,0)</f>
        <v>#N/A</v>
      </c>
      <c r="CM318" s="141" t="e">
        <f aca="false">+VLOOKUP(DATOS_[[#This Row],[Clave de Contrato]],TblTiposContrato13[],4,0)</f>
        <v>#N/A</v>
      </c>
      <c r="CN318" s="141" t="str">
        <f aca="false">VLOOKUP(DATOS_[[#This Row],[Edad]],CONTRATOS!TblRngEdad,2,1)</f>
        <v>20  o menos</v>
      </c>
      <c r="CO318" s="141" t="str">
        <f aca="false">VLOOKUP(DATOS_[[#This Row],[Antigüedad]],TblRngAntg14[],2,1)</f>
        <v>0 a 1 años</v>
      </c>
    </row>
    <row r="319" customFormat="false" ht="13.8" hidden="false" customHeight="false" outlineLevel="0" collapsed="false">
      <c r="D319" s="128"/>
      <c r="E319" s="129"/>
      <c r="F319" s="129"/>
      <c r="G319" s="129"/>
      <c r="H319" s="130"/>
      <c r="I319" s="131"/>
      <c r="J319" s="128"/>
      <c r="K319" s="132"/>
      <c r="L319" s="132"/>
      <c r="M319" s="133"/>
      <c r="N319" s="133"/>
      <c r="O319" s="133"/>
      <c r="P319" s="129"/>
      <c r="Z319" s="75"/>
      <c r="AA319" s="76"/>
      <c r="AB319" s="76"/>
      <c r="AC319" s="129"/>
      <c r="AD319" s="134"/>
      <c r="AE319" s="134"/>
      <c r="AF319" s="134"/>
      <c r="AG319" s="134"/>
      <c r="AH319" s="134"/>
      <c r="AI319" s="134"/>
      <c r="AJ319" s="134"/>
      <c r="AK319" s="134"/>
      <c r="AL319" s="134"/>
      <c r="AM319" s="134"/>
      <c r="AN319" s="134"/>
      <c r="AO319" s="134"/>
      <c r="AP319" s="134"/>
      <c r="AQ319" s="134"/>
      <c r="AR319" s="134"/>
      <c r="AS319" s="134"/>
      <c r="AT319" s="134"/>
      <c r="AU319" s="134"/>
      <c r="AV319" s="134"/>
      <c r="AW319" s="134"/>
      <c r="AX319" s="134"/>
      <c r="AY319" s="134"/>
      <c r="AZ319" s="134"/>
      <c r="BA319" s="134"/>
      <c r="BB319" s="134"/>
      <c r="BC319" s="134"/>
      <c r="BD319" s="134"/>
      <c r="BE319" s="134"/>
      <c r="BF319" s="134"/>
      <c r="BG319" s="134"/>
      <c r="BH319" s="134"/>
      <c r="BI319" s="134"/>
      <c r="BJ319" s="134"/>
      <c r="BK319" s="134"/>
      <c r="BL319" s="134"/>
      <c r="BM319" s="135"/>
      <c r="BN319" s="136" t="n">
        <f aca="false">+MAX($D$3,DATOS_[[#This Row],[Fecha Inicio Sit. Contract.]])</f>
        <v>0</v>
      </c>
      <c r="BO319" s="136" t="n">
        <f aca="false">+MIN($D$4,DATOS_[[#This Row],[Fecha Fin Sit. Contract.]])</f>
        <v>0</v>
      </c>
      <c r="BP319" s="137" t="n">
        <f aca="false">+DATOS_[[#This Row],[% de jornada]]*IF(DATOS_[[#This Row],[% jornada reducida]]="",1,DATOS_[[#This Row],[% jornada reducida]])</f>
        <v>0</v>
      </c>
      <c r="BQ319" s="137" t="n">
        <f aca="false">+(DATOS_[[#This Row],[F.fin.cal]]-DATOS_[[#This Row],[F.ini.cal]]+1)/($D$4-$D$3+1)</f>
        <v>1</v>
      </c>
      <c r="BR319" s="137" t="str">
        <f aca="false">IF(OR(AND(DATOS_[[#This Row],[Fecha Fin Contrato]]&lt;$D$3,DATOS_[[#This Row],[Fecha Fin Contrato]]&lt;&gt;""),DATOS_[[#This Row],[Fecha de Contratación]]&gt;$D$4),"Fuera","Dentro")</f>
        <v>Dentro</v>
      </c>
      <c r="BS319" s="137" t="str">
        <f aca="false" t="array" ref="BS319:BS319">IF(MAX(IF(DATOS_[id]=DATOS_[[#This Row],[id]],DATOS_[F.fin.cal]))=DATOS_[[#This Row],[F.fin.cal]],"Sí","NO")</f>
        <v>Sí</v>
      </c>
      <c r="BT319" s="137" t="str">
        <f aca="false">IF(AND(DATOS_[[#This Row],[% normaliz]]&lt;&gt;1,DATOS_[[#This Row],[% anualiz]]=1),"Sí","NO")</f>
        <v>Sí</v>
      </c>
      <c r="BU319" s="137" t="str">
        <f aca="false">IF(AND(DATOS_[[#This Row],[% normaliz]]=1,DATOS_[[#This Row],[% anualiz]]&lt;&gt;1),"Sí","NO")</f>
        <v>NO</v>
      </c>
      <c r="BV319" s="137" t="str">
        <f aca="false">IF(AND(DATOS_[[#This Row],[% normaliz]]&lt;&gt;1,DATOS_[[#This Row],[% anualiz]]&lt;&gt;1),"Sí","NO")</f>
        <v>NO</v>
      </c>
      <c r="BW319" s="137" t="str">
        <f aca="false">+IF(DATOS_[[#This Row],[% normaliz]]*DATOS_[[#This Row],[% anualiz]]=1,"NO","Sí")</f>
        <v>Sí</v>
      </c>
      <c r="BX319" s="138" t="e">
        <f aca="false">(DATOS_[[#This Row],[S.BASE]]*(1/DATOS_[[#This Row],[% normaliz]])*(1/DATOS_[[#This Row],[% anualiz]]))*IF(DATOS_[[#This Row],[Check Equiparado]]="Sí",1,0)</f>
        <v>#DIV/0!</v>
      </c>
      <c r="BY3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9" s="138" t="e">
        <f aca="false">+DATOS_[[#This Row],[SALARIO BASE Eq]]+DATOS_[[#This Row],[Tot COMPL.SAL Eq]]</f>
        <v>#DIV/0!</v>
      </c>
      <c r="CA319" s="138" t="e">
        <f aca="false" t="array" ref="CA319:CA3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9" s="138" t="e">
        <f aca="false">+DATOS_[[#This Row],[TOTAL SALARIO Eq]]+DATOS_[[#This Row],[Tot Extrasalarial Eq]]</f>
        <v>#DIV/0!</v>
      </c>
      <c r="CC319" s="139" t="n">
        <f aca="false">DATOS_[[#This Row],[S.BASE]]</f>
        <v>0</v>
      </c>
      <c r="CD319" s="139" t="n">
        <f aca="false">+SUM(DATOS_[[#This Row],[Conc.Sal.01]:[Conc.Sal.30]])</f>
        <v>0</v>
      </c>
      <c r="CE319" s="139" t="n">
        <f aca="false">+DATOS_[[#This Row],[SALARIO BASE Ef]]+DATOS_[[#This Row],[Tot COMPL.SAL Ef]]</f>
        <v>0</v>
      </c>
      <c r="CF319" s="139" t="n">
        <f aca="false">+SUM(DATOS_[[#This Row],[C.Extra.01]:[C.Extra.05]])</f>
        <v>0</v>
      </c>
      <c r="CG319" s="139" t="n">
        <f aca="false">+DATOS_[[#This Row],[TOTAL SALARIO Ef]]+DATOS_[[#This Row],[Tot Extrasalarial Ef]]</f>
        <v>0</v>
      </c>
      <c r="CH319" s="140" t="n">
        <f aca="false">MIN(IF(DATOS_[[#This Row],[Fecha Fin Contrato]]="",$D$4,DATOS_[[#This Row],[Fecha Fin Contrato]]),$D$4)-MAX(DATOS_[[#This Row],[Fecha de Contratación]],$D$3)+1</f>
        <v>1</v>
      </c>
      <c r="CI319" s="141" t="str">
        <f aca="false">IF(COUNTIFS(DATOS_[id],DATOS_[[#This Row],[id]])&gt;1,DATOS_[[#This Row],[id]],"")</f>
        <v/>
      </c>
      <c r="CJ319" s="141" t="n">
        <f aca="false">(Inicio!$G$10-DATOS_[[#This Row],[Fecha Nacimiento]])/365.25</f>
        <v>0</v>
      </c>
      <c r="CK319" s="141" t="n">
        <f aca="false">(Inicio!$G$10-DATOS_[[#This Row],[Fecha de Antigüedad]])/365.25</f>
        <v>0</v>
      </c>
      <c r="CL319" s="141" t="e">
        <f aca="false">+VLOOKUP(DATOS_[[#This Row],[Clave de Contrato]],TblTiposContrato13[],3,0)</f>
        <v>#N/A</v>
      </c>
      <c r="CM319" s="141" t="e">
        <f aca="false">+VLOOKUP(DATOS_[[#This Row],[Clave de Contrato]],TblTiposContrato13[],4,0)</f>
        <v>#N/A</v>
      </c>
      <c r="CN319" s="141" t="str">
        <f aca="false">VLOOKUP(DATOS_[[#This Row],[Edad]],CONTRATOS!TblRngEdad,2,1)</f>
        <v>20  o menos</v>
      </c>
      <c r="CO319" s="141" t="str">
        <f aca="false">VLOOKUP(DATOS_[[#This Row],[Antigüedad]],TblRngAntg14[],2,1)</f>
        <v>0 a 1 años</v>
      </c>
    </row>
    <row r="320" customFormat="false" ht="13.8" hidden="false" customHeight="false" outlineLevel="0" collapsed="false">
      <c r="D320" s="128"/>
      <c r="E320" s="129"/>
      <c r="F320" s="129"/>
      <c r="G320" s="129"/>
      <c r="H320" s="130"/>
      <c r="I320" s="131"/>
      <c r="J320" s="128"/>
      <c r="K320" s="132"/>
      <c r="L320" s="132"/>
      <c r="M320" s="133"/>
      <c r="N320" s="133"/>
      <c r="O320" s="133"/>
      <c r="P320" s="129"/>
      <c r="Z320" s="75"/>
      <c r="AA320" s="76"/>
      <c r="AB320" s="76"/>
      <c r="AC320" s="129"/>
      <c r="AD320" s="134"/>
      <c r="AE320" s="134"/>
      <c r="AF320" s="134"/>
      <c r="AG320" s="134"/>
      <c r="AH320" s="134"/>
      <c r="AI320" s="134"/>
      <c r="AJ320" s="134"/>
      <c r="AK320" s="134"/>
      <c r="AL320" s="134"/>
      <c r="AM320" s="134"/>
      <c r="AN320" s="134"/>
      <c r="AO320" s="134"/>
      <c r="AP320" s="134"/>
      <c r="AQ320" s="134"/>
      <c r="AR320" s="134"/>
      <c r="AS320" s="134"/>
      <c r="AT320" s="134"/>
      <c r="AU320" s="134"/>
      <c r="AV320" s="134"/>
      <c r="AW320" s="134"/>
      <c r="AX320" s="134"/>
      <c r="AY320" s="134"/>
      <c r="AZ320" s="134"/>
      <c r="BA320" s="134"/>
      <c r="BB320" s="134"/>
      <c r="BC320" s="134"/>
      <c r="BD320" s="134"/>
      <c r="BE320" s="134"/>
      <c r="BF320" s="134"/>
      <c r="BG320" s="134"/>
      <c r="BH320" s="134"/>
      <c r="BI320" s="134"/>
      <c r="BJ320" s="134"/>
      <c r="BK320" s="134"/>
      <c r="BL320" s="134"/>
      <c r="BM320" s="135"/>
      <c r="BN320" s="136" t="n">
        <f aca="false">+MAX($D$3,DATOS_[[#This Row],[Fecha Inicio Sit. Contract.]])</f>
        <v>0</v>
      </c>
      <c r="BO320" s="136" t="n">
        <f aca="false">+MIN($D$4,DATOS_[[#This Row],[Fecha Fin Sit. Contract.]])</f>
        <v>0</v>
      </c>
      <c r="BP320" s="137" t="n">
        <f aca="false">+DATOS_[[#This Row],[% de jornada]]*IF(DATOS_[[#This Row],[% jornada reducida]]="",1,DATOS_[[#This Row],[% jornada reducida]])</f>
        <v>0</v>
      </c>
      <c r="BQ320" s="137" t="n">
        <f aca="false">+(DATOS_[[#This Row],[F.fin.cal]]-DATOS_[[#This Row],[F.ini.cal]]+1)/($D$4-$D$3+1)</f>
        <v>1</v>
      </c>
      <c r="BR320" s="137" t="str">
        <f aca="false">IF(OR(AND(DATOS_[[#This Row],[Fecha Fin Contrato]]&lt;$D$3,DATOS_[[#This Row],[Fecha Fin Contrato]]&lt;&gt;""),DATOS_[[#This Row],[Fecha de Contratación]]&gt;$D$4),"Fuera","Dentro")</f>
        <v>Dentro</v>
      </c>
      <c r="BS320" s="137" t="str">
        <f aca="false" t="array" ref="BS320:BS320">IF(MAX(IF(DATOS_[id]=DATOS_[[#This Row],[id]],DATOS_[F.fin.cal]))=DATOS_[[#This Row],[F.fin.cal]],"Sí","NO")</f>
        <v>Sí</v>
      </c>
      <c r="BT320" s="137" t="str">
        <f aca="false">IF(AND(DATOS_[[#This Row],[% normaliz]]&lt;&gt;1,DATOS_[[#This Row],[% anualiz]]=1),"Sí","NO")</f>
        <v>Sí</v>
      </c>
      <c r="BU320" s="137" t="str">
        <f aca="false">IF(AND(DATOS_[[#This Row],[% normaliz]]=1,DATOS_[[#This Row],[% anualiz]]&lt;&gt;1),"Sí","NO")</f>
        <v>NO</v>
      </c>
      <c r="BV320" s="137" t="str">
        <f aca="false">IF(AND(DATOS_[[#This Row],[% normaliz]]&lt;&gt;1,DATOS_[[#This Row],[% anualiz]]&lt;&gt;1),"Sí","NO")</f>
        <v>NO</v>
      </c>
      <c r="BW320" s="137" t="str">
        <f aca="false">+IF(DATOS_[[#This Row],[% normaliz]]*DATOS_[[#This Row],[% anualiz]]=1,"NO","Sí")</f>
        <v>Sí</v>
      </c>
      <c r="BX320" s="138" t="e">
        <f aca="false">(DATOS_[[#This Row],[S.BASE]]*(1/DATOS_[[#This Row],[% normaliz]])*(1/DATOS_[[#This Row],[% anualiz]]))*IF(DATOS_[[#This Row],[Check Equiparado]]="Sí",1,0)</f>
        <v>#DIV/0!</v>
      </c>
      <c r="BY3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0" s="138" t="e">
        <f aca="false">+DATOS_[[#This Row],[SALARIO BASE Eq]]+DATOS_[[#This Row],[Tot COMPL.SAL Eq]]</f>
        <v>#DIV/0!</v>
      </c>
      <c r="CA320" s="138" t="e">
        <f aca="false" t="array" ref="CA320:CA3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0" s="138" t="e">
        <f aca="false">+DATOS_[[#This Row],[TOTAL SALARIO Eq]]+DATOS_[[#This Row],[Tot Extrasalarial Eq]]</f>
        <v>#DIV/0!</v>
      </c>
      <c r="CC320" s="139" t="n">
        <f aca="false">DATOS_[[#This Row],[S.BASE]]</f>
        <v>0</v>
      </c>
      <c r="CD320" s="139" t="n">
        <f aca="false">+SUM(DATOS_[[#This Row],[Conc.Sal.01]:[Conc.Sal.30]])</f>
        <v>0</v>
      </c>
      <c r="CE320" s="139" t="n">
        <f aca="false">+DATOS_[[#This Row],[SALARIO BASE Ef]]+DATOS_[[#This Row],[Tot COMPL.SAL Ef]]</f>
        <v>0</v>
      </c>
      <c r="CF320" s="139" t="n">
        <f aca="false">+SUM(DATOS_[[#This Row],[C.Extra.01]:[C.Extra.05]])</f>
        <v>0</v>
      </c>
      <c r="CG320" s="139" t="n">
        <f aca="false">+DATOS_[[#This Row],[TOTAL SALARIO Ef]]+DATOS_[[#This Row],[Tot Extrasalarial Ef]]</f>
        <v>0</v>
      </c>
      <c r="CH320" s="140" t="n">
        <f aca="false">MIN(IF(DATOS_[[#This Row],[Fecha Fin Contrato]]="",$D$4,DATOS_[[#This Row],[Fecha Fin Contrato]]),$D$4)-MAX(DATOS_[[#This Row],[Fecha de Contratación]],$D$3)+1</f>
        <v>1</v>
      </c>
      <c r="CI320" s="141" t="str">
        <f aca="false">IF(COUNTIFS(DATOS_[id],DATOS_[[#This Row],[id]])&gt;1,DATOS_[[#This Row],[id]],"")</f>
        <v/>
      </c>
      <c r="CJ320" s="141" t="n">
        <f aca="false">(Inicio!$G$10-DATOS_[[#This Row],[Fecha Nacimiento]])/365.25</f>
        <v>0</v>
      </c>
      <c r="CK320" s="141" t="n">
        <f aca="false">(Inicio!$G$10-DATOS_[[#This Row],[Fecha de Antigüedad]])/365.25</f>
        <v>0</v>
      </c>
      <c r="CL320" s="141" t="e">
        <f aca="false">+VLOOKUP(DATOS_[[#This Row],[Clave de Contrato]],TblTiposContrato13[],3,0)</f>
        <v>#N/A</v>
      </c>
      <c r="CM320" s="141" t="e">
        <f aca="false">+VLOOKUP(DATOS_[[#This Row],[Clave de Contrato]],TblTiposContrato13[],4,0)</f>
        <v>#N/A</v>
      </c>
      <c r="CN320" s="141" t="str">
        <f aca="false">VLOOKUP(DATOS_[[#This Row],[Edad]],CONTRATOS!TblRngEdad,2,1)</f>
        <v>20  o menos</v>
      </c>
      <c r="CO320" s="141" t="str">
        <f aca="false">VLOOKUP(DATOS_[[#This Row],[Antigüedad]],TblRngAntg14[],2,1)</f>
        <v>0 a 1 años</v>
      </c>
    </row>
    <row r="321" customFormat="false" ht="13.8" hidden="false" customHeight="false" outlineLevel="0" collapsed="false">
      <c r="D321" s="128"/>
      <c r="E321" s="129"/>
      <c r="F321" s="129"/>
      <c r="G321" s="129"/>
      <c r="H321" s="130"/>
      <c r="I321" s="131"/>
      <c r="J321" s="128"/>
      <c r="K321" s="132"/>
      <c r="L321" s="132"/>
      <c r="M321" s="133"/>
      <c r="N321" s="133"/>
      <c r="O321" s="133"/>
      <c r="P321" s="129"/>
      <c r="Z321" s="75"/>
      <c r="AA321" s="76"/>
      <c r="AB321" s="76"/>
      <c r="AC321" s="129"/>
      <c r="AD321" s="134"/>
      <c r="AE321" s="134"/>
      <c r="AF321" s="134"/>
      <c r="AG321" s="134"/>
      <c r="AH321" s="134"/>
      <c r="AI321" s="134"/>
      <c r="AJ321" s="134"/>
      <c r="AK321" s="134"/>
      <c r="AL321" s="134"/>
      <c r="AM321" s="134"/>
      <c r="AN321" s="134"/>
      <c r="AO321" s="134"/>
      <c r="AP321" s="134"/>
      <c r="AQ321" s="134"/>
      <c r="AR321" s="134"/>
      <c r="AS321" s="134"/>
      <c r="AT321" s="134"/>
      <c r="AU321" s="134"/>
      <c r="AV321" s="134"/>
      <c r="AW321" s="134"/>
      <c r="AX321" s="134"/>
      <c r="AY321" s="134"/>
      <c r="AZ321" s="134"/>
      <c r="BA321" s="134"/>
      <c r="BB321" s="134"/>
      <c r="BC321" s="134"/>
      <c r="BD321" s="134"/>
      <c r="BE321" s="134"/>
      <c r="BF321" s="134"/>
      <c r="BG321" s="134"/>
      <c r="BH321" s="134"/>
      <c r="BI321" s="134"/>
      <c r="BJ321" s="134"/>
      <c r="BK321" s="134"/>
      <c r="BL321" s="134"/>
      <c r="BM321" s="135"/>
      <c r="BN321" s="136" t="n">
        <f aca="false">+MAX($D$3,DATOS_[[#This Row],[Fecha Inicio Sit. Contract.]])</f>
        <v>0</v>
      </c>
      <c r="BO321" s="136" t="n">
        <f aca="false">+MIN($D$4,DATOS_[[#This Row],[Fecha Fin Sit. Contract.]])</f>
        <v>0</v>
      </c>
      <c r="BP321" s="137" t="n">
        <f aca="false">+DATOS_[[#This Row],[% de jornada]]*IF(DATOS_[[#This Row],[% jornada reducida]]="",1,DATOS_[[#This Row],[% jornada reducida]])</f>
        <v>0</v>
      </c>
      <c r="BQ321" s="137" t="n">
        <f aca="false">+(DATOS_[[#This Row],[F.fin.cal]]-DATOS_[[#This Row],[F.ini.cal]]+1)/($D$4-$D$3+1)</f>
        <v>1</v>
      </c>
      <c r="BR321" s="137" t="str">
        <f aca="false">IF(OR(AND(DATOS_[[#This Row],[Fecha Fin Contrato]]&lt;$D$3,DATOS_[[#This Row],[Fecha Fin Contrato]]&lt;&gt;""),DATOS_[[#This Row],[Fecha de Contratación]]&gt;$D$4),"Fuera","Dentro")</f>
        <v>Dentro</v>
      </c>
      <c r="BS321" s="137" t="str">
        <f aca="false" t="array" ref="BS321:BS321">IF(MAX(IF(DATOS_[id]=DATOS_[[#This Row],[id]],DATOS_[F.fin.cal]))=DATOS_[[#This Row],[F.fin.cal]],"Sí","NO")</f>
        <v>Sí</v>
      </c>
      <c r="BT321" s="137" t="str">
        <f aca="false">IF(AND(DATOS_[[#This Row],[% normaliz]]&lt;&gt;1,DATOS_[[#This Row],[% anualiz]]=1),"Sí","NO")</f>
        <v>Sí</v>
      </c>
      <c r="BU321" s="137" t="str">
        <f aca="false">IF(AND(DATOS_[[#This Row],[% normaliz]]=1,DATOS_[[#This Row],[% anualiz]]&lt;&gt;1),"Sí","NO")</f>
        <v>NO</v>
      </c>
      <c r="BV321" s="137" t="str">
        <f aca="false">IF(AND(DATOS_[[#This Row],[% normaliz]]&lt;&gt;1,DATOS_[[#This Row],[% anualiz]]&lt;&gt;1),"Sí","NO")</f>
        <v>NO</v>
      </c>
      <c r="BW321" s="137" t="str">
        <f aca="false">+IF(DATOS_[[#This Row],[% normaliz]]*DATOS_[[#This Row],[% anualiz]]=1,"NO","Sí")</f>
        <v>Sí</v>
      </c>
      <c r="BX321" s="138" t="e">
        <f aca="false">(DATOS_[[#This Row],[S.BASE]]*(1/DATOS_[[#This Row],[% normaliz]])*(1/DATOS_[[#This Row],[% anualiz]]))*IF(DATOS_[[#This Row],[Check Equiparado]]="Sí",1,0)</f>
        <v>#DIV/0!</v>
      </c>
      <c r="BY3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1" s="138" t="e">
        <f aca="false">+DATOS_[[#This Row],[SALARIO BASE Eq]]+DATOS_[[#This Row],[Tot COMPL.SAL Eq]]</f>
        <v>#DIV/0!</v>
      </c>
      <c r="CA321" s="138" t="e">
        <f aca="false" t="array" ref="CA321:CA3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1" s="138" t="e">
        <f aca="false">+DATOS_[[#This Row],[TOTAL SALARIO Eq]]+DATOS_[[#This Row],[Tot Extrasalarial Eq]]</f>
        <v>#DIV/0!</v>
      </c>
      <c r="CC321" s="139" t="n">
        <f aca="false">DATOS_[[#This Row],[S.BASE]]</f>
        <v>0</v>
      </c>
      <c r="CD321" s="139" t="n">
        <f aca="false">+SUM(DATOS_[[#This Row],[Conc.Sal.01]:[Conc.Sal.30]])</f>
        <v>0</v>
      </c>
      <c r="CE321" s="139" t="n">
        <f aca="false">+DATOS_[[#This Row],[SALARIO BASE Ef]]+DATOS_[[#This Row],[Tot COMPL.SAL Ef]]</f>
        <v>0</v>
      </c>
      <c r="CF321" s="139" t="n">
        <f aca="false">+SUM(DATOS_[[#This Row],[C.Extra.01]:[C.Extra.05]])</f>
        <v>0</v>
      </c>
      <c r="CG321" s="139" t="n">
        <f aca="false">+DATOS_[[#This Row],[TOTAL SALARIO Ef]]+DATOS_[[#This Row],[Tot Extrasalarial Ef]]</f>
        <v>0</v>
      </c>
      <c r="CH321" s="140" t="n">
        <f aca="false">MIN(IF(DATOS_[[#This Row],[Fecha Fin Contrato]]="",$D$4,DATOS_[[#This Row],[Fecha Fin Contrato]]),$D$4)-MAX(DATOS_[[#This Row],[Fecha de Contratación]],$D$3)+1</f>
        <v>1</v>
      </c>
      <c r="CI321" s="141" t="str">
        <f aca="false">IF(COUNTIFS(DATOS_[id],DATOS_[[#This Row],[id]])&gt;1,DATOS_[[#This Row],[id]],"")</f>
        <v/>
      </c>
      <c r="CJ321" s="141" t="n">
        <f aca="false">(Inicio!$G$10-DATOS_[[#This Row],[Fecha Nacimiento]])/365.25</f>
        <v>0</v>
      </c>
      <c r="CK321" s="141" t="n">
        <f aca="false">(Inicio!$G$10-DATOS_[[#This Row],[Fecha de Antigüedad]])/365.25</f>
        <v>0</v>
      </c>
      <c r="CL321" s="141" t="e">
        <f aca="false">+VLOOKUP(DATOS_[[#This Row],[Clave de Contrato]],TblTiposContrato13[],3,0)</f>
        <v>#N/A</v>
      </c>
      <c r="CM321" s="141" t="e">
        <f aca="false">+VLOOKUP(DATOS_[[#This Row],[Clave de Contrato]],TblTiposContrato13[],4,0)</f>
        <v>#N/A</v>
      </c>
      <c r="CN321" s="141" t="str">
        <f aca="false">VLOOKUP(DATOS_[[#This Row],[Edad]],CONTRATOS!TblRngEdad,2,1)</f>
        <v>20  o menos</v>
      </c>
      <c r="CO321" s="141" t="str">
        <f aca="false">VLOOKUP(DATOS_[[#This Row],[Antigüedad]],TblRngAntg14[],2,1)</f>
        <v>0 a 1 años</v>
      </c>
    </row>
    <row r="322" customFormat="false" ht="13.8" hidden="false" customHeight="false" outlineLevel="0" collapsed="false">
      <c r="D322" s="128"/>
      <c r="E322" s="129"/>
      <c r="F322" s="129"/>
      <c r="G322" s="129"/>
      <c r="H322" s="130"/>
      <c r="I322" s="131"/>
      <c r="J322" s="128"/>
      <c r="K322" s="132"/>
      <c r="L322" s="132"/>
      <c r="M322" s="133"/>
      <c r="N322" s="133"/>
      <c r="O322" s="133"/>
      <c r="P322" s="129"/>
      <c r="Z322" s="75"/>
      <c r="AA322" s="76"/>
      <c r="AB322" s="76"/>
      <c r="AC322" s="129"/>
      <c r="AD322" s="134"/>
      <c r="AE322" s="134"/>
      <c r="AF322" s="134"/>
      <c r="AG322" s="134"/>
      <c r="AH322" s="134"/>
      <c r="AI322" s="134"/>
      <c r="AJ322" s="134"/>
      <c r="AK322" s="134"/>
      <c r="AL322" s="134"/>
      <c r="AM322" s="134"/>
      <c r="AN322" s="134"/>
      <c r="AO322" s="134"/>
      <c r="AP322" s="134"/>
      <c r="AQ322" s="134"/>
      <c r="AR322" s="134"/>
      <c r="AS322" s="134"/>
      <c r="AT322" s="134"/>
      <c r="AU322" s="134"/>
      <c r="AV322" s="134"/>
      <c r="AW322" s="134"/>
      <c r="AX322" s="134"/>
      <c r="AY322" s="134"/>
      <c r="AZ322" s="134"/>
      <c r="BA322" s="134"/>
      <c r="BB322" s="134"/>
      <c r="BC322" s="134"/>
      <c r="BD322" s="134"/>
      <c r="BE322" s="134"/>
      <c r="BF322" s="134"/>
      <c r="BG322" s="134"/>
      <c r="BH322" s="134"/>
      <c r="BI322" s="134"/>
      <c r="BJ322" s="134"/>
      <c r="BK322" s="134"/>
      <c r="BL322" s="134"/>
      <c r="BM322" s="135"/>
      <c r="BN322" s="136" t="n">
        <f aca="false">+MAX($D$3,DATOS_[[#This Row],[Fecha Inicio Sit. Contract.]])</f>
        <v>0</v>
      </c>
      <c r="BO322" s="136" t="n">
        <f aca="false">+MIN($D$4,DATOS_[[#This Row],[Fecha Fin Sit. Contract.]])</f>
        <v>0</v>
      </c>
      <c r="BP322" s="137" t="n">
        <f aca="false">+DATOS_[[#This Row],[% de jornada]]*IF(DATOS_[[#This Row],[% jornada reducida]]="",1,DATOS_[[#This Row],[% jornada reducida]])</f>
        <v>0</v>
      </c>
      <c r="BQ322" s="137" t="n">
        <f aca="false">+(DATOS_[[#This Row],[F.fin.cal]]-DATOS_[[#This Row],[F.ini.cal]]+1)/($D$4-$D$3+1)</f>
        <v>1</v>
      </c>
      <c r="BR322" s="137" t="str">
        <f aca="false">IF(OR(AND(DATOS_[[#This Row],[Fecha Fin Contrato]]&lt;$D$3,DATOS_[[#This Row],[Fecha Fin Contrato]]&lt;&gt;""),DATOS_[[#This Row],[Fecha de Contratación]]&gt;$D$4),"Fuera","Dentro")</f>
        <v>Dentro</v>
      </c>
      <c r="BS322" s="137" t="str">
        <f aca="false" t="array" ref="BS322:BS322">IF(MAX(IF(DATOS_[id]=DATOS_[[#This Row],[id]],DATOS_[F.fin.cal]))=DATOS_[[#This Row],[F.fin.cal]],"Sí","NO")</f>
        <v>Sí</v>
      </c>
      <c r="BT322" s="137" t="str">
        <f aca="false">IF(AND(DATOS_[[#This Row],[% normaliz]]&lt;&gt;1,DATOS_[[#This Row],[% anualiz]]=1),"Sí","NO")</f>
        <v>Sí</v>
      </c>
      <c r="BU322" s="137" t="str">
        <f aca="false">IF(AND(DATOS_[[#This Row],[% normaliz]]=1,DATOS_[[#This Row],[% anualiz]]&lt;&gt;1),"Sí","NO")</f>
        <v>NO</v>
      </c>
      <c r="BV322" s="137" t="str">
        <f aca="false">IF(AND(DATOS_[[#This Row],[% normaliz]]&lt;&gt;1,DATOS_[[#This Row],[% anualiz]]&lt;&gt;1),"Sí","NO")</f>
        <v>NO</v>
      </c>
      <c r="BW322" s="137" t="str">
        <f aca="false">+IF(DATOS_[[#This Row],[% normaliz]]*DATOS_[[#This Row],[% anualiz]]=1,"NO","Sí")</f>
        <v>Sí</v>
      </c>
      <c r="BX322" s="138" t="e">
        <f aca="false">(DATOS_[[#This Row],[S.BASE]]*(1/DATOS_[[#This Row],[% normaliz]])*(1/DATOS_[[#This Row],[% anualiz]]))*IF(DATOS_[[#This Row],[Check Equiparado]]="Sí",1,0)</f>
        <v>#DIV/0!</v>
      </c>
      <c r="BY3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2" s="138" t="e">
        <f aca="false">+DATOS_[[#This Row],[SALARIO BASE Eq]]+DATOS_[[#This Row],[Tot COMPL.SAL Eq]]</f>
        <v>#DIV/0!</v>
      </c>
      <c r="CA322" s="138" t="e">
        <f aca="false" t="array" ref="CA322:CA3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2" s="138" t="e">
        <f aca="false">+DATOS_[[#This Row],[TOTAL SALARIO Eq]]+DATOS_[[#This Row],[Tot Extrasalarial Eq]]</f>
        <v>#DIV/0!</v>
      </c>
      <c r="CC322" s="139" t="n">
        <f aca="false">DATOS_[[#This Row],[S.BASE]]</f>
        <v>0</v>
      </c>
      <c r="CD322" s="139" t="n">
        <f aca="false">+SUM(DATOS_[[#This Row],[Conc.Sal.01]:[Conc.Sal.30]])</f>
        <v>0</v>
      </c>
      <c r="CE322" s="139" t="n">
        <f aca="false">+DATOS_[[#This Row],[SALARIO BASE Ef]]+DATOS_[[#This Row],[Tot COMPL.SAL Ef]]</f>
        <v>0</v>
      </c>
      <c r="CF322" s="139" t="n">
        <f aca="false">+SUM(DATOS_[[#This Row],[C.Extra.01]:[C.Extra.05]])</f>
        <v>0</v>
      </c>
      <c r="CG322" s="139" t="n">
        <f aca="false">+DATOS_[[#This Row],[TOTAL SALARIO Ef]]+DATOS_[[#This Row],[Tot Extrasalarial Ef]]</f>
        <v>0</v>
      </c>
      <c r="CH322" s="140" t="n">
        <f aca="false">MIN(IF(DATOS_[[#This Row],[Fecha Fin Contrato]]="",$D$4,DATOS_[[#This Row],[Fecha Fin Contrato]]),$D$4)-MAX(DATOS_[[#This Row],[Fecha de Contratación]],$D$3)+1</f>
        <v>1</v>
      </c>
      <c r="CI322" s="141" t="str">
        <f aca="false">IF(COUNTIFS(DATOS_[id],DATOS_[[#This Row],[id]])&gt;1,DATOS_[[#This Row],[id]],"")</f>
        <v/>
      </c>
      <c r="CJ322" s="141" t="n">
        <f aca="false">(Inicio!$G$10-DATOS_[[#This Row],[Fecha Nacimiento]])/365.25</f>
        <v>0</v>
      </c>
      <c r="CK322" s="141" t="n">
        <f aca="false">(Inicio!$G$10-DATOS_[[#This Row],[Fecha de Antigüedad]])/365.25</f>
        <v>0</v>
      </c>
      <c r="CL322" s="141" t="e">
        <f aca="false">+VLOOKUP(DATOS_[[#This Row],[Clave de Contrato]],TblTiposContrato13[],3,0)</f>
        <v>#N/A</v>
      </c>
      <c r="CM322" s="141" t="e">
        <f aca="false">+VLOOKUP(DATOS_[[#This Row],[Clave de Contrato]],TblTiposContrato13[],4,0)</f>
        <v>#N/A</v>
      </c>
      <c r="CN322" s="141" t="str">
        <f aca="false">VLOOKUP(DATOS_[[#This Row],[Edad]],CONTRATOS!TblRngEdad,2,1)</f>
        <v>20  o menos</v>
      </c>
      <c r="CO322" s="141" t="str">
        <f aca="false">VLOOKUP(DATOS_[[#This Row],[Antigüedad]],TblRngAntg14[],2,1)</f>
        <v>0 a 1 años</v>
      </c>
    </row>
    <row r="323" customFormat="false" ht="13.8" hidden="false" customHeight="false" outlineLevel="0" collapsed="false">
      <c r="D323" s="128"/>
      <c r="E323" s="129"/>
      <c r="F323" s="129"/>
      <c r="G323" s="129"/>
      <c r="H323" s="130"/>
      <c r="I323" s="131"/>
      <c r="J323" s="128"/>
      <c r="K323" s="132"/>
      <c r="L323" s="132"/>
      <c r="M323" s="133"/>
      <c r="N323" s="133"/>
      <c r="O323" s="133"/>
      <c r="P323" s="129"/>
      <c r="Z323" s="75"/>
      <c r="AA323" s="76"/>
      <c r="AB323" s="76"/>
      <c r="AC323" s="129"/>
      <c r="AD323" s="134"/>
      <c r="AE323" s="134"/>
      <c r="AF323" s="134"/>
      <c r="AG323" s="134"/>
      <c r="AH323" s="134"/>
      <c r="AI323" s="134"/>
      <c r="AJ323" s="134"/>
      <c r="AK323" s="134"/>
      <c r="AL323" s="134"/>
      <c r="AM323" s="134"/>
      <c r="AN323" s="134"/>
      <c r="AO323" s="134"/>
      <c r="AP323" s="134"/>
      <c r="AQ323" s="134"/>
      <c r="AR323" s="134"/>
      <c r="AS323" s="134"/>
      <c r="AT323" s="134"/>
      <c r="AU323" s="134"/>
      <c r="AV323" s="134"/>
      <c r="AW323" s="134"/>
      <c r="AX323" s="134"/>
      <c r="AY323" s="134"/>
      <c r="AZ323" s="134"/>
      <c r="BA323" s="134"/>
      <c r="BB323" s="134"/>
      <c r="BC323" s="134"/>
      <c r="BD323" s="134"/>
      <c r="BE323" s="134"/>
      <c r="BF323" s="134"/>
      <c r="BG323" s="134"/>
      <c r="BH323" s="134"/>
      <c r="BI323" s="134"/>
      <c r="BJ323" s="134"/>
      <c r="BK323" s="134"/>
      <c r="BL323" s="134"/>
      <c r="BM323" s="135"/>
      <c r="BN323" s="136" t="n">
        <f aca="false">+MAX($D$3,DATOS_[[#This Row],[Fecha Inicio Sit. Contract.]])</f>
        <v>0</v>
      </c>
      <c r="BO323" s="136" t="n">
        <f aca="false">+MIN($D$4,DATOS_[[#This Row],[Fecha Fin Sit. Contract.]])</f>
        <v>0</v>
      </c>
      <c r="BP323" s="137" t="n">
        <f aca="false">+DATOS_[[#This Row],[% de jornada]]*IF(DATOS_[[#This Row],[% jornada reducida]]="",1,DATOS_[[#This Row],[% jornada reducida]])</f>
        <v>0</v>
      </c>
      <c r="BQ323" s="137" t="n">
        <f aca="false">+(DATOS_[[#This Row],[F.fin.cal]]-DATOS_[[#This Row],[F.ini.cal]]+1)/($D$4-$D$3+1)</f>
        <v>1</v>
      </c>
      <c r="BR323" s="137" t="str">
        <f aca="false">IF(OR(AND(DATOS_[[#This Row],[Fecha Fin Contrato]]&lt;$D$3,DATOS_[[#This Row],[Fecha Fin Contrato]]&lt;&gt;""),DATOS_[[#This Row],[Fecha de Contratación]]&gt;$D$4),"Fuera","Dentro")</f>
        <v>Dentro</v>
      </c>
      <c r="BS323" s="137" t="str">
        <f aca="false" t="array" ref="BS323:BS323">IF(MAX(IF(DATOS_[id]=DATOS_[[#This Row],[id]],DATOS_[F.fin.cal]))=DATOS_[[#This Row],[F.fin.cal]],"Sí","NO")</f>
        <v>Sí</v>
      </c>
      <c r="BT323" s="137" t="str">
        <f aca="false">IF(AND(DATOS_[[#This Row],[% normaliz]]&lt;&gt;1,DATOS_[[#This Row],[% anualiz]]=1),"Sí","NO")</f>
        <v>Sí</v>
      </c>
      <c r="BU323" s="137" t="str">
        <f aca="false">IF(AND(DATOS_[[#This Row],[% normaliz]]=1,DATOS_[[#This Row],[% anualiz]]&lt;&gt;1),"Sí","NO")</f>
        <v>NO</v>
      </c>
      <c r="BV323" s="137" t="str">
        <f aca="false">IF(AND(DATOS_[[#This Row],[% normaliz]]&lt;&gt;1,DATOS_[[#This Row],[% anualiz]]&lt;&gt;1),"Sí","NO")</f>
        <v>NO</v>
      </c>
      <c r="BW323" s="137" t="str">
        <f aca="false">+IF(DATOS_[[#This Row],[% normaliz]]*DATOS_[[#This Row],[% anualiz]]=1,"NO","Sí")</f>
        <v>Sí</v>
      </c>
      <c r="BX323" s="138" t="e">
        <f aca="false">(DATOS_[[#This Row],[S.BASE]]*(1/DATOS_[[#This Row],[% normaliz]])*(1/DATOS_[[#This Row],[% anualiz]]))*IF(DATOS_[[#This Row],[Check Equiparado]]="Sí",1,0)</f>
        <v>#DIV/0!</v>
      </c>
      <c r="BY3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3" s="138" t="e">
        <f aca="false">+DATOS_[[#This Row],[SALARIO BASE Eq]]+DATOS_[[#This Row],[Tot COMPL.SAL Eq]]</f>
        <v>#DIV/0!</v>
      </c>
      <c r="CA323" s="138" t="e">
        <f aca="false" t="array" ref="CA323:CA3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3" s="138" t="e">
        <f aca="false">+DATOS_[[#This Row],[TOTAL SALARIO Eq]]+DATOS_[[#This Row],[Tot Extrasalarial Eq]]</f>
        <v>#DIV/0!</v>
      </c>
      <c r="CC323" s="139" t="n">
        <f aca="false">DATOS_[[#This Row],[S.BASE]]</f>
        <v>0</v>
      </c>
      <c r="CD323" s="139" t="n">
        <f aca="false">+SUM(DATOS_[[#This Row],[Conc.Sal.01]:[Conc.Sal.30]])</f>
        <v>0</v>
      </c>
      <c r="CE323" s="139" t="n">
        <f aca="false">+DATOS_[[#This Row],[SALARIO BASE Ef]]+DATOS_[[#This Row],[Tot COMPL.SAL Ef]]</f>
        <v>0</v>
      </c>
      <c r="CF323" s="139" t="n">
        <f aca="false">+SUM(DATOS_[[#This Row],[C.Extra.01]:[C.Extra.05]])</f>
        <v>0</v>
      </c>
      <c r="CG323" s="139" t="n">
        <f aca="false">+DATOS_[[#This Row],[TOTAL SALARIO Ef]]+DATOS_[[#This Row],[Tot Extrasalarial Ef]]</f>
        <v>0</v>
      </c>
      <c r="CH323" s="140" t="n">
        <f aca="false">MIN(IF(DATOS_[[#This Row],[Fecha Fin Contrato]]="",$D$4,DATOS_[[#This Row],[Fecha Fin Contrato]]),$D$4)-MAX(DATOS_[[#This Row],[Fecha de Contratación]],$D$3)+1</f>
        <v>1</v>
      </c>
      <c r="CI323" s="141" t="str">
        <f aca="false">IF(COUNTIFS(DATOS_[id],DATOS_[[#This Row],[id]])&gt;1,DATOS_[[#This Row],[id]],"")</f>
        <v/>
      </c>
      <c r="CJ323" s="141" t="n">
        <f aca="false">(Inicio!$G$10-DATOS_[[#This Row],[Fecha Nacimiento]])/365.25</f>
        <v>0</v>
      </c>
      <c r="CK323" s="141" t="n">
        <f aca="false">(Inicio!$G$10-DATOS_[[#This Row],[Fecha de Antigüedad]])/365.25</f>
        <v>0</v>
      </c>
      <c r="CL323" s="141" t="e">
        <f aca="false">+VLOOKUP(DATOS_[[#This Row],[Clave de Contrato]],TblTiposContrato13[],3,0)</f>
        <v>#N/A</v>
      </c>
      <c r="CM323" s="141" t="e">
        <f aca="false">+VLOOKUP(DATOS_[[#This Row],[Clave de Contrato]],TblTiposContrato13[],4,0)</f>
        <v>#N/A</v>
      </c>
      <c r="CN323" s="141" t="str">
        <f aca="false">VLOOKUP(DATOS_[[#This Row],[Edad]],CONTRATOS!TblRngEdad,2,1)</f>
        <v>20  o menos</v>
      </c>
      <c r="CO323" s="141" t="str">
        <f aca="false">VLOOKUP(DATOS_[[#This Row],[Antigüedad]],TblRngAntg14[],2,1)</f>
        <v>0 a 1 años</v>
      </c>
    </row>
    <row r="324" customFormat="false" ht="13.8" hidden="false" customHeight="false" outlineLevel="0" collapsed="false">
      <c r="D324" s="128"/>
      <c r="E324" s="129"/>
      <c r="F324" s="129"/>
      <c r="G324" s="129"/>
      <c r="H324" s="130"/>
      <c r="I324" s="131"/>
      <c r="J324" s="128"/>
      <c r="K324" s="132"/>
      <c r="L324" s="132"/>
      <c r="M324" s="133"/>
      <c r="N324" s="133"/>
      <c r="O324" s="133"/>
      <c r="P324" s="129"/>
      <c r="Z324" s="75"/>
      <c r="AA324" s="76"/>
      <c r="AB324" s="76"/>
      <c r="AC324" s="129"/>
      <c r="AD324" s="134"/>
      <c r="AE324" s="134"/>
      <c r="AF324" s="134"/>
      <c r="AG324" s="134"/>
      <c r="AH324" s="134"/>
      <c r="AI324" s="134"/>
      <c r="AJ324" s="134"/>
      <c r="AK324" s="134"/>
      <c r="AL324" s="134"/>
      <c r="AM324" s="134"/>
      <c r="AN324" s="134"/>
      <c r="AO324" s="134"/>
      <c r="AP324" s="134"/>
      <c r="AQ324" s="134"/>
      <c r="AR324" s="134"/>
      <c r="AS324" s="134"/>
      <c r="AT324" s="134"/>
      <c r="AU324" s="134"/>
      <c r="AV324" s="134"/>
      <c r="AW324" s="134"/>
      <c r="AX324" s="134"/>
      <c r="AY324" s="134"/>
      <c r="AZ324" s="134"/>
      <c r="BA324" s="134"/>
      <c r="BB324" s="134"/>
      <c r="BC324" s="134"/>
      <c r="BD324" s="134"/>
      <c r="BE324" s="134"/>
      <c r="BF324" s="134"/>
      <c r="BG324" s="134"/>
      <c r="BH324" s="134"/>
      <c r="BI324" s="134"/>
      <c r="BJ324" s="134"/>
      <c r="BK324" s="134"/>
      <c r="BL324" s="134"/>
      <c r="BM324" s="135"/>
      <c r="BN324" s="136" t="n">
        <f aca="false">+MAX($D$3,DATOS_[[#This Row],[Fecha Inicio Sit. Contract.]])</f>
        <v>0</v>
      </c>
      <c r="BO324" s="136" t="n">
        <f aca="false">+MIN($D$4,DATOS_[[#This Row],[Fecha Fin Sit. Contract.]])</f>
        <v>0</v>
      </c>
      <c r="BP324" s="137" t="n">
        <f aca="false">+DATOS_[[#This Row],[% de jornada]]*IF(DATOS_[[#This Row],[% jornada reducida]]="",1,DATOS_[[#This Row],[% jornada reducida]])</f>
        <v>0</v>
      </c>
      <c r="BQ324" s="137" t="n">
        <f aca="false">+(DATOS_[[#This Row],[F.fin.cal]]-DATOS_[[#This Row],[F.ini.cal]]+1)/($D$4-$D$3+1)</f>
        <v>1</v>
      </c>
      <c r="BR324" s="137" t="str">
        <f aca="false">IF(OR(AND(DATOS_[[#This Row],[Fecha Fin Contrato]]&lt;$D$3,DATOS_[[#This Row],[Fecha Fin Contrato]]&lt;&gt;""),DATOS_[[#This Row],[Fecha de Contratación]]&gt;$D$4),"Fuera","Dentro")</f>
        <v>Dentro</v>
      </c>
      <c r="BS324" s="137" t="str">
        <f aca="false" t="array" ref="BS324:BS324">IF(MAX(IF(DATOS_[id]=DATOS_[[#This Row],[id]],DATOS_[F.fin.cal]))=DATOS_[[#This Row],[F.fin.cal]],"Sí","NO")</f>
        <v>Sí</v>
      </c>
      <c r="BT324" s="137" t="str">
        <f aca="false">IF(AND(DATOS_[[#This Row],[% normaliz]]&lt;&gt;1,DATOS_[[#This Row],[% anualiz]]=1),"Sí","NO")</f>
        <v>Sí</v>
      </c>
      <c r="BU324" s="137" t="str">
        <f aca="false">IF(AND(DATOS_[[#This Row],[% normaliz]]=1,DATOS_[[#This Row],[% anualiz]]&lt;&gt;1),"Sí","NO")</f>
        <v>NO</v>
      </c>
      <c r="BV324" s="137" t="str">
        <f aca="false">IF(AND(DATOS_[[#This Row],[% normaliz]]&lt;&gt;1,DATOS_[[#This Row],[% anualiz]]&lt;&gt;1),"Sí","NO")</f>
        <v>NO</v>
      </c>
      <c r="BW324" s="137" t="str">
        <f aca="false">+IF(DATOS_[[#This Row],[% normaliz]]*DATOS_[[#This Row],[% anualiz]]=1,"NO","Sí")</f>
        <v>Sí</v>
      </c>
      <c r="BX324" s="138" t="e">
        <f aca="false">(DATOS_[[#This Row],[S.BASE]]*(1/DATOS_[[#This Row],[% normaliz]])*(1/DATOS_[[#This Row],[% anualiz]]))*IF(DATOS_[[#This Row],[Check Equiparado]]="Sí",1,0)</f>
        <v>#DIV/0!</v>
      </c>
      <c r="BY3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4" s="138" t="e">
        <f aca="false">+DATOS_[[#This Row],[SALARIO BASE Eq]]+DATOS_[[#This Row],[Tot COMPL.SAL Eq]]</f>
        <v>#DIV/0!</v>
      </c>
      <c r="CA324" s="138" t="e">
        <f aca="false" t="array" ref="CA324:CA3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4" s="138" t="e">
        <f aca="false">+DATOS_[[#This Row],[TOTAL SALARIO Eq]]+DATOS_[[#This Row],[Tot Extrasalarial Eq]]</f>
        <v>#DIV/0!</v>
      </c>
      <c r="CC324" s="139" t="n">
        <f aca="false">DATOS_[[#This Row],[S.BASE]]</f>
        <v>0</v>
      </c>
      <c r="CD324" s="139" t="n">
        <f aca="false">+SUM(DATOS_[[#This Row],[Conc.Sal.01]:[Conc.Sal.30]])</f>
        <v>0</v>
      </c>
      <c r="CE324" s="139" t="n">
        <f aca="false">+DATOS_[[#This Row],[SALARIO BASE Ef]]+DATOS_[[#This Row],[Tot COMPL.SAL Ef]]</f>
        <v>0</v>
      </c>
      <c r="CF324" s="139" t="n">
        <f aca="false">+SUM(DATOS_[[#This Row],[C.Extra.01]:[C.Extra.05]])</f>
        <v>0</v>
      </c>
      <c r="CG324" s="139" t="n">
        <f aca="false">+DATOS_[[#This Row],[TOTAL SALARIO Ef]]+DATOS_[[#This Row],[Tot Extrasalarial Ef]]</f>
        <v>0</v>
      </c>
      <c r="CH324" s="140" t="n">
        <f aca="false">MIN(IF(DATOS_[[#This Row],[Fecha Fin Contrato]]="",$D$4,DATOS_[[#This Row],[Fecha Fin Contrato]]),$D$4)-MAX(DATOS_[[#This Row],[Fecha de Contratación]],$D$3)+1</f>
        <v>1</v>
      </c>
      <c r="CI324" s="141" t="str">
        <f aca="false">IF(COUNTIFS(DATOS_[id],DATOS_[[#This Row],[id]])&gt;1,DATOS_[[#This Row],[id]],"")</f>
        <v/>
      </c>
      <c r="CJ324" s="141" t="n">
        <f aca="false">(Inicio!$G$10-DATOS_[[#This Row],[Fecha Nacimiento]])/365.25</f>
        <v>0</v>
      </c>
      <c r="CK324" s="141" t="n">
        <f aca="false">(Inicio!$G$10-DATOS_[[#This Row],[Fecha de Antigüedad]])/365.25</f>
        <v>0</v>
      </c>
      <c r="CL324" s="141" t="e">
        <f aca="false">+VLOOKUP(DATOS_[[#This Row],[Clave de Contrato]],TblTiposContrato13[],3,0)</f>
        <v>#N/A</v>
      </c>
      <c r="CM324" s="141" t="e">
        <f aca="false">+VLOOKUP(DATOS_[[#This Row],[Clave de Contrato]],TblTiposContrato13[],4,0)</f>
        <v>#N/A</v>
      </c>
      <c r="CN324" s="141" t="str">
        <f aca="false">VLOOKUP(DATOS_[[#This Row],[Edad]],CONTRATOS!TblRngEdad,2,1)</f>
        <v>20  o menos</v>
      </c>
      <c r="CO324" s="141" t="str">
        <f aca="false">VLOOKUP(DATOS_[[#This Row],[Antigüedad]],TblRngAntg14[],2,1)</f>
        <v>0 a 1 años</v>
      </c>
    </row>
    <row r="325" customFormat="false" ht="13.8" hidden="false" customHeight="false" outlineLevel="0" collapsed="false">
      <c r="D325" s="128"/>
      <c r="E325" s="129"/>
      <c r="F325" s="129"/>
      <c r="G325" s="129"/>
      <c r="H325" s="130"/>
      <c r="I325" s="131"/>
      <c r="J325" s="128"/>
      <c r="K325" s="132"/>
      <c r="L325" s="132"/>
      <c r="M325" s="133"/>
      <c r="N325" s="133"/>
      <c r="O325" s="133"/>
      <c r="P325" s="129"/>
      <c r="Z325" s="75"/>
      <c r="AA325" s="76"/>
      <c r="AB325" s="76"/>
      <c r="AC325" s="129"/>
      <c r="AD325" s="134"/>
      <c r="AE325" s="134"/>
      <c r="AF325" s="134"/>
      <c r="AG325" s="134"/>
      <c r="AH325" s="134"/>
      <c r="AI325" s="134"/>
      <c r="AJ325" s="134"/>
      <c r="AK325" s="134"/>
      <c r="AL325" s="134"/>
      <c r="AM325" s="134"/>
      <c r="AN325" s="134"/>
      <c r="AO325" s="134"/>
      <c r="AP325" s="134"/>
      <c r="AQ325" s="134"/>
      <c r="AR325" s="134"/>
      <c r="AS325" s="134"/>
      <c r="AT325" s="134"/>
      <c r="AU325" s="134"/>
      <c r="AV325" s="134"/>
      <c r="AW325" s="134"/>
      <c r="AX325" s="134"/>
      <c r="AY325" s="134"/>
      <c r="AZ325" s="134"/>
      <c r="BA325" s="134"/>
      <c r="BB325" s="134"/>
      <c r="BC325" s="134"/>
      <c r="BD325" s="134"/>
      <c r="BE325" s="134"/>
      <c r="BF325" s="134"/>
      <c r="BG325" s="134"/>
      <c r="BH325" s="134"/>
      <c r="BI325" s="134"/>
      <c r="BJ325" s="134"/>
      <c r="BK325" s="134"/>
      <c r="BL325" s="134"/>
      <c r="BM325" s="135"/>
      <c r="BN325" s="136" t="n">
        <f aca="false">+MAX($D$3,DATOS_[[#This Row],[Fecha Inicio Sit. Contract.]])</f>
        <v>0</v>
      </c>
      <c r="BO325" s="136" t="n">
        <f aca="false">+MIN($D$4,DATOS_[[#This Row],[Fecha Fin Sit. Contract.]])</f>
        <v>0</v>
      </c>
      <c r="BP325" s="137" t="n">
        <f aca="false">+DATOS_[[#This Row],[% de jornada]]*IF(DATOS_[[#This Row],[% jornada reducida]]="",1,DATOS_[[#This Row],[% jornada reducida]])</f>
        <v>0</v>
      </c>
      <c r="BQ325" s="137" t="n">
        <f aca="false">+(DATOS_[[#This Row],[F.fin.cal]]-DATOS_[[#This Row],[F.ini.cal]]+1)/($D$4-$D$3+1)</f>
        <v>1</v>
      </c>
      <c r="BR325" s="137" t="str">
        <f aca="false">IF(OR(AND(DATOS_[[#This Row],[Fecha Fin Contrato]]&lt;$D$3,DATOS_[[#This Row],[Fecha Fin Contrato]]&lt;&gt;""),DATOS_[[#This Row],[Fecha de Contratación]]&gt;$D$4),"Fuera","Dentro")</f>
        <v>Dentro</v>
      </c>
      <c r="BS325" s="137" t="str">
        <f aca="false" t="array" ref="BS325:BS325">IF(MAX(IF(DATOS_[id]=DATOS_[[#This Row],[id]],DATOS_[F.fin.cal]))=DATOS_[[#This Row],[F.fin.cal]],"Sí","NO")</f>
        <v>Sí</v>
      </c>
      <c r="BT325" s="137" t="str">
        <f aca="false">IF(AND(DATOS_[[#This Row],[% normaliz]]&lt;&gt;1,DATOS_[[#This Row],[% anualiz]]=1),"Sí","NO")</f>
        <v>Sí</v>
      </c>
      <c r="BU325" s="137" t="str">
        <f aca="false">IF(AND(DATOS_[[#This Row],[% normaliz]]=1,DATOS_[[#This Row],[% anualiz]]&lt;&gt;1),"Sí","NO")</f>
        <v>NO</v>
      </c>
      <c r="BV325" s="137" t="str">
        <f aca="false">IF(AND(DATOS_[[#This Row],[% normaliz]]&lt;&gt;1,DATOS_[[#This Row],[% anualiz]]&lt;&gt;1),"Sí","NO")</f>
        <v>NO</v>
      </c>
      <c r="BW325" s="137" t="str">
        <f aca="false">+IF(DATOS_[[#This Row],[% normaliz]]*DATOS_[[#This Row],[% anualiz]]=1,"NO","Sí")</f>
        <v>Sí</v>
      </c>
      <c r="BX325" s="138" t="e">
        <f aca="false">(DATOS_[[#This Row],[S.BASE]]*(1/DATOS_[[#This Row],[% normaliz]])*(1/DATOS_[[#This Row],[% anualiz]]))*IF(DATOS_[[#This Row],[Check Equiparado]]="Sí",1,0)</f>
        <v>#DIV/0!</v>
      </c>
      <c r="BY3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5" s="138" t="e">
        <f aca="false">+DATOS_[[#This Row],[SALARIO BASE Eq]]+DATOS_[[#This Row],[Tot COMPL.SAL Eq]]</f>
        <v>#DIV/0!</v>
      </c>
      <c r="CA325" s="138" t="e">
        <f aca="false" t="array" ref="CA325:CA3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5" s="138" t="e">
        <f aca="false">+DATOS_[[#This Row],[TOTAL SALARIO Eq]]+DATOS_[[#This Row],[Tot Extrasalarial Eq]]</f>
        <v>#DIV/0!</v>
      </c>
      <c r="CC325" s="139" t="n">
        <f aca="false">DATOS_[[#This Row],[S.BASE]]</f>
        <v>0</v>
      </c>
      <c r="CD325" s="139" t="n">
        <f aca="false">+SUM(DATOS_[[#This Row],[Conc.Sal.01]:[Conc.Sal.30]])</f>
        <v>0</v>
      </c>
      <c r="CE325" s="139" t="n">
        <f aca="false">+DATOS_[[#This Row],[SALARIO BASE Ef]]+DATOS_[[#This Row],[Tot COMPL.SAL Ef]]</f>
        <v>0</v>
      </c>
      <c r="CF325" s="139" t="n">
        <f aca="false">+SUM(DATOS_[[#This Row],[C.Extra.01]:[C.Extra.05]])</f>
        <v>0</v>
      </c>
      <c r="CG325" s="139" t="n">
        <f aca="false">+DATOS_[[#This Row],[TOTAL SALARIO Ef]]+DATOS_[[#This Row],[Tot Extrasalarial Ef]]</f>
        <v>0</v>
      </c>
      <c r="CH325" s="140" t="n">
        <f aca="false">MIN(IF(DATOS_[[#This Row],[Fecha Fin Contrato]]="",$D$4,DATOS_[[#This Row],[Fecha Fin Contrato]]),$D$4)-MAX(DATOS_[[#This Row],[Fecha de Contratación]],$D$3)+1</f>
        <v>1</v>
      </c>
      <c r="CI325" s="141" t="str">
        <f aca="false">IF(COUNTIFS(DATOS_[id],DATOS_[[#This Row],[id]])&gt;1,DATOS_[[#This Row],[id]],"")</f>
        <v/>
      </c>
      <c r="CJ325" s="141" t="n">
        <f aca="false">(Inicio!$G$10-DATOS_[[#This Row],[Fecha Nacimiento]])/365.25</f>
        <v>0</v>
      </c>
      <c r="CK325" s="141" t="n">
        <f aca="false">(Inicio!$G$10-DATOS_[[#This Row],[Fecha de Antigüedad]])/365.25</f>
        <v>0</v>
      </c>
      <c r="CL325" s="141" t="e">
        <f aca="false">+VLOOKUP(DATOS_[[#This Row],[Clave de Contrato]],TblTiposContrato13[],3,0)</f>
        <v>#N/A</v>
      </c>
      <c r="CM325" s="141" t="e">
        <f aca="false">+VLOOKUP(DATOS_[[#This Row],[Clave de Contrato]],TblTiposContrato13[],4,0)</f>
        <v>#N/A</v>
      </c>
      <c r="CN325" s="141" t="str">
        <f aca="false">VLOOKUP(DATOS_[[#This Row],[Edad]],CONTRATOS!TblRngEdad,2,1)</f>
        <v>20  o menos</v>
      </c>
      <c r="CO325" s="141" t="str">
        <f aca="false">VLOOKUP(DATOS_[[#This Row],[Antigüedad]],TblRngAntg14[],2,1)</f>
        <v>0 a 1 años</v>
      </c>
    </row>
    <row r="326" customFormat="false" ht="13.8" hidden="false" customHeight="false" outlineLevel="0" collapsed="false">
      <c r="D326" s="128"/>
      <c r="E326" s="129"/>
      <c r="F326" s="129"/>
      <c r="G326" s="129"/>
      <c r="H326" s="130"/>
      <c r="I326" s="131"/>
      <c r="J326" s="128"/>
      <c r="K326" s="132"/>
      <c r="L326" s="132"/>
      <c r="M326" s="133"/>
      <c r="N326" s="133"/>
      <c r="O326" s="133"/>
      <c r="P326" s="129"/>
      <c r="Z326" s="75"/>
      <c r="AA326" s="76"/>
      <c r="AB326" s="76"/>
      <c r="AC326" s="129"/>
      <c r="AD326" s="134"/>
      <c r="AE326" s="134"/>
      <c r="AF326" s="134"/>
      <c r="AG326" s="134"/>
      <c r="AH326" s="134"/>
      <c r="AI326" s="134"/>
      <c r="AJ326" s="134"/>
      <c r="AK326" s="134"/>
      <c r="AL326" s="134"/>
      <c r="AM326" s="134"/>
      <c r="AN326" s="134"/>
      <c r="AO326" s="134"/>
      <c r="AP326" s="134"/>
      <c r="AQ326" s="134"/>
      <c r="AR326" s="134"/>
      <c r="AS326" s="134"/>
      <c r="AT326" s="134"/>
      <c r="AU326" s="134"/>
      <c r="AV326" s="134"/>
      <c r="AW326" s="134"/>
      <c r="AX326" s="134"/>
      <c r="AY326" s="134"/>
      <c r="AZ326" s="134"/>
      <c r="BA326" s="134"/>
      <c r="BB326" s="134"/>
      <c r="BC326" s="134"/>
      <c r="BD326" s="134"/>
      <c r="BE326" s="134"/>
      <c r="BF326" s="134"/>
      <c r="BG326" s="134"/>
      <c r="BH326" s="134"/>
      <c r="BI326" s="134"/>
      <c r="BJ326" s="134"/>
      <c r="BK326" s="134"/>
      <c r="BL326" s="134"/>
      <c r="BM326" s="135"/>
      <c r="BN326" s="136" t="n">
        <f aca="false">+MAX($D$3,DATOS_[[#This Row],[Fecha Inicio Sit. Contract.]])</f>
        <v>0</v>
      </c>
      <c r="BO326" s="136" t="n">
        <f aca="false">+MIN($D$4,DATOS_[[#This Row],[Fecha Fin Sit. Contract.]])</f>
        <v>0</v>
      </c>
      <c r="BP326" s="137" t="n">
        <f aca="false">+DATOS_[[#This Row],[% de jornada]]*IF(DATOS_[[#This Row],[% jornada reducida]]="",1,DATOS_[[#This Row],[% jornada reducida]])</f>
        <v>0</v>
      </c>
      <c r="BQ326" s="137" t="n">
        <f aca="false">+(DATOS_[[#This Row],[F.fin.cal]]-DATOS_[[#This Row],[F.ini.cal]]+1)/($D$4-$D$3+1)</f>
        <v>1</v>
      </c>
      <c r="BR326" s="137" t="str">
        <f aca="false">IF(OR(AND(DATOS_[[#This Row],[Fecha Fin Contrato]]&lt;$D$3,DATOS_[[#This Row],[Fecha Fin Contrato]]&lt;&gt;""),DATOS_[[#This Row],[Fecha de Contratación]]&gt;$D$4),"Fuera","Dentro")</f>
        <v>Dentro</v>
      </c>
      <c r="BS326" s="137" t="str">
        <f aca="false" t="array" ref="BS326:BS326">IF(MAX(IF(DATOS_[id]=DATOS_[[#This Row],[id]],DATOS_[F.fin.cal]))=DATOS_[[#This Row],[F.fin.cal]],"Sí","NO")</f>
        <v>Sí</v>
      </c>
      <c r="BT326" s="137" t="str">
        <f aca="false">IF(AND(DATOS_[[#This Row],[% normaliz]]&lt;&gt;1,DATOS_[[#This Row],[% anualiz]]=1),"Sí","NO")</f>
        <v>Sí</v>
      </c>
      <c r="BU326" s="137" t="str">
        <f aca="false">IF(AND(DATOS_[[#This Row],[% normaliz]]=1,DATOS_[[#This Row],[% anualiz]]&lt;&gt;1),"Sí","NO")</f>
        <v>NO</v>
      </c>
      <c r="BV326" s="137" t="str">
        <f aca="false">IF(AND(DATOS_[[#This Row],[% normaliz]]&lt;&gt;1,DATOS_[[#This Row],[% anualiz]]&lt;&gt;1),"Sí","NO")</f>
        <v>NO</v>
      </c>
      <c r="BW326" s="137" t="str">
        <f aca="false">+IF(DATOS_[[#This Row],[% normaliz]]*DATOS_[[#This Row],[% anualiz]]=1,"NO","Sí")</f>
        <v>Sí</v>
      </c>
      <c r="BX326" s="138" t="e">
        <f aca="false">(DATOS_[[#This Row],[S.BASE]]*(1/DATOS_[[#This Row],[% normaliz]])*(1/DATOS_[[#This Row],[% anualiz]]))*IF(DATOS_[[#This Row],[Check Equiparado]]="Sí",1,0)</f>
        <v>#DIV/0!</v>
      </c>
      <c r="BY3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6" s="138" t="e">
        <f aca="false">+DATOS_[[#This Row],[SALARIO BASE Eq]]+DATOS_[[#This Row],[Tot COMPL.SAL Eq]]</f>
        <v>#DIV/0!</v>
      </c>
      <c r="CA326" s="138" t="e">
        <f aca="false" t="array" ref="CA326:CA3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6" s="138" t="e">
        <f aca="false">+DATOS_[[#This Row],[TOTAL SALARIO Eq]]+DATOS_[[#This Row],[Tot Extrasalarial Eq]]</f>
        <v>#DIV/0!</v>
      </c>
      <c r="CC326" s="139" t="n">
        <f aca="false">DATOS_[[#This Row],[S.BASE]]</f>
        <v>0</v>
      </c>
      <c r="CD326" s="139" t="n">
        <f aca="false">+SUM(DATOS_[[#This Row],[Conc.Sal.01]:[Conc.Sal.30]])</f>
        <v>0</v>
      </c>
      <c r="CE326" s="139" t="n">
        <f aca="false">+DATOS_[[#This Row],[SALARIO BASE Ef]]+DATOS_[[#This Row],[Tot COMPL.SAL Ef]]</f>
        <v>0</v>
      </c>
      <c r="CF326" s="139" t="n">
        <f aca="false">+SUM(DATOS_[[#This Row],[C.Extra.01]:[C.Extra.05]])</f>
        <v>0</v>
      </c>
      <c r="CG326" s="139" t="n">
        <f aca="false">+DATOS_[[#This Row],[TOTAL SALARIO Ef]]+DATOS_[[#This Row],[Tot Extrasalarial Ef]]</f>
        <v>0</v>
      </c>
      <c r="CH326" s="140" t="n">
        <f aca="false">MIN(IF(DATOS_[[#This Row],[Fecha Fin Contrato]]="",$D$4,DATOS_[[#This Row],[Fecha Fin Contrato]]),$D$4)-MAX(DATOS_[[#This Row],[Fecha de Contratación]],$D$3)+1</f>
        <v>1</v>
      </c>
      <c r="CI326" s="141" t="str">
        <f aca="false">IF(COUNTIFS(DATOS_[id],DATOS_[[#This Row],[id]])&gt;1,DATOS_[[#This Row],[id]],"")</f>
        <v/>
      </c>
      <c r="CJ326" s="141" t="n">
        <f aca="false">(Inicio!$G$10-DATOS_[[#This Row],[Fecha Nacimiento]])/365.25</f>
        <v>0</v>
      </c>
      <c r="CK326" s="141" t="n">
        <f aca="false">(Inicio!$G$10-DATOS_[[#This Row],[Fecha de Antigüedad]])/365.25</f>
        <v>0</v>
      </c>
      <c r="CL326" s="141" t="e">
        <f aca="false">+VLOOKUP(DATOS_[[#This Row],[Clave de Contrato]],TblTiposContrato13[],3,0)</f>
        <v>#N/A</v>
      </c>
      <c r="CM326" s="141" t="e">
        <f aca="false">+VLOOKUP(DATOS_[[#This Row],[Clave de Contrato]],TblTiposContrato13[],4,0)</f>
        <v>#N/A</v>
      </c>
      <c r="CN326" s="141" t="str">
        <f aca="false">VLOOKUP(DATOS_[[#This Row],[Edad]],CONTRATOS!TblRngEdad,2,1)</f>
        <v>20  o menos</v>
      </c>
      <c r="CO326" s="141" t="str">
        <f aca="false">VLOOKUP(DATOS_[[#This Row],[Antigüedad]],TblRngAntg14[],2,1)</f>
        <v>0 a 1 años</v>
      </c>
    </row>
    <row r="327" customFormat="false" ht="13.8" hidden="false" customHeight="false" outlineLevel="0" collapsed="false">
      <c r="D327" s="128"/>
      <c r="E327" s="129"/>
      <c r="F327" s="129"/>
      <c r="G327" s="129"/>
      <c r="H327" s="130"/>
      <c r="I327" s="131"/>
      <c r="J327" s="128"/>
      <c r="K327" s="132"/>
      <c r="L327" s="132"/>
      <c r="M327" s="133"/>
      <c r="N327" s="133"/>
      <c r="O327" s="133"/>
      <c r="P327" s="129"/>
      <c r="Z327" s="75"/>
      <c r="AA327" s="76"/>
      <c r="AB327" s="76"/>
      <c r="AC327" s="129"/>
      <c r="AD327" s="134"/>
      <c r="AE327" s="134"/>
      <c r="AF327" s="134"/>
      <c r="AG327" s="134"/>
      <c r="AH327" s="134"/>
      <c r="AI327" s="134"/>
      <c r="AJ327" s="134"/>
      <c r="AK327" s="134"/>
      <c r="AL327" s="134"/>
      <c r="AM327" s="134"/>
      <c r="AN327" s="134"/>
      <c r="AO327" s="134"/>
      <c r="AP327" s="134"/>
      <c r="AQ327" s="134"/>
      <c r="AR327" s="134"/>
      <c r="AS327" s="134"/>
      <c r="AT327" s="134"/>
      <c r="AU327" s="134"/>
      <c r="AV327" s="134"/>
      <c r="AW327" s="134"/>
      <c r="AX327" s="134"/>
      <c r="AY327" s="134"/>
      <c r="AZ327" s="134"/>
      <c r="BA327" s="134"/>
      <c r="BB327" s="134"/>
      <c r="BC327" s="134"/>
      <c r="BD327" s="134"/>
      <c r="BE327" s="134"/>
      <c r="BF327" s="134"/>
      <c r="BG327" s="134"/>
      <c r="BH327" s="134"/>
      <c r="BI327" s="134"/>
      <c r="BJ327" s="134"/>
      <c r="BK327" s="134"/>
      <c r="BL327" s="134"/>
      <c r="BM327" s="135"/>
      <c r="BN327" s="136" t="n">
        <f aca="false">+MAX($D$3,DATOS_[[#This Row],[Fecha Inicio Sit. Contract.]])</f>
        <v>0</v>
      </c>
      <c r="BO327" s="136" t="n">
        <f aca="false">+MIN($D$4,DATOS_[[#This Row],[Fecha Fin Sit. Contract.]])</f>
        <v>0</v>
      </c>
      <c r="BP327" s="137" t="n">
        <f aca="false">+DATOS_[[#This Row],[% de jornada]]*IF(DATOS_[[#This Row],[% jornada reducida]]="",1,DATOS_[[#This Row],[% jornada reducida]])</f>
        <v>0</v>
      </c>
      <c r="BQ327" s="137" t="n">
        <f aca="false">+(DATOS_[[#This Row],[F.fin.cal]]-DATOS_[[#This Row],[F.ini.cal]]+1)/($D$4-$D$3+1)</f>
        <v>1</v>
      </c>
      <c r="BR327" s="137" t="str">
        <f aca="false">IF(OR(AND(DATOS_[[#This Row],[Fecha Fin Contrato]]&lt;$D$3,DATOS_[[#This Row],[Fecha Fin Contrato]]&lt;&gt;""),DATOS_[[#This Row],[Fecha de Contratación]]&gt;$D$4),"Fuera","Dentro")</f>
        <v>Dentro</v>
      </c>
      <c r="BS327" s="137" t="str">
        <f aca="false" t="array" ref="BS327:BS327">IF(MAX(IF(DATOS_[id]=DATOS_[[#This Row],[id]],DATOS_[F.fin.cal]))=DATOS_[[#This Row],[F.fin.cal]],"Sí","NO")</f>
        <v>Sí</v>
      </c>
      <c r="BT327" s="137" t="str">
        <f aca="false">IF(AND(DATOS_[[#This Row],[% normaliz]]&lt;&gt;1,DATOS_[[#This Row],[% anualiz]]=1),"Sí","NO")</f>
        <v>Sí</v>
      </c>
      <c r="BU327" s="137" t="str">
        <f aca="false">IF(AND(DATOS_[[#This Row],[% normaliz]]=1,DATOS_[[#This Row],[% anualiz]]&lt;&gt;1),"Sí","NO")</f>
        <v>NO</v>
      </c>
      <c r="BV327" s="137" t="str">
        <f aca="false">IF(AND(DATOS_[[#This Row],[% normaliz]]&lt;&gt;1,DATOS_[[#This Row],[% anualiz]]&lt;&gt;1),"Sí","NO")</f>
        <v>NO</v>
      </c>
      <c r="BW327" s="137" t="str">
        <f aca="false">+IF(DATOS_[[#This Row],[% normaliz]]*DATOS_[[#This Row],[% anualiz]]=1,"NO","Sí")</f>
        <v>Sí</v>
      </c>
      <c r="BX327" s="138" t="e">
        <f aca="false">(DATOS_[[#This Row],[S.BASE]]*(1/DATOS_[[#This Row],[% normaliz]])*(1/DATOS_[[#This Row],[% anualiz]]))*IF(DATOS_[[#This Row],[Check Equiparado]]="Sí",1,0)</f>
        <v>#DIV/0!</v>
      </c>
      <c r="BY3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7" s="138" t="e">
        <f aca="false">+DATOS_[[#This Row],[SALARIO BASE Eq]]+DATOS_[[#This Row],[Tot COMPL.SAL Eq]]</f>
        <v>#DIV/0!</v>
      </c>
      <c r="CA327" s="138" t="e">
        <f aca="false" t="array" ref="CA327:CA3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7" s="138" t="e">
        <f aca="false">+DATOS_[[#This Row],[TOTAL SALARIO Eq]]+DATOS_[[#This Row],[Tot Extrasalarial Eq]]</f>
        <v>#DIV/0!</v>
      </c>
      <c r="CC327" s="139" t="n">
        <f aca="false">DATOS_[[#This Row],[S.BASE]]</f>
        <v>0</v>
      </c>
      <c r="CD327" s="139" t="n">
        <f aca="false">+SUM(DATOS_[[#This Row],[Conc.Sal.01]:[Conc.Sal.30]])</f>
        <v>0</v>
      </c>
      <c r="CE327" s="139" t="n">
        <f aca="false">+DATOS_[[#This Row],[SALARIO BASE Ef]]+DATOS_[[#This Row],[Tot COMPL.SAL Ef]]</f>
        <v>0</v>
      </c>
      <c r="CF327" s="139" t="n">
        <f aca="false">+SUM(DATOS_[[#This Row],[C.Extra.01]:[C.Extra.05]])</f>
        <v>0</v>
      </c>
      <c r="CG327" s="139" t="n">
        <f aca="false">+DATOS_[[#This Row],[TOTAL SALARIO Ef]]+DATOS_[[#This Row],[Tot Extrasalarial Ef]]</f>
        <v>0</v>
      </c>
      <c r="CH327" s="140" t="n">
        <f aca="false">MIN(IF(DATOS_[[#This Row],[Fecha Fin Contrato]]="",$D$4,DATOS_[[#This Row],[Fecha Fin Contrato]]),$D$4)-MAX(DATOS_[[#This Row],[Fecha de Contratación]],$D$3)+1</f>
        <v>1</v>
      </c>
      <c r="CI327" s="141" t="str">
        <f aca="false">IF(COUNTIFS(DATOS_[id],DATOS_[[#This Row],[id]])&gt;1,DATOS_[[#This Row],[id]],"")</f>
        <v/>
      </c>
      <c r="CJ327" s="141" t="n">
        <f aca="false">(Inicio!$G$10-DATOS_[[#This Row],[Fecha Nacimiento]])/365.25</f>
        <v>0</v>
      </c>
      <c r="CK327" s="141" t="n">
        <f aca="false">(Inicio!$G$10-DATOS_[[#This Row],[Fecha de Antigüedad]])/365.25</f>
        <v>0</v>
      </c>
      <c r="CL327" s="141" t="e">
        <f aca="false">+VLOOKUP(DATOS_[[#This Row],[Clave de Contrato]],TblTiposContrato13[],3,0)</f>
        <v>#N/A</v>
      </c>
      <c r="CM327" s="141" t="e">
        <f aca="false">+VLOOKUP(DATOS_[[#This Row],[Clave de Contrato]],TblTiposContrato13[],4,0)</f>
        <v>#N/A</v>
      </c>
      <c r="CN327" s="141" t="str">
        <f aca="false">VLOOKUP(DATOS_[[#This Row],[Edad]],CONTRATOS!TblRngEdad,2,1)</f>
        <v>20  o menos</v>
      </c>
      <c r="CO327" s="141" t="str">
        <f aca="false">VLOOKUP(DATOS_[[#This Row],[Antigüedad]],TblRngAntg14[],2,1)</f>
        <v>0 a 1 años</v>
      </c>
    </row>
    <row r="328" customFormat="false" ht="13.8" hidden="false" customHeight="false" outlineLevel="0" collapsed="false">
      <c r="D328" s="128"/>
      <c r="E328" s="129"/>
      <c r="F328" s="129"/>
      <c r="G328" s="129"/>
      <c r="H328" s="130"/>
      <c r="I328" s="131"/>
      <c r="J328" s="128"/>
      <c r="K328" s="132"/>
      <c r="L328" s="132"/>
      <c r="M328" s="133"/>
      <c r="N328" s="133"/>
      <c r="O328" s="133"/>
      <c r="P328" s="129"/>
      <c r="Z328" s="75"/>
      <c r="AA328" s="76"/>
      <c r="AB328" s="76"/>
      <c r="AC328" s="129"/>
      <c r="AD328" s="134"/>
      <c r="AE328" s="134"/>
      <c r="AF328" s="134"/>
      <c r="AG328" s="134"/>
      <c r="AH328" s="134"/>
      <c r="AI328" s="134"/>
      <c r="AJ328" s="134"/>
      <c r="AK328" s="134"/>
      <c r="AL328" s="134"/>
      <c r="AM328" s="134"/>
      <c r="AN328" s="134"/>
      <c r="AO328" s="134"/>
      <c r="AP328" s="134"/>
      <c r="AQ328" s="134"/>
      <c r="AR328" s="134"/>
      <c r="AS328" s="134"/>
      <c r="AT328" s="134"/>
      <c r="AU328" s="134"/>
      <c r="AV328" s="134"/>
      <c r="AW328" s="134"/>
      <c r="AX328" s="134"/>
      <c r="AY328" s="134"/>
      <c r="AZ328" s="134"/>
      <c r="BA328" s="134"/>
      <c r="BB328" s="134"/>
      <c r="BC328" s="134"/>
      <c r="BD328" s="134"/>
      <c r="BE328" s="134"/>
      <c r="BF328" s="134"/>
      <c r="BG328" s="134"/>
      <c r="BH328" s="134"/>
      <c r="BI328" s="134"/>
      <c r="BJ328" s="134"/>
      <c r="BK328" s="134"/>
      <c r="BL328" s="134"/>
      <c r="BM328" s="135"/>
      <c r="BN328" s="136" t="n">
        <f aca="false">+MAX($D$3,DATOS_[[#This Row],[Fecha Inicio Sit. Contract.]])</f>
        <v>0</v>
      </c>
      <c r="BO328" s="136" t="n">
        <f aca="false">+MIN($D$4,DATOS_[[#This Row],[Fecha Fin Sit. Contract.]])</f>
        <v>0</v>
      </c>
      <c r="BP328" s="137" t="n">
        <f aca="false">+DATOS_[[#This Row],[% de jornada]]*IF(DATOS_[[#This Row],[% jornada reducida]]="",1,DATOS_[[#This Row],[% jornada reducida]])</f>
        <v>0</v>
      </c>
      <c r="BQ328" s="137" t="n">
        <f aca="false">+(DATOS_[[#This Row],[F.fin.cal]]-DATOS_[[#This Row],[F.ini.cal]]+1)/($D$4-$D$3+1)</f>
        <v>1</v>
      </c>
      <c r="BR328" s="137" t="str">
        <f aca="false">IF(OR(AND(DATOS_[[#This Row],[Fecha Fin Contrato]]&lt;$D$3,DATOS_[[#This Row],[Fecha Fin Contrato]]&lt;&gt;""),DATOS_[[#This Row],[Fecha de Contratación]]&gt;$D$4),"Fuera","Dentro")</f>
        <v>Dentro</v>
      </c>
      <c r="BS328" s="137" t="str">
        <f aca="false" t="array" ref="BS328:BS328">IF(MAX(IF(DATOS_[id]=DATOS_[[#This Row],[id]],DATOS_[F.fin.cal]))=DATOS_[[#This Row],[F.fin.cal]],"Sí","NO")</f>
        <v>Sí</v>
      </c>
      <c r="BT328" s="137" t="str">
        <f aca="false">IF(AND(DATOS_[[#This Row],[% normaliz]]&lt;&gt;1,DATOS_[[#This Row],[% anualiz]]=1),"Sí","NO")</f>
        <v>Sí</v>
      </c>
      <c r="BU328" s="137" t="str">
        <f aca="false">IF(AND(DATOS_[[#This Row],[% normaliz]]=1,DATOS_[[#This Row],[% anualiz]]&lt;&gt;1),"Sí","NO")</f>
        <v>NO</v>
      </c>
      <c r="BV328" s="137" t="str">
        <f aca="false">IF(AND(DATOS_[[#This Row],[% normaliz]]&lt;&gt;1,DATOS_[[#This Row],[% anualiz]]&lt;&gt;1),"Sí","NO")</f>
        <v>NO</v>
      </c>
      <c r="BW328" s="137" t="str">
        <f aca="false">+IF(DATOS_[[#This Row],[% normaliz]]*DATOS_[[#This Row],[% anualiz]]=1,"NO","Sí")</f>
        <v>Sí</v>
      </c>
      <c r="BX328" s="138" t="e">
        <f aca="false">(DATOS_[[#This Row],[S.BASE]]*(1/DATOS_[[#This Row],[% normaliz]])*(1/DATOS_[[#This Row],[% anualiz]]))*IF(DATOS_[[#This Row],[Check Equiparado]]="Sí",1,0)</f>
        <v>#DIV/0!</v>
      </c>
      <c r="BY3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8" s="138" t="e">
        <f aca="false">+DATOS_[[#This Row],[SALARIO BASE Eq]]+DATOS_[[#This Row],[Tot COMPL.SAL Eq]]</f>
        <v>#DIV/0!</v>
      </c>
      <c r="CA328" s="138" t="e">
        <f aca="false" t="array" ref="CA328:CA3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8" s="138" t="e">
        <f aca="false">+DATOS_[[#This Row],[TOTAL SALARIO Eq]]+DATOS_[[#This Row],[Tot Extrasalarial Eq]]</f>
        <v>#DIV/0!</v>
      </c>
      <c r="CC328" s="139" t="n">
        <f aca="false">DATOS_[[#This Row],[S.BASE]]</f>
        <v>0</v>
      </c>
      <c r="CD328" s="139" t="n">
        <f aca="false">+SUM(DATOS_[[#This Row],[Conc.Sal.01]:[Conc.Sal.30]])</f>
        <v>0</v>
      </c>
      <c r="CE328" s="139" t="n">
        <f aca="false">+DATOS_[[#This Row],[SALARIO BASE Ef]]+DATOS_[[#This Row],[Tot COMPL.SAL Ef]]</f>
        <v>0</v>
      </c>
      <c r="CF328" s="139" t="n">
        <f aca="false">+SUM(DATOS_[[#This Row],[C.Extra.01]:[C.Extra.05]])</f>
        <v>0</v>
      </c>
      <c r="CG328" s="139" t="n">
        <f aca="false">+DATOS_[[#This Row],[TOTAL SALARIO Ef]]+DATOS_[[#This Row],[Tot Extrasalarial Ef]]</f>
        <v>0</v>
      </c>
      <c r="CH328" s="140" t="n">
        <f aca="false">MIN(IF(DATOS_[[#This Row],[Fecha Fin Contrato]]="",$D$4,DATOS_[[#This Row],[Fecha Fin Contrato]]),$D$4)-MAX(DATOS_[[#This Row],[Fecha de Contratación]],$D$3)+1</f>
        <v>1</v>
      </c>
      <c r="CI328" s="141" t="str">
        <f aca="false">IF(COUNTIFS(DATOS_[id],DATOS_[[#This Row],[id]])&gt;1,DATOS_[[#This Row],[id]],"")</f>
        <v/>
      </c>
      <c r="CJ328" s="141" t="n">
        <f aca="false">(Inicio!$G$10-DATOS_[[#This Row],[Fecha Nacimiento]])/365.25</f>
        <v>0</v>
      </c>
      <c r="CK328" s="141" t="n">
        <f aca="false">(Inicio!$G$10-DATOS_[[#This Row],[Fecha de Antigüedad]])/365.25</f>
        <v>0</v>
      </c>
      <c r="CL328" s="141" t="e">
        <f aca="false">+VLOOKUP(DATOS_[[#This Row],[Clave de Contrato]],TblTiposContrato13[],3,0)</f>
        <v>#N/A</v>
      </c>
      <c r="CM328" s="141" t="e">
        <f aca="false">+VLOOKUP(DATOS_[[#This Row],[Clave de Contrato]],TblTiposContrato13[],4,0)</f>
        <v>#N/A</v>
      </c>
      <c r="CN328" s="141" t="str">
        <f aca="false">VLOOKUP(DATOS_[[#This Row],[Edad]],CONTRATOS!TblRngEdad,2,1)</f>
        <v>20  o menos</v>
      </c>
      <c r="CO328" s="141" t="str">
        <f aca="false">VLOOKUP(DATOS_[[#This Row],[Antigüedad]],TblRngAntg14[],2,1)</f>
        <v>0 a 1 años</v>
      </c>
    </row>
    <row r="329" customFormat="false" ht="13.8" hidden="false" customHeight="false" outlineLevel="0" collapsed="false">
      <c r="D329" s="128"/>
      <c r="E329" s="129"/>
      <c r="F329" s="129"/>
      <c r="G329" s="129"/>
      <c r="H329" s="130"/>
      <c r="I329" s="131"/>
      <c r="J329" s="128"/>
      <c r="K329" s="132"/>
      <c r="L329" s="132"/>
      <c r="M329" s="133"/>
      <c r="N329" s="133"/>
      <c r="O329" s="133"/>
      <c r="P329" s="129"/>
      <c r="Z329" s="75"/>
      <c r="AA329" s="76"/>
      <c r="AB329" s="76"/>
      <c r="AC329" s="129"/>
      <c r="AD329" s="134"/>
      <c r="AE329" s="134"/>
      <c r="AF329" s="134"/>
      <c r="AG329" s="134"/>
      <c r="AH329" s="134"/>
      <c r="AI329" s="134"/>
      <c r="AJ329" s="134"/>
      <c r="AK329" s="134"/>
      <c r="AL329" s="134"/>
      <c r="AM329" s="134"/>
      <c r="AN329" s="134"/>
      <c r="AO329" s="134"/>
      <c r="AP329" s="134"/>
      <c r="AQ329" s="134"/>
      <c r="AR329" s="134"/>
      <c r="AS329" s="134"/>
      <c r="AT329" s="134"/>
      <c r="AU329" s="134"/>
      <c r="AV329" s="134"/>
      <c r="AW329" s="134"/>
      <c r="AX329" s="134"/>
      <c r="AY329" s="134"/>
      <c r="AZ329" s="134"/>
      <c r="BA329" s="134"/>
      <c r="BB329" s="134"/>
      <c r="BC329" s="134"/>
      <c r="BD329" s="134"/>
      <c r="BE329" s="134"/>
      <c r="BF329" s="134"/>
      <c r="BG329" s="134"/>
      <c r="BH329" s="134"/>
      <c r="BI329" s="134"/>
      <c r="BJ329" s="134"/>
      <c r="BK329" s="134"/>
      <c r="BL329" s="134"/>
      <c r="BM329" s="135"/>
      <c r="BN329" s="136" t="n">
        <f aca="false">+MAX($D$3,DATOS_[[#This Row],[Fecha Inicio Sit. Contract.]])</f>
        <v>0</v>
      </c>
      <c r="BO329" s="136" t="n">
        <f aca="false">+MIN($D$4,DATOS_[[#This Row],[Fecha Fin Sit. Contract.]])</f>
        <v>0</v>
      </c>
      <c r="BP329" s="137" t="n">
        <f aca="false">+DATOS_[[#This Row],[% de jornada]]*IF(DATOS_[[#This Row],[% jornada reducida]]="",1,DATOS_[[#This Row],[% jornada reducida]])</f>
        <v>0</v>
      </c>
      <c r="BQ329" s="137" t="n">
        <f aca="false">+(DATOS_[[#This Row],[F.fin.cal]]-DATOS_[[#This Row],[F.ini.cal]]+1)/($D$4-$D$3+1)</f>
        <v>1</v>
      </c>
      <c r="BR329" s="137" t="str">
        <f aca="false">IF(OR(AND(DATOS_[[#This Row],[Fecha Fin Contrato]]&lt;$D$3,DATOS_[[#This Row],[Fecha Fin Contrato]]&lt;&gt;""),DATOS_[[#This Row],[Fecha de Contratación]]&gt;$D$4),"Fuera","Dentro")</f>
        <v>Dentro</v>
      </c>
      <c r="BS329" s="137" t="str">
        <f aca="false" t="array" ref="BS329:BS329">IF(MAX(IF(DATOS_[id]=DATOS_[[#This Row],[id]],DATOS_[F.fin.cal]))=DATOS_[[#This Row],[F.fin.cal]],"Sí","NO")</f>
        <v>Sí</v>
      </c>
      <c r="BT329" s="137" t="str">
        <f aca="false">IF(AND(DATOS_[[#This Row],[% normaliz]]&lt;&gt;1,DATOS_[[#This Row],[% anualiz]]=1),"Sí","NO")</f>
        <v>Sí</v>
      </c>
      <c r="BU329" s="137" t="str">
        <f aca="false">IF(AND(DATOS_[[#This Row],[% normaliz]]=1,DATOS_[[#This Row],[% anualiz]]&lt;&gt;1),"Sí","NO")</f>
        <v>NO</v>
      </c>
      <c r="BV329" s="137" t="str">
        <f aca="false">IF(AND(DATOS_[[#This Row],[% normaliz]]&lt;&gt;1,DATOS_[[#This Row],[% anualiz]]&lt;&gt;1),"Sí","NO")</f>
        <v>NO</v>
      </c>
      <c r="BW329" s="137" t="str">
        <f aca="false">+IF(DATOS_[[#This Row],[% normaliz]]*DATOS_[[#This Row],[% anualiz]]=1,"NO","Sí")</f>
        <v>Sí</v>
      </c>
      <c r="BX329" s="138" t="e">
        <f aca="false">(DATOS_[[#This Row],[S.BASE]]*(1/DATOS_[[#This Row],[% normaliz]])*(1/DATOS_[[#This Row],[% anualiz]]))*IF(DATOS_[[#This Row],[Check Equiparado]]="Sí",1,0)</f>
        <v>#DIV/0!</v>
      </c>
      <c r="BY3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9" s="138" t="e">
        <f aca="false">+DATOS_[[#This Row],[SALARIO BASE Eq]]+DATOS_[[#This Row],[Tot COMPL.SAL Eq]]</f>
        <v>#DIV/0!</v>
      </c>
      <c r="CA329" s="138" t="e">
        <f aca="false" t="array" ref="CA329:CA3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9" s="138" t="e">
        <f aca="false">+DATOS_[[#This Row],[TOTAL SALARIO Eq]]+DATOS_[[#This Row],[Tot Extrasalarial Eq]]</f>
        <v>#DIV/0!</v>
      </c>
      <c r="CC329" s="139" t="n">
        <f aca="false">DATOS_[[#This Row],[S.BASE]]</f>
        <v>0</v>
      </c>
      <c r="CD329" s="139" t="n">
        <f aca="false">+SUM(DATOS_[[#This Row],[Conc.Sal.01]:[Conc.Sal.30]])</f>
        <v>0</v>
      </c>
      <c r="CE329" s="139" t="n">
        <f aca="false">+DATOS_[[#This Row],[SALARIO BASE Ef]]+DATOS_[[#This Row],[Tot COMPL.SAL Ef]]</f>
        <v>0</v>
      </c>
      <c r="CF329" s="139" t="n">
        <f aca="false">+SUM(DATOS_[[#This Row],[C.Extra.01]:[C.Extra.05]])</f>
        <v>0</v>
      </c>
      <c r="CG329" s="139" t="n">
        <f aca="false">+DATOS_[[#This Row],[TOTAL SALARIO Ef]]+DATOS_[[#This Row],[Tot Extrasalarial Ef]]</f>
        <v>0</v>
      </c>
      <c r="CH329" s="140" t="n">
        <f aca="false">MIN(IF(DATOS_[[#This Row],[Fecha Fin Contrato]]="",$D$4,DATOS_[[#This Row],[Fecha Fin Contrato]]),$D$4)-MAX(DATOS_[[#This Row],[Fecha de Contratación]],$D$3)+1</f>
        <v>1</v>
      </c>
      <c r="CI329" s="141" t="str">
        <f aca="false">IF(COUNTIFS(DATOS_[id],DATOS_[[#This Row],[id]])&gt;1,DATOS_[[#This Row],[id]],"")</f>
        <v/>
      </c>
      <c r="CJ329" s="141" t="n">
        <f aca="false">(Inicio!$G$10-DATOS_[[#This Row],[Fecha Nacimiento]])/365.25</f>
        <v>0</v>
      </c>
      <c r="CK329" s="141" t="n">
        <f aca="false">(Inicio!$G$10-DATOS_[[#This Row],[Fecha de Antigüedad]])/365.25</f>
        <v>0</v>
      </c>
      <c r="CL329" s="141" t="e">
        <f aca="false">+VLOOKUP(DATOS_[[#This Row],[Clave de Contrato]],TblTiposContrato13[],3,0)</f>
        <v>#N/A</v>
      </c>
      <c r="CM329" s="141" t="e">
        <f aca="false">+VLOOKUP(DATOS_[[#This Row],[Clave de Contrato]],TblTiposContrato13[],4,0)</f>
        <v>#N/A</v>
      </c>
      <c r="CN329" s="141" t="str">
        <f aca="false">VLOOKUP(DATOS_[[#This Row],[Edad]],CONTRATOS!TblRngEdad,2,1)</f>
        <v>20  o menos</v>
      </c>
      <c r="CO329" s="141" t="str">
        <f aca="false">VLOOKUP(DATOS_[[#This Row],[Antigüedad]],TblRngAntg14[],2,1)</f>
        <v>0 a 1 años</v>
      </c>
    </row>
    <row r="330" customFormat="false" ht="13.8" hidden="false" customHeight="false" outlineLevel="0" collapsed="false">
      <c r="D330" s="128"/>
      <c r="E330" s="129"/>
      <c r="F330" s="129"/>
      <c r="G330" s="129"/>
      <c r="H330" s="130"/>
      <c r="I330" s="131"/>
      <c r="J330" s="128"/>
      <c r="K330" s="132"/>
      <c r="L330" s="132"/>
      <c r="M330" s="133"/>
      <c r="N330" s="133"/>
      <c r="O330" s="133"/>
      <c r="P330" s="129"/>
      <c r="Z330" s="75"/>
      <c r="AA330" s="76"/>
      <c r="AB330" s="76"/>
      <c r="AC330" s="129"/>
      <c r="AD330" s="134"/>
      <c r="AE330" s="134"/>
      <c r="AF330" s="134"/>
      <c r="AG330" s="134"/>
      <c r="AH330" s="134"/>
      <c r="AI330" s="134"/>
      <c r="AJ330" s="134"/>
      <c r="AK330" s="134"/>
      <c r="AL330" s="134"/>
      <c r="AM330" s="134"/>
      <c r="AN330" s="134"/>
      <c r="AO330" s="134"/>
      <c r="AP330" s="134"/>
      <c r="AQ330" s="134"/>
      <c r="AR330" s="134"/>
      <c r="AS330" s="134"/>
      <c r="AT330" s="134"/>
      <c r="AU330" s="134"/>
      <c r="AV330" s="134"/>
      <c r="AW330" s="134"/>
      <c r="AX330" s="134"/>
      <c r="AY330" s="134"/>
      <c r="AZ330" s="134"/>
      <c r="BA330" s="134"/>
      <c r="BB330" s="134"/>
      <c r="BC330" s="134"/>
      <c r="BD330" s="134"/>
      <c r="BE330" s="134"/>
      <c r="BF330" s="134"/>
      <c r="BG330" s="134"/>
      <c r="BH330" s="134"/>
      <c r="BI330" s="134"/>
      <c r="BJ330" s="134"/>
      <c r="BK330" s="134"/>
      <c r="BL330" s="134"/>
      <c r="BM330" s="135"/>
      <c r="BN330" s="136" t="n">
        <f aca="false">+MAX($D$3,DATOS_[[#This Row],[Fecha Inicio Sit. Contract.]])</f>
        <v>0</v>
      </c>
      <c r="BO330" s="136" t="n">
        <f aca="false">+MIN($D$4,DATOS_[[#This Row],[Fecha Fin Sit. Contract.]])</f>
        <v>0</v>
      </c>
      <c r="BP330" s="137" t="n">
        <f aca="false">+DATOS_[[#This Row],[% de jornada]]*IF(DATOS_[[#This Row],[% jornada reducida]]="",1,DATOS_[[#This Row],[% jornada reducida]])</f>
        <v>0</v>
      </c>
      <c r="BQ330" s="137" t="n">
        <f aca="false">+(DATOS_[[#This Row],[F.fin.cal]]-DATOS_[[#This Row],[F.ini.cal]]+1)/($D$4-$D$3+1)</f>
        <v>1</v>
      </c>
      <c r="BR330" s="137" t="str">
        <f aca="false">IF(OR(AND(DATOS_[[#This Row],[Fecha Fin Contrato]]&lt;$D$3,DATOS_[[#This Row],[Fecha Fin Contrato]]&lt;&gt;""),DATOS_[[#This Row],[Fecha de Contratación]]&gt;$D$4),"Fuera","Dentro")</f>
        <v>Dentro</v>
      </c>
      <c r="BS330" s="137" t="str">
        <f aca="false" t="array" ref="BS330:BS330">IF(MAX(IF(DATOS_[id]=DATOS_[[#This Row],[id]],DATOS_[F.fin.cal]))=DATOS_[[#This Row],[F.fin.cal]],"Sí","NO")</f>
        <v>Sí</v>
      </c>
      <c r="BT330" s="137" t="str">
        <f aca="false">IF(AND(DATOS_[[#This Row],[% normaliz]]&lt;&gt;1,DATOS_[[#This Row],[% anualiz]]=1),"Sí","NO")</f>
        <v>Sí</v>
      </c>
      <c r="BU330" s="137" t="str">
        <f aca="false">IF(AND(DATOS_[[#This Row],[% normaliz]]=1,DATOS_[[#This Row],[% anualiz]]&lt;&gt;1),"Sí","NO")</f>
        <v>NO</v>
      </c>
      <c r="BV330" s="137" t="str">
        <f aca="false">IF(AND(DATOS_[[#This Row],[% normaliz]]&lt;&gt;1,DATOS_[[#This Row],[% anualiz]]&lt;&gt;1),"Sí","NO")</f>
        <v>NO</v>
      </c>
      <c r="BW330" s="137" t="str">
        <f aca="false">+IF(DATOS_[[#This Row],[% normaliz]]*DATOS_[[#This Row],[% anualiz]]=1,"NO","Sí")</f>
        <v>Sí</v>
      </c>
      <c r="BX330" s="138" t="e">
        <f aca="false">(DATOS_[[#This Row],[S.BASE]]*(1/DATOS_[[#This Row],[% normaliz]])*(1/DATOS_[[#This Row],[% anualiz]]))*IF(DATOS_[[#This Row],[Check Equiparado]]="Sí",1,0)</f>
        <v>#DIV/0!</v>
      </c>
      <c r="BY3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0" s="138" t="e">
        <f aca="false">+DATOS_[[#This Row],[SALARIO BASE Eq]]+DATOS_[[#This Row],[Tot COMPL.SAL Eq]]</f>
        <v>#DIV/0!</v>
      </c>
      <c r="CA330" s="138" t="e">
        <f aca="false" t="array" ref="CA330:CA3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0" s="138" t="e">
        <f aca="false">+DATOS_[[#This Row],[TOTAL SALARIO Eq]]+DATOS_[[#This Row],[Tot Extrasalarial Eq]]</f>
        <v>#DIV/0!</v>
      </c>
      <c r="CC330" s="139" t="n">
        <f aca="false">DATOS_[[#This Row],[S.BASE]]</f>
        <v>0</v>
      </c>
      <c r="CD330" s="139" t="n">
        <f aca="false">+SUM(DATOS_[[#This Row],[Conc.Sal.01]:[Conc.Sal.30]])</f>
        <v>0</v>
      </c>
      <c r="CE330" s="139" t="n">
        <f aca="false">+DATOS_[[#This Row],[SALARIO BASE Ef]]+DATOS_[[#This Row],[Tot COMPL.SAL Ef]]</f>
        <v>0</v>
      </c>
      <c r="CF330" s="139" t="n">
        <f aca="false">+SUM(DATOS_[[#This Row],[C.Extra.01]:[C.Extra.05]])</f>
        <v>0</v>
      </c>
      <c r="CG330" s="139" t="n">
        <f aca="false">+DATOS_[[#This Row],[TOTAL SALARIO Ef]]+DATOS_[[#This Row],[Tot Extrasalarial Ef]]</f>
        <v>0</v>
      </c>
      <c r="CH330" s="140" t="n">
        <f aca="false">MIN(IF(DATOS_[[#This Row],[Fecha Fin Contrato]]="",$D$4,DATOS_[[#This Row],[Fecha Fin Contrato]]),$D$4)-MAX(DATOS_[[#This Row],[Fecha de Contratación]],$D$3)+1</f>
        <v>1</v>
      </c>
      <c r="CI330" s="141" t="str">
        <f aca="false">IF(COUNTIFS(DATOS_[id],DATOS_[[#This Row],[id]])&gt;1,DATOS_[[#This Row],[id]],"")</f>
        <v/>
      </c>
      <c r="CJ330" s="141" t="n">
        <f aca="false">(Inicio!$G$10-DATOS_[[#This Row],[Fecha Nacimiento]])/365.25</f>
        <v>0</v>
      </c>
      <c r="CK330" s="141" t="n">
        <f aca="false">(Inicio!$G$10-DATOS_[[#This Row],[Fecha de Antigüedad]])/365.25</f>
        <v>0</v>
      </c>
      <c r="CL330" s="141" t="e">
        <f aca="false">+VLOOKUP(DATOS_[[#This Row],[Clave de Contrato]],TblTiposContrato13[],3,0)</f>
        <v>#N/A</v>
      </c>
      <c r="CM330" s="141" t="e">
        <f aca="false">+VLOOKUP(DATOS_[[#This Row],[Clave de Contrato]],TblTiposContrato13[],4,0)</f>
        <v>#N/A</v>
      </c>
      <c r="CN330" s="141" t="str">
        <f aca="false">VLOOKUP(DATOS_[[#This Row],[Edad]],CONTRATOS!TblRngEdad,2,1)</f>
        <v>20  o menos</v>
      </c>
      <c r="CO330" s="141" t="str">
        <f aca="false">VLOOKUP(DATOS_[[#This Row],[Antigüedad]],TblRngAntg14[],2,1)</f>
        <v>0 a 1 años</v>
      </c>
    </row>
    <row r="331" customFormat="false" ht="13.8" hidden="false" customHeight="false" outlineLevel="0" collapsed="false">
      <c r="D331" s="128"/>
      <c r="E331" s="129"/>
      <c r="F331" s="129"/>
      <c r="G331" s="129"/>
      <c r="H331" s="130"/>
      <c r="I331" s="131"/>
      <c r="J331" s="128"/>
      <c r="K331" s="132"/>
      <c r="L331" s="132"/>
      <c r="M331" s="133"/>
      <c r="N331" s="133"/>
      <c r="O331" s="133"/>
      <c r="P331" s="129"/>
      <c r="Z331" s="75"/>
      <c r="AA331" s="76"/>
      <c r="AB331" s="76"/>
      <c r="AC331" s="129"/>
      <c r="AD331" s="134"/>
      <c r="AE331" s="134"/>
      <c r="AF331" s="134"/>
      <c r="AG331" s="134"/>
      <c r="AH331" s="134"/>
      <c r="AI331" s="134"/>
      <c r="AJ331" s="134"/>
      <c r="AK331" s="134"/>
      <c r="AL331" s="134"/>
      <c r="AM331" s="134"/>
      <c r="AN331" s="134"/>
      <c r="AO331" s="134"/>
      <c r="AP331" s="134"/>
      <c r="AQ331" s="134"/>
      <c r="AR331" s="134"/>
      <c r="AS331" s="134"/>
      <c r="AT331" s="134"/>
      <c r="AU331" s="134"/>
      <c r="AV331" s="134"/>
      <c r="AW331" s="134"/>
      <c r="AX331" s="134"/>
      <c r="AY331" s="134"/>
      <c r="AZ331" s="134"/>
      <c r="BA331" s="134"/>
      <c r="BB331" s="134"/>
      <c r="BC331" s="134"/>
      <c r="BD331" s="134"/>
      <c r="BE331" s="134"/>
      <c r="BF331" s="134"/>
      <c r="BG331" s="134"/>
      <c r="BH331" s="134"/>
      <c r="BI331" s="134"/>
      <c r="BJ331" s="134"/>
      <c r="BK331" s="134"/>
      <c r="BL331" s="134"/>
      <c r="BM331" s="135"/>
      <c r="BN331" s="136" t="n">
        <f aca="false">+MAX($D$3,DATOS_[[#This Row],[Fecha Inicio Sit. Contract.]])</f>
        <v>0</v>
      </c>
      <c r="BO331" s="136" t="n">
        <f aca="false">+MIN($D$4,DATOS_[[#This Row],[Fecha Fin Sit. Contract.]])</f>
        <v>0</v>
      </c>
      <c r="BP331" s="137" t="n">
        <f aca="false">+DATOS_[[#This Row],[% de jornada]]*IF(DATOS_[[#This Row],[% jornada reducida]]="",1,DATOS_[[#This Row],[% jornada reducida]])</f>
        <v>0</v>
      </c>
      <c r="BQ331" s="137" t="n">
        <f aca="false">+(DATOS_[[#This Row],[F.fin.cal]]-DATOS_[[#This Row],[F.ini.cal]]+1)/($D$4-$D$3+1)</f>
        <v>1</v>
      </c>
      <c r="BR331" s="137" t="str">
        <f aca="false">IF(OR(AND(DATOS_[[#This Row],[Fecha Fin Contrato]]&lt;$D$3,DATOS_[[#This Row],[Fecha Fin Contrato]]&lt;&gt;""),DATOS_[[#This Row],[Fecha de Contratación]]&gt;$D$4),"Fuera","Dentro")</f>
        <v>Dentro</v>
      </c>
      <c r="BS331" s="137" t="str">
        <f aca="false" t="array" ref="BS331:BS331">IF(MAX(IF(DATOS_[id]=DATOS_[[#This Row],[id]],DATOS_[F.fin.cal]))=DATOS_[[#This Row],[F.fin.cal]],"Sí","NO")</f>
        <v>Sí</v>
      </c>
      <c r="BT331" s="137" t="str">
        <f aca="false">IF(AND(DATOS_[[#This Row],[% normaliz]]&lt;&gt;1,DATOS_[[#This Row],[% anualiz]]=1),"Sí","NO")</f>
        <v>Sí</v>
      </c>
      <c r="BU331" s="137" t="str">
        <f aca="false">IF(AND(DATOS_[[#This Row],[% normaliz]]=1,DATOS_[[#This Row],[% anualiz]]&lt;&gt;1),"Sí","NO")</f>
        <v>NO</v>
      </c>
      <c r="BV331" s="137" t="str">
        <f aca="false">IF(AND(DATOS_[[#This Row],[% normaliz]]&lt;&gt;1,DATOS_[[#This Row],[% anualiz]]&lt;&gt;1),"Sí","NO")</f>
        <v>NO</v>
      </c>
      <c r="BW331" s="137" t="str">
        <f aca="false">+IF(DATOS_[[#This Row],[% normaliz]]*DATOS_[[#This Row],[% anualiz]]=1,"NO","Sí")</f>
        <v>Sí</v>
      </c>
      <c r="BX331" s="138" t="e">
        <f aca="false">(DATOS_[[#This Row],[S.BASE]]*(1/DATOS_[[#This Row],[% normaliz]])*(1/DATOS_[[#This Row],[% anualiz]]))*IF(DATOS_[[#This Row],[Check Equiparado]]="Sí",1,0)</f>
        <v>#DIV/0!</v>
      </c>
      <c r="BY3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1" s="138" t="e">
        <f aca="false">+DATOS_[[#This Row],[SALARIO BASE Eq]]+DATOS_[[#This Row],[Tot COMPL.SAL Eq]]</f>
        <v>#DIV/0!</v>
      </c>
      <c r="CA331" s="138" t="e">
        <f aca="false" t="array" ref="CA331:CA3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1" s="138" t="e">
        <f aca="false">+DATOS_[[#This Row],[TOTAL SALARIO Eq]]+DATOS_[[#This Row],[Tot Extrasalarial Eq]]</f>
        <v>#DIV/0!</v>
      </c>
      <c r="CC331" s="139" t="n">
        <f aca="false">DATOS_[[#This Row],[S.BASE]]</f>
        <v>0</v>
      </c>
      <c r="CD331" s="139" t="n">
        <f aca="false">+SUM(DATOS_[[#This Row],[Conc.Sal.01]:[Conc.Sal.30]])</f>
        <v>0</v>
      </c>
      <c r="CE331" s="139" t="n">
        <f aca="false">+DATOS_[[#This Row],[SALARIO BASE Ef]]+DATOS_[[#This Row],[Tot COMPL.SAL Ef]]</f>
        <v>0</v>
      </c>
      <c r="CF331" s="139" t="n">
        <f aca="false">+SUM(DATOS_[[#This Row],[C.Extra.01]:[C.Extra.05]])</f>
        <v>0</v>
      </c>
      <c r="CG331" s="139" t="n">
        <f aca="false">+DATOS_[[#This Row],[TOTAL SALARIO Ef]]+DATOS_[[#This Row],[Tot Extrasalarial Ef]]</f>
        <v>0</v>
      </c>
      <c r="CH331" s="140" t="n">
        <f aca="false">MIN(IF(DATOS_[[#This Row],[Fecha Fin Contrato]]="",$D$4,DATOS_[[#This Row],[Fecha Fin Contrato]]),$D$4)-MAX(DATOS_[[#This Row],[Fecha de Contratación]],$D$3)+1</f>
        <v>1</v>
      </c>
      <c r="CI331" s="141" t="str">
        <f aca="false">IF(COUNTIFS(DATOS_[id],DATOS_[[#This Row],[id]])&gt;1,DATOS_[[#This Row],[id]],"")</f>
        <v/>
      </c>
      <c r="CJ331" s="141" t="n">
        <f aca="false">(Inicio!$G$10-DATOS_[[#This Row],[Fecha Nacimiento]])/365.25</f>
        <v>0</v>
      </c>
      <c r="CK331" s="141" t="n">
        <f aca="false">(Inicio!$G$10-DATOS_[[#This Row],[Fecha de Antigüedad]])/365.25</f>
        <v>0</v>
      </c>
      <c r="CL331" s="141" t="e">
        <f aca="false">+VLOOKUP(DATOS_[[#This Row],[Clave de Contrato]],TblTiposContrato13[],3,0)</f>
        <v>#N/A</v>
      </c>
      <c r="CM331" s="141" t="e">
        <f aca="false">+VLOOKUP(DATOS_[[#This Row],[Clave de Contrato]],TblTiposContrato13[],4,0)</f>
        <v>#N/A</v>
      </c>
      <c r="CN331" s="141" t="str">
        <f aca="false">VLOOKUP(DATOS_[[#This Row],[Edad]],CONTRATOS!TblRngEdad,2,1)</f>
        <v>20  o menos</v>
      </c>
      <c r="CO331" s="141" t="str">
        <f aca="false">VLOOKUP(DATOS_[[#This Row],[Antigüedad]],TblRngAntg14[],2,1)</f>
        <v>0 a 1 años</v>
      </c>
    </row>
    <row r="332" customFormat="false" ht="13.8" hidden="false" customHeight="false" outlineLevel="0" collapsed="false">
      <c r="D332" s="128"/>
      <c r="E332" s="129"/>
      <c r="F332" s="129"/>
      <c r="G332" s="129"/>
      <c r="H332" s="130"/>
      <c r="I332" s="131"/>
      <c r="J332" s="128"/>
      <c r="K332" s="132"/>
      <c r="L332" s="132"/>
      <c r="M332" s="133"/>
      <c r="N332" s="133"/>
      <c r="O332" s="133"/>
      <c r="P332" s="129"/>
      <c r="Z332" s="75"/>
      <c r="AA332" s="76"/>
      <c r="AB332" s="76"/>
      <c r="AC332" s="129"/>
      <c r="AD332" s="134"/>
      <c r="AE332" s="134"/>
      <c r="AF332" s="134"/>
      <c r="AG332" s="134"/>
      <c r="AH332" s="134"/>
      <c r="AI332" s="134"/>
      <c r="AJ332" s="134"/>
      <c r="AK332" s="134"/>
      <c r="AL332" s="134"/>
      <c r="AM332" s="134"/>
      <c r="AN332" s="134"/>
      <c r="AO332" s="134"/>
      <c r="AP332" s="134"/>
      <c r="AQ332" s="134"/>
      <c r="AR332" s="134"/>
      <c r="AS332" s="134"/>
      <c r="AT332" s="134"/>
      <c r="AU332" s="134"/>
      <c r="AV332" s="134"/>
      <c r="AW332" s="134"/>
      <c r="AX332" s="134"/>
      <c r="AY332" s="134"/>
      <c r="AZ332" s="134"/>
      <c r="BA332" s="134"/>
      <c r="BB332" s="134"/>
      <c r="BC332" s="134"/>
      <c r="BD332" s="134"/>
      <c r="BE332" s="134"/>
      <c r="BF332" s="134"/>
      <c r="BG332" s="134"/>
      <c r="BH332" s="134"/>
      <c r="BI332" s="134"/>
      <c r="BJ332" s="134"/>
      <c r="BK332" s="134"/>
      <c r="BL332" s="134"/>
      <c r="BM332" s="135"/>
      <c r="BN332" s="136" t="n">
        <f aca="false">+MAX($D$3,DATOS_[[#This Row],[Fecha Inicio Sit. Contract.]])</f>
        <v>0</v>
      </c>
      <c r="BO332" s="136" t="n">
        <f aca="false">+MIN($D$4,DATOS_[[#This Row],[Fecha Fin Sit. Contract.]])</f>
        <v>0</v>
      </c>
      <c r="BP332" s="137" t="n">
        <f aca="false">+DATOS_[[#This Row],[% de jornada]]*IF(DATOS_[[#This Row],[% jornada reducida]]="",1,DATOS_[[#This Row],[% jornada reducida]])</f>
        <v>0</v>
      </c>
      <c r="BQ332" s="137" t="n">
        <f aca="false">+(DATOS_[[#This Row],[F.fin.cal]]-DATOS_[[#This Row],[F.ini.cal]]+1)/($D$4-$D$3+1)</f>
        <v>1</v>
      </c>
      <c r="BR332" s="137" t="str">
        <f aca="false">IF(OR(AND(DATOS_[[#This Row],[Fecha Fin Contrato]]&lt;$D$3,DATOS_[[#This Row],[Fecha Fin Contrato]]&lt;&gt;""),DATOS_[[#This Row],[Fecha de Contratación]]&gt;$D$4),"Fuera","Dentro")</f>
        <v>Dentro</v>
      </c>
      <c r="BS332" s="137" t="str">
        <f aca="false" t="array" ref="BS332:BS332">IF(MAX(IF(DATOS_[id]=DATOS_[[#This Row],[id]],DATOS_[F.fin.cal]))=DATOS_[[#This Row],[F.fin.cal]],"Sí","NO")</f>
        <v>Sí</v>
      </c>
      <c r="BT332" s="137" t="str">
        <f aca="false">IF(AND(DATOS_[[#This Row],[% normaliz]]&lt;&gt;1,DATOS_[[#This Row],[% anualiz]]=1),"Sí","NO")</f>
        <v>Sí</v>
      </c>
      <c r="BU332" s="137" t="str">
        <f aca="false">IF(AND(DATOS_[[#This Row],[% normaliz]]=1,DATOS_[[#This Row],[% anualiz]]&lt;&gt;1),"Sí","NO")</f>
        <v>NO</v>
      </c>
      <c r="BV332" s="137" t="str">
        <f aca="false">IF(AND(DATOS_[[#This Row],[% normaliz]]&lt;&gt;1,DATOS_[[#This Row],[% anualiz]]&lt;&gt;1),"Sí","NO")</f>
        <v>NO</v>
      </c>
      <c r="BW332" s="137" t="str">
        <f aca="false">+IF(DATOS_[[#This Row],[% normaliz]]*DATOS_[[#This Row],[% anualiz]]=1,"NO","Sí")</f>
        <v>Sí</v>
      </c>
      <c r="BX332" s="138" t="e">
        <f aca="false">(DATOS_[[#This Row],[S.BASE]]*(1/DATOS_[[#This Row],[% normaliz]])*(1/DATOS_[[#This Row],[% anualiz]]))*IF(DATOS_[[#This Row],[Check Equiparado]]="Sí",1,0)</f>
        <v>#DIV/0!</v>
      </c>
      <c r="BY3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2" s="138" t="e">
        <f aca="false">+DATOS_[[#This Row],[SALARIO BASE Eq]]+DATOS_[[#This Row],[Tot COMPL.SAL Eq]]</f>
        <v>#DIV/0!</v>
      </c>
      <c r="CA332" s="138" t="e">
        <f aca="false" t="array" ref="CA332:CA3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2" s="138" t="e">
        <f aca="false">+DATOS_[[#This Row],[TOTAL SALARIO Eq]]+DATOS_[[#This Row],[Tot Extrasalarial Eq]]</f>
        <v>#DIV/0!</v>
      </c>
      <c r="CC332" s="139" t="n">
        <f aca="false">DATOS_[[#This Row],[S.BASE]]</f>
        <v>0</v>
      </c>
      <c r="CD332" s="139" t="n">
        <f aca="false">+SUM(DATOS_[[#This Row],[Conc.Sal.01]:[Conc.Sal.30]])</f>
        <v>0</v>
      </c>
      <c r="CE332" s="139" t="n">
        <f aca="false">+DATOS_[[#This Row],[SALARIO BASE Ef]]+DATOS_[[#This Row],[Tot COMPL.SAL Ef]]</f>
        <v>0</v>
      </c>
      <c r="CF332" s="139" t="n">
        <f aca="false">+SUM(DATOS_[[#This Row],[C.Extra.01]:[C.Extra.05]])</f>
        <v>0</v>
      </c>
      <c r="CG332" s="139" t="n">
        <f aca="false">+DATOS_[[#This Row],[TOTAL SALARIO Ef]]+DATOS_[[#This Row],[Tot Extrasalarial Ef]]</f>
        <v>0</v>
      </c>
      <c r="CH332" s="140" t="n">
        <f aca="false">MIN(IF(DATOS_[[#This Row],[Fecha Fin Contrato]]="",$D$4,DATOS_[[#This Row],[Fecha Fin Contrato]]),$D$4)-MAX(DATOS_[[#This Row],[Fecha de Contratación]],$D$3)+1</f>
        <v>1</v>
      </c>
      <c r="CI332" s="141" t="str">
        <f aca="false">IF(COUNTIFS(DATOS_[id],DATOS_[[#This Row],[id]])&gt;1,DATOS_[[#This Row],[id]],"")</f>
        <v/>
      </c>
      <c r="CJ332" s="141" t="n">
        <f aca="false">(Inicio!$G$10-DATOS_[[#This Row],[Fecha Nacimiento]])/365.25</f>
        <v>0</v>
      </c>
      <c r="CK332" s="141" t="n">
        <f aca="false">(Inicio!$G$10-DATOS_[[#This Row],[Fecha de Antigüedad]])/365.25</f>
        <v>0</v>
      </c>
      <c r="CL332" s="141" t="e">
        <f aca="false">+VLOOKUP(DATOS_[[#This Row],[Clave de Contrato]],TblTiposContrato13[],3,0)</f>
        <v>#N/A</v>
      </c>
      <c r="CM332" s="141" t="e">
        <f aca="false">+VLOOKUP(DATOS_[[#This Row],[Clave de Contrato]],TblTiposContrato13[],4,0)</f>
        <v>#N/A</v>
      </c>
      <c r="CN332" s="141" t="str">
        <f aca="false">VLOOKUP(DATOS_[[#This Row],[Edad]],CONTRATOS!TblRngEdad,2,1)</f>
        <v>20  o menos</v>
      </c>
      <c r="CO332" s="141" t="str">
        <f aca="false">VLOOKUP(DATOS_[[#This Row],[Antigüedad]],TblRngAntg14[],2,1)</f>
        <v>0 a 1 años</v>
      </c>
    </row>
    <row r="333" customFormat="false" ht="13.8" hidden="false" customHeight="false" outlineLevel="0" collapsed="false">
      <c r="D333" s="128"/>
      <c r="E333" s="129"/>
      <c r="F333" s="129"/>
      <c r="G333" s="129"/>
      <c r="H333" s="130"/>
      <c r="I333" s="131"/>
      <c r="J333" s="128"/>
      <c r="K333" s="132"/>
      <c r="L333" s="132"/>
      <c r="M333" s="133"/>
      <c r="N333" s="133"/>
      <c r="O333" s="133"/>
      <c r="P333" s="129"/>
      <c r="Z333" s="75"/>
      <c r="AA333" s="76"/>
      <c r="AB333" s="76"/>
      <c r="AC333" s="129"/>
      <c r="AD333" s="134"/>
      <c r="AE333" s="134"/>
      <c r="AF333" s="134"/>
      <c r="AG333" s="134"/>
      <c r="AH333" s="134"/>
      <c r="AI333" s="134"/>
      <c r="AJ333" s="134"/>
      <c r="AK333" s="134"/>
      <c r="AL333" s="134"/>
      <c r="AM333" s="134"/>
      <c r="AN333" s="134"/>
      <c r="AO333" s="134"/>
      <c r="AP333" s="134"/>
      <c r="AQ333" s="134"/>
      <c r="AR333" s="134"/>
      <c r="AS333" s="134"/>
      <c r="AT333" s="134"/>
      <c r="AU333" s="134"/>
      <c r="AV333" s="134"/>
      <c r="AW333" s="134"/>
      <c r="AX333" s="134"/>
      <c r="AY333" s="134"/>
      <c r="AZ333" s="134"/>
      <c r="BA333" s="134"/>
      <c r="BB333" s="134"/>
      <c r="BC333" s="134"/>
      <c r="BD333" s="134"/>
      <c r="BE333" s="134"/>
      <c r="BF333" s="134"/>
      <c r="BG333" s="134"/>
      <c r="BH333" s="134"/>
      <c r="BI333" s="134"/>
      <c r="BJ333" s="134"/>
      <c r="BK333" s="134"/>
      <c r="BL333" s="134"/>
      <c r="BM333" s="135"/>
      <c r="BN333" s="136" t="n">
        <f aca="false">+MAX($D$3,DATOS_[[#This Row],[Fecha Inicio Sit. Contract.]])</f>
        <v>0</v>
      </c>
      <c r="BO333" s="136" t="n">
        <f aca="false">+MIN($D$4,DATOS_[[#This Row],[Fecha Fin Sit. Contract.]])</f>
        <v>0</v>
      </c>
      <c r="BP333" s="137" t="n">
        <f aca="false">+DATOS_[[#This Row],[% de jornada]]*IF(DATOS_[[#This Row],[% jornada reducida]]="",1,DATOS_[[#This Row],[% jornada reducida]])</f>
        <v>0</v>
      </c>
      <c r="BQ333" s="137" t="n">
        <f aca="false">+(DATOS_[[#This Row],[F.fin.cal]]-DATOS_[[#This Row],[F.ini.cal]]+1)/($D$4-$D$3+1)</f>
        <v>1</v>
      </c>
      <c r="BR333" s="137" t="str">
        <f aca="false">IF(OR(AND(DATOS_[[#This Row],[Fecha Fin Contrato]]&lt;$D$3,DATOS_[[#This Row],[Fecha Fin Contrato]]&lt;&gt;""),DATOS_[[#This Row],[Fecha de Contratación]]&gt;$D$4),"Fuera","Dentro")</f>
        <v>Dentro</v>
      </c>
      <c r="BS333" s="137" t="str">
        <f aca="false" t="array" ref="BS333:BS333">IF(MAX(IF(DATOS_[id]=DATOS_[[#This Row],[id]],DATOS_[F.fin.cal]))=DATOS_[[#This Row],[F.fin.cal]],"Sí","NO")</f>
        <v>Sí</v>
      </c>
      <c r="BT333" s="137" t="str">
        <f aca="false">IF(AND(DATOS_[[#This Row],[% normaliz]]&lt;&gt;1,DATOS_[[#This Row],[% anualiz]]=1),"Sí","NO")</f>
        <v>Sí</v>
      </c>
      <c r="BU333" s="137" t="str">
        <f aca="false">IF(AND(DATOS_[[#This Row],[% normaliz]]=1,DATOS_[[#This Row],[% anualiz]]&lt;&gt;1),"Sí","NO")</f>
        <v>NO</v>
      </c>
      <c r="BV333" s="137" t="str">
        <f aca="false">IF(AND(DATOS_[[#This Row],[% normaliz]]&lt;&gt;1,DATOS_[[#This Row],[% anualiz]]&lt;&gt;1),"Sí","NO")</f>
        <v>NO</v>
      </c>
      <c r="BW333" s="137" t="str">
        <f aca="false">+IF(DATOS_[[#This Row],[% normaliz]]*DATOS_[[#This Row],[% anualiz]]=1,"NO","Sí")</f>
        <v>Sí</v>
      </c>
      <c r="BX333" s="138" t="e">
        <f aca="false">(DATOS_[[#This Row],[S.BASE]]*(1/DATOS_[[#This Row],[% normaliz]])*(1/DATOS_[[#This Row],[% anualiz]]))*IF(DATOS_[[#This Row],[Check Equiparado]]="Sí",1,0)</f>
        <v>#DIV/0!</v>
      </c>
      <c r="BY3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3" s="138" t="e">
        <f aca="false">+DATOS_[[#This Row],[SALARIO BASE Eq]]+DATOS_[[#This Row],[Tot COMPL.SAL Eq]]</f>
        <v>#DIV/0!</v>
      </c>
      <c r="CA333" s="138" t="e">
        <f aca="false" t="array" ref="CA333:CA3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3" s="138" t="e">
        <f aca="false">+DATOS_[[#This Row],[TOTAL SALARIO Eq]]+DATOS_[[#This Row],[Tot Extrasalarial Eq]]</f>
        <v>#DIV/0!</v>
      </c>
      <c r="CC333" s="139" t="n">
        <f aca="false">DATOS_[[#This Row],[S.BASE]]</f>
        <v>0</v>
      </c>
      <c r="CD333" s="139" t="n">
        <f aca="false">+SUM(DATOS_[[#This Row],[Conc.Sal.01]:[Conc.Sal.30]])</f>
        <v>0</v>
      </c>
      <c r="CE333" s="139" t="n">
        <f aca="false">+DATOS_[[#This Row],[SALARIO BASE Ef]]+DATOS_[[#This Row],[Tot COMPL.SAL Ef]]</f>
        <v>0</v>
      </c>
      <c r="CF333" s="139" t="n">
        <f aca="false">+SUM(DATOS_[[#This Row],[C.Extra.01]:[C.Extra.05]])</f>
        <v>0</v>
      </c>
      <c r="CG333" s="139" t="n">
        <f aca="false">+DATOS_[[#This Row],[TOTAL SALARIO Ef]]+DATOS_[[#This Row],[Tot Extrasalarial Ef]]</f>
        <v>0</v>
      </c>
      <c r="CH333" s="140" t="n">
        <f aca="false">MIN(IF(DATOS_[[#This Row],[Fecha Fin Contrato]]="",$D$4,DATOS_[[#This Row],[Fecha Fin Contrato]]),$D$4)-MAX(DATOS_[[#This Row],[Fecha de Contratación]],$D$3)+1</f>
        <v>1</v>
      </c>
      <c r="CI333" s="141" t="str">
        <f aca="false">IF(COUNTIFS(DATOS_[id],DATOS_[[#This Row],[id]])&gt;1,DATOS_[[#This Row],[id]],"")</f>
        <v/>
      </c>
      <c r="CJ333" s="141" t="n">
        <f aca="false">(Inicio!$G$10-DATOS_[[#This Row],[Fecha Nacimiento]])/365.25</f>
        <v>0</v>
      </c>
      <c r="CK333" s="141" t="n">
        <f aca="false">(Inicio!$G$10-DATOS_[[#This Row],[Fecha de Antigüedad]])/365.25</f>
        <v>0</v>
      </c>
      <c r="CL333" s="141" t="e">
        <f aca="false">+VLOOKUP(DATOS_[[#This Row],[Clave de Contrato]],TblTiposContrato13[],3,0)</f>
        <v>#N/A</v>
      </c>
      <c r="CM333" s="141" t="e">
        <f aca="false">+VLOOKUP(DATOS_[[#This Row],[Clave de Contrato]],TblTiposContrato13[],4,0)</f>
        <v>#N/A</v>
      </c>
      <c r="CN333" s="141" t="str">
        <f aca="false">VLOOKUP(DATOS_[[#This Row],[Edad]],CONTRATOS!TblRngEdad,2,1)</f>
        <v>20  o menos</v>
      </c>
      <c r="CO333" s="141" t="str">
        <f aca="false">VLOOKUP(DATOS_[[#This Row],[Antigüedad]],TblRngAntg14[],2,1)</f>
        <v>0 a 1 años</v>
      </c>
    </row>
    <row r="334" customFormat="false" ht="13.8" hidden="false" customHeight="false" outlineLevel="0" collapsed="false">
      <c r="D334" s="128"/>
      <c r="E334" s="129"/>
      <c r="F334" s="129"/>
      <c r="G334" s="129"/>
      <c r="H334" s="130"/>
      <c r="I334" s="131"/>
      <c r="J334" s="128"/>
      <c r="K334" s="132"/>
      <c r="L334" s="132"/>
      <c r="M334" s="133"/>
      <c r="N334" s="133"/>
      <c r="O334" s="133"/>
      <c r="P334" s="129"/>
      <c r="Z334" s="75"/>
      <c r="AA334" s="76"/>
      <c r="AB334" s="76"/>
      <c r="AC334" s="129"/>
      <c r="AD334" s="134"/>
      <c r="AE334" s="134"/>
      <c r="AF334" s="134"/>
      <c r="AG334" s="134"/>
      <c r="AH334" s="134"/>
      <c r="AI334" s="134"/>
      <c r="AJ334" s="134"/>
      <c r="AK334" s="134"/>
      <c r="AL334" s="134"/>
      <c r="AM334" s="134"/>
      <c r="AN334" s="134"/>
      <c r="AO334" s="134"/>
      <c r="AP334" s="134"/>
      <c r="AQ334" s="134"/>
      <c r="AR334" s="134"/>
      <c r="AS334" s="134"/>
      <c r="AT334" s="134"/>
      <c r="AU334" s="134"/>
      <c r="AV334" s="134"/>
      <c r="AW334" s="134"/>
      <c r="AX334" s="134"/>
      <c r="AY334" s="134"/>
      <c r="AZ334" s="134"/>
      <c r="BA334" s="134"/>
      <c r="BB334" s="134"/>
      <c r="BC334" s="134"/>
      <c r="BD334" s="134"/>
      <c r="BE334" s="134"/>
      <c r="BF334" s="134"/>
      <c r="BG334" s="134"/>
      <c r="BH334" s="134"/>
      <c r="BI334" s="134"/>
      <c r="BJ334" s="134"/>
      <c r="BK334" s="134"/>
      <c r="BL334" s="134"/>
      <c r="BM334" s="135"/>
      <c r="BN334" s="136" t="n">
        <f aca="false">+MAX($D$3,DATOS_[[#This Row],[Fecha Inicio Sit. Contract.]])</f>
        <v>0</v>
      </c>
      <c r="BO334" s="136" t="n">
        <f aca="false">+MIN($D$4,DATOS_[[#This Row],[Fecha Fin Sit. Contract.]])</f>
        <v>0</v>
      </c>
      <c r="BP334" s="137" t="n">
        <f aca="false">+DATOS_[[#This Row],[% de jornada]]*IF(DATOS_[[#This Row],[% jornada reducida]]="",1,DATOS_[[#This Row],[% jornada reducida]])</f>
        <v>0</v>
      </c>
      <c r="BQ334" s="137" t="n">
        <f aca="false">+(DATOS_[[#This Row],[F.fin.cal]]-DATOS_[[#This Row],[F.ini.cal]]+1)/($D$4-$D$3+1)</f>
        <v>1</v>
      </c>
      <c r="BR334" s="137" t="str">
        <f aca="false">IF(OR(AND(DATOS_[[#This Row],[Fecha Fin Contrato]]&lt;$D$3,DATOS_[[#This Row],[Fecha Fin Contrato]]&lt;&gt;""),DATOS_[[#This Row],[Fecha de Contratación]]&gt;$D$4),"Fuera","Dentro")</f>
        <v>Dentro</v>
      </c>
      <c r="BS334" s="137" t="str">
        <f aca="false" t="array" ref="BS334:BS334">IF(MAX(IF(DATOS_[id]=DATOS_[[#This Row],[id]],DATOS_[F.fin.cal]))=DATOS_[[#This Row],[F.fin.cal]],"Sí","NO")</f>
        <v>Sí</v>
      </c>
      <c r="BT334" s="137" t="str">
        <f aca="false">IF(AND(DATOS_[[#This Row],[% normaliz]]&lt;&gt;1,DATOS_[[#This Row],[% anualiz]]=1),"Sí","NO")</f>
        <v>Sí</v>
      </c>
      <c r="BU334" s="137" t="str">
        <f aca="false">IF(AND(DATOS_[[#This Row],[% normaliz]]=1,DATOS_[[#This Row],[% anualiz]]&lt;&gt;1),"Sí","NO")</f>
        <v>NO</v>
      </c>
      <c r="BV334" s="137" t="str">
        <f aca="false">IF(AND(DATOS_[[#This Row],[% normaliz]]&lt;&gt;1,DATOS_[[#This Row],[% anualiz]]&lt;&gt;1),"Sí","NO")</f>
        <v>NO</v>
      </c>
      <c r="BW334" s="137" t="str">
        <f aca="false">+IF(DATOS_[[#This Row],[% normaliz]]*DATOS_[[#This Row],[% anualiz]]=1,"NO","Sí")</f>
        <v>Sí</v>
      </c>
      <c r="BX334" s="138" t="e">
        <f aca="false">(DATOS_[[#This Row],[S.BASE]]*(1/DATOS_[[#This Row],[% normaliz]])*(1/DATOS_[[#This Row],[% anualiz]]))*IF(DATOS_[[#This Row],[Check Equiparado]]="Sí",1,0)</f>
        <v>#DIV/0!</v>
      </c>
      <c r="BY3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4" s="138" t="e">
        <f aca="false">+DATOS_[[#This Row],[SALARIO BASE Eq]]+DATOS_[[#This Row],[Tot COMPL.SAL Eq]]</f>
        <v>#DIV/0!</v>
      </c>
      <c r="CA334" s="138" t="e">
        <f aca="false" t="array" ref="CA334:CA3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4" s="138" t="e">
        <f aca="false">+DATOS_[[#This Row],[TOTAL SALARIO Eq]]+DATOS_[[#This Row],[Tot Extrasalarial Eq]]</f>
        <v>#DIV/0!</v>
      </c>
      <c r="CC334" s="139" t="n">
        <f aca="false">DATOS_[[#This Row],[S.BASE]]</f>
        <v>0</v>
      </c>
      <c r="CD334" s="139" t="n">
        <f aca="false">+SUM(DATOS_[[#This Row],[Conc.Sal.01]:[Conc.Sal.30]])</f>
        <v>0</v>
      </c>
      <c r="CE334" s="139" t="n">
        <f aca="false">+DATOS_[[#This Row],[SALARIO BASE Ef]]+DATOS_[[#This Row],[Tot COMPL.SAL Ef]]</f>
        <v>0</v>
      </c>
      <c r="CF334" s="139" t="n">
        <f aca="false">+SUM(DATOS_[[#This Row],[C.Extra.01]:[C.Extra.05]])</f>
        <v>0</v>
      </c>
      <c r="CG334" s="139" t="n">
        <f aca="false">+DATOS_[[#This Row],[TOTAL SALARIO Ef]]+DATOS_[[#This Row],[Tot Extrasalarial Ef]]</f>
        <v>0</v>
      </c>
      <c r="CH334" s="140" t="n">
        <f aca="false">MIN(IF(DATOS_[[#This Row],[Fecha Fin Contrato]]="",$D$4,DATOS_[[#This Row],[Fecha Fin Contrato]]),$D$4)-MAX(DATOS_[[#This Row],[Fecha de Contratación]],$D$3)+1</f>
        <v>1</v>
      </c>
      <c r="CI334" s="141" t="str">
        <f aca="false">IF(COUNTIFS(DATOS_[id],DATOS_[[#This Row],[id]])&gt;1,DATOS_[[#This Row],[id]],"")</f>
        <v/>
      </c>
      <c r="CJ334" s="141" t="n">
        <f aca="false">(Inicio!$G$10-DATOS_[[#This Row],[Fecha Nacimiento]])/365.25</f>
        <v>0</v>
      </c>
      <c r="CK334" s="141" t="n">
        <f aca="false">(Inicio!$G$10-DATOS_[[#This Row],[Fecha de Antigüedad]])/365.25</f>
        <v>0</v>
      </c>
      <c r="CL334" s="141" t="e">
        <f aca="false">+VLOOKUP(DATOS_[[#This Row],[Clave de Contrato]],TblTiposContrato13[],3,0)</f>
        <v>#N/A</v>
      </c>
      <c r="CM334" s="141" t="e">
        <f aca="false">+VLOOKUP(DATOS_[[#This Row],[Clave de Contrato]],TblTiposContrato13[],4,0)</f>
        <v>#N/A</v>
      </c>
      <c r="CN334" s="141" t="str">
        <f aca="false">VLOOKUP(DATOS_[[#This Row],[Edad]],CONTRATOS!TblRngEdad,2,1)</f>
        <v>20  o menos</v>
      </c>
      <c r="CO334" s="141" t="str">
        <f aca="false">VLOOKUP(DATOS_[[#This Row],[Antigüedad]],TblRngAntg14[],2,1)</f>
        <v>0 a 1 años</v>
      </c>
    </row>
    <row r="335" customFormat="false" ht="13.8" hidden="false" customHeight="false" outlineLevel="0" collapsed="false">
      <c r="D335" s="128"/>
      <c r="E335" s="129"/>
      <c r="F335" s="129"/>
      <c r="G335" s="129"/>
      <c r="H335" s="130"/>
      <c r="I335" s="131"/>
      <c r="J335" s="128"/>
      <c r="K335" s="132"/>
      <c r="L335" s="132"/>
      <c r="M335" s="133"/>
      <c r="N335" s="133"/>
      <c r="O335" s="133"/>
      <c r="P335" s="129"/>
      <c r="Z335" s="75"/>
      <c r="AA335" s="76"/>
      <c r="AB335" s="76"/>
      <c r="AC335" s="129"/>
      <c r="AD335" s="134"/>
      <c r="AE335" s="134"/>
      <c r="AF335" s="134"/>
      <c r="AG335" s="134"/>
      <c r="AH335" s="134"/>
      <c r="AI335" s="134"/>
      <c r="AJ335" s="134"/>
      <c r="AK335" s="134"/>
      <c r="AL335" s="134"/>
      <c r="AM335" s="134"/>
      <c r="AN335" s="134"/>
      <c r="AO335" s="134"/>
      <c r="AP335" s="134"/>
      <c r="AQ335" s="134"/>
      <c r="AR335" s="134"/>
      <c r="AS335" s="134"/>
      <c r="AT335" s="134"/>
      <c r="AU335" s="134"/>
      <c r="AV335" s="134"/>
      <c r="AW335" s="134"/>
      <c r="AX335" s="134"/>
      <c r="AY335" s="134"/>
      <c r="AZ335" s="134"/>
      <c r="BA335" s="134"/>
      <c r="BB335" s="134"/>
      <c r="BC335" s="134"/>
      <c r="BD335" s="134"/>
      <c r="BE335" s="134"/>
      <c r="BF335" s="134"/>
      <c r="BG335" s="134"/>
      <c r="BH335" s="134"/>
      <c r="BI335" s="134"/>
      <c r="BJ335" s="134"/>
      <c r="BK335" s="134"/>
      <c r="BL335" s="134"/>
      <c r="BM335" s="135"/>
      <c r="BN335" s="136" t="n">
        <f aca="false">+MAX($D$3,DATOS_[[#This Row],[Fecha Inicio Sit. Contract.]])</f>
        <v>0</v>
      </c>
      <c r="BO335" s="136" t="n">
        <f aca="false">+MIN($D$4,DATOS_[[#This Row],[Fecha Fin Sit. Contract.]])</f>
        <v>0</v>
      </c>
      <c r="BP335" s="137" t="n">
        <f aca="false">+DATOS_[[#This Row],[% de jornada]]*IF(DATOS_[[#This Row],[% jornada reducida]]="",1,DATOS_[[#This Row],[% jornada reducida]])</f>
        <v>0</v>
      </c>
      <c r="BQ335" s="137" t="n">
        <f aca="false">+(DATOS_[[#This Row],[F.fin.cal]]-DATOS_[[#This Row],[F.ini.cal]]+1)/($D$4-$D$3+1)</f>
        <v>1</v>
      </c>
      <c r="BR335" s="137" t="str">
        <f aca="false">IF(OR(AND(DATOS_[[#This Row],[Fecha Fin Contrato]]&lt;$D$3,DATOS_[[#This Row],[Fecha Fin Contrato]]&lt;&gt;""),DATOS_[[#This Row],[Fecha de Contratación]]&gt;$D$4),"Fuera","Dentro")</f>
        <v>Dentro</v>
      </c>
      <c r="BS335" s="137" t="str">
        <f aca="false" t="array" ref="BS335:BS335">IF(MAX(IF(DATOS_[id]=DATOS_[[#This Row],[id]],DATOS_[F.fin.cal]))=DATOS_[[#This Row],[F.fin.cal]],"Sí","NO")</f>
        <v>Sí</v>
      </c>
      <c r="BT335" s="137" t="str">
        <f aca="false">IF(AND(DATOS_[[#This Row],[% normaliz]]&lt;&gt;1,DATOS_[[#This Row],[% anualiz]]=1),"Sí","NO")</f>
        <v>Sí</v>
      </c>
      <c r="BU335" s="137" t="str">
        <f aca="false">IF(AND(DATOS_[[#This Row],[% normaliz]]=1,DATOS_[[#This Row],[% anualiz]]&lt;&gt;1),"Sí","NO")</f>
        <v>NO</v>
      </c>
      <c r="BV335" s="137" t="str">
        <f aca="false">IF(AND(DATOS_[[#This Row],[% normaliz]]&lt;&gt;1,DATOS_[[#This Row],[% anualiz]]&lt;&gt;1),"Sí","NO")</f>
        <v>NO</v>
      </c>
      <c r="BW335" s="137" t="str">
        <f aca="false">+IF(DATOS_[[#This Row],[% normaliz]]*DATOS_[[#This Row],[% anualiz]]=1,"NO","Sí")</f>
        <v>Sí</v>
      </c>
      <c r="BX335" s="138" t="e">
        <f aca="false">(DATOS_[[#This Row],[S.BASE]]*(1/DATOS_[[#This Row],[% normaliz]])*(1/DATOS_[[#This Row],[% anualiz]]))*IF(DATOS_[[#This Row],[Check Equiparado]]="Sí",1,0)</f>
        <v>#DIV/0!</v>
      </c>
      <c r="BY3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5" s="138" t="e">
        <f aca="false">+DATOS_[[#This Row],[SALARIO BASE Eq]]+DATOS_[[#This Row],[Tot COMPL.SAL Eq]]</f>
        <v>#DIV/0!</v>
      </c>
      <c r="CA335" s="138" t="e">
        <f aca="false" t="array" ref="CA335:CA3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5" s="138" t="e">
        <f aca="false">+DATOS_[[#This Row],[TOTAL SALARIO Eq]]+DATOS_[[#This Row],[Tot Extrasalarial Eq]]</f>
        <v>#DIV/0!</v>
      </c>
      <c r="CC335" s="139" t="n">
        <f aca="false">DATOS_[[#This Row],[S.BASE]]</f>
        <v>0</v>
      </c>
      <c r="CD335" s="139" t="n">
        <f aca="false">+SUM(DATOS_[[#This Row],[Conc.Sal.01]:[Conc.Sal.30]])</f>
        <v>0</v>
      </c>
      <c r="CE335" s="139" t="n">
        <f aca="false">+DATOS_[[#This Row],[SALARIO BASE Ef]]+DATOS_[[#This Row],[Tot COMPL.SAL Ef]]</f>
        <v>0</v>
      </c>
      <c r="CF335" s="139" t="n">
        <f aca="false">+SUM(DATOS_[[#This Row],[C.Extra.01]:[C.Extra.05]])</f>
        <v>0</v>
      </c>
      <c r="CG335" s="139" t="n">
        <f aca="false">+DATOS_[[#This Row],[TOTAL SALARIO Ef]]+DATOS_[[#This Row],[Tot Extrasalarial Ef]]</f>
        <v>0</v>
      </c>
      <c r="CH335" s="140" t="n">
        <f aca="false">MIN(IF(DATOS_[[#This Row],[Fecha Fin Contrato]]="",$D$4,DATOS_[[#This Row],[Fecha Fin Contrato]]),$D$4)-MAX(DATOS_[[#This Row],[Fecha de Contratación]],$D$3)+1</f>
        <v>1</v>
      </c>
      <c r="CI335" s="141" t="str">
        <f aca="false">IF(COUNTIFS(DATOS_[id],DATOS_[[#This Row],[id]])&gt;1,DATOS_[[#This Row],[id]],"")</f>
        <v/>
      </c>
      <c r="CJ335" s="141" t="n">
        <f aca="false">(Inicio!$G$10-DATOS_[[#This Row],[Fecha Nacimiento]])/365.25</f>
        <v>0</v>
      </c>
      <c r="CK335" s="141" t="n">
        <f aca="false">(Inicio!$G$10-DATOS_[[#This Row],[Fecha de Antigüedad]])/365.25</f>
        <v>0</v>
      </c>
      <c r="CL335" s="141" t="e">
        <f aca="false">+VLOOKUP(DATOS_[[#This Row],[Clave de Contrato]],TblTiposContrato13[],3,0)</f>
        <v>#N/A</v>
      </c>
      <c r="CM335" s="141" t="e">
        <f aca="false">+VLOOKUP(DATOS_[[#This Row],[Clave de Contrato]],TblTiposContrato13[],4,0)</f>
        <v>#N/A</v>
      </c>
      <c r="CN335" s="141" t="str">
        <f aca="false">VLOOKUP(DATOS_[[#This Row],[Edad]],CONTRATOS!TblRngEdad,2,1)</f>
        <v>20  o menos</v>
      </c>
      <c r="CO335" s="141" t="str">
        <f aca="false">VLOOKUP(DATOS_[[#This Row],[Antigüedad]],TblRngAntg14[],2,1)</f>
        <v>0 a 1 años</v>
      </c>
    </row>
    <row r="336" customFormat="false" ht="13.8" hidden="false" customHeight="false" outlineLevel="0" collapsed="false">
      <c r="D336" s="128"/>
      <c r="E336" s="129"/>
      <c r="F336" s="129"/>
      <c r="G336" s="129"/>
      <c r="H336" s="130"/>
      <c r="I336" s="131"/>
      <c r="J336" s="128"/>
      <c r="K336" s="132"/>
      <c r="L336" s="132"/>
      <c r="M336" s="133"/>
      <c r="N336" s="133"/>
      <c r="O336" s="133"/>
      <c r="P336" s="129"/>
      <c r="Z336" s="75"/>
      <c r="AA336" s="76"/>
      <c r="AB336" s="76"/>
      <c r="AC336" s="129"/>
      <c r="AD336" s="134"/>
      <c r="AE336" s="134"/>
      <c r="AF336" s="134"/>
      <c r="AG336" s="134"/>
      <c r="AH336" s="134"/>
      <c r="AI336" s="134"/>
      <c r="AJ336" s="134"/>
      <c r="AK336" s="134"/>
      <c r="AL336" s="134"/>
      <c r="AM336" s="134"/>
      <c r="AN336" s="134"/>
      <c r="AO336" s="134"/>
      <c r="AP336" s="134"/>
      <c r="AQ336" s="134"/>
      <c r="AR336" s="134"/>
      <c r="AS336" s="134"/>
      <c r="AT336" s="134"/>
      <c r="AU336" s="134"/>
      <c r="AV336" s="134"/>
      <c r="AW336" s="134"/>
      <c r="AX336" s="134"/>
      <c r="AY336" s="134"/>
      <c r="AZ336" s="134"/>
      <c r="BA336" s="134"/>
      <c r="BB336" s="134"/>
      <c r="BC336" s="134"/>
      <c r="BD336" s="134"/>
      <c r="BE336" s="134"/>
      <c r="BF336" s="134"/>
      <c r="BG336" s="134"/>
      <c r="BH336" s="134"/>
      <c r="BI336" s="134"/>
      <c r="BJ336" s="134"/>
      <c r="BK336" s="134"/>
      <c r="BL336" s="134"/>
      <c r="BM336" s="135"/>
      <c r="BN336" s="136" t="n">
        <f aca="false">+MAX($D$3,DATOS_[[#This Row],[Fecha Inicio Sit. Contract.]])</f>
        <v>0</v>
      </c>
      <c r="BO336" s="136" t="n">
        <f aca="false">+MIN($D$4,DATOS_[[#This Row],[Fecha Fin Sit. Contract.]])</f>
        <v>0</v>
      </c>
      <c r="BP336" s="137" t="n">
        <f aca="false">+DATOS_[[#This Row],[% de jornada]]*IF(DATOS_[[#This Row],[% jornada reducida]]="",1,DATOS_[[#This Row],[% jornada reducida]])</f>
        <v>0</v>
      </c>
      <c r="BQ336" s="137" t="n">
        <f aca="false">+(DATOS_[[#This Row],[F.fin.cal]]-DATOS_[[#This Row],[F.ini.cal]]+1)/($D$4-$D$3+1)</f>
        <v>1</v>
      </c>
      <c r="BR336" s="137" t="str">
        <f aca="false">IF(OR(AND(DATOS_[[#This Row],[Fecha Fin Contrato]]&lt;$D$3,DATOS_[[#This Row],[Fecha Fin Contrato]]&lt;&gt;""),DATOS_[[#This Row],[Fecha de Contratación]]&gt;$D$4),"Fuera","Dentro")</f>
        <v>Dentro</v>
      </c>
      <c r="BS336" s="137" t="str">
        <f aca="false" t="array" ref="BS336:BS336">IF(MAX(IF(DATOS_[id]=DATOS_[[#This Row],[id]],DATOS_[F.fin.cal]))=DATOS_[[#This Row],[F.fin.cal]],"Sí","NO")</f>
        <v>Sí</v>
      </c>
      <c r="BT336" s="137" t="str">
        <f aca="false">IF(AND(DATOS_[[#This Row],[% normaliz]]&lt;&gt;1,DATOS_[[#This Row],[% anualiz]]=1),"Sí","NO")</f>
        <v>Sí</v>
      </c>
      <c r="BU336" s="137" t="str">
        <f aca="false">IF(AND(DATOS_[[#This Row],[% normaliz]]=1,DATOS_[[#This Row],[% anualiz]]&lt;&gt;1),"Sí","NO")</f>
        <v>NO</v>
      </c>
      <c r="BV336" s="137" t="str">
        <f aca="false">IF(AND(DATOS_[[#This Row],[% normaliz]]&lt;&gt;1,DATOS_[[#This Row],[% anualiz]]&lt;&gt;1),"Sí","NO")</f>
        <v>NO</v>
      </c>
      <c r="BW336" s="137" t="str">
        <f aca="false">+IF(DATOS_[[#This Row],[% normaliz]]*DATOS_[[#This Row],[% anualiz]]=1,"NO","Sí")</f>
        <v>Sí</v>
      </c>
      <c r="BX336" s="138" t="e">
        <f aca="false">(DATOS_[[#This Row],[S.BASE]]*(1/DATOS_[[#This Row],[% normaliz]])*(1/DATOS_[[#This Row],[% anualiz]]))*IF(DATOS_[[#This Row],[Check Equiparado]]="Sí",1,0)</f>
        <v>#DIV/0!</v>
      </c>
      <c r="BY3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6" s="138" t="e">
        <f aca="false">+DATOS_[[#This Row],[SALARIO BASE Eq]]+DATOS_[[#This Row],[Tot COMPL.SAL Eq]]</f>
        <v>#DIV/0!</v>
      </c>
      <c r="CA336" s="138" t="e">
        <f aca="false" t="array" ref="CA336:CA3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6" s="138" t="e">
        <f aca="false">+DATOS_[[#This Row],[TOTAL SALARIO Eq]]+DATOS_[[#This Row],[Tot Extrasalarial Eq]]</f>
        <v>#DIV/0!</v>
      </c>
      <c r="CC336" s="139" t="n">
        <f aca="false">DATOS_[[#This Row],[S.BASE]]</f>
        <v>0</v>
      </c>
      <c r="CD336" s="139" t="n">
        <f aca="false">+SUM(DATOS_[[#This Row],[Conc.Sal.01]:[Conc.Sal.30]])</f>
        <v>0</v>
      </c>
      <c r="CE336" s="139" t="n">
        <f aca="false">+DATOS_[[#This Row],[SALARIO BASE Ef]]+DATOS_[[#This Row],[Tot COMPL.SAL Ef]]</f>
        <v>0</v>
      </c>
      <c r="CF336" s="139" t="n">
        <f aca="false">+SUM(DATOS_[[#This Row],[C.Extra.01]:[C.Extra.05]])</f>
        <v>0</v>
      </c>
      <c r="CG336" s="139" t="n">
        <f aca="false">+DATOS_[[#This Row],[TOTAL SALARIO Ef]]+DATOS_[[#This Row],[Tot Extrasalarial Ef]]</f>
        <v>0</v>
      </c>
      <c r="CH336" s="140" t="n">
        <f aca="false">MIN(IF(DATOS_[[#This Row],[Fecha Fin Contrato]]="",$D$4,DATOS_[[#This Row],[Fecha Fin Contrato]]),$D$4)-MAX(DATOS_[[#This Row],[Fecha de Contratación]],$D$3)+1</f>
        <v>1</v>
      </c>
      <c r="CI336" s="141" t="str">
        <f aca="false">IF(COUNTIFS(DATOS_[id],DATOS_[[#This Row],[id]])&gt;1,DATOS_[[#This Row],[id]],"")</f>
        <v/>
      </c>
      <c r="CJ336" s="141" t="n">
        <f aca="false">(Inicio!$G$10-DATOS_[[#This Row],[Fecha Nacimiento]])/365.25</f>
        <v>0</v>
      </c>
      <c r="CK336" s="141" t="n">
        <f aca="false">(Inicio!$G$10-DATOS_[[#This Row],[Fecha de Antigüedad]])/365.25</f>
        <v>0</v>
      </c>
      <c r="CL336" s="141" t="e">
        <f aca="false">+VLOOKUP(DATOS_[[#This Row],[Clave de Contrato]],TblTiposContrato13[],3,0)</f>
        <v>#N/A</v>
      </c>
      <c r="CM336" s="141" t="e">
        <f aca="false">+VLOOKUP(DATOS_[[#This Row],[Clave de Contrato]],TblTiposContrato13[],4,0)</f>
        <v>#N/A</v>
      </c>
      <c r="CN336" s="141" t="str">
        <f aca="false">VLOOKUP(DATOS_[[#This Row],[Edad]],CONTRATOS!TblRngEdad,2,1)</f>
        <v>20  o menos</v>
      </c>
      <c r="CO336" s="141" t="str">
        <f aca="false">VLOOKUP(DATOS_[[#This Row],[Antigüedad]],TblRngAntg14[],2,1)</f>
        <v>0 a 1 años</v>
      </c>
    </row>
    <row r="337" customFormat="false" ht="13.8" hidden="false" customHeight="false" outlineLevel="0" collapsed="false">
      <c r="D337" s="128"/>
      <c r="E337" s="129"/>
      <c r="F337" s="129"/>
      <c r="G337" s="129"/>
      <c r="H337" s="130"/>
      <c r="I337" s="131"/>
      <c r="J337" s="128"/>
      <c r="K337" s="132"/>
      <c r="L337" s="132"/>
      <c r="M337" s="133"/>
      <c r="N337" s="133"/>
      <c r="O337" s="133"/>
      <c r="P337" s="129"/>
      <c r="Z337" s="75"/>
      <c r="AA337" s="76"/>
      <c r="AB337" s="76"/>
      <c r="AC337" s="129"/>
      <c r="AD337" s="134"/>
      <c r="AE337" s="134"/>
      <c r="AF337" s="134"/>
      <c r="AG337" s="134"/>
      <c r="AH337" s="134"/>
      <c r="AI337" s="134"/>
      <c r="AJ337" s="134"/>
      <c r="AK337" s="134"/>
      <c r="AL337" s="134"/>
      <c r="AM337" s="134"/>
      <c r="AN337" s="134"/>
      <c r="AO337" s="134"/>
      <c r="AP337" s="134"/>
      <c r="AQ337" s="134"/>
      <c r="AR337" s="134"/>
      <c r="AS337" s="134"/>
      <c r="AT337" s="134"/>
      <c r="AU337" s="134"/>
      <c r="AV337" s="134"/>
      <c r="AW337" s="134"/>
      <c r="AX337" s="134"/>
      <c r="AY337" s="134"/>
      <c r="AZ337" s="134"/>
      <c r="BA337" s="134"/>
      <c r="BB337" s="134"/>
      <c r="BC337" s="134"/>
      <c r="BD337" s="134"/>
      <c r="BE337" s="134"/>
      <c r="BF337" s="134"/>
      <c r="BG337" s="134"/>
      <c r="BH337" s="134"/>
      <c r="BI337" s="134"/>
      <c r="BJ337" s="134"/>
      <c r="BK337" s="134"/>
      <c r="BL337" s="134"/>
      <c r="BM337" s="135"/>
      <c r="BN337" s="136" t="n">
        <f aca="false">+MAX($D$3,DATOS_[[#This Row],[Fecha Inicio Sit. Contract.]])</f>
        <v>0</v>
      </c>
      <c r="BO337" s="136" t="n">
        <f aca="false">+MIN($D$4,DATOS_[[#This Row],[Fecha Fin Sit. Contract.]])</f>
        <v>0</v>
      </c>
      <c r="BP337" s="137" t="n">
        <f aca="false">+DATOS_[[#This Row],[% de jornada]]*IF(DATOS_[[#This Row],[% jornada reducida]]="",1,DATOS_[[#This Row],[% jornada reducida]])</f>
        <v>0</v>
      </c>
      <c r="BQ337" s="137" t="n">
        <f aca="false">+(DATOS_[[#This Row],[F.fin.cal]]-DATOS_[[#This Row],[F.ini.cal]]+1)/($D$4-$D$3+1)</f>
        <v>1</v>
      </c>
      <c r="BR337" s="137" t="str">
        <f aca="false">IF(OR(AND(DATOS_[[#This Row],[Fecha Fin Contrato]]&lt;$D$3,DATOS_[[#This Row],[Fecha Fin Contrato]]&lt;&gt;""),DATOS_[[#This Row],[Fecha de Contratación]]&gt;$D$4),"Fuera","Dentro")</f>
        <v>Dentro</v>
      </c>
      <c r="BS337" s="137" t="str">
        <f aca="false" t="array" ref="BS337:BS337">IF(MAX(IF(DATOS_[id]=DATOS_[[#This Row],[id]],DATOS_[F.fin.cal]))=DATOS_[[#This Row],[F.fin.cal]],"Sí","NO")</f>
        <v>Sí</v>
      </c>
      <c r="BT337" s="137" t="str">
        <f aca="false">IF(AND(DATOS_[[#This Row],[% normaliz]]&lt;&gt;1,DATOS_[[#This Row],[% anualiz]]=1),"Sí","NO")</f>
        <v>Sí</v>
      </c>
      <c r="BU337" s="137" t="str">
        <f aca="false">IF(AND(DATOS_[[#This Row],[% normaliz]]=1,DATOS_[[#This Row],[% anualiz]]&lt;&gt;1),"Sí","NO")</f>
        <v>NO</v>
      </c>
      <c r="BV337" s="137" t="str">
        <f aca="false">IF(AND(DATOS_[[#This Row],[% normaliz]]&lt;&gt;1,DATOS_[[#This Row],[% anualiz]]&lt;&gt;1),"Sí","NO")</f>
        <v>NO</v>
      </c>
      <c r="BW337" s="137" t="str">
        <f aca="false">+IF(DATOS_[[#This Row],[% normaliz]]*DATOS_[[#This Row],[% anualiz]]=1,"NO","Sí")</f>
        <v>Sí</v>
      </c>
      <c r="BX337" s="138" t="e">
        <f aca="false">(DATOS_[[#This Row],[S.BASE]]*(1/DATOS_[[#This Row],[% normaliz]])*(1/DATOS_[[#This Row],[% anualiz]]))*IF(DATOS_[[#This Row],[Check Equiparado]]="Sí",1,0)</f>
        <v>#DIV/0!</v>
      </c>
      <c r="BY3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7" s="138" t="e">
        <f aca="false">+DATOS_[[#This Row],[SALARIO BASE Eq]]+DATOS_[[#This Row],[Tot COMPL.SAL Eq]]</f>
        <v>#DIV/0!</v>
      </c>
      <c r="CA337" s="138" t="e">
        <f aca="false" t="array" ref="CA337:CA3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7" s="138" t="e">
        <f aca="false">+DATOS_[[#This Row],[TOTAL SALARIO Eq]]+DATOS_[[#This Row],[Tot Extrasalarial Eq]]</f>
        <v>#DIV/0!</v>
      </c>
      <c r="CC337" s="139" t="n">
        <f aca="false">DATOS_[[#This Row],[S.BASE]]</f>
        <v>0</v>
      </c>
      <c r="CD337" s="139" t="n">
        <f aca="false">+SUM(DATOS_[[#This Row],[Conc.Sal.01]:[Conc.Sal.30]])</f>
        <v>0</v>
      </c>
      <c r="CE337" s="139" t="n">
        <f aca="false">+DATOS_[[#This Row],[SALARIO BASE Ef]]+DATOS_[[#This Row],[Tot COMPL.SAL Ef]]</f>
        <v>0</v>
      </c>
      <c r="CF337" s="139" t="n">
        <f aca="false">+SUM(DATOS_[[#This Row],[C.Extra.01]:[C.Extra.05]])</f>
        <v>0</v>
      </c>
      <c r="CG337" s="139" t="n">
        <f aca="false">+DATOS_[[#This Row],[TOTAL SALARIO Ef]]+DATOS_[[#This Row],[Tot Extrasalarial Ef]]</f>
        <v>0</v>
      </c>
      <c r="CH337" s="140" t="n">
        <f aca="false">MIN(IF(DATOS_[[#This Row],[Fecha Fin Contrato]]="",$D$4,DATOS_[[#This Row],[Fecha Fin Contrato]]),$D$4)-MAX(DATOS_[[#This Row],[Fecha de Contratación]],$D$3)+1</f>
        <v>1</v>
      </c>
      <c r="CI337" s="141" t="str">
        <f aca="false">IF(COUNTIFS(DATOS_[id],DATOS_[[#This Row],[id]])&gt;1,DATOS_[[#This Row],[id]],"")</f>
        <v/>
      </c>
      <c r="CJ337" s="141" t="n">
        <f aca="false">(Inicio!$G$10-DATOS_[[#This Row],[Fecha Nacimiento]])/365.25</f>
        <v>0</v>
      </c>
      <c r="CK337" s="141" t="n">
        <f aca="false">(Inicio!$G$10-DATOS_[[#This Row],[Fecha de Antigüedad]])/365.25</f>
        <v>0</v>
      </c>
      <c r="CL337" s="141" t="e">
        <f aca="false">+VLOOKUP(DATOS_[[#This Row],[Clave de Contrato]],TblTiposContrato13[],3,0)</f>
        <v>#N/A</v>
      </c>
      <c r="CM337" s="141" t="e">
        <f aca="false">+VLOOKUP(DATOS_[[#This Row],[Clave de Contrato]],TblTiposContrato13[],4,0)</f>
        <v>#N/A</v>
      </c>
      <c r="CN337" s="141" t="str">
        <f aca="false">VLOOKUP(DATOS_[[#This Row],[Edad]],CONTRATOS!TblRngEdad,2,1)</f>
        <v>20  o menos</v>
      </c>
      <c r="CO337" s="141" t="str">
        <f aca="false">VLOOKUP(DATOS_[[#This Row],[Antigüedad]],TblRngAntg14[],2,1)</f>
        <v>0 a 1 años</v>
      </c>
    </row>
    <row r="338" customFormat="false" ht="13.8" hidden="false" customHeight="false" outlineLevel="0" collapsed="false">
      <c r="D338" s="128"/>
      <c r="E338" s="129"/>
      <c r="F338" s="129"/>
      <c r="G338" s="129"/>
      <c r="H338" s="130"/>
      <c r="I338" s="131"/>
      <c r="J338" s="128"/>
      <c r="K338" s="132"/>
      <c r="L338" s="132"/>
      <c r="M338" s="133"/>
      <c r="N338" s="133"/>
      <c r="O338" s="133"/>
      <c r="P338" s="129"/>
      <c r="Z338" s="75"/>
      <c r="AA338" s="76"/>
      <c r="AB338" s="76"/>
      <c r="AC338" s="129"/>
      <c r="AD338" s="134"/>
      <c r="AE338" s="134"/>
      <c r="AF338" s="134"/>
      <c r="AG338" s="134"/>
      <c r="AH338" s="134"/>
      <c r="AI338" s="134"/>
      <c r="AJ338" s="134"/>
      <c r="AK338" s="134"/>
      <c r="AL338" s="134"/>
      <c r="AM338" s="134"/>
      <c r="AN338" s="134"/>
      <c r="AO338" s="134"/>
      <c r="AP338" s="134"/>
      <c r="AQ338" s="134"/>
      <c r="AR338" s="134"/>
      <c r="AS338" s="134"/>
      <c r="AT338" s="134"/>
      <c r="AU338" s="134"/>
      <c r="AV338" s="134"/>
      <c r="AW338" s="134"/>
      <c r="AX338" s="134"/>
      <c r="AY338" s="134"/>
      <c r="AZ338" s="134"/>
      <c r="BA338" s="134"/>
      <c r="BB338" s="134"/>
      <c r="BC338" s="134"/>
      <c r="BD338" s="134"/>
      <c r="BE338" s="134"/>
      <c r="BF338" s="134"/>
      <c r="BG338" s="134"/>
      <c r="BH338" s="134"/>
      <c r="BI338" s="134"/>
      <c r="BJ338" s="134"/>
      <c r="BK338" s="134"/>
      <c r="BL338" s="134"/>
      <c r="BM338" s="135"/>
      <c r="BN338" s="136" t="n">
        <f aca="false">+MAX($D$3,DATOS_[[#This Row],[Fecha Inicio Sit. Contract.]])</f>
        <v>0</v>
      </c>
      <c r="BO338" s="136" t="n">
        <f aca="false">+MIN($D$4,DATOS_[[#This Row],[Fecha Fin Sit. Contract.]])</f>
        <v>0</v>
      </c>
      <c r="BP338" s="137" t="n">
        <f aca="false">+DATOS_[[#This Row],[% de jornada]]*IF(DATOS_[[#This Row],[% jornada reducida]]="",1,DATOS_[[#This Row],[% jornada reducida]])</f>
        <v>0</v>
      </c>
      <c r="BQ338" s="137" t="n">
        <f aca="false">+(DATOS_[[#This Row],[F.fin.cal]]-DATOS_[[#This Row],[F.ini.cal]]+1)/($D$4-$D$3+1)</f>
        <v>1</v>
      </c>
      <c r="BR338" s="137" t="str">
        <f aca="false">IF(OR(AND(DATOS_[[#This Row],[Fecha Fin Contrato]]&lt;$D$3,DATOS_[[#This Row],[Fecha Fin Contrato]]&lt;&gt;""),DATOS_[[#This Row],[Fecha de Contratación]]&gt;$D$4),"Fuera","Dentro")</f>
        <v>Dentro</v>
      </c>
      <c r="BS338" s="137" t="str">
        <f aca="false" t="array" ref="BS338:BS338">IF(MAX(IF(DATOS_[id]=DATOS_[[#This Row],[id]],DATOS_[F.fin.cal]))=DATOS_[[#This Row],[F.fin.cal]],"Sí","NO")</f>
        <v>Sí</v>
      </c>
      <c r="BT338" s="137" t="str">
        <f aca="false">IF(AND(DATOS_[[#This Row],[% normaliz]]&lt;&gt;1,DATOS_[[#This Row],[% anualiz]]=1),"Sí","NO")</f>
        <v>Sí</v>
      </c>
      <c r="BU338" s="137" t="str">
        <f aca="false">IF(AND(DATOS_[[#This Row],[% normaliz]]=1,DATOS_[[#This Row],[% anualiz]]&lt;&gt;1),"Sí","NO")</f>
        <v>NO</v>
      </c>
      <c r="BV338" s="137" t="str">
        <f aca="false">IF(AND(DATOS_[[#This Row],[% normaliz]]&lt;&gt;1,DATOS_[[#This Row],[% anualiz]]&lt;&gt;1),"Sí","NO")</f>
        <v>NO</v>
      </c>
      <c r="BW338" s="137" t="str">
        <f aca="false">+IF(DATOS_[[#This Row],[% normaliz]]*DATOS_[[#This Row],[% anualiz]]=1,"NO","Sí")</f>
        <v>Sí</v>
      </c>
      <c r="BX338" s="138" t="e">
        <f aca="false">(DATOS_[[#This Row],[S.BASE]]*(1/DATOS_[[#This Row],[% normaliz]])*(1/DATOS_[[#This Row],[% anualiz]]))*IF(DATOS_[[#This Row],[Check Equiparado]]="Sí",1,0)</f>
        <v>#DIV/0!</v>
      </c>
      <c r="BY3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8" s="138" t="e">
        <f aca="false">+DATOS_[[#This Row],[SALARIO BASE Eq]]+DATOS_[[#This Row],[Tot COMPL.SAL Eq]]</f>
        <v>#DIV/0!</v>
      </c>
      <c r="CA338" s="138" t="e">
        <f aca="false" t="array" ref="CA338:CA3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8" s="138" t="e">
        <f aca="false">+DATOS_[[#This Row],[TOTAL SALARIO Eq]]+DATOS_[[#This Row],[Tot Extrasalarial Eq]]</f>
        <v>#DIV/0!</v>
      </c>
      <c r="CC338" s="139" t="n">
        <f aca="false">DATOS_[[#This Row],[S.BASE]]</f>
        <v>0</v>
      </c>
      <c r="CD338" s="139" t="n">
        <f aca="false">+SUM(DATOS_[[#This Row],[Conc.Sal.01]:[Conc.Sal.30]])</f>
        <v>0</v>
      </c>
      <c r="CE338" s="139" t="n">
        <f aca="false">+DATOS_[[#This Row],[SALARIO BASE Ef]]+DATOS_[[#This Row],[Tot COMPL.SAL Ef]]</f>
        <v>0</v>
      </c>
      <c r="CF338" s="139" t="n">
        <f aca="false">+SUM(DATOS_[[#This Row],[C.Extra.01]:[C.Extra.05]])</f>
        <v>0</v>
      </c>
      <c r="CG338" s="139" t="n">
        <f aca="false">+DATOS_[[#This Row],[TOTAL SALARIO Ef]]+DATOS_[[#This Row],[Tot Extrasalarial Ef]]</f>
        <v>0</v>
      </c>
      <c r="CH338" s="140" t="n">
        <f aca="false">MIN(IF(DATOS_[[#This Row],[Fecha Fin Contrato]]="",$D$4,DATOS_[[#This Row],[Fecha Fin Contrato]]),$D$4)-MAX(DATOS_[[#This Row],[Fecha de Contratación]],$D$3)+1</f>
        <v>1</v>
      </c>
      <c r="CI338" s="141" t="str">
        <f aca="false">IF(COUNTIFS(DATOS_[id],DATOS_[[#This Row],[id]])&gt;1,DATOS_[[#This Row],[id]],"")</f>
        <v/>
      </c>
      <c r="CJ338" s="141" t="n">
        <f aca="false">(Inicio!$G$10-DATOS_[[#This Row],[Fecha Nacimiento]])/365.25</f>
        <v>0</v>
      </c>
      <c r="CK338" s="141" t="n">
        <f aca="false">(Inicio!$G$10-DATOS_[[#This Row],[Fecha de Antigüedad]])/365.25</f>
        <v>0</v>
      </c>
      <c r="CL338" s="141" t="e">
        <f aca="false">+VLOOKUP(DATOS_[[#This Row],[Clave de Contrato]],TblTiposContrato13[],3,0)</f>
        <v>#N/A</v>
      </c>
      <c r="CM338" s="141" t="e">
        <f aca="false">+VLOOKUP(DATOS_[[#This Row],[Clave de Contrato]],TblTiposContrato13[],4,0)</f>
        <v>#N/A</v>
      </c>
      <c r="CN338" s="141" t="str">
        <f aca="false">VLOOKUP(DATOS_[[#This Row],[Edad]],CONTRATOS!TblRngEdad,2,1)</f>
        <v>20  o menos</v>
      </c>
      <c r="CO338" s="141" t="str">
        <f aca="false">VLOOKUP(DATOS_[[#This Row],[Antigüedad]],TblRngAntg14[],2,1)</f>
        <v>0 a 1 años</v>
      </c>
    </row>
    <row r="339" customFormat="false" ht="13.8" hidden="false" customHeight="false" outlineLevel="0" collapsed="false">
      <c r="D339" s="128"/>
      <c r="E339" s="129"/>
      <c r="F339" s="129"/>
      <c r="G339" s="129"/>
      <c r="H339" s="130"/>
      <c r="I339" s="131"/>
      <c r="J339" s="128"/>
      <c r="K339" s="132"/>
      <c r="L339" s="132"/>
      <c r="M339" s="133"/>
      <c r="N339" s="133"/>
      <c r="O339" s="133"/>
      <c r="P339" s="129"/>
      <c r="Z339" s="75"/>
      <c r="AA339" s="76"/>
      <c r="AB339" s="76"/>
      <c r="AC339" s="129"/>
      <c r="AD339" s="134"/>
      <c r="AE339" s="134"/>
      <c r="AF339" s="134"/>
      <c r="AG339" s="134"/>
      <c r="AH339" s="134"/>
      <c r="AI339" s="134"/>
      <c r="AJ339" s="134"/>
      <c r="AK339" s="134"/>
      <c r="AL339" s="134"/>
      <c r="AM339" s="134"/>
      <c r="AN339" s="134"/>
      <c r="AO339" s="134"/>
      <c r="AP339" s="134"/>
      <c r="AQ339" s="134"/>
      <c r="AR339" s="134"/>
      <c r="AS339" s="134"/>
      <c r="AT339" s="134"/>
      <c r="AU339" s="134"/>
      <c r="AV339" s="134"/>
      <c r="AW339" s="134"/>
      <c r="AX339" s="134"/>
      <c r="AY339" s="134"/>
      <c r="AZ339" s="134"/>
      <c r="BA339" s="134"/>
      <c r="BB339" s="134"/>
      <c r="BC339" s="134"/>
      <c r="BD339" s="134"/>
      <c r="BE339" s="134"/>
      <c r="BF339" s="134"/>
      <c r="BG339" s="134"/>
      <c r="BH339" s="134"/>
      <c r="BI339" s="134"/>
      <c r="BJ339" s="134"/>
      <c r="BK339" s="134"/>
      <c r="BL339" s="134"/>
      <c r="BM339" s="135"/>
      <c r="BN339" s="136" t="n">
        <f aca="false">+MAX($D$3,DATOS_[[#This Row],[Fecha Inicio Sit. Contract.]])</f>
        <v>0</v>
      </c>
      <c r="BO339" s="136" t="n">
        <f aca="false">+MIN($D$4,DATOS_[[#This Row],[Fecha Fin Sit. Contract.]])</f>
        <v>0</v>
      </c>
      <c r="BP339" s="137" t="n">
        <f aca="false">+DATOS_[[#This Row],[% de jornada]]*IF(DATOS_[[#This Row],[% jornada reducida]]="",1,DATOS_[[#This Row],[% jornada reducida]])</f>
        <v>0</v>
      </c>
      <c r="BQ339" s="137" t="n">
        <f aca="false">+(DATOS_[[#This Row],[F.fin.cal]]-DATOS_[[#This Row],[F.ini.cal]]+1)/($D$4-$D$3+1)</f>
        <v>1</v>
      </c>
      <c r="BR339" s="137" t="str">
        <f aca="false">IF(OR(AND(DATOS_[[#This Row],[Fecha Fin Contrato]]&lt;$D$3,DATOS_[[#This Row],[Fecha Fin Contrato]]&lt;&gt;""),DATOS_[[#This Row],[Fecha de Contratación]]&gt;$D$4),"Fuera","Dentro")</f>
        <v>Dentro</v>
      </c>
      <c r="BS339" s="137" t="str">
        <f aca="false" t="array" ref="BS339:BS339">IF(MAX(IF(DATOS_[id]=DATOS_[[#This Row],[id]],DATOS_[F.fin.cal]))=DATOS_[[#This Row],[F.fin.cal]],"Sí","NO")</f>
        <v>Sí</v>
      </c>
      <c r="BT339" s="137" t="str">
        <f aca="false">IF(AND(DATOS_[[#This Row],[% normaliz]]&lt;&gt;1,DATOS_[[#This Row],[% anualiz]]=1),"Sí","NO")</f>
        <v>Sí</v>
      </c>
      <c r="BU339" s="137" t="str">
        <f aca="false">IF(AND(DATOS_[[#This Row],[% normaliz]]=1,DATOS_[[#This Row],[% anualiz]]&lt;&gt;1),"Sí","NO")</f>
        <v>NO</v>
      </c>
      <c r="BV339" s="137" t="str">
        <f aca="false">IF(AND(DATOS_[[#This Row],[% normaliz]]&lt;&gt;1,DATOS_[[#This Row],[% anualiz]]&lt;&gt;1),"Sí","NO")</f>
        <v>NO</v>
      </c>
      <c r="BW339" s="137" t="str">
        <f aca="false">+IF(DATOS_[[#This Row],[% normaliz]]*DATOS_[[#This Row],[% anualiz]]=1,"NO","Sí")</f>
        <v>Sí</v>
      </c>
      <c r="BX339" s="138" t="e">
        <f aca="false">(DATOS_[[#This Row],[S.BASE]]*(1/DATOS_[[#This Row],[% normaliz]])*(1/DATOS_[[#This Row],[% anualiz]]))*IF(DATOS_[[#This Row],[Check Equiparado]]="Sí",1,0)</f>
        <v>#DIV/0!</v>
      </c>
      <c r="BY3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9" s="138" t="e">
        <f aca="false">+DATOS_[[#This Row],[SALARIO BASE Eq]]+DATOS_[[#This Row],[Tot COMPL.SAL Eq]]</f>
        <v>#DIV/0!</v>
      </c>
      <c r="CA339" s="138" t="e">
        <f aca="false" t="array" ref="CA339:CA3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9" s="138" t="e">
        <f aca="false">+DATOS_[[#This Row],[TOTAL SALARIO Eq]]+DATOS_[[#This Row],[Tot Extrasalarial Eq]]</f>
        <v>#DIV/0!</v>
      </c>
      <c r="CC339" s="139" t="n">
        <f aca="false">DATOS_[[#This Row],[S.BASE]]</f>
        <v>0</v>
      </c>
      <c r="CD339" s="139" t="n">
        <f aca="false">+SUM(DATOS_[[#This Row],[Conc.Sal.01]:[Conc.Sal.30]])</f>
        <v>0</v>
      </c>
      <c r="CE339" s="139" t="n">
        <f aca="false">+DATOS_[[#This Row],[SALARIO BASE Ef]]+DATOS_[[#This Row],[Tot COMPL.SAL Ef]]</f>
        <v>0</v>
      </c>
      <c r="CF339" s="139" t="n">
        <f aca="false">+SUM(DATOS_[[#This Row],[C.Extra.01]:[C.Extra.05]])</f>
        <v>0</v>
      </c>
      <c r="CG339" s="139" t="n">
        <f aca="false">+DATOS_[[#This Row],[TOTAL SALARIO Ef]]+DATOS_[[#This Row],[Tot Extrasalarial Ef]]</f>
        <v>0</v>
      </c>
      <c r="CH339" s="140" t="n">
        <f aca="false">MIN(IF(DATOS_[[#This Row],[Fecha Fin Contrato]]="",$D$4,DATOS_[[#This Row],[Fecha Fin Contrato]]),$D$4)-MAX(DATOS_[[#This Row],[Fecha de Contratación]],$D$3)+1</f>
        <v>1</v>
      </c>
      <c r="CI339" s="141" t="str">
        <f aca="false">IF(COUNTIFS(DATOS_[id],DATOS_[[#This Row],[id]])&gt;1,DATOS_[[#This Row],[id]],"")</f>
        <v/>
      </c>
      <c r="CJ339" s="141" t="n">
        <f aca="false">(Inicio!$G$10-DATOS_[[#This Row],[Fecha Nacimiento]])/365.25</f>
        <v>0</v>
      </c>
      <c r="CK339" s="141" t="n">
        <f aca="false">(Inicio!$G$10-DATOS_[[#This Row],[Fecha de Antigüedad]])/365.25</f>
        <v>0</v>
      </c>
      <c r="CL339" s="141" t="e">
        <f aca="false">+VLOOKUP(DATOS_[[#This Row],[Clave de Contrato]],TblTiposContrato13[],3,0)</f>
        <v>#N/A</v>
      </c>
      <c r="CM339" s="141" t="e">
        <f aca="false">+VLOOKUP(DATOS_[[#This Row],[Clave de Contrato]],TblTiposContrato13[],4,0)</f>
        <v>#N/A</v>
      </c>
      <c r="CN339" s="141" t="str">
        <f aca="false">VLOOKUP(DATOS_[[#This Row],[Edad]],CONTRATOS!TblRngEdad,2,1)</f>
        <v>20  o menos</v>
      </c>
      <c r="CO339" s="141" t="str">
        <f aca="false">VLOOKUP(DATOS_[[#This Row],[Antigüedad]],TblRngAntg14[],2,1)</f>
        <v>0 a 1 años</v>
      </c>
    </row>
    <row r="340" customFormat="false" ht="13.8" hidden="false" customHeight="false" outlineLevel="0" collapsed="false">
      <c r="D340" s="128"/>
      <c r="E340" s="129"/>
      <c r="F340" s="129"/>
      <c r="G340" s="129"/>
      <c r="H340" s="130"/>
      <c r="I340" s="131"/>
      <c r="J340" s="128"/>
      <c r="K340" s="132"/>
      <c r="L340" s="132"/>
      <c r="M340" s="133"/>
      <c r="N340" s="133"/>
      <c r="O340" s="133"/>
      <c r="P340" s="129"/>
      <c r="Z340" s="75"/>
      <c r="AA340" s="76"/>
      <c r="AB340" s="76"/>
      <c r="AC340" s="129"/>
      <c r="AD340" s="134"/>
      <c r="AE340" s="134"/>
      <c r="AF340" s="134"/>
      <c r="AG340" s="134"/>
      <c r="AH340" s="134"/>
      <c r="AI340" s="134"/>
      <c r="AJ340" s="134"/>
      <c r="AK340" s="134"/>
      <c r="AL340" s="134"/>
      <c r="AM340" s="134"/>
      <c r="AN340" s="134"/>
      <c r="AO340" s="134"/>
      <c r="AP340" s="134"/>
      <c r="AQ340" s="134"/>
      <c r="AR340" s="134"/>
      <c r="AS340" s="134"/>
      <c r="AT340" s="134"/>
      <c r="AU340" s="134"/>
      <c r="AV340" s="134"/>
      <c r="AW340" s="134"/>
      <c r="AX340" s="134"/>
      <c r="AY340" s="134"/>
      <c r="AZ340" s="134"/>
      <c r="BA340" s="134"/>
      <c r="BB340" s="134"/>
      <c r="BC340" s="134"/>
      <c r="BD340" s="134"/>
      <c r="BE340" s="134"/>
      <c r="BF340" s="134"/>
      <c r="BG340" s="134"/>
      <c r="BH340" s="134"/>
      <c r="BI340" s="134"/>
      <c r="BJ340" s="134"/>
      <c r="BK340" s="134"/>
      <c r="BL340" s="134"/>
      <c r="BM340" s="135"/>
      <c r="BN340" s="136" t="n">
        <f aca="false">+MAX($D$3,DATOS_[[#This Row],[Fecha Inicio Sit. Contract.]])</f>
        <v>0</v>
      </c>
      <c r="BO340" s="136" t="n">
        <f aca="false">+MIN($D$4,DATOS_[[#This Row],[Fecha Fin Sit. Contract.]])</f>
        <v>0</v>
      </c>
      <c r="BP340" s="137" t="n">
        <f aca="false">+DATOS_[[#This Row],[% de jornada]]*IF(DATOS_[[#This Row],[% jornada reducida]]="",1,DATOS_[[#This Row],[% jornada reducida]])</f>
        <v>0</v>
      </c>
      <c r="BQ340" s="137" t="n">
        <f aca="false">+(DATOS_[[#This Row],[F.fin.cal]]-DATOS_[[#This Row],[F.ini.cal]]+1)/($D$4-$D$3+1)</f>
        <v>1</v>
      </c>
      <c r="BR340" s="137" t="str">
        <f aca="false">IF(OR(AND(DATOS_[[#This Row],[Fecha Fin Contrato]]&lt;$D$3,DATOS_[[#This Row],[Fecha Fin Contrato]]&lt;&gt;""),DATOS_[[#This Row],[Fecha de Contratación]]&gt;$D$4),"Fuera","Dentro")</f>
        <v>Dentro</v>
      </c>
      <c r="BS340" s="137" t="str">
        <f aca="false" t="array" ref="BS340:BS340">IF(MAX(IF(DATOS_[id]=DATOS_[[#This Row],[id]],DATOS_[F.fin.cal]))=DATOS_[[#This Row],[F.fin.cal]],"Sí","NO")</f>
        <v>Sí</v>
      </c>
      <c r="BT340" s="137" t="str">
        <f aca="false">IF(AND(DATOS_[[#This Row],[% normaliz]]&lt;&gt;1,DATOS_[[#This Row],[% anualiz]]=1),"Sí","NO")</f>
        <v>Sí</v>
      </c>
      <c r="BU340" s="137" t="str">
        <f aca="false">IF(AND(DATOS_[[#This Row],[% normaliz]]=1,DATOS_[[#This Row],[% anualiz]]&lt;&gt;1),"Sí","NO")</f>
        <v>NO</v>
      </c>
      <c r="BV340" s="137" t="str">
        <f aca="false">IF(AND(DATOS_[[#This Row],[% normaliz]]&lt;&gt;1,DATOS_[[#This Row],[% anualiz]]&lt;&gt;1),"Sí","NO")</f>
        <v>NO</v>
      </c>
      <c r="BW340" s="137" t="str">
        <f aca="false">+IF(DATOS_[[#This Row],[% normaliz]]*DATOS_[[#This Row],[% anualiz]]=1,"NO","Sí")</f>
        <v>Sí</v>
      </c>
      <c r="BX340" s="138" t="e">
        <f aca="false">(DATOS_[[#This Row],[S.BASE]]*(1/DATOS_[[#This Row],[% normaliz]])*(1/DATOS_[[#This Row],[% anualiz]]))*IF(DATOS_[[#This Row],[Check Equiparado]]="Sí",1,0)</f>
        <v>#DIV/0!</v>
      </c>
      <c r="BY3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0" s="138" t="e">
        <f aca="false">+DATOS_[[#This Row],[SALARIO BASE Eq]]+DATOS_[[#This Row],[Tot COMPL.SAL Eq]]</f>
        <v>#DIV/0!</v>
      </c>
      <c r="CA340" s="138" t="e">
        <f aca="false" t="array" ref="CA340:CA3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0" s="138" t="e">
        <f aca="false">+DATOS_[[#This Row],[TOTAL SALARIO Eq]]+DATOS_[[#This Row],[Tot Extrasalarial Eq]]</f>
        <v>#DIV/0!</v>
      </c>
      <c r="CC340" s="139" t="n">
        <f aca="false">DATOS_[[#This Row],[S.BASE]]</f>
        <v>0</v>
      </c>
      <c r="CD340" s="139" t="n">
        <f aca="false">+SUM(DATOS_[[#This Row],[Conc.Sal.01]:[Conc.Sal.30]])</f>
        <v>0</v>
      </c>
      <c r="CE340" s="139" t="n">
        <f aca="false">+DATOS_[[#This Row],[SALARIO BASE Ef]]+DATOS_[[#This Row],[Tot COMPL.SAL Ef]]</f>
        <v>0</v>
      </c>
      <c r="CF340" s="139" t="n">
        <f aca="false">+SUM(DATOS_[[#This Row],[C.Extra.01]:[C.Extra.05]])</f>
        <v>0</v>
      </c>
      <c r="CG340" s="139" t="n">
        <f aca="false">+DATOS_[[#This Row],[TOTAL SALARIO Ef]]+DATOS_[[#This Row],[Tot Extrasalarial Ef]]</f>
        <v>0</v>
      </c>
      <c r="CH340" s="140" t="n">
        <f aca="false">MIN(IF(DATOS_[[#This Row],[Fecha Fin Contrato]]="",$D$4,DATOS_[[#This Row],[Fecha Fin Contrato]]),$D$4)-MAX(DATOS_[[#This Row],[Fecha de Contratación]],$D$3)+1</f>
        <v>1</v>
      </c>
      <c r="CI340" s="141" t="str">
        <f aca="false">IF(COUNTIFS(DATOS_[id],DATOS_[[#This Row],[id]])&gt;1,DATOS_[[#This Row],[id]],"")</f>
        <v/>
      </c>
      <c r="CJ340" s="141" t="n">
        <f aca="false">(Inicio!$G$10-DATOS_[[#This Row],[Fecha Nacimiento]])/365.25</f>
        <v>0</v>
      </c>
      <c r="CK340" s="141" t="n">
        <f aca="false">(Inicio!$G$10-DATOS_[[#This Row],[Fecha de Antigüedad]])/365.25</f>
        <v>0</v>
      </c>
      <c r="CL340" s="141" t="e">
        <f aca="false">+VLOOKUP(DATOS_[[#This Row],[Clave de Contrato]],TblTiposContrato13[],3,0)</f>
        <v>#N/A</v>
      </c>
      <c r="CM340" s="141" t="e">
        <f aca="false">+VLOOKUP(DATOS_[[#This Row],[Clave de Contrato]],TblTiposContrato13[],4,0)</f>
        <v>#N/A</v>
      </c>
      <c r="CN340" s="141" t="str">
        <f aca="false">VLOOKUP(DATOS_[[#This Row],[Edad]],CONTRATOS!TblRngEdad,2,1)</f>
        <v>20  o menos</v>
      </c>
      <c r="CO340" s="141" t="str">
        <f aca="false">VLOOKUP(DATOS_[[#This Row],[Antigüedad]],TblRngAntg14[],2,1)</f>
        <v>0 a 1 años</v>
      </c>
    </row>
    <row r="341" customFormat="false" ht="13.8" hidden="false" customHeight="false" outlineLevel="0" collapsed="false">
      <c r="D341" s="128"/>
      <c r="E341" s="129"/>
      <c r="F341" s="129"/>
      <c r="G341" s="129"/>
      <c r="H341" s="130"/>
      <c r="I341" s="131"/>
      <c r="J341" s="128"/>
      <c r="K341" s="132"/>
      <c r="L341" s="132"/>
      <c r="M341" s="133"/>
      <c r="N341" s="133"/>
      <c r="O341" s="133"/>
      <c r="P341" s="129"/>
      <c r="Z341" s="75"/>
      <c r="AA341" s="76"/>
      <c r="AB341" s="76"/>
      <c r="AC341" s="129"/>
      <c r="AD341" s="134"/>
      <c r="AE341" s="134"/>
      <c r="AF341" s="134"/>
      <c r="AG341" s="134"/>
      <c r="AH341" s="134"/>
      <c r="AI341" s="134"/>
      <c r="AJ341" s="134"/>
      <c r="AK341" s="134"/>
      <c r="AL341" s="134"/>
      <c r="AM341" s="134"/>
      <c r="AN341" s="134"/>
      <c r="AO341" s="134"/>
      <c r="AP341" s="134"/>
      <c r="AQ341" s="134"/>
      <c r="AR341" s="134"/>
      <c r="AS341" s="134"/>
      <c r="AT341" s="134"/>
      <c r="AU341" s="134"/>
      <c r="AV341" s="134"/>
      <c r="AW341" s="134"/>
      <c r="AX341" s="134"/>
      <c r="AY341" s="134"/>
      <c r="AZ341" s="134"/>
      <c r="BA341" s="134"/>
      <c r="BB341" s="134"/>
      <c r="BC341" s="134"/>
      <c r="BD341" s="134"/>
      <c r="BE341" s="134"/>
      <c r="BF341" s="134"/>
      <c r="BG341" s="134"/>
      <c r="BH341" s="134"/>
      <c r="BI341" s="134"/>
      <c r="BJ341" s="134"/>
      <c r="BK341" s="134"/>
      <c r="BL341" s="134"/>
      <c r="BM341" s="135"/>
      <c r="BN341" s="136" t="n">
        <f aca="false">+MAX($D$3,DATOS_[[#This Row],[Fecha Inicio Sit. Contract.]])</f>
        <v>0</v>
      </c>
      <c r="BO341" s="136" t="n">
        <f aca="false">+MIN($D$4,DATOS_[[#This Row],[Fecha Fin Sit. Contract.]])</f>
        <v>0</v>
      </c>
      <c r="BP341" s="137" t="n">
        <f aca="false">+DATOS_[[#This Row],[% de jornada]]*IF(DATOS_[[#This Row],[% jornada reducida]]="",1,DATOS_[[#This Row],[% jornada reducida]])</f>
        <v>0</v>
      </c>
      <c r="BQ341" s="137" t="n">
        <f aca="false">+(DATOS_[[#This Row],[F.fin.cal]]-DATOS_[[#This Row],[F.ini.cal]]+1)/($D$4-$D$3+1)</f>
        <v>1</v>
      </c>
      <c r="BR341" s="137" t="str">
        <f aca="false">IF(OR(AND(DATOS_[[#This Row],[Fecha Fin Contrato]]&lt;$D$3,DATOS_[[#This Row],[Fecha Fin Contrato]]&lt;&gt;""),DATOS_[[#This Row],[Fecha de Contratación]]&gt;$D$4),"Fuera","Dentro")</f>
        <v>Dentro</v>
      </c>
      <c r="BS341" s="137" t="str">
        <f aca="false" t="array" ref="BS341:BS341">IF(MAX(IF(DATOS_[id]=DATOS_[[#This Row],[id]],DATOS_[F.fin.cal]))=DATOS_[[#This Row],[F.fin.cal]],"Sí","NO")</f>
        <v>Sí</v>
      </c>
      <c r="BT341" s="137" t="str">
        <f aca="false">IF(AND(DATOS_[[#This Row],[% normaliz]]&lt;&gt;1,DATOS_[[#This Row],[% anualiz]]=1),"Sí","NO")</f>
        <v>Sí</v>
      </c>
      <c r="BU341" s="137" t="str">
        <f aca="false">IF(AND(DATOS_[[#This Row],[% normaliz]]=1,DATOS_[[#This Row],[% anualiz]]&lt;&gt;1),"Sí","NO")</f>
        <v>NO</v>
      </c>
      <c r="BV341" s="137" t="str">
        <f aca="false">IF(AND(DATOS_[[#This Row],[% normaliz]]&lt;&gt;1,DATOS_[[#This Row],[% anualiz]]&lt;&gt;1),"Sí","NO")</f>
        <v>NO</v>
      </c>
      <c r="BW341" s="137" t="str">
        <f aca="false">+IF(DATOS_[[#This Row],[% normaliz]]*DATOS_[[#This Row],[% anualiz]]=1,"NO","Sí")</f>
        <v>Sí</v>
      </c>
      <c r="BX341" s="138" t="e">
        <f aca="false">(DATOS_[[#This Row],[S.BASE]]*(1/DATOS_[[#This Row],[% normaliz]])*(1/DATOS_[[#This Row],[% anualiz]]))*IF(DATOS_[[#This Row],[Check Equiparado]]="Sí",1,0)</f>
        <v>#DIV/0!</v>
      </c>
      <c r="BY3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1" s="138" t="e">
        <f aca="false">+DATOS_[[#This Row],[SALARIO BASE Eq]]+DATOS_[[#This Row],[Tot COMPL.SAL Eq]]</f>
        <v>#DIV/0!</v>
      </c>
      <c r="CA341" s="138" t="e">
        <f aca="false" t="array" ref="CA341:CA3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1" s="138" t="e">
        <f aca="false">+DATOS_[[#This Row],[TOTAL SALARIO Eq]]+DATOS_[[#This Row],[Tot Extrasalarial Eq]]</f>
        <v>#DIV/0!</v>
      </c>
      <c r="CC341" s="139" t="n">
        <f aca="false">DATOS_[[#This Row],[S.BASE]]</f>
        <v>0</v>
      </c>
      <c r="CD341" s="139" t="n">
        <f aca="false">+SUM(DATOS_[[#This Row],[Conc.Sal.01]:[Conc.Sal.30]])</f>
        <v>0</v>
      </c>
      <c r="CE341" s="139" t="n">
        <f aca="false">+DATOS_[[#This Row],[SALARIO BASE Ef]]+DATOS_[[#This Row],[Tot COMPL.SAL Ef]]</f>
        <v>0</v>
      </c>
      <c r="CF341" s="139" t="n">
        <f aca="false">+SUM(DATOS_[[#This Row],[C.Extra.01]:[C.Extra.05]])</f>
        <v>0</v>
      </c>
      <c r="CG341" s="139" t="n">
        <f aca="false">+DATOS_[[#This Row],[TOTAL SALARIO Ef]]+DATOS_[[#This Row],[Tot Extrasalarial Ef]]</f>
        <v>0</v>
      </c>
      <c r="CH341" s="140" t="n">
        <f aca="false">MIN(IF(DATOS_[[#This Row],[Fecha Fin Contrato]]="",$D$4,DATOS_[[#This Row],[Fecha Fin Contrato]]),$D$4)-MAX(DATOS_[[#This Row],[Fecha de Contratación]],$D$3)+1</f>
        <v>1</v>
      </c>
      <c r="CI341" s="141" t="str">
        <f aca="false">IF(COUNTIFS(DATOS_[id],DATOS_[[#This Row],[id]])&gt;1,DATOS_[[#This Row],[id]],"")</f>
        <v/>
      </c>
      <c r="CJ341" s="141" t="n">
        <f aca="false">(Inicio!$G$10-DATOS_[[#This Row],[Fecha Nacimiento]])/365.25</f>
        <v>0</v>
      </c>
      <c r="CK341" s="141" t="n">
        <f aca="false">(Inicio!$G$10-DATOS_[[#This Row],[Fecha de Antigüedad]])/365.25</f>
        <v>0</v>
      </c>
      <c r="CL341" s="141" t="e">
        <f aca="false">+VLOOKUP(DATOS_[[#This Row],[Clave de Contrato]],TblTiposContrato13[],3,0)</f>
        <v>#N/A</v>
      </c>
      <c r="CM341" s="141" t="e">
        <f aca="false">+VLOOKUP(DATOS_[[#This Row],[Clave de Contrato]],TblTiposContrato13[],4,0)</f>
        <v>#N/A</v>
      </c>
      <c r="CN341" s="141" t="str">
        <f aca="false">VLOOKUP(DATOS_[[#This Row],[Edad]],CONTRATOS!TblRngEdad,2,1)</f>
        <v>20  o menos</v>
      </c>
      <c r="CO341" s="141" t="str">
        <f aca="false">VLOOKUP(DATOS_[[#This Row],[Antigüedad]],TblRngAntg14[],2,1)</f>
        <v>0 a 1 años</v>
      </c>
    </row>
    <row r="342" customFormat="false" ht="13.8" hidden="false" customHeight="false" outlineLevel="0" collapsed="false">
      <c r="D342" s="128"/>
      <c r="E342" s="129"/>
      <c r="F342" s="129"/>
      <c r="G342" s="129"/>
      <c r="H342" s="130"/>
      <c r="I342" s="131"/>
      <c r="J342" s="128"/>
      <c r="K342" s="132"/>
      <c r="L342" s="132"/>
      <c r="M342" s="133"/>
      <c r="N342" s="133"/>
      <c r="O342" s="133"/>
      <c r="P342" s="129"/>
      <c r="Z342" s="75"/>
      <c r="AA342" s="76"/>
      <c r="AB342" s="76"/>
      <c r="AC342" s="129"/>
      <c r="AD342" s="134"/>
      <c r="AE342" s="134"/>
      <c r="AF342" s="134"/>
      <c r="AG342" s="134"/>
      <c r="AH342" s="134"/>
      <c r="AI342" s="134"/>
      <c r="AJ342" s="134"/>
      <c r="AK342" s="134"/>
      <c r="AL342" s="134"/>
      <c r="AM342" s="134"/>
      <c r="AN342" s="134"/>
      <c r="AO342" s="134"/>
      <c r="AP342" s="134"/>
      <c r="AQ342" s="134"/>
      <c r="AR342" s="134"/>
      <c r="AS342" s="134"/>
      <c r="AT342" s="134"/>
      <c r="AU342" s="134"/>
      <c r="AV342" s="134"/>
      <c r="AW342" s="134"/>
      <c r="AX342" s="134"/>
      <c r="AY342" s="134"/>
      <c r="AZ342" s="134"/>
      <c r="BA342" s="134"/>
      <c r="BB342" s="134"/>
      <c r="BC342" s="134"/>
      <c r="BD342" s="134"/>
      <c r="BE342" s="134"/>
      <c r="BF342" s="134"/>
      <c r="BG342" s="134"/>
      <c r="BH342" s="134"/>
      <c r="BI342" s="134"/>
      <c r="BJ342" s="134"/>
      <c r="BK342" s="134"/>
      <c r="BL342" s="134"/>
      <c r="BM342" s="135"/>
      <c r="BN342" s="136" t="n">
        <f aca="false">+MAX($D$3,DATOS_[[#This Row],[Fecha Inicio Sit. Contract.]])</f>
        <v>0</v>
      </c>
      <c r="BO342" s="136" t="n">
        <f aca="false">+MIN($D$4,DATOS_[[#This Row],[Fecha Fin Sit. Contract.]])</f>
        <v>0</v>
      </c>
      <c r="BP342" s="137" t="n">
        <f aca="false">+DATOS_[[#This Row],[% de jornada]]*IF(DATOS_[[#This Row],[% jornada reducida]]="",1,DATOS_[[#This Row],[% jornada reducida]])</f>
        <v>0</v>
      </c>
      <c r="BQ342" s="137" t="n">
        <f aca="false">+(DATOS_[[#This Row],[F.fin.cal]]-DATOS_[[#This Row],[F.ini.cal]]+1)/($D$4-$D$3+1)</f>
        <v>1</v>
      </c>
      <c r="BR342" s="137" t="str">
        <f aca="false">IF(OR(AND(DATOS_[[#This Row],[Fecha Fin Contrato]]&lt;$D$3,DATOS_[[#This Row],[Fecha Fin Contrato]]&lt;&gt;""),DATOS_[[#This Row],[Fecha de Contratación]]&gt;$D$4),"Fuera","Dentro")</f>
        <v>Dentro</v>
      </c>
      <c r="BS342" s="137" t="str">
        <f aca="false" t="array" ref="BS342:BS342">IF(MAX(IF(DATOS_[id]=DATOS_[[#This Row],[id]],DATOS_[F.fin.cal]))=DATOS_[[#This Row],[F.fin.cal]],"Sí","NO")</f>
        <v>Sí</v>
      </c>
      <c r="BT342" s="137" t="str">
        <f aca="false">IF(AND(DATOS_[[#This Row],[% normaliz]]&lt;&gt;1,DATOS_[[#This Row],[% anualiz]]=1),"Sí","NO")</f>
        <v>Sí</v>
      </c>
      <c r="BU342" s="137" t="str">
        <f aca="false">IF(AND(DATOS_[[#This Row],[% normaliz]]=1,DATOS_[[#This Row],[% anualiz]]&lt;&gt;1),"Sí","NO")</f>
        <v>NO</v>
      </c>
      <c r="BV342" s="137" t="str">
        <f aca="false">IF(AND(DATOS_[[#This Row],[% normaliz]]&lt;&gt;1,DATOS_[[#This Row],[% anualiz]]&lt;&gt;1),"Sí","NO")</f>
        <v>NO</v>
      </c>
      <c r="BW342" s="137" t="str">
        <f aca="false">+IF(DATOS_[[#This Row],[% normaliz]]*DATOS_[[#This Row],[% anualiz]]=1,"NO","Sí")</f>
        <v>Sí</v>
      </c>
      <c r="BX342" s="138" t="e">
        <f aca="false">(DATOS_[[#This Row],[S.BASE]]*(1/DATOS_[[#This Row],[% normaliz]])*(1/DATOS_[[#This Row],[% anualiz]]))*IF(DATOS_[[#This Row],[Check Equiparado]]="Sí",1,0)</f>
        <v>#DIV/0!</v>
      </c>
      <c r="BY3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2" s="138" t="e">
        <f aca="false">+DATOS_[[#This Row],[SALARIO BASE Eq]]+DATOS_[[#This Row],[Tot COMPL.SAL Eq]]</f>
        <v>#DIV/0!</v>
      </c>
      <c r="CA342" s="138" t="e">
        <f aca="false" t="array" ref="CA342:CA3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2" s="138" t="e">
        <f aca="false">+DATOS_[[#This Row],[TOTAL SALARIO Eq]]+DATOS_[[#This Row],[Tot Extrasalarial Eq]]</f>
        <v>#DIV/0!</v>
      </c>
      <c r="CC342" s="139" t="n">
        <f aca="false">DATOS_[[#This Row],[S.BASE]]</f>
        <v>0</v>
      </c>
      <c r="CD342" s="139" t="n">
        <f aca="false">+SUM(DATOS_[[#This Row],[Conc.Sal.01]:[Conc.Sal.30]])</f>
        <v>0</v>
      </c>
      <c r="CE342" s="139" t="n">
        <f aca="false">+DATOS_[[#This Row],[SALARIO BASE Ef]]+DATOS_[[#This Row],[Tot COMPL.SAL Ef]]</f>
        <v>0</v>
      </c>
      <c r="CF342" s="139" t="n">
        <f aca="false">+SUM(DATOS_[[#This Row],[C.Extra.01]:[C.Extra.05]])</f>
        <v>0</v>
      </c>
      <c r="CG342" s="139" t="n">
        <f aca="false">+DATOS_[[#This Row],[TOTAL SALARIO Ef]]+DATOS_[[#This Row],[Tot Extrasalarial Ef]]</f>
        <v>0</v>
      </c>
      <c r="CH342" s="140" t="n">
        <f aca="false">MIN(IF(DATOS_[[#This Row],[Fecha Fin Contrato]]="",$D$4,DATOS_[[#This Row],[Fecha Fin Contrato]]),$D$4)-MAX(DATOS_[[#This Row],[Fecha de Contratación]],$D$3)+1</f>
        <v>1</v>
      </c>
      <c r="CI342" s="141" t="str">
        <f aca="false">IF(COUNTIFS(DATOS_[id],DATOS_[[#This Row],[id]])&gt;1,DATOS_[[#This Row],[id]],"")</f>
        <v/>
      </c>
      <c r="CJ342" s="141" t="n">
        <f aca="false">(Inicio!$G$10-DATOS_[[#This Row],[Fecha Nacimiento]])/365.25</f>
        <v>0</v>
      </c>
      <c r="CK342" s="141" t="n">
        <f aca="false">(Inicio!$G$10-DATOS_[[#This Row],[Fecha de Antigüedad]])/365.25</f>
        <v>0</v>
      </c>
      <c r="CL342" s="141" t="e">
        <f aca="false">+VLOOKUP(DATOS_[[#This Row],[Clave de Contrato]],TblTiposContrato13[],3,0)</f>
        <v>#N/A</v>
      </c>
      <c r="CM342" s="141" t="e">
        <f aca="false">+VLOOKUP(DATOS_[[#This Row],[Clave de Contrato]],TblTiposContrato13[],4,0)</f>
        <v>#N/A</v>
      </c>
      <c r="CN342" s="141" t="str">
        <f aca="false">VLOOKUP(DATOS_[[#This Row],[Edad]],CONTRATOS!TblRngEdad,2,1)</f>
        <v>20  o menos</v>
      </c>
      <c r="CO342" s="141" t="str">
        <f aca="false">VLOOKUP(DATOS_[[#This Row],[Antigüedad]],TblRngAntg14[],2,1)</f>
        <v>0 a 1 años</v>
      </c>
    </row>
    <row r="343" customFormat="false" ht="13.8" hidden="false" customHeight="false" outlineLevel="0" collapsed="false">
      <c r="D343" s="128"/>
      <c r="E343" s="129"/>
      <c r="F343" s="129"/>
      <c r="G343" s="129"/>
      <c r="H343" s="130"/>
      <c r="I343" s="131"/>
      <c r="J343" s="128"/>
      <c r="K343" s="132"/>
      <c r="L343" s="132"/>
      <c r="M343" s="133"/>
      <c r="N343" s="133"/>
      <c r="O343" s="133"/>
      <c r="P343" s="129"/>
      <c r="Z343" s="75"/>
      <c r="AA343" s="76"/>
      <c r="AB343" s="76"/>
      <c r="AC343" s="129"/>
      <c r="AD343" s="134"/>
      <c r="AE343" s="134"/>
      <c r="AF343" s="134"/>
      <c r="AG343" s="134"/>
      <c r="AH343" s="134"/>
      <c r="AI343" s="134"/>
      <c r="AJ343" s="134"/>
      <c r="AK343" s="134"/>
      <c r="AL343" s="134"/>
      <c r="AM343" s="134"/>
      <c r="AN343" s="134"/>
      <c r="AO343" s="134"/>
      <c r="AP343" s="134"/>
      <c r="AQ343" s="134"/>
      <c r="AR343" s="134"/>
      <c r="AS343" s="134"/>
      <c r="AT343" s="134"/>
      <c r="AU343" s="134"/>
      <c r="AV343" s="134"/>
      <c r="AW343" s="134"/>
      <c r="AX343" s="134"/>
      <c r="AY343" s="134"/>
      <c r="AZ343" s="134"/>
      <c r="BA343" s="134"/>
      <c r="BB343" s="134"/>
      <c r="BC343" s="134"/>
      <c r="BD343" s="134"/>
      <c r="BE343" s="134"/>
      <c r="BF343" s="134"/>
      <c r="BG343" s="134"/>
      <c r="BH343" s="134"/>
      <c r="BI343" s="134"/>
      <c r="BJ343" s="134"/>
      <c r="BK343" s="134"/>
      <c r="BL343" s="134"/>
      <c r="BM343" s="135"/>
      <c r="BN343" s="136" t="n">
        <f aca="false">+MAX($D$3,DATOS_[[#This Row],[Fecha Inicio Sit. Contract.]])</f>
        <v>0</v>
      </c>
      <c r="BO343" s="136" t="n">
        <f aca="false">+MIN($D$4,DATOS_[[#This Row],[Fecha Fin Sit. Contract.]])</f>
        <v>0</v>
      </c>
      <c r="BP343" s="137" t="n">
        <f aca="false">+DATOS_[[#This Row],[% de jornada]]*IF(DATOS_[[#This Row],[% jornada reducida]]="",1,DATOS_[[#This Row],[% jornada reducida]])</f>
        <v>0</v>
      </c>
      <c r="BQ343" s="137" t="n">
        <f aca="false">+(DATOS_[[#This Row],[F.fin.cal]]-DATOS_[[#This Row],[F.ini.cal]]+1)/($D$4-$D$3+1)</f>
        <v>1</v>
      </c>
      <c r="BR343" s="137" t="str">
        <f aca="false">IF(OR(AND(DATOS_[[#This Row],[Fecha Fin Contrato]]&lt;$D$3,DATOS_[[#This Row],[Fecha Fin Contrato]]&lt;&gt;""),DATOS_[[#This Row],[Fecha de Contratación]]&gt;$D$4),"Fuera","Dentro")</f>
        <v>Dentro</v>
      </c>
      <c r="BS343" s="137" t="str">
        <f aca="false" t="array" ref="BS343:BS343">IF(MAX(IF(DATOS_[id]=DATOS_[[#This Row],[id]],DATOS_[F.fin.cal]))=DATOS_[[#This Row],[F.fin.cal]],"Sí","NO")</f>
        <v>Sí</v>
      </c>
      <c r="BT343" s="137" t="str">
        <f aca="false">IF(AND(DATOS_[[#This Row],[% normaliz]]&lt;&gt;1,DATOS_[[#This Row],[% anualiz]]=1),"Sí","NO")</f>
        <v>Sí</v>
      </c>
      <c r="BU343" s="137" t="str">
        <f aca="false">IF(AND(DATOS_[[#This Row],[% normaliz]]=1,DATOS_[[#This Row],[% anualiz]]&lt;&gt;1),"Sí","NO")</f>
        <v>NO</v>
      </c>
      <c r="BV343" s="137" t="str">
        <f aca="false">IF(AND(DATOS_[[#This Row],[% normaliz]]&lt;&gt;1,DATOS_[[#This Row],[% anualiz]]&lt;&gt;1),"Sí","NO")</f>
        <v>NO</v>
      </c>
      <c r="BW343" s="137" t="str">
        <f aca="false">+IF(DATOS_[[#This Row],[% normaliz]]*DATOS_[[#This Row],[% anualiz]]=1,"NO","Sí")</f>
        <v>Sí</v>
      </c>
      <c r="BX343" s="138" t="e">
        <f aca="false">(DATOS_[[#This Row],[S.BASE]]*(1/DATOS_[[#This Row],[% normaliz]])*(1/DATOS_[[#This Row],[% anualiz]]))*IF(DATOS_[[#This Row],[Check Equiparado]]="Sí",1,0)</f>
        <v>#DIV/0!</v>
      </c>
      <c r="BY3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3" s="138" t="e">
        <f aca="false">+DATOS_[[#This Row],[SALARIO BASE Eq]]+DATOS_[[#This Row],[Tot COMPL.SAL Eq]]</f>
        <v>#DIV/0!</v>
      </c>
      <c r="CA343" s="138" t="e">
        <f aca="false" t="array" ref="CA343:CA3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3" s="138" t="e">
        <f aca="false">+DATOS_[[#This Row],[TOTAL SALARIO Eq]]+DATOS_[[#This Row],[Tot Extrasalarial Eq]]</f>
        <v>#DIV/0!</v>
      </c>
      <c r="CC343" s="139" t="n">
        <f aca="false">DATOS_[[#This Row],[S.BASE]]</f>
        <v>0</v>
      </c>
      <c r="CD343" s="139" t="n">
        <f aca="false">+SUM(DATOS_[[#This Row],[Conc.Sal.01]:[Conc.Sal.30]])</f>
        <v>0</v>
      </c>
      <c r="CE343" s="139" t="n">
        <f aca="false">+DATOS_[[#This Row],[SALARIO BASE Ef]]+DATOS_[[#This Row],[Tot COMPL.SAL Ef]]</f>
        <v>0</v>
      </c>
      <c r="CF343" s="139" t="n">
        <f aca="false">+SUM(DATOS_[[#This Row],[C.Extra.01]:[C.Extra.05]])</f>
        <v>0</v>
      </c>
      <c r="CG343" s="139" t="n">
        <f aca="false">+DATOS_[[#This Row],[TOTAL SALARIO Ef]]+DATOS_[[#This Row],[Tot Extrasalarial Ef]]</f>
        <v>0</v>
      </c>
      <c r="CH343" s="140" t="n">
        <f aca="false">MIN(IF(DATOS_[[#This Row],[Fecha Fin Contrato]]="",$D$4,DATOS_[[#This Row],[Fecha Fin Contrato]]),$D$4)-MAX(DATOS_[[#This Row],[Fecha de Contratación]],$D$3)+1</f>
        <v>1</v>
      </c>
      <c r="CI343" s="141" t="str">
        <f aca="false">IF(COUNTIFS(DATOS_[id],DATOS_[[#This Row],[id]])&gt;1,DATOS_[[#This Row],[id]],"")</f>
        <v/>
      </c>
      <c r="CJ343" s="141" t="n">
        <f aca="false">(Inicio!$G$10-DATOS_[[#This Row],[Fecha Nacimiento]])/365.25</f>
        <v>0</v>
      </c>
      <c r="CK343" s="141" t="n">
        <f aca="false">(Inicio!$G$10-DATOS_[[#This Row],[Fecha de Antigüedad]])/365.25</f>
        <v>0</v>
      </c>
      <c r="CL343" s="141" t="e">
        <f aca="false">+VLOOKUP(DATOS_[[#This Row],[Clave de Contrato]],TblTiposContrato13[],3,0)</f>
        <v>#N/A</v>
      </c>
      <c r="CM343" s="141" t="e">
        <f aca="false">+VLOOKUP(DATOS_[[#This Row],[Clave de Contrato]],TblTiposContrato13[],4,0)</f>
        <v>#N/A</v>
      </c>
      <c r="CN343" s="141" t="str">
        <f aca="false">VLOOKUP(DATOS_[[#This Row],[Edad]],CONTRATOS!TblRngEdad,2,1)</f>
        <v>20  o menos</v>
      </c>
      <c r="CO343" s="141" t="str">
        <f aca="false">VLOOKUP(DATOS_[[#This Row],[Antigüedad]],TblRngAntg14[],2,1)</f>
        <v>0 a 1 años</v>
      </c>
    </row>
    <row r="344" customFormat="false" ht="13.8" hidden="false" customHeight="false" outlineLevel="0" collapsed="false">
      <c r="D344" s="128"/>
      <c r="E344" s="129"/>
      <c r="F344" s="129"/>
      <c r="G344" s="129"/>
      <c r="H344" s="130"/>
      <c r="I344" s="131"/>
      <c r="J344" s="128"/>
      <c r="K344" s="132"/>
      <c r="L344" s="132"/>
      <c r="M344" s="133"/>
      <c r="N344" s="133"/>
      <c r="O344" s="133"/>
      <c r="P344" s="129"/>
      <c r="Z344" s="75"/>
      <c r="AA344" s="76"/>
      <c r="AB344" s="76"/>
      <c r="AC344" s="129"/>
      <c r="AD344" s="134"/>
      <c r="AE344" s="134"/>
      <c r="AF344" s="134"/>
      <c r="AG344" s="134"/>
      <c r="AH344" s="134"/>
      <c r="AI344" s="134"/>
      <c r="AJ344" s="134"/>
      <c r="AK344" s="134"/>
      <c r="AL344" s="134"/>
      <c r="AM344" s="134"/>
      <c r="AN344" s="134"/>
      <c r="AO344" s="134"/>
      <c r="AP344" s="134"/>
      <c r="AQ344" s="134"/>
      <c r="AR344" s="134"/>
      <c r="AS344" s="134"/>
      <c r="AT344" s="134"/>
      <c r="AU344" s="134"/>
      <c r="AV344" s="134"/>
      <c r="AW344" s="134"/>
      <c r="AX344" s="134"/>
      <c r="AY344" s="134"/>
      <c r="AZ344" s="134"/>
      <c r="BA344" s="134"/>
      <c r="BB344" s="134"/>
      <c r="BC344" s="134"/>
      <c r="BD344" s="134"/>
      <c r="BE344" s="134"/>
      <c r="BF344" s="134"/>
      <c r="BG344" s="134"/>
      <c r="BH344" s="134"/>
      <c r="BI344" s="134"/>
      <c r="BJ344" s="134"/>
      <c r="BK344" s="134"/>
      <c r="BL344" s="134"/>
      <c r="BM344" s="135"/>
      <c r="BN344" s="136" t="n">
        <f aca="false">+MAX($D$3,DATOS_[[#This Row],[Fecha Inicio Sit. Contract.]])</f>
        <v>0</v>
      </c>
      <c r="BO344" s="136" t="n">
        <f aca="false">+MIN($D$4,DATOS_[[#This Row],[Fecha Fin Sit. Contract.]])</f>
        <v>0</v>
      </c>
      <c r="BP344" s="137" t="n">
        <f aca="false">+DATOS_[[#This Row],[% de jornada]]*IF(DATOS_[[#This Row],[% jornada reducida]]="",1,DATOS_[[#This Row],[% jornada reducida]])</f>
        <v>0</v>
      </c>
      <c r="BQ344" s="137" t="n">
        <f aca="false">+(DATOS_[[#This Row],[F.fin.cal]]-DATOS_[[#This Row],[F.ini.cal]]+1)/($D$4-$D$3+1)</f>
        <v>1</v>
      </c>
      <c r="BR344" s="137" t="str">
        <f aca="false">IF(OR(AND(DATOS_[[#This Row],[Fecha Fin Contrato]]&lt;$D$3,DATOS_[[#This Row],[Fecha Fin Contrato]]&lt;&gt;""),DATOS_[[#This Row],[Fecha de Contratación]]&gt;$D$4),"Fuera","Dentro")</f>
        <v>Dentro</v>
      </c>
      <c r="BS344" s="137" t="str">
        <f aca="false" t="array" ref="BS344:BS344">IF(MAX(IF(DATOS_[id]=DATOS_[[#This Row],[id]],DATOS_[F.fin.cal]))=DATOS_[[#This Row],[F.fin.cal]],"Sí","NO")</f>
        <v>Sí</v>
      </c>
      <c r="BT344" s="137" t="str">
        <f aca="false">IF(AND(DATOS_[[#This Row],[% normaliz]]&lt;&gt;1,DATOS_[[#This Row],[% anualiz]]=1),"Sí","NO")</f>
        <v>Sí</v>
      </c>
      <c r="BU344" s="137" t="str">
        <f aca="false">IF(AND(DATOS_[[#This Row],[% normaliz]]=1,DATOS_[[#This Row],[% anualiz]]&lt;&gt;1),"Sí","NO")</f>
        <v>NO</v>
      </c>
      <c r="BV344" s="137" t="str">
        <f aca="false">IF(AND(DATOS_[[#This Row],[% normaliz]]&lt;&gt;1,DATOS_[[#This Row],[% anualiz]]&lt;&gt;1),"Sí","NO")</f>
        <v>NO</v>
      </c>
      <c r="BW344" s="137" t="str">
        <f aca="false">+IF(DATOS_[[#This Row],[% normaliz]]*DATOS_[[#This Row],[% anualiz]]=1,"NO","Sí")</f>
        <v>Sí</v>
      </c>
      <c r="BX344" s="138" t="e">
        <f aca="false">(DATOS_[[#This Row],[S.BASE]]*(1/DATOS_[[#This Row],[% normaliz]])*(1/DATOS_[[#This Row],[% anualiz]]))*IF(DATOS_[[#This Row],[Check Equiparado]]="Sí",1,0)</f>
        <v>#DIV/0!</v>
      </c>
      <c r="BY3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4" s="138" t="e">
        <f aca="false">+DATOS_[[#This Row],[SALARIO BASE Eq]]+DATOS_[[#This Row],[Tot COMPL.SAL Eq]]</f>
        <v>#DIV/0!</v>
      </c>
      <c r="CA344" s="138" t="e">
        <f aca="false" t="array" ref="CA344:CA3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4" s="138" t="e">
        <f aca="false">+DATOS_[[#This Row],[TOTAL SALARIO Eq]]+DATOS_[[#This Row],[Tot Extrasalarial Eq]]</f>
        <v>#DIV/0!</v>
      </c>
      <c r="CC344" s="139" t="n">
        <f aca="false">DATOS_[[#This Row],[S.BASE]]</f>
        <v>0</v>
      </c>
      <c r="CD344" s="139" t="n">
        <f aca="false">+SUM(DATOS_[[#This Row],[Conc.Sal.01]:[Conc.Sal.30]])</f>
        <v>0</v>
      </c>
      <c r="CE344" s="139" t="n">
        <f aca="false">+DATOS_[[#This Row],[SALARIO BASE Ef]]+DATOS_[[#This Row],[Tot COMPL.SAL Ef]]</f>
        <v>0</v>
      </c>
      <c r="CF344" s="139" t="n">
        <f aca="false">+SUM(DATOS_[[#This Row],[C.Extra.01]:[C.Extra.05]])</f>
        <v>0</v>
      </c>
      <c r="CG344" s="139" t="n">
        <f aca="false">+DATOS_[[#This Row],[TOTAL SALARIO Ef]]+DATOS_[[#This Row],[Tot Extrasalarial Ef]]</f>
        <v>0</v>
      </c>
      <c r="CH344" s="140" t="n">
        <f aca="false">MIN(IF(DATOS_[[#This Row],[Fecha Fin Contrato]]="",$D$4,DATOS_[[#This Row],[Fecha Fin Contrato]]),$D$4)-MAX(DATOS_[[#This Row],[Fecha de Contratación]],$D$3)+1</f>
        <v>1</v>
      </c>
      <c r="CI344" s="141" t="str">
        <f aca="false">IF(COUNTIFS(DATOS_[id],DATOS_[[#This Row],[id]])&gt;1,DATOS_[[#This Row],[id]],"")</f>
        <v/>
      </c>
      <c r="CJ344" s="141" t="n">
        <f aca="false">(Inicio!$G$10-DATOS_[[#This Row],[Fecha Nacimiento]])/365.25</f>
        <v>0</v>
      </c>
      <c r="CK344" s="141" t="n">
        <f aca="false">(Inicio!$G$10-DATOS_[[#This Row],[Fecha de Antigüedad]])/365.25</f>
        <v>0</v>
      </c>
      <c r="CL344" s="141" t="e">
        <f aca="false">+VLOOKUP(DATOS_[[#This Row],[Clave de Contrato]],TblTiposContrato13[],3,0)</f>
        <v>#N/A</v>
      </c>
      <c r="CM344" s="141" t="e">
        <f aca="false">+VLOOKUP(DATOS_[[#This Row],[Clave de Contrato]],TblTiposContrato13[],4,0)</f>
        <v>#N/A</v>
      </c>
      <c r="CN344" s="141" t="str">
        <f aca="false">VLOOKUP(DATOS_[[#This Row],[Edad]],CONTRATOS!TblRngEdad,2,1)</f>
        <v>20  o menos</v>
      </c>
      <c r="CO344" s="141" t="str">
        <f aca="false">VLOOKUP(DATOS_[[#This Row],[Antigüedad]],TblRngAntg14[],2,1)</f>
        <v>0 a 1 años</v>
      </c>
    </row>
    <row r="345" customFormat="false" ht="13.8" hidden="false" customHeight="false" outlineLevel="0" collapsed="false">
      <c r="D345" s="128"/>
      <c r="E345" s="129"/>
      <c r="F345" s="129"/>
      <c r="G345" s="129"/>
      <c r="H345" s="130"/>
      <c r="I345" s="131"/>
      <c r="J345" s="128"/>
      <c r="K345" s="132"/>
      <c r="L345" s="132"/>
      <c r="M345" s="133"/>
      <c r="N345" s="133"/>
      <c r="O345" s="133"/>
      <c r="P345" s="129"/>
      <c r="Z345" s="75"/>
      <c r="AA345" s="76"/>
      <c r="AB345" s="76"/>
      <c r="AC345" s="129"/>
      <c r="AD345" s="134"/>
      <c r="AE345" s="134"/>
      <c r="AF345" s="134"/>
      <c r="AG345" s="134"/>
      <c r="AH345" s="134"/>
      <c r="AI345" s="134"/>
      <c r="AJ345" s="134"/>
      <c r="AK345" s="134"/>
      <c r="AL345" s="134"/>
      <c r="AM345" s="134"/>
      <c r="AN345" s="134"/>
      <c r="AO345" s="134"/>
      <c r="AP345" s="134"/>
      <c r="AQ345" s="134"/>
      <c r="AR345" s="134"/>
      <c r="AS345" s="134"/>
      <c r="AT345" s="134"/>
      <c r="AU345" s="134"/>
      <c r="AV345" s="134"/>
      <c r="AW345" s="134"/>
      <c r="AX345" s="134"/>
      <c r="AY345" s="134"/>
      <c r="AZ345" s="134"/>
      <c r="BA345" s="134"/>
      <c r="BB345" s="134"/>
      <c r="BC345" s="134"/>
      <c r="BD345" s="134"/>
      <c r="BE345" s="134"/>
      <c r="BF345" s="134"/>
      <c r="BG345" s="134"/>
      <c r="BH345" s="134"/>
      <c r="BI345" s="134"/>
      <c r="BJ345" s="134"/>
      <c r="BK345" s="134"/>
      <c r="BL345" s="134"/>
      <c r="BM345" s="135"/>
      <c r="BN345" s="136" t="n">
        <f aca="false">+MAX($D$3,DATOS_[[#This Row],[Fecha Inicio Sit. Contract.]])</f>
        <v>0</v>
      </c>
      <c r="BO345" s="136" t="n">
        <f aca="false">+MIN($D$4,DATOS_[[#This Row],[Fecha Fin Sit. Contract.]])</f>
        <v>0</v>
      </c>
      <c r="BP345" s="137" t="n">
        <f aca="false">+DATOS_[[#This Row],[% de jornada]]*IF(DATOS_[[#This Row],[% jornada reducida]]="",1,DATOS_[[#This Row],[% jornada reducida]])</f>
        <v>0</v>
      </c>
      <c r="BQ345" s="137" t="n">
        <f aca="false">+(DATOS_[[#This Row],[F.fin.cal]]-DATOS_[[#This Row],[F.ini.cal]]+1)/($D$4-$D$3+1)</f>
        <v>1</v>
      </c>
      <c r="BR345" s="137" t="str">
        <f aca="false">IF(OR(AND(DATOS_[[#This Row],[Fecha Fin Contrato]]&lt;$D$3,DATOS_[[#This Row],[Fecha Fin Contrato]]&lt;&gt;""),DATOS_[[#This Row],[Fecha de Contratación]]&gt;$D$4),"Fuera","Dentro")</f>
        <v>Dentro</v>
      </c>
      <c r="BS345" s="137" t="str">
        <f aca="false" t="array" ref="BS345:BS345">IF(MAX(IF(DATOS_[id]=DATOS_[[#This Row],[id]],DATOS_[F.fin.cal]))=DATOS_[[#This Row],[F.fin.cal]],"Sí","NO")</f>
        <v>Sí</v>
      </c>
      <c r="BT345" s="137" t="str">
        <f aca="false">IF(AND(DATOS_[[#This Row],[% normaliz]]&lt;&gt;1,DATOS_[[#This Row],[% anualiz]]=1),"Sí","NO")</f>
        <v>Sí</v>
      </c>
      <c r="BU345" s="137" t="str">
        <f aca="false">IF(AND(DATOS_[[#This Row],[% normaliz]]=1,DATOS_[[#This Row],[% anualiz]]&lt;&gt;1),"Sí","NO")</f>
        <v>NO</v>
      </c>
      <c r="BV345" s="137" t="str">
        <f aca="false">IF(AND(DATOS_[[#This Row],[% normaliz]]&lt;&gt;1,DATOS_[[#This Row],[% anualiz]]&lt;&gt;1),"Sí","NO")</f>
        <v>NO</v>
      </c>
      <c r="BW345" s="137" t="str">
        <f aca="false">+IF(DATOS_[[#This Row],[% normaliz]]*DATOS_[[#This Row],[% anualiz]]=1,"NO","Sí")</f>
        <v>Sí</v>
      </c>
      <c r="BX345" s="138" t="e">
        <f aca="false">(DATOS_[[#This Row],[S.BASE]]*(1/DATOS_[[#This Row],[% normaliz]])*(1/DATOS_[[#This Row],[% anualiz]]))*IF(DATOS_[[#This Row],[Check Equiparado]]="Sí",1,0)</f>
        <v>#DIV/0!</v>
      </c>
      <c r="BY3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5" s="138" t="e">
        <f aca="false">+DATOS_[[#This Row],[SALARIO BASE Eq]]+DATOS_[[#This Row],[Tot COMPL.SAL Eq]]</f>
        <v>#DIV/0!</v>
      </c>
      <c r="CA345" s="138" t="e">
        <f aca="false" t="array" ref="CA345:CA3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5" s="138" t="e">
        <f aca="false">+DATOS_[[#This Row],[TOTAL SALARIO Eq]]+DATOS_[[#This Row],[Tot Extrasalarial Eq]]</f>
        <v>#DIV/0!</v>
      </c>
      <c r="CC345" s="139" t="n">
        <f aca="false">DATOS_[[#This Row],[S.BASE]]</f>
        <v>0</v>
      </c>
      <c r="CD345" s="139" t="n">
        <f aca="false">+SUM(DATOS_[[#This Row],[Conc.Sal.01]:[Conc.Sal.30]])</f>
        <v>0</v>
      </c>
      <c r="CE345" s="139" t="n">
        <f aca="false">+DATOS_[[#This Row],[SALARIO BASE Ef]]+DATOS_[[#This Row],[Tot COMPL.SAL Ef]]</f>
        <v>0</v>
      </c>
      <c r="CF345" s="139" t="n">
        <f aca="false">+SUM(DATOS_[[#This Row],[C.Extra.01]:[C.Extra.05]])</f>
        <v>0</v>
      </c>
      <c r="CG345" s="139" t="n">
        <f aca="false">+DATOS_[[#This Row],[TOTAL SALARIO Ef]]+DATOS_[[#This Row],[Tot Extrasalarial Ef]]</f>
        <v>0</v>
      </c>
      <c r="CH345" s="140" t="n">
        <f aca="false">MIN(IF(DATOS_[[#This Row],[Fecha Fin Contrato]]="",$D$4,DATOS_[[#This Row],[Fecha Fin Contrato]]),$D$4)-MAX(DATOS_[[#This Row],[Fecha de Contratación]],$D$3)+1</f>
        <v>1</v>
      </c>
      <c r="CI345" s="141" t="str">
        <f aca="false">IF(COUNTIFS(DATOS_[id],DATOS_[[#This Row],[id]])&gt;1,DATOS_[[#This Row],[id]],"")</f>
        <v/>
      </c>
      <c r="CJ345" s="141" t="n">
        <f aca="false">(Inicio!$G$10-DATOS_[[#This Row],[Fecha Nacimiento]])/365.25</f>
        <v>0</v>
      </c>
      <c r="CK345" s="141" t="n">
        <f aca="false">(Inicio!$G$10-DATOS_[[#This Row],[Fecha de Antigüedad]])/365.25</f>
        <v>0</v>
      </c>
      <c r="CL345" s="141" t="e">
        <f aca="false">+VLOOKUP(DATOS_[[#This Row],[Clave de Contrato]],TblTiposContrato13[],3,0)</f>
        <v>#N/A</v>
      </c>
      <c r="CM345" s="141" t="e">
        <f aca="false">+VLOOKUP(DATOS_[[#This Row],[Clave de Contrato]],TblTiposContrato13[],4,0)</f>
        <v>#N/A</v>
      </c>
      <c r="CN345" s="141" t="str">
        <f aca="false">VLOOKUP(DATOS_[[#This Row],[Edad]],CONTRATOS!TblRngEdad,2,1)</f>
        <v>20  o menos</v>
      </c>
      <c r="CO345" s="141" t="str">
        <f aca="false">VLOOKUP(DATOS_[[#This Row],[Antigüedad]],TblRngAntg14[],2,1)</f>
        <v>0 a 1 años</v>
      </c>
    </row>
    <row r="346" customFormat="false" ht="13.8" hidden="false" customHeight="false" outlineLevel="0" collapsed="false">
      <c r="D346" s="128"/>
      <c r="E346" s="129"/>
      <c r="F346" s="129"/>
      <c r="G346" s="129"/>
      <c r="H346" s="130"/>
      <c r="I346" s="131"/>
      <c r="J346" s="128"/>
      <c r="K346" s="132"/>
      <c r="L346" s="132"/>
      <c r="M346" s="133"/>
      <c r="N346" s="133"/>
      <c r="O346" s="133"/>
      <c r="P346" s="129"/>
      <c r="Z346" s="75"/>
      <c r="AA346" s="76"/>
      <c r="AB346" s="76"/>
      <c r="AC346" s="129"/>
      <c r="AD346" s="134"/>
      <c r="AE346" s="134"/>
      <c r="AF346" s="134"/>
      <c r="AG346" s="134"/>
      <c r="AH346" s="134"/>
      <c r="AI346" s="134"/>
      <c r="AJ346" s="134"/>
      <c r="AK346" s="134"/>
      <c r="AL346" s="134"/>
      <c r="AM346" s="134"/>
      <c r="AN346" s="134"/>
      <c r="AO346" s="134"/>
      <c r="AP346" s="134"/>
      <c r="AQ346" s="134"/>
      <c r="AR346" s="134"/>
      <c r="AS346" s="134"/>
      <c r="AT346" s="134"/>
      <c r="AU346" s="134"/>
      <c r="AV346" s="134"/>
      <c r="AW346" s="134"/>
      <c r="AX346" s="134"/>
      <c r="AY346" s="134"/>
      <c r="AZ346" s="134"/>
      <c r="BA346" s="134"/>
      <c r="BB346" s="134"/>
      <c r="BC346" s="134"/>
      <c r="BD346" s="134"/>
      <c r="BE346" s="134"/>
      <c r="BF346" s="134"/>
      <c r="BG346" s="134"/>
      <c r="BH346" s="134"/>
      <c r="BI346" s="134"/>
      <c r="BJ346" s="134"/>
      <c r="BK346" s="134"/>
      <c r="BL346" s="134"/>
      <c r="BM346" s="135"/>
      <c r="BN346" s="136" t="n">
        <f aca="false">+MAX($D$3,DATOS_[[#This Row],[Fecha Inicio Sit. Contract.]])</f>
        <v>0</v>
      </c>
      <c r="BO346" s="136" t="n">
        <f aca="false">+MIN($D$4,DATOS_[[#This Row],[Fecha Fin Sit. Contract.]])</f>
        <v>0</v>
      </c>
      <c r="BP346" s="137" t="n">
        <f aca="false">+DATOS_[[#This Row],[% de jornada]]*IF(DATOS_[[#This Row],[% jornada reducida]]="",1,DATOS_[[#This Row],[% jornada reducida]])</f>
        <v>0</v>
      </c>
      <c r="BQ346" s="137" t="n">
        <f aca="false">+(DATOS_[[#This Row],[F.fin.cal]]-DATOS_[[#This Row],[F.ini.cal]]+1)/($D$4-$D$3+1)</f>
        <v>1</v>
      </c>
      <c r="BR346" s="137" t="str">
        <f aca="false">IF(OR(AND(DATOS_[[#This Row],[Fecha Fin Contrato]]&lt;$D$3,DATOS_[[#This Row],[Fecha Fin Contrato]]&lt;&gt;""),DATOS_[[#This Row],[Fecha de Contratación]]&gt;$D$4),"Fuera","Dentro")</f>
        <v>Dentro</v>
      </c>
      <c r="BS346" s="137" t="str">
        <f aca="false" t="array" ref="BS346:BS346">IF(MAX(IF(DATOS_[id]=DATOS_[[#This Row],[id]],DATOS_[F.fin.cal]))=DATOS_[[#This Row],[F.fin.cal]],"Sí","NO")</f>
        <v>Sí</v>
      </c>
      <c r="BT346" s="137" t="str">
        <f aca="false">IF(AND(DATOS_[[#This Row],[% normaliz]]&lt;&gt;1,DATOS_[[#This Row],[% anualiz]]=1),"Sí","NO")</f>
        <v>Sí</v>
      </c>
      <c r="BU346" s="137" t="str">
        <f aca="false">IF(AND(DATOS_[[#This Row],[% normaliz]]=1,DATOS_[[#This Row],[% anualiz]]&lt;&gt;1),"Sí","NO")</f>
        <v>NO</v>
      </c>
      <c r="BV346" s="137" t="str">
        <f aca="false">IF(AND(DATOS_[[#This Row],[% normaliz]]&lt;&gt;1,DATOS_[[#This Row],[% anualiz]]&lt;&gt;1),"Sí","NO")</f>
        <v>NO</v>
      </c>
      <c r="BW346" s="137" t="str">
        <f aca="false">+IF(DATOS_[[#This Row],[% normaliz]]*DATOS_[[#This Row],[% anualiz]]=1,"NO","Sí")</f>
        <v>Sí</v>
      </c>
      <c r="BX346" s="138" t="e">
        <f aca="false">(DATOS_[[#This Row],[S.BASE]]*(1/DATOS_[[#This Row],[% normaliz]])*(1/DATOS_[[#This Row],[% anualiz]]))*IF(DATOS_[[#This Row],[Check Equiparado]]="Sí",1,0)</f>
        <v>#DIV/0!</v>
      </c>
      <c r="BY3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6" s="138" t="e">
        <f aca="false">+DATOS_[[#This Row],[SALARIO BASE Eq]]+DATOS_[[#This Row],[Tot COMPL.SAL Eq]]</f>
        <v>#DIV/0!</v>
      </c>
      <c r="CA346" s="138" t="e">
        <f aca="false" t="array" ref="CA346:CA3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6" s="138" t="e">
        <f aca="false">+DATOS_[[#This Row],[TOTAL SALARIO Eq]]+DATOS_[[#This Row],[Tot Extrasalarial Eq]]</f>
        <v>#DIV/0!</v>
      </c>
      <c r="CC346" s="139" t="n">
        <f aca="false">DATOS_[[#This Row],[S.BASE]]</f>
        <v>0</v>
      </c>
      <c r="CD346" s="139" t="n">
        <f aca="false">+SUM(DATOS_[[#This Row],[Conc.Sal.01]:[Conc.Sal.30]])</f>
        <v>0</v>
      </c>
      <c r="CE346" s="139" t="n">
        <f aca="false">+DATOS_[[#This Row],[SALARIO BASE Ef]]+DATOS_[[#This Row],[Tot COMPL.SAL Ef]]</f>
        <v>0</v>
      </c>
      <c r="CF346" s="139" t="n">
        <f aca="false">+SUM(DATOS_[[#This Row],[C.Extra.01]:[C.Extra.05]])</f>
        <v>0</v>
      </c>
      <c r="CG346" s="139" t="n">
        <f aca="false">+DATOS_[[#This Row],[TOTAL SALARIO Ef]]+DATOS_[[#This Row],[Tot Extrasalarial Ef]]</f>
        <v>0</v>
      </c>
      <c r="CH346" s="140" t="n">
        <f aca="false">MIN(IF(DATOS_[[#This Row],[Fecha Fin Contrato]]="",$D$4,DATOS_[[#This Row],[Fecha Fin Contrato]]),$D$4)-MAX(DATOS_[[#This Row],[Fecha de Contratación]],$D$3)+1</f>
        <v>1</v>
      </c>
      <c r="CI346" s="141" t="str">
        <f aca="false">IF(COUNTIFS(DATOS_[id],DATOS_[[#This Row],[id]])&gt;1,DATOS_[[#This Row],[id]],"")</f>
        <v/>
      </c>
      <c r="CJ346" s="141" t="n">
        <f aca="false">(Inicio!$G$10-DATOS_[[#This Row],[Fecha Nacimiento]])/365.25</f>
        <v>0</v>
      </c>
      <c r="CK346" s="141" t="n">
        <f aca="false">(Inicio!$G$10-DATOS_[[#This Row],[Fecha de Antigüedad]])/365.25</f>
        <v>0</v>
      </c>
      <c r="CL346" s="141" t="e">
        <f aca="false">+VLOOKUP(DATOS_[[#This Row],[Clave de Contrato]],TblTiposContrato13[],3,0)</f>
        <v>#N/A</v>
      </c>
      <c r="CM346" s="141" t="e">
        <f aca="false">+VLOOKUP(DATOS_[[#This Row],[Clave de Contrato]],TblTiposContrato13[],4,0)</f>
        <v>#N/A</v>
      </c>
      <c r="CN346" s="141" t="str">
        <f aca="false">VLOOKUP(DATOS_[[#This Row],[Edad]],CONTRATOS!TblRngEdad,2,1)</f>
        <v>20  o menos</v>
      </c>
      <c r="CO346" s="141" t="str">
        <f aca="false">VLOOKUP(DATOS_[[#This Row],[Antigüedad]],TblRngAntg14[],2,1)</f>
        <v>0 a 1 años</v>
      </c>
    </row>
    <row r="347" customFormat="false" ht="13.8" hidden="false" customHeight="false" outlineLevel="0" collapsed="false">
      <c r="D347" s="128"/>
      <c r="E347" s="129"/>
      <c r="F347" s="129"/>
      <c r="G347" s="129"/>
      <c r="H347" s="130"/>
      <c r="I347" s="131"/>
      <c r="J347" s="128"/>
      <c r="K347" s="132"/>
      <c r="L347" s="132"/>
      <c r="M347" s="133"/>
      <c r="N347" s="133"/>
      <c r="O347" s="133"/>
      <c r="P347" s="129"/>
      <c r="Z347" s="75"/>
      <c r="AA347" s="76"/>
      <c r="AB347" s="76"/>
      <c r="AC347" s="129"/>
      <c r="AD347" s="134"/>
      <c r="AE347" s="134"/>
      <c r="AF347" s="134"/>
      <c r="AG347" s="134"/>
      <c r="AH347" s="134"/>
      <c r="AI347" s="134"/>
      <c r="AJ347" s="134"/>
      <c r="AK347" s="134"/>
      <c r="AL347" s="134"/>
      <c r="AM347" s="134"/>
      <c r="AN347" s="134"/>
      <c r="AO347" s="134"/>
      <c r="AP347" s="134"/>
      <c r="AQ347" s="134"/>
      <c r="AR347" s="134"/>
      <c r="AS347" s="134"/>
      <c r="AT347" s="134"/>
      <c r="AU347" s="134"/>
      <c r="AV347" s="134"/>
      <c r="AW347" s="134"/>
      <c r="AX347" s="134"/>
      <c r="AY347" s="134"/>
      <c r="AZ347" s="134"/>
      <c r="BA347" s="134"/>
      <c r="BB347" s="134"/>
      <c r="BC347" s="134"/>
      <c r="BD347" s="134"/>
      <c r="BE347" s="134"/>
      <c r="BF347" s="134"/>
      <c r="BG347" s="134"/>
      <c r="BH347" s="134"/>
      <c r="BI347" s="134"/>
      <c r="BJ347" s="134"/>
      <c r="BK347" s="134"/>
      <c r="BL347" s="134"/>
      <c r="BM347" s="135"/>
      <c r="BN347" s="136" t="n">
        <f aca="false">+MAX($D$3,DATOS_[[#This Row],[Fecha Inicio Sit. Contract.]])</f>
        <v>0</v>
      </c>
      <c r="BO347" s="136" t="n">
        <f aca="false">+MIN($D$4,DATOS_[[#This Row],[Fecha Fin Sit. Contract.]])</f>
        <v>0</v>
      </c>
      <c r="BP347" s="137" t="n">
        <f aca="false">+DATOS_[[#This Row],[% de jornada]]*IF(DATOS_[[#This Row],[% jornada reducida]]="",1,DATOS_[[#This Row],[% jornada reducida]])</f>
        <v>0</v>
      </c>
      <c r="BQ347" s="137" t="n">
        <f aca="false">+(DATOS_[[#This Row],[F.fin.cal]]-DATOS_[[#This Row],[F.ini.cal]]+1)/($D$4-$D$3+1)</f>
        <v>1</v>
      </c>
      <c r="BR347" s="137" t="str">
        <f aca="false">IF(OR(AND(DATOS_[[#This Row],[Fecha Fin Contrato]]&lt;$D$3,DATOS_[[#This Row],[Fecha Fin Contrato]]&lt;&gt;""),DATOS_[[#This Row],[Fecha de Contratación]]&gt;$D$4),"Fuera","Dentro")</f>
        <v>Dentro</v>
      </c>
      <c r="BS347" s="137" t="str">
        <f aca="false" t="array" ref="BS347:BS347">IF(MAX(IF(DATOS_[id]=DATOS_[[#This Row],[id]],DATOS_[F.fin.cal]))=DATOS_[[#This Row],[F.fin.cal]],"Sí","NO")</f>
        <v>Sí</v>
      </c>
      <c r="BT347" s="137" t="str">
        <f aca="false">IF(AND(DATOS_[[#This Row],[% normaliz]]&lt;&gt;1,DATOS_[[#This Row],[% anualiz]]=1),"Sí","NO")</f>
        <v>Sí</v>
      </c>
      <c r="BU347" s="137" t="str">
        <f aca="false">IF(AND(DATOS_[[#This Row],[% normaliz]]=1,DATOS_[[#This Row],[% anualiz]]&lt;&gt;1),"Sí","NO")</f>
        <v>NO</v>
      </c>
      <c r="BV347" s="137" t="str">
        <f aca="false">IF(AND(DATOS_[[#This Row],[% normaliz]]&lt;&gt;1,DATOS_[[#This Row],[% anualiz]]&lt;&gt;1),"Sí","NO")</f>
        <v>NO</v>
      </c>
      <c r="BW347" s="137" t="str">
        <f aca="false">+IF(DATOS_[[#This Row],[% normaliz]]*DATOS_[[#This Row],[% anualiz]]=1,"NO","Sí")</f>
        <v>Sí</v>
      </c>
      <c r="BX347" s="138" t="e">
        <f aca="false">(DATOS_[[#This Row],[S.BASE]]*(1/DATOS_[[#This Row],[% normaliz]])*(1/DATOS_[[#This Row],[% anualiz]]))*IF(DATOS_[[#This Row],[Check Equiparado]]="Sí",1,0)</f>
        <v>#DIV/0!</v>
      </c>
      <c r="BY3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7" s="138" t="e">
        <f aca="false">+DATOS_[[#This Row],[SALARIO BASE Eq]]+DATOS_[[#This Row],[Tot COMPL.SAL Eq]]</f>
        <v>#DIV/0!</v>
      </c>
      <c r="CA347" s="138" t="e">
        <f aca="false" t="array" ref="CA347:CA3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7" s="138" t="e">
        <f aca="false">+DATOS_[[#This Row],[TOTAL SALARIO Eq]]+DATOS_[[#This Row],[Tot Extrasalarial Eq]]</f>
        <v>#DIV/0!</v>
      </c>
      <c r="CC347" s="139" t="n">
        <f aca="false">DATOS_[[#This Row],[S.BASE]]</f>
        <v>0</v>
      </c>
      <c r="CD347" s="139" t="n">
        <f aca="false">+SUM(DATOS_[[#This Row],[Conc.Sal.01]:[Conc.Sal.30]])</f>
        <v>0</v>
      </c>
      <c r="CE347" s="139" t="n">
        <f aca="false">+DATOS_[[#This Row],[SALARIO BASE Ef]]+DATOS_[[#This Row],[Tot COMPL.SAL Ef]]</f>
        <v>0</v>
      </c>
      <c r="CF347" s="139" t="n">
        <f aca="false">+SUM(DATOS_[[#This Row],[C.Extra.01]:[C.Extra.05]])</f>
        <v>0</v>
      </c>
      <c r="CG347" s="139" t="n">
        <f aca="false">+DATOS_[[#This Row],[TOTAL SALARIO Ef]]+DATOS_[[#This Row],[Tot Extrasalarial Ef]]</f>
        <v>0</v>
      </c>
      <c r="CH347" s="140" t="n">
        <f aca="false">MIN(IF(DATOS_[[#This Row],[Fecha Fin Contrato]]="",$D$4,DATOS_[[#This Row],[Fecha Fin Contrato]]),$D$4)-MAX(DATOS_[[#This Row],[Fecha de Contratación]],$D$3)+1</f>
        <v>1</v>
      </c>
      <c r="CI347" s="141" t="str">
        <f aca="false">IF(COUNTIFS(DATOS_[id],DATOS_[[#This Row],[id]])&gt;1,DATOS_[[#This Row],[id]],"")</f>
        <v/>
      </c>
      <c r="CJ347" s="141" t="n">
        <f aca="false">(Inicio!$G$10-DATOS_[[#This Row],[Fecha Nacimiento]])/365.25</f>
        <v>0</v>
      </c>
      <c r="CK347" s="141" t="n">
        <f aca="false">(Inicio!$G$10-DATOS_[[#This Row],[Fecha de Antigüedad]])/365.25</f>
        <v>0</v>
      </c>
      <c r="CL347" s="141" t="e">
        <f aca="false">+VLOOKUP(DATOS_[[#This Row],[Clave de Contrato]],TblTiposContrato13[],3,0)</f>
        <v>#N/A</v>
      </c>
      <c r="CM347" s="141" t="e">
        <f aca="false">+VLOOKUP(DATOS_[[#This Row],[Clave de Contrato]],TblTiposContrato13[],4,0)</f>
        <v>#N/A</v>
      </c>
      <c r="CN347" s="141" t="str">
        <f aca="false">VLOOKUP(DATOS_[[#This Row],[Edad]],CONTRATOS!TblRngEdad,2,1)</f>
        <v>20  o menos</v>
      </c>
      <c r="CO347" s="141" t="str">
        <f aca="false">VLOOKUP(DATOS_[[#This Row],[Antigüedad]],TblRngAntg14[],2,1)</f>
        <v>0 a 1 años</v>
      </c>
    </row>
    <row r="348" customFormat="false" ht="13.8" hidden="false" customHeight="false" outlineLevel="0" collapsed="false">
      <c r="D348" s="128"/>
      <c r="E348" s="129"/>
      <c r="F348" s="129"/>
      <c r="G348" s="129"/>
      <c r="H348" s="130"/>
      <c r="I348" s="131"/>
      <c r="J348" s="128"/>
      <c r="K348" s="132"/>
      <c r="L348" s="132"/>
      <c r="M348" s="133"/>
      <c r="N348" s="133"/>
      <c r="O348" s="133"/>
      <c r="P348" s="129"/>
      <c r="Z348" s="75"/>
      <c r="AA348" s="76"/>
      <c r="AB348" s="76"/>
      <c r="AC348" s="129"/>
      <c r="AD348" s="134"/>
      <c r="AE348" s="134"/>
      <c r="AF348" s="134"/>
      <c r="AG348" s="134"/>
      <c r="AH348" s="134"/>
      <c r="AI348" s="134"/>
      <c r="AJ348" s="134"/>
      <c r="AK348" s="134"/>
      <c r="AL348" s="134"/>
      <c r="AM348" s="134"/>
      <c r="AN348" s="134"/>
      <c r="AO348" s="134"/>
      <c r="AP348" s="134"/>
      <c r="AQ348" s="134"/>
      <c r="AR348" s="134"/>
      <c r="AS348" s="134"/>
      <c r="AT348" s="134"/>
      <c r="AU348" s="134"/>
      <c r="AV348" s="134"/>
      <c r="AW348" s="134"/>
      <c r="AX348" s="134"/>
      <c r="AY348" s="134"/>
      <c r="AZ348" s="134"/>
      <c r="BA348" s="134"/>
      <c r="BB348" s="134"/>
      <c r="BC348" s="134"/>
      <c r="BD348" s="134"/>
      <c r="BE348" s="134"/>
      <c r="BF348" s="134"/>
      <c r="BG348" s="134"/>
      <c r="BH348" s="134"/>
      <c r="BI348" s="134"/>
      <c r="BJ348" s="134"/>
      <c r="BK348" s="134"/>
      <c r="BL348" s="134"/>
      <c r="BM348" s="135"/>
      <c r="BN348" s="136" t="n">
        <f aca="false">+MAX($D$3,DATOS_[[#This Row],[Fecha Inicio Sit. Contract.]])</f>
        <v>0</v>
      </c>
      <c r="BO348" s="136" t="n">
        <f aca="false">+MIN($D$4,DATOS_[[#This Row],[Fecha Fin Sit. Contract.]])</f>
        <v>0</v>
      </c>
      <c r="BP348" s="137" t="n">
        <f aca="false">+DATOS_[[#This Row],[% de jornada]]*IF(DATOS_[[#This Row],[% jornada reducida]]="",1,DATOS_[[#This Row],[% jornada reducida]])</f>
        <v>0</v>
      </c>
      <c r="BQ348" s="137" t="n">
        <f aca="false">+(DATOS_[[#This Row],[F.fin.cal]]-DATOS_[[#This Row],[F.ini.cal]]+1)/($D$4-$D$3+1)</f>
        <v>1</v>
      </c>
      <c r="BR348" s="137" t="str">
        <f aca="false">IF(OR(AND(DATOS_[[#This Row],[Fecha Fin Contrato]]&lt;$D$3,DATOS_[[#This Row],[Fecha Fin Contrato]]&lt;&gt;""),DATOS_[[#This Row],[Fecha de Contratación]]&gt;$D$4),"Fuera","Dentro")</f>
        <v>Dentro</v>
      </c>
      <c r="BS348" s="137" t="str">
        <f aca="false" t="array" ref="BS348:BS348">IF(MAX(IF(DATOS_[id]=DATOS_[[#This Row],[id]],DATOS_[F.fin.cal]))=DATOS_[[#This Row],[F.fin.cal]],"Sí","NO")</f>
        <v>Sí</v>
      </c>
      <c r="BT348" s="137" t="str">
        <f aca="false">IF(AND(DATOS_[[#This Row],[% normaliz]]&lt;&gt;1,DATOS_[[#This Row],[% anualiz]]=1),"Sí","NO")</f>
        <v>Sí</v>
      </c>
      <c r="BU348" s="137" t="str">
        <f aca="false">IF(AND(DATOS_[[#This Row],[% normaliz]]=1,DATOS_[[#This Row],[% anualiz]]&lt;&gt;1),"Sí","NO")</f>
        <v>NO</v>
      </c>
      <c r="BV348" s="137" t="str">
        <f aca="false">IF(AND(DATOS_[[#This Row],[% normaliz]]&lt;&gt;1,DATOS_[[#This Row],[% anualiz]]&lt;&gt;1),"Sí","NO")</f>
        <v>NO</v>
      </c>
      <c r="BW348" s="137" t="str">
        <f aca="false">+IF(DATOS_[[#This Row],[% normaliz]]*DATOS_[[#This Row],[% anualiz]]=1,"NO","Sí")</f>
        <v>Sí</v>
      </c>
      <c r="BX348" s="138" t="e">
        <f aca="false">(DATOS_[[#This Row],[S.BASE]]*(1/DATOS_[[#This Row],[% normaliz]])*(1/DATOS_[[#This Row],[% anualiz]]))*IF(DATOS_[[#This Row],[Check Equiparado]]="Sí",1,0)</f>
        <v>#DIV/0!</v>
      </c>
      <c r="BY3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8" s="138" t="e">
        <f aca="false">+DATOS_[[#This Row],[SALARIO BASE Eq]]+DATOS_[[#This Row],[Tot COMPL.SAL Eq]]</f>
        <v>#DIV/0!</v>
      </c>
      <c r="CA348" s="138" t="e">
        <f aca="false" t="array" ref="CA348:CA3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8" s="138" t="e">
        <f aca="false">+DATOS_[[#This Row],[TOTAL SALARIO Eq]]+DATOS_[[#This Row],[Tot Extrasalarial Eq]]</f>
        <v>#DIV/0!</v>
      </c>
      <c r="CC348" s="139" t="n">
        <f aca="false">DATOS_[[#This Row],[S.BASE]]</f>
        <v>0</v>
      </c>
      <c r="CD348" s="139" t="n">
        <f aca="false">+SUM(DATOS_[[#This Row],[Conc.Sal.01]:[Conc.Sal.30]])</f>
        <v>0</v>
      </c>
      <c r="CE348" s="139" t="n">
        <f aca="false">+DATOS_[[#This Row],[SALARIO BASE Ef]]+DATOS_[[#This Row],[Tot COMPL.SAL Ef]]</f>
        <v>0</v>
      </c>
      <c r="CF348" s="139" t="n">
        <f aca="false">+SUM(DATOS_[[#This Row],[C.Extra.01]:[C.Extra.05]])</f>
        <v>0</v>
      </c>
      <c r="CG348" s="139" t="n">
        <f aca="false">+DATOS_[[#This Row],[TOTAL SALARIO Ef]]+DATOS_[[#This Row],[Tot Extrasalarial Ef]]</f>
        <v>0</v>
      </c>
      <c r="CH348" s="140" t="n">
        <f aca="false">MIN(IF(DATOS_[[#This Row],[Fecha Fin Contrato]]="",$D$4,DATOS_[[#This Row],[Fecha Fin Contrato]]),$D$4)-MAX(DATOS_[[#This Row],[Fecha de Contratación]],$D$3)+1</f>
        <v>1</v>
      </c>
      <c r="CI348" s="141" t="str">
        <f aca="false">IF(COUNTIFS(DATOS_[id],DATOS_[[#This Row],[id]])&gt;1,DATOS_[[#This Row],[id]],"")</f>
        <v/>
      </c>
      <c r="CJ348" s="141" t="n">
        <f aca="false">(Inicio!$G$10-DATOS_[[#This Row],[Fecha Nacimiento]])/365.25</f>
        <v>0</v>
      </c>
      <c r="CK348" s="141" t="n">
        <f aca="false">(Inicio!$G$10-DATOS_[[#This Row],[Fecha de Antigüedad]])/365.25</f>
        <v>0</v>
      </c>
      <c r="CL348" s="141" t="e">
        <f aca="false">+VLOOKUP(DATOS_[[#This Row],[Clave de Contrato]],TblTiposContrato13[],3,0)</f>
        <v>#N/A</v>
      </c>
      <c r="CM348" s="141" t="e">
        <f aca="false">+VLOOKUP(DATOS_[[#This Row],[Clave de Contrato]],TblTiposContrato13[],4,0)</f>
        <v>#N/A</v>
      </c>
      <c r="CN348" s="141" t="str">
        <f aca="false">VLOOKUP(DATOS_[[#This Row],[Edad]],CONTRATOS!TblRngEdad,2,1)</f>
        <v>20  o menos</v>
      </c>
      <c r="CO348" s="141" t="str">
        <f aca="false">VLOOKUP(DATOS_[[#This Row],[Antigüedad]],TblRngAntg14[],2,1)</f>
        <v>0 a 1 años</v>
      </c>
    </row>
    <row r="349" customFormat="false" ht="13.8" hidden="false" customHeight="false" outlineLevel="0" collapsed="false">
      <c r="D349" s="128"/>
      <c r="E349" s="129"/>
      <c r="F349" s="129"/>
      <c r="G349" s="129"/>
      <c r="H349" s="130"/>
      <c r="I349" s="131"/>
      <c r="J349" s="128"/>
      <c r="K349" s="132"/>
      <c r="L349" s="132"/>
      <c r="M349" s="133"/>
      <c r="N349" s="133"/>
      <c r="O349" s="133"/>
      <c r="P349" s="129"/>
      <c r="Z349" s="75"/>
      <c r="AA349" s="76"/>
      <c r="AB349" s="76"/>
      <c r="AC349" s="129"/>
      <c r="AD349" s="134"/>
      <c r="AE349" s="134"/>
      <c r="AF349" s="134"/>
      <c r="AG349" s="134"/>
      <c r="AH349" s="134"/>
      <c r="AI349" s="134"/>
      <c r="AJ349" s="134"/>
      <c r="AK349" s="134"/>
      <c r="AL349" s="134"/>
      <c r="AM349" s="134"/>
      <c r="AN349" s="134"/>
      <c r="AO349" s="134"/>
      <c r="AP349" s="134"/>
      <c r="AQ349" s="134"/>
      <c r="AR349" s="134"/>
      <c r="AS349" s="134"/>
      <c r="AT349" s="134"/>
      <c r="AU349" s="134"/>
      <c r="AV349" s="134"/>
      <c r="AW349" s="134"/>
      <c r="AX349" s="134"/>
      <c r="AY349" s="134"/>
      <c r="AZ349" s="134"/>
      <c r="BA349" s="134"/>
      <c r="BB349" s="134"/>
      <c r="BC349" s="134"/>
      <c r="BD349" s="134"/>
      <c r="BE349" s="134"/>
      <c r="BF349" s="134"/>
      <c r="BG349" s="134"/>
      <c r="BH349" s="134"/>
      <c r="BI349" s="134"/>
      <c r="BJ349" s="134"/>
      <c r="BK349" s="134"/>
      <c r="BL349" s="134"/>
      <c r="BM349" s="135"/>
      <c r="BN349" s="136" t="n">
        <f aca="false">+MAX($D$3,DATOS_[[#This Row],[Fecha Inicio Sit. Contract.]])</f>
        <v>0</v>
      </c>
      <c r="BO349" s="136" t="n">
        <f aca="false">+MIN($D$4,DATOS_[[#This Row],[Fecha Fin Sit. Contract.]])</f>
        <v>0</v>
      </c>
      <c r="BP349" s="137" t="n">
        <f aca="false">+DATOS_[[#This Row],[% de jornada]]*IF(DATOS_[[#This Row],[% jornada reducida]]="",1,DATOS_[[#This Row],[% jornada reducida]])</f>
        <v>0</v>
      </c>
      <c r="BQ349" s="137" t="n">
        <f aca="false">+(DATOS_[[#This Row],[F.fin.cal]]-DATOS_[[#This Row],[F.ini.cal]]+1)/($D$4-$D$3+1)</f>
        <v>1</v>
      </c>
      <c r="BR349" s="137" t="str">
        <f aca="false">IF(OR(AND(DATOS_[[#This Row],[Fecha Fin Contrato]]&lt;$D$3,DATOS_[[#This Row],[Fecha Fin Contrato]]&lt;&gt;""),DATOS_[[#This Row],[Fecha de Contratación]]&gt;$D$4),"Fuera","Dentro")</f>
        <v>Dentro</v>
      </c>
      <c r="BS349" s="137" t="str">
        <f aca="false" t="array" ref="BS349:BS349">IF(MAX(IF(DATOS_[id]=DATOS_[[#This Row],[id]],DATOS_[F.fin.cal]))=DATOS_[[#This Row],[F.fin.cal]],"Sí","NO")</f>
        <v>Sí</v>
      </c>
      <c r="BT349" s="137" t="str">
        <f aca="false">IF(AND(DATOS_[[#This Row],[% normaliz]]&lt;&gt;1,DATOS_[[#This Row],[% anualiz]]=1),"Sí","NO")</f>
        <v>Sí</v>
      </c>
      <c r="BU349" s="137" t="str">
        <f aca="false">IF(AND(DATOS_[[#This Row],[% normaliz]]=1,DATOS_[[#This Row],[% anualiz]]&lt;&gt;1),"Sí","NO")</f>
        <v>NO</v>
      </c>
      <c r="BV349" s="137" t="str">
        <f aca="false">IF(AND(DATOS_[[#This Row],[% normaliz]]&lt;&gt;1,DATOS_[[#This Row],[% anualiz]]&lt;&gt;1),"Sí","NO")</f>
        <v>NO</v>
      </c>
      <c r="BW349" s="137" t="str">
        <f aca="false">+IF(DATOS_[[#This Row],[% normaliz]]*DATOS_[[#This Row],[% anualiz]]=1,"NO","Sí")</f>
        <v>Sí</v>
      </c>
      <c r="BX349" s="138" t="e">
        <f aca="false">(DATOS_[[#This Row],[S.BASE]]*(1/DATOS_[[#This Row],[% normaliz]])*(1/DATOS_[[#This Row],[% anualiz]]))*IF(DATOS_[[#This Row],[Check Equiparado]]="Sí",1,0)</f>
        <v>#DIV/0!</v>
      </c>
      <c r="BY3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9" s="138" t="e">
        <f aca="false">+DATOS_[[#This Row],[SALARIO BASE Eq]]+DATOS_[[#This Row],[Tot COMPL.SAL Eq]]</f>
        <v>#DIV/0!</v>
      </c>
      <c r="CA349" s="138" t="e">
        <f aca="false" t="array" ref="CA349:CA3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9" s="138" t="e">
        <f aca="false">+DATOS_[[#This Row],[TOTAL SALARIO Eq]]+DATOS_[[#This Row],[Tot Extrasalarial Eq]]</f>
        <v>#DIV/0!</v>
      </c>
      <c r="CC349" s="139" t="n">
        <f aca="false">DATOS_[[#This Row],[S.BASE]]</f>
        <v>0</v>
      </c>
      <c r="CD349" s="139" t="n">
        <f aca="false">+SUM(DATOS_[[#This Row],[Conc.Sal.01]:[Conc.Sal.30]])</f>
        <v>0</v>
      </c>
      <c r="CE349" s="139" t="n">
        <f aca="false">+DATOS_[[#This Row],[SALARIO BASE Ef]]+DATOS_[[#This Row],[Tot COMPL.SAL Ef]]</f>
        <v>0</v>
      </c>
      <c r="CF349" s="139" t="n">
        <f aca="false">+SUM(DATOS_[[#This Row],[C.Extra.01]:[C.Extra.05]])</f>
        <v>0</v>
      </c>
      <c r="CG349" s="139" t="n">
        <f aca="false">+DATOS_[[#This Row],[TOTAL SALARIO Ef]]+DATOS_[[#This Row],[Tot Extrasalarial Ef]]</f>
        <v>0</v>
      </c>
      <c r="CH349" s="140" t="n">
        <f aca="false">MIN(IF(DATOS_[[#This Row],[Fecha Fin Contrato]]="",$D$4,DATOS_[[#This Row],[Fecha Fin Contrato]]),$D$4)-MAX(DATOS_[[#This Row],[Fecha de Contratación]],$D$3)+1</f>
        <v>1</v>
      </c>
      <c r="CI349" s="141" t="str">
        <f aca="false">IF(COUNTIFS(DATOS_[id],DATOS_[[#This Row],[id]])&gt;1,DATOS_[[#This Row],[id]],"")</f>
        <v/>
      </c>
      <c r="CJ349" s="141" t="n">
        <f aca="false">(Inicio!$G$10-DATOS_[[#This Row],[Fecha Nacimiento]])/365.25</f>
        <v>0</v>
      </c>
      <c r="CK349" s="141" t="n">
        <f aca="false">(Inicio!$G$10-DATOS_[[#This Row],[Fecha de Antigüedad]])/365.25</f>
        <v>0</v>
      </c>
      <c r="CL349" s="141" t="e">
        <f aca="false">+VLOOKUP(DATOS_[[#This Row],[Clave de Contrato]],TblTiposContrato13[],3,0)</f>
        <v>#N/A</v>
      </c>
      <c r="CM349" s="141" t="e">
        <f aca="false">+VLOOKUP(DATOS_[[#This Row],[Clave de Contrato]],TblTiposContrato13[],4,0)</f>
        <v>#N/A</v>
      </c>
      <c r="CN349" s="141" t="str">
        <f aca="false">VLOOKUP(DATOS_[[#This Row],[Edad]],CONTRATOS!TblRngEdad,2,1)</f>
        <v>20  o menos</v>
      </c>
      <c r="CO349" s="141" t="str">
        <f aca="false">VLOOKUP(DATOS_[[#This Row],[Antigüedad]],TblRngAntg14[],2,1)</f>
        <v>0 a 1 años</v>
      </c>
    </row>
    <row r="350" customFormat="false" ht="13.8" hidden="false" customHeight="false" outlineLevel="0" collapsed="false">
      <c r="D350" s="128"/>
      <c r="E350" s="129"/>
      <c r="F350" s="129"/>
      <c r="G350" s="129"/>
      <c r="H350" s="130"/>
      <c r="I350" s="131"/>
      <c r="J350" s="128"/>
      <c r="K350" s="132"/>
      <c r="L350" s="132"/>
      <c r="M350" s="133"/>
      <c r="N350" s="133"/>
      <c r="O350" s="133"/>
      <c r="P350" s="129"/>
      <c r="Z350" s="75"/>
      <c r="AA350" s="76"/>
      <c r="AB350" s="76"/>
      <c r="AC350" s="129"/>
      <c r="AD350" s="134"/>
      <c r="AE350" s="134"/>
      <c r="AF350" s="134"/>
      <c r="AG350" s="134"/>
      <c r="AH350" s="134"/>
      <c r="AI350" s="134"/>
      <c r="AJ350" s="134"/>
      <c r="AK350" s="134"/>
      <c r="AL350" s="134"/>
      <c r="AM350" s="134"/>
      <c r="AN350" s="134"/>
      <c r="AO350" s="134"/>
      <c r="AP350" s="134"/>
      <c r="AQ350" s="134"/>
      <c r="AR350" s="134"/>
      <c r="AS350" s="134"/>
      <c r="AT350" s="134"/>
      <c r="AU350" s="134"/>
      <c r="AV350" s="134"/>
      <c r="AW350" s="134"/>
      <c r="AX350" s="134"/>
      <c r="AY350" s="134"/>
      <c r="AZ350" s="134"/>
      <c r="BA350" s="134"/>
      <c r="BB350" s="134"/>
      <c r="BC350" s="134"/>
      <c r="BD350" s="134"/>
      <c r="BE350" s="134"/>
      <c r="BF350" s="134"/>
      <c r="BG350" s="134"/>
      <c r="BH350" s="134"/>
      <c r="BI350" s="134"/>
      <c r="BJ350" s="134"/>
      <c r="BK350" s="134"/>
      <c r="BL350" s="134"/>
      <c r="BM350" s="135"/>
      <c r="BN350" s="136" t="n">
        <f aca="false">+MAX($D$3,DATOS_[[#This Row],[Fecha Inicio Sit. Contract.]])</f>
        <v>0</v>
      </c>
      <c r="BO350" s="136" t="n">
        <f aca="false">+MIN($D$4,DATOS_[[#This Row],[Fecha Fin Sit. Contract.]])</f>
        <v>0</v>
      </c>
      <c r="BP350" s="137" t="n">
        <f aca="false">+DATOS_[[#This Row],[% de jornada]]*IF(DATOS_[[#This Row],[% jornada reducida]]="",1,DATOS_[[#This Row],[% jornada reducida]])</f>
        <v>0</v>
      </c>
      <c r="BQ350" s="137" t="n">
        <f aca="false">+(DATOS_[[#This Row],[F.fin.cal]]-DATOS_[[#This Row],[F.ini.cal]]+1)/($D$4-$D$3+1)</f>
        <v>1</v>
      </c>
      <c r="BR350" s="137" t="str">
        <f aca="false">IF(OR(AND(DATOS_[[#This Row],[Fecha Fin Contrato]]&lt;$D$3,DATOS_[[#This Row],[Fecha Fin Contrato]]&lt;&gt;""),DATOS_[[#This Row],[Fecha de Contratación]]&gt;$D$4),"Fuera","Dentro")</f>
        <v>Dentro</v>
      </c>
      <c r="BS350" s="137" t="str">
        <f aca="false" t="array" ref="BS350:BS350">IF(MAX(IF(DATOS_[id]=DATOS_[[#This Row],[id]],DATOS_[F.fin.cal]))=DATOS_[[#This Row],[F.fin.cal]],"Sí","NO")</f>
        <v>Sí</v>
      </c>
      <c r="BT350" s="137" t="str">
        <f aca="false">IF(AND(DATOS_[[#This Row],[% normaliz]]&lt;&gt;1,DATOS_[[#This Row],[% anualiz]]=1),"Sí","NO")</f>
        <v>Sí</v>
      </c>
      <c r="BU350" s="137" t="str">
        <f aca="false">IF(AND(DATOS_[[#This Row],[% normaliz]]=1,DATOS_[[#This Row],[% anualiz]]&lt;&gt;1),"Sí","NO")</f>
        <v>NO</v>
      </c>
      <c r="BV350" s="137" t="str">
        <f aca="false">IF(AND(DATOS_[[#This Row],[% normaliz]]&lt;&gt;1,DATOS_[[#This Row],[% anualiz]]&lt;&gt;1),"Sí","NO")</f>
        <v>NO</v>
      </c>
      <c r="BW350" s="137" t="str">
        <f aca="false">+IF(DATOS_[[#This Row],[% normaliz]]*DATOS_[[#This Row],[% anualiz]]=1,"NO","Sí")</f>
        <v>Sí</v>
      </c>
      <c r="BX350" s="138" t="e">
        <f aca="false">(DATOS_[[#This Row],[S.BASE]]*(1/DATOS_[[#This Row],[% normaliz]])*(1/DATOS_[[#This Row],[% anualiz]]))*IF(DATOS_[[#This Row],[Check Equiparado]]="Sí",1,0)</f>
        <v>#DIV/0!</v>
      </c>
      <c r="BY3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0" s="138" t="e">
        <f aca="false">+DATOS_[[#This Row],[SALARIO BASE Eq]]+DATOS_[[#This Row],[Tot COMPL.SAL Eq]]</f>
        <v>#DIV/0!</v>
      </c>
      <c r="CA350" s="138" t="e">
        <f aca="false" t="array" ref="CA350:CA3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0" s="138" t="e">
        <f aca="false">+DATOS_[[#This Row],[TOTAL SALARIO Eq]]+DATOS_[[#This Row],[Tot Extrasalarial Eq]]</f>
        <v>#DIV/0!</v>
      </c>
      <c r="CC350" s="139" t="n">
        <f aca="false">DATOS_[[#This Row],[S.BASE]]</f>
        <v>0</v>
      </c>
      <c r="CD350" s="139" t="n">
        <f aca="false">+SUM(DATOS_[[#This Row],[Conc.Sal.01]:[Conc.Sal.30]])</f>
        <v>0</v>
      </c>
      <c r="CE350" s="139" t="n">
        <f aca="false">+DATOS_[[#This Row],[SALARIO BASE Ef]]+DATOS_[[#This Row],[Tot COMPL.SAL Ef]]</f>
        <v>0</v>
      </c>
      <c r="CF350" s="139" t="n">
        <f aca="false">+SUM(DATOS_[[#This Row],[C.Extra.01]:[C.Extra.05]])</f>
        <v>0</v>
      </c>
      <c r="CG350" s="139" t="n">
        <f aca="false">+DATOS_[[#This Row],[TOTAL SALARIO Ef]]+DATOS_[[#This Row],[Tot Extrasalarial Ef]]</f>
        <v>0</v>
      </c>
      <c r="CH350" s="140" t="n">
        <f aca="false">MIN(IF(DATOS_[[#This Row],[Fecha Fin Contrato]]="",$D$4,DATOS_[[#This Row],[Fecha Fin Contrato]]),$D$4)-MAX(DATOS_[[#This Row],[Fecha de Contratación]],$D$3)+1</f>
        <v>1</v>
      </c>
      <c r="CI350" s="141" t="str">
        <f aca="false">IF(COUNTIFS(DATOS_[id],DATOS_[[#This Row],[id]])&gt;1,DATOS_[[#This Row],[id]],"")</f>
        <v/>
      </c>
      <c r="CJ350" s="141" t="n">
        <f aca="false">(Inicio!$G$10-DATOS_[[#This Row],[Fecha Nacimiento]])/365.25</f>
        <v>0</v>
      </c>
      <c r="CK350" s="141" t="n">
        <f aca="false">(Inicio!$G$10-DATOS_[[#This Row],[Fecha de Antigüedad]])/365.25</f>
        <v>0</v>
      </c>
      <c r="CL350" s="141" t="e">
        <f aca="false">+VLOOKUP(DATOS_[[#This Row],[Clave de Contrato]],TblTiposContrato13[],3,0)</f>
        <v>#N/A</v>
      </c>
      <c r="CM350" s="141" t="e">
        <f aca="false">+VLOOKUP(DATOS_[[#This Row],[Clave de Contrato]],TblTiposContrato13[],4,0)</f>
        <v>#N/A</v>
      </c>
      <c r="CN350" s="141" t="str">
        <f aca="false">VLOOKUP(DATOS_[[#This Row],[Edad]],CONTRATOS!TblRngEdad,2,1)</f>
        <v>20  o menos</v>
      </c>
      <c r="CO350" s="141" t="str">
        <f aca="false">VLOOKUP(DATOS_[[#This Row],[Antigüedad]],TblRngAntg14[],2,1)</f>
        <v>0 a 1 años</v>
      </c>
    </row>
    <row r="351" customFormat="false" ht="13.8" hidden="false" customHeight="false" outlineLevel="0" collapsed="false">
      <c r="D351" s="128"/>
      <c r="E351" s="129"/>
      <c r="F351" s="129"/>
      <c r="G351" s="129"/>
      <c r="H351" s="130"/>
      <c r="I351" s="131"/>
      <c r="J351" s="128"/>
      <c r="K351" s="132"/>
      <c r="L351" s="132"/>
      <c r="M351" s="133"/>
      <c r="N351" s="133"/>
      <c r="O351" s="133"/>
      <c r="P351" s="129"/>
      <c r="Z351" s="75"/>
      <c r="AA351" s="76"/>
      <c r="AB351" s="76"/>
      <c r="AC351" s="129"/>
      <c r="AD351" s="134"/>
      <c r="AE351" s="134"/>
      <c r="AF351" s="134"/>
      <c r="AG351" s="134"/>
      <c r="AH351" s="134"/>
      <c r="AI351" s="134"/>
      <c r="AJ351" s="134"/>
      <c r="AK351" s="134"/>
      <c r="AL351" s="134"/>
      <c r="AM351" s="134"/>
      <c r="AN351" s="134"/>
      <c r="AO351" s="134"/>
      <c r="AP351" s="134"/>
      <c r="AQ351" s="134"/>
      <c r="AR351" s="134"/>
      <c r="AS351" s="134"/>
      <c r="AT351" s="134"/>
      <c r="AU351" s="134"/>
      <c r="AV351" s="134"/>
      <c r="AW351" s="134"/>
      <c r="AX351" s="134"/>
      <c r="AY351" s="134"/>
      <c r="AZ351" s="134"/>
      <c r="BA351" s="134"/>
      <c r="BB351" s="134"/>
      <c r="BC351" s="134"/>
      <c r="BD351" s="134"/>
      <c r="BE351" s="134"/>
      <c r="BF351" s="134"/>
      <c r="BG351" s="134"/>
      <c r="BH351" s="134"/>
      <c r="BI351" s="134"/>
      <c r="BJ351" s="134"/>
      <c r="BK351" s="134"/>
      <c r="BL351" s="134"/>
      <c r="BM351" s="135"/>
      <c r="BN351" s="136" t="n">
        <f aca="false">+MAX($D$3,DATOS_[[#This Row],[Fecha Inicio Sit. Contract.]])</f>
        <v>0</v>
      </c>
      <c r="BO351" s="136" t="n">
        <f aca="false">+MIN($D$4,DATOS_[[#This Row],[Fecha Fin Sit. Contract.]])</f>
        <v>0</v>
      </c>
      <c r="BP351" s="137" t="n">
        <f aca="false">+DATOS_[[#This Row],[% de jornada]]*IF(DATOS_[[#This Row],[% jornada reducida]]="",1,DATOS_[[#This Row],[% jornada reducida]])</f>
        <v>0</v>
      </c>
      <c r="BQ351" s="137" t="n">
        <f aca="false">+(DATOS_[[#This Row],[F.fin.cal]]-DATOS_[[#This Row],[F.ini.cal]]+1)/($D$4-$D$3+1)</f>
        <v>1</v>
      </c>
      <c r="BR351" s="137" t="str">
        <f aca="false">IF(OR(AND(DATOS_[[#This Row],[Fecha Fin Contrato]]&lt;$D$3,DATOS_[[#This Row],[Fecha Fin Contrato]]&lt;&gt;""),DATOS_[[#This Row],[Fecha de Contratación]]&gt;$D$4),"Fuera","Dentro")</f>
        <v>Dentro</v>
      </c>
      <c r="BS351" s="137" t="str">
        <f aca="false" t="array" ref="BS351:BS351">IF(MAX(IF(DATOS_[id]=DATOS_[[#This Row],[id]],DATOS_[F.fin.cal]))=DATOS_[[#This Row],[F.fin.cal]],"Sí","NO")</f>
        <v>Sí</v>
      </c>
      <c r="BT351" s="137" t="str">
        <f aca="false">IF(AND(DATOS_[[#This Row],[% normaliz]]&lt;&gt;1,DATOS_[[#This Row],[% anualiz]]=1),"Sí","NO")</f>
        <v>Sí</v>
      </c>
      <c r="BU351" s="137" t="str">
        <f aca="false">IF(AND(DATOS_[[#This Row],[% normaliz]]=1,DATOS_[[#This Row],[% anualiz]]&lt;&gt;1),"Sí","NO")</f>
        <v>NO</v>
      </c>
      <c r="BV351" s="137" t="str">
        <f aca="false">IF(AND(DATOS_[[#This Row],[% normaliz]]&lt;&gt;1,DATOS_[[#This Row],[% anualiz]]&lt;&gt;1),"Sí","NO")</f>
        <v>NO</v>
      </c>
      <c r="BW351" s="137" t="str">
        <f aca="false">+IF(DATOS_[[#This Row],[% normaliz]]*DATOS_[[#This Row],[% anualiz]]=1,"NO","Sí")</f>
        <v>Sí</v>
      </c>
      <c r="BX351" s="138" t="e">
        <f aca="false">(DATOS_[[#This Row],[S.BASE]]*(1/DATOS_[[#This Row],[% normaliz]])*(1/DATOS_[[#This Row],[% anualiz]]))*IF(DATOS_[[#This Row],[Check Equiparado]]="Sí",1,0)</f>
        <v>#DIV/0!</v>
      </c>
      <c r="BY3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1" s="138" t="e">
        <f aca="false">+DATOS_[[#This Row],[SALARIO BASE Eq]]+DATOS_[[#This Row],[Tot COMPL.SAL Eq]]</f>
        <v>#DIV/0!</v>
      </c>
      <c r="CA351" s="138" t="e">
        <f aca="false" t="array" ref="CA351:CA3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1" s="138" t="e">
        <f aca="false">+DATOS_[[#This Row],[TOTAL SALARIO Eq]]+DATOS_[[#This Row],[Tot Extrasalarial Eq]]</f>
        <v>#DIV/0!</v>
      </c>
      <c r="CC351" s="139" t="n">
        <f aca="false">DATOS_[[#This Row],[S.BASE]]</f>
        <v>0</v>
      </c>
      <c r="CD351" s="139" t="n">
        <f aca="false">+SUM(DATOS_[[#This Row],[Conc.Sal.01]:[Conc.Sal.30]])</f>
        <v>0</v>
      </c>
      <c r="CE351" s="139" t="n">
        <f aca="false">+DATOS_[[#This Row],[SALARIO BASE Ef]]+DATOS_[[#This Row],[Tot COMPL.SAL Ef]]</f>
        <v>0</v>
      </c>
      <c r="CF351" s="139" t="n">
        <f aca="false">+SUM(DATOS_[[#This Row],[C.Extra.01]:[C.Extra.05]])</f>
        <v>0</v>
      </c>
      <c r="CG351" s="139" t="n">
        <f aca="false">+DATOS_[[#This Row],[TOTAL SALARIO Ef]]+DATOS_[[#This Row],[Tot Extrasalarial Ef]]</f>
        <v>0</v>
      </c>
      <c r="CH351" s="140" t="n">
        <f aca="false">MIN(IF(DATOS_[[#This Row],[Fecha Fin Contrato]]="",$D$4,DATOS_[[#This Row],[Fecha Fin Contrato]]),$D$4)-MAX(DATOS_[[#This Row],[Fecha de Contratación]],$D$3)+1</f>
        <v>1</v>
      </c>
      <c r="CI351" s="141" t="str">
        <f aca="false">IF(COUNTIFS(DATOS_[id],DATOS_[[#This Row],[id]])&gt;1,DATOS_[[#This Row],[id]],"")</f>
        <v/>
      </c>
      <c r="CJ351" s="141" t="n">
        <f aca="false">(Inicio!$G$10-DATOS_[[#This Row],[Fecha Nacimiento]])/365.25</f>
        <v>0</v>
      </c>
      <c r="CK351" s="141" t="n">
        <f aca="false">(Inicio!$G$10-DATOS_[[#This Row],[Fecha de Antigüedad]])/365.25</f>
        <v>0</v>
      </c>
      <c r="CL351" s="141" t="e">
        <f aca="false">+VLOOKUP(DATOS_[[#This Row],[Clave de Contrato]],TblTiposContrato13[],3,0)</f>
        <v>#N/A</v>
      </c>
      <c r="CM351" s="141" t="e">
        <f aca="false">+VLOOKUP(DATOS_[[#This Row],[Clave de Contrato]],TblTiposContrato13[],4,0)</f>
        <v>#N/A</v>
      </c>
      <c r="CN351" s="141" t="str">
        <f aca="false">VLOOKUP(DATOS_[[#This Row],[Edad]],CONTRATOS!TblRngEdad,2,1)</f>
        <v>20  o menos</v>
      </c>
      <c r="CO351" s="141" t="str">
        <f aca="false">VLOOKUP(DATOS_[[#This Row],[Antigüedad]],TblRngAntg14[],2,1)</f>
        <v>0 a 1 años</v>
      </c>
    </row>
    <row r="352" customFormat="false" ht="13.8" hidden="false" customHeight="false" outlineLevel="0" collapsed="false">
      <c r="D352" s="128"/>
      <c r="E352" s="129"/>
      <c r="F352" s="129"/>
      <c r="G352" s="129"/>
      <c r="H352" s="130"/>
      <c r="I352" s="131"/>
      <c r="J352" s="128"/>
      <c r="K352" s="132"/>
      <c r="L352" s="132"/>
      <c r="M352" s="133"/>
      <c r="N352" s="133"/>
      <c r="O352" s="133"/>
      <c r="P352" s="129"/>
      <c r="Z352" s="75"/>
      <c r="AA352" s="76"/>
      <c r="AB352" s="76"/>
      <c r="AC352" s="129"/>
      <c r="AD352" s="134"/>
      <c r="AE352" s="134"/>
      <c r="AF352" s="134"/>
      <c r="AG352" s="134"/>
      <c r="AH352" s="134"/>
      <c r="AI352" s="134"/>
      <c r="AJ352" s="134"/>
      <c r="AK352" s="134"/>
      <c r="AL352" s="134"/>
      <c r="AM352" s="134"/>
      <c r="AN352" s="134"/>
      <c r="AO352" s="134"/>
      <c r="AP352" s="134"/>
      <c r="AQ352" s="134"/>
      <c r="AR352" s="134"/>
      <c r="AS352" s="134"/>
      <c r="AT352" s="134"/>
      <c r="AU352" s="134"/>
      <c r="AV352" s="134"/>
      <c r="AW352" s="134"/>
      <c r="AX352" s="134"/>
      <c r="AY352" s="134"/>
      <c r="AZ352" s="134"/>
      <c r="BA352" s="134"/>
      <c r="BB352" s="134"/>
      <c r="BC352" s="134"/>
      <c r="BD352" s="134"/>
      <c r="BE352" s="134"/>
      <c r="BF352" s="134"/>
      <c r="BG352" s="134"/>
      <c r="BH352" s="134"/>
      <c r="BI352" s="134"/>
      <c r="BJ352" s="134"/>
      <c r="BK352" s="134"/>
      <c r="BL352" s="134"/>
      <c r="BM352" s="135"/>
      <c r="BN352" s="136" t="n">
        <f aca="false">+MAX($D$3,DATOS_[[#This Row],[Fecha Inicio Sit. Contract.]])</f>
        <v>0</v>
      </c>
      <c r="BO352" s="136" t="n">
        <f aca="false">+MIN($D$4,DATOS_[[#This Row],[Fecha Fin Sit. Contract.]])</f>
        <v>0</v>
      </c>
      <c r="BP352" s="137" t="n">
        <f aca="false">+DATOS_[[#This Row],[% de jornada]]*IF(DATOS_[[#This Row],[% jornada reducida]]="",1,DATOS_[[#This Row],[% jornada reducida]])</f>
        <v>0</v>
      </c>
      <c r="BQ352" s="137" t="n">
        <f aca="false">+(DATOS_[[#This Row],[F.fin.cal]]-DATOS_[[#This Row],[F.ini.cal]]+1)/($D$4-$D$3+1)</f>
        <v>1</v>
      </c>
      <c r="BR352" s="137" t="str">
        <f aca="false">IF(OR(AND(DATOS_[[#This Row],[Fecha Fin Contrato]]&lt;$D$3,DATOS_[[#This Row],[Fecha Fin Contrato]]&lt;&gt;""),DATOS_[[#This Row],[Fecha de Contratación]]&gt;$D$4),"Fuera","Dentro")</f>
        <v>Dentro</v>
      </c>
      <c r="BS352" s="137" t="str">
        <f aca="false" t="array" ref="BS352:BS352">IF(MAX(IF(DATOS_[id]=DATOS_[[#This Row],[id]],DATOS_[F.fin.cal]))=DATOS_[[#This Row],[F.fin.cal]],"Sí","NO")</f>
        <v>Sí</v>
      </c>
      <c r="BT352" s="137" t="str">
        <f aca="false">IF(AND(DATOS_[[#This Row],[% normaliz]]&lt;&gt;1,DATOS_[[#This Row],[% anualiz]]=1),"Sí","NO")</f>
        <v>Sí</v>
      </c>
      <c r="BU352" s="137" t="str">
        <f aca="false">IF(AND(DATOS_[[#This Row],[% normaliz]]=1,DATOS_[[#This Row],[% anualiz]]&lt;&gt;1),"Sí","NO")</f>
        <v>NO</v>
      </c>
      <c r="BV352" s="137" t="str">
        <f aca="false">IF(AND(DATOS_[[#This Row],[% normaliz]]&lt;&gt;1,DATOS_[[#This Row],[% anualiz]]&lt;&gt;1),"Sí","NO")</f>
        <v>NO</v>
      </c>
      <c r="BW352" s="137" t="str">
        <f aca="false">+IF(DATOS_[[#This Row],[% normaliz]]*DATOS_[[#This Row],[% anualiz]]=1,"NO","Sí")</f>
        <v>Sí</v>
      </c>
      <c r="BX352" s="138" t="e">
        <f aca="false">(DATOS_[[#This Row],[S.BASE]]*(1/DATOS_[[#This Row],[% normaliz]])*(1/DATOS_[[#This Row],[% anualiz]]))*IF(DATOS_[[#This Row],[Check Equiparado]]="Sí",1,0)</f>
        <v>#DIV/0!</v>
      </c>
      <c r="BY3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2" s="138" t="e">
        <f aca="false">+DATOS_[[#This Row],[SALARIO BASE Eq]]+DATOS_[[#This Row],[Tot COMPL.SAL Eq]]</f>
        <v>#DIV/0!</v>
      </c>
      <c r="CA352" s="138" t="e">
        <f aca="false" t="array" ref="CA352:CA3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2" s="138" t="e">
        <f aca="false">+DATOS_[[#This Row],[TOTAL SALARIO Eq]]+DATOS_[[#This Row],[Tot Extrasalarial Eq]]</f>
        <v>#DIV/0!</v>
      </c>
      <c r="CC352" s="139" t="n">
        <f aca="false">DATOS_[[#This Row],[S.BASE]]</f>
        <v>0</v>
      </c>
      <c r="CD352" s="139" t="n">
        <f aca="false">+SUM(DATOS_[[#This Row],[Conc.Sal.01]:[Conc.Sal.30]])</f>
        <v>0</v>
      </c>
      <c r="CE352" s="139" t="n">
        <f aca="false">+DATOS_[[#This Row],[SALARIO BASE Ef]]+DATOS_[[#This Row],[Tot COMPL.SAL Ef]]</f>
        <v>0</v>
      </c>
      <c r="CF352" s="139" t="n">
        <f aca="false">+SUM(DATOS_[[#This Row],[C.Extra.01]:[C.Extra.05]])</f>
        <v>0</v>
      </c>
      <c r="CG352" s="139" t="n">
        <f aca="false">+DATOS_[[#This Row],[TOTAL SALARIO Ef]]+DATOS_[[#This Row],[Tot Extrasalarial Ef]]</f>
        <v>0</v>
      </c>
      <c r="CH352" s="140" t="n">
        <f aca="false">MIN(IF(DATOS_[[#This Row],[Fecha Fin Contrato]]="",$D$4,DATOS_[[#This Row],[Fecha Fin Contrato]]),$D$4)-MAX(DATOS_[[#This Row],[Fecha de Contratación]],$D$3)+1</f>
        <v>1</v>
      </c>
      <c r="CI352" s="141" t="str">
        <f aca="false">IF(COUNTIFS(DATOS_[id],DATOS_[[#This Row],[id]])&gt;1,DATOS_[[#This Row],[id]],"")</f>
        <v/>
      </c>
      <c r="CJ352" s="141" t="n">
        <f aca="false">(Inicio!$G$10-DATOS_[[#This Row],[Fecha Nacimiento]])/365.25</f>
        <v>0</v>
      </c>
      <c r="CK352" s="141" t="n">
        <f aca="false">(Inicio!$G$10-DATOS_[[#This Row],[Fecha de Antigüedad]])/365.25</f>
        <v>0</v>
      </c>
      <c r="CL352" s="141" t="e">
        <f aca="false">+VLOOKUP(DATOS_[[#This Row],[Clave de Contrato]],TblTiposContrato13[],3,0)</f>
        <v>#N/A</v>
      </c>
      <c r="CM352" s="141" t="e">
        <f aca="false">+VLOOKUP(DATOS_[[#This Row],[Clave de Contrato]],TblTiposContrato13[],4,0)</f>
        <v>#N/A</v>
      </c>
      <c r="CN352" s="141" t="str">
        <f aca="false">VLOOKUP(DATOS_[[#This Row],[Edad]],CONTRATOS!TblRngEdad,2,1)</f>
        <v>20  o menos</v>
      </c>
      <c r="CO352" s="141" t="str">
        <f aca="false">VLOOKUP(DATOS_[[#This Row],[Antigüedad]],TblRngAntg14[],2,1)</f>
        <v>0 a 1 años</v>
      </c>
    </row>
    <row r="353" customFormat="false" ht="13.8" hidden="false" customHeight="false" outlineLevel="0" collapsed="false">
      <c r="D353" s="128"/>
      <c r="E353" s="129"/>
      <c r="F353" s="129"/>
      <c r="G353" s="129"/>
      <c r="H353" s="130"/>
      <c r="I353" s="131"/>
      <c r="J353" s="128"/>
      <c r="K353" s="132"/>
      <c r="L353" s="132"/>
      <c r="M353" s="133"/>
      <c r="N353" s="133"/>
      <c r="O353" s="133"/>
      <c r="P353" s="129"/>
      <c r="Z353" s="75"/>
      <c r="AA353" s="76"/>
      <c r="AB353" s="76"/>
      <c r="AC353" s="129"/>
      <c r="AD353" s="134"/>
      <c r="AE353" s="134"/>
      <c r="AF353" s="134"/>
      <c r="AG353" s="134"/>
      <c r="AH353" s="134"/>
      <c r="AI353" s="134"/>
      <c r="AJ353" s="134"/>
      <c r="AK353" s="134"/>
      <c r="AL353" s="134"/>
      <c r="AM353" s="134"/>
      <c r="AN353" s="134"/>
      <c r="AO353" s="134"/>
      <c r="AP353" s="134"/>
      <c r="AQ353" s="134"/>
      <c r="AR353" s="134"/>
      <c r="AS353" s="134"/>
      <c r="AT353" s="134"/>
      <c r="AU353" s="134"/>
      <c r="AV353" s="134"/>
      <c r="AW353" s="134"/>
      <c r="AX353" s="134"/>
      <c r="AY353" s="134"/>
      <c r="AZ353" s="134"/>
      <c r="BA353" s="134"/>
      <c r="BB353" s="134"/>
      <c r="BC353" s="134"/>
      <c r="BD353" s="134"/>
      <c r="BE353" s="134"/>
      <c r="BF353" s="134"/>
      <c r="BG353" s="134"/>
      <c r="BH353" s="134"/>
      <c r="BI353" s="134"/>
      <c r="BJ353" s="134"/>
      <c r="BK353" s="134"/>
      <c r="BL353" s="134"/>
      <c r="BM353" s="135"/>
      <c r="BN353" s="136" t="n">
        <f aca="false">+MAX($D$3,DATOS_[[#This Row],[Fecha Inicio Sit. Contract.]])</f>
        <v>0</v>
      </c>
      <c r="BO353" s="136" t="n">
        <f aca="false">+MIN($D$4,DATOS_[[#This Row],[Fecha Fin Sit. Contract.]])</f>
        <v>0</v>
      </c>
      <c r="BP353" s="137" t="n">
        <f aca="false">+DATOS_[[#This Row],[% de jornada]]*IF(DATOS_[[#This Row],[% jornada reducida]]="",1,DATOS_[[#This Row],[% jornada reducida]])</f>
        <v>0</v>
      </c>
      <c r="BQ353" s="137" t="n">
        <f aca="false">+(DATOS_[[#This Row],[F.fin.cal]]-DATOS_[[#This Row],[F.ini.cal]]+1)/($D$4-$D$3+1)</f>
        <v>1</v>
      </c>
      <c r="BR353" s="137" t="str">
        <f aca="false">IF(OR(AND(DATOS_[[#This Row],[Fecha Fin Contrato]]&lt;$D$3,DATOS_[[#This Row],[Fecha Fin Contrato]]&lt;&gt;""),DATOS_[[#This Row],[Fecha de Contratación]]&gt;$D$4),"Fuera","Dentro")</f>
        <v>Dentro</v>
      </c>
      <c r="BS353" s="137" t="str">
        <f aca="false" t="array" ref="BS353:BS353">IF(MAX(IF(DATOS_[id]=DATOS_[[#This Row],[id]],DATOS_[F.fin.cal]))=DATOS_[[#This Row],[F.fin.cal]],"Sí","NO")</f>
        <v>Sí</v>
      </c>
      <c r="BT353" s="137" t="str">
        <f aca="false">IF(AND(DATOS_[[#This Row],[% normaliz]]&lt;&gt;1,DATOS_[[#This Row],[% anualiz]]=1),"Sí","NO")</f>
        <v>Sí</v>
      </c>
      <c r="BU353" s="137" t="str">
        <f aca="false">IF(AND(DATOS_[[#This Row],[% normaliz]]=1,DATOS_[[#This Row],[% anualiz]]&lt;&gt;1),"Sí","NO")</f>
        <v>NO</v>
      </c>
      <c r="BV353" s="137" t="str">
        <f aca="false">IF(AND(DATOS_[[#This Row],[% normaliz]]&lt;&gt;1,DATOS_[[#This Row],[% anualiz]]&lt;&gt;1),"Sí","NO")</f>
        <v>NO</v>
      </c>
      <c r="BW353" s="137" t="str">
        <f aca="false">+IF(DATOS_[[#This Row],[% normaliz]]*DATOS_[[#This Row],[% anualiz]]=1,"NO","Sí")</f>
        <v>Sí</v>
      </c>
      <c r="BX353" s="138" t="e">
        <f aca="false">(DATOS_[[#This Row],[S.BASE]]*(1/DATOS_[[#This Row],[% normaliz]])*(1/DATOS_[[#This Row],[% anualiz]]))*IF(DATOS_[[#This Row],[Check Equiparado]]="Sí",1,0)</f>
        <v>#DIV/0!</v>
      </c>
      <c r="BY3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3" s="138" t="e">
        <f aca="false">+DATOS_[[#This Row],[SALARIO BASE Eq]]+DATOS_[[#This Row],[Tot COMPL.SAL Eq]]</f>
        <v>#DIV/0!</v>
      </c>
      <c r="CA353" s="138" t="e">
        <f aca="false" t="array" ref="CA353:CA3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3" s="138" t="e">
        <f aca="false">+DATOS_[[#This Row],[TOTAL SALARIO Eq]]+DATOS_[[#This Row],[Tot Extrasalarial Eq]]</f>
        <v>#DIV/0!</v>
      </c>
      <c r="CC353" s="139" t="n">
        <f aca="false">DATOS_[[#This Row],[S.BASE]]</f>
        <v>0</v>
      </c>
      <c r="CD353" s="139" t="n">
        <f aca="false">+SUM(DATOS_[[#This Row],[Conc.Sal.01]:[Conc.Sal.30]])</f>
        <v>0</v>
      </c>
      <c r="CE353" s="139" t="n">
        <f aca="false">+DATOS_[[#This Row],[SALARIO BASE Ef]]+DATOS_[[#This Row],[Tot COMPL.SAL Ef]]</f>
        <v>0</v>
      </c>
      <c r="CF353" s="139" t="n">
        <f aca="false">+SUM(DATOS_[[#This Row],[C.Extra.01]:[C.Extra.05]])</f>
        <v>0</v>
      </c>
      <c r="CG353" s="139" t="n">
        <f aca="false">+DATOS_[[#This Row],[TOTAL SALARIO Ef]]+DATOS_[[#This Row],[Tot Extrasalarial Ef]]</f>
        <v>0</v>
      </c>
      <c r="CH353" s="140" t="n">
        <f aca="false">MIN(IF(DATOS_[[#This Row],[Fecha Fin Contrato]]="",$D$4,DATOS_[[#This Row],[Fecha Fin Contrato]]),$D$4)-MAX(DATOS_[[#This Row],[Fecha de Contratación]],$D$3)+1</f>
        <v>1</v>
      </c>
      <c r="CI353" s="141" t="str">
        <f aca="false">IF(COUNTIFS(DATOS_[id],DATOS_[[#This Row],[id]])&gt;1,DATOS_[[#This Row],[id]],"")</f>
        <v/>
      </c>
      <c r="CJ353" s="141" t="n">
        <f aca="false">(Inicio!$G$10-DATOS_[[#This Row],[Fecha Nacimiento]])/365.25</f>
        <v>0</v>
      </c>
      <c r="CK353" s="141" t="n">
        <f aca="false">(Inicio!$G$10-DATOS_[[#This Row],[Fecha de Antigüedad]])/365.25</f>
        <v>0</v>
      </c>
      <c r="CL353" s="141" t="e">
        <f aca="false">+VLOOKUP(DATOS_[[#This Row],[Clave de Contrato]],TblTiposContrato13[],3,0)</f>
        <v>#N/A</v>
      </c>
      <c r="CM353" s="141" t="e">
        <f aca="false">+VLOOKUP(DATOS_[[#This Row],[Clave de Contrato]],TblTiposContrato13[],4,0)</f>
        <v>#N/A</v>
      </c>
      <c r="CN353" s="141" t="str">
        <f aca="false">VLOOKUP(DATOS_[[#This Row],[Edad]],CONTRATOS!TblRngEdad,2,1)</f>
        <v>20  o menos</v>
      </c>
      <c r="CO353" s="141" t="str">
        <f aca="false">VLOOKUP(DATOS_[[#This Row],[Antigüedad]],TblRngAntg14[],2,1)</f>
        <v>0 a 1 años</v>
      </c>
    </row>
    <row r="354" customFormat="false" ht="13.8" hidden="false" customHeight="false" outlineLevel="0" collapsed="false">
      <c r="D354" s="128"/>
      <c r="E354" s="129"/>
      <c r="F354" s="129"/>
      <c r="G354" s="129"/>
      <c r="H354" s="130"/>
      <c r="I354" s="131"/>
      <c r="J354" s="128"/>
      <c r="K354" s="132"/>
      <c r="L354" s="132"/>
      <c r="M354" s="133"/>
      <c r="N354" s="133"/>
      <c r="O354" s="133"/>
      <c r="P354" s="129"/>
      <c r="Z354" s="75"/>
      <c r="AA354" s="76"/>
      <c r="AB354" s="76"/>
      <c r="AC354" s="129"/>
      <c r="AD354" s="134"/>
      <c r="AE354" s="134"/>
      <c r="AF354" s="134"/>
      <c r="AG354" s="134"/>
      <c r="AH354" s="134"/>
      <c r="AI354" s="134"/>
      <c r="AJ354" s="134"/>
      <c r="AK354" s="134"/>
      <c r="AL354" s="134"/>
      <c r="AM354" s="134"/>
      <c r="AN354" s="134"/>
      <c r="AO354" s="134"/>
      <c r="AP354" s="134"/>
      <c r="AQ354" s="134"/>
      <c r="AR354" s="134"/>
      <c r="AS354" s="134"/>
      <c r="AT354" s="134"/>
      <c r="AU354" s="134"/>
      <c r="AV354" s="134"/>
      <c r="AW354" s="134"/>
      <c r="AX354" s="134"/>
      <c r="AY354" s="134"/>
      <c r="AZ354" s="134"/>
      <c r="BA354" s="134"/>
      <c r="BB354" s="134"/>
      <c r="BC354" s="134"/>
      <c r="BD354" s="134"/>
      <c r="BE354" s="134"/>
      <c r="BF354" s="134"/>
      <c r="BG354" s="134"/>
      <c r="BH354" s="134"/>
      <c r="BI354" s="134"/>
      <c r="BJ354" s="134"/>
      <c r="BK354" s="134"/>
      <c r="BL354" s="134"/>
      <c r="BM354" s="135"/>
      <c r="BN354" s="136" t="n">
        <f aca="false">+MAX($D$3,DATOS_[[#This Row],[Fecha Inicio Sit. Contract.]])</f>
        <v>0</v>
      </c>
      <c r="BO354" s="136" t="n">
        <f aca="false">+MIN($D$4,DATOS_[[#This Row],[Fecha Fin Sit. Contract.]])</f>
        <v>0</v>
      </c>
      <c r="BP354" s="137" t="n">
        <f aca="false">+DATOS_[[#This Row],[% de jornada]]*IF(DATOS_[[#This Row],[% jornada reducida]]="",1,DATOS_[[#This Row],[% jornada reducida]])</f>
        <v>0</v>
      </c>
      <c r="BQ354" s="137" t="n">
        <f aca="false">+(DATOS_[[#This Row],[F.fin.cal]]-DATOS_[[#This Row],[F.ini.cal]]+1)/($D$4-$D$3+1)</f>
        <v>1</v>
      </c>
      <c r="BR354" s="137" t="str">
        <f aca="false">IF(OR(AND(DATOS_[[#This Row],[Fecha Fin Contrato]]&lt;$D$3,DATOS_[[#This Row],[Fecha Fin Contrato]]&lt;&gt;""),DATOS_[[#This Row],[Fecha de Contratación]]&gt;$D$4),"Fuera","Dentro")</f>
        <v>Dentro</v>
      </c>
      <c r="BS354" s="137" t="str">
        <f aca="false" t="array" ref="BS354:BS354">IF(MAX(IF(DATOS_[id]=DATOS_[[#This Row],[id]],DATOS_[F.fin.cal]))=DATOS_[[#This Row],[F.fin.cal]],"Sí","NO")</f>
        <v>Sí</v>
      </c>
      <c r="BT354" s="137" t="str">
        <f aca="false">IF(AND(DATOS_[[#This Row],[% normaliz]]&lt;&gt;1,DATOS_[[#This Row],[% anualiz]]=1),"Sí","NO")</f>
        <v>Sí</v>
      </c>
      <c r="BU354" s="137" t="str">
        <f aca="false">IF(AND(DATOS_[[#This Row],[% normaliz]]=1,DATOS_[[#This Row],[% anualiz]]&lt;&gt;1),"Sí","NO")</f>
        <v>NO</v>
      </c>
      <c r="BV354" s="137" t="str">
        <f aca="false">IF(AND(DATOS_[[#This Row],[% normaliz]]&lt;&gt;1,DATOS_[[#This Row],[% anualiz]]&lt;&gt;1),"Sí","NO")</f>
        <v>NO</v>
      </c>
      <c r="BW354" s="137" t="str">
        <f aca="false">+IF(DATOS_[[#This Row],[% normaliz]]*DATOS_[[#This Row],[% anualiz]]=1,"NO","Sí")</f>
        <v>Sí</v>
      </c>
      <c r="BX354" s="138" t="e">
        <f aca="false">(DATOS_[[#This Row],[S.BASE]]*(1/DATOS_[[#This Row],[% normaliz]])*(1/DATOS_[[#This Row],[% anualiz]]))*IF(DATOS_[[#This Row],[Check Equiparado]]="Sí",1,0)</f>
        <v>#DIV/0!</v>
      </c>
      <c r="BY3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4" s="138" t="e">
        <f aca="false">+DATOS_[[#This Row],[SALARIO BASE Eq]]+DATOS_[[#This Row],[Tot COMPL.SAL Eq]]</f>
        <v>#DIV/0!</v>
      </c>
      <c r="CA354" s="138" t="e">
        <f aca="false" t="array" ref="CA354:CA3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4" s="138" t="e">
        <f aca="false">+DATOS_[[#This Row],[TOTAL SALARIO Eq]]+DATOS_[[#This Row],[Tot Extrasalarial Eq]]</f>
        <v>#DIV/0!</v>
      </c>
      <c r="CC354" s="139" t="n">
        <f aca="false">DATOS_[[#This Row],[S.BASE]]</f>
        <v>0</v>
      </c>
      <c r="CD354" s="139" t="n">
        <f aca="false">+SUM(DATOS_[[#This Row],[Conc.Sal.01]:[Conc.Sal.30]])</f>
        <v>0</v>
      </c>
      <c r="CE354" s="139" t="n">
        <f aca="false">+DATOS_[[#This Row],[SALARIO BASE Ef]]+DATOS_[[#This Row],[Tot COMPL.SAL Ef]]</f>
        <v>0</v>
      </c>
      <c r="CF354" s="139" t="n">
        <f aca="false">+SUM(DATOS_[[#This Row],[C.Extra.01]:[C.Extra.05]])</f>
        <v>0</v>
      </c>
      <c r="CG354" s="139" t="n">
        <f aca="false">+DATOS_[[#This Row],[TOTAL SALARIO Ef]]+DATOS_[[#This Row],[Tot Extrasalarial Ef]]</f>
        <v>0</v>
      </c>
      <c r="CH354" s="140" t="n">
        <f aca="false">MIN(IF(DATOS_[[#This Row],[Fecha Fin Contrato]]="",$D$4,DATOS_[[#This Row],[Fecha Fin Contrato]]),$D$4)-MAX(DATOS_[[#This Row],[Fecha de Contratación]],$D$3)+1</f>
        <v>1</v>
      </c>
      <c r="CI354" s="141" t="str">
        <f aca="false">IF(COUNTIFS(DATOS_[id],DATOS_[[#This Row],[id]])&gt;1,DATOS_[[#This Row],[id]],"")</f>
        <v/>
      </c>
      <c r="CJ354" s="141" t="n">
        <f aca="false">(Inicio!$G$10-DATOS_[[#This Row],[Fecha Nacimiento]])/365.25</f>
        <v>0</v>
      </c>
      <c r="CK354" s="141" t="n">
        <f aca="false">(Inicio!$G$10-DATOS_[[#This Row],[Fecha de Antigüedad]])/365.25</f>
        <v>0</v>
      </c>
      <c r="CL354" s="141" t="e">
        <f aca="false">+VLOOKUP(DATOS_[[#This Row],[Clave de Contrato]],TblTiposContrato13[],3,0)</f>
        <v>#N/A</v>
      </c>
      <c r="CM354" s="141" t="e">
        <f aca="false">+VLOOKUP(DATOS_[[#This Row],[Clave de Contrato]],TblTiposContrato13[],4,0)</f>
        <v>#N/A</v>
      </c>
      <c r="CN354" s="141" t="str">
        <f aca="false">VLOOKUP(DATOS_[[#This Row],[Edad]],CONTRATOS!TblRngEdad,2,1)</f>
        <v>20  o menos</v>
      </c>
      <c r="CO354" s="141" t="str">
        <f aca="false">VLOOKUP(DATOS_[[#This Row],[Antigüedad]],TblRngAntg14[],2,1)</f>
        <v>0 a 1 años</v>
      </c>
    </row>
    <row r="355" customFormat="false" ht="13.8" hidden="false" customHeight="false" outlineLevel="0" collapsed="false">
      <c r="D355" s="128"/>
      <c r="E355" s="129"/>
      <c r="F355" s="129"/>
      <c r="G355" s="129"/>
      <c r="H355" s="130"/>
      <c r="I355" s="131"/>
      <c r="J355" s="128"/>
      <c r="K355" s="132"/>
      <c r="L355" s="132"/>
      <c r="M355" s="133"/>
      <c r="N355" s="133"/>
      <c r="O355" s="133"/>
      <c r="P355" s="129"/>
      <c r="Z355" s="75"/>
      <c r="AA355" s="76"/>
      <c r="AB355" s="76"/>
      <c r="AC355" s="129"/>
      <c r="AD355" s="134"/>
      <c r="AE355" s="134"/>
      <c r="AF355" s="134"/>
      <c r="AG355" s="134"/>
      <c r="AH355" s="134"/>
      <c r="AI355" s="134"/>
      <c r="AJ355" s="134"/>
      <c r="AK355" s="134"/>
      <c r="AL355" s="134"/>
      <c r="AM355" s="134"/>
      <c r="AN355" s="134"/>
      <c r="AO355" s="134"/>
      <c r="AP355" s="134"/>
      <c r="AQ355" s="134"/>
      <c r="AR355" s="134"/>
      <c r="AS355" s="134"/>
      <c r="AT355" s="134"/>
      <c r="AU355" s="134"/>
      <c r="AV355" s="134"/>
      <c r="AW355" s="134"/>
      <c r="AX355" s="134"/>
      <c r="AY355" s="134"/>
      <c r="AZ355" s="134"/>
      <c r="BA355" s="134"/>
      <c r="BB355" s="134"/>
      <c r="BC355" s="134"/>
      <c r="BD355" s="134"/>
      <c r="BE355" s="134"/>
      <c r="BF355" s="134"/>
      <c r="BG355" s="134"/>
      <c r="BH355" s="134"/>
      <c r="BI355" s="134"/>
      <c r="BJ355" s="134"/>
      <c r="BK355" s="134"/>
      <c r="BL355" s="134"/>
      <c r="BM355" s="135"/>
      <c r="BN355" s="136" t="n">
        <f aca="false">+MAX($D$3,DATOS_[[#This Row],[Fecha Inicio Sit. Contract.]])</f>
        <v>0</v>
      </c>
      <c r="BO355" s="136" t="n">
        <f aca="false">+MIN($D$4,DATOS_[[#This Row],[Fecha Fin Sit. Contract.]])</f>
        <v>0</v>
      </c>
      <c r="BP355" s="137" t="n">
        <f aca="false">+DATOS_[[#This Row],[% de jornada]]*IF(DATOS_[[#This Row],[% jornada reducida]]="",1,DATOS_[[#This Row],[% jornada reducida]])</f>
        <v>0</v>
      </c>
      <c r="BQ355" s="137" t="n">
        <f aca="false">+(DATOS_[[#This Row],[F.fin.cal]]-DATOS_[[#This Row],[F.ini.cal]]+1)/($D$4-$D$3+1)</f>
        <v>1</v>
      </c>
      <c r="BR355" s="137" t="str">
        <f aca="false">IF(OR(AND(DATOS_[[#This Row],[Fecha Fin Contrato]]&lt;$D$3,DATOS_[[#This Row],[Fecha Fin Contrato]]&lt;&gt;""),DATOS_[[#This Row],[Fecha de Contratación]]&gt;$D$4),"Fuera","Dentro")</f>
        <v>Dentro</v>
      </c>
      <c r="BS355" s="137" t="str">
        <f aca="false" t="array" ref="BS355:BS355">IF(MAX(IF(DATOS_[id]=DATOS_[[#This Row],[id]],DATOS_[F.fin.cal]))=DATOS_[[#This Row],[F.fin.cal]],"Sí","NO")</f>
        <v>Sí</v>
      </c>
      <c r="BT355" s="137" t="str">
        <f aca="false">IF(AND(DATOS_[[#This Row],[% normaliz]]&lt;&gt;1,DATOS_[[#This Row],[% anualiz]]=1),"Sí","NO")</f>
        <v>Sí</v>
      </c>
      <c r="BU355" s="137" t="str">
        <f aca="false">IF(AND(DATOS_[[#This Row],[% normaliz]]=1,DATOS_[[#This Row],[% anualiz]]&lt;&gt;1),"Sí","NO")</f>
        <v>NO</v>
      </c>
      <c r="BV355" s="137" t="str">
        <f aca="false">IF(AND(DATOS_[[#This Row],[% normaliz]]&lt;&gt;1,DATOS_[[#This Row],[% anualiz]]&lt;&gt;1),"Sí","NO")</f>
        <v>NO</v>
      </c>
      <c r="BW355" s="137" t="str">
        <f aca="false">+IF(DATOS_[[#This Row],[% normaliz]]*DATOS_[[#This Row],[% anualiz]]=1,"NO","Sí")</f>
        <v>Sí</v>
      </c>
      <c r="BX355" s="138" t="e">
        <f aca="false">(DATOS_[[#This Row],[S.BASE]]*(1/DATOS_[[#This Row],[% normaliz]])*(1/DATOS_[[#This Row],[% anualiz]]))*IF(DATOS_[[#This Row],[Check Equiparado]]="Sí",1,0)</f>
        <v>#DIV/0!</v>
      </c>
      <c r="BY3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5" s="138" t="e">
        <f aca="false">+DATOS_[[#This Row],[SALARIO BASE Eq]]+DATOS_[[#This Row],[Tot COMPL.SAL Eq]]</f>
        <v>#DIV/0!</v>
      </c>
      <c r="CA355" s="138" t="e">
        <f aca="false" t="array" ref="CA355:CA3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5" s="138" t="e">
        <f aca="false">+DATOS_[[#This Row],[TOTAL SALARIO Eq]]+DATOS_[[#This Row],[Tot Extrasalarial Eq]]</f>
        <v>#DIV/0!</v>
      </c>
      <c r="CC355" s="139" t="n">
        <f aca="false">DATOS_[[#This Row],[S.BASE]]</f>
        <v>0</v>
      </c>
      <c r="CD355" s="139" t="n">
        <f aca="false">+SUM(DATOS_[[#This Row],[Conc.Sal.01]:[Conc.Sal.30]])</f>
        <v>0</v>
      </c>
      <c r="CE355" s="139" t="n">
        <f aca="false">+DATOS_[[#This Row],[SALARIO BASE Ef]]+DATOS_[[#This Row],[Tot COMPL.SAL Ef]]</f>
        <v>0</v>
      </c>
      <c r="CF355" s="139" t="n">
        <f aca="false">+SUM(DATOS_[[#This Row],[C.Extra.01]:[C.Extra.05]])</f>
        <v>0</v>
      </c>
      <c r="CG355" s="139" t="n">
        <f aca="false">+DATOS_[[#This Row],[TOTAL SALARIO Ef]]+DATOS_[[#This Row],[Tot Extrasalarial Ef]]</f>
        <v>0</v>
      </c>
      <c r="CH355" s="140" t="n">
        <f aca="false">MIN(IF(DATOS_[[#This Row],[Fecha Fin Contrato]]="",$D$4,DATOS_[[#This Row],[Fecha Fin Contrato]]),$D$4)-MAX(DATOS_[[#This Row],[Fecha de Contratación]],$D$3)+1</f>
        <v>1</v>
      </c>
      <c r="CI355" s="141" t="str">
        <f aca="false">IF(COUNTIFS(DATOS_[id],DATOS_[[#This Row],[id]])&gt;1,DATOS_[[#This Row],[id]],"")</f>
        <v/>
      </c>
      <c r="CJ355" s="141" t="n">
        <f aca="false">(Inicio!$G$10-DATOS_[[#This Row],[Fecha Nacimiento]])/365.25</f>
        <v>0</v>
      </c>
      <c r="CK355" s="141" t="n">
        <f aca="false">(Inicio!$G$10-DATOS_[[#This Row],[Fecha de Antigüedad]])/365.25</f>
        <v>0</v>
      </c>
      <c r="CL355" s="141" t="e">
        <f aca="false">+VLOOKUP(DATOS_[[#This Row],[Clave de Contrato]],TblTiposContrato13[],3,0)</f>
        <v>#N/A</v>
      </c>
      <c r="CM355" s="141" t="e">
        <f aca="false">+VLOOKUP(DATOS_[[#This Row],[Clave de Contrato]],TblTiposContrato13[],4,0)</f>
        <v>#N/A</v>
      </c>
      <c r="CN355" s="141" t="str">
        <f aca="false">VLOOKUP(DATOS_[[#This Row],[Edad]],CONTRATOS!TblRngEdad,2,1)</f>
        <v>20  o menos</v>
      </c>
      <c r="CO355" s="141" t="str">
        <f aca="false">VLOOKUP(DATOS_[[#This Row],[Antigüedad]],TblRngAntg14[],2,1)</f>
        <v>0 a 1 años</v>
      </c>
    </row>
    <row r="356" customFormat="false" ht="13.8" hidden="false" customHeight="false" outlineLevel="0" collapsed="false">
      <c r="D356" s="128"/>
      <c r="E356" s="129"/>
      <c r="F356" s="129"/>
      <c r="G356" s="129"/>
      <c r="H356" s="130"/>
      <c r="I356" s="131"/>
      <c r="J356" s="128"/>
      <c r="K356" s="132"/>
      <c r="L356" s="132"/>
      <c r="M356" s="133"/>
      <c r="N356" s="133"/>
      <c r="O356" s="133"/>
      <c r="P356" s="129"/>
      <c r="Z356" s="75"/>
      <c r="AA356" s="76"/>
      <c r="AB356" s="76"/>
      <c r="AC356" s="129"/>
      <c r="AD356" s="134"/>
      <c r="AE356" s="134"/>
      <c r="AF356" s="134"/>
      <c r="AG356" s="134"/>
      <c r="AH356" s="134"/>
      <c r="AI356" s="134"/>
      <c r="AJ356" s="134"/>
      <c r="AK356" s="134"/>
      <c r="AL356" s="134"/>
      <c r="AM356" s="134"/>
      <c r="AN356" s="134"/>
      <c r="AO356" s="134"/>
      <c r="AP356" s="134"/>
      <c r="AQ356" s="134"/>
      <c r="AR356" s="134"/>
      <c r="AS356" s="134"/>
      <c r="AT356" s="134"/>
      <c r="AU356" s="134"/>
      <c r="AV356" s="134"/>
      <c r="AW356" s="134"/>
      <c r="AX356" s="134"/>
      <c r="AY356" s="134"/>
      <c r="AZ356" s="134"/>
      <c r="BA356" s="134"/>
      <c r="BB356" s="134"/>
      <c r="BC356" s="134"/>
      <c r="BD356" s="134"/>
      <c r="BE356" s="134"/>
      <c r="BF356" s="134"/>
      <c r="BG356" s="134"/>
      <c r="BH356" s="134"/>
      <c r="BI356" s="134"/>
      <c r="BJ356" s="134"/>
      <c r="BK356" s="134"/>
      <c r="BL356" s="134"/>
      <c r="BM356" s="135"/>
      <c r="BN356" s="136" t="n">
        <f aca="false">+MAX($D$3,DATOS_[[#This Row],[Fecha Inicio Sit. Contract.]])</f>
        <v>0</v>
      </c>
      <c r="BO356" s="136" t="n">
        <f aca="false">+MIN($D$4,DATOS_[[#This Row],[Fecha Fin Sit. Contract.]])</f>
        <v>0</v>
      </c>
      <c r="BP356" s="137" t="n">
        <f aca="false">+DATOS_[[#This Row],[% de jornada]]*IF(DATOS_[[#This Row],[% jornada reducida]]="",1,DATOS_[[#This Row],[% jornada reducida]])</f>
        <v>0</v>
      </c>
      <c r="BQ356" s="137" t="n">
        <f aca="false">+(DATOS_[[#This Row],[F.fin.cal]]-DATOS_[[#This Row],[F.ini.cal]]+1)/($D$4-$D$3+1)</f>
        <v>1</v>
      </c>
      <c r="BR356" s="137" t="str">
        <f aca="false">IF(OR(AND(DATOS_[[#This Row],[Fecha Fin Contrato]]&lt;$D$3,DATOS_[[#This Row],[Fecha Fin Contrato]]&lt;&gt;""),DATOS_[[#This Row],[Fecha de Contratación]]&gt;$D$4),"Fuera","Dentro")</f>
        <v>Dentro</v>
      </c>
      <c r="BS356" s="137" t="str">
        <f aca="false" t="array" ref="BS356:BS356">IF(MAX(IF(DATOS_[id]=DATOS_[[#This Row],[id]],DATOS_[F.fin.cal]))=DATOS_[[#This Row],[F.fin.cal]],"Sí","NO")</f>
        <v>Sí</v>
      </c>
      <c r="BT356" s="137" t="str">
        <f aca="false">IF(AND(DATOS_[[#This Row],[% normaliz]]&lt;&gt;1,DATOS_[[#This Row],[% anualiz]]=1),"Sí","NO")</f>
        <v>Sí</v>
      </c>
      <c r="BU356" s="137" t="str">
        <f aca="false">IF(AND(DATOS_[[#This Row],[% normaliz]]=1,DATOS_[[#This Row],[% anualiz]]&lt;&gt;1),"Sí","NO")</f>
        <v>NO</v>
      </c>
      <c r="BV356" s="137" t="str">
        <f aca="false">IF(AND(DATOS_[[#This Row],[% normaliz]]&lt;&gt;1,DATOS_[[#This Row],[% anualiz]]&lt;&gt;1),"Sí","NO")</f>
        <v>NO</v>
      </c>
      <c r="BW356" s="137" t="str">
        <f aca="false">+IF(DATOS_[[#This Row],[% normaliz]]*DATOS_[[#This Row],[% anualiz]]=1,"NO","Sí")</f>
        <v>Sí</v>
      </c>
      <c r="BX356" s="138" t="e">
        <f aca="false">(DATOS_[[#This Row],[S.BASE]]*(1/DATOS_[[#This Row],[% normaliz]])*(1/DATOS_[[#This Row],[% anualiz]]))*IF(DATOS_[[#This Row],[Check Equiparado]]="Sí",1,0)</f>
        <v>#DIV/0!</v>
      </c>
      <c r="BY3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6" s="138" t="e">
        <f aca="false">+DATOS_[[#This Row],[SALARIO BASE Eq]]+DATOS_[[#This Row],[Tot COMPL.SAL Eq]]</f>
        <v>#DIV/0!</v>
      </c>
      <c r="CA356" s="138" t="e">
        <f aca="false" t="array" ref="CA356:CA3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6" s="138" t="e">
        <f aca="false">+DATOS_[[#This Row],[TOTAL SALARIO Eq]]+DATOS_[[#This Row],[Tot Extrasalarial Eq]]</f>
        <v>#DIV/0!</v>
      </c>
      <c r="CC356" s="139" t="n">
        <f aca="false">DATOS_[[#This Row],[S.BASE]]</f>
        <v>0</v>
      </c>
      <c r="CD356" s="139" t="n">
        <f aca="false">+SUM(DATOS_[[#This Row],[Conc.Sal.01]:[Conc.Sal.30]])</f>
        <v>0</v>
      </c>
      <c r="CE356" s="139" t="n">
        <f aca="false">+DATOS_[[#This Row],[SALARIO BASE Ef]]+DATOS_[[#This Row],[Tot COMPL.SAL Ef]]</f>
        <v>0</v>
      </c>
      <c r="CF356" s="139" t="n">
        <f aca="false">+SUM(DATOS_[[#This Row],[C.Extra.01]:[C.Extra.05]])</f>
        <v>0</v>
      </c>
      <c r="CG356" s="139" t="n">
        <f aca="false">+DATOS_[[#This Row],[TOTAL SALARIO Ef]]+DATOS_[[#This Row],[Tot Extrasalarial Ef]]</f>
        <v>0</v>
      </c>
      <c r="CH356" s="140" t="n">
        <f aca="false">MIN(IF(DATOS_[[#This Row],[Fecha Fin Contrato]]="",$D$4,DATOS_[[#This Row],[Fecha Fin Contrato]]),$D$4)-MAX(DATOS_[[#This Row],[Fecha de Contratación]],$D$3)+1</f>
        <v>1</v>
      </c>
      <c r="CI356" s="141" t="str">
        <f aca="false">IF(COUNTIFS(DATOS_[id],DATOS_[[#This Row],[id]])&gt;1,DATOS_[[#This Row],[id]],"")</f>
        <v/>
      </c>
      <c r="CJ356" s="141" t="n">
        <f aca="false">(Inicio!$G$10-DATOS_[[#This Row],[Fecha Nacimiento]])/365.25</f>
        <v>0</v>
      </c>
      <c r="CK356" s="141" t="n">
        <f aca="false">(Inicio!$G$10-DATOS_[[#This Row],[Fecha de Antigüedad]])/365.25</f>
        <v>0</v>
      </c>
      <c r="CL356" s="141" t="e">
        <f aca="false">+VLOOKUP(DATOS_[[#This Row],[Clave de Contrato]],TblTiposContrato13[],3,0)</f>
        <v>#N/A</v>
      </c>
      <c r="CM356" s="141" t="e">
        <f aca="false">+VLOOKUP(DATOS_[[#This Row],[Clave de Contrato]],TblTiposContrato13[],4,0)</f>
        <v>#N/A</v>
      </c>
      <c r="CN356" s="141" t="str">
        <f aca="false">VLOOKUP(DATOS_[[#This Row],[Edad]],CONTRATOS!TblRngEdad,2,1)</f>
        <v>20  o menos</v>
      </c>
      <c r="CO356" s="141" t="str">
        <f aca="false">VLOOKUP(DATOS_[[#This Row],[Antigüedad]],TblRngAntg14[],2,1)</f>
        <v>0 a 1 años</v>
      </c>
    </row>
    <row r="357" customFormat="false" ht="13.8" hidden="false" customHeight="false" outlineLevel="0" collapsed="false">
      <c r="D357" s="128"/>
      <c r="E357" s="129"/>
      <c r="F357" s="129"/>
      <c r="G357" s="129"/>
      <c r="H357" s="130"/>
      <c r="I357" s="131"/>
      <c r="J357" s="128"/>
      <c r="K357" s="132"/>
      <c r="L357" s="132"/>
      <c r="M357" s="133"/>
      <c r="N357" s="133"/>
      <c r="O357" s="133"/>
      <c r="P357" s="129"/>
      <c r="Z357" s="75"/>
      <c r="AA357" s="76"/>
      <c r="AB357" s="76"/>
      <c r="AC357" s="129"/>
      <c r="AD357" s="134"/>
      <c r="AE357" s="134"/>
      <c r="AF357" s="134"/>
      <c r="AG357" s="134"/>
      <c r="AH357" s="134"/>
      <c r="AI357" s="134"/>
      <c r="AJ357" s="134"/>
      <c r="AK357" s="134"/>
      <c r="AL357" s="134"/>
      <c r="AM357" s="134"/>
      <c r="AN357" s="134"/>
      <c r="AO357" s="134"/>
      <c r="AP357" s="134"/>
      <c r="AQ357" s="134"/>
      <c r="AR357" s="134"/>
      <c r="AS357" s="134"/>
      <c r="AT357" s="134"/>
      <c r="AU357" s="134"/>
      <c r="AV357" s="134"/>
      <c r="AW357" s="134"/>
      <c r="AX357" s="134"/>
      <c r="AY357" s="134"/>
      <c r="AZ357" s="134"/>
      <c r="BA357" s="134"/>
      <c r="BB357" s="134"/>
      <c r="BC357" s="134"/>
      <c r="BD357" s="134"/>
      <c r="BE357" s="134"/>
      <c r="BF357" s="134"/>
      <c r="BG357" s="134"/>
      <c r="BH357" s="134"/>
      <c r="BI357" s="134"/>
      <c r="BJ357" s="134"/>
      <c r="BK357" s="134"/>
      <c r="BL357" s="134"/>
      <c r="BM357" s="135"/>
      <c r="BN357" s="136" t="n">
        <f aca="false">+MAX($D$3,DATOS_[[#This Row],[Fecha Inicio Sit. Contract.]])</f>
        <v>0</v>
      </c>
      <c r="BO357" s="136" t="n">
        <f aca="false">+MIN($D$4,DATOS_[[#This Row],[Fecha Fin Sit. Contract.]])</f>
        <v>0</v>
      </c>
      <c r="BP357" s="137" t="n">
        <f aca="false">+DATOS_[[#This Row],[% de jornada]]*IF(DATOS_[[#This Row],[% jornada reducida]]="",1,DATOS_[[#This Row],[% jornada reducida]])</f>
        <v>0</v>
      </c>
      <c r="BQ357" s="137" t="n">
        <f aca="false">+(DATOS_[[#This Row],[F.fin.cal]]-DATOS_[[#This Row],[F.ini.cal]]+1)/($D$4-$D$3+1)</f>
        <v>1</v>
      </c>
      <c r="BR357" s="137" t="str">
        <f aca="false">IF(OR(AND(DATOS_[[#This Row],[Fecha Fin Contrato]]&lt;$D$3,DATOS_[[#This Row],[Fecha Fin Contrato]]&lt;&gt;""),DATOS_[[#This Row],[Fecha de Contratación]]&gt;$D$4),"Fuera","Dentro")</f>
        <v>Dentro</v>
      </c>
      <c r="BS357" s="137" t="str">
        <f aca="false" t="array" ref="BS357:BS357">IF(MAX(IF(DATOS_[id]=DATOS_[[#This Row],[id]],DATOS_[F.fin.cal]))=DATOS_[[#This Row],[F.fin.cal]],"Sí","NO")</f>
        <v>Sí</v>
      </c>
      <c r="BT357" s="137" t="str">
        <f aca="false">IF(AND(DATOS_[[#This Row],[% normaliz]]&lt;&gt;1,DATOS_[[#This Row],[% anualiz]]=1),"Sí","NO")</f>
        <v>Sí</v>
      </c>
      <c r="BU357" s="137" t="str">
        <f aca="false">IF(AND(DATOS_[[#This Row],[% normaliz]]=1,DATOS_[[#This Row],[% anualiz]]&lt;&gt;1),"Sí","NO")</f>
        <v>NO</v>
      </c>
      <c r="BV357" s="137" t="str">
        <f aca="false">IF(AND(DATOS_[[#This Row],[% normaliz]]&lt;&gt;1,DATOS_[[#This Row],[% anualiz]]&lt;&gt;1),"Sí","NO")</f>
        <v>NO</v>
      </c>
      <c r="BW357" s="137" t="str">
        <f aca="false">+IF(DATOS_[[#This Row],[% normaliz]]*DATOS_[[#This Row],[% anualiz]]=1,"NO","Sí")</f>
        <v>Sí</v>
      </c>
      <c r="BX357" s="138" t="e">
        <f aca="false">(DATOS_[[#This Row],[S.BASE]]*(1/DATOS_[[#This Row],[% normaliz]])*(1/DATOS_[[#This Row],[% anualiz]]))*IF(DATOS_[[#This Row],[Check Equiparado]]="Sí",1,0)</f>
        <v>#DIV/0!</v>
      </c>
      <c r="BY3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7" s="138" t="e">
        <f aca="false">+DATOS_[[#This Row],[SALARIO BASE Eq]]+DATOS_[[#This Row],[Tot COMPL.SAL Eq]]</f>
        <v>#DIV/0!</v>
      </c>
      <c r="CA357" s="138" t="e">
        <f aca="false" t="array" ref="CA357:CA3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7" s="138" t="e">
        <f aca="false">+DATOS_[[#This Row],[TOTAL SALARIO Eq]]+DATOS_[[#This Row],[Tot Extrasalarial Eq]]</f>
        <v>#DIV/0!</v>
      </c>
      <c r="CC357" s="139" t="n">
        <f aca="false">DATOS_[[#This Row],[S.BASE]]</f>
        <v>0</v>
      </c>
      <c r="CD357" s="139" t="n">
        <f aca="false">+SUM(DATOS_[[#This Row],[Conc.Sal.01]:[Conc.Sal.30]])</f>
        <v>0</v>
      </c>
      <c r="CE357" s="139" t="n">
        <f aca="false">+DATOS_[[#This Row],[SALARIO BASE Ef]]+DATOS_[[#This Row],[Tot COMPL.SAL Ef]]</f>
        <v>0</v>
      </c>
      <c r="CF357" s="139" t="n">
        <f aca="false">+SUM(DATOS_[[#This Row],[C.Extra.01]:[C.Extra.05]])</f>
        <v>0</v>
      </c>
      <c r="CG357" s="139" t="n">
        <f aca="false">+DATOS_[[#This Row],[TOTAL SALARIO Ef]]+DATOS_[[#This Row],[Tot Extrasalarial Ef]]</f>
        <v>0</v>
      </c>
      <c r="CH357" s="140" t="n">
        <f aca="false">MIN(IF(DATOS_[[#This Row],[Fecha Fin Contrato]]="",$D$4,DATOS_[[#This Row],[Fecha Fin Contrato]]),$D$4)-MAX(DATOS_[[#This Row],[Fecha de Contratación]],$D$3)+1</f>
        <v>1</v>
      </c>
      <c r="CI357" s="141" t="str">
        <f aca="false">IF(COUNTIFS(DATOS_[id],DATOS_[[#This Row],[id]])&gt;1,DATOS_[[#This Row],[id]],"")</f>
        <v/>
      </c>
      <c r="CJ357" s="141" t="n">
        <f aca="false">(Inicio!$G$10-DATOS_[[#This Row],[Fecha Nacimiento]])/365.25</f>
        <v>0</v>
      </c>
      <c r="CK357" s="141" t="n">
        <f aca="false">(Inicio!$G$10-DATOS_[[#This Row],[Fecha de Antigüedad]])/365.25</f>
        <v>0</v>
      </c>
      <c r="CL357" s="141" t="e">
        <f aca="false">+VLOOKUP(DATOS_[[#This Row],[Clave de Contrato]],TblTiposContrato13[],3,0)</f>
        <v>#N/A</v>
      </c>
      <c r="CM357" s="141" t="e">
        <f aca="false">+VLOOKUP(DATOS_[[#This Row],[Clave de Contrato]],TblTiposContrato13[],4,0)</f>
        <v>#N/A</v>
      </c>
      <c r="CN357" s="141" t="str">
        <f aca="false">VLOOKUP(DATOS_[[#This Row],[Edad]],CONTRATOS!TblRngEdad,2,1)</f>
        <v>20  o menos</v>
      </c>
      <c r="CO357" s="141" t="str">
        <f aca="false">VLOOKUP(DATOS_[[#This Row],[Antigüedad]],TblRngAntg14[],2,1)</f>
        <v>0 a 1 años</v>
      </c>
    </row>
    <row r="358" customFormat="false" ht="13.8" hidden="false" customHeight="false" outlineLevel="0" collapsed="false">
      <c r="D358" s="128"/>
      <c r="E358" s="129"/>
      <c r="F358" s="129"/>
      <c r="G358" s="129"/>
      <c r="H358" s="130"/>
      <c r="I358" s="131"/>
      <c r="J358" s="128"/>
      <c r="K358" s="132"/>
      <c r="L358" s="132"/>
      <c r="M358" s="133"/>
      <c r="N358" s="133"/>
      <c r="O358" s="133"/>
      <c r="P358" s="129"/>
      <c r="Z358" s="75"/>
      <c r="AA358" s="76"/>
      <c r="AB358" s="76"/>
      <c r="AC358" s="129"/>
      <c r="AD358" s="134"/>
      <c r="AE358" s="134"/>
      <c r="AF358" s="134"/>
      <c r="AG358" s="134"/>
      <c r="AH358" s="134"/>
      <c r="AI358" s="134"/>
      <c r="AJ358" s="134"/>
      <c r="AK358" s="134"/>
      <c r="AL358" s="134"/>
      <c r="AM358" s="134"/>
      <c r="AN358" s="134"/>
      <c r="AO358" s="134"/>
      <c r="AP358" s="134"/>
      <c r="AQ358" s="134"/>
      <c r="AR358" s="134"/>
      <c r="AS358" s="134"/>
      <c r="AT358" s="134"/>
      <c r="AU358" s="134"/>
      <c r="AV358" s="134"/>
      <c r="AW358" s="134"/>
      <c r="AX358" s="134"/>
      <c r="AY358" s="134"/>
      <c r="AZ358" s="134"/>
      <c r="BA358" s="134"/>
      <c r="BB358" s="134"/>
      <c r="BC358" s="134"/>
      <c r="BD358" s="134"/>
      <c r="BE358" s="134"/>
      <c r="BF358" s="134"/>
      <c r="BG358" s="134"/>
      <c r="BH358" s="134"/>
      <c r="BI358" s="134"/>
      <c r="BJ358" s="134"/>
      <c r="BK358" s="134"/>
      <c r="BL358" s="134"/>
      <c r="BM358" s="135"/>
      <c r="BN358" s="136" t="n">
        <f aca="false">+MAX($D$3,DATOS_[[#This Row],[Fecha Inicio Sit. Contract.]])</f>
        <v>0</v>
      </c>
      <c r="BO358" s="136" t="n">
        <f aca="false">+MIN($D$4,DATOS_[[#This Row],[Fecha Fin Sit. Contract.]])</f>
        <v>0</v>
      </c>
      <c r="BP358" s="137" t="n">
        <f aca="false">+DATOS_[[#This Row],[% de jornada]]*IF(DATOS_[[#This Row],[% jornada reducida]]="",1,DATOS_[[#This Row],[% jornada reducida]])</f>
        <v>0</v>
      </c>
      <c r="BQ358" s="137" t="n">
        <f aca="false">+(DATOS_[[#This Row],[F.fin.cal]]-DATOS_[[#This Row],[F.ini.cal]]+1)/($D$4-$D$3+1)</f>
        <v>1</v>
      </c>
      <c r="BR358" s="137" t="str">
        <f aca="false">IF(OR(AND(DATOS_[[#This Row],[Fecha Fin Contrato]]&lt;$D$3,DATOS_[[#This Row],[Fecha Fin Contrato]]&lt;&gt;""),DATOS_[[#This Row],[Fecha de Contratación]]&gt;$D$4),"Fuera","Dentro")</f>
        <v>Dentro</v>
      </c>
      <c r="BS358" s="137" t="str">
        <f aca="false" t="array" ref="BS358:BS358">IF(MAX(IF(DATOS_[id]=DATOS_[[#This Row],[id]],DATOS_[F.fin.cal]))=DATOS_[[#This Row],[F.fin.cal]],"Sí","NO")</f>
        <v>Sí</v>
      </c>
      <c r="BT358" s="137" t="str">
        <f aca="false">IF(AND(DATOS_[[#This Row],[% normaliz]]&lt;&gt;1,DATOS_[[#This Row],[% anualiz]]=1),"Sí","NO")</f>
        <v>Sí</v>
      </c>
      <c r="BU358" s="137" t="str">
        <f aca="false">IF(AND(DATOS_[[#This Row],[% normaliz]]=1,DATOS_[[#This Row],[% anualiz]]&lt;&gt;1),"Sí","NO")</f>
        <v>NO</v>
      </c>
      <c r="BV358" s="137" t="str">
        <f aca="false">IF(AND(DATOS_[[#This Row],[% normaliz]]&lt;&gt;1,DATOS_[[#This Row],[% anualiz]]&lt;&gt;1),"Sí","NO")</f>
        <v>NO</v>
      </c>
      <c r="BW358" s="137" t="str">
        <f aca="false">+IF(DATOS_[[#This Row],[% normaliz]]*DATOS_[[#This Row],[% anualiz]]=1,"NO","Sí")</f>
        <v>Sí</v>
      </c>
      <c r="BX358" s="138" t="e">
        <f aca="false">(DATOS_[[#This Row],[S.BASE]]*(1/DATOS_[[#This Row],[% normaliz]])*(1/DATOS_[[#This Row],[% anualiz]]))*IF(DATOS_[[#This Row],[Check Equiparado]]="Sí",1,0)</f>
        <v>#DIV/0!</v>
      </c>
      <c r="BY3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8" s="138" t="e">
        <f aca="false">+DATOS_[[#This Row],[SALARIO BASE Eq]]+DATOS_[[#This Row],[Tot COMPL.SAL Eq]]</f>
        <v>#DIV/0!</v>
      </c>
      <c r="CA358" s="138" t="e">
        <f aca="false" t="array" ref="CA358:CA3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8" s="138" t="e">
        <f aca="false">+DATOS_[[#This Row],[TOTAL SALARIO Eq]]+DATOS_[[#This Row],[Tot Extrasalarial Eq]]</f>
        <v>#DIV/0!</v>
      </c>
      <c r="CC358" s="139" t="n">
        <f aca="false">DATOS_[[#This Row],[S.BASE]]</f>
        <v>0</v>
      </c>
      <c r="CD358" s="139" t="n">
        <f aca="false">+SUM(DATOS_[[#This Row],[Conc.Sal.01]:[Conc.Sal.30]])</f>
        <v>0</v>
      </c>
      <c r="CE358" s="139" t="n">
        <f aca="false">+DATOS_[[#This Row],[SALARIO BASE Ef]]+DATOS_[[#This Row],[Tot COMPL.SAL Ef]]</f>
        <v>0</v>
      </c>
      <c r="CF358" s="139" t="n">
        <f aca="false">+SUM(DATOS_[[#This Row],[C.Extra.01]:[C.Extra.05]])</f>
        <v>0</v>
      </c>
      <c r="CG358" s="139" t="n">
        <f aca="false">+DATOS_[[#This Row],[TOTAL SALARIO Ef]]+DATOS_[[#This Row],[Tot Extrasalarial Ef]]</f>
        <v>0</v>
      </c>
      <c r="CH358" s="140" t="n">
        <f aca="false">MIN(IF(DATOS_[[#This Row],[Fecha Fin Contrato]]="",$D$4,DATOS_[[#This Row],[Fecha Fin Contrato]]),$D$4)-MAX(DATOS_[[#This Row],[Fecha de Contratación]],$D$3)+1</f>
        <v>1</v>
      </c>
      <c r="CI358" s="141" t="str">
        <f aca="false">IF(COUNTIFS(DATOS_[id],DATOS_[[#This Row],[id]])&gt;1,DATOS_[[#This Row],[id]],"")</f>
        <v/>
      </c>
      <c r="CJ358" s="141" t="n">
        <f aca="false">(Inicio!$G$10-DATOS_[[#This Row],[Fecha Nacimiento]])/365.25</f>
        <v>0</v>
      </c>
      <c r="CK358" s="141" t="n">
        <f aca="false">(Inicio!$G$10-DATOS_[[#This Row],[Fecha de Antigüedad]])/365.25</f>
        <v>0</v>
      </c>
      <c r="CL358" s="141" t="e">
        <f aca="false">+VLOOKUP(DATOS_[[#This Row],[Clave de Contrato]],TblTiposContrato13[],3,0)</f>
        <v>#N/A</v>
      </c>
      <c r="CM358" s="141" t="e">
        <f aca="false">+VLOOKUP(DATOS_[[#This Row],[Clave de Contrato]],TblTiposContrato13[],4,0)</f>
        <v>#N/A</v>
      </c>
      <c r="CN358" s="141" t="str">
        <f aca="false">VLOOKUP(DATOS_[[#This Row],[Edad]],CONTRATOS!TblRngEdad,2,1)</f>
        <v>20  o menos</v>
      </c>
      <c r="CO358" s="141" t="str">
        <f aca="false">VLOOKUP(DATOS_[[#This Row],[Antigüedad]],TblRngAntg14[],2,1)</f>
        <v>0 a 1 años</v>
      </c>
    </row>
    <row r="359" customFormat="false" ht="13.8" hidden="false" customHeight="false" outlineLevel="0" collapsed="false">
      <c r="D359" s="128"/>
      <c r="E359" s="129"/>
      <c r="F359" s="129"/>
      <c r="G359" s="129"/>
      <c r="H359" s="130"/>
      <c r="I359" s="131"/>
      <c r="J359" s="128"/>
      <c r="K359" s="132"/>
      <c r="L359" s="132"/>
      <c r="M359" s="133"/>
      <c r="N359" s="133"/>
      <c r="O359" s="133"/>
      <c r="P359" s="129"/>
      <c r="Z359" s="75"/>
      <c r="AA359" s="76"/>
      <c r="AB359" s="76"/>
      <c r="AC359" s="129"/>
      <c r="AD359" s="134"/>
      <c r="AE359" s="134"/>
      <c r="AF359" s="134"/>
      <c r="AG359" s="134"/>
      <c r="AH359" s="134"/>
      <c r="AI359" s="134"/>
      <c r="AJ359" s="134"/>
      <c r="AK359" s="134"/>
      <c r="AL359" s="134"/>
      <c r="AM359" s="134"/>
      <c r="AN359" s="134"/>
      <c r="AO359" s="134"/>
      <c r="AP359" s="134"/>
      <c r="AQ359" s="134"/>
      <c r="AR359" s="134"/>
      <c r="AS359" s="134"/>
      <c r="AT359" s="134"/>
      <c r="AU359" s="134"/>
      <c r="AV359" s="134"/>
      <c r="AW359" s="134"/>
      <c r="AX359" s="134"/>
      <c r="AY359" s="134"/>
      <c r="AZ359" s="134"/>
      <c r="BA359" s="134"/>
      <c r="BB359" s="134"/>
      <c r="BC359" s="134"/>
      <c r="BD359" s="134"/>
      <c r="BE359" s="134"/>
      <c r="BF359" s="134"/>
      <c r="BG359" s="134"/>
      <c r="BH359" s="134"/>
      <c r="BI359" s="134"/>
      <c r="BJ359" s="134"/>
      <c r="BK359" s="134"/>
      <c r="BL359" s="134"/>
      <c r="BM359" s="135"/>
      <c r="BN359" s="136" t="n">
        <f aca="false">+MAX($D$3,DATOS_[[#This Row],[Fecha Inicio Sit. Contract.]])</f>
        <v>0</v>
      </c>
      <c r="BO359" s="136" t="n">
        <f aca="false">+MIN($D$4,DATOS_[[#This Row],[Fecha Fin Sit. Contract.]])</f>
        <v>0</v>
      </c>
      <c r="BP359" s="137" t="n">
        <f aca="false">+DATOS_[[#This Row],[% de jornada]]*IF(DATOS_[[#This Row],[% jornada reducida]]="",1,DATOS_[[#This Row],[% jornada reducida]])</f>
        <v>0</v>
      </c>
      <c r="BQ359" s="137" t="n">
        <f aca="false">+(DATOS_[[#This Row],[F.fin.cal]]-DATOS_[[#This Row],[F.ini.cal]]+1)/($D$4-$D$3+1)</f>
        <v>1</v>
      </c>
      <c r="BR359" s="137" t="str">
        <f aca="false">IF(OR(AND(DATOS_[[#This Row],[Fecha Fin Contrato]]&lt;$D$3,DATOS_[[#This Row],[Fecha Fin Contrato]]&lt;&gt;""),DATOS_[[#This Row],[Fecha de Contratación]]&gt;$D$4),"Fuera","Dentro")</f>
        <v>Dentro</v>
      </c>
      <c r="BS359" s="137" t="str">
        <f aca="false" t="array" ref="BS359:BS359">IF(MAX(IF(DATOS_[id]=DATOS_[[#This Row],[id]],DATOS_[F.fin.cal]))=DATOS_[[#This Row],[F.fin.cal]],"Sí","NO")</f>
        <v>Sí</v>
      </c>
      <c r="BT359" s="137" t="str">
        <f aca="false">IF(AND(DATOS_[[#This Row],[% normaliz]]&lt;&gt;1,DATOS_[[#This Row],[% anualiz]]=1),"Sí","NO")</f>
        <v>Sí</v>
      </c>
      <c r="BU359" s="137" t="str">
        <f aca="false">IF(AND(DATOS_[[#This Row],[% normaliz]]=1,DATOS_[[#This Row],[% anualiz]]&lt;&gt;1),"Sí","NO")</f>
        <v>NO</v>
      </c>
      <c r="BV359" s="137" t="str">
        <f aca="false">IF(AND(DATOS_[[#This Row],[% normaliz]]&lt;&gt;1,DATOS_[[#This Row],[% anualiz]]&lt;&gt;1),"Sí","NO")</f>
        <v>NO</v>
      </c>
      <c r="BW359" s="137" t="str">
        <f aca="false">+IF(DATOS_[[#This Row],[% normaliz]]*DATOS_[[#This Row],[% anualiz]]=1,"NO","Sí")</f>
        <v>Sí</v>
      </c>
      <c r="BX359" s="138" t="e">
        <f aca="false">(DATOS_[[#This Row],[S.BASE]]*(1/DATOS_[[#This Row],[% normaliz]])*(1/DATOS_[[#This Row],[% anualiz]]))*IF(DATOS_[[#This Row],[Check Equiparado]]="Sí",1,0)</f>
        <v>#DIV/0!</v>
      </c>
      <c r="BY3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9" s="138" t="e">
        <f aca="false">+DATOS_[[#This Row],[SALARIO BASE Eq]]+DATOS_[[#This Row],[Tot COMPL.SAL Eq]]</f>
        <v>#DIV/0!</v>
      </c>
      <c r="CA359" s="138" t="e">
        <f aca="false" t="array" ref="CA359:CA3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9" s="138" t="e">
        <f aca="false">+DATOS_[[#This Row],[TOTAL SALARIO Eq]]+DATOS_[[#This Row],[Tot Extrasalarial Eq]]</f>
        <v>#DIV/0!</v>
      </c>
      <c r="CC359" s="139" t="n">
        <f aca="false">DATOS_[[#This Row],[S.BASE]]</f>
        <v>0</v>
      </c>
      <c r="CD359" s="139" t="n">
        <f aca="false">+SUM(DATOS_[[#This Row],[Conc.Sal.01]:[Conc.Sal.30]])</f>
        <v>0</v>
      </c>
      <c r="CE359" s="139" t="n">
        <f aca="false">+DATOS_[[#This Row],[SALARIO BASE Ef]]+DATOS_[[#This Row],[Tot COMPL.SAL Ef]]</f>
        <v>0</v>
      </c>
      <c r="CF359" s="139" t="n">
        <f aca="false">+SUM(DATOS_[[#This Row],[C.Extra.01]:[C.Extra.05]])</f>
        <v>0</v>
      </c>
      <c r="CG359" s="139" t="n">
        <f aca="false">+DATOS_[[#This Row],[TOTAL SALARIO Ef]]+DATOS_[[#This Row],[Tot Extrasalarial Ef]]</f>
        <v>0</v>
      </c>
      <c r="CH359" s="140" t="n">
        <f aca="false">MIN(IF(DATOS_[[#This Row],[Fecha Fin Contrato]]="",$D$4,DATOS_[[#This Row],[Fecha Fin Contrato]]),$D$4)-MAX(DATOS_[[#This Row],[Fecha de Contratación]],$D$3)+1</f>
        <v>1</v>
      </c>
      <c r="CI359" s="141" t="str">
        <f aca="false">IF(COUNTIFS(DATOS_[id],DATOS_[[#This Row],[id]])&gt;1,DATOS_[[#This Row],[id]],"")</f>
        <v/>
      </c>
      <c r="CJ359" s="141" t="n">
        <f aca="false">(Inicio!$G$10-DATOS_[[#This Row],[Fecha Nacimiento]])/365.25</f>
        <v>0</v>
      </c>
      <c r="CK359" s="141" t="n">
        <f aca="false">(Inicio!$G$10-DATOS_[[#This Row],[Fecha de Antigüedad]])/365.25</f>
        <v>0</v>
      </c>
      <c r="CL359" s="141" t="e">
        <f aca="false">+VLOOKUP(DATOS_[[#This Row],[Clave de Contrato]],TblTiposContrato13[],3,0)</f>
        <v>#N/A</v>
      </c>
      <c r="CM359" s="141" t="e">
        <f aca="false">+VLOOKUP(DATOS_[[#This Row],[Clave de Contrato]],TblTiposContrato13[],4,0)</f>
        <v>#N/A</v>
      </c>
      <c r="CN359" s="141" t="str">
        <f aca="false">VLOOKUP(DATOS_[[#This Row],[Edad]],CONTRATOS!TblRngEdad,2,1)</f>
        <v>20  o menos</v>
      </c>
      <c r="CO359" s="141" t="str">
        <f aca="false">VLOOKUP(DATOS_[[#This Row],[Antigüedad]],TblRngAntg14[],2,1)</f>
        <v>0 a 1 años</v>
      </c>
    </row>
    <row r="360" customFormat="false" ht="13.8" hidden="false" customHeight="false" outlineLevel="0" collapsed="false">
      <c r="D360" s="128"/>
      <c r="E360" s="129"/>
      <c r="F360" s="129"/>
      <c r="G360" s="129"/>
      <c r="H360" s="130"/>
      <c r="I360" s="131"/>
      <c r="J360" s="128"/>
      <c r="K360" s="132"/>
      <c r="L360" s="132"/>
      <c r="M360" s="133"/>
      <c r="N360" s="133"/>
      <c r="O360" s="133"/>
      <c r="P360" s="129"/>
      <c r="Z360" s="75"/>
      <c r="AA360" s="76"/>
      <c r="AB360" s="76"/>
      <c r="AC360" s="129"/>
      <c r="AD360" s="134"/>
      <c r="AE360" s="134"/>
      <c r="AF360" s="134"/>
      <c r="AG360" s="134"/>
      <c r="AH360" s="134"/>
      <c r="AI360" s="134"/>
      <c r="AJ360" s="134"/>
      <c r="AK360" s="134"/>
      <c r="AL360" s="134"/>
      <c r="AM360" s="134"/>
      <c r="AN360" s="134"/>
      <c r="AO360" s="134"/>
      <c r="AP360" s="134"/>
      <c r="AQ360" s="134"/>
      <c r="AR360" s="134"/>
      <c r="AS360" s="134"/>
      <c r="AT360" s="134"/>
      <c r="AU360" s="134"/>
      <c r="AV360" s="134"/>
      <c r="AW360" s="134"/>
      <c r="AX360" s="134"/>
      <c r="AY360" s="134"/>
      <c r="AZ360" s="134"/>
      <c r="BA360" s="134"/>
      <c r="BB360" s="134"/>
      <c r="BC360" s="134"/>
      <c r="BD360" s="134"/>
      <c r="BE360" s="134"/>
      <c r="BF360" s="134"/>
      <c r="BG360" s="134"/>
      <c r="BH360" s="134"/>
      <c r="BI360" s="134"/>
      <c r="BJ360" s="134"/>
      <c r="BK360" s="134"/>
      <c r="BL360" s="134"/>
      <c r="BM360" s="135"/>
      <c r="BN360" s="136" t="n">
        <f aca="false">+MAX($D$3,DATOS_[[#This Row],[Fecha Inicio Sit. Contract.]])</f>
        <v>0</v>
      </c>
      <c r="BO360" s="136" t="n">
        <f aca="false">+MIN($D$4,DATOS_[[#This Row],[Fecha Fin Sit. Contract.]])</f>
        <v>0</v>
      </c>
      <c r="BP360" s="137" t="n">
        <f aca="false">+DATOS_[[#This Row],[% de jornada]]*IF(DATOS_[[#This Row],[% jornada reducida]]="",1,DATOS_[[#This Row],[% jornada reducida]])</f>
        <v>0</v>
      </c>
      <c r="BQ360" s="137" t="n">
        <f aca="false">+(DATOS_[[#This Row],[F.fin.cal]]-DATOS_[[#This Row],[F.ini.cal]]+1)/($D$4-$D$3+1)</f>
        <v>1</v>
      </c>
      <c r="BR360" s="137" t="str">
        <f aca="false">IF(OR(AND(DATOS_[[#This Row],[Fecha Fin Contrato]]&lt;$D$3,DATOS_[[#This Row],[Fecha Fin Contrato]]&lt;&gt;""),DATOS_[[#This Row],[Fecha de Contratación]]&gt;$D$4),"Fuera","Dentro")</f>
        <v>Dentro</v>
      </c>
      <c r="BS360" s="137" t="str">
        <f aca="false" t="array" ref="BS360:BS360">IF(MAX(IF(DATOS_[id]=DATOS_[[#This Row],[id]],DATOS_[F.fin.cal]))=DATOS_[[#This Row],[F.fin.cal]],"Sí","NO")</f>
        <v>Sí</v>
      </c>
      <c r="BT360" s="137" t="str">
        <f aca="false">IF(AND(DATOS_[[#This Row],[% normaliz]]&lt;&gt;1,DATOS_[[#This Row],[% anualiz]]=1),"Sí","NO")</f>
        <v>Sí</v>
      </c>
      <c r="BU360" s="137" t="str">
        <f aca="false">IF(AND(DATOS_[[#This Row],[% normaliz]]=1,DATOS_[[#This Row],[% anualiz]]&lt;&gt;1),"Sí","NO")</f>
        <v>NO</v>
      </c>
      <c r="BV360" s="137" t="str">
        <f aca="false">IF(AND(DATOS_[[#This Row],[% normaliz]]&lt;&gt;1,DATOS_[[#This Row],[% anualiz]]&lt;&gt;1),"Sí","NO")</f>
        <v>NO</v>
      </c>
      <c r="BW360" s="137" t="str">
        <f aca="false">+IF(DATOS_[[#This Row],[% normaliz]]*DATOS_[[#This Row],[% anualiz]]=1,"NO","Sí")</f>
        <v>Sí</v>
      </c>
      <c r="BX360" s="138" t="e">
        <f aca="false">(DATOS_[[#This Row],[S.BASE]]*(1/DATOS_[[#This Row],[% normaliz]])*(1/DATOS_[[#This Row],[% anualiz]]))*IF(DATOS_[[#This Row],[Check Equiparado]]="Sí",1,0)</f>
        <v>#DIV/0!</v>
      </c>
      <c r="BY3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0" s="138" t="e">
        <f aca="false">+DATOS_[[#This Row],[SALARIO BASE Eq]]+DATOS_[[#This Row],[Tot COMPL.SAL Eq]]</f>
        <v>#DIV/0!</v>
      </c>
      <c r="CA360" s="138" t="e">
        <f aca="false" t="array" ref="CA360:CA3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0" s="138" t="e">
        <f aca="false">+DATOS_[[#This Row],[TOTAL SALARIO Eq]]+DATOS_[[#This Row],[Tot Extrasalarial Eq]]</f>
        <v>#DIV/0!</v>
      </c>
      <c r="CC360" s="139" t="n">
        <f aca="false">DATOS_[[#This Row],[S.BASE]]</f>
        <v>0</v>
      </c>
      <c r="CD360" s="139" t="n">
        <f aca="false">+SUM(DATOS_[[#This Row],[Conc.Sal.01]:[Conc.Sal.30]])</f>
        <v>0</v>
      </c>
      <c r="CE360" s="139" t="n">
        <f aca="false">+DATOS_[[#This Row],[SALARIO BASE Ef]]+DATOS_[[#This Row],[Tot COMPL.SAL Ef]]</f>
        <v>0</v>
      </c>
      <c r="CF360" s="139" t="n">
        <f aca="false">+SUM(DATOS_[[#This Row],[C.Extra.01]:[C.Extra.05]])</f>
        <v>0</v>
      </c>
      <c r="CG360" s="139" t="n">
        <f aca="false">+DATOS_[[#This Row],[TOTAL SALARIO Ef]]+DATOS_[[#This Row],[Tot Extrasalarial Ef]]</f>
        <v>0</v>
      </c>
      <c r="CH360" s="140" t="n">
        <f aca="false">MIN(IF(DATOS_[[#This Row],[Fecha Fin Contrato]]="",$D$4,DATOS_[[#This Row],[Fecha Fin Contrato]]),$D$4)-MAX(DATOS_[[#This Row],[Fecha de Contratación]],$D$3)+1</f>
        <v>1</v>
      </c>
      <c r="CI360" s="141" t="str">
        <f aca="false">IF(COUNTIFS(DATOS_[id],DATOS_[[#This Row],[id]])&gt;1,DATOS_[[#This Row],[id]],"")</f>
        <v/>
      </c>
      <c r="CJ360" s="141" t="n">
        <f aca="false">(Inicio!$G$10-DATOS_[[#This Row],[Fecha Nacimiento]])/365.25</f>
        <v>0</v>
      </c>
      <c r="CK360" s="141" t="n">
        <f aca="false">(Inicio!$G$10-DATOS_[[#This Row],[Fecha de Antigüedad]])/365.25</f>
        <v>0</v>
      </c>
      <c r="CL360" s="141" t="e">
        <f aca="false">+VLOOKUP(DATOS_[[#This Row],[Clave de Contrato]],TblTiposContrato13[],3,0)</f>
        <v>#N/A</v>
      </c>
      <c r="CM360" s="141" t="e">
        <f aca="false">+VLOOKUP(DATOS_[[#This Row],[Clave de Contrato]],TblTiposContrato13[],4,0)</f>
        <v>#N/A</v>
      </c>
      <c r="CN360" s="141" t="str">
        <f aca="false">VLOOKUP(DATOS_[[#This Row],[Edad]],CONTRATOS!TblRngEdad,2,1)</f>
        <v>20  o menos</v>
      </c>
      <c r="CO360" s="141" t="str">
        <f aca="false">VLOOKUP(DATOS_[[#This Row],[Antigüedad]],TblRngAntg14[],2,1)</f>
        <v>0 a 1 años</v>
      </c>
    </row>
    <row r="361" customFormat="false" ht="13.8" hidden="false" customHeight="false" outlineLevel="0" collapsed="false">
      <c r="D361" s="128"/>
      <c r="E361" s="129"/>
      <c r="F361" s="129"/>
      <c r="G361" s="129"/>
      <c r="H361" s="130"/>
      <c r="I361" s="131"/>
      <c r="J361" s="128"/>
      <c r="K361" s="132"/>
      <c r="L361" s="132"/>
      <c r="M361" s="133"/>
      <c r="N361" s="133"/>
      <c r="O361" s="133"/>
      <c r="P361" s="129"/>
      <c r="Z361" s="75"/>
      <c r="AA361" s="76"/>
      <c r="AB361" s="76"/>
      <c r="AC361" s="129"/>
      <c r="AD361" s="134"/>
      <c r="AE361" s="134"/>
      <c r="AF361" s="134"/>
      <c r="AG361" s="134"/>
      <c r="AH361" s="134"/>
      <c r="AI361" s="134"/>
      <c r="AJ361" s="134"/>
      <c r="AK361" s="134"/>
      <c r="AL361" s="134"/>
      <c r="AM361" s="134"/>
      <c r="AN361" s="134"/>
      <c r="AO361" s="134"/>
      <c r="AP361" s="134"/>
      <c r="AQ361" s="134"/>
      <c r="AR361" s="134"/>
      <c r="AS361" s="134"/>
      <c r="AT361" s="134"/>
      <c r="AU361" s="134"/>
      <c r="AV361" s="134"/>
      <c r="AW361" s="134"/>
      <c r="AX361" s="134"/>
      <c r="AY361" s="134"/>
      <c r="AZ361" s="134"/>
      <c r="BA361" s="134"/>
      <c r="BB361" s="134"/>
      <c r="BC361" s="134"/>
      <c r="BD361" s="134"/>
      <c r="BE361" s="134"/>
      <c r="BF361" s="134"/>
      <c r="BG361" s="134"/>
      <c r="BH361" s="134"/>
      <c r="BI361" s="134"/>
      <c r="BJ361" s="134"/>
      <c r="BK361" s="134"/>
      <c r="BL361" s="134"/>
      <c r="BM361" s="135"/>
      <c r="BN361" s="136" t="n">
        <f aca="false">+MAX($D$3,DATOS_[[#This Row],[Fecha Inicio Sit. Contract.]])</f>
        <v>0</v>
      </c>
      <c r="BO361" s="136" t="n">
        <f aca="false">+MIN($D$4,DATOS_[[#This Row],[Fecha Fin Sit. Contract.]])</f>
        <v>0</v>
      </c>
      <c r="BP361" s="137" t="n">
        <f aca="false">+DATOS_[[#This Row],[% de jornada]]*IF(DATOS_[[#This Row],[% jornada reducida]]="",1,DATOS_[[#This Row],[% jornada reducida]])</f>
        <v>0</v>
      </c>
      <c r="BQ361" s="137" t="n">
        <f aca="false">+(DATOS_[[#This Row],[F.fin.cal]]-DATOS_[[#This Row],[F.ini.cal]]+1)/($D$4-$D$3+1)</f>
        <v>1</v>
      </c>
      <c r="BR361" s="137" t="str">
        <f aca="false">IF(OR(AND(DATOS_[[#This Row],[Fecha Fin Contrato]]&lt;$D$3,DATOS_[[#This Row],[Fecha Fin Contrato]]&lt;&gt;""),DATOS_[[#This Row],[Fecha de Contratación]]&gt;$D$4),"Fuera","Dentro")</f>
        <v>Dentro</v>
      </c>
      <c r="BS361" s="137" t="str">
        <f aca="false" t="array" ref="BS361:BS361">IF(MAX(IF(DATOS_[id]=DATOS_[[#This Row],[id]],DATOS_[F.fin.cal]))=DATOS_[[#This Row],[F.fin.cal]],"Sí","NO")</f>
        <v>Sí</v>
      </c>
      <c r="BT361" s="137" t="str">
        <f aca="false">IF(AND(DATOS_[[#This Row],[% normaliz]]&lt;&gt;1,DATOS_[[#This Row],[% anualiz]]=1),"Sí","NO")</f>
        <v>Sí</v>
      </c>
      <c r="BU361" s="137" t="str">
        <f aca="false">IF(AND(DATOS_[[#This Row],[% normaliz]]=1,DATOS_[[#This Row],[% anualiz]]&lt;&gt;1),"Sí","NO")</f>
        <v>NO</v>
      </c>
      <c r="BV361" s="137" t="str">
        <f aca="false">IF(AND(DATOS_[[#This Row],[% normaliz]]&lt;&gt;1,DATOS_[[#This Row],[% anualiz]]&lt;&gt;1),"Sí","NO")</f>
        <v>NO</v>
      </c>
      <c r="BW361" s="137" t="str">
        <f aca="false">+IF(DATOS_[[#This Row],[% normaliz]]*DATOS_[[#This Row],[% anualiz]]=1,"NO","Sí")</f>
        <v>Sí</v>
      </c>
      <c r="BX361" s="138" t="e">
        <f aca="false">(DATOS_[[#This Row],[S.BASE]]*(1/DATOS_[[#This Row],[% normaliz]])*(1/DATOS_[[#This Row],[% anualiz]]))*IF(DATOS_[[#This Row],[Check Equiparado]]="Sí",1,0)</f>
        <v>#DIV/0!</v>
      </c>
      <c r="BY3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1" s="138" t="e">
        <f aca="false">+DATOS_[[#This Row],[SALARIO BASE Eq]]+DATOS_[[#This Row],[Tot COMPL.SAL Eq]]</f>
        <v>#DIV/0!</v>
      </c>
      <c r="CA361" s="138" t="e">
        <f aca="false" t="array" ref="CA361:CA3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1" s="138" t="e">
        <f aca="false">+DATOS_[[#This Row],[TOTAL SALARIO Eq]]+DATOS_[[#This Row],[Tot Extrasalarial Eq]]</f>
        <v>#DIV/0!</v>
      </c>
      <c r="CC361" s="139" t="n">
        <f aca="false">DATOS_[[#This Row],[S.BASE]]</f>
        <v>0</v>
      </c>
      <c r="CD361" s="139" t="n">
        <f aca="false">+SUM(DATOS_[[#This Row],[Conc.Sal.01]:[Conc.Sal.30]])</f>
        <v>0</v>
      </c>
      <c r="CE361" s="139" t="n">
        <f aca="false">+DATOS_[[#This Row],[SALARIO BASE Ef]]+DATOS_[[#This Row],[Tot COMPL.SAL Ef]]</f>
        <v>0</v>
      </c>
      <c r="CF361" s="139" t="n">
        <f aca="false">+SUM(DATOS_[[#This Row],[C.Extra.01]:[C.Extra.05]])</f>
        <v>0</v>
      </c>
      <c r="CG361" s="139" t="n">
        <f aca="false">+DATOS_[[#This Row],[TOTAL SALARIO Ef]]+DATOS_[[#This Row],[Tot Extrasalarial Ef]]</f>
        <v>0</v>
      </c>
      <c r="CH361" s="140" t="n">
        <f aca="false">MIN(IF(DATOS_[[#This Row],[Fecha Fin Contrato]]="",$D$4,DATOS_[[#This Row],[Fecha Fin Contrato]]),$D$4)-MAX(DATOS_[[#This Row],[Fecha de Contratación]],$D$3)+1</f>
        <v>1</v>
      </c>
      <c r="CI361" s="141" t="str">
        <f aca="false">IF(COUNTIFS(DATOS_[id],DATOS_[[#This Row],[id]])&gt;1,DATOS_[[#This Row],[id]],"")</f>
        <v/>
      </c>
      <c r="CJ361" s="141" t="n">
        <f aca="false">(Inicio!$G$10-DATOS_[[#This Row],[Fecha Nacimiento]])/365.25</f>
        <v>0</v>
      </c>
      <c r="CK361" s="141" t="n">
        <f aca="false">(Inicio!$G$10-DATOS_[[#This Row],[Fecha de Antigüedad]])/365.25</f>
        <v>0</v>
      </c>
      <c r="CL361" s="141" t="e">
        <f aca="false">+VLOOKUP(DATOS_[[#This Row],[Clave de Contrato]],TblTiposContrato13[],3,0)</f>
        <v>#N/A</v>
      </c>
      <c r="CM361" s="141" t="e">
        <f aca="false">+VLOOKUP(DATOS_[[#This Row],[Clave de Contrato]],TblTiposContrato13[],4,0)</f>
        <v>#N/A</v>
      </c>
      <c r="CN361" s="141" t="str">
        <f aca="false">VLOOKUP(DATOS_[[#This Row],[Edad]],CONTRATOS!TblRngEdad,2,1)</f>
        <v>20  o menos</v>
      </c>
      <c r="CO361" s="141" t="str">
        <f aca="false">VLOOKUP(DATOS_[[#This Row],[Antigüedad]],TblRngAntg14[],2,1)</f>
        <v>0 a 1 años</v>
      </c>
    </row>
    <row r="362" customFormat="false" ht="13.8" hidden="false" customHeight="false" outlineLevel="0" collapsed="false">
      <c r="D362" s="128"/>
      <c r="E362" s="129"/>
      <c r="F362" s="129"/>
      <c r="G362" s="129"/>
      <c r="H362" s="130"/>
      <c r="I362" s="131"/>
      <c r="J362" s="128"/>
      <c r="K362" s="132"/>
      <c r="L362" s="132"/>
      <c r="M362" s="133"/>
      <c r="N362" s="133"/>
      <c r="O362" s="133"/>
      <c r="P362" s="129"/>
      <c r="Z362" s="75"/>
      <c r="AA362" s="76"/>
      <c r="AB362" s="76"/>
      <c r="AC362" s="129"/>
      <c r="AD362" s="134"/>
      <c r="AE362" s="134"/>
      <c r="AF362" s="134"/>
      <c r="AG362" s="134"/>
      <c r="AH362" s="134"/>
      <c r="AI362" s="134"/>
      <c r="AJ362" s="134"/>
      <c r="AK362" s="134"/>
      <c r="AL362" s="134"/>
      <c r="AM362" s="134"/>
      <c r="AN362" s="134"/>
      <c r="AO362" s="134"/>
      <c r="AP362" s="134"/>
      <c r="AQ362" s="134"/>
      <c r="AR362" s="134"/>
      <c r="AS362" s="134"/>
      <c r="AT362" s="134"/>
      <c r="AU362" s="134"/>
      <c r="AV362" s="134"/>
      <c r="AW362" s="134"/>
      <c r="AX362" s="134"/>
      <c r="AY362" s="134"/>
      <c r="AZ362" s="134"/>
      <c r="BA362" s="134"/>
      <c r="BB362" s="134"/>
      <c r="BC362" s="134"/>
      <c r="BD362" s="134"/>
      <c r="BE362" s="134"/>
      <c r="BF362" s="134"/>
      <c r="BG362" s="134"/>
      <c r="BH362" s="134"/>
      <c r="BI362" s="134"/>
      <c r="BJ362" s="134"/>
      <c r="BK362" s="134"/>
      <c r="BL362" s="134"/>
      <c r="BM362" s="135"/>
      <c r="BN362" s="136" t="n">
        <f aca="false">+MAX($D$3,DATOS_[[#This Row],[Fecha Inicio Sit. Contract.]])</f>
        <v>0</v>
      </c>
      <c r="BO362" s="136" t="n">
        <f aca="false">+MIN($D$4,DATOS_[[#This Row],[Fecha Fin Sit. Contract.]])</f>
        <v>0</v>
      </c>
      <c r="BP362" s="137" t="n">
        <f aca="false">+DATOS_[[#This Row],[% de jornada]]*IF(DATOS_[[#This Row],[% jornada reducida]]="",1,DATOS_[[#This Row],[% jornada reducida]])</f>
        <v>0</v>
      </c>
      <c r="BQ362" s="137" t="n">
        <f aca="false">+(DATOS_[[#This Row],[F.fin.cal]]-DATOS_[[#This Row],[F.ini.cal]]+1)/($D$4-$D$3+1)</f>
        <v>1</v>
      </c>
      <c r="BR362" s="137" t="str">
        <f aca="false">IF(OR(AND(DATOS_[[#This Row],[Fecha Fin Contrato]]&lt;$D$3,DATOS_[[#This Row],[Fecha Fin Contrato]]&lt;&gt;""),DATOS_[[#This Row],[Fecha de Contratación]]&gt;$D$4),"Fuera","Dentro")</f>
        <v>Dentro</v>
      </c>
      <c r="BS362" s="137" t="str">
        <f aca="false" t="array" ref="BS362:BS362">IF(MAX(IF(DATOS_[id]=DATOS_[[#This Row],[id]],DATOS_[F.fin.cal]))=DATOS_[[#This Row],[F.fin.cal]],"Sí","NO")</f>
        <v>Sí</v>
      </c>
      <c r="BT362" s="137" t="str">
        <f aca="false">IF(AND(DATOS_[[#This Row],[% normaliz]]&lt;&gt;1,DATOS_[[#This Row],[% anualiz]]=1),"Sí","NO")</f>
        <v>Sí</v>
      </c>
      <c r="BU362" s="137" t="str">
        <f aca="false">IF(AND(DATOS_[[#This Row],[% normaliz]]=1,DATOS_[[#This Row],[% anualiz]]&lt;&gt;1),"Sí","NO")</f>
        <v>NO</v>
      </c>
      <c r="BV362" s="137" t="str">
        <f aca="false">IF(AND(DATOS_[[#This Row],[% normaliz]]&lt;&gt;1,DATOS_[[#This Row],[% anualiz]]&lt;&gt;1),"Sí","NO")</f>
        <v>NO</v>
      </c>
      <c r="BW362" s="137" t="str">
        <f aca="false">+IF(DATOS_[[#This Row],[% normaliz]]*DATOS_[[#This Row],[% anualiz]]=1,"NO","Sí")</f>
        <v>Sí</v>
      </c>
      <c r="BX362" s="138" t="e">
        <f aca="false">(DATOS_[[#This Row],[S.BASE]]*(1/DATOS_[[#This Row],[% normaliz]])*(1/DATOS_[[#This Row],[% anualiz]]))*IF(DATOS_[[#This Row],[Check Equiparado]]="Sí",1,0)</f>
        <v>#DIV/0!</v>
      </c>
      <c r="BY3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2" s="138" t="e">
        <f aca="false">+DATOS_[[#This Row],[SALARIO BASE Eq]]+DATOS_[[#This Row],[Tot COMPL.SAL Eq]]</f>
        <v>#DIV/0!</v>
      </c>
      <c r="CA362" s="138" t="e">
        <f aca="false" t="array" ref="CA362:CA3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2" s="138" t="e">
        <f aca="false">+DATOS_[[#This Row],[TOTAL SALARIO Eq]]+DATOS_[[#This Row],[Tot Extrasalarial Eq]]</f>
        <v>#DIV/0!</v>
      </c>
      <c r="CC362" s="139" t="n">
        <f aca="false">DATOS_[[#This Row],[S.BASE]]</f>
        <v>0</v>
      </c>
      <c r="CD362" s="139" t="n">
        <f aca="false">+SUM(DATOS_[[#This Row],[Conc.Sal.01]:[Conc.Sal.30]])</f>
        <v>0</v>
      </c>
      <c r="CE362" s="139" t="n">
        <f aca="false">+DATOS_[[#This Row],[SALARIO BASE Ef]]+DATOS_[[#This Row],[Tot COMPL.SAL Ef]]</f>
        <v>0</v>
      </c>
      <c r="CF362" s="139" t="n">
        <f aca="false">+SUM(DATOS_[[#This Row],[C.Extra.01]:[C.Extra.05]])</f>
        <v>0</v>
      </c>
      <c r="CG362" s="139" t="n">
        <f aca="false">+DATOS_[[#This Row],[TOTAL SALARIO Ef]]+DATOS_[[#This Row],[Tot Extrasalarial Ef]]</f>
        <v>0</v>
      </c>
      <c r="CH362" s="140" t="n">
        <f aca="false">MIN(IF(DATOS_[[#This Row],[Fecha Fin Contrato]]="",$D$4,DATOS_[[#This Row],[Fecha Fin Contrato]]),$D$4)-MAX(DATOS_[[#This Row],[Fecha de Contratación]],$D$3)+1</f>
        <v>1</v>
      </c>
      <c r="CI362" s="141" t="str">
        <f aca="false">IF(COUNTIFS(DATOS_[id],DATOS_[[#This Row],[id]])&gt;1,DATOS_[[#This Row],[id]],"")</f>
        <v/>
      </c>
      <c r="CJ362" s="141" t="n">
        <f aca="false">(Inicio!$G$10-DATOS_[[#This Row],[Fecha Nacimiento]])/365.25</f>
        <v>0</v>
      </c>
      <c r="CK362" s="141" t="n">
        <f aca="false">(Inicio!$G$10-DATOS_[[#This Row],[Fecha de Antigüedad]])/365.25</f>
        <v>0</v>
      </c>
      <c r="CL362" s="141" t="e">
        <f aca="false">+VLOOKUP(DATOS_[[#This Row],[Clave de Contrato]],TblTiposContrato13[],3,0)</f>
        <v>#N/A</v>
      </c>
      <c r="CM362" s="141" t="e">
        <f aca="false">+VLOOKUP(DATOS_[[#This Row],[Clave de Contrato]],TblTiposContrato13[],4,0)</f>
        <v>#N/A</v>
      </c>
      <c r="CN362" s="141" t="str">
        <f aca="false">VLOOKUP(DATOS_[[#This Row],[Edad]],CONTRATOS!TblRngEdad,2,1)</f>
        <v>20  o menos</v>
      </c>
      <c r="CO362" s="141" t="str">
        <f aca="false">VLOOKUP(DATOS_[[#This Row],[Antigüedad]],TblRngAntg14[],2,1)</f>
        <v>0 a 1 años</v>
      </c>
    </row>
    <row r="363" customFormat="false" ht="13.8" hidden="false" customHeight="false" outlineLevel="0" collapsed="false">
      <c r="D363" s="128"/>
      <c r="E363" s="129"/>
      <c r="F363" s="129"/>
      <c r="G363" s="129"/>
      <c r="H363" s="130"/>
      <c r="I363" s="131"/>
      <c r="J363" s="128"/>
      <c r="K363" s="132"/>
      <c r="L363" s="132"/>
      <c r="M363" s="133"/>
      <c r="N363" s="133"/>
      <c r="O363" s="133"/>
      <c r="P363" s="129"/>
      <c r="Z363" s="75"/>
      <c r="AA363" s="76"/>
      <c r="AB363" s="76"/>
      <c r="AC363" s="129"/>
      <c r="AD363" s="134"/>
      <c r="AE363" s="134"/>
      <c r="AF363" s="134"/>
      <c r="AG363" s="134"/>
      <c r="AH363" s="134"/>
      <c r="AI363" s="134"/>
      <c r="AJ363" s="134"/>
      <c r="AK363" s="134"/>
      <c r="AL363" s="134"/>
      <c r="AM363" s="134"/>
      <c r="AN363" s="134"/>
      <c r="AO363" s="134"/>
      <c r="AP363" s="134"/>
      <c r="AQ363" s="134"/>
      <c r="AR363" s="134"/>
      <c r="AS363" s="134"/>
      <c r="AT363" s="134"/>
      <c r="AU363" s="134"/>
      <c r="AV363" s="134"/>
      <c r="AW363" s="134"/>
      <c r="AX363" s="134"/>
      <c r="AY363" s="134"/>
      <c r="AZ363" s="134"/>
      <c r="BA363" s="134"/>
      <c r="BB363" s="134"/>
      <c r="BC363" s="134"/>
      <c r="BD363" s="134"/>
      <c r="BE363" s="134"/>
      <c r="BF363" s="134"/>
      <c r="BG363" s="134"/>
      <c r="BH363" s="134"/>
      <c r="BI363" s="134"/>
      <c r="BJ363" s="134"/>
      <c r="BK363" s="134"/>
      <c r="BL363" s="134"/>
      <c r="BM363" s="135"/>
      <c r="BN363" s="136" t="n">
        <f aca="false">+MAX($D$3,DATOS_[[#This Row],[Fecha Inicio Sit. Contract.]])</f>
        <v>0</v>
      </c>
      <c r="BO363" s="136" t="n">
        <f aca="false">+MIN($D$4,DATOS_[[#This Row],[Fecha Fin Sit. Contract.]])</f>
        <v>0</v>
      </c>
      <c r="BP363" s="137" t="n">
        <f aca="false">+DATOS_[[#This Row],[% de jornada]]*IF(DATOS_[[#This Row],[% jornada reducida]]="",1,DATOS_[[#This Row],[% jornada reducida]])</f>
        <v>0</v>
      </c>
      <c r="BQ363" s="137" t="n">
        <f aca="false">+(DATOS_[[#This Row],[F.fin.cal]]-DATOS_[[#This Row],[F.ini.cal]]+1)/($D$4-$D$3+1)</f>
        <v>1</v>
      </c>
      <c r="BR363" s="137" t="str">
        <f aca="false">IF(OR(AND(DATOS_[[#This Row],[Fecha Fin Contrato]]&lt;$D$3,DATOS_[[#This Row],[Fecha Fin Contrato]]&lt;&gt;""),DATOS_[[#This Row],[Fecha de Contratación]]&gt;$D$4),"Fuera","Dentro")</f>
        <v>Dentro</v>
      </c>
      <c r="BS363" s="137" t="str">
        <f aca="false" t="array" ref="BS363:BS363">IF(MAX(IF(DATOS_[id]=DATOS_[[#This Row],[id]],DATOS_[F.fin.cal]))=DATOS_[[#This Row],[F.fin.cal]],"Sí","NO")</f>
        <v>Sí</v>
      </c>
      <c r="BT363" s="137" t="str">
        <f aca="false">IF(AND(DATOS_[[#This Row],[% normaliz]]&lt;&gt;1,DATOS_[[#This Row],[% anualiz]]=1),"Sí","NO")</f>
        <v>Sí</v>
      </c>
      <c r="BU363" s="137" t="str">
        <f aca="false">IF(AND(DATOS_[[#This Row],[% normaliz]]=1,DATOS_[[#This Row],[% anualiz]]&lt;&gt;1),"Sí","NO")</f>
        <v>NO</v>
      </c>
      <c r="BV363" s="137" t="str">
        <f aca="false">IF(AND(DATOS_[[#This Row],[% normaliz]]&lt;&gt;1,DATOS_[[#This Row],[% anualiz]]&lt;&gt;1),"Sí","NO")</f>
        <v>NO</v>
      </c>
      <c r="BW363" s="137" t="str">
        <f aca="false">+IF(DATOS_[[#This Row],[% normaliz]]*DATOS_[[#This Row],[% anualiz]]=1,"NO","Sí")</f>
        <v>Sí</v>
      </c>
      <c r="BX363" s="138" t="e">
        <f aca="false">(DATOS_[[#This Row],[S.BASE]]*(1/DATOS_[[#This Row],[% normaliz]])*(1/DATOS_[[#This Row],[% anualiz]]))*IF(DATOS_[[#This Row],[Check Equiparado]]="Sí",1,0)</f>
        <v>#DIV/0!</v>
      </c>
      <c r="BY3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3" s="138" t="e">
        <f aca="false">+DATOS_[[#This Row],[SALARIO BASE Eq]]+DATOS_[[#This Row],[Tot COMPL.SAL Eq]]</f>
        <v>#DIV/0!</v>
      </c>
      <c r="CA363" s="138" t="e">
        <f aca="false" t="array" ref="CA363:CA3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3" s="138" t="e">
        <f aca="false">+DATOS_[[#This Row],[TOTAL SALARIO Eq]]+DATOS_[[#This Row],[Tot Extrasalarial Eq]]</f>
        <v>#DIV/0!</v>
      </c>
      <c r="CC363" s="139" t="n">
        <f aca="false">DATOS_[[#This Row],[S.BASE]]</f>
        <v>0</v>
      </c>
      <c r="CD363" s="139" t="n">
        <f aca="false">+SUM(DATOS_[[#This Row],[Conc.Sal.01]:[Conc.Sal.30]])</f>
        <v>0</v>
      </c>
      <c r="CE363" s="139" t="n">
        <f aca="false">+DATOS_[[#This Row],[SALARIO BASE Ef]]+DATOS_[[#This Row],[Tot COMPL.SAL Ef]]</f>
        <v>0</v>
      </c>
      <c r="CF363" s="139" t="n">
        <f aca="false">+SUM(DATOS_[[#This Row],[C.Extra.01]:[C.Extra.05]])</f>
        <v>0</v>
      </c>
      <c r="CG363" s="139" t="n">
        <f aca="false">+DATOS_[[#This Row],[TOTAL SALARIO Ef]]+DATOS_[[#This Row],[Tot Extrasalarial Ef]]</f>
        <v>0</v>
      </c>
      <c r="CH363" s="140" t="n">
        <f aca="false">MIN(IF(DATOS_[[#This Row],[Fecha Fin Contrato]]="",$D$4,DATOS_[[#This Row],[Fecha Fin Contrato]]),$D$4)-MAX(DATOS_[[#This Row],[Fecha de Contratación]],$D$3)+1</f>
        <v>1</v>
      </c>
      <c r="CI363" s="141" t="str">
        <f aca="false">IF(COUNTIFS(DATOS_[id],DATOS_[[#This Row],[id]])&gt;1,DATOS_[[#This Row],[id]],"")</f>
        <v/>
      </c>
      <c r="CJ363" s="141" t="n">
        <f aca="false">(Inicio!$G$10-DATOS_[[#This Row],[Fecha Nacimiento]])/365.25</f>
        <v>0</v>
      </c>
      <c r="CK363" s="141" t="n">
        <f aca="false">(Inicio!$G$10-DATOS_[[#This Row],[Fecha de Antigüedad]])/365.25</f>
        <v>0</v>
      </c>
      <c r="CL363" s="141" t="e">
        <f aca="false">+VLOOKUP(DATOS_[[#This Row],[Clave de Contrato]],TblTiposContrato13[],3,0)</f>
        <v>#N/A</v>
      </c>
      <c r="CM363" s="141" t="e">
        <f aca="false">+VLOOKUP(DATOS_[[#This Row],[Clave de Contrato]],TblTiposContrato13[],4,0)</f>
        <v>#N/A</v>
      </c>
      <c r="CN363" s="141" t="str">
        <f aca="false">VLOOKUP(DATOS_[[#This Row],[Edad]],CONTRATOS!TblRngEdad,2,1)</f>
        <v>20  o menos</v>
      </c>
      <c r="CO363" s="141" t="str">
        <f aca="false">VLOOKUP(DATOS_[[#This Row],[Antigüedad]],TblRngAntg14[],2,1)</f>
        <v>0 a 1 años</v>
      </c>
    </row>
    <row r="364" customFormat="false" ht="13.8" hidden="false" customHeight="false" outlineLevel="0" collapsed="false">
      <c r="D364" s="128"/>
      <c r="E364" s="129"/>
      <c r="F364" s="129"/>
      <c r="G364" s="129"/>
      <c r="H364" s="130"/>
      <c r="I364" s="131"/>
      <c r="J364" s="128"/>
      <c r="K364" s="132"/>
      <c r="L364" s="132"/>
      <c r="M364" s="133"/>
      <c r="N364" s="133"/>
      <c r="O364" s="133"/>
      <c r="P364" s="129"/>
      <c r="Z364" s="75"/>
      <c r="AA364" s="76"/>
      <c r="AB364" s="76"/>
      <c r="AC364" s="129"/>
      <c r="AD364" s="134"/>
      <c r="AE364" s="134"/>
      <c r="AF364" s="134"/>
      <c r="AG364" s="134"/>
      <c r="AH364" s="134"/>
      <c r="AI364" s="134"/>
      <c r="AJ364" s="134"/>
      <c r="AK364" s="134"/>
      <c r="AL364" s="134"/>
      <c r="AM364" s="134"/>
      <c r="AN364" s="134"/>
      <c r="AO364" s="134"/>
      <c r="AP364" s="134"/>
      <c r="AQ364" s="134"/>
      <c r="AR364" s="134"/>
      <c r="AS364" s="134"/>
      <c r="AT364" s="134"/>
      <c r="AU364" s="134"/>
      <c r="AV364" s="134"/>
      <c r="AW364" s="134"/>
      <c r="AX364" s="134"/>
      <c r="AY364" s="134"/>
      <c r="AZ364" s="134"/>
      <c r="BA364" s="134"/>
      <c r="BB364" s="134"/>
      <c r="BC364" s="134"/>
      <c r="BD364" s="134"/>
      <c r="BE364" s="134"/>
      <c r="BF364" s="134"/>
      <c r="BG364" s="134"/>
      <c r="BH364" s="134"/>
      <c r="BI364" s="134"/>
      <c r="BJ364" s="134"/>
      <c r="BK364" s="134"/>
      <c r="BL364" s="134"/>
      <c r="BM364" s="135"/>
      <c r="BN364" s="136" t="n">
        <f aca="false">+MAX($D$3,DATOS_[[#This Row],[Fecha Inicio Sit. Contract.]])</f>
        <v>0</v>
      </c>
      <c r="BO364" s="136" t="n">
        <f aca="false">+MIN($D$4,DATOS_[[#This Row],[Fecha Fin Sit. Contract.]])</f>
        <v>0</v>
      </c>
      <c r="BP364" s="137" t="n">
        <f aca="false">+DATOS_[[#This Row],[% de jornada]]*IF(DATOS_[[#This Row],[% jornada reducida]]="",1,DATOS_[[#This Row],[% jornada reducida]])</f>
        <v>0</v>
      </c>
      <c r="BQ364" s="137" t="n">
        <f aca="false">+(DATOS_[[#This Row],[F.fin.cal]]-DATOS_[[#This Row],[F.ini.cal]]+1)/($D$4-$D$3+1)</f>
        <v>1</v>
      </c>
      <c r="BR364" s="137" t="str">
        <f aca="false">IF(OR(AND(DATOS_[[#This Row],[Fecha Fin Contrato]]&lt;$D$3,DATOS_[[#This Row],[Fecha Fin Contrato]]&lt;&gt;""),DATOS_[[#This Row],[Fecha de Contratación]]&gt;$D$4),"Fuera","Dentro")</f>
        <v>Dentro</v>
      </c>
      <c r="BS364" s="137" t="str">
        <f aca="false" t="array" ref="BS364:BS364">IF(MAX(IF(DATOS_[id]=DATOS_[[#This Row],[id]],DATOS_[F.fin.cal]))=DATOS_[[#This Row],[F.fin.cal]],"Sí","NO")</f>
        <v>Sí</v>
      </c>
      <c r="BT364" s="137" t="str">
        <f aca="false">IF(AND(DATOS_[[#This Row],[% normaliz]]&lt;&gt;1,DATOS_[[#This Row],[% anualiz]]=1),"Sí","NO")</f>
        <v>Sí</v>
      </c>
      <c r="BU364" s="137" t="str">
        <f aca="false">IF(AND(DATOS_[[#This Row],[% normaliz]]=1,DATOS_[[#This Row],[% anualiz]]&lt;&gt;1),"Sí","NO")</f>
        <v>NO</v>
      </c>
      <c r="BV364" s="137" t="str">
        <f aca="false">IF(AND(DATOS_[[#This Row],[% normaliz]]&lt;&gt;1,DATOS_[[#This Row],[% anualiz]]&lt;&gt;1),"Sí","NO")</f>
        <v>NO</v>
      </c>
      <c r="BW364" s="137" t="str">
        <f aca="false">+IF(DATOS_[[#This Row],[% normaliz]]*DATOS_[[#This Row],[% anualiz]]=1,"NO","Sí")</f>
        <v>Sí</v>
      </c>
      <c r="BX364" s="138" t="e">
        <f aca="false">(DATOS_[[#This Row],[S.BASE]]*(1/DATOS_[[#This Row],[% normaliz]])*(1/DATOS_[[#This Row],[% anualiz]]))*IF(DATOS_[[#This Row],[Check Equiparado]]="Sí",1,0)</f>
        <v>#DIV/0!</v>
      </c>
      <c r="BY3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4" s="138" t="e">
        <f aca="false">+DATOS_[[#This Row],[SALARIO BASE Eq]]+DATOS_[[#This Row],[Tot COMPL.SAL Eq]]</f>
        <v>#DIV/0!</v>
      </c>
      <c r="CA364" s="138" t="e">
        <f aca="false" t="array" ref="CA364:CA3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4" s="138" t="e">
        <f aca="false">+DATOS_[[#This Row],[TOTAL SALARIO Eq]]+DATOS_[[#This Row],[Tot Extrasalarial Eq]]</f>
        <v>#DIV/0!</v>
      </c>
      <c r="CC364" s="139" t="n">
        <f aca="false">DATOS_[[#This Row],[S.BASE]]</f>
        <v>0</v>
      </c>
      <c r="CD364" s="139" t="n">
        <f aca="false">+SUM(DATOS_[[#This Row],[Conc.Sal.01]:[Conc.Sal.30]])</f>
        <v>0</v>
      </c>
      <c r="CE364" s="139" t="n">
        <f aca="false">+DATOS_[[#This Row],[SALARIO BASE Ef]]+DATOS_[[#This Row],[Tot COMPL.SAL Ef]]</f>
        <v>0</v>
      </c>
      <c r="CF364" s="139" t="n">
        <f aca="false">+SUM(DATOS_[[#This Row],[C.Extra.01]:[C.Extra.05]])</f>
        <v>0</v>
      </c>
      <c r="CG364" s="139" t="n">
        <f aca="false">+DATOS_[[#This Row],[TOTAL SALARIO Ef]]+DATOS_[[#This Row],[Tot Extrasalarial Ef]]</f>
        <v>0</v>
      </c>
      <c r="CH364" s="140" t="n">
        <f aca="false">MIN(IF(DATOS_[[#This Row],[Fecha Fin Contrato]]="",$D$4,DATOS_[[#This Row],[Fecha Fin Contrato]]),$D$4)-MAX(DATOS_[[#This Row],[Fecha de Contratación]],$D$3)+1</f>
        <v>1</v>
      </c>
      <c r="CI364" s="141" t="str">
        <f aca="false">IF(COUNTIFS(DATOS_[id],DATOS_[[#This Row],[id]])&gt;1,DATOS_[[#This Row],[id]],"")</f>
        <v/>
      </c>
      <c r="CJ364" s="141" t="n">
        <f aca="false">(Inicio!$G$10-DATOS_[[#This Row],[Fecha Nacimiento]])/365.25</f>
        <v>0</v>
      </c>
      <c r="CK364" s="141" t="n">
        <f aca="false">(Inicio!$G$10-DATOS_[[#This Row],[Fecha de Antigüedad]])/365.25</f>
        <v>0</v>
      </c>
      <c r="CL364" s="141" t="e">
        <f aca="false">+VLOOKUP(DATOS_[[#This Row],[Clave de Contrato]],TblTiposContrato13[],3,0)</f>
        <v>#N/A</v>
      </c>
      <c r="CM364" s="141" t="e">
        <f aca="false">+VLOOKUP(DATOS_[[#This Row],[Clave de Contrato]],TblTiposContrato13[],4,0)</f>
        <v>#N/A</v>
      </c>
      <c r="CN364" s="141" t="str">
        <f aca="false">VLOOKUP(DATOS_[[#This Row],[Edad]],CONTRATOS!TblRngEdad,2,1)</f>
        <v>20  o menos</v>
      </c>
      <c r="CO364" s="141" t="str">
        <f aca="false">VLOOKUP(DATOS_[[#This Row],[Antigüedad]],TblRngAntg14[],2,1)</f>
        <v>0 a 1 años</v>
      </c>
    </row>
    <row r="365" customFormat="false" ht="13.8" hidden="false" customHeight="false" outlineLevel="0" collapsed="false">
      <c r="D365" s="128"/>
      <c r="E365" s="129"/>
      <c r="F365" s="129"/>
      <c r="G365" s="129"/>
      <c r="H365" s="130"/>
      <c r="I365" s="131"/>
      <c r="J365" s="128"/>
      <c r="K365" s="132"/>
      <c r="L365" s="132"/>
      <c r="M365" s="133"/>
      <c r="N365" s="133"/>
      <c r="O365" s="133"/>
      <c r="P365" s="129"/>
      <c r="Z365" s="75"/>
      <c r="AA365" s="76"/>
      <c r="AB365" s="76"/>
      <c r="AC365" s="129"/>
      <c r="AD365" s="134"/>
      <c r="AE365" s="134"/>
      <c r="AF365" s="134"/>
      <c r="AG365" s="134"/>
      <c r="AH365" s="134"/>
      <c r="AI365" s="134"/>
      <c r="AJ365" s="134"/>
      <c r="AK365" s="134"/>
      <c r="AL365" s="134"/>
      <c r="AM365" s="134"/>
      <c r="AN365" s="134"/>
      <c r="AO365" s="134"/>
      <c r="AP365" s="134"/>
      <c r="AQ365" s="134"/>
      <c r="AR365" s="134"/>
      <c r="AS365" s="134"/>
      <c r="AT365" s="134"/>
      <c r="AU365" s="134"/>
      <c r="AV365" s="134"/>
      <c r="AW365" s="134"/>
      <c r="AX365" s="134"/>
      <c r="AY365" s="134"/>
      <c r="AZ365" s="134"/>
      <c r="BA365" s="134"/>
      <c r="BB365" s="134"/>
      <c r="BC365" s="134"/>
      <c r="BD365" s="134"/>
      <c r="BE365" s="134"/>
      <c r="BF365" s="134"/>
      <c r="BG365" s="134"/>
      <c r="BH365" s="134"/>
      <c r="BI365" s="134"/>
      <c r="BJ365" s="134"/>
      <c r="BK365" s="134"/>
      <c r="BL365" s="134"/>
      <c r="BM365" s="135"/>
      <c r="BN365" s="136" t="n">
        <f aca="false">+MAX($D$3,DATOS_[[#This Row],[Fecha Inicio Sit. Contract.]])</f>
        <v>0</v>
      </c>
      <c r="BO365" s="136" t="n">
        <f aca="false">+MIN($D$4,DATOS_[[#This Row],[Fecha Fin Sit. Contract.]])</f>
        <v>0</v>
      </c>
      <c r="BP365" s="137" t="n">
        <f aca="false">+DATOS_[[#This Row],[% de jornada]]*IF(DATOS_[[#This Row],[% jornada reducida]]="",1,DATOS_[[#This Row],[% jornada reducida]])</f>
        <v>0</v>
      </c>
      <c r="BQ365" s="137" t="n">
        <f aca="false">+(DATOS_[[#This Row],[F.fin.cal]]-DATOS_[[#This Row],[F.ini.cal]]+1)/($D$4-$D$3+1)</f>
        <v>1</v>
      </c>
      <c r="BR365" s="137" t="str">
        <f aca="false">IF(OR(AND(DATOS_[[#This Row],[Fecha Fin Contrato]]&lt;$D$3,DATOS_[[#This Row],[Fecha Fin Contrato]]&lt;&gt;""),DATOS_[[#This Row],[Fecha de Contratación]]&gt;$D$4),"Fuera","Dentro")</f>
        <v>Dentro</v>
      </c>
      <c r="BS365" s="137" t="str">
        <f aca="false" t="array" ref="BS365:BS365">IF(MAX(IF(DATOS_[id]=DATOS_[[#This Row],[id]],DATOS_[F.fin.cal]))=DATOS_[[#This Row],[F.fin.cal]],"Sí","NO")</f>
        <v>Sí</v>
      </c>
      <c r="BT365" s="137" t="str">
        <f aca="false">IF(AND(DATOS_[[#This Row],[% normaliz]]&lt;&gt;1,DATOS_[[#This Row],[% anualiz]]=1),"Sí","NO")</f>
        <v>Sí</v>
      </c>
      <c r="BU365" s="137" t="str">
        <f aca="false">IF(AND(DATOS_[[#This Row],[% normaliz]]=1,DATOS_[[#This Row],[% anualiz]]&lt;&gt;1),"Sí","NO")</f>
        <v>NO</v>
      </c>
      <c r="BV365" s="137" t="str">
        <f aca="false">IF(AND(DATOS_[[#This Row],[% normaliz]]&lt;&gt;1,DATOS_[[#This Row],[% anualiz]]&lt;&gt;1),"Sí","NO")</f>
        <v>NO</v>
      </c>
      <c r="BW365" s="137" t="str">
        <f aca="false">+IF(DATOS_[[#This Row],[% normaliz]]*DATOS_[[#This Row],[% anualiz]]=1,"NO","Sí")</f>
        <v>Sí</v>
      </c>
      <c r="BX365" s="138" t="e">
        <f aca="false">(DATOS_[[#This Row],[S.BASE]]*(1/DATOS_[[#This Row],[% normaliz]])*(1/DATOS_[[#This Row],[% anualiz]]))*IF(DATOS_[[#This Row],[Check Equiparado]]="Sí",1,0)</f>
        <v>#DIV/0!</v>
      </c>
      <c r="BY3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5" s="138" t="e">
        <f aca="false">+DATOS_[[#This Row],[SALARIO BASE Eq]]+DATOS_[[#This Row],[Tot COMPL.SAL Eq]]</f>
        <v>#DIV/0!</v>
      </c>
      <c r="CA365" s="138" t="e">
        <f aca="false" t="array" ref="CA365:CA3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5" s="138" t="e">
        <f aca="false">+DATOS_[[#This Row],[TOTAL SALARIO Eq]]+DATOS_[[#This Row],[Tot Extrasalarial Eq]]</f>
        <v>#DIV/0!</v>
      </c>
      <c r="CC365" s="139" t="n">
        <f aca="false">DATOS_[[#This Row],[S.BASE]]</f>
        <v>0</v>
      </c>
      <c r="CD365" s="139" t="n">
        <f aca="false">+SUM(DATOS_[[#This Row],[Conc.Sal.01]:[Conc.Sal.30]])</f>
        <v>0</v>
      </c>
      <c r="CE365" s="139" t="n">
        <f aca="false">+DATOS_[[#This Row],[SALARIO BASE Ef]]+DATOS_[[#This Row],[Tot COMPL.SAL Ef]]</f>
        <v>0</v>
      </c>
      <c r="CF365" s="139" t="n">
        <f aca="false">+SUM(DATOS_[[#This Row],[C.Extra.01]:[C.Extra.05]])</f>
        <v>0</v>
      </c>
      <c r="CG365" s="139" t="n">
        <f aca="false">+DATOS_[[#This Row],[TOTAL SALARIO Ef]]+DATOS_[[#This Row],[Tot Extrasalarial Ef]]</f>
        <v>0</v>
      </c>
      <c r="CH365" s="140" t="n">
        <f aca="false">MIN(IF(DATOS_[[#This Row],[Fecha Fin Contrato]]="",$D$4,DATOS_[[#This Row],[Fecha Fin Contrato]]),$D$4)-MAX(DATOS_[[#This Row],[Fecha de Contratación]],$D$3)+1</f>
        <v>1</v>
      </c>
      <c r="CI365" s="141" t="str">
        <f aca="false">IF(COUNTIFS(DATOS_[id],DATOS_[[#This Row],[id]])&gt;1,DATOS_[[#This Row],[id]],"")</f>
        <v/>
      </c>
      <c r="CJ365" s="141" t="n">
        <f aca="false">(Inicio!$G$10-DATOS_[[#This Row],[Fecha Nacimiento]])/365.25</f>
        <v>0</v>
      </c>
      <c r="CK365" s="141" t="n">
        <f aca="false">(Inicio!$G$10-DATOS_[[#This Row],[Fecha de Antigüedad]])/365.25</f>
        <v>0</v>
      </c>
      <c r="CL365" s="141" t="e">
        <f aca="false">+VLOOKUP(DATOS_[[#This Row],[Clave de Contrato]],TblTiposContrato13[],3,0)</f>
        <v>#N/A</v>
      </c>
      <c r="CM365" s="141" t="e">
        <f aca="false">+VLOOKUP(DATOS_[[#This Row],[Clave de Contrato]],TblTiposContrato13[],4,0)</f>
        <v>#N/A</v>
      </c>
      <c r="CN365" s="141" t="str">
        <f aca="false">VLOOKUP(DATOS_[[#This Row],[Edad]],CONTRATOS!TblRngEdad,2,1)</f>
        <v>20  o menos</v>
      </c>
      <c r="CO365" s="141" t="str">
        <f aca="false">VLOOKUP(DATOS_[[#This Row],[Antigüedad]],TblRngAntg14[],2,1)</f>
        <v>0 a 1 años</v>
      </c>
    </row>
    <row r="366" customFormat="false" ht="13.8" hidden="false" customHeight="false" outlineLevel="0" collapsed="false">
      <c r="D366" s="128"/>
      <c r="E366" s="129"/>
      <c r="F366" s="129"/>
      <c r="G366" s="129"/>
      <c r="H366" s="130"/>
      <c r="I366" s="131"/>
      <c r="J366" s="128"/>
      <c r="K366" s="132"/>
      <c r="L366" s="132"/>
      <c r="M366" s="133"/>
      <c r="N366" s="133"/>
      <c r="O366" s="133"/>
      <c r="P366" s="129"/>
      <c r="Z366" s="75"/>
      <c r="AA366" s="76"/>
      <c r="AB366" s="76"/>
      <c r="AC366" s="129"/>
      <c r="AD366" s="134"/>
      <c r="AE366" s="134"/>
      <c r="AF366" s="134"/>
      <c r="AG366" s="134"/>
      <c r="AH366" s="134"/>
      <c r="AI366" s="134"/>
      <c r="AJ366" s="134"/>
      <c r="AK366" s="134"/>
      <c r="AL366" s="134"/>
      <c r="AM366" s="134"/>
      <c r="AN366" s="134"/>
      <c r="AO366" s="134"/>
      <c r="AP366" s="134"/>
      <c r="AQ366" s="134"/>
      <c r="AR366" s="134"/>
      <c r="AS366" s="134"/>
      <c r="AT366" s="134"/>
      <c r="AU366" s="134"/>
      <c r="AV366" s="134"/>
      <c r="AW366" s="134"/>
      <c r="AX366" s="134"/>
      <c r="AY366" s="134"/>
      <c r="AZ366" s="134"/>
      <c r="BA366" s="134"/>
      <c r="BB366" s="134"/>
      <c r="BC366" s="134"/>
      <c r="BD366" s="134"/>
      <c r="BE366" s="134"/>
      <c r="BF366" s="134"/>
      <c r="BG366" s="134"/>
      <c r="BH366" s="134"/>
      <c r="BI366" s="134"/>
      <c r="BJ366" s="134"/>
      <c r="BK366" s="134"/>
      <c r="BL366" s="134"/>
      <c r="BM366" s="135"/>
      <c r="BN366" s="136" t="n">
        <f aca="false">+MAX($D$3,DATOS_[[#This Row],[Fecha Inicio Sit. Contract.]])</f>
        <v>0</v>
      </c>
      <c r="BO366" s="136" t="n">
        <f aca="false">+MIN($D$4,DATOS_[[#This Row],[Fecha Fin Sit. Contract.]])</f>
        <v>0</v>
      </c>
      <c r="BP366" s="137" t="n">
        <f aca="false">+DATOS_[[#This Row],[% de jornada]]*IF(DATOS_[[#This Row],[% jornada reducida]]="",1,DATOS_[[#This Row],[% jornada reducida]])</f>
        <v>0</v>
      </c>
      <c r="BQ366" s="137" t="n">
        <f aca="false">+(DATOS_[[#This Row],[F.fin.cal]]-DATOS_[[#This Row],[F.ini.cal]]+1)/($D$4-$D$3+1)</f>
        <v>1</v>
      </c>
      <c r="BR366" s="137" t="str">
        <f aca="false">IF(OR(AND(DATOS_[[#This Row],[Fecha Fin Contrato]]&lt;$D$3,DATOS_[[#This Row],[Fecha Fin Contrato]]&lt;&gt;""),DATOS_[[#This Row],[Fecha de Contratación]]&gt;$D$4),"Fuera","Dentro")</f>
        <v>Dentro</v>
      </c>
      <c r="BS366" s="137" t="str">
        <f aca="false" t="array" ref="BS366:BS366">IF(MAX(IF(DATOS_[id]=DATOS_[[#This Row],[id]],DATOS_[F.fin.cal]))=DATOS_[[#This Row],[F.fin.cal]],"Sí","NO")</f>
        <v>Sí</v>
      </c>
      <c r="BT366" s="137" t="str">
        <f aca="false">IF(AND(DATOS_[[#This Row],[% normaliz]]&lt;&gt;1,DATOS_[[#This Row],[% anualiz]]=1),"Sí","NO")</f>
        <v>Sí</v>
      </c>
      <c r="BU366" s="137" t="str">
        <f aca="false">IF(AND(DATOS_[[#This Row],[% normaliz]]=1,DATOS_[[#This Row],[% anualiz]]&lt;&gt;1),"Sí","NO")</f>
        <v>NO</v>
      </c>
      <c r="BV366" s="137" t="str">
        <f aca="false">IF(AND(DATOS_[[#This Row],[% normaliz]]&lt;&gt;1,DATOS_[[#This Row],[% anualiz]]&lt;&gt;1),"Sí","NO")</f>
        <v>NO</v>
      </c>
      <c r="BW366" s="137" t="str">
        <f aca="false">+IF(DATOS_[[#This Row],[% normaliz]]*DATOS_[[#This Row],[% anualiz]]=1,"NO","Sí")</f>
        <v>Sí</v>
      </c>
      <c r="BX366" s="138" t="e">
        <f aca="false">(DATOS_[[#This Row],[S.BASE]]*(1/DATOS_[[#This Row],[% normaliz]])*(1/DATOS_[[#This Row],[% anualiz]]))*IF(DATOS_[[#This Row],[Check Equiparado]]="Sí",1,0)</f>
        <v>#DIV/0!</v>
      </c>
      <c r="BY3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6" s="138" t="e">
        <f aca="false">+DATOS_[[#This Row],[SALARIO BASE Eq]]+DATOS_[[#This Row],[Tot COMPL.SAL Eq]]</f>
        <v>#DIV/0!</v>
      </c>
      <c r="CA366" s="138" t="e">
        <f aca="false" t="array" ref="CA366:CA3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6" s="138" t="e">
        <f aca="false">+DATOS_[[#This Row],[TOTAL SALARIO Eq]]+DATOS_[[#This Row],[Tot Extrasalarial Eq]]</f>
        <v>#DIV/0!</v>
      </c>
      <c r="CC366" s="139" t="n">
        <f aca="false">DATOS_[[#This Row],[S.BASE]]</f>
        <v>0</v>
      </c>
      <c r="CD366" s="139" t="n">
        <f aca="false">+SUM(DATOS_[[#This Row],[Conc.Sal.01]:[Conc.Sal.30]])</f>
        <v>0</v>
      </c>
      <c r="CE366" s="139" t="n">
        <f aca="false">+DATOS_[[#This Row],[SALARIO BASE Ef]]+DATOS_[[#This Row],[Tot COMPL.SAL Ef]]</f>
        <v>0</v>
      </c>
      <c r="CF366" s="139" t="n">
        <f aca="false">+SUM(DATOS_[[#This Row],[C.Extra.01]:[C.Extra.05]])</f>
        <v>0</v>
      </c>
      <c r="CG366" s="139" t="n">
        <f aca="false">+DATOS_[[#This Row],[TOTAL SALARIO Ef]]+DATOS_[[#This Row],[Tot Extrasalarial Ef]]</f>
        <v>0</v>
      </c>
      <c r="CH366" s="140" t="n">
        <f aca="false">MIN(IF(DATOS_[[#This Row],[Fecha Fin Contrato]]="",$D$4,DATOS_[[#This Row],[Fecha Fin Contrato]]),$D$4)-MAX(DATOS_[[#This Row],[Fecha de Contratación]],$D$3)+1</f>
        <v>1</v>
      </c>
      <c r="CI366" s="141" t="str">
        <f aca="false">IF(COUNTIFS(DATOS_[id],DATOS_[[#This Row],[id]])&gt;1,DATOS_[[#This Row],[id]],"")</f>
        <v/>
      </c>
      <c r="CJ366" s="141" t="n">
        <f aca="false">(Inicio!$G$10-DATOS_[[#This Row],[Fecha Nacimiento]])/365.25</f>
        <v>0</v>
      </c>
      <c r="CK366" s="141" t="n">
        <f aca="false">(Inicio!$G$10-DATOS_[[#This Row],[Fecha de Antigüedad]])/365.25</f>
        <v>0</v>
      </c>
      <c r="CL366" s="141" t="e">
        <f aca="false">+VLOOKUP(DATOS_[[#This Row],[Clave de Contrato]],TblTiposContrato13[],3,0)</f>
        <v>#N/A</v>
      </c>
      <c r="CM366" s="141" t="e">
        <f aca="false">+VLOOKUP(DATOS_[[#This Row],[Clave de Contrato]],TblTiposContrato13[],4,0)</f>
        <v>#N/A</v>
      </c>
      <c r="CN366" s="141" t="str">
        <f aca="false">VLOOKUP(DATOS_[[#This Row],[Edad]],CONTRATOS!TblRngEdad,2,1)</f>
        <v>20  o menos</v>
      </c>
      <c r="CO366" s="141" t="str">
        <f aca="false">VLOOKUP(DATOS_[[#This Row],[Antigüedad]],TblRngAntg14[],2,1)</f>
        <v>0 a 1 años</v>
      </c>
    </row>
    <row r="367" customFormat="false" ht="13.8" hidden="false" customHeight="false" outlineLevel="0" collapsed="false">
      <c r="D367" s="128"/>
      <c r="E367" s="129"/>
      <c r="F367" s="129"/>
      <c r="G367" s="129"/>
      <c r="H367" s="130"/>
      <c r="I367" s="131"/>
      <c r="J367" s="128"/>
      <c r="K367" s="132"/>
      <c r="L367" s="132"/>
      <c r="M367" s="133"/>
      <c r="N367" s="133"/>
      <c r="O367" s="133"/>
      <c r="P367" s="129"/>
      <c r="Z367" s="75"/>
      <c r="AA367" s="76"/>
      <c r="AB367" s="76"/>
      <c r="AC367" s="129"/>
      <c r="AD367" s="134"/>
      <c r="AE367" s="134"/>
      <c r="AF367" s="134"/>
      <c r="AG367" s="134"/>
      <c r="AH367" s="134"/>
      <c r="AI367" s="134"/>
      <c r="AJ367" s="134"/>
      <c r="AK367" s="134"/>
      <c r="AL367" s="134"/>
      <c r="AM367" s="134"/>
      <c r="AN367" s="134"/>
      <c r="AO367" s="134"/>
      <c r="AP367" s="134"/>
      <c r="AQ367" s="134"/>
      <c r="AR367" s="134"/>
      <c r="AS367" s="134"/>
      <c r="AT367" s="134"/>
      <c r="AU367" s="134"/>
      <c r="AV367" s="134"/>
      <c r="AW367" s="134"/>
      <c r="AX367" s="134"/>
      <c r="AY367" s="134"/>
      <c r="AZ367" s="134"/>
      <c r="BA367" s="134"/>
      <c r="BB367" s="134"/>
      <c r="BC367" s="134"/>
      <c r="BD367" s="134"/>
      <c r="BE367" s="134"/>
      <c r="BF367" s="134"/>
      <c r="BG367" s="134"/>
      <c r="BH367" s="134"/>
      <c r="BI367" s="134"/>
      <c r="BJ367" s="134"/>
      <c r="BK367" s="134"/>
      <c r="BL367" s="134"/>
      <c r="BM367" s="135"/>
      <c r="BN367" s="136" t="n">
        <f aca="false">+MAX($D$3,DATOS_[[#This Row],[Fecha Inicio Sit. Contract.]])</f>
        <v>0</v>
      </c>
      <c r="BO367" s="136" t="n">
        <f aca="false">+MIN($D$4,DATOS_[[#This Row],[Fecha Fin Sit. Contract.]])</f>
        <v>0</v>
      </c>
      <c r="BP367" s="137" t="n">
        <f aca="false">+DATOS_[[#This Row],[% de jornada]]*IF(DATOS_[[#This Row],[% jornada reducida]]="",1,DATOS_[[#This Row],[% jornada reducida]])</f>
        <v>0</v>
      </c>
      <c r="BQ367" s="137" t="n">
        <f aca="false">+(DATOS_[[#This Row],[F.fin.cal]]-DATOS_[[#This Row],[F.ini.cal]]+1)/($D$4-$D$3+1)</f>
        <v>1</v>
      </c>
      <c r="BR367" s="137" t="str">
        <f aca="false">IF(OR(AND(DATOS_[[#This Row],[Fecha Fin Contrato]]&lt;$D$3,DATOS_[[#This Row],[Fecha Fin Contrato]]&lt;&gt;""),DATOS_[[#This Row],[Fecha de Contratación]]&gt;$D$4),"Fuera","Dentro")</f>
        <v>Dentro</v>
      </c>
      <c r="BS367" s="137" t="str">
        <f aca="false" t="array" ref="BS367:BS367">IF(MAX(IF(DATOS_[id]=DATOS_[[#This Row],[id]],DATOS_[F.fin.cal]))=DATOS_[[#This Row],[F.fin.cal]],"Sí","NO")</f>
        <v>Sí</v>
      </c>
      <c r="BT367" s="137" t="str">
        <f aca="false">IF(AND(DATOS_[[#This Row],[% normaliz]]&lt;&gt;1,DATOS_[[#This Row],[% anualiz]]=1),"Sí","NO")</f>
        <v>Sí</v>
      </c>
      <c r="BU367" s="137" t="str">
        <f aca="false">IF(AND(DATOS_[[#This Row],[% normaliz]]=1,DATOS_[[#This Row],[% anualiz]]&lt;&gt;1),"Sí","NO")</f>
        <v>NO</v>
      </c>
      <c r="BV367" s="137" t="str">
        <f aca="false">IF(AND(DATOS_[[#This Row],[% normaliz]]&lt;&gt;1,DATOS_[[#This Row],[% anualiz]]&lt;&gt;1),"Sí","NO")</f>
        <v>NO</v>
      </c>
      <c r="BW367" s="137" t="str">
        <f aca="false">+IF(DATOS_[[#This Row],[% normaliz]]*DATOS_[[#This Row],[% anualiz]]=1,"NO","Sí")</f>
        <v>Sí</v>
      </c>
      <c r="BX367" s="138" t="e">
        <f aca="false">(DATOS_[[#This Row],[S.BASE]]*(1/DATOS_[[#This Row],[% normaliz]])*(1/DATOS_[[#This Row],[% anualiz]]))*IF(DATOS_[[#This Row],[Check Equiparado]]="Sí",1,0)</f>
        <v>#DIV/0!</v>
      </c>
      <c r="BY3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7" s="138" t="e">
        <f aca="false">+DATOS_[[#This Row],[SALARIO BASE Eq]]+DATOS_[[#This Row],[Tot COMPL.SAL Eq]]</f>
        <v>#DIV/0!</v>
      </c>
      <c r="CA367" s="138" t="e">
        <f aca="false" t="array" ref="CA367:CA3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7" s="138" t="e">
        <f aca="false">+DATOS_[[#This Row],[TOTAL SALARIO Eq]]+DATOS_[[#This Row],[Tot Extrasalarial Eq]]</f>
        <v>#DIV/0!</v>
      </c>
      <c r="CC367" s="139" t="n">
        <f aca="false">DATOS_[[#This Row],[S.BASE]]</f>
        <v>0</v>
      </c>
      <c r="CD367" s="139" t="n">
        <f aca="false">+SUM(DATOS_[[#This Row],[Conc.Sal.01]:[Conc.Sal.30]])</f>
        <v>0</v>
      </c>
      <c r="CE367" s="139" t="n">
        <f aca="false">+DATOS_[[#This Row],[SALARIO BASE Ef]]+DATOS_[[#This Row],[Tot COMPL.SAL Ef]]</f>
        <v>0</v>
      </c>
      <c r="CF367" s="139" t="n">
        <f aca="false">+SUM(DATOS_[[#This Row],[C.Extra.01]:[C.Extra.05]])</f>
        <v>0</v>
      </c>
      <c r="CG367" s="139" t="n">
        <f aca="false">+DATOS_[[#This Row],[TOTAL SALARIO Ef]]+DATOS_[[#This Row],[Tot Extrasalarial Ef]]</f>
        <v>0</v>
      </c>
      <c r="CH367" s="140" t="n">
        <f aca="false">MIN(IF(DATOS_[[#This Row],[Fecha Fin Contrato]]="",$D$4,DATOS_[[#This Row],[Fecha Fin Contrato]]),$D$4)-MAX(DATOS_[[#This Row],[Fecha de Contratación]],$D$3)+1</f>
        <v>1</v>
      </c>
      <c r="CI367" s="141" t="str">
        <f aca="false">IF(COUNTIFS(DATOS_[id],DATOS_[[#This Row],[id]])&gt;1,DATOS_[[#This Row],[id]],"")</f>
        <v/>
      </c>
      <c r="CJ367" s="141" t="n">
        <f aca="false">(Inicio!$G$10-DATOS_[[#This Row],[Fecha Nacimiento]])/365.25</f>
        <v>0</v>
      </c>
      <c r="CK367" s="141" t="n">
        <f aca="false">(Inicio!$G$10-DATOS_[[#This Row],[Fecha de Antigüedad]])/365.25</f>
        <v>0</v>
      </c>
      <c r="CL367" s="141" t="e">
        <f aca="false">+VLOOKUP(DATOS_[[#This Row],[Clave de Contrato]],TblTiposContrato13[],3,0)</f>
        <v>#N/A</v>
      </c>
      <c r="CM367" s="141" t="e">
        <f aca="false">+VLOOKUP(DATOS_[[#This Row],[Clave de Contrato]],TblTiposContrato13[],4,0)</f>
        <v>#N/A</v>
      </c>
      <c r="CN367" s="141" t="str">
        <f aca="false">VLOOKUP(DATOS_[[#This Row],[Edad]],CONTRATOS!TblRngEdad,2,1)</f>
        <v>20  o menos</v>
      </c>
      <c r="CO367" s="141" t="str">
        <f aca="false">VLOOKUP(DATOS_[[#This Row],[Antigüedad]],TblRngAntg14[],2,1)</f>
        <v>0 a 1 años</v>
      </c>
    </row>
    <row r="368" customFormat="false" ht="13.8" hidden="false" customHeight="false" outlineLevel="0" collapsed="false">
      <c r="D368" s="128"/>
      <c r="E368" s="129"/>
      <c r="F368" s="129"/>
      <c r="G368" s="129"/>
      <c r="H368" s="130"/>
      <c r="I368" s="131"/>
      <c r="J368" s="128"/>
      <c r="K368" s="132"/>
      <c r="L368" s="132"/>
      <c r="M368" s="133"/>
      <c r="N368" s="133"/>
      <c r="O368" s="133"/>
      <c r="P368" s="129"/>
      <c r="Z368" s="75"/>
      <c r="AA368" s="76"/>
      <c r="AB368" s="76"/>
      <c r="AC368" s="129"/>
      <c r="AD368" s="134"/>
      <c r="AE368" s="134"/>
      <c r="AF368" s="134"/>
      <c r="AG368" s="134"/>
      <c r="AH368" s="134"/>
      <c r="AI368" s="134"/>
      <c r="AJ368" s="134"/>
      <c r="AK368" s="134"/>
      <c r="AL368" s="134"/>
      <c r="AM368" s="134"/>
      <c r="AN368" s="134"/>
      <c r="AO368" s="134"/>
      <c r="AP368" s="134"/>
      <c r="AQ368" s="134"/>
      <c r="AR368" s="134"/>
      <c r="AS368" s="134"/>
      <c r="AT368" s="134"/>
      <c r="AU368" s="134"/>
      <c r="AV368" s="134"/>
      <c r="AW368" s="134"/>
      <c r="AX368" s="134"/>
      <c r="AY368" s="134"/>
      <c r="AZ368" s="134"/>
      <c r="BA368" s="134"/>
      <c r="BB368" s="134"/>
      <c r="BC368" s="134"/>
      <c r="BD368" s="134"/>
      <c r="BE368" s="134"/>
      <c r="BF368" s="134"/>
      <c r="BG368" s="134"/>
      <c r="BH368" s="134"/>
      <c r="BI368" s="134"/>
      <c r="BJ368" s="134"/>
      <c r="BK368" s="134"/>
      <c r="BL368" s="134"/>
      <c r="BM368" s="135"/>
      <c r="BN368" s="136" t="n">
        <f aca="false">+MAX($D$3,DATOS_[[#This Row],[Fecha Inicio Sit. Contract.]])</f>
        <v>0</v>
      </c>
      <c r="BO368" s="136" t="n">
        <f aca="false">+MIN($D$4,DATOS_[[#This Row],[Fecha Fin Sit. Contract.]])</f>
        <v>0</v>
      </c>
      <c r="BP368" s="137" t="n">
        <f aca="false">+DATOS_[[#This Row],[% de jornada]]*IF(DATOS_[[#This Row],[% jornada reducida]]="",1,DATOS_[[#This Row],[% jornada reducida]])</f>
        <v>0</v>
      </c>
      <c r="BQ368" s="137" t="n">
        <f aca="false">+(DATOS_[[#This Row],[F.fin.cal]]-DATOS_[[#This Row],[F.ini.cal]]+1)/($D$4-$D$3+1)</f>
        <v>1</v>
      </c>
      <c r="BR368" s="137" t="str">
        <f aca="false">IF(OR(AND(DATOS_[[#This Row],[Fecha Fin Contrato]]&lt;$D$3,DATOS_[[#This Row],[Fecha Fin Contrato]]&lt;&gt;""),DATOS_[[#This Row],[Fecha de Contratación]]&gt;$D$4),"Fuera","Dentro")</f>
        <v>Dentro</v>
      </c>
      <c r="BS368" s="137" t="str">
        <f aca="false" t="array" ref="BS368:BS368">IF(MAX(IF(DATOS_[id]=DATOS_[[#This Row],[id]],DATOS_[F.fin.cal]))=DATOS_[[#This Row],[F.fin.cal]],"Sí","NO")</f>
        <v>Sí</v>
      </c>
      <c r="BT368" s="137" t="str">
        <f aca="false">IF(AND(DATOS_[[#This Row],[% normaliz]]&lt;&gt;1,DATOS_[[#This Row],[% anualiz]]=1),"Sí","NO")</f>
        <v>Sí</v>
      </c>
      <c r="BU368" s="137" t="str">
        <f aca="false">IF(AND(DATOS_[[#This Row],[% normaliz]]=1,DATOS_[[#This Row],[% anualiz]]&lt;&gt;1),"Sí","NO")</f>
        <v>NO</v>
      </c>
      <c r="BV368" s="137" t="str">
        <f aca="false">IF(AND(DATOS_[[#This Row],[% normaliz]]&lt;&gt;1,DATOS_[[#This Row],[% anualiz]]&lt;&gt;1),"Sí","NO")</f>
        <v>NO</v>
      </c>
      <c r="BW368" s="137" t="str">
        <f aca="false">+IF(DATOS_[[#This Row],[% normaliz]]*DATOS_[[#This Row],[% anualiz]]=1,"NO","Sí")</f>
        <v>Sí</v>
      </c>
      <c r="BX368" s="138" t="e">
        <f aca="false">(DATOS_[[#This Row],[S.BASE]]*(1/DATOS_[[#This Row],[% normaliz]])*(1/DATOS_[[#This Row],[% anualiz]]))*IF(DATOS_[[#This Row],[Check Equiparado]]="Sí",1,0)</f>
        <v>#DIV/0!</v>
      </c>
      <c r="BY3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8" s="138" t="e">
        <f aca="false">+DATOS_[[#This Row],[SALARIO BASE Eq]]+DATOS_[[#This Row],[Tot COMPL.SAL Eq]]</f>
        <v>#DIV/0!</v>
      </c>
      <c r="CA368" s="138" t="e">
        <f aca="false" t="array" ref="CA368:CA3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8" s="138" t="e">
        <f aca="false">+DATOS_[[#This Row],[TOTAL SALARIO Eq]]+DATOS_[[#This Row],[Tot Extrasalarial Eq]]</f>
        <v>#DIV/0!</v>
      </c>
      <c r="CC368" s="139" t="n">
        <f aca="false">DATOS_[[#This Row],[S.BASE]]</f>
        <v>0</v>
      </c>
      <c r="CD368" s="139" t="n">
        <f aca="false">+SUM(DATOS_[[#This Row],[Conc.Sal.01]:[Conc.Sal.30]])</f>
        <v>0</v>
      </c>
      <c r="CE368" s="139" t="n">
        <f aca="false">+DATOS_[[#This Row],[SALARIO BASE Ef]]+DATOS_[[#This Row],[Tot COMPL.SAL Ef]]</f>
        <v>0</v>
      </c>
      <c r="CF368" s="139" t="n">
        <f aca="false">+SUM(DATOS_[[#This Row],[C.Extra.01]:[C.Extra.05]])</f>
        <v>0</v>
      </c>
      <c r="CG368" s="139" t="n">
        <f aca="false">+DATOS_[[#This Row],[TOTAL SALARIO Ef]]+DATOS_[[#This Row],[Tot Extrasalarial Ef]]</f>
        <v>0</v>
      </c>
      <c r="CH368" s="140" t="n">
        <f aca="false">MIN(IF(DATOS_[[#This Row],[Fecha Fin Contrato]]="",$D$4,DATOS_[[#This Row],[Fecha Fin Contrato]]),$D$4)-MAX(DATOS_[[#This Row],[Fecha de Contratación]],$D$3)+1</f>
        <v>1</v>
      </c>
      <c r="CI368" s="141" t="str">
        <f aca="false">IF(COUNTIFS(DATOS_[id],DATOS_[[#This Row],[id]])&gt;1,DATOS_[[#This Row],[id]],"")</f>
        <v/>
      </c>
      <c r="CJ368" s="141" t="n">
        <f aca="false">(Inicio!$G$10-DATOS_[[#This Row],[Fecha Nacimiento]])/365.25</f>
        <v>0</v>
      </c>
      <c r="CK368" s="141" t="n">
        <f aca="false">(Inicio!$G$10-DATOS_[[#This Row],[Fecha de Antigüedad]])/365.25</f>
        <v>0</v>
      </c>
      <c r="CL368" s="141" t="e">
        <f aca="false">+VLOOKUP(DATOS_[[#This Row],[Clave de Contrato]],TblTiposContrato13[],3,0)</f>
        <v>#N/A</v>
      </c>
      <c r="CM368" s="141" t="e">
        <f aca="false">+VLOOKUP(DATOS_[[#This Row],[Clave de Contrato]],TblTiposContrato13[],4,0)</f>
        <v>#N/A</v>
      </c>
      <c r="CN368" s="141" t="str">
        <f aca="false">VLOOKUP(DATOS_[[#This Row],[Edad]],CONTRATOS!TblRngEdad,2,1)</f>
        <v>20  o menos</v>
      </c>
      <c r="CO368" s="141" t="str">
        <f aca="false">VLOOKUP(DATOS_[[#This Row],[Antigüedad]],TblRngAntg14[],2,1)</f>
        <v>0 a 1 años</v>
      </c>
    </row>
    <row r="369" customFormat="false" ht="13.8" hidden="false" customHeight="false" outlineLevel="0" collapsed="false">
      <c r="D369" s="128"/>
      <c r="E369" s="129"/>
      <c r="F369" s="129"/>
      <c r="G369" s="129"/>
      <c r="H369" s="130"/>
      <c r="I369" s="131"/>
      <c r="J369" s="128"/>
      <c r="K369" s="132"/>
      <c r="L369" s="132"/>
      <c r="M369" s="133"/>
      <c r="N369" s="133"/>
      <c r="O369" s="133"/>
      <c r="P369" s="129"/>
      <c r="Z369" s="75"/>
      <c r="AA369" s="76"/>
      <c r="AB369" s="76"/>
      <c r="AC369" s="129"/>
      <c r="AD369" s="134"/>
      <c r="AE369" s="134"/>
      <c r="AF369" s="134"/>
      <c r="AG369" s="134"/>
      <c r="AH369" s="134"/>
      <c r="AI369" s="134"/>
      <c r="AJ369" s="134"/>
      <c r="AK369" s="134"/>
      <c r="AL369" s="134"/>
      <c r="AM369" s="134"/>
      <c r="AN369" s="134"/>
      <c r="AO369" s="134"/>
      <c r="AP369" s="134"/>
      <c r="AQ369" s="134"/>
      <c r="AR369" s="134"/>
      <c r="AS369" s="134"/>
      <c r="AT369" s="134"/>
      <c r="AU369" s="134"/>
      <c r="AV369" s="134"/>
      <c r="AW369" s="134"/>
      <c r="AX369" s="134"/>
      <c r="AY369" s="134"/>
      <c r="AZ369" s="134"/>
      <c r="BA369" s="134"/>
      <c r="BB369" s="134"/>
      <c r="BC369" s="134"/>
      <c r="BD369" s="134"/>
      <c r="BE369" s="134"/>
      <c r="BF369" s="134"/>
      <c r="BG369" s="134"/>
      <c r="BH369" s="134"/>
      <c r="BI369" s="134"/>
      <c r="BJ369" s="134"/>
      <c r="BK369" s="134"/>
      <c r="BL369" s="134"/>
      <c r="BM369" s="135"/>
      <c r="BN369" s="136" t="n">
        <f aca="false">+MAX($D$3,DATOS_[[#This Row],[Fecha Inicio Sit. Contract.]])</f>
        <v>0</v>
      </c>
      <c r="BO369" s="136" t="n">
        <f aca="false">+MIN($D$4,DATOS_[[#This Row],[Fecha Fin Sit. Contract.]])</f>
        <v>0</v>
      </c>
      <c r="BP369" s="137" t="n">
        <f aca="false">+DATOS_[[#This Row],[% de jornada]]*IF(DATOS_[[#This Row],[% jornada reducida]]="",1,DATOS_[[#This Row],[% jornada reducida]])</f>
        <v>0</v>
      </c>
      <c r="BQ369" s="137" t="n">
        <f aca="false">+(DATOS_[[#This Row],[F.fin.cal]]-DATOS_[[#This Row],[F.ini.cal]]+1)/($D$4-$D$3+1)</f>
        <v>1</v>
      </c>
      <c r="BR369" s="137" t="str">
        <f aca="false">IF(OR(AND(DATOS_[[#This Row],[Fecha Fin Contrato]]&lt;$D$3,DATOS_[[#This Row],[Fecha Fin Contrato]]&lt;&gt;""),DATOS_[[#This Row],[Fecha de Contratación]]&gt;$D$4),"Fuera","Dentro")</f>
        <v>Dentro</v>
      </c>
      <c r="BS369" s="137" t="str">
        <f aca="false" t="array" ref="BS369:BS369">IF(MAX(IF(DATOS_[id]=DATOS_[[#This Row],[id]],DATOS_[F.fin.cal]))=DATOS_[[#This Row],[F.fin.cal]],"Sí","NO")</f>
        <v>Sí</v>
      </c>
      <c r="BT369" s="137" t="str">
        <f aca="false">IF(AND(DATOS_[[#This Row],[% normaliz]]&lt;&gt;1,DATOS_[[#This Row],[% anualiz]]=1),"Sí","NO")</f>
        <v>Sí</v>
      </c>
      <c r="BU369" s="137" t="str">
        <f aca="false">IF(AND(DATOS_[[#This Row],[% normaliz]]=1,DATOS_[[#This Row],[% anualiz]]&lt;&gt;1),"Sí","NO")</f>
        <v>NO</v>
      </c>
      <c r="BV369" s="137" t="str">
        <f aca="false">IF(AND(DATOS_[[#This Row],[% normaliz]]&lt;&gt;1,DATOS_[[#This Row],[% anualiz]]&lt;&gt;1),"Sí","NO")</f>
        <v>NO</v>
      </c>
      <c r="BW369" s="137" t="str">
        <f aca="false">+IF(DATOS_[[#This Row],[% normaliz]]*DATOS_[[#This Row],[% anualiz]]=1,"NO","Sí")</f>
        <v>Sí</v>
      </c>
      <c r="BX369" s="138" t="e">
        <f aca="false">(DATOS_[[#This Row],[S.BASE]]*(1/DATOS_[[#This Row],[% normaliz]])*(1/DATOS_[[#This Row],[% anualiz]]))*IF(DATOS_[[#This Row],[Check Equiparado]]="Sí",1,0)</f>
        <v>#DIV/0!</v>
      </c>
      <c r="BY3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9" s="138" t="e">
        <f aca="false">+DATOS_[[#This Row],[SALARIO BASE Eq]]+DATOS_[[#This Row],[Tot COMPL.SAL Eq]]</f>
        <v>#DIV/0!</v>
      </c>
      <c r="CA369" s="138" t="e">
        <f aca="false" t="array" ref="CA369:CA3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9" s="138" t="e">
        <f aca="false">+DATOS_[[#This Row],[TOTAL SALARIO Eq]]+DATOS_[[#This Row],[Tot Extrasalarial Eq]]</f>
        <v>#DIV/0!</v>
      </c>
      <c r="CC369" s="139" t="n">
        <f aca="false">DATOS_[[#This Row],[S.BASE]]</f>
        <v>0</v>
      </c>
      <c r="CD369" s="139" t="n">
        <f aca="false">+SUM(DATOS_[[#This Row],[Conc.Sal.01]:[Conc.Sal.30]])</f>
        <v>0</v>
      </c>
      <c r="CE369" s="139" t="n">
        <f aca="false">+DATOS_[[#This Row],[SALARIO BASE Ef]]+DATOS_[[#This Row],[Tot COMPL.SAL Ef]]</f>
        <v>0</v>
      </c>
      <c r="CF369" s="139" t="n">
        <f aca="false">+SUM(DATOS_[[#This Row],[C.Extra.01]:[C.Extra.05]])</f>
        <v>0</v>
      </c>
      <c r="CG369" s="139" t="n">
        <f aca="false">+DATOS_[[#This Row],[TOTAL SALARIO Ef]]+DATOS_[[#This Row],[Tot Extrasalarial Ef]]</f>
        <v>0</v>
      </c>
      <c r="CH369" s="140" t="n">
        <f aca="false">MIN(IF(DATOS_[[#This Row],[Fecha Fin Contrato]]="",$D$4,DATOS_[[#This Row],[Fecha Fin Contrato]]),$D$4)-MAX(DATOS_[[#This Row],[Fecha de Contratación]],$D$3)+1</f>
        <v>1</v>
      </c>
      <c r="CI369" s="141" t="str">
        <f aca="false">IF(COUNTIFS(DATOS_[id],DATOS_[[#This Row],[id]])&gt;1,DATOS_[[#This Row],[id]],"")</f>
        <v/>
      </c>
      <c r="CJ369" s="141" t="n">
        <f aca="false">(Inicio!$G$10-DATOS_[[#This Row],[Fecha Nacimiento]])/365.25</f>
        <v>0</v>
      </c>
      <c r="CK369" s="141" t="n">
        <f aca="false">(Inicio!$G$10-DATOS_[[#This Row],[Fecha de Antigüedad]])/365.25</f>
        <v>0</v>
      </c>
      <c r="CL369" s="141" t="e">
        <f aca="false">+VLOOKUP(DATOS_[[#This Row],[Clave de Contrato]],TblTiposContrato13[],3,0)</f>
        <v>#N/A</v>
      </c>
      <c r="CM369" s="141" t="e">
        <f aca="false">+VLOOKUP(DATOS_[[#This Row],[Clave de Contrato]],TblTiposContrato13[],4,0)</f>
        <v>#N/A</v>
      </c>
      <c r="CN369" s="141" t="str">
        <f aca="false">VLOOKUP(DATOS_[[#This Row],[Edad]],CONTRATOS!TblRngEdad,2,1)</f>
        <v>20  o menos</v>
      </c>
      <c r="CO369" s="141" t="str">
        <f aca="false">VLOOKUP(DATOS_[[#This Row],[Antigüedad]],TblRngAntg14[],2,1)</f>
        <v>0 a 1 años</v>
      </c>
    </row>
    <row r="370" customFormat="false" ht="13.8" hidden="false" customHeight="false" outlineLevel="0" collapsed="false">
      <c r="D370" s="128"/>
      <c r="E370" s="129"/>
      <c r="F370" s="129"/>
      <c r="G370" s="129"/>
      <c r="H370" s="130"/>
      <c r="I370" s="131"/>
      <c r="J370" s="128"/>
      <c r="K370" s="132"/>
      <c r="L370" s="132"/>
      <c r="M370" s="133"/>
      <c r="N370" s="133"/>
      <c r="O370" s="133"/>
      <c r="P370" s="129"/>
      <c r="Z370" s="75"/>
      <c r="AA370" s="76"/>
      <c r="AB370" s="76"/>
      <c r="AC370" s="129"/>
      <c r="AD370" s="134"/>
      <c r="AE370" s="134"/>
      <c r="AF370" s="134"/>
      <c r="AG370" s="134"/>
      <c r="AH370" s="134"/>
      <c r="AI370" s="134"/>
      <c r="AJ370" s="134"/>
      <c r="AK370" s="134"/>
      <c r="AL370" s="134"/>
      <c r="AM370" s="134"/>
      <c r="AN370" s="134"/>
      <c r="AO370" s="134"/>
      <c r="AP370" s="134"/>
      <c r="AQ370" s="134"/>
      <c r="AR370" s="134"/>
      <c r="AS370" s="134"/>
      <c r="AT370" s="134"/>
      <c r="AU370" s="134"/>
      <c r="AV370" s="134"/>
      <c r="AW370" s="134"/>
      <c r="AX370" s="134"/>
      <c r="AY370" s="134"/>
      <c r="AZ370" s="134"/>
      <c r="BA370" s="134"/>
      <c r="BB370" s="134"/>
      <c r="BC370" s="134"/>
      <c r="BD370" s="134"/>
      <c r="BE370" s="134"/>
      <c r="BF370" s="134"/>
      <c r="BG370" s="134"/>
      <c r="BH370" s="134"/>
      <c r="BI370" s="134"/>
      <c r="BJ370" s="134"/>
      <c r="BK370" s="134"/>
      <c r="BL370" s="134"/>
      <c r="BM370" s="135"/>
      <c r="BN370" s="136" t="n">
        <f aca="false">+MAX($D$3,DATOS_[[#This Row],[Fecha Inicio Sit. Contract.]])</f>
        <v>0</v>
      </c>
      <c r="BO370" s="136" t="n">
        <f aca="false">+MIN($D$4,DATOS_[[#This Row],[Fecha Fin Sit. Contract.]])</f>
        <v>0</v>
      </c>
      <c r="BP370" s="137" t="n">
        <f aca="false">+DATOS_[[#This Row],[% de jornada]]*IF(DATOS_[[#This Row],[% jornada reducida]]="",1,DATOS_[[#This Row],[% jornada reducida]])</f>
        <v>0</v>
      </c>
      <c r="BQ370" s="137" t="n">
        <f aca="false">+(DATOS_[[#This Row],[F.fin.cal]]-DATOS_[[#This Row],[F.ini.cal]]+1)/($D$4-$D$3+1)</f>
        <v>1</v>
      </c>
      <c r="BR370" s="137" t="str">
        <f aca="false">IF(OR(AND(DATOS_[[#This Row],[Fecha Fin Contrato]]&lt;$D$3,DATOS_[[#This Row],[Fecha Fin Contrato]]&lt;&gt;""),DATOS_[[#This Row],[Fecha de Contratación]]&gt;$D$4),"Fuera","Dentro")</f>
        <v>Dentro</v>
      </c>
      <c r="BS370" s="137" t="str">
        <f aca="false" t="array" ref="BS370:BS370">IF(MAX(IF(DATOS_[id]=DATOS_[[#This Row],[id]],DATOS_[F.fin.cal]))=DATOS_[[#This Row],[F.fin.cal]],"Sí","NO")</f>
        <v>Sí</v>
      </c>
      <c r="BT370" s="137" t="str">
        <f aca="false">IF(AND(DATOS_[[#This Row],[% normaliz]]&lt;&gt;1,DATOS_[[#This Row],[% anualiz]]=1),"Sí","NO")</f>
        <v>Sí</v>
      </c>
      <c r="BU370" s="137" t="str">
        <f aca="false">IF(AND(DATOS_[[#This Row],[% normaliz]]=1,DATOS_[[#This Row],[% anualiz]]&lt;&gt;1),"Sí","NO")</f>
        <v>NO</v>
      </c>
      <c r="BV370" s="137" t="str">
        <f aca="false">IF(AND(DATOS_[[#This Row],[% normaliz]]&lt;&gt;1,DATOS_[[#This Row],[% anualiz]]&lt;&gt;1),"Sí","NO")</f>
        <v>NO</v>
      </c>
      <c r="BW370" s="137" t="str">
        <f aca="false">+IF(DATOS_[[#This Row],[% normaliz]]*DATOS_[[#This Row],[% anualiz]]=1,"NO","Sí")</f>
        <v>Sí</v>
      </c>
      <c r="BX370" s="138" t="e">
        <f aca="false">(DATOS_[[#This Row],[S.BASE]]*(1/DATOS_[[#This Row],[% normaliz]])*(1/DATOS_[[#This Row],[% anualiz]]))*IF(DATOS_[[#This Row],[Check Equiparado]]="Sí",1,0)</f>
        <v>#DIV/0!</v>
      </c>
      <c r="BY3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0" s="138" t="e">
        <f aca="false">+DATOS_[[#This Row],[SALARIO BASE Eq]]+DATOS_[[#This Row],[Tot COMPL.SAL Eq]]</f>
        <v>#DIV/0!</v>
      </c>
      <c r="CA370" s="138" t="e">
        <f aca="false" t="array" ref="CA370:CA3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0" s="138" t="e">
        <f aca="false">+DATOS_[[#This Row],[TOTAL SALARIO Eq]]+DATOS_[[#This Row],[Tot Extrasalarial Eq]]</f>
        <v>#DIV/0!</v>
      </c>
      <c r="CC370" s="139" t="n">
        <f aca="false">DATOS_[[#This Row],[S.BASE]]</f>
        <v>0</v>
      </c>
      <c r="CD370" s="139" t="n">
        <f aca="false">+SUM(DATOS_[[#This Row],[Conc.Sal.01]:[Conc.Sal.30]])</f>
        <v>0</v>
      </c>
      <c r="CE370" s="139" t="n">
        <f aca="false">+DATOS_[[#This Row],[SALARIO BASE Ef]]+DATOS_[[#This Row],[Tot COMPL.SAL Ef]]</f>
        <v>0</v>
      </c>
      <c r="CF370" s="139" t="n">
        <f aca="false">+SUM(DATOS_[[#This Row],[C.Extra.01]:[C.Extra.05]])</f>
        <v>0</v>
      </c>
      <c r="CG370" s="139" t="n">
        <f aca="false">+DATOS_[[#This Row],[TOTAL SALARIO Ef]]+DATOS_[[#This Row],[Tot Extrasalarial Ef]]</f>
        <v>0</v>
      </c>
      <c r="CH370" s="140" t="n">
        <f aca="false">MIN(IF(DATOS_[[#This Row],[Fecha Fin Contrato]]="",$D$4,DATOS_[[#This Row],[Fecha Fin Contrato]]),$D$4)-MAX(DATOS_[[#This Row],[Fecha de Contratación]],$D$3)+1</f>
        <v>1</v>
      </c>
      <c r="CI370" s="141" t="str">
        <f aca="false">IF(COUNTIFS(DATOS_[id],DATOS_[[#This Row],[id]])&gt;1,DATOS_[[#This Row],[id]],"")</f>
        <v/>
      </c>
      <c r="CJ370" s="141" t="n">
        <f aca="false">(Inicio!$G$10-DATOS_[[#This Row],[Fecha Nacimiento]])/365.25</f>
        <v>0</v>
      </c>
      <c r="CK370" s="141" t="n">
        <f aca="false">(Inicio!$G$10-DATOS_[[#This Row],[Fecha de Antigüedad]])/365.25</f>
        <v>0</v>
      </c>
      <c r="CL370" s="141" t="e">
        <f aca="false">+VLOOKUP(DATOS_[[#This Row],[Clave de Contrato]],TblTiposContrato13[],3,0)</f>
        <v>#N/A</v>
      </c>
      <c r="CM370" s="141" t="e">
        <f aca="false">+VLOOKUP(DATOS_[[#This Row],[Clave de Contrato]],TblTiposContrato13[],4,0)</f>
        <v>#N/A</v>
      </c>
      <c r="CN370" s="141" t="str">
        <f aca="false">VLOOKUP(DATOS_[[#This Row],[Edad]],CONTRATOS!TblRngEdad,2,1)</f>
        <v>20  o menos</v>
      </c>
      <c r="CO370" s="141" t="str">
        <f aca="false">VLOOKUP(DATOS_[[#This Row],[Antigüedad]],TblRngAntg14[],2,1)</f>
        <v>0 a 1 años</v>
      </c>
    </row>
    <row r="371" customFormat="false" ht="13.8" hidden="false" customHeight="false" outlineLevel="0" collapsed="false">
      <c r="D371" s="128"/>
      <c r="E371" s="129"/>
      <c r="F371" s="129"/>
      <c r="G371" s="129"/>
      <c r="H371" s="130"/>
      <c r="I371" s="131"/>
      <c r="J371" s="128"/>
      <c r="K371" s="132"/>
      <c r="L371" s="132"/>
      <c r="M371" s="133"/>
      <c r="N371" s="133"/>
      <c r="O371" s="133"/>
      <c r="P371" s="129"/>
      <c r="Z371" s="75"/>
      <c r="AA371" s="76"/>
      <c r="AB371" s="76"/>
      <c r="AC371" s="129"/>
      <c r="AD371" s="134"/>
      <c r="AE371" s="134"/>
      <c r="AF371" s="134"/>
      <c r="AG371" s="134"/>
      <c r="AH371" s="134"/>
      <c r="AI371" s="134"/>
      <c r="AJ371" s="134"/>
      <c r="AK371" s="134"/>
      <c r="AL371" s="134"/>
      <c r="AM371" s="134"/>
      <c r="AN371" s="134"/>
      <c r="AO371" s="134"/>
      <c r="AP371" s="134"/>
      <c r="AQ371" s="134"/>
      <c r="AR371" s="134"/>
      <c r="AS371" s="134"/>
      <c r="AT371" s="134"/>
      <c r="AU371" s="134"/>
      <c r="AV371" s="134"/>
      <c r="AW371" s="134"/>
      <c r="AX371" s="134"/>
      <c r="AY371" s="134"/>
      <c r="AZ371" s="134"/>
      <c r="BA371" s="134"/>
      <c r="BB371" s="134"/>
      <c r="BC371" s="134"/>
      <c r="BD371" s="134"/>
      <c r="BE371" s="134"/>
      <c r="BF371" s="134"/>
      <c r="BG371" s="134"/>
      <c r="BH371" s="134"/>
      <c r="BI371" s="134"/>
      <c r="BJ371" s="134"/>
      <c r="BK371" s="134"/>
      <c r="BL371" s="134"/>
      <c r="BM371" s="135"/>
      <c r="BN371" s="136" t="n">
        <f aca="false">+MAX($D$3,DATOS_[[#This Row],[Fecha Inicio Sit. Contract.]])</f>
        <v>0</v>
      </c>
      <c r="BO371" s="136" t="n">
        <f aca="false">+MIN($D$4,DATOS_[[#This Row],[Fecha Fin Sit. Contract.]])</f>
        <v>0</v>
      </c>
      <c r="BP371" s="137" t="n">
        <f aca="false">+DATOS_[[#This Row],[% de jornada]]*IF(DATOS_[[#This Row],[% jornada reducida]]="",1,DATOS_[[#This Row],[% jornada reducida]])</f>
        <v>0</v>
      </c>
      <c r="BQ371" s="137" t="n">
        <f aca="false">+(DATOS_[[#This Row],[F.fin.cal]]-DATOS_[[#This Row],[F.ini.cal]]+1)/($D$4-$D$3+1)</f>
        <v>1</v>
      </c>
      <c r="BR371" s="137" t="str">
        <f aca="false">IF(OR(AND(DATOS_[[#This Row],[Fecha Fin Contrato]]&lt;$D$3,DATOS_[[#This Row],[Fecha Fin Contrato]]&lt;&gt;""),DATOS_[[#This Row],[Fecha de Contratación]]&gt;$D$4),"Fuera","Dentro")</f>
        <v>Dentro</v>
      </c>
      <c r="BS371" s="137" t="str">
        <f aca="false" t="array" ref="BS371:BS371">IF(MAX(IF(DATOS_[id]=DATOS_[[#This Row],[id]],DATOS_[F.fin.cal]))=DATOS_[[#This Row],[F.fin.cal]],"Sí","NO")</f>
        <v>Sí</v>
      </c>
      <c r="BT371" s="137" t="str">
        <f aca="false">IF(AND(DATOS_[[#This Row],[% normaliz]]&lt;&gt;1,DATOS_[[#This Row],[% anualiz]]=1),"Sí","NO")</f>
        <v>Sí</v>
      </c>
      <c r="BU371" s="137" t="str">
        <f aca="false">IF(AND(DATOS_[[#This Row],[% normaliz]]=1,DATOS_[[#This Row],[% anualiz]]&lt;&gt;1),"Sí","NO")</f>
        <v>NO</v>
      </c>
      <c r="BV371" s="137" t="str">
        <f aca="false">IF(AND(DATOS_[[#This Row],[% normaliz]]&lt;&gt;1,DATOS_[[#This Row],[% anualiz]]&lt;&gt;1),"Sí","NO")</f>
        <v>NO</v>
      </c>
      <c r="BW371" s="137" t="str">
        <f aca="false">+IF(DATOS_[[#This Row],[% normaliz]]*DATOS_[[#This Row],[% anualiz]]=1,"NO","Sí")</f>
        <v>Sí</v>
      </c>
      <c r="BX371" s="138" t="e">
        <f aca="false">(DATOS_[[#This Row],[S.BASE]]*(1/DATOS_[[#This Row],[% normaliz]])*(1/DATOS_[[#This Row],[% anualiz]]))*IF(DATOS_[[#This Row],[Check Equiparado]]="Sí",1,0)</f>
        <v>#DIV/0!</v>
      </c>
      <c r="BY3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1" s="138" t="e">
        <f aca="false">+DATOS_[[#This Row],[SALARIO BASE Eq]]+DATOS_[[#This Row],[Tot COMPL.SAL Eq]]</f>
        <v>#DIV/0!</v>
      </c>
      <c r="CA371" s="138" t="e">
        <f aca="false" t="array" ref="CA371:CA3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1" s="138" t="e">
        <f aca="false">+DATOS_[[#This Row],[TOTAL SALARIO Eq]]+DATOS_[[#This Row],[Tot Extrasalarial Eq]]</f>
        <v>#DIV/0!</v>
      </c>
      <c r="CC371" s="139" t="n">
        <f aca="false">DATOS_[[#This Row],[S.BASE]]</f>
        <v>0</v>
      </c>
      <c r="CD371" s="139" t="n">
        <f aca="false">+SUM(DATOS_[[#This Row],[Conc.Sal.01]:[Conc.Sal.30]])</f>
        <v>0</v>
      </c>
      <c r="CE371" s="139" t="n">
        <f aca="false">+DATOS_[[#This Row],[SALARIO BASE Ef]]+DATOS_[[#This Row],[Tot COMPL.SAL Ef]]</f>
        <v>0</v>
      </c>
      <c r="CF371" s="139" t="n">
        <f aca="false">+SUM(DATOS_[[#This Row],[C.Extra.01]:[C.Extra.05]])</f>
        <v>0</v>
      </c>
      <c r="CG371" s="139" t="n">
        <f aca="false">+DATOS_[[#This Row],[TOTAL SALARIO Ef]]+DATOS_[[#This Row],[Tot Extrasalarial Ef]]</f>
        <v>0</v>
      </c>
      <c r="CH371" s="140" t="n">
        <f aca="false">MIN(IF(DATOS_[[#This Row],[Fecha Fin Contrato]]="",$D$4,DATOS_[[#This Row],[Fecha Fin Contrato]]),$D$4)-MAX(DATOS_[[#This Row],[Fecha de Contratación]],$D$3)+1</f>
        <v>1</v>
      </c>
      <c r="CI371" s="141" t="str">
        <f aca="false">IF(COUNTIFS(DATOS_[id],DATOS_[[#This Row],[id]])&gt;1,DATOS_[[#This Row],[id]],"")</f>
        <v/>
      </c>
      <c r="CJ371" s="141" t="n">
        <f aca="false">(Inicio!$G$10-DATOS_[[#This Row],[Fecha Nacimiento]])/365.25</f>
        <v>0</v>
      </c>
      <c r="CK371" s="141" t="n">
        <f aca="false">(Inicio!$G$10-DATOS_[[#This Row],[Fecha de Antigüedad]])/365.25</f>
        <v>0</v>
      </c>
      <c r="CL371" s="141" t="e">
        <f aca="false">+VLOOKUP(DATOS_[[#This Row],[Clave de Contrato]],TblTiposContrato13[],3,0)</f>
        <v>#N/A</v>
      </c>
      <c r="CM371" s="141" t="e">
        <f aca="false">+VLOOKUP(DATOS_[[#This Row],[Clave de Contrato]],TblTiposContrato13[],4,0)</f>
        <v>#N/A</v>
      </c>
      <c r="CN371" s="141" t="str">
        <f aca="false">VLOOKUP(DATOS_[[#This Row],[Edad]],CONTRATOS!TblRngEdad,2,1)</f>
        <v>20  o menos</v>
      </c>
      <c r="CO371" s="141" t="str">
        <f aca="false">VLOOKUP(DATOS_[[#This Row],[Antigüedad]],TblRngAntg14[],2,1)</f>
        <v>0 a 1 años</v>
      </c>
    </row>
    <row r="372" customFormat="false" ht="13.8" hidden="false" customHeight="false" outlineLevel="0" collapsed="false">
      <c r="D372" s="128"/>
      <c r="E372" s="129"/>
      <c r="F372" s="129"/>
      <c r="G372" s="129"/>
      <c r="H372" s="130"/>
      <c r="I372" s="131"/>
      <c r="J372" s="128"/>
      <c r="K372" s="132"/>
      <c r="L372" s="132"/>
      <c r="M372" s="133"/>
      <c r="N372" s="133"/>
      <c r="O372" s="133"/>
      <c r="P372" s="129"/>
      <c r="Z372" s="75"/>
      <c r="AA372" s="76"/>
      <c r="AB372" s="76"/>
      <c r="AC372" s="129"/>
      <c r="AD372" s="134"/>
      <c r="AE372" s="134"/>
      <c r="AF372" s="134"/>
      <c r="AG372" s="134"/>
      <c r="AH372" s="134"/>
      <c r="AI372" s="134"/>
      <c r="AJ372" s="134"/>
      <c r="AK372" s="134"/>
      <c r="AL372" s="134"/>
      <c r="AM372" s="134"/>
      <c r="AN372" s="134"/>
      <c r="AO372" s="134"/>
      <c r="AP372" s="134"/>
      <c r="AQ372" s="134"/>
      <c r="AR372" s="134"/>
      <c r="AS372" s="134"/>
      <c r="AT372" s="134"/>
      <c r="AU372" s="134"/>
      <c r="AV372" s="134"/>
      <c r="AW372" s="134"/>
      <c r="AX372" s="134"/>
      <c r="AY372" s="134"/>
      <c r="AZ372" s="134"/>
      <c r="BA372" s="134"/>
      <c r="BB372" s="134"/>
      <c r="BC372" s="134"/>
      <c r="BD372" s="134"/>
      <c r="BE372" s="134"/>
      <c r="BF372" s="134"/>
      <c r="BG372" s="134"/>
      <c r="BH372" s="134"/>
      <c r="BI372" s="134"/>
      <c r="BJ372" s="134"/>
      <c r="BK372" s="134"/>
      <c r="BL372" s="134"/>
      <c r="BM372" s="135"/>
      <c r="BN372" s="136" t="n">
        <f aca="false">+MAX($D$3,DATOS_[[#This Row],[Fecha Inicio Sit. Contract.]])</f>
        <v>0</v>
      </c>
      <c r="BO372" s="136" t="n">
        <f aca="false">+MIN($D$4,DATOS_[[#This Row],[Fecha Fin Sit. Contract.]])</f>
        <v>0</v>
      </c>
      <c r="BP372" s="137" t="n">
        <f aca="false">+DATOS_[[#This Row],[% de jornada]]*IF(DATOS_[[#This Row],[% jornada reducida]]="",1,DATOS_[[#This Row],[% jornada reducida]])</f>
        <v>0</v>
      </c>
      <c r="BQ372" s="137" t="n">
        <f aca="false">+(DATOS_[[#This Row],[F.fin.cal]]-DATOS_[[#This Row],[F.ini.cal]]+1)/($D$4-$D$3+1)</f>
        <v>1</v>
      </c>
      <c r="BR372" s="137" t="str">
        <f aca="false">IF(OR(AND(DATOS_[[#This Row],[Fecha Fin Contrato]]&lt;$D$3,DATOS_[[#This Row],[Fecha Fin Contrato]]&lt;&gt;""),DATOS_[[#This Row],[Fecha de Contratación]]&gt;$D$4),"Fuera","Dentro")</f>
        <v>Dentro</v>
      </c>
      <c r="BS372" s="137" t="str">
        <f aca="false" t="array" ref="BS372:BS372">IF(MAX(IF(DATOS_[id]=DATOS_[[#This Row],[id]],DATOS_[F.fin.cal]))=DATOS_[[#This Row],[F.fin.cal]],"Sí","NO")</f>
        <v>Sí</v>
      </c>
      <c r="BT372" s="137" t="str">
        <f aca="false">IF(AND(DATOS_[[#This Row],[% normaliz]]&lt;&gt;1,DATOS_[[#This Row],[% anualiz]]=1),"Sí","NO")</f>
        <v>Sí</v>
      </c>
      <c r="BU372" s="137" t="str">
        <f aca="false">IF(AND(DATOS_[[#This Row],[% normaliz]]=1,DATOS_[[#This Row],[% anualiz]]&lt;&gt;1),"Sí","NO")</f>
        <v>NO</v>
      </c>
      <c r="BV372" s="137" t="str">
        <f aca="false">IF(AND(DATOS_[[#This Row],[% normaliz]]&lt;&gt;1,DATOS_[[#This Row],[% anualiz]]&lt;&gt;1),"Sí","NO")</f>
        <v>NO</v>
      </c>
      <c r="BW372" s="137" t="str">
        <f aca="false">+IF(DATOS_[[#This Row],[% normaliz]]*DATOS_[[#This Row],[% anualiz]]=1,"NO","Sí")</f>
        <v>Sí</v>
      </c>
      <c r="BX372" s="138" t="e">
        <f aca="false">(DATOS_[[#This Row],[S.BASE]]*(1/DATOS_[[#This Row],[% normaliz]])*(1/DATOS_[[#This Row],[% anualiz]]))*IF(DATOS_[[#This Row],[Check Equiparado]]="Sí",1,0)</f>
        <v>#DIV/0!</v>
      </c>
      <c r="BY3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2" s="138" t="e">
        <f aca="false">+DATOS_[[#This Row],[SALARIO BASE Eq]]+DATOS_[[#This Row],[Tot COMPL.SAL Eq]]</f>
        <v>#DIV/0!</v>
      </c>
      <c r="CA372" s="138" t="e">
        <f aca="false" t="array" ref="CA372:CA3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2" s="138" t="e">
        <f aca="false">+DATOS_[[#This Row],[TOTAL SALARIO Eq]]+DATOS_[[#This Row],[Tot Extrasalarial Eq]]</f>
        <v>#DIV/0!</v>
      </c>
      <c r="CC372" s="139" t="n">
        <f aca="false">DATOS_[[#This Row],[S.BASE]]</f>
        <v>0</v>
      </c>
      <c r="CD372" s="139" t="n">
        <f aca="false">+SUM(DATOS_[[#This Row],[Conc.Sal.01]:[Conc.Sal.30]])</f>
        <v>0</v>
      </c>
      <c r="CE372" s="139" t="n">
        <f aca="false">+DATOS_[[#This Row],[SALARIO BASE Ef]]+DATOS_[[#This Row],[Tot COMPL.SAL Ef]]</f>
        <v>0</v>
      </c>
      <c r="CF372" s="139" t="n">
        <f aca="false">+SUM(DATOS_[[#This Row],[C.Extra.01]:[C.Extra.05]])</f>
        <v>0</v>
      </c>
      <c r="CG372" s="139" t="n">
        <f aca="false">+DATOS_[[#This Row],[TOTAL SALARIO Ef]]+DATOS_[[#This Row],[Tot Extrasalarial Ef]]</f>
        <v>0</v>
      </c>
      <c r="CH372" s="140" t="n">
        <f aca="false">MIN(IF(DATOS_[[#This Row],[Fecha Fin Contrato]]="",$D$4,DATOS_[[#This Row],[Fecha Fin Contrato]]),$D$4)-MAX(DATOS_[[#This Row],[Fecha de Contratación]],$D$3)+1</f>
        <v>1</v>
      </c>
      <c r="CI372" s="141" t="str">
        <f aca="false">IF(COUNTIFS(DATOS_[id],DATOS_[[#This Row],[id]])&gt;1,DATOS_[[#This Row],[id]],"")</f>
        <v/>
      </c>
      <c r="CJ372" s="141" t="n">
        <f aca="false">(Inicio!$G$10-DATOS_[[#This Row],[Fecha Nacimiento]])/365.25</f>
        <v>0</v>
      </c>
      <c r="CK372" s="141" t="n">
        <f aca="false">(Inicio!$G$10-DATOS_[[#This Row],[Fecha de Antigüedad]])/365.25</f>
        <v>0</v>
      </c>
      <c r="CL372" s="141" t="e">
        <f aca="false">+VLOOKUP(DATOS_[[#This Row],[Clave de Contrato]],TblTiposContrato13[],3,0)</f>
        <v>#N/A</v>
      </c>
      <c r="CM372" s="141" t="e">
        <f aca="false">+VLOOKUP(DATOS_[[#This Row],[Clave de Contrato]],TblTiposContrato13[],4,0)</f>
        <v>#N/A</v>
      </c>
      <c r="CN372" s="141" t="str">
        <f aca="false">VLOOKUP(DATOS_[[#This Row],[Edad]],CONTRATOS!TblRngEdad,2,1)</f>
        <v>20  o menos</v>
      </c>
      <c r="CO372" s="141" t="str">
        <f aca="false">VLOOKUP(DATOS_[[#This Row],[Antigüedad]],TblRngAntg14[],2,1)</f>
        <v>0 a 1 años</v>
      </c>
    </row>
    <row r="373" customFormat="false" ht="13.8" hidden="false" customHeight="false" outlineLevel="0" collapsed="false">
      <c r="D373" s="128"/>
      <c r="E373" s="129"/>
      <c r="F373" s="129"/>
      <c r="G373" s="129"/>
      <c r="H373" s="130"/>
      <c r="I373" s="131"/>
      <c r="J373" s="128"/>
      <c r="K373" s="132"/>
      <c r="L373" s="132"/>
      <c r="M373" s="133"/>
      <c r="N373" s="133"/>
      <c r="O373" s="133"/>
      <c r="P373" s="129"/>
      <c r="Z373" s="75"/>
      <c r="AA373" s="76"/>
      <c r="AB373" s="76"/>
      <c r="AC373" s="129"/>
      <c r="AD373" s="134"/>
      <c r="AE373" s="134"/>
      <c r="AF373" s="134"/>
      <c r="AG373" s="134"/>
      <c r="AH373" s="134"/>
      <c r="AI373" s="134"/>
      <c r="AJ373" s="134"/>
      <c r="AK373" s="134"/>
      <c r="AL373" s="134"/>
      <c r="AM373" s="134"/>
      <c r="AN373" s="134"/>
      <c r="AO373" s="134"/>
      <c r="AP373" s="134"/>
      <c r="AQ373" s="134"/>
      <c r="AR373" s="134"/>
      <c r="AS373" s="134"/>
      <c r="AT373" s="134"/>
      <c r="AU373" s="134"/>
      <c r="AV373" s="134"/>
      <c r="AW373" s="134"/>
      <c r="AX373" s="134"/>
      <c r="AY373" s="134"/>
      <c r="AZ373" s="134"/>
      <c r="BA373" s="134"/>
      <c r="BB373" s="134"/>
      <c r="BC373" s="134"/>
      <c r="BD373" s="134"/>
      <c r="BE373" s="134"/>
      <c r="BF373" s="134"/>
      <c r="BG373" s="134"/>
      <c r="BH373" s="134"/>
      <c r="BI373" s="134"/>
      <c r="BJ373" s="134"/>
      <c r="BK373" s="134"/>
      <c r="BL373" s="134"/>
      <c r="BM373" s="135"/>
      <c r="BN373" s="136" t="n">
        <f aca="false">+MAX($D$3,DATOS_[[#This Row],[Fecha Inicio Sit. Contract.]])</f>
        <v>0</v>
      </c>
      <c r="BO373" s="136" t="n">
        <f aca="false">+MIN($D$4,DATOS_[[#This Row],[Fecha Fin Sit. Contract.]])</f>
        <v>0</v>
      </c>
      <c r="BP373" s="137" t="n">
        <f aca="false">+DATOS_[[#This Row],[% de jornada]]*IF(DATOS_[[#This Row],[% jornada reducida]]="",1,DATOS_[[#This Row],[% jornada reducida]])</f>
        <v>0</v>
      </c>
      <c r="BQ373" s="137" t="n">
        <f aca="false">+(DATOS_[[#This Row],[F.fin.cal]]-DATOS_[[#This Row],[F.ini.cal]]+1)/($D$4-$D$3+1)</f>
        <v>1</v>
      </c>
      <c r="BR373" s="137" t="str">
        <f aca="false">IF(OR(AND(DATOS_[[#This Row],[Fecha Fin Contrato]]&lt;$D$3,DATOS_[[#This Row],[Fecha Fin Contrato]]&lt;&gt;""),DATOS_[[#This Row],[Fecha de Contratación]]&gt;$D$4),"Fuera","Dentro")</f>
        <v>Dentro</v>
      </c>
      <c r="BS373" s="137" t="str">
        <f aca="false" t="array" ref="BS373:BS373">IF(MAX(IF(DATOS_[id]=DATOS_[[#This Row],[id]],DATOS_[F.fin.cal]))=DATOS_[[#This Row],[F.fin.cal]],"Sí","NO")</f>
        <v>Sí</v>
      </c>
      <c r="BT373" s="137" t="str">
        <f aca="false">IF(AND(DATOS_[[#This Row],[% normaliz]]&lt;&gt;1,DATOS_[[#This Row],[% anualiz]]=1),"Sí","NO")</f>
        <v>Sí</v>
      </c>
      <c r="BU373" s="137" t="str">
        <f aca="false">IF(AND(DATOS_[[#This Row],[% normaliz]]=1,DATOS_[[#This Row],[% anualiz]]&lt;&gt;1),"Sí","NO")</f>
        <v>NO</v>
      </c>
      <c r="BV373" s="137" t="str">
        <f aca="false">IF(AND(DATOS_[[#This Row],[% normaliz]]&lt;&gt;1,DATOS_[[#This Row],[% anualiz]]&lt;&gt;1),"Sí","NO")</f>
        <v>NO</v>
      </c>
      <c r="BW373" s="137" t="str">
        <f aca="false">+IF(DATOS_[[#This Row],[% normaliz]]*DATOS_[[#This Row],[% anualiz]]=1,"NO","Sí")</f>
        <v>Sí</v>
      </c>
      <c r="BX373" s="138" t="e">
        <f aca="false">(DATOS_[[#This Row],[S.BASE]]*(1/DATOS_[[#This Row],[% normaliz]])*(1/DATOS_[[#This Row],[% anualiz]]))*IF(DATOS_[[#This Row],[Check Equiparado]]="Sí",1,0)</f>
        <v>#DIV/0!</v>
      </c>
      <c r="BY3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3" s="138" t="e">
        <f aca="false">+DATOS_[[#This Row],[SALARIO BASE Eq]]+DATOS_[[#This Row],[Tot COMPL.SAL Eq]]</f>
        <v>#DIV/0!</v>
      </c>
      <c r="CA373" s="138" t="e">
        <f aca="false" t="array" ref="CA373:CA3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3" s="138" t="e">
        <f aca="false">+DATOS_[[#This Row],[TOTAL SALARIO Eq]]+DATOS_[[#This Row],[Tot Extrasalarial Eq]]</f>
        <v>#DIV/0!</v>
      </c>
      <c r="CC373" s="139" t="n">
        <f aca="false">DATOS_[[#This Row],[S.BASE]]</f>
        <v>0</v>
      </c>
      <c r="CD373" s="139" t="n">
        <f aca="false">+SUM(DATOS_[[#This Row],[Conc.Sal.01]:[Conc.Sal.30]])</f>
        <v>0</v>
      </c>
      <c r="CE373" s="139" t="n">
        <f aca="false">+DATOS_[[#This Row],[SALARIO BASE Ef]]+DATOS_[[#This Row],[Tot COMPL.SAL Ef]]</f>
        <v>0</v>
      </c>
      <c r="CF373" s="139" t="n">
        <f aca="false">+SUM(DATOS_[[#This Row],[C.Extra.01]:[C.Extra.05]])</f>
        <v>0</v>
      </c>
      <c r="CG373" s="139" t="n">
        <f aca="false">+DATOS_[[#This Row],[TOTAL SALARIO Ef]]+DATOS_[[#This Row],[Tot Extrasalarial Ef]]</f>
        <v>0</v>
      </c>
      <c r="CH373" s="140" t="n">
        <f aca="false">MIN(IF(DATOS_[[#This Row],[Fecha Fin Contrato]]="",$D$4,DATOS_[[#This Row],[Fecha Fin Contrato]]),$D$4)-MAX(DATOS_[[#This Row],[Fecha de Contratación]],$D$3)+1</f>
        <v>1</v>
      </c>
      <c r="CI373" s="141" t="str">
        <f aca="false">IF(COUNTIFS(DATOS_[id],DATOS_[[#This Row],[id]])&gt;1,DATOS_[[#This Row],[id]],"")</f>
        <v/>
      </c>
      <c r="CJ373" s="141" t="n">
        <f aca="false">(Inicio!$G$10-DATOS_[[#This Row],[Fecha Nacimiento]])/365.25</f>
        <v>0</v>
      </c>
      <c r="CK373" s="141" t="n">
        <f aca="false">(Inicio!$G$10-DATOS_[[#This Row],[Fecha de Antigüedad]])/365.25</f>
        <v>0</v>
      </c>
      <c r="CL373" s="141" t="e">
        <f aca="false">+VLOOKUP(DATOS_[[#This Row],[Clave de Contrato]],TblTiposContrato13[],3,0)</f>
        <v>#N/A</v>
      </c>
      <c r="CM373" s="141" t="e">
        <f aca="false">+VLOOKUP(DATOS_[[#This Row],[Clave de Contrato]],TblTiposContrato13[],4,0)</f>
        <v>#N/A</v>
      </c>
      <c r="CN373" s="141" t="str">
        <f aca="false">VLOOKUP(DATOS_[[#This Row],[Edad]],CONTRATOS!TblRngEdad,2,1)</f>
        <v>20  o menos</v>
      </c>
      <c r="CO373" s="141" t="str">
        <f aca="false">VLOOKUP(DATOS_[[#This Row],[Antigüedad]],TblRngAntg14[],2,1)</f>
        <v>0 a 1 años</v>
      </c>
    </row>
    <row r="374" customFormat="false" ht="13.8" hidden="false" customHeight="false" outlineLevel="0" collapsed="false">
      <c r="D374" s="128"/>
      <c r="E374" s="129"/>
      <c r="F374" s="129"/>
      <c r="G374" s="129"/>
      <c r="H374" s="130"/>
      <c r="I374" s="131"/>
      <c r="J374" s="128"/>
      <c r="K374" s="132"/>
      <c r="L374" s="132"/>
      <c r="M374" s="133"/>
      <c r="N374" s="133"/>
      <c r="O374" s="133"/>
      <c r="P374" s="129"/>
      <c r="Z374" s="75"/>
      <c r="AA374" s="76"/>
      <c r="AB374" s="76"/>
      <c r="AC374" s="129"/>
      <c r="AD374" s="134"/>
      <c r="AE374" s="134"/>
      <c r="AF374" s="134"/>
      <c r="AG374" s="134"/>
      <c r="AH374" s="134"/>
      <c r="AI374" s="134"/>
      <c r="AJ374" s="134"/>
      <c r="AK374" s="134"/>
      <c r="AL374" s="134"/>
      <c r="AM374" s="134"/>
      <c r="AN374" s="134"/>
      <c r="AO374" s="134"/>
      <c r="AP374" s="134"/>
      <c r="AQ374" s="134"/>
      <c r="AR374" s="134"/>
      <c r="AS374" s="134"/>
      <c r="AT374" s="134"/>
      <c r="AU374" s="134"/>
      <c r="AV374" s="134"/>
      <c r="AW374" s="134"/>
      <c r="AX374" s="134"/>
      <c r="AY374" s="134"/>
      <c r="AZ374" s="134"/>
      <c r="BA374" s="134"/>
      <c r="BB374" s="134"/>
      <c r="BC374" s="134"/>
      <c r="BD374" s="134"/>
      <c r="BE374" s="134"/>
      <c r="BF374" s="134"/>
      <c r="BG374" s="134"/>
      <c r="BH374" s="134"/>
      <c r="BI374" s="134"/>
      <c r="BJ374" s="134"/>
      <c r="BK374" s="134"/>
      <c r="BL374" s="134"/>
      <c r="BM374" s="135"/>
      <c r="BN374" s="136" t="n">
        <f aca="false">+MAX($D$3,DATOS_[[#This Row],[Fecha Inicio Sit. Contract.]])</f>
        <v>0</v>
      </c>
      <c r="BO374" s="136" t="n">
        <f aca="false">+MIN($D$4,DATOS_[[#This Row],[Fecha Fin Sit. Contract.]])</f>
        <v>0</v>
      </c>
      <c r="BP374" s="137" t="n">
        <f aca="false">+DATOS_[[#This Row],[% de jornada]]*IF(DATOS_[[#This Row],[% jornada reducida]]="",1,DATOS_[[#This Row],[% jornada reducida]])</f>
        <v>0</v>
      </c>
      <c r="BQ374" s="137" t="n">
        <f aca="false">+(DATOS_[[#This Row],[F.fin.cal]]-DATOS_[[#This Row],[F.ini.cal]]+1)/($D$4-$D$3+1)</f>
        <v>1</v>
      </c>
      <c r="BR374" s="137" t="str">
        <f aca="false">IF(OR(AND(DATOS_[[#This Row],[Fecha Fin Contrato]]&lt;$D$3,DATOS_[[#This Row],[Fecha Fin Contrato]]&lt;&gt;""),DATOS_[[#This Row],[Fecha de Contratación]]&gt;$D$4),"Fuera","Dentro")</f>
        <v>Dentro</v>
      </c>
      <c r="BS374" s="137" t="str">
        <f aca="false" t="array" ref="BS374:BS374">IF(MAX(IF(DATOS_[id]=DATOS_[[#This Row],[id]],DATOS_[F.fin.cal]))=DATOS_[[#This Row],[F.fin.cal]],"Sí","NO")</f>
        <v>Sí</v>
      </c>
      <c r="BT374" s="137" t="str">
        <f aca="false">IF(AND(DATOS_[[#This Row],[% normaliz]]&lt;&gt;1,DATOS_[[#This Row],[% anualiz]]=1),"Sí","NO")</f>
        <v>Sí</v>
      </c>
      <c r="BU374" s="137" t="str">
        <f aca="false">IF(AND(DATOS_[[#This Row],[% normaliz]]=1,DATOS_[[#This Row],[% anualiz]]&lt;&gt;1),"Sí","NO")</f>
        <v>NO</v>
      </c>
      <c r="BV374" s="137" t="str">
        <f aca="false">IF(AND(DATOS_[[#This Row],[% normaliz]]&lt;&gt;1,DATOS_[[#This Row],[% anualiz]]&lt;&gt;1),"Sí","NO")</f>
        <v>NO</v>
      </c>
      <c r="BW374" s="137" t="str">
        <f aca="false">+IF(DATOS_[[#This Row],[% normaliz]]*DATOS_[[#This Row],[% anualiz]]=1,"NO","Sí")</f>
        <v>Sí</v>
      </c>
      <c r="BX374" s="138" t="e">
        <f aca="false">(DATOS_[[#This Row],[S.BASE]]*(1/DATOS_[[#This Row],[% normaliz]])*(1/DATOS_[[#This Row],[% anualiz]]))*IF(DATOS_[[#This Row],[Check Equiparado]]="Sí",1,0)</f>
        <v>#DIV/0!</v>
      </c>
      <c r="BY3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4" s="138" t="e">
        <f aca="false">+DATOS_[[#This Row],[SALARIO BASE Eq]]+DATOS_[[#This Row],[Tot COMPL.SAL Eq]]</f>
        <v>#DIV/0!</v>
      </c>
      <c r="CA374" s="138" t="e">
        <f aca="false" t="array" ref="CA374:CA3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4" s="138" t="e">
        <f aca="false">+DATOS_[[#This Row],[TOTAL SALARIO Eq]]+DATOS_[[#This Row],[Tot Extrasalarial Eq]]</f>
        <v>#DIV/0!</v>
      </c>
      <c r="CC374" s="139" t="n">
        <f aca="false">DATOS_[[#This Row],[S.BASE]]</f>
        <v>0</v>
      </c>
      <c r="CD374" s="139" t="n">
        <f aca="false">+SUM(DATOS_[[#This Row],[Conc.Sal.01]:[Conc.Sal.30]])</f>
        <v>0</v>
      </c>
      <c r="CE374" s="139" t="n">
        <f aca="false">+DATOS_[[#This Row],[SALARIO BASE Ef]]+DATOS_[[#This Row],[Tot COMPL.SAL Ef]]</f>
        <v>0</v>
      </c>
      <c r="CF374" s="139" t="n">
        <f aca="false">+SUM(DATOS_[[#This Row],[C.Extra.01]:[C.Extra.05]])</f>
        <v>0</v>
      </c>
      <c r="CG374" s="139" t="n">
        <f aca="false">+DATOS_[[#This Row],[TOTAL SALARIO Ef]]+DATOS_[[#This Row],[Tot Extrasalarial Ef]]</f>
        <v>0</v>
      </c>
      <c r="CH374" s="140" t="n">
        <f aca="false">MIN(IF(DATOS_[[#This Row],[Fecha Fin Contrato]]="",$D$4,DATOS_[[#This Row],[Fecha Fin Contrato]]),$D$4)-MAX(DATOS_[[#This Row],[Fecha de Contratación]],$D$3)+1</f>
        <v>1</v>
      </c>
      <c r="CI374" s="141" t="str">
        <f aca="false">IF(COUNTIFS(DATOS_[id],DATOS_[[#This Row],[id]])&gt;1,DATOS_[[#This Row],[id]],"")</f>
        <v/>
      </c>
      <c r="CJ374" s="141" t="n">
        <f aca="false">(Inicio!$G$10-DATOS_[[#This Row],[Fecha Nacimiento]])/365.25</f>
        <v>0</v>
      </c>
      <c r="CK374" s="141" t="n">
        <f aca="false">(Inicio!$G$10-DATOS_[[#This Row],[Fecha de Antigüedad]])/365.25</f>
        <v>0</v>
      </c>
      <c r="CL374" s="141" t="e">
        <f aca="false">+VLOOKUP(DATOS_[[#This Row],[Clave de Contrato]],TblTiposContrato13[],3,0)</f>
        <v>#N/A</v>
      </c>
      <c r="CM374" s="141" t="e">
        <f aca="false">+VLOOKUP(DATOS_[[#This Row],[Clave de Contrato]],TblTiposContrato13[],4,0)</f>
        <v>#N/A</v>
      </c>
      <c r="CN374" s="141" t="str">
        <f aca="false">VLOOKUP(DATOS_[[#This Row],[Edad]],CONTRATOS!TblRngEdad,2,1)</f>
        <v>20  o menos</v>
      </c>
      <c r="CO374" s="141" t="str">
        <f aca="false">VLOOKUP(DATOS_[[#This Row],[Antigüedad]],TblRngAntg14[],2,1)</f>
        <v>0 a 1 años</v>
      </c>
    </row>
    <row r="375" customFormat="false" ht="13.8" hidden="false" customHeight="false" outlineLevel="0" collapsed="false">
      <c r="D375" s="128"/>
      <c r="E375" s="129"/>
      <c r="F375" s="129"/>
      <c r="G375" s="129"/>
      <c r="H375" s="130"/>
      <c r="I375" s="131"/>
      <c r="J375" s="128"/>
      <c r="K375" s="132"/>
      <c r="L375" s="132"/>
      <c r="M375" s="133"/>
      <c r="N375" s="133"/>
      <c r="O375" s="133"/>
      <c r="P375" s="129"/>
      <c r="Z375" s="75"/>
      <c r="AA375" s="76"/>
      <c r="AB375" s="76"/>
      <c r="AC375" s="129"/>
      <c r="AD375" s="134"/>
      <c r="AE375" s="134"/>
      <c r="AF375" s="134"/>
      <c r="AG375" s="134"/>
      <c r="AH375" s="134"/>
      <c r="AI375" s="134"/>
      <c r="AJ375" s="134"/>
      <c r="AK375" s="134"/>
      <c r="AL375" s="134"/>
      <c r="AM375" s="134"/>
      <c r="AN375" s="134"/>
      <c r="AO375" s="134"/>
      <c r="AP375" s="134"/>
      <c r="AQ375" s="134"/>
      <c r="AR375" s="134"/>
      <c r="AS375" s="134"/>
      <c r="AT375" s="134"/>
      <c r="AU375" s="134"/>
      <c r="AV375" s="134"/>
      <c r="AW375" s="134"/>
      <c r="AX375" s="134"/>
      <c r="AY375" s="134"/>
      <c r="AZ375" s="134"/>
      <c r="BA375" s="134"/>
      <c r="BB375" s="134"/>
      <c r="BC375" s="134"/>
      <c r="BD375" s="134"/>
      <c r="BE375" s="134"/>
      <c r="BF375" s="134"/>
      <c r="BG375" s="134"/>
      <c r="BH375" s="134"/>
      <c r="BI375" s="134"/>
      <c r="BJ375" s="134"/>
      <c r="BK375" s="134"/>
      <c r="BL375" s="134"/>
      <c r="BM375" s="135"/>
      <c r="BN375" s="136" t="n">
        <f aca="false">+MAX($D$3,DATOS_[[#This Row],[Fecha Inicio Sit. Contract.]])</f>
        <v>0</v>
      </c>
      <c r="BO375" s="136" t="n">
        <f aca="false">+MIN($D$4,DATOS_[[#This Row],[Fecha Fin Sit. Contract.]])</f>
        <v>0</v>
      </c>
      <c r="BP375" s="137" t="n">
        <f aca="false">+DATOS_[[#This Row],[% de jornada]]*IF(DATOS_[[#This Row],[% jornada reducida]]="",1,DATOS_[[#This Row],[% jornada reducida]])</f>
        <v>0</v>
      </c>
      <c r="BQ375" s="137" t="n">
        <f aca="false">+(DATOS_[[#This Row],[F.fin.cal]]-DATOS_[[#This Row],[F.ini.cal]]+1)/($D$4-$D$3+1)</f>
        <v>1</v>
      </c>
      <c r="BR375" s="137" t="str">
        <f aca="false">IF(OR(AND(DATOS_[[#This Row],[Fecha Fin Contrato]]&lt;$D$3,DATOS_[[#This Row],[Fecha Fin Contrato]]&lt;&gt;""),DATOS_[[#This Row],[Fecha de Contratación]]&gt;$D$4),"Fuera","Dentro")</f>
        <v>Dentro</v>
      </c>
      <c r="BS375" s="137" t="str">
        <f aca="false" t="array" ref="BS375:BS375">IF(MAX(IF(DATOS_[id]=DATOS_[[#This Row],[id]],DATOS_[F.fin.cal]))=DATOS_[[#This Row],[F.fin.cal]],"Sí","NO")</f>
        <v>Sí</v>
      </c>
      <c r="BT375" s="137" t="str">
        <f aca="false">IF(AND(DATOS_[[#This Row],[% normaliz]]&lt;&gt;1,DATOS_[[#This Row],[% anualiz]]=1),"Sí","NO")</f>
        <v>Sí</v>
      </c>
      <c r="BU375" s="137" t="str">
        <f aca="false">IF(AND(DATOS_[[#This Row],[% normaliz]]=1,DATOS_[[#This Row],[% anualiz]]&lt;&gt;1),"Sí","NO")</f>
        <v>NO</v>
      </c>
      <c r="BV375" s="137" t="str">
        <f aca="false">IF(AND(DATOS_[[#This Row],[% normaliz]]&lt;&gt;1,DATOS_[[#This Row],[% anualiz]]&lt;&gt;1),"Sí","NO")</f>
        <v>NO</v>
      </c>
      <c r="BW375" s="137" t="str">
        <f aca="false">+IF(DATOS_[[#This Row],[% normaliz]]*DATOS_[[#This Row],[% anualiz]]=1,"NO","Sí")</f>
        <v>Sí</v>
      </c>
      <c r="BX375" s="138" t="e">
        <f aca="false">(DATOS_[[#This Row],[S.BASE]]*(1/DATOS_[[#This Row],[% normaliz]])*(1/DATOS_[[#This Row],[% anualiz]]))*IF(DATOS_[[#This Row],[Check Equiparado]]="Sí",1,0)</f>
        <v>#DIV/0!</v>
      </c>
      <c r="BY3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5" s="138" t="e">
        <f aca="false">+DATOS_[[#This Row],[SALARIO BASE Eq]]+DATOS_[[#This Row],[Tot COMPL.SAL Eq]]</f>
        <v>#DIV/0!</v>
      </c>
      <c r="CA375" s="138" t="e">
        <f aca="false" t="array" ref="CA375:CA3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5" s="138" t="e">
        <f aca="false">+DATOS_[[#This Row],[TOTAL SALARIO Eq]]+DATOS_[[#This Row],[Tot Extrasalarial Eq]]</f>
        <v>#DIV/0!</v>
      </c>
      <c r="CC375" s="139" t="n">
        <f aca="false">DATOS_[[#This Row],[S.BASE]]</f>
        <v>0</v>
      </c>
      <c r="CD375" s="139" t="n">
        <f aca="false">+SUM(DATOS_[[#This Row],[Conc.Sal.01]:[Conc.Sal.30]])</f>
        <v>0</v>
      </c>
      <c r="CE375" s="139" t="n">
        <f aca="false">+DATOS_[[#This Row],[SALARIO BASE Ef]]+DATOS_[[#This Row],[Tot COMPL.SAL Ef]]</f>
        <v>0</v>
      </c>
      <c r="CF375" s="139" t="n">
        <f aca="false">+SUM(DATOS_[[#This Row],[C.Extra.01]:[C.Extra.05]])</f>
        <v>0</v>
      </c>
      <c r="CG375" s="139" t="n">
        <f aca="false">+DATOS_[[#This Row],[TOTAL SALARIO Ef]]+DATOS_[[#This Row],[Tot Extrasalarial Ef]]</f>
        <v>0</v>
      </c>
      <c r="CH375" s="140" t="n">
        <f aca="false">MIN(IF(DATOS_[[#This Row],[Fecha Fin Contrato]]="",$D$4,DATOS_[[#This Row],[Fecha Fin Contrato]]),$D$4)-MAX(DATOS_[[#This Row],[Fecha de Contratación]],$D$3)+1</f>
        <v>1</v>
      </c>
      <c r="CI375" s="141" t="str">
        <f aca="false">IF(COUNTIFS(DATOS_[id],DATOS_[[#This Row],[id]])&gt;1,DATOS_[[#This Row],[id]],"")</f>
        <v/>
      </c>
      <c r="CJ375" s="141" t="n">
        <f aca="false">(Inicio!$G$10-DATOS_[[#This Row],[Fecha Nacimiento]])/365.25</f>
        <v>0</v>
      </c>
      <c r="CK375" s="141" t="n">
        <f aca="false">(Inicio!$G$10-DATOS_[[#This Row],[Fecha de Antigüedad]])/365.25</f>
        <v>0</v>
      </c>
      <c r="CL375" s="141" t="e">
        <f aca="false">+VLOOKUP(DATOS_[[#This Row],[Clave de Contrato]],TblTiposContrato13[],3,0)</f>
        <v>#N/A</v>
      </c>
      <c r="CM375" s="141" t="e">
        <f aca="false">+VLOOKUP(DATOS_[[#This Row],[Clave de Contrato]],TblTiposContrato13[],4,0)</f>
        <v>#N/A</v>
      </c>
      <c r="CN375" s="141" t="str">
        <f aca="false">VLOOKUP(DATOS_[[#This Row],[Edad]],CONTRATOS!TblRngEdad,2,1)</f>
        <v>20  o menos</v>
      </c>
      <c r="CO375" s="141" t="str">
        <f aca="false">VLOOKUP(DATOS_[[#This Row],[Antigüedad]],TblRngAntg14[],2,1)</f>
        <v>0 a 1 años</v>
      </c>
    </row>
    <row r="376" customFormat="false" ht="13.8" hidden="false" customHeight="false" outlineLevel="0" collapsed="false">
      <c r="D376" s="128"/>
      <c r="E376" s="129"/>
      <c r="F376" s="129"/>
      <c r="G376" s="129"/>
      <c r="H376" s="130"/>
      <c r="I376" s="131"/>
      <c r="J376" s="128"/>
      <c r="K376" s="132"/>
      <c r="L376" s="132"/>
      <c r="M376" s="133"/>
      <c r="N376" s="133"/>
      <c r="O376" s="133"/>
      <c r="P376" s="129"/>
      <c r="Z376" s="75"/>
      <c r="AA376" s="76"/>
      <c r="AB376" s="76"/>
      <c r="AC376" s="129"/>
      <c r="AD376" s="134"/>
      <c r="AE376" s="134"/>
      <c r="AF376" s="134"/>
      <c r="AG376" s="134"/>
      <c r="AH376" s="134"/>
      <c r="AI376" s="134"/>
      <c r="AJ376" s="134"/>
      <c r="AK376" s="134"/>
      <c r="AL376" s="134"/>
      <c r="AM376" s="134"/>
      <c r="AN376" s="134"/>
      <c r="AO376" s="134"/>
      <c r="AP376" s="134"/>
      <c r="AQ376" s="134"/>
      <c r="AR376" s="134"/>
      <c r="AS376" s="134"/>
      <c r="AT376" s="134"/>
      <c r="AU376" s="134"/>
      <c r="AV376" s="134"/>
      <c r="AW376" s="134"/>
      <c r="AX376" s="134"/>
      <c r="AY376" s="134"/>
      <c r="AZ376" s="134"/>
      <c r="BA376" s="134"/>
      <c r="BB376" s="134"/>
      <c r="BC376" s="134"/>
      <c r="BD376" s="134"/>
      <c r="BE376" s="134"/>
      <c r="BF376" s="134"/>
      <c r="BG376" s="134"/>
      <c r="BH376" s="134"/>
      <c r="BI376" s="134"/>
      <c r="BJ376" s="134"/>
      <c r="BK376" s="134"/>
      <c r="BL376" s="134"/>
      <c r="BM376" s="135"/>
      <c r="BN376" s="136" t="n">
        <f aca="false">+MAX($D$3,DATOS_[[#This Row],[Fecha Inicio Sit. Contract.]])</f>
        <v>0</v>
      </c>
      <c r="BO376" s="136" t="n">
        <f aca="false">+MIN($D$4,DATOS_[[#This Row],[Fecha Fin Sit. Contract.]])</f>
        <v>0</v>
      </c>
      <c r="BP376" s="137" t="n">
        <f aca="false">+DATOS_[[#This Row],[% de jornada]]*IF(DATOS_[[#This Row],[% jornada reducida]]="",1,DATOS_[[#This Row],[% jornada reducida]])</f>
        <v>0</v>
      </c>
      <c r="BQ376" s="137" t="n">
        <f aca="false">+(DATOS_[[#This Row],[F.fin.cal]]-DATOS_[[#This Row],[F.ini.cal]]+1)/($D$4-$D$3+1)</f>
        <v>1</v>
      </c>
      <c r="BR376" s="137" t="str">
        <f aca="false">IF(OR(AND(DATOS_[[#This Row],[Fecha Fin Contrato]]&lt;$D$3,DATOS_[[#This Row],[Fecha Fin Contrato]]&lt;&gt;""),DATOS_[[#This Row],[Fecha de Contratación]]&gt;$D$4),"Fuera","Dentro")</f>
        <v>Dentro</v>
      </c>
      <c r="BS376" s="137" t="str">
        <f aca="false" t="array" ref="BS376:BS376">IF(MAX(IF(DATOS_[id]=DATOS_[[#This Row],[id]],DATOS_[F.fin.cal]))=DATOS_[[#This Row],[F.fin.cal]],"Sí","NO")</f>
        <v>Sí</v>
      </c>
      <c r="BT376" s="137" t="str">
        <f aca="false">IF(AND(DATOS_[[#This Row],[% normaliz]]&lt;&gt;1,DATOS_[[#This Row],[% anualiz]]=1),"Sí","NO")</f>
        <v>Sí</v>
      </c>
      <c r="BU376" s="137" t="str">
        <f aca="false">IF(AND(DATOS_[[#This Row],[% normaliz]]=1,DATOS_[[#This Row],[% anualiz]]&lt;&gt;1),"Sí","NO")</f>
        <v>NO</v>
      </c>
      <c r="BV376" s="137" t="str">
        <f aca="false">IF(AND(DATOS_[[#This Row],[% normaliz]]&lt;&gt;1,DATOS_[[#This Row],[% anualiz]]&lt;&gt;1),"Sí","NO")</f>
        <v>NO</v>
      </c>
      <c r="BW376" s="137" t="str">
        <f aca="false">+IF(DATOS_[[#This Row],[% normaliz]]*DATOS_[[#This Row],[% anualiz]]=1,"NO","Sí")</f>
        <v>Sí</v>
      </c>
      <c r="BX376" s="138" t="e">
        <f aca="false">(DATOS_[[#This Row],[S.BASE]]*(1/DATOS_[[#This Row],[% normaliz]])*(1/DATOS_[[#This Row],[% anualiz]]))*IF(DATOS_[[#This Row],[Check Equiparado]]="Sí",1,0)</f>
        <v>#DIV/0!</v>
      </c>
      <c r="BY3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6" s="138" t="e">
        <f aca="false">+DATOS_[[#This Row],[SALARIO BASE Eq]]+DATOS_[[#This Row],[Tot COMPL.SAL Eq]]</f>
        <v>#DIV/0!</v>
      </c>
      <c r="CA376" s="138" t="e">
        <f aca="false" t="array" ref="CA376:CA3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6" s="138" t="e">
        <f aca="false">+DATOS_[[#This Row],[TOTAL SALARIO Eq]]+DATOS_[[#This Row],[Tot Extrasalarial Eq]]</f>
        <v>#DIV/0!</v>
      </c>
      <c r="CC376" s="139" t="n">
        <f aca="false">DATOS_[[#This Row],[S.BASE]]</f>
        <v>0</v>
      </c>
      <c r="CD376" s="139" t="n">
        <f aca="false">+SUM(DATOS_[[#This Row],[Conc.Sal.01]:[Conc.Sal.30]])</f>
        <v>0</v>
      </c>
      <c r="CE376" s="139" t="n">
        <f aca="false">+DATOS_[[#This Row],[SALARIO BASE Ef]]+DATOS_[[#This Row],[Tot COMPL.SAL Ef]]</f>
        <v>0</v>
      </c>
      <c r="CF376" s="139" t="n">
        <f aca="false">+SUM(DATOS_[[#This Row],[C.Extra.01]:[C.Extra.05]])</f>
        <v>0</v>
      </c>
      <c r="CG376" s="139" t="n">
        <f aca="false">+DATOS_[[#This Row],[TOTAL SALARIO Ef]]+DATOS_[[#This Row],[Tot Extrasalarial Ef]]</f>
        <v>0</v>
      </c>
      <c r="CH376" s="140" t="n">
        <f aca="false">MIN(IF(DATOS_[[#This Row],[Fecha Fin Contrato]]="",$D$4,DATOS_[[#This Row],[Fecha Fin Contrato]]),$D$4)-MAX(DATOS_[[#This Row],[Fecha de Contratación]],$D$3)+1</f>
        <v>1</v>
      </c>
      <c r="CI376" s="141" t="str">
        <f aca="false">IF(COUNTIFS(DATOS_[id],DATOS_[[#This Row],[id]])&gt;1,DATOS_[[#This Row],[id]],"")</f>
        <v/>
      </c>
      <c r="CJ376" s="141" t="n">
        <f aca="false">(Inicio!$G$10-DATOS_[[#This Row],[Fecha Nacimiento]])/365.25</f>
        <v>0</v>
      </c>
      <c r="CK376" s="141" t="n">
        <f aca="false">(Inicio!$G$10-DATOS_[[#This Row],[Fecha de Antigüedad]])/365.25</f>
        <v>0</v>
      </c>
      <c r="CL376" s="141" t="e">
        <f aca="false">+VLOOKUP(DATOS_[[#This Row],[Clave de Contrato]],TblTiposContrato13[],3,0)</f>
        <v>#N/A</v>
      </c>
      <c r="CM376" s="141" t="e">
        <f aca="false">+VLOOKUP(DATOS_[[#This Row],[Clave de Contrato]],TblTiposContrato13[],4,0)</f>
        <v>#N/A</v>
      </c>
      <c r="CN376" s="141" t="str">
        <f aca="false">VLOOKUP(DATOS_[[#This Row],[Edad]],CONTRATOS!TblRngEdad,2,1)</f>
        <v>20  o menos</v>
      </c>
      <c r="CO376" s="141" t="str">
        <f aca="false">VLOOKUP(DATOS_[[#This Row],[Antigüedad]],TblRngAntg14[],2,1)</f>
        <v>0 a 1 años</v>
      </c>
    </row>
    <row r="377" customFormat="false" ht="13.8" hidden="false" customHeight="false" outlineLevel="0" collapsed="false">
      <c r="D377" s="128"/>
      <c r="E377" s="129"/>
      <c r="F377" s="129"/>
      <c r="G377" s="129"/>
      <c r="H377" s="130"/>
      <c r="I377" s="131"/>
      <c r="J377" s="128"/>
      <c r="K377" s="132"/>
      <c r="L377" s="132"/>
      <c r="M377" s="133"/>
      <c r="N377" s="133"/>
      <c r="O377" s="133"/>
      <c r="P377" s="129"/>
      <c r="Z377" s="75"/>
      <c r="AA377" s="76"/>
      <c r="AB377" s="76"/>
      <c r="AC377" s="129"/>
      <c r="AD377" s="134"/>
      <c r="AE377" s="134"/>
      <c r="AF377" s="134"/>
      <c r="AG377" s="134"/>
      <c r="AH377" s="134"/>
      <c r="AI377" s="134"/>
      <c r="AJ377" s="134"/>
      <c r="AK377" s="134"/>
      <c r="AL377" s="134"/>
      <c r="AM377" s="134"/>
      <c r="AN377" s="134"/>
      <c r="AO377" s="134"/>
      <c r="AP377" s="134"/>
      <c r="AQ377" s="134"/>
      <c r="AR377" s="134"/>
      <c r="AS377" s="134"/>
      <c r="AT377" s="134"/>
      <c r="AU377" s="134"/>
      <c r="AV377" s="134"/>
      <c r="AW377" s="134"/>
      <c r="AX377" s="134"/>
      <c r="AY377" s="134"/>
      <c r="AZ377" s="134"/>
      <c r="BA377" s="134"/>
      <c r="BB377" s="134"/>
      <c r="BC377" s="134"/>
      <c r="BD377" s="134"/>
      <c r="BE377" s="134"/>
      <c r="BF377" s="134"/>
      <c r="BG377" s="134"/>
      <c r="BH377" s="134"/>
      <c r="BI377" s="134"/>
      <c r="BJ377" s="134"/>
      <c r="BK377" s="134"/>
      <c r="BL377" s="134"/>
      <c r="BM377" s="135"/>
      <c r="BN377" s="136" t="n">
        <f aca="false">+MAX($D$3,DATOS_[[#This Row],[Fecha Inicio Sit. Contract.]])</f>
        <v>0</v>
      </c>
      <c r="BO377" s="136" t="n">
        <f aca="false">+MIN($D$4,DATOS_[[#This Row],[Fecha Fin Sit. Contract.]])</f>
        <v>0</v>
      </c>
      <c r="BP377" s="137" t="n">
        <f aca="false">+DATOS_[[#This Row],[% de jornada]]*IF(DATOS_[[#This Row],[% jornada reducida]]="",1,DATOS_[[#This Row],[% jornada reducida]])</f>
        <v>0</v>
      </c>
      <c r="BQ377" s="137" t="n">
        <f aca="false">+(DATOS_[[#This Row],[F.fin.cal]]-DATOS_[[#This Row],[F.ini.cal]]+1)/($D$4-$D$3+1)</f>
        <v>1</v>
      </c>
      <c r="BR377" s="137" t="str">
        <f aca="false">IF(OR(AND(DATOS_[[#This Row],[Fecha Fin Contrato]]&lt;$D$3,DATOS_[[#This Row],[Fecha Fin Contrato]]&lt;&gt;""),DATOS_[[#This Row],[Fecha de Contratación]]&gt;$D$4),"Fuera","Dentro")</f>
        <v>Dentro</v>
      </c>
      <c r="BS377" s="137" t="str">
        <f aca="false" t="array" ref="BS377:BS377">IF(MAX(IF(DATOS_[id]=DATOS_[[#This Row],[id]],DATOS_[F.fin.cal]))=DATOS_[[#This Row],[F.fin.cal]],"Sí","NO")</f>
        <v>Sí</v>
      </c>
      <c r="BT377" s="137" t="str">
        <f aca="false">IF(AND(DATOS_[[#This Row],[% normaliz]]&lt;&gt;1,DATOS_[[#This Row],[% anualiz]]=1),"Sí","NO")</f>
        <v>Sí</v>
      </c>
      <c r="BU377" s="137" t="str">
        <f aca="false">IF(AND(DATOS_[[#This Row],[% normaliz]]=1,DATOS_[[#This Row],[% anualiz]]&lt;&gt;1),"Sí","NO")</f>
        <v>NO</v>
      </c>
      <c r="BV377" s="137" t="str">
        <f aca="false">IF(AND(DATOS_[[#This Row],[% normaliz]]&lt;&gt;1,DATOS_[[#This Row],[% anualiz]]&lt;&gt;1),"Sí","NO")</f>
        <v>NO</v>
      </c>
      <c r="BW377" s="137" t="str">
        <f aca="false">+IF(DATOS_[[#This Row],[% normaliz]]*DATOS_[[#This Row],[% anualiz]]=1,"NO","Sí")</f>
        <v>Sí</v>
      </c>
      <c r="BX377" s="138" t="e">
        <f aca="false">(DATOS_[[#This Row],[S.BASE]]*(1/DATOS_[[#This Row],[% normaliz]])*(1/DATOS_[[#This Row],[% anualiz]]))*IF(DATOS_[[#This Row],[Check Equiparado]]="Sí",1,0)</f>
        <v>#DIV/0!</v>
      </c>
      <c r="BY3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7" s="138" t="e">
        <f aca="false">+DATOS_[[#This Row],[SALARIO BASE Eq]]+DATOS_[[#This Row],[Tot COMPL.SAL Eq]]</f>
        <v>#DIV/0!</v>
      </c>
      <c r="CA377" s="138" t="e">
        <f aca="false" t="array" ref="CA377:CA3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7" s="138" t="e">
        <f aca="false">+DATOS_[[#This Row],[TOTAL SALARIO Eq]]+DATOS_[[#This Row],[Tot Extrasalarial Eq]]</f>
        <v>#DIV/0!</v>
      </c>
      <c r="CC377" s="139" t="n">
        <f aca="false">DATOS_[[#This Row],[S.BASE]]</f>
        <v>0</v>
      </c>
      <c r="CD377" s="139" t="n">
        <f aca="false">+SUM(DATOS_[[#This Row],[Conc.Sal.01]:[Conc.Sal.30]])</f>
        <v>0</v>
      </c>
      <c r="CE377" s="139" t="n">
        <f aca="false">+DATOS_[[#This Row],[SALARIO BASE Ef]]+DATOS_[[#This Row],[Tot COMPL.SAL Ef]]</f>
        <v>0</v>
      </c>
      <c r="CF377" s="139" t="n">
        <f aca="false">+SUM(DATOS_[[#This Row],[C.Extra.01]:[C.Extra.05]])</f>
        <v>0</v>
      </c>
      <c r="CG377" s="139" t="n">
        <f aca="false">+DATOS_[[#This Row],[TOTAL SALARIO Ef]]+DATOS_[[#This Row],[Tot Extrasalarial Ef]]</f>
        <v>0</v>
      </c>
      <c r="CH377" s="140" t="n">
        <f aca="false">MIN(IF(DATOS_[[#This Row],[Fecha Fin Contrato]]="",$D$4,DATOS_[[#This Row],[Fecha Fin Contrato]]),$D$4)-MAX(DATOS_[[#This Row],[Fecha de Contratación]],$D$3)+1</f>
        <v>1</v>
      </c>
      <c r="CI377" s="141" t="str">
        <f aca="false">IF(COUNTIFS(DATOS_[id],DATOS_[[#This Row],[id]])&gt;1,DATOS_[[#This Row],[id]],"")</f>
        <v/>
      </c>
      <c r="CJ377" s="141" t="n">
        <f aca="false">(Inicio!$G$10-DATOS_[[#This Row],[Fecha Nacimiento]])/365.25</f>
        <v>0</v>
      </c>
      <c r="CK377" s="141" t="n">
        <f aca="false">(Inicio!$G$10-DATOS_[[#This Row],[Fecha de Antigüedad]])/365.25</f>
        <v>0</v>
      </c>
      <c r="CL377" s="141" t="e">
        <f aca="false">+VLOOKUP(DATOS_[[#This Row],[Clave de Contrato]],TblTiposContrato13[],3,0)</f>
        <v>#N/A</v>
      </c>
      <c r="CM377" s="141" t="e">
        <f aca="false">+VLOOKUP(DATOS_[[#This Row],[Clave de Contrato]],TblTiposContrato13[],4,0)</f>
        <v>#N/A</v>
      </c>
      <c r="CN377" s="141" t="str">
        <f aca="false">VLOOKUP(DATOS_[[#This Row],[Edad]],CONTRATOS!TblRngEdad,2,1)</f>
        <v>20  o menos</v>
      </c>
      <c r="CO377" s="141" t="str">
        <f aca="false">VLOOKUP(DATOS_[[#This Row],[Antigüedad]],TblRngAntg14[],2,1)</f>
        <v>0 a 1 años</v>
      </c>
    </row>
    <row r="378" customFormat="false" ht="13.8" hidden="false" customHeight="false" outlineLevel="0" collapsed="false">
      <c r="D378" s="128"/>
      <c r="E378" s="129"/>
      <c r="F378" s="129"/>
      <c r="G378" s="129"/>
      <c r="H378" s="130"/>
      <c r="I378" s="131"/>
      <c r="J378" s="128"/>
      <c r="K378" s="132"/>
      <c r="L378" s="132"/>
      <c r="M378" s="133"/>
      <c r="N378" s="133"/>
      <c r="O378" s="133"/>
      <c r="P378" s="129"/>
      <c r="Z378" s="75"/>
      <c r="AA378" s="76"/>
      <c r="AB378" s="76"/>
      <c r="AC378" s="129"/>
      <c r="AD378" s="134"/>
      <c r="AE378" s="134"/>
      <c r="AF378" s="134"/>
      <c r="AG378" s="134"/>
      <c r="AH378" s="134"/>
      <c r="AI378" s="134"/>
      <c r="AJ378" s="134"/>
      <c r="AK378" s="134"/>
      <c r="AL378" s="134"/>
      <c r="AM378" s="134"/>
      <c r="AN378" s="134"/>
      <c r="AO378" s="134"/>
      <c r="AP378" s="134"/>
      <c r="AQ378" s="134"/>
      <c r="AR378" s="134"/>
      <c r="AS378" s="134"/>
      <c r="AT378" s="134"/>
      <c r="AU378" s="134"/>
      <c r="AV378" s="134"/>
      <c r="AW378" s="134"/>
      <c r="AX378" s="134"/>
      <c r="AY378" s="134"/>
      <c r="AZ378" s="134"/>
      <c r="BA378" s="134"/>
      <c r="BB378" s="134"/>
      <c r="BC378" s="134"/>
      <c r="BD378" s="134"/>
      <c r="BE378" s="134"/>
      <c r="BF378" s="134"/>
      <c r="BG378" s="134"/>
      <c r="BH378" s="134"/>
      <c r="BI378" s="134"/>
      <c r="BJ378" s="134"/>
      <c r="BK378" s="134"/>
      <c r="BL378" s="134"/>
      <c r="BM378" s="135"/>
      <c r="BN378" s="136" t="n">
        <f aca="false">+MAX($D$3,DATOS_[[#This Row],[Fecha Inicio Sit. Contract.]])</f>
        <v>0</v>
      </c>
      <c r="BO378" s="136" t="n">
        <f aca="false">+MIN($D$4,DATOS_[[#This Row],[Fecha Fin Sit. Contract.]])</f>
        <v>0</v>
      </c>
      <c r="BP378" s="137" t="n">
        <f aca="false">+DATOS_[[#This Row],[% de jornada]]*IF(DATOS_[[#This Row],[% jornada reducida]]="",1,DATOS_[[#This Row],[% jornada reducida]])</f>
        <v>0</v>
      </c>
      <c r="BQ378" s="137" t="n">
        <f aca="false">+(DATOS_[[#This Row],[F.fin.cal]]-DATOS_[[#This Row],[F.ini.cal]]+1)/($D$4-$D$3+1)</f>
        <v>1</v>
      </c>
      <c r="BR378" s="137" t="str">
        <f aca="false">IF(OR(AND(DATOS_[[#This Row],[Fecha Fin Contrato]]&lt;$D$3,DATOS_[[#This Row],[Fecha Fin Contrato]]&lt;&gt;""),DATOS_[[#This Row],[Fecha de Contratación]]&gt;$D$4),"Fuera","Dentro")</f>
        <v>Dentro</v>
      </c>
      <c r="BS378" s="137" t="str">
        <f aca="false" t="array" ref="BS378:BS378">IF(MAX(IF(DATOS_[id]=DATOS_[[#This Row],[id]],DATOS_[F.fin.cal]))=DATOS_[[#This Row],[F.fin.cal]],"Sí","NO")</f>
        <v>Sí</v>
      </c>
      <c r="BT378" s="137" t="str">
        <f aca="false">IF(AND(DATOS_[[#This Row],[% normaliz]]&lt;&gt;1,DATOS_[[#This Row],[% anualiz]]=1),"Sí","NO")</f>
        <v>Sí</v>
      </c>
      <c r="BU378" s="137" t="str">
        <f aca="false">IF(AND(DATOS_[[#This Row],[% normaliz]]=1,DATOS_[[#This Row],[% anualiz]]&lt;&gt;1),"Sí","NO")</f>
        <v>NO</v>
      </c>
      <c r="BV378" s="137" t="str">
        <f aca="false">IF(AND(DATOS_[[#This Row],[% normaliz]]&lt;&gt;1,DATOS_[[#This Row],[% anualiz]]&lt;&gt;1),"Sí","NO")</f>
        <v>NO</v>
      </c>
      <c r="BW378" s="137" t="str">
        <f aca="false">+IF(DATOS_[[#This Row],[% normaliz]]*DATOS_[[#This Row],[% anualiz]]=1,"NO","Sí")</f>
        <v>Sí</v>
      </c>
      <c r="BX378" s="138" t="e">
        <f aca="false">(DATOS_[[#This Row],[S.BASE]]*(1/DATOS_[[#This Row],[% normaliz]])*(1/DATOS_[[#This Row],[% anualiz]]))*IF(DATOS_[[#This Row],[Check Equiparado]]="Sí",1,0)</f>
        <v>#DIV/0!</v>
      </c>
      <c r="BY3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8" s="138" t="e">
        <f aca="false">+DATOS_[[#This Row],[SALARIO BASE Eq]]+DATOS_[[#This Row],[Tot COMPL.SAL Eq]]</f>
        <v>#DIV/0!</v>
      </c>
      <c r="CA378" s="138" t="e">
        <f aca="false" t="array" ref="CA378:CA3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8" s="138" t="e">
        <f aca="false">+DATOS_[[#This Row],[TOTAL SALARIO Eq]]+DATOS_[[#This Row],[Tot Extrasalarial Eq]]</f>
        <v>#DIV/0!</v>
      </c>
      <c r="CC378" s="139" t="n">
        <f aca="false">DATOS_[[#This Row],[S.BASE]]</f>
        <v>0</v>
      </c>
      <c r="CD378" s="139" t="n">
        <f aca="false">+SUM(DATOS_[[#This Row],[Conc.Sal.01]:[Conc.Sal.30]])</f>
        <v>0</v>
      </c>
      <c r="CE378" s="139" t="n">
        <f aca="false">+DATOS_[[#This Row],[SALARIO BASE Ef]]+DATOS_[[#This Row],[Tot COMPL.SAL Ef]]</f>
        <v>0</v>
      </c>
      <c r="CF378" s="139" t="n">
        <f aca="false">+SUM(DATOS_[[#This Row],[C.Extra.01]:[C.Extra.05]])</f>
        <v>0</v>
      </c>
      <c r="CG378" s="139" t="n">
        <f aca="false">+DATOS_[[#This Row],[TOTAL SALARIO Ef]]+DATOS_[[#This Row],[Tot Extrasalarial Ef]]</f>
        <v>0</v>
      </c>
      <c r="CH378" s="140" t="n">
        <f aca="false">MIN(IF(DATOS_[[#This Row],[Fecha Fin Contrato]]="",$D$4,DATOS_[[#This Row],[Fecha Fin Contrato]]),$D$4)-MAX(DATOS_[[#This Row],[Fecha de Contratación]],$D$3)+1</f>
        <v>1</v>
      </c>
      <c r="CI378" s="141" t="str">
        <f aca="false">IF(COUNTIFS(DATOS_[id],DATOS_[[#This Row],[id]])&gt;1,DATOS_[[#This Row],[id]],"")</f>
        <v/>
      </c>
      <c r="CJ378" s="141" t="n">
        <f aca="false">(Inicio!$G$10-DATOS_[[#This Row],[Fecha Nacimiento]])/365.25</f>
        <v>0</v>
      </c>
      <c r="CK378" s="141" t="n">
        <f aca="false">(Inicio!$G$10-DATOS_[[#This Row],[Fecha de Antigüedad]])/365.25</f>
        <v>0</v>
      </c>
      <c r="CL378" s="141" t="e">
        <f aca="false">+VLOOKUP(DATOS_[[#This Row],[Clave de Contrato]],TblTiposContrato13[],3,0)</f>
        <v>#N/A</v>
      </c>
      <c r="CM378" s="141" t="e">
        <f aca="false">+VLOOKUP(DATOS_[[#This Row],[Clave de Contrato]],TblTiposContrato13[],4,0)</f>
        <v>#N/A</v>
      </c>
      <c r="CN378" s="141" t="str">
        <f aca="false">VLOOKUP(DATOS_[[#This Row],[Edad]],CONTRATOS!TblRngEdad,2,1)</f>
        <v>20  o menos</v>
      </c>
      <c r="CO378" s="141" t="str">
        <f aca="false">VLOOKUP(DATOS_[[#This Row],[Antigüedad]],TblRngAntg14[],2,1)</f>
        <v>0 a 1 años</v>
      </c>
    </row>
    <row r="379" customFormat="false" ht="13.8" hidden="false" customHeight="false" outlineLevel="0" collapsed="false">
      <c r="D379" s="128"/>
      <c r="E379" s="129"/>
      <c r="F379" s="129"/>
      <c r="G379" s="129"/>
      <c r="H379" s="130"/>
      <c r="I379" s="131"/>
      <c r="J379" s="128"/>
      <c r="K379" s="132"/>
      <c r="L379" s="132"/>
      <c r="M379" s="133"/>
      <c r="N379" s="133"/>
      <c r="O379" s="133"/>
      <c r="P379" s="129"/>
      <c r="Z379" s="75"/>
      <c r="AA379" s="76"/>
      <c r="AB379" s="76"/>
      <c r="AC379" s="129"/>
      <c r="AD379" s="134"/>
      <c r="AE379" s="134"/>
      <c r="AF379" s="134"/>
      <c r="AG379" s="134"/>
      <c r="AH379" s="134"/>
      <c r="AI379" s="134"/>
      <c r="AJ379" s="134"/>
      <c r="AK379" s="134"/>
      <c r="AL379" s="134"/>
      <c r="AM379" s="134"/>
      <c r="AN379" s="134"/>
      <c r="AO379" s="134"/>
      <c r="AP379" s="134"/>
      <c r="AQ379" s="134"/>
      <c r="AR379" s="134"/>
      <c r="AS379" s="134"/>
      <c r="AT379" s="134"/>
      <c r="AU379" s="134"/>
      <c r="AV379" s="134"/>
      <c r="AW379" s="134"/>
      <c r="AX379" s="134"/>
      <c r="AY379" s="134"/>
      <c r="AZ379" s="134"/>
      <c r="BA379" s="134"/>
      <c r="BB379" s="134"/>
      <c r="BC379" s="134"/>
      <c r="BD379" s="134"/>
      <c r="BE379" s="134"/>
      <c r="BF379" s="134"/>
      <c r="BG379" s="134"/>
      <c r="BH379" s="134"/>
      <c r="BI379" s="134"/>
      <c r="BJ379" s="134"/>
      <c r="BK379" s="134"/>
      <c r="BL379" s="134"/>
      <c r="BM379" s="135"/>
      <c r="BN379" s="136" t="n">
        <f aca="false">+MAX($D$3,DATOS_[[#This Row],[Fecha Inicio Sit. Contract.]])</f>
        <v>0</v>
      </c>
      <c r="BO379" s="136" t="n">
        <f aca="false">+MIN($D$4,DATOS_[[#This Row],[Fecha Fin Sit. Contract.]])</f>
        <v>0</v>
      </c>
      <c r="BP379" s="137" t="n">
        <f aca="false">+DATOS_[[#This Row],[% de jornada]]*IF(DATOS_[[#This Row],[% jornada reducida]]="",1,DATOS_[[#This Row],[% jornada reducida]])</f>
        <v>0</v>
      </c>
      <c r="BQ379" s="137" t="n">
        <f aca="false">+(DATOS_[[#This Row],[F.fin.cal]]-DATOS_[[#This Row],[F.ini.cal]]+1)/($D$4-$D$3+1)</f>
        <v>1</v>
      </c>
      <c r="BR379" s="137" t="str">
        <f aca="false">IF(OR(AND(DATOS_[[#This Row],[Fecha Fin Contrato]]&lt;$D$3,DATOS_[[#This Row],[Fecha Fin Contrato]]&lt;&gt;""),DATOS_[[#This Row],[Fecha de Contratación]]&gt;$D$4),"Fuera","Dentro")</f>
        <v>Dentro</v>
      </c>
      <c r="BS379" s="137" t="str">
        <f aca="false" t="array" ref="BS379:BS379">IF(MAX(IF(DATOS_[id]=DATOS_[[#This Row],[id]],DATOS_[F.fin.cal]))=DATOS_[[#This Row],[F.fin.cal]],"Sí","NO")</f>
        <v>Sí</v>
      </c>
      <c r="BT379" s="137" t="str">
        <f aca="false">IF(AND(DATOS_[[#This Row],[% normaliz]]&lt;&gt;1,DATOS_[[#This Row],[% anualiz]]=1),"Sí","NO")</f>
        <v>Sí</v>
      </c>
      <c r="BU379" s="137" t="str">
        <f aca="false">IF(AND(DATOS_[[#This Row],[% normaliz]]=1,DATOS_[[#This Row],[% anualiz]]&lt;&gt;1),"Sí","NO")</f>
        <v>NO</v>
      </c>
      <c r="BV379" s="137" t="str">
        <f aca="false">IF(AND(DATOS_[[#This Row],[% normaliz]]&lt;&gt;1,DATOS_[[#This Row],[% anualiz]]&lt;&gt;1),"Sí","NO")</f>
        <v>NO</v>
      </c>
      <c r="BW379" s="137" t="str">
        <f aca="false">+IF(DATOS_[[#This Row],[% normaliz]]*DATOS_[[#This Row],[% anualiz]]=1,"NO","Sí")</f>
        <v>Sí</v>
      </c>
      <c r="BX379" s="138" t="e">
        <f aca="false">(DATOS_[[#This Row],[S.BASE]]*(1/DATOS_[[#This Row],[% normaliz]])*(1/DATOS_[[#This Row],[% anualiz]]))*IF(DATOS_[[#This Row],[Check Equiparado]]="Sí",1,0)</f>
        <v>#DIV/0!</v>
      </c>
      <c r="BY3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9" s="138" t="e">
        <f aca="false">+DATOS_[[#This Row],[SALARIO BASE Eq]]+DATOS_[[#This Row],[Tot COMPL.SAL Eq]]</f>
        <v>#DIV/0!</v>
      </c>
      <c r="CA379" s="138" t="e">
        <f aca="false" t="array" ref="CA379:CA3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9" s="138" t="e">
        <f aca="false">+DATOS_[[#This Row],[TOTAL SALARIO Eq]]+DATOS_[[#This Row],[Tot Extrasalarial Eq]]</f>
        <v>#DIV/0!</v>
      </c>
      <c r="CC379" s="139" t="n">
        <f aca="false">DATOS_[[#This Row],[S.BASE]]</f>
        <v>0</v>
      </c>
      <c r="CD379" s="139" t="n">
        <f aca="false">+SUM(DATOS_[[#This Row],[Conc.Sal.01]:[Conc.Sal.30]])</f>
        <v>0</v>
      </c>
      <c r="CE379" s="139" t="n">
        <f aca="false">+DATOS_[[#This Row],[SALARIO BASE Ef]]+DATOS_[[#This Row],[Tot COMPL.SAL Ef]]</f>
        <v>0</v>
      </c>
      <c r="CF379" s="139" t="n">
        <f aca="false">+SUM(DATOS_[[#This Row],[C.Extra.01]:[C.Extra.05]])</f>
        <v>0</v>
      </c>
      <c r="CG379" s="139" t="n">
        <f aca="false">+DATOS_[[#This Row],[TOTAL SALARIO Ef]]+DATOS_[[#This Row],[Tot Extrasalarial Ef]]</f>
        <v>0</v>
      </c>
      <c r="CH379" s="140" t="n">
        <f aca="false">MIN(IF(DATOS_[[#This Row],[Fecha Fin Contrato]]="",$D$4,DATOS_[[#This Row],[Fecha Fin Contrato]]),$D$4)-MAX(DATOS_[[#This Row],[Fecha de Contratación]],$D$3)+1</f>
        <v>1</v>
      </c>
      <c r="CI379" s="141" t="str">
        <f aca="false">IF(COUNTIFS(DATOS_[id],DATOS_[[#This Row],[id]])&gt;1,DATOS_[[#This Row],[id]],"")</f>
        <v/>
      </c>
      <c r="CJ379" s="141" t="n">
        <f aca="false">(Inicio!$G$10-DATOS_[[#This Row],[Fecha Nacimiento]])/365.25</f>
        <v>0</v>
      </c>
      <c r="CK379" s="141" t="n">
        <f aca="false">(Inicio!$G$10-DATOS_[[#This Row],[Fecha de Antigüedad]])/365.25</f>
        <v>0</v>
      </c>
      <c r="CL379" s="141" t="e">
        <f aca="false">+VLOOKUP(DATOS_[[#This Row],[Clave de Contrato]],TblTiposContrato13[],3,0)</f>
        <v>#N/A</v>
      </c>
      <c r="CM379" s="141" t="e">
        <f aca="false">+VLOOKUP(DATOS_[[#This Row],[Clave de Contrato]],TblTiposContrato13[],4,0)</f>
        <v>#N/A</v>
      </c>
      <c r="CN379" s="141" t="str">
        <f aca="false">VLOOKUP(DATOS_[[#This Row],[Edad]],CONTRATOS!TblRngEdad,2,1)</f>
        <v>20  o menos</v>
      </c>
      <c r="CO379" s="141" t="str">
        <f aca="false">VLOOKUP(DATOS_[[#This Row],[Antigüedad]],TblRngAntg14[],2,1)</f>
        <v>0 a 1 años</v>
      </c>
    </row>
    <row r="380" customFormat="false" ht="13.8" hidden="false" customHeight="false" outlineLevel="0" collapsed="false">
      <c r="D380" s="128"/>
      <c r="E380" s="129"/>
      <c r="F380" s="129"/>
      <c r="G380" s="129"/>
      <c r="H380" s="130"/>
      <c r="I380" s="131"/>
      <c r="J380" s="128"/>
      <c r="K380" s="132"/>
      <c r="L380" s="132"/>
      <c r="M380" s="133"/>
      <c r="N380" s="133"/>
      <c r="O380" s="133"/>
      <c r="P380" s="129"/>
      <c r="Z380" s="75"/>
      <c r="AA380" s="76"/>
      <c r="AB380" s="76"/>
      <c r="AC380" s="129"/>
      <c r="AD380" s="134"/>
      <c r="AE380" s="134"/>
      <c r="AF380" s="134"/>
      <c r="AG380" s="134"/>
      <c r="AH380" s="134"/>
      <c r="AI380" s="134"/>
      <c r="AJ380" s="134"/>
      <c r="AK380" s="134"/>
      <c r="AL380" s="134"/>
      <c r="AM380" s="134"/>
      <c r="AN380" s="134"/>
      <c r="AO380" s="134"/>
      <c r="AP380" s="134"/>
      <c r="AQ380" s="134"/>
      <c r="AR380" s="134"/>
      <c r="AS380" s="134"/>
      <c r="AT380" s="134"/>
      <c r="AU380" s="134"/>
      <c r="AV380" s="134"/>
      <c r="AW380" s="134"/>
      <c r="AX380" s="134"/>
      <c r="AY380" s="134"/>
      <c r="AZ380" s="134"/>
      <c r="BA380" s="134"/>
      <c r="BB380" s="134"/>
      <c r="BC380" s="134"/>
      <c r="BD380" s="134"/>
      <c r="BE380" s="134"/>
      <c r="BF380" s="134"/>
      <c r="BG380" s="134"/>
      <c r="BH380" s="134"/>
      <c r="BI380" s="134"/>
      <c r="BJ380" s="134"/>
      <c r="BK380" s="134"/>
      <c r="BL380" s="134"/>
      <c r="BM380" s="135"/>
      <c r="BN380" s="136" t="n">
        <f aca="false">+MAX($D$3,DATOS_[[#This Row],[Fecha Inicio Sit. Contract.]])</f>
        <v>0</v>
      </c>
      <c r="BO380" s="136" t="n">
        <f aca="false">+MIN($D$4,DATOS_[[#This Row],[Fecha Fin Sit. Contract.]])</f>
        <v>0</v>
      </c>
      <c r="BP380" s="137" t="n">
        <f aca="false">+DATOS_[[#This Row],[% de jornada]]*IF(DATOS_[[#This Row],[% jornada reducida]]="",1,DATOS_[[#This Row],[% jornada reducida]])</f>
        <v>0</v>
      </c>
      <c r="BQ380" s="137" t="n">
        <f aca="false">+(DATOS_[[#This Row],[F.fin.cal]]-DATOS_[[#This Row],[F.ini.cal]]+1)/($D$4-$D$3+1)</f>
        <v>1</v>
      </c>
      <c r="BR380" s="137" t="str">
        <f aca="false">IF(OR(AND(DATOS_[[#This Row],[Fecha Fin Contrato]]&lt;$D$3,DATOS_[[#This Row],[Fecha Fin Contrato]]&lt;&gt;""),DATOS_[[#This Row],[Fecha de Contratación]]&gt;$D$4),"Fuera","Dentro")</f>
        <v>Dentro</v>
      </c>
      <c r="BS380" s="137" t="str">
        <f aca="false" t="array" ref="BS380:BS380">IF(MAX(IF(DATOS_[id]=DATOS_[[#This Row],[id]],DATOS_[F.fin.cal]))=DATOS_[[#This Row],[F.fin.cal]],"Sí","NO")</f>
        <v>Sí</v>
      </c>
      <c r="BT380" s="137" t="str">
        <f aca="false">IF(AND(DATOS_[[#This Row],[% normaliz]]&lt;&gt;1,DATOS_[[#This Row],[% anualiz]]=1),"Sí","NO")</f>
        <v>Sí</v>
      </c>
      <c r="BU380" s="137" t="str">
        <f aca="false">IF(AND(DATOS_[[#This Row],[% normaliz]]=1,DATOS_[[#This Row],[% anualiz]]&lt;&gt;1),"Sí","NO")</f>
        <v>NO</v>
      </c>
      <c r="BV380" s="137" t="str">
        <f aca="false">IF(AND(DATOS_[[#This Row],[% normaliz]]&lt;&gt;1,DATOS_[[#This Row],[% anualiz]]&lt;&gt;1),"Sí","NO")</f>
        <v>NO</v>
      </c>
      <c r="BW380" s="137" t="str">
        <f aca="false">+IF(DATOS_[[#This Row],[% normaliz]]*DATOS_[[#This Row],[% anualiz]]=1,"NO","Sí")</f>
        <v>Sí</v>
      </c>
      <c r="BX380" s="138" t="e">
        <f aca="false">(DATOS_[[#This Row],[S.BASE]]*(1/DATOS_[[#This Row],[% normaliz]])*(1/DATOS_[[#This Row],[% anualiz]]))*IF(DATOS_[[#This Row],[Check Equiparado]]="Sí",1,0)</f>
        <v>#DIV/0!</v>
      </c>
      <c r="BY3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0" s="138" t="e">
        <f aca="false">+DATOS_[[#This Row],[SALARIO BASE Eq]]+DATOS_[[#This Row],[Tot COMPL.SAL Eq]]</f>
        <v>#DIV/0!</v>
      </c>
      <c r="CA380" s="138" t="e">
        <f aca="false" t="array" ref="CA380:CA3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0" s="138" t="e">
        <f aca="false">+DATOS_[[#This Row],[TOTAL SALARIO Eq]]+DATOS_[[#This Row],[Tot Extrasalarial Eq]]</f>
        <v>#DIV/0!</v>
      </c>
      <c r="CC380" s="139" t="n">
        <f aca="false">DATOS_[[#This Row],[S.BASE]]</f>
        <v>0</v>
      </c>
      <c r="CD380" s="139" t="n">
        <f aca="false">+SUM(DATOS_[[#This Row],[Conc.Sal.01]:[Conc.Sal.30]])</f>
        <v>0</v>
      </c>
      <c r="CE380" s="139" t="n">
        <f aca="false">+DATOS_[[#This Row],[SALARIO BASE Ef]]+DATOS_[[#This Row],[Tot COMPL.SAL Ef]]</f>
        <v>0</v>
      </c>
      <c r="CF380" s="139" t="n">
        <f aca="false">+SUM(DATOS_[[#This Row],[C.Extra.01]:[C.Extra.05]])</f>
        <v>0</v>
      </c>
      <c r="CG380" s="139" t="n">
        <f aca="false">+DATOS_[[#This Row],[TOTAL SALARIO Ef]]+DATOS_[[#This Row],[Tot Extrasalarial Ef]]</f>
        <v>0</v>
      </c>
      <c r="CH380" s="140" t="n">
        <f aca="false">MIN(IF(DATOS_[[#This Row],[Fecha Fin Contrato]]="",$D$4,DATOS_[[#This Row],[Fecha Fin Contrato]]),$D$4)-MAX(DATOS_[[#This Row],[Fecha de Contratación]],$D$3)+1</f>
        <v>1</v>
      </c>
      <c r="CI380" s="141" t="str">
        <f aca="false">IF(COUNTIFS(DATOS_[id],DATOS_[[#This Row],[id]])&gt;1,DATOS_[[#This Row],[id]],"")</f>
        <v/>
      </c>
      <c r="CJ380" s="141" t="n">
        <f aca="false">(Inicio!$G$10-DATOS_[[#This Row],[Fecha Nacimiento]])/365.25</f>
        <v>0</v>
      </c>
      <c r="CK380" s="141" t="n">
        <f aca="false">(Inicio!$G$10-DATOS_[[#This Row],[Fecha de Antigüedad]])/365.25</f>
        <v>0</v>
      </c>
      <c r="CL380" s="141" t="e">
        <f aca="false">+VLOOKUP(DATOS_[[#This Row],[Clave de Contrato]],TblTiposContrato13[],3,0)</f>
        <v>#N/A</v>
      </c>
      <c r="CM380" s="141" t="e">
        <f aca="false">+VLOOKUP(DATOS_[[#This Row],[Clave de Contrato]],TblTiposContrato13[],4,0)</f>
        <v>#N/A</v>
      </c>
      <c r="CN380" s="141" t="str">
        <f aca="false">VLOOKUP(DATOS_[[#This Row],[Edad]],CONTRATOS!TblRngEdad,2,1)</f>
        <v>20  o menos</v>
      </c>
      <c r="CO380" s="141" t="str">
        <f aca="false">VLOOKUP(DATOS_[[#This Row],[Antigüedad]],TblRngAntg14[],2,1)</f>
        <v>0 a 1 años</v>
      </c>
    </row>
    <row r="381" customFormat="false" ht="13.8" hidden="false" customHeight="false" outlineLevel="0" collapsed="false">
      <c r="D381" s="128"/>
      <c r="E381" s="129"/>
      <c r="F381" s="129"/>
      <c r="G381" s="129"/>
      <c r="H381" s="130"/>
      <c r="I381" s="131"/>
      <c r="J381" s="128"/>
      <c r="K381" s="132"/>
      <c r="L381" s="132"/>
      <c r="M381" s="133"/>
      <c r="N381" s="133"/>
      <c r="O381" s="133"/>
      <c r="P381" s="129"/>
      <c r="Z381" s="75"/>
      <c r="AA381" s="76"/>
      <c r="AB381" s="76"/>
      <c r="AC381" s="129"/>
      <c r="AD381" s="134"/>
      <c r="AE381" s="134"/>
      <c r="AF381" s="134"/>
      <c r="AG381" s="134"/>
      <c r="AH381" s="134"/>
      <c r="AI381" s="134"/>
      <c r="AJ381" s="134"/>
      <c r="AK381" s="134"/>
      <c r="AL381" s="134"/>
      <c r="AM381" s="134"/>
      <c r="AN381" s="134"/>
      <c r="AO381" s="134"/>
      <c r="AP381" s="134"/>
      <c r="AQ381" s="134"/>
      <c r="AR381" s="134"/>
      <c r="AS381" s="134"/>
      <c r="AT381" s="134"/>
      <c r="AU381" s="134"/>
      <c r="AV381" s="134"/>
      <c r="AW381" s="134"/>
      <c r="AX381" s="134"/>
      <c r="AY381" s="134"/>
      <c r="AZ381" s="134"/>
      <c r="BA381" s="134"/>
      <c r="BB381" s="134"/>
      <c r="BC381" s="134"/>
      <c r="BD381" s="134"/>
      <c r="BE381" s="134"/>
      <c r="BF381" s="134"/>
      <c r="BG381" s="134"/>
      <c r="BH381" s="134"/>
      <c r="BI381" s="134"/>
      <c r="BJ381" s="134"/>
      <c r="BK381" s="134"/>
      <c r="BL381" s="134"/>
      <c r="BM381" s="135"/>
      <c r="BN381" s="136" t="n">
        <f aca="false">+MAX($D$3,DATOS_[[#This Row],[Fecha Inicio Sit. Contract.]])</f>
        <v>0</v>
      </c>
      <c r="BO381" s="136" t="n">
        <f aca="false">+MIN($D$4,DATOS_[[#This Row],[Fecha Fin Sit. Contract.]])</f>
        <v>0</v>
      </c>
      <c r="BP381" s="137" t="n">
        <f aca="false">+DATOS_[[#This Row],[% de jornada]]*IF(DATOS_[[#This Row],[% jornada reducida]]="",1,DATOS_[[#This Row],[% jornada reducida]])</f>
        <v>0</v>
      </c>
      <c r="BQ381" s="137" t="n">
        <f aca="false">+(DATOS_[[#This Row],[F.fin.cal]]-DATOS_[[#This Row],[F.ini.cal]]+1)/($D$4-$D$3+1)</f>
        <v>1</v>
      </c>
      <c r="BR381" s="137" t="str">
        <f aca="false">IF(OR(AND(DATOS_[[#This Row],[Fecha Fin Contrato]]&lt;$D$3,DATOS_[[#This Row],[Fecha Fin Contrato]]&lt;&gt;""),DATOS_[[#This Row],[Fecha de Contratación]]&gt;$D$4),"Fuera","Dentro")</f>
        <v>Dentro</v>
      </c>
      <c r="BS381" s="137" t="str">
        <f aca="false" t="array" ref="BS381:BS381">IF(MAX(IF(DATOS_[id]=DATOS_[[#This Row],[id]],DATOS_[F.fin.cal]))=DATOS_[[#This Row],[F.fin.cal]],"Sí","NO")</f>
        <v>Sí</v>
      </c>
      <c r="BT381" s="137" t="str">
        <f aca="false">IF(AND(DATOS_[[#This Row],[% normaliz]]&lt;&gt;1,DATOS_[[#This Row],[% anualiz]]=1),"Sí","NO")</f>
        <v>Sí</v>
      </c>
      <c r="BU381" s="137" t="str">
        <f aca="false">IF(AND(DATOS_[[#This Row],[% normaliz]]=1,DATOS_[[#This Row],[% anualiz]]&lt;&gt;1),"Sí","NO")</f>
        <v>NO</v>
      </c>
      <c r="BV381" s="137" t="str">
        <f aca="false">IF(AND(DATOS_[[#This Row],[% normaliz]]&lt;&gt;1,DATOS_[[#This Row],[% anualiz]]&lt;&gt;1),"Sí","NO")</f>
        <v>NO</v>
      </c>
      <c r="BW381" s="137" t="str">
        <f aca="false">+IF(DATOS_[[#This Row],[% normaliz]]*DATOS_[[#This Row],[% anualiz]]=1,"NO","Sí")</f>
        <v>Sí</v>
      </c>
      <c r="BX381" s="138" t="e">
        <f aca="false">(DATOS_[[#This Row],[S.BASE]]*(1/DATOS_[[#This Row],[% normaliz]])*(1/DATOS_[[#This Row],[% anualiz]]))*IF(DATOS_[[#This Row],[Check Equiparado]]="Sí",1,0)</f>
        <v>#DIV/0!</v>
      </c>
      <c r="BY3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1" s="138" t="e">
        <f aca="false">+DATOS_[[#This Row],[SALARIO BASE Eq]]+DATOS_[[#This Row],[Tot COMPL.SAL Eq]]</f>
        <v>#DIV/0!</v>
      </c>
      <c r="CA381" s="138" t="e">
        <f aca="false" t="array" ref="CA381:CA3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1" s="138" t="e">
        <f aca="false">+DATOS_[[#This Row],[TOTAL SALARIO Eq]]+DATOS_[[#This Row],[Tot Extrasalarial Eq]]</f>
        <v>#DIV/0!</v>
      </c>
      <c r="CC381" s="139" t="n">
        <f aca="false">DATOS_[[#This Row],[S.BASE]]</f>
        <v>0</v>
      </c>
      <c r="CD381" s="139" t="n">
        <f aca="false">+SUM(DATOS_[[#This Row],[Conc.Sal.01]:[Conc.Sal.30]])</f>
        <v>0</v>
      </c>
      <c r="CE381" s="139" t="n">
        <f aca="false">+DATOS_[[#This Row],[SALARIO BASE Ef]]+DATOS_[[#This Row],[Tot COMPL.SAL Ef]]</f>
        <v>0</v>
      </c>
      <c r="CF381" s="139" t="n">
        <f aca="false">+SUM(DATOS_[[#This Row],[C.Extra.01]:[C.Extra.05]])</f>
        <v>0</v>
      </c>
      <c r="CG381" s="139" t="n">
        <f aca="false">+DATOS_[[#This Row],[TOTAL SALARIO Ef]]+DATOS_[[#This Row],[Tot Extrasalarial Ef]]</f>
        <v>0</v>
      </c>
      <c r="CH381" s="140" t="n">
        <f aca="false">MIN(IF(DATOS_[[#This Row],[Fecha Fin Contrato]]="",$D$4,DATOS_[[#This Row],[Fecha Fin Contrato]]),$D$4)-MAX(DATOS_[[#This Row],[Fecha de Contratación]],$D$3)+1</f>
        <v>1</v>
      </c>
      <c r="CI381" s="141" t="str">
        <f aca="false">IF(COUNTIFS(DATOS_[id],DATOS_[[#This Row],[id]])&gt;1,DATOS_[[#This Row],[id]],"")</f>
        <v/>
      </c>
      <c r="CJ381" s="141" t="n">
        <f aca="false">(Inicio!$G$10-DATOS_[[#This Row],[Fecha Nacimiento]])/365.25</f>
        <v>0</v>
      </c>
      <c r="CK381" s="141" t="n">
        <f aca="false">(Inicio!$G$10-DATOS_[[#This Row],[Fecha de Antigüedad]])/365.25</f>
        <v>0</v>
      </c>
      <c r="CL381" s="141" t="e">
        <f aca="false">+VLOOKUP(DATOS_[[#This Row],[Clave de Contrato]],TblTiposContrato13[],3,0)</f>
        <v>#N/A</v>
      </c>
      <c r="CM381" s="141" t="e">
        <f aca="false">+VLOOKUP(DATOS_[[#This Row],[Clave de Contrato]],TblTiposContrato13[],4,0)</f>
        <v>#N/A</v>
      </c>
      <c r="CN381" s="141" t="str">
        <f aca="false">VLOOKUP(DATOS_[[#This Row],[Edad]],CONTRATOS!TblRngEdad,2,1)</f>
        <v>20  o menos</v>
      </c>
      <c r="CO381" s="141" t="str">
        <f aca="false">VLOOKUP(DATOS_[[#This Row],[Antigüedad]],TblRngAntg14[],2,1)</f>
        <v>0 a 1 años</v>
      </c>
    </row>
    <row r="382" customFormat="false" ht="13.8" hidden="false" customHeight="false" outlineLevel="0" collapsed="false">
      <c r="D382" s="128"/>
      <c r="E382" s="129"/>
      <c r="F382" s="129"/>
      <c r="G382" s="129"/>
      <c r="H382" s="130"/>
      <c r="I382" s="131"/>
      <c r="J382" s="128"/>
      <c r="K382" s="132"/>
      <c r="L382" s="132"/>
      <c r="M382" s="133"/>
      <c r="N382" s="133"/>
      <c r="O382" s="133"/>
      <c r="P382" s="129"/>
      <c r="Z382" s="75"/>
      <c r="AA382" s="76"/>
      <c r="AB382" s="76"/>
      <c r="AC382" s="129"/>
      <c r="AD382" s="134"/>
      <c r="AE382" s="134"/>
      <c r="AF382" s="134"/>
      <c r="AG382" s="134"/>
      <c r="AH382" s="134"/>
      <c r="AI382" s="134"/>
      <c r="AJ382" s="134"/>
      <c r="AK382" s="134"/>
      <c r="AL382" s="134"/>
      <c r="AM382" s="134"/>
      <c r="AN382" s="134"/>
      <c r="AO382" s="134"/>
      <c r="AP382" s="134"/>
      <c r="AQ382" s="134"/>
      <c r="AR382" s="134"/>
      <c r="AS382" s="134"/>
      <c r="AT382" s="134"/>
      <c r="AU382" s="134"/>
      <c r="AV382" s="134"/>
      <c r="AW382" s="134"/>
      <c r="AX382" s="134"/>
      <c r="AY382" s="134"/>
      <c r="AZ382" s="134"/>
      <c r="BA382" s="134"/>
      <c r="BB382" s="134"/>
      <c r="BC382" s="134"/>
      <c r="BD382" s="134"/>
      <c r="BE382" s="134"/>
      <c r="BF382" s="134"/>
      <c r="BG382" s="134"/>
      <c r="BH382" s="134"/>
      <c r="BI382" s="134"/>
      <c r="BJ382" s="134"/>
      <c r="BK382" s="134"/>
      <c r="BL382" s="134"/>
      <c r="BM382" s="135"/>
      <c r="BN382" s="136" t="n">
        <f aca="false">+MAX($D$3,DATOS_[[#This Row],[Fecha Inicio Sit. Contract.]])</f>
        <v>0</v>
      </c>
      <c r="BO382" s="136" t="n">
        <f aca="false">+MIN($D$4,DATOS_[[#This Row],[Fecha Fin Sit. Contract.]])</f>
        <v>0</v>
      </c>
      <c r="BP382" s="137" t="n">
        <f aca="false">+DATOS_[[#This Row],[% de jornada]]*IF(DATOS_[[#This Row],[% jornada reducida]]="",1,DATOS_[[#This Row],[% jornada reducida]])</f>
        <v>0</v>
      </c>
      <c r="BQ382" s="137" t="n">
        <f aca="false">+(DATOS_[[#This Row],[F.fin.cal]]-DATOS_[[#This Row],[F.ini.cal]]+1)/($D$4-$D$3+1)</f>
        <v>1</v>
      </c>
      <c r="BR382" s="137" t="str">
        <f aca="false">IF(OR(AND(DATOS_[[#This Row],[Fecha Fin Contrato]]&lt;$D$3,DATOS_[[#This Row],[Fecha Fin Contrato]]&lt;&gt;""),DATOS_[[#This Row],[Fecha de Contratación]]&gt;$D$4),"Fuera","Dentro")</f>
        <v>Dentro</v>
      </c>
      <c r="BS382" s="137" t="str">
        <f aca="false" t="array" ref="BS382:BS382">IF(MAX(IF(DATOS_[id]=DATOS_[[#This Row],[id]],DATOS_[F.fin.cal]))=DATOS_[[#This Row],[F.fin.cal]],"Sí","NO")</f>
        <v>Sí</v>
      </c>
      <c r="BT382" s="137" t="str">
        <f aca="false">IF(AND(DATOS_[[#This Row],[% normaliz]]&lt;&gt;1,DATOS_[[#This Row],[% anualiz]]=1),"Sí","NO")</f>
        <v>Sí</v>
      </c>
      <c r="BU382" s="137" t="str">
        <f aca="false">IF(AND(DATOS_[[#This Row],[% normaliz]]=1,DATOS_[[#This Row],[% anualiz]]&lt;&gt;1),"Sí","NO")</f>
        <v>NO</v>
      </c>
      <c r="BV382" s="137" t="str">
        <f aca="false">IF(AND(DATOS_[[#This Row],[% normaliz]]&lt;&gt;1,DATOS_[[#This Row],[% anualiz]]&lt;&gt;1),"Sí","NO")</f>
        <v>NO</v>
      </c>
      <c r="BW382" s="137" t="str">
        <f aca="false">+IF(DATOS_[[#This Row],[% normaliz]]*DATOS_[[#This Row],[% anualiz]]=1,"NO","Sí")</f>
        <v>Sí</v>
      </c>
      <c r="BX382" s="138" t="e">
        <f aca="false">(DATOS_[[#This Row],[S.BASE]]*(1/DATOS_[[#This Row],[% normaliz]])*(1/DATOS_[[#This Row],[% anualiz]]))*IF(DATOS_[[#This Row],[Check Equiparado]]="Sí",1,0)</f>
        <v>#DIV/0!</v>
      </c>
      <c r="BY3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2" s="138" t="e">
        <f aca="false">+DATOS_[[#This Row],[SALARIO BASE Eq]]+DATOS_[[#This Row],[Tot COMPL.SAL Eq]]</f>
        <v>#DIV/0!</v>
      </c>
      <c r="CA382" s="138" t="e">
        <f aca="false" t="array" ref="CA382:CA3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2" s="138" t="e">
        <f aca="false">+DATOS_[[#This Row],[TOTAL SALARIO Eq]]+DATOS_[[#This Row],[Tot Extrasalarial Eq]]</f>
        <v>#DIV/0!</v>
      </c>
      <c r="CC382" s="139" t="n">
        <f aca="false">DATOS_[[#This Row],[S.BASE]]</f>
        <v>0</v>
      </c>
      <c r="CD382" s="139" t="n">
        <f aca="false">+SUM(DATOS_[[#This Row],[Conc.Sal.01]:[Conc.Sal.30]])</f>
        <v>0</v>
      </c>
      <c r="CE382" s="139" t="n">
        <f aca="false">+DATOS_[[#This Row],[SALARIO BASE Ef]]+DATOS_[[#This Row],[Tot COMPL.SAL Ef]]</f>
        <v>0</v>
      </c>
      <c r="CF382" s="139" t="n">
        <f aca="false">+SUM(DATOS_[[#This Row],[C.Extra.01]:[C.Extra.05]])</f>
        <v>0</v>
      </c>
      <c r="CG382" s="139" t="n">
        <f aca="false">+DATOS_[[#This Row],[TOTAL SALARIO Ef]]+DATOS_[[#This Row],[Tot Extrasalarial Ef]]</f>
        <v>0</v>
      </c>
      <c r="CH382" s="140" t="n">
        <f aca="false">MIN(IF(DATOS_[[#This Row],[Fecha Fin Contrato]]="",$D$4,DATOS_[[#This Row],[Fecha Fin Contrato]]),$D$4)-MAX(DATOS_[[#This Row],[Fecha de Contratación]],$D$3)+1</f>
        <v>1</v>
      </c>
      <c r="CI382" s="141" t="str">
        <f aca="false">IF(COUNTIFS(DATOS_[id],DATOS_[[#This Row],[id]])&gt;1,DATOS_[[#This Row],[id]],"")</f>
        <v/>
      </c>
      <c r="CJ382" s="141" t="n">
        <f aca="false">(Inicio!$G$10-DATOS_[[#This Row],[Fecha Nacimiento]])/365.25</f>
        <v>0</v>
      </c>
      <c r="CK382" s="141" t="n">
        <f aca="false">(Inicio!$G$10-DATOS_[[#This Row],[Fecha de Antigüedad]])/365.25</f>
        <v>0</v>
      </c>
      <c r="CL382" s="141" t="e">
        <f aca="false">+VLOOKUP(DATOS_[[#This Row],[Clave de Contrato]],TblTiposContrato13[],3,0)</f>
        <v>#N/A</v>
      </c>
      <c r="CM382" s="141" t="e">
        <f aca="false">+VLOOKUP(DATOS_[[#This Row],[Clave de Contrato]],TblTiposContrato13[],4,0)</f>
        <v>#N/A</v>
      </c>
      <c r="CN382" s="141" t="str">
        <f aca="false">VLOOKUP(DATOS_[[#This Row],[Edad]],CONTRATOS!TblRngEdad,2,1)</f>
        <v>20  o menos</v>
      </c>
      <c r="CO382" s="141" t="str">
        <f aca="false">VLOOKUP(DATOS_[[#This Row],[Antigüedad]],TblRngAntg14[],2,1)</f>
        <v>0 a 1 años</v>
      </c>
    </row>
    <row r="383" customFormat="false" ht="13.8" hidden="false" customHeight="false" outlineLevel="0" collapsed="false">
      <c r="D383" s="128"/>
      <c r="E383" s="129"/>
      <c r="F383" s="129"/>
      <c r="G383" s="129"/>
      <c r="H383" s="130"/>
      <c r="I383" s="131"/>
      <c r="J383" s="128"/>
      <c r="K383" s="132"/>
      <c r="L383" s="132"/>
      <c r="M383" s="133"/>
      <c r="N383" s="133"/>
      <c r="O383" s="133"/>
      <c r="P383" s="129"/>
      <c r="Z383" s="75"/>
      <c r="AA383" s="76"/>
      <c r="AB383" s="76"/>
      <c r="AC383" s="129"/>
      <c r="AD383" s="134"/>
      <c r="AE383" s="134"/>
      <c r="AF383" s="134"/>
      <c r="AG383" s="134"/>
      <c r="AH383" s="134"/>
      <c r="AI383" s="134"/>
      <c r="AJ383" s="134"/>
      <c r="AK383" s="134"/>
      <c r="AL383" s="134"/>
      <c r="AM383" s="134"/>
      <c r="AN383" s="134"/>
      <c r="AO383" s="134"/>
      <c r="AP383" s="134"/>
      <c r="AQ383" s="134"/>
      <c r="AR383" s="134"/>
      <c r="AS383" s="134"/>
      <c r="AT383" s="134"/>
      <c r="AU383" s="134"/>
      <c r="AV383" s="134"/>
      <c r="AW383" s="134"/>
      <c r="AX383" s="134"/>
      <c r="AY383" s="134"/>
      <c r="AZ383" s="134"/>
      <c r="BA383" s="134"/>
      <c r="BB383" s="134"/>
      <c r="BC383" s="134"/>
      <c r="BD383" s="134"/>
      <c r="BE383" s="134"/>
      <c r="BF383" s="134"/>
      <c r="BG383" s="134"/>
      <c r="BH383" s="134"/>
      <c r="BI383" s="134"/>
      <c r="BJ383" s="134"/>
      <c r="BK383" s="134"/>
      <c r="BL383" s="134"/>
      <c r="BM383" s="135"/>
      <c r="BN383" s="136" t="n">
        <f aca="false">+MAX($D$3,DATOS_[[#This Row],[Fecha Inicio Sit. Contract.]])</f>
        <v>0</v>
      </c>
      <c r="BO383" s="136" t="n">
        <f aca="false">+MIN($D$4,DATOS_[[#This Row],[Fecha Fin Sit. Contract.]])</f>
        <v>0</v>
      </c>
      <c r="BP383" s="137" t="n">
        <f aca="false">+DATOS_[[#This Row],[% de jornada]]*IF(DATOS_[[#This Row],[% jornada reducida]]="",1,DATOS_[[#This Row],[% jornada reducida]])</f>
        <v>0</v>
      </c>
      <c r="BQ383" s="137" t="n">
        <f aca="false">+(DATOS_[[#This Row],[F.fin.cal]]-DATOS_[[#This Row],[F.ini.cal]]+1)/($D$4-$D$3+1)</f>
        <v>1</v>
      </c>
      <c r="BR383" s="137" t="str">
        <f aca="false">IF(OR(AND(DATOS_[[#This Row],[Fecha Fin Contrato]]&lt;$D$3,DATOS_[[#This Row],[Fecha Fin Contrato]]&lt;&gt;""),DATOS_[[#This Row],[Fecha de Contratación]]&gt;$D$4),"Fuera","Dentro")</f>
        <v>Dentro</v>
      </c>
      <c r="BS383" s="137" t="str">
        <f aca="false" t="array" ref="BS383:BS383">IF(MAX(IF(DATOS_[id]=DATOS_[[#This Row],[id]],DATOS_[F.fin.cal]))=DATOS_[[#This Row],[F.fin.cal]],"Sí","NO")</f>
        <v>Sí</v>
      </c>
      <c r="BT383" s="137" t="str">
        <f aca="false">IF(AND(DATOS_[[#This Row],[% normaliz]]&lt;&gt;1,DATOS_[[#This Row],[% anualiz]]=1),"Sí","NO")</f>
        <v>Sí</v>
      </c>
      <c r="BU383" s="137" t="str">
        <f aca="false">IF(AND(DATOS_[[#This Row],[% normaliz]]=1,DATOS_[[#This Row],[% anualiz]]&lt;&gt;1),"Sí","NO")</f>
        <v>NO</v>
      </c>
      <c r="BV383" s="137" t="str">
        <f aca="false">IF(AND(DATOS_[[#This Row],[% normaliz]]&lt;&gt;1,DATOS_[[#This Row],[% anualiz]]&lt;&gt;1),"Sí","NO")</f>
        <v>NO</v>
      </c>
      <c r="BW383" s="137" t="str">
        <f aca="false">+IF(DATOS_[[#This Row],[% normaliz]]*DATOS_[[#This Row],[% anualiz]]=1,"NO","Sí")</f>
        <v>Sí</v>
      </c>
      <c r="BX383" s="138" t="e">
        <f aca="false">(DATOS_[[#This Row],[S.BASE]]*(1/DATOS_[[#This Row],[% normaliz]])*(1/DATOS_[[#This Row],[% anualiz]]))*IF(DATOS_[[#This Row],[Check Equiparado]]="Sí",1,0)</f>
        <v>#DIV/0!</v>
      </c>
      <c r="BY3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3" s="138" t="e">
        <f aca="false">+DATOS_[[#This Row],[SALARIO BASE Eq]]+DATOS_[[#This Row],[Tot COMPL.SAL Eq]]</f>
        <v>#DIV/0!</v>
      </c>
      <c r="CA383" s="138" t="e">
        <f aca="false" t="array" ref="CA383:CA3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3" s="138" t="e">
        <f aca="false">+DATOS_[[#This Row],[TOTAL SALARIO Eq]]+DATOS_[[#This Row],[Tot Extrasalarial Eq]]</f>
        <v>#DIV/0!</v>
      </c>
      <c r="CC383" s="139" t="n">
        <f aca="false">DATOS_[[#This Row],[S.BASE]]</f>
        <v>0</v>
      </c>
      <c r="CD383" s="139" t="n">
        <f aca="false">+SUM(DATOS_[[#This Row],[Conc.Sal.01]:[Conc.Sal.30]])</f>
        <v>0</v>
      </c>
      <c r="CE383" s="139" t="n">
        <f aca="false">+DATOS_[[#This Row],[SALARIO BASE Ef]]+DATOS_[[#This Row],[Tot COMPL.SAL Ef]]</f>
        <v>0</v>
      </c>
      <c r="CF383" s="139" t="n">
        <f aca="false">+SUM(DATOS_[[#This Row],[C.Extra.01]:[C.Extra.05]])</f>
        <v>0</v>
      </c>
      <c r="CG383" s="139" t="n">
        <f aca="false">+DATOS_[[#This Row],[TOTAL SALARIO Ef]]+DATOS_[[#This Row],[Tot Extrasalarial Ef]]</f>
        <v>0</v>
      </c>
      <c r="CH383" s="140" t="n">
        <f aca="false">MIN(IF(DATOS_[[#This Row],[Fecha Fin Contrato]]="",$D$4,DATOS_[[#This Row],[Fecha Fin Contrato]]),$D$4)-MAX(DATOS_[[#This Row],[Fecha de Contratación]],$D$3)+1</f>
        <v>1</v>
      </c>
      <c r="CI383" s="141" t="str">
        <f aca="false">IF(COUNTIFS(DATOS_[id],DATOS_[[#This Row],[id]])&gt;1,DATOS_[[#This Row],[id]],"")</f>
        <v/>
      </c>
      <c r="CJ383" s="141" t="n">
        <f aca="false">(Inicio!$G$10-DATOS_[[#This Row],[Fecha Nacimiento]])/365.25</f>
        <v>0</v>
      </c>
      <c r="CK383" s="141" t="n">
        <f aca="false">(Inicio!$G$10-DATOS_[[#This Row],[Fecha de Antigüedad]])/365.25</f>
        <v>0</v>
      </c>
      <c r="CL383" s="141" t="e">
        <f aca="false">+VLOOKUP(DATOS_[[#This Row],[Clave de Contrato]],TblTiposContrato13[],3,0)</f>
        <v>#N/A</v>
      </c>
      <c r="CM383" s="141" t="e">
        <f aca="false">+VLOOKUP(DATOS_[[#This Row],[Clave de Contrato]],TblTiposContrato13[],4,0)</f>
        <v>#N/A</v>
      </c>
      <c r="CN383" s="141" t="str">
        <f aca="false">VLOOKUP(DATOS_[[#This Row],[Edad]],CONTRATOS!TblRngEdad,2,1)</f>
        <v>20  o menos</v>
      </c>
      <c r="CO383" s="141" t="str">
        <f aca="false">VLOOKUP(DATOS_[[#This Row],[Antigüedad]],TblRngAntg14[],2,1)</f>
        <v>0 a 1 años</v>
      </c>
    </row>
    <row r="384" customFormat="false" ht="13.8" hidden="false" customHeight="false" outlineLevel="0" collapsed="false">
      <c r="D384" s="128"/>
      <c r="E384" s="129"/>
      <c r="F384" s="129"/>
      <c r="G384" s="129"/>
      <c r="H384" s="130"/>
      <c r="I384" s="131"/>
      <c r="J384" s="128"/>
      <c r="K384" s="132"/>
      <c r="L384" s="132"/>
      <c r="M384" s="133"/>
      <c r="N384" s="133"/>
      <c r="O384" s="133"/>
      <c r="P384" s="129"/>
      <c r="Z384" s="75"/>
      <c r="AA384" s="76"/>
      <c r="AB384" s="76"/>
      <c r="AC384" s="129"/>
      <c r="AD384" s="134"/>
      <c r="AE384" s="134"/>
      <c r="AF384" s="134"/>
      <c r="AG384" s="134"/>
      <c r="AH384" s="134"/>
      <c r="AI384" s="134"/>
      <c r="AJ384" s="134"/>
      <c r="AK384" s="134"/>
      <c r="AL384" s="134"/>
      <c r="AM384" s="134"/>
      <c r="AN384" s="134"/>
      <c r="AO384" s="134"/>
      <c r="AP384" s="134"/>
      <c r="AQ384" s="134"/>
      <c r="AR384" s="134"/>
      <c r="AS384" s="134"/>
      <c r="AT384" s="134"/>
      <c r="AU384" s="134"/>
      <c r="AV384" s="134"/>
      <c r="AW384" s="134"/>
      <c r="AX384" s="134"/>
      <c r="AY384" s="134"/>
      <c r="AZ384" s="134"/>
      <c r="BA384" s="134"/>
      <c r="BB384" s="134"/>
      <c r="BC384" s="134"/>
      <c r="BD384" s="134"/>
      <c r="BE384" s="134"/>
      <c r="BF384" s="134"/>
      <c r="BG384" s="134"/>
      <c r="BH384" s="134"/>
      <c r="BI384" s="134"/>
      <c r="BJ384" s="134"/>
      <c r="BK384" s="134"/>
      <c r="BL384" s="134"/>
      <c r="BM384" s="135"/>
      <c r="BN384" s="136" t="n">
        <f aca="false">+MAX($D$3,DATOS_[[#This Row],[Fecha Inicio Sit. Contract.]])</f>
        <v>0</v>
      </c>
      <c r="BO384" s="136" t="n">
        <f aca="false">+MIN($D$4,DATOS_[[#This Row],[Fecha Fin Sit. Contract.]])</f>
        <v>0</v>
      </c>
      <c r="BP384" s="137" t="n">
        <f aca="false">+DATOS_[[#This Row],[% de jornada]]*IF(DATOS_[[#This Row],[% jornada reducida]]="",1,DATOS_[[#This Row],[% jornada reducida]])</f>
        <v>0</v>
      </c>
      <c r="BQ384" s="137" t="n">
        <f aca="false">+(DATOS_[[#This Row],[F.fin.cal]]-DATOS_[[#This Row],[F.ini.cal]]+1)/($D$4-$D$3+1)</f>
        <v>1</v>
      </c>
      <c r="BR384" s="137" t="str">
        <f aca="false">IF(OR(AND(DATOS_[[#This Row],[Fecha Fin Contrato]]&lt;$D$3,DATOS_[[#This Row],[Fecha Fin Contrato]]&lt;&gt;""),DATOS_[[#This Row],[Fecha de Contratación]]&gt;$D$4),"Fuera","Dentro")</f>
        <v>Dentro</v>
      </c>
      <c r="BS384" s="137" t="str">
        <f aca="false" t="array" ref="BS384:BS384">IF(MAX(IF(DATOS_[id]=DATOS_[[#This Row],[id]],DATOS_[F.fin.cal]))=DATOS_[[#This Row],[F.fin.cal]],"Sí","NO")</f>
        <v>Sí</v>
      </c>
      <c r="BT384" s="137" t="str">
        <f aca="false">IF(AND(DATOS_[[#This Row],[% normaliz]]&lt;&gt;1,DATOS_[[#This Row],[% anualiz]]=1),"Sí","NO")</f>
        <v>Sí</v>
      </c>
      <c r="BU384" s="137" t="str">
        <f aca="false">IF(AND(DATOS_[[#This Row],[% normaliz]]=1,DATOS_[[#This Row],[% anualiz]]&lt;&gt;1),"Sí","NO")</f>
        <v>NO</v>
      </c>
      <c r="BV384" s="137" t="str">
        <f aca="false">IF(AND(DATOS_[[#This Row],[% normaliz]]&lt;&gt;1,DATOS_[[#This Row],[% anualiz]]&lt;&gt;1),"Sí","NO")</f>
        <v>NO</v>
      </c>
      <c r="BW384" s="137" t="str">
        <f aca="false">+IF(DATOS_[[#This Row],[% normaliz]]*DATOS_[[#This Row],[% anualiz]]=1,"NO","Sí")</f>
        <v>Sí</v>
      </c>
      <c r="BX384" s="138" t="e">
        <f aca="false">(DATOS_[[#This Row],[S.BASE]]*(1/DATOS_[[#This Row],[% normaliz]])*(1/DATOS_[[#This Row],[% anualiz]]))*IF(DATOS_[[#This Row],[Check Equiparado]]="Sí",1,0)</f>
        <v>#DIV/0!</v>
      </c>
      <c r="BY3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4" s="138" t="e">
        <f aca="false">+DATOS_[[#This Row],[SALARIO BASE Eq]]+DATOS_[[#This Row],[Tot COMPL.SAL Eq]]</f>
        <v>#DIV/0!</v>
      </c>
      <c r="CA384" s="138" t="e">
        <f aca="false" t="array" ref="CA384:CA3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4" s="138" t="e">
        <f aca="false">+DATOS_[[#This Row],[TOTAL SALARIO Eq]]+DATOS_[[#This Row],[Tot Extrasalarial Eq]]</f>
        <v>#DIV/0!</v>
      </c>
      <c r="CC384" s="139" t="n">
        <f aca="false">DATOS_[[#This Row],[S.BASE]]</f>
        <v>0</v>
      </c>
      <c r="CD384" s="139" t="n">
        <f aca="false">+SUM(DATOS_[[#This Row],[Conc.Sal.01]:[Conc.Sal.30]])</f>
        <v>0</v>
      </c>
      <c r="CE384" s="139" t="n">
        <f aca="false">+DATOS_[[#This Row],[SALARIO BASE Ef]]+DATOS_[[#This Row],[Tot COMPL.SAL Ef]]</f>
        <v>0</v>
      </c>
      <c r="CF384" s="139" t="n">
        <f aca="false">+SUM(DATOS_[[#This Row],[C.Extra.01]:[C.Extra.05]])</f>
        <v>0</v>
      </c>
      <c r="CG384" s="139" t="n">
        <f aca="false">+DATOS_[[#This Row],[TOTAL SALARIO Ef]]+DATOS_[[#This Row],[Tot Extrasalarial Ef]]</f>
        <v>0</v>
      </c>
      <c r="CH384" s="140" t="n">
        <f aca="false">MIN(IF(DATOS_[[#This Row],[Fecha Fin Contrato]]="",$D$4,DATOS_[[#This Row],[Fecha Fin Contrato]]),$D$4)-MAX(DATOS_[[#This Row],[Fecha de Contratación]],$D$3)+1</f>
        <v>1</v>
      </c>
      <c r="CI384" s="141" t="str">
        <f aca="false">IF(COUNTIFS(DATOS_[id],DATOS_[[#This Row],[id]])&gt;1,DATOS_[[#This Row],[id]],"")</f>
        <v/>
      </c>
      <c r="CJ384" s="141" t="n">
        <f aca="false">(Inicio!$G$10-DATOS_[[#This Row],[Fecha Nacimiento]])/365.25</f>
        <v>0</v>
      </c>
      <c r="CK384" s="141" t="n">
        <f aca="false">(Inicio!$G$10-DATOS_[[#This Row],[Fecha de Antigüedad]])/365.25</f>
        <v>0</v>
      </c>
      <c r="CL384" s="141" t="e">
        <f aca="false">+VLOOKUP(DATOS_[[#This Row],[Clave de Contrato]],TblTiposContrato13[],3,0)</f>
        <v>#N/A</v>
      </c>
      <c r="CM384" s="141" t="e">
        <f aca="false">+VLOOKUP(DATOS_[[#This Row],[Clave de Contrato]],TblTiposContrato13[],4,0)</f>
        <v>#N/A</v>
      </c>
      <c r="CN384" s="141" t="str">
        <f aca="false">VLOOKUP(DATOS_[[#This Row],[Edad]],CONTRATOS!TblRngEdad,2,1)</f>
        <v>20  o menos</v>
      </c>
      <c r="CO384" s="141" t="str">
        <f aca="false">VLOOKUP(DATOS_[[#This Row],[Antigüedad]],TblRngAntg14[],2,1)</f>
        <v>0 a 1 años</v>
      </c>
    </row>
    <row r="385" customFormat="false" ht="13.8" hidden="false" customHeight="false" outlineLevel="0" collapsed="false">
      <c r="D385" s="128"/>
      <c r="E385" s="129"/>
      <c r="F385" s="129"/>
      <c r="G385" s="129"/>
      <c r="H385" s="130"/>
      <c r="I385" s="131"/>
      <c r="J385" s="128"/>
      <c r="K385" s="132"/>
      <c r="L385" s="132"/>
      <c r="M385" s="133"/>
      <c r="N385" s="133"/>
      <c r="O385" s="133"/>
      <c r="P385" s="129"/>
      <c r="Z385" s="75"/>
      <c r="AA385" s="76"/>
      <c r="AB385" s="76"/>
      <c r="AC385" s="129"/>
      <c r="AD385" s="134"/>
      <c r="AE385" s="134"/>
      <c r="AF385" s="134"/>
      <c r="AG385" s="134"/>
      <c r="AH385" s="134"/>
      <c r="AI385" s="134"/>
      <c r="AJ385" s="134"/>
      <c r="AK385" s="134"/>
      <c r="AL385" s="134"/>
      <c r="AM385" s="134"/>
      <c r="AN385" s="134"/>
      <c r="AO385" s="134"/>
      <c r="AP385" s="134"/>
      <c r="AQ385" s="134"/>
      <c r="AR385" s="134"/>
      <c r="AS385" s="134"/>
      <c r="AT385" s="134"/>
      <c r="AU385" s="134"/>
      <c r="AV385" s="134"/>
      <c r="AW385" s="134"/>
      <c r="AX385" s="134"/>
      <c r="AY385" s="134"/>
      <c r="AZ385" s="134"/>
      <c r="BA385" s="134"/>
      <c r="BB385" s="134"/>
      <c r="BC385" s="134"/>
      <c r="BD385" s="134"/>
      <c r="BE385" s="134"/>
      <c r="BF385" s="134"/>
      <c r="BG385" s="134"/>
      <c r="BH385" s="134"/>
      <c r="BI385" s="134"/>
      <c r="BJ385" s="134"/>
      <c r="BK385" s="134"/>
      <c r="BL385" s="134"/>
      <c r="BM385" s="135"/>
      <c r="BN385" s="136" t="n">
        <f aca="false">+MAX($D$3,DATOS_[[#This Row],[Fecha Inicio Sit. Contract.]])</f>
        <v>0</v>
      </c>
      <c r="BO385" s="136" t="n">
        <f aca="false">+MIN($D$4,DATOS_[[#This Row],[Fecha Fin Sit. Contract.]])</f>
        <v>0</v>
      </c>
      <c r="BP385" s="137" t="n">
        <f aca="false">+DATOS_[[#This Row],[% de jornada]]*IF(DATOS_[[#This Row],[% jornada reducida]]="",1,DATOS_[[#This Row],[% jornada reducida]])</f>
        <v>0</v>
      </c>
      <c r="BQ385" s="137" t="n">
        <f aca="false">+(DATOS_[[#This Row],[F.fin.cal]]-DATOS_[[#This Row],[F.ini.cal]]+1)/($D$4-$D$3+1)</f>
        <v>1</v>
      </c>
      <c r="BR385" s="137" t="str">
        <f aca="false">IF(OR(AND(DATOS_[[#This Row],[Fecha Fin Contrato]]&lt;$D$3,DATOS_[[#This Row],[Fecha Fin Contrato]]&lt;&gt;""),DATOS_[[#This Row],[Fecha de Contratación]]&gt;$D$4),"Fuera","Dentro")</f>
        <v>Dentro</v>
      </c>
      <c r="BS385" s="137" t="str">
        <f aca="false" t="array" ref="BS385:BS385">IF(MAX(IF(DATOS_[id]=DATOS_[[#This Row],[id]],DATOS_[F.fin.cal]))=DATOS_[[#This Row],[F.fin.cal]],"Sí","NO")</f>
        <v>Sí</v>
      </c>
      <c r="BT385" s="137" t="str">
        <f aca="false">IF(AND(DATOS_[[#This Row],[% normaliz]]&lt;&gt;1,DATOS_[[#This Row],[% anualiz]]=1),"Sí","NO")</f>
        <v>Sí</v>
      </c>
      <c r="BU385" s="137" t="str">
        <f aca="false">IF(AND(DATOS_[[#This Row],[% normaliz]]=1,DATOS_[[#This Row],[% anualiz]]&lt;&gt;1),"Sí","NO")</f>
        <v>NO</v>
      </c>
      <c r="BV385" s="137" t="str">
        <f aca="false">IF(AND(DATOS_[[#This Row],[% normaliz]]&lt;&gt;1,DATOS_[[#This Row],[% anualiz]]&lt;&gt;1),"Sí","NO")</f>
        <v>NO</v>
      </c>
      <c r="BW385" s="137" t="str">
        <f aca="false">+IF(DATOS_[[#This Row],[% normaliz]]*DATOS_[[#This Row],[% anualiz]]=1,"NO","Sí")</f>
        <v>Sí</v>
      </c>
      <c r="BX385" s="138" t="e">
        <f aca="false">(DATOS_[[#This Row],[S.BASE]]*(1/DATOS_[[#This Row],[% normaliz]])*(1/DATOS_[[#This Row],[% anualiz]]))*IF(DATOS_[[#This Row],[Check Equiparado]]="Sí",1,0)</f>
        <v>#DIV/0!</v>
      </c>
      <c r="BY3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5" s="138" t="e">
        <f aca="false">+DATOS_[[#This Row],[SALARIO BASE Eq]]+DATOS_[[#This Row],[Tot COMPL.SAL Eq]]</f>
        <v>#DIV/0!</v>
      </c>
      <c r="CA385" s="138" t="e">
        <f aca="false" t="array" ref="CA385:CA3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5" s="138" t="e">
        <f aca="false">+DATOS_[[#This Row],[TOTAL SALARIO Eq]]+DATOS_[[#This Row],[Tot Extrasalarial Eq]]</f>
        <v>#DIV/0!</v>
      </c>
      <c r="CC385" s="139" t="n">
        <f aca="false">DATOS_[[#This Row],[S.BASE]]</f>
        <v>0</v>
      </c>
      <c r="CD385" s="139" t="n">
        <f aca="false">+SUM(DATOS_[[#This Row],[Conc.Sal.01]:[Conc.Sal.30]])</f>
        <v>0</v>
      </c>
      <c r="CE385" s="139" t="n">
        <f aca="false">+DATOS_[[#This Row],[SALARIO BASE Ef]]+DATOS_[[#This Row],[Tot COMPL.SAL Ef]]</f>
        <v>0</v>
      </c>
      <c r="CF385" s="139" t="n">
        <f aca="false">+SUM(DATOS_[[#This Row],[C.Extra.01]:[C.Extra.05]])</f>
        <v>0</v>
      </c>
      <c r="CG385" s="139" t="n">
        <f aca="false">+DATOS_[[#This Row],[TOTAL SALARIO Ef]]+DATOS_[[#This Row],[Tot Extrasalarial Ef]]</f>
        <v>0</v>
      </c>
      <c r="CH385" s="140" t="n">
        <f aca="false">MIN(IF(DATOS_[[#This Row],[Fecha Fin Contrato]]="",$D$4,DATOS_[[#This Row],[Fecha Fin Contrato]]),$D$4)-MAX(DATOS_[[#This Row],[Fecha de Contratación]],$D$3)+1</f>
        <v>1</v>
      </c>
      <c r="CI385" s="141" t="str">
        <f aca="false">IF(COUNTIFS(DATOS_[id],DATOS_[[#This Row],[id]])&gt;1,DATOS_[[#This Row],[id]],"")</f>
        <v/>
      </c>
      <c r="CJ385" s="141" t="n">
        <f aca="false">(Inicio!$G$10-DATOS_[[#This Row],[Fecha Nacimiento]])/365.25</f>
        <v>0</v>
      </c>
      <c r="CK385" s="141" t="n">
        <f aca="false">(Inicio!$G$10-DATOS_[[#This Row],[Fecha de Antigüedad]])/365.25</f>
        <v>0</v>
      </c>
      <c r="CL385" s="141" t="e">
        <f aca="false">+VLOOKUP(DATOS_[[#This Row],[Clave de Contrato]],TblTiposContrato13[],3,0)</f>
        <v>#N/A</v>
      </c>
      <c r="CM385" s="141" t="e">
        <f aca="false">+VLOOKUP(DATOS_[[#This Row],[Clave de Contrato]],TblTiposContrato13[],4,0)</f>
        <v>#N/A</v>
      </c>
      <c r="CN385" s="141" t="str">
        <f aca="false">VLOOKUP(DATOS_[[#This Row],[Edad]],CONTRATOS!TblRngEdad,2,1)</f>
        <v>20  o menos</v>
      </c>
      <c r="CO385" s="141" t="str">
        <f aca="false">VLOOKUP(DATOS_[[#This Row],[Antigüedad]],TblRngAntg14[],2,1)</f>
        <v>0 a 1 años</v>
      </c>
    </row>
    <row r="386" customFormat="false" ht="13.8" hidden="false" customHeight="false" outlineLevel="0" collapsed="false">
      <c r="D386" s="128"/>
      <c r="E386" s="129"/>
      <c r="F386" s="129"/>
      <c r="G386" s="129"/>
      <c r="H386" s="130"/>
      <c r="I386" s="131"/>
      <c r="J386" s="128"/>
      <c r="K386" s="132"/>
      <c r="L386" s="132"/>
      <c r="M386" s="133"/>
      <c r="N386" s="133"/>
      <c r="O386" s="133"/>
      <c r="P386" s="129"/>
      <c r="Z386" s="75"/>
      <c r="AA386" s="76"/>
      <c r="AB386" s="76"/>
      <c r="AC386" s="129"/>
      <c r="AD386" s="134"/>
      <c r="AE386" s="134"/>
      <c r="AF386" s="134"/>
      <c r="AG386" s="134"/>
      <c r="AH386" s="134"/>
      <c r="AI386" s="134"/>
      <c r="AJ386" s="134"/>
      <c r="AK386" s="134"/>
      <c r="AL386" s="134"/>
      <c r="AM386" s="134"/>
      <c r="AN386" s="134"/>
      <c r="AO386" s="134"/>
      <c r="AP386" s="134"/>
      <c r="AQ386" s="134"/>
      <c r="AR386" s="134"/>
      <c r="AS386" s="134"/>
      <c r="AT386" s="134"/>
      <c r="AU386" s="134"/>
      <c r="AV386" s="134"/>
      <c r="AW386" s="134"/>
      <c r="AX386" s="134"/>
      <c r="AY386" s="134"/>
      <c r="AZ386" s="134"/>
      <c r="BA386" s="134"/>
      <c r="BB386" s="134"/>
      <c r="BC386" s="134"/>
      <c r="BD386" s="134"/>
      <c r="BE386" s="134"/>
      <c r="BF386" s="134"/>
      <c r="BG386" s="134"/>
      <c r="BH386" s="134"/>
      <c r="BI386" s="134"/>
      <c r="BJ386" s="134"/>
      <c r="BK386" s="134"/>
      <c r="BL386" s="134"/>
      <c r="BM386" s="135"/>
      <c r="BN386" s="136" t="n">
        <f aca="false">+MAX($D$3,DATOS_[[#This Row],[Fecha Inicio Sit. Contract.]])</f>
        <v>0</v>
      </c>
      <c r="BO386" s="136" t="n">
        <f aca="false">+MIN($D$4,DATOS_[[#This Row],[Fecha Fin Sit. Contract.]])</f>
        <v>0</v>
      </c>
      <c r="BP386" s="137" t="n">
        <f aca="false">+DATOS_[[#This Row],[% de jornada]]*IF(DATOS_[[#This Row],[% jornada reducida]]="",1,DATOS_[[#This Row],[% jornada reducida]])</f>
        <v>0</v>
      </c>
      <c r="BQ386" s="137" t="n">
        <f aca="false">+(DATOS_[[#This Row],[F.fin.cal]]-DATOS_[[#This Row],[F.ini.cal]]+1)/($D$4-$D$3+1)</f>
        <v>1</v>
      </c>
      <c r="BR386" s="137" t="str">
        <f aca="false">IF(OR(AND(DATOS_[[#This Row],[Fecha Fin Contrato]]&lt;$D$3,DATOS_[[#This Row],[Fecha Fin Contrato]]&lt;&gt;""),DATOS_[[#This Row],[Fecha de Contratación]]&gt;$D$4),"Fuera","Dentro")</f>
        <v>Dentro</v>
      </c>
      <c r="BS386" s="137" t="str">
        <f aca="false" t="array" ref="BS386:BS386">IF(MAX(IF(DATOS_[id]=DATOS_[[#This Row],[id]],DATOS_[F.fin.cal]))=DATOS_[[#This Row],[F.fin.cal]],"Sí","NO")</f>
        <v>Sí</v>
      </c>
      <c r="BT386" s="137" t="str">
        <f aca="false">IF(AND(DATOS_[[#This Row],[% normaliz]]&lt;&gt;1,DATOS_[[#This Row],[% anualiz]]=1),"Sí","NO")</f>
        <v>Sí</v>
      </c>
      <c r="BU386" s="137" t="str">
        <f aca="false">IF(AND(DATOS_[[#This Row],[% normaliz]]=1,DATOS_[[#This Row],[% anualiz]]&lt;&gt;1),"Sí","NO")</f>
        <v>NO</v>
      </c>
      <c r="BV386" s="137" t="str">
        <f aca="false">IF(AND(DATOS_[[#This Row],[% normaliz]]&lt;&gt;1,DATOS_[[#This Row],[% anualiz]]&lt;&gt;1),"Sí","NO")</f>
        <v>NO</v>
      </c>
      <c r="BW386" s="137" t="str">
        <f aca="false">+IF(DATOS_[[#This Row],[% normaliz]]*DATOS_[[#This Row],[% anualiz]]=1,"NO","Sí")</f>
        <v>Sí</v>
      </c>
      <c r="BX386" s="138" t="e">
        <f aca="false">(DATOS_[[#This Row],[S.BASE]]*(1/DATOS_[[#This Row],[% normaliz]])*(1/DATOS_[[#This Row],[% anualiz]]))*IF(DATOS_[[#This Row],[Check Equiparado]]="Sí",1,0)</f>
        <v>#DIV/0!</v>
      </c>
      <c r="BY3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6" s="138" t="e">
        <f aca="false">+DATOS_[[#This Row],[SALARIO BASE Eq]]+DATOS_[[#This Row],[Tot COMPL.SAL Eq]]</f>
        <v>#DIV/0!</v>
      </c>
      <c r="CA386" s="138" t="e">
        <f aca="false" t="array" ref="CA386:CA3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6" s="138" t="e">
        <f aca="false">+DATOS_[[#This Row],[TOTAL SALARIO Eq]]+DATOS_[[#This Row],[Tot Extrasalarial Eq]]</f>
        <v>#DIV/0!</v>
      </c>
      <c r="CC386" s="139" t="n">
        <f aca="false">DATOS_[[#This Row],[S.BASE]]</f>
        <v>0</v>
      </c>
      <c r="CD386" s="139" t="n">
        <f aca="false">+SUM(DATOS_[[#This Row],[Conc.Sal.01]:[Conc.Sal.30]])</f>
        <v>0</v>
      </c>
      <c r="CE386" s="139" t="n">
        <f aca="false">+DATOS_[[#This Row],[SALARIO BASE Ef]]+DATOS_[[#This Row],[Tot COMPL.SAL Ef]]</f>
        <v>0</v>
      </c>
      <c r="CF386" s="139" t="n">
        <f aca="false">+SUM(DATOS_[[#This Row],[C.Extra.01]:[C.Extra.05]])</f>
        <v>0</v>
      </c>
      <c r="CG386" s="139" t="n">
        <f aca="false">+DATOS_[[#This Row],[TOTAL SALARIO Ef]]+DATOS_[[#This Row],[Tot Extrasalarial Ef]]</f>
        <v>0</v>
      </c>
      <c r="CH386" s="140" t="n">
        <f aca="false">MIN(IF(DATOS_[[#This Row],[Fecha Fin Contrato]]="",$D$4,DATOS_[[#This Row],[Fecha Fin Contrato]]),$D$4)-MAX(DATOS_[[#This Row],[Fecha de Contratación]],$D$3)+1</f>
        <v>1</v>
      </c>
      <c r="CI386" s="141" t="str">
        <f aca="false">IF(COUNTIFS(DATOS_[id],DATOS_[[#This Row],[id]])&gt;1,DATOS_[[#This Row],[id]],"")</f>
        <v/>
      </c>
      <c r="CJ386" s="141" t="n">
        <f aca="false">(Inicio!$G$10-DATOS_[[#This Row],[Fecha Nacimiento]])/365.25</f>
        <v>0</v>
      </c>
      <c r="CK386" s="141" t="n">
        <f aca="false">(Inicio!$G$10-DATOS_[[#This Row],[Fecha de Antigüedad]])/365.25</f>
        <v>0</v>
      </c>
      <c r="CL386" s="141" t="e">
        <f aca="false">+VLOOKUP(DATOS_[[#This Row],[Clave de Contrato]],TblTiposContrato13[],3,0)</f>
        <v>#N/A</v>
      </c>
      <c r="CM386" s="141" t="e">
        <f aca="false">+VLOOKUP(DATOS_[[#This Row],[Clave de Contrato]],TblTiposContrato13[],4,0)</f>
        <v>#N/A</v>
      </c>
      <c r="CN386" s="141" t="str">
        <f aca="false">VLOOKUP(DATOS_[[#This Row],[Edad]],CONTRATOS!TblRngEdad,2,1)</f>
        <v>20  o menos</v>
      </c>
      <c r="CO386" s="141" t="str">
        <f aca="false">VLOOKUP(DATOS_[[#This Row],[Antigüedad]],TblRngAntg14[],2,1)</f>
        <v>0 a 1 años</v>
      </c>
    </row>
    <row r="387" customFormat="false" ht="13.8" hidden="false" customHeight="false" outlineLevel="0" collapsed="false">
      <c r="D387" s="128"/>
      <c r="E387" s="129"/>
      <c r="F387" s="129"/>
      <c r="G387" s="129"/>
      <c r="H387" s="130"/>
      <c r="I387" s="131"/>
      <c r="J387" s="128"/>
      <c r="K387" s="132"/>
      <c r="L387" s="132"/>
      <c r="M387" s="133"/>
      <c r="N387" s="133"/>
      <c r="O387" s="133"/>
      <c r="P387" s="129"/>
      <c r="Z387" s="75"/>
      <c r="AA387" s="76"/>
      <c r="AB387" s="76"/>
      <c r="AC387" s="129"/>
      <c r="AD387" s="134"/>
      <c r="AE387" s="134"/>
      <c r="AF387" s="134"/>
      <c r="AG387" s="134"/>
      <c r="AH387" s="134"/>
      <c r="AI387" s="134"/>
      <c r="AJ387" s="134"/>
      <c r="AK387" s="134"/>
      <c r="AL387" s="134"/>
      <c r="AM387" s="134"/>
      <c r="AN387" s="134"/>
      <c r="AO387" s="134"/>
      <c r="AP387" s="134"/>
      <c r="AQ387" s="134"/>
      <c r="AR387" s="134"/>
      <c r="AS387" s="134"/>
      <c r="AT387" s="134"/>
      <c r="AU387" s="134"/>
      <c r="AV387" s="134"/>
      <c r="AW387" s="134"/>
      <c r="AX387" s="134"/>
      <c r="AY387" s="134"/>
      <c r="AZ387" s="134"/>
      <c r="BA387" s="134"/>
      <c r="BB387" s="134"/>
      <c r="BC387" s="134"/>
      <c r="BD387" s="134"/>
      <c r="BE387" s="134"/>
      <c r="BF387" s="134"/>
      <c r="BG387" s="134"/>
      <c r="BH387" s="134"/>
      <c r="BI387" s="134"/>
      <c r="BJ387" s="134"/>
      <c r="BK387" s="134"/>
      <c r="BL387" s="134"/>
      <c r="BM387" s="135"/>
      <c r="BN387" s="136" t="n">
        <f aca="false">+MAX($D$3,DATOS_[[#This Row],[Fecha Inicio Sit. Contract.]])</f>
        <v>0</v>
      </c>
      <c r="BO387" s="136" t="n">
        <f aca="false">+MIN($D$4,DATOS_[[#This Row],[Fecha Fin Sit. Contract.]])</f>
        <v>0</v>
      </c>
      <c r="BP387" s="137" t="n">
        <f aca="false">+DATOS_[[#This Row],[% de jornada]]*IF(DATOS_[[#This Row],[% jornada reducida]]="",1,DATOS_[[#This Row],[% jornada reducida]])</f>
        <v>0</v>
      </c>
      <c r="BQ387" s="137" t="n">
        <f aca="false">+(DATOS_[[#This Row],[F.fin.cal]]-DATOS_[[#This Row],[F.ini.cal]]+1)/($D$4-$D$3+1)</f>
        <v>1</v>
      </c>
      <c r="BR387" s="137" t="str">
        <f aca="false">IF(OR(AND(DATOS_[[#This Row],[Fecha Fin Contrato]]&lt;$D$3,DATOS_[[#This Row],[Fecha Fin Contrato]]&lt;&gt;""),DATOS_[[#This Row],[Fecha de Contratación]]&gt;$D$4),"Fuera","Dentro")</f>
        <v>Dentro</v>
      </c>
      <c r="BS387" s="137" t="str">
        <f aca="false" t="array" ref="BS387:BS387">IF(MAX(IF(DATOS_[id]=DATOS_[[#This Row],[id]],DATOS_[F.fin.cal]))=DATOS_[[#This Row],[F.fin.cal]],"Sí","NO")</f>
        <v>Sí</v>
      </c>
      <c r="BT387" s="137" t="str">
        <f aca="false">IF(AND(DATOS_[[#This Row],[% normaliz]]&lt;&gt;1,DATOS_[[#This Row],[% anualiz]]=1),"Sí","NO")</f>
        <v>Sí</v>
      </c>
      <c r="BU387" s="137" t="str">
        <f aca="false">IF(AND(DATOS_[[#This Row],[% normaliz]]=1,DATOS_[[#This Row],[% anualiz]]&lt;&gt;1),"Sí","NO")</f>
        <v>NO</v>
      </c>
      <c r="BV387" s="137" t="str">
        <f aca="false">IF(AND(DATOS_[[#This Row],[% normaliz]]&lt;&gt;1,DATOS_[[#This Row],[% anualiz]]&lt;&gt;1),"Sí","NO")</f>
        <v>NO</v>
      </c>
      <c r="BW387" s="137" t="str">
        <f aca="false">+IF(DATOS_[[#This Row],[% normaliz]]*DATOS_[[#This Row],[% anualiz]]=1,"NO","Sí")</f>
        <v>Sí</v>
      </c>
      <c r="BX387" s="138" t="e">
        <f aca="false">(DATOS_[[#This Row],[S.BASE]]*(1/DATOS_[[#This Row],[% normaliz]])*(1/DATOS_[[#This Row],[% anualiz]]))*IF(DATOS_[[#This Row],[Check Equiparado]]="Sí",1,0)</f>
        <v>#DIV/0!</v>
      </c>
      <c r="BY3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7" s="138" t="e">
        <f aca="false">+DATOS_[[#This Row],[SALARIO BASE Eq]]+DATOS_[[#This Row],[Tot COMPL.SAL Eq]]</f>
        <v>#DIV/0!</v>
      </c>
      <c r="CA387" s="138" t="e">
        <f aca="false" t="array" ref="CA387:CA3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7" s="138" t="e">
        <f aca="false">+DATOS_[[#This Row],[TOTAL SALARIO Eq]]+DATOS_[[#This Row],[Tot Extrasalarial Eq]]</f>
        <v>#DIV/0!</v>
      </c>
      <c r="CC387" s="139" t="n">
        <f aca="false">DATOS_[[#This Row],[S.BASE]]</f>
        <v>0</v>
      </c>
      <c r="CD387" s="139" t="n">
        <f aca="false">+SUM(DATOS_[[#This Row],[Conc.Sal.01]:[Conc.Sal.30]])</f>
        <v>0</v>
      </c>
      <c r="CE387" s="139" t="n">
        <f aca="false">+DATOS_[[#This Row],[SALARIO BASE Ef]]+DATOS_[[#This Row],[Tot COMPL.SAL Ef]]</f>
        <v>0</v>
      </c>
      <c r="CF387" s="139" t="n">
        <f aca="false">+SUM(DATOS_[[#This Row],[C.Extra.01]:[C.Extra.05]])</f>
        <v>0</v>
      </c>
      <c r="CG387" s="139" t="n">
        <f aca="false">+DATOS_[[#This Row],[TOTAL SALARIO Ef]]+DATOS_[[#This Row],[Tot Extrasalarial Ef]]</f>
        <v>0</v>
      </c>
      <c r="CH387" s="140" t="n">
        <f aca="false">MIN(IF(DATOS_[[#This Row],[Fecha Fin Contrato]]="",$D$4,DATOS_[[#This Row],[Fecha Fin Contrato]]),$D$4)-MAX(DATOS_[[#This Row],[Fecha de Contratación]],$D$3)+1</f>
        <v>1</v>
      </c>
      <c r="CI387" s="141" t="str">
        <f aca="false">IF(COUNTIFS(DATOS_[id],DATOS_[[#This Row],[id]])&gt;1,DATOS_[[#This Row],[id]],"")</f>
        <v/>
      </c>
      <c r="CJ387" s="141" t="n">
        <f aca="false">(Inicio!$G$10-DATOS_[[#This Row],[Fecha Nacimiento]])/365.25</f>
        <v>0</v>
      </c>
      <c r="CK387" s="141" t="n">
        <f aca="false">(Inicio!$G$10-DATOS_[[#This Row],[Fecha de Antigüedad]])/365.25</f>
        <v>0</v>
      </c>
      <c r="CL387" s="141" t="e">
        <f aca="false">+VLOOKUP(DATOS_[[#This Row],[Clave de Contrato]],TblTiposContrato13[],3,0)</f>
        <v>#N/A</v>
      </c>
      <c r="CM387" s="141" t="e">
        <f aca="false">+VLOOKUP(DATOS_[[#This Row],[Clave de Contrato]],TblTiposContrato13[],4,0)</f>
        <v>#N/A</v>
      </c>
      <c r="CN387" s="141" t="str">
        <f aca="false">VLOOKUP(DATOS_[[#This Row],[Edad]],CONTRATOS!TblRngEdad,2,1)</f>
        <v>20  o menos</v>
      </c>
      <c r="CO387" s="141" t="str">
        <f aca="false">VLOOKUP(DATOS_[[#This Row],[Antigüedad]],TblRngAntg14[],2,1)</f>
        <v>0 a 1 años</v>
      </c>
    </row>
    <row r="388" customFormat="false" ht="13.8" hidden="false" customHeight="false" outlineLevel="0" collapsed="false">
      <c r="D388" s="128"/>
      <c r="E388" s="129"/>
      <c r="F388" s="129"/>
      <c r="G388" s="129"/>
      <c r="H388" s="130"/>
      <c r="I388" s="131"/>
      <c r="J388" s="128"/>
      <c r="K388" s="132"/>
      <c r="L388" s="132"/>
      <c r="M388" s="133"/>
      <c r="N388" s="133"/>
      <c r="O388" s="133"/>
      <c r="P388" s="129"/>
      <c r="Z388" s="75"/>
      <c r="AA388" s="76"/>
      <c r="AB388" s="76"/>
      <c r="AC388" s="129"/>
      <c r="AD388" s="134"/>
      <c r="AE388" s="134"/>
      <c r="AF388" s="134"/>
      <c r="AG388" s="134"/>
      <c r="AH388" s="134"/>
      <c r="AI388" s="134"/>
      <c r="AJ388" s="134"/>
      <c r="AK388" s="134"/>
      <c r="AL388" s="134"/>
      <c r="AM388" s="134"/>
      <c r="AN388" s="134"/>
      <c r="AO388" s="134"/>
      <c r="AP388" s="134"/>
      <c r="AQ388" s="134"/>
      <c r="AR388" s="134"/>
      <c r="AS388" s="134"/>
      <c r="AT388" s="134"/>
      <c r="AU388" s="134"/>
      <c r="AV388" s="134"/>
      <c r="AW388" s="134"/>
      <c r="AX388" s="134"/>
      <c r="AY388" s="134"/>
      <c r="AZ388" s="134"/>
      <c r="BA388" s="134"/>
      <c r="BB388" s="134"/>
      <c r="BC388" s="134"/>
      <c r="BD388" s="134"/>
      <c r="BE388" s="134"/>
      <c r="BF388" s="134"/>
      <c r="BG388" s="134"/>
      <c r="BH388" s="134"/>
      <c r="BI388" s="134"/>
      <c r="BJ388" s="134"/>
      <c r="BK388" s="134"/>
      <c r="BL388" s="134"/>
      <c r="BM388" s="135"/>
      <c r="BN388" s="136" t="n">
        <f aca="false">+MAX($D$3,DATOS_[[#This Row],[Fecha Inicio Sit. Contract.]])</f>
        <v>0</v>
      </c>
      <c r="BO388" s="136" t="n">
        <f aca="false">+MIN($D$4,DATOS_[[#This Row],[Fecha Fin Sit. Contract.]])</f>
        <v>0</v>
      </c>
      <c r="BP388" s="137" t="n">
        <f aca="false">+DATOS_[[#This Row],[% de jornada]]*IF(DATOS_[[#This Row],[% jornada reducida]]="",1,DATOS_[[#This Row],[% jornada reducida]])</f>
        <v>0</v>
      </c>
      <c r="BQ388" s="137" t="n">
        <f aca="false">+(DATOS_[[#This Row],[F.fin.cal]]-DATOS_[[#This Row],[F.ini.cal]]+1)/($D$4-$D$3+1)</f>
        <v>1</v>
      </c>
      <c r="BR388" s="137" t="str">
        <f aca="false">IF(OR(AND(DATOS_[[#This Row],[Fecha Fin Contrato]]&lt;$D$3,DATOS_[[#This Row],[Fecha Fin Contrato]]&lt;&gt;""),DATOS_[[#This Row],[Fecha de Contratación]]&gt;$D$4),"Fuera","Dentro")</f>
        <v>Dentro</v>
      </c>
      <c r="BS388" s="137" t="str">
        <f aca="false" t="array" ref="BS388:BS388">IF(MAX(IF(DATOS_[id]=DATOS_[[#This Row],[id]],DATOS_[F.fin.cal]))=DATOS_[[#This Row],[F.fin.cal]],"Sí","NO")</f>
        <v>Sí</v>
      </c>
      <c r="BT388" s="137" t="str">
        <f aca="false">IF(AND(DATOS_[[#This Row],[% normaliz]]&lt;&gt;1,DATOS_[[#This Row],[% anualiz]]=1),"Sí","NO")</f>
        <v>Sí</v>
      </c>
      <c r="BU388" s="137" t="str">
        <f aca="false">IF(AND(DATOS_[[#This Row],[% normaliz]]=1,DATOS_[[#This Row],[% anualiz]]&lt;&gt;1),"Sí","NO")</f>
        <v>NO</v>
      </c>
      <c r="BV388" s="137" t="str">
        <f aca="false">IF(AND(DATOS_[[#This Row],[% normaliz]]&lt;&gt;1,DATOS_[[#This Row],[% anualiz]]&lt;&gt;1),"Sí","NO")</f>
        <v>NO</v>
      </c>
      <c r="BW388" s="137" t="str">
        <f aca="false">+IF(DATOS_[[#This Row],[% normaliz]]*DATOS_[[#This Row],[% anualiz]]=1,"NO","Sí")</f>
        <v>Sí</v>
      </c>
      <c r="BX388" s="138" t="e">
        <f aca="false">(DATOS_[[#This Row],[S.BASE]]*(1/DATOS_[[#This Row],[% normaliz]])*(1/DATOS_[[#This Row],[% anualiz]]))*IF(DATOS_[[#This Row],[Check Equiparado]]="Sí",1,0)</f>
        <v>#DIV/0!</v>
      </c>
      <c r="BY3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8" s="138" t="e">
        <f aca="false">+DATOS_[[#This Row],[SALARIO BASE Eq]]+DATOS_[[#This Row],[Tot COMPL.SAL Eq]]</f>
        <v>#DIV/0!</v>
      </c>
      <c r="CA388" s="138" t="e">
        <f aca="false" t="array" ref="CA388:CA3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8" s="138" t="e">
        <f aca="false">+DATOS_[[#This Row],[TOTAL SALARIO Eq]]+DATOS_[[#This Row],[Tot Extrasalarial Eq]]</f>
        <v>#DIV/0!</v>
      </c>
      <c r="CC388" s="139" t="n">
        <f aca="false">DATOS_[[#This Row],[S.BASE]]</f>
        <v>0</v>
      </c>
      <c r="CD388" s="139" t="n">
        <f aca="false">+SUM(DATOS_[[#This Row],[Conc.Sal.01]:[Conc.Sal.30]])</f>
        <v>0</v>
      </c>
      <c r="CE388" s="139" t="n">
        <f aca="false">+DATOS_[[#This Row],[SALARIO BASE Ef]]+DATOS_[[#This Row],[Tot COMPL.SAL Ef]]</f>
        <v>0</v>
      </c>
      <c r="CF388" s="139" t="n">
        <f aca="false">+SUM(DATOS_[[#This Row],[C.Extra.01]:[C.Extra.05]])</f>
        <v>0</v>
      </c>
      <c r="CG388" s="139" t="n">
        <f aca="false">+DATOS_[[#This Row],[TOTAL SALARIO Ef]]+DATOS_[[#This Row],[Tot Extrasalarial Ef]]</f>
        <v>0</v>
      </c>
      <c r="CH388" s="140" t="n">
        <f aca="false">MIN(IF(DATOS_[[#This Row],[Fecha Fin Contrato]]="",$D$4,DATOS_[[#This Row],[Fecha Fin Contrato]]),$D$4)-MAX(DATOS_[[#This Row],[Fecha de Contratación]],$D$3)+1</f>
        <v>1</v>
      </c>
      <c r="CI388" s="141" t="str">
        <f aca="false">IF(COUNTIFS(DATOS_[id],DATOS_[[#This Row],[id]])&gt;1,DATOS_[[#This Row],[id]],"")</f>
        <v/>
      </c>
      <c r="CJ388" s="141" t="n">
        <f aca="false">(Inicio!$G$10-DATOS_[[#This Row],[Fecha Nacimiento]])/365.25</f>
        <v>0</v>
      </c>
      <c r="CK388" s="141" t="n">
        <f aca="false">(Inicio!$G$10-DATOS_[[#This Row],[Fecha de Antigüedad]])/365.25</f>
        <v>0</v>
      </c>
      <c r="CL388" s="141" t="e">
        <f aca="false">+VLOOKUP(DATOS_[[#This Row],[Clave de Contrato]],TblTiposContrato13[],3,0)</f>
        <v>#N/A</v>
      </c>
      <c r="CM388" s="141" t="e">
        <f aca="false">+VLOOKUP(DATOS_[[#This Row],[Clave de Contrato]],TblTiposContrato13[],4,0)</f>
        <v>#N/A</v>
      </c>
      <c r="CN388" s="141" t="str">
        <f aca="false">VLOOKUP(DATOS_[[#This Row],[Edad]],CONTRATOS!TblRngEdad,2,1)</f>
        <v>20  o menos</v>
      </c>
      <c r="CO388" s="141" t="str">
        <f aca="false">VLOOKUP(DATOS_[[#This Row],[Antigüedad]],TblRngAntg14[],2,1)</f>
        <v>0 a 1 años</v>
      </c>
    </row>
    <row r="389" customFormat="false" ht="13.8" hidden="false" customHeight="false" outlineLevel="0" collapsed="false">
      <c r="D389" s="128"/>
      <c r="E389" s="129"/>
      <c r="F389" s="129"/>
      <c r="G389" s="129"/>
      <c r="H389" s="130"/>
      <c r="I389" s="131"/>
      <c r="J389" s="128"/>
      <c r="K389" s="132"/>
      <c r="L389" s="132"/>
      <c r="M389" s="133"/>
      <c r="N389" s="133"/>
      <c r="O389" s="133"/>
      <c r="P389" s="129"/>
      <c r="Z389" s="75"/>
      <c r="AA389" s="76"/>
      <c r="AB389" s="76"/>
      <c r="AC389" s="129"/>
      <c r="AD389" s="134"/>
      <c r="AE389" s="134"/>
      <c r="AF389" s="134"/>
      <c r="AG389" s="134"/>
      <c r="AH389" s="134"/>
      <c r="AI389" s="134"/>
      <c r="AJ389" s="134"/>
      <c r="AK389" s="134"/>
      <c r="AL389" s="134"/>
      <c r="AM389" s="134"/>
      <c r="AN389" s="134"/>
      <c r="AO389" s="134"/>
      <c r="AP389" s="134"/>
      <c r="AQ389" s="134"/>
      <c r="AR389" s="134"/>
      <c r="AS389" s="134"/>
      <c r="AT389" s="134"/>
      <c r="AU389" s="134"/>
      <c r="AV389" s="134"/>
      <c r="AW389" s="134"/>
      <c r="AX389" s="134"/>
      <c r="AY389" s="134"/>
      <c r="AZ389" s="134"/>
      <c r="BA389" s="134"/>
      <c r="BB389" s="134"/>
      <c r="BC389" s="134"/>
      <c r="BD389" s="134"/>
      <c r="BE389" s="134"/>
      <c r="BF389" s="134"/>
      <c r="BG389" s="134"/>
      <c r="BH389" s="134"/>
      <c r="BI389" s="134"/>
      <c r="BJ389" s="134"/>
      <c r="BK389" s="134"/>
      <c r="BL389" s="134"/>
      <c r="BM389" s="135"/>
      <c r="BN389" s="136" t="n">
        <f aca="false">+MAX($D$3,DATOS_[[#This Row],[Fecha Inicio Sit. Contract.]])</f>
        <v>0</v>
      </c>
      <c r="BO389" s="136" t="n">
        <f aca="false">+MIN($D$4,DATOS_[[#This Row],[Fecha Fin Sit. Contract.]])</f>
        <v>0</v>
      </c>
      <c r="BP389" s="137" t="n">
        <f aca="false">+DATOS_[[#This Row],[% de jornada]]*IF(DATOS_[[#This Row],[% jornada reducida]]="",1,DATOS_[[#This Row],[% jornada reducida]])</f>
        <v>0</v>
      </c>
      <c r="BQ389" s="137" t="n">
        <f aca="false">+(DATOS_[[#This Row],[F.fin.cal]]-DATOS_[[#This Row],[F.ini.cal]]+1)/($D$4-$D$3+1)</f>
        <v>1</v>
      </c>
      <c r="BR389" s="137" t="str">
        <f aca="false">IF(OR(AND(DATOS_[[#This Row],[Fecha Fin Contrato]]&lt;$D$3,DATOS_[[#This Row],[Fecha Fin Contrato]]&lt;&gt;""),DATOS_[[#This Row],[Fecha de Contratación]]&gt;$D$4),"Fuera","Dentro")</f>
        <v>Dentro</v>
      </c>
      <c r="BS389" s="137" t="str">
        <f aca="false" t="array" ref="BS389:BS389">IF(MAX(IF(DATOS_[id]=DATOS_[[#This Row],[id]],DATOS_[F.fin.cal]))=DATOS_[[#This Row],[F.fin.cal]],"Sí","NO")</f>
        <v>Sí</v>
      </c>
      <c r="BT389" s="137" t="str">
        <f aca="false">IF(AND(DATOS_[[#This Row],[% normaliz]]&lt;&gt;1,DATOS_[[#This Row],[% anualiz]]=1),"Sí","NO")</f>
        <v>Sí</v>
      </c>
      <c r="BU389" s="137" t="str">
        <f aca="false">IF(AND(DATOS_[[#This Row],[% normaliz]]=1,DATOS_[[#This Row],[% anualiz]]&lt;&gt;1),"Sí","NO")</f>
        <v>NO</v>
      </c>
      <c r="BV389" s="137" t="str">
        <f aca="false">IF(AND(DATOS_[[#This Row],[% normaliz]]&lt;&gt;1,DATOS_[[#This Row],[% anualiz]]&lt;&gt;1),"Sí","NO")</f>
        <v>NO</v>
      </c>
      <c r="BW389" s="137" t="str">
        <f aca="false">+IF(DATOS_[[#This Row],[% normaliz]]*DATOS_[[#This Row],[% anualiz]]=1,"NO","Sí")</f>
        <v>Sí</v>
      </c>
      <c r="BX389" s="138" t="e">
        <f aca="false">(DATOS_[[#This Row],[S.BASE]]*(1/DATOS_[[#This Row],[% normaliz]])*(1/DATOS_[[#This Row],[% anualiz]]))*IF(DATOS_[[#This Row],[Check Equiparado]]="Sí",1,0)</f>
        <v>#DIV/0!</v>
      </c>
      <c r="BY3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9" s="138" t="e">
        <f aca="false">+DATOS_[[#This Row],[SALARIO BASE Eq]]+DATOS_[[#This Row],[Tot COMPL.SAL Eq]]</f>
        <v>#DIV/0!</v>
      </c>
      <c r="CA389" s="138" t="e">
        <f aca="false" t="array" ref="CA389:CA3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9" s="138" t="e">
        <f aca="false">+DATOS_[[#This Row],[TOTAL SALARIO Eq]]+DATOS_[[#This Row],[Tot Extrasalarial Eq]]</f>
        <v>#DIV/0!</v>
      </c>
      <c r="CC389" s="139" t="n">
        <f aca="false">DATOS_[[#This Row],[S.BASE]]</f>
        <v>0</v>
      </c>
      <c r="CD389" s="139" t="n">
        <f aca="false">+SUM(DATOS_[[#This Row],[Conc.Sal.01]:[Conc.Sal.30]])</f>
        <v>0</v>
      </c>
      <c r="CE389" s="139" t="n">
        <f aca="false">+DATOS_[[#This Row],[SALARIO BASE Ef]]+DATOS_[[#This Row],[Tot COMPL.SAL Ef]]</f>
        <v>0</v>
      </c>
      <c r="CF389" s="139" t="n">
        <f aca="false">+SUM(DATOS_[[#This Row],[C.Extra.01]:[C.Extra.05]])</f>
        <v>0</v>
      </c>
      <c r="CG389" s="139" t="n">
        <f aca="false">+DATOS_[[#This Row],[TOTAL SALARIO Ef]]+DATOS_[[#This Row],[Tot Extrasalarial Ef]]</f>
        <v>0</v>
      </c>
      <c r="CH389" s="140" t="n">
        <f aca="false">MIN(IF(DATOS_[[#This Row],[Fecha Fin Contrato]]="",$D$4,DATOS_[[#This Row],[Fecha Fin Contrato]]),$D$4)-MAX(DATOS_[[#This Row],[Fecha de Contratación]],$D$3)+1</f>
        <v>1</v>
      </c>
      <c r="CI389" s="141" t="str">
        <f aca="false">IF(COUNTIFS(DATOS_[id],DATOS_[[#This Row],[id]])&gt;1,DATOS_[[#This Row],[id]],"")</f>
        <v/>
      </c>
      <c r="CJ389" s="141" t="n">
        <f aca="false">(Inicio!$G$10-DATOS_[[#This Row],[Fecha Nacimiento]])/365.25</f>
        <v>0</v>
      </c>
      <c r="CK389" s="141" t="n">
        <f aca="false">(Inicio!$G$10-DATOS_[[#This Row],[Fecha de Antigüedad]])/365.25</f>
        <v>0</v>
      </c>
      <c r="CL389" s="141" t="e">
        <f aca="false">+VLOOKUP(DATOS_[[#This Row],[Clave de Contrato]],TblTiposContrato13[],3,0)</f>
        <v>#N/A</v>
      </c>
      <c r="CM389" s="141" t="e">
        <f aca="false">+VLOOKUP(DATOS_[[#This Row],[Clave de Contrato]],TblTiposContrato13[],4,0)</f>
        <v>#N/A</v>
      </c>
      <c r="CN389" s="141" t="str">
        <f aca="false">VLOOKUP(DATOS_[[#This Row],[Edad]],CONTRATOS!TblRngEdad,2,1)</f>
        <v>20  o menos</v>
      </c>
      <c r="CO389" s="141" t="str">
        <f aca="false">VLOOKUP(DATOS_[[#This Row],[Antigüedad]],TblRngAntg14[],2,1)</f>
        <v>0 a 1 años</v>
      </c>
    </row>
    <row r="390" customFormat="false" ht="13.8" hidden="false" customHeight="false" outlineLevel="0" collapsed="false">
      <c r="D390" s="128"/>
      <c r="E390" s="129"/>
      <c r="F390" s="129"/>
      <c r="G390" s="129"/>
      <c r="H390" s="130"/>
      <c r="I390" s="131"/>
      <c r="J390" s="128"/>
      <c r="K390" s="132"/>
      <c r="L390" s="132"/>
      <c r="M390" s="133"/>
      <c r="N390" s="133"/>
      <c r="O390" s="133"/>
      <c r="P390" s="129"/>
      <c r="Z390" s="75"/>
      <c r="AA390" s="76"/>
      <c r="AB390" s="76"/>
      <c r="AC390" s="129"/>
      <c r="AD390" s="134"/>
      <c r="AE390" s="134"/>
      <c r="AF390" s="134"/>
      <c r="AG390" s="134"/>
      <c r="AH390" s="134"/>
      <c r="AI390" s="134"/>
      <c r="AJ390" s="134"/>
      <c r="AK390" s="134"/>
      <c r="AL390" s="134"/>
      <c r="AM390" s="134"/>
      <c r="AN390" s="134"/>
      <c r="AO390" s="134"/>
      <c r="AP390" s="134"/>
      <c r="AQ390" s="134"/>
      <c r="AR390" s="134"/>
      <c r="AS390" s="134"/>
      <c r="AT390" s="134"/>
      <c r="AU390" s="134"/>
      <c r="AV390" s="134"/>
      <c r="AW390" s="134"/>
      <c r="AX390" s="134"/>
      <c r="AY390" s="134"/>
      <c r="AZ390" s="134"/>
      <c r="BA390" s="134"/>
      <c r="BB390" s="134"/>
      <c r="BC390" s="134"/>
      <c r="BD390" s="134"/>
      <c r="BE390" s="134"/>
      <c r="BF390" s="134"/>
      <c r="BG390" s="134"/>
      <c r="BH390" s="134"/>
      <c r="BI390" s="134"/>
      <c r="BJ390" s="134"/>
      <c r="BK390" s="134"/>
      <c r="BL390" s="134"/>
      <c r="BM390" s="135"/>
      <c r="BN390" s="136" t="n">
        <f aca="false">+MAX($D$3,DATOS_[[#This Row],[Fecha Inicio Sit. Contract.]])</f>
        <v>0</v>
      </c>
      <c r="BO390" s="136" t="n">
        <f aca="false">+MIN($D$4,DATOS_[[#This Row],[Fecha Fin Sit. Contract.]])</f>
        <v>0</v>
      </c>
      <c r="BP390" s="137" t="n">
        <f aca="false">+DATOS_[[#This Row],[% de jornada]]*IF(DATOS_[[#This Row],[% jornada reducida]]="",1,DATOS_[[#This Row],[% jornada reducida]])</f>
        <v>0</v>
      </c>
      <c r="BQ390" s="137" t="n">
        <f aca="false">+(DATOS_[[#This Row],[F.fin.cal]]-DATOS_[[#This Row],[F.ini.cal]]+1)/($D$4-$D$3+1)</f>
        <v>1</v>
      </c>
      <c r="BR390" s="137" t="str">
        <f aca="false">IF(OR(AND(DATOS_[[#This Row],[Fecha Fin Contrato]]&lt;$D$3,DATOS_[[#This Row],[Fecha Fin Contrato]]&lt;&gt;""),DATOS_[[#This Row],[Fecha de Contratación]]&gt;$D$4),"Fuera","Dentro")</f>
        <v>Dentro</v>
      </c>
      <c r="BS390" s="137" t="str">
        <f aca="false" t="array" ref="BS390:BS390">IF(MAX(IF(DATOS_[id]=DATOS_[[#This Row],[id]],DATOS_[F.fin.cal]))=DATOS_[[#This Row],[F.fin.cal]],"Sí","NO")</f>
        <v>Sí</v>
      </c>
      <c r="BT390" s="137" t="str">
        <f aca="false">IF(AND(DATOS_[[#This Row],[% normaliz]]&lt;&gt;1,DATOS_[[#This Row],[% anualiz]]=1),"Sí","NO")</f>
        <v>Sí</v>
      </c>
      <c r="BU390" s="137" t="str">
        <f aca="false">IF(AND(DATOS_[[#This Row],[% normaliz]]=1,DATOS_[[#This Row],[% anualiz]]&lt;&gt;1),"Sí","NO")</f>
        <v>NO</v>
      </c>
      <c r="BV390" s="137" t="str">
        <f aca="false">IF(AND(DATOS_[[#This Row],[% normaliz]]&lt;&gt;1,DATOS_[[#This Row],[% anualiz]]&lt;&gt;1),"Sí","NO")</f>
        <v>NO</v>
      </c>
      <c r="BW390" s="137" t="str">
        <f aca="false">+IF(DATOS_[[#This Row],[% normaliz]]*DATOS_[[#This Row],[% anualiz]]=1,"NO","Sí")</f>
        <v>Sí</v>
      </c>
      <c r="BX390" s="138" t="e">
        <f aca="false">(DATOS_[[#This Row],[S.BASE]]*(1/DATOS_[[#This Row],[% normaliz]])*(1/DATOS_[[#This Row],[% anualiz]]))*IF(DATOS_[[#This Row],[Check Equiparado]]="Sí",1,0)</f>
        <v>#DIV/0!</v>
      </c>
      <c r="BY3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0" s="138" t="e">
        <f aca="false">+DATOS_[[#This Row],[SALARIO BASE Eq]]+DATOS_[[#This Row],[Tot COMPL.SAL Eq]]</f>
        <v>#DIV/0!</v>
      </c>
      <c r="CA390" s="138" t="e">
        <f aca="false" t="array" ref="CA390:CA3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0" s="138" t="e">
        <f aca="false">+DATOS_[[#This Row],[TOTAL SALARIO Eq]]+DATOS_[[#This Row],[Tot Extrasalarial Eq]]</f>
        <v>#DIV/0!</v>
      </c>
      <c r="CC390" s="139" t="n">
        <f aca="false">DATOS_[[#This Row],[S.BASE]]</f>
        <v>0</v>
      </c>
      <c r="CD390" s="139" t="n">
        <f aca="false">+SUM(DATOS_[[#This Row],[Conc.Sal.01]:[Conc.Sal.30]])</f>
        <v>0</v>
      </c>
      <c r="CE390" s="139" t="n">
        <f aca="false">+DATOS_[[#This Row],[SALARIO BASE Ef]]+DATOS_[[#This Row],[Tot COMPL.SAL Ef]]</f>
        <v>0</v>
      </c>
      <c r="CF390" s="139" t="n">
        <f aca="false">+SUM(DATOS_[[#This Row],[C.Extra.01]:[C.Extra.05]])</f>
        <v>0</v>
      </c>
      <c r="CG390" s="139" t="n">
        <f aca="false">+DATOS_[[#This Row],[TOTAL SALARIO Ef]]+DATOS_[[#This Row],[Tot Extrasalarial Ef]]</f>
        <v>0</v>
      </c>
      <c r="CH390" s="140" t="n">
        <f aca="false">MIN(IF(DATOS_[[#This Row],[Fecha Fin Contrato]]="",$D$4,DATOS_[[#This Row],[Fecha Fin Contrato]]),$D$4)-MAX(DATOS_[[#This Row],[Fecha de Contratación]],$D$3)+1</f>
        <v>1</v>
      </c>
      <c r="CI390" s="141" t="str">
        <f aca="false">IF(COUNTIFS(DATOS_[id],DATOS_[[#This Row],[id]])&gt;1,DATOS_[[#This Row],[id]],"")</f>
        <v/>
      </c>
      <c r="CJ390" s="141" t="n">
        <f aca="false">(Inicio!$G$10-DATOS_[[#This Row],[Fecha Nacimiento]])/365.25</f>
        <v>0</v>
      </c>
      <c r="CK390" s="141" t="n">
        <f aca="false">(Inicio!$G$10-DATOS_[[#This Row],[Fecha de Antigüedad]])/365.25</f>
        <v>0</v>
      </c>
      <c r="CL390" s="141" t="e">
        <f aca="false">+VLOOKUP(DATOS_[[#This Row],[Clave de Contrato]],TblTiposContrato13[],3,0)</f>
        <v>#N/A</v>
      </c>
      <c r="CM390" s="141" t="e">
        <f aca="false">+VLOOKUP(DATOS_[[#This Row],[Clave de Contrato]],TblTiposContrato13[],4,0)</f>
        <v>#N/A</v>
      </c>
      <c r="CN390" s="141" t="str">
        <f aca="false">VLOOKUP(DATOS_[[#This Row],[Edad]],CONTRATOS!TblRngEdad,2,1)</f>
        <v>20  o menos</v>
      </c>
      <c r="CO390" s="141" t="str">
        <f aca="false">VLOOKUP(DATOS_[[#This Row],[Antigüedad]],TblRngAntg14[],2,1)</f>
        <v>0 a 1 años</v>
      </c>
    </row>
    <row r="391" customFormat="false" ht="13.8" hidden="false" customHeight="false" outlineLevel="0" collapsed="false">
      <c r="D391" s="128"/>
      <c r="E391" s="129"/>
      <c r="F391" s="129"/>
      <c r="G391" s="129"/>
      <c r="H391" s="130"/>
      <c r="I391" s="131"/>
      <c r="J391" s="128"/>
      <c r="K391" s="132"/>
      <c r="L391" s="132"/>
      <c r="M391" s="133"/>
      <c r="N391" s="133"/>
      <c r="O391" s="133"/>
      <c r="P391" s="129"/>
      <c r="Z391" s="75"/>
      <c r="AA391" s="76"/>
      <c r="AB391" s="76"/>
      <c r="AC391" s="129"/>
      <c r="AD391" s="134"/>
      <c r="AE391" s="134"/>
      <c r="AF391" s="134"/>
      <c r="AG391" s="134"/>
      <c r="AH391" s="134"/>
      <c r="AI391" s="134"/>
      <c r="AJ391" s="134"/>
      <c r="AK391" s="134"/>
      <c r="AL391" s="134"/>
      <c r="AM391" s="134"/>
      <c r="AN391" s="134"/>
      <c r="AO391" s="134"/>
      <c r="AP391" s="134"/>
      <c r="AQ391" s="134"/>
      <c r="AR391" s="134"/>
      <c r="AS391" s="134"/>
      <c r="AT391" s="134"/>
      <c r="AU391" s="134"/>
      <c r="AV391" s="134"/>
      <c r="AW391" s="134"/>
      <c r="AX391" s="134"/>
      <c r="AY391" s="134"/>
      <c r="AZ391" s="134"/>
      <c r="BA391" s="134"/>
      <c r="BB391" s="134"/>
      <c r="BC391" s="134"/>
      <c r="BD391" s="134"/>
      <c r="BE391" s="134"/>
      <c r="BF391" s="134"/>
      <c r="BG391" s="134"/>
      <c r="BH391" s="134"/>
      <c r="BI391" s="134"/>
      <c r="BJ391" s="134"/>
      <c r="BK391" s="134"/>
      <c r="BL391" s="134"/>
      <c r="BM391" s="135"/>
      <c r="BN391" s="136" t="n">
        <f aca="false">+MAX($D$3,DATOS_[[#This Row],[Fecha Inicio Sit. Contract.]])</f>
        <v>0</v>
      </c>
      <c r="BO391" s="136" t="n">
        <f aca="false">+MIN($D$4,DATOS_[[#This Row],[Fecha Fin Sit. Contract.]])</f>
        <v>0</v>
      </c>
      <c r="BP391" s="137" t="n">
        <f aca="false">+DATOS_[[#This Row],[% de jornada]]*IF(DATOS_[[#This Row],[% jornada reducida]]="",1,DATOS_[[#This Row],[% jornada reducida]])</f>
        <v>0</v>
      </c>
      <c r="BQ391" s="137" t="n">
        <f aca="false">+(DATOS_[[#This Row],[F.fin.cal]]-DATOS_[[#This Row],[F.ini.cal]]+1)/($D$4-$D$3+1)</f>
        <v>1</v>
      </c>
      <c r="BR391" s="137" t="str">
        <f aca="false">IF(OR(AND(DATOS_[[#This Row],[Fecha Fin Contrato]]&lt;$D$3,DATOS_[[#This Row],[Fecha Fin Contrato]]&lt;&gt;""),DATOS_[[#This Row],[Fecha de Contratación]]&gt;$D$4),"Fuera","Dentro")</f>
        <v>Dentro</v>
      </c>
      <c r="BS391" s="137" t="str">
        <f aca="false" t="array" ref="BS391:BS391">IF(MAX(IF(DATOS_[id]=DATOS_[[#This Row],[id]],DATOS_[F.fin.cal]))=DATOS_[[#This Row],[F.fin.cal]],"Sí","NO")</f>
        <v>Sí</v>
      </c>
      <c r="BT391" s="137" t="str">
        <f aca="false">IF(AND(DATOS_[[#This Row],[% normaliz]]&lt;&gt;1,DATOS_[[#This Row],[% anualiz]]=1),"Sí","NO")</f>
        <v>Sí</v>
      </c>
      <c r="BU391" s="137" t="str">
        <f aca="false">IF(AND(DATOS_[[#This Row],[% normaliz]]=1,DATOS_[[#This Row],[% anualiz]]&lt;&gt;1),"Sí","NO")</f>
        <v>NO</v>
      </c>
      <c r="BV391" s="137" t="str">
        <f aca="false">IF(AND(DATOS_[[#This Row],[% normaliz]]&lt;&gt;1,DATOS_[[#This Row],[% anualiz]]&lt;&gt;1),"Sí","NO")</f>
        <v>NO</v>
      </c>
      <c r="BW391" s="137" t="str">
        <f aca="false">+IF(DATOS_[[#This Row],[% normaliz]]*DATOS_[[#This Row],[% anualiz]]=1,"NO","Sí")</f>
        <v>Sí</v>
      </c>
      <c r="BX391" s="138" t="e">
        <f aca="false">(DATOS_[[#This Row],[S.BASE]]*(1/DATOS_[[#This Row],[% normaliz]])*(1/DATOS_[[#This Row],[% anualiz]]))*IF(DATOS_[[#This Row],[Check Equiparado]]="Sí",1,0)</f>
        <v>#DIV/0!</v>
      </c>
      <c r="BY3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1" s="138" t="e">
        <f aca="false">+DATOS_[[#This Row],[SALARIO BASE Eq]]+DATOS_[[#This Row],[Tot COMPL.SAL Eq]]</f>
        <v>#DIV/0!</v>
      </c>
      <c r="CA391" s="138" t="e">
        <f aca="false" t="array" ref="CA391:CA3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1" s="138" t="e">
        <f aca="false">+DATOS_[[#This Row],[TOTAL SALARIO Eq]]+DATOS_[[#This Row],[Tot Extrasalarial Eq]]</f>
        <v>#DIV/0!</v>
      </c>
      <c r="CC391" s="139" t="n">
        <f aca="false">DATOS_[[#This Row],[S.BASE]]</f>
        <v>0</v>
      </c>
      <c r="CD391" s="139" t="n">
        <f aca="false">+SUM(DATOS_[[#This Row],[Conc.Sal.01]:[Conc.Sal.30]])</f>
        <v>0</v>
      </c>
      <c r="CE391" s="139" t="n">
        <f aca="false">+DATOS_[[#This Row],[SALARIO BASE Ef]]+DATOS_[[#This Row],[Tot COMPL.SAL Ef]]</f>
        <v>0</v>
      </c>
      <c r="CF391" s="139" t="n">
        <f aca="false">+SUM(DATOS_[[#This Row],[C.Extra.01]:[C.Extra.05]])</f>
        <v>0</v>
      </c>
      <c r="CG391" s="139" t="n">
        <f aca="false">+DATOS_[[#This Row],[TOTAL SALARIO Ef]]+DATOS_[[#This Row],[Tot Extrasalarial Ef]]</f>
        <v>0</v>
      </c>
      <c r="CH391" s="140" t="n">
        <f aca="false">MIN(IF(DATOS_[[#This Row],[Fecha Fin Contrato]]="",$D$4,DATOS_[[#This Row],[Fecha Fin Contrato]]),$D$4)-MAX(DATOS_[[#This Row],[Fecha de Contratación]],$D$3)+1</f>
        <v>1</v>
      </c>
      <c r="CI391" s="141" t="str">
        <f aca="false">IF(COUNTIFS(DATOS_[id],DATOS_[[#This Row],[id]])&gt;1,DATOS_[[#This Row],[id]],"")</f>
        <v/>
      </c>
      <c r="CJ391" s="141" t="n">
        <f aca="false">(Inicio!$G$10-DATOS_[[#This Row],[Fecha Nacimiento]])/365.25</f>
        <v>0</v>
      </c>
      <c r="CK391" s="141" t="n">
        <f aca="false">(Inicio!$G$10-DATOS_[[#This Row],[Fecha de Antigüedad]])/365.25</f>
        <v>0</v>
      </c>
      <c r="CL391" s="141" t="e">
        <f aca="false">+VLOOKUP(DATOS_[[#This Row],[Clave de Contrato]],TblTiposContrato13[],3,0)</f>
        <v>#N/A</v>
      </c>
      <c r="CM391" s="141" t="e">
        <f aca="false">+VLOOKUP(DATOS_[[#This Row],[Clave de Contrato]],TblTiposContrato13[],4,0)</f>
        <v>#N/A</v>
      </c>
      <c r="CN391" s="141" t="str">
        <f aca="false">VLOOKUP(DATOS_[[#This Row],[Edad]],CONTRATOS!TblRngEdad,2,1)</f>
        <v>20  o menos</v>
      </c>
      <c r="CO391" s="141" t="str">
        <f aca="false">VLOOKUP(DATOS_[[#This Row],[Antigüedad]],TblRngAntg14[],2,1)</f>
        <v>0 a 1 años</v>
      </c>
    </row>
    <row r="392" customFormat="false" ht="13.8" hidden="false" customHeight="false" outlineLevel="0" collapsed="false">
      <c r="D392" s="128"/>
      <c r="E392" s="129"/>
      <c r="F392" s="129"/>
      <c r="G392" s="129"/>
      <c r="H392" s="130"/>
      <c r="I392" s="131"/>
      <c r="J392" s="128"/>
      <c r="K392" s="132"/>
      <c r="L392" s="132"/>
      <c r="M392" s="133"/>
      <c r="N392" s="133"/>
      <c r="O392" s="133"/>
      <c r="P392" s="129"/>
      <c r="Z392" s="75"/>
      <c r="AA392" s="76"/>
      <c r="AB392" s="76"/>
      <c r="AC392" s="129"/>
      <c r="AD392" s="134"/>
      <c r="AE392" s="134"/>
      <c r="AF392" s="134"/>
      <c r="AG392" s="134"/>
      <c r="AH392" s="134"/>
      <c r="AI392" s="134"/>
      <c r="AJ392" s="134"/>
      <c r="AK392" s="134"/>
      <c r="AL392" s="134"/>
      <c r="AM392" s="134"/>
      <c r="AN392" s="134"/>
      <c r="AO392" s="134"/>
      <c r="AP392" s="134"/>
      <c r="AQ392" s="134"/>
      <c r="AR392" s="134"/>
      <c r="AS392" s="134"/>
      <c r="AT392" s="134"/>
      <c r="AU392" s="134"/>
      <c r="AV392" s="134"/>
      <c r="AW392" s="134"/>
      <c r="AX392" s="134"/>
      <c r="AY392" s="134"/>
      <c r="AZ392" s="134"/>
      <c r="BA392" s="134"/>
      <c r="BB392" s="134"/>
      <c r="BC392" s="134"/>
      <c r="BD392" s="134"/>
      <c r="BE392" s="134"/>
      <c r="BF392" s="134"/>
      <c r="BG392" s="134"/>
      <c r="BH392" s="134"/>
      <c r="BI392" s="134"/>
      <c r="BJ392" s="134"/>
      <c r="BK392" s="134"/>
      <c r="BL392" s="134"/>
      <c r="BM392" s="135"/>
      <c r="BN392" s="136" t="n">
        <f aca="false">+MAX($D$3,DATOS_[[#This Row],[Fecha Inicio Sit. Contract.]])</f>
        <v>0</v>
      </c>
      <c r="BO392" s="136" t="n">
        <f aca="false">+MIN($D$4,DATOS_[[#This Row],[Fecha Fin Sit. Contract.]])</f>
        <v>0</v>
      </c>
      <c r="BP392" s="137" t="n">
        <f aca="false">+DATOS_[[#This Row],[% de jornada]]*IF(DATOS_[[#This Row],[% jornada reducida]]="",1,DATOS_[[#This Row],[% jornada reducida]])</f>
        <v>0</v>
      </c>
      <c r="BQ392" s="137" t="n">
        <f aca="false">+(DATOS_[[#This Row],[F.fin.cal]]-DATOS_[[#This Row],[F.ini.cal]]+1)/($D$4-$D$3+1)</f>
        <v>1</v>
      </c>
      <c r="BR392" s="137" t="str">
        <f aca="false">IF(OR(AND(DATOS_[[#This Row],[Fecha Fin Contrato]]&lt;$D$3,DATOS_[[#This Row],[Fecha Fin Contrato]]&lt;&gt;""),DATOS_[[#This Row],[Fecha de Contratación]]&gt;$D$4),"Fuera","Dentro")</f>
        <v>Dentro</v>
      </c>
      <c r="BS392" s="137" t="str">
        <f aca="false" t="array" ref="BS392:BS392">IF(MAX(IF(DATOS_[id]=DATOS_[[#This Row],[id]],DATOS_[F.fin.cal]))=DATOS_[[#This Row],[F.fin.cal]],"Sí","NO")</f>
        <v>Sí</v>
      </c>
      <c r="BT392" s="137" t="str">
        <f aca="false">IF(AND(DATOS_[[#This Row],[% normaliz]]&lt;&gt;1,DATOS_[[#This Row],[% anualiz]]=1),"Sí","NO")</f>
        <v>Sí</v>
      </c>
      <c r="BU392" s="137" t="str">
        <f aca="false">IF(AND(DATOS_[[#This Row],[% normaliz]]=1,DATOS_[[#This Row],[% anualiz]]&lt;&gt;1),"Sí","NO")</f>
        <v>NO</v>
      </c>
      <c r="BV392" s="137" t="str">
        <f aca="false">IF(AND(DATOS_[[#This Row],[% normaliz]]&lt;&gt;1,DATOS_[[#This Row],[% anualiz]]&lt;&gt;1),"Sí","NO")</f>
        <v>NO</v>
      </c>
      <c r="BW392" s="137" t="str">
        <f aca="false">+IF(DATOS_[[#This Row],[% normaliz]]*DATOS_[[#This Row],[% anualiz]]=1,"NO","Sí")</f>
        <v>Sí</v>
      </c>
      <c r="BX392" s="138" t="e">
        <f aca="false">(DATOS_[[#This Row],[S.BASE]]*(1/DATOS_[[#This Row],[% normaliz]])*(1/DATOS_[[#This Row],[% anualiz]]))*IF(DATOS_[[#This Row],[Check Equiparado]]="Sí",1,0)</f>
        <v>#DIV/0!</v>
      </c>
      <c r="BY3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2" s="138" t="e">
        <f aca="false">+DATOS_[[#This Row],[SALARIO BASE Eq]]+DATOS_[[#This Row],[Tot COMPL.SAL Eq]]</f>
        <v>#DIV/0!</v>
      </c>
      <c r="CA392" s="138" t="e">
        <f aca="false" t="array" ref="CA392:CA3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2" s="138" t="e">
        <f aca="false">+DATOS_[[#This Row],[TOTAL SALARIO Eq]]+DATOS_[[#This Row],[Tot Extrasalarial Eq]]</f>
        <v>#DIV/0!</v>
      </c>
      <c r="CC392" s="139" t="n">
        <f aca="false">DATOS_[[#This Row],[S.BASE]]</f>
        <v>0</v>
      </c>
      <c r="CD392" s="139" t="n">
        <f aca="false">+SUM(DATOS_[[#This Row],[Conc.Sal.01]:[Conc.Sal.30]])</f>
        <v>0</v>
      </c>
      <c r="CE392" s="139" t="n">
        <f aca="false">+DATOS_[[#This Row],[SALARIO BASE Ef]]+DATOS_[[#This Row],[Tot COMPL.SAL Ef]]</f>
        <v>0</v>
      </c>
      <c r="CF392" s="139" t="n">
        <f aca="false">+SUM(DATOS_[[#This Row],[C.Extra.01]:[C.Extra.05]])</f>
        <v>0</v>
      </c>
      <c r="CG392" s="139" t="n">
        <f aca="false">+DATOS_[[#This Row],[TOTAL SALARIO Ef]]+DATOS_[[#This Row],[Tot Extrasalarial Ef]]</f>
        <v>0</v>
      </c>
      <c r="CH392" s="140" t="n">
        <f aca="false">MIN(IF(DATOS_[[#This Row],[Fecha Fin Contrato]]="",$D$4,DATOS_[[#This Row],[Fecha Fin Contrato]]),$D$4)-MAX(DATOS_[[#This Row],[Fecha de Contratación]],$D$3)+1</f>
        <v>1</v>
      </c>
      <c r="CI392" s="141" t="str">
        <f aca="false">IF(COUNTIFS(DATOS_[id],DATOS_[[#This Row],[id]])&gt;1,DATOS_[[#This Row],[id]],"")</f>
        <v/>
      </c>
      <c r="CJ392" s="141" t="n">
        <f aca="false">(Inicio!$G$10-DATOS_[[#This Row],[Fecha Nacimiento]])/365.25</f>
        <v>0</v>
      </c>
      <c r="CK392" s="141" t="n">
        <f aca="false">(Inicio!$G$10-DATOS_[[#This Row],[Fecha de Antigüedad]])/365.25</f>
        <v>0</v>
      </c>
      <c r="CL392" s="141" t="e">
        <f aca="false">+VLOOKUP(DATOS_[[#This Row],[Clave de Contrato]],TblTiposContrato13[],3,0)</f>
        <v>#N/A</v>
      </c>
      <c r="CM392" s="141" t="e">
        <f aca="false">+VLOOKUP(DATOS_[[#This Row],[Clave de Contrato]],TblTiposContrato13[],4,0)</f>
        <v>#N/A</v>
      </c>
      <c r="CN392" s="141" t="str">
        <f aca="false">VLOOKUP(DATOS_[[#This Row],[Edad]],CONTRATOS!TblRngEdad,2,1)</f>
        <v>20  o menos</v>
      </c>
      <c r="CO392" s="141" t="str">
        <f aca="false">VLOOKUP(DATOS_[[#This Row],[Antigüedad]],TblRngAntg14[],2,1)</f>
        <v>0 a 1 años</v>
      </c>
    </row>
    <row r="393" customFormat="false" ht="13.8" hidden="false" customHeight="false" outlineLevel="0" collapsed="false">
      <c r="D393" s="128"/>
      <c r="E393" s="129"/>
      <c r="F393" s="129"/>
      <c r="G393" s="129"/>
      <c r="H393" s="130"/>
      <c r="I393" s="131"/>
      <c r="J393" s="128"/>
      <c r="K393" s="132"/>
      <c r="L393" s="132"/>
      <c r="M393" s="133"/>
      <c r="N393" s="133"/>
      <c r="O393" s="133"/>
      <c r="P393" s="129"/>
      <c r="Z393" s="75"/>
      <c r="AA393" s="76"/>
      <c r="AB393" s="76"/>
      <c r="AC393" s="129"/>
      <c r="AD393" s="134"/>
      <c r="AE393" s="134"/>
      <c r="AF393" s="134"/>
      <c r="AG393" s="134"/>
      <c r="AH393" s="134"/>
      <c r="AI393" s="134"/>
      <c r="AJ393" s="134"/>
      <c r="AK393" s="134"/>
      <c r="AL393" s="134"/>
      <c r="AM393" s="134"/>
      <c r="AN393" s="134"/>
      <c r="AO393" s="134"/>
      <c r="AP393" s="134"/>
      <c r="AQ393" s="134"/>
      <c r="AR393" s="134"/>
      <c r="AS393" s="134"/>
      <c r="AT393" s="134"/>
      <c r="AU393" s="134"/>
      <c r="AV393" s="134"/>
      <c r="AW393" s="134"/>
      <c r="AX393" s="134"/>
      <c r="AY393" s="134"/>
      <c r="AZ393" s="134"/>
      <c r="BA393" s="134"/>
      <c r="BB393" s="134"/>
      <c r="BC393" s="134"/>
      <c r="BD393" s="134"/>
      <c r="BE393" s="134"/>
      <c r="BF393" s="134"/>
      <c r="BG393" s="134"/>
      <c r="BH393" s="134"/>
      <c r="BI393" s="134"/>
      <c r="BJ393" s="134"/>
      <c r="BK393" s="134"/>
      <c r="BL393" s="134"/>
      <c r="BM393" s="135"/>
      <c r="BN393" s="136" t="n">
        <f aca="false">+MAX($D$3,DATOS_[[#This Row],[Fecha Inicio Sit. Contract.]])</f>
        <v>0</v>
      </c>
      <c r="BO393" s="136" t="n">
        <f aca="false">+MIN($D$4,DATOS_[[#This Row],[Fecha Fin Sit. Contract.]])</f>
        <v>0</v>
      </c>
      <c r="BP393" s="137" t="n">
        <f aca="false">+DATOS_[[#This Row],[% de jornada]]*IF(DATOS_[[#This Row],[% jornada reducida]]="",1,DATOS_[[#This Row],[% jornada reducida]])</f>
        <v>0</v>
      </c>
      <c r="BQ393" s="137" t="n">
        <f aca="false">+(DATOS_[[#This Row],[F.fin.cal]]-DATOS_[[#This Row],[F.ini.cal]]+1)/($D$4-$D$3+1)</f>
        <v>1</v>
      </c>
      <c r="BR393" s="137" t="str">
        <f aca="false">IF(OR(AND(DATOS_[[#This Row],[Fecha Fin Contrato]]&lt;$D$3,DATOS_[[#This Row],[Fecha Fin Contrato]]&lt;&gt;""),DATOS_[[#This Row],[Fecha de Contratación]]&gt;$D$4),"Fuera","Dentro")</f>
        <v>Dentro</v>
      </c>
      <c r="BS393" s="137" t="str">
        <f aca="false" t="array" ref="BS393:BS393">IF(MAX(IF(DATOS_[id]=DATOS_[[#This Row],[id]],DATOS_[F.fin.cal]))=DATOS_[[#This Row],[F.fin.cal]],"Sí","NO")</f>
        <v>Sí</v>
      </c>
      <c r="BT393" s="137" t="str">
        <f aca="false">IF(AND(DATOS_[[#This Row],[% normaliz]]&lt;&gt;1,DATOS_[[#This Row],[% anualiz]]=1),"Sí","NO")</f>
        <v>Sí</v>
      </c>
      <c r="BU393" s="137" t="str">
        <f aca="false">IF(AND(DATOS_[[#This Row],[% normaliz]]=1,DATOS_[[#This Row],[% anualiz]]&lt;&gt;1),"Sí","NO")</f>
        <v>NO</v>
      </c>
      <c r="BV393" s="137" t="str">
        <f aca="false">IF(AND(DATOS_[[#This Row],[% normaliz]]&lt;&gt;1,DATOS_[[#This Row],[% anualiz]]&lt;&gt;1),"Sí","NO")</f>
        <v>NO</v>
      </c>
      <c r="BW393" s="137" t="str">
        <f aca="false">+IF(DATOS_[[#This Row],[% normaliz]]*DATOS_[[#This Row],[% anualiz]]=1,"NO","Sí")</f>
        <v>Sí</v>
      </c>
      <c r="BX393" s="138" t="e">
        <f aca="false">(DATOS_[[#This Row],[S.BASE]]*(1/DATOS_[[#This Row],[% normaliz]])*(1/DATOS_[[#This Row],[% anualiz]]))*IF(DATOS_[[#This Row],[Check Equiparado]]="Sí",1,0)</f>
        <v>#DIV/0!</v>
      </c>
      <c r="BY3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3" s="138" t="e">
        <f aca="false">+DATOS_[[#This Row],[SALARIO BASE Eq]]+DATOS_[[#This Row],[Tot COMPL.SAL Eq]]</f>
        <v>#DIV/0!</v>
      </c>
      <c r="CA393" s="138" t="e">
        <f aca="false" t="array" ref="CA393:CA3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3" s="138" t="e">
        <f aca="false">+DATOS_[[#This Row],[TOTAL SALARIO Eq]]+DATOS_[[#This Row],[Tot Extrasalarial Eq]]</f>
        <v>#DIV/0!</v>
      </c>
      <c r="CC393" s="139" t="n">
        <f aca="false">DATOS_[[#This Row],[S.BASE]]</f>
        <v>0</v>
      </c>
      <c r="CD393" s="139" t="n">
        <f aca="false">+SUM(DATOS_[[#This Row],[Conc.Sal.01]:[Conc.Sal.30]])</f>
        <v>0</v>
      </c>
      <c r="CE393" s="139" t="n">
        <f aca="false">+DATOS_[[#This Row],[SALARIO BASE Ef]]+DATOS_[[#This Row],[Tot COMPL.SAL Ef]]</f>
        <v>0</v>
      </c>
      <c r="CF393" s="139" t="n">
        <f aca="false">+SUM(DATOS_[[#This Row],[C.Extra.01]:[C.Extra.05]])</f>
        <v>0</v>
      </c>
      <c r="CG393" s="139" t="n">
        <f aca="false">+DATOS_[[#This Row],[TOTAL SALARIO Ef]]+DATOS_[[#This Row],[Tot Extrasalarial Ef]]</f>
        <v>0</v>
      </c>
      <c r="CH393" s="140" t="n">
        <f aca="false">MIN(IF(DATOS_[[#This Row],[Fecha Fin Contrato]]="",$D$4,DATOS_[[#This Row],[Fecha Fin Contrato]]),$D$4)-MAX(DATOS_[[#This Row],[Fecha de Contratación]],$D$3)+1</f>
        <v>1</v>
      </c>
      <c r="CI393" s="141" t="str">
        <f aca="false">IF(COUNTIFS(DATOS_[id],DATOS_[[#This Row],[id]])&gt;1,DATOS_[[#This Row],[id]],"")</f>
        <v/>
      </c>
      <c r="CJ393" s="141" t="n">
        <f aca="false">(Inicio!$G$10-DATOS_[[#This Row],[Fecha Nacimiento]])/365.25</f>
        <v>0</v>
      </c>
      <c r="CK393" s="141" t="n">
        <f aca="false">(Inicio!$G$10-DATOS_[[#This Row],[Fecha de Antigüedad]])/365.25</f>
        <v>0</v>
      </c>
      <c r="CL393" s="141" t="e">
        <f aca="false">+VLOOKUP(DATOS_[[#This Row],[Clave de Contrato]],TblTiposContrato13[],3,0)</f>
        <v>#N/A</v>
      </c>
      <c r="CM393" s="141" t="e">
        <f aca="false">+VLOOKUP(DATOS_[[#This Row],[Clave de Contrato]],TblTiposContrato13[],4,0)</f>
        <v>#N/A</v>
      </c>
      <c r="CN393" s="141" t="str">
        <f aca="false">VLOOKUP(DATOS_[[#This Row],[Edad]],CONTRATOS!TblRngEdad,2,1)</f>
        <v>20  o menos</v>
      </c>
      <c r="CO393" s="141" t="str">
        <f aca="false">VLOOKUP(DATOS_[[#This Row],[Antigüedad]],TblRngAntg14[],2,1)</f>
        <v>0 a 1 años</v>
      </c>
    </row>
    <row r="394" customFormat="false" ht="13.8" hidden="false" customHeight="false" outlineLevel="0" collapsed="false">
      <c r="D394" s="128"/>
      <c r="E394" s="129"/>
      <c r="F394" s="129"/>
      <c r="G394" s="129"/>
      <c r="H394" s="130"/>
      <c r="I394" s="131"/>
      <c r="J394" s="128"/>
      <c r="K394" s="132"/>
      <c r="L394" s="132"/>
      <c r="M394" s="133"/>
      <c r="N394" s="133"/>
      <c r="O394" s="133"/>
      <c r="P394" s="129"/>
      <c r="Z394" s="75"/>
      <c r="AA394" s="76"/>
      <c r="AB394" s="76"/>
      <c r="AC394" s="129"/>
      <c r="AD394" s="134"/>
      <c r="AE394" s="134"/>
      <c r="AF394" s="134"/>
      <c r="AG394" s="134"/>
      <c r="AH394" s="134"/>
      <c r="AI394" s="134"/>
      <c r="AJ394" s="134"/>
      <c r="AK394" s="134"/>
      <c r="AL394" s="134"/>
      <c r="AM394" s="134"/>
      <c r="AN394" s="134"/>
      <c r="AO394" s="134"/>
      <c r="AP394" s="134"/>
      <c r="AQ394" s="134"/>
      <c r="AR394" s="134"/>
      <c r="AS394" s="134"/>
      <c r="AT394" s="134"/>
      <c r="AU394" s="134"/>
      <c r="AV394" s="134"/>
      <c r="AW394" s="134"/>
      <c r="AX394" s="134"/>
      <c r="AY394" s="134"/>
      <c r="AZ394" s="134"/>
      <c r="BA394" s="134"/>
      <c r="BB394" s="134"/>
      <c r="BC394" s="134"/>
      <c r="BD394" s="134"/>
      <c r="BE394" s="134"/>
      <c r="BF394" s="134"/>
      <c r="BG394" s="134"/>
      <c r="BH394" s="134"/>
      <c r="BI394" s="134"/>
      <c r="BJ394" s="134"/>
      <c r="BK394" s="134"/>
      <c r="BL394" s="134"/>
      <c r="BM394" s="135"/>
      <c r="BN394" s="136" t="n">
        <f aca="false">+MAX($D$3,DATOS_[[#This Row],[Fecha Inicio Sit. Contract.]])</f>
        <v>0</v>
      </c>
      <c r="BO394" s="136" t="n">
        <f aca="false">+MIN($D$4,DATOS_[[#This Row],[Fecha Fin Sit. Contract.]])</f>
        <v>0</v>
      </c>
      <c r="BP394" s="137" t="n">
        <f aca="false">+DATOS_[[#This Row],[% de jornada]]*IF(DATOS_[[#This Row],[% jornada reducida]]="",1,DATOS_[[#This Row],[% jornada reducida]])</f>
        <v>0</v>
      </c>
      <c r="BQ394" s="137" t="n">
        <f aca="false">+(DATOS_[[#This Row],[F.fin.cal]]-DATOS_[[#This Row],[F.ini.cal]]+1)/($D$4-$D$3+1)</f>
        <v>1</v>
      </c>
      <c r="BR394" s="137" t="str">
        <f aca="false">IF(OR(AND(DATOS_[[#This Row],[Fecha Fin Contrato]]&lt;$D$3,DATOS_[[#This Row],[Fecha Fin Contrato]]&lt;&gt;""),DATOS_[[#This Row],[Fecha de Contratación]]&gt;$D$4),"Fuera","Dentro")</f>
        <v>Dentro</v>
      </c>
      <c r="BS394" s="137" t="str">
        <f aca="false" t="array" ref="BS394:BS394">IF(MAX(IF(DATOS_[id]=DATOS_[[#This Row],[id]],DATOS_[F.fin.cal]))=DATOS_[[#This Row],[F.fin.cal]],"Sí","NO")</f>
        <v>Sí</v>
      </c>
      <c r="BT394" s="137" t="str">
        <f aca="false">IF(AND(DATOS_[[#This Row],[% normaliz]]&lt;&gt;1,DATOS_[[#This Row],[% anualiz]]=1),"Sí","NO")</f>
        <v>Sí</v>
      </c>
      <c r="BU394" s="137" t="str">
        <f aca="false">IF(AND(DATOS_[[#This Row],[% normaliz]]=1,DATOS_[[#This Row],[% anualiz]]&lt;&gt;1),"Sí","NO")</f>
        <v>NO</v>
      </c>
      <c r="BV394" s="137" t="str">
        <f aca="false">IF(AND(DATOS_[[#This Row],[% normaliz]]&lt;&gt;1,DATOS_[[#This Row],[% anualiz]]&lt;&gt;1),"Sí","NO")</f>
        <v>NO</v>
      </c>
      <c r="BW394" s="137" t="str">
        <f aca="false">+IF(DATOS_[[#This Row],[% normaliz]]*DATOS_[[#This Row],[% anualiz]]=1,"NO","Sí")</f>
        <v>Sí</v>
      </c>
      <c r="BX394" s="138" t="e">
        <f aca="false">(DATOS_[[#This Row],[S.BASE]]*(1/DATOS_[[#This Row],[% normaliz]])*(1/DATOS_[[#This Row],[% anualiz]]))*IF(DATOS_[[#This Row],[Check Equiparado]]="Sí",1,0)</f>
        <v>#DIV/0!</v>
      </c>
      <c r="BY3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4" s="138" t="e">
        <f aca="false">+DATOS_[[#This Row],[SALARIO BASE Eq]]+DATOS_[[#This Row],[Tot COMPL.SAL Eq]]</f>
        <v>#DIV/0!</v>
      </c>
      <c r="CA394" s="138" t="e">
        <f aca="false" t="array" ref="CA394:CA3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4" s="138" t="e">
        <f aca="false">+DATOS_[[#This Row],[TOTAL SALARIO Eq]]+DATOS_[[#This Row],[Tot Extrasalarial Eq]]</f>
        <v>#DIV/0!</v>
      </c>
      <c r="CC394" s="139" t="n">
        <f aca="false">DATOS_[[#This Row],[S.BASE]]</f>
        <v>0</v>
      </c>
      <c r="CD394" s="139" t="n">
        <f aca="false">+SUM(DATOS_[[#This Row],[Conc.Sal.01]:[Conc.Sal.30]])</f>
        <v>0</v>
      </c>
      <c r="CE394" s="139" t="n">
        <f aca="false">+DATOS_[[#This Row],[SALARIO BASE Ef]]+DATOS_[[#This Row],[Tot COMPL.SAL Ef]]</f>
        <v>0</v>
      </c>
      <c r="CF394" s="139" t="n">
        <f aca="false">+SUM(DATOS_[[#This Row],[C.Extra.01]:[C.Extra.05]])</f>
        <v>0</v>
      </c>
      <c r="CG394" s="139" t="n">
        <f aca="false">+DATOS_[[#This Row],[TOTAL SALARIO Ef]]+DATOS_[[#This Row],[Tot Extrasalarial Ef]]</f>
        <v>0</v>
      </c>
      <c r="CH394" s="140" t="n">
        <f aca="false">MIN(IF(DATOS_[[#This Row],[Fecha Fin Contrato]]="",$D$4,DATOS_[[#This Row],[Fecha Fin Contrato]]),$D$4)-MAX(DATOS_[[#This Row],[Fecha de Contratación]],$D$3)+1</f>
        <v>1</v>
      </c>
      <c r="CI394" s="141" t="str">
        <f aca="false">IF(COUNTIFS(DATOS_[id],DATOS_[[#This Row],[id]])&gt;1,DATOS_[[#This Row],[id]],"")</f>
        <v/>
      </c>
      <c r="CJ394" s="141" t="n">
        <f aca="false">(Inicio!$G$10-DATOS_[[#This Row],[Fecha Nacimiento]])/365.25</f>
        <v>0</v>
      </c>
      <c r="CK394" s="141" t="n">
        <f aca="false">(Inicio!$G$10-DATOS_[[#This Row],[Fecha de Antigüedad]])/365.25</f>
        <v>0</v>
      </c>
      <c r="CL394" s="141" t="e">
        <f aca="false">+VLOOKUP(DATOS_[[#This Row],[Clave de Contrato]],TblTiposContrato13[],3,0)</f>
        <v>#N/A</v>
      </c>
      <c r="CM394" s="141" t="e">
        <f aca="false">+VLOOKUP(DATOS_[[#This Row],[Clave de Contrato]],TblTiposContrato13[],4,0)</f>
        <v>#N/A</v>
      </c>
      <c r="CN394" s="141" t="str">
        <f aca="false">VLOOKUP(DATOS_[[#This Row],[Edad]],CONTRATOS!TblRngEdad,2,1)</f>
        <v>20  o menos</v>
      </c>
      <c r="CO394" s="141" t="str">
        <f aca="false">VLOOKUP(DATOS_[[#This Row],[Antigüedad]],TblRngAntg14[],2,1)</f>
        <v>0 a 1 años</v>
      </c>
    </row>
    <row r="395" customFormat="false" ht="13.8" hidden="false" customHeight="false" outlineLevel="0" collapsed="false">
      <c r="D395" s="128"/>
      <c r="E395" s="129"/>
      <c r="F395" s="129"/>
      <c r="G395" s="129"/>
      <c r="H395" s="130"/>
      <c r="I395" s="131"/>
      <c r="J395" s="128"/>
      <c r="K395" s="132"/>
      <c r="L395" s="132"/>
      <c r="M395" s="133"/>
      <c r="N395" s="133"/>
      <c r="O395" s="133"/>
      <c r="P395" s="129"/>
      <c r="Z395" s="75"/>
      <c r="AA395" s="76"/>
      <c r="AB395" s="76"/>
      <c r="AC395" s="129"/>
      <c r="AD395" s="134"/>
      <c r="AE395" s="134"/>
      <c r="AF395" s="134"/>
      <c r="AG395" s="134"/>
      <c r="AH395" s="134"/>
      <c r="AI395" s="134"/>
      <c r="AJ395" s="134"/>
      <c r="AK395" s="134"/>
      <c r="AL395" s="134"/>
      <c r="AM395" s="134"/>
      <c r="AN395" s="134"/>
      <c r="AO395" s="134"/>
      <c r="AP395" s="134"/>
      <c r="AQ395" s="134"/>
      <c r="AR395" s="134"/>
      <c r="AS395" s="134"/>
      <c r="AT395" s="134"/>
      <c r="AU395" s="134"/>
      <c r="AV395" s="134"/>
      <c r="AW395" s="134"/>
      <c r="AX395" s="134"/>
      <c r="AY395" s="134"/>
      <c r="AZ395" s="134"/>
      <c r="BA395" s="134"/>
      <c r="BB395" s="134"/>
      <c r="BC395" s="134"/>
      <c r="BD395" s="134"/>
      <c r="BE395" s="134"/>
      <c r="BF395" s="134"/>
      <c r="BG395" s="134"/>
      <c r="BH395" s="134"/>
      <c r="BI395" s="134"/>
      <c r="BJ395" s="134"/>
      <c r="BK395" s="134"/>
      <c r="BL395" s="134"/>
      <c r="BM395" s="135"/>
      <c r="BN395" s="136" t="n">
        <f aca="false">+MAX($D$3,DATOS_[[#This Row],[Fecha Inicio Sit. Contract.]])</f>
        <v>0</v>
      </c>
      <c r="BO395" s="136" t="n">
        <f aca="false">+MIN($D$4,DATOS_[[#This Row],[Fecha Fin Sit. Contract.]])</f>
        <v>0</v>
      </c>
      <c r="BP395" s="137" t="n">
        <f aca="false">+DATOS_[[#This Row],[% de jornada]]*IF(DATOS_[[#This Row],[% jornada reducida]]="",1,DATOS_[[#This Row],[% jornada reducida]])</f>
        <v>0</v>
      </c>
      <c r="BQ395" s="137" t="n">
        <f aca="false">+(DATOS_[[#This Row],[F.fin.cal]]-DATOS_[[#This Row],[F.ini.cal]]+1)/($D$4-$D$3+1)</f>
        <v>1</v>
      </c>
      <c r="BR395" s="137" t="str">
        <f aca="false">IF(OR(AND(DATOS_[[#This Row],[Fecha Fin Contrato]]&lt;$D$3,DATOS_[[#This Row],[Fecha Fin Contrato]]&lt;&gt;""),DATOS_[[#This Row],[Fecha de Contratación]]&gt;$D$4),"Fuera","Dentro")</f>
        <v>Dentro</v>
      </c>
      <c r="BS395" s="137" t="str">
        <f aca="false" t="array" ref="BS395:BS395">IF(MAX(IF(DATOS_[id]=DATOS_[[#This Row],[id]],DATOS_[F.fin.cal]))=DATOS_[[#This Row],[F.fin.cal]],"Sí","NO")</f>
        <v>Sí</v>
      </c>
      <c r="BT395" s="137" t="str">
        <f aca="false">IF(AND(DATOS_[[#This Row],[% normaliz]]&lt;&gt;1,DATOS_[[#This Row],[% anualiz]]=1),"Sí","NO")</f>
        <v>Sí</v>
      </c>
      <c r="BU395" s="137" t="str">
        <f aca="false">IF(AND(DATOS_[[#This Row],[% normaliz]]=1,DATOS_[[#This Row],[% anualiz]]&lt;&gt;1),"Sí","NO")</f>
        <v>NO</v>
      </c>
      <c r="BV395" s="137" t="str">
        <f aca="false">IF(AND(DATOS_[[#This Row],[% normaliz]]&lt;&gt;1,DATOS_[[#This Row],[% anualiz]]&lt;&gt;1),"Sí","NO")</f>
        <v>NO</v>
      </c>
      <c r="BW395" s="137" t="str">
        <f aca="false">+IF(DATOS_[[#This Row],[% normaliz]]*DATOS_[[#This Row],[% anualiz]]=1,"NO","Sí")</f>
        <v>Sí</v>
      </c>
      <c r="BX395" s="138" t="e">
        <f aca="false">(DATOS_[[#This Row],[S.BASE]]*(1/DATOS_[[#This Row],[% normaliz]])*(1/DATOS_[[#This Row],[% anualiz]]))*IF(DATOS_[[#This Row],[Check Equiparado]]="Sí",1,0)</f>
        <v>#DIV/0!</v>
      </c>
      <c r="BY3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5" s="138" t="e">
        <f aca="false">+DATOS_[[#This Row],[SALARIO BASE Eq]]+DATOS_[[#This Row],[Tot COMPL.SAL Eq]]</f>
        <v>#DIV/0!</v>
      </c>
      <c r="CA395" s="138" t="e">
        <f aca="false" t="array" ref="CA395:CA3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5" s="138" t="e">
        <f aca="false">+DATOS_[[#This Row],[TOTAL SALARIO Eq]]+DATOS_[[#This Row],[Tot Extrasalarial Eq]]</f>
        <v>#DIV/0!</v>
      </c>
      <c r="CC395" s="139" t="n">
        <f aca="false">DATOS_[[#This Row],[S.BASE]]</f>
        <v>0</v>
      </c>
      <c r="CD395" s="139" t="n">
        <f aca="false">+SUM(DATOS_[[#This Row],[Conc.Sal.01]:[Conc.Sal.30]])</f>
        <v>0</v>
      </c>
      <c r="CE395" s="139" t="n">
        <f aca="false">+DATOS_[[#This Row],[SALARIO BASE Ef]]+DATOS_[[#This Row],[Tot COMPL.SAL Ef]]</f>
        <v>0</v>
      </c>
      <c r="CF395" s="139" t="n">
        <f aca="false">+SUM(DATOS_[[#This Row],[C.Extra.01]:[C.Extra.05]])</f>
        <v>0</v>
      </c>
      <c r="CG395" s="139" t="n">
        <f aca="false">+DATOS_[[#This Row],[TOTAL SALARIO Ef]]+DATOS_[[#This Row],[Tot Extrasalarial Ef]]</f>
        <v>0</v>
      </c>
      <c r="CH395" s="140" t="n">
        <f aca="false">MIN(IF(DATOS_[[#This Row],[Fecha Fin Contrato]]="",$D$4,DATOS_[[#This Row],[Fecha Fin Contrato]]),$D$4)-MAX(DATOS_[[#This Row],[Fecha de Contratación]],$D$3)+1</f>
        <v>1</v>
      </c>
      <c r="CI395" s="141" t="str">
        <f aca="false">IF(COUNTIFS(DATOS_[id],DATOS_[[#This Row],[id]])&gt;1,DATOS_[[#This Row],[id]],"")</f>
        <v/>
      </c>
      <c r="CJ395" s="141" t="n">
        <f aca="false">(Inicio!$G$10-DATOS_[[#This Row],[Fecha Nacimiento]])/365.25</f>
        <v>0</v>
      </c>
      <c r="CK395" s="141" t="n">
        <f aca="false">(Inicio!$G$10-DATOS_[[#This Row],[Fecha de Antigüedad]])/365.25</f>
        <v>0</v>
      </c>
      <c r="CL395" s="141" t="e">
        <f aca="false">+VLOOKUP(DATOS_[[#This Row],[Clave de Contrato]],TblTiposContrato13[],3,0)</f>
        <v>#N/A</v>
      </c>
      <c r="CM395" s="141" t="e">
        <f aca="false">+VLOOKUP(DATOS_[[#This Row],[Clave de Contrato]],TblTiposContrato13[],4,0)</f>
        <v>#N/A</v>
      </c>
      <c r="CN395" s="141" t="str">
        <f aca="false">VLOOKUP(DATOS_[[#This Row],[Edad]],CONTRATOS!TblRngEdad,2,1)</f>
        <v>20  o menos</v>
      </c>
      <c r="CO395" s="141" t="str">
        <f aca="false">VLOOKUP(DATOS_[[#This Row],[Antigüedad]],TblRngAntg14[],2,1)</f>
        <v>0 a 1 años</v>
      </c>
    </row>
    <row r="396" customFormat="false" ht="13.8" hidden="false" customHeight="false" outlineLevel="0" collapsed="false">
      <c r="D396" s="128"/>
      <c r="E396" s="129"/>
      <c r="F396" s="129"/>
      <c r="G396" s="129"/>
      <c r="H396" s="130"/>
      <c r="I396" s="131"/>
      <c r="J396" s="128"/>
      <c r="K396" s="132"/>
      <c r="L396" s="132"/>
      <c r="M396" s="133"/>
      <c r="N396" s="133"/>
      <c r="O396" s="133"/>
      <c r="P396" s="129"/>
      <c r="Z396" s="75"/>
      <c r="AA396" s="76"/>
      <c r="AB396" s="76"/>
      <c r="AC396" s="129"/>
      <c r="AD396" s="134"/>
      <c r="AE396" s="134"/>
      <c r="AF396" s="134"/>
      <c r="AG396" s="134"/>
      <c r="AH396" s="134"/>
      <c r="AI396" s="134"/>
      <c r="AJ396" s="134"/>
      <c r="AK396" s="134"/>
      <c r="AL396" s="134"/>
      <c r="AM396" s="134"/>
      <c r="AN396" s="134"/>
      <c r="AO396" s="134"/>
      <c r="AP396" s="134"/>
      <c r="AQ396" s="134"/>
      <c r="AR396" s="134"/>
      <c r="AS396" s="134"/>
      <c r="AT396" s="134"/>
      <c r="AU396" s="134"/>
      <c r="AV396" s="134"/>
      <c r="AW396" s="134"/>
      <c r="AX396" s="134"/>
      <c r="AY396" s="134"/>
      <c r="AZ396" s="134"/>
      <c r="BA396" s="134"/>
      <c r="BB396" s="134"/>
      <c r="BC396" s="134"/>
      <c r="BD396" s="134"/>
      <c r="BE396" s="134"/>
      <c r="BF396" s="134"/>
      <c r="BG396" s="134"/>
      <c r="BH396" s="134"/>
      <c r="BI396" s="134"/>
      <c r="BJ396" s="134"/>
      <c r="BK396" s="134"/>
      <c r="BL396" s="134"/>
      <c r="BM396" s="135"/>
      <c r="BN396" s="136" t="n">
        <f aca="false">+MAX($D$3,DATOS_[[#This Row],[Fecha Inicio Sit. Contract.]])</f>
        <v>0</v>
      </c>
      <c r="BO396" s="136" t="n">
        <f aca="false">+MIN($D$4,DATOS_[[#This Row],[Fecha Fin Sit. Contract.]])</f>
        <v>0</v>
      </c>
      <c r="BP396" s="137" t="n">
        <f aca="false">+DATOS_[[#This Row],[% de jornada]]*IF(DATOS_[[#This Row],[% jornada reducida]]="",1,DATOS_[[#This Row],[% jornada reducida]])</f>
        <v>0</v>
      </c>
      <c r="BQ396" s="137" t="n">
        <f aca="false">+(DATOS_[[#This Row],[F.fin.cal]]-DATOS_[[#This Row],[F.ini.cal]]+1)/($D$4-$D$3+1)</f>
        <v>1</v>
      </c>
      <c r="BR396" s="137" t="str">
        <f aca="false">IF(OR(AND(DATOS_[[#This Row],[Fecha Fin Contrato]]&lt;$D$3,DATOS_[[#This Row],[Fecha Fin Contrato]]&lt;&gt;""),DATOS_[[#This Row],[Fecha de Contratación]]&gt;$D$4),"Fuera","Dentro")</f>
        <v>Dentro</v>
      </c>
      <c r="BS396" s="137" t="str">
        <f aca="false" t="array" ref="BS396:BS396">IF(MAX(IF(DATOS_[id]=DATOS_[[#This Row],[id]],DATOS_[F.fin.cal]))=DATOS_[[#This Row],[F.fin.cal]],"Sí","NO")</f>
        <v>Sí</v>
      </c>
      <c r="BT396" s="137" t="str">
        <f aca="false">IF(AND(DATOS_[[#This Row],[% normaliz]]&lt;&gt;1,DATOS_[[#This Row],[% anualiz]]=1),"Sí","NO")</f>
        <v>Sí</v>
      </c>
      <c r="BU396" s="137" t="str">
        <f aca="false">IF(AND(DATOS_[[#This Row],[% normaliz]]=1,DATOS_[[#This Row],[% anualiz]]&lt;&gt;1),"Sí","NO")</f>
        <v>NO</v>
      </c>
      <c r="BV396" s="137" t="str">
        <f aca="false">IF(AND(DATOS_[[#This Row],[% normaliz]]&lt;&gt;1,DATOS_[[#This Row],[% anualiz]]&lt;&gt;1),"Sí","NO")</f>
        <v>NO</v>
      </c>
      <c r="BW396" s="137" t="str">
        <f aca="false">+IF(DATOS_[[#This Row],[% normaliz]]*DATOS_[[#This Row],[% anualiz]]=1,"NO","Sí")</f>
        <v>Sí</v>
      </c>
      <c r="BX396" s="138" t="e">
        <f aca="false">(DATOS_[[#This Row],[S.BASE]]*(1/DATOS_[[#This Row],[% normaliz]])*(1/DATOS_[[#This Row],[% anualiz]]))*IF(DATOS_[[#This Row],[Check Equiparado]]="Sí",1,0)</f>
        <v>#DIV/0!</v>
      </c>
      <c r="BY3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6" s="138" t="e">
        <f aca="false">+DATOS_[[#This Row],[SALARIO BASE Eq]]+DATOS_[[#This Row],[Tot COMPL.SAL Eq]]</f>
        <v>#DIV/0!</v>
      </c>
      <c r="CA396" s="138" t="e">
        <f aca="false" t="array" ref="CA396:CA3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6" s="138" t="e">
        <f aca="false">+DATOS_[[#This Row],[TOTAL SALARIO Eq]]+DATOS_[[#This Row],[Tot Extrasalarial Eq]]</f>
        <v>#DIV/0!</v>
      </c>
      <c r="CC396" s="139" t="n">
        <f aca="false">DATOS_[[#This Row],[S.BASE]]</f>
        <v>0</v>
      </c>
      <c r="CD396" s="139" t="n">
        <f aca="false">+SUM(DATOS_[[#This Row],[Conc.Sal.01]:[Conc.Sal.30]])</f>
        <v>0</v>
      </c>
      <c r="CE396" s="139" t="n">
        <f aca="false">+DATOS_[[#This Row],[SALARIO BASE Ef]]+DATOS_[[#This Row],[Tot COMPL.SAL Ef]]</f>
        <v>0</v>
      </c>
      <c r="CF396" s="139" t="n">
        <f aca="false">+SUM(DATOS_[[#This Row],[C.Extra.01]:[C.Extra.05]])</f>
        <v>0</v>
      </c>
      <c r="CG396" s="139" t="n">
        <f aca="false">+DATOS_[[#This Row],[TOTAL SALARIO Ef]]+DATOS_[[#This Row],[Tot Extrasalarial Ef]]</f>
        <v>0</v>
      </c>
      <c r="CH396" s="140" t="n">
        <f aca="false">MIN(IF(DATOS_[[#This Row],[Fecha Fin Contrato]]="",$D$4,DATOS_[[#This Row],[Fecha Fin Contrato]]),$D$4)-MAX(DATOS_[[#This Row],[Fecha de Contratación]],$D$3)+1</f>
        <v>1</v>
      </c>
      <c r="CI396" s="141" t="str">
        <f aca="false">IF(COUNTIFS(DATOS_[id],DATOS_[[#This Row],[id]])&gt;1,DATOS_[[#This Row],[id]],"")</f>
        <v/>
      </c>
      <c r="CJ396" s="141" t="n">
        <f aca="false">(Inicio!$G$10-DATOS_[[#This Row],[Fecha Nacimiento]])/365.25</f>
        <v>0</v>
      </c>
      <c r="CK396" s="141" t="n">
        <f aca="false">(Inicio!$G$10-DATOS_[[#This Row],[Fecha de Antigüedad]])/365.25</f>
        <v>0</v>
      </c>
      <c r="CL396" s="141" t="e">
        <f aca="false">+VLOOKUP(DATOS_[[#This Row],[Clave de Contrato]],TblTiposContrato13[],3,0)</f>
        <v>#N/A</v>
      </c>
      <c r="CM396" s="141" t="e">
        <f aca="false">+VLOOKUP(DATOS_[[#This Row],[Clave de Contrato]],TblTiposContrato13[],4,0)</f>
        <v>#N/A</v>
      </c>
      <c r="CN396" s="141" t="str">
        <f aca="false">VLOOKUP(DATOS_[[#This Row],[Edad]],CONTRATOS!TblRngEdad,2,1)</f>
        <v>20  o menos</v>
      </c>
      <c r="CO396" s="141" t="str">
        <f aca="false">VLOOKUP(DATOS_[[#This Row],[Antigüedad]],TblRngAntg14[],2,1)</f>
        <v>0 a 1 años</v>
      </c>
    </row>
    <row r="397" customFormat="false" ht="13.8" hidden="false" customHeight="false" outlineLevel="0" collapsed="false">
      <c r="D397" s="128"/>
      <c r="E397" s="129"/>
      <c r="F397" s="129"/>
      <c r="G397" s="129"/>
      <c r="H397" s="130"/>
      <c r="I397" s="131"/>
      <c r="J397" s="128"/>
      <c r="K397" s="132"/>
      <c r="L397" s="132"/>
      <c r="M397" s="133"/>
      <c r="N397" s="133"/>
      <c r="O397" s="133"/>
      <c r="P397" s="129"/>
      <c r="Z397" s="75"/>
      <c r="AA397" s="76"/>
      <c r="AB397" s="76"/>
      <c r="AC397" s="129"/>
      <c r="AD397" s="134"/>
      <c r="AE397" s="134"/>
      <c r="AF397" s="134"/>
      <c r="AG397" s="134"/>
      <c r="AH397" s="134"/>
      <c r="AI397" s="134"/>
      <c r="AJ397" s="134"/>
      <c r="AK397" s="134"/>
      <c r="AL397" s="134"/>
      <c r="AM397" s="134"/>
      <c r="AN397" s="134"/>
      <c r="AO397" s="134"/>
      <c r="AP397" s="134"/>
      <c r="AQ397" s="134"/>
      <c r="AR397" s="134"/>
      <c r="AS397" s="134"/>
      <c r="AT397" s="134"/>
      <c r="AU397" s="134"/>
      <c r="AV397" s="134"/>
      <c r="AW397" s="134"/>
      <c r="AX397" s="134"/>
      <c r="AY397" s="134"/>
      <c r="AZ397" s="134"/>
      <c r="BA397" s="134"/>
      <c r="BB397" s="134"/>
      <c r="BC397" s="134"/>
      <c r="BD397" s="134"/>
      <c r="BE397" s="134"/>
      <c r="BF397" s="134"/>
      <c r="BG397" s="134"/>
      <c r="BH397" s="134"/>
      <c r="BI397" s="134"/>
      <c r="BJ397" s="134"/>
      <c r="BK397" s="134"/>
      <c r="BL397" s="134"/>
      <c r="BM397" s="135"/>
      <c r="BN397" s="136" t="n">
        <f aca="false">+MAX($D$3,DATOS_[[#This Row],[Fecha Inicio Sit. Contract.]])</f>
        <v>0</v>
      </c>
      <c r="BO397" s="136" t="n">
        <f aca="false">+MIN($D$4,DATOS_[[#This Row],[Fecha Fin Sit. Contract.]])</f>
        <v>0</v>
      </c>
      <c r="BP397" s="137" t="n">
        <f aca="false">+DATOS_[[#This Row],[% de jornada]]*IF(DATOS_[[#This Row],[% jornada reducida]]="",1,DATOS_[[#This Row],[% jornada reducida]])</f>
        <v>0</v>
      </c>
      <c r="BQ397" s="137" t="n">
        <f aca="false">+(DATOS_[[#This Row],[F.fin.cal]]-DATOS_[[#This Row],[F.ini.cal]]+1)/($D$4-$D$3+1)</f>
        <v>1</v>
      </c>
      <c r="BR397" s="137" t="str">
        <f aca="false">IF(OR(AND(DATOS_[[#This Row],[Fecha Fin Contrato]]&lt;$D$3,DATOS_[[#This Row],[Fecha Fin Contrato]]&lt;&gt;""),DATOS_[[#This Row],[Fecha de Contratación]]&gt;$D$4),"Fuera","Dentro")</f>
        <v>Dentro</v>
      </c>
      <c r="BS397" s="137" t="str">
        <f aca="false" t="array" ref="BS397:BS397">IF(MAX(IF(DATOS_[id]=DATOS_[[#This Row],[id]],DATOS_[F.fin.cal]))=DATOS_[[#This Row],[F.fin.cal]],"Sí","NO")</f>
        <v>Sí</v>
      </c>
      <c r="BT397" s="137" t="str">
        <f aca="false">IF(AND(DATOS_[[#This Row],[% normaliz]]&lt;&gt;1,DATOS_[[#This Row],[% anualiz]]=1),"Sí","NO")</f>
        <v>Sí</v>
      </c>
      <c r="BU397" s="137" t="str">
        <f aca="false">IF(AND(DATOS_[[#This Row],[% normaliz]]=1,DATOS_[[#This Row],[% anualiz]]&lt;&gt;1),"Sí","NO")</f>
        <v>NO</v>
      </c>
      <c r="BV397" s="137" t="str">
        <f aca="false">IF(AND(DATOS_[[#This Row],[% normaliz]]&lt;&gt;1,DATOS_[[#This Row],[% anualiz]]&lt;&gt;1),"Sí","NO")</f>
        <v>NO</v>
      </c>
      <c r="BW397" s="137" t="str">
        <f aca="false">+IF(DATOS_[[#This Row],[% normaliz]]*DATOS_[[#This Row],[% anualiz]]=1,"NO","Sí")</f>
        <v>Sí</v>
      </c>
      <c r="BX397" s="138" t="e">
        <f aca="false">(DATOS_[[#This Row],[S.BASE]]*(1/DATOS_[[#This Row],[% normaliz]])*(1/DATOS_[[#This Row],[% anualiz]]))*IF(DATOS_[[#This Row],[Check Equiparado]]="Sí",1,0)</f>
        <v>#DIV/0!</v>
      </c>
      <c r="BY3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7" s="138" t="e">
        <f aca="false">+DATOS_[[#This Row],[SALARIO BASE Eq]]+DATOS_[[#This Row],[Tot COMPL.SAL Eq]]</f>
        <v>#DIV/0!</v>
      </c>
      <c r="CA397" s="138" t="e">
        <f aca="false" t="array" ref="CA397:CA3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7" s="138" t="e">
        <f aca="false">+DATOS_[[#This Row],[TOTAL SALARIO Eq]]+DATOS_[[#This Row],[Tot Extrasalarial Eq]]</f>
        <v>#DIV/0!</v>
      </c>
      <c r="CC397" s="139" t="n">
        <f aca="false">DATOS_[[#This Row],[S.BASE]]</f>
        <v>0</v>
      </c>
      <c r="CD397" s="139" t="n">
        <f aca="false">+SUM(DATOS_[[#This Row],[Conc.Sal.01]:[Conc.Sal.30]])</f>
        <v>0</v>
      </c>
      <c r="CE397" s="139" t="n">
        <f aca="false">+DATOS_[[#This Row],[SALARIO BASE Ef]]+DATOS_[[#This Row],[Tot COMPL.SAL Ef]]</f>
        <v>0</v>
      </c>
      <c r="CF397" s="139" t="n">
        <f aca="false">+SUM(DATOS_[[#This Row],[C.Extra.01]:[C.Extra.05]])</f>
        <v>0</v>
      </c>
      <c r="CG397" s="139" t="n">
        <f aca="false">+DATOS_[[#This Row],[TOTAL SALARIO Ef]]+DATOS_[[#This Row],[Tot Extrasalarial Ef]]</f>
        <v>0</v>
      </c>
      <c r="CH397" s="140" t="n">
        <f aca="false">MIN(IF(DATOS_[[#This Row],[Fecha Fin Contrato]]="",$D$4,DATOS_[[#This Row],[Fecha Fin Contrato]]),$D$4)-MAX(DATOS_[[#This Row],[Fecha de Contratación]],$D$3)+1</f>
        <v>1</v>
      </c>
      <c r="CI397" s="141" t="str">
        <f aca="false">IF(COUNTIFS(DATOS_[id],DATOS_[[#This Row],[id]])&gt;1,DATOS_[[#This Row],[id]],"")</f>
        <v/>
      </c>
      <c r="CJ397" s="141" t="n">
        <f aca="false">(Inicio!$G$10-DATOS_[[#This Row],[Fecha Nacimiento]])/365.25</f>
        <v>0</v>
      </c>
      <c r="CK397" s="141" t="n">
        <f aca="false">(Inicio!$G$10-DATOS_[[#This Row],[Fecha de Antigüedad]])/365.25</f>
        <v>0</v>
      </c>
      <c r="CL397" s="141" t="e">
        <f aca="false">+VLOOKUP(DATOS_[[#This Row],[Clave de Contrato]],TblTiposContrato13[],3,0)</f>
        <v>#N/A</v>
      </c>
      <c r="CM397" s="141" t="e">
        <f aca="false">+VLOOKUP(DATOS_[[#This Row],[Clave de Contrato]],TblTiposContrato13[],4,0)</f>
        <v>#N/A</v>
      </c>
      <c r="CN397" s="141" t="str">
        <f aca="false">VLOOKUP(DATOS_[[#This Row],[Edad]],CONTRATOS!TblRngEdad,2,1)</f>
        <v>20  o menos</v>
      </c>
      <c r="CO397" s="141" t="str">
        <f aca="false">VLOOKUP(DATOS_[[#This Row],[Antigüedad]],TblRngAntg14[],2,1)</f>
        <v>0 a 1 años</v>
      </c>
    </row>
    <row r="398" customFormat="false" ht="13.8" hidden="false" customHeight="false" outlineLevel="0" collapsed="false">
      <c r="D398" s="128"/>
      <c r="E398" s="129"/>
      <c r="F398" s="129"/>
      <c r="G398" s="129"/>
      <c r="H398" s="130"/>
      <c r="I398" s="131"/>
      <c r="J398" s="128"/>
      <c r="K398" s="132"/>
      <c r="L398" s="132"/>
      <c r="M398" s="133"/>
      <c r="N398" s="133"/>
      <c r="O398" s="133"/>
      <c r="P398" s="129"/>
      <c r="Z398" s="75"/>
      <c r="AA398" s="76"/>
      <c r="AB398" s="76"/>
      <c r="AC398" s="129"/>
      <c r="AD398" s="134"/>
      <c r="AE398" s="134"/>
      <c r="AF398" s="134"/>
      <c r="AG398" s="134"/>
      <c r="AH398" s="134"/>
      <c r="AI398" s="134"/>
      <c r="AJ398" s="134"/>
      <c r="AK398" s="134"/>
      <c r="AL398" s="134"/>
      <c r="AM398" s="134"/>
      <c r="AN398" s="134"/>
      <c r="AO398" s="134"/>
      <c r="AP398" s="134"/>
      <c r="AQ398" s="134"/>
      <c r="AR398" s="134"/>
      <c r="AS398" s="134"/>
      <c r="AT398" s="134"/>
      <c r="AU398" s="134"/>
      <c r="AV398" s="134"/>
      <c r="AW398" s="134"/>
      <c r="AX398" s="134"/>
      <c r="AY398" s="134"/>
      <c r="AZ398" s="134"/>
      <c r="BA398" s="134"/>
      <c r="BB398" s="134"/>
      <c r="BC398" s="134"/>
      <c r="BD398" s="134"/>
      <c r="BE398" s="134"/>
      <c r="BF398" s="134"/>
      <c r="BG398" s="134"/>
      <c r="BH398" s="134"/>
      <c r="BI398" s="134"/>
      <c r="BJ398" s="134"/>
      <c r="BK398" s="134"/>
      <c r="BL398" s="134"/>
      <c r="BM398" s="135"/>
      <c r="BN398" s="136" t="n">
        <f aca="false">+MAX($D$3,DATOS_[[#This Row],[Fecha Inicio Sit. Contract.]])</f>
        <v>0</v>
      </c>
      <c r="BO398" s="136" t="n">
        <f aca="false">+MIN($D$4,DATOS_[[#This Row],[Fecha Fin Sit. Contract.]])</f>
        <v>0</v>
      </c>
      <c r="BP398" s="137" t="n">
        <f aca="false">+DATOS_[[#This Row],[% de jornada]]*IF(DATOS_[[#This Row],[% jornada reducida]]="",1,DATOS_[[#This Row],[% jornada reducida]])</f>
        <v>0</v>
      </c>
      <c r="BQ398" s="137" t="n">
        <f aca="false">+(DATOS_[[#This Row],[F.fin.cal]]-DATOS_[[#This Row],[F.ini.cal]]+1)/($D$4-$D$3+1)</f>
        <v>1</v>
      </c>
      <c r="BR398" s="137" t="str">
        <f aca="false">IF(OR(AND(DATOS_[[#This Row],[Fecha Fin Contrato]]&lt;$D$3,DATOS_[[#This Row],[Fecha Fin Contrato]]&lt;&gt;""),DATOS_[[#This Row],[Fecha de Contratación]]&gt;$D$4),"Fuera","Dentro")</f>
        <v>Dentro</v>
      </c>
      <c r="BS398" s="137" t="str">
        <f aca="false" t="array" ref="BS398:BS398">IF(MAX(IF(DATOS_[id]=DATOS_[[#This Row],[id]],DATOS_[F.fin.cal]))=DATOS_[[#This Row],[F.fin.cal]],"Sí","NO")</f>
        <v>Sí</v>
      </c>
      <c r="BT398" s="137" t="str">
        <f aca="false">IF(AND(DATOS_[[#This Row],[% normaliz]]&lt;&gt;1,DATOS_[[#This Row],[% anualiz]]=1),"Sí","NO")</f>
        <v>Sí</v>
      </c>
      <c r="BU398" s="137" t="str">
        <f aca="false">IF(AND(DATOS_[[#This Row],[% normaliz]]=1,DATOS_[[#This Row],[% anualiz]]&lt;&gt;1),"Sí","NO")</f>
        <v>NO</v>
      </c>
      <c r="BV398" s="137" t="str">
        <f aca="false">IF(AND(DATOS_[[#This Row],[% normaliz]]&lt;&gt;1,DATOS_[[#This Row],[% anualiz]]&lt;&gt;1),"Sí","NO")</f>
        <v>NO</v>
      </c>
      <c r="BW398" s="137" t="str">
        <f aca="false">+IF(DATOS_[[#This Row],[% normaliz]]*DATOS_[[#This Row],[% anualiz]]=1,"NO","Sí")</f>
        <v>Sí</v>
      </c>
      <c r="BX398" s="138" t="e">
        <f aca="false">(DATOS_[[#This Row],[S.BASE]]*(1/DATOS_[[#This Row],[% normaliz]])*(1/DATOS_[[#This Row],[% anualiz]]))*IF(DATOS_[[#This Row],[Check Equiparado]]="Sí",1,0)</f>
        <v>#DIV/0!</v>
      </c>
      <c r="BY3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8" s="138" t="e">
        <f aca="false">+DATOS_[[#This Row],[SALARIO BASE Eq]]+DATOS_[[#This Row],[Tot COMPL.SAL Eq]]</f>
        <v>#DIV/0!</v>
      </c>
      <c r="CA398" s="138" t="e">
        <f aca="false" t="array" ref="CA398:CA3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8" s="138" t="e">
        <f aca="false">+DATOS_[[#This Row],[TOTAL SALARIO Eq]]+DATOS_[[#This Row],[Tot Extrasalarial Eq]]</f>
        <v>#DIV/0!</v>
      </c>
      <c r="CC398" s="139" t="n">
        <f aca="false">DATOS_[[#This Row],[S.BASE]]</f>
        <v>0</v>
      </c>
      <c r="CD398" s="139" t="n">
        <f aca="false">+SUM(DATOS_[[#This Row],[Conc.Sal.01]:[Conc.Sal.30]])</f>
        <v>0</v>
      </c>
      <c r="CE398" s="139" t="n">
        <f aca="false">+DATOS_[[#This Row],[SALARIO BASE Ef]]+DATOS_[[#This Row],[Tot COMPL.SAL Ef]]</f>
        <v>0</v>
      </c>
      <c r="CF398" s="139" t="n">
        <f aca="false">+SUM(DATOS_[[#This Row],[C.Extra.01]:[C.Extra.05]])</f>
        <v>0</v>
      </c>
      <c r="CG398" s="139" t="n">
        <f aca="false">+DATOS_[[#This Row],[TOTAL SALARIO Ef]]+DATOS_[[#This Row],[Tot Extrasalarial Ef]]</f>
        <v>0</v>
      </c>
      <c r="CH398" s="140" t="n">
        <f aca="false">MIN(IF(DATOS_[[#This Row],[Fecha Fin Contrato]]="",$D$4,DATOS_[[#This Row],[Fecha Fin Contrato]]),$D$4)-MAX(DATOS_[[#This Row],[Fecha de Contratación]],$D$3)+1</f>
        <v>1</v>
      </c>
      <c r="CI398" s="141" t="str">
        <f aca="false">IF(COUNTIFS(DATOS_[id],DATOS_[[#This Row],[id]])&gt;1,DATOS_[[#This Row],[id]],"")</f>
        <v/>
      </c>
      <c r="CJ398" s="141" t="n">
        <f aca="false">(Inicio!$G$10-DATOS_[[#This Row],[Fecha Nacimiento]])/365.25</f>
        <v>0</v>
      </c>
      <c r="CK398" s="141" t="n">
        <f aca="false">(Inicio!$G$10-DATOS_[[#This Row],[Fecha de Antigüedad]])/365.25</f>
        <v>0</v>
      </c>
      <c r="CL398" s="141" t="e">
        <f aca="false">+VLOOKUP(DATOS_[[#This Row],[Clave de Contrato]],TblTiposContrato13[],3,0)</f>
        <v>#N/A</v>
      </c>
      <c r="CM398" s="141" t="e">
        <f aca="false">+VLOOKUP(DATOS_[[#This Row],[Clave de Contrato]],TblTiposContrato13[],4,0)</f>
        <v>#N/A</v>
      </c>
      <c r="CN398" s="141" t="str">
        <f aca="false">VLOOKUP(DATOS_[[#This Row],[Edad]],CONTRATOS!TblRngEdad,2,1)</f>
        <v>20  o menos</v>
      </c>
      <c r="CO398" s="141" t="str">
        <f aca="false">VLOOKUP(DATOS_[[#This Row],[Antigüedad]],TblRngAntg14[],2,1)</f>
        <v>0 a 1 años</v>
      </c>
    </row>
    <row r="399" customFormat="false" ht="13.8" hidden="false" customHeight="false" outlineLevel="0" collapsed="false">
      <c r="D399" s="128"/>
      <c r="E399" s="129"/>
      <c r="F399" s="129"/>
      <c r="G399" s="129"/>
      <c r="H399" s="130"/>
      <c r="I399" s="131"/>
      <c r="J399" s="128"/>
      <c r="K399" s="132"/>
      <c r="L399" s="132"/>
      <c r="M399" s="133"/>
      <c r="N399" s="133"/>
      <c r="O399" s="133"/>
      <c r="P399" s="129"/>
      <c r="Z399" s="75"/>
      <c r="AA399" s="76"/>
      <c r="AB399" s="76"/>
      <c r="AC399" s="129"/>
      <c r="AD399" s="134"/>
      <c r="AE399" s="134"/>
      <c r="AF399" s="134"/>
      <c r="AG399" s="134"/>
      <c r="AH399" s="134"/>
      <c r="AI399" s="134"/>
      <c r="AJ399" s="134"/>
      <c r="AK399" s="134"/>
      <c r="AL399" s="134"/>
      <c r="AM399" s="134"/>
      <c r="AN399" s="134"/>
      <c r="AO399" s="134"/>
      <c r="AP399" s="134"/>
      <c r="AQ399" s="134"/>
      <c r="AR399" s="134"/>
      <c r="AS399" s="134"/>
      <c r="AT399" s="134"/>
      <c r="AU399" s="134"/>
      <c r="AV399" s="134"/>
      <c r="AW399" s="134"/>
      <c r="AX399" s="134"/>
      <c r="AY399" s="134"/>
      <c r="AZ399" s="134"/>
      <c r="BA399" s="134"/>
      <c r="BB399" s="134"/>
      <c r="BC399" s="134"/>
      <c r="BD399" s="134"/>
      <c r="BE399" s="134"/>
      <c r="BF399" s="134"/>
      <c r="BG399" s="134"/>
      <c r="BH399" s="134"/>
      <c r="BI399" s="134"/>
      <c r="BJ399" s="134"/>
      <c r="BK399" s="134"/>
      <c r="BL399" s="134"/>
      <c r="BM399" s="135"/>
      <c r="BN399" s="136" t="n">
        <f aca="false">+MAX($D$3,DATOS_[[#This Row],[Fecha Inicio Sit. Contract.]])</f>
        <v>0</v>
      </c>
      <c r="BO399" s="136" t="n">
        <f aca="false">+MIN($D$4,DATOS_[[#This Row],[Fecha Fin Sit. Contract.]])</f>
        <v>0</v>
      </c>
      <c r="BP399" s="137" t="n">
        <f aca="false">+DATOS_[[#This Row],[% de jornada]]*IF(DATOS_[[#This Row],[% jornada reducida]]="",1,DATOS_[[#This Row],[% jornada reducida]])</f>
        <v>0</v>
      </c>
      <c r="BQ399" s="137" t="n">
        <f aca="false">+(DATOS_[[#This Row],[F.fin.cal]]-DATOS_[[#This Row],[F.ini.cal]]+1)/($D$4-$D$3+1)</f>
        <v>1</v>
      </c>
      <c r="BR399" s="137" t="str">
        <f aca="false">IF(OR(AND(DATOS_[[#This Row],[Fecha Fin Contrato]]&lt;$D$3,DATOS_[[#This Row],[Fecha Fin Contrato]]&lt;&gt;""),DATOS_[[#This Row],[Fecha de Contratación]]&gt;$D$4),"Fuera","Dentro")</f>
        <v>Dentro</v>
      </c>
      <c r="BS399" s="137" t="str">
        <f aca="false" t="array" ref="BS399:BS399">IF(MAX(IF(DATOS_[id]=DATOS_[[#This Row],[id]],DATOS_[F.fin.cal]))=DATOS_[[#This Row],[F.fin.cal]],"Sí","NO")</f>
        <v>Sí</v>
      </c>
      <c r="BT399" s="137" t="str">
        <f aca="false">IF(AND(DATOS_[[#This Row],[% normaliz]]&lt;&gt;1,DATOS_[[#This Row],[% anualiz]]=1),"Sí","NO")</f>
        <v>Sí</v>
      </c>
      <c r="BU399" s="137" t="str">
        <f aca="false">IF(AND(DATOS_[[#This Row],[% normaliz]]=1,DATOS_[[#This Row],[% anualiz]]&lt;&gt;1),"Sí","NO")</f>
        <v>NO</v>
      </c>
      <c r="BV399" s="137" t="str">
        <f aca="false">IF(AND(DATOS_[[#This Row],[% normaliz]]&lt;&gt;1,DATOS_[[#This Row],[% anualiz]]&lt;&gt;1),"Sí","NO")</f>
        <v>NO</v>
      </c>
      <c r="BW399" s="137" t="str">
        <f aca="false">+IF(DATOS_[[#This Row],[% normaliz]]*DATOS_[[#This Row],[% anualiz]]=1,"NO","Sí")</f>
        <v>Sí</v>
      </c>
      <c r="BX399" s="138" t="e">
        <f aca="false">(DATOS_[[#This Row],[S.BASE]]*(1/DATOS_[[#This Row],[% normaliz]])*(1/DATOS_[[#This Row],[% anualiz]]))*IF(DATOS_[[#This Row],[Check Equiparado]]="Sí",1,0)</f>
        <v>#DIV/0!</v>
      </c>
      <c r="BY3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9" s="138" t="e">
        <f aca="false">+DATOS_[[#This Row],[SALARIO BASE Eq]]+DATOS_[[#This Row],[Tot COMPL.SAL Eq]]</f>
        <v>#DIV/0!</v>
      </c>
      <c r="CA399" s="138" t="e">
        <f aca="false" t="array" ref="CA399:CA3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9" s="138" t="e">
        <f aca="false">+DATOS_[[#This Row],[TOTAL SALARIO Eq]]+DATOS_[[#This Row],[Tot Extrasalarial Eq]]</f>
        <v>#DIV/0!</v>
      </c>
      <c r="CC399" s="139" t="n">
        <f aca="false">DATOS_[[#This Row],[S.BASE]]</f>
        <v>0</v>
      </c>
      <c r="CD399" s="139" t="n">
        <f aca="false">+SUM(DATOS_[[#This Row],[Conc.Sal.01]:[Conc.Sal.30]])</f>
        <v>0</v>
      </c>
      <c r="CE399" s="139" t="n">
        <f aca="false">+DATOS_[[#This Row],[SALARIO BASE Ef]]+DATOS_[[#This Row],[Tot COMPL.SAL Ef]]</f>
        <v>0</v>
      </c>
      <c r="CF399" s="139" t="n">
        <f aca="false">+SUM(DATOS_[[#This Row],[C.Extra.01]:[C.Extra.05]])</f>
        <v>0</v>
      </c>
      <c r="CG399" s="139" t="n">
        <f aca="false">+DATOS_[[#This Row],[TOTAL SALARIO Ef]]+DATOS_[[#This Row],[Tot Extrasalarial Ef]]</f>
        <v>0</v>
      </c>
      <c r="CH399" s="140" t="n">
        <f aca="false">MIN(IF(DATOS_[[#This Row],[Fecha Fin Contrato]]="",$D$4,DATOS_[[#This Row],[Fecha Fin Contrato]]),$D$4)-MAX(DATOS_[[#This Row],[Fecha de Contratación]],$D$3)+1</f>
        <v>1</v>
      </c>
      <c r="CI399" s="141" t="str">
        <f aca="false">IF(COUNTIFS(DATOS_[id],DATOS_[[#This Row],[id]])&gt;1,DATOS_[[#This Row],[id]],"")</f>
        <v/>
      </c>
      <c r="CJ399" s="141" t="n">
        <f aca="false">(Inicio!$G$10-DATOS_[[#This Row],[Fecha Nacimiento]])/365.25</f>
        <v>0</v>
      </c>
      <c r="CK399" s="141" t="n">
        <f aca="false">(Inicio!$G$10-DATOS_[[#This Row],[Fecha de Antigüedad]])/365.25</f>
        <v>0</v>
      </c>
      <c r="CL399" s="141" t="e">
        <f aca="false">+VLOOKUP(DATOS_[[#This Row],[Clave de Contrato]],TblTiposContrato13[],3,0)</f>
        <v>#N/A</v>
      </c>
      <c r="CM399" s="141" t="e">
        <f aca="false">+VLOOKUP(DATOS_[[#This Row],[Clave de Contrato]],TblTiposContrato13[],4,0)</f>
        <v>#N/A</v>
      </c>
      <c r="CN399" s="141" t="str">
        <f aca="false">VLOOKUP(DATOS_[[#This Row],[Edad]],CONTRATOS!TblRngEdad,2,1)</f>
        <v>20  o menos</v>
      </c>
      <c r="CO399" s="141" t="str">
        <f aca="false">VLOOKUP(DATOS_[[#This Row],[Antigüedad]],TblRngAntg14[],2,1)</f>
        <v>0 a 1 años</v>
      </c>
    </row>
    <row r="400" customFormat="false" ht="13.8" hidden="false" customHeight="false" outlineLevel="0" collapsed="false">
      <c r="D400" s="128"/>
      <c r="E400" s="129"/>
      <c r="F400" s="129"/>
      <c r="G400" s="129"/>
      <c r="H400" s="130"/>
      <c r="I400" s="131"/>
      <c r="J400" s="128"/>
      <c r="K400" s="132"/>
      <c r="L400" s="132"/>
      <c r="M400" s="133"/>
      <c r="N400" s="133"/>
      <c r="O400" s="133"/>
      <c r="P400" s="129"/>
      <c r="Z400" s="75"/>
      <c r="AA400" s="76"/>
      <c r="AB400" s="76"/>
      <c r="AC400" s="129"/>
      <c r="AD400" s="134"/>
      <c r="AE400" s="134"/>
      <c r="AF400" s="134"/>
      <c r="AG400" s="134"/>
      <c r="AH400" s="134"/>
      <c r="AI400" s="134"/>
      <c r="AJ400" s="134"/>
      <c r="AK400" s="134"/>
      <c r="AL400" s="134"/>
      <c r="AM400" s="134"/>
      <c r="AN400" s="134"/>
      <c r="AO400" s="134"/>
      <c r="AP400" s="134"/>
      <c r="AQ400" s="134"/>
      <c r="AR400" s="134"/>
      <c r="AS400" s="134"/>
      <c r="AT400" s="134"/>
      <c r="AU400" s="134"/>
      <c r="AV400" s="134"/>
      <c r="AW400" s="134"/>
      <c r="AX400" s="134"/>
      <c r="AY400" s="134"/>
      <c r="AZ400" s="134"/>
      <c r="BA400" s="134"/>
      <c r="BB400" s="134"/>
      <c r="BC400" s="134"/>
      <c r="BD400" s="134"/>
      <c r="BE400" s="134"/>
      <c r="BF400" s="134"/>
      <c r="BG400" s="134"/>
      <c r="BH400" s="134"/>
      <c r="BI400" s="134"/>
      <c r="BJ400" s="134"/>
      <c r="BK400" s="134"/>
      <c r="BL400" s="134"/>
      <c r="BM400" s="135"/>
      <c r="BN400" s="136" t="n">
        <f aca="false">+MAX($D$3,DATOS_[[#This Row],[Fecha Inicio Sit. Contract.]])</f>
        <v>0</v>
      </c>
      <c r="BO400" s="136" t="n">
        <f aca="false">+MIN($D$4,DATOS_[[#This Row],[Fecha Fin Sit. Contract.]])</f>
        <v>0</v>
      </c>
      <c r="BP400" s="137" t="n">
        <f aca="false">+DATOS_[[#This Row],[% de jornada]]*IF(DATOS_[[#This Row],[% jornada reducida]]="",1,DATOS_[[#This Row],[% jornada reducida]])</f>
        <v>0</v>
      </c>
      <c r="BQ400" s="137" t="n">
        <f aca="false">+(DATOS_[[#This Row],[F.fin.cal]]-DATOS_[[#This Row],[F.ini.cal]]+1)/($D$4-$D$3+1)</f>
        <v>1</v>
      </c>
      <c r="BR400" s="137" t="str">
        <f aca="false">IF(OR(AND(DATOS_[[#This Row],[Fecha Fin Contrato]]&lt;$D$3,DATOS_[[#This Row],[Fecha Fin Contrato]]&lt;&gt;""),DATOS_[[#This Row],[Fecha de Contratación]]&gt;$D$4),"Fuera","Dentro")</f>
        <v>Dentro</v>
      </c>
      <c r="BS400" s="137" t="str">
        <f aca="false" t="array" ref="BS400:BS400">IF(MAX(IF(DATOS_[id]=DATOS_[[#This Row],[id]],DATOS_[F.fin.cal]))=DATOS_[[#This Row],[F.fin.cal]],"Sí","NO")</f>
        <v>Sí</v>
      </c>
      <c r="BT400" s="137" t="str">
        <f aca="false">IF(AND(DATOS_[[#This Row],[% normaliz]]&lt;&gt;1,DATOS_[[#This Row],[% anualiz]]=1),"Sí","NO")</f>
        <v>Sí</v>
      </c>
      <c r="BU400" s="137" t="str">
        <f aca="false">IF(AND(DATOS_[[#This Row],[% normaliz]]=1,DATOS_[[#This Row],[% anualiz]]&lt;&gt;1),"Sí","NO")</f>
        <v>NO</v>
      </c>
      <c r="BV400" s="137" t="str">
        <f aca="false">IF(AND(DATOS_[[#This Row],[% normaliz]]&lt;&gt;1,DATOS_[[#This Row],[% anualiz]]&lt;&gt;1),"Sí","NO")</f>
        <v>NO</v>
      </c>
      <c r="BW400" s="137" t="str">
        <f aca="false">+IF(DATOS_[[#This Row],[% normaliz]]*DATOS_[[#This Row],[% anualiz]]=1,"NO","Sí")</f>
        <v>Sí</v>
      </c>
      <c r="BX400" s="138" t="e">
        <f aca="false">(DATOS_[[#This Row],[S.BASE]]*(1/DATOS_[[#This Row],[% normaliz]])*(1/DATOS_[[#This Row],[% anualiz]]))*IF(DATOS_[[#This Row],[Check Equiparado]]="Sí",1,0)</f>
        <v>#DIV/0!</v>
      </c>
      <c r="BY4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0" s="138" t="e">
        <f aca="false">+DATOS_[[#This Row],[SALARIO BASE Eq]]+DATOS_[[#This Row],[Tot COMPL.SAL Eq]]</f>
        <v>#DIV/0!</v>
      </c>
      <c r="CA400" s="138" t="e">
        <f aca="false" t="array" ref="CA400:CA4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0" s="138" t="e">
        <f aca="false">+DATOS_[[#This Row],[TOTAL SALARIO Eq]]+DATOS_[[#This Row],[Tot Extrasalarial Eq]]</f>
        <v>#DIV/0!</v>
      </c>
      <c r="CC400" s="139" t="n">
        <f aca="false">DATOS_[[#This Row],[S.BASE]]</f>
        <v>0</v>
      </c>
      <c r="CD400" s="139" t="n">
        <f aca="false">+SUM(DATOS_[[#This Row],[Conc.Sal.01]:[Conc.Sal.30]])</f>
        <v>0</v>
      </c>
      <c r="CE400" s="139" t="n">
        <f aca="false">+DATOS_[[#This Row],[SALARIO BASE Ef]]+DATOS_[[#This Row],[Tot COMPL.SAL Ef]]</f>
        <v>0</v>
      </c>
      <c r="CF400" s="139" t="n">
        <f aca="false">+SUM(DATOS_[[#This Row],[C.Extra.01]:[C.Extra.05]])</f>
        <v>0</v>
      </c>
      <c r="CG400" s="139" t="n">
        <f aca="false">+DATOS_[[#This Row],[TOTAL SALARIO Ef]]+DATOS_[[#This Row],[Tot Extrasalarial Ef]]</f>
        <v>0</v>
      </c>
      <c r="CH400" s="140" t="n">
        <f aca="false">MIN(IF(DATOS_[[#This Row],[Fecha Fin Contrato]]="",$D$4,DATOS_[[#This Row],[Fecha Fin Contrato]]),$D$4)-MAX(DATOS_[[#This Row],[Fecha de Contratación]],$D$3)+1</f>
        <v>1</v>
      </c>
      <c r="CI400" s="141" t="str">
        <f aca="false">IF(COUNTIFS(DATOS_[id],DATOS_[[#This Row],[id]])&gt;1,DATOS_[[#This Row],[id]],"")</f>
        <v/>
      </c>
      <c r="CJ400" s="141" t="n">
        <f aca="false">(Inicio!$G$10-DATOS_[[#This Row],[Fecha Nacimiento]])/365.25</f>
        <v>0</v>
      </c>
      <c r="CK400" s="141" t="n">
        <f aca="false">(Inicio!$G$10-DATOS_[[#This Row],[Fecha de Antigüedad]])/365.25</f>
        <v>0</v>
      </c>
      <c r="CL400" s="141" t="e">
        <f aca="false">+VLOOKUP(DATOS_[[#This Row],[Clave de Contrato]],TblTiposContrato13[],3,0)</f>
        <v>#N/A</v>
      </c>
      <c r="CM400" s="141" t="e">
        <f aca="false">+VLOOKUP(DATOS_[[#This Row],[Clave de Contrato]],TblTiposContrato13[],4,0)</f>
        <v>#N/A</v>
      </c>
      <c r="CN400" s="141" t="str">
        <f aca="false">VLOOKUP(DATOS_[[#This Row],[Edad]],CONTRATOS!TblRngEdad,2,1)</f>
        <v>20  o menos</v>
      </c>
      <c r="CO400" s="141" t="str">
        <f aca="false">VLOOKUP(DATOS_[[#This Row],[Antigüedad]],TblRngAntg14[],2,1)</f>
        <v>0 a 1 años</v>
      </c>
    </row>
    <row r="401" customFormat="false" ht="13.8" hidden="false" customHeight="false" outlineLevel="0" collapsed="false">
      <c r="D401" s="128"/>
      <c r="E401" s="129"/>
      <c r="F401" s="129"/>
      <c r="G401" s="129"/>
      <c r="H401" s="130"/>
      <c r="I401" s="131"/>
      <c r="J401" s="128"/>
      <c r="K401" s="132"/>
      <c r="L401" s="132"/>
      <c r="M401" s="133"/>
      <c r="N401" s="133"/>
      <c r="O401" s="133"/>
      <c r="P401" s="129"/>
      <c r="Z401" s="75"/>
      <c r="AA401" s="76"/>
      <c r="AB401" s="76"/>
      <c r="AC401" s="129"/>
      <c r="AD401" s="134"/>
      <c r="AE401" s="134"/>
      <c r="AF401" s="134"/>
      <c r="AG401" s="134"/>
      <c r="AH401" s="134"/>
      <c r="AI401" s="134"/>
      <c r="AJ401" s="134"/>
      <c r="AK401" s="134"/>
      <c r="AL401" s="134"/>
      <c r="AM401" s="134"/>
      <c r="AN401" s="134"/>
      <c r="AO401" s="134"/>
      <c r="AP401" s="134"/>
      <c r="AQ401" s="134"/>
      <c r="AR401" s="134"/>
      <c r="AS401" s="134"/>
      <c r="AT401" s="134"/>
      <c r="AU401" s="134"/>
      <c r="AV401" s="134"/>
      <c r="AW401" s="134"/>
      <c r="AX401" s="134"/>
      <c r="AY401" s="134"/>
      <c r="AZ401" s="134"/>
      <c r="BA401" s="134"/>
      <c r="BB401" s="134"/>
      <c r="BC401" s="134"/>
      <c r="BD401" s="134"/>
      <c r="BE401" s="134"/>
      <c r="BF401" s="134"/>
      <c r="BG401" s="134"/>
      <c r="BH401" s="134"/>
      <c r="BI401" s="134"/>
      <c r="BJ401" s="134"/>
      <c r="BK401" s="134"/>
      <c r="BL401" s="134"/>
      <c r="BM401" s="135"/>
      <c r="BN401" s="136" t="n">
        <f aca="false">+MAX($D$3,DATOS_[[#This Row],[Fecha Inicio Sit. Contract.]])</f>
        <v>0</v>
      </c>
      <c r="BO401" s="136" t="n">
        <f aca="false">+MIN($D$4,DATOS_[[#This Row],[Fecha Fin Sit. Contract.]])</f>
        <v>0</v>
      </c>
      <c r="BP401" s="137" t="n">
        <f aca="false">+DATOS_[[#This Row],[% de jornada]]*IF(DATOS_[[#This Row],[% jornada reducida]]="",1,DATOS_[[#This Row],[% jornada reducida]])</f>
        <v>0</v>
      </c>
      <c r="BQ401" s="137" t="n">
        <f aca="false">+(DATOS_[[#This Row],[F.fin.cal]]-DATOS_[[#This Row],[F.ini.cal]]+1)/($D$4-$D$3+1)</f>
        <v>1</v>
      </c>
      <c r="BR401" s="137" t="str">
        <f aca="false">IF(OR(AND(DATOS_[[#This Row],[Fecha Fin Contrato]]&lt;$D$3,DATOS_[[#This Row],[Fecha Fin Contrato]]&lt;&gt;""),DATOS_[[#This Row],[Fecha de Contratación]]&gt;$D$4),"Fuera","Dentro")</f>
        <v>Dentro</v>
      </c>
      <c r="BS401" s="137" t="str">
        <f aca="false" t="array" ref="BS401:BS401">IF(MAX(IF(DATOS_[id]=DATOS_[[#This Row],[id]],DATOS_[F.fin.cal]))=DATOS_[[#This Row],[F.fin.cal]],"Sí","NO")</f>
        <v>Sí</v>
      </c>
      <c r="BT401" s="137" t="str">
        <f aca="false">IF(AND(DATOS_[[#This Row],[% normaliz]]&lt;&gt;1,DATOS_[[#This Row],[% anualiz]]=1),"Sí","NO")</f>
        <v>Sí</v>
      </c>
      <c r="BU401" s="137" t="str">
        <f aca="false">IF(AND(DATOS_[[#This Row],[% normaliz]]=1,DATOS_[[#This Row],[% anualiz]]&lt;&gt;1),"Sí","NO")</f>
        <v>NO</v>
      </c>
      <c r="BV401" s="137" t="str">
        <f aca="false">IF(AND(DATOS_[[#This Row],[% normaliz]]&lt;&gt;1,DATOS_[[#This Row],[% anualiz]]&lt;&gt;1),"Sí","NO")</f>
        <v>NO</v>
      </c>
      <c r="BW401" s="137" t="str">
        <f aca="false">+IF(DATOS_[[#This Row],[% normaliz]]*DATOS_[[#This Row],[% anualiz]]=1,"NO","Sí")</f>
        <v>Sí</v>
      </c>
      <c r="BX401" s="138" t="e">
        <f aca="false">(DATOS_[[#This Row],[S.BASE]]*(1/DATOS_[[#This Row],[% normaliz]])*(1/DATOS_[[#This Row],[% anualiz]]))*IF(DATOS_[[#This Row],[Check Equiparado]]="Sí",1,0)</f>
        <v>#DIV/0!</v>
      </c>
      <c r="BY4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1" s="138" t="e">
        <f aca="false">+DATOS_[[#This Row],[SALARIO BASE Eq]]+DATOS_[[#This Row],[Tot COMPL.SAL Eq]]</f>
        <v>#DIV/0!</v>
      </c>
      <c r="CA401" s="138" t="e">
        <f aca="false" t="array" ref="CA401:CA4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1" s="138" t="e">
        <f aca="false">+DATOS_[[#This Row],[TOTAL SALARIO Eq]]+DATOS_[[#This Row],[Tot Extrasalarial Eq]]</f>
        <v>#DIV/0!</v>
      </c>
      <c r="CC401" s="139" t="n">
        <f aca="false">DATOS_[[#This Row],[S.BASE]]</f>
        <v>0</v>
      </c>
      <c r="CD401" s="139" t="n">
        <f aca="false">+SUM(DATOS_[[#This Row],[Conc.Sal.01]:[Conc.Sal.30]])</f>
        <v>0</v>
      </c>
      <c r="CE401" s="139" t="n">
        <f aca="false">+DATOS_[[#This Row],[SALARIO BASE Ef]]+DATOS_[[#This Row],[Tot COMPL.SAL Ef]]</f>
        <v>0</v>
      </c>
      <c r="CF401" s="139" t="n">
        <f aca="false">+SUM(DATOS_[[#This Row],[C.Extra.01]:[C.Extra.05]])</f>
        <v>0</v>
      </c>
      <c r="CG401" s="139" t="n">
        <f aca="false">+DATOS_[[#This Row],[TOTAL SALARIO Ef]]+DATOS_[[#This Row],[Tot Extrasalarial Ef]]</f>
        <v>0</v>
      </c>
      <c r="CH401" s="140" t="n">
        <f aca="false">MIN(IF(DATOS_[[#This Row],[Fecha Fin Contrato]]="",$D$4,DATOS_[[#This Row],[Fecha Fin Contrato]]),$D$4)-MAX(DATOS_[[#This Row],[Fecha de Contratación]],$D$3)+1</f>
        <v>1</v>
      </c>
      <c r="CI401" s="141" t="str">
        <f aca="false">IF(COUNTIFS(DATOS_[id],DATOS_[[#This Row],[id]])&gt;1,DATOS_[[#This Row],[id]],"")</f>
        <v/>
      </c>
      <c r="CJ401" s="141" t="n">
        <f aca="false">(Inicio!$G$10-DATOS_[[#This Row],[Fecha Nacimiento]])/365.25</f>
        <v>0</v>
      </c>
      <c r="CK401" s="141" t="n">
        <f aca="false">(Inicio!$G$10-DATOS_[[#This Row],[Fecha de Antigüedad]])/365.25</f>
        <v>0</v>
      </c>
      <c r="CL401" s="141" t="e">
        <f aca="false">+VLOOKUP(DATOS_[[#This Row],[Clave de Contrato]],TblTiposContrato13[],3,0)</f>
        <v>#N/A</v>
      </c>
      <c r="CM401" s="141" t="e">
        <f aca="false">+VLOOKUP(DATOS_[[#This Row],[Clave de Contrato]],TblTiposContrato13[],4,0)</f>
        <v>#N/A</v>
      </c>
      <c r="CN401" s="141" t="str">
        <f aca="false">VLOOKUP(DATOS_[[#This Row],[Edad]],CONTRATOS!TblRngEdad,2,1)</f>
        <v>20  o menos</v>
      </c>
      <c r="CO401" s="141" t="str">
        <f aca="false">VLOOKUP(DATOS_[[#This Row],[Antigüedad]],TblRngAntg14[],2,1)</f>
        <v>0 a 1 años</v>
      </c>
    </row>
    <row r="402" customFormat="false" ht="13.8" hidden="false" customHeight="false" outlineLevel="0" collapsed="false">
      <c r="D402" s="128"/>
      <c r="E402" s="129"/>
      <c r="F402" s="129"/>
      <c r="G402" s="129"/>
      <c r="H402" s="130"/>
      <c r="I402" s="131"/>
      <c r="J402" s="128"/>
      <c r="K402" s="132"/>
      <c r="L402" s="132"/>
      <c r="M402" s="133"/>
      <c r="N402" s="133"/>
      <c r="O402" s="133"/>
      <c r="P402" s="129"/>
      <c r="Z402" s="75"/>
      <c r="AA402" s="76"/>
      <c r="AB402" s="76"/>
      <c r="AC402" s="129"/>
      <c r="AD402" s="134"/>
      <c r="AE402" s="134"/>
      <c r="AF402" s="134"/>
      <c r="AG402" s="134"/>
      <c r="AH402" s="134"/>
      <c r="AI402" s="134"/>
      <c r="AJ402" s="134"/>
      <c r="AK402" s="134"/>
      <c r="AL402" s="134"/>
      <c r="AM402" s="134"/>
      <c r="AN402" s="134"/>
      <c r="AO402" s="134"/>
      <c r="AP402" s="134"/>
      <c r="AQ402" s="134"/>
      <c r="AR402" s="134"/>
      <c r="AS402" s="134"/>
      <c r="AT402" s="134"/>
      <c r="AU402" s="134"/>
      <c r="AV402" s="134"/>
      <c r="AW402" s="134"/>
      <c r="AX402" s="134"/>
      <c r="AY402" s="134"/>
      <c r="AZ402" s="134"/>
      <c r="BA402" s="134"/>
      <c r="BB402" s="134"/>
      <c r="BC402" s="134"/>
      <c r="BD402" s="134"/>
      <c r="BE402" s="134"/>
      <c r="BF402" s="134"/>
      <c r="BG402" s="134"/>
      <c r="BH402" s="134"/>
      <c r="BI402" s="134"/>
      <c r="BJ402" s="134"/>
      <c r="BK402" s="134"/>
      <c r="BL402" s="134"/>
      <c r="BM402" s="135"/>
      <c r="BN402" s="136" t="n">
        <f aca="false">+MAX($D$3,DATOS_[[#This Row],[Fecha Inicio Sit. Contract.]])</f>
        <v>0</v>
      </c>
      <c r="BO402" s="136" t="n">
        <f aca="false">+MIN($D$4,DATOS_[[#This Row],[Fecha Fin Sit. Contract.]])</f>
        <v>0</v>
      </c>
      <c r="BP402" s="137" t="n">
        <f aca="false">+DATOS_[[#This Row],[% de jornada]]*IF(DATOS_[[#This Row],[% jornada reducida]]="",1,DATOS_[[#This Row],[% jornada reducida]])</f>
        <v>0</v>
      </c>
      <c r="BQ402" s="137" t="n">
        <f aca="false">+(DATOS_[[#This Row],[F.fin.cal]]-DATOS_[[#This Row],[F.ini.cal]]+1)/($D$4-$D$3+1)</f>
        <v>1</v>
      </c>
      <c r="BR402" s="137" t="str">
        <f aca="false">IF(OR(AND(DATOS_[[#This Row],[Fecha Fin Contrato]]&lt;$D$3,DATOS_[[#This Row],[Fecha Fin Contrato]]&lt;&gt;""),DATOS_[[#This Row],[Fecha de Contratación]]&gt;$D$4),"Fuera","Dentro")</f>
        <v>Dentro</v>
      </c>
      <c r="BS402" s="137" t="str">
        <f aca="false" t="array" ref="BS402:BS402">IF(MAX(IF(DATOS_[id]=DATOS_[[#This Row],[id]],DATOS_[F.fin.cal]))=DATOS_[[#This Row],[F.fin.cal]],"Sí","NO")</f>
        <v>Sí</v>
      </c>
      <c r="BT402" s="137" t="str">
        <f aca="false">IF(AND(DATOS_[[#This Row],[% normaliz]]&lt;&gt;1,DATOS_[[#This Row],[% anualiz]]=1),"Sí","NO")</f>
        <v>Sí</v>
      </c>
      <c r="BU402" s="137" t="str">
        <f aca="false">IF(AND(DATOS_[[#This Row],[% normaliz]]=1,DATOS_[[#This Row],[% anualiz]]&lt;&gt;1),"Sí","NO")</f>
        <v>NO</v>
      </c>
      <c r="BV402" s="137" t="str">
        <f aca="false">IF(AND(DATOS_[[#This Row],[% normaliz]]&lt;&gt;1,DATOS_[[#This Row],[% anualiz]]&lt;&gt;1),"Sí","NO")</f>
        <v>NO</v>
      </c>
      <c r="BW402" s="137" t="str">
        <f aca="false">+IF(DATOS_[[#This Row],[% normaliz]]*DATOS_[[#This Row],[% anualiz]]=1,"NO","Sí")</f>
        <v>Sí</v>
      </c>
      <c r="BX402" s="138" t="e">
        <f aca="false">(DATOS_[[#This Row],[S.BASE]]*(1/DATOS_[[#This Row],[% normaliz]])*(1/DATOS_[[#This Row],[% anualiz]]))*IF(DATOS_[[#This Row],[Check Equiparado]]="Sí",1,0)</f>
        <v>#DIV/0!</v>
      </c>
      <c r="BY4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2" s="138" t="e">
        <f aca="false">+DATOS_[[#This Row],[SALARIO BASE Eq]]+DATOS_[[#This Row],[Tot COMPL.SAL Eq]]</f>
        <v>#DIV/0!</v>
      </c>
      <c r="CA402" s="138" t="e">
        <f aca="false" t="array" ref="CA402:CA4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2" s="138" t="e">
        <f aca="false">+DATOS_[[#This Row],[TOTAL SALARIO Eq]]+DATOS_[[#This Row],[Tot Extrasalarial Eq]]</f>
        <v>#DIV/0!</v>
      </c>
      <c r="CC402" s="139" t="n">
        <f aca="false">DATOS_[[#This Row],[S.BASE]]</f>
        <v>0</v>
      </c>
      <c r="CD402" s="139" t="n">
        <f aca="false">+SUM(DATOS_[[#This Row],[Conc.Sal.01]:[Conc.Sal.30]])</f>
        <v>0</v>
      </c>
      <c r="CE402" s="139" t="n">
        <f aca="false">+DATOS_[[#This Row],[SALARIO BASE Ef]]+DATOS_[[#This Row],[Tot COMPL.SAL Ef]]</f>
        <v>0</v>
      </c>
      <c r="CF402" s="139" t="n">
        <f aca="false">+SUM(DATOS_[[#This Row],[C.Extra.01]:[C.Extra.05]])</f>
        <v>0</v>
      </c>
      <c r="CG402" s="139" t="n">
        <f aca="false">+DATOS_[[#This Row],[TOTAL SALARIO Ef]]+DATOS_[[#This Row],[Tot Extrasalarial Ef]]</f>
        <v>0</v>
      </c>
      <c r="CH402" s="140" t="n">
        <f aca="false">MIN(IF(DATOS_[[#This Row],[Fecha Fin Contrato]]="",$D$4,DATOS_[[#This Row],[Fecha Fin Contrato]]),$D$4)-MAX(DATOS_[[#This Row],[Fecha de Contratación]],$D$3)+1</f>
        <v>1</v>
      </c>
      <c r="CI402" s="141" t="str">
        <f aca="false">IF(COUNTIFS(DATOS_[id],DATOS_[[#This Row],[id]])&gt;1,DATOS_[[#This Row],[id]],"")</f>
        <v/>
      </c>
      <c r="CJ402" s="141" t="n">
        <f aca="false">(Inicio!$G$10-DATOS_[[#This Row],[Fecha Nacimiento]])/365.25</f>
        <v>0</v>
      </c>
      <c r="CK402" s="141" t="n">
        <f aca="false">(Inicio!$G$10-DATOS_[[#This Row],[Fecha de Antigüedad]])/365.25</f>
        <v>0</v>
      </c>
      <c r="CL402" s="141" t="e">
        <f aca="false">+VLOOKUP(DATOS_[[#This Row],[Clave de Contrato]],TblTiposContrato13[],3,0)</f>
        <v>#N/A</v>
      </c>
      <c r="CM402" s="141" t="e">
        <f aca="false">+VLOOKUP(DATOS_[[#This Row],[Clave de Contrato]],TblTiposContrato13[],4,0)</f>
        <v>#N/A</v>
      </c>
      <c r="CN402" s="141" t="str">
        <f aca="false">VLOOKUP(DATOS_[[#This Row],[Edad]],CONTRATOS!TblRngEdad,2,1)</f>
        <v>20  o menos</v>
      </c>
      <c r="CO402" s="141" t="str">
        <f aca="false">VLOOKUP(DATOS_[[#This Row],[Antigüedad]],TblRngAntg14[],2,1)</f>
        <v>0 a 1 años</v>
      </c>
    </row>
    <row r="403" customFormat="false" ht="13.8" hidden="false" customHeight="false" outlineLevel="0" collapsed="false">
      <c r="D403" s="128"/>
      <c r="E403" s="129"/>
      <c r="F403" s="129"/>
      <c r="G403" s="129"/>
      <c r="H403" s="130"/>
      <c r="I403" s="131"/>
      <c r="J403" s="128"/>
      <c r="K403" s="132"/>
      <c r="L403" s="132"/>
      <c r="M403" s="133"/>
      <c r="N403" s="133"/>
      <c r="O403" s="133"/>
      <c r="P403" s="129"/>
      <c r="Z403" s="75"/>
      <c r="AA403" s="76"/>
      <c r="AB403" s="76"/>
      <c r="AC403" s="129"/>
      <c r="AD403" s="134"/>
      <c r="AE403" s="134"/>
      <c r="AF403" s="134"/>
      <c r="AG403" s="134"/>
      <c r="AH403" s="134"/>
      <c r="AI403" s="134"/>
      <c r="AJ403" s="134"/>
      <c r="AK403" s="134"/>
      <c r="AL403" s="134"/>
      <c r="AM403" s="134"/>
      <c r="AN403" s="134"/>
      <c r="AO403" s="134"/>
      <c r="AP403" s="134"/>
      <c r="AQ403" s="134"/>
      <c r="AR403" s="134"/>
      <c r="AS403" s="134"/>
      <c r="AT403" s="134"/>
      <c r="AU403" s="134"/>
      <c r="AV403" s="134"/>
      <c r="AW403" s="134"/>
      <c r="AX403" s="134"/>
      <c r="AY403" s="134"/>
      <c r="AZ403" s="134"/>
      <c r="BA403" s="134"/>
      <c r="BB403" s="134"/>
      <c r="BC403" s="134"/>
      <c r="BD403" s="134"/>
      <c r="BE403" s="134"/>
      <c r="BF403" s="134"/>
      <c r="BG403" s="134"/>
      <c r="BH403" s="134"/>
      <c r="BI403" s="134"/>
      <c r="BJ403" s="134"/>
      <c r="BK403" s="134"/>
      <c r="BL403" s="134"/>
      <c r="BM403" s="135"/>
      <c r="BN403" s="136" t="n">
        <f aca="false">+MAX($D$3,DATOS_[[#This Row],[Fecha Inicio Sit. Contract.]])</f>
        <v>0</v>
      </c>
      <c r="BO403" s="136" t="n">
        <f aca="false">+MIN($D$4,DATOS_[[#This Row],[Fecha Fin Sit. Contract.]])</f>
        <v>0</v>
      </c>
      <c r="BP403" s="137" t="n">
        <f aca="false">+DATOS_[[#This Row],[% de jornada]]*IF(DATOS_[[#This Row],[% jornada reducida]]="",1,DATOS_[[#This Row],[% jornada reducida]])</f>
        <v>0</v>
      </c>
      <c r="BQ403" s="137" t="n">
        <f aca="false">+(DATOS_[[#This Row],[F.fin.cal]]-DATOS_[[#This Row],[F.ini.cal]]+1)/($D$4-$D$3+1)</f>
        <v>1</v>
      </c>
      <c r="BR403" s="137" t="str">
        <f aca="false">IF(OR(AND(DATOS_[[#This Row],[Fecha Fin Contrato]]&lt;$D$3,DATOS_[[#This Row],[Fecha Fin Contrato]]&lt;&gt;""),DATOS_[[#This Row],[Fecha de Contratación]]&gt;$D$4),"Fuera","Dentro")</f>
        <v>Dentro</v>
      </c>
      <c r="BS403" s="137" t="str">
        <f aca="false" t="array" ref="BS403:BS403">IF(MAX(IF(DATOS_[id]=DATOS_[[#This Row],[id]],DATOS_[F.fin.cal]))=DATOS_[[#This Row],[F.fin.cal]],"Sí","NO")</f>
        <v>Sí</v>
      </c>
      <c r="BT403" s="137" t="str">
        <f aca="false">IF(AND(DATOS_[[#This Row],[% normaliz]]&lt;&gt;1,DATOS_[[#This Row],[% anualiz]]=1),"Sí","NO")</f>
        <v>Sí</v>
      </c>
      <c r="BU403" s="137" t="str">
        <f aca="false">IF(AND(DATOS_[[#This Row],[% normaliz]]=1,DATOS_[[#This Row],[% anualiz]]&lt;&gt;1),"Sí","NO")</f>
        <v>NO</v>
      </c>
      <c r="BV403" s="137" t="str">
        <f aca="false">IF(AND(DATOS_[[#This Row],[% normaliz]]&lt;&gt;1,DATOS_[[#This Row],[% anualiz]]&lt;&gt;1),"Sí","NO")</f>
        <v>NO</v>
      </c>
      <c r="BW403" s="137" t="str">
        <f aca="false">+IF(DATOS_[[#This Row],[% normaliz]]*DATOS_[[#This Row],[% anualiz]]=1,"NO","Sí")</f>
        <v>Sí</v>
      </c>
      <c r="BX403" s="138" t="e">
        <f aca="false">(DATOS_[[#This Row],[S.BASE]]*(1/DATOS_[[#This Row],[% normaliz]])*(1/DATOS_[[#This Row],[% anualiz]]))*IF(DATOS_[[#This Row],[Check Equiparado]]="Sí",1,0)</f>
        <v>#DIV/0!</v>
      </c>
      <c r="BY4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3" s="138" t="e">
        <f aca="false">+DATOS_[[#This Row],[SALARIO BASE Eq]]+DATOS_[[#This Row],[Tot COMPL.SAL Eq]]</f>
        <v>#DIV/0!</v>
      </c>
      <c r="CA403" s="138" t="e">
        <f aca="false" t="array" ref="CA403:CA4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3" s="138" t="e">
        <f aca="false">+DATOS_[[#This Row],[TOTAL SALARIO Eq]]+DATOS_[[#This Row],[Tot Extrasalarial Eq]]</f>
        <v>#DIV/0!</v>
      </c>
      <c r="CC403" s="139" t="n">
        <f aca="false">DATOS_[[#This Row],[S.BASE]]</f>
        <v>0</v>
      </c>
      <c r="CD403" s="139" t="n">
        <f aca="false">+SUM(DATOS_[[#This Row],[Conc.Sal.01]:[Conc.Sal.30]])</f>
        <v>0</v>
      </c>
      <c r="CE403" s="139" t="n">
        <f aca="false">+DATOS_[[#This Row],[SALARIO BASE Ef]]+DATOS_[[#This Row],[Tot COMPL.SAL Ef]]</f>
        <v>0</v>
      </c>
      <c r="CF403" s="139" t="n">
        <f aca="false">+SUM(DATOS_[[#This Row],[C.Extra.01]:[C.Extra.05]])</f>
        <v>0</v>
      </c>
      <c r="CG403" s="139" t="n">
        <f aca="false">+DATOS_[[#This Row],[TOTAL SALARIO Ef]]+DATOS_[[#This Row],[Tot Extrasalarial Ef]]</f>
        <v>0</v>
      </c>
      <c r="CH403" s="140" t="n">
        <f aca="false">MIN(IF(DATOS_[[#This Row],[Fecha Fin Contrato]]="",$D$4,DATOS_[[#This Row],[Fecha Fin Contrato]]),$D$4)-MAX(DATOS_[[#This Row],[Fecha de Contratación]],$D$3)+1</f>
        <v>1</v>
      </c>
      <c r="CI403" s="141" t="str">
        <f aca="false">IF(COUNTIFS(DATOS_[id],DATOS_[[#This Row],[id]])&gt;1,DATOS_[[#This Row],[id]],"")</f>
        <v/>
      </c>
      <c r="CJ403" s="141" t="n">
        <f aca="false">(Inicio!$G$10-DATOS_[[#This Row],[Fecha Nacimiento]])/365.25</f>
        <v>0</v>
      </c>
      <c r="CK403" s="141" t="n">
        <f aca="false">(Inicio!$G$10-DATOS_[[#This Row],[Fecha de Antigüedad]])/365.25</f>
        <v>0</v>
      </c>
      <c r="CL403" s="141" t="e">
        <f aca="false">+VLOOKUP(DATOS_[[#This Row],[Clave de Contrato]],TblTiposContrato13[],3,0)</f>
        <v>#N/A</v>
      </c>
      <c r="CM403" s="141" t="e">
        <f aca="false">+VLOOKUP(DATOS_[[#This Row],[Clave de Contrato]],TblTiposContrato13[],4,0)</f>
        <v>#N/A</v>
      </c>
      <c r="CN403" s="141" t="str">
        <f aca="false">VLOOKUP(DATOS_[[#This Row],[Edad]],CONTRATOS!TblRngEdad,2,1)</f>
        <v>20  o menos</v>
      </c>
      <c r="CO403" s="141" t="str">
        <f aca="false">VLOOKUP(DATOS_[[#This Row],[Antigüedad]],TblRngAntg14[],2,1)</f>
        <v>0 a 1 años</v>
      </c>
    </row>
    <row r="404" customFormat="false" ht="13.8" hidden="false" customHeight="false" outlineLevel="0" collapsed="false">
      <c r="D404" s="128"/>
      <c r="E404" s="129"/>
      <c r="F404" s="129"/>
      <c r="G404" s="129"/>
      <c r="H404" s="130"/>
      <c r="I404" s="131"/>
      <c r="J404" s="128"/>
      <c r="K404" s="132"/>
      <c r="L404" s="132"/>
      <c r="M404" s="133"/>
      <c r="N404" s="133"/>
      <c r="O404" s="133"/>
      <c r="P404" s="129"/>
      <c r="Z404" s="75"/>
      <c r="AA404" s="76"/>
      <c r="AB404" s="76"/>
      <c r="AC404" s="129"/>
      <c r="AD404" s="134"/>
      <c r="AE404" s="134"/>
      <c r="AF404" s="134"/>
      <c r="AG404" s="134"/>
      <c r="AH404" s="134"/>
      <c r="AI404" s="134"/>
      <c r="AJ404" s="134"/>
      <c r="AK404" s="134"/>
      <c r="AL404" s="134"/>
      <c r="AM404" s="134"/>
      <c r="AN404" s="134"/>
      <c r="AO404" s="134"/>
      <c r="AP404" s="134"/>
      <c r="AQ404" s="134"/>
      <c r="AR404" s="134"/>
      <c r="AS404" s="134"/>
      <c r="AT404" s="134"/>
      <c r="AU404" s="134"/>
      <c r="AV404" s="134"/>
      <c r="AW404" s="134"/>
      <c r="AX404" s="134"/>
      <c r="AY404" s="134"/>
      <c r="AZ404" s="134"/>
      <c r="BA404" s="134"/>
      <c r="BB404" s="134"/>
      <c r="BC404" s="134"/>
      <c r="BD404" s="134"/>
      <c r="BE404" s="134"/>
      <c r="BF404" s="134"/>
      <c r="BG404" s="134"/>
      <c r="BH404" s="134"/>
      <c r="BI404" s="134"/>
      <c r="BJ404" s="134"/>
      <c r="BK404" s="134"/>
      <c r="BL404" s="134"/>
      <c r="BM404" s="135"/>
      <c r="BN404" s="136" t="n">
        <f aca="false">+MAX($D$3,DATOS_[[#This Row],[Fecha Inicio Sit. Contract.]])</f>
        <v>0</v>
      </c>
      <c r="BO404" s="136" t="n">
        <f aca="false">+MIN($D$4,DATOS_[[#This Row],[Fecha Fin Sit. Contract.]])</f>
        <v>0</v>
      </c>
      <c r="BP404" s="137" t="n">
        <f aca="false">+DATOS_[[#This Row],[% de jornada]]*IF(DATOS_[[#This Row],[% jornada reducida]]="",1,DATOS_[[#This Row],[% jornada reducida]])</f>
        <v>0</v>
      </c>
      <c r="BQ404" s="137" t="n">
        <f aca="false">+(DATOS_[[#This Row],[F.fin.cal]]-DATOS_[[#This Row],[F.ini.cal]]+1)/($D$4-$D$3+1)</f>
        <v>1</v>
      </c>
      <c r="BR404" s="137" t="str">
        <f aca="false">IF(OR(AND(DATOS_[[#This Row],[Fecha Fin Contrato]]&lt;$D$3,DATOS_[[#This Row],[Fecha Fin Contrato]]&lt;&gt;""),DATOS_[[#This Row],[Fecha de Contratación]]&gt;$D$4),"Fuera","Dentro")</f>
        <v>Dentro</v>
      </c>
      <c r="BS404" s="137" t="str">
        <f aca="false" t="array" ref="BS404:BS404">IF(MAX(IF(DATOS_[id]=DATOS_[[#This Row],[id]],DATOS_[F.fin.cal]))=DATOS_[[#This Row],[F.fin.cal]],"Sí","NO")</f>
        <v>Sí</v>
      </c>
      <c r="BT404" s="137" t="str">
        <f aca="false">IF(AND(DATOS_[[#This Row],[% normaliz]]&lt;&gt;1,DATOS_[[#This Row],[% anualiz]]=1),"Sí","NO")</f>
        <v>Sí</v>
      </c>
      <c r="BU404" s="137" t="str">
        <f aca="false">IF(AND(DATOS_[[#This Row],[% normaliz]]=1,DATOS_[[#This Row],[% anualiz]]&lt;&gt;1),"Sí","NO")</f>
        <v>NO</v>
      </c>
      <c r="BV404" s="137" t="str">
        <f aca="false">IF(AND(DATOS_[[#This Row],[% normaliz]]&lt;&gt;1,DATOS_[[#This Row],[% anualiz]]&lt;&gt;1),"Sí","NO")</f>
        <v>NO</v>
      </c>
      <c r="BW404" s="137" t="str">
        <f aca="false">+IF(DATOS_[[#This Row],[% normaliz]]*DATOS_[[#This Row],[% anualiz]]=1,"NO","Sí")</f>
        <v>Sí</v>
      </c>
      <c r="BX404" s="138" t="e">
        <f aca="false">(DATOS_[[#This Row],[S.BASE]]*(1/DATOS_[[#This Row],[% normaliz]])*(1/DATOS_[[#This Row],[% anualiz]]))*IF(DATOS_[[#This Row],[Check Equiparado]]="Sí",1,0)</f>
        <v>#DIV/0!</v>
      </c>
      <c r="BY4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4" s="138" t="e">
        <f aca="false">+DATOS_[[#This Row],[SALARIO BASE Eq]]+DATOS_[[#This Row],[Tot COMPL.SAL Eq]]</f>
        <v>#DIV/0!</v>
      </c>
      <c r="CA404" s="138" t="e">
        <f aca="false" t="array" ref="CA404:CA4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4" s="138" t="e">
        <f aca="false">+DATOS_[[#This Row],[TOTAL SALARIO Eq]]+DATOS_[[#This Row],[Tot Extrasalarial Eq]]</f>
        <v>#DIV/0!</v>
      </c>
      <c r="CC404" s="139" t="n">
        <f aca="false">DATOS_[[#This Row],[S.BASE]]</f>
        <v>0</v>
      </c>
      <c r="CD404" s="139" t="n">
        <f aca="false">+SUM(DATOS_[[#This Row],[Conc.Sal.01]:[Conc.Sal.30]])</f>
        <v>0</v>
      </c>
      <c r="CE404" s="139" t="n">
        <f aca="false">+DATOS_[[#This Row],[SALARIO BASE Ef]]+DATOS_[[#This Row],[Tot COMPL.SAL Ef]]</f>
        <v>0</v>
      </c>
      <c r="CF404" s="139" t="n">
        <f aca="false">+SUM(DATOS_[[#This Row],[C.Extra.01]:[C.Extra.05]])</f>
        <v>0</v>
      </c>
      <c r="CG404" s="139" t="n">
        <f aca="false">+DATOS_[[#This Row],[TOTAL SALARIO Ef]]+DATOS_[[#This Row],[Tot Extrasalarial Ef]]</f>
        <v>0</v>
      </c>
      <c r="CH404" s="140" t="n">
        <f aca="false">MIN(IF(DATOS_[[#This Row],[Fecha Fin Contrato]]="",$D$4,DATOS_[[#This Row],[Fecha Fin Contrato]]),$D$4)-MAX(DATOS_[[#This Row],[Fecha de Contratación]],$D$3)+1</f>
        <v>1</v>
      </c>
      <c r="CI404" s="141" t="str">
        <f aca="false">IF(COUNTIFS(DATOS_[id],DATOS_[[#This Row],[id]])&gt;1,DATOS_[[#This Row],[id]],"")</f>
        <v/>
      </c>
      <c r="CJ404" s="141" t="n">
        <f aca="false">(Inicio!$G$10-DATOS_[[#This Row],[Fecha Nacimiento]])/365.25</f>
        <v>0</v>
      </c>
      <c r="CK404" s="141" t="n">
        <f aca="false">(Inicio!$G$10-DATOS_[[#This Row],[Fecha de Antigüedad]])/365.25</f>
        <v>0</v>
      </c>
      <c r="CL404" s="141" t="e">
        <f aca="false">+VLOOKUP(DATOS_[[#This Row],[Clave de Contrato]],TblTiposContrato13[],3,0)</f>
        <v>#N/A</v>
      </c>
      <c r="CM404" s="141" t="e">
        <f aca="false">+VLOOKUP(DATOS_[[#This Row],[Clave de Contrato]],TblTiposContrato13[],4,0)</f>
        <v>#N/A</v>
      </c>
      <c r="CN404" s="141" t="str">
        <f aca="false">VLOOKUP(DATOS_[[#This Row],[Edad]],CONTRATOS!TblRngEdad,2,1)</f>
        <v>20  o menos</v>
      </c>
      <c r="CO404" s="141" t="str">
        <f aca="false">VLOOKUP(DATOS_[[#This Row],[Antigüedad]],TblRngAntg14[],2,1)</f>
        <v>0 a 1 años</v>
      </c>
    </row>
    <row r="405" customFormat="false" ht="13.8" hidden="false" customHeight="false" outlineLevel="0" collapsed="false">
      <c r="D405" s="128"/>
      <c r="E405" s="129"/>
      <c r="F405" s="129"/>
      <c r="G405" s="129"/>
      <c r="H405" s="130"/>
      <c r="I405" s="131"/>
      <c r="J405" s="128"/>
      <c r="K405" s="132"/>
      <c r="L405" s="132"/>
      <c r="M405" s="133"/>
      <c r="N405" s="133"/>
      <c r="O405" s="133"/>
      <c r="P405" s="129"/>
      <c r="Z405" s="75"/>
      <c r="AA405" s="76"/>
      <c r="AB405" s="76"/>
      <c r="AC405" s="129"/>
      <c r="AD405" s="134"/>
      <c r="AE405" s="134"/>
      <c r="AF405" s="134"/>
      <c r="AG405" s="134"/>
      <c r="AH405" s="134"/>
      <c r="AI405" s="134"/>
      <c r="AJ405" s="134"/>
      <c r="AK405" s="134"/>
      <c r="AL405" s="134"/>
      <c r="AM405" s="134"/>
      <c r="AN405" s="134"/>
      <c r="AO405" s="134"/>
      <c r="AP405" s="134"/>
      <c r="AQ405" s="134"/>
      <c r="AR405" s="134"/>
      <c r="AS405" s="134"/>
      <c r="AT405" s="134"/>
      <c r="AU405" s="134"/>
      <c r="AV405" s="134"/>
      <c r="AW405" s="134"/>
      <c r="AX405" s="134"/>
      <c r="AY405" s="134"/>
      <c r="AZ405" s="134"/>
      <c r="BA405" s="134"/>
      <c r="BB405" s="134"/>
      <c r="BC405" s="134"/>
      <c r="BD405" s="134"/>
      <c r="BE405" s="134"/>
      <c r="BF405" s="134"/>
      <c r="BG405" s="134"/>
      <c r="BH405" s="134"/>
      <c r="BI405" s="134"/>
      <c r="BJ405" s="134"/>
      <c r="BK405" s="134"/>
      <c r="BL405" s="134"/>
      <c r="BM405" s="135"/>
      <c r="BN405" s="136" t="n">
        <f aca="false">+MAX($D$3,DATOS_[[#This Row],[Fecha Inicio Sit. Contract.]])</f>
        <v>0</v>
      </c>
      <c r="BO405" s="136" t="n">
        <f aca="false">+MIN($D$4,DATOS_[[#This Row],[Fecha Fin Sit. Contract.]])</f>
        <v>0</v>
      </c>
      <c r="BP405" s="137" t="n">
        <f aca="false">+DATOS_[[#This Row],[% de jornada]]*IF(DATOS_[[#This Row],[% jornada reducida]]="",1,DATOS_[[#This Row],[% jornada reducida]])</f>
        <v>0</v>
      </c>
      <c r="BQ405" s="137" t="n">
        <f aca="false">+(DATOS_[[#This Row],[F.fin.cal]]-DATOS_[[#This Row],[F.ini.cal]]+1)/($D$4-$D$3+1)</f>
        <v>1</v>
      </c>
      <c r="BR405" s="137" t="str">
        <f aca="false">IF(OR(AND(DATOS_[[#This Row],[Fecha Fin Contrato]]&lt;$D$3,DATOS_[[#This Row],[Fecha Fin Contrato]]&lt;&gt;""),DATOS_[[#This Row],[Fecha de Contratación]]&gt;$D$4),"Fuera","Dentro")</f>
        <v>Dentro</v>
      </c>
      <c r="BS405" s="137" t="str">
        <f aca="false" t="array" ref="BS405:BS405">IF(MAX(IF(DATOS_[id]=DATOS_[[#This Row],[id]],DATOS_[F.fin.cal]))=DATOS_[[#This Row],[F.fin.cal]],"Sí","NO")</f>
        <v>Sí</v>
      </c>
      <c r="BT405" s="137" t="str">
        <f aca="false">IF(AND(DATOS_[[#This Row],[% normaliz]]&lt;&gt;1,DATOS_[[#This Row],[% anualiz]]=1),"Sí","NO")</f>
        <v>Sí</v>
      </c>
      <c r="BU405" s="137" t="str">
        <f aca="false">IF(AND(DATOS_[[#This Row],[% normaliz]]=1,DATOS_[[#This Row],[% anualiz]]&lt;&gt;1),"Sí","NO")</f>
        <v>NO</v>
      </c>
      <c r="BV405" s="137" t="str">
        <f aca="false">IF(AND(DATOS_[[#This Row],[% normaliz]]&lt;&gt;1,DATOS_[[#This Row],[% anualiz]]&lt;&gt;1),"Sí","NO")</f>
        <v>NO</v>
      </c>
      <c r="BW405" s="137" t="str">
        <f aca="false">+IF(DATOS_[[#This Row],[% normaliz]]*DATOS_[[#This Row],[% anualiz]]=1,"NO","Sí")</f>
        <v>Sí</v>
      </c>
      <c r="BX405" s="138" t="e">
        <f aca="false">(DATOS_[[#This Row],[S.BASE]]*(1/DATOS_[[#This Row],[% normaliz]])*(1/DATOS_[[#This Row],[% anualiz]]))*IF(DATOS_[[#This Row],[Check Equiparado]]="Sí",1,0)</f>
        <v>#DIV/0!</v>
      </c>
      <c r="BY4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5" s="138" t="e">
        <f aca="false">+DATOS_[[#This Row],[SALARIO BASE Eq]]+DATOS_[[#This Row],[Tot COMPL.SAL Eq]]</f>
        <v>#DIV/0!</v>
      </c>
      <c r="CA405" s="138" t="e">
        <f aca="false" t="array" ref="CA405:CA4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5" s="138" t="e">
        <f aca="false">+DATOS_[[#This Row],[TOTAL SALARIO Eq]]+DATOS_[[#This Row],[Tot Extrasalarial Eq]]</f>
        <v>#DIV/0!</v>
      </c>
      <c r="CC405" s="139" t="n">
        <f aca="false">DATOS_[[#This Row],[S.BASE]]</f>
        <v>0</v>
      </c>
      <c r="CD405" s="139" t="n">
        <f aca="false">+SUM(DATOS_[[#This Row],[Conc.Sal.01]:[Conc.Sal.30]])</f>
        <v>0</v>
      </c>
      <c r="CE405" s="139" t="n">
        <f aca="false">+DATOS_[[#This Row],[SALARIO BASE Ef]]+DATOS_[[#This Row],[Tot COMPL.SAL Ef]]</f>
        <v>0</v>
      </c>
      <c r="CF405" s="139" t="n">
        <f aca="false">+SUM(DATOS_[[#This Row],[C.Extra.01]:[C.Extra.05]])</f>
        <v>0</v>
      </c>
      <c r="CG405" s="139" t="n">
        <f aca="false">+DATOS_[[#This Row],[TOTAL SALARIO Ef]]+DATOS_[[#This Row],[Tot Extrasalarial Ef]]</f>
        <v>0</v>
      </c>
      <c r="CH405" s="140" t="n">
        <f aca="false">MIN(IF(DATOS_[[#This Row],[Fecha Fin Contrato]]="",$D$4,DATOS_[[#This Row],[Fecha Fin Contrato]]),$D$4)-MAX(DATOS_[[#This Row],[Fecha de Contratación]],$D$3)+1</f>
        <v>1</v>
      </c>
      <c r="CI405" s="141" t="str">
        <f aca="false">IF(COUNTIFS(DATOS_[id],DATOS_[[#This Row],[id]])&gt;1,DATOS_[[#This Row],[id]],"")</f>
        <v/>
      </c>
      <c r="CJ405" s="141" t="n">
        <f aca="false">(Inicio!$G$10-DATOS_[[#This Row],[Fecha Nacimiento]])/365.25</f>
        <v>0</v>
      </c>
      <c r="CK405" s="141" t="n">
        <f aca="false">(Inicio!$G$10-DATOS_[[#This Row],[Fecha de Antigüedad]])/365.25</f>
        <v>0</v>
      </c>
      <c r="CL405" s="141" t="e">
        <f aca="false">+VLOOKUP(DATOS_[[#This Row],[Clave de Contrato]],TblTiposContrato13[],3,0)</f>
        <v>#N/A</v>
      </c>
      <c r="CM405" s="141" t="e">
        <f aca="false">+VLOOKUP(DATOS_[[#This Row],[Clave de Contrato]],TblTiposContrato13[],4,0)</f>
        <v>#N/A</v>
      </c>
      <c r="CN405" s="141" t="str">
        <f aca="false">VLOOKUP(DATOS_[[#This Row],[Edad]],CONTRATOS!TblRngEdad,2,1)</f>
        <v>20  o menos</v>
      </c>
      <c r="CO405" s="141" t="str">
        <f aca="false">VLOOKUP(DATOS_[[#This Row],[Antigüedad]],TblRngAntg14[],2,1)</f>
        <v>0 a 1 años</v>
      </c>
    </row>
    <row r="406" customFormat="false" ht="13.8" hidden="false" customHeight="false" outlineLevel="0" collapsed="false">
      <c r="D406" s="128"/>
      <c r="E406" s="129"/>
      <c r="F406" s="129"/>
      <c r="G406" s="129"/>
      <c r="H406" s="130"/>
      <c r="I406" s="131"/>
      <c r="J406" s="128"/>
      <c r="K406" s="132"/>
      <c r="L406" s="132"/>
      <c r="M406" s="133"/>
      <c r="N406" s="133"/>
      <c r="O406" s="133"/>
      <c r="P406" s="129"/>
      <c r="Z406" s="75"/>
      <c r="AA406" s="76"/>
      <c r="AB406" s="76"/>
      <c r="AC406" s="129"/>
      <c r="AD406" s="134"/>
      <c r="AE406" s="134"/>
      <c r="AF406" s="134"/>
      <c r="AG406" s="134"/>
      <c r="AH406" s="134"/>
      <c r="AI406" s="134"/>
      <c r="AJ406" s="134"/>
      <c r="AK406" s="134"/>
      <c r="AL406" s="134"/>
      <c r="AM406" s="134"/>
      <c r="AN406" s="134"/>
      <c r="AO406" s="134"/>
      <c r="AP406" s="134"/>
      <c r="AQ406" s="134"/>
      <c r="AR406" s="134"/>
      <c r="AS406" s="134"/>
      <c r="AT406" s="134"/>
      <c r="AU406" s="134"/>
      <c r="AV406" s="134"/>
      <c r="AW406" s="134"/>
      <c r="AX406" s="134"/>
      <c r="AY406" s="134"/>
      <c r="AZ406" s="134"/>
      <c r="BA406" s="134"/>
      <c r="BB406" s="134"/>
      <c r="BC406" s="134"/>
      <c r="BD406" s="134"/>
      <c r="BE406" s="134"/>
      <c r="BF406" s="134"/>
      <c r="BG406" s="134"/>
      <c r="BH406" s="134"/>
      <c r="BI406" s="134"/>
      <c r="BJ406" s="134"/>
      <c r="BK406" s="134"/>
      <c r="BL406" s="134"/>
      <c r="BM406" s="135"/>
      <c r="BN406" s="136" t="n">
        <f aca="false">+MAX($D$3,DATOS_[[#This Row],[Fecha Inicio Sit. Contract.]])</f>
        <v>0</v>
      </c>
      <c r="BO406" s="136" t="n">
        <f aca="false">+MIN($D$4,DATOS_[[#This Row],[Fecha Fin Sit. Contract.]])</f>
        <v>0</v>
      </c>
      <c r="BP406" s="137" t="n">
        <f aca="false">+DATOS_[[#This Row],[% de jornada]]*IF(DATOS_[[#This Row],[% jornada reducida]]="",1,DATOS_[[#This Row],[% jornada reducida]])</f>
        <v>0</v>
      </c>
      <c r="BQ406" s="137" t="n">
        <f aca="false">+(DATOS_[[#This Row],[F.fin.cal]]-DATOS_[[#This Row],[F.ini.cal]]+1)/($D$4-$D$3+1)</f>
        <v>1</v>
      </c>
      <c r="BR406" s="137" t="str">
        <f aca="false">IF(OR(AND(DATOS_[[#This Row],[Fecha Fin Contrato]]&lt;$D$3,DATOS_[[#This Row],[Fecha Fin Contrato]]&lt;&gt;""),DATOS_[[#This Row],[Fecha de Contratación]]&gt;$D$4),"Fuera","Dentro")</f>
        <v>Dentro</v>
      </c>
      <c r="BS406" s="137" t="str">
        <f aca="false" t="array" ref="BS406:BS406">IF(MAX(IF(DATOS_[id]=DATOS_[[#This Row],[id]],DATOS_[F.fin.cal]))=DATOS_[[#This Row],[F.fin.cal]],"Sí","NO")</f>
        <v>Sí</v>
      </c>
      <c r="BT406" s="137" t="str">
        <f aca="false">IF(AND(DATOS_[[#This Row],[% normaliz]]&lt;&gt;1,DATOS_[[#This Row],[% anualiz]]=1),"Sí","NO")</f>
        <v>Sí</v>
      </c>
      <c r="BU406" s="137" t="str">
        <f aca="false">IF(AND(DATOS_[[#This Row],[% normaliz]]=1,DATOS_[[#This Row],[% anualiz]]&lt;&gt;1),"Sí","NO")</f>
        <v>NO</v>
      </c>
      <c r="BV406" s="137" t="str">
        <f aca="false">IF(AND(DATOS_[[#This Row],[% normaliz]]&lt;&gt;1,DATOS_[[#This Row],[% anualiz]]&lt;&gt;1),"Sí","NO")</f>
        <v>NO</v>
      </c>
      <c r="BW406" s="137" t="str">
        <f aca="false">+IF(DATOS_[[#This Row],[% normaliz]]*DATOS_[[#This Row],[% anualiz]]=1,"NO","Sí")</f>
        <v>Sí</v>
      </c>
      <c r="BX406" s="138" t="e">
        <f aca="false">(DATOS_[[#This Row],[S.BASE]]*(1/DATOS_[[#This Row],[% normaliz]])*(1/DATOS_[[#This Row],[% anualiz]]))*IF(DATOS_[[#This Row],[Check Equiparado]]="Sí",1,0)</f>
        <v>#DIV/0!</v>
      </c>
      <c r="BY4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6" s="138" t="e">
        <f aca="false">+DATOS_[[#This Row],[SALARIO BASE Eq]]+DATOS_[[#This Row],[Tot COMPL.SAL Eq]]</f>
        <v>#DIV/0!</v>
      </c>
      <c r="CA406" s="138" t="e">
        <f aca="false" t="array" ref="CA406:CA4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6" s="138" t="e">
        <f aca="false">+DATOS_[[#This Row],[TOTAL SALARIO Eq]]+DATOS_[[#This Row],[Tot Extrasalarial Eq]]</f>
        <v>#DIV/0!</v>
      </c>
      <c r="CC406" s="139" t="n">
        <f aca="false">DATOS_[[#This Row],[S.BASE]]</f>
        <v>0</v>
      </c>
      <c r="CD406" s="139" t="n">
        <f aca="false">+SUM(DATOS_[[#This Row],[Conc.Sal.01]:[Conc.Sal.30]])</f>
        <v>0</v>
      </c>
      <c r="CE406" s="139" t="n">
        <f aca="false">+DATOS_[[#This Row],[SALARIO BASE Ef]]+DATOS_[[#This Row],[Tot COMPL.SAL Ef]]</f>
        <v>0</v>
      </c>
      <c r="CF406" s="139" t="n">
        <f aca="false">+SUM(DATOS_[[#This Row],[C.Extra.01]:[C.Extra.05]])</f>
        <v>0</v>
      </c>
      <c r="CG406" s="139" t="n">
        <f aca="false">+DATOS_[[#This Row],[TOTAL SALARIO Ef]]+DATOS_[[#This Row],[Tot Extrasalarial Ef]]</f>
        <v>0</v>
      </c>
      <c r="CH406" s="140" t="n">
        <f aca="false">MIN(IF(DATOS_[[#This Row],[Fecha Fin Contrato]]="",$D$4,DATOS_[[#This Row],[Fecha Fin Contrato]]),$D$4)-MAX(DATOS_[[#This Row],[Fecha de Contratación]],$D$3)+1</f>
        <v>1</v>
      </c>
      <c r="CI406" s="141" t="str">
        <f aca="false">IF(COUNTIFS(DATOS_[id],DATOS_[[#This Row],[id]])&gt;1,DATOS_[[#This Row],[id]],"")</f>
        <v/>
      </c>
      <c r="CJ406" s="141" t="n">
        <f aca="false">(Inicio!$G$10-DATOS_[[#This Row],[Fecha Nacimiento]])/365.25</f>
        <v>0</v>
      </c>
      <c r="CK406" s="141" t="n">
        <f aca="false">(Inicio!$G$10-DATOS_[[#This Row],[Fecha de Antigüedad]])/365.25</f>
        <v>0</v>
      </c>
      <c r="CL406" s="141" t="e">
        <f aca="false">+VLOOKUP(DATOS_[[#This Row],[Clave de Contrato]],TblTiposContrato13[],3,0)</f>
        <v>#N/A</v>
      </c>
      <c r="CM406" s="141" t="e">
        <f aca="false">+VLOOKUP(DATOS_[[#This Row],[Clave de Contrato]],TblTiposContrato13[],4,0)</f>
        <v>#N/A</v>
      </c>
      <c r="CN406" s="141" t="str">
        <f aca="false">VLOOKUP(DATOS_[[#This Row],[Edad]],CONTRATOS!TblRngEdad,2,1)</f>
        <v>20  o menos</v>
      </c>
      <c r="CO406" s="141" t="str">
        <f aca="false">VLOOKUP(DATOS_[[#This Row],[Antigüedad]],TblRngAntg14[],2,1)</f>
        <v>0 a 1 años</v>
      </c>
    </row>
    <row r="407" customFormat="false" ht="13.8" hidden="false" customHeight="false" outlineLevel="0" collapsed="false">
      <c r="D407" s="128"/>
      <c r="E407" s="129"/>
      <c r="F407" s="129"/>
      <c r="G407" s="129"/>
      <c r="H407" s="130"/>
      <c r="I407" s="131"/>
      <c r="J407" s="128"/>
      <c r="K407" s="132"/>
      <c r="L407" s="132"/>
      <c r="M407" s="133"/>
      <c r="N407" s="133"/>
      <c r="O407" s="133"/>
      <c r="P407" s="129"/>
      <c r="Z407" s="75"/>
      <c r="AA407" s="76"/>
      <c r="AB407" s="76"/>
      <c r="AC407" s="129"/>
      <c r="AD407" s="134"/>
      <c r="AE407" s="134"/>
      <c r="AF407" s="134"/>
      <c r="AG407" s="134"/>
      <c r="AH407" s="134"/>
      <c r="AI407" s="134"/>
      <c r="AJ407" s="134"/>
      <c r="AK407" s="134"/>
      <c r="AL407" s="134"/>
      <c r="AM407" s="134"/>
      <c r="AN407" s="134"/>
      <c r="AO407" s="134"/>
      <c r="AP407" s="134"/>
      <c r="AQ407" s="134"/>
      <c r="AR407" s="134"/>
      <c r="AS407" s="134"/>
      <c r="AT407" s="134"/>
      <c r="AU407" s="134"/>
      <c r="AV407" s="134"/>
      <c r="AW407" s="134"/>
      <c r="AX407" s="134"/>
      <c r="AY407" s="134"/>
      <c r="AZ407" s="134"/>
      <c r="BA407" s="134"/>
      <c r="BB407" s="134"/>
      <c r="BC407" s="134"/>
      <c r="BD407" s="134"/>
      <c r="BE407" s="134"/>
      <c r="BF407" s="134"/>
      <c r="BG407" s="134"/>
      <c r="BH407" s="134"/>
      <c r="BI407" s="134"/>
      <c r="BJ407" s="134"/>
      <c r="BK407" s="134"/>
      <c r="BL407" s="134"/>
      <c r="BM407" s="135"/>
      <c r="BN407" s="136" t="n">
        <f aca="false">+MAX($D$3,DATOS_[[#This Row],[Fecha Inicio Sit. Contract.]])</f>
        <v>0</v>
      </c>
      <c r="BO407" s="136" t="n">
        <f aca="false">+MIN($D$4,DATOS_[[#This Row],[Fecha Fin Sit. Contract.]])</f>
        <v>0</v>
      </c>
      <c r="BP407" s="137" t="n">
        <f aca="false">+DATOS_[[#This Row],[% de jornada]]*IF(DATOS_[[#This Row],[% jornada reducida]]="",1,DATOS_[[#This Row],[% jornada reducida]])</f>
        <v>0</v>
      </c>
      <c r="BQ407" s="137" t="n">
        <f aca="false">+(DATOS_[[#This Row],[F.fin.cal]]-DATOS_[[#This Row],[F.ini.cal]]+1)/($D$4-$D$3+1)</f>
        <v>1</v>
      </c>
      <c r="BR407" s="137" t="str">
        <f aca="false">IF(OR(AND(DATOS_[[#This Row],[Fecha Fin Contrato]]&lt;$D$3,DATOS_[[#This Row],[Fecha Fin Contrato]]&lt;&gt;""),DATOS_[[#This Row],[Fecha de Contratación]]&gt;$D$4),"Fuera","Dentro")</f>
        <v>Dentro</v>
      </c>
      <c r="BS407" s="137" t="str">
        <f aca="false" t="array" ref="BS407:BS407">IF(MAX(IF(DATOS_[id]=DATOS_[[#This Row],[id]],DATOS_[F.fin.cal]))=DATOS_[[#This Row],[F.fin.cal]],"Sí","NO")</f>
        <v>Sí</v>
      </c>
      <c r="BT407" s="137" t="str">
        <f aca="false">IF(AND(DATOS_[[#This Row],[% normaliz]]&lt;&gt;1,DATOS_[[#This Row],[% anualiz]]=1),"Sí","NO")</f>
        <v>Sí</v>
      </c>
      <c r="BU407" s="137" t="str">
        <f aca="false">IF(AND(DATOS_[[#This Row],[% normaliz]]=1,DATOS_[[#This Row],[% anualiz]]&lt;&gt;1),"Sí","NO")</f>
        <v>NO</v>
      </c>
      <c r="BV407" s="137" t="str">
        <f aca="false">IF(AND(DATOS_[[#This Row],[% normaliz]]&lt;&gt;1,DATOS_[[#This Row],[% anualiz]]&lt;&gt;1),"Sí","NO")</f>
        <v>NO</v>
      </c>
      <c r="BW407" s="137" t="str">
        <f aca="false">+IF(DATOS_[[#This Row],[% normaliz]]*DATOS_[[#This Row],[% anualiz]]=1,"NO","Sí")</f>
        <v>Sí</v>
      </c>
      <c r="BX407" s="138" t="e">
        <f aca="false">(DATOS_[[#This Row],[S.BASE]]*(1/DATOS_[[#This Row],[% normaliz]])*(1/DATOS_[[#This Row],[% anualiz]]))*IF(DATOS_[[#This Row],[Check Equiparado]]="Sí",1,0)</f>
        <v>#DIV/0!</v>
      </c>
      <c r="BY4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7" s="138" t="e">
        <f aca="false">+DATOS_[[#This Row],[SALARIO BASE Eq]]+DATOS_[[#This Row],[Tot COMPL.SAL Eq]]</f>
        <v>#DIV/0!</v>
      </c>
      <c r="CA407" s="138" t="e">
        <f aca="false" t="array" ref="CA407:CA4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7" s="138" t="e">
        <f aca="false">+DATOS_[[#This Row],[TOTAL SALARIO Eq]]+DATOS_[[#This Row],[Tot Extrasalarial Eq]]</f>
        <v>#DIV/0!</v>
      </c>
      <c r="CC407" s="139" t="n">
        <f aca="false">DATOS_[[#This Row],[S.BASE]]</f>
        <v>0</v>
      </c>
      <c r="CD407" s="139" t="n">
        <f aca="false">+SUM(DATOS_[[#This Row],[Conc.Sal.01]:[Conc.Sal.30]])</f>
        <v>0</v>
      </c>
      <c r="CE407" s="139" t="n">
        <f aca="false">+DATOS_[[#This Row],[SALARIO BASE Ef]]+DATOS_[[#This Row],[Tot COMPL.SAL Ef]]</f>
        <v>0</v>
      </c>
      <c r="CF407" s="139" t="n">
        <f aca="false">+SUM(DATOS_[[#This Row],[C.Extra.01]:[C.Extra.05]])</f>
        <v>0</v>
      </c>
      <c r="CG407" s="139" t="n">
        <f aca="false">+DATOS_[[#This Row],[TOTAL SALARIO Ef]]+DATOS_[[#This Row],[Tot Extrasalarial Ef]]</f>
        <v>0</v>
      </c>
      <c r="CH407" s="140" t="n">
        <f aca="false">MIN(IF(DATOS_[[#This Row],[Fecha Fin Contrato]]="",$D$4,DATOS_[[#This Row],[Fecha Fin Contrato]]),$D$4)-MAX(DATOS_[[#This Row],[Fecha de Contratación]],$D$3)+1</f>
        <v>1</v>
      </c>
      <c r="CI407" s="141" t="str">
        <f aca="false">IF(COUNTIFS(DATOS_[id],DATOS_[[#This Row],[id]])&gt;1,DATOS_[[#This Row],[id]],"")</f>
        <v/>
      </c>
      <c r="CJ407" s="141" t="n">
        <f aca="false">(Inicio!$G$10-DATOS_[[#This Row],[Fecha Nacimiento]])/365.25</f>
        <v>0</v>
      </c>
      <c r="CK407" s="141" t="n">
        <f aca="false">(Inicio!$G$10-DATOS_[[#This Row],[Fecha de Antigüedad]])/365.25</f>
        <v>0</v>
      </c>
      <c r="CL407" s="141" t="e">
        <f aca="false">+VLOOKUP(DATOS_[[#This Row],[Clave de Contrato]],TblTiposContrato13[],3,0)</f>
        <v>#N/A</v>
      </c>
      <c r="CM407" s="141" t="e">
        <f aca="false">+VLOOKUP(DATOS_[[#This Row],[Clave de Contrato]],TblTiposContrato13[],4,0)</f>
        <v>#N/A</v>
      </c>
      <c r="CN407" s="141" t="str">
        <f aca="false">VLOOKUP(DATOS_[[#This Row],[Edad]],CONTRATOS!TblRngEdad,2,1)</f>
        <v>20  o menos</v>
      </c>
      <c r="CO407" s="141" t="str">
        <f aca="false">VLOOKUP(DATOS_[[#This Row],[Antigüedad]],TblRngAntg14[],2,1)</f>
        <v>0 a 1 años</v>
      </c>
    </row>
    <row r="408" customFormat="false" ht="13.8" hidden="false" customHeight="false" outlineLevel="0" collapsed="false">
      <c r="D408" s="128"/>
      <c r="E408" s="129"/>
      <c r="F408" s="129"/>
      <c r="G408" s="129"/>
      <c r="H408" s="130"/>
      <c r="I408" s="131"/>
      <c r="J408" s="128"/>
      <c r="K408" s="132"/>
      <c r="L408" s="132"/>
      <c r="M408" s="133"/>
      <c r="N408" s="133"/>
      <c r="O408" s="133"/>
      <c r="P408" s="129"/>
      <c r="Z408" s="75"/>
      <c r="AA408" s="76"/>
      <c r="AB408" s="76"/>
      <c r="AC408" s="129"/>
      <c r="AD408" s="134"/>
      <c r="AE408" s="134"/>
      <c r="AF408" s="134"/>
      <c r="AG408" s="134"/>
      <c r="AH408" s="134"/>
      <c r="AI408" s="134"/>
      <c r="AJ408" s="134"/>
      <c r="AK408" s="134"/>
      <c r="AL408" s="134"/>
      <c r="AM408" s="134"/>
      <c r="AN408" s="134"/>
      <c r="AO408" s="134"/>
      <c r="AP408" s="134"/>
      <c r="AQ408" s="134"/>
      <c r="AR408" s="134"/>
      <c r="AS408" s="134"/>
      <c r="AT408" s="134"/>
      <c r="AU408" s="134"/>
      <c r="AV408" s="134"/>
      <c r="AW408" s="134"/>
      <c r="AX408" s="134"/>
      <c r="AY408" s="134"/>
      <c r="AZ408" s="134"/>
      <c r="BA408" s="134"/>
      <c r="BB408" s="134"/>
      <c r="BC408" s="134"/>
      <c r="BD408" s="134"/>
      <c r="BE408" s="134"/>
      <c r="BF408" s="134"/>
      <c r="BG408" s="134"/>
      <c r="BH408" s="134"/>
      <c r="BI408" s="134"/>
      <c r="BJ408" s="134"/>
      <c r="BK408" s="134"/>
      <c r="BL408" s="134"/>
      <c r="BM408" s="135"/>
      <c r="BN408" s="136" t="n">
        <f aca="false">+MAX($D$3,DATOS_[[#This Row],[Fecha Inicio Sit. Contract.]])</f>
        <v>0</v>
      </c>
      <c r="BO408" s="136" t="n">
        <f aca="false">+MIN($D$4,DATOS_[[#This Row],[Fecha Fin Sit. Contract.]])</f>
        <v>0</v>
      </c>
      <c r="BP408" s="137" t="n">
        <f aca="false">+DATOS_[[#This Row],[% de jornada]]*IF(DATOS_[[#This Row],[% jornada reducida]]="",1,DATOS_[[#This Row],[% jornada reducida]])</f>
        <v>0</v>
      </c>
      <c r="BQ408" s="137" t="n">
        <f aca="false">+(DATOS_[[#This Row],[F.fin.cal]]-DATOS_[[#This Row],[F.ini.cal]]+1)/($D$4-$D$3+1)</f>
        <v>1</v>
      </c>
      <c r="BR408" s="137" t="str">
        <f aca="false">IF(OR(AND(DATOS_[[#This Row],[Fecha Fin Contrato]]&lt;$D$3,DATOS_[[#This Row],[Fecha Fin Contrato]]&lt;&gt;""),DATOS_[[#This Row],[Fecha de Contratación]]&gt;$D$4),"Fuera","Dentro")</f>
        <v>Dentro</v>
      </c>
      <c r="BS408" s="137" t="str">
        <f aca="false" t="array" ref="BS408:BS408">IF(MAX(IF(DATOS_[id]=DATOS_[[#This Row],[id]],DATOS_[F.fin.cal]))=DATOS_[[#This Row],[F.fin.cal]],"Sí","NO")</f>
        <v>Sí</v>
      </c>
      <c r="BT408" s="137" t="str">
        <f aca="false">IF(AND(DATOS_[[#This Row],[% normaliz]]&lt;&gt;1,DATOS_[[#This Row],[% anualiz]]=1),"Sí","NO")</f>
        <v>Sí</v>
      </c>
      <c r="BU408" s="137" t="str">
        <f aca="false">IF(AND(DATOS_[[#This Row],[% normaliz]]=1,DATOS_[[#This Row],[% anualiz]]&lt;&gt;1),"Sí","NO")</f>
        <v>NO</v>
      </c>
      <c r="BV408" s="137" t="str">
        <f aca="false">IF(AND(DATOS_[[#This Row],[% normaliz]]&lt;&gt;1,DATOS_[[#This Row],[% anualiz]]&lt;&gt;1),"Sí","NO")</f>
        <v>NO</v>
      </c>
      <c r="BW408" s="137" t="str">
        <f aca="false">+IF(DATOS_[[#This Row],[% normaliz]]*DATOS_[[#This Row],[% anualiz]]=1,"NO","Sí")</f>
        <v>Sí</v>
      </c>
      <c r="BX408" s="138" t="e">
        <f aca="false">(DATOS_[[#This Row],[S.BASE]]*(1/DATOS_[[#This Row],[% normaliz]])*(1/DATOS_[[#This Row],[% anualiz]]))*IF(DATOS_[[#This Row],[Check Equiparado]]="Sí",1,0)</f>
        <v>#DIV/0!</v>
      </c>
      <c r="BY4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8" s="138" t="e">
        <f aca="false">+DATOS_[[#This Row],[SALARIO BASE Eq]]+DATOS_[[#This Row],[Tot COMPL.SAL Eq]]</f>
        <v>#DIV/0!</v>
      </c>
      <c r="CA408" s="138" t="e">
        <f aca="false" t="array" ref="CA408:CA4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8" s="138" t="e">
        <f aca="false">+DATOS_[[#This Row],[TOTAL SALARIO Eq]]+DATOS_[[#This Row],[Tot Extrasalarial Eq]]</f>
        <v>#DIV/0!</v>
      </c>
      <c r="CC408" s="139" t="n">
        <f aca="false">DATOS_[[#This Row],[S.BASE]]</f>
        <v>0</v>
      </c>
      <c r="CD408" s="139" t="n">
        <f aca="false">+SUM(DATOS_[[#This Row],[Conc.Sal.01]:[Conc.Sal.30]])</f>
        <v>0</v>
      </c>
      <c r="CE408" s="139" t="n">
        <f aca="false">+DATOS_[[#This Row],[SALARIO BASE Ef]]+DATOS_[[#This Row],[Tot COMPL.SAL Ef]]</f>
        <v>0</v>
      </c>
      <c r="CF408" s="139" t="n">
        <f aca="false">+SUM(DATOS_[[#This Row],[C.Extra.01]:[C.Extra.05]])</f>
        <v>0</v>
      </c>
      <c r="CG408" s="139" t="n">
        <f aca="false">+DATOS_[[#This Row],[TOTAL SALARIO Ef]]+DATOS_[[#This Row],[Tot Extrasalarial Ef]]</f>
        <v>0</v>
      </c>
      <c r="CH408" s="140" t="n">
        <f aca="false">MIN(IF(DATOS_[[#This Row],[Fecha Fin Contrato]]="",$D$4,DATOS_[[#This Row],[Fecha Fin Contrato]]),$D$4)-MAX(DATOS_[[#This Row],[Fecha de Contratación]],$D$3)+1</f>
        <v>1</v>
      </c>
      <c r="CI408" s="141" t="str">
        <f aca="false">IF(COUNTIFS(DATOS_[id],DATOS_[[#This Row],[id]])&gt;1,DATOS_[[#This Row],[id]],"")</f>
        <v/>
      </c>
      <c r="CJ408" s="141" t="n">
        <f aca="false">(Inicio!$G$10-DATOS_[[#This Row],[Fecha Nacimiento]])/365.25</f>
        <v>0</v>
      </c>
      <c r="CK408" s="141" t="n">
        <f aca="false">(Inicio!$G$10-DATOS_[[#This Row],[Fecha de Antigüedad]])/365.25</f>
        <v>0</v>
      </c>
      <c r="CL408" s="141" t="e">
        <f aca="false">+VLOOKUP(DATOS_[[#This Row],[Clave de Contrato]],TblTiposContrato13[],3,0)</f>
        <v>#N/A</v>
      </c>
      <c r="CM408" s="141" t="e">
        <f aca="false">+VLOOKUP(DATOS_[[#This Row],[Clave de Contrato]],TblTiposContrato13[],4,0)</f>
        <v>#N/A</v>
      </c>
      <c r="CN408" s="141" t="str">
        <f aca="false">VLOOKUP(DATOS_[[#This Row],[Edad]],CONTRATOS!TblRngEdad,2,1)</f>
        <v>20  o menos</v>
      </c>
      <c r="CO408" s="141" t="str">
        <f aca="false">VLOOKUP(DATOS_[[#This Row],[Antigüedad]],TblRngAntg14[],2,1)</f>
        <v>0 a 1 años</v>
      </c>
    </row>
    <row r="409" customFormat="false" ht="13.8" hidden="false" customHeight="false" outlineLevel="0" collapsed="false">
      <c r="D409" s="128"/>
      <c r="E409" s="129"/>
      <c r="F409" s="129"/>
      <c r="G409" s="129"/>
      <c r="H409" s="130"/>
      <c r="I409" s="131"/>
      <c r="J409" s="128"/>
      <c r="K409" s="132"/>
      <c r="L409" s="132"/>
      <c r="M409" s="133"/>
      <c r="N409" s="133"/>
      <c r="O409" s="133"/>
      <c r="P409" s="129"/>
      <c r="Z409" s="75"/>
      <c r="AA409" s="76"/>
      <c r="AB409" s="76"/>
      <c r="AC409" s="129"/>
      <c r="AD409" s="134"/>
      <c r="AE409" s="134"/>
      <c r="AF409" s="134"/>
      <c r="AG409" s="134"/>
      <c r="AH409" s="134"/>
      <c r="AI409" s="134"/>
      <c r="AJ409" s="134"/>
      <c r="AK409" s="134"/>
      <c r="AL409" s="134"/>
      <c r="AM409" s="134"/>
      <c r="AN409" s="134"/>
      <c r="AO409" s="134"/>
      <c r="AP409" s="134"/>
      <c r="AQ409" s="134"/>
      <c r="AR409" s="134"/>
      <c r="AS409" s="134"/>
      <c r="AT409" s="134"/>
      <c r="AU409" s="134"/>
      <c r="AV409" s="134"/>
      <c r="AW409" s="134"/>
      <c r="AX409" s="134"/>
      <c r="AY409" s="134"/>
      <c r="AZ409" s="134"/>
      <c r="BA409" s="134"/>
      <c r="BB409" s="134"/>
      <c r="BC409" s="134"/>
      <c r="BD409" s="134"/>
      <c r="BE409" s="134"/>
      <c r="BF409" s="134"/>
      <c r="BG409" s="134"/>
      <c r="BH409" s="134"/>
      <c r="BI409" s="134"/>
      <c r="BJ409" s="134"/>
      <c r="BK409" s="134"/>
      <c r="BL409" s="134"/>
      <c r="BM409" s="135"/>
      <c r="BN409" s="136" t="n">
        <f aca="false">+MAX($D$3,DATOS_[[#This Row],[Fecha Inicio Sit. Contract.]])</f>
        <v>0</v>
      </c>
      <c r="BO409" s="136" t="n">
        <f aca="false">+MIN($D$4,DATOS_[[#This Row],[Fecha Fin Sit. Contract.]])</f>
        <v>0</v>
      </c>
      <c r="BP409" s="137" t="n">
        <f aca="false">+DATOS_[[#This Row],[% de jornada]]*IF(DATOS_[[#This Row],[% jornada reducida]]="",1,DATOS_[[#This Row],[% jornada reducida]])</f>
        <v>0</v>
      </c>
      <c r="BQ409" s="137" t="n">
        <f aca="false">+(DATOS_[[#This Row],[F.fin.cal]]-DATOS_[[#This Row],[F.ini.cal]]+1)/($D$4-$D$3+1)</f>
        <v>1</v>
      </c>
      <c r="BR409" s="137" t="str">
        <f aca="false">IF(OR(AND(DATOS_[[#This Row],[Fecha Fin Contrato]]&lt;$D$3,DATOS_[[#This Row],[Fecha Fin Contrato]]&lt;&gt;""),DATOS_[[#This Row],[Fecha de Contratación]]&gt;$D$4),"Fuera","Dentro")</f>
        <v>Dentro</v>
      </c>
      <c r="BS409" s="137" t="str">
        <f aca="false" t="array" ref="BS409:BS409">IF(MAX(IF(DATOS_[id]=DATOS_[[#This Row],[id]],DATOS_[F.fin.cal]))=DATOS_[[#This Row],[F.fin.cal]],"Sí","NO")</f>
        <v>Sí</v>
      </c>
      <c r="BT409" s="137" t="str">
        <f aca="false">IF(AND(DATOS_[[#This Row],[% normaliz]]&lt;&gt;1,DATOS_[[#This Row],[% anualiz]]=1),"Sí","NO")</f>
        <v>Sí</v>
      </c>
      <c r="BU409" s="137" t="str">
        <f aca="false">IF(AND(DATOS_[[#This Row],[% normaliz]]=1,DATOS_[[#This Row],[% anualiz]]&lt;&gt;1),"Sí","NO")</f>
        <v>NO</v>
      </c>
      <c r="BV409" s="137" t="str">
        <f aca="false">IF(AND(DATOS_[[#This Row],[% normaliz]]&lt;&gt;1,DATOS_[[#This Row],[% anualiz]]&lt;&gt;1),"Sí","NO")</f>
        <v>NO</v>
      </c>
      <c r="BW409" s="137" t="str">
        <f aca="false">+IF(DATOS_[[#This Row],[% normaliz]]*DATOS_[[#This Row],[% anualiz]]=1,"NO","Sí")</f>
        <v>Sí</v>
      </c>
      <c r="BX409" s="138" t="e">
        <f aca="false">(DATOS_[[#This Row],[S.BASE]]*(1/DATOS_[[#This Row],[% normaliz]])*(1/DATOS_[[#This Row],[% anualiz]]))*IF(DATOS_[[#This Row],[Check Equiparado]]="Sí",1,0)</f>
        <v>#DIV/0!</v>
      </c>
      <c r="BY4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9" s="138" t="e">
        <f aca="false">+DATOS_[[#This Row],[SALARIO BASE Eq]]+DATOS_[[#This Row],[Tot COMPL.SAL Eq]]</f>
        <v>#DIV/0!</v>
      </c>
      <c r="CA409" s="138" t="e">
        <f aca="false" t="array" ref="CA409:CA4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9" s="138" t="e">
        <f aca="false">+DATOS_[[#This Row],[TOTAL SALARIO Eq]]+DATOS_[[#This Row],[Tot Extrasalarial Eq]]</f>
        <v>#DIV/0!</v>
      </c>
      <c r="CC409" s="139" t="n">
        <f aca="false">DATOS_[[#This Row],[S.BASE]]</f>
        <v>0</v>
      </c>
      <c r="CD409" s="139" t="n">
        <f aca="false">+SUM(DATOS_[[#This Row],[Conc.Sal.01]:[Conc.Sal.30]])</f>
        <v>0</v>
      </c>
      <c r="CE409" s="139" t="n">
        <f aca="false">+DATOS_[[#This Row],[SALARIO BASE Ef]]+DATOS_[[#This Row],[Tot COMPL.SAL Ef]]</f>
        <v>0</v>
      </c>
      <c r="CF409" s="139" t="n">
        <f aca="false">+SUM(DATOS_[[#This Row],[C.Extra.01]:[C.Extra.05]])</f>
        <v>0</v>
      </c>
      <c r="CG409" s="139" t="n">
        <f aca="false">+DATOS_[[#This Row],[TOTAL SALARIO Ef]]+DATOS_[[#This Row],[Tot Extrasalarial Ef]]</f>
        <v>0</v>
      </c>
      <c r="CH409" s="140" t="n">
        <f aca="false">MIN(IF(DATOS_[[#This Row],[Fecha Fin Contrato]]="",$D$4,DATOS_[[#This Row],[Fecha Fin Contrato]]),$D$4)-MAX(DATOS_[[#This Row],[Fecha de Contratación]],$D$3)+1</f>
        <v>1</v>
      </c>
      <c r="CI409" s="141" t="str">
        <f aca="false">IF(COUNTIFS(DATOS_[id],DATOS_[[#This Row],[id]])&gt;1,DATOS_[[#This Row],[id]],"")</f>
        <v/>
      </c>
      <c r="CJ409" s="141" t="n">
        <f aca="false">(Inicio!$G$10-DATOS_[[#This Row],[Fecha Nacimiento]])/365.25</f>
        <v>0</v>
      </c>
      <c r="CK409" s="141" t="n">
        <f aca="false">(Inicio!$G$10-DATOS_[[#This Row],[Fecha de Antigüedad]])/365.25</f>
        <v>0</v>
      </c>
      <c r="CL409" s="141" t="e">
        <f aca="false">+VLOOKUP(DATOS_[[#This Row],[Clave de Contrato]],TblTiposContrato13[],3,0)</f>
        <v>#N/A</v>
      </c>
      <c r="CM409" s="141" t="e">
        <f aca="false">+VLOOKUP(DATOS_[[#This Row],[Clave de Contrato]],TblTiposContrato13[],4,0)</f>
        <v>#N/A</v>
      </c>
      <c r="CN409" s="141" t="str">
        <f aca="false">VLOOKUP(DATOS_[[#This Row],[Edad]],CONTRATOS!TblRngEdad,2,1)</f>
        <v>20  o menos</v>
      </c>
      <c r="CO409" s="141" t="str">
        <f aca="false">VLOOKUP(DATOS_[[#This Row],[Antigüedad]],TblRngAntg14[],2,1)</f>
        <v>0 a 1 años</v>
      </c>
    </row>
    <row r="410" customFormat="false" ht="13.8" hidden="false" customHeight="false" outlineLevel="0" collapsed="false">
      <c r="D410" s="128"/>
      <c r="E410" s="129"/>
      <c r="F410" s="129"/>
      <c r="G410" s="129"/>
      <c r="H410" s="130"/>
      <c r="I410" s="131"/>
      <c r="J410" s="128"/>
      <c r="K410" s="132"/>
      <c r="L410" s="132"/>
      <c r="M410" s="133"/>
      <c r="N410" s="133"/>
      <c r="O410" s="133"/>
      <c r="P410" s="129"/>
      <c r="Z410" s="75"/>
      <c r="AA410" s="76"/>
      <c r="AB410" s="76"/>
      <c r="AC410" s="129"/>
      <c r="AD410" s="134"/>
      <c r="AE410" s="134"/>
      <c r="AF410" s="134"/>
      <c r="AG410" s="134"/>
      <c r="AH410" s="134"/>
      <c r="AI410" s="134"/>
      <c r="AJ410" s="134"/>
      <c r="AK410" s="134"/>
      <c r="AL410" s="134"/>
      <c r="AM410" s="134"/>
      <c r="AN410" s="134"/>
      <c r="AO410" s="134"/>
      <c r="AP410" s="134"/>
      <c r="AQ410" s="134"/>
      <c r="AR410" s="134"/>
      <c r="AS410" s="134"/>
      <c r="AT410" s="134"/>
      <c r="AU410" s="134"/>
      <c r="AV410" s="134"/>
      <c r="AW410" s="134"/>
      <c r="AX410" s="134"/>
      <c r="AY410" s="134"/>
      <c r="AZ410" s="134"/>
      <c r="BA410" s="134"/>
      <c r="BB410" s="134"/>
      <c r="BC410" s="134"/>
      <c r="BD410" s="134"/>
      <c r="BE410" s="134"/>
      <c r="BF410" s="134"/>
      <c r="BG410" s="134"/>
      <c r="BH410" s="134"/>
      <c r="BI410" s="134"/>
      <c r="BJ410" s="134"/>
      <c r="BK410" s="134"/>
      <c r="BL410" s="134"/>
      <c r="BM410" s="135"/>
      <c r="BN410" s="136" t="n">
        <f aca="false">+MAX($D$3,DATOS_[[#This Row],[Fecha Inicio Sit. Contract.]])</f>
        <v>0</v>
      </c>
      <c r="BO410" s="136" t="n">
        <f aca="false">+MIN($D$4,DATOS_[[#This Row],[Fecha Fin Sit. Contract.]])</f>
        <v>0</v>
      </c>
      <c r="BP410" s="137" t="n">
        <f aca="false">+DATOS_[[#This Row],[% de jornada]]*IF(DATOS_[[#This Row],[% jornada reducida]]="",1,DATOS_[[#This Row],[% jornada reducida]])</f>
        <v>0</v>
      </c>
      <c r="BQ410" s="137" t="n">
        <f aca="false">+(DATOS_[[#This Row],[F.fin.cal]]-DATOS_[[#This Row],[F.ini.cal]]+1)/($D$4-$D$3+1)</f>
        <v>1</v>
      </c>
      <c r="BR410" s="137" t="str">
        <f aca="false">IF(OR(AND(DATOS_[[#This Row],[Fecha Fin Contrato]]&lt;$D$3,DATOS_[[#This Row],[Fecha Fin Contrato]]&lt;&gt;""),DATOS_[[#This Row],[Fecha de Contratación]]&gt;$D$4),"Fuera","Dentro")</f>
        <v>Dentro</v>
      </c>
      <c r="BS410" s="137" t="str">
        <f aca="false" t="array" ref="BS410:BS410">IF(MAX(IF(DATOS_[id]=DATOS_[[#This Row],[id]],DATOS_[F.fin.cal]))=DATOS_[[#This Row],[F.fin.cal]],"Sí","NO")</f>
        <v>Sí</v>
      </c>
      <c r="BT410" s="137" t="str">
        <f aca="false">IF(AND(DATOS_[[#This Row],[% normaliz]]&lt;&gt;1,DATOS_[[#This Row],[% anualiz]]=1),"Sí","NO")</f>
        <v>Sí</v>
      </c>
      <c r="BU410" s="137" t="str">
        <f aca="false">IF(AND(DATOS_[[#This Row],[% normaliz]]=1,DATOS_[[#This Row],[% anualiz]]&lt;&gt;1),"Sí","NO")</f>
        <v>NO</v>
      </c>
      <c r="BV410" s="137" t="str">
        <f aca="false">IF(AND(DATOS_[[#This Row],[% normaliz]]&lt;&gt;1,DATOS_[[#This Row],[% anualiz]]&lt;&gt;1),"Sí","NO")</f>
        <v>NO</v>
      </c>
      <c r="BW410" s="137" t="str">
        <f aca="false">+IF(DATOS_[[#This Row],[% normaliz]]*DATOS_[[#This Row],[% anualiz]]=1,"NO","Sí")</f>
        <v>Sí</v>
      </c>
      <c r="BX410" s="138" t="e">
        <f aca="false">(DATOS_[[#This Row],[S.BASE]]*(1/DATOS_[[#This Row],[% normaliz]])*(1/DATOS_[[#This Row],[% anualiz]]))*IF(DATOS_[[#This Row],[Check Equiparado]]="Sí",1,0)</f>
        <v>#DIV/0!</v>
      </c>
      <c r="BY4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0" s="138" t="e">
        <f aca="false">+DATOS_[[#This Row],[SALARIO BASE Eq]]+DATOS_[[#This Row],[Tot COMPL.SAL Eq]]</f>
        <v>#DIV/0!</v>
      </c>
      <c r="CA410" s="138" t="e">
        <f aca="false" t="array" ref="CA410:CA4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0" s="138" t="e">
        <f aca="false">+DATOS_[[#This Row],[TOTAL SALARIO Eq]]+DATOS_[[#This Row],[Tot Extrasalarial Eq]]</f>
        <v>#DIV/0!</v>
      </c>
      <c r="CC410" s="139" t="n">
        <f aca="false">DATOS_[[#This Row],[S.BASE]]</f>
        <v>0</v>
      </c>
      <c r="CD410" s="139" t="n">
        <f aca="false">+SUM(DATOS_[[#This Row],[Conc.Sal.01]:[Conc.Sal.30]])</f>
        <v>0</v>
      </c>
      <c r="CE410" s="139" t="n">
        <f aca="false">+DATOS_[[#This Row],[SALARIO BASE Ef]]+DATOS_[[#This Row],[Tot COMPL.SAL Ef]]</f>
        <v>0</v>
      </c>
      <c r="CF410" s="139" t="n">
        <f aca="false">+SUM(DATOS_[[#This Row],[C.Extra.01]:[C.Extra.05]])</f>
        <v>0</v>
      </c>
      <c r="CG410" s="139" t="n">
        <f aca="false">+DATOS_[[#This Row],[TOTAL SALARIO Ef]]+DATOS_[[#This Row],[Tot Extrasalarial Ef]]</f>
        <v>0</v>
      </c>
      <c r="CH410" s="140" t="n">
        <f aca="false">MIN(IF(DATOS_[[#This Row],[Fecha Fin Contrato]]="",$D$4,DATOS_[[#This Row],[Fecha Fin Contrato]]),$D$4)-MAX(DATOS_[[#This Row],[Fecha de Contratación]],$D$3)+1</f>
        <v>1</v>
      </c>
      <c r="CI410" s="141" t="str">
        <f aca="false">IF(COUNTIFS(DATOS_[id],DATOS_[[#This Row],[id]])&gt;1,DATOS_[[#This Row],[id]],"")</f>
        <v/>
      </c>
      <c r="CJ410" s="141" t="n">
        <f aca="false">(Inicio!$G$10-DATOS_[[#This Row],[Fecha Nacimiento]])/365.25</f>
        <v>0</v>
      </c>
      <c r="CK410" s="141" t="n">
        <f aca="false">(Inicio!$G$10-DATOS_[[#This Row],[Fecha de Antigüedad]])/365.25</f>
        <v>0</v>
      </c>
      <c r="CL410" s="141" t="e">
        <f aca="false">+VLOOKUP(DATOS_[[#This Row],[Clave de Contrato]],TblTiposContrato13[],3,0)</f>
        <v>#N/A</v>
      </c>
      <c r="CM410" s="141" t="e">
        <f aca="false">+VLOOKUP(DATOS_[[#This Row],[Clave de Contrato]],TblTiposContrato13[],4,0)</f>
        <v>#N/A</v>
      </c>
      <c r="CN410" s="141" t="str">
        <f aca="false">VLOOKUP(DATOS_[[#This Row],[Edad]],CONTRATOS!TblRngEdad,2,1)</f>
        <v>20  o menos</v>
      </c>
      <c r="CO410" s="141" t="str">
        <f aca="false">VLOOKUP(DATOS_[[#This Row],[Antigüedad]],TblRngAntg14[],2,1)</f>
        <v>0 a 1 años</v>
      </c>
    </row>
    <row r="411" customFormat="false" ht="13.8" hidden="false" customHeight="false" outlineLevel="0" collapsed="false">
      <c r="D411" s="128"/>
      <c r="E411" s="129"/>
      <c r="F411" s="129"/>
      <c r="G411" s="129"/>
      <c r="H411" s="130"/>
      <c r="I411" s="131"/>
      <c r="J411" s="128"/>
      <c r="K411" s="132"/>
      <c r="L411" s="132"/>
      <c r="M411" s="133"/>
      <c r="N411" s="133"/>
      <c r="O411" s="133"/>
      <c r="P411" s="129"/>
      <c r="Z411" s="75"/>
      <c r="AA411" s="76"/>
      <c r="AB411" s="76"/>
      <c r="AC411" s="129"/>
      <c r="AD411" s="134"/>
      <c r="AE411" s="134"/>
      <c r="AF411" s="134"/>
      <c r="AG411" s="134"/>
      <c r="AH411" s="134"/>
      <c r="AI411" s="134"/>
      <c r="AJ411" s="134"/>
      <c r="AK411" s="134"/>
      <c r="AL411" s="134"/>
      <c r="AM411" s="134"/>
      <c r="AN411" s="134"/>
      <c r="AO411" s="134"/>
      <c r="AP411" s="134"/>
      <c r="AQ411" s="134"/>
      <c r="AR411" s="134"/>
      <c r="AS411" s="134"/>
      <c r="AT411" s="134"/>
      <c r="AU411" s="134"/>
      <c r="AV411" s="134"/>
      <c r="AW411" s="134"/>
      <c r="AX411" s="134"/>
      <c r="AY411" s="134"/>
      <c r="AZ411" s="134"/>
      <c r="BA411" s="134"/>
      <c r="BB411" s="134"/>
      <c r="BC411" s="134"/>
      <c r="BD411" s="134"/>
      <c r="BE411" s="134"/>
      <c r="BF411" s="134"/>
      <c r="BG411" s="134"/>
      <c r="BH411" s="134"/>
      <c r="BI411" s="134"/>
      <c r="BJ411" s="134"/>
      <c r="BK411" s="134"/>
      <c r="BL411" s="134"/>
      <c r="BM411" s="135"/>
      <c r="BN411" s="136" t="n">
        <f aca="false">+MAX($D$3,DATOS_[[#This Row],[Fecha Inicio Sit. Contract.]])</f>
        <v>0</v>
      </c>
      <c r="BO411" s="136" t="n">
        <f aca="false">+MIN($D$4,DATOS_[[#This Row],[Fecha Fin Sit. Contract.]])</f>
        <v>0</v>
      </c>
      <c r="BP411" s="137" t="n">
        <f aca="false">+DATOS_[[#This Row],[% de jornada]]*IF(DATOS_[[#This Row],[% jornada reducida]]="",1,DATOS_[[#This Row],[% jornada reducida]])</f>
        <v>0</v>
      </c>
      <c r="BQ411" s="137" t="n">
        <f aca="false">+(DATOS_[[#This Row],[F.fin.cal]]-DATOS_[[#This Row],[F.ini.cal]]+1)/($D$4-$D$3+1)</f>
        <v>1</v>
      </c>
      <c r="BR411" s="137" t="str">
        <f aca="false">IF(OR(AND(DATOS_[[#This Row],[Fecha Fin Contrato]]&lt;$D$3,DATOS_[[#This Row],[Fecha Fin Contrato]]&lt;&gt;""),DATOS_[[#This Row],[Fecha de Contratación]]&gt;$D$4),"Fuera","Dentro")</f>
        <v>Dentro</v>
      </c>
      <c r="BS411" s="137" t="str">
        <f aca="false" t="array" ref="BS411:BS411">IF(MAX(IF(DATOS_[id]=DATOS_[[#This Row],[id]],DATOS_[F.fin.cal]))=DATOS_[[#This Row],[F.fin.cal]],"Sí","NO")</f>
        <v>Sí</v>
      </c>
      <c r="BT411" s="137" t="str">
        <f aca="false">IF(AND(DATOS_[[#This Row],[% normaliz]]&lt;&gt;1,DATOS_[[#This Row],[% anualiz]]=1),"Sí","NO")</f>
        <v>Sí</v>
      </c>
      <c r="BU411" s="137" t="str">
        <f aca="false">IF(AND(DATOS_[[#This Row],[% normaliz]]=1,DATOS_[[#This Row],[% anualiz]]&lt;&gt;1),"Sí","NO")</f>
        <v>NO</v>
      </c>
      <c r="BV411" s="137" t="str">
        <f aca="false">IF(AND(DATOS_[[#This Row],[% normaliz]]&lt;&gt;1,DATOS_[[#This Row],[% anualiz]]&lt;&gt;1),"Sí","NO")</f>
        <v>NO</v>
      </c>
      <c r="BW411" s="137" t="str">
        <f aca="false">+IF(DATOS_[[#This Row],[% normaliz]]*DATOS_[[#This Row],[% anualiz]]=1,"NO","Sí")</f>
        <v>Sí</v>
      </c>
      <c r="BX411" s="138" t="e">
        <f aca="false">(DATOS_[[#This Row],[S.BASE]]*(1/DATOS_[[#This Row],[% normaliz]])*(1/DATOS_[[#This Row],[% anualiz]]))*IF(DATOS_[[#This Row],[Check Equiparado]]="Sí",1,0)</f>
        <v>#DIV/0!</v>
      </c>
      <c r="BY4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1" s="138" t="e">
        <f aca="false">+DATOS_[[#This Row],[SALARIO BASE Eq]]+DATOS_[[#This Row],[Tot COMPL.SAL Eq]]</f>
        <v>#DIV/0!</v>
      </c>
      <c r="CA411" s="138" t="e">
        <f aca="false" t="array" ref="CA411:CA4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1" s="138" t="e">
        <f aca="false">+DATOS_[[#This Row],[TOTAL SALARIO Eq]]+DATOS_[[#This Row],[Tot Extrasalarial Eq]]</f>
        <v>#DIV/0!</v>
      </c>
      <c r="CC411" s="139" t="n">
        <f aca="false">DATOS_[[#This Row],[S.BASE]]</f>
        <v>0</v>
      </c>
      <c r="CD411" s="139" t="n">
        <f aca="false">+SUM(DATOS_[[#This Row],[Conc.Sal.01]:[Conc.Sal.30]])</f>
        <v>0</v>
      </c>
      <c r="CE411" s="139" t="n">
        <f aca="false">+DATOS_[[#This Row],[SALARIO BASE Ef]]+DATOS_[[#This Row],[Tot COMPL.SAL Ef]]</f>
        <v>0</v>
      </c>
      <c r="CF411" s="139" t="n">
        <f aca="false">+SUM(DATOS_[[#This Row],[C.Extra.01]:[C.Extra.05]])</f>
        <v>0</v>
      </c>
      <c r="CG411" s="139" t="n">
        <f aca="false">+DATOS_[[#This Row],[TOTAL SALARIO Ef]]+DATOS_[[#This Row],[Tot Extrasalarial Ef]]</f>
        <v>0</v>
      </c>
      <c r="CH411" s="140" t="n">
        <f aca="false">MIN(IF(DATOS_[[#This Row],[Fecha Fin Contrato]]="",$D$4,DATOS_[[#This Row],[Fecha Fin Contrato]]),$D$4)-MAX(DATOS_[[#This Row],[Fecha de Contratación]],$D$3)+1</f>
        <v>1</v>
      </c>
      <c r="CI411" s="141" t="str">
        <f aca="false">IF(COUNTIFS(DATOS_[id],DATOS_[[#This Row],[id]])&gt;1,DATOS_[[#This Row],[id]],"")</f>
        <v/>
      </c>
      <c r="CJ411" s="141" t="n">
        <f aca="false">(Inicio!$G$10-DATOS_[[#This Row],[Fecha Nacimiento]])/365.25</f>
        <v>0</v>
      </c>
      <c r="CK411" s="141" t="n">
        <f aca="false">(Inicio!$G$10-DATOS_[[#This Row],[Fecha de Antigüedad]])/365.25</f>
        <v>0</v>
      </c>
      <c r="CL411" s="141" t="e">
        <f aca="false">+VLOOKUP(DATOS_[[#This Row],[Clave de Contrato]],TblTiposContrato13[],3,0)</f>
        <v>#N/A</v>
      </c>
      <c r="CM411" s="141" t="e">
        <f aca="false">+VLOOKUP(DATOS_[[#This Row],[Clave de Contrato]],TblTiposContrato13[],4,0)</f>
        <v>#N/A</v>
      </c>
      <c r="CN411" s="141" t="str">
        <f aca="false">VLOOKUP(DATOS_[[#This Row],[Edad]],CONTRATOS!TblRngEdad,2,1)</f>
        <v>20  o menos</v>
      </c>
      <c r="CO411" s="141" t="str">
        <f aca="false">VLOOKUP(DATOS_[[#This Row],[Antigüedad]],TblRngAntg14[],2,1)</f>
        <v>0 a 1 años</v>
      </c>
    </row>
    <row r="412" customFormat="false" ht="13.8" hidden="false" customHeight="false" outlineLevel="0" collapsed="false">
      <c r="D412" s="128"/>
      <c r="E412" s="129"/>
      <c r="F412" s="129"/>
      <c r="G412" s="129"/>
      <c r="H412" s="130"/>
      <c r="I412" s="131"/>
      <c r="J412" s="128"/>
      <c r="K412" s="132"/>
      <c r="L412" s="132"/>
      <c r="M412" s="133"/>
      <c r="N412" s="133"/>
      <c r="O412" s="133"/>
      <c r="P412" s="129"/>
      <c r="Z412" s="75"/>
      <c r="AA412" s="76"/>
      <c r="AB412" s="76"/>
      <c r="AC412" s="129"/>
      <c r="AD412" s="134"/>
      <c r="AE412" s="134"/>
      <c r="AF412" s="134"/>
      <c r="AG412" s="134"/>
      <c r="AH412" s="134"/>
      <c r="AI412" s="134"/>
      <c r="AJ412" s="134"/>
      <c r="AK412" s="134"/>
      <c r="AL412" s="134"/>
      <c r="AM412" s="134"/>
      <c r="AN412" s="134"/>
      <c r="AO412" s="134"/>
      <c r="AP412" s="134"/>
      <c r="AQ412" s="134"/>
      <c r="AR412" s="134"/>
      <c r="AS412" s="134"/>
      <c r="AT412" s="134"/>
      <c r="AU412" s="134"/>
      <c r="AV412" s="134"/>
      <c r="AW412" s="134"/>
      <c r="AX412" s="134"/>
      <c r="AY412" s="134"/>
      <c r="AZ412" s="134"/>
      <c r="BA412" s="134"/>
      <c r="BB412" s="134"/>
      <c r="BC412" s="134"/>
      <c r="BD412" s="134"/>
      <c r="BE412" s="134"/>
      <c r="BF412" s="134"/>
      <c r="BG412" s="134"/>
      <c r="BH412" s="134"/>
      <c r="BI412" s="134"/>
      <c r="BJ412" s="134"/>
      <c r="BK412" s="134"/>
      <c r="BL412" s="134"/>
      <c r="BM412" s="135"/>
      <c r="BN412" s="136" t="n">
        <f aca="false">+MAX($D$3,DATOS_[[#This Row],[Fecha Inicio Sit. Contract.]])</f>
        <v>0</v>
      </c>
      <c r="BO412" s="136" t="n">
        <f aca="false">+MIN($D$4,DATOS_[[#This Row],[Fecha Fin Sit. Contract.]])</f>
        <v>0</v>
      </c>
      <c r="BP412" s="137" t="n">
        <f aca="false">+DATOS_[[#This Row],[% de jornada]]*IF(DATOS_[[#This Row],[% jornada reducida]]="",1,DATOS_[[#This Row],[% jornada reducida]])</f>
        <v>0</v>
      </c>
      <c r="BQ412" s="137" t="n">
        <f aca="false">+(DATOS_[[#This Row],[F.fin.cal]]-DATOS_[[#This Row],[F.ini.cal]]+1)/($D$4-$D$3+1)</f>
        <v>1</v>
      </c>
      <c r="BR412" s="137" t="str">
        <f aca="false">IF(OR(AND(DATOS_[[#This Row],[Fecha Fin Contrato]]&lt;$D$3,DATOS_[[#This Row],[Fecha Fin Contrato]]&lt;&gt;""),DATOS_[[#This Row],[Fecha de Contratación]]&gt;$D$4),"Fuera","Dentro")</f>
        <v>Dentro</v>
      </c>
      <c r="BS412" s="137" t="str">
        <f aca="false" t="array" ref="BS412:BS412">IF(MAX(IF(DATOS_[id]=DATOS_[[#This Row],[id]],DATOS_[F.fin.cal]))=DATOS_[[#This Row],[F.fin.cal]],"Sí","NO")</f>
        <v>Sí</v>
      </c>
      <c r="BT412" s="137" t="str">
        <f aca="false">IF(AND(DATOS_[[#This Row],[% normaliz]]&lt;&gt;1,DATOS_[[#This Row],[% anualiz]]=1),"Sí","NO")</f>
        <v>Sí</v>
      </c>
      <c r="BU412" s="137" t="str">
        <f aca="false">IF(AND(DATOS_[[#This Row],[% normaliz]]=1,DATOS_[[#This Row],[% anualiz]]&lt;&gt;1),"Sí","NO")</f>
        <v>NO</v>
      </c>
      <c r="BV412" s="137" t="str">
        <f aca="false">IF(AND(DATOS_[[#This Row],[% normaliz]]&lt;&gt;1,DATOS_[[#This Row],[% anualiz]]&lt;&gt;1),"Sí","NO")</f>
        <v>NO</v>
      </c>
      <c r="BW412" s="137" t="str">
        <f aca="false">+IF(DATOS_[[#This Row],[% normaliz]]*DATOS_[[#This Row],[% anualiz]]=1,"NO","Sí")</f>
        <v>Sí</v>
      </c>
      <c r="BX412" s="138" t="e">
        <f aca="false">(DATOS_[[#This Row],[S.BASE]]*(1/DATOS_[[#This Row],[% normaliz]])*(1/DATOS_[[#This Row],[% anualiz]]))*IF(DATOS_[[#This Row],[Check Equiparado]]="Sí",1,0)</f>
        <v>#DIV/0!</v>
      </c>
      <c r="BY4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2" s="138" t="e">
        <f aca="false">+DATOS_[[#This Row],[SALARIO BASE Eq]]+DATOS_[[#This Row],[Tot COMPL.SAL Eq]]</f>
        <v>#DIV/0!</v>
      </c>
      <c r="CA412" s="138" t="e">
        <f aca="false" t="array" ref="CA412:CA4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2" s="138" t="e">
        <f aca="false">+DATOS_[[#This Row],[TOTAL SALARIO Eq]]+DATOS_[[#This Row],[Tot Extrasalarial Eq]]</f>
        <v>#DIV/0!</v>
      </c>
      <c r="CC412" s="139" t="n">
        <f aca="false">DATOS_[[#This Row],[S.BASE]]</f>
        <v>0</v>
      </c>
      <c r="CD412" s="139" t="n">
        <f aca="false">+SUM(DATOS_[[#This Row],[Conc.Sal.01]:[Conc.Sal.30]])</f>
        <v>0</v>
      </c>
      <c r="CE412" s="139" t="n">
        <f aca="false">+DATOS_[[#This Row],[SALARIO BASE Ef]]+DATOS_[[#This Row],[Tot COMPL.SAL Ef]]</f>
        <v>0</v>
      </c>
      <c r="CF412" s="139" t="n">
        <f aca="false">+SUM(DATOS_[[#This Row],[C.Extra.01]:[C.Extra.05]])</f>
        <v>0</v>
      </c>
      <c r="CG412" s="139" t="n">
        <f aca="false">+DATOS_[[#This Row],[TOTAL SALARIO Ef]]+DATOS_[[#This Row],[Tot Extrasalarial Ef]]</f>
        <v>0</v>
      </c>
      <c r="CH412" s="140" t="n">
        <f aca="false">MIN(IF(DATOS_[[#This Row],[Fecha Fin Contrato]]="",$D$4,DATOS_[[#This Row],[Fecha Fin Contrato]]),$D$4)-MAX(DATOS_[[#This Row],[Fecha de Contratación]],$D$3)+1</f>
        <v>1</v>
      </c>
      <c r="CI412" s="141" t="str">
        <f aca="false">IF(COUNTIFS(DATOS_[id],DATOS_[[#This Row],[id]])&gt;1,DATOS_[[#This Row],[id]],"")</f>
        <v/>
      </c>
      <c r="CJ412" s="141" t="n">
        <f aca="false">(Inicio!$G$10-DATOS_[[#This Row],[Fecha Nacimiento]])/365.25</f>
        <v>0</v>
      </c>
      <c r="CK412" s="141" t="n">
        <f aca="false">(Inicio!$G$10-DATOS_[[#This Row],[Fecha de Antigüedad]])/365.25</f>
        <v>0</v>
      </c>
      <c r="CL412" s="141" t="e">
        <f aca="false">+VLOOKUP(DATOS_[[#This Row],[Clave de Contrato]],TblTiposContrato13[],3,0)</f>
        <v>#N/A</v>
      </c>
      <c r="CM412" s="141" t="e">
        <f aca="false">+VLOOKUP(DATOS_[[#This Row],[Clave de Contrato]],TblTiposContrato13[],4,0)</f>
        <v>#N/A</v>
      </c>
      <c r="CN412" s="141" t="str">
        <f aca="false">VLOOKUP(DATOS_[[#This Row],[Edad]],CONTRATOS!TblRngEdad,2,1)</f>
        <v>20  o menos</v>
      </c>
      <c r="CO412" s="141" t="str">
        <f aca="false">VLOOKUP(DATOS_[[#This Row],[Antigüedad]],TblRngAntg14[],2,1)</f>
        <v>0 a 1 años</v>
      </c>
    </row>
    <row r="413" customFormat="false" ht="13.8" hidden="false" customHeight="false" outlineLevel="0" collapsed="false">
      <c r="D413" s="128"/>
      <c r="E413" s="129"/>
      <c r="F413" s="129"/>
      <c r="G413" s="129"/>
      <c r="H413" s="130"/>
      <c r="I413" s="131"/>
      <c r="J413" s="128"/>
      <c r="K413" s="132"/>
      <c r="L413" s="132"/>
      <c r="M413" s="133"/>
      <c r="N413" s="133"/>
      <c r="O413" s="133"/>
      <c r="P413" s="129"/>
      <c r="Z413" s="75"/>
      <c r="AA413" s="76"/>
      <c r="AB413" s="76"/>
      <c r="AC413" s="129"/>
      <c r="AD413" s="134"/>
      <c r="AE413" s="134"/>
      <c r="AF413" s="134"/>
      <c r="AG413" s="134"/>
      <c r="AH413" s="134"/>
      <c r="AI413" s="134"/>
      <c r="AJ413" s="134"/>
      <c r="AK413" s="134"/>
      <c r="AL413" s="134"/>
      <c r="AM413" s="134"/>
      <c r="AN413" s="134"/>
      <c r="AO413" s="134"/>
      <c r="AP413" s="134"/>
      <c r="AQ413" s="134"/>
      <c r="AR413" s="134"/>
      <c r="AS413" s="134"/>
      <c r="AT413" s="134"/>
      <c r="AU413" s="134"/>
      <c r="AV413" s="134"/>
      <c r="AW413" s="134"/>
      <c r="AX413" s="134"/>
      <c r="AY413" s="134"/>
      <c r="AZ413" s="134"/>
      <c r="BA413" s="134"/>
      <c r="BB413" s="134"/>
      <c r="BC413" s="134"/>
      <c r="BD413" s="134"/>
      <c r="BE413" s="134"/>
      <c r="BF413" s="134"/>
      <c r="BG413" s="134"/>
      <c r="BH413" s="134"/>
      <c r="BI413" s="134"/>
      <c r="BJ413" s="134"/>
      <c r="BK413" s="134"/>
      <c r="BL413" s="134"/>
      <c r="BM413" s="135"/>
      <c r="BN413" s="136" t="n">
        <f aca="false">+MAX($D$3,DATOS_[[#This Row],[Fecha Inicio Sit. Contract.]])</f>
        <v>0</v>
      </c>
      <c r="BO413" s="136" t="n">
        <f aca="false">+MIN($D$4,DATOS_[[#This Row],[Fecha Fin Sit. Contract.]])</f>
        <v>0</v>
      </c>
      <c r="BP413" s="137" t="n">
        <f aca="false">+DATOS_[[#This Row],[% de jornada]]*IF(DATOS_[[#This Row],[% jornada reducida]]="",1,DATOS_[[#This Row],[% jornada reducida]])</f>
        <v>0</v>
      </c>
      <c r="BQ413" s="137" t="n">
        <f aca="false">+(DATOS_[[#This Row],[F.fin.cal]]-DATOS_[[#This Row],[F.ini.cal]]+1)/($D$4-$D$3+1)</f>
        <v>1</v>
      </c>
      <c r="BR413" s="137" t="str">
        <f aca="false">IF(OR(AND(DATOS_[[#This Row],[Fecha Fin Contrato]]&lt;$D$3,DATOS_[[#This Row],[Fecha Fin Contrato]]&lt;&gt;""),DATOS_[[#This Row],[Fecha de Contratación]]&gt;$D$4),"Fuera","Dentro")</f>
        <v>Dentro</v>
      </c>
      <c r="BS413" s="137" t="str">
        <f aca="false" t="array" ref="BS413:BS413">IF(MAX(IF(DATOS_[id]=DATOS_[[#This Row],[id]],DATOS_[F.fin.cal]))=DATOS_[[#This Row],[F.fin.cal]],"Sí","NO")</f>
        <v>Sí</v>
      </c>
      <c r="BT413" s="137" t="str">
        <f aca="false">IF(AND(DATOS_[[#This Row],[% normaliz]]&lt;&gt;1,DATOS_[[#This Row],[% anualiz]]=1),"Sí","NO")</f>
        <v>Sí</v>
      </c>
      <c r="BU413" s="137" t="str">
        <f aca="false">IF(AND(DATOS_[[#This Row],[% normaliz]]=1,DATOS_[[#This Row],[% anualiz]]&lt;&gt;1),"Sí","NO")</f>
        <v>NO</v>
      </c>
      <c r="BV413" s="137" t="str">
        <f aca="false">IF(AND(DATOS_[[#This Row],[% normaliz]]&lt;&gt;1,DATOS_[[#This Row],[% anualiz]]&lt;&gt;1),"Sí","NO")</f>
        <v>NO</v>
      </c>
      <c r="BW413" s="137" t="str">
        <f aca="false">+IF(DATOS_[[#This Row],[% normaliz]]*DATOS_[[#This Row],[% anualiz]]=1,"NO","Sí")</f>
        <v>Sí</v>
      </c>
      <c r="BX413" s="138" t="e">
        <f aca="false">(DATOS_[[#This Row],[S.BASE]]*(1/DATOS_[[#This Row],[% normaliz]])*(1/DATOS_[[#This Row],[% anualiz]]))*IF(DATOS_[[#This Row],[Check Equiparado]]="Sí",1,0)</f>
        <v>#DIV/0!</v>
      </c>
      <c r="BY4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3" s="138" t="e">
        <f aca="false">+DATOS_[[#This Row],[SALARIO BASE Eq]]+DATOS_[[#This Row],[Tot COMPL.SAL Eq]]</f>
        <v>#DIV/0!</v>
      </c>
      <c r="CA413" s="138" t="e">
        <f aca="false" t="array" ref="CA413:CA4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3" s="138" t="e">
        <f aca="false">+DATOS_[[#This Row],[TOTAL SALARIO Eq]]+DATOS_[[#This Row],[Tot Extrasalarial Eq]]</f>
        <v>#DIV/0!</v>
      </c>
      <c r="CC413" s="139" t="n">
        <f aca="false">DATOS_[[#This Row],[S.BASE]]</f>
        <v>0</v>
      </c>
      <c r="CD413" s="139" t="n">
        <f aca="false">+SUM(DATOS_[[#This Row],[Conc.Sal.01]:[Conc.Sal.30]])</f>
        <v>0</v>
      </c>
      <c r="CE413" s="139" t="n">
        <f aca="false">+DATOS_[[#This Row],[SALARIO BASE Ef]]+DATOS_[[#This Row],[Tot COMPL.SAL Ef]]</f>
        <v>0</v>
      </c>
      <c r="CF413" s="139" t="n">
        <f aca="false">+SUM(DATOS_[[#This Row],[C.Extra.01]:[C.Extra.05]])</f>
        <v>0</v>
      </c>
      <c r="CG413" s="139" t="n">
        <f aca="false">+DATOS_[[#This Row],[TOTAL SALARIO Ef]]+DATOS_[[#This Row],[Tot Extrasalarial Ef]]</f>
        <v>0</v>
      </c>
      <c r="CH413" s="140" t="n">
        <f aca="false">MIN(IF(DATOS_[[#This Row],[Fecha Fin Contrato]]="",$D$4,DATOS_[[#This Row],[Fecha Fin Contrato]]),$D$4)-MAX(DATOS_[[#This Row],[Fecha de Contratación]],$D$3)+1</f>
        <v>1</v>
      </c>
      <c r="CI413" s="141" t="str">
        <f aca="false">IF(COUNTIFS(DATOS_[id],DATOS_[[#This Row],[id]])&gt;1,DATOS_[[#This Row],[id]],"")</f>
        <v/>
      </c>
      <c r="CJ413" s="141" t="n">
        <f aca="false">(Inicio!$G$10-DATOS_[[#This Row],[Fecha Nacimiento]])/365.25</f>
        <v>0</v>
      </c>
      <c r="CK413" s="141" t="n">
        <f aca="false">(Inicio!$G$10-DATOS_[[#This Row],[Fecha de Antigüedad]])/365.25</f>
        <v>0</v>
      </c>
      <c r="CL413" s="141" t="e">
        <f aca="false">+VLOOKUP(DATOS_[[#This Row],[Clave de Contrato]],TblTiposContrato13[],3,0)</f>
        <v>#N/A</v>
      </c>
      <c r="CM413" s="141" t="e">
        <f aca="false">+VLOOKUP(DATOS_[[#This Row],[Clave de Contrato]],TblTiposContrato13[],4,0)</f>
        <v>#N/A</v>
      </c>
      <c r="CN413" s="141" t="str">
        <f aca="false">VLOOKUP(DATOS_[[#This Row],[Edad]],CONTRATOS!TblRngEdad,2,1)</f>
        <v>20  o menos</v>
      </c>
      <c r="CO413" s="141" t="str">
        <f aca="false">VLOOKUP(DATOS_[[#This Row],[Antigüedad]],TblRngAntg14[],2,1)</f>
        <v>0 a 1 años</v>
      </c>
    </row>
    <row r="414" customFormat="false" ht="13.8" hidden="false" customHeight="false" outlineLevel="0" collapsed="false">
      <c r="D414" s="128"/>
      <c r="E414" s="129"/>
      <c r="F414" s="129"/>
      <c r="G414" s="129"/>
      <c r="H414" s="130"/>
      <c r="I414" s="131"/>
      <c r="J414" s="128"/>
      <c r="K414" s="132"/>
      <c r="L414" s="132"/>
      <c r="M414" s="133"/>
      <c r="N414" s="133"/>
      <c r="O414" s="133"/>
      <c r="P414" s="129"/>
      <c r="Z414" s="75"/>
      <c r="AA414" s="76"/>
      <c r="AB414" s="76"/>
      <c r="AC414" s="129"/>
      <c r="AD414" s="134"/>
      <c r="AE414" s="134"/>
      <c r="AF414" s="134"/>
      <c r="AG414" s="134"/>
      <c r="AH414" s="134"/>
      <c r="AI414" s="134"/>
      <c r="AJ414" s="134"/>
      <c r="AK414" s="134"/>
      <c r="AL414" s="134"/>
      <c r="AM414" s="134"/>
      <c r="AN414" s="134"/>
      <c r="AO414" s="134"/>
      <c r="AP414" s="134"/>
      <c r="AQ414" s="134"/>
      <c r="AR414" s="134"/>
      <c r="AS414" s="134"/>
      <c r="AT414" s="134"/>
      <c r="AU414" s="134"/>
      <c r="AV414" s="134"/>
      <c r="AW414" s="134"/>
      <c r="AX414" s="134"/>
      <c r="AY414" s="134"/>
      <c r="AZ414" s="134"/>
      <c r="BA414" s="134"/>
      <c r="BB414" s="134"/>
      <c r="BC414" s="134"/>
      <c r="BD414" s="134"/>
      <c r="BE414" s="134"/>
      <c r="BF414" s="134"/>
      <c r="BG414" s="134"/>
      <c r="BH414" s="134"/>
      <c r="BI414" s="134"/>
      <c r="BJ414" s="134"/>
      <c r="BK414" s="134"/>
      <c r="BL414" s="134"/>
      <c r="BM414" s="135"/>
      <c r="BN414" s="136" t="n">
        <f aca="false">+MAX($D$3,DATOS_[[#This Row],[Fecha Inicio Sit. Contract.]])</f>
        <v>0</v>
      </c>
      <c r="BO414" s="136" t="n">
        <f aca="false">+MIN($D$4,DATOS_[[#This Row],[Fecha Fin Sit. Contract.]])</f>
        <v>0</v>
      </c>
      <c r="BP414" s="137" t="n">
        <f aca="false">+DATOS_[[#This Row],[% de jornada]]*IF(DATOS_[[#This Row],[% jornada reducida]]="",1,DATOS_[[#This Row],[% jornada reducida]])</f>
        <v>0</v>
      </c>
      <c r="BQ414" s="137" t="n">
        <f aca="false">+(DATOS_[[#This Row],[F.fin.cal]]-DATOS_[[#This Row],[F.ini.cal]]+1)/($D$4-$D$3+1)</f>
        <v>1</v>
      </c>
      <c r="BR414" s="137" t="str">
        <f aca="false">IF(OR(AND(DATOS_[[#This Row],[Fecha Fin Contrato]]&lt;$D$3,DATOS_[[#This Row],[Fecha Fin Contrato]]&lt;&gt;""),DATOS_[[#This Row],[Fecha de Contratación]]&gt;$D$4),"Fuera","Dentro")</f>
        <v>Dentro</v>
      </c>
      <c r="BS414" s="137" t="str">
        <f aca="false" t="array" ref="BS414:BS414">IF(MAX(IF(DATOS_[id]=DATOS_[[#This Row],[id]],DATOS_[F.fin.cal]))=DATOS_[[#This Row],[F.fin.cal]],"Sí","NO")</f>
        <v>Sí</v>
      </c>
      <c r="BT414" s="137" t="str">
        <f aca="false">IF(AND(DATOS_[[#This Row],[% normaliz]]&lt;&gt;1,DATOS_[[#This Row],[% anualiz]]=1),"Sí","NO")</f>
        <v>Sí</v>
      </c>
      <c r="BU414" s="137" t="str">
        <f aca="false">IF(AND(DATOS_[[#This Row],[% normaliz]]=1,DATOS_[[#This Row],[% anualiz]]&lt;&gt;1),"Sí","NO")</f>
        <v>NO</v>
      </c>
      <c r="BV414" s="137" t="str">
        <f aca="false">IF(AND(DATOS_[[#This Row],[% normaliz]]&lt;&gt;1,DATOS_[[#This Row],[% anualiz]]&lt;&gt;1),"Sí","NO")</f>
        <v>NO</v>
      </c>
      <c r="BW414" s="137" t="str">
        <f aca="false">+IF(DATOS_[[#This Row],[% normaliz]]*DATOS_[[#This Row],[% anualiz]]=1,"NO","Sí")</f>
        <v>Sí</v>
      </c>
      <c r="BX414" s="138" t="e">
        <f aca="false">(DATOS_[[#This Row],[S.BASE]]*(1/DATOS_[[#This Row],[% normaliz]])*(1/DATOS_[[#This Row],[% anualiz]]))*IF(DATOS_[[#This Row],[Check Equiparado]]="Sí",1,0)</f>
        <v>#DIV/0!</v>
      </c>
      <c r="BY4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4" s="138" t="e">
        <f aca="false">+DATOS_[[#This Row],[SALARIO BASE Eq]]+DATOS_[[#This Row],[Tot COMPL.SAL Eq]]</f>
        <v>#DIV/0!</v>
      </c>
      <c r="CA414" s="138" t="e">
        <f aca="false" t="array" ref="CA414:CA4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4" s="138" t="e">
        <f aca="false">+DATOS_[[#This Row],[TOTAL SALARIO Eq]]+DATOS_[[#This Row],[Tot Extrasalarial Eq]]</f>
        <v>#DIV/0!</v>
      </c>
      <c r="CC414" s="139" t="n">
        <f aca="false">DATOS_[[#This Row],[S.BASE]]</f>
        <v>0</v>
      </c>
      <c r="CD414" s="139" t="n">
        <f aca="false">+SUM(DATOS_[[#This Row],[Conc.Sal.01]:[Conc.Sal.30]])</f>
        <v>0</v>
      </c>
      <c r="CE414" s="139" t="n">
        <f aca="false">+DATOS_[[#This Row],[SALARIO BASE Ef]]+DATOS_[[#This Row],[Tot COMPL.SAL Ef]]</f>
        <v>0</v>
      </c>
      <c r="CF414" s="139" t="n">
        <f aca="false">+SUM(DATOS_[[#This Row],[C.Extra.01]:[C.Extra.05]])</f>
        <v>0</v>
      </c>
      <c r="CG414" s="139" t="n">
        <f aca="false">+DATOS_[[#This Row],[TOTAL SALARIO Ef]]+DATOS_[[#This Row],[Tot Extrasalarial Ef]]</f>
        <v>0</v>
      </c>
      <c r="CH414" s="140" t="n">
        <f aca="false">MIN(IF(DATOS_[[#This Row],[Fecha Fin Contrato]]="",$D$4,DATOS_[[#This Row],[Fecha Fin Contrato]]),$D$4)-MAX(DATOS_[[#This Row],[Fecha de Contratación]],$D$3)+1</f>
        <v>1</v>
      </c>
      <c r="CI414" s="141" t="str">
        <f aca="false">IF(COUNTIFS(DATOS_[id],DATOS_[[#This Row],[id]])&gt;1,DATOS_[[#This Row],[id]],"")</f>
        <v/>
      </c>
      <c r="CJ414" s="141" t="n">
        <f aca="false">(Inicio!$G$10-DATOS_[[#This Row],[Fecha Nacimiento]])/365.25</f>
        <v>0</v>
      </c>
      <c r="CK414" s="141" t="n">
        <f aca="false">(Inicio!$G$10-DATOS_[[#This Row],[Fecha de Antigüedad]])/365.25</f>
        <v>0</v>
      </c>
      <c r="CL414" s="141" t="e">
        <f aca="false">+VLOOKUP(DATOS_[[#This Row],[Clave de Contrato]],TblTiposContrato13[],3,0)</f>
        <v>#N/A</v>
      </c>
      <c r="CM414" s="141" t="e">
        <f aca="false">+VLOOKUP(DATOS_[[#This Row],[Clave de Contrato]],TblTiposContrato13[],4,0)</f>
        <v>#N/A</v>
      </c>
      <c r="CN414" s="141" t="str">
        <f aca="false">VLOOKUP(DATOS_[[#This Row],[Edad]],CONTRATOS!TblRngEdad,2,1)</f>
        <v>20  o menos</v>
      </c>
      <c r="CO414" s="141" t="str">
        <f aca="false">VLOOKUP(DATOS_[[#This Row],[Antigüedad]],TblRngAntg14[],2,1)</f>
        <v>0 a 1 años</v>
      </c>
    </row>
    <row r="415" customFormat="false" ht="13.8" hidden="false" customHeight="false" outlineLevel="0" collapsed="false">
      <c r="D415" s="128"/>
      <c r="E415" s="129"/>
      <c r="F415" s="129"/>
      <c r="G415" s="129"/>
      <c r="H415" s="130"/>
      <c r="I415" s="131"/>
      <c r="J415" s="128"/>
      <c r="K415" s="132"/>
      <c r="L415" s="132"/>
      <c r="M415" s="133"/>
      <c r="N415" s="133"/>
      <c r="O415" s="133"/>
      <c r="P415" s="129"/>
      <c r="Z415" s="75"/>
      <c r="AA415" s="76"/>
      <c r="AB415" s="76"/>
      <c r="AC415" s="129"/>
      <c r="AD415" s="134"/>
      <c r="AE415" s="134"/>
      <c r="AF415" s="134"/>
      <c r="AG415" s="134"/>
      <c r="AH415" s="134"/>
      <c r="AI415" s="134"/>
      <c r="AJ415" s="134"/>
      <c r="AK415" s="134"/>
      <c r="AL415" s="134"/>
      <c r="AM415" s="134"/>
      <c r="AN415" s="134"/>
      <c r="AO415" s="134"/>
      <c r="AP415" s="134"/>
      <c r="AQ415" s="134"/>
      <c r="AR415" s="134"/>
      <c r="AS415" s="134"/>
      <c r="AT415" s="134"/>
      <c r="AU415" s="134"/>
      <c r="AV415" s="134"/>
      <c r="AW415" s="134"/>
      <c r="AX415" s="134"/>
      <c r="AY415" s="134"/>
      <c r="AZ415" s="134"/>
      <c r="BA415" s="134"/>
      <c r="BB415" s="134"/>
      <c r="BC415" s="134"/>
      <c r="BD415" s="134"/>
      <c r="BE415" s="134"/>
      <c r="BF415" s="134"/>
      <c r="BG415" s="134"/>
      <c r="BH415" s="134"/>
      <c r="BI415" s="134"/>
      <c r="BJ415" s="134"/>
      <c r="BK415" s="134"/>
      <c r="BL415" s="134"/>
      <c r="BM415" s="135"/>
      <c r="BN415" s="136" t="n">
        <f aca="false">+MAX($D$3,DATOS_[[#This Row],[Fecha Inicio Sit. Contract.]])</f>
        <v>0</v>
      </c>
      <c r="BO415" s="136" t="n">
        <f aca="false">+MIN($D$4,DATOS_[[#This Row],[Fecha Fin Sit. Contract.]])</f>
        <v>0</v>
      </c>
      <c r="BP415" s="137" t="n">
        <f aca="false">+DATOS_[[#This Row],[% de jornada]]*IF(DATOS_[[#This Row],[% jornada reducida]]="",1,DATOS_[[#This Row],[% jornada reducida]])</f>
        <v>0</v>
      </c>
      <c r="BQ415" s="137" t="n">
        <f aca="false">+(DATOS_[[#This Row],[F.fin.cal]]-DATOS_[[#This Row],[F.ini.cal]]+1)/($D$4-$D$3+1)</f>
        <v>1</v>
      </c>
      <c r="BR415" s="137" t="str">
        <f aca="false">IF(OR(AND(DATOS_[[#This Row],[Fecha Fin Contrato]]&lt;$D$3,DATOS_[[#This Row],[Fecha Fin Contrato]]&lt;&gt;""),DATOS_[[#This Row],[Fecha de Contratación]]&gt;$D$4),"Fuera","Dentro")</f>
        <v>Dentro</v>
      </c>
      <c r="BS415" s="137" t="str">
        <f aca="false" t="array" ref="BS415:BS415">IF(MAX(IF(DATOS_[id]=DATOS_[[#This Row],[id]],DATOS_[F.fin.cal]))=DATOS_[[#This Row],[F.fin.cal]],"Sí","NO")</f>
        <v>Sí</v>
      </c>
      <c r="BT415" s="137" t="str">
        <f aca="false">IF(AND(DATOS_[[#This Row],[% normaliz]]&lt;&gt;1,DATOS_[[#This Row],[% anualiz]]=1),"Sí","NO")</f>
        <v>Sí</v>
      </c>
      <c r="BU415" s="137" t="str">
        <f aca="false">IF(AND(DATOS_[[#This Row],[% normaliz]]=1,DATOS_[[#This Row],[% anualiz]]&lt;&gt;1),"Sí","NO")</f>
        <v>NO</v>
      </c>
      <c r="BV415" s="137" t="str">
        <f aca="false">IF(AND(DATOS_[[#This Row],[% normaliz]]&lt;&gt;1,DATOS_[[#This Row],[% anualiz]]&lt;&gt;1),"Sí","NO")</f>
        <v>NO</v>
      </c>
      <c r="BW415" s="137" t="str">
        <f aca="false">+IF(DATOS_[[#This Row],[% normaliz]]*DATOS_[[#This Row],[% anualiz]]=1,"NO","Sí")</f>
        <v>Sí</v>
      </c>
      <c r="BX415" s="138" t="e">
        <f aca="false">(DATOS_[[#This Row],[S.BASE]]*(1/DATOS_[[#This Row],[% normaliz]])*(1/DATOS_[[#This Row],[% anualiz]]))*IF(DATOS_[[#This Row],[Check Equiparado]]="Sí",1,0)</f>
        <v>#DIV/0!</v>
      </c>
      <c r="BY4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5" s="138" t="e">
        <f aca="false">+DATOS_[[#This Row],[SALARIO BASE Eq]]+DATOS_[[#This Row],[Tot COMPL.SAL Eq]]</f>
        <v>#DIV/0!</v>
      </c>
      <c r="CA415" s="138" t="e">
        <f aca="false" t="array" ref="CA415:CA4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5" s="138" t="e">
        <f aca="false">+DATOS_[[#This Row],[TOTAL SALARIO Eq]]+DATOS_[[#This Row],[Tot Extrasalarial Eq]]</f>
        <v>#DIV/0!</v>
      </c>
      <c r="CC415" s="139" t="n">
        <f aca="false">DATOS_[[#This Row],[S.BASE]]</f>
        <v>0</v>
      </c>
      <c r="CD415" s="139" t="n">
        <f aca="false">+SUM(DATOS_[[#This Row],[Conc.Sal.01]:[Conc.Sal.30]])</f>
        <v>0</v>
      </c>
      <c r="CE415" s="139" t="n">
        <f aca="false">+DATOS_[[#This Row],[SALARIO BASE Ef]]+DATOS_[[#This Row],[Tot COMPL.SAL Ef]]</f>
        <v>0</v>
      </c>
      <c r="CF415" s="139" t="n">
        <f aca="false">+SUM(DATOS_[[#This Row],[C.Extra.01]:[C.Extra.05]])</f>
        <v>0</v>
      </c>
      <c r="CG415" s="139" t="n">
        <f aca="false">+DATOS_[[#This Row],[TOTAL SALARIO Ef]]+DATOS_[[#This Row],[Tot Extrasalarial Ef]]</f>
        <v>0</v>
      </c>
      <c r="CH415" s="140" t="n">
        <f aca="false">MIN(IF(DATOS_[[#This Row],[Fecha Fin Contrato]]="",$D$4,DATOS_[[#This Row],[Fecha Fin Contrato]]),$D$4)-MAX(DATOS_[[#This Row],[Fecha de Contratación]],$D$3)+1</f>
        <v>1</v>
      </c>
      <c r="CI415" s="141" t="str">
        <f aca="false">IF(COUNTIFS(DATOS_[id],DATOS_[[#This Row],[id]])&gt;1,DATOS_[[#This Row],[id]],"")</f>
        <v/>
      </c>
      <c r="CJ415" s="141" t="n">
        <f aca="false">(Inicio!$G$10-DATOS_[[#This Row],[Fecha Nacimiento]])/365.25</f>
        <v>0</v>
      </c>
      <c r="CK415" s="141" t="n">
        <f aca="false">(Inicio!$G$10-DATOS_[[#This Row],[Fecha de Antigüedad]])/365.25</f>
        <v>0</v>
      </c>
      <c r="CL415" s="141" t="e">
        <f aca="false">+VLOOKUP(DATOS_[[#This Row],[Clave de Contrato]],TblTiposContrato13[],3,0)</f>
        <v>#N/A</v>
      </c>
      <c r="CM415" s="141" t="e">
        <f aca="false">+VLOOKUP(DATOS_[[#This Row],[Clave de Contrato]],TblTiposContrato13[],4,0)</f>
        <v>#N/A</v>
      </c>
      <c r="CN415" s="141" t="str">
        <f aca="false">VLOOKUP(DATOS_[[#This Row],[Edad]],CONTRATOS!TblRngEdad,2,1)</f>
        <v>20  o menos</v>
      </c>
      <c r="CO415" s="141" t="str">
        <f aca="false">VLOOKUP(DATOS_[[#This Row],[Antigüedad]],TblRngAntg14[],2,1)</f>
        <v>0 a 1 años</v>
      </c>
    </row>
    <row r="416" customFormat="false" ht="13.8" hidden="false" customHeight="false" outlineLevel="0" collapsed="false">
      <c r="D416" s="128"/>
      <c r="E416" s="129"/>
      <c r="F416" s="129"/>
      <c r="G416" s="129"/>
      <c r="H416" s="130"/>
      <c r="I416" s="131"/>
      <c r="J416" s="128"/>
      <c r="K416" s="132"/>
      <c r="L416" s="132"/>
      <c r="M416" s="133"/>
      <c r="N416" s="133"/>
      <c r="O416" s="133"/>
      <c r="P416" s="129"/>
      <c r="Z416" s="75"/>
      <c r="AA416" s="76"/>
      <c r="AB416" s="76"/>
      <c r="AC416" s="129"/>
      <c r="AD416" s="134"/>
      <c r="AE416" s="134"/>
      <c r="AF416" s="134"/>
      <c r="AG416" s="134"/>
      <c r="AH416" s="134"/>
      <c r="AI416" s="134"/>
      <c r="AJ416" s="134"/>
      <c r="AK416" s="134"/>
      <c r="AL416" s="134"/>
      <c r="AM416" s="134"/>
      <c r="AN416" s="134"/>
      <c r="AO416" s="134"/>
      <c r="AP416" s="134"/>
      <c r="AQ416" s="134"/>
      <c r="AR416" s="134"/>
      <c r="AS416" s="134"/>
      <c r="AT416" s="134"/>
      <c r="AU416" s="134"/>
      <c r="AV416" s="134"/>
      <c r="AW416" s="134"/>
      <c r="AX416" s="134"/>
      <c r="AY416" s="134"/>
      <c r="AZ416" s="134"/>
      <c r="BA416" s="134"/>
      <c r="BB416" s="134"/>
      <c r="BC416" s="134"/>
      <c r="BD416" s="134"/>
      <c r="BE416" s="134"/>
      <c r="BF416" s="134"/>
      <c r="BG416" s="134"/>
      <c r="BH416" s="134"/>
      <c r="BI416" s="134"/>
      <c r="BJ416" s="134"/>
      <c r="BK416" s="134"/>
      <c r="BL416" s="134"/>
      <c r="BM416" s="135"/>
      <c r="BN416" s="136" t="n">
        <f aca="false">+MAX($D$3,DATOS_[[#This Row],[Fecha Inicio Sit. Contract.]])</f>
        <v>0</v>
      </c>
      <c r="BO416" s="136" t="n">
        <f aca="false">+MIN($D$4,DATOS_[[#This Row],[Fecha Fin Sit. Contract.]])</f>
        <v>0</v>
      </c>
      <c r="BP416" s="137" t="n">
        <f aca="false">+DATOS_[[#This Row],[% de jornada]]*IF(DATOS_[[#This Row],[% jornada reducida]]="",1,DATOS_[[#This Row],[% jornada reducida]])</f>
        <v>0</v>
      </c>
      <c r="BQ416" s="137" t="n">
        <f aca="false">+(DATOS_[[#This Row],[F.fin.cal]]-DATOS_[[#This Row],[F.ini.cal]]+1)/($D$4-$D$3+1)</f>
        <v>1</v>
      </c>
      <c r="BR416" s="137" t="str">
        <f aca="false">IF(OR(AND(DATOS_[[#This Row],[Fecha Fin Contrato]]&lt;$D$3,DATOS_[[#This Row],[Fecha Fin Contrato]]&lt;&gt;""),DATOS_[[#This Row],[Fecha de Contratación]]&gt;$D$4),"Fuera","Dentro")</f>
        <v>Dentro</v>
      </c>
      <c r="BS416" s="137" t="str">
        <f aca="false" t="array" ref="BS416:BS416">IF(MAX(IF(DATOS_[id]=DATOS_[[#This Row],[id]],DATOS_[F.fin.cal]))=DATOS_[[#This Row],[F.fin.cal]],"Sí","NO")</f>
        <v>Sí</v>
      </c>
      <c r="BT416" s="137" t="str">
        <f aca="false">IF(AND(DATOS_[[#This Row],[% normaliz]]&lt;&gt;1,DATOS_[[#This Row],[% anualiz]]=1),"Sí","NO")</f>
        <v>Sí</v>
      </c>
      <c r="BU416" s="137" t="str">
        <f aca="false">IF(AND(DATOS_[[#This Row],[% normaliz]]=1,DATOS_[[#This Row],[% anualiz]]&lt;&gt;1),"Sí","NO")</f>
        <v>NO</v>
      </c>
      <c r="BV416" s="137" t="str">
        <f aca="false">IF(AND(DATOS_[[#This Row],[% normaliz]]&lt;&gt;1,DATOS_[[#This Row],[% anualiz]]&lt;&gt;1),"Sí","NO")</f>
        <v>NO</v>
      </c>
      <c r="BW416" s="137" t="str">
        <f aca="false">+IF(DATOS_[[#This Row],[% normaliz]]*DATOS_[[#This Row],[% anualiz]]=1,"NO","Sí")</f>
        <v>Sí</v>
      </c>
      <c r="BX416" s="138" t="e">
        <f aca="false">(DATOS_[[#This Row],[S.BASE]]*(1/DATOS_[[#This Row],[% normaliz]])*(1/DATOS_[[#This Row],[% anualiz]]))*IF(DATOS_[[#This Row],[Check Equiparado]]="Sí",1,0)</f>
        <v>#DIV/0!</v>
      </c>
      <c r="BY4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6" s="138" t="e">
        <f aca="false">+DATOS_[[#This Row],[SALARIO BASE Eq]]+DATOS_[[#This Row],[Tot COMPL.SAL Eq]]</f>
        <v>#DIV/0!</v>
      </c>
      <c r="CA416" s="138" t="e">
        <f aca="false" t="array" ref="CA416:CA4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6" s="138" t="e">
        <f aca="false">+DATOS_[[#This Row],[TOTAL SALARIO Eq]]+DATOS_[[#This Row],[Tot Extrasalarial Eq]]</f>
        <v>#DIV/0!</v>
      </c>
      <c r="CC416" s="139" t="n">
        <f aca="false">DATOS_[[#This Row],[S.BASE]]</f>
        <v>0</v>
      </c>
      <c r="CD416" s="139" t="n">
        <f aca="false">+SUM(DATOS_[[#This Row],[Conc.Sal.01]:[Conc.Sal.30]])</f>
        <v>0</v>
      </c>
      <c r="CE416" s="139" t="n">
        <f aca="false">+DATOS_[[#This Row],[SALARIO BASE Ef]]+DATOS_[[#This Row],[Tot COMPL.SAL Ef]]</f>
        <v>0</v>
      </c>
      <c r="CF416" s="139" t="n">
        <f aca="false">+SUM(DATOS_[[#This Row],[C.Extra.01]:[C.Extra.05]])</f>
        <v>0</v>
      </c>
      <c r="CG416" s="139" t="n">
        <f aca="false">+DATOS_[[#This Row],[TOTAL SALARIO Ef]]+DATOS_[[#This Row],[Tot Extrasalarial Ef]]</f>
        <v>0</v>
      </c>
      <c r="CH416" s="140" t="n">
        <f aca="false">MIN(IF(DATOS_[[#This Row],[Fecha Fin Contrato]]="",$D$4,DATOS_[[#This Row],[Fecha Fin Contrato]]),$D$4)-MAX(DATOS_[[#This Row],[Fecha de Contratación]],$D$3)+1</f>
        <v>1</v>
      </c>
      <c r="CI416" s="141" t="str">
        <f aca="false">IF(COUNTIFS(DATOS_[id],DATOS_[[#This Row],[id]])&gt;1,DATOS_[[#This Row],[id]],"")</f>
        <v/>
      </c>
      <c r="CJ416" s="141" t="n">
        <f aca="false">(Inicio!$G$10-DATOS_[[#This Row],[Fecha Nacimiento]])/365.25</f>
        <v>0</v>
      </c>
      <c r="CK416" s="141" t="n">
        <f aca="false">(Inicio!$G$10-DATOS_[[#This Row],[Fecha de Antigüedad]])/365.25</f>
        <v>0</v>
      </c>
      <c r="CL416" s="141" t="e">
        <f aca="false">+VLOOKUP(DATOS_[[#This Row],[Clave de Contrato]],TblTiposContrato13[],3,0)</f>
        <v>#N/A</v>
      </c>
      <c r="CM416" s="141" t="e">
        <f aca="false">+VLOOKUP(DATOS_[[#This Row],[Clave de Contrato]],TblTiposContrato13[],4,0)</f>
        <v>#N/A</v>
      </c>
      <c r="CN416" s="141" t="str">
        <f aca="false">VLOOKUP(DATOS_[[#This Row],[Edad]],CONTRATOS!TblRngEdad,2,1)</f>
        <v>20  o menos</v>
      </c>
      <c r="CO416" s="141" t="str">
        <f aca="false">VLOOKUP(DATOS_[[#This Row],[Antigüedad]],TblRngAntg14[],2,1)</f>
        <v>0 a 1 años</v>
      </c>
    </row>
    <row r="417" customFormat="false" ht="13.8" hidden="false" customHeight="false" outlineLevel="0" collapsed="false">
      <c r="D417" s="128"/>
      <c r="E417" s="129"/>
      <c r="F417" s="129"/>
      <c r="G417" s="129"/>
      <c r="H417" s="130"/>
      <c r="I417" s="131"/>
      <c r="J417" s="128"/>
      <c r="K417" s="132"/>
      <c r="L417" s="132"/>
      <c r="M417" s="133"/>
      <c r="N417" s="133"/>
      <c r="O417" s="133"/>
      <c r="P417" s="129"/>
      <c r="Z417" s="75"/>
      <c r="AA417" s="76"/>
      <c r="AB417" s="76"/>
      <c r="AC417" s="129"/>
      <c r="AD417" s="134"/>
      <c r="AE417" s="134"/>
      <c r="AF417" s="134"/>
      <c r="AG417" s="134"/>
      <c r="AH417" s="134"/>
      <c r="AI417" s="134"/>
      <c r="AJ417" s="134"/>
      <c r="AK417" s="134"/>
      <c r="AL417" s="134"/>
      <c r="AM417" s="134"/>
      <c r="AN417" s="134"/>
      <c r="AO417" s="134"/>
      <c r="AP417" s="134"/>
      <c r="AQ417" s="134"/>
      <c r="AR417" s="134"/>
      <c r="AS417" s="134"/>
      <c r="AT417" s="134"/>
      <c r="AU417" s="134"/>
      <c r="AV417" s="134"/>
      <c r="AW417" s="134"/>
      <c r="AX417" s="134"/>
      <c r="AY417" s="134"/>
      <c r="AZ417" s="134"/>
      <c r="BA417" s="134"/>
      <c r="BB417" s="134"/>
      <c r="BC417" s="134"/>
      <c r="BD417" s="134"/>
      <c r="BE417" s="134"/>
      <c r="BF417" s="134"/>
      <c r="BG417" s="134"/>
      <c r="BH417" s="134"/>
      <c r="BI417" s="134"/>
      <c r="BJ417" s="134"/>
      <c r="BK417" s="134"/>
      <c r="BL417" s="134"/>
      <c r="BM417" s="135"/>
      <c r="BN417" s="136" t="n">
        <f aca="false">+MAX($D$3,DATOS_[[#This Row],[Fecha Inicio Sit. Contract.]])</f>
        <v>0</v>
      </c>
      <c r="BO417" s="136" t="n">
        <f aca="false">+MIN($D$4,DATOS_[[#This Row],[Fecha Fin Sit. Contract.]])</f>
        <v>0</v>
      </c>
      <c r="BP417" s="137" t="n">
        <f aca="false">+DATOS_[[#This Row],[% de jornada]]*IF(DATOS_[[#This Row],[% jornada reducida]]="",1,DATOS_[[#This Row],[% jornada reducida]])</f>
        <v>0</v>
      </c>
      <c r="BQ417" s="137" t="n">
        <f aca="false">+(DATOS_[[#This Row],[F.fin.cal]]-DATOS_[[#This Row],[F.ini.cal]]+1)/($D$4-$D$3+1)</f>
        <v>1</v>
      </c>
      <c r="BR417" s="137" t="str">
        <f aca="false">IF(OR(AND(DATOS_[[#This Row],[Fecha Fin Contrato]]&lt;$D$3,DATOS_[[#This Row],[Fecha Fin Contrato]]&lt;&gt;""),DATOS_[[#This Row],[Fecha de Contratación]]&gt;$D$4),"Fuera","Dentro")</f>
        <v>Dentro</v>
      </c>
      <c r="BS417" s="137" t="str">
        <f aca="false" t="array" ref="BS417:BS417">IF(MAX(IF(DATOS_[id]=DATOS_[[#This Row],[id]],DATOS_[F.fin.cal]))=DATOS_[[#This Row],[F.fin.cal]],"Sí","NO")</f>
        <v>Sí</v>
      </c>
      <c r="BT417" s="137" t="str">
        <f aca="false">IF(AND(DATOS_[[#This Row],[% normaliz]]&lt;&gt;1,DATOS_[[#This Row],[% anualiz]]=1),"Sí","NO")</f>
        <v>Sí</v>
      </c>
      <c r="BU417" s="137" t="str">
        <f aca="false">IF(AND(DATOS_[[#This Row],[% normaliz]]=1,DATOS_[[#This Row],[% anualiz]]&lt;&gt;1),"Sí","NO")</f>
        <v>NO</v>
      </c>
      <c r="BV417" s="137" t="str">
        <f aca="false">IF(AND(DATOS_[[#This Row],[% normaliz]]&lt;&gt;1,DATOS_[[#This Row],[% anualiz]]&lt;&gt;1),"Sí","NO")</f>
        <v>NO</v>
      </c>
      <c r="BW417" s="137" t="str">
        <f aca="false">+IF(DATOS_[[#This Row],[% normaliz]]*DATOS_[[#This Row],[% anualiz]]=1,"NO","Sí")</f>
        <v>Sí</v>
      </c>
      <c r="BX417" s="138" t="e">
        <f aca="false">(DATOS_[[#This Row],[S.BASE]]*(1/DATOS_[[#This Row],[% normaliz]])*(1/DATOS_[[#This Row],[% anualiz]]))*IF(DATOS_[[#This Row],[Check Equiparado]]="Sí",1,0)</f>
        <v>#DIV/0!</v>
      </c>
      <c r="BY4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7" s="138" t="e">
        <f aca="false">+DATOS_[[#This Row],[SALARIO BASE Eq]]+DATOS_[[#This Row],[Tot COMPL.SAL Eq]]</f>
        <v>#DIV/0!</v>
      </c>
      <c r="CA417" s="138" t="e">
        <f aca="false" t="array" ref="CA417:CA4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7" s="138" t="e">
        <f aca="false">+DATOS_[[#This Row],[TOTAL SALARIO Eq]]+DATOS_[[#This Row],[Tot Extrasalarial Eq]]</f>
        <v>#DIV/0!</v>
      </c>
      <c r="CC417" s="139" t="n">
        <f aca="false">DATOS_[[#This Row],[S.BASE]]</f>
        <v>0</v>
      </c>
      <c r="CD417" s="139" t="n">
        <f aca="false">+SUM(DATOS_[[#This Row],[Conc.Sal.01]:[Conc.Sal.30]])</f>
        <v>0</v>
      </c>
      <c r="CE417" s="139" t="n">
        <f aca="false">+DATOS_[[#This Row],[SALARIO BASE Ef]]+DATOS_[[#This Row],[Tot COMPL.SAL Ef]]</f>
        <v>0</v>
      </c>
      <c r="CF417" s="139" t="n">
        <f aca="false">+SUM(DATOS_[[#This Row],[C.Extra.01]:[C.Extra.05]])</f>
        <v>0</v>
      </c>
      <c r="CG417" s="139" t="n">
        <f aca="false">+DATOS_[[#This Row],[TOTAL SALARIO Ef]]+DATOS_[[#This Row],[Tot Extrasalarial Ef]]</f>
        <v>0</v>
      </c>
      <c r="CH417" s="140" t="n">
        <f aca="false">MIN(IF(DATOS_[[#This Row],[Fecha Fin Contrato]]="",$D$4,DATOS_[[#This Row],[Fecha Fin Contrato]]),$D$4)-MAX(DATOS_[[#This Row],[Fecha de Contratación]],$D$3)+1</f>
        <v>1</v>
      </c>
      <c r="CI417" s="141" t="str">
        <f aca="false">IF(COUNTIFS(DATOS_[id],DATOS_[[#This Row],[id]])&gt;1,DATOS_[[#This Row],[id]],"")</f>
        <v/>
      </c>
      <c r="CJ417" s="141" t="n">
        <f aca="false">(Inicio!$G$10-DATOS_[[#This Row],[Fecha Nacimiento]])/365.25</f>
        <v>0</v>
      </c>
      <c r="CK417" s="141" t="n">
        <f aca="false">(Inicio!$G$10-DATOS_[[#This Row],[Fecha de Antigüedad]])/365.25</f>
        <v>0</v>
      </c>
      <c r="CL417" s="141" t="e">
        <f aca="false">+VLOOKUP(DATOS_[[#This Row],[Clave de Contrato]],TblTiposContrato13[],3,0)</f>
        <v>#N/A</v>
      </c>
      <c r="CM417" s="141" t="e">
        <f aca="false">+VLOOKUP(DATOS_[[#This Row],[Clave de Contrato]],TblTiposContrato13[],4,0)</f>
        <v>#N/A</v>
      </c>
      <c r="CN417" s="141" t="str">
        <f aca="false">VLOOKUP(DATOS_[[#This Row],[Edad]],CONTRATOS!TblRngEdad,2,1)</f>
        <v>20  o menos</v>
      </c>
      <c r="CO417" s="141" t="str">
        <f aca="false">VLOOKUP(DATOS_[[#This Row],[Antigüedad]],TblRngAntg14[],2,1)</f>
        <v>0 a 1 años</v>
      </c>
    </row>
    <row r="418" customFormat="false" ht="13.8" hidden="false" customHeight="false" outlineLevel="0" collapsed="false">
      <c r="D418" s="128"/>
      <c r="E418" s="129"/>
      <c r="F418" s="129"/>
      <c r="G418" s="129"/>
      <c r="H418" s="130"/>
      <c r="I418" s="131"/>
      <c r="J418" s="128"/>
      <c r="K418" s="132"/>
      <c r="L418" s="132"/>
      <c r="M418" s="133"/>
      <c r="N418" s="133"/>
      <c r="O418" s="133"/>
      <c r="P418" s="129"/>
      <c r="Z418" s="75"/>
      <c r="AA418" s="76"/>
      <c r="AB418" s="76"/>
      <c r="AC418" s="129"/>
      <c r="AD418" s="134"/>
      <c r="AE418" s="134"/>
      <c r="AF418" s="134"/>
      <c r="AG418" s="134"/>
      <c r="AH418" s="134"/>
      <c r="AI418" s="134"/>
      <c r="AJ418" s="134"/>
      <c r="AK418" s="134"/>
      <c r="AL418" s="134"/>
      <c r="AM418" s="134"/>
      <c r="AN418" s="134"/>
      <c r="AO418" s="134"/>
      <c r="AP418" s="134"/>
      <c r="AQ418" s="134"/>
      <c r="AR418" s="134"/>
      <c r="AS418" s="134"/>
      <c r="AT418" s="134"/>
      <c r="AU418" s="134"/>
      <c r="AV418" s="134"/>
      <c r="AW418" s="134"/>
      <c r="AX418" s="134"/>
      <c r="AY418" s="134"/>
      <c r="AZ418" s="134"/>
      <c r="BA418" s="134"/>
      <c r="BB418" s="134"/>
      <c r="BC418" s="134"/>
      <c r="BD418" s="134"/>
      <c r="BE418" s="134"/>
      <c r="BF418" s="134"/>
      <c r="BG418" s="134"/>
      <c r="BH418" s="134"/>
      <c r="BI418" s="134"/>
      <c r="BJ418" s="134"/>
      <c r="BK418" s="134"/>
      <c r="BL418" s="134"/>
      <c r="BM418" s="135"/>
      <c r="BN418" s="136" t="n">
        <f aca="false">+MAX($D$3,DATOS_[[#This Row],[Fecha Inicio Sit. Contract.]])</f>
        <v>0</v>
      </c>
      <c r="BO418" s="136" t="n">
        <f aca="false">+MIN($D$4,DATOS_[[#This Row],[Fecha Fin Sit. Contract.]])</f>
        <v>0</v>
      </c>
      <c r="BP418" s="137" t="n">
        <f aca="false">+DATOS_[[#This Row],[% de jornada]]*IF(DATOS_[[#This Row],[% jornada reducida]]="",1,DATOS_[[#This Row],[% jornada reducida]])</f>
        <v>0</v>
      </c>
      <c r="BQ418" s="137" t="n">
        <f aca="false">+(DATOS_[[#This Row],[F.fin.cal]]-DATOS_[[#This Row],[F.ini.cal]]+1)/($D$4-$D$3+1)</f>
        <v>1</v>
      </c>
      <c r="BR418" s="137" t="str">
        <f aca="false">IF(OR(AND(DATOS_[[#This Row],[Fecha Fin Contrato]]&lt;$D$3,DATOS_[[#This Row],[Fecha Fin Contrato]]&lt;&gt;""),DATOS_[[#This Row],[Fecha de Contratación]]&gt;$D$4),"Fuera","Dentro")</f>
        <v>Dentro</v>
      </c>
      <c r="BS418" s="137" t="str">
        <f aca="false" t="array" ref="BS418:BS418">IF(MAX(IF(DATOS_[id]=DATOS_[[#This Row],[id]],DATOS_[F.fin.cal]))=DATOS_[[#This Row],[F.fin.cal]],"Sí","NO")</f>
        <v>Sí</v>
      </c>
      <c r="BT418" s="137" t="str">
        <f aca="false">IF(AND(DATOS_[[#This Row],[% normaliz]]&lt;&gt;1,DATOS_[[#This Row],[% anualiz]]=1),"Sí","NO")</f>
        <v>Sí</v>
      </c>
      <c r="BU418" s="137" t="str">
        <f aca="false">IF(AND(DATOS_[[#This Row],[% normaliz]]=1,DATOS_[[#This Row],[% anualiz]]&lt;&gt;1),"Sí","NO")</f>
        <v>NO</v>
      </c>
      <c r="BV418" s="137" t="str">
        <f aca="false">IF(AND(DATOS_[[#This Row],[% normaliz]]&lt;&gt;1,DATOS_[[#This Row],[% anualiz]]&lt;&gt;1),"Sí","NO")</f>
        <v>NO</v>
      </c>
      <c r="BW418" s="137" t="str">
        <f aca="false">+IF(DATOS_[[#This Row],[% normaliz]]*DATOS_[[#This Row],[% anualiz]]=1,"NO","Sí")</f>
        <v>Sí</v>
      </c>
      <c r="BX418" s="138" t="e">
        <f aca="false">(DATOS_[[#This Row],[S.BASE]]*(1/DATOS_[[#This Row],[% normaliz]])*(1/DATOS_[[#This Row],[% anualiz]]))*IF(DATOS_[[#This Row],[Check Equiparado]]="Sí",1,0)</f>
        <v>#DIV/0!</v>
      </c>
      <c r="BY4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8" s="138" t="e">
        <f aca="false">+DATOS_[[#This Row],[SALARIO BASE Eq]]+DATOS_[[#This Row],[Tot COMPL.SAL Eq]]</f>
        <v>#DIV/0!</v>
      </c>
      <c r="CA418" s="138" t="e">
        <f aca="false" t="array" ref="CA418:CA4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8" s="138" t="e">
        <f aca="false">+DATOS_[[#This Row],[TOTAL SALARIO Eq]]+DATOS_[[#This Row],[Tot Extrasalarial Eq]]</f>
        <v>#DIV/0!</v>
      </c>
      <c r="CC418" s="139" t="n">
        <f aca="false">DATOS_[[#This Row],[S.BASE]]</f>
        <v>0</v>
      </c>
      <c r="CD418" s="139" t="n">
        <f aca="false">+SUM(DATOS_[[#This Row],[Conc.Sal.01]:[Conc.Sal.30]])</f>
        <v>0</v>
      </c>
      <c r="CE418" s="139" t="n">
        <f aca="false">+DATOS_[[#This Row],[SALARIO BASE Ef]]+DATOS_[[#This Row],[Tot COMPL.SAL Ef]]</f>
        <v>0</v>
      </c>
      <c r="CF418" s="139" t="n">
        <f aca="false">+SUM(DATOS_[[#This Row],[C.Extra.01]:[C.Extra.05]])</f>
        <v>0</v>
      </c>
      <c r="CG418" s="139" t="n">
        <f aca="false">+DATOS_[[#This Row],[TOTAL SALARIO Ef]]+DATOS_[[#This Row],[Tot Extrasalarial Ef]]</f>
        <v>0</v>
      </c>
      <c r="CH418" s="140" t="n">
        <f aca="false">MIN(IF(DATOS_[[#This Row],[Fecha Fin Contrato]]="",$D$4,DATOS_[[#This Row],[Fecha Fin Contrato]]),$D$4)-MAX(DATOS_[[#This Row],[Fecha de Contratación]],$D$3)+1</f>
        <v>1</v>
      </c>
      <c r="CI418" s="141" t="str">
        <f aca="false">IF(COUNTIFS(DATOS_[id],DATOS_[[#This Row],[id]])&gt;1,DATOS_[[#This Row],[id]],"")</f>
        <v/>
      </c>
      <c r="CJ418" s="141" t="n">
        <f aca="false">(Inicio!$G$10-DATOS_[[#This Row],[Fecha Nacimiento]])/365.25</f>
        <v>0</v>
      </c>
      <c r="CK418" s="141" t="n">
        <f aca="false">(Inicio!$G$10-DATOS_[[#This Row],[Fecha de Antigüedad]])/365.25</f>
        <v>0</v>
      </c>
      <c r="CL418" s="141" t="e">
        <f aca="false">+VLOOKUP(DATOS_[[#This Row],[Clave de Contrato]],TblTiposContrato13[],3,0)</f>
        <v>#N/A</v>
      </c>
      <c r="CM418" s="141" t="e">
        <f aca="false">+VLOOKUP(DATOS_[[#This Row],[Clave de Contrato]],TblTiposContrato13[],4,0)</f>
        <v>#N/A</v>
      </c>
      <c r="CN418" s="141" t="str">
        <f aca="false">VLOOKUP(DATOS_[[#This Row],[Edad]],CONTRATOS!TblRngEdad,2,1)</f>
        <v>20  o menos</v>
      </c>
      <c r="CO418" s="141" t="str">
        <f aca="false">VLOOKUP(DATOS_[[#This Row],[Antigüedad]],TblRngAntg14[],2,1)</f>
        <v>0 a 1 años</v>
      </c>
    </row>
    <row r="419" customFormat="false" ht="13.8" hidden="false" customHeight="false" outlineLevel="0" collapsed="false">
      <c r="D419" s="128"/>
      <c r="E419" s="129"/>
      <c r="F419" s="129"/>
      <c r="G419" s="129"/>
      <c r="H419" s="130"/>
      <c r="I419" s="131"/>
      <c r="J419" s="128"/>
      <c r="K419" s="132"/>
      <c r="L419" s="132"/>
      <c r="M419" s="133"/>
      <c r="N419" s="133"/>
      <c r="O419" s="133"/>
      <c r="P419" s="129"/>
      <c r="Z419" s="75"/>
      <c r="AA419" s="76"/>
      <c r="AB419" s="76"/>
      <c r="AC419" s="129"/>
      <c r="AD419" s="134"/>
      <c r="AE419" s="134"/>
      <c r="AF419" s="134"/>
      <c r="AG419" s="134"/>
      <c r="AH419" s="134"/>
      <c r="AI419" s="134"/>
      <c r="AJ419" s="134"/>
      <c r="AK419" s="134"/>
      <c r="AL419" s="134"/>
      <c r="AM419" s="134"/>
      <c r="AN419" s="134"/>
      <c r="AO419" s="134"/>
      <c r="AP419" s="134"/>
      <c r="AQ419" s="134"/>
      <c r="AR419" s="134"/>
      <c r="AS419" s="134"/>
      <c r="AT419" s="134"/>
      <c r="AU419" s="134"/>
      <c r="AV419" s="134"/>
      <c r="AW419" s="134"/>
      <c r="AX419" s="134"/>
      <c r="AY419" s="134"/>
      <c r="AZ419" s="134"/>
      <c r="BA419" s="134"/>
      <c r="BB419" s="134"/>
      <c r="BC419" s="134"/>
      <c r="BD419" s="134"/>
      <c r="BE419" s="134"/>
      <c r="BF419" s="134"/>
      <c r="BG419" s="134"/>
      <c r="BH419" s="134"/>
      <c r="BI419" s="134"/>
      <c r="BJ419" s="134"/>
      <c r="BK419" s="134"/>
      <c r="BL419" s="134"/>
      <c r="BM419" s="135"/>
      <c r="BN419" s="136" t="n">
        <f aca="false">+MAX($D$3,DATOS_[[#This Row],[Fecha Inicio Sit. Contract.]])</f>
        <v>0</v>
      </c>
      <c r="BO419" s="136" t="n">
        <f aca="false">+MIN($D$4,DATOS_[[#This Row],[Fecha Fin Sit. Contract.]])</f>
        <v>0</v>
      </c>
      <c r="BP419" s="137" t="n">
        <f aca="false">+DATOS_[[#This Row],[% de jornada]]*IF(DATOS_[[#This Row],[% jornada reducida]]="",1,DATOS_[[#This Row],[% jornada reducida]])</f>
        <v>0</v>
      </c>
      <c r="BQ419" s="137" t="n">
        <f aca="false">+(DATOS_[[#This Row],[F.fin.cal]]-DATOS_[[#This Row],[F.ini.cal]]+1)/($D$4-$D$3+1)</f>
        <v>1</v>
      </c>
      <c r="BR419" s="137" t="str">
        <f aca="false">IF(OR(AND(DATOS_[[#This Row],[Fecha Fin Contrato]]&lt;$D$3,DATOS_[[#This Row],[Fecha Fin Contrato]]&lt;&gt;""),DATOS_[[#This Row],[Fecha de Contratación]]&gt;$D$4),"Fuera","Dentro")</f>
        <v>Dentro</v>
      </c>
      <c r="BS419" s="137" t="str">
        <f aca="false" t="array" ref="BS419:BS419">IF(MAX(IF(DATOS_[id]=DATOS_[[#This Row],[id]],DATOS_[F.fin.cal]))=DATOS_[[#This Row],[F.fin.cal]],"Sí","NO")</f>
        <v>Sí</v>
      </c>
      <c r="BT419" s="137" t="str">
        <f aca="false">IF(AND(DATOS_[[#This Row],[% normaliz]]&lt;&gt;1,DATOS_[[#This Row],[% anualiz]]=1),"Sí","NO")</f>
        <v>Sí</v>
      </c>
      <c r="BU419" s="137" t="str">
        <f aca="false">IF(AND(DATOS_[[#This Row],[% normaliz]]=1,DATOS_[[#This Row],[% anualiz]]&lt;&gt;1),"Sí","NO")</f>
        <v>NO</v>
      </c>
      <c r="BV419" s="137" t="str">
        <f aca="false">IF(AND(DATOS_[[#This Row],[% normaliz]]&lt;&gt;1,DATOS_[[#This Row],[% anualiz]]&lt;&gt;1),"Sí","NO")</f>
        <v>NO</v>
      </c>
      <c r="BW419" s="137" t="str">
        <f aca="false">+IF(DATOS_[[#This Row],[% normaliz]]*DATOS_[[#This Row],[% anualiz]]=1,"NO","Sí")</f>
        <v>Sí</v>
      </c>
      <c r="BX419" s="138" t="e">
        <f aca="false">(DATOS_[[#This Row],[S.BASE]]*(1/DATOS_[[#This Row],[% normaliz]])*(1/DATOS_[[#This Row],[% anualiz]]))*IF(DATOS_[[#This Row],[Check Equiparado]]="Sí",1,0)</f>
        <v>#DIV/0!</v>
      </c>
      <c r="BY4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9" s="138" t="e">
        <f aca="false">+DATOS_[[#This Row],[SALARIO BASE Eq]]+DATOS_[[#This Row],[Tot COMPL.SAL Eq]]</f>
        <v>#DIV/0!</v>
      </c>
      <c r="CA419" s="138" t="e">
        <f aca="false" t="array" ref="CA419:CA4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9" s="138" t="e">
        <f aca="false">+DATOS_[[#This Row],[TOTAL SALARIO Eq]]+DATOS_[[#This Row],[Tot Extrasalarial Eq]]</f>
        <v>#DIV/0!</v>
      </c>
      <c r="CC419" s="139" t="n">
        <f aca="false">DATOS_[[#This Row],[S.BASE]]</f>
        <v>0</v>
      </c>
      <c r="CD419" s="139" t="n">
        <f aca="false">+SUM(DATOS_[[#This Row],[Conc.Sal.01]:[Conc.Sal.30]])</f>
        <v>0</v>
      </c>
      <c r="CE419" s="139" t="n">
        <f aca="false">+DATOS_[[#This Row],[SALARIO BASE Ef]]+DATOS_[[#This Row],[Tot COMPL.SAL Ef]]</f>
        <v>0</v>
      </c>
      <c r="CF419" s="139" t="n">
        <f aca="false">+SUM(DATOS_[[#This Row],[C.Extra.01]:[C.Extra.05]])</f>
        <v>0</v>
      </c>
      <c r="CG419" s="139" t="n">
        <f aca="false">+DATOS_[[#This Row],[TOTAL SALARIO Ef]]+DATOS_[[#This Row],[Tot Extrasalarial Ef]]</f>
        <v>0</v>
      </c>
      <c r="CH419" s="140" t="n">
        <f aca="false">MIN(IF(DATOS_[[#This Row],[Fecha Fin Contrato]]="",$D$4,DATOS_[[#This Row],[Fecha Fin Contrato]]),$D$4)-MAX(DATOS_[[#This Row],[Fecha de Contratación]],$D$3)+1</f>
        <v>1</v>
      </c>
      <c r="CI419" s="141" t="str">
        <f aca="false">IF(COUNTIFS(DATOS_[id],DATOS_[[#This Row],[id]])&gt;1,DATOS_[[#This Row],[id]],"")</f>
        <v/>
      </c>
      <c r="CJ419" s="141" t="n">
        <f aca="false">(Inicio!$G$10-DATOS_[[#This Row],[Fecha Nacimiento]])/365.25</f>
        <v>0</v>
      </c>
      <c r="CK419" s="141" t="n">
        <f aca="false">(Inicio!$G$10-DATOS_[[#This Row],[Fecha de Antigüedad]])/365.25</f>
        <v>0</v>
      </c>
      <c r="CL419" s="141" t="e">
        <f aca="false">+VLOOKUP(DATOS_[[#This Row],[Clave de Contrato]],TblTiposContrato13[],3,0)</f>
        <v>#N/A</v>
      </c>
      <c r="CM419" s="141" t="e">
        <f aca="false">+VLOOKUP(DATOS_[[#This Row],[Clave de Contrato]],TblTiposContrato13[],4,0)</f>
        <v>#N/A</v>
      </c>
      <c r="CN419" s="141" t="str">
        <f aca="false">VLOOKUP(DATOS_[[#This Row],[Edad]],CONTRATOS!TblRngEdad,2,1)</f>
        <v>20  o menos</v>
      </c>
      <c r="CO419" s="141" t="str">
        <f aca="false">VLOOKUP(DATOS_[[#This Row],[Antigüedad]],TblRngAntg14[],2,1)</f>
        <v>0 a 1 años</v>
      </c>
    </row>
    <row r="420" customFormat="false" ht="13.8" hidden="false" customHeight="false" outlineLevel="0" collapsed="false">
      <c r="D420" s="128"/>
      <c r="E420" s="129"/>
      <c r="F420" s="129"/>
      <c r="G420" s="129"/>
      <c r="H420" s="130"/>
      <c r="I420" s="131"/>
      <c r="J420" s="128"/>
      <c r="K420" s="132"/>
      <c r="L420" s="132"/>
      <c r="M420" s="133"/>
      <c r="N420" s="133"/>
      <c r="O420" s="133"/>
      <c r="P420" s="129"/>
      <c r="Z420" s="75"/>
      <c r="AA420" s="76"/>
      <c r="AB420" s="76"/>
      <c r="AC420" s="129"/>
      <c r="AD420" s="134"/>
      <c r="AE420" s="134"/>
      <c r="AF420" s="134"/>
      <c r="AG420" s="134"/>
      <c r="AH420" s="134"/>
      <c r="AI420" s="134"/>
      <c r="AJ420" s="134"/>
      <c r="AK420" s="134"/>
      <c r="AL420" s="134"/>
      <c r="AM420" s="134"/>
      <c r="AN420" s="134"/>
      <c r="AO420" s="134"/>
      <c r="AP420" s="134"/>
      <c r="AQ420" s="134"/>
      <c r="AR420" s="134"/>
      <c r="AS420" s="134"/>
      <c r="AT420" s="134"/>
      <c r="AU420" s="134"/>
      <c r="AV420" s="134"/>
      <c r="AW420" s="134"/>
      <c r="AX420" s="134"/>
      <c r="AY420" s="134"/>
      <c r="AZ420" s="134"/>
      <c r="BA420" s="134"/>
      <c r="BB420" s="134"/>
      <c r="BC420" s="134"/>
      <c r="BD420" s="134"/>
      <c r="BE420" s="134"/>
      <c r="BF420" s="134"/>
      <c r="BG420" s="134"/>
      <c r="BH420" s="134"/>
      <c r="BI420" s="134"/>
      <c r="BJ420" s="134"/>
      <c r="BK420" s="134"/>
      <c r="BL420" s="134"/>
      <c r="BM420" s="135"/>
      <c r="BN420" s="136" t="n">
        <f aca="false">+MAX($D$3,DATOS_[[#This Row],[Fecha Inicio Sit. Contract.]])</f>
        <v>0</v>
      </c>
      <c r="BO420" s="136" t="n">
        <f aca="false">+MIN($D$4,DATOS_[[#This Row],[Fecha Fin Sit. Contract.]])</f>
        <v>0</v>
      </c>
      <c r="BP420" s="137" t="n">
        <f aca="false">+DATOS_[[#This Row],[% de jornada]]*IF(DATOS_[[#This Row],[% jornada reducida]]="",1,DATOS_[[#This Row],[% jornada reducida]])</f>
        <v>0</v>
      </c>
      <c r="BQ420" s="137" t="n">
        <f aca="false">+(DATOS_[[#This Row],[F.fin.cal]]-DATOS_[[#This Row],[F.ini.cal]]+1)/($D$4-$D$3+1)</f>
        <v>1</v>
      </c>
      <c r="BR420" s="137" t="str">
        <f aca="false">IF(OR(AND(DATOS_[[#This Row],[Fecha Fin Contrato]]&lt;$D$3,DATOS_[[#This Row],[Fecha Fin Contrato]]&lt;&gt;""),DATOS_[[#This Row],[Fecha de Contratación]]&gt;$D$4),"Fuera","Dentro")</f>
        <v>Dentro</v>
      </c>
      <c r="BS420" s="137" t="str">
        <f aca="false" t="array" ref="BS420:BS420">IF(MAX(IF(DATOS_[id]=DATOS_[[#This Row],[id]],DATOS_[F.fin.cal]))=DATOS_[[#This Row],[F.fin.cal]],"Sí","NO")</f>
        <v>Sí</v>
      </c>
      <c r="BT420" s="137" t="str">
        <f aca="false">IF(AND(DATOS_[[#This Row],[% normaliz]]&lt;&gt;1,DATOS_[[#This Row],[% anualiz]]=1),"Sí","NO")</f>
        <v>Sí</v>
      </c>
      <c r="BU420" s="137" t="str">
        <f aca="false">IF(AND(DATOS_[[#This Row],[% normaliz]]=1,DATOS_[[#This Row],[% anualiz]]&lt;&gt;1),"Sí","NO")</f>
        <v>NO</v>
      </c>
      <c r="BV420" s="137" t="str">
        <f aca="false">IF(AND(DATOS_[[#This Row],[% normaliz]]&lt;&gt;1,DATOS_[[#This Row],[% anualiz]]&lt;&gt;1),"Sí","NO")</f>
        <v>NO</v>
      </c>
      <c r="BW420" s="137" t="str">
        <f aca="false">+IF(DATOS_[[#This Row],[% normaliz]]*DATOS_[[#This Row],[% anualiz]]=1,"NO","Sí")</f>
        <v>Sí</v>
      </c>
      <c r="BX420" s="138" t="e">
        <f aca="false">(DATOS_[[#This Row],[S.BASE]]*(1/DATOS_[[#This Row],[% normaliz]])*(1/DATOS_[[#This Row],[% anualiz]]))*IF(DATOS_[[#This Row],[Check Equiparado]]="Sí",1,0)</f>
        <v>#DIV/0!</v>
      </c>
      <c r="BY4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0" s="138" t="e">
        <f aca="false">+DATOS_[[#This Row],[SALARIO BASE Eq]]+DATOS_[[#This Row],[Tot COMPL.SAL Eq]]</f>
        <v>#DIV/0!</v>
      </c>
      <c r="CA420" s="138" t="e">
        <f aca="false" t="array" ref="CA420:CA4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0" s="138" t="e">
        <f aca="false">+DATOS_[[#This Row],[TOTAL SALARIO Eq]]+DATOS_[[#This Row],[Tot Extrasalarial Eq]]</f>
        <v>#DIV/0!</v>
      </c>
      <c r="CC420" s="139" t="n">
        <f aca="false">DATOS_[[#This Row],[S.BASE]]</f>
        <v>0</v>
      </c>
      <c r="CD420" s="139" t="n">
        <f aca="false">+SUM(DATOS_[[#This Row],[Conc.Sal.01]:[Conc.Sal.30]])</f>
        <v>0</v>
      </c>
      <c r="CE420" s="139" t="n">
        <f aca="false">+DATOS_[[#This Row],[SALARIO BASE Ef]]+DATOS_[[#This Row],[Tot COMPL.SAL Ef]]</f>
        <v>0</v>
      </c>
      <c r="CF420" s="139" t="n">
        <f aca="false">+SUM(DATOS_[[#This Row],[C.Extra.01]:[C.Extra.05]])</f>
        <v>0</v>
      </c>
      <c r="CG420" s="139" t="n">
        <f aca="false">+DATOS_[[#This Row],[TOTAL SALARIO Ef]]+DATOS_[[#This Row],[Tot Extrasalarial Ef]]</f>
        <v>0</v>
      </c>
      <c r="CH420" s="140" t="n">
        <f aca="false">MIN(IF(DATOS_[[#This Row],[Fecha Fin Contrato]]="",$D$4,DATOS_[[#This Row],[Fecha Fin Contrato]]),$D$4)-MAX(DATOS_[[#This Row],[Fecha de Contratación]],$D$3)+1</f>
        <v>1</v>
      </c>
      <c r="CI420" s="141" t="str">
        <f aca="false">IF(COUNTIFS(DATOS_[id],DATOS_[[#This Row],[id]])&gt;1,DATOS_[[#This Row],[id]],"")</f>
        <v/>
      </c>
      <c r="CJ420" s="141" t="n">
        <f aca="false">(Inicio!$G$10-DATOS_[[#This Row],[Fecha Nacimiento]])/365.25</f>
        <v>0</v>
      </c>
      <c r="CK420" s="141" t="n">
        <f aca="false">(Inicio!$G$10-DATOS_[[#This Row],[Fecha de Antigüedad]])/365.25</f>
        <v>0</v>
      </c>
      <c r="CL420" s="141" t="e">
        <f aca="false">+VLOOKUP(DATOS_[[#This Row],[Clave de Contrato]],TblTiposContrato13[],3,0)</f>
        <v>#N/A</v>
      </c>
      <c r="CM420" s="141" t="e">
        <f aca="false">+VLOOKUP(DATOS_[[#This Row],[Clave de Contrato]],TblTiposContrato13[],4,0)</f>
        <v>#N/A</v>
      </c>
      <c r="CN420" s="141" t="str">
        <f aca="false">VLOOKUP(DATOS_[[#This Row],[Edad]],CONTRATOS!TblRngEdad,2,1)</f>
        <v>20  o menos</v>
      </c>
      <c r="CO420" s="141" t="str">
        <f aca="false">VLOOKUP(DATOS_[[#This Row],[Antigüedad]],TblRngAntg14[],2,1)</f>
        <v>0 a 1 años</v>
      </c>
    </row>
    <row r="421" customFormat="false" ht="13.8" hidden="false" customHeight="false" outlineLevel="0" collapsed="false">
      <c r="D421" s="128"/>
      <c r="E421" s="129"/>
      <c r="F421" s="129"/>
      <c r="G421" s="129"/>
      <c r="H421" s="130"/>
      <c r="I421" s="131"/>
      <c r="J421" s="128"/>
      <c r="K421" s="132"/>
      <c r="L421" s="132"/>
      <c r="M421" s="133"/>
      <c r="N421" s="133"/>
      <c r="O421" s="133"/>
      <c r="P421" s="129"/>
      <c r="Z421" s="75"/>
      <c r="AA421" s="76"/>
      <c r="AB421" s="76"/>
      <c r="AC421" s="129"/>
      <c r="AD421" s="134"/>
      <c r="AE421" s="134"/>
      <c r="AF421" s="134"/>
      <c r="AG421" s="134"/>
      <c r="AH421" s="134"/>
      <c r="AI421" s="134"/>
      <c r="AJ421" s="134"/>
      <c r="AK421" s="134"/>
      <c r="AL421" s="134"/>
      <c r="AM421" s="134"/>
      <c r="AN421" s="134"/>
      <c r="AO421" s="134"/>
      <c r="AP421" s="134"/>
      <c r="AQ421" s="134"/>
      <c r="AR421" s="134"/>
      <c r="AS421" s="134"/>
      <c r="AT421" s="134"/>
      <c r="AU421" s="134"/>
      <c r="AV421" s="134"/>
      <c r="AW421" s="134"/>
      <c r="AX421" s="134"/>
      <c r="AY421" s="134"/>
      <c r="AZ421" s="134"/>
      <c r="BA421" s="134"/>
      <c r="BB421" s="134"/>
      <c r="BC421" s="134"/>
      <c r="BD421" s="134"/>
      <c r="BE421" s="134"/>
      <c r="BF421" s="134"/>
      <c r="BG421" s="134"/>
      <c r="BH421" s="134"/>
      <c r="BI421" s="134"/>
      <c r="BJ421" s="134"/>
      <c r="BK421" s="134"/>
      <c r="BL421" s="134"/>
      <c r="BM421" s="135"/>
      <c r="BN421" s="136" t="n">
        <f aca="false">+MAX($D$3,DATOS_[[#This Row],[Fecha Inicio Sit. Contract.]])</f>
        <v>0</v>
      </c>
      <c r="BO421" s="136" t="n">
        <f aca="false">+MIN($D$4,DATOS_[[#This Row],[Fecha Fin Sit. Contract.]])</f>
        <v>0</v>
      </c>
      <c r="BP421" s="137" t="n">
        <f aca="false">+DATOS_[[#This Row],[% de jornada]]*IF(DATOS_[[#This Row],[% jornada reducida]]="",1,DATOS_[[#This Row],[% jornada reducida]])</f>
        <v>0</v>
      </c>
      <c r="BQ421" s="137" t="n">
        <f aca="false">+(DATOS_[[#This Row],[F.fin.cal]]-DATOS_[[#This Row],[F.ini.cal]]+1)/($D$4-$D$3+1)</f>
        <v>1</v>
      </c>
      <c r="BR421" s="137" t="str">
        <f aca="false">IF(OR(AND(DATOS_[[#This Row],[Fecha Fin Contrato]]&lt;$D$3,DATOS_[[#This Row],[Fecha Fin Contrato]]&lt;&gt;""),DATOS_[[#This Row],[Fecha de Contratación]]&gt;$D$4),"Fuera","Dentro")</f>
        <v>Dentro</v>
      </c>
      <c r="BS421" s="137" t="str">
        <f aca="false" t="array" ref="BS421:BS421">IF(MAX(IF(DATOS_[id]=DATOS_[[#This Row],[id]],DATOS_[F.fin.cal]))=DATOS_[[#This Row],[F.fin.cal]],"Sí","NO")</f>
        <v>Sí</v>
      </c>
      <c r="BT421" s="137" t="str">
        <f aca="false">IF(AND(DATOS_[[#This Row],[% normaliz]]&lt;&gt;1,DATOS_[[#This Row],[% anualiz]]=1),"Sí","NO")</f>
        <v>Sí</v>
      </c>
      <c r="BU421" s="137" t="str">
        <f aca="false">IF(AND(DATOS_[[#This Row],[% normaliz]]=1,DATOS_[[#This Row],[% anualiz]]&lt;&gt;1),"Sí","NO")</f>
        <v>NO</v>
      </c>
      <c r="BV421" s="137" t="str">
        <f aca="false">IF(AND(DATOS_[[#This Row],[% normaliz]]&lt;&gt;1,DATOS_[[#This Row],[% anualiz]]&lt;&gt;1),"Sí","NO")</f>
        <v>NO</v>
      </c>
      <c r="BW421" s="137" t="str">
        <f aca="false">+IF(DATOS_[[#This Row],[% normaliz]]*DATOS_[[#This Row],[% anualiz]]=1,"NO","Sí")</f>
        <v>Sí</v>
      </c>
      <c r="BX421" s="138" t="e">
        <f aca="false">(DATOS_[[#This Row],[S.BASE]]*(1/DATOS_[[#This Row],[% normaliz]])*(1/DATOS_[[#This Row],[% anualiz]]))*IF(DATOS_[[#This Row],[Check Equiparado]]="Sí",1,0)</f>
        <v>#DIV/0!</v>
      </c>
      <c r="BY4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1" s="138" t="e">
        <f aca="false">+DATOS_[[#This Row],[SALARIO BASE Eq]]+DATOS_[[#This Row],[Tot COMPL.SAL Eq]]</f>
        <v>#DIV/0!</v>
      </c>
      <c r="CA421" s="138" t="e">
        <f aca="false" t="array" ref="CA421:CA4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1" s="138" t="e">
        <f aca="false">+DATOS_[[#This Row],[TOTAL SALARIO Eq]]+DATOS_[[#This Row],[Tot Extrasalarial Eq]]</f>
        <v>#DIV/0!</v>
      </c>
      <c r="CC421" s="139" t="n">
        <f aca="false">DATOS_[[#This Row],[S.BASE]]</f>
        <v>0</v>
      </c>
      <c r="CD421" s="139" t="n">
        <f aca="false">+SUM(DATOS_[[#This Row],[Conc.Sal.01]:[Conc.Sal.30]])</f>
        <v>0</v>
      </c>
      <c r="CE421" s="139" t="n">
        <f aca="false">+DATOS_[[#This Row],[SALARIO BASE Ef]]+DATOS_[[#This Row],[Tot COMPL.SAL Ef]]</f>
        <v>0</v>
      </c>
      <c r="CF421" s="139" t="n">
        <f aca="false">+SUM(DATOS_[[#This Row],[C.Extra.01]:[C.Extra.05]])</f>
        <v>0</v>
      </c>
      <c r="CG421" s="139" t="n">
        <f aca="false">+DATOS_[[#This Row],[TOTAL SALARIO Ef]]+DATOS_[[#This Row],[Tot Extrasalarial Ef]]</f>
        <v>0</v>
      </c>
      <c r="CH421" s="140" t="n">
        <f aca="false">MIN(IF(DATOS_[[#This Row],[Fecha Fin Contrato]]="",$D$4,DATOS_[[#This Row],[Fecha Fin Contrato]]),$D$4)-MAX(DATOS_[[#This Row],[Fecha de Contratación]],$D$3)+1</f>
        <v>1</v>
      </c>
      <c r="CI421" s="141" t="str">
        <f aca="false">IF(COUNTIFS(DATOS_[id],DATOS_[[#This Row],[id]])&gt;1,DATOS_[[#This Row],[id]],"")</f>
        <v/>
      </c>
      <c r="CJ421" s="141" t="n">
        <f aca="false">(Inicio!$G$10-DATOS_[[#This Row],[Fecha Nacimiento]])/365.25</f>
        <v>0</v>
      </c>
      <c r="CK421" s="141" t="n">
        <f aca="false">(Inicio!$G$10-DATOS_[[#This Row],[Fecha de Antigüedad]])/365.25</f>
        <v>0</v>
      </c>
      <c r="CL421" s="141" t="e">
        <f aca="false">+VLOOKUP(DATOS_[[#This Row],[Clave de Contrato]],TblTiposContrato13[],3,0)</f>
        <v>#N/A</v>
      </c>
      <c r="CM421" s="141" t="e">
        <f aca="false">+VLOOKUP(DATOS_[[#This Row],[Clave de Contrato]],TblTiposContrato13[],4,0)</f>
        <v>#N/A</v>
      </c>
      <c r="CN421" s="141" t="str">
        <f aca="false">VLOOKUP(DATOS_[[#This Row],[Edad]],CONTRATOS!TblRngEdad,2,1)</f>
        <v>20  o menos</v>
      </c>
      <c r="CO421" s="141" t="str">
        <f aca="false">VLOOKUP(DATOS_[[#This Row],[Antigüedad]],TblRngAntg14[],2,1)</f>
        <v>0 a 1 años</v>
      </c>
    </row>
    <row r="422" customFormat="false" ht="13.8" hidden="false" customHeight="false" outlineLevel="0" collapsed="false">
      <c r="D422" s="128"/>
      <c r="E422" s="129"/>
      <c r="F422" s="129"/>
      <c r="G422" s="129"/>
      <c r="H422" s="130"/>
      <c r="I422" s="131"/>
      <c r="J422" s="128"/>
      <c r="K422" s="132"/>
      <c r="L422" s="132"/>
      <c r="M422" s="133"/>
      <c r="N422" s="133"/>
      <c r="O422" s="133"/>
      <c r="P422" s="129"/>
      <c r="Z422" s="75"/>
      <c r="AA422" s="76"/>
      <c r="AB422" s="76"/>
      <c r="AC422" s="129"/>
      <c r="AD422" s="134"/>
      <c r="AE422" s="134"/>
      <c r="AF422" s="134"/>
      <c r="AG422" s="134"/>
      <c r="AH422" s="134"/>
      <c r="AI422" s="134"/>
      <c r="AJ422" s="134"/>
      <c r="AK422" s="134"/>
      <c r="AL422" s="134"/>
      <c r="AM422" s="134"/>
      <c r="AN422" s="134"/>
      <c r="AO422" s="134"/>
      <c r="AP422" s="134"/>
      <c r="AQ422" s="134"/>
      <c r="AR422" s="134"/>
      <c r="AS422" s="134"/>
      <c r="AT422" s="134"/>
      <c r="AU422" s="134"/>
      <c r="AV422" s="134"/>
      <c r="AW422" s="134"/>
      <c r="AX422" s="134"/>
      <c r="AY422" s="134"/>
      <c r="AZ422" s="134"/>
      <c r="BA422" s="134"/>
      <c r="BB422" s="134"/>
      <c r="BC422" s="134"/>
      <c r="BD422" s="134"/>
      <c r="BE422" s="134"/>
      <c r="BF422" s="134"/>
      <c r="BG422" s="134"/>
      <c r="BH422" s="134"/>
      <c r="BI422" s="134"/>
      <c r="BJ422" s="134"/>
      <c r="BK422" s="134"/>
      <c r="BL422" s="134"/>
      <c r="BM422" s="135"/>
      <c r="BN422" s="136" t="n">
        <f aca="false">+MAX($D$3,DATOS_[[#This Row],[Fecha Inicio Sit. Contract.]])</f>
        <v>0</v>
      </c>
      <c r="BO422" s="136" t="n">
        <f aca="false">+MIN($D$4,DATOS_[[#This Row],[Fecha Fin Sit. Contract.]])</f>
        <v>0</v>
      </c>
      <c r="BP422" s="137" t="n">
        <f aca="false">+DATOS_[[#This Row],[% de jornada]]*IF(DATOS_[[#This Row],[% jornada reducida]]="",1,DATOS_[[#This Row],[% jornada reducida]])</f>
        <v>0</v>
      </c>
      <c r="BQ422" s="137" t="n">
        <f aca="false">+(DATOS_[[#This Row],[F.fin.cal]]-DATOS_[[#This Row],[F.ini.cal]]+1)/($D$4-$D$3+1)</f>
        <v>1</v>
      </c>
      <c r="BR422" s="137" t="str">
        <f aca="false">IF(OR(AND(DATOS_[[#This Row],[Fecha Fin Contrato]]&lt;$D$3,DATOS_[[#This Row],[Fecha Fin Contrato]]&lt;&gt;""),DATOS_[[#This Row],[Fecha de Contratación]]&gt;$D$4),"Fuera","Dentro")</f>
        <v>Dentro</v>
      </c>
      <c r="BS422" s="137" t="str">
        <f aca="false" t="array" ref="BS422:BS422">IF(MAX(IF(DATOS_[id]=DATOS_[[#This Row],[id]],DATOS_[F.fin.cal]))=DATOS_[[#This Row],[F.fin.cal]],"Sí","NO")</f>
        <v>Sí</v>
      </c>
      <c r="BT422" s="137" t="str">
        <f aca="false">IF(AND(DATOS_[[#This Row],[% normaliz]]&lt;&gt;1,DATOS_[[#This Row],[% anualiz]]=1),"Sí","NO")</f>
        <v>Sí</v>
      </c>
      <c r="BU422" s="137" t="str">
        <f aca="false">IF(AND(DATOS_[[#This Row],[% normaliz]]=1,DATOS_[[#This Row],[% anualiz]]&lt;&gt;1),"Sí","NO")</f>
        <v>NO</v>
      </c>
      <c r="BV422" s="137" t="str">
        <f aca="false">IF(AND(DATOS_[[#This Row],[% normaliz]]&lt;&gt;1,DATOS_[[#This Row],[% anualiz]]&lt;&gt;1),"Sí","NO")</f>
        <v>NO</v>
      </c>
      <c r="BW422" s="137" t="str">
        <f aca="false">+IF(DATOS_[[#This Row],[% normaliz]]*DATOS_[[#This Row],[% anualiz]]=1,"NO","Sí")</f>
        <v>Sí</v>
      </c>
      <c r="BX422" s="138" t="e">
        <f aca="false">(DATOS_[[#This Row],[S.BASE]]*(1/DATOS_[[#This Row],[% normaliz]])*(1/DATOS_[[#This Row],[% anualiz]]))*IF(DATOS_[[#This Row],[Check Equiparado]]="Sí",1,0)</f>
        <v>#DIV/0!</v>
      </c>
      <c r="BY4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2" s="138" t="e">
        <f aca="false">+DATOS_[[#This Row],[SALARIO BASE Eq]]+DATOS_[[#This Row],[Tot COMPL.SAL Eq]]</f>
        <v>#DIV/0!</v>
      </c>
      <c r="CA422" s="138" t="e">
        <f aca="false" t="array" ref="CA422:CA4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2" s="138" t="e">
        <f aca="false">+DATOS_[[#This Row],[TOTAL SALARIO Eq]]+DATOS_[[#This Row],[Tot Extrasalarial Eq]]</f>
        <v>#DIV/0!</v>
      </c>
      <c r="CC422" s="139" t="n">
        <f aca="false">DATOS_[[#This Row],[S.BASE]]</f>
        <v>0</v>
      </c>
      <c r="CD422" s="139" t="n">
        <f aca="false">+SUM(DATOS_[[#This Row],[Conc.Sal.01]:[Conc.Sal.30]])</f>
        <v>0</v>
      </c>
      <c r="CE422" s="139" t="n">
        <f aca="false">+DATOS_[[#This Row],[SALARIO BASE Ef]]+DATOS_[[#This Row],[Tot COMPL.SAL Ef]]</f>
        <v>0</v>
      </c>
      <c r="CF422" s="139" t="n">
        <f aca="false">+SUM(DATOS_[[#This Row],[C.Extra.01]:[C.Extra.05]])</f>
        <v>0</v>
      </c>
      <c r="CG422" s="139" t="n">
        <f aca="false">+DATOS_[[#This Row],[TOTAL SALARIO Ef]]+DATOS_[[#This Row],[Tot Extrasalarial Ef]]</f>
        <v>0</v>
      </c>
      <c r="CH422" s="140" t="n">
        <f aca="false">MIN(IF(DATOS_[[#This Row],[Fecha Fin Contrato]]="",$D$4,DATOS_[[#This Row],[Fecha Fin Contrato]]),$D$4)-MAX(DATOS_[[#This Row],[Fecha de Contratación]],$D$3)+1</f>
        <v>1</v>
      </c>
      <c r="CI422" s="141" t="str">
        <f aca="false">IF(COUNTIFS(DATOS_[id],DATOS_[[#This Row],[id]])&gt;1,DATOS_[[#This Row],[id]],"")</f>
        <v/>
      </c>
      <c r="CJ422" s="141" t="n">
        <f aca="false">(Inicio!$G$10-DATOS_[[#This Row],[Fecha Nacimiento]])/365.25</f>
        <v>0</v>
      </c>
      <c r="CK422" s="141" t="n">
        <f aca="false">(Inicio!$G$10-DATOS_[[#This Row],[Fecha de Antigüedad]])/365.25</f>
        <v>0</v>
      </c>
      <c r="CL422" s="141" t="e">
        <f aca="false">+VLOOKUP(DATOS_[[#This Row],[Clave de Contrato]],TblTiposContrato13[],3,0)</f>
        <v>#N/A</v>
      </c>
      <c r="CM422" s="141" t="e">
        <f aca="false">+VLOOKUP(DATOS_[[#This Row],[Clave de Contrato]],TblTiposContrato13[],4,0)</f>
        <v>#N/A</v>
      </c>
      <c r="CN422" s="141" t="str">
        <f aca="false">VLOOKUP(DATOS_[[#This Row],[Edad]],CONTRATOS!TblRngEdad,2,1)</f>
        <v>20  o menos</v>
      </c>
      <c r="CO422" s="141" t="str">
        <f aca="false">VLOOKUP(DATOS_[[#This Row],[Antigüedad]],TblRngAntg14[],2,1)</f>
        <v>0 a 1 años</v>
      </c>
    </row>
    <row r="423" customFormat="false" ht="13.8" hidden="false" customHeight="false" outlineLevel="0" collapsed="false">
      <c r="D423" s="128"/>
      <c r="E423" s="129"/>
      <c r="F423" s="129"/>
      <c r="G423" s="129"/>
      <c r="H423" s="130"/>
      <c r="I423" s="131"/>
      <c r="J423" s="128"/>
      <c r="K423" s="132"/>
      <c r="L423" s="132"/>
      <c r="M423" s="133"/>
      <c r="N423" s="133"/>
      <c r="O423" s="133"/>
      <c r="P423" s="129"/>
      <c r="Z423" s="75"/>
      <c r="AA423" s="76"/>
      <c r="AB423" s="76"/>
      <c r="AC423" s="129"/>
      <c r="AD423" s="134"/>
      <c r="AE423" s="134"/>
      <c r="AF423" s="134"/>
      <c r="AG423" s="134"/>
      <c r="AH423" s="134"/>
      <c r="AI423" s="134"/>
      <c r="AJ423" s="134"/>
      <c r="AK423" s="134"/>
      <c r="AL423" s="134"/>
      <c r="AM423" s="134"/>
      <c r="AN423" s="134"/>
      <c r="AO423" s="134"/>
      <c r="AP423" s="134"/>
      <c r="AQ423" s="134"/>
      <c r="AR423" s="134"/>
      <c r="AS423" s="134"/>
      <c r="AT423" s="134"/>
      <c r="AU423" s="134"/>
      <c r="AV423" s="134"/>
      <c r="AW423" s="134"/>
      <c r="AX423" s="134"/>
      <c r="AY423" s="134"/>
      <c r="AZ423" s="134"/>
      <c r="BA423" s="134"/>
      <c r="BB423" s="134"/>
      <c r="BC423" s="134"/>
      <c r="BD423" s="134"/>
      <c r="BE423" s="134"/>
      <c r="BF423" s="134"/>
      <c r="BG423" s="134"/>
      <c r="BH423" s="134"/>
      <c r="BI423" s="134"/>
      <c r="BJ423" s="134"/>
      <c r="BK423" s="134"/>
      <c r="BL423" s="134"/>
      <c r="BM423" s="135"/>
      <c r="BN423" s="136" t="n">
        <f aca="false">+MAX($D$3,DATOS_[[#This Row],[Fecha Inicio Sit. Contract.]])</f>
        <v>0</v>
      </c>
      <c r="BO423" s="136" t="n">
        <f aca="false">+MIN($D$4,DATOS_[[#This Row],[Fecha Fin Sit. Contract.]])</f>
        <v>0</v>
      </c>
      <c r="BP423" s="137" t="n">
        <f aca="false">+DATOS_[[#This Row],[% de jornada]]*IF(DATOS_[[#This Row],[% jornada reducida]]="",1,DATOS_[[#This Row],[% jornada reducida]])</f>
        <v>0</v>
      </c>
      <c r="BQ423" s="137" t="n">
        <f aca="false">+(DATOS_[[#This Row],[F.fin.cal]]-DATOS_[[#This Row],[F.ini.cal]]+1)/($D$4-$D$3+1)</f>
        <v>1</v>
      </c>
      <c r="BR423" s="137" t="str">
        <f aca="false">IF(OR(AND(DATOS_[[#This Row],[Fecha Fin Contrato]]&lt;$D$3,DATOS_[[#This Row],[Fecha Fin Contrato]]&lt;&gt;""),DATOS_[[#This Row],[Fecha de Contratación]]&gt;$D$4),"Fuera","Dentro")</f>
        <v>Dentro</v>
      </c>
      <c r="BS423" s="137" t="str">
        <f aca="false" t="array" ref="BS423:BS423">IF(MAX(IF(DATOS_[id]=DATOS_[[#This Row],[id]],DATOS_[F.fin.cal]))=DATOS_[[#This Row],[F.fin.cal]],"Sí","NO")</f>
        <v>Sí</v>
      </c>
      <c r="BT423" s="137" t="str">
        <f aca="false">IF(AND(DATOS_[[#This Row],[% normaliz]]&lt;&gt;1,DATOS_[[#This Row],[% anualiz]]=1),"Sí","NO")</f>
        <v>Sí</v>
      </c>
      <c r="BU423" s="137" t="str">
        <f aca="false">IF(AND(DATOS_[[#This Row],[% normaliz]]=1,DATOS_[[#This Row],[% anualiz]]&lt;&gt;1),"Sí","NO")</f>
        <v>NO</v>
      </c>
      <c r="BV423" s="137" t="str">
        <f aca="false">IF(AND(DATOS_[[#This Row],[% normaliz]]&lt;&gt;1,DATOS_[[#This Row],[% anualiz]]&lt;&gt;1),"Sí","NO")</f>
        <v>NO</v>
      </c>
      <c r="BW423" s="137" t="str">
        <f aca="false">+IF(DATOS_[[#This Row],[% normaliz]]*DATOS_[[#This Row],[% anualiz]]=1,"NO","Sí")</f>
        <v>Sí</v>
      </c>
      <c r="BX423" s="138" t="e">
        <f aca="false">(DATOS_[[#This Row],[S.BASE]]*(1/DATOS_[[#This Row],[% normaliz]])*(1/DATOS_[[#This Row],[% anualiz]]))*IF(DATOS_[[#This Row],[Check Equiparado]]="Sí",1,0)</f>
        <v>#DIV/0!</v>
      </c>
      <c r="BY4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3" s="138" t="e">
        <f aca="false">+DATOS_[[#This Row],[SALARIO BASE Eq]]+DATOS_[[#This Row],[Tot COMPL.SAL Eq]]</f>
        <v>#DIV/0!</v>
      </c>
      <c r="CA423" s="138" t="e">
        <f aca="false" t="array" ref="CA423:CA4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3" s="138" t="e">
        <f aca="false">+DATOS_[[#This Row],[TOTAL SALARIO Eq]]+DATOS_[[#This Row],[Tot Extrasalarial Eq]]</f>
        <v>#DIV/0!</v>
      </c>
      <c r="CC423" s="139" t="n">
        <f aca="false">DATOS_[[#This Row],[S.BASE]]</f>
        <v>0</v>
      </c>
      <c r="CD423" s="139" t="n">
        <f aca="false">+SUM(DATOS_[[#This Row],[Conc.Sal.01]:[Conc.Sal.30]])</f>
        <v>0</v>
      </c>
      <c r="CE423" s="139" t="n">
        <f aca="false">+DATOS_[[#This Row],[SALARIO BASE Ef]]+DATOS_[[#This Row],[Tot COMPL.SAL Ef]]</f>
        <v>0</v>
      </c>
      <c r="CF423" s="139" t="n">
        <f aca="false">+SUM(DATOS_[[#This Row],[C.Extra.01]:[C.Extra.05]])</f>
        <v>0</v>
      </c>
      <c r="CG423" s="139" t="n">
        <f aca="false">+DATOS_[[#This Row],[TOTAL SALARIO Ef]]+DATOS_[[#This Row],[Tot Extrasalarial Ef]]</f>
        <v>0</v>
      </c>
      <c r="CH423" s="140" t="n">
        <f aca="false">MIN(IF(DATOS_[[#This Row],[Fecha Fin Contrato]]="",$D$4,DATOS_[[#This Row],[Fecha Fin Contrato]]),$D$4)-MAX(DATOS_[[#This Row],[Fecha de Contratación]],$D$3)+1</f>
        <v>1</v>
      </c>
      <c r="CI423" s="141" t="str">
        <f aca="false">IF(COUNTIFS(DATOS_[id],DATOS_[[#This Row],[id]])&gt;1,DATOS_[[#This Row],[id]],"")</f>
        <v/>
      </c>
      <c r="CJ423" s="141" t="n">
        <f aca="false">(Inicio!$G$10-DATOS_[[#This Row],[Fecha Nacimiento]])/365.25</f>
        <v>0</v>
      </c>
      <c r="CK423" s="141" t="n">
        <f aca="false">(Inicio!$G$10-DATOS_[[#This Row],[Fecha de Antigüedad]])/365.25</f>
        <v>0</v>
      </c>
      <c r="CL423" s="141" t="e">
        <f aca="false">+VLOOKUP(DATOS_[[#This Row],[Clave de Contrato]],TblTiposContrato13[],3,0)</f>
        <v>#N/A</v>
      </c>
      <c r="CM423" s="141" t="e">
        <f aca="false">+VLOOKUP(DATOS_[[#This Row],[Clave de Contrato]],TblTiposContrato13[],4,0)</f>
        <v>#N/A</v>
      </c>
      <c r="CN423" s="141" t="str">
        <f aca="false">VLOOKUP(DATOS_[[#This Row],[Edad]],CONTRATOS!TblRngEdad,2,1)</f>
        <v>20  o menos</v>
      </c>
      <c r="CO423" s="141" t="str">
        <f aca="false">VLOOKUP(DATOS_[[#This Row],[Antigüedad]],TblRngAntg14[],2,1)</f>
        <v>0 a 1 años</v>
      </c>
    </row>
    <row r="424" customFormat="false" ht="13.8" hidden="false" customHeight="false" outlineLevel="0" collapsed="false">
      <c r="D424" s="128"/>
      <c r="E424" s="129"/>
      <c r="F424" s="129"/>
      <c r="G424" s="129"/>
      <c r="H424" s="130"/>
      <c r="I424" s="131"/>
      <c r="J424" s="128"/>
      <c r="K424" s="132"/>
      <c r="L424" s="132"/>
      <c r="M424" s="133"/>
      <c r="N424" s="133"/>
      <c r="O424" s="133"/>
      <c r="P424" s="129"/>
      <c r="Z424" s="75"/>
      <c r="AA424" s="76"/>
      <c r="AB424" s="76"/>
      <c r="AC424" s="129"/>
      <c r="AD424" s="134"/>
      <c r="AE424" s="134"/>
      <c r="AF424" s="134"/>
      <c r="AG424" s="134"/>
      <c r="AH424" s="134"/>
      <c r="AI424" s="134"/>
      <c r="AJ424" s="134"/>
      <c r="AK424" s="134"/>
      <c r="AL424" s="134"/>
      <c r="AM424" s="134"/>
      <c r="AN424" s="134"/>
      <c r="AO424" s="134"/>
      <c r="AP424" s="134"/>
      <c r="AQ424" s="134"/>
      <c r="AR424" s="134"/>
      <c r="AS424" s="134"/>
      <c r="AT424" s="134"/>
      <c r="AU424" s="134"/>
      <c r="AV424" s="134"/>
      <c r="AW424" s="134"/>
      <c r="AX424" s="134"/>
      <c r="AY424" s="134"/>
      <c r="AZ424" s="134"/>
      <c r="BA424" s="134"/>
      <c r="BB424" s="134"/>
      <c r="BC424" s="134"/>
      <c r="BD424" s="134"/>
      <c r="BE424" s="134"/>
      <c r="BF424" s="134"/>
      <c r="BG424" s="134"/>
      <c r="BH424" s="134"/>
      <c r="BI424" s="134"/>
      <c r="BJ424" s="134"/>
      <c r="BK424" s="134"/>
      <c r="BL424" s="134"/>
      <c r="BM424" s="135"/>
      <c r="BN424" s="136" t="n">
        <f aca="false">+MAX($D$3,DATOS_[[#This Row],[Fecha Inicio Sit. Contract.]])</f>
        <v>0</v>
      </c>
      <c r="BO424" s="136" t="n">
        <f aca="false">+MIN($D$4,DATOS_[[#This Row],[Fecha Fin Sit. Contract.]])</f>
        <v>0</v>
      </c>
      <c r="BP424" s="137" t="n">
        <f aca="false">+DATOS_[[#This Row],[% de jornada]]*IF(DATOS_[[#This Row],[% jornada reducida]]="",1,DATOS_[[#This Row],[% jornada reducida]])</f>
        <v>0</v>
      </c>
      <c r="BQ424" s="137" t="n">
        <f aca="false">+(DATOS_[[#This Row],[F.fin.cal]]-DATOS_[[#This Row],[F.ini.cal]]+1)/($D$4-$D$3+1)</f>
        <v>1</v>
      </c>
      <c r="BR424" s="137" t="str">
        <f aca="false">IF(OR(AND(DATOS_[[#This Row],[Fecha Fin Contrato]]&lt;$D$3,DATOS_[[#This Row],[Fecha Fin Contrato]]&lt;&gt;""),DATOS_[[#This Row],[Fecha de Contratación]]&gt;$D$4),"Fuera","Dentro")</f>
        <v>Dentro</v>
      </c>
      <c r="BS424" s="137" t="str">
        <f aca="false" t="array" ref="BS424:BS424">IF(MAX(IF(DATOS_[id]=DATOS_[[#This Row],[id]],DATOS_[F.fin.cal]))=DATOS_[[#This Row],[F.fin.cal]],"Sí","NO")</f>
        <v>Sí</v>
      </c>
      <c r="BT424" s="137" t="str">
        <f aca="false">IF(AND(DATOS_[[#This Row],[% normaliz]]&lt;&gt;1,DATOS_[[#This Row],[% anualiz]]=1),"Sí","NO")</f>
        <v>Sí</v>
      </c>
      <c r="BU424" s="137" t="str">
        <f aca="false">IF(AND(DATOS_[[#This Row],[% normaliz]]=1,DATOS_[[#This Row],[% anualiz]]&lt;&gt;1),"Sí","NO")</f>
        <v>NO</v>
      </c>
      <c r="BV424" s="137" t="str">
        <f aca="false">IF(AND(DATOS_[[#This Row],[% normaliz]]&lt;&gt;1,DATOS_[[#This Row],[% anualiz]]&lt;&gt;1),"Sí","NO")</f>
        <v>NO</v>
      </c>
      <c r="BW424" s="137" t="str">
        <f aca="false">+IF(DATOS_[[#This Row],[% normaliz]]*DATOS_[[#This Row],[% anualiz]]=1,"NO","Sí")</f>
        <v>Sí</v>
      </c>
      <c r="BX424" s="138" t="e">
        <f aca="false">(DATOS_[[#This Row],[S.BASE]]*(1/DATOS_[[#This Row],[% normaliz]])*(1/DATOS_[[#This Row],[% anualiz]]))*IF(DATOS_[[#This Row],[Check Equiparado]]="Sí",1,0)</f>
        <v>#DIV/0!</v>
      </c>
      <c r="BY4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4" s="138" t="e">
        <f aca="false">+DATOS_[[#This Row],[SALARIO BASE Eq]]+DATOS_[[#This Row],[Tot COMPL.SAL Eq]]</f>
        <v>#DIV/0!</v>
      </c>
      <c r="CA424" s="138" t="e">
        <f aca="false" t="array" ref="CA424:CA4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4" s="138" t="e">
        <f aca="false">+DATOS_[[#This Row],[TOTAL SALARIO Eq]]+DATOS_[[#This Row],[Tot Extrasalarial Eq]]</f>
        <v>#DIV/0!</v>
      </c>
      <c r="CC424" s="139" t="n">
        <f aca="false">DATOS_[[#This Row],[S.BASE]]</f>
        <v>0</v>
      </c>
      <c r="CD424" s="139" t="n">
        <f aca="false">+SUM(DATOS_[[#This Row],[Conc.Sal.01]:[Conc.Sal.30]])</f>
        <v>0</v>
      </c>
      <c r="CE424" s="139" t="n">
        <f aca="false">+DATOS_[[#This Row],[SALARIO BASE Ef]]+DATOS_[[#This Row],[Tot COMPL.SAL Ef]]</f>
        <v>0</v>
      </c>
      <c r="CF424" s="139" t="n">
        <f aca="false">+SUM(DATOS_[[#This Row],[C.Extra.01]:[C.Extra.05]])</f>
        <v>0</v>
      </c>
      <c r="CG424" s="139" t="n">
        <f aca="false">+DATOS_[[#This Row],[TOTAL SALARIO Ef]]+DATOS_[[#This Row],[Tot Extrasalarial Ef]]</f>
        <v>0</v>
      </c>
      <c r="CH424" s="140" t="n">
        <f aca="false">MIN(IF(DATOS_[[#This Row],[Fecha Fin Contrato]]="",$D$4,DATOS_[[#This Row],[Fecha Fin Contrato]]),$D$4)-MAX(DATOS_[[#This Row],[Fecha de Contratación]],$D$3)+1</f>
        <v>1</v>
      </c>
      <c r="CI424" s="141" t="str">
        <f aca="false">IF(COUNTIFS(DATOS_[id],DATOS_[[#This Row],[id]])&gt;1,DATOS_[[#This Row],[id]],"")</f>
        <v/>
      </c>
      <c r="CJ424" s="141" t="n">
        <f aca="false">(Inicio!$G$10-DATOS_[[#This Row],[Fecha Nacimiento]])/365.25</f>
        <v>0</v>
      </c>
      <c r="CK424" s="141" t="n">
        <f aca="false">(Inicio!$G$10-DATOS_[[#This Row],[Fecha de Antigüedad]])/365.25</f>
        <v>0</v>
      </c>
      <c r="CL424" s="141" t="e">
        <f aca="false">+VLOOKUP(DATOS_[[#This Row],[Clave de Contrato]],TblTiposContrato13[],3,0)</f>
        <v>#N/A</v>
      </c>
      <c r="CM424" s="141" t="e">
        <f aca="false">+VLOOKUP(DATOS_[[#This Row],[Clave de Contrato]],TblTiposContrato13[],4,0)</f>
        <v>#N/A</v>
      </c>
      <c r="CN424" s="141" t="str">
        <f aca="false">VLOOKUP(DATOS_[[#This Row],[Edad]],CONTRATOS!TblRngEdad,2,1)</f>
        <v>20  o menos</v>
      </c>
      <c r="CO424" s="141" t="str">
        <f aca="false">VLOOKUP(DATOS_[[#This Row],[Antigüedad]],TblRngAntg14[],2,1)</f>
        <v>0 a 1 años</v>
      </c>
    </row>
    <row r="425" customFormat="false" ht="13.8" hidden="false" customHeight="false" outlineLevel="0" collapsed="false">
      <c r="D425" s="128"/>
      <c r="E425" s="129"/>
      <c r="F425" s="129"/>
      <c r="G425" s="129"/>
      <c r="H425" s="130"/>
      <c r="I425" s="131"/>
      <c r="J425" s="128"/>
      <c r="K425" s="132"/>
      <c r="L425" s="132"/>
      <c r="M425" s="133"/>
      <c r="N425" s="133"/>
      <c r="O425" s="133"/>
      <c r="P425" s="129"/>
      <c r="Z425" s="75"/>
      <c r="AA425" s="76"/>
      <c r="AB425" s="76"/>
      <c r="AC425" s="129"/>
      <c r="AD425" s="134"/>
      <c r="AE425" s="134"/>
      <c r="AF425" s="134"/>
      <c r="AG425" s="134"/>
      <c r="AH425" s="134"/>
      <c r="AI425" s="134"/>
      <c r="AJ425" s="134"/>
      <c r="AK425" s="134"/>
      <c r="AL425" s="134"/>
      <c r="AM425" s="134"/>
      <c r="AN425" s="134"/>
      <c r="AO425" s="134"/>
      <c r="AP425" s="134"/>
      <c r="AQ425" s="134"/>
      <c r="AR425" s="134"/>
      <c r="AS425" s="134"/>
      <c r="AT425" s="134"/>
      <c r="AU425" s="134"/>
      <c r="AV425" s="134"/>
      <c r="AW425" s="134"/>
      <c r="AX425" s="134"/>
      <c r="AY425" s="134"/>
      <c r="AZ425" s="134"/>
      <c r="BA425" s="134"/>
      <c r="BB425" s="134"/>
      <c r="BC425" s="134"/>
      <c r="BD425" s="134"/>
      <c r="BE425" s="134"/>
      <c r="BF425" s="134"/>
      <c r="BG425" s="134"/>
      <c r="BH425" s="134"/>
      <c r="BI425" s="134"/>
      <c r="BJ425" s="134"/>
      <c r="BK425" s="134"/>
      <c r="BL425" s="134"/>
      <c r="BM425" s="135"/>
      <c r="BN425" s="136" t="n">
        <f aca="false">+MAX($D$3,DATOS_[[#This Row],[Fecha Inicio Sit. Contract.]])</f>
        <v>0</v>
      </c>
      <c r="BO425" s="136" t="n">
        <f aca="false">+MIN($D$4,DATOS_[[#This Row],[Fecha Fin Sit. Contract.]])</f>
        <v>0</v>
      </c>
      <c r="BP425" s="137" t="n">
        <f aca="false">+DATOS_[[#This Row],[% de jornada]]*IF(DATOS_[[#This Row],[% jornada reducida]]="",1,DATOS_[[#This Row],[% jornada reducida]])</f>
        <v>0</v>
      </c>
      <c r="BQ425" s="137" t="n">
        <f aca="false">+(DATOS_[[#This Row],[F.fin.cal]]-DATOS_[[#This Row],[F.ini.cal]]+1)/($D$4-$D$3+1)</f>
        <v>1</v>
      </c>
      <c r="BR425" s="137" t="str">
        <f aca="false">IF(OR(AND(DATOS_[[#This Row],[Fecha Fin Contrato]]&lt;$D$3,DATOS_[[#This Row],[Fecha Fin Contrato]]&lt;&gt;""),DATOS_[[#This Row],[Fecha de Contratación]]&gt;$D$4),"Fuera","Dentro")</f>
        <v>Dentro</v>
      </c>
      <c r="BS425" s="137" t="str">
        <f aca="false" t="array" ref="BS425:BS425">IF(MAX(IF(DATOS_[id]=DATOS_[[#This Row],[id]],DATOS_[F.fin.cal]))=DATOS_[[#This Row],[F.fin.cal]],"Sí","NO")</f>
        <v>Sí</v>
      </c>
      <c r="BT425" s="137" t="str">
        <f aca="false">IF(AND(DATOS_[[#This Row],[% normaliz]]&lt;&gt;1,DATOS_[[#This Row],[% anualiz]]=1),"Sí","NO")</f>
        <v>Sí</v>
      </c>
      <c r="BU425" s="137" t="str">
        <f aca="false">IF(AND(DATOS_[[#This Row],[% normaliz]]=1,DATOS_[[#This Row],[% anualiz]]&lt;&gt;1),"Sí","NO")</f>
        <v>NO</v>
      </c>
      <c r="BV425" s="137" t="str">
        <f aca="false">IF(AND(DATOS_[[#This Row],[% normaliz]]&lt;&gt;1,DATOS_[[#This Row],[% anualiz]]&lt;&gt;1),"Sí","NO")</f>
        <v>NO</v>
      </c>
      <c r="BW425" s="137" t="str">
        <f aca="false">+IF(DATOS_[[#This Row],[% normaliz]]*DATOS_[[#This Row],[% anualiz]]=1,"NO","Sí")</f>
        <v>Sí</v>
      </c>
      <c r="BX425" s="138" t="e">
        <f aca="false">(DATOS_[[#This Row],[S.BASE]]*(1/DATOS_[[#This Row],[% normaliz]])*(1/DATOS_[[#This Row],[% anualiz]]))*IF(DATOS_[[#This Row],[Check Equiparado]]="Sí",1,0)</f>
        <v>#DIV/0!</v>
      </c>
      <c r="BY4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5" s="138" t="e">
        <f aca="false">+DATOS_[[#This Row],[SALARIO BASE Eq]]+DATOS_[[#This Row],[Tot COMPL.SAL Eq]]</f>
        <v>#DIV/0!</v>
      </c>
      <c r="CA425" s="138" t="e">
        <f aca="false" t="array" ref="CA425:CA4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5" s="138" t="e">
        <f aca="false">+DATOS_[[#This Row],[TOTAL SALARIO Eq]]+DATOS_[[#This Row],[Tot Extrasalarial Eq]]</f>
        <v>#DIV/0!</v>
      </c>
      <c r="CC425" s="139" t="n">
        <f aca="false">DATOS_[[#This Row],[S.BASE]]</f>
        <v>0</v>
      </c>
      <c r="CD425" s="139" t="n">
        <f aca="false">+SUM(DATOS_[[#This Row],[Conc.Sal.01]:[Conc.Sal.30]])</f>
        <v>0</v>
      </c>
      <c r="CE425" s="139" t="n">
        <f aca="false">+DATOS_[[#This Row],[SALARIO BASE Ef]]+DATOS_[[#This Row],[Tot COMPL.SAL Ef]]</f>
        <v>0</v>
      </c>
      <c r="CF425" s="139" t="n">
        <f aca="false">+SUM(DATOS_[[#This Row],[C.Extra.01]:[C.Extra.05]])</f>
        <v>0</v>
      </c>
      <c r="CG425" s="139" t="n">
        <f aca="false">+DATOS_[[#This Row],[TOTAL SALARIO Ef]]+DATOS_[[#This Row],[Tot Extrasalarial Ef]]</f>
        <v>0</v>
      </c>
      <c r="CH425" s="140" t="n">
        <f aca="false">MIN(IF(DATOS_[[#This Row],[Fecha Fin Contrato]]="",$D$4,DATOS_[[#This Row],[Fecha Fin Contrato]]),$D$4)-MAX(DATOS_[[#This Row],[Fecha de Contratación]],$D$3)+1</f>
        <v>1</v>
      </c>
      <c r="CI425" s="141" t="str">
        <f aca="false">IF(COUNTIFS(DATOS_[id],DATOS_[[#This Row],[id]])&gt;1,DATOS_[[#This Row],[id]],"")</f>
        <v/>
      </c>
      <c r="CJ425" s="141" t="n">
        <f aca="false">(Inicio!$G$10-DATOS_[[#This Row],[Fecha Nacimiento]])/365.25</f>
        <v>0</v>
      </c>
      <c r="CK425" s="141" t="n">
        <f aca="false">(Inicio!$G$10-DATOS_[[#This Row],[Fecha de Antigüedad]])/365.25</f>
        <v>0</v>
      </c>
      <c r="CL425" s="141" t="e">
        <f aca="false">+VLOOKUP(DATOS_[[#This Row],[Clave de Contrato]],TblTiposContrato13[],3,0)</f>
        <v>#N/A</v>
      </c>
      <c r="CM425" s="141" t="e">
        <f aca="false">+VLOOKUP(DATOS_[[#This Row],[Clave de Contrato]],TblTiposContrato13[],4,0)</f>
        <v>#N/A</v>
      </c>
      <c r="CN425" s="141" t="str">
        <f aca="false">VLOOKUP(DATOS_[[#This Row],[Edad]],CONTRATOS!TblRngEdad,2,1)</f>
        <v>20  o menos</v>
      </c>
      <c r="CO425" s="141" t="str">
        <f aca="false">VLOOKUP(DATOS_[[#This Row],[Antigüedad]],TblRngAntg14[],2,1)</f>
        <v>0 a 1 años</v>
      </c>
    </row>
    <row r="426" customFormat="false" ht="13.8" hidden="false" customHeight="false" outlineLevel="0" collapsed="false">
      <c r="D426" s="128"/>
      <c r="E426" s="129"/>
      <c r="F426" s="129"/>
      <c r="G426" s="129"/>
      <c r="H426" s="130"/>
      <c r="I426" s="131"/>
      <c r="J426" s="128"/>
      <c r="K426" s="132"/>
      <c r="L426" s="132"/>
      <c r="M426" s="133"/>
      <c r="N426" s="133"/>
      <c r="O426" s="133"/>
      <c r="P426" s="129"/>
      <c r="Z426" s="75"/>
      <c r="AA426" s="76"/>
      <c r="AB426" s="76"/>
      <c r="AC426" s="129"/>
      <c r="AD426" s="134"/>
      <c r="AE426" s="134"/>
      <c r="AF426" s="134"/>
      <c r="AG426" s="134"/>
      <c r="AH426" s="134"/>
      <c r="AI426" s="134"/>
      <c r="AJ426" s="134"/>
      <c r="AK426" s="134"/>
      <c r="AL426" s="134"/>
      <c r="AM426" s="134"/>
      <c r="AN426" s="134"/>
      <c r="AO426" s="134"/>
      <c r="AP426" s="134"/>
      <c r="AQ426" s="134"/>
      <c r="AR426" s="134"/>
      <c r="AS426" s="134"/>
      <c r="AT426" s="134"/>
      <c r="AU426" s="134"/>
      <c r="AV426" s="134"/>
      <c r="AW426" s="134"/>
      <c r="AX426" s="134"/>
      <c r="AY426" s="134"/>
      <c r="AZ426" s="134"/>
      <c r="BA426" s="134"/>
      <c r="BB426" s="134"/>
      <c r="BC426" s="134"/>
      <c r="BD426" s="134"/>
      <c r="BE426" s="134"/>
      <c r="BF426" s="134"/>
      <c r="BG426" s="134"/>
      <c r="BH426" s="134"/>
      <c r="BI426" s="134"/>
      <c r="BJ426" s="134"/>
      <c r="BK426" s="134"/>
      <c r="BL426" s="134"/>
      <c r="BM426" s="135"/>
      <c r="BN426" s="136" t="n">
        <f aca="false">+MAX($D$3,DATOS_[[#This Row],[Fecha Inicio Sit. Contract.]])</f>
        <v>0</v>
      </c>
      <c r="BO426" s="136" t="n">
        <f aca="false">+MIN($D$4,DATOS_[[#This Row],[Fecha Fin Sit. Contract.]])</f>
        <v>0</v>
      </c>
      <c r="BP426" s="137" t="n">
        <f aca="false">+DATOS_[[#This Row],[% de jornada]]*IF(DATOS_[[#This Row],[% jornada reducida]]="",1,DATOS_[[#This Row],[% jornada reducida]])</f>
        <v>0</v>
      </c>
      <c r="BQ426" s="137" t="n">
        <f aca="false">+(DATOS_[[#This Row],[F.fin.cal]]-DATOS_[[#This Row],[F.ini.cal]]+1)/($D$4-$D$3+1)</f>
        <v>1</v>
      </c>
      <c r="BR426" s="137" t="str">
        <f aca="false">IF(OR(AND(DATOS_[[#This Row],[Fecha Fin Contrato]]&lt;$D$3,DATOS_[[#This Row],[Fecha Fin Contrato]]&lt;&gt;""),DATOS_[[#This Row],[Fecha de Contratación]]&gt;$D$4),"Fuera","Dentro")</f>
        <v>Dentro</v>
      </c>
      <c r="BS426" s="137" t="str">
        <f aca="false" t="array" ref="BS426:BS426">IF(MAX(IF(DATOS_[id]=DATOS_[[#This Row],[id]],DATOS_[F.fin.cal]))=DATOS_[[#This Row],[F.fin.cal]],"Sí","NO")</f>
        <v>Sí</v>
      </c>
      <c r="BT426" s="137" t="str">
        <f aca="false">IF(AND(DATOS_[[#This Row],[% normaliz]]&lt;&gt;1,DATOS_[[#This Row],[% anualiz]]=1),"Sí","NO")</f>
        <v>Sí</v>
      </c>
      <c r="BU426" s="137" t="str">
        <f aca="false">IF(AND(DATOS_[[#This Row],[% normaliz]]=1,DATOS_[[#This Row],[% anualiz]]&lt;&gt;1),"Sí","NO")</f>
        <v>NO</v>
      </c>
      <c r="BV426" s="137" t="str">
        <f aca="false">IF(AND(DATOS_[[#This Row],[% normaliz]]&lt;&gt;1,DATOS_[[#This Row],[% anualiz]]&lt;&gt;1),"Sí","NO")</f>
        <v>NO</v>
      </c>
      <c r="BW426" s="137" t="str">
        <f aca="false">+IF(DATOS_[[#This Row],[% normaliz]]*DATOS_[[#This Row],[% anualiz]]=1,"NO","Sí")</f>
        <v>Sí</v>
      </c>
      <c r="BX426" s="138" t="e">
        <f aca="false">(DATOS_[[#This Row],[S.BASE]]*(1/DATOS_[[#This Row],[% normaliz]])*(1/DATOS_[[#This Row],[% anualiz]]))*IF(DATOS_[[#This Row],[Check Equiparado]]="Sí",1,0)</f>
        <v>#DIV/0!</v>
      </c>
      <c r="BY4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6" s="138" t="e">
        <f aca="false">+DATOS_[[#This Row],[SALARIO BASE Eq]]+DATOS_[[#This Row],[Tot COMPL.SAL Eq]]</f>
        <v>#DIV/0!</v>
      </c>
      <c r="CA426" s="138" t="e">
        <f aca="false" t="array" ref="CA426:CA4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6" s="138" t="e">
        <f aca="false">+DATOS_[[#This Row],[TOTAL SALARIO Eq]]+DATOS_[[#This Row],[Tot Extrasalarial Eq]]</f>
        <v>#DIV/0!</v>
      </c>
      <c r="CC426" s="139" t="n">
        <f aca="false">DATOS_[[#This Row],[S.BASE]]</f>
        <v>0</v>
      </c>
      <c r="CD426" s="139" t="n">
        <f aca="false">+SUM(DATOS_[[#This Row],[Conc.Sal.01]:[Conc.Sal.30]])</f>
        <v>0</v>
      </c>
      <c r="CE426" s="139" t="n">
        <f aca="false">+DATOS_[[#This Row],[SALARIO BASE Ef]]+DATOS_[[#This Row],[Tot COMPL.SAL Ef]]</f>
        <v>0</v>
      </c>
      <c r="CF426" s="139" t="n">
        <f aca="false">+SUM(DATOS_[[#This Row],[C.Extra.01]:[C.Extra.05]])</f>
        <v>0</v>
      </c>
      <c r="CG426" s="139" t="n">
        <f aca="false">+DATOS_[[#This Row],[TOTAL SALARIO Ef]]+DATOS_[[#This Row],[Tot Extrasalarial Ef]]</f>
        <v>0</v>
      </c>
      <c r="CH426" s="140" t="n">
        <f aca="false">MIN(IF(DATOS_[[#This Row],[Fecha Fin Contrato]]="",$D$4,DATOS_[[#This Row],[Fecha Fin Contrato]]),$D$4)-MAX(DATOS_[[#This Row],[Fecha de Contratación]],$D$3)+1</f>
        <v>1</v>
      </c>
      <c r="CI426" s="141" t="str">
        <f aca="false">IF(COUNTIFS(DATOS_[id],DATOS_[[#This Row],[id]])&gt;1,DATOS_[[#This Row],[id]],"")</f>
        <v/>
      </c>
      <c r="CJ426" s="141" t="n">
        <f aca="false">(Inicio!$G$10-DATOS_[[#This Row],[Fecha Nacimiento]])/365.25</f>
        <v>0</v>
      </c>
      <c r="CK426" s="141" t="n">
        <f aca="false">(Inicio!$G$10-DATOS_[[#This Row],[Fecha de Antigüedad]])/365.25</f>
        <v>0</v>
      </c>
      <c r="CL426" s="141" t="e">
        <f aca="false">+VLOOKUP(DATOS_[[#This Row],[Clave de Contrato]],TblTiposContrato13[],3,0)</f>
        <v>#N/A</v>
      </c>
      <c r="CM426" s="141" t="e">
        <f aca="false">+VLOOKUP(DATOS_[[#This Row],[Clave de Contrato]],TblTiposContrato13[],4,0)</f>
        <v>#N/A</v>
      </c>
      <c r="CN426" s="141" t="str">
        <f aca="false">VLOOKUP(DATOS_[[#This Row],[Edad]],CONTRATOS!TblRngEdad,2,1)</f>
        <v>20  o menos</v>
      </c>
      <c r="CO426" s="141" t="str">
        <f aca="false">VLOOKUP(DATOS_[[#This Row],[Antigüedad]],TblRngAntg14[],2,1)</f>
        <v>0 a 1 años</v>
      </c>
    </row>
    <row r="427" customFormat="false" ht="13.8" hidden="false" customHeight="false" outlineLevel="0" collapsed="false">
      <c r="D427" s="128"/>
      <c r="E427" s="129"/>
      <c r="F427" s="129"/>
      <c r="G427" s="129"/>
      <c r="H427" s="130"/>
      <c r="I427" s="131"/>
      <c r="J427" s="128"/>
      <c r="K427" s="132"/>
      <c r="L427" s="132"/>
      <c r="M427" s="133"/>
      <c r="N427" s="133"/>
      <c r="O427" s="133"/>
      <c r="P427" s="129"/>
      <c r="Z427" s="75"/>
      <c r="AA427" s="76"/>
      <c r="AB427" s="76"/>
      <c r="AC427" s="129"/>
      <c r="AD427" s="134"/>
      <c r="AE427" s="134"/>
      <c r="AF427" s="134"/>
      <c r="AG427" s="134"/>
      <c r="AH427" s="134"/>
      <c r="AI427" s="134"/>
      <c r="AJ427" s="134"/>
      <c r="AK427" s="134"/>
      <c r="AL427" s="134"/>
      <c r="AM427" s="134"/>
      <c r="AN427" s="134"/>
      <c r="AO427" s="134"/>
      <c r="AP427" s="134"/>
      <c r="AQ427" s="134"/>
      <c r="AR427" s="134"/>
      <c r="AS427" s="134"/>
      <c r="AT427" s="134"/>
      <c r="AU427" s="134"/>
      <c r="AV427" s="134"/>
      <c r="AW427" s="134"/>
      <c r="AX427" s="134"/>
      <c r="AY427" s="134"/>
      <c r="AZ427" s="134"/>
      <c r="BA427" s="134"/>
      <c r="BB427" s="134"/>
      <c r="BC427" s="134"/>
      <c r="BD427" s="134"/>
      <c r="BE427" s="134"/>
      <c r="BF427" s="134"/>
      <c r="BG427" s="134"/>
      <c r="BH427" s="134"/>
      <c r="BI427" s="134"/>
      <c r="BJ427" s="134"/>
      <c r="BK427" s="134"/>
      <c r="BL427" s="134"/>
      <c r="BM427" s="135"/>
      <c r="BN427" s="136" t="n">
        <f aca="false">+MAX($D$3,DATOS_[[#This Row],[Fecha Inicio Sit. Contract.]])</f>
        <v>0</v>
      </c>
      <c r="BO427" s="136" t="n">
        <f aca="false">+MIN($D$4,DATOS_[[#This Row],[Fecha Fin Sit. Contract.]])</f>
        <v>0</v>
      </c>
      <c r="BP427" s="137" t="n">
        <f aca="false">+DATOS_[[#This Row],[% de jornada]]*IF(DATOS_[[#This Row],[% jornada reducida]]="",1,DATOS_[[#This Row],[% jornada reducida]])</f>
        <v>0</v>
      </c>
      <c r="BQ427" s="137" t="n">
        <f aca="false">+(DATOS_[[#This Row],[F.fin.cal]]-DATOS_[[#This Row],[F.ini.cal]]+1)/($D$4-$D$3+1)</f>
        <v>1</v>
      </c>
      <c r="BR427" s="137" t="str">
        <f aca="false">IF(OR(AND(DATOS_[[#This Row],[Fecha Fin Contrato]]&lt;$D$3,DATOS_[[#This Row],[Fecha Fin Contrato]]&lt;&gt;""),DATOS_[[#This Row],[Fecha de Contratación]]&gt;$D$4),"Fuera","Dentro")</f>
        <v>Dentro</v>
      </c>
      <c r="BS427" s="137" t="str">
        <f aca="false" t="array" ref="BS427:BS427">IF(MAX(IF(DATOS_[id]=DATOS_[[#This Row],[id]],DATOS_[F.fin.cal]))=DATOS_[[#This Row],[F.fin.cal]],"Sí","NO")</f>
        <v>Sí</v>
      </c>
      <c r="BT427" s="137" t="str">
        <f aca="false">IF(AND(DATOS_[[#This Row],[% normaliz]]&lt;&gt;1,DATOS_[[#This Row],[% anualiz]]=1),"Sí","NO")</f>
        <v>Sí</v>
      </c>
      <c r="BU427" s="137" t="str">
        <f aca="false">IF(AND(DATOS_[[#This Row],[% normaliz]]=1,DATOS_[[#This Row],[% anualiz]]&lt;&gt;1),"Sí","NO")</f>
        <v>NO</v>
      </c>
      <c r="BV427" s="137" t="str">
        <f aca="false">IF(AND(DATOS_[[#This Row],[% normaliz]]&lt;&gt;1,DATOS_[[#This Row],[% anualiz]]&lt;&gt;1),"Sí","NO")</f>
        <v>NO</v>
      </c>
      <c r="BW427" s="137" t="str">
        <f aca="false">+IF(DATOS_[[#This Row],[% normaliz]]*DATOS_[[#This Row],[% anualiz]]=1,"NO","Sí")</f>
        <v>Sí</v>
      </c>
      <c r="BX427" s="138" t="e">
        <f aca="false">(DATOS_[[#This Row],[S.BASE]]*(1/DATOS_[[#This Row],[% normaliz]])*(1/DATOS_[[#This Row],[% anualiz]]))*IF(DATOS_[[#This Row],[Check Equiparado]]="Sí",1,0)</f>
        <v>#DIV/0!</v>
      </c>
      <c r="BY4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7" s="138" t="e">
        <f aca="false">+DATOS_[[#This Row],[SALARIO BASE Eq]]+DATOS_[[#This Row],[Tot COMPL.SAL Eq]]</f>
        <v>#DIV/0!</v>
      </c>
      <c r="CA427" s="138" t="e">
        <f aca="false" t="array" ref="CA427:CA4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7" s="138" t="e">
        <f aca="false">+DATOS_[[#This Row],[TOTAL SALARIO Eq]]+DATOS_[[#This Row],[Tot Extrasalarial Eq]]</f>
        <v>#DIV/0!</v>
      </c>
      <c r="CC427" s="139" t="n">
        <f aca="false">DATOS_[[#This Row],[S.BASE]]</f>
        <v>0</v>
      </c>
      <c r="CD427" s="139" t="n">
        <f aca="false">+SUM(DATOS_[[#This Row],[Conc.Sal.01]:[Conc.Sal.30]])</f>
        <v>0</v>
      </c>
      <c r="CE427" s="139" t="n">
        <f aca="false">+DATOS_[[#This Row],[SALARIO BASE Ef]]+DATOS_[[#This Row],[Tot COMPL.SAL Ef]]</f>
        <v>0</v>
      </c>
      <c r="CF427" s="139" t="n">
        <f aca="false">+SUM(DATOS_[[#This Row],[C.Extra.01]:[C.Extra.05]])</f>
        <v>0</v>
      </c>
      <c r="CG427" s="139" t="n">
        <f aca="false">+DATOS_[[#This Row],[TOTAL SALARIO Ef]]+DATOS_[[#This Row],[Tot Extrasalarial Ef]]</f>
        <v>0</v>
      </c>
      <c r="CH427" s="140" t="n">
        <f aca="false">MIN(IF(DATOS_[[#This Row],[Fecha Fin Contrato]]="",$D$4,DATOS_[[#This Row],[Fecha Fin Contrato]]),$D$4)-MAX(DATOS_[[#This Row],[Fecha de Contratación]],$D$3)+1</f>
        <v>1</v>
      </c>
      <c r="CI427" s="141" t="str">
        <f aca="false">IF(COUNTIFS(DATOS_[id],DATOS_[[#This Row],[id]])&gt;1,DATOS_[[#This Row],[id]],"")</f>
        <v/>
      </c>
      <c r="CJ427" s="141" t="n">
        <f aca="false">(Inicio!$G$10-DATOS_[[#This Row],[Fecha Nacimiento]])/365.25</f>
        <v>0</v>
      </c>
      <c r="CK427" s="141" t="n">
        <f aca="false">(Inicio!$G$10-DATOS_[[#This Row],[Fecha de Antigüedad]])/365.25</f>
        <v>0</v>
      </c>
      <c r="CL427" s="141" t="e">
        <f aca="false">+VLOOKUP(DATOS_[[#This Row],[Clave de Contrato]],TblTiposContrato13[],3,0)</f>
        <v>#N/A</v>
      </c>
      <c r="CM427" s="141" t="e">
        <f aca="false">+VLOOKUP(DATOS_[[#This Row],[Clave de Contrato]],TblTiposContrato13[],4,0)</f>
        <v>#N/A</v>
      </c>
      <c r="CN427" s="141" t="str">
        <f aca="false">VLOOKUP(DATOS_[[#This Row],[Edad]],CONTRATOS!TblRngEdad,2,1)</f>
        <v>20  o menos</v>
      </c>
      <c r="CO427" s="141" t="str">
        <f aca="false">VLOOKUP(DATOS_[[#This Row],[Antigüedad]],TblRngAntg14[],2,1)</f>
        <v>0 a 1 años</v>
      </c>
    </row>
    <row r="428" customFormat="false" ht="13.8" hidden="false" customHeight="false" outlineLevel="0" collapsed="false">
      <c r="D428" s="128"/>
      <c r="E428" s="129"/>
      <c r="F428" s="129"/>
      <c r="G428" s="129"/>
      <c r="H428" s="130"/>
      <c r="I428" s="131"/>
      <c r="J428" s="128"/>
      <c r="K428" s="132"/>
      <c r="L428" s="132"/>
      <c r="M428" s="133"/>
      <c r="N428" s="133"/>
      <c r="O428" s="133"/>
      <c r="P428" s="129"/>
      <c r="Z428" s="75"/>
      <c r="AA428" s="76"/>
      <c r="AB428" s="76"/>
      <c r="AC428" s="129"/>
      <c r="AD428" s="134"/>
      <c r="AE428" s="134"/>
      <c r="AF428" s="134"/>
      <c r="AG428" s="134"/>
      <c r="AH428" s="134"/>
      <c r="AI428" s="134"/>
      <c r="AJ428" s="134"/>
      <c r="AK428" s="134"/>
      <c r="AL428" s="134"/>
      <c r="AM428" s="134"/>
      <c r="AN428" s="134"/>
      <c r="AO428" s="134"/>
      <c r="AP428" s="134"/>
      <c r="AQ428" s="134"/>
      <c r="AR428" s="134"/>
      <c r="AS428" s="134"/>
      <c r="AT428" s="134"/>
      <c r="AU428" s="134"/>
      <c r="AV428" s="134"/>
      <c r="AW428" s="134"/>
      <c r="AX428" s="134"/>
      <c r="AY428" s="134"/>
      <c r="AZ428" s="134"/>
      <c r="BA428" s="134"/>
      <c r="BB428" s="134"/>
      <c r="BC428" s="134"/>
      <c r="BD428" s="134"/>
      <c r="BE428" s="134"/>
      <c r="BF428" s="134"/>
      <c r="BG428" s="134"/>
      <c r="BH428" s="134"/>
      <c r="BI428" s="134"/>
      <c r="BJ428" s="134"/>
      <c r="BK428" s="134"/>
      <c r="BL428" s="134"/>
      <c r="BM428" s="135"/>
      <c r="BN428" s="136" t="n">
        <f aca="false">+MAX($D$3,DATOS_[[#This Row],[Fecha Inicio Sit. Contract.]])</f>
        <v>0</v>
      </c>
      <c r="BO428" s="136" t="n">
        <f aca="false">+MIN($D$4,DATOS_[[#This Row],[Fecha Fin Sit. Contract.]])</f>
        <v>0</v>
      </c>
      <c r="BP428" s="137" t="n">
        <f aca="false">+DATOS_[[#This Row],[% de jornada]]*IF(DATOS_[[#This Row],[% jornada reducida]]="",1,DATOS_[[#This Row],[% jornada reducida]])</f>
        <v>0</v>
      </c>
      <c r="BQ428" s="137" t="n">
        <f aca="false">+(DATOS_[[#This Row],[F.fin.cal]]-DATOS_[[#This Row],[F.ini.cal]]+1)/($D$4-$D$3+1)</f>
        <v>1</v>
      </c>
      <c r="BR428" s="137" t="str">
        <f aca="false">IF(OR(AND(DATOS_[[#This Row],[Fecha Fin Contrato]]&lt;$D$3,DATOS_[[#This Row],[Fecha Fin Contrato]]&lt;&gt;""),DATOS_[[#This Row],[Fecha de Contratación]]&gt;$D$4),"Fuera","Dentro")</f>
        <v>Dentro</v>
      </c>
      <c r="BS428" s="137" t="str">
        <f aca="false" t="array" ref="BS428:BS428">IF(MAX(IF(DATOS_[id]=DATOS_[[#This Row],[id]],DATOS_[F.fin.cal]))=DATOS_[[#This Row],[F.fin.cal]],"Sí","NO")</f>
        <v>Sí</v>
      </c>
      <c r="BT428" s="137" t="str">
        <f aca="false">IF(AND(DATOS_[[#This Row],[% normaliz]]&lt;&gt;1,DATOS_[[#This Row],[% anualiz]]=1),"Sí","NO")</f>
        <v>Sí</v>
      </c>
      <c r="BU428" s="137" t="str">
        <f aca="false">IF(AND(DATOS_[[#This Row],[% normaliz]]=1,DATOS_[[#This Row],[% anualiz]]&lt;&gt;1),"Sí","NO")</f>
        <v>NO</v>
      </c>
      <c r="BV428" s="137" t="str">
        <f aca="false">IF(AND(DATOS_[[#This Row],[% normaliz]]&lt;&gt;1,DATOS_[[#This Row],[% anualiz]]&lt;&gt;1),"Sí","NO")</f>
        <v>NO</v>
      </c>
      <c r="BW428" s="137" t="str">
        <f aca="false">+IF(DATOS_[[#This Row],[% normaliz]]*DATOS_[[#This Row],[% anualiz]]=1,"NO","Sí")</f>
        <v>Sí</v>
      </c>
      <c r="BX428" s="138" t="e">
        <f aca="false">(DATOS_[[#This Row],[S.BASE]]*(1/DATOS_[[#This Row],[% normaliz]])*(1/DATOS_[[#This Row],[% anualiz]]))*IF(DATOS_[[#This Row],[Check Equiparado]]="Sí",1,0)</f>
        <v>#DIV/0!</v>
      </c>
      <c r="BY4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8" s="138" t="e">
        <f aca="false">+DATOS_[[#This Row],[SALARIO BASE Eq]]+DATOS_[[#This Row],[Tot COMPL.SAL Eq]]</f>
        <v>#DIV/0!</v>
      </c>
      <c r="CA428" s="138" t="e">
        <f aca="false" t="array" ref="CA428:CA4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8" s="138" t="e">
        <f aca="false">+DATOS_[[#This Row],[TOTAL SALARIO Eq]]+DATOS_[[#This Row],[Tot Extrasalarial Eq]]</f>
        <v>#DIV/0!</v>
      </c>
      <c r="CC428" s="139" t="n">
        <f aca="false">DATOS_[[#This Row],[S.BASE]]</f>
        <v>0</v>
      </c>
      <c r="CD428" s="139" t="n">
        <f aca="false">+SUM(DATOS_[[#This Row],[Conc.Sal.01]:[Conc.Sal.30]])</f>
        <v>0</v>
      </c>
      <c r="CE428" s="139" t="n">
        <f aca="false">+DATOS_[[#This Row],[SALARIO BASE Ef]]+DATOS_[[#This Row],[Tot COMPL.SAL Ef]]</f>
        <v>0</v>
      </c>
      <c r="CF428" s="139" t="n">
        <f aca="false">+SUM(DATOS_[[#This Row],[C.Extra.01]:[C.Extra.05]])</f>
        <v>0</v>
      </c>
      <c r="CG428" s="139" t="n">
        <f aca="false">+DATOS_[[#This Row],[TOTAL SALARIO Ef]]+DATOS_[[#This Row],[Tot Extrasalarial Ef]]</f>
        <v>0</v>
      </c>
      <c r="CH428" s="140" t="n">
        <f aca="false">MIN(IF(DATOS_[[#This Row],[Fecha Fin Contrato]]="",$D$4,DATOS_[[#This Row],[Fecha Fin Contrato]]),$D$4)-MAX(DATOS_[[#This Row],[Fecha de Contratación]],$D$3)+1</f>
        <v>1</v>
      </c>
      <c r="CI428" s="141" t="str">
        <f aca="false">IF(COUNTIFS(DATOS_[id],DATOS_[[#This Row],[id]])&gt;1,DATOS_[[#This Row],[id]],"")</f>
        <v/>
      </c>
      <c r="CJ428" s="141" t="n">
        <f aca="false">(Inicio!$G$10-DATOS_[[#This Row],[Fecha Nacimiento]])/365.25</f>
        <v>0</v>
      </c>
      <c r="CK428" s="141" t="n">
        <f aca="false">(Inicio!$G$10-DATOS_[[#This Row],[Fecha de Antigüedad]])/365.25</f>
        <v>0</v>
      </c>
      <c r="CL428" s="141" t="e">
        <f aca="false">+VLOOKUP(DATOS_[[#This Row],[Clave de Contrato]],TblTiposContrato13[],3,0)</f>
        <v>#N/A</v>
      </c>
      <c r="CM428" s="141" t="e">
        <f aca="false">+VLOOKUP(DATOS_[[#This Row],[Clave de Contrato]],TblTiposContrato13[],4,0)</f>
        <v>#N/A</v>
      </c>
      <c r="CN428" s="141" t="str">
        <f aca="false">VLOOKUP(DATOS_[[#This Row],[Edad]],CONTRATOS!TblRngEdad,2,1)</f>
        <v>20  o menos</v>
      </c>
      <c r="CO428" s="141" t="str">
        <f aca="false">VLOOKUP(DATOS_[[#This Row],[Antigüedad]],TblRngAntg14[],2,1)</f>
        <v>0 a 1 años</v>
      </c>
    </row>
    <row r="429" customFormat="false" ht="13.8" hidden="false" customHeight="false" outlineLevel="0" collapsed="false">
      <c r="D429" s="128"/>
      <c r="E429" s="129"/>
      <c r="F429" s="129"/>
      <c r="G429" s="129"/>
      <c r="H429" s="130"/>
      <c r="I429" s="131"/>
      <c r="J429" s="128"/>
      <c r="K429" s="132"/>
      <c r="L429" s="132"/>
      <c r="M429" s="133"/>
      <c r="N429" s="133"/>
      <c r="O429" s="133"/>
      <c r="P429" s="129"/>
      <c r="Z429" s="75"/>
      <c r="AA429" s="76"/>
      <c r="AB429" s="76"/>
      <c r="AC429" s="129"/>
      <c r="AD429" s="134"/>
      <c r="AE429" s="134"/>
      <c r="AF429" s="134"/>
      <c r="AG429" s="134"/>
      <c r="AH429" s="134"/>
      <c r="AI429" s="134"/>
      <c r="AJ429" s="134"/>
      <c r="AK429" s="134"/>
      <c r="AL429" s="134"/>
      <c r="AM429" s="134"/>
      <c r="AN429" s="134"/>
      <c r="AO429" s="134"/>
      <c r="AP429" s="134"/>
      <c r="AQ429" s="134"/>
      <c r="AR429" s="134"/>
      <c r="AS429" s="134"/>
      <c r="AT429" s="134"/>
      <c r="AU429" s="134"/>
      <c r="AV429" s="134"/>
      <c r="AW429" s="134"/>
      <c r="AX429" s="134"/>
      <c r="AY429" s="134"/>
      <c r="AZ429" s="134"/>
      <c r="BA429" s="134"/>
      <c r="BB429" s="134"/>
      <c r="BC429" s="134"/>
      <c r="BD429" s="134"/>
      <c r="BE429" s="134"/>
      <c r="BF429" s="134"/>
      <c r="BG429" s="134"/>
      <c r="BH429" s="134"/>
      <c r="BI429" s="134"/>
      <c r="BJ429" s="134"/>
      <c r="BK429" s="134"/>
      <c r="BL429" s="134"/>
      <c r="BM429" s="135"/>
      <c r="BN429" s="136" t="n">
        <f aca="false">+MAX($D$3,DATOS_[[#This Row],[Fecha Inicio Sit. Contract.]])</f>
        <v>0</v>
      </c>
      <c r="BO429" s="136" t="n">
        <f aca="false">+MIN($D$4,DATOS_[[#This Row],[Fecha Fin Sit. Contract.]])</f>
        <v>0</v>
      </c>
      <c r="BP429" s="137" t="n">
        <f aca="false">+DATOS_[[#This Row],[% de jornada]]*IF(DATOS_[[#This Row],[% jornada reducida]]="",1,DATOS_[[#This Row],[% jornada reducida]])</f>
        <v>0</v>
      </c>
      <c r="BQ429" s="137" t="n">
        <f aca="false">+(DATOS_[[#This Row],[F.fin.cal]]-DATOS_[[#This Row],[F.ini.cal]]+1)/($D$4-$D$3+1)</f>
        <v>1</v>
      </c>
      <c r="BR429" s="137" t="str">
        <f aca="false">IF(OR(AND(DATOS_[[#This Row],[Fecha Fin Contrato]]&lt;$D$3,DATOS_[[#This Row],[Fecha Fin Contrato]]&lt;&gt;""),DATOS_[[#This Row],[Fecha de Contratación]]&gt;$D$4),"Fuera","Dentro")</f>
        <v>Dentro</v>
      </c>
      <c r="BS429" s="137" t="str">
        <f aca="false" t="array" ref="BS429:BS429">IF(MAX(IF(DATOS_[id]=DATOS_[[#This Row],[id]],DATOS_[F.fin.cal]))=DATOS_[[#This Row],[F.fin.cal]],"Sí","NO")</f>
        <v>Sí</v>
      </c>
      <c r="BT429" s="137" t="str">
        <f aca="false">IF(AND(DATOS_[[#This Row],[% normaliz]]&lt;&gt;1,DATOS_[[#This Row],[% anualiz]]=1),"Sí","NO")</f>
        <v>Sí</v>
      </c>
      <c r="BU429" s="137" t="str">
        <f aca="false">IF(AND(DATOS_[[#This Row],[% normaliz]]=1,DATOS_[[#This Row],[% anualiz]]&lt;&gt;1),"Sí","NO")</f>
        <v>NO</v>
      </c>
      <c r="BV429" s="137" t="str">
        <f aca="false">IF(AND(DATOS_[[#This Row],[% normaliz]]&lt;&gt;1,DATOS_[[#This Row],[% anualiz]]&lt;&gt;1),"Sí","NO")</f>
        <v>NO</v>
      </c>
      <c r="BW429" s="137" t="str">
        <f aca="false">+IF(DATOS_[[#This Row],[% normaliz]]*DATOS_[[#This Row],[% anualiz]]=1,"NO","Sí")</f>
        <v>Sí</v>
      </c>
      <c r="BX429" s="138" t="e">
        <f aca="false">(DATOS_[[#This Row],[S.BASE]]*(1/DATOS_[[#This Row],[% normaliz]])*(1/DATOS_[[#This Row],[% anualiz]]))*IF(DATOS_[[#This Row],[Check Equiparado]]="Sí",1,0)</f>
        <v>#DIV/0!</v>
      </c>
      <c r="BY4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9" s="138" t="e">
        <f aca="false">+DATOS_[[#This Row],[SALARIO BASE Eq]]+DATOS_[[#This Row],[Tot COMPL.SAL Eq]]</f>
        <v>#DIV/0!</v>
      </c>
      <c r="CA429" s="138" t="e">
        <f aca="false" t="array" ref="CA429:CA4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9" s="138" t="e">
        <f aca="false">+DATOS_[[#This Row],[TOTAL SALARIO Eq]]+DATOS_[[#This Row],[Tot Extrasalarial Eq]]</f>
        <v>#DIV/0!</v>
      </c>
      <c r="CC429" s="139" t="n">
        <f aca="false">DATOS_[[#This Row],[S.BASE]]</f>
        <v>0</v>
      </c>
      <c r="CD429" s="139" t="n">
        <f aca="false">+SUM(DATOS_[[#This Row],[Conc.Sal.01]:[Conc.Sal.30]])</f>
        <v>0</v>
      </c>
      <c r="CE429" s="139" t="n">
        <f aca="false">+DATOS_[[#This Row],[SALARIO BASE Ef]]+DATOS_[[#This Row],[Tot COMPL.SAL Ef]]</f>
        <v>0</v>
      </c>
      <c r="CF429" s="139" t="n">
        <f aca="false">+SUM(DATOS_[[#This Row],[C.Extra.01]:[C.Extra.05]])</f>
        <v>0</v>
      </c>
      <c r="CG429" s="139" t="n">
        <f aca="false">+DATOS_[[#This Row],[TOTAL SALARIO Ef]]+DATOS_[[#This Row],[Tot Extrasalarial Ef]]</f>
        <v>0</v>
      </c>
      <c r="CH429" s="140" t="n">
        <f aca="false">MIN(IF(DATOS_[[#This Row],[Fecha Fin Contrato]]="",$D$4,DATOS_[[#This Row],[Fecha Fin Contrato]]),$D$4)-MAX(DATOS_[[#This Row],[Fecha de Contratación]],$D$3)+1</f>
        <v>1</v>
      </c>
      <c r="CI429" s="141" t="str">
        <f aca="false">IF(COUNTIFS(DATOS_[id],DATOS_[[#This Row],[id]])&gt;1,DATOS_[[#This Row],[id]],"")</f>
        <v/>
      </c>
      <c r="CJ429" s="141" t="n">
        <f aca="false">(Inicio!$G$10-DATOS_[[#This Row],[Fecha Nacimiento]])/365.25</f>
        <v>0</v>
      </c>
      <c r="CK429" s="141" t="n">
        <f aca="false">(Inicio!$G$10-DATOS_[[#This Row],[Fecha de Antigüedad]])/365.25</f>
        <v>0</v>
      </c>
      <c r="CL429" s="141" t="e">
        <f aca="false">+VLOOKUP(DATOS_[[#This Row],[Clave de Contrato]],TblTiposContrato13[],3,0)</f>
        <v>#N/A</v>
      </c>
      <c r="CM429" s="141" t="e">
        <f aca="false">+VLOOKUP(DATOS_[[#This Row],[Clave de Contrato]],TblTiposContrato13[],4,0)</f>
        <v>#N/A</v>
      </c>
      <c r="CN429" s="141" t="str">
        <f aca="false">VLOOKUP(DATOS_[[#This Row],[Edad]],CONTRATOS!TblRngEdad,2,1)</f>
        <v>20  o menos</v>
      </c>
      <c r="CO429" s="141" t="str">
        <f aca="false">VLOOKUP(DATOS_[[#This Row],[Antigüedad]],TblRngAntg14[],2,1)</f>
        <v>0 a 1 años</v>
      </c>
    </row>
    <row r="430" customFormat="false" ht="13.8" hidden="false" customHeight="false" outlineLevel="0" collapsed="false">
      <c r="D430" s="128"/>
      <c r="E430" s="129"/>
      <c r="F430" s="129"/>
      <c r="G430" s="129"/>
      <c r="H430" s="130"/>
      <c r="I430" s="131"/>
      <c r="J430" s="128"/>
      <c r="K430" s="132"/>
      <c r="L430" s="132"/>
      <c r="M430" s="133"/>
      <c r="N430" s="133"/>
      <c r="O430" s="133"/>
      <c r="P430" s="129"/>
      <c r="Z430" s="75"/>
      <c r="AA430" s="76"/>
      <c r="AB430" s="76"/>
      <c r="AC430" s="129"/>
      <c r="AD430" s="134"/>
      <c r="AE430" s="134"/>
      <c r="AF430" s="134"/>
      <c r="AG430" s="134"/>
      <c r="AH430" s="134"/>
      <c r="AI430" s="134"/>
      <c r="AJ430" s="134"/>
      <c r="AK430" s="134"/>
      <c r="AL430" s="134"/>
      <c r="AM430" s="134"/>
      <c r="AN430" s="134"/>
      <c r="AO430" s="134"/>
      <c r="AP430" s="134"/>
      <c r="AQ430" s="134"/>
      <c r="AR430" s="134"/>
      <c r="AS430" s="134"/>
      <c r="AT430" s="134"/>
      <c r="AU430" s="134"/>
      <c r="AV430" s="134"/>
      <c r="AW430" s="134"/>
      <c r="AX430" s="134"/>
      <c r="AY430" s="134"/>
      <c r="AZ430" s="134"/>
      <c r="BA430" s="134"/>
      <c r="BB430" s="134"/>
      <c r="BC430" s="134"/>
      <c r="BD430" s="134"/>
      <c r="BE430" s="134"/>
      <c r="BF430" s="134"/>
      <c r="BG430" s="134"/>
      <c r="BH430" s="134"/>
      <c r="BI430" s="134"/>
      <c r="BJ430" s="134"/>
      <c r="BK430" s="134"/>
      <c r="BL430" s="134"/>
      <c r="BM430" s="135"/>
      <c r="BN430" s="136" t="n">
        <f aca="false">+MAX($D$3,DATOS_[[#This Row],[Fecha Inicio Sit. Contract.]])</f>
        <v>0</v>
      </c>
      <c r="BO430" s="136" t="n">
        <f aca="false">+MIN($D$4,DATOS_[[#This Row],[Fecha Fin Sit. Contract.]])</f>
        <v>0</v>
      </c>
      <c r="BP430" s="137" t="n">
        <f aca="false">+DATOS_[[#This Row],[% de jornada]]*IF(DATOS_[[#This Row],[% jornada reducida]]="",1,DATOS_[[#This Row],[% jornada reducida]])</f>
        <v>0</v>
      </c>
      <c r="BQ430" s="137" t="n">
        <f aca="false">+(DATOS_[[#This Row],[F.fin.cal]]-DATOS_[[#This Row],[F.ini.cal]]+1)/($D$4-$D$3+1)</f>
        <v>1</v>
      </c>
      <c r="BR430" s="137" t="str">
        <f aca="false">IF(OR(AND(DATOS_[[#This Row],[Fecha Fin Contrato]]&lt;$D$3,DATOS_[[#This Row],[Fecha Fin Contrato]]&lt;&gt;""),DATOS_[[#This Row],[Fecha de Contratación]]&gt;$D$4),"Fuera","Dentro")</f>
        <v>Dentro</v>
      </c>
      <c r="BS430" s="137" t="str">
        <f aca="false" t="array" ref="BS430:BS430">IF(MAX(IF(DATOS_[id]=DATOS_[[#This Row],[id]],DATOS_[F.fin.cal]))=DATOS_[[#This Row],[F.fin.cal]],"Sí","NO")</f>
        <v>Sí</v>
      </c>
      <c r="BT430" s="137" t="str">
        <f aca="false">IF(AND(DATOS_[[#This Row],[% normaliz]]&lt;&gt;1,DATOS_[[#This Row],[% anualiz]]=1),"Sí","NO")</f>
        <v>Sí</v>
      </c>
      <c r="BU430" s="137" t="str">
        <f aca="false">IF(AND(DATOS_[[#This Row],[% normaliz]]=1,DATOS_[[#This Row],[% anualiz]]&lt;&gt;1),"Sí","NO")</f>
        <v>NO</v>
      </c>
      <c r="BV430" s="137" t="str">
        <f aca="false">IF(AND(DATOS_[[#This Row],[% normaliz]]&lt;&gt;1,DATOS_[[#This Row],[% anualiz]]&lt;&gt;1),"Sí","NO")</f>
        <v>NO</v>
      </c>
      <c r="BW430" s="137" t="str">
        <f aca="false">+IF(DATOS_[[#This Row],[% normaliz]]*DATOS_[[#This Row],[% anualiz]]=1,"NO","Sí")</f>
        <v>Sí</v>
      </c>
      <c r="BX430" s="138" t="e">
        <f aca="false">(DATOS_[[#This Row],[S.BASE]]*(1/DATOS_[[#This Row],[% normaliz]])*(1/DATOS_[[#This Row],[% anualiz]]))*IF(DATOS_[[#This Row],[Check Equiparado]]="Sí",1,0)</f>
        <v>#DIV/0!</v>
      </c>
      <c r="BY4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0" s="138" t="e">
        <f aca="false">+DATOS_[[#This Row],[SALARIO BASE Eq]]+DATOS_[[#This Row],[Tot COMPL.SAL Eq]]</f>
        <v>#DIV/0!</v>
      </c>
      <c r="CA430" s="138" t="e">
        <f aca="false" t="array" ref="CA430:CA4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0" s="138" t="e">
        <f aca="false">+DATOS_[[#This Row],[TOTAL SALARIO Eq]]+DATOS_[[#This Row],[Tot Extrasalarial Eq]]</f>
        <v>#DIV/0!</v>
      </c>
      <c r="CC430" s="139" t="n">
        <f aca="false">DATOS_[[#This Row],[S.BASE]]</f>
        <v>0</v>
      </c>
      <c r="CD430" s="139" t="n">
        <f aca="false">+SUM(DATOS_[[#This Row],[Conc.Sal.01]:[Conc.Sal.30]])</f>
        <v>0</v>
      </c>
      <c r="CE430" s="139" t="n">
        <f aca="false">+DATOS_[[#This Row],[SALARIO BASE Ef]]+DATOS_[[#This Row],[Tot COMPL.SAL Ef]]</f>
        <v>0</v>
      </c>
      <c r="CF430" s="139" t="n">
        <f aca="false">+SUM(DATOS_[[#This Row],[C.Extra.01]:[C.Extra.05]])</f>
        <v>0</v>
      </c>
      <c r="CG430" s="139" t="n">
        <f aca="false">+DATOS_[[#This Row],[TOTAL SALARIO Ef]]+DATOS_[[#This Row],[Tot Extrasalarial Ef]]</f>
        <v>0</v>
      </c>
      <c r="CH430" s="140" t="n">
        <f aca="false">MIN(IF(DATOS_[[#This Row],[Fecha Fin Contrato]]="",$D$4,DATOS_[[#This Row],[Fecha Fin Contrato]]),$D$4)-MAX(DATOS_[[#This Row],[Fecha de Contratación]],$D$3)+1</f>
        <v>1</v>
      </c>
      <c r="CI430" s="141" t="str">
        <f aca="false">IF(COUNTIFS(DATOS_[id],DATOS_[[#This Row],[id]])&gt;1,DATOS_[[#This Row],[id]],"")</f>
        <v/>
      </c>
      <c r="CJ430" s="141" t="n">
        <f aca="false">(Inicio!$G$10-DATOS_[[#This Row],[Fecha Nacimiento]])/365.25</f>
        <v>0</v>
      </c>
      <c r="CK430" s="141" t="n">
        <f aca="false">(Inicio!$G$10-DATOS_[[#This Row],[Fecha de Antigüedad]])/365.25</f>
        <v>0</v>
      </c>
      <c r="CL430" s="141" t="e">
        <f aca="false">+VLOOKUP(DATOS_[[#This Row],[Clave de Contrato]],TblTiposContrato13[],3,0)</f>
        <v>#N/A</v>
      </c>
      <c r="CM430" s="141" t="e">
        <f aca="false">+VLOOKUP(DATOS_[[#This Row],[Clave de Contrato]],TblTiposContrato13[],4,0)</f>
        <v>#N/A</v>
      </c>
      <c r="CN430" s="141" t="str">
        <f aca="false">VLOOKUP(DATOS_[[#This Row],[Edad]],CONTRATOS!TblRngEdad,2,1)</f>
        <v>20  o menos</v>
      </c>
      <c r="CO430" s="141" t="str">
        <f aca="false">VLOOKUP(DATOS_[[#This Row],[Antigüedad]],TblRngAntg14[],2,1)</f>
        <v>0 a 1 años</v>
      </c>
    </row>
    <row r="431" customFormat="false" ht="13.8" hidden="false" customHeight="false" outlineLevel="0" collapsed="false">
      <c r="D431" s="128"/>
      <c r="E431" s="129"/>
      <c r="F431" s="129"/>
      <c r="G431" s="129"/>
      <c r="H431" s="130"/>
      <c r="I431" s="131"/>
      <c r="J431" s="128"/>
      <c r="K431" s="132"/>
      <c r="L431" s="132"/>
      <c r="M431" s="133"/>
      <c r="N431" s="133"/>
      <c r="O431" s="133"/>
      <c r="P431" s="129"/>
      <c r="Z431" s="75"/>
      <c r="AA431" s="76"/>
      <c r="AB431" s="76"/>
      <c r="AC431" s="129"/>
      <c r="AD431" s="134"/>
      <c r="AE431" s="134"/>
      <c r="AF431" s="134"/>
      <c r="AG431" s="134"/>
      <c r="AH431" s="134"/>
      <c r="AI431" s="134"/>
      <c r="AJ431" s="134"/>
      <c r="AK431" s="134"/>
      <c r="AL431" s="134"/>
      <c r="AM431" s="134"/>
      <c r="AN431" s="134"/>
      <c r="AO431" s="134"/>
      <c r="AP431" s="134"/>
      <c r="AQ431" s="134"/>
      <c r="AR431" s="134"/>
      <c r="AS431" s="134"/>
      <c r="AT431" s="134"/>
      <c r="AU431" s="134"/>
      <c r="AV431" s="134"/>
      <c r="AW431" s="134"/>
      <c r="AX431" s="134"/>
      <c r="AY431" s="134"/>
      <c r="AZ431" s="134"/>
      <c r="BA431" s="134"/>
      <c r="BB431" s="134"/>
      <c r="BC431" s="134"/>
      <c r="BD431" s="134"/>
      <c r="BE431" s="134"/>
      <c r="BF431" s="134"/>
      <c r="BG431" s="134"/>
      <c r="BH431" s="134"/>
      <c r="BI431" s="134"/>
      <c r="BJ431" s="134"/>
      <c r="BK431" s="134"/>
      <c r="BL431" s="134"/>
      <c r="BM431" s="135"/>
      <c r="BN431" s="136" t="n">
        <f aca="false">+MAX($D$3,DATOS_[[#This Row],[Fecha Inicio Sit. Contract.]])</f>
        <v>0</v>
      </c>
      <c r="BO431" s="136" t="n">
        <f aca="false">+MIN($D$4,DATOS_[[#This Row],[Fecha Fin Sit. Contract.]])</f>
        <v>0</v>
      </c>
      <c r="BP431" s="137" t="n">
        <f aca="false">+DATOS_[[#This Row],[% de jornada]]*IF(DATOS_[[#This Row],[% jornada reducida]]="",1,DATOS_[[#This Row],[% jornada reducida]])</f>
        <v>0</v>
      </c>
      <c r="BQ431" s="137" t="n">
        <f aca="false">+(DATOS_[[#This Row],[F.fin.cal]]-DATOS_[[#This Row],[F.ini.cal]]+1)/($D$4-$D$3+1)</f>
        <v>1</v>
      </c>
      <c r="BR431" s="137" t="str">
        <f aca="false">IF(OR(AND(DATOS_[[#This Row],[Fecha Fin Contrato]]&lt;$D$3,DATOS_[[#This Row],[Fecha Fin Contrato]]&lt;&gt;""),DATOS_[[#This Row],[Fecha de Contratación]]&gt;$D$4),"Fuera","Dentro")</f>
        <v>Dentro</v>
      </c>
      <c r="BS431" s="137" t="str">
        <f aca="false" t="array" ref="BS431:BS431">IF(MAX(IF(DATOS_[id]=DATOS_[[#This Row],[id]],DATOS_[F.fin.cal]))=DATOS_[[#This Row],[F.fin.cal]],"Sí","NO")</f>
        <v>Sí</v>
      </c>
      <c r="BT431" s="137" t="str">
        <f aca="false">IF(AND(DATOS_[[#This Row],[% normaliz]]&lt;&gt;1,DATOS_[[#This Row],[% anualiz]]=1),"Sí","NO")</f>
        <v>Sí</v>
      </c>
      <c r="BU431" s="137" t="str">
        <f aca="false">IF(AND(DATOS_[[#This Row],[% normaliz]]=1,DATOS_[[#This Row],[% anualiz]]&lt;&gt;1),"Sí","NO")</f>
        <v>NO</v>
      </c>
      <c r="BV431" s="137" t="str">
        <f aca="false">IF(AND(DATOS_[[#This Row],[% normaliz]]&lt;&gt;1,DATOS_[[#This Row],[% anualiz]]&lt;&gt;1),"Sí","NO")</f>
        <v>NO</v>
      </c>
      <c r="BW431" s="137" t="str">
        <f aca="false">+IF(DATOS_[[#This Row],[% normaliz]]*DATOS_[[#This Row],[% anualiz]]=1,"NO","Sí")</f>
        <v>Sí</v>
      </c>
      <c r="BX431" s="138" t="e">
        <f aca="false">(DATOS_[[#This Row],[S.BASE]]*(1/DATOS_[[#This Row],[% normaliz]])*(1/DATOS_[[#This Row],[% anualiz]]))*IF(DATOS_[[#This Row],[Check Equiparado]]="Sí",1,0)</f>
        <v>#DIV/0!</v>
      </c>
      <c r="BY4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1" s="138" t="e">
        <f aca="false">+DATOS_[[#This Row],[SALARIO BASE Eq]]+DATOS_[[#This Row],[Tot COMPL.SAL Eq]]</f>
        <v>#DIV/0!</v>
      </c>
      <c r="CA431" s="138" t="e">
        <f aca="false" t="array" ref="CA431:CA4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1" s="138" t="e">
        <f aca="false">+DATOS_[[#This Row],[TOTAL SALARIO Eq]]+DATOS_[[#This Row],[Tot Extrasalarial Eq]]</f>
        <v>#DIV/0!</v>
      </c>
      <c r="CC431" s="139" t="n">
        <f aca="false">DATOS_[[#This Row],[S.BASE]]</f>
        <v>0</v>
      </c>
      <c r="CD431" s="139" t="n">
        <f aca="false">+SUM(DATOS_[[#This Row],[Conc.Sal.01]:[Conc.Sal.30]])</f>
        <v>0</v>
      </c>
      <c r="CE431" s="139" t="n">
        <f aca="false">+DATOS_[[#This Row],[SALARIO BASE Ef]]+DATOS_[[#This Row],[Tot COMPL.SAL Ef]]</f>
        <v>0</v>
      </c>
      <c r="CF431" s="139" t="n">
        <f aca="false">+SUM(DATOS_[[#This Row],[C.Extra.01]:[C.Extra.05]])</f>
        <v>0</v>
      </c>
      <c r="CG431" s="139" t="n">
        <f aca="false">+DATOS_[[#This Row],[TOTAL SALARIO Ef]]+DATOS_[[#This Row],[Tot Extrasalarial Ef]]</f>
        <v>0</v>
      </c>
      <c r="CH431" s="140" t="n">
        <f aca="false">MIN(IF(DATOS_[[#This Row],[Fecha Fin Contrato]]="",$D$4,DATOS_[[#This Row],[Fecha Fin Contrato]]),$D$4)-MAX(DATOS_[[#This Row],[Fecha de Contratación]],$D$3)+1</f>
        <v>1</v>
      </c>
      <c r="CI431" s="141" t="str">
        <f aca="false">IF(COUNTIFS(DATOS_[id],DATOS_[[#This Row],[id]])&gt;1,DATOS_[[#This Row],[id]],"")</f>
        <v/>
      </c>
      <c r="CJ431" s="141" t="n">
        <f aca="false">(Inicio!$G$10-DATOS_[[#This Row],[Fecha Nacimiento]])/365.25</f>
        <v>0</v>
      </c>
      <c r="CK431" s="141" t="n">
        <f aca="false">(Inicio!$G$10-DATOS_[[#This Row],[Fecha de Antigüedad]])/365.25</f>
        <v>0</v>
      </c>
      <c r="CL431" s="141" t="e">
        <f aca="false">+VLOOKUP(DATOS_[[#This Row],[Clave de Contrato]],TblTiposContrato13[],3,0)</f>
        <v>#N/A</v>
      </c>
      <c r="CM431" s="141" t="e">
        <f aca="false">+VLOOKUP(DATOS_[[#This Row],[Clave de Contrato]],TblTiposContrato13[],4,0)</f>
        <v>#N/A</v>
      </c>
      <c r="CN431" s="141" t="str">
        <f aca="false">VLOOKUP(DATOS_[[#This Row],[Edad]],CONTRATOS!TblRngEdad,2,1)</f>
        <v>20  o menos</v>
      </c>
      <c r="CO431" s="141" t="str">
        <f aca="false">VLOOKUP(DATOS_[[#This Row],[Antigüedad]],TblRngAntg14[],2,1)</f>
        <v>0 a 1 años</v>
      </c>
    </row>
    <row r="432" customFormat="false" ht="13.8" hidden="false" customHeight="false" outlineLevel="0" collapsed="false">
      <c r="D432" s="128"/>
      <c r="E432" s="129"/>
      <c r="F432" s="129"/>
      <c r="G432" s="129"/>
      <c r="H432" s="130"/>
      <c r="I432" s="131"/>
      <c r="J432" s="128"/>
      <c r="K432" s="132"/>
      <c r="L432" s="132"/>
      <c r="M432" s="133"/>
      <c r="N432" s="133"/>
      <c r="O432" s="133"/>
      <c r="P432" s="129"/>
      <c r="Z432" s="75"/>
      <c r="AA432" s="76"/>
      <c r="AB432" s="76"/>
      <c r="AC432" s="129"/>
      <c r="AD432" s="134"/>
      <c r="AE432" s="134"/>
      <c r="AF432" s="134"/>
      <c r="AG432" s="134"/>
      <c r="AH432" s="134"/>
      <c r="AI432" s="134"/>
      <c r="AJ432" s="134"/>
      <c r="AK432" s="134"/>
      <c r="AL432" s="134"/>
      <c r="AM432" s="134"/>
      <c r="AN432" s="134"/>
      <c r="AO432" s="134"/>
      <c r="AP432" s="134"/>
      <c r="AQ432" s="134"/>
      <c r="AR432" s="134"/>
      <c r="AS432" s="134"/>
      <c r="AT432" s="134"/>
      <c r="AU432" s="134"/>
      <c r="AV432" s="134"/>
      <c r="AW432" s="134"/>
      <c r="AX432" s="134"/>
      <c r="AY432" s="134"/>
      <c r="AZ432" s="134"/>
      <c r="BA432" s="134"/>
      <c r="BB432" s="134"/>
      <c r="BC432" s="134"/>
      <c r="BD432" s="134"/>
      <c r="BE432" s="134"/>
      <c r="BF432" s="134"/>
      <c r="BG432" s="134"/>
      <c r="BH432" s="134"/>
      <c r="BI432" s="134"/>
      <c r="BJ432" s="134"/>
      <c r="BK432" s="134"/>
      <c r="BL432" s="134"/>
      <c r="BM432" s="135"/>
      <c r="BN432" s="136" t="n">
        <f aca="false">+MAX($D$3,DATOS_[[#This Row],[Fecha Inicio Sit. Contract.]])</f>
        <v>0</v>
      </c>
      <c r="BO432" s="136" t="n">
        <f aca="false">+MIN($D$4,DATOS_[[#This Row],[Fecha Fin Sit. Contract.]])</f>
        <v>0</v>
      </c>
      <c r="BP432" s="137" t="n">
        <f aca="false">+DATOS_[[#This Row],[% de jornada]]*IF(DATOS_[[#This Row],[% jornada reducida]]="",1,DATOS_[[#This Row],[% jornada reducida]])</f>
        <v>0</v>
      </c>
      <c r="BQ432" s="137" t="n">
        <f aca="false">+(DATOS_[[#This Row],[F.fin.cal]]-DATOS_[[#This Row],[F.ini.cal]]+1)/($D$4-$D$3+1)</f>
        <v>1</v>
      </c>
      <c r="BR432" s="137" t="str">
        <f aca="false">IF(OR(AND(DATOS_[[#This Row],[Fecha Fin Contrato]]&lt;$D$3,DATOS_[[#This Row],[Fecha Fin Contrato]]&lt;&gt;""),DATOS_[[#This Row],[Fecha de Contratación]]&gt;$D$4),"Fuera","Dentro")</f>
        <v>Dentro</v>
      </c>
      <c r="BS432" s="137" t="str">
        <f aca="false" t="array" ref="BS432:BS432">IF(MAX(IF(DATOS_[id]=DATOS_[[#This Row],[id]],DATOS_[F.fin.cal]))=DATOS_[[#This Row],[F.fin.cal]],"Sí","NO")</f>
        <v>Sí</v>
      </c>
      <c r="BT432" s="137" t="str">
        <f aca="false">IF(AND(DATOS_[[#This Row],[% normaliz]]&lt;&gt;1,DATOS_[[#This Row],[% anualiz]]=1),"Sí","NO")</f>
        <v>Sí</v>
      </c>
      <c r="BU432" s="137" t="str">
        <f aca="false">IF(AND(DATOS_[[#This Row],[% normaliz]]=1,DATOS_[[#This Row],[% anualiz]]&lt;&gt;1),"Sí","NO")</f>
        <v>NO</v>
      </c>
      <c r="BV432" s="137" t="str">
        <f aca="false">IF(AND(DATOS_[[#This Row],[% normaliz]]&lt;&gt;1,DATOS_[[#This Row],[% anualiz]]&lt;&gt;1),"Sí","NO")</f>
        <v>NO</v>
      </c>
      <c r="BW432" s="137" t="str">
        <f aca="false">+IF(DATOS_[[#This Row],[% normaliz]]*DATOS_[[#This Row],[% anualiz]]=1,"NO","Sí")</f>
        <v>Sí</v>
      </c>
      <c r="BX432" s="138" t="e">
        <f aca="false">(DATOS_[[#This Row],[S.BASE]]*(1/DATOS_[[#This Row],[% normaliz]])*(1/DATOS_[[#This Row],[% anualiz]]))*IF(DATOS_[[#This Row],[Check Equiparado]]="Sí",1,0)</f>
        <v>#DIV/0!</v>
      </c>
      <c r="BY4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2" s="138" t="e">
        <f aca="false">+DATOS_[[#This Row],[SALARIO BASE Eq]]+DATOS_[[#This Row],[Tot COMPL.SAL Eq]]</f>
        <v>#DIV/0!</v>
      </c>
      <c r="CA432" s="138" t="e">
        <f aca="false" t="array" ref="CA432:CA4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2" s="138" t="e">
        <f aca="false">+DATOS_[[#This Row],[TOTAL SALARIO Eq]]+DATOS_[[#This Row],[Tot Extrasalarial Eq]]</f>
        <v>#DIV/0!</v>
      </c>
      <c r="CC432" s="139" t="n">
        <f aca="false">DATOS_[[#This Row],[S.BASE]]</f>
        <v>0</v>
      </c>
      <c r="CD432" s="139" t="n">
        <f aca="false">+SUM(DATOS_[[#This Row],[Conc.Sal.01]:[Conc.Sal.30]])</f>
        <v>0</v>
      </c>
      <c r="CE432" s="139" t="n">
        <f aca="false">+DATOS_[[#This Row],[SALARIO BASE Ef]]+DATOS_[[#This Row],[Tot COMPL.SAL Ef]]</f>
        <v>0</v>
      </c>
      <c r="CF432" s="139" t="n">
        <f aca="false">+SUM(DATOS_[[#This Row],[C.Extra.01]:[C.Extra.05]])</f>
        <v>0</v>
      </c>
      <c r="CG432" s="139" t="n">
        <f aca="false">+DATOS_[[#This Row],[TOTAL SALARIO Ef]]+DATOS_[[#This Row],[Tot Extrasalarial Ef]]</f>
        <v>0</v>
      </c>
      <c r="CH432" s="140" t="n">
        <f aca="false">MIN(IF(DATOS_[[#This Row],[Fecha Fin Contrato]]="",$D$4,DATOS_[[#This Row],[Fecha Fin Contrato]]),$D$4)-MAX(DATOS_[[#This Row],[Fecha de Contratación]],$D$3)+1</f>
        <v>1</v>
      </c>
      <c r="CI432" s="141" t="str">
        <f aca="false">IF(COUNTIFS(DATOS_[id],DATOS_[[#This Row],[id]])&gt;1,DATOS_[[#This Row],[id]],"")</f>
        <v/>
      </c>
      <c r="CJ432" s="141" t="n">
        <f aca="false">(Inicio!$G$10-DATOS_[[#This Row],[Fecha Nacimiento]])/365.25</f>
        <v>0</v>
      </c>
      <c r="CK432" s="141" t="n">
        <f aca="false">(Inicio!$G$10-DATOS_[[#This Row],[Fecha de Antigüedad]])/365.25</f>
        <v>0</v>
      </c>
      <c r="CL432" s="141" t="e">
        <f aca="false">+VLOOKUP(DATOS_[[#This Row],[Clave de Contrato]],TblTiposContrato13[],3,0)</f>
        <v>#N/A</v>
      </c>
      <c r="CM432" s="141" t="e">
        <f aca="false">+VLOOKUP(DATOS_[[#This Row],[Clave de Contrato]],TblTiposContrato13[],4,0)</f>
        <v>#N/A</v>
      </c>
      <c r="CN432" s="141" t="str">
        <f aca="false">VLOOKUP(DATOS_[[#This Row],[Edad]],CONTRATOS!TblRngEdad,2,1)</f>
        <v>20  o menos</v>
      </c>
      <c r="CO432" s="141" t="str">
        <f aca="false">VLOOKUP(DATOS_[[#This Row],[Antigüedad]],TblRngAntg14[],2,1)</f>
        <v>0 a 1 años</v>
      </c>
    </row>
    <row r="433" customFormat="false" ht="13.8" hidden="false" customHeight="false" outlineLevel="0" collapsed="false">
      <c r="D433" s="128"/>
      <c r="E433" s="129"/>
      <c r="F433" s="129"/>
      <c r="G433" s="129"/>
      <c r="H433" s="130"/>
      <c r="I433" s="131"/>
      <c r="J433" s="128"/>
      <c r="K433" s="132"/>
      <c r="L433" s="132"/>
      <c r="M433" s="133"/>
      <c r="N433" s="133"/>
      <c r="O433" s="133"/>
      <c r="P433" s="129"/>
      <c r="Z433" s="75"/>
      <c r="AA433" s="76"/>
      <c r="AB433" s="76"/>
      <c r="AC433" s="129"/>
      <c r="AD433" s="134"/>
      <c r="AE433" s="134"/>
      <c r="AF433" s="134"/>
      <c r="AG433" s="134"/>
      <c r="AH433" s="134"/>
      <c r="AI433" s="134"/>
      <c r="AJ433" s="134"/>
      <c r="AK433" s="134"/>
      <c r="AL433" s="134"/>
      <c r="AM433" s="134"/>
      <c r="AN433" s="134"/>
      <c r="AO433" s="134"/>
      <c r="AP433" s="134"/>
      <c r="AQ433" s="134"/>
      <c r="AR433" s="134"/>
      <c r="AS433" s="134"/>
      <c r="AT433" s="134"/>
      <c r="AU433" s="134"/>
      <c r="AV433" s="134"/>
      <c r="AW433" s="134"/>
      <c r="AX433" s="134"/>
      <c r="AY433" s="134"/>
      <c r="AZ433" s="134"/>
      <c r="BA433" s="134"/>
      <c r="BB433" s="134"/>
      <c r="BC433" s="134"/>
      <c r="BD433" s="134"/>
      <c r="BE433" s="134"/>
      <c r="BF433" s="134"/>
      <c r="BG433" s="134"/>
      <c r="BH433" s="134"/>
      <c r="BI433" s="134"/>
      <c r="BJ433" s="134"/>
      <c r="BK433" s="134"/>
      <c r="BL433" s="134"/>
      <c r="BM433" s="135"/>
      <c r="BN433" s="136" t="n">
        <f aca="false">+MAX($D$3,DATOS_[[#This Row],[Fecha Inicio Sit. Contract.]])</f>
        <v>0</v>
      </c>
      <c r="BO433" s="136" t="n">
        <f aca="false">+MIN($D$4,DATOS_[[#This Row],[Fecha Fin Sit. Contract.]])</f>
        <v>0</v>
      </c>
      <c r="BP433" s="137" t="n">
        <f aca="false">+DATOS_[[#This Row],[% de jornada]]*IF(DATOS_[[#This Row],[% jornada reducida]]="",1,DATOS_[[#This Row],[% jornada reducida]])</f>
        <v>0</v>
      </c>
      <c r="BQ433" s="137" t="n">
        <f aca="false">+(DATOS_[[#This Row],[F.fin.cal]]-DATOS_[[#This Row],[F.ini.cal]]+1)/($D$4-$D$3+1)</f>
        <v>1</v>
      </c>
      <c r="BR433" s="137" t="str">
        <f aca="false">IF(OR(AND(DATOS_[[#This Row],[Fecha Fin Contrato]]&lt;$D$3,DATOS_[[#This Row],[Fecha Fin Contrato]]&lt;&gt;""),DATOS_[[#This Row],[Fecha de Contratación]]&gt;$D$4),"Fuera","Dentro")</f>
        <v>Dentro</v>
      </c>
      <c r="BS433" s="137" t="str">
        <f aca="false" t="array" ref="BS433:BS433">IF(MAX(IF(DATOS_[id]=DATOS_[[#This Row],[id]],DATOS_[F.fin.cal]))=DATOS_[[#This Row],[F.fin.cal]],"Sí","NO")</f>
        <v>Sí</v>
      </c>
      <c r="BT433" s="137" t="str">
        <f aca="false">IF(AND(DATOS_[[#This Row],[% normaliz]]&lt;&gt;1,DATOS_[[#This Row],[% anualiz]]=1),"Sí","NO")</f>
        <v>Sí</v>
      </c>
      <c r="BU433" s="137" t="str">
        <f aca="false">IF(AND(DATOS_[[#This Row],[% normaliz]]=1,DATOS_[[#This Row],[% anualiz]]&lt;&gt;1),"Sí","NO")</f>
        <v>NO</v>
      </c>
      <c r="BV433" s="137" t="str">
        <f aca="false">IF(AND(DATOS_[[#This Row],[% normaliz]]&lt;&gt;1,DATOS_[[#This Row],[% anualiz]]&lt;&gt;1),"Sí","NO")</f>
        <v>NO</v>
      </c>
      <c r="BW433" s="137" t="str">
        <f aca="false">+IF(DATOS_[[#This Row],[% normaliz]]*DATOS_[[#This Row],[% anualiz]]=1,"NO","Sí")</f>
        <v>Sí</v>
      </c>
      <c r="BX433" s="138" t="e">
        <f aca="false">(DATOS_[[#This Row],[S.BASE]]*(1/DATOS_[[#This Row],[% normaliz]])*(1/DATOS_[[#This Row],[% anualiz]]))*IF(DATOS_[[#This Row],[Check Equiparado]]="Sí",1,0)</f>
        <v>#DIV/0!</v>
      </c>
      <c r="BY4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3" s="138" t="e">
        <f aca="false">+DATOS_[[#This Row],[SALARIO BASE Eq]]+DATOS_[[#This Row],[Tot COMPL.SAL Eq]]</f>
        <v>#DIV/0!</v>
      </c>
      <c r="CA433" s="138" t="e">
        <f aca="false" t="array" ref="CA433:CA4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3" s="138" t="e">
        <f aca="false">+DATOS_[[#This Row],[TOTAL SALARIO Eq]]+DATOS_[[#This Row],[Tot Extrasalarial Eq]]</f>
        <v>#DIV/0!</v>
      </c>
      <c r="CC433" s="139" t="n">
        <f aca="false">DATOS_[[#This Row],[S.BASE]]</f>
        <v>0</v>
      </c>
      <c r="CD433" s="139" t="n">
        <f aca="false">+SUM(DATOS_[[#This Row],[Conc.Sal.01]:[Conc.Sal.30]])</f>
        <v>0</v>
      </c>
      <c r="CE433" s="139" t="n">
        <f aca="false">+DATOS_[[#This Row],[SALARIO BASE Ef]]+DATOS_[[#This Row],[Tot COMPL.SAL Ef]]</f>
        <v>0</v>
      </c>
      <c r="CF433" s="139" t="n">
        <f aca="false">+SUM(DATOS_[[#This Row],[C.Extra.01]:[C.Extra.05]])</f>
        <v>0</v>
      </c>
      <c r="CG433" s="139" t="n">
        <f aca="false">+DATOS_[[#This Row],[TOTAL SALARIO Ef]]+DATOS_[[#This Row],[Tot Extrasalarial Ef]]</f>
        <v>0</v>
      </c>
      <c r="CH433" s="140" t="n">
        <f aca="false">MIN(IF(DATOS_[[#This Row],[Fecha Fin Contrato]]="",$D$4,DATOS_[[#This Row],[Fecha Fin Contrato]]),$D$4)-MAX(DATOS_[[#This Row],[Fecha de Contratación]],$D$3)+1</f>
        <v>1</v>
      </c>
      <c r="CI433" s="141" t="str">
        <f aca="false">IF(COUNTIFS(DATOS_[id],DATOS_[[#This Row],[id]])&gt;1,DATOS_[[#This Row],[id]],"")</f>
        <v/>
      </c>
      <c r="CJ433" s="141" t="n">
        <f aca="false">(Inicio!$G$10-DATOS_[[#This Row],[Fecha Nacimiento]])/365.25</f>
        <v>0</v>
      </c>
      <c r="CK433" s="141" t="n">
        <f aca="false">(Inicio!$G$10-DATOS_[[#This Row],[Fecha de Antigüedad]])/365.25</f>
        <v>0</v>
      </c>
      <c r="CL433" s="141" t="e">
        <f aca="false">+VLOOKUP(DATOS_[[#This Row],[Clave de Contrato]],TblTiposContrato13[],3,0)</f>
        <v>#N/A</v>
      </c>
      <c r="CM433" s="141" t="e">
        <f aca="false">+VLOOKUP(DATOS_[[#This Row],[Clave de Contrato]],TblTiposContrato13[],4,0)</f>
        <v>#N/A</v>
      </c>
      <c r="CN433" s="141" t="str">
        <f aca="false">VLOOKUP(DATOS_[[#This Row],[Edad]],CONTRATOS!TblRngEdad,2,1)</f>
        <v>20  o menos</v>
      </c>
      <c r="CO433" s="141" t="str">
        <f aca="false">VLOOKUP(DATOS_[[#This Row],[Antigüedad]],TblRngAntg14[],2,1)</f>
        <v>0 a 1 años</v>
      </c>
    </row>
    <row r="434" customFormat="false" ht="13.8" hidden="false" customHeight="false" outlineLevel="0" collapsed="false">
      <c r="D434" s="128"/>
      <c r="E434" s="129"/>
      <c r="F434" s="129"/>
      <c r="G434" s="129"/>
      <c r="H434" s="130"/>
      <c r="I434" s="131"/>
      <c r="J434" s="128"/>
      <c r="K434" s="132"/>
      <c r="L434" s="132"/>
      <c r="M434" s="133"/>
      <c r="N434" s="133"/>
      <c r="O434" s="133"/>
      <c r="P434" s="129"/>
      <c r="Z434" s="75"/>
      <c r="AA434" s="76"/>
      <c r="AB434" s="76"/>
      <c r="AC434" s="129"/>
      <c r="AD434" s="134"/>
      <c r="AE434" s="134"/>
      <c r="AF434" s="134"/>
      <c r="AG434" s="134"/>
      <c r="AH434" s="134"/>
      <c r="AI434" s="134"/>
      <c r="AJ434" s="134"/>
      <c r="AK434" s="134"/>
      <c r="AL434" s="134"/>
      <c r="AM434" s="134"/>
      <c r="AN434" s="134"/>
      <c r="AO434" s="134"/>
      <c r="AP434" s="134"/>
      <c r="AQ434" s="134"/>
      <c r="AR434" s="134"/>
      <c r="AS434" s="134"/>
      <c r="AT434" s="134"/>
      <c r="AU434" s="134"/>
      <c r="AV434" s="134"/>
      <c r="AW434" s="134"/>
      <c r="AX434" s="134"/>
      <c r="AY434" s="134"/>
      <c r="AZ434" s="134"/>
      <c r="BA434" s="134"/>
      <c r="BB434" s="134"/>
      <c r="BC434" s="134"/>
      <c r="BD434" s="134"/>
      <c r="BE434" s="134"/>
      <c r="BF434" s="134"/>
      <c r="BG434" s="134"/>
      <c r="BH434" s="134"/>
      <c r="BI434" s="134"/>
      <c r="BJ434" s="134"/>
      <c r="BK434" s="134"/>
      <c r="BL434" s="134"/>
      <c r="BM434" s="135"/>
      <c r="BN434" s="136" t="n">
        <f aca="false">+MAX($D$3,DATOS_[[#This Row],[Fecha Inicio Sit. Contract.]])</f>
        <v>0</v>
      </c>
      <c r="BO434" s="136" t="n">
        <f aca="false">+MIN($D$4,DATOS_[[#This Row],[Fecha Fin Sit. Contract.]])</f>
        <v>0</v>
      </c>
      <c r="BP434" s="137" t="n">
        <f aca="false">+DATOS_[[#This Row],[% de jornada]]*IF(DATOS_[[#This Row],[% jornada reducida]]="",1,DATOS_[[#This Row],[% jornada reducida]])</f>
        <v>0</v>
      </c>
      <c r="BQ434" s="137" t="n">
        <f aca="false">+(DATOS_[[#This Row],[F.fin.cal]]-DATOS_[[#This Row],[F.ini.cal]]+1)/($D$4-$D$3+1)</f>
        <v>1</v>
      </c>
      <c r="BR434" s="137" t="str">
        <f aca="false">IF(OR(AND(DATOS_[[#This Row],[Fecha Fin Contrato]]&lt;$D$3,DATOS_[[#This Row],[Fecha Fin Contrato]]&lt;&gt;""),DATOS_[[#This Row],[Fecha de Contratación]]&gt;$D$4),"Fuera","Dentro")</f>
        <v>Dentro</v>
      </c>
      <c r="BS434" s="137" t="str">
        <f aca="false" t="array" ref="BS434:BS434">IF(MAX(IF(DATOS_[id]=DATOS_[[#This Row],[id]],DATOS_[F.fin.cal]))=DATOS_[[#This Row],[F.fin.cal]],"Sí","NO")</f>
        <v>Sí</v>
      </c>
      <c r="BT434" s="137" t="str">
        <f aca="false">IF(AND(DATOS_[[#This Row],[% normaliz]]&lt;&gt;1,DATOS_[[#This Row],[% anualiz]]=1),"Sí","NO")</f>
        <v>Sí</v>
      </c>
      <c r="BU434" s="137" t="str">
        <f aca="false">IF(AND(DATOS_[[#This Row],[% normaliz]]=1,DATOS_[[#This Row],[% anualiz]]&lt;&gt;1),"Sí","NO")</f>
        <v>NO</v>
      </c>
      <c r="BV434" s="137" t="str">
        <f aca="false">IF(AND(DATOS_[[#This Row],[% normaliz]]&lt;&gt;1,DATOS_[[#This Row],[% anualiz]]&lt;&gt;1),"Sí","NO")</f>
        <v>NO</v>
      </c>
      <c r="BW434" s="137" t="str">
        <f aca="false">+IF(DATOS_[[#This Row],[% normaliz]]*DATOS_[[#This Row],[% anualiz]]=1,"NO","Sí")</f>
        <v>Sí</v>
      </c>
      <c r="BX434" s="138" t="e">
        <f aca="false">(DATOS_[[#This Row],[S.BASE]]*(1/DATOS_[[#This Row],[% normaliz]])*(1/DATOS_[[#This Row],[% anualiz]]))*IF(DATOS_[[#This Row],[Check Equiparado]]="Sí",1,0)</f>
        <v>#DIV/0!</v>
      </c>
      <c r="BY4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4" s="138" t="e">
        <f aca="false">+DATOS_[[#This Row],[SALARIO BASE Eq]]+DATOS_[[#This Row],[Tot COMPL.SAL Eq]]</f>
        <v>#DIV/0!</v>
      </c>
      <c r="CA434" s="138" t="e">
        <f aca="false" t="array" ref="CA434:CA4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4" s="138" t="e">
        <f aca="false">+DATOS_[[#This Row],[TOTAL SALARIO Eq]]+DATOS_[[#This Row],[Tot Extrasalarial Eq]]</f>
        <v>#DIV/0!</v>
      </c>
      <c r="CC434" s="139" t="n">
        <f aca="false">DATOS_[[#This Row],[S.BASE]]</f>
        <v>0</v>
      </c>
      <c r="CD434" s="139" t="n">
        <f aca="false">+SUM(DATOS_[[#This Row],[Conc.Sal.01]:[Conc.Sal.30]])</f>
        <v>0</v>
      </c>
      <c r="CE434" s="139" t="n">
        <f aca="false">+DATOS_[[#This Row],[SALARIO BASE Ef]]+DATOS_[[#This Row],[Tot COMPL.SAL Ef]]</f>
        <v>0</v>
      </c>
      <c r="CF434" s="139" t="n">
        <f aca="false">+SUM(DATOS_[[#This Row],[C.Extra.01]:[C.Extra.05]])</f>
        <v>0</v>
      </c>
      <c r="CG434" s="139" t="n">
        <f aca="false">+DATOS_[[#This Row],[TOTAL SALARIO Ef]]+DATOS_[[#This Row],[Tot Extrasalarial Ef]]</f>
        <v>0</v>
      </c>
      <c r="CH434" s="140" t="n">
        <f aca="false">MIN(IF(DATOS_[[#This Row],[Fecha Fin Contrato]]="",$D$4,DATOS_[[#This Row],[Fecha Fin Contrato]]),$D$4)-MAX(DATOS_[[#This Row],[Fecha de Contratación]],$D$3)+1</f>
        <v>1</v>
      </c>
      <c r="CI434" s="141" t="str">
        <f aca="false">IF(COUNTIFS(DATOS_[id],DATOS_[[#This Row],[id]])&gt;1,DATOS_[[#This Row],[id]],"")</f>
        <v/>
      </c>
      <c r="CJ434" s="141" t="n">
        <f aca="false">(Inicio!$G$10-DATOS_[[#This Row],[Fecha Nacimiento]])/365.25</f>
        <v>0</v>
      </c>
      <c r="CK434" s="141" t="n">
        <f aca="false">(Inicio!$G$10-DATOS_[[#This Row],[Fecha de Antigüedad]])/365.25</f>
        <v>0</v>
      </c>
      <c r="CL434" s="141" t="e">
        <f aca="false">+VLOOKUP(DATOS_[[#This Row],[Clave de Contrato]],TblTiposContrato13[],3,0)</f>
        <v>#N/A</v>
      </c>
      <c r="CM434" s="141" t="e">
        <f aca="false">+VLOOKUP(DATOS_[[#This Row],[Clave de Contrato]],TblTiposContrato13[],4,0)</f>
        <v>#N/A</v>
      </c>
      <c r="CN434" s="141" t="str">
        <f aca="false">VLOOKUP(DATOS_[[#This Row],[Edad]],CONTRATOS!TblRngEdad,2,1)</f>
        <v>20  o menos</v>
      </c>
      <c r="CO434" s="141" t="str">
        <f aca="false">VLOOKUP(DATOS_[[#This Row],[Antigüedad]],TblRngAntg14[],2,1)</f>
        <v>0 a 1 años</v>
      </c>
    </row>
    <row r="435" customFormat="false" ht="13.8" hidden="false" customHeight="false" outlineLevel="0" collapsed="false">
      <c r="D435" s="128"/>
      <c r="E435" s="129"/>
      <c r="F435" s="129"/>
      <c r="G435" s="129"/>
      <c r="H435" s="130"/>
      <c r="I435" s="131"/>
      <c r="J435" s="128"/>
      <c r="K435" s="132"/>
      <c r="L435" s="132"/>
      <c r="M435" s="133"/>
      <c r="N435" s="133"/>
      <c r="O435" s="133"/>
      <c r="P435" s="129"/>
      <c r="Z435" s="75"/>
      <c r="AA435" s="76"/>
      <c r="AB435" s="76"/>
      <c r="AC435" s="129"/>
      <c r="AD435" s="134"/>
      <c r="AE435" s="134"/>
      <c r="AF435" s="134"/>
      <c r="AG435" s="134"/>
      <c r="AH435" s="134"/>
      <c r="AI435" s="134"/>
      <c r="AJ435" s="134"/>
      <c r="AK435" s="134"/>
      <c r="AL435" s="134"/>
      <c r="AM435" s="134"/>
      <c r="AN435" s="134"/>
      <c r="AO435" s="134"/>
      <c r="AP435" s="134"/>
      <c r="AQ435" s="134"/>
      <c r="AR435" s="134"/>
      <c r="AS435" s="134"/>
      <c r="AT435" s="134"/>
      <c r="AU435" s="134"/>
      <c r="AV435" s="134"/>
      <c r="AW435" s="134"/>
      <c r="AX435" s="134"/>
      <c r="AY435" s="134"/>
      <c r="AZ435" s="134"/>
      <c r="BA435" s="134"/>
      <c r="BB435" s="134"/>
      <c r="BC435" s="134"/>
      <c r="BD435" s="134"/>
      <c r="BE435" s="134"/>
      <c r="BF435" s="134"/>
      <c r="BG435" s="134"/>
      <c r="BH435" s="134"/>
      <c r="BI435" s="134"/>
      <c r="BJ435" s="134"/>
      <c r="BK435" s="134"/>
      <c r="BL435" s="134"/>
      <c r="BM435" s="135"/>
      <c r="BN435" s="136" t="n">
        <f aca="false">+MAX($D$3,DATOS_[[#This Row],[Fecha Inicio Sit. Contract.]])</f>
        <v>0</v>
      </c>
      <c r="BO435" s="136" t="n">
        <f aca="false">+MIN($D$4,DATOS_[[#This Row],[Fecha Fin Sit. Contract.]])</f>
        <v>0</v>
      </c>
      <c r="BP435" s="137" t="n">
        <f aca="false">+DATOS_[[#This Row],[% de jornada]]*IF(DATOS_[[#This Row],[% jornada reducida]]="",1,DATOS_[[#This Row],[% jornada reducida]])</f>
        <v>0</v>
      </c>
      <c r="BQ435" s="137" t="n">
        <f aca="false">+(DATOS_[[#This Row],[F.fin.cal]]-DATOS_[[#This Row],[F.ini.cal]]+1)/($D$4-$D$3+1)</f>
        <v>1</v>
      </c>
      <c r="BR435" s="137" t="str">
        <f aca="false">IF(OR(AND(DATOS_[[#This Row],[Fecha Fin Contrato]]&lt;$D$3,DATOS_[[#This Row],[Fecha Fin Contrato]]&lt;&gt;""),DATOS_[[#This Row],[Fecha de Contratación]]&gt;$D$4),"Fuera","Dentro")</f>
        <v>Dentro</v>
      </c>
      <c r="BS435" s="137" t="str">
        <f aca="false" t="array" ref="BS435:BS435">IF(MAX(IF(DATOS_[id]=DATOS_[[#This Row],[id]],DATOS_[F.fin.cal]))=DATOS_[[#This Row],[F.fin.cal]],"Sí","NO")</f>
        <v>Sí</v>
      </c>
      <c r="BT435" s="137" t="str">
        <f aca="false">IF(AND(DATOS_[[#This Row],[% normaliz]]&lt;&gt;1,DATOS_[[#This Row],[% anualiz]]=1),"Sí","NO")</f>
        <v>Sí</v>
      </c>
      <c r="BU435" s="137" t="str">
        <f aca="false">IF(AND(DATOS_[[#This Row],[% normaliz]]=1,DATOS_[[#This Row],[% anualiz]]&lt;&gt;1),"Sí","NO")</f>
        <v>NO</v>
      </c>
      <c r="BV435" s="137" t="str">
        <f aca="false">IF(AND(DATOS_[[#This Row],[% normaliz]]&lt;&gt;1,DATOS_[[#This Row],[% anualiz]]&lt;&gt;1),"Sí","NO")</f>
        <v>NO</v>
      </c>
      <c r="BW435" s="137" t="str">
        <f aca="false">+IF(DATOS_[[#This Row],[% normaliz]]*DATOS_[[#This Row],[% anualiz]]=1,"NO","Sí")</f>
        <v>Sí</v>
      </c>
      <c r="BX435" s="138" t="e">
        <f aca="false">(DATOS_[[#This Row],[S.BASE]]*(1/DATOS_[[#This Row],[% normaliz]])*(1/DATOS_[[#This Row],[% anualiz]]))*IF(DATOS_[[#This Row],[Check Equiparado]]="Sí",1,0)</f>
        <v>#DIV/0!</v>
      </c>
      <c r="BY4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5" s="138" t="e">
        <f aca="false">+DATOS_[[#This Row],[SALARIO BASE Eq]]+DATOS_[[#This Row],[Tot COMPL.SAL Eq]]</f>
        <v>#DIV/0!</v>
      </c>
      <c r="CA435" s="138" t="e">
        <f aca="false" t="array" ref="CA435:CA4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5" s="138" t="e">
        <f aca="false">+DATOS_[[#This Row],[TOTAL SALARIO Eq]]+DATOS_[[#This Row],[Tot Extrasalarial Eq]]</f>
        <v>#DIV/0!</v>
      </c>
      <c r="CC435" s="139" t="n">
        <f aca="false">DATOS_[[#This Row],[S.BASE]]</f>
        <v>0</v>
      </c>
      <c r="CD435" s="139" t="n">
        <f aca="false">+SUM(DATOS_[[#This Row],[Conc.Sal.01]:[Conc.Sal.30]])</f>
        <v>0</v>
      </c>
      <c r="CE435" s="139" t="n">
        <f aca="false">+DATOS_[[#This Row],[SALARIO BASE Ef]]+DATOS_[[#This Row],[Tot COMPL.SAL Ef]]</f>
        <v>0</v>
      </c>
      <c r="CF435" s="139" t="n">
        <f aca="false">+SUM(DATOS_[[#This Row],[C.Extra.01]:[C.Extra.05]])</f>
        <v>0</v>
      </c>
      <c r="CG435" s="139" t="n">
        <f aca="false">+DATOS_[[#This Row],[TOTAL SALARIO Ef]]+DATOS_[[#This Row],[Tot Extrasalarial Ef]]</f>
        <v>0</v>
      </c>
      <c r="CH435" s="140" t="n">
        <f aca="false">MIN(IF(DATOS_[[#This Row],[Fecha Fin Contrato]]="",$D$4,DATOS_[[#This Row],[Fecha Fin Contrato]]),$D$4)-MAX(DATOS_[[#This Row],[Fecha de Contratación]],$D$3)+1</f>
        <v>1</v>
      </c>
      <c r="CI435" s="141" t="str">
        <f aca="false">IF(COUNTIFS(DATOS_[id],DATOS_[[#This Row],[id]])&gt;1,DATOS_[[#This Row],[id]],"")</f>
        <v/>
      </c>
      <c r="CJ435" s="141" t="n">
        <f aca="false">(Inicio!$G$10-DATOS_[[#This Row],[Fecha Nacimiento]])/365.25</f>
        <v>0</v>
      </c>
      <c r="CK435" s="141" t="n">
        <f aca="false">(Inicio!$G$10-DATOS_[[#This Row],[Fecha de Antigüedad]])/365.25</f>
        <v>0</v>
      </c>
      <c r="CL435" s="141" t="e">
        <f aca="false">+VLOOKUP(DATOS_[[#This Row],[Clave de Contrato]],TblTiposContrato13[],3,0)</f>
        <v>#N/A</v>
      </c>
      <c r="CM435" s="141" t="e">
        <f aca="false">+VLOOKUP(DATOS_[[#This Row],[Clave de Contrato]],TblTiposContrato13[],4,0)</f>
        <v>#N/A</v>
      </c>
      <c r="CN435" s="141" t="str">
        <f aca="false">VLOOKUP(DATOS_[[#This Row],[Edad]],CONTRATOS!TblRngEdad,2,1)</f>
        <v>20  o menos</v>
      </c>
      <c r="CO435" s="141" t="str">
        <f aca="false">VLOOKUP(DATOS_[[#This Row],[Antigüedad]],TblRngAntg14[],2,1)</f>
        <v>0 a 1 años</v>
      </c>
    </row>
    <row r="436" customFormat="false" ht="13.8" hidden="false" customHeight="false" outlineLevel="0" collapsed="false">
      <c r="D436" s="128"/>
      <c r="E436" s="129"/>
      <c r="F436" s="129"/>
      <c r="G436" s="129"/>
      <c r="H436" s="130"/>
      <c r="I436" s="131"/>
      <c r="J436" s="128"/>
      <c r="K436" s="132"/>
      <c r="L436" s="132"/>
      <c r="M436" s="133"/>
      <c r="N436" s="133"/>
      <c r="O436" s="133"/>
      <c r="P436" s="129"/>
      <c r="Z436" s="75"/>
      <c r="AA436" s="76"/>
      <c r="AB436" s="76"/>
      <c r="AC436" s="129"/>
      <c r="AD436" s="134"/>
      <c r="AE436" s="134"/>
      <c r="AF436" s="134"/>
      <c r="AG436" s="134"/>
      <c r="AH436" s="134"/>
      <c r="AI436" s="134"/>
      <c r="AJ436" s="134"/>
      <c r="AK436" s="134"/>
      <c r="AL436" s="134"/>
      <c r="AM436" s="134"/>
      <c r="AN436" s="134"/>
      <c r="AO436" s="134"/>
      <c r="AP436" s="134"/>
      <c r="AQ436" s="134"/>
      <c r="AR436" s="134"/>
      <c r="AS436" s="134"/>
      <c r="AT436" s="134"/>
      <c r="AU436" s="134"/>
      <c r="AV436" s="134"/>
      <c r="AW436" s="134"/>
      <c r="AX436" s="134"/>
      <c r="AY436" s="134"/>
      <c r="AZ436" s="134"/>
      <c r="BA436" s="134"/>
      <c r="BB436" s="134"/>
      <c r="BC436" s="134"/>
      <c r="BD436" s="134"/>
      <c r="BE436" s="134"/>
      <c r="BF436" s="134"/>
      <c r="BG436" s="134"/>
      <c r="BH436" s="134"/>
      <c r="BI436" s="134"/>
      <c r="BJ436" s="134"/>
      <c r="BK436" s="134"/>
      <c r="BL436" s="134"/>
      <c r="BM436" s="135"/>
      <c r="BN436" s="136" t="n">
        <f aca="false">+MAX($D$3,DATOS_[[#This Row],[Fecha Inicio Sit. Contract.]])</f>
        <v>0</v>
      </c>
      <c r="BO436" s="136" t="n">
        <f aca="false">+MIN($D$4,DATOS_[[#This Row],[Fecha Fin Sit. Contract.]])</f>
        <v>0</v>
      </c>
      <c r="BP436" s="137" t="n">
        <f aca="false">+DATOS_[[#This Row],[% de jornada]]*IF(DATOS_[[#This Row],[% jornada reducida]]="",1,DATOS_[[#This Row],[% jornada reducida]])</f>
        <v>0</v>
      </c>
      <c r="BQ436" s="137" t="n">
        <f aca="false">+(DATOS_[[#This Row],[F.fin.cal]]-DATOS_[[#This Row],[F.ini.cal]]+1)/($D$4-$D$3+1)</f>
        <v>1</v>
      </c>
      <c r="BR436" s="137" t="str">
        <f aca="false">IF(OR(AND(DATOS_[[#This Row],[Fecha Fin Contrato]]&lt;$D$3,DATOS_[[#This Row],[Fecha Fin Contrato]]&lt;&gt;""),DATOS_[[#This Row],[Fecha de Contratación]]&gt;$D$4),"Fuera","Dentro")</f>
        <v>Dentro</v>
      </c>
      <c r="BS436" s="137" t="str">
        <f aca="false" t="array" ref="BS436:BS436">IF(MAX(IF(DATOS_[id]=DATOS_[[#This Row],[id]],DATOS_[F.fin.cal]))=DATOS_[[#This Row],[F.fin.cal]],"Sí","NO")</f>
        <v>Sí</v>
      </c>
      <c r="BT436" s="137" t="str">
        <f aca="false">IF(AND(DATOS_[[#This Row],[% normaliz]]&lt;&gt;1,DATOS_[[#This Row],[% anualiz]]=1),"Sí","NO")</f>
        <v>Sí</v>
      </c>
      <c r="BU436" s="137" t="str">
        <f aca="false">IF(AND(DATOS_[[#This Row],[% normaliz]]=1,DATOS_[[#This Row],[% anualiz]]&lt;&gt;1),"Sí","NO")</f>
        <v>NO</v>
      </c>
      <c r="BV436" s="137" t="str">
        <f aca="false">IF(AND(DATOS_[[#This Row],[% normaliz]]&lt;&gt;1,DATOS_[[#This Row],[% anualiz]]&lt;&gt;1),"Sí","NO")</f>
        <v>NO</v>
      </c>
      <c r="BW436" s="137" t="str">
        <f aca="false">+IF(DATOS_[[#This Row],[% normaliz]]*DATOS_[[#This Row],[% anualiz]]=1,"NO","Sí")</f>
        <v>Sí</v>
      </c>
      <c r="BX436" s="138" t="e">
        <f aca="false">(DATOS_[[#This Row],[S.BASE]]*(1/DATOS_[[#This Row],[% normaliz]])*(1/DATOS_[[#This Row],[% anualiz]]))*IF(DATOS_[[#This Row],[Check Equiparado]]="Sí",1,0)</f>
        <v>#DIV/0!</v>
      </c>
      <c r="BY4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6" s="138" t="e">
        <f aca="false">+DATOS_[[#This Row],[SALARIO BASE Eq]]+DATOS_[[#This Row],[Tot COMPL.SAL Eq]]</f>
        <v>#DIV/0!</v>
      </c>
      <c r="CA436" s="138" t="e">
        <f aca="false" t="array" ref="CA436:CA4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6" s="138" t="e">
        <f aca="false">+DATOS_[[#This Row],[TOTAL SALARIO Eq]]+DATOS_[[#This Row],[Tot Extrasalarial Eq]]</f>
        <v>#DIV/0!</v>
      </c>
      <c r="CC436" s="139" t="n">
        <f aca="false">DATOS_[[#This Row],[S.BASE]]</f>
        <v>0</v>
      </c>
      <c r="CD436" s="139" t="n">
        <f aca="false">+SUM(DATOS_[[#This Row],[Conc.Sal.01]:[Conc.Sal.30]])</f>
        <v>0</v>
      </c>
      <c r="CE436" s="139" t="n">
        <f aca="false">+DATOS_[[#This Row],[SALARIO BASE Ef]]+DATOS_[[#This Row],[Tot COMPL.SAL Ef]]</f>
        <v>0</v>
      </c>
      <c r="CF436" s="139" t="n">
        <f aca="false">+SUM(DATOS_[[#This Row],[C.Extra.01]:[C.Extra.05]])</f>
        <v>0</v>
      </c>
      <c r="CG436" s="139" t="n">
        <f aca="false">+DATOS_[[#This Row],[TOTAL SALARIO Ef]]+DATOS_[[#This Row],[Tot Extrasalarial Ef]]</f>
        <v>0</v>
      </c>
      <c r="CH436" s="140" t="n">
        <f aca="false">MIN(IF(DATOS_[[#This Row],[Fecha Fin Contrato]]="",$D$4,DATOS_[[#This Row],[Fecha Fin Contrato]]),$D$4)-MAX(DATOS_[[#This Row],[Fecha de Contratación]],$D$3)+1</f>
        <v>1</v>
      </c>
      <c r="CI436" s="141" t="str">
        <f aca="false">IF(COUNTIFS(DATOS_[id],DATOS_[[#This Row],[id]])&gt;1,DATOS_[[#This Row],[id]],"")</f>
        <v/>
      </c>
      <c r="CJ436" s="141" t="n">
        <f aca="false">(Inicio!$G$10-DATOS_[[#This Row],[Fecha Nacimiento]])/365.25</f>
        <v>0</v>
      </c>
      <c r="CK436" s="141" t="n">
        <f aca="false">(Inicio!$G$10-DATOS_[[#This Row],[Fecha de Antigüedad]])/365.25</f>
        <v>0</v>
      </c>
      <c r="CL436" s="141" t="e">
        <f aca="false">+VLOOKUP(DATOS_[[#This Row],[Clave de Contrato]],TblTiposContrato13[],3,0)</f>
        <v>#N/A</v>
      </c>
      <c r="CM436" s="141" t="e">
        <f aca="false">+VLOOKUP(DATOS_[[#This Row],[Clave de Contrato]],TblTiposContrato13[],4,0)</f>
        <v>#N/A</v>
      </c>
      <c r="CN436" s="141" t="str">
        <f aca="false">VLOOKUP(DATOS_[[#This Row],[Edad]],CONTRATOS!TblRngEdad,2,1)</f>
        <v>20  o menos</v>
      </c>
      <c r="CO436" s="141" t="str">
        <f aca="false">VLOOKUP(DATOS_[[#This Row],[Antigüedad]],TblRngAntg14[],2,1)</f>
        <v>0 a 1 años</v>
      </c>
    </row>
    <row r="437" customFormat="false" ht="13.8" hidden="false" customHeight="false" outlineLevel="0" collapsed="false">
      <c r="D437" s="128"/>
      <c r="E437" s="129"/>
      <c r="F437" s="129"/>
      <c r="G437" s="129"/>
      <c r="H437" s="130"/>
      <c r="I437" s="131"/>
      <c r="J437" s="128"/>
      <c r="K437" s="132"/>
      <c r="L437" s="132"/>
      <c r="M437" s="133"/>
      <c r="N437" s="133"/>
      <c r="O437" s="133"/>
      <c r="P437" s="129"/>
      <c r="Z437" s="75"/>
      <c r="AA437" s="76"/>
      <c r="AB437" s="76"/>
      <c r="AC437" s="129"/>
      <c r="AD437" s="134"/>
      <c r="AE437" s="134"/>
      <c r="AF437" s="134"/>
      <c r="AG437" s="134"/>
      <c r="AH437" s="134"/>
      <c r="AI437" s="134"/>
      <c r="AJ437" s="134"/>
      <c r="AK437" s="134"/>
      <c r="AL437" s="134"/>
      <c r="AM437" s="134"/>
      <c r="AN437" s="134"/>
      <c r="AO437" s="134"/>
      <c r="AP437" s="134"/>
      <c r="AQ437" s="134"/>
      <c r="AR437" s="134"/>
      <c r="AS437" s="134"/>
      <c r="AT437" s="134"/>
      <c r="AU437" s="134"/>
      <c r="AV437" s="134"/>
      <c r="AW437" s="134"/>
      <c r="AX437" s="134"/>
      <c r="AY437" s="134"/>
      <c r="AZ437" s="134"/>
      <c r="BA437" s="134"/>
      <c r="BB437" s="134"/>
      <c r="BC437" s="134"/>
      <c r="BD437" s="134"/>
      <c r="BE437" s="134"/>
      <c r="BF437" s="134"/>
      <c r="BG437" s="134"/>
      <c r="BH437" s="134"/>
      <c r="BI437" s="134"/>
      <c r="BJ437" s="134"/>
      <c r="BK437" s="134"/>
      <c r="BL437" s="134"/>
      <c r="BM437" s="135"/>
      <c r="BN437" s="136" t="n">
        <f aca="false">+MAX($D$3,DATOS_[[#This Row],[Fecha Inicio Sit. Contract.]])</f>
        <v>0</v>
      </c>
      <c r="BO437" s="136" t="n">
        <f aca="false">+MIN($D$4,DATOS_[[#This Row],[Fecha Fin Sit. Contract.]])</f>
        <v>0</v>
      </c>
      <c r="BP437" s="137" t="n">
        <f aca="false">+DATOS_[[#This Row],[% de jornada]]*IF(DATOS_[[#This Row],[% jornada reducida]]="",1,DATOS_[[#This Row],[% jornada reducida]])</f>
        <v>0</v>
      </c>
      <c r="BQ437" s="137" t="n">
        <f aca="false">+(DATOS_[[#This Row],[F.fin.cal]]-DATOS_[[#This Row],[F.ini.cal]]+1)/($D$4-$D$3+1)</f>
        <v>1</v>
      </c>
      <c r="BR437" s="137" t="str">
        <f aca="false">IF(OR(AND(DATOS_[[#This Row],[Fecha Fin Contrato]]&lt;$D$3,DATOS_[[#This Row],[Fecha Fin Contrato]]&lt;&gt;""),DATOS_[[#This Row],[Fecha de Contratación]]&gt;$D$4),"Fuera","Dentro")</f>
        <v>Dentro</v>
      </c>
      <c r="BS437" s="137" t="str">
        <f aca="false" t="array" ref="BS437:BS437">IF(MAX(IF(DATOS_[id]=DATOS_[[#This Row],[id]],DATOS_[F.fin.cal]))=DATOS_[[#This Row],[F.fin.cal]],"Sí","NO")</f>
        <v>Sí</v>
      </c>
      <c r="BT437" s="137" t="str">
        <f aca="false">IF(AND(DATOS_[[#This Row],[% normaliz]]&lt;&gt;1,DATOS_[[#This Row],[% anualiz]]=1),"Sí","NO")</f>
        <v>Sí</v>
      </c>
      <c r="BU437" s="137" t="str">
        <f aca="false">IF(AND(DATOS_[[#This Row],[% normaliz]]=1,DATOS_[[#This Row],[% anualiz]]&lt;&gt;1),"Sí","NO")</f>
        <v>NO</v>
      </c>
      <c r="BV437" s="137" t="str">
        <f aca="false">IF(AND(DATOS_[[#This Row],[% normaliz]]&lt;&gt;1,DATOS_[[#This Row],[% anualiz]]&lt;&gt;1),"Sí","NO")</f>
        <v>NO</v>
      </c>
      <c r="BW437" s="137" t="str">
        <f aca="false">+IF(DATOS_[[#This Row],[% normaliz]]*DATOS_[[#This Row],[% anualiz]]=1,"NO","Sí")</f>
        <v>Sí</v>
      </c>
      <c r="BX437" s="138" t="e">
        <f aca="false">(DATOS_[[#This Row],[S.BASE]]*(1/DATOS_[[#This Row],[% normaliz]])*(1/DATOS_[[#This Row],[% anualiz]]))*IF(DATOS_[[#This Row],[Check Equiparado]]="Sí",1,0)</f>
        <v>#DIV/0!</v>
      </c>
      <c r="BY4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7" s="138" t="e">
        <f aca="false">+DATOS_[[#This Row],[SALARIO BASE Eq]]+DATOS_[[#This Row],[Tot COMPL.SAL Eq]]</f>
        <v>#DIV/0!</v>
      </c>
      <c r="CA437" s="138" t="e">
        <f aca="false" t="array" ref="CA437:CA4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7" s="138" t="e">
        <f aca="false">+DATOS_[[#This Row],[TOTAL SALARIO Eq]]+DATOS_[[#This Row],[Tot Extrasalarial Eq]]</f>
        <v>#DIV/0!</v>
      </c>
      <c r="CC437" s="139" t="n">
        <f aca="false">DATOS_[[#This Row],[S.BASE]]</f>
        <v>0</v>
      </c>
      <c r="CD437" s="139" t="n">
        <f aca="false">+SUM(DATOS_[[#This Row],[Conc.Sal.01]:[Conc.Sal.30]])</f>
        <v>0</v>
      </c>
      <c r="CE437" s="139" t="n">
        <f aca="false">+DATOS_[[#This Row],[SALARIO BASE Ef]]+DATOS_[[#This Row],[Tot COMPL.SAL Ef]]</f>
        <v>0</v>
      </c>
      <c r="CF437" s="139" t="n">
        <f aca="false">+SUM(DATOS_[[#This Row],[C.Extra.01]:[C.Extra.05]])</f>
        <v>0</v>
      </c>
      <c r="CG437" s="139" t="n">
        <f aca="false">+DATOS_[[#This Row],[TOTAL SALARIO Ef]]+DATOS_[[#This Row],[Tot Extrasalarial Ef]]</f>
        <v>0</v>
      </c>
      <c r="CH437" s="140" t="n">
        <f aca="false">MIN(IF(DATOS_[[#This Row],[Fecha Fin Contrato]]="",$D$4,DATOS_[[#This Row],[Fecha Fin Contrato]]),$D$4)-MAX(DATOS_[[#This Row],[Fecha de Contratación]],$D$3)+1</f>
        <v>1</v>
      </c>
      <c r="CI437" s="141" t="str">
        <f aca="false">IF(COUNTIFS(DATOS_[id],DATOS_[[#This Row],[id]])&gt;1,DATOS_[[#This Row],[id]],"")</f>
        <v/>
      </c>
      <c r="CJ437" s="141" t="n">
        <f aca="false">(Inicio!$G$10-DATOS_[[#This Row],[Fecha Nacimiento]])/365.25</f>
        <v>0</v>
      </c>
      <c r="CK437" s="141" t="n">
        <f aca="false">(Inicio!$G$10-DATOS_[[#This Row],[Fecha de Antigüedad]])/365.25</f>
        <v>0</v>
      </c>
      <c r="CL437" s="141" t="e">
        <f aca="false">+VLOOKUP(DATOS_[[#This Row],[Clave de Contrato]],TblTiposContrato13[],3,0)</f>
        <v>#N/A</v>
      </c>
      <c r="CM437" s="141" t="e">
        <f aca="false">+VLOOKUP(DATOS_[[#This Row],[Clave de Contrato]],TblTiposContrato13[],4,0)</f>
        <v>#N/A</v>
      </c>
      <c r="CN437" s="141" t="str">
        <f aca="false">VLOOKUP(DATOS_[[#This Row],[Edad]],CONTRATOS!TblRngEdad,2,1)</f>
        <v>20  o menos</v>
      </c>
      <c r="CO437" s="141" t="str">
        <f aca="false">VLOOKUP(DATOS_[[#This Row],[Antigüedad]],TblRngAntg14[],2,1)</f>
        <v>0 a 1 años</v>
      </c>
    </row>
    <row r="438" customFormat="false" ht="13.8" hidden="false" customHeight="false" outlineLevel="0" collapsed="false">
      <c r="D438" s="128"/>
      <c r="E438" s="129"/>
      <c r="F438" s="129"/>
      <c r="G438" s="129"/>
      <c r="H438" s="130"/>
      <c r="I438" s="131"/>
      <c r="J438" s="128"/>
      <c r="K438" s="132"/>
      <c r="L438" s="132"/>
      <c r="M438" s="133"/>
      <c r="N438" s="133"/>
      <c r="O438" s="133"/>
      <c r="P438" s="129"/>
      <c r="Z438" s="75"/>
      <c r="AA438" s="76"/>
      <c r="AB438" s="76"/>
      <c r="AC438" s="129"/>
      <c r="AD438" s="134"/>
      <c r="AE438" s="134"/>
      <c r="AF438" s="134"/>
      <c r="AG438" s="134"/>
      <c r="AH438" s="134"/>
      <c r="AI438" s="134"/>
      <c r="AJ438" s="134"/>
      <c r="AK438" s="134"/>
      <c r="AL438" s="134"/>
      <c r="AM438" s="134"/>
      <c r="AN438" s="134"/>
      <c r="AO438" s="134"/>
      <c r="AP438" s="134"/>
      <c r="AQ438" s="134"/>
      <c r="AR438" s="134"/>
      <c r="AS438" s="134"/>
      <c r="AT438" s="134"/>
      <c r="AU438" s="134"/>
      <c r="AV438" s="134"/>
      <c r="AW438" s="134"/>
      <c r="AX438" s="134"/>
      <c r="AY438" s="134"/>
      <c r="AZ438" s="134"/>
      <c r="BA438" s="134"/>
      <c r="BB438" s="134"/>
      <c r="BC438" s="134"/>
      <c r="BD438" s="134"/>
      <c r="BE438" s="134"/>
      <c r="BF438" s="134"/>
      <c r="BG438" s="134"/>
      <c r="BH438" s="134"/>
      <c r="BI438" s="134"/>
      <c r="BJ438" s="134"/>
      <c r="BK438" s="134"/>
      <c r="BL438" s="134"/>
      <c r="BM438" s="135"/>
      <c r="BN438" s="136" t="n">
        <f aca="false">+MAX($D$3,DATOS_[[#This Row],[Fecha Inicio Sit. Contract.]])</f>
        <v>0</v>
      </c>
      <c r="BO438" s="136" t="n">
        <f aca="false">+MIN($D$4,DATOS_[[#This Row],[Fecha Fin Sit. Contract.]])</f>
        <v>0</v>
      </c>
      <c r="BP438" s="137" t="n">
        <f aca="false">+DATOS_[[#This Row],[% de jornada]]*IF(DATOS_[[#This Row],[% jornada reducida]]="",1,DATOS_[[#This Row],[% jornada reducida]])</f>
        <v>0</v>
      </c>
      <c r="BQ438" s="137" t="n">
        <f aca="false">+(DATOS_[[#This Row],[F.fin.cal]]-DATOS_[[#This Row],[F.ini.cal]]+1)/($D$4-$D$3+1)</f>
        <v>1</v>
      </c>
      <c r="BR438" s="137" t="str">
        <f aca="false">IF(OR(AND(DATOS_[[#This Row],[Fecha Fin Contrato]]&lt;$D$3,DATOS_[[#This Row],[Fecha Fin Contrato]]&lt;&gt;""),DATOS_[[#This Row],[Fecha de Contratación]]&gt;$D$4),"Fuera","Dentro")</f>
        <v>Dentro</v>
      </c>
      <c r="BS438" s="137" t="str">
        <f aca="false" t="array" ref="BS438:BS438">IF(MAX(IF(DATOS_[id]=DATOS_[[#This Row],[id]],DATOS_[F.fin.cal]))=DATOS_[[#This Row],[F.fin.cal]],"Sí","NO")</f>
        <v>Sí</v>
      </c>
      <c r="BT438" s="137" t="str">
        <f aca="false">IF(AND(DATOS_[[#This Row],[% normaliz]]&lt;&gt;1,DATOS_[[#This Row],[% anualiz]]=1),"Sí","NO")</f>
        <v>Sí</v>
      </c>
      <c r="BU438" s="137" t="str">
        <f aca="false">IF(AND(DATOS_[[#This Row],[% normaliz]]=1,DATOS_[[#This Row],[% anualiz]]&lt;&gt;1),"Sí","NO")</f>
        <v>NO</v>
      </c>
      <c r="BV438" s="137" t="str">
        <f aca="false">IF(AND(DATOS_[[#This Row],[% normaliz]]&lt;&gt;1,DATOS_[[#This Row],[% anualiz]]&lt;&gt;1),"Sí","NO")</f>
        <v>NO</v>
      </c>
      <c r="BW438" s="137" t="str">
        <f aca="false">+IF(DATOS_[[#This Row],[% normaliz]]*DATOS_[[#This Row],[% anualiz]]=1,"NO","Sí")</f>
        <v>Sí</v>
      </c>
      <c r="BX438" s="138" t="e">
        <f aca="false">(DATOS_[[#This Row],[S.BASE]]*(1/DATOS_[[#This Row],[% normaliz]])*(1/DATOS_[[#This Row],[% anualiz]]))*IF(DATOS_[[#This Row],[Check Equiparado]]="Sí",1,0)</f>
        <v>#DIV/0!</v>
      </c>
      <c r="BY4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8" s="138" t="e">
        <f aca="false">+DATOS_[[#This Row],[SALARIO BASE Eq]]+DATOS_[[#This Row],[Tot COMPL.SAL Eq]]</f>
        <v>#DIV/0!</v>
      </c>
      <c r="CA438" s="138" t="e">
        <f aca="false" t="array" ref="CA438:CA4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8" s="138" t="e">
        <f aca="false">+DATOS_[[#This Row],[TOTAL SALARIO Eq]]+DATOS_[[#This Row],[Tot Extrasalarial Eq]]</f>
        <v>#DIV/0!</v>
      </c>
      <c r="CC438" s="139" t="n">
        <f aca="false">DATOS_[[#This Row],[S.BASE]]</f>
        <v>0</v>
      </c>
      <c r="CD438" s="139" t="n">
        <f aca="false">+SUM(DATOS_[[#This Row],[Conc.Sal.01]:[Conc.Sal.30]])</f>
        <v>0</v>
      </c>
      <c r="CE438" s="139" t="n">
        <f aca="false">+DATOS_[[#This Row],[SALARIO BASE Ef]]+DATOS_[[#This Row],[Tot COMPL.SAL Ef]]</f>
        <v>0</v>
      </c>
      <c r="CF438" s="139" t="n">
        <f aca="false">+SUM(DATOS_[[#This Row],[C.Extra.01]:[C.Extra.05]])</f>
        <v>0</v>
      </c>
      <c r="CG438" s="139" t="n">
        <f aca="false">+DATOS_[[#This Row],[TOTAL SALARIO Ef]]+DATOS_[[#This Row],[Tot Extrasalarial Ef]]</f>
        <v>0</v>
      </c>
      <c r="CH438" s="140" t="n">
        <f aca="false">MIN(IF(DATOS_[[#This Row],[Fecha Fin Contrato]]="",$D$4,DATOS_[[#This Row],[Fecha Fin Contrato]]),$D$4)-MAX(DATOS_[[#This Row],[Fecha de Contratación]],$D$3)+1</f>
        <v>1</v>
      </c>
      <c r="CI438" s="141" t="str">
        <f aca="false">IF(COUNTIFS(DATOS_[id],DATOS_[[#This Row],[id]])&gt;1,DATOS_[[#This Row],[id]],"")</f>
        <v/>
      </c>
      <c r="CJ438" s="141" t="n">
        <f aca="false">(Inicio!$G$10-DATOS_[[#This Row],[Fecha Nacimiento]])/365.25</f>
        <v>0</v>
      </c>
      <c r="CK438" s="141" t="n">
        <f aca="false">(Inicio!$G$10-DATOS_[[#This Row],[Fecha de Antigüedad]])/365.25</f>
        <v>0</v>
      </c>
      <c r="CL438" s="141" t="e">
        <f aca="false">+VLOOKUP(DATOS_[[#This Row],[Clave de Contrato]],TblTiposContrato13[],3,0)</f>
        <v>#N/A</v>
      </c>
      <c r="CM438" s="141" t="e">
        <f aca="false">+VLOOKUP(DATOS_[[#This Row],[Clave de Contrato]],TblTiposContrato13[],4,0)</f>
        <v>#N/A</v>
      </c>
      <c r="CN438" s="141" t="str">
        <f aca="false">VLOOKUP(DATOS_[[#This Row],[Edad]],CONTRATOS!TblRngEdad,2,1)</f>
        <v>20  o menos</v>
      </c>
      <c r="CO438" s="141" t="str">
        <f aca="false">VLOOKUP(DATOS_[[#This Row],[Antigüedad]],TblRngAntg14[],2,1)</f>
        <v>0 a 1 años</v>
      </c>
    </row>
    <row r="439" customFormat="false" ht="13.8" hidden="false" customHeight="false" outlineLevel="0" collapsed="false">
      <c r="D439" s="128"/>
      <c r="E439" s="129"/>
      <c r="F439" s="129"/>
      <c r="G439" s="129"/>
      <c r="H439" s="130"/>
      <c r="I439" s="131"/>
      <c r="J439" s="128"/>
      <c r="K439" s="132"/>
      <c r="L439" s="132"/>
      <c r="M439" s="133"/>
      <c r="N439" s="133"/>
      <c r="O439" s="133"/>
      <c r="P439" s="129"/>
      <c r="Z439" s="75"/>
      <c r="AA439" s="76"/>
      <c r="AB439" s="76"/>
      <c r="AC439" s="129"/>
      <c r="AD439" s="134"/>
      <c r="AE439" s="134"/>
      <c r="AF439" s="134"/>
      <c r="AG439" s="134"/>
      <c r="AH439" s="134"/>
      <c r="AI439" s="134"/>
      <c r="AJ439" s="134"/>
      <c r="AK439" s="134"/>
      <c r="AL439" s="134"/>
      <c r="AM439" s="134"/>
      <c r="AN439" s="134"/>
      <c r="AO439" s="134"/>
      <c r="AP439" s="134"/>
      <c r="AQ439" s="134"/>
      <c r="AR439" s="134"/>
      <c r="AS439" s="134"/>
      <c r="AT439" s="134"/>
      <c r="AU439" s="134"/>
      <c r="AV439" s="134"/>
      <c r="AW439" s="134"/>
      <c r="AX439" s="134"/>
      <c r="AY439" s="134"/>
      <c r="AZ439" s="134"/>
      <c r="BA439" s="134"/>
      <c r="BB439" s="134"/>
      <c r="BC439" s="134"/>
      <c r="BD439" s="134"/>
      <c r="BE439" s="134"/>
      <c r="BF439" s="134"/>
      <c r="BG439" s="134"/>
      <c r="BH439" s="134"/>
      <c r="BI439" s="134"/>
      <c r="BJ439" s="134"/>
      <c r="BK439" s="134"/>
      <c r="BL439" s="134"/>
      <c r="BM439" s="135"/>
      <c r="BN439" s="136" t="n">
        <f aca="false">+MAX($D$3,DATOS_[[#This Row],[Fecha Inicio Sit. Contract.]])</f>
        <v>0</v>
      </c>
      <c r="BO439" s="136" t="n">
        <f aca="false">+MIN($D$4,DATOS_[[#This Row],[Fecha Fin Sit. Contract.]])</f>
        <v>0</v>
      </c>
      <c r="BP439" s="137" t="n">
        <f aca="false">+DATOS_[[#This Row],[% de jornada]]*IF(DATOS_[[#This Row],[% jornada reducida]]="",1,DATOS_[[#This Row],[% jornada reducida]])</f>
        <v>0</v>
      </c>
      <c r="BQ439" s="137" t="n">
        <f aca="false">+(DATOS_[[#This Row],[F.fin.cal]]-DATOS_[[#This Row],[F.ini.cal]]+1)/($D$4-$D$3+1)</f>
        <v>1</v>
      </c>
      <c r="BR439" s="137" t="str">
        <f aca="false">IF(OR(AND(DATOS_[[#This Row],[Fecha Fin Contrato]]&lt;$D$3,DATOS_[[#This Row],[Fecha Fin Contrato]]&lt;&gt;""),DATOS_[[#This Row],[Fecha de Contratación]]&gt;$D$4),"Fuera","Dentro")</f>
        <v>Dentro</v>
      </c>
      <c r="BS439" s="137" t="str">
        <f aca="false" t="array" ref="BS439:BS439">IF(MAX(IF(DATOS_[id]=DATOS_[[#This Row],[id]],DATOS_[F.fin.cal]))=DATOS_[[#This Row],[F.fin.cal]],"Sí","NO")</f>
        <v>Sí</v>
      </c>
      <c r="BT439" s="137" t="str">
        <f aca="false">IF(AND(DATOS_[[#This Row],[% normaliz]]&lt;&gt;1,DATOS_[[#This Row],[% anualiz]]=1),"Sí","NO")</f>
        <v>Sí</v>
      </c>
      <c r="BU439" s="137" t="str">
        <f aca="false">IF(AND(DATOS_[[#This Row],[% normaliz]]=1,DATOS_[[#This Row],[% anualiz]]&lt;&gt;1),"Sí","NO")</f>
        <v>NO</v>
      </c>
      <c r="BV439" s="137" t="str">
        <f aca="false">IF(AND(DATOS_[[#This Row],[% normaliz]]&lt;&gt;1,DATOS_[[#This Row],[% anualiz]]&lt;&gt;1),"Sí","NO")</f>
        <v>NO</v>
      </c>
      <c r="BW439" s="137" t="str">
        <f aca="false">+IF(DATOS_[[#This Row],[% normaliz]]*DATOS_[[#This Row],[% anualiz]]=1,"NO","Sí")</f>
        <v>Sí</v>
      </c>
      <c r="BX439" s="138" t="e">
        <f aca="false">(DATOS_[[#This Row],[S.BASE]]*(1/DATOS_[[#This Row],[% normaliz]])*(1/DATOS_[[#This Row],[% anualiz]]))*IF(DATOS_[[#This Row],[Check Equiparado]]="Sí",1,0)</f>
        <v>#DIV/0!</v>
      </c>
      <c r="BY4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9" s="138" t="e">
        <f aca="false">+DATOS_[[#This Row],[SALARIO BASE Eq]]+DATOS_[[#This Row],[Tot COMPL.SAL Eq]]</f>
        <v>#DIV/0!</v>
      </c>
      <c r="CA439" s="138" t="e">
        <f aca="false" t="array" ref="CA439:CA4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9" s="138" t="e">
        <f aca="false">+DATOS_[[#This Row],[TOTAL SALARIO Eq]]+DATOS_[[#This Row],[Tot Extrasalarial Eq]]</f>
        <v>#DIV/0!</v>
      </c>
      <c r="CC439" s="139" t="n">
        <f aca="false">DATOS_[[#This Row],[S.BASE]]</f>
        <v>0</v>
      </c>
      <c r="CD439" s="139" t="n">
        <f aca="false">+SUM(DATOS_[[#This Row],[Conc.Sal.01]:[Conc.Sal.30]])</f>
        <v>0</v>
      </c>
      <c r="CE439" s="139" t="n">
        <f aca="false">+DATOS_[[#This Row],[SALARIO BASE Ef]]+DATOS_[[#This Row],[Tot COMPL.SAL Ef]]</f>
        <v>0</v>
      </c>
      <c r="CF439" s="139" t="n">
        <f aca="false">+SUM(DATOS_[[#This Row],[C.Extra.01]:[C.Extra.05]])</f>
        <v>0</v>
      </c>
      <c r="CG439" s="139" t="n">
        <f aca="false">+DATOS_[[#This Row],[TOTAL SALARIO Ef]]+DATOS_[[#This Row],[Tot Extrasalarial Ef]]</f>
        <v>0</v>
      </c>
      <c r="CH439" s="140" t="n">
        <f aca="false">MIN(IF(DATOS_[[#This Row],[Fecha Fin Contrato]]="",$D$4,DATOS_[[#This Row],[Fecha Fin Contrato]]),$D$4)-MAX(DATOS_[[#This Row],[Fecha de Contratación]],$D$3)+1</f>
        <v>1</v>
      </c>
      <c r="CI439" s="141" t="str">
        <f aca="false">IF(COUNTIFS(DATOS_[id],DATOS_[[#This Row],[id]])&gt;1,DATOS_[[#This Row],[id]],"")</f>
        <v/>
      </c>
      <c r="CJ439" s="141" t="n">
        <f aca="false">(Inicio!$G$10-DATOS_[[#This Row],[Fecha Nacimiento]])/365.25</f>
        <v>0</v>
      </c>
      <c r="CK439" s="141" t="n">
        <f aca="false">(Inicio!$G$10-DATOS_[[#This Row],[Fecha de Antigüedad]])/365.25</f>
        <v>0</v>
      </c>
      <c r="CL439" s="141" t="e">
        <f aca="false">+VLOOKUP(DATOS_[[#This Row],[Clave de Contrato]],TblTiposContrato13[],3,0)</f>
        <v>#N/A</v>
      </c>
      <c r="CM439" s="141" t="e">
        <f aca="false">+VLOOKUP(DATOS_[[#This Row],[Clave de Contrato]],TblTiposContrato13[],4,0)</f>
        <v>#N/A</v>
      </c>
      <c r="CN439" s="141" t="str">
        <f aca="false">VLOOKUP(DATOS_[[#This Row],[Edad]],CONTRATOS!TblRngEdad,2,1)</f>
        <v>20  o menos</v>
      </c>
      <c r="CO439" s="141" t="str">
        <f aca="false">VLOOKUP(DATOS_[[#This Row],[Antigüedad]],TblRngAntg14[],2,1)</f>
        <v>0 a 1 años</v>
      </c>
    </row>
    <row r="440" customFormat="false" ht="13.8" hidden="false" customHeight="false" outlineLevel="0" collapsed="false">
      <c r="D440" s="128"/>
      <c r="E440" s="129"/>
      <c r="F440" s="129"/>
      <c r="G440" s="129"/>
      <c r="H440" s="130"/>
      <c r="I440" s="131"/>
      <c r="J440" s="128"/>
      <c r="K440" s="132"/>
      <c r="L440" s="132"/>
      <c r="M440" s="133"/>
      <c r="N440" s="133"/>
      <c r="O440" s="133"/>
      <c r="P440" s="129"/>
      <c r="Z440" s="75"/>
      <c r="AA440" s="76"/>
      <c r="AB440" s="76"/>
      <c r="AC440" s="129"/>
      <c r="AD440" s="134"/>
      <c r="AE440" s="134"/>
      <c r="AF440" s="134"/>
      <c r="AG440" s="134"/>
      <c r="AH440" s="134"/>
      <c r="AI440" s="134"/>
      <c r="AJ440" s="134"/>
      <c r="AK440" s="134"/>
      <c r="AL440" s="134"/>
      <c r="AM440" s="134"/>
      <c r="AN440" s="134"/>
      <c r="AO440" s="134"/>
      <c r="AP440" s="134"/>
      <c r="AQ440" s="134"/>
      <c r="AR440" s="134"/>
      <c r="AS440" s="134"/>
      <c r="AT440" s="134"/>
      <c r="AU440" s="134"/>
      <c r="AV440" s="134"/>
      <c r="AW440" s="134"/>
      <c r="AX440" s="134"/>
      <c r="AY440" s="134"/>
      <c r="AZ440" s="134"/>
      <c r="BA440" s="134"/>
      <c r="BB440" s="134"/>
      <c r="BC440" s="134"/>
      <c r="BD440" s="134"/>
      <c r="BE440" s="134"/>
      <c r="BF440" s="134"/>
      <c r="BG440" s="134"/>
      <c r="BH440" s="134"/>
      <c r="BI440" s="134"/>
      <c r="BJ440" s="134"/>
      <c r="BK440" s="134"/>
      <c r="BL440" s="134"/>
      <c r="BM440" s="135"/>
      <c r="BN440" s="136" t="n">
        <f aca="false">+MAX($D$3,DATOS_[[#This Row],[Fecha Inicio Sit. Contract.]])</f>
        <v>0</v>
      </c>
      <c r="BO440" s="136" t="n">
        <f aca="false">+MIN($D$4,DATOS_[[#This Row],[Fecha Fin Sit. Contract.]])</f>
        <v>0</v>
      </c>
      <c r="BP440" s="137" t="n">
        <f aca="false">+DATOS_[[#This Row],[% de jornada]]*IF(DATOS_[[#This Row],[% jornada reducida]]="",1,DATOS_[[#This Row],[% jornada reducida]])</f>
        <v>0</v>
      </c>
      <c r="BQ440" s="137" t="n">
        <f aca="false">+(DATOS_[[#This Row],[F.fin.cal]]-DATOS_[[#This Row],[F.ini.cal]]+1)/($D$4-$D$3+1)</f>
        <v>1</v>
      </c>
      <c r="BR440" s="137" t="str">
        <f aca="false">IF(OR(AND(DATOS_[[#This Row],[Fecha Fin Contrato]]&lt;$D$3,DATOS_[[#This Row],[Fecha Fin Contrato]]&lt;&gt;""),DATOS_[[#This Row],[Fecha de Contratación]]&gt;$D$4),"Fuera","Dentro")</f>
        <v>Dentro</v>
      </c>
      <c r="BS440" s="137" t="str">
        <f aca="false" t="array" ref="BS440:BS440">IF(MAX(IF(DATOS_[id]=DATOS_[[#This Row],[id]],DATOS_[F.fin.cal]))=DATOS_[[#This Row],[F.fin.cal]],"Sí","NO")</f>
        <v>Sí</v>
      </c>
      <c r="BT440" s="137" t="str">
        <f aca="false">IF(AND(DATOS_[[#This Row],[% normaliz]]&lt;&gt;1,DATOS_[[#This Row],[% anualiz]]=1),"Sí","NO")</f>
        <v>Sí</v>
      </c>
      <c r="BU440" s="137" t="str">
        <f aca="false">IF(AND(DATOS_[[#This Row],[% normaliz]]=1,DATOS_[[#This Row],[% anualiz]]&lt;&gt;1),"Sí","NO")</f>
        <v>NO</v>
      </c>
      <c r="BV440" s="137" t="str">
        <f aca="false">IF(AND(DATOS_[[#This Row],[% normaliz]]&lt;&gt;1,DATOS_[[#This Row],[% anualiz]]&lt;&gt;1),"Sí","NO")</f>
        <v>NO</v>
      </c>
      <c r="BW440" s="137" t="str">
        <f aca="false">+IF(DATOS_[[#This Row],[% normaliz]]*DATOS_[[#This Row],[% anualiz]]=1,"NO","Sí")</f>
        <v>Sí</v>
      </c>
      <c r="BX440" s="138" t="e">
        <f aca="false">(DATOS_[[#This Row],[S.BASE]]*(1/DATOS_[[#This Row],[% normaliz]])*(1/DATOS_[[#This Row],[% anualiz]]))*IF(DATOS_[[#This Row],[Check Equiparado]]="Sí",1,0)</f>
        <v>#DIV/0!</v>
      </c>
      <c r="BY4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0" s="138" t="e">
        <f aca="false">+DATOS_[[#This Row],[SALARIO BASE Eq]]+DATOS_[[#This Row],[Tot COMPL.SAL Eq]]</f>
        <v>#DIV/0!</v>
      </c>
      <c r="CA440" s="138" t="e">
        <f aca="false" t="array" ref="CA440:CA4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0" s="138" t="e">
        <f aca="false">+DATOS_[[#This Row],[TOTAL SALARIO Eq]]+DATOS_[[#This Row],[Tot Extrasalarial Eq]]</f>
        <v>#DIV/0!</v>
      </c>
      <c r="CC440" s="139" t="n">
        <f aca="false">DATOS_[[#This Row],[S.BASE]]</f>
        <v>0</v>
      </c>
      <c r="CD440" s="139" t="n">
        <f aca="false">+SUM(DATOS_[[#This Row],[Conc.Sal.01]:[Conc.Sal.30]])</f>
        <v>0</v>
      </c>
      <c r="CE440" s="139" t="n">
        <f aca="false">+DATOS_[[#This Row],[SALARIO BASE Ef]]+DATOS_[[#This Row],[Tot COMPL.SAL Ef]]</f>
        <v>0</v>
      </c>
      <c r="CF440" s="139" t="n">
        <f aca="false">+SUM(DATOS_[[#This Row],[C.Extra.01]:[C.Extra.05]])</f>
        <v>0</v>
      </c>
      <c r="CG440" s="139" t="n">
        <f aca="false">+DATOS_[[#This Row],[TOTAL SALARIO Ef]]+DATOS_[[#This Row],[Tot Extrasalarial Ef]]</f>
        <v>0</v>
      </c>
      <c r="CH440" s="140" t="n">
        <f aca="false">MIN(IF(DATOS_[[#This Row],[Fecha Fin Contrato]]="",$D$4,DATOS_[[#This Row],[Fecha Fin Contrato]]),$D$4)-MAX(DATOS_[[#This Row],[Fecha de Contratación]],$D$3)+1</f>
        <v>1</v>
      </c>
      <c r="CI440" s="141" t="str">
        <f aca="false">IF(COUNTIFS(DATOS_[id],DATOS_[[#This Row],[id]])&gt;1,DATOS_[[#This Row],[id]],"")</f>
        <v/>
      </c>
      <c r="CJ440" s="141" t="n">
        <f aca="false">(Inicio!$G$10-DATOS_[[#This Row],[Fecha Nacimiento]])/365.25</f>
        <v>0</v>
      </c>
      <c r="CK440" s="141" t="n">
        <f aca="false">(Inicio!$G$10-DATOS_[[#This Row],[Fecha de Antigüedad]])/365.25</f>
        <v>0</v>
      </c>
      <c r="CL440" s="141" t="e">
        <f aca="false">+VLOOKUP(DATOS_[[#This Row],[Clave de Contrato]],TblTiposContrato13[],3,0)</f>
        <v>#N/A</v>
      </c>
      <c r="CM440" s="141" t="e">
        <f aca="false">+VLOOKUP(DATOS_[[#This Row],[Clave de Contrato]],TblTiposContrato13[],4,0)</f>
        <v>#N/A</v>
      </c>
      <c r="CN440" s="141" t="str">
        <f aca="false">VLOOKUP(DATOS_[[#This Row],[Edad]],CONTRATOS!TblRngEdad,2,1)</f>
        <v>20  o menos</v>
      </c>
      <c r="CO440" s="141" t="str">
        <f aca="false">VLOOKUP(DATOS_[[#This Row],[Antigüedad]],TblRngAntg14[],2,1)</f>
        <v>0 a 1 años</v>
      </c>
    </row>
    <row r="441" customFormat="false" ht="13.8" hidden="false" customHeight="false" outlineLevel="0" collapsed="false">
      <c r="D441" s="128"/>
      <c r="E441" s="129"/>
      <c r="F441" s="129"/>
      <c r="G441" s="129"/>
      <c r="H441" s="130"/>
      <c r="I441" s="131"/>
      <c r="J441" s="128"/>
      <c r="K441" s="132"/>
      <c r="L441" s="132"/>
      <c r="M441" s="133"/>
      <c r="N441" s="133"/>
      <c r="O441" s="133"/>
      <c r="P441" s="129"/>
      <c r="Z441" s="75"/>
      <c r="AA441" s="76"/>
      <c r="AB441" s="76"/>
      <c r="AC441" s="129"/>
      <c r="AD441" s="134"/>
      <c r="AE441" s="134"/>
      <c r="AF441" s="134"/>
      <c r="AG441" s="134"/>
      <c r="AH441" s="134"/>
      <c r="AI441" s="134"/>
      <c r="AJ441" s="134"/>
      <c r="AK441" s="134"/>
      <c r="AL441" s="134"/>
      <c r="AM441" s="134"/>
      <c r="AN441" s="134"/>
      <c r="AO441" s="134"/>
      <c r="AP441" s="134"/>
      <c r="AQ441" s="134"/>
      <c r="AR441" s="134"/>
      <c r="AS441" s="134"/>
      <c r="AT441" s="134"/>
      <c r="AU441" s="134"/>
      <c r="AV441" s="134"/>
      <c r="AW441" s="134"/>
      <c r="AX441" s="134"/>
      <c r="AY441" s="134"/>
      <c r="AZ441" s="134"/>
      <c r="BA441" s="134"/>
      <c r="BB441" s="134"/>
      <c r="BC441" s="134"/>
      <c r="BD441" s="134"/>
      <c r="BE441" s="134"/>
      <c r="BF441" s="134"/>
      <c r="BG441" s="134"/>
      <c r="BH441" s="134"/>
      <c r="BI441" s="134"/>
      <c r="BJ441" s="134"/>
      <c r="BK441" s="134"/>
      <c r="BL441" s="134"/>
      <c r="BM441" s="135"/>
      <c r="BN441" s="136" t="n">
        <f aca="false">+MAX($D$3,DATOS_[[#This Row],[Fecha Inicio Sit. Contract.]])</f>
        <v>0</v>
      </c>
      <c r="BO441" s="136" t="n">
        <f aca="false">+MIN($D$4,DATOS_[[#This Row],[Fecha Fin Sit. Contract.]])</f>
        <v>0</v>
      </c>
      <c r="BP441" s="137" t="n">
        <f aca="false">+DATOS_[[#This Row],[% de jornada]]*IF(DATOS_[[#This Row],[% jornada reducida]]="",1,DATOS_[[#This Row],[% jornada reducida]])</f>
        <v>0</v>
      </c>
      <c r="BQ441" s="137" t="n">
        <f aca="false">+(DATOS_[[#This Row],[F.fin.cal]]-DATOS_[[#This Row],[F.ini.cal]]+1)/($D$4-$D$3+1)</f>
        <v>1</v>
      </c>
      <c r="BR441" s="137" t="str">
        <f aca="false">IF(OR(AND(DATOS_[[#This Row],[Fecha Fin Contrato]]&lt;$D$3,DATOS_[[#This Row],[Fecha Fin Contrato]]&lt;&gt;""),DATOS_[[#This Row],[Fecha de Contratación]]&gt;$D$4),"Fuera","Dentro")</f>
        <v>Dentro</v>
      </c>
      <c r="BS441" s="137" t="str">
        <f aca="false" t="array" ref="BS441:BS441">IF(MAX(IF(DATOS_[id]=DATOS_[[#This Row],[id]],DATOS_[F.fin.cal]))=DATOS_[[#This Row],[F.fin.cal]],"Sí","NO")</f>
        <v>Sí</v>
      </c>
      <c r="BT441" s="137" t="str">
        <f aca="false">IF(AND(DATOS_[[#This Row],[% normaliz]]&lt;&gt;1,DATOS_[[#This Row],[% anualiz]]=1),"Sí","NO")</f>
        <v>Sí</v>
      </c>
      <c r="BU441" s="137" t="str">
        <f aca="false">IF(AND(DATOS_[[#This Row],[% normaliz]]=1,DATOS_[[#This Row],[% anualiz]]&lt;&gt;1),"Sí","NO")</f>
        <v>NO</v>
      </c>
      <c r="BV441" s="137" t="str">
        <f aca="false">IF(AND(DATOS_[[#This Row],[% normaliz]]&lt;&gt;1,DATOS_[[#This Row],[% anualiz]]&lt;&gt;1),"Sí","NO")</f>
        <v>NO</v>
      </c>
      <c r="BW441" s="137" t="str">
        <f aca="false">+IF(DATOS_[[#This Row],[% normaliz]]*DATOS_[[#This Row],[% anualiz]]=1,"NO","Sí")</f>
        <v>Sí</v>
      </c>
      <c r="BX441" s="138" t="e">
        <f aca="false">(DATOS_[[#This Row],[S.BASE]]*(1/DATOS_[[#This Row],[% normaliz]])*(1/DATOS_[[#This Row],[% anualiz]]))*IF(DATOS_[[#This Row],[Check Equiparado]]="Sí",1,0)</f>
        <v>#DIV/0!</v>
      </c>
      <c r="BY4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1" s="138" t="e">
        <f aca="false">+DATOS_[[#This Row],[SALARIO BASE Eq]]+DATOS_[[#This Row],[Tot COMPL.SAL Eq]]</f>
        <v>#DIV/0!</v>
      </c>
      <c r="CA441" s="138" t="e">
        <f aca="false" t="array" ref="CA441:CA4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1" s="138" t="e">
        <f aca="false">+DATOS_[[#This Row],[TOTAL SALARIO Eq]]+DATOS_[[#This Row],[Tot Extrasalarial Eq]]</f>
        <v>#DIV/0!</v>
      </c>
      <c r="CC441" s="139" t="n">
        <f aca="false">DATOS_[[#This Row],[S.BASE]]</f>
        <v>0</v>
      </c>
      <c r="CD441" s="139" t="n">
        <f aca="false">+SUM(DATOS_[[#This Row],[Conc.Sal.01]:[Conc.Sal.30]])</f>
        <v>0</v>
      </c>
      <c r="CE441" s="139" t="n">
        <f aca="false">+DATOS_[[#This Row],[SALARIO BASE Ef]]+DATOS_[[#This Row],[Tot COMPL.SAL Ef]]</f>
        <v>0</v>
      </c>
      <c r="CF441" s="139" t="n">
        <f aca="false">+SUM(DATOS_[[#This Row],[C.Extra.01]:[C.Extra.05]])</f>
        <v>0</v>
      </c>
      <c r="CG441" s="139" t="n">
        <f aca="false">+DATOS_[[#This Row],[TOTAL SALARIO Ef]]+DATOS_[[#This Row],[Tot Extrasalarial Ef]]</f>
        <v>0</v>
      </c>
      <c r="CH441" s="140" t="n">
        <f aca="false">MIN(IF(DATOS_[[#This Row],[Fecha Fin Contrato]]="",$D$4,DATOS_[[#This Row],[Fecha Fin Contrato]]),$D$4)-MAX(DATOS_[[#This Row],[Fecha de Contratación]],$D$3)+1</f>
        <v>1</v>
      </c>
      <c r="CI441" s="141" t="str">
        <f aca="false">IF(COUNTIFS(DATOS_[id],DATOS_[[#This Row],[id]])&gt;1,DATOS_[[#This Row],[id]],"")</f>
        <v/>
      </c>
      <c r="CJ441" s="141" t="n">
        <f aca="false">(Inicio!$G$10-DATOS_[[#This Row],[Fecha Nacimiento]])/365.25</f>
        <v>0</v>
      </c>
      <c r="CK441" s="141" t="n">
        <f aca="false">(Inicio!$G$10-DATOS_[[#This Row],[Fecha de Antigüedad]])/365.25</f>
        <v>0</v>
      </c>
      <c r="CL441" s="141" t="e">
        <f aca="false">+VLOOKUP(DATOS_[[#This Row],[Clave de Contrato]],TblTiposContrato13[],3,0)</f>
        <v>#N/A</v>
      </c>
      <c r="CM441" s="141" t="e">
        <f aca="false">+VLOOKUP(DATOS_[[#This Row],[Clave de Contrato]],TblTiposContrato13[],4,0)</f>
        <v>#N/A</v>
      </c>
      <c r="CN441" s="141" t="str">
        <f aca="false">VLOOKUP(DATOS_[[#This Row],[Edad]],CONTRATOS!TblRngEdad,2,1)</f>
        <v>20  o menos</v>
      </c>
      <c r="CO441" s="141" t="str">
        <f aca="false">VLOOKUP(DATOS_[[#This Row],[Antigüedad]],TblRngAntg14[],2,1)</f>
        <v>0 a 1 años</v>
      </c>
    </row>
    <row r="442" customFormat="false" ht="13.8" hidden="false" customHeight="false" outlineLevel="0" collapsed="false">
      <c r="D442" s="128"/>
      <c r="E442" s="129"/>
      <c r="F442" s="129"/>
      <c r="G442" s="129"/>
      <c r="H442" s="130"/>
      <c r="I442" s="131"/>
      <c r="J442" s="128"/>
      <c r="K442" s="132"/>
      <c r="L442" s="132"/>
      <c r="M442" s="133"/>
      <c r="N442" s="133"/>
      <c r="O442" s="133"/>
      <c r="P442" s="129"/>
      <c r="Z442" s="75"/>
      <c r="AA442" s="76"/>
      <c r="AB442" s="76"/>
      <c r="AC442" s="129"/>
      <c r="AD442" s="134"/>
      <c r="AE442" s="134"/>
      <c r="AF442" s="134"/>
      <c r="AG442" s="134"/>
      <c r="AH442" s="134"/>
      <c r="AI442" s="134"/>
      <c r="AJ442" s="134"/>
      <c r="AK442" s="134"/>
      <c r="AL442" s="134"/>
      <c r="AM442" s="134"/>
      <c r="AN442" s="134"/>
      <c r="AO442" s="134"/>
      <c r="AP442" s="134"/>
      <c r="AQ442" s="134"/>
      <c r="AR442" s="134"/>
      <c r="AS442" s="134"/>
      <c r="AT442" s="134"/>
      <c r="AU442" s="134"/>
      <c r="AV442" s="134"/>
      <c r="AW442" s="134"/>
      <c r="AX442" s="134"/>
      <c r="AY442" s="134"/>
      <c r="AZ442" s="134"/>
      <c r="BA442" s="134"/>
      <c r="BB442" s="134"/>
      <c r="BC442" s="134"/>
      <c r="BD442" s="134"/>
      <c r="BE442" s="134"/>
      <c r="BF442" s="134"/>
      <c r="BG442" s="134"/>
      <c r="BH442" s="134"/>
      <c r="BI442" s="134"/>
      <c r="BJ442" s="134"/>
      <c r="BK442" s="134"/>
      <c r="BL442" s="134"/>
      <c r="BM442" s="135"/>
      <c r="BN442" s="136" t="n">
        <f aca="false">+MAX($D$3,DATOS_[[#This Row],[Fecha Inicio Sit. Contract.]])</f>
        <v>0</v>
      </c>
      <c r="BO442" s="136" t="n">
        <f aca="false">+MIN($D$4,DATOS_[[#This Row],[Fecha Fin Sit. Contract.]])</f>
        <v>0</v>
      </c>
      <c r="BP442" s="137" t="n">
        <f aca="false">+DATOS_[[#This Row],[% de jornada]]*IF(DATOS_[[#This Row],[% jornada reducida]]="",1,DATOS_[[#This Row],[% jornada reducida]])</f>
        <v>0</v>
      </c>
      <c r="BQ442" s="137" t="n">
        <f aca="false">+(DATOS_[[#This Row],[F.fin.cal]]-DATOS_[[#This Row],[F.ini.cal]]+1)/($D$4-$D$3+1)</f>
        <v>1</v>
      </c>
      <c r="BR442" s="137" t="str">
        <f aca="false">IF(OR(AND(DATOS_[[#This Row],[Fecha Fin Contrato]]&lt;$D$3,DATOS_[[#This Row],[Fecha Fin Contrato]]&lt;&gt;""),DATOS_[[#This Row],[Fecha de Contratación]]&gt;$D$4),"Fuera","Dentro")</f>
        <v>Dentro</v>
      </c>
      <c r="BS442" s="137" t="str">
        <f aca="false" t="array" ref="BS442:BS442">IF(MAX(IF(DATOS_[id]=DATOS_[[#This Row],[id]],DATOS_[F.fin.cal]))=DATOS_[[#This Row],[F.fin.cal]],"Sí","NO")</f>
        <v>Sí</v>
      </c>
      <c r="BT442" s="137" t="str">
        <f aca="false">IF(AND(DATOS_[[#This Row],[% normaliz]]&lt;&gt;1,DATOS_[[#This Row],[% anualiz]]=1),"Sí","NO")</f>
        <v>Sí</v>
      </c>
      <c r="BU442" s="137" t="str">
        <f aca="false">IF(AND(DATOS_[[#This Row],[% normaliz]]=1,DATOS_[[#This Row],[% anualiz]]&lt;&gt;1),"Sí","NO")</f>
        <v>NO</v>
      </c>
      <c r="BV442" s="137" t="str">
        <f aca="false">IF(AND(DATOS_[[#This Row],[% normaliz]]&lt;&gt;1,DATOS_[[#This Row],[% anualiz]]&lt;&gt;1),"Sí","NO")</f>
        <v>NO</v>
      </c>
      <c r="BW442" s="137" t="str">
        <f aca="false">+IF(DATOS_[[#This Row],[% normaliz]]*DATOS_[[#This Row],[% anualiz]]=1,"NO","Sí")</f>
        <v>Sí</v>
      </c>
      <c r="BX442" s="138" t="e">
        <f aca="false">(DATOS_[[#This Row],[S.BASE]]*(1/DATOS_[[#This Row],[% normaliz]])*(1/DATOS_[[#This Row],[% anualiz]]))*IF(DATOS_[[#This Row],[Check Equiparado]]="Sí",1,0)</f>
        <v>#DIV/0!</v>
      </c>
      <c r="BY4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2" s="138" t="e">
        <f aca="false">+DATOS_[[#This Row],[SALARIO BASE Eq]]+DATOS_[[#This Row],[Tot COMPL.SAL Eq]]</f>
        <v>#DIV/0!</v>
      </c>
      <c r="CA442" s="138" t="e">
        <f aca="false" t="array" ref="CA442:CA4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2" s="138" t="e">
        <f aca="false">+DATOS_[[#This Row],[TOTAL SALARIO Eq]]+DATOS_[[#This Row],[Tot Extrasalarial Eq]]</f>
        <v>#DIV/0!</v>
      </c>
      <c r="CC442" s="139" t="n">
        <f aca="false">DATOS_[[#This Row],[S.BASE]]</f>
        <v>0</v>
      </c>
      <c r="CD442" s="139" t="n">
        <f aca="false">+SUM(DATOS_[[#This Row],[Conc.Sal.01]:[Conc.Sal.30]])</f>
        <v>0</v>
      </c>
      <c r="CE442" s="139" t="n">
        <f aca="false">+DATOS_[[#This Row],[SALARIO BASE Ef]]+DATOS_[[#This Row],[Tot COMPL.SAL Ef]]</f>
        <v>0</v>
      </c>
      <c r="CF442" s="139" t="n">
        <f aca="false">+SUM(DATOS_[[#This Row],[C.Extra.01]:[C.Extra.05]])</f>
        <v>0</v>
      </c>
      <c r="CG442" s="139" t="n">
        <f aca="false">+DATOS_[[#This Row],[TOTAL SALARIO Ef]]+DATOS_[[#This Row],[Tot Extrasalarial Ef]]</f>
        <v>0</v>
      </c>
      <c r="CH442" s="140" t="n">
        <f aca="false">MIN(IF(DATOS_[[#This Row],[Fecha Fin Contrato]]="",$D$4,DATOS_[[#This Row],[Fecha Fin Contrato]]),$D$4)-MAX(DATOS_[[#This Row],[Fecha de Contratación]],$D$3)+1</f>
        <v>1</v>
      </c>
      <c r="CI442" s="141" t="str">
        <f aca="false">IF(COUNTIFS(DATOS_[id],DATOS_[[#This Row],[id]])&gt;1,DATOS_[[#This Row],[id]],"")</f>
        <v/>
      </c>
      <c r="CJ442" s="141" t="n">
        <f aca="false">(Inicio!$G$10-DATOS_[[#This Row],[Fecha Nacimiento]])/365.25</f>
        <v>0</v>
      </c>
      <c r="CK442" s="141" t="n">
        <f aca="false">(Inicio!$G$10-DATOS_[[#This Row],[Fecha de Antigüedad]])/365.25</f>
        <v>0</v>
      </c>
      <c r="CL442" s="141" t="e">
        <f aca="false">+VLOOKUP(DATOS_[[#This Row],[Clave de Contrato]],TblTiposContrato13[],3,0)</f>
        <v>#N/A</v>
      </c>
      <c r="CM442" s="141" t="e">
        <f aca="false">+VLOOKUP(DATOS_[[#This Row],[Clave de Contrato]],TblTiposContrato13[],4,0)</f>
        <v>#N/A</v>
      </c>
      <c r="CN442" s="141" t="str">
        <f aca="false">VLOOKUP(DATOS_[[#This Row],[Edad]],CONTRATOS!TblRngEdad,2,1)</f>
        <v>20  o menos</v>
      </c>
      <c r="CO442" s="141" t="str">
        <f aca="false">VLOOKUP(DATOS_[[#This Row],[Antigüedad]],TblRngAntg14[],2,1)</f>
        <v>0 a 1 años</v>
      </c>
    </row>
    <row r="443" customFormat="false" ht="13.8" hidden="false" customHeight="false" outlineLevel="0" collapsed="false">
      <c r="D443" s="128"/>
      <c r="E443" s="129"/>
      <c r="F443" s="129"/>
      <c r="G443" s="129"/>
      <c r="H443" s="130"/>
      <c r="I443" s="131"/>
      <c r="J443" s="128"/>
      <c r="K443" s="132"/>
      <c r="L443" s="132"/>
      <c r="M443" s="133"/>
      <c r="N443" s="133"/>
      <c r="O443" s="133"/>
      <c r="P443" s="129"/>
      <c r="Z443" s="75"/>
      <c r="AA443" s="76"/>
      <c r="AB443" s="76"/>
      <c r="AC443" s="129"/>
      <c r="AD443" s="134"/>
      <c r="AE443" s="134"/>
      <c r="AF443" s="134"/>
      <c r="AG443" s="134"/>
      <c r="AH443" s="134"/>
      <c r="AI443" s="134"/>
      <c r="AJ443" s="134"/>
      <c r="AK443" s="134"/>
      <c r="AL443" s="134"/>
      <c r="AM443" s="134"/>
      <c r="AN443" s="134"/>
      <c r="AO443" s="134"/>
      <c r="AP443" s="134"/>
      <c r="AQ443" s="134"/>
      <c r="AR443" s="134"/>
      <c r="AS443" s="134"/>
      <c r="AT443" s="134"/>
      <c r="AU443" s="134"/>
      <c r="AV443" s="134"/>
      <c r="AW443" s="134"/>
      <c r="AX443" s="134"/>
      <c r="AY443" s="134"/>
      <c r="AZ443" s="134"/>
      <c r="BA443" s="134"/>
      <c r="BB443" s="134"/>
      <c r="BC443" s="134"/>
      <c r="BD443" s="134"/>
      <c r="BE443" s="134"/>
      <c r="BF443" s="134"/>
      <c r="BG443" s="134"/>
      <c r="BH443" s="134"/>
      <c r="BI443" s="134"/>
      <c r="BJ443" s="134"/>
      <c r="BK443" s="134"/>
      <c r="BL443" s="134"/>
      <c r="BM443" s="135"/>
      <c r="BN443" s="136" t="n">
        <f aca="false">+MAX($D$3,DATOS_[[#This Row],[Fecha Inicio Sit. Contract.]])</f>
        <v>0</v>
      </c>
      <c r="BO443" s="136" t="n">
        <f aca="false">+MIN($D$4,DATOS_[[#This Row],[Fecha Fin Sit. Contract.]])</f>
        <v>0</v>
      </c>
      <c r="BP443" s="137" t="n">
        <f aca="false">+DATOS_[[#This Row],[% de jornada]]*IF(DATOS_[[#This Row],[% jornada reducida]]="",1,DATOS_[[#This Row],[% jornada reducida]])</f>
        <v>0</v>
      </c>
      <c r="BQ443" s="137" t="n">
        <f aca="false">+(DATOS_[[#This Row],[F.fin.cal]]-DATOS_[[#This Row],[F.ini.cal]]+1)/($D$4-$D$3+1)</f>
        <v>1</v>
      </c>
      <c r="BR443" s="137" t="str">
        <f aca="false">IF(OR(AND(DATOS_[[#This Row],[Fecha Fin Contrato]]&lt;$D$3,DATOS_[[#This Row],[Fecha Fin Contrato]]&lt;&gt;""),DATOS_[[#This Row],[Fecha de Contratación]]&gt;$D$4),"Fuera","Dentro")</f>
        <v>Dentro</v>
      </c>
      <c r="BS443" s="137" t="str">
        <f aca="false" t="array" ref="BS443:BS443">IF(MAX(IF(DATOS_[id]=DATOS_[[#This Row],[id]],DATOS_[F.fin.cal]))=DATOS_[[#This Row],[F.fin.cal]],"Sí","NO")</f>
        <v>Sí</v>
      </c>
      <c r="BT443" s="137" t="str">
        <f aca="false">IF(AND(DATOS_[[#This Row],[% normaliz]]&lt;&gt;1,DATOS_[[#This Row],[% anualiz]]=1),"Sí","NO")</f>
        <v>Sí</v>
      </c>
      <c r="BU443" s="137" t="str">
        <f aca="false">IF(AND(DATOS_[[#This Row],[% normaliz]]=1,DATOS_[[#This Row],[% anualiz]]&lt;&gt;1),"Sí","NO")</f>
        <v>NO</v>
      </c>
      <c r="BV443" s="137" t="str">
        <f aca="false">IF(AND(DATOS_[[#This Row],[% normaliz]]&lt;&gt;1,DATOS_[[#This Row],[% anualiz]]&lt;&gt;1),"Sí","NO")</f>
        <v>NO</v>
      </c>
      <c r="BW443" s="137" t="str">
        <f aca="false">+IF(DATOS_[[#This Row],[% normaliz]]*DATOS_[[#This Row],[% anualiz]]=1,"NO","Sí")</f>
        <v>Sí</v>
      </c>
      <c r="BX443" s="138" t="e">
        <f aca="false">(DATOS_[[#This Row],[S.BASE]]*(1/DATOS_[[#This Row],[% normaliz]])*(1/DATOS_[[#This Row],[% anualiz]]))*IF(DATOS_[[#This Row],[Check Equiparado]]="Sí",1,0)</f>
        <v>#DIV/0!</v>
      </c>
      <c r="BY4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3" s="138" t="e">
        <f aca="false">+DATOS_[[#This Row],[SALARIO BASE Eq]]+DATOS_[[#This Row],[Tot COMPL.SAL Eq]]</f>
        <v>#DIV/0!</v>
      </c>
      <c r="CA443" s="138" t="e">
        <f aca="false" t="array" ref="CA443:CA4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3" s="138" t="e">
        <f aca="false">+DATOS_[[#This Row],[TOTAL SALARIO Eq]]+DATOS_[[#This Row],[Tot Extrasalarial Eq]]</f>
        <v>#DIV/0!</v>
      </c>
      <c r="CC443" s="139" t="n">
        <f aca="false">DATOS_[[#This Row],[S.BASE]]</f>
        <v>0</v>
      </c>
      <c r="CD443" s="139" t="n">
        <f aca="false">+SUM(DATOS_[[#This Row],[Conc.Sal.01]:[Conc.Sal.30]])</f>
        <v>0</v>
      </c>
      <c r="CE443" s="139" t="n">
        <f aca="false">+DATOS_[[#This Row],[SALARIO BASE Ef]]+DATOS_[[#This Row],[Tot COMPL.SAL Ef]]</f>
        <v>0</v>
      </c>
      <c r="CF443" s="139" t="n">
        <f aca="false">+SUM(DATOS_[[#This Row],[C.Extra.01]:[C.Extra.05]])</f>
        <v>0</v>
      </c>
      <c r="CG443" s="139" t="n">
        <f aca="false">+DATOS_[[#This Row],[TOTAL SALARIO Ef]]+DATOS_[[#This Row],[Tot Extrasalarial Ef]]</f>
        <v>0</v>
      </c>
      <c r="CH443" s="140" t="n">
        <f aca="false">MIN(IF(DATOS_[[#This Row],[Fecha Fin Contrato]]="",$D$4,DATOS_[[#This Row],[Fecha Fin Contrato]]),$D$4)-MAX(DATOS_[[#This Row],[Fecha de Contratación]],$D$3)+1</f>
        <v>1</v>
      </c>
      <c r="CI443" s="141" t="str">
        <f aca="false">IF(COUNTIFS(DATOS_[id],DATOS_[[#This Row],[id]])&gt;1,DATOS_[[#This Row],[id]],"")</f>
        <v/>
      </c>
      <c r="CJ443" s="141" t="n">
        <f aca="false">(Inicio!$G$10-DATOS_[[#This Row],[Fecha Nacimiento]])/365.25</f>
        <v>0</v>
      </c>
      <c r="CK443" s="141" t="n">
        <f aca="false">(Inicio!$G$10-DATOS_[[#This Row],[Fecha de Antigüedad]])/365.25</f>
        <v>0</v>
      </c>
      <c r="CL443" s="141" t="e">
        <f aca="false">+VLOOKUP(DATOS_[[#This Row],[Clave de Contrato]],TblTiposContrato13[],3,0)</f>
        <v>#N/A</v>
      </c>
      <c r="CM443" s="141" t="e">
        <f aca="false">+VLOOKUP(DATOS_[[#This Row],[Clave de Contrato]],TblTiposContrato13[],4,0)</f>
        <v>#N/A</v>
      </c>
      <c r="CN443" s="141" t="str">
        <f aca="false">VLOOKUP(DATOS_[[#This Row],[Edad]],CONTRATOS!TblRngEdad,2,1)</f>
        <v>20  o menos</v>
      </c>
      <c r="CO443" s="141" t="str">
        <f aca="false">VLOOKUP(DATOS_[[#This Row],[Antigüedad]],TblRngAntg14[],2,1)</f>
        <v>0 a 1 años</v>
      </c>
    </row>
    <row r="444" customFormat="false" ht="13.8" hidden="false" customHeight="false" outlineLevel="0" collapsed="false">
      <c r="D444" s="128"/>
      <c r="E444" s="129"/>
      <c r="F444" s="129"/>
      <c r="G444" s="129"/>
      <c r="H444" s="130"/>
      <c r="I444" s="131"/>
      <c r="J444" s="128"/>
      <c r="K444" s="132"/>
      <c r="L444" s="132"/>
      <c r="M444" s="133"/>
      <c r="N444" s="133"/>
      <c r="O444" s="133"/>
      <c r="P444" s="129"/>
      <c r="Z444" s="75"/>
      <c r="AA444" s="76"/>
      <c r="AB444" s="76"/>
      <c r="AC444" s="129"/>
      <c r="AD444" s="134"/>
      <c r="AE444" s="134"/>
      <c r="AF444" s="134"/>
      <c r="AG444" s="134"/>
      <c r="AH444" s="134"/>
      <c r="AI444" s="134"/>
      <c r="AJ444" s="134"/>
      <c r="AK444" s="134"/>
      <c r="AL444" s="134"/>
      <c r="AM444" s="134"/>
      <c r="AN444" s="134"/>
      <c r="AO444" s="134"/>
      <c r="AP444" s="134"/>
      <c r="AQ444" s="134"/>
      <c r="AR444" s="134"/>
      <c r="AS444" s="134"/>
      <c r="AT444" s="134"/>
      <c r="AU444" s="134"/>
      <c r="AV444" s="134"/>
      <c r="AW444" s="134"/>
      <c r="AX444" s="134"/>
      <c r="AY444" s="134"/>
      <c r="AZ444" s="134"/>
      <c r="BA444" s="134"/>
      <c r="BB444" s="134"/>
      <c r="BC444" s="134"/>
      <c r="BD444" s="134"/>
      <c r="BE444" s="134"/>
      <c r="BF444" s="134"/>
      <c r="BG444" s="134"/>
      <c r="BH444" s="134"/>
      <c r="BI444" s="134"/>
      <c r="BJ444" s="134"/>
      <c r="BK444" s="134"/>
      <c r="BL444" s="134"/>
      <c r="BM444" s="135"/>
      <c r="BN444" s="136" t="n">
        <f aca="false">+MAX($D$3,DATOS_[[#This Row],[Fecha Inicio Sit. Contract.]])</f>
        <v>0</v>
      </c>
      <c r="BO444" s="136" t="n">
        <f aca="false">+MIN($D$4,DATOS_[[#This Row],[Fecha Fin Sit. Contract.]])</f>
        <v>0</v>
      </c>
      <c r="BP444" s="137" t="n">
        <f aca="false">+DATOS_[[#This Row],[% de jornada]]*IF(DATOS_[[#This Row],[% jornada reducida]]="",1,DATOS_[[#This Row],[% jornada reducida]])</f>
        <v>0</v>
      </c>
      <c r="BQ444" s="137" t="n">
        <f aca="false">+(DATOS_[[#This Row],[F.fin.cal]]-DATOS_[[#This Row],[F.ini.cal]]+1)/($D$4-$D$3+1)</f>
        <v>1</v>
      </c>
      <c r="BR444" s="137" t="str">
        <f aca="false">IF(OR(AND(DATOS_[[#This Row],[Fecha Fin Contrato]]&lt;$D$3,DATOS_[[#This Row],[Fecha Fin Contrato]]&lt;&gt;""),DATOS_[[#This Row],[Fecha de Contratación]]&gt;$D$4),"Fuera","Dentro")</f>
        <v>Dentro</v>
      </c>
      <c r="BS444" s="137" t="str">
        <f aca="false" t="array" ref="BS444:BS444">IF(MAX(IF(DATOS_[id]=DATOS_[[#This Row],[id]],DATOS_[F.fin.cal]))=DATOS_[[#This Row],[F.fin.cal]],"Sí","NO")</f>
        <v>Sí</v>
      </c>
      <c r="BT444" s="137" t="str">
        <f aca="false">IF(AND(DATOS_[[#This Row],[% normaliz]]&lt;&gt;1,DATOS_[[#This Row],[% anualiz]]=1),"Sí","NO")</f>
        <v>Sí</v>
      </c>
      <c r="BU444" s="137" t="str">
        <f aca="false">IF(AND(DATOS_[[#This Row],[% normaliz]]=1,DATOS_[[#This Row],[% anualiz]]&lt;&gt;1),"Sí","NO")</f>
        <v>NO</v>
      </c>
      <c r="BV444" s="137" t="str">
        <f aca="false">IF(AND(DATOS_[[#This Row],[% normaliz]]&lt;&gt;1,DATOS_[[#This Row],[% anualiz]]&lt;&gt;1),"Sí","NO")</f>
        <v>NO</v>
      </c>
      <c r="BW444" s="137" t="str">
        <f aca="false">+IF(DATOS_[[#This Row],[% normaliz]]*DATOS_[[#This Row],[% anualiz]]=1,"NO","Sí")</f>
        <v>Sí</v>
      </c>
      <c r="BX444" s="138" t="e">
        <f aca="false">(DATOS_[[#This Row],[S.BASE]]*(1/DATOS_[[#This Row],[% normaliz]])*(1/DATOS_[[#This Row],[% anualiz]]))*IF(DATOS_[[#This Row],[Check Equiparado]]="Sí",1,0)</f>
        <v>#DIV/0!</v>
      </c>
      <c r="BY4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4" s="138" t="e">
        <f aca="false">+DATOS_[[#This Row],[SALARIO BASE Eq]]+DATOS_[[#This Row],[Tot COMPL.SAL Eq]]</f>
        <v>#DIV/0!</v>
      </c>
      <c r="CA444" s="138" t="e">
        <f aca="false" t="array" ref="CA444:CA4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4" s="138" t="e">
        <f aca="false">+DATOS_[[#This Row],[TOTAL SALARIO Eq]]+DATOS_[[#This Row],[Tot Extrasalarial Eq]]</f>
        <v>#DIV/0!</v>
      </c>
      <c r="CC444" s="139" t="n">
        <f aca="false">DATOS_[[#This Row],[S.BASE]]</f>
        <v>0</v>
      </c>
      <c r="CD444" s="139" t="n">
        <f aca="false">+SUM(DATOS_[[#This Row],[Conc.Sal.01]:[Conc.Sal.30]])</f>
        <v>0</v>
      </c>
      <c r="CE444" s="139" t="n">
        <f aca="false">+DATOS_[[#This Row],[SALARIO BASE Ef]]+DATOS_[[#This Row],[Tot COMPL.SAL Ef]]</f>
        <v>0</v>
      </c>
      <c r="CF444" s="139" t="n">
        <f aca="false">+SUM(DATOS_[[#This Row],[C.Extra.01]:[C.Extra.05]])</f>
        <v>0</v>
      </c>
      <c r="CG444" s="139" t="n">
        <f aca="false">+DATOS_[[#This Row],[TOTAL SALARIO Ef]]+DATOS_[[#This Row],[Tot Extrasalarial Ef]]</f>
        <v>0</v>
      </c>
      <c r="CH444" s="140" t="n">
        <f aca="false">MIN(IF(DATOS_[[#This Row],[Fecha Fin Contrato]]="",$D$4,DATOS_[[#This Row],[Fecha Fin Contrato]]),$D$4)-MAX(DATOS_[[#This Row],[Fecha de Contratación]],$D$3)+1</f>
        <v>1</v>
      </c>
      <c r="CI444" s="141" t="str">
        <f aca="false">IF(COUNTIFS(DATOS_[id],DATOS_[[#This Row],[id]])&gt;1,DATOS_[[#This Row],[id]],"")</f>
        <v/>
      </c>
      <c r="CJ444" s="141" t="n">
        <f aca="false">(Inicio!$G$10-DATOS_[[#This Row],[Fecha Nacimiento]])/365.25</f>
        <v>0</v>
      </c>
      <c r="CK444" s="141" t="n">
        <f aca="false">(Inicio!$G$10-DATOS_[[#This Row],[Fecha de Antigüedad]])/365.25</f>
        <v>0</v>
      </c>
      <c r="CL444" s="141" t="e">
        <f aca="false">+VLOOKUP(DATOS_[[#This Row],[Clave de Contrato]],TblTiposContrato13[],3,0)</f>
        <v>#N/A</v>
      </c>
      <c r="CM444" s="141" t="e">
        <f aca="false">+VLOOKUP(DATOS_[[#This Row],[Clave de Contrato]],TblTiposContrato13[],4,0)</f>
        <v>#N/A</v>
      </c>
      <c r="CN444" s="141" t="str">
        <f aca="false">VLOOKUP(DATOS_[[#This Row],[Edad]],CONTRATOS!TblRngEdad,2,1)</f>
        <v>20  o menos</v>
      </c>
      <c r="CO444" s="141" t="str">
        <f aca="false">VLOOKUP(DATOS_[[#This Row],[Antigüedad]],TblRngAntg14[],2,1)</f>
        <v>0 a 1 años</v>
      </c>
    </row>
    <row r="445" customFormat="false" ht="13.8" hidden="false" customHeight="false" outlineLevel="0" collapsed="false">
      <c r="D445" s="128"/>
      <c r="E445" s="129"/>
      <c r="F445" s="129"/>
      <c r="G445" s="129"/>
      <c r="H445" s="130"/>
      <c r="I445" s="131"/>
      <c r="J445" s="128"/>
      <c r="K445" s="132"/>
      <c r="L445" s="132"/>
      <c r="M445" s="133"/>
      <c r="N445" s="133"/>
      <c r="O445" s="133"/>
      <c r="P445" s="129"/>
      <c r="Z445" s="75"/>
      <c r="AA445" s="76"/>
      <c r="AB445" s="76"/>
      <c r="AC445" s="129"/>
      <c r="AD445" s="134"/>
      <c r="AE445" s="134"/>
      <c r="AF445" s="134"/>
      <c r="AG445" s="134"/>
      <c r="AH445" s="134"/>
      <c r="AI445" s="134"/>
      <c r="AJ445" s="134"/>
      <c r="AK445" s="134"/>
      <c r="AL445" s="134"/>
      <c r="AM445" s="134"/>
      <c r="AN445" s="134"/>
      <c r="AO445" s="134"/>
      <c r="AP445" s="134"/>
      <c r="AQ445" s="134"/>
      <c r="AR445" s="134"/>
      <c r="AS445" s="134"/>
      <c r="AT445" s="134"/>
      <c r="AU445" s="134"/>
      <c r="AV445" s="134"/>
      <c r="AW445" s="134"/>
      <c r="AX445" s="134"/>
      <c r="AY445" s="134"/>
      <c r="AZ445" s="134"/>
      <c r="BA445" s="134"/>
      <c r="BB445" s="134"/>
      <c r="BC445" s="134"/>
      <c r="BD445" s="134"/>
      <c r="BE445" s="134"/>
      <c r="BF445" s="134"/>
      <c r="BG445" s="134"/>
      <c r="BH445" s="134"/>
      <c r="BI445" s="134"/>
      <c r="BJ445" s="134"/>
      <c r="BK445" s="134"/>
      <c r="BL445" s="134"/>
      <c r="BM445" s="135"/>
      <c r="BN445" s="136" t="n">
        <f aca="false">+MAX($D$3,DATOS_[[#This Row],[Fecha Inicio Sit. Contract.]])</f>
        <v>0</v>
      </c>
      <c r="BO445" s="136" t="n">
        <f aca="false">+MIN($D$4,DATOS_[[#This Row],[Fecha Fin Sit. Contract.]])</f>
        <v>0</v>
      </c>
      <c r="BP445" s="137" t="n">
        <f aca="false">+DATOS_[[#This Row],[% de jornada]]*IF(DATOS_[[#This Row],[% jornada reducida]]="",1,DATOS_[[#This Row],[% jornada reducida]])</f>
        <v>0</v>
      </c>
      <c r="BQ445" s="137" t="n">
        <f aca="false">+(DATOS_[[#This Row],[F.fin.cal]]-DATOS_[[#This Row],[F.ini.cal]]+1)/($D$4-$D$3+1)</f>
        <v>1</v>
      </c>
      <c r="BR445" s="137" t="str">
        <f aca="false">IF(OR(AND(DATOS_[[#This Row],[Fecha Fin Contrato]]&lt;$D$3,DATOS_[[#This Row],[Fecha Fin Contrato]]&lt;&gt;""),DATOS_[[#This Row],[Fecha de Contratación]]&gt;$D$4),"Fuera","Dentro")</f>
        <v>Dentro</v>
      </c>
      <c r="BS445" s="137" t="str">
        <f aca="false" t="array" ref="BS445:BS445">IF(MAX(IF(DATOS_[id]=DATOS_[[#This Row],[id]],DATOS_[F.fin.cal]))=DATOS_[[#This Row],[F.fin.cal]],"Sí","NO")</f>
        <v>Sí</v>
      </c>
      <c r="BT445" s="137" t="str">
        <f aca="false">IF(AND(DATOS_[[#This Row],[% normaliz]]&lt;&gt;1,DATOS_[[#This Row],[% anualiz]]=1),"Sí","NO")</f>
        <v>Sí</v>
      </c>
      <c r="BU445" s="137" t="str">
        <f aca="false">IF(AND(DATOS_[[#This Row],[% normaliz]]=1,DATOS_[[#This Row],[% anualiz]]&lt;&gt;1),"Sí","NO")</f>
        <v>NO</v>
      </c>
      <c r="BV445" s="137" t="str">
        <f aca="false">IF(AND(DATOS_[[#This Row],[% normaliz]]&lt;&gt;1,DATOS_[[#This Row],[% anualiz]]&lt;&gt;1),"Sí","NO")</f>
        <v>NO</v>
      </c>
      <c r="BW445" s="137" t="str">
        <f aca="false">+IF(DATOS_[[#This Row],[% normaliz]]*DATOS_[[#This Row],[% anualiz]]=1,"NO","Sí")</f>
        <v>Sí</v>
      </c>
      <c r="BX445" s="138" t="e">
        <f aca="false">(DATOS_[[#This Row],[S.BASE]]*(1/DATOS_[[#This Row],[% normaliz]])*(1/DATOS_[[#This Row],[% anualiz]]))*IF(DATOS_[[#This Row],[Check Equiparado]]="Sí",1,0)</f>
        <v>#DIV/0!</v>
      </c>
      <c r="BY4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5" s="138" t="e">
        <f aca="false">+DATOS_[[#This Row],[SALARIO BASE Eq]]+DATOS_[[#This Row],[Tot COMPL.SAL Eq]]</f>
        <v>#DIV/0!</v>
      </c>
      <c r="CA445" s="138" t="e">
        <f aca="false" t="array" ref="CA445:CA4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5" s="138" t="e">
        <f aca="false">+DATOS_[[#This Row],[TOTAL SALARIO Eq]]+DATOS_[[#This Row],[Tot Extrasalarial Eq]]</f>
        <v>#DIV/0!</v>
      </c>
      <c r="CC445" s="139" t="n">
        <f aca="false">DATOS_[[#This Row],[S.BASE]]</f>
        <v>0</v>
      </c>
      <c r="CD445" s="139" t="n">
        <f aca="false">+SUM(DATOS_[[#This Row],[Conc.Sal.01]:[Conc.Sal.30]])</f>
        <v>0</v>
      </c>
      <c r="CE445" s="139" t="n">
        <f aca="false">+DATOS_[[#This Row],[SALARIO BASE Ef]]+DATOS_[[#This Row],[Tot COMPL.SAL Ef]]</f>
        <v>0</v>
      </c>
      <c r="CF445" s="139" t="n">
        <f aca="false">+SUM(DATOS_[[#This Row],[C.Extra.01]:[C.Extra.05]])</f>
        <v>0</v>
      </c>
      <c r="CG445" s="139" t="n">
        <f aca="false">+DATOS_[[#This Row],[TOTAL SALARIO Ef]]+DATOS_[[#This Row],[Tot Extrasalarial Ef]]</f>
        <v>0</v>
      </c>
      <c r="CH445" s="140" t="n">
        <f aca="false">MIN(IF(DATOS_[[#This Row],[Fecha Fin Contrato]]="",$D$4,DATOS_[[#This Row],[Fecha Fin Contrato]]),$D$4)-MAX(DATOS_[[#This Row],[Fecha de Contratación]],$D$3)+1</f>
        <v>1</v>
      </c>
      <c r="CI445" s="141" t="str">
        <f aca="false">IF(COUNTIFS(DATOS_[id],DATOS_[[#This Row],[id]])&gt;1,DATOS_[[#This Row],[id]],"")</f>
        <v/>
      </c>
      <c r="CJ445" s="141" t="n">
        <f aca="false">(Inicio!$G$10-DATOS_[[#This Row],[Fecha Nacimiento]])/365.25</f>
        <v>0</v>
      </c>
      <c r="CK445" s="141" t="n">
        <f aca="false">(Inicio!$G$10-DATOS_[[#This Row],[Fecha de Antigüedad]])/365.25</f>
        <v>0</v>
      </c>
      <c r="CL445" s="141" t="e">
        <f aca="false">+VLOOKUP(DATOS_[[#This Row],[Clave de Contrato]],TblTiposContrato13[],3,0)</f>
        <v>#N/A</v>
      </c>
      <c r="CM445" s="141" t="e">
        <f aca="false">+VLOOKUP(DATOS_[[#This Row],[Clave de Contrato]],TblTiposContrato13[],4,0)</f>
        <v>#N/A</v>
      </c>
      <c r="CN445" s="141" t="str">
        <f aca="false">VLOOKUP(DATOS_[[#This Row],[Edad]],CONTRATOS!TblRngEdad,2,1)</f>
        <v>20  o menos</v>
      </c>
      <c r="CO445" s="141" t="str">
        <f aca="false">VLOOKUP(DATOS_[[#This Row],[Antigüedad]],TblRngAntg14[],2,1)</f>
        <v>0 a 1 años</v>
      </c>
    </row>
    <row r="446" customFormat="false" ht="13.8" hidden="false" customHeight="false" outlineLevel="0" collapsed="false">
      <c r="D446" s="128"/>
      <c r="E446" s="129"/>
      <c r="F446" s="129"/>
      <c r="G446" s="129"/>
      <c r="H446" s="130"/>
      <c r="I446" s="131"/>
      <c r="J446" s="128"/>
      <c r="K446" s="132"/>
      <c r="L446" s="132"/>
      <c r="M446" s="133"/>
      <c r="N446" s="133"/>
      <c r="O446" s="133"/>
      <c r="P446" s="129"/>
      <c r="Z446" s="75"/>
      <c r="AA446" s="76"/>
      <c r="AB446" s="76"/>
      <c r="AC446" s="129"/>
      <c r="AD446" s="134"/>
      <c r="AE446" s="134"/>
      <c r="AF446" s="134"/>
      <c r="AG446" s="134"/>
      <c r="AH446" s="134"/>
      <c r="AI446" s="134"/>
      <c r="AJ446" s="134"/>
      <c r="AK446" s="134"/>
      <c r="AL446" s="134"/>
      <c r="AM446" s="134"/>
      <c r="AN446" s="134"/>
      <c r="AO446" s="134"/>
      <c r="AP446" s="134"/>
      <c r="AQ446" s="134"/>
      <c r="AR446" s="134"/>
      <c r="AS446" s="134"/>
      <c r="AT446" s="134"/>
      <c r="AU446" s="134"/>
      <c r="AV446" s="134"/>
      <c r="AW446" s="134"/>
      <c r="AX446" s="134"/>
      <c r="AY446" s="134"/>
      <c r="AZ446" s="134"/>
      <c r="BA446" s="134"/>
      <c r="BB446" s="134"/>
      <c r="BC446" s="134"/>
      <c r="BD446" s="134"/>
      <c r="BE446" s="134"/>
      <c r="BF446" s="134"/>
      <c r="BG446" s="134"/>
      <c r="BH446" s="134"/>
      <c r="BI446" s="134"/>
      <c r="BJ446" s="134"/>
      <c r="BK446" s="134"/>
      <c r="BL446" s="134"/>
      <c r="BM446" s="135"/>
      <c r="BN446" s="136" t="n">
        <f aca="false">+MAX($D$3,DATOS_[[#This Row],[Fecha Inicio Sit. Contract.]])</f>
        <v>0</v>
      </c>
      <c r="BO446" s="136" t="n">
        <f aca="false">+MIN($D$4,DATOS_[[#This Row],[Fecha Fin Sit. Contract.]])</f>
        <v>0</v>
      </c>
      <c r="BP446" s="137" t="n">
        <f aca="false">+DATOS_[[#This Row],[% de jornada]]*IF(DATOS_[[#This Row],[% jornada reducida]]="",1,DATOS_[[#This Row],[% jornada reducida]])</f>
        <v>0</v>
      </c>
      <c r="BQ446" s="137" t="n">
        <f aca="false">+(DATOS_[[#This Row],[F.fin.cal]]-DATOS_[[#This Row],[F.ini.cal]]+1)/($D$4-$D$3+1)</f>
        <v>1</v>
      </c>
      <c r="BR446" s="137" t="str">
        <f aca="false">IF(OR(AND(DATOS_[[#This Row],[Fecha Fin Contrato]]&lt;$D$3,DATOS_[[#This Row],[Fecha Fin Contrato]]&lt;&gt;""),DATOS_[[#This Row],[Fecha de Contratación]]&gt;$D$4),"Fuera","Dentro")</f>
        <v>Dentro</v>
      </c>
      <c r="BS446" s="137" t="str">
        <f aca="false" t="array" ref="BS446:BS446">IF(MAX(IF(DATOS_[id]=DATOS_[[#This Row],[id]],DATOS_[F.fin.cal]))=DATOS_[[#This Row],[F.fin.cal]],"Sí","NO")</f>
        <v>Sí</v>
      </c>
      <c r="BT446" s="137" t="str">
        <f aca="false">IF(AND(DATOS_[[#This Row],[% normaliz]]&lt;&gt;1,DATOS_[[#This Row],[% anualiz]]=1),"Sí","NO")</f>
        <v>Sí</v>
      </c>
      <c r="BU446" s="137" t="str">
        <f aca="false">IF(AND(DATOS_[[#This Row],[% normaliz]]=1,DATOS_[[#This Row],[% anualiz]]&lt;&gt;1),"Sí","NO")</f>
        <v>NO</v>
      </c>
      <c r="BV446" s="137" t="str">
        <f aca="false">IF(AND(DATOS_[[#This Row],[% normaliz]]&lt;&gt;1,DATOS_[[#This Row],[% anualiz]]&lt;&gt;1),"Sí","NO")</f>
        <v>NO</v>
      </c>
      <c r="BW446" s="137" t="str">
        <f aca="false">+IF(DATOS_[[#This Row],[% normaliz]]*DATOS_[[#This Row],[% anualiz]]=1,"NO","Sí")</f>
        <v>Sí</v>
      </c>
      <c r="BX446" s="138" t="e">
        <f aca="false">(DATOS_[[#This Row],[S.BASE]]*(1/DATOS_[[#This Row],[% normaliz]])*(1/DATOS_[[#This Row],[% anualiz]]))*IF(DATOS_[[#This Row],[Check Equiparado]]="Sí",1,0)</f>
        <v>#DIV/0!</v>
      </c>
      <c r="BY4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6" s="138" t="e">
        <f aca="false">+DATOS_[[#This Row],[SALARIO BASE Eq]]+DATOS_[[#This Row],[Tot COMPL.SAL Eq]]</f>
        <v>#DIV/0!</v>
      </c>
      <c r="CA446" s="138" t="e">
        <f aca="false" t="array" ref="CA446:CA4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6" s="138" t="e">
        <f aca="false">+DATOS_[[#This Row],[TOTAL SALARIO Eq]]+DATOS_[[#This Row],[Tot Extrasalarial Eq]]</f>
        <v>#DIV/0!</v>
      </c>
      <c r="CC446" s="139" t="n">
        <f aca="false">DATOS_[[#This Row],[S.BASE]]</f>
        <v>0</v>
      </c>
      <c r="CD446" s="139" t="n">
        <f aca="false">+SUM(DATOS_[[#This Row],[Conc.Sal.01]:[Conc.Sal.30]])</f>
        <v>0</v>
      </c>
      <c r="CE446" s="139" t="n">
        <f aca="false">+DATOS_[[#This Row],[SALARIO BASE Ef]]+DATOS_[[#This Row],[Tot COMPL.SAL Ef]]</f>
        <v>0</v>
      </c>
      <c r="CF446" s="139" t="n">
        <f aca="false">+SUM(DATOS_[[#This Row],[C.Extra.01]:[C.Extra.05]])</f>
        <v>0</v>
      </c>
      <c r="CG446" s="139" t="n">
        <f aca="false">+DATOS_[[#This Row],[TOTAL SALARIO Ef]]+DATOS_[[#This Row],[Tot Extrasalarial Ef]]</f>
        <v>0</v>
      </c>
      <c r="CH446" s="140" t="n">
        <f aca="false">MIN(IF(DATOS_[[#This Row],[Fecha Fin Contrato]]="",$D$4,DATOS_[[#This Row],[Fecha Fin Contrato]]),$D$4)-MAX(DATOS_[[#This Row],[Fecha de Contratación]],$D$3)+1</f>
        <v>1</v>
      </c>
      <c r="CI446" s="141" t="str">
        <f aca="false">IF(COUNTIFS(DATOS_[id],DATOS_[[#This Row],[id]])&gt;1,DATOS_[[#This Row],[id]],"")</f>
        <v/>
      </c>
      <c r="CJ446" s="141" t="n">
        <f aca="false">(Inicio!$G$10-DATOS_[[#This Row],[Fecha Nacimiento]])/365.25</f>
        <v>0</v>
      </c>
      <c r="CK446" s="141" t="n">
        <f aca="false">(Inicio!$G$10-DATOS_[[#This Row],[Fecha de Antigüedad]])/365.25</f>
        <v>0</v>
      </c>
      <c r="CL446" s="141" t="e">
        <f aca="false">+VLOOKUP(DATOS_[[#This Row],[Clave de Contrato]],TblTiposContrato13[],3,0)</f>
        <v>#N/A</v>
      </c>
      <c r="CM446" s="141" t="e">
        <f aca="false">+VLOOKUP(DATOS_[[#This Row],[Clave de Contrato]],TblTiposContrato13[],4,0)</f>
        <v>#N/A</v>
      </c>
      <c r="CN446" s="141" t="str">
        <f aca="false">VLOOKUP(DATOS_[[#This Row],[Edad]],CONTRATOS!TblRngEdad,2,1)</f>
        <v>20  o menos</v>
      </c>
      <c r="CO446" s="141" t="str">
        <f aca="false">VLOOKUP(DATOS_[[#This Row],[Antigüedad]],TblRngAntg14[],2,1)</f>
        <v>0 a 1 años</v>
      </c>
    </row>
    <row r="447" customFormat="false" ht="13.8" hidden="false" customHeight="false" outlineLevel="0" collapsed="false">
      <c r="D447" s="128"/>
      <c r="E447" s="129"/>
      <c r="F447" s="129"/>
      <c r="G447" s="129"/>
      <c r="H447" s="130"/>
      <c r="I447" s="131"/>
      <c r="J447" s="128"/>
      <c r="K447" s="132"/>
      <c r="L447" s="132"/>
      <c r="M447" s="133"/>
      <c r="N447" s="133"/>
      <c r="O447" s="133"/>
      <c r="P447" s="129"/>
      <c r="Z447" s="75"/>
      <c r="AA447" s="76"/>
      <c r="AB447" s="76"/>
      <c r="AC447" s="129"/>
      <c r="AD447" s="134"/>
      <c r="AE447" s="134"/>
      <c r="AF447" s="134"/>
      <c r="AG447" s="134"/>
      <c r="AH447" s="134"/>
      <c r="AI447" s="134"/>
      <c r="AJ447" s="134"/>
      <c r="AK447" s="134"/>
      <c r="AL447" s="134"/>
      <c r="AM447" s="134"/>
      <c r="AN447" s="134"/>
      <c r="AO447" s="134"/>
      <c r="AP447" s="134"/>
      <c r="AQ447" s="134"/>
      <c r="AR447" s="134"/>
      <c r="AS447" s="134"/>
      <c r="AT447" s="134"/>
      <c r="AU447" s="134"/>
      <c r="AV447" s="134"/>
      <c r="AW447" s="134"/>
      <c r="AX447" s="134"/>
      <c r="AY447" s="134"/>
      <c r="AZ447" s="134"/>
      <c r="BA447" s="134"/>
      <c r="BB447" s="134"/>
      <c r="BC447" s="134"/>
      <c r="BD447" s="134"/>
      <c r="BE447" s="134"/>
      <c r="BF447" s="134"/>
      <c r="BG447" s="134"/>
      <c r="BH447" s="134"/>
      <c r="BI447" s="134"/>
      <c r="BJ447" s="134"/>
      <c r="BK447" s="134"/>
      <c r="BL447" s="134"/>
      <c r="BM447" s="135"/>
      <c r="BN447" s="136" t="n">
        <f aca="false">+MAX($D$3,DATOS_[[#This Row],[Fecha Inicio Sit. Contract.]])</f>
        <v>0</v>
      </c>
      <c r="BO447" s="136" t="n">
        <f aca="false">+MIN($D$4,DATOS_[[#This Row],[Fecha Fin Sit. Contract.]])</f>
        <v>0</v>
      </c>
      <c r="BP447" s="137" t="n">
        <f aca="false">+DATOS_[[#This Row],[% de jornada]]*IF(DATOS_[[#This Row],[% jornada reducida]]="",1,DATOS_[[#This Row],[% jornada reducida]])</f>
        <v>0</v>
      </c>
      <c r="BQ447" s="137" t="n">
        <f aca="false">+(DATOS_[[#This Row],[F.fin.cal]]-DATOS_[[#This Row],[F.ini.cal]]+1)/($D$4-$D$3+1)</f>
        <v>1</v>
      </c>
      <c r="BR447" s="137" t="str">
        <f aca="false">IF(OR(AND(DATOS_[[#This Row],[Fecha Fin Contrato]]&lt;$D$3,DATOS_[[#This Row],[Fecha Fin Contrato]]&lt;&gt;""),DATOS_[[#This Row],[Fecha de Contratación]]&gt;$D$4),"Fuera","Dentro")</f>
        <v>Dentro</v>
      </c>
      <c r="BS447" s="137" t="str">
        <f aca="false" t="array" ref="BS447:BS447">IF(MAX(IF(DATOS_[id]=DATOS_[[#This Row],[id]],DATOS_[F.fin.cal]))=DATOS_[[#This Row],[F.fin.cal]],"Sí","NO")</f>
        <v>Sí</v>
      </c>
      <c r="BT447" s="137" t="str">
        <f aca="false">IF(AND(DATOS_[[#This Row],[% normaliz]]&lt;&gt;1,DATOS_[[#This Row],[% anualiz]]=1),"Sí","NO")</f>
        <v>Sí</v>
      </c>
      <c r="BU447" s="137" t="str">
        <f aca="false">IF(AND(DATOS_[[#This Row],[% normaliz]]=1,DATOS_[[#This Row],[% anualiz]]&lt;&gt;1),"Sí","NO")</f>
        <v>NO</v>
      </c>
      <c r="BV447" s="137" t="str">
        <f aca="false">IF(AND(DATOS_[[#This Row],[% normaliz]]&lt;&gt;1,DATOS_[[#This Row],[% anualiz]]&lt;&gt;1),"Sí","NO")</f>
        <v>NO</v>
      </c>
      <c r="BW447" s="137" t="str">
        <f aca="false">+IF(DATOS_[[#This Row],[% normaliz]]*DATOS_[[#This Row],[% anualiz]]=1,"NO","Sí")</f>
        <v>Sí</v>
      </c>
      <c r="BX447" s="138" t="e">
        <f aca="false">(DATOS_[[#This Row],[S.BASE]]*(1/DATOS_[[#This Row],[% normaliz]])*(1/DATOS_[[#This Row],[% anualiz]]))*IF(DATOS_[[#This Row],[Check Equiparado]]="Sí",1,0)</f>
        <v>#DIV/0!</v>
      </c>
      <c r="BY4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7" s="138" t="e">
        <f aca="false">+DATOS_[[#This Row],[SALARIO BASE Eq]]+DATOS_[[#This Row],[Tot COMPL.SAL Eq]]</f>
        <v>#DIV/0!</v>
      </c>
      <c r="CA447" s="138" t="e">
        <f aca="false" t="array" ref="CA447:CA4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7" s="138" t="e">
        <f aca="false">+DATOS_[[#This Row],[TOTAL SALARIO Eq]]+DATOS_[[#This Row],[Tot Extrasalarial Eq]]</f>
        <v>#DIV/0!</v>
      </c>
      <c r="CC447" s="139" t="n">
        <f aca="false">DATOS_[[#This Row],[S.BASE]]</f>
        <v>0</v>
      </c>
      <c r="CD447" s="139" t="n">
        <f aca="false">+SUM(DATOS_[[#This Row],[Conc.Sal.01]:[Conc.Sal.30]])</f>
        <v>0</v>
      </c>
      <c r="CE447" s="139" t="n">
        <f aca="false">+DATOS_[[#This Row],[SALARIO BASE Ef]]+DATOS_[[#This Row],[Tot COMPL.SAL Ef]]</f>
        <v>0</v>
      </c>
      <c r="CF447" s="139" t="n">
        <f aca="false">+SUM(DATOS_[[#This Row],[C.Extra.01]:[C.Extra.05]])</f>
        <v>0</v>
      </c>
      <c r="CG447" s="139" t="n">
        <f aca="false">+DATOS_[[#This Row],[TOTAL SALARIO Ef]]+DATOS_[[#This Row],[Tot Extrasalarial Ef]]</f>
        <v>0</v>
      </c>
      <c r="CH447" s="140" t="n">
        <f aca="false">MIN(IF(DATOS_[[#This Row],[Fecha Fin Contrato]]="",$D$4,DATOS_[[#This Row],[Fecha Fin Contrato]]),$D$4)-MAX(DATOS_[[#This Row],[Fecha de Contratación]],$D$3)+1</f>
        <v>1</v>
      </c>
      <c r="CI447" s="141" t="str">
        <f aca="false">IF(COUNTIFS(DATOS_[id],DATOS_[[#This Row],[id]])&gt;1,DATOS_[[#This Row],[id]],"")</f>
        <v/>
      </c>
      <c r="CJ447" s="141" t="n">
        <f aca="false">(Inicio!$G$10-DATOS_[[#This Row],[Fecha Nacimiento]])/365.25</f>
        <v>0</v>
      </c>
      <c r="CK447" s="141" t="n">
        <f aca="false">(Inicio!$G$10-DATOS_[[#This Row],[Fecha de Antigüedad]])/365.25</f>
        <v>0</v>
      </c>
      <c r="CL447" s="141" t="e">
        <f aca="false">+VLOOKUP(DATOS_[[#This Row],[Clave de Contrato]],TblTiposContrato13[],3,0)</f>
        <v>#N/A</v>
      </c>
      <c r="CM447" s="141" t="e">
        <f aca="false">+VLOOKUP(DATOS_[[#This Row],[Clave de Contrato]],TblTiposContrato13[],4,0)</f>
        <v>#N/A</v>
      </c>
      <c r="CN447" s="141" t="str">
        <f aca="false">VLOOKUP(DATOS_[[#This Row],[Edad]],CONTRATOS!TblRngEdad,2,1)</f>
        <v>20  o menos</v>
      </c>
      <c r="CO447" s="141" t="str">
        <f aca="false">VLOOKUP(DATOS_[[#This Row],[Antigüedad]],TblRngAntg14[],2,1)</f>
        <v>0 a 1 años</v>
      </c>
    </row>
    <row r="448" customFormat="false" ht="13.8" hidden="false" customHeight="false" outlineLevel="0" collapsed="false">
      <c r="D448" s="128"/>
      <c r="E448" s="129"/>
      <c r="F448" s="129"/>
      <c r="G448" s="129"/>
      <c r="H448" s="130"/>
      <c r="I448" s="131"/>
      <c r="J448" s="128"/>
      <c r="K448" s="132"/>
      <c r="L448" s="132"/>
      <c r="M448" s="133"/>
      <c r="N448" s="133"/>
      <c r="O448" s="133"/>
      <c r="P448" s="129"/>
      <c r="Z448" s="75"/>
      <c r="AA448" s="76"/>
      <c r="AB448" s="76"/>
      <c r="AC448" s="129"/>
      <c r="AD448" s="134"/>
      <c r="AE448" s="134"/>
      <c r="AF448" s="134"/>
      <c r="AG448" s="134"/>
      <c r="AH448" s="134"/>
      <c r="AI448" s="134"/>
      <c r="AJ448" s="134"/>
      <c r="AK448" s="134"/>
      <c r="AL448" s="134"/>
      <c r="AM448" s="134"/>
      <c r="AN448" s="134"/>
      <c r="AO448" s="134"/>
      <c r="AP448" s="134"/>
      <c r="AQ448" s="134"/>
      <c r="AR448" s="134"/>
      <c r="AS448" s="134"/>
      <c r="AT448" s="134"/>
      <c r="AU448" s="134"/>
      <c r="AV448" s="134"/>
      <c r="AW448" s="134"/>
      <c r="AX448" s="134"/>
      <c r="AY448" s="134"/>
      <c r="AZ448" s="134"/>
      <c r="BA448" s="134"/>
      <c r="BB448" s="134"/>
      <c r="BC448" s="134"/>
      <c r="BD448" s="134"/>
      <c r="BE448" s="134"/>
      <c r="BF448" s="134"/>
      <c r="BG448" s="134"/>
      <c r="BH448" s="134"/>
      <c r="BI448" s="134"/>
      <c r="BJ448" s="134"/>
      <c r="BK448" s="134"/>
      <c r="BL448" s="134"/>
      <c r="BM448" s="135"/>
      <c r="BN448" s="136" t="n">
        <f aca="false">+MAX($D$3,DATOS_[[#This Row],[Fecha Inicio Sit. Contract.]])</f>
        <v>0</v>
      </c>
      <c r="BO448" s="136" t="n">
        <f aca="false">+MIN($D$4,DATOS_[[#This Row],[Fecha Fin Sit. Contract.]])</f>
        <v>0</v>
      </c>
      <c r="BP448" s="137" t="n">
        <f aca="false">+DATOS_[[#This Row],[% de jornada]]*IF(DATOS_[[#This Row],[% jornada reducida]]="",1,DATOS_[[#This Row],[% jornada reducida]])</f>
        <v>0</v>
      </c>
      <c r="BQ448" s="137" t="n">
        <f aca="false">+(DATOS_[[#This Row],[F.fin.cal]]-DATOS_[[#This Row],[F.ini.cal]]+1)/($D$4-$D$3+1)</f>
        <v>1</v>
      </c>
      <c r="BR448" s="137" t="str">
        <f aca="false">IF(OR(AND(DATOS_[[#This Row],[Fecha Fin Contrato]]&lt;$D$3,DATOS_[[#This Row],[Fecha Fin Contrato]]&lt;&gt;""),DATOS_[[#This Row],[Fecha de Contratación]]&gt;$D$4),"Fuera","Dentro")</f>
        <v>Dentro</v>
      </c>
      <c r="BS448" s="137" t="str">
        <f aca="false" t="array" ref="BS448:BS448">IF(MAX(IF(DATOS_[id]=DATOS_[[#This Row],[id]],DATOS_[F.fin.cal]))=DATOS_[[#This Row],[F.fin.cal]],"Sí","NO")</f>
        <v>Sí</v>
      </c>
      <c r="BT448" s="137" t="str">
        <f aca="false">IF(AND(DATOS_[[#This Row],[% normaliz]]&lt;&gt;1,DATOS_[[#This Row],[% anualiz]]=1),"Sí","NO")</f>
        <v>Sí</v>
      </c>
      <c r="BU448" s="137" t="str">
        <f aca="false">IF(AND(DATOS_[[#This Row],[% normaliz]]=1,DATOS_[[#This Row],[% anualiz]]&lt;&gt;1),"Sí","NO")</f>
        <v>NO</v>
      </c>
      <c r="BV448" s="137" t="str">
        <f aca="false">IF(AND(DATOS_[[#This Row],[% normaliz]]&lt;&gt;1,DATOS_[[#This Row],[% anualiz]]&lt;&gt;1),"Sí","NO")</f>
        <v>NO</v>
      </c>
      <c r="BW448" s="137" t="str">
        <f aca="false">+IF(DATOS_[[#This Row],[% normaliz]]*DATOS_[[#This Row],[% anualiz]]=1,"NO","Sí")</f>
        <v>Sí</v>
      </c>
      <c r="BX448" s="138" t="e">
        <f aca="false">(DATOS_[[#This Row],[S.BASE]]*(1/DATOS_[[#This Row],[% normaliz]])*(1/DATOS_[[#This Row],[% anualiz]]))*IF(DATOS_[[#This Row],[Check Equiparado]]="Sí",1,0)</f>
        <v>#DIV/0!</v>
      </c>
      <c r="BY4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8" s="138" t="e">
        <f aca="false">+DATOS_[[#This Row],[SALARIO BASE Eq]]+DATOS_[[#This Row],[Tot COMPL.SAL Eq]]</f>
        <v>#DIV/0!</v>
      </c>
      <c r="CA448" s="138" t="e">
        <f aca="false" t="array" ref="CA448:CA4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8" s="138" t="e">
        <f aca="false">+DATOS_[[#This Row],[TOTAL SALARIO Eq]]+DATOS_[[#This Row],[Tot Extrasalarial Eq]]</f>
        <v>#DIV/0!</v>
      </c>
      <c r="CC448" s="139" t="n">
        <f aca="false">DATOS_[[#This Row],[S.BASE]]</f>
        <v>0</v>
      </c>
      <c r="CD448" s="139" t="n">
        <f aca="false">+SUM(DATOS_[[#This Row],[Conc.Sal.01]:[Conc.Sal.30]])</f>
        <v>0</v>
      </c>
      <c r="CE448" s="139" t="n">
        <f aca="false">+DATOS_[[#This Row],[SALARIO BASE Ef]]+DATOS_[[#This Row],[Tot COMPL.SAL Ef]]</f>
        <v>0</v>
      </c>
      <c r="CF448" s="139" t="n">
        <f aca="false">+SUM(DATOS_[[#This Row],[C.Extra.01]:[C.Extra.05]])</f>
        <v>0</v>
      </c>
      <c r="CG448" s="139" t="n">
        <f aca="false">+DATOS_[[#This Row],[TOTAL SALARIO Ef]]+DATOS_[[#This Row],[Tot Extrasalarial Ef]]</f>
        <v>0</v>
      </c>
      <c r="CH448" s="140" t="n">
        <f aca="false">MIN(IF(DATOS_[[#This Row],[Fecha Fin Contrato]]="",$D$4,DATOS_[[#This Row],[Fecha Fin Contrato]]),$D$4)-MAX(DATOS_[[#This Row],[Fecha de Contratación]],$D$3)+1</f>
        <v>1</v>
      </c>
      <c r="CI448" s="141" t="str">
        <f aca="false">IF(COUNTIFS(DATOS_[id],DATOS_[[#This Row],[id]])&gt;1,DATOS_[[#This Row],[id]],"")</f>
        <v/>
      </c>
      <c r="CJ448" s="141" t="n">
        <f aca="false">(Inicio!$G$10-DATOS_[[#This Row],[Fecha Nacimiento]])/365.25</f>
        <v>0</v>
      </c>
      <c r="CK448" s="141" t="n">
        <f aca="false">(Inicio!$G$10-DATOS_[[#This Row],[Fecha de Antigüedad]])/365.25</f>
        <v>0</v>
      </c>
      <c r="CL448" s="141" t="e">
        <f aca="false">+VLOOKUP(DATOS_[[#This Row],[Clave de Contrato]],TblTiposContrato13[],3,0)</f>
        <v>#N/A</v>
      </c>
      <c r="CM448" s="141" t="e">
        <f aca="false">+VLOOKUP(DATOS_[[#This Row],[Clave de Contrato]],TblTiposContrato13[],4,0)</f>
        <v>#N/A</v>
      </c>
      <c r="CN448" s="141" t="str">
        <f aca="false">VLOOKUP(DATOS_[[#This Row],[Edad]],CONTRATOS!TblRngEdad,2,1)</f>
        <v>20  o menos</v>
      </c>
      <c r="CO448" s="141" t="str">
        <f aca="false">VLOOKUP(DATOS_[[#This Row],[Antigüedad]],TblRngAntg14[],2,1)</f>
        <v>0 a 1 años</v>
      </c>
    </row>
    <row r="449" customFormat="false" ht="13.8" hidden="false" customHeight="false" outlineLevel="0" collapsed="false">
      <c r="D449" s="128"/>
      <c r="E449" s="129"/>
      <c r="F449" s="129"/>
      <c r="G449" s="129"/>
      <c r="H449" s="130"/>
      <c r="I449" s="131"/>
      <c r="J449" s="128"/>
      <c r="K449" s="132"/>
      <c r="L449" s="132"/>
      <c r="M449" s="133"/>
      <c r="N449" s="133"/>
      <c r="O449" s="133"/>
      <c r="P449" s="129"/>
      <c r="Z449" s="75"/>
      <c r="AA449" s="76"/>
      <c r="AB449" s="76"/>
      <c r="AC449" s="129"/>
      <c r="AD449" s="134"/>
      <c r="AE449" s="134"/>
      <c r="AF449" s="134"/>
      <c r="AG449" s="134"/>
      <c r="AH449" s="134"/>
      <c r="AI449" s="134"/>
      <c r="AJ449" s="134"/>
      <c r="AK449" s="134"/>
      <c r="AL449" s="134"/>
      <c r="AM449" s="134"/>
      <c r="AN449" s="134"/>
      <c r="AO449" s="134"/>
      <c r="AP449" s="134"/>
      <c r="AQ449" s="134"/>
      <c r="AR449" s="134"/>
      <c r="AS449" s="134"/>
      <c r="AT449" s="134"/>
      <c r="AU449" s="134"/>
      <c r="AV449" s="134"/>
      <c r="AW449" s="134"/>
      <c r="AX449" s="134"/>
      <c r="AY449" s="134"/>
      <c r="AZ449" s="134"/>
      <c r="BA449" s="134"/>
      <c r="BB449" s="134"/>
      <c r="BC449" s="134"/>
      <c r="BD449" s="134"/>
      <c r="BE449" s="134"/>
      <c r="BF449" s="134"/>
      <c r="BG449" s="134"/>
      <c r="BH449" s="134"/>
      <c r="BI449" s="134"/>
      <c r="BJ449" s="134"/>
      <c r="BK449" s="134"/>
      <c r="BL449" s="134"/>
      <c r="BM449" s="135"/>
      <c r="BN449" s="136" t="n">
        <f aca="false">+MAX($D$3,DATOS_[[#This Row],[Fecha Inicio Sit. Contract.]])</f>
        <v>0</v>
      </c>
      <c r="BO449" s="136" t="n">
        <f aca="false">+MIN($D$4,DATOS_[[#This Row],[Fecha Fin Sit. Contract.]])</f>
        <v>0</v>
      </c>
      <c r="BP449" s="137" t="n">
        <f aca="false">+DATOS_[[#This Row],[% de jornada]]*IF(DATOS_[[#This Row],[% jornada reducida]]="",1,DATOS_[[#This Row],[% jornada reducida]])</f>
        <v>0</v>
      </c>
      <c r="BQ449" s="137" t="n">
        <f aca="false">+(DATOS_[[#This Row],[F.fin.cal]]-DATOS_[[#This Row],[F.ini.cal]]+1)/($D$4-$D$3+1)</f>
        <v>1</v>
      </c>
      <c r="BR449" s="137" t="str">
        <f aca="false">IF(OR(AND(DATOS_[[#This Row],[Fecha Fin Contrato]]&lt;$D$3,DATOS_[[#This Row],[Fecha Fin Contrato]]&lt;&gt;""),DATOS_[[#This Row],[Fecha de Contratación]]&gt;$D$4),"Fuera","Dentro")</f>
        <v>Dentro</v>
      </c>
      <c r="BS449" s="137" t="str">
        <f aca="false" t="array" ref="BS449:BS449">IF(MAX(IF(DATOS_[id]=DATOS_[[#This Row],[id]],DATOS_[F.fin.cal]))=DATOS_[[#This Row],[F.fin.cal]],"Sí","NO")</f>
        <v>Sí</v>
      </c>
      <c r="BT449" s="137" t="str">
        <f aca="false">IF(AND(DATOS_[[#This Row],[% normaliz]]&lt;&gt;1,DATOS_[[#This Row],[% anualiz]]=1),"Sí","NO")</f>
        <v>Sí</v>
      </c>
      <c r="BU449" s="137" t="str">
        <f aca="false">IF(AND(DATOS_[[#This Row],[% normaliz]]=1,DATOS_[[#This Row],[% anualiz]]&lt;&gt;1),"Sí","NO")</f>
        <v>NO</v>
      </c>
      <c r="BV449" s="137" t="str">
        <f aca="false">IF(AND(DATOS_[[#This Row],[% normaliz]]&lt;&gt;1,DATOS_[[#This Row],[% anualiz]]&lt;&gt;1),"Sí","NO")</f>
        <v>NO</v>
      </c>
      <c r="BW449" s="137" t="str">
        <f aca="false">+IF(DATOS_[[#This Row],[% normaliz]]*DATOS_[[#This Row],[% anualiz]]=1,"NO","Sí")</f>
        <v>Sí</v>
      </c>
      <c r="BX449" s="138" t="e">
        <f aca="false">(DATOS_[[#This Row],[S.BASE]]*(1/DATOS_[[#This Row],[% normaliz]])*(1/DATOS_[[#This Row],[% anualiz]]))*IF(DATOS_[[#This Row],[Check Equiparado]]="Sí",1,0)</f>
        <v>#DIV/0!</v>
      </c>
      <c r="BY4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9" s="138" t="e">
        <f aca="false">+DATOS_[[#This Row],[SALARIO BASE Eq]]+DATOS_[[#This Row],[Tot COMPL.SAL Eq]]</f>
        <v>#DIV/0!</v>
      </c>
      <c r="CA449" s="138" t="e">
        <f aca="false" t="array" ref="CA449:CA4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9" s="138" t="e">
        <f aca="false">+DATOS_[[#This Row],[TOTAL SALARIO Eq]]+DATOS_[[#This Row],[Tot Extrasalarial Eq]]</f>
        <v>#DIV/0!</v>
      </c>
      <c r="CC449" s="139" t="n">
        <f aca="false">DATOS_[[#This Row],[S.BASE]]</f>
        <v>0</v>
      </c>
      <c r="CD449" s="139" t="n">
        <f aca="false">+SUM(DATOS_[[#This Row],[Conc.Sal.01]:[Conc.Sal.30]])</f>
        <v>0</v>
      </c>
      <c r="CE449" s="139" t="n">
        <f aca="false">+DATOS_[[#This Row],[SALARIO BASE Ef]]+DATOS_[[#This Row],[Tot COMPL.SAL Ef]]</f>
        <v>0</v>
      </c>
      <c r="CF449" s="139" t="n">
        <f aca="false">+SUM(DATOS_[[#This Row],[C.Extra.01]:[C.Extra.05]])</f>
        <v>0</v>
      </c>
      <c r="CG449" s="139" t="n">
        <f aca="false">+DATOS_[[#This Row],[TOTAL SALARIO Ef]]+DATOS_[[#This Row],[Tot Extrasalarial Ef]]</f>
        <v>0</v>
      </c>
      <c r="CH449" s="140" t="n">
        <f aca="false">MIN(IF(DATOS_[[#This Row],[Fecha Fin Contrato]]="",$D$4,DATOS_[[#This Row],[Fecha Fin Contrato]]),$D$4)-MAX(DATOS_[[#This Row],[Fecha de Contratación]],$D$3)+1</f>
        <v>1</v>
      </c>
      <c r="CI449" s="141" t="str">
        <f aca="false">IF(COUNTIFS(DATOS_[id],DATOS_[[#This Row],[id]])&gt;1,DATOS_[[#This Row],[id]],"")</f>
        <v/>
      </c>
      <c r="CJ449" s="141" t="n">
        <f aca="false">(Inicio!$G$10-DATOS_[[#This Row],[Fecha Nacimiento]])/365.25</f>
        <v>0</v>
      </c>
      <c r="CK449" s="141" t="n">
        <f aca="false">(Inicio!$G$10-DATOS_[[#This Row],[Fecha de Antigüedad]])/365.25</f>
        <v>0</v>
      </c>
      <c r="CL449" s="141" t="e">
        <f aca="false">+VLOOKUP(DATOS_[[#This Row],[Clave de Contrato]],TblTiposContrato13[],3,0)</f>
        <v>#N/A</v>
      </c>
      <c r="CM449" s="141" t="e">
        <f aca="false">+VLOOKUP(DATOS_[[#This Row],[Clave de Contrato]],TblTiposContrato13[],4,0)</f>
        <v>#N/A</v>
      </c>
      <c r="CN449" s="141" t="str">
        <f aca="false">VLOOKUP(DATOS_[[#This Row],[Edad]],CONTRATOS!TblRngEdad,2,1)</f>
        <v>20  o menos</v>
      </c>
      <c r="CO449" s="141" t="str">
        <f aca="false">VLOOKUP(DATOS_[[#This Row],[Antigüedad]],TblRngAntg14[],2,1)</f>
        <v>0 a 1 años</v>
      </c>
    </row>
    <row r="450" customFormat="false" ht="13.8" hidden="false" customHeight="false" outlineLevel="0" collapsed="false">
      <c r="D450" s="128"/>
      <c r="E450" s="129"/>
      <c r="F450" s="129"/>
      <c r="G450" s="129"/>
      <c r="H450" s="130"/>
      <c r="I450" s="131"/>
      <c r="J450" s="128"/>
      <c r="K450" s="132"/>
      <c r="L450" s="132"/>
      <c r="M450" s="133"/>
      <c r="N450" s="133"/>
      <c r="O450" s="133"/>
      <c r="P450" s="129"/>
      <c r="Z450" s="75"/>
      <c r="AA450" s="76"/>
      <c r="AB450" s="76"/>
      <c r="AC450" s="129"/>
      <c r="AD450" s="134"/>
      <c r="AE450" s="134"/>
      <c r="AF450" s="134"/>
      <c r="AG450" s="134"/>
      <c r="AH450" s="134"/>
      <c r="AI450" s="134"/>
      <c r="AJ450" s="134"/>
      <c r="AK450" s="134"/>
      <c r="AL450" s="134"/>
      <c r="AM450" s="134"/>
      <c r="AN450" s="134"/>
      <c r="AO450" s="134"/>
      <c r="AP450" s="134"/>
      <c r="AQ450" s="134"/>
      <c r="AR450" s="134"/>
      <c r="AS450" s="134"/>
      <c r="AT450" s="134"/>
      <c r="AU450" s="134"/>
      <c r="AV450" s="134"/>
      <c r="AW450" s="134"/>
      <c r="AX450" s="134"/>
      <c r="AY450" s="134"/>
      <c r="AZ450" s="134"/>
      <c r="BA450" s="134"/>
      <c r="BB450" s="134"/>
      <c r="BC450" s="134"/>
      <c r="BD450" s="134"/>
      <c r="BE450" s="134"/>
      <c r="BF450" s="134"/>
      <c r="BG450" s="134"/>
      <c r="BH450" s="134"/>
      <c r="BI450" s="134"/>
      <c r="BJ450" s="134"/>
      <c r="BK450" s="134"/>
      <c r="BL450" s="134"/>
      <c r="BM450" s="135"/>
      <c r="BN450" s="136" t="n">
        <f aca="false">+MAX($D$3,DATOS_[[#This Row],[Fecha Inicio Sit. Contract.]])</f>
        <v>0</v>
      </c>
      <c r="BO450" s="136" t="n">
        <f aca="false">+MIN($D$4,DATOS_[[#This Row],[Fecha Fin Sit. Contract.]])</f>
        <v>0</v>
      </c>
      <c r="BP450" s="137" t="n">
        <f aca="false">+DATOS_[[#This Row],[% de jornada]]*IF(DATOS_[[#This Row],[% jornada reducida]]="",1,DATOS_[[#This Row],[% jornada reducida]])</f>
        <v>0</v>
      </c>
      <c r="BQ450" s="137" t="n">
        <f aca="false">+(DATOS_[[#This Row],[F.fin.cal]]-DATOS_[[#This Row],[F.ini.cal]]+1)/($D$4-$D$3+1)</f>
        <v>1</v>
      </c>
      <c r="BR450" s="137" t="str">
        <f aca="false">IF(OR(AND(DATOS_[[#This Row],[Fecha Fin Contrato]]&lt;$D$3,DATOS_[[#This Row],[Fecha Fin Contrato]]&lt;&gt;""),DATOS_[[#This Row],[Fecha de Contratación]]&gt;$D$4),"Fuera","Dentro")</f>
        <v>Dentro</v>
      </c>
      <c r="BS450" s="137" t="str">
        <f aca="false" t="array" ref="BS450:BS450">IF(MAX(IF(DATOS_[id]=DATOS_[[#This Row],[id]],DATOS_[F.fin.cal]))=DATOS_[[#This Row],[F.fin.cal]],"Sí","NO")</f>
        <v>Sí</v>
      </c>
      <c r="BT450" s="137" t="str">
        <f aca="false">IF(AND(DATOS_[[#This Row],[% normaliz]]&lt;&gt;1,DATOS_[[#This Row],[% anualiz]]=1),"Sí","NO")</f>
        <v>Sí</v>
      </c>
      <c r="BU450" s="137" t="str">
        <f aca="false">IF(AND(DATOS_[[#This Row],[% normaliz]]=1,DATOS_[[#This Row],[% anualiz]]&lt;&gt;1),"Sí","NO")</f>
        <v>NO</v>
      </c>
      <c r="BV450" s="137" t="str">
        <f aca="false">IF(AND(DATOS_[[#This Row],[% normaliz]]&lt;&gt;1,DATOS_[[#This Row],[% anualiz]]&lt;&gt;1),"Sí","NO")</f>
        <v>NO</v>
      </c>
      <c r="BW450" s="137" t="str">
        <f aca="false">+IF(DATOS_[[#This Row],[% normaliz]]*DATOS_[[#This Row],[% anualiz]]=1,"NO","Sí")</f>
        <v>Sí</v>
      </c>
      <c r="BX450" s="138" t="e">
        <f aca="false">(DATOS_[[#This Row],[S.BASE]]*(1/DATOS_[[#This Row],[% normaliz]])*(1/DATOS_[[#This Row],[% anualiz]]))*IF(DATOS_[[#This Row],[Check Equiparado]]="Sí",1,0)</f>
        <v>#DIV/0!</v>
      </c>
      <c r="BY4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0" s="138" t="e">
        <f aca="false">+DATOS_[[#This Row],[SALARIO BASE Eq]]+DATOS_[[#This Row],[Tot COMPL.SAL Eq]]</f>
        <v>#DIV/0!</v>
      </c>
      <c r="CA450" s="138" t="e">
        <f aca="false" t="array" ref="CA450:CA4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0" s="138" t="e">
        <f aca="false">+DATOS_[[#This Row],[TOTAL SALARIO Eq]]+DATOS_[[#This Row],[Tot Extrasalarial Eq]]</f>
        <v>#DIV/0!</v>
      </c>
      <c r="CC450" s="139" t="n">
        <f aca="false">DATOS_[[#This Row],[S.BASE]]</f>
        <v>0</v>
      </c>
      <c r="CD450" s="139" t="n">
        <f aca="false">+SUM(DATOS_[[#This Row],[Conc.Sal.01]:[Conc.Sal.30]])</f>
        <v>0</v>
      </c>
      <c r="CE450" s="139" t="n">
        <f aca="false">+DATOS_[[#This Row],[SALARIO BASE Ef]]+DATOS_[[#This Row],[Tot COMPL.SAL Ef]]</f>
        <v>0</v>
      </c>
      <c r="CF450" s="139" t="n">
        <f aca="false">+SUM(DATOS_[[#This Row],[C.Extra.01]:[C.Extra.05]])</f>
        <v>0</v>
      </c>
      <c r="CG450" s="139" t="n">
        <f aca="false">+DATOS_[[#This Row],[TOTAL SALARIO Ef]]+DATOS_[[#This Row],[Tot Extrasalarial Ef]]</f>
        <v>0</v>
      </c>
      <c r="CH450" s="140" t="n">
        <f aca="false">MIN(IF(DATOS_[[#This Row],[Fecha Fin Contrato]]="",$D$4,DATOS_[[#This Row],[Fecha Fin Contrato]]),$D$4)-MAX(DATOS_[[#This Row],[Fecha de Contratación]],$D$3)+1</f>
        <v>1</v>
      </c>
      <c r="CI450" s="141" t="str">
        <f aca="false">IF(COUNTIFS(DATOS_[id],DATOS_[[#This Row],[id]])&gt;1,DATOS_[[#This Row],[id]],"")</f>
        <v/>
      </c>
      <c r="CJ450" s="141" t="n">
        <f aca="false">(Inicio!$G$10-DATOS_[[#This Row],[Fecha Nacimiento]])/365.25</f>
        <v>0</v>
      </c>
      <c r="CK450" s="141" t="n">
        <f aca="false">(Inicio!$G$10-DATOS_[[#This Row],[Fecha de Antigüedad]])/365.25</f>
        <v>0</v>
      </c>
      <c r="CL450" s="141" t="e">
        <f aca="false">+VLOOKUP(DATOS_[[#This Row],[Clave de Contrato]],TblTiposContrato13[],3,0)</f>
        <v>#N/A</v>
      </c>
      <c r="CM450" s="141" t="e">
        <f aca="false">+VLOOKUP(DATOS_[[#This Row],[Clave de Contrato]],TblTiposContrato13[],4,0)</f>
        <v>#N/A</v>
      </c>
      <c r="CN450" s="141" t="str">
        <f aca="false">VLOOKUP(DATOS_[[#This Row],[Edad]],CONTRATOS!TblRngEdad,2,1)</f>
        <v>20  o menos</v>
      </c>
      <c r="CO450" s="141" t="str">
        <f aca="false">VLOOKUP(DATOS_[[#This Row],[Antigüedad]],TblRngAntg14[],2,1)</f>
        <v>0 a 1 años</v>
      </c>
    </row>
    <row r="451" customFormat="false" ht="13.8" hidden="false" customHeight="false" outlineLevel="0" collapsed="false">
      <c r="D451" s="128"/>
      <c r="E451" s="129"/>
      <c r="F451" s="129"/>
      <c r="G451" s="129"/>
      <c r="H451" s="130"/>
      <c r="I451" s="131"/>
      <c r="J451" s="128"/>
      <c r="K451" s="132"/>
      <c r="L451" s="132"/>
      <c r="M451" s="133"/>
      <c r="N451" s="133"/>
      <c r="O451" s="133"/>
      <c r="P451" s="129"/>
      <c r="Z451" s="75"/>
      <c r="AA451" s="76"/>
      <c r="AB451" s="76"/>
      <c r="AC451" s="129"/>
      <c r="AD451" s="134"/>
      <c r="AE451" s="134"/>
      <c r="AF451" s="134"/>
      <c r="AG451" s="134"/>
      <c r="AH451" s="134"/>
      <c r="AI451" s="134"/>
      <c r="AJ451" s="134"/>
      <c r="AK451" s="134"/>
      <c r="AL451" s="134"/>
      <c r="AM451" s="134"/>
      <c r="AN451" s="134"/>
      <c r="AO451" s="134"/>
      <c r="AP451" s="134"/>
      <c r="AQ451" s="134"/>
      <c r="AR451" s="134"/>
      <c r="AS451" s="134"/>
      <c r="AT451" s="134"/>
      <c r="AU451" s="134"/>
      <c r="AV451" s="134"/>
      <c r="AW451" s="134"/>
      <c r="AX451" s="134"/>
      <c r="AY451" s="134"/>
      <c r="AZ451" s="134"/>
      <c r="BA451" s="134"/>
      <c r="BB451" s="134"/>
      <c r="BC451" s="134"/>
      <c r="BD451" s="134"/>
      <c r="BE451" s="134"/>
      <c r="BF451" s="134"/>
      <c r="BG451" s="134"/>
      <c r="BH451" s="134"/>
      <c r="BI451" s="134"/>
      <c r="BJ451" s="134"/>
      <c r="BK451" s="134"/>
      <c r="BL451" s="134"/>
      <c r="BM451" s="135"/>
      <c r="BN451" s="136" t="n">
        <f aca="false">+MAX($D$3,DATOS_[[#This Row],[Fecha Inicio Sit. Contract.]])</f>
        <v>0</v>
      </c>
      <c r="BO451" s="136" t="n">
        <f aca="false">+MIN($D$4,DATOS_[[#This Row],[Fecha Fin Sit. Contract.]])</f>
        <v>0</v>
      </c>
      <c r="BP451" s="137" t="n">
        <f aca="false">+DATOS_[[#This Row],[% de jornada]]*IF(DATOS_[[#This Row],[% jornada reducida]]="",1,DATOS_[[#This Row],[% jornada reducida]])</f>
        <v>0</v>
      </c>
      <c r="BQ451" s="137" t="n">
        <f aca="false">+(DATOS_[[#This Row],[F.fin.cal]]-DATOS_[[#This Row],[F.ini.cal]]+1)/($D$4-$D$3+1)</f>
        <v>1</v>
      </c>
      <c r="BR451" s="137" t="str">
        <f aca="false">IF(OR(AND(DATOS_[[#This Row],[Fecha Fin Contrato]]&lt;$D$3,DATOS_[[#This Row],[Fecha Fin Contrato]]&lt;&gt;""),DATOS_[[#This Row],[Fecha de Contratación]]&gt;$D$4),"Fuera","Dentro")</f>
        <v>Dentro</v>
      </c>
      <c r="BS451" s="137" t="str">
        <f aca="false" t="array" ref="BS451:BS451">IF(MAX(IF(DATOS_[id]=DATOS_[[#This Row],[id]],DATOS_[F.fin.cal]))=DATOS_[[#This Row],[F.fin.cal]],"Sí","NO")</f>
        <v>Sí</v>
      </c>
      <c r="BT451" s="137" t="str">
        <f aca="false">IF(AND(DATOS_[[#This Row],[% normaliz]]&lt;&gt;1,DATOS_[[#This Row],[% anualiz]]=1),"Sí","NO")</f>
        <v>Sí</v>
      </c>
      <c r="BU451" s="137" t="str">
        <f aca="false">IF(AND(DATOS_[[#This Row],[% normaliz]]=1,DATOS_[[#This Row],[% anualiz]]&lt;&gt;1),"Sí","NO")</f>
        <v>NO</v>
      </c>
      <c r="BV451" s="137" t="str">
        <f aca="false">IF(AND(DATOS_[[#This Row],[% normaliz]]&lt;&gt;1,DATOS_[[#This Row],[% anualiz]]&lt;&gt;1),"Sí","NO")</f>
        <v>NO</v>
      </c>
      <c r="BW451" s="137" t="str">
        <f aca="false">+IF(DATOS_[[#This Row],[% normaliz]]*DATOS_[[#This Row],[% anualiz]]=1,"NO","Sí")</f>
        <v>Sí</v>
      </c>
      <c r="BX451" s="138" t="e">
        <f aca="false">(DATOS_[[#This Row],[S.BASE]]*(1/DATOS_[[#This Row],[% normaliz]])*(1/DATOS_[[#This Row],[% anualiz]]))*IF(DATOS_[[#This Row],[Check Equiparado]]="Sí",1,0)</f>
        <v>#DIV/0!</v>
      </c>
      <c r="BY4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1" s="138" t="e">
        <f aca="false">+DATOS_[[#This Row],[SALARIO BASE Eq]]+DATOS_[[#This Row],[Tot COMPL.SAL Eq]]</f>
        <v>#DIV/0!</v>
      </c>
      <c r="CA451" s="138" t="e">
        <f aca="false" t="array" ref="CA451:CA4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1" s="138" t="e">
        <f aca="false">+DATOS_[[#This Row],[TOTAL SALARIO Eq]]+DATOS_[[#This Row],[Tot Extrasalarial Eq]]</f>
        <v>#DIV/0!</v>
      </c>
      <c r="CC451" s="139" t="n">
        <f aca="false">DATOS_[[#This Row],[S.BASE]]</f>
        <v>0</v>
      </c>
      <c r="CD451" s="139" t="n">
        <f aca="false">+SUM(DATOS_[[#This Row],[Conc.Sal.01]:[Conc.Sal.30]])</f>
        <v>0</v>
      </c>
      <c r="CE451" s="139" t="n">
        <f aca="false">+DATOS_[[#This Row],[SALARIO BASE Ef]]+DATOS_[[#This Row],[Tot COMPL.SAL Ef]]</f>
        <v>0</v>
      </c>
      <c r="CF451" s="139" t="n">
        <f aca="false">+SUM(DATOS_[[#This Row],[C.Extra.01]:[C.Extra.05]])</f>
        <v>0</v>
      </c>
      <c r="CG451" s="139" t="n">
        <f aca="false">+DATOS_[[#This Row],[TOTAL SALARIO Ef]]+DATOS_[[#This Row],[Tot Extrasalarial Ef]]</f>
        <v>0</v>
      </c>
      <c r="CH451" s="140" t="n">
        <f aca="false">MIN(IF(DATOS_[[#This Row],[Fecha Fin Contrato]]="",$D$4,DATOS_[[#This Row],[Fecha Fin Contrato]]),$D$4)-MAX(DATOS_[[#This Row],[Fecha de Contratación]],$D$3)+1</f>
        <v>1</v>
      </c>
      <c r="CI451" s="141" t="str">
        <f aca="false">IF(COUNTIFS(DATOS_[id],DATOS_[[#This Row],[id]])&gt;1,DATOS_[[#This Row],[id]],"")</f>
        <v/>
      </c>
      <c r="CJ451" s="141" t="n">
        <f aca="false">(Inicio!$G$10-DATOS_[[#This Row],[Fecha Nacimiento]])/365.25</f>
        <v>0</v>
      </c>
      <c r="CK451" s="141" t="n">
        <f aca="false">(Inicio!$G$10-DATOS_[[#This Row],[Fecha de Antigüedad]])/365.25</f>
        <v>0</v>
      </c>
      <c r="CL451" s="141" t="e">
        <f aca="false">+VLOOKUP(DATOS_[[#This Row],[Clave de Contrato]],TblTiposContrato13[],3,0)</f>
        <v>#N/A</v>
      </c>
      <c r="CM451" s="141" t="e">
        <f aca="false">+VLOOKUP(DATOS_[[#This Row],[Clave de Contrato]],TblTiposContrato13[],4,0)</f>
        <v>#N/A</v>
      </c>
      <c r="CN451" s="141" t="str">
        <f aca="false">VLOOKUP(DATOS_[[#This Row],[Edad]],CONTRATOS!TblRngEdad,2,1)</f>
        <v>20  o menos</v>
      </c>
      <c r="CO451" s="141" t="str">
        <f aca="false">VLOOKUP(DATOS_[[#This Row],[Antigüedad]],TblRngAntg14[],2,1)</f>
        <v>0 a 1 años</v>
      </c>
    </row>
    <row r="452" customFormat="false" ht="13.8" hidden="false" customHeight="false" outlineLevel="0" collapsed="false">
      <c r="D452" s="128"/>
      <c r="E452" s="129"/>
      <c r="F452" s="129"/>
      <c r="G452" s="129"/>
      <c r="H452" s="130"/>
      <c r="I452" s="131"/>
      <c r="J452" s="128"/>
      <c r="K452" s="132"/>
      <c r="L452" s="132"/>
      <c r="M452" s="133"/>
      <c r="N452" s="133"/>
      <c r="O452" s="133"/>
      <c r="P452" s="129"/>
      <c r="Z452" s="75"/>
      <c r="AA452" s="76"/>
      <c r="AB452" s="76"/>
      <c r="AC452" s="129"/>
      <c r="AD452" s="134"/>
      <c r="AE452" s="134"/>
      <c r="AF452" s="134"/>
      <c r="AG452" s="134"/>
      <c r="AH452" s="134"/>
      <c r="AI452" s="134"/>
      <c r="AJ452" s="134"/>
      <c r="AK452" s="134"/>
      <c r="AL452" s="134"/>
      <c r="AM452" s="134"/>
      <c r="AN452" s="134"/>
      <c r="AO452" s="134"/>
      <c r="AP452" s="134"/>
      <c r="AQ452" s="134"/>
      <c r="AR452" s="134"/>
      <c r="AS452" s="134"/>
      <c r="AT452" s="134"/>
      <c r="AU452" s="134"/>
      <c r="AV452" s="134"/>
      <c r="AW452" s="134"/>
      <c r="AX452" s="134"/>
      <c r="AY452" s="134"/>
      <c r="AZ452" s="134"/>
      <c r="BA452" s="134"/>
      <c r="BB452" s="134"/>
      <c r="BC452" s="134"/>
      <c r="BD452" s="134"/>
      <c r="BE452" s="134"/>
      <c r="BF452" s="134"/>
      <c r="BG452" s="134"/>
      <c r="BH452" s="134"/>
      <c r="BI452" s="134"/>
      <c r="BJ452" s="134"/>
      <c r="BK452" s="134"/>
      <c r="BL452" s="134"/>
      <c r="BM452" s="135"/>
      <c r="BN452" s="136" t="n">
        <f aca="false">+MAX($D$3,DATOS_[[#This Row],[Fecha Inicio Sit. Contract.]])</f>
        <v>0</v>
      </c>
      <c r="BO452" s="136" t="n">
        <f aca="false">+MIN($D$4,DATOS_[[#This Row],[Fecha Fin Sit. Contract.]])</f>
        <v>0</v>
      </c>
      <c r="BP452" s="137" t="n">
        <f aca="false">+DATOS_[[#This Row],[% de jornada]]*IF(DATOS_[[#This Row],[% jornada reducida]]="",1,DATOS_[[#This Row],[% jornada reducida]])</f>
        <v>0</v>
      </c>
      <c r="BQ452" s="137" t="n">
        <f aca="false">+(DATOS_[[#This Row],[F.fin.cal]]-DATOS_[[#This Row],[F.ini.cal]]+1)/($D$4-$D$3+1)</f>
        <v>1</v>
      </c>
      <c r="BR452" s="137" t="str">
        <f aca="false">IF(OR(AND(DATOS_[[#This Row],[Fecha Fin Contrato]]&lt;$D$3,DATOS_[[#This Row],[Fecha Fin Contrato]]&lt;&gt;""),DATOS_[[#This Row],[Fecha de Contratación]]&gt;$D$4),"Fuera","Dentro")</f>
        <v>Dentro</v>
      </c>
      <c r="BS452" s="137" t="str">
        <f aca="false" t="array" ref="BS452:BS452">IF(MAX(IF(DATOS_[id]=DATOS_[[#This Row],[id]],DATOS_[F.fin.cal]))=DATOS_[[#This Row],[F.fin.cal]],"Sí","NO")</f>
        <v>Sí</v>
      </c>
      <c r="BT452" s="137" t="str">
        <f aca="false">IF(AND(DATOS_[[#This Row],[% normaliz]]&lt;&gt;1,DATOS_[[#This Row],[% anualiz]]=1),"Sí","NO")</f>
        <v>Sí</v>
      </c>
      <c r="BU452" s="137" t="str">
        <f aca="false">IF(AND(DATOS_[[#This Row],[% normaliz]]=1,DATOS_[[#This Row],[% anualiz]]&lt;&gt;1),"Sí","NO")</f>
        <v>NO</v>
      </c>
      <c r="BV452" s="137" t="str">
        <f aca="false">IF(AND(DATOS_[[#This Row],[% normaliz]]&lt;&gt;1,DATOS_[[#This Row],[% anualiz]]&lt;&gt;1),"Sí","NO")</f>
        <v>NO</v>
      </c>
      <c r="BW452" s="137" t="str">
        <f aca="false">+IF(DATOS_[[#This Row],[% normaliz]]*DATOS_[[#This Row],[% anualiz]]=1,"NO","Sí")</f>
        <v>Sí</v>
      </c>
      <c r="BX452" s="138" t="e">
        <f aca="false">(DATOS_[[#This Row],[S.BASE]]*(1/DATOS_[[#This Row],[% normaliz]])*(1/DATOS_[[#This Row],[% anualiz]]))*IF(DATOS_[[#This Row],[Check Equiparado]]="Sí",1,0)</f>
        <v>#DIV/0!</v>
      </c>
      <c r="BY4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2" s="138" t="e">
        <f aca="false">+DATOS_[[#This Row],[SALARIO BASE Eq]]+DATOS_[[#This Row],[Tot COMPL.SAL Eq]]</f>
        <v>#DIV/0!</v>
      </c>
      <c r="CA452" s="138" t="e">
        <f aca="false" t="array" ref="CA452:CA4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2" s="138" t="e">
        <f aca="false">+DATOS_[[#This Row],[TOTAL SALARIO Eq]]+DATOS_[[#This Row],[Tot Extrasalarial Eq]]</f>
        <v>#DIV/0!</v>
      </c>
      <c r="CC452" s="139" t="n">
        <f aca="false">DATOS_[[#This Row],[S.BASE]]</f>
        <v>0</v>
      </c>
      <c r="CD452" s="139" t="n">
        <f aca="false">+SUM(DATOS_[[#This Row],[Conc.Sal.01]:[Conc.Sal.30]])</f>
        <v>0</v>
      </c>
      <c r="CE452" s="139" t="n">
        <f aca="false">+DATOS_[[#This Row],[SALARIO BASE Ef]]+DATOS_[[#This Row],[Tot COMPL.SAL Ef]]</f>
        <v>0</v>
      </c>
      <c r="CF452" s="139" t="n">
        <f aca="false">+SUM(DATOS_[[#This Row],[C.Extra.01]:[C.Extra.05]])</f>
        <v>0</v>
      </c>
      <c r="CG452" s="139" t="n">
        <f aca="false">+DATOS_[[#This Row],[TOTAL SALARIO Ef]]+DATOS_[[#This Row],[Tot Extrasalarial Ef]]</f>
        <v>0</v>
      </c>
      <c r="CH452" s="140" t="n">
        <f aca="false">MIN(IF(DATOS_[[#This Row],[Fecha Fin Contrato]]="",$D$4,DATOS_[[#This Row],[Fecha Fin Contrato]]),$D$4)-MAX(DATOS_[[#This Row],[Fecha de Contratación]],$D$3)+1</f>
        <v>1</v>
      </c>
      <c r="CI452" s="141" t="str">
        <f aca="false">IF(COUNTIFS(DATOS_[id],DATOS_[[#This Row],[id]])&gt;1,DATOS_[[#This Row],[id]],"")</f>
        <v/>
      </c>
      <c r="CJ452" s="141" t="n">
        <f aca="false">(Inicio!$G$10-DATOS_[[#This Row],[Fecha Nacimiento]])/365.25</f>
        <v>0</v>
      </c>
      <c r="CK452" s="141" t="n">
        <f aca="false">(Inicio!$G$10-DATOS_[[#This Row],[Fecha de Antigüedad]])/365.25</f>
        <v>0</v>
      </c>
      <c r="CL452" s="141" t="e">
        <f aca="false">+VLOOKUP(DATOS_[[#This Row],[Clave de Contrato]],TblTiposContrato13[],3,0)</f>
        <v>#N/A</v>
      </c>
      <c r="CM452" s="141" t="e">
        <f aca="false">+VLOOKUP(DATOS_[[#This Row],[Clave de Contrato]],TblTiposContrato13[],4,0)</f>
        <v>#N/A</v>
      </c>
      <c r="CN452" s="141" t="str">
        <f aca="false">VLOOKUP(DATOS_[[#This Row],[Edad]],CONTRATOS!TblRngEdad,2,1)</f>
        <v>20  o menos</v>
      </c>
      <c r="CO452" s="141" t="str">
        <f aca="false">VLOOKUP(DATOS_[[#This Row],[Antigüedad]],TblRngAntg14[],2,1)</f>
        <v>0 a 1 años</v>
      </c>
    </row>
    <row r="453" customFormat="false" ht="13.8" hidden="false" customHeight="false" outlineLevel="0" collapsed="false">
      <c r="D453" s="128"/>
      <c r="E453" s="129"/>
      <c r="F453" s="129"/>
      <c r="G453" s="129"/>
      <c r="H453" s="130"/>
      <c r="I453" s="131"/>
      <c r="J453" s="128"/>
      <c r="K453" s="132"/>
      <c r="L453" s="132"/>
      <c r="M453" s="133"/>
      <c r="N453" s="133"/>
      <c r="O453" s="133"/>
      <c r="P453" s="129"/>
      <c r="Z453" s="75"/>
      <c r="AA453" s="76"/>
      <c r="AB453" s="76"/>
      <c r="AC453" s="129"/>
      <c r="AD453" s="134"/>
      <c r="AE453" s="134"/>
      <c r="AF453" s="134"/>
      <c r="AG453" s="134"/>
      <c r="AH453" s="134"/>
      <c r="AI453" s="134"/>
      <c r="AJ453" s="134"/>
      <c r="AK453" s="134"/>
      <c r="AL453" s="134"/>
      <c r="AM453" s="134"/>
      <c r="AN453" s="134"/>
      <c r="AO453" s="134"/>
      <c r="AP453" s="134"/>
      <c r="AQ453" s="134"/>
      <c r="AR453" s="134"/>
      <c r="AS453" s="134"/>
      <c r="AT453" s="134"/>
      <c r="AU453" s="134"/>
      <c r="AV453" s="134"/>
      <c r="AW453" s="134"/>
      <c r="AX453" s="134"/>
      <c r="AY453" s="134"/>
      <c r="AZ453" s="134"/>
      <c r="BA453" s="134"/>
      <c r="BB453" s="134"/>
      <c r="BC453" s="134"/>
      <c r="BD453" s="134"/>
      <c r="BE453" s="134"/>
      <c r="BF453" s="134"/>
      <c r="BG453" s="134"/>
      <c r="BH453" s="134"/>
      <c r="BI453" s="134"/>
      <c r="BJ453" s="134"/>
      <c r="BK453" s="134"/>
      <c r="BL453" s="134"/>
      <c r="BM453" s="135"/>
      <c r="BN453" s="136" t="n">
        <f aca="false">+MAX($D$3,DATOS_[[#This Row],[Fecha Inicio Sit. Contract.]])</f>
        <v>0</v>
      </c>
      <c r="BO453" s="136" t="n">
        <f aca="false">+MIN($D$4,DATOS_[[#This Row],[Fecha Fin Sit. Contract.]])</f>
        <v>0</v>
      </c>
      <c r="BP453" s="137" t="n">
        <f aca="false">+DATOS_[[#This Row],[% de jornada]]*IF(DATOS_[[#This Row],[% jornada reducida]]="",1,DATOS_[[#This Row],[% jornada reducida]])</f>
        <v>0</v>
      </c>
      <c r="BQ453" s="137" t="n">
        <f aca="false">+(DATOS_[[#This Row],[F.fin.cal]]-DATOS_[[#This Row],[F.ini.cal]]+1)/($D$4-$D$3+1)</f>
        <v>1</v>
      </c>
      <c r="BR453" s="137" t="str">
        <f aca="false">IF(OR(AND(DATOS_[[#This Row],[Fecha Fin Contrato]]&lt;$D$3,DATOS_[[#This Row],[Fecha Fin Contrato]]&lt;&gt;""),DATOS_[[#This Row],[Fecha de Contratación]]&gt;$D$4),"Fuera","Dentro")</f>
        <v>Dentro</v>
      </c>
      <c r="BS453" s="137" t="str">
        <f aca="false" t="array" ref="BS453:BS453">IF(MAX(IF(DATOS_[id]=DATOS_[[#This Row],[id]],DATOS_[F.fin.cal]))=DATOS_[[#This Row],[F.fin.cal]],"Sí","NO")</f>
        <v>Sí</v>
      </c>
      <c r="BT453" s="137" t="str">
        <f aca="false">IF(AND(DATOS_[[#This Row],[% normaliz]]&lt;&gt;1,DATOS_[[#This Row],[% anualiz]]=1),"Sí","NO")</f>
        <v>Sí</v>
      </c>
      <c r="BU453" s="137" t="str">
        <f aca="false">IF(AND(DATOS_[[#This Row],[% normaliz]]=1,DATOS_[[#This Row],[% anualiz]]&lt;&gt;1),"Sí","NO")</f>
        <v>NO</v>
      </c>
      <c r="BV453" s="137" t="str">
        <f aca="false">IF(AND(DATOS_[[#This Row],[% normaliz]]&lt;&gt;1,DATOS_[[#This Row],[% anualiz]]&lt;&gt;1),"Sí","NO")</f>
        <v>NO</v>
      </c>
      <c r="BW453" s="137" t="str">
        <f aca="false">+IF(DATOS_[[#This Row],[% normaliz]]*DATOS_[[#This Row],[% anualiz]]=1,"NO","Sí")</f>
        <v>Sí</v>
      </c>
      <c r="BX453" s="138" t="e">
        <f aca="false">(DATOS_[[#This Row],[S.BASE]]*(1/DATOS_[[#This Row],[% normaliz]])*(1/DATOS_[[#This Row],[% anualiz]]))*IF(DATOS_[[#This Row],[Check Equiparado]]="Sí",1,0)</f>
        <v>#DIV/0!</v>
      </c>
      <c r="BY4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3" s="138" t="e">
        <f aca="false">+DATOS_[[#This Row],[SALARIO BASE Eq]]+DATOS_[[#This Row],[Tot COMPL.SAL Eq]]</f>
        <v>#DIV/0!</v>
      </c>
      <c r="CA453" s="138" t="e">
        <f aca="false" t="array" ref="CA453:CA4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3" s="138" t="e">
        <f aca="false">+DATOS_[[#This Row],[TOTAL SALARIO Eq]]+DATOS_[[#This Row],[Tot Extrasalarial Eq]]</f>
        <v>#DIV/0!</v>
      </c>
      <c r="CC453" s="139" t="n">
        <f aca="false">DATOS_[[#This Row],[S.BASE]]</f>
        <v>0</v>
      </c>
      <c r="CD453" s="139" t="n">
        <f aca="false">+SUM(DATOS_[[#This Row],[Conc.Sal.01]:[Conc.Sal.30]])</f>
        <v>0</v>
      </c>
      <c r="CE453" s="139" t="n">
        <f aca="false">+DATOS_[[#This Row],[SALARIO BASE Ef]]+DATOS_[[#This Row],[Tot COMPL.SAL Ef]]</f>
        <v>0</v>
      </c>
      <c r="CF453" s="139" t="n">
        <f aca="false">+SUM(DATOS_[[#This Row],[C.Extra.01]:[C.Extra.05]])</f>
        <v>0</v>
      </c>
      <c r="CG453" s="139" t="n">
        <f aca="false">+DATOS_[[#This Row],[TOTAL SALARIO Ef]]+DATOS_[[#This Row],[Tot Extrasalarial Ef]]</f>
        <v>0</v>
      </c>
      <c r="CH453" s="140" t="n">
        <f aca="false">MIN(IF(DATOS_[[#This Row],[Fecha Fin Contrato]]="",$D$4,DATOS_[[#This Row],[Fecha Fin Contrato]]),$D$4)-MAX(DATOS_[[#This Row],[Fecha de Contratación]],$D$3)+1</f>
        <v>1</v>
      </c>
      <c r="CI453" s="141" t="str">
        <f aca="false">IF(COUNTIFS(DATOS_[id],DATOS_[[#This Row],[id]])&gt;1,DATOS_[[#This Row],[id]],"")</f>
        <v/>
      </c>
      <c r="CJ453" s="141" t="n">
        <f aca="false">(Inicio!$G$10-DATOS_[[#This Row],[Fecha Nacimiento]])/365.25</f>
        <v>0</v>
      </c>
      <c r="CK453" s="141" t="n">
        <f aca="false">(Inicio!$G$10-DATOS_[[#This Row],[Fecha de Antigüedad]])/365.25</f>
        <v>0</v>
      </c>
      <c r="CL453" s="141" t="e">
        <f aca="false">+VLOOKUP(DATOS_[[#This Row],[Clave de Contrato]],TblTiposContrato13[],3,0)</f>
        <v>#N/A</v>
      </c>
      <c r="CM453" s="141" t="e">
        <f aca="false">+VLOOKUP(DATOS_[[#This Row],[Clave de Contrato]],TblTiposContrato13[],4,0)</f>
        <v>#N/A</v>
      </c>
      <c r="CN453" s="141" t="str">
        <f aca="false">VLOOKUP(DATOS_[[#This Row],[Edad]],CONTRATOS!TblRngEdad,2,1)</f>
        <v>20  o menos</v>
      </c>
      <c r="CO453" s="141" t="str">
        <f aca="false">VLOOKUP(DATOS_[[#This Row],[Antigüedad]],TblRngAntg14[],2,1)</f>
        <v>0 a 1 años</v>
      </c>
    </row>
    <row r="454" customFormat="false" ht="13.8" hidden="false" customHeight="false" outlineLevel="0" collapsed="false">
      <c r="D454" s="128"/>
      <c r="E454" s="129"/>
      <c r="F454" s="129"/>
      <c r="G454" s="129"/>
      <c r="H454" s="130"/>
      <c r="I454" s="131"/>
      <c r="J454" s="128"/>
      <c r="K454" s="132"/>
      <c r="L454" s="132"/>
      <c r="M454" s="133"/>
      <c r="N454" s="133"/>
      <c r="O454" s="133"/>
      <c r="P454" s="129"/>
      <c r="Z454" s="75"/>
      <c r="AA454" s="76"/>
      <c r="AB454" s="76"/>
      <c r="AC454" s="129"/>
      <c r="AD454" s="134"/>
      <c r="AE454" s="134"/>
      <c r="AF454" s="134"/>
      <c r="AG454" s="134"/>
      <c r="AH454" s="134"/>
      <c r="AI454" s="134"/>
      <c r="AJ454" s="134"/>
      <c r="AK454" s="134"/>
      <c r="AL454" s="134"/>
      <c r="AM454" s="134"/>
      <c r="AN454" s="134"/>
      <c r="AO454" s="134"/>
      <c r="AP454" s="134"/>
      <c r="AQ454" s="134"/>
      <c r="AR454" s="134"/>
      <c r="AS454" s="134"/>
      <c r="AT454" s="134"/>
      <c r="AU454" s="134"/>
      <c r="AV454" s="134"/>
      <c r="AW454" s="134"/>
      <c r="AX454" s="134"/>
      <c r="AY454" s="134"/>
      <c r="AZ454" s="134"/>
      <c r="BA454" s="134"/>
      <c r="BB454" s="134"/>
      <c r="BC454" s="134"/>
      <c r="BD454" s="134"/>
      <c r="BE454" s="134"/>
      <c r="BF454" s="134"/>
      <c r="BG454" s="134"/>
      <c r="BH454" s="134"/>
      <c r="BI454" s="134"/>
      <c r="BJ454" s="134"/>
      <c r="BK454" s="134"/>
      <c r="BL454" s="134"/>
      <c r="BM454" s="135"/>
      <c r="BN454" s="136" t="n">
        <f aca="false">+MAX($D$3,DATOS_[[#This Row],[Fecha Inicio Sit. Contract.]])</f>
        <v>0</v>
      </c>
      <c r="BO454" s="136" t="n">
        <f aca="false">+MIN($D$4,DATOS_[[#This Row],[Fecha Fin Sit. Contract.]])</f>
        <v>0</v>
      </c>
      <c r="BP454" s="137" t="n">
        <f aca="false">+DATOS_[[#This Row],[% de jornada]]*IF(DATOS_[[#This Row],[% jornada reducida]]="",1,DATOS_[[#This Row],[% jornada reducida]])</f>
        <v>0</v>
      </c>
      <c r="BQ454" s="137" t="n">
        <f aca="false">+(DATOS_[[#This Row],[F.fin.cal]]-DATOS_[[#This Row],[F.ini.cal]]+1)/($D$4-$D$3+1)</f>
        <v>1</v>
      </c>
      <c r="BR454" s="137" t="str">
        <f aca="false">IF(OR(AND(DATOS_[[#This Row],[Fecha Fin Contrato]]&lt;$D$3,DATOS_[[#This Row],[Fecha Fin Contrato]]&lt;&gt;""),DATOS_[[#This Row],[Fecha de Contratación]]&gt;$D$4),"Fuera","Dentro")</f>
        <v>Dentro</v>
      </c>
      <c r="BS454" s="137" t="str">
        <f aca="false" t="array" ref="BS454:BS454">IF(MAX(IF(DATOS_[id]=DATOS_[[#This Row],[id]],DATOS_[F.fin.cal]))=DATOS_[[#This Row],[F.fin.cal]],"Sí","NO")</f>
        <v>Sí</v>
      </c>
      <c r="BT454" s="137" t="str">
        <f aca="false">IF(AND(DATOS_[[#This Row],[% normaliz]]&lt;&gt;1,DATOS_[[#This Row],[% anualiz]]=1),"Sí","NO")</f>
        <v>Sí</v>
      </c>
      <c r="BU454" s="137" t="str">
        <f aca="false">IF(AND(DATOS_[[#This Row],[% normaliz]]=1,DATOS_[[#This Row],[% anualiz]]&lt;&gt;1),"Sí","NO")</f>
        <v>NO</v>
      </c>
      <c r="BV454" s="137" t="str">
        <f aca="false">IF(AND(DATOS_[[#This Row],[% normaliz]]&lt;&gt;1,DATOS_[[#This Row],[% anualiz]]&lt;&gt;1),"Sí","NO")</f>
        <v>NO</v>
      </c>
      <c r="BW454" s="137" t="str">
        <f aca="false">+IF(DATOS_[[#This Row],[% normaliz]]*DATOS_[[#This Row],[% anualiz]]=1,"NO","Sí")</f>
        <v>Sí</v>
      </c>
      <c r="BX454" s="138" t="e">
        <f aca="false">(DATOS_[[#This Row],[S.BASE]]*(1/DATOS_[[#This Row],[% normaliz]])*(1/DATOS_[[#This Row],[% anualiz]]))*IF(DATOS_[[#This Row],[Check Equiparado]]="Sí",1,0)</f>
        <v>#DIV/0!</v>
      </c>
      <c r="BY4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4" s="138" t="e">
        <f aca="false">+DATOS_[[#This Row],[SALARIO BASE Eq]]+DATOS_[[#This Row],[Tot COMPL.SAL Eq]]</f>
        <v>#DIV/0!</v>
      </c>
      <c r="CA454" s="138" t="e">
        <f aca="false" t="array" ref="CA454:CA4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4" s="138" t="e">
        <f aca="false">+DATOS_[[#This Row],[TOTAL SALARIO Eq]]+DATOS_[[#This Row],[Tot Extrasalarial Eq]]</f>
        <v>#DIV/0!</v>
      </c>
      <c r="CC454" s="139" t="n">
        <f aca="false">DATOS_[[#This Row],[S.BASE]]</f>
        <v>0</v>
      </c>
      <c r="CD454" s="139" t="n">
        <f aca="false">+SUM(DATOS_[[#This Row],[Conc.Sal.01]:[Conc.Sal.30]])</f>
        <v>0</v>
      </c>
      <c r="CE454" s="139" t="n">
        <f aca="false">+DATOS_[[#This Row],[SALARIO BASE Ef]]+DATOS_[[#This Row],[Tot COMPL.SAL Ef]]</f>
        <v>0</v>
      </c>
      <c r="CF454" s="139" t="n">
        <f aca="false">+SUM(DATOS_[[#This Row],[C.Extra.01]:[C.Extra.05]])</f>
        <v>0</v>
      </c>
      <c r="CG454" s="139" t="n">
        <f aca="false">+DATOS_[[#This Row],[TOTAL SALARIO Ef]]+DATOS_[[#This Row],[Tot Extrasalarial Ef]]</f>
        <v>0</v>
      </c>
      <c r="CH454" s="140" t="n">
        <f aca="false">MIN(IF(DATOS_[[#This Row],[Fecha Fin Contrato]]="",$D$4,DATOS_[[#This Row],[Fecha Fin Contrato]]),$D$4)-MAX(DATOS_[[#This Row],[Fecha de Contratación]],$D$3)+1</f>
        <v>1</v>
      </c>
      <c r="CI454" s="141" t="str">
        <f aca="false">IF(COUNTIFS(DATOS_[id],DATOS_[[#This Row],[id]])&gt;1,DATOS_[[#This Row],[id]],"")</f>
        <v/>
      </c>
      <c r="CJ454" s="141" t="n">
        <f aca="false">(Inicio!$G$10-DATOS_[[#This Row],[Fecha Nacimiento]])/365.25</f>
        <v>0</v>
      </c>
      <c r="CK454" s="141" t="n">
        <f aca="false">(Inicio!$G$10-DATOS_[[#This Row],[Fecha de Antigüedad]])/365.25</f>
        <v>0</v>
      </c>
      <c r="CL454" s="141" t="e">
        <f aca="false">+VLOOKUP(DATOS_[[#This Row],[Clave de Contrato]],TblTiposContrato13[],3,0)</f>
        <v>#N/A</v>
      </c>
      <c r="CM454" s="141" t="e">
        <f aca="false">+VLOOKUP(DATOS_[[#This Row],[Clave de Contrato]],TblTiposContrato13[],4,0)</f>
        <v>#N/A</v>
      </c>
      <c r="CN454" s="141" t="str">
        <f aca="false">VLOOKUP(DATOS_[[#This Row],[Edad]],CONTRATOS!TblRngEdad,2,1)</f>
        <v>20  o menos</v>
      </c>
      <c r="CO454" s="141" t="str">
        <f aca="false">VLOOKUP(DATOS_[[#This Row],[Antigüedad]],TblRngAntg14[],2,1)</f>
        <v>0 a 1 años</v>
      </c>
    </row>
    <row r="455" customFormat="false" ht="13.8" hidden="false" customHeight="false" outlineLevel="0" collapsed="false">
      <c r="D455" s="128"/>
      <c r="E455" s="129"/>
      <c r="F455" s="129"/>
      <c r="G455" s="129"/>
      <c r="H455" s="130"/>
      <c r="I455" s="131"/>
      <c r="J455" s="128"/>
      <c r="K455" s="132"/>
      <c r="L455" s="132"/>
      <c r="M455" s="133"/>
      <c r="N455" s="133"/>
      <c r="O455" s="133"/>
      <c r="P455" s="129"/>
      <c r="Z455" s="75"/>
      <c r="AA455" s="76"/>
      <c r="AB455" s="76"/>
      <c r="AC455" s="129"/>
      <c r="AD455" s="134"/>
      <c r="AE455" s="134"/>
      <c r="AF455" s="134"/>
      <c r="AG455" s="134"/>
      <c r="AH455" s="134"/>
      <c r="AI455" s="134"/>
      <c r="AJ455" s="134"/>
      <c r="AK455" s="134"/>
      <c r="AL455" s="134"/>
      <c r="AM455" s="134"/>
      <c r="AN455" s="134"/>
      <c r="AO455" s="134"/>
      <c r="AP455" s="134"/>
      <c r="AQ455" s="134"/>
      <c r="AR455" s="134"/>
      <c r="AS455" s="134"/>
      <c r="AT455" s="134"/>
      <c r="AU455" s="134"/>
      <c r="AV455" s="134"/>
      <c r="AW455" s="134"/>
      <c r="AX455" s="134"/>
      <c r="AY455" s="134"/>
      <c r="AZ455" s="134"/>
      <c r="BA455" s="134"/>
      <c r="BB455" s="134"/>
      <c r="BC455" s="134"/>
      <c r="BD455" s="134"/>
      <c r="BE455" s="134"/>
      <c r="BF455" s="134"/>
      <c r="BG455" s="134"/>
      <c r="BH455" s="134"/>
      <c r="BI455" s="134"/>
      <c r="BJ455" s="134"/>
      <c r="BK455" s="134"/>
      <c r="BL455" s="134"/>
      <c r="BM455" s="135"/>
      <c r="BN455" s="136" t="n">
        <f aca="false">+MAX($D$3,DATOS_[[#This Row],[Fecha Inicio Sit. Contract.]])</f>
        <v>0</v>
      </c>
      <c r="BO455" s="136" t="n">
        <f aca="false">+MIN($D$4,DATOS_[[#This Row],[Fecha Fin Sit. Contract.]])</f>
        <v>0</v>
      </c>
      <c r="BP455" s="137" t="n">
        <f aca="false">+DATOS_[[#This Row],[% de jornada]]*IF(DATOS_[[#This Row],[% jornada reducida]]="",1,DATOS_[[#This Row],[% jornada reducida]])</f>
        <v>0</v>
      </c>
      <c r="BQ455" s="137" t="n">
        <f aca="false">+(DATOS_[[#This Row],[F.fin.cal]]-DATOS_[[#This Row],[F.ini.cal]]+1)/($D$4-$D$3+1)</f>
        <v>1</v>
      </c>
      <c r="BR455" s="137" t="str">
        <f aca="false">IF(OR(AND(DATOS_[[#This Row],[Fecha Fin Contrato]]&lt;$D$3,DATOS_[[#This Row],[Fecha Fin Contrato]]&lt;&gt;""),DATOS_[[#This Row],[Fecha de Contratación]]&gt;$D$4),"Fuera","Dentro")</f>
        <v>Dentro</v>
      </c>
      <c r="BS455" s="137" t="str">
        <f aca="false" t="array" ref="BS455:BS455">IF(MAX(IF(DATOS_[id]=DATOS_[[#This Row],[id]],DATOS_[F.fin.cal]))=DATOS_[[#This Row],[F.fin.cal]],"Sí","NO")</f>
        <v>Sí</v>
      </c>
      <c r="BT455" s="137" t="str">
        <f aca="false">IF(AND(DATOS_[[#This Row],[% normaliz]]&lt;&gt;1,DATOS_[[#This Row],[% anualiz]]=1),"Sí","NO")</f>
        <v>Sí</v>
      </c>
      <c r="BU455" s="137" t="str">
        <f aca="false">IF(AND(DATOS_[[#This Row],[% normaliz]]=1,DATOS_[[#This Row],[% anualiz]]&lt;&gt;1),"Sí","NO")</f>
        <v>NO</v>
      </c>
      <c r="BV455" s="137" t="str">
        <f aca="false">IF(AND(DATOS_[[#This Row],[% normaliz]]&lt;&gt;1,DATOS_[[#This Row],[% anualiz]]&lt;&gt;1),"Sí","NO")</f>
        <v>NO</v>
      </c>
      <c r="BW455" s="137" t="str">
        <f aca="false">+IF(DATOS_[[#This Row],[% normaliz]]*DATOS_[[#This Row],[% anualiz]]=1,"NO","Sí")</f>
        <v>Sí</v>
      </c>
      <c r="BX455" s="138" t="e">
        <f aca="false">(DATOS_[[#This Row],[S.BASE]]*(1/DATOS_[[#This Row],[% normaliz]])*(1/DATOS_[[#This Row],[% anualiz]]))*IF(DATOS_[[#This Row],[Check Equiparado]]="Sí",1,0)</f>
        <v>#DIV/0!</v>
      </c>
      <c r="BY4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5" s="138" t="e">
        <f aca="false">+DATOS_[[#This Row],[SALARIO BASE Eq]]+DATOS_[[#This Row],[Tot COMPL.SAL Eq]]</f>
        <v>#DIV/0!</v>
      </c>
      <c r="CA455" s="138" t="e">
        <f aca="false" t="array" ref="CA455:CA4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5" s="138" t="e">
        <f aca="false">+DATOS_[[#This Row],[TOTAL SALARIO Eq]]+DATOS_[[#This Row],[Tot Extrasalarial Eq]]</f>
        <v>#DIV/0!</v>
      </c>
      <c r="CC455" s="139" t="n">
        <f aca="false">DATOS_[[#This Row],[S.BASE]]</f>
        <v>0</v>
      </c>
      <c r="CD455" s="139" t="n">
        <f aca="false">+SUM(DATOS_[[#This Row],[Conc.Sal.01]:[Conc.Sal.30]])</f>
        <v>0</v>
      </c>
      <c r="CE455" s="139" t="n">
        <f aca="false">+DATOS_[[#This Row],[SALARIO BASE Ef]]+DATOS_[[#This Row],[Tot COMPL.SAL Ef]]</f>
        <v>0</v>
      </c>
      <c r="CF455" s="139" t="n">
        <f aca="false">+SUM(DATOS_[[#This Row],[C.Extra.01]:[C.Extra.05]])</f>
        <v>0</v>
      </c>
      <c r="CG455" s="139" t="n">
        <f aca="false">+DATOS_[[#This Row],[TOTAL SALARIO Ef]]+DATOS_[[#This Row],[Tot Extrasalarial Ef]]</f>
        <v>0</v>
      </c>
      <c r="CH455" s="140" t="n">
        <f aca="false">MIN(IF(DATOS_[[#This Row],[Fecha Fin Contrato]]="",$D$4,DATOS_[[#This Row],[Fecha Fin Contrato]]),$D$4)-MAX(DATOS_[[#This Row],[Fecha de Contratación]],$D$3)+1</f>
        <v>1</v>
      </c>
      <c r="CI455" s="141" t="str">
        <f aca="false">IF(COUNTIFS(DATOS_[id],DATOS_[[#This Row],[id]])&gt;1,DATOS_[[#This Row],[id]],"")</f>
        <v/>
      </c>
      <c r="CJ455" s="141" t="n">
        <f aca="false">(Inicio!$G$10-DATOS_[[#This Row],[Fecha Nacimiento]])/365.25</f>
        <v>0</v>
      </c>
      <c r="CK455" s="141" t="n">
        <f aca="false">(Inicio!$G$10-DATOS_[[#This Row],[Fecha de Antigüedad]])/365.25</f>
        <v>0</v>
      </c>
      <c r="CL455" s="141" t="e">
        <f aca="false">+VLOOKUP(DATOS_[[#This Row],[Clave de Contrato]],TblTiposContrato13[],3,0)</f>
        <v>#N/A</v>
      </c>
      <c r="CM455" s="141" t="e">
        <f aca="false">+VLOOKUP(DATOS_[[#This Row],[Clave de Contrato]],TblTiposContrato13[],4,0)</f>
        <v>#N/A</v>
      </c>
      <c r="CN455" s="141" t="str">
        <f aca="false">VLOOKUP(DATOS_[[#This Row],[Edad]],CONTRATOS!TblRngEdad,2,1)</f>
        <v>20  o menos</v>
      </c>
      <c r="CO455" s="141" t="str">
        <f aca="false">VLOOKUP(DATOS_[[#This Row],[Antigüedad]],TblRngAntg14[],2,1)</f>
        <v>0 a 1 años</v>
      </c>
    </row>
    <row r="456" customFormat="false" ht="13.8" hidden="false" customHeight="false" outlineLevel="0" collapsed="false">
      <c r="D456" s="128"/>
      <c r="E456" s="129"/>
      <c r="F456" s="129"/>
      <c r="G456" s="129"/>
      <c r="H456" s="130"/>
      <c r="I456" s="131"/>
      <c r="J456" s="128"/>
      <c r="K456" s="132"/>
      <c r="L456" s="132"/>
      <c r="M456" s="133"/>
      <c r="N456" s="133"/>
      <c r="O456" s="133"/>
      <c r="P456" s="129"/>
      <c r="Z456" s="75"/>
      <c r="AA456" s="76"/>
      <c r="AB456" s="76"/>
      <c r="AC456" s="129"/>
      <c r="AD456" s="134"/>
      <c r="AE456" s="134"/>
      <c r="AF456" s="134"/>
      <c r="AG456" s="134"/>
      <c r="AH456" s="134"/>
      <c r="AI456" s="134"/>
      <c r="AJ456" s="134"/>
      <c r="AK456" s="134"/>
      <c r="AL456" s="134"/>
      <c r="AM456" s="134"/>
      <c r="AN456" s="134"/>
      <c r="AO456" s="134"/>
      <c r="AP456" s="134"/>
      <c r="AQ456" s="134"/>
      <c r="AR456" s="134"/>
      <c r="AS456" s="134"/>
      <c r="AT456" s="134"/>
      <c r="AU456" s="134"/>
      <c r="AV456" s="134"/>
      <c r="AW456" s="134"/>
      <c r="AX456" s="134"/>
      <c r="AY456" s="134"/>
      <c r="AZ456" s="134"/>
      <c r="BA456" s="134"/>
      <c r="BB456" s="134"/>
      <c r="BC456" s="134"/>
      <c r="BD456" s="134"/>
      <c r="BE456" s="134"/>
      <c r="BF456" s="134"/>
      <c r="BG456" s="134"/>
      <c r="BH456" s="134"/>
      <c r="BI456" s="134"/>
      <c r="BJ456" s="134"/>
      <c r="BK456" s="134"/>
      <c r="BL456" s="134"/>
      <c r="BM456" s="135"/>
      <c r="BN456" s="136" t="n">
        <f aca="false">+MAX($D$3,DATOS_[[#This Row],[Fecha Inicio Sit. Contract.]])</f>
        <v>0</v>
      </c>
      <c r="BO456" s="136" t="n">
        <f aca="false">+MIN($D$4,DATOS_[[#This Row],[Fecha Fin Sit. Contract.]])</f>
        <v>0</v>
      </c>
      <c r="BP456" s="137" t="n">
        <f aca="false">+DATOS_[[#This Row],[% de jornada]]*IF(DATOS_[[#This Row],[% jornada reducida]]="",1,DATOS_[[#This Row],[% jornada reducida]])</f>
        <v>0</v>
      </c>
      <c r="BQ456" s="137" t="n">
        <f aca="false">+(DATOS_[[#This Row],[F.fin.cal]]-DATOS_[[#This Row],[F.ini.cal]]+1)/($D$4-$D$3+1)</f>
        <v>1</v>
      </c>
      <c r="BR456" s="137" t="str">
        <f aca="false">IF(OR(AND(DATOS_[[#This Row],[Fecha Fin Contrato]]&lt;$D$3,DATOS_[[#This Row],[Fecha Fin Contrato]]&lt;&gt;""),DATOS_[[#This Row],[Fecha de Contratación]]&gt;$D$4),"Fuera","Dentro")</f>
        <v>Dentro</v>
      </c>
      <c r="BS456" s="137" t="str">
        <f aca="false" t="array" ref="BS456:BS456">IF(MAX(IF(DATOS_[id]=DATOS_[[#This Row],[id]],DATOS_[F.fin.cal]))=DATOS_[[#This Row],[F.fin.cal]],"Sí","NO")</f>
        <v>Sí</v>
      </c>
      <c r="BT456" s="137" t="str">
        <f aca="false">IF(AND(DATOS_[[#This Row],[% normaliz]]&lt;&gt;1,DATOS_[[#This Row],[% anualiz]]=1),"Sí","NO")</f>
        <v>Sí</v>
      </c>
      <c r="BU456" s="137" t="str">
        <f aca="false">IF(AND(DATOS_[[#This Row],[% normaliz]]=1,DATOS_[[#This Row],[% anualiz]]&lt;&gt;1),"Sí","NO")</f>
        <v>NO</v>
      </c>
      <c r="BV456" s="137" t="str">
        <f aca="false">IF(AND(DATOS_[[#This Row],[% normaliz]]&lt;&gt;1,DATOS_[[#This Row],[% anualiz]]&lt;&gt;1),"Sí","NO")</f>
        <v>NO</v>
      </c>
      <c r="BW456" s="137" t="str">
        <f aca="false">+IF(DATOS_[[#This Row],[% normaliz]]*DATOS_[[#This Row],[% anualiz]]=1,"NO","Sí")</f>
        <v>Sí</v>
      </c>
      <c r="BX456" s="138" t="e">
        <f aca="false">(DATOS_[[#This Row],[S.BASE]]*(1/DATOS_[[#This Row],[% normaliz]])*(1/DATOS_[[#This Row],[% anualiz]]))*IF(DATOS_[[#This Row],[Check Equiparado]]="Sí",1,0)</f>
        <v>#DIV/0!</v>
      </c>
      <c r="BY4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6" s="138" t="e">
        <f aca="false">+DATOS_[[#This Row],[SALARIO BASE Eq]]+DATOS_[[#This Row],[Tot COMPL.SAL Eq]]</f>
        <v>#DIV/0!</v>
      </c>
      <c r="CA456" s="138" t="e">
        <f aca="false" t="array" ref="CA456:CA4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6" s="138" t="e">
        <f aca="false">+DATOS_[[#This Row],[TOTAL SALARIO Eq]]+DATOS_[[#This Row],[Tot Extrasalarial Eq]]</f>
        <v>#DIV/0!</v>
      </c>
      <c r="CC456" s="139" t="n">
        <f aca="false">DATOS_[[#This Row],[S.BASE]]</f>
        <v>0</v>
      </c>
      <c r="CD456" s="139" t="n">
        <f aca="false">+SUM(DATOS_[[#This Row],[Conc.Sal.01]:[Conc.Sal.30]])</f>
        <v>0</v>
      </c>
      <c r="CE456" s="139" t="n">
        <f aca="false">+DATOS_[[#This Row],[SALARIO BASE Ef]]+DATOS_[[#This Row],[Tot COMPL.SAL Ef]]</f>
        <v>0</v>
      </c>
      <c r="CF456" s="139" t="n">
        <f aca="false">+SUM(DATOS_[[#This Row],[C.Extra.01]:[C.Extra.05]])</f>
        <v>0</v>
      </c>
      <c r="CG456" s="139" t="n">
        <f aca="false">+DATOS_[[#This Row],[TOTAL SALARIO Ef]]+DATOS_[[#This Row],[Tot Extrasalarial Ef]]</f>
        <v>0</v>
      </c>
      <c r="CH456" s="140" t="n">
        <f aca="false">MIN(IF(DATOS_[[#This Row],[Fecha Fin Contrato]]="",$D$4,DATOS_[[#This Row],[Fecha Fin Contrato]]),$D$4)-MAX(DATOS_[[#This Row],[Fecha de Contratación]],$D$3)+1</f>
        <v>1</v>
      </c>
      <c r="CI456" s="141" t="str">
        <f aca="false">IF(COUNTIFS(DATOS_[id],DATOS_[[#This Row],[id]])&gt;1,DATOS_[[#This Row],[id]],"")</f>
        <v/>
      </c>
      <c r="CJ456" s="141" t="n">
        <f aca="false">(Inicio!$G$10-DATOS_[[#This Row],[Fecha Nacimiento]])/365.25</f>
        <v>0</v>
      </c>
      <c r="CK456" s="141" t="n">
        <f aca="false">(Inicio!$G$10-DATOS_[[#This Row],[Fecha de Antigüedad]])/365.25</f>
        <v>0</v>
      </c>
      <c r="CL456" s="141" t="e">
        <f aca="false">+VLOOKUP(DATOS_[[#This Row],[Clave de Contrato]],TblTiposContrato13[],3,0)</f>
        <v>#N/A</v>
      </c>
      <c r="CM456" s="141" t="e">
        <f aca="false">+VLOOKUP(DATOS_[[#This Row],[Clave de Contrato]],TblTiposContrato13[],4,0)</f>
        <v>#N/A</v>
      </c>
      <c r="CN456" s="141" t="str">
        <f aca="false">VLOOKUP(DATOS_[[#This Row],[Edad]],CONTRATOS!TblRngEdad,2,1)</f>
        <v>20  o menos</v>
      </c>
      <c r="CO456" s="141" t="str">
        <f aca="false">VLOOKUP(DATOS_[[#This Row],[Antigüedad]],TblRngAntg14[],2,1)</f>
        <v>0 a 1 años</v>
      </c>
    </row>
    <row r="457" customFormat="false" ht="13.8" hidden="false" customHeight="false" outlineLevel="0" collapsed="false">
      <c r="D457" s="128"/>
      <c r="E457" s="129"/>
      <c r="F457" s="129"/>
      <c r="G457" s="129"/>
      <c r="H457" s="130"/>
      <c r="I457" s="131"/>
      <c r="J457" s="128"/>
      <c r="K457" s="132"/>
      <c r="L457" s="132"/>
      <c r="M457" s="133"/>
      <c r="N457" s="133"/>
      <c r="O457" s="133"/>
      <c r="P457" s="129"/>
      <c r="Z457" s="75"/>
      <c r="AA457" s="76"/>
      <c r="AB457" s="76"/>
      <c r="AC457" s="129"/>
      <c r="AD457" s="134"/>
      <c r="AE457" s="134"/>
      <c r="AF457" s="134"/>
      <c r="AG457" s="134"/>
      <c r="AH457" s="134"/>
      <c r="AI457" s="134"/>
      <c r="AJ457" s="134"/>
      <c r="AK457" s="134"/>
      <c r="AL457" s="134"/>
      <c r="AM457" s="134"/>
      <c r="AN457" s="134"/>
      <c r="AO457" s="134"/>
      <c r="AP457" s="134"/>
      <c r="AQ457" s="134"/>
      <c r="AR457" s="134"/>
      <c r="AS457" s="134"/>
      <c r="AT457" s="134"/>
      <c r="AU457" s="134"/>
      <c r="AV457" s="134"/>
      <c r="AW457" s="134"/>
      <c r="AX457" s="134"/>
      <c r="AY457" s="134"/>
      <c r="AZ457" s="134"/>
      <c r="BA457" s="134"/>
      <c r="BB457" s="134"/>
      <c r="BC457" s="134"/>
      <c r="BD457" s="134"/>
      <c r="BE457" s="134"/>
      <c r="BF457" s="134"/>
      <c r="BG457" s="134"/>
      <c r="BH457" s="134"/>
      <c r="BI457" s="134"/>
      <c r="BJ457" s="134"/>
      <c r="BK457" s="134"/>
      <c r="BL457" s="134"/>
      <c r="BM457" s="135"/>
      <c r="BN457" s="136" t="n">
        <f aca="false">+MAX($D$3,DATOS_[[#This Row],[Fecha Inicio Sit. Contract.]])</f>
        <v>0</v>
      </c>
      <c r="BO457" s="136" t="n">
        <f aca="false">+MIN($D$4,DATOS_[[#This Row],[Fecha Fin Sit. Contract.]])</f>
        <v>0</v>
      </c>
      <c r="BP457" s="137" t="n">
        <f aca="false">+DATOS_[[#This Row],[% de jornada]]*IF(DATOS_[[#This Row],[% jornada reducida]]="",1,DATOS_[[#This Row],[% jornada reducida]])</f>
        <v>0</v>
      </c>
      <c r="BQ457" s="137" t="n">
        <f aca="false">+(DATOS_[[#This Row],[F.fin.cal]]-DATOS_[[#This Row],[F.ini.cal]]+1)/($D$4-$D$3+1)</f>
        <v>1</v>
      </c>
      <c r="BR457" s="137" t="str">
        <f aca="false">IF(OR(AND(DATOS_[[#This Row],[Fecha Fin Contrato]]&lt;$D$3,DATOS_[[#This Row],[Fecha Fin Contrato]]&lt;&gt;""),DATOS_[[#This Row],[Fecha de Contratación]]&gt;$D$4),"Fuera","Dentro")</f>
        <v>Dentro</v>
      </c>
      <c r="BS457" s="137" t="str">
        <f aca="false" t="array" ref="BS457:BS457">IF(MAX(IF(DATOS_[id]=DATOS_[[#This Row],[id]],DATOS_[F.fin.cal]))=DATOS_[[#This Row],[F.fin.cal]],"Sí","NO")</f>
        <v>Sí</v>
      </c>
      <c r="BT457" s="137" t="str">
        <f aca="false">IF(AND(DATOS_[[#This Row],[% normaliz]]&lt;&gt;1,DATOS_[[#This Row],[% anualiz]]=1),"Sí","NO")</f>
        <v>Sí</v>
      </c>
      <c r="BU457" s="137" t="str">
        <f aca="false">IF(AND(DATOS_[[#This Row],[% normaliz]]=1,DATOS_[[#This Row],[% anualiz]]&lt;&gt;1),"Sí","NO")</f>
        <v>NO</v>
      </c>
      <c r="BV457" s="137" t="str">
        <f aca="false">IF(AND(DATOS_[[#This Row],[% normaliz]]&lt;&gt;1,DATOS_[[#This Row],[% anualiz]]&lt;&gt;1),"Sí","NO")</f>
        <v>NO</v>
      </c>
      <c r="BW457" s="137" t="str">
        <f aca="false">+IF(DATOS_[[#This Row],[% normaliz]]*DATOS_[[#This Row],[% anualiz]]=1,"NO","Sí")</f>
        <v>Sí</v>
      </c>
      <c r="BX457" s="138" t="e">
        <f aca="false">(DATOS_[[#This Row],[S.BASE]]*(1/DATOS_[[#This Row],[% normaliz]])*(1/DATOS_[[#This Row],[% anualiz]]))*IF(DATOS_[[#This Row],[Check Equiparado]]="Sí",1,0)</f>
        <v>#DIV/0!</v>
      </c>
      <c r="BY4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7" s="138" t="e">
        <f aca="false">+DATOS_[[#This Row],[SALARIO BASE Eq]]+DATOS_[[#This Row],[Tot COMPL.SAL Eq]]</f>
        <v>#DIV/0!</v>
      </c>
      <c r="CA457" s="138" t="e">
        <f aca="false" t="array" ref="CA457:CA4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7" s="138" t="e">
        <f aca="false">+DATOS_[[#This Row],[TOTAL SALARIO Eq]]+DATOS_[[#This Row],[Tot Extrasalarial Eq]]</f>
        <v>#DIV/0!</v>
      </c>
      <c r="CC457" s="139" t="n">
        <f aca="false">DATOS_[[#This Row],[S.BASE]]</f>
        <v>0</v>
      </c>
      <c r="CD457" s="139" t="n">
        <f aca="false">+SUM(DATOS_[[#This Row],[Conc.Sal.01]:[Conc.Sal.30]])</f>
        <v>0</v>
      </c>
      <c r="CE457" s="139" t="n">
        <f aca="false">+DATOS_[[#This Row],[SALARIO BASE Ef]]+DATOS_[[#This Row],[Tot COMPL.SAL Ef]]</f>
        <v>0</v>
      </c>
      <c r="CF457" s="139" t="n">
        <f aca="false">+SUM(DATOS_[[#This Row],[C.Extra.01]:[C.Extra.05]])</f>
        <v>0</v>
      </c>
      <c r="CG457" s="139" t="n">
        <f aca="false">+DATOS_[[#This Row],[TOTAL SALARIO Ef]]+DATOS_[[#This Row],[Tot Extrasalarial Ef]]</f>
        <v>0</v>
      </c>
      <c r="CH457" s="140" t="n">
        <f aca="false">MIN(IF(DATOS_[[#This Row],[Fecha Fin Contrato]]="",$D$4,DATOS_[[#This Row],[Fecha Fin Contrato]]),$D$4)-MAX(DATOS_[[#This Row],[Fecha de Contratación]],$D$3)+1</f>
        <v>1</v>
      </c>
      <c r="CI457" s="141" t="str">
        <f aca="false">IF(COUNTIFS(DATOS_[id],DATOS_[[#This Row],[id]])&gt;1,DATOS_[[#This Row],[id]],"")</f>
        <v/>
      </c>
      <c r="CJ457" s="141" t="n">
        <f aca="false">(Inicio!$G$10-DATOS_[[#This Row],[Fecha Nacimiento]])/365.25</f>
        <v>0</v>
      </c>
      <c r="CK457" s="141" t="n">
        <f aca="false">(Inicio!$G$10-DATOS_[[#This Row],[Fecha de Antigüedad]])/365.25</f>
        <v>0</v>
      </c>
      <c r="CL457" s="141" t="e">
        <f aca="false">+VLOOKUP(DATOS_[[#This Row],[Clave de Contrato]],TblTiposContrato13[],3,0)</f>
        <v>#N/A</v>
      </c>
      <c r="CM457" s="141" t="e">
        <f aca="false">+VLOOKUP(DATOS_[[#This Row],[Clave de Contrato]],TblTiposContrato13[],4,0)</f>
        <v>#N/A</v>
      </c>
      <c r="CN457" s="141" t="str">
        <f aca="false">VLOOKUP(DATOS_[[#This Row],[Edad]],CONTRATOS!TblRngEdad,2,1)</f>
        <v>20  o menos</v>
      </c>
      <c r="CO457" s="141" t="str">
        <f aca="false">VLOOKUP(DATOS_[[#This Row],[Antigüedad]],TblRngAntg14[],2,1)</f>
        <v>0 a 1 años</v>
      </c>
    </row>
    <row r="458" customFormat="false" ht="13.8" hidden="false" customHeight="false" outlineLevel="0" collapsed="false">
      <c r="D458" s="128"/>
      <c r="E458" s="129"/>
      <c r="F458" s="129"/>
      <c r="G458" s="129"/>
      <c r="H458" s="130"/>
      <c r="I458" s="131"/>
      <c r="J458" s="128"/>
      <c r="K458" s="132"/>
      <c r="L458" s="132"/>
      <c r="M458" s="133"/>
      <c r="N458" s="133"/>
      <c r="O458" s="133"/>
      <c r="P458" s="129"/>
      <c r="Z458" s="75"/>
      <c r="AA458" s="76"/>
      <c r="AB458" s="76"/>
      <c r="AC458" s="129"/>
      <c r="AD458" s="134"/>
      <c r="AE458" s="134"/>
      <c r="AF458" s="134"/>
      <c r="AG458" s="134"/>
      <c r="AH458" s="134"/>
      <c r="AI458" s="134"/>
      <c r="AJ458" s="134"/>
      <c r="AK458" s="134"/>
      <c r="AL458" s="134"/>
      <c r="AM458" s="134"/>
      <c r="AN458" s="134"/>
      <c r="AO458" s="134"/>
      <c r="AP458" s="134"/>
      <c r="AQ458" s="134"/>
      <c r="AR458" s="134"/>
      <c r="AS458" s="134"/>
      <c r="AT458" s="134"/>
      <c r="AU458" s="134"/>
      <c r="AV458" s="134"/>
      <c r="AW458" s="134"/>
      <c r="AX458" s="134"/>
      <c r="AY458" s="134"/>
      <c r="AZ458" s="134"/>
      <c r="BA458" s="134"/>
      <c r="BB458" s="134"/>
      <c r="BC458" s="134"/>
      <c r="BD458" s="134"/>
      <c r="BE458" s="134"/>
      <c r="BF458" s="134"/>
      <c r="BG458" s="134"/>
      <c r="BH458" s="134"/>
      <c r="BI458" s="134"/>
      <c r="BJ458" s="134"/>
      <c r="BK458" s="134"/>
      <c r="BL458" s="134"/>
      <c r="BM458" s="135"/>
      <c r="BN458" s="136" t="n">
        <f aca="false">+MAX($D$3,DATOS_[[#This Row],[Fecha Inicio Sit. Contract.]])</f>
        <v>0</v>
      </c>
      <c r="BO458" s="136" t="n">
        <f aca="false">+MIN($D$4,DATOS_[[#This Row],[Fecha Fin Sit. Contract.]])</f>
        <v>0</v>
      </c>
      <c r="BP458" s="137" t="n">
        <f aca="false">+DATOS_[[#This Row],[% de jornada]]*IF(DATOS_[[#This Row],[% jornada reducida]]="",1,DATOS_[[#This Row],[% jornada reducida]])</f>
        <v>0</v>
      </c>
      <c r="BQ458" s="137" t="n">
        <f aca="false">+(DATOS_[[#This Row],[F.fin.cal]]-DATOS_[[#This Row],[F.ini.cal]]+1)/($D$4-$D$3+1)</f>
        <v>1</v>
      </c>
      <c r="BR458" s="137" t="str">
        <f aca="false">IF(OR(AND(DATOS_[[#This Row],[Fecha Fin Contrato]]&lt;$D$3,DATOS_[[#This Row],[Fecha Fin Contrato]]&lt;&gt;""),DATOS_[[#This Row],[Fecha de Contratación]]&gt;$D$4),"Fuera","Dentro")</f>
        <v>Dentro</v>
      </c>
      <c r="BS458" s="137" t="str">
        <f aca="false" t="array" ref="BS458:BS458">IF(MAX(IF(DATOS_[id]=DATOS_[[#This Row],[id]],DATOS_[F.fin.cal]))=DATOS_[[#This Row],[F.fin.cal]],"Sí","NO")</f>
        <v>Sí</v>
      </c>
      <c r="BT458" s="137" t="str">
        <f aca="false">IF(AND(DATOS_[[#This Row],[% normaliz]]&lt;&gt;1,DATOS_[[#This Row],[% anualiz]]=1),"Sí","NO")</f>
        <v>Sí</v>
      </c>
      <c r="BU458" s="137" t="str">
        <f aca="false">IF(AND(DATOS_[[#This Row],[% normaliz]]=1,DATOS_[[#This Row],[% anualiz]]&lt;&gt;1),"Sí","NO")</f>
        <v>NO</v>
      </c>
      <c r="BV458" s="137" t="str">
        <f aca="false">IF(AND(DATOS_[[#This Row],[% normaliz]]&lt;&gt;1,DATOS_[[#This Row],[% anualiz]]&lt;&gt;1),"Sí","NO")</f>
        <v>NO</v>
      </c>
      <c r="BW458" s="137" t="str">
        <f aca="false">+IF(DATOS_[[#This Row],[% normaliz]]*DATOS_[[#This Row],[% anualiz]]=1,"NO","Sí")</f>
        <v>Sí</v>
      </c>
      <c r="BX458" s="138" t="e">
        <f aca="false">(DATOS_[[#This Row],[S.BASE]]*(1/DATOS_[[#This Row],[% normaliz]])*(1/DATOS_[[#This Row],[% anualiz]]))*IF(DATOS_[[#This Row],[Check Equiparado]]="Sí",1,0)</f>
        <v>#DIV/0!</v>
      </c>
      <c r="BY4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8" s="138" t="e">
        <f aca="false">+DATOS_[[#This Row],[SALARIO BASE Eq]]+DATOS_[[#This Row],[Tot COMPL.SAL Eq]]</f>
        <v>#DIV/0!</v>
      </c>
      <c r="CA458" s="138" t="e">
        <f aca="false" t="array" ref="CA458:CA4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8" s="138" t="e">
        <f aca="false">+DATOS_[[#This Row],[TOTAL SALARIO Eq]]+DATOS_[[#This Row],[Tot Extrasalarial Eq]]</f>
        <v>#DIV/0!</v>
      </c>
      <c r="CC458" s="139" t="n">
        <f aca="false">DATOS_[[#This Row],[S.BASE]]</f>
        <v>0</v>
      </c>
      <c r="CD458" s="139" t="n">
        <f aca="false">+SUM(DATOS_[[#This Row],[Conc.Sal.01]:[Conc.Sal.30]])</f>
        <v>0</v>
      </c>
      <c r="CE458" s="139" t="n">
        <f aca="false">+DATOS_[[#This Row],[SALARIO BASE Ef]]+DATOS_[[#This Row],[Tot COMPL.SAL Ef]]</f>
        <v>0</v>
      </c>
      <c r="CF458" s="139" t="n">
        <f aca="false">+SUM(DATOS_[[#This Row],[C.Extra.01]:[C.Extra.05]])</f>
        <v>0</v>
      </c>
      <c r="CG458" s="139" t="n">
        <f aca="false">+DATOS_[[#This Row],[TOTAL SALARIO Ef]]+DATOS_[[#This Row],[Tot Extrasalarial Ef]]</f>
        <v>0</v>
      </c>
      <c r="CH458" s="140" t="n">
        <f aca="false">MIN(IF(DATOS_[[#This Row],[Fecha Fin Contrato]]="",$D$4,DATOS_[[#This Row],[Fecha Fin Contrato]]),$D$4)-MAX(DATOS_[[#This Row],[Fecha de Contratación]],$D$3)+1</f>
        <v>1</v>
      </c>
      <c r="CI458" s="141" t="str">
        <f aca="false">IF(COUNTIFS(DATOS_[id],DATOS_[[#This Row],[id]])&gt;1,DATOS_[[#This Row],[id]],"")</f>
        <v/>
      </c>
      <c r="CJ458" s="141" t="n">
        <f aca="false">(Inicio!$G$10-DATOS_[[#This Row],[Fecha Nacimiento]])/365.25</f>
        <v>0</v>
      </c>
      <c r="CK458" s="141" t="n">
        <f aca="false">(Inicio!$G$10-DATOS_[[#This Row],[Fecha de Antigüedad]])/365.25</f>
        <v>0</v>
      </c>
      <c r="CL458" s="141" t="e">
        <f aca="false">+VLOOKUP(DATOS_[[#This Row],[Clave de Contrato]],TblTiposContrato13[],3,0)</f>
        <v>#N/A</v>
      </c>
      <c r="CM458" s="141" t="e">
        <f aca="false">+VLOOKUP(DATOS_[[#This Row],[Clave de Contrato]],TblTiposContrato13[],4,0)</f>
        <v>#N/A</v>
      </c>
      <c r="CN458" s="141" t="str">
        <f aca="false">VLOOKUP(DATOS_[[#This Row],[Edad]],CONTRATOS!TblRngEdad,2,1)</f>
        <v>20  o menos</v>
      </c>
      <c r="CO458" s="141" t="str">
        <f aca="false">VLOOKUP(DATOS_[[#This Row],[Antigüedad]],TblRngAntg14[],2,1)</f>
        <v>0 a 1 años</v>
      </c>
    </row>
    <row r="459" customFormat="false" ht="13.8" hidden="false" customHeight="false" outlineLevel="0" collapsed="false">
      <c r="D459" s="128"/>
      <c r="E459" s="129"/>
      <c r="F459" s="129"/>
      <c r="G459" s="129"/>
      <c r="H459" s="130"/>
      <c r="I459" s="131"/>
      <c r="J459" s="128"/>
      <c r="K459" s="132"/>
      <c r="L459" s="132"/>
      <c r="M459" s="133"/>
      <c r="N459" s="133"/>
      <c r="O459" s="133"/>
      <c r="P459" s="129"/>
      <c r="Z459" s="75"/>
      <c r="AA459" s="76"/>
      <c r="AB459" s="76"/>
      <c r="AC459" s="129"/>
      <c r="AD459" s="134"/>
      <c r="AE459" s="134"/>
      <c r="AF459" s="134"/>
      <c r="AG459" s="134"/>
      <c r="AH459" s="134"/>
      <c r="AI459" s="134"/>
      <c r="AJ459" s="134"/>
      <c r="AK459" s="134"/>
      <c r="AL459" s="134"/>
      <c r="AM459" s="134"/>
      <c r="AN459" s="134"/>
      <c r="AO459" s="134"/>
      <c r="AP459" s="134"/>
      <c r="AQ459" s="134"/>
      <c r="AR459" s="134"/>
      <c r="AS459" s="134"/>
      <c r="AT459" s="134"/>
      <c r="AU459" s="134"/>
      <c r="AV459" s="134"/>
      <c r="AW459" s="134"/>
      <c r="AX459" s="134"/>
      <c r="AY459" s="134"/>
      <c r="AZ459" s="134"/>
      <c r="BA459" s="134"/>
      <c r="BB459" s="134"/>
      <c r="BC459" s="134"/>
      <c r="BD459" s="134"/>
      <c r="BE459" s="134"/>
      <c r="BF459" s="134"/>
      <c r="BG459" s="134"/>
      <c r="BH459" s="134"/>
      <c r="BI459" s="134"/>
      <c r="BJ459" s="134"/>
      <c r="BK459" s="134"/>
      <c r="BL459" s="134"/>
      <c r="BM459" s="135"/>
      <c r="BN459" s="136" t="n">
        <f aca="false">+MAX($D$3,DATOS_[[#This Row],[Fecha Inicio Sit. Contract.]])</f>
        <v>0</v>
      </c>
      <c r="BO459" s="136" t="n">
        <f aca="false">+MIN($D$4,DATOS_[[#This Row],[Fecha Fin Sit. Contract.]])</f>
        <v>0</v>
      </c>
      <c r="BP459" s="137" t="n">
        <f aca="false">+DATOS_[[#This Row],[% de jornada]]*IF(DATOS_[[#This Row],[% jornada reducida]]="",1,DATOS_[[#This Row],[% jornada reducida]])</f>
        <v>0</v>
      </c>
      <c r="BQ459" s="137" t="n">
        <f aca="false">+(DATOS_[[#This Row],[F.fin.cal]]-DATOS_[[#This Row],[F.ini.cal]]+1)/($D$4-$D$3+1)</f>
        <v>1</v>
      </c>
      <c r="BR459" s="137" t="str">
        <f aca="false">IF(OR(AND(DATOS_[[#This Row],[Fecha Fin Contrato]]&lt;$D$3,DATOS_[[#This Row],[Fecha Fin Contrato]]&lt;&gt;""),DATOS_[[#This Row],[Fecha de Contratación]]&gt;$D$4),"Fuera","Dentro")</f>
        <v>Dentro</v>
      </c>
      <c r="BS459" s="137" t="str">
        <f aca="false" t="array" ref="BS459:BS459">IF(MAX(IF(DATOS_[id]=DATOS_[[#This Row],[id]],DATOS_[F.fin.cal]))=DATOS_[[#This Row],[F.fin.cal]],"Sí","NO")</f>
        <v>Sí</v>
      </c>
      <c r="BT459" s="137" t="str">
        <f aca="false">IF(AND(DATOS_[[#This Row],[% normaliz]]&lt;&gt;1,DATOS_[[#This Row],[% anualiz]]=1),"Sí","NO")</f>
        <v>Sí</v>
      </c>
      <c r="BU459" s="137" t="str">
        <f aca="false">IF(AND(DATOS_[[#This Row],[% normaliz]]=1,DATOS_[[#This Row],[% anualiz]]&lt;&gt;1),"Sí","NO")</f>
        <v>NO</v>
      </c>
      <c r="BV459" s="137" t="str">
        <f aca="false">IF(AND(DATOS_[[#This Row],[% normaliz]]&lt;&gt;1,DATOS_[[#This Row],[% anualiz]]&lt;&gt;1),"Sí","NO")</f>
        <v>NO</v>
      </c>
      <c r="BW459" s="137" t="str">
        <f aca="false">+IF(DATOS_[[#This Row],[% normaliz]]*DATOS_[[#This Row],[% anualiz]]=1,"NO","Sí")</f>
        <v>Sí</v>
      </c>
      <c r="BX459" s="138" t="e">
        <f aca="false">(DATOS_[[#This Row],[S.BASE]]*(1/DATOS_[[#This Row],[% normaliz]])*(1/DATOS_[[#This Row],[% anualiz]]))*IF(DATOS_[[#This Row],[Check Equiparado]]="Sí",1,0)</f>
        <v>#DIV/0!</v>
      </c>
      <c r="BY4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9" s="138" t="e">
        <f aca="false">+DATOS_[[#This Row],[SALARIO BASE Eq]]+DATOS_[[#This Row],[Tot COMPL.SAL Eq]]</f>
        <v>#DIV/0!</v>
      </c>
      <c r="CA459" s="138" t="e">
        <f aca="false" t="array" ref="CA459:CA4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9" s="138" t="e">
        <f aca="false">+DATOS_[[#This Row],[TOTAL SALARIO Eq]]+DATOS_[[#This Row],[Tot Extrasalarial Eq]]</f>
        <v>#DIV/0!</v>
      </c>
      <c r="CC459" s="139" t="n">
        <f aca="false">DATOS_[[#This Row],[S.BASE]]</f>
        <v>0</v>
      </c>
      <c r="CD459" s="139" t="n">
        <f aca="false">+SUM(DATOS_[[#This Row],[Conc.Sal.01]:[Conc.Sal.30]])</f>
        <v>0</v>
      </c>
      <c r="CE459" s="139" t="n">
        <f aca="false">+DATOS_[[#This Row],[SALARIO BASE Ef]]+DATOS_[[#This Row],[Tot COMPL.SAL Ef]]</f>
        <v>0</v>
      </c>
      <c r="CF459" s="139" t="n">
        <f aca="false">+SUM(DATOS_[[#This Row],[C.Extra.01]:[C.Extra.05]])</f>
        <v>0</v>
      </c>
      <c r="CG459" s="139" t="n">
        <f aca="false">+DATOS_[[#This Row],[TOTAL SALARIO Ef]]+DATOS_[[#This Row],[Tot Extrasalarial Ef]]</f>
        <v>0</v>
      </c>
      <c r="CH459" s="140" t="n">
        <f aca="false">MIN(IF(DATOS_[[#This Row],[Fecha Fin Contrato]]="",$D$4,DATOS_[[#This Row],[Fecha Fin Contrato]]),$D$4)-MAX(DATOS_[[#This Row],[Fecha de Contratación]],$D$3)+1</f>
        <v>1</v>
      </c>
      <c r="CI459" s="141" t="str">
        <f aca="false">IF(COUNTIFS(DATOS_[id],DATOS_[[#This Row],[id]])&gt;1,DATOS_[[#This Row],[id]],"")</f>
        <v/>
      </c>
      <c r="CJ459" s="141" t="n">
        <f aca="false">(Inicio!$G$10-DATOS_[[#This Row],[Fecha Nacimiento]])/365.25</f>
        <v>0</v>
      </c>
      <c r="CK459" s="141" t="n">
        <f aca="false">(Inicio!$G$10-DATOS_[[#This Row],[Fecha de Antigüedad]])/365.25</f>
        <v>0</v>
      </c>
      <c r="CL459" s="141" t="e">
        <f aca="false">+VLOOKUP(DATOS_[[#This Row],[Clave de Contrato]],TblTiposContrato13[],3,0)</f>
        <v>#N/A</v>
      </c>
      <c r="CM459" s="141" t="e">
        <f aca="false">+VLOOKUP(DATOS_[[#This Row],[Clave de Contrato]],TblTiposContrato13[],4,0)</f>
        <v>#N/A</v>
      </c>
      <c r="CN459" s="141" t="str">
        <f aca="false">VLOOKUP(DATOS_[[#This Row],[Edad]],CONTRATOS!TblRngEdad,2,1)</f>
        <v>20  o menos</v>
      </c>
      <c r="CO459" s="141" t="str">
        <f aca="false">VLOOKUP(DATOS_[[#This Row],[Antigüedad]],TblRngAntg14[],2,1)</f>
        <v>0 a 1 años</v>
      </c>
    </row>
    <row r="460" customFormat="false" ht="13.8" hidden="false" customHeight="false" outlineLevel="0" collapsed="false">
      <c r="D460" s="128"/>
      <c r="E460" s="129"/>
      <c r="F460" s="129"/>
      <c r="G460" s="129"/>
      <c r="H460" s="130"/>
      <c r="I460" s="131"/>
      <c r="J460" s="128"/>
      <c r="K460" s="132"/>
      <c r="L460" s="132"/>
      <c r="M460" s="133"/>
      <c r="N460" s="133"/>
      <c r="O460" s="133"/>
      <c r="P460" s="129"/>
      <c r="Z460" s="75"/>
      <c r="AA460" s="76"/>
      <c r="AB460" s="76"/>
      <c r="AC460" s="129"/>
      <c r="AD460" s="134"/>
      <c r="AE460" s="134"/>
      <c r="AF460" s="134"/>
      <c r="AG460" s="134"/>
      <c r="AH460" s="134"/>
      <c r="AI460" s="134"/>
      <c r="AJ460" s="134"/>
      <c r="AK460" s="134"/>
      <c r="AL460" s="134"/>
      <c r="AM460" s="134"/>
      <c r="AN460" s="134"/>
      <c r="AO460" s="134"/>
      <c r="AP460" s="134"/>
      <c r="AQ460" s="134"/>
      <c r="AR460" s="134"/>
      <c r="AS460" s="134"/>
      <c r="AT460" s="134"/>
      <c r="AU460" s="134"/>
      <c r="AV460" s="134"/>
      <c r="AW460" s="134"/>
      <c r="AX460" s="134"/>
      <c r="AY460" s="134"/>
      <c r="AZ460" s="134"/>
      <c r="BA460" s="134"/>
      <c r="BB460" s="134"/>
      <c r="BC460" s="134"/>
      <c r="BD460" s="134"/>
      <c r="BE460" s="134"/>
      <c r="BF460" s="134"/>
      <c r="BG460" s="134"/>
      <c r="BH460" s="134"/>
      <c r="BI460" s="134"/>
      <c r="BJ460" s="134"/>
      <c r="BK460" s="134"/>
      <c r="BL460" s="134"/>
      <c r="BM460" s="135"/>
      <c r="BN460" s="136" t="n">
        <f aca="false">+MAX($D$3,DATOS_[[#This Row],[Fecha Inicio Sit. Contract.]])</f>
        <v>0</v>
      </c>
      <c r="BO460" s="136" t="n">
        <f aca="false">+MIN($D$4,DATOS_[[#This Row],[Fecha Fin Sit. Contract.]])</f>
        <v>0</v>
      </c>
      <c r="BP460" s="137" t="n">
        <f aca="false">+DATOS_[[#This Row],[% de jornada]]*IF(DATOS_[[#This Row],[% jornada reducida]]="",1,DATOS_[[#This Row],[% jornada reducida]])</f>
        <v>0</v>
      </c>
      <c r="BQ460" s="137" t="n">
        <f aca="false">+(DATOS_[[#This Row],[F.fin.cal]]-DATOS_[[#This Row],[F.ini.cal]]+1)/($D$4-$D$3+1)</f>
        <v>1</v>
      </c>
      <c r="BR460" s="137" t="str">
        <f aca="false">IF(OR(AND(DATOS_[[#This Row],[Fecha Fin Contrato]]&lt;$D$3,DATOS_[[#This Row],[Fecha Fin Contrato]]&lt;&gt;""),DATOS_[[#This Row],[Fecha de Contratación]]&gt;$D$4),"Fuera","Dentro")</f>
        <v>Dentro</v>
      </c>
      <c r="BS460" s="137" t="str">
        <f aca="false" t="array" ref="BS460:BS460">IF(MAX(IF(DATOS_[id]=DATOS_[[#This Row],[id]],DATOS_[F.fin.cal]))=DATOS_[[#This Row],[F.fin.cal]],"Sí","NO")</f>
        <v>Sí</v>
      </c>
      <c r="BT460" s="137" t="str">
        <f aca="false">IF(AND(DATOS_[[#This Row],[% normaliz]]&lt;&gt;1,DATOS_[[#This Row],[% anualiz]]=1),"Sí","NO")</f>
        <v>Sí</v>
      </c>
      <c r="BU460" s="137" t="str">
        <f aca="false">IF(AND(DATOS_[[#This Row],[% normaliz]]=1,DATOS_[[#This Row],[% anualiz]]&lt;&gt;1),"Sí","NO")</f>
        <v>NO</v>
      </c>
      <c r="BV460" s="137" t="str">
        <f aca="false">IF(AND(DATOS_[[#This Row],[% normaliz]]&lt;&gt;1,DATOS_[[#This Row],[% anualiz]]&lt;&gt;1),"Sí","NO")</f>
        <v>NO</v>
      </c>
      <c r="BW460" s="137" t="str">
        <f aca="false">+IF(DATOS_[[#This Row],[% normaliz]]*DATOS_[[#This Row],[% anualiz]]=1,"NO","Sí")</f>
        <v>Sí</v>
      </c>
      <c r="BX460" s="138" t="e">
        <f aca="false">(DATOS_[[#This Row],[S.BASE]]*(1/DATOS_[[#This Row],[% normaliz]])*(1/DATOS_[[#This Row],[% anualiz]]))*IF(DATOS_[[#This Row],[Check Equiparado]]="Sí",1,0)</f>
        <v>#DIV/0!</v>
      </c>
      <c r="BY4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0" s="138" t="e">
        <f aca="false">+DATOS_[[#This Row],[SALARIO BASE Eq]]+DATOS_[[#This Row],[Tot COMPL.SAL Eq]]</f>
        <v>#DIV/0!</v>
      </c>
      <c r="CA460" s="138" t="e">
        <f aca="false" t="array" ref="CA460:CA4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0" s="138" t="e">
        <f aca="false">+DATOS_[[#This Row],[TOTAL SALARIO Eq]]+DATOS_[[#This Row],[Tot Extrasalarial Eq]]</f>
        <v>#DIV/0!</v>
      </c>
      <c r="CC460" s="139" t="n">
        <f aca="false">DATOS_[[#This Row],[S.BASE]]</f>
        <v>0</v>
      </c>
      <c r="CD460" s="139" t="n">
        <f aca="false">+SUM(DATOS_[[#This Row],[Conc.Sal.01]:[Conc.Sal.30]])</f>
        <v>0</v>
      </c>
      <c r="CE460" s="139" t="n">
        <f aca="false">+DATOS_[[#This Row],[SALARIO BASE Ef]]+DATOS_[[#This Row],[Tot COMPL.SAL Ef]]</f>
        <v>0</v>
      </c>
      <c r="CF460" s="139" t="n">
        <f aca="false">+SUM(DATOS_[[#This Row],[C.Extra.01]:[C.Extra.05]])</f>
        <v>0</v>
      </c>
      <c r="CG460" s="139" t="n">
        <f aca="false">+DATOS_[[#This Row],[TOTAL SALARIO Ef]]+DATOS_[[#This Row],[Tot Extrasalarial Ef]]</f>
        <v>0</v>
      </c>
      <c r="CH460" s="140" t="n">
        <f aca="false">MIN(IF(DATOS_[[#This Row],[Fecha Fin Contrato]]="",$D$4,DATOS_[[#This Row],[Fecha Fin Contrato]]),$D$4)-MAX(DATOS_[[#This Row],[Fecha de Contratación]],$D$3)+1</f>
        <v>1</v>
      </c>
      <c r="CI460" s="141" t="str">
        <f aca="false">IF(COUNTIFS(DATOS_[id],DATOS_[[#This Row],[id]])&gt;1,DATOS_[[#This Row],[id]],"")</f>
        <v/>
      </c>
      <c r="CJ460" s="141" t="n">
        <f aca="false">(Inicio!$G$10-DATOS_[[#This Row],[Fecha Nacimiento]])/365.25</f>
        <v>0</v>
      </c>
      <c r="CK460" s="141" t="n">
        <f aca="false">(Inicio!$G$10-DATOS_[[#This Row],[Fecha de Antigüedad]])/365.25</f>
        <v>0</v>
      </c>
      <c r="CL460" s="141" t="e">
        <f aca="false">+VLOOKUP(DATOS_[[#This Row],[Clave de Contrato]],TblTiposContrato13[],3,0)</f>
        <v>#N/A</v>
      </c>
      <c r="CM460" s="141" t="e">
        <f aca="false">+VLOOKUP(DATOS_[[#This Row],[Clave de Contrato]],TblTiposContrato13[],4,0)</f>
        <v>#N/A</v>
      </c>
      <c r="CN460" s="141" t="str">
        <f aca="false">VLOOKUP(DATOS_[[#This Row],[Edad]],CONTRATOS!TblRngEdad,2,1)</f>
        <v>20  o menos</v>
      </c>
      <c r="CO460" s="141" t="str">
        <f aca="false">VLOOKUP(DATOS_[[#This Row],[Antigüedad]],TblRngAntg14[],2,1)</f>
        <v>0 a 1 años</v>
      </c>
    </row>
    <row r="461" customFormat="false" ht="13.8" hidden="false" customHeight="false" outlineLevel="0" collapsed="false">
      <c r="D461" s="128"/>
      <c r="E461" s="129"/>
      <c r="F461" s="129"/>
      <c r="G461" s="129"/>
      <c r="H461" s="130"/>
      <c r="I461" s="131"/>
      <c r="J461" s="128"/>
      <c r="K461" s="132"/>
      <c r="L461" s="132"/>
      <c r="M461" s="133"/>
      <c r="N461" s="133"/>
      <c r="O461" s="133"/>
      <c r="P461" s="129"/>
      <c r="Z461" s="75"/>
      <c r="AA461" s="76"/>
      <c r="AB461" s="76"/>
      <c r="AC461" s="129"/>
      <c r="AD461" s="134"/>
      <c r="AE461" s="134"/>
      <c r="AF461" s="134"/>
      <c r="AG461" s="134"/>
      <c r="AH461" s="134"/>
      <c r="AI461" s="134"/>
      <c r="AJ461" s="134"/>
      <c r="AK461" s="134"/>
      <c r="AL461" s="134"/>
      <c r="AM461" s="134"/>
      <c r="AN461" s="134"/>
      <c r="AO461" s="134"/>
      <c r="AP461" s="134"/>
      <c r="AQ461" s="134"/>
      <c r="AR461" s="134"/>
      <c r="AS461" s="134"/>
      <c r="AT461" s="134"/>
      <c r="AU461" s="134"/>
      <c r="AV461" s="134"/>
      <c r="AW461" s="134"/>
      <c r="AX461" s="134"/>
      <c r="AY461" s="134"/>
      <c r="AZ461" s="134"/>
      <c r="BA461" s="134"/>
      <c r="BB461" s="134"/>
      <c r="BC461" s="134"/>
      <c r="BD461" s="134"/>
      <c r="BE461" s="134"/>
      <c r="BF461" s="134"/>
      <c r="BG461" s="134"/>
      <c r="BH461" s="134"/>
      <c r="BI461" s="134"/>
      <c r="BJ461" s="134"/>
      <c r="BK461" s="134"/>
      <c r="BL461" s="134"/>
      <c r="BM461" s="135"/>
      <c r="BN461" s="136" t="n">
        <f aca="false">+MAX($D$3,DATOS_[[#This Row],[Fecha Inicio Sit. Contract.]])</f>
        <v>0</v>
      </c>
      <c r="BO461" s="136" t="n">
        <f aca="false">+MIN($D$4,DATOS_[[#This Row],[Fecha Fin Sit. Contract.]])</f>
        <v>0</v>
      </c>
      <c r="BP461" s="137" t="n">
        <f aca="false">+DATOS_[[#This Row],[% de jornada]]*IF(DATOS_[[#This Row],[% jornada reducida]]="",1,DATOS_[[#This Row],[% jornada reducida]])</f>
        <v>0</v>
      </c>
      <c r="BQ461" s="137" t="n">
        <f aca="false">+(DATOS_[[#This Row],[F.fin.cal]]-DATOS_[[#This Row],[F.ini.cal]]+1)/($D$4-$D$3+1)</f>
        <v>1</v>
      </c>
      <c r="BR461" s="137" t="str">
        <f aca="false">IF(OR(AND(DATOS_[[#This Row],[Fecha Fin Contrato]]&lt;$D$3,DATOS_[[#This Row],[Fecha Fin Contrato]]&lt;&gt;""),DATOS_[[#This Row],[Fecha de Contratación]]&gt;$D$4),"Fuera","Dentro")</f>
        <v>Dentro</v>
      </c>
      <c r="BS461" s="137" t="str">
        <f aca="false" t="array" ref="BS461:BS461">IF(MAX(IF(DATOS_[id]=DATOS_[[#This Row],[id]],DATOS_[F.fin.cal]))=DATOS_[[#This Row],[F.fin.cal]],"Sí","NO")</f>
        <v>Sí</v>
      </c>
      <c r="BT461" s="137" t="str">
        <f aca="false">IF(AND(DATOS_[[#This Row],[% normaliz]]&lt;&gt;1,DATOS_[[#This Row],[% anualiz]]=1),"Sí","NO")</f>
        <v>Sí</v>
      </c>
      <c r="BU461" s="137" t="str">
        <f aca="false">IF(AND(DATOS_[[#This Row],[% normaliz]]=1,DATOS_[[#This Row],[% anualiz]]&lt;&gt;1),"Sí","NO")</f>
        <v>NO</v>
      </c>
      <c r="BV461" s="137" t="str">
        <f aca="false">IF(AND(DATOS_[[#This Row],[% normaliz]]&lt;&gt;1,DATOS_[[#This Row],[% anualiz]]&lt;&gt;1),"Sí","NO")</f>
        <v>NO</v>
      </c>
      <c r="BW461" s="137" t="str">
        <f aca="false">+IF(DATOS_[[#This Row],[% normaliz]]*DATOS_[[#This Row],[% anualiz]]=1,"NO","Sí")</f>
        <v>Sí</v>
      </c>
      <c r="BX461" s="138" t="e">
        <f aca="false">(DATOS_[[#This Row],[S.BASE]]*(1/DATOS_[[#This Row],[% normaliz]])*(1/DATOS_[[#This Row],[% anualiz]]))*IF(DATOS_[[#This Row],[Check Equiparado]]="Sí",1,0)</f>
        <v>#DIV/0!</v>
      </c>
      <c r="BY4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1" s="138" t="e">
        <f aca="false">+DATOS_[[#This Row],[SALARIO BASE Eq]]+DATOS_[[#This Row],[Tot COMPL.SAL Eq]]</f>
        <v>#DIV/0!</v>
      </c>
      <c r="CA461" s="138" t="e">
        <f aca="false" t="array" ref="CA461:CA4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1" s="138" t="e">
        <f aca="false">+DATOS_[[#This Row],[TOTAL SALARIO Eq]]+DATOS_[[#This Row],[Tot Extrasalarial Eq]]</f>
        <v>#DIV/0!</v>
      </c>
      <c r="CC461" s="139" t="n">
        <f aca="false">DATOS_[[#This Row],[S.BASE]]</f>
        <v>0</v>
      </c>
      <c r="CD461" s="139" t="n">
        <f aca="false">+SUM(DATOS_[[#This Row],[Conc.Sal.01]:[Conc.Sal.30]])</f>
        <v>0</v>
      </c>
      <c r="CE461" s="139" t="n">
        <f aca="false">+DATOS_[[#This Row],[SALARIO BASE Ef]]+DATOS_[[#This Row],[Tot COMPL.SAL Ef]]</f>
        <v>0</v>
      </c>
      <c r="CF461" s="139" t="n">
        <f aca="false">+SUM(DATOS_[[#This Row],[C.Extra.01]:[C.Extra.05]])</f>
        <v>0</v>
      </c>
      <c r="CG461" s="139" t="n">
        <f aca="false">+DATOS_[[#This Row],[TOTAL SALARIO Ef]]+DATOS_[[#This Row],[Tot Extrasalarial Ef]]</f>
        <v>0</v>
      </c>
      <c r="CH461" s="140" t="n">
        <f aca="false">MIN(IF(DATOS_[[#This Row],[Fecha Fin Contrato]]="",$D$4,DATOS_[[#This Row],[Fecha Fin Contrato]]),$D$4)-MAX(DATOS_[[#This Row],[Fecha de Contratación]],$D$3)+1</f>
        <v>1</v>
      </c>
      <c r="CI461" s="141" t="str">
        <f aca="false">IF(COUNTIFS(DATOS_[id],DATOS_[[#This Row],[id]])&gt;1,DATOS_[[#This Row],[id]],"")</f>
        <v/>
      </c>
      <c r="CJ461" s="141" t="n">
        <f aca="false">(Inicio!$G$10-DATOS_[[#This Row],[Fecha Nacimiento]])/365.25</f>
        <v>0</v>
      </c>
      <c r="CK461" s="141" t="n">
        <f aca="false">(Inicio!$G$10-DATOS_[[#This Row],[Fecha de Antigüedad]])/365.25</f>
        <v>0</v>
      </c>
      <c r="CL461" s="141" t="e">
        <f aca="false">+VLOOKUP(DATOS_[[#This Row],[Clave de Contrato]],TblTiposContrato13[],3,0)</f>
        <v>#N/A</v>
      </c>
      <c r="CM461" s="141" t="e">
        <f aca="false">+VLOOKUP(DATOS_[[#This Row],[Clave de Contrato]],TblTiposContrato13[],4,0)</f>
        <v>#N/A</v>
      </c>
      <c r="CN461" s="141" t="str">
        <f aca="false">VLOOKUP(DATOS_[[#This Row],[Edad]],CONTRATOS!TblRngEdad,2,1)</f>
        <v>20  o menos</v>
      </c>
      <c r="CO461" s="141" t="str">
        <f aca="false">VLOOKUP(DATOS_[[#This Row],[Antigüedad]],TblRngAntg14[],2,1)</f>
        <v>0 a 1 años</v>
      </c>
    </row>
    <row r="462" customFormat="false" ht="13.8" hidden="false" customHeight="false" outlineLevel="0" collapsed="false">
      <c r="D462" s="128"/>
      <c r="E462" s="129"/>
      <c r="F462" s="129"/>
      <c r="G462" s="129"/>
      <c r="H462" s="130"/>
      <c r="I462" s="131"/>
      <c r="J462" s="128"/>
      <c r="K462" s="132"/>
      <c r="L462" s="132"/>
      <c r="M462" s="133"/>
      <c r="N462" s="133"/>
      <c r="O462" s="133"/>
      <c r="P462" s="129"/>
      <c r="Z462" s="75"/>
      <c r="AA462" s="76"/>
      <c r="AB462" s="76"/>
      <c r="AC462" s="129"/>
      <c r="AD462" s="134"/>
      <c r="AE462" s="134"/>
      <c r="AF462" s="134"/>
      <c r="AG462" s="134"/>
      <c r="AH462" s="134"/>
      <c r="AI462" s="134"/>
      <c r="AJ462" s="134"/>
      <c r="AK462" s="134"/>
      <c r="AL462" s="134"/>
      <c r="AM462" s="134"/>
      <c r="AN462" s="134"/>
      <c r="AO462" s="134"/>
      <c r="AP462" s="134"/>
      <c r="AQ462" s="134"/>
      <c r="AR462" s="134"/>
      <c r="AS462" s="134"/>
      <c r="AT462" s="134"/>
      <c r="AU462" s="134"/>
      <c r="AV462" s="134"/>
      <c r="AW462" s="134"/>
      <c r="AX462" s="134"/>
      <c r="AY462" s="134"/>
      <c r="AZ462" s="134"/>
      <c r="BA462" s="134"/>
      <c r="BB462" s="134"/>
      <c r="BC462" s="134"/>
      <c r="BD462" s="134"/>
      <c r="BE462" s="134"/>
      <c r="BF462" s="134"/>
      <c r="BG462" s="134"/>
      <c r="BH462" s="134"/>
      <c r="BI462" s="134"/>
      <c r="BJ462" s="134"/>
      <c r="BK462" s="134"/>
      <c r="BL462" s="134"/>
      <c r="BM462" s="135"/>
      <c r="BN462" s="136" t="n">
        <f aca="false">+MAX($D$3,DATOS_[[#This Row],[Fecha Inicio Sit. Contract.]])</f>
        <v>0</v>
      </c>
      <c r="BO462" s="136" t="n">
        <f aca="false">+MIN($D$4,DATOS_[[#This Row],[Fecha Fin Sit. Contract.]])</f>
        <v>0</v>
      </c>
      <c r="BP462" s="137" t="n">
        <f aca="false">+DATOS_[[#This Row],[% de jornada]]*IF(DATOS_[[#This Row],[% jornada reducida]]="",1,DATOS_[[#This Row],[% jornada reducida]])</f>
        <v>0</v>
      </c>
      <c r="BQ462" s="137" t="n">
        <f aca="false">+(DATOS_[[#This Row],[F.fin.cal]]-DATOS_[[#This Row],[F.ini.cal]]+1)/($D$4-$D$3+1)</f>
        <v>1</v>
      </c>
      <c r="BR462" s="137" t="str">
        <f aca="false">IF(OR(AND(DATOS_[[#This Row],[Fecha Fin Contrato]]&lt;$D$3,DATOS_[[#This Row],[Fecha Fin Contrato]]&lt;&gt;""),DATOS_[[#This Row],[Fecha de Contratación]]&gt;$D$4),"Fuera","Dentro")</f>
        <v>Dentro</v>
      </c>
      <c r="BS462" s="137" t="str">
        <f aca="false" t="array" ref="BS462:BS462">IF(MAX(IF(DATOS_[id]=DATOS_[[#This Row],[id]],DATOS_[F.fin.cal]))=DATOS_[[#This Row],[F.fin.cal]],"Sí","NO")</f>
        <v>Sí</v>
      </c>
      <c r="BT462" s="137" t="str">
        <f aca="false">IF(AND(DATOS_[[#This Row],[% normaliz]]&lt;&gt;1,DATOS_[[#This Row],[% anualiz]]=1),"Sí","NO")</f>
        <v>Sí</v>
      </c>
      <c r="BU462" s="137" t="str">
        <f aca="false">IF(AND(DATOS_[[#This Row],[% normaliz]]=1,DATOS_[[#This Row],[% anualiz]]&lt;&gt;1),"Sí","NO")</f>
        <v>NO</v>
      </c>
      <c r="BV462" s="137" t="str">
        <f aca="false">IF(AND(DATOS_[[#This Row],[% normaliz]]&lt;&gt;1,DATOS_[[#This Row],[% anualiz]]&lt;&gt;1),"Sí","NO")</f>
        <v>NO</v>
      </c>
      <c r="BW462" s="137" t="str">
        <f aca="false">+IF(DATOS_[[#This Row],[% normaliz]]*DATOS_[[#This Row],[% anualiz]]=1,"NO","Sí")</f>
        <v>Sí</v>
      </c>
      <c r="BX462" s="138" t="e">
        <f aca="false">(DATOS_[[#This Row],[S.BASE]]*(1/DATOS_[[#This Row],[% normaliz]])*(1/DATOS_[[#This Row],[% anualiz]]))*IF(DATOS_[[#This Row],[Check Equiparado]]="Sí",1,0)</f>
        <v>#DIV/0!</v>
      </c>
      <c r="BY4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2" s="138" t="e">
        <f aca="false">+DATOS_[[#This Row],[SALARIO BASE Eq]]+DATOS_[[#This Row],[Tot COMPL.SAL Eq]]</f>
        <v>#DIV/0!</v>
      </c>
      <c r="CA462" s="138" t="e">
        <f aca="false" t="array" ref="CA462:CA4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2" s="138" t="e">
        <f aca="false">+DATOS_[[#This Row],[TOTAL SALARIO Eq]]+DATOS_[[#This Row],[Tot Extrasalarial Eq]]</f>
        <v>#DIV/0!</v>
      </c>
      <c r="CC462" s="139" t="n">
        <f aca="false">DATOS_[[#This Row],[S.BASE]]</f>
        <v>0</v>
      </c>
      <c r="CD462" s="139" t="n">
        <f aca="false">+SUM(DATOS_[[#This Row],[Conc.Sal.01]:[Conc.Sal.30]])</f>
        <v>0</v>
      </c>
      <c r="CE462" s="139" t="n">
        <f aca="false">+DATOS_[[#This Row],[SALARIO BASE Ef]]+DATOS_[[#This Row],[Tot COMPL.SAL Ef]]</f>
        <v>0</v>
      </c>
      <c r="CF462" s="139" t="n">
        <f aca="false">+SUM(DATOS_[[#This Row],[C.Extra.01]:[C.Extra.05]])</f>
        <v>0</v>
      </c>
      <c r="CG462" s="139" t="n">
        <f aca="false">+DATOS_[[#This Row],[TOTAL SALARIO Ef]]+DATOS_[[#This Row],[Tot Extrasalarial Ef]]</f>
        <v>0</v>
      </c>
      <c r="CH462" s="140" t="n">
        <f aca="false">MIN(IF(DATOS_[[#This Row],[Fecha Fin Contrato]]="",$D$4,DATOS_[[#This Row],[Fecha Fin Contrato]]),$D$4)-MAX(DATOS_[[#This Row],[Fecha de Contratación]],$D$3)+1</f>
        <v>1</v>
      </c>
      <c r="CI462" s="141" t="str">
        <f aca="false">IF(COUNTIFS(DATOS_[id],DATOS_[[#This Row],[id]])&gt;1,DATOS_[[#This Row],[id]],"")</f>
        <v/>
      </c>
      <c r="CJ462" s="141" t="n">
        <f aca="false">(Inicio!$G$10-DATOS_[[#This Row],[Fecha Nacimiento]])/365.25</f>
        <v>0</v>
      </c>
      <c r="CK462" s="141" t="n">
        <f aca="false">(Inicio!$G$10-DATOS_[[#This Row],[Fecha de Antigüedad]])/365.25</f>
        <v>0</v>
      </c>
      <c r="CL462" s="141" t="e">
        <f aca="false">+VLOOKUP(DATOS_[[#This Row],[Clave de Contrato]],TblTiposContrato13[],3,0)</f>
        <v>#N/A</v>
      </c>
      <c r="CM462" s="141" t="e">
        <f aca="false">+VLOOKUP(DATOS_[[#This Row],[Clave de Contrato]],TblTiposContrato13[],4,0)</f>
        <v>#N/A</v>
      </c>
      <c r="CN462" s="141" t="str">
        <f aca="false">VLOOKUP(DATOS_[[#This Row],[Edad]],CONTRATOS!TblRngEdad,2,1)</f>
        <v>20  o menos</v>
      </c>
      <c r="CO462" s="141" t="str">
        <f aca="false">VLOOKUP(DATOS_[[#This Row],[Antigüedad]],TblRngAntg14[],2,1)</f>
        <v>0 a 1 años</v>
      </c>
    </row>
    <row r="463" customFormat="false" ht="13.8" hidden="false" customHeight="false" outlineLevel="0" collapsed="false">
      <c r="D463" s="128"/>
      <c r="E463" s="129"/>
      <c r="F463" s="129"/>
      <c r="G463" s="129"/>
      <c r="H463" s="130"/>
      <c r="I463" s="131"/>
      <c r="J463" s="128"/>
      <c r="K463" s="132"/>
      <c r="L463" s="132"/>
      <c r="M463" s="133"/>
      <c r="N463" s="133"/>
      <c r="O463" s="133"/>
      <c r="P463" s="129"/>
      <c r="Z463" s="75"/>
      <c r="AA463" s="76"/>
      <c r="AB463" s="76"/>
      <c r="AC463" s="129"/>
      <c r="AD463" s="134"/>
      <c r="AE463" s="134"/>
      <c r="AF463" s="134"/>
      <c r="AG463" s="134"/>
      <c r="AH463" s="134"/>
      <c r="AI463" s="134"/>
      <c r="AJ463" s="134"/>
      <c r="AK463" s="134"/>
      <c r="AL463" s="134"/>
      <c r="AM463" s="134"/>
      <c r="AN463" s="134"/>
      <c r="AO463" s="134"/>
      <c r="AP463" s="134"/>
      <c r="AQ463" s="134"/>
      <c r="AR463" s="134"/>
      <c r="AS463" s="134"/>
      <c r="AT463" s="134"/>
      <c r="AU463" s="134"/>
      <c r="AV463" s="134"/>
      <c r="AW463" s="134"/>
      <c r="AX463" s="134"/>
      <c r="AY463" s="134"/>
      <c r="AZ463" s="134"/>
      <c r="BA463" s="134"/>
      <c r="BB463" s="134"/>
      <c r="BC463" s="134"/>
      <c r="BD463" s="134"/>
      <c r="BE463" s="134"/>
      <c r="BF463" s="134"/>
      <c r="BG463" s="134"/>
      <c r="BH463" s="134"/>
      <c r="BI463" s="134"/>
      <c r="BJ463" s="134"/>
      <c r="BK463" s="134"/>
      <c r="BL463" s="134"/>
      <c r="BM463" s="135"/>
      <c r="BN463" s="136" t="n">
        <f aca="false">+MAX($D$3,DATOS_[[#This Row],[Fecha Inicio Sit. Contract.]])</f>
        <v>0</v>
      </c>
      <c r="BO463" s="136" t="n">
        <f aca="false">+MIN($D$4,DATOS_[[#This Row],[Fecha Fin Sit. Contract.]])</f>
        <v>0</v>
      </c>
      <c r="BP463" s="137" t="n">
        <f aca="false">+DATOS_[[#This Row],[% de jornada]]*IF(DATOS_[[#This Row],[% jornada reducida]]="",1,DATOS_[[#This Row],[% jornada reducida]])</f>
        <v>0</v>
      </c>
      <c r="BQ463" s="137" t="n">
        <f aca="false">+(DATOS_[[#This Row],[F.fin.cal]]-DATOS_[[#This Row],[F.ini.cal]]+1)/($D$4-$D$3+1)</f>
        <v>1</v>
      </c>
      <c r="BR463" s="137" t="str">
        <f aca="false">IF(OR(AND(DATOS_[[#This Row],[Fecha Fin Contrato]]&lt;$D$3,DATOS_[[#This Row],[Fecha Fin Contrato]]&lt;&gt;""),DATOS_[[#This Row],[Fecha de Contratación]]&gt;$D$4),"Fuera","Dentro")</f>
        <v>Dentro</v>
      </c>
      <c r="BS463" s="137" t="str">
        <f aca="false" t="array" ref="BS463:BS463">IF(MAX(IF(DATOS_[id]=DATOS_[[#This Row],[id]],DATOS_[F.fin.cal]))=DATOS_[[#This Row],[F.fin.cal]],"Sí","NO")</f>
        <v>Sí</v>
      </c>
      <c r="BT463" s="137" t="str">
        <f aca="false">IF(AND(DATOS_[[#This Row],[% normaliz]]&lt;&gt;1,DATOS_[[#This Row],[% anualiz]]=1),"Sí","NO")</f>
        <v>Sí</v>
      </c>
      <c r="BU463" s="137" t="str">
        <f aca="false">IF(AND(DATOS_[[#This Row],[% normaliz]]=1,DATOS_[[#This Row],[% anualiz]]&lt;&gt;1),"Sí","NO")</f>
        <v>NO</v>
      </c>
      <c r="BV463" s="137" t="str">
        <f aca="false">IF(AND(DATOS_[[#This Row],[% normaliz]]&lt;&gt;1,DATOS_[[#This Row],[% anualiz]]&lt;&gt;1),"Sí","NO")</f>
        <v>NO</v>
      </c>
      <c r="BW463" s="137" t="str">
        <f aca="false">+IF(DATOS_[[#This Row],[% normaliz]]*DATOS_[[#This Row],[% anualiz]]=1,"NO","Sí")</f>
        <v>Sí</v>
      </c>
      <c r="BX463" s="138" t="e">
        <f aca="false">(DATOS_[[#This Row],[S.BASE]]*(1/DATOS_[[#This Row],[% normaliz]])*(1/DATOS_[[#This Row],[% anualiz]]))*IF(DATOS_[[#This Row],[Check Equiparado]]="Sí",1,0)</f>
        <v>#DIV/0!</v>
      </c>
      <c r="BY4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3" s="138" t="e">
        <f aca="false">+DATOS_[[#This Row],[SALARIO BASE Eq]]+DATOS_[[#This Row],[Tot COMPL.SAL Eq]]</f>
        <v>#DIV/0!</v>
      </c>
      <c r="CA463" s="138" t="e">
        <f aca="false" t="array" ref="CA463:CA4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3" s="138" t="e">
        <f aca="false">+DATOS_[[#This Row],[TOTAL SALARIO Eq]]+DATOS_[[#This Row],[Tot Extrasalarial Eq]]</f>
        <v>#DIV/0!</v>
      </c>
      <c r="CC463" s="139" t="n">
        <f aca="false">DATOS_[[#This Row],[S.BASE]]</f>
        <v>0</v>
      </c>
      <c r="CD463" s="139" t="n">
        <f aca="false">+SUM(DATOS_[[#This Row],[Conc.Sal.01]:[Conc.Sal.30]])</f>
        <v>0</v>
      </c>
      <c r="CE463" s="139" t="n">
        <f aca="false">+DATOS_[[#This Row],[SALARIO BASE Ef]]+DATOS_[[#This Row],[Tot COMPL.SAL Ef]]</f>
        <v>0</v>
      </c>
      <c r="CF463" s="139" t="n">
        <f aca="false">+SUM(DATOS_[[#This Row],[C.Extra.01]:[C.Extra.05]])</f>
        <v>0</v>
      </c>
      <c r="CG463" s="139" t="n">
        <f aca="false">+DATOS_[[#This Row],[TOTAL SALARIO Ef]]+DATOS_[[#This Row],[Tot Extrasalarial Ef]]</f>
        <v>0</v>
      </c>
      <c r="CH463" s="140" t="n">
        <f aca="false">MIN(IF(DATOS_[[#This Row],[Fecha Fin Contrato]]="",$D$4,DATOS_[[#This Row],[Fecha Fin Contrato]]),$D$4)-MAX(DATOS_[[#This Row],[Fecha de Contratación]],$D$3)+1</f>
        <v>1</v>
      </c>
      <c r="CI463" s="141" t="str">
        <f aca="false">IF(COUNTIFS(DATOS_[id],DATOS_[[#This Row],[id]])&gt;1,DATOS_[[#This Row],[id]],"")</f>
        <v/>
      </c>
      <c r="CJ463" s="141" t="n">
        <f aca="false">(Inicio!$G$10-DATOS_[[#This Row],[Fecha Nacimiento]])/365.25</f>
        <v>0</v>
      </c>
      <c r="CK463" s="141" t="n">
        <f aca="false">(Inicio!$G$10-DATOS_[[#This Row],[Fecha de Antigüedad]])/365.25</f>
        <v>0</v>
      </c>
      <c r="CL463" s="141" t="e">
        <f aca="false">+VLOOKUP(DATOS_[[#This Row],[Clave de Contrato]],TblTiposContrato13[],3,0)</f>
        <v>#N/A</v>
      </c>
      <c r="CM463" s="141" t="e">
        <f aca="false">+VLOOKUP(DATOS_[[#This Row],[Clave de Contrato]],TblTiposContrato13[],4,0)</f>
        <v>#N/A</v>
      </c>
      <c r="CN463" s="141" t="str">
        <f aca="false">VLOOKUP(DATOS_[[#This Row],[Edad]],CONTRATOS!TblRngEdad,2,1)</f>
        <v>20  o menos</v>
      </c>
      <c r="CO463" s="141" t="str">
        <f aca="false">VLOOKUP(DATOS_[[#This Row],[Antigüedad]],TblRngAntg14[],2,1)</f>
        <v>0 a 1 años</v>
      </c>
    </row>
    <row r="464" customFormat="false" ht="13.8" hidden="false" customHeight="false" outlineLevel="0" collapsed="false">
      <c r="D464" s="128"/>
      <c r="E464" s="129"/>
      <c r="F464" s="129"/>
      <c r="G464" s="129"/>
      <c r="H464" s="130"/>
      <c r="I464" s="131"/>
      <c r="J464" s="128"/>
      <c r="K464" s="132"/>
      <c r="L464" s="132"/>
      <c r="M464" s="133"/>
      <c r="N464" s="133"/>
      <c r="O464" s="133"/>
      <c r="P464" s="129"/>
      <c r="Z464" s="75"/>
      <c r="AA464" s="76"/>
      <c r="AB464" s="76"/>
      <c r="AC464" s="129"/>
      <c r="AD464" s="134"/>
      <c r="AE464" s="134"/>
      <c r="AF464" s="134"/>
      <c r="AG464" s="134"/>
      <c r="AH464" s="134"/>
      <c r="AI464" s="134"/>
      <c r="AJ464" s="134"/>
      <c r="AK464" s="134"/>
      <c r="AL464" s="134"/>
      <c r="AM464" s="134"/>
      <c r="AN464" s="134"/>
      <c r="AO464" s="134"/>
      <c r="AP464" s="134"/>
      <c r="AQ464" s="134"/>
      <c r="AR464" s="134"/>
      <c r="AS464" s="134"/>
      <c r="AT464" s="134"/>
      <c r="AU464" s="134"/>
      <c r="AV464" s="134"/>
      <c r="AW464" s="134"/>
      <c r="AX464" s="134"/>
      <c r="AY464" s="134"/>
      <c r="AZ464" s="134"/>
      <c r="BA464" s="134"/>
      <c r="BB464" s="134"/>
      <c r="BC464" s="134"/>
      <c r="BD464" s="134"/>
      <c r="BE464" s="134"/>
      <c r="BF464" s="134"/>
      <c r="BG464" s="134"/>
      <c r="BH464" s="134"/>
      <c r="BI464" s="134"/>
      <c r="BJ464" s="134"/>
      <c r="BK464" s="134"/>
      <c r="BL464" s="134"/>
      <c r="BM464" s="135"/>
      <c r="BN464" s="136" t="n">
        <f aca="false">+MAX($D$3,DATOS_[[#This Row],[Fecha Inicio Sit. Contract.]])</f>
        <v>0</v>
      </c>
      <c r="BO464" s="136" t="n">
        <f aca="false">+MIN($D$4,DATOS_[[#This Row],[Fecha Fin Sit. Contract.]])</f>
        <v>0</v>
      </c>
      <c r="BP464" s="137" t="n">
        <f aca="false">+DATOS_[[#This Row],[% de jornada]]*IF(DATOS_[[#This Row],[% jornada reducida]]="",1,DATOS_[[#This Row],[% jornada reducida]])</f>
        <v>0</v>
      </c>
      <c r="BQ464" s="137" t="n">
        <f aca="false">+(DATOS_[[#This Row],[F.fin.cal]]-DATOS_[[#This Row],[F.ini.cal]]+1)/($D$4-$D$3+1)</f>
        <v>1</v>
      </c>
      <c r="BR464" s="137" t="str">
        <f aca="false">IF(OR(AND(DATOS_[[#This Row],[Fecha Fin Contrato]]&lt;$D$3,DATOS_[[#This Row],[Fecha Fin Contrato]]&lt;&gt;""),DATOS_[[#This Row],[Fecha de Contratación]]&gt;$D$4),"Fuera","Dentro")</f>
        <v>Dentro</v>
      </c>
      <c r="BS464" s="137" t="str">
        <f aca="false" t="array" ref="BS464:BS464">IF(MAX(IF(DATOS_[id]=DATOS_[[#This Row],[id]],DATOS_[F.fin.cal]))=DATOS_[[#This Row],[F.fin.cal]],"Sí","NO")</f>
        <v>Sí</v>
      </c>
      <c r="BT464" s="137" t="str">
        <f aca="false">IF(AND(DATOS_[[#This Row],[% normaliz]]&lt;&gt;1,DATOS_[[#This Row],[% anualiz]]=1),"Sí","NO")</f>
        <v>Sí</v>
      </c>
      <c r="BU464" s="137" t="str">
        <f aca="false">IF(AND(DATOS_[[#This Row],[% normaliz]]=1,DATOS_[[#This Row],[% anualiz]]&lt;&gt;1),"Sí","NO")</f>
        <v>NO</v>
      </c>
      <c r="BV464" s="137" t="str">
        <f aca="false">IF(AND(DATOS_[[#This Row],[% normaliz]]&lt;&gt;1,DATOS_[[#This Row],[% anualiz]]&lt;&gt;1),"Sí","NO")</f>
        <v>NO</v>
      </c>
      <c r="BW464" s="137" t="str">
        <f aca="false">+IF(DATOS_[[#This Row],[% normaliz]]*DATOS_[[#This Row],[% anualiz]]=1,"NO","Sí")</f>
        <v>Sí</v>
      </c>
      <c r="BX464" s="138" t="e">
        <f aca="false">(DATOS_[[#This Row],[S.BASE]]*(1/DATOS_[[#This Row],[% normaliz]])*(1/DATOS_[[#This Row],[% anualiz]]))*IF(DATOS_[[#This Row],[Check Equiparado]]="Sí",1,0)</f>
        <v>#DIV/0!</v>
      </c>
      <c r="BY4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4" s="138" t="e">
        <f aca="false">+DATOS_[[#This Row],[SALARIO BASE Eq]]+DATOS_[[#This Row],[Tot COMPL.SAL Eq]]</f>
        <v>#DIV/0!</v>
      </c>
      <c r="CA464" s="138" t="e">
        <f aca="false" t="array" ref="CA464:CA4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4" s="138" t="e">
        <f aca="false">+DATOS_[[#This Row],[TOTAL SALARIO Eq]]+DATOS_[[#This Row],[Tot Extrasalarial Eq]]</f>
        <v>#DIV/0!</v>
      </c>
      <c r="CC464" s="139" t="n">
        <f aca="false">DATOS_[[#This Row],[S.BASE]]</f>
        <v>0</v>
      </c>
      <c r="CD464" s="139" t="n">
        <f aca="false">+SUM(DATOS_[[#This Row],[Conc.Sal.01]:[Conc.Sal.30]])</f>
        <v>0</v>
      </c>
      <c r="CE464" s="139" t="n">
        <f aca="false">+DATOS_[[#This Row],[SALARIO BASE Ef]]+DATOS_[[#This Row],[Tot COMPL.SAL Ef]]</f>
        <v>0</v>
      </c>
      <c r="CF464" s="139" t="n">
        <f aca="false">+SUM(DATOS_[[#This Row],[C.Extra.01]:[C.Extra.05]])</f>
        <v>0</v>
      </c>
      <c r="CG464" s="139" t="n">
        <f aca="false">+DATOS_[[#This Row],[TOTAL SALARIO Ef]]+DATOS_[[#This Row],[Tot Extrasalarial Ef]]</f>
        <v>0</v>
      </c>
      <c r="CH464" s="140" t="n">
        <f aca="false">MIN(IF(DATOS_[[#This Row],[Fecha Fin Contrato]]="",$D$4,DATOS_[[#This Row],[Fecha Fin Contrato]]),$D$4)-MAX(DATOS_[[#This Row],[Fecha de Contratación]],$D$3)+1</f>
        <v>1</v>
      </c>
      <c r="CI464" s="141" t="str">
        <f aca="false">IF(COUNTIFS(DATOS_[id],DATOS_[[#This Row],[id]])&gt;1,DATOS_[[#This Row],[id]],"")</f>
        <v/>
      </c>
      <c r="CJ464" s="141" t="n">
        <f aca="false">(Inicio!$G$10-DATOS_[[#This Row],[Fecha Nacimiento]])/365.25</f>
        <v>0</v>
      </c>
      <c r="CK464" s="141" t="n">
        <f aca="false">(Inicio!$G$10-DATOS_[[#This Row],[Fecha de Antigüedad]])/365.25</f>
        <v>0</v>
      </c>
      <c r="CL464" s="141" t="e">
        <f aca="false">+VLOOKUP(DATOS_[[#This Row],[Clave de Contrato]],TblTiposContrato13[],3,0)</f>
        <v>#N/A</v>
      </c>
      <c r="CM464" s="141" t="e">
        <f aca="false">+VLOOKUP(DATOS_[[#This Row],[Clave de Contrato]],TblTiposContrato13[],4,0)</f>
        <v>#N/A</v>
      </c>
      <c r="CN464" s="141" t="str">
        <f aca="false">VLOOKUP(DATOS_[[#This Row],[Edad]],CONTRATOS!TblRngEdad,2,1)</f>
        <v>20  o menos</v>
      </c>
      <c r="CO464" s="141" t="str">
        <f aca="false">VLOOKUP(DATOS_[[#This Row],[Antigüedad]],TblRngAntg14[],2,1)</f>
        <v>0 a 1 años</v>
      </c>
    </row>
    <row r="465" customFormat="false" ht="13.8" hidden="false" customHeight="false" outlineLevel="0" collapsed="false">
      <c r="D465" s="128"/>
      <c r="E465" s="129"/>
      <c r="F465" s="129"/>
      <c r="G465" s="129"/>
      <c r="H465" s="130"/>
      <c r="I465" s="131"/>
      <c r="J465" s="128"/>
      <c r="K465" s="132"/>
      <c r="L465" s="132"/>
      <c r="M465" s="133"/>
      <c r="N465" s="133"/>
      <c r="O465" s="133"/>
      <c r="P465" s="129"/>
      <c r="Z465" s="75"/>
      <c r="AA465" s="76"/>
      <c r="AB465" s="76"/>
      <c r="AC465" s="129"/>
      <c r="AD465" s="134"/>
      <c r="AE465" s="134"/>
      <c r="AF465" s="134"/>
      <c r="AG465" s="134"/>
      <c r="AH465" s="134"/>
      <c r="AI465" s="134"/>
      <c r="AJ465" s="134"/>
      <c r="AK465" s="134"/>
      <c r="AL465" s="134"/>
      <c r="AM465" s="134"/>
      <c r="AN465" s="134"/>
      <c r="AO465" s="134"/>
      <c r="AP465" s="134"/>
      <c r="AQ465" s="134"/>
      <c r="AR465" s="134"/>
      <c r="AS465" s="134"/>
      <c r="AT465" s="134"/>
      <c r="AU465" s="134"/>
      <c r="AV465" s="134"/>
      <c r="AW465" s="134"/>
      <c r="AX465" s="134"/>
      <c r="AY465" s="134"/>
      <c r="AZ465" s="134"/>
      <c r="BA465" s="134"/>
      <c r="BB465" s="134"/>
      <c r="BC465" s="134"/>
      <c r="BD465" s="134"/>
      <c r="BE465" s="134"/>
      <c r="BF465" s="134"/>
      <c r="BG465" s="134"/>
      <c r="BH465" s="134"/>
      <c r="BI465" s="134"/>
      <c r="BJ465" s="134"/>
      <c r="BK465" s="134"/>
      <c r="BL465" s="134"/>
      <c r="BM465" s="135"/>
      <c r="BN465" s="136" t="n">
        <f aca="false">+MAX($D$3,DATOS_[[#This Row],[Fecha Inicio Sit. Contract.]])</f>
        <v>0</v>
      </c>
      <c r="BO465" s="136" t="n">
        <f aca="false">+MIN($D$4,DATOS_[[#This Row],[Fecha Fin Sit. Contract.]])</f>
        <v>0</v>
      </c>
      <c r="BP465" s="137" t="n">
        <f aca="false">+DATOS_[[#This Row],[% de jornada]]*IF(DATOS_[[#This Row],[% jornada reducida]]="",1,DATOS_[[#This Row],[% jornada reducida]])</f>
        <v>0</v>
      </c>
      <c r="BQ465" s="137" t="n">
        <f aca="false">+(DATOS_[[#This Row],[F.fin.cal]]-DATOS_[[#This Row],[F.ini.cal]]+1)/($D$4-$D$3+1)</f>
        <v>1</v>
      </c>
      <c r="BR465" s="137" t="str">
        <f aca="false">IF(OR(AND(DATOS_[[#This Row],[Fecha Fin Contrato]]&lt;$D$3,DATOS_[[#This Row],[Fecha Fin Contrato]]&lt;&gt;""),DATOS_[[#This Row],[Fecha de Contratación]]&gt;$D$4),"Fuera","Dentro")</f>
        <v>Dentro</v>
      </c>
      <c r="BS465" s="137" t="str">
        <f aca="false" t="array" ref="BS465:BS465">IF(MAX(IF(DATOS_[id]=DATOS_[[#This Row],[id]],DATOS_[F.fin.cal]))=DATOS_[[#This Row],[F.fin.cal]],"Sí","NO")</f>
        <v>Sí</v>
      </c>
      <c r="BT465" s="137" t="str">
        <f aca="false">IF(AND(DATOS_[[#This Row],[% normaliz]]&lt;&gt;1,DATOS_[[#This Row],[% anualiz]]=1),"Sí","NO")</f>
        <v>Sí</v>
      </c>
      <c r="BU465" s="137" t="str">
        <f aca="false">IF(AND(DATOS_[[#This Row],[% normaliz]]=1,DATOS_[[#This Row],[% anualiz]]&lt;&gt;1),"Sí","NO")</f>
        <v>NO</v>
      </c>
      <c r="BV465" s="137" t="str">
        <f aca="false">IF(AND(DATOS_[[#This Row],[% normaliz]]&lt;&gt;1,DATOS_[[#This Row],[% anualiz]]&lt;&gt;1),"Sí","NO")</f>
        <v>NO</v>
      </c>
      <c r="BW465" s="137" t="str">
        <f aca="false">+IF(DATOS_[[#This Row],[% normaliz]]*DATOS_[[#This Row],[% anualiz]]=1,"NO","Sí")</f>
        <v>Sí</v>
      </c>
      <c r="BX465" s="138" t="e">
        <f aca="false">(DATOS_[[#This Row],[S.BASE]]*(1/DATOS_[[#This Row],[% normaliz]])*(1/DATOS_[[#This Row],[% anualiz]]))*IF(DATOS_[[#This Row],[Check Equiparado]]="Sí",1,0)</f>
        <v>#DIV/0!</v>
      </c>
      <c r="BY4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5" s="138" t="e">
        <f aca="false">+DATOS_[[#This Row],[SALARIO BASE Eq]]+DATOS_[[#This Row],[Tot COMPL.SAL Eq]]</f>
        <v>#DIV/0!</v>
      </c>
      <c r="CA465" s="138" t="e">
        <f aca="false" t="array" ref="CA465:CA4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5" s="138" t="e">
        <f aca="false">+DATOS_[[#This Row],[TOTAL SALARIO Eq]]+DATOS_[[#This Row],[Tot Extrasalarial Eq]]</f>
        <v>#DIV/0!</v>
      </c>
      <c r="CC465" s="139" t="n">
        <f aca="false">DATOS_[[#This Row],[S.BASE]]</f>
        <v>0</v>
      </c>
      <c r="CD465" s="139" t="n">
        <f aca="false">+SUM(DATOS_[[#This Row],[Conc.Sal.01]:[Conc.Sal.30]])</f>
        <v>0</v>
      </c>
      <c r="CE465" s="139" t="n">
        <f aca="false">+DATOS_[[#This Row],[SALARIO BASE Ef]]+DATOS_[[#This Row],[Tot COMPL.SAL Ef]]</f>
        <v>0</v>
      </c>
      <c r="CF465" s="139" t="n">
        <f aca="false">+SUM(DATOS_[[#This Row],[C.Extra.01]:[C.Extra.05]])</f>
        <v>0</v>
      </c>
      <c r="CG465" s="139" t="n">
        <f aca="false">+DATOS_[[#This Row],[TOTAL SALARIO Ef]]+DATOS_[[#This Row],[Tot Extrasalarial Ef]]</f>
        <v>0</v>
      </c>
      <c r="CH465" s="140" t="n">
        <f aca="false">MIN(IF(DATOS_[[#This Row],[Fecha Fin Contrato]]="",$D$4,DATOS_[[#This Row],[Fecha Fin Contrato]]),$D$4)-MAX(DATOS_[[#This Row],[Fecha de Contratación]],$D$3)+1</f>
        <v>1</v>
      </c>
      <c r="CI465" s="141" t="str">
        <f aca="false">IF(COUNTIFS(DATOS_[id],DATOS_[[#This Row],[id]])&gt;1,DATOS_[[#This Row],[id]],"")</f>
        <v/>
      </c>
      <c r="CJ465" s="141" t="n">
        <f aca="false">(Inicio!$G$10-DATOS_[[#This Row],[Fecha Nacimiento]])/365.25</f>
        <v>0</v>
      </c>
      <c r="CK465" s="141" t="n">
        <f aca="false">(Inicio!$G$10-DATOS_[[#This Row],[Fecha de Antigüedad]])/365.25</f>
        <v>0</v>
      </c>
      <c r="CL465" s="141" t="e">
        <f aca="false">+VLOOKUP(DATOS_[[#This Row],[Clave de Contrato]],TblTiposContrato13[],3,0)</f>
        <v>#N/A</v>
      </c>
      <c r="CM465" s="141" t="e">
        <f aca="false">+VLOOKUP(DATOS_[[#This Row],[Clave de Contrato]],TblTiposContrato13[],4,0)</f>
        <v>#N/A</v>
      </c>
      <c r="CN465" s="141" t="str">
        <f aca="false">VLOOKUP(DATOS_[[#This Row],[Edad]],CONTRATOS!TblRngEdad,2,1)</f>
        <v>20  o menos</v>
      </c>
      <c r="CO465" s="141" t="str">
        <f aca="false">VLOOKUP(DATOS_[[#This Row],[Antigüedad]],TblRngAntg14[],2,1)</f>
        <v>0 a 1 años</v>
      </c>
    </row>
    <row r="466" customFormat="false" ht="13.8" hidden="false" customHeight="false" outlineLevel="0" collapsed="false">
      <c r="D466" s="128"/>
      <c r="E466" s="129"/>
      <c r="F466" s="129"/>
      <c r="G466" s="129"/>
      <c r="H466" s="130"/>
      <c r="I466" s="131"/>
      <c r="J466" s="128"/>
      <c r="K466" s="132"/>
      <c r="L466" s="132"/>
      <c r="M466" s="133"/>
      <c r="N466" s="133"/>
      <c r="O466" s="133"/>
      <c r="P466" s="129"/>
      <c r="Z466" s="75"/>
      <c r="AA466" s="76"/>
      <c r="AB466" s="76"/>
      <c r="AC466" s="129"/>
      <c r="AD466" s="134"/>
      <c r="AE466" s="134"/>
      <c r="AF466" s="134"/>
      <c r="AG466" s="134"/>
      <c r="AH466" s="134"/>
      <c r="AI466" s="134"/>
      <c r="AJ466" s="134"/>
      <c r="AK466" s="134"/>
      <c r="AL466" s="134"/>
      <c r="AM466" s="134"/>
      <c r="AN466" s="134"/>
      <c r="AO466" s="134"/>
      <c r="AP466" s="134"/>
      <c r="AQ466" s="134"/>
      <c r="AR466" s="134"/>
      <c r="AS466" s="134"/>
      <c r="AT466" s="134"/>
      <c r="AU466" s="134"/>
      <c r="AV466" s="134"/>
      <c r="AW466" s="134"/>
      <c r="AX466" s="134"/>
      <c r="AY466" s="134"/>
      <c r="AZ466" s="134"/>
      <c r="BA466" s="134"/>
      <c r="BB466" s="134"/>
      <c r="BC466" s="134"/>
      <c r="BD466" s="134"/>
      <c r="BE466" s="134"/>
      <c r="BF466" s="134"/>
      <c r="BG466" s="134"/>
      <c r="BH466" s="134"/>
      <c r="BI466" s="134"/>
      <c r="BJ466" s="134"/>
      <c r="BK466" s="134"/>
      <c r="BL466" s="134"/>
      <c r="BM466" s="135"/>
      <c r="BN466" s="136" t="n">
        <f aca="false">+MAX($D$3,DATOS_[[#This Row],[Fecha Inicio Sit. Contract.]])</f>
        <v>0</v>
      </c>
      <c r="BO466" s="136" t="n">
        <f aca="false">+MIN($D$4,DATOS_[[#This Row],[Fecha Fin Sit. Contract.]])</f>
        <v>0</v>
      </c>
      <c r="BP466" s="137" t="n">
        <f aca="false">+DATOS_[[#This Row],[% de jornada]]*IF(DATOS_[[#This Row],[% jornada reducida]]="",1,DATOS_[[#This Row],[% jornada reducida]])</f>
        <v>0</v>
      </c>
      <c r="BQ466" s="137" t="n">
        <f aca="false">+(DATOS_[[#This Row],[F.fin.cal]]-DATOS_[[#This Row],[F.ini.cal]]+1)/($D$4-$D$3+1)</f>
        <v>1</v>
      </c>
      <c r="BR466" s="137" t="str">
        <f aca="false">IF(OR(AND(DATOS_[[#This Row],[Fecha Fin Contrato]]&lt;$D$3,DATOS_[[#This Row],[Fecha Fin Contrato]]&lt;&gt;""),DATOS_[[#This Row],[Fecha de Contratación]]&gt;$D$4),"Fuera","Dentro")</f>
        <v>Dentro</v>
      </c>
      <c r="BS466" s="137" t="str">
        <f aca="false" t="array" ref="BS466:BS466">IF(MAX(IF(DATOS_[id]=DATOS_[[#This Row],[id]],DATOS_[F.fin.cal]))=DATOS_[[#This Row],[F.fin.cal]],"Sí","NO")</f>
        <v>Sí</v>
      </c>
      <c r="BT466" s="137" t="str">
        <f aca="false">IF(AND(DATOS_[[#This Row],[% normaliz]]&lt;&gt;1,DATOS_[[#This Row],[% anualiz]]=1),"Sí","NO")</f>
        <v>Sí</v>
      </c>
      <c r="BU466" s="137" t="str">
        <f aca="false">IF(AND(DATOS_[[#This Row],[% normaliz]]=1,DATOS_[[#This Row],[% anualiz]]&lt;&gt;1),"Sí","NO")</f>
        <v>NO</v>
      </c>
      <c r="BV466" s="137" t="str">
        <f aca="false">IF(AND(DATOS_[[#This Row],[% normaliz]]&lt;&gt;1,DATOS_[[#This Row],[% anualiz]]&lt;&gt;1),"Sí","NO")</f>
        <v>NO</v>
      </c>
      <c r="BW466" s="137" t="str">
        <f aca="false">+IF(DATOS_[[#This Row],[% normaliz]]*DATOS_[[#This Row],[% anualiz]]=1,"NO","Sí")</f>
        <v>Sí</v>
      </c>
      <c r="BX466" s="138" t="e">
        <f aca="false">(DATOS_[[#This Row],[S.BASE]]*(1/DATOS_[[#This Row],[% normaliz]])*(1/DATOS_[[#This Row],[% anualiz]]))*IF(DATOS_[[#This Row],[Check Equiparado]]="Sí",1,0)</f>
        <v>#DIV/0!</v>
      </c>
      <c r="BY4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6" s="138" t="e">
        <f aca="false">+DATOS_[[#This Row],[SALARIO BASE Eq]]+DATOS_[[#This Row],[Tot COMPL.SAL Eq]]</f>
        <v>#DIV/0!</v>
      </c>
      <c r="CA466" s="138" t="e">
        <f aca="false" t="array" ref="CA466:CA4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6" s="138" t="e">
        <f aca="false">+DATOS_[[#This Row],[TOTAL SALARIO Eq]]+DATOS_[[#This Row],[Tot Extrasalarial Eq]]</f>
        <v>#DIV/0!</v>
      </c>
      <c r="CC466" s="139" t="n">
        <f aca="false">DATOS_[[#This Row],[S.BASE]]</f>
        <v>0</v>
      </c>
      <c r="CD466" s="139" t="n">
        <f aca="false">+SUM(DATOS_[[#This Row],[Conc.Sal.01]:[Conc.Sal.30]])</f>
        <v>0</v>
      </c>
      <c r="CE466" s="139" t="n">
        <f aca="false">+DATOS_[[#This Row],[SALARIO BASE Ef]]+DATOS_[[#This Row],[Tot COMPL.SAL Ef]]</f>
        <v>0</v>
      </c>
      <c r="CF466" s="139" t="n">
        <f aca="false">+SUM(DATOS_[[#This Row],[C.Extra.01]:[C.Extra.05]])</f>
        <v>0</v>
      </c>
      <c r="CG466" s="139" t="n">
        <f aca="false">+DATOS_[[#This Row],[TOTAL SALARIO Ef]]+DATOS_[[#This Row],[Tot Extrasalarial Ef]]</f>
        <v>0</v>
      </c>
      <c r="CH466" s="140" t="n">
        <f aca="false">MIN(IF(DATOS_[[#This Row],[Fecha Fin Contrato]]="",$D$4,DATOS_[[#This Row],[Fecha Fin Contrato]]),$D$4)-MAX(DATOS_[[#This Row],[Fecha de Contratación]],$D$3)+1</f>
        <v>1</v>
      </c>
      <c r="CI466" s="141" t="str">
        <f aca="false">IF(COUNTIFS(DATOS_[id],DATOS_[[#This Row],[id]])&gt;1,DATOS_[[#This Row],[id]],"")</f>
        <v/>
      </c>
      <c r="CJ466" s="141" t="n">
        <f aca="false">(Inicio!$G$10-DATOS_[[#This Row],[Fecha Nacimiento]])/365.25</f>
        <v>0</v>
      </c>
      <c r="CK466" s="141" t="n">
        <f aca="false">(Inicio!$G$10-DATOS_[[#This Row],[Fecha de Antigüedad]])/365.25</f>
        <v>0</v>
      </c>
      <c r="CL466" s="141" t="e">
        <f aca="false">+VLOOKUP(DATOS_[[#This Row],[Clave de Contrato]],TblTiposContrato13[],3,0)</f>
        <v>#N/A</v>
      </c>
      <c r="CM466" s="141" t="e">
        <f aca="false">+VLOOKUP(DATOS_[[#This Row],[Clave de Contrato]],TblTiposContrato13[],4,0)</f>
        <v>#N/A</v>
      </c>
      <c r="CN466" s="141" t="str">
        <f aca="false">VLOOKUP(DATOS_[[#This Row],[Edad]],CONTRATOS!TblRngEdad,2,1)</f>
        <v>20  o menos</v>
      </c>
      <c r="CO466" s="141" t="str">
        <f aca="false">VLOOKUP(DATOS_[[#This Row],[Antigüedad]],TblRngAntg14[],2,1)</f>
        <v>0 a 1 años</v>
      </c>
    </row>
    <row r="467" customFormat="false" ht="13.8" hidden="false" customHeight="false" outlineLevel="0" collapsed="false">
      <c r="D467" s="128"/>
      <c r="E467" s="129"/>
      <c r="F467" s="129"/>
      <c r="G467" s="129"/>
      <c r="H467" s="130"/>
      <c r="I467" s="131"/>
      <c r="J467" s="128"/>
      <c r="K467" s="132"/>
      <c r="L467" s="132"/>
      <c r="M467" s="133"/>
      <c r="N467" s="133"/>
      <c r="O467" s="133"/>
      <c r="P467" s="129"/>
      <c r="Z467" s="75"/>
      <c r="AA467" s="76"/>
      <c r="AB467" s="76"/>
      <c r="AC467" s="129"/>
      <c r="AD467" s="134"/>
      <c r="AE467" s="134"/>
      <c r="AF467" s="134"/>
      <c r="AG467" s="134"/>
      <c r="AH467" s="134"/>
      <c r="AI467" s="134"/>
      <c r="AJ467" s="134"/>
      <c r="AK467" s="134"/>
      <c r="AL467" s="134"/>
      <c r="AM467" s="134"/>
      <c r="AN467" s="134"/>
      <c r="AO467" s="134"/>
      <c r="AP467" s="134"/>
      <c r="AQ467" s="134"/>
      <c r="AR467" s="134"/>
      <c r="AS467" s="134"/>
      <c r="AT467" s="134"/>
      <c r="AU467" s="134"/>
      <c r="AV467" s="134"/>
      <c r="AW467" s="134"/>
      <c r="AX467" s="134"/>
      <c r="AY467" s="134"/>
      <c r="AZ467" s="134"/>
      <c r="BA467" s="134"/>
      <c r="BB467" s="134"/>
      <c r="BC467" s="134"/>
      <c r="BD467" s="134"/>
      <c r="BE467" s="134"/>
      <c r="BF467" s="134"/>
      <c r="BG467" s="134"/>
      <c r="BH467" s="134"/>
      <c r="BI467" s="134"/>
      <c r="BJ467" s="134"/>
      <c r="BK467" s="134"/>
      <c r="BL467" s="134"/>
      <c r="BM467" s="135"/>
      <c r="BN467" s="136" t="n">
        <f aca="false">+MAX($D$3,DATOS_[[#This Row],[Fecha Inicio Sit. Contract.]])</f>
        <v>0</v>
      </c>
      <c r="BO467" s="136" t="n">
        <f aca="false">+MIN($D$4,DATOS_[[#This Row],[Fecha Fin Sit. Contract.]])</f>
        <v>0</v>
      </c>
      <c r="BP467" s="137" t="n">
        <f aca="false">+DATOS_[[#This Row],[% de jornada]]*IF(DATOS_[[#This Row],[% jornada reducida]]="",1,DATOS_[[#This Row],[% jornada reducida]])</f>
        <v>0</v>
      </c>
      <c r="BQ467" s="137" t="n">
        <f aca="false">+(DATOS_[[#This Row],[F.fin.cal]]-DATOS_[[#This Row],[F.ini.cal]]+1)/($D$4-$D$3+1)</f>
        <v>1</v>
      </c>
      <c r="BR467" s="137" t="str">
        <f aca="false">IF(OR(AND(DATOS_[[#This Row],[Fecha Fin Contrato]]&lt;$D$3,DATOS_[[#This Row],[Fecha Fin Contrato]]&lt;&gt;""),DATOS_[[#This Row],[Fecha de Contratación]]&gt;$D$4),"Fuera","Dentro")</f>
        <v>Dentro</v>
      </c>
      <c r="BS467" s="137" t="str">
        <f aca="false" t="array" ref="BS467:BS467">IF(MAX(IF(DATOS_[id]=DATOS_[[#This Row],[id]],DATOS_[F.fin.cal]))=DATOS_[[#This Row],[F.fin.cal]],"Sí","NO")</f>
        <v>Sí</v>
      </c>
      <c r="BT467" s="137" t="str">
        <f aca="false">IF(AND(DATOS_[[#This Row],[% normaliz]]&lt;&gt;1,DATOS_[[#This Row],[% anualiz]]=1),"Sí","NO")</f>
        <v>Sí</v>
      </c>
      <c r="BU467" s="137" t="str">
        <f aca="false">IF(AND(DATOS_[[#This Row],[% normaliz]]=1,DATOS_[[#This Row],[% anualiz]]&lt;&gt;1),"Sí","NO")</f>
        <v>NO</v>
      </c>
      <c r="BV467" s="137" t="str">
        <f aca="false">IF(AND(DATOS_[[#This Row],[% normaliz]]&lt;&gt;1,DATOS_[[#This Row],[% anualiz]]&lt;&gt;1),"Sí","NO")</f>
        <v>NO</v>
      </c>
      <c r="BW467" s="137" t="str">
        <f aca="false">+IF(DATOS_[[#This Row],[% normaliz]]*DATOS_[[#This Row],[% anualiz]]=1,"NO","Sí")</f>
        <v>Sí</v>
      </c>
      <c r="BX467" s="138" t="e">
        <f aca="false">(DATOS_[[#This Row],[S.BASE]]*(1/DATOS_[[#This Row],[% normaliz]])*(1/DATOS_[[#This Row],[% anualiz]]))*IF(DATOS_[[#This Row],[Check Equiparado]]="Sí",1,0)</f>
        <v>#DIV/0!</v>
      </c>
      <c r="BY4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7" s="138" t="e">
        <f aca="false">+DATOS_[[#This Row],[SALARIO BASE Eq]]+DATOS_[[#This Row],[Tot COMPL.SAL Eq]]</f>
        <v>#DIV/0!</v>
      </c>
      <c r="CA467" s="138" t="e">
        <f aca="false" t="array" ref="CA467:CA4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7" s="138" t="e">
        <f aca="false">+DATOS_[[#This Row],[TOTAL SALARIO Eq]]+DATOS_[[#This Row],[Tot Extrasalarial Eq]]</f>
        <v>#DIV/0!</v>
      </c>
      <c r="CC467" s="139" t="n">
        <f aca="false">DATOS_[[#This Row],[S.BASE]]</f>
        <v>0</v>
      </c>
      <c r="CD467" s="139" t="n">
        <f aca="false">+SUM(DATOS_[[#This Row],[Conc.Sal.01]:[Conc.Sal.30]])</f>
        <v>0</v>
      </c>
      <c r="CE467" s="139" t="n">
        <f aca="false">+DATOS_[[#This Row],[SALARIO BASE Ef]]+DATOS_[[#This Row],[Tot COMPL.SAL Ef]]</f>
        <v>0</v>
      </c>
      <c r="CF467" s="139" t="n">
        <f aca="false">+SUM(DATOS_[[#This Row],[C.Extra.01]:[C.Extra.05]])</f>
        <v>0</v>
      </c>
      <c r="CG467" s="139" t="n">
        <f aca="false">+DATOS_[[#This Row],[TOTAL SALARIO Ef]]+DATOS_[[#This Row],[Tot Extrasalarial Ef]]</f>
        <v>0</v>
      </c>
      <c r="CH467" s="140" t="n">
        <f aca="false">MIN(IF(DATOS_[[#This Row],[Fecha Fin Contrato]]="",$D$4,DATOS_[[#This Row],[Fecha Fin Contrato]]),$D$4)-MAX(DATOS_[[#This Row],[Fecha de Contratación]],$D$3)+1</f>
        <v>1</v>
      </c>
      <c r="CI467" s="141" t="str">
        <f aca="false">IF(COUNTIFS(DATOS_[id],DATOS_[[#This Row],[id]])&gt;1,DATOS_[[#This Row],[id]],"")</f>
        <v/>
      </c>
      <c r="CJ467" s="141" t="n">
        <f aca="false">(Inicio!$G$10-DATOS_[[#This Row],[Fecha Nacimiento]])/365.25</f>
        <v>0</v>
      </c>
      <c r="CK467" s="141" t="n">
        <f aca="false">(Inicio!$G$10-DATOS_[[#This Row],[Fecha de Antigüedad]])/365.25</f>
        <v>0</v>
      </c>
      <c r="CL467" s="141" t="e">
        <f aca="false">+VLOOKUP(DATOS_[[#This Row],[Clave de Contrato]],TblTiposContrato13[],3,0)</f>
        <v>#N/A</v>
      </c>
      <c r="CM467" s="141" t="e">
        <f aca="false">+VLOOKUP(DATOS_[[#This Row],[Clave de Contrato]],TblTiposContrato13[],4,0)</f>
        <v>#N/A</v>
      </c>
      <c r="CN467" s="141" t="str">
        <f aca="false">VLOOKUP(DATOS_[[#This Row],[Edad]],CONTRATOS!TblRngEdad,2,1)</f>
        <v>20  o menos</v>
      </c>
      <c r="CO467" s="141" t="str">
        <f aca="false">VLOOKUP(DATOS_[[#This Row],[Antigüedad]],TblRngAntg14[],2,1)</f>
        <v>0 a 1 años</v>
      </c>
    </row>
    <row r="468" customFormat="false" ht="13.8" hidden="false" customHeight="false" outlineLevel="0" collapsed="false">
      <c r="D468" s="128"/>
      <c r="E468" s="129"/>
      <c r="F468" s="129"/>
      <c r="G468" s="129"/>
      <c r="H468" s="130"/>
      <c r="I468" s="131"/>
      <c r="J468" s="128"/>
      <c r="K468" s="132"/>
      <c r="L468" s="132"/>
      <c r="M468" s="133"/>
      <c r="N468" s="133"/>
      <c r="O468" s="133"/>
      <c r="P468" s="129"/>
      <c r="Z468" s="75"/>
      <c r="AA468" s="76"/>
      <c r="AB468" s="76"/>
      <c r="AC468" s="129"/>
      <c r="AD468" s="134"/>
      <c r="AE468" s="134"/>
      <c r="AF468" s="134"/>
      <c r="AG468" s="134"/>
      <c r="AH468" s="134"/>
      <c r="AI468" s="134"/>
      <c r="AJ468" s="134"/>
      <c r="AK468" s="134"/>
      <c r="AL468" s="134"/>
      <c r="AM468" s="134"/>
      <c r="AN468" s="134"/>
      <c r="AO468" s="134"/>
      <c r="AP468" s="134"/>
      <c r="AQ468" s="134"/>
      <c r="AR468" s="134"/>
      <c r="AS468" s="134"/>
      <c r="AT468" s="134"/>
      <c r="AU468" s="134"/>
      <c r="AV468" s="134"/>
      <c r="AW468" s="134"/>
      <c r="AX468" s="134"/>
      <c r="AY468" s="134"/>
      <c r="AZ468" s="134"/>
      <c r="BA468" s="134"/>
      <c r="BB468" s="134"/>
      <c r="BC468" s="134"/>
      <c r="BD468" s="134"/>
      <c r="BE468" s="134"/>
      <c r="BF468" s="134"/>
      <c r="BG468" s="134"/>
      <c r="BH468" s="134"/>
      <c r="BI468" s="134"/>
      <c r="BJ468" s="134"/>
      <c r="BK468" s="134"/>
      <c r="BL468" s="134"/>
      <c r="BM468" s="135"/>
      <c r="BN468" s="136" t="n">
        <f aca="false">+MAX($D$3,DATOS_[[#This Row],[Fecha Inicio Sit. Contract.]])</f>
        <v>0</v>
      </c>
      <c r="BO468" s="136" t="n">
        <f aca="false">+MIN($D$4,DATOS_[[#This Row],[Fecha Fin Sit. Contract.]])</f>
        <v>0</v>
      </c>
      <c r="BP468" s="137" t="n">
        <f aca="false">+DATOS_[[#This Row],[% de jornada]]*IF(DATOS_[[#This Row],[% jornada reducida]]="",1,DATOS_[[#This Row],[% jornada reducida]])</f>
        <v>0</v>
      </c>
      <c r="BQ468" s="137" t="n">
        <f aca="false">+(DATOS_[[#This Row],[F.fin.cal]]-DATOS_[[#This Row],[F.ini.cal]]+1)/($D$4-$D$3+1)</f>
        <v>1</v>
      </c>
      <c r="BR468" s="137" t="str">
        <f aca="false">IF(OR(AND(DATOS_[[#This Row],[Fecha Fin Contrato]]&lt;$D$3,DATOS_[[#This Row],[Fecha Fin Contrato]]&lt;&gt;""),DATOS_[[#This Row],[Fecha de Contratación]]&gt;$D$4),"Fuera","Dentro")</f>
        <v>Dentro</v>
      </c>
      <c r="BS468" s="137" t="str">
        <f aca="false" t="array" ref="BS468:BS468">IF(MAX(IF(DATOS_[id]=DATOS_[[#This Row],[id]],DATOS_[F.fin.cal]))=DATOS_[[#This Row],[F.fin.cal]],"Sí","NO")</f>
        <v>Sí</v>
      </c>
      <c r="BT468" s="137" t="str">
        <f aca="false">IF(AND(DATOS_[[#This Row],[% normaliz]]&lt;&gt;1,DATOS_[[#This Row],[% anualiz]]=1),"Sí","NO")</f>
        <v>Sí</v>
      </c>
      <c r="BU468" s="137" t="str">
        <f aca="false">IF(AND(DATOS_[[#This Row],[% normaliz]]=1,DATOS_[[#This Row],[% anualiz]]&lt;&gt;1),"Sí","NO")</f>
        <v>NO</v>
      </c>
      <c r="BV468" s="137" t="str">
        <f aca="false">IF(AND(DATOS_[[#This Row],[% normaliz]]&lt;&gt;1,DATOS_[[#This Row],[% anualiz]]&lt;&gt;1),"Sí","NO")</f>
        <v>NO</v>
      </c>
      <c r="BW468" s="137" t="str">
        <f aca="false">+IF(DATOS_[[#This Row],[% normaliz]]*DATOS_[[#This Row],[% anualiz]]=1,"NO","Sí")</f>
        <v>Sí</v>
      </c>
      <c r="BX468" s="138" t="e">
        <f aca="false">(DATOS_[[#This Row],[S.BASE]]*(1/DATOS_[[#This Row],[% normaliz]])*(1/DATOS_[[#This Row],[% anualiz]]))*IF(DATOS_[[#This Row],[Check Equiparado]]="Sí",1,0)</f>
        <v>#DIV/0!</v>
      </c>
      <c r="BY4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8" s="138" t="e">
        <f aca="false">+DATOS_[[#This Row],[SALARIO BASE Eq]]+DATOS_[[#This Row],[Tot COMPL.SAL Eq]]</f>
        <v>#DIV/0!</v>
      </c>
      <c r="CA468" s="138" t="e">
        <f aca="false" t="array" ref="CA468:CA4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8" s="138" t="e">
        <f aca="false">+DATOS_[[#This Row],[TOTAL SALARIO Eq]]+DATOS_[[#This Row],[Tot Extrasalarial Eq]]</f>
        <v>#DIV/0!</v>
      </c>
      <c r="CC468" s="139" t="n">
        <f aca="false">DATOS_[[#This Row],[S.BASE]]</f>
        <v>0</v>
      </c>
      <c r="CD468" s="139" t="n">
        <f aca="false">+SUM(DATOS_[[#This Row],[Conc.Sal.01]:[Conc.Sal.30]])</f>
        <v>0</v>
      </c>
      <c r="CE468" s="139" t="n">
        <f aca="false">+DATOS_[[#This Row],[SALARIO BASE Ef]]+DATOS_[[#This Row],[Tot COMPL.SAL Ef]]</f>
        <v>0</v>
      </c>
      <c r="CF468" s="139" t="n">
        <f aca="false">+SUM(DATOS_[[#This Row],[C.Extra.01]:[C.Extra.05]])</f>
        <v>0</v>
      </c>
      <c r="CG468" s="139" t="n">
        <f aca="false">+DATOS_[[#This Row],[TOTAL SALARIO Ef]]+DATOS_[[#This Row],[Tot Extrasalarial Ef]]</f>
        <v>0</v>
      </c>
      <c r="CH468" s="140" t="n">
        <f aca="false">MIN(IF(DATOS_[[#This Row],[Fecha Fin Contrato]]="",$D$4,DATOS_[[#This Row],[Fecha Fin Contrato]]),$D$4)-MAX(DATOS_[[#This Row],[Fecha de Contratación]],$D$3)+1</f>
        <v>1</v>
      </c>
      <c r="CI468" s="141" t="str">
        <f aca="false">IF(COUNTIFS(DATOS_[id],DATOS_[[#This Row],[id]])&gt;1,DATOS_[[#This Row],[id]],"")</f>
        <v/>
      </c>
      <c r="CJ468" s="141" t="n">
        <f aca="false">(Inicio!$G$10-DATOS_[[#This Row],[Fecha Nacimiento]])/365.25</f>
        <v>0</v>
      </c>
      <c r="CK468" s="141" t="n">
        <f aca="false">(Inicio!$G$10-DATOS_[[#This Row],[Fecha de Antigüedad]])/365.25</f>
        <v>0</v>
      </c>
      <c r="CL468" s="141" t="e">
        <f aca="false">+VLOOKUP(DATOS_[[#This Row],[Clave de Contrato]],TblTiposContrato13[],3,0)</f>
        <v>#N/A</v>
      </c>
      <c r="CM468" s="141" t="e">
        <f aca="false">+VLOOKUP(DATOS_[[#This Row],[Clave de Contrato]],TblTiposContrato13[],4,0)</f>
        <v>#N/A</v>
      </c>
      <c r="CN468" s="141" t="str">
        <f aca="false">VLOOKUP(DATOS_[[#This Row],[Edad]],CONTRATOS!TblRngEdad,2,1)</f>
        <v>20  o menos</v>
      </c>
      <c r="CO468" s="141" t="str">
        <f aca="false">VLOOKUP(DATOS_[[#This Row],[Antigüedad]],TblRngAntg14[],2,1)</f>
        <v>0 a 1 años</v>
      </c>
    </row>
    <row r="469" customFormat="false" ht="13.8" hidden="false" customHeight="false" outlineLevel="0" collapsed="false">
      <c r="D469" s="128"/>
      <c r="E469" s="129"/>
      <c r="F469" s="129"/>
      <c r="G469" s="129"/>
      <c r="H469" s="130"/>
      <c r="I469" s="131"/>
      <c r="J469" s="128"/>
      <c r="K469" s="132"/>
      <c r="L469" s="132"/>
      <c r="M469" s="133"/>
      <c r="N469" s="133"/>
      <c r="O469" s="133"/>
      <c r="P469" s="129"/>
      <c r="Z469" s="75"/>
      <c r="AA469" s="76"/>
      <c r="AB469" s="76"/>
      <c r="AC469" s="129"/>
      <c r="AD469" s="134"/>
      <c r="AE469" s="134"/>
      <c r="AF469" s="134"/>
      <c r="AG469" s="134"/>
      <c r="AH469" s="134"/>
      <c r="AI469" s="134"/>
      <c r="AJ469" s="134"/>
      <c r="AK469" s="134"/>
      <c r="AL469" s="134"/>
      <c r="AM469" s="134"/>
      <c r="AN469" s="134"/>
      <c r="AO469" s="134"/>
      <c r="AP469" s="134"/>
      <c r="AQ469" s="134"/>
      <c r="AR469" s="134"/>
      <c r="AS469" s="134"/>
      <c r="AT469" s="134"/>
      <c r="AU469" s="134"/>
      <c r="AV469" s="134"/>
      <c r="AW469" s="134"/>
      <c r="AX469" s="134"/>
      <c r="AY469" s="134"/>
      <c r="AZ469" s="134"/>
      <c r="BA469" s="134"/>
      <c r="BB469" s="134"/>
      <c r="BC469" s="134"/>
      <c r="BD469" s="134"/>
      <c r="BE469" s="134"/>
      <c r="BF469" s="134"/>
      <c r="BG469" s="134"/>
      <c r="BH469" s="134"/>
      <c r="BI469" s="134"/>
      <c r="BJ469" s="134"/>
      <c r="BK469" s="134"/>
      <c r="BL469" s="134"/>
      <c r="BM469" s="135"/>
      <c r="BN469" s="136" t="n">
        <f aca="false">+MAX($D$3,DATOS_[[#This Row],[Fecha Inicio Sit. Contract.]])</f>
        <v>0</v>
      </c>
      <c r="BO469" s="136" t="n">
        <f aca="false">+MIN($D$4,DATOS_[[#This Row],[Fecha Fin Sit. Contract.]])</f>
        <v>0</v>
      </c>
      <c r="BP469" s="137" t="n">
        <f aca="false">+DATOS_[[#This Row],[% de jornada]]*IF(DATOS_[[#This Row],[% jornada reducida]]="",1,DATOS_[[#This Row],[% jornada reducida]])</f>
        <v>0</v>
      </c>
      <c r="BQ469" s="137" t="n">
        <f aca="false">+(DATOS_[[#This Row],[F.fin.cal]]-DATOS_[[#This Row],[F.ini.cal]]+1)/($D$4-$D$3+1)</f>
        <v>1</v>
      </c>
      <c r="BR469" s="137" t="str">
        <f aca="false">IF(OR(AND(DATOS_[[#This Row],[Fecha Fin Contrato]]&lt;$D$3,DATOS_[[#This Row],[Fecha Fin Contrato]]&lt;&gt;""),DATOS_[[#This Row],[Fecha de Contratación]]&gt;$D$4),"Fuera","Dentro")</f>
        <v>Dentro</v>
      </c>
      <c r="BS469" s="137" t="str">
        <f aca="false" t="array" ref="BS469:BS469">IF(MAX(IF(DATOS_[id]=DATOS_[[#This Row],[id]],DATOS_[F.fin.cal]))=DATOS_[[#This Row],[F.fin.cal]],"Sí","NO")</f>
        <v>Sí</v>
      </c>
      <c r="BT469" s="137" t="str">
        <f aca="false">IF(AND(DATOS_[[#This Row],[% normaliz]]&lt;&gt;1,DATOS_[[#This Row],[% anualiz]]=1),"Sí","NO")</f>
        <v>Sí</v>
      </c>
      <c r="BU469" s="137" t="str">
        <f aca="false">IF(AND(DATOS_[[#This Row],[% normaliz]]=1,DATOS_[[#This Row],[% anualiz]]&lt;&gt;1),"Sí","NO")</f>
        <v>NO</v>
      </c>
      <c r="BV469" s="137" t="str">
        <f aca="false">IF(AND(DATOS_[[#This Row],[% normaliz]]&lt;&gt;1,DATOS_[[#This Row],[% anualiz]]&lt;&gt;1),"Sí","NO")</f>
        <v>NO</v>
      </c>
      <c r="BW469" s="137" t="str">
        <f aca="false">+IF(DATOS_[[#This Row],[% normaliz]]*DATOS_[[#This Row],[% anualiz]]=1,"NO","Sí")</f>
        <v>Sí</v>
      </c>
      <c r="BX469" s="138" t="e">
        <f aca="false">(DATOS_[[#This Row],[S.BASE]]*(1/DATOS_[[#This Row],[% normaliz]])*(1/DATOS_[[#This Row],[% anualiz]]))*IF(DATOS_[[#This Row],[Check Equiparado]]="Sí",1,0)</f>
        <v>#DIV/0!</v>
      </c>
      <c r="BY4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9" s="138" t="e">
        <f aca="false">+DATOS_[[#This Row],[SALARIO BASE Eq]]+DATOS_[[#This Row],[Tot COMPL.SAL Eq]]</f>
        <v>#DIV/0!</v>
      </c>
      <c r="CA469" s="138" t="e">
        <f aca="false" t="array" ref="CA469:CA4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9" s="138" t="e">
        <f aca="false">+DATOS_[[#This Row],[TOTAL SALARIO Eq]]+DATOS_[[#This Row],[Tot Extrasalarial Eq]]</f>
        <v>#DIV/0!</v>
      </c>
      <c r="CC469" s="139" t="n">
        <f aca="false">DATOS_[[#This Row],[S.BASE]]</f>
        <v>0</v>
      </c>
      <c r="CD469" s="139" t="n">
        <f aca="false">+SUM(DATOS_[[#This Row],[Conc.Sal.01]:[Conc.Sal.30]])</f>
        <v>0</v>
      </c>
      <c r="CE469" s="139" t="n">
        <f aca="false">+DATOS_[[#This Row],[SALARIO BASE Ef]]+DATOS_[[#This Row],[Tot COMPL.SAL Ef]]</f>
        <v>0</v>
      </c>
      <c r="CF469" s="139" t="n">
        <f aca="false">+SUM(DATOS_[[#This Row],[C.Extra.01]:[C.Extra.05]])</f>
        <v>0</v>
      </c>
      <c r="CG469" s="139" t="n">
        <f aca="false">+DATOS_[[#This Row],[TOTAL SALARIO Ef]]+DATOS_[[#This Row],[Tot Extrasalarial Ef]]</f>
        <v>0</v>
      </c>
      <c r="CH469" s="140" t="n">
        <f aca="false">MIN(IF(DATOS_[[#This Row],[Fecha Fin Contrato]]="",$D$4,DATOS_[[#This Row],[Fecha Fin Contrato]]),$D$4)-MAX(DATOS_[[#This Row],[Fecha de Contratación]],$D$3)+1</f>
        <v>1</v>
      </c>
      <c r="CI469" s="141" t="str">
        <f aca="false">IF(COUNTIFS(DATOS_[id],DATOS_[[#This Row],[id]])&gt;1,DATOS_[[#This Row],[id]],"")</f>
        <v/>
      </c>
      <c r="CJ469" s="141" t="n">
        <f aca="false">(Inicio!$G$10-DATOS_[[#This Row],[Fecha Nacimiento]])/365.25</f>
        <v>0</v>
      </c>
      <c r="CK469" s="141" t="n">
        <f aca="false">(Inicio!$G$10-DATOS_[[#This Row],[Fecha de Antigüedad]])/365.25</f>
        <v>0</v>
      </c>
      <c r="CL469" s="141" t="e">
        <f aca="false">+VLOOKUP(DATOS_[[#This Row],[Clave de Contrato]],TblTiposContrato13[],3,0)</f>
        <v>#N/A</v>
      </c>
      <c r="CM469" s="141" t="e">
        <f aca="false">+VLOOKUP(DATOS_[[#This Row],[Clave de Contrato]],TblTiposContrato13[],4,0)</f>
        <v>#N/A</v>
      </c>
      <c r="CN469" s="141" t="str">
        <f aca="false">VLOOKUP(DATOS_[[#This Row],[Edad]],CONTRATOS!TblRngEdad,2,1)</f>
        <v>20  o menos</v>
      </c>
      <c r="CO469" s="141" t="str">
        <f aca="false">VLOOKUP(DATOS_[[#This Row],[Antigüedad]],TblRngAntg14[],2,1)</f>
        <v>0 a 1 años</v>
      </c>
    </row>
    <row r="470" customFormat="false" ht="13.8" hidden="false" customHeight="false" outlineLevel="0" collapsed="false">
      <c r="D470" s="128"/>
      <c r="E470" s="129"/>
      <c r="F470" s="129"/>
      <c r="G470" s="129"/>
      <c r="H470" s="130"/>
      <c r="I470" s="131"/>
      <c r="J470" s="128"/>
      <c r="K470" s="132"/>
      <c r="L470" s="132"/>
      <c r="M470" s="133"/>
      <c r="N470" s="133"/>
      <c r="O470" s="133"/>
      <c r="P470" s="129"/>
      <c r="Z470" s="75"/>
      <c r="AA470" s="76"/>
      <c r="AB470" s="76"/>
      <c r="AC470" s="129"/>
      <c r="AD470" s="134"/>
      <c r="AE470" s="134"/>
      <c r="AF470" s="134"/>
      <c r="AG470" s="134"/>
      <c r="AH470" s="134"/>
      <c r="AI470" s="134"/>
      <c r="AJ470" s="134"/>
      <c r="AK470" s="134"/>
      <c r="AL470" s="134"/>
      <c r="AM470" s="134"/>
      <c r="AN470" s="134"/>
      <c r="AO470" s="134"/>
      <c r="AP470" s="134"/>
      <c r="AQ470" s="134"/>
      <c r="AR470" s="134"/>
      <c r="AS470" s="134"/>
      <c r="AT470" s="134"/>
      <c r="AU470" s="134"/>
      <c r="AV470" s="134"/>
      <c r="AW470" s="134"/>
      <c r="AX470" s="134"/>
      <c r="AY470" s="134"/>
      <c r="AZ470" s="134"/>
      <c r="BA470" s="134"/>
      <c r="BB470" s="134"/>
      <c r="BC470" s="134"/>
      <c r="BD470" s="134"/>
      <c r="BE470" s="134"/>
      <c r="BF470" s="134"/>
      <c r="BG470" s="134"/>
      <c r="BH470" s="134"/>
      <c r="BI470" s="134"/>
      <c r="BJ470" s="134"/>
      <c r="BK470" s="134"/>
      <c r="BL470" s="134"/>
      <c r="BM470" s="135"/>
      <c r="BN470" s="136" t="n">
        <f aca="false">+MAX($D$3,DATOS_[[#This Row],[Fecha Inicio Sit. Contract.]])</f>
        <v>0</v>
      </c>
      <c r="BO470" s="136" t="n">
        <f aca="false">+MIN($D$4,DATOS_[[#This Row],[Fecha Fin Sit. Contract.]])</f>
        <v>0</v>
      </c>
      <c r="BP470" s="137" t="n">
        <f aca="false">+DATOS_[[#This Row],[% de jornada]]*IF(DATOS_[[#This Row],[% jornada reducida]]="",1,DATOS_[[#This Row],[% jornada reducida]])</f>
        <v>0</v>
      </c>
      <c r="BQ470" s="137" t="n">
        <f aca="false">+(DATOS_[[#This Row],[F.fin.cal]]-DATOS_[[#This Row],[F.ini.cal]]+1)/($D$4-$D$3+1)</f>
        <v>1</v>
      </c>
      <c r="BR470" s="137" t="str">
        <f aca="false">IF(OR(AND(DATOS_[[#This Row],[Fecha Fin Contrato]]&lt;$D$3,DATOS_[[#This Row],[Fecha Fin Contrato]]&lt;&gt;""),DATOS_[[#This Row],[Fecha de Contratación]]&gt;$D$4),"Fuera","Dentro")</f>
        <v>Dentro</v>
      </c>
      <c r="BS470" s="137" t="str">
        <f aca="false" t="array" ref="BS470:BS470">IF(MAX(IF(DATOS_[id]=DATOS_[[#This Row],[id]],DATOS_[F.fin.cal]))=DATOS_[[#This Row],[F.fin.cal]],"Sí","NO")</f>
        <v>Sí</v>
      </c>
      <c r="BT470" s="137" t="str">
        <f aca="false">IF(AND(DATOS_[[#This Row],[% normaliz]]&lt;&gt;1,DATOS_[[#This Row],[% anualiz]]=1),"Sí","NO")</f>
        <v>Sí</v>
      </c>
      <c r="BU470" s="137" t="str">
        <f aca="false">IF(AND(DATOS_[[#This Row],[% normaliz]]=1,DATOS_[[#This Row],[% anualiz]]&lt;&gt;1),"Sí","NO")</f>
        <v>NO</v>
      </c>
      <c r="BV470" s="137" t="str">
        <f aca="false">IF(AND(DATOS_[[#This Row],[% normaliz]]&lt;&gt;1,DATOS_[[#This Row],[% anualiz]]&lt;&gt;1),"Sí","NO")</f>
        <v>NO</v>
      </c>
      <c r="BW470" s="137" t="str">
        <f aca="false">+IF(DATOS_[[#This Row],[% normaliz]]*DATOS_[[#This Row],[% anualiz]]=1,"NO","Sí")</f>
        <v>Sí</v>
      </c>
      <c r="BX470" s="138" t="e">
        <f aca="false">(DATOS_[[#This Row],[S.BASE]]*(1/DATOS_[[#This Row],[% normaliz]])*(1/DATOS_[[#This Row],[% anualiz]]))*IF(DATOS_[[#This Row],[Check Equiparado]]="Sí",1,0)</f>
        <v>#DIV/0!</v>
      </c>
      <c r="BY4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0" s="138" t="e">
        <f aca="false">+DATOS_[[#This Row],[SALARIO BASE Eq]]+DATOS_[[#This Row],[Tot COMPL.SAL Eq]]</f>
        <v>#DIV/0!</v>
      </c>
      <c r="CA470" s="138" t="e">
        <f aca="false" t="array" ref="CA470:CA4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0" s="138" t="e">
        <f aca="false">+DATOS_[[#This Row],[TOTAL SALARIO Eq]]+DATOS_[[#This Row],[Tot Extrasalarial Eq]]</f>
        <v>#DIV/0!</v>
      </c>
      <c r="CC470" s="139" t="n">
        <f aca="false">DATOS_[[#This Row],[S.BASE]]</f>
        <v>0</v>
      </c>
      <c r="CD470" s="139" t="n">
        <f aca="false">+SUM(DATOS_[[#This Row],[Conc.Sal.01]:[Conc.Sal.30]])</f>
        <v>0</v>
      </c>
      <c r="CE470" s="139" t="n">
        <f aca="false">+DATOS_[[#This Row],[SALARIO BASE Ef]]+DATOS_[[#This Row],[Tot COMPL.SAL Ef]]</f>
        <v>0</v>
      </c>
      <c r="CF470" s="139" t="n">
        <f aca="false">+SUM(DATOS_[[#This Row],[C.Extra.01]:[C.Extra.05]])</f>
        <v>0</v>
      </c>
      <c r="CG470" s="139" t="n">
        <f aca="false">+DATOS_[[#This Row],[TOTAL SALARIO Ef]]+DATOS_[[#This Row],[Tot Extrasalarial Ef]]</f>
        <v>0</v>
      </c>
      <c r="CH470" s="140" t="n">
        <f aca="false">MIN(IF(DATOS_[[#This Row],[Fecha Fin Contrato]]="",$D$4,DATOS_[[#This Row],[Fecha Fin Contrato]]),$D$4)-MAX(DATOS_[[#This Row],[Fecha de Contratación]],$D$3)+1</f>
        <v>1</v>
      </c>
      <c r="CI470" s="141" t="str">
        <f aca="false">IF(COUNTIFS(DATOS_[id],DATOS_[[#This Row],[id]])&gt;1,DATOS_[[#This Row],[id]],"")</f>
        <v/>
      </c>
      <c r="CJ470" s="141" t="n">
        <f aca="false">(Inicio!$G$10-DATOS_[[#This Row],[Fecha Nacimiento]])/365.25</f>
        <v>0</v>
      </c>
      <c r="CK470" s="141" t="n">
        <f aca="false">(Inicio!$G$10-DATOS_[[#This Row],[Fecha de Antigüedad]])/365.25</f>
        <v>0</v>
      </c>
      <c r="CL470" s="141" t="e">
        <f aca="false">+VLOOKUP(DATOS_[[#This Row],[Clave de Contrato]],TblTiposContrato13[],3,0)</f>
        <v>#N/A</v>
      </c>
      <c r="CM470" s="141" t="e">
        <f aca="false">+VLOOKUP(DATOS_[[#This Row],[Clave de Contrato]],TblTiposContrato13[],4,0)</f>
        <v>#N/A</v>
      </c>
      <c r="CN470" s="141" t="str">
        <f aca="false">VLOOKUP(DATOS_[[#This Row],[Edad]],CONTRATOS!TblRngEdad,2,1)</f>
        <v>20  o menos</v>
      </c>
      <c r="CO470" s="141" t="str">
        <f aca="false">VLOOKUP(DATOS_[[#This Row],[Antigüedad]],TblRngAntg14[],2,1)</f>
        <v>0 a 1 años</v>
      </c>
    </row>
    <row r="471" customFormat="false" ht="13.8" hidden="false" customHeight="false" outlineLevel="0" collapsed="false">
      <c r="D471" s="128"/>
      <c r="E471" s="129"/>
      <c r="F471" s="129"/>
      <c r="G471" s="129"/>
      <c r="H471" s="130"/>
      <c r="I471" s="131"/>
      <c r="J471" s="128"/>
      <c r="K471" s="132"/>
      <c r="L471" s="132"/>
      <c r="M471" s="133"/>
      <c r="N471" s="133"/>
      <c r="O471" s="133"/>
      <c r="P471" s="129"/>
      <c r="Z471" s="75"/>
      <c r="AA471" s="76"/>
      <c r="AB471" s="76"/>
      <c r="AC471" s="129"/>
      <c r="AD471" s="134"/>
      <c r="AE471" s="134"/>
      <c r="AF471" s="134"/>
      <c r="AG471" s="134"/>
      <c r="AH471" s="134"/>
      <c r="AI471" s="134"/>
      <c r="AJ471" s="134"/>
      <c r="AK471" s="134"/>
      <c r="AL471" s="134"/>
      <c r="AM471" s="134"/>
      <c r="AN471" s="134"/>
      <c r="AO471" s="134"/>
      <c r="AP471" s="134"/>
      <c r="AQ471" s="134"/>
      <c r="AR471" s="134"/>
      <c r="AS471" s="134"/>
      <c r="AT471" s="134"/>
      <c r="AU471" s="134"/>
      <c r="AV471" s="134"/>
      <c r="AW471" s="134"/>
      <c r="AX471" s="134"/>
      <c r="AY471" s="134"/>
      <c r="AZ471" s="134"/>
      <c r="BA471" s="134"/>
      <c r="BB471" s="134"/>
      <c r="BC471" s="134"/>
      <c r="BD471" s="134"/>
      <c r="BE471" s="134"/>
      <c r="BF471" s="134"/>
      <c r="BG471" s="134"/>
      <c r="BH471" s="134"/>
      <c r="BI471" s="134"/>
      <c r="BJ471" s="134"/>
      <c r="BK471" s="134"/>
      <c r="BL471" s="134"/>
      <c r="BM471" s="135"/>
      <c r="BN471" s="136" t="n">
        <f aca="false">+MAX($D$3,DATOS_[[#This Row],[Fecha Inicio Sit. Contract.]])</f>
        <v>0</v>
      </c>
      <c r="BO471" s="136" t="n">
        <f aca="false">+MIN($D$4,DATOS_[[#This Row],[Fecha Fin Sit. Contract.]])</f>
        <v>0</v>
      </c>
      <c r="BP471" s="137" t="n">
        <f aca="false">+DATOS_[[#This Row],[% de jornada]]*IF(DATOS_[[#This Row],[% jornada reducida]]="",1,DATOS_[[#This Row],[% jornada reducida]])</f>
        <v>0</v>
      </c>
      <c r="BQ471" s="137" t="n">
        <f aca="false">+(DATOS_[[#This Row],[F.fin.cal]]-DATOS_[[#This Row],[F.ini.cal]]+1)/($D$4-$D$3+1)</f>
        <v>1</v>
      </c>
      <c r="BR471" s="137" t="str">
        <f aca="false">IF(OR(AND(DATOS_[[#This Row],[Fecha Fin Contrato]]&lt;$D$3,DATOS_[[#This Row],[Fecha Fin Contrato]]&lt;&gt;""),DATOS_[[#This Row],[Fecha de Contratación]]&gt;$D$4),"Fuera","Dentro")</f>
        <v>Dentro</v>
      </c>
      <c r="BS471" s="137" t="str">
        <f aca="false" t="array" ref="BS471:BS471">IF(MAX(IF(DATOS_[id]=DATOS_[[#This Row],[id]],DATOS_[F.fin.cal]))=DATOS_[[#This Row],[F.fin.cal]],"Sí","NO")</f>
        <v>Sí</v>
      </c>
      <c r="BT471" s="137" t="str">
        <f aca="false">IF(AND(DATOS_[[#This Row],[% normaliz]]&lt;&gt;1,DATOS_[[#This Row],[% anualiz]]=1),"Sí","NO")</f>
        <v>Sí</v>
      </c>
      <c r="BU471" s="137" t="str">
        <f aca="false">IF(AND(DATOS_[[#This Row],[% normaliz]]=1,DATOS_[[#This Row],[% anualiz]]&lt;&gt;1),"Sí","NO")</f>
        <v>NO</v>
      </c>
      <c r="BV471" s="137" t="str">
        <f aca="false">IF(AND(DATOS_[[#This Row],[% normaliz]]&lt;&gt;1,DATOS_[[#This Row],[% anualiz]]&lt;&gt;1),"Sí","NO")</f>
        <v>NO</v>
      </c>
      <c r="BW471" s="137" t="str">
        <f aca="false">+IF(DATOS_[[#This Row],[% normaliz]]*DATOS_[[#This Row],[% anualiz]]=1,"NO","Sí")</f>
        <v>Sí</v>
      </c>
      <c r="BX471" s="138" t="e">
        <f aca="false">(DATOS_[[#This Row],[S.BASE]]*(1/DATOS_[[#This Row],[% normaliz]])*(1/DATOS_[[#This Row],[% anualiz]]))*IF(DATOS_[[#This Row],[Check Equiparado]]="Sí",1,0)</f>
        <v>#DIV/0!</v>
      </c>
      <c r="BY4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1" s="138" t="e">
        <f aca="false">+DATOS_[[#This Row],[SALARIO BASE Eq]]+DATOS_[[#This Row],[Tot COMPL.SAL Eq]]</f>
        <v>#DIV/0!</v>
      </c>
      <c r="CA471" s="138" t="e">
        <f aca="false" t="array" ref="CA471:CA4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1" s="138" t="e">
        <f aca="false">+DATOS_[[#This Row],[TOTAL SALARIO Eq]]+DATOS_[[#This Row],[Tot Extrasalarial Eq]]</f>
        <v>#DIV/0!</v>
      </c>
      <c r="CC471" s="139" t="n">
        <f aca="false">DATOS_[[#This Row],[S.BASE]]</f>
        <v>0</v>
      </c>
      <c r="CD471" s="139" t="n">
        <f aca="false">+SUM(DATOS_[[#This Row],[Conc.Sal.01]:[Conc.Sal.30]])</f>
        <v>0</v>
      </c>
      <c r="CE471" s="139" t="n">
        <f aca="false">+DATOS_[[#This Row],[SALARIO BASE Ef]]+DATOS_[[#This Row],[Tot COMPL.SAL Ef]]</f>
        <v>0</v>
      </c>
      <c r="CF471" s="139" t="n">
        <f aca="false">+SUM(DATOS_[[#This Row],[C.Extra.01]:[C.Extra.05]])</f>
        <v>0</v>
      </c>
      <c r="CG471" s="139" t="n">
        <f aca="false">+DATOS_[[#This Row],[TOTAL SALARIO Ef]]+DATOS_[[#This Row],[Tot Extrasalarial Ef]]</f>
        <v>0</v>
      </c>
      <c r="CH471" s="140" t="n">
        <f aca="false">MIN(IF(DATOS_[[#This Row],[Fecha Fin Contrato]]="",$D$4,DATOS_[[#This Row],[Fecha Fin Contrato]]),$D$4)-MAX(DATOS_[[#This Row],[Fecha de Contratación]],$D$3)+1</f>
        <v>1</v>
      </c>
      <c r="CI471" s="141" t="str">
        <f aca="false">IF(COUNTIFS(DATOS_[id],DATOS_[[#This Row],[id]])&gt;1,DATOS_[[#This Row],[id]],"")</f>
        <v/>
      </c>
      <c r="CJ471" s="141" t="n">
        <f aca="false">(Inicio!$G$10-DATOS_[[#This Row],[Fecha Nacimiento]])/365.25</f>
        <v>0</v>
      </c>
      <c r="CK471" s="141" t="n">
        <f aca="false">(Inicio!$G$10-DATOS_[[#This Row],[Fecha de Antigüedad]])/365.25</f>
        <v>0</v>
      </c>
      <c r="CL471" s="141" t="e">
        <f aca="false">+VLOOKUP(DATOS_[[#This Row],[Clave de Contrato]],TblTiposContrato13[],3,0)</f>
        <v>#N/A</v>
      </c>
      <c r="CM471" s="141" t="e">
        <f aca="false">+VLOOKUP(DATOS_[[#This Row],[Clave de Contrato]],TblTiposContrato13[],4,0)</f>
        <v>#N/A</v>
      </c>
      <c r="CN471" s="141" t="str">
        <f aca="false">VLOOKUP(DATOS_[[#This Row],[Edad]],CONTRATOS!TblRngEdad,2,1)</f>
        <v>20  o menos</v>
      </c>
      <c r="CO471" s="141" t="str">
        <f aca="false">VLOOKUP(DATOS_[[#This Row],[Antigüedad]],TblRngAntg14[],2,1)</f>
        <v>0 a 1 años</v>
      </c>
    </row>
    <row r="472" customFormat="false" ht="13.8" hidden="false" customHeight="false" outlineLevel="0" collapsed="false">
      <c r="D472" s="128"/>
      <c r="E472" s="129"/>
      <c r="F472" s="129"/>
      <c r="G472" s="129"/>
      <c r="H472" s="130"/>
      <c r="I472" s="131"/>
      <c r="J472" s="128"/>
      <c r="K472" s="132"/>
      <c r="L472" s="132"/>
      <c r="M472" s="133"/>
      <c r="N472" s="133"/>
      <c r="O472" s="133"/>
      <c r="P472" s="129"/>
      <c r="Z472" s="75"/>
      <c r="AA472" s="76"/>
      <c r="AB472" s="76"/>
      <c r="AC472" s="129"/>
      <c r="AD472" s="134"/>
      <c r="AE472" s="134"/>
      <c r="AF472" s="134"/>
      <c r="AG472" s="134"/>
      <c r="AH472" s="134"/>
      <c r="AI472" s="134"/>
      <c r="AJ472" s="134"/>
      <c r="AK472" s="134"/>
      <c r="AL472" s="134"/>
      <c r="AM472" s="134"/>
      <c r="AN472" s="134"/>
      <c r="AO472" s="134"/>
      <c r="AP472" s="134"/>
      <c r="AQ472" s="134"/>
      <c r="AR472" s="134"/>
      <c r="AS472" s="134"/>
      <c r="AT472" s="134"/>
      <c r="AU472" s="134"/>
      <c r="AV472" s="134"/>
      <c r="AW472" s="134"/>
      <c r="AX472" s="134"/>
      <c r="AY472" s="134"/>
      <c r="AZ472" s="134"/>
      <c r="BA472" s="134"/>
      <c r="BB472" s="134"/>
      <c r="BC472" s="134"/>
      <c r="BD472" s="134"/>
      <c r="BE472" s="134"/>
      <c r="BF472" s="134"/>
      <c r="BG472" s="134"/>
      <c r="BH472" s="134"/>
      <c r="BI472" s="134"/>
      <c r="BJ472" s="134"/>
      <c r="BK472" s="134"/>
      <c r="BL472" s="134"/>
      <c r="BM472" s="135"/>
      <c r="BN472" s="136" t="n">
        <f aca="false">+MAX($D$3,DATOS_[[#This Row],[Fecha Inicio Sit. Contract.]])</f>
        <v>0</v>
      </c>
      <c r="BO472" s="136" t="n">
        <f aca="false">+MIN($D$4,DATOS_[[#This Row],[Fecha Fin Sit. Contract.]])</f>
        <v>0</v>
      </c>
      <c r="BP472" s="137" t="n">
        <f aca="false">+DATOS_[[#This Row],[% de jornada]]*IF(DATOS_[[#This Row],[% jornada reducida]]="",1,DATOS_[[#This Row],[% jornada reducida]])</f>
        <v>0</v>
      </c>
      <c r="BQ472" s="137" t="n">
        <f aca="false">+(DATOS_[[#This Row],[F.fin.cal]]-DATOS_[[#This Row],[F.ini.cal]]+1)/($D$4-$D$3+1)</f>
        <v>1</v>
      </c>
      <c r="BR472" s="137" t="str">
        <f aca="false">IF(OR(AND(DATOS_[[#This Row],[Fecha Fin Contrato]]&lt;$D$3,DATOS_[[#This Row],[Fecha Fin Contrato]]&lt;&gt;""),DATOS_[[#This Row],[Fecha de Contratación]]&gt;$D$4),"Fuera","Dentro")</f>
        <v>Dentro</v>
      </c>
      <c r="BS472" s="137" t="str">
        <f aca="false" t="array" ref="BS472:BS472">IF(MAX(IF(DATOS_[id]=DATOS_[[#This Row],[id]],DATOS_[F.fin.cal]))=DATOS_[[#This Row],[F.fin.cal]],"Sí","NO")</f>
        <v>Sí</v>
      </c>
      <c r="BT472" s="137" t="str">
        <f aca="false">IF(AND(DATOS_[[#This Row],[% normaliz]]&lt;&gt;1,DATOS_[[#This Row],[% anualiz]]=1),"Sí","NO")</f>
        <v>Sí</v>
      </c>
      <c r="BU472" s="137" t="str">
        <f aca="false">IF(AND(DATOS_[[#This Row],[% normaliz]]=1,DATOS_[[#This Row],[% anualiz]]&lt;&gt;1),"Sí","NO")</f>
        <v>NO</v>
      </c>
      <c r="BV472" s="137" t="str">
        <f aca="false">IF(AND(DATOS_[[#This Row],[% normaliz]]&lt;&gt;1,DATOS_[[#This Row],[% anualiz]]&lt;&gt;1),"Sí","NO")</f>
        <v>NO</v>
      </c>
      <c r="BW472" s="137" t="str">
        <f aca="false">+IF(DATOS_[[#This Row],[% normaliz]]*DATOS_[[#This Row],[% anualiz]]=1,"NO","Sí")</f>
        <v>Sí</v>
      </c>
      <c r="BX472" s="138" t="e">
        <f aca="false">(DATOS_[[#This Row],[S.BASE]]*(1/DATOS_[[#This Row],[% normaliz]])*(1/DATOS_[[#This Row],[% anualiz]]))*IF(DATOS_[[#This Row],[Check Equiparado]]="Sí",1,0)</f>
        <v>#DIV/0!</v>
      </c>
      <c r="BY4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2" s="138" t="e">
        <f aca="false">+DATOS_[[#This Row],[SALARIO BASE Eq]]+DATOS_[[#This Row],[Tot COMPL.SAL Eq]]</f>
        <v>#DIV/0!</v>
      </c>
      <c r="CA472" s="138" t="e">
        <f aca="false" t="array" ref="CA472:CA4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2" s="138" t="e">
        <f aca="false">+DATOS_[[#This Row],[TOTAL SALARIO Eq]]+DATOS_[[#This Row],[Tot Extrasalarial Eq]]</f>
        <v>#DIV/0!</v>
      </c>
      <c r="CC472" s="139" t="n">
        <f aca="false">DATOS_[[#This Row],[S.BASE]]</f>
        <v>0</v>
      </c>
      <c r="CD472" s="139" t="n">
        <f aca="false">+SUM(DATOS_[[#This Row],[Conc.Sal.01]:[Conc.Sal.30]])</f>
        <v>0</v>
      </c>
      <c r="CE472" s="139" t="n">
        <f aca="false">+DATOS_[[#This Row],[SALARIO BASE Ef]]+DATOS_[[#This Row],[Tot COMPL.SAL Ef]]</f>
        <v>0</v>
      </c>
      <c r="CF472" s="139" t="n">
        <f aca="false">+SUM(DATOS_[[#This Row],[C.Extra.01]:[C.Extra.05]])</f>
        <v>0</v>
      </c>
      <c r="CG472" s="139" t="n">
        <f aca="false">+DATOS_[[#This Row],[TOTAL SALARIO Ef]]+DATOS_[[#This Row],[Tot Extrasalarial Ef]]</f>
        <v>0</v>
      </c>
      <c r="CH472" s="140" t="n">
        <f aca="false">MIN(IF(DATOS_[[#This Row],[Fecha Fin Contrato]]="",$D$4,DATOS_[[#This Row],[Fecha Fin Contrato]]),$D$4)-MAX(DATOS_[[#This Row],[Fecha de Contratación]],$D$3)+1</f>
        <v>1</v>
      </c>
      <c r="CI472" s="141" t="str">
        <f aca="false">IF(COUNTIFS(DATOS_[id],DATOS_[[#This Row],[id]])&gt;1,DATOS_[[#This Row],[id]],"")</f>
        <v/>
      </c>
      <c r="CJ472" s="141" t="n">
        <f aca="false">(Inicio!$G$10-DATOS_[[#This Row],[Fecha Nacimiento]])/365.25</f>
        <v>0</v>
      </c>
      <c r="CK472" s="141" t="n">
        <f aca="false">(Inicio!$G$10-DATOS_[[#This Row],[Fecha de Antigüedad]])/365.25</f>
        <v>0</v>
      </c>
      <c r="CL472" s="141" t="e">
        <f aca="false">+VLOOKUP(DATOS_[[#This Row],[Clave de Contrato]],TblTiposContrato13[],3,0)</f>
        <v>#N/A</v>
      </c>
      <c r="CM472" s="141" t="e">
        <f aca="false">+VLOOKUP(DATOS_[[#This Row],[Clave de Contrato]],TblTiposContrato13[],4,0)</f>
        <v>#N/A</v>
      </c>
      <c r="CN472" s="141" t="str">
        <f aca="false">VLOOKUP(DATOS_[[#This Row],[Edad]],CONTRATOS!TblRngEdad,2,1)</f>
        <v>20  o menos</v>
      </c>
      <c r="CO472" s="141" t="str">
        <f aca="false">VLOOKUP(DATOS_[[#This Row],[Antigüedad]],TblRngAntg14[],2,1)</f>
        <v>0 a 1 años</v>
      </c>
    </row>
    <row r="473" customFormat="false" ht="13.8" hidden="false" customHeight="false" outlineLevel="0" collapsed="false">
      <c r="D473" s="128"/>
      <c r="E473" s="129"/>
      <c r="F473" s="129"/>
      <c r="G473" s="129"/>
      <c r="H473" s="130"/>
      <c r="I473" s="131"/>
      <c r="J473" s="128"/>
      <c r="K473" s="132"/>
      <c r="L473" s="132"/>
      <c r="M473" s="133"/>
      <c r="N473" s="133"/>
      <c r="O473" s="133"/>
      <c r="P473" s="129"/>
      <c r="Z473" s="75"/>
      <c r="AA473" s="76"/>
      <c r="AB473" s="76"/>
      <c r="AC473" s="129"/>
      <c r="AD473" s="134"/>
      <c r="AE473" s="134"/>
      <c r="AF473" s="134"/>
      <c r="AG473" s="134"/>
      <c r="AH473" s="134"/>
      <c r="AI473" s="134"/>
      <c r="AJ473" s="134"/>
      <c r="AK473" s="134"/>
      <c r="AL473" s="134"/>
      <c r="AM473" s="134"/>
      <c r="AN473" s="134"/>
      <c r="AO473" s="134"/>
      <c r="AP473" s="134"/>
      <c r="AQ473" s="134"/>
      <c r="AR473" s="134"/>
      <c r="AS473" s="134"/>
      <c r="AT473" s="134"/>
      <c r="AU473" s="134"/>
      <c r="AV473" s="134"/>
      <c r="AW473" s="134"/>
      <c r="AX473" s="134"/>
      <c r="AY473" s="134"/>
      <c r="AZ473" s="134"/>
      <c r="BA473" s="134"/>
      <c r="BB473" s="134"/>
      <c r="BC473" s="134"/>
      <c r="BD473" s="134"/>
      <c r="BE473" s="134"/>
      <c r="BF473" s="134"/>
      <c r="BG473" s="134"/>
      <c r="BH473" s="134"/>
      <c r="BI473" s="134"/>
      <c r="BJ473" s="134"/>
      <c r="BK473" s="134"/>
      <c r="BL473" s="134"/>
      <c r="BM473" s="135"/>
      <c r="BN473" s="136" t="n">
        <f aca="false">+MAX($D$3,DATOS_[[#This Row],[Fecha Inicio Sit. Contract.]])</f>
        <v>0</v>
      </c>
      <c r="BO473" s="136" t="n">
        <f aca="false">+MIN($D$4,DATOS_[[#This Row],[Fecha Fin Sit. Contract.]])</f>
        <v>0</v>
      </c>
      <c r="BP473" s="137" t="n">
        <f aca="false">+DATOS_[[#This Row],[% de jornada]]*IF(DATOS_[[#This Row],[% jornada reducida]]="",1,DATOS_[[#This Row],[% jornada reducida]])</f>
        <v>0</v>
      </c>
      <c r="BQ473" s="137" t="n">
        <f aca="false">+(DATOS_[[#This Row],[F.fin.cal]]-DATOS_[[#This Row],[F.ini.cal]]+1)/($D$4-$D$3+1)</f>
        <v>1</v>
      </c>
      <c r="BR473" s="137" t="str">
        <f aca="false">IF(OR(AND(DATOS_[[#This Row],[Fecha Fin Contrato]]&lt;$D$3,DATOS_[[#This Row],[Fecha Fin Contrato]]&lt;&gt;""),DATOS_[[#This Row],[Fecha de Contratación]]&gt;$D$4),"Fuera","Dentro")</f>
        <v>Dentro</v>
      </c>
      <c r="BS473" s="137" t="str">
        <f aca="false" t="array" ref="BS473:BS473">IF(MAX(IF(DATOS_[id]=DATOS_[[#This Row],[id]],DATOS_[F.fin.cal]))=DATOS_[[#This Row],[F.fin.cal]],"Sí","NO")</f>
        <v>Sí</v>
      </c>
      <c r="BT473" s="137" t="str">
        <f aca="false">IF(AND(DATOS_[[#This Row],[% normaliz]]&lt;&gt;1,DATOS_[[#This Row],[% anualiz]]=1),"Sí","NO")</f>
        <v>Sí</v>
      </c>
      <c r="BU473" s="137" t="str">
        <f aca="false">IF(AND(DATOS_[[#This Row],[% normaliz]]=1,DATOS_[[#This Row],[% anualiz]]&lt;&gt;1),"Sí","NO")</f>
        <v>NO</v>
      </c>
      <c r="BV473" s="137" t="str">
        <f aca="false">IF(AND(DATOS_[[#This Row],[% normaliz]]&lt;&gt;1,DATOS_[[#This Row],[% anualiz]]&lt;&gt;1),"Sí","NO")</f>
        <v>NO</v>
      </c>
      <c r="BW473" s="137" t="str">
        <f aca="false">+IF(DATOS_[[#This Row],[% normaliz]]*DATOS_[[#This Row],[% anualiz]]=1,"NO","Sí")</f>
        <v>Sí</v>
      </c>
      <c r="BX473" s="138" t="e">
        <f aca="false">(DATOS_[[#This Row],[S.BASE]]*(1/DATOS_[[#This Row],[% normaliz]])*(1/DATOS_[[#This Row],[% anualiz]]))*IF(DATOS_[[#This Row],[Check Equiparado]]="Sí",1,0)</f>
        <v>#DIV/0!</v>
      </c>
      <c r="BY4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3" s="138" t="e">
        <f aca="false">+DATOS_[[#This Row],[SALARIO BASE Eq]]+DATOS_[[#This Row],[Tot COMPL.SAL Eq]]</f>
        <v>#DIV/0!</v>
      </c>
      <c r="CA473" s="138" t="e">
        <f aca="false" t="array" ref="CA473:CA4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3" s="138" t="e">
        <f aca="false">+DATOS_[[#This Row],[TOTAL SALARIO Eq]]+DATOS_[[#This Row],[Tot Extrasalarial Eq]]</f>
        <v>#DIV/0!</v>
      </c>
      <c r="CC473" s="139" t="n">
        <f aca="false">DATOS_[[#This Row],[S.BASE]]</f>
        <v>0</v>
      </c>
      <c r="CD473" s="139" t="n">
        <f aca="false">+SUM(DATOS_[[#This Row],[Conc.Sal.01]:[Conc.Sal.30]])</f>
        <v>0</v>
      </c>
      <c r="CE473" s="139" t="n">
        <f aca="false">+DATOS_[[#This Row],[SALARIO BASE Ef]]+DATOS_[[#This Row],[Tot COMPL.SAL Ef]]</f>
        <v>0</v>
      </c>
      <c r="CF473" s="139" t="n">
        <f aca="false">+SUM(DATOS_[[#This Row],[C.Extra.01]:[C.Extra.05]])</f>
        <v>0</v>
      </c>
      <c r="CG473" s="139" t="n">
        <f aca="false">+DATOS_[[#This Row],[TOTAL SALARIO Ef]]+DATOS_[[#This Row],[Tot Extrasalarial Ef]]</f>
        <v>0</v>
      </c>
      <c r="CH473" s="140" t="n">
        <f aca="false">MIN(IF(DATOS_[[#This Row],[Fecha Fin Contrato]]="",$D$4,DATOS_[[#This Row],[Fecha Fin Contrato]]),$D$4)-MAX(DATOS_[[#This Row],[Fecha de Contratación]],$D$3)+1</f>
        <v>1</v>
      </c>
      <c r="CI473" s="141" t="str">
        <f aca="false">IF(COUNTIFS(DATOS_[id],DATOS_[[#This Row],[id]])&gt;1,DATOS_[[#This Row],[id]],"")</f>
        <v/>
      </c>
      <c r="CJ473" s="141" t="n">
        <f aca="false">(Inicio!$G$10-DATOS_[[#This Row],[Fecha Nacimiento]])/365.25</f>
        <v>0</v>
      </c>
      <c r="CK473" s="141" t="n">
        <f aca="false">(Inicio!$G$10-DATOS_[[#This Row],[Fecha de Antigüedad]])/365.25</f>
        <v>0</v>
      </c>
      <c r="CL473" s="141" t="e">
        <f aca="false">+VLOOKUP(DATOS_[[#This Row],[Clave de Contrato]],TblTiposContrato13[],3,0)</f>
        <v>#N/A</v>
      </c>
      <c r="CM473" s="141" t="e">
        <f aca="false">+VLOOKUP(DATOS_[[#This Row],[Clave de Contrato]],TblTiposContrato13[],4,0)</f>
        <v>#N/A</v>
      </c>
      <c r="CN473" s="141" t="str">
        <f aca="false">VLOOKUP(DATOS_[[#This Row],[Edad]],CONTRATOS!TblRngEdad,2,1)</f>
        <v>20  o menos</v>
      </c>
      <c r="CO473" s="141" t="str">
        <f aca="false">VLOOKUP(DATOS_[[#This Row],[Antigüedad]],TblRngAntg14[],2,1)</f>
        <v>0 a 1 años</v>
      </c>
    </row>
    <row r="474" customFormat="false" ht="13.8" hidden="false" customHeight="false" outlineLevel="0" collapsed="false">
      <c r="D474" s="128"/>
      <c r="E474" s="129"/>
      <c r="F474" s="129"/>
      <c r="G474" s="129"/>
      <c r="H474" s="130"/>
      <c r="I474" s="131"/>
      <c r="J474" s="128"/>
      <c r="K474" s="132"/>
      <c r="L474" s="132"/>
      <c r="M474" s="133"/>
      <c r="N474" s="133"/>
      <c r="O474" s="133"/>
      <c r="P474" s="129"/>
      <c r="Z474" s="75"/>
      <c r="AA474" s="76"/>
      <c r="AB474" s="76"/>
      <c r="AC474" s="129"/>
      <c r="AD474" s="134"/>
      <c r="AE474" s="134"/>
      <c r="AF474" s="134"/>
      <c r="AG474" s="134"/>
      <c r="AH474" s="134"/>
      <c r="AI474" s="134"/>
      <c r="AJ474" s="134"/>
      <c r="AK474" s="134"/>
      <c r="AL474" s="134"/>
      <c r="AM474" s="134"/>
      <c r="AN474" s="134"/>
      <c r="AO474" s="134"/>
      <c r="AP474" s="134"/>
      <c r="AQ474" s="134"/>
      <c r="AR474" s="134"/>
      <c r="AS474" s="134"/>
      <c r="AT474" s="134"/>
      <c r="AU474" s="134"/>
      <c r="AV474" s="134"/>
      <c r="AW474" s="134"/>
      <c r="AX474" s="134"/>
      <c r="AY474" s="134"/>
      <c r="AZ474" s="134"/>
      <c r="BA474" s="134"/>
      <c r="BB474" s="134"/>
      <c r="BC474" s="134"/>
      <c r="BD474" s="134"/>
      <c r="BE474" s="134"/>
      <c r="BF474" s="134"/>
      <c r="BG474" s="134"/>
      <c r="BH474" s="134"/>
      <c r="BI474" s="134"/>
      <c r="BJ474" s="134"/>
      <c r="BK474" s="134"/>
      <c r="BL474" s="134"/>
      <c r="BM474" s="135"/>
      <c r="BN474" s="136" t="n">
        <f aca="false">+MAX($D$3,DATOS_[[#This Row],[Fecha Inicio Sit. Contract.]])</f>
        <v>0</v>
      </c>
      <c r="BO474" s="136" t="n">
        <f aca="false">+MIN($D$4,DATOS_[[#This Row],[Fecha Fin Sit. Contract.]])</f>
        <v>0</v>
      </c>
      <c r="BP474" s="137" t="n">
        <f aca="false">+DATOS_[[#This Row],[% de jornada]]*IF(DATOS_[[#This Row],[% jornada reducida]]="",1,DATOS_[[#This Row],[% jornada reducida]])</f>
        <v>0</v>
      </c>
      <c r="BQ474" s="137" t="n">
        <f aca="false">+(DATOS_[[#This Row],[F.fin.cal]]-DATOS_[[#This Row],[F.ini.cal]]+1)/($D$4-$D$3+1)</f>
        <v>1</v>
      </c>
      <c r="BR474" s="137" t="str">
        <f aca="false">IF(OR(AND(DATOS_[[#This Row],[Fecha Fin Contrato]]&lt;$D$3,DATOS_[[#This Row],[Fecha Fin Contrato]]&lt;&gt;""),DATOS_[[#This Row],[Fecha de Contratación]]&gt;$D$4),"Fuera","Dentro")</f>
        <v>Dentro</v>
      </c>
      <c r="BS474" s="137" t="str">
        <f aca="false" t="array" ref="BS474:BS474">IF(MAX(IF(DATOS_[id]=DATOS_[[#This Row],[id]],DATOS_[F.fin.cal]))=DATOS_[[#This Row],[F.fin.cal]],"Sí","NO")</f>
        <v>Sí</v>
      </c>
      <c r="BT474" s="137" t="str">
        <f aca="false">IF(AND(DATOS_[[#This Row],[% normaliz]]&lt;&gt;1,DATOS_[[#This Row],[% anualiz]]=1),"Sí","NO")</f>
        <v>Sí</v>
      </c>
      <c r="BU474" s="137" t="str">
        <f aca="false">IF(AND(DATOS_[[#This Row],[% normaliz]]=1,DATOS_[[#This Row],[% anualiz]]&lt;&gt;1),"Sí","NO")</f>
        <v>NO</v>
      </c>
      <c r="BV474" s="137" t="str">
        <f aca="false">IF(AND(DATOS_[[#This Row],[% normaliz]]&lt;&gt;1,DATOS_[[#This Row],[% anualiz]]&lt;&gt;1),"Sí","NO")</f>
        <v>NO</v>
      </c>
      <c r="BW474" s="137" t="str">
        <f aca="false">+IF(DATOS_[[#This Row],[% normaliz]]*DATOS_[[#This Row],[% anualiz]]=1,"NO","Sí")</f>
        <v>Sí</v>
      </c>
      <c r="BX474" s="138" t="e">
        <f aca="false">(DATOS_[[#This Row],[S.BASE]]*(1/DATOS_[[#This Row],[% normaliz]])*(1/DATOS_[[#This Row],[% anualiz]]))*IF(DATOS_[[#This Row],[Check Equiparado]]="Sí",1,0)</f>
        <v>#DIV/0!</v>
      </c>
      <c r="BY4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4" s="138" t="e">
        <f aca="false">+DATOS_[[#This Row],[SALARIO BASE Eq]]+DATOS_[[#This Row],[Tot COMPL.SAL Eq]]</f>
        <v>#DIV/0!</v>
      </c>
      <c r="CA474" s="138" t="e">
        <f aca="false" t="array" ref="CA474:CA4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4" s="138" t="e">
        <f aca="false">+DATOS_[[#This Row],[TOTAL SALARIO Eq]]+DATOS_[[#This Row],[Tot Extrasalarial Eq]]</f>
        <v>#DIV/0!</v>
      </c>
      <c r="CC474" s="139" t="n">
        <f aca="false">DATOS_[[#This Row],[S.BASE]]</f>
        <v>0</v>
      </c>
      <c r="CD474" s="139" t="n">
        <f aca="false">+SUM(DATOS_[[#This Row],[Conc.Sal.01]:[Conc.Sal.30]])</f>
        <v>0</v>
      </c>
      <c r="CE474" s="139" t="n">
        <f aca="false">+DATOS_[[#This Row],[SALARIO BASE Ef]]+DATOS_[[#This Row],[Tot COMPL.SAL Ef]]</f>
        <v>0</v>
      </c>
      <c r="CF474" s="139" t="n">
        <f aca="false">+SUM(DATOS_[[#This Row],[C.Extra.01]:[C.Extra.05]])</f>
        <v>0</v>
      </c>
      <c r="CG474" s="139" t="n">
        <f aca="false">+DATOS_[[#This Row],[TOTAL SALARIO Ef]]+DATOS_[[#This Row],[Tot Extrasalarial Ef]]</f>
        <v>0</v>
      </c>
      <c r="CH474" s="140" t="n">
        <f aca="false">MIN(IF(DATOS_[[#This Row],[Fecha Fin Contrato]]="",$D$4,DATOS_[[#This Row],[Fecha Fin Contrato]]),$D$4)-MAX(DATOS_[[#This Row],[Fecha de Contratación]],$D$3)+1</f>
        <v>1</v>
      </c>
      <c r="CI474" s="141" t="str">
        <f aca="false">IF(COUNTIFS(DATOS_[id],DATOS_[[#This Row],[id]])&gt;1,DATOS_[[#This Row],[id]],"")</f>
        <v/>
      </c>
      <c r="CJ474" s="141" t="n">
        <f aca="false">(Inicio!$G$10-DATOS_[[#This Row],[Fecha Nacimiento]])/365.25</f>
        <v>0</v>
      </c>
      <c r="CK474" s="141" t="n">
        <f aca="false">(Inicio!$G$10-DATOS_[[#This Row],[Fecha de Antigüedad]])/365.25</f>
        <v>0</v>
      </c>
      <c r="CL474" s="141" t="e">
        <f aca="false">+VLOOKUP(DATOS_[[#This Row],[Clave de Contrato]],TblTiposContrato13[],3,0)</f>
        <v>#N/A</v>
      </c>
      <c r="CM474" s="141" t="e">
        <f aca="false">+VLOOKUP(DATOS_[[#This Row],[Clave de Contrato]],TblTiposContrato13[],4,0)</f>
        <v>#N/A</v>
      </c>
      <c r="CN474" s="141" t="str">
        <f aca="false">VLOOKUP(DATOS_[[#This Row],[Edad]],CONTRATOS!TblRngEdad,2,1)</f>
        <v>20  o menos</v>
      </c>
      <c r="CO474" s="141" t="str">
        <f aca="false">VLOOKUP(DATOS_[[#This Row],[Antigüedad]],TblRngAntg14[],2,1)</f>
        <v>0 a 1 años</v>
      </c>
    </row>
    <row r="475" customFormat="false" ht="13.8" hidden="false" customHeight="false" outlineLevel="0" collapsed="false">
      <c r="D475" s="128"/>
      <c r="E475" s="129"/>
      <c r="F475" s="129"/>
      <c r="G475" s="129"/>
      <c r="H475" s="130"/>
      <c r="I475" s="131"/>
      <c r="J475" s="128"/>
      <c r="K475" s="132"/>
      <c r="L475" s="132"/>
      <c r="M475" s="133"/>
      <c r="N475" s="133"/>
      <c r="O475" s="133"/>
      <c r="P475" s="129"/>
      <c r="Z475" s="75"/>
      <c r="AA475" s="76"/>
      <c r="AB475" s="76"/>
      <c r="AC475" s="129"/>
      <c r="AD475" s="134"/>
      <c r="AE475" s="134"/>
      <c r="AF475" s="134"/>
      <c r="AG475" s="134"/>
      <c r="AH475" s="134"/>
      <c r="AI475" s="134"/>
      <c r="AJ475" s="134"/>
      <c r="AK475" s="134"/>
      <c r="AL475" s="134"/>
      <c r="AM475" s="134"/>
      <c r="AN475" s="134"/>
      <c r="AO475" s="134"/>
      <c r="AP475" s="134"/>
      <c r="AQ475" s="134"/>
      <c r="AR475" s="134"/>
      <c r="AS475" s="134"/>
      <c r="AT475" s="134"/>
      <c r="AU475" s="134"/>
      <c r="AV475" s="134"/>
      <c r="AW475" s="134"/>
      <c r="AX475" s="134"/>
      <c r="AY475" s="134"/>
      <c r="AZ475" s="134"/>
      <c r="BA475" s="134"/>
      <c r="BB475" s="134"/>
      <c r="BC475" s="134"/>
      <c r="BD475" s="134"/>
      <c r="BE475" s="134"/>
      <c r="BF475" s="134"/>
      <c r="BG475" s="134"/>
      <c r="BH475" s="134"/>
      <c r="BI475" s="134"/>
      <c r="BJ475" s="134"/>
      <c r="BK475" s="134"/>
      <c r="BL475" s="134"/>
      <c r="BM475" s="135"/>
      <c r="BN475" s="136" t="n">
        <f aca="false">+MAX($D$3,DATOS_[[#This Row],[Fecha Inicio Sit. Contract.]])</f>
        <v>0</v>
      </c>
      <c r="BO475" s="136" t="n">
        <f aca="false">+MIN($D$4,DATOS_[[#This Row],[Fecha Fin Sit. Contract.]])</f>
        <v>0</v>
      </c>
      <c r="BP475" s="137" t="n">
        <f aca="false">+DATOS_[[#This Row],[% de jornada]]*IF(DATOS_[[#This Row],[% jornada reducida]]="",1,DATOS_[[#This Row],[% jornada reducida]])</f>
        <v>0</v>
      </c>
      <c r="BQ475" s="137" t="n">
        <f aca="false">+(DATOS_[[#This Row],[F.fin.cal]]-DATOS_[[#This Row],[F.ini.cal]]+1)/($D$4-$D$3+1)</f>
        <v>1</v>
      </c>
      <c r="BR475" s="137" t="str">
        <f aca="false">IF(OR(AND(DATOS_[[#This Row],[Fecha Fin Contrato]]&lt;$D$3,DATOS_[[#This Row],[Fecha Fin Contrato]]&lt;&gt;""),DATOS_[[#This Row],[Fecha de Contratación]]&gt;$D$4),"Fuera","Dentro")</f>
        <v>Dentro</v>
      </c>
      <c r="BS475" s="137" t="str">
        <f aca="false" t="array" ref="BS475:BS475">IF(MAX(IF(DATOS_[id]=DATOS_[[#This Row],[id]],DATOS_[F.fin.cal]))=DATOS_[[#This Row],[F.fin.cal]],"Sí","NO")</f>
        <v>Sí</v>
      </c>
      <c r="BT475" s="137" t="str">
        <f aca="false">IF(AND(DATOS_[[#This Row],[% normaliz]]&lt;&gt;1,DATOS_[[#This Row],[% anualiz]]=1),"Sí","NO")</f>
        <v>Sí</v>
      </c>
      <c r="BU475" s="137" t="str">
        <f aca="false">IF(AND(DATOS_[[#This Row],[% normaliz]]=1,DATOS_[[#This Row],[% anualiz]]&lt;&gt;1),"Sí","NO")</f>
        <v>NO</v>
      </c>
      <c r="BV475" s="137" t="str">
        <f aca="false">IF(AND(DATOS_[[#This Row],[% normaliz]]&lt;&gt;1,DATOS_[[#This Row],[% anualiz]]&lt;&gt;1),"Sí","NO")</f>
        <v>NO</v>
      </c>
      <c r="BW475" s="137" t="str">
        <f aca="false">+IF(DATOS_[[#This Row],[% normaliz]]*DATOS_[[#This Row],[% anualiz]]=1,"NO","Sí")</f>
        <v>Sí</v>
      </c>
      <c r="BX475" s="138" t="e">
        <f aca="false">(DATOS_[[#This Row],[S.BASE]]*(1/DATOS_[[#This Row],[% normaliz]])*(1/DATOS_[[#This Row],[% anualiz]]))*IF(DATOS_[[#This Row],[Check Equiparado]]="Sí",1,0)</f>
        <v>#DIV/0!</v>
      </c>
      <c r="BY4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5" s="138" t="e">
        <f aca="false">+DATOS_[[#This Row],[SALARIO BASE Eq]]+DATOS_[[#This Row],[Tot COMPL.SAL Eq]]</f>
        <v>#DIV/0!</v>
      </c>
      <c r="CA475" s="138" t="e">
        <f aca="false" t="array" ref="CA475:CA4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5" s="138" t="e">
        <f aca="false">+DATOS_[[#This Row],[TOTAL SALARIO Eq]]+DATOS_[[#This Row],[Tot Extrasalarial Eq]]</f>
        <v>#DIV/0!</v>
      </c>
      <c r="CC475" s="139" t="n">
        <f aca="false">DATOS_[[#This Row],[S.BASE]]</f>
        <v>0</v>
      </c>
      <c r="CD475" s="139" t="n">
        <f aca="false">+SUM(DATOS_[[#This Row],[Conc.Sal.01]:[Conc.Sal.30]])</f>
        <v>0</v>
      </c>
      <c r="CE475" s="139" t="n">
        <f aca="false">+DATOS_[[#This Row],[SALARIO BASE Ef]]+DATOS_[[#This Row],[Tot COMPL.SAL Ef]]</f>
        <v>0</v>
      </c>
      <c r="CF475" s="139" t="n">
        <f aca="false">+SUM(DATOS_[[#This Row],[C.Extra.01]:[C.Extra.05]])</f>
        <v>0</v>
      </c>
      <c r="CG475" s="139" t="n">
        <f aca="false">+DATOS_[[#This Row],[TOTAL SALARIO Ef]]+DATOS_[[#This Row],[Tot Extrasalarial Ef]]</f>
        <v>0</v>
      </c>
      <c r="CH475" s="140" t="n">
        <f aca="false">MIN(IF(DATOS_[[#This Row],[Fecha Fin Contrato]]="",$D$4,DATOS_[[#This Row],[Fecha Fin Contrato]]),$D$4)-MAX(DATOS_[[#This Row],[Fecha de Contratación]],$D$3)+1</f>
        <v>1</v>
      </c>
      <c r="CI475" s="141" t="str">
        <f aca="false">IF(COUNTIFS(DATOS_[id],DATOS_[[#This Row],[id]])&gt;1,DATOS_[[#This Row],[id]],"")</f>
        <v/>
      </c>
      <c r="CJ475" s="141" t="n">
        <f aca="false">(Inicio!$G$10-DATOS_[[#This Row],[Fecha Nacimiento]])/365.25</f>
        <v>0</v>
      </c>
      <c r="CK475" s="141" t="n">
        <f aca="false">(Inicio!$G$10-DATOS_[[#This Row],[Fecha de Antigüedad]])/365.25</f>
        <v>0</v>
      </c>
      <c r="CL475" s="141" t="e">
        <f aca="false">+VLOOKUP(DATOS_[[#This Row],[Clave de Contrato]],TblTiposContrato13[],3,0)</f>
        <v>#N/A</v>
      </c>
      <c r="CM475" s="141" t="e">
        <f aca="false">+VLOOKUP(DATOS_[[#This Row],[Clave de Contrato]],TblTiposContrato13[],4,0)</f>
        <v>#N/A</v>
      </c>
      <c r="CN475" s="141" t="str">
        <f aca="false">VLOOKUP(DATOS_[[#This Row],[Edad]],CONTRATOS!TblRngEdad,2,1)</f>
        <v>20  o menos</v>
      </c>
      <c r="CO475" s="141" t="str">
        <f aca="false">VLOOKUP(DATOS_[[#This Row],[Antigüedad]],TblRngAntg14[],2,1)</f>
        <v>0 a 1 años</v>
      </c>
    </row>
    <row r="476" customFormat="false" ht="13.8" hidden="false" customHeight="false" outlineLevel="0" collapsed="false">
      <c r="D476" s="128"/>
      <c r="E476" s="129"/>
      <c r="F476" s="129"/>
      <c r="G476" s="129"/>
      <c r="H476" s="130"/>
      <c r="I476" s="131"/>
      <c r="J476" s="128"/>
      <c r="K476" s="132"/>
      <c r="L476" s="132"/>
      <c r="M476" s="133"/>
      <c r="N476" s="133"/>
      <c r="O476" s="133"/>
      <c r="P476" s="129"/>
      <c r="Z476" s="75"/>
      <c r="AA476" s="76"/>
      <c r="AB476" s="76"/>
      <c r="AC476" s="129"/>
      <c r="AD476" s="134"/>
      <c r="AE476" s="134"/>
      <c r="AF476" s="134"/>
      <c r="AG476" s="134"/>
      <c r="AH476" s="134"/>
      <c r="AI476" s="134"/>
      <c r="AJ476" s="134"/>
      <c r="AK476" s="134"/>
      <c r="AL476" s="134"/>
      <c r="AM476" s="134"/>
      <c r="AN476" s="134"/>
      <c r="AO476" s="134"/>
      <c r="AP476" s="134"/>
      <c r="AQ476" s="134"/>
      <c r="AR476" s="134"/>
      <c r="AS476" s="134"/>
      <c r="AT476" s="134"/>
      <c r="AU476" s="134"/>
      <c r="AV476" s="134"/>
      <c r="AW476" s="134"/>
      <c r="AX476" s="134"/>
      <c r="AY476" s="134"/>
      <c r="AZ476" s="134"/>
      <c r="BA476" s="134"/>
      <c r="BB476" s="134"/>
      <c r="BC476" s="134"/>
      <c r="BD476" s="134"/>
      <c r="BE476" s="134"/>
      <c r="BF476" s="134"/>
      <c r="BG476" s="134"/>
      <c r="BH476" s="134"/>
      <c r="BI476" s="134"/>
      <c r="BJ476" s="134"/>
      <c r="BK476" s="134"/>
      <c r="BL476" s="134"/>
      <c r="BM476" s="135"/>
      <c r="BN476" s="136" t="n">
        <f aca="false">+MAX($D$3,DATOS_[[#This Row],[Fecha Inicio Sit. Contract.]])</f>
        <v>0</v>
      </c>
      <c r="BO476" s="136" t="n">
        <f aca="false">+MIN($D$4,DATOS_[[#This Row],[Fecha Fin Sit. Contract.]])</f>
        <v>0</v>
      </c>
      <c r="BP476" s="137" t="n">
        <f aca="false">+DATOS_[[#This Row],[% de jornada]]*IF(DATOS_[[#This Row],[% jornada reducida]]="",1,DATOS_[[#This Row],[% jornada reducida]])</f>
        <v>0</v>
      </c>
      <c r="BQ476" s="137" t="n">
        <f aca="false">+(DATOS_[[#This Row],[F.fin.cal]]-DATOS_[[#This Row],[F.ini.cal]]+1)/($D$4-$D$3+1)</f>
        <v>1</v>
      </c>
      <c r="BR476" s="137" t="str">
        <f aca="false">IF(OR(AND(DATOS_[[#This Row],[Fecha Fin Contrato]]&lt;$D$3,DATOS_[[#This Row],[Fecha Fin Contrato]]&lt;&gt;""),DATOS_[[#This Row],[Fecha de Contratación]]&gt;$D$4),"Fuera","Dentro")</f>
        <v>Dentro</v>
      </c>
      <c r="BS476" s="137" t="str">
        <f aca="false" t="array" ref="BS476:BS476">IF(MAX(IF(DATOS_[id]=DATOS_[[#This Row],[id]],DATOS_[F.fin.cal]))=DATOS_[[#This Row],[F.fin.cal]],"Sí","NO")</f>
        <v>Sí</v>
      </c>
      <c r="BT476" s="137" t="str">
        <f aca="false">IF(AND(DATOS_[[#This Row],[% normaliz]]&lt;&gt;1,DATOS_[[#This Row],[% anualiz]]=1),"Sí","NO")</f>
        <v>Sí</v>
      </c>
      <c r="BU476" s="137" t="str">
        <f aca="false">IF(AND(DATOS_[[#This Row],[% normaliz]]=1,DATOS_[[#This Row],[% anualiz]]&lt;&gt;1),"Sí","NO")</f>
        <v>NO</v>
      </c>
      <c r="BV476" s="137" t="str">
        <f aca="false">IF(AND(DATOS_[[#This Row],[% normaliz]]&lt;&gt;1,DATOS_[[#This Row],[% anualiz]]&lt;&gt;1),"Sí","NO")</f>
        <v>NO</v>
      </c>
      <c r="BW476" s="137" t="str">
        <f aca="false">+IF(DATOS_[[#This Row],[% normaliz]]*DATOS_[[#This Row],[% anualiz]]=1,"NO","Sí")</f>
        <v>Sí</v>
      </c>
      <c r="BX476" s="138" t="e">
        <f aca="false">(DATOS_[[#This Row],[S.BASE]]*(1/DATOS_[[#This Row],[% normaliz]])*(1/DATOS_[[#This Row],[% anualiz]]))*IF(DATOS_[[#This Row],[Check Equiparado]]="Sí",1,0)</f>
        <v>#DIV/0!</v>
      </c>
      <c r="BY4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6" s="138" t="e">
        <f aca="false">+DATOS_[[#This Row],[SALARIO BASE Eq]]+DATOS_[[#This Row],[Tot COMPL.SAL Eq]]</f>
        <v>#DIV/0!</v>
      </c>
      <c r="CA476" s="138" t="e">
        <f aca="false" t="array" ref="CA476:CA4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6" s="138" t="e">
        <f aca="false">+DATOS_[[#This Row],[TOTAL SALARIO Eq]]+DATOS_[[#This Row],[Tot Extrasalarial Eq]]</f>
        <v>#DIV/0!</v>
      </c>
      <c r="CC476" s="139" t="n">
        <f aca="false">DATOS_[[#This Row],[S.BASE]]</f>
        <v>0</v>
      </c>
      <c r="CD476" s="139" t="n">
        <f aca="false">+SUM(DATOS_[[#This Row],[Conc.Sal.01]:[Conc.Sal.30]])</f>
        <v>0</v>
      </c>
      <c r="CE476" s="139" t="n">
        <f aca="false">+DATOS_[[#This Row],[SALARIO BASE Ef]]+DATOS_[[#This Row],[Tot COMPL.SAL Ef]]</f>
        <v>0</v>
      </c>
      <c r="CF476" s="139" t="n">
        <f aca="false">+SUM(DATOS_[[#This Row],[C.Extra.01]:[C.Extra.05]])</f>
        <v>0</v>
      </c>
      <c r="CG476" s="139" t="n">
        <f aca="false">+DATOS_[[#This Row],[TOTAL SALARIO Ef]]+DATOS_[[#This Row],[Tot Extrasalarial Ef]]</f>
        <v>0</v>
      </c>
      <c r="CH476" s="140" t="n">
        <f aca="false">MIN(IF(DATOS_[[#This Row],[Fecha Fin Contrato]]="",$D$4,DATOS_[[#This Row],[Fecha Fin Contrato]]),$D$4)-MAX(DATOS_[[#This Row],[Fecha de Contratación]],$D$3)+1</f>
        <v>1</v>
      </c>
      <c r="CI476" s="141" t="str">
        <f aca="false">IF(COUNTIFS(DATOS_[id],DATOS_[[#This Row],[id]])&gt;1,DATOS_[[#This Row],[id]],"")</f>
        <v/>
      </c>
      <c r="CJ476" s="141" t="n">
        <f aca="false">(Inicio!$G$10-DATOS_[[#This Row],[Fecha Nacimiento]])/365.25</f>
        <v>0</v>
      </c>
      <c r="CK476" s="141" t="n">
        <f aca="false">(Inicio!$G$10-DATOS_[[#This Row],[Fecha de Antigüedad]])/365.25</f>
        <v>0</v>
      </c>
      <c r="CL476" s="141" t="e">
        <f aca="false">+VLOOKUP(DATOS_[[#This Row],[Clave de Contrato]],TblTiposContrato13[],3,0)</f>
        <v>#N/A</v>
      </c>
      <c r="CM476" s="141" t="e">
        <f aca="false">+VLOOKUP(DATOS_[[#This Row],[Clave de Contrato]],TblTiposContrato13[],4,0)</f>
        <v>#N/A</v>
      </c>
      <c r="CN476" s="141" t="str">
        <f aca="false">VLOOKUP(DATOS_[[#This Row],[Edad]],CONTRATOS!TblRngEdad,2,1)</f>
        <v>20  o menos</v>
      </c>
      <c r="CO476" s="141" t="str">
        <f aca="false">VLOOKUP(DATOS_[[#This Row],[Antigüedad]],TblRngAntg14[],2,1)</f>
        <v>0 a 1 años</v>
      </c>
    </row>
    <row r="477" customFormat="false" ht="13.8" hidden="false" customHeight="false" outlineLevel="0" collapsed="false">
      <c r="D477" s="128"/>
      <c r="E477" s="129"/>
      <c r="F477" s="129"/>
      <c r="G477" s="129"/>
      <c r="H477" s="130"/>
      <c r="I477" s="131"/>
      <c r="J477" s="128"/>
      <c r="K477" s="132"/>
      <c r="L477" s="132"/>
      <c r="M477" s="133"/>
      <c r="N477" s="133"/>
      <c r="O477" s="133"/>
      <c r="P477" s="129"/>
      <c r="Z477" s="75"/>
      <c r="AA477" s="76"/>
      <c r="AB477" s="76"/>
      <c r="AC477" s="129"/>
      <c r="AD477" s="134"/>
      <c r="AE477" s="134"/>
      <c r="AF477" s="134"/>
      <c r="AG477" s="134"/>
      <c r="AH477" s="134"/>
      <c r="AI477" s="134"/>
      <c r="AJ477" s="134"/>
      <c r="AK477" s="134"/>
      <c r="AL477" s="134"/>
      <c r="AM477" s="134"/>
      <c r="AN477" s="134"/>
      <c r="AO477" s="134"/>
      <c r="AP477" s="134"/>
      <c r="AQ477" s="134"/>
      <c r="AR477" s="134"/>
      <c r="AS477" s="134"/>
      <c r="AT477" s="134"/>
      <c r="AU477" s="134"/>
      <c r="AV477" s="134"/>
      <c r="AW477" s="134"/>
      <c r="AX477" s="134"/>
      <c r="AY477" s="134"/>
      <c r="AZ477" s="134"/>
      <c r="BA477" s="134"/>
      <c r="BB477" s="134"/>
      <c r="BC477" s="134"/>
      <c r="BD477" s="134"/>
      <c r="BE477" s="134"/>
      <c r="BF477" s="134"/>
      <c r="BG477" s="134"/>
      <c r="BH477" s="134"/>
      <c r="BI477" s="134"/>
      <c r="BJ477" s="134"/>
      <c r="BK477" s="134"/>
      <c r="BL477" s="134"/>
      <c r="BM477" s="135"/>
      <c r="BN477" s="136" t="n">
        <f aca="false">+MAX($D$3,DATOS_[[#This Row],[Fecha Inicio Sit. Contract.]])</f>
        <v>0</v>
      </c>
      <c r="BO477" s="136" t="n">
        <f aca="false">+MIN($D$4,DATOS_[[#This Row],[Fecha Fin Sit. Contract.]])</f>
        <v>0</v>
      </c>
      <c r="BP477" s="137" t="n">
        <f aca="false">+DATOS_[[#This Row],[% de jornada]]*IF(DATOS_[[#This Row],[% jornada reducida]]="",1,DATOS_[[#This Row],[% jornada reducida]])</f>
        <v>0</v>
      </c>
      <c r="BQ477" s="137" t="n">
        <f aca="false">+(DATOS_[[#This Row],[F.fin.cal]]-DATOS_[[#This Row],[F.ini.cal]]+1)/($D$4-$D$3+1)</f>
        <v>1</v>
      </c>
      <c r="BR477" s="137" t="str">
        <f aca="false">IF(OR(AND(DATOS_[[#This Row],[Fecha Fin Contrato]]&lt;$D$3,DATOS_[[#This Row],[Fecha Fin Contrato]]&lt;&gt;""),DATOS_[[#This Row],[Fecha de Contratación]]&gt;$D$4),"Fuera","Dentro")</f>
        <v>Dentro</v>
      </c>
      <c r="BS477" s="137" t="str">
        <f aca="false" t="array" ref="BS477:BS477">IF(MAX(IF(DATOS_[id]=DATOS_[[#This Row],[id]],DATOS_[F.fin.cal]))=DATOS_[[#This Row],[F.fin.cal]],"Sí","NO")</f>
        <v>Sí</v>
      </c>
      <c r="BT477" s="137" t="str">
        <f aca="false">IF(AND(DATOS_[[#This Row],[% normaliz]]&lt;&gt;1,DATOS_[[#This Row],[% anualiz]]=1),"Sí","NO")</f>
        <v>Sí</v>
      </c>
      <c r="BU477" s="137" t="str">
        <f aca="false">IF(AND(DATOS_[[#This Row],[% normaliz]]=1,DATOS_[[#This Row],[% anualiz]]&lt;&gt;1),"Sí","NO")</f>
        <v>NO</v>
      </c>
      <c r="BV477" s="137" t="str">
        <f aca="false">IF(AND(DATOS_[[#This Row],[% normaliz]]&lt;&gt;1,DATOS_[[#This Row],[% anualiz]]&lt;&gt;1),"Sí","NO")</f>
        <v>NO</v>
      </c>
      <c r="BW477" s="137" t="str">
        <f aca="false">+IF(DATOS_[[#This Row],[% normaliz]]*DATOS_[[#This Row],[% anualiz]]=1,"NO","Sí")</f>
        <v>Sí</v>
      </c>
      <c r="BX477" s="138" t="e">
        <f aca="false">(DATOS_[[#This Row],[S.BASE]]*(1/DATOS_[[#This Row],[% normaliz]])*(1/DATOS_[[#This Row],[% anualiz]]))*IF(DATOS_[[#This Row],[Check Equiparado]]="Sí",1,0)</f>
        <v>#DIV/0!</v>
      </c>
      <c r="BY4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7" s="138" t="e">
        <f aca="false">+DATOS_[[#This Row],[SALARIO BASE Eq]]+DATOS_[[#This Row],[Tot COMPL.SAL Eq]]</f>
        <v>#DIV/0!</v>
      </c>
      <c r="CA477" s="138" t="e">
        <f aca="false" t="array" ref="CA477:CA4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7" s="138" t="e">
        <f aca="false">+DATOS_[[#This Row],[TOTAL SALARIO Eq]]+DATOS_[[#This Row],[Tot Extrasalarial Eq]]</f>
        <v>#DIV/0!</v>
      </c>
      <c r="CC477" s="139" t="n">
        <f aca="false">DATOS_[[#This Row],[S.BASE]]</f>
        <v>0</v>
      </c>
      <c r="CD477" s="139" t="n">
        <f aca="false">+SUM(DATOS_[[#This Row],[Conc.Sal.01]:[Conc.Sal.30]])</f>
        <v>0</v>
      </c>
      <c r="CE477" s="139" t="n">
        <f aca="false">+DATOS_[[#This Row],[SALARIO BASE Ef]]+DATOS_[[#This Row],[Tot COMPL.SAL Ef]]</f>
        <v>0</v>
      </c>
      <c r="CF477" s="139" t="n">
        <f aca="false">+SUM(DATOS_[[#This Row],[C.Extra.01]:[C.Extra.05]])</f>
        <v>0</v>
      </c>
      <c r="CG477" s="139" t="n">
        <f aca="false">+DATOS_[[#This Row],[TOTAL SALARIO Ef]]+DATOS_[[#This Row],[Tot Extrasalarial Ef]]</f>
        <v>0</v>
      </c>
      <c r="CH477" s="140" t="n">
        <f aca="false">MIN(IF(DATOS_[[#This Row],[Fecha Fin Contrato]]="",$D$4,DATOS_[[#This Row],[Fecha Fin Contrato]]),$D$4)-MAX(DATOS_[[#This Row],[Fecha de Contratación]],$D$3)+1</f>
        <v>1</v>
      </c>
      <c r="CI477" s="141" t="str">
        <f aca="false">IF(COUNTIFS(DATOS_[id],DATOS_[[#This Row],[id]])&gt;1,DATOS_[[#This Row],[id]],"")</f>
        <v/>
      </c>
      <c r="CJ477" s="141" t="n">
        <f aca="false">(Inicio!$G$10-DATOS_[[#This Row],[Fecha Nacimiento]])/365.25</f>
        <v>0</v>
      </c>
      <c r="CK477" s="141" t="n">
        <f aca="false">(Inicio!$G$10-DATOS_[[#This Row],[Fecha de Antigüedad]])/365.25</f>
        <v>0</v>
      </c>
      <c r="CL477" s="141" t="e">
        <f aca="false">+VLOOKUP(DATOS_[[#This Row],[Clave de Contrato]],TblTiposContrato13[],3,0)</f>
        <v>#N/A</v>
      </c>
      <c r="CM477" s="141" t="e">
        <f aca="false">+VLOOKUP(DATOS_[[#This Row],[Clave de Contrato]],TblTiposContrato13[],4,0)</f>
        <v>#N/A</v>
      </c>
      <c r="CN477" s="141" t="str">
        <f aca="false">VLOOKUP(DATOS_[[#This Row],[Edad]],CONTRATOS!TblRngEdad,2,1)</f>
        <v>20  o menos</v>
      </c>
      <c r="CO477" s="141" t="str">
        <f aca="false">VLOOKUP(DATOS_[[#This Row],[Antigüedad]],TblRngAntg14[],2,1)</f>
        <v>0 a 1 años</v>
      </c>
    </row>
    <row r="478" customFormat="false" ht="13.8" hidden="false" customHeight="false" outlineLevel="0" collapsed="false">
      <c r="D478" s="128"/>
      <c r="E478" s="129"/>
      <c r="F478" s="129"/>
      <c r="G478" s="129"/>
      <c r="H478" s="130"/>
      <c r="I478" s="131"/>
      <c r="J478" s="128"/>
      <c r="K478" s="132"/>
      <c r="L478" s="132"/>
      <c r="M478" s="133"/>
      <c r="N478" s="133"/>
      <c r="O478" s="133"/>
      <c r="P478" s="129"/>
      <c r="Z478" s="75"/>
      <c r="AA478" s="76"/>
      <c r="AB478" s="76"/>
      <c r="AC478" s="129"/>
      <c r="AD478" s="134"/>
      <c r="AE478" s="134"/>
      <c r="AF478" s="134"/>
      <c r="AG478" s="134"/>
      <c r="AH478" s="134"/>
      <c r="AI478" s="134"/>
      <c r="AJ478" s="134"/>
      <c r="AK478" s="134"/>
      <c r="AL478" s="134"/>
      <c r="AM478" s="134"/>
      <c r="AN478" s="134"/>
      <c r="AO478" s="134"/>
      <c r="AP478" s="134"/>
      <c r="AQ478" s="134"/>
      <c r="AR478" s="134"/>
      <c r="AS478" s="134"/>
      <c r="AT478" s="134"/>
      <c r="AU478" s="134"/>
      <c r="AV478" s="134"/>
      <c r="AW478" s="134"/>
      <c r="AX478" s="134"/>
      <c r="AY478" s="134"/>
      <c r="AZ478" s="134"/>
      <c r="BA478" s="134"/>
      <c r="BB478" s="134"/>
      <c r="BC478" s="134"/>
      <c r="BD478" s="134"/>
      <c r="BE478" s="134"/>
      <c r="BF478" s="134"/>
      <c r="BG478" s="134"/>
      <c r="BH478" s="134"/>
      <c r="BI478" s="134"/>
      <c r="BJ478" s="134"/>
      <c r="BK478" s="134"/>
      <c r="BL478" s="134"/>
      <c r="BM478" s="135"/>
      <c r="BN478" s="136" t="n">
        <f aca="false">+MAX($D$3,DATOS_[[#This Row],[Fecha Inicio Sit. Contract.]])</f>
        <v>0</v>
      </c>
      <c r="BO478" s="136" t="n">
        <f aca="false">+MIN($D$4,DATOS_[[#This Row],[Fecha Fin Sit. Contract.]])</f>
        <v>0</v>
      </c>
      <c r="BP478" s="137" t="n">
        <f aca="false">+DATOS_[[#This Row],[% de jornada]]*IF(DATOS_[[#This Row],[% jornada reducida]]="",1,DATOS_[[#This Row],[% jornada reducida]])</f>
        <v>0</v>
      </c>
      <c r="BQ478" s="137" t="n">
        <f aca="false">+(DATOS_[[#This Row],[F.fin.cal]]-DATOS_[[#This Row],[F.ini.cal]]+1)/($D$4-$D$3+1)</f>
        <v>1</v>
      </c>
      <c r="BR478" s="137" t="str">
        <f aca="false">IF(OR(AND(DATOS_[[#This Row],[Fecha Fin Contrato]]&lt;$D$3,DATOS_[[#This Row],[Fecha Fin Contrato]]&lt;&gt;""),DATOS_[[#This Row],[Fecha de Contratación]]&gt;$D$4),"Fuera","Dentro")</f>
        <v>Dentro</v>
      </c>
      <c r="BS478" s="137" t="str">
        <f aca="false" t="array" ref="BS478:BS478">IF(MAX(IF(DATOS_[id]=DATOS_[[#This Row],[id]],DATOS_[F.fin.cal]))=DATOS_[[#This Row],[F.fin.cal]],"Sí","NO")</f>
        <v>Sí</v>
      </c>
      <c r="BT478" s="137" t="str">
        <f aca="false">IF(AND(DATOS_[[#This Row],[% normaliz]]&lt;&gt;1,DATOS_[[#This Row],[% anualiz]]=1),"Sí","NO")</f>
        <v>Sí</v>
      </c>
      <c r="BU478" s="137" t="str">
        <f aca="false">IF(AND(DATOS_[[#This Row],[% normaliz]]=1,DATOS_[[#This Row],[% anualiz]]&lt;&gt;1),"Sí","NO")</f>
        <v>NO</v>
      </c>
      <c r="BV478" s="137" t="str">
        <f aca="false">IF(AND(DATOS_[[#This Row],[% normaliz]]&lt;&gt;1,DATOS_[[#This Row],[% anualiz]]&lt;&gt;1),"Sí","NO")</f>
        <v>NO</v>
      </c>
      <c r="BW478" s="137" t="str">
        <f aca="false">+IF(DATOS_[[#This Row],[% normaliz]]*DATOS_[[#This Row],[% anualiz]]=1,"NO","Sí")</f>
        <v>Sí</v>
      </c>
      <c r="BX478" s="138" t="e">
        <f aca="false">(DATOS_[[#This Row],[S.BASE]]*(1/DATOS_[[#This Row],[% normaliz]])*(1/DATOS_[[#This Row],[% anualiz]]))*IF(DATOS_[[#This Row],[Check Equiparado]]="Sí",1,0)</f>
        <v>#DIV/0!</v>
      </c>
      <c r="BY4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8" s="138" t="e">
        <f aca="false">+DATOS_[[#This Row],[SALARIO BASE Eq]]+DATOS_[[#This Row],[Tot COMPL.SAL Eq]]</f>
        <v>#DIV/0!</v>
      </c>
      <c r="CA478" s="138" t="e">
        <f aca="false" t="array" ref="CA478:CA4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8" s="138" t="e">
        <f aca="false">+DATOS_[[#This Row],[TOTAL SALARIO Eq]]+DATOS_[[#This Row],[Tot Extrasalarial Eq]]</f>
        <v>#DIV/0!</v>
      </c>
      <c r="CC478" s="139" t="n">
        <f aca="false">DATOS_[[#This Row],[S.BASE]]</f>
        <v>0</v>
      </c>
      <c r="CD478" s="139" t="n">
        <f aca="false">+SUM(DATOS_[[#This Row],[Conc.Sal.01]:[Conc.Sal.30]])</f>
        <v>0</v>
      </c>
      <c r="CE478" s="139" t="n">
        <f aca="false">+DATOS_[[#This Row],[SALARIO BASE Ef]]+DATOS_[[#This Row],[Tot COMPL.SAL Ef]]</f>
        <v>0</v>
      </c>
      <c r="CF478" s="139" t="n">
        <f aca="false">+SUM(DATOS_[[#This Row],[C.Extra.01]:[C.Extra.05]])</f>
        <v>0</v>
      </c>
      <c r="CG478" s="139" t="n">
        <f aca="false">+DATOS_[[#This Row],[TOTAL SALARIO Ef]]+DATOS_[[#This Row],[Tot Extrasalarial Ef]]</f>
        <v>0</v>
      </c>
      <c r="CH478" s="140" t="n">
        <f aca="false">MIN(IF(DATOS_[[#This Row],[Fecha Fin Contrato]]="",$D$4,DATOS_[[#This Row],[Fecha Fin Contrato]]),$D$4)-MAX(DATOS_[[#This Row],[Fecha de Contratación]],$D$3)+1</f>
        <v>1</v>
      </c>
      <c r="CI478" s="141" t="str">
        <f aca="false">IF(COUNTIFS(DATOS_[id],DATOS_[[#This Row],[id]])&gt;1,DATOS_[[#This Row],[id]],"")</f>
        <v/>
      </c>
      <c r="CJ478" s="141" t="n">
        <f aca="false">(Inicio!$G$10-DATOS_[[#This Row],[Fecha Nacimiento]])/365.25</f>
        <v>0</v>
      </c>
      <c r="CK478" s="141" t="n">
        <f aca="false">(Inicio!$G$10-DATOS_[[#This Row],[Fecha de Antigüedad]])/365.25</f>
        <v>0</v>
      </c>
      <c r="CL478" s="141" t="e">
        <f aca="false">+VLOOKUP(DATOS_[[#This Row],[Clave de Contrato]],TblTiposContrato13[],3,0)</f>
        <v>#N/A</v>
      </c>
      <c r="CM478" s="141" t="e">
        <f aca="false">+VLOOKUP(DATOS_[[#This Row],[Clave de Contrato]],TblTiposContrato13[],4,0)</f>
        <v>#N/A</v>
      </c>
      <c r="CN478" s="141" t="str">
        <f aca="false">VLOOKUP(DATOS_[[#This Row],[Edad]],CONTRATOS!TblRngEdad,2,1)</f>
        <v>20  o menos</v>
      </c>
      <c r="CO478" s="141" t="str">
        <f aca="false">VLOOKUP(DATOS_[[#This Row],[Antigüedad]],TblRngAntg14[],2,1)</f>
        <v>0 a 1 años</v>
      </c>
    </row>
    <row r="479" customFormat="false" ht="13.8" hidden="false" customHeight="false" outlineLevel="0" collapsed="false">
      <c r="D479" s="128"/>
      <c r="E479" s="129"/>
      <c r="F479" s="129"/>
      <c r="G479" s="129"/>
      <c r="H479" s="130"/>
      <c r="I479" s="131"/>
      <c r="J479" s="128"/>
      <c r="K479" s="132"/>
      <c r="L479" s="132"/>
      <c r="M479" s="133"/>
      <c r="N479" s="133"/>
      <c r="O479" s="133"/>
      <c r="P479" s="129"/>
      <c r="Z479" s="75"/>
      <c r="AA479" s="76"/>
      <c r="AB479" s="76"/>
      <c r="AC479" s="129"/>
      <c r="AD479" s="134"/>
      <c r="AE479" s="134"/>
      <c r="AF479" s="134"/>
      <c r="AG479" s="134"/>
      <c r="AH479" s="134"/>
      <c r="AI479" s="134"/>
      <c r="AJ479" s="134"/>
      <c r="AK479" s="134"/>
      <c r="AL479" s="134"/>
      <c r="AM479" s="134"/>
      <c r="AN479" s="134"/>
      <c r="AO479" s="134"/>
      <c r="AP479" s="134"/>
      <c r="AQ479" s="134"/>
      <c r="AR479" s="134"/>
      <c r="AS479" s="134"/>
      <c r="AT479" s="134"/>
      <c r="AU479" s="134"/>
      <c r="AV479" s="134"/>
      <c r="AW479" s="134"/>
      <c r="AX479" s="134"/>
      <c r="AY479" s="134"/>
      <c r="AZ479" s="134"/>
      <c r="BA479" s="134"/>
      <c r="BB479" s="134"/>
      <c r="BC479" s="134"/>
      <c r="BD479" s="134"/>
      <c r="BE479" s="134"/>
      <c r="BF479" s="134"/>
      <c r="BG479" s="134"/>
      <c r="BH479" s="134"/>
      <c r="BI479" s="134"/>
      <c r="BJ479" s="134"/>
      <c r="BK479" s="134"/>
      <c r="BL479" s="134"/>
      <c r="BM479" s="135"/>
      <c r="BN479" s="136" t="n">
        <f aca="false">+MAX($D$3,DATOS_[[#This Row],[Fecha Inicio Sit. Contract.]])</f>
        <v>0</v>
      </c>
      <c r="BO479" s="136" t="n">
        <f aca="false">+MIN($D$4,DATOS_[[#This Row],[Fecha Fin Sit. Contract.]])</f>
        <v>0</v>
      </c>
      <c r="BP479" s="137" t="n">
        <f aca="false">+DATOS_[[#This Row],[% de jornada]]*IF(DATOS_[[#This Row],[% jornada reducida]]="",1,DATOS_[[#This Row],[% jornada reducida]])</f>
        <v>0</v>
      </c>
      <c r="BQ479" s="137" t="n">
        <f aca="false">+(DATOS_[[#This Row],[F.fin.cal]]-DATOS_[[#This Row],[F.ini.cal]]+1)/($D$4-$D$3+1)</f>
        <v>1</v>
      </c>
      <c r="BR479" s="137" t="str">
        <f aca="false">IF(OR(AND(DATOS_[[#This Row],[Fecha Fin Contrato]]&lt;$D$3,DATOS_[[#This Row],[Fecha Fin Contrato]]&lt;&gt;""),DATOS_[[#This Row],[Fecha de Contratación]]&gt;$D$4),"Fuera","Dentro")</f>
        <v>Dentro</v>
      </c>
      <c r="BS479" s="137" t="str">
        <f aca="false" t="array" ref="BS479:BS479">IF(MAX(IF(DATOS_[id]=DATOS_[[#This Row],[id]],DATOS_[F.fin.cal]))=DATOS_[[#This Row],[F.fin.cal]],"Sí","NO")</f>
        <v>Sí</v>
      </c>
      <c r="BT479" s="137" t="str">
        <f aca="false">IF(AND(DATOS_[[#This Row],[% normaliz]]&lt;&gt;1,DATOS_[[#This Row],[% anualiz]]=1),"Sí","NO")</f>
        <v>Sí</v>
      </c>
      <c r="BU479" s="137" t="str">
        <f aca="false">IF(AND(DATOS_[[#This Row],[% normaliz]]=1,DATOS_[[#This Row],[% anualiz]]&lt;&gt;1),"Sí","NO")</f>
        <v>NO</v>
      </c>
      <c r="BV479" s="137" t="str">
        <f aca="false">IF(AND(DATOS_[[#This Row],[% normaliz]]&lt;&gt;1,DATOS_[[#This Row],[% anualiz]]&lt;&gt;1),"Sí","NO")</f>
        <v>NO</v>
      </c>
      <c r="BW479" s="137" t="str">
        <f aca="false">+IF(DATOS_[[#This Row],[% normaliz]]*DATOS_[[#This Row],[% anualiz]]=1,"NO","Sí")</f>
        <v>Sí</v>
      </c>
      <c r="BX479" s="138" t="e">
        <f aca="false">(DATOS_[[#This Row],[S.BASE]]*(1/DATOS_[[#This Row],[% normaliz]])*(1/DATOS_[[#This Row],[% anualiz]]))*IF(DATOS_[[#This Row],[Check Equiparado]]="Sí",1,0)</f>
        <v>#DIV/0!</v>
      </c>
      <c r="BY4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9" s="138" t="e">
        <f aca="false">+DATOS_[[#This Row],[SALARIO BASE Eq]]+DATOS_[[#This Row],[Tot COMPL.SAL Eq]]</f>
        <v>#DIV/0!</v>
      </c>
      <c r="CA479" s="138" t="e">
        <f aca="false" t="array" ref="CA479:CA4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9" s="138" t="e">
        <f aca="false">+DATOS_[[#This Row],[TOTAL SALARIO Eq]]+DATOS_[[#This Row],[Tot Extrasalarial Eq]]</f>
        <v>#DIV/0!</v>
      </c>
      <c r="CC479" s="139" t="n">
        <f aca="false">DATOS_[[#This Row],[S.BASE]]</f>
        <v>0</v>
      </c>
      <c r="CD479" s="139" t="n">
        <f aca="false">+SUM(DATOS_[[#This Row],[Conc.Sal.01]:[Conc.Sal.30]])</f>
        <v>0</v>
      </c>
      <c r="CE479" s="139" t="n">
        <f aca="false">+DATOS_[[#This Row],[SALARIO BASE Ef]]+DATOS_[[#This Row],[Tot COMPL.SAL Ef]]</f>
        <v>0</v>
      </c>
      <c r="CF479" s="139" t="n">
        <f aca="false">+SUM(DATOS_[[#This Row],[C.Extra.01]:[C.Extra.05]])</f>
        <v>0</v>
      </c>
      <c r="CG479" s="139" t="n">
        <f aca="false">+DATOS_[[#This Row],[TOTAL SALARIO Ef]]+DATOS_[[#This Row],[Tot Extrasalarial Ef]]</f>
        <v>0</v>
      </c>
      <c r="CH479" s="140" t="n">
        <f aca="false">MIN(IF(DATOS_[[#This Row],[Fecha Fin Contrato]]="",$D$4,DATOS_[[#This Row],[Fecha Fin Contrato]]),$D$4)-MAX(DATOS_[[#This Row],[Fecha de Contratación]],$D$3)+1</f>
        <v>1</v>
      </c>
      <c r="CI479" s="141" t="str">
        <f aca="false">IF(COUNTIFS(DATOS_[id],DATOS_[[#This Row],[id]])&gt;1,DATOS_[[#This Row],[id]],"")</f>
        <v/>
      </c>
      <c r="CJ479" s="141" t="n">
        <f aca="false">(Inicio!$G$10-DATOS_[[#This Row],[Fecha Nacimiento]])/365.25</f>
        <v>0</v>
      </c>
      <c r="CK479" s="141" t="n">
        <f aca="false">(Inicio!$G$10-DATOS_[[#This Row],[Fecha de Antigüedad]])/365.25</f>
        <v>0</v>
      </c>
      <c r="CL479" s="141" t="e">
        <f aca="false">+VLOOKUP(DATOS_[[#This Row],[Clave de Contrato]],TblTiposContrato13[],3,0)</f>
        <v>#N/A</v>
      </c>
      <c r="CM479" s="141" t="e">
        <f aca="false">+VLOOKUP(DATOS_[[#This Row],[Clave de Contrato]],TblTiposContrato13[],4,0)</f>
        <v>#N/A</v>
      </c>
      <c r="CN479" s="141" t="str">
        <f aca="false">VLOOKUP(DATOS_[[#This Row],[Edad]],CONTRATOS!TblRngEdad,2,1)</f>
        <v>20  o menos</v>
      </c>
      <c r="CO479" s="141" t="str">
        <f aca="false">VLOOKUP(DATOS_[[#This Row],[Antigüedad]],TblRngAntg14[],2,1)</f>
        <v>0 a 1 años</v>
      </c>
    </row>
    <row r="480" customFormat="false" ht="13.8" hidden="false" customHeight="false" outlineLevel="0" collapsed="false">
      <c r="D480" s="128"/>
      <c r="E480" s="129"/>
      <c r="F480" s="129"/>
      <c r="G480" s="129"/>
      <c r="H480" s="130"/>
      <c r="I480" s="131"/>
      <c r="J480" s="128"/>
      <c r="K480" s="132"/>
      <c r="L480" s="132"/>
      <c r="M480" s="133"/>
      <c r="N480" s="133"/>
      <c r="O480" s="133"/>
      <c r="P480" s="129"/>
      <c r="Z480" s="75"/>
      <c r="AA480" s="76"/>
      <c r="AB480" s="76"/>
      <c r="AC480" s="129"/>
      <c r="AD480" s="134"/>
      <c r="AE480" s="134"/>
      <c r="AF480" s="134"/>
      <c r="AG480" s="134"/>
      <c r="AH480" s="134"/>
      <c r="AI480" s="134"/>
      <c r="AJ480" s="134"/>
      <c r="AK480" s="134"/>
      <c r="AL480" s="134"/>
      <c r="AM480" s="134"/>
      <c r="AN480" s="134"/>
      <c r="AO480" s="134"/>
      <c r="AP480" s="134"/>
      <c r="AQ480" s="134"/>
      <c r="AR480" s="134"/>
      <c r="AS480" s="134"/>
      <c r="AT480" s="134"/>
      <c r="AU480" s="134"/>
      <c r="AV480" s="134"/>
      <c r="AW480" s="134"/>
      <c r="AX480" s="134"/>
      <c r="AY480" s="134"/>
      <c r="AZ480" s="134"/>
      <c r="BA480" s="134"/>
      <c r="BB480" s="134"/>
      <c r="BC480" s="134"/>
      <c r="BD480" s="134"/>
      <c r="BE480" s="134"/>
      <c r="BF480" s="134"/>
      <c r="BG480" s="134"/>
      <c r="BH480" s="134"/>
      <c r="BI480" s="134"/>
      <c r="BJ480" s="134"/>
      <c r="BK480" s="134"/>
      <c r="BL480" s="134"/>
      <c r="BM480" s="135"/>
      <c r="BN480" s="136" t="n">
        <f aca="false">+MAX($D$3,DATOS_[[#This Row],[Fecha Inicio Sit. Contract.]])</f>
        <v>0</v>
      </c>
      <c r="BO480" s="136" t="n">
        <f aca="false">+MIN($D$4,DATOS_[[#This Row],[Fecha Fin Sit. Contract.]])</f>
        <v>0</v>
      </c>
      <c r="BP480" s="137" t="n">
        <f aca="false">+DATOS_[[#This Row],[% de jornada]]*IF(DATOS_[[#This Row],[% jornada reducida]]="",1,DATOS_[[#This Row],[% jornada reducida]])</f>
        <v>0</v>
      </c>
      <c r="BQ480" s="137" t="n">
        <f aca="false">+(DATOS_[[#This Row],[F.fin.cal]]-DATOS_[[#This Row],[F.ini.cal]]+1)/($D$4-$D$3+1)</f>
        <v>1</v>
      </c>
      <c r="BR480" s="137" t="str">
        <f aca="false">IF(OR(AND(DATOS_[[#This Row],[Fecha Fin Contrato]]&lt;$D$3,DATOS_[[#This Row],[Fecha Fin Contrato]]&lt;&gt;""),DATOS_[[#This Row],[Fecha de Contratación]]&gt;$D$4),"Fuera","Dentro")</f>
        <v>Dentro</v>
      </c>
      <c r="BS480" s="137" t="str">
        <f aca="false" t="array" ref="BS480:BS480">IF(MAX(IF(DATOS_[id]=DATOS_[[#This Row],[id]],DATOS_[F.fin.cal]))=DATOS_[[#This Row],[F.fin.cal]],"Sí","NO")</f>
        <v>Sí</v>
      </c>
      <c r="BT480" s="137" t="str">
        <f aca="false">IF(AND(DATOS_[[#This Row],[% normaliz]]&lt;&gt;1,DATOS_[[#This Row],[% anualiz]]=1),"Sí","NO")</f>
        <v>Sí</v>
      </c>
      <c r="BU480" s="137" t="str">
        <f aca="false">IF(AND(DATOS_[[#This Row],[% normaliz]]=1,DATOS_[[#This Row],[% anualiz]]&lt;&gt;1),"Sí","NO")</f>
        <v>NO</v>
      </c>
      <c r="BV480" s="137" t="str">
        <f aca="false">IF(AND(DATOS_[[#This Row],[% normaliz]]&lt;&gt;1,DATOS_[[#This Row],[% anualiz]]&lt;&gt;1),"Sí","NO")</f>
        <v>NO</v>
      </c>
      <c r="BW480" s="137" t="str">
        <f aca="false">+IF(DATOS_[[#This Row],[% normaliz]]*DATOS_[[#This Row],[% anualiz]]=1,"NO","Sí")</f>
        <v>Sí</v>
      </c>
      <c r="BX480" s="138" t="e">
        <f aca="false">(DATOS_[[#This Row],[S.BASE]]*(1/DATOS_[[#This Row],[% normaliz]])*(1/DATOS_[[#This Row],[% anualiz]]))*IF(DATOS_[[#This Row],[Check Equiparado]]="Sí",1,0)</f>
        <v>#DIV/0!</v>
      </c>
      <c r="BY4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0" s="138" t="e">
        <f aca="false">+DATOS_[[#This Row],[SALARIO BASE Eq]]+DATOS_[[#This Row],[Tot COMPL.SAL Eq]]</f>
        <v>#DIV/0!</v>
      </c>
      <c r="CA480" s="138" t="e">
        <f aca="false" t="array" ref="CA480:CA4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0" s="138" t="e">
        <f aca="false">+DATOS_[[#This Row],[TOTAL SALARIO Eq]]+DATOS_[[#This Row],[Tot Extrasalarial Eq]]</f>
        <v>#DIV/0!</v>
      </c>
      <c r="CC480" s="139" t="n">
        <f aca="false">DATOS_[[#This Row],[S.BASE]]</f>
        <v>0</v>
      </c>
      <c r="CD480" s="139" t="n">
        <f aca="false">+SUM(DATOS_[[#This Row],[Conc.Sal.01]:[Conc.Sal.30]])</f>
        <v>0</v>
      </c>
      <c r="CE480" s="139" t="n">
        <f aca="false">+DATOS_[[#This Row],[SALARIO BASE Ef]]+DATOS_[[#This Row],[Tot COMPL.SAL Ef]]</f>
        <v>0</v>
      </c>
      <c r="CF480" s="139" t="n">
        <f aca="false">+SUM(DATOS_[[#This Row],[C.Extra.01]:[C.Extra.05]])</f>
        <v>0</v>
      </c>
      <c r="CG480" s="139" t="n">
        <f aca="false">+DATOS_[[#This Row],[TOTAL SALARIO Ef]]+DATOS_[[#This Row],[Tot Extrasalarial Ef]]</f>
        <v>0</v>
      </c>
      <c r="CH480" s="140" t="n">
        <f aca="false">MIN(IF(DATOS_[[#This Row],[Fecha Fin Contrato]]="",$D$4,DATOS_[[#This Row],[Fecha Fin Contrato]]),$D$4)-MAX(DATOS_[[#This Row],[Fecha de Contratación]],$D$3)+1</f>
        <v>1</v>
      </c>
      <c r="CI480" s="141" t="str">
        <f aca="false">IF(COUNTIFS(DATOS_[id],DATOS_[[#This Row],[id]])&gt;1,DATOS_[[#This Row],[id]],"")</f>
        <v/>
      </c>
      <c r="CJ480" s="141" t="n">
        <f aca="false">(Inicio!$G$10-DATOS_[[#This Row],[Fecha Nacimiento]])/365.25</f>
        <v>0</v>
      </c>
      <c r="CK480" s="141" t="n">
        <f aca="false">(Inicio!$G$10-DATOS_[[#This Row],[Fecha de Antigüedad]])/365.25</f>
        <v>0</v>
      </c>
      <c r="CL480" s="141" t="e">
        <f aca="false">+VLOOKUP(DATOS_[[#This Row],[Clave de Contrato]],TblTiposContrato13[],3,0)</f>
        <v>#N/A</v>
      </c>
      <c r="CM480" s="141" t="e">
        <f aca="false">+VLOOKUP(DATOS_[[#This Row],[Clave de Contrato]],TblTiposContrato13[],4,0)</f>
        <v>#N/A</v>
      </c>
      <c r="CN480" s="141" t="str">
        <f aca="false">VLOOKUP(DATOS_[[#This Row],[Edad]],CONTRATOS!TblRngEdad,2,1)</f>
        <v>20  o menos</v>
      </c>
      <c r="CO480" s="141" t="str">
        <f aca="false">VLOOKUP(DATOS_[[#This Row],[Antigüedad]],TblRngAntg14[],2,1)</f>
        <v>0 a 1 años</v>
      </c>
    </row>
    <row r="481" customFormat="false" ht="13.8" hidden="false" customHeight="false" outlineLevel="0" collapsed="false">
      <c r="D481" s="128"/>
      <c r="E481" s="129"/>
      <c r="F481" s="129"/>
      <c r="G481" s="129"/>
      <c r="H481" s="130"/>
      <c r="I481" s="131"/>
      <c r="J481" s="128"/>
      <c r="K481" s="132"/>
      <c r="L481" s="132"/>
      <c r="M481" s="133"/>
      <c r="N481" s="133"/>
      <c r="O481" s="133"/>
      <c r="P481" s="129"/>
      <c r="Z481" s="75"/>
      <c r="AA481" s="76"/>
      <c r="AB481" s="76"/>
      <c r="AC481" s="129"/>
      <c r="AD481" s="134"/>
      <c r="AE481" s="134"/>
      <c r="AF481" s="134"/>
      <c r="AG481" s="134"/>
      <c r="AH481" s="134"/>
      <c r="AI481" s="134"/>
      <c r="AJ481" s="134"/>
      <c r="AK481" s="134"/>
      <c r="AL481" s="134"/>
      <c r="AM481" s="134"/>
      <c r="AN481" s="134"/>
      <c r="AO481" s="134"/>
      <c r="AP481" s="134"/>
      <c r="AQ481" s="134"/>
      <c r="AR481" s="134"/>
      <c r="AS481" s="134"/>
      <c r="AT481" s="134"/>
      <c r="AU481" s="134"/>
      <c r="AV481" s="134"/>
      <c r="AW481" s="134"/>
      <c r="AX481" s="134"/>
      <c r="AY481" s="134"/>
      <c r="AZ481" s="134"/>
      <c r="BA481" s="134"/>
      <c r="BB481" s="134"/>
      <c r="BC481" s="134"/>
      <c r="BD481" s="134"/>
      <c r="BE481" s="134"/>
      <c r="BF481" s="134"/>
      <c r="BG481" s="134"/>
      <c r="BH481" s="134"/>
      <c r="BI481" s="134"/>
      <c r="BJ481" s="134"/>
      <c r="BK481" s="134"/>
      <c r="BL481" s="134"/>
      <c r="BM481" s="135"/>
      <c r="BN481" s="136" t="n">
        <f aca="false">+MAX($D$3,DATOS_[[#This Row],[Fecha Inicio Sit. Contract.]])</f>
        <v>0</v>
      </c>
      <c r="BO481" s="136" t="n">
        <f aca="false">+MIN($D$4,DATOS_[[#This Row],[Fecha Fin Sit. Contract.]])</f>
        <v>0</v>
      </c>
      <c r="BP481" s="137" t="n">
        <f aca="false">+DATOS_[[#This Row],[% de jornada]]*IF(DATOS_[[#This Row],[% jornada reducida]]="",1,DATOS_[[#This Row],[% jornada reducida]])</f>
        <v>0</v>
      </c>
      <c r="BQ481" s="137" t="n">
        <f aca="false">+(DATOS_[[#This Row],[F.fin.cal]]-DATOS_[[#This Row],[F.ini.cal]]+1)/($D$4-$D$3+1)</f>
        <v>1</v>
      </c>
      <c r="BR481" s="137" t="str">
        <f aca="false">IF(OR(AND(DATOS_[[#This Row],[Fecha Fin Contrato]]&lt;$D$3,DATOS_[[#This Row],[Fecha Fin Contrato]]&lt;&gt;""),DATOS_[[#This Row],[Fecha de Contratación]]&gt;$D$4),"Fuera","Dentro")</f>
        <v>Dentro</v>
      </c>
      <c r="BS481" s="137" t="str">
        <f aca="false" t="array" ref="BS481:BS481">IF(MAX(IF(DATOS_[id]=DATOS_[[#This Row],[id]],DATOS_[F.fin.cal]))=DATOS_[[#This Row],[F.fin.cal]],"Sí","NO")</f>
        <v>Sí</v>
      </c>
      <c r="BT481" s="137" t="str">
        <f aca="false">IF(AND(DATOS_[[#This Row],[% normaliz]]&lt;&gt;1,DATOS_[[#This Row],[% anualiz]]=1),"Sí","NO")</f>
        <v>Sí</v>
      </c>
      <c r="BU481" s="137" t="str">
        <f aca="false">IF(AND(DATOS_[[#This Row],[% normaliz]]=1,DATOS_[[#This Row],[% anualiz]]&lt;&gt;1),"Sí","NO")</f>
        <v>NO</v>
      </c>
      <c r="BV481" s="137" t="str">
        <f aca="false">IF(AND(DATOS_[[#This Row],[% normaliz]]&lt;&gt;1,DATOS_[[#This Row],[% anualiz]]&lt;&gt;1),"Sí","NO")</f>
        <v>NO</v>
      </c>
      <c r="BW481" s="137" t="str">
        <f aca="false">+IF(DATOS_[[#This Row],[% normaliz]]*DATOS_[[#This Row],[% anualiz]]=1,"NO","Sí")</f>
        <v>Sí</v>
      </c>
      <c r="BX481" s="138" t="e">
        <f aca="false">(DATOS_[[#This Row],[S.BASE]]*(1/DATOS_[[#This Row],[% normaliz]])*(1/DATOS_[[#This Row],[% anualiz]]))*IF(DATOS_[[#This Row],[Check Equiparado]]="Sí",1,0)</f>
        <v>#DIV/0!</v>
      </c>
      <c r="BY4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1" s="138" t="e">
        <f aca="false">+DATOS_[[#This Row],[SALARIO BASE Eq]]+DATOS_[[#This Row],[Tot COMPL.SAL Eq]]</f>
        <v>#DIV/0!</v>
      </c>
      <c r="CA481" s="138" t="e">
        <f aca="false" t="array" ref="CA481:CA4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1" s="138" t="e">
        <f aca="false">+DATOS_[[#This Row],[TOTAL SALARIO Eq]]+DATOS_[[#This Row],[Tot Extrasalarial Eq]]</f>
        <v>#DIV/0!</v>
      </c>
      <c r="CC481" s="139" t="n">
        <f aca="false">DATOS_[[#This Row],[S.BASE]]</f>
        <v>0</v>
      </c>
      <c r="CD481" s="139" t="n">
        <f aca="false">+SUM(DATOS_[[#This Row],[Conc.Sal.01]:[Conc.Sal.30]])</f>
        <v>0</v>
      </c>
      <c r="CE481" s="139" t="n">
        <f aca="false">+DATOS_[[#This Row],[SALARIO BASE Ef]]+DATOS_[[#This Row],[Tot COMPL.SAL Ef]]</f>
        <v>0</v>
      </c>
      <c r="CF481" s="139" t="n">
        <f aca="false">+SUM(DATOS_[[#This Row],[C.Extra.01]:[C.Extra.05]])</f>
        <v>0</v>
      </c>
      <c r="CG481" s="139" t="n">
        <f aca="false">+DATOS_[[#This Row],[TOTAL SALARIO Ef]]+DATOS_[[#This Row],[Tot Extrasalarial Ef]]</f>
        <v>0</v>
      </c>
      <c r="CH481" s="140" t="n">
        <f aca="false">MIN(IF(DATOS_[[#This Row],[Fecha Fin Contrato]]="",$D$4,DATOS_[[#This Row],[Fecha Fin Contrato]]),$D$4)-MAX(DATOS_[[#This Row],[Fecha de Contratación]],$D$3)+1</f>
        <v>1</v>
      </c>
      <c r="CI481" s="141" t="str">
        <f aca="false">IF(COUNTIFS(DATOS_[id],DATOS_[[#This Row],[id]])&gt;1,DATOS_[[#This Row],[id]],"")</f>
        <v/>
      </c>
      <c r="CJ481" s="141" t="n">
        <f aca="false">(Inicio!$G$10-DATOS_[[#This Row],[Fecha Nacimiento]])/365.25</f>
        <v>0</v>
      </c>
      <c r="CK481" s="141" t="n">
        <f aca="false">(Inicio!$G$10-DATOS_[[#This Row],[Fecha de Antigüedad]])/365.25</f>
        <v>0</v>
      </c>
      <c r="CL481" s="141" t="e">
        <f aca="false">+VLOOKUP(DATOS_[[#This Row],[Clave de Contrato]],TblTiposContrato13[],3,0)</f>
        <v>#N/A</v>
      </c>
      <c r="CM481" s="141" t="e">
        <f aca="false">+VLOOKUP(DATOS_[[#This Row],[Clave de Contrato]],TblTiposContrato13[],4,0)</f>
        <v>#N/A</v>
      </c>
      <c r="CN481" s="141" t="str">
        <f aca="false">VLOOKUP(DATOS_[[#This Row],[Edad]],CONTRATOS!TblRngEdad,2,1)</f>
        <v>20  o menos</v>
      </c>
      <c r="CO481" s="141" t="str">
        <f aca="false">VLOOKUP(DATOS_[[#This Row],[Antigüedad]],TblRngAntg14[],2,1)</f>
        <v>0 a 1 años</v>
      </c>
    </row>
    <row r="482" customFormat="false" ht="13.8" hidden="false" customHeight="false" outlineLevel="0" collapsed="false">
      <c r="D482" s="128"/>
      <c r="E482" s="129"/>
      <c r="F482" s="129"/>
      <c r="G482" s="129"/>
      <c r="H482" s="130"/>
      <c r="I482" s="131"/>
      <c r="J482" s="128"/>
      <c r="K482" s="132"/>
      <c r="L482" s="132"/>
      <c r="M482" s="133"/>
      <c r="N482" s="133"/>
      <c r="O482" s="133"/>
      <c r="P482" s="129"/>
      <c r="Z482" s="75"/>
      <c r="AA482" s="76"/>
      <c r="AB482" s="76"/>
      <c r="AC482" s="129"/>
      <c r="AD482" s="134"/>
      <c r="AE482" s="134"/>
      <c r="AF482" s="134"/>
      <c r="AG482" s="134"/>
      <c r="AH482" s="134"/>
      <c r="AI482" s="134"/>
      <c r="AJ482" s="134"/>
      <c r="AK482" s="134"/>
      <c r="AL482" s="134"/>
      <c r="AM482" s="134"/>
      <c r="AN482" s="134"/>
      <c r="AO482" s="134"/>
      <c r="AP482" s="134"/>
      <c r="AQ482" s="134"/>
      <c r="AR482" s="134"/>
      <c r="AS482" s="134"/>
      <c r="AT482" s="134"/>
      <c r="AU482" s="134"/>
      <c r="AV482" s="134"/>
      <c r="AW482" s="134"/>
      <c r="AX482" s="134"/>
      <c r="AY482" s="134"/>
      <c r="AZ482" s="134"/>
      <c r="BA482" s="134"/>
      <c r="BB482" s="134"/>
      <c r="BC482" s="134"/>
      <c r="BD482" s="134"/>
      <c r="BE482" s="134"/>
      <c r="BF482" s="134"/>
      <c r="BG482" s="134"/>
      <c r="BH482" s="134"/>
      <c r="BI482" s="134"/>
      <c r="BJ482" s="134"/>
      <c r="BK482" s="134"/>
      <c r="BL482" s="134"/>
      <c r="BM482" s="135"/>
      <c r="BN482" s="136" t="n">
        <f aca="false">+MAX($D$3,DATOS_[[#This Row],[Fecha Inicio Sit. Contract.]])</f>
        <v>0</v>
      </c>
      <c r="BO482" s="136" t="n">
        <f aca="false">+MIN($D$4,DATOS_[[#This Row],[Fecha Fin Sit. Contract.]])</f>
        <v>0</v>
      </c>
      <c r="BP482" s="137" t="n">
        <f aca="false">+DATOS_[[#This Row],[% de jornada]]*IF(DATOS_[[#This Row],[% jornada reducida]]="",1,DATOS_[[#This Row],[% jornada reducida]])</f>
        <v>0</v>
      </c>
      <c r="BQ482" s="137" t="n">
        <f aca="false">+(DATOS_[[#This Row],[F.fin.cal]]-DATOS_[[#This Row],[F.ini.cal]]+1)/($D$4-$D$3+1)</f>
        <v>1</v>
      </c>
      <c r="BR482" s="137" t="str">
        <f aca="false">IF(OR(AND(DATOS_[[#This Row],[Fecha Fin Contrato]]&lt;$D$3,DATOS_[[#This Row],[Fecha Fin Contrato]]&lt;&gt;""),DATOS_[[#This Row],[Fecha de Contratación]]&gt;$D$4),"Fuera","Dentro")</f>
        <v>Dentro</v>
      </c>
      <c r="BS482" s="137" t="str">
        <f aca="false" t="array" ref="BS482:BS482">IF(MAX(IF(DATOS_[id]=DATOS_[[#This Row],[id]],DATOS_[F.fin.cal]))=DATOS_[[#This Row],[F.fin.cal]],"Sí","NO")</f>
        <v>Sí</v>
      </c>
      <c r="BT482" s="137" t="str">
        <f aca="false">IF(AND(DATOS_[[#This Row],[% normaliz]]&lt;&gt;1,DATOS_[[#This Row],[% anualiz]]=1),"Sí","NO")</f>
        <v>Sí</v>
      </c>
      <c r="BU482" s="137" t="str">
        <f aca="false">IF(AND(DATOS_[[#This Row],[% normaliz]]=1,DATOS_[[#This Row],[% anualiz]]&lt;&gt;1),"Sí","NO")</f>
        <v>NO</v>
      </c>
      <c r="BV482" s="137" t="str">
        <f aca="false">IF(AND(DATOS_[[#This Row],[% normaliz]]&lt;&gt;1,DATOS_[[#This Row],[% anualiz]]&lt;&gt;1),"Sí","NO")</f>
        <v>NO</v>
      </c>
      <c r="BW482" s="137" t="str">
        <f aca="false">+IF(DATOS_[[#This Row],[% normaliz]]*DATOS_[[#This Row],[% anualiz]]=1,"NO","Sí")</f>
        <v>Sí</v>
      </c>
      <c r="BX482" s="138" t="e">
        <f aca="false">(DATOS_[[#This Row],[S.BASE]]*(1/DATOS_[[#This Row],[% normaliz]])*(1/DATOS_[[#This Row],[% anualiz]]))*IF(DATOS_[[#This Row],[Check Equiparado]]="Sí",1,0)</f>
        <v>#DIV/0!</v>
      </c>
      <c r="BY4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2" s="138" t="e">
        <f aca="false">+DATOS_[[#This Row],[SALARIO BASE Eq]]+DATOS_[[#This Row],[Tot COMPL.SAL Eq]]</f>
        <v>#DIV/0!</v>
      </c>
      <c r="CA482" s="138" t="e">
        <f aca="false" t="array" ref="CA482:CA4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2" s="138" t="e">
        <f aca="false">+DATOS_[[#This Row],[TOTAL SALARIO Eq]]+DATOS_[[#This Row],[Tot Extrasalarial Eq]]</f>
        <v>#DIV/0!</v>
      </c>
      <c r="CC482" s="139" t="n">
        <f aca="false">DATOS_[[#This Row],[S.BASE]]</f>
        <v>0</v>
      </c>
      <c r="CD482" s="139" t="n">
        <f aca="false">+SUM(DATOS_[[#This Row],[Conc.Sal.01]:[Conc.Sal.30]])</f>
        <v>0</v>
      </c>
      <c r="CE482" s="139" t="n">
        <f aca="false">+DATOS_[[#This Row],[SALARIO BASE Ef]]+DATOS_[[#This Row],[Tot COMPL.SAL Ef]]</f>
        <v>0</v>
      </c>
      <c r="CF482" s="139" t="n">
        <f aca="false">+SUM(DATOS_[[#This Row],[C.Extra.01]:[C.Extra.05]])</f>
        <v>0</v>
      </c>
      <c r="CG482" s="139" t="n">
        <f aca="false">+DATOS_[[#This Row],[TOTAL SALARIO Ef]]+DATOS_[[#This Row],[Tot Extrasalarial Ef]]</f>
        <v>0</v>
      </c>
      <c r="CH482" s="140" t="n">
        <f aca="false">MIN(IF(DATOS_[[#This Row],[Fecha Fin Contrato]]="",$D$4,DATOS_[[#This Row],[Fecha Fin Contrato]]),$D$4)-MAX(DATOS_[[#This Row],[Fecha de Contratación]],$D$3)+1</f>
        <v>1</v>
      </c>
      <c r="CI482" s="141" t="str">
        <f aca="false">IF(COUNTIFS(DATOS_[id],DATOS_[[#This Row],[id]])&gt;1,DATOS_[[#This Row],[id]],"")</f>
        <v/>
      </c>
      <c r="CJ482" s="141" t="n">
        <f aca="false">(Inicio!$G$10-DATOS_[[#This Row],[Fecha Nacimiento]])/365.25</f>
        <v>0</v>
      </c>
      <c r="CK482" s="141" t="n">
        <f aca="false">(Inicio!$G$10-DATOS_[[#This Row],[Fecha de Antigüedad]])/365.25</f>
        <v>0</v>
      </c>
      <c r="CL482" s="141" t="e">
        <f aca="false">+VLOOKUP(DATOS_[[#This Row],[Clave de Contrato]],TblTiposContrato13[],3,0)</f>
        <v>#N/A</v>
      </c>
      <c r="CM482" s="141" t="e">
        <f aca="false">+VLOOKUP(DATOS_[[#This Row],[Clave de Contrato]],TblTiposContrato13[],4,0)</f>
        <v>#N/A</v>
      </c>
      <c r="CN482" s="141" t="str">
        <f aca="false">VLOOKUP(DATOS_[[#This Row],[Edad]],CONTRATOS!TblRngEdad,2,1)</f>
        <v>20  o menos</v>
      </c>
      <c r="CO482" s="141" t="str">
        <f aca="false">VLOOKUP(DATOS_[[#This Row],[Antigüedad]],TblRngAntg14[],2,1)</f>
        <v>0 a 1 años</v>
      </c>
    </row>
    <row r="483" customFormat="false" ht="13.8" hidden="false" customHeight="false" outlineLevel="0" collapsed="false">
      <c r="D483" s="128"/>
      <c r="E483" s="129"/>
      <c r="F483" s="129"/>
      <c r="G483" s="129"/>
      <c r="H483" s="130"/>
      <c r="I483" s="131"/>
      <c r="J483" s="128"/>
      <c r="K483" s="132"/>
      <c r="L483" s="132"/>
      <c r="M483" s="133"/>
      <c r="N483" s="133"/>
      <c r="O483" s="133"/>
      <c r="P483" s="129"/>
      <c r="Z483" s="75"/>
      <c r="AA483" s="76"/>
      <c r="AB483" s="76"/>
      <c r="AC483" s="129"/>
      <c r="AD483" s="134"/>
      <c r="AE483" s="134"/>
      <c r="AF483" s="134"/>
      <c r="AG483" s="134"/>
      <c r="AH483" s="134"/>
      <c r="AI483" s="134"/>
      <c r="AJ483" s="134"/>
      <c r="AK483" s="134"/>
      <c r="AL483" s="134"/>
      <c r="AM483" s="134"/>
      <c r="AN483" s="134"/>
      <c r="AO483" s="134"/>
      <c r="AP483" s="134"/>
      <c r="AQ483" s="134"/>
      <c r="AR483" s="134"/>
      <c r="AS483" s="134"/>
      <c r="AT483" s="134"/>
      <c r="AU483" s="134"/>
      <c r="AV483" s="134"/>
      <c r="AW483" s="134"/>
      <c r="AX483" s="134"/>
      <c r="AY483" s="134"/>
      <c r="AZ483" s="134"/>
      <c r="BA483" s="134"/>
      <c r="BB483" s="134"/>
      <c r="BC483" s="134"/>
      <c r="BD483" s="134"/>
      <c r="BE483" s="134"/>
      <c r="BF483" s="134"/>
      <c r="BG483" s="134"/>
      <c r="BH483" s="134"/>
      <c r="BI483" s="134"/>
      <c r="BJ483" s="134"/>
      <c r="BK483" s="134"/>
      <c r="BL483" s="134"/>
      <c r="BM483" s="135"/>
      <c r="BN483" s="136" t="n">
        <f aca="false">+MAX($D$3,DATOS_[[#This Row],[Fecha Inicio Sit. Contract.]])</f>
        <v>0</v>
      </c>
      <c r="BO483" s="136" t="n">
        <f aca="false">+MIN($D$4,DATOS_[[#This Row],[Fecha Fin Sit. Contract.]])</f>
        <v>0</v>
      </c>
      <c r="BP483" s="137" t="n">
        <f aca="false">+DATOS_[[#This Row],[% de jornada]]*IF(DATOS_[[#This Row],[% jornada reducida]]="",1,DATOS_[[#This Row],[% jornada reducida]])</f>
        <v>0</v>
      </c>
      <c r="BQ483" s="137" t="n">
        <f aca="false">+(DATOS_[[#This Row],[F.fin.cal]]-DATOS_[[#This Row],[F.ini.cal]]+1)/($D$4-$D$3+1)</f>
        <v>1</v>
      </c>
      <c r="BR483" s="137" t="str">
        <f aca="false">IF(OR(AND(DATOS_[[#This Row],[Fecha Fin Contrato]]&lt;$D$3,DATOS_[[#This Row],[Fecha Fin Contrato]]&lt;&gt;""),DATOS_[[#This Row],[Fecha de Contratación]]&gt;$D$4),"Fuera","Dentro")</f>
        <v>Dentro</v>
      </c>
      <c r="BS483" s="137" t="str">
        <f aca="false" t="array" ref="BS483:BS483">IF(MAX(IF(DATOS_[id]=DATOS_[[#This Row],[id]],DATOS_[F.fin.cal]))=DATOS_[[#This Row],[F.fin.cal]],"Sí","NO")</f>
        <v>Sí</v>
      </c>
      <c r="BT483" s="137" t="str">
        <f aca="false">IF(AND(DATOS_[[#This Row],[% normaliz]]&lt;&gt;1,DATOS_[[#This Row],[% anualiz]]=1),"Sí","NO")</f>
        <v>Sí</v>
      </c>
      <c r="BU483" s="137" t="str">
        <f aca="false">IF(AND(DATOS_[[#This Row],[% normaliz]]=1,DATOS_[[#This Row],[% anualiz]]&lt;&gt;1),"Sí","NO")</f>
        <v>NO</v>
      </c>
      <c r="BV483" s="137" t="str">
        <f aca="false">IF(AND(DATOS_[[#This Row],[% normaliz]]&lt;&gt;1,DATOS_[[#This Row],[% anualiz]]&lt;&gt;1),"Sí","NO")</f>
        <v>NO</v>
      </c>
      <c r="BW483" s="137" t="str">
        <f aca="false">+IF(DATOS_[[#This Row],[% normaliz]]*DATOS_[[#This Row],[% anualiz]]=1,"NO","Sí")</f>
        <v>Sí</v>
      </c>
      <c r="BX483" s="138" t="e">
        <f aca="false">(DATOS_[[#This Row],[S.BASE]]*(1/DATOS_[[#This Row],[% normaliz]])*(1/DATOS_[[#This Row],[% anualiz]]))*IF(DATOS_[[#This Row],[Check Equiparado]]="Sí",1,0)</f>
        <v>#DIV/0!</v>
      </c>
      <c r="BY4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3" s="138" t="e">
        <f aca="false">+DATOS_[[#This Row],[SALARIO BASE Eq]]+DATOS_[[#This Row],[Tot COMPL.SAL Eq]]</f>
        <v>#DIV/0!</v>
      </c>
      <c r="CA483" s="138" t="e">
        <f aca="false" t="array" ref="CA483:CA4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3" s="138" t="e">
        <f aca="false">+DATOS_[[#This Row],[TOTAL SALARIO Eq]]+DATOS_[[#This Row],[Tot Extrasalarial Eq]]</f>
        <v>#DIV/0!</v>
      </c>
      <c r="CC483" s="139" t="n">
        <f aca="false">DATOS_[[#This Row],[S.BASE]]</f>
        <v>0</v>
      </c>
      <c r="CD483" s="139" t="n">
        <f aca="false">+SUM(DATOS_[[#This Row],[Conc.Sal.01]:[Conc.Sal.30]])</f>
        <v>0</v>
      </c>
      <c r="CE483" s="139" t="n">
        <f aca="false">+DATOS_[[#This Row],[SALARIO BASE Ef]]+DATOS_[[#This Row],[Tot COMPL.SAL Ef]]</f>
        <v>0</v>
      </c>
      <c r="CF483" s="139" t="n">
        <f aca="false">+SUM(DATOS_[[#This Row],[C.Extra.01]:[C.Extra.05]])</f>
        <v>0</v>
      </c>
      <c r="CG483" s="139" t="n">
        <f aca="false">+DATOS_[[#This Row],[TOTAL SALARIO Ef]]+DATOS_[[#This Row],[Tot Extrasalarial Ef]]</f>
        <v>0</v>
      </c>
      <c r="CH483" s="140" t="n">
        <f aca="false">MIN(IF(DATOS_[[#This Row],[Fecha Fin Contrato]]="",$D$4,DATOS_[[#This Row],[Fecha Fin Contrato]]),$D$4)-MAX(DATOS_[[#This Row],[Fecha de Contratación]],$D$3)+1</f>
        <v>1</v>
      </c>
      <c r="CI483" s="141" t="str">
        <f aca="false">IF(COUNTIFS(DATOS_[id],DATOS_[[#This Row],[id]])&gt;1,DATOS_[[#This Row],[id]],"")</f>
        <v/>
      </c>
      <c r="CJ483" s="141" t="n">
        <f aca="false">(Inicio!$G$10-DATOS_[[#This Row],[Fecha Nacimiento]])/365.25</f>
        <v>0</v>
      </c>
      <c r="CK483" s="141" t="n">
        <f aca="false">(Inicio!$G$10-DATOS_[[#This Row],[Fecha de Antigüedad]])/365.25</f>
        <v>0</v>
      </c>
      <c r="CL483" s="141" t="e">
        <f aca="false">+VLOOKUP(DATOS_[[#This Row],[Clave de Contrato]],TblTiposContrato13[],3,0)</f>
        <v>#N/A</v>
      </c>
      <c r="CM483" s="141" t="e">
        <f aca="false">+VLOOKUP(DATOS_[[#This Row],[Clave de Contrato]],TblTiposContrato13[],4,0)</f>
        <v>#N/A</v>
      </c>
      <c r="CN483" s="141" t="str">
        <f aca="false">VLOOKUP(DATOS_[[#This Row],[Edad]],CONTRATOS!TblRngEdad,2,1)</f>
        <v>20  o menos</v>
      </c>
      <c r="CO483" s="141" t="str">
        <f aca="false">VLOOKUP(DATOS_[[#This Row],[Antigüedad]],TblRngAntg14[],2,1)</f>
        <v>0 a 1 años</v>
      </c>
    </row>
    <row r="484" customFormat="false" ht="13.8" hidden="false" customHeight="false" outlineLevel="0" collapsed="false">
      <c r="D484" s="128"/>
      <c r="E484" s="129"/>
      <c r="F484" s="129"/>
      <c r="G484" s="129"/>
      <c r="H484" s="130"/>
      <c r="I484" s="131"/>
      <c r="J484" s="128"/>
      <c r="K484" s="132"/>
      <c r="L484" s="132"/>
      <c r="M484" s="133"/>
      <c r="N484" s="133"/>
      <c r="O484" s="133"/>
      <c r="P484" s="129"/>
      <c r="Z484" s="75"/>
      <c r="AA484" s="76"/>
      <c r="AB484" s="76"/>
      <c r="AC484" s="129"/>
      <c r="AD484" s="134"/>
      <c r="AE484" s="134"/>
      <c r="AF484" s="134"/>
      <c r="AG484" s="134"/>
      <c r="AH484" s="134"/>
      <c r="AI484" s="134"/>
      <c r="AJ484" s="134"/>
      <c r="AK484" s="134"/>
      <c r="AL484" s="134"/>
      <c r="AM484" s="134"/>
      <c r="AN484" s="134"/>
      <c r="AO484" s="134"/>
      <c r="AP484" s="134"/>
      <c r="AQ484" s="134"/>
      <c r="AR484" s="134"/>
      <c r="AS484" s="134"/>
      <c r="AT484" s="134"/>
      <c r="AU484" s="134"/>
      <c r="AV484" s="134"/>
      <c r="AW484" s="134"/>
      <c r="AX484" s="134"/>
      <c r="AY484" s="134"/>
      <c r="AZ484" s="134"/>
      <c r="BA484" s="134"/>
      <c r="BB484" s="134"/>
      <c r="BC484" s="134"/>
      <c r="BD484" s="134"/>
      <c r="BE484" s="134"/>
      <c r="BF484" s="134"/>
      <c r="BG484" s="134"/>
      <c r="BH484" s="134"/>
      <c r="BI484" s="134"/>
      <c r="BJ484" s="134"/>
      <c r="BK484" s="134"/>
      <c r="BL484" s="134"/>
      <c r="BM484" s="135"/>
      <c r="BN484" s="136" t="n">
        <f aca="false">+MAX($D$3,DATOS_[[#This Row],[Fecha Inicio Sit. Contract.]])</f>
        <v>0</v>
      </c>
      <c r="BO484" s="136" t="n">
        <f aca="false">+MIN($D$4,DATOS_[[#This Row],[Fecha Fin Sit. Contract.]])</f>
        <v>0</v>
      </c>
      <c r="BP484" s="137" t="n">
        <f aca="false">+DATOS_[[#This Row],[% de jornada]]*IF(DATOS_[[#This Row],[% jornada reducida]]="",1,DATOS_[[#This Row],[% jornada reducida]])</f>
        <v>0</v>
      </c>
      <c r="BQ484" s="137" t="n">
        <f aca="false">+(DATOS_[[#This Row],[F.fin.cal]]-DATOS_[[#This Row],[F.ini.cal]]+1)/($D$4-$D$3+1)</f>
        <v>1</v>
      </c>
      <c r="BR484" s="137" t="str">
        <f aca="false">IF(OR(AND(DATOS_[[#This Row],[Fecha Fin Contrato]]&lt;$D$3,DATOS_[[#This Row],[Fecha Fin Contrato]]&lt;&gt;""),DATOS_[[#This Row],[Fecha de Contratación]]&gt;$D$4),"Fuera","Dentro")</f>
        <v>Dentro</v>
      </c>
      <c r="BS484" s="137" t="str">
        <f aca="false" t="array" ref="BS484:BS484">IF(MAX(IF(DATOS_[id]=DATOS_[[#This Row],[id]],DATOS_[F.fin.cal]))=DATOS_[[#This Row],[F.fin.cal]],"Sí","NO")</f>
        <v>Sí</v>
      </c>
      <c r="BT484" s="137" t="str">
        <f aca="false">IF(AND(DATOS_[[#This Row],[% normaliz]]&lt;&gt;1,DATOS_[[#This Row],[% anualiz]]=1),"Sí","NO")</f>
        <v>Sí</v>
      </c>
      <c r="BU484" s="137" t="str">
        <f aca="false">IF(AND(DATOS_[[#This Row],[% normaliz]]=1,DATOS_[[#This Row],[% anualiz]]&lt;&gt;1),"Sí","NO")</f>
        <v>NO</v>
      </c>
      <c r="BV484" s="137" t="str">
        <f aca="false">IF(AND(DATOS_[[#This Row],[% normaliz]]&lt;&gt;1,DATOS_[[#This Row],[% anualiz]]&lt;&gt;1),"Sí","NO")</f>
        <v>NO</v>
      </c>
      <c r="BW484" s="137" t="str">
        <f aca="false">+IF(DATOS_[[#This Row],[% normaliz]]*DATOS_[[#This Row],[% anualiz]]=1,"NO","Sí")</f>
        <v>Sí</v>
      </c>
      <c r="BX484" s="138" t="e">
        <f aca="false">(DATOS_[[#This Row],[S.BASE]]*(1/DATOS_[[#This Row],[% normaliz]])*(1/DATOS_[[#This Row],[% anualiz]]))*IF(DATOS_[[#This Row],[Check Equiparado]]="Sí",1,0)</f>
        <v>#DIV/0!</v>
      </c>
      <c r="BY4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4" s="138" t="e">
        <f aca="false">+DATOS_[[#This Row],[SALARIO BASE Eq]]+DATOS_[[#This Row],[Tot COMPL.SAL Eq]]</f>
        <v>#DIV/0!</v>
      </c>
      <c r="CA484" s="138" t="e">
        <f aca="false" t="array" ref="CA484:CA4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4" s="138" t="e">
        <f aca="false">+DATOS_[[#This Row],[TOTAL SALARIO Eq]]+DATOS_[[#This Row],[Tot Extrasalarial Eq]]</f>
        <v>#DIV/0!</v>
      </c>
      <c r="CC484" s="139" t="n">
        <f aca="false">DATOS_[[#This Row],[S.BASE]]</f>
        <v>0</v>
      </c>
      <c r="CD484" s="139" t="n">
        <f aca="false">+SUM(DATOS_[[#This Row],[Conc.Sal.01]:[Conc.Sal.30]])</f>
        <v>0</v>
      </c>
      <c r="CE484" s="139" t="n">
        <f aca="false">+DATOS_[[#This Row],[SALARIO BASE Ef]]+DATOS_[[#This Row],[Tot COMPL.SAL Ef]]</f>
        <v>0</v>
      </c>
      <c r="CF484" s="139" t="n">
        <f aca="false">+SUM(DATOS_[[#This Row],[C.Extra.01]:[C.Extra.05]])</f>
        <v>0</v>
      </c>
      <c r="CG484" s="139" t="n">
        <f aca="false">+DATOS_[[#This Row],[TOTAL SALARIO Ef]]+DATOS_[[#This Row],[Tot Extrasalarial Ef]]</f>
        <v>0</v>
      </c>
      <c r="CH484" s="140" t="n">
        <f aca="false">MIN(IF(DATOS_[[#This Row],[Fecha Fin Contrato]]="",$D$4,DATOS_[[#This Row],[Fecha Fin Contrato]]),$D$4)-MAX(DATOS_[[#This Row],[Fecha de Contratación]],$D$3)+1</f>
        <v>1</v>
      </c>
      <c r="CI484" s="141" t="str">
        <f aca="false">IF(COUNTIFS(DATOS_[id],DATOS_[[#This Row],[id]])&gt;1,DATOS_[[#This Row],[id]],"")</f>
        <v/>
      </c>
      <c r="CJ484" s="141" t="n">
        <f aca="false">(Inicio!$G$10-DATOS_[[#This Row],[Fecha Nacimiento]])/365.25</f>
        <v>0</v>
      </c>
      <c r="CK484" s="141" t="n">
        <f aca="false">(Inicio!$G$10-DATOS_[[#This Row],[Fecha de Antigüedad]])/365.25</f>
        <v>0</v>
      </c>
      <c r="CL484" s="141" t="e">
        <f aca="false">+VLOOKUP(DATOS_[[#This Row],[Clave de Contrato]],TblTiposContrato13[],3,0)</f>
        <v>#N/A</v>
      </c>
      <c r="CM484" s="141" t="e">
        <f aca="false">+VLOOKUP(DATOS_[[#This Row],[Clave de Contrato]],TblTiposContrato13[],4,0)</f>
        <v>#N/A</v>
      </c>
      <c r="CN484" s="141" t="str">
        <f aca="false">VLOOKUP(DATOS_[[#This Row],[Edad]],CONTRATOS!TblRngEdad,2,1)</f>
        <v>20  o menos</v>
      </c>
      <c r="CO484" s="141" t="str">
        <f aca="false">VLOOKUP(DATOS_[[#This Row],[Antigüedad]],TblRngAntg14[],2,1)</f>
        <v>0 a 1 años</v>
      </c>
    </row>
    <row r="485" customFormat="false" ht="13.8" hidden="false" customHeight="false" outlineLevel="0" collapsed="false">
      <c r="D485" s="128"/>
      <c r="E485" s="129"/>
      <c r="F485" s="129"/>
      <c r="G485" s="129"/>
      <c r="H485" s="130"/>
      <c r="I485" s="131"/>
      <c r="J485" s="128"/>
      <c r="K485" s="132"/>
      <c r="L485" s="132"/>
      <c r="M485" s="133"/>
      <c r="N485" s="133"/>
      <c r="O485" s="133"/>
      <c r="P485" s="129"/>
      <c r="Z485" s="75"/>
      <c r="AA485" s="76"/>
      <c r="AB485" s="76"/>
      <c r="AC485" s="129"/>
      <c r="AD485" s="134"/>
      <c r="AE485" s="134"/>
      <c r="AF485" s="134"/>
      <c r="AG485" s="134"/>
      <c r="AH485" s="134"/>
      <c r="AI485" s="134"/>
      <c r="AJ485" s="134"/>
      <c r="AK485" s="134"/>
      <c r="AL485" s="134"/>
      <c r="AM485" s="134"/>
      <c r="AN485" s="134"/>
      <c r="AO485" s="134"/>
      <c r="AP485" s="134"/>
      <c r="AQ485" s="134"/>
      <c r="AR485" s="134"/>
      <c r="AS485" s="134"/>
      <c r="AT485" s="134"/>
      <c r="AU485" s="134"/>
      <c r="AV485" s="134"/>
      <c r="AW485" s="134"/>
      <c r="AX485" s="134"/>
      <c r="AY485" s="134"/>
      <c r="AZ485" s="134"/>
      <c r="BA485" s="134"/>
      <c r="BB485" s="134"/>
      <c r="BC485" s="134"/>
      <c r="BD485" s="134"/>
      <c r="BE485" s="134"/>
      <c r="BF485" s="134"/>
      <c r="BG485" s="134"/>
      <c r="BH485" s="134"/>
      <c r="BI485" s="134"/>
      <c r="BJ485" s="134"/>
      <c r="BK485" s="134"/>
      <c r="BL485" s="134"/>
      <c r="BM485" s="135"/>
      <c r="BN485" s="136" t="n">
        <f aca="false">+MAX($D$3,DATOS_[[#This Row],[Fecha Inicio Sit. Contract.]])</f>
        <v>0</v>
      </c>
      <c r="BO485" s="136" t="n">
        <f aca="false">+MIN($D$4,DATOS_[[#This Row],[Fecha Fin Sit. Contract.]])</f>
        <v>0</v>
      </c>
      <c r="BP485" s="137" t="n">
        <f aca="false">+DATOS_[[#This Row],[% de jornada]]*IF(DATOS_[[#This Row],[% jornada reducida]]="",1,DATOS_[[#This Row],[% jornada reducida]])</f>
        <v>0</v>
      </c>
      <c r="BQ485" s="137" t="n">
        <f aca="false">+(DATOS_[[#This Row],[F.fin.cal]]-DATOS_[[#This Row],[F.ini.cal]]+1)/($D$4-$D$3+1)</f>
        <v>1</v>
      </c>
      <c r="BR485" s="137" t="str">
        <f aca="false">IF(OR(AND(DATOS_[[#This Row],[Fecha Fin Contrato]]&lt;$D$3,DATOS_[[#This Row],[Fecha Fin Contrato]]&lt;&gt;""),DATOS_[[#This Row],[Fecha de Contratación]]&gt;$D$4),"Fuera","Dentro")</f>
        <v>Dentro</v>
      </c>
      <c r="BS485" s="137" t="str">
        <f aca="false" t="array" ref="BS485:BS485">IF(MAX(IF(DATOS_[id]=DATOS_[[#This Row],[id]],DATOS_[F.fin.cal]))=DATOS_[[#This Row],[F.fin.cal]],"Sí","NO")</f>
        <v>Sí</v>
      </c>
      <c r="BT485" s="137" t="str">
        <f aca="false">IF(AND(DATOS_[[#This Row],[% normaliz]]&lt;&gt;1,DATOS_[[#This Row],[% anualiz]]=1),"Sí","NO")</f>
        <v>Sí</v>
      </c>
      <c r="BU485" s="137" t="str">
        <f aca="false">IF(AND(DATOS_[[#This Row],[% normaliz]]=1,DATOS_[[#This Row],[% anualiz]]&lt;&gt;1),"Sí","NO")</f>
        <v>NO</v>
      </c>
      <c r="BV485" s="137" t="str">
        <f aca="false">IF(AND(DATOS_[[#This Row],[% normaliz]]&lt;&gt;1,DATOS_[[#This Row],[% anualiz]]&lt;&gt;1),"Sí","NO")</f>
        <v>NO</v>
      </c>
      <c r="BW485" s="137" t="str">
        <f aca="false">+IF(DATOS_[[#This Row],[% normaliz]]*DATOS_[[#This Row],[% anualiz]]=1,"NO","Sí")</f>
        <v>Sí</v>
      </c>
      <c r="BX485" s="138" t="e">
        <f aca="false">(DATOS_[[#This Row],[S.BASE]]*(1/DATOS_[[#This Row],[% normaliz]])*(1/DATOS_[[#This Row],[% anualiz]]))*IF(DATOS_[[#This Row],[Check Equiparado]]="Sí",1,0)</f>
        <v>#DIV/0!</v>
      </c>
      <c r="BY4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5" s="138" t="e">
        <f aca="false">+DATOS_[[#This Row],[SALARIO BASE Eq]]+DATOS_[[#This Row],[Tot COMPL.SAL Eq]]</f>
        <v>#DIV/0!</v>
      </c>
      <c r="CA485" s="138" t="e">
        <f aca="false" t="array" ref="CA485:CA4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5" s="138" t="e">
        <f aca="false">+DATOS_[[#This Row],[TOTAL SALARIO Eq]]+DATOS_[[#This Row],[Tot Extrasalarial Eq]]</f>
        <v>#DIV/0!</v>
      </c>
      <c r="CC485" s="139" t="n">
        <f aca="false">DATOS_[[#This Row],[S.BASE]]</f>
        <v>0</v>
      </c>
      <c r="CD485" s="139" t="n">
        <f aca="false">+SUM(DATOS_[[#This Row],[Conc.Sal.01]:[Conc.Sal.30]])</f>
        <v>0</v>
      </c>
      <c r="CE485" s="139" t="n">
        <f aca="false">+DATOS_[[#This Row],[SALARIO BASE Ef]]+DATOS_[[#This Row],[Tot COMPL.SAL Ef]]</f>
        <v>0</v>
      </c>
      <c r="CF485" s="139" t="n">
        <f aca="false">+SUM(DATOS_[[#This Row],[C.Extra.01]:[C.Extra.05]])</f>
        <v>0</v>
      </c>
      <c r="CG485" s="139" t="n">
        <f aca="false">+DATOS_[[#This Row],[TOTAL SALARIO Ef]]+DATOS_[[#This Row],[Tot Extrasalarial Ef]]</f>
        <v>0</v>
      </c>
      <c r="CH485" s="140" t="n">
        <f aca="false">MIN(IF(DATOS_[[#This Row],[Fecha Fin Contrato]]="",$D$4,DATOS_[[#This Row],[Fecha Fin Contrato]]),$D$4)-MAX(DATOS_[[#This Row],[Fecha de Contratación]],$D$3)+1</f>
        <v>1</v>
      </c>
      <c r="CI485" s="141" t="str">
        <f aca="false">IF(COUNTIFS(DATOS_[id],DATOS_[[#This Row],[id]])&gt;1,DATOS_[[#This Row],[id]],"")</f>
        <v/>
      </c>
      <c r="CJ485" s="141" t="n">
        <f aca="false">(Inicio!$G$10-DATOS_[[#This Row],[Fecha Nacimiento]])/365.25</f>
        <v>0</v>
      </c>
      <c r="CK485" s="141" t="n">
        <f aca="false">(Inicio!$G$10-DATOS_[[#This Row],[Fecha de Antigüedad]])/365.25</f>
        <v>0</v>
      </c>
      <c r="CL485" s="141" t="e">
        <f aca="false">+VLOOKUP(DATOS_[[#This Row],[Clave de Contrato]],TblTiposContrato13[],3,0)</f>
        <v>#N/A</v>
      </c>
      <c r="CM485" s="141" t="e">
        <f aca="false">+VLOOKUP(DATOS_[[#This Row],[Clave de Contrato]],TblTiposContrato13[],4,0)</f>
        <v>#N/A</v>
      </c>
      <c r="CN485" s="141" t="str">
        <f aca="false">VLOOKUP(DATOS_[[#This Row],[Edad]],CONTRATOS!TblRngEdad,2,1)</f>
        <v>20  o menos</v>
      </c>
      <c r="CO485" s="141" t="str">
        <f aca="false">VLOOKUP(DATOS_[[#This Row],[Antigüedad]],TblRngAntg14[],2,1)</f>
        <v>0 a 1 años</v>
      </c>
    </row>
    <row r="486" customFormat="false" ht="13.8" hidden="false" customHeight="false" outlineLevel="0" collapsed="false">
      <c r="D486" s="128"/>
      <c r="E486" s="129"/>
      <c r="F486" s="129"/>
      <c r="G486" s="129"/>
      <c r="H486" s="130"/>
      <c r="I486" s="131"/>
      <c r="J486" s="128"/>
      <c r="K486" s="132"/>
      <c r="L486" s="132"/>
      <c r="M486" s="133"/>
      <c r="N486" s="133"/>
      <c r="O486" s="133"/>
      <c r="P486" s="129"/>
      <c r="Z486" s="75"/>
      <c r="AA486" s="76"/>
      <c r="AB486" s="76"/>
      <c r="AC486" s="129"/>
      <c r="AD486" s="134"/>
      <c r="AE486" s="134"/>
      <c r="AF486" s="134"/>
      <c r="AG486" s="134"/>
      <c r="AH486" s="134"/>
      <c r="AI486" s="134"/>
      <c r="AJ486" s="134"/>
      <c r="AK486" s="134"/>
      <c r="AL486" s="134"/>
      <c r="AM486" s="134"/>
      <c r="AN486" s="134"/>
      <c r="AO486" s="134"/>
      <c r="AP486" s="134"/>
      <c r="AQ486" s="134"/>
      <c r="AR486" s="134"/>
      <c r="AS486" s="134"/>
      <c r="AT486" s="134"/>
      <c r="AU486" s="134"/>
      <c r="AV486" s="134"/>
      <c r="AW486" s="134"/>
      <c r="AX486" s="134"/>
      <c r="AY486" s="134"/>
      <c r="AZ486" s="134"/>
      <c r="BA486" s="134"/>
      <c r="BB486" s="134"/>
      <c r="BC486" s="134"/>
      <c r="BD486" s="134"/>
      <c r="BE486" s="134"/>
      <c r="BF486" s="134"/>
      <c r="BG486" s="134"/>
      <c r="BH486" s="134"/>
      <c r="BI486" s="134"/>
      <c r="BJ486" s="134"/>
      <c r="BK486" s="134"/>
      <c r="BL486" s="134"/>
      <c r="BM486" s="135"/>
      <c r="BN486" s="136" t="n">
        <f aca="false">+MAX($D$3,DATOS_[[#This Row],[Fecha Inicio Sit. Contract.]])</f>
        <v>0</v>
      </c>
      <c r="BO486" s="136" t="n">
        <f aca="false">+MIN($D$4,DATOS_[[#This Row],[Fecha Fin Sit. Contract.]])</f>
        <v>0</v>
      </c>
      <c r="BP486" s="137" t="n">
        <f aca="false">+DATOS_[[#This Row],[% de jornada]]*IF(DATOS_[[#This Row],[% jornada reducida]]="",1,DATOS_[[#This Row],[% jornada reducida]])</f>
        <v>0</v>
      </c>
      <c r="BQ486" s="137" t="n">
        <f aca="false">+(DATOS_[[#This Row],[F.fin.cal]]-DATOS_[[#This Row],[F.ini.cal]]+1)/($D$4-$D$3+1)</f>
        <v>1</v>
      </c>
      <c r="BR486" s="137" t="str">
        <f aca="false">IF(OR(AND(DATOS_[[#This Row],[Fecha Fin Contrato]]&lt;$D$3,DATOS_[[#This Row],[Fecha Fin Contrato]]&lt;&gt;""),DATOS_[[#This Row],[Fecha de Contratación]]&gt;$D$4),"Fuera","Dentro")</f>
        <v>Dentro</v>
      </c>
      <c r="BS486" s="137" t="str">
        <f aca="false" t="array" ref="BS486:BS486">IF(MAX(IF(DATOS_[id]=DATOS_[[#This Row],[id]],DATOS_[F.fin.cal]))=DATOS_[[#This Row],[F.fin.cal]],"Sí","NO")</f>
        <v>Sí</v>
      </c>
      <c r="BT486" s="137" t="str">
        <f aca="false">IF(AND(DATOS_[[#This Row],[% normaliz]]&lt;&gt;1,DATOS_[[#This Row],[% anualiz]]=1),"Sí","NO")</f>
        <v>Sí</v>
      </c>
      <c r="BU486" s="137" t="str">
        <f aca="false">IF(AND(DATOS_[[#This Row],[% normaliz]]=1,DATOS_[[#This Row],[% anualiz]]&lt;&gt;1),"Sí","NO")</f>
        <v>NO</v>
      </c>
      <c r="BV486" s="137" t="str">
        <f aca="false">IF(AND(DATOS_[[#This Row],[% normaliz]]&lt;&gt;1,DATOS_[[#This Row],[% anualiz]]&lt;&gt;1),"Sí","NO")</f>
        <v>NO</v>
      </c>
      <c r="BW486" s="137" t="str">
        <f aca="false">+IF(DATOS_[[#This Row],[% normaliz]]*DATOS_[[#This Row],[% anualiz]]=1,"NO","Sí")</f>
        <v>Sí</v>
      </c>
      <c r="BX486" s="138" t="e">
        <f aca="false">(DATOS_[[#This Row],[S.BASE]]*(1/DATOS_[[#This Row],[% normaliz]])*(1/DATOS_[[#This Row],[% anualiz]]))*IF(DATOS_[[#This Row],[Check Equiparado]]="Sí",1,0)</f>
        <v>#DIV/0!</v>
      </c>
      <c r="BY4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6" s="138" t="e">
        <f aca="false">+DATOS_[[#This Row],[SALARIO BASE Eq]]+DATOS_[[#This Row],[Tot COMPL.SAL Eq]]</f>
        <v>#DIV/0!</v>
      </c>
      <c r="CA486" s="138" t="e">
        <f aca="false" t="array" ref="CA486:CA4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6" s="138" t="e">
        <f aca="false">+DATOS_[[#This Row],[TOTAL SALARIO Eq]]+DATOS_[[#This Row],[Tot Extrasalarial Eq]]</f>
        <v>#DIV/0!</v>
      </c>
      <c r="CC486" s="139" t="n">
        <f aca="false">DATOS_[[#This Row],[S.BASE]]</f>
        <v>0</v>
      </c>
      <c r="CD486" s="139" t="n">
        <f aca="false">+SUM(DATOS_[[#This Row],[Conc.Sal.01]:[Conc.Sal.30]])</f>
        <v>0</v>
      </c>
      <c r="CE486" s="139" t="n">
        <f aca="false">+DATOS_[[#This Row],[SALARIO BASE Ef]]+DATOS_[[#This Row],[Tot COMPL.SAL Ef]]</f>
        <v>0</v>
      </c>
      <c r="CF486" s="139" t="n">
        <f aca="false">+SUM(DATOS_[[#This Row],[C.Extra.01]:[C.Extra.05]])</f>
        <v>0</v>
      </c>
      <c r="CG486" s="139" t="n">
        <f aca="false">+DATOS_[[#This Row],[TOTAL SALARIO Ef]]+DATOS_[[#This Row],[Tot Extrasalarial Ef]]</f>
        <v>0</v>
      </c>
      <c r="CH486" s="140" t="n">
        <f aca="false">MIN(IF(DATOS_[[#This Row],[Fecha Fin Contrato]]="",$D$4,DATOS_[[#This Row],[Fecha Fin Contrato]]),$D$4)-MAX(DATOS_[[#This Row],[Fecha de Contratación]],$D$3)+1</f>
        <v>1</v>
      </c>
      <c r="CI486" s="141" t="str">
        <f aca="false">IF(COUNTIFS(DATOS_[id],DATOS_[[#This Row],[id]])&gt;1,DATOS_[[#This Row],[id]],"")</f>
        <v/>
      </c>
      <c r="CJ486" s="141" t="n">
        <f aca="false">(Inicio!$G$10-DATOS_[[#This Row],[Fecha Nacimiento]])/365.25</f>
        <v>0</v>
      </c>
      <c r="CK486" s="141" t="n">
        <f aca="false">(Inicio!$G$10-DATOS_[[#This Row],[Fecha de Antigüedad]])/365.25</f>
        <v>0</v>
      </c>
      <c r="CL486" s="141" t="e">
        <f aca="false">+VLOOKUP(DATOS_[[#This Row],[Clave de Contrato]],TblTiposContrato13[],3,0)</f>
        <v>#N/A</v>
      </c>
      <c r="CM486" s="141" t="e">
        <f aca="false">+VLOOKUP(DATOS_[[#This Row],[Clave de Contrato]],TblTiposContrato13[],4,0)</f>
        <v>#N/A</v>
      </c>
      <c r="CN486" s="141" t="str">
        <f aca="false">VLOOKUP(DATOS_[[#This Row],[Edad]],CONTRATOS!TblRngEdad,2,1)</f>
        <v>20  o menos</v>
      </c>
      <c r="CO486" s="141" t="str">
        <f aca="false">VLOOKUP(DATOS_[[#This Row],[Antigüedad]],TblRngAntg14[],2,1)</f>
        <v>0 a 1 años</v>
      </c>
    </row>
    <row r="487" customFormat="false" ht="13.8" hidden="false" customHeight="false" outlineLevel="0" collapsed="false">
      <c r="D487" s="128"/>
      <c r="E487" s="129"/>
      <c r="F487" s="129"/>
      <c r="G487" s="129"/>
      <c r="H487" s="130"/>
      <c r="I487" s="131"/>
      <c r="J487" s="128"/>
      <c r="K487" s="132"/>
      <c r="L487" s="132"/>
      <c r="M487" s="133"/>
      <c r="N487" s="133"/>
      <c r="O487" s="133"/>
      <c r="P487" s="129"/>
      <c r="Z487" s="75"/>
      <c r="AA487" s="76"/>
      <c r="AB487" s="76"/>
      <c r="AC487" s="129"/>
      <c r="AD487" s="134"/>
      <c r="AE487" s="134"/>
      <c r="AF487" s="134"/>
      <c r="AG487" s="134"/>
      <c r="AH487" s="134"/>
      <c r="AI487" s="134"/>
      <c r="AJ487" s="134"/>
      <c r="AK487" s="134"/>
      <c r="AL487" s="134"/>
      <c r="AM487" s="134"/>
      <c r="AN487" s="134"/>
      <c r="AO487" s="134"/>
      <c r="AP487" s="134"/>
      <c r="AQ487" s="134"/>
      <c r="AR487" s="134"/>
      <c r="AS487" s="134"/>
      <c r="AT487" s="134"/>
      <c r="AU487" s="134"/>
      <c r="AV487" s="134"/>
      <c r="AW487" s="134"/>
      <c r="AX487" s="134"/>
      <c r="AY487" s="134"/>
      <c r="AZ487" s="134"/>
      <c r="BA487" s="134"/>
      <c r="BB487" s="134"/>
      <c r="BC487" s="134"/>
      <c r="BD487" s="134"/>
      <c r="BE487" s="134"/>
      <c r="BF487" s="134"/>
      <c r="BG487" s="134"/>
      <c r="BH487" s="134"/>
      <c r="BI487" s="134"/>
      <c r="BJ487" s="134"/>
      <c r="BK487" s="134"/>
      <c r="BL487" s="134"/>
      <c r="BM487" s="135"/>
      <c r="BN487" s="136" t="n">
        <f aca="false">+MAX($D$3,DATOS_[[#This Row],[Fecha Inicio Sit. Contract.]])</f>
        <v>0</v>
      </c>
      <c r="BO487" s="136" t="n">
        <f aca="false">+MIN($D$4,DATOS_[[#This Row],[Fecha Fin Sit. Contract.]])</f>
        <v>0</v>
      </c>
      <c r="BP487" s="137" t="n">
        <f aca="false">+DATOS_[[#This Row],[% de jornada]]*IF(DATOS_[[#This Row],[% jornada reducida]]="",1,DATOS_[[#This Row],[% jornada reducida]])</f>
        <v>0</v>
      </c>
      <c r="BQ487" s="137" t="n">
        <f aca="false">+(DATOS_[[#This Row],[F.fin.cal]]-DATOS_[[#This Row],[F.ini.cal]]+1)/($D$4-$D$3+1)</f>
        <v>1</v>
      </c>
      <c r="BR487" s="137" t="str">
        <f aca="false">IF(OR(AND(DATOS_[[#This Row],[Fecha Fin Contrato]]&lt;$D$3,DATOS_[[#This Row],[Fecha Fin Contrato]]&lt;&gt;""),DATOS_[[#This Row],[Fecha de Contratación]]&gt;$D$4),"Fuera","Dentro")</f>
        <v>Dentro</v>
      </c>
      <c r="BS487" s="137" t="str">
        <f aca="false" t="array" ref="BS487:BS487">IF(MAX(IF(DATOS_[id]=DATOS_[[#This Row],[id]],DATOS_[F.fin.cal]))=DATOS_[[#This Row],[F.fin.cal]],"Sí","NO")</f>
        <v>Sí</v>
      </c>
      <c r="BT487" s="137" t="str">
        <f aca="false">IF(AND(DATOS_[[#This Row],[% normaliz]]&lt;&gt;1,DATOS_[[#This Row],[% anualiz]]=1),"Sí","NO")</f>
        <v>Sí</v>
      </c>
      <c r="BU487" s="137" t="str">
        <f aca="false">IF(AND(DATOS_[[#This Row],[% normaliz]]=1,DATOS_[[#This Row],[% anualiz]]&lt;&gt;1),"Sí","NO")</f>
        <v>NO</v>
      </c>
      <c r="BV487" s="137" t="str">
        <f aca="false">IF(AND(DATOS_[[#This Row],[% normaliz]]&lt;&gt;1,DATOS_[[#This Row],[% anualiz]]&lt;&gt;1),"Sí","NO")</f>
        <v>NO</v>
      </c>
      <c r="BW487" s="137" t="str">
        <f aca="false">+IF(DATOS_[[#This Row],[% normaliz]]*DATOS_[[#This Row],[% anualiz]]=1,"NO","Sí")</f>
        <v>Sí</v>
      </c>
      <c r="BX487" s="138" t="e">
        <f aca="false">(DATOS_[[#This Row],[S.BASE]]*(1/DATOS_[[#This Row],[% normaliz]])*(1/DATOS_[[#This Row],[% anualiz]]))*IF(DATOS_[[#This Row],[Check Equiparado]]="Sí",1,0)</f>
        <v>#DIV/0!</v>
      </c>
      <c r="BY4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7" s="138" t="e">
        <f aca="false">+DATOS_[[#This Row],[SALARIO BASE Eq]]+DATOS_[[#This Row],[Tot COMPL.SAL Eq]]</f>
        <v>#DIV/0!</v>
      </c>
      <c r="CA487" s="138" t="e">
        <f aca="false" t="array" ref="CA487:CA4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7" s="138" t="e">
        <f aca="false">+DATOS_[[#This Row],[TOTAL SALARIO Eq]]+DATOS_[[#This Row],[Tot Extrasalarial Eq]]</f>
        <v>#DIV/0!</v>
      </c>
      <c r="CC487" s="139" t="n">
        <f aca="false">DATOS_[[#This Row],[S.BASE]]</f>
        <v>0</v>
      </c>
      <c r="CD487" s="139" t="n">
        <f aca="false">+SUM(DATOS_[[#This Row],[Conc.Sal.01]:[Conc.Sal.30]])</f>
        <v>0</v>
      </c>
      <c r="CE487" s="139" t="n">
        <f aca="false">+DATOS_[[#This Row],[SALARIO BASE Ef]]+DATOS_[[#This Row],[Tot COMPL.SAL Ef]]</f>
        <v>0</v>
      </c>
      <c r="CF487" s="139" t="n">
        <f aca="false">+SUM(DATOS_[[#This Row],[C.Extra.01]:[C.Extra.05]])</f>
        <v>0</v>
      </c>
      <c r="CG487" s="139" t="n">
        <f aca="false">+DATOS_[[#This Row],[TOTAL SALARIO Ef]]+DATOS_[[#This Row],[Tot Extrasalarial Ef]]</f>
        <v>0</v>
      </c>
      <c r="CH487" s="140" t="n">
        <f aca="false">MIN(IF(DATOS_[[#This Row],[Fecha Fin Contrato]]="",$D$4,DATOS_[[#This Row],[Fecha Fin Contrato]]),$D$4)-MAX(DATOS_[[#This Row],[Fecha de Contratación]],$D$3)+1</f>
        <v>1</v>
      </c>
      <c r="CI487" s="141" t="str">
        <f aca="false">IF(COUNTIFS(DATOS_[id],DATOS_[[#This Row],[id]])&gt;1,DATOS_[[#This Row],[id]],"")</f>
        <v/>
      </c>
      <c r="CJ487" s="141" t="n">
        <f aca="false">(Inicio!$G$10-DATOS_[[#This Row],[Fecha Nacimiento]])/365.25</f>
        <v>0</v>
      </c>
      <c r="CK487" s="141" t="n">
        <f aca="false">(Inicio!$G$10-DATOS_[[#This Row],[Fecha de Antigüedad]])/365.25</f>
        <v>0</v>
      </c>
      <c r="CL487" s="141" t="e">
        <f aca="false">+VLOOKUP(DATOS_[[#This Row],[Clave de Contrato]],TblTiposContrato13[],3,0)</f>
        <v>#N/A</v>
      </c>
      <c r="CM487" s="141" t="e">
        <f aca="false">+VLOOKUP(DATOS_[[#This Row],[Clave de Contrato]],TblTiposContrato13[],4,0)</f>
        <v>#N/A</v>
      </c>
      <c r="CN487" s="141" t="str">
        <f aca="false">VLOOKUP(DATOS_[[#This Row],[Edad]],CONTRATOS!TblRngEdad,2,1)</f>
        <v>20  o menos</v>
      </c>
      <c r="CO487" s="141" t="str">
        <f aca="false">VLOOKUP(DATOS_[[#This Row],[Antigüedad]],TblRngAntg14[],2,1)</f>
        <v>0 a 1 años</v>
      </c>
    </row>
    <row r="488" customFormat="false" ht="13.8" hidden="false" customHeight="false" outlineLevel="0" collapsed="false">
      <c r="D488" s="128"/>
      <c r="E488" s="129"/>
      <c r="F488" s="129"/>
      <c r="G488" s="129"/>
      <c r="H488" s="130"/>
      <c r="I488" s="131"/>
      <c r="J488" s="128"/>
      <c r="K488" s="132"/>
      <c r="L488" s="132"/>
      <c r="M488" s="133"/>
      <c r="N488" s="133"/>
      <c r="O488" s="133"/>
      <c r="P488" s="129"/>
      <c r="Z488" s="75"/>
      <c r="AA488" s="76"/>
      <c r="AB488" s="76"/>
      <c r="AC488" s="129"/>
      <c r="AD488" s="134"/>
      <c r="AE488" s="134"/>
      <c r="AF488" s="134"/>
      <c r="AG488" s="134"/>
      <c r="AH488" s="134"/>
      <c r="AI488" s="134"/>
      <c r="AJ488" s="134"/>
      <c r="AK488" s="134"/>
      <c r="AL488" s="134"/>
      <c r="AM488" s="134"/>
      <c r="AN488" s="134"/>
      <c r="AO488" s="134"/>
      <c r="AP488" s="134"/>
      <c r="AQ488" s="134"/>
      <c r="AR488" s="134"/>
      <c r="AS488" s="134"/>
      <c r="AT488" s="134"/>
      <c r="AU488" s="134"/>
      <c r="AV488" s="134"/>
      <c r="AW488" s="134"/>
      <c r="AX488" s="134"/>
      <c r="AY488" s="134"/>
      <c r="AZ488" s="134"/>
      <c r="BA488" s="134"/>
      <c r="BB488" s="134"/>
      <c r="BC488" s="134"/>
      <c r="BD488" s="134"/>
      <c r="BE488" s="134"/>
      <c r="BF488" s="134"/>
      <c r="BG488" s="134"/>
      <c r="BH488" s="134"/>
      <c r="BI488" s="134"/>
      <c r="BJ488" s="134"/>
      <c r="BK488" s="134"/>
      <c r="BL488" s="134"/>
      <c r="BM488" s="135"/>
      <c r="BN488" s="136" t="n">
        <f aca="false">+MAX($D$3,DATOS_[[#This Row],[Fecha Inicio Sit. Contract.]])</f>
        <v>0</v>
      </c>
      <c r="BO488" s="136" t="n">
        <f aca="false">+MIN($D$4,DATOS_[[#This Row],[Fecha Fin Sit. Contract.]])</f>
        <v>0</v>
      </c>
      <c r="BP488" s="137" t="n">
        <f aca="false">+DATOS_[[#This Row],[% de jornada]]*IF(DATOS_[[#This Row],[% jornada reducida]]="",1,DATOS_[[#This Row],[% jornada reducida]])</f>
        <v>0</v>
      </c>
      <c r="BQ488" s="137" t="n">
        <f aca="false">+(DATOS_[[#This Row],[F.fin.cal]]-DATOS_[[#This Row],[F.ini.cal]]+1)/($D$4-$D$3+1)</f>
        <v>1</v>
      </c>
      <c r="BR488" s="137" t="str">
        <f aca="false">IF(OR(AND(DATOS_[[#This Row],[Fecha Fin Contrato]]&lt;$D$3,DATOS_[[#This Row],[Fecha Fin Contrato]]&lt;&gt;""),DATOS_[[#This Row],[Fecha de Contratación]]&gt;$D$4),"Fuera","Dentro")</f>
        <v>Dentro</v>
      </c>
      <c r="BS488" s="137" t="str">
        <f aca="false" t="array" ref="BS488:BS488">IF(MAX(IF(DATOS_[id]=DATOS_[[#This Row],[id]],DATOS_[F.fin.cal]))=DATOS_[[#This Row],[F.fin.cal]],"Sí","NO")</f>
        <v>Sí</v>
      </c>
      <c r="BT488" s="137" t="str">
        <f aca="false">IF(AND(DATOS_[[#This Row],[% normaliz]]&lt;&gt;1,DATOS_[[#This Row],[% anualiz]]=1),"Sí","NO")</f>
        <v>Sí</v>
      </c>
      <c r="BU488" s="137" t="str">
        <f aca="false">IF(AND(DATOS_[[#This Row],[% normaliz]]=1,DATOS_[[#This Row],[% anualiz]]&lt;&gt;1),"Sí","NO")</f>
        <v>NO</v>
      </c>
      <c r="BV488" s="137" t="str">
        <f aca="false">IF(AND(DATOS_[[#This Row],[% normaliz]]&lt;&gt;1,DATOS_[[#This Row],[% anualiz]]&lt;&gt;1),"Sí","NO")</f>
        <v>NO</v>
      </c>
      <c r="BW488" s="137" t="str">
        <f aca="false">+IF(DATOS_[[#This Row],[% normaliz]]*DATOS_[[#This Row],[% anualiz]]=1,"NO","Sí")</f>
        <v>Sí</v>
      </c>
      <c r="BX488" s="138" t="e">
        <f aca="false">(DATOS_[[#This Row],[S.BASE]]*(1/DATOS_[[#This Row],[% normaliz]])*(1/DATOS_[[#This Row],[% anualiz]]))*IF(DATOS_[[#This Row],[Check Equiparado]]="Sí",1,0)</f>
        <v>#DIV/0!</v>
      </c>
      <c r="BY4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8" s="138" t="e">
        <f aca="false">+DATOS_[[#This Row],[SALARIO BASE Eq]]+DATOS_[[#This Row],[Tot COMPL.SAL Eq]]</f>
        <v>#DIV/0!</v>
      </c>
      <c r="CA488" s="138" t="e">
        <f aca="false" t="array" ref="CA488:CA4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8" s="138" t="e">
        <f aca="false">+DATOS_[[#This Row],[TOTAL SALARIO Eq]]+DATOS_[[#This Row],[Tot Extrasalarial Eq]]</f>
        <v>#DIV/0!</v>
      </c>
      <c r="CC488" s="139" t="n">
        <f aca="false">DATOS_[[#This Row],[S.BASE]]</f>
        <v>0</v>
      </c>
      <c r="CD488" s="139" t="n">
        <f aca="false">+SUM(DATOS_[[#This Row],[Conc.Sal.01]:[Conc.Sal.30]])</f>
        <v>0</v>
      </c>
      <c r="CE488" s="139" t="n">
        <f aca="false">+DATOS_[[#This Row],[SALARIO BASE Ef]]+DATOS_[[#This Row],[Tot COMPL.SAL Ef]]</f>
        <v>0</v>
      </c>
      <c r="CF488" s="139" t="n">
        <f aca="false">+SUM(DATOS_[[#This Row],[C.Extra.01]:[C.Extra.05]])</f>
        <v>0</v>
      </c>
      <c r="CG488" s="139" t="n">
        <f aca="false">+DATOS_[[#This Row],[TOTAL SALARIO Ef]]+DATOS_[[#This Row],[Tot Extrasalarial Ef]]</f>
        <v>0</v>
      </c>
      <c r="CH488" s="140" t="n">
        <f aca="false">MIN(IF(DATOS_[[#This Row],[Fecha Fin Contrato]]="",$D$4,DATOS_[[#This Row],[Fecha Fin Contrato]]),$D$4)-MAX(DATOS_[[#This Row],[Fecha de Contratación]],$D$3)+1</f>
        <v>1</v>
      </c>
      <c r="CI488" s="141" t="str">
        <f aca="false">IF(COUNTIFS(DATOS_[id],DATOS_[[#This Row],[id]])&gt;1,DATOS_[[#This Row],[id]],"")</f>
        <v/>
      </c>
      <c r="CJ488" s="141" t="n">
        <f aca="false">(Inicio!$G$10-DATOS_[[#This Row],[Fecha Nacimiento]])/365.25</f>
        <v>0</v>
      </c>
      <c r="CK488" s="141" t="n">
        <f aca="false">(Inicio!$G$10-DATOS_[[#This Row],[Fecha de Antigüedad]])/365.25</f>
        <v>0</v>
      </c>
      <c r="CL488" s="141" t="e">
        <f aca="false">+VLOOKUP(DATOS_[[#This Row],[Clave de Contrato]],TblTiposContrato13[],3,0)</f>
        <v>#N/A</v>
      </c>
      <c r="CM488" s="141" t="e">
        <f aca="false">+VLOOKUP(DATOS_[[#This Row],[Clave de Contrato]],TblTiposContrato13[],4,0)</f>
        <v>#N/A</v>
      </c>
      <c r="CN488" s="141" t="str">
        <f aca="false">VLOOKUP(DATOS_[[#This Row],[Edad]],CONTRATOS!TblRngEdad,2,1)</f>
        <v>20  o menos</v>
      </c>
      <c r="CO488" s="141" t="str">
        <f aca="false">VLOOKUP(DATOS_[[#This Row],[Antigüedad]],TblRngAntg14[],2,1)</f>
        <v>0 a 1 años</v>
      </c>
    </row>
    <row r="489" customFormat="false" ht="13.8" hidden="false" customHeight="false" outlineLevel="0" collapsed="false">
      <c r="D489" s="128"/>
      <c r="E489" s="129"/>
      <c r="F489" s="129"/>
      <c r="G489" s="129"/>
      <c r="H489" s="130"/>
      <c r="I489" s="131"/>
      <c r="J489" s="128"/>
      <c r="K489" s="132"/>
      <c r="L489" s="132"/>
      <c r="M489" s="133"/>
      <c r="N489" s="133"/>
      <c r="O489" s="133"/>
      <c r="P489" s="129"/>
      <c r="Z489" s="75"/>
      <c r="AA489" s="76"/>
      <c r="AB489" s="76"/>
      <c r="AC489" s="129"/>
      <c r="AD489" s="134"/>
      <c r="AE489" s="134"/>
      <c r="AF489" s="134"/>
      <c r="AG489" s="134"/>
      <c r="AH489" s="134"/>
      <c r="AI489" s="134"/>
      <c r="AJ489" s="134"/>
      <c r="AK489" s="134"/>
      <c r="AL489" s="134"/>
      <c r="AM489" s="134"/>
      <c r="AN489" s="134"/>
      <c r="AO489" s="134"/>
      <c r="AP489" s="134"/>
      <c r="AQ489" s="134"/>
      <c r="AR489" s="134"/>
      <c r="AS489" s="134"/>
      <c r="AT489" s="134"/>
      <c r="AU489" s="134"/>
      <c r="AV489" s="134"/>
      <c r="AW489" s="134"/>
      <c r="AX489" s="134"/>
      <c r="AY489" s="134"/>
      <c r="AZ489" s="134"/>
      <c r="BA489" s="134"/>
      <c r="BB489" s="134"/>
      <c r="BC489" s="134"/>
      <c r="BD489" s="134"/>
      <c r="BE489" s="134"/>
      <c r="BF489" s="134"/>
      <c r="BG489" s="134"/>
      <c r="BH489" s="134"/>
      <c r="BI489" s="134"/>
      <c r="BJ489" s="134"/>
      <c r="BK489" s="134"/>
      <c r="BL489" s="134"/>
      <c r="BM489" s="135"/>
      <c r="BN489" s="136" t="n">
        <f aca="false">+MAX($D$3,DATOS_[[#This Row],[Fecha Inicio Sit. Contract.]])</f>
        <v>0</v>
      </c>
      <c r="BO489" s="136" t="n">
        <f aca="false">+MIN($D$4,DATOS_[[#This Row],[Fecha Fin Sit. Contract.]])</f>
        <v>0</v>
      </c>
      <c r="BP489" s="137" t="n">
        <f aca="false">+DATOS_[[#This Row],[% de jornada]]*IF(DATOS_[[#This Row],[% jornada reducida]]="",1,DATOS_[[#This Row],[% jornada reducida]])</f>
        <v>0</v>
      </c>
      <c r="BQ489" s="137" t="n">
        <f aca="false">+(DATOS_[[#This Row],[F.fin.cal]]-DATOS_[[#This Row],[F.ini.cal]]+1)/($D$4-$D$3+1)</f>
        <v>1</v>
      </c>
      <c r="BR489" s="137" t="str">
        <f aca="false">IF(OR(AND(DATOS_[[#This Row],[Fecha Fin Contrato]]&lt;$D$3,DATOS_[[#This Row],[Fecha Fin Contrato]]&lt;&gt;""),DATOS_[[#This Row],[Fecha de Contratación]]&gt;$D$4),"Fuera","Dentro")</f>
        <v>Dentro</v>
      </c>
      <c r="BS489" s="137" t="str">
        <f aca="false" t="array" ref="BS489:BS489">IF(MAX(IF(DATOS_[id]=DATOS_[[#This Row],[id]],DATOS_[F.fin.cal]))=DATOS_[[#This Row],[F.fin.cal]],"Sí","NO")</f>
        <v>Sí</v>
      </c>
      <c r="BT489" s="137" t="str">
        <f aca="false">IF(AND(DATOS_[[#This Row],[% normaliz]]&lt;&gt;1,DATOS_[[#This Row],[% anualiz]]=1),"Sí","NO")</f>
        <v>Sí</v>
      </c>
      <c r="BU489" s="137" t="str">
        <f aca="false">IF(AND(DATOS_[[#This Row],[% normaliz]]=1,DATOS_[[#This Row],[% anualiz]]&lt;&gt;1),"Sí","NO")</f>
        <v>NO</v>
      </c>
      <c r="BV489" s="137" t="str">
        <f aca="false">IF(AND(DATOS_[[#This Row],[% normaliz]]&lt;&gt;1,DATOS_[[#This Row],[% anualiz]]&lt;&gt;1),"Sí","NO")</f>
        <v>NO</v>
      </c>
      <c r="BW489" s="137" t="str">
        <f aca="false">+IF(DATOS_[[#This Row],[% normaliz]]*DATOS_[[#This Row],[% anualiz]]=1,"NO","Sí")</f>
        <v>Sí</v>
      </c>
      <c r="BX489" s="138" t="e">
        <f aca="false">(DATOS_[[#This Row],[S.BASE]]*(1/DATOS_[[#This Row],[% normaliz]])*(1/DATOS_[[#This Row],[% anualiz]]))*IF(DATOS_[[#This Row],[Check Equiparado]]="Sí",1,0)</f>
        <v>#DIV/0!</v>
      </c>
      <c r="BY4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9" s="138" t="e">
        <f aca="false">+DATOS_[[#This Row],[SALARIO BASE Eq]]+DATOS_[[#This Row],[Tot COMPL.SAL Eq]]</f>
        <v>#DIV/0!</v>
      </c>
      <c r="CA489" s="138" t="e">
        <f aca="false" t="array" ref="CA489:CA4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9" s="138" t="e">
        <f aca="false">+DATOS_[[#This Row],[TOTAL SALARIO Eq]]+DATOS_[[#This Row],[Tot Extrasalarial Eq]]</f>
        <v>#DIV/0!</v>
      </c>
      <c r="CC489" s="139" t="n">
        <f aca="false">DATOS_[[#This Row],[S.BASE]]</f>
        <v>0</v>
      </c>
      <c r="CD489" s="139" t="n">
        <f aca="false">+SUM(DATOS_[[#This Row],[Conc.Sal.01]:[Conc.Sal.30]])</f>
        <v>0</v>
      </c>
      <c r="CE489" s="139" t="n">
        <f aca="false">+DATOS_[[#This Row],[SALARIO BASE Ef]]+DATOS_[[#This Row],[Tot COMPL.SAL Ef]]</f>
        <v>0</v>
      </c>
      <c r="CF489" s="139" t="n">
        <f aca="false">+SUM(DATOS_[[#This Row],[C.Extra.01]:[C.Extra.05]])</f>
        <v>0</v>
      </c>
      <c r="CG489" s="139" t="n">
        <f aca="false">+DATOS_[[#This Row],[TOTAL SALARIO Ef]]+DATOS_[[#This Row],[Tot Extrasalarial Ef]]</f>
        <v>0</v>
      </c>
      <c r="CH489" s="140" t="n">
        <f aca="false">MIN(IF(DATOS_[[#This Row],[Fecha Fin Contrato]]="",$D$4,DATOS_[[#This Row],[Fecha Fin Contrato]]),$D$4)-MAX(DATOS_[[#This Row],[Fecha de Contratación]],$D$3)+1</f>
        <v>1</v>
      </c>
      <c r="CI489" s="141" t="str">
        <f aca="false">IF(COUNTIFS(DATOS_[id],DATOS_[[#This Row],[id]])&gt;1,DATOS_[[#This Row],[id]],"")</f>
        <v/>
      </c>
      <c r="CJ489" s="141" t="n">
        <f aca="false">(Inicio!$G$10-DATOS_[[#This Row],[Fecha Nacimiento]])/365.25</f>
        <v>0</v>
      </c>
      <c r="CK489" s="141" t="n">
        <f aca="false">(Inicio!$G$10-DATOS_[[#This Row],[Fecha de Antigüedad]])/365.25</f>
        <v>0</v>
      </c>
      <c r="CL489" s="141" t="e">
        <f aca="false">+VLOOKUP(DATOS_[[#This Row],[Clave de Contrato]],TblTiposContrato13[],3,0)</f>
        <v>#N/A</v>
      </c>
      <c r="CM489" s="141" t="e">
        <f aca="false">+VLOOKUP(DATOS_[[#This Row],[Clave de Contrato]],TblTiposContrato13[],4,0)</f>
        <v>#N/A</v>
      </c>
      <c r="CN489" s="141" t="str">
        <f aca="false">VLOOKUP(DATOS_[[#This Row],[Edad]],CONTRATOS!TblRngEdad,2,1)</f>
        <v>20  o menos</v>
      </c>
      <c r="CO489" s="141" t="str">
        <f aca="false">VLOOKUP(DATOS_[[#This Row],[Antigüedad]],TblRngAntg14[],2,1)</f>
        <v>0 a 1 años</v>
      </c>
    </row>
    <row r="490" customFormat="false" ht="13.8" hidden="false" customHeight="false" outlineLevel="0" collapsed="false">
      <c r="D490" s="128"/>
      <c r="E490" s="129"/>
      <c r="F490" s="129"/>
      <c r="G490" s="129"/>
      <c r="H490" s="130"/>
      <c r="I490" s="131"/>
      <c r="J490" s="128"/>
      <c r="K490" s="132"/>
      <c r="L490" s="132"/>
      <c r="M490" s="133"/>
      <c r="N490" s="133"/>
      <c r="O490" s="133"/>
      <c r="P490" s="129"/>
      <c r="Z490" s="75"/>
      <c r="AA490" s="76"/>
      <c r="AB490" s="76"/>
      <c r="AC490" s="129"/>
      <c r="AD490" s="134"/>
      <c r="AE490" s="134"/>
      <c r="AF490" s="134"/>
      <c r="AG490" s="134"/>
      <c r="AH490" s="134"/>
      <c r="AI490" s="134"/>
      <c r="AJ490" s="134"/>
      <c r="AK490" s="134"/>
      <c r="AL490" s="134"/>
      <c r="AM490" s="134"/>
      <c r="AN490" s="134"/>
      <c r="AO490" s="134"/>
      <c r="AP490" s="134"/>
      <c r="AQ490" s="134"/>
      <c r="AR490" s="134"/>
      <c r="AS490" s="134"/>
      <c r="AT490" s="134"/>
      <c r="AU490" s="134"/>
      <c r="AV490" s="134"/>
      <c r="AW490" s="134"/>
      <c r="AX490" s="134"/>
      <c r="AY490" s="134"/>
      <c r="AZ490" s="134"/>
      <c r="BA490" s="134"/>
      <c r="BB490" s="134"/>
      <c r="BC490" s="134"/>
      <c r="BD490" s="134"/>
      <c r="BE490" s="134"/>
      <c r="BF490" s="134"/>
      <c r="BG490" s="134"/>
      <c r="BH490" s="134"/>
      <c r="BI490" s="134"/>
      <c r="BJ490" s="134"/>
      <c r="BK490" s="134"/>
      <c r="BL490" s="134"/>
      <c r="BM490" s="135"/>
      <c r="BN490" s="136" t="n">
        <f aca="false">+MAX($D$3,DATOS_[[#This Row],[Fecha Inicio Sit. Contract.]])</f>
        <v>0</v>
      </c>
      <c r="BO490" s="136" t="n">
        <f aca="false">+MIN($D$4,DATOS_[[#This Row],[Fecha Fin Sit. Contract.]])</f>
        <v>0</v>
      </c>
      <c r="BP490" s="137" t="n">
        <f aca="false">+DATOS_[[#This Row],[% de jornada]]*IF(DATOS_[[#This Row],[% jornada reducida]]="",1,DATOS_[[#This Row],[% jornada reducida]])</f>
        <v>0</v>
      </c>
      <c r="BQ490" s="137" t="n">
        <f aca="false">+(DATOS_[[#This Row],[F.fin.cal]]-DATOS_[[#This Row],[F.ini.cal]]+1)/($D$4-$D$3+1)</f>
        <v>1</v>
      </c>
      <c r="BR490" s="137" t="str">
        <f aca="false">IF(OR(AND(DATOS_[[#This Row],[Fecha Fin Contrato]]&lt;$D$3,DATOS_[[#This Row],[Fecha Fin Contrato]]&lt;&gt;""),DATOS_[[#This Row],[Fecha de Contratación]]&gt;$D$4),"Fuera","Dentro")</f>
        <v>Dentro</v>
      </c>
      <c r="BS490" s="137" t="str">
        <f aca="false" t="array" ref="BS490:BS490">IF(MAX(IF(DATOS_[id]=DATOS_[[#This Row],[id]],DATOS_[F.fin.cal]))=DATOS_[[#This Row],[F.fin.cal]],"Sí","NO")</f>
        <v>Sí</v>
      </c>
      <c r="BT490" s="137" t="str">
        <f aca="false">IF(AND(DATOS_[[#This Row],[% normaliz]]&lt;&gt;1,DATOS_[[#This Row],[% anualiz]]=1),"Sí","NO")</f>
        <v>Sí</v>
      </c>
      <c r="BU490" s="137" t="str">
        <f aca="false">IF(AND(DATOS_[[#This Row],[% normaliz]]=1,DATOS_[[#This Row],[% anualiz]]&lt;&gt;1),"Sí","NO")</f>
        <v>NO</v>
      </c>
      <c r="BV490" s="137" t="str">
        <f aca="false">IF(AND(DATOS_[[#This Row],[% normaliz]]&lt;&gt;1,DATOS_[[#This Row],[% anualiz]]&lt;&gt;1),"Sí","NO")</f>
        <v>NO</v>
      </c>
      <c r="BW490" s="137" t="str">
        <f aca="false">+IF(DATOS_[[#This Row],[% normaliz]]*DATOS_[[#This Row],[% anualiz]]=1,"NO","Sí")</f>
        <v>Sí</v>
      </c>
      <c r="BX490" s="138" t="e">
        <f aca="false">(DATOS_[[#This Row],[S.BASE]]*(1/DATOS_[[#This Row],[% normaliz]])*(1/DATOS_[[#This Row],[% anualiz]]))*IF(DATOS_[[#This Row],[Check Equiparado]]="Sí",1,0)</f>
        <v>#DIV/0!</v>
      </c>
      <c r="BY4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0" s="138" t="e">
        <f aca="false">+DATOS_[[#This Row],[SALARIO BASE Eq]]+DATOS_[[#This Row],[Tot COMPL.SAL Eq]]</f>
        <v>#DIV/0!</v>
      </c>
      <c r="CA490" s="138" t="e">
        <f aca="false" t="array" ref="CA490:CA4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0" s="138" t="e">
        <f aca="false">+DATOS_[[#This Row],[TOTAL SALARIO Eq]]+DATOS_[[#This Row],[Tot Extrasalarial Eq]]</f>
        <v>#DIV/0!</v>
      </c>
      <c r="CC490" s="139" t="n">
        <f aca="false">DATOS_[[#This Row],[S.BASE]]</f>
        <v>0</v>
      </c>
      <c r="CD490" s="139" t="n">
        <f aca="false">+SUM(DATOS_[[#This Row],[Conc.Sal.01]:[Conc.Sal.30]])</f>
        <v>0</v>
      </c>
      <c r="CE490" s="139" t="n">
        <f aca="false">+DATOS_[[#This Row],[SALARIO BASE Ef]]+DATOS_[[#This Row],[Tot COMPL.SAL Ef]]</f>
        <v>0</v>
      </c>
      <c r="CF490" s="139" t="n">
        <f aca="false">+SUM(DATOS_[[#This Row],[C.Extra.01]:[C.Extra.05]])</f>
        <v>0</v>
      </c>
      <c r="CG490" s="139" t="n">
        <f aca="false">+DATOS_[[#This Row],[TOTAL SALARIO Ef]]+DATOS_[[#This Row],[Tot Extrasalarial Ef]]</f>
        <v>0</v>
      </c>
      <c r="CH490" s="140" t="n">
        <f aca="false">MIN(IF(DATOS_[[#This Row],[Fecha Fin Contrato]]="",$D$4,DATOS_[[#This Row],[Fecha Fin Contrato]]),$D$4)-MAX(DATOS_[[#This Row],[Fecha de Contratación]],$D$3)+1</f>
        <v>1</v>
      </c>
      <c r="CI490" s="141" t="str">
        <f aca="false">IF(COUNTIFS(DATOS_[id],DATOS_[[#This Row],[id]])&gt;1,DATOS_[[#This Row],[id]],"")</f>
        <v/>
      </c>
      <c r="CJ490" s="141" t="n">
        <f aca="false">(Inicio!$G$10-DATOS_[[#This Row],[Fecha Nacimiento]])/365.25</f>
        <v>0</v>
      </c>
      <c r="CK490" s="141" t="n">
        <f aca="false">(Inicio!$G$10-DATOS_[[#This Row],[Fecha de Antigüedad]])/365.25</f>
        <v>0</v>
      </c>
      <c r="CL490" s="141" t="e">
        <f aca="false">+VLOOKUP(DATOS_[[#This Row],[Clave de Contrato]],TblTiposContrato13[],3,0)</f>
        <v>#N/A</v>
      </c>
      <c r="CM490" s="141" t="e">
        <f aca="false">+VLOOKUP(DATOS_[[#This Row],[Clave de Contrato]],TblTiposContrato13[],4,0)</f>
        <v>#N/A</v>
      </c>
      <c r="CN490" s="141" t="str">
        <f aca="false">VLOOKUP(DATOS_[[#This Row],[Edad]],CONTRATOS!TblRngEdad,2,1)</f>
        <v>20  o menos</v>
      </c>
      <c r="CO490" s="141" t="str">
        <f aca="false">VLOOKUP(DATOS_[[#This Row],[Antigüedad]],TblRngAntg14[],2,1)</f>
        <v>0 a 1 años</v>
      </c>
    </row>
    <row r="491" customFormat="false" ht="13.8" hidden="false" customHeight="false" outlineLevel="0" collapsed="false">
      <c r="D491" s="128"/>
      <c r="E491" s="129"/>
      <c r="F491" s="129"/>
      <c r="G491" s="129"/>
      <c r="H491" s="130"/>
      <c r="I491" s="131"/>
      <c r="J491" s="128"/>
      <c r="K491" s="132"/>
      <c r="L491" s="132"/>
      <c r="M491" s="133"/>
      <c r="N491" s="133"/>
      <c r="O491" s="133"/>
      <c r="P491" s="129"/>
      <c r="Z491" s="75"/>
      <c r="AA491" s="76"/>
      <c r="AB491" s="76"/>
      <c r="AC491" s="129"/>
      <c r="AD491" s="134"/>
      <c r="AE491" s="134"/>
      <c r="AF491" s="134"/>
      <c r="AG491" s="134"/>
      <c r="AH491" s="134"/>
      <c r="AI491" s="134"/>
      <c r="AJ491" s="134"/>
      <c r="AK491" s="134"/>
      <c r="AL491" s="134"/>
      <c r="AM491" s="134"/>
      <c r="AN491" s="134"/>
      <c r="AO491" s="134"/>
      <c r="AP491" s="134"/>
      <c r="AQ491" s="134"/>
      <c r="AR491" s="134"/>
      <c r="AS491" s="134"/>
      <c r="AT491" s="134"/>
      <c r="AU491" s="134"/>
      <c r="AV491" s="134"/>
      <c r="AW491" s="134"/>
      <c r="AX491" s="134"/>
      <c r="AY491" s="134"/>
      <c r="AZ491" s="134"/>
      <c r="BA491" s="134"/>
      <c r="BB491" s="134"/>
      <c r="BC491" s="134"/>
      <c r="BD491" s="134"/>
      <c r="BE491" s="134"/>
      <c r="BF491" s="134"/>
      <c r="BG491" s="134"/>
      <c r="BH491" s="134"/>
      <c r="BI491" s="134"/>
      <c r="BJ491" s="134"/>
      <c r="BK491" s="134"/>
      <c r="BL491" s="134"/>
      <c r="BM491" s="135"/>
      <c r="BN491" s="136" t="n">
        <f aca="false">+MAX($D$3,DATOS_[[#This Row],[Fecha Inicio Sit. Contract.]])</f>
        <v>0</v>
      </c>
      <c r="BO491" s="136" t="n">
        <f aca="false">+MIN($D$4,DATOS_[[#This Row],[Fecha Fin Sit. Contract.]])</f>
        <v>0</v>
      </c>
      <c r="BP491" s="137" t="n">
        <f aca="false">+DATOS_[[#This Row],[% de jornada]]*IF(DATOS_[[#This Row],[% jornada reducida]]="",1,DATOS_[[#This Row],[% jornada reducida]])</f>
        <v>0</v>
      </c>
      <c r="BQ491" s="137" t="n">
        <f aca="false">+(DATOS_[[#This Row],[F.fin.cal]]-DATOS_[[#This Row],[F.ini.cal]]+1)/($D$4-$D$3+1)</f>
        <v>1</v>
      </c>
      <c r="BR491" s="137" t="str">
        <f aca="false">IF(OR(AND(DATOS_[[#This Row],[Fecha Fin Contrato]]&lt;$D$3,DATOS_[[#This Row],[Fecha Fin Contrato]]&lt;&gt;""),DATOS_[[#This Row],[Fecha de Contratación]]&gt;$D$4),"Fuera","Dentro")</f>
        <v>Dentro</v>
      </c>
      <c r="BS491" s="137" t="str">
        <f aca="false" t="array" ref="BS491:BS491">IF(MAX(IF(DATOS_[id]=DATOS_[[#This Row],[id]],DATOS_[F.fin.cal]))=DATOS_[[#This Row],[F.fin.cal]],"Sí","NO")</f>
        <v>Sí</v>
      </c>
      <c r="BT491" s="137" t="str">
        <f aca="false">IF(AND(DATOS_[[#This Row],[% normaliz]]&lt;&gt;1,DATOS_[[#This Row],[% anualiz]]=1),"Sí","NO")</f>
        <v>Sí</v>
      </c>
      <c r="BU491" s="137" t="str">
        <f aca="false">IF(AND(DATOS_[[#This Row],[% normaliz]]=1,DATOS_[[#This Row],[% anualiz]]&lt;&gt;1),"Sí","NO")</f>
        <v>NO</v>
      </c>
      <c r="BV491" s="137" t="str">
        <f aca="false">IF(AND(DATOS_[[#This Row],[% normaliz]]&lt;&gt;1,DATOS_[[#This Row],[% anualiz]]&lt;&gt;1),"Sí","NO")</f>
        <v>NO</v>
      </c>
      <c r="BW491" s="137" t="str">
        <f aca="false">+IF(DATOS_[[#This Row],[% normaliz]]*DATOS_[[#This Row],[% anualiz]]=1,"NO","Sí")</f>
        <v>Sí</v>
      </c>
      <c r="BX491" s="138" t="e">
        <f aca="false">(DATOS_[[#This Row],[S.BASE]]*(1/DATOS_[[#This Row],[% normaliz]])*(1/DATOS_[[#This Row],[% anualiz]]))*IF(DATOS_[[#This Row],[Check Equiparado]]="Sí",1,0)</f>
        <v>#DIV/0!</v>
      </c>
      <c r="BY4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1" s="138" t="e">
        <f aca="false">+DATOS_[[#This Row],[SALARIO BASE Eq]]+DATOS_[[#This Row],[Tot COMPL.SAL Eq]]</f>
        <v>#DIV/0!</v>
      </c>
      <c r="CA491" s="138" t="e">
        <f aca="false" t="array" ref="CA491:CA4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1" s="138" t="e">
        <f aca="false">+DATOS_[[#This Row],[TOTAL SALARIO Eq]]+DATOS_[[#This Row],[Tot Extrasalarial Eq]]</f>
        <v>#DIV/0!</v>
      </c>
      <c r="CC491" s="139" t="n">
        <f aca="false">DATOS_[[#This Row],[S.BASE]]</f>
        <v>0</v>
      </c>
      <c r="CD491" s="139" t="n">
        <f aca="false">+SUM(DATOS_[[#This Row],[Conc.Sal.01]:[Conc.Sal.30]])</f>
        <v>0</v>
      </c>
      <c r="CE491" s="139" t="n">
        <f aca="false">+DATOS_[[#This Row],[SALARIO BASE Ef]]+DATOS_[[#This Row],[Tot COMPL.SAL Ef]]</f>
        <v>0</v>
      </c>
      <c r="CF491" s="139" t="n">
        <f aca="false">+SUM(DATOS_[[#This Row],[C.Extra.01]:[C.Extra.05]])</f>
        <v>0</v>
      </c>
      <c r="CG491" s="139" t="n">
        <f aca="false">+DATOS_[[#This Row],[TOTAL SALARIO Ef]]+DATOS_[[#This Row],[Tot Extrasalarial Ef]]</f>
        <v>0</v>
      </c>
      <c r="CH491" s="140" t="n">
        <f aca="false">MIN(IF(DATOS_[[#This Row],[Fecha Fin Contrato]]="",$D$4,DATOS_[[#This Row],[Fecha Fin Contrato]]),$D$4)-MAX(DATOS_[[#This Row],[Fecha de Contratación]],$D$3)+1</f>
        <v>1</v>
      </c>
      <c r="CI491" s="141" t="str">
        <f aca="false">IF(COUNTIFS(DATOS_[id],DATOS_[[#This Row],[id]])&gt;1,DATOS_[[#This Row],[id]],"")</f>
        <v/>
      </c>
      <c r="CJ491" s="141" t="n">
        <f aca="false">(Inicio!$G$10-DATOS_[[#This Row],[Fecha Nacimiento]])/365.25</f>
        <v>0</v>
      </c>
      <c r="CK491" s="141" t="n">
        <f aca="false">(Inicio!$G$10-DATOS_[[#This Row],[Fecha de Antigüedad]])/365.25</f>
        <v>0</v>
      </c>
      <c r="CL491" s="141" t="e">
        <f aca="false">+VLOOKUP(DATOS_[[#This Row],[Clave de Contrato]],TblTiposContrato13[],3,0)</f>
        <v>#N/A</v>
      </c>
      <c r="CM491" s="141" t="e">
        <f aca="false">+VLOOKUP(DATOS_[[#This Row],[Clave de Contrato]],TblTiposContrato13[],4,0)</f>
        <v>#N/A</v>
      </c>
      <c r="CN491" s="141" t="str">
        <f aca="false">VLOOKUP(DATOS_[[#This Row],[Edad]],CONTRATOS!TblRngEdad,2,1)</f>
        <v>20  o menos</v>
      </c>
      <c r="CO491" s="141" t="str">
        <f aca="false">VLOOKUP(DATOS_[[#This Row],[Antigüedad]],TblRngAntg14[],2,1)</f>
        <v>0 a 1 años</v>
      </c>
    </row>
    <row r="492" customFormat="false" ht="13.8" hidden="false" customHeight="false" outlineLevel="0" collapsed="false">
      <c r="D492" s="128"/>
      <c r="E492" s="129"/>
      <c r="F492" s="129"/>
      <c r="G492" s="129"/>
      <c r="H492" s="130"/>
      <c r="I492" s="131"/>
      <c r="J492" s="128"/>
      <c r="K492" s="132"/>
      <c r="L492" s="132"/>
      <c r="M492" s="133"/>
      <c r="N492" s="133"/>
      <c r="O492" s="133"/>
      <c r="P492" s="129"/>
      <c r="Z492" s="75"/>
      <c r="AA492" s="76"/>
      <c r="AB492" s="76"/>
      <c r="AC492" s="129"/>
      <c r="AD492" s="134"/>
      <c r="AE492" s="134"/>
      <c r="AF492" s="134"/>
      <c r="AG492" s="134"/>
      <c r="AH492" s="134"/>
      <c r="AI492" s="134"/>
      <c r="AJ492" s="134"/>
      <c r="AK492" s="134"/>
      <c r="AL492" s="134"/>
      <c r="AM492" s="134"/>
      <c r="AN492" s="134"/>
      <c r="AO492" s="134"/>
      <c r="AP492" s="134"/>
      <c r="AQ492" s="134"/>
      <c r="AR492" s="134"/>
      <c r="AS492" s="134"/>
      <c r="AT492" s="134"/>
      <c r="AU492" s="134"/>
      <c r="AV492" s="134"/>
      <c r="AW492" s="134"/>
      <c r="AX492" s="134"/>
      <c r="AY492" s="134"/>
      <c r="AZ492" s="134"/>
      <c r="BA492" s="134"/>
      <c r="BB492" s="134"/>
      <c r="BC492" s="134"/>
      <c r="BD492" s="134"/>
      <c r="BE492" s="134"/>
      <c r="BF492" s="134"/>
      <c r="BG492" s="134"/>
      <c r="BH492" s="134"/>
      <c r="BI492" s="134"/>
      <c r="BJ492" s="134"/>
      <c r="BK492" s="134"/>
      <c r="BL492" s="134"/>
      <c r="BM492" s="135"/>
      <c r="BN492" s="136" t="n">
        <f aca="false">+MAX($D$3,DATOS_[[#This Row],[Fecha Inicio Sit. Contract.]])</f>
        <v>0</v>
      </c>
      <c r="BO492" s="136" t="n">
        <f aca="false">+MIN($D$4,DATOS_[[#This Row],[Fecha Fin Sit. Contract.]])</f>
        <v>0</v>
      </c>
      <c r="BP492" s="137" t="n">
        <f aca="false">+DATOS_[[#This Row],[% de jornada]]*IF(DATOS_[[#This Row],[% jornada reducida]]="",1,DATOS_[[#This Row],[% jornada reducida]])</f>
        <v>0</v>
      </c>
      <c r="BQ492" s="137" t="n">
        <f aca="false">+(DATOS_[[#This Row],[F.fin.cal]]-DATOS_[[#This Row],[F.ini.cal]]+1)/($D$4-$D$3+1)</f>
        <v>1</v>
      </c>
      <c r="BR492" s="137" t="str">
        <f aca="false">IF(OR(AND(DATOS_[[#This Row],[Fecha Fin Contrato]]&lt;$D$3,DATOS_[[#This Row],[Fecha Fin Contrato]]&lt;&gt;""),DATOS_[[#This Row],[Fecha de Contratación]]&gt;$D$4),"Fuera","Dentro")</f>
        <v>Dentro</v>
      </c>
      <c r="BS492" s="137" t="str">
        <f aca="false" t="array" ref="BS492:BS492">IF(MAX(IF(DATOS_[id]=DATOS_[[#This Row],[id]],DATOS_[F.fin.cal]))=DATOS_[[#This Row],[F.fin.cal]],"Sí","NO")</f>
        <v>Sí</v>
      </c>
      <c r="BT492" s="137" t="str">
        <f aca="false">IF(AND(DATOS_[[#This Row],[% normaliz]]&lt;&gt;1,DATOS_[[#This Row],[% anualiz]]=1),"Sí","NO")</f>
        <v>Sí</v>
      </c>
      <c r="BU492" s="137" t="str">
        <f aca="false">IF(AND(DATOS_[[#This Row],[% normaliz]]=1,DATOS_[[#This Row],[% anualiz]]&lt;&gt;1),"Sí","NO")</f>
        <v>NO</v>
      </c>
      <c r="BV492" s="137" t="str">
        <f aca="false">IF(AND(DATOS_[[#This Row],[% normaliz]]&lt;&gt;1,DATOS_[[#This Row],[% anualiz]]&lt;&gt;1),"Sí","NO")</f>
        <v>NO</v>
      </c>
      <c r="BW492" s="137" t="str">
        <f aca="false">+IF(DATOS_[[#This Row],[% normaliz]]*DATOS_[[#This Row],[% anualiz]]=1,"NO","Sí")</f>
        <v>Sí</v>
      </c>
      <c r="BX492" s="138" t="e">
        <f aca="false">(DATOS_[[#This Row],[S.BASE]]*(1/DATOS_[[#This Row],[% normaliz]])*(1/DATOS_[[#This Row],[% anualiz]]))*IF(DATOS_[[#This Row],[Check Equiparado]]="Sí",1,0)</f>
        <v>#DIV/0!</v>
      </c>
      <c r="BY4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2" s="138" t="e">
        <f aca="false">+DATOS_[[#This Row],[SALARIO BASE Eq]]+DATOS_[[#This Row],[Tot COMPL.SAL Eq]]</f>
        <v>#DIV/0!</v>
      </c>
      <c r="CA492" s="138" t="e">
        <f aca="false" t="array" ref="CA492:CA4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2" s="138" t="e">
        <f aca="false">+DATOS_[[#This Row],[TOTAL SALARIO Eq]]+DATOS_[[#This Row],[Tot Extrasalarial Eq]]</f>
        <v>#DIV/0!</v>
      </c>
      <c r="CC492" s="139" t="n">
        <f aca="false">DATOS_[[#This Row],[S.BASE]]</f>
        <v>0</v>
      </c>
      <c r="CD492" s="139" t="n">
        <f aca="false">+SUM(DATOS_[[#This Row],[Conc.Sal.01]:[Conc.Sal.30]])</f>
        <v>0</v>
      </c>
      <c r="CE492" s="139" t="n">
        <f aca="false">+DATOS_[[#This Row],[SALARIO BASE Ef]]+DATOS_[[#This Row],[Tot COMPL.SAL Ef]]</f>
        <v>0</v>
      </c>
      <c r="CF492" s="139" t="n">
        <f aca="false">+SUM(DATOS_[[#This Row],[C.Extra.01]:[C.Extra.05]])</f>
        <v>0</v>
      </c>
      <c r="CG492" s="139" t="n">
        <f aca="false">+DATOS_[[#This Row],[TOTAL SALARIO Ef]]+DATOS_[[#This Row],[Tot Extrasalarial Ef]]</f>
        <v>0</v>
      </c>
      <c r="CH492" s="140" t="n">
        <f aca="false">MIN(IF(DATOS_[[#This Row],[Fecha Fin Contrato]]="",$D$4,DATOS_[[#This Row],[Fecha Fin Contrato]]),$D$4)-MAX(DATOS_[[#This Row],[Fecha de Contratación]],$D$3)+1</f>
        <v>1</v>
      </c>
      <c r="CI492" s="141" t="str">
        <f aca="false">IF(COUNTIFS(DATOS_[id],DATOS_[[#This Row],[id]])&gt;1,DATOS_[[#This Row],[id]],"")</f>
        <v/>
      </c>
      <c r="CJ492" s="141" t="n">
        <f aca="false">(Inicio!$G$10-DATOS_[[#This Row],[Fecha Nacimiento]])/365.25</f>
        <v>0</v>
      </c>
      <c r="CK492" s="141" t="n">
        <f aca="false">(Inicio!$G$10-DATOS_[[#This Row],[Fecha de Antigüedad]])/365.25</f>
        <v>0</v>
      </c>
      <c r="CL492" s="141" t="e">
        <f aca="false">+VLOOKUP(DATOS_[[#This Row],[Clave de Contrato]],TblTiposContrato13[],3,0)</f>
        <v>#N/A</v>
      </c>
      <c r="CM492" s="141" t="e">
        <f aca="false">+VLOOKUP(DATOS_[[#This Row],[Clave de Contrato]],TblTiposContrato13[],4,0)</f>
        <v>#N/A</v>
      </c>
      <c r="CN492" s="141" t="str">
        <f aca="false">VLOOKUP(DATOS_[[#This Row],[Edad]],CONTRATOS!TblRngEdad,2,1)</f>
        <v>20  o menos</v>
      </c>
      <c r="CO492" s="141" t="str">
        <f aca="false">VLOOKUP(DATOS_[[#This Row],[Antigüedad]],TblRngAntg14[],2,1)</f>
        <v>0 a 1 años</v>
      </c>
    </row>
    <row r="493" customFormat="false" ht="13.8" hidden="false" customHeight="false" outlineLevel="0" collapsed="false">
      <c r="D493" s="128"/>
      <c r="E493" s="129"/>
      <c r="F493" s="129"/>
      <c r="G493" s="129"/>
      <c r="H493" s="130"/>
      <c r="I493" s="131"/>
      <c r="J493" s="128"/>
      <c r="K493" s="132"/>
      <c r="L493" s="132"/>
      <c r="M493" s="133"/>
      <c r="N493" s="133"/>
      <c r="O493" s="133"/>
      <c r="P493" s="129"/>
      <c r="Z493" s="75"/>
      <c r="AA493" s="76"/>
      <c r="AB493" s="76"/>
      <c r="AC493" s="129"/>
      <c r="AD493" s="134"/>
      <c r="AE493" s="134"/>
      <c r="AF493" s="134"/>
      <c r="AG493" s="134"/>
      <c r="AH493" s="134"/>
      <c r="AI493" s="134"/>
      <c r="AJ493" s="134"/>
      <c r="AK493" s="134"/>
      <c r="AL493" s="134"/>
      <c r="AM493" s="134"/>
      <c r="AN493" s="134"/>
      <c r="AO493" s="134"/>
      <c r="AP493" s="134"/>
      <c r="AQ493" s="134"/>
      <c r="AR493" s="134"/>
      <c r="AS493" s="134"/>
      <c r="AT493" s="134"/>
      <c r="AU493" s="134"/>
      <c r="AV493" s="134"/>
      <c r="AW493" s="134"/>
      <c r="AX493" s="134"/>
      <c r="AY493" s="134"/>
      <c r="AZ493" s="134"/>
      <c r="BA493" s="134"/>
      <c r="BB493" s="134"/>
      <c r="BC493" s="134"/>
      <c r="BD493" s="134"/>
      <c r="BE493" s="134"/>
      <c r="BF493" s="134"/>
      <c r="BG493" s="134"/>
      <c r="BH493" s="134"/>
      <c r="BI493" s="134"/>
      <c r="BJ493" s="134"/>
      <c r="BK493" s="134"/>
      <c r="BL493" s="134"/>
      <c r="BM493" s="135"/>
      <c r="BN493" s="136" t="n">
        <f aca="false">+MAX($D$3,DATOS_[[#This Row],[Fecha Inicio Sit. Contract.]])</f>
        <v>0</v>
      </c>
      <c r="BO493" s="136" t="n">
        <f aca="false">+MIN($D$4,DATOS_[[#This Row],[Fecha Fin Sit. Contract.]])</f>
        <v>0</v>
      </c>
      <c r="BP493" s="137" t="n">
        <f aca="false">+DATOS_[[#This Row],[% de jornada]]*IF(DATOS_[[#This Row],[% jornada reducida]]="",1,DATOS_[[#This Row],[% jornada reducida]])</f>
        <v>0</v>
      </c>
      <c r="BQ493" s="137" t="n">
        <f aca="false">+(DATOS_[[#This Row],[F.fin.cal]]-DATOS_[[#This Row],[F.ini.cal]]+1)/($D$4-$D$3+1)</f>
        <v>1</v>
      </c>
      <c r="BR493" s="137" t="str">
        <f aca="false">IF(OR(AND(DATOS_[[#This Row],[Fecha Fin Contrato]]&lt;$D$3,DATOS_[[#This Row],[Fecha Fin Contrato]]&lt;&gt;""),DATOS_[[#This Row],[Fecha de Contratación]]&gt;$D$4),"Fuera","Dentro")</f>
        <v>Dentro</v>
      </c>
      <c r="BS493" s="137" t="str">
        <f aca="false" t="array" ref="BS493:BS493">IF(MAX(IF(DATOS_[id]=DATOS_[[#This Row],[id]],DATOS_[F.fin.cal]))=DATOS_[[#This Row],[F.fin.cal]],"Sí","NO")</f>
        <v>Sí</v>
      </c>
      <c r="BT493" s="137" t="str">
        <f aca="false">IF(AND(DATOS_[[#This Row],[% normaliz]]&lt;&gt;1,DATOS_[[#This Row],[% anualiz]]=1),"Sí","NO")</f>
        <v>Sí</v>
      </c>
      <c r="BU493" s="137" t="str">
        <f aca="false">IF(AND(DATOS_[[#This Row],[% normaliz]]=1,DATOS_[[#This Row],[% anualiz]]&lt;&gt;1),"Sí","NO")</f>
        <v>NO</v>
      </c>
      <c r="BV493" s="137" t="str">
        <f aca="false">IF(AND(DATOS_[[#This Row],[% normaliz]]&lt;&gt;1,DATOS_[[#This Row],[% anualiz]]&lt;&gt;1),"Sí","NO")</f>
        <v>NO</v>
      </c>
      <c r="BW493" s="137" t="str">
        <f aca="false">+IF(DATOS_[[#This Row],[% normaliz]]*DATOS_[[#This Row],[% anualiz]]=1,"NO","Sí")</f>
        <v>Sí</v>
      </c>
      <c r="BX493" s="138" t="e">
        <f aca="false">(DATOS_[[#This Row],[S.BASE]]*(1/DATOS_[[#This Row],[% normaliz]])*(1/DATOS_[[#This Row],[% anualiz]]))*IF(DATOS_[[#This Row],[Check Equiparado]]="Sí",1,0)</f>
        <v>#DIV/0!</v>
      </c>
      <c r="BY4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3" s="138" t="e">
        <f aca="false">+DATOS_[[#This Row],[SALARIO BASE Eq]]+DATOS_[[#This Row],[Tot COMPL.SAL Eq]]</f>
        <v>#DIV/0!</v>
      </c>
      <c r="CA493" s="138" t="e">
        <f aca="false" t="array" ref="CA493:CA4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3" s="138" t="e">
        <f aca="false">+DATOS_[[#This Row],[TOTAL SALARIO Eq]]+DATOS_[[#This Row],[Tot Extrasalarial Eq]]</f>
        <v>#DIV/0!</v>
      </c>
      <c r="CC493" s="139" t="n">
        <f aca="false">DATOS_[[#This Row],[S.BASE]]</f>
        <v>0</v>
      </c>
      <c r="CD493" s="139" t="n">
        <f aca="false">+SUM(DATOS_[[#This Row],[Conc.Sal.01]:[Conc.Sal.30]])</f>
        <v>0</v>
      </c>
      <c r="CE493" s="139" t="n">
        <f aca="false">+DATOS_[[#This Row],[SALARIO BASE Ef]]+DATOS_[[#This Row],[Tot COMPL.SAL Ef]]</f>
        <v>0</v>
      </c>
      <c r="CF493" s="139" t="n">
        <f aca="false">+SUM(DATOS_[[#This Row],[C.Extra.01]:[C.Extra.05]])</f>
        <v>0</v>
      </c>
      <c r="CG493" s="139" t="n">
        <f aca="false">+DATOS_[[#This Row],[TOTAL SALARIO Ef]]+DATOS_[[#This Row],[Tot Extrasalarial Ef]]</f>
        <v>0</v>
      </c>
      <c r="CH493" s="140" t="n">
        <f aca="false">MIN(IF(DATOS_[[#This Row],[Fecha Fin Contrato]]="",$D$4,DATOS_[[#This Row],[Fecha Fin Contrato]]),$D$4)-MAX(DATOS_[[#This Row],[Fecha de Contratación]],$D$3)+1</f>
        <v>1</v>
      </c>
      <c r="CI493" s="141" t="str">
        <f aca="false">IF(COUNTIFS(DATOS_[id],DATOS_[[#This Row],[id]])&gt;1,DATOS_[[#This Row],[id]],"")</f>
        <v/>
      </c>
      <c r="CJ493" s="141" t="n">
        <f aca="false">(Inicio!$G$10-DATOS_[[#This Row],[Fecha Nacimiento]])/365.25</f>
        <v>0</v>
      </c>
      <c r="CK493" s="141" t="n">
        <f aca="false">(Inicio!$G$10-DATOS_[[#This Row],[Fecha de Antigüedad]])/365.25</f>
        <v>0</v>
      </c>
      <c r="CL493" s="141" t="e">
        <f aca="false">+VLOOKUP(DATOS_[[#This Row],[Clave de Contrato]],TblTiposContrato13[],3,0)</f>
        <v>#N/A</v>
      </c>
      <c r="CM493" s="141" t="e">
        <f aca="false">+VLOOKUP(DATOS_[[#This Row],[Clave de Contrato]],TblTiposContrato13[],4,0)</f>
        <v>#N/A</v>
      </c>
      <c r="CN493" s="141" t="str">
        <f aca="false">VLOOKUP(DATOS_[[#This Row],[Edad]],CONTRATOS!TblRngEdad,2,1)</f>
        <v>20  o menos</v>
      </c>
      <c r="CO493" s="141" t="str">
        <f aca="false">VLOOKUP(DATOS_[[#This Row],[Antigüedad]],TblRngAntg14[],2,1)</f>
        <v>0 a 1 años</v>
      </c>
    </row>
    <row r="494" customFormat="false" ht="13.8" hidden="false" customHeight="false" outlineLevel="0" collapsed="false">
      <c r="D494" s="128"/>
      <c r="E494" s="129"/>
      <c r="F494" s="129"/>
      <c r="G494" s="129"/>
      <c r="H494" s="130"/>
      <c r="I494" s="131"/>
      <c r="J494" s="128"/>
      <c r="K494" s="132"/>
      <c r="L494" s="132"/>
      <c r="M494" s="133"/>
      <c r="N494" s="133"/>
      <c r="O494" s="133"/>
      <c r="P494" s="129"/>
      <c r="Z494" s="75"/>
      <c r="AA494" s="76"/>
      <c r="AB494" s="76"/>
      <c r="AC494" s="129"/>
      <c r="AD494" s="134"/>
      <c r="AE494" s="134"/>
      <c r="AF494" s="134"/>
      <c r="AG494" s="134"/>
      <c r="AH494" s="134"/>
      <c r="AI494" s="134"/>
      <c r="AJ494" s="134"/>
      <c r="AK494" s="134"/>
      <c r="AL494" s="134"/>
      <c r="AM494" s="134"/>
      <c r="AN494" s="134"/>
      <c r="AO494" s="134"/>
      <c r="AP494" s="134"/>
      <c r="AQ494" s="134"/>
      <c r="AR494" s="134"/>
      <c r="AS494" s="134"/>
      <c r="AT494" s="134"/>
      <c r="AU494" s="134"/>
      <c r="AV494" s="134"/>
      <c r="AW494" s="134"/>
      <c r="AX494" s="134"/>
      <c r="AY494" s="134"/>
      <c r="AZ494" s="134"/>
      <c r="BA494" s="134"/>
      <c r="BB494" s="134"/>
      <c r="BC494" s="134"/>
      <c r="BD494" s="134"/>
      <c r="BE494" s="134"/>
      <c r="BF494" s="134"/>
      <c r="BG494" s="134"/>
      <c r="BH494" s="134"/>
      <c r="BI494" s="134"/>
      <c r="BJ494" s="134"/>
      <c r="BK494" s="134"/>
      <c r="BL494" s="134"/>
      <c r="BM494" s="135"/>
      <c r="BN494" s="136" t="n">
        <f aca="false">+MAX($D$3,DATOS_[[#This Row],[Fecha Inicio Sit. Contract.]])</f>
        <v>0</v>
      </c>
      <c r="BO494" s="136" t="n">
        <f aca="false">+MIN($D$4,DATOS_[[#This Row],[Fecha Fin Sit. Contract.]])</f>
        <v>0</v>
      </c>
      <c r="BP494" s="137" t="n">
        <f aca="false">+DATOS_[[#This Row],[% de jornada]]*IF(DATOS_[[#This Row],[% jornada reducida]]="",1,DATOS_[[#This Row],[% jornada reducida]])</f>
        <v>0</v>
      </c>
      <c r="BQ494" s="137" t="n">
        <f aca="false">+(DATOS_[[#This Row],[F.fin.cal]]-DATOS_[[#This Row],[F.ini.cal]]+1)/($D$4-$D$3+1)</f>
        <v>1</v>
      </c>
      <c r="BR494" s="137" t="str">
        <f aca="false">IF(OR(AND(DATOS_[[#This Row],[Fecha Fin Contrato]]&lt;$D$3,DATOS_[[#This Row],[Fecha Fin Contrato]]&lt;&gt;""),DATOS_[[#This Row],[Fecha de Contratación]]&gt;$D$4),"Fuera","Dentro")</f>
        <v>Dentro</v>
      </c>
      <c r="BS494" s="137" t="str">
        <f aca="false" t="array" ref="BS494:BS494">IF(MAX(IF(DATOS_[id]=DATOS_[[#This Row],[id]],DATOS_[F.fin.cal]))=DATOS_[[#This Row],[F.fin.cal]],"Sí","NO")</f>
        <v>Sí</v>
      </c>
      <c r="BT494" s="137" t="str">
        <f aca="false">IF(AND(DATOS_[[#This Row],[% normaliz]]&lt;&gt;1,DATOS_[[#This Row],[% anualiz]]=1),"Sí","NO")</f>
        <v>Sí</v>
      </c>
      <c r="BU494" s="137" t="str">
        <f aca="false">IF(AND(DATOS_[[#This Row],[% normaliz]]=1,DATOS_[[#This Row],[% anualiz]]&lt;&gt;1),"Sí","NO")</f>
        <v>NO</v>
      </c>
      <c r="BV494" s="137" t="str">
        <f aca="false">IF(AND(DATOS_[[#This Row],[% normaliz]]&lt;&gt;1,DATOS_[[#This Row],[% anualiz]]&lt;&gt;1),"Sí","NO")</f>
        <v>NO</v>
      </c>
      <c r="BW494" s="137" t="str">
        <f aca="false">+IF(DATOS_[[#This Row],[% normaliz]]*DATOS_[[#This Row],[% anualiz]]=1,"NO","Sí")</f>
        <v>Sí</v>
      </c>
      <c r="BX494" s="138" t="e">
        <f aca="false">(DATOS_[[#This Row],[S.BASE]]*(1/DATOS_[[#This Row],[% normaliz]])*(1/DATOS_[[#This Row],[% anualiz]]))*IF(DATOS_[[#This Row],[Check Equiparado]]="Sí",1,0)</f>
        <v>#DIV/0!</v>
      </c>
      <c r="BY4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4" s="138" t="e">
        <f aca="false">+DATOS_[[#This Row],[SALARIO BASE Eq]]+DATOS_[[#This Row],[Tot COMPL.SAL Eq]]</f>
        <v>#DIV/0!</v>
      </c>
      <c r="CA494" s="138" t="e">
        <f aca="false" t="array" ref="CA494:CA4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4" s="138" t="e">
        <f aca="false">+DATOS_[[#This Row],[TOTAL SALARIO Eq]]+DATOS_[[#This Row],[Tot Extrasalarial Eq]]</f>
        <v>#DIV/0!</v>
      </c>
      <c r="CC494" s="139" t="n">
        <f aca="false">DATOS_[[#This Row],[S.BASE]]</f>
        <v>0</v>
      </c>
      <c r="CD494" s="139" t="n">
        <f aca="false">+SUM(DATOS_[[#This Row],[Conc.Sal.01]:[Conc.Sal.30]])</f>
        <v>0</v>
      </c>
      <c r="CE494" s="139" t="n">
        <f aca="false">+DATOS_[[#This Row],[SALARIO BASE Ef]]+DATOS_[[#This Row],[Tot COMPL.SAL Ef]]</f>
        <v>0</v>
      </c>
      <c r="CF494" s="139" t="n">
        <f aca="false">+SUM(DATOS_[[#This Row],[C.Extra.01]:[C.Extra.05]])</f>
        <v>0</v>
      </c>
      <c r="CG494" s="139" t="n">
        <f aca="false">+DATOS_[[#This Row],[TOTAL SALARIO Ef]]+DATOS_[[#This Row],[Tot Extrasalarial Ef]]</f>
        <v>0</v>
      </c>
      <c r="CH494" s="140" t="n">
        <f aca="false">MIN(IF(DATOS_[[#This Row],[Fecha Fin Contrato]]="",$D$4,DATOS_[[#This Row],[Fecha Fin Contrato]]),$D$4)-MAX(DATOS_[[#This Row],[Fecha de Contratación]],$D$3)+1</f>
        <v>1</v>
      </c>
      <c r="CI494" s="141" t="str">
        <f aca="false">IF(COUNTIFS(DATOS_[id],DATOS_[[#This Row],[id]])&gt;1,DATOS_[[#This Row],[id]],"")</f>
        <v/>
      </c>
      <c r="CJ494" s="141" t="n">
        <f aca="false">(Inicio!$G$10-DATOS_[[#This Row],[Fecha Nacimiento]])/365.25</f>
        <v>0</v>
      </c>
      <c r="CK494" s="141" t="n">
        <f aca="false">(Inicio!$G$10-DATOS_[[#This Row],[Fecha de Antigüedad]])/365.25</f>
        <v>0</v>
      </c>
      <c r="CL494" s="141" t="e">
        <f aca="false">+VLOOKUP(DATOS_[[#This Row],[Clave de Contrato]],TblTiposContrato13[],3,0)</f>
        <v>#N/A</v>
      </c>
      <c r="CM494" s="141" t="e">
        <f aca="false">+VLOOKUP(DATOS_[[#This Row],[Clave de Contrato]],TblTiposContrato13[],4,0)</f>
        <v>#N/A</v>
      </c>
      <c r="CN494" s="141" t="str">
        <f aca="false">VLOOKUP(DATOS_[[#This Row],[Edad]],CONTRATOS!TblRngEdad,2,1)</f>
        <v>20  o menos</v>
      </c>
      <c r="CO494" s="141" t="str">
        <f aca="false">VLOOKUP(DATOS_[[#This Row],[Antigüedad]],TblRngAntg14[],2,1)</f>
        <v>0 a 1 años</v>
      </c>
    </row>
    <row r="495" customFormat="false" ht="13.8" hidden="false" customHeight="false" outlineLevel="0" collapsed="false">
      <c r="D495" s="128"/>
      <c r="E495" s="129"/>
      <c r="F495" s="129"/>
      <c r="G495" s="129"/>
      <c r="H495" s="130"/>
      <c r="I495" s="131"/>
      <c r="J495" s="128"/>
      <c r="K495" s="132"/>
      <c r="L495" s="132"/>
      <c r="M495" s="133"/>
      <c r="N495" s="133"/>
      <c r="O495" s="133"/>
      <c r="P495" s="129"/>
      <c r="Z495" s="75"/>
      <c r="AA495" s="76"/>
      <c r="AB495" s="76"/>
      <c r="AC495" s="129"/>
      <c r="AD495" s="134"/>
      <c r="AE495" s="134"/>
      <c r="AF495" s="134"/>
      <c r="AG495" s="134"/>
      <c r="AH495" s="134"/>
      <c r="AI495" s="134"/>
      <c r="AJ495" s="134"/>
      <c r="AK495" s="134"/>
      <c r="AL495" s="134"/>
      <c r="AM495" s="134"/>
      <c r="AN495" s="134"/>
      <c r="AO495" s="134"/>
      <c r="AP495" s="134"/>
      <c r="AQ495" s="134"/>
      <c r="AR495" s="134"/>
      <c r="AS495" s="134"/>
      <c r="AT495" s="134"/>
      <c r="AU495" s="134"/>
      <c r="AV495" s="134"/>
      <c r="AW495" s="134"/>
      <c r="AX495" s="134"/>
      <c r="AY495" s="134"/>
      <c r="AZ495" s="134"/>
      <c r="BA495" s="134"/>
      <c r="BB495" s="134"/>
      <c r="BC495" s="134"/>
      <c r="BD495" s="134"/>
      <c r="BE495" s="134"/>
      <c r="BF495" s="134"/>
      <c r="BG495" s="134"/>
      <c r="BH495" s="134"/>
      <c r="BI495" s="134"/>
      <c r="BJ495" s="134"/>
      <c r="BK495" s="134"/>
      <c r="BL495" s="134"/>
      <c r="BM495" s="135"/>
      <c r="BN495" s="136" t="n">
        <f aca="false">+MAX($D$3,DATOS_[[#This Row],[Fecha Inicio Sit. Contract.]])</f>
        <v>0</v>
      </c>
      <c r="BO495" s="136" t="n">
        <f aca="false">+MIN($D$4,DATOS_[[#This Row],[Fecha Fin Sit. Contract.]])</f>
        <v>0</v>
      </c>
      <c r="BP495" s="137" t="n">
        <f aca="false">+DATOS_[[#This Row],[% de jornada]]*IF(DATOS_[[#This Row],[% jornada reducida]]="",1,DATOS_[[#This Row],[% jornada reducida]])</f>
        <v>0</v>
      </c>
      <c r="BQ495" s="137" t="n">
        <f aca="false">+(DATOS_[[#This Row],[F.fin.cal]]-DATOS_[[#This Row],[F.ini.cal]]+1)/($D$4-$D$3+1)</f>
        <v>1</v>
      </c>
      <c r="BR495" s="137" t="str">
        <f aca="false">IF(OR(AND(DATOS_[[#This Row],[Fecha Fin Contrato]]&lt;$D$3,DATOS_[[#This Row],[Fecha Fin Contrato]]&lt;&gt;""),DATOS_[[#This Row],[Fecha de Contratación]]&gt;$D$4),"Fuera","Dentro")</f>
        <v>Dentro</v>
      </c>
      <c r="BS495" s="137" t="str">
        <f aca="false" t="array" ref="BS495:BS495">IF(MAX(IF(DATOS_[id]=DATOS_[[#This Row],[id]],DATOS_[F.fin.cal]))=DATOS_[[#This Row],[F.fin.cal]],"Sí","NO")</f>
        <v>Sí</v>
      </c>
      <c r="BT495" s="137" t="str">
        <f aca="false">IF(AND(DATOS_[[#This Row],[% normaliz]]&lt;&gt;1,DATOS_[[#This Row],[% anualiz]]=1),"Sí","NO")</f>
        <v>Sí</v>
      </c>
      <c r="BU495" s="137" t="str">
        <f aca="false">IF(AND(DATOS_[[#This Row],[% normaliz]]=1,DATOS_[[#This Row],[% anualiz]]&lt;&gt;1),"Sí","NO")</f>
        <v>NO</v>
      </c>
      <c r="BV495" s="137" t="str">
        <f aca="false">IF(AND(DATOS_[[#This Row],[% normaliz]]&lt;&gt;1,DATOS_[[#This Row],[% anualiz]]&lt;&gt;1),"Sí","NO")</f>
        <v>NO</v>
      </c>
      <c r="BW495" s="137" t="str">
        <f aca="false">+IF(DATOS_[[#This Row],[% normaliz]]*DATOS_[[#This Row],[% anualiz]]=1,"NO","Sí")</f>
        <v>Sí</v>
      </c>
      <c r="BX495" s="138" t="e">
        <f aca="false">(DATOS_[[#This Row],[S.BASE]]*(1/DATOS_[[#This Row],[% normaliz]])*(1/DATOS_[[#This Row],[% anualiz]]))*IF(DATOS_[[#This Row],[Check Equiparado]]="Sí",1,0)</f>
        <v>#DIV/0!</v>
      </c>
      <c r="BY4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5" s="138" t="e">
        <f aca="false">+DATOS_[[#This Row],[SALARIO BASE Eq]]+DATOS_[[#This Row],[Tot COMPL.SAL Eq]]</f>
        <v>#DIV/0!</v>
      </c>
      <c r="CA495" s="138" t="e">
        <f aca="false" t="array" ref="CA495:CA4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5" s="138" t="e">
        <f aca="false">+DATOS_[[#This Row],[TOTAL SALARIO Eq]]+DATOS_[[#This Row],[Tot Extrasalarial Eq]]</f>
        <v>#DIV/0!</v>
      </c>
      <c r="CC495" s="139" t="n">
        <f aca="false">DATOS_[[#This Row],[S.BASE]]</f>
        <v>0</v>
      </c>
      <c r="CD495" s="139" t="n">
        <f aca="false">+SUM(DATOS_[[#This Row],[Conc.Sal.01]:[Conc.Sal.30]])</f>
        <v>0</v>
      </c>
      <c r="CE495" s="139" t="n">
        <f aca="false">+DATOS_[[#This Row],[SALARIO BASE Ef]]+DATOS_[[#This Row],[Tot COMPL.SAL Ef]]</f>
        <v>0</v>
      </c>
      <c r="CF495" s="139" t="n">
        <f aca="false">+SUM(DATOS_[[#This Row],[C.Extra.01]:[C.Extra.05]])</f>
        <v>0</v>
      </c>
      <c r="CG495" s="139" t="n">
        <f aca="false">+DATOS_[[#This Row],[TOTAL SALARIO Ef]]+DATOS_[[#This Row],[Tot Extrasalarial Ef]]</f>
        <v>0</v>
      </c>
      <c r="CH495" s="140" t="n">
        <f aca="false">MIN(IF(DATOS_[[#This Row],[Fecha Fin Contrato]]="",$D$4,DATOS_[[#This Row],[Fecha Fin Contrato]]),$D$4)-MAX(DATOS_[[#This Row],[Fecha de Contratación]],$D$3)+1</f>
        <v>1</v>
      </c>
      <c r="CI495" s="141" t="str">
        <f aca="false">IF(COUNTIFS(DATOS_[id],DATOS_[[#This Row],[id]])&gt;1,DATOS_[[#This Row],[id]],"")</f>
        <v/>
      </c>
      <c r="CJ495" s="141" t="n">
        <f aca="false">(Inicio!$G$10-DATOS_[[#This Row],[Fecha Nacimiento]])/365.25</f>
        <v>0</v>
      </c>
      <c r="CK495" s="141" t="n">
        <f aca="false">(Inicio!$G$10-DATOS_[[#This Row],[Fecha de Antigüedad]])/365.25</f>
        <v>0</v>
      </c>
      <c r="CL495" s="141" t="e">
        <f aca="false">+VLOOKUP(DATOS_[[#This Row],[Clave de Contrato]],TblTiposContrato13[],3,0)</f>
        <v>#N/A</v>
      </c>
      <c r="CM495" s="141" t="e">
        <f aca="false">+VLOOKUP(DATOS_[[#This Row],[Clave de Contrato]],TblTiposContrato13[],4,0)</f>
        <v>#N/A</v>
      </c>
      <c r="CN495" s="141" t="str">
        <f aca="false">VLOOKUP(DATOS_[[#This Row],[Edad]],CONTRATOS!TblRngEdad,2,1)</f>
        <v>20  o menos</v>
      </c>
      <c r="CO495" s="141" t="str">
        <f aca="false">VLOOKUP(DATOS_[[#This Row],[Antigüedad]],TblRngAntg14[],2,1)</f>
        <v>0 a 1 años</v>
      </c>
    </row>
    <row r="496" customFormat="false" ht="13.8" hidden="false" customHeight="false" outlineLevel="0" collapsed="false">
      <c r="D496" s="128"/>
      <c r="E496" s="129"/>
      <c r="F496" s="129"/>
      <c r="G496" s="129"/>
      <c r="H496" s="130"/>
      <c r="I496" s="131"/>
      <c r="J496" s="128"/>
      <c r="K496" s="132"/>
      <c r="L496" s="132"/>
      <c r="M496" s="133"/>
      <c r="N496" s="133"/>
      <c r="O496" s="133"/>
      <c r="P496" s="129"/>
      <c r="Z496" s="75"/>
      <c r="AA496" s="76"/>
      <c r="AB496" s="76"/>
      <c r="AC496" s="129"/>
      <c r="AD496" s="134"/>
      <c r="AE496" s="134"/>
      <c r="AF496" s="134"/>
      <c r="AG496" s="134"/>
      <c r="AH496" s="134"/>
      <c r="AI496" s="134"/>
      <c r="AJ496" s="134"/>
      <c r="AK496" s="134"/>
      <c r="AL496" s="134"/>
      <c r="AM496" s="134"/>
      <c r="AN496" s="134"/>
      <c r="AO496" s="134"/>
      <c r="AP496" s="134"/>
      <c r="AQ496" s="134"/>
      <c r="AR496" s="134"/>
      <c r="AS496" s="134"/>
      <c r="AT496" s="134"/>
      <c r="AU496" s="134"/>
      <c r="AV496" s="134"/>
      <c r="AW496" s="134"/>
      <c r="AX496" s="134"/>
      <c r="AY496" s="134"/>
      <c r="AZ496" s="134"/>
      <c r="BA496" s="134"/>
      <c r="BB496" s="134"/>
      <c r="BC496" s="134"/>
      <c r="BD496" s="134"/>
      <c r="BE496" s="134"/>
      <c r="BF496" s="134"/>
      <c r="BG496" s="134"/>
      <c r="BH496" s="134"/>
      <c r="BI496" s="134"/>
      <c r="BJ496" s="134"/>
      <c r="BK496" s="134"/>
      <c r="BL496" s="134"/>
      <c r="BM496" s="135"/>
      <c r="BN496" s="136" t="n">
        <f aca="false">+MAX($D$3,DATOS_[[#This Row],[Fecha Inicio Sit. Contract.]])</f>
        <v>0</v>
      </c>
      <c r="BO496" s="136" t="n">
        <f aca="false">+MIN($D$4,DATOS_[[#This Row],[Fecha Fin Sit. Contract.]])</f>
        <v>0</v>
      </c>
      <c r="BP496" s="137" t="n">
        <f aca="false">+DATOS_[[#This Row],[% de jornada]]*IF(DATOS_[[#This Row],[% jornada reducida]]="",1,DATOS_[[#This Row],[% jornada reducida]])</f>
        <v>0</v>
      </c>
      <c r="BQ496" s="137" t="n">
        <f aca="false">+(DATOS_[[#This Row],[F.fin.cal]]-DATOS_[[#This Row],[F.ini.cal]]+1)/($D$4-$D$3+1)</f>
        <v>1</v>
      </c>
      <c r="BR496" s="137" t="str">
        <f aca="false">IF(OR(AND(DATOS_[[#This Row],[Fecha Fin Contrato]]&lt;$D$3,DATOS_[[#This Row],[Fecha Fin Contrato]]&lt;&gt;""),DATOS_[[#This Row],[Fecha de Contratación]]&gt;$D$4),"Fuera","Dentro")</f>
        <v>Dentro</v>
      </c>
      <c r="BS496" s="137" t="str">
        <f aca="false" t="array" ref="BS496:BS496">IF(MAX(IF(DATOS_[id]=DATOS_[[#This Row],[id]],DATOS_[F.fin.cal]))=DATOS_[[#This Row],[F.fin.cal]],"Sí","NO")</f>
        <v>Sí</v>
      </c>
      <c r="BT496" s="137" t="str">
        <f aca="false">IF(AND(DATOS_[[#This Row],[% normaliz]]&lt;&gt;1,DATOS_[[#This Row],[% anualiz]]=1),"Sí","NO")</f>
        <v>Sí</v>
      </c>
      <c r="BU496" s="137" t="str">
        <f aca="false">IF(AND(DATOS_[[#This Row],[% normaliz]]=1,DATOS_[[#This Row],[% anualiz]]&lt;&gt;1),"Sí","NO")</f>
        <v>NO</v>
      </c>
      <c r="BV496" s="137" t="str">
        <f aca="false">IF(AND(DATOS_[[#This Row],[% normaliz]]&lt;&gt;1,DATOS_[[#This Row],[% anualiz]]&lt;&gt;1),"Sí","NO")</f>
        <v>NO</v>
      </c>
      <c r="BW496" s="137" t="str">
        <f aca="false">+IF(DATOS_[[#This Row],[% normaliz]]*DATOS_[[#This Row],[% anualiz]]=1,"NO","Sí")</f>
        <v>Sí</v>
      </c>
      <c r="BX496" s="138" t="e">
        <f aca="false">(DATOS_[[#This Row],[S.BASE]]*(1/DATOS_[[#This Row],[% normaliz]])*(1/DATOS_[[#This Row],[% anualiz]]))*IF(DATOS_[[#This Row],[Check Equiparado]]="Sí",1,0)</f>
        <v>#DIV/0!</v>
      </c>
      <c r="BY4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6" s="138" t="e">
        <f aca="false">+DATOS_[[#This Row],[SALARIO BASE Eq]]+DATOS_[[#This Row],[Tot COMPL.SAL Eq]]</f>
        <v>#DIV/0!</v>
      </c>
      <c r="CA496" s="138" t="e">
        <f aca="false" t="array" ref="CA496:CA4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6" s="138" t="e">
        <f aca="false">+DATOS_[[#This Row],[TOTAL SALARIO Eq]]+DATOS_[[#This Row],[Tot Extrasalarial Eq]]</f>
        <v>#DIV/0!</v>
      </c>
      <c r="CC496" s="139" t="n">
        <f aca="false">DATOS_[[#This Row],[S.BASE]]</f>
        <v>0</v>
      </c>
      <c r="CD496" s="139" t="n">
        <f aca="false">+SUM(DATOS_[[#This Row],[Conc.Sal.01]:[Conc.Sal.30]])</f>
        <v>0</v>
      </c>
      <c r="CE496" s="139" t="n">
        <f aca="false">+DATOS_[[#This Row],[SALARIO BASE Ef]]+DATOS_[[#This Row],[Tot COMPL.SAL Ef]]</f>
        <v>0</v>
      </c>
      <c r="CF496" s="139" t="n">
        <f aca="false">+SUM(DATOS_[[#This Row],[C.Extra.01]:[C.Extra.05]])</f>
        <v>0</v>
      </c>
      <c r="CG496" s="139" t="n">
        <f aca="false">+DATOS_[[#This Row],[TOTAL SALARIO Ef]]+DATOS_[[#This Row],[Tot Extrasalarial Ef]]</f>
        <v>0</v>
      </c>
      <c r="CH496" s="140" t="n">
        <f aca="false">MIN(IF(DATOS_[[#This Row],[Fecha Fin Contrato]]="",$D$4,DATOS_[[#This Row],[Fecha Fin Contrato]]),$D$4)-MAX(DATOS_[[#This Row],[Fecha de Contratación]],$D$3)+1</f>
        <v>1</v>
      </c>
      <c r="CI496" s="141" t="str">
        <f aca="false">IF(COUNTIFS(DATOS_[id],DATOS_[[#This Row],[id]])&gt;1,DATOS_[[#This Row],[id]],"")</f>
        <v/>
      </c>
      <c r="CJ496" s="141" t="n">
        <f aca="false">(Inicio!$G$10-DATOS_[[#This Row],[Fecha Nacimiento]])/365.25</f>
        <v>0</v>
      </c>
      <c r="CK496" s="141" t="n">
        <f aca="false">(Inicio!$G$10-DATOS_[[#This Row],[Fecha de Antigüedad]])/365.25</f>
        <v>0</v>
      </c>
      <c r="CL496" s="141" t="e">
        <f aca="false">+VLOOKUP(DATOS_[[#This Row],[Clave de Contrato]],TblTiposContrato13[],3,0)</f>
        <v>#N/A</v>
      </c>
      <c r="CM496" s="141" t="e">
        <f aca="false">+VLOOKUP(DATOS_[[#This Row],[Clave de Contrato]],TblTiposContrato13[],4,0)</f>
        <v>#N/A</v>
      </c>
      <c r="CN496" s="141" t="str">
        <f aca="false">VLOOKUP(DATOS_[[#This Row],[Edad]],CONTRATOS!TblRngEdad,2,1)</f>
        <v>20  o menos</v>
      </c>
      <c r="CO496" s="141" t="str">
        <f aca="false">VLOOKUP(DATOS_[[#This Row],[Antigüedad]],TblRngAntg14[],2,1)</f>
        <v>0 a 1 años</v>
      </c>
    </row>
    <row r="497" customFormat="false" ht="13.8" hidden="false" customHeight="false" outlineLevel="0" collapsed="false">
      <c r="D497" s="128"/>
      <c r="E497" s="129"/>
      <c r="F497" s="129"/>
      <c r="G497" s="129"/>
      <c r="H497" s="130"/>
      <c r="I497" s="131"/>
      <c r="J497" s="128"/>
      <c r="K497" s="132"/>
      <c r="L497" s="132"/>
      <c r="M497" s="133"/>
      <c r="N497" s="133"/>
      <c r="O497" s="133"/>
      <c r="P497" s="129"/>
      <c r="Z497" s="75"/>
      <c r="AA497" s="76"/>
      <c r="AB497" s="76"/>
      <c r="AC497" s="129"/>
      <c r="AD497" s="134"/>
      <c r="AE497" s="134"/>
      <c r="AF497" s="134"/>
      <c r="AG497" s="134"/>
      <c r="AH497" s="134"/>
      <c r="AI497" s="134"/>
      <c r="AJ497" s="134"/>
      <c r="AK497" s="134"/>
      <c r="AL497" s="134"/>
      <c r="AM497" s="134"/>
      <c r="AN497" s="134"/>
      <c r="AO497" s="134"/>
      <c r="AP497" s="134"/>
      <c r="AQ497" s="134"/>
      <c r="AR497" s="134"/>
      <c r="AS497" s="134"/>
      <c r="AT497" s="134"/>
      <c r="AU497" s="134"/>
      <c r="AV497" s="134"/>
      <c r="AW497" s="134"/>
      <c r="AX497" s="134"/>
      <c r="AY497" s="134"/>
      <c r="AZ497" s="134"/>
      <c r="BA497" s="134"/>
      <c r="BB497" s="134"/>
      <c r="BC497" s="134"/>
      <c r="BD497" s="134"/>
      <c r="BE497" s="134"/>
      <c r="BF497" s="134"/>
      <c r="BG497" s="134"/>
      <c r="BH497" s="134"/>
      <c r="BI497" s="134"/>
      <c r="BJ497" s="134"/>
      <c r="BK497" s="134"/>
      <c r="BL497" s="134"/>
      <c r="BM497" s="135"/>
      <c r="BN497" s="136" t="n">
        <f aca="false">+MAX($D$3,DATOS_[[#This Row],[Fecha Inicio Sit. Contract.]])</f>
        <v>0</v>
      </c>
      <c r="BO497" s="136" t="n">
        <f aca="false">+MIN($D$4,DATOS_[[#This Row],[Fecha Fin Sit. Contract.]])</f>
        <v>0</v>
      </c>
      <c r="BP497" s="137" t="n">
        <f aca="false">+DATOS_[[#This Row],[% de jornada]]*IF(DATOS_[[#This Row],[% jornada reducida]]="",1,DATOS_[[#This Row],[% jornada reducida]])</f>
        <v>0</v>
      </c>
      <c r="BQ497" s="137" t="n">
        <f aca="false">+(DATOS_[[#This Row],[F.fin.cal]]-DATOS_[[#This Row],[F.ini.cal]]+1)/($D$4-$D$3+1)</f>
        <v>1</v>
      </c>
      <c r="BR497" s="137" t="str">
        <f aca="false">IF(OR(AND(DATOS_[[#This Row],[Fecha Fin Contrato]]&lt;$D$3,DATOS_[[#This Row],[Fecha Fin Contrato]]&lt;&gt;""),DATOS_[[#This Row],[Fecha de Contratación]]&gt;$D$4),"Fuera","Dentro")</f>
        <v>Dentro</v>
      </c>
      <c r="BS497" s="137" t="str">
        <f aca="false" t="array" ref="BS497:BS497">IF(MAX(IF(DATOS_[id]=DATOS_[[#This Row],[id]],DATOS_[F.fin.cal]))=DATOS_[[#This Row],[F.fin.cal]],"Sí","NO")</f>
        <v>Sí</v>
      </c>
      <c r="BT497" s="137" t="str">
        <f aca="false">IF(AND(DATOS_[[#This Row],[% normaliz]]&lt;&gt;1,DATOS_[[#This Row],[% anualiz]]=1),"Sí","NO")</f>
        <v>Sí</v>
      </c>
      <c r="BU497" s="137" t="str">
        <f aca="false">IF(AND(DATOS_[[#This Row],[% normaliz]]=1,DATOS_[[#This Row],[% anualiz]]&lt;&gt;1),"Sí","NO")</f>
        <v>NO</v>
      </c>
      <c r="BV497" s="137" t="str">
        <f aca="false">IF(AND(DATOS_[[#This Row],[% normaliz]]&lt;&gt;1,DATOS_[[#This Row],[% anualiz]]&lt;&gt;1),"Sí","NO")</f>
        <v>NO</v>
      </c>
      <c r="BW497" s="137" t="str">
        <f aca="false">+IF(DATOS_[[#This Row],[% normaliz]]*DATOS_[[#This Row],[% anualiz]]=1,"NO","Sí")</f>
        <v>Sí</v>
      </c>
      <c r="BX497" s="138" t="e">
        <f aca="false">(DATOS_[[#This Row],[S.BASE]]*(1/DATOS_[[#This Row],[% normaliz]])*(1/DATOS_[[#This Row],[% anualiz]]))*IF(DATOS_[[#This Row],[Check Equiparado]]="Sí",1,0)</f>
        <v>#DIV/0!</v>
      </c>
      <c r="BY4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7" s="138" t="e">
        <f aca="false">+DATOS_[[#This Row],[SALARIO BASE Eq]]+DATOS_[[#This Row],[Tot COMPL.SAL Eq]]</f>
        <v>#DIV/0!</v>
      </c>
      <c r="CA497" s="138" t="e">
        <f aca="false" t="array" ref="CA497:CA4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7" s="138" t="e">
        <f aca="false">+DATOS_[[#This Row],[TOTAL SALARIO Eq]]+DATOS_[[#This Row],[Tot Extrasalarial Eq]]</f>
        <v>#DIV/0!</v>
      </c>
      <c r="CC497" s="139" t="n">
        <f aca="false">DATOS_[[#This Row],[S.BASE]]</f>
        <v>0</v>
      </c>
      <c r="CD497" s="139" t="n">
        <f aca="false">+SUM(DATOS_[[#This Row],[Conc.Sal.01]:[Conc.Sal.30]])</f>
        <v>0</v>
      </c>
      <c r="CE497" s="139" t="n">
        <f aca="false">+DATOS_[[#This Row],[SALARIO BASE Ef]]+DATOS_[[#This Row],[Tot COMPL.SAL Ef]]</f>
        <v>0</v>
      </c>
      <c r="CF497" s="139" t="n">
        <f aca="false">+SUM(DATOS_[[#This Row],[C.Extra.01]:[C.Extra.05]])</f>
        <v>0</v>
      </c>
      <c r="CG497" s="139" t="n">
        <f aca="false">+DATOS_[[#This Row],[TOTAL SALARIO Ef]]+DATOS_[[#This Row],[Tot Extrasalarial Ef]]</f>
        <v>0</v>
      </c>
      <c r="CH497" s="140" t="n">
        <f aca="false">MIN(IF(DATOS_[[#This Row],[Fecha Fin Contrato]]="",$D$4,DATOS_[[#This Row],[Fecha Fin Contrato]]),$D$4)-MAX(DATOS_[[#This Row],[Fecha de Contratación]],$D$3)+1</f>
        <v>1</v>
      </c>
      <c r="CI497" s="141" t="str">
        <f aca="false">IF(COUNTIFS(DATOS_[id],DATOS_[[#This Row],[id]])&gt;1,DATOS_[[#This Row],[id]],"")</f>
        <v/>
      </c>
      <c r="CJ497" s="141" t="n">
        <f aca="false">(Inicio!$G$10-DATOS_[[#This Row],[Fecha Nacimiento]])/365.25</f>
        <v>0</v>
      </c>
      <c r="CK497" s="141" t="n">
        <f aca="false">(Inicio!$G$10-DATOS_[[#This Row],[Fecha de Antigüedad]])/365.25</f>
        <v>0</v>
      </c>
      <c r="CL497" s="141" t="e">
        <f aca="false">+VLOOKUP(DATOS_[[#This Row],[Clave de Contrato]],TblTiposContrato13[],3,0)</f>
        <v>#N/A</v>
      </c>
      <c r="CM497" s="141" t="e">
        <f aca="false">+VLOOKUP(DATOS_[[#This Row],[Clave de Contrato]],TblTiposContrato13[],4,0)</f>
        <v>#N/A</v>
      </c>
      <c r="CN497" s="141" t="str">
        <f aca="false">VLOOKUP(DATOS_[[#This Row],[Edad]],CONTRATOS!TblRngEdad,2,1)</f>
        <v>20  o menos</v>
      </c>
      <c r="CO497" s="141" t="str">
        <f aca="false">VLOOKUP(DATOS_[[#This Row],[Antigüedad]],TblRngAntg14[],2,1)</f>
        <v>0 a 1 años</v>
      </c>
    </row>
    <row r="498" customFormat="false" ht="13.8" hidden="false" customHeight="false" outlineLevel="0" collapsed="false">
      <c r="D498" s="128"/>
      <c r="E498" s="129"/>
      <c r="F498" s="129"/>
      <c r="G498" s="129"/>
      <c r="H498" s="130"/>
      <c r="I498" s="131"/>
      <c r="J498" s="128"/>
      <c r="K498" s="132"/>
      <c r="L498" s="132"/>
      <c r="M498" s="133"/>
      <c r="N498" s="133"/>
      <c r="O498" s="133"/>
      <c r="P498" s="129"/>
      <c r="Z498" s="75"/>
      <c r="AA498" s="76"/>
      <c r="AB498" s="76"/>
      <c r="AC498" s="129"/>
      <c r="AD498" s="134"/>
      <c r="AE498" s="134"/>
      <c r="AF498" s="134"/>
      <c r="AG498" s="134"/>
      <c r="AH498" s="134"/>
      <c r="AI498" s="134"/>
      <c r="AJ498" s="134"/>
      <c r="AK498" s="134"/>
      <c r="AL498" s="134"/>
      <c r="AM498" s="134"/>
      <c r="AN498" s="134"/>
      <c r="AO498" s="134"/>
      <c r="AP498" s="134"/>
      <c r="AQ498" s="134"/>
      <c r="AR498" s="134"/>
      <c r="AS498" s="134"/>
      <c r="AT498" s="134"/>
      <c r="AU498" s="134"/>
      <c r="AV498" s="134"/>
      <c r="AW498" s="134"/>
      <c r="AX498" s="134"/>
      <c r="AY498" s="134"/>
      <c r="AZ498" s="134"/>
      <c r="BA498" s="134"/>
      <c r="BB498" s="134"/>
      <c r="BC498" s="134"/>
      <c r="BD498" s="134"/>
      <c r="BE498" s="134"/>
      <c r="BF498" s="134"/>
      <c r="BG498" s="134"/>
      <c r="BH498" s="134"/>
      <c r="BI498" s="134"/>
      <c r="BJ498" s="134"/>
      <c r="BK498" s="134"/>
      <c r="BL498" s="134"/>
      <c r="BM498" s="135"/>
      <c r="BN498" s="136" t="n">
        <f aca="false">+MAX($D$3,DATOS_[[#This Row],[Fecha Inicio Sit. Contract.]])</f>
        <v>0</v>
      </c>
      <c r="BO498" s="136" t="n">
        <f aca="false">+MIN($D$4,DATOS_[[#This Row],[Fecha Fin Sit. Contract.]])</f>
        <v>0</v>
      </c>
      <c r="BP498" s="137" t="n">
        <f aca="false">+DATOS_[[#This Row],[% de jornada]]*IF(DATOS_[[#This Row],[% jornada reducida]]="",1,DATOS_[[#This Row],[% jornada reducida]])</f>
        <v>0</v>
      </c>
      <c r="BQ498" s="137" t="n">
        <f aca="false">+(DATOS_[[#This Row],[F.fin.cal]]-DATOS_[[#This Row],[F.ini.cal]]+1)/($D$4-$D$3+1)</f>
        <v>1</v>
      </c>
      <c r="BR498" s="137" t="str">
        <f aca="false">IF(OR(AND(DATOS_[[#This Row],[Fecha Fin Contrato]]&lt;$D$3,DATOS_[[#This Row],[Fecha Fin Contrato]]&lt;&gt;""),DATOS_[[#This Row],[Fecha de Contratación]]&gt;$D$4),"Fuera","Dentro")</f>
        <v>Dentro</v>
      </c>
      <c r="BS498" s="137" t="str">
        <f aca="false" t="array" ref="BS498:BS498">IF(MAX(IF(DATOS_[id]=DATOS_[[#This Row],[id]],DATOS_[F.fin.cal]))=DATOS_[[#This Row],[F.fin.cal]],"Sí","NO")</f>
        <v>Sí</v>
      </c>
      <c r="BT498" s="137" t="str">
        <f aca="false">IF(AND(DATOS_[[#This Row],[% normaliz]]&lt;&gt;1,DATOS_[[#This Row],[% anualiz]]=1),"Sí","NO")</f>
        <v>Sí</v>
      </c>
      <c r="BU498" s="137" t="str">
        <f aca="false">IF(AND(DATOS_[[#This Row],[% normaliz]]=1,DATOS_[[#This Row],[% anualiz]]&lt;&gt;1),"Sí","NO")</f>
        <v>NO</v>
      </c>
      <c r="BV498" s="137" t="str">
        <f aca="false">IF(AND(DATOS_[[#This Row],[% normaliz]]&lt;&gt;1,DATOS_[[#This Row],[% anualiz]]&lt;&gt;1),"Sí","NO")</f>
        <v>NO</v>
      </c>
      <c r="BW498" s="137" t="str">
        <f aca="false">+IF(DATOS_[[#This Row],[% normaliz]]*DATOS_[[#This Row],[% anualiz]]=1,"NO","Sí")</f>
        <v>Sí</v>
      </c>
      <c r="BX498" s="138" t="e">
        <f aca="false">(DATOS_[[#This Row],[S.BASE]]*(1/DATOS_[[#This Row],[% normaliz]])*(1/DATOS_[[#This Row],[% anualiz]]))*IF(DATOS_[[#This Row],[Check Equiparado]]="Sí",1,0)</f>
        <v>#DIV/0!</v>
      </c>
      <c r="BY4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8" s="138" t="e">
        <f aca="false">+DATOS_[[#This Row],[SALARIO BASE Eq]]+DATOS_[[#This Row],[Tot COMPL.SAL Eq]]</f>
        <v>#DIV/0!</v>
      </c>
      <c r="CA498" s="138" t="e">
        <f aca="false" t="array" ref="CA498:CA4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8" s="138" t="e">
        <f aca="false">+DATOS_[[#This Row],[TOTAL SALARIO Eq]]+DATOS_[[#This Row],[Tot Extrasalarial Eq]]</f>
        <v>#DIV/0!</v>
      </c>
      <c r="CC498" s="139" t="n">
        <f aca="false">DATOS_[[#This Row],[S.BASE]]</f>
        <v>0</v>
      </c>
      <c r="CD498" s="139" t="n">
        <f aca="false">+SUM(DATOS_[[#This Row],[Conc.Sal.01]:[Conc.Sal.30]])</f>
        <v>0</v>
      </c>
      <c r="CE498" s="139" t="n">
        <f aca="false">+DATOS_[[#This Row],[SALARIO BASE Ef]]+DATOS_[[#This Row],[Tot COMPL.SAL Ef]]</f>
        <v>0</v>
      </c>
      <c r="CF498" s="139" t="n">
        <f aca="false">+SUM(DATOS_[[#This Row],[C.Extra.01]:[C.Extra.05]])</f>
        <v>0</v>
      </c>
      <c r="CG498" s="139" t="n">
        <f aca="false">+DATOS_[[#This Row],[TOTAL SALARIO Ef]]+DATOS_[[#This Row],[Tot Extrasalarial Ef]]</f>
        <v>0</v>
      </c>
      <c r="CH498" s="140" t="n">
        <f aca="false">MIN(IF(DATOS_[[#This Row],[Fecha Fin Contrato]]="",$D$4,DATOS_[[#This Row],[Fecha Fin Contrato]]),$D$4)-MAX(DATOS_[[#This Row],[Fecha de Contratación]],$D$3)+1</f>
        <v>1</v>
      </c>
      <c r="CI498" s="141" t="str">
        <f aca="false">IF(COUNTIFS(DATOS_[id],DATOS_[[#This Row],[id]])&gt;1,DATOS_[[#This Row],[id]],"")</f>
        <v/>
      </c>
      <c r="CJ498" s="141" t="n">
        <f aca="false">(Inicio!$G$10-DATOS_[[#This Row],[Fecha Nacimiento]])/365.25</f>
        <v>0</v>
      </c>
      <c r="CK498" s="141" t="n">
        <f aca="false">(Inicio!$G$10-DATOS_[[#This Row],[Fecha de Antigüedad]])/365.25</f>
        <v>0</v>
      </c>
      <c r="CL498" s="141" t="e">
        <f aca="false">+VLOOKUP(DATOS_[[#This Row],[Clave de Contrato]],TblTiposContrato13[],3,0)</f>
        <v>#N/A</v>
      </c>
      <c r="CM498" s="141" t="e">
        <f aca="false">+VLOOKUP(DATOS_[[#This Row],[Clave de Contrato]],TblTiposContrato13[],4,0)</f>
        <v>#N/A</v>
      </c>
      <c r="CN498" s="141" t="str">
        <f aca="false">VLOOKUP(DATOS_[[#This Row],[Edad]],CONTRATOS!TblRngEdad,2,1)</f>
        <v>20  o menos</v>
      </c>
      <c r="CO498" s="141" t="str">
        <f aca="false">VLOOKUP(DATOS_[[#This Row],[Antigüedad]],TblRngAntg14[],2,1)</f>
        <v>0 a 1 años</v>
      </c>
    </row>
    <row r="499" customFormat="false" ht="13.8" hidden="false" customHeight="false" outlineLevel="0" collapsed="false">
      <c r="D499" s="128"/>
      <c r="E499" s="129"/>
      <c r="F499" s="129"/>
      <c r="G499" s="129"/>
      <c r="H499" s="130"/>
      <c r="I499" s="131"/>
      <c r="J499" s="128"/>
      <c r="K499" s="132"/>
      <c r="L499" s="132"/>
      <c r="M499" s="133"/>
      <c r="N499" s="133"/>
      <c r="O499" s="133"/>
      <c r="P499" s="129"/>
      <c r="Z499" s="75"/>
      <c r="AA499" s="76"/>
      <c r="AB499" s="76"/>
      <c r="AC499" s="129"/>
      <c r="AD499" s="134"/>
      <c r="AE499" s="134"/>
      <c r="AF499" s="134"/>
      <c r="AG499" s="134"/>
      <c r="AH499" s="134"/>
      <c r="AI499" s="134"/>
      <c r="AJ499" s="134"/>
      <c r="AK499" s="134"/>
      <c r="AL499" s="134"/>
      <c r="AM499" s="134"/>
      <c r="AN499" s="134"/>
      <c r="AO499" s="134"/>
      <c r="AP499" s="134"/>
      <c r="AQ499" s="134"/>
      <c r="AR499" s="134"/>
      <c r="AS499" s="134"/>
      <c r="AT499" s="134"/>
      <c r="AU499" s="134"/>
      <c r="AV499" s="134"/>
      <c r="AW499" s="134"/>
      <c r="AX499" s="134"/>
      <c r="AY499" s="134"/>
      <c r="AZ499" s="134"/>
      <c r="BA499" s="134"/>
      <c r="BB499" s="134"/>
      <c r="BC499" s="134"/>
      <c r="BD499" s="134"/>
      <c r="BE499" s="134"/>
      <c r="BF499" s="134"/>
      <c r="BG499" s="134"/>
      <c r="BH499" s="134"/>
      <c r="BI499" s="134"/>
      <c r="BJ499" s="134"/>
      <c r="BK499" s="134"/>
      <c r="BL499" s="134"/>
      <c r="BM499" s="135"/>
      <c r="BN499" s="136" t="n">
        <f aca="false">+MAX($D$3,DATOS_[[#This Row],[Fecha Inicio Sit. Contract.]])</f>
        <v>0</v>
      </c>
      <c r="BO499" s="136" t="n">
        <f aca="false">+MIN($D$4,DATOS_[[#This Row],[Fecha Fin Sit. Contract.]])</f>
        <v>0</v>
      </c>
      <c r="BP499" s="137" t="n">
        <f aca="false">+DATOS_[[#This Row],[% de jornada]]*IF(DATOS_[[#This Row],[% jornada reducida]]="",1,DATOS_[[#This Row],[% jornada reducida]])</f>
        <v>0</v>
      </c>
      <c r="BQ499" s="137" t="n">
        <f aca="false">+(DATOS_[[#This Row],[F.fin.cal]]-DATOS_[[#This Row],[F.ini.cal]]+1)/($D$4-$D$3+1)</f>
        <v>1</v>
      </c>
      <c r="BR499" s="137" t="str">
        <f aca="false">IF(OR(AND(DATOS_[[#This Row],[Fecha Fin Contrato]]&lt;$D$3,DATOS_[[#This Row],[Fecha Fin Contrato]]&lt;&gt;""),DATOS_[[#This Row],[Fecha de Contratación]]&gt;$D$4),"Fuera","Dentro")</f>
        <v>Dentro</v>
      </c>
      <c r="BS499" s="137" t="str">
        <f aca="false" t="array" ref="BS499:BS499">IF(MAX(IF(DATOS_[id]=DATOS_[[#This Row],[id]],DATOS_[F.fin.cal]))=DATOS_[[#This Row],[F.fin.cal]],"Sí","NO")</f>
        <v>Sí</v>
      </c>
      <c r="BT499" s="137" t="str">
        <f aca="false">IF(AND(DATOS_[[#This Row],[% normaliz]]&lt;&gt;1,DATOS_[[#This Row],[% anualiz]]=1),"Sí","NO")</f>
        <v>Sí</v>
      </c>
      <c r="BU499" s="137" t="str">
        <f aca="false">IF(AND(DATOS_[[#This Row],[% normaliz]]=1,DATOS_[[#This Row],[% anualiz]]&lt;&gt;1),"Sí","NO")</f>
        <v>NO</v>
      </c>
      <c r="BV499" s="137" t="str">
        <f aca="false">IF(AND(DATOS_[[#This Row],[% normaliz]]&lt;&gt;1,DATOS_[[#This Row],[% anualiz]]&lt;&gt;1),"Sí","NO")</f>
        <v>NO</v>
      </c>
      <c r="BW499" s="137" t="str">
        <f aca="false">+IF(DATOS_[[#This Row],[% normaliz]]*DATOS_[[#This Row],[% anualiz]]=1,"NO","Sí")</f>
        <v>Sí</v>
      </c>
      <c r="BX499" s="138" t="e">
        <f aca="false">(DATOS_[[#This Row],[S.BASE]]*(1/DATOS_[[#This Row],[% normaliz]])*(1/DATOS_[[#This Row],[% anualiz]]))*IF(DATOS_[[#This Row],[Check Equiparado]]="Sí",1,0)</f>
        <v>#DIV/0!</v>
      </c>
      <c r="BY4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9" s="138" t="e">
        <f aca="false">+DATOS_[[#This Row],[SALARIO BASE Eq]]+DATOS_[[#This Row],[Tot COMPL.SAL Eq]]</f>
        <v>#DIV/0!</v>
      </c>
      <c r="CA499" s="138" t="e">
        <f aca="false" t="array" ref="CA499:CA4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9" s="138" t="e">
        <f aca="false">+DATOS_[[#This Row],[TOTAL SALARIO Eq]]+DATOS_[[#This Row],[Tot Extrasalarial Eq]]</f>
        <v>#DIV/0!</v>
      </c>
      <c r="CC499" s="139" t="n">
        <f aca="false">DATOS_[[#This Row],[S.BASE]]</f>
        <v>0</v>
      </c>
      <c r="CD499" s="139" t="n">
        <f aca="false">+SUM(DATOS_[[#This Row],[Conc.Sal.01]:[Conc.Sal.30]])</f>
        <v>0</v>
      </c>
      <c r="CE499" s="139" t="n">
        <f aca="false">+DATOS_[[#This Row],[SALARIO BASE Ef]]+DATOS_[[#This Row],[Tot COMPL.SAL Ef]]</f>
        <v>0</v>
      </c>
      <c r="CF499" s="139" t="n">
        <f aca="false">+SUM(DATOS_[[#This Row],[C.Extra.01]:[C.Extra.05]])</f>
        <v>0</v>
      </c>
      <c r="CG499" s="139" t="n">
        <f aca="false">+DATOS_[[#This Row],[TOTAL SALARIO Ef]]+DATOS_[[#This Row],[Tot Extrasalarial Ef]]</f>
        <v>0</v>
      </c>
      <c r="CH499" s="140" t="n">
        <f aca="false">MIN(IF(DATOS_[[#This Row],[Fecha Fin Contrato]]="",$D$4,DATOS_[[#This Row],[Fecha Fin Contrato]]),$D$4)-MAX(DATOS_[[#This Row],[Fecha de Contratación]],$D$3)+1</f>
        <v>1</v>
      </c>
      <c r="CI499" s="141" t="str">
        <f aca="false">IF(COUNTIFS(DATOS_[id],DATOS_[[#This Row],[id]])&gt;1,DATOS_[[#This Row],[id]],"")</f>
        <v/>
      </c>
      <c r="CJ499" s="141" t="n">
        <f aca="false">(Inicio!$G$10-DATOS_[[#This Row],[Fecha Nacimiento]])/365.25</f>
        <v>0</v>
      </c>
      <c r="CK499" s="141" t="n">
        <f aca="false">(Inicio!$G$10-DATOS_[[#This Row],[Fecha de Antigüedad]])/365.25</f>
        <v>0</v>
      </c>
      <c r="CL499" s="141" t="e">
        <f aca="false">+VLOOKUP(DATOS_[[#This Row],[Clave de Contrato]],TblTiposContrato13[],3,0)</f>
        <v>#N/A</v>
      </c>
      <c r="CM499" s="141" t="e">
        <f aca="false">+VLOOKUP(DATOS_[[#This Row],[Clave de Contrato]],TblTiposContrato13[],4,0)</f>
        <v>#N/A</v>
      </c>
      <c r="CN499" s="141" t="str">
        <f aca="false">VLOOKUP(DATOS_[[#This Row],[Edad]],CONTRATOS!TblRngEdad,2,1)</f>
        <v>20  o menos</v>
      </c>
      <c r="CO499" s="141" t="str">
        <f aca="false">VLOOKUP(DATOS_[[#This Row],[Antigüedad]],TblRngAntg14[],2,1)</f>
        <v>0 a 1 años</v>
      </c>
    </row>
    <row r="500" customFormat="false" ht="13.8" hidden="false" customHeight="false" outlineLevel="0" collapsed="false">
      <c r="D500" s="128"/>
      <c r="E500" s="129"/>
      <c r="F500" s="129"/>
      <c r="G500" s="129"/>
      <c r="H500" s="130"/>
      <c r="I500" s="131"/>
      <c r="J500" s="128"/>
      <c r="K500" s="132"/>
      <c r="L500" s="132"/>
      <c r="M500" s="133"/>
      <c r="N500" s="133"/>
      <c r="O500" s="133"/>
      <c r="P500" s="129"/>
      <c r="Z500" s="75"/>
      <c r="AA500" s="76"/>
      <c r="AB500" s="76"/>
      <c r="AC500" s="129"/>
      <c r="AD500" s="134"/>
      <c r="AE500" s="134"/>
      <c r="AF500" s="134"/>
      <c r="AG500" s="134"/>
      <c r="AH500" s="134"/>
      <c r="AI500" s="134"/>
      <c r="AJ500" s="134"/>
      <c r="AK500" s="134"/>
      <c r="AL500" s="134"/>
      <c r="AM500" s="134"/>
      <c r="AN500" s="134"/>
      <c r="AO500" s="134"/>
      <c r="AP500" s="134"/>
      <c r="AQ500" s="134"/>
      <c r="AR500" s="134"/>
      <c r="AS500" s="134"/>
      <c r="AT500" s="134"/>
      <c r="AU500" s="134"/>
      <c r="AV500" s="134"/>
      <c r="AW500" s="134"/>
      <c r="AX500" s="134"/>
      <c r="AY500" s="134"/>
      <c r="AZ500" s="134"/>
      <c r="BA500" s="134"/>
      <c r="BB500" s="134"/>
      <c r="BC500" s="134"/>
      <c r="BD500" s="134"/>
      <c r="BE500" s="134"/>
      <c r="BF500" s="134"/>
      <c r="BG500" s="134"/>
      <c r="BH500" s="134"/>
      <c r="BI500" s="134"/>
      <c r="BJ500" s="134"/>
      <c r="BK500" s="134"/>
      <c r="BL500" s="134"/>
      <c r="BM500" s="135"/>
      <c r="BN500" s="136" t="n">
        <f aca="false">+MAX($D$3,DATOS_[[#This Row],[Fecha Inicio Sit. Contract.]])</f>
        <v>0</v>
      </c>
      <c r="BO500" s="136" t="n">
        <f aca="false">+MIN($D$4,DATOS_[[#This Row],[Fecha Fin Sit. Contract.]])</f>
        <v>0</v>
      </c>
      <c r="BP500" s="137" t="n">
        <f aca="false">+DATOS_[[#This Row],[% de jornada]]*IF(DATOS_[[#This Row],[% jornada reducida]]="",1,DATOS_[[#This Row],[% jornada reducida]])</f>
        <v>0</v>
      </c>
      <c r="BQ500" s="137" t="n">
        <f aca="false">+(DATOS_[[#This Row],[F.fin.cal]]-DATOS_[[#This Row],[F.ini.cal]]+1)/($D$4-$D$3+1)</f>
        <v>1</v>
      </c>
      <c r="BR500" s="137" t="str">
        <f aca="false">IF(OR(AND(DATOS_[[#This Row],[Fecha Fin Contrato]]&lt;$D$3,DATOS_[[#This Row],[Fecha Fin Contrato]]&lt;&gt;""),DATOS_[[#This Row],[Fecha de Contratación]]&gt;$D$4),"Fuera","Dentro")</f>
        <v>Dentro</v>
      </c>
      <c r="BS500" s="137" t="str">
        <f aca="false" t="array" ref="BS500:BS500">IF(MAX(IF(DATOS_[id]=DATOS_[[#This Row],[id]],DATOS_[F.fin.cal]))=DATOS_[[#This Row],[F.fin.cal]],"Sí","NO")</f>
        <v>Sí</v>
      </c>
      <c r="BT500" s="137" t="str">
        <f aca="false">IF(AND(DATOS_[[#This Row],[% normaliz]]&lt;&gt;1,DATOS_[[#This Row],[% anualiz]]=1),"Sí","NO")</f>
        <v>Sí</v>
      </c>
      <c r="BU500" s="137" t="str">
        <f aca="false">IF(AND(DATOS_[[#This Row],[% normaliz]]=1,DATOS_[[#This Row],[% anualiz]]&lt;&gt;1),"Sí","NO")</f>
        <v>NO</v>
      </c>
      <c r="BV500" s="137" t="str">
        <f aca="false">IF(AND(DATOS_[[#This Row],[% normaliz]]&lt;&gt;1,DATOS_[[#This Row],[% anualiz]]&lt;&gt;1),"Sí","NO")</f>
        <v>NO</v>
      </c>
      <c r="BW500" s="137" t="str">
        <f aca="false">+IF(DATOS_[[#This Row],[% normaliz]]*DATOS_[[#This Row],[% anualiz]]=1,"NO","Sí")</f>
        <v>Sí</v>
      </c>
      <c r="BX500" s="138" t="e">
        <f aca="false">(DATOS_[[#This Row],[S.BASE]]*(1/DATOS_[[#This Row],[% normaliz]])*(1/DATOS_[[#This Row],[% anualiz]]))*IF(DATOS_[[#This Row],[Check Equiparado]]="Sí",1,0)</f>
        <v>#DIV/0!</v>
      </c>
      <c r="BY5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0" s="138" t="e">
        <f aca="false">+DATOS_[[#This Row],[SALARIO BASE Eq]]+DATOS_[[#This Row],[Tot COMPL.SAL Eq]]</f>
        <v>#DIV/0!</v>
      </c>
      <c r="CA500" s="138" t="e">
        <f aca="false" t="array" ref="CA500:CA5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0" s="138" t="e">
        <f aca="false">+DATOS_[[#This Row],[TOTAL SALARIO Eq]]+DATOS_[[#This Row],[Tot Extrasalarial Eq]]</f>
        <v>#DIV/0!</v>
      </c>
      <c r="CC500" s="139" t="n">
        <f aca="false">DATOS_[[#This Row],[S.BASE]]</f>
        <v>0</v>
      </c>
      <c r="CD500" s="139" t="n">
        <f aca="false">+SUM(DATOS_[[#This Row],[Conc.Sal.01]:[Conc.Sal.30]])</f>
        <v>0</v>
      </c>
      <c r="CE500" s="139" t="n">
        <f aca="false">+DATOS_[[#This Row],[SALARIO BASE Ef]]+DATOS_[[#This Row],[Tot COMPL.SAL Ef]]</f>
        <v>0</v>
      </c>
      <c r="CF500" s="139" t="n">
        <f aca="false">+SUM(DATOS_[[#This Row],[C.Extra.01]:[C.Extra.05]])</f>
        <v>0</v>
      </c>
      <c r="CG500" s="139" t="n">
        <f aca="false">+DATOS_[[#This Row],[TOTAL SALARIO Ef]]+DATOS_[[#This Row],[Tot Extrasalarial Ef]]</f>
        <v>0</v>
      </c>
      <c r="CH500" s="140" t="n">
        <f aca="false">MIN(IF(DATOS_[[#This Row],[Fecha Fin Contrato]]="",$D$4,DATOS_[[#This Row],[Fecha Fin Contrato]]),$D$4)-MAX(DATOS_[[#This Row],[Fecha de Contratación]],$D$3)+1</f>
        <v>1</v>
      </c>
      <c r="CI500" s="141" t="str">
        <f aca="false">IF(COUNTIFS(DATOS_[id],DATOS_[[#This Row],[id]])&gt;1,DATOS_[[#This Row],[id]],"")</f>
        <v/>
      </c>
      <c r="CJ500" s="141" t="n">
        <f aca="false">(Inicio!$G$10-DATOS_[[#This Row],[Fecha Nacimiento]])/365.25</f>
        <v>0</v>
      </c>
      <c r="CK500" s="141" t="n">
        <f aca="false">(Inicio!$G$10-DATOS_[[#This Row],[Fecha de Antigüedad]])/365.25</f>
        <v>0</v>
      </c>
      <c r="CL500" s="141" t="e">
        <f aca="false">+VLOOKUP(DATOS_[[#This Row],[Clave de Contrato]],TblTiposContrato13[],3,0)</f>
        <v>#N/A</v>
      </c>
      <c r="CM500" s="141" t="e">
        <f aca="false">+VLOOKUP(DATOS_[[#This Row],[Clave de Contrato]],TblTiposContrato13[],4,0)</f>
        <v>#N/A</v>
      </c>
      <c r="CN500" s="141" t="str">
        <f aca="false">VLOOKUP(DATOS_[[#This Row],[Edad]],CONTRATOS!TblRngEdad,2,1)</f>
        <v>20  o menos</v>
      </c>
      <c r="CO500" s="141" t="str">
        <f aca="false">VLOOKUP(DATOS_[[#This Row],[Antigüedad]],TblRngAntg14[],2,1)</f>
        <v>0 a 1 años</v>
      </c>
    </row>
    <row r="501" customFormat="false" ht="13.8" hidden="false" customHeight="false" outlineLevel="0" collapsed="false">
      <c r="D501" s="128"/>
      <c r="E501" s="129"/>
      <c r="F501" s="129"/>
      <c r="G501" s="129"/>
      <c r="H501" s="130"/>
      <c r="I501" s="131"/>
      <c r="J501" s="128"/>
      <c r="K501" s="132"/>
      <c r="L501" s="132"/>
      <c r="M501" s="133"/>
      <c r="N501" s="133"/>
      <c r="O501" s="133"/>
      <c r="P501" s="129"/>
      <c r="Z501" s="75"/>
      <c r="AA501" s="76"/>
      <c r="AB501" s="76"/>
      <c r="AC501" s="129"/>
      <c r="AD501" s="134"/>
      <c r="AE501" s="134"/>
      <c r="AF501" s="134"/>
      <c r="AG501" s="134"/>
      <c r="AH501" s="134"/>
      <c r="AI501" s="134"/>
      <c r="AJ501" s="134"/>
      <c r="AK501" s="134"/>
      <c r="AL501" s="134"/>
      <c r="AM501" s="134"/>
      <c r="AN501" s="134"/>
      <c r="AO501" s="134"/>
      <c r="AP501" s="134"/>
      <c r="AQ501" s="134"/>
      <c r="AR501" s="134"/>
      <c r="AS501" s="134"/>
      <c r="AT501" s="134"/>
      <c r="AU501" s="134"/>
      <c r="AV501" s="134"/>
      <c r="AW501" s="134"/>
      <c r="AX501" s="134"/>
      <c r="AY501" s="134"/>
      <c r="AZ501" s="134"/>
      <c r="BA501" s="134"/>
      <c r="BB501" s="134"/>
      <c r="BC501" s="134"/>
      <c r="BD501" s="134"/>
      <c r="BE501" s="134"/>
      <c r="BF501" s="134"/>
      <c r="BG501" s="134"/>
      <c r="BH501" s="134"/>
      <c r="BI501" s="134"/>
      <c r="BJ501" s="134"/>
      <c r="BK501" s="134"/>
      <c r="BL501" s="134"/>
      <c r="BM501" s="135"/>
      <c r="BN501" s="136" t="n">
        <f aca="false">+MAX($D$3,DATOS_[[#This Row],[Fecha Inicio Sit. Contract.]])</f>
        <v>0</v>
      </c>
      <c r="BO501" s="136" t="n">
        <f aca="false">+MIN($D$4,DATOS_[[#This Row],[Fecha Fin Sit. Contract.]])</f>
        <v>0</v>
      </c>
      <c r="BP501" s="137" t="n">
        <f aca="false">+DATOS_[[#This Row],[% de jornada]]*IF(DATOS_[[#This Row],[% jornada reducida]]="",1,DATOS_[[#This Row],[% jornada reducida]])</f>
        <v>0</v>
      </c>
      <c r="BQ501" s="137" t="n">
        <f aca="false">+(DATOS_[[#This Row],[F.fin.cal]]-DATOS_[[#This Row],[F.ini.cal]]+1)/($D$4-$D$3+1)</f>
        <v>1</v>
      </c>
      <c r="BR501" s="137" t="str">
        <f aca="false">IF(OR(AND(DATOS_[[#This Row],[Fecha Fin Contrato]]&lt;$D$3,DATOS_[[#This Row],[Fecha Fin Contrato]]&lt;&gt;""),DATOS_[[#This Row],[Fecha de Contratación]]&gt;$D$4),"Fuera","Dentro")</f>
        <v>Dentro</v>
      </c>
      <c r="BS501" s="137" t="str">
        <f aca="false" t="array" ref="BS501:BS501">IF(MAX(IF(DATOS_[id]=DATOS_[[#This Row],[id]],DATOS_[F.fin.cal]))=DATOS_[[#This Row],[F.fin.cal]],"Sí","NO")</f>
        <v>Sí</v>
      </c>
      <c r="BT501" s="137" t="str">
        <f aca="false">IF(AND(DATOS_[[#This Row],[% normaliz]]&lt;&gt;1,DATOS_[[#This Row],[% anualiz]]=1),"Sí","NO")</f>
        <v>Sí</v>
      </c>
      <c r="BU501" s="137" t="str">
        <f aca="false">IF(AND(DATOS_[[#This Row],[% normaliz]]=1,DATOS_[[#This Row],[% anualiz]]&lt;&gt;1),"Sí","NO")</f>
        <v>NO</v>
      </c>
      <c r="BV501" s="137" t="str">
        <f aca="false">IF(AND(DATOS_[[#This Row],[% normaliz]]&lt;&gt;1,DATOS_[[#This Row],[% anualiz]]&lt;&gt;1),"Sí","NO")</f>
        <v>NO</v>
      </c>
      <c r="BW501" s="137" t="str">
        <f aca="false">+IF(DATOS_[[#This Row],[% normaliz]]*DATOS_[[#This Row],[% anualiz]]=1,"NO","Sí")</f>
        <v>Sí</v>
      </c>
      <c r="BX501" s="138" t="e">
        <f aca="false">(DATOS_[[#This Row],[S.BASE]]*(1/DATOS_[[#This Row],[% normaliz]])*(1/DATOS_[[#This Row],[% anualiz]]))*IF(DATOS_[[#This Row],[Check Equiparado]]="Sí",1,0)</f>
        <v>#DIV/0!</v>
      </c>
      <c r="BY5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1" s="138" t="e">
        <f aca="false">+DATOS_[[#This Row],[SALARIO BASE Eq]]+DATOS_[[#This Row],[Tot COMPL.SAL Eq]]</f>
        <v>#DIV/0!</v>
      </c>
      <c r="CA501" s="138" t="e">
        <f aca="false" t="array" ref="CA501:CA5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1" s="138" t="e">
        <f aca="false">+DATOS_[[#This Row],[TOTAL SALARIO Eq]]+DATOS_[[#This Row],[Tot Extrasalarial Eq]]</f>
        <v>#DIV/0!</v>
      </c>
      <c r="CC501" s="139" t="n">
        <f aca="false">DATOS_[[#This Row],[S.BASE]]</f>
        <v>0</v>
      </c>
      <c r="CD501" s="139" t="n">
        <f aca="false">+SUM(DATOS_[[#This Row],[Conc.Sal.01]:[Conc.Sal.30]])</f>
        <v>0</v>
      </c>
      <c r="CE501" s="139" t="n">
        <f aca="false">+DATOS_[[#This Row],[SALARIO BASE Ef]]+DATOS_[[#This Row],[Tot COMPL.SAL Ef]]</f>
        <v>0</v>
      </c>
      <c r="CF501" s="139" t="n">
        <f aca="false">+SUM(DATOS_[[#This Row],[C.Extra.01]:[C.Extra.05]])</f>
        <v>0</v>
      </c>
      <c r="CG501" s="139" t="n">
        <f aca="false">+DATOS_[[#This Row],[TOTAL SALARIO Ef]]+DATOS_[[#This Row],[Tot Extrasalarial Ef]]</f>
        <v>0</v>
      </c>
      <c r="CH501" s="140" t="n">
        <f aca="false">MIN(IF(DATOS_[[#This Row],[Fecha Fin Contrato]]="",$D$4,DATOS_[[#This Row],[Fecha Fin Contrato]]),$D$4)-MAX(DATOS_[[#This Row],[Fecha de Contratación]],$D$3)+1</f>
        <v>1</v>
      </c>
      <c r="CI501" s="141" t="str">
        <f aca="false">IF(COUNTIFS(DATOS_[id],DATOS_[[#This Row],[id]])&gt;1,DATOS_[[#This Row],[id]],"")</f>
        <v/>
      </c>
      <c r="CJ501" s="141" t="n">
        <f aca="false">(Inicio!$G$10-DATOS_[[#This Row],[Fecha Nacimiento]])/365.25</f>
        <v>0</v>
      </c>
      <c r="CK501" s="141" t="n">
        <f aca="false">(Inicio!$G$10-DATOS_[[#This Row],[Fecha de Antigüedad]])/365.25</f>
        <v>0</v>
      </c>
      <c r="CL501" s="141" t="e">
        <f aca="false">+VLOOKUP(DATOS_[[#This Row],[Clave de Contrato]],TblTiposContrato13[],3,0)</f>
        <v>#N/A</v>
      </c>
      <c r="CM501" s="141" t="e">
        <f aca="false">+VLOOKUP(DATOS_[[#This Row],[Clave de Contrato]],TblTiposContrato13[],4,0)</f>
        <v>#N/A</v>
      </c>
      <c r="CN501" s="141" t="str">
        <f aca="false">VLOOKUP(DATOS_[[#This Row],[Edad]],CONTRATOS!TblRngEdad,2,1)</f>
        <v>20  o menos</v>
      </c>
      <c r="CO501" s="141" t="str">
        <f aca="false">VLOOKUP(DATOS_[[#This Row],[Antigüedad]],TblRngAntg14[],2,1)</f>
        <v>0 a 1 años</v>
      </c>
    </row>
    <row r="502" customFormat="false" ht="13.8" hidden="false" customHeight="false" outlineLevel="0" collapsed="false">
      <c r="D502" s="128"/>
      <c r="E502" s="129"/>
      <c r="F502" s="129"/>
      <c r="G502" s="129"/>
      <c r="H502" s="130"/>
      <c r="I502" s="131"/>
      <c r="J502" s="128"/>
      <c r="K502" s="132"/>
      <c r="L502" s="132"/>
      <c r="M502" s="133"/>
      <c r="N502" s="133"/>
      <c r="O502" s="133"/>
      <c r="P502" s="129"/>
      <c r="Z502" s="75"/>
      <c r="AA502" s="76"/>
      <c r="AB502" s="76"/>
      <c r="AC502" s="129"/>
      <c r="AD502" s="134"/>
      <c r="AE502" s="134"/>
      <c r="AF502" s="134"/>
      <c r="AG502" s="134"/>
      <c r="AH502" s="134"/>
      <c r="AI502" s="134"/>
      <c r="AJ502" s="134"/>
      <c r="AK502" s="134"/>
      <c r="AL502" s="134"/>
      <c r="AM502" s="134"/>
      <c r="AN502" s="134"/>
      <c r="AO502" s="134"/>
      <c r="AP502" s="134"/>
      <c r="AQ502" s="134"/>
      <c r="AR502" s="134"/>
      <c r="AS502" s="134"/>
      <c r="AT502" s="134"/>
      <c r="AU502" s="134"/>
      <c r="AV502" s="134"/>
      <c r="AW502" s="134"/>
      <c r="AX502" s="134"/>
      <c r="AY502" s="134"/>
      <c r="AZ502" s="134"/>
      <c r="BA502" s="134"/>
      <c r="BB502" s="134"/>
      <c r="BC502" s="134"/>
      <c r="BD502" s="134"/>
      <c r="BE502" s="134"/>
      <c r="BF502" s="134"/>
      <c r="BG502" s="134"/>
      <c r="BH502" s="134"/>
      <c r="BI502" s="134"/>
      <c r="BJ502" s="134"/>
      <c r="BK502" s="134"/>
      <c r="BL502" s="134"/>
      <c r="BM502" s="135"/>
      <c r="BN502" s="136" t="n">
        <f aca="false">+MAX($D$3,DATOS_[[#This Row],[Fecha Inicio Sit. Contract.]])</f>
        <v>0</v>
      </c>
      <c r="BO502" s="136" t="n">
        <f aca="false">+MIN($D$4,DATOS_[[#This Row],[Fecha Fin Sit. Contract.]])</f>
        <v>0</v>
      </c>
      <c r="BP502" s="137" t="n">
        <f aca="false">+DATOS_[[#This Row],[% de jornada]]*IF(DATOS_[[#This Row],[% jornada reducida]]="",1,DATOS_[[#This Row],[% jornada reducida]])</f>
        <v>0</v>
      </c>
      <c r="BQ502" s="137" t="n">
        <f aca="false">+(DATOS_[[#This Row],[F.fin.cal]]-DATOS_[[#This Row],[F.ini.cal]]+1)/($D$4-$D$3+1)</f>
        <v>1</v>
      </c>
      <c r="BR502" s="137" t="str">
        <f aca="false">IF(OR(AND(DATOS_[[#This Row],[Fecha Fin Contrato]]&lt;$D$3,DATOS_[[#This Row],[Fecha Fin Contrato]]&lt;&gt;""),DATOS_[[#This Row],[Fecha de Contratación]]&gt;$D$4),"Fuera","Dentro")</f>
        <v>Dentro</v>
      </c>
      <c r="BS502" s="137" t="str">
        <f aca="false" t="array" ref="BS502:BS502">IF(MAX(IF(DATOS_[id]=DATOS_[[#This Row],[id]],DATOS_[F.fin.cal]))=DATOS_[[#This Row],[F.fin.cal]],"Sí","NO")</f>
        <v>Sí</v>
      </c>
      <c r="BT502" s="137" t="str">
        <f aca="false">IF(AND(DATOS_[[#This Row],[% normaliz]]&lt;&gt;1,DATOS_[[#This Row],[% anualiz]]=1),"Sí","NO")</f>
        <v>Sí</v>
      </c>
      <c r="BU502" s="137" t="str">
        <f aca="false">IF(AND(DATOS_[[#This Row],[% normaliz]]=1,DATOS_[[#This Row],[% anualiz]]&lt;&gt;1),"Sí","NO")</f>
        <v>NO</v>
      </c>
      <c r="BV502" s="137" t="str">
        <f aca="false">IF(AND(DATOS_[[#This Row],[% normaliz]]&lt;&gt;1,DATOS_[[#This Row],[% anualiz]]&lt;&gt;1),"Sí","NO")</f>
        <v>NO</v>
      </c>
      <c r="BW502" s="137" t="str">
        <f aca="false">+IF(DATOS_[[#This Row],[% normaliz]]*DATOS_[[#This Row],[% anualiz]]=1,"NO","Sí")</f>
        <v>Sí</v>
      </c>
      <c r="BX502" s="138" t="e">
        <f aca="false">(DATOS_[[#This Row],[S.BASE]]*(1/DATOS_[[#This Row],[% normaliz]])*(1/DATOS_[[#This Row],[% anualiz]]))*IF(DATOS_[[#This Row],[Check Equiparado]]="Sí",1,0)</f>
        <v>#DIV/0!</v>
      </c>
      <c r="BY5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2" s="138" t="e">
        <f aca="false">+DATOS_[[#This Row],[SALARIO BASE Eq]]+DATOS_[[#This Row],[Tot COMPL.SAL Eq]]</f>
        <v>#DIV/0!</v>
      </c>
      <c r="CA502" s="138" t="e">
        <f aca="false" t="array" ref="CA502:CA5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2" s="138" t="e">
        <f aca="false">+DATOS_[[#This Row],[TOTAL SALARIO Eq]]+DATOS_[[#This Row],[Tot Extrasalarial Eq]]</f>
        <v>#DIV/0!</v>
      </c>
      <c r="CC502" s="139" t="n">
        <f aca="false">DATOS_[[#This Row],[S.BASE]]</f>
        <v>0</v>
      </c>
      <c r="CD502" s="139" t="n">
        <f aca="false">+SUM(DATOS_[[#This Row],[Conc.Sal.01]:[Conc.Sal.30]])</f>
        <v>0</v>
      </c>
      <c r="CE502" s="139" t="n">
        <f aca="false">+DATOS_[[#This Row],[SALARIO BASE Ef]]+DATOS_[[#This Row],[Tot COMPL.SAL Ef]]</f>
        <v>0</v>
      </c>
      <c r="CF502" s="139" t="n">
        <f aca="false">+SUM(DATOS_[[#This Row],[C.Extra.01]:[C.Extra.05]])</f>
        <v>0</v>
      </c>
      <c r="CG502" s="139" t="n">
        <f aca="false">+DATOS_[[#This Row],[TOTAL SALARIO Ef]]+DATOS_[[#This Row],[Tot Extrasalarial Ef]]</f>
        <v>0</v>
      </c>
      <c r="CH502" s="140" t="n">
        <f aca="false">MIN(IF(DATOS_[[#This Row],[Fecha Fin Contrato]]="",$D$4,DATOS_[[#This Row],[Fecha Fin Contrato]]),$D$4)-MAX(DATOS_[[#This Row],[Fecha de Contratación]],$D$3)+1</f>
        <v>1</v>
      </c>
      <c r="CI502" s="141" t="str">
        <f aca="false">IF(COUNTIFS(DATOS_[id],DATOS_[[#This Row],[id]])&gt;1,DATOS_[[#This Row],[id]],"")</f>
        <v/>
      </c>
      <c r="CJ502" s="141" t="n">
        <f aca="false">(Inicio!$G$10-DATOS_[[#This Row],[Fecha Nacimiento]])/365.25</f>
        <v>0</v>
      </c>
      <c r="CK502" s="141" t="n">
        <f aca="false">(Inicio!$G$10-DATOS_[[#This Row],[Fecha de Antigüedad]])/365.25</f>
        <v>0</v>
      </c>
      <c r="CL502" s="141" t="e">
        <f aca="false">+VLOOKUP(DATOS_[[#This Row],[Clave de Contrato]],TblTiposContrato13[],3,0)</f>
        <v>#N/A</v>
      </c>
      <c r="CM502" s="141" t="e">
        <f aca="false">+VLOOKUP(DATOS_[[#This Row],[Clave de Contrato]],TblTiposContrato13[],4,0)</f>
        <v>#N/A</v>
      </c>
      <c r="CN502" s="141" t="str">
        <f aca="false">VLOOKUP(DATOS_[[#This Row],[Edad]],CONTRATOS!TblRngEdad,2,1)</f>
        <v>20  o menos</v>
      </c>
      <c r="CO502" s="141" t="str">
        <f aca="false">VLOOKUP(DATOS_[[#This Row],[Antigüedad]],TblRngAntg14[],2,1)</f>
        <v>0 a 1 años</v>
      </c>
    </row>
    <row r="503" customFormat="false" ht="13.8" hidden="false" customHeight="false" outlineLevel="0" collapsed="false">
      <c r="D503" s="128"/>
      <c r="E503" s="129"/>
      <c r="F503" s="129"/>
      <c r="G503" s="129"/>
      <c r="H503" s="130"/>
      <c r="I503" s="131"/>
      <c r="J503" s="128"/>
      <c r="K503" s="132"/>
      <c r="L503" s="132"/>
      <c r="M503" s="133"/>
      <c r="N503" s="133"/>
      <c r="O503" s="133"/>
      <c r="P503" s="129"/>
      <c r="Z503" s="75"/>
      <c r="AA503" s="76"/>
      <c r="AB503" s="76"/>
      <c r="AC503" s="129"/>
      <c r="AD503" s="134"/>
      <c r="AE503" s="134"/>
      <c r="AF503" s="134"/>
      <c r="AG503" s="134"/>
      <c r="AH503" s="134"/>
      <c r="AI503" s="134"/>
      <c r="AJ503" s="134"/>
      <c r="AK503" s="134"/>
      <c r="AL503" s="134"/>
      <c r="AM503" s="134"/>
      <c r="AN503" s="134"/>
      <c r="AO503" s="134"/>
      <c r="AP503" s="134"/>
      <c r="AQ503" s="134"/>
      <c r="AR503" s="134"/>
      <c r="AS503" s="134"/>
      <c r="AT503" s="134"/>
      <c r="AU503" s="134"/>
      <c r="AV503" s="134"/>
      <c r="AW503" s="134"/>
      <c r="AX503" s="134"/>
      <c r="AY503" s="134"/>
      <c r="AZ503" s="134"/>
      <c r="BA503" s="134"/>
      <c r="BB503" s="134"/>
      <c r="BC503" s="134"/>
      <c r="BD503" s="134"/>
      <c r="BE503" s="134"/>
      <c r="BF503" s="134"/>
      <c r="BG503" s="134"/>
      <c r="BH503" s="134"/>
      <c r="BI503" s="134"/>
      <c r="BJ503" s="134"/>
      <c r="BK503" s="134"/>
      <c r="BL503" s="134"/>
      <c r="BM503" s="135"/>
      <c r="BN503" s="136" t="n">
        <f aca="false">+MAX($D$3,DATOS_[[#This Row],[Fecha Inicio Sit. Contract.]])</f>
        <v>0</v>
      </c>
      <c r="BO503" s="136" t="n">
        <f aca="false">+MIN($D$4,DATOS_[[#This Row],[Fecha Fin Sit. Contract.]])</f>
        <v>0</v>
      </c>
      <c r="BP503" s="137" t="n">
        <f aca="false">+DATOS_[[#This Row],[% de jornada]]*IF(DATOS_[[#This Row],[% jornada reducida]]="",1,DATOS_[[#This Row],[% jornada reducida]])</f>
        <v>0</v>
      </c>
      <c r="BQ503" s="137" t="n">
        <f aca="false">+(DATOS_[[#This Row],[F.fin.cal]]-DATOS_[[#This Row],[F.ini.cal]]+1)/($D$4-$D$3+1)</f>
        <v>1</v>
      </c>
      <c r="BR503" s="137" t="str">
        <f aca="false">IF(OR(AND(DATOS_[[#This Row],[Fecha Fin Contrato]]&lt;$D$3,DATOS_[[#This Row],[Fecha Fin Contrato]]&lt;&gt;""),DATOS_[[#This Row],[Fecha de Contratación]]&gt;$D$4),"Fuera","Dentro")</f>
        <v>Dentro</v>
      </c>
      <c r="BS503" s="137" t="str">
        <f aca="false" t="array" ref="BS503:BS503">IF(MAX(IF(DATOS_[id]=DATOS_[[#This Row],[id]],DATOS_[F.fin.cal]))=DATOS_[[#This Row],[F.fin.cal]],"Sí","NO")</f>
        <v>Sí</v>
      </c>
      <c r="BT503" s="137" t="str">
        <f aca="false">IF(AND(DATOS_[[#This Row],[% normaliz]]&lt;&gt;1,DATOS_[[#This Row],[% anualiz]]=1),"Sí","NO")</f>
        <v>Sí</v>
      </c>
      <c r="BU503" s="137" t="str">
        <f aca="false">IF(AND(DATOS_[[#This Row],[% normaliz]]=1,DATOS_[[#This Row],[% anualiz]]&lt;&gt;1),"Sí","NO")</f>
        <v>NO</v>
      </c>
      <c r="BV503" s="137" t="str">
        <f aca="false">IF(AND(DATOS_[[#This Row],[% normaliz]]&lt;&gt;1,DATOS_[[#This Row],[% anualiz]]&lt;&gt;1),"Sí","NO")</f>
        <v>NO</v>
      </c>
      <c r="BW503" s="137" t="str">
        <f aca="false">+IF(DATOS_[[#This Row],[% normaliz]]*DATOS_[[#This Row],[% anualiz]]=1,"NO","Sí")</f>
        <v>Sí</v>
      </c>
      <c r="BX503" s="138" t="e">
        <f aca="false">(DATOS_[[#This Row],[S.BASE]]*(1/DATOS_[[#This Row],[% normaliz]])*(1/DATOS_[[#This Row],[% anualiz]]))*IF(DATOS_[[#This Row],[Check Equiparado]]="Sí",1,0)</f>
        <v>#DIV/0!</v>
      </c>
      <c r="BY5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3" s="138" t="e">
        <f aca="false">+DATOS_[[#This Row],[SALARIO BASE Eq]]+DATOS_[[#This Row],[Tot COMPL.SAL Eq]]</f>
        <v>#DIV/0!</v>
      </c>
      <c r="CA503" s="138" t="e">
        <f aca="false" t="array" ref="CA503:CA5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3" s="138" t="e">
        <f aca="false">+DATOS_[[#This Row],[TOTAL SALARIO Eq]]+DATOS_[[#This Row],[Tot Extrasalarial Eq]]</f>
        <v>#DIV/0!</v>
      </c>
      <c r="CC503" s="139" t="n">
        <f aca="false">DATOS_[[#This Row],[S.BASE]]</f>
        <v>0</v>
      </c>
      <c r="CD503" s="139" t="n">
        <f aca="false">+SUM(DATOS_[[#This Row],[Conc.Sal.01]:[Conc.Sal.30]])</f>
        <v>0</v>
      </c>
      <c r="CE503" s="139" t="n">
        <f aca="false">+DATOS_[[#This Row],[SALARIO BASE Ef]]+DATOS_[[#This Row],[Tot COMPL.SAL Ef]]</f>
        <v>0</v>
      </c>
      <c r="CF503" s="139" t="n">
        <f aca="false">+SUM(DATOS_[[#This Row],[C.Extra.01]:[C.Extra.05]])</f>
        <v>0</v>
      </c>
      <c r="CG503" s="139" t="n">
        <f aca="false">+DATOS_[[#This Row],[TOTAL SALARIO Ef]]+DATOS_[[#This Row],[Tot Extrasalarial Ef]]</f>
        <v>0</v>
      </c>
      <c r="CH503" s="140" t="n">
        <f aca="false">MIN(IF(DATOS_[[#This Row],[Fecha Fin Contrato]]="",$D$4,DATOS_[[#This Row],[Fecha Fin Contrato]]),$D$4)-MAX(DATOS_[[#This Row],[Fecha de Contratación]],$D$3)+1</f>
        <v>1</v>
      </c>
      <c r="CI503" s="141" t="str">
        <f aca="false">IF(COUNTIFS(DATOS_[id],DATOS_[[#This Row],[id]])&gt;1,DATOS_[[#This Row],[id]],"")</f>
        <v/>
      </c>
      <c r="CJ503" s="141" t="n">
        <f aca="false">(Inicio!$G$10-DATOS_[[#This Row],[Fecha Nacimiento]])/365.25</f>
        <v>0</v>
      </c>
      <c r="CK503" s="141" t="n">
        <f aca="false">(Inicio!$G$10-DATOS_[[#This Row],[Fecha de Antigüedad]])/365.25</f>
        <v>0</v>
      </c>
      <c r="CL503" s="141" t="e">
        <f aca="false">+VLOOKUP(DATOS_[[#This Row],[Clave de Contrato]],TblTiposContrato13[],3,0)</f>
        <v>#N/A</v>
      </c>
      <c r="CM503" s="141" t="e">
        <f aca="false">+VLOOKUP(DATOS_[[#This Row],[Clave de Contrato]],TblTiposContrato13[],4,0)</f>
        <v>#N/A</v>
      </c>
      <c r="CN503" s="141" t="str">
        <f aca="false">VLOOKUP(DATOS_[[#This Row],[Edad]],CONTRATOS!TblRngEdad,2,1)</f>
        <v>20  o menos</v>
      </c>
      <c r="CO503" s="141" t="str">
        <f aca="false">VLOOKUP(DATOS_[[#This Row],[Antigüedad]],TblRngAntg14[],2,1)</f>
        <v>0 a 1 años</v>
      </c>
    </row>
    <row r="504" customFormat="false" ht="13.8" hidden="false" customHeight="false" outlineLevel="0" collapsed="false">
      <c r="D504" s="128"/>
      <c r="E504" s="129"/>
      <c r="F504" s="129"/>
      <c r="G504" s="129"/>
      <c r="H504" s="130"/>
      <c r="I504" s="131"/>
      <c r="J504" s="128"/>
      <c r="K504" s="132"/>
      <c r="L504" s="132"/>
      <c r="M504" s="133"/>
      <c r="N504" s="133"/>
      <c r="O504" s="133"/>
      <c r="P504" s="129"/>
      <c r="Z504" s="75"/>
      <c r="AA504" s="76"/>
      <c r="AB504" s="76"/>
      <c r="AC504" s="129"/>
      <c r="AD504" s="134"/>
      <c r="AE504" s="134"/>
      <c r="AF504" s="134"/>
      <c r="AG504" s="134"/>
      <c r="AH504" s="134"/>
      <c r="AI504" s="134"/>
      <c r="AJ504" s="134"/>
      <c r="AK504" s="134"/>
      <c r="AL504" s="134"/>
      <c r="AM504" s="134"/>
      <c r="AN504" s="134"/>
      <c r="AO504" s="134"/>
      <c r="AP504" s="134"/>
      <c r="AQ504" s="134"/>
      <c r="AR504" s="134"/>
      <c r="AS504" s="134"/>
      <c r="AT504" s="134"/>
      <c r="AU504" s="134"/>
      <c r="AV504" s="134"/>
      <c r="AW504" s="134"/>
      <c r="AX504" s="134"/>
      <c r="AY504" s="134"/>
      <c r="AZ504" s="134"/>
      <c r="BA504" s="134"/>
      <c r="BB504" s="134"/>
      <c r="BC504" s="134"/>
      <c r="BD504" s="134"/>
      <c r="BE504" s="134"/>
      <c r="BF504" s="134"/>
      <c r="BG504" s="134"/>
      <c r="BH504" s="134"/>
      <c r="BI504" s="134"/>
      <c r="BJ504" s="134"/>
      <c r="BK504" s="134"/>
      <c r="BL504" s="134"/>
      <c r="BM504" s="135"/>
      <c r="BN504" s="136" t="n">
        <f aca="false">+MAX($D$3,DATOS_[[#This Row],[Fecha Inicio Sit. Contract.]])</f>
        <v>0</v>
      </c>
      <c r="BO504" s="136" t="n">
        <f aca="false">+MIN($D$4,DATOS_[[#This Row],[Fecha Fin Sit. Contract.]])</f>
        <v>0</v>
      </c>
      <c r="BP504" s="137" t="n">
        <f aca="false">+DATOS_[[#This Row],[% de jornada]]*IF(DATOS_[[#This Row],[% jornada reducida]]="",1,DATOS_[[#This Row],[% jornada reducida]])</f>
        <v>0</v>
      </c>
      <c r="BQ504" s="137" t="n">
        <f aca="false">+(DATOS_[[#This Row],[F.fin.cal]]-DATOS_[[#This Row],[F.ini.cal]]+1)/($D$4-$D$3+1)</f>
        <v>1</v>
      </c>
      <c r="BR504" s="137" t="str">
        <f aca="false">IF(OR(AND(DATOS_[[#This Row],[Fecha Fin Contrato]]&lt;$D$3,DATOS_[[#This Row],[Fecha Fin Contrato]]&lt;&gt;""),DATOS_[[#This Row],[Fecha de Contratación]]&gt;$D$4),"Fuera","Dentro")</f>
        <v>Dentro</v>
      </c>
      <c r="BS504" s="137" t="str">
        <f aca="false" t="array" ref="BS504:BS504">IF(MAX(IF(DATOS_[id]=DATOS_[[#This Row],[id]],DATOS_[F.fin.cal]))=DATOS_[[#This Row],[F.fin.cal]],"Sí","NO")</f>
        <v>Sí</v>
      </c>
      <c r="BT504" s="137" t="str">
        <f aca="false">IF(AND(DATOS_[[#This Row],[% normaliz]]&lt;&gt;1,DATOS_[[#This Row],[% anualiz]]=1),"Sí","NO")</f>
        <v>Sí</v>
      </c>
      <c r="BU504" s="137" t="str">
        <f aca="false">IF(AND(DATOS_[[#This Row],[% normaliz]]=1,DATOS_[[#This Row],[% anualiz]]&lt;&gt;1),"Sí","NO")</f>
        <v>NO</v>
      </c>
      <c r="BV504" s="137" t="str">
        <f aca="false">IF(AND(DATOS_[[#This Row],[% normaliz]]&lt;&gt;1,DATOS_[[#This Row],[% anualiz]]&lt;&gt;1),"Sí","NO")</f>
        <v>NO</v>
      </c>
      <c r="BW504" s="137" t="str">
        <f aca="false">+IF(DATOS_[[#This Row],[% normaliz]]*DATOS_[[#This Row],[% anualiz]]=1,"NO","Sí")</f>
        <v>Sí</v>
      </c>
      <c r="BX504" s="138" t="e">
        <f aca="false">(DATOS_[[#This Row],[S.BASE]]*(1/DATOS_[[#This Row],[% normaliz]])*(1/DATOS_[[#This Row],[% anualiz]]))*IF(DATOS_[[#This Row],[Check Equiparado]]="Sí",1,0)</f>
        <v>#DIV/0!</v>
      </c>
      <c r="BY5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4" s="138" t="e">
        <f aca="false">+DATOS_[[#This Row],[SALARIO BASE Eq]]+DATOS_[[#This Row],[Tot COMPL.SAL Eq]]</f>
        <v>#DIV/0!</v>
      </c>
      <c r="CA504" s="138" t="e">
        <f aca="false" t="array" ref="CA504:CA5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4" s="138" t="e">
        <f aca="false">+DATOS_[[#This Row],[TOTAL SALARIO Eq]]+DATOS_[[#This Row],[Tot Extrasalarial Eq]]</f>
        <v>#DIV/0!</v>
      </c>
      <c r="CC504" s="139" t="n">
        <f aca="false">DATOS_[[#This Row],[S.BASE]]</f>
        <v>0</v>
      </c>
      <c r="CD504" s="139" t="n">
        <f aca="false">+SUM(DATOS_[[#This Row],[Conc.Sal.01]:[Conc.Sal.30]])</f>
        <v>0</v>
      </c>
      <c r="CE504" s="139" t="n">
        <f aca="false">+DATOS_[[#This Row],[SALARIO BASE Ef]]+DATOS_[[#This Row],[Tot COMPL.SAL Ef]]</f>
        <v>0</v>
      </c>
      <c r="CF504" s="139" t="n">
        <f aca="false">+SUM(DATOS_[[#This Row],[C.Extra.01]:[C.Extra.05]])</f>
        <v>0</v>
      </c>
      <c r="CG504" s="139" t="n">
        <f aca="false">+DATOS_[[#This Row],[TOTAL SALARIO Ef]]+DATOS_[[#This Row],[Tot Extrasalarial Ef]]</f>
        <v>0</v>
      </c>
      <c r="CH504" s="140" t="n">
        <f aca="false">MIN(IF(DATOS_[[#This Row],[Fecha Fin Contrato]]="",$D$4,DATOS_[[#This Row],[Fecha Fin Contrato]]),$D$4)-MAX(DATOS_[[#This Row],[Fecha de Contratación]],$D$3)+1</f>
        <v>1</v>
      </c>
      <c r="CI504" s="141" t="str">
        <f aca="false">IF(COUNTIFS(DATOS_[id],DATOS_[[#This Row],[id]])&gt;1,DATOS_[[#This Row],[id]],"")</f>
        <v/>
      </c>
      <c r="CJ504" s="141" t="n">
        <f aca="false">(Inicio!$G$10-DATOS_[[#This Row],[Fecha Nacimiento]])/365.25</f>
        <v>0</v>
      </c>
      <c r="CK504" s="141" t="n">
        <f aca="false">(Inicio!$G$10-DATOS_[[#This Row],[Fecha de Antigüedad]])/365.25</f>
        <v>0</v>
      </c>
      <c r="CL504" s="141" t="e">
        <f aca="false">+VLOOKUP(DATOS_[[#This Row],[Clave de Contrato]],TblTiposContrato13[],3,0)</f>
        <v>#N/A</v>
      </c>
      <c r="CM504" s="141" t="e">
        <f aca="false">+VLOOKUP(DATOS_[[#This Row],[Clave de Contrato]],TblTiposContrato13[],4,0)</f>
        <v>#N/A</v>
      </c>
      <c r="CN504" s="141" t="str">
        <f aca="false">VLOOKUP(DATOS_[[#This Row],[Edad]],CONTRATOS!TblRngEdad,2,1)</f>
        <v>20  o menos</v>
      </c>
      <c r="CO504" s="141" t="str">
        <f aca="false">VLOOKUP(DATOS_[[#This Row],[Antigüedad]],TblRngAntg14[],2,1)</f>
        <v>0 a 1 años</v>
      </c>
    </row>
    <row r="505" customFormat="false" ht="13.8" hidden="false" customHeight="false" outlineLevel="0" collapsed="false">
      <c r="D505" s="128"/>
      <c r="E505" s="129"/>
      <c r="F505" s="129"/>
      <c r="G505" s="129"/>
      <c r="H505" s="130"/>
      <c r="I505" s="131"/>
      <c r="J505" s="128"/>
      <c r="K505" s="132"/>
      <c r="L505" s="132"/>
      <c r="M505" s="133"/>
      <c r="N505" s="133"/>
      <c r="O505" s="133"/>
      <c r="P505" s="129"/>
      <c r="Z505" s="75"/>
      <c r="AA505" s="76"/>
      <c r="AB505" s="76"/>
      <c r="AC505" s="129"/>
      <c r="AD505" s="134"/>
      <c r="AE505" s="134"/>
      <c r="AF505" s="134"/>
      <c r="AG505" s="134"/>
      <c r="AH505" s="134"/>
      <c r="AI505" s="134"/>
      <c r="AJ505" s="134"/>
      <c r="AK505" s="134"/>
      <c r="AL505" s="134"/>
      <c r="AM505" s="134"/>
      <c r="AN505" s="134"/>
      <c r="AO505" s="134"/>
      <c r="AP505" s="134"/>
      <c r="AQ505" s="134"/>
      <c r="AR505" s="134"/>
      <c r="AS505" s="134"/>
      <c r="AT505" s="134"/>
      <c r="AU505" s="134"/>
      <c r="AV505" s="134"/>
      <c r="AW505" s="134"/>
      <c r="AX505" s="134"/>
      <c r="AY505" s="134"/>
      <c r="AZ505" s="134"/>
      <c r="BA505" s="134"/>
      <c r="BB505" s="134"/>
      <c r="BC505" s="134"/>
      <c r="BD505" s="134"/>
      <c r="BE505" s="134"/>
      <c r="BF505" s="134"/>
      <c r="BG505" s="134"/>
      <c r="BH505" s="134"/>
      <c r="BI505" s="134"/>
      <c r="BJ505" s="134"/>
      <c r="BK505" s="134"/>
      <c r="BL505" s="134"/>
      <c r="BM505" s="135"/>
      <c r="BN505" s="136" t="n">
        <f aca="false">+MAX($D$3,DATOS_[[#This Row],[Fecha Inicio Sit. Contract.]])</f>
        <v>0</v>
      </c>
      <c r="BO505" s="136" t="n">
        <f aca="false">+MIN($D$4,DATOS_[[#This Row],[Fecha Fin Sit. Contract.]])</f>
        <v>0</v>
      </c>
      <c r="BP505" s="137" t="n">
        <f aca="false">+DATOS_[[#This Row],[% de jornada]]*IF(DATOS_[[#This Row],[% jornada reducida]]="",1,DATOS_[[#This Row],[% jornada reducida]])</f>
        <v>0</v>
      </c>
      <c r="BQ505" s="137" t="n">
        <f aca="false">+(DATOS_[[#This Row],[F.fin.cal]]-DATOS_[[#This Row],[F.ini.cal]]+1)/($D$4-$D$3+1)</f>
        <v>1</v>
      </c>
      <c r="BR505" s="137" t="str">
        <f aca="false">IF(OR(AND(DATOS_[[#This Row],[Fecha Fin Contrato]]&lt;$D$3,DATOS_[[#This Row],[Fecha Fin Contrato]]&lt;&gt;""),DATOS_[[#This Row],[Fecha de Contratación]]&gt;$D$4),"Fuera","Dentro")</f>
        <v>Dentro</v>
      </c>
      <c r="BS505" s="137" t="str">
        <f aca="false" t="array" ref="BS505:BS505">IF(MAX(IF(DATOS_[id]=DATOS_[[#This Row],[id]],DATOS_[F.fin.cal]))=DATOS_[[#This Row],[F.fin.cal]],"Sí","NO")</f>
        <v>Sí</v>
      </c>
      <c r="BT505" s="137" t="str">
        <f aca="false">IF(AND(DATOS_[[#This Row],[% normaliz]]&lt;&gt;1,DATOS_[[#This Row],[% anualiz]]=1),"Sí","NO")</f>
        <v>Sí</v>
      </c>
      <c r="BU505" s="137" t="str">
        <f aca="false">IF(AND(DATOS_[[#This Row],[% normaliz]]=1,DATOS_[[#This Row],[% anualiz]]&lt;&gt;1),"Sí","NO")</f>
        <v>NO</v>
      </c>
      <c r="BV505" s="137" t="str">
        <f aca="false">IF(AND(DATOS_[[#This Row],[% normaliz]]&lt;&gt;1,DATOS_[[#This Row],[% anualiz]]&lt;&gt;1),"Sí","NO")</f>
        <v>NO</v>
      </c>
      <c r="BW505" s="137" t="str">
        <f aca="false">+IF(DATOS_[[#This Row],[% normaliz]]*DATOS_[[#This Row],[% anualiz]]=1,"NO","Sí")</f>
        <v>Sí</v>
      </c>
      <c r="BX505" s="138" t="e">
        <f aca="false">(DATOS_[[#This Row],[S.BASE]]*(1/DATOS_[[#This Row],[% normaliz]])*(1/DATOS_[[#This Row],[% anualiz]]))*IF(DATOS_[[#This Row],[Check Equiparado]]="Sí",1,0)</f>
        <v>#DIV/0!</v>
      </c>
      <c r="BY5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5" s="138" t="e">
        <f aca="false">+DATOS_[[#This Row],[SALARIO BASE Eq]]+DATOS_[[#This Row],[Tot COMPL.SAL Eq]]</f>
        <v>#DIV/0!</v>
      </c>
      <c r="CA505" s="138" t="e">
        <f aca="false" t="array" ref="CA505:CA5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5" s="138" t="e">
        <f aca="false">+DATOS_[[#This Row],[TOTAL SALARIO Eq]]+DATOS_[[#This Row],[Tot Extrasalarial Eq]]</f>
        <v>#DIV/0!</v>
      </c>
      <c r="CC505" s="139" t="n">
        <f aca="false">DATOS_[[#This Row],[S.BASE]]</f>
        <v>0</v>
      </c>
      <c r="CD505" s="139" t="n">
        <f aca="false">+SUM(DATOS_[[#This Row],[Conc.Sal.01]:[Conc.Sal.30]])</f>
        <v>0</v>
      </c>
      <c r="CE505" s="139" t="n">
        <f aca="false">+DATOS_[[#This Row],[SALARIO BASE Ef]]+DATOS_[[#This Row],[Tot COMPL.SAL Ef]]</f>
        <v>0</v>
      </c>
      <c r="CF505" s="139" t="n">
        <f aca="false">+SUM(DATOS_[[#This Row],[C.Extra.01]:[C.Extra.05]])</f>
        <v>0</v>
      </c>
      <c r="CG505" s="139" t="n">
        <f aca="false">+DATOS_[[#This Row],[TOTAL SALARIO Ef]]+DATOS_[[#This Row],[Tot Extrasalarial Ef]]</f>
        <v>0</v>
      </c>
      <c r="CH505" s="140" t="n">
        <f aca="false">MIN(IF(DATOS_[[#This Row],[Fecha Fin Contrato]]="",$D$4,DATOS_[[#This Row],[Fecha Fin Contrato]]),$D$4)-MAX(DATOS_[[#This Row],[Fecha de Contratación]],$D$3)+1</f>
        <v>1</v>
      </c>
      <c r="CI505" s="141" t="str">
        <f aca="false">IF(COUNTIFS(DATOS_[id],DATOS_[[#This Row],[id]])&gt;1,DATOS_[[#This Row],[id]],"")</f>
        <v/>
      </c>
      <c r="CJ505" s="141" t="n">
        <f aca="false">(Inicio!$G$10-DATOS_[[#This Row],[Fecha Nacimiento]])/365.25</f>
        <v>0</v>
      </c>
      <c r="CK505" s="141" t="n">
        <f aca="false">(Inicio!$G$10-DATOS_[[#This Row],[Fecha de Antigüedad]])/365.25</f>
        <v>0</v>
      </c>
      <c r="CL505" s="141" t="e">
        <f aca="false">+VLOOKUP(DATOS_[[#This Row],[Clave de Contrato]],TblTiposContrato13[],3,0)</f>
        <v>#N/A</v>
      </c>
      <c r="CM505" s="141" t="e">
        <f aca="false">+VLOOKUP(DATOS_[[#This Row],[Clave de Contrato]],TblTiposContrato13[],4,0)</f>
        <v>#N/A</v>
      </c>
      <c r="CN505" s="141" t="str">
        <f aca="false">VLOOKUP(DATOS_[[#This Row],[Edad]],CONTRATOS!TblRngEdad,2,1)</f>
        <v>20  o menos</v>
      </c>
      <c r="CO505" s="141" t="str">
        <f aca="false">VLOOKUP(DATOS_[[#This Row],[Antigüedad]],TblRngAntg14[],2,1)</f>
        <v>0 a 1 años</v>
      </c>
    </row>
    <row r="506" customFormat="false" ht="13.8" hidden="false" customHeight="false" outlineLevel="0" collapsed="false">
      <c r="D506" s="128"/>
      <c r="E506" s="129"/>
      <c r="F506" s="129"/>
      <c r="G506" s="129"/>
      <c r="H506" s="130"/>
      <c r="I506" s="131"/>
      <c r="J506" s="128"/>
      <c r="K506" s="132"/>
      <c r="L506" s="132"/>
      <c r="M506" s="133"/>
      <c r="N506" s="133"/>
      <c r="O506" s="133"/>
      <c r="P506" s="129"/>
      <c r="Z506" s="75"/>
      <c r="AA506" s="76"/>
      <c r="AB506" s="76"/>
      <c r="AC506" s="129"/>
      <c r="AD506" s="134"/>
      <c r="AE506" s="134"/>
      <c r="AF506" s="134"/>
      <c r="AG506" s="134"/>
      <c r="AH506" s="134"/>
      <c r="AI506" s="134"/>
      <c r="AJ506" s="134"/>
      <c r="AK506" s="134"/>
      <c r="AL506" s="134"/>
      <c r="AM506" s="134"/>
      <c r="AN506" s="134"/>
      <c r="AO506" s="134"/>
      <c r="AP506" s="134"/>
      <c r="AQ506" s="134"/>
      <c r="AR506" s="134"/>
      <c r="AS506" s="134"/>
      <c r="AT506" s="134"/>
      <c r="AU506" s="134"/>
      <c r="AV506" s="134"/>
      <c r="AW506" s="134"/>
      <c r="AX506" s="134"/>
      <c r="AY506" s="134"/>
      <c r="AZ506" s="134"/>
      <c r="BA506" s="134"/>
      <c r="BB506" s="134"/>
      <c r="BC506" s="134"/>
      <c r="BD506" s="134"/>
      <c r="BE506" s="134"/>
      <c r="BF506" s="134"/>
      <c r="BG506" s="134"/>
      <c r="BH506" s="134"/>
      <c r="BI506" s="134"/>
      <c r="BJ506" s="134"/>
      <c r="BK506" s="134"/>
      <c r="BL506" s="134"/>
      <c r="BM506" s="135"/>
      <c r="BN506" s="136" t="n">
        <f aca="false">+MAX($D$3,DATOS_[[#This Row],[Fecha Inicio Sit. Contract.]])</f>
        <v>0</v>
      </c>
      <c r="BO506" s="136" t="n">
        <f aca="false">+MIN($D$4,DATOS_[[#This Row],[Fecha Fin Sit. Contract.]])</f>
        <v>0</v>
      </c>
      <c r="BP506" s="137" t="n">
        <f aca="false">+DATOS_[[#This Row],[% de jornada]]*IF(DATOS_[[#This Row],[% jornada reducida]]="",1,DATOS_[[#This Row],[% jornada reducida]])</f>
        <v>0</v>
      </c>
      <c r="BQ506" s="137" t="n">
        <f aca="false">+(DATOS_[[#This Row],[F.fin.cal]]-DATOS_[[#This Row],[F.ini.cal]]+1)/($D$4-$D$3+1)</f>
        <v>1</v>
      </c>
      <c r="BR506" s="137" t="str">
        <f aca="false">IF(OR(AND(DATOS_[[#This Row],[Fecha Fin Contrato]]&lt;$D$3,DATOS_[[#This Row],[Fecha Fin Contrato]]&lt;&gt;""),DATOS_[[#This Row],[Fecha de Contratación]]&gt;$D$4),"Fuera","Dentro")</f>
        <v>Dentro</v>
      </c>
      <c r="BS506" s="137" t="str">
        <f aca="false" t="array" ref="BS506:BS506">IF(MAX(IF(DATOS_[id]=DATOS_[[#This Row],[id]],DATOS_[F.fin.cal]))=DATOS_[[#This Row],[F.fin.cal]],"Sí","NO")</f>
        <v>Sí</v>
      </c>
      <c r="BT506" s="137" t="str">
        <f aca="false">IF(AND(DATOS_[[#This Row],[% normaliz]]&lt;&gt;1,DATOS_[[#This Row],[% anualiz]]=1),"Sí","NO")</f>
        <v>Sí</v>
      </c>
      <c r="BU506" s="137" t="str">
        <f aca="false">IF(AND(DATOS_[[#This Row],[% normaliz]]=1,DATOS_[[#This Row],[% anualiz]]&lt;&gt;1),"Sí","NO")</f>
        <v>NO</v>
      </c>
      <c r="BV506" s="137" t="str">
        <f aca="false">IF(AND(DATOS_[[#This Row],[% normaliz]]&lt;&gt;1,DATOS_[[#This Row],[% anualiz]]&lt;&gt;1),"Sí","NO")</f>
        <v>NO</v>
      </c>
      <c r="BW506" s="137" t="str">
        <f aca="false">+IF(DATOS_[[#This Row],[% normaliz]]*DATOS_[[#This Row],[% anualiz]]=1,"NO","Sí")</f>
        <v>Sí</v>
      </c>
      <c r="BX506" s="138" t="e">
        <f aca="false">(DATOS_[[#This Row],[S.BASE]]*(1/DATOS_[[#This Row],[% normaliz]])*(1/DATOS_[[#This Row],[% anualiz]]))*IF(DATOS_[[#This Row],[Check Equiparado]]="Sí",1,0)</f>
        <v>#DIV/0!</v>
      </c>
      <c r="BY5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6" s="138" t="e">
        <f aca="false">+DATOS_[[#This Row],[SALARIO BASE Eq]]+DATOS_[[#This Row],[Tot COMPL.SAL Eq]]</f>
        <v>#DIV/0!</v>
      </c>
      <c r="CA506" s="138" t="e">
        <f aca="false" t="array" ref="CA506:CA5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6" s="138" t="e">
        <f aca="false">+DATOS_[[#This Row],[TOTAL SALARIO Eq]]+DATOS_[[#This Row],[Tot Extrasalarial Eq]]</f>
        <v>#DIV/0!</v>
      </c>
      <c r="CC506" s="139" t="n">
        <f aca="false">DATOS_[[#This Row],[S.BASE]]</f>
        <v>0</v>
      </c>
      <c r="CD506" s="139" t="n">
        <f aca="false">+SUM(DATOS_[[#This Row],[Conc.Sal.01]:[Conc.Sal.30]])</f>
        <v>0</v>
      </c>
      <c r="CE506" s="139" t="n">
        <f aca="false">+DATOS_[[#This Row],[SALARIO BASE Ef]]+DATOS_[[#This Row],[Tot COMPL.SAL Ef]]</f>
        <v>0</v>
      </c>
      <c r="CF506" s="139" t="n">
        <f aca="false">+SUM(DATOS_[[#This Row],[C.Extra.01]:[C.Extra.05]])</f>
        <v>0</v>
      </c>
      <c r="CG506" s="139" t="n">
        <f aca="false">+DATOS_[[#This Row],[TOTAL SALARIO Ef]]+DATOS_[[#This Row],[Tot Extrasalarial Ef]]</f>
        <v>0</v>
      </c>
      <c r="CH506" s="140" t="n">
        <f aca="false">MIN(IF(DATOS_[[#This Row],[Fecha Fin Contrato]]="",$D$4,DATOS_[[#This Row],[Fecha Fin Contrato]]),$D$4)-MAX(DATOS_[[#This Row],[Fecha de Contratación]],$D$3)+1</f>
        <v>1</v>
      </c>
      <c r="CI506" s="141" t="str">
        <f aca="false">IF(COUNTIFS(DATOS_[id],DATOS_[[#This Row],[id]])&gt;1,DATOS_[[#This Row],[id]],"")</f>
        <v/>
      </c>
      <c r="CJ506" s="141" t="n">
        <f aca="false">(Inicio!$G$10-DATOS_[[#This Row],[Fecha Nacimiento]])/365.25</f>
        <v>0</v>
      </c>
      <c r="CK506" s="141" t="n">
        <f aca="false">(Inicio!$G$10-DATOS_[[#This Row],[Fecha de Antigüedad]])/365.25</f>
        <v>0</v>
      </c>
      <c r="CL506" s="141" t="e">
        <f aca="false">+VLOOKUP(DATOS_[[#This Row],[Clave de Contrato]],TblTiposContrato13[],3,0)</f>
        <v>#N/A</v>
      </c>
      <c r="CM506" s="141" t="e">
        <f aca="false">+VLOOKUP(DATOS_[[#This Row],[Clave de Contrato]],TblTiposContrato13[],4,0)</f>
        <v>#N/A</v>
      </c>
      <c r="CN506" s="141" t="str">
        <f aca="false">VLOOKUP(DATOS_[[#This Row],[Edad]],CONTRATOS!TblRngEdad,2,1)</f>
        <v>20  o menos</v>
      </c>
      <c r="CO506" s="141" t="str">
        <f aca="false">VLOOKUP(DATOS_[[#This Row],[Antigüedad]],TblRngAntg14[],2,1)</f>
        <v>0 a 1 años</v>
      </c>
    </row>
    <row r="507" customFormat="false" ht="13.8" hidden="false" customHeight="false" outlineLevel="0" collapsed="false">
      <c r="D507" s="128"/>
      <c r="E507" s="129"/>
      <c r="F507" s="129"/>
      <c r="G507" s="129"/>
      <c r="H507" s="130"/>
      <c r="I507" s="131"/>
      <c r="J507" s="128"/>
      <c r="K507" s="132"/>
      <c r="L507" s="132"/>
      <c r="M507" s="133"/>
      <c r="N507" s="133"/>
      <c r="O507" s="133"/>
      <c r="P507" s="129"/>
      <c r="Z507" s="75"/>
      <c r="AA507" s="76"/>
      <c r="AB507" s="76"/>
      <c r="AC507" s="129"/>
      <c r="AD507" s="134"/>
      <c r="AE507" s="134"/>
      <c r="AF507" s="134"/>
      <c r="AG507" s="134"/>
      <c r="AH507" s="134"/>
      <c r="AI507" s="134"/>
      <c r="AJ507" s="134"/>
      <c r="AK507" s="134"/>
      <c r="AL507" s="134"/>
      <c r="AM507" s="134"/>
      <c r="AN507" s="134"/>
      <c r="AO507" s="134"/>
      <c r="AP507" s="134"/>
      <c r="AQ507" s="134"/>
      <c r="AR507" s="134"/>
      <c r="AS507" s="134"/>
      <c r="AT507" s="134"/>
      <c r="AU507" s="134"/>
      <c r="AV507" s="134"/>
      <c r="AW507" s="134"/>
      <c r="AX507" s="134"/>
      <c r="AY507" s="134"/>
      <c r="AZ507" s="134"/>
      <c r="BA507" s="134"/>
      <c r="BB507" s="134"/>
      <c r="BC507" s="134"/>
      <c r="BD507" s="134"/>
      <c r="BE507" s="134"/>
      <c r="BF507" s="134"/>
      <c r="BG507" s="134"/>
      <c r="BH507" s="134"/>
      <c r="BI507" s="134"/>
      <c r="BJ507" s="134"/>
      <c r="BK507" s="134"/>
      <c r="BL507" s="134"/>
      <c r="BM507" s="135"/>
      <c r="BN507" s="136" t="n">
        <f aca="false">+MAX($D$3,DATOS_[[#This Row],[Fecha Inicio Sit. Contract.]])</f>
        <v>0</v>
      </c>
      <c r="BO507" s="136" t="n">
        <f aca="false">+MIN($D$4,DATOS_[[#This Row],[Fecha Fin Sit. Contract.]])</f>
        <v>0</v>
      </c>
      <c r="BP507" s="137" t="n">
        <f aca="false">+DATOS_[[#This Row],[% de jornada]]*IF(DATOS_[[#This Row],[% jornada reducida]]="",1,DATOS_[[#This Row],[% jornada reducida]])</f>
        <v>0</v>
      </c>
      <c r="BQ507" s="137" t="n">
        <f aca="false">+(DATOS_[[#This Row],[F.fin.cal]]-DATOS_[[#This Row],[F.ini.cal]]+1)/($D$4-$D$3+1)</f>
        <v>1</v>
      </c>
      <c r="BR507" s="137" t="str">
        <f aca="false">IF(OR(AND(DATOS_[[#This Row],[Fecha Fin Contrato]]&lt;$D$3,DATOS_[[#This Row],[Fecha Fin Contrato]]&lt;&gt;""),DATOS_[[#This Row],[Fecha de Contratación]]&gt;$D$4),"Fuera","Dentro")</f>
        <v>Dentro</v>
      </c>
      <c r="BS507" s="137" t="str">
        <f aca="false" t="array" ref="BS507:BS507">IF(MAX(IF(DATOS_[id]=DATOS_[[#This Row],[id]],DATOS_[F.fin.cal]))=DATOS_[[#This Row],[F.fin.cal]],"Sí","NO")</f>
        <v>Sí</v>
      </c>
      <c r="BT507" s="137" t="str">
        <f aca="false">IF(AND(DATOS_[[#This Row],[% normaliz]]&lt;&gt;1,DATOS_[[#This Row],[% anualiz]]=1),"Sí","NO")</f>
        <v>Sí</v>
      </c>
      <c r="BU507" s="137" t="str">
        <f aca="false">IF(AND(DATOS_[[#This Row],[% normaliz]]=1,DATOS_[[#This Row],[% anualiz]]&lt;&gt;1),"Sí","NO")</f>
        <v>NO</v>
      </c>
      <c r="BV507" s="137" t="str">
        <f aca="false">IF(AND(DATOS_[[#This Row],[% normaliz]]&lt;&gt;1,DATOS_[[#This Row],[% anualiz]]&lt;&gt;1),"Sí","NO")</f>
        <v>NO</v>
      </c>
      <c r="BW507" s="137" t="str">
        <f aca="false">+IF(DATOS_[[#This Row],[% normaliz]]*DATOS_[[#This Row],[% anualiz]]=1,"NO","Sí")</f>
        <v>Sí</v>
      </c>
      <c r="BX507" s="138" t="e">
        <f aca="false">(DATOS_[[#This Row],[S.BASE]]*(1/DATOS_[[#This Row],[% normaliz]])*(1/DATOS_[[#This Row],[% anualiz]]))*IF(DATOS_[[#This Row],[Check Equiparado]]="Sí",1,0)</f>
        <v>#DIV/0!</v>
      </c>
      <c r="BY5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7" s="138" t="e">
        <f aca="false">+DATOS_[[#This Row],[SALARIO BASE Eq]]+DATOS_[[#This Row],[Tot COMPL.SAL Eq]]</f>
        <v>#DIV/0!</v>
      </c>
      <c r="CA507" s="138" t="e">
        <f aca="false" t="array" ref="CA507:CA5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7" s="138" t="e">
        <f aca="false">+DATOS_[[#This Row],[TOTAL SALARIO Eq]]+DATOS_[[#This Row],[Tot Extrasalarial Eq]]</f>
        <v>#DIV/0!</v>
      </c>
      <c r="CC507" s="139" t="n">
        <f aca="false">DATOS_[[#This Row],[S.BASE]]</f>
        <v>0</v>
      </c>
      <c r="CD507" s="139" t="n">
        <f aca="false">+SUM(DATOS_[[#This Row],[Conc.Sal.01]:[Conc.Sal.30]])</f>
        <v>0</v>
      </c>
      <c r="CE507" s="139" t="n">
        <f aca="false">+DATOS_[[#This Row],[SALARIO BASE Ef]]+DATOS_[[#This Row],[Tot COMPL.SAL Ef]]</f>
        <v>0</v>
      </c>
      <c r="CF507" s="139" t="n">
        <f aca="false">+SUM(DATOS_[[#This Row],[C.Extra.01]:[C.Extra.05]])</f>
        <v>0</v>
      </c>
      <c r="CG507" s="139" t="n">
        <f aca="false">+DATOS_[[#This Row],[TOTAL SALARIO Ef]]+DATOS_[[#This Row],[Tot Extrasalarial Ef]]</f>
        <v>0</v>
      </c>
      <c r="CH507" s="140" t="n">
        <f aca="false">MIN(IF(DATOS_[[#This Row],[Fecha Fin Contrato]]="",$D$4,DATOS_[[#This Row],[Fecha Fin Contrato]]),$D$4)-MAX(DATOS_[[#This Row],[Fecha de Contratación]],$D$3)+1</f>
        <v>1</v>
      </c>
      <c r="CI507" s="141" t="str">
        <f aca="false">IF(COUNTIFS(DATOS_[id],DATOS_[[#This Row],[id]])&gt;1,DATOS_[[#This Row],[id]],"")</f>
        <v/>
      </c>
      <c r="CJ507" s="141" t="n">
        <f aca="false">(Inicio!$G$10-DATOS_[[#This Row],[Fecha Nacimiento]])/365.25</f>
        <v>0</v>
      </c>
      <c r="CK507" s="141" t="n">
        <f aca="false">(Inicio!$G$10-DATOS_[[#This Row],[Fecha de Antigüedad]])/365.25</f>
        <v>0</v>
      </c>
      <c r="CL507" s="141" t="e">
        <f aca="false">+VLOOKUP(DATOS_[[#This Row],[Clave de Contrato]],TblTiposContrato13[],3,0)</f>
        <v>#N/A</v>
      </c>
      <c r="CM507" s="141" t="e">
        <f aca="false">+VLOOKUP(DATOS_[[#This Row],[Clave de Contrato]],TblTiposContrato13[],4,0)</f>
        <v>#N/A</v>
      </c>
      <c r="CN507" s="141" t="str">
        <f aca="false">VLOOKUP(DATOS_[[#This Row],[Edad]],CONTRATOS!TblRngEdad,2,1)</f>
        <v>20  o menos</v>
      </c>
      <c r="CO507" s="141" t="str">
        <f aca="false">VLOOKUP(DATOS_[[#This Row],[Antigüedad]],TblRngAntg14[],2,1)</f>
        <v>0 a 1 años</v>
      </c>
    </row>
    <row r="508" customFormat="false" ht="13.8" hidden="false" customHeight="false" outlineLevel="0" collapsed="false">
      <c r="D508" s="128"/>
      <c r="E508" s="129"/>
      <c r="F508" s="129"/>
      <c r="G508" s="129"/>
      <c r="H508" s="130"/>
      <c r="I508" s="131"/>
      <c r="J508" s="128"/>
      <c r="K508" s="132"/>
      <c r="L508" s="132"/>
      <c r="M508" s="133"/>
      <c r="N508" s="133"/>
      <c r="O508" s="133"/>
      <c r="P508" s="129"/>
      <c r="Z508" s="75"/>
      <c r="AA508" s="76"/>
      <c r="AB508" s="76"/>
      <c r="AC508" s="129"/>
      <c r="AD508" s="134"/>
      <c r="AE508" s="134"/>
      <c r="AF508" s="134"/>
      <c r="AG508" s="134"/>
      <c r="AH508" s="134"/>
      <c r="AI508" s="134"/>
      <c r="AJ508" s="134"/>
      <c r="AK508" s="134"/>
      <c r="AL508" s="134"/>
      <c r="AM508" s="134"/>
      <c r="AN508" s="134"/>
      <c r="AO508" s="134"/>
      <c r="AP508" s="134"/>
      <c r="AQ508" s="134"/>
      <c r="AR508" s="134"/>
      <c r="AS508" s="134"/>
      <c r="AT508" s="134"/>
      <c r="AU508" s="134"/>
      <c r="AV508" s="134"/>
      <c r="AW508" s="134"/>
      <c r="AX508" s="134"/>
      <c r="AY508" s="134"/>
      <c r="AZ508" s="134"/>
      <c r="BA508" s="134"/>
      <c r="BB508" s="134"/>
      <c r="BC508" s="134"/>
      <c r="BD508" s="134"/>
      <c r="BE508" s="134"/>
      <c r="BF508" s="134"/>
      <c r="BG508" s="134"/>
      <c r="BH508" s="134"/>
      <c r="BI508" s="134"/>
      <c r="BJ508" s="134"/>
      <c r="BK508" s="134"/>
      <c r="BL508" s="134"/>
      <c r="BM508" s="135"/>
      <c r="BN508" s="136" t="n">
        <f aca="false">+MAX($D$3,DATOS_[[#This Row],[Fecha Inicio Sit. Contract.]])</f>
        <v>0</v>
      </c>
      <c r="BO508" s="136" t="n">
        <f aca="false">+MIN($D$4,DATOS_[[#This Row],[Fecha Fin Sit. Contract.]])</f>
        <v>0</v>
      </c>
      <c r="BP508" s="137" t="n">
        <f aca="false">+DATOS_[[#This Row],[% de jornada]]*IF(DATOS_[[#This Row],[% jornada reducida]]="",1,DATOS_[[#This Row],[% jornada reducida]])</f>
        <v>0</v>
      </c>
      <c r="BQ508" s="137" t="n">
        <f aca="false">+(DATOS_[[#This Row],[F.fin.cal]]-DATOS_[[#This Row],[F.ini.cal]]+1)/($D$4-$D$3+1)</f>
        <v>1</v>
      </c>
      <c r="BR508" s="137" t="str">
        <f aca="false">IF(OR(AND(DATOS_[[#This Row],[Fecha Fin Contrato]]&lt;$D$3,DATOS_[[#This Row],[Fecha Fin Contrato]]&lt;&gt;""),DATOS_[[#This Row],[Fecha de Contratación]]&gt;$D$4),"Fuera","Dentro")</f>
        <v>Dentro</v>
      </c>
      <c r="BS508" s="137" t="str">
        <f aca="false" t="array" ref="BS508:BS508">IF(MAX(IF(DATOS_[id]=DATOS_[[#This Row],[id]],DATOS_[F.fin.cal]))=DATOS_[[#This Row],[F.fin.cal]],"Sí","NO")</f>
        <v>Sí</v>
      </c>
      <c r="BT508" s="137" t="str">
        <f aca="false">IF(AND(DATOS_[[#This Row],[% normaliz]]&lt;&gt;1,DATOS_[[#This Row],[% anualiz]]=1),"Sí","NO")</f>
        <v>Sí</v>
      </c>
      <c r="BU508" s="137" t="str">
        <f aca="false">IF(AND(DATOS_[[#This Row],[% normaliz]]=1,DATOS_[[#This Row],[% anualiz]]&lt;&gt;1),"Sí","NO")</f>
        <v>NO</v>
      </c>
      <c r="BV508" s="137" t="str">
        <f aca="false">IF(AND(DATOS_[[#This Row],[% normaliz]]&lt;&gt;1,DATOS_[[#This Row],[% anualiz]]&lt;&gt;1),"Sí","NO")</f>
        <v>NO</v>
      </c>
      <c r="BW508" s="137" t="str">
        <f aca="false">+IF(DATOS_[[#This Row],[% normaliz]]*DATOS_[[#This Row],[% anualiz]]=1,"NO","Sí")</f>
        <v>Sí</v>
      </c>
      <c r="BX508" s="138" t="e">
        <f aca="false">(DATOS_[[#This Row],[S.BASE]]*(1/DATOS_[[#This Row],[% normaliz]])*(1/DATOS_[[#This Row],[% anualiz]]))*IF(DATOS_[[#This Row],[Check Equiparado]]="Sí",1,0)</f>
        <v>#DIV/0!</v>
      </c>
      <c r="BY5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8" s="138" t="e">
        <f aca="false">+DATOS_[[#This Row],[SALARIO BASE Eq]]+DATOS_[[#This Row],[Tot COMPL.SAL Eq]]</f>
        <v>#DIV/0!</v>
      </c>
      <c r="CA508" s="138" t="e">
        <f aca="false" t="array" ref="CA508:CA5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8" s="138" t="e">
        <f aca="false">+DATOS_[[#This Row],[TOTAL SALARIO Eq]]+DATOS_[[#This Row],[Tot Extrasalarial Eq]]</f>
        <v>#DIV/0!</v>
      </c>
      <c r="CC508" s="139" t="n">
        <f aca="false">DATOS_[[#This Row],[S.BASE]]</f>
        <v>0</v>
      </c>
      <c r="CD508" s="139" t="n">
        <f aca="false">+SUM(DATOS_[[#This Row],[Conc.Sal.01]:[Conc.Sal.30]])</f>
        <v>0</v>
      </c>
      <c r="CE508" s="139" t="n">
        <f aca="false">+DATOS_[[#This Row],[SALARIO BASE Ef]]+DATOS_[[#This Row],[Tot COMPL.SAL Ef]]</f>
        <v>0</v>
      </c>
      <c r="CF508" s="139" t="n">
        <f aca="false">+SUM(DATOS_[[#This Row],[C.Extra.01]:[C.Extra.05]])</f>
        <v>0</v>
      </c>
      <c r="CG508" s="139" t="n">
        <f aca="false">+DATOS_[[#This Row],[TOTAL SALARIO Ef]]+DATOS_[[#This Row],[Tot Extrasalarial Ef]]</f>
        <v>0</v>
      </c>
      <c r="CH508" s="140" t="n">
        <f aca="false">MIN(IF(DATOS_[[#This Row],[Fecha Fin Contrato]]="",$D$4,DATOS_[[#This Row],[Fecha Fin Contrato]]),$D$4)-MAX(DATOS_[[#This Row],[Fecha de Contratación]],$D$3)+1</f>
        <v>1</v>
      </c>
      <c r="CI508" s="141" t="str">
        <f aca="false">IF(COUNTIFS(DATOS_[id],DATOS_[[#This Row],[id]])&gt;1,DATOS_[[#This Row],[id]],"")</f>
        <v/>
      </c>
      <c r="CJ508" s="141" t="n">
        <f aca="false">(Inicio!$G$10-DATOS_[[#This Row],[Fecha Nacimiento]])/365.25</f>
        <v>0</v>
      </c>
      <c r="CK508" s="141" t="n">
        <f aca="false">(Inicio!$G$10-DATOS_[[#This Row],[Fecha de Antigüedad]])/365.25</f>
        <v>0</v>
      </c>
      <c r="CL508" s="141" t="e">
        <f aca="false">+VLOOKUP(DATOS_[[#This Row],[Clave de Contrato]],TblTiposContrato13[],3,0)</f>
        <v>#N/A</v>
      </c>
      <c r="CM508" s="141" t="e">
        <f aca="false">+VLOOKUP(DATOS_[[#This Row],[Clave de Contrato]],TblTiposContrato13[],4,0)</f>
        <v>#N/A</v>
      </c>
      <c r="CN508" s="141" t="str">
        <f aca="false">VLOOKUP(DATOS_[[#This Row],[Edad]],CONTRATOS!TblRngEdad,2,1)</f>
        <v>20  o menos</v>
      </c>
      <c r="CO508" s="141" t="str">
        <f aca="false">VLOOKUP(DATOS_[[#This Row],[Antigüedad]],TblRngAntg14[],2,1)</f>
        <v>0 a 1 años</v>
      </c>
    </row>
    <row r="509" customFormat="false" ht="13.8" hidden="false" customHeight="false" outlineLevel="0" collapsed="false">
      <c r="D509" s="128"/>
      <c r="E509" s="129"/>
      <c r="F509" s="129"/>
      <c r="G509" s="129"/>
      <c r="H509" s="130"/>
      <c r="I509" s="131"/>
      <c r="J509" s="128"/>
      <c r="K509" s="132"/>
      <c r="L509" s="132"/>
      <c r="M509" s="133"/>
      <c r="N509" s="133"/>
      <c r="O509" s="133"/>
      <c r="P509" s="129"/>
      <c r="Z509" s="75"/>
      <c r="AA509" s="76"/>
      <c r="AB509" s="76"/>
      <c r="AC509" s="129"/>
      <c r="AD509" s="134"/>
      <c r="AE509" s="134"/>
      <c r="AF509" s="134"/>
      <c r="AG509" s="134"/>
      <c r="AH509" s="134"/>
      <c r="AI509" s="134"/>
      <c r="AJ509" s="134"/>
      <c r="AK509" s="134"/>
      <c r="AL509" s="134"/>
      <c r="AM509" s="134"/>
      <c r="AN509" s="134"/>
      <c r="AO509" s="134"/>
      <c r="AP509" s="134"/>
      <c r="AQ509" s="134"/>
      <c r="AR509" s="134"/>
      <c r="AS509" s="134"/>
      <c r="AT509" s="134"/>
      <c r="AU509" s="134"/>
      <c r="AV509" s="134"/>
      <c r="AW509" s="134"/>
      <c r="AX509" s="134"/>
      <c r="AY509" s="134"/>
      <c r="AZ509" s="134"/>
      <c r="BA509" s="134"/>
      <c r="BB509" s="134"/>
      <c r="BC509" s="134"/>
      <c r="BD509" s="134"/>
      <c r="BE509" s="134"/>
      <c r="BF509" s="134"/>
      <c r="BG509" s="134"/>
      <c r="BH509" s="134"/>
      <c r="BI509" s="134"/>
      <c r="BJ509" s="134"/>
      <c r="BK509" s="134"/>
      <c r="BL509" s="134"/>
      <c r="BM509" s="135"/>
      <c r="BN509" s="136" t="n">
        <f aca="false">+MAX($D$3,DATOS_[[#This Row],[Fecha Inicio Sit. Contract.]])</f>
        <v>0</v>
      </c>
      <c r="BO509" s="136" t="n">
        <f aca="false">+MIN($D$4,DATOS_[[#This Row],[Fecha Fin Sit. Contract.]])</f>
        <v>0</v>
      </c>
      <c r="BP509" s="137" t="n">
        <f aca="false">+DATOS_[[#This Row],[% de jornada]]*IF(DATOS_[[#This Row],[% jornada reducida]]="",1,DATOS_[[#This Row],[% jornada reducida]])</f>
        <v>0</v>
      </c>
      <c r="BQ509" s="137" t="n">
        <f aca="false">+(DATOS_[[#This Row],[F.fin.cal]]-DATOS_[[#This Row],[F.ini.cal]]+1)/($D$4-$D$3+1)</f>
        <v>1</v>
      </c>
      <c r="BR509" s="137" t="str">
        <f aca="false">IF(OR(AND(DATOS_[[#This Row],[Fecha Fin Contrato]]&lt;$D$3,DATOS_[[#This Row],[Fecha Fin Contrato]]&lt;&gt;""),DATOS_[[#This Row],[Fecha de Contratación]]&gt;$D$4),"Fuera","Dentro")</f>
        <v>Dentro</v>
      </c>
      <c r="BS509" s="137" t="str">
        <f aca="false" t="array" ref="BS509:BS509">IF(MAX(IF(DATOS_[id]=DATOS_[[#This Row],[id]],DATOS_[F.fin.cal]))=DATOS_[[#This Row],[F.fin.cal]],"Sí","NO")</f>
        <v>Sí</v>
      </c>
      <c r="BT509" s="137" t="str">
        <f aca="false">IF(AND(DATOS_[[#This Row],[% normaliz]]&lt;&gt;1,DATOS_[[#This Row],[% anualiz]]=1),"Sí","NO")</f>
        <v>Sí</v>
      </c>
      <c r="BU509" s="137" t="str">
        <f aca="false">IF(AND(DATOS_[[#This Row],[% normaliz]]=1,DATOS_[[#This Row],[% anualiz]]&lt;&gt;1),"Sí","NO")</f>
        <v>NO</v>
      </c>
      <c r="BV509" s="137" t="str">
        <f aca="false">IF(AND(DATOS_[[#This Row],[% normaliz]]&lt;&gt;1,DATOS_[[#This Row],[% anualiz]]&lt;&gt;1),"Sí","NO")</f>
        <v>NO</v>
      </c>
      <c r="BW509" s="137" t="str">
        <f aca="false">+IF(DATOS_[[#This Row],[% normaliz]]*DATOS_[[#This Row],[% anualiz]]=1,"NO","Sí")</f>
        <v>Sí</v>
      </c>
      <c r="BX509" s="138" t="e">
        <f aca="false">(DATOS_[[#This Row],[S.BASE]]*(1/DATOS_[[#This Row],[% normaliz]])*(1/DATOS_[[#This Row],[% anualiz]]))*IF(DATOS_[[#This Row],[Check Equiparado]]="Sí",1,0)</f>
        <v>#DIV/0!</v>
      </c>
      <c r="BY5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9" s="138" t="e">
        <f aca="false">+DATOS_[[#This Row],[SALARIO BASE Eq]]+DATOS_[[#This Row],[Tot COMPL.SAL Eq]]</f>
        <v>#DIV/0!</v>
      </c>
      <c r="CA509" s="138" t="e">
        <f aca="false" t="array" ref="CA509:CA5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9" s="138" t="e">
        <f aca="false">+DATOS_[[#This Row],[TOTAL SALARIO Eq]]+DATOS_[[#This Row],[Tot Extrasalarial Eq]]</f>
        <v>#DIV/0!</v>
      </c>
      <c r="CC509" s="139" t="n">
        <f aca="false">DATOS_[[#This Row],[S.BASE]]</f>
        <v>0</v>
      </c>
      <c r="CD509" s="139" t="n">
        <f aca="false">+SUM(DATOS_[[#This Row],[Conc.Sal.01]:[Conc.Sal.30]])</f>
        <v>0</v>
      </c>
      <c r="CE509" s="139" t="n">
        <f aca="false">+DATOS_[[#This Row],[SALARIO BASE Ef]]+DATOS_[[#This Row],[Tot COMPL.SAL Ef]]</f>
        <v>0</v>
      </c>
      <c r="CF509" s="139" t="n">
        <f aca="false">+SUM(DATOS_[[#This Row],[C.Extra.01]:[C.Extra.05]])</f>
        <v>0</v>
      </c>
      <c r="CG509" s="139" t="n">
        <f aca="false">+DATOS_[[#This Row],[TOTAL SALARIO Ef]]+DATOS_[[#This Row],[Tot Extrasalarial Ef]]</f>
        <v>0</v>
      </c>
      <c r="CH509" s="140" t="n">
        <f aca="false">MIN(IF(DATOS_[[#This Row],[Fecha Fin Contrato]]="",$D$4,DATOS_[[#This Row],[Fecha Fin Contrato]]),$D$4)-MAX(DATOS_[[#This Row],[Fecha de Contratación]],$D$3)+1</f>
        <v>1</v>
      </c>
      <c r="CI509" s="141" t="str">
        <f aca="false">IF(COUNTIFS(DATOS_[id],DATOS_[[#This Row],[id]])&gt;1,DATOS_[[#This Row],[id]],"")</f>
        <v/>
      </c>
      <c r="CJ509" s="141" t="n">
        <f aca="false">(Inicio!$G$10-DATOS_[[#This Row],[Fecha Nacimiento]])/365.25</f>
        <v>0</v>
      </c>
      <c r="CK509" s="141" t="n">
        <f aca="false">(Inicio!$G$10-DATOS_[[#This Row],[Fecha de Antigüedad]])/365.25</f>
        <v>0</v>
      </c>
      <c r="CL509" s="141" t="e">
        <f aca="false">+VLOOKUP(DATOS_[[#This Row],[Clave de Contrato]],TblTiposContrato13[],3,0)</f>
        <v>#N/A</v>
      </c>
      <c r="CM509" s="141" t="e">
        <f aca="false">+VLOOKUP(DATOS_[[#This Row],[Clave de Contrato]],TblTiposContrato13[],4,0)</f>
        <v>#N/A</v>
      </c>
      <c r="CN509" s="141" t="str">
        <f aca="false">VLOOKUP(DATOS_[[#This Row],[Edad]],CONTRATOS!TblRngEdad,2,1)</f>
        <v>20  o menos</v>
      </c>
      <c r="CO509" s="141" t="str">
        <f aca="false">VLOOKUP(DATOS_[[#This Row],[Antigüedad]],TblRngAntg14[],2,1)</f>
        <v>0 a 1 años</v>
      </c>
    </row>
    <row r="510" customFormat="false" ht="13.8" hidden="false" customHeight="false" outlineLevel="0" collapsed="false">
      <c r="D510" s="128"/>
      <c r="E510" s="129"/>
      <c r="F510" s="129"/>
      <c r="G510" s="129"/>
      <c r="H510" s="130"/>
      <c r="I510" s="131"/>
      <c r="J510" s="128"/>
      <c r="K510" s="132"/>
      <c r="L510" s="132"/>
      <c r="M510" s="133"/>
      <c r="N510" s="133"/>
      <c r="O510" s="133"/>
      <c r="P510" s="129"/>
      <c r="Z510" s="75"/>
      <c r="AA510" s="76"/>
      <c r="AB510" s="76"/>
      <c r="AC510" s="129"/>
      <c r="AD510" s="134"/>
      <c r="AE510" s="134"/>
      <c r="AF510" s="134"/>
      <c r="AG510" s="134"/>
      <c r="AH510" s="134"/>
      <c r="AI510" s="134"/>
      <c r="AJ510" s="134"/>
      <c r="AK510" s="134"/>
      <c r="AL510" s="134"/>
      <c r="AM510" s="134"/>
      <c r="AN510" s="134"/>
      <c r="AO510" s="134"/>
      <c r="AP510" s="134"/>
      <c r="AQ510" s="134"/>
      <c r="AR510" s="134"/>
      <c r="AS510" s="134"/>
      <c r="AT510" s="134"/>
      <c r="AU510" s="134"/>
      <c r="AV510" s="134"/>
      <c r="AW510" s="134"/>
      <c r="AX510" s="134"/>
      <c r="AY510" s="134"/>
      <c r="AZ510" s="134"/>
      <c r="BA510" s="134"/>
      <c r="BB510" s="134"/>
      <c r="BC510" s="134"/>
      <c r="BD510" s="134"/>
      <c r="BE510" s="134"/>
      <c r="BF510" s="134"/>
      <c r="BG510" s="134"/>
      <c r="BH510" s="134"/>
      <c r="BI510" s="134"/>
      <c r="BJ510" s="134"/>
      <c r="BK510" s="134"/>
      <c r="BL510" s="134"/>
      <c r="BM510" s="135"/>
      <c r="BN510" s="136" t="n">
        <f aca="false">+MAX($D$3,DATOS_[[#This Row],[Fecha Inicio Sit. Contract.]])</f>
        <v>0</v>
      </c>
      <c r="BO510" s="136" t="n">
        <f aca="false">+MIN($D$4,DATOS_[[#This Row],[Fecha Fin Sit. Contract.]])</f>
        <v>0</v>
      </c>
      <c r="BP510" s="137" t="n">
        <f aca="false">+DATOS_[[#This Row],[% de jornada]]*IF(DATOS_[[#This Row],[% jornada reducida]]="",1,DATOS_[[#This Row],[% jornada reducida]])</f>
        <v>0</v>
      </c>
      <c r="BQ510" s="137" t="n">
        <f aca="false">+(DATOS_[[#This Row],[F.fin.cal]]-DATOS_[[#This Row],[F.ini.cal]]+1)/($D$4-$D$3+1)</f>
        <v>1</v>
      </c>
      <c r="BR510" s="137" t="str">
        <f aca="false">IF(OR(AND(DATOS_[[#This Row],[Fecha Fin Contrato]]&lt;$D$3,DATOS_[[#This Row],[Fecha Fin Contrato]]&lt;&gt;""),DATOS_[[#This Row],[Fecha de Contratación]]&gt;$D$4),"Fuera","Dentro")</f>
        <v>Dentro</v>
      </c>
      <c r="BS510" s="137" t="str">
        <f aca="false" t="array" ref="BS510:BS510">IF(MAX(IF(DATOS_[id]=DATOS_[[#This Row],[id]],DATOS_[F.fin.cal]))=DATOS_[[#This Row],[F.fin.cal]],"Sí","NO")</f>
        <v>Sí</v>
      </c>
      <c r="BT510" s="137" t="str">
        <f aca="false">IF(AND(DATOS_[[#This Row],[% normaliz]]&lt;&gt;1,DATOS_[[#This Row],[% anualiz]]=1),"Sí","NO")</f>
        <v>Sí</v>
      </c>
      <c r="BU510" s="137" t="str">
        <f aca="false">IF(AND(DATOS_[[#This Row],[% normaliz]]=1,DATOS_[[#This Row],[% anualiz]]&lt;&gt;1),"Sí","NO")</f>
        <v>NO</v>
      </c>
      <c r="BV510" s="137" t="str">
        <f aca="false">IF(AND(DATOS_[[#This Row],[% normaliz]]&lt;&gt;1,DATOS_[[#This Row],[% anualiz]]&lt;&gt;1),"Sí","NO")</f>
        <v>NO</v>
      </c>
      <c r="BW510" s="137" t="str">
        <f aca="false">+IF(DATOS_[[#This Row],[% normaliz]]*DATOS_[[#This Row],[% anualiz]]=1,"NO","Sí")</f>
        <v>Sí</v>
      </c>
      <c r="BX510" s="138" t="e">
        <f aca="false">(DATOS_[[#This Row],[S.BASE]]*(1/DATOS_[[#This Row],[% normaliz]])*(1/DATOS_[[#This Row],[% anualiz]]))*IF(DATOS_[[#This Row],[Check Equiparado]]="Sí",1,0)</f>
        <v>#DIV/0!</v>
      </c>
      <c r="BY5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0" s="138" t="e">
        <f aca="false">+DATOS_[[#This Row],[SALARIO BASE Eq]]+DATOS_[[#This Row],[Tot COMPL.SAL Eq]]</f>
        <v>#DIV/0!</v>
      </c>
      <c r="CA510" s="138" t="e">
        <f aca="false" t="array" ref="CA510:CA5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0" s="138" t="e">
        <f aca="false">+DATOS_[[#This Row],[TOTAL SALARIO Eq]]+DATOS_[[#This Row],[Tot Extrasalarial Eq]]</f>
        <v>#DIV/0!</v>
      </c>
      <c r="CC510" s="139" t="n">
        <f aca="false">DATOS_[[#This Row],[S.BASE]]</f>
        <v>0</v>
      </c>
      <c r="CD510" s="139" t="n">
        <f aca="false">+SUM(DATOS_[[#This Row],[Conc.Sal.01]:[Conc.Sal.30]])</f>
        <v>0</v>
      </c>
      <c r="CE510" s="139" t="n">
        <f aca="false">+DATOS_[[#This Row],[SALARIO BASE Ef]]+DATOS_[[#This Row],[Tot COMPL.SAL Ef]]</f>
        <v>0</v>
      </c>
      <c r="CF510" s="139" t="n">
        <f aca="false">+SUM(DATOS_[[#This Row],[C.Extra.01]:[C.Extra.05]])</f>
        <v>0</v>
      </c>
      <c r="CG510" s="139" t="n">
        <f aca="false">+DATOS_[[#This Row],[TOTAL SALARIO Ef]]+DATOS_[[#This Row],[Tot Extrasalarial Ef]]</f>
        <v>0</v>
      </c>
      <c r="CH510" s="140" t="n">
        <f aca="false">MIN(IF(DATOS_[[#This Row],[Fecha Fin Contrato]]="",$D$4,DATOS_[[#This Row],[Fecha Fin Contrato]]),$D$4)-MAX(DATOS_[[#This Row],[Fecha de Contratación]],$D$3)+1</f>
        <v>1</v>
      </c>
      <c r="CI510" s="141" t="str">
        <f aca="false">IF(COUNTIFS(DATOS_[id],DATOS_[[#This Row],[id]])&gt;1,DATOS_[[#This Row],[id]],"")</f>
        <v/>
      </c>
      <c r="CJ510" s="141" t="n">
        <f aca="false">(Inicio!$G$10-DATOS_[[#This Row],[Fecha Nacimiento]])/365.25</f>
        <v>0</v>
      </c>
      <c r="CK510" s="141" t="n">
        <f aca="false">(Inicio!$G$10-DATOS_[[#This Row],[Fecha de Antigüedad]])/365.25</f>
        <v>0</v>
      </c>
      <c r="CL510" s="141" t="e">
        <f aca="false">+VLOOKUP(DATOS_[[#This Row],[Clave de Contrato]],TblTiposContrato13[],3,0)</f>
        <v>#N/A</v>
      </c>
      <c r="CM510" s="141" t="e">
        <f aca="false">+VLOOKUP(DATOS_[[#This Row],[Clave de Contrato]],TblTiposContrato13[],4,0)</f>
        <v>#N/A</v>
      </c>
      <c r="CN510" s="141" t="str">
        <f aca="false">VLOOKUP(DATOS_[[#This Row],[Edad]],CONTRATOS!TblRngEdad,2,1)</f>
        <v>20  o menos</v>
      </c>
      <c r="CO510" s="141" t="str">
        <f aca="false">VLOOKUP(DATOS_[[#This Row],[Antigüedad]],TblRngAntg14[],2,1)</f>
        <v>0 a 1 años</v>
      </c>
    </row>
    <row r="511" customFormat="false" ht="13.8" hidden="false" customHeight="false" outlineLevel="0" collapsed="false">
      <c r="D511" s="128"/>
      <c r="E511" s="129"/>
      <c r="F511" s="129"/>
      <c r="G511" s="129"/>
      <c r="H511" s="130"/>
      <c r="I511" s="131"/>
      <c r="J511" s="128"/>
      <c r="K511" s="132"/>
      <c r="L511" s="132"/>
      <c r="M511" s="133"/>
      <c r="N511" s="133"/>
      <c r="O511" s="133"/>
      <c r="P511" s="129"/>
      <c r="Z511" s="75"/>
      <c r="AA511" s="76"/>
      <c r="AB511" s="76"/>
      <c r="AC511" s="129"/>
      <c r="AD511" s="134"/>
      <c r="AE511" s="134"/>
      <c r="AF511" s="134"/>
      <c r="AG511" s="134"/>
      <c r="AH511" s="134"/>
      <c r="AI511" s="134"/>
      <c r="AJ511" s="134"/>
      <c r="AK511" s="134"/>
      <c r="AL511" s="134"/>
      <c r="AM511" s="134"/>
      <c r="AN511" s="134"/>
      <c r="AO511" s="134"/>
      <c r="AP511" s="134"/>
      <c r="AQ511" s="134"/>
      <c r="AR511" s="134"/>
      <c r="AS511" s="134"/>
      <c r="AT511" s="134"/>
      <c r="AU511" s="134"/>
      <c r="AV511" s="134"/>
      <c r="AW511" s="134"/>
      <c r="AX511" s="134"/>
      <c r="AY511" s="134"/>
      <c r="AZ511" s="134"/>
      <c r="BA511" s="134"/>
      <c r="BB511" s="134"/>
      <c r="BC511" s="134"/>
      <c r="BD511" s="134"/>
      <c r="BE511" s="134"/>
      <c r="BF511" s="134"/>
      <c r="BG511" s="134"/>
      <c r="BH511" s="134"/>
      <c r="BI511" s="134"/>
      <c r="BJ511" s="134"/>
      <c r="BK511" s="134"/>
      <c r="BL511" s="134"/>
      <c r="BM511" s="135"/>
      <c r="BN511" s="136" t="n">
        <f aca="false">+MAX($D$3,DATOS_[[#This Row],[Fecha Inicio Sit. Contract.]])</f>
        <v>0</v>
      </c>
      <c r="BO511" s="136" t="n">
        <f aca="false">+MIN($D$4,DATOS_[[#This Row],[Fecha Fin Sit. Contract.]])</f>
        <v>0</v>
      </c>
      <c r="BP511" s="137" t="n">
        <f aca="false">+DATOS_[[#This Row],[% de jornada]]*IF(DATOS_[[#This Row],[% jornada reducida]]="",1,DATOS_[[#This Row],[% jornada reducida]])</f>
        <v>0</v>
      </c>
      <c r="BQ511" s="137" t="n">
        <f aca="false">+(DATOS_[[#This Row],[F.fin.cal]]-DATOS_[[#This Row],[F.ini.cal]]+1)/($D$4-$D$3+1)</f>
        <v>1</v>
      </c>
      <c r="BR511" s="137" t="str">
        <f aca="false">IF(OR(AND(DATOS_[[#This Row],[Fecha Fin Contrato]]&lt;$D$3,DATOS_[[#This Row],[Fecha Fin Contrato]]&lt;&gt;""),DATOS_[[#This Row],[Fecha de Contratación]]&gt;$D$4),"Fuera","Dentro")</f>
        <v>Dentro</v>
      </c>
      <c r="BS511" s="137" t="str">
        <f aca="false" t="array" ref="BS511:BS511">IF(MAX(IF(DATOS_[id]=DATOS_[[#This Row],[id]],DATOS_[F.fin.cal]))=DATOS_[[#This Row],[F.fin.cal]],"Sí","NO")</f>
        <v>Sí</v>
      </c>
      <c r="BT511" s="137" t="str">
        <f aca="false">IF(AND(DATOS_[[#This Row],[% normaliz]]&lt;&gt;1,DATOS_[[#This Row],[% anualiz]]=1),"Sí","NO")</f>
        <v>Sí</v>
      </c>
      <c r="BU511" s="137" t="str">
        <f aca="false">IF(AND(DATOS_[[#This Row],[% normaliz]]=1,DATOS_[[#This Row],[% anualiz]]&lt;&gt;1),"Sí","NO")</f>
        <v>NO</v>
      </c>
      <c r="BV511" s="137" t="str">
        <f aca="false">IF(AND(DATOS_[[#This Row],[% normaliz]]&lt;&gt;1,DATOS_[[#This Row],[% anualiz]]&lt;&gt;1),"Sí","NO")</f>
        <v>NO</v>
      </c>
      <c r="BW511" s="137" t="str">
        <f aca="false">+IF(DATOS_[[#This Row],[% normaliz]]*DATOS_[[#This Row],[% anualiz]]=1,"NO","Sí")</f>
        <v>Sí</v>
      </c>
      <c r="BX511" s="138" t="e">
        <f aca="false">(DATOS_[[#This Row],[S.BASE]]*(1/DATOS_[[#This Row],[% normaliz]])*(1/DATOS_[[#This Row],[% anualiz]]))*IF(DATOS_[[#This Row],[Check Equiparado]]="Sí",1,0)</f>
        <v>#DIV/0!</v>
      </c>
      <c r="BY5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1" s="138" t="e">
        <f aca="false">+DATOS_[[#This Row],[SALARIO BASE Eq]]+DATOS_[[#This Row],[Tot COMPL.SAL Eq]]</f>
        <v>#DIV/0!</v>
      </c>
      <c r="CA511" s="138" t="e">
        <f aca="false" t="array" ref="CA511:CA5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1" s="138" t="e">
        <f aca="false">+DATOS_[[#This Row],[TOTAL SALARIO Eq]]+DATOS_[[#This Row],[Tot Extrasalarial Eq]]</f>
        <v>#DIV/0!</v>
      </c>
      <c r="CC511" s="139" t="n">
        <f aca="false">DATOS_[[#This Row],[S.BASE]]</f>
        <v>0</v>
      </c>
      <c r="CD511" s="139" t="n">
        <f aca="false">+SUM(DATOS_[[#This Row],[Conc.Sal.01]:[Conc.Sal.30]])</f>
        <v>0</v>
      </c>
      <c r="CE511" s="139" t="n">
        <f aca="false">+DATOS_[[#This Row],[SALARIO BASE Ef]]+DATOS_[[#This Row],[Tot COMPL.SAL Ef]]</f>
        <v>0</v>
      </c>
      <c r="CF511" s="139" t="n">
        <f aca="false">+SUM(DATOS_[[#This Row],[C.Extra.01]:[C.Extra.05]])</f>
        <v>0</v>
      </c>
      <c r="CG511" s="139" t="n">
        <f aca="false">+DATOS_[[#This Row],[TOTAL SALARIO Ef]]+DATOS_[[#This Row],[Tot Extrasalarial Ef]]</f>
        <v>0</v>
      </c>
      <c r="CH511" s="140" t="n">
        <f aca="false">MIN(IF(DATOS_[[#This Row],[Fecha Fin Contrato]]="",$D$4,DATOS_[[#This Row],[Fecha Fin Contrato]]),$D$4)-MAX(DATOS_[[#This Row],[Fecha de Contratación]],$D$3)+1</f>
        <v>1</v>
      </c>
      <c r="CI511" s="141" t="str">
        <f aca="false">IF(COUNTIFS(DATOS_[id],DATOS_[[#This Row],[id]])&gt;1,DATOS_[[#This Row],[id]],"")</f>
        <v/>
      </c>
      <c r="CJ511" s="141" t="n">
        <f aca="false">(Inicio!$G$10-DATOS_[[#This Row],[Fecha Nacimiento]])/365.25</f>
        <v>0</v>
      </c>
      <c r="CK511" s="141" t="n">
        <f aca="false">(Inicio!$G$10-DATOS_[[#This Row],[Fecha de Antigüedad]])/365.25</f>
        <v>0</v>
      </c>
      <c r="CL511" s="141" t="e">
        <f aca="false">+VLOOKUP(DATOS_[[#This Row],[Clave de Contrato]],TblTiposContrato13[],3,0)</f>
        <v>#N/A</v>
      </c>
      <c r="CM511" s="141" t="e">
        <f aca="false">+VLOOKUP(DATOS_[[#This Row],[Clave de Contrato]],TblTiposContrato13[],4,0)</f>
        <v>#N/A</v>
      </c>
      <c r="CN511" s="141" t="str">
        <f aca="false">VLOOKUP(DATOS_[[#This Row],[Edad]],CONTRATOS!TblRngEdad,2,1)</f>
        <v>20  o menos</v>
      </c>
      <c r="CO511" s="141" t="str">
        <f aca="false">VLOOKUP(DATOS_[[#This Row],[Antigüedad]],TblRngAntg14[],2,1)</f>
        <v>0 a 1 años</v>
      </c>
    </row>
    <row r="512" customFormat="false" ht="13.8" hidden="false" customHeight="false" outlineLevel="0" collapsed="false">
      <c r="D512" s="128"/>
      <c r="E512" s="129"/>
      <c r="F512" s="129"/>
      <c r="G512" s="129"/>
      <c r="H512" s="130"/>
      <c r="I512" s="131"/>
      <c r="J512" s="128"/>
      <c r="K512" s="132"/>
      <c r="L512" s="132"/>
      <c r="M512" s="133"/>
      <c r="N512" s="133"/>
      <c r="O512" s="133"/>
      <c r="P512" s="129"/>
      <c r="Z512" s="75"/>
      <c r="AA512" s="76"/>
      <c r="AB512" s="76"/>
      <c r="AC512" s="129"/>
      <c r="AD512" s="134"/>
      <c r="AE512" s="134"/>
      <c r="AF512" s="134"/>
      <c r="AG512" s="134"/>
      <c r="AH512" s="134"/>
      <c r="AI512" s="134"/>
      <c r="AJ512" s="134"/>
      <c r="AK512" s="134"/>
      <c r="AL512" s="134"/>
      <c r="AM512" s="134"/>
      <c r="AN512" s="134"/>
      <c r="AO512" s="134"/>
      <c r="AP512" s="134"/>
      <c r="AQ512" s="134"/>
      <c r="AR512" s="134"/>
      <c r="AS512" s="134"/>
      <c r="AT512" s="134"/>
      <c r="AU512" s="134"/>
      <c r="AV512" s="134"/>
      <c r="AW512" s="134"/>
      <c r="AX512" s="134"/>
      <c r="AY512" s="134"/>
      <c r="AZ512" s="134"/>
      <c r="BA512" s="134"/>
      <c r="BB512" s="134"/>
      <c r="BC512" s="134"/>
      <c r="BD512" s="134"/>
      <c r="BE512" s="134"/>
      <c r="BF512" s="134"/>
      <c r="BG512" s="134"/>
      <c r="BH512" s="134"/>
      <c r="BI512" s="134"/>
      <c r="BJ512" s="134"/>
      <c r="BK512" s="134"/>
      <c r="BL512" s="134"/>
      <c r="BM512" s="135"/>
      <c r="BN512" s="136" t="n">
        <f aca="false">+MAX($D$3,DATOS_[[#This Row],[Fecha Inicio Sit. Contract.]])</f>
        <v>0</v>
      </c>
      <c r="BO512" s="136" t="n">
        <f aca="false">+MIN($D$4,DATOS_[[#This Row],[Fecha Fin Sit. Contract.]])</f>
        <v>0</v>
      </c>
      <c r="BP512" s="137" t="n">
        <f aca="false">+DATOS_[[#This Row],[% de jornada]]*IF(DATOS_[[#This Row],[% jornada reducida]]="",1,DATOS_[[#This Row],[% jornada reducida]])</f>
        <v>0</v>
      </c>
      <c r="BQ512" s="137" t="n">
        <f aca="false">+(DATOS_[[#This Row],[F.fin.cal]]-DATOS_[[#This Row],[F.ini.cal]]+1)/($D$4-$D$3+1)</f>
        <v>1</v>
      </c>
      <c r="BR512" s="137" t="str">
        <f aca="false">IF(OR(AND(DATOS_[[#This Row],[Fecha Fin Contrato]]&lt;$D$3,DATOS_[[#This Row],[Fecha Fin Contrato]]&lt;&gt;""),DATOS_[[#This Row],[Fecha de Contratación]]&gt;$D$4),"Fuera","Dentro")</f>
        <v>Dentro</v>
      </c>
      <c r="BS512" s="137" t="str">
        <f aca="false" t="array" ref="BS512:BS512">IF(MAX(IF(DATOS_[id]=DATOS_[[#This Row],[id]],DATOS_[F.fin.cal]))=DATOS_[[#This Row],[F.fin.cal]],"Sí","NO")</f>
        <v>Sí</v>
      </c>
      <c r="BT512" s="137" t="str">
        <f aca="false">IF(AND(DATOS_[[#This Row],[% normaliz]]&lt;&gt;1,DATOS_[[#This Row],[% anualiz]]=1),"Sí","NO")</f>
        <v>Sí</v>
      </c>
      <c r="BU512" s="137" t="str">
        <f aca="false">IF(AND(DATOS_[[#This Row],[% normaliz]]=1,DATOS_[[#This Row],[% anualiz]]&lt;&gt;1),"Sí","NO")</f>
        <v>NO</v>
      </c>
      <c r="BV512" s="137" t="str">
        <f aca="false">IF(AND(DATOS_[[#This Row],[% normaliz]]&lt;&gt;1,DATOS_[[#This Row],[% anualiz]]&lt;&gt;1),"Sí","NO")</f>
        <v>NO</v>
      </c>
      <c r="BW512" s="137" t="str">
        <f aca="false">+IF(DATOS_[[#This Row],[% normaliz]]*DATOS_[[#This Row],[% anualiz]]=1,"NO","Sí")</f>
        <v>Sí</v>
      </c>
      <c r="BX512" s="138" t="e">
        <f aca="false">(DATOS_[[#This Row],[S.BASE]]*(1/DATOS_[[#This Row],[% normaliz]])*(1/DATOS_[[#This Row],[% anualiz]]))*IF(DATOS_[[#This Row],[Check Equiparado]]="Sí",1,0)</f>
        <v>#DIV/0!</v>
      </c>
      <c r="BY5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2" s="138" t="e">
        <f aca="false">+DATOS_[[#This Row],[SALARIO BASE Eq]]+DATOS_[[#This Row],[Tot COMPL.SAL Eq]]</f>
        <v>#DIV/0!</v>
      </c>
      <c r="CA512" s="138" t="e">
        <f aca="false" t="array" ref="CA512:CA5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2" s="138" t="e">
        <f aca="false">+DATOS_[[#This Row],[TOTAL SALARIO Eq]]+DATOS_[[#This Row],[Tot Extrasalarial Eq]]</f>
        <v>#DIV/0!</v>
      </c>
      <c r="CC512" s="139" t="n">
        <f aca="false">DATOS_[[#This Row],[S.BASE]]</f>
        <v>0</v>
      </c>
      <c r="CD512" s="139" t="n">
        <f aca="false">+SUM(DATOS_[[#This Row],[Conc.Sal.01]:[Conc.Sal.30]])</f>
        <v>0</v>
      </c>
      <c r="CE512" s="139" t="n">
        <f aca="false">+DATOS_[[#This Row],[SALARIO BASE Ef]]+DATOS_[[#This Row],[Tot COMPL.SAL Ef]]</f>
        <v>0</v>
      </c>
      <c r="CF512" s="139" t="n">
        <f aca="false">+SUM(DATOS_[[#This Row],[C.Extra.01]:[C.Extra.05]])</f>
        <v>0</v>
      </c>
      <c r="CG512" s="139" t="n">
        <f aca="false">+DATOS_[[#This Row],[TOTAL SALARIO Ef]]+DATOS_[[#This Row],[Tot Extrasalarial Ef]]</f>
        <v>0</v>
      </c>
      <c r="CH512" s="140" t="n">
        <f aca="false">MIN(IF(DATOS_[[#This Row],[Fecha Fin Contrato]]="",$D$4,DATOS_[[#This Row],[Fecha Fin Contrato]]),$D$4)-MAX(DATOS_[[#This Row],[Fecha de Contratación]],$D$3)+1</f>
        <v>1</v>
      </c>
      <c r="CI512" s="141" t="str">
        <f aca="false">IF(COUNTIFS(DATOS_[id],DATOS_[[#This Row],[id]])&gt;1,DATOS_[[#This Row],[id]],"")</f>
        <v/>
      </c>
      <c r="CJ512" s="141" t="n">
        <f aca="false">(Inicio!$G$10-DATOS_[[#This Row],[Fecha Nacimiento]])/365.25</f>
        <v>0</v>
      </c>
      <c r="CK512" s="141" t="n">
        <f aca="false">(Inicio!$G$10-DATOS_[[#This Row],[Fecha de Antigüedad]])/365.25</f>
        <v>0</v>
      </c>
      <c r="CL512" s="141" t="e">
        <f aca="false">+VLOOKUP(DATOS_[[#This Row],[Clave de Contrato]],TblTiposContrato13[],3,0)</f>
        <v>#N/A</v>
      </c>
      <c r="CM512" s="141" t="e">
        <f aca="false">+VLOOKUP(DATOS_[[#This Row],[Clave de Contrato]],TblTiposContrato13[],4,0)</f>
        <v>#N/A</v>
      </c>
      <c r="CN512" s="141" t="str">
        <f aca="false">VLOOKUP(DATOS_[[#This Row],[Edad]],CONTRATOS!TblRngEdad,2,1)</f>
        <v>20  o menos</v>
      </c>
      <c r="CO512" s="141" t="str">
        <f aca="false">VLOOKUP(DATOS_[[#This Row],[Antigüedad]],TblRngAntg14[],2,1)</f>
        <v>0 a 1 años</v>
      </c>
    </row>
    <row r="513" customFormat="false" ht="13.8" hidden="false" customHeight="false" outlineLevel="0" collapsed="false">
      <c r="D513" s="128"/>
      <c r="E513" s="129"/>
      <c r="F513" s="129"/>
      <c r="G513" s="129"/>
      <c r="H513" s="130"/>
      <c r="I513" s="131"/>
      <c r="J513" s="128"/>
      <c r="K513" s="132"/>
      <c r="L513" s="132"/>
      <c r="M513" s="133"/>
      <c r="N513" s="133"/>
      <c r="O513" s="133"/>
      <c r="P513" s="129"/>
      <c r="Z513" s="75"/>
      <c r="AA513" s="76"/>
      <c r="AB513" s="76"/>
      <c r="AC513" s="129"/>
      <c r="AD513" s="134"/>
      <c r="AE513" s="134"/>
      <c r="AF513" s="134"/>
      <c r="AG513" s="134"/>
      <c r="AH513" s="134"/>
      <c r="AI513" s="134"/>
      <c r="AJ513" s="134"/>
      <c r="AK513" s="134"/>
      <c r="AL513" s="134"/>
      <c r="AM513" s="134"/>
      <c r="AN513" s="134"/>
      <c r="AO513" s="134"/>
      <c r="AP513" s="134"/>
      <c r="AQ513" s="134"/>
      <c r="AR513" s="134"/>
      <c r="AS513" s="134"/>
      <c r="AT513" s="134"/>
      <c r="AU513" s="134"/>
      <c r="AV513" s="134"/>
      <c r="AW513" s="134"/>
      <c r="AX513" s="134"/>
      <c r="AY513" s="134"/>
      <c r="AZ513" s="134"/>
      <c r="BA513" s="134"/>
      <c r="BB513" s="134"/>
      <c r="BC513" s="134"/>
      <c r="BD513" s="134"/>
      <c r="BE513" s="134"/>
      <c r="BF513" s="134"/>
      <c r="BG513" s="134"/>
      <c r="BH513" s="134"/>
      <c r="BI513" s="134"/>
      <c r="BJ513" s="134"/>
      <c r="BK513" s="134"/>
      <c r="BL513" s="134"/>
      <c r="BM513" s="135"/>
      <c r="BN513" s="136" t="n">
        <f aca="false">+MAX($D$3,DATOS_[[#This Row],[Fecha Inicio Sit. Contract.]])</f>
        <v>0</v>
      </c>
      <c r="BO513" s="136" t="n">
        <f aca="false">+MIN($D$4,DATOS_[[#This Row],[Fecha Fin Sit. Contract.]])</f>
        <v>0</v>
      </c>
      <c r="BP513" s="137" t="n">
        <f aca="false">+DATOS_[[#This Row],[% de jornada]]*IF(DATOS_[[#This Row],[% jornada reducida]]="",1,DATOS_[[#This Row],[% jornada reducida]])</f>
        <v>0</v>
      </c>
      <c r="BQ513" s="137" t="n">
        <f aca="false">+(DATOS_[[#This Row],[F.fin.cal]]-DATOS_[[#This Row],[F.ini.cal]]+1)/($D$4-$D$3+1)</f>
        <v>1</v>
      </c>
      <c r="BR513" s="137" t="str">
        <f aca="false">IF(OR(AND(DATOS_[[#This Row],[Fecha Fin Contrato]]&lt;$D$3,DATOS_[[#This Row],[Fecha Fin Contrato]]&lt;&gt;""),DATOS_[[#This Row],[Fecha de Contratación]]&gt;$D$4),"Fuera","Dentro")</f>
        <v>Dentro</v>
      </c>
      <c r="BS513" s="137" t="str">
        <f aca="false" t="array" ref="BS513:BS513">IF(MAX(IF(DATOS_[id]=DATOS_[[#This Row],[id]],DATOS_[F.fin.cal]))=DATOS_[[#This Row],[F.fin.cal]],"Sí","NO")</f>
        <v>Sí</v>
      </c>
      <c r="BT513" s="137" t="str">
        <f aca="false">IF(AND(DATOS_[[#This Row],[% normaliz]]&lt;&gt;1,DATOS_[[#This Row],[% anualiz]]=1),"Sí","NO")</f>
        <v>Sí</v>
      </c>
      <c r="BU513" s="137" t="str">
        <f aca="false">IF(AND(DATOS_[[#This Row],[% normaliz]]=1,DATOS_[[#This Row],[% anualiz]]&lt;&gt;1),"Sí","NO")</f>
        <v>NO</v>
      </c>
      <c r="BV513" s="137" t="str">
        <f aca="false">IF(AND(DATOS_[[#This Row],[% normaliz]]&lt;&gt;1,DATOS_[[#This Row],[% anualiz]]&lt;&gt;1),"Sí","NO")</f>
        <v>NO</v>
      </c>
      <c r="BW513" s="137" t="str">
        <f aca="false">+IF(DATOS_[[#This Row],[% normaliz]]*DATOS_[[#This Row],[% anualiz]]=1,"NO","Sí")</f>
        <v>Sí</v>
      </c>
      <c r="BX513" s="138" t="e">
        <f aca="false">(DATOS_[[#This Row],[S.BASE]]*(1/DATOS_[[#This Row],[% normaliz]])*(1/DATOS_[[#This Row],[% anualiz]]))*IF(DATOS_[[#This Row],[Check Equiparado]]="Sí",1,0)</f>
        <v>#DIV/0!</v>
      </c>
      <c r="BY5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3" s="138" t="e">
        <f aca="false">+DATOS_[[#This Row],[SALARIO BASE Eq]]+DATOS_[[#This Row],[Tot COMPL.SAL Eq]]</f>
        <v>#DIV/0!</v>
      </c>
      <c r="CA513" s="138" t="e">
        <f aca="false" t="array" ref="CA513:CA5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3" s="138" t="e">
        <f aca="false">+DATOS_[[#This Row],[TOTAL SALARIO Eq]]+DATOS_[[#This Row],[Tot Extrasalarial Eq]]</f>
        <v>#DIV/0!</v>
      </c>
      <c r="CC513" s="139" t="n">
        <f aca="false">DATOS_[[#This Row],[S.BASE]]</f>
        <v>0</v>
      </c>
      <c r="CD513" s="139" t="n">
        <f aca="false">+SUM(DATOS_[[#This Row],[Conc.Sal.01]:[Conc.Sal.30]])</f>
        <v>0</v>
      </c>
      <c r="CE513" s="139" t="n">
        <f aca="false">+DATOS_[[#This Row],[SALARIO BASE Ef]]+DATOS_[[#This Row],[Tot COMPL.SAL Ef]]</f>
        <v>0</v>
      </c>
      <c r="CF513" s="139" t="n">
        <f aca="false">+SUM(DATOS_[[#This Row],[C.Extra.01]:[C.Extra.05]])</f>
        <v>0</v>
      </c>
      <c r="CG513" s="139" t="n">
        <f aca="false">+DATOS_[[#This Row],[TOTAL SALARIO Ef]]+DATOS_[[#This Row],[Tot Extrasalarial Ef]]</f>
        <v>0</v>
      </c>
      <c r="CH513" s="140" t="n">
        <f aca="false">MIN(IF(DATOS_[[#This Row],[Fecha Fin Contrato]]="",$D$4,DATOS_[[#This Row],[Fecha Fin Contrato]]),$D$4)-MAX(DATOS_[[#This Row],[Fecha de Contratación]],$D$3)+1</f>
        <v>1</v>
      </c>
      <c r="CI513" s="141" t="str">
        <f aca="false">IF(COUNTIFS(DATOS_[id],DATOS_[[#This Row],[id]])&gt;1,DATOS_[[#This Row],[id]],"")</f>
        <v/>
      </c>
      <c r="CJ513" s="141" t="n">
        <f aca="false">(Inicio!$G$10-DATOS_[[#This Row],[Fecha Nacimiento]])/365.25</f>
        <v>0</v>
      </c>
      <c r="CK513" s="141" t="n">
        <f aca="false">(Inicio!$G$10-DATOS_[[#This Row],[Fecha de Antigüedad]])/365.25</f>
        <v>0</v>
      </c>
      <c r="CL513" s="141" t="e">
        <f aca="false">+VLOOKUP(DATOS_[[#This Row],[Clave de Contrato]],TblTiposContrato13[],3,0)</f>
        <v>#N/A</v>
      </c>
      <c r="CM513" s="141" t="e">
        <f aca="false">+VLOOKUP(DATOS_[[#This Row],[Clave de Contrato]],TblTiposContrato13[],4,0)</f>
        <v>#N/A</v>
      </c>
      <c r="CN513" s="141" t="str">
        <f aca="false">VLOOKUP(DATOS_[[#This Row],[Edad]],CONTRATOS!TblRngEdad,2,1)</f>
        <v>20  o menos</v>
      </c>
      <c r="CO513" s="141" t="str">
        <f aca="false">VLOOKUP(DATOS_[[#This Row],[Antigüedad]],TblRngAntg14[],2,1)</f>
        <v>0 a 1 años</v>
      </c>
    </row>
    <row r="514" customFormat="false" ht="13.8" hidden="false" customHeight="false" outlineLevel="0" collapsed="false">
      <c r="D514" s="128"/>
      <c r="E514" s="129"/>
      <c r="F514" s="129"/>
      <c r="G514" s="129"/>
      <c r="H514" s="130"/>
      <c r="I514" s="131"/>
      <c r="J514" s="128"/>
      <c r="K514" s="132"/>
      <c r="L514" s="132"/>
      <c r="M514" s="133"/>
      <c r="N514" s="133"/>
      <c r="O514" s="133"/>
      <c r="P514" s="129"/>
      <c r="Z514" s="75"/>
      <c r="AA514" s="76"/>
      <c r="AB514" s="76"/>
      <c r="AC514" s="129"/>
      <c r="AD514" s="134"/>
      <c r="AE514" s="134"/>
      <c r="AF514" s="134"/>
      <c r="AG514" s="134"/>
      <c r="AH514" s="134"/>
      <c r="AI514" s="134"/>
      <c r="AJ514" s="134"/>
      <c r="AK514" s="134"/>
      <c r="AL514" s="134"/>
      <c r="AM514" s="134"/>
      <c r="AN514" s="134"/>
      <c r="AO514" s="134"/>
      <c r="AP514" s="134"/>
      <c r="AQ514" s="134"/>
      <c r="AR514" s="134"/>
      <c r="AS514" s="134"/>
      <c r="AT514" s="134"/>
      <c r="AU514" s="134"/>
      <c r="AV514" s="134"/>
      <c r="AW514" s="134"/>
      <c r="AX514" s="134"/>
      <c r="AY514" s="134"/>
      <c r="AZ514" s="134"/>
      <c r="BA514" s="134"/>
      <c r="BB514" s="134"/>
      <c r="BC514" s="134"/>
      <c r="BD514" s="134"/>
      <c r="BE514" s="134"/>
      <c r="BF514" s="134"/>
      <c r="BG514" s="134"/>
      <c r="BH514" s="134"/>
      <c r="BI514" s="134"/>
      <c r="BJ514" s="134"/>
      <c r="BK514" s="134"/>
      <c r="BL514" s="134"/>
      <c r="BM514" s="135"/>
      <c r="BN514" s="136" t="n">
        <f aca="false">+MAX($D$3,DATOS_[[#This Row],[Fecha Inicio Sit. Contract.]])</f>
        <v>0</v>
      </c>
      <c r="BO514" s="136" t="n">
        <f aca="false">+MIN($D$4,DATOS_[[#This Row],[Fecha Fin Sit. Contract.]])</f>
        <v>0</v>
      </c>
      <c r="BP514" s="137" t="n">
        <f aca="false">+DATOS_[[#This Row],[% de jornada]]*IF(DATOS_[[#This Row],[% jornada reducida]]="",1,DATOS_[[#This Row],[% jornada reducida]])</f>
        <v>0</v>
      </c>
      <c r="BQ514" s="137" t="n">
        <f aca="false">+(DATOS_[[#This Row],[F.fin.cal]]-DATOS_[[#This Row],[F.ini.cal]]+1)/($D$4-$D$3+1)</f>
        <v>1</v>
      </c>
      <c r="BR514" s="137" t="str">
        <f aca="false">IF(OR(AND(DATOS_[[#This Row],[Fecha Fin Contrato]]&lt;$D$3,DATOS_[[#This Row],[Fecha Fin Contrato]]&lt;&gt;""),DATOS_[[#This Row],[Fecha de Contratación]]&gt;$D$4),"Fuera","Dentro")</f>
        <v>Dentro</v>
      </c>
      <c r="BS514" s="137" t="str">
        <f aca="false" t="array" ref="BS514:BS514">IF(MAX(IF(DATOS_[id]=DATOS_[[#This Row],[id]],DATOS_[F.fin.cal]))=DATOS_[[#This Row],[F.fin.cal]],"Sí","NO")</f>
        <v>Sí</v>
      </c>
      <c r="BT514" s="137" t="str">
        <f aca="false">IF(AND(DATOS_[[#This Row],[% normaliz]]&lt;&gt;1,DATOS_[[#This Row],[% anualiz]]=1),"Sí","NO")</f>
        <v>Sí</v>
      </c>
      <c r="BU514" s="137" t="str">
        <f aca="false">IF(AND(DATOS_[[#This Row],[% normaliz]]=1,DATOS_[[#This Row],[% anualiz]]&lt;&gt;1),"Sí","NO")</f>
        <v>NO</v>
      </c>
      <c r="BV514" s="137" t="str">
        <f aca="false">IF(AND(DATOS_[[#This Row],[% normaliz]]&lt;&gt;1,DATOS_[[#This Row],[% anualiz]]&lt;&gt;1),"Sí","NO")</f>
        <v>NO</v>
      </c>
      <c r="BW514" s="137" t="str">
        <f aca="false">+IF(DATOS_[[#This Row],[% normaliz]]*DATOS_[[#This Row],[% anualiz]]=1,"NO","Sí")</f>
        <v>Sí</v>
      </c>
      <c r="BX514" s="138" t="e">
        <f aca="false">(DATOS_[[#This Row],[S.BASE]]*(1/DATOS_[[#This Row],[% normaliz]])*(1/DATOS_[[#This Row],[% anualiz]]))*IF(DATOS_[[#This Row],[Check Equiparado]]="Sí",1,0)</f>
        <v>#DIV/0!</v>
      </c>
      <c r="BY5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4" s="138" t="e">
        <f aca="false">+DATOS_[[#This Row],[SALARIO BASE Eq]]+DATOS_[[#This Row],[Tot COMPL.SAL Eq]]</f>
        <v>#DIV/0!</v>
      </c>
      <c r="CA514" s="138" t="e">
        <f aca="false" t="array" ref="CA514:CA5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4" s="138" t="e">
        <f aca="false">+DATOS_[[#This Row],[TOTAL SALARIO Eq]]+DATOS_[[#This Row],[Tot Extrasalarial Eq]]</f>
        <v>#DIV/0!</v>
      </c>
      <c r="CC514" s="139" t="n">
        <f aca="false">DATOS_[[#This Row],[S.BASE]]</f>
        <v>0</v>
      </c>
      <c r="CD514" s="139" t="n">
        <f aca="false">+SUM(DATOS_[[#This Row],[Conc.Sal.01]:[Conc.Sal.30]])</f>
        <v>0</v>
      </c>
      <c r="CE514" s="139" t="n">
        <f aca="false">+DATOS_[[#This Row],[SALARIO BASE Ef]]+DATOS_[[#This Row],[Tot COMPL.SAL Ef]]</f>
        <v>0</v>
      </c>
      <c r="CF514" s="139" t="n">
        <f aca="false">+SUM(DATOS_[[#This Row],[C.Extra.01]:[C.Extra.05]])</f>
        <v>0</v>
      </c>
      <c r="CG514" s="139" t="n">
        <f aca="false">+DATOS_[[#This Row],[TOTAL SALARIO Ef]]+DATOS_[[#This Row],[Tot Extrasalarial Ef]]</f>
        <v>0</v>
      </c>
      <c r="CH514" s="140" t="n">
        <f aca="false">MIN(IF(DATOS_[[#This Row],[Fecha Fin Contrato]]="",$D$4,DATOS_[[#This Row],[Fecha Fin Contrato]]),$D$4)-MAX(DATOS_[[#This Row],[Fecha de Contratación]],$D$3)+1</f>
        <v>1</v>
      </c>
      <c r="CI514" s="141" t="str">
        <f aca="false">IF(COUNTIFS(DATOS_[id],DATOS_[[#This Row],[id]])&gt;1,DATOS_[[#This Row],[id]],"")</f>
        <v/>
      </c>
      <c r="CJ514" s="141" t="n">
        <f aca="false">(Inicio!$G$10-DATOS_[[#This Row],[Fecha Nacimiento]])/365.25</f>
        <v>0</v>
      </c>
      <c r="CK514" s="141" t="n">
        <f aca="false">(Inicio!$G$10-DATOS_[[#This Row],[Fecha de Antigüedad]])/365.25</f>
        <v>0</v>
      </c>
      <c r="CL514" s="141" t="e">
        <f aca="false">+VLOOKUP(DATOS_[[#This Row],[Clave de Contrato]],TblTiposContrato13[],3,0)</f>
        <v>#N/A</v>
      </c>
      <c r="CM514" s="141" t="e">
        <f aca="false">+VLOOKUP(DATOS_[[#This Row],[Clave de Contrato]],TblTiposContrato13[],4,0)</f>
        <v>#N/A</v>
      </c>
      <c r="CN514" s="141" t="str">
        <f aca="false">VLOOKUP(DATOS_[[#This Row],[Edad]],CONTRATOS!TblRngEdad,2,1)</f>
        <v>20  o menos</v>
      </c>
      <c r="CO514" s="141" t="str">
        <f aca="false">VLOOKUP(DATOS_[[#This Row],[Antigüedad]],TblRngAntg14[],2,1)</f>
        <v>0 a 1 años</v>
      </c>
    </row>
    <row r="515" customFormat="false" ht="13.8" hidden="false" customHeight="false" outlineLevel="0" collapsed="false">
      <c r="D515" s="128"/>
      <c r="E515" s="129"/>
      <c r="F515" s="129"/>
      <c r="G515" s="129"/>
      <c r="H515" s="130"/>
      <c r="I515" s="131"/>
      <c r="J515" s="128"/>
      <c r="K515" s="132"/>
      <c r="L515" s="132"/>
      <c r="M515" s="133"/>
      <c r="N515" s="133"/>
      <c r="O515" s="133"/>
      <c r="P515" s="129"/>
      <c r="Z515" s="75"/>
      <c r="AA515" s="76"/>
      <c r="AB515" s="76"/>
      <c r="AC515" s="129"/>
      <c r="AD515" s="134"/>
      <c r="AE515" s="134"/>
      <c r="AF515" s="134"/>
      <c r="AG515" s="134"/>
      <c r="AH515" s="134"/>
      <c r="AI515" s="134"/>
      <c r="AJ515" s="134"/>
      <c r="AK515" s="134"/>
      <c r="AL515" s="134"/>
      <c r="AM515" s="134"/>
      <c r="AN515" s="134"/>
      <c r="AO515" s="134"/>
      <c r="AP515" s="134"/>
      <c r="AQ515" s="134"/>
      <c r="AR515" s="134"/>
      <c r="AS515" s="134"/>
      <c r="AT515" s="134"/>
      <c r="AU515" s="134"/>
      <c r="AV515" s="134"/>
      <c r="AW515" s="134"/>
      <c r="AX515" s="134"/>
      <c r="AY515" s="134"/>
      <c r="AZ515" s="134"/>
      <c r="BA515" s="134"/>
      <c r="BB515" s="134"/>
      <c r="BC515" s="134"/>
      <c r="BD515" s="134"/>
      <c r="BE515" s="134"/>
      <c r="BF515" s="134"/>
      <c r="BG515" s="134"/>
      <c r="BH515" s="134"/>
      <c r="BI515" s="134"/>
      <c r="BJ515" s="134"/>
      <c r="BK515" s="134"/>
      <c r="BL515" s="134"/>
      <c r="BM515" s="135"/>
      <c r="BN515" s="136" t="n">
        <f aca="false">+MAX($D$3,DATOS_[[#This Row],[Fecha Inicio Sit. Contract.]])</f>
        <v>0</v>
      </c>
      <c r="BO515" s="136" t="n">
        <f aca="false">+MIN($D$4,DATOS_[[#This Row],[Fecha Fin Sit. Contract.]])</f>
        <v>0</v>
      </c>
      <c r="BP515" s="137" t="n">
        <f aca="false">+DATOS_[[#This Row],[% de jornada]]*IF(DATOS_[[#This Row],[% jornada reducida]]="",1,DATOS_[[#This Row],[% jornada reducida]])</f>
        <v>0</v>
      </c>
      <c r="BQ515" s="137" t="n">
        <f aca="false">+(DATOS_[[#This Row],[F.fin.cal]]-DATOS_[[#This Row],[F.ini.cal]]+1)/($D$4-$D$3+1)</f>
        <v>1</v>
      </c>
      <c r="BR515" s="137" t="str">
        <f aca="false">IF(OR(AND(DATOS_[[#This Row],[Fecha Fin Contrato]]&lt;$D$3,DATOS_[[#This Row],[Fecha Fin Contrato]]&lt;&gt;""),DATOS_[[#This Row],[Fecha de Contratación]]&gt;$D$4),"Fuera","Dentro")</f>
        <v>Dentro</v>
      </c>
      <c r="BS515" s="137" t="str">
        <f aca="false" t="array" ref="BS515:BS515">IF(MAX(IF(DATOS_[id]=DATOS_[[#This Row],[id]],DATOS_[F.fin.cal]))=DATOS_[[#This Row],[F.fin.cal]],"Sí","NO")</f>
        <v>Sí</v>
      </c>
      <c r="BT515" s="137" t="str">
        <f aca="false">IF(AND(DATOS_[[#This Row],[% normaliz]]&lt;&gt;1,DATOS_[[#This Row],[% anualiz]]=1),"Sí","NO")</f>
        <v>Sí</v>
      </c>
      <c r="BU515" s="137" t="str">
        <f aca="false">IF(AND(DATOS_[[#This Row],[% normaliz]]=1,DATOS_[[#This Row],[% anualiz]]&lt;&gt;1),"Sí","NO")</f>
        <v>NO</v>
      </c>
      <c r="BV515" s="137" t="str">
        <f aca="false">IF(AND(DATOS_[[#This Row],[% normaliz]]&lt;&gt;1,DATOS_[[#This Row],[% anualiz]]&lt;&gt;1),"Sí","NO")</f>
        <v>NO</v>
      </c>
      <c r="BW515" s="137" t="str">
        <f aca="false">+IF(DATOS_[[#This Row],[% normaliz]]*DATOS_[[#This Row],[% anualiz]]=1,"NO","Sí")</f>
        <v>Sí</v>
      </c>
      <c r="BX515" s="138" t="e">
        <f aca="false">(DATOS_[[#This Row],[S.BASE]]*(1/DATOS_[[#This Row],[% normaliz]])*(1/DATOS_[[#This Row],[% anualiz]]))*IF(DATOS_[[#This Row],[Check Equiparado]]="Sí",1,0)</f>
        <v>#DIV/0!</v>
      </c>
      <c r="BY5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5" s="138" t="e">
        <f aca="false">+DATOS_[[#This Row],[SALARIO BASE Eq]]+DATOS_[[#This Row],[Tot COMPL.SAL Eq]]</f>
        <v>#DIV/0!</v>
      </c>
      <c r="CA515" s="138" t="e">
        <f aca="false" t="array" ref="CA515:CA5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5" s="138" t="e">
        <f aca="false">+DATOS_[[#This Row],[TOTAL SALARIO Eq]]+DATOS_[[#This Row],[Tot Extrasalarial Eq]]</f>
        <v>#DIV/0!</v>
      </c>
      <c r="CC515" s="139" t="n">
        <f aca="false">DATOS_[[#This Row],[S.BASE]]</f>
        <v>0</v>
      </c>
      <c r="CD515" s="139" t="n">
        <f aca="false">+SUM(DATOS_[[#This Row],[Conc.Sal.01]:[Conc.Sal.30]])</f>
        <v>0</v>
      </c>
      <c r="CE515" s="139" t="n">
        <f aca="false">+DATOS_[[#This Row],[SALARIO BASE Ef]]+DATOS_[[#This Row],[Tot COMPL.SAL Ef]]</f>
        <v>0</v>
      </c>
      <c r="CF515" s="139" t="n">
        <f aca="false">+SUM(DATOS_[[#This Row],[C.Extra.01]:[C.Extra.05]])</f>
        <v>0</v>
      </c>
      <c r="CG515" s="139" t="n">
        <f aca="false">+DATOS_[[#This Row],[TOTAL SALARIO Ef]]+DATOS_[[#This Row],[Tot Extrasalarial Ef]]</f>
        <v>0</v>
      </c>
      <c r="CH515" s="140" t="n">
        <f aca="false">MIN(IF(DATOS_[[#This Row],[Fecha Fin Contrato]]="",$D$4,DATOS_[[#This Row],[Fecha Fin Contrato]]),$D$4)-MAX(DATOS_[[#This Row],[Fecha de Contratación]],$D$3)+1</f>
        <v>1</v>
      </c>
      <c r="CI515" s="141" t="str">
        <f aca="false">IF(COUNTIFS(DATOS_[id],DATOS_[[#This Row],[id]])&gt;1,DATOS_[[#This Row],[id]],"")</f>
        <v/>
      </c>
      <c r="CJ515" s="141" t="n">
        <f aca="false">(Inicio!$G$10-DATOS_[[#This Row],[Fecha Nacimiento]])/365.25</f>
        <v>0</v>
      </c>
      <c r="CK515" s="141" t="n">
        <f aca="false">(Inicio!$G$10-DATOS_[[#This Row],[Fecha de Antigüedad]])/365.25</f>
        <v>0</v>
      </c>
      <c r="CL515" s="141" t="e">
        <f aca="false">+VLOOKUP(DATOS_[[#This Row],[Clave de Contrato]],TblTiposContrato13[],3,0)</f>
        <v>#N/A</v>
      </c>
      <c r="CM515" s="141" t="e">
        <f aca="false">+VLOOKUP(DATOS_[[#This Row],[Clave de Contrato]],TblTiposContrato13[],4,0)</f>
        <v>#N/A</v>
      </c>
      <c r="CN515" s="141" t="str">
        <f aca="false">VLOOKUP(DATOS_[[#This Row],[Edad]],CONTRATOS!TblRngEdad,2,1)</f>
        <v>20  o menos</v>
      </c>
      <c r="CO515" s="141" t="str">
        <f aca="false">VLOOKUP(DATOS_[[#This Row],[Antigüedad]],TblRngAntg14[],2,1)</f>
        <v>0 a 1 años</v>
      </c>
    </row>
    <row r="516" customFormat="false" ht="13.8" hidden="false" customHeight="false" outlineLevel="0" collapsed="false">
      <c r="D516" s="128"/>
      <c r="E516" s="129"/>
      <c r="F516" s="129"/>
      <c r="G516" s="129"/>
      <c r="H516" s="130"/>
      <c r="I516" s="131"/>
      <c r="J516" s="128"/>
      <c r="K516" s="132"/>
      <c r="L516" s="132"/>
      <c r="M516" s="133"/>
      <c r="N516" s="133"/>
      <c r="O516" s="133"/>
      <c r="P516" s="129"/>
      <c r="Z516" s="75"/>
      <c r="AA516" s="76"/>
      <c r="AB516" s="76"/>
      <c r="AC516" s="129"/>
      <c r="AD516" s="134"/>
      <c r="AE516" s="134"/>
      <c r="AF516" s="134"/>
      <c r="AG516" s="134"/>
      <c r="AH516" s="134"/>
      <c r="AI516" s="134"/>
      <c r="AJ516" s="134"/>
      <c r="AK516" s="134"/>
      <c r="AL516" s="134"/>
      <c r="AM516" s="134"/>
      <c r="AN516" s="134"/>
      <c r="AO516" s="134"/>
      <c r="AP516" s="134"/>
      <c r="AQ516" s="134"/>
      <c r="AR516" s="134"/>
      <c r="AS516" s="134"/>
      <c r="AT516" s="134"/>
      <c r="AU516" s="134"/>
      <c r="AV516" s="134"/>
      <c r="AW516" s="134"/>
      <c r="AX516" s="134"/>
      <c r="AY516" s="134"/>
      <c r="AZ516" s="134"/>
      <c r="BA516" s="134"/>
      <c r="BB516" s="134"/>
      <c r="BC516" s="134"/>
      <c r="BD516" s="134"/>
      <c r="BE516" s="134"/>
      <c r="BF516" s="134"/>
      <c r="BG516" s="134"/>
      <c r="BH516" s="134"/>
      <c r="BI516" s="134"/>
      <c r="BJ516" s="134"/>
      <c r="BK516" s="134"/>
      <c r="BL516" s="134"/>
      <c r="BM516" s="135"/>
      <c r="BN516" s="136" t="n">
        <f aca="false">+MAX($D$3,DATOS_[[#This Row],[Fecha Inicio Sit. Contract.]])</f>
        <v>0</v>
      </c>
      <c r="BO516" s="136" t="n">
        <f aca="false">+MIN($D$4,DATOS_[[#This Row],[Fecha Fin Sit. Contract.]])</f>
        <v>0</v>
      </c>
      <c r="BP516" s="137" t="n">
        <f aca="false">+DATOS_[[#This Row],[% de jornada]]*IF(DATOS_[[#This Row],[% jornada reducida]]="",1,DATOS_[[#This Row],[% jornada reducida]])</f>
        <v>0</v>
      </c>
      <c r="BQ516" s="137" t="n">
        <f aca="false">+(DATOS_[[#This Row],[F.fin.cal]]-DATOS_[[#This Row],[F.ini.cal]]+1)/($D$4-$D$3+1)</f>
        <v>1</v>
      </c>
      <c r="BR516" s="137" t="str">
        <f aca="false">IF(OR(AND(DATOS_[[#This Row],[Fecha Fin Contrato]]&lt;$D$3,DATOS_[[#This Row],[Fecha Fin Contrato]]&lt;&gt;""),DATOS_[[#This Row],[Fecha de Contratación]]&gt;$D$4),"Fuera","Dentro")</f>
        <v>Dentro</v>
      </c>
      <c r="BS516" s="137" t="str">
        <f aca="false" t="array" ref="BS516:BS516">IF(MAX(IF(DATOS_[id]=DATOS_[[#This Row],[id]],DATOS_[F.fin.cal]))=DATOS_[[#This Row],[F.fin.cal]],"Sí","NO")</f>
        <v>Sí</v>
      </c>
      <c r="BT516" s="137" t="str">
        <f aca="false">IF(AND(DATOS_[[#This Row],[% normaliz]]&lt;&gt;1,DATOS_[[#This Row],[% anualiz]]=1),"Sí","NO")</f>
        <v>Sí</v>
      </c>
      <c r="BU516" s="137" t="str">
        <f aca="false">IF(AND(DATOS_[[#This Row],[% normaliz]]=1,DATOS_[[#This Row],[% anualiz]]&lt;&gt;1),"Sí","NO")</f>
        <v>NO</v>
      </c>
      <c r="BV516" s="137" t="str">
        <f aca="false">IF(AND(DATOS_[[#This Row],[% normaliz]]&lt;&gt;1,DATOS_[[#This Row],[% anualiz]]&lt;&gt;1),"Sí","NO")</f>
        <v>NO</v>
      </c>
      <c r="BW516" s="137" t="str">
        <f aca="false">+IF(DATOS_[[#This Row],[% normaliz]]*DATOS_[[#This Row],[% anualiz]]=1,"NO","Sí")</f>
        <v>Sí</v>
      </c>
      <c r="BX516" s="138" t="e">
        <f aca="false">(DATOS_[[#This Row],[S.BASE]]*(1/DATOS_[[#This Row],[% normaliz]])*(1/DATOS_[[#This Row],[% anualiz]]))*IF(DATOS_[[#This Row],[Check Equiparado]]="Sí",1,0)</f>
        <v>#DIV/0!</v>
      </c>
      <c r="BY5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6" s="138" t="e">
        <f aca="false">+DATOS_[[#This Row],[SALARIO BASE Eq]]+DATOS_[[#This Row],[Tot COMPL.SAL Eq]]</f>
        <v>#DIV/0!</v>
      </c>
      <c r="CA516" s="138" t="e">
        <f aca="false" t="array" ref="CA516:CA5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6" s="138" t="e">
        <f aca="false">+DATOS_[[#This Row],[TOTAL SALARIO Eq]]+DATOS_[[#This Row],[Tot Extrasalarial Eq]]</f>
        <v>#DIV/0!</v>
      </c>
      <c r="CC516" s="139" t="n">
        <f aca="false">DATOS_[[#This Row],[S.BASE]]</f>
        <v>0</v>
      </c>
      <c r="CD516" s="139" t="n">
        <f aca="false">+SUM(DATOS_[[#This Row],[Conc.Sal.01]:[Conc.Sal.30]])</f>
        <v>0</v>
      </c>
      <c r="CE516" s="139" t="n">
        <f aca="false">+DATOS_[[#This Row],[SALARIO BASE Ef]]+DATOS_[[#This Row],[Tot COMPL.SAL Ef]]</f>
        <v>0</v>
      </c>
      <c r="CF516" s="139" t="n">
        <f aca="false">+SUM(DATOS_[[#This Row],[C.Extra.01]:[C.Extra.05]])</f>
        <v>0</v>
      </c>
      <c r="CG516" s="139" t="n">
        <f aca="false">+DATOS_[[#This Row],[TOTAL SALARIO Ef]]+DATOS_[[#This Row],[Tot Extrasalarial Ef]]</f>
        <v>0</v>
      </c>
      <c r="CH516" s="140" t="n">
        <f aca="false">MIN(IF(DATOS_[[#This Row],[Fecha Fin Contrato]]="",$D$4,DATOS_[[#This Row],[Fecha Fin Contrato]]),$D$4)-MAX(DATOS_[[#This Row],[Fecha de Contratación]],$D$3)+1</f>
        <v>1</v>
      </c>
      <c r="CI516" s="141" t="str">
        <f aca="false">IF(COUNTIFS(DATOS_[id],DATOS_[[#This Row],[id]])&gt;1,DATOS_[[#This Row],[id]],"")</f>
        <v/>
      </c>
      <c r="CJ516" s="141" t="n">
        <f aca="false">(Inicio!$G$10-DATOS_[[#This Row],[Fecha Nacimiento]])/365.25</f>
        <v>0</v>
      </c>
      <c r="CK516" s="141" t="n">
        <f aca="false">(Inicio!$G$10-DATOS_[[#This Row],[Fecha de Antigüedad]])/365.25</f>
        <v>0</v>
      </c>
      <c r="CL516" s="141" t="e">
        <f aca="false">+VLOOKUP(DATOS_[[#This Row],[Clave de Contrato]],TblTiposContrato13[],3,0)</f>
        <v>#N/A</v>
      </c>
      <c r="CM516" s="141" t="e">
        <f aca="false">+VLOOKUP(DATOS_[[#This Row],[Clave de Contrato]],TblTiposContrato13[],4,0)</f>
        <v>#N/A</v>
      </c>
      <c r="CN516" s="141" t="str">
        <f aca="false">VLOOKUP(DATOS_[[#This Row],[Edad]],CONTRATOS!TblRngEdad,2,1)</f>
        <v>20  o menos</v>
      </c>
      <c r="CO516" s="141" t="str">
        <f aca="false">VLOOKUP(DATOS_[[#This Row],[Antigüedad]],TblRngAntg14[],2,1)</f>
        <v>0 a 1 años</v>
      </c>
    </row>
    <row r="517" customFormat="false" ht="13.8" hidden="false" customHeight="false" outlineLevel="0" collapsed="false">
      <c r="D517" s="128"/>
      <c r="E517" s="129"/>
      <c r="F517" s="129"/>
      <c r="G517" s="129"/>
      <c r="H517" s="130"/>
      <c r="I517" s="131"/>
      <c r="J517" s="128"/>
      <c r="K517" s="132"/>
      <c r="L517" s="132"/>
      <c r="M517" s="133"/>
      <c r="N517" s="133"/>
      <c r="O517" s="133"/>
      <c r="P517" s="129"/>
      <c r="Z517" s="75"/>
      <c r="AA517" s="76"/>
      <c r="AB517" s="76"/>
      <c r="AC517" s="129"/>
      <c r="AD517" s="134"/>
      <c r="AE517" s="134"/>
      <c r="AF517" s="134"/>
      <c r="AG517" s="134"/>
      <c r="AH517" s="134"/>
      <c r="AI517" s="134"/>
      <c r="AJ517" s="134"/>
      <c r="AK517" s="134"/>
      <c r="AL517" s="134"/>
      <c r="AM517" s="134"/>
      <c r="AN517" s="134"/>
      <c r="AO517" s="134"/>
      <c r="AP517" s="134"/>
      <c r="AQ517" s="134"/>
      <c r="AR517" s="134"/>
      <c r="AS517" s="134"/>
      <c r="AT517" s="134"/>
      <c r="AU517" s="134"/>
      <c r="AV517" s="134"/>
      <c r="AW517" s="134"/>
      <c r="AX517" s="134"/>
      <c r="AY517" s="134"/>
      <c r="AZ517" s="134"/>
      <c r="BA517" s="134"/>
      <c r="BB517" s="134"/>
      <c r="BC517" s="134"/>
      <c r="BD517" s="134"/>
      <c r="BE517" s="134"/>
      <c r="BF517" s="134"/>
      <c r="BG517" s="134"/>
      <c r="BH517" s="134"/>
      <c r="BI517" s="134"/>
      <c r="BJ517" s="134"/>
      <c r="BK517" s="134"/>
      <c r="BL517" s="134"/>
      <c r="BM517" s="135"/>
      <c r="BN517" s="136" t="n">
        <f aca="false">+MAX($D$3,DATOS_[[#This Row],[Fecha Inicio Sit. Contract.]])</f>
        <v>0</v>
      </c>
      <c r="BO517" s="136" t="n">
        <f aca="false">+MIN($D$4,DATOS_[[#This Row],[Fecha Fin Sit. Contract.]])</f>
        <v>0</v>
      </c>
      <c r="BP517" s="137" t="n">
        <f aca="false">+DATOS_[[#This Row],[% de jornada]]*IF(DATOS_[[#This Row],[% jornada reducida]]="",1,DATOS_[[#This Row],[% jornada reducida]])</f>
        <v>0</v>
      </c>
      <c r="BQ517" s="137" t="n">
        <f aca="false">+(DATOS_[[#This Row],[F.fin.cal]]-DATOS_[[#This Row],[F.ini.cal]]+1)/($D$4-$D$3+1)</f>
        <v>1</v>
      </c>
      <c r="BR517" s="137" t="str">
        <f aca="false">IF(OR(AND(DATOS_[[#This Row],[Fecha Fin Contrato]]&lt;$D$3,DATOS_[[#This Row],[Fecha Fin Contrato]]&lt;&gt;""),DATOS_[[#This Row],[Fecha de Contratación]]&gt;$D$4),"Fuera","Dentro")</f>
        <v>Dentro</v>
      </c>
      <c r="BS517" s="137" t="str">
        <f aca="false" t="array" ref="BS517:BS517">IF(MAX(IF(DATOS_[id]=DATOS_[[#This Row],[id]],DATOS_[F.fin.cal]))=DATOS_[[#This Row],[F.fin.cal]],"Sí","NO")</f>
        <v>Sí</v>
      </c>
      <c r="BT517" s="137" t="str">
        <f aca="false">IF(AND(DATOS_[[#This Row],[% normaliz]]&lt;&gt;1,DATOS_[[#This Row],[% anualiz]]=1),"Sí","NO")</f>
        <v>Sí</v>
      </c>
      <c r="BU517" s="137" t="str">
        <f aca="false">IF(AND(DATOS_[[#This Row],[% normaliz]]=1,DATOS_[[#This Row],[% anualiz]]&lt;&gt;1),"Sí","NO")</f>
        <v>NO</v>
      </c>
      <c r="BV517" s="137" t="str">
        <f aca="false">IF(AND(DATOS_[[#This Row],[% normaliz]]&lt;&gt;1,DATOS_[[#This Row],[% anualiz]]&lt;&gt;1),"Sí","NO")</f>
        <v>NO</v>
      </c>
      <c r="BW517" s="137" t="str">
        <f aca="false">+IF(DATOS_[[#This Row],[% normaliz]]*DATOS_[[#This Row],[% anualiz]]=1,"NO","Sí")</f>
        <v>Sí</v>
      </c>
      <c r="BX517" s="138" t="e">
        <f aca="false">(DATOS_[[#This Row],[S.BASE]]*(1/DATOS_[[#This Row],[% normaliz]])*(1/DATOS_[[#This Row],[% anualiz]]))*IF(DATOS_[[#This Row],[Check Equiparado]]="Sí",1,0)</f>
        <v>#DIV/0!</v>
      </c>
      <c r="BY5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7" s="138" t="e">
        <f aca="false">+DATOS_[[#This Row],[SALARIO BASE Eq]]+DATOS_[[#This Row],[Tot COMPL.SAL Eq]]</f>
        <v>#DIV/0!</v>
      </c>
      <c r="CA517" s="138" t="e">
        <f aca="false" t="array" ref="CA517:CA5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7" s="138" t="e">
        <f aca="false">+DATOS_[[#This Row],[TOTAL SALARIO Eq]]+DATOS_[[#This Row],[Tot Extrasalarial Eq]]</f>
        <v>#DIV/0!</v>
      </c>
      <c r="CC517" s="139" t="n">
        <f aca="false">DATOS_[[#This Row],[S.BASE]]</f>
        <v>0</v>
      </c>
      <c r="CD517" s="139" t="n">
        <f aca="false">+SUM(DATOS_[[#This Row],[Conc.Sal.01]:[Conc.Sal.30]])</f>
        <v>0</v>
      </c>
      <c r="CE517" s="139" t="n">
        <f aca="false">+DATOS_[[#This Row],[SALARIO BASE Ef]]+DATOS_[[#This Row],[Tot COMPL.SAL Ef]]</f>
        <v>0</v>
      </c>
      <c r="CF517" s="139" t="n">
        <f aca="false">+SUM(DATOS_[[#This Row],[C.Extra.01]:[C.Extra.05]])</f>
        <v>0</v>
      </c>
      <c r="CG517" s="139" t="n">
        <f aca="false">+DATOS_[[#This Row],[TOTAL SALARIO Ef]]+DATOS_[[#This Row],[Tot Extrasalarial Ef]]</f>
        <v>0</v>
      </c>
      <c r="CH517" s="140" t="n">
        <f aca="false">MIN(IF(DATOS_[[#This Row],[Fecha Fin Contrato]]="",$D$4,DATOS_[[#This Row],[Fecha Fin Contrato]]),$D$4)-MAX(DATOS_[[#This Row],[Fecha de Contratación]],$D$3)+1</f>
        <v>1</v>
      </c>
      <c r="CI517" s="141" t="str">
        <f aca="false">IF(COUNTIFS(DATOS_[id],DATOS_[[#This Row],[id]])&gt;1,DATOS_[[#This Row],[id]],"")</f>
        <v/>
      </c>
      <c r="CJ517" s="141" t="n">
        <f aca="false">(Inicio!$G$10-DATOS_[[#This Row],[Fecha Nacimiento]])/365.25</f>
        <v>0</v>
      </c>
      <c r="CK517" s="141" t="n">
        <f aca="false">(Inicio!$G$10-DATOS_[[#This Row],[Fecha de Antigüedad]])/365.25</f>
        <v>0</v>
      </c>
      <c r="CL517" s="141" t="e">
        <f aca="false">+VLOOKUP(DATOS_[[#This Row],[Clave de Contrato]],TblTiposContrato13[],3,0)</f>
        <v>#N/A</v>
      </c>
      <c r="CM517" s="141" t="e">
        <f aca="false">+VLOOKUP(DATOS_[[#This Row],[Clave de Contrato]],TblTiposContrato13[],4,0)</f>
        <v>#N/A</v>
      </c>
      <c r="CN517" s="141" t="str">
        <f aca="false">VLOOKUP(DATOS_[[#This Row],[Edad]],CONTRATOS!TblRngEdad,2,1)</f>
        <v>20  o menos</v>
      </c>
      <c r="CO517" s="141" t="str">
        <f aca="false">VLOOKUP(DATOS_[[#This Row],[Antigüedad]],TblRngAntg14[],2,1)</f>
        <v>0 a 1 años</v>
      </c>
    </row>
    <row r="518" customFormat="false" ht="13.8" hidden="false" customHeight="false" outlineLevel="0" collapsed="false">
      <c r="D518" s="128"/>
      <c r="E518" s="129"/>
      <c r="F518" s="129"/>
      <c r="G518" s="129"/>
      <c r="H518" s="130"/>
      <c r="I518" s="131"/>
      <c r="J518" s="128"/>
      <c r="K518" s="132"/>
      <c r="L518" s="132"/>
      <c r="M518" s="133"/>
      <c r="N518" s="133"/>
      <c r="O518" s="133"/>
      <c r="P518" s="129"/>
      <c r="Z518" s="75"/>
      <c r="AA518" s="76"/>
      <c r="AB518" s="76"/>
      <c r="AC518" s="129"/>
      <c r="AD518" s="134"/>
      <c r="AE518" s="134"/>
      <c r="AF518" s="134"/>
      <c r="AG518" s="134"/>
      <c r="AH518" s="134"/>
      <c r="AI518" s="134"/>
      <c r="AJ518" s="134"/>
      <c r="AK518" s="134"/>
      <c r="AL518" s="134"/>
      <c r="AM518" s="134"/>
      <c r="AN518" s="134"/>
      <c r="AO518" s="134"/>
      <c r="AP518" s="134"/>
      <c r="AQ518" s="134"/>
      <c r="AR518" s="134"/>
      <c r="AS518" s="134"/>
      <c r="AT518" s="134"/>
      <c r="AU518" s="134"/>
      <c r="AV518" s="134"/>
      <c r="AW518" s="134"/>
      <c r="AX518" s="134"/>
      <c r="AY518" s="134"/>
      <c r="AZ518" s="134"/>
      <c r="BA518" s="134"/>
      <c r="BB518" s="134"/>
      <c r="BC518" s="134"/>
      <c r="BD518" s="134"/>
      <c r="BE518" s="134"/>
      <c r="BF518" s="134"/>
      <c r="BG518" s="134"/>
      <c r="BH518" s="134"/>
      <c r="BI518" s="134"/>
      <c r="BJ518" s="134"/>
      <c r="BK518" s="134"/>
      <c r="BL518" s="134"/>
      <c r="BM518" s="135"/>
      <c r="BN518" s="136" t="n">
        <f aca="false">+MAX($D$3,DATOS_[[#This Row],[Fecha Inicio Sit. Contract.]])</f>
        <v>0</v>
      </c>
      <c r="BO518" s="136" t="n">
        <f aca="false">+MIN($D$4,DATOS_[[#This Row],[Fecha Fin Sit. Contract.]])</f>
        <v>0</v>
      </c>
      <c r="BP518" s="137" t="n">
        <f aca="false">+DATOS_[[#This Row],[% de jornada]]*IF(DATOS_[[#This Row],[% jornada reducida]]="",1,DATOS_[[#This Row],[% jornada reducida]])</f>
        <v>0</v>
      </c>
      <c r="BQ518" s="137" t="n">
        <f aca="false">+(DATOS_[[#This Row],[F.fin.cal]]-DATOS_[[#This Row],[F.ini.cal]]+1)/($D$4-$D$3+1)</f>
        <v>1</v>
      </c>
      <c r="BR518" s="137" t="str">
        <f aca="false">IF(OR(AND(DATOS_[[#This Row],[Fecha Fin Contrato]]&lt;$D$3,DATOS_[[#This Row],[Fecha Fin Contrato]]&lt;&gt;""),DATOS_[[#This Row],[Fecha de Contratación]]&gt;$D$4),"Fuera","Dentro")</f>
        <v>Dentro</v>
      </c>
      <c r="BS518" s="137" t="str">
        <f aca="false" t="array" ref="BS518:BS518">IF(MAX(IF(DATOS_[id]=DATOS_[[#This Row],[id]],DATOS_[F.fin.cal]))=DATOS_[[#This Row],[F.fin.cal]],"Sí","NO")</f>
        <v>Sí</v>
      </c>
      <c r="BT518" s="137" t="str">
        <f aca="false">IF(AND(DATOS_[[#This Row],[% normaliz]]&lt;&gt;1,DATOS_[[#This Row],[% anualiz]]=1),"Sí","NO")</f>
        <v>Sí</v>
      </c>
      <c r="BU518" s="137" t="str">
        <f aca="false">IF(AND(DATOS_[[#This Row],[% normaliz]]=1,DATOS_[[#This Row],[% anualiz]]&lt;&gt;1),"Sí","NO")</f>
        <v>NO</v>
      </c>
      <c r="BV518" s="137" t="str">
        <f aca="false">IF(AND(DATOS_[[#This Row],[% normaliz]]&lt;&gt;1,DATOS_[[#This Row],[% anualiz]]&lt;&gt;1),"Sí","NO")</f>
        <v>NO</v>
      </c>
      <c r="BW518" s="137" t="str">
        <f aca="false">+IF(DATOS_[[#This Row],[% normaliz]]*DATOS_[[#This Row],[% anualiz]]=1,"NO","Sí")</f>
        <v>Sí</v>
      </c>
      <c r="BX518" s="138" t="e">
        <f aca="false">(DATOS_[[#This Row],[S.BASE]]*(1/DATOS_[[#This Row],[% normaliz]])*(1/DATOS_[[#This Row],[% anualiz]]))*IF(DATOS_[[#This Row],[Check Equiparado]]="Sí",1,0)</f>
        <v>#DIV/0!</v>
      </c>
      <c r="BY5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8" s="138" t="e">
        <f aca="false">+DATOS_[[#This Row],[SALARIO BASE Eq]]+DATOS_[[#This Row],[Tot COMPL.SAL Eq]]</f>
        <v>#DIV/0!</v>
      </c>
      <c r="CA518" s="138" t="e">
        <f aca="false" t="array" ref="CA518:CA5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8" s="138" t="e">
        <f aca="false">+DATOS_[[#This Row],[TOTAL SALARIO Eq]]+DATOS_[[#This Row],[Tot Extrasalarial Eq]]</f>
        <v>#DIV/0!</v>
      </c>
      <c r="CC518" s="139" t="n">
        <f aca="false">DATOS_[[#This Row],[S.BASE]]</f>
        <v>0</v>
      </c>
      <c r="CD518" s="139" t="n">
        <f aca="false">+SUM(DATOS_[[#This Row],[Conc.Sal.01]:[Conc.Sal.30]])</f>
        <v>0</v>
      </c>
      <c r="CE518" s="139" t="n">
        <f aca="false">+DATOS_[[#This Row],[SALARIO BASE Ef]]+DATOS_[[#This Row],[Tot COMPL.SAL Ef]]</f>
        <v>0</v>
      </c>
      <c r="CF518" s="139" t="n">
        <f aca="false">+SUM(DATOS_[[#This Row],[C.Extra.01]:[C.Extra.05]])</f>
        <v>0</v>
      </c>
      <c r="CG518" s="139" t="n">
        <f aca="false">+DATOS_[[#This Row],[TOTAL SALARIO Ef]]+DATOS_[[#This Row],[Tot Extrasalarial Ef]]</f>
        <v>0</v>
      </c>
      <c r="CH518" s="140" t="n">
        <f aca="false">MIN(IF(DATOS_[[#This Row],[Fecha Fin Contrato]]="",$D$4,DATOS_[[#This Row],[Fecha Fin Contrato]]),$D$4)-MAX(DATOS_[[#This Row],[Fecha de Contratación]],$D$3)+1</f>
        <v>1</v>
      </c>
      <c r="CI518" s="141" t="str">
        <f aca="false">IF(COUNTIFS(DATOS_[id],DATOS_[[#This Row],[id]])&gt;1,DATOS_[[#This Row],[id]],"")</f>
        <v/>
      </c>
      <c r="CJ518" s="141" t="n">
        <f aca="false">(Inicio!$G$10-DATOS_[[#This Row],[Fecha Nacimiento]])/365.25</f>
        <v>0</v>
      </c>
      <c r="CK518" s="141" t="n">
        <f aca="false">(Inicio!$G$10-DATOS_[[#This Row],[Fecha de Antigüedad]])/365.25</f>
        <v>0</v>
      </c>
      <c r="CL518" s="141" t="e">
        <f aca="false">+VLOOKUP(DATOS_[[#This Row],[Clave de Contrato]],TblTiposContrato13[],3,0)</f>
        <v>#N/A</v>
      </c>
      <c r="CM518" s="141" t="e">
        <f aca="false">+VLOOKUP(DATOS_[[#This Row],[Clave de Contrato]],TblTiposContrato13[],4,0)</f>
        <v>#N/A</v>
      </c>
      <c r="CN518" s="141" t="str">
        <f aca="false">VLOOKUP(DATOS_[[#This Row],[Edad]],CONTRATOS!TblRngEdad,2,1)</f>
        <v>20  o menos</v>
      </c>
      <c r="CO518" s="141" t="str">
        <f aca="false">VLOOKUP(DATOS_[[#This Row],[Antigüedad]],TblRngAntg14[],2,1)</f>
        <v>0 a 1 años</v>
      </c>
    </row>
    <row r="519" customFormat="false" ht="13.8" hidden="false" customHeight="false" outlineLevel="0" collapsed="false">
      <c r="D519" s="128"/>
      <c r="E519" s="129"/>
      <c r="F519" s="129"/>
      <c r="G519" s="129"/>
      <c r="H519" s="130"/>
      <c r="I519" s="131"/>
      <c r="J519" s="128"/>
      <c r="K519" s="132"/>
      <c r="L519" s="132"/>
      <c r="M519" s="133"/>
      <c r="N519" s="133"/>
      <c r="O519" s="133"/>
      <c r="P519" s="129"/>
      <c r="Z519" s="75"/>
      <c r="AA519" s="76"/>
      <c r="AB519" s="76"/>
      <c r="AC519" s="129"/>
      <c r="AD519" s="134"/>
      <c r="AE519" s="134"/>
      <c r="AF519" s="134"/>
      <c r="AG519" s="134"/>
      <c r="AH519" s="134"/>
      <c r="AI519" s="134"/>
      <c r="AJ519" s="134"/>
      <c r="AK519" s="134"/>
      <c r="AL519" s="134"/>
      <c r="AM519" s="134"/>
      <c r="AN519" s="134"/>
      <c r="AO519" s="134"/>
      <c r="AP519" s="134"/>
      <c r="AQ519" s="134"/>
      <c r="AR519" s="134"/>
      <c r="AS519" s="134"/>
      <c r="AT519" s="134"/>
      <c r="AU519" s="134"/>
      <c r="AV519" s="134"/>
      <c r="AW519" s="134"/>
      <c r="AX519" s="134"/>
      <c r="AY519" s="134"/>
      <c r="AZ519" s="134"/>
      <c r="BA519" s="134"/>
      <c r="BB519" s="134"/>
      <c r="BC519" s="134"/>
      <c r="BD519" s="134"/>
      <c r="BE519" s="134"/>
      <c r="BF519" s="134"/>
      <c r="BG519" s="134"/>
      <c r="BH519" s="134"/>
      <c r="BI519" s="134"/>
      <c r="BJ519" s="134"/>
      <c r="BK519" s="134"/>
      <c r="BL519" s="134"/>
      <c r="BM519" s="135"/>
      <c r="BN519" s="136" t="n">
        <f aca="false">+MAX($D$3,DATOS_[[#This Row],[Fecha Inicio Sit. Contract.]])</f>
        <v>0</v>
      </c>
      <c r="BO519" s="136" t="n">
        <f aca="false">+MIN($D$4,DATOS_[[#This Row],[Fecha Fin Sit. Contract.]])</f>
        <v>0</v>
      </c>
      <c r="BP519" s="137" t="n">
        <f aca="false">+DATOS_[[#This Row],[% de jornada]]*IF(DATOS_[[#This Row],[% jornada reducida]]="",1,DATOS_[[#This Row],[% jornada reducida]])</f>
        <v>0</v>
      </c>
      <c r="BQ519" s="137" t="n">
        <f aca="false">+(DATOS_[[#This Row],[F.fin.cal]]-DATOS_[[#This Row],[F.ini.cal]]+1)/($D$4-$D$3+1)</f>
        <v>1</v>
      </c>
      <c r="BR519" s="137" t="str">
        <f aca="false">IF(OR(AND(DATOS_[[#This Row],[Fecha Fin Contrato]]&lt;$D$3,DATOS_[[#This Row],[Fecha Fin Contrato]]&lt;&gt;""),DATOS_[[#This Row],[Fecha de Contratación]]&gt;$D$4),"Fuera","Dentro")</f>
        <v>Dentro</v>
      </c>
      <c r="BS519" s="137" t="str">
        <f aca="false" t="array" ref="BS519:BS519">IF(MAX(IF(DATOS_[id]=DATOS_[[#This Row],[id]],DATOS_[F.fin.cal]))=DATOS_[[#This Row],[F.fin.cal]],"Sí","NO")</f>
        <v>Sí</v>
      </c>
      <c r="BT519" s="137" t="str">
        <f aca="false">IF(AND(DATOS_[[#This Row],[% normaliz]]&lt;&gt;1,DATOS_[[#This Row],[% anualiz]]=1),"Sí","NO")</f>
        <v>Sí</v>
      </c>
      <c r="BU519" s="137" t="str">
        <f aca="false">IF(AND(DATOS_[[#This Row],[% normaliz]]=1,DATOS_[[#This Row],[% anualiz]]&lt;&gt;1),"Sí","NO")</f>
        <v>NO</v>
      </c>
      <c r="BV519" s="137" t="str">
        <f aca="false">IF(AND(DATOS_[[#This Row],[% normaliz]]&lt;&gt;1,DATOS_[[#This Row],[% anualiz]]&lt;&gt;1),"Sí","NO")</f>
        <v>NO</v>
      </c>
      <c r="BW519" s="137" t="str">
        <f aca="false">+IF(DATOS_[[#This Row],[% normaliz]]*DATOS_[[#This Row],[% anualiz]]=1,"NO","Sí")</f>
        <v>Sí</v>
      </c>
      <c r="BX519" s="138" t="e">
        <f aca="false">(DATOS_[[#This Row],[S.BASE]]*(1/DATOS_[[#This Row],[% normaliz]])*(1/DATOS_[[#This Row],[% anualiz]]))*IF(DATOS_[[#This Row],[Check Equiparado]]="Sí",1,0)</f>
        <v>#DIV/0!</v>
      </c>
      <c r="BY5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9" s="138" t="e">
        <f aca="false">+DATOS_[[#This Row],[SALARIO BASE Eq]]+DATOS_[[#This Row],[Tot COMPL.SAL Eq]]</f>
        <v>#DIV/0!</v>
      </c>
      <c r="CA519" s="138" t="e">
        <f aca="false" t="array" ref="CA519:CA5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9" s="138" t="e">
        <f aca="false">+DATOS_[[#This Row],[TOTAL SALARIO Eq]]+DATOS_[[#This Row],[Tot Extrasalarial Eq]]</f>
        <v>#DIV/0!</v>
      </c>
      <c r="CC519" s="139" t="n">
        <f aca="false">DATOS_[[#This Row],[S.BASE]]</f>
        <v>0</v>
      </c>
      <c r="CD519" s="139" t="n">
        <f aca="false">+SUM(DATOS_[[#This Row],[Conc.Sal.01]:[Conc.Sal.30]])</f>
        <v>0</v>
      </c>
      <c r="CE519" s="139" t="n">
        <f aca="false">+DATOS_[[#This Row],[SALARIO BASE Ef]]+DATOS_[[#This Row],[Tot COMPL.SAL Ef]]</f>
        <v>0</v>
      </c>
      <c r="CF519" s="139" t="n">
        <f aca="false">+SUM(DATOS_[[#This Row],[C.Extra.01]:[C.Extra.05]])</f>
        <v>0</v>
      </c>
      <c r="CG519" s="139" t="n">
        <f aca="false">+DATOS_[[#This Row],[TOTAL SALARIO Ef]]+DATOS_[[#This Row],[Tot Extrasalarial Ef]]</f>
        <v>0</v>
      </c>
      <c r="CH519" s="140" t="n">
        <f aca="false">MIN(IF(DATOS_[[#This Row],[Fecha Fin Contrato]]="",$D$4,DATOS_[[#This Row],[Fecha Fin Contrato]]),$D$4)-MAX(DATOS_[[#This Row],[Fecha de Contratación]],$D$3)+1</f>
        <v>1</v>
      </c>
      <c r="CI519" s="141" t="str">
        <f aca="false">IF(COUNTIFS(DATOS_[id],DATOS_[[#This Row],[id]])&gt;1,DATOS_[[#This Row],[id]],"")</f>
        <v/>
      </c>
      <c r="CJ519" s="141" t="n">
        <f aca="false">(Inicio!$G$10-DATOS_[[#This Row],[Fecha Nacimiento]])/365.25</f>
        <v>0</v>
      </c>
      <c r="CK519" s="141" t="n">
        <f aca="false">(Inicio!$G$10-DATOS_[[#This Row],[Fecha de Antigüedad]])/365.25</f>
        <v>0</v>
      </c>
      <c r="CL519" s="141" t="e">
        <f aca="false">+VLOOKUP(DATOS_[[#This Row],[Clave de Contrato]],TblTiposContrato13[],3,0)</f>
        <v>#N/A</v>
      </c>
      <c r="CM519" s="141" t="e">
        <f aca="false">+VLOOKUP(DATOS_[[#This Row],[Clave de Contrato]],TblTiposContrato13[],4,0)</f>
        <v>#N/A</v>
      </c>
      <c r="CN519" s="141" t="str">
        <f aca="false">VLOOKUP(DATOS_[[#This Row],[Edad]],CONTRATOS!TblRngEdad,2,1)</f>
        <v>20  o menos</v>
      </c>
      <c r="CO519" s="141" t="str">
        <f aca="false">VLOOKUP(DATOS_[[#This Row],[Antigüedad]],TblRngAntg14[],2,1)</f>
        <v>0 a 1 años</v>
      </c>
    </row>
    <row r="520" customFormat="false" ht="13.8" hidden="false" customHeight="false" outlineLevel="0" collapsed="false">
      <c r="D520" s="128"/>
      <c r="E520" s="129"/>
      <c r="F520" s="129"/>
      <c r="G520" s="129"/>
      <c r="H520" s="130"/>
      <c r="I520" s="131"/>
      <c r="J520" s="128"/>
      <c r="K520" s="132"/>
      <c r="L520" s="132"/>
      <c r="M520" s="133"/>
      <c r="N520" s="133"/>
      <c r="O520" s="133"/>
      <c r="P520" s="129"/>
      <c r="Z520" s="75"/>
      <c r="AA520" s="76"/>
      <c r="AB520" s="76"/>
      <c r="AC520" s="129"/>
      <c r="AD520" s="134"/>
      <c r="AE520" s="134"/>
      <c r="AF520" s="134"/>
      <c r="AG520" s="134"/>
      <c r="AH520" s="134"/>
      <c r="AI520" s="134"/>
      <c r="AJ520" s="134"/>
      <c r="AK520" s="134"/>
      <c r="AL520" s="134"/>
      <c r="AM520" s="134"/>
      <c r="AN520" s="134"/>
      <c r="AO520" s="134"/>
      <c r="AP520" s="134"/>
      <c r="AQ520" s="134"/>
      <c r="AR520" s="134"/>
      <c r="AS520" s="134"/>
      <c r="AT520" s="134"/>
      <c r="AU520" s="134"/>
      <c r="AV520" s="134"/>
      <c r="AW520" s="134"/>
      <c r="AX520" s="134"/>
      <c r="AY520" s="134"/>
      <c r="AZ520" s="134"/>
      <c r="BA520" s="134"/>
      <c r="BB520" s="134"/>
      <c r="BC520" s="134"/>
      <c r="BD520" s="134"/>
      <c r="BE520" s="134"/>
      <c r="BF520" s="134"/>
      <c r="BG520" s="134"/>
      <c r="BH520" s="134"/>
      <c r="BI520" s="134"/>
      <c r="BJ520" s="134"/>
      <c r="BK520" s="134"/>
      <c r="BL520" s="134"/>
      <c r="BM520" s="135"/>
      <c r="BN520" s="136" t="n">
        <f aca="false">+MAX($D$3,DATOS_[[#This Row],[Fecha Inicio Sit. Contract.]])</f>
        <v>0</v>
      </c>
      <c r="BO520" s="136" t="n">
        <f aca="false">+MIN($D$4,DATOS_[[#This Row],[Fecha Fin Sit. Contract.]])</f>
        <v>0</v>
      </c>
      <c r="BP520" s="137" t="n">
        <f aca="false">+DATOS_[[#This Row],[% de jornada]]*IF(DATOS_[[#This Row],[% jornada reducida]]="",1,DATOS_[[#This Row],[% jornada reducida]])</f>
        <v>0</v>
      </c>
      <c r="BQ520" s="137" t="n">
        <f aca="false">+(DATOS_[[#This Row],[F.fin.cal]]-DATOS_[[#This Row],[F.ini.cal]]+1)/($D$4-$D$3+1)</f>
        <v>1</v>
      </c>
      <c r="BR520" s="137" t="str">
        <f aca="false">IF(OR(AND(DATOS_[[#This Row],[Fecha Fin Contrato]]&lt;$D$3,DATOS_[[#This Row],[Fecha Fin Contrato]]&lt;&gt;""),DATOS_[[#This Row],[Fecha de Contratación]]&gt;$D$4),"Fuera","Dentro")</f>
        <v>Dentro</v>
      </c>
      <c r="BS520" s="137" t="str">
        <f aca="false" t="array" ref="BS520:BS520">IF(MAX(IF(DATOS_[id]=DATOS_[[#This Row],[id]],DATOS_[F.fin.cal]))=DATOS_[[#This Row],[F.fin.cal]],"Sí","NO")</f>
        <v>Sí</v>
      </c>
      <c r="BT520" s="137" t="str">
        <f aca="false">IF(AND(DATOS_[[#This Row],[% normaliz]]&lt;&gt;1,DATOS_[[#This Row],[% anualiz]]=1),"Sí","NO")</f>
        <v>Sí</v>
      </c>
      <c r="BU520" s="137" t="str">
        <f aca="false">IF(AND(DATOS_[[#This Row],[% normaliz]]=1,DATOS_[[#This Row],[% anualiz]]&lt;&gt;1),"Sí","NO")</f>
        <v>NO</v>
      </c>
      <c r="BV520" s="137" t="str">
        <f aca="false">IF(AND(DATOS_[[#This Row],[% normaliz]]&lt;&gt;1,DATOS_[[#This Row],[% anualiz]]&lt;&gt;1),"Sí","NO")</f>
        <v>NO</v>
      </c>
      <c r="BW520" s="137" t="str">
        <f aca="false">+IF(DATOS_[[#This Row],[% normaliz]]*DATOS_[[#This Row],[% anualiz]]=1,"NO","Sí")</f>
        <v>Sí</v>
      </c>
      <c r="BX520" s="138" t="e">
        <f aca="false">(DATOS_[[#This Row],[S.BASE]]*(1/DATOS_[[#This Row],[% normaliz]])*(1/DATOS_[[#This Row],[% anualiz]]))*IF(DATOS_[[#This Row],[Check Equiparado]]="Sí",1,0)</f>
        <v>#DIV/0!</v>
      </c>
      <c r="BY5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0" s="138" t="e">
        <f aca="false">+DATOS_[[#This Row],[SALARIO BASE Eq]]+DATOS_[[#This Row],[Tot COMPL.SAL Eq]]</f>
        <v>#DIV/0!</v>
      </c>
      <c r="CA520" s="138" t="e">
        <f aca="false" t="array" ref="CA520:CA5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0" s="138" t="e">
        <f aca="false">+DATOS_[[#This Row],[TOTAL SALARIO Eq]]+DATOS_[[#This Row],[Tot Extrasalarial Eq]]</f>
        <v>#DIV/0!</v>
      </c>
      <c r="CC520" s="139" t="n">
        <f aca="false">DATOS_[[#This Row],[S.BASE]]</f>
        <v>0</v>
      </c>
      <c r="CD520" s="139" t="n">
        <f aca="false">+SUM(DATOS_[[#This Row],[Conc.Sal.01]:[Conc.Sal.30]])</f>
        <v>0</v>
      </c>
      <c r="CE520" s="139" t="n">
        <f aca="false">+DATOS_[[#This Row],[SALARIO BASE Ef]]+DATOS_[[#This Row],[Tot COMPL.SAL Ef]]</f>
        <v>0</v>
      </c>
      <c r="CF520" s="139" t="n">
        <f aca="false">+SUM(DATOS_[[#This Row],[C.Extra.01]:[C.Extra.05]])</f>
        <v>0</v>
      </c>
      <c r="CG520" s="139" t="n">
        <f aca="false">+DATOS_[[#This Row],[TOTAL SALARIO Ef]]+DATOS_[[#This Row],[Tot Extrasalarial Ef]]</f>
        <v>0</v>
      </c>
      <c r="CH520" s="140" t="n">
        <f aca="false">MIN(IF(DATOS_[[#This Row],[Fecha Fin Contrato]]="",$D$4,DATOS_[[#This Row],[Fecha Fin Contrato]]),$D$4)-MAX(DATOS_[[#This Row],[Fecha de Contratación]],$D$3)+1</f>
        <v>1</v>
      </c>
      <c r="CI520" s="141" t="str">
        <f aca="false">IF(COUNTIFS(DATOS_[id],DATOS_[[#This Row],[id]])&gt;1,DATOS_[[#This Row],[id]],"")</f>
        <v/>
      </c>
      <c r="CJ520" s="141" t="n">
        <f aca="false">(Inicio!$G$10-DATOS_[[#This Row],[Fecha Nacimiento]])/365.25</f>
        <v>0</v>
      </c>
      <c r="CK520" s="141" t="n">
        <f aca="false">(Inicio!$G$10-DATOS_[[#This Row],[Fecha de Antigüedad]])/365.25</f>
        <v>0</v>
      </c>
      <c r="CL520" s="141" t="e">
        <f aca="false">+VLOOKUP(DATOS_[[#This Row],[Clave de Contrato]],TblTiposContrato13[],3,0)</f>
        <v>#N/A</v>
      </c>
      <c r="CM520" s="141" t="e">
        <f aca="false">+VLOOKUP(DATOS_[[#This Row],[Clave de Contrato]],TblTiposContrato13[],4,0)</f>
        <v>#N/A</v>
      </c>
      <c r="CN520" s="141" t="str">
        <f aca="false">VLOOKUP(DATOS_[[#This Row],[Edad]],CONTRATOS!TblRngEdad,2,1)</f>
        <v>20  o menos</v>
      </c>
      <c r="CO520" s="141" t="str">
        <f aca="false">VLOOKUP(DATOS_[[#This Row],[Antigüedad]],TblRngAntg14[],2,1)</f>
        <v>0 a 1 años</v>
      </c>
    </row>
    <row r="521" customFormat="false" ht="13.8" hidden="false" customHeight="false" outlineLevel="0" collapsed="false">
      <c r="D521" s="128"/>
      <c r="E521" s="129"/>
      <c r="F521" s="129"/>
      <c r="G521" s="129"/>
      <c r="H521" s="130"/>
      <c r="I521" s="131"/>
      <c r="J521" s="128"/>
      <c r="K521" s="132"/>
      <c r="L521" s="132"/>
      <c r="M521" s="133"/>
      <c r="N521" s="133"/>
      <c r="O521" s="133"/>
      <c r="P521" s="129"/>
      <c r="Z521" s="75"/>
      <c r="AA521" s="76"/>
      <c r="AB521" s="76"/>
      <c r="AC521" s="129"/>
      <c r="AD521" s="134"/>
      <c r="AE521" s="134"/>
      <c r="AF521" s="134"/>
      <c r="AG521" s="134"/>
      <c r="AH521" s="134"/>
      <c r="AI521" s="134"/>
      <c r="AJ521" s="134"/>
      <c r="AK521" s="134"/>
      <c r="AL521" s="134"/>
      <c r="AM521" s="134"/>
      <c r="AN521" s="134"/>
      <c r="AO521" s="134"/>
      <c r="AP521" s="134"/>
      <c r="AQ521" s="134"/>
      <c r="AR521" s="134"/>
      <c r="AS521" s="134"/>
      <c r="AT521" s="134"/>
      <c r="AU521" s="134"/>
      <c r="AV521" s="134"/>
      <c r="AW521" s="134"/>
      <c r="AX521" s="134"/>
      <c r="AY521" s="134"/>
      <c r="AZ521" s="134"/>
      <c r="BA521" s="134"/>
      <c r="BB521" s="134"/>
      <c r="BC521" s="134"/>
      <c r="BD521" s="134"/>
      <c r="BE521" s="134"/>
      <c r="BF521" s="134"/>
      <c r="BG521" s="134"/>
      <c r="BH521" s="134"/>
      <c r="BI521" s="134"/>
      <c r="BJ521" s="134"/>
      <c r="BK521" s="134"/>
      <c r="BL521" s="134"/>
      <c r="BM521" s="135"/>
      <c r="BN521" s="136" t="n">
        <f aca="false">+MAX($D$3,DATOS_[[#This Row],[Fecha Inicio Sit. Contract.]])</f>
        <v>0</v>
      </c>
      <c r="BO521" s="136" t="n">
        <f aca="false">+MIN($D$4,DATOS_[[#This Row],[Fecha Fin Sit. Contract.]])</f>
        <v>0</v>
      </c>
      <c r="BP521" s="137" t="n">
        <f aca="false">+DATOS_[[#This Row],[% de jornada]]*IF(DATOS_[[#This Row],[% jornada reducida]]="",1,DATOS_[[#This Row],[% jornada reducida]])</f>
        <v>0</v>
      </c>
      <c r="BQ521" s="137" t="n">
        <f aca="false">+(DATOS_[[#This Row],[F.fin.cal]]-DATOS_[[#This Row],[F.ini.cal]]+1)/($D$4-$D$3+1)</f>
        <v>1</v>
      </c>
      <c r="BR521" s="137" t="str">
        <f aca="false">IF(OR(AND(DATOS_[[#This Row],[Fecha Fin Contrato]]&lt;$D$3,DATOS_[[#This Row],[Fecha Fin Contrato]]&lt;&gt;""),DATOS_[[#This Row],[Fecha de Contratación]]&gt;$D$4),"Fuera","Dentro")</f>
        <v>Dentro</v>
      </c>
      <c r="BS521" s="137" t="str">
        <f aca="false" t="array" ref="BS521:BS521">IF(MAX(IF(DATOS_[id]=DATOS_[[#This Row],[id]],DATOS_[F.fin.cal]))=DATOS_[[#This Row],[F.fin.cal]],"Sí","NO")</f>
        <v>Sí</v>
      </c>
      <c r="BT521" s="137" t="str">
        <f aca="false">IF(AND(DATOS_[[#This Row],[% normaliz]]&lt;&gt;1,DATOS_[[#This Row],[% anualiz]]=1),"Sí","NO")</f>
        <v>Sí</v>
      </c>
      <c r="BU521" s="137" t="str">
        <f aca="false">IF(AND(DATOS_[[#This Row],[% normaliz]]=1,DATOS_[[#This Row],[% anualiz]]&lt;&gt;1),"Sí","NO")</f>
        <v>NO</v>
      </c>
      <c r="BV521" s="137" t="str">
        <f aca="false">IF(AND(DATOS_[[#This Row],[% normaliz]]&lt;&gt;1,DATOS_[[#This Row],[% anualiz]]&lt;&gt;1),"Sí","NO")</f>
        <v>NO</v>
      </c>
      <c r="BW521" s="137" t="str">
        <f aca="false">+IF(DATOS_[[#This Row],[% normaliz]]*DATOS_[[#This Row],[% anualiz]]=1,"NO","Sí")</f>
        <v>Sí</v>
      </c>
      <c r="BX521" s="138" t="e">
        <f aca="false">(DATOS_[[#This Row],[S.BASE]]*(1/DATOS_[[#This Row],[% normaliz]])*(1/DATOS_[[#This Row],[% anualiz]]))*IF(DATOS_[[#This Row],[Check Equiparado]]="Sí",1,0)</f>
        <v>#DIV/0!</v>
      </c>
      <c r="BY5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1" s="138" t="e">
        <f aca="false">+DATOS_[[#This Row],[SALARIO BASE Eq]]+DATOS_[[#This Row],[Tot COMPL.SAL Eq]]</f>
        <v>#DIV/0!</v>
      </c>
      <c r="CA521" s="138" t="e">
        <f aca="false" t="array" ref="CA521:CA5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1" s="138" t="e">
        <f aca="false">+DATOS_[[#This Row],[TOTAL SALARIO Eq]]+DATOS_[[#This Row],[Tot Extrasalarial Eq]]</f>
        <v>#DIV/0!</v>
      </c>
      <c r="CC521" s="139" t="n">
        <f aca="false">DATOS_[[#This Row],[S.BASE]]</f>
        <v>0</v>
      </c>
      <c r="CD521" s="139" t="n">
        <f aca="false">+SUM(DATOS_[[#This Row],[Conc.Sal.01]:[Conc.Sal.30]])</f>
        <v>0</v>
      </c>
      <c r="CE521" s="139" t="n">
        <f aca="false">+DATOS_[[#This Row],[SALARIO BASE Ef]]+DATOS_[[#This Row],[Tot COMPL.SAL Ef]]</f>
        <v>0</v>
      </c>
      <c r="CF521" s="139" t="n">
        <f aca="false">+SUM(DATOS_[[#This Row],[C.Extra.01]:[C.Extra.05]])</f>
        <v>0</v>
      </c>
      <c r="CG521" s="139" t="n">
        <f aca="false">+DATOS_[[#This Row],[TOTAL SALARIO Ef]]+DATOS_[[#This Row],[Tot Extrasalarial Ef]]</f>
        <v>0</v>
      </c>
      <c r="CH521" s="140" t="n">
        <f aca="false">MIN(IF(DATOS_[[#This Row],[Fecha Fin Contrato]]="",$D$4,DATOS_[[#This Row],[Fecha Fin Contrato]]),$D$4)-MAX(DATOS_[[#This Row],[Fecha de Contratación]],$D$3)+1</f>
        <v>1</v>
      </c>
      <c r="CI521" s="141" t="str">
        <f aca="false">IF(COUNTIFS(DATOS_[id],DATOS_[[#This Row],[id]])&gt;1,DATOS_[[#This Row],[id]],"")</f>
        <v/>
      </c>
      <c r="CJ521" s="141" t="n">
        <f aca="false">(Inicio!$G$10-DATOS_[[#This Row],[Fecha Nacimiento]])/365.25</f>
        <v>0</v>
      </c>
      <c r="CK521" s="141" t="n">
        <f aca="false">(Inicio!$G$10-DATOS_[[#This Row],[Fecha de Antigüedad]])/365.25</f>
        <v>0</v>
      </c>
      <c r="CL521" s="141" t="e">
        <f aca="false">+VLOOKUP(DATOS_[[#This Row],[Clave de Contrato]],TblTiposContrato13[],3,0)</f>
        <v>#N/A</v>
      </c>
      <c r="CM521" s="141" t="e">
        <f aca="false">+VLOOKUP(DATOS_[[#This Row],[Clave de Contrato]],TblTiposContrato13[],4,0)</f>
        <v>#N/A</v>
      </c>
      <c r="CN521" s="141" t="str">
        <f aca="false">VLOOKUP(DATOS_[[#This Row],[Edad]],CONTRATOS!TblRngEdad,2,1)</f>
        <v>20  o menos</v>
      </c>
      <c r="CO521" s="141" t="str">
        <f aca="false">VLOOKUP(DATOS_[[#This Row],[Antigüedad]],TblRngAntg14[],2,1)</f>
        <v>0 a 1 años</v>
      </c>
    </row>
    <row r="522" customFormat="false" ht="13.8" hidden="false" customHeight="false" outlineLevel="0" collapsed="false">
      <c r="D522" s="128"/>
      <c r="E522" s="129"/>
      <c r="F522" s="129"/>
      <c r="G522" s="129"/>
      <c r="H522" s="130"/>
      <c r="I522" s="131"/>
      <c r="J522" s="128"/>
      <c r="K522" s="132"/>
      <c r="L522" s="132"/>
      <c r="M522" s="133"/>
      <c r="N522" s="133"/>
      <c r="O522" s="133"/>
      <c r="P522" s="129"/>
      <c r="Z522" s="75"/>
      <c r="AA522" s="76"/>
      <c r="AB522" s="76"/>
      <c r="AC522" s="129"/>
      <c r="AD522" s="134"/>
      <c r="AE522" s="134"/>
      <c r="AF522" s="134"/>
      <c r="AG522" s="134"/>
      <c r="AH522" s="134"/>
      <c r="AI522" s="134"/>
      <c r="AJ522" s="134"/>
      <c r="AK522" s="134"/>
      <c r="AL522" s="134"/>
      <c r="AM522" s="134"/>
      <c r="AN522" s="134"/>
      <c r="AO522" s="134"/>
      <c r="AP522" s="134"/>
      <c r="AQ522" s="134"/>
      <c r="AR522" s="134"/>
      <c r="AS522" s="134"/>
      <c r="AT522" s="134"/>
      <c r="AU522" s="134"/>
      <c r="AV522" s="134"/>
      <c r="AW522" s="134"/>
      <c r="AX522" s="134"/>
      <c r="AY522" s="134"/>
      <c r="AZ522" s="134"/>
      <c r="BA522" s="134"/>
      <c r="BB522" s="134"/>
      <c r="BC522" s="134"/>
      <c r="BD522" s="134"/>
      <c r="BE522" s="134"/>
      <c r="BF522" s="134"/>
      <c r="BG522" s="134"/>
      <c r="BH522" s="134"/>
      <c r="BI522" s="134"/>
      <c r="BJ522" s="134"/>
      <c r="BK522" s="134"/>
      <c r="BL522" s="134"/>
      <c r="BM522" s="135"/>
      <c r="BN522" s="136" t="n">
        <f aca="false">+MAX($D$3,DATOS_[[#This Row],[Fecha Inicio Sit. Contract.]])</f>
        <v>0</v>
      </c>
      <c r="BO522" s="136" t="n">
        <f aca="false">+MIN($D$4,DATOS_[[#This Row],[Fecha Fin Sit. Contract.]])</f>
        <v>0</v>
      </c>
      <c r="BP522" s="137" t="n">
        <f aca="false">+DATOS_[[#This Row],[% de jornada]]*IF(DATOS_[[#This Row],[% jornada reducida]]="",1,DATOS_[[#This Row],[% jornada reducida]])</f>
        <v>0</v>
      </c>
      <c r="BQ522" s="137" t="n">
        <f aca="false">+(DATOS_[[#This Row],[F.fin.cal]]-DATOS_[[#This Row],[F.ini.cal]]+1)/($D$4-$D$3+1)</f>
        <v>1</v>
      </c>
      <c r="BR522" s="137" t="str">
        <f aca="false">IF(OR(AND(DATOS_[[#This Row],[Fecha Fin Contrato]]&lt;$D$3,DATOS_[[#This Row],[Fecha Fin Contrato]]&lt;&gt;""),DATOS_[[#This Row],[Fecha de Contratación]]&gt;$D$4),"Fuera","Dentro")</f>
        <v>Dentro</v>
      </c>
      <c r="BS522" s="137" t="str">
        <f aca="false" t="array" ref="BS522:BS522">IF(MAX(IF(DATOS_[id]=DATOS_[[#This Row],[id]],DATOS_[F.fin.cal]))=DATOS_[[#This Row],[F.fin.cal]],"Sí","NO")</f>
        <v>Sí</v>
      </c>
      <c r="BT522" s="137" t="str">
        <f aca="false">IF(AND(DATOS_[[#This Row],[% normaliz]]&lt;&gt;1,DATOS_[[#This Row],[% anualiz]]=1),"Sí","NO")</f>
        <v>Sí</v>
      </c>
      <c r="BU522" s="137" t="str">
        <f aca="false">IF(AND(DATOS_[[#This Row],[% normaliz]]=1,DATOS_[[#This Row],[% anualiz]]&lt;&gt;1),"Sí","NO")</f>
        <v>NO</v>
      </c>
      <c r="BV522" s="137" t="str">
        <f aca="false">IF(AND(DATOS_[[#This Row],[% normaliz]]&lt;&gt;1,DATOS_[[#This Row],[% anualiz]]&lt;&gt;1),"Sí","NO")</f>
        <v>NO</v>
      </c>
      <c r="BW522" s="137" t="str">
        <f aca="false">+IF(DATOS_[[#This Row],[% normaliz]]*DATOS_[[#This Row],[% anualiz]]=1,"NO","Sí")</f>
        <v>Sí</v>
      </c>
      <c r="BX522" s="138" t="e">
        <f aca="false">(DATOS_[[#This Row],[S.BASE]]*(1/DATOS_[[#This Row],[% normaliz]])*(1/DATOS_[[#This Row],[% anualiz]]))*IF(DATOS_[[#This Row],[Check Equiparado]]="Sí",1,0)</f>
        <v>#DIV/0!</v>
      </c>
      <c r="BY5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2" s="138" t="e">
        <f aca="false">+DATOS_[[#This Row],[SALARIO BASE Eq]]+DATOS_[[#This Row],[Tot COMPL.SAL Eq]]</f>
        <v>#DIV/0!</v>
      </c>
      <c r="CA522" s="138" t="e">
        <f aca="false" t="array" ref="CA522:CA5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2" s="138" t="e">
        <f aca="false">+DATOS_[[#This Row],[TOTAL SALARIO Eq]]+DATOS_[[#This Row],[Tot Extrasalarial Eq]]</f>
        <v>#DIV/0!</v>
      </c>
      <c r="CC522" s="139" t="n">
        <f aca="false">DATOS_[[#This Row],[S.BASE]]</f>
        <v>0</v>
      </c>
      <c r="CD522" s="139" t="n">
        <f aca="false">+SUM(DATOS_[[#This Row],[Conc.Sal.01]:[Conc.Sal.30]])</f>
        <v>0</v>
      </c>
      <c r="CE522" s="139" t="n">
        <f aca="false">+DATOS_[[#This Row],[SALARIO BASE Ef]]+DATOS_[[#This Row],[Tot COMPL.SAL Ef]]</f>
        <v>0</v>
      </c>
      <c r="CF522" s="139" t="n">
        <f aca="false">+SUM(DATOS_[[#This Row],[C.Extra.01]:[C.Extra.05]])</f>
        <v>0</v>
      </c>
      <c r="CG522" s="139" t="n">
        <f aca="false">+DATOS_[[#This Row],[TOTAL SALARIO Ef]]+DATOS_[[#This Row],[Tot Extrasalarial Ef]]</f>
        <v>0</v>
      </c>
      <c r="CH522" s="140" t="n">
        <f aca="false">MIN(IF(DATOS_[[#This Row],[Fecha Fin Contrato]]="",$D$4,DATOS_[[#This Row],[Fecha Fin Contrato]]),$D$4)-MAX(DATOS_[[#This Row],[Fecha de Contratación]],$D$3)+1</f>
        <v>1</v>
      </c>
      <c r="CI522" s="141" t="str">
        <f aca="false">IF(COUNTIFS(DATOS_[id],DATOS_[[#This Row],[id]])&gt;1,DATOS_[[#This Row],[id]],"")</f>
        <v/>
      </c>
      <c r="CJ522" s="141" t="n">
        <f aca="false">(Inicio!$G$10-DATOS_[[#This Row],[Fecha Nacimiento]])/365.25</f>
        <v>0</v>
      </c>
      <c r="CK522" s="141" t="n">
        <f aca="false">(Inicio!$G$10-DATOS_[[#This Row],[Fecha de Antigüedad]])/365.25</f>
        <v>0</v>
      </c>
      <c r="CL522" s="141" t="e">
        <f aca="false">+VLOOKUP(DATOS_[[#This Row],[Clave de Contrato]],TblTiposContrato13[],3,0)</f>
        <v>#N/A</v>
      </c>
      <c r="CM522" s="141" t="e">
        <f aca="false">+VLOOKUP(DATOS_[[#This Row],[Clave de Contrato]],TblTiposContrato13[],4,0)</f>
        <v>#N/A</v>
      </c>
      <c r="CN522" s="141" t="str">
        <f aca="false">VLOOKUP(DATOS_[[#This Row],[Edad]],CONTRATOS!TblRngEdad,2,1)</f>
        <v>20  o menos</v>
      </c>
      <c r="CO522" s="141" t="str">
        <f aca="false">VLOOKUP(DATOS_[[#This Row],[Antigüedad]],TblRngAntg14[],2,1)</f>
        <v>0 a 1 años</v>
      </c>
    </row>
    <row r="523" customFormat="false" ht="13.8" hidden="false" customHeight="false" outlineLevel="0" collapsed="false">
      <c r="D523" s="128"/>
      <c r="E523" s="129"/>
      <c r="F523" s="129"/>
      <c r="G523" s="129"/>
      <c r="H523" s="130"/>
      <c r="I523" s="131"/>
      <c r="J523" s="128"/>
      <c r="K523" s="132"/>
      <c r="L523" s="132"/>
      <c r="M523" s="133"/>
      <c r="N523" s="133"/>
      <c r="O523" s="133"/>
      <c r="P523" s="129"/>
      <c r="Z523" s="75"/>
      <c r="AA523" s="76"/>
      <c r="AB523" s="76"/>
      <c r="AC523" s="129"/>
      <c r="AD523" s="134"/>
      <c r="AE523" s="134"/>
      <c r="AF523" s="134"/>
      <c r="AG523" s="134"/>
      <c r="AH523" s="134"/>
      <c r="AI523" s="134"/>
      <c r="AJ523" s="134"/>
      <c r="AK523" s="134"/>
      <c r="AL523" s="134"/>
      <c r="AM523" s="134"/>
      <c r="AN523" s="134"/>
      <c r="AO523" s="134"/>
      <c r="AP523" s="134"/>
      <c r="AQ523" s="134"/>
      <c r="AR523" s="134"/>
      <c r="AS523" s="134"/>
      <c r="AT523" s="134"/>
      <c r="AU523" s="134"/>
      <c r="AV523" s="134"/>
      <c r="AW523" s="134"/>
      <c r="AX523" s="134"/>
      <c r="AY523" s="134"/>
      <c r="AZ523" s="134"/>
      <c r="BA523" s="134"/>
      <c r="BB523" s="134"/>
      <c r="BC523" s="134"/>
      <c r="BD523" s="134"/>
      <c r="BE523" s="134"/>
      <c r="BF523" s="134"/>
      <c r="BG523" s="134"/>
      <c r="BH523" s="134"/>
      <c r="BI523" s="134"/>
      <c r="BJ523" s="134"/>
      <c r="BK523" s="134"/>
      <c r="BL523" s="134"/>
      <c r="BM523" s="135"/>
      <c r="BN523" s="136" t="n">
        <f aca="false">+MAX($D$3,DATOS_[[#This Row],[Fecha Inicio Sit. Contract.]])</f>
        <v>0</v>
      </c>
      <c r="BO523" s="136" t="n">
        <f aca="false">+MIN($D$4,DATOS_[[#This Row],[Fecha Fin Sit. Contract.]])</f>
        <v>0</v>
      </c>
      <c r="BP523" s="137" t="n">
        <f aca="false">+DATOS_[[#This Row],[% de jornada]]*IF(DATOS_[[#This Row],[% jornada reducida]]="",1,DATOS_[[#This Row],[% jornada reducida]])</f>
        <v>0</v>
      </c>
      <c r="BQ523" s="137" t="n">
        <f aca="false">+(DATOS_[[#This Row],[F.fin.cal]]-DATOS_[[#This Row],[F.ini.cal]]+1)/($D$4-$D$3+1)</f>
        <v>1</v>
      </c>
      <c r="BR523" s="137" t="str">
        <f aca="false">IF(OR(AND(DATOS_[[#This Row],[Fecha Fin Contrato]]&lt;$D$3,DATOS_[[#This Row],[Fecha Fin Contrato]]&lt;&gt;""),DATOS_[[#This Row],[Fecha de Contratación]]&gt;$D$4),"Fuera","Dentro")</f>
        <v>Dentro</v>
      </c>
      <c r="BS523" s="137" t="str">
        <f aca="false" t="array" ref="BS523:BS523">IF(MAX(IF(DATOS_[id]=DATOS_[[#This Row],[id]],DATOS_[F.fin.cal]))=DATOS_[[#This Row],[F.fin.cal]],"Sí","NO")</f>
        <v>Sí</v>
      </c>
      <c r="BT523" s="137" t="str">
        <f aca="false">IF(AND(DATOS_[[#This Row],[% normaliz]]&lt;&gt;1,DATOS_[[#This Row],[% anualiz]]=1),"Sí","NO")</f>
        <v>Sí</v>
      </c>
      <c r="BU523" s="137" t="str">
        <f aca="false">IF(AND(DATOS_[[#This Row],[% normaliz]]=1,DATOS_[[#This Row],[% anualiz]]&lt;&gt;1),"Sí","NO")</f>
        <v>NO</v>
      </c>
      <c r="BV523" s="137" t="str">
        <f aca="false">IF(AND(DATOS_[[#This Row],[% normaliz]]&lt;&gt;1,DATOS_[[#This Row],[% anualiz]]&lt;&gt;1),"Sí","NO")</f>
        <v>NO</v>
      </c>
      <c r="BW523" s="137" t="str">
        <f aca="false">+IF(DATOS_[[#This Row],[% normaliz]]*DATOS_[[#This Row],[% anualiz]]=1,"NO","Sí")</f>
        <v>Sí</v>
      </c>
      <c r="BX523" s="138" t="e">
        <f aca="false">(DATOS_[[#This Row],[S.BASE]]*(1/DATOS_[[#This Row],[% normaliz]])*(1/DATOS_[[#This Row],[% anualiz]]))*IF(DATOS_[[#This Row],[Check Equiparado]]="Sí",1,0)</f>
        <v>#DIV/0!</v>
      </c>
      <c r="BY5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3" s="138" t="e">
        <f aca="false">+DATOS_[[#This Row],[SALARIO BASE Eq]]+DATOS_[[#This Row],[Tot COMPL.SAL Eq]]</f>
        <v>#DIV/0!</v>
      </c>
      <c r="CA523" s="138" t="e">
        <f aca="false" t="array" ref="CA523:CA5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3" s="138" t="e">
        <f aca="false">+DATOS_[[#This Row],[TOTAL SALARIO Eq]]+DATOS_[[#This Row],[Tot Extrasalarial Eq]]</f>
        <v>#DIV/0!</v>
      </c>
      <c r="CC523" s="139" t="n">
        <f aca="false">DATOS_[[#This Row],[S.BASE]]</f>
        <v>0</v>
      </c>
      <c r="CD523" s="139" t="n">
        <f aca="false">+SUM(DATOS_[[#This Row],[Conc.Sal.01]:[Conc.Sal.30]])</f>
        <v>0</v>
      </c>
      <c r="CE523" s="139" t="n">
        <f aca="false">+DATOS_[[#This Row],[SALARIO BASE Ef]]+DATOS_[[#This Row],[Tot COMPL.SAL Ef]]</f>
        <v>0</v>
      </c>
      <c r="CF523" s="139" t="n">
        <f aca="false">+SUM(DATOS_[[#This Row],[C.Extra.01]:[C.Extra.05]])</f>
        <v>0</v>
      </c>
      <c r="CG523" s="139" t="n">
        <f aca="false">+DATOS_[[#This Row],[TOTAL SALARIO Ef]]+DATOS_[[#This Row],[Tot Extrasalarial Ef]]</f>
        <v>0</v>
      </c>
      <c r="CH523" s="140" t="n">
        <f aca="false">MIN(IF(DATOS_[[#This Row],[Fecha Fin Contrato]]="",$D$4,DATOS_[[#This Row],[Fecha Fin Contrato]]),$D$4)-MAX(DATOS_[[#This Row],[Fecha de Contratación]],$D$3)+1</f>
        <v>1</v>
      </c>
      <c r="CI523" s="141" t="str">
        <f aca="false">IF(COUNTIFS(DATOS_[id],DATOS_[[#This Row],[id]])&gt;1,DATOS_[[#This Row],[id]],"")</f>
        <v/>
      </c>
      <c r="CJ523" s="141" t="n">
        <f aca="false">(Inicio!$G$10-DATOS_[[#This Row],[Fecha Nacimiento]])/365.25</f>
        <v>0</v>
      </c>
      <c r="CK523" s="141" t="n">
        <f aca="false">(Inicio!$G$10-DATOS_[[#This Row],[Fecha de Antigüedad]])/365.25</f>
        <v>0</v>
      </c>
      <c r="CL523" s="141" t="e">
        <f aca="false">+VLOOKUP(DATOS_[[#This Row],[Clave de Contrato]],TblTiposContrato13[],3,0)</f>
        <v>#N/A</v>
      </c>
      <c r="CM523" s="141" t="e">
        <f aca="false">+VLOOKUP(DATOS_[[#This Row],[Clave de Contrato]],TblTiposContrato13[],4,0)</f>
        <v>#N/A</v>
      </c>
      <c r="CN523" s="141" t="str">
        <f aca="false">VLOOKUP(DATOS_[[#This Row],[Edad]],CONTRATOS!TblRngEdad,2,1)</f>
        <v>20  o menos</v>
      </c>
      <c r="CO523" s="141" t="str">
        <f aca="false">VLOOKUP(DATOS_[[#This Row],[Antigüedad]],TblRngAntg14[],2,1)</f>
        <v>0 a 1 años</v>
      </c>
    </row>
    <row r="524" customFormat="false" ht="13.8" hidden="false" customHeight="false" outlineLevel="0" collapsed="false">
      <c r="D524" s="128"/>
      <c r="E524" s="129"/>
      <c r="F524" s="129"/>
      <c r="G524" s="129"/>
      <c r="H524" s="130"/>
      <c r="I524" s="131"/>
      <c r="J524" s="128"/>
      <c r="K524" s="132"/>
      <c r="L524" s="132"/>
      <c r="M524" s="133"/>
      <c r="N524" s="133"/>
      <c r="O524" s="133"/>
      <c r="P524" s="129"/>
      <c r="Z524" s="75"/>
      <c r="AA524" s="76"/>
      <c r="AB524" s="76"/>
      <c r="AC524" s="129"/>
      <c r="AD524" s="134"/>
      <c r="AE524" s="134"/>
      <c r="AF524" s="134"/>
      <c r="AG524" s="134"/>
      <c r="AH524" s="134"/>
      <c r="AI524" s="134"/>
      <c r="AJ524" s="134"/>
      <c r="AK524" s="134"/>
      <c r="AL524" s="134"/>
      <c r="AM524" s="134"/>
      <c r="AN524" s="134"/>
      <c r="AO524" s="134"/>
      <c r="AP524" s="134"/>
      <c r="AQ524" s="134"/>
      <c r="AR524" s="134"/>
      <c r="AS524" s="134"/>
      <c r="AT524" s="134"/>
      <c r="AU524" s="134"/>
      <c r="AV524" s="134"/>
      <c r="AW524" s="134"/>
      <c r="AX524" s="134"/>
      <c r="AY524" s="134"/>
      <c r="AZ524" s="134"/>
      <c r="BA524" s="134"/>
      <c r="BB524" s="134"/>
      <c r="BC524" s="134"/>
      <c r="BD524" s="134"/>
      <c r="BE524" s="134"/>
      <c r="BF524" s="134"/>
      <c r="BG524" s="134"/>
      <c r="BH524" s="134"/>
      <c r="BI524" s="134"/>
      <c r="BJ524" s="134"/>
      <c r="BK524" s="134"/>
      <c r="BL524" s="134"/>
      <c r="BM524" s="135"/>
      <c r="BN524" s="136" t="n">
        <f aca="false">+MAX($D$3,DATOS_[[#This Row],[Fecha Inicio Sit. Contract.]])</f>
        <v>0</v>
      </c>
      <c r="BO524" s="136" t="n">
        <f aca="false">+MIN($D$4,DATOS_[[#This Row],[Fecha Fin Sit. Contract.]])</f>
        <v>0</v>
      </c>
      <c r="BP524" s="137" t="n">
        <f aca="false">+DATOS_[[#This Row],[% de jornada]]*IF(DATOS_[[#This Row],[% jornada reducida]]="",1,DATOS_[[#This Row],[% jornada reducida]])</f>
        <v>0</v>
      </c>
      <c r="BQ524" s="137" t="n">
        <f aca="false">+(DATOS_[[#This Row],[F.fin.cal]]-DATOS_[[#This Row],[F.ini.cal]]+1)/($D$4-$D$3+1)</f>
        <v>1</v>
      </c>
      <c r="BR524" s="137" t="str">
        <f aca="false">IF(OR(AND(DATOS_[[#This Row],[Fecha Fin Contrato]]&lt;$D$3,DATOS_[[#This Row],[Fecha Fin Contrato]]&lt;&gt;""),DATOS_[[#This Row],[Fecha de Contratación]]&gt;$D$4),"Fuera","Dentro")</f>
        <v>Dentro</v>
      </c>
      <c r="BS524" s="137" t="str">
        <f aca="false" t="array" ref="BS524:BS524">IF(MAX(IF(DATOS_[id]=DATOS_[[#This Row],[id]],DATOS_[F.fin.cal]))=DATOS_[[#This Row],[F.fin.cal]],"Sí","NO")</f>
        <v>Sí</v>
      </c>
      <c r="BT524" s="137" t="str">
        <f aca="false">IF(AND(DATOS_[[#This Row],[% normaliz]]&lt;&gt;1,DATOS_[[#This Row],[% anualiz]]=1),"Sí","NO")</f>
        <v>Sí</v>
      </c>
      <c r="BU524" s="137" t="str">
        <f aca="false">IF(AND(DATOS_[[#This Row],[% normaliz]]=1,DATOS_[[#This Row],[% anualiz]]&lt;&gt;1),"Sí","NO")</f>
        <v>NO</v>
      </c>
      <c r="BV524" s="137" t="str">
        <f aca="false">IF(AND(DATOS_[[#This Row],[% normaliz]]&lt;&gt;1,DATOS_[[#This Row],[% anualiz]]&lt;&gt;1),"Sí","NO")</f>
        <v>NO</v>
      </c>
      <c r="BW524" s="137" t="str">
        <f aca="false">+IF(DATOS_[[#This Row],[% normaliz]]*DATOS_[[#This Row],[% anualiz]]=1,"NO","Sí")</f>
        <v>Sí</v>
      </c>
      <c r="BX524" s="138" t="e">
        <f aca="false">(DATOS_[[#This Row],[S.BASE]]*(1/DATOS_[[#This Row],[% normaliz]])*(1/DATOS_[[#This Row],[% anualiz]]))*IF(DATOS_[[#This Row],[Check Equiparado]]="Sí",1,0)</f>
        <v>#DIV/0!</v>
      </c>
      <c r="BY5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4" s="138" t="e">
        <f aca="false">+DATOS_[[#This Row],[SALARIO BASE Eq]]+DATOS_[[#This Row],[Tot COMPL.SAL Eq]]</f>
        <v>#DIV/0!</v>
      </c>
      <c r="CA524" s="138" t="e">
        <f aca="false" t="array" ref="CA524:CA5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4" s="138" t="e">
        <f aca="false">+DATOS_[[#This Row],[TOTAL SALARIO Eq]]+DATOS_[[#This Row],[Tot Extrasalarial Eq]]</f>
        <v>#DIV/0!</v>
      </c>
      <c r="CC524" s="139" t="n">
        <f aca="false">DATOS_[[#This Row],[S.BASE]]</f>
        <v>0</v>
      </c>
      <c r="CD524" s="139" t="n">
        <f aca="false">+SUM(DATOS_[[#This Row],[Conc.Sal.01]:[Conc.Sal.30]])</f>
        <v>0</v>
      </c>
      <c r="CE524" s="139" t="n">
        <f aca="false">+DATOS_[[#This Row],[SALARIO BASE Ef]]+DATOS_[[#This Row],[Tot COMPL.SAL Ef]]</f>
        <v>0</v>
      </c>
      <c r="CF524" s="139" t="n">
        <f aca="false">+SUM(DATOS_[[#This Row],[C.Extra.01]:[C.Extra.05]])</f>
        <v>0</v>
      </c>
      <c r="CG524" s="139" t="n">
        <f aca="false">+DATOS_[[#This Row],[TOTAL SALARIO Ef]]+DATOS_[[#This Row],[Tot Extrasalarial Ef]]</f>
        <v>0</v>
      </c>
      <c r="CH524" s="140" t="n">
        <f aca="false">MIN(IF(DATOS_[[#This Row],[Fecha Fin Contrato]]="",$D$4,DATOS_[[#This Row],[Fecha Fin Contrato]]),$D$4)-MAX(DATOS_[[#This Row],[Fecha de Contratación]],$D$3)+1</f>
        <v>1</v>
      </c>
      <c r="CI524" s="141" t="str">
        <f aca="false">IF(COUNTIFS(DATOS_[id],DATOS_[[#This Row],[id]])&gt;1,DATOS_[[#This Row],[id]],"")</f>
        <v/>
      </c>
      <c r="CJ524" s="141" t="n">
        <f aca="false">(Inicio!$G$10-DATOS_[[#This Row],[Fecha Nacimiento]])/365.25</f>
        <v>0</v>
      </c>
      <c r="CK524" s="141" t="n">
        <f aca="false">(Inicio!$G$10-DATOS_[[#This Row],[Fecha de Antigüedad]])/365.25</f>
        <v>0</v>
      </c>
      <c r="CL524" s="141" t="e">
        <f aca="false">+VLOOKUP(DATOS_[[#This Row],[Clave de Contrato]],TblTiposContrato13[],3,0)</f>
        <v>#N/A</v>
      </c>
      <c r="CM524" s="141" t="e">
        <f aca="false">+VLOOKUP(DATOS_[[#This Row],[Clave de Contrato]],TblTiposContrato13[],4,0)</f>
        <v>#N/A</v>
      </c>
      <c r="CN524" s="141" t="str">
        <f aca="false">VLOOKUP(DATOS_[[#This Row],[Edad]],CONTRATOS!TblRngEdad,2,1)</f>
        <v>20  o menos</v>
      </c>
      <c r="CO524" s="141" t="str">
        <f aca="false">VLOOKUP(DATOS_[[#This Row],[Antigüedad]],TblRngAntg14[],2,1)</f>
        <v>0 a 1 años</v>
      </c>
    </row>
    <row r="525" customFormat="false" ht="13.8" hidden="false" customHeight="false" outlineLevel="0" collapsed="false">
      <c r="D525" s="128"/>
      <c r="E525" s="129"/>
      <c r="F525" s="129"/>
      <c r="G525" s="129"/>
      <c r="H525" s="130"/>
      <c r="I525" s="131"/>
      <c r="J525" s="128"/>
      <c r="K525" s="132"/>
      <c r="L525" s="132"/>
      <c r="M525" s="133"/>
      <c r="N525" s="133"/>
      <c r="O525" s="133"/>
      <c r="P525" s="129"/>
      <c r="Z525" s="75"/>
      <c r="AA525" s="76"/>
      <c r="AB525" s="76"/>
      <c r="AC525" s="129"/>
      <c r="AD525" s="134"/>
      <c r="AE525" s="134"/>
      <c r="AF525" s="134"/>
      <c r="AG525" s="134"/>
      <c r="AH525" s="134"/>
      <c r="AI525" s="134"/>
      <c r="AJ525" s="134"/>
      <c r="AK525" s="134"/>
      <c r="AL525" s="134"/>
      <c r="AM525" s="134"/>
      <c r="AN525" s="134"/>
      <c r="AO525" s="134"/>
      <c r="AP525" s="134"/>
      <c r="AQ525" s="134"/>
      <c r="AR525" s="134"/>
      <c r="AS525" s="134"/>
      <c r="AT525" s="134"/>
      <c r="AU525" s="134"/>
      <c r="AV525" s="134"/>
      <c r="AW525" s="134"/>
      <c r="AX525" s="134"/>
      <c r="AY525" s="134"/>
      <c r="AZ525" s="134"/>
      <c r="BA525" s="134"/>
      <c r="BB525" s="134"/>
      <c r="BC525" s="134"/>
      <c r="BD525" s="134"/>
      <c r="BE525" s="134"/>
      <c r="BF525" s="134"/>
      <c r="BG525" s="134"/>
      <c r="BH525" s="134"/>
      <c r="BI525" s="134"/>
      <c r="BJ525" s="134"/>
      <c r="BK525" s="134"/>
      <c r="BL525" s="134"/>
      <c r="BM525" s="135"/>
      <c r="BN525" s="136" t="n">
        <f aca="false">+MAX($D$3,DATOS_[[#This Row],[Fecha Inicio Sit. Contract.]])</f>
        <v>0</v>
      </c>
      <c r="BO525" s="136" t="n">
        <f aca="false">+MIN($D$4,DATOS_[[#This Row],[Fecha Fin Sit. Contract.]])</f>
        <v>0</v>
      </c>
      <c r="BP525" s="137" t="n">
        <f aca="false">+DATOS_[[#This Row],[% de jornada]]*IF(DATOS_[[#This Row],[% jornada reducida]]="",1,DATOS_[[#This Row],[% jornada reducida]])</f>
        <v>0</v>
      </c>
      <c r="BQ525" s="137" t="n">
        <f aca="false">+(DATOS_[[#This Row],[F.fin.cal]]-DATOS_[[#This Row],[F.ini.cal]]+1)/($D$4-$D$3+1)</f>
        <v>1</v>
      </c>
      <c r="BR525" s="137" t="str">
        <f aca="false">IF(OR(AND(DATOS_[[#This Row],[Fecha Fin Contrato]]&lt;$D$3,DATOS_[[#This Row],[Fecha Fin Contrato]]&lt;&gt;""),DATOS_[[#This Row],[Fecha de Contratación]]&gt;$D$4),"Fuera","Dentro")</f>
        <v>Dentro</v>
      </c>
      <c r="BS525" s="137" t="str">
        <f aca="false" t="array" ref="BS525:BS525">IF(MAX(IF(DATOS_[id]=DATOS_[[#This Row],[id]],DATOS_[F.fin.cal]))=DATOS_[[#This Row],[F.fin.cal]],"Sí","NO")</f>
        <v>Sí</v>
      </c>
      <c r="BT525" s="137" t="str">
        <f aca="false">IF(AND(DATOS_[[#This Row],[% normaliz]]&lt;&gt;1,DATOS_[[#This Row],[% anualiz]]=1),"Sí","NO")</f>
        <v>Sí</v>
      </c>
      <c r="BU525" s="137" t="str">
        <f aca="false">IF(AND(DATOS_[[#This Row],[% normaliz]]=1,DATOS_[[#This Row],[% anualiz]]&lt;&gt;1),"Sí","NO")</f>
        <v>NO</v>
      </c>
      <c r="BV525" s="137" t="str">
        <f aca="false">IF(AND(DATOS_[[#This Row],[% normaliz]]&lt;&gt;1,DATOS_[[#This Row],[% anualiz]]&lt;&gt;1),"Sí","NO")</f>
        <v>NO</v>
      </c>
      <c r="BW525" s="137" t="str">
        <f aca="false">+IF(DATOS_[[#This Row],[% normaliz]]*DATOS_[[#This Row],[% anualiz]]=1,"NO","Sí")</f>
        <v>Sí</v>
      </c>
      <c r="BX525" s="138" t="e">
        <f aca="false">(DATOS_[[#This Row],[S.BASE]]*(1/DATOS_[[#This Row],[% normaliz]])*(1/DATOS_[[#This Row],[% anualiz]]))*IF(DATOS_[[#This Row],[Check Equiparado]]="Sí",1,0)</f>
        <v>#DIV/0!</v>
      </c>
      <c r="BY5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5" s="138" t="e">
        <f aca="false">+DATOS_[[#This Row],[SALARIO BASE Eq]]+DATOS_[[#This Row],[Tot COMPL.SAL Eq]]</f>
        <v>#DIV/0!</v>
      </c>
      <c r="CA525" s="138" t="e">
        <f aca="false" t="array" ref="CA525:CA5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5" s="138" t="e">
        <f aca="false">+DATOS_[[#This Row],[TOTAL SALARIO Eq]]+DATOS_[[#This Row],[Tot Extrasalarial Eq]]</f>
        <v>#DIV/0!</v>
      </c>
      <c r="CC525" s="139" t="n">
        <f aca="false">DATOS_[[#This Row],[S.BASE]]</f>
        <v>0</v>
      </c>
      <c r="CD525" s="139" t="n">
        <f aca="false">+SUM(DATOS_[[#This Row],[Conc.Sal.01]:[Conc.Sal.30]])</f>
        <v>0</v>
      </c>
      <c r="CE525" s="139" t="n">
        <f aca="false">+DATOS_[[#This Row],[SALARIO BASE Ef]]+DATOS_[[#This Row],[Tot COMPL.SAL Ef]]</f>
        <v>0</v>
      </c>
      <c r="CF525" s="139" t="n">
        <f aca="false">+SUM(DATOS_[[#This Row],[C.Extra.01]:[C.Extra.05]])</f>
        <v>0</v>
      </c>
      <c r="CG525" s="139" t="n">
        <f aca="false">+DATOS_[[#This Row],[TOTAL SALARIO Ef]]+DATOS_[[#This Row],[Tot Extrasalarial Ef]]</f>
        <v>0</v>
      </c>
      <c r="CH525" s="140" t="n">
        <f aca="false">MIN(IF(DATOS_[[#This Row],[Fecha Fin Contrato]]="",$D$4,DATOS_[[#This Row],[Fecha Fin Contrato]]),$D$4)-MAX(DATOS_[[#This Row],[Fecha de Contratación]],$D$3)+1</f>
        <v>1</v>
      </c>
      <c r="CI525" s="141" t="str">
        <f aca="false">IF(COUNTIFS(DATOS_[id],DATOS_[[#This Row],[id]])&gt;1,DATOS_[[#This Row],[id]],"")</f>
        <v/>
      </c>
      <c r="CJ525" s="141" t="n">
        <f aca="false">(Inicio!$G$10-DATOS_[[#This Row],[Fecha Nacimiento]])/365.25</f>
        <v>0</v>
      </c>
      <c r="CK525" s="141" t="n">
        <f aca="false">(Inicio!$G$10-DATOS_[[#This Row],[Fecha de Antigüedad]])/365.25</f>
        <v>0</v>
      </c>
      <c r="CL525" s="141" t="e">
        <f aca="false">+VLOOKUP(DATOS_[[#This Row],[Clave de Contrato]],TblTiposContrato13[],3,0)</f>
        <v>#N/A</v>
      </c>
      <c r="CM525" s="141" t="e">
        <f aca="false">+VLOOKUP(DATOS_[[#This Row],[Clave de Contrato]],TblTiposContrato13[],4,0)</f>
        <v>#N/A</v>
      </c>
      <c r="CN525" s="141" t="str">
        <f aca="false">VLOOKUP(DATOS_[[#This Row],[Edad]],CONTRATOS!TblRngEdad,2,1)</f>
        <v>20  o menos</v>
      </c>
      <c r="CO525" s="141" t="str">
        <f aca="false">VLOOKUP(DATOS_[[#This Row],[Antigüedad]],TblRngAntg14[],2,1)</f>
        <v>0 a 1 años</v>
      </c>
    </row>
    <row r="526" customFormat="false" ht="13.8" hidden="false" customHeight="false" outlineLevel="0" collapsed="false">
      <c r="D526" s="128"/>
      <c r="E526" s="129"/>
      <c r="F526" s="129"/>
      <c r="G526" s="129"/>
      <c r="H526" s="130"/>
      <c r="I526" s="131"/>
      <c r="J526" s="128"/>
      <c r="K526" s="132"/>
      <c r="L526" s="132"/>
      <c r="M526" s="133"/>
      <c r="N526" s="133"/>
      <c r="O526" s="133"/>
      <c r="P526" s="129"/>
      <c r="Z526" s="75"/>
      <c r="AA526" s="76"/>
      <c r="AB526" s="76"/>
      <c r="AC526" s="129"/>
      <c r="AD526" s="134"/>
      <c r="AE526" s="134"/>
      <c r="AF526" s="134"/>
      <c r="AG526" s="134"/>
      <c r="AH526" s="134"/>
      <c r="AI526" s="134"/>
      <c r="AJ526" s="134"/>
      <c r="AK526" s="134"/>
      <c r="AL526" s="134"/>
      <c r="AM526" s="134"/>
      <c r="AN526" s="134"/>
      <c r="AO526" s="134"/>
      <c r="AP526" s="134"/>
      <c r="AQ526" s="134"/>
      <c r="AR526" s="134"/>
      <c r="AS526" s="134"/>
      <c r="AT526" s="134"/>
      <c r="AU526" s="134"/>
      <c r="AV526" s="134"/>
      <c r="AW526" s="134"/>
      <c r="AX526" s="134"/>
      <c r="AY526" s="134"/>
      <c r="AZ526" s="134"/>
      <c r="BA526" s="134"/>
      <c r="BB526" s="134"/>
      <c r="BC526" s="134"/>
      <c r="BD526" s="134"/>
      <c r="BE526" s="134"/>
      <c r="BF526" s="134"/>
      <c r="BG526" s="134"/>
      <c r="BH526" s="134"/>
      <c r="BI526" s="134"/>
      <c r="BJ526" s="134"/>
      <c r="BK526" s="134"/>
      <c r="BL526" s="134"/>
      <c r="BM526" s="135"/>
      <c r="BN526" s="136" t="n">
        <f aca="false">+MAX($D$3,DATOS_[[#This Row],[Fecha Inicio Sit. Contract.]])</f>
        <v>0</v>
      </c>
      <c r="BO526" s="136" t="n">
        <f aca="false">+MIN($D$4,DATOS_[[#This Row],[Fecha Fin Sit. Contract.]])</f>
        <v>0</v>
      </c>
      <c r="BP526" s="137" t="n">
        <f aca="false">+DATOS_[[#This Row],[% de jornada]]*IF(DATOS_[[#This Row],[% jornada reducida]]="",1,DATOS_[[#This Row],[% jornada reducida]])</f>
        <v>0</v>
      </c>
      <c r="BQ526" s="137" t="n">
        <f aca="false">+(DATOS_[[#This Row],[F.fin.cal]]-DATOS_[[#This Row],[F.ini.cal]]+1)/($D$4-$D$3+1)</f>
        <v>1</v>
      </c>
      <c r="BR526" s="137" t="str">
        <f aca="false">IF(OR(AND(DATOS_[[#This Row],[Fecha Fin Contrato]]&lt;$D$3,DATOS_[[#This Row],[Fecha Fin Contrato]]&lt;&gt;""),DATOS_[[#This Row],[Fecha de Contratación]]&gt;$D$4),"Fuera","Dentro")</f>
        <v>Dentro</v>
      </c>
      <c r="BS526" s="137" t="str">
        <f aca="false" t="array" ref="BS526:BS526">IF(MAX(IF(DATOS_[id]=DATOS_[[#This Row],[id]],DATOS_[F.fin.cal]))=DATOS_[[#This Row],[F.fin.cal]],"Sí","NO")</f>
        <v>Sí</v>
      </c>
      <c r="BT526" s="137" t="str">
        <f aca="false">IF(AND(DATOS_[[#This Row],[% normaliz]]&lt;&gt;1,DATOS_[[#This Row],[% anualiz]]=1),"Sí","NO")</f>
        <v>Sí</v>
      </c>
      <c r="BU526" s="137" t="str">
        <f aca="false">IF(AND(DATOS_[[#This Row],[% normaliz]]=1,DATOS_[[#This Row],[% anualiz]]&lt;&gt;1),"Sí","NO")</f>
        <v>NO</v>
      </c>
      <c r="BV526" s="137" t="str">
        <f aca="false">IF(AND(DATOS_[[#This Row],[% normaliz]]&lt;&gt;1,DATOS_[[#This Row],[% anualiz]]&lt;&gt;1),"Sí","NO")</f>
        <v>NO</v>
      </c>
      <c r="BW526" s="137" t="str">
        <f aca="false">+IF(DATOS_[[#This Row],[% normaliz]]*DATOS_[[#This Row],[% anualiz]]=1,"NO","Sí")</f>
        <v>Sí</v>
      </c>
      <c r="BX526" s="138" t="e">
        <f aca="false">(DATOS_[[#This Row],[S.BASE]]*(1/DATOS_[[#This Row],[% normaliz]])*(1/DATOS_[[#This Row],[% anualiz]]))*IF(DATOS_[[#This Row],[Check Equiparado]]="Sí",1,0)</f>
        <v>#DIV/0!</v>
      </c>
      <c r="BY5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6" s="138" t="e">
        <f aca="false">+DATOS_[[#This Row],[SALARIO BASE Eq]]+DATOS_[[#This Row],[Tot COMPL.SAL Eq]]</f>
        <v>#DIV/0!</v>
      </c>
      <c r="CA526" s="138" t="e">
        <f aca="false" t="array" ref="CA526:CA5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6" s="138" t="e">
        <f aca="false">+DATOS_[[#This Row],[TOTAL SALARIO Eq]]+DATOS_[[#This Row],[Tot Extrasalarial Eq]]</f>
        <v>#DIV/0!</v>
      </c>
      <c r="CC526" s="139" t="n">
        <f aca="false">DATOS_[[#This Row],[S.BASE]]</f>
        <v>0</v>
      </c>
      <c r="CD526" s="139" t="n">
        <f aca="false">+SUM(DATOS_[[#This Row],[Conc.Sal.01]:[Conc.Sal.30]])</f>
        <v>0</v>
      </c>
      <c r="CE526" s="139" t="n">
        <f aca="false">+DATOS_[[#This Row],[SALARIO BASE Ef]]+DATOS_[[#This Row],[Tot COMPL.SAL Ef]]</f>
        <v>0</v>
      </c>
      <c r="CF526" s="139" t="n">
        <f aca="false">+SUM(DATOS_[[#This Row],[C.Extra.01]:[C.Extra.05]])</f>
        <v>0</v>
      </c>
      <c r="CG526" s="139" t="n">
        <f aca="false">+DATOS_[[#This Row],[TOTAL SALARIO Ef]]+DATOS_[[#This Row],[Tot Extrasalarial Ef]]</f>
        <v>0</v>
      </c>
      <c r="CH526" s="140" t="n">
        <f aca="false">MIN(IF(DATOS_[[#This Row],[Fecha Fin Contrato]]="",$D$4,DATOS_[[#This Row],[Fecha Fin Contrato]]),$D$4)-MAX(DATOS_[[#This Row],[Fecha de Contratación]],$D$3)+1</f>
        <v>1</v>
      </c>
      <c r="CI526" s="141" t="str">
        <f aca="false">IF(COUNTIFS(DATOS_[id],DATOS_[[#This Row],[id]])&gt;1,DATOS_[[#This Row],[id]],"")</f>
        <v/>
      </c>
      <c r="CJ526" s="141" t="n">
        <f aca="false">(Inicio!$G$10-DATOS_[[#This Row],[Fecha Nacimiento]])/365.25</f>
        <v>0</v>
      </c>
      <c r="CK526" s="141" t="n">
        <f aca="false">(Inicio!$G$10-DATOS_[[#This Row],[Fecha de Antigüedad]])/365.25</f>
        <v>0</v>
      </c>
      <c r="CL526" s="141" t="e">
        <f aca="false">+VLOOKUP(DATOS_[[#This Row],[Clave de Contrato]],TblTiposContrato13[],3,0)</f>
        <v>#N/A</v>
      </c>
      <c r="CM526" s="141" t="e">
        <f aca="false">+VLOOKUP(DATOS_[[#This Row],[Clave de Contrato]],TblTiposContrato13[],4,0)</f>
        <v>#N/A</v>
      </c>
      <c r="CN526" s="141" t="str">
        <f aca="false">VLOOKUP(DATOS_[[#This Row],[Edad]],CONTRATOS!TblRngEdad,2,1)</f>
        <v>20  o menos</v>
      </c>
      <c r="CO526" s="141" t="str">
        <f aca="false">VLOOKUP(DATOS_[[#This Row],[Antigüedad]],TblRngAntg14[],2,1)</f>
        <v>0 a 1 años</v>
      </c>
    </row>
    <row r="527" customFormat="false" ht="13.8" hidden="false" customHeight="false" outlineLevel="0" collapsed="false">
      <c r="D527" s="128"/>
      <c r="E527" s="129"/>
      <c r="F527" s="129"/>
      <c r="G527" s="129"/>
      <c r="H527" s="130"/>
      <c r="I527" s="131"/>
      <c r="J527" s="128"/>
      <c r="K527" s="132"/>
      <c r="L527" s="132"/>
      <c r="M527" s="133"/>
      <c r="N527" s="133"/>
      <c r="O527" s="133"/>
      <c r="P527" s="129"/>
      <c r="Z527" s="75"/>
      <c r="AA527" s="76"/>
      <c r="AB527" s="76"/>
      <c r="AC527" s="129"/>
      <c r="AD527" s="134"/>
      <c r="AE527" s="134"/>
      <c r="AF527" s="134"/>
      <c r="AG527" s="134"/>
      <c r="AH527" s="134"/>
      <c r="AI527" s="134"/>
      <c r="AJ527" s="134"/>
      <c r="AK527" s="134"/>
      <c r="AL527" s="134"/>
      <c r="AM527" s="134"/>
      <c r="AN527" s="134"/>
      <c r="AO527" s="134"/>
      <c r="AP527" s="134"/>
      <c r="AQ527" s="134"/>
      <c r="AR527" s="134"/>
      <c r="AS527" s="134"/>
      <c r="AT527" s="134"/>
      <c r="AU527" s="134"/>
      <c r="AV527" s="134"/>
      <c r="AW527" s="134"/>
      <c r="AX527" s="134"/>
      <c r="AY527" s="134"/>
      <c r="AZ527" s="134"/>
      <c r="BA527" s="134"/>
      <c r="BB527" s="134"/>
      <c r="BC527" s="134"/>
      <c r="BD527" s="134"/>
      <c r="BE527" s="134"/>
      <c r="BF527" s="134"/>
      <c r="BG527" s="134"/>
      <c r="BH527" s="134"/>
      <c r="BI527" s="134"/>
      <c r="BJ527" s="134"/>
      <c r="BK527" s="134"/>
      <c r="BL527" s="134"/>
      <c r="BM527" s="135"/>
      <c r="BN527" s="136" t="n">
        <f aca="false">+MAX($D$3,DATOS_[[#This Row],[Fecha Inicio Sit. Contract.]])</f>
        <v>0</v>
      </c>
      <c r="BO527" s="136" t="n">
        <f aca="false">+MIN($D$4,DATOS_[[#This Row],[Fecha Fin Sit. Contract.]])</f>
        <v>0</v>
      </c>
      <c r="BP527" s="137" t="n">
        <f aca="false">+DATOS_[[#This Row],[% de jornada]]*IF(DATOS_[[#This Row],[% jornada reducida]]="",1,DATOS_[[#This Row],[% jornada reducida]])</f>
        <v>0</v>
      </c>
      <c r="BQ527" s="137" t="n">
        <f aca="false">+(DATOS_[[#This Row],[F.fin.cal]]-DATOS_[[#This Row],[F.ini.cal]]+1)/($D$4-$D$3+1)</f>
        <v>1</v>
      </c>
      <c r="BR527" s="137" t="str">
        <f aca="false">IF(OR(AND(DATOS_[[#This Row],[Fecha Fin Contrato]]&lt;$D$3,DATOS_[[#This Row],[Fecha Fin Contrato]]&lt;&gt;""),DATOS_[[#This Row],[Fecha de Contratación]]&gt;$D$4),"Fuera","Dentro")</f>
        <v>Dentro</v>
      </c>
      <c r="BS527" s="137" t="str">
        <f aca="false" t="array" ref="BS527:BS527">IF(MAX(IF(DATOS_[id]=DATOS_[[#This Row],[id]],DATOS_[F.fin.cal]))=DATOS_[[#This Row],[F.fin.cal]],"Sí","NO")</f>
        <v>Sí</v>
      </c>
      <c r="BT527" s="137" t="str">
        <f aca="false">IF(AND(DATOS_[[#This Row],[% normaliz]]&lt;&gt;1,DATOS_[[#This Row],[% anualiz]]=1),"Sí","NO")</f>
        <v>Sí</v>
      </c>
      <c r="BU527" s="137" t="str">
        <f aca="false">IF(AND(DATOS_[[#This Row],[% normaliz]]=1,DATOS_[[#This Row],[% anualiz]]&lt;&gt;1),"Sí","NO")</f>
        <v>NO</v>
      </c>
      <c r="BV527" s="137" t="str">
        <f aca="false">IF(AND(DATOS_[[#This Row],[% normaliz]]&lt;&gt;1,DATOS_[[#This Row],[% anualiz]]&lt;&gt;1),"Sí","NO")</f>
        <v>NO</v>
      </c>
      <c r="BW527" s="137" t="str">
        <f aca="false">+IF(DATOS_[[#This Row],[% normaliz]]*DATOS_[[#This Row],[% anualiz]]=1,"NO","Sí")</f>
        <v>Sí</v>
      </c>
      <c r="BX527" s="138" t="e">
        <f aca="false">(DATOS_[[#This Row],[S.BASE]]*(1/DATOS_[[#This Row],[% normaliz]])*(1/DATOS_[[#This Row],[% anualiz]]))*IF(DATOS_[[#This Row],[Check Equiparado]]="Sí",1,0)</f>
        <v>#DIV/0!</v>
      </c>
      <c r="BY5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7" s="138" t="e">
        <f aca="false">+DATOS_[[#This Row],[SALARIO BASE Eq]]+DATOS_[[#This Row],[Tot COMPL.SAL Eq]]</f>
        <v>#DIV/0!</v>
      </c>
      <c r="CA527" s="138" t="e">
        <f aca="false" t="array" ref="CA527:CA5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7" s="138" t="e">
        <f aca="false">+DATOS_[[#This Row],[TOTAL SALARIO Eq]]+DATOS_[[#This Row],[Tot Extrasalarial Eq]]</f>
        <v>#DIV/0!</v>
      </c>
      <c r="CC527" s="139" t="n">
        <f aca="false">DATOS_[[#This Row],[S.BASE]]</f>
        <v>0</v>
      </c>
      <c r="CD527" s="139" t="n">
        <f aca="false">+SUM(DATOS_[[#This Row],[Conc.Sal.01]:[Conc.Sal.30]])</f>
        <v>0</v>
      </c>
      <c r="CE527" s="139" t="n">
        <f aca="false">+DATOS_[[#This Row],[SALARIO BASE Ef]]+DATOS_[[#This Row],[Tot COMPL.SAL Ef]]</f>
        <v>0</v>
      </c>
      <c r="CF527" s="139" t="n">
        <f aca="false">+SUM(DATOS_[[#This Row],[C.Extra.01]:[C.Extra.05]])</f>
        <v>0</v>
      </c>
      <c r="CG527" s="139" t="n">
        <f aca="false">+DATOS_[[#This Row],[TOTAL SALARIO Ef]]+DATOS_[[#This Row],[Tot Extrasalarial Ef]]</f>
        <v>0</v>
      </c>
      <c r="CH527" s="140" t="n">
        <f aca="false">MIN(IF(DATOS_[[#This Row],[Fecha Fin Contrato]]="",$D$4,DATOS_[[#This Row],[Fecha Fin Contrato]]),$D$4)-MAX(DATOS_[[#This Row],[Fecha de Contratación]],$D$3)+1</f>
        <v>1</v>
      </c>
      <c r="CI527" s="141" t="str">
        <f aca="false">IF(COUNTIFS(DATOS_[id],DATOS_[[#This Row],[id]])&gt;1,DATOS_[[#This Row],[id]],"")</f>
        <v/>
      </c>
      <c r="CJ527" s="141" t="n">
        <f aca="false">(Inicio!$G$10-DATOS_[[#This Row],[Fecha Nacimiento]])/365.25</f>
        <v>0</v>
      </c>
      <c r="CK527" s="141" t="n">
        <f aca="false">(Inicio!$G$10-DATOS_[[#This Row],[Fecha de Antigüedad]])/365.25</f>
        <v>0</v>
      </c>
      <c r="CL527" s="141" t="e">
        <f aca="false">+VLOOKUP(DATOS_[[#This Row],[Clave de Contrato]],TblTiposContrato13[],3,0)</f>
        <v>#N/A</v>
      </c>
      <c r="CM527" s="141" t="e">
        <f aca="false">+VLOOKUP(DATOS_[[#This Row],[Clave de Contrato]],TblTiposContrato13[],4,0)</f>
        <v>#N/A</v>
      </c>
      <c r="CN527" s="141" t="str">
        <f aca="false">VLOOKUP(DATOS_[[#This Row],[Edad]],CONTRATOS!TblRngEdad,2,1)</f>
        <v>20  o menos</v>
      </c>
      <c r="CO527" s="141" t="str">
        <f aca="false">VLOOKUP(DATOS_[[#This Row],[Antigüedad]],TblRngAntg14[],2,1)</f>
        <v>0 a 1 años</v>
      </c>
    </row>
    <row r="528" customFormat="false" ht="13.8" hidden="false" customHeight="false" outlineLevel="0" collapsed="false">
      <c r="D528" s="128"/>
      <c r="E528" s="129"/>
      <c r="F528" s="129"/>
      <c r="G528" s="129"/>
      <c r="H528" s="130"/>
      <c r="I528" s="131"/>
      <c r="J528" s="128"/>
      <c r="K528" s="132"/>
      <c r="L528" s="132"/>
      <c r="M528" s="133"/>
      <c r="N528" s="133"/>
      <c r="O528" s="133"/>
      <c r="P528" s="129"/>
      <c r="Z528" s="75"/>
      <c r="AA528" s="76"/>
      <c r="AB528" s="76"/>
      <c r="AC528" s="129"/>
      <c r="AD528" s="134"/>
      <c r="AE528" s="134"/>
      <c r="AF528" s="134"/>
      <c r="AG528" s="134"/>
      <c r="AH528" s="134"/>
      <c r="AI528" s="134"/>
      <c r="AJ528" s="134"/>
      <c r="AK528" s="134"/>
      <c r="AL528" s="134"/>
      <c r="AM528" s="134"/>
      <c r="AN528" s="134"/>
      <c r="AO528" s="134"/>
      <c r="AP528" s="134"/>
      <c r="AQ528" s="134"/>
      <c r="AR528" s="134"/>
      <c r="AS528" s="134"/>
      <c r="AT528" s="134"/>
      <c r="AU528" s="134"/>
      <c r="AV528" s="134"/>
      <c r="AW528" s="134"/>
      <c r="AX528" s="134"/>
      <c r="AY528" s="134"/>
      <c r="AZ528" s="134"/>
      <c r="BA528" s="134"/>
      <c r="BB528" s="134"/>
      <c r="BC528" s="134"/>
      <c r="BD528" s="134"/>
      <c r="BE528" s="134"/>
      <c r="BF528" s="134"/>
      <c r="BG528" s="134"/>
      <c r="BH528" s="134"/>
      <c r="BI528" s="134"/>
      <c r="BJ528" s="134"/>
      <c r="BK528" s="134"/>
      <c r="BL528" s="134"/>
      <c r="BM528" s="135"/>
      <c r="BN528" s="136" t="n">
        <f aca="false">+MAX($D$3,DATOS_[[#This Row],[Fecha Inicio Sit. Contract.]])</f>
        <v>0</v>
      </c>
      <c r="BO528" s="136" t="n">
        <f aca="false">+MIN($D$4,DATOS_[[#This Row],[Fecha Fin Sit. Contract.]])</f>
        <v>0</v>
      </c>
      <c r="BP528" s="137" t="n">
        <f aca="false">+DATOS_[[#This Row],[% de jornada]]*IF(DATOS_[[#This Row],[% jornada reducida]]="",1,DATOS_[[#This Row],[% jornada reducida]])</f>
        <v>0</v>
      </c>
      <c r="BQ528" s="137" t="n">
        <f aca="false">+(DATOS_[[#This Row],[F.fin.cal]]-DATOS_[[#This Row],[F.ini.cal]]+1)/($D$4-$D$3+1)</f>
        <v>1</v>
      </c>
      <c r="BR528" s="137" t="str">
        <f aca="false">IF(OR(AND(DATOS_[[#This Row],[Fecha Fin Contrato]]&lt;$D$3,DATOS_[[#This Row],[Fecha Fin Contrato]]&lt;&gt;""),DATOS_[[#This Row],[Fecha de Contratación]]&gt;$D$4),"Fuera","Dentro")</f>
        <v>Dentro</v>
      </c>
      <c r="BS528" s="137" t="str">
        <f aca="false" t="array" ref="BS528:BS528">IF(MAX(IF(DATOS_[id]=DATOS_[[#This Row],[id]],DATOS_[F.fin.cal]))=DATOS_[[#This Row],[F.fin.cal]],"Sí","NO")</f>
        <v>Sí</v>
      </c>
      <c r="BT528" s="137" t="str">
        <f aca="false">IF(AND(DATOS_[[#This Row],[% normaliz]]&lt;&gt;1,DATOS_[[#This Row],[% anualiz]]=1),"Sí","NO")</f>
        <v>Sí</v>
      </c>
      <c r="BU528" s="137" t="str">
        <f aca="false">IF(AND(DATOS_[[#This Row],[% normaliz]]=1,DATOS_[[#This Row],[% anualiz]]&lt;&gt;1),"Sí","NO")</f>
        <v>NO</v>
      </c>
      <c r="BV528" s="137" t="str">
        <f aca="false">IF(AND(DATOS_[[#This Row],[% normaliz]]&lt;&gt;1,DATOS_[[#This Row],[% anualiz]]&lt;&gt;1),"Sí","NO")</f>
        <v>NO</v>
      </c>
      <c r="BW528" s="137" t="str">
        <f aca="false">+IF(DATOS_[[#This Row],[% normaliz]]*DATOS_[[#This Row],[% anualiz]]=1,"NO","Sí")</f>
        <v>Sí</v>
      </c>
      <c r="BX528" s="138" t="e">
        <f aca="false">(DATOS_[[#This Row],[S.BASE]]*(1/DATOS_[[#This Row],[% normaliz]])*(1/DATOS_[[#This Row],[% anualiz]]))*IF(DATOS_[[#This Row],[Check Equiparado]]="Sí",1,0)</f>
        <v>#DIV/0!</v>
      </c>
      <c r="BY5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8" s="138" t="e">
        <f aca="false">+DATOS_[[#This Row],[SALARIO BASE Eq]]+DATOS_[[#This Row],[Tot COMPL.SAL Eq]]</f>
        <v>#DIV/0!</v>
      </c>
      <c r="CA528" s="138" t="e">
        <f aca="false" t="array" ref="CA528:CA5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8" s="138" t="e">
        <f aca="false">+DATOS_[[#This Row],[TOTAL SALARIO Eq]]+DATOS_[[#This Row],[Tot Extrasalarial Eq]]</f>
        <v>#DIV/0!</v>
      </c>
      <c r="CC528" s="139" t="n">
        <f aca="false">DATOS_[[#This Row],[S.BASE]]</f>
        <v>0</v>
      </c>
      <c r="CD528" s="139" t="n">
        <f aca="false">+SUM(DATOS_[[#This Row],[Conc.Sal.01]:[Conc.Sal.30]])</f>
        <v>0</v>
      </c>
      <c r="CE528" s="139" t="n">
        <f aca="false">+DATOS_[[#This Row],[SALARIO BASE Ef]]+DATOS_[[#This Row],[Tot COMPL.SAL Ef]]</f>
        <v>0</v>
      </c>
      <c r="CF528" s="139" t="n">
        <f aca="false">+SUM(DATOS_[[#This Row],[C.Extra.01]:[C.Extra.05]])</f>
        <v>0</v>
      </c>
      <c r="CG528" s="139" t="n">
        <f aca="false">+DATOS_[[#This Row],[TOTAL SALARIO Ef]]+DATOS_[[#This Row],[Tot Extrasalarial Ef]]</f>
        <v>0</v>
      </c>
      <c r="CH528" s="140" t="n">
        <f aca="false">MIN(IF(DATOS_[[#This Row],[Fecha Fin Contrato]]="",$D$4,DATOS_[[#This Row],[Fecha Fin Contrato]]),$D$4)-MAX(DATOS_[[#This Row],[Fecha de Contratación]],$D$3)+1</f>
        <v>1</v>
      </c>
      <c r="CI528" s="141" t="str">
        <f aca="false">IF(COUNTIFS(DATOS_[id],DATOS_[[#This Row],[id]])&gt;1,DATOS_[[#This Row],[id]],"")</f>
        <v/>
      </c>
      <c r="CJ528" s="141" t="n">
        <f aca="false">(Inicio!$G$10-DATOS_[[#This Row],[Fecha Nacimiento]])/365.25</f>
        <v>0</v>
      </c>
      <c r="CK528" s="141" t="n">
        <f aca="false">(Inicio!$G$10-DATOS_[[#This Row],[Fecha de Antigüedad]])/365.25</f>
        <v>0</v>
      </c>
      <c r="CL528" s="141" t="e">
        <f aca="false">+VLOOKUP(DATOS_[[#This Row],[Clave de Contrato]],TblTiposContrato13[],3,0)</f>
        <v>#N/A</v>
      </c>
      <c r="CM528" s="141" t="e">
        <f aca="false">+VLOOKUP(DATOS_[[#This Row],[Clave de Contrato]],TblTiposContrato13[],4,0)</f>
        <v>#N/A</v>
      </c>
      <c r="CN528" s="141" t="str">
        <f aca="false">VLOOKUP(DATOS_[[#This Row],[Edad]],CONTRATOS!TblRngEdad,2,1)</f>
        <v>20  o menos</v>
      </c>
      <c r="CO528" s="141" t="str">
        <f aca="false">VLOOKUP(DATOS_[[#This Row],[Antigüedad]],TblRngAntg14[],2,1)</f>
        <v>0 a 1 años</v>
      </c>
    </row>
    <row r="529" customFormat="false" ht="13.8" hidden="false" customHeight="false" outlineLevel="0" collapsed="false">
      <c r="D529" s="128"/>
      <c r="E529" s="129"/>
      <c r="F529" s="129"/>
      <c r="G529" s="129"/>
      <c r="H529" s="130"/>
      <c r="I529" s="131"/>
      <c r="J529" s="128"/>
      <c r="K529" s="132"/>
      <c r="L529" s="132"/>
      <c r="M529" s="133"/>
      <c r="N529" s="133"/>
      <c r="O529" s="133"/>
      <c r="P529" s="129"/>
      <c r="Z529" s="75"/>
      <c r="AA529" s="76"/>
      <c r="AB529" s="76"/>
      <c r="AC529" s="129"/>
      <c r="AD529" s="134"/>
      <c r="AE529" s="134"/>
      <c r="AF529" s="134"/>
      <c r="AG529" s="134"/>
      <c r="AH529" s="134"/>
      <c r="AI529" s="134"/>
      <c r="AJ529" s="134"/>
      <c r="AK529" s="134"/>
      <c r="AL529" s="134"/>
      <c r="AM529" s="134"/>
      <c r="AN529" s="134"/>
      <c r="AO529" s="134"/>
      <c r="AP529" s="134"/>
      <c r="AQ529" s="134"/>
      <c r="AR529" s="134"/>
      <c r="AS529" s="134"/>
      <c r="AT529" s="134"/>
      <c r="AU529" s="134"/>
      <c r="AV529" s="134"/>
      <c r="AW529" s="134"/>
      <c r="AX529" s="134"/>
      <c r="AY529" s="134"/>
      <c r="AZ529" s="134"/>
      <c r="BA529" s="134"/>
      <c r="BB529" s="134"/>
      <c r="BC529" s="134"/>
      <c r="BD529" s="134"/>
      <c r="BE529" s="134"/>
      <c r="BF529" s="134"/>
      <c r="BG529" s="134"/>
      <c r="BH529" s="134"/>
      <c r="BI529" s="134"/>
      <c r="BJ529" s="134"/>
      <c r="BK529" s="134"/>
      <c r="BL529" s="134"/>
      <c r="BM529" s="135"/>
      <c r="BN529" s="136" t="n">
        <f aca="false">+MAX($D$3,DATOS_[[#This Row],[Fecha Inicio Sit. Contract.]])</f>
        <v>0</v>
      </c>
      <c r="BO529" s="136" t="n">
        <f aca="false">+MIN($D$4,DATOS_[[#This Row],[Fecha Fin Sit. Contract.]])</f>
        <v>0</v>
      </c>
      <c r="BP529" s="137" t="n">
        <f aca="false">+DATOS_[[#This Row],[% de jornada]]*IF(DATOS_[[#This Row],[% jornada reducida]]="",1,DATOS_[[#This Row],[% jornada reducida]])</f>
        <v>0</v>
      </c>
      <c r="BQ529" s="137" t="n">
        <f aca="false">+(DATOS_[[#This Row],[F.fin.cal]]-DATOS_[[#This Row],[F.ini.cal]]+1)/($D$4-$D$3+1)</f>
        <v>1</v>
      </c>
      <c r="BR529" s="137" t="str">
        <f aca="false">IF(OR(AND(DATOS_[[#This Row],[Fecha Fin Contrato]]&lt;$D$3,DATOS_[[#This Row],[Fecha Fin Contrato]]&lt;&gt;""),DATOS_[[#This Row],[Fecha de Contratación]]&gt;$D$4),"Fuera","Dentro")</f>
        <v>Dentro</v>
      </c>
      <c r="BS529" s="137" t="str">
        <f aca="false" t="array" ref="BS529:BS529">IF(MAX(IF(DATOS_[id]=DATOS_[[#This Row],[id]],DATOS_[F.fin.cal]))=DATOS_[[#This Row],[F.fin.cal]],"Sí","NO")</f>
        <v>Sí</v>
      </c>
      <c r="BT529" s="137" t="str">
        <f aca="false">IF(AND(DATOS_[[#This Row],[% normaliz]]&lt;&gt;1,DATOS_[[#This Row],[% anualiz]]=1),"Sí","NO")</f>
        <v>Sí</v>
      </c>
      <c r="BU529" s="137" t="str">
        <f aca="false">IF(AND(DATOS_[[#This Row],[% normaliz]]=1,DATOS_[[#This Row],[% anualiz]]&lt;&gt;1),"Sí","NO")</f>
        <v>NO</v>
      </c>
      <c r="BV529" s="137" t="str">
        <f aca="false">IF(AND(DATOS_[[#This Row],[% normaliz]]&lt;&gt;1,DATOS_[[#This Row],[% anualiz]]&lt;&gt;1),"Sí","NO")</f>
        <v>NO</v>
      </c>
      <c r="BW529" s="137" t="str">
        <f aca="false">+IF(DATOS_[[#This Row],[% normaliz]]*DATOS_[[#This Row],[% anualiz]]=1,"NO","Sí")</f>
        <v>Sí</v>
      </c>
      <c r="BX529" s="138" t="e">
        <f aca="false">(DATOS_[[#This Row],[S.BASE]]*(1/DATOS_[[#This Row],[% normaliz]])*(1/DATOS_[[#This Row],[% anualiz]]))*IF(DATOS_[[#This Row],[Check Equiparado]]="Sí",1,0)</f>
        <v>#DIV/0!</v>
      </c>
      <c r="BY5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9" s="138" t="e">
        <f aca="false">+DATOS_[[#This Row],[SALARIO BASE Eq]]+DATOS_[[#This Row],[Tot COMPL.SAL Eq]]</f>
        <v>#DIV/0!</v>
      </c>
      <c r="CA529" s="138" t="e">
        <f aca="false" t="array" ref="CA529:CA5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9" s="138" t="e">
        <f aca="false">+DATOS_[[#This Row],[TOTAL SALARIO Eq]]+DATOS_[[#This Row],[Tot Extrasalarial Eq]]</f>
        <v>#DIV/0!</v>
      </c>
      <c r="CC529" s="139" t="n">
        <f aca="false">DATOS_[[#This Row],[S.BASE]]</f>
        <v>0</v>
      </c>
      <c r="CD529" s="139" t="n">
        <f aca="false">+SUM(DATOS_[[#This Row],[Conc.Sal.01]:[Conc.Sal.30]])</f>
        <v>0</v>
      </c>
      <c r="CE529" s="139" t="n">
        <f aca="false">+DATOS_[[#This Row],[SALARIO BASE Ef]]+DATOS_[[#This Row],[Tot COMPL.SAL Ef]]</f>
        <v>0</v>
      </c>
      <c r="CF529" s="139" t="n">
        <f aca="false">+SUM(DATOS_[[#This Row],[C.Extra.01]:[C.Extra.05]])</f>
        <v>0</v>
      </c>
      <c r="CG529" s="139" t="n">
        <f aca="false">+DATOS_[[#This Row],[TOTAL SALARIO Ef]]+DATOS_[[#This Row],[Tot Extrasalarial Ef]]</f>
        <v>0</v>
      </c>
      <c r="CH529" s="140" t="n">
        <f aca="false">MIN(IF(DATOS_[[#This Row],[Fecha Fin Contrato]]="",$D$4,DATOS_[[#This Row],[Fecha Fin Contrato]]),$D$4)-MAX(DATOS_[[#This Row],[Fecha de Contratación]],$D$3)+1</f>
        <v>1</v>
      </c>
      <c r="CI529" s="141" t="str">
        <f aca="false">IF(COUNTIFS(DATOS_[id],DATOS_[[#This Row],[id]])&gt;1,DATOS_[[#This Row],[id]],"")</f>
        <v/>
      </c>
      <c r="CJ529" s="141" t="n">
        <f aca="false">(Inicio!$G$10-DATOS_[[#This Row],[Fecha Nacimiento]])/365.25</f>
        <v>0</v>
      </c>
      <c r="CK529" s="141" t="n">
        <f aca="false">(Inicio!$G$10-DATOS_[[#This Row],[Fecha de Antigüedad]])/365.25</f>
        <v>0</v>
      </c>
      <c r="CL529" s="141" t="e">
        <f aca="false">+VLOOKUP(DATOS_[[#This Row],[Clave de Contrato]],TblTiposContrato13[],3,0)</f>
        <v>#N/A</v>
      </c>
      <c r="CM529" s="141" t="e">
        <f aca="false">+VLOOKUP(DATOS_[[#This Row],[Clave de Contrato]],TblTiposContrato13[],4,0)</f>
        <v>#N/A</v>
      </c>
      <c r="CN529" s="141" t="str">
        <f aca="false">VLOOKUP(DATOS_[[#This Row],[Edad]],CONTRATOS!TblRngEdad,2,1)</f>
        <v>20  o menos</v>
      </c>
      <c r="CO529" s="141" t="str">
        <f aca="false">VLOOKUP(DATOS_[[#This Row],[Antigüedad]],TblRngAntg14[],2,1)</f>
        <v>0 a 1 años</v>
      </c>
    </row>
    <row r="530" customFormat="false" ht="13.8" hidden="false" customHeight="false" outlineLevel="0" collapsed="false">
      <c r="D530" s="128"/>
      <c r="E530" s="129"/>
      <c r="F530" s="129"/>
      <c r="G530" s="129"/>
      <c r="H530" s="130"/>
      <c r="I530" s="131"/>
      <c r="J530" s="128"/>
      <c r="K530" s="132"/>
      <c r="L530" s="132"/>
      <c r="M530" s="133"/>
      <c r="N530" s="133"/>
      <c r="O530" s="133"/>
      <c r="P530" s="129"/>
      <c r="Z530" s="75"/>
      <c r="AA530" s="76"/>
      <c r="AB530" s="76"/>
      <c r="AC530" s="129"/>
      <c r="AD530" s="134"/>
      <c r="AE530" s="134"/>
      <c r="AF530" s="134"/>
      <c r="AG530" s="134"/>
      <c r="AH530" s="134"/>
      <c r="AI530" s="134"/>
      <c r="AJ530" s="134"/>
      <c r="AK530" s="134"/>
      <c r="AL530" s="134"/>
      <c r="AM530" s="134"/>
      <c r="AN530" s="134"/>
      <c r="AO530" s="134"/>
      <c r="AP530" s="134"/>
      <c r="AQ530" s="134"/>
      <c r="AR530" s="134"/>
      <c r="AS530" s="134"/>
      <c r="AT530" s="134"/>
      <c r="AU530" s="134"/>
      <c r="AV530" s="134"/>
      <c r="AW530" s="134"/>
      <c r="AX530" s="134"/>
      <c r="AY530" s="134"/>
      <c r="AZ530" s="134"/>
      <c r="BA530" s="134"/>
      <c r="BB530" s="134"/>
      <c r="BC530" s="134"/>
      <c r="BD530" s="134"/>
      <c r="BE530" s="134"/>
      <c r="BF530" s="134"/>
      <c r="BG530" s="134"/>
      <c r="BH530" s="134"/>
      <c r="BI530" s="134"/>
      <c r="BJ530" s="134"/>
      <c r="BK530" s="134"/>
      <c r="BL530" s="134"/>
      <c r="BM530" s="135"/>
      <c r="BN530" s="136" t="n">
        <f aca="false">+MAX($D$3,DATOS_[[#This Row],[Fecha Inicio Sit. Contract.]])</f>
        <v>0</v>
      </c>
      <c r="BO530" s="136" t="n">
        <f aca="false">+MIN($D$4,DATOS_[[#This Row],[Fecha Fin Sit. Contract.]])</f>
        <v>0</v>
      </c>
      <c r="BP530" s="137" t="n">
        <f aca="false">+DATOS_[[#This Row],[% de jornada]]*IF(DATOS_[[#This Row],[% jornada reducida]]="",1,DATOS_[[#This Row],[% jornada reducida]])</f>
        <v>0</v>
      </c>
      <c r="BQ530" s="137" t="n">
        <f aca="false">+(DATOS_[[#This Row],[F.fin.cal]]-DATOS_[[#This Row],[F.ini.cal]]+1)/($D$4-$D$3+1)</f>
        <v>1</v>
      </c>
      <c r="BR530" s="137" t="str">
        <f aca="false">IF(OR(AND(DATOS_[[#This Row],[Fecha Fin Contrato]]&lt;$D$3,DATOS_[[#This Row],[Fecha Fin Contrato]]&lt;&gt;""),DATOS_[[#This Row],[Fecha de Contratación]]&gt;$D$4),"Fuera","Dentro")</f>
        <v>Dentro</v>
      </c>
      <c r="BS530" s="137" t="str">
        <f aca="false" t="array" ref="BS530:BS530">IF(MAX(IF(DATOS_[id]=DATOS_[[#This Row],[id]],DATOS_[F.fin.cal]))=DATOS_[[#This Row],[F.fin.cal]],"Sí","NO")</f>
        <v>Sí</v>
      </c>
      <c r="BT530" s="137" t="str">
        <f aca="false">IF(AND(DATOS_[[#This Row],[% normaliz]]&lt;&gt;1,DATOS_[[#This Row],[% anualiz]]=1),"Sí","NO")</f>
        <v>Sí</v>
      </c>
      <c r="BU530" s="137" t="str">
        <f aca="false">IF(AND(DATOS_[[#This Row],[% normaliz]]=1,DATOS_[[#This Row],[% anualiz]]&lt;&gt;1),"Sí","NO")</f>
        <v>NO</v>
      </c>
      <c r="BV530" s="137" t="str">
        <f aca="false">IF(AND(DATOS_[[#This Row],[% normaliz]]&lt;&gt;1,DATOS_[[#This Row],[% anualiz]]&lt;&gt;1),"Sí","NO")</f>
        <v>NO</v>
      </c>
      <c r="BW530" s="137" t="str">
        <f aca="false">+IF(DATOS_[[#This Row],[% normaliz]]*DATOS_[[#This Row],[% anualiz]]=1,"NO","Sí")</f>
        <v>Sí</v>
      </c>
      <c r="BX530" s="138" t="e">
        <f aca="false">(DATOS_[[#This Row],[S.BASE]]*(1/DATOS_[[#This Row],[% normaliz]])*(1/DATOS_[[#This Row],[% anualiz]]))*IF(DATOS_[[#This Row],[Check Equiparado]]="Sí",1,0)</f>
        <v>#DIV/0!</v>
      </c>
      <c r="BY5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0" s="138" t="e">
        <f aca="false">+DATOS_[[#This Row],[SALARIO BASE Eq]]+DATOS_[[#This Row],[Tot COMPL.SAL Eq]]</f>
        <v>#DIV/0!</v>
      </c>
      <c r="CA530" s="138" t="e">
        <f aca="false" t="array" ref="CA530:CA5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0" s="138" t="e">
        <f aca="false">+DATOS_[[#This Row],[TOTAL SALARIO Eq]]+DATOS_[[#This Row],[Tot Extrasalarial Eq]]</f>
        <v>#DIV/0!</v>
      </c>
      <c r="CC530" s="139" t="n">
        <f aca="false">DATOS_[[#This Row],[S.BASE]]</f>
        <v>0</v>
      </c>
      <c r="CD530" s="139" t="n">
        <f aca="false">+SUM(DATOS_[[#This Row],[Conc.Sal.01]:[Conc.Sal.30]])</f>
        <v>0</v>
      </c>
      <c r="CE530" s="139" t="n">
        <f aca="false">+DATOS_[[#This Row],[SALARIO BASE Ef]]+DATOS_[[#This Row],[Tot COMPL.SAL Ef]]</f>
        <v>0</v>
      </c>
      <c r="CF530" s="139" t="n">
        <f aca="false">+SUM(DATOS_[[#This Row],[C.Extra.01]:[C.Extra.05]])</f>
        <v>0</v>
      </c>
      <c r="CG530" s="139" t="n">
        <f aca="false">+DATOS_[[#This Row],[TOTAL SALARIO Ef]]+DATOS_[[#This Row],[Tot Extrasalarial Ef]]</f>
        <v>0</v>
      </c>
      <c r="CH530" s="140" t="n">
        <f aca="false">MIN(IF(DATOS_[[#This Row],[Fecha Fin Contrato]]="",$D$4,DATOS_[[#This Row],[Fecha Fin Contrato]]),$D$4)-MAX(DATOS_[[#This Row],[Fecha de Contratación]],$D$3)+1</f>
        <v>1</v>
      </c>
      <c r="CI530" s="141" t="str">
        <f aca="false">IF(COUNTIFS(DATOS_[id],DATOS_[[#This Row],[id]])&gt;1,DATOS_[[#This Row],[id]],"")</f>
        <v/>
      </c>
      <c r="CJ530" s="141" t="n">
        <f aca="false">(Inicio!$G$10-DATOS_[[#This Row],[Fecha Nacimiento]])/365.25</f>
        <v>0</v>
      </c>
      <c r="CK530" s="141" t="n">
        <f aca="false">(Inicio!$G$10-DATOS_[[#This Row],[Fecha de Antigüedad]])/365.25</f>
        <v>0</v>
      </c>
      <c r="CL530" s="141" t="e">
        <f aca="false">+VLOOKUP(DATOS_[[#This Row],[Clave de Contrato]],TblTiposContrato13[],3,0)</f>
        <v>#N/A</v>
      </c>
      <c r="CM530" s="141" t="e">
        <f aca="false">+VLOOKUP(DATOS_[[#This Row],[Clave de Contrato]],TblTiposContrato13[],4,0)</f>
        <v>#N/A</v>
      </c>
      <c r="CN530" s="141" t="str">
        <f aca="false">VLOOKUP(DATOS_[[#This Row],[Edad]],CONTRATOS!TblRngEdad,2,1)</f>
        <v>20  o menos</v>
      </c>
      <c r="CO530" s="141" t="str">
        <f aca="false">VLOOKUP(DATOS_[[#This Row],[Antigüedad]],TblRngAntg14[],2,1)</f>
        <v>0 a 1 años</v>
      </c>
    </row>
    <row r="531" customFormat="false" ht="13.8" hidden="false" customHeight="false" outlineLevel="0" collapsed="false">
      <c r="D531" s="128"/>
      <c r="E531" s="129"/>
      <c r="F531" s="129"/>
      <c r="G531" s="129"/>
      <c r="H531" s="130"/>
      <c r="I531" s="131"/>
      <c r="J531" s="128"/>
      <c r="K531" s="132"/>
      <c r="L531" s="132"/>
      <c r="M531" s="133"/>
      <c r="N531" s="133"/>
      <c r="O531" s="133"/>
      <c r="P531" s="129"/>
      <c r="Z531" s="75"/>
      <c r="AA531" s="76"/>
      <c r="AB531" s="76"/>
      <c r="AC531" s="129"/>
      <c r="AD531" s="134"/>
      <c r="AE531" s="134"/>
      <c r="AF531" s="134"/>
      <c r="AG531" s="134"/>
      <c r="AH531" s="134"/>
      <c r="AI531" s="134"/>
      <c r="AJ531" s="134"/>
      <c r="AK531" s="134"/>
      <c r="AL531" s="134"/>
      <c r="AM531" s="134"/>
      <c r="AN531" s="134"/>
      <c r="AO531" s="134"/>
      <c r="AP531" s="134"/>
      <c r="AQ531" s="134"/>
      <c r="AR531" s="134"/>
      <c r="AS531" s="134"/>
      <c r="AT531" s="134"/>
      <c r="AU531" s="134"/>
      <c r="AV531" s="134"/>
      <c r="AW531" s="134"/>
      <c r="AX531" s="134"/>
      <c r="AY531" s="134"/>
      <c r="AZ531" s="134"/>
      <c r="BA531" s="134"/>
      <c r="BB531" s="134"/>
      <c r="BC531" s="134"/>
      <c r="BD531" s="134"/>
      <c r="BE531" s="134"/>
      <c r="BF531" s="134"/>
      <c r="BG531" s="134"/>
      <c r="BH531" s="134"/>
      <c r="BI531" s="134"/>
      <c r="BJ531" s="134"/>
      <c r="BK531" s="134"/>
      <c r="BL531" s="134"/>
      <c r="BM531" s="135"/>
      <c r="BN531" s="136" t="n">
        <f aca="false">+MAX($D$3,DATOS_[[#This Row],[Fecha Inicio Sit. Contract.]])</f>
        <v>0</v>
      </c>
      <c r="BO531" s="136" t="n">
        <f aca="false">+MIN($D$4,DATOS_[[#This Row],[Fecha Fin Sit. Contract.]])</f>
        <v>0</v>
      </c>
      <c r="BP531" s="137" t="n">
        <f aca="false">+DATOS_[[#This Row],[% de jornada]]*IF(DATOS_[[#This Row],[% jornada reducida]]="",1,DATOS_[[#This Row],[% jornada reducida]])</f>
        <v>0</v>
      </c>
      <c r="BQ531" s="137" t="n">
        <f aca="false">+(DATOS_[[#This Row],[F.fin.cal]]-DATOS_[[#This Row],[F.ini.cal]]+1)/($D$4-$D$3+1)</f>
        <v>1</v>
      </c>
      <c r="BR531" s="137" t="str">
        <f aca="false">IF(OR(AND(DATOS_[[#This Row],[Fecha Fin Contrato]]&lt;$D$3,DATOS_[[#This Row],[Fecha Fin Contrato]]&lt;&gt;""),DATOS_[[#This Row],[Fecha de Contratación]]&gt;$D$4),"Fuera","Dentro")</f>
        <v>Dentro</v>
      </c>
      <c r="BS531" s="137" t="str">
        <f aca="false" t="array" ref="BS531:BS531">IF(MAX(IF(DATOS_[id]=DATOS_[[#This Row],[id]],DATOS_[F.fin.cal]))=DATOS_[[#This Row],[F.fin.cal]],"Sí","NO")</f>
        <v>Sí</v>
      </c>
      <c r="BT531" s="137" t="str">
        <f aca="false">IF(AND(DATOS_[[#This Row],[% normaliz]]&lt;&gt;1,DATOS_[[#This Row],[% anualiz]]=1),"Sí","NO")</f>
        <v>Sí</v>
      </c>
      <c r="BU531" s="137" t="str">
        <f aca="false">IF(AND(DATOS_[[#This Row],[% normaliz]]=1,DATOS_[[#This Row],[% anualiz]]&lt;&gt;1),"Sí","NO")</f>
        <v>NO</v>
      </c>
      <c r="BV531" s="137" t="str">
        <f aca="false">IF(AND(DATOS_[[#This Row],[% normaliz]]&lt;&gt;1,DATOS_[[#This Row],[% anualiz]]&lt;&gt;1),"Sí","NO")</f>
        <v>NO</v>
      </c>
      <c r="BW531" s="137" t="str">
        <f aca="false">+IF(DATOS_[[#This Row],[% normaliz]]*DATOS_[[#This Row],[% anualiz]]=1,"NO","Sí")</f>
        <v>Sí</v>
      </c>
      <c r="BX531" s="138" t="e">
        <f aca="false">(DATOS_[[#This Row],[S.BASE]]*(1/DATOS_[[#This Row],[% normaliz]])*(1/DATOS_[[#This Row],[% anualiz]]))*IF(DATOS_[[#This Row],[Check Equiparado]]="Sí",1,0)</f>
        <v>#DIV/0!</v>
      </c>
      <c r="BY5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1" s="138" t="e">
        <f aca="false">+DATOS_[[#This Row],[SALARIO BASE Eq]]+DATOS_[[#This Row],[Tot COMPL.SAL Eq]]</f>
        <v>#DIV/0!</v>
      </c>
      <c r="CA531" s="138" t="e">
        <f aca="false" t="array" ref="CA531:CA5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1" s="138" t="e">
        <f aca="false">+DATOS_[[#This Row],[TOTAL SALARIO Eq]]+DATOS_[[#This Row],[Tot Extrasalarial Eq]]</f>
        <v>#DIV/0!</v>
      </c>
      <c r="CC531" s="139" t="n">
        <f aca="false">DATOS_[[#This Row],[S.BASE]]</f>
        <v>0</v>
      </c>
      <c r="CD531" s="139" t="n">
        <f aca="false">+SUM(DATOS_[[#This Row],[Conc.Sal.01]:[Conc.Sal.30]])</f>
        <v>0</v>
      </c>
      <c r="CE531" s="139" t="n">
        <f aca="false">+DATOS_[[#This Row],[SALARIO BASE Ef]]+DATOS_[[#This Row],[Tot COMPL.SAL Ef]]</f>
        <v>0</v>
      </c>
      <c r="CF531" s="139" t="n">
        <f aca="false">+SUM(DATOS_[[#This Row],[C.Extra.01]:[C.Extra.05]])</f>
        <v>0</v>
      </c>
      <c r="CG531" s="139" t="n">
        <f aca="false">+DATOS_[[#This Row],[TOTAL SALARIO Ef]]+DATOS_[[#This Row],[Tot Extrasalarial Ef]]</f>
        <v>0</v>
      </c>
      <c r="CH531" s="140" t="n">
        <f aca="false">MIN(IF(DATOS_[[#This Row],[Fecha Fin Contrato]]="",$D$4,DATOS_[[#This Row],[Fecha Fin Contrato]]),$D$4)-MAX(DATOS_[[#This Row],[Fecha de Contratación]],$D$3)+1</f>
        <v>1</v>
      </c>
      <c r="CI531" s="141" t="str">
        <f aca="false">IF(COUNTIFS(DATOS_[id],DATOS_[[#This Row],[id]])&gt;1,DATOS_[[#This Row],[id]],"")</f>
        <v/>
      </c>
      <c r="CJ531" s="141" t="n">
        <f aca="false">(Inicio!$G$10-DATOS_[[#This Row],[Fecha Nacimiento]])/365.25</f>
        <v>0</v>
      </c>
      <c r="CK531" s="141" t="n">
        <f aca="false">(Inicio!$G$10-DATOS_[[#This Row],[Fecha de Antigüedad]])/365.25</f>
        <v>0</v>
      </c>
      <c r="CL531" s="141" t="e">
        <f aca="false">+VLOOKUP(DATOS_[[#This Row],[Clave de Contrato]],TblTiposContrato13[],3,0)</f>
        <v>#N/A</v>
      </c>
      <c r="CM531" s="141" t="e">
        <f aca="false">+VLOOKUP(DATOS_[[#This Row],[Clave de Contrato]],TblTiposContrato13[],4,0)</f>
        <v>#N/A</v>
      </c>
      <c r="CN531" s="141" t="str">
        <f aca="false">VLOOKUP(DATOS_[[#This Row],[Edad]],CONTRATOS!TblRngEdad,2,1)</f>
        <v>20  o menos</v>
      </c>
      <c r="CO531" s="141" t="str">
        <f aca="false">VLOOKUP(DATOS_[[#This Row],[Antigüedad]],TblRngAntg14[],2,1)</f>
        <v>0 a 1 años</v>
      </c>
    </row>
    <row r="532" customFormat="false" ht="13.8" hidden="false" customHeight="false" outlineLevel="0" collapsed="false">
      <c r="D532" s="128"/>
      <c r="E532" s="129"/>
      <c r="F532" s="129"/>
      <c r="G532" s="129"/>
      <c r="H532" s="130"/>
      <c r="I532" s="131"/>
      <c r="J532" s="128"/>
      <c r="K532" s="132"/>
      <c r="L532" s="132"/>
      <c r="M532" s="133"/>
      <c r="N532" s="133"/>
      <c r="O532" s="133"/>
      <c r="P532" s="129"/>
      <c r="Z532" s="75"/>
      <c r="AA532" s="76"/>
      <c r="AB532" s="76"/>
      <c r="AC532" s="129"/>
      <c r="AD532" s="134"/>
      <c r="AE532" s="134"/>
      <c r="AF532" s="134"/>
      <c r="AG532" s="134"/>
      <c r="AH532" s="134"/>
      <c r="AI532" s="134"/>
      <c r="AJ532" s="134"/>
      <c r="AK532" s="134"/>
      <c r="AL532" s="134"/>
      <c r="AM532" s="134"/>
      <c r="AN532" s="134"/>
      <c r="AO532" s="134"/>
      <c r="AP532" s="134"/>
      <c r="AQ532" s="134"/>
      <c r="AR532" s="134"/>
      <c r="AS532" s="134"/>
      <c r="AT532" s="134"/>
      <c r="AU532" s="134"/>
      <c r="AV532" s="134"/>
      <c r="AW532" s="134"/>
      <c r="AX532" s="134"/>
      <c r="AY532" s="134"/>
      <c r="AZ532" s="134"/>
      <c r="BA532" s="134"/>
      <c r="BB532" s="134"/>
      <c r="BC532" s="134"/>
      <c r="BD532" s="134"/>
      <c r="BE532" s="134"/>
      <c r="BF532" s="134"/>
      <c r="BG532" s="134"/>
      <c r="BH532" s="134"/>
      <c r="BI532" s="134"/>
      <c r="BJ532" s="134"/>
      <c r="BK532" s="134"/>
      <c r="BL532" s="134"/>
      <c r="BM532" s="135"/>
      <c r="BN532" s="136" t="n">
        <f aca="false">+MAX($D$3,DATOS_[[#This Row],[Fecha Inicio Sit. Contract.]])</f>
        <v>0</v>
      </c>
      <c r="BO532" s="136" t="n">
        <f aca="false">+MIN($D$4,DATOS_[[#This Row],[Fecha Fin Sit. Contract.]])</f>
        <v>0</v>
      </c>
      <c r="BP532" s="137" t="n">
        <f aca="false">+DATOS_[[#This Row],[% de jornada]]*IF(DATOS_[[#This Row],[% jornada reducida]]="",1,DATOS_[[#This Row],[% jornada reducida]])</f>
        <v>0</v>
      </c>
      <c r="BQ532" s="137" t="n">
        <f aca="false">+(DATOS_[[#This Row],[F.fin.cal]]-DATOS_[[#This Row],[F.ini.cal]]+1)/($D$4-$D$3+1)</f>
        <v>1</v>
      </c>
      <c r="BR532" s="137" t="str">
        <f aca="false">IF(OR(AND(DATOS_[[#This Row],[Fecha Fin Contrato]]&lt;$D$3,DATOS_[[#This Row],[Fecha Fin Contrato]]&lt;&gt;""),DATOS_[[#This Row],[Fecha de Contratación]]&gt;$D$4),"Fuera","Dentro")</f>
        <v>Dentro</v>
      </c>
      <c r="BS532" s="137" t="str">
        <f aca="false" t="array" ref="BS532:BS532">IF(MAX(IF(DATOS_[id]=DATOS_[[#This Row],[id]],DATOS_[F.fin.cal]))=DATOS_[[#This Row],[F.fin.cal]],"Sí","NO")</f>
        <v>Sí</v>
      </c>
      <c r="BT532" s="137" t="str">
        <f aca="false">IF(AND(DATOS_[[#This Row],[% normaliz]]&lt;&gt;1,DATOS_[[#This Row],[% anualiz]]=1),"Sí","NO")</f>
        <v>Sí</v>
      </c>
      <c r="BU532" s="137" t="str">
        <f aca="false">IF(AND(DATOS_[[#This Row],[% normaliz]]=1,DATOS_[[#This Row],[% anualiz]]&lt;&gt;1),"Sí","NO")</f>
        <v>NO</v>
      </c>
      <c r="BV532" s="137" t="str">
        <f aca="false">IF(AND(DATOS_[[#This Row],[% normaliz]]&lt;&gt;1,DATOS_[[#This Row],[% anualiz]]&lt;&gt;1),"Sí","NO")</f>
        <v>NO</v>
      </c>
      <c r="BW532" s="137" t="str">
        <f aca="false">+IF(DATOS_[[#This Row],[% normaliz]]*DATOS_[[#This Row],[% anualiz]]=1,"NO","Sí")</f>
        <v>Sí</v>
      </c>
      <c r="BX532" s="138" t="e">
        <f aca="false">(DATOS_[[#This Row],[S.BASE]]*(1/DATOS_[[#This Row],[% normaliz]])*(1/DATOS_[[#This Row],[% anualiz]]))*IF(DATOS_[[#This Row],[Check Equiparado]]="Sí",1,0)</f>
        <v>#DIV/0!</v>
      </c>
      <c r="BY5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2" s="138" t="e">
        <f aca="false">+DATOS_[[#This Row],[SALARIO BASE Eq]]+DATOS_[[#This Row],[Tot COMPL.SAL Eq]]</f>
        <v>#DIV/0!</v>
      </c>
      <c r="CA532" s="138" t="e">
        <f aca="false" t="array" ref="CA532:CA5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2" s="138" t="e">
        <f aca="false">+DATOS_[[#This Row],[TOTAL SALARIO Eq]]+DATOS_[[#This Row],[Tot Extrasalarial Eq]]</f>
        <v>#DIV/0!</v>
      </c>
      <c r="CC532" s="139" t="n">
        <f aca="false">DATOS_[[#This Row],[S.BASE]]</f>
        <v>0</v>
      </c>
      <c r="CD532" s="139" t="n">
        <f aca="false">+SUM(DATOS_[[#This Row],[Conc.Sal.01]:[Conc.Sal.30]])</f>
        <v>0</v>
      </c>
      <c r="CE532" s="139" t="n">
        <f aca="false">+DATOS_[[#This Row],[SALARIO BASE Ef]]+DATOS_[[#This Row],[Tot COMPL.SAL Ef]]</f>
        <v>0</v>
      </c>
      <c r="CF532" s="139" t="n">
        <f aca="false">+SUM(DATOS_[[#This Row],[C.Extra.01]:[C.Extra.05]])</f>
        <v>0</v>
      </c>
      <c r="CG532" s="139" t="n">
        <f aca="false">+DATOS_[[#This Row],[TOTAL SALARIO Ef]]+DATOS_[[#This Row],[Tot Extrasalarial Ef]]</f>
        <v>0</v>
      </c>
      <c r="CH532" s="140" t="n">
        <f aca="false">MIN(IF(DATOS_[[#This Row],[Fecha Fin Contrato]]="",$D$4,DATOS_[[#This Row],[Fecha Fin Contrato]]),$D$4)-MAX(DATOS_[[#This Row],[Fecha de Contratación]],$D$3)+1</f>
        <v>1</v>
      </c>
      <c r="CI532" s="141" t="str">
        <f aca="false">IF(COUNTIFS(DATOS_[id],DATOS_[[#This Row],[id]])&gt;1,DATOS_[[#This Row],[id]],"")</f>
        <v/>
      </c>
      <c r="CJ532" s="141" t="n">
        <f aca="false">(Inicio!$G$10-DATOS_[[#This Row],[Fecha Nacimiento]])/365.25</f>
        <v>0</v>
      </c>
      <c r="CK532" s="141" t="n">
        <f aca="false">(Inicio!$G$10-DATOS_[[#This Row],[Fecha de Antigüedad]])/365.25</f>
        <v>0</v>
      </c>
      <c r="CL532" s="141" t="e">
        <f aca="false">+VLOOKUP(DATOS_[[#This Row],[Clave de Contrato]],TblTiposContrato13[],3,0)</f>
        <v>#N/A</v>
      </c>
      <c r="CM532" s="141" t="e">
        <f aca="false">+VLOOKUP(DATOS_[[#This Row],[Clave de Contrato]],TblTiposContrato13[],4,0)</f>
        <v>#N/A</v>
      </c>
      <c r="CN532" s="141" t="str">
        <f aca="false">VLOOKUP(DATOS_[[#This Row],[Edad]],CONTRATOS!TblRngEdad,2,1)</f>
        <v>20  o menos</v>
      </c>
      <c r="CO532" s="141" t="str">
        <f aca="false">VLOOKUP(DATOS_[[#This Row],[Antigüedad]],TblRngAntg14[],2,1)</f>
        <v>0 a 1 años</v>
      </c>
    </row>
    <row r="533" customFormat="false" ht="13.8" hidden="false" customHeight="false" outlineLevel="0" collapsed="false">
      <c r="D533" s="128"/>
      <c r="E533" s="129"/>
      <c r="F533" s="129"/>
      <c r="G533" s="129"/>
      <c r="H533" s="130"/>
      <c r="I533" s="131"/>
      <c r="J533" s="128"/>
      <c r="K533" s="132"/>
      <c r="L533" s="132"/>
      <c r="M533" s="133"/>
      <c r="N533" s="133"/>
      <c r="O533" s="133"/>
      <c r="P533" s="129"/>
      <c r="Z533" s="75"/>
      <c r="AA533" s="76"/>
      <c r="AB533" s="76"/>
      <c r="AC533" s="129"/>
      <c r="AD533" s="134"/>
      <c r="AE533" s="134"/>
      <c r="AF533" s="134"/>
      <c r="AG533" s="134"/>
      <c r="AH533" s="134"/>
      <c r="AI533" s="134"/>
      <c r="AJ533" s="134"/>
      <c r="AK533" s="134"/>
      <c r="AL533" s="134"/>
      <c r="AM533" s="134"/>
      <c r="AN533" s="134"/>
      <c r="AO533" s="134"/>
      <c r="AP533" s="134"/>
      <c r="AQ533" s="134"/>
      <c r="AR533" s="134"/>
      <c r="AS533" s="134"/>
      <c r="AT533" s="134"/>
      <c r="AU533" s="134"/>
      <c r="AV533" s="134"/>
      <c r="AW533" s="134"/>
      <c r="AX533" s="134"/>
      <c r="AY533" s="134"/>
      <c r="AZ533" s="134"/>
      <c r="BA533" s="134"/>
      <c r="BB533" s="134"/>
      <c r="BC533" s="134"/>
      <c r="BD533" s="134"/>
      <c r="BE533" s="134"/>
      <c r="BF533" s="134"/>
      <c r="BG533" s="134"/>
      <c r="BH533" s="134"/>
      <c r="BI533" s="134"/>
      <c r="BJ533" s="134"/>
      <c r="BK533" s="134"/>
      <c r="BL533" s="134"/>
      <c r="BM533" s="135"/>
      <c r="BN533" s="136" t="n">
        <f aca="false">+MAX($D$3,DATOS_[[#This Row],[Fecha Inicio Sit. Contract.]])</f>
        <v>0</v>
      </c>
      <c r="BO533" s="136" t="n">
        <f aca="false">+MIN($D$4,DATOS_[[#This Row],[Fecha Fin Sit. Contract.]])</f>
        <v>0</v>
      </c>
      <c r="BP533" s="137" t="n">
        <f aca="false">+DATOS_[[#This Row],[% de jornada]]*IF(DATOS_[[#This Row],[% jornada reducida]]="",1,DATOS_[[#This Row],[% jornada reducida]])</f>
        <v>0</v>
      </c>
      <c r="BQ533" s="137" t="n">
        <f aca="false">+(DATOS_[[#This Row],[F.fin.cal]]-DATOS_[[#This Row],[F.ini.cal]]+1)/($D$4-$D$3+1)</f>
        <v>1</v>
      </c>
      <c r="BR533" s="137" t="str">
        <f aca="false">IF(OR(AND(DATOS_[[#This Row],[Fecha Fin Contrato]]&lt;$D$3,DATOS_[[#This Row],[Fecha Fin Contrato]]&lt;&gt;""),DATOS_[[#This Row],[Fecha de Contratación]]&gt;$D$4),"Fuera","Dentro")</f>
        <v>Dentro</v>
      </c>
      <c r="BS533" s="137" t="str">
        <f aca="false" t="array" ref="BS533:BS533">IF(MAX(IF(DATOS_[id]=DATOS_[[#This Row],[id]],DATOS_[F.fin.cal]))=DATOS_[[#This Row],[F.fin.cal]],"Sí","NO")</f>
        <v>Sí</v>
      </c>
      <c r="BT533" s="137" t="str">
        <f aca="false">IF(AND(DATOS_[[#This Row],[% normaliz]]&lt;&gt;1,DATOS_[[#This Row],[% anualiz]]=1),"Sí","NO")</f>
        <v>Sí</v>
      </c>
      <c r="BU533" s="137" t="str">
        <f aca="false">IF(AND(DATOS_[[#This Row],[% normaliz]]=1,DATOS_[[#This Row],[% anualiz]]&lt;&gt;1),"Sí","NO")</f>
        <v>NO</v>
      </c>
      <c r="BV533" s="137" t="str">
        <f aca="false">IF(AND(DATOS_[[#This Row],[% normaliz]]&lt;&gt;1,DATOS_[[#This Row],[% anualiz]]&lt;&gt;1),"Sí","NO")</f>
        <v>NO</v>
      </c>
      <c r="BW533" s="137" t="str">
        <f aca="false">+IF(DATOS_[[#This Row],[% normaliz]]*DATOS_[[#This Row],[% anualiz]]=1,"NO","Sí")</f>
        <v>Sí</v>
      </c>
      <c r="BX533" s="138" t="e">
        <f aca="false">(DATOS_[[#This Row],[S.BASE]]*(1/DATOS_[[#This Row],[% normaliz]])*(1/DATOS_[[#This Row],[% anualiz]]))*IF(DATOS_[[#This Row],[Check Equiparado]]="Sí",1,0)</f>
        <v>#DIV/0!</v>
      </c>
      <c r="BY5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3" s="138" t="e">
        <f aca="false">+DATOS_[[#This Row],[SALARIO BASE Eq]]+DATOS_[[#This Row],[Tot COMPL.SAL Eq]]</f>
        <v>#DIV/0!</v>
      </c>
      <c r="CA533" s="138" t="e">
        <f aca="false" t="array" ref="CA533:CA5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3" s="138" t="e">
        <f aca="false">+DATOS_[[#This Row],[TOTAL SALARIO Eq]]+DATOS_[[#This Row],[Tot Extrasalarial Eq]]</f>
        <v>#DIV/0!</v>
      </c>
      <c r="CC533" s="139" t="n">
        <f aca="false">DATOS_[[#This Row],[S.BASE]]</f>
        <v>0</v>
      </c>
      <c r="CD533" s="139" t="n">
        <f aca="false">+SUM(DATOS_[[#This Row],[Conc.Sal.01]:[Conc.Sal.30]])</f>
        <v>0</v>
      </c>
      <c r="CE533" s="139" t="n">
        <f aca="false">+DATOS_[[#This Row],[SALARIO BASE Ef]]+DATOS_[[#This Row],[Tot COMPL.SAL Ef]]</f>
        <v>0</v>
      </c>
      <c r="CF533" s="139" t="n">
        <f aca="false">+SUM(DATOS_[[#This Row],[C.Extra.01]:[C.Extra.05]])</f>
        <v>0</v>
      </c>
      <c r="CG533" s="139" t="n">
        <f aca="false">+DATOS_[[#This Row],[TOTAL SALARIO Ef]]+DATOS_[[#This Row],[Tot Extrasalarial Ef]]</f>
        <v>0</v>
      </c>
      <c r="CH533" s="140" t="n">
        <f aca="false">MIN(IF(DATOS_[[#This Row],[Fecha Fin Contrato]]="",$D$4,DATOS_[[#This Row],[Fecha Fin Contrato]]),$D$4)-MAX(DATOS_[[#This Row],[Fecha de Contratación]],$D$3)+1</f>
        <v>1</v>
      </c>
      <c r="CI533" s="141" t="str">
        <f aca="false">IF(COUNTIFS(DATOS_[id],DATOS_[[#This Row],[id]])&gt;1,DATOS_[[#This Row],[id]],"")</f>
        <v/>
      </c>
      <c r="CJ533" s="141" t="n">
        <f aca="false">(Inicio!$G$10-DATOS_[[#This Row],[Fecha Nacimiento]])/365.25</f>
        <v>0</v>
      </c>
      <c r="CK533" s="141" t="n">
        <f aca="false">(Inicio!$G$10-DATOS_[[#This Row],[Fecha de Antigüedad]])/365.25</f>
        <v>0</v>
      </c>
      <c r="CL533" s="141" t="e">
        <f aca="false">+VLOOKUP(DATOS_[[#This Row],[Clave de Contrato]],TblTiposContrato13[],3,0)</f>
        <v>#N/A</v>
      </c>
      <c r="CM533" s="141" t="e">
        <f aca="false">+VLOOKUP(DATOS_[[#This Row],[Clave de Contrato]],TblTiposContrato13[],4,0)</f>
        <v>#N/A</v>
      </c>
      <c r="CN533" s="141" t="str">
        <f aca="false">VLOOKUP(DATOS_[[#This Row],[Edad]],CONTRATOS!TblRngEdad,2,1)</f>
        <v>20  o menos</v>
      </c>
      <c r="CO533" s="141" t="str">
        <f aca="false">VLOOKUP(DATOS_[[#This Row],[Antigüedad]],TblRngAntg14[],2,1)</f>
        <v>0 a 1 años</v>
      </c>
    </row>
    <row r="534" customFormat="false" ht="13.8" hidden="false" customHeight="false" outlineLevel="0" collapsed="false">
      <c r="D534" s="128"/>
      <c r="E534" s="129"/>
      <c r="F534" s="129"/>
      <c r="G534" s="129"/>
      <c r="H534" s="130"/>
      <c r="I534" s="131"/>
      <c r="J534" s="128"/>
      <c r="K534" s="132"/>
      <c r="L534" s="132"/>
      <c r="M534" s="133"/>
      <c r="N534" s="133"/>
      <c r="O534" s="133"/>
      <c r="P534" s="129"/>
      <c r="Z534" s="75"/>
      <c r="AA534" s="76"/>
      <c r="AB534" s="76"/>
      <c r="AC534" s="129"/>
      <c r="AD534" s="134"/>
      <c r="AE534" s="134"/>
      <c r="AF534" s="134"/>
      <c r="AG534" s="134"/>
      <c r="AH534" s="134"/>
      <c r="AI534" s="134"/>
      <c r="AJ534" s="134"/>
      <c r="AK534" s="134"/>
      <c r="AL534" s="134"/>
      <c r="AM534" s="134"/>
      <c r="AN534" s="134"/>
      <c r="AO534" s="134"/>
      <c r="AP534" s="134"/>
      <c r="AQ534" s="134"/>
      <c r="AR534" s="134"/>
      <c r="AS534" s="134"/>
      <c r="AT534" s="134"/>
      <c r="AU534" s="134"/>
      <c r="AV534" s="134"/>
      <c r="AW534" s="134"/>
      <c r="AX534" s="134"/>
      <c r="AY534" s="134"/>
      <c r="AZ534" s="134"/>
      <c r="BA534" s="134"/>
      <c r="BB534" s="134"/>
      <c r="BC534" s="134"/>
      <c r="BD534" s="134"/>
      <c r="BE534" s="134"/>
      <c r="BF534" s="134"/>
      <c r="BG534" s="134"/>
      <c r="BH534" s="134"/>
      <c r="BI534" s="134"/>
      <c r="BJ534" s="134"/>
      <c r="BK534" s="134"/>
      <c r="BL534" s="134"/>
      <c r="BM534" s="135"/>
      <c r="BN534" s="136" t="n">
        <f aca="false">+MAX($D$3,DATOS_[[#This Row],[Fecha Inicio Sit. Contract.]])</f>
        <v>0</v>
      </c>
      <c r="BO534" s="136" t="n">
        <f aca="false">+MIN($D$4,DATOS_[[#This Row],[Fecha Fin Sit. Contract.]])</f>
        <v>0</v>
      </c>
      <c r="BP534" s="137" t="n">
        <f aca="false">+DATOS_[[#This Row],[% de jornada]]*IF(DATOS_[[#This Row],[% jornada reducida]]="",1,DATOS_[[#This Row],[% jornada reducida]])</f>
        <v>0</v>
      </c>
      <c r="BQ534" s="137" t="n">
        <f aca="false">+(DATOS_[[#This Row],[F.fin.cal]]-DATOS_[[#This Row],[F.ini.cal]]+1)/($D$4-$D$3+1)</f>
        <v>1</v>
      </c>
      <c r="BR534" s="137" t="str">
        <f aca="false">IF(OR(AND(DATOS_[[#This Row],[Fecha Fin Contrato]]&lt;$D$3,DATOS_[[#This Row],[Fecha Fin Contrato]]&lt;&gt;""),DATOS_[[#This Row],[Fecha de Contratación]]&gt;$D$4),"Fuera","Dentro")</f>
        <v>Dentro</v>
      </c>
      <c r="BS534" s="137" t="str">
        <f aca="false" t="array" ref="BS534:BS534">IF(MAX(IF(DATOS_[id]=DATOS_[[#This Row],[id]],DATOS_[F.fin.cal]))=DATOS_[[#This Row],[F.fin.cal]],"Sí","NO")</f>
        <v>Sí</v>
      </c>
      <c r="BT534" s="137" t="str">
        <f aca="false">IF(AND(DATOS_[[#This Row],[% normaliz]]&lt;&gt;1,DATOS_[[#This Row],[% anualiz]]=1),"Sí","NO")</f>
        <v>Sí</v>
      </c>
      <c r="BU534" s="137" t="str">
        <f aca="false">IF(AND(DATOS_[[#This Row],[% normaliz]]=1,DATOS_[[#This Row],[% anualiz]]&lt;&gt;1),"Sí","NO")</f>
        <v>NO</v>
      </c>
      <c r="BV534" s="137" t="str">
        <f aca="false">IF(AND(DATOS_[[#This Row],[% normaliz]]&lt;&gt;1,DATOS_[[#This Row],[% anualiz]]&lt;&gt;1),"Sí","NO")</f>
        <v>NO</v>
      </c>
      <c r="BW534" s="137" t="str">
        <f aca="false">+IF(DATOS_[[#This Row],[% normaliz]]*DATOS_[[#This Row],[% anualiz]]=1,"NO","Sí")</f>
        <v>Sí</v>
      </c>
      <c r="BX534" s="138" t="e">
        <f aca="false">(DATOS_[[#This Row],[S.BASE]]*(1/DATOS_[[#This Row],[% normaliz]])*(1/DATOS_[[#This Row],[% anualiz]]))*IF(DATOS_[[#This Row],[Check Equiparado]]="Sí",1,0)</f>
        <v>#DIV/0!</v>
      </c>
      <c r="BY5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4" s="138" t="e">
        <f aca="false">+DATOS_[[#This Row],[SALARIO BASE Eq]]+DATOS_[[#This Row],[Tot COMPL.SAL Eq]]</f>
        <v>#DIV/0!</v>
      </c>
      <c r="CA534" s="138" t="e">
        <f aca="false" t="array" ref="CA534:CA5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4" s="138" t="e">
        <f aca="false">+DATOS_[[#This Row],[TOTAL SALARIO Eq]]+DATOS_[[#This Row],[Tot Extrasalarial Eq]]</f>
        <v>#DIV/0!</v>
      </c>
      <c r="CC534" s="139" t="n">
        <f aca="false">DATOS_[[#This Row],[S.BASE]]</f>
        <v>0</v>
      </c>
      <c r="CD534" s="139" t="n">
        <f aca="false">+SUM(DATOS_[[#This Row],[Conc.Sal.01]:[Conc.Sal.30]])</f>
        <v>0</v>
      </c>
      <c r="CE534" s="139" t="n">
        <f aca="false">+DATOS_[[#This Row],[SALARIO BASE Ef]]+DATOS_[[#This Row],[Tot COMPL.SAL Ef]]</f>
        <v>0</v>
      </c>
      <c r="CF534" s="139" t="n">
        <f aca="false">+SUM(DATOS_[[#This Row],[C.Extra.01]:[C.Extra.05]])</f>
        <v>0</v>
      </c>
      <c r="CG534" s="139" t="n">
        <f aca="false">+DATOS_[[#This Row],[TOTAL SALARIO Ef]]+DATOS_[[#This Row],[Tot Extrasalarial Ef]]</f>
        <v>0</v>
      </c>
      <c r="CH534" s="140" t="n">
        <f aca="false">MIN(IF(DATOS_[[#This Row],[Fecha Fin Contrato]]="",$D$4,DATOS_[[#This Row],[Fecha Fin Contrato]]),$D$4)-MAX(DATOS_[[#This Row],[Fecha de Contratación]],$D$3)+1</f>
        <v>1</v>
      </c>
      <c r="CI534" s="141" t="str">
        <f aca="false">IF(COUNTIFS(DATOS_[id],DATOS_[[#This Row],[id]])&gt;1,DATOS_[[#This Row],[id]],"")</f>
        <v/>
      </c>
      <c r="CJ534" s="141" t="n">
        <f aca="false">(Inicio!$G$10-DATOS_[[#This Row],[Fecha Nacimiento]])/365.25</f>
        <v>0</v>
      </c>
      <c r="CK534" s="141" t="n">
        <f aca="false">(Inicio!$G$10-DATOS_[[#This Row],[Fecha de Antigüedad]])/365.25</f>
        <v>0</v>
      </c>
      <c r="CL534" s="141" t="e">
        <f aca="false">+VLOOKUP(DATOS_[[#This Row],[Clave de Contrato]],TblTiposContrato13[],3,0)</f>
        <v>#N/A</v>
      </c>
      <c r="CM534" s="141" t="e">
        <f aca="false">+VLOOKUP(DATOS_[[#This Row],[Clave de Contrato]],TblTiposContrato13[],4,0)</f>
        <v>#N/A</v>
      </c>
      <c r="CN534" s="141" t="str">
        <f aca="false">VLOOKUP(DATOS_[[#This Row],[Edad]],CONTRATOS!TblRngEdad,2,1)</f>
        <v>20  o menos</v>
      </c>
      <c r="CO534" s="141" t="str">
        <f aca="false">VLOOKUP(DATOS_[[#This Row],[Antigüedad]],TblRngAntg14[],2,1)</f>
        <v>0 a 1 años</v>
      </c>
    </row>
    <row r="535" customFormat="false" ht="13.8" hidden="false" customHeight="false" outlineLevel="0" collapsed="false">
      <c r="D535" s="128"/>
      <c r="E535" s="129"/>
      <c r="F535" s="129"/>
      <c r="G535" s="129"/>
      <c r="H535" s="130"/>
      <c r="I535" s="131"/>
      <c r="J535" s="128"/>
      <c r="K535" s="132"/>
      <c r="L535" s="132"/>
      <c r="M535" s="133"/>
      <c r="N535" s="133"/>
      <c r="O535" s="133"/>
      <c r="P535" s="129"/>
      <c r="Z535" s="75"/>
      <c r="AA535" s="76"/>
      <c r="AB535" s="76"/>
      <c r="AC535" s="129"/>
      <c r="AD535" s="134"/>
      <c r="AE535" s="134"/>
      <c r="AF535" s="134"/>
      <c r="AG535" s="134"/>
      <c r="AH535" s="134"/>
      <c r="AI535" s="134"/>
      <c r="AJ535" s="134"/>
      <c r="AK535" s="134"/>
      <c r="AL535" s="134"/>
      <c r="AM535" s="134"/>
      <c r="AN535" s="134"/>
      <c r="AO535" s="134"/>
      <c r="AP535" s="134"/>
      <c r="AQ535" s="134"/>
      <c r="AR535" s="134"/>
      <c r="AS535" s="134"/>
      <c r="AT535" s="134"/>
      <c r="AU535" s="134"/>
      <c r="AV535" s="134"/>
      <c r="AW535" s="134"/>
      <c r="AX535" s="134"/>
      <c r="AY535" s="134"/>
      <c r="AZ535" s="134"/>
      <c r="BA535" s="134"/>
      <c r="BB535" s="134"/>
      <c r="BC535" s="134"/>
      <c r="BD535" s="134"/>
      <c r="BE535" s="134"/>
      <c r="BF535" s="134"/>
      <c r="BG535" s="134"/>
      <c r="BH535" s="134"/>
      <c r="BI535" s="134"/>
      <c r="BJ535" s="134"/>
      <c r="BK535" s="134"/>
      <c r="BL535" s="134"/>
      <c r="BM535" s="135"/>
      <c r="BN535" s="136" t="n">
        <f aca="false">+MAX($D$3,DATOS_[[#This Row],[Fecha Inicio Sit. Contract.]])</f>
        <v>0</v>
      </c>
      <c r="BO535" s="136" t="n">
        <f aca="false">+MIN($D$4,DATOS_[[#This Row],[Fecha Fin Sit. Contract.]])</f>
        <v>0</v>
      </c>
      <c r="BP535" s="137" t="n">
        <f aca="false">+DATOS_[[#This Row],[% de jornada]]*IF(DATOS_[[#This Row],[% jornada reducida]]="",1,DATOS_[[#This Row],[% jornada reducida]])</f>
        <v>0</v>
      </c>
      <c r="BQ535" s="137" t="n">
        <f aca="false">+(DATOS_[[#This Row],[F.fin.cal]]-DATOS_[[#This Row],[F.ini.cal]]+1)/($D$4-$D$3+1)</f>
        <v>1</v>
      </c>
      <c r="BR535" s="137" t="str">
        <f aca="false">IF(OR(AND(DATOS_[[#This Row],[Fecha Fin Contrato]]&lt;$D$3,DATOS_[[#This Row],[Fecha Fin Contrato]]&lt;&gt;""),DATOS_[[#This Row],[Fecha de Contratación]]&gt;$D$4),"Fuera","Dentro")</f>
        <v>Dentro</v>
      </c>
      <c r="BS535" s="137" t="str">
        <f aca="false" t="array" ref="BS535:BS535">IF(MAX(IF(DATOS_[id]=DATOS_[[#This Row],[id]],DATOS_[F.fin.cal]))=DATOS_[[#This Row],[F.fin.cal]],"Sí","NO")</f>
        <v>Sí</v>
      </c>
      <c r="BT535" s="137" t="str">
        <f aca="false">IF(AND(DATOS_[[#This Row],[% normaliz]]&lt;&gt;1,DATOS_[[#This Row],[% anualiz]]=1),"Sí","NO")</f>
        <v>Sí</v>
      </c>
      <c r="BU535" s="137" t="str">
        <f aca="false">IF(AND(DATOS_[[#This Row],[% normaliz]]=1,DATOS_[[#This Row],[% anualiz]]&lt;&gt;1),"Sí","NO")</f>
        <v>NO</v>
      </c>
      <c r="BV535" s="137" t="str">
        <f aca="false">IF(AND(DATOS_[[#This Row],[% normaliz]]&lt;&gt;1,DATOS_[[#This Row],[% anualiz]]&lt;&gt;1),"Sí","NO")</f>
        <v>NO</v>
      </c>
      <c r="BW535" s="137" t="str">
        <f aca="false">+IF(DATOS_[[#This Row],[% normaliz]]*DATOS_[[#This Row],[% anualiz]]=1,"NO","Sí")</f>
        <v>Sí</v>
      </c>
      <c r="BX535" s="138" t="e">
        <f aca="false">(DATOS_[[#This Row],[S.BASE]]*(1/DATOS_[[#This Row],[% normaliz]])*(1/DATOS_[[#This Row],[% anualiz]]))*IF(DATOS_[[#This Row],[Check Equiparado]]="Sí",1,0)</f>
        <v>#DIV/0!</v>
      </c>
      <c r="BY5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5" s="138" t="e">
        <f aca="false">+DATOS_[[#This Row],[SALARIO BASE Eq]]+DATOS_[[#This Row],[Tot COMPL.SAL Eq]]</f>
        <v>#DIV/0!</v>
      </c>
      <c r="CA535" s="138" t="e">
        <f aca="false" t="array" ref="CA535:CA5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5" s="138" t="e">
        <f aca="false">+DATOS_[[#This Row],[TOTAL SALARIO Eq]]+DATOS_[[#This Row],[Tot Extrasalarial Eq]]</f>
        <v>#DIV/0!</v>
      </c>
      <c r="CC535" s="139" t="n">
        <f aca="false">DATOS_[[#This Row],[S.BASE]]</f>
        <v>0</v>
      </c>
      <c r="CD535" s="139" t="n">
        <f aca="false">+SUM(DATOS_[[#This Row],[Conc.Sal.01]:[Conc.Sal.30]])</f>
        <v>0</v>
      </c>
      <c r="CE535" s="139" t="n">
        <f aca="false">+DATOS_[[#This Row],[SALARIO BASE Ef]]+DATOS_[[#This Row],[Tot COMPL.SAL Ef]]</f>
        <v>0</v>
      </c>
      <c r="CF535" s="139" t="n">
        <f aca="false">+SUM(DATOS_[[#This Row],[C.Extra.01]:[C.Extra.05]])</f>
        <v>0</v>
      </c>
      <c r="CG535" s="139" t="n">
        <f aca="false">+DATOS_[[#This Row],[TOTAL SALARIO Ef]]+DATOS_[[#This Row],[Tot Extrasalarial Ef]]</f>
        <v>0</v>
      </c>
      <c r="CH535" s="140" t="n">
        <f aca="false">MIN(IF(DATOS_[[#This Row],[Fecha Fin Contrato]]="",$D$4,DATOS_[[#This Row],[Fecha Fin Contrato]]),$D$4)-MAX(DATOS_[[#This Row],[Fecha de Contratación]],$D$3)+1</f>
        <v>1</v>
      </c>
      <c r="CI535" s="141" t="str">
        <f aca="false">IF(COUNTIFS(DATOS_[id],DATOS_[[#This Row],[id]])&gt;1,DATOS_[[#This Row],[id]],"")</f>
        <v/>
      </c>
      <c r="CJ535" s="141" t="n">
        <f aca="false">(Inicio!$G$10-DATOS_[[#This Row],[Fecha Nacimiento]])/365.25</f>
        <v>0</v>
      </c>
      <c r="CK535" s="141" t="n">
        <f aca="false">(Inicio!$G$10-DATOS_[[#This Row],[Fecha de Antigüedad]])/365.25</f>
        <v>0</v>
      </c>
      <c r="CL535" s="141" t="e">
        <f aca="false">+VLOOKUP(DATOS_[[#This Row],[Clave de Contrato]],TblTiposContrato13[],3,0)</f>
        <v>#N/A</v>
      </c>
      <c r="CM535" s="141" t="e">
        <f aca="false">+VLOOKUP(DATOS_[[#This Row],[Clave de Contrato]],TblTiposContrato13[],4,0)</f>
        <v>#N/A</v>
      </c>
      <c r="CN535" s="141" t="str">
        <f aca="false">VLOOKUP(DATOS_[[#This Row],[Edad]],CONTRATOS!TblRngEdad,2,1)</f>
        <v>20  o menos</v>
      </c>
      <c r="CO535" s="141" t="str">
        <f aca="false">VLOOKUP(DATOS_[[#This Row],[Antigüedad]],TblRngAntg14[],2,1)</f>
        <v>0 a 1 años</v>
      </c>
    </row>
    <row r="536" customFormat="false" ht="13.8" hidden="false" customHeight="false" outlineLevel="0" collapsed="false">
      <c r="D536" s="128"/>
      <c r="E536" s="129"/>
      <c r="F536" s="129"/>
      <c r="G536" s="129"/>
      <c r="H536" s="130"/>
      <c r="I536" s="131"/>
      <c r="J536" s="128"/>
      <c r="K536" s="132"/>
      <c r="L536" s="132"/>
      <c r="M536" s="133"/>
      <c r="N536" s="133"/>
      <c r="O536" s="133"/>
      <c r="P536" s="129"/>
      <c r="Z536" s="75"/>
      <c r="AA536" s="76"/>
      <c r="AB536" s="76"/>
      <c r="AC536" s="129"/>
      <c r="AD536" s="134"/>
      <c r="AE536" s="134"/>
      <c r="AF536" s="134"/>
      <c r="AG536" s="134"/>
      <c r="AH536" s="134"/>
      <c r="AI536" s="134"/>
      <c r="AJ536" s="134"/>
      <c r="AK536" s="134"/>
      <c r="AL536" s="134"/>
      <c r="AM536" s="134"/>
      <c r="AN536" s="134"/>
      <c r="AO536" s="134"/>
      <c r="AP536" s="134"/>
      <c r="AQ536" s="134"/>
      <c r="AR536" s="134"/>
      <c r="AS536" s="134"/>
      <c r="AT536" s="134"/>
      <c r="AU536" s="134"/>
      <c r="AV536" s="134"/>
      <c r="AW536" s="134"/>
      <c r="AX536" s="134"/>
      <c r="AY536" s="134"/>
      <c r="AZ536" s="134"/>
      <c r="BA536" s="134"/>
      <c r="BB536" s="134"/>
      <c r="BC536" s="134"/>
      <c r="BD536" s="134"/>
      <c r="BE536" s="134"/>
      <c r="BF536" s="134"/>
      <c r="BG536" s="134"/>
      <c r="BH536" s="134"/>
      <c r="BI536" s="134"/>
      <c r="BJ536" s="134"/>
      <c r="BK536" s="134"/>
      <c r="BL536" s="134"/>
      <c r="BM536" s="135"/>
      <c r="BN536" s="136" t="n">
        <f aca="false">+MAX($D$3,DATOS_[[#This Row],[Fecha Inicio Sit. Contract.]])</f>
        <v>0</v>
      </c>
      <c r="BO536" s="136" t="n">
        <f aca="false">+MIN($D$4,DATOS_[[#This Row],[Fecha Fin Sit. Contract.]])</f>
        <v>0</v>
      </c>
      <c r="BP536" s="137" t="n">
        <f aca="false">+DATOS_[[#This Row],[% de jornada]]*IF(DATOS_[[#This Row],[% jornada reducida]]="",1,DATOS_[[#This Row],[% jornada reducida]])</f>
        <v>0</v>
      </c>
      <c r="BQ536" s="137" t="n">
        <f aca="false">+(DATOS_[[#This Row],[F.fin.cal]]-DATOS_[[#This Row],[F.ini.cal]]+1)/($D$4-$D$3+1)</f>
        <v>1</v>
      </c>
      <c r="BR536" s="137" t="str">
        <f aca="false">IF(OR(AND(DATOS_[[#This Row],[Fecha Fin Contrato]]&lt;$D$3,DATOS_[[#This Row],[Fecha Fin Contrato]]&lt;&gt;""),DATOS_[[#This Row],[Fecha de Contratación]]&gt;$D$4),"Fuera","Dentro")</f>
        <v>Dentro</v>
      </c>
      <c r="BS536" s="137" t="str">
        <f aca="false" t="array" ref="BS536:BS536">IF(MAX(IF(DATOS_[id]=DATOS_[[#This Row],[id]],DATOS_[F.fin.cal]))=DATOS_[[#This Row],[F.fin.cal]],"Sí","NO")</f>
        <v>Sí</v>
      </c>
      <c r="BT536" s="137" t="str">
        <f aca="false">IF(AND(DATOS_[[#This Row],[% normaliz]]&lt;&gt;1,DATOS_[[#This Row],[% anualiz]]=1),"Sí","NO")</f>
        <v>Sí</v>
      </c>
      <c r="BU536" s="137" t="str">
        <f aca="false">IF(AND(DATOS_[[#This Row],[% normaliz]]=1,DATOS_[[#This Row],[% anualiz]]&lt;&gt;1),"Sí","NO")</f>
        <v>NO</v>
      </c>
      <c r="BV536" s="137" t="str">
        <f aca="false">IF(AND(DATOS_[[#This Row],[% normaliz]]&lt;&gt;1,DATOS_[[#This Row],[% anualiz]]&lt;&gt;1),"Sí","NO")</f>
        <v>NO</v>
      </c>
      <c r="BW536" s="137" t="str">
        <f aca="false">+IF(DATOS_[[#This Row],[% normaliz]]*DATOS_[[#This Row],[% anualiz]]=1,"NO","Sí")</f>
        <v>Sí</v>
      </c>
      <c r="BX536" s="138" t="e">
        <f aca="false">(DATOS_[[#This Row],[S.BASE]]*(1/DATOS_[[#This Row],[% normaliz]])*(1/DATOS_[[#This Row],[% anualiz]]))*IF(DATOS_[[#This Row],[Check Equiparado]]="Sí",1,0)</f>
        <v>#DIV/0!</v>
      </c>
      <c r="BY5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6" s="138" t="e">
        <f aca="false">+DATOS_[[#This Row],[SALARIO BASE Eq]]+DATOS_[[#This Row],[Tot COMPL.SAL Eq]]</f>
        <v>#DIV/0!</v>
      </c>
      <c r="CA536" s="138" t="e">
        <f aca="false" t="array" ref="CA536:CA5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6" s="138" t="e">
        <f aca="false">+DATOS_[[#This Row],[TOTAL SALARIO Eq]]+DATOS_[[#This Row],[Tot Extrasalarial Eq]]</f>
        <v>#DIV/0!</v>
      </c>
      <c r="CC536" s="139" t="n">
        <f aca="false">DATOS_[[#This Row],[S.BASE]]</f>
        <v>0</v>
      </c>
      <c r="CD536" s="139" t="n">
        <f aca="false">+SUM(DATOS_[[#This Row],[Conc.Sal.01]:[Conc.Sal.30]])</f>
        <v>0</v>
      </c>
      <c r="CE536" s="139" t="n">
        <f aca="false">+DATOS_[[#This Row],[SALARIO BASE Ef]]+DATOS_[[#This Row],[Tot COMPL.SAL Ef]]</f>
        <v>0</v>
      </c>
      <c r="CF536" s="139" t="n">
        <f aca="false">+SUM(DATOS_[[#This Row],[C.Extra.01]:[C.Extra.05]])</f>
        <v>0</v>
      </c>
      <c r="CG536" s="139" t="n">
        <f aca="false">+DATOS_[[#This Row],[TOTAL SALARIO Ef]]+DATOS_[[#This Row],[Tot Extrasalarial Ef]]</f>
        <v>0</v>
      </c>
      <c r="CH536" s="140" t="n">
        <f aca="false">MIN(IF(DATOS_[[#This Row],[Fecha Fin Contrato]]="",$D$4,DATOS_[[#This Row],[Fecha Fin Contrato]]),$D$4)-MAX(DATOS_[[#This Row],[Fecha de Contratación]],$D$3)+1</f>
        <v>1</v>
      </c>
      <c r="CI536" s="141" t="str">
        <f aca="false">IF(COUNTIFS(DATOS_[id],DATOS_[[#This Row],[id]])&gt;1,DATOS_[[#This Row],[id]],"")</f>
        <v/>
      </c>
      <c r="CJ536" s="141" t="n">
        <f aca="false">(Inicio!$G$10-DATOS_[[#This Row],[Fecha Nacimiento]])/365.25</f>
        <v>0</v>
      </c>
      <c r="CK536" s="141" t="n">
        <f aca="false">(Inicio!$G$10-DATOS_[[#This Row],[Fecha de Antigüedad]])/365.25</f>
        <v>0</v>
      </c>
      <c r="CL536" s="141" t="e">
        <f aca="false">+VLOOKUP(DATOS_[[#This Row],[Clave de Contrato]],TblTiposContrato13[],3,0)</f>
        <v>#N/A</v>
      </c>
      <c r="CM536" s="141" t="e">
        <f aca="false">+VLOOKUP(DATOS_[[#This Row],[Clave de Contrato]],TblTiposContrato13[],4,0)</f>
        <v>#N/A</v>
      </c>
      <c r="CN536" s="141" t="str">
        <f aca="false">VLOOKUP(DATOS_[[#This Row],[Edad]],CONTRATOS!TblRngEdad,2,1)</f>
        <v>20  o menos</v>
      </c>
      <c r="CO536" s="141" t="str">
        <f aca="false">VLOOKUP(DATOS_[[#This Row],[Antigüedad]],TblRngAntg14[],2,1)</f>
        <v>0 a 1 años</v>
      </c>
    </row>
    <row r="537" customFormat="false" ht="13.8" hidden="false" customHeight="false" outlineLevel="0" collapsed="false">
      <c r="D537" s="128"/>
      <c r="E537" s="129"/>
      <c r="F537" s="129"/>
      <c r="G537" s="129"/>
      <c r="H537" s="130"/>
      <c r="I537" s="131"/>
      <c r="J537" s="128"/>
      <c r="K537" s="132"/>
      <c r="L537" s="132"/>
      <c r="M537" s="133"/>
      <c r="N537" s="133"/>
      <c r="O537" s="133"/>
      <c r="P537" s="129"/>
      <c r="Z537" s="75"/>
      <c r="AA537" s="76"/>
      <c r="AB537" s="76"/>
      <c r="AC537" s="129"/>
      <c r="AD537" s="134"/>
      <c r="AE537" s="134"/>
      <c r="AF537" s="134"/>
      <c r="AG537" s="134"/>
      <c r="AH537" s="134"/>
      <c r="AI537" s="134"/>
      <c r="AJ537" s="134"/>
      <c r="AK537" s="134"/>
      <c r="AL537" s="134"/>
      <c r="AM537" s="134"/>
      <c r="AN537" s="134"/>
      <c r="AO537" s="134"/>
      <c r="AP537" s="134"/>
      <c r="AQ537" s="134"/>
      <c r="AR537" s="134"/>
      <c r="AS537" s="134"/>
      <c r="AT537" s="134"/>
      <c r="AU537" s="134"/>
      <c r="AV537" s="134"/>
      <c r="AW537" s="134"/>
      <c r="AX537" s="134"/>
      <c r="AY537" s="134"/>
      <c r="AZ537" s="134"/>
      <c r="BA537" s="134"/>
      <c r="BB537" s="134"/>
      <c r="BC537" s="134"/>
      <c r="BD537" s="134"/>
      <c r="BE537" s="134"/>
      <c r="BF537" s="134"/>
      <c r="BG537" s="134"/>
      <c r="BH537" s="134"/>
      <c r="BI537" s="134"/>
      <c r="BJ537" s="134"/>
      <c r="BK537" s="134"/>
      <c r="BL537" s="134"/>
      <c r="BM537" s="135"/>
      <c r="BN537" s="136" t="n">
        <f aca="false">+MAX($D$3,DATOS_[[#This Row],[Fecha Inicio Sit. Contract.]])</f>
        <v>0</v>
      </c>
      <c r="BO537" s="136" t="n">
        <f aca="false">+MIN($D$4,DATOS_[[#This Row],[Fecha Fin Sit. Contract.]])</f>
        <v>0</v>
      </c>
      <c r="BP537" s="137" t="n">
        <f aca="false">+DATOS_[[#This Row],[% de jornada]]*IF(DATOS_[[#This Row],[% jornada reducida]]="",1,DATOS_[[#This Row],[% jornada reducida]])</f>
        <v>0</v>
      </c>
      <c r="BQ537" s="137" t="n">
        <f aca="false">+(DATOS_[[#This Row],[F.fin.cal]]-DATOS_[[#This Row],[F.ini.cal]]+1)/($D$4-$D$3+1)</f>
        <v>1</v>
      </c>
      <c r="BR537" s="137" t="str">
        <f aca="false">IF(OR(AND(DATOS_[[#This Row],[Fecha Fin Contrato]]&lt;$D$3,DATOS_[[#This Row],[Fecha Fin Contrato]]&lt;&gt;""),DATOS_[[#This Row],[Fecha de Contratación]]&gt;$D$4),"Fuera","Dentro")</f>
        <v>Dentro</v>
      </c>
      <c r="BS537" s="137" t="str">
        <f aca="false" t="array" ref="BS537:BS537">IF(MAX(IF(DATOS_[id]=DATOS_[[#This Row],[id]],DATOS_[F.fin.cal]))=DATOS_[[#This Row],[F.fin.cal]],"Sí","NO")</f>
        <v>Sí</v>
      </c>
      <c r="BT537" s="137" t="str">
        <f aca="false">IF(AND(DATOS_[[#This Row],[% normaliz]]&lt;&gt;1,DATOS_[[#This Row],[% anualiz]]=1),"Sí","NO")</f>
        <v>Sí</v>
      </c>
      <c r="BU537" s="137" t="str">
        <f aca="false">IF(AND(DATOS_[[#This Row],[% normaliz]]=1,DATOS_[[#This Row],[% anualiz]]&lt;&gt;1),"Sí","NO")</f>
        <v>NO</v>
      </c>
      <c r="BV537" s="137" t="str">
        <f aca="false">IF(AND(DATOS_[[#This Row],[% normaliz]]&lt;&gt;1,DATOS_[[#This Row],[% anualiz]]&lt;&gt;1),"Sí","NO")</f>
        <v>NO</v>
      </c>
      <c r="BW537" s="137" t="str">
        <f aca="false">+IF(DATOS_[[#This Row],[% normaliz]]*DATOS_[[#This Row],[% anualiz]]=1,"NO","Sí")</f>
        <v>Sí</v>
      </c>
      <c r="BX537" s="138" t="e">
        <f aca="false">(DATOS_[[#This Row],[S.BASE]]*(1/DATOS_[[#This Row],[% normaliz]])*(1/DATOS_[[#This Row],[% anualiz]]))*IF(DATOS_[[#This Row],[Check Equiparado]]="Sí",1,0)</f>
        <v>#DIV/0!</v>
      </c>
      <c r="BY5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7" s="138" t="e">
        <f aca="false">+DATOS_[[#This Row],[SALARIO BASE Eq]]+DATOS_[[#This Row],[Tot COMPL.SAL Eq]]</f>
        <v>#DIV/0!</v>
      </c>
      <c r="CA537" s="138" t="e">
        <f aca="false" t="array" ref="CA537:CA5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7" s="138" t="e">
        <f aca="false">+DATOS_[[#This Row],[TOTAL SALARIO Eq]]+DATOS_[[#This Row],[Tot Extrasalarial Eq]]</f>
        <v>#DIV/0!</v>
      </c>
      <c r="CC537" s="139" t="n">
        <f aca="false">DATOS_[[#This Row],[S.BASE]]</f>
        <v>0</v>
      </c>
      <c r="CD537" s="139" t="n">
        <f aca="false">+SUM(DATOS_[[#This Row],[Conc.Sal.01]:[Conc.Sal.30]])</f>
        <v>0</v>
      </c>
      <c r="CE537" s="139" t="n">
        <f aca="false">+DATOS_[[#This Row],[SALARIO BASE Ef]]+DATOS_[[#This Row],[Tot COMPL.SAL Ef]]</f>
        <v>0</v>
      </c>
      <c r="CF537" s="139" t="n">
        <f aca="false">+SUM(DATOS_[[#This Row],[C.Extra.01]:[C.Extra.05]])</f>
        <v>0</v>
      </c>
      <c r="CG537" s="139" t="n">
        <f aca="false">+DATOS_[[#This Row],[TOTAL SALARIO Ef]]+DATOS_[[#This Row],[Tot Extrasalarial Ef]]</f>
        <v>0</v>
      </c>
      <c r="CH537" s="140" t="n">
        <f aca="false">MIN(IF(DATOS_[[#This Row],[Fecha Fin Contrato]]="",$D$4,DATOS_[[#This Row],[Fecha Fin Contrato]]),$D$4)-MAX(DATOS_[[#This Row],[Fecha de Contratación]],$D$3)+1</f>
        <v>1</v>
      </c>
      <c r="CI537" s="141" t="str">
        <f aca="false">IF(COUNTIFS(DATOS_[id],DATOS_[[#This Row],[id]])&gt;1,DATOS_[[#This Row],[id]],"")</f>
        <v/>
      </c>
      <c r="CJ537" s="141" t="n">
        <f aca="false">(Inicio!$G$10-DATOS_[[#This Row],[Fecha Nacimiento]])/365.25</f>
        <v>0</v>
      </c>
      <c r="CK537" s="141" t="n">
        <f aca="false">(Inicio!$G$10-DATOS_[[#This Row],[Fecha de Antigüedad]])/365.25</f>
        <v>0</v>
      </c>
      <c r="CL537" s="141" t="e">
        <f aca="false">+VLOOKUP(DATOS_[[#This Row],[Clave de Contrato]],TblTiposContrato13[],3,0)</f>
        <v>#N/A</v>
      </c>
      <c r="CM537" s="141" t="e">
        <f aca="false">+VLOOKUP(DATOS_[[#This Row],[Clave de Contrato]],TblTiposContrato13[],4,0)</f>
        <v>#N/A</v>
      </c>
      <c r="CN537" s="141" t="str">
        <f aca="false">VLOOKUP(DATOS_[[#This Row],[Edad]],CONTRATOS!TblRngEdad,2,1)</f>
        <v>20  o menos</v>
      </c>
      <c r="CO537" s="141" t="str">
        <f aca="false">VLOOKUP(DATOS_[[#This Row],[Antigüedad]],TblRngAntg14[],2,1)</f>
        <v>0 a 1 años</v>
      </c>
    </row>
    <row r="538" customFormat="false" ht="13.8" hidden="false" customHeight="false" outlineLevel="0" collapsed="false">
      <c r="D538" s="128"/>
      <c r="E538" s="129"/>
      <c r="F538" s="129"/>
      <c r="G538" s="129"/>
      <c r="H538" s="130"/>
      <c r="I538" s="131"/>
      <c r="J538" s="128"/>
      <c r="K538" s="132"/>
      <c r="L538" s="132"/>
      <c r="M538" s="133"/>
      <c r="N538" s="133"/>
      <c r="O538" s="133"/>
      <c r="P538" s="129"/>
      <c r="Z538" s="75"/>
      <c r="AA538" s="76"/>
      <c r="AB538" s="76"/>
      <c r="AC538" s="129"/>
      <c r="AD538" s="134"/>
      <c r="AE538" s="134"/>
      <c r="AF538" s="134"/>
      <c r="AG538" s="134"/>
      <c r="AH538" s="134"/>
      <c r="AI538" s="134"/>
      <c r="AJ538" s="134"/>
      <c r="AK538" s="134"/>
      <c r="AL538" s="134"/>
      <c r="AM538" s="134"/>
      <c r="AN538" s="134"/>
      <c r="AO538" s="134"/>
      <c r="AP538" s="134"/>
      <c r="AQ538" s="134"/>
      <c r="AR538" s="134"/>
      <c r="AS538" s="134"/>
      <c r="AT538" s="134"/>
      <c r="AU538" s="134"/>
      <c r="AV538" s="134"/>
      <c r="AW538" s="134"/>
      <c r="AX538" s="134"/>
      <c r="AY538" s="134"/>
      <c r="AZ538" s="134"/>
      <c r="BA538" s="134"/>
      <c r="BB538" s="134"/>
      <c r="BC538" s="134"/>
      <c r="BD538" s="134"/>
      <c r="BE538" s="134"/>
      <c r="BF538" s="134"/>
      <c r="BG538" s="134"/>
      <c r="BH538" s="134"/>
      <c r="BI538" s="134"/>
      <c r="BJ538" s="134"/>
      <c r="BK538" s="134"/>
      <c r="BL538" s="134"/>
      <c r="BM538" s="135"/>
      <c r="BN538" s="136" t="n">
        <f aca="false">+MAX($D$3,DATOS_[[#This Row],[Fecha Inicio Sit. Contract.]])</f>
        <v>0</v>
      </c>
      <c r="BO538" s="136" t="n">
        <f aca="false">+MIN($D$4,DATOS_[[#This Row],[Fecha Fin Sit. Contract.]])</f>
        <v>0</v>
      </c>
      <c r="BP538" s="137" t="n">
        <f aca="false">+DATOS_[[#This Row],[% de jornada]]*IF(DATOS_[[#This Row],[% jornada reducida]]="",1,DATOS_[[#This Row],[% jornada reducida]])</f>
        <v>0</v>
      </c>
      <c r="BQ538" s="137" t="n">
        <f aca="false">+(DATOS_[[#This Row],[F.fin.cal]]-DATOS_[[#This Row],[F.ini.cal]]+1)/($D$4-$D$3+1)</f>
        <v>1</v>
      </c>
      <c r="BR538" s="137" t="str">
        <f aca="false">IF(OR(AND(DATOS_[[#This Row],[Fecha Fin Contrato]]&lt;$D$3,DATOS_[[#This Row],[Fecha Fin Contrato]]&lt;&gt;""),DATOS_[[#This Row],[Fecha de Contratación]]&gt;$D$4),"Fuera","Dentro")</f>
        <v>Dentro</v>
      </c>
      <c r="BS538" s="137" t="str">
        <f aca="false" t="array" ref="BS538:BS538">IF(MAX(IF(DATOS_[id]=DATOS_[[#This Row],[id]],DATOS_[F.fin.cal]))=DATOS_[[#This Row],[F.fin.cal]],"Sí","NO")</f>
        <v>Sí</v>
      </c>
      <c r="BT538" s="137" t="str">
        <f aca="false">IF(AND(DATOS_[[#This Row],[% normaliz]]&lt;&gt;1,DATOS_[[#This Row],[% anualiz]]=1),"Sí","NO")</f>
        <v>Sí</v>
      </c>
      <c r="BU538" s="137" t="str">
        <f aca="false">IF(AND(DATOS_[[#This Row],[% normaliz]]=1,DATOS_[[#This Row],[% anualiz]]&lt;&gt;1),"Sí","NO")</f>
        <v>NO</v>
      </c>
      <c r="BV538" s="137" t="str">
        <f aca="false">IF(AND(DATOS_[[#This Row],[% normaliz]]&lt;&gt;1,DATOS_[[#This Row],[% anualiz]]&lt;&gt;1),"Sí","NO")</f>
        <v>NO</v>
      </c>
      <c r="BW538" s="137" t="str">
        <f aca="false">+IF(DATOS_[[#This Row],[% normaliz]]*DATOS_[[#This Row],[% anualiz]]=1,"NO","Sí")</f>
        <v>Sí</v>
      </c>
      <c r="BX538" s="138" t="e">
        <f aca="false">(DATOS_[[#This Row],[S.BASE]]*(1/DATOS_[[#This Row],[% normaliz]])*(1/DATOS_[[#This Row],[% anualiz]]))*IF(DATOS_[[#This Row],[Check Equiparado]]="Sí",1,0)</f>
        <v>#DIV/0!</v>
      </c>
      <c r="BY5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8" s="138" t="e">
        <f aca="false">+DATOS_[[#This Row],[SALARIO BASE Eq]]+DATOS_[[#This Row],[Tot COMPL.SAL Eq]]</f>
        <v>#DIV/0!</v>
      </c>
      <c r="CA538" s="138" t="e">
        <f aca="false" t="array" ref="CA538:CA5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8" s="138" t="e">
        <f aca="false">+DATOS_[[#This Row],[TOTAL SALARIO Eq]]+DATOS_[[#This Row],[Tot Extrasalarial Eq]]</f>
        <v>#DIV/0!</v>
      </c>
      <c r="CC538" s="139" t="n">
        <f aca="false">DATOS_[[#This Row],[S.BASE]]</f>
        <v>0</v>
      </c>
      <c r="CD538" s="139" t="n">
        <f aca="false">+SUM(DATOS_[[#This Row],[Conc.Sal.01]:[Conc.Sal.30]])</f>
        <v>0</v>
      </c>
      <c r="CE538" s="139" t="n">
        <f aca="false">+DATOS_[[#This Row],[SALARIO BASE Ef]]+DATOS_[[#This Row],[Tot COMPL.SAL Ef]]</f>
        <v>0</v>
      </c>
      <c r="CF538" s="139" t="n">
        <f aca="false">+SUM(DATOS_[[#This Row],[C.Extra.01]:[C.Extra.05]])</f>
        <v>0</v>
      </c>
      <c r="CG538" s="139" t="n">
        <f aca="false">+DATOS_[[#This Row],[TOTAL SALARIO Ef]]+DATOS_[[#This Row],[Tot Extrasalarial Ef]]</f>
        <v>0</v>
      </c>
      <c r="CH538" s="140" t="n">
        <f aca="false">MIN(IF(DATOS_[[#This Row],[Fecha Fin Contrato]]="",$D$4,DATOS_[[#This Row],[Fecha Fin Contrato]]),$D$4)-MAX(DATOS_[[#This Row],[Fecha de Contratación]],$D$3)+1</f>
        <v>1</v>
      </c>
      <c r="CI538" s="141" t="str">
        <f aca="false">IF(COUNTIFS(DATOS_[id],DATOS_[[#This Row],[id]])&gt;1,DATOS_[[#This Row],[id]],"")</f>
        <v/>
      </c>
      <c r="CJ538" s="141" t="n">
        <f aca="false">(Inicio!$G$10-DATOS_[[#This Row],[Fecha Nacimiento]])/365.25</f>
        <v>0</v>
      </c>
      <c r="CK538" s="141" t="n">
        <f aca="false">(Inicio!$G$10-DATOS_[[#This Row],[Fecha de Antigüedad]])/365.25</f>
        <v>0</v>
      </c>
      <c r="CL538" s="141" t="e">
        <f aca="false">+VLOOKUP(DATOS_[[#This Row],[Clave de Contrato]],TblTiposContrato13[],3,0)</f>
        <v>#N/A</v>
      </c>
      <c r="CM538" s="141" t="e">
        <f aca="false">+VLOOKUP(DATOS_[[#This Row],[Clave de Contrato]],TblTiposContrato13[],4,0)</f>
        <v>#N/A</v>
      </c>
      <c r="CN538" s="141" t="str">
        <f aca="false">VLOOKUP(DATOS_[[#This Row],[Edad]],CONTRATOS!TblRngEdad,2,1)</f>
        <v>20  o menos</v>
      </c>
      <c r="CO538" s="141" t="str">
        <f aca="false">VLOOKUP(DATOS_[[#This Row],[Antigüedad]],TblRngAntg14[],2,1)</f>
        <v>0 a 1 años</v>
      </c>
    </row>
    <row r="539" customFormat="false" ht="13.8" hidden="false" customHeight="false" outlineLevel="0" collapsed="false">
      <c r="D539" s="128"/>
      <c r="E539" s="129"/>
      <c r="F539" s="129"/>
      <c r="G539" s="129"/>
      <c r="H539" s="130"/>
      <c r="I539" s="131"/>
      <c r="J539" s="128"/>
      <c r="K539" s="132"/>
      <c r="L539" s="132"/>
      <c r="M539" s="133"/>
      <c r="N539" s="133"/>
      <c r="O539" s="133"/>
      <c r="P539" s="129"/>
      <c r="Z539" s="75"/>
      <c r="AA539" s="76"/>
      <c r="AB539" s="76"/>
      <c r="AC539" s="129"/>
      <c r="AD539" s="134"/>
      <c r="AE539" s="134"/>
      <c r="AF539" s="134"/>
      <c r="AG539" s="134"/>
      <c r="AH539" s="134"/>
      <c r="AI539" s="134"/>
      <c r="AJ539" s="134"/>
      <c r="AK539" s="134"/>
      <c r="AL539" s="134"/>
      <c r="AM539" s="134"/>
      <c r="AN539" s="134"/>
      <c r="AO539" s="134"/>
      <c r="AP539" s="134"/>
      <c r="AQ539" s="134"/>
      <c r="AR539" s="134"/>
      <c r="AS539" s="134"/>
      <c r="AT539" s="134"/>
      <c r="AU539" s="134"/>
      <c r="AV539" s="134"/>
      <c r="AW539" s="134"/>
      <c r="AX539" s="134"/>
      <c r="AY539" s="134"/>
      <c r="AZ539" s="134"/>
      <c r="BA539" s="134"/>
      <c r="BB539" s="134"/>
      <c r="BC539" s="134"/>
      <c r="BD539" s="134"/>
      <c r="BE539" s="134"/>
      <c r="BF539" s="134"/>
      <c r="BG539" s="134"/>
      <c r="BH539" s="134"/>
      <c r="BI539" s="134"/>
      <c r="BJ539" s="134"/>
      <c r="BK539" s="134"/>
      <c r="BL539" s="134"/>
      <c r="BM539" s="135"/>
      <c r="BN539" s="136" t="n">
        <f aca="false">+MAX($D$3,DATOS_[[#This Row],[Fecha Inicio Sit. Contract.]])</f>
        <v>0</v>
      </c>
      <c r="BO539" s="136" t="n">
        <f aca="false">+MIN($D$4,DATOS_[[#This Row],[Fecha Fin Sit. Contract.]])</f>
        <v>0</v>
      </c>
      <c r="BP539" s="137" t="n">
        <f aca="false">+DATOS_[[#This Row],[% de jornada]]*IF(DATOS_[[#This Row],[% jornada reducida]]="",1,DATOS_[[#This Row],[% jornada reducida]])</f>
        <v>0</v>
      </c>
      <c r="BQ539" s="137" t="n">
        <f aca="false">+(DATOS_[[#This Row],[F.fin.cal]]-DATOS_[[#This Row],[F.ini.cal]]+1)/($D$4-$D$3+1)</f>
        <v>1</v>
      </c>
      <c r="BR539" s="137" t="str">
        <f aca="false">IF(OR(AND(DATOS_[[#This Row],[Fecha Fin Contrato]]&lt;$D$3,DATOS_[[#This Row],[Fecha Fin Contrato]]&lt;&gt;""),DATOS_[[#This Row],[Fecha de Contratación]]&gt;$D$4),"Fuera","Dentro")</f>
        <v>Dentro</v>
      </c>
      <c r="BS539" s="137" t="str">
        <f aca="false" t="array" ref="BS539:BS539">IF(MAX(IF(DATOS_[id]=DATOS_[[#This Row],[id]],DATOS_[F.fin.cal]))=DATOS_[[#This Row],[F.fin.cal]],"Sí","NO")</f>
        <v>Sí</v>
      </c>
      <c r="BT539" s="137" t="str">
        <f aca="false">IF(AND(DATOS_[[#This Row],[% normaliz]]&lt;&gt;1,DATOS_[[#This Row],[% anualiz]]=1),"Sí","NO")</f>
        <v>Sí</v>
      </c>
      <c r="BU539" s="137" t="str">
        <f aca="false">IF(AND(DATOS_[[#This Row],[% normaliz]]=1,DATOS_[[#This Row],[% anualiz]]&lt;&gt;1),"Sí","NO")</f>
        <v>NO</v>
      </c>
      <c r="BV539" s="137" t="str">
        <f aca="false">IF(AND(DATOS_[[#This Row],[% normaliz]]&lt;&gt;1,DATOS_[[#This Row],[% anualiz]]&lt;&gt;1),"Sí","NO")</f>
        <v>NO</v>
      </c>
      <c r="BW539" s="137" t="str">
        <f aca="false">+IF(DATOS_[[#This Row],[% normaliz]]*DATOS_[[#This Row],[% anualiz]]=1,"NO","Sí")</f>
        <v>Sí</v>
      </c>
      <c r="BX539" s="138" t="e">
        <f aca="false">(DATOS_[[#This Row],[S.BASE]]*(1/DATOS_[[#This Row],[% normaliz]])*(1/DATOS_[[#This Row],[% anualiz]]))*IF(DATOS_[[#This Row],[Check Equiparado]]="Sí",1,0)</f>
        <v>#DIV/0!</v>
      </c>
      <c r="BY5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9" s="138" t="e">
        <f aca="false">+DATOS_[[#This Row],[SALARIO BASE Eq]]+DATOS_[[#This Row],[Tot COMPL.SAL Eq]]</f>
        <v>#DIV/0!</v>
      </c>
      <c r="CA539" s="138" t="e">
        <f aca="false" t="array" ref="CA539:CA5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9" s="138" t="e">
        <f aca="false">+DATOS_[[#This Row],[TOTAL SALARIO Eq]]+DATOS_[[#This Row],[Tot Extrasalarial Eq]]</f>
        <v>#DIV/0!</v>
      </c>
      <c r="CC539" s="139" t="n">
        <f aca="false">DATOS_[[#This Row],[S.BASE]]</f>
        <v>0</v>
      </c>
      <c r="CD539" s="139" t="n">
        <f aca="false">+SUM(DATOS_[[#This Row],[Conc.Sal.01]:[Conc.Sal.30]])</f>
        <v>0</v>
      </c>
      <c r="CE539" s="139" t="n">
        <f aca="false">+DATOS_[[#This Row],[SALARIO BASE Ef]]+DATOS_[[#This Row],[Tot COMPL.SAL Ef]]</f>
        <v>0</v>
      </c>
      <c r="CF539" s="139" t="n">
        <f aca="false">+SUM(DATOS_[[#This Row],[C.Extra.01]:[C.Extra.05]])</f>
        <v>0</v>
      </c>
      <c r="CG539" s="139" t="n">
        <f aca="false">+DATOS_[[#This Row],[TOTAL SALARIO Ef]]+DATOS_[[#This Row],[Tot Extrasalarial Ef]]</f>
        <v>0</v>
      </c>
      <c r="CH539" s="140" t="n">
        <f aca="false">MIN(IF(DATOS_[[#This Row],[Fecha Fin Contrato]]="",$D$4,DATOS_[[#This Row],[Fecha Fin Contrato]]),$D$4)-MAX(DATOS_[[#This Row],[Fecha de Contratación]],$D$3)+1</f>
        <v>1</v>
      </c>
      <c r="CI539" s="141" t="str">
        <f aca="false">IF(COUNTIFS(DATOS_[id],DATOS_[[#This Row],[id]])&gt;1,DATOS_[[#This Row],[id]],"")</f>
        <v/>
      </c>
      <c r="CJ539" s="141" t="n">
        <f aca="false">(Inicio!$G$10-DATOS_[[#This Row],[Fecha Nacimiento]])/365.25</f>
        <v>0</v>
      </c>
      <c r="CK539" s="141" t="n">
        <f aca="false">(Inicio!$G$10-DATOS_[[#This Row],[Fecha de Antigüedad]])/365.25</f>
        <v>0</v>
      </c>
      <c r="CL539" s="141" t="e">
        <f aca="false">+VLOOKUP(DATOS_[[#This Row],[Clave de Contrato]],TblTiposContrato13[],3,0)</f>
        <v>#N/A</v>
      </c>
      <c r="CM539" s="141" t="e">
        <f aca="false">+VLOOKUP(DATOS_[[#This Row],[Clave de Contrato]],TblTiposContrato13[],4,0)</f>
        <v>#N/A</v>
      </c>
      <c r="CN539" s="141" t="str">
        <f aca="false">VLOOKUP(DATOS_[[#This Row],[Edad]],CONTRATOS!TblRngEdad,2,1)</f>
        <v>20  o menos</v>
      </c>
      <c r="CO539" s="141" t="str">
        <f aca="false">VLOOKUP(DATOS_[[#This Row],[Antigüedad]],TblRngAntg14[],2,1)</f>
        <v>0 a 1 años</v>
      </c>
    </row>
    <row r="540" customFormat="false" ht="13.8" hidden="false" customHeight="false" outlineLevel="0" collapsed="false">
      <c r="D540" s="128"/>
      <c r="E540" s="129"/>
      <c r="F540" s="129"/>
      <c r="G540" s="129"/>
      <c r="H540" s="130"/>
      <c r="I540" s="131"/>
      <c r="J540" s="128"/>
      <c r="K540" s="132"/>
      <c r="L540" s="132"/>
      <c r="M540" s="133"/>
      <c r="N540" s="133"/>
      <c r="O540" s="133"/>
      <c r="P540" s="129"/>
      <c r="Z540" s="75"/>
      <c r="AA540" s="76"/>
      <c r="AB540" s="76"/>
      <c r="AC540" s="129"/>
      <c r="AD540" s="134"/>
      <c r="AE540" s="134"/>
      <c r="AF540" s="134"/>
      <c r="AG540" s="134"/>
      <c r="AH540" s="134"/>
      <c r="AI540" s="134"/>
      <c r="AJ540" s="134"/>
      <c r="AK540" s="134"/>
      <c r="AL540" s="134"/>
      <c r="AM540" s="134"/>
      <c r="AN540" s="134"/>
      <c r="AO540" s="134"/>
      <c r="AP540" s="134"/>
      <c r="AQ540" s="134"/>
      <c r="AR540" s="134"/>
      <c r="AS540" s="134"/>
      <c r="AT540" s="134"/>
      <c r="AU540" s="134"/>
      <c r="AV540" s="134"/>
      <c r="AW540" s="134"/>
      <c r="AX540" s="134"/>
      <c r="AY540" s="134"/>
      <c r="AZ540" s="134"/>
      <c r="BA540" s="134"/>
      <c r="BB540" s="134"/>
      <c r="BC540" s="134"/>
      <c r="BD540" s="134"/>
      <c r="BE540" s="134"/>
      <c r="BF540" s="134"/>
      <c r="BG540" s="134"/>
      <c r="BH540" s="134"/>
      <c r="BI540" s="134"/>
      <c r="BJ540" s="134"/>
      <c r="BK540" s="134"/>
      <c r="BL540" s="134"/>
      <c r="BM540" s="135"/>
      <c r="BN540" s="136" t="n">
        <f aca="false">+MAX($D$3,DATOS_[[#This Row],[Fecha Inicio Sit. Contract.]])</f>
        <v>0</v>
      </c>
      <c r="BO540" s="136" t="n">
        <f aca="false">+MIN($D$4,DATOS_[[#This Row],[Fecha Fin Sit. Contract.]])</f>
        <v>0</v>
      </c>
      <c r="BP540" s="137" t="n">
        <f aca="false">+DATOS_[[#This Row],[% de jornada]]*IF(DATOS_[[#This Row],[% jornada reducida]]="",1,DATOS_[[#This Row],[% jornada reducida]])</f>
        <v>0</v>
      </c>
      <c r="BQ540" s="137" t="n">
        <f aca="false">+(DATOS_[[#This Row],[F.fin.cal]]-DATOS_[[#This Row],[F.ini.cal]]+1)/($D$4-$D$3+1)</f>
        <v>1</v>
      </c>
      <c r="BR540" s="137" t="str">
        <f aca="false">IF(OR(AND(DATOS_[[#This Row],[Fecha Fin Contrato]]&lt;$D$3,DATOS_[[#This Row],[Fecha Fin Contrato]]&lt;&gt;""),DATOS_[[#This Row],[Fecha de Contratación]]&gt;$D$4),"Fuera","Dentro")</f>
        <v>Dentro</v>
      </c>
      <c r="BS540" s="137" t="str">
        <f aca="false" t="array" ref="BS540:BS540">IF(MAX(IF(DATOS_[id]=DATOS_[[#This Row],[id]],DATOS_[F.fin.cal]))=DATOS_[[#This Row],[F.fin.cal]],"Sí","NO")</f>
        <v>Sí</v>
      </c>
      <c r="BT540" s="137" t="str">
        <f aca="false">IF(AND(DATOS_[[#This Row],[% normaliz]]&lt;&gt;1,DATOS_[[#This Row],[% anualiz]]=1),"Sí","NO")</f>
        <v>Sí</v>
      </c>
      <c r="BU540" s="137" t="str">
        <f aca="false">IF(AND(DATOS_[[#This Row],[% normaliz]]=1,DATOS_[[#This Row],[% anualiz]]&lt;&gt;1),"Sí","NO")</f>
        <v>NO</v>
      </c>
      <c r="BV540" s="137" t="str">
        <f aca="false">IF(AND(DATOS_[[#This Row],[% normaliz]]&lt;&gt;1,DATOS_[[#This Row],[% anualiz]]&lt;&gt;1),"Sí","NO")</f>
        <v>NO</v>
      </c>
      <c r="BW540" s="137" t="str">
        <f aca="false">+IF(DATOS_[[#This Row],[% normaliz]]*DATOS_[[#This Row],[% anualiz]]=1,"NO","Sí")</f>
        <v>Sí</v>
      </c>
      <c r="BX540" s="138" t="e">
        <f aca="false">(DATOS_[[#This Row],[S.BASE]]*(1/DATOS_[[#This Row],[% normaliz]])*(1/DATOS_[[#This Row],[% anualiz]]))*IF(DATOS_[[#This Row],[Check Equiparado]]="Sí",1,0)</f>
        <v>#DIV/0!</v>
      </c>
      <c r="BY5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0" s="138" t="e">
        <f aca="false">+DATOS_[[#This Row],[SALARIO BASE Eq]]+DATOS_[[#This Row],[Tot COMPL.SAL Eq]]</f>
        <v>#DIV/0!</v>
      </c>
      <c r="CA540" s="138" t="e">
        <f aca="false" t="array" ref="CA540:CA5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0" s="138" t="e">
        <f aca="false">+DATOS_[[#This Row],[TOTAL SALARIO Eq]]+DATOS_[[#This Row],[Tot Extrasalarial Eq]]</f>
        <v>#DIV/0!</v>
      </c>
      <c r="CC540" s="139" t="n">
        <f aca="false">DATOS_[[#This Row],[S.BASE]]</f>
        <v>0</v>
      </c>
      <c r="CD540" s="139" t="n">
        <f aca="false">+SUM(DATOS_[[#This Row],[Conc.Sal.01]:[Conc.Sal.30]])</f>
        <v>0</v>
      </c>
      <c r="CE540" s="139" t="n">
        <f aca="false">+DATOS_[[#This Row],[SALARIO BASE Ef]]+DATOS_[[#This Row],[Tot COMPL.SAL Ef]]</f>
        <v>0</v>
      </c>
      <c r="CF540" s="139" t="n">
        <f aca="false">+SUM(DATOS_[[#This Row],[C.Extra.01]:[C.Extra.05]])</f>
        <v>0</v>
      </c>
      <c r="CG540" s="139" t="n">
        <f aca="false">+DATOS_[[#This Row],[TOTAL SALARIO Ef]]+DATOS_[[#This Row],[Tot Extrasalarial Ef]]</f>
        <v>0</v>
      </c>
      <c r="CH540" s="140" t="n">
        <f aca="false">MIN(IF(DATOS_[[#This Row],[Fecha Fin Contrato]]="",$D$4,DATOS_[[#This Row],[Fecha Fin Contrato]]),$D$4)-MAX(DATOS_[[#This Row],[Fecha de Contratación]],$D$3)+1</f>
        <v>1</v>
      </c>
      <c r="CI540" s="141" t="str">
        <f aca="false">IF(COUNTIFS(DATOS_[id],DATOS_[[#This Row],[id]])&gt;1,DATOS_[[#This Row],[id]],"")</f>
        <v/>
      </c>
      <c r="CJ540" s="141" t="n">
        <f aca="false">(Inicio!$G$10-DATOS_[[#This Row],[Fecha Nacimiento]])/365.25</f>
        <v>0</v>
      </c>
      <c r="CK540" s="141" t="n">
        <f aca="false">(Inicio!$G$10-DATOS_[[#This Row],[Fecha de Antigüedad]])/365.25</f>
        <v>0</v>
      </c>
      <c r="CL540" s="141" t="e">
        <f aca="false">+VLOOKUP(DATOS_[[#This Row],[Clave de Contrato]],TblTiposContrato13[],3,0)</f>
        <v>#N/A</v>
      </c>
      <c r="CM540" s="141" t="e">
        <f aca="false">+VLOOKUP(DATOS_[[#This Row],[Clave de Contrato]],TblTiposContrato13[],4,0)</f>
        <v>#N/A</v>
      </c>
      <c r="CN540" s="141" t="str">
        <f aca="false">VLOOKUP(DATOS_[[#This Row],[Edad]],CONTRATOS!TblRngEdad,2,1)</f>
        <v>20  o menos</v>
      </c>
      <c r="CO540" s="141" t="str">
        <f aca="false">VLOOKUP(DATOS_[[#This Row],[Antigüedad]],TblRngAntg14[],2,1)</f>
        <v>0 a 1 años</v>
      </c>
    </row>
    <row r="541" customFormat="false" ht="13.8" hidden="false" customHeight="false" outlineLevel="0" collapsed="false">
      <c r="D541" s="128"/>
      <c r="E541" s="129"/>
      <c r="F541" s="129"/>
      <c r="G541" s="129"/>
      <c r="H541" s="130"/>
      <c r="I541" s="131"/>
      <c r="J541" s="128"/>
      <c r="K541" s="132"/>
      <c r="L541" s="132"/>
      <c r="M541" s="133"/>
      <c r="N541" s="133"/>
      <c r="O541" s="133"/>
      <c r="P541" s="129"/>
      <c r="Z541" s="75"/>
      <c r="AA541" s="76"/>
      <c r="AB541" s="76"/>
      <c r="AC541" s="129"/>
      <c r="AD541" s="134"/>
      <c r="AE541" s="134"/>
      <c r="AF541" s="134"/>
      <c r="AG541" s="134"/>
      <c r="AH541" s="134"/>
      <c r="AI541" s="134"/>
      <c r="AJ541" s="134"/>
      <c r="AK541" s="134"/>
      <c r="AL541" s="134"/>
      <c r="AM541" s="134"/>
      <c r="AN541" s="134"/>
      <c r="AO541" s="134"/>
      <c r="AP541" s="134"/>
      <c r="AQ541" s="134"/>
      <c r="AR541" s="134"/>
      <c r="AS541" s="134"/>
      <c r="AT541" s="134"/>
      <c r="AU541" s="134"/>
      <c r="AV541" s="134"/>
      <c r="AW541" s="134"/>
      <c r="AX541" s="134"/>
      <c r="AY541" s="134"/>
      <c r="AZ541" s="134"/>
      <c r="BA541" s="134"/>
      <c r="BB541" s="134"/>
      <c r="BC541" s="134"/>
      <c r="BD541" s="134"/>
      <c r="BE541" s="134"/>
      <c r="BF541" s="134"/>
      <c r="BG541" s="134"/>
      <c r="BH541" s="134"/>
      <c r="BI541" s="134"/>
      <c r="BJ541" s="134"/>
      <c r="BK541" s="134"/>
      <c r="BL541" s="134"/>
      <c r="BM541" s="135"/>
      <c r="BN541" s="136" t="n">
        <f aca="false">+MAX($D$3,DATOS_[[#This Row],[Fecha Inicio Sit. Contract.]])</f>
        <v>0</v>
      </c>
      <c r="BO541" s="136" t="n">
        <f aca="false">+MIN($D$4,DATOS_[[#This Row],[Fecha Fin Sit. Contract.]])</f>
        <v>0</v>
      </c>
      <c r="BP541" s="137" t="n">
        <f aca="false">+DATOS_[[#This Row],[% de jornada]]*IF(DATOS_[[#This Row],[% jornada reducida]]="",1,DATOS_[[#This Row],[% jornada reducida]])</f>
        <v>0</v>
      </c>
      <c r="BQ541" s="137" t="n">
        <f aca="false">+(DATOS_[[#This Row],[F.fin.cal]]-DATOS_[[#This Row],[F.ini.cal]]+1)/($D$4-$D$3+1)</f>
        <v>1</v>
      </c>
      <c r="BR541" s="137" t="str">
        <f aca="false">IF(OR(AND(DATOS_[[#This Row],[Fecha Fin Contrato]]&lt;$D$3,DATOS_[[#This Row],[Fecha Fin Contrato]]&lt;&gt;""),DATOS_[[#This Row],[Fecha de Contratación]]&gt;$D$4),"Fuera","Dentro")</f>
        <v>Dentro</v>
      </c>
      <c r="BS541" s="137" t="str">
        <f aca="false" t="array" ref="BS541:BS541">IF(MAX(IF(DATOS_[id]=DATOS_[[#This Row],[id]],DATOS_[F.fin.cal]))=DATOS_[[#This Row],[F.fin.cal]],"Sí","NO")</f>
        <v>Sí</v>
      </c>
      <c r="BT541" s="137" t="str">
        <f aca="false">IF(AND(DATOS_[[#This Row],[% normaliz]]&lt;&gt;1,DATOS_[[#This Row],[% anualiz]]=1),"Sí","NO")</f>
        <v>Sí</v>
      </c>
      <c r="BU541" s="137" t="str">
        <f aca="false">IF(AND(DATOS_[[#This Row],[% normaliz]]=1,DATOS_[[#This Row],[% anualiz]]&lt;&gt;1),"Sí","NO")</f>
        <v>NO</v>
      </c>
      <c r="BV541" s="137" t="str">
        <f aca="false">IF(AND(DATOS_[[#This Row],[% normaliz]]&lt;&gt;1,DATOS_[[#This Row],[% anualiz]]&lt;&gt;1),"Sí","NO")</f>
        <v>NO</v>
      </c>
      <c r="BW541" s="137" t="str">
        <f aca="false">+IF(DATOS_[[#This Row],[% normaliz]]*DATOS_[[#This Row],[% anualiz]]=1,"NO","Sí")</f>
        <v>Sí</v>
      </c>
      <c r="BX541" s="138" t="e">
        <f aca="false">(DATOS_[[#This Row],[S.BASE]]*(1/DATOS_[[#This Row],[% normaliz]])*(1/DATOS_[[#This Row],[% anualiz]]))*IF(DATOS_[[#This Row],[Check Equiparado]]="Sí",1,0)</f>
        <v>#DIV/0!</v>
      </c>
      <c r="BY5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1" s="138" t="e">
        <f aca="false">+DATOS_[[#This Row],[SALARIO BASE Eq]]+DATOS_[[#This Row],[Tot COMPL.SAL Eq]]</f>
        <v>#DIV/0!</v>
      </c>
      <c r="CA541" s="138" t="e">
        <f aca="false" t="array" ref="CA541:CA5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1" s="138" t="e">
        <f aca="false">+DATOS_[[#This Row],[TOTAL SALARIO Eq]]+DATOS_[[#This Row],[Tot Extrasalarial Eq]]</f>
        <v>#DIV/0!</v>
      </c>
      <c r="CC541" s="139" t="n">
        <f aca="false">DATOS_[[#This Row],[S.BASE]]</f>
        <v>0</v>
      </c>
      <c r="CD541" s="139" t="n">
        <f aca="false">+SUM(DATOS_[[#This Row],[Conc.Sal.01]:[Conc.Sal.30]])</f>
        <v>0</v>
      </c>
      <c r="CE541" s="139" t="n">
        <f aca="false">+DATOS_[[#This Row],[SALARIO BASE Ef]]+DATOS_[[#This Row],[Tot COMPL.SAL Ef]]</f>
        <v>0</v>
      </c>
      <c r="CF541" s="139" t="n">
        <f aca="false">+SUM(DATOS_[[#This Row],[C.Extra.01]:[C.Extra.05]])</f>
        <v>0</v>
      </c>
      <c r="CG541" s="139" t="n">
        <f aca="false">+DATOS_[[#This Row],[TOTAL SALARIO Ef]]+DATOS_[[#This Row],[Tot Extrasalarial Ef]]</f>
        <v>0</v>
      </c>
      <c r="CH541" s="140" t="n">
        <f aca="false">MIN(IF(DATOS_[[#This Row],[Fecha Fin Contrato]]="",$D$4,DATOS_[[#This Row],[Fecha Fin Contrato]]),$D$4)-MAX(DATOS_[[#This Row],[Fecha de Contratación]],$D$3)+1</f>
        <v>1</v>
      </c>
      <c r="CI541" s="141" t="str">
        <f aca="false">IF(COUNTIFS(DATOS_[id],DATOS_[[#This Row],[id]])&gt;1,DATOS_[[#This Row],[id]],"")</f>
        <v/>
      </c>
      <c r="CJ541" s="141" t="n">
        <f aca="false">(Inicio!$G$10-DATOS_[[#This Row],[Fecha Nacimiento]])/365.25</f>
        <v>0</v>
      </c>
      <c r="CK541" s="141" t="n">
        <f aca="false">(Inicio!$G$10-DATOS_[[#This Row],[Fecha de Antigüedad]])/365.25</f>
        <v>0</v>
      </c>
      <c r="CL541" s="141" t="e">
        <f aca="false">+VLOOKUP(DATOS_[[#This Row],[Clave de Contrato]],TblTiposContrato13[],3,0)</f>
        <v>#N/A</v>
      </c>
      <c r="CM541" s="141" t="e">
        <f aca="false">+VLOOKUP(DATOS_[[#This Row],[Clave de Contrato]],TblTiposContrato13[],4,0)</f>
        <v>#N/A</v>
      </c>
      <c r="CN541" s="141" t="str">
        <f aca="false">VLOOKUP(DATOS_[[#This Row],[Edad]],CONTRATOS!TblRngEdad,2,1)</f>
        <v>20  o menos</v>
      </c>
      <c r="CO541" s="141" t="str">
        <f aca="false">VLOOKUP(DATOS_[[#This Row],[Antigüedad]],TblRngAntg14[],2,1)</f>
        <v>0 a 1 años</v>
      </c>
    </row>
    <row r="542" customFormat="false" ht="13.8" hidden="false" customHeight="false" outlineLevel="0" collapsed="false">
      <c r="D542" s="128"/>
      <c r="E542" s="129"/>
      <c r="F542" s="129"/>
      <c r="G542" s="129"/>
      <c r="H542" s="130"/>
      <c r="I542" s="131"/>
      <c r="J542" s="128"/>
      <c r="K542" s="132"/>
      <c r="L542" s="132"/>
      <c r="M542" s="133"/>
      <c r="N542" s="133"/>
      <c r="O542" s="133"/>
      <c r="P542" s="129"/>
      <c r="Z542" s="75"/>
      <c r="AA542" s="76"/>
      <c r="AB542" s="76"/>
      <c r="AC542" s="129"/>
      <c r="AD542" s="134"/>
      <c r="AE542" s="134"/>
      <c r="AF542" s="134"/>
      <c r="AG542" s="134"/>
      <c r="AH542" s="134"/>
      <c r="AI542" s="134"/>
      <c r="AJ542" s="134"/>
      <c r="AK542" s="134"/>
      <c r="AL542" s="134"/>
      <c r="AM542" s="134"/>
      <c r="AN542" s="134"/>
      <c r="AO542" s="134"/>
      <c r="AP542" s="134"/>
      <c r="AQ542" s="134"/>
      <c r="AR542" s="134"/>
      <c r="AS542" s="134"/>
      <c r="AT542" s="134"/>
      <c r="AU542" s="134"/>
      <c r="AV542" s="134"/>
      <c r="AW542" s="134"/>
      <c r="AX542" s="134"/>
      <c r="AY542" s="134"/>
      <c r="AZ542" s="134"/>
      <c r="BA542" s="134"/>
      <c r="BB542" s="134"/>
      <c r="BC542" s="134"/>
      <c r="BD542" s="134"/>
      <c r="BE542" s="134"/>
      <c r="BF542" s="134"/>
      <c r="BG542" s="134"/>
      <c r="BH542" s="134"/>
      <c r="BI542" s="134"/>
      <c r="BJ542" s="134"/>
      <c r="BK542" s="134"/>
      <c r="BL542" s="134"/>
      <c r="BM542" s="135"/>
      <c r="BN542" s="136" t="n">
        <f aca="false">+MAX($D$3,DATOS_[[#This Row],[Fecha Inicio Sit. Contract.]])</f>
        <v>0</v>
      </c>
      <c r="BO542" s="136" t="n">
        <f aca="false">+MIN($D$4,DATOS_[[#This Row],[Fecha Fin Sit. Contract.]])</f>
        <v>0</v>
      </c>
      <c r="BP542" s="137" t="n">
        <f aca="false">+DATOS_[[#This Row],[% de jornada]]*IF(DATOS_[[#This Row],[% jornada reducida]]="",1,DATOS_[[#This Row],[% jornada reducida]])</f>
        <v>0</v>
      </c>
      <c r="BQ542" s="137" t="n">
        <f aca="false">+(DATOS_[[#This Row],[F.fin.cal]]-DATOS_[[#This Row],[F.ini.cal]]+1)/($D$4-$D$3+1)</f>
        <v>1</v>
      </c>
      <c r="BR542" s="137" t="str">
        <f aca="false">IF(OR(AND(DATOS_[[#This Row],[Fecha Fin Contrato]]&lt;$D$3,DATOS_[[#This Row],[Fecha Fin Contrato]]&lt;&gt;""),DATOS_[[#This Row],[Fecha de Contratación]]&gt;$D$4),"Fuera","Dentro")</f>
        <v>Dentro</v>
      </c>
      <c r="BS542" s="137" t="str">
        <f aca="false" t="array" ref="BS542:BS542">IF(MAX(IF(DATOS_[id]=DATOS_[[#This Row],[id]],DATOS_[F.fin.cal]))=DATOS_[[#This Row],[F.fin.cal]],"Sí","NO")</f>
        <v>Sí</v>
      </c>
      <c r="BT542" s="137" t="str">
        <f aca="false">IF(AND(DATOS_[[#This Row],[% normaliz]]&lt;&gt;1,DATOS_[[#This Row],[% anualiz]]=1),"Sí","NO")</f>
        <v>Sí</v>
      </c>
      <c r="BU542" s="137" t="str">
        <f aca="false">IF(AND(DATOS_[[#This Row],[% normaliz]]=1,DATOS_[[#This Row],[% anualiz]]&lt;&gt;1),"Sí","NO")</f>
        <v>NO</v>
      </c>
      <c r="BV542" s="137" t="str">
        <f aca="false">IF(AND(DATOS_[[#This Row],[% normaliz]]&lt;&gt;1,DATOS_[[#This Row],[% anualiz]]&lt;&gt;1),"Sí","NO")</f>
        <v>NO</v>
      </c>
      <c r="BW542" s="137" t="str">
        <f aca="false">+IF(DATOS_[[#This Row],[% normaliz]]*DATOS_[[#This Row],[% anualiz]]=1,"NO","Sí")</f>
        <v>Sí</v>
      </c>
      <c r="BX542" s="138" t="e">
        <f aca="false">(DATOS_[[#This Row],[S.BASE]]*(1/DATOS_[[#This Row],[% normaliz]])*(1/DATOS_[[#This Row],[% anualiz]]))*IF(DATOS_[[#This Row],[Check Equiparado]]="Sí",1,0)</f>
        <v>#DIV/0!</v>
      </c>
      <c r="BY5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2" s="138" t="e">
        <f aca="false">+DATOS_[[#This Row],[SALARIO BASE Eq]]+DATOS_[[#This Row],[Tot COMPL.SAL Eq]]</f>
        <v>#DIV/0!</v>
      </c>
      <c r="CA542" s="138" t="e">
        <f aca="false" t="array" ref="CA542:CA5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2" s="138" t="e">
        <f aca="false">+DATOS_[[#This Row],[TOTAL SALARIO Eq]]+DATOS_[[#This Row],[Tot Extrasalarial Eq]]</f>
        <v>#DIV/0!</v>
      </c>
      <c r="CC542" s="139" t="n">
        <f aca="false">DATOS_[[#This Row],[S.BASE]]</f>
        <v>0</v>
      </c>
      <c r="CD542" s="139" t="n">
        <f aca="false">+SUM(DATOS_[[#This Row],[Conc.Sal.01]:[Conc.Sal.30]])</f>
        <v>0</v>
      </c>
      <c r="CE542" s="139" t="n">
        <f aca="false">+DATOS_[[#This Row],[SALARIO BASE Ef]]+DATOS_[[#This Row],[Tot COMPL.SAL Ef]]</f>
        <v>0</v>
      </c>
      <c r="CF542" s="139" t="n">
        <f aca="false">+SUM(DATOS_[[#This Row],[C.Extra.01]:[C.Extra.05]])</f>
        <v>0</v>
      </c>
      <c r="CG542" s="139" t="n">
        <f aca="false">+DATOS_[[#This Row],[TOTAL SALARIO Ef]]+DATOS_[[#This Row],[Tot Extrasalarial Ef]]</f>
        <v>0</v>
      </c>
      <c r="CH542" s="140" t="n">
        <f aca="false">MIN(IF(DATOS_[[#This Row],[Fecha Fin Contrato]]="",$D$4,DATOS_[[#This Row],[Fecha Fin Contrato]]),$D$4)-MAX(DATOS_[[#This Row],[Fecha de Contratación]],$D$3)+1</f>
        <v>1</v>
      </c>
      <c r="CI542" s="141" t="str">
        <f aca="false">IF(COUNTIFS(DATOS_[id],DATOS_[[#This Row],[id]])&gt;1,DATOS_[[#This Row],[id]],"")</f>
        <v/>
      </c>
      <c r="CJ542" s="141" t="n">
        <f aca="false">(Inicio!$G$10-DATOS_[[#This Row],[Fecha Nacimiento]])/365.25</f>
        <v>0</v>
      </c>
      <c r="CK542" s="141" t="n">
        <f aca="false">(Inicio!$G$10-DATOS_[[#This Row],[Fecha de Antigüedad]])/365.25</f>
        <v>0</v>
      </c>
      <c r="CL542" s="141" t="e">
        <f aca="false">+VLOOKUP(DATOS_[[#This Row],[Clave de Contrato]],TblTiposContrato13[],3,0)</f>
        <v>#N/A</v>
      </c>
      <c r="CM542" s="141" t="e">
        <f aca="false">+VLOOKUP(DATOS_[[#This Row],[Clave de Contrato]],TblTiposContrato13[],4,0)</f>
        <v>#N/A</v>
      </c>
      <c r="CN542" s="141" t="str">
        <f aca="false">VLOOKUP(DATOS_[[#This Row],[Edad]],CONTRATOS!TblRngEdad,2,1)</f>
        <v>20  o menos</v>
      </c>
      <c r="CO542" s="141" t="str">
        <f aca="false">VLOOKUP(DATOS_[[#This Row],[Antigüedad]],TblRngAntg14[],2,1)</f>
        <v>0 a 1 años</v>
      </c>
    </row>
    <row r="543" customFormat="false" ht="13.8" hidden="false" customHeight="false" outlineLevel="0" collapsed="false">
      <c r="D543" s="128"/>
      <c r="E543" s="129"/>
      <c r="F543" s="129"/>
      <c r="G543" s="129"/>
      <c r="H543" s="130"/>
      <c r="I543" s="131"/>
      <c r="J543" s="128"/>
      <c r="K543" s="132"/>
      <c r="L543" s="132"/>
      <c r="M543" s="133"/>
      <c r="N543" s="133"/>
      <c r="O543" s="133"/>
      <c r="P543" s="129"/>
      <c r="Z543" s="75"/>
      <c r="AA543" s="76"/>
      <c r="AB543" s="76"/>
      <c r="AC543" s="129"/>
      <c r="AD543" s="134"/>
      <c r="AE543" s="134"/>
      <c r="AF543" s="134"/>
      <c r="AG543" s="134"/>
      <c r="AH543" s="134"/>
      <c r="AI543" s="134"/>
      <c r="AJ543" s="134"/>
      <c r="AK543" s="134"/>
      <c r="AL543" s="134"/>
      <c r="AM543" s="134"/>
      <c r="AN543" s="134"/>
      <c r="AO543" s="134"/>
      <c r="AP543" s="134"/>
      <c r="AQ543" s="134"/>
      <c r="AR543" s="134"/>
      <c r="AS543" s="134"/>
      <c r="AT543" s="134"/>
      <c r="AU543" s="134"/>
      <c r="AV543" s="134"/>
      <c r="AW543" s="134"/>
      <c r="AX543" s="134"/>
      <c r="AY543" s="134"/>
      <c r="AZ543" s="134"/>
      <c r="BA543" s="134"/>
      <c r="BB543" s="134"/>
      <c r="BC543" s="134"/>
      <c r="BD543" s="134"/>
      <c r="BE543" s="134"/>
      <c r="BF543" s="134"/>
      <c r="BG543" s="134"/>
      <c r="BH543" s="134"/>
      <c r="BI543" s="134"/>
      <c r="BJ543" s="134"/>
      <c r="BK543" s="134"/>
      <c r="BL543" s="134"/>
      <c r="BM543" s="135"/>
      <c r="BN543" s="136" t="n">
        <f aca="false">+MAX($D$3,DATOS_[[#This Row],[Fecha Inicio Sit. Contract.]])</f>
        <v>0</v>
      </c>
      <c r="BO543" s="136" t="n">
        <f aca="false">+MIN($D$4,DATOS_[[#This Row],[Fecha Fin Sit. Contract.]])</f>
        <v>0</v>
      </c>
      <c r="BP543" s="137" t="n">
        <f aca="false">+DATOS_[[#This Row],[% de jornada]]*IF(DATOS_[[#This Row],[% jornada reducida]]="",1,DATOS_[[#This Row],[% jornada reducida]])</f>
        <v>0</v>
      </c>
      <c r="BQ543" s="137" t="n">
        <f aca="false">+(DATOS_[[#This Row],[F.fin.cal]]-DATOS_[[#This Row],[F.ini.cal]]+1)/($D$4-$D$3+1)</f>
        <v>1</v>
      </c>
      <c r="BR543" s="137" t="str">
        <f aca="false">IF(OR(AND(DATOS_[[#This Row],[Fecha Fin Contrato]]&lt;$D$3,DATOS_[[#This Row],[Fecha Fin Contrato]]&lt;&gt;""),DATOS_[[#This Row],[Fecha de Contratación]]&gt;$D$4),"Fuera","Dentro")</f>
        <v>Dentro</v>
      </c>
      <c r="BS543" s="137" t="str">
        <f aca="false" t="array" ref="BS543:BS543">IF(MAX(IF(DATOS_[id]=DATOS_[[#This Row],[id]],DATOS_[F.fin.cal]))=DATOS_[[#This Row],[F.fin.cal]],"Sí","NO")</f>
        <v>Sí</v>
      </c>
      <c r="BT543" s="137" t="str">
        <f aca="false">IF(AND(DATOS_[[#This Row],[% normaliz]]&lt;&gt;1,DATOS_[[#This Row],[% anualiz]]=1),"Sí","NO")</f>
        <v>Sí</v>
      </c>
      <c r="BU543" s="137" t="str">
        <f aca="false">IF(AND(DATOS_[[#This Row],[% normaliz]]=1,DATOS_[[#This Row],[% anualiz]]&lt;&gt;1),"Sí","NO")</f>
        <v>NO</v>
      </c>
      <c r="BV543" s="137" t="str">
        <f aca="false">IF(AND(DATOS_[[#This Row],[% normaliz]]&lt;&gt;1,DATOS_[[#This Row],[% anualiz]]&lt;&gt;1),"Sí","NO")</f>
        <v>NO</v>
      </c>
      <c r="BW543" s="137" t="str">
        <f aca="false">+IF(DATOS_[[#This Row],[% normaliz]]*DATOS_[[#This Row],[% anualiz]]=1,"NO","Sí")</f>
        <v>Sí</v>
      </c>
      <c r="BX543" s="138" t="e">
        <f aca="false">(DATOS_[[#This Row],[S.BASE]]*(1/DATOS_[[#This Row],[% normaliz]])*(1/DATOS_[[#This Row],[% anualiz]]))*IF(DATOS_[[#This Row],[Check Equiparado]]="Sí",1,0)</f>
        <v>#DIV/0!</v>
      </c>
      <c r="BY5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3" s="138" t="e">
        <f aca="false">+DATOS_[[#This Row],[SALARIO BASE Eq]]+DATOS_[[#This Row],[Tot COMPL.SAL Eq]]</f>
        <v>#DIV/0!</v>
      </c>
      <c r="CA543" s="138" t="e">
        <f aca="false" t="array" ref="CA543:CA5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3" s="138" t="e">
        <f aca="false">+DATOS_[[#This Row],[TOTAL SALARIO Eq]]+DATOS_[[#This Row],[Tot Extrasalarial Eq]]</f>
        <v>#DIV/0!</v>
      </c>
      <c r="CC543" s="139" t="n">
        <f aca="false">DATOS_[[#This Row],[S.BASE]]</f>
        <v>0</v>
      </c>
      <c r="CD543" s="139" t="n">
        <f aca="false">+SUM(DATOS_[[#This Row],[Conc.Sal.01]:[Conc.Sal.30]])</f>
        <v>0</v>
      </c>
      <c r="CE543" s="139" t="n">
        <f aca="false">+DATOS_[[#This Row],[SALARIO BASE Ef]]+DATOS_[[#This Row],[Tot COMPL.SAL Ef]]</f>
        <v>0</v>
      </c>
      <c r="CF543" s="139" t="n">
        <f aca="false">+SUM(DATOS_[[#This Row],[C.Extra.01]:[C.Extra.05]])</f>
        <v>0</v>
      </c>
      <c r="CG543" s="139" t="n">
        <f aca="false">+DATOS_[[#This Row],[TOTAL SALARIO Ef]]+DATOS_[[#This Row],[Tot Extrasalarial Ef]]</f>
        <v>0</v>
      </c>
      <c r="CH543" s="140" t="n">
        <f aca="false">MIN(IF(DATOS_[[#This Row],[Fecha Fin Contrato]]="",$D$4,DATOS_[[#This Row],[Fecha Fin Contrato]]),$D$4)-MAX(DATOS_[[#This Row],[Fecha de Contratación]],$D$3)+1</f>
        <v>1</v>
      </c>
      <c r="CI543" s="141" t="str">
        <f aca="false">IF(COUNTIFS(DATOS_[id],DATOS_[[#This Row],[id]])&gt;1,DATOS_[[#This Row],[id]],"")</f>
        <v/>
      </c>
      <c r="CJ543" s="141" t="n">
        <f aca="false">(Inicio!$G$10-DATOS_[[#This Row],[Fecha Nacimiento]])/365.25</f>
        <v>0</v>
      </c>
      <c r="CK543" s="141" t="n">
        <f aca="false">(Inicio!$G$10-DATOS_[[#This Row],[Fecha de Antigüedad]])/365.25</f>
        <v>0</v>
      </c>
      <c r="CL543" s="141" t="e">
        <f aca="false">+VLOOKUP(DATOS_[[#This Row],[Clave de Contrato]],TblTiposContrato13[],3,0)</f>
        <v>#N/A</v>
      </c>
      <c r="CM543" s="141" t="e">
        <f aca="false">+VLOOKUP(DATOS_[[#This Row],[Clave de Contrato]],TblTiposContrato13[],4,0)</f>
        <v>#N/A</v>
      </c>
      <c r="CN543" s="141" t="str">
        <f aca="false">VLOOKUP(DATOS_[[#This Row],[Edad]],CONTRATOS!TblRngEdad,2,1)</f>
        <v>20  o menos</v>
      </c>
      <c r="CO543" s="141" t="str">
        <f aca="false">VLOOKUP(DATOS_[[#This Row],[Antigüedad]],TblRngAntg14[],2,1)</f>
        <v>0 a 1 años</v>
      </c>
    </row>
    <row r="544" customFormat="false" ht="13.8" hidden="false" customHeight="false" outlineLevel="0" collapsed="false">
      <c r="D544" s="128"/>
      <c r="E544" s="129"/>
      <c r="F544" s="129"/>
      <c r="G544" s="129"/>
      <c r="H544" s="130"/>
      <c r="I544" s="131"/>
      <c r="J544" s="128"/>
      <c r="K544" s="132"/>
      <c r="L544" s="132"/>
      <c r="M544" s="133"/>
      <c r="N544" s="133"/>
      <c r="O544" s="133"/>
      <c r="P544" s="129"/>
      <c r="Z544" s="75"/>
      <c r="AA544" s="76"/>
      <c r="AB544" s="76"/>
      <c r="AC544" s="129"/>
      <c r="AD544" s="134"/>
      <c r="AE544" s="134"/>
      <c r="AF544" s="134"/>
      <c r="AG544" s="134"/>
      <c r="AH544" s="134"/>
      <c r="AI544" s="134"/>
      <c r="AJ544" s="134"/>
      <c r="AK544" s="134"/>
      <c r="AL544" s="134"/>
      <c r="AM544" s="134"/>
      <c r="AN544" s="134"/>
      <c r="AO544" s="134"/>
      <c r="AP544" s="134"/>
      <c r="AQ544" s="134"/>
      <c r="AR544" s="134"/>
      <c r="AS544" s="134"/>
      <c r="AT544" s="134"/>
      <c r="AU544" s="134"/>
      <c r="AV544" s="134"/>
      <c r="AW544" s="134"/>
      <c r="AX544" s="134"/>
      <c r="AY544" s="134"/>
      <c r="AZ544" s="134"/>
      <c r="BA544" s="134"/>
      <c r="BB544" s="134"/>
      <c r="BC544" s="134"/>
      <c r="BD544" s="134"/>
      <c r="BE544" s="134"/>
      <c r="BF544" s="134"/>
      <c r="BG544" s="134"/>
      <c r="BH544" s="134"/>
      <c r="BI544" s="134"/>
      <c r="BJ544" s="134"/>
      <c r="BK544" s="134"/>
      <c r="BL544" s="134"/>
      <c r="BM544" s="135"/>
      <c r="BN544" s="136" t="n">
        <f aca="false">+MAX($D$3,DATOS_[[#This Row],[Fecha Inicio Sit. Contract.]])</f>
        <v>0</v>
      </c>
      <c r="BO544" s="136" t="n">
        <f aca="false">+MIN($D$4,DATOS_[[#This Row],[Fecha Fin Sit. Contract.]])</f>
        <v>0</v>
      </c>
      <c r="BP544" s="137" t="n">
        <f aca="false">+DATOS_[[#This Row],[% de jornada]]*IF(DATOS_[[#This Row],[% jornada reducida]]="",1,DATOS_[[#This Row],[% jornada reducida]])</f>
        <v>0</v>
      </c>
      <c r="BQ544" s="137" t="n">
        <f aca="false">+(DATOS_[[#This Row],[F.fin.cal]]-DATOS_[[#This Row],[F.ini.cal]]+1)/($D$4-$D$3+1)</f>
        <v>1</v>
      </c>
      <c r="BR544" s="137" t="str">
        <f aca="false">IF(OR(AND(DATOS_[[#This Row],[Fecha Fin Contrato]]&lt;$D$3,DATOS_[[#This Row],[Fecha Fin Contrato]]&lt;&gt;""),DATOS_[[#This Row],[Fecha de Contratación]]&gt;$D$4),"Fuera","Dentro")</f>
        <v>Dentro</v>
      </c>
      <c r="BS544" s="137" t="str">
        <f aca="false" t="array" ref="BS544:BS544">IF(MAX(IF(DATOS_[id]=DATOS_[[#This Row],[id]],DATOS_[F.fin.cal]))=DATOS_[[#This Row],[F.fin.cal]],"Sí","NO")</f>
        <v>Sí</v>
      </c>
      <c r="BT544" s="137" t="str">
        <f aca="false">IF(AND(DATOS_[[#This Row],[% normaliz]]&lt;&gt;1,DATOS_[[#This Row],[% anualiz]]=1),"Sí","NO")</f>
        <v>Sí</v>
      </c>
      <c r="BU544" s="137" t="str">
        <f aca="false">IF(AND(DATOS_[[#This Row],[% normaliz]]=1,DATOS_[[#This Row],[% anualiz]]&lt;&gt;1),"Sí","NO")</f>
        <v>NO</v>
      </c>
      <c r="BV544" s="137" t="str">
        <f aca="false">IF(AND(DATOS_[[#This Row],[% normaliz]]&lt;&gt;1,DATOS_[[#This Row],[% anualiz]]&lt;&gt;1),"Sí","NO")</f>
        <v>NO</v>
      </c>
      <c r="BW544" s="137" t="str">
        <f aca="false">+IF(DATOS_[[#This Row],[% normaliz]]*DATOS_[[#This Row],[% anualiz]]=1,"NO","Sí")</f>
        <v>Sí</v>
      </c>
      <c r="BX544" s="138" t="e">
        <f aca="false">(DATOS_[[#This Row],[S.BASE]]*(1/DATOS_[[#This Row],[% normaliz]])*(1/DATOS_[[#This Row],[% anualiz]]))*IF(DATOS_[[#This Row],[Check Equiparado]]="Sí",1,0)</f>
        <v>#DIV/0!</v>
      </c>
      <c r="BY5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4" s="138" t="e">
        <f aca="false">+DATOS_[[#This Row],[SALARIO BASE Eq]]+DATOS_[[#This Row],[Tot COMPL.SAL Eq]]</f>
        <v>#DIV/0!</v>
      </c>
      <c r="CA544" s="138" t="e">
        <f aca="false" t="array" ref="CA544:CA5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4" s="138" t="e">
        <f aca="false">+DATOS_[[#This Row],[TOTAL SALARIO Eq]]+DATOS_[[#This Row],[Tot Extrasalarial Eq]]</f>
        <v>#DIV/0!</v>
      </c>
      <c r="CC544" s="139" t="n">
        <f aca="false">DATOS_[[#This Row],[S.BASE]]</f>
        <v>0</v>
      </c>
      <c r="CD544" s="139" t="n">
        <f aca="false">+SUM(DATOS_[[#This Row],[Conc.Sal.01]:[Conc.Sal.30]])</f>
        <v>0</v>
      </c>
      <c r="CE544" s="139" t="n">
        <f aca="false">+DATOS_[[#This Row],[SALARIO BASE Ef]]+DATOS_[[#This Row],[Tot COMPL.SAL Ef]]</f>
        <v>0</v>
      </c>
      <c r="CF544" s="139" t="n">
        <f aca="false">+SUM(DATOS_[[#This Row],[C.Extra.01]:[C.Extra.05]])</f>
        <v>0</v>
      </c>
      <c r="CG544" s="139" t="n">
        <f aca="false">+DATOS_[[#This Row],[TOTAL SALARIO Ef]]+DATOS_[[#This Row],[Tot Extrasalarial Ef]]</f>
        <v>0</v>
      </c>
      <c r="CH544" s="140" t="n">
        <f aca="false">MIN(IF(DATOS_[[#This Row],[Fecha Fin Contrato]]="",$D$4,DATOS_[[#This Row],[Fecha Fin Contrato]]),$D$4)-MAX(DATOS_[[#This Row],[Fecha de Contratación]],$D$3)+1</f>
        <v>1</v>
      </c>
      <c r="CI544" s="141" t="str">
        <f aca="false">IF(COUNTIFS(DATOS_[id],DATOS_[[#This Row],[id]])&gt;1,DATOS_[[#This Row],[id]],"")</f>
        <v/>
      </c>
      <c r="CJ544" s="141" t="n">
        <f aca="false">(Inicio!$G$10-DATOS_[[#This Row],[Fecha Nacimiento]])/365.25</f>
        <v>0</v>
      </c>
      <c r="CK544" s="141" t="n">
        <f aca="false">(Inicio!$G$10-DATOS_[[#This Row],[Fecha de Antigüedad]])/365.25</f>
        <v>0</v>
      </c>
      <c r="CL544" s="141" t="e">
        <f aca="false">+VLOOKUP(DATOS_[[#This Row],[Clave de Contrato]],TblTiposContrato13[],3,0)</f>
        <v>#N/A</v>
      </c>
      <c r="CM544" s="141" t="e">
        <f aca="false">+VLOOKUP(DATOS_[[#This Row],[Clave de Contrato]],TblTiposContrato13[],4,0)</f>
        <v>#N/A</v>
      </c>
      <c r="CN544" s="141" t="str">
        <f aca="false">VLOOKUP(DATOS_[[#This Row],[Edad]],CONTRATOS!TblRngEdad,2,1)</f>
        <v>20  o menos</v>
      </c>
      <c r="CO544" s="141" t="str">
        <f aca="false">VLOOKUP(DATOS_[[#This Row],[Antigüedad]],TblRngAntg14[],2,1)</f>
        <v>0 a 1 años</v>
      </c>
    </row>
    <row r="545" customFormat="false" ht="13.8" hidden="false" customHeight="false" outlineLevel="0" collapsed="false">
      <c r="D545" s="128"/>
      <c r="E545" s="129"/>
      <c r="F545" s="129"/>
      <c r="G545" s="129"/>
      <c r="H545" s="130"/>
      <c r="I545" s="131"/>
      <c r="J545" s="128"/>
      <c r="K545" s="132"/>
      <c r="L545" s="132"/>
      <c r="M545" s="133"/>
      <c r="N545" s="133"/>
      <c r="O545" s="133"/>
      <c r="P545" s="129"/>
      <c r="Z545" s="75"/>
      <c r="AA545" s="76"/>
      <c r="AB545" s="76"/>
      <c r="AC545" s="129"/>
      <c r="AD545" s="134"/>
      <c r="AE545" s="134"/>
      <c r="AF545" s="134"/>
      <c r="AG545" s="134"/>
      <c r="AH545" s="134"/>
      <c r="AI545" s="134"/>
      <c r="AJ545" s="134"/>
      <c r="AK545" s="134"/>
      <c r="AL545" s="134"/>
      <c r="AM545" s="134"/>
      <c r="AN545" s="134"/>
      <c r="AO545" s="134"/>
      <c r="AP545" s="134"/>
      <c r="AQ545" s="134"/>
      <c r="AR545" s="134"/>
      <c r="AS545" s="134"/>
      <c r="AT545" s="134"/>
      <c r="AU545" s="134"/>
      <c r="AV545" s="134"/>
      <c r="AW545" s="134"/>
      <c r="AX545" s="134"/>
      <c r="AY545" s="134"/>
      <c r="AZ545" s="134"/>
      <c r="BA545" s="134"/>
      <c r="BB545" s="134"/>
      <c r="BC545" s="134"/>
      <c r="BD545" s="134"/>
      <c r="BE545" s="134"/>
      <c r="BF545" s="134"/>
      <c r="BG545" s="134"/>
      <c r="BH545" s="134"/>
      <c r="BI545" s="134"/>
      <c r="BJ545" s="134"/>
      <c r="BK545" s="134"/>
      <c r="BL545" s="134"/>
      <c r="BM545" s="135"/>
      <c r="BN545" s="136" t="n">
        <f aca="false">+MAX($D$3,DATOS_[[#This Row],[Fecha Inicio Sit. Contract.]])</f>
        <v>0</v>
      </c>
      <c r="BO545" s="136" t="n">
        <f aca="false">+MIN($D$4,DATOS_[[#This Row],[Fecha Fin Sit. Contract.]])</f>
        <v>0</v>
      </c>
      <c r="BP545" s="137" t="n">
        <f aca="false">+DATOS_[[#This Row],[% de jornada]]*IF(DATOS_[[#This Row],[% jornada reducida]]="",1,DATOS_[[#This Row],[% jornada reducida]])</f>
        <v>0</v>
      </c>
      <c r="BQ545" s="137" t="n">
        <f aca="false">+(DATOS_[[#This Row],[F.fin.cal]]-DATOS_[[#This Row],[F.ini.cal]]+1)/($D$4-$D$3+1)</f>
        <v>1</v>
      </c>
      <c r="BR545" s="137" t="str">
        <f aca="false">IF(OR(AND(DATOS_[[#This Row],[Fecha Fin Contrato]]&lt;$D$3,DATOS_[[#This Row],[Fecha Fin Contrato]]&lt;&gt;""),DATOS_[[#This Row],[Fecha de Contratación]]&gt;$D$4),"Fuera","Dentro")</f>
        <v>Dentro</v>
      </c>
      <c r="BS545" s="137" t="str">
        <f aca="false" t="array" ref="BS545:BS545">IF(MAX(IF(DATOS_[id]=DATOS_[[#This Row],[id]],DATOS_[F.fin.cal]))=DATOS_[[#This Row],[F.fin.cal]],"Sí","NO")</f>
        <v>Sí</v>
      </c>
      <c r="BT545" s="137" t="str">
        <f aca="false">IF(AND(DATOS_[[#This Row],[% normaliz]]&lt;&gt;1,DATOS_[[#This Row],[% anualiz]]=1),"Sí","NO")</f>
        <v>Sí</v>
      </c>
      <c r="BU545" s="137" t="str">
        <f aca="false">IF(AND(DATOS_[[#This Row],[% normaliz]]=1,DATOS_[[#This Row],[% anualiz]]&lt;&gt;1),"Sí","NO")</f>
        <v>NO</v>
      </c>
      <c r="BV545" s="137" t="str">
        <f aca="false">IF(AND(DATOS_[[#This Row],[% normaliz]]&lt;&gt;1,DATOS_[[#This Row],[% anualiz]]&lt;&gt;1),"Sí","NO")</f>
        <v>NO</v>
      </c>
      <c r="BW545" s="137" t="str">
        <f aca="false">+IF(DATOS_[[#This Row],[% normaliz]]*DATOS_[[#This Row],[% anualiz]]=1,"NO","Sí")</f>
        <v>Sí</v>
      </c>
      <c r="BX545" s="138" t="e">
        <f aca="false">(DATOS_[[#This Row],[S.BASE]]*(1/DATOS_[[#This Row],[% normaliz]])*(1/DATOS_[[#This Row],[% anualiz]]))*IF(DATOS_[[#This Row],[Check Equiparado]]="Sí",1,0)</f>
        <v>#DIV/0!</v>
      </c>
      <c r="BY5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5" s="138" t="e">
        <f aca="false">+DATOS_[[#This Row],[SALARIO BASE Eq]]+DATOS_[[#This Row],[Tot COMPL.SAL Eq]]</f>
        <v>#DIV/0!</v>
      </c>
      <c r="CA545" s="138" t="e">
        <f aca="false" t="array" ref="CA545:CA5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5" s="138" t="e">
        <f aca="false">+DATOS_[[#This Row],[TOTAL SALARIO Eq]]+DATOS_[[#This Row],[Tot Extrasalarial Eq]]</f>
        <v>#DIV/0!</v>
      </c>
      <c r="CC545" s="139" t="n">
        <f aca="false">DATOS_[[#This Row],[S.BASE]]</f>
        <v>0</v>
      </c>
      <c r="CD545" s="139" t="n">
        <f aca="false">+SUM(DATOS_[[#This Row],[Conc.Sal.01]:[Conc.Sal.30]])</f>
        <v>0</v>
      </c>
      <c r="CE545" s="139" t="n">
        <f aca="false">+DATOS_[[#This Row],[SALARIO BASE Ef]]+DATOS_[[#This Row],[Tot COMPL.SAL Ef]]</f>
        <v>0</v>
      </c>
      <c r="CF545" s="139" t="n">
        <f aca="false">+SUM(DATOS_[[#This Row],[C.Extra.01]:[C.Extra.05]])</f>
        <v>0</v>
      </c>
      <c r="CG545" s="139" t="n">
        <f aca="false">+DATOS_[[#This Row],[TOTAL SALARIO Ef]]+DATOS_[[#This Row],[Tot Extrasalarial Ef]]</f>
        <v>0</v>
      </c>
      <c r="CH545" s="140" t="n">
        <f aca="false">MIN(IF(DATOS_[[#This Row],[Fecha Fin Contrato]]="",$D$4,DATOS_[[#This Row],[Fecha Fin Contrato]]),$D$4)-MAX(DATOS_[[#This Row],[Fecha de Contratación]],$D$3)+1</f>
        <v>1</v>
      </c>
      <c r="CI545" s="141" t="str">
        <f aca="false">IF(COUNTIFS(DATOS_[id],DATOS_[[#This Row],[id]])&gt;1,DATOS_[[#This Row],[id]],"")</f>
        <v/>
      </c>
      <c r="CJ545" s="141" t="n">
        <f aca="false">(Inicio!$G$10-DATOS_[[#This Row],[Fecha Nacimiento]])/365.25</f>
        <v>0</v>
      </c>
      <c r="CK545" s="141" t="n">
        <f aca="false">(Inicio!$G$10-DATOS_[[#This Row],[Fecha de Antigüedad]])/365.25</f>
        <v>0</v>
      </c>
      <c r="CL545" s="141" t="e">
        <f aca="false">+VLOOKUP(DATOS_[[#This Row],[Clave de Contrato]],TblTiposContrato13[],3,0)</f>
        <v>#N/A</v>
      </c>
      <c r="CM545" s="141" t="e">
        <f aca="false">+VLOOKUP(DATOS_[[#This Row],[Clave de Contrato]],TblTiposContrato13[],4,0)</f>
        <v>#N/A</v>
      </c>
      <c r="CN545" s="141" t="str">
        <f aca="false">VLOOKUP(DATOS_[[#This Row],[Edad]],CONTRATOS!TblRngEdad,2,1)</f>
        <v>20  o menos</v>
      </c>
      <c r="CO545" s="141" t="str">
        <f aca="false">VLOOKUP(DATOS_[[#This Row],[Antigüedad]],TblRngAntg14[],2,1)</f>
        <v>0 a 1 años</v>
      </c>
    </row>
    <row r="546" customFormat="false" ht="13.8" hidden="false" customHeight="false" outlineLevel="0" collapsed="false">
      <c r="D546" s="128"/>
      <c r="E546" s="129"/>
      <c r="F546" s="129"/>
      <c r="G546" s="129"/>
      <c r="H546" s="130"/>
      <c r="I546" s="131"/>
      <c r="J546" s="128"/>
      <c r="K546" s="132"/>
      <c r="L546" s="132"/>
      <c r="M546" s="133"/>
      <c r="N546" s="133"/>
      <c r="O546" s="133"/>
      <c r="P546" s="129"/>
      <c r="Z546" s="75"/>
      <c r="AA546" s="76"/>
      <c r="AB546" s="76"/>
      <c r="AC546" s="129"/>
      <c r="AD546" s="134"/>
      <c r="AE546" s="134"/>
      <c r="AF546" s="134"/>
      <c r="AG546" s="134"/>
      <c r="AH546" s="134"/>
      <c r="AI546" s="134"/>
      <c r="AJ546" s="134"/>
      <c r="AK546" s="134"/>
      <c r="AL546" s="134"/>
      <c r="AM546" s="134"/>
      <c r="AN546" s="134"/>
      <c r="AO546" s="134"/>
      <c r="AP546" s="134"/>
      <c r="AQ546" s="134"/>
      <c r="AR546" s="134"/>
      <c r="AS546" s="134"/>
      <c r="AT546" s="134"/>
      <c r="AU546" s="134"/>
      <c r="AV546" s="134"/>
      <c r="AW546" s="134"/>
      <c r="AX546" s="134"/>
      <c r="AY546" s="134"/>
      <c r="AZ546" s="134"/>
      <c r="BA546" s="134"/>
      <c r="BB546" s="134"/>
      <c r="BC546" s="134"/>
      <c r="BD546" s="134"/>
      <c r="BE546" s="134"/>
      <c r="BF546" s="134"/>
      <c r="BG546" s="134"/>
      <c r="BH546" s="134"/>
      <c r="BI546" s="134"/>
      <c r="BJ546" s="134"/>
      <c r="BK546" s="134"/>
      <c r="BL546" s="134"/>
      <c r="BM546" s="135"/>
      <c r="BN546" s="136" t="n">
        <f aca="false">+MAX($D$3,DATOS_[[#This Row],[Fecha Inicio Sit. Contract.]])</f>
        <v>0</v>
      </c>
      <c r="BO546" s="136" t="n">
        <f aca="false">+MIN($D$4,DATOS_[[#This Row],[Fecha Fin Sit. Contract.]])</f>
        <v>0</v>
      </c>
      <c r="BP546" s="137" t="n">
        <f aca="false">+DATOS_[[#This Row],[% de jornada]]*IF(DATOS_[[#This Row],[% jornada reducida]]="",1,DATOS_[[#This Row],[% jornada reducida]])</f>
        <v>0</v>
      </c>
      <c r="BQ546" s="137" t="n">
        <f aca="false">+(DATOS_[[#This Row],[F.fin.cal]]-DATOS_[[#This Row],[F.ini.cal]]+1)/($D$4-$D$3+1)</f>
        <v>1</v>
      </c>
      <c r="BR546" s="137" t="str">
        <f aca="false">IF(OR(AND(DATOS_[[#This Row],[Fecha Fin Contrato]]&lt;$D$3,DATOS_[[#This Row],[Fecha Fin Contrato]]&lt;&gt;""),DATOS_[[#This Row],[Fecha de Contratación]]&gt;$D$4),"Fuera","Dentro")</f>
        <v>Dentro</v>
      </c>
      <c r="BS546" s="137" t="str">
        <f aca="false" t="array" ref="BS546:BS546">IF(MAX(IF(DATOS_[id]=DATOS_[[#This Row],[id]],DATOS_[F.fin.cal]))=DATOS_[[#This Row],[F.fin.cal]],"Sí","NO")</f>
        <v>Sí</v>
      </c>
      <c r="BT546" s="137" t="str">
        <f aca="false">IF(AND(DATOS_[[#This Row],[% normaliz]]&lt;&gt;1,DATOS_[[#This Row],[% anualiz]]=1),"Sí","NO")</f>
        <v>Sí</v>
      </c>
      <c r="BU546" s="137" t="str">
        <f aca="false">IF(AND(DATOS_[[#This Row],[% normaliz]]=1,DATOS_[[#This Row],[% anualiz]]&lt;&gt;1),"Sí","NO")</f>
        <v>NO</v>
      </c>
      <c r="BV546" s="137" t="str">
        <f aca="false">IF(AND(DATOS_[[#This Row],[% normaliz]]&lt;&gt;1,DATOS_[[#This Row],[% anualiz]]&lt;&gt;1),"Sí","NO")</f>
        <v>NO</v>
      </c>
      <c r="BW546" s="137" t="str">
        <f aca="false">+IF(DATOS_[[#This Row],[% normaliz]]*DATOS_[[#This Row],[% anualiz]]=1,"NO","Sí")</f>
        <v>Sí</v>
      </c>
      <c r="BX546" s="138" t="e">
        <f aca="false">(DATOS_[[#This Row],[S.BASE]]*(1/DATOS_[[#This Row],[% normaliz]])*(1/DATOS_[[#This Row],[% anualiz]]))*IF(DATOS_[[#This Row],[Check Equiparado]]="Sí",1,0)</f>
        <v>#DIV/0!</v>
      </c>
      <c r="BY5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6" s="138" t="e">
        <f aca="false">+DATOS_[[#This Row],[SALARIO BASE Eq]]+DATOS_[[#This Row],[Tot COMPL.SAL Eq]]</f>
        <v>#DIV/0!</v>
      </c>
      <c r="CA546" s="138" t="e">
        <f aca="false" t="array" ref="CA546:CA5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6" s="138" t="e">
        <f aca="false">+DATOS_[[#This Row],[TOTAL SALARIO Eq]]+DATOS_[[#This Row],[Tot Extrasalarial Eq]]</f>
        <v>#DIV/0!</v>
      </c>
      <c r="CC546" s="139" t="n">
        <f aca="false">DATOS_[[#This Row],[S.BASE]]</f>
        <v>0</v>
      </c>
      <c r="CD546" s="139" t="n">
        <f aca="false">+SUM(DATOS_[[#This Row],[Conc.Sal.01]:[Conc.Sal.30]])</f>
        <v>0</v>
      </c>
      <c r="CE546" s="139" t="n">
        <f aca="false">+DATOS_[[#This Row],[SALARIO BASE Ef]]+DATOS_[[#This Row],[Tot COMPL.SAL Ef]]</f>
        <v>0</v>
      </c>
      <c r="CF546" s="139" t="n">
        <f aca="false">+SUM(DATOS_[[#This Row],[C.Extra.01]:[C.Extra.05]])</f>
        <v>0</v>
      </c>
      <c r="CG546" s="139" t="n">
        <f aca="false">+DATOS_[[#This Row],[TOTAL SALARIO Ef]]+DATOS_[[#This Row],[Tot Extrasalarial Ef]]</f>
        <v>0</v>
      </c>
      <c r="CH546" s="140" t="n">
        <f aca="false">MIN(IF(DATOS_[[#This Row],[Fecha Fin Contrato]]="",$D$4,DATOS_[[#This Row],[Fecha Fin Contrato]]),$D$4)-MAX(DATOS_[[#This Row],[Fecha de Contratación]],$D$3)+1</f>
        <v>1</v>
      </c>
      <c r="CI546" s="141" t="str">
        <f aca="false">IF(COUNTIFS(DATOS_[id],DATOS_[[#This Row],[id]])&gt;1,DATOS_[[#This Row],[id]],"")</f>
        <v/>
      </c>
      <c r="CJ546" s="141" t="n">
        <f aca="false">(Inicio!$G$10-DATOS_[[#This Row],[Fecha Nacimiento]])/365.25</f>
        <v>0</v>
      </c>
      <c r="CK546" s="141" t="n">
        <f aca="false">(Inicio!$G$10-DATOS_[[#This Row],[Fecha de Antigüedad]])/365.25</f>
        <v>0</v>
      </c>
      <c r="CL546" s="141" t="e">
        <f aca="false">+VLOOKUP(DATOS_[[#This Row],[Clave de Contrato]],TblTiposContrato13[],3,0)</f>
        <v>#N/A</v>
      </c>
      <c r="CM546" s="141" t="e">
        <f aca="false">+VLOOKUP(DATOS_[[#This Row],[Clave de Contrato]],TblTiposContrato13[],4,0)</f>
        <v>#N/A</v>
      </c>
      <c r="CN546" s="141" t="str">
        <f aca="false">VLOOKUP(DATOS_[[#This Row],[Edad]],CONTRATOS!TblRngEdad,2,1)</f>
        <v>20  o menos</v>
      </c>
      <c r="CO546" s="141" t="str">
        <f aca="false">VLOOKUP(DATOS_[[#This Row],[Antigüedad]],TblRngAntg14[],2,1)</f>
        <v>0 a 1 años</v>
      </c>
    </row>
    <row r="547" customFormat="false" ht="13.8" hidden="false" customHeight="false" outlineLevel="0" collapsed="false">
      <c r="D547" s="128"/>
      <c r="E547" s="129"/>
      <c r="F547" s="129"/>
      <c r="G547" s="129"/>
      <c r="H547" s="130"/>
      <c r="I547" s="131"/>
      <c r="J547" s="128"/>
      <c r="K547" s="132"/>
      <c r="L547" s="132"/>
      <c r="M547" s="133"/>
      <c r="N547" s="133"/>
      <c r="O547" s="133"/>
      <c r="P547" s="129"/>
      <c r="Z547" s="75"/>
      <c r="AA547" s="76"/>
      <c r="AB547" s="76"/>
      <c r="AC547" s="129"/>
      <c r="AD547" s="134"/>
      <c r="AE547" s="134"/>
      <c r="AF547" s="134"/>
      <c r="AG547" s="134"/>
      <c r="AH547" s="134"/>
      <c r="AI547" s="134"/>
      <c r="AJ547" s="134"/>
      <c r="AK547" s="134"/>
      <c r="AL547" s="134"/>
      <c r="AM547" s="134"/>
      <c r="AN547" s="134"/>
      <c r="AO547" s="134"/>
      <c r="AP547" s="134"/>
      <c r="AQ547" s="134"/>
      <c r="AR547" s="134"/>
      <c r="AS547" s="134"/>
      <c r="AT547" s="134"/>
      <c r="AU547" s="134"/>
      <c r="AV547" s="134"/>
      <c r="AW547" s="134"/>
      <c r="AX547" s="134"/>
      <c r="AY547" s="134"/>
      <c r="AZ547" s="134"/>
      <c r="BA547" s="134"/>
      <c r="BB547" s="134"/>
      <c r="BC547" s="134"/>
      <c r="BD547" s="134"/>
      <c r="BE547" s="134"/>
      <c r="BF547" s="134"/>
      <c r="BG547" s="134"/>
      <c r="BH547" s="134"/>
      <c r="BI547" s="134"/>
      <c r="BJ547" s="134"/>
      <c r="BK547" s="134"/>
      <c r="BL547" s="134"/>
      <c r="BM547" s="135"/>
      <c r="BN547" s="136" t="n">
        <f aca="false">+MAX($D$3,DATOS_[[#This Row],[Fecha Inicio Sit. Contract.]])</f>
        <v>0</v>
      </c>
      <c r="BO547" s="136" t="n">
        <f aca="false">+MIN($D$4,DATOS_[[#This Row],[Fecha Fin Sit. Contract.]])</f>
        <v>0</v>
      </c>
      <c r="BP547" s="137" t="n">
        <f aca="false">+DATOS_[[#This Row],[% de jornada]]*IF(DATOS_[[#This Row],[% jornada reducida]]="",1,DATOS_[[#This Row],[% jornada reducida]])</f>
        <v>0</v>
      </c>
      <c r="BQ547" s="137" t="n">
        <f aca="false">+(DATOS_[[#This Row],[F.fin.cal]]-DATOS_[[#This Row],[F.ini.cal]]+1)/($D$4-$D$3+1)</f>
        <v>1</v>
      </c>
      <c r="BR547" s="137" t="str">
        <f aca="false">IF(OR(AND(DATOS_[[#This Row],[Fecha Fin Contrato]]&lt;$D$3,DATOS_[[#This Row],[Fecha Fin Contrato]]&lt;&gt;""),DATOS_[[#This Row],[Fecha de Contratación]]&gt;$D$4),"Fuera","Dentro")</f>
        <v>Dentro</v>
      </c>
      <c r="BS547" s="137" t="str">
        <f aca="false" t="array" ref="BS547:BS547">IF(MAX(IF(DATOS_[id]=DATOS_[[#This Row],[id]],DATOS_[F.fin.cal]))=DATOS_[[#This Row],[F.fin.cal]],"Sí","NO")</f>
        <v>Sí</v>
      </c>
      <c r="BT547" s="137" t="str">
        <f aca="false">IF(AND(DATOS_[[#This Row],[% normaliz]]&lt;&gt;1,DATOS_[[#This Row],[% anualiz]]=1),"Sí","NO")</f>
        <v>Sí</v>
      </c>
      <c r="BU547" s="137" t="str">
        <f aca="false">IF(AND(DATOS_[[#This Row],[% normaliz]]=1,DATOS_[[#This Row],[% anualiz]]&lt;&gt;1),"Sí","NO")</f>
        <v>NO</v>
      </c>
      <c r="BV547" s="137" t="str">
        <f aca="false">IF(AND(DATOS_[[#This Row],[% normaliz]]&lt;&gt;1,DATOS_[[#This Row],[% anualiz]]&lt;&gt;1),"Sí","NO")</f>
        <v>NO</v>
      </c>
      <c r="BW547" s="137" t="str">
        <f aca="false">+IF(DATOS_[[#This Row],[% normaliz]]*DATOS_[[#This Row],[% anualiz]]=1,"NO","Sí")</f>
        <v>Sí</v>
      </c>
      <c r="BX547" s="138" t="e">
        <f aca="false">(DATOS_[[#This Row],[S.BASE]]*(1/DATOS_[[#This Row],[% normaliz]])*(1/DATOS_[[#This Row],[% anualiz]]))*IF(DATOS_[[#This Row],[Check Equiparado]]="Sí",1,0)</f>
        <v>#DIV/0!</v>
      </c>
      <c r="BY5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7" s="138" t="e">
        <f aca="false">+DATOS_[[#This Row],[SALARIO BASE Eq]]+DATOS_[[#This Row],[Tot COMPL.SAL Eq]]</f>
        <v>#DIV/0!</v>
      </c>
      <c r="CA547" s="138" t="e">
        <f aca="false" t="array" ref="CA547:CA5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7" s="138" t="e">
        <f aca="false">+DATOS_[[#This Row],[TOTAL SALARIO Eq]]+DATOS_[[#This Row],[Tot Extrasalarial Eq]]</f>
        <v>#DIV/0!</v>
      </c>
      <c r="CC547" s="139" t="n">
        <f aca="false">DATOS_[[#This Row],[S.BASE]]</f>
        <v>0</v>
      </c>
      <c r="CD547" s="139" t="n">
        <f aca="false">+SUM(DATOS_[[#This Row],[Conc.Sal.01]:[Conc.Sal.30]])</f>
        <v>0</v>
      </c>
      <c r="CE547" s="139" t="n">
        <f aca="false">+DATOS_[[#This Row],[SALARIO BASE Ef]]+DATOS_[[#This Row],[Tot COMPL.SAL Ef]]</f>
        <v>0</v>
      </c>
      <c r="CF547" s="139" t="n">
        <f aca="false">+SUM(DATOS_[[#This Row],[C.Extra.01]:[C.Extra.05]])</f>
        <v>0</v>
      </c>
      <c r="CG547" s="139" t="n">
        <f aca="false">+DATOS_[[#This Row],[TOTAL SALARIO Ef]]+DATOS_[[#This Row],[Tot Extrasalarial Ef]]</f>
        <v>0</v>
      </c>
      <c r="CH547" s="140" t="n">
        <f aca="false">MIN(IF(DATOS_[[#This Row],[Fecha Fin Contrato]]="",$D$4,DATOS_[[#This Row],[Fecha Fin Contrato]]),$D$4)-MAX(DATOS_[[#This Row],[Fecha de Contratación]],$D$3)+1</f>
        <v>1</v>
      </c>
      <c r="CI547" s="141" t="str">
        <f aca="false">IF(COUNTIFS(DATOS_[id],DATOS_[[#This Row],[id]])&gt;1,DATOS_[[#This Row],[id]],"")</f>
        <v/>
      </c>
      <c r="CJ547" s="141" t="n">
        <f aca="false">(Inicio!$G$10-DATOS_[[#This Row],[Fecha Nacimiento]])/365.25</f>
        <v>0</v>
      </c>
      <c r="CK547" s="141" t="n">
        <f aca="false">(Inicio!$G$10-DATOS_[[#This Row],[Fecha de Antigüedad]])/365.25</f>
        <v>0</v>
      </c>
      <c r="CL547" s="141" t="e">
        <f aca="false">+VLOOKUP(DATOS_[[#This Row],[Clave de Contrato]],TblTiposContrato13[],3,0)</f>
        <v>#N/A</v>
      </c>
      <c r="CM547" s="141" t="e">
        <f aca="false">+VLOOKUP(DATOS_[[#This Row],[Clave de Contrato]],TblTiposContrato13[],4,0)</f>
        <v>#N/A</v>
      </c>
      <c r="CN547" s="141" t="str">
        <f aca="false">VLOOKUP(DATOS_[[#This Row],[Edad]],CONTRATOS!TblRngEdad,2,1)</f>
        <v>20  o menos</v>
      </c>
      <c r="CO547" s="141" t="str">
        <f aca="false">VLOOKUP(DATOS_[[#This Row],[Antigüedad]],TblRngAntg14[],2,1)</f>
        <v>0 a 1 años</v>
      </c>
    </row>
    <row r="548" customFormat="false" ht="13.8" hidden="false" customHeight="false" outlineLevel="0" collapsed="false">
      <c r="D548" s="128"/>
      <c r="E548" s="129"/>
      <c r="F548" s="129"/>
      <c r="G548" s="129"/>
      <c r="H548" s="130"/>
      <c r="I548" s="131"/>
      <c r="J548" s="128"/>
      <c r="K548" s="132"/>
      <c r="L548" s="132"/>
      <c r="M548" s="133"/>
      <c r="N548" s="133"/>
      <c r="O548" s="133"/>
      <c r="P548" s="129"/>
      <c r="Z548" s="75"/>
      <c r="AA548" s="76"/>
      <c r="AB548" s="76"/>
      <c r="AC548" s="129"/>
      <c r="AD548" s="134"/>
      <c r="AE548" s="134"/>
      <c r="AF548" s="134"/>
      <c r="AG548" s="134"/>
      <c r="AH548" s="134"/>
      <c r="AI548" s="134"/>
      <c r="AJ548" s="134"/>
      <c r="AK548" s="134"/>
      <c r="AL548" s="134"/>
      <c r="AM548" s="134"/>
      <c r="AN548" s="134"/>
      <c r="AO548" s="134"/>
      <c r="AP548" s="134"/>
      <c r="AQ548" s="134"/>
      <c r="AR548" s="134"/>
      <c r="AS548" s="134"/>
      <c r="AT548" s="134"/>
      <c r="AU548" s="134"/>
      <c r="AV548" s="134"/>
      <c r="AW548" s="134"/>
      <c r="AX548" s="134"/>
      <c r="AY548" s="134"/>
      <c r="AZ548" s="134"/>
      <c r="BA548" s="134"/>
      <c r="BB548" s="134"/>
      <c r="BC548" s="134"/>
      <c r="BD548" s="134"/>
      <c r="BE548" s="134"/>
      <c r="BF548" s="134"/>
      <c r="BG548" s="134"/>
      <c r="BH548" s="134"/>
      <c r="BI548" s="134"/>
      <c r="BJ548" s="134"/>
      <c r="BK548" s="134"/>
      <c r="BL548" s="134"/>
      <c r="BM548" s="135"/>
      <c r="BN548" s="136" t="n">
        <f aca="false">+MAX($D$3,DATOS_[[#This Row],[Fecha Inicio Sit. Contract.]])</f>
        <v>0</v>
      </c>
      <c r="BO548" s="136" t="n">
        <f aca="false">+MIN($D$4,DATOS_[[#This Row],[Fecha Fin Sit. Contract.]])</f>
        <v>0</v>
      </c>
      <c r="BP548" s="137" t="n">
        <f aca="false">+DATOS_[[#This Row],[% de jornada]]*IF(DATOS_[[#This Row],[% jornada reducida]]="",1,DATOS_[[#This Row],[% jornada reducida]])</f>
        <v>0</v>
      </c>
      <c r="BQ548" s="137" t="n">
        <f aca="false">+(DATOS_[[#This Row],[F.fin.cal]]-DATOS_[[#This Row],[F.ini.cal]]+1)/($D$4-$D$3+1)</f>
        <v>1</v>
      </c>
      <c r="BR548" s="137" t="str">
        <f aca="false">IF(OR(AND(DATOS_[[#This Row],[Fecha Fin Contrato]]&lt;$D$3,DATOS_[[#This Row],[Fecha Fin Contrato]]&lt;&gt;""),DATOS_[[#This Row],[Fecha de Contratación]]&gt;$D$4),"Fuera","Dentro")</f>
        <v>Dentro</v>
      </c>
      <c r="BS548" s="137" t="str">
        <f aca="false" t="array" ref="BS548:BS548">IF(MAX(IF(DATOS_[id]=DATOS_[[#This Row],[id]],DATOS_[F.fin.cal]))=DATOS_[[#This Row],[F.fin.cal]],"Sí","NO")</f>
        <v>Sí</v>
      </c>
      <c r="BT548" s="137" t="str">
        <f aca="false">IF(AND(DATOS_[[#This Row],[% normaliz]]&lt;&gt;1,DATOS_[[#This Row],[% anualiz]]=1),"Sí","NO")</f>
        <v>Sí</v>
      </c>
      <c r="BU548" s="137" t="str">
        <f aca="false">IF(AND(DATOS_[[#This Row],[% normaliz]]=1,DATOS_[[#This Row],[% anualiz]]&lt;&gt;1),"Sí","NO")</f>
        <v>NO</v>
      </c>
      <c r="BV548" s="137" t="str">
        <f aca="false">IF(AND(DATOS_[[#This Row],[% normaliz]]&lt;&gt;1,DATOS_[[#This Row],[% anualiz]]&lt;&gt;1),"Sí","NO")</f>
        <v>NO</v>
      </c>
      <c r="BW548" s="137" t="str">
        <f aca="false">+IF(DATOS_[[#This Row],[% normaliz]]*DATOS_[[#This Row],[% anualiz]]=1,"NO","Sí")</f>
        <v>Sí</v>
      </c>
      <c r="BX548" s="138" t="e">
        <f aca="false">(DATOS_[[#This Row],[S.BASE]]*(1/DATOS_[[#This Row],[% normaliz]])*(1/DATOS_[[#This Row],[% anualiz]]))*IF(DATOS_[[#This Row],[Check Equiparado]]="Sí",1,0)</f>
        <v>#DIV/0!</v>
      </c>
      <c r="BY5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8" s="138" t="e">
        <f aca="false">+DATOS_[[#This Row],[SALARIO BASE Eq]]+DATOS_[[#This Row],[Tot COMPL.SAL Eq]]</f>
        <v>#DIV/0!</v>
      </c>
      <c r="CA548" s="138" t="e">
        <f aca="false" t="array" ref="CA548:CA5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8" s="138" t="e">
        <f aca="false">+DATOS_[[#This Row],[TOTAL SALARIO Eq]]+DATOS_[[#This Row],[Tot Extrasalarial Eq]]</f>
        <v>#DIV/0!</v>
      </c>
      <c r="CC548" s="139" t="n">
        <f aca="false">DATOS_[[#This Row],[S.BASE]]</f>
        <v>0</v>
      </c>
      <c r="CD548" s="139" t="n">
        <f aca="false">+SUM(DATOS_[[#This Row],[Conc.Sal.01]:[Conc.Sal.30]])</f>
        <v>0</v>
      </c>
      <c r="CE548" s="139" t="n">
        <f aca="false">+DATOS_[[#This Row],[SALARIO BASE Ef]]+DATOS_[[#This Row],[Tot COMPL.SAL Ef]]</f>
        <v>0</v>
      </c>
      <c r="CF548" s="139" t="n">
        <f aca="false">+SUM(DATOS_[[#This Row],[C.Extra.01]:[C.Extra.05]])</f>
        <v>0</v>
      </c>
      <c r="CG548" s="139" t="n">
        <f aca="false">+DATOS_[[#This Row],[TOTAL SALARIO Ef]]+DATOS_[[#This Row],[Tot Extrasalarial Ef]]</f>
        <v>0</v>
      </c>
      <c r="CH548" s="140" t="n">
        <f aca="false">MIN(IF(DATOS_[[#This Row],[Fecha Fin Contrato]]="",$D$4,DATOS_[[#This Row],[Fecha Fin Contrato]]),$D$4)-MAX(DATOS_[[#This Row],[Fecha de Contratación]],$D$3)+1</f>
        <v>1</v>
      </c>
      <c r="CI548" s="141" t="str">
        <f aca="false">IF(COUNTIFS(DATOS_[id],DATOS_[[#This Row],[id]])&gt;1,DATOS_[[#This Row],[id]],"")</f>
        <v/>
      </c>
      <c r="CJ548" s="141" t="n">
        <f aca="false">(Inicio!$G$10-DATOS_[[#This Row],[Fecha Nacimiento]])/365.25</f>
        <v>0</v>
      </c>
      <c r="CK548" s="141" t="n">
        <f aca="false">(Inicio!$G$10-DATOS_[[#This Row],[Fecha de Antigüedad]])/365.25</f>
        <v>0</v>
      </c>
      <c r="CL548" s="141" t="e">
        <f aca="false">+VLOOKUP(DATOS_[[#This Row],[Clave de Contrato]],TblTiposContrato13[],3,0)</f>
        <v>#N/A</v>
      </c>
      <c r="CM548" s="141" t="e">
        <f aca="false">+VLOOKUP(DATOS_[[#This Row],[Clave de Contrato]],TblTiposContrato13[],4,0)</f>
        <v>#N/A</v>
      </c>
      <c r="CN548" s="141" t="str">
        <f aca="false">VLOOKUP(DATOS_[[#This Row],[Edad]],CONTRATOS!TblRngEdad,2,1)</f>
        <v>20  o menos</v>
      </c>
      <c r="CO548" s="141" t="str">
        <f aca="false">VLOOKUP(DATOS_[[#This Row],[Antigüedad]],TblRngAntg14[],2,1)</f>
        <v>0 a 1 años</v>
      </c>
    </row>
    <row r="549" customFormat="false" ht="13.8" hidden="false" customHeight="false" outlineLevel="0" collapsed="false">
      <c r="D549" s="128"/>
      <c r="E549" s="129"/>
      <c r="F549" s="129"/>
      <c r="G549" s="129"/>
      <c r="H549" s="130"/>
      <c r="I549" s="131"/>
      <c r="J549" s="128"/>
      <c r="K549" s="132"/>
      <c r="L549" s="132"/>
      <c r="M549" s="133"/>
      <c r="N549" s="133"/>
      <c r="O549" s="133"/>
      <c r="P549" s="129"/>
      <c r="Z549" s="75"/>
      <c r="AA549" s="76"/>
      <c r="AB549" s="76"/>
      <c r="AC549" s="129"/>
      <c r="AD549" s="134"/>
      <c r="AE549" s="134"/>
      <c r="AF549" s="134"/>
      <c r="AG549" s="134"/>
      <c r="AH549" s="134"/>
      <c r="AI549" s="134"/>
      <c r="AJ549" s="134"/>
      <c r="AK549" s="134"/>
      <c r="AL549" s="134"/>
      <c r="AM549" s="134"/>
      <c r="AN549" s="134"/>
      <c r="AO549" s="134"/>
      <c r="AP549" s="134"/>
      <c r="AQ549" s="134"/>
      <c r="AR549" s="134"/>
      <c r="AS549" s="134"/>
      <c r="AT549" s="134"/>
      <c r="AU549" s="134"/>
      <c r="AV549" s="134"/>
      <c r="AW549" s="134"/>
      <c r="AX549" s="134"/>
      <c r="AY549" s="134"/>
      <c r="AZ549" s="134"/>
      <c r="BA549" s="134"/>
      <c r="BB549" s="134"/>
      <c r="BC549" s="134"/>
      <c r="BD549" s="134"/>
      <c r="BE549" s="134"/>
      <c r="BF549" s="134"/>
      <c r="BG549" s="134"/>
      <c r="BH549" s="134"/>
      <c r="BI549" s="134"/>
      <c r="BJ549" s="134"/>
      <c r="BK549" s="134"/>
      <c r="BL549" s="134"/>
      <c r="BM549" s="135"/>
      <c r="BN549" s="136" t="n">
        <f aca="false">+MAX($D$3,DATOS_[[#This Row],[Fecha Inicio Sit. Contract.]])</f>
        <v>0</v>
      </c>
      <c r="BO549" s="136" t="n">
        <f aca="false">+MIN($D$4,DATOS_[[#This Row],[Fecha Fin Sit. Contract.]])</f>
        <v>0</v>
      </c>
      <c r="BP549" s="137" t="n">
        <f aca="false">+DATOS_[[#This Row],[% de jornada]]*IF(DATOS_[[#This Row],[% jornada reducida]]="",1,DATOS_[[#This Row],[% jornada reducida]])</f>
        <v>0</v>
      </c>
      <c r="BQ549" s="137" t="n">
        <f aca="false">+(DATOS_[[#This Row],[F.fin.cal]]-DATOS_[[#This Row],[F.ini.cal]]+1)/($D$4-$D$3+1)</f>
        <v>1</v>
      </c>
      <c r="BR549" s="137" t="str">
        <f aca="false">IF(OR(AND(DATOS_[[#This Row],[Fecha Fin Contrato]]&lt;$D$3,DATOS_[[#This Row],[Fecha Fin Contrato]]&lt;&gt;""),DATOS_[[#This Row],[Fecha de Contratación]]&gt;$D$4),"Fuera","Dentro")</f>
        <v>Dentro</v>
      </c>
      <c r="BS549" s="137" t="str">
        <f aca="false" t="array" ref="BS549:BS549">IF(MAX(IF(DATOS_[id]=DATOS_[[#This Row],[id]],DATOS_[F.fin.cal]))=DATOS_[[#This Row],[F.fin.cal]],"Sí","NO")</f>
        <v>Sí</v>
      </c>
      <c r="BT549" s="137" t="str">
        <f aca="false">IF(AND(DATOS_[[#This Row],[% normaliz]]&lt;&gt;1,DATOS_[[#This Row],[% anualiz]]=1),"Sí","NO")</f>
        <v>Sí</v>
      </c>
      <c r="BU549" s="137" t="str">
        <f aca="false">IF(AND(DATOS_[[#This Row],[% normaliz]]=1,DATOS_[[#This Row],[% anualiz]]&lt;&gt;1),"Sí","NO")</f>
        <v>NO</v>
      </c>
      <c r="BV549" s="137" t="str">
        <f aca="false">IF(AND(DATOS_[[#This Row],[% normaliz]]&lt;&gt;1,DATOS_[[#This Row],[% anualiz]]&lt;&gt;1),"Sí","NO")</f>
        <v>NO</v>
      </c>
      <c r="BW549" s="137" t="str">
        <f aca="false">+IF(DATOS_[[#This Row],[% normaliz]]*DATOS_[[#This Row],[% anualiz]]=1,"NO","Sí")</f>
        <v>Sí</v>
      </c>
      <c r="BX549" s="138" t="e">
        <f aca="false">(DATOS_[[#This Row],[S.BASE]]*(1/DATOS_[[#This Row],[% normaliz]])*(1/DATOS_[[#This Row],[% anualiz]]))*IF(DATOS_[[#This Row],[Check Equiparado]]="Sí",1,0)</f>
        <v>#DIV/0!</v>
      </c>
      <c r="BY5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9" s="138" t="e">
        <f aca="false">+DATOS_[[#This Row],[SALARIO BASE Eq]]+DATOS_[[#This Row],[Tot COMPL.SAL Eq]]</f>
        <v>#DIV/0!</v>
      </c>
      <c r="CA549" s="138" t="e">
        <f aca="false" t="array" ref="CA549:CA5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9" s="138" t="e">
        <f aca="false">+DATOS_[[#This Row],[TOTAL SALARIO Eq]]+DATOS_[[#This Row],[Tot Extrasalarial Eq]]</f>
        <v>#DIV/0!</v>
      </c>
      <c r="CC549" s="139" t="n">
        <f aca="false">DATOS_[[#This Row],[S.BASE]]</f>
        <v>0</v>
      </c>
      <c r="CD549" s="139" t="n">
        <f aca="false">+SUM(DATOS_[[#This Row],[Conc.Sal.01]:[Conc.Sal.30]])</f>
        <v>0</v>
      </c>
      <c r="CE549" s="139" t="n">
        <f aca="false">+DATOS_[[#This Row],[SALARIO BASE Ef]]+DATOS_[[#This Row],[Tot COMPL.SAL Ef]]</f>
        <v>0</v>
      </c>
      <c r="CF549" s="139" t="n">
        <f aca="false">+SUM(DATOS_[[#This Row],[C.Extra.01]:[C.Extra.05]])</f>
        <v>0</v>
      </c>
      <c r="CG549" s="139" t="n">
        <f aca="false">+DATOS_[[#This Row],[TOTAL SALARIO Ef]]+DATOS_[[#This Row],[Tot Extrasalarial Ef]]</f>
        <v>0</v>
      </c>
      <c r="CH549" s="140" t="n">
        <f aca="false">MIN(IF(DATOS_[[#This Row],[Fecha Fin Contrato]]="",$D$4,DATOS_[[#This Row],[Fecha Fin Contrato]]),$D$4)-MAX(DATOS_[[#This Row],[Fecha de Contratación]],$D$3)+1</f>
        <v>1</v>
      </c>
      <c r="CI549" s="141" t="str">
        <f aca="false">IF(COUNTIFS(DATOS_[id],DATOS_[[#This Row],[id]])&gt;1,DATOS_[[#This Row],[id]],"")</f>
        <v/>
      </c>
      <c r="CJ549" s="141" t="n">
        <f aca="false">(Inicio!$G$10-DATOS_[[#This Row],[Fecha Nacimiento]])/365.25</f>
        <v>0</v>
      </c>
      <c r="CK549" s="141" t="n">
        <f aca="false">(Inicio!$G$10-DATOS_[[#This Row],[Fecha de Antigüedad]])/365.25</f>
        <v>0</v>
      </c>
      <c r="CL549" s="141" t="e">
        <f aca="false">+VLOOKUP(DATOS_[[#This Row],[Clave de Contrato]],TblTiposContrato13[],3,0)</f>
        <v>#N/A</v>
      </c>
      <c r="CM549" s="141" t="e">
        <f aca="false">+VLOOKUP(DATOS_[[#This Row],[Clave de Contrato]],TblTiposContrato13[],4,0)</f>
        <v>#N/A</v>
      </c>
      <c r="CN549" s="141" t="str">
        <f aca="false">VLOOKUP(DATOS_[[#This Row],[Edad]],CONTRATOS!TblRngEdad,2,1)</f>
        <v>20  o menos</v>
      </c>
      <c r="CO549" s="141" t="str">
        <f aca="false">VLOOKUP(DATOS_[[#This Row],[Antigüedad]],TblRngAntg14[],2,1)</f>
        <v>0 a 1 años</v>
      </c>
    </row>
    <row r="550" customFormat="false" ht="13.8" hidden="false" customHeight="false" outlineLevel="0" collapsed="false">
      <c r="D550" s="128"/>
      <c r="E550" s="129"/>
      <c r="F550" s="129"/>
      <c r="G550" s="129"/>
      <c r="H550" s="130"/>
      <c r="I550" s="131"/>
      <c r="J550" s="128"/>
      <c r="K550" s="132"/>
      <c r="L550" s="132"/>
      <c r="M550" s="133"/>
      <c r="N550" s="133"/>
      <c r="O550" s="133"/>
      <c r="P550" s="129"/>
      <c r="Z550" s="75"/>
      <c r="AA550" s="76"/>
      <c r="AB550" s="76"/>
      <c r="AC550" s="129"/>
      <c r="AD550" s="134"/>
      <c r="AE550" s="134"/>
      <c r="AF550" s="134"/>
      <c r="AG550" s="134"/>
      <c r="AH550" s="134"/>
      <c r="AI550" s="134"/>
      <c r="AJ550" s="134"/>
      <c r="AK550" s="134"/>
      <c r="AL550" s="134"/>
      <c r="AM550" s="134"/>
      <c r="AN550" s="134"/>
      <c r="AO550" s="134"/>
      <c r="AP550" s="134"/>
      <c r="AQ550" s="134"/>
      <c r="AR550" s="134"/>
      <c r="AS550" s="134"/>
      <c r="AT550" s="134"/>
      <c r="AU550" s="134"/>
      <c r="AV550" s="134"/>
      <c r="AW550" s="134"/>
      <c r="AX550" s="134"/>
      <c r="AY550" s="134"/>
      <c r="AZ550" s="134"/>
      <c r="BA550" s="134"/>
      <c r="BB550" s="134"/>
      <c r="BC550" s="134"/>
      <c r="BD550" s="134"/>
      <c r="BE550" s="134"/>
      <c r="BF550" s="134"/>
      <c r="BG550" s="134"/>
      <c r="BH550" s="134"/>
      <c r="BI550" s="134"/>
      <c r="BJ550" s="134"/>
      <c r="BK550" s="134"/>
      <c r="BL550" s="134"/>
      <c r="BM550" s="135"/>
      <c r="BN550" s="136" t="n">
        <f aca="false">+MAX($D$3,DATOS_[[#This Row],[Fecha Inicio Sit. Contract.]])</f>
        <v>0</v>
      </c>
      <c r="BO550" s="136" t="n">
        <f aca="false">+MIN($D$4,DATOS_[[#This Row],[Fecha Fin Sit. Contract.]])</f>
        <v>0</v>
      </c>
      <c r="BP550" s="137" t="n">
        <f aca="false">+DATOS_[[#This Row],[% de jornada]]*IF(DATOS_[[#This Row],[% jornada reducida]]="",1,DATOS_[[#This Row],[% jornada reducida]])</f>
        <v>0</v>
      </c>
      <c r="BQ550" s="137" t="n">
        <f aca="false">+(DATOS_[[#This Row],[F.fin.cal]]-DATOS_[[#This Row],[F.ini.cal]]+1)/($D$4-$D$3+1)</f>
        <v>1</v>
      </c>
      <c r="BR550" s="137" t="str">
        <f aca="false">IF(OR(AND(DATOS_[[#This Row],[Fecha Fin Contrato]]&lt;$D$3,DATOS_[[#This Row],[Fecha Fin Contrato]]&lt;&gt;""),DATOS_[[#This Row],[Fecha de Contratación]]&gt;$D$4),"Fuera","Dentro")</f>
        <v>Dentro</v>
      </c>
      <c r="BS550" s="137" t="str">
        <f aca="false" t="array" ref="BS550:BS550">IF(MAX(IF(DATOS_[id]=DATOS_[[#This Row],[id]],DATOS_[F.fin.cal]))=DATOS_[[#This Row],[F.fin.cal]],"Sí","NO")</f>
        <v>Sí</v>
      </c>
      <c r="BT550" s="137" t="str">
        <f aca="false">IF(AND(DATOS_[[#This Row],[% normaliz]]&lt;&gt;1,DATOS_[[#This Row],[% anualiz]]=1),"Sí","NO")</f>
        <v>Sí</v>
      </c>
      <c r="BU550" s="137" t="str">
        <f aca="false">IF(AND(DATOS_[[#This Row],[% normaliz]]=1,DATOS_[[#This Row],[% anualiz]]&lt;&gt;1),"Sí","NO")</f>
        <v>NO</v>
      </c>
      <c r="BV550" s="137" t="str">
        <f aca="false">IF(AND(DATOS_[[#This Row],[% normaliz]]&lt;&gt;1,DATOS_[[#This Row],[% anualiz]]&lt;&gt;1),"Sí","NO")</f>
        <v>NO</v>
      </c>
      <c r="BW550" s="137" t="str">
        <f aca="false">+IF(DATOS_[[#This Row],[% normaliz]]*DATOS_[[#This Row],[% anualiz]]=1,"NO","Sí")</f>
        <v>Sí</v>
      </c>
      <c r="BX550" s="138" t="e">
        <f aca="false">(DATOS_[[#This Row],[S.BASE]]*(1/DATOS_[[#This Row],[% normaliz]])*(1/DATOS_[[#This Row],[% anualiz]]))*IF(DATOS_[[#This Row],[Check Equiparado]]="Sí",1,0)</f>
        <v>#DIV/0!</v>
      </c>
      <c r="BY5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0" s="138" t="e">
        <f aca="false">+DATOS_[[#This Row],[SALARIO BASE Eq]]+DATOS_[[#This Row],[Tot COMPL.SAL Eq]]</f>
        <v>#DIV/0!</v>
      </c>
      <c r="CA550" s="138" t="e">
        <f aca="false" t="array" ref="CA550:CA5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0" s="138" t="e">
        <f aca="false">+DATOS_[[#This Row],[TOTAL SALARIO Eq]]+DATOS_[[#This Row],[Tot Extrasalarial Eq]]</f>
        <v>#DIV/0!</v>
      </c>
      <c r="CC550" s="139" t="n">
        <f aca="false">DATOS_[[#This Row],[S.BASE]]</f>
        <v>0</v>
      </c>
      <c r="CD550" s="139" t="n">
        <f aca="false">+SUM(DATOS_[[#This Row],[Conc.Sal.01]:[Conc.Sal.30]])</f>
        <v>0</v>
      </c>
      <c r="CE550" s="139" t="n">
        <f aca="false">+DATOS_[[#This Row],[SALARIO BASE Ef]]+DATOS_[[#This Row],[Tot COMPL.SAL Ef]]</f>
        <v>0</v>
      </c>
      <c r="CF550" s="139" t="n">
        <f aca="false">+SUM(DATOS_[[#This Row],[C.Extra.01]:[C.Extra.05]])</f>
        <v>0</v>
      </c>
      <c r="CG550" s="139" t="n">
        <f aca="false">+DATOS_[[#This Row],[TOTAL SALARIO Ef]]+DATOS_[[#This Row],[Tot Extrasalarial Ef]]</f>
        <v>0</v>
      </c>
      <c r="CH550" s="140" t="n">
        <f aca="false">MIN(IF(DATOS_[[#This Row],[Fecha Fin Contrato]]="",$D$4,DATOS_[[#This Row],[Fecha Fin Contrato]]),$D$4)-MAX(DATOS_[[#This Row],[Fecha de Contratación]],$D$3)+1</f>
        <v>1</v>
      </c>
      <c r="CI550" s="141" t="str">
        <f aca="false">IF(COUNTIFS(DATOS_[id],DATOS_[[#This Row],[id]])&gt;1,DATOS_[[#This Row],[id]],"")</f>
        <v/>
      </c>
      <c r="CJ550" s="141" t="n">
        <f aca="false">(Inicio!$G$10-DATOS_[[#This Row],[Fecha Nacimiento]])/365.25</f>
        <v>0</v>
      </c>
      <c r="CK550" s="141" t="n">
        <f aca="false">(Inicio!$G$10-DATOS_[[#This Row],[Fecha de Antigüedad]])/365.25</f>
        <v>0</v>
      </c>
      <c r="CL550" s="141" t="e">
        <f aca="false">+VLOOKUP(DATOS_[[#This Row],[Clave de Contrato]],TblTiposContrato13[],3,0)</f>
        <v>#N/A</v>
      </c>
      <c r="CM550" s="141" t="e">
        <f aca="false">+VLOOKUP(DATOS_[[#This Row],[Clave de Contrato]],TblTiposContrato13[],4,0)</f>
        <v>#N/A</v>
      </c>
      <c r="CN550" s="141" t="str">
        <f aca="false">VLOOKUP(DATOS_[[#This Row],[Edad]],CONTRATOS!TblRngEdad,2,1)</f>
        <v>20  o menos</v>
      </c>
      <c r="CO550" s="141" t="str">
        <f aca="false">VLOOKUP(DATOS_[[#This Row],[Antigüedad]],TblRngAntg14[],2,1)</f>
        <v>0 a 1 años</v>
      </c>
    </row>
    <row r="551" customFormat="false" ht="13.8" hidden="false" customHeight="false" outlineLevel="0" collapsed="false">
      <c r="D551" s="128"/>
      <c r="E551" s="129"/>
      <c r="F551" s="129"/>
      <c r="G551" s="129"/>
      <c r="H551" s="130"/>
      <c r="I551" s="131"/>
      <c r="J551" s="128"/>
      <c r="K551" s="132"/>
      <c r="L551" s="132"/>
      <c r="M551" s="133"/>
      <c r="N551" s="133"/>
      <c r="O551" s="133"/>
      <c r="P551" s="129"/>
      <c r="Z551" s="75"/>
      <c r="AA551" s="76"/>
      <c r="AB551" s="76"/>
      <c r="AC551" s="129"/>
      <c r="AD551" s="134"/>
      <c r="AE551" s="134"/>
      <c r="AF551" s="134"/>
      <c r="AG551" s="134"/>
      <c r="AH551" s="134"/>
      <c r="AI551" s="134"/>
      <c r="AJ551" s="134"/>
      <c r="AK551" s="134"/>
      <c r="AL551" s="134"/>
      <c r="AM551" s="134"/>
      <c r="AN551" s="134"/>
      <c r="AO551" s="134"/>
      <c r="AP551" s="134"/>
      <c r="AQ551" s="134"/>
      <c r="AR551" s="134"/>
      <c r="AS551" s="134"/>
      <c r="AT551" s="134"/>
      <c r="AU551" s="134"/>
      <c r="AV551" s="134"/>
      <c r="AW551" s="134"/>
      <c r="AX551" s="134"/>
      <c r="AY551" s="134"/>
      <c r="AZ551" s="134"/>
      <c r="BA551" s="134"/>
      <c r="BB551" s="134"/>
      <c r="BC551" s="134"/>
      <c r="BD551" s="134"/>
      <c r="BE551" s="134"/>
      <c r="BF551" s="134"/>
      <c r="BG551" s="134"/>
      <c r="BH551" s="134"/>
      <c r="BI551" s="134"/>
      <c r="BJ551" s="134"/>
      <c r="BK551" s="134"/>
      <c r="BL551" s="134"/>
      <c r="BM551" s="135"/>
      <c r="BN551" s="136" t="n">
        <f aca="false">+MAX($D$3,DATOS_[[#This Row],[Fecha Inicio Sit. Contract.]])</f>
        <v>0</v>
      </c>
      <c r="BO551" s="136" t="n">
        <f aca="false">+MIN($D$4,DATOS_[[#This Row],[Fecha Fin Sit. Contract.]])</f>
        <v>0</v>
      </c>
      <c r="BP551" s="137" t="n">
        <f aca="false">+DATOS_[[#This Row],[% de jornada]]*IF(DATOS_[[#This Row],[% jornada reducida]]="",1,DATOS_[[#This Row],[% jornada reducida]])</f>
        <v>0</v>
      </c>
      <c r="BQ551" s="137" t="n">
        <f aca="false">+(DATOS_[[#This Row],[F.fin.cal]]-DATOS_[[#This Row],[F.ini.cal]]+1)/($D$4-$D$3+1)</f>
        <v>1</v>
      </c>
      <c r="BR551" s="137" t="str">
        <f aca="false">IF(OR(AND(DATOS_[[#This Row],[Fecha Fin Contrato]]&lt;$D$3,DATOS_[[#This Row],[Fecha Fin Contrato]]&lt;&gt;""),DATOS_[[#This Row],[Fecha de Contratación]]&gt;$D$4),"Fuera","Dentro")</f>
        <v>Dentro</v>
      </c>
      <c r="BS551" s="137" t="str">
        <f aca="false" t="array" ref="BS551:BS551">IF(MAX(IF(DATOS_[id]=DATOS_[[#This Row],[id]],DATOS_[F.fin.cal]))=DATOS_[[#This Row],[F.fin.cal]],"Sí","NO")</f>
        <v>Sí</v>
      </c>
      <c r="BT551" s="137" t="str">
        <f aca="false">IF(AND(DATOS_[[#This Row],[% normaliz]]&lt;&gt;1,DATOS_[[#This Row],[% anualiz]]=1),"Sí","NO")</f>
        <v>Sí</v>
      </c>
      <c r="BU551" s="137" t="str">
        <f aca="false">IF(AND(DATOS_[[#This Row],[% normaliz]]=1,DATOS_[[#This Row],[% anualiz]]&lt;&gt;1),"Sí","NO")</f>
        <v>NO</v>
      </c>
      <c r="BV551" s="137" t="str">
        <f aca="false">IF(AND(DATOS_[[#This Row],[% normaliz]]&lt;&gt;1,DATOS_[[#This Row],[% anualiz]]&lt;&gt;1),"Sí","NO")</f>
        <v>NO</v>
      </c>
      <c r="BW551" s="137" t="str">
        <f aca="false">+IF(DATOS_[[#This Row],[% normaliz]]*DATOS_[[#This Row],[% anualiz]]=1,"NO","Sí")</f>
        <v>Sí</v>
      </c>
      <c r="BX551" s="138" t="e">
        <f aca="false">(DATOS_[[#This Row],[S.BASE]]*(1/DATOS_[[#This Row],[% normaliz]])*(1/DATOS_[[#This Row],[% anualiz]]))*IF(DATOS_[[#This Row],[Check Equiparado]]="Sí",1,0)</f>
        <v>#DIV/0!</v>
      </c>
      <c r="BY5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1" s="138" t="e">
        <f aca="false">+DATOS_[[#This Row],[SALARIO BASE Eq]]+DATOS_[[#This Row],[Tot COMPL.SAL Eq]]</f>
        <v>#DIV/0!</v>
      </c>
      <c r="CA551" s="138" t="e">
        <f aca="false" t="array" ref="CA551:CA5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1" s="138" t="e">
        <f aca="false">+DATOS_[[#This Row],[TOTAL SALARIO Eq]]+DATOS_[[#This Row],[Tot Extrasalarial Eq]]</f>
        <v>#DIV/0!</v>
      </c>
      <c r="CC551" s="139" t="n">
        <f aca="false">DATOS_[[#This Row],[S.BASE]]</f>
        <v>0</v>
      </c>
      <c r="CD551" s="139" t="n">
        <f aca="false">+SUM(DATOS_[[#This Row],[Conc.Sal.01]:[Conc.Sal.30]])</f>
        <v>0</v>
      </c>
      <c r="CE551" s="139" t="n">
        <f aca="false">+DATOS_[[#This Row],[SALARIO BASE Ef]]+DATOS_[[#This Row],[Tot COMPL.SAL Ef]]</f>
        <v>0</v>
      </c>
      <c r="CF551" s="139" t="n">
        <f aca="false">+SUM(DATOS_[[#This Row],[C.Extra.01]:[C.Extra.05]])</f>
        <v>0</v>
      </c>
      <c r="CG551" s="139" t="n">
        <f aca="false">+DATOS_[[#This Row],[TOTAL SALARIO Ef]]+DATOS_[[#This Row],[Tot Extrasalarial Ef]]</f>
        <v>0</v>
      </c>
      <c r="CH551" s="140" t="n">
        <f aca="false">MIN(IF(DATOS_[[#This Row],[Fecha Fin Contrato]]="",$D$4,DATOS_[[#This Row],[Fecha Fin Contrato]]),$D$4)-MAX(DATOS_[[#This Row],[Fecha de Contratación]],$D$3)+1</f>
        <v>1</v>
      </c>
      <c r="CI551" s="141" t="str">
        <f aca="false">IF(COUNTIFS(DATOS_[id],DATOS_[[#This Row],[id]])&gt;1,DATOS_[[#This Row],[id]],"")</f>
        <v/>
      </c>
      <c r="CJ551" s="141" t="n">
        <f aca="false">(Inicio!$G$10-DATOS_[[#This Row],[Fecha Nacimiento]])/365.25</f>
        <v>0</v>
      </c>
      <c r="CK551" s="141" t="n">
        <f aca="false">(Inicio!$G$10-DATOS_[[#This Row],[Fecha de Antigüedad]])/365.25</f>
        <v>0</v>
      </c>
      <c r="CL551" s="141" t="e">
        <f aca="false">+VLOOKUP(DATOS_[[#This Row],[Clave de Contrato]],TblTiposContrato13[],3,0)</f>
        <v>#N/A</v>
      </c>
      <c r="CM551" s="141" t="e">
        <f aca="false">+VLOOKUP(DATOS_[[#This Row],[Clave de Contrato]],TblTiposContrato13[],4,0)</f>
        <v>#N/A</v>
      </c>
      <c r="CN551" s="141" t="str">
        <f aca="false">VLOOKUP(DATOS_[[#This Row],[Edad]],CONTRATOS!TblRngEdad,2,1)</f>
        <v>20  o menos</v>
      </c>
      <c r="CO551" s="141" t="str">
        <f aca="false">VLOOKUP(DATOS_[[#This Row],[Antigüedad]],TblRngAntg14[],2,1)</f>
        <v>0 a 1 años</v>
      </c>
    </row>
    <row r="552" customFormat="false" ht="13.8" hidden="false" customHeight="false" outlineLevel="0" collapsed="false">
      <c r="D552" s="128"/>
      <c r="E552" s="129"/>
      <c r="F552" s="129"/>
      <c r="G552" s="129"/>
      <c r="H552" s="130"/>
      <c r="I552" s="131"/>
      <c r="J552" s="128"/>
      <c r="K552" s="132"/>
      <c r="L552" s="132"/>
      <c r="M552" s="133"/>
      <c r="N552" s="133"/>
      <c r="O552" s="133"/>
      <c r="P552" s="129"/>
      <c r="Z552" s="75"/>
      <c r="AA552" s="76"/>
      <c r="AB552" s="76"/>
      <c r="AC552" s="129"/>
      <c r="AD552" s="134"/>
      <c r="AE552" s="134"/>
      <c r="AF552" s="134"/>
      <c r="AG552" s="134"/>
      <c r="AH552" s="134"/>
      <c r="AI552" s="134"/>
      <c r="AJ552" s="134"/>
      <c r="AK552" s="134"/>
      <c r="AL552" s="134"/>
      <c r="AM552" s="134"/>
      <c r="AN552" s="134"/>
      <c r="AO552" s="134"/>
      <c r="AP552" s="134"/>
      <c r="AQ552" s="134"/>
      <c r="AR552" s="134"/>
      <c r="AS552" s="134"/>
      <c r="AT552" s="134"/>
      <c r="AU552" s="134"/>
      <c r="AV552" s="134"/>
      <c r="AW552" s="134"/>
      <c r="AX552" s="134"/>
      <c r="AY552" s="134"/>
      <c r="AZ552" s="134"/>
      <c r="BA552" s="134"/>
      <c r="BB552" s="134"/>
      <c r="BC552" s="134"/>
      <c r="BD552" s="134"/>
      <c r="BE552" s="134"/>
      <c r="BF552" s="134"/>
      <c r="BG552" s="134"/>
      <c r="BH552" s="134"/>
      <c r="BI552" s="134"/>
      <c r="BJ552" s="134"/>
      <c r="BK552" s="134"/>
      <c r="BL552" s="134"/>
      <c r="BM552" s="135"/>
      <c r="BN552" s="136" t="n">
        <f aca="false">+MAX($D$3,DATOS_[[#This Row],[Fecha Inicio Sit. Contract.]])</f>
        <v>0</v>
      </c>
      <c r="BO552" s="136" t="n">
        <f aca="false">+MIN($D$4,DATOS_[[#This Row],[Fecha Fin Sit. Contract.]])</f>
        <v>0</v>
      </c>
      <c r="BP552" s="137" t="n">
        <f aca="false">+DATOS_[[#This Row],[% de jornada]]*IF(DATOS_[[#This Row],[% jornada reducida]]="",1,DATOS_[[#This Row],[% jornada reducida]])</f>
        <v>0</v>
      </c>
      <c r="BQ552" s="137" t="n">
        <f aca="false">+(DATOS_[[#This Row],[F.fin.cal]]-DATOS_[[#This Row],[F.ini.cal]]+1)/($D$4-$D$3+1)</f>
        <v>1</v>
      </c>
      <c r="BR552" s="137" t="str">
        <f aca="false">IF(OR(AND(DATOS_[[#This Row],[Fecha Fin Contrato]]&lt;$D$3,DATOS_[[#This Row],[Fecha Fin Contrato]]&lt;&gt;""),DATOS_[[#This Row],[Fecha de Contratación]]&gt;$D$4),"Fuera","Dentro")</f>
        <v>Dentro</v>
      </c>
      <c r="BS552" s="137" t="str">
        <f aca="false" t="array" ref="BS552:BS552">IF(MAX(IF(DATOS_[id]=DATOS_[[#This Row],[id]],DATOS_[F.fin.cal]))=DATOS_[[#This Row],[F.fin.cal]],"Sí","NO")</f>
        <v>Sí</v>
      </c>
      <c r="BT552" s="137" t="str">
        <f aca="false">IF(AND(DATOS_[[#This Row],[% normaliz]]&lt;&gt;1,DATOS_[[#This Row],[% anualiz]]=1),"Sí","NO")</f>
        <v>Sí</v>
      </c>
      <c r="BU552" s="137" t="str">
        <f aca="false">IF(AND(DATOS_[[#This Row],[% normaliz]]=1,DATOS_[[#This Row],[% anualiz]]&lt;&gt;1),"Sí","NO")</f>
        <v>NO</v>
      </c>
      <c r="BV552" s="137" t="str">
        <f aca="false">IF(AND(DATOS_[[#This Row],[% normaliz]]&lt;&gt;1,DATOS_[[#This Row],[% anualiz]]&lt;&gt;1),"Sí","NO")</f>
        <v>NO</v>
      </c>
      <c r="BW552" s="137" t="str">
        <f aca="false">+IF(DATOS_[[#This Row],[% normaliz]]*DATOS_[[#This Row],[% anualiz]]=1,"NO","Sí")</f>
        <v>Sí</v>
      </c>
      <c r="BX552" s="138" t="e">
        <f aca="false">(DATOS_[[#This Row],[S.BASE]]*(1/DATOS_[[#This Row],[% normaliz]])*(1/DATOS_[[#This Row],[% anualiz]]))*IF(DATOS_[[#This Row],[Check Equiparado]]="Sí",1,0)</f>
        <v>#DIV/0!</v>
      </c>
      <c r="BY5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2" s="138" t="e">
        <f aca="false">+DATOS_[[#This Row],[SALARIO BASE Eq]]+DATOS_[[#This Row],[Tot COMPL.SAL Eq]]</f>
        <v>#DIV/0!</v>
      </c>
      <c r="CA552" s="138" t="e">
        <f aca="false" t="array" ref="CA552:CA5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2" s="138" t="e">
        <f aca="false">+DATOS_[[#This Row],[TOTAL SALARIO Eq]]+DATOS_[[#This Row],[Tot Extrasalarial Eq]]</f>
        <v>#DIV/0!</v>
      </c>
      <c r="CC552" s="139" t="n">
        <f aca="false">DATOS_[[#This Row],[S.BASE]]</f>
        <v>0</v>
      </c>
      <c r="CD552" s="139" t="n">
        <f aca="false">+SUM(DATOS_[[#This Row],[Conc.Sal.01]:[Conc.Sal.30]])</f>
        <v>0</v>
      </c>
      <c r="CE552" s="139" t="n">
        <f aca="false">+DATOS_[[#This Row],[SALARIO BASE Ef]]+DATOS_[[#This Row],[Tot COMPL.SAL Ef]]</f>
        <v>0</v>
      </c>
      <c r="CF552" s="139" t="n">
        <f aca="false">+SUM(DATOS_[[#This Row],[C.Extra.01]:[C.Extra.05]])</f>
        <v>0</v>
      </c>
      <c r="CG552" s="139" t="n">
        <f aca="false">+DATOS_[[#This Row],[TOTAL SALARIO Ef]]+DATOS_[[#This Row],[Tot Extrasalarial Ef]]</f>
        <v>0</v>
      </c>
      <c r="CH552" s="140" t="n">
        <f aca="false">MIN(IF(DATOS_[[#This Row],[Fecha Fin Contrato]]="",$D$4,DATOS_[[#This Row],[Fecha Fin Contrato]]),$D$4)-MAX(DATOS_[[#This Row],[Fecha de Contratación]],$D$3)+1</f>
        <v>1</v>
      </c>
      <c r="CI552" s="141" t="str">
        <f aca="false">IF(COUNTIFS(DATOS_[id],DATOS_[[#This Row],[id]])&gt;1,DATOS_[[#This Row],[id]],"")</f>
        <v/>
      </c>
      <c r="CJ552" s="141" t="n">
        <f aca="false">(Inicio!$G$10-DATOS_[[#This Row],[Fecha Nacimiento]])/365.25</f>
        <v>0</v>
      </c>
      <c r="CK552" s="141" t="n">
        <f aca="false">(Inicio!$G$10-DATOS_[[#This Row],[Fecha de Antigüedad]])/365.25</f>
        <v>0</v>
      </c>
      <c r="CL552" s="141" t="e">
        <f aca="false">+VLOOKUP(DATOS_[[#This Row],[Clave de Contrato]],TblTiposContrato13[],3,0)</f>
        <v>#N/A</v>
      </c>
      <c r="CM552" s="141" t="e">
        <f aca="false">+VLOOKUP(DATOS_[[#This Row],[Clave de Contrato]],TblTiposContrato13[],4,0)</f>
        <v>#N/A</v>
      </c>
      <c r="CN552" s="141" t="str">
        <f aca="false">VLOOKUP(DATOS_[[#This Row],[Edad]],CONTRATOS!TblRngEdad,2,1)</f>
        <v>20  o menos</v>
      </c>
      <c r="CO552" s="141" t="str">
        <f aca="false">VLOOKUP(DATOS_[[#This Row],[Antigüedad]],TblRngAntg14[],2,1)</f>
        <v>0 a 1 años</v>
      </c>
    </row>
    <row r="553" customFormat="false" ht="13.8" hidden="false" customHeight="false" outlineLevel="0" collapsed="false">
      <c r="D553" s="128"/>
      <c r="E553" s="129"/>
      <c r="F553" s="129"/>
      <c r="G553" s="129"/>
      <c r="H553" s="130"/>
      <c r="I553" s="131"/>
      <c r="J553" s="128"/>
      <c r="K553" s="132"/>
      <c r="L553" s="132"/>
      <c r="M553" s="133"/>
      <c r="N553" s="133"/>
      <c r="O553" s="133"/>
      <c r="P553" s="129"/>
      <c r="Z553" s="75"/>
      <c r="AA553" s="76"/>
      <c r="AB553" s="76"/>
      <c r="AC553" s="129"/>
      <c r="AD553" s="134"/>
      <c r="AE553" s="134"/>
      <c r="AF553" s="134"/>
      <c r="AG553" s="134"/>
      <c r="AH553" s="134"/>
      <c r="AI553" s="134"/>
      <c r="AJ553" s="134"/>
      <c r="AK553" s="134"/>
      <c r="AL553" s="134"/>
      <c r="AM553" s="134"/>
      <c r="AN553" s="134"/>
      <c r="AO553" s="134"/>
      <c r="AP553" s="134"/>
      <c r="AQ553" s="134"/>
      <c r="AR553" s="134"/>
      <c r="AS553" s="134"/>
      <c r="AT553" s="134"/>
      <c r="AU553" s="134"/>
      <c r="AV553" s="134"/>
      <c r="AW553" s="134"/>
      <c r="AX553" s="134"/>
      <c r="AY553" s="134"/>
      <c r="AZ553" s="134"/>
      <c r="BA553" s="134"/>
      <c r="BB553" s="134"/>
      <c r="BC553" s="134"/>
      <c r="BD553" s="134"/>
      <c r="BE553" s="134"/>
      <c r="BF553" s="134"/>
      <c r="BG553" s="134"/>
      <c r="BH553" s="134"/>
      <c r="BI553" s="134"/>
      <c r="BJ553" s="134"/>
      <c r="BK553" s="134"/>
      <c r="BL553" s="134"/>
      <c r="BM553" s="135"/>
      <c r="BN553" s="136" t="n">
        <f aca="false">+MAX($D$3,DATOS_[[#This Row],[Fecha Inicio Sit. Contract.]])</f>
        <v>0</v>
      </c>
      <c r="BO553" s="136" t="n">
        <f aca="false">+MIN($D$4,DATOS_[[#This Row],[Fecha Fin Sit. Contract.]])</f>
        <v>0</v>
      </c>
      <c r="BP553" s="137" t="n">
        <f aca="false">+DATOS_[[#This Row],[% de jornada]]*IF(DATOS_[[#This Row],[% jornada reducida]]="",1,DATOS_[[#This Row],[% jornada reducida]])</f>
        <v>0</v>
      </c>
      <c r="BQ553" s="137" t="n">
        <f aca="false">+(DATOS_[[#This Row],[F.fin.cal]]-DATOS_[[#This Row],[F.ini.cal]]+1)/($D$4-$D$3+1)</f>
        <v>1</v>
      </c>
      <c r="BR553" s="137" t="str">
        <f aca="false">IF(OR(AND(DATOS_[[#This Row],[Fecha Fin Contrato]]&lt;$D$3,DATOS_[[#This Row],[Fecha Fin Contrato]]&lt;&gt;""),DATOS_[[#This Row],[Fecha de Contratación]]&gt;$D$4),"Fuera","Dentro")</f>
        <v>Dentro</v>
      </c>
      <c r="BS553" s="137" t="str">
        <f aca="false" t="array" ref="BS553:BS553">IF(MAX(IF(DATOS_[id]=DATOS_[[#This Row],[id]],DATOS_[F.fin.cal]))=DATOS_[[#This Row],[F.fin.cal]],"Sí","NO")</f>
        <v>Sí</v>
      </c>
      <c r="BT553" s="137" t="str">
        <f aca="false">IF(AND(DATOS_[[#This Row],[% normaliz]]&lt;&gt;1,DATOS_[[#This Row],[% anualiz]]=1),"Sí","NO")</f>
        <v>Sí</v>
      </c>
      <c r="BU553" s="137" t="str">
        <f aca="false">IF(AND(DATOS_[[#This Row],[% normaliz]]=1,DATOS_[[#This Row],[% anualiz]]&lt;&gt;1),"Sí","NO")</f>
        <v>NO</v>
      </c>
      <c r="BV553" s="137" t="str">
        <f aca="false">IF(AND(DATOS_[[#This Row],[% normaliz]]&lt;&gt;1,DATOS_[[#This Row],[% anualiz]]&lt;&gt;1),"Sí","NO")</f>
        <v>NO</v>
      </c>
      <c r="BW553" s="137" t="str">
        <f aca="false">+IF(DATOS_[[#This Row],[% normaliz]]*DATOS_[[#This Row],[% anualiz]]=1,"NO","Sí")</f>
        <v>Sí</v>
      </c>
      <c r="BX553" s="138" t="e">
        <f aca="false">(DATOS_[[#This Row],[S.BASE]]*(1/DATOS_[[#This Row],[% normaliz]])*(1/DATOS_[[#This Row],[% anualiz]]))*IF(DATOS_[[#This Row],[Check Equiparado]]="Sí",1,0)</f>
        <v>#DIV/0!</v>
      </c>
      <c r="BY5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3" s="138" t="e">
        <f aca="false">+DATOS_[[#This Row],[SALARIO BASE Eq]]+DATOS_[[#This Row],[Tot COMPL.SAL Eq]]</f>
        <v>#DIV/0!</v>
      </c>
      <c r="CA553" s="138" t="e">
        <f aca="false" t="array" ref="CA553:CA5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3" s="138" t="e">
        <f aca="false">+DATOS_[[#This Row],[TOTAL SALARIO Eq]]+DATOS_[[#This Row],[Tot Extrasalarial Eq]]</f>
        <v>#DIV/0!</v>
      </c>
      <c r="CC553" s="139" t="n">
        <f aca="false">DATOS_[[#This Row],[S.BASE]]</f>
        <v>0</v>
      </c>
      <c r="CD553" s="139" t="n">
        <f aca="false">+SUM(DATOS_[[#This Row],[Conc.Sal.01]:[Conc.Sal.30]])</f>
        <v>0</v>
      </c>
      <c r="CE553" s="139" t="n">
        <f aca="false">+DATOS_[[#This Row],[SALARIO BASE Ef]]+DATOS_[[#This Row],[Tot COMPL.SAL Ef]]</f>
        <v>0</v>
      </c>
      <c r="CF553" s="139" t="n">
        <f aca="false">+SUM(DATOS_[[#This Row],[C.Extra.01]:[C.Extra.05]])</f>
        <v>0</v>
      </c>
      <c r="CG553" s="139" t="n">
        <f aca="false">+DATOS_[[#This Row],[TOTAL SALARIO Ef]]+DATOS_[[#This Row],[Tot Extrasalarial Ef]]</f>
        <v>0</v>
      </c>
      <c r="CH553" s="140" t="n">
        <f aca="false">MIN(IF(DATOS_[[#This Row],[Fecha Fin Contrato]]="",$D$4,DATOS_[[#This Row],[Fecha Fin Contrato]]),$D$4)-MAX(DATOS_[[#This Row],[Fecha de Contratación]],$D$3)+1</f>
        <v>1</v>
      </c>
      <c r="CI553" s="141" t="str">
        <f aca="false">IF(COUNTIFS(DATOS_[id],DATOS_[[#This Row],[id]])&gt;1,DATOS_[[#This Row],[id]],"")</f>
        <v/>
      </c>
      <c r="CJ553" s="141" t="n">
        <f aca="false">(Inicio!$G$10-DATOS_[[#This Row],[Fecha Nacimiento]])/365.25</f>
        <v>0</v>
      </c>
      <c r="CK553" s="141" t="n">
        <f aca="false">(Inicio!$G$10-DATOS_[[#This Row],[Fecha de Antigüedad]])/365.25</f>
        <v>0</v>
      </c>
      <c r="CL553" s="141" t="e">
        <f aca="false">+VLOOKUP(DATOS_[[#This Row],[Clave de Contrato]],TblTiposContrato13[],3,0)</f>
        <v>#N/A</v>
      </c>
      <c r="CM553" s="141" t="e">
        <f aca="false">+VLOOKUP(DATOS_[[#This Row],[Clave de Contrato]],TblTiposContrato13[],4,0)</f>
        <v>#N/A</v>
      </c>
      <c r="CN553" s="141" t="str">
        <f aca="false">VLOOKUP(DATOS_[[#This Row],[Edad]],CONTRATOS!TblRngEdad,2,1)</f>
        <v>20  o menos</v>
      </c>
      <c r="CO553" s="141" t="str">
        <f aca="false">VLOOKUP(DATOS_[[#This Row],[Antigüedad]],TblRngAntg14[],2,1)</f>
        <v>0 a 1 años</v>
      </c>
    </row>
    <row r="554" customFormat="false" ht="13.8" hidden="false" customHeight="false" outlineLevel="0" collapsed="false">
      <c r="D554" s="128"/>
      <c r="E554" s="129"/>
      <c r="F554" s="129"/>
      <c r="G554" s="129"/>
      <c r="H554" s="130"/>
      <c r="I554" s="131"/>
      <c r="J554" s="128"/>
      <c r="K554" s="132"/>
      <c r="L554" s="132"/>
      <c r="M554" s="133"/>
      <c r="N554" s="133"/>
      <c r="O554" s="133"/>
      <c r="P554" s="129"/>
      <c r="Z554" s="75"/>
      <c r="AA554" s="76"/>
      <c r="AB554" s="76"/>
      <c r="AC554" s="129"/>
      <c r="AD554" s="134"/>
      <c r="AE554" s="134"/>
      <c r="AF554" s="134"/>
      <c r="AG554" s="134"/>
      <c r="AH554" s="134"/>
      <c r="AI554" s="134"/>
      <c r="AJ554" s="134"/>
      <c r="AK554" s="134"/>
      <c r="AL554" s="134"/>
      <c r="AM554" s="134"/>
      <c r="AN554" s="134"/>
      <c r="AO554" s="134"/>
      <c r="AP554" s="134"/>
      <c r="AQ554" s="134"/>
      <c r="AR554" s="134"/>
      <c r="AS554" s="134"/>
      <c r="AT554" s="134"/>
      <c r="AU554" s="134"/>
      <c r="AV554" s="134"/>
      <c r="AW554" s="134"/>
      <c r="AX554" s="134"/>
      <c r="AY554" s="134"/>
      <c r="AZ554" s="134"/>
      <c r="BA554" s="134"/>
      <c r="BB554" s="134"/>
      <c r="BC554" s="134"/>
      <c r="BD554" s="134"/>
      <c r="BE554" s="134"/>
      <c r="BF554" s="134"/>
      <c r="BG554" s="134"/>
      <c r="BH554" s="134"/>
      <c r="BI554" s="134"/>
      <c r="BJ554" s="134"/>
      <c r="BK554" s="134"/>
      <c r="BL554" s="134"/>
      <c r="BM554" s="135"/>
      <c r="BN554" s="136" t="n">
        <f aca="false">+MAX($D$3,DATOS_[[#This Row],[Fecha Inicio Sit. Contract.]])</f>
        <v>0</v>
      </c>
      <c r="BO554" s="136" t="n">
        <f aca="false">+MIN($D$4,DATOS_[[#This Row],[Fecha Fin Sit. Contract.]])</f>
        <v>0</v>
      </c>
      <c r="BP554" s="137" t="n">
        <f aca="false">+DATOS_[[#This Row],[% de jornada]]*IF(DATOS_[[#This Row],[% jornada reducida]]="",1,DATOS_[[#This Row],[% jornada reducida]])</f>
        <v>0</v>
      </c>
      <c r="BQ554" s="137" t="n">
        <f aca="false">+(DATOS_[[#This Row],[F.fin.cal]]-DATOS_[[#This Row],[F.ini.cal]]+1)/($D$4-$D$3+1)</f>
        <v>1</v>
      </c>
      <c r="BR554" s="137" t="str">
        <f aca="false">IF(OR(AND(DATOS_[[#This Row],[Fecha Fin Contrato]]&lt;$D$3,DATOS_[[#This Row],[Fecha Fin Contrato]]&lt;&gt;""),DATOS_[[#This Row],[Fecha de Contratación]]&gt;$D$4),"Fuera","Dentro")</f>
        <v>Dentro</v>
      </c>
      <c r="BS554" s="137" t="str">
        <f aca="false" t="array" ref="BS554:BS554">IF(MAX(IF(DATOS_[id]=DATOS_[[#This Row],[id]],DATOS_[F.fin.cal]))=DATOS_[[#This Row],[F.fin.cal]],"Sí","NO")</f>
        <v>Sí</v>
      </c>
      <c r="BT554" s="137" t="str">
        <f aca="false">IF(AND(DATOS_[[#This Row],[% normaliz]]&lt;&gt;1,DATOS_[[#This Row],[% anualiz]]=1),"Sí","NO")</f>
        <v>Sí</v>
      </c>
      <c r="BU554" s="137" t="str">
        <f aca="false">IF(AND(DATOS_[[#This Row],[% normaliz]]=1,DATOS_[[#This Row],[% anualiz]]&lt;&gt;1),"Sí","NO")</f>
        <v>NO</v>
      </c>
      <c r="BV554" s="137" t="str">
        <f aca="false">IF(AND(DATOS_[[#This Row],[% normaliz]]&lt;&gt;1,DATOS_[[#This Row],[% anualiz]]&lt;&gt;1),"Sí","NO")</f>
        <v>NO</v>
      </c>
      <c r="BW554" s="137" t="str">
        <f aca="false">+IF(DATOS_[[#This Row],[% normaliz]]*DATOS_[[#This Row],[% anualiz]]=1,"NO","Sí")</f>
        <v>Sí</v>
      </c>
      <c r="BX554" s="138" t="e">
        <f aca="false">(DATOS_[[#This Row],[S.BASE]]*(1/DATOS_[[#This Row],[% normaliz]])*(1/DATOS_[[#This Row],[% anualiz]]))*IF(DATOS_[[#This Row],[Check Equiparado]]="Sí",1,0)</f>
        <v>#DIV/0!</v>
      </c>
      <c r="BY5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4" s="138" t="e">
        <f aca="false">+DATOS_[[#This Row],[SALARIO BASE Eq]]+DATOS_[[#This Row],[Tot COMPL.SAL Eq]]</f>
        <v>#DIV/0!</v>
      </c>
      <c r="CA554" s="138" t="e">
        <f aca="false" t="array" ref="CA554:CA5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4" s="138" t="e">
        <f aca="false">+DATOS_[[#This Row],[TOTAL SALARIO Eq]]+DATOS_[[#This Row],[Tot Extrasalarial Eq]]</f>
        <v>#DIV/0!</v>
      </c>
      <c r="CC554" s="139" t="n">
        <f aca="false">DATOS_[[#This Row],[S.BASE]]</f>
        <v>0</v>
      </c>
      <c r="CD554" s="139" t="n">
        <f aca="false">+SUM(DATOS_[[#This Row],[Conc.Sal.01]:[Conc.Sal.30]])</f>
        <v>0</v>
      </c>
      <c r="CE554" s="139" t="n">
        <f aca="false">+DATOS_[[#This Row],[SALARIO BASE Ef]]+DATOS_[[#This Row],[Tot COMPL.SAL Ef]]</f>
        <v>0</v>
      </c>
      <c r="CF554" s="139" t="n">
        <f aca="false">+SUM(DATOS_[[#This Row],[C.Extra.01]:[C.Extra.05]])</f>
        <v>0</v>
      </c>
      <c r="CG554" s="139" t="n">
        <f aca="false">+DATOS_[[#This Row],[TOTAL SALARIO Ef]]+DATOS_[[#This Row],[Tot Extrasalarial Ef]]</f>
        <v>0</v>
      </c>
      <c r="CH554" s="140" t="n">
        <f aca="false">MIN(IF(DATOS_[[#This Row],[Fecha Fin Contrato]]="",$D$4,DATOS_[[#This Row],[Fecha Fin Contrato]]),$D$4)-MAX(DATOS_[[#This Row],[Fecha de Contratación]],$D$3)+1</f>
        <v>1</v>
      </c>
      <c r="CI554" s="141" t="str">
        <f aca="false">IF(COUNTIFS(DATOS_[id],DATOS_[[#This Row],[id]])&gt;1,DATOS_[[#This Row],[id]],"")</f>
        <v/>
      </c>
      <c r="CJ554" s="141" t="n">
        <f aca="false">(Inicio!$G$10-DATOS_[[#This Row],[Fecha Nacimiento]])/365.25</f>
        <v>0</v>
      </c>
      <c r="CK554" s="141" t="n">
        <f aca="false">(Inicio!$G$10-DATOS_[[#This Row],[Fecha de Antigüedad]])/365.25</f>
        <v>0</v>
      </c>
      <c r="CL554" s="141" t="e">
        <f aca="false">+VLOOKUP(DATOS_[[#This Row],[Clave de Contrato]],TblTiposContrato13[],3,0)</f>
        <v>#N/A</v>
      </c>
      <c r="CM554" s="141" t="e">
        <f aca="false">+VLOOKUP(DATOS_[[#This Row],[Clave de Contrato]],TblTiposContrato13[],4,0)</f>
        <v>#N/A</v>
      </c>
      <c r="CN554" s="141" t="str">
        <f aca="false">VLOOKUP(DATOS_[[#This Row],[Edad]],CONTRATOS!TblRngEdad,2,1)</f>
        <v>20  o menos</v>
      </c>
      <c r="CO554" s="141" t="str">
        <f aca="false">VLOOKUP(DATOS_[[#This Row],[Antigüedad]],TblRngAntg14[],2,1)</f>
        <v>0 a 1 años</v>
      </c>
    </row>
    <row r="555" customFormat="false" ht="13.8" hidden="false" customHeight="false" outlineLevel="0" collapsed="false">
      <c r="D555" s="128"/>
      <c r="E555" s="129"/>
      <c r="F555" s="129"/>
      <c r="G555" s="129"/>
      <c r="H555" s="130"/>
      <c r="I555" s="131"/>
      <c r="J555" s="128"/>
      <c r="K555" s="132"/>
      <c r="L555" s="132"/>
      <c r="M555" s="133"/>
      <c r="N555" s="133"/>
      <c r="O555" s="133"/>
      <c r="P555" s="129"/>
      <c r="Z555" s="75"/>
      <c r="AA555" s="76"/>
      <c r="AB555" s="76"/>
      <c r="AC555" s="129"/>
      <c r="AD555" s="134"/>
      <c r="AE555" s="134"/>
      <c r="AF555" s="134"/>
      <c r="AG555" s="134"/>
      <c r="AH555" s="134"/>
      <c r="AI555" s="134"/>
      <c r="AJ555" s="134"/>
      <c r="AK555" s="134"/>
      <c r="AL555" s="134"/>
      <c r="AM555" s="134"/>
      <c r="AN555" s="134"/>
      <c r="AO555" s="134"/>
      <c r="AP555" s="134"/>
      <c r="AQ555" s="134"/>
      <c r="AR555" s="134"/>
      <c r="AS555" s="134"/>
      <c r="AT555" s="134"/>
      <c r="AU555" s="134"/>
      <c r="AV555" s="134"/>
      <c r="AW555" s="134"/>
      <c r="AX555" s="134"/>
      <c r="AY555" s="134"/>
      <c r="AZ555" s="134"/>
      <c r="BA555" s="134"/>
      <c r="BB555" s="134"/>
      <c r="BC555" s="134"/>
      <c r="BD555" s="134"/>
      <c r="BE555" s="134"/>
      <c r="BF555" s="134"/>
      <c r="BG555" s="134"/>
      <c r="BH555" s="134"/>
      <c r="BI555" s="134"/>
      <c r="BJ555" s="134"/>
      <c r="BK555" s="134"/>
      <c r="BL555" s="134"/>
      <c r="BM555" s="135"/>
      <c r="BN555" s="136" t="n">
        <f aca="false">+MAX($D$3,DATOS_[[#This Row],[Fecha Inicio Sit. Contract.]])</f>
        <v>0</v>
      </c>
      <c r="BO555" s="136" t="n">
        <f aca="false">+MIN($D$4,DATOS_[[#This Row],[Fecha Fin Sit. Contract.]])</f>
        <v>0</v>
      </c>
      <c r="BP555" s="137" t="n">
        <f aca="false">+DATOS_[[#This Row],[% de jornada]]*IF(DATOS_[[#This Row],[% jornada reducida]]="",1,DATOS_[[#This Row],[% jornada reducida]])</f>
        <v>0</v>
      </c>
      <c r="BQ555" s="137" t="n">
        <f aca="false">+(DATOS_[[#This Row],[F.fin.cal]]-DATOS_[[#This Row],[F.ini.cal]]+1)/($D$4-$D$3+1)</f>
        <v>1</v>
      </c>
      <c r="BR555" s="137" t="str">
        <f aca="false">IF(OR(AND(DATOS_[[#This Row],[Fecha Fin Contrato]]&lt;$D$3,DATOS_[[#This Row],[Fecha Fin Contrato]]&lt;&gt;""),DATOS_[[#This Row],[Fecha de Contratación]]&gt;$D$4),"Fuera","Dentro")</f>
        <v>Dentro</v>
      </c>
      <c r="BS555" s="137" t="str">
        <f aca="false" t="array" ref="BS555:BS555">IF(MAX(IF(DATOS_[id]=DATOS_[[#This Row],[id]],DATOS_[F.fin.cal]))=DATOS_[[#This Row],[F.fin.cal]],"Sí","NO")</f>
        <v>Sí</v>
      </c>
      <c r="BT555" s="137" t="str">
        <f aca="false">IF(AND(DATOS_[[#This Row],[% normaliz]]&lt;&gt;1,DATOS_[[#This Row],[% anualiz]]=1),"Sí","NO")</f>
        <v>Sí</v>
      </c>
      <c r="BU555" s="137" t="str">
        <f aca="false">IF(AND(DATOS_[[#This Row],[% normaliz]]=1,DATOS_[[#This Row],[% anualiz]]&lt;&gt;1),"Sí","NO")</f>
        <v>NO</v>
      </c>
      <c r="BV555" s="137" t="str">
        <f aca="false">IF(AND(DATOS_[[#This Row],[% normaliz]]&lt;&gt;1,DATOS_[[#This Row],[% anualiz]]&lt;&gt;1),"Sí","NO")</f>
        <v>NO</v>
      </c>
      <c r="BW555" s="137" t="str">
        <f aca="false">+IF(DATOS_[[#This Row],[% normaliz]]*DATOS_[[#This Row],[% anualiz]]=1,"NO","Sí")</f>
        <v>Sí</v>
      </c>
      <c r="BX555" s="138" t="e">
        <f aca="false">(DATOS_[[#This Row],[S.BASE]]*(1/DATOS_[[#This Row],[% normaliz]])*(1/DATOS_[[#This Row],[% anualiz]]))*IF(DATOS_[[#This Row],[Check Equiparado]]="Sí",1,0)</f>
        <v>#DIV/0!</v>
      </c>
      <c r="BY5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5" s="138" t="e">
        <f aca="false">+DATOS_[[#This Row],[SALARIO BASE Eq]]+DATOS_[[#This Row],[Tot COMPL.SAL Eq]]</f>
        <v>#DIV/0!</v>
      </c>
      <c r="CA555" s="138" t="e">
        <f aca="false" t="array" ref="CA555:CA5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5" s="138" t="e">
        <f aca="false">+DATOS_[[#This Row],[TOTAL SALARIO Eq]]+DATOS_[[#This Row],[Tot Extrasalarial Eq]]</f>
        <v>#DIV/0!</v>
      </c>
      <c r="CC555" s="139" t="n">
        <f aca="false">DATOS_[[#This Row],[S.BASE]]</f>
        <v>0</v>
      </c>
      <c r="CD555" s="139" t="n">
        <f aca="false">+SUM(DATOS_[[#This Row],[Conc.Sal.01]:[Conc.Sal.30]])</f>
        <v>0</v>
      </c>
      <c r="CE555" s="139" t="n">
        <f aca="false">+DATOS_[[#This Row],[SALARIO BASE Ef]]+DATOS_[[#This Row],[Tot COMPL.SAL Ef]]</f>
        <v>0</v>
      </c>
      <c r="CF555" s="139" t="n">
        <f aca="false">+SUM(DATOS_[[#This Row],[C.Extra.01]:[C.Extra.05]])</f>
        <v>0</v>
      </c>
      <c r="CG555" s="139" t="n">
        <f aca="false">+DATOS_[[#This Row],[TOTAL SALARIO Ef]]+DATOS_[[#This Row],[Tot Extrasalarial Ef]]</f>
        <v>0</v>
      </c>
      <c r="CH555" s="140" t="n">
        <f aca="false">MIN(IF(DATOS_[[#This Row],[Fecha Fin Contrato]]="",$D$4,DATOS_[[#This Row],[Fecha Fin Contrato]]),$D$4)-MAX(DATOS_[[#This Row],[Fecha de Contratación]],$D$3)+1</f>
        <v>1</v>
      </c>
      <c r="CI555" s="141" t="str">
        <f aca="false">IF(COUNTIFS(DATOS_[id],DATOS_[[#This Row],[id]])&gt;1,DATOS_[[#This Row],[id]],"")</f>
        <v/>
      </c>
      <c r="CJ555" s="141" t="n">
        <f aca="false">(Inicio!$G$10-DATOS_[[#This Row],[Fecha Nacimiento]])/365.25</f>
        <v>0</v>
      </c>
      <c r="CK555" s="141" t="n">
        <f aca="false">(Inicio!$G$10-DATOS_[[#This Row],[Fecha de Antigüedad]])/365.25</f>
        <v>0</v>
      </c>
      <c r="CL555" s="141" t="e">
        <f aca="false">+VLOOKUP(DATOS_[[#This Row],[Clave de Contrato]],TblTiposContrato13[],3,0)</f>
        <v>#N/A</v>
      </c>
      <c r="CM555" s="141" t="e">
        <f aca="false">+VLOOKUP(DATOS_[[#This Row],[Clave de Contrato]],TblTiposContrato13[],4,0)</f>
        <v>#N/A</v>
      </c>
      <c r="CN555" s="141" t="str">
        <f aca="false">VLOOKUP(DATOS_[[#This Row],[Edad]],CONTRATOS!TblRngEdad,2,1)</f>
        <v>20  o menos</v>
      </c>
      <c r="CO555" s="141" t="str">
        <f aca="false">VLOOKUP(DATOS_[[#This Row],[Antigüedad]],TblRngAntg14[],2,1)</f>
        <v>0 a 1 años</v>
      </c>
    </row>
    <row r="556" customFormat="false" ht="13.8" hidden="false" customHeight="false" outlineLevel="0" collapsed="false">
      <c r="D556" s="128"/>
      <c r="E556" s="129"/>
      <c r="F556" s="129"/>
      <c r="G556" s="129"/>
      <c r="H556" s="130"/>
      <c r="I556" s="131"/>
      <c r="J556" s="128"/>
      <c r="K556" s="132"/>
      <c r="L556" s="132"/>
      <c r="M556" s="133"/>
      <c r="N556" s="133"/>
      <c r="O556" s="133"/>
      <c r="P556" s="129"/>
      <c r="Z556" s="75"/>
      <c r="AA556" s="76"/>
      <c r="AB556" s="76"/>
      <c r="AC556" s="129"/>
      <c r="AD556" s="134"/>
      <c r="AE556" s="134"/>
      <c r="AF556" s="134"/>
      <c r="AG556" s="134"/>
      <c r="AH556" s="134"/>
      <c r="AI556" s="134"/>
      <c r="AJ556" s="134"/>
      <c r="AK556" s="134"/>
      <c r="AL556" s="134"/>
      <c r="AM556" s="134"/>
      <c r="AN556" s="134"/>
      <c r="AO556" s="134"/>
      <c r="AP556" s="134"/>
      <c r="AQ556" s="134"/>
      <c r="AR556" s="134"/>
      <c r="AS556" s="134"/>
      <c r="AT556" s="134"/>
      <c r="AU556" s="134"/>
      <c r="AV556" s="134"/>
      <c r="AW556" s="134"/>
      <c r="AX556" s="134"/>
      <c r="AY556" s="134"/>
      <c r="AZ556" s="134"/>
      <c r="BA556" s="134"/>
      <c r="BB556" s="134"/>
      <c r="BC556" s="134"/>
      <c r="BD556" s="134"/>
      <c r="BE556" s="134"/>
      <c r="BF556" s="134"/>
      <c r="BG556" s="134"/>
      <c r="BH556" s="134"/>
      <c r="BI556" s="134"/>
      <c r="BJ556" s="134"/>
      <c r="BK556" s="134"/>
      <c r="BL556" s="134"/>
      <c r="BM556" s="135"/>
      <c r="BN556" s="136" t="n">
        <f aca="false">+MAX($D$3,DATOS_[[#This Row],[Fecha Inicio Sit. Contract.]])</f>
        <v>0</v>
      </c>
      <c r="BO556" s="136" t="n">
        <f aca="false">+MIN($D$4,DATOS_[[#This Row],[Fecha Fin Sit. Contract.]])</f>
        <v>0</v>
      </c>
      <c r="BP556" s="137" t="n">
        <f aca="false">+DATOS_[[#This Row],[% de jornada]]*IF(DATOS_[[#This Row],[% jornada reducida]]="",1,DATOS_[[#This Row],[% jornada reducida]])</f>
        <v>0</v>
      </c>
      <c r="BQ556" s="137" t="n">
        <f aca="false">+(DATOS_[[#This Row],[F.fin.cal]]-DATOS_[[#This Row],[F.ini.cal]]+1)/($D$4-$D$3+1)</f>
        <v>1</v>
      </c>
      <c r="BR556" s="137" t="str">
        <f aca="false">IF(OR(AND(DATOS_[[#This Row],[Fecha Fin Contrato]]&lt;$D$3,DATOS_[[#This Row],[Fecha Fin Contrato]]&lt;&gt;""),DATOS_[[#This Row],[Fecha de Contratación]]&gt;$D$4),"Fuera","Dentro")</f>
        <v>Dentro</v>
      </c>
      <c r="BS556" s="137" t="str">
        <f aca="false" t="array" ref="BS556:BS556">IF(MAX(IF(DATOS_[id]=DATOS_[[#This Row],[id]],DATOS_[F.fin.cal]))=DATOS_[[#This Row],[F.fin.cal]],"Sí","NO")</f>
        <v>Sí</v>
      </c>
      <c r="BT556" s="137" t="str">
        <f aca="false">IF(AND(DATOS_[[#This Row],[% normaliz]]&lt;&gt;1,DATOS_[[#This Row],[% anualiz]]=1),"Sí","NO")</f>
        <v>Sí</v>
      </c>
      <c r="BU556" s="137" t="str">
        <f aca="false">IF(AND(DATOS_[[#This Row],[% normaliz]]=1,DATOS_[[#This Row],[% anualiz]]&lt;&gt;1),"Sí","NO")</f>
        <v>NO</v>
      </c>
      <c r="BV556" s="137" t="str">
        <f aca="false">IF(AND(DATOS_[[#This Row],[% normaliz]]&lt;&gt;1,DATOS_[[#This Row],[% anualiz]]&lt;&gt;1),"Sí","NO")</f>
        <v>NO</v>
      </c>
      <c r="BW556" s="137" t="str">
        <f aca="false">+IF(DATOS_[[#This Row],[% normaliz]]*DATOS_[[#This Row],[% anualiz]]=1,"NO","Sí")</f>
        <v>Sí</v>
      </c>
      <c r="BX556" s="138" t="e">
        <f aca="false">(DATOS_[[#This Row],[S.BASE]]*(1/DATOS_[[#This Row],[% normaliz]])*(1/DATOS_[[#This Row],[% anualiz]]))*IF(DATOS_[[#This Row],[Check Equiparado]]="Sí",1,0)</f>
        <v>#DIV/0!</v>
      </c>
      <c r="BY5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6" s="138" t="e">
        <f aca="false">+DATOS_[[#This Row],[SALARIO BASE Eq]]+DATOS_[[#This Row],[Tot COMPL.SAL Eq]]</f>
        <v>#DIV/0!</v>
      </c>
      <c r="CA556" s="138" t="e">
        <f aca="false" t="array" ref="CA556:CA5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6" s="138" t="e">
        <f aca="false">+DATOS_[[#This Row],[TOTAL SALARIO Eq]]+DATOS_[[#This Row],[Tot Extrasalarial Eq]]</f>
        <v>#DIV/0!</v>
      </c>
      <c r="CC556" s="139" t="n">
        <f aca="false">DATOS_[[#This Row],[S.BASE]]</f>
        <v>0</v>
      </c>
      <c r="CD556" s="139" t="n">
        <f aca="false">+SUM(DATOS_[[#This Row],[Conc.Sal.01]:[Conc.Sal.30]])</f>
        <v>0</v>
      </c>
      <c r="CE556" s="139" t="n">
        <f aca="false">+DATOS_[[#This Row],[SALARIO BASE Ef]]+DATOS_[[#This Row],[Tot COMPL.SAL Ef]]</f>
        <v>0</v>
      </c>
      <c r="CF556" s="139" t="n">
        <f aca="false">+SUM(DATOS_[[#This Row],[C.Extra.01]:[C.Extra.05]])</f>
        <v>0</v>
      </c>
      <c r="CG556" s="139" t="n">
        <f aca="false">+DATOS_[[#This Row],[TOTAL SALARIO Ef]]+DATOS_[[#This Row],[Tot Extrasalarial Ef]]</f>
        <v>0</v>
      </c>
      <c r="CH556" s="140" t="n">
        <f aca="false">MIN(IF(DATOS_[[#This Row],[Fecha Fin Contrato]]="",$D$4,DATOS_[[#This Row],[Fecha Fin Contrato]]),$D$4)-MAX(DATOS_[[#This Row],[Fecha de Contratación]],$D$3)+1</f>
        <v>1</v>
      </c>
      <c r="CI556" s="141" t="str">
        <f aca="false">IF(COUNTIFS(DATOS_[id],DATOS_[[#This Row],[id]])&gt;1,DATOS_[[#This Row],[id]],"")</f>
        <v/>
      </c>
      <c r="CJ556" s="141" t="n">
        <f aca="false">(Inicio!$G$10-DATOS_[[#This Row],[Fecha Nacimiento]])/365.25</f>
        <v>0</v>
      </c>
      <c r="CK556" s="141" t="n">
        <f aca="false">(Inicio!$G$10-DATOS_[[#This Row],[Fecha de Antigüedad]])/365.25</f>
        <v>0</v>
      </c>
      <c r="CL556" s="141" t="e">
        <f aca="false">+VLOOKUP(DATOS_[[#This Row],[Clave de Contrato]],TblTiposContrato13[],3,0)</f>
        <v>#N/A</v>
      </c>
      <c r="CM556" s="141" t="e">
        <f aca="false">+VLOOKUP(DATOS_[[#This Row],[Clave de Contrato]],TblTiposContrato13[],4,0)</f>
        <v>#N/A</v>
      </c>
      <c r="CN556" s="141" t="str">
        <f aca="false">VLOOKUP(DATOS_[[#This Row],[Edad]],CONTRATOS!TblRngEdad,2,1)</f>
        <v>20  o menos</v>
      </c>
      <c r="CO556" s="141" t="str">
        <f aca="false">VLOOKUP(DATOS_[[#This Row],[Antigüedad]],TblRngAntg14[],2,1)</f>
        <v>0 a 1 años</v>
      </c>
    </row>
    <row r="557" customFormat="false" ht="13.8" hidden="false" customHeight="false" outlineLevel="0" collapsed="false">
      <c r="D557" s="128"/>
      <c r="E557" s="129"/>
      <c r="F557" s="129"/>
      <c r="G557" s="129"/>
      <c r="H557" s="130"/>
      <c r="I557" s="131"/>
      <c r="J557" s="128"/>
      <c r="K557" s="132"/>
      <c r="L557" s="132"/>
      <c r="M557" s="133"/>
      <c r="N557" s="133"/>
      <c r="O557" s="133"/>
      <c r="P557" s="129"/>
      <c r="Z557" s="75"/>
      <c r="AA557" s="76"/>
      <c r="AB557" s="76"/>
      <c r="AC557" s="129"/>
      <c r="AD557" s="134"/>
      <c r="AE557" s="134"/>
      <c r="AF557" s="134"/>
      <c r="AG557" s="134"/>
      <c r="AH557" s="134"/>
      <c r="AI557" s="134"/>
      <c r="AJ557" s="134"/>
      <c r="AK557" s="134"/>
      <c r="AL557" s="134"/>
      <c r="AM557" s="134"/>
      <c r="AN557" s="134"/>
      <c r="AO557" s="134"/>
      <c r="AP557" s="134"/>
      <c r="AQ557" s="134"/>
      <c r="AR557" s="134"/>
      <c r="AS557" s="134"/>
      <c r="AT557" s="134"/>
      <c r="AU557" s="134"/>
      <c r="AV557" s="134"/>
      <c r="AW557" s="134"/>
      <c r="AX557" s="134"/>
      <c r="AY557" s="134"/>
      <c r="AZ557" s="134"/>
      <c r="BA557" s="134"/>
      <c r="BB557" s="134"/>
      <c r="BC557" s="134"/>
      <c r="BD557" s="134"/>
      <c r="BE557" s="134"/>
      <c r="BF557" s="134"/>
      <c r="BG557" s="134"/>
      <c r="BH557" s="134"/>
      <c r="BI557" s="134"/>
      <c r="BJ557" s="134"/>
      <c r="BK557" s="134"/>
      <c r="BL557" s="134"/>
      <c r="BM557" s="135"/>
      <c r="BN557" s="136" t="n">
        <f aca="false">+MAX($D$3,DATOS_[[#This Row],[Fecha Inicio Sit. Contract.]])</f>
        <v>0</v>
      </c>
      <c r="BO557" s="136" t="n">
        <f aca="false">+MIN($D$4,DATOS_[[#This Row],[Fecha Fin Sit. Contract.]])</f>
        <v>0</v>
      </c>
      <c r="BP557" s="137" t="n">
        <f aca="false">+DATOS_[[#This Row],[% de jornada]]*IF(DATOS_[[#This Row],[% jornada reducida]]="",1,DATOS_[[#This Row],[% jornada reducida]])</f>
        <v>0</v>
      </c>
      <c r="BQ557" s="137" t="n">
        <f aca="false">+(DATOS_[[#This Row],[F.fin.cal]]-DATOS_[[#This Row],[F.ini.cal]]+1)/($D$4-$D$3+1)</f>
        <v>1</v>
      </c>
      <c r="BR557" s="137" t="str">
        <f aca="false">IF(OR(AND(DATOS_[[#This Row],[Fecha Fin Contrato]]&lt;$D$3,DATOS_[[#This Row],[Fecha Fin Contrato]]&lt;&gt;""),DATOS_[[#This Row],[Fecha de Contratación]]&gt;$D$4),"Fuera","Dentro")</f>
        <v>Dentro</v>
      </c>
      <c r="BS557" s="137" t="str">
        <f aca="false" t="array" ref="BS557:BS557">IF(MAX(IF(DATOS_[id]=DATOS_[[#This Row],[id]],DATOS_[F.fin.cal]))=DATOS_[[#This Row],[F.fin.cal]],"Sí","NO")</f>
        <v>Sí</v>
      </c>
      <c r="BT557" s="137" t="str">
        <f aca="false">IF(AND(DATOS_[[#This Row],[% normaliz]]&lt;&gt;1,DATOS_[[#This Row],[% anualiz]]=1),"Sí","NO")</f>
        <v>Sí</v>
      </c>
      <c r="BU557" s="137" t="str">
        <f aca="false">IF(AND(DATOS_[[#This Row],[% normaliz]]=1,DATOS_[[#This Row],[% anualiz]]&lt;&gt;1),"Sí","NO")</f>
        <v>NO</v>
      </c>
      <c r="BV557" s="137" t="str">
        <f aca="false">IF(AND(DATOS_[[#This Row],[% normaliz]]&lt;&gt;1,DATOS_[[#This Row],[% anualiz]]&lt;&gt;1),"Sí","NO")</f>
        <v>NO</v>
      </c>
      <c r="BW557" s="137" t="str">
        <f aca="false">+IF(DATOS_[[#This Row],[% normaliz]]*DATOS_[[#This Row],[% anualiz]]=1,"NO","Sí")</f>
        <v>Sí</v>
      </c>
      <c r="BX557" s="138" t="e">
        <f aca="false">(DATOS_[[#This Row],[S.BASE]]*(1/DATOS_[[#This Row],[% normaliz]])*(1/DATOS_[[#This Row],[% anualiz]]))*IF(DATOS_[[#This Row],[Check Equiparado]]="Sí",1,0)</f>
        <v>#DIV/0!</v>
      </c>
      <c r="BY5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7" s="138" t="e">
        <f aca="false">+DATOS_[[#This Row],[SALARIO BASE Eq]]+DATOS_[[#This Row],[Tot COMPL.SAL Eq]]</f>
        <v>#DIV/0!</v>
      </c>
      <c r="CA557" s="138" t="e">
        <f aca="false" t="array" ref="CA557:CA5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7" s="138" t="e">
        <f aca="false">+DATOS_[[#This Row],[TOTAL SALARIO Eq]]+DATOS_[[#This Row],[Tot Extrasalarial Eq]]</f>
        <v>#DIV/0!</v>
      </c>
      <c r="CC557" s="139" t="n">
        <f aca="false">DATOS_[[#This Row],[S.BASE]]</f>
        <v>0</v>
      </c>
      <c r="CD557" s="139" t="n">
        <f aca="false">+SUM(DATOS_[[#This Row],[Conc.Sal.01]:[Conc.Sal.30]])</f>
        <v>0</v>
      </c>
      <c r="CE557" s="139" t="n">
        <f aca="false">+DATOS_[[#This Row],[SALARIO BASE Ef]]+DATOS_[[#This Row],[Tot COMPL.SAL Ef]]</f>
        <v>0</v>
      </c>
      <c r="CF557" s="139" t="n">
        <f aca="false">+SUM(DATOS_[[#This Row],[C.Extra.01]:[C.Extra.05]])</f>
        <v>0</v>
      </c>
      <c r="CG557" s="139" t="n">
        <f aca="false">+DATOS_[[#This Row],[TOTAL SALARIO Ef]]+DATOS_[[#This Row],[Tot Extrasalarial Ef]]</f>
        <v>0</v>
      </c>
      <c r="CH557" s="140" t="n">
        <f aca="false">MIN(IF(DATOS_[[#This Row],[Fecha Fin Contrato]]="",$D$4,DATOS_[[#This Row],[Fecha Fin Contrato]]),$D$4)-MAX(DATOS_[[#This Row],[Fecha de Contratación]],$D$3)+1</f>
        <v>1</v>
      </c>
      <c r="CI557" s="141" t="str">
        <f aca="false">IF(COUNTIFS(DATOS_[id],DATOS_[[#This Row],[id]])&gt;1,DATOS_[[#This Row],[id]],"")</f>
        <v/>
      </c>
      <c r="CJ557" s="141" t="n">
        <f aca="false">(Inicio!$G$10-DATOS_[[#This Row],[Fecha Nacimiento]])/365.25</f>
        <v>0</v>
      </c>
      <c r="CK557" s="141" t="n">
        <f aca="false">(Inicio!$G$10-DATOS_[[#This Row],[Fecha de Antigüedad]])/365.25</f>
        <v>0</v>
      </c>
      <c r="CL557" s="141" t="e">
        <f aca="false">+VLOOKUP(DATOS_[[#This Row],[Clave de Contrato]],TblTiposContrato13[],3,0)</f>
        <v>#N/A</v>
      </c>
      <c r="CM557" s="141" t="e">
        <f aca="false">+VLOOKUP(DATOS_[[#This Row],[Clave de Contrato]],TblTiposContrato13[],4,0)</f>
        <v>#N/A</v>
      </c>
      <c r="CN557" s="141" t="str">
        <f aca="false">VLOOKUP(DATOS_[[#This Row],[Edad]],CONTRATOS!TblRngEdad,2,1)</f>
        <v>20  o menos</v>
      </c>
      <c r="CO557" s="141" t="str">
        <f aca="false">VLOOKUP(DATOS_[[#This Row],[Antigüedad]],TblRngAntg14[],2,1)</f>
        <v>0 a 1 años</v>
      </c>
    </row>
    <row r="558" customFormat="false" ht="13.8" hidden="false" customHeight="false" outlineLevel="0" collapsed="false">
      <c r="D558" s="128"/>
      <c r="E558" s="129"/>
      <c r="F558" s="129"/>
      <c r="G558" s="129"/>
      <c r="H558" s="130"/>
      <c r="I558" s="131"/>
      <c r="J558" s="128"/>
      <c r="K558" s="132"/>
      <c r="L558" s="132"/>
      <c r="M558" s="133"/>
      <c r="N558" s="133"/>
      <c r="O558" s="133"/>
      <c r="P558" s="129"/>
      <c r="Z558" s="75"/>
      <c r="AA558" s="76"/>
      <c r="AB558" s="76"/>
      <c r="AC558" s="129"/>
      <c r="AD558" s="134"/>
      <c r="AE558" s="134"/>
      <c r="AF558" s="134"/>
      <c r="AG558" s="134"/>
      <c r="AH558" s="134"/>
      <c r="AI558" s="134"/>
      <c r="AJ558" s="134"/>
      <c r="AK558" s="134"/>
      <c r="AL558" s="134"/>
      <c r="AM558" s="134"/>
      <c r="AN558" s="134"/>
      <c r="AO558" s="134"/>
      <c r="AP558" s="134"/>
      <c r="AQ558" s="134"/>
      <c r="AR558" s="134"/>
      <c r="AS558" s="134"/>
      <c r="AT558" s="134"/>
      <c r="AU558" s="134"/>
      <c r="AV558" s="134"/>
      <c r="AW558" s="134"/>
      <c r="AX558" s="134"/>
      <c r="AY558" s="134"/>
      <c r="AZ558" s="134"/>
      <c r="BA558" s="134"/>
      <c r="BB558" s="134"/>
      <c r="BC558" s="134"/>
      <c r="BD558" s="134"/>
      <c r="BE558" s="134"/>
      <c r="BF558" s="134"/>
      <c r="BG558" s="134"/>
      <c r="BH558" s="134"/>
      <c r="BI558" s="134"/>
      <c r="BJ558" s="134"/>
      <c r="BK558" s="134"/>
      <c r="BL558" s="134"/>
      <c r="BM558" s="135"/>
      <c r="BN558" s="136" t="n">
        <f aca="false">+MAX($D$3,DATOS_[[#This Row],[Fecha Inicio Sit. Contract.]])</f>
        <v>0</v>
      </c>
      <c r="BO558" s="136" t="n">
        <f aca="false">+MIN($D$4,DATOS_[[#This Row],[Fecha Fin Sit. Contract.]])</f>
        <v>0</v>
      </c>
      <c r="BP558" s="137" t="n">
        <f aca="false">+DATOS_[[#This Row],[% de jornada]]*IF(DATOS_[[#This Row],[% jornada reducida]]="",1,DATOS_[[#This Row],[% jornada reducida]])</f>
        <v>0</v>
      </c>
      <c r="BQ558" s="137" t="n">
        <f aca="false">+(DATOS_[[#This Row],[F.fin.cal]]-DATOS_[[#This Row],[F.ini.cal]]+1)/($D$4-$D$3+1)</f>
        <v>1</v>
      </c>
      <c r="BR558" s="137" t="str">
        <f aca="false">IF(OR(AND(DATOS_[[#This Row],[Fecha Fin Contrato]]&lt;$D$3,DATOS_[[#This Row],[Fecha Fin Contrato]]&lt;&gt;""),DATOS_[[#This Row],[Fecha de Contratación]]&gt;$D$4),"Fuera","Dentro")</f>
        <v>Dentro</v>
      </c>
      <c r="BS558" s="137" t="str">
        <f aca="false" t="array" ref="BS558:BS558">IF(MAX(IF(DATOS_[id]=DATOS_[[#This Row],[id]],DATOS_[F.fin.cal]))=DATOS_[[#This Row],[F.fin.cal]],"Sí","NO")</f>
        <v>Sí</v>
      </c>
      <c r="BT558" s="137" t="str">
        <f aca="false">IF(AND(DATOS_[[#This Row],[% normaliz]]&lt;&gt;1,DATOS_[[#This Row],[% anualiz]]=1),"Sí","NO")</f>
        <v>Sí</v>
      </c>
      <c r="BU558" s="137" t="str">
        <f aca="false">IF(AND(DATOS_[[#This Row],[% normaliz]]=1,DATOS_[[#This Row],[% anualiz]]&lt;&gt;1),"Sí","NO")</f>
        <v>NO</v>
      </c>
      <c r="BV558" s="137" t="str">
        <f aca="false">IF(AND(DATOS_[[#This Row],[% normaliz]]&lt;&gt;1,DATOS_[[#This Row],[% anualiz]]&lt;&gt;1),"Sí","NO")</f>
        <v>NO</v>
      </c>
      <c r="BW558" s="137" t="str">
        <f aca="false">+IF(DATOS_[[#This Row],[% normaliz]]*DATOS_[[#This Row],[% anualiz]]=1,"NO","Sí")</f>
        <v>Sí</v>
      </c>
      <c r="BX558" s="138" t="e">
        <f aca="false">(DATOS_[[#This Row],[S.BASE]]*(1/DATOS_[[#This Row],[% normaliz]])*(1/DATOS_[[#This Row],[% anualiz]]))*IF(DATOS_[[#This Row],[Check Equiparado]]="Sí",1,0)</f>
        <v>#DIV/0!</v>
      </c>
      <c r="BY5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8" s="138" t="e">
        <f aca="false">+DATOS_[[#This Row],[SALARIO BASE Eq]]+DATOS_[[#This Row],[Tot COMPL.SAL Eq]]</f>
        <v>#DIV/0!</v>
      </c>
      <c r="CA558" s="138" t="e">
        <f aca="false" t="array" ref="CA558:CA5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8" s="138" t="e">
        <f aca="false">+DATOS_[[#This Row],[TOTAL SALARIO Eq]]+DATOS_[[#This Row],[Tot Extrasalarial Eq]]</f>
        <v>#DIV/0!</v>
      </c>
      <c r="CC558" s="139" t="n">
        <f aca="false">DATOS_[[#This Row],[S.BASE]]</f>
        <v>0</v>
      </c>
      <c r="CD558" s="139" t="n">
        <f aca="false">+SUM(DATOS_[[#This Row],[Conc.Sal.01]:[Conc.Sal.30]])</f>
        <v>0</v>
      </c>
      <c r="CE558" s="139" t="n">
        <f aca="false">+DATOS_[[#This Row],[SALARIO BASE Ef]]+DATOS_[[#This Row],[Tot COMPL.SAL Ef]]</f>
        <v>0</v>
      </c>
      <c r="CF558" s="139" t="n">
        <f aca="false">+SUM(DATOS_[[#This Row],[C.Extra.01]:[C.Extra.05]])</f>
        <v>0</v>
      </c>
      <c r="CG558" s="139" t="n">
        <f aca="false">+DATOS_[[#This Row],[TOTAL SALARIO Ef]]+DATOS_[[#This Row],[Tot Extrasalarial Ef]]</f>
        <v>0</v>
      </c>
      <c r="CH558" s="140" t="n">
        <f aca="false">MIN(IF(DATOS_[[#This Row],[Fecha Fin Contrato]]="",$D$4,DATOS_[[#This Row],[Fecha Fin Contrato]]),$D$4)-MAX(DATOS_[[#This Row],[Fecha de Contratación]],$D$3)+1</f>
        <v>1</v>
      </c>
      <c r="CI558" s="141" t="str">
        <f aca="false">IF(COUNTIFS(DATOS_[id],DATOS_[[#This Row],[id]])&gt;1,DATOS_[[#This Row],[id]],"")</f>
        <v/>
      </c>
      <c r="CJ558" s="141" t="n">
        <f aca="false">(Inicio!$G$10-DATOS_[[#This Row],[Fecha Nacimiento]])/365.25</f>
        <v>0</v>
      </c>
      <c r="CK558" s="141" t="n">
        <f aca="false">(Inicio!$G$10-DATOS_[[#This Row],[Fecha de Antigüedad]])/365.25</f>
        <v>0</v>
      </c>
      <c r="CL558" s="141" t="e">
        <f aca="false">+VLOOKUP(DATOS_[[#This Row],[Clave de Contrato]],TblTiposContrato13[],3,0)</f>
        <v>#N/A</v>
      </c>
      <c r="CM558" s="141" t="e">
        <f aca="false">+VLOOKUP(DATOS_[[#This Row],[Clave de Contrato]],TblTiposContrato13[],4,0)</f>
        <v>#N/A</v>
      </c>
      <c r="CN558" s="141" t="str">
        <f aca="false">VLOOKUP(DATOS_[[#This Row],[Edad]],CONTRATOS!TblRngEdad,2,1)</f>
        <v>20  o menos</v>
      </c>
      <c r="CO558" s="141" t="str">
        <f aca="false">VLOOKUP(DATOS_[[#This Row],[Antigüedad]],TblRngAntg14[],2,1)</f>
        <v>0 a 1 años</v>
      </c>
    </row>
    <row r="559" customFormat="false" ht="13.8" hidden="false" customHeight="false" outlineLevel="0" collapsed="false">
      <c r="D559" s="128"/>
      <c r="E559" s="129"/>
      <c r="F559" s="129"/>
      <c r="G559" s="129"/>
      <c r="H559" s="130"/>
      <c r="I559" s="131"/>
      <c r="J559" s="128"/>
      <c r="K559" s="132"/>
      <c r="L559" s="132"/>
      <c r="M559" s="133"/>
      <c r="N559" s="133"/>
      <c r="O559" s="133"/>
      <c r="P559" s="129"/>
      <c r="Z559" s="75"/>
      <c r="AA559" s="76"/>
      <c r="AB559" s="76"/>
      <c r="AC559" s="129"/>
      <c r="AD559" s="134"/>
      <c r="AE559" s="134"/>
      <c r="AF559" s="134"/>
      <c r="AG559" s="134"/>
      <c r="AH559" s="134"/>
      <c r="AI559" s="134"/>
      <c r="AJ559" s="134"/>
      <c r="AK559" s="134"/>
      <c r="AL559" s="134"/>
      <c r="AM559" s="134"/>
      <c r="AN559" s="134"/>
      <c r="AO559" s="134"/>
      <c r="AP559" s="134"/>
      <c r="AQ559" s="134"/>
      <c r="AR559" s="134"/>
      <c r="AS559" s="134"/>
      <c r="AT559" s="134"/>
      <c r="AU559" s="134"/>
      <c r="AV559" s="134"/>
      <c r="AW559" s="134"/>
      <c r="AX559" s="134"/>
      <c r="AY559" s="134"/>
      <c r="AZ559" s="134"/>
      <c r="BA559" s="134"/>
      <c r="BB559" s="134"/>
      <c r="BC559" s="134"/>
      <c r="BD559" s="134"/>
      <c r="BE559" s="134"/>
      <c r="BF559" s="134"/>
      <c r="BG559" s="134"/>
      <c r="BH559" s="134"/>
      <c r="BI559" s="134"/>
      <c r="BJ559" s="134"/>
      <c r="BK559" s="134"/>
      <c r="BL559" s="134"/>
      <c r="BM559" s="135"/>
      <c r="BN559" s="136" t="n">
        <f aca="false">+MAX($D$3,DATOS_[[#This Row],[Fecha Inicio Sit. Contract.]])</f>
        <v>0</v>
      </c>
      <c r="BO559" s="136" t="n">
        <f aca="false">+MIN($D$4,DATOS_[[#This Row],[Fecha Fin Sit. Contract.]])</f>
        <v>0</v>
      </c>
      <c r="BP559" s="137" t="n">
        <f aca="false">+DATOS_[[#This Row],[% de jornada]]*IF(DATOS_[[#This Row],[% jornada reducida]]="",1,DATOS_[[#This Row],[% jornada reducida]])</f>
        <v>0</v>
      </c>
      <c r="BQ559" s="137" t="n">
        <f aca="false">+(DATOS_[[#This Row],[F.fin.cal]]-DATOS_[[#This Row],[F.ini.cal]]+1)/($D$4-$D$3+1)</f>
        <v>1</v>
      </c>
      <c r="BR559" s="137" t="str">
        <f aca="false">IF(OR(AND(DATOS_[[#This Row],[Fecha Fin Contrato]]&lt;$D$3,DATOS_[[#This Row],[Fecha Fin Contrato]]&lt;&gt;""),DATOS_[[#This Row],[Fecha de Contratación]]&gt;$D$4),"Fuera","Dentro")</f>
        <v>Dentro</v>
      </c>
      <c r="BS559" s="137" t="str">
        <f aca="false" t="array" ref="BS559:BS559">IF(MAX(IF(DATOS_[id]=DATOS_[[#This Row],[id]],DATOS_[F.fin.cal]))=DATOS_[[#This Row],[F.fin.cal]],"Sí","NO")</f>
        <v>Sí</v>
      </c>
      <c r="BT559" s="137" t="str">
        <f aca="false">IF(AND(DATOS_[[#This Row],[% normaliz]]&lt;&gt;1,DATOS_[[#This Row],[% anualiz]]=1),"Sí","NO")</f>
        <v>Sí</v>
      </c>
      <c r="BU559" s="137" t="str">
        <f aca="false">IF(AND(DATOS_[[#This Row],[% normaliz]]=1,DATOS_[[#This Row],[% anualiz]]&lt;&gt;1),"Sí","NO")</f>
        <v>NO</v>
      </c>
      <c r="BV559" s="137" t="str">
        <f aca="false">IF(AND(DATOS_[[#This Row],[% normaliz]]&lt;&gt;1,DATOS_[[#This Row],[% anualiz]]&lt;&gt;1),"Sí","NO")</f>
        <v>NO</v>
      </c>
      <c r="BW559" s="137" t="str">
        <f aca="false">+IF(DATOS_[[#This Row],[% normaliz]]*DATOS_[[#This Row],[% anualiz]]=1,"NO","Sí")</f>
        <v>Sí</v>
      </c>
      <c r="BX559" s="138" t="e">
        <f aca="false">(DATOS_[[#This Row],[S.BASE]]*(1/DATOS_[[#This Row],[% normaliz]])*(1/DATOS_[[#This Row],[% anualiz]]))*IF(DATOS_[[#This Row],[Check Equiparado]]="Sí",1,0)</f>
        <v>#DIV/0!</v>
      </c>
      <c r="BY5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9" s="138" t="e">
        <f aca="false">+DATOS_[[#This Row],[SALARIO BASE Eq]]+DATOS_[[#This Row],[Tot COMPL.SAL Eq]]</f>
        <v>#DIV/0!</v>
      </c>
      <c r="CA559" s="138" t="e">
        <f aca="false" t="array" ref="CA559:CA5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9" s="138" t="e">
        <f aca="false">+DATOS_[[#This Row],[TOTAL SALARIO Eq]]+DATOS_[[#This Row],[Tot Extrasalarial Eq]]</f>
        <v>#DIV/0!</v>
      </c>
      <c r="CC559" s="139" t="n">
        <f aca="false">DATOS_[[#This Row],[S.BASE]]</f>
        <v>0</v>
      </c>
      <c r="CD559" s="139" t="n">
        <f aca="false">+SUM(DATOS_[[#This Row],[Conc.Sal.01]:[Conc.Sal.30]])</f>
        <v>0</v>
      </c>
      <c r="CE559" s="139" t="n">
        <f aca="false">+DATOS_[[#This Row],[SALARIO BASE Ef]]+DATOS_[[#This Row],[Tot COMPL.SAL Ef]]</f>
        <v>0</v>
      </c>
      <c r="CF559" s="139" t="n">
        <f aca="false">+SUM(DATOS_[[#This Row],[C.Extra.01]:[C.Extra.05]])</f>
        <v>0</v>
      </c>
      <c r="CG559" s="139" t="n">
        <f aca="false">+DATOS_[[#This Row],[TOTAL SALARIO Ef]]+DATOS_[[#This Row],[Tot Extrasalarial Ef]]</f>
        <v>0</v>
      </c>
      <c r="CH559" s="140" t="n">
        <f aca="false">MIN(IF(DATOS_[[#This Row],[Fecha Fin Contrato]]="",$D$4,DATOS_[[#This Row],[Fecha Fin Contrato]]),$D$4)-MAX(DATOS_[[#This Row],[Fecha de Contratación]],$D$3)+1</f>
        <v>1</v>
      </c>
      <c r="CI559" s="141" t="str">
        <f aca="false">IF(COUNTIFS(DATOS_[id],DATOS_[[#This Row],[id]])&gt;1,DATOS_[[#This Row],[id]],"")</f>
        <v/>
      </c>
      <c r="CJ559" s="141" t="n">
        <f aca="false">(Inicio!$G$10-DATOS_[[#This Row],[Fecha Nacimiento]])/365.25</f>
        <v>0</v>
      </c>
      <c r="CK559" s="141" t="n">
        <f aca="false">(Inicio!$G$10-DATOS_[[#This Row],[Fecha de Antigüedad]])/365.25</f>
        <v>0</v>
      </c>
      <c r="CL559" s="141" t="e">
        <f aca="false">+VLOOKUP(DATOS_[[#This Row],[Clave de Contrato]],TblTiposContrato13[],3,0)</f>
        <v>#N/A</v>
      </c>
      <c r="CM559" s="141" t="e">
        <f aca="false">+VLOOKUP(DATOS_[[#This Row],[Clave de Contrato]],TblTiposContrato13[],4,0)</f>
        <v>#N/A</v>
      </c>
      <c r="CN559" s="141" t="str">
        <f aca="false">VLOOKUP(DATOS_[[#This Row],[Edad]],CONTRATOS!TblRngEdad,2,1)</f>
        <v>20  o menos</v>
      </c>
      <c r="CO559" s="141" t="str">
        <f aca="false">VLOOKUP(DATOS_[[#This Row],[Antigüedad]],TblRngAntg14[],2,1)</f>
        <v>0 a 1 años</v>
      </c>
    </row>
    <row r="560" customFormat="false" ht="13.8" hidden="false" customHeight="false" outlineLevel="0" collapsed="false">
      <c r="D560" s="128"/>
      <c r="E560" s="129"/>
      <c r="F560" s="129"/>
      <c r="G560" s="129"/>
      <c r="H560" s="130"/>
      <c r="I560" s="131"/>
      <c r="J560" s="128"/>
      <c r="K560" s="132"/>
      <c r="L560" s="132"/>
      <c r="M560" s="133"/>
      <c r="N560" s="133"/>
      <c r="O560" s="133"/>
      <c r="P560" s="129"/>
      <c r="Z560" s="75"/>
      <c r="AA560" s="76"/>
      <c r="AB560" s="76"/>
      <c r="AC560" s="129"/>
      <c r="AD560" s="134"/>
      <c r="AE560" s="134"/>
      <c r="AF560" s="134"/>
      <c r="AG560" s="134"/>
      <c r="AH560" s="134"/>
      <c r="AI560" s="134"/>
      <c r="AJ560" s="134"/>
      <c r="AK560" s="134"/>
      <c r="AL560" s="134"/>
      <c r="AM560" s="134"/>
      <c r="AN560" s="134"/>
      <c r="AO560" s="134"/>
      <c r="AP560" s="134"/>
      <c r="AQ560" s="134"/>
      <c r="AR560" s="134"/>
      <c r="AS560" s="134"/>
      <c r="AT560" s="134"/>
      <c r="AU560" s="134"/>
      <c r="AV560" s="134"/>
      <c r="AW560" s="134"/>
      <c r="AX560" s="134"/>
      <c r="AY560" s="134"/>
      <c r="AZ560" s="134"/>
      <c r="BA560" s="134"/>
      <c r="BB560" s="134"/>
      <c r="BC560" s="134"/>
      <c r="BD560" s="134"/>
      <c r="BE560" s="134"/>
      <c r="BF560" s="134"/>
      <c r="BG560" s="134"/>
      <c r="BH560" s="134"/>
      <c r="BI560" s="134"/>
      <c r="BJ560" s="134"/>
      <c r="BK560" s="134"/>
      <c r="BL560" s="134"/>
      <c r="BM560" s="135"/>
      <c r="BN560" s="136" t="n">
        <f aca="false">+MAX($D$3,DATOS_[[#This Row],[Fecha Inicio Sit. Contract.]])</f>
        <v>0</v>
      </c>
      <c r="BO560" s="136" t="n">
        <f aca="false">+MIN($D$4,DATOS_[[#This Row],[Fecha Fin Sit. Contract.]])</f>
        <v>0</v>
      </c>
      <c r="BP560" s="137" t="n">
        <f aca="false">+DATOS_[[#This Row],[% de jornada]]*IF(DATOS_[[#This Row],[% jornada reducida]]="",1,DATOS_[[#This Row],[% jornada reducida]])</f>
        <v>0</v>
      </c>
      <c r="BQ560" s="137" t="n">
        <f aca="false">+(DATOS_[[#This Row],[F.fin.cal]]-DATOS_[[#This Row],[F.ini.cal]]+1)/($D$4-$D$3+1)</f>
        <v>1</v>
      </c>
      <c r="BR560" s="137" t="str">
        <f aca="false">IF(OR(AND(DATOS_[[#This Row],[Fecha Fin Contrato]]&lt;$D$3,DATOS_[[#This Row],[Fecha Fin Contrato]]&lt;&gt;""),DATOS_[[#This Row],[Fecha de Contratación]]&gt;$D$4),"Fuera","Dentro")</f>
        <v>Dentro</v>
      </c>
      <c r="BS560" s="137" t="str">
        <f aca="false" t="array" ref="BS560:BS560">IF(MAX(IF(DATOS_[id]=DATOS_[[#This Row],[id]],DATOS_[F.fin.cal]))=DATOS_[[#This Row],[F.fin.cal]],"Sí","NO")</f>
        <v>Sí</v>
      </c>
      <c r="BT560" s="137" t="str">
        <f aca="false">IF(AND(DATOS_[[#This Row],[% normaliz]]&lt;&gt;1,DATOS_[[#This Row],[% anualiz]]=1),"Sí","NO")</f>
        <v>Sí</v>
      </c>
      <c r="BU560" s="137" t="str">
        <f aca="false">IF(AND(DATOS_[[#This Row],[% normaliz]]=1,DATOS_[[#This Row],[% anualiz]]&lt;&gt;1),"Sí","NO")</f>
        <v>NO</v>
      </c>
      <c r="BV560" s="137" t="str">
        <f aca="false">IF(AND(DATOS_[[#This Row],[% normaliz]]&lt;&gt;1,DATOS_[[#This Row],[% anualiz]]&lt;&gt;1),"Sí","NO")</f>
        <v>NO</v>
      </c>
      <c r="BW560" s="137" t="str">
        <f aca="false">+IF(DATOS_[[#This Row],[% normaliz]]*DATOS_[[#This Row],[% anualiz]]=1,"NO","Sí")</f>
        <v>Sí</v>
      </c>
      <c r="BX560" s="138" t="e">
        <f aca="false">(DATOS_[[#This Row],[S.BASE]]*(1/DATOS_[[#This Row],[% normaliz]])*(1/DATOS_[[#This Row],[% anualiz]]))*IF(DATOS_[[#This Row],[Check Equiparado]]="Sí",1,0)</f>
        <v>#DIV/0!</v>
      </c>
      <c r="BY5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0" s="138" t="e">
        <f aca="false">+DATOS_[[#This Row],[SALARIO BASE Eq]]+DATOS_[[#This Row],[Tot COMPL.SAL Eq]]</f>
        <v>#DIV/0!</v>
      </c>
      <c r="CA560" s="138" t="e">
        <f aca="false" t="array" ref="CA560:CA5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0" s="138" t="e">
        <f aca="false">+DATOS_[[#This Row],[TOTAL SALARIO Eq]]+DATOS_[[#This Row],[Tot Extrasalarial Eq]]</f>
        <v>#DIV/0!</v>
      </c>
      <c r="CC560" s="139" t="n">
        <f aca="false">DATOS_[[#This Row],[S.BASE]]</f>
        <v>0</v>
      </c>
      <c r="CD560" s="139" t="n">
        <f aca="false">+SUM(DATOS_[[#This Row],[Conc.Sal.01]:[Conc.Sal.30]])</f>
        <v>0</v>
      </c>
      <c r="CE560" s="139" t="n">
        <f aca="false">+DATOS_[[#This Row],[SALARIO BASE Ef]]+DATOS_[[#This Row],[Tot COMPL.SAL Ef]]</f>
        <v>0</v>
      </c>
      <c r="CF560" s="139" t="n">
        <f aca="false">+SUM(DATOS_[[#This Row],[C.Extra.01]:[C.Extra.05]])</f>
        <v>0</v>
      </c>
      <c r="CG560" s="139" t="n">
        <f aca="false">+DATOS_[[#This Row],[TOTAL SALARIO Ef]]+DATOS_[[#This Row],[Tot Extrasalarial Ef]]</f>
        <v>0</v>
      </c>
      <c r="CH560" s="140" t="n">
        <f aca="false">MIN(IF(DATOS_[[#This Row],[Fecha Fin Contrato]]="",$D$4,DATOS_[[#This Row],[Fecha Fin Contrato]]),$D$4)-MAX(DATOS_[[#This Row],[Fecha de Contratación]],$D$3)+1</f>
        <v>1</v>
      </c>
      <c r="CI560" s="141" t="str">
        <f aca="false">IF(COUNTIFS(DATOS_[id],DATOS_[[#This Row],[id]])&gt;1,DATOS_[[#This Row],[id]],"")</f>
        <v/>
      </c>
      <c r="CJ560" s="141" t="n">
        <f aca="false">(Inicio!$G$10-DATOS_[[#This Row],[Fecha Nacimiento]])/365.25</f>
        <v>0</v>
      </c>
      <c r="CK560" s="141" t="n">
        <f aca="false">(Inicio!$G$10-DATOS_[[#This Row],[Fecha de Antigüedad]])/365.25</f>
        <v>0</v>
      </c>
      <c r="CL560" s="141" t="e">
        <f aca="false">+VLOOKUP(DATOS_[[#This Row],[Clave de Contrato]],TblTiposContrato13[],3,0)</f>
        <v>#N/A</v>
      </c>
      <c r="CM560" s="141" t="e">
        <f aca="false">+VLOOKUP(DATOS_[[#This Row],[Clave de Contrato]],TblTiposContrato13[],4,0)</f>
        <v>#N/A</v>
      </c>
      <c r="CN560" s="141" t="str">
        <f aca="false">VLOOKUP(DATOS_[[#This Row],[Edad]],CONTRATOS!TblRngEdad,2,1)</f>
        <v>20  o menos</v>
      </c>
      <c r="CO560" s="141" t="str">
        <f aca="false">VLOOKUP(DATOS_[[#This Row],[Antigüedad]],TblRngAntg14[],2,1)</f>
        <v>0 a 1 años</v>
      </c>
    </row>
    <row r="561" customFormat="false" ht="13.8" hidden="false" customHeight="false" outlineLevel="0" collapsed="false">
      <c r="D561" s="128"/>
      <c r="E561" s="129"/>
      <c r="F561" s="129"/>
      <c r="G561" s="129"/>
      <c r="H561" s="130"/>
      <c r="I561" s="131"/>
      <c r="J561" s="128"/>
      <c r="K561" s="132"/>
      <c r="L561" s="132"/>
      <c r="M561" s="133"/>
      <c r="N561" s="133"/>
      <c r="O561" s="133"/>
      <c r="P561" s="129"/>
      <c r="Z561" s="75"/>
      <c r="AA561" s="76"/>
      <c r="AB561" s="76"/>
      <c r="AC561" s="129"/>
      <c r="AD561" s="134"/>
      <c r="AE561" s="134"/>
      <c r="AF561" s="134"/>
      <c r="AG561" s="134"/>
      <c r="AH561" s="134"/>
      <c r="AI561" s="134"/>
      <c r="AJ561" s="134"/>
      <c r="AK561" s="134"/>
      <c r="AL561" s="134"/>
      <c r="AM561" s="134"/>
      <c r="AN561" s="134"/>
      <c r="AO561" s="134"/>
      <c r="AP561" s="134"/>
      <c r="AQ561" s="134"/>
      <c r="AR561" s="134"/>
      <c r="AS561" s="134"/>
      <c r="AT561" s="134"/>
      <c r="AU561" s="134"/>
      <c r="AV561" s="134"/>
      <c r="AW561" s="134"/>
      <c r="AX561" s="134"/>
      <c r="AY561" s="134"/>
      <c r="AZ561" s="134"/>
      <c r="BA561" s="134"/>
      <c r="BB561" s="134"/>
      <c r="BC561" s="134"/>
      <c r="BD561" s="134"/>
      <c r="BE561" s="134"/>
      <c r="BF561" s="134"/>
      <c r="BG561" s="134"/>
      <c r="BH561" s="134"/>
      <c r="BI561" s="134"/>
      <c r="BJ561" s="134"/>
      <c r="BK561" s="134"/>
      <c r="BL561" s="134"/>
      <c r="BM561" s="135"/>
      <c r="BN561" s="136" t="n">
        <f aca="false">+MAX($D$3,DATOS_[[#This Row],[Fecha Inicio Sit. Contract.]])</f>
        <v>0</v>
      </c>
      <c r="BO561" s="136" t="n">
        <f aca="false">+MIN($D$4,DATOS_[[#This Row],[Fecha Fin Sit. Contract.]])</f>
        <v>0</v>
      </c>
      <c r="BP561" s="137" t="n">
        <f aca="false">+DATOS_[[#This Row],[% de jornada]]*IF(DATOS_[[#This Row],[% jornada reducida]]="",1,DATOS_[[#This Row],[% jornada reducida]])</f>
        <v>0</v>
      </c>
      <c r="BQ561" s="137" t="n">
        <f aca="false">+(DATOS_[[#This Row],[F.fin.cal]]-DATOS_[[#This Row],[F.ini.cal]]+1)/($D$4-$D$3+1)</f>
        <v>1</v>
      </c>
      <c r="BR561" s="137" t="str">
        <f aca="false">IF(OR(AND(DATOS_[[#This Row],[Fecha Fin Contrato]]&lt;$D$3,DATOS_[[#This Row],[Fecha Fin Contrato]]&lt;&gt;""),DATOS_[[#This Row],[Fecha de Contratación]]&gt;$D$4),"Fuera","Dentro")</f>
        <v>Dentro</v>
      </c>
      <c r="BS561" s="137" t="str">
        <f aca="false" t="array" ref="BS561:BS561">IF(MAX(IF(DATOS_[id]=DATOS_[[#This Row],[id]],DATOS_[F.fin.cal]))=DATOS_[[#This Row],[F.fin.cal]],"Sí","NO")</f>
        <v>Sí</v>
      </c>
      <c r="BT561" s="137" t="str">
        <f aca="false">IF(AND(DATOS_[[#This Row],[% normaliz]]&lt;&gt;1,DATOS_[[#This Row],[% anualiz]]=1),"Sí","NO")</f>
        <v>Sí</v>
      </c>
      <c r="BU561" s="137" t="str">
        <f aca="false">IF(AND(DATOS_[[#This Row],[% normaliz]]=1,DATOS_[[#This Row],[% anualiz]]&lt;&gt;1),"Sí","NO")</f>
        <v>NO</v>
      </c>
      <c r="BV561" s="137" t="str">
        <f aca="false">IF(AND(DATOS_[[#This Row],[% normaliz]]&lt;&gt;1,DATOS_[[#This Row],[% anualiz]]&lt;&gt;1),"Sí","NO")</f>
        <v>NO</v>
      </c>
      <c r="BW561" s="137" t="str">
        <f aca="false">+IF(DATOS_[[#This Row],[% normaliz]]*DATOS_[[#This Row],[% anualiz]]=1,"NO","Sí")</f>
        <v>Sí</v>
      </c>
      <c r="BX561" s="138" t="e">
        <f aca="false">(DATOS_[[#This Row],[S.BASE]]*(1/DATOS_[[#This Row],[% normaliz]])*(1/DATOS_[[#This Row],[% anualiz]]))*IF(DATOS_[[#This Row],[Check Equiparado]]="Sí",1,0)</f>
        <v>#DIV/0!</v>
      </c>
      <c r="BY5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1" s="138" t="e">
        <f aca="false">+DATOS_[[#This Row],[SALARIO BASE Eq]]+DATOS_[[#This Row],[Tot COMPL.SAL Eq]]</f>
        <v>#DIV/0!</v>
      </c>
      <c r="CA561" s="138" t="e">
        <f aca="false" t="array" ref="CA561:CA5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1" s="138" t="e">
        <f aca="false">+DATOS_[[#This Row],[TOTAL SALARIO Eq]]+DATOS_[[#This Row],[Tot Extrasalarial Eq]]</f>
        <v>#DIV/0!</v>
      </c>
      <c r="CC561" s="139" t="n">
        <f aca="false">DATOS_[[#This Row],[S.BASE]]</f>
        <v>0</v>
      </c>
      <c r="CD561" s="139" t="n">
        <f aca="false">+SUM(DATOS_[[#This Row],[Conc.Sal.01]:[Conc.Sal.30]])</f>
        <v>0</v>
      </c>
      <c r="CE561" s="139" t="n">
        <f aca="false">+DATOS_[[#This Row],[SALARIO BASE Ef]]+DATOS_[[#This Row],[Tot COMPL.SAL Ef]]</f>
        <v>0</v>
      </c>
      <c r="CF561" s="139" t="n">
        <f aca="false">+SUM(DATOS_[[#This Row],[C.Extra.01]:[C.Extra.05]])</f>
        <v>0</v>
      </c>
      <c r="CG561" s="139" t="n">
        <f aca="false">+DATOS_[[#This Row],[TOTAL SALARIO Ef]]+DATOS_[[#This Row],[Tot Extrasalarial Ef]]</f>
        <v>0</v>
      </c>
      <c r="CH561" s="140" t="n">
        <f aca="false">MIN(IF(DATOS_[[#This Row],[Fecha Fin Contrato]]="",$D$4,DATOS_[[#This Row],[Fecha Fin Contrato]]),$D$4)-MAX(DATOS_[[#This Row],[Fecha de Contratación]],$D$3)+1</f>
        <v>1</v>
      </c>
      <c r="CI561" s="141" t="str">
        <f aca="false">IF(COUNTIFS(DATOS_[id],DATOS_[[#This Row],[id]])&gt;1,DATOS_[[#This Row],[id]],"")</f>
        <v/>
      </c>
      <c r="CJ561" s="141" t="n">
        <f aca="false">(Inicio!$G$10-DATOS_[[#This Row],[Fecha Nacimiento]])/365.25</f>
        <v>0</v>
      </c>
      <c r="CK561" s="141" t="n">
        <f aca="false">(Inicio!$G$10-DATOS_[[#This Row],[Fecha de Antigüedad]])/365.25</f>
        <v>0</v>
      </c>
      <c r="CL561" s="141" t="e">
        <f aca="false">+VLOOKUP(DATOS_[[#This Row],[Clave de Contrato]],TblTiposContrato13[],3,0)</f>
        <v>#N/A</v>
      </c>
      <c r="CM561" s="141" t="e">
        <f aca="false">+VLOOKUP(DATOS_[[#This Row],[Clave de Contrato]],TblTiposContrato13[],4,0)</f>
        <v>#N/A</v>
      </c>
      <c r="CN561" s="141" t="str">
        <f aca="false">VLOOKUP(DATOS_[[#This Row],[Edad]],CONTRATOS!TblRngEdad,2,1)</f>
        <v>20  o menos</v>
      </c>
      <c r="CO561" s="141" t="str">
        <f aca="false">VLOOKUP(DATOS_[[#This Row],[Antigüedad]],TblRngAntg14[],2,1)</f>
        <v>0 a 1 años</v>
      </c>
    </row>
    <row r="562" customFormat="false" ht="13.8" hidden="false" customHeight="false" outlineLevel="0" collapsed="false">
      <c r="D562" s="128"/>
      <c r="E562" s="129"/>
      <c r="F562" s="129"/>
      <c r="G562" s="129"/>
      <c r="H562" s="130"/>
      <c r="I562" s="131"/>
      <c r="J562" s="128"/>
      <c r="K562" s="132"/>
      <c r="L562" s="132"/>
      <c r="M562" s="133"/>
      <c r="N562" s="133"/>
      <c r="O562" s="133"/>
      <c r="P562" s="129"/>
      <c r="Z562" s="75"/>
      <c r="AA562" s="76"/>
      <c r="AB562" s="76"/>
      <c r="AC562" s="129"/>
      <c r="AD562" s="134"/>
      <c r="AE562" s="134"/>
      <c r="AF562" s="134"/>
      <c r="AG562" s="134"/>
      <c r="AH562" s="134"/>
      <c r="AI562" s="134"/>
      <c r="AJ562" s="134"/>
      <c r="AK562" s="134"/>
      <c r="AL562" s="134"/>
      <c r="AM562" s="134"/>
      <c r="AN562" s="134"/>
      <c r="AO562" s="134"/>
      <c r="AP562" s="134"/>
      <c r="AQ562" s="134"/>
      <c r="AR562" s="134"/>
      <c r="AS562" s="134"/>
      <c r="AT562" s="134"/>
      <c r="AU562" s="134"/>
      <c r="AV562" s="134"/>
      <c r="AW562" s="134"/>
      <c r="AX562" s="134"/>
      <c r="AY562" s="134"/>
      <c r="AZ562" s="134"/>
      <c r="BA562" s="134"/>
      <c r="BB562" s="134"/>
      <c r="BC562" s="134"/>
      <c r="BD562" s="134"/>
      <c r="BE562" s="134"/>
      <c r="BF562" s="134"/>
      <c r="BG562" s="134"/>
      <c r="BH562" s="134"/>
      <c r="BI562" s="134"/>
      <c r="BJ562" s="134"/>
      <c r="BK562" s="134"/>
      <c r="BL562" s="134"/>
      <c r="BM562" s="135"/>
      <c r="BN562" s="136" t="n">
        <f aca="false">+MAX($D$3,DATOS_[[#This Row],[Fecha Inicio Sit. Contract.]])</f>
        <v>0</v>
      </c>
      <c r="BO562" s="136" t="n">
        <f aca="false">+MIN($D$4,DATOS_[[#This Row],[Fecha Fin Sit. Contract.]])</f>
        <v>0</v>
      </c>
      <c r="BP562" s="137" t="n">
        <f aca="false">+DATOS_[[#This Row],[% de jornada]]*IF(DATOS_[[#This Row],[% jornada reducida]]="",1,DATOS_[[#This Row],[% jornada reducida]])</f>
        <v>0</v>
      </c>
      <c r="BQ562" s="137" t="n">
        <f aca="false">+(DATOS_[[#This Row],[F.fin.cal]]-DATOS_[[#This Row],[F.ini.cal]]+1)/($D$4-$D$3+1)</f>
        <v>1</v>
      </c>
      <c r="BR562" s="137" t="str">
        <f aca="false">IF(OR(AND(DATOS_[[#This Row],[Fecha Fin Contrato]]&lt;$D$3,DATOS_[[#This Row],[Fecha Fin Contrato]]&lt;&gt;""),DATOS_[[#This Row],[Fecha de Contratación]]&gt;$D$4),"Fuera","Dentro")</f>
        <v>Dentro</v>
      </c>
      <c r="BS562" s="137" t="str">
        <f aca="false" t="array" ref="BS562:BS562">IF(MAX(IF(DATOS_[id]=DATOS_[[#This Row],[id]],DATOS_[F.fin.cal]))=DATOS_[[#This Row],[F.fin.cal]],"Sí","NO")</f>
        <v>Sí</v>
      </c>
      <c r="BT562" s="137" t="str">
        <f aca="false">IF(AND(DATOS_[[#This Row],[% normaliz]]&lt;&gt;1,DATOS_[[#This Row],[% anualiz]]=1),"Sí","NO")</f>
        <v>Sí</v>
      </c>
      <c r="BU562" s="137" t="str">
        <f aca="false">IF(AND(DATOS_[[#This Row],[% normaliz]]=1,DATOS_[[#This Row],[% anualiz]]&lt;&gt;1),"Sí","NO")</f>
        <v>NO</v>
      </c>
      <c r="BV562" s="137" t="str">
        <f aca="false">IF(AND(DATOS_[[#This Row],[% normaliz]]&lt;&gt;1,DATOS_[[#This Row],[% anualiz]]&lt;&gt;1),"Sí","NO")</f>
        <v>NO</v>
      </c>
      <c r="BW562" s="137" t="str">
        <f aca="false">+IF(DATOS_[[#This Row],[% normaliz]]*DATOS_[[#This Row],[% anualiz]]=1,"NO","Sí")</f>
        <v>Sí</v>
      </c>
      <c r="BX562" s="138" t="e">
        <f aca="false">(DATOS_[[#This Row],[S.BASE]]*(1/DATOS_[[#This Row],[% normaliz]])*(1/DATOS_[[#This Row],[% anualiz]]))*IF(DATOS_[[#This Row],[Check Equiparado]]="Sí",1,0)</f>
        <v>#DIV/0!</v>
      </c>
      <c r="BY5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2" s="138" t="e">
        <f aca="false">+DATOS_[[#This Row],[SALARIO BASE Eq]]+DATOS_[[#This Row],[Tot COMPL.SAL Eq]]</f>
        <v>#DIV/0!</v>
      </c>
      <c r="CA562" s="138" t="e">
        <f aca="false" t="array" ref="CA562:CA5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2" s="138" t="e">
        <f aca="false">+DATOS_[[#This Row],[TOTAL SALARIO Eq]]+DATOS_[[#This Row],[Tot Extrasalarial Eq]]</f>
        <v>#DIV/0!</v>
      </c>
      <c r="CC562" s="139" t="n">
        <f aca="false">DATOS_[[#This Row],[S.BASE]]</f>
        <v>0</v>
      </c>
      <c r="CD562" s="139" t="n">
        <f aca="false">+SUM(DATOS_[[#This Row],[Conc.Sal.01]:[Conc.Sal.30]])</f>
        <v>0</v>
      </c>
      <c r="CE562" s="139" t="n">
        <f aca="false">+DATOS_[[#This Row],[SALARIO BASE Ef]]+DATOS_[[#This Row],[Tot COMPL.SAL Ef]]</f>
        <v>0</v>
      </c>
      <c r="CF562" s="139" t="n">
        <f aca="false">+SUM(DATOS_[[#This Row],[C.Extra.01]:[C.Extra.05]])</f>
        <v>0</v>
      </c>
      <c r="CG562" s="139" t="n">
        <f aca="false">+DATOS_[[#This Row],[TOTAL SALARIO Ef]]+DATOS_[[#This Row],[Tot Extrasalarial Ef]]</f>
        <v>0</v>
      </c>
      <c r="CH562" s="140" t="n">
        <f aca="false">MIN(IF(DATOS_[[#This Row],[Fecha Fin Contrato]]="",$D$4,DATOS_[[#This Row],[Fecha Fin Contrato]]),$D$4)-MAX(DATOS_[[#This Row],[Fecha de Contratación]],$D$3)+1</f>
        <v>1</v>
      </c>
      <c r="CI562" s="141" t="str">
        <f aca="false">IF(COUNTIFS(DATOS_[id],DATOS_[[#This Row],[id]])&gt;1,DATOS_[[#This Row],[id]],"")</f>
        <v/>
      </c>
      <c r="CJ562" s="141" t="n">
        <f aca="false">(Inicio!$G$10-DATOS_[[#This Row],[Fecha Nacimiento]])/365.25</f>
        <v>0</v>
      </c>
      <c r="CK562" s="141" t="n">
        <f aca="false">(Inicio!$G$10-DATOS_[[#This Row],[Fecha de Antigüedad]])/365.25</f>
        <v>0</v>
      </c>
      <c r="CL562" s="141" t="e">
        <f aca="false">+VLOOKUP(DATOS_[[#This Row],[Clave de Contrato]],TblTiposContrato13[],3,0)</f>
        <v>#N/A</v>
      </c>
      <c r="CM562" s="141" t="e">
        <f aca="false">+VLOOKUP(DATOS_[[#This Row],[Clave de Contrato]],TblTiposContrato13[],4,0)</f>
        <v>#N/A</v>
      </c>
      <c r="CN562" s="141" t="str">
        <f aca="false">VLOOKUP(DATOS_[[#This Row],[Edad]],CONTRATOS!TblRngEdad,2,1)</f>
        <v>20  o menos</v>
      </c>
      <c r="CO562" s="141" t="str">
        <f aca="false">VLOOKUP(DATOS_[[#This Row],[Antigüedad]],TblRngAntg14[],2,1)</f>
        <v>0 a 1 años</v>
      </c>
    </row>
    <row r="563" customFormat="false" ht="13.8" hidden="false" customHeight="false" outlineLevel="0" collapsed="false">
      <c r="D563" s="128"/>
      <c r="E563" s="129"/>
      <c r="F563" s="129"/>
      <c r="G563" s="129"/>
      <c r="H563" s="130"/>
      <c r="I563" s="131"/>
      <c r="J563" s="128"/>
      <c r="K563" s="132"/>
      <c r="L563" s="132"/>
      <c r="M563" s="133"/>
      <c r="N563" s="133"/>
      <c r="O563" s="133"/>
      <c r="P563" s="129"/>
      <c r="Z563" s="75"/>
      <c r="AA563" s="76"/>
      <c r="AB563" s="76"/>
      <c r="AC563" s="129"/>
      <c r="AD563" s="134"/>
      <c r="AE563" s="134"/>
      <c r="AF563" s="134"/>
      <c r="AG563" s="134"/>
      <c r="AH563" s="134"/>
      <c r="AI563" s="134"/>
      <c r="AJ563" s="134"/>
      <c r="AK563" s="134"/>
      <c r="AL563" s="134"/>
      <c r="AM563" s="134"/>
      <c r="AN563" s="134"/>
      <c r="AO563" s="134"/>
      <c r="AP563" s="134"/>
      <c r="AQ563" s="134"/>
      <c r="AR563" s="134"/>
      <c r="AS563" s="134"/>
      <c r="AT563" s="134"/>
      <c r="AU563" s="134"/>
      <c r="AV563" s="134"/>
      <c r="AW563" s="134"/>
      <c r="AX563" s="134"/>
      <c r="AY563" s="134"/>
      <c r="AZ563" s="134"/>
      <c r="BA563" s="134"/>
      <c r="BB563" s="134"/>
      <c r="BC563" s="134"/>
      <c r="BD563" s="134"/>
      <c r="BE563" s="134"/>
      <c r="BF563" s="134"/>
      <c r="BG563" s="134"/>
      <c r="BH563" s="134"/>
      <c r="BI563" s="134"/>
      <c r="BJ563" s="134"/>
      <c r="BK563" s="134"/>
      <c r="BL563" s="134"/>
      <c r="BM563" s="135"/>
      <c r="BN563" s="136" t="n">
        <f aca="false">+MAX($D$3,DATOS_[[#This Row],[Fecha Inicio Sit. Contract.]])</f>
        <v>0</v>
      </c>
      <c r="BO563" s="136" t="n">
        <f aca="false">+MIN($D$4,DATOS_[[#This Row],[Fecha Fin Sit. Contract.]])</f>
        <v>0</v>
      </c>
      <c r="BP563" s="137" t="n">
        <f aca="false">+DATOS_[[#This Row],[% de jornada]]*IF(DATOS_[[#This Row],[% jornada reducida]]="",1,DATOS_[[#This Row],[% jornada reducida]])</f>
        <v>0</v>
      </c>
      <c r="BQ563" s="137" t="n">
        <f aca="false">+(DATOS_[[#This Row],[F.fin.cal]]-DATOS_[[#This Row],[F.ini.cal]]+1)/($D$4-$D$3+1)</f>
        <v>1</v>
      </c>
      <c r="BR563" s="137" t="str">
        <f aca="false">IF(OR(AND(DATOS_[[#This Row],[Fecha Fin Contrato]]&lt;$D$3,DATOS_[[#This Row],[Fecha Fin Contrato]]&lt;&gt;""),DATOS_[[#This Row],[Fecha de Contratación]]&gt;$D$4),"Fuera","Dentro")</f>
        <v>Dentro</v>
      </c>
      <c r="BS563" s="137" t="str">
        <f aca="false" t="array" ref="BS563:BS563">IF(MAX(IF(DATOS_[id]=DATOS_[[#This Row],[id]],DATOS_[F.fin.cal]))=DATOS_[[#This Row],[F.fin.cal]],"Sí","NO")</f>
        <v>Sí</v>
      </c>
      <c r="BT563" s="137" t="str">
        <f aca="false">IF(AND(DATOS_[[#This Row],[% normaliz]]&lt;&gt;1,DATOS_[[#This Row],[% anualiz]]=1),"Sí","NO")</f>
        <v>Sí</v>
      </c>
      <c r="BU563" s="137" t="str">
        <f aca="false">IF(AND(DATOS_[[#This Row],[% normaliz]]=1,DATOS_[[#This Row],[% anualiz]]&lt;&gt;1),"Sí","NO")</f>
        <v>NO</v>
      </c>
      <c r="BV563" s="137" t="str">
        <f aca="false">IF(AND(DATOS_[[#This Row],[% normaliz]]&lt;&gt;1,DATOS_[[#This Row],[% anualiz]]&lt;&gt;1),"Sí","NO")</f>
        <v>NO</v>
      </c>
      <c r="BW563" s="137" t="str">
        <f aca="false">+IF(DATOS_[[#This Row],[% normaliz]]*DATOS_[[#This Row],[% anualiz]]=1,"NO","Sí")</f>
        <v>Sí</v>
      </c>
      <c r="BX563" s="138" t="e">
        <f aca="false">(DATOS_[[#This Row],[S.BASE]]*(1/DATOS_[[#This Row],[% normaliz]])*(1/DATOS_[[#This Row],[% anualiz]]))*IF(DATOS_[[#This Row],[Check Equiparado]]="Sí",1,0)</f>
        <v>#DIV/0!</v>
      </c>
      <c r="BY5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3" s="138" t="e">
        <f aca="false">+DATOS_[[#This Row],[SALARIO BASE Eq]]+DATOS_[[#This Row],[Tot COMPL.SAL Eq]]</f>
        <v>#DIV/0!</v>
      </c>
      <c r="CA563" s="138" t="e">
        <f aca="false" t="array" ref="CA563:CA5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3" s="138" t="e">
        <f aca="false">+DATOS_[[#This Row],[TOTAL SALARIO Eq]]+DATOS_[[#This Row],[Tot Extrasalarial Eq]]</f>
        <v>#DIV/0!</v>
      </c>
      <c r="CC563" s="139" t="n">
        <f aca="false">DATOS_[[#This Row],[S.BASE]]</f>
        <v>0</v>
      </c>
      <c r="CD563" s="139" t="n">
        <f aca="false">+SUM(DATOS_[[#This Row],[Conc.Sal.01]:[Conc.Sal.30]])</f>
        <v>0</v>
      </c>
      <c r="CE563" s="139" t="n">
        <f aca="false">+DATOS_[[#This Row],[SALARIO BASE Ef]]+DATOS_[[#This Row],[Tot COMPL.SAL Ef]]</f>
        <v>0</v>
      </c>
      <c r="CF563" s="139" t="n">
        <f aca="false">+SUM(DATOS_[[#This Row],[C.Extra.01]:[C.Extra.05]])</f>
        <v>0</v>
      </c>
      <c r="CG563" s="139" t="n">
        <f aca="false">+DATOS_[[#This Row],[TOTAL SALARIO Ef]]+DATOS_[[#This Row],[Tot Extrasalarial Ef]]</f>
        <v>0</v>
      </c>
      <c r="CH563" s="140" t="n">
        <f aca="false">MIN(IF(DATOS_[[#This Row],[Fecha Fin Contrato]]="",$D$4,DATOS_[[#This Row],[Fecha Fin Contrato]]),$D$4)-MAX(DATOS_[[#This Row],[Fecha de Contratación]],$D$3)+1</f>
        <v>1</v>
      </c>
      <c r="CI563" s="141" t="str">
        <f aca="false">IF(COUNTIFS(DATOS_[id],DATOS_[[#This Row],[id]])&gt;1,DATOS_[[#This Row],[id]],"")</f>
        <v/>
      </c>
      <c r="CJ563" s="141" t="n">
        <f aca="false">(Inicio!$G$10-DATOS_[[#This Row],[Fecha Nacimiento]])/365.25</f>
        <v>0</v>
      </c>
      <c r="CK563" s="141" t="n">
        <f aca="false">(Inicio!$G$10-DATOS_[[#This Row],[Fecha de Antigüedad]])/365.25</f>
        <v>0</v>
      </c>
      <c r="CL563" s="141" t="e">
        <f aca="false">+VLOOKUP(DATOS_[[#This Row],[Clave de Contrato]],TblTiposContrato13[],3,0)</f>
        <v>#N/A</v>
      </c>
      <c r="CM563" s="141" t="e">
        <f aca="false">+VLOOKUP(DATOS_[[#This Row],[Clave de Contrato]],TblTiposContrato13[],4,0)</f>
        <v>#N/A</v>
      </c>
      <c r="CN563" s="141" t="str">
        <f aca="false">VLOOKUP(DATOS_[[#This Row],[Edad]],CONTRATOS!TblRngEdad,2,1)</f>
        <v>20  o menos</v>
      </c>
      <c r="CO563" s="141" t="str">
        <f aca="false">VLOOKUP(DATOS_[[#This Row],[Antigüedad]],TblRngAntg14[],2,1)</f>
        <v>0 a 1 años</v>
      </c>
    </row>
    <row r="564" customFormat="false" ht="13.8" hidden="false" customHeight="false" outlineLevel="0" collapsed="false">
      <c r="D564" s="128"/>
      <c r="E564" s="129"/>
      <c r="F564" s="129"/>
      <c r="G564" s="129"/>
      <c r="H564" s="130"/>
      <c r="I564" s="131"/>
      <c r="J564" s="128"/>
      <c r="K564" s="132"/>
      <c r="L564" s="132"/>
      <c r="M564" s="133"/>
      <c r="N564" s="133"/>
      <c r="O564" s="133"/>
      <c r="P564" s="129"/>
      <c r="Z564" s="75"/>
      <c r="AA564" s="76"/>
      <c r="AB564" s="76"/>
      <c r="AC564" s="129"/>
      <c r="AD564" s="134"/>
      <c r="AE564" s="134"/>
      <c r="AF564" s="134"/>
      <c r="AG564" s="134"/>
      <c r="AH564" s="134"/>
      <c r="AI564" s="134"/>
      <c r="AJ564" s="134"/>
      <c r="AK564" s="134"/>
      <c r="AL564" s="134"/>
      <c r="AM564" s="134"/>
      <c r="AN564" s="134"/>
      <c r="AO564" s="134"/>
      <c r="AP564" s="134"/>
      <c r="AQ564" s="134"/>
      <c r="AR564" s="134"/>
      <c r="AS564" s="134"/>
      <c r="AT564" s="134"/>
      <c r="AU564" s="134"/>
      <c r="AV564" s="134"/>
      <c r="AW564" s="134"/>
      <c r="AX564" s="134"/>
      <c r="AY564" s="134"/>
      <c r="AZ564" s="134"/>
      <c r="BA564" s="134"/>
      <c r="BB564" s="134"/>
      <c r="BC564" s="134"/>
      <c r="BD564" s="134"/>
      <c r="BE564" s="134"/>
      <c r="BF564" s="134"/>
      <c r="BG564" s="134"/>
      <c r="BH564" s="134"/>
      <c r="BI564" s="134"/>
      <c r="BJ564" s="134"/>
      <c r="BK564" s="134"/>
      <c r="BL564" s="134"/>
      <c r="BM564" s="135"/>
      <c r="BN564" s="136" t="n">
        <f aca="false">+MAX($D$3,DATOS_[[#This Row],[Fecha Inicio Sit. Contract.]])</f>
        <v>0</v>
      </c>
      <c r="BO564" s="136" t="n">
        <f aca="false">+MIN($D$4,DATOS_[[#This Row],[Fecha Fin Sit. Contract.]])</f>
        <v>0</v>
      </c>
      <c r="BP564" s="137" t="n">
        <f aca="false">+DATOS_[[#This Row],[% de jornada]]*IF(DATOS_[[#This Row],[% jornada reducida]]="",1,DATOS_[[#This Row],[% jornada reducida]])</f>
        <v>0</v>
      </c>
      <c r="BQ564" s="137" t="n">
        <f aca="false">+(DATOS_[[#This Row],[F.fin.cal]]-DATOS_[[#This Row],[F.ini.cal]]+1)/($D$4-$D$3+1)</f>
        <v>1</v>
      </c>
      <c r="BR564" s="137" t="str">
        <f aca="false">IF(OR(AND(DATOS_[[#This Row],[Fecha Fin Contrato]]&lt;$D$3,DATOS_[[#This Row],[Fecha Fin Contrato]]&lt;&gt;""),DATOS_[[#This Row],[Fecha de Contratación]]&gt;$D$4),"Fuera","Dentro")</f>
        <v>Dentro</v>
      </c>
      <c r="BS564" s="137" t="str">
        <f aca="false" t="array" ref="BS564:BS564">IF(MAX(IF(DATOS_[id]=DATOS_[[#This Row],[id]],DATOS_[F.fin.cal]))=DATOS_[[#This Row],[F.fin.cal]],"Sí","NO")</f>
        <v>Sí</v>
      </c>
      <c r="BT564" s="137" t="str">
        <f aca="false">IF(AND(DATOS_[[#This Row],[% normaliz]]&lt;&gt;1,DATOS_[[#This Row],[% anualiz]]=1),"Sí","NO")</f>
        <v>Sí</v>
      </c>
      <c r="BU564" s="137" t="str">
        <f aca="false">IF(AND(DATOS_[[#This Row],[% normaliz]]=1,DATOS_[[#This Row],[% anualiz]]&lt;&gt;1),"Sí","NO")</f>
        <v>NO</v>
      </c>
      <c r="BV564" s="137" t="str">
        <f aca="false">IF(AND(DATOS_[[#This Row],[% normaliz]]&lt;&gt;1,DATOS_[[#This Row],[% anualiz]]&lt;&gt;1),"Sí","NO")</f>
        <v>NO</v>
      </c>
      <c r="BW564" s="137" t="str">
        <f aca="false">+IF(DATOS_[[#This Row],[% normaliz]]*DATOS_[[#This Row],[% anualiz]]=1,"NO","Sí")</f>
        <v>Sí</v>
      </c>
      <c r="BX564" s="138" t="e">
        <f aca="false">(DATOS_[[#This Row],[S.BASE]]*(1/DATOS_[[#This Row],[% normaliz]])*(1/DATOS_[[#This Row],[% anualiz]]))*IF(DATOS_[[#This Row],[Check Equiparado]]="Sí",1,0)</f>
        <v>#DIV/0!</v>
      </c>
      <c r="BY5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4" s="138" t="e">
        <f aca="false">+DATOS_[[#This Row],[SALARIO BASE Eq]]+DATOS_[[#This Row],[Tot COMPL.SAL Eq]]</f>
        <v>#DIV/0!</v>
      </c>
      <c r="CA564" s="138" t="e">
        <f aca="false" t="array" ref="CA564:CA5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4" s="138" t="e">
        <f aca="false">+DATOS_[[#This Row],[TOTAL SALARIO Eq]]+DATOS_[[#This Row],[Tot Extrasalarial Eq]]</f>
        <v>#DIV/0!</v>
      </c>
      <c r="CC564" s="139" t="n">
        <f aca="false">DATOS_[[#This Row],[S.BASE]]</f>
        <v>0</v>
      </c>
      <c r="CD564" s="139" t="n">
        <f aca="false">+SUM(DATOS_[[#This Row],[Conc.Sal.01]:[Conc.Sal.30]])</f>
        <v>0</v>
      </c>
      <c r="CE564" s="139" t="n">
        <f aca="false">+DATOS_[[#This Row],[SALARIO BASE Ef]]+DATOS_[[#This Row],[Tot COMPL.SAL Ef]]</f>
        <v>0</v>
      </c>
      <c r="CF564" s="139" t="n">
        <f aca="false">+SUM(DATOS_[[#This Row],[C.Extra.01]:[C.Extra.05]])</f>
        <v>0</v>
      </c>
      <c r="CG564" s="139" t="n">
        <f aca="false">+DATOS_[[#This Row],[TOTAL SALARIO Ef]]+DATOS_[[#This Row],[Tot Extrasalarial Ef]]</f>
        <v>0</v>
      </c>
      <c r="CH564" s="140" t="n">
        <f aca="false">MIN(IF(DATOS_[[#This Row],[Fecha Fin Contrato]]="",$D$4,DATOS_[[#This Row],[Fecha Fin Contrato]]),$D$4)-MAX(DATOS_[[#This Row],[Fecha de Contratación]],$D$3)+1</f>
        <v>1</v>
      </c>
      <c r="CI564" s="141" t="str">
        <f aca="false">IF(COUNTIFS(DATOS_[id],DATOS_[[#This Row],[id]])&gt;1,DATOS_[[#This Row],[id]],"")</f>
        <v/>
      </c>
      <c r="CJ564" s="141" t="n">
        <f aca="false">(Inicio!$G$10-DATOS_[[#This Row],[Fecha Nacimiento]])/365.25</f>
        <v>0</v>
      </c>
      <c r="CK564" s="141" t="n">
        <f aca="false">(Inicio!$G$10-DATOS_[[#This Row],[Fecha de Antigüedad]])/365.25</f>
        <v>0</v>
      </c>
      <c r="CL564" s="141" t="e">
        <f aca="false">+VLOOKUP(DATOS_[[#This Row],[Clave de Contrato]],TblTiposContrato13[],3,0)</f>
        <v>#N/A</v>
      </c>
      <c r="CM564" s="141" t="e">
        <f aca="false">+VLOOKUP(DATOS_[[#This Row],[Clave de Contrato]],TblTiposContrato13[],4,0)</f>
        <v>#N/A</v>
      </c>
      <c r="CN564" s="141" t="str">
        <f aca="false">VLOOKUP(DATOS_[[#This Row],[Edad]],CONTRATOS!TblRngEdad,2,1)</f>
        <v>20  o menos</v>
      </c>
      <c r="CO564" s="141" t="str">
        <f aca="false">VLOOKUP(DATOS_[[#This Row],[Antigüedad]],TblRngAntg14[],2,1)</f>
        <v>0 a 1 años</v>
      </c>
    </row>
    <row r="565" customFormat="false" ht="13.8" hidden="false" customHeight="false" outlineLevel="0" collapsed="false">
      <c r="D565" s="128"/>
      <c r="E565" s="129"/>
      <c r="F565" s="129"/>
      <c r="G565" s="129"/>
      <c r="H565" s="130"/>
      <c r="I565" s="131"/>
      <c r="J565" s="128"/>
      <c r="K565" s="132"/>
      <c r="L565" s="132"/>
      <c r="M565" s="133"/>
      <c r="N565" s="133"/>
      <c r="O565" s="133"/>
      <c r="P565" s="129"/>
      <c r="Z565" s="75"/>
      <c r="AA565" s="76"/>
      <c r="AB565" s="76"/>
      <c r="AC565" s="129"/>
      <c r="AD565" s="134"/>
      <c r="AE565" s="134"/>
      <c r="AF565" s="134"/>
      <c r="AG565" s="134"/>
      <c r="AH565" s="134"/>
      <c r="AI565" s="134"/>
      <c r="AJ565" s="134"/>
      <c r="AK565" s="134"/>
      <c r="AL565" s="134"/>
      <c r="AM565" s="134"/>
      <c r="AN565" s="134"/>
      <c r="AO565" s="134"/>
      <c r="AP565" s="134"/>
      <c r="AQ565" s="134"/>
      <c r="AR565" s="134"/>
      <c r="AS565" s="134"/>
      <c r="AT565" s="134"/>
      <c r="AU565" s="134"/>
      <c r="AV565" s="134"/>
      <c r="AW565" s="134"/>
      <c r="AX565" s="134"/>
      <c r="AY565" s="134"/>
      <c r="AZ565" s="134"/>
      <c r="BA565" s="134"/>
      <c r="BB565" s="134"/>
      <c r="BC565" s="134"/>
      <c r="BD565" s="134"/>
      <c r="BE565" s="134"/>
      <c r="BF565" s="134"/>
      <c r="BG565" s="134"/>
      <c r="BH565" s="134"/>
      <c r="BI565" s="134"/>
      <c r="BJ565" s="134"/>
      <c r="BK565" s="134"/>
      <c r="BL565" s="134"/>
      <c r="BM565" s="135"/>
      <c r="BN565" s="136" t="n">
        <f aca="false">+MAX($D$3,DATOS_[[#This Row],[Fecha Inicio Sit. Contract.]])</f>
        <v>0</v>
      </c>
      <c r="BO565" s="136" t="n">
        <f aca="false">+MIN($D$4,DATOS_[[#This Row],[Fecha Fin Sit. Contract.]])</f>
        <v>0</v>
      </c>
      <c r="BP565" s="137" t="n">
        <f aca="false">+DATOS_[[#This Row],[% de jornada]]*IF(DATOS_[[#This Row],[% jornada reducida]]="",1,DATOS_[[#This Row],[% jornada reducida]])</f>
        <v>0</v>
      </c>
      <c r="BQ565" s="137" t="n">
        <f aca="false">+(DATOS_[[#This Row],[F.fin.cal]]-DATOS_[[#This Row],[F.ini.cal]]+1)/($D$4-$D$3+1)</f>
        <v>1</v>
      </c>
      <c r="BR565" s="137" t="str">
        <f aca="false">IF(OR(AND(DATOS_[[#This Row],[Fecha Fin Contrato]]&lt;$D$3,DATOS_[[#This Row],[Fecha Fin Contrato]]&lt;&gt;""),DATOS_[[#This Row],[Fecha de Contratación]]&gt;$D$4),"Fuera","Dentro")</f>
        <v>Dentro</v>
      </c>
      <c r="BS565" s="137" t="str">
        <f aca="false" t="array" ref="BS565:BS565">IF(MAX(IF(DATOS_[id]=DATOS_[[#This Row],[id]],DATOS_[F.fin.cal]))=DATOS_[[#This Row],[F.fin.cal]],"Sí","NO")</f>
        <v>Sí</v>
      </c>
      <c r="BT565" s="137" t="str">
        <f aca="false">IF(AND(DATOS_[[#This Row],[% normaliz]]&lt;&gt;1,DATOS_[[#This Row],[% anualiz]]=1),"Sí","NO")</f>
        <v>Sí</v>
      </c>
      <c r="BU565" s="137" t="str">
        <f aca="false">IF(AND(DATOS_[[#This Row],[% normaliz]]=1,DATOS_[[#This Row],[% anualiz]]&lt;&gt;1),"Sí","NO")</f>
        <v>NO</v>
      </c>
      <c r="BV565" s="137" t="str">
        <f aca="false">IF(AND(DATOS_[[#This Row],[% normaliz]]&lt;&gt;1,DATOS_[[#This Row],[% anualiz]]&lt;&gt;1),"Sí","NO")</f>
        <v>NO</v>
      </c>
      <c r="BW565" s="137" t="str">
        <f aca="false">+IF(DATOS_[[#This Row],[% normaliz]]*DATOS_[[#This Row],[% anualiz]]=1,"NO","Sí")</f>
        <v>Sí</v>
      </c>
      <c r="BX565" s="138" t="e">
        <f aca="false">(DATOS_[[#This Row],[S.BASE]]*(1/DATOS_[[#This Row],[% normaliz]])*(1/DATOS_[[#This Row],[% anualiz]]))*IF(DATOS_[[#This Row],[Check Equiparado]]="Sí",1,0)</f>
        <v>#DIV/0!</v>
      </c>
      <c r="BY5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5" s="138" t="e">
        <f aca="false">+DATOS_[[#This Row],[SALARIO BASE Eq]]+DATOS_[[#This Row],[Tot COMPL.SAL Eq]]</f>
        <v>#DIV/0!</v>
      </c>
      <c r="CA565" s="138" t="e">
        <f aca="false" t="array" ref="CA565:CA5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5" s="138" t="e">
        <f aca="false">+DATOS_[[#This Row],[TOTAL SALARIO Eq]]+DATOS_[[#This Row],[Tot Extrasalarial Eq]]</f>
        <v>#DIV/0!</v>
      </c>
      <c r="CC565" s="139" t="n">
        <f aca="false">DATOS_[[#This Row],[S.BASE]]</f>
        <v>0</v>
      </c>
      <c r="CD565" s="139" t="n">
        <f aca="false">+SUM(DATOS_[[#This Row],[Conc.Sal.01]:[Conc.Sal.30]])</f>
        <v>0</v>
      </c>
      <c r="CE565" s="139" t="n">
        <f aca="false">+DATOS_[[#This Row],[SALARIO BASE Ef]]+DATOS_[[#This Row],[Tot COMPL.SAL Ef]]</f>
        <v>0</v>
      </c>
      <c r="CF565" s="139" t="n">
        <f aca="false">+SUM(DATOS_[[#This Row],[C.Extra.01]:[C.Extra.05]])</f>
        <v>0</v>
      </c>
      <c r="CG565" s="139" t="n">
        <f aca="false">+DATOS_[[#This Row],[TOTAL SALARIO Ef]]+DATOS_[[#This Row],[Tot Extrasalarial Ef]]</f>
        <v>0</v>
      </c>
      <c r="CH565" s="140" t="n">
        <f aca="false">MIN(IF(DATOS_[[#This Row],[Fecha Fin Contrato]]="",$D$4,DATOS_[[#This Row],[Fecha Fin Contrato]]),$D$4)-MAX(DATOS_[[#This Row],[Fecha de Contratación]],$D$3)+1</f>
        <v>1</v>
      </c>
      <c r="CI565" s="141" t="str">
        <f aca="false">IF(COUNTIFS(DATOS_[id],DATOS_[[#This Row],[id]])&gt;1,DATOS_[[#This Row],[id]],"")</f>
        <v/>
      </c>
      <c r="CJ565" s="141" t="n">
        <f aca="false">(Inicio!$G$10-DATOS_[[#This Row],[Fecha Nacimiento]])/365.25</f>
        <v>0</v>
      </c>
      <c r="CK565" s="141" t="n">
        <f aca="false">(Inicio!$G$10-DATOS_[[#This Row],[Fecha de Antigüedad]])/365.25</f>
        <v>0</v>
      </c>
      <c r="CL565" s="141" t="e">
        <f aca="false">+VLOOKUP(DATOS_[[#This Row],[Clave de Contrato]],TblTiposContrato13[],3,0)</f>
        <v>#N/A</v>
      </c>
      <c r="CM565" s="141" t="e">
        <f aca="false">+VLOOKUP(DATOS_[[#This Row],[Clave de Contrato]],TblTiposContrato13[],4,0)</f>
        <v>#N/A</v>
      </c>
      <c r="CN565" s="141" t="str">
        <f aca="false">VLOOKUP(DATOS_[[#This Row],[Edad]],CONTRATOS!TblRngEdad,2,1)</f>
        <v>20  o menos</v>
      </c>
      <c r="CO565" s="141" t="str">
        <f aca="false">VLOOKUP(DATOS_[[#This Row],[Antigüedad]],TblRngAntg14[],2,1)</f>
        <v>0 a 1 años</v>
      </c>
    </row>
    <row r="566" customFormat="false" ht="13.8" hidden="false" customHeight="false" outlineLevel="0" collapsed="false">
      <c r="D566" s="128"/>
      <c r="E566" s="129"/>
      <c r="F566" s="129"/>
      <c r="G566" s="129"/>
      <c r="H566" s="130"/>
      <c r="I566" s="131"/>
      <c r="J566" s="128"/>
      <c r="K566" s="132"/>
      <c r="L566" s="132"/>
      <c r="M566" s="133"/>
      <c r="N566" s="133"/>
      <c r="O566" s="133"/>
      <c r="P566" s="129"/>
      <c r="Z566" s="75"/>
      <c r="AA566" s="76"/>
      <c r="AB566" s="76"/>
      <c r="AC566" s="129"/>
      <c r="AD566" s="134"/>
      <c r="AE566" s="134"/>
      <c r="AF566" s="134"/>
      <c r="AG566" s="134"/>
      <c r="AH566" s="134"/>
      <c r="AI566" s="134"/>
      <c r="AJ566" s="134"/>
      <c r="AK566" s="134"/>
      <c r="AL566" s="134"/>
      <c r="AM566" s="134"/>
      <c r="AN566" s="134"/>
      <c r="AO566" s="134"/>
      <c r="AP566" s="134"/>
      <c r="AQ566" s="134"/>
      <c r="AR566" s="134"/>
      <c r="AS566" s="134"/>
      <c r="AT566" s="134"/>
      <c r="AU566" s="134"/>
      <c r="AV566" s="134"/>
      <c r="AW566" s="134"/>
      <c r="AX566" s="134"/>
      <c r="AY566" s="134"/>
      <c r="AZ566" s="134"/>
      <c r="BA566" s="134"/>
      <c r="BB566" s="134"/>
      <c r="BC566" s="134"/>
      <c r="BD566" s="134"/>
      <c r="BE566" s="134"/>
      <c r="BF566" s="134"/>
      <c r="BG566" s="134"/>
      <c r="BH566" s="134"/>
      <c r="BI566" s="134"/>
      <c r="BJ566" s="134"/>
      <c r="BK566" s="134"/>
      <c r="BL566" s="134"/>
      <c r="BM566" s="135"/>
      <c r="BN566" s="136" t="n">
        <f aca="false">+MAX($D$3,DATOS_[[#This Row],[Fecha Inicio Sit. Contract.]])</f>
        <v>0</v>
      </c>
      <c r="BO566" s="136" t="n">
        <f aca="false">+MIN($D$4,DATOS_[[#This Row],[Fecha Fin Sit. Contract.]])</f>
        <v>0</v>
      </c>
      <c r="BP566" s="137" t="n">
        <f aca="false">+DATOS_[[#This Row],[% de jornada]]*IF(DATOS_[[#This Row],[% jornada reducida]]="",1,DATOS_[[#This Row],[% jornada reducida]])</f>
        <v>0</v>
      </c>
      <c r="BQ566" s="137" t="n">
        <f aca="false">+(DATOS_[[#This Row],[F.fin.cal]]-DATOS_[[#This Row],[F.ini.cal]]+1)/($D$4-$D$3+1)</f>
        <v>1</v>
      </c>
      <c r="BR566" s="137" t="str">
        <f aca="false">IF(OR(AND(DATOS_[[#This Row],[Fecha Fin Contrato]]&lt;$D$3,DATOS_[[#This Row],[Fecha Fin Contrato]]&lt;&gt;""),DATOS_[[#This Row],[Fecha de Contratación]]&gt;$D$4),"Fuera","Dentro")</f>
        <v>Dentro</v>
      </c>
      <c r="BS566" s="137" t="str">
        <f aca="false" t="array" ref="BS566:BS566">IF(MAX(IF(DATOS_[id]=DATOS_[[#This Row],[id]],DATOS_[F.fin.cal]))=DATOS_[[#This Row],[F.fin.cal]],"Sí","NO")</f>
        <v>Sí</v>
      </c>
      <c r="BT566" s="137" t="str">
        <f aca="false">IF(AND(DATOS_[[#This Row],[% normaliz]]&lt;&gt;1,DATOS_[[#This Row],[% anualiz]]=1),"Sí","NO")</f>
        <v>Sí</v>
      </c>
      <c r="BU566" s="137" t="str">
        <f aca="false">IF(AND(DATOS_[[#This Row],[% normaliz]]=1,DATOS_[[#This Row],[% anualiz]]&lt;&gt;1),"Sí","NO")</f>
        <v>NO</v>
      </c>
      <c r="BV566" s="137" t="str">
        <f aca="false">IF(AND(DATOS_[[#This Row],[% normaliz]]&lt;&gt;1,DATOS_[[#This Row],[% anualiz]]&lt;&gt;1),"Sí","NO")</f>
        <v>NO</v>
      </c>
      <c r="BW566" s="137" t="str">
        <f aca="false">+IF(DATOS_[[#This Row],[% normaliz]]*DATOS_[[#This Row],[% anualiz]]=1,"NO","Sí")</f>
        <v>Sí</v>
      </c>
      <c r="BX566" s="138" t="e">
        <f aca="false">(DATOS_[[#This Row],[S.BASE]]*(1/DATOS_[[#This Row],[% normaliz]])*(1/DATOS_[[#This Row],[% anualiz]]))*IF(DATOS_[[#This Row],[Check Equiparado]]="Sí",1,0)</f>
        <v>#DIV/0!</v>
      </c>
      <c r="BY5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6" s="138" t="e">
        <f aca="false">+DATOS_[[#This Row],[SALARIO BASE Eq]]+DATOS_[[#This Row],[Tot COMPL.SAL Eq]]</f>
        <v>#DIV/0!</v>
      </c>
      <c r="CA566" s="138" t="e">
        <f aca="false" t="array" ref="CA566:CA5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6" s="138" t="e">
        <f aca="false">+DATOS_[[#This Row],[TOTAL SALARIO Eq]]+DATOS_[[#This Row],[Tot Extrasalarial Eq]]</f>
        <v>#DIV/0!</v>
      </c>
      <c r="CC566" s="139" t="n">
        <f aca="false">DATOS_[[#This Row],[S.BASE]]</f>
        <v>0</v>
      </c>
      <c r="CD566" s="139" t="n">
        <f aca="false">+SUM(DATOS_[[#This Row],[Conc.Sal.01]:[Conc.Sal.30]])</f>
        <v>0</v>
      </c>
      <c r="CE566" s="139" t="n">
        <f aca="false">+DATOS_[[#This Row],[SALARIO BASE Ef]]+DATOS_[[#This Row],[Tot COMPL.SAL Ef]]</f>
        <v>0</v>
      </c>
      <c r="CF566" s="139" t="n">
        <f aca="false">+SUM(DATOS_[[#This Row],[C.Extra.01]:[C.Extra.05]])</f>
        <v>0</v>
      </c>
      <c r="CG566" s="139" t="n">
        <f aca="false">+DATOS_[[#This Row],[TOTAL SALARIO Ef]]+DATOS_[[#This Row],[Tot Extrasalarial Ef]]</f>
        <v>0</v>
      </c>
      <c r="CH566" s="140" t="n">
        <f aca="false">MIN(IF(DATOS_[[#This Row],[Fecha Fin Contrato]]="",$D$4,DATOS_[[#This Row],[Fecha Fin Contrato]]),$D$4)-MAX(DATOS_[[#This Row],[Fecha de Contratación]],$D$3)+1</f>
        <v>1</v>
      </c>
      <c r="CI566" s="141" t="str">
        <f aca="false">IF(COUNTIFS(DATOS_[id],DATOS_[[#This Row],[id]])&gt;1,DATOS_[[#This Row],[id]],"")</f>
        <v/>
      </c>
      <c r="CJ566" s="141" t="n">
        <f aca="false">(Inicio!$G$10-DATOS_[[#This Row],[Fecha Nacimiento]])/365.25</f>
        <v>0</v>
      </c>
      <c r="CK566" s="141" t="n">
        <f aca="false">(Inicio!$G$10-DATOS_[[#This Row],[Fecha de Antigüedad]])/365.25</f>
        <v>0</v>
      </c>
      <c r="CL566" s="141" t="e">
        <f aca="false">+VLOOKUP(DATOS_[[#This Row],[Clave de Contrato]],TblTiposContrato13[],3,0)</f>
        <v>#N/A</v>
      </c>
      <c r="CM566" s="141" t="e">
        <f aca="false">+VLOOKUP(DATOS_[[#This Row],[Clave de Contrato]],TblTiposContrato13[],4,0)</f>
        <v>#N/A</v>
      </c>
      <c r="CN566" s="141" t="str">
        <f aca="false">VLOOKUP(DATOS_[[#This Row],[Edad]],CONTRATOS!TblRngEdad,2,1)</f>
        <v>20  o menos</v>
      </c>
      <c r="CO566" s="141" t="str">
        <f aca="false">VLOOKUP(DATOS_[[#This Row],[Antigüedad]],TblRngAntg14[],2,1)</f>
        <v>0 a 1 años</v>
      </c>
    </row>
    <row r="567" customFormat="false" ht="13.8" hidden="false" customHeight="false" outlineLevel="0" collapsed="false">
      <c r="D567" s="128"/>
      <c r="E567" s="129"/>
      <c r="F567" s="129"/>
      <c r="G567" s="129"/>
      <c r="H567" s="130"/>
      <c r="I567" s="131"/>
      <c r="J567" s="128"/>
      <c r="K567" s="132"/>
      <c r="L567" s="132"/>
      <c r="M567" s="133"/>
      <c r="N567" s="133"/>
      <c r="O567" s="133"/>
      <c r="P567" s="129"/>
      <c r="Z567" s="75"/>
      <c r="AA567" s="76"/>
      <c r="AB567" s="76"/>
      <c r="AC567" s="129"/>
      <c r="AD567" s="134"/>
      <c r="AE567" s="134"/>
      <c r="AF567" s="134"/>
      <c r="AG567" s="134"/>
      <c r="AH567" s="134"/>
      <c r="AI567" s="134"/>
      <c r="AJ567" s="134"/>
      <c r="AK567" s="134"/>
      <c r="AL567" s="134"/>
      <c r="AM567" s="134"/>
      <c r="AN567" s="134"/>
      <c r="AO567" s="134"/>
      <c r="AP567" s="134"/>
      <c r="AQ567" s="134"/>
      <c r="AR567" s="134"/>
      <c r="AS567" s="134"/>
      <c r="AT567" s="134"/>
      <c r="AU567" s="134"/>
      <c r="AV567" s="134"/>
      <c r="AW567" s="134"/>
      <c r="AX567" s="134"/>
      <c r="AY567" s="134"/>
      <c r="AZ567" s="134"/>
      <c r="BA567" s="134"/>
      <c r="BB567" s="134"/>
      <c r="BC567" s="134"/>
      <c r="BD567" s="134"/>
      <c r="BE567" s="134"/>
      <c r="BF567" s="134"/>
      <c r="BG567" s="134"/>
      <c r="BH567" s="134"/>
      <c r="BI567" s="134"/>
      <c r="BJ567" s="134"/>
      <c r="BK567" s="134"/>
      <c r="BL567" s="134"/>
      <c r="BM567" s="135"/>
      <c r="BN567" s="136" t="n">
        <f aca="false">+MAX($D$3,DATOS_[[#This Row],[Fecha Inicio Sit. Contract.]])</f>
        <v>0</v>
      </c>
      <c r="BO567" s="136" t="n">
        <f aca="false">+MIN($D$4,DATOS_[[#This Row],[Fecha Fin Sit. Contract.]])</f>
        <v>0</v>
      </c>
      <c r="BP567" s="137" t="n">
        <f aca="false">+DATOS_[[#This Row],[% de jornada]]*IF(DATOS_[[#This Row],[% jornada reducida]]="",1,DATOS_[[#This Row],[% jornada reducida]])</f>
        <v>0</v>
      </c>
      <c r="BQ567" s="137" t="n">
        <f aca="false">+(DATOS_[[#This Row],[F.fin.cal]]-DATOS_[[#This Row],[F.ini.cal]]+1)/($D$4-$D$3+1)</f>
        <v>1</v>
      </c>
      <c r="BR567" s="137" t="str">
        <f aca="false">IF(OR(AND(DATOS_[[#This Row],[Fecha Fin Contrato]]&lt;$D$3,DATOS_[[#This Row],[Fecha Fin Contrato]]&lt;&gt;""),DATOS_[[#This Row],[Fecha de Contratación]]&gt;$D$4),"Fuera","Dentro")</f>
        <v>Dentro</v>
      </c>
      <c r="BS567" s="137" t="str">
        <f aca="false" t="array" ref="BS567:BS567">IF(MAX(IF(DATOS_[id]=DATOS_[[#This Row],[id]],DATOS_[F.fin.cal]))=DATOS_[[#This Row],[F.fin.cal]],"Sí","NO")</f>
        <v>Sí</v>
      </c>
      <c r="BT567" s="137" t="str">
        <f aca="false">IF(AND(DATOS_[[#This Row],[% normaliz]]&lt;&gt;1,DATOS_[[#This Row],[% anualiz]]=1),"Sí","NO")</f>
        <v>Sí</v>
      </c>
      <c r="BU567" s="137" t="str">
        <f aca="false">IF(AND(DATOS_[[#This Row],[% normaliz]]=1,DATOS_[[#This Row],[% anualiz]]&lt;&gt;1),"Sí","NO")</f>
        <v>NO</v>
      </c>
      <c r="BV567" s="137" t="str">
        <f aca="false">IF(AND(DATOS_[[#This Row],[% normaliz]]&lt;&gt;1,DATOS_[[#This Row],[% anualiz]]&lt;&gt;1),"Sí","NO")</f>
        <v>NO</v>
      </c>
      <c r="BW567" s="137" t="str">
        <f aca="false">+IF(DATOS_[[#This Row],[% normaliz]]*DATOS_[[#This Row],[% anualiz]]=1,"NO","Sí")</f>
        <v>Sí</v>
      </c>
      <c r="BX567" s="138" t="e">
        <f aca="false">(DATOS_[[#This Row],[S.BASE]]*(1/DATOS_[[#This Row],[% normaliz]])*(1/DATOS_[[#This Row],[% anualiz]]))*IF(DATOS_[[#This Row],[Check Equiparado]]="Sí",1,0)</f>
        <v>#DIV/0!</v>
      </c>
      <c r="BY5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7" s="138" t="e">
        <f aca="false">+DATOS_[[#This Row],[SALARIO BASE Eq]]+DATOS_[[#This Row],[Tot COMPL.SAL Eq]]</f>
        <v>#DIV/0!</v>
      </c>
      <c r="CA567" s="138" t="e">
        <f aca="false" t="array" ref="CA567:CA5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7" s="138" t="e">
        <f aca="false">+DATOS_[[#This Row],[TOTAL SALARIO Eq]]+DATOS_[[#This Row],[Tot Extrasalarial Eq]]</f>
        <v>#DIV/0!</v>
      </c>
      <c r="CC567" s="139" t="n">
        <f aca="false">DATOS_[[#This Row],[S.BASE]]</f>
        <v>0</v>
      </c>
      <c r="CD567" s="139" t="n">
        <f aca="false">+SUM(DATOS_[[#This Row],[Conc.Sal.01]:[Conc.Sal.30]])</f>
        <v>0</v>
      </c>
      <c r="CE567" s="139" t="n">
        <f aca="false">+DATOS_[[#This Row],[SALARIO BASE Ef]]+DATOS_[[#This Row],[Tot COMPL.SAL Ef]]</f>
        <v>0</v>
      </c>
      <c r="CF567" s="139" t="n">
        <f aca="false">+SUM(DATOS_[[#This Row],[C.Extra.01]:[C.Extra.05]])</f>
        <v>0</v>
      </c>
      <c r="CG567" s="139" t="n">
        <f aca="false">+DATOS_[[#This Row],[TOTAL SALARIO Ef]]+DATOS_[[#This Row],[Tot Extrasalarial Ef]]</f>
        <v>0</v>
      </c>
      <c r="CH567" s="140" t="n">
        <f aca="false">MIN(IF(DATOS_[[#This Row],[Fecha Fin Contrato]]="",$D$4,DATOS_[[#This Row],[Fecha Fin Contrato]]),$D$4)-MAX(DATOS_[[#This Row],[Fecha de Contratación]],$D$3)+1</f>
        <v>1</v>
      </c>
      <c r="CI567" s="141" t="str">
        <f aca="false">IF(COUNTIFS(DATOS_[id],DATOS_[[#This Row],[id]])&gt;1,DATOS_[[#This Row],[id]],"")</f>
        <v/>
      </c>
      <c r="CJ567" s="141" t="n">
        <f aca="false">(Inicio!$G$10-DATOS_[[#This Row],[Fecha Nacimiento]])/365.25</f>
        <v>0</v>
      </c>
      <c r="CK567" s="141" t="n">
        <f aca="false">(Inicio!$G$10-DATOS_[[#This Row],[Fecha de Antigüedad]])/365.25</f>
        <v>0</v>
      </c>
      <c r="CL567" s="141" t="e">
        <f aca="false">+VLOOKUP(DATOS_[[#This Row],[Clave de Contrato]],TblTiposContrato13[],3,0)</f>
        <v>#N/A</v>
      </c>
      <c r="CM567" s="141" t="e">
        <f aca="false">+VLOOKUP(DATOS_[[#This Row],[Clave de Contrato]],TblTiposContrato13[],4,0)</f>
        <v>#N/A</v>
      </c>
      <c r="CN567" s="141" t="str">
        <f aca="false">VLOOKUP(DATOS_[[#This Row],[Edad]],CONTRATOS!TblRngEdad,2,1)</f>
        <v>20  o menos</v>
      </c>
      <c r="CO567" s="141" t="str">
        <f aca="false">VLOOKUP(DATOS_[[#This Row],[Antigüedad]],TblRngAntg14[],2,1)</f>
        <v>0 a 1 años</v>
      </c>
    </row>
    <row r="568" customFormat="false" ht="13.8" hidden="false" customHeight="false" outlineLevel="0" collapsed="false">
      <c r="D568" s="128"/>
      <c r="E568" s="129"/>
      <c r="F568" s="129"/>
      <c r="G568" s="129"/>
      <c r="H568" s="130"/>
      <c r="I568" s="131"/>
      <c r="J568" s="128"/>
      <c r="K568" s="132"/>
      <c r="L568" s="132"/>
      <c r="M568" s="133"/>
      <c r="N568" s="133"/>
      <c r="O568" s="133"/>
      <c r="P568" s="129"/>
      <c r="Z568" s="75"/>
      <c r="AA568" s="76"/>
      <c r="AB568" s="76"/>
      <c r="AC568" s="129"/>
      <c r="AD568" s="134"/>
      <c r="AE568" s="134"/>
      <c r="AF568" s="134"/>
      <c r="AG568" s="134"/>
      <c r="AH568" s="134"/>
      <c r="AI568" s="134"/>
      <c r="AJ568" s="134"/>
      <c r="AK568" s="134"/>
      <c r="AL568" s="134"/>
      <c r="AM568" s="134"/>
      <c r="AN568" s="134"/>
      <c r="AO568" s="134"/>
      <c r="AP568" s="134"/>
      <c r="AQ568" s="134"/>
      <c r="AR568" s="134"/>
      <c r="AS568" s="134"/>
      <c r="AT568" s="134"/>
      <c r="AU568" s="134"/>
      <c r="AV568" s="134"/>
      <c r="AW568" s="134"/>
      <c r="AX568" s="134"/>
      <c r="AY568" s="134"/>
      <c r="AZ568" s="134"/>
      <c r="BA568" s="134"/>
      <c r="BB568" s="134"/>
      <c r="BC568" s="134"/>
      <c r="BD568" s="134"/>
      <c r="BE568" s="134"/>
      <c r="BF568" s="134"/>
      <c r="BG568" s="134"/>
      <c r="BH568" s="134"/>
      <c r="BI568" s="134"/>
      <c r="BJ568" s="134"/>
      <c r="BK568" s="134"/>
      <c r="BL568" s="134"/>
      <c r="BM568" s="135"/>
      <c r="BN568" s="136" t="n">
        <f aca="false">+MAX($D$3,DATOS_[[#This Row],[Fecha Inicio Sit. Contract.]])</f>
        <v>0</v>
      </c>
      <c r="BO568" s="136" t="n">
        <f aca="false">+MIN($D$4,DATOS_[[#This Row],[Fecha Fin Sit. Contract.]])</f>
        <v>0</v>
      </c>
      <c r="BP568" s="137" t="n">
        <f aca="false">+DATOS_[[#This Row],[% de jornada]]*IF(DATOS_[[#This Row],[% jornada reducida]]="",1,DATOS_[[#This Row],[% jornada reducida]])</f>
        <v>0</v>
      </c>
      <c r="BQ568" s="137" t="n">
        <f aca="false">+(DATOS_[[#This Row],[F.fin.cal]]-DATOS_[[#This Row],[F.ini.cal]]+1)/($D$4-$D$3+1)</f>
        <v>1</v>
      </c>
      <c r="BR568" s="137" t="str">
        <f aca="false">IF(OR(AND(DATOS_[[#This Row],[Fecha Fin Contrato]]&lt;$D$3,DATOS_[[#This Row],[Fecha Fin Contrato]]&lt;&gt;""),DATOS_[[#This Row],[Fecha de Contratación]]&gt;$D$4),"Fuera","Dentro")</f>
        <v>Dentro</v>
      </c>
      <c r="BS568" s="137" t="str">
        <f aca="false" t="array" ref="BS568:BS568">IF(MAX(IF(DATOS_[id]=DATOS_[[#This Row],[id]],DATOS_[F.fin.cal]))=DATOS_[[#This Row],[F.fin.cal]],"Sí","NO")</f>
        <v>Sí</v>
      </c>
      <c r="BT568" s="137" t="str">
        <f aca="false">IF(AND(DATOS_[[#This Row],[% normaliz]]&lt;&gt;1,DATOS_[[#This Row],[% anualiz]]=1),"Sí","NO")</f>
        <v>Sí</v>
      </c>
      <c r="BU568" s="137" t="str">
        <f aca="false">IF(AND(DATOS_[[#This Row],[% normaliz]]=1,DATOS_[[#This Row],[% anualiz]]&lt;&gt;1),"Sí","NO")</f>
        <v>NO</v>
      </c>
      <c r="BV568" s="137" t="str">
        <f aca="false">IF(AND(DATOS_[[#This Row],[% normaliz]]&lt;&gt;1,DATOS_[[#This Row],[% anualiz]]&lt;&gt;1),"Sí","NO")</f>
        <v>NO</v>
      </c>
      <c r="BW568" s="137" t="str">
        <f aca="false">+IF(DATOS_[[#This Row],[% normaliz]]*DATOS_[[#This Row],[% anualiz]]=1,"NO","Sí")</f>
        <v>Sí</v>
      </c>
      <c r="BX568" s="138" t="e">
        <f aca="false">(DATOS_[[#This Row],[S.BASE]]*(1/DATOS_[[#This Row],[% normaliz]])*(1/DATOS_[[#This Row],[% anualiz]]))*IF(DATOS_[[#This Row],[Check Equiparado]]="Sí",1,0)</f>
        <v>#DIV/0!</v>
      </c>
      <c r="BY5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8" s="138" t="e">
        <f aca="false">+DATOS_[[#This Row],[SALARIO BASE Eq]]+DATOS_[[#This Row],[Tot COMPL.SAL Eq]]</f>
        <v>#DIV/0!</v>
      </c>
      <c r="CA568" s="138" t="e">
        <f aca="false" t="array" ref="CA568:CA5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8" s="138" t="e">
        <f aca="false">+DATOS_[[#This Row],[TOTAL SALARIO Eq]]+DATOS_[[#This Row],[Tot Extrasalarial Eq]]</f>
        <v>#DIV/0!</v>
      </c>
      <c r="CC568" s="139" t="n">
        <f aca="false">DATOS_[[#This Row],[S.BASE]]</f>
        <v>0</v>
      </c>
      <c r="CD568" s="139" t="n">
        <f aca="false">+SUM(DATOS_[[#This Row],[Conc.Sal.01]:[Conc.Sal.30]])</f>
        <v>0</v>
      </c>
      <c r="CE568" s="139" t="n">
        <f aca="false">+DATOS_[[#This Row],[SALARIO BASE Ef]]+DATOS_[[#This Row],[Tot COMPL.SAL Ef]]</f>
        <v>0</v>
      </c>
      <c r="CF568" s="139" t="n">
        <f aca="false">+SUM(DATOS_[[#This Row],[C.Extra.01]:[C.Extra.05]])</f>
        <v>0</v>
      </c>
      <c r="CG568" s="139" t="n">
        <f aca="false">+DATOS_[[#This Row],[TOTAL SALARIO Ef]]+DATOS_[[#This Row],[Tot Extrasalarial Ef]]</f>
        <v>0</v>
      </c>
      <c r="CH568" s="140" t="n">
        <f aca="false">MIN(IF(DATOS_[[#This Row],[Fecha Fin Contrato]]="",$D$4,DATOS_[[#This Row],[Fecha Fin Contrato]]),$D$4)-MAX(DATOS_[[#This Row],[Fecha de Contratación]],$D$3)+1</f>
        <v>1</v>
      </c>
      <c r="CI568" s="141" t="str">
        <f aca="false">IF(COUNTIFS(DATOS_[id],DATOS_[[#This Row],[id]])&gt;1,DATOS_[[#This Row],[id]],"")</f>
        <v/>
      </c>
      <c r="CJ568" s="141" t="n">
        <f aca="false">(Inicio!$G$10-DATOS_[[#This Row],[Fecha Nacimiento]])/365.25</f>
        <v>0</v>
      </c>
      <c r="CK568" s="141" t="n">
        <f aca="false">(Inicio!$G$10-DATOS_[[#This Row],[Fecha de Antigüedad]])/365.25</f>
        <v>0</v>
      </c>
      <c r="CL568" s="141" t="e">
        <f aca="false">+VLOOKUP(DATOS_[[#This Row],[Clave de Contrato]],TblTiposContrato13[],3,0)</f>
        <v>#N/A</v>
      </c>
      <c r="CM568" s="141" t="e">
        <f aca="false">+VLOOKUP(DATOS_[[#This Row],[Clave de Contrato]],TblTiposContrato13[],4,0)</f>
        <v>#N/A</v>
      </c>
      <c r="CN568" s="141" t="str">
        <f aca="false">VLOOKUP(DATOS_[[#This Row],[Edad]],CONTRATOS!TblRngEdad,2,1)</f>
        <v>20  o menos</v>
      </c>
      <c r="CO568" s="141" t="str">
        <f aca="false">VLOOKUP(DATOS_[[#This Row],[Antigüedad]],TblRngAntg14[],2,1)</f>
        <v>0 a 1 años</v>
      </c>
    </row>
    <row r="569" customFormat="false" ht="13.8" hidden="false" customHeight="false" outlineLevel="0" collapsed="false">
      <c r="D569" s="128"/>
      <c r="E569" s="129"/>
      <c r="F569" s="129"/>
      <c r="G569" s="129"/>
      <c r="H569" s="130"/>
      <c r="I569" s="131"/>
      <c r="J569" s="128"/>
      <c r="K569" s="132"/>
      <c r="L569" s="132"/>
      <c r="M569" s="133"/>
      <c r="N569" s="133"/>
      <c r="O569" s="133"/>
      <c r="P569" s="129"/>
      <c r="Z569" s="75"/>
      <c r="AA569" s="76"/>
      <c r="AB569" s="76"/>
      <c r="AC569" s="129"/>
      <c r="AD569" s="134"/>
      <c r="AE569" s="134"/>
      <c r="AF569" s="134"/>
      <c r="AG569" s="134"/>
      <c r="AH569" s="134"/>
      <c r="AI569" s="134"/>
      <c r="AJ569" s="134"/>
      <c r="AK569" s="134"/>
      <c r="AL569" s="134"/>
      <c r="AM569" s="134"/>
      <c r="AN569" s="134"/>
      <c r="AO569" s="134"/>
      <c r="AP569" s="134"/>
      <c r="AQ569" s="134"/>
      <c r="AR569" s="134"/>
      <c r="AS569" s="134"/>
      <c r="AT569" s="134"/>
      <c r="AU569" s="134"/>
      <c r="AV569" s="134"/>
      <c r="AW569" s="134"/>
      <c r="AX569" s="134"/>
      <c r="AY569" s="134"/>
      <c r="AZ569" s="134"/>
      <c r="BA569" s="134"/>
      <c r="BB569" s="134"/>
      <c r="BC569" s="134"/>
      <c r="BD569" s="134"/>
      <c r="BE569" s="134"/>
      <c r="BF569" s="134"/>
      <c r="BG569" s="134"/>
      <c r="BH569" s="134"/>
      <c r="BI569" s="134"/>
      <c r="BJ569" s="134"/>
      <c r="BK569" s="134"/>
      <c r="BL569" s="134"/>
      <c r="BM569" s="135"/>
      <c r="BN569" s="136" t="n">
        <f aca="false">+MAX($D$3,DATOS_[[#This Row],[Fecha Inicio Sit. Contract.]])</f>
        <v>0</v>
      </c>
      <c r="BO569" s="136" t="n">
        <f aca="false">+MIN($D$4,DATOS_[[#This Row],[Fecha Fin Sit. Contract.]])</f>
        <v>0</v>
      </c>
      <c r="BP569" s="137" t="n">
        <f aca="false">+DATOS_[[#This Row],[% de jornada]]*IF(DATOS_[[#This Row],[% jornada reducida]]="",1,DATOS_[[#This Row],[% jornada reducida]])</f>
        <v>0</v>
      </c>
      <c r="BQ569" s="137" t="n">
        <f aca="false">+(DATOS_[[#This Row],[F.fin.cal]]-DATOS_[[#This Row],[F.ini.cal]]+1)/($D$4-$D$3+1)</f>
        <v>1</v>
      </c>
      <c r="BR569" s="137" t="str">
        <f aca="false">IF(OR(AND(DATOS_[[#This Row],[Fecha Fin Contrato]]&lt;$D$3,DATOS_[[#This Row],[Fecha Fin Contrato]]&lt;&gt;""),DATOS_[[#This Row],[Fecha de Contratación]]&gt;$D$4),"Fuera","Dentro")</f>
        <v>Dentro</v>
      </c>
      <c r="BS569" s="137" t="str">
        <f aca="false" t="array" ref="BS569:BS569">IF(MAX(IF(DATOS_[id]=DATOS_[[#This Row],[id]],DATOS_[F.fin.cal]))=DATOS_[[#This Row],[F.fin.cal]],"Sí","NO")</f>
        <v>Sí</v>
      </c>
      <c r="BT569" s="137" t="str">
        <f aca="false">IF(AND(DATOS_[[#This Row],[% normaliz]]&lt;&gt;1,DATOS_[[#This Row],[% anualiz]]=1),"Sí","NO")</f>
        <v>Sí</v>
      </c>
      <c r="BU569" s="137" t="str">
        <f aca="false">IF(AND(DATOS_[[#This Row],[% normaliz]]=1,DATOS_[[#This Row],[% anualiz]]&lt;&gt;1),"Sí","NO")</f>
        <v>NO</v>
      </c>
      <c r="BV569" s="137" t="str">
        <f aca="false">IF(AND(DATOS_[[#This Row],[% normaliz]]&lt;&gt;1,DATOS_[[#This Row],[% anualiz]]&lt;&gt;1),"Sí","NO")</f>
        <v>NO</v>
      </c>
      <c r="BW569" s="137" t="str">
        <f aca="false">+IF(DATOS_[[#This Row],[% normaliz]]*DATOS_[[#This Row],[% anualiz]]=1,"NO","Sí")</f>
        <v>Sí</v>
      </c>
      <c r="BX569" s="138" t="e">
        <f aca="false">(DATOS_[[#This Row],[S.BASE]]*(1/DATOS_[[#This Row],[% normaliz]])*(1/DATOS_[[#This Row],[% anualiz]]))*IF(DATOS_[[#This Row],[Check Equiparado]]="Sí",1,0)</f>
        <v>#DIV/0!</v>
      </c>
      <c r="BY5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9" s="138" t="e">
        <f aca="false">+DATOS_[[#This Row],[SALARIO BASE Eq]]+DATOS_[[#This Row],[Tot COMPL.SAL Eq]]</f>
        <v>#DIV/0!</v>
      </c>
      <c r="CA569" s="138" t="e">
        <f aca="false" t="array" ref="CA569:CA5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9" s="138" t="e">
        <f aca="false">+DATOS_[[#This Row],[TOTAL SALARIO Eq]]+DATOS_[[#This Row],[Tot Extrasalarial Eq]]</f>
        <v>#DIV/0!</v>
      </c>
      <c r="CC569" s="139" t="n">
        <f aca="false">DATOS_[[#This Row],[S.BASE]]</f>
        <v>0</v>
      </c>
      <c r="CD569" s="139" t="n">
        <f aca="false">+SUM(DATOS_[[#This Row],[Conc.Sal.01]:[Conc.Sal.30]])</f>
        <v>0</v>
      </c>
      <c r="CE569" s="139" t="n">
        <f aca="false">+DATOS_[[#This Row],[SALARIO BASE Ef]]+DATOS_[[#This Row],[Tot COMPL.SAL Ef]]</f>
        <v>0</v>
      </c>
      <c r="CF569" s="139" t="n">
        <f aca="false">+SUM(DATOS_[[#This Row],[C.Extra.01]:[C.Extra.05]])</f>
        <v>0</v>
      </c>
      <c r="CG569" s="139" t="n">
        <f aca="false">+DATOS_[[#This Row],[TOTAL SALARIO Ef]]+DATOS_[[#This Row],[Tot Extrasalarial Ef]]</f>
        <v>0</v>
      </c>
      <c r="CH569" s="140" t="n">
        <f aca="false">MIN(IF(DATOS_[[#This Row],[Fecha Fin Contrato]]="",$D$4,DATOS_[[#This Row],[Fecha Fin Contrato]]),$D$4)-MAX(DATOS_[[#This Row],[Fecha de Contratación]],$D$3)+1</f>
        <v>1</v>
      </c>
      <c r="CI569" s="141" t="str">
        <f aca="false">IF(COUNTIFS(DATOS_[id],DATOS_[[#This Row],[id]])&gt;1,DATOS_[[#This Row],[id]],"")</f>
        <v/>
      </c>
      <c r="CJ569" s="141" t="n">
        <f aca="false">(Inicio!$G$10-DATOS_[[#This Row],[Fecha Nacimiento]])/365.25</f>
        <v>0</v>
      </c>
      <c r="CK569" s="141" t="n">
        <f aca="false">(Inicio!$G$10-DATOS_[[#This Row],[Fecha de Antigüedad]])/365.25</f>
        <v>0</v>
      </c>
      <c r="CL569" s="141" t="e">
        <f aca="false">+VLOOKUP(DATOS_[[#This Row],[Clave de Contrato]],TblTiposContrato13[],3,0)</f>
        <v>#N/A</v>
      </c>
      <c r="CM569" s="141" t="e">
        <f aca="false">+VLOOKUP(DATOS_[[#This Row],[Clave de Contrato]],TblTiposContrato13[],4,0)</f>
        <v>#N/A</v>
      </c>
      <c r="CN569" s="141" t="str">
        <f aca="false">VLOOKUP(DATOS_[[#This Row],[Edad]],CONTRATOS!TblRngEdad,2,1)</f>
        <v>20  o menos</v>
      </c>
      <c r="CO569" s="141" t="str">
        <f aca="false">VLOOKUP(DATOS_[[#This Row],[Antigüedad]],TblRngAntg14[],2,1)</f>
        <v>0 a 1 años</v>
      </c>
    </row>
    <row r="570" customFormat="false" ht="13.8" hidden="false" customHeight="false" outlineLevel="0" collapsed="false">
      <c r="D570" s="128"/>
      <c r="E570" s="129"/>
      <c r="F570" s="129"/>
      <c r="G570" s="129"/>
      <c r="H570" s="130"/>
      <c r="I570" s="131"/>
      <c r="J570" s="128"/>
      <c r="K570" s="132"/>
      <c r="L570" s="132"/>
      <c r="M570" s="133"/>
      <c r="N570" s="133"/>
      <c r="O570" s="133"/>
      <c r="P570" s="129"/>
      <c r="Z570" s="75"/>
      <c r="AA570" s="76"/>
      <c r="AB570" s="76"/>
      <c r="AC570" s="129"/>
      <c r="AD570" s="134"/>
      <c r="AE570" s="134"/>
      <c r="AF570" s="134"/>
      <c r="AG570" s="134"/>
      <c r="AH570" s="134"/>
      <c r="AI570" s="134"/>
      <c r="AJ570" s="134"/>
      <c r="AK570" s="134"/>
      <c r="AL570" s="134"/>
      <c r="AM570" s="134"/>
      <c r="AN570" s="134"/>
      <c r="AO570" s="134"/>
      <c r="AP570" s="134"/>
      <c r="AQ570" s="134"/>
      <c r="AR570" s="134"/>
      <c r="AS570" s="134"/>
      <c r="AT570" s="134"/>
      <c r="AU570" s="134"/>
      <c r="AV570" s="134"/>
      <c r="AW570" s="134"/>
      <c r="AX570" s="134"/>
      <c r="AY570" s="134"/>
      <c r="AZ570" s="134"/>
      <c r="BA570" s="134"/>
      <c r="BB570" s="134"/>
      <c r="BC570" s="134"/>
      <c r="BD570" s="134"/>
      <c r="BE570" s="134"/>
      <c r="BF570" s="134"/>
      <c r="BG570" s="134"/>
      <c r="BH570" s="134"/>
      <c r="BI570" s="134"/>
      <c r="BJ570" s="134"/>
      <c r="BK570" s="134"/>
      <c r="BL570" s="134"/>
      <c r="BM570" s="135"/>
      <c r="BN570" s="136" t="n">
        <f aca="false">+MAX($D$3,DATOS_[[#This Row],[Fecha Inicio Sit. Contract.]])</f>
        <v>0</v>
      </c>
      <c r="BO570" s="136" t="n">
        <f aca="false">+MIN($D$4,DATOS_[[#This Row],[Fecha Fin Sit. Contract.]])</f>
        <v>0</v>
      </c>
      <c r="BP570" s="137" t="n">
        <f aca="false">+DATOS_[[#This Row],[% de jornada]]*IF(DATOS_[[#This Row],[% jornada reducida]]="",1,DATOS_[[#This Row],[% jornada reducida]])</f>
        <v>0</v>
      </c>
      <c r="BQ570" s="137" t="n">
        <f aca="false">+(DATOS_[[#This Row],[F.fin.cal]]-DATOS_[[#This Row],[F.ini.cal]]+1)/($D$4-$D$3+1)</f>
        <v>1</v>
      </c>
      <c r="BR570" s="137" t="str">
        <f aca="false">IF(OR(AND(DATOS_[[#This Row],[Fecha Fin Contrato]]&lt;$D$3,DATOS_[[#This Row],[Fecha Fin Contrato]]&lt;&gt;""),DATOS_[[#This Row],[Fecha de Contratación]]&gt;$D$4),"Fuera","Dentro")</f>
        <v>Dentro</v>
      </c>
      <c r="BS570" s="137" t="str">
        <f aca="false" t="array" ref="BS570:BS570">IF(MAX(IF(DATOS_[id]=DATOS_[[#This Row],[id]],DATOS_[F.fin.cal]))=DATOS_[[#This Row],[F.fin.cal]],"Sí","NO")</f>
        <v>Sí</v>
      </c>
      <c r="BT570" s="137" t="str">
        <f aca="false">IF(AND(DATOS_[[#This Row],[% normaliz]]&lt;&gt;1,DATOS_[[#This Row],[% anualiz]]=1),"Sí","NO")</f>
        <v>Sí</v>
      </c>
      <c r="BU570" s="137" t="str">
        <f aca="false">IF(AND(DATOS_[[#This Row],[% normaliz]]=1,DATOS_[[#This Row],[% anualiz]]&lt;&gt;1),"Sí","NO")</f>
        <v>NO</v>
      </c>
      <c r="BV570" s="137" t="str">
        <f aca="false">IF(AND(DATOS_[[#This Row],[% normaliz]]&lt;&gt;1,DATOS_[[#This Row],[% anualiz]]&lt;&gt;1),"Sí","NO")</f>
        <v>NO</v>
      </c>
      <c r="BW570" s="137" t="str">
        <f aca="false">+IF(DATOS_[[#This Row],[% normaliz]]*DATOS_[[#This Row],[% anualiz]]=1,"NO","Sí")</f>
        <v>Sí</v>
      </c>
      <c r="BX570" s="138" t="e">
        <f aca="false">(DATOS_[[#This Row],[S.BASE]]*(1/DATOS_[[#This Row],[% normaliz]])*(1/DATOS_[[#This Row],[% anualiz]]))*IF(DATOS_[[#This Row],[Check Equiparado]]="Sí",1,0)</f>
        <v>#DIV/0!</v>
      </c>
      <c r="BY5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0" s="138" t="e">
        <f aca="false">+DATOS_[[#This Row],[SALARIO BASE Eq]]+DATOS_[[#This Row],[Tot COMPL.SAL Eq]]</f>
        <v>#DIV/0!</v>
      </c>
      <c r="CA570" s="138" t="e">
        <f aca="false" t="array" ref="CA570:CA5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0" s="138" t="e">
        <f aca="false">+DATOS_[[#This Row],[TOTAL SALARIO Eq]]+DATOS_[[#This Row],[Tot Extrasalarial Eq]]</f>
        <v>#DIV/0!</v>
      </c>
      <c r="CC570" s="139" t="n">
        <f aca="false">DATOS_[[#This Row],[S.BASE]]</f>
        <v>0</v>
      </c>
      <c r="CD570" s="139" t="n">
        <f aca="false">+SUM(DATOS_[[#This Row],[Conc.Sal.01]:[Conc.Sal.30]])</f>
        <v>0</v>
      </c>
      <c r="CE570" s="139" t="n">
        <f aca="false">+DATOS_[[#This Row],[SALARIO BASE Ef]]+DATOS_[[#This Row],[Tot COMPL.SAL Ef]]</f>
        <v>0</v>
      </c>
      <c r="CF570" s="139" t="n">
        <f aca="false">+SUM(DATOS_[[#This Row],[C.Extra.01]:[C.Extra.05]])</f>
        <v>0</v>
      </c>
      <c r="CG570" s="139" t="n">
        <f aca="false">+DATOS_[[#This Row],[TOTAL SALARIO Ef]]+DATOS_[[#This Row],[Tot Extrasalarial Ef]]</f>
        <v>0</v>
      </c>
      <c r="CH570" s="140" t="n">
        <f aca="false">MIN(IF(DATOS_[[#This Row],[Fecha Fin Contrato]]="",$D$4,DATOS_[[#This Row],[Fecha Fin Contrato]]),$D$4)-MAX(DATOS_[[#This Row],[Fecha de Contratación]],$D$3)+1</f>
        <v>1</v>
      </c>
      <c r="CI570" s="141" t="str">
        <f aca="false">IF(COUNTIFS(DATOS_[id],DATOS_[[#This Row],[id]])&gt;1,DATOS_[[#This Row],[id]],"")</f>
        <v/>
      </c>
      <c r="CJ570" s="141" t="n">
        <f aca="false">(Inicio!$G$10-DATOS_[[#This Row],[Fecha Nacimiento]])/365.25</f>
        <v>0</v>
      </c>
      <c r="CK570" s="141" t="n">
        <f aca="false">(Inicio!$G$10-DATOS_[[#This Row],[Fecha de Antigüedad]])/365.25</f>
        <v>0</v>
      </c>
      <c r="CL570" s="141" t="e">
        <f aca="false">+VLOOKUP(DATOS_[[#This Row],[Clave de Contrato]],TblTiposContrato13[],3,0)</f>
        <v>#N/A</v>
      </c>
      <c r="CM570" s="141" t="e">
        <f aca="false">+VLOOKUP(DATOS_[[#This Row],[Clave de Contrato]],TblTiposContrato13[],4,0)</f>
        <v>#N/A</v>
      </c>
      <c r="CN570" s="141" t="str">
        <f aca="false">VLOOKUP(DATOS_[[#This Row],[Edad]],CONTRATOS!TblRngEdad,2,1)</f>
        <v>20  o menos</v>
      </c>
      <c r="CO570" s="141" t="str">
        <f aca="false">VLOOKUP(DATOS_[[#This Row],[Antigüedad]],TblRngAntg14[],2,1)</f>
        <v>0 a 1 años</v>
      </c>
    </row>
    <row r="571" customFormat="false" ht="13.8" hidden="false" customHeight="false" outlineLevel="0" collapsed="false">
      <c r="D571" s="128"/>
      <c r="E571" s="129"/>
      <c r="F571" s="129"/>
      <c r="G571" s="129"/>
      <c r="H571" s="130"/>
      <c r="I571" s="131"/>
      <c r="J571" s="128"/>
      <c r="K571" s="132"/>
      <c r="L571" s="132"/>
      <c r="M571" s="133"/>
      <c r="N571" s="133"/>
      <c r="O571" s="133"/>
      <c r="P571" s="129"/>
      <c r="Z571" s="75"/>
      <c r="AA571" s="76"/>
      <c r="AB571" s="76"/>
      <c r="AC571" s="129"/>
      <c r="AD571" s="134"/>
      <c r="AE571" s="134"/>
      <c r="AF571" s="134"/>
      <c r="AG571" s="134"/>
      <c r="AH571" s="134"/>
      <c r="AI571" s="134"/>
      <c r="AJ571" s="134"/>
      <c r="AK571" s="134"/>
      <c r="AL571" s="134"/>
      <c r="AM571" s="134"/>
      <c r="AN571" s="134"/>
      <c r="AO571" s="134"/>
      <c r="AP571" s="134"/>
      <c r="AQ571" s="134"/>
      <c r="AR571" s="134"/>
      <c r="AS571" s="134"/>
      <c r="AT571" s="134"/>
      <c r="AU571" s="134"/>
      <c r="AV571" s="134"/>
      <c r="AW571" s="134"/>
      <c r="AX571" s="134"/>
      <c r="AY571" s="134"/>
      <c r="AZ571" s="134"/>
      <c r="BA571" s="134"/>
      <c r="BB571" s="134"/>
      <c r="BC571" s="134"/>
      <c r="BD571" s="134"/>
      <c r="BE571" s="134"/>
      <c r="BF571" s="134"/>
      <c r="BG571" s="134"/>
      <c r="BH571" s="134"/>
      <c r="BI571" s="134"/>
      <c r="BJ571" s="134"/>
      <c r="BK571" s="134"/>
      <c r="BL571" s="134"/>
      <c r="BM571" s="135"/>
      <c r="BN571" s="136" t="n">
        <f aca="false">+MAX($D$3,DATOS_[[#This Row],[Fecha Inicio Sit. Contract.]])</f>
        <v>0</v>
      </c>
      <c r="BO571" s="136" t="n">
        <f aca="false">+MIN($D$4,DATOS_[[#This Row],[Fecha Fin Sit. Contract.]])</f>
        <v>0</v>
      </c>
      <c r="BP571" s="137" t="n">
        <f aca="false">+DATOS_[[#This Row],[% de jornada]]*IF(DATOS_[[#This Row],[% jornada reducida]]="",1,DATOS_[[#This Row],[% jornada reducida]])</f>
        <v>0</v>
      </c>
      <c r="BQ571" s="137" t="n">
        <f aca="false">+(DATOS_[[#This Row],[F.fin.cal]]-DATOS_[[#This Row],[F.ini.cal]]+1)/($D$4-$D$3+1)</f>
        <v>1</v>
      </c>
      <c r="BR571" s="137" t="str">
        <f aca="false">IF(OR(AND(DATOS_[[#This Row],[Fecha Fin Contrato]]&lt;$D$3,DATOS_[[#This Row],[Fecha Fin Contrato]]&lt;&gt;""),DATOS_[[#This Row],[Fecha de Contratación]]&gt;$D$4),"Fuera","Dentro")</f>
        <v>Dentro</v>
      </c>
      <c r="BS571" s="137" t="str">
        <f aca="false" t="array" ref="BS571:BS571">IF(MAX(IF(DATOS_[id]=DATOS_[[#This Row],[id]],DATOS_[F.fin.cal]))=DATOS_[[#This Row],[F.fin.cal]],"Sí","NO")</f>
        <v>Sí</v>
      </c>
      <c r="BT571" s="137" t="str">
        <f aca="false">IF(AND(DATOS_[[#This Row],[% normaliz]]&lt;&gt;1,DATOS_[[#This Row],[% anualiz]]=1),"Sí","NO")</f>
        <v>Sí</v>
      </c>
      <c r="BU571" s="137" t="str">
        <f aca="false">IF(AND(DATOS_[[#This Row],[% normaliz]]=1,DATOS_[[#This Row],[% anualiz]]&lt;&gt;1),"Sí","NO")</f>
        <v>NO</v>
      </c>
      <c r="BV571" s="137" t="str">
        <f aca="false">IF(AND(DATOS_[[#This Row],[% normaliz]]&lt;&gt;1,DATOS_[[#This Row],[% anualiz]]&lt;&gt;1),"Sí","NO")</f>
        <v>NO</v>
      </c>
      <c r="BW571" s="137" t="str">
        <f aca="false">+IF(DATOS_[[#This Row],[% normaliz]]*DATOS_[[#This Row],[% anualiz]]=1,"NO","Sí")</f>
        <v>Sí</v>
      </c>
      <c r="BX571" s="138" t="e">
        <f aca="false">(DATOS_[[#This Row],[S.BASE]]*(1/DATOS_[[#This Row],[% normaliz]])*(1/DATOS_[[#This Row],[% anualiz]]))*IF(DATOS_[[#This Row],[Check Equiparado]]="Sí",1,0)</f>
        <v>#DIV/0!</v>
      </c>
      <c r="BY5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1" s="138" t="e">
        <f aca="false">+DATOS_[[#This Row],[SALARIO BASE Eq]]+DATOS_[[#This Row],[Tot COMPL.SAL Eq]]</f>
        <v>#DIV/0!</v>
      </c>
      <c r="CA571" s="138" t="e">
        <f aca="false" t="array" ref="CA571:CA5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1" s="138" t="e">
        <f aca="false">+DATOS_[[#This Row],[TOTAL SALARIO Eq]]+DATOS_[[#This Row],[Tot Extrasalarial Eq]]</f>
        <v>#DIV/0!</v>
      </c>
      <c r="CC571" s="139" t="n">
        <f aca="false">DATOS_[[#This Row],[S.BASE]]</f>
        <v>0</v>
      </c>
      <c r="CD571" s="139" t="n">
        <f aca="false">+SUM(DATOS_[[#This Row],[Conc.Sal.01]:[Conc.Sal.30]])</f>
        <v>0</v>
      </c>
      <c r="CE571" s="139" t="n">
        <f aca="false">+DATOS_[[#This Row],[SALARIO BASE Ef]]+DATOS_[[#This Row],[Tot COMPL.SAL Ef]]</f>
        <v>0</v>
      </c>
      <c r="CF571" s="139" t="n">
        <f aca="false">+SUM(DATOS_[[#This Row],[C.Extra.01]:[C.Extra.05]])</f>
        <v>0</v>
      </c>
      <c r="CG571" s="139" t="n">
        <f aca="false">+DATOS_[[#This Row],[TOTAL SALARIO Ef]]+DATOS_[[#This Row],[Tot Extrasalarial Ef]]</f>
        <v>0</v>
      </c>
      <c r="CH571" s="140" t="n">
        <f aca="false">MIN(IF(DATOS_[[#This Row],[Fecha Fin Contrato]]="",$D$4,DATOS_[[#This Row],[Fecha Fin Contrato]]),$D$4)-MAX(DATOS_[[#This Row],[Fecha de Contratación]],$D$3)+1</f>
        <v>1</v>
      </c>
      <c r="CI571" s="141" t="str">
        <f aca="false">IF(COUNTIFS(DATOS_[id],DATOS_[[#This Row],[id]])&gt;1,DATOS_[[#This Row],[id]],"")</f>
        <v/>
      </c>
      <c r="CJ571" s="141" t="n">
        <f aca="false">(Inicio!$G$10-DATOS_[[#This Row],[Fecha Nacimiento]])/365.25</f>
        <v>0</v>
      </c>
      <c r="CK571" s="141" t="n">
        <f aca="false">(Inicio!$G$10-DATOS_[[#This Row],[Fecha de Antigüedad]])/365.25</f>
        <v>0</v>
      </c>
      <c r="CL571" s="141" t="e">
        <f aca="false">+VLOOKUP(DATOS_[[#This Row],[Clave de Contrato]],TblTiposContrato13[],3,0)</f>
        <v>#N/A</v>
      </c>
      <c r="CM571" s="141" t="e">
        <f aca="false">+VLOOKUP(DATOS_[[#This Row],[Clave de Contrato]],TblTiposContrato13[],4,0)</f>
        <v>#N/A</v>
      </c>
      <c r="CN571" s="141" t="str">
        <f aca="false">VLOOKUP(DATOS_[[#This Row],[Edad]],CONTRATOS!TblRngEdad,2,1)</f>
        <v>20  o menos</v>
      </c>
      <c r="CO571" s="141" t="str">
        <f aca="false">VLOOKUP(DATOS_[[#This Row],[Antigüedad]],TblRngAntg14[],2,1)</f>
        <v>0 a 1 años</v>
      </c>
    </row>
    <row r="572" customFormat="false" ht="13.8" hidden="false" customHeight="false" outlineLevel="0" collapsed="false">
      <c r="D572" s="128"/>
      <c r="E572" s="129"/>
      <c r="F572" s="129"/>
      <c r="G572" s="129"/>
      <c r="H572" s="130"/>
      <c r="I572" s="131"/>
      <c r="J572" s="128"/>
      <c r="K572" s="132"/>
      <c r="L572" s="132"/>
      <c r="M572" s="133"/>
      <c r="N572" s="133"/>
      <c r="O572" s="133"/>
      <c r="P572" s="129"/>
      <c r="Z572" s="75"/>
      <c r="AA572" s="76"/>
      <c r="AB572" s="76"/>
      <c r="AC572" s="129"/>
      <c r="AD572" s="134"/>
      <c r="AE572" s="134"/>
      <c r="AF572" s="134"/>
      <c r="AG572" s="134"/>
      <c r="AH572" s="134"/>
      <c r="AI572" s="134"/>
      <c r="AJ572" s="134"/>
      <c r="AK572" s="134"/>
      <c r="AL572" s="134"/>
      <c r="AM572" s="134"/>
      <c r="AN572" s="134"/>
      <c r="AO572" s="134"/>
      <c r="AP572" s="134"/>
      <c r="AQ572" s="134"/>
      <c r="AR572" s="134"/>
      <c r="AS572" s="134"/>
      <c r="AT572" s="134"/>
      <c r="AU572" s="134"/>
      <c r="AV572" s="134"/>
      <c r="AW572" s="134"/>
      <c r="AX572" s="134"/>
      <c r="AY572" s="134"/>
      <c r="AZ572" s="134"/>
      <c r="BA572" s="134"/>
      <c r="BB572" s="134"/>
      <c r="BC572" s="134"/>
      <c r="BD572" s="134"/>
      <c r="BE572" s="134"/>
      <c r="BF572" s="134"/>
      <c r="BG572" s="134"/>
      <c r="BH572" s="134"/>
      <c r="BI572" s="134"/>
      <c r="BJ572" s="134"/>
      <c r="BK572" s="134"/>
      <c r="BL572" s="134"/>
      <c r="BM572" s="135"/>
      <c r="BN572" s="136" t="n">
        <f aca="false">+MAX($D$3,DATOS_[[#This Row],[Fecha Inicio Sit. Contract.]])</f>
        <v>0</v>
      </c>
      <c r="BO572" s="136" t="n">
        <f aca="false">+MIN($D$4,DATOS_[[#This Row],[Fecha Fin Sit. Contract.]])</f>
        <v>0</v>
      </c>
      <c r="BP572" s="137" t="n">
        <f aca="false">+DATOS_[[#This Row],[% de jornada]]*IF(DATOS_[[#This Row],[% jornada reducida]]="",1,DATOS_[[#This Row],[% jornada reducida]])</f>
        <v>0</v>
      </c>
      <c r="BQ572" s="137" t="n">
        <f aca="false">+(DATOS_[[#This Row],[F.fin.cal]]-DATOS_[[#This Row],[F.ini.cal]]+1)/($D$4-$D$3+1)</f>
        <v>1</v>
      </c>
      <c r="BR572" s="137" t="str">
        <f aca="false">IF(OR(AND(DATOS_[[#This Row],[Fecha Fin Contrato]]&lt;$D$3,DATOS_[[#This Row],[Fecha Fin Contrato]]&lt;&gt;""),DATOS_[[#This Row],[Fecha de Contratación]]&gt;$D$4),"Fuera","Dentro")</f>
        <v>Dentro</v>
      </c>
      <c r="BS572" s="137" t="str">
        <f aca="false" t="array" ref="BS572:BS572">IF(MAX(IF(DATOS_[id]=DATOS_[[#This Row],[id]],DATOS_[F.fin.cal]))=DATOS_[[#This Row],[F.fin.cal]],"Sí","NO")</f>
        <v>Sí</v>
      </c>
      <c r="BT572" s="137" t="str">
        <f aca="false">IF(AND(DATOS_[[#This Row],[% normaliz]]&lt;&gt;1,DATOS_[[#This Row],[% anualiz]]=1),"Sí","NO")</f>
        <v>Sí</v>
      </c>
      <c r="BU572" s="137" t="str">
        <f aca="false">IF(AND(DATOS_[[#This Row],[% normaliz]]=1,DATOS_[[#This Row],[% anualiz]]&lt;&gt;1),"Sí","NO")</f>
        <v>NO</v>
      </c>
      <c r="BV572" s="137" t="str">
        <f aca="false">IF(AND(DATOS_[[#This Row],[% normaliz]]&lt;&gt;1,DATOS_[[#This Row],[% anualiz]]&lt;&gt;1),"Sí","NO")</f>
        <v>NO</v>
      </c>
      <c r="BW572" s="137" t="str">
        <f aca="false">+IF(DATOS_[[#This Row],[% normaliz]]*DATOS_[[#This Row],[% anualiz]]=1,"NO","Sí")</f>
        <v>Sí</v>
      </c>
      <c r="BX572" s="138" t="e">
        <f aca="false">(DATOS_[[#This Row],[S.BASE]]*(1/DATOS_[[#This Row],[% normaliz]])*(1/DATOS_[[#This Row],[% anualiz]]))*IF(DATOS_[[#This Row],[Check Equiparado]]="Sí",1,0)</f>
        <v>#DIV/0!</v>
      </c>
      <c r="BY5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2" s="138" t="e">
        <f aca="false">+DATOS_[[#This Row],[SALARIO BASE Eq]]+DATOS_[[#This Row],[Tot COMPL.SAL Eq]]</f>
        <v>#DIV/0!</v>
      </c>
      <c r="CA572" s="138" t="e">
        <f aca="false" t="array" ref="CA572:CA5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2" s="138" t="e">
        <f aca="false">+DATOS_[[#This Row],[TOTAL SALARIO Eq]]+DATOS_[[#This Row],[Tot Extrasalarial Eq]]</f>
        <v>#DIV/0!</v>
      </c>
      <c r="CC572" s="139" t="n">
        <f aca="false">DATOS_[[#This Row],[S.BASE]]</f>
        <v>0</v>
      </c>
      <c r="CD572" s="139" t="n">
        <f aca="false">+SUM(DATOS_[[#This Row],[Conc.Sal.01]:[Conc.Sal.30]])</f>
        <v>0</v>
      </c>
      <c r="CE572" s="139" t="n">
        <f aca="false">+DATOS_[[#This Row],[SALARIO BASE Ef]]+DATOS_[[#This Row],[Tot COMPL.SAL Ef]]</f>
        <v>0</v>
      </c>
      <c r="CF572" s="139" t="n">
        <f aca="false">+SUM(DATOS_[[#This Row],[C.Extra.01]:[C.Extra.05]])</f>
        <v>0</v>
      </c>
      <c r="CG572" s="139" t="n">
        <f aca="false">+DATOS_[[#This Row],[TOTAL SALARIO Ef]]+DATOS_[[#This Row],[Tot Extrasalarial Ef]]</f>
        <v>0</v>
      </c>
      <c r="CH572" s="140" t="n">
        <f aca="false">MIN(IF(DATOS_[[#This Row],[Fecha Fin Contrato]]="",$D$4,DATOS_[[#This Row],[Fecha Fin Contrato]]),$D$4)-MAX(DATOS_[[#This Row],[Fecha de Contratación]],$D$3)+1</f>
        <v>1</v>
      </c>
      <c r="CI572" s="141" t="str">
        <f aca="false">IF(COUNTIFS(DATOS_[id],DATOS_[[#This Row],[id]])&gt;1,DATOS_[[#This Row],[id]],"")</f>
        <v/>
      </c>
      <c r="CJ572" s="141" t="n">
        <f aca="false">(Inicio!$G$10-DATOS_[[#This Row],[Fecha Nacimiento]])/365.25</f>
        <v>0</v>
      </c>
      <c r="CK572" s="141" t="n">
        <f aca="false">(Inicio!$G$10-DATOS_[[#This Row],[Fecha de Antigüedad]])/365.25</f>
        <v>0</v>
      </c>
      <c r="CL572" s="141" t="e">
        <f aca="false">+VLOOKUP(DATOS_[[#This Row],[Clave de Contrato]],TblTiposContrato13[],3,0)</f>
        <v>#N/A</v>
      </c>
      <c r="CM572" s="141" t="e">
        <f aca="false">+VLOOKUP(DATOS_[[#This Row],[Clave de Contrato]],TblTiposContrato13[],4,0)</f>
        <v>#N/A</v>
      </c>
      <c r="CN572" s="141" t="str">
        <f aca="false">VLOOKUP(DATOS_[[#This Row],[Edad]],CONTRATOS!TblRngEdad,2,1)</f>
        <v>20  o menos</v>
      </c>
      <c r="CO572" s="141" t="str">
        <f aca="false">VLOOKUP(DATOS_[[#This Row],[Antigüedad]],TblRngAntg14[],2,1)</f>
        <v>0 a 1 años</v>
      </c>
    </row>
    <row r="573" customFormat="false" ht="13.8" hidden="false" customHeight="false" outlineLevel="0" collapsed="false">
      <c r="D573" s="128"/>
      <c r="E573" s="129"/>
      <c r="F573" s="129"/>
      <c r="G573" s="129"/>
      <c r="H573" s="130"/>
      <c r="I573" s="131"/>
      <c r="J573" s="128"/>
      <c r="K573" s="132"/>
      <c r="L573" s="132"/>
      <c r="M573" s="133"/>
      <c r="N573" s="133"/>
      <c r="O573" s="133"/>
      <c r="P573" s="129"/>
      <c r="Z573" s="75"/>
      <c r="AA573" s="76"/>
      <c r="AB573" s="76"/>
      <c r="AC573" s="129"/>
      <c r="AD573" s="134"/>
      <c r="AE573" s="134"/>
      <c r="AF573" s="134"/>
      <c r="AG573" s="134"/>
      <c r="AH573" s="134"/>
      <c r="AI573" s="134"/>
      <c r="AJ573" s="134"/>
      <c r="AK573" s="134"/>
      <c r="AL573" s="134"/>
      <c r="AM573" s="134"/>
      <c r="AN573" s="134"/>
      <c r="AO573" s="134"/>
      <c r="AP573" s="134"/>
      <c r="AQ573" s="134"/>
      <c r="AR573" s="134"/>
      <c r="AS573" s="134"/>
      <c r="AT573" s="134"/>
      <c r="AU573" s="134"/>
      <c r="AV573" s="134"/>
      <c r="AW573" s="134"/>
      <c r="AX573" s="134"/>
      <c r="AY573" s="134"/>
      <c r="AZ573" s="134"/>
      <c r="BA573" s="134"/>
      <c r="BB573" s="134"/>
      <c r="BC573" s="134"/>
      <c r="BD573" s="134"/>
      <c r="BE573" s="134"/>
      <c r="BF573" s="134"/>
      <c r="BG573" s="134"/>
      <c r="BH573" s="134"/>
      <c r="BI573" s="134"/>
      <c r="BJ573" s="134"/>
      <c r="BK573" s="134"/>
      <c r="BL573" s="134"/>
      <c r="BM573" s="135"/>
      <c r="BN573" s="136" t="n">
        <f aca="false">+MAX($D$3,DATOS_[[#This Row],[Fecha Inicio Sit. Contract.]])</f>
        <v>0</v>
      </c>
      <c r="BO573" s="136" t="n">
        <f aca="false">+MIN($D$4,DATOS_[[#This Row],[Fecha Fin Sit. Contract.]])</f>
        <v>0</v>
      </c>
      <c r="BP573" s="137" t="n">
        <f aca="false">+DATOS_[[#This Row],[% de jornada]]*IF(DATOS_[[#This Row],[% jornada reducida]]="",1,DATOS_[[#This Row],[% jornada reducida]])</f>
        <v>0</v>
      </c>
      <c r="BQ573" s="137" t="n">
        <f aca="false">+(DATOS_[[#This Row],[F.fin.cal]]-DATOS_[[#This Row],[F.ini.cal]]+1)/($D$4-$D$3+1)</f>
        <v>1</v>
      </c>
      <c r="BR573" s="137" t="str">
        <f aca="false">IF(OR(AND(DATOS_[[#This Row],[Fecha Fin Contrato]]&lt;$D$3,DATOS_[[#This Row],[Fecha Fin Contrato]]&lt;&gt;""),DATOS_[[#This Row],[Fecha de Contratación]]&gt;$D$4),"Fuera","Dentro")</f>
        <v>Dentro</v>
      </c>
      <c r="BS573" s="137" t="str">
        <f aca="false" t="array" ref="BS573:BS573">IF(MAX(IF(DATOS_[id]=DATOS_[[#This Row],[id]],DATOS_[F.fin.cal]))=DATOS_[[#This Row],[F.fin.cal]],"Sí","NO")</f>
        <v>Sí</v>
      </c>
      <c r="BT573" s="137" t="str">
        <f aca="false">IF(AND(DATOS_[[#This Row],[% normaliz]]&lt;&gt;1,DATOS_[[#This Row],[% anualiz]]=1),"Sí","NO")</f>
        <v>Sí</v>
      </c>
      <c r="BU573" s="137" t="str">
        <f aca="false">IF(AND(DATOS_[[#This Row],[% normaliz]]=1,DATOS_[[#This Row],[% anualiz]]&lt;&gt;1),"Sí","NO")</f>
        <v>NO</v>
      </c>
      <c r="BV573" s="137" t="str">
        <f aca="false">IF(AND(DATOS_[[#This Row],[% normaliz]]&lt;&gt;1,DATOS_[[#This Row],[% anualiz]]&lt;&gt;1),"Sí","NO")</f>
        <v>NO</v>
      </c>
      <c r="BW573" s="137" t="str">
        <f aca="false">+IF(DATOS_[[#This Row],[% normaliz]]*DATOS_[[#This Row],[% anualiz]]=1,"NO","Sí")</f>
        <v>Sí</v>
      </c>
      <c r="BX573" s="138" t="e">
        <f aca="false">(DATOS_[[#This Row],[S.BASE]]*(1/DATOS_[[#This Row],[% normaliz]])*(1/DATOS_[[#This Row],[% anualiz]]))*IF(DATOS_[[#This Row],[Check Equiparado]]="Sí",1,0)</f>
        <v>#DIV/0!</v>
      </c>
      <c r="BY5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3" s="138" t="e">
        <f aca="false">+DATOS_[[#This Row],[SALARIO BASE Eq]]+DATOS_[[#This Row],[Tot COMPL.SAL Eq]]</f>
        <v>#DIV/0!</v>
      </c>
      <c r="CA573" s="138" t="e">
        <f aca="false" t="array" ref="CA573:CA5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3" s="138" t="e">
        <f aca="false">+DATOS_[[#This Row],[TOTAL SALARIO Eq]]+DATOS_[[#This Row],[Tot Extrasalarial Eq]]</f>
        <v>#DIV/0!</v>
      </c>
      <c r="CC573" s="139" t="n">
        <f aca="false">DATOS_[[#This Row],[S.BASE]]</f>
        <v>0</v>
      </c>
      <c r="CD573" s="139" t="n">
        <f aca="false">+SUM(DATOS_[[#This Row],[Conc.Sal.01]:[Conc.Sal.30]])</f>
        <v>0</v>
      </c>
      <c r="CE573" s="139" t="n">
        <f aca="false">+DATOS_[[#This Row],[SALARIO BASE Ef]]+DATOS_[[#This Row],[Tot COMPL.SAL Ef]]</f>
        <v>0</v>
      </c>
      <c r="CF573" s="139" t="n">
        <f aca="false">+SUM(DATOS_[[#This Row],[C.Extra.01]:[C.Extra.05]])</f>
        <v>0</v>
      </c>
      <c r="CG573" s="139" t="n">
        <f aca="false">+DATOS_[[#This Row],[TOTAL SALARIO Ef]]+DATOS_[[#This Row],[Tot Extrasalarial Ef]]</f>
        <v>0</v>
      </c>
      <c r="CH573" s="140" t="n">
        <f aca="false">MIN(IF(DATOS_[[#This Row],[Fecha Fin Contrato]]="",$D$4,DATOS_[[#This Row],[Fecha Fin Contrato]]),$D$4)-MAX(DATOS_[[#This Row],[Fecha de Contratación]],$D$3)+1</f>
        <v>1</v>
      </c>
      <c r="CI573" s="141" t="str">
        <f aca="false">IF(COUNTIFS(DATOS_[id],DATOS_[[#This Row],[id]])&gt;1,DATOS_[[#This Row],[id]],"")</f>
        <v/>
      </c>
      <c r="CJ573" s="141" t="n">
        <f aca="false">(Inicio!$G$10-DATOS_[[#This Row],[Fecha Nacimiento]])/365.25</f>
        <v>0</v>
      </c>
      <c r="CK573" s="141" t="n">
        <f aca="false">(Inicio!$G$10-DATOS_[[#This Row],[Fecha de Antigüedad]])/365.25</f>
        <v>0</v>
      </c>
      <c r="CL573" s="141" t="e">
        <f aca="false">+VLOOKUP(DATOS_[[#This Row],[Clave de Contrato]],TblTiposContrato13[],3,0)</f>
        <v>#N/A</v>
      </c>
      <c r="CM573" s="141" t="e">
        <f aca="false">+VLOOKUP(DATOS_[[#This Row],[Clave de Contrato]],TblTiposContrato13[],4,0)</f>
        <v>#N/A</v>
      </c>
      <c r="CN573" s="141" t="str">
        <f aca="false">VLOOKUP(DATOS_[[#This Row],[Edad]],CONTRATOS!TblRngEdad,2,1)</f>
        <v>20  o menos</v>
      </c>
      <c r="CO573" s="141" t="str">
        <f aca="false">VLOOKUP(DATOS_[[#This Row],[Antigüedad]],TblRngAntg14[],2,1)</f>
        <v>0 a 1 años</v>
      </c>
    </row>
    <row r="574" customFormat="false" ht="13.8" hidden="false" customHeight="false" outlineLevel="0" collapsed="false">
      <c r="D574" s="128"/>
      <c r="E574" s="129"/>
      <c r="F574" s="129"/>
      <c r="G574" s="129"/>
      <c r="H574" s="130"/>
      <c r="I574" s="131"/>
      <c r="J574" s="128"/>
      <c r="K574" s="132"/>
      <c r="L574" s="132"/>
      <c r="M574" s="133"/>
      <c r="N574" s="133"/>
      <c r="O574" s="133"/>
      <c r="P574" s="129"/>
      <c r="Z574" s="75"/>
      <c r="AA574" s="76"/>
      <c r="AB574" s="76"/>
      <c r="AC574" s="129"/>
      <c r="AD574" s="134"/>
      <c r="AE574" s="134"/>
      <c r="AF574" s="134"/>
      <c r="AG574" s="134"/>
      <c r="AH574" s="134"/>
      <c r="AI574" s="134"/>
      <c r="AJ574" s="134"/>
      <c r="AK574" s="134"/>
      <c r="AL574" s="134"/>
      <c r="AM574" s="134"/>
      <c r="AN574" s="134"/>
      <c r="AO574" s="134"/>
      <c r="AP574" s="134"/>
      <c r="AQ574" s="134"/>
      <c r="AR574" s="134"/>
      <c r="AS574" s="134"/>
      <c r="AT574" s="134"/>
      <c r="AU574" s="134"/>
      <c r="AV574" s="134"/>
      <c r="AW574" s="134"/>
      <c r="AX574" s="134"/>
      <c r="AY574" s="134"/>
      <c r="AZ574" s="134"/>
      <c r="BA574" s="134"/>
      <c r="BB574" s="134"/>
      <c r="BC574" s="134"/>
      <c r="BD574" s="134"/>
      <c r="BE574" s="134"/>
      <c r="BF574" s="134"/>
      <c r="BG574" s="134"/>
      <c r="BH574" s="134"/>
      <c r="BI574" s="134"/>
      <c r="BJ574" s="134"/>
      <c r="BK574" s="134"/>
      <c r="BL574" s="134"/>
      <c r="BM574" s="135"/>
      <c r="BN574" s="136" t="n">
        <f aca="false">+MAX($D$3,DATOS_[[#This Row],[Fecha Inicio Sit. Contract.]])</f>
        <v>0</v>
      </c>
      <c r="BO574" s="136" t="n">
        <f aca="false">+MIN($D$4,DATOS_[[#This Row],[Fecha Fin Sit. Contract.]])</f>
        <v>0</v>
      </c>
      <c r="BP574" s="137" t="n">
        <f aca="false">+DATOS_[[#This Row],[% de jornada]]*IF(DATOS_[[#This Row],[% jornada reducida]]="",1,DATOS_[[#This Row],[% jornada reducida]])</f>
        <v>0</v>
      </c>
      <c r="BQ574" s="137" t="n">
        <f aca="false">+(DATOS_[[#This Row],[F.fin.cal]]-DATOS_[[#This Row],[F.ini.cal]]+1)/($D$4-$D$3+1)</f>
        <v>1</v>
      </c>
      <c r="BR574" s="137" t="str">
        <f aca="false">IF(OR(AND(DATOS_[[#This Row],[Fecha Fin Contrato]]&lt;$D$3,DATOS_[[#This Row],[Fecha Fin Contrato]]&lt;&gt;""),DATOS_[[#This Row],[Fecha de Contratación]]&gt;$D$4),"Fuera","Dentro")</f>
        <v>Dentro</v>
      </c>
      <c r="BS574" s="137" t="str">
        <f aca="false" t="array" ref="BS574:BS574">IF(MAX(IF(DATOS_[id]=DATOS_[[#This Row],[id]],DATOS_[F.fin.cal]))=DATOS_[[#This Row],[F.fin.cal]],"Sí","NO")</f>
        <v>Sí</v>
      </c>
      <c r="BT574" s="137" t="str">
        <f aca="false">IF(AND(DATOS_[[#This Row],[% normaliz]]&lt;&gt;1,DATOS_[[#This Row],[% anualiz]]=1),"Sí","NO")</f>
        <v>Sí</v>
      </c>
      <c r="BU574" s="137" t="str">
        <f aca="false">IF(AND(DATOS_[[#This Row],[% normaliz]]=1,DATOS_[[#This Row],[% anualiz]]&lt;&gt;1),"Sí","NO")</f>
        <v>NO</v>
      </c>
      <c r="BV574" s="137" t="str">
        <f aca="false">IF(AND(DATOS_[[#This Row],[% normaliz]]&lt;&gt;1,DATOS_[[#This Row],[% anualiz]]&lt;&gt;1),"Sí","NO")</f>
        <v>NO</v>
      </c>
      <c r="BW574" s="137" t="str">
        <f aca="false">+IF(DATOS_[[#This Row],[% normaliz]]*DATOS_[[#This Row],[% anualiz]]=1,"NO","Sí")</f>
        <v>Sí</v>
      </c>
      <c r="BX574" s="138" t="e">
        <f aca="false">(DATOS_[[#This Row],[S.BASE]]*(1/DATOS_[[#This Row],[% normaliz]])*(1/DATOS_[[#This Row],[% anualiz]]))*IF(DATOS_[[#This Row],[Check Equiparado]]="Sí",1,0)</f>
        <v>#DIV/0!</v>
      </c>
      <c r="BY5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4" s="138" t="e">
        <f aca="false">+DATOS_[[#This Row],[SALARIO BASE Eq]]+DATOS_[[#This Row],[Tot COMPL.SAL Eq]]</f>
        <v>#DIV/0!</v>
      </c>
      <c r="CA574" s="138" t="e">
        <f aca="false" t="array" ref="CA574:CA5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4" s="138" t="e">
        <f aca="false">+DATOS_[[#This Row],[TOTAL SALARIO Eq]]+DATOS_[[#This Row],[Tot Extrasalarial Eq]]</f>
        <v>#DIV/0!</v>
      </c>
      <c r="CC574" s="139" t="n">
        <f aca="false">DATOS_[[#This Row],[S.BASE]]</f>
        <v>0</v>
      </c>
      <c r="CD574" s="139" t="n">
        <f aca="false">+SUM(DATOS_[[#This Row],[Conc.Sal.01]:[Conc.Sal.30]])</f>
        <v>0</v>
      </c>
      <c r="CE574" s="139" t="n">
        <f aca="false">+DATOS_[[#This Row],[SALARIO BASE Ef]]+DATOS_[[#This Row],[Tot COMPL.SAL Ef]]</f>
        <v>0</v>
      </c>
      <c r="CF574" s="139" t="n">
        <f aca="false">+SUM(DATOS_[[#This Row],[C.Extra.01]:[C.Extra.05]])</f>
        <v>0</v>
      </c>
      <c r="CG574" s="139" t="n">
        <f aca="false">+DATOS_[[#This Row],[TOTAL SALARIO Ef]]+DATOS_[[#This Row],[Tot Extrasalarial Ef]]</f>
        <v>0</v>
      </c>
      <c r="CH574" s="140" t="n">
        <f aca="false">MIN(IF(DATOS_[[#This Row],[Fecha Fin Contrato]]="",$D$4,DATOS_[[#This Row],[Fecha Fin Contrato]]),$D$4)-MAX(DATOS_[[#This Row],[Fecha de Contratación]],$D$3)+1</f>
        <v>1</v>
      </c>
      <c r="CI574" s="141" t="str">
        <f aca="false">IF(COUNTIFS(DATOS_[id],DATOS_[[#This Row],[id]])&gt;1,DATOS_[[#This Row],[id]],"")</f>
        <v/>
      </c>
      <c r="CJ574" s="141" t="n">
        <f aca="false">(Inicio!$G$10-DATOS_[[#This Row],[Fecha Nacimiento]])/365.25</f>
        <v>0</v>
      </c>
      <c r="CK574" s="141" t="n">
        <f aca="false">(Inicio!$G$10-DATOS_[[#This Row],[Fecha de Antigüedad]])/365.25</f>
        <v>0</v>
      </c>
      <c r="CL574" s="141" t="e">
        <f aca="false">+VLOOKUP(DATOS_[[#This Row],[Clave de Contrato]],TblTiposContrato13[],3,0)</f>
        <v>#N/A</v>
      </c>
      <c r="CM574" s="141" t="e">
        <f aca="false">+VLOOKUP(DATOS_[[#This Row],[Clave de Contrato]],TblTiposContrato13[],4,0)</f>
        <v>#N/A</v>
      </c>
      <c r="CN574" s="141" t="str">
        <f aca="false">VLOOKUP(DATOS_[[#This Row],[Edad]],CONTRATOS!TblRngEdad,2,1)</f>
        <v>20  o menos</v>
      </c>
      <c r="CO574" s="141" t="str">
        <f aca="false">VLOOKUP(DATOS_[[#This Row],[Antigüedad]],TblRngAntg14[],2,1)</f>
        <v>0 a 1 años</v>
      </c>
    </row>
    <row r="575" customFormat="false" ht="13.8" hidden="false" customHeight="false" outlineLevel="0" collapsed="false">
      <c r="D575" s="128"/>
      <c r="E575" s="129"/>
      <c r="F575" s="129"/>
      <c r="G575" s="129"/>
      <c r="H575" s="130"/>
      <c r="I575" s="131"/>
      <c r="J575" s="128"/>
      <c r="K575" s="132"/>
      <c r="L575" s="132"/>
      <c r="M575" s="133"/>
      <c r="N575" s="133"/>
      <c r="O575" s="133"/>
      <c r="P575" s="129"/>
      <c r="Z575" s="75"/>
      <c r="AA575" s="76"/>
      <c r="AB575" s="76"/>
      <c r="AC575" s="129"/>
      <c r="AD575" s="134"/>
      <c r="AE575" s="134"/>
      <c r="AF575" s="134"/>
      <c r="AG575" s="134"/>
      <c r="AH575" s="134"/>
      <c r="AI575" s="134"/>
      <c r="AJ575" s="134"/>
      <c r="AK575" s="134"/>
      <c r="AL575" s="134"/>
      <c r="AM575" s="134"/>
      <c r="AN575" s="134"/>
      <c r="AO575" s="134"/>
      <c r="AP575" s="134"/>
      <c r="AQ575" s="134"/>
      <c r="AR575" s="134"/>
      <c r="AS575" s="134"/>
      <c r="AT575" s="134"/>
      <c r="AU575" s="134"/>
      <c r="AV575" s="134"/>
      <c r="AW575" s="134"/>
      <c r="AX575" s="134"/>
      <c r="AY575" s="134"/>
      <c r="AZ575" s="134"/>
      <c r="BA575" s="134"/>
      <c r="BB575" s="134"/>
      <c r="BC575" s="134"/>
      <c r="BD575" s="134"/>
      <c r="BE575" s="134"/>
      <c r="BF575" s="134"/>
      <c r="BG575" s="134"/>
      <c r="BH575" s="134"/>
      <c r="BI575" s="134"/>
      <c r="BJ575" s="134"/>
      <c r="BK575" s="134"/>
      <c r="BL575" s="134"/>
      <c r="BM575" s="135"/>
      <c r="BN575" s="136" t="n">
        <f aca="false">+MAX($D$3,DATOS_[[#This Row],[Fecha Inicio Sit. Contract.]])</f>
        <v>0</v>
      </c>
      <c r="BO575" s="136" t="n">
        <f aca="false">+MIN($D$4,DATOS_[[#This Row],[Fecha Fin Sit. Contract.]])</f>
        <v>0</v>
      </c>
      <c r="BP575" s="137" t="n">
        <f aca="false">+DATOS_[[#This Row],[% de jornada]]*IF(DATOS_[[#This Row],[% jornada reducida]]="",1,DATOS_[[#This Row],[% jornada reducida]])</f>
        <v>0</v>
      </c>
      <c r="BQ575" s="137" t="n">
        <f aca="false">+(DATOS_[[#This Row],[F.fin.cal]]-DATOS_[[#This Row],[F.ini.cal]]+1)/($D$4-$D$3+1)</f>
        <v>1</v>
      </c>
      <c r="BR575" s="137" t="str">
        <f aca="false">IF(OR(AND(DATOS_[[#This Row],[Fecha Fin Contrato]]&lt;$D$3,DATOS_[[#This Row],[Fecha Fin Contrato]]&lt;&gt;""),DATOS_[[#This Row],[Fecha de Contratación]]&gt;$D$4),"Fuera","Dentro")</f>
        <v>Dentro</v>
      </c>
      <c r="BS575" s="137" t="str">
        <f aca="false" t="array" ref="BS575:BS575">IF(MAX(IF(DATOS_[id]=DATOS_[[#This Row],[id]],DATOS_[F.fin.cal]))=DATOS_[[#This Row],[F.fin.cal]],"Sí","NO")</f>
        <v>Sí</v>
      </c>
      <c r="BT575" s="137" t="str">
        <f aca="false">IF(AND(DATOS_[[#This Row],[% normaliz]]&lt;&gt;1,DATOS_[[#This Row],[% anualiz]]=1),"Sí","NO")</f>
        <v>Sí</v>
      </c>
      <c r="BU575" s="137" t="str">
        <f aca="false">IF(AND(DATOS_[[#This Row],[% normaliz]]=1,DATOS_[[#This Row],[% anualiz]]&lt;&gt;1),"Sí","NO")</f>
        <v>NO</v>
      </c>
      <c r="BV575" s="137" t="str">
        <f aca="false">IF(AND(DATOS_[[#This Row],[% normaliz]]&lt;&gt;1,DATOS_[[#This Row],[% anualiz]]&lt;&gt;1),"Sí","NO")</f>
        <v>NO</v>
      </c>
      <c r="BW575" s="137" t="str">
        <f aca="false">+IF(DATOS_[[#This Row],[% normaliz]]*DATOS_[[#This Row],[% anualiz]]=1,"NO","Sí")</f>
        <v>Sí</v>
      </c>
      <c r="BX575" s="138" t="e">
        <f aca="false">(DATOS_[[#This Row],[S.BASE]]*(1/DATOS_[[#This Row],[% normaliz]])*(1/DATOS_[[#This Row],[% anualiz]]))*IF(DATOS_[[#This Row],[Check Equiparado]]="Sí",1,0)</f>
        <v>#DIV/0!</v>
      </c>
      <c r="BY5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5" s="138" t="e">
        <f aca="false">+DATOS_[[#This Row],[SALARIO BASE Eq]]+DATOS_[[#This Row],[Tot COMPL.SAL Eq]]</f>
        <v>#DIV/0!</v>
      </c>
      <c r="CA575" s="138" t="e">
        <f aca="false" t="array" ref="CA575:CA5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5" s="138" t="e">
        <f aca="false">+DATOS_[[#This Row],[TOTAL SALARIO Eq]]+DATOS_[[#This Row],[Tot Extrasalarial Eq]]</f>
        <v>#DIV/0!</v>
      </c>
      <c r="CC575" s="139" t="n">
        <f aca="false">DATOS_[[#This Row],[S.BASE]]</f>
        <v>0</v>
      </c>
      <c r="CD575" s="139" t="n">
        <f aca="false">+SUM(DATOS_[[#This Row],[Conc.Sal.01]:[Conc.Sal.30]])</f>
        <v>0</v>
      </c>
      <c r="CE575" s="139" t="n">
        <f aca="false">+DATOS_[[#This Row],[SALARIO BASE Ef]]+DATOS_[[#This Row],[Tot COMPL.SAL Ef]]</f>
        <v>0</v>
      </c>
      <c r="CF575" s="139" t="n">
        <f aca="false">+SUM(DATOS_[[#This Row],[C.Extra.01]:[C.Extra.05]])</f>
        <v>0</v>
      </c>
      <c r="CG575" s="139" t="n">
        <f aca="false">+DATOS_[[#This Row],[TOTAL SALARIO Ef]]+DATOS_[[#This Row],[Tot Extrasalarial Ef]]</f>
        <v>0</v>
      </c>
      <c r="CH575" s="140" t="n">
        <f aca="false">MIN(IF(DATOS_[[#This Row],[Fecha Fin Contrato]]="",$D$4,DATOS_[[#This Row],[Fecha Fin Contrato]]),$D$4)-MAX(DATOS_[[#This Row],[Fecha de Contratación]],$D$3)+1</f>
        <v>1</v>
      </c>
      <c r="CI575" s="141" t="str">
        <f aca="false">IF(COUNTIFS(DATOS_[id],DATOS_[[#This Row],[id]])&gt;1,DATOS_[[#This Row],[id]],"")</f>
        <v/>
      </c>
      <c r="CJ575" s="141" t="n">
        <f aca="false">(Inicio!$G$10-DATOS_[[#This Row],[Fecha Nacimiento]])/365.25</f>
        <v>0</v>
      </c>
      <c r="CK575" s="141" t="n">
        <f aca="false">(Inicio!$G$10-DATOS_[[#This Row],[Fecha de Antigüedad]])/365.25</f>
        <v>0</v>
      </c>
      <c r="CL575" s="141" t="e">
        <f aca="false">+VLOOKUP(DATOS_[[#This Row],[Clave de Contrato]],TblTiposContrato13[],3,0)</f>
        <v>#N/A</v>
      </c>
      <c r="CM575" s="141" t="e">
        <f aca="false">+VLOOKUP(DATOS_[[#This Row],[Clave de Contrato]],TblTiposContrato13[],4,0)</f>
        <v>#N/A</v>
      </c>
      <c r="CN575" s="141" t="str">
        <f aca="false">VLOOKUP(DATOS_[[#This Row],[Edad]],CONTRATOS!TblRngEdad,2,1)</f>
        <v>20  o menos</v>
      </c>
      <c r="CO575" s="141" t="str">
        <f aca="false">VLOOKUP(DATOS_[[#This Row],[Antigüedad]],TblRngAntg14[],2,1)</f>
        <v>0 a 1 años</v>
      </c>
    </row>
    <row r="576" customFormat="false" ht="13.8" hidden="false" customHeight="false" outlineLevel="0" collapsed="false">
      <c r="D576" s="128"/>
      <c r="E576" s="129"/>
      <c r="F576" s="129"/>
      <c r="G576" s="129"/>
      <c r="H576" s="130"/>
      <c r="I576" s="131"/>
      <c r="J576" s="128"/>
      <c r="K576" s="132"/>
      <c r="L576" s="132"/>
      <c r="M576" s="133"/>
      <c r="N576" s="133"/>
      <c r="O576" s="133"/>
      <c r="P576" s="129"/>
      <c r="Z576" s="75"/>
      <c r="AA576" s="76"/>
      <c r="AB576" s="76"/>
      <c r="AC576" s="129"/>
      <c r="AD576" s="134"/>
      <c r="AE576" s="134"/>
      <c r="AF576" s="134"/>
      <c r="AG576" s="134"/>
      <c r="AH576" s="134"/>
      <c r="AI576" s="134"/>
      <c r="AJ576" s="134"/>
      <c r="AK576" s="134"/>
      <c r="AL576" s="134"/>
      <c r="AM576" s="134"/>
      <c r="AN576" s="134"/>
      <c r="AO576" s="134"/>
      <c r="AP576" s="134"/>
      <c r="AQ576" s="134"/>
      <c r="AR576" s="134"/>
      <c r="AS576" s="134"/>
      <c r="AT576" s="134"/>
      <c r="AU576" s="134"/>
      <c r="AV576" s="134"/>
      <c r="AW576" s="134"/>
      <c r="AX576" s="134"/>
      <c r="AY576" s="134"/>
      <c r="AZ576" s="134"/>
      <c r="BA576" s="134"/>
      <c r="BB576" s="134"/>
      <c r="BC576" s="134"/>
      <c r="BD576" s="134"/>
      <c r="BE576" s="134"/>
      <c r="BF576" s="134"/>
      <c r="BG576" s="134"/>
      <c r="BH576" s="134"/>
      <c r="BI576" s="134"/>
      <c r="BJ576" s="134"/>
      <c r="BK576" s="134"/>
      <c r="BL576" s="134"/>
      <c r="BM576" s="135"/>
      <c r="BN576" s="136" t="n">
        <f aca="false">+MAX($D$3,DATOS_[[#This Row],[Fecha Inicio Sit. Contract.]])</f>
        <v>0</v>
      </c>
      <c r="BO576" s="136" t="n">
        <f aca="false">+MIN($D$4,DATOS_[[#This Row],[Fecha Fin Sit. Contract.]])</f>
        <v>0</v>
      </c>
      <c r="BP576" s="137" t="n">
        <f aca="false">+DATOS_[[#This Row],[% de jornada]]*IF(DATOS_[[#This Row],[% jornada reducida]]="",1,DATOS_[[#This Row],[% jornada reducida]])</f>
        <v>0</v>
      </c>
      <c r="BQ576" s="137" t="n">
        <f aca="false">+(DATOS_[[#This Row],[F.fin.cal]]-DATOS_[[#This Row],[F.ini.cal]]+1)/($D$4-$D$3+1)</f>
        <v>1</v>
      </c>
      <c r="BR576" s="137" t="str">
        <f aca="false">IF(OR(AND(DATOS_[[#This Row],[Fecha Fin Contrato]]&lt;$D$3,DATOS_[[#This Row],[Fecha Fin Contrato]]&lt;&gt;""),DATOS_[[#This Row],[Fecha de Contratación]]&gt;$D$4),"Fuera","Dentro")</f>
        <v>Dentro</v>
      </c>
      <c r="BS576" s="137" t="str">
        <f aca="false" t="array" ref="BS576:BS576">IF(MAX(IF(DATOS_[id]=DATOS_[[#This Row],[id]],DATOS_[F.fin.cal]))=DATOS_[[#This Row],[F.fin.cal]],"Sí","NO")</f>
        <v>Sí</v>
      </c>
      <c r="BT576" s="137" t="str">
        <f aca="false">IF(AND(DATOS_[[#This Row],[% normaliz]]&lt;&gt;1,DATOS_[[#This Row],[% anualiz]]=1),"Sí","NO")</f>
        <v>Sí</v>
      </c>
      <c r="BU576" s="137" t="str">
        <f aca="false">IF(AND(DATOS_[[#This Row],[% normaliz]]=1,DATOS_[[#This Row],[% anualiz]]&lt;&gt;1),"Sí","NO")</f>
        <v>NO</v>
      </c>
      <c r="BV576" s="137" t="str">
        <f aca="false">IF(AND(DATOS_[[#This Row],[% normaliz]]&lt;&gt;1,DATOS_[[#This Row],[% anualiz]]&lt;&gt;1),"Sí","NO")</f>
        <v>NO</v>
      </c>
      <c r="BW576" s="137" t="str">
        <f aca="false">+IF(DATOS_[[#This Row],[% normaliz]]*DATOS_[[#This Row],[% anualiz]]=1,"NO","Sí")</f>
        <v>Sí</v>
      </c>
      <c r="BX576" s="138" t="e">
        <f aca="false">(DATOS_[[#This Row],[S.BASE]]*(1/DATOS_[[#This Row],[% normaliz]])*(1/DATOS_[[#This Row],[% anualiz]]))*IF(DATOS_[[#This Row],[Check Equiparado]]="Sí",1,0)</f>
        <v>#DIV/0!</v>
      </c>
      <c r="BY5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6" s="138" t="e">
        <f aca="false">+DATOS_[[#This Row],[SALARIO BASE Eq]]+DATOS_[[#This Row],[Tot COMPL.SAL Eq]]</f>
        <v>#DIV/0!</v>
      </c>
      <c r="CA576" s="138" t="e">
        <f aca="false" t="array" ref="CA576:CA5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6" s="138" t="e">
        <f aca="false">+DATOS_[[#This Row],[TOTAL SALARIO Eq]]+DATOS_[[#This Row],[Tot Extrasalarial Eq]]</f>
        <v>#DIV/0!</v>
      </c>
      <c r="CC576" s="139" t="n">
        <f aca="false">DATOS_[[#This Row],[S.BASE]]</f>
        <v>0</v>
      </c>
      <c r="CD576" s="139" t="n">
        <f aca="false">+SUM(DATOS_[[#This Row],[Conc.Sal.01]:[Conc.Sal.30]])</f>
        <v>0</v>
      </c>
      <c r="CE576" s="139" t="n">
        <f aca="false">+DATOS_[[#This Row],[SALARIO BASE Ef]]+DATOS_[[#This Row],[Tot COMPL.SAL Ef]]</f>
        <v>0</v>
      </c>
      <c r="CF576" s="139" t="n">
        <f aca="false">+SUM(DATOS_[[#This Row],[C.Extra.01]:[C.Extra.05]])</f>
        <v>0</v>
      </c>
      <c r="CG576" s="139" t="n">
        <f aca="false">+DATOS_[[#This Row],[TOTAL SALARIO Ef]]+DATOS_[[#This Row],[Tot Extrasalarial Ef]]</f>
        <v>0</v>
      </c>
      <c r="CH576" s="140" t="n">
        <f aca="false">MIN(IF(DATOS_[[#This Row],[Fecha Fin Contrato]]="",$D$4,DATOS_[[#This Row],[Fecha Fin Contrato]]),$D$4)-MAX(DATOS_[[#This Row],[Fecha de Contratación]],$D$3)+1</f>
        <v>1</v>
      </c>
      <c r="CI576" s="141" t="str">
        <f aca="false">IF(COUNTIFS(DATOS_[id],DATOS_[[#This Row],[id]])&gt;1,DATOS_[[#This Row],[id]],"")</f>
        <v/>
      </c>
      <c r="CJ576" s="141" t="n">
        <f aca="false">(Inicio!$G$10-DATOS_[[#This Row],[Fecha Nacimiento]])/365.25</f>
        <v>0</v>
      </c>
      <c r="CK576" s="141" t="n">
        <f aca="false">(Inicio!$G$10-DATOS_[[#This Row],[Fecha de Antigüedad]])/365.25</f>
        <v>0</v>
      </c>
      <c r="CL576" s="141" t="e">
        <f aca="false">+VLOOKUP(DATOS_[[#This Row],[Clave de Contrato]],TblTiposContrato13[],3,0)</f>
        <v>#N/A</v>
      </c>
      <c r="CM576" s="141" t="e">
        <f aca="false">+VLOOKUP(DATOS_[[#This Row],[Clave de Contrato]],TblTiposContrato13[],4,0)</f>
        <v>#N/A</v>
      </c>
      <c r="CN576" s="141" t="str">
        <f aca="false">VLOOKUP(DATOS_[[#This Row],[Edad]],CONTRATOS!TblRngEdad,2,1)</f>
        <v>20  o menos</v>
      </c>
      <c r="CO576" s="141" t="str">
        <f aca="false">VLOOKUP(DATOS_[[#This Row],[Antigüedad]],TblRngAntg14[],2,1)</f>
        <v>0 a 1 años</v>
      </c>
    </row>
    <row r="577" customFormat="false" ht="13.8" hidden="false" customHeight="false" outlineLevel="0" collapsed="false">
      <c r="D577" s="128"/>
      <c r="E577" s="129"/>
      <c r="F577" s="129"/>
      <c r="G577" s="129"/>
      <c r="H577" s="130"/>
      <c r="I577" s="131"/>
      <c r="J577" s="128"/>
      <c r="K577" s="132"/>
      <c r="L577" s="132"/>
      <c r="M577" s="133"/>
      <c r="N577" s="133"/>
      <c r="O577" s="133"/>
      <c r="P577" s="129"/>
      <c r="Z577" s="75"/>
      <c r="AA577" s="76"/>
      <c r="AB577" s="76"/>
      <c r="AC577" s="129"/>
      <c r="AD577" s="134"/>
      <c r="AE577" s="134"/>
      <c r="AF577" s="134"/>
      <c r="AG577" s="134"/>
      <c r="AH577" s="134"/>
      <c r="AI577" s="134"/>
      <c r="AJ577" s="134"/>
      <c r="AK577" s="134"/>
      <c r="AL577" s="134"/>
      <c r="AM577" s="134"/>
      <c r="AN577" s="134"/>
      <c r="AO577" s="134"/>
      <c r="AP577" s="134"/>
      <c r="AQ577" s="134"/>
      <c r="AR577" s="134"/>
      <c r="AS577" s="134"/>
      <c r="AT577" s="134"/>
      <c r="AU577" s="134"/>
      <c r="AV577" s="134"/>
      <c r="AW577" s="134"/>
      <c r="AX577" s="134"/>
      <c r="AY577" s="134"/>
      <c r="AZ577" s="134"/>
      <c r="BA577" s="134"/>
      <c r="BB577" s="134"/>
      <c r="BC577" s="134"/>
      <c r="BD577" s="134"/>
      <c r="BE577" s="134"/>
      <c r="BF577" s="134"/>
      <c r="BG577" s="134"/>
      <c r="BH577" s="134"/>
      <c r="BI577" s="134"/>
      <c r="BJ577" s="134"/>
      <c r="BK577" s="134"/>
      <c r="BL577" s="134"/>
      <c r="BM577" s="135"/>
      <c r="BN577" s="136" t="n">
        <f aca="false">+MAX($D$3,DATOS_[[#This Row],[Fecha Inicio Sit. Contract.]])</f>
        <v>0</v>
      </c>
      <c r="BO577" s="136" t="n">
        <f aca="false">+MIN($D$4,DATOS_[[#This Row],[Fecha Fin Sit. Contract.]])</f>
        <v>0</v>
      </c>
      <c r="BP577" s="137" t="n">
        <f aca="false">+DATOS_[[#This Row],[% de jornada]]*IF(DATOS_[[#This Row],[% jornada reducida]]="",1,DATOS_[[#This Row],[% jornada reducida]])</f>
        <v>0</v>
      </c>
      <c r="BQ577" s="137" t="n">
        <f aca="false">+(DATOS_[[#This Row],[F.fin.cal]]-DATOS_[[#This Row],[F.ini.cal]]+1)/($D$4-$D$3+1)</f>
        <v>1</v>
      </c>
      <c r="BR577" s="137" t="str">
        <f aca="false">IF(OR(AND(DATOS_[[#This Row],[Fecha Fin Contrato]]&lt;$D$3,DATOS_[[#This Row],[Fecha Fin Contrato]]&lt;&gt;""),DATOS_[[#This Row],[Fecha de Contratación]]&gt;$D$4),"Fuera","Dentro")</f>
        <v>Dentro</v>
      </c>
      <c r="BS577" s="137" t="str">
        <f aca="false" t="array" ref="BS577:BS577">IF(MAX(IF(DATOS_[id]=DATOS_[[#This Row],[id]],DATOS_[F.fin.cal]))=DATOS_[[#This Row],[F.fin.cal]],"Sí","NO")</f>
        <v>Sí</v>
      </c>
      <c r="BT577" s="137" t="str">
        <f aca="false">IF(AND(DATOS_[[#This Row],[% normaliz]]&lt;&gt;1,DATOS_[[#This Row],[% anualiz]]=1),"Sí","NO")</f>
        <v>Sí</v>
      </c>
      <c r="BU577" s="137" t="str">
        <f aca="false">IF(AND(DATOS_[[#This Row],[% normaliz]]=1,DATOS_[[#This Row],[% anualiz]]&lt;&gt;1),"Sí","NO")</f>
        <v>NO</v>
      </c>
      <c r="BV577" s="137" t="str">
        <f aca="false">IF(AND(DATOS_[[#This Row],[% normaliz]]&lt;&gt;1,DATOS_[[#This Row],[% anualiz]]&lt;&gt;1),"Sí","NO")</f>
        <v>NO</v>
      </c>
      <c r="BW577" s="137" t="str">
        <f aca="false">+IF(DATOS_[[#This Row],[% normaliz]]*DATOS_[[#This Row],[% anualiz]]=1,"NO","Sí")</f>
        <v>Sí</v>
      </c>
      <c r="BX577" s="138" t="e">
        <f aca="false">(DATOS_[[#This Row],[S.BASE]]*(1/DATOS_[[#This Row],[% normaliz]])*(1/DATOS_[[#This Row],[% anualiz]]))*IF(DATOS_[[#This Row],[Check Equiparado]]="Sí",1,0)</f>
        <v>#DIV/0!</v>
      </c>
      <c r="BY5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7" s="138" t="e">
        <f aca="false">+DATOS_[[#This Row],[SALARIO BASE Eq]]+DATOS_[[#This Row],[Tot COMPL.SAL Eq]]</f>
        <v>#DIV/0!</v>
      </c>
      <c r="CA577" s="138" t="e">
        <f aca="false" t="array" ref="CA577:CA5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7" s="138" t="e">
        <f aca="false">+DATOS_[[#This Row],[TOTAL SALARIO Eq]]+DATOS_[[#This Row],[Tot Extrasalarial Eq]]</f>
        <v>#DIV/0!</v>
      </c>
      <c r="CC577" s="139" t="n">
        <f aca="false">DATOS_[[#This Row],[S.BASE]]</f>
        <v>0</v>
      </c>
      <c r="CD577" s="139" t="n">
        <f aca="false">+SUM(DATOS_[[#This Row],[Conc.Sal.01]:[Conc.Sal.30]])</f>
        <v>0</v>
      </c>
      <c r="CE577" s="139" t="n">
        <f aca="false">+DATOS_[[#This Row],[SALARIO BASE Ef]]+DATOS_[[#This Row],[Tot COMPL.SAL Ef]]</f>
        <v>0</v>
      </c>
      <c r="CF577" s="139" t="n">
        <f aca="false">+SUM(DATOS_[[#This Row],[C.Extra.01]:[C.Extra.05]])</f>
        <v>0</v>
      </c>
      <c r="CG577" s="139" t="n">
        <f aca="false">+DATOS_[[#This Row],[TOTAL SALARIO Ef]]+DATOS_[[#This Row],[Tot Extrasalarial Ef]]</f>
        <v>0</v>
      </c>
      <c r="CH577" s="140" t="n">
        <f aca="false">MIN(IF(DATOS_[[#This Row],[Fecha Fin Contrato]]="",$D$4,DATOS_[[#This Row],[Fecha Fin Contrato]]),$D$4)-MAX(DATOS_[[#This Row],[Fecha de Contratación]],$D$3)+1</f>
        <v>1</v>
      </c>
      <c r="CI577" s="141" t="str">
        <f aca="false">IF(COUNTIFS(DATOS_[id],DATOS_[[#This Row],[id]])&gt;1,DATOS_[[#This Row],[id]],"")</f>
        <v/>
      </c>
      <c r="CJ577" s="141" t="n">
        <f aca="false">(Inicio!$G$10-DATOS_[[#This Row],[Fecha Nacimiento]])/365.25</f>
        <v>0</v>
      </c>
      <c r="CK577" s="141" t="n">
        <f aca="false">(Inicio!$G$10-DATOS_[[#This Row],[Fecha de Antigüedad]])/365.25</f>
        <v>0</v>
      </c>
      <c r="CL577" s="141" t="e">
        <f aca="false">+VLOOKUP(DATOS_[[#This Row],[Clave de Contrato]],TblTiposContrato13[],3,0)</f>
        <v>#N/A</v>
      </c>
      <c r="CM577" s="141" t="e">
        <f aca="false">+VLOOKUP(DATOS_[[#This Row],[Clave de Contrato]],TblTiposContrato13[],4,0)</f>
        <v>#N/A</v>
      </c>
      <c r="CN577" s="141" t="str">
        <f aca="false">VLOOKUP(DATOS_[[#This Row],[Edad]],CONTRATOS!TblRngEdad,2,1)</f>
        <v>20  o menos</v>
      </c>
      <c r="CO577" s="141" t="str">
        <f aca="false">VLOOKUP(DATOS_[[#This Row],[Antigüedad]],TblRngAntg14[],2,1)</f>
        <v>0 a 1 años</v>
      </c>
    </row>
    <row r="578" customFormat="false" ht="13.8" hidden="false" customHeight="false" outlineLevel="0" collapsed="false">
      <c r="D578" s="128"/>
      <c r="E578" s="129"/>
      <c r="F578" s="129"/>
      <c r="G578" s="129"/>
      <c r="H578" s="130"/>
      <c r="I578" s="131"/>
      <c r="J578" s="128"/>
      <c r="K578" s="132"/>
      <c r="L578" s="132"/>
      <c r="M578" s="133"/>
      <c r="N578" s="133"/>
      <c r="O578" s="133"/>
      <c r="P578" s="129"/>
      <c r="Z578" s="75"/>
      <c r="AA578" s="76"/>
      <c r="AB578" s="76"/>
      <c r="AC578" s="129"/>
      <c r="AD578" s="134"/>
      <c r="AE578" s="134"/>
      <c r="AF578" s="134"/>
      <c r="AG578" s="134"/>
      <c r="AH578" s="134"/>
      <c r="AI578" s="134"/>
      <c r="AJ578" s="134"/>
      <c r="AK578" s="134"/>
      <c r="AL578" s="134"/>
      <c r="AM578" s="134"/>
      <c r="AN578" s="134"/>
      <c r="AO578" s="134"/>
      <c r="AP578" s="134"/>
      <c r="AQ578" s="134"/>
      <c r="AR578" s="134"/>
      <c r="AS578" s="134"/>
      <c r="AT578" s="134"/>
      <c r="AU578" s="134"/>
      <c r="AV578" s="134"/>
      <c r="AW578" s="134"/>
      <c r="AX578" s="134"/>
      <c r="AY578" s="134"/>
      <c r="AZ578" s="134"/>
      <c r="BA578" s="134"/>
      <c r="BB578" s="134"/>
      <c r="BC578" s="134"/>
      <c r="BD578" s="134"/>
      <c r="BE578" s="134"/>
      <c r="BF578" s="134"/>
      <c r="BG578" s="134"/>
      <c r="BH578" s="134"/>
      <c r="BI578" s="134"/>
      <c r="BJ578" s="134"/>
      <c r="BK578" s="134"/>
      <c r="BL578" s="134"/>
      <c r="BM578" s="135"/>
      <c r="BN578" s="136" t="n">
        <f aca="false">+MAX($D$3,DATOS_[[#This Row],[Fecha Inicio Sit. Contract.]])</f>
        <v>0</v>
      </c>
      <c r="BO578" s="136" t="n">
        <f aca="false">+MIN($D$4,DATOS_[[#This Row],[Fecha Fin Sit. Contract.]])</f>
        <v>0</v>
      </c>
      <c r="BP578" s="137" t="n">
        <f aca="false">+DATOS_[[#This Row],[% de jornada]]*IF(DATOS_[[#This Row],[% jornada reducida]]="",1,DATOS_[[#This Row],[% jornada reducida]])</f>
        <v>0</v>
      </c>
      <c r="BQ578" s="137" t="n">
        <f aca="false">+(DATOS_[[#This Row],[F.fin.cal]]-DATOS_[[#This Row],[F.ini.cal]]+1)/($D$4-$D$3+1)</f>
        <v>1</v>
      </c>
      <c r="BR578" s="137" t="str">
        <f aca="false">IF(OR(AND(DATOS_[[#This Row],[Fecha Fin Contrato]]&lt;$D$3,DATOS_[[#This Row],[Fecha Fin Contrato]]&lt;&gt;""),DATOS_[[#This Row],[Fecha de Contratación]]&gt;$D$4),"Fuera","Dentro")</f>
        <v>Dentro</v>
      </c>
      <c r="BS578" s="137" t="str">
        <f aca="false" t="array" ref="BS578:BS578">IF(MAX(IF(DATOS_[id]=DATOS_[[#This Row],[id]],DATOS_[F.fin.cal]))=DATOS_[[#This Row],[F.fin.cal]],"Sí","NO")</f>
        <v>Sí</v>
      </c>
      <c r="BT578" s="137" t="str">
        <f aca="false">IF(AND(DATOS_[[#This Row],[% normaliz]]&lt;&gt;1,DATOS_[[#This Row],[% anualiz]]=1),"Sí","NO")</f>
        <v>Sí</v>
      </c>
      <c r="BU578" s="137" t="str">
        <f aca="false">IF(AND(DATOS_[[#This Row],[% normaliz]]=1,DATOS_[[#This Row],[% anualiz]]&lt;&gt;1),"Sí","NO")</f>
        <v>NO</v>
      </c>
      <c r="BV578" s="137" t="str">
        <f aca="false">IF(AND(DATOS_[[#This Row],[% normaliz]]&lt;&gt;1,DATOS_[[#This Row],[% anualiz]]&lt;&gt;1),"Sí","NO")</f>
        <v>NO</v>
      </c>
      <c r="BW578" s="137" t="str">
        <f aca="false">+IF(DATOS_[[#This Row],[% normaliz]]*DATOS_[[#This Row],[% anualiz]]=1,"NO","Sí")</f>
        <v>Sí</v>
      </c>
      <c r="BX578" s="138" t="e">
        <f aca="false">(DATOS_[[#This Row],[S.BASE]]*(1/DATOS_[[#This Row],[% normaliz]])*(1/DATOS_[[#This Row],[% anualiz]]))*IF(DATOS_[[#This Row],[Check Equiparado]]="Sí",1,0)</f>
        <v>#DIV/0!</v>
      </c>
      <c r="BY5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8" s="138" t="e">
        <f aca="false">+DATOS_[[#This Row],[SALARIO BASE Eq]]+DATOS_[[#This Row],[Tot COMPL.SAL Eq]]</f>
        <v>#DIV/0!</v>
      </c>
      <c r="CA578" s="138" t="e">
        <f aca="false" t="array" ref="CA578:CA5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8" s="138" t="e">
        <f aca="false">+DATOS_[[#This Row],[TOTAL SALARIO Eq]]+DATOS_[[#This Row],[Tot Extrasalarial Eq]]</f>
        <v>#DIV/0!</v>
      </c>
      <c r="CC578" s="139" t="n">
        <f aca="false">DATOS_[[#This Row],[S.BASE]]</f>
        <v>0</v>
      </c>
      <c r="CD578" s="139" t="n">
        <f aca="false">+SUM(DATOS_[[#This Row],[Conc.Sal.01]:[Conc.Sal.30]])</f>
        <v>0</v>
      </c>
      <c r="CE578" s="139" t="n">
        <f aca="false">+DATOS_[[#This Row],[SALARIO BASE Ef]]+DATOS_[[#This Row],[Tot COMPL.SAL Ef]]</f>
        <v>0</v>
      </c>
      <c r="CF578" s="139" t="n">
        <f aca="false">+SUM(DATOS_[[#This Row],[C.Extra.01]:[C.Extra.05]])</f>
        <v>0</v>
      </c>
      <c r="CG578" s="139" t="n">
        <f aca="false">+DATOS_[[#This Row],[TOTAL SALARIO Ef]]+DATOS_[[#This Row],[Tot Extrasalarial Ef]]</f>
        <v>0</v>
      </c>
      <c r="CH578" s="140" t="n">
        <f aca="false">MIN(IF(DATOS_[[#This Row],[Fecha Fin Contrato]]="",$D$4,DATOS_[[#This Row],[Fecha Fin Contrato]]),$D$4)-MAX(DATOS_[[#This Row],[Fecha de Contratación]],$D$3)+1</f>
        <v>1</v>
      </c>
      <c r="CI578" s="141" t="str">
        <f aca="false">IF(COUNTIFS(DATOS_[id],DATOS_[[#This Row],[id]])&gt;1,DATOS_[[#This Row],[id]],"")</f>
        <v/>
      </c>
      <c r="CJ578" s="141" t="n">
        <f aca="false">(Inicio!$G$10-DATOS_[[#This Row],[Fecha Nacimiento]])/365.25</f>
        <v>0</v>
      </c>
      <c r="CK578" s="141" t="n">
        <f aca="false">(Inicio!$G$10-DATOS_[[#This Row],[Fecha de Antigüedad]])/365.25</f>
        <v>0</v>
      </c>
      <c r="CL578" s="141" t="e">
        <f aca="false">+VLOOKUP(DATOS_[[#This Row],[Clave de Contrato]],TblTiposContrato13[],3,0)</f>
        <v>#N/A</v>
      </c>
      <c r="CM578" s="141" t="e">
        <f aca="false">+VLOOKUP(DATOS_[[#This Row],[Clave de Contrato]],TblTiposContrato13[],4,0)</f>
        <v>#N/A</v>
      </c>
      <c r="CN578" s="141" t="str">
        <f aca="false">VLOOKUP(DATOS_[[#This Row],[Edad]],CONTRATOS!TblRngEdad,2,1)</f>
        <v>20  o menos</v>
      </c>
      <c r="CO578" s="141" t="str">
        <f aca="false">VLOOKUP(DATOS_[[#This Row],[Antigüedad]],TblRngAntg14[],2,1)</f>
        <v>0 a 1 años</v>
      </c>
    </row>
    <row r="579" customFormat="false" ht="13.8" hidden="false" customHeight="false" outlineLevel="0" collapsed="false">
      <c r="D579" s="128"/>
      <c r="E579" s="129"/>
      <c r="F579" s="129"/>
      <c r="G579" s="129"/>
      <c r="H579" s="130"/>
      <c r="I579" s="131"/>
      <c r="J579" s="128"/>
      <c r="K579" s="132"/>
      <c r="L579" s="132"/>
      <c r="M579" s="133"/>
      <c r="N579" s="133"/>
      <c r="O579" s="133"/>
      <c r="P579" s="129"/>
      <c r="Z579" s="75"/>
      <c r="AA579" s="76"/>
      <c r="AB579" s="76"/>
      <c r="AC579" s="129"/>
      <c r="AD579" s="134"/>
      <c r="AE579" s="134"/>
      <c r="AF579" s="134"/>
      <c r="AG579" s="134"/>
      <c r="AH579" s="134"/>
      <c r="AI579" s="134"/>
      <c r="AJ579" s="134"/>
      <c r="AK579" s="134"/>
      <c r="AL579" s="134"/>
      <c r="AM579" s="134"/>
      <c r="AN579" s="134"/>
      <c r="AO579" s="134"/>
      <c r="AP579" s="134"/>
      <c r="AQ579" s="134"/>
      <c r="AR579" s="134"/>
      <c r="AS579" s="134"/>
      <c r="AT579" s="134"/>
      <c r="AU579" s="134"/>
      <c r="AV579" s="134"/>
      <c r="AW579" s="134"/>
      <c r="AX579" s="134"/>
      <c r="AY579" s="134"/>
      <c r="AZ579" s="134"/>
      <c r="BA579" s="134"/>
      <c r="BB579" s="134"/>
      <c r="BC579" s="134"/>
      <c r="BD579" s="134"/>
      <c r="BE579" s="134"/>
      <c r="BF579" s="134"/>
      <c r="BG579" s="134"/>
      <c r="BH579" s="134"/>
      <c r="BI579" s="134"/>
      <c r="BJ579" s="134"/>
      <c r="BK579" s="134"/>
      <c r="BL579" s="134"/>
      <c r="BM579" s="135"/>
      <c r="BN579" s="136" t="n">
        <f aca="false">+MAX($D$3,DATOS_[[#This Row],[Fecha Inicio Sit. Contract.]])</f>
        <v>0</v>
      </c>
      <c r="BO579" s="136" t="n">
        <f aca="false">+MIN($D$4,DATOS_[[#This Row],[Fecha Fin Sit. Contract.]])</f>
        <v>0</v>
      </c>
      <c r="BP579" s="137" t="n">
        <f aca="false">+DATOS_[[#This Row],[% de jornada]]*IF(DATOS_[[#This Row],[% jornada reducida]]="",1,DATOS_[[#This Row],[% jornada reducida]])</f>
        <v>0</v>
      </c>
      <c r="BQ579" s="137" t="n">
        <f aca="false">+(DATOS_[[#This Row],[F.fin.cal]]-DATOS_[[#This Row],[F.ini.cal]]+1)/($D$4-$D$3+1)</f>
        <v>1</v>
      </c>
      <c r="BR579" s="137" t="str">
        <f aca="false">IF(OR(AND(DATOS_[[#This Row],[Fecha Fin Contrato]]&lt;$D$3,DATOS_[[#This Row],[Fecha Fin Contrato]]&lt;&gt;""),DATOS_[[#This Row],[Fecha de Contratación]]&gt;$D$4),"Fuera","Dentro")</f>
        <v>Dentro</v>
      </c>
      <c r="BS579" s="137" t="str">
        <f aca="false" t="array" ref="BS579:BS579">IF(MAX(IF(DATOS_[id]=DATOS_[[#This Row],[id]],DATOS_[F.fin.cal]))=DATOS_[[#This Row],[F.fin.cal]],"Sí","NO")</f>
        <v>Sí</v>
      </c>
      <c r="BT579" s="137" t="str">
        <f aca="false">IF(AND(DATOS_[[#This Row],[% normaliz]]&lt;&gt;1,DATOS_[[#This Row],[% anualiz]]=1),"Sí","NO")</f>
        <v>Sí</v>
      </c>
      <c r="BU579" s="137" t="str">
        <f aca="false">IF(AND(DATOS_[[#This Row],[% normaliz]]=1,DATOS_[[#This Row],[% anualiz]]&lt;&gt;1),"Sí","NO")</f>
        <v>NO</v>
      </c>
      <c r="BV579" s="137" t="str">
        <f aca="false">IF(AND(DATOS_[[#This Row],[% normaliz]]&lt;&gt;1,DATOS_[[#This Row],[% anualiz]]&lt;&gt;1),"Sí","NO")</f>
        <v>NO</v>
      </c>
      <c r="BW579" s="137" t="str">
        <f aca="false">+IF(DATOS_[[#This Row],[% normaliz]]*DATOS_[[#This Row],[% anualiz]]=1,"NO","Sí")</f>
        <v>Sí</v>
      </c>
      <c r="BX579" s="138" t="e">
        <f aca="false">(DATOS_[[#This Row],[S.BASE]]*(1/DATOS_[[#This Row],[% normaliz]])*(1/DATOS_[[#This Row],[% anualiz]]))*IF(DATOS_[[#This Row],[Check Equiparado]]="Sí",1,0)</f>
        <v>#DIV/0!</v>
      </c>
      <c r="BY5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9" s="138" t="e">
        <f aca="false">+DATOS_[[#This Row],[SALARIO BASE Eq]]+DATOS_[[#This Row],[Tot COMPL.SAL Eq]]</f>
        <v>#DIV/0!</v>
      </c>
      <c r="CA579" s="138" t="e">
        <f aca="false" t="array" ref="CA579:CA5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9" s="138" t="e">
        <f aca="false">+DATOS_[[#This Row],[TOTAL SALARIO Eq]]+DATOS_[[#This Row],[Tot Extrasalarial Eq]]</f>
        <v>#DIV/0!</v>
      </c>
      <c r="CC579" s="139" t="n">
        <f aca="false">DATOS_[[#This Row],[S.BASE]]</f>
        <v>0</v>
      </c>
      <c r="CD579" s="139" t="n">
        <f aca="false">+SUM(DATOS_[[#This Row],[Conc.Sal.01]:[Conc.Sal.30]])</f>
        <v>0</v>
      </c>
      <c r="CE579" s="139" t="n">
        <f aca="false">+DATOS_[[#This Row],[SALARIO BASE Ef]]+DATOS_[[#This Row],[Tot COMPL.SAL Ef]]</f>
        <v>0</v>
      </c>
      <c r="CF579" s="139" t="n">
        <f aca="false">+SUM(DATOS_[[#This Row],[C.Extra.01]:[C.Extra.05]])</f>
        <v>0</v>
      </c>
      <c r="CG579" s="139" t="n">
        <f aca="false">+DATOS_[[#This Row],[TOTAL SALARIO Ef]]+DATOS_[[#This Row],[Tot Extrasalarial Ef]]</f>
        <v>0</v>
      </c>
      <c r="CH579" s="140" t="n">
        <f aca="false">MIN(IF(DATOS_[[#This Row],[Fecha Fin Contrato]]="",$D$4,DATOS_[[#This Row],[Fecha Fin Contrato]]),$D$4)-MAX(DATOS_[[#This Row],[Fecha de Contratación]],$D$3)+1</f>
        <v>1</v>
      </c>
      <c r="CI579" s="141" t="str">
        <f aca="false">IF(COUNTIFS(DATOS_[id],DATOS_[[#This Row],[id]])&gt;1,DATOS_[[#This Row],[id]],"")</f>
        <v/>
      </c>
      <c r="CJ579" s="141" t="n">
        <f aca="false">(Inicio!$G$10-DATOS_[[#This Row],[Fecha Nacimiento]])/365.25</f>
        <v>0</v>
      </c>
      <c r="CK579" s="141" t="n">
        <f aca="false">(Inicio!$G$10-DATOS_[[#This Row],[Fecha de Antigüedad]])/365.25</f>
        <v>0</v>
      </c>
      <c r="CL579" s="141" t="e">
        <f aca="false">+VLOOKUP(DATOS_[[#This Row],[Clave de Contrato]],TblTiposContrato13[],3,0)</f>
        <v>#N/A</v>
      </c>
      <c r="CM579" s="141" t="e">
        <f aca="false">+VLOOKUP(DATOS_[[#This Row],[Clave de Contrato]],TblTiposContrato13[],4,0)</f>
        <v>#N/A</v>
      </c>
      <c r="CN579" s="141" t="str">
        <f aca="false">VLOOKUP(DATOS_[[#This Row],[Edad]],CONTRATOS!TblRngEdad,2,1)</f>
        <v>20  o menos</v>
      </c>
      <c r="CO579" s="141" t="str">
        <f aca="false">VLOOKUP(DATOS_[[#This Row],[Antigüedad]],TblRngAntg14[],2,1)</f>
        <v>0 a 1 años</v>
      </c>
    </row>
    <row r="580" customFormat="false" ht="13.8" hidden="false" customHeight="false" outlineLevel="0" collapsed="false">
      <c r="D580" s="128"/>
      <c r="E580" s="129"/>
      <c r="F580" s="129"/>
      <c r="G580" s="129"/>
      <c r="H580" s="130"/>
      <c r="I580" s="131"/>
      <c r="J580" s="128"/>
      <c r="K580" s="132"/>
      <c r="L580" s="132"/>
      <c r="M580" s="133"/>
      <c r="N580" s="133"/>
      <c r="O580" s="133"/>
      <c r="P580" s="129"/>
      <c r="Z580" s="75"/>
      <c r="AA580" s="76"/>
      <c r="AB580" s="76"/>
      <c r="AC580" s="129"/>
      <c r="AD580" s="134"/>
      <c r="AE580" s="134"/>
      <c r="AF580" s="134"/>
      <c r="AG580" s="134"/>
      <c r="AH580" s="134"/>
      <c r="AI580" s="134"/>
      <c r="AJ580" s="134"/>
      <c r="AK580" s="134"/>
      <c r="AL580" s="134"/>
      <c r="AM580" s="134"/>
      <c r="AN580" s="134"/>
      <c r="AO580" s="134"/>
      <c r="AP580" s="134"/>
      <c r="AQ580" s="134"/>
      <c r="AR580" s="134"/>
      <c r="AS580" s="134"/>
      <c r="AT580" s="134"/>
      <c r="AU580" s="134"/>
      <c r="AV580" s="134"/>
      <c r="AW580" s="134"/>
      <c r="AX580" s="134"/>
      <c r="AY580" s="134"/>
      <c r="AZ580" s="134"/>
      <c r="BA580" s="134"/>
      <c r="BB580" s="134"/>
      <c r="BC580" s="134"/>
      <c r="BD580" s="134"/>
      <c r="BE580" s="134"/>
      <c r="BF580" s="134"/>
      <c r="BG580" s="134"/>
      <c r="BH580" s="134"/>
      <c r="BI580" s="134"/>
      <c r="BJ580" s="134"/>
      <c r="BK580" s="134"/>
      <c r="BL580" s="134"/>
      <c r="BM580" s="135"/>
      <c r="BN580" s="136" t="n">
        <f aca="false">+MAX($D$3,DATOS_[[#This Row],[Fecha Inicio Sit. Contract.]])</f>
        <v>0</v>
      </c>
      <c r="BO580" s="136" t="n">
        <f aca="false">+MIN($D$4,DATOS_[[#This Row],[Fecha Fin Sit. Contract.]])</f>
        <v>0</v>
      </c>
      <c r="BP580" s="137" t="n">
        <f aca="false">+DATOS_[[#This Row],[% de jornada]]*IF(DATOS_[[#This Row],[% jornada reducida]]="",1,DATOS_[[#This Row],[% jornada reducida]])</f>
        <v>0</v>
      </c>
      <c r="BQ580" s="137" t="n">
        <f aca="false">+(DATOS_[[#This Row],[F.fin.cal]]-DATOS_[[#This Row],[F.ini.cal]]+1)/($D$4-$D$3+1)</f>
        <v>1</v>
      </c>
      <c r="BR580" s="137" t="str">
        <f aca="false">IF(OR(AND(DATOS_[[#This Row],[Fecha Fin Contrato]]&lt;$D$3,DATOS_[[#This Row],[Fecha Fin Contrato]]&lt;&gt;""),DATOS_[[#This Row],[Fecha de Contratación]]&gt;$D$4),"Fuera","Dentro")</f>
        <v>Dentro</v>
      </c>
      <c r="BS580" s="137" t="str">
        <f aca="false" t="array" ref="BS580:BS580">IF(MAX(IF(DATOS_[id]=DATOS_[[#This Row],[id]],DATOS_[F.fin.cal]))=DATOS_[[#This Row],[F.fin.cal]],"Sí","NO")</f>
        <v>Sí</v>
      </c>
      <c r="BT580" s="137" t="str">
        <f aca="false">IF(AND(DATOS_[[#This Row],[% normaliz]]&lt;&gt;1,DATOS_[[#This Row],[% anualiz]]=1),"Sí","NO")</f>
        <v>Sí</v>
      </c>
      <c r="BU580" s="137" t="str">
        <f aca="false">IF(AND(DATOS_[[#This Row],[% normaliz]]=1,DATOS_[[#This Row],[% anualiz]]&lt;&gt;1),"Sí","NO")</f>
        <v>NO</v>
      </c>
      <c r="BV580" s="137" t="str">
        <f aca="false">IF(AND(DATOS_[[#This Row],[% normaliz]]&lt;&gt;1,DATOS_[[#This Row],[% anualiz]]&lt;&gt;1),"Sí","NO")</f>
        <v>NO</v>
      </c>
      <c r="BW580" s="137" t="str">
        <f aca="false">+IF(DATOS_[[#This Row],[% normaliz]]*DATOS_[[#This Row],[% anualiz]]=1,"NO","Sí")</f>
        <v>Sí</v>
      </c>
      <c r="BX580" s="138" t="e">
        <f aca="false">(DATOS_[[#This Row],[S.BASE]]*(1/DATOS_[[#This Row],[% normaliz]])*(1/DATOS_[[#This Row],[% anualiz]]))*IF(DATOS_[[#This Row],[Check Equiparado]]="Sí",1,0)</f>
        <v>#DIV/0!</v>
      </c>
      <c r="BY5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0" s="138" t="e">
        <f aca="false">+DATOS_[[#This Row],[SALARIO BASE Eq]]+DATOS_[[#This Row],[Tot COMPL.SAL Eq]]</f>
        <v>#DIV/0!</v>
      </c>
      <c r="CA580" s="138" t="e">
        <f aca="false" t="array" ref="CA580:CA5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0" s="138" t="e">
        <f aca="false">+DATOS_[[#This Row],[TOTAL SALARIO Eq]]+DATOS_[[#This Row],[Tot Extrasalarial Eq]]</f>
        <v>#DIV/0!</v>
      </c>
      <c r="CC580" s="139" t="n">
        <f aca="false">DATOS_[[#This Row],[S.BASE]]</f>
        <v>0</v>
      </c>
      <c r="CD580" s="139" t="n">
        <f aca="false">+SUM(DATOS_[[#This Row],[Conc.Sal.01]:[Conc.Sal.30]])</f>
        <v>0</v>
      </c>
      <c r="CE580" s="139" t="n">
        <f aca="false">+DATOS_[[#This Row],[SALARIO BASE Ef]]+DATOS_[[#This Row],[Tot COMPL.SAL Ef]]</f>
        <v>0</v>
      </c>
      <c r="CF580" s="139" t="n">
        <f aca="false">+SUM(DATOS_[[#This Row],[C.Extra.01]:[C.Extra.05]])</f>
        <v>0</v>
      </c>
      <c r="CG580" s="139" t="n">
        <f aca="false">+DATOS_[[#This Row],[TOTAL SALARIO Ef]]+DATOS_[[#This Row],[Tot Extrasalarial Ef]]</f>
        <v>0</v>
      </c>
      <c r="CH580" s="140" t="n">
        <f aca="false">MIN(IF(DATOS_[[#This Row],[Fecha Fin Contrato]]="",$D$4,DATOS_[[#This Row],[Fecha Fin Contrato]]),$D$4)-MAX(DATOS_[[#This Row],[Fecha de Contratación]],$D$3)+1</f>
        <v>1</v>
      </c>
      <c r="CI580" s="141" t="str">
        <f aca="false">IF(COUNTIFS(DATOS_[id],DATOS_[[#This Row],[id]])&gt;1,DATOS_[[#This Row],[id]],"")</f>
        <v/>
      </c>
      <c r="CJ580" s="141" t="n">
        <f aca="false">(Inicio!$G$10-DATOS_[[#This Row],[Fecha Nacimiento]])/365.25</f>
        <v>0</v>
      </c>
      <c r="CK580" s="141" t="n">
        <f aca="false">(Inicio!$G$10-DATOS_[[#This Row],[Fecha de Antigüedad]])/365.25</f>
        <v>0</v>
      </c>
      <c r="CL580" s="141" t="e">
        <f aca="false">+VLOOKUP(DATOS_[[#This Row],[Clave de Contrato]],TblTiposContrato13[],3,0)</f>
        <v>#N/A</v>
      </c>
      <c r="CM580" s="141" t="e">
        <f aca="false">+VLOOKUP(DATOS_[[#This Row],[Clave de Contrato]],TblTiposContrato13[],4,0)</f>
        <v>#N/A</v>
      </c>
      <c r="CN580" s="141" t="str">
        <f aca="false">VLOOKUP(DATOS_[[#This Row],[Edad]],CONTRATOS!TblRngEdad,2,1)</f>
        <v>20  o menos</v>
      </c>
      <c r="CO580" s="141" t="str">
        <f aca="false">VLOOKUP(DATOS_[[#This Row],[Antigüedad]],TblRngAntg14[],2,1)</f>
        <v>0 a 1 años</v>
      </c>
    </row>
    <row r="581" customFormat="false" ht="13.8" hidden="false" customHeight="false" outlineLevel="0" collapsed="false">
      <c r="D581" s="128"/>
      <c r="E581" s="129"/>
      <c r="F581" s="129"/>
      <c r="G581" s="129"/>
      <c r="H581" s="130"/>
      <c r="I581" s="131"/>
      <c r="J581" s="128"/>
      <c r="K581" s="132"/>
      <c r="L581" s="132"/>
      <c r="M581" s="133"/>
      <c r="N581" s="133"/>
      <c r="O581" s="133"/>
      <c r="P581" s="129"/>
      <c r="Z581" s="75"/>
      <c r="AA581" s="76"/>
      <c r="AB581" s="76"/>
      <c r="AC581" s="129"/>
      <c r="AD581" s="134"/>
      <c r="AE581" s="134"/>
      <c r="AF581" s="134"/>
      <c r="AG581" s="134"/>
      <c r="AH581" s="134"/>
      <c r="AI581" s="134"/>
      <c r="AJ581" s="134"/>
      <c r="AK581" s="134"/>
      <c r="AL581" s="134"/>
      <c r="AM581" s="134"/>
      <c r="AN581" s="134"/>
      <c r="AO581" s="134"/>
      <c r="AP581" s="134"/>
      <c r="AQ581" s="134"/>
      <c r="AR581" s="134"/>
      <c r="AS581" s="134"/>
      <c r="AT581" s="134"/>
      <c r="AU581" s="134"/>
      <c r="AV581" s="134"/>
      <c r="AW581" s="134"/>
      <c r="AX581" s="134"/>
      <c r="AY581" s="134"/>
      <c r="AZ581" s="134"/>
      <c r="BA581" s="134"/>
      <c r="BB581" s="134"/>
      <c r="BC581" s="134"/>
      <c r="BD581" s="134"/>
      <c r="BE581" s="134"/>
      <c r="BF581" s="134"/>
      <c r="BG581" s="134"/>
      <c r="BH581" s="134"/>
      <c r="BI581" s="134"/>
      <c r="BJ581" s="134"/>
      <c r="BK581" s="134"/>
      <c r="BL581" s="134"/>
      <c r="BM581" s="135"/>
      <c r="BN581" s="136" t="n">
        <f aca="false">+MAX($D$3,DATOS_[[#This Row],[Fecha Inicio Sit. Contract.]])</f>
        <v>0</v>
      </c>
      <c r="BO581" s="136" t="n">
        <f aca="false">+MIN($D$4,DATOS_[[#This Row],[Fecha Fin Sit. Contract.]])</f>
        <v>0</v>
      </c>
      <c r="BP581" s="137" t="n">
        <f aca="false">+DATOS_[[#This Row],[% de jornada]]*IF(DATOS_[[#This Row],[% jornada reducida]]="",1,DATOS_[[#This Row],[% jornada reducida]])</f>
        <v>0</v>
      </c>
      <c r="BQ581" s="137" t="n">
        <f aca="false">+(DATOS_[[#This Row],[F.fin.cal]]-DATOS_[[#This Row],[F.ini.cal]]+1)/($D$4-$D$3+1)</f>
        <v>1</v>
      </c>
      <c r="BR581" s="137" t="str">
        <f aca="false">IF(OR(AND(DATOS_[[#This Row],[Fecha Fin Contrato]]&lt;$D$3,DATOS_[[#This Row],[Fecha Fin Contrato]]&lt;&gt;""),DATOS_[[#This Row],[Fecha de Contratación]]&gt;$D$4),"Fuera","Dentro")</f>
        <v>Dentro</v>
      </c>
      <c r="BS581" s="137" t="str">
        <f aca="false" t="array" ref="BS581:BS581">IF(MAX(IF(DATOS_[id]=DATOS_[[#This Row],[id]],DATOS_[F.fin.cal]))=DATOS_[[#This Row],[F.fin.cal]],"Sí","NO")</f>
        <v>Sí</v>
      </c>
      <c r="BT581" s="137" t="str">
        <f aca="false">IF(AND(DATOS_[[#This Row],[% normaliz]]&lt;&gt;1,DATOS_[[#This Row],[% anualiz]]=1),"Sí","NO")</f>
        <v>Sí</v>
      </c>
      <c r="BU581" s="137" t="str">
        <f aca="false">IF(AND(DATOS_[[#This Row],[% normaliz]]=1,DATOS_[[#This Row],[% anualiz]]&lt;&gt;1),"Sí","NO")</f>
        <v>NO</v>
      </c>
      <c r="BV581" s="137" t="str">
        <f aca="false">IF(AND(DATOS_[[#This Row],[% normaliz]]&lt;&gt;1,DATOS_[[#This Row],[% anualiz]]&lt;&gt;1),"Sí","NO")</f>
        <v>NO</v>
      </c>
      <c r="BW581" s="137" t="str">
        <f aca="false">+IF(DATOS_[[#This Row],[% normaliz]]*DATOS_[[#This Row],[% anualiz]]=1,"NO","Sí")</f>
        <v>Sí</v>
      </c>
      <c r="BX581" s="138" t="e">
        <f aca="false">(DATOS_[[#This Row],[S.BASE]]*(1/DATOS_[[#This Row],[% normaliz]])*(1/DATOS_[[#This Row],[% anualiz]]))*IF(DATOS_[[#This Row],[Check Equiparado]]="Sí",1,0)</f>
        <v>#DIV/0!</v>
      </c>
      <c r="BY5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1" s="138" t="e">
        <f aca="false">+DATOS_[[#This Row],[SALARIO BASE Eq]]+DATOS_[[#This Row],[Tot COMPL.SAL Eq]]</f>
        <v>#DIV/0!</v>
      </c>
      <c r="CA581" s="138" t="e">
        <f aca="false" t="array" ref="CA581:CA5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1" s="138" t="e">
        <f aca="false">+DATOS_[[#This Row],[TOTAL SALARIO Eq]]+DATOS_[[#This Row],[Tot Extrasalarial Eq]]</f>
        <v>#DIV/0!</v>
      </c>
      <c r="CC581" s="139" t="n">
        <f aca="false">DATOS_[[#This Row],[S.BASE]]</f>
        <v>0</v>
      </c>
      <c r="CD581" s="139" t="n">
        <f aca="false">+SUM(DATOS_[[#This Row],[Conc.Sal.01]:[Conc.Sal.30]])</f>
        <v>0</v>
      </c>
      <c r="CE581" s="139" t="n">
        <f aca="false">+DATOS_[[#This Row],[SALARIO BASE Ef]]+DATOS_[[#This Row],[Tot COMPL.SAL Ef]]</f>
        <v>0</v>
      </c>
      <c r="CF581" s="139" t="n">
        <f aca="false">+SUM(DATOS_[[#This Row],[C.Extra.01]:[C.Extra.05]])</f>
        <v>0</v>
      </c>
      <c r="CG581" s="139" t="n">
        <f aca="false">+DATOS_[[#This Row],[TOTAL SALARIO Ef]]+DATOS_[[#This Row],[Tot Extrasalarial Ef]]</f>
        <v>0</v>
      </c>
      <c r="CH581" s="140" t="n">
        <f aca="false">MIN(IF(DATOS_[[#This Row],[Fecha Fin Contrato]]="",$D$4,DATOS_[[#This Row],[Fecha Fin Contrato]]),$D$4)-MAX(DATOS_[[#This Row],[Fecha de Contratación]],$D$3)+1</f>
        <v>1</v>
      </c>
      <c r="CI581" s="141" t="str">
        <f aca="false">IF(COUNTIFS(DATOS_[id],DATOS_[[#This Row],[id]])&gt;1,DATOS_[[#This Row],[id]],"")</f>
        <v/>
      </c>
      <c r="CJ581" s="141" t="n">
        <f aca="false">(Inicio!$G$10-DATOS_[[#This Row],[Fecha Nacimiento]])/365.25</f>
        <v>0</v>
      </c>
      <c r="CK581" s="141" t="n">
        <f aca="false">(Inicio!$G$10-DATOS_[[#This Row],[Fecha de Antigüedad]])/365.25</f>
        <v>0</v>
      </c>
      <c r="CL581" s="141" t="e">
        <f aca="false">+VLOOKUP(DATOS_[[#This Row],[Clave de Contrato]],TblTiposContrato13[],3,0)</f>
        <v>#N/A</v>
      </c>
      <c r="CM581" s="141" t="e">
        <f aca="false">+VLOOKUP(DATOS_[[#This Row],[Clave de Contrato]],TblTiposContrato13[],4,0)</f>
        <v>#N/A</v>
      </c>
      <c r="CN581" s="141" t="str">
        <f aca="false">VLOOKUP(DATOS_[[#This Row],[Edad]],CONTRATOS!TblRngEdad,2,1)</f>
        <v>20  o menos</v>
      </c>
      <c r="CO581" s="141" t="str">
        <f aca="false">VLOOKUP(DATOS_[[#This Row],[Antigüedad]],TblRngAntg14[],2,1)</f>
        <v>0 a 1 años</v>
      </c>
    </row>
    <row r="582" customFormat="false" ht="13.8" hidden="false" customHeight="false" outlineLevel="0" collapsed="false">
      <c r="D582" s="128"/>
      <c r="E582" s="129"/>
      <c r="F582" s="129"/>
      <c r="G582" s="129"/>
      <c r="H582" s="130"/>
      <c r="I582" s="131"/>
      <c r="J582" s="128"/>
      <c r="K582" s="132"/>
      <c r="L582" s="132"/>
      <c r="M582" s="133"/>
      <c r="N582" s="133"/>
      <c r="O582" s="133"/>
      <c r="P582" s="129"/>
      <c r="Z582" s="75"/>
      <c r="AA582" s="76"/>
      <c r="AB582" s="76"/>
      <c r="AC582" s="129"/>
      <c r="AD582" s="134"/>
      <c r="AE582" s="134"/>
      <c r="AF582" s="134"/>
      <c r="AG582" s="134"/>
      <c r="AH582" s="134"/>
      <c r="AI582" s="134"/>
      <c r="AJ582" s="134"/>
      <c r="AK582" s="134"/>
      <c r="AL582" s="134"/>
      <c r="AM582" s="134"/>
      <c r="AN582" s="134"/>
      <c r="AO582" s="134"/>
      <c r="AP582" s="134"/>
      <c r="AQ582" s="134"/>
      <c r="AR582" s="134"/>
      <c r="AS582" s="134"/>
      <c r="AT582" s="134"/>
      <c r="AU582" s="134"/>
      <c r="AV582" s="134"/>
      <c r="AW582" s="134"/>
      <c r="AX582" s="134"/>
      <c r="AY582" s="134"/>
      <c r="AZ582" s="134"/>
      <c r="BA582" s="134"/>
      <c r="BB582" s="134"/>
      <c r="BC582" s="134"/>
      <c r="BD582" s="134"/>
      <c r="BE582" s="134"/>
      <c r="BF582" s="134"/>
      <c r="BG582" s="134"/>
      <c r="BH582" s="134"/>
      <c r="BI582" s="134"/>
      <c r="BJ582" s="134"/>
      <c r="BK582" s="134"/>
      <c r="BL582" s="134"/>
      <c r="BM582" s="135"/>
      <c r="BN582" s="136" t="n">
        <f aca="false">+MAX($D$3,DATOS_[[#This Row],[Fecha Inicio Sit. Contract.]])</f>
        <v>0</v>
      </c>
      <c r="BO582" s="136" t="n">
        <f aca="false">+MIN($D$4,DATOS_[[#This Row],[Fecha Fin Sit. Contract.]])</f>
        <v>0</v>
      </c>
      <c r="BP582" s="137" t="n">
        <f aca="false">+DATOS_[[#This Row],[% de jornada]]*IF(DATOS_[[#This Row],[% jornada reducida]]="",1,DATOS_[[#This Row],[% jornada reducida]])</f>
        <v>0</v>
      </c>
      <c r="BQ582" s="137" t="n">
        <f aca="false">+(DATOS_[[#This Row],[F.fin.cal]]-DATOS_[[#This Row],[F.ini.cal]]+1)/($D$4-$D$3+1)</f>
        <v>1</v>
      </c>
      <c r="BR582" s="137" t="str">
        <f aca="false">IF(OR(AND(DATOS_[[#This Row],[Fecha Fin Contrato]]&lt;$D$3,DATOS_[[#This Row],[Fecha Fin Contrato]]&lt;&gt;""),DATOS_[[#This Row],[Fecha de Contratación]]&gt;$D$4),"Fuera","Dentro")</f>
        <v>Dentro</v>
      </c>
      <c r="BS582" s="137" t="str">
        <f aca="false" t="array" ref="BS582:BS582">IF(MAX(IF(DATOS_[id]=DATOS_[[#This Row],[id]],DATOS_[F.fin.cal]))=DATOS_[[#This Row],[F.fin.cal]],"Sí","NO")</f>
        <v>Sí</v>
      </c>
      <c r="BT582" s="137" t="str">
        <f aca="false">IF(AND(DATOS_[[#This Row],[% normaliz]]&lt;&gt;1,DATOS_[[#This Row],[% anualiz]]=1),"Sí","NO")</f>
        <v>Sí</v>
      </c>
      <c r="BU582" s="137" t="str">
        <f aca="false">IF(AND(DATOS_[[#This Row],[% normaliz]]=1,DATOS_[[#This Row],[% anualiz]]&lt;&gt;1),"Sí","NO")</f>
        <v>NO</v>
      </c>
      <c r="BV582" s="137" t="str">
        <f aca="false">IF(AND(DATOS_[[#This Row],[% normaliz]]&lt;&gt;1,DATOS_[[#This Row],[% anualiz]]&lt;&gt;1),"Sí","NO")</f>
        <v>NO</v>
      </c>
      <c r="BW582" s="137" t="str">
        <f aca="false">+IF(DATOS_[[#This Row],[% normaliz]]*DATOS_[[#This Row],[% anualiz]]=1,"NO","Sí")</f>
        <v>Sí</v>
      </c>
      <c r="BX582" s="138" t="e">
        <f aca="false">(DATOS_[[#This Row],[S.BASE]]*(1/DATOS_[[#This Row],[% normaliz]])*(1/DATOS_[[#This Row],[% anualiz]]))*IF(DATOS_[[#This Row],[Check Equiparado]]="Sí",1,0)</f>
        <v>#DIV/0!</v>
      </c>
      <c r="BY5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2" s="138" t="e">
        <f aca="false">+DATOS_[[#This Row],[SALARIO BASE Eq]]+DATOS_[[#This Row],[Tot COMPL.SAL Eq]]</f>
        <v>#DIV/0!</v>
      </c>
      <c r="CA582" s="138" t="e">
        <f aca="false" t="array" ref="CA582:CA5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2" s="138" t="e">
        <f aca="false">+DATOS_[[#This Row],[TOTAL SALARIO Eq]]+DATOS_[[#This Row],[Tot Extrasalarial Eq]]</f>
        <v>#DIV/0!</v>
      </c>
      <c r="CC582" s="139" t="n">
        <f aca="false">DATOS_[[#This Row],[S.BASE]]</f>
        <v>0</v>
      </c>
      <c r="CD582" s="139" t="n">
        <f aca="false">+SUM(DATOS_[[#This Row],[Conc.Sal.01]:[Conc.Sal.30]])</f>
        <v>0</v>
      </c>
      <c r="CE582" s="139" t="n">
        <f aca="false">+DATOS_[[#This Row],[SALARIO BASE Ef]]+DATOS_[[#This Row],[Tot COMPL.SAL Ef]]</f>
        <v>0</v>
      </c>
      <c r="CF582" s="139" t="n">
        <f aca="false">+SUM(DATOS_[[#This Row],[C.Extra.01]:[C.Extra.05]])</f>
        <v>0</v>
      </c>
      <c r="CG582" s="139" t="n">
        <f aca="false">+DATOS_[[#This Row],[TOTAL SALARIO Ef]]+DATOS_[[#This Row],[Tot Extrasalarial Ef]]</f>
        <v>0</v>
      </c>
      <c r="CH582" s="140" t="n">
        <f aca="false">MIN(IF(DATOS_[[#This Row],[Fecha Fin Contrato]]="",$D$4,DATOS_[[#This Row],[Fecha Fin Contrato]]),$D$4)-MAX(DATOS_[[#This Row],[Fecha de Contratación]],$D$3)+1</f>
        <v>1</v>
      </c>
      <c r="CI582" s="141" t="str">
        <f aca="false">IF(COUNTIFS(DATOS_[id],DATOS_[[#This Row],[id]])&gt;1,DATOS_[[#This Row],[id]],"")</f>
        <v/>
      </c>
      <c r="CJ582" s="141" t="n">
        <f aca="false">(Inicio!$G$10-DATOS_[[#This Row],[Fecha Nacimiento]])/365.25</f>
        <v>0</v>
      </c>
      <c r="CK582" s="141" t="n">
        <f aca="false">(Inicio!$G$10-DATOS_[[#This Row],[Fecha de Antigüedad]])/365.25</f>
        <v>0</v>
      </c>
      <c r="CL582" s="141" t="e">
        <f aca="false">+VLOOKUP(DATOS_[[#This Row],[Clave de Contrato]],TblTiposContrato13[],3,0)</f>
        <v>#N/A</v>
      </c>
      <c r="CM582" s="141" t="e">
        <f aca="false">+VLOOKUP(DATOS_[[#This Row],[Clave de Contrato]],TblTiposContrato13[],4,0)</f>
        <v>#N/A</v>
      </c>
      <c r="CN582" s="141" t="str">
        <f aca="false">VLOOKUP(DATOS_[[#This Row],[Edad]],CONTRATOS!TblRngEdad,2,1)</f>
        <v>20  o menos</v>
      </c>
      <c r="CO582" s="141" t="str">
        <f aca="false">VLOOKUP(DATOS_[[#This Row],[Antigüedad]],TblRngAntg14[],2,1)</f>
        <v>0 a 1 años</v>
      </c>
    </row>
    <row r="583" customFormat="false" ht="13.8" hidden="false" customHeight="false" outlineLevel="0" collapsed="false">
      <c r="D583" s="128"/>
      <c r="E583" s="129"/>
      <c r="F583" s="129"/>
      <c r="G583" s="129"/>
      <c r="H583" s="130"/>
      <c r="I583" s="131"/>
      <c r="J583" s="128"/>
      <c r="K583" s="132"/>
      <c r="L583" s="132"/>
      <c r="M583" s="133"/>
      <c r="N583" s="133"/>
      <c r="O583" s="133"/>
      <c r="P583" s="129"/>
      <c r="Z583" s="75"/>
      <c r="AA583" s="76"/>
      <c r="AB583" s="76"/>
      <c r="AC583" s="129"/>
      <c r="AD583" s="134"/>
      <c r="AE583" s="134"/>
      <c r="AF583" s="134"/>
      <c r="AG583" s="134"/>
      <c r="AH583" s="134"/>
      <c r="AI583" s="134"/>
      <c r="AJ583" s="134"/>
      <c r="AK583" s="134"/>
      <c r="AL583" s="134"/>
      <c r="AM583" s="134"/>
      <c r="AN583" s="134"/>
      <c r="AO583" s="134"/>
      <c r="AP583" s="134"/>
      <c r="AQ583" s="134"/>
      <c r="AR583" s="134"/>
      <c r="AS583" s="134"/>
      <c r="AT583" s="134"/>
      <c r="AU583" s="134"/>
      <c r="AV583" s="134"/>
      <c r="AW583" s="134"/>
      <c r="AX583" s="134"/>
      <c r="AY583" s="134"/>
      <c r="AZ583" s="134"/>
      <c r="BA583" s="134"/>
      <c r="BB583" s="134"/>
      <c r="BC583" s="134"/>
      <c r="BD583" s="134"/>
      <c r="BE583" s="134"/>
      <c r="BF583" s="134"/>
      <c r="BG583" s="134"/>
      <c r="BH583" s="134"/>
      <c r="BI583" s="134"/>
      <c r="BJ583" s="134"/>
      <c r="BK583" s="134"/>
      <c r="BL583" s="134"/>
      <c r="BM583" s="135"/>
      <c r="BN583" s="136" t="n">
        <f aca="false">+MAX($D$3,DATOS_[[#This Row],[Fecha Inicio Sit. Contract.]])</f>
        <v>0</v>
      </c>
      <c r="BO583" s="136" t="n">
        <f aca="false">+MIN($D$4,DATOS_[[#This Row],[Fecha Fin Sit. Contract.]])</f>
        <v>0</v>
      </c>
      <c r="BP583" s="137" t="n">
        <f aca="false">+DATOS_[[#This Row],[% de jornada]]*IF(DATOS_[[#This Row],[% jornada reducida]]="",1,DATOS_[[#This Row],[% jornada reducida]])</f>
        <v>0</v>
      </c>
      <c r="BQ583" s="137" t="n">
        <f aca="false">+(DATOS_[[#This Row],[F.fin.cal]]-DATOS_[[#This Row],[F.ini.cal]]+1)/($D$4-$D$3+1)</f>
        <v>1</v>
      </c>
      <c r="BR583" s="137" t="str">
        <f aca="false">IF(OR(AND(DATOS_[[#This Row],[Fecha Fin Contrato]]&lt;$D$3,DATOS_[[#This Row],[Fecha Fin Contrato]]&lt;&gt;""),DATOS_[[#This Row],[Fecha de Contratación]]&gt;$D$4),"Fuera","Dentro")</f>
        <v>Dentro</v>
      </c>
      <c r="BS583" s="137" t="str">
        <f aca="false" t="array" ref="BS583:BS583">IF(MAX(IF(DATOS_[id]=DATOS_[[#This Row],[id]],DATOS_[F.fin.cal]))=DATOS_[[#This Row],[F.fin.cal]],"Sí","NO")</f>
        <v>Sí</v>
      </c>
      <c r="BT583" s="137" t="str">
        <f aca="false">IF(AND(DATOS_[[#This Row],[% normaliz]]&lt;&gt;1,DATOS_[[#This Row],[% anualiz]]=1),"Sí","NO")</f>
        <v>Sí</v>
      </c>
      <c r="BU583" s="137" t="str">
        <f aca="false">IF(AND(DATOS_[[#This Row],[% normaliz]]=1,DATOS_[[#This Row],[% anualiz]]&lt;&gt;1),"Sí","NO")</f>
        <v>NO</v>
      </c>
      <c r="BV583" s="137" t="str">
        <f aca="false">IF(AND(DATOS_[[#This Row],[% normaliz]]&lt;&gt;1,DATOS_[[#This Row],[% anualiz]]&lt;&gt;1),"Sí","NO")</f>
        <v>NO</v>
      </c>
      <c r="BW583" s="137" t="str">
        <f aca="false">+IF(DATOS_[[#This Row],[% normaliz]]*DATOS_[[#This Row],[% anualiz]]=1,"NO","Sí")</f>
        <v>Sí</v>
      </c>
      <c r="BX583" s="138" t="e">
        <f aca="false">(DATOS_[[#This Row],[S.BASE]]*(1/DATOS_[[#This Row],[% normaliz]])*(1/DATOS_[[#This Row],[% anualiz]]))*IF(DATOS_[[#This Row],[Check Equiparado]]="Sí",1,0)</f>
        <v>#DIV/0!</v>
      </c>
      <c r="BY5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3" s="138" t="e">
        <f aca="false">+DATOS_[[#This Row],[SALARIO BASE Eq]]+DATOS_[[#This Row],[Tot COMPL.SAL Eq]]</f>
        <v>#DIV/0!</v>
      </c>
      <c r="CA583" s="138" t="e">
        <f aca="false" t="array" ref="CA583:CA5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3" s="138" t="e">
        <f aca="false">+DATOS_[[#This Row],[TOTAL SALARIO Eq]]+DATOS_[[#This Row],[Tot Extrasalarial Eq]]</f>
        <v>#DIV/0!</v>
      </c>
      <c r="CC583" s="139" t="n">
        <f aca="false">DATOS_[[#This Row],[S.BASE]]</f>
        <v>0</v>
      </c>
      <c r="CD583" s="139" t="n">
        <f aca="false">+SUM(DATOS_[[#This Row],[Conc.Sal.01]:[Conc.Sal.30]])</f>
        <v>0</v>
      </c>
      <c r="CE583" s="139" t="n">
        <f aca="false">+DATOS_[[#This Row],[SALARIO BASE Ef]]+DATOS_[[#This Row],[Tot COMPL.SAL Ef]]</f>
        <v>0</v>
      </c>
      <c r="CF583" s="139" t="n">
        <f aca="false">+SUM(DATOS_[[#This Row],[C.Extra.01]:[C.Extra.05]])</f>
        <v>0</v>
      </c>
      <c r="CG583" s="139" t="n">
        <f aca="false">+DATOS_[[#This Row],[TOTAL SALARIO Ef]]+DATOS_[[#This Row],[Tot Extrasalarial Ef]]</f>
        <v>0</v>
      </c>
      <c r="CH583" s="140" t="n">
        <f aca="false">MIN(IF(DATOS_[[#This Row],[Fecha Fin Contrato]]="",$D$4,DATOS_[[#This Row],[Fecha Fin Contrato]]),$D$4)-MAX(DATOS_[[#This Row],[Fecha de Contratación]],$D$3)+1</f>
        <v>1</v>
      </c>
      <c r="CI583" s="141" t="str">
        <f aca="false">IF(COUNTIFS(DATOS_[id],DATOS_[[#This Row],[id]])&gt;1,DATOS_[[#This Row],[id]],"")</f>
        <v/>
      </c>
      <c r="CJ583" s="141" t="n">
        <f aca="false">(Inicio!$G$10-DATOS_[[#This Row],[Fecha Nacimiento]])/365.25</f>
        <v>0</v>
      </c>
      <c r="CK583" s="141" t="n">
        <f aca="false">(Inicio!$G$10-DATOS_[[#This Row],[Fecha de Antigüedad]])/365.25</f>
        <v>0</v>
      </c>
      <c r="CL583" s="141" t="e">
        <f aca="false">+VLOOKUP(DATOS_[[#This Row],[Clave de Contrato]],TblTiposContrato13[],3,0)</f>
        <v>#N/A</v>
      </c>
      <c r="CM583" s="141" t="e">
        <f aca="false">+VLOOKUP(DATOS_[[#This Row],[Clave de Contrato]],TblTiposContrato13[],4,0)</f>
        <v>#N/A</v>
      </c>
      <c r="CN583" s="141" t="str">
        <f aca="false">VLOOKUP(DATOS_[[#This Row],[Edad]],CONTRATOS!TblRngEdad,2,1)</f>
        <v>20  o menos</v>
      </c>
      <c r="CO583" s="141" t="str">
        <f aca="false">VLOOKUP(DATOS_[[#This Row],[Antigüedad]],TblRngAntg14[],2,1)</f>
        <v>0 a 1 años</v>
      </c>
    </row>
    <row r="584" customFormat="false" ht="13.8" hidden="false" customHeight="false" outlineLevel="0" collapsed="false">
      <c r="D584" s="128"/>
      <c r="E584" s="129"/>
      <c r="F584" s="129"/>
      <c r="G584" s="129"/>
      <c r="H584" s="130"/>
      <c r="I584" s="131"/>
      <c r="J584" s="128"/>
      <c r="K584" s="132"/>
      <c r="L584" s="132"/>
      <c r="M584" s="133"/>
      <c r="N584" s="133"/>
      <c r="O584" s="133"/>
      <c r="P584" s="129"/>
      <c r="Z584" s="75"/>
      <c r="AA584" s="76"/>
      <c r="AB584" s="76"/>
      <c r="AC584" s="129"/>
      <c r="AD584" s="134"/>
      <c r="AE584" s="134"/>
      <c r="AF584" s="134"/>
      <c r="AG584" s="134"/>
      <c r="AH584" s="134"/>
      <c r="AI584" s="134"/>
      <c r="AJ584" s="134"/>
      <c r="AK584" s="134"/>
      <c r="AL584" s="134"/>
      <c r="AM584" s="134"/>
      <c r="AN584" s="134"/>
      <c r="AO584" s="134"/>
      <c r="AP584" s="134"/>
      <c r="AQ584" s="134"/>
      <c r="AR584" s="134"/>
      <c r="AS584" s="134"/>
      <c r="AT584" s="134"/>
      <c r="AU584" s="134"/>
      <c r="AV584" s="134"/>
      <c r="AW584" s="134"/>
      <c r="AX584" s="134"/>
      <c r="AY584" s="134"/>
      <c r="AZ584" s="134"/>
      <c r="BA584" s="134"/>
      <c r="BB584" s="134"/>
      <c r="BC584" s="134"/>
      <c r="BD584" s="134"/>
      <c r="BE584" s="134"/>
      <c r="BF584" s="134"/>
      <c r="BG584" s="134"/>
      <c r="BH584" s="134"/>
      <c r="BI584" s="134"/>
      <c r="BJ584" s="134"/>
      <c r="BK584" s="134"/>
      <c r="BL584" s="134"/>
      <c r="BM584" s="135"/>
      <c r="BN584" s="136" t="n">
        <f aca="false">+MAX($D$3,DATOS_[[#This Row],[Fecha Inicio Sit. Contract.]])</f>
        <v>0</v>
      </c>
      <c r="BO584" s="136" t="n">
        <f aca="false">+MIN($D$4,DATOS_[[#This Row],[Fecha Fin Sit. Contract.]])</f>
        <v>0</v>
      </c>
      <c r="BP584" s="137" t="n">
        <f aca="false">+DATOS_[[#This Row],[% de jornada]]*IF(DATOS_[[#This Row],[% jornada reducida]]="",1,DATOS_[[#This Row],[% jornada reducida]])</f>
        <v>0</v>
      </c>
      <c r="BQ584" s="137" t="n">
        <f aca="false">+(DATOS_[[#This Row],[F.fin.cal]]-DATOS_[[#This Row],[F.ini.cal]]+1)/($D$4-$D$3+1)</f>
        <v>1</v>
      </c>
      <c r="BR584" s="137" t="str">
        <f aca="false">IF(OR(AND(DATOS_[[#This Row],[Fecha Fin Contrato]]&lt;$D$3,DATOS_[[#This Row],[Fecha Fin Contrato]]&lt;&gt;""),DATOS_[[#This Row],[Fecha de Contratación]]&gt;$D$4),"Fuera","Dentro")</f>
        <v>Dentro</v>
      </c>
      <c r="BS584" s="137" t="str">
        <f aca="false" t="array" ref="BS584:BS584">IF(MAX(IF(DATOS_[id]=DATOS_[[#This Row],[id]],DATOS_[F.fin.cal]))=DATOS_[[#This Row],[F.fin.cal]],"Sí","NO")</f>
        <v>Sí</v>
      </c>
      <c r="BT584" s="137" t="str">
        <f aca="false">IF(AND(DATOS_[[#This Row],[% normaliz]]&lt;&gt;1,DATOS_[[#This Row],[% anualiz]]=1),"Sí","NO")</f>
        <v>Sí</v>
      </c>
      <c r="BU584" s="137" t="str">
        <f aca="false">IF(AND(DATOS_[[#This Row],[% normaliz]]=1,DATOS_[[#This Row],[% anualiz]]&lt;&gt;1),"Sí","NO")</f>
        <v>NO</v>
      </c>
      <c r="BV584" s="137" t="str">
        <f aca="false">IF(AND(DATOS_[[#This Row],[% normaliz]]&lt;&gt;1,DATOS_[[#This Row],[% anualiz]]&lt;&gt;1),"Sí","NO")</f>
        <v>NO</v>
      </c>
      <c r="BW584" s="137" t="str">
        <f aca="false">+IF(DATOS_[[#This Row],[% normaliz]]*DATOS_[[#This Row],[% anualiz]]=1,"NO","Sí")</f>
        <v>Sí</v>
      </c>
      <c r="BX584" s="138" t="e">
        <f aca="false">(DATOS_[[#This Row],[S.BASE]]*(1/DATOS_[[#This Row],[% normaliz]])*(1/DATOS_[[#This Row],[% anualiz]]))*IF(DATOS_[[#This Row],[Check Equiparado]]="Sí",1,0)</f>
        <v>#DIV/0!</v>
      </c>
      <c r="BY5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4" s="138" t="e">
        <f aca="false">+DATOS_[[#This Row],[SALARIO BASE Eq]]+DATOS_[[#This Row],[Tot COMPL.SAL Eq]]</f>
        <v>#DIV/0!</v>
      </c>
      <c r="CA584" s="138" t="e">
        <f aca="false" t="array" ref="CA584:CA5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4" s="138" t="e">
        <f aca="false">+DATOS_[[#This Row],[TOTAL SALARIO Eq]]+DATOS_[[#This Row],[Tot Extrasalarial Eq]]</f>
        <v>#DIV/0!</v>
      </c>
      <c r="CC584" s="139" t="n">
        <f aca="false">DATOS_[[#This Row],[S.BASE]]</f>
        <v>0</v>
      </c>
      <c r="CD584" s="139" t="n">
        <f aca="false">+SUM(DATOS_[[#This Row],[Conc.Sal.01]:[Conc.Sal.30]])</f>
        <v>0</v>
      </c>
      <c r="CE584" s="139" t="n">
        <f aca="false">+DATOS_[[#This Row],[SALARIO BASE Ef]]+DATOS_[[#This Row],[Tot COMPL.SAL Ef]]</f>
        <v>0</v>
      </c>
      <c r="CF584" s="139" t="n">
        <f aca="false">+SUM(DATOS_[[#This Row],[C.Extra.01]:[C.Extra.05]])</f>
        <v>0</v>
      </c>
      <c r="CG584" s="139" t="n">
        <f aca="false">+DATOS_[[#This Row],[TOTAL SALARIO Ef]]+DATOS_[[#This Row],[Tot Extrasalarial Ef]]</f>
        <v>0</v>
      </c>
      <c r="CH584" s="140" t="n">
        <f aca="false">MIN(IF(DATOS_[[#This Row],[Fecha Fin Contrato]]="",$D$4,DATOS_[[#This Row],[Fecha Fin Contrato]]),$D$4)-MAX(DATOS_[[#This Row],[Fecha de Contratación]],$D$3)+1</f>
        <v>1</v>
      </c>
      <c r="CI584" s="141" t="str">
        <f aca="false">IF(COUNTIFS(DATOS_[id],DATOS_[[#This Row],[id]])&gt;1,DATOS_[[#This Row],[id]],"")</f>
        <v/>
      </c>
      <c r="CJ584" s="141" t="n">
        <f aca="false">(Inicio!$G$10-DATOS_[[#This Row],[Fecha Nacimiento]])/365.25</f>
        <v>0</v>
      </c>
      <c r="CK584" s="141" t="n">
        <f aca="false">(Inicio!$G$10-DATOS_[[#This Row],[Fecha de Antigüedad]])/365.25</f>
        <v>0</v>
      </c>
      <c r="CL584" s="141" t="e">
        <f aca="false">+VLOOKUP(DATOS_[[#This Row],[Clave de Contrato]],TblTiposContrato13[],3,0)</f>
        <v>#N/A</v>
      </c>
      <c r="CM584" s="141" t="e">
        <f aca="false">+VLOOKUP(DATOS_[[#This Row],[Clave de Contrato]],TblTiposContrato13[],4,0)</f>
        <v>#N/A</v>
      </c>
      <c r="CN584" s="141" t="str">
        <f aca="false">VLOOKUP(DATOS_[[#This Row],[Edad]],CONTRATOS!TblRngEdad,2,1)</f>
        <v>20  o menos</v>
      </c>
      <c r="CO584" s="141" t="str">
        <f aca="false">VLOOKUP(DATOS_[[#This Row],[Antigüedad]],TblRngAntg14[],2,1)</f>
        <v>0 a 1 años</v>
      </c>
    </row>
    <row r="585" customFormat="false" ht="13.8" hidden="false" customHeight="false" outlineLevel="0" collapsed="false">
      <c r="D585" s="128"/>
      <c r="E585" s="129"/>
      <c r="F585" s="129"/>
      <c r="G585" s="129"/>
      <c r="H585" s="130"/>
      <c r="I585" s="131"/>
      <c r="J585" s="128"/>
      <c r="K585" s="132"/>
      <c r="L585" s="132"/>
      <c r="M585" s="133"/>
      <c r="N585" s="133"/>
      <c r="O585" s="133"/>
      <c r="P585" s="129"/>
      <c r="Z585" s="75"/>
      <c r="AA585" s="76"/>
      <c r="AB585" s="76"/>
      <c r="AC585" s="129"/>
      <c r="AD585" s="134"/>
      <c r="AE585" s="134"/>
      <c r="AF585" s="134"/>
      <c r="AG585" s="134"/>
      <c r="AH585" s="134"/>
      <c r="AI585" s="134"/>
      <c r="AJ585" s="134"/>
      <c r="AK585" s="134"/>
      <c r="AL585" s="134"/>
      <c r="AM585" s="134"/>
      <c r="AN585" s="134"/>
      <c r="AO585" s="134"/>
      <c r="AP585" s="134"/>
      <c r="AQ585" s="134"/>
      <c r="AR585" s="134"/>
      <c r="AS585" s="134"/>
      <c r="AT585" s="134"/>
      <c r="AU585" s="134"/>
      <c r="AV585" s="134"/>
      <c r="AW585" s="134"/>
      <c r="AX585" s="134"/>
      <c r="AY585" s="134"/>
      <c r="AZ585" s="134"/>
      <c r="BA585" s="134"/>
      <c r="BB585" s="134"/>
      <c r="BC585" s="134"/>
      <c r="BD585" s="134"/>
      <c r="BE585" s="134"/>
      <c r="BF585" s="134"/>
      <c r="BG585" s="134"/>
      <c r="BH585" s="134"/>
      <c r="BI585" s="134"/>
      <c r="BJ585" s="134"/>
      <c r="BK585" s="134"/>
      <c r="BL585" s="134"/>
      <c r="BM585" s="135"/>
      <c r="BN585" s="136" t="n">
        <f aca="false">+MAX($D$3,DATOS_[[#This Row],[Fecha Inicio Sit. Contract.]])</f>
        <v>0</v>
      </c>
      <c r="BO585" s="136" t="n">
        <f aca="false">+MIN($D$4,DATOS_[[#This Row],[Fecha Fin Sit. Contract.]])</f>
        <v>0</v>
      </c>
      <c r="BP585" s="137" t="n">
        <f aca="false">+DATOS_[[#This Row],[% de jornada]]*IF(DATOS_[[#This Row],[% jornada reducida]]="",1,DATOS_[[#This Row],[% jornada reducida]])</f>
        <v>0</v>
      </c>
      <c r="BQ585" s="137" t="n">
        <f aca="false">+(DATOS_[[#This Row],[F.fin.cal]]-DATOS_[[#This Row],[F.ini.cal]]+1)/($D$4-$D$3+1)</f>
        <v>1</v>
      </c>
      <c r="BR585" s="137" t="str">
        <f aca="false">IF(OR(AND(DATOS_[[#This Row],[Fecha Fin Contrato]]&lt;$D$3,DATOS_[[#This Row],[Fecha Fin Contrato]]&lt;&gt;""),DATOS_[[#This Row],[Fecha de Contratación]]&gt;$D$4),"Fuera","Dentro")</f>
        <v>Dentro</v>
      </c>
      <c r="BS585" s="137" t="str">
        <f aca="false" t="array" ref="BS585:BS585">IF(MAX(IF(DATOS_[id]=DATOS_[[#This Row],[id]],DATOS_[F.fin.cal]))=DATOS_[[#This Row],[F.fin.cal]],"Sí","NO")</f>
        <v>Sí</v>
      </c>
      <c r="BT585" s="137" t="str">
        <f aca="false">IF(AND(DATOS_[[#This Row],[% normaliz]]&lt;&gt;1,DATOS_[[#This Row],[% anualiz]]=1),"Sí","NO")</f>
        <v>Sí</v>
      </c>
      <c r="BU585" s="137" t="str">
        <f aca="false">IF(AND(DATOS_[[#This Row],[% normaliz]]=1,DATOS_[[#This Row],[% anualiz]]&lt;&gt;1),"Sí","NO")</f>
        <v>NO</v>
      </c>
      <c r="BV585" s="137" t="str">
        <f aca="false">IF(AND(DATOS_[[#This Row],[% normaliz]]&lt;&gt;1,DATOS_[[#This Row],[% anualiz]]&lt;&gt;1),"Sí","NO")</f>
        <v>NO</v>
      </c>
      <c r="BW585" s="137" t="str">
        <f aca="false">+IF(DATOS_[[#This Row],[% normaliz]]*DATOS_[[#This Row],[% anualiz]]=1,"NO","Sí")</f>
        <v>Sí</v>
      </c>
      <c r="BX585" s="138" t="e">
        <f aca="false">(DATOS_[[#This Row],[S.BASE]]*(1/DATOS_[[#This Row],[% normaliz]])*(1/DATOS_[[#This Row],[% anualiz]]))*IF(DATOS_[[#This Row],[Check Equiparado]]="Sí",1,0)</f>
        <v>#DIV/0!</v>
      </c>
      <c r="BY5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5" s="138" t="e">
        <f aca="false">+DATOS_[[#This Row],[SALARIO BASE Eq]]+DATOS_[[#This Row],[Tot COMPL.SAL Eq]]</f>
        <v>#DIV/0!</v>
      </c>
      <c r="CA585" s="138" t="e">
        <f aca="false" t="array" ref="CA585:CA5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5" s="138" t="e">
        <f aca="false">+DATOS_[[#This Row],[TOTAL SALARIO Eq]]+DATOS_[[#This Row],[Tot Extrasalarial Eq]]</f>
        <v>#DIV/0!</v>
      </c>
      <c r="CC585" s="139" t="n">
        <f aca="false">DATOS_[[#This Row],[S.BASE]]</f>
        <v>0</v>
      </c>
      <c r="CD585" s="139" t="n">
        <f aca="false">+SUM(DATOS_[[#This Row],[Conc.Sal.01]:[Conc.Sal.30]])</f>
        <v>0</v>
      </c>
      <c r="CE585" s="139" t="n">
        <f aca="false">+DATOS_[[#This Row],[SALARIO BASE Ef]]+DATOS_[[#This Row],[Tot COMPL.SAL Ef]]</f>
        <v>0</v>
      </c>
      <c r="CF585" s="139" t="n">
        <f aca="false">+SUM(DATOS_[[#This Row],[C.Extra.01]:[C.Extra.05]])</f>
        <v>0</v>
      </c>
      <c r="CG585" s="139" t="n">
        <f aca="false">+DATOS_[[#This Row],[TOTAL SALARIO Ef]]+DATOS_[[#This Row],[Tot Extrasalarial Ef]]</f>
        <v>0</v>
      </c>
      <c r="CH585" s="140" t="n">
        <f aca="false">MIN(IF(DATOS_[[#This Row],[Fecha Fin Contrato]]="",$D$4,DATOS_[[#This Row],[Fecha Fin Contrato]]),$D$4)-MAX(DATOS_[[#This Row],[Fecha de Contratación]],$D$3)+1</f>
        <v>1</v>
      </c>
      <c r="CI585" s="141" t="str">
        <f aca="false">IF(COUNTIFS(DATOS_[id],DATOS_[[#This Row],[id]])&gt;1,DATOS_[[#This Row],[id]],"")</f>
        <v/>
      </c>
      <c r="CJ585" s="141" t="n">
        <f aca="false">(Inicio!$G$10-DATOS_[[#This Row],[Fecha Nacimiento]])/365.25</f>
        <v>0</v>
      </c>
      <c r="CK585" s="141" t="n">
        <f aca="false">(Inicio!$G$10-DATOS_[[#This Row],[Fecha de Antigüedad]])/365.25</f>
        <v>0</v>
      </c>
      <c r="CL585" s="141" t="e">
        <f aca="false">+VLOOKUP(DATOS_[[#This Row],[Clave de Contrato]],TblTiposContrato13[],3,0)</f>
        <v>#N/A</v>
      </c>
      <c r="CM585" s="141" t="e">
        <f aca="false">+VLOOKUP(DATOS_[[#This Row],[Clave de Contrato]],TblTiposContrato13[],4,0)</f>
        <v>#N/A</v>
      </c>
      <c r="CN585" s="141" t="str">
        <f aca="false">VLOOKUP(DATOS_[[#This Row],[Edad]],CONTRATOS!TblRngEdad,2,1)</f>
        <v>20  o menos</v>
      </c>
      <c r="CO585" s="141" t="str">
        <f aca="false">VLOOKUP(DATOS_[[#This Row],[Antigüedad]],TblRngAntg14[],2,1)</f>
        <v>0 a 1 años</v>
      </c>
    </row>
    <row r="586" customFormat="false" ht="13.8" hidden="false" customHeight="false" outlineLevel="0" collapsed="false">
      <c r="D586" s="128"/>
      <c r="E586" s="129"/>
      <c r="F586" s="129"/>
      <c r="G586" s="129"/>
      <c r="H586" s="130"/>
      <c r="I586" s="131"/>
      <c r="J586" s="128"/>
      <c r="K586" s="132"/>
      <c r="L586" s="132"/>
      <c r="M586" s="133"/>
      <c r="N586" s="133"/>
      <c r="O586" s="133"/>
      <c r="P586" s="129"/>
      <c r="Z586" s="75"/>
      <c r="AA586" s="76"/>
      <c r="AB586" s="76"/>
      <c r="AC586" s="129"/>
      <c r="AD586" s="134"/>
      <c r="AE586" s="134"/>
      <c r="AF586" s="134"/>
      <c r="AG586" s="134"/>
      <c r="AH586" s="134"/>
      <c r="AI586" s="134"/>
      <c r="AJ586" s="134"/>
      <c r="AK586" s="134"/>
      <c r="AL586" s="134"/>
      <c r="AM586" s="134"/>
      <c r="AN586" s="134"/>
      <c r="AO586" s="134"/>
      <c r="AP586" s="134"/>
      <c r="AQ586" s="134"/>
      <c r="AR586" s="134"/>
      <c r="AS586" s="134"/>
      <c r="AT586" s="134"/>
      <c r="AU586" s="134"/>
      <c r="AV586" s="134"/>
      <c r="AW586" s="134"/>
      <c r="AX586" s="134"/>
      <c r="AY586" s="134"/>
      <c r="AZ586" s="134"/>
      <c r="BA586" s="134"/>
      <c r="BB586" s="134"/>
      <c r="BC586" s="134"/>
      <c r="BD586" s="134"/>
      <c r="BE586" s="134"/>
      <c r="BF586" s="134"/>
      <c r="BG586" s="134"/>
      <c r="BH586" s="134"/>
      <c r="BI586" s="134"/>
      <c r="BJ586" s="134"/>
      <c r="BK586" s="134"/>
      <c r="BL586" s="134"/>
      <c r="BM586" s="135"/>
      <c r="BN586" s="136" t="n">
        <f aca="false">+MAX($D$3,DATOS_[[#This Row],[Fecha Inicio Sit. Contract.]])</f>
        <v>0</v>
      </c>
      <c r="BO586" s="136" t="n">
        <f aca="false">+MIN($D$4,DATOS_[[#This Row],[Fecha Fin Sit. Contract.]])</f>
        <v>0</v>
      </c>
      <c r="BP586" s="137" t="n">
        <f aca="false">+DATOS_[[#This Row],[% de jornada]]*IF(DATOS_[[#This Row],[% jornada reducida]]="",1,DATOS_[[#This Row],[% jornada reducida]])</f>
        <v>0</v>
      </c>
      <c r="BQ586" s="137" t="n">
        <f aca="false">+(DATOS_[[#This Row],[F.fin.cal]]-DATOS_[[#This Row],[F.ini.cal]]+1)/($D$4-$D$3+1)</f>
        <v>1</v>
      </c>
      <c r="BR586" s="137" t="str">
        <f aca="false">IF(OR(AND(DATOS_[[#This Row],[Fecha Fin Contrato]]&lt;$D$3,DATOS_[[#This Row],[Fecha Fin Contrato]]&lt;&gt;""),DATOS_[[#This Row],[Fecha de Contratación]]&gt;$D$4),"Fuera","Dentro")</f>
        <v>Dentro</v>
      </c>
      <c r="BS586" s="137" t="str">
        <f aca="false" t="array" ref="BS586:BS586">IF(MAX(IF(DATOS_[id]=DATOS_[[#This Row],[id]],DATOS_[F.fin.cal]))=DATOS_[[#This Row],[F.fin.cal]],"Sí","NO")</f>
        <v>Sí</v>
      </c>
      <c r="BT586" s="137" t="str">
        <f aca="false">IF(AND(DATOS_[[#This Row],[% normaliz]]&lt;&gt;1,DATOS_[[#This Row],[% anualiz]]=1),"Sí","NO")</f>
        <v>Sí</v>
      </c>
      <c r="BU586" s="137" t="str">
        <f aca="false">IF(AND(DATOS_[[#This Row],[% normaliz]]=1,DATOS_[[#This Row],[% anualiz]]&lt;&gt;1),"Sí","NO")</f>
        <v>NO</v>
      </c>
      <c r="BV586" s="137" t="str">
        <f aca="false">IF(AND(DATOS_[[#This Row],[% normaliz]]&lt;&gt;1,DATOS_[[#This Row],[% anualiz]]&lt;&gt;1),"Sí","NO")</f>
        <v>NO</v>
      </c>
      <c r="BW586" s="137" t="str">
        <f aca="false">+IF(DATOS_[[#This Row],[% normaliz]]*DATOS_[[#This Row],[% anualiz]]=1,"NO","Sí")</f>
        <v>Sí</v>
      </c>
      <c r="BX586" s="138" t="e">
        <f aca="false">(DATOS_[[#This Row],[S.BASE]]*(1/DATOS_[[#This Row],[% normaliz]])*(1/DATOS_[[#This Row],[% anualiz]]))*IF(DATOS_[[#This Row],[Check Equiparado]]="Sí",1,0)</f>
        <v>#DIV/0!</v>
      </c>
      <c r="BY5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6" s="138" t="e">
        <f aca="false">+DATOS_[[#This Row],[SALARIO BASE Eq]]+DATOS_[[#This Row],[Tot COMPL.SAL Eq]]</f>
        <v>#DIV/0!</v>
      </c>
      <c r="CA586" s="138" t="e">
        <f aca="false" t="array" ref="CA586:CA5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6" s="138" t="e">
        <f aca="false">+DATOS_[[#This Row],[TOTAL SALARIO Eq]]+DATOS_[[#This Row],[Tot Extrasalarial Eq]]</f>
        <v>#DIV/0!</v>
      </c>
      <c r="CC586" s="139" t="n">
        <f aca="false">DATOS_[[#This Row],[S.BASE]]</f>
        <v>0</v>
      </c>
      <c r="CD586" s="139" t="n">
        <f aca="false">+SUM(DATOS_[[#This Row],[Conc.Sal.01]:[Conc.Sal.30]])</f>
        <v>0</v>
      </c>
      <c r="CE586" s="139" t="n">
        <f aca="false">+DATOS_[[#This Row],[SALARIO BASE Ef]]+DATOS_[[#This Row],[Tot COMPL.SAL Ef]]</f>
        <v>0</v>
      </c>
      <c r="CF586" s="139" t="n">
        <f aca="false">+SUM(DATOS_[[#This Row],[C.Extra.01]:[C.Extra.05]])</f>
        <v>0</v>
      </c>
      <c r="CG586" s="139" t="n">
        <f aca="false">+DATOS_[[#This Row],[TOTAL SALARIO Ef]]+DATOS_[[#This Row],[Tot Extrasalarial Ef]]</f>
        <v>0</v>
      </c>
      <c r="CH586" s="140" t="n">
        <f aca="false">MIN(IF(DATOS_[[#This Row],[Fecha Fin Contrato]]="",$D$4,DATOS_[[#This Row],[Fecha Fin Contrato]]),$D$4)-MAX(DATOS_[[#This Row],[Fecha de Contratación]],$D$3)+1</f>
        <v>1</v>
      </c>
      <c r="CI586" s="141" t="str">
        <f aca="false">IF(COUNTIFS(DATOS_[id],DATOS_[[#This Row],[id]])&gt;1,DATOS_[[#This Row],[id]],"")</f>
        <v/>
      </c>
      <c r="CJ586" s="141" t="n">
        <f aca="false">(Inicio!$G$10-DATOS_[[#This Row],[Fecha Nacimiento]])/365.25</f>
        <v>0</v>
      </c>
      <c r="CK586" s="141" t="n">
        <f aca="false">(Inicio!$G$10-DATOS_[[#This Row],[Fecha de Antigüedad]])/365.25</f>
        <v>0</v>
      </c>
      <c r="CL586" s="141" t="e">
        <f aca="false">+VLOOKUP(DATOS_[[#This Row],[Clave de Contrato]],TblTiposContrato13[],3,0)</f>
        <v>#N/A</v>
      </c>
      <c r="CM586" s="141" t="e">
        <f aca="false">+VLOOKUP(DATOS_[[#This Row],[Clave de Contrato]],TblTiposContrato13[],4,0)</f>
        <v>#N/A</v>
      </c>
      <c r="CN586" s="141" t="str">
        <f aca="false">VLOOKUP(DATOS_[[#This Row],[Edad]],CONTRATOS!TblRngEdad,2,1)</f>
        <v>20  o menos</v>
      </c>
      <c r="CO586" s="141" t="str">
        <f aca="false">VLOOKUP(DATOS_[[#This Row],[Antigüedad]],TblRngAntg14[],2,1)</f>
        <v>0 a 1 años</v>
      </c>
    </row>
    <row r="587" customFormat="false" ht="13.8" hidden="false" customHeight="false" outlineLevel="0" collapsed="false">
      <c r="D587" s="128"/>
      <c r="E587" s="129"/>
      <c r="F587" s="129"/>
      <c r="G587" s="129"/>
      <c r="H587" s="130"/>
      <c r="I587" s="131"/>
      <c r="J587" s="128"/>
      <c r="K587" s="132"/>
      <c r="L587" s="132"/>
      <c r="M587" s="133"/>
      <c r="N587" s="133"/>
      <c r="O587" s="133"/>
      <c r="P587" s="129"/>
      <c r="Z587" s="75"/>
      <c r="AA587" s="76"/>
      <c r="AB587" s="76"/>
      <c r="AC587" s="129"/>
      <c r="AD587" s="134"/>
      <c r="AE587" s="134"/>
      <c r="AF587" s="134"/>
      <c r="AG587" s="134"/>
      <c r="AH587" s="134"/>
      <c r="AI587" s="134"/>
      <c r="AJ587" s="134"/>
      <c r="AK587" s="134"/>
      <c r="AL587" s="134"/>
      <c r="AM587" s="134"/>
      <c r="AN587" s="134"/>
      <c r="AO587" s="134"/>
      <c r="AP587" s="134"/>
      <c r="AQ587" s="134"/>
      <c r="AR587" s="134"/>
      <c r="AS587" s="134"/>
      <c r="AT587" s="134"/>
      <c r="AU587" s="134"/>
      <c r="AV587" s="134"/>
      <c r="AW587" s="134"/>
      <c r="AX587" s="134"/>
      <c r="AY587" s="134"/>
      <c r="AZ587" s="134"/>
      <c r="BA587" s="134"/>
      <c r="BB587" s="134"/>
      <c r="BC587" s="134"/>
      <c r="BD587" s="134"/>
      <c r="BE587" s="134"/>
      <c r="BF587" s="134"/>
      <c r="BG587" s="134"/>
      <c r="BH587" s="134"/>
      <c r="BI587" s="134"/>
      <c r="BJ587" s="134"/>
      <c r="BK587" s="134"/>
      <c r="BL587" s="134"/>
      <c r="BM587" s="135"/>
      <c r="BN587" s="136" t="n">
        <f aca="false">+MAX($D$3,DATOS_[[#This Row],[Fecha Inicio Sit. Contract.]])</f>
        <v>0</v>
      </c>
      <c r="BO587" s="136" t="n">
        <f aca="false">+MIN($D$4,DATOS_[[#This Row],[Fecha Fin Sit. Contract.]])</f>
        <v>0</v>
      </c>
      <c r="BP587" s="137" t="n">
        <f aca="false">+DATOS_[[#This Row],[% de jornada]]*IF(DATOS_[[#This Row],[% jornada reducida]]="",1,DATOS_[[#This Row],[% jornada reducida]])</f>
        <v>0</v>
      </c>
      <c r="BQ587" s="137" t="n">
        <f aca="false">+(DATOS_[[#This Row],[F.fin.cal]]-DATOS_[[#This Row],[F.ini.cal]]+1)/($D$4-$D$3+1)</f>
        <v>1</v>
      </c>
      <c r="BR587" s="137" t="str">
        <f aca="false">IF(OR(AND(DATOS_[[#This Row],[Fecha Fin Contrato]]&lt;$D$3,DATOS_[[#This Row],[Fecha Fin Contrato]]&lt;&gt;""),DATOS_[[#This Row],[Fecha de Contratación]]&gt;$D$4),"Fuera","Dentro")</f>
        <v>Dentro</v>
      </c>
      <c r="BS587" s="137" t="str">
        <f aca="false" t="array" ref="BS587:BS587">IF(MAX(IF(DATOS_[id]=DATOS_[[#This Row],[id]],DATOS_[F.fin.cal]))=DATOS_[[#This Row],[F.fin.cal]],"Sí","NO")</f>
        <v>Sí</v>
      </c>
      <c r="BT587" s="137" t="str">
        <f aca="false">IF(AND(DATOS_[[#This Row],[% normaliz]]&lt;&gt;1,DATOS_[[#This Row],[% anualiz]]=1),"Sí","NO")</f>
        <v>Sí</v>
      </c>
      <c r="BU587" s="137" t="str">
        <f aca="false">IF(AND(DATOS_[[#This Row],[% normaliz]]=1,DATOS_[[#This Row],[% anualiz]]&lt;&gt;1),"Sí","NO")</f>
        <v>NO</v>
      </c>
      <c r="BV587" s="137" t="str">
        <f aca="false">IF(AND(DATOS_[[#This Row],[% normaliz]]&lt;&gt;1,DATOS_[[#This Row],[% anualiz]]&lt;&gt;1),"Sí","NO")</f>
        <v>NO</v>
      </c>
      <c r="BW587" s="137" t="str">
        <f aca="false">+IF(DATOS_[[#This Row],[% normaliz]]*DATOS_[[#This Row],[% anualiz]]=1,"NO","Sí")</f>
        <v>Sí</v>
      </c>
      <c r="BX587" s="138" t="e">
        <f aca="false">(DATOS_[[#This Row],[S.BASE]]*(1/DATOS_[[#This Row],[% normaliz]])*(1/DATOS_[[#This Row],[% anualiz]]))*IF(DATOS_[[#This Row],[Check Equiparado]]="Sí",1,0)</f>
        <v>#DIV/0!</v>
      </c>
      <c r="BY5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7" s="138" t="e">
        <f aca="false">+DATOS_[[#This Row],[SALARIO BASE Eq]]+DATOS_[[#This Row],[Tot COMPL.SAL Eq]]</f>
        <v>#DIV/0!</v>
      </c>
      <c r="CA587" s="138" t="e">
        <f aca="false" t="array" ref="CA587:CA5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7" s="138" t="e">
        <f aca="false">+DATOS_[[#This Row],[TOTAL SALARIO Eq]]+DATOS_[[#This Row],[Tot Extrasalarial Eq]]</f>
        <v>#DIV/0!</v>
      </c>
      <c r="CC587" s="139" t="n">
        <f aca="false">DATOS_[[#This Row],[S.BASE]]</f>
        <v>0</v>
      </c>
      <c r="CD587" s="139" t="n">
        <f aca="false">+SUM(DATOS_[[#This Row],[Conc.Sal.01]:[Conc.Sal.30]])</f>
        <v>0</v>
      </c>
      <c r="CE587" s="139" t="n">
        <f aca="false">+DATOS_[[#This Row],[SALARIO BASE Ef]]+DATOS_[[#This Row],[Tot COMPL.SAL Ef]]</f>
        <v>0</v>
      </c>
      <c r="CF587" s="139" t="n">
        <f aca="false">+SUM(DATOS_[[#This Row],[C.Extra.01]:[C.Extra.05]])</f>
        <v>0</v>
      </c>
      <c r="CG587" s="139" t="n">
        <f aca="false">+DATOS_[[#This Row],[TOTAL SALARIO Ef]]+DATOS_[[#This Row],[Tot Extrasalarial Ef]]</f>
        <v>0</v>
      </c>
      <c r="CH587" s="140" t="n">
        <f aca="false">MIN(IF(DATOS_[[#This Row],[Fecha Fin Contrato]]="",$D$4,DATOS_[[#This Row],[Fecha Fin Contrato]]),$D$4)-MAX(DATOS_[[#This Row],[Fecha de Contratación]],$D$3)+1</f>
        <v>1</v>
      </c>
      <c r="CI587" s="141" t="str">
        <f aca="false">IF(COUNTIFS(DATOS_[id],DATOS_[[#This Row],[id]])&gt;1,DATOS_[[#This Row],[id]],"")</f>
        <v/>
      </c>
      <c r="CJ587" s="141" t="n">
        <f aca="false">(Inicio!$G$10-DATOS_[[#This Row],[Fecha Nacimiento]])/365.25</f>
        <v>0</v>
      </c>
      <c r="CK587" s="141" t="n">
        <f aca="false">(Inicio!$G$10-DATOS_[[#This Row],[Fecha de Antigüedad]])/365.25</f>
        <v>0</v>
      </c>
      <c r="CL587" s="141" t="e">
        <f aca="false">+VLOOKUP(DATOS_[[#This Row],[Clave de Contrato]],TblTiposContrato13[],3,0)</f>
        <v>#N/A</v>
      </c>
      <c r="CM587" s="141" t="e">
        <f aca="false">+VLOOKUP(DATOS_[[#This Row],[Clave de Contrato]],TblTiposContrato13[],4,0)</f>
        <v>#N/A</v>
      </c>
      <c r="CN587" s="141" t="str">
        <f aca="false">VLOOKUP(DATOS_[[#This Row],[Edad]],CONTRATOS!TblRngEdad,2,1)</f>
        <v>20  o menos</v>
      </c>
      <c r="CO587" s="141" t="str">
        <f aca="false">VLOOKUP(DATOS_[[#This Row],[Antigüedad]],TblRngAntg14[],2,1)</f>
        <v>0 a 1 años</v>
      </c>
    </row>
    <row r="588" customFormat="false" ht="13.8" hidden="false" customHeight="false" outlineLevel="0" collapsed="false">
      <c r="D588" s="128"/>
      <c r="E588" s="129"/>
      <c r="F588" s="129"/>
      <c r="G588" s="129"/>
      <c r="H588" s="130"/>
      <c r="I588" s="131"/>
      <c r="J588" s="128"/>
      <c r="K588" s="132"/>
      <c r="L588" s="132"/>
      <c r="M588" s="133"/>
      <c r="N588" s="133"/>
      <c r="O588" s="133"/>
      <c r="P588" s="129"/>
      <c r="Z588" s="75"/>
      <c r="AA588" s="76"/>
      <c r="AB588" s="76"/>
      <c r="AC588" s="129"/>
      <c r="AD588" s="134"/>
      <c r="AE588" s="134"/>
      <c r="AF588" s="134"/>
      <c r="AG588" s="134"/>
      <c r="AH588" s="134"/>
      <c r="AI588" s="134"/>
      <c r="AJ588" s="134"/>
      <c r="AK588" s="134"/>
      <c r="AL588" s="134"/>
      <c r="AM588" s="134"/>
      <c r="AN588" s="134"/>
      <c r="AO588" s="134"/>
      <c r="AP588" s="134"/>
      <c r="AQ588" s="134"/>
      <c r="AR588" s="134"/>
      <c r="AS588" s="134"/>
      <c r="AT588" s="134"/>
      <c r="AU588" s="134"/>
      <c r="AV588" s="134"/>
      <c r="AW588" s="134"/>
      <c r="AX588" s="134"/>
      <c r="AY588" s="134"/>
      <c r="AZ588" s="134"/>
      <c r="BA588" s="134"/>
      <c r="BB588" s="134"/>
      <c r="BC588" s="134"/>
      <c r="BD588" s="134"/>
      <c r="BE588" s="134"/>
      <c r="BF588" s="134"/>
      <c r="BG588" s="134"/>
      <c r="BH588" s="134"/>
      <c r="BI588" s="134"/>
      <c r="BJ588" s="134"/>
      <c r="BK588" s="134"/>
      <c r="BL588" s="134"/>
      <c r="BM588" s="135"/>
      <c r="BN588" s="136" t="n">
        <f aca="false">+MAX($D$3,DATOS_[[#This Row],[Fecha Inicio Sit. Contract.]])</f>
        <v>0</v>
      </c>
      <c r="BO588" s="136" t="n">
        <f aca="false">+MIN($D$4,DATOS_[[#This Row],[Fecha Fin Sit. Contract.]])</f>
        <v>0</v>
      </c>
      <c r="BP588" s="137" t="n">
        <f aca="false">+DATOS_[[#This Row],[% de jornada]]*IF(DATOS_[[#This Row],[% jornada reducida]]="",1,DATOS_[[#This Row],[% jornada reducida]])</f>
        <v>0</v>
      </c>
      <c r="BQ588" s="137" t="n">
        <f aca="false">+(DATOS_[[#This Row],[F.fin.cal]]-DATOS_[[#This Row],[F.ini.cal]]+1)/($D$4-$D$3+1)</f>
        <v>1</v>
      </c>
      <c r="BR588" s="137" t="str">
        <f aca="false">IF(OR(AND(DATOS_[[#This Row],[Fecha Fin Contrato]]&lt;$D$3,DATOS_[[#This Row],[Fecha Fin Contrato]]&lt;&gt;""),DATOS_[[#This Row],[Fecha de Contratación]]&gt;$D$4),"Fuera","Dentro")</f>
        <v>Dentro</v>
      </c>
      <c r="BS588" s="137" t="str">
        <f aca="false" t="array" ref="BS588:BS588">IF(MAX(IF(DATOS_[id]=DATOS_[[#This Row],[id]],DATOS_[F.fin.cal]))=DATOS_[[#This Row],[F.fin.cal]],"Sí","NO")</f>
        <v>Sí</v>
      </c>
      <c r="BT588" s="137" t="str">
        <f aca="false">IF(AND(DATOS_[[#This Row],[% normaliz]]&lt;&gt;1,DATOS_[[#This Row],[% anualiz]]=1),"Sí","NO")</f>
        <v>Sí</v>
      </c>
      <c r="BU588" s="137" t="str">
        <f aca="false">IF(AND(DATOS_[[#This Row],[% normaliz]]=1,DATOS_[[#This Row],[% anualiz]]&lt;&gt;1),"Sí","NO")</f>
        <v>NO</v>
      </c>
      <c r="BV588" s="137" t="str">
        <f aca="false">IF(AND(DATOS_[[#This Row],[% normaliz]]&lt;&gt;1,DATOS_[[#This Row],[% anualiz]]&lt;&gt;1),"Sí","NO")</f>
        <v>NO</v>
      </c>
      <c r="BW588" s="137" t="str">
        <f aca="false">+IF(DATOS_[[#This Row],[% normaliz]]*DATOS_[[#This Row],[% anualiz]]=1,"NO","Sí")</f>
        <v>Sí</v>
      </c>
      <c r="BX588" s="138" t="e">
        <f aca="false">(DATOS_[[#This Row],[S.BASE]]*(1/DATOS_[[#This Row],[% normaliz]])*(1/DATOS_[[#This Row],[% anualiz]]))*IF(DATOS_[[#This Row],[Check Equiparado]]="Sí",1,0)</f>
        <v>#DIV/0!</v>
      </c>
      <c r="BY5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8" s="138" t="e">
        <f aca="false">+DATOS_[[#This Row],[SALARIO BASE Eq]]+DATOS_[[#This Row],[Tot COMPL.SAL Eq]]</f>
        <v>#DIV/0!</v>
      </c>
      <c r="CA588" s="138" t="e">
        <f aca="false" t="array" ref="CA588:CA5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8" s="138" t="e">
        <f aca="false">+DATOS_[[#This Row],[TOTAL SALARIO Eq]]+DATOS_[[#This Row],[Tot Extrasalarial Eq]]</f>
        <v>#DIV/0!</v>
      </c>
      <c r="CC588" s="139" t="n">
        <f aca="false">DATOS_[[#This Row],[S.BASE]]</f>
        <v>0</v>
      </c>
      <c r="CD588" s="139" t="n">
        <f aca="false">+SUM(DATOS_[[#This Row],[Conc.Sal.01]:[Conc.Sal.30]])</f>
        <v>0</v>
      </c>
      <c r="CE588" s="139" t="n">
        <f aca="false">+DATOS_[[#This Row],[SALARIO BASE Ef]]+DATOS_[[#This Row],[Tot COMPL.SAL Ef]]</f>
        <v>0</v>
      </c>
      <c r="CF588" s="139" t="n">
        <f aca="false">+SUM(DATOS_[[#This Row],[C.Extra.01]:[C.Extra.05]])</f>
        <v>0</v>
      </c>
      <c r="CG588" s="139" t="n">
        <f aca="false">+DATOS_[[#This Row],[TOTAL SALARIO Ef]]+DATOS_[[#This Row],[Tot Extrasalarial Ef]]</f>
        <v>0</v>
      </c>
      <c r="CH588" s="140" t="n">
        <f aca="false">MIN(IF(DATOS_[[#This Row],[Fecha Fin Contrato]]="",$D$4,DATOS_[[#This Row],[Fecha Fin Contrato]]),$D$4)-MAX(DATOS_[[#This Row],[Fecha de Contratación]],$D$3)+1</f>
        <v>1</v>
      </c>
      <c r="CI588" s="141" t="str">
        <f aca="false">IF(COUNTIFS(DATOS_[id],DATOS_[[#This Row],[id]])&gt;1,DATOS_[[#This Row],[id]],"")</f>
        <v/>
      </c>
      <c r="CJ588" s="141" t="n">
        <f aca="false">(Inicio!$G$10-DATOS_[[#This Row],[Fecha Nacimiento]])/365.25</f>
        <v>0</v>
      </c>
      <c r="CK588" s="141" t="n">
        <f aca="false">(Inicio!$G$10-DATOS_[[#This Row],[Fecha de Antigüedad]])/365.25</f>
        <v>0</v>
      </c>
      <c r="CL588" s="141" t="e">
        <f aca="false">+VLOOKUP(DATOS_[[#This Row],[Clave de Contrato]],TblTiposContrato13[],3,0)</f>
        <v>#N/A</v>
      </c>
      <c r="CM588" s="141" t="e">
        <f aca="false">+VLOOKUP(DATOS_[[#This Row],[Clave de Contrato]],TblTiposContrato13[],4,0)</f>
        <v>#N/A</v>
      </c>
      <c r="CN588" s="141" t="str">
        <f aca="false">VLOOKUP(DATOS_[[#This Row],[Edad]],CONTRATOS!TblRngEdad,2,1)</f>
        <v>20  o menos</v>
      </c>
      <c r="CO588" s="141" t="str">
        <f aca="false">VLOOKUP(DATOS_[[#This Row],[Antigüedad]],TblRngAntg14[],2,1)</f>
        <v>0 a 1 años</v>
      </c>
    </row>
    <row r="589" customFormat="false" ht="13.8" hidden="false" customHeight="false" outlineLevel="0" collapsed="false">
      <c r="D589" s="128"/>
      <c r="E589" s="129"/>
      <c r="F589" s="129"/>
      <c r="G589" s="129"/>
      <c r="H589" s="130"/>
      <c r="I589" s="131"/>
      <c r="J589" s="128"/>
      <c r="K589" s="132"/>
      <c r="L589" s="132"/>
      <c r="M589" s="133"/>
      <c r="N589" s="133"/>
      <c r="O589" s="133"/>
      <c r="P589" s="129"/>
      <c r="Z589" s="75"/>
      <c r="AA589" s="76"/>
      <c r="AB589" s="76"/>
      <c r="AC589" s="129"/>
      <c r="AD589" s="134"/>
      <c r="AE589" s="134"/>
      <c r="AF589" s="134"/>
      <c r="AG589" s="134"/>
      <c r="AH589" s="134"/>
      <c r="AI589" s="134"/>
      <c r="AJ589" s="134"/>
      <c r="AK589" s="134"/>
      <c r="AL589" s="134"/>
      <c r="AM589" s="134"/>
      <c r="AN589" s="134"/>
      <c r="AO589" s="134"/>
      <c r="AP589" s="134"/>
      <c r="AQ589" s="134"/>
      <c r="AR589" s="134"/>
      <c r="AS589" s="134"/>
      <c r="AT589" s="134"/>
      <c r="AU589" s="134"/>
      <c r="AV589" s="134"/>
      <c r="AW589" s="134"/>
      <c r="AX589" s="134"/>
      <c r="AY589" s="134"/>
      <c r="AZ589" s="134"/>
      <c r="BA589" s="134"/>
      <c r="BB589" s="134"/>
      <c r="BC589" s="134"/>
      <c r="BD589" s="134"/>
      <c r="BE589" s="134"/>
      <c r="BF589" s="134"/>
      <c r="BG589" s="134"/>
      <c r="BH589" s="134"/>
      <c r="BI589" s="134"/>
      <c r="BJ589" s="134"/>
      <c r="BK589" s="134"/>
      <c r="BL589" s="134"/>
      <c r="BM589" s="135"/>
      <c r="BN589" s="136" t="n">
        <f aca="false">+MAX($D$3,DATOS_[[#This Row],[Fecha Inicio Sit. Contract.]])</f>
        <v>0</v>
      </c>
      <c r="BO589" s="136" t="n">
        <f aca="false">+MIN($D$4,DATOS_[[#This Row],[Fecha Fin Sit. Contract.]])</f>
        <v>0</v>
      </c>
      <c r="BP589" s="137" t="n">
        <f aca="false">+DATOS_[[#This Row],[% de jornada]]*IF(DATOS_[[#This Row],[% jornada reducida]]="",1,DATOS_[[#This Row],[% jornada reducida]])</f>
        <v>0</v>
      </c>
      <c r="BQ589" s="137" t="n">
        <f aca="false">+(DATOS_[[#This Row],[F.fin.cal]]-DATOS_[[#This Row],[F.ini.cal]]+1)/($D$4-$D$3+1)</f>
        <v>1</v>
      </c>
      <c r="BR589" s="137" t="str">
        <f aca="false">IF(OR(AND(DATOS_[[#This Row],[Fecha Fin Contrato]]&lt;$D$3,DATOS_[[#This Row],[Fecha Fin Contrato]]&lt;&gt;""),DATOS_[[#This Row],[Fecha de Contratación]]&gt;$D$4),"Fuera","Dentro")</f>
        <v>Dentro</v>
      </c>
      <c r="BS589" s="137" t="str">
        <f aca="false" t="array" ref="BS589:BS589">IF(MAX(IF(DATOS_[id]=DATOS_[[#This Row],[id]],DATOS_[F.fin.cal]))=DATOS_[[#This Row],[F.fin.cal]],"Sí","NO")</f>
        <v>Sí</v>
      </c>
      <c r="BT589" s="137" t="str">
        <f aca="false">IF(AND(DATOS_[[#This Row],[% normaliz]]&lt;&gt;1,DATOS_[[#This Row],[% anualiz]]=1),"Sí","NO")</f>
        <v>Sí</v>
      </c>
      <c r="BU589" s="137" t="str">
        <f aca="false">IF(AND(DATOS_[[#This Row],[% normaliz]]=1,DATOS_[[#This Row],[% anualiz]]&lt;&gt;1),"Sí","NO")</f>
        <v>NO</v>
      </c>
      <c r="BV589" s="137" t="str">
        <f aca="false">IF(AND(DATOS_[[#This Row],[% normaliz]]&lt;&gt;1,DATOS_[[#This Row],[% anualiz]]&lt;&gt;1),"Sí","NO")</f>
        <v>NO</v>
      </c>
      <c r="BW589" s="137" t="str">
        <f aca="false">+IF(DATOS_[[#This Row],[% normaliz]]*DATOS_[[#This Row],[% anualiz]]=1,"NO","Sí")</f>
        <v>Sí</v>
      </c>
      <c r="BX589" s="138" t="e">
        <f aca="false">(DATOS_[[#This Row],[S.BASE]]*(1/DATOS_[[#This Row],[% normaliz]])*(1/DATOS_[[#This Row],[% anualiz]]))*IF(DATOS_[[#This Row],[Check Equiparado]]="Sí",1,0)</f>
        <v>#DIV/0!</v>
      </c>
      <c r="BY5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9" s="138" t="e">
        <f aca="false">+DATOS_[[#This Row],[SALARIO BASE Eq]]+DATOS_[[#This Row],[Tot COMPL.SAL Eq]]</f>
        <v>#DIV/0!</v>
      </c>
      <c r="CA589" s="138" t="e">
        <f aca="false" t="array" ref="CA589:CA5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9" s="138" t="e">
        <f aca="false">+DATOS_[[#This Row],[TOTAL SALARIO Eq]]+DATOS_[[#This Row],[Tot Extrasalarial Eq]]</f>
        <v>#DIV/0!</v>
      </c>
      <c r="CC589" s="139" t="n">
        <f aca="false">DATOS_[[#This Row],[S.BASE]]</f>
        <v>0</v>
      </c>
      <c r="CD589" s="139" t="n">
        <f aca="false">+SUM(DATOS_[[#This Row],[Conc.Sal.01]:[Conc.Sal.30]])</f>
        <v>0</v>
      </c>
      <c r="CE589" s="139" t="n">
        <f aca="false">+DATOS_[[#This Row],[SALARIO BASE Ef]]+DATOS_[[#This Row],[Tot COMPL.SAL Ef]]</f>
        <v>0</v>
      </c>
      <c r="CF589" s="139" t="n">
        <f aca="false">+SUM(DATOS_[[#This Row],[C.Extra.01]:[C.Extra.05]])</f>
        <v>0</v>
      </c>
      <c r="CG589" s="139" t="n">
        <f aca="false">+DATOS_[[#This Row],[TOTAL SALARIO Ef]]+DATOS_[[#This Row],[Tot Extrasalarial Ef]]</f>
        <v>0</v>
      </c>
      <c r="CH589" s="140" t="n">
        <f aca="false">MIN(IF(DATOS_[[#This Row],[Fecha Fin Contrato]]="",$D$4,DATOS_[[#This Row],[Fecha Fin Contrato]]),$D$4)-MAX(DATOS_[[#This Row],[Fecha de Contratación]],$D$3)+1</f>
        <v>1</v>
      </c>
      <c r="CI589" s="141" t="str">
        <f aca="false">IF(COUNTIFS(DATOS_[id],DATOS_[[#This Row],[id]])&gt;1,DATOS_[[#This Row],[id]],"")</f>
        <v/>
      </c>
      <c r="CJ589" s="141" t="n">
        <f aca="false">(Inicio!$G$10-DATOS_[[#This Row],[Fecha Nacimiento]])/365.25</f>
        <v>0</v>
      </c>
      <c r="CK589" s="141" t="n">
        <f aca="false">(Inicio!$G$10-DATOS_[[#This Row],[Fecha de Antigüedad]])/365.25</f>
        <v>0</v>
      </c>
      <c r="CL589" s="141" t="e">
        <f aca="false">+VLOOKUP(DATOS_[[#This Row],[Clave de Contrato]],TblTiposContrato13[],3,0)</f>
        <v>#N/A</v>
      </c>
      <c r="CM589" s="141" t="e">
        <f aca="false">+VLOOKUP(DATOS_[[#This Row],[Clave de Contrato]],TblTiposContrato13[],4,0)</f>
        <v>#N/A</v>
      </c>
      <c r="CN589" s="141" t="str">
        <f aca="false">VLOOKUP(DATOS_[[#This Row],[Edad]],CONTRATOS!TblRngEdad,2,1)</f>
        <v>20  o menos</v>
      </c>
      <c r="CO589" s="141" t="str">
        <f aca="false">VLOOKUP(DATOS_[[#This Row],[Antigüedad]],TblRngAntg14[],2,1)</f>
        <v>0 a 1 años</v>
      </c>
    </row>
    <row r="590" customFormat="false" ht="13.8" hidden="false" customHeight="false" outlineLevel="0" collapsed="false">
      <c r="D590" s="128"/>
      <c r="E590" s="129"/>
      <c r="F590" s="129"/>
      <c r="G590" s="129"/>
      <c r="H590" s="130"/>
      <c r="I590" s="131"/>
      <c r="J590" s="128"/>
      <c r="K590" s="132"/>
      <c r="L590" s="132"/>
      <c r="M590" s="133"/>
      <c r="N590" s="133"/>
      <c r="O590" s="133"/>
      <c r="P590" s="129"/>
      <c r="Z590" s="75"/>
      <c r="AA590" s="76"/>
      <c r="AB590" s="76"/>
      <c r="AC590" s="129"/>
      <c r="AD590" s="134"/>
      <c r="AE590" s="134"/>
      <c r="AF590" s="134"/>
      <c r="AG590" s="134"/>
      <c r="AH590" s="134"/>
      <c r="AI590" s="134"/>
      <c r="AJ590" s="134"/>
      <c r="AK590" s="134"/>
      <c r="AL590" s="134"/>
      <c r="AM590" s="134"/>
      <c r="AN590" s="134"/>
      <c r="AO590" s="134"/>
      <c r="AP590" s="134"/>
      <c r="AQ590" s="134"/>
      <c r="AR590" s="134"/>
      <c r="AS590" s="134"/>
      <c r="AT590" s="134"/>
      <c r="AU590" s="134"/>
      <c r="AV590" s="134"/>
      <c r="AW590" s="134"/>
      <c r="AX590" s="134"/>
      <c r="AY590" s="134"/>
      <c r="AZ590" s="134"/>
      <c r="BA590" s="134"/>
      <c r="BB590" s="134"/>
      <c r="BC590" s="134"/>
      <c r="BD590" s="134"/>
      <c r="BE590" s="134"/>
      <c r="BF590" s="134"/>
      <c r="BG590" s="134"/>
      <c r="BH590" s="134"/>
      <c r="BI590" s="134"/>
      <c r="BJ590" s="134"/>
      <c r="BK590" s="134"/>
      <c r="BL590" s="134"/>
      <c r="BM590" s="135"/>
      <c r="BN590" s="136" t="n">
        <f aca="false">+MAX($D$3,DATOS_[[#This Row],[Fecha Inicio Sit. Contract.]])</f>
        <v>0</v>
      </c>
      <c r="BO590" s="136" t="n">
        <f aca="false">+MIN($D$4,DATOS_[[#This Row],[Fecha Fin Sit. Contract.]])</f>
        <v>0</v>
      </c>
      <c r="BP590" s="137" t="n">
        <f aca="false">+DATOS_[[#This Row],[% de jornada]]*IF(DATOS_[[#This Row],[% jornada reducida]]="",1,DATOS_[[#This Row],[% jornada reducida]])</f>
        <v>0</v>
      </c>
      <c r="BQ590" s="137" t="n">
        <f aca="false">+(DATOS_[[#This Row],[F.fin.cal]]-DATOS_[[#This Row],[F.ini.cal]]+1)/($D$4-$D$3+1)</f>
        <v>1</v>
      </c>
      <c r="BR590" s="137" t="str">
        <f aca="false">IF(OR(AND(DATOS_[[#This Row],[Fecha Fin Contrato]]&lt;$D$3,DATOS_[[#This Row],[Fecha Fin Contrato]]&lt;&gt;""),DATOS_[[#This Row],[Fecha de Contratación]]&gt;$D$4),"Fuera","Dentro")</f>
        <v>Dentro</v>
      </c>
      <c r="BS590" s="137" t="str">
        <f aca="false" t="array" ref="BS590:BS590">IF(MAX(IF(DATOS_[id]=DATOS_[[#This Row],[id]],DATOS_[F.fin.cal]))=DATOS_[[#This Row],[F.fin.cal]],"Sí","NO")</f>
        <v>Sí</v>
      </c>
      <c r="BT590" s="137" t="str">
        <f aca="false">IF(AND(DATOS_[[#This Row],[% normaliz]]&lt;&gt;1,DATOS_[[#This Row],[% anualiz]]=1),"Sí","NO")</f>
        <v>Sí</v>
      </c>
      <c r="BU590" s="137" t="str">
        <f aca="false">IF(AND(DATOS_[[#This Row],[% normaliz]]=1,DATOS_[[#This Row],[% anualiz]]&lt;&gt;1),"Sí","NO")</f>
        <v>NO</v>
      </c>
      <c r="BV590" s="137" t="str">
        <f aca="false">IF(AND(DATOS_[[#This Row],[% normaliz]]&lt;&gt;1,DATOS_[[#This Row],[% anualiz]]&lt;&gt;1),"Sí","NO")</f>
        <v>NO</v>
      </c>
      <c r="BW590" s="137" t="str">
        <f aca="false">+IF(DATOS_[[#This Row],[% normaliz]]*DATOS_[[#This Row],[% anualiz]]=1,"NO","Sí")</f>
        <v>Sí</v>
      </c>
      <c r="BX590" s="138" t="e">
        <f aca="false">(DATOS_[[#This Row],[S.BASE]]*(1/DATOS_[[#This Row],[% normaliz]])*(1/DATOS_[[#This Row],[% anualiz]]))*IF(DATOS_[[#This Row],[Check Equiparado]]="Sí",1,0)</f>
        <v>#DIV/0!</v>
      </c>
      <c r="BY5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0" s="138" t="e">
        <f aca="false">+DATOS_[[#This Row],[SALARIO BASE Eq]]+DATOS_[[#This Row],[Tot COMPL.SAL Eq]]</f>
        <v>#DIV/0!</v>
      </c>
      <c r="CA590" s="138" t="e">
        <f aca="false" t="array" ref="CA590:CA5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0" s="138" t="e">
        <f aca="false">+DATOS_[[#This Row],[TOTAL SALARIO Eq]]+DATOS_[[#This Row],[Tot Extrasalarial Eq]]</f>
        <v>#DIV/0!</v>
      </c>
      <c r="CC590" s="139" t="n">
        <f aca="false">DATOS_[[#This Row],[S.BASE]]</f>
        <v>0</v>
      </c>
      <c r="CD590" s="139" t="n">
        <f aca="false">+SUM(DATOS_[[#This Row],[Conc.Sal.01]:[Conc.Sal.30]])</f>
        <v>0</v>
      </c>
      <c r="CE590" s="139" t="n">
        <f aca="false">+DATOS_[[#This Row],[SALARIO BASE Ef]]+DATOS_[[#This Row],[Tot COMPL.SAL Ef]]</f>
        <v>0</v>
      </c>
      <c r="CF590" s="139" t="n">
        <f aca="false">+SUM(DATOS_[[#This Row],[C.Extra.01]:[C.Extra.05]])</f>
        <v>0</v>
      </c>
      <c r="CG590" s="139" t="n">
        <f aca="false">+DATOS_[[#This Row],[TOTAL SALARIO Ef]]+DATOS_[[#This Row],[Tot Extrasalarial Ef]]</f>
        <v>0</v>
      </c>
      <c r="CH590" s="140" t="n">
        <f aca="false">MIN(IF(DATOS_[[#This Row],[Fecha Fin Contrato]]="",$D$4,DATOS_[[#This Row],[Fecha Fin Contrato]]),$D$4)-MAX(DATOS_[[#This Row],[Fecha de Contratación]],$D$3)+1</f>
        <v>1</v>
      </c>
      <c r="CI590" s="141" t="str">
        <f aca="false">IF(COUNTIFS(DATOS_[id],DATOS_[[#This Row],[id]])&gt;1,DATOS_[[#This Row],[id]],"")</f>
        <v/>
      </c>
      <c r="CJ590" s="141" t="n">
        <f aca="false">(Inicio!$G$10-DATOS_[[#This Row],[Fecha Nacimiento]])/365.25</f>
        <v>0</v>
      </c>
      <c r="CK590" s="141" t="n">
        <f aca="false">(Inicio!$G$10-DATOS_[[#This Row],[Fecha de Antigüedad]])/365.25</f>
        <v>0</v>
      </c>
      <c r="CL590" s="141" t="e">
        <f aca="false">+VLOOKUP(DATOS_[[#This Row],[Clave de Contrato]],TblTiposContrato13[],3,0)</f>
        <v>#N/A</v>
      </c>
      <c r="CM590" s="141" t="e">
        <f aca="false">+VLOOKUP(DATOS_[[#This Row],[Clave de Contrato]],TblTiposContrato13[],4,0)</f>
        <v>#N/A</v>
      </c>
      <c r="CN590" s="141" t="str">
        <f aca="false">VLOOKUP(DATOS_[[#This Row],[Edad]],CONTRATOS!TblRngEdad,2,1)</f>
        <v>20  o menos</v>
      </c>
      <c r="CO590" s="141" t="str">
        <f aca="false">VLOOKUP(DATOS_[[#This Row],[Antigüedad]],TblRngAntg14[],2,1)</f>
        <v>0 a 1 años</v>
      </c>
    </row>
    <row r="591" customFormat="false" ht="13.8" hidden="false" customHeight="false" outlineLevel="0" collapsed="false">
      <c r="D591" s="128"/>
      <c r="E591" s="129"/>
      <c r="F591" s="129"/>
      <c r="G591" s="129"/>
      <c r="H591" s="130"/>
      <c r="I591" s="131"/>
      <c r="J591" s="128"/>
      <c r="K591" s="132"/>
      <c r="L591" s="132"/>
      <c r="M591" s="133"/>
      <c r="N591" s="133"/>
      <c r="O591" s="133"/>
      <c r="P591" s="129"/>
      <c r="Z591" s="75"/>
      <c r="AA591" s="76"/>
      <c r="AB591" s="76"/>
      <c r="AC591" s="129"/>
      <c r="AD591" s="134"/>
      <c r="AE591" s="134"/>
      <c r="AF591" s="134"/>
      <c r="AG591" s="134"/>
      <c r="AH591" s="134"/>
      <c r="AI591" s="134"/>
      <c r="AJ591" s="134"/>
      <c r="AK591" s="134"/>
      <c r="AL591" s="134"/>
      <c r="AM591" s="134"/>
      <c r="AN591" s="134"/>
      <c r="AO591" s="134"/>
      <c r="AP591" s="134"/>
      <c r="AQ591" s="134"/>
      <c r="AR591" s="134"/>
      <c r="AS591" s="134"/>
      <c r="AT591" s="134"/>
      <c r="AU591" s="134"/>
      <c r="AV591" s="134"/>
      <c r="AW591" s="134"/>
      <c r="AX591" s="134"/>
      <c r="AY591" s="134"/>
      <c r="AZ591" s="134"/>
      <c r="BA591" s="134"/>
      <c r="BB591" s="134"/>
      <c r="BC591" s="134"/>
      <c r="BD591" s="134"/>
      <c r="BE591" s="134"/>
      <c r="BF591" s="134"/>
      <c r="BG591" s="134"/>
      <c r="BH591" s="134"/>
      <c r="BI591" s="134"/>
      <c r="BJ591" s="134"/>
      <c r="BK591" s="134"/>
      <c r="BL591" s="134"/>
      <c r="BM591" s="135"/>
      <c r="BN591" s="136" t="n">
        <f aca="false">+MAX($D$3,DATOS_[[#This Row],[Fecha Inicio Sit. Contract.]])</f>
        <v>0</v>
      </c>
      <c r="BO591" s="136" t="n">
        <f aca="false">+MIN($D$4,DATOS_[[#This Row],[Fecha Fin Sit. Contract.]])</f>
        <v>0</v>
      </c>
      <c r="BP591" s="137" t="n">
        <f aca="false">+DATOS_[[#This Row],[% de jornada]]*IF(DATOS_[[#This Row],[% jornada reducida]]="",1,DATOS_[[#This Row],[% jornada reducida]])</f>
        <v>0</v>
      </c>
      <c r="BQ591" s="137" t="n">
        <f aca="false">+(DATOS_[[#This Row],[F.fin.cal]]-DATOS_[[#This Row],[F.ini.cal]]+1)/($D$4-$D$3+1)</f>
        <v>1</v>
      </c>
      <c r="BR591" s="137" t="str">
        <f aca="false">IF(OR(AND(DATOS_[[#This Row],[Fecha Fin Contrato]]&lt;$D$3,DATOS_[[#This Row],[Fecha Fin Contrato]]&lt;&gt;""),DATOS_[[#This Row],[Fecha de Contratación]]&gt;$D$4),"Fuera","Dentro")</f>
        <v>Dentro</v>
      </c>
      <c r="BS591" s="137" t="str">
        <f aca="false" t="array" ref="BS591:BS591">IF(MAX(IF(DATOS_[id]=DATOS_[[#This Row],[id]],DATOS_[F.fin.cal]))=DATOS_[[#This Row],[F.fin.cal]],"Sí","NO")</f>
        <v>Sí</v>
      </c>
      <c r="BT591" s="137" t="str">
        <f aca="false">IF(AND(DATOS_[[#This Row],[% normaliz]]&lt;&gt;1,DATOS_[[#This Row],[% anualiz]]=1),"Sí","NO")</f>
        <v>Sí</v>
      </c>
      <c r="BU591" s="137" t="str">
        <f aca="false">IF(AND(DATOS_[[#This Row],[% normaliz]]=1,DATOS_[[#This Row],[% anualiz]]&lt;&gt;1),"Sí","NO")</f>
        <v>NO</v>
      </c>
      <c r="BV591" s="137" t="str">
        <f aca="false">IF(AND(DATOS_[[#This Row],[% normaliz]]&lt;&gt;1,DATOS_[[#This Row],[% anualiz]]&lt;&gt;1),"Sí","NO")</f>
        <v>NO</v>
      </c>
      <c r="BW591" s="137" t="str">
        <f aca="false">+IF(DATOS_[[#This Row],[% normaliz]]*DATOS_[[#This Row],[% anualiz]]=1,"NO","Sí")</f>
        <v>Sí</v>
      </c>
      <c r="BX591" s="138" t="e">
        <f aca="false">(DATOS_[[#This Row],[S.BASE]]*(1/DATOS_[[#This Row],[% normaliz]])*(1/DATOS_[[#This Row],[% anualiz]]))*IF(DATOS_[[#This Row],[Check Equiparado]]="Sí",1,0)</f>
        <v>#DIV/0!</v>
      </c>
      <c r="BY5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1" s="138" t="e">
        <f aca="false">+DATOS_[[#This Row],[SALARIO BASE Eq]]+DATOS_[[#This Row],[Tot COMPL.SAL Eq]]</f>
        <v>#DIV/0!</v>
      </c>
      <c r="CA591" s="138" t="e">
        <f aca="false" t="array" ref="CA591:CA5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1" s="138" t="e">
        <f aca="false">+DATOS_[[#This Row],[TOTAL SALARIO Eq]]+DATOS_[[#This Row],[Tot Extrasalarial Eq]]</f>
        <v>#DIV/0!</v>
      </c>
      <c r="CC591" s="139" t="n">
        <f aca="false">DATOS_[[#This Row],[S.BASE]]</f>
        <v>0</v>
      </c>
      <c r="CD591" s="139" t="n">
        <f aca="false">+SUM(DATOS_[[#This Row],[Conc.Sal.01]:[Conc.Sal.30]])</f>
        <v>0</v>
      </c>
      <c r="CE591" s="139" t="n">
        <f aca="false">+DATOS_[[#This Row],[SALARIO BASE Ef]]+DATOS_[[#This Row],[Tot COMPL.SAL Ef]]</f>
        <v>0</v>
      </c>
      <c r="CF591" s="139" t="n">
        <f aca="false">+SUM(DATOS_[[#This Row],[C.Extra.01]:[C.Extra.05]])</f>
        <v>0</v>
      </c>
      <c r="CG591" s="139" t="n">
        <f aca="false">+DATOS_[[#This Row],[TOTAL SALARIO Ef]]+DATOS_[[#This Row],[Tot Extrasalarial Ef]]</f>
        <v>0</v>
      </c>
      <c r="CH591" s="140" t="n">
        <f aca="false">MIN(IF(DATOS_[[#This Row],[Fecha Fin Contrato]]="",$D$4,DATOS_[[#This Row],[Fecha Fin Contrato]]),$D$4)-MAX(DATOS_[[#This Row],[Fecha de Contratación]],$D$3)+1</f>
        <v>1</v>
      </c>
      <c r="CI591" s="141" t="str">
        <f aca="false">IF(COUNTIFS(DATOS_[id],DATOS_[[#This Row],[id]])&gt;1,DATOS_[[#This Row],[id]],"")</f>
        <v/>
      </c>
      <c r="CJ591" s="141" t="n">
        <f aca="false">(Inicio!$G$10-DATOS_[[#This Row],[Fecha Nacimiento]])/365.25</f>
        <v>0</v>
      </c>
      <c r="CK591" s="141" t="n">
        <f aca="false">(Inicio!$G$10-DATOS_[[#This Row],[Fecha de Antigüedad]])/365.25</f>
        <v>0</v>
      </c>
      <c r="CL591" s="141" t="e">
        <f aca="false">+VLOOKUP(DATOS_[[#This Row],[Clave de Contrato]],TblTiposContrato13[],3,0)</f>
        <v>#N/A</v>
      </c>
      <c r="CM591" s="141" t="e">
        <f aca="false">+VLOOKUP(DATOS_[[#This Row],[Clave de Contrato]],TblTiposContrato13[],4,0)</f>
        <v>#N/A</v>
      </c>
      <c r="CN591" s="141" t="str">
        <f aca="false">VLOOKUP(DATOS_[[#This Row],[Edad]],CONTRATOS!TblRngEdad,2,1)</f>
        <v>20  o menos</v>
      </c>
      <c r="CO591" s="141" t="str">
        <f aca="false">VLOOKUP(DATOS_[[#This Row],[Antigüedad]],TblRngAntg14[],2,1)</f>
        <v>0 a 1 años</v>
      </c>
    </row>
    <row r="592" customFormat="false" ht="13.8" hidden="false" customHeight="false" outlineLevel="0" collapsed="false">
      <c r="D592" s="128"/>
      <c r="E592" s="129"/>
      <c r="F592" s="129"/>
      <c r="G592" s="129"/>
      <c r="H592" s="130"/>
      <c r="I592" s="131"/>
      <c r="J592" s="128"/>
      <c r="K592" s="132"/>
      <c r="L592" s="132"/>
      <c r="M592" s="133"/>
      <c r="N592" s="133"/>
      <c r="O592" s="133"/>
      <c r="P592" s="129"/>
      <c r="Z592" s="75"/>
      <c r="AA592" s="76"/>
      <c r="AB592" s="76"/>
      <c r="AC592" s="129"/>
      <c r="AD592" s="134"/>
      <c r="AE592" s="134"/>
      <c r="AF592" s="134"/>
      <c r="AG592" s="134"/>
      <c r="AH592" s="134"/>
      <c r="AI592" s="134"/>
      <c r="AJ592" s="134"/>
      <c r="AK592" s="134"/>
      <c r="AL592" s="134"/>
      <c r="AM592" s="134"/>
      <c r="AN592" s="134"/>
      <c r="AO592" s="134"/>
      <c r="AP592" s="134"/>
      <c r="AQ592" s="134"/>
      <c r="AR592" s="134"/>
      <c r="AS592" s="134"/>
      <c r="AT592" s="134"/>
      <c r="AU592" s="134"/>
      <c r="AV592" s="134"/>
      <c r="AW592" s="134"/>
      <c r="AX592" s="134"/>
      <c r="AY592" s="134"/>
      <c r="AZ592" s="134"/>
      <c r="BA592" s="134"/>
      <c r="BB592" s="134"/>
      <c r="BC592" s="134"/>
      <c r="BD592" s="134"/>
      <c r="BE592" s="134"/>
      <c r="BF592" s="134"/>
      <c r="BG592" s="134"/>
      <c r="BH592" s="134"/>
      <c r="BI592" s="134"/>
      <c r="BJ592" s="134"/>
      <c r="BK592" s="134"/>
      <c r="BL592" s="134"/>
      <c r="BM592" s="135"/>
      <c r="BN592" s="136" t="n">
        <f aca="false">+MAX($D$3,DATOS_[[#This Row],[Fecha Inicio Sit. Contract.]])</f>
        <v>0</v>
      </c>
      <c r="BO592" s="136" t="n">
        <f aca="false">+MIN($D$4,DATOS_[[#This Row],[Fecha Fin Sit. Contract.]])</f>
        <v>0</v>
      </c>
      <c r="BP592" s="137" t="n">
        <f aca="false">+DATOS_[[#This Row],[% de jornada]]*IF(DATOS_[[#This Row],[% jornada reducida]]="",1,DATOS_[[#This Row],[% jornada reducida]])</f>
        <v>0</v>
      </c>
      <c r="BQ592" s="137" t="n">
        <f aca="false">+(DATOS_[[#This Row],[F.fin.cal]]-DATOS_[[#This Row],[F.ini.cal]]+1)/($D$4-$D$3+1)</f>
        <v>1</v>
      </c>
      <c r="BR592" s="137" t="str">
        <f aca="false">IF(OR(AND(DATOS_[[#This Row],[Fecha Fin Contrato]]&lt;$D$3,DATOS_[[#This Row],[Fecha Fin Contrato]]&lt;&gt;""),DATOS_[[#This Row],[Fecha de Contratación]]&gt;$D$4),"Fuera","Dentro")</f>
        <v>Dentro</v>
      </c>
      <c r="BS592" s="137" t="str">
        <f aca="false" t="array" ref="BS592:BS592">IF(MAX(IF(DATOS_[id]=DATOS_[[#This Row],[id]],DATOS_[F.fin.cal]))=DATOS_[[#This Row],[F.fin.cal]],"Sí","NO")</f>
        <v>Sí</v>
      </c>
      <c r="BT592" s="137" t="str">
        <f aca="false">IF(AND(DATOS_[[#This Row],[% normaliz]]&lt;&gt;1,DATOS_[[#This Row],[% anualiz]]=1),"Sí","NO")</f>
        <v>Sí</v>
      </c>
      <c r="BU592" s="137" t="str">
        <f aca="false">IF(AND(DATOS_[[#This Row],[% normaliz]]=1,DATOS_[[#This Row],[% anualiz]]&lt;&gt;1),"Sí","NO")</f>
        <v>NO</v>
      </c>
      <c r="BV592" s="137" t="str">
        <f aca="false">IF(AND(DATOS_[[#This Row],[% normaliz]]&lt;&gt;1,DATOS_[[#This Row],[% anualiz]]&lt;&gt;1),"Sí","NO")</f>
        <v>NO</v>
      </c>
      <c r="BW592" s="137" t="str">
        <f aca="false">+IF(DATOS_[[#This Row],[% normaliz]]*DATOS_[[#This Row],[% anualiz]]=1,"NO","Sí")</f>
        <v>Sí</v>
      </c>
      <c r="BX592" s="138" t="e">
        <f aca="false">(DATOS_[[#This Row],[S.BASE]]*(1/DATOS_[[#This Row],[% normaliz]])*(1/DATOS_[[#This Row],[% anualiz]]))*IF(DATOS_[[#This Row],[Check Equiparado]]="Sí",1,0)</f>
        <v>#DIV/0!</v>
      </c>
      <c r="BY5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2" s="138" t="e">
        <f aca="false">+DATOS_[[#This Row],[SALARIO BASE Eq]]+DATOS_[[#This Row],[Tot COMPL.SAL Eq]]</f>
        <v>#DIV/0!</v>
      </c>
      <c r="CA592" s="138" t="e">
        <f aca="false" t="array" ref="CA592:CA5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2" s="138" t="e">
        <f aca="false">+DATOS_[[#This Row],[TOTAL SALARIO Eq]]+DATOS_[[#This Row],[Tot Extrasalarial Eq]]</f>
        <v>#DIV/0!</v>
      </c>
      <c r="CC592" s="139" t="n">
        <f aca="false">DATOS_[[#This Row],[S.BASE]]</f>
        <v>0</v>
      </c>
      <c r="CD592" s="139" t="n">
        <f aca="false">+SUM(DATOS_[[#This Row],[Conc.Sal.01]:[Conc.Sal.30]])</f>
        <v>0</v>
      </c>
      <c r="CE592" s="139" t="n">
        <f aca="false">+DATOS_[[#This Row],[SALARIO BASE Ef]]+DATOS_[[#This Row],[Tot COMPL.SAL Ef]]</f>
        <v>0</v>
      </c>
      <c r="CF592" s="139" t="n">
        <f aca="false">+SUM(DATOS_[[#This Row],[C.Extra.01]:[C.Extra.05]])</f>
        <v>0</v>
      </c>
      <c r="CG592" s="139" t="n">
        <f aca="false">+DATOS_[[#This Row],[TOTAL SALARIO Ef]]+DATOS_[[#This Row],[Tot Extrasalarial Ef]]</f>
        <v>0</v>
      </c>
      <c r="CH592" s="140" t="n">
        <f aca="false">MIN(IF(DATOS_[[#This Row],[Fecha Fin Contrato]]="",$D$4,DATOS_[[#This Row],[Fecha Fin Contrato]]),$D$4)-MAX(DATOS_[[#This Row],[Fecha de Contratación]],$D$3)+1</f>
        <v>1</v>
      </c>
      <c r="CI592" s="141" t="str">
        <f aca="false">IF(COUNTIFS(DATOS_[id],DATOS_[[#This Row],[id]])&gt;1,DATOS_[[#This Row],[id]],"")</f>
        <v/>
      </c>
      <c r="CJ592" s="141" t="n">
        <f aca="false">(Inicio!$G$10-DATOS_[[#This Row],[Fecha Nacimiento]])/365.25</f>
        <v>0</v>
      </c>
      <c r="CK592" s="141" t="n">
        <f aca="false">(Inicio!$G$10-DATOS_[[#This Row],[Fecha de Antigüedad]])/365.25</f>
        <v>0</v>
      </c>
      <c r="CL592" s="141" t="e">
        <f aca="false">+VLOOKUP(DATOS_[[#This Row],[Clave de Contrato]],TblTiposContrato13[],3,0)</f>
        <v>#N/A</v>
      </c>
      <c r="CM592" s="141" t="e">
        <f aca="false">+VLOOKUP(DATOS_[[#This Row],[Clave de Contrato]],TblTiposContrato13[],4,0)</f>
        <v>#N/A</v>
      </c>
      <c r="CN592" s="141" t="str">
        <f aca="false">VLOOKUP(DATOS_[[#This Row],[Edad]],CONTRATOS!TblRngEdad,2,1)</f>
        <v>20  o menos</v>
      </c>
      <c r="CO592" s="141" t="str">
        <f aca="false">VLOOKUP(DATOS_[[#This Row],[Antigüedad]],TblRngAntg14[],2,1)</f>
        <v>0 a 1 años</v>
      </c>
    </row>
    <row r="593" customFormat="false" ht="13.8" hidden="false" customHeight="false" outlineLevel="0" collapsed="false">
      <c r="D593" s="128"/>
      <c r="E593" s="129"/>
      <c r="F593" s="129"/>
      <c r="G593" s="129"/>
      <c r="H593" s="130"/>
      <c r="I593" s="131"/>
      <c r="J593" s="128"/>
      <c r="K593" s="132"/>
      <c r="L593" s="132"/>
      <c r="M593" s="133"/>
      <c r="N593" s="133"/>
      <c r="O593" s="133"/>
      <c r="P593" s="129"/>
      <c r="Z593" s="75"/>
      <c r="AA593" s="76"/>
      <c r="AB593" s="76"/>
      <c r="AC593" s="129"/>
      <c r="AD593" s="134"/>
      <c r="AE593" s="134"/>
      <c r="AF593" s="134"/>
      <c r="AG593" s="134"/>
      <c r="AH593" s="134"/>
      <c r="AI593" s="134"/>
      <c r="AJ593" s="134"/>
      <c r="AK593" s="134"/>
      <c r="AL593" s="134"/>
      <c r="AM593" s="134"/>
      <c r="AN593" s="134"/>
      <c r="AO593" s="134"/>
      <c r="AP593" s="134"/>
      <c r="AQ593" s="134"/>
      <c r="AR593" s="134"/>
      <c r="AS593" s="134"/>
      <c r="AT593" s="134"/>
      <c r="AU593" s="134"/>
      <c r="AV593" s="134"/>
      <c r="AW593" s="134"/>
      <c r="AX593" s="134"/>
      <c r="AY593" s="134"/>
      <c r="AZ593" s="134"/>
      <c r="BA593" s="134"/>
      <c r="BB593" s="134"/>
      <c r="BC593" s="134"/>
      <c r="BD593" s="134"/>
      <c r="BE593" s="134"/>
      <c r="BF593" s="134"/>
      <c r="BG593" s="134"/>
      <c r="BH593" s="134"/>
      <c r="BI593" s="134"/>
      <c r="BJ593" s="134"/>
      <c r="BK593" s="134"/>
      <c r="BL593" s="134"/>
      <c r="BM593" s="135"/>
      <c r="BN593" s="136" t="n">
        <f aca="false">+MAX($D$3,DATOS_[[#This Row],[Fecha Inicio Sit. Contract.]])</f>
        <v>0</v>
      </c>
      <c r="BO593" s="136" t="n">
        <f aca="false">+MIN($D$4,DATOS_[[#This Row],[Fecha Fin Sit. Contract.]])</f>
        <v>0</v>
      </c>
      <c r="BP593" s="137" t="n">
        <f aca="false">+DATOS_[[#This Row],[% de jornada]]*IF(DATOS_[[#This Row],[% jornada reducida]]="",1,DATOS_[[#This Row],[% jornada reducida]])</f>
        <v>0</v>
      </c>
      <c r="BQ593" s="137" t="n">
        <f aca="false">+(DATOS_[[#This Row],[F.fin.cal]]-DATOS_[[#This Row],[F.ini.cal]]+1)/($D$4-$D$3+1)</f>
        <v>1</v>
      </c>
      <c r="BR593" s="137" t="str">
        <f aca="false">IF(OR(AND(DATOS_[[#This Row],[Fecha Fin Contrato]]&lt;$D$3,DATOS_[[#This Row],[Fecha Fin Contrato]]&lt;&gt;""),DATOS_[[#This Row],[Fecha de Contratación]]&gt;$D$4),"Fuera","Dentro")</f>
        <v>Dentro</v>
      </c>
      <c r="BS593" s="137" t="str">
        <f aca="false" t="array" ref="BS593:BS593">IF(MAX(IF(DATOS_[id]=DATOS_[[#This Row],[id]],DATOS_[F.fin.cal]))=DATOS_[[#This Row],[F.fin.cal]],"Sí","NO")</f>
        <v>Sí</v>
      </c>
      <c r="BT593" s="137" t="str">
        <f aca="false">IF(AND(DATOS_[[#This Row],[% normaliz]]&lt;&gt;1,DATOS_[[#This Row],[% anualiz]]=1),"Sí","NO")</f>
        <v>Sí</v>
      </c>
      <c r="BU593" s="137" t="str">
        <f aca="false">IF(AND(DATOS_[[#This Row],[% normaliz]]=1,DATOS_[[#This Row],[% anualiz]]&lt;&gt;1),"Sí","NO")</f>
        <v>NO</v>
      </c>
      <c r="BV593" s="137" t="str">
        <f aca="false">IF(AND(DATOS_[[#This Row],[% normaliz]]&lt;&gt;1,DATOS_[[#This Row],[% anualiz]]&lt;&gt;1),"Sí","NO")</f>
        <v>NO</v>
      </c>
      <c r="BW593" s="137" t="str">
        <f aca="false">+IF(DATOS_[[#This Row],[% normaliz]]*DATOS_[[#This Row],[% anualiz]]=1,"NO","Sí")</f>
        <v>Sí</v>
      </c>
      <c r="BX593" s="138" t="e">
        <f aca="false">(DATOS_[[#This Row],[S.BASE]]*(1/DATOS_[[#This Row],[% normaliz]])*(1/DATOS_[[#This Row],[% anualiz]]))*IF(DATOS_[[#This Row],[Check Equiparado]]="Sí",1,0)</f>
        <v>#DIV/0!</v>
      </c>
      <c r="BY5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3" s="138" t="e">
        <f aca="false">+DATOS_[[#This Row],[SALARIO BASE Eq]]+DATOS_[[#This Row],[Tot COMPL.SAL Eq]]</f>
        <v>#DIV/0!</v>
      </c>
      <c r="CA593" s="138" t="e">
        <f aca="false" t="array" ref="CA593:CA5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3" s="138" t="e">
        <f aca="false">+DATOS_[[#This Row],[TOTAL SALARIO Eq]]+DATOS_[[#This Row],[Tot Extrasalarial Eq]]</f>
        <v>#DIV/0!</v>
      </c>
      <c r="CC593" s="139" t="n">
        <f aca="false">DATOS_[[#This Row],[S.BASE]]</f>
        <v>0</v>
      </c>
      <c r="CD593" s="139" t="n">
        <f aca="false">+SUM(DATOS_[[#This Row],[Conc.Sal.01]:[Conc.Sal.30]])</f>
        <v>0</v>
      </c>
      <c r="CE593" s="139" t="n">
        <f aca="false">+DATOS_[[#This Row],[SALARIO BASE Ef]]+DATOS_[[#This Row],[Tot COMPL.SAL Ef]]</f>
        <v>0</v>
      </c>
      <c r="CF593" s="139" t="n">
        <f aca="false">+SUM(DATOS_[[#This Row],[C.Extra.01]:[C.Extra.05]])</f>
        <v>0</v>
      </c>
      <c r="CG593" s="139" t="n">
        <f aca="false">+DATOS_[[#This Row],[TOTAL SALARIO Ef]]+DATOS_[[#This Row],[Tot Extrasalarial Ef]]</f>
        <v>0</v>
      </c>
      <c r="CH593" s="140" t="n">
        <f aca="false">MIN(IF(DATOS_[[#This Row],[Fecha Fin Contrato]]="",$D$4,DATOS_[[#This Row],[Fecha Fin Contrato]]),$D$4)-MAX(DATOS_[[#This Row],[Fecha de Contratación]],$D$3)+1</f>
        <v>1</v>
      </c>
      <c r="CI593" s="141" t="str">
        <f aca="false">IF(COUNTIFS(DATOS_[id],DATOS_[[#This Row],[id]])&gt;1,DATOS_[[#This Row],[id]],"")</f>
        <v/>
      </c>
      <c r="CJ593" s="141" t="n">
        <f aca="false">(Inicio!$G$10-DATOS_[[#This Row],[Fecha Nacimiento]])/365.25</f>
        <v>0</v>
      </c>
      <c r="CK593" s="141" t="n">
        <f aca="false">(Inicio!$G$10-DATOS_[[#This Row],[Fecha de Antigüedad]])/365.25</f>
        <v>0</v>
      </c>
      <c r="CL593" s="141" t="e">
        <f aca="false">+VLOOKUP(DATOS_[[#This Row],[Clave de Contrato]],TblTiposContrato13[],3,0)</f>
        <v>#N/A</v>
      </c>
      <c r="CM593" s="141" t="e">
        <f aca="false">+VLOOKUP(DATOS_[[#This Row],[Clave de Contrato]],TblTiposContrato13[],4,0)</f>
        <v>#N/A</v>
      </c>
      <c r="CN593" s="141" t="str">
        <f aca="false">VLOOKUP(DATOS_[[#This Row],[Edad]],CONTRATOS!TblRngEdad,2,1)</f>
        <v>20  o menos</v>
      </c>
      <c r="CO593" s="141" t="str">
        <f aca="false">VLOOKUP(DATOS_[[#This Row],[Antigüedad]],TblRngAntg14[],2,1)</f>
        <v>0 a 1 años</v>
      </c>
    </row>
    <row r="594" customFormat="false" ht="13.8" hidden="false" customHeight="false" outlineLevel="0" collapsed="false">
      <c r="D594" s="128"/>
      <c r="E594" s="129"/>
      <c r="F594" s="129"/>
      <c r="G594" s="129"/>
      <c r="H594" s="130"/>
      <c r="I594" s="131"/>
      <c r="J594" s="128"/>
      <c r="K594" s="132"/>
      <c r="L594" s="132"/>
      <c r="M594" s="133"/>
      <c r="N594" s="133"/>
      <c r="O594" s="133"/>
      <c r="P594" s="129"/>
      <c r="Z594" s="75"/>
      <c r="AA594" s="76"/>
      <c r="AB594" s="76"/>
      <c r="AC594" s="129"/>
      <c r="AD594" s="134"/>
      <c r="AE594" s="134"/>
      <c r="AF594" s="134"/>
      <c r="AG594" s="134"/>
      <c r="AH594" s="134"/>
      <c r="AI594" s="134"/>
      <c r="AJ594" s="134"/>
      <c r="AK594" s="134"/>
      <c r="AL594" s="134"/>
      <c r="AM594" s="134"/>
      <c r="AN594" s="134"/>
      <c r="AO594" s="134"/>
      <c r="AP594" s="134"/>
      <c r="AQ594" s="134"/>
      <c r="AR594" s="134"/>
      <c r="AS594" s="134"/>
      <c r="AT594" s="134"/>
      <c r="AU594" s="134"/>
      <c r="AV594" s="134"/>
      <c r="AW594" s="134"/>
      <c r="AX594" s="134"/>
      <c r="AY594" s="134"/>
      <c r="AZ594" s="134"/>
      <c r="BA594" s="134"/>
      <c r="BB594" s="134"/>
      <c r="BC594" s="134"/>
      <c r="BD594" s="134"/>
      <c r="BE594" s="134"/>
      <c r="BF594" s="134"/>
      <c r="BG594" s="134"/>
      <c r="BH594" s="134"/>
      <c r="BI594" s="134"/>
      <c r="BJ594" s="134"/>
      <c r="BK594" s="134"/>
      <c r="BL594" s="134"/>
      <c r="BM594" s="135"/>
      <c r="BN594" s="136" t="n">
        <f aca="false">+MAX($D$3,DATOS_[[#This Row],[Fecha Inicio Sit. Contract.]])</f>
        <v>0</v>
      </c>
      <c r="BO594" s="136" t="n">
        <f aca="false">+MIN($D$4,DATOS_[[#This Row],[Fecha Fin Sit. Contract.]])</f>
        <v>0</v>
      </c>
      <c r="BP594" s="137" t="n">
        <f aca="false">+DATOS_[[#This Row],[% de jornada]]*IF(DATOS_[[#This Row],[% jornada reducida]]="",1,DATOS_[[#This Row],[% jornada reducida]])</f>
        <v>0</v>
      </c>
      <c r="BQ594" s="137" t="n">
        <f aca="false">+(DATOS_[[#This Row],[F.fin.cal]]-DATOS_[[#This Row],[F.ini.cal]]+1)/($D$4-$D$3+1)</f>
        <v>1</v>
      </c>
      <c r="BR594" s="137" t="str">
        <f aca="false">IF(OR(AND(DATOS_[[#This Row],[Fecha Fin Contrato]]&lt;$D$3,DATOS_[[#This Row],[Fecha Fin Contrato]]&lt;&gt;""),DATOS_[[#This Row],[Fecha de Contratación]]&gt;$D$4),"Fuera","Dentro")</f>
        <v>Dentro</v>
      </c>
      <c r="BS594" s="137" t="str">
        <f aca="false" t="array" ref="BS594:BS594">IF(MAX(IF(DATOS_[id]=DATOS_[[#This Row],[id]],DATOS_[F.fin.cal]))=DATOS_[[#This Row],[F.fin.cal]],"Sí","NO")</f>
        <v>Sí</v>
      </c>
      <c r="BT594" s="137" t="str">
        <f aca="false">IF(AND(DATOS_[[#This Row],[% normaliz]]&lt;&gt;1,DATOS_[[#This Row],[% anualiz]]=1),"Sí","NO")</f>
        <v>Sí</v>
      </c>
      <c r="BU594" s="137" t="str">
        <f aca="false">IF(AND(DATOS_[[#This Row],[% normaliz]]=1,DATOS_[[#This Row],[% anualiz]]&lt;&gt;1),"Sí","NO")</f>
        <v>NO</v>
      </c>
      <c r="BV594" s="137" t="str">
        <f aca="false">IF(AND(DATOS_[[#This Row],[% normaliz]]&lt;&gt;1,DATOS_[[#This Row],[% anualiz]]&lt;&gt;1),"Sí","NO")</f>
        <v>NO</v>
      </c>
      <c r="BW594" s="137" t="str">
        <f aca="false">+IF(DATOS_[[#This Row],[% normaliz]]*DATOS_[[#This Row],[% anualiz]]=1,"NO","Sí")</f>
        <v>Sí</v>
      </c>
      <c r="BX594" s="138" t="e">
        <f aca="false">(DATOS_[[#This Row],[S.BASE]]*(1/DATOS_[[#This Row],[% normaliz]])*(1/DATOS_[[#This Row],[% anualiz]]))*IF(DATOS_[[#This Row],[Check Equiparado]]="Sí",1,0)</f>
        <v>#DIV/0!</v>
      </c>
      <c r="BY5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4" s="138" t="e">
        <f aca="false">+DATOS_[[#This Row],[SALARIO BASE Eq]]+DATOS_[[#This Row],[Tot COMPL.SAL Eq]]</f>
        <v>#DIV/0!</v>
      </c>
      <c r="CA594" s="138" t="e">
        <f aca="false" t="array" ref="CA594:CA5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4" s="138" t="e">
        <f aca="false">+DATOS_[[#This Row],[TOTAL SALARIO Eq]]+DATOS_[[#This Row],[Tot Extrasalarial Eq]]</f>
        <v>#DIV/0!</v>
      </c>
      <c r="CC594" s="139" t="n">
        <f aca="false">DATOS_[[#This Row],[S.BASE]]</f>
        <v>0</v>
      </c>
      <c r="CD594" s="139" t="n">
        <f aca="false">+SUM(DATOS_[[#This Row],[Conc.Sal.01]:[Conc.Sal.30]])</f>
        <v>0</v>
      </c>
      <c r="CE594" s="139" t="n">
        <f aca="false">+DATOS_[[#This Row],[SALARIO BASE Ef]]+DATOS_[[#This Row],[Tot COMPL.SAL Ef]]</f>
        <v>0</v>
      </c>
      <c r="CF594" s="139" t="n">
        <f aca="false">+SUM(DATOS_[[#This Row],[C.Extra.01]:[C.Extra.05]])</f>
        <v>0</v>
      </c>
      <c r="CG594" s="139" t="n">
        <f aca="false">+DATOS_[[#This Row],[TOTAL SALARIO Ef]]+DATOS_[[#This Row],[Tot Extrasalarial Ef]]</f>
        <v>0</v>
      </c>
      <c r="CH594" s="140" t="n">
        <f aca="false">MIN(IF(DATOS_[[#This Row],[Fecha Fin Contrato]]="",$D$4,DATOS_[[#This Row],[Fecha Fin Contrato]]),$D$4)-MAX(DATOS_[[#This Row],[Fecha de Contratación]],$D$3)+1</f>
        <v>1</v>
      </c>
      <c r="CI594" s="141" t="str">
        <f aca="false">IF(COUNTIFS(DATOS_[id],DATOS_[[#This Row],[id]])&gt;1,DATOS_[[#This Row],[id]],"")</f>
        <v/>
      </c>
      <c r="CJ594" s="141" t="n">
        <f aca="false">(Inicio!$G$10-DATOS_[[#This Row],[Fecha Nacimiento]])/365.25</f>
        <v>0</v>
      </c>
      <c r="CK594" s="141" t="n">
        <f aca="false">(Inicio!$G$10-DATOS_[[#This Row],[Fecha de Antigüedad]])/365.25</f>
        <v>0</v>
      </c>
      <c r="CL594" s="141" t="e">
        <f aca="false">+VLOOKUP(DATOS_[[#This Row],[Clave de Contrato]],TblTiposContrato13[],3,0)</f>
        <v>#N/A</v>
      </c>
      <c r="CM594" s="141" t="e">
        <f aca="false">+VLOOKUP(DATOS_[[#This Row],[Clave de Contrato]],TblTiposContrato13[],4,0)</f>
        <v>#N/A</v>
      </c>
      <c r="CN594" s="141" t="str">
        <f aca="false">VLOOKUP(DATOS_[[#This Row],[Edad]],CONTRATOS!TblRngEdad,2,1)</f>
        <v>20  o menos</v>
      </c>
      <c r="CO594" s="141" t="str">
        <f aca="false">VLOOKUP(DATOS_[[#This Row],[Antigüedad]],TblRngAntg14[],2,1)</f>
        <v>0 a 1 años</v>
      </c>
    </row>
    <row r="595" customFormat="false" ht="13.8" hidden="false" customHeight="false" outlineLevel="0" collapsed="false">
      <c r="D595" s="128"/>
      <c r="E595" s="129"/>
      <c r="F595" s="129"/>
      <c r="G595" s="129"/>
      <c r="H595" s="130"/>
      <c r="I595" s="131"/>
      <c r="J595" s="128"/>
      <c r="K595" s="132"/>
      <c r="L595" s="132"/>
      <c r="M595" s="133"/>
      <c r="N595" s="133"/>
      <c r="O595" s="133"/>
      <c r="P595" s="129"/>
      <c r="Z595" s="75"/>
      <c r="AA595" s="76"/>
      <c r="AB595" s="76"/>
      <c r="AC595" s="129"/>
      <c r="AD595" s="134"/>
      <c r="AE595" s="134"/>
      <c r="AF595" s="134"/>
      <c r="AG595" s="134"/>
      <c r="AH595" s="134"/>
      <c r="AI595" s="134"/>
      <c r="AJ595" s="134"/>
      <c r="AK595" s="134"/>
      <c r="AL595" s="134"/>
      <c r="AM595" s="134"/>
      <c r="AN595" s="134"/>
      <c r="AO595" s="134"/>
      <c r="AP595" s="134"/>
      <c r="AQ595" s="134"/>
      <c r="AR595" s="134"/>
      <c r="AS595" s="134"/>
      <c r="AT595" s="134"/>
      <c r="AU595" s="134"/>
      <c r="AV595" s="134"/>
      <c r="AW595" s="134"/>
      <c r="AX595" s="134"/>
      <c r="AY595" s="134"/>
      <c r="AZ595" s="134"/>
      <c r="BA595" s="134"/>
      <c r="BB595" s="134"/>
      <c r="BC595" s="134"/>
      <c r="BD595" s="134"/>
      <c r="BE595" s="134"/>
      <c r="BF595" s="134"/>
      <c r="BG595" s="134"/>
      <c r="BH595" s="134"/>
      <c r="BI595" s="134"/>
      <c r="BJ595" s="134"/>
      <c r="BK595" s="134"/>
      <c r="BL595" s="134"/>
      <c r="BM595" s="135"/>
      <c r="BN595" s="136" t="n">
        <f aca="false">+MAX($D$3,DATOS_[[#This Row],[Fecha Inicio Sit. Contract.]])</f>
        <v>0</v>
      </c>
      <c r="BO595" s="136" t="n">
        <f aca="false">+MIN($D$4,DATOS_[[#This Row],[Fecha Fin Sit. Contract.]])</f>
        <v>0</v>
      </c>
      <c r="BP595" s="137" t="n">
        <f aca="false">+DATOS_[[#This Row],[% de jornada]]*IF(DATOS_[[#This Row],[% jornada reducida]]="",1,DATOS_[[#This Row],[% jornada reducida]])</f>
        <v>0</v>
      </c>
      <c r="BQ595" s="137" t="n">
        <f aca="false">+(DATOS_[[#This Row],[F.fin.cal]]-DATOS_[[#This Row],[F.ini.cal]]+1)/($D$4-$D$3+1)</f>
        <v>1</v>
      </c>
      <c r="BR595" s="137" t="str">
        <f aca="false">IF(OR(AND(DATOS_[[#This Row],[Fecha Fin Contrato]]&lt;$D$3,DATOS_[[#This Row],[Fecha Fin Contrato]]&lt;&gt;""),DATOS_[[#This Row],[Fecha de Contratación]]&gt;$D$4),"Fuera","Dentro")</f>
        <v>Dentro</v>
      </c>
      <c r="BS595" s="137" t="str">
        <f aca="false" t="array" ref="BS595:BS595">IF(MAX(IF(DATOS_[id]=DATOS_[[#This Row],[id]],DATOS_[F.fin.cal]))=DATOS_[[#This Row],[F.fin.cal]],"Sí","NO")</f>
        <v>Sí</v>
      </c>
      <c r="BT595" s="137" t="str">
        <f aca="false">IF(AND(DATOS_[[#This Row],[% normaliz]]&lt;&gt;1,DATOS_[[#This Row],[% anualiz]]=1),"Sí","NO")</f>
        <v>Sí</v>
      </c>
      <c r="BU595" s="137" t="str">
        <f aca="false">IF(AND(DATOS_[[#This Row],[% normaliz]]=1,DATOS_[[#This Row],[% anualiz]]&lt;&gt;1),"Sí","NO")</f>
        <v>NO</v>
      </c>
      <c r="BV595" s="137" t="str">
        <f aca="false">IF(AND(DATOS_[[#This Row],[% normaliz]]&lt;&gt;1,DATOS_[[#This Row],[% anualiz]]&lt;&gt;1),"Sí","NO")</f>
        <v>NO</v>
      </c>
      <c r="BW595" s="137" t="str">
        <f aca="false">+IF(DATOS_[[#This Row],[% normaliz]]*DATOS_[[#This Row],[% anualiz]]=1,"NO","Sí")</f>
        <v>Sí</v>
      </c>
      <c r="BX595" s="138" t="e">
        <f aca="false">(DATOS_[[#This Row],[S.BASE]]*(1/DATOS_[[#This Row],[% normaliz]])*(1/DATOS_[[#This Row],[% anualiz]]))*IF(DATOS_[[#This Row],[Check Equiparado]]="Sí",1,0)</f>
        <v>#DIV/0!</v>
      </c>
      <c r="BY5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5" s="138" t="e">
        <f aca="false">+DATOS_[[#This Row],[SALARIO BASE Eq]]+DATOS_[[#This Row],[Tot COMPL.SAL Eq]]</f>
        <v>#DIV/0!</v>
      </c>
      <c r="CA595" s="138" t="e">
        <f aca="false" t="array" ref="CA595:CA5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5" s="138" t="e">
        <f aca="false">+DATOS_[[#This Row],[TOTAL SALARIO Eq]]+DATOS_[[#This Row],[Tot Extrasalarial Eq]]</f>
        <v>#DIV/0!</v>
      </c>
      <c r="CC595" s="139" t="n">
        <f aca="false">DATOS_[[#This Row],[S.BASE]]</f>
        <v>0</v>
      </c>
      <c r="CD595" s="139" t="n">
        <f aca="false">+SUM(DATOS_[[#This Row],[Conc.Sal.01]:[Conc.Sal.30]])</f>
        <v>0</v>
      </c>
      <c r="CE595" s="139" t="n">
        <f aca="false">+DATOS_[[#This Row],[SALARIO BASE Ef]]+DATOS_[[#This Row],[Tot COMPL.SAL Ef]]</f>
        <v>0</v>
      </c>
      <c r="CF595" s="139" t="n">
        <f aca="false">+SUM(DATOS_[[#This Row],[C.Extra.01]:[C.Extra.05]])</f>
        <v>0</v>
      </c>
      <c r="CG595" s="139" t="n">
        <f aca="false">+DATOS_[[#This Row],[TOTAL SALARIO Ef]]+DATOS_[[#This Row],[Tot Extrasalarial Ef]]</f>
        <v>0</v>
      </c>
      <c r="CH595" s="140" t="n">
        <f aca="false">MIN(IF(DATOS_[[#This Row],[Fecha Fin Contrato]]="",$D$4,DATOS_[[#This Row],[Fecha Fin Contrato]]),$D$4)-MAX(DATOS_[[#This Row],[Fecha de Contratación]],$D$3)+1</f>
        <v>1</v>
      </c>
      <c r="CI595" s="141" t="str">
        <f aca="false">IF(COUNTIFS(DATOS_[id],DATOS_[[#This Row],[id]])&gt;1,DATOS_[[#This Row],[id]],"")</f>
        <v/>
      </c>
      <c r="CJ595" s="141" t="n">
        <f aca="false">(Inicio!$G$10-DATOS_[[#This Row],[Fecha Nacimiento]])/365.25</f>
        <v>0</v>
      </c>
      <c r="CK595" s="141" t="n">
        <f aca="false">(Inicio!$G$10-DATOS_[[#This Row],[Fecha de Antigüedad]])/365.25</f>
        <v>0</v>
      </c>
      <c r="CL595" s="141" t="e">
        <f aca="false">+VLOOKUP(DATOS_[[#This Row],[Clave de Contrato]],TblTiposContrato13[],3,0)</f>
        <v>#N/A</v>
      </c>
      <c r="CM595" s="141" t="e">
        <f aca="false">+VLOOKUP(DATOS_[[#This Row],[Clave de Contrato]],TblTiposContrato13[],4,0)</f>
        <v>#N/A</v>
      </c>
      <c r="CN595" s="141" t="str">
        <f aca="false">VLOOKUP(DATOS_[[#This Row],[Edad]],CONTRATOS!TblRngEdad,2,1)</f>
        <v>20  o menos</v>
      </c>
      <c r="CO595" s="141" t="str">
        <f aca="false">VLOOKUP(DATOS_[[#This Row],[Antigüedad]],TblRngAntg14[],2,1)</f>
        <v>0 a 1 años</v>
      </c>
    </row>
    <row r="596" customFormat="false" ht="13.8" hidden="false" customHeight="false" outlineLevel="0" collapsed="false">
      <c r="D596" s="128"/>
      <c r="E596" s="129"/>
      <c r="F596" s="129"/>
      <c r="G596" s="129"/>
      <c r="H596" s="130"/>
      <c r="I596" s="131"/>
      <c r="J596" s="128"/>
      <c r="K596" s="132"/>
      <c r="L596" s="132"/>
      <c r="M596" s="133"/>
      <c r="N596" s="133"/>
      <c r="O596" s="133"/>
      <c r="P596" s="129"/>
      <c r="Z596" s="75"/>
      <c r="AA596" s="76"/>
      <c r="AB596" s="76"/>
      <c r="AC596" s="129"/>
      <c r="AD596" s="134"/>
      <c r="AE596" s="134"/>
      <c r="AF596" s="134"/>
      <c r="AG596" s="134"/>
      <c r="AH596" s="134"/>
      <c r="AI596" s="134"/>
      <c r="AJ596" s="134"/>
      <c r="AK596" s="134"/>
      <c r="AL596" s="134"/>
      <c r="AM596" s="134"/>
      <c r="AN596" s="134"/>
      <c r="AO596" s="134"/>
      <c r="AP596" s="134"/>
      <c r="AQ596" s="134"/>
      <c r="AR596" s="134"/>
      <c r="AS596" s="134"/>
      <c r="AT596" s="134"/>
      <c r="AU596" s="134"/>
      <c r="AV596" s="134"/>
      <c r="AW596" s="134"/>
      <c r="AX596" s="134"/>
      <c r="AY596" s="134"/>
      <c r="AZ596" s="134"/>
      <c r="BA596" s="134"/>
      <c r="BB596" s="134"/>
      <c r="BC596" s="134"/>
      <c r="BD596" s="134"/>
      <c r="BE596" s="134"/>
      <c r="BF596" s="134"/>
      <c r="BG596" s="134"/>
      <c r="BH596" s="134"/>
      <c r="BI596" s="134"/>
      <c r="BJ596" s="134"/>
      <c r="BK596" s="134"/>
      <c r="BL596" s="134"/>
      <c r="BM596" s="135"/>
      <c r="BN596" s="136" t="n">
        <f aca="false">+MAX($D$3,DATOS_[[#This Row],[Fecha Inicio Sit. Contract.]])</f>
        <v>0</v>
      </c>
      <c r="BO596" s="136" t="n">
        <f aca="false">+MIN($D$4,DATOS_[[#This Row],[Fecha Fin Sit. Contract.]])</f>
        <v>0</v>
      </c>
      <c r="BP596" s="137" t="n">
        <f aca="false">+DATOS_[[#This Row],[% de jornada]]*IF(DATOS_[[#This Row],[% jornada reducida]]="",1,DATOS_[[#This Row],[% jornada reducida]])</f>
        <v>0</v>
      </c>
      <c r="BQ596" s="137" t="n">
        <f aca="false">+(DATOS_[[#This Row],[F.fin.cal]]-DATOS_[[#This Row],[F.ini.cal]]+1)/($D$4-$D$3+1)</f>
        <v>1</v>
      </c>
      <c r="BR596" s="137" t="str">
        <f aca="false">IF(OR(AND(DATOS_[[#This Row],[Fecha Fin Contrato]]&lt;$D$3,DATOS_[[#This Row],[Fecha Fin Contrato]]&lt;&gt;""),DATOS_[[#This Row],[Fecha de Contratación]]&gt;$D$4),"Fuera","Dentro")</f>
        <v>Dentro</v>
      </c>
      <c r="BS596" s="137" t="str">
        <f aca="false" t="array" ref="BS596:BS596">IF(MAX(IF(DATOS_[id]=DATOS_[[#This Row],[id]],DATOS_[F.fin.cal]))=DATOS_[[#This Row],[F.fin.cal]],"Sí","NO")</f>
        <v>Sí</v>
      </c>
      <c r="BT596" s="137" t="str">
        <f aca="false">IF(AND(DATOS_[[#This Row],[% normaliz]]&lt;&gt;1,DATOS_[[#This Row],[% anualiz]]=1),"Sí","NO")</f>
        <v>Sí</v>
      </c>
      <c r="BU596" s="137" t="str">
        <f aca="false">IF(AND(DATOS_[[#This Row],[% normaliz]]=1,DATOS_[[#This Row],[% anualiz]]&lt;&gt;1),"Sí","NO")</f>
        <v>NO</v>
      </c>
      <c r="BV596" s="137" t="str">
        <f aca="false">IF(AND(DATOS_[[#This Row],[% normaliz]]&lt;&gt;1,DATOS_[[#This Row],[% anualiz]]&lt;&gt;1),"Sí","NO")</f>
        <v>NO</v>
      </c>
      <c r="BW596" s="137" t="str">
        <f aca="false">+IF(DATOS_[[#This Row],[% normaliz]]*DATOS_[[#This Row],[% anualiz]]=1,"NO","Sí")</f>
        <v>Sí</v>
      </c>
      <c r="BX596" s="138" t="e">
        <f aca="false">(DATOS_[[#This Row],[S.BASE]]*(1/DATOS_[[#This Row],[% normaliz]])*(1/DATOS_[[#This Row],[% anualiz]]))*IF(DATOS_[[#This Row],[Check Equiparado]]="Sí",1,0)</f>
        <v>#DIV/0!</v>
      </c>
      <c r="BY5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6" s="138" t="e">
        <f aca="false">+DATOS_[[#This Row],[SALARIO BASE Eq]]+DATOS_[[#This Row],[Tot COMPL.SAL Eq]]</f>
        <v>#DIV/0!</v>
      </c>
      <c r="CA596" s="138" t="e">
        <f aca="false" t="array" ref="CA596:CA5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6" s="138" t="e">
        <f aca="false">+DATOS_[[#This Row],[TOTAL SALARIO Eq]]+DATOS_[[#This Row],[Tot Extrasalarial Eq]]</f>
        <v>#DIV/0!</v>
      </c>
      <c r="CC596" s="139" t="n">
        <f aca="false">DATOS_[[#This Row],[S.BASE]]</f>
        <v>0</v>
      </c>
      <c r="CD596" s="139" t="n">
        <f aca="false">+SUM(DATOS_[[#This Row],[Conc.Sal.01]:[Conc.Sal.30]])</f>
        <v>0</v>
      </c>
      <c r="CE596" s="139" t="n">
        <f aca="false">+DATOS_[[#This Row],[SALARIO BASE Ef]]+DATOS_[[#This Row],[Tot COMPL.SAL Ef]]</f>
        <v>0</v>
      </c>
      <c r="CF596" s="139" t="n">
        <f aca="false">+SUM(DATOS_[[#This Row],[C.Extra.01]:[C.Extra.05]])</f>
        <v>0</v>
      </c>
      <c r="CG596" s="139" t="n">
        <f aca="false">+DATOS_[[#This Row],[TOTAL SALARIO Ef]]+DATOS_[[#This Row],[Tot Extrasalarial Ef]]</f>
        <v>0</v>
      </c>
      <c r="CH596" s="140" t="n">
        <f aca="false">MIN(IF(DATOS_[[#This Row],[Fecha Fin Contrato]]="",$D$4,DATOS_[[#This Row],[Fecha Fin Contrato]]),$D$4)-MAX(DATOS_[[#This Row],[Fecha de Contratación]],$D$3)+1</f>
        <v>1</v>
      </c>
      <c r="CI596" s="141" t="str">
        <f aca="false">IF(COUNTIFS(DATOS_[id],DATOS_[[#This Row],[id]])&gt;1,DATOS_[[#This Row],[id]],"")</f>
        <v/>
      </c>
      <c r="CJ596" s="141" t="n">
        <f aca="false">(Inicio!$G$10-DATOS_[[#This Row],[Fecha Nacimiento]])/365.25</f>
        <v>0</v>
      </c>
      <c r="CK596" s="141" t="n">
        <f aca="false">(Inicio!$G$10-DATOS_[[#This Row],[Fecha de Antigüedad]])/365.25</f>
        <v>0</v>
      </c>
      <c r="CL596" s="141" t="e">
        <f aca="false">+VLOOKUP(DATOS_[[#This Row],[Clave de Contrato]],TblTiposContrato13[],3,0)</f>
        <v>#N/A</v>
      </c>
      <c r="CM596" s="141" t="e">
        <f aca="false">+VLOOKUP(DATOS_[[#This Row],[Clave de Contrato]],TblTiposContrato13[],4,0)</f>
        <v>#N/A</v>
      </c>
      <c r="CN596" s="141" t="str">
        <f aca="false">VLOOKUP(DATOS_[[#This Row],[Edad]],CONTRATOS!TblRngEdad,2,1)</f>
        <v>20  o menos</v>
      </c>
      <c r="CO596" s="141" t="str">
        <f aca="false">VLOOKUP(DATOS_[[#This Row],[Antigüedad]],TblRngAntg14[],2,1)</f>
        <v>0 a 1 años</v>
      </c>
    </row>
    <row r="597" customFormat="false" ht="13.8" hidden="false" customHeight="false" outlineLevel="0" collapsed="false">
      <c r="D597" s="128"/>
      <c r="E597" s="129"/>
      <c r="F597" s="129"/>
      <c r="G597" s="129"/>
      <c r="H597" s="130"/>
      <c r="I597" s="131"/>
      <c r="J597" s="128"/>
      <c r="K597" s="132"/>
      <c r="L597" s="132"/>
      <c r="M597" s="133"/>
      <c r="N597" s="133"/>
      <c r="O597" s="133"/>
      <c r="P597" s="129"/>
      <c r="Z597" s="75"/>
      <c r="AA597" s="76"/>
      <c r="AB597" s="76"/>
      <c r="AC597" s="129"/>
      <c r="AD597" s="134"/>
      <c r="AE597" s="134"/>
      <c r="AF597" s="134"/>
      <c r="AG597" s="134"/>
      <c r="AH597" s="134"/>
      <c r="AI597" s="134"/>
      <c r="AJ597" s="134"/>
      <c r="AK597" s="134"/>
      <c r="AL597" s="134"/>
      <c r="AM597" s="134"/>
      <c r="AN597" s="134"/>
      <c r="AO597" s="134"/>
      <c r="AP597" s="134"/>
      <c r="AQ597" s="134"/>
      <c r="AR597" s="134"/>
      <c r="AS597" s="134"/>
      <c r="AT597" s="134"/>
      <c r="AU597" s="134"/>
      <c r="AV597" s="134"/>
      <c r="AW597" s="134"/>
      <c r="AX597" s="134"/>
      <c r="AY597" s="134"/>
      <c r="AZ597" s="134"/>
      <c r="BA597" s="134"/>
      <c r="BB597" s="134"/>
      <c r="BC597" s="134"/>
      <c r="BD597" s="134"/>
      <c r="BE597" s="134"/>
      <c r="BF597" s="134"/>
      <c r="BG597" s="134"/>
      <c r="BH597" s="134"/>
      <c r="BI597" s="134"/>
      <c r="BJ597" s="134"/>
      <c r="BK597" s="134"/>
      <c r="BL597" s="134"/>
      <c r="BM597" s="135"/>
      <c r="BN597" s="136" t="n">
        <f aca="false">+MAX($D$3,DATOS_[[#This Row],[Fecha Inicio Sit. Contract.]])</f>
        <v>0</v>
      </c>
      <c r="BO597" s="136" t="n">
        <f aca="false">+MIN($D$4,DATOS_[[#This Row],[Fecha Fin Sit. Contract.]])</f>
        <v>0</v>
      </c>
      <c r="BP597" s="137" t="n">
        <f aca="false">+DATOS_[[#This Row],[% de jornada]]*IF(DATOS_[[#This Row],[% jornada reducida]]="",1,DATOS_[[#This Row],[% jornada reducida]])</f>
        <v>0</v>
      </c>
      <c r="BQ597" s="137" t="n">
        <f aca="false">+(DATOS_[[#This Row],[F.fin.cal]]-DATOS_[[#This Row],[F.ini.cal]]+1)/($D$4-$D$3+1)</f>
        <v>1</v>
      </c>
      <c r="BR597" s="137" t="str">
        <f aca="false">IF(OR(AND(DATOS_[[#This Row],[Fecha Fin Contrato]]&lt;$D$3,DATOS_[[#This Row],[Fecha Fin Contrato]]&lt;&gt;""),DATOS_[[#This Row],[Fecha de Contratación]]&gt;$D$4),"Fuera","Dentro")</f>
        <v>Dentro</v>
      </c>
      <c r="BS597" s="137" t="str">
        <f aca="false" t="array" ref="BS597:BS597">IF(MAX(IF(DATOS_[id]=DATOS_[[#This Row],[id]],DATOS_[F.fin.cal]))=DATOS_[[#This Row],[F.fin.cal]],"Sí","NO")</f>
        <v>Sí</v>
      </c>
      <c r="BT597" s="137" t="str">
        <f aca="false">IF(AND(DATOS_[[#This Row],[% normaliz]]&lt;&gt;1,DATOS_[[#This Row],[% anualiz]]=1),"Sí","NO")</f>
        <v>Sí</v>
      </c>
      <c r="BU597" s="137" t="str">
        <f aca="false">IF(AND(DATOS_[[#This Row],[% normaliz]]=1,DATOS_[[#This Row],[% anualiz]]&lt;&gt;1),"Sí","NO")</f>
        <v>NO</v>
      </c>
      <c r="BV597" s="137" t="str">
        <f aca="false">IF(AND(DATOS_[[#This Row],[% normaliz]]&lt;&gt;1,DATOS_[[#This Row],[% anualiz]]&lt;&gt;1),"Sí","NO")</f>
        <v>NO</v>
      </c>
      <c r="BW597" s="137" t="str">
        <f aca="false">+IF(DATOS_[[#This Row],[% normaliz]]*DATOS_[[#This Row],[% anualiz]]=1,"NO","Sí")</f>
        <v>Sí</v>
      </c>
      <c r="BX597" s="138" t="e">
        <f aca="false">(DATOS_[[#This Row],[S.BASE]]*(1/DATOS_[[#This Row],[% normaliz]])*(1/DATOS_[[#This Row],[% anualiz]]))*IF(DATOS_[[#This Row],[Check Equiparado]]="Sí",1,0)</f>
        <v>#DIV/0!</v>
      </c>
      <c r="BY5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7" s="138" t="e">
        <f aca="false">+DATOS_[[#This Row],[SALARIO BASE Eq]]+DATOS_[[#This Row],[Tot COMPL.SAL Eq]]</f>
        <v>#DIV/0!</v>
      </c>
      <c r="CA597" s="138" t="e">
        <f aca="false" t="array" ref="CA597:CA5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7" s="138" t="e">
        <f aca="false">+DATOS_[[#This Row],[TOTAL SALARIO Eq]]+DATOS_[[#This Row],[Tot Extrasalarial Eq]]</f>
        <v>#DIV/0!</v>
      </c>
      <c r="CC597" s="139" t="n">
        <f aca="false">DATOS_[[#This Row],[S.BASE]]</f>
        <v>0</v>
      </c>
      <c r="CD597" s="139" t="n">
        <f aca="false">+SUM(DATOS_[[#This Row],[Conc.Sal.01]:[Conc.Sal.30]])</f>
        <v>0</v>
      </c>
      <c r="CE597" s="139" t="n">
        <f aca="false">+DATOS_[[#This Row],[SALARIO BASE Ef]]+DATOS_[[#This Row],[Tot COMPL.SAL Ef]]</f>
        <v>0</v>
      </c>
      <c r="CF597" s="139" t="n">
        <f aca="false">+SUM(DATOS_[[#This Row],[C.Extra.01]:[C.Extra.05]])</f>
        <v>0</v>
      </c>
      <c r="CG597" s="139" t="n">
        <f aca="false">+DATOS_[[#This Row],[TOTAL SALARIO Ef]]+DATOS_[[#This Row],[Tot Extrasalarial Ef]]</f>
        <v>0</v>
      </c>
      <c r="CH597" s="140" t="n">
        <f aca="false">MIN(IF(DATOS_[[#This Row],[Fecha Fin Contrato]]="",$D$4,DATOS_[[#This Row],[Fecha Fin Contrato]]),$D$4)-MAX(DATOS_[[#This Row],[Fecha de Contratación]],$D$3)+1</f>
        <v>1</v>
      </c>
      <c r="CI597" s="141" t="str">
        <f aca="false">IF(COUNTIFS(DATOS_[id],DATOS_[[#This Row],[id]])&gt;1,DATOS_[[#This Row],[id]],"")</f>
        <v/>
      </c>
      <c r="CJ597" s="141" t="n">
        <f aca="false">(Inicio!$G$10-DATOS_[[#This Row],[Fecha Nacimiento]])/365.25</f>
        <v>0</v>
      </c>
      <c r="CK597" s="141" t="n">
        <f aca="false">(Inicio!$G$10-DATOS_[[#This Row],[Fecha de Antigüedad]])/365.25</f>
        <v>0</v>
      </c>
      <c r="CL597" s="141" t="e">
        <f aca="false">+VLOOKUP(DATOS_[[#This Row],[Clave de Contrato]],TblTiposContrato13[],3,0)</f>
        <v>#N/A</v>
      </c>
      <c r="CM597" s="141" t="e">
        <f aca="false">+VLOOKUP(DATOS_[[#This Row],[Clave de Contrato]],TblTiposContrato13[],4,0)</f>
        <v>#N/A</v>
      </c>
      <c r="CN597" s="141" t="str">
        <f aca="false">VLOOKUP(DATOS_[[#This Row],[Edad]],CONTRATOS!TblRngEdad,2,1)</f>
        <v>20  o menos</v>
      </c>
      <c r="CO597" s="141" t="str">
        <f aca="false">VLOOKUP(DATOS_[[#This Row],[Antigüedad]],TblRngAntg14[],2,1)</f>
        <v>0 a 1 años</v>
      </c>
    </row>
    <row r="598" customFormat="false" ht="13.8" hidden="false" customHeight="false" outlineLevel="0" collapsed="false">
      <c r="D598" s="128"/>
      <c r="E598" s="129"/>
      <c r="F598" s="129"/>
      <c r="G598" s="129"/>
      <c r="H598" s="130"/>
      <c r="I598" s="131"/>
      <c r="J598" s="128"/>
      <c r="K598" s="132"/>
      <c r="L598" s="132"/>
      <c r="M598" s="133"/>
      <c r="N598" s="133"/>
      <c r="O598" s="133"/>
      <c r="P598" s="129"/>
      <c r="Z598" s="75"/>
      <c r="AA598" s="76"/>
      <c r="AB598" s="76"/>
      <c r="AC598" s="129"/>
      <c r="AD598" s="134"/>
      <c r="AE598" s="134"/>
      <c r="AF598" s="134"/>
      <c r="AG598" s="134"/>
      <c r="AH598" s="134"/>
      <c r="AI598" s="134"/>
      <c r="AJ598" s="134"/>
      <c r="AK598" s="134"/>
      <c r="AL598" s="134"/>
      <c r="AM598" s="134"/>
      <c r="AN598" s="134"/>
      <c r="AO598" s="134"/>
      <c r="AP598" s="134"/>
      <c r="AQ598" s="134"/>
      <c r="AR598" s="134"/>
      <c r="AS598" s="134"/>
      <c r="AT598" s="134"/>
      <c r="AU598" s="134"/>
      <c r="AV598" s="134"/>
      <c r="AW598" s="134"/>
      <c r="AX598" s="134"/>
      <c r="AY598" s="134"/>
      <c r="AZ598" s="134"/>
      <c r="BA598" s="134"/>
      <c r="BB598" s="134"/>
      <c r="BC598" s="134"/>
      <c r="BD598" s="134"/>
      <c r="BE598" s="134"/>
      <c r="BF598" s="134"/>
      <c r="BG598" s="134"/>
      <c r="BH598" s="134"/>
      <c r="BI598" s="134"/>
      <c r="BJ598" s="134"/>
      <c r="BK598" s="134"/>
      <c r="BL598" s="134"/>
      <c r="BM598" s="135"/>
      <c r="BN598" s="136" t="n">
        <f aca="false">+MAX($D$3,DATOS_[[#This Row],[Fecha Inicio Sit. Contract.]])</f>
        <v>0</v>
      </c>
      <c r="BO598" s="136" t="n">
        <f aca="false">+MIN($D$4,DATOS_[[#This Row],[Fecha Fin Sit. Contract.]])</f>
        <v>0</v>
      </c>
      <c r="BP598" s="137" t="n">
        <f aca="false">+DATOS_[[#This Row],[% de jornada]]*IF(DATOS_[[#This Row],[% jornada reducida]]="",1,DATOS_[[#This Row],[% jornada reducida]])</f>
        <v>0</v>
      </c>
      <c r="BQ598" s="137" t="n">
        <f aca="false">+(DATOS_[[#This Row],[F.fin.cal]]-DATOS_[[#This Row],[F.ini.cal]]+1)/($D$4-$D$3+1)</f>
        <v>1</v>
      </c>
      <c r="BR598" s="137" t="str">
        <f aca="false">IF(OR(AND(DATOS_[[#This Row],[Fecha Fin Contrato]]&lt;$D$3,DATOS_[[#This Row],[Fecha Fin Contrato]]&lt;&gt;""),DATOS_[[#This Row],[Fecha de Contratación]]&gt;$D$4),"Fuera","Dentro")</f>
        <v>Dentro</v>
      </c>
      <c r="BS598" s="137" t="str">
        <f aca="false" t="array" ref="BS598:BS598">IF(MAX(IF(DATOS_[id]=DATOS_[[#This Row],[id]],DATOS_[F.fin.cal]))=DATOS_[[#This Row],[F.fin.cal]],"Sí","NO")</f>
        <v>Sí</v>
      </c>
      <c r="BT598" s="137" t="str">
        <f aca="false">IF(AND(DATOS_[[#This Row],[% normaliz]]&lt;&gt;1,DATOS_[[#This Row],[% anualiz]]=1),"Sí","NO")</f>
        <v>Sí</v>
      </c>
      <c r="BU598" s="137" t="str">
        <f aca="false">IF(AND(DATOS_[[#This Row],[% normaliz]]=1,DATOS_[[#This Row],[% anualiz]]&lt;&gt;1),"Sí","NO")</f>
        <v>NO</v>
      </c>
      <c r="BV598" s="137" t="str">
        <f aca="false">IF(AND(DATOS_[[#This Row],[% normaliz]]&lt;&gt;1,DATOS_[[#This Row],[% anualiz]]&lt;&gt;1),"Sí","NO")</f>
        <v>NO</v>
      </c>
      <c r="BW598" s="137" t="str">
        <f aca="false">+IF(DATOS_[[#This Row],[% normaliz]]*DATOS_[[#This Row],[% anualiz]]=1,"NO","Sí")</f>
        <v>Sí</v>
      </c>
      <c r="BX598" s="138" t="e">
        <f aca="false">(DATOS_[[#This Row],[S.BASE]]*(1/DATOS_[[#This Row],[% normaliz]])*(1/DATOS_[[#This Row],[% anualiz]]))*IF(DATOS_[[#This Row],[Check Equiparado]]="Sí",1,0)</f>
        <v>#DIV/0!</v>
      </c>
      <c r="BY5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8" s="138" t="e">
        <f aca="false">+DATOS_[[#This Row],[SALARIO BASE Eq]]+DATOS_[[#This Row],[Tot COMPL.SAL Eq]]</f>
        <v>#DIV/0!</v>
      </c>
      <c r="CA598" s="138" t="e">
        <f aca="false" t="array" ref="CA598:CA5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8" s="138" t="e">
        <f aca="false">+DATOS_[[#This Row],[TOTAL SALARIO Eq]]+DATOS_[[#This Row],[Tot Extrasalarial Eq]]</f>
        <v>#DIV/0!</v>
      </c>
      <c r="CC598" s="139" t="n">
        <f aca="false">DATOS_[[#This Row],[S.BASE]]</f>
        <v>0</v>
      </c>
      <c r="CD598" s="139" t="n">
        <f aca="false">+SUM(DATOS_[[#This Row],[Conc.Sal.01]:[Conc.Sal.30]])</f>
        <v>0</v>
      </c>
      <c r="CE598" s="139" t="n">
        <f aca="false">+DATOS_[[#This Row],[SALARIO BASE Ef]]+DATOS_[[#This Row],[Tot COMPL.SAL Ef]]</f>
        <v>0</v>
      </c>
      <c r="CF598" s="139" t="n">
        <f aca="false">+SUM(DATOS_[[#This Row],[C.Extra.01]:[C.Extra.05]])</f>
        <v>0</v>
      </c>
      <c r="CG598" s="139" t="n">
        <f aca="false">+DATOS_[[#This Row],[TOTAL SALARIO Ef]]+DATOS_[[#This Row],[Tot Extrasalarial Ef]]</f>
        <v>0</v>
      </c>
      <c r="CH598" s="140" t="n">
        <f aca="false">MIN(IF(DATOS_[[#This Row],[Fecha Fin Contrato]]="",$D$4,DATOS_[[#This Row],[Fecha Fin Contrato]]),$D$4)-MAX(DATOS_[[#This Row],[Fecha de Contratación]],$D$3)+1</f>
        <v>1</v>
      </c>
      <c r="CI598" s="141" t="str">
        <f aca="false">IF(COUNTIFS(DATOS_[id],DATOS_[[#This Row],[id]])&gt;1,DATOS_[[#This Row],[id]],"")</f>
        <v/>
      </c>
      <c r="CJ598" s="141" t="n">
        <f aca="false">(Inicio!$G$10-DATOS_[[#This Row],[Fecha Nacimiento]])/365.25</f>
        <v>0</v>
      </c>
      <c r="CK598" s="141" t="n">
        <f aca="false">(Inicio!$G$10-DATOS_[[#This Row],[Fecha de Antigüedad]])/365.25</f>
        <v>0</v>
      </c>
      <c r="CL598" s="141" t="e">
        <f aca="false">+VLOOKUP(DATOS_[[#This Row],[Clave de Contrato]],TblTiposContrato13[],3,0)</f>
        <v>#N/A</v>
      </c>
      <c r="CM598" s="141" t="e">
        <f aca="false">+VLOOKUP(DATOS_[[#This Row],[Clave de Contrato]],TblTiposContrato13[],4,0)</f>
        <v>#N/A</v>
      </c>
      <c r="CN598" s="141" t="str">
        <f aca="false">VLOOKUP(DATOS_[[#This Row],[Edad]],CONTRATOS!TblRngEdad,2,1)</f>
        <v>20  o menos</v>
      </c>
      <c r="CO598" s="141" t="str">
        <f aca="false">VLOOKUP(DATOS_[[#This Row],[Antigüedad]],TblRngAntg14[],2,1)</f>
        <v>0 a 1 años</v>
      </c>
    </row>
    <row r="599" customFormat="false" ht="13.8" hidden="false" customHeight="false" outlineLevel="0" collapsed="false">
      <c r="D599" s="128"/>
      <c r="E599" s="129"/>
      <c r="F599" s="129"/>
      <c r="G599" s="129"/>
      <c r="H599" s="130"/>
      <c r="I599" s="131"/>
      <c r="J599" s="128"/>
      <c r="K599" s="132"/>
      <c r="L599" s="132"/>
      <c r="M599" s="133"/>
      <c r="N599" s="133"/>
      <c r="O599" s="133"/>
      <c r="P599" s="129"/>
      <c r="Z599" s="75"/>
      <c r="AA599" s="76"/>
      <c r="AB599" s="76"/>
      <c r="AC599" s="129"/>
      <c r="AD599" s="134"/>
      <c r="AE599" s="134"/>
      <c r="AF599" s="134"/>
      <c r="AG599" s="134"/>
      <c r="AH599" s="134"/>
      <c r="AI599" s="134"/>
      <c r="AJ599" s="134"/>
      <c r="AK599" s="134"/>
      <c r="AL599" s="134"/>
      <c r="AM599" s="134"/>
      <c r="AN599" s="134"/>
      <c r="AO599" s="134"/>
      <c r="AP599" s="134"/>
      <c r="AQ599" s="134"/>
      <c r="AR599" s="134"/>
      <c r="AS599" s="134"/>
      <c r="AT599" s="134"/>
      <c r="AU599" s="134"/>
      <c r="AV599" s="134"/>
      <c r="AW599" s="134"/>
      <c r="AX599" s="134"/>
      <c r="AY599" s="134"/>
      <c r="AZ599" s="134"/>
      <c r="BA599" s="134"/>
      <c r="BB599" s="134"/>
      <c r="BC599" s="134"/>
      <c r="BD599" s="134"/>
      <c r="BE599" s="134"/>
      <c r="BF599" s="134"/>
      <c r="BG599" s="134"/>
      <c r="BH599" s="134"/>
      <c r="BI599" s="134"/>
      <c r="BJ599" s="134"/>
      <c r="BK599" s="134"/>
      <c r="BL599" s="134"/>
      <c r="BM599" s="135"/>
      <c r="BN599" s="136" t="n">
        <f aca="false">+MAX($D$3,DATOS_[[#This Row],[Fecha Inicio Sit. Contract.]])</f>
        <v>0</v>
      </c>
      <c r="BO599" s="136" t="n">
        <f aca="false">+MIN($D$4,DATOS_[[#This Row],[Fecha Fin Sit. Contract.]])</f>
        <v>0</v>
      </c>
      <c r="BP599" s="137" t="n">
        <f aca="false">+DATOS_[[#This Row],[% de jornada]]*IF(DATOS_[[#This Row],[% jornada reducida]]="",1,DATOS_[[#This Row],[% jornada reducida]])</f>
        <v>0</v>
      </c>
      <c r="BQ599" s="137" t="n">
        <f aca="false">+(DATOS_[[#This Row],[F.fin.cal]]-DATOS_[[#This Row],[F.ini.cal]]+1)/($D$4-$D$3+1)</f>
        <v>1</v>
      </c>
      <c r="BR599" s="137" t="str">
        <f aca="false">IF(OR(AND(DATOS_[[#This Row],[Fecha Fin Contrato]]&lt;$D$3,DATOS_[[#This Row],[Fecha Fin Contrato]]&lt;&gt;""),DATOS_[[#This Row],[Fecha de Contratación]]&gt;$D$4),"Fuera","Dentro")</f>
        <v>Dentro</v>
      </c>
      <c r="BS599" s="137" t="str">
        <f aca="false" t="array" ref="BS599:BS599">IF(MAX(IF(DATOS_[id]=DATOS_[[#This Row],[id]],DATOS_[F.fin.cal]))=DATOS_[[#This Row],[F.fin.cal]],"Sí","NO")</f>
        <v>Sí</v>
      </c>
      <c r="BT599" s="137" t="str">
        <f aca="false">IF(AND(DATOS_[[#This Row],[% normaliz]]&lt;&gt;1,DATOS_[[#This Row],[% anualiz]]=1),"Sí","NO")</f>
        <v>Sí</v>
      </c>
      <c r="BU599" s="137" t="str">
        <f aca="false">IF(AND(DATOS_[[#This Row],[% normaliz]]=1,DATOS_[[#This Row],[% anualiz]]&lt;&gt;1),"Sí","NO")</f>
        <v>NO</v>
      </c>
      <c r="BV599" s="137" t="str">
        <f aca="false">IF(AND(DATOS_[[#This Row],[% normaliz]]&lt;&gt;1,DATOS_[[#This Row],[% anualiz]]&lt;&gt;1),"Sí","NO")</f>
        <v>NO</v>
      </c>
      <c r="BW599" s="137" t="str">
        <f aca="false">+IF(DATOS_[[#This Row],[% normaliz]]*DATOS_[[#This Row],[% anualiz]]=1,"NO","Sí")</f>
        <v>Sí</v>
      </c>
      <c r="BX599" s="138" t="e">
        <f aca="false">(DATOS_[[#This Row],[S.BASE]]*(1/DATOS_[[#This Row],[% normaliz]])*(1/DATOS_[[#This Row],[% anualiz]]))*IF(DATOS_[[#This Row],[Check Equiparado]]="Sí",1,0)</f>
        <v>#DIV/0!</v>
      </c>
      <c r="BY5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9" s="138" t="e">
        <f aca="false">+DATOS_[[#This Row],[SALARIO BASE Eq]]+DATOS_[[#This Row],[Tot COMPL.SAL Eq]]</f>
        <v>#DIV/0!</v>
      </c>
      <c r="CA599" s="138" t="e">
        <f aca="false" t="array" ref="CA599:CA5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9" s="138" t="e">
        <f aca="false">+DATOS_[[#This Row],[TOTAL SALARIO Eq]]+DATOS_[[#This Row],[Tot Extrasalarial Eq]]</f>
        <v>#DIV/0!</v>
      </c>
      <c r="CC599" s="139" t="n">
        <f aca="false">DATOS_[[#This Row],[S.BASE]]</f>
        <v>0</v>
      </c>
      <c r="CD599" s="139" t="n">
        <f aca="false">+SUM(DATOS_[[#This Row],[Conc.Sal.01]:[Conc.Sal.30]])</f>
        <v>0</v>
      </c>
      <c r="CE599" s="139" t="n">
        <f aca="false">+DATOS_[[#This Row],[SALARIO BASE Ef]]+DATOS_[[#This Row],[Tot COMPL.SAL Ef]]</f>
        <v>0</v>
      </c>
      <c r="CF599" s="139" t="n">
        <f aca="false">+SUM(DATOS_[[#This Row],[C.Extra.01]:[C.Extra.05]])</f>
        <v>0</v>
      </c>
      <c r="CG599" s="139" t="n">
        <f aca="false">+DATOS_[[#This Row],[TOTAL SALARIO Ef]]+DATOS_[[#This Row],[Tot Extrasalarial Ef]]</f>
        <v>0</v>
      </c>
      <c r="CH599" s="140" t="n">
        <f aca="false">MIN(IF(DATOS_[[#This Row],[Fecha Fin Contrato]]="",$D$4,DATOS_[[#This Row],[Fecha Fin Contrato]]),$D$4)-MAX(DATOS_[[#This Row],[Fecha de Contratación]],$D$3)+1</f>
        <v>1</v>
      </c>
      <c r="CI599" s="141" t="str">
        <f aca="false">IF(COUNTIFS(DATOS_[id],DATOS_[[#This Row],[id]])&gt;1,DATOS_[[#This Row],[id]],"")</f>
        <v/>
      </c>
      <c r="CJ599" s="141" t="n">
        <f aca="false">(Inicio!$G$10-DATOS_[[#This Row],[Fecha Nacimiento]])/365.25</f>
        <v>0</v>
      </c>
      <c r="CK599" s="141" t="n">
        <f aca="false">(Inicio!$G$10-DATOS_[[#This Row],[Fecha de Antigüedad]])/365.25</f>
        <v>0</v>
      </c>
      <c r="CL599" s="141" t="e">
        <f aca="false">+VLOOKUP(DATOS_[[#This Row],[Clave de Contrato]],TblTiposContrato13[],3,0)</f>
        <v>#N/A</v>
      </c>
      <c r="CM599" s="141" t="e">
        <f aca="false">+VLOOKUP(DATOS_[[#This Row],[Clave de Contrato]],TblTiposContrato13[],4,0)</f>
        <v>#N/A</v>
      </c>
      <c r="CN599" s="141" t="str">
        <f aca="false">VLOOKUP(DATOS_[[#This Row],[Edad]],CONTRATOS!TblRngEdad,2,1)</f>
        <v>20  o menos</v>
      </c>
      <c r="CO599" s="141" t="str">
        <f aca="false">VLOOKUP(DATOS_[[#This Row],[Antigüedad]],TblRngAntg14[],2,1)</f>
        <v>0 a 1 años</v>
      </c>
    </row>
    <row r="600" customFormat="false" ht="13.8" hidden="false" customHeight="false" outlineLevel="0" collapsed="false">
      <c r="D600" s="128"/>
      <c r="E600" s="129"/>
      <c r="F600" s="129"/>
      <c r="G600" s="129"/>
      <c r="H600" s="130"/>
      <c r="I600" s="131"/>
      <c r="J600" s="128"/>
      <c r="K600" s="132"/>
      <c r="L600" s="132"/>
      <c r="M600" s="133"/>
      <c r="N600" s="133"/>
      <c r="O600" s="133"/>
      <c r="P600" s="129"/>
      <c r="Z600" s="75"/>
      <c r="AA600" s="76"/>
      <c r="AB600" s="76"/>
      <c r="AC600" s="129"/>
      <c r="AD600" s="134"/>
      <c r="AE600" s="134"/>
      <c r="AF600" s="134"/>
      <c r="AG600" s="134"/>
      <c r="AH600" s="134"/>
      <c r="AI600" s="134"/>
      <c r="AJ600" s="134"/>
      <c r="AK600" s="134"/>
      <c r="AL600" s="134"/>
      <c r="AM600" s="134"/>
      <c r="AN600" s="134"/>
      <c r="AO600" s="134"/>
      <c r="AP600" s="134"/>
      <c r="AQ600" s="134"/>
      <c r="AR600" s="134"/>
      <c r="AS600" s="134"/>
      <c r="AT600" s="134"/>
      <c r="AU600" s="134"/>
      <c r="AV600" s="134"/>
      <c r="AW600" s="134"/>
      <c r="AX600" s="134"/>
      <c r="AY600" s="134"/>
      <c r="AZ600" s="134"/>
      <c r="BA600" s="134"/>
      <c r="BB600" s="134"/>
      <c r="BC600" s="134"/>
      <c r="BD600" s="134"/>
      <c r="BE600" s="134"/>
      <c r="BF600" s="134"/>
      <c r="BG600" s="134"/>
      <c r="BH600" s="134"/>
      <c r="BI600" s="134"/>
      <c r="BJ600" s="134"/>
      <c r="BK600" s="134"/>
      <c r="BL600" s="134"/>
      <c r="BM600" s="135"/>
      <c r="BN600" s="136" t="n">
        <f aca="false">+MAX($D$3,DATOS_[[#This Row],[Fecha Inicio Sit. Contract.]])</f>
        <v>0</v>
      </c>
      <c r="BO600" s="136" t="n">
        <f aca="false">+MIN($D$4,DATOS_[[#This Row],[Fecha Fin Sit. Contract.]])</f>
        <v>0</v>
      </c>
      <c r="BP600" s="137" t="n">
        <f aca="false">+DATOS_[[#This Row],[% de jornada]]*IF(DATOS_[[#This Row],[% jornada reducida]]="",1,DATOS_[[#This Row],[% jornada reducida]])</f>
        <v>0</v>
      </c>
      <c r="BQ600" s="137" t="n">
        <f aca="false">+(DATOS_[[#This Row],[F.fin.cal]]-DATOS_[[#This Row],[F.ini.cal]]+1)/($D$4-$D$3+1)</f>
        <v>1</v>
      </c>
      <c r="BR600" s="137" t="str">
        <f aca="false">IF(OR(AND(DATOS_[[#This Row],[Fecha Fin Contrato]]&lt;$D$3,DATOS_[[#This Row],[Fecha Fin Contrato]]&lt;&gt;""),DATOS_[[#This Row],[Fecha de Contratación]]&gt;$D$4),"Fuera","Dentro")</f>
        <v>Dentro</v>
      </c>
      <c r="BS600" s="137" t="str">
        <f aca="false" t="array" ref="BS600:BS600">IF(MAX(IF(DATOS_[id]=DATOS_[[#This Row],[id]],DATOS_[F.fin.cal]))=DATOS_[[#This Row],[F.fin.cal]],"Sí","NO")</f>
        <v>Sí</v>
      </c>
      <c r="BT600" s="137" t="str">
        <f aca="false">IF(AND(DATOS_[[#This Row],[% normaliz]]&lt;&gt;1,DATOS_[[#This Row],[% anualiz]]=1),"Sí","NO")</f>
        <v>Sí</v>
      </c>
      <c r="BU600" s="137" t="str">
        <f aca="false">IF(AND(DATOS_[[#This Row],[% normaliz]]=1,DATOS_[[#This Row],[% anualiz]]&lt;&gt;1),"Sí","NO")</f>
        <v>NO</v>
      </c>
      <c r="BV600" s="137" t="str">
        <f aca="false">IF(AND(DATOS_[[#This Row],[% normaliz]]&lt;&gt;1,DATOS_[[#This Row],[% anualiz]]&lt;&gt;1),"Sí","NO")</f>
        <v>NO</v>
      </c>
      <c r="BW600" s="137" t="str">
        <f aca="false">+IF(DATOS_[[#This Row],[% normaliz]]*DATOS_[[#This Row],[% anualiz]]=1,"NO","Sí")</f>
        <v>Sí</v>
      </c>
      <c r="BX600" s="138" t="e">
        <f aca="false">(DATOS_[[#This Row],[S.BASE]]*(1/DATOS_[[#This Row],[% normaliz]])*(1/DATOS_[[#This Row],[% anualiz]]))*IF(DATOS_[[#This Row],[Check Equiparado]]="Sí",1,0)</f>
        <v>#DIV/0!</v>
      </c>
      <c r="BY6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0" s="138" t="e">
        <f aca="false">+DATOS_[[#This Row],[SALARIO BASE Eq]]+DATOS_[[#This Row],[Tot COMPL.SAL Eq]]</f>
        <v>#DIV/0!</v>
      </c>
      <c r="CA600" s="138" t="e">
        <f aca="false" t="array" ref="CA600:CA6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0" s="138" t="e">
        <f aca="false">+DATOS_[[#This Row],[TOTAL SALARIO Eq]]+DATOS_[[#This Row],[Tot Extrasalarial Eq]]</f>
        <v>#DIV/0!</v>
      </c>
      <c r="CC600" s="139" t="n">
        <f aca="false">DATOS_[[#This Row],[S.BASE]]</f>
        <v>0</v>
      </c>
      <c r="CD600" s="139" t="n">
        <f aca="false">+SUM(DATOS_[[#This Row],[Conc.Sal.01]:[Conc.Sal.30]])</f>
        <v>0</v>
      </c>
      <c r="CE600" s="139" t="n">
        <f aca="false">+DATOS_[[#This Row],[SALARIO BASE Ef]]+DATOS_[[#This Row],[Tot COMPL.SAL Ef]]</f>
        <v>0</v>
      </c>
      <c r="CF600" s="139" t="n">
        <f aca="false">+SUM(DATOS_[[#This Row],[C.Extra.01]:[C.Extra.05]])</f>
        <v>0</v>
      </c>
      <c r="CG600" s="139" t="n">
        <f aca="false">+DATOS_[[#This Row],[TOTAL SALARIO Ef]]+DATOS_[[#This Row],[Tot Extrasalarial Ef]]</f>
        <v>0</v>
      </c>
      <c r="CH600" s="140" t="n">
        <f aca="false">MIN(IF(DATOS_[[#This Row],[Fecha Fin Contrato]]="",$D$4,DATOS_[[#This Row],[Fecha Fin Contrato]]),$D$4)-MAX(DATOS_[[#This Row],[Fecha de Contratación]],$D$3)+1</f>
        <v>1</v>
      </c>
      <c r="CI600" s="141" t="str">
        <f aca="false">IF(COUNTIFS(DATOS_[id],DATOS_[[#This Row],[id]])&gt;1,DATOS_[[#This Row],[id]],"")</f>
        <v/>
      </c>
      <c r="CJ600" s="141" t="n">
        <f aca="false">(Inicio!$G$10-DATOS_[[#This Row],[Fecha Nacimiento]])/365.25</f>
        <v>0</v>
      </c>
      <c r="CK600" s="141" t="n">
        <f aca="false">(Inicio!$G$10-DATOS_[[#This Row],[Fecha de Antigüedad]])/365.25</f>
        <v>0</v>
      </c>
      <c r="CL600" s="141" t="e">
        <f aca="false">+VLOOKUP(DATOS_[[#This Row],[Clave de Contrato]],TblTiposContrato13[],3,0)</f>
        <v>#N/A</v>
      </c>
      <c r="CM600" s="141" t="e">
        <f aca="false">+VLOOKUP(DATOS_[[#This Row],[Clave de Contrato]],TblTiposContrato13[],4,0)</f>
        <v>#N/A</v>
      </c>
      <c r="CN600" s="141" t="str">
        <f aca="false">VLOOKUP(DATOS_[[#This Row],[Edad]],CONTRATOS!TblRngEdad,2,1)</f>
        <v>20  o menos</v>
      </c>
      <c r="CO600" s="141" t="str">
        <f aca="false">VLOOKUP(DATOS_[[#This Row],[Antigüedad]],TblRngAntg14[],2,1)</f>
        <v>0 a 1 años</v>
      </c>
    </row>
    <row r="601" customFormat="false" ht="13.8" hidden="false" customHeight="false" outlineLevel="0" collapsed="false">
      <c r="D601" s="128"/>
      <c r="E601" s="129"/>
      <c r="F601" s="129"/>
      <c r="G601" s="129"/>
      <c r="H601" s="130"/>
      <c r="I601" s="131"/>
      <c r="J601" s="128"/>
      <c r="K601" s="132"/>
      <c r="L601" s="132"/>
      <c r="M601" s="133"/>
      <c r="N601" s="133"/>
      <c r="O601" s="133"/>
      <c r="P601" s="129"/>
      <c r="Z601" s="75"/>
      <c r="AA601" s="76"/>
      <c r="AB601" s="76"/>
      <c r="AC601" s="129"/>
      <c r="AD601" s="134"/>
      <c r="AE601" s="134"/>
      <c r="AF601" s="134"/>
      <c r="AG601" s="134"/>
      <c r="AH601" s="134"/>
      <c r="AI601" s="134"/>
      <c r="AJ601" s="134"/>
      <c r="AK601" s="134"/>
      <c r="AL601" s="134"/>
      <c r="AM601" s="134"/>
      <c r="AN601" s="134"/>
      <c r="AO601" s="134"/>
      <c r="AP601" s="134"/>
      <c r="AQ601" s="134"/>
      <c r="AR601" s="134"/>
      <c r="AS601" s="134"/>
      <c r="AT601" s="134"/>
      <c r="AU601" s="134"/>
      <c r="AV601" s="134"/>
      <c r="AW601" s="134"/>
      <c r="AX601" s="134"/>
      <c r="AY601" s="134"/>
      <c r="AZ601" s="134"/>
      <c r="BA601" s="134"/>
      <c r="BB601" s="134"/>
      <c r="BC601" s="134"/>
      <c r="BD601" s="134"/>
      <c r="BE601" s="134"/>
      <c r="BF601" s="134"/>
      <c r="BG601" s="134"/>
      <c r="BH601" s="134"/>
      <c r="BI601" s="134"/>
      <c r="BJ601" s="134"/>
      <c r="BK601" s="134"/>
      <c r="BL601" s="134"/>
      <c r="BM601" s="135"/>
      <c r="BN601" s="136" t="n">
        <f aca="false">+MAX($D$3,DATOS_[[#This Row],[Fecha Inicio Sit. Contract.]])</f>
        <v>0</v>
      </c>
      <c r="BO601" s="136" t="n">
        <f aca="false">+MIN($D$4,DATOS_[[#This Row],[Fecha Fin Sit. Contract.]])</f>
        <v>0</v>
      </c>
      <c r="BP601" s="137" t="n">
        <f aca="false">+DATOS_[[#This Row],[% de jornada]]*IF(DATOS_[[#This Row],[% jornada reducida]]="",1,DATOS_[[#This Row],[% jornada reducida]])</f>
        <v>0</v>
      </c>
      <c r="BQ601" s="137" t="n">
        <f aca="false">+(DATOS_[[#This Row],[F.fin.cal]]-DATOS_[[#This Row],[F.ini.cal]]+1)/($D$4-$D$3+1)</f>
        <v>1</v>
      </c>
      <c r="BR601" s="137" t="str">
        <f aca="false">IF(OR(AND(DATOS_[[#This Row],[Fecha Fin Contrato]]&lt;$D$3,DATOS_[[#This Row],[Fecha Fin Contrato]]&lt;&gt;""),DATOS_[[#This Row],[Fecha de Contratación]]&gt;$D$4),"Fuera","Dentro")</f>
        <v>Dentro</v>
      </c>
      <c r="BS601" s="137" t="str">
        <f aca="false" t="array" ref="BS601:BS601">IF(MAX(IF(DATOS_[id]=DATOS_[[#This Row],[id]],DATOS_[F.fin.cal]))=DATOS_[[#This Row],[F.fin.cal]],"Sí","NO")</f>
        <v>Sí</v>
      </c>
      <c r="BT601" s="137" t="str">
        <f aca="false">IF(AND(DATOS_[[#This Row],[% normaliz]]&lt;&gt;1,DATOS_[[#This Row],[% anualiz]]=1),"Sí","NO")</f>
        <v>Sí</v>
      </c>
      <c r="BU601" s="137" t="str">
        <f aca="false">IF(AND(DATOS_[[#This Row],[% normaliz]]=1,DATOS_[[#This Row],[% anualiz]]&lt;&gt;1),"Sí","NO")</f>
        <v>NO</v>
      </c>
      <c r="BV601" s="137" t="str">
        <f aca="false">IF(AND(DATOS_[[#This Row],[% normaliz]]&lt;&gt;1,DATOS_[[#This Row],[% anualiz]]&lt;&gt;1),"Sí","NO")</f>
        <v>NO</v>
      </c>
      <c r="BW601" s="137" t="str">
        <f aca="false">+IF(DATOS_[[#This Row],[% normaliz]]*DATOS_[[#This Row],[% anualiz]]=1,"NO","Sí")</f>
        <v>Sí</v>
      </c>
      <c r="BX601" s="138" t="e">
        <f aca="false">(DATOS_[[#This Row],[S.BASE]]*(1/DATOS_[[#This Row],[% normaliz]])*(1/DATOS_[[#This Row],[% anualiz]]))*IF(DATOS_[[#This Row],[Check Equiparado]]="Sí",1,0)</f>
        <v>#DIV/0!</v>
      </c>
      <c r="BY6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1" s="138" t="e">
        <f aca="false">+DATOS_[[#This Row],[SALARIO BASE Eq]]+DATOS_[[#This Row],[Tot COMPL.SAL Eq]]</f>
        <v>#DIV/0!</v>
      </c>
      <c r="CA601" s="138" t="e">
        <f aca="false" t="array" ref="CA601:CA6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1" s="138" t="e">
        <f aca="false">+DATOS_[[#This Row],[TOTAL SALARIO Eq]]+DATOS_[[#This Row],[Tot Extrasalarial Eq]]</f>
        <v>#DIV/0!</v>
      </c>
      <c r="CC601" s="139" t="n">
        <f aca="false">DATOS_[[#This Row],[S.BASE]]</f>
        <v>0</v>
      </c>
      <c r="CD601" s="139" t="n">
        <f aca="false">+SUM(DATOS_[[#This Row],[Conc.Sal.01]:[Conc.Sal.30]])</f>
        <v>0</v>
      </c>
      <c r="CE601" s="139" t="n">
        <f aca="false">+DATOS_[[#This Row],[SALARIO BASE Ef]]+DATOS_[[#This Row],[Tot COMPL.SAL Ef]]</f>
        <v>0</v>
      </c>
      <c r="CF601" s="139" t="n">
        <f aca="false">+SUM(DATOS_[[#This Row],[C.Extra.01]:[C.Extra.05]])</f>
        <v>0</v>
      </c>
      <c r="CG601" s="139" t="n">
        <f aca="false">+DATOS_[[#This Row],[TOTAL SALARIO Ef]]+DATOS_[[#This Row],[Tot Extrasalarial Ef]]</f>
        <v>0</v>
      </c>
      <c r="CH601" s="140" t="n">
        <f aca="false">MIN(IF(DATOS_[[#This Row],[Fecha Fin Contrato]]="",$D$4,DATOS_[[#This Row],[Fecha Fin Contrato]]),$D$4)-MAX(DATOS_[[#This Row],[Fecha de Contratación]],$D$3)+1</f>
        <v>1</v>
      </c>
      <c r="CI601" s="141" t="str">
        <f aca="false">IF(COUNTIFS(DATOS_[id],DATOS_[[#This Row],[id]])&gt;1,DATOS_[[#This Row],[id]],"")</f>
        <v/>
      </c>
      <c r="CJ601" s="141" t="n">
        <f aca="false">(Inicio!$G$10-DATOS_[[#This Row],[Fecha Nacimiento]])/365.25</f>
        <v>0</v>
      </c>
      <c r="CK601" s="141" t="n">
        <f aca="false">(Inicio!$G$10-DATOS_[[#This Row],[Fecha de Antigüedad]])/365.25</f>
        <v>0</v>
      </c>
      <c r="CL601" s="141" t="e">
        <f aca="false">+VLOOKUP(DATOS_[[#This Row],[Clave de Contrato]],TblTiposContrato13[],3,0)</f>
        <v>#N/A</v>
      </c>
      <c r="CM601" s="141" t="e">
        <f aca="false">+VLOOKUP(DATOS_[[#This Row],[Clave de Contrato]],TblTiposContrato13[],4,0)</f>
        <v>#N/A</v>
      </c>
      <c r="CN601" s="141" t="str">
        <f aca="false">VLOOKUP(DATOS_[[#This Row],[Edad]],CONTRATOS!TblRngEdad,2,1)</f>
        <v>20  o menos</v>
      </c>
      <c r="CO601" s="141" t="str">
        <f aca="false">VLOOKUP(DATOS_[[#This Row],[Antigüedad]],TblRngAntg14[],2,1)</f>
        <v>0 a 1 años</v>
      </c>
    </row>
    <row r="602" customFormat="false" ht="13.8" hidden="false" customHeight="false" outlineLevel="0" collapsed="false">
      <c r="D602" s="128"/>
      <c r="E602" s="129"/>
      <c r="F602" s="129"/>
      <c r="G602" s="129"/>
      <c r="H602" s="130"/>
      <c r="I602" s="131"/>
      <c r="J602" s="128"/>
      <c r="K602" s="132"/>
      <c r="L602" s="132"/>
      <c r="M602" s="133"/>
      <c r="N602" s="133"/>
      <c r="O602" s="133"/>
      <c r="P602" s="129"/>
      <c r="Z602" s="75"/>
      <c r="AA602" s="76"/>
      <c r="AB602" s="76"/>
      <c r="AC602" s="129"/>
      <c r="AD602" s="134"/>
      <c r="AE602" s="134"/>
      <c r="AF602" s="134"/>
      <c r="AG602" s="134"/>
      <c r="AH602" s="134"/>
      <c r="AI602" s="134"/>
      <c r="AJ602" s="134"/>
      <c r="AK602" s="134"/>
      <c r="AL602" s="134"/>
      <c r="AM602" s="134"/>
      <c r="AN602" s="134"/>
      <c r="AO602" s="134"/>
      <c r="AP602" s="134"/>
      <c r="AQ602" s="134"/>
      <c r="AR602" s="134"/>
      <c r="AS602" s="134"/>
      <c r="AT602" s="134"/>
      <c r="AU602" s="134"/>
      <c r="AV602" s="134"/>
      <c r="AW602" s="134"/>
      <c r="AX602" s="134"/>
      <c r="AY602" s="134"/>
      <c r="AZ602" s="134"/>
      <c r="BA602" s="134"/>
      <c r="BB602" s="134"/>
      <c r="BC602" s="134"/>
      <c r="BD602" s="134"/>
      <c r="BE602" s="134"/>
      <c r="BF602" s="134"/>
      <c r="BG602" s="134"/>
      <c r="BH602" s="134"/>
      <c r="BI602" s="134"/>
      <c r="BJ602" s="134"/>
      <c r="BK602" s="134"/>
      <c r="BL602" s="134"/>
      <c r="BM602" s="135"/>
      <c r="BN602" s="136" t="n">
        <f aca="false">+MAX($D$3,DATOS_[[#This Row],[Fecha Inicio Sit. Contract.]])</f>
        <v>0</v>
      </c>
      <c r="BO602" s="136" t="n">
        <f aca="false">+MIN($D$4,DATOS_[[#This Row],[Fecha Fin Sit. Contract.]])</f>
        <v>0</v>
      </c>
      <c r="BP602" s="137" t="n">
        <f aca="false">+DATOS_[[#This Row],[% de jornada]]*IF(DATOS_[[#This Row],[% jornada reducida]]="",1,DATOS_[[#This Row],[% jornada reducida]])</f>
        <v>0</v>
      </c>
      <c r="BQ602" s="137" t="n">
        <f aca="false">+(DATOS_[[#This Row],[F.fin.cal]]-DATOS_[[#This Row],[F.ini.cal]]+1)/($D$4-$D$3+1)</f>
        <v>1</v>
      </c>
      <c r="BR602" s="137" t="str">
        <f aca="false">IF(OR(AND(DATOS_[[#This Row],[Fecha Fin Contrato]]&lt;$D$3,DATOS_[[#This Row],[Fecha Fin Contrato]]&lt;&gt;""),DATOS_[[#This Row],[Fecha de Contratación]]&gt;$D$4),"Fuera","Dentro")</f>
        <v>Dentro</v>
      </c>
      <c r="BS602" s="137" t="str">
        <f aca="false" t="array" ref="BS602:BS602">IF(MAX(IF(DATOS_[id]=DATOS_[[#This Row],[id]],DATOS_[F.fin.cal]))=DATOS_[[#This Row],[F.fin.cal]],"Sí","NO")</f>
        <v>Sí</v>
      </c>
      <c r="BT602" s="137" t="str">
        <f aca="false">IF(AND(DATOS_[[#This Row],[% normaliz]]&lt;&gt;1,DATOS_[[#This Row],[% anualiz]]=1),"Sí","NO")</f>
        <v>Sí</v>
      </c>
      <c r="BU602" s="137" t="str">
        <f aca="false">IF(AND(DATOS_[[#This Row],[% normaliz]]=1,DATOS_[[#This Row],[% anualiz]]&lt;&gt;1),"Sí","NO")</f>
        <v>NO</v>
      </c>
      <c r="BV602" s="137" t="str">
        <f aca="false">IF(AND(DATOS_[[#This Row],[% normaliz]]&lt;&gt;1,DATOS_[[#This Row],[% anualiz]]&lt;&gt;1),"Sí","NO")</f>
        <v>NO</v>
      </c>
      <c r="BW602" s="137" t="str">
        <f aca="false">+IF(DATOS_[[#This Row],[% normaliz]]*DATOS_[[#This Row],[% anualiz]]=1,"NO","Sí")</f>
        <v>Sí</v>
      </c>
      <c r="BX602" s="138" t="e">
        <f aca="false">(DATOS_[[#This Row],[S.BASE]]*(1/DATOS_[[#This Row],[% normaliz]])*(1/DATOS_[[#This Row],[% anualiz]]))*IF(DATOS_[[#This Row],[Check Equiparado]]="Sí",1,0)</f>
        <v>#DIV/0!</v>
      </c>
      <c r="BY6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2" s="138" t="e">
        <f aca="false">+DATOS_[[#This Row],[SALARIO BASE Eq]]+DATOS_[[#This Row],[Tot COMPL.SAL Eq]]</f>
        <v>#DIV/0!</v>
      </c>
      <c r="CA602" s="138" t="e">
        <f aca="false" t="array" ref="CA602:CA6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2" s="138" t="e">
        <f aca="false">+DATOS_[[#This Row],[TOTAL SALARIO Eq]]+DATOS_[[#This Row],[Tot Extrasalarial Eq]]</f>
        <v>#DIV/0!</v>
      </c>
      <c r="CC602" s="139" t="n">
        <f aca="false">DATOS_[[#This Row],[S.BASE]]</f>
        <v>0</v>
      </c>
      <c r="CD602" s="139" t="n">
        <f aca="false">+SUM(DATOS_[[#This Row],[Conc.Sal.01]:[Conc.Sal.30]])</f>
        <v>0</v>
      </c>
      <c r="CE602" s="139" t="n">
        <f aca="false">+DATOS_[[#This Row],[SALARIO BASE Ef]]+DATOS_[[#This Row],[Tot COMPL.SAL Ef]]</f>
        <v>0</v>
      </c>
      <c r="CF602" s="139" t="n">
        <f aca="false">+SUM(DATOS_[[#This Row],[C.Extra.01]:[C.Extra.05]])</f>
        <v>0</v>
      </c>
      <c r="CG602" s="139" t="n">
        <f aca="false">+DATOS_[[#This Row],[TOTAL SALARIO Ef]]+DATOS_[[#This Row],[Tot Extrasalarial Ef]]</f>
        <v>0</v>
      </c>
      <c r="CH602" s="140" t="n">
        <f aca="false">MIN(IF(DATOS_[[#This Row],[Fecha Fin Contrato]]="",$D$4,DATOS_[[#This Row],[Fecha Fin Contrato]]),$D$4)-MAX(DATOS_[[#This Row],[Fecha de Contratación]],$D$3)+1</f>
        <v>1</v>
      </c>
      <c r="CI602" s="141" t="str">
        <f aca="false">IF(COUNTIFS(DATOS_[id],DATOS_[[#This Row],[id]])&gt;1,DATOS_[[#This Row],[id]],"")</f>
        <v/>
      </c>
      <c r="CJ602" s="141" t="n">
        <f aca="false">(Inicio!$G$10-DATOS_[[#This Row],[Fecha Nacimiento]])/365.25</f>
        <v>0</v>
      </c>
      <c r="CK602" s="141" t="n">
        <f aca="false">(Inicio!$G$10-DATOS_[[#This Row],[Fecha de Antigüedad]])/365.25</f>
        <v>0</v>
      </c>
      <c r="CL602" s="141" t="e">
        <f aca="false">+VLOOKUP(DATOS_[[#This Row],[Clave de Contrato]],TblTiposContrato13[],3,0)</f>
        <v>#N/A</v>
      </c>
      <c r="CM602" s="141" t="e">
        <f aca="false">+VLOOKUP(DATOS_[[#This Row],[Clave de Contrato]],TblTiposContrato13[],4,0)</f>
        <v>#N/A</v>
      </c>
      <c r="CN602" s="141" t="str">
        <f aca="false">VLOOKUP(DATOS_[[#This Row],[Edad]],CONTRATOS!TblRngEdad,2,1)</f>
        <v>20  o menos</v>
      </c>
      <c r="CO602" s="141" t="str">
        <f aca="false">VLOOKUP(DATOS_[[#This Row],[Antigüedad]],TblRngAntg14[],2,1)</f>
        <v>0 a 1 años</v>
      </c>
    </row>
    <row r="603" customFormat="false" ht="13.8" hidden="false" customHeight="false" outlineLevel="0" collapsed="false">
      <c r="D603" s="128"/>
      <c r="E603" s="129"/>
      <c r="F603" s="129"/>
      <c r="G603" s="129"/>
      <c r="H603" s="130"/>
      <c r="I603" s="131"/>
      <c r="J603" s="128"/>
      <c r="K603" s="132"/>
      <c r="L603" s="132"/>
      <c r="M603" s="133"/>
      <c r="N603" s="133"/>
      <c r="O603" s="133"/>
      <c r="P603" s="129"/>
      <c r="Z603" s="75"/>
      <c r="AA603" s="76"/>
      <c r="AB603" s="76"/>
      <c r="AC603" s="129"/>
      <c r="AD603" s="134"/>
      <c r="AE603" s="134"/>
      <c r="AF603" s="134"/>
      <c r="AG603" s="134"/>
      <c r="AH603" s="134"/>
      <c r="AI603" s="134"/>
      <c r="AJ603" s="134"/>
      <c r="AK603" s="134"/>
      <c r="AL603" s="134"/>
      <c r="AM603" s="134"/>
      <c r="AN603" s="134"/>
      <c r="AO603" s="134"/>
      <c r="AP603" s="134"/>
      <c r="AQ603" s="134"/>
      <c r="AR603" s="134"/>
      <c r="AS603" s="134"/>
      <c r="AT603" s="134"/>
      <c r="AU603" s="134"/>
      <c r="AV603" s="134"/>
      <c r="AW603" s="134"/>
      <c r="AX603" s="134"/>
      <c r="AY603" s="134"/>
      <c r="AZ603" s="134"/>
      <c r="BA603" s="134"/>
      <c r="BB603" s="134"/>
      <c r="BC603" s="134"/>
      <c r="BD603" s="134"/>
      <c r="BE603" s="134"/>
      <c r="BF603" s="134"/>
      <c r="BG603" s="134"/>
      <c r="BH603" s="134"/>
      <c r="BI603" s="134"/>
      <c r="BJ603" s="134"/>
      <c r="BK603" s="134"/>
      <c r="BL603" s="134"/>
      <c r="BM603" s="135"/>
      <c r="BN603" s="136" t="n">
        <f aca="false">+MAX($D$3,DATOS_[[#This Row],[Fecha Inicio Sit. Contract.]])</f>
        <v>0</v>
      </c>
      <c r="BO603" s="136" t="n">
        <f aca="false">+MIN($D$4,DATOS_[[#This Row],[Fecha Fin Sit. Contract.]])</f>
        <v>0</v>
      </c>
      <c r="BP603" s="137" t="n">
        <f aca="false">+DATOS_[[#This Row],[% de jornada]]*IF(DATOS_[[#This Row],[% jornada reducida]]="",1,DATOS_[[#This Row],[% jornada reducida]])</f>
        <v>0</v>
      </c>
      <c r="BQ603" s="137" t="n">
        <f aca="false">+(DATOS_[[#This Row],[F.fin.cal]]-DATOS_[[#This Row],[F.ini.cal]]+1)/($D$4-$D$3+1)</f>
        <v>1</v>
      </c>
      <c r="BR603" s="137" t="str">
        <f aca="false">IF(OR(AND(DATOS_[[#This Row],[Fecha Fin Contrato]]&lt;$D$3,DATOS_[[#This Row],[Fecha Fin Contrato]]&lt;&gt;""),DATOS_[[#This Row],[Fecha de Contratación]]&gt;$D$4),"Fuera","Dentro")</f>
        <v>Dentro</v>
      </c>
      <c r="BS603" s="137" t="str">
        <f aca="false" t="array" ref="BS603:BS603">IF(MAX(IF(DATOS_[id]=DATOS_[[#This Row],[id]],DATOS_[F.fin.cal]))=DATOS_[[#This Row],[F.fin.cal]],"Sí","NO")</f>
        <v>Sí</v>
      </c>
      <c r="BT603" s="137" t="str">
        <f aca="false">IF(AND(DATOS_[[#This Row],[% normaliz]]&lt;&gt;1,DATOS_[[#This Row],[% anualiz]]=1),"Sí","NO")</f>
        <v>Sí</v>
      </c>
      <c r="BU603" s="137" t="str">
        <f aca="false">IF(AND(DATOS_[[#This Row],[% normaliz]]=1,DATOS_[[#This Row],[% anualiz]]&lt;&gt;1),"Sí","NO")</f>
        <v>NO</v>
      </c>
      <c r="BV603" s="137" t="str">
        <f aca="false">IF(AND(DATOS_[[#This Row],[% normaliz]]&lt;&gt;1,DATOS_[[#This Row],[% anualiz]]&lt;&gt;1),"Sí","NO")</f>
        <v>NO</v>
      </c>
      <c r="BW603" s="137" t="str">
        <f aca="false">+IF(DATOS_[[#This Row],[% normaliz]]*DATOS_[[#This Row],[% anualiz]]=1,"NO","Sí")</f>
        <v>Sí</v>
      </c>
      <c r="BX603" s="138" t="e">
        <f aca="false">(DATOS_[[#This Row],[S.BASE]]*(1/DATOS_[[#This Row],[% normaliz]])*(1/DATOS_[[#This Row],[% anualiz]]))*IF(DATOS_[[#This Row],[Check Equiparado]]="Sí",1,0)</f>
        <v>#DIV/0!</v>
      </c>
      <c r="BY6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3" s="138" t="e">
        <f aca="false">+DATOS_[[#This Row],[SALARIO BASE Eq]]+DATOS_[[#This Row],[Tot COMPL.SAL Eq]]</f>
        <v>#DIV/0!</v>
      </c>
      <c r="CA603" s="138" t="e">
        <f aca="false" t="array" ref="CA603:CA6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3" s="138" t="e">
        <f aca="false">+DATOS_[[#This Row],[TOTAL SALARIO Eq]]+DATOS_[[#This Row],[Tot Extrasalarial Eq]]</f>
        <v>#DIV/0!</v>
      </c>
      <c r="CC603" s="139" t="n">
        <f aca="false">DATOS_[[#This Row],[S.BASE]]</f>
        <v>0</v>
      </c>
      <c r="CD603" s="139" t="n">
        <f aca="false">+SUM(DATOS_[[#This Row],[Conc.Sal.01]:[Conc.Sal.30]])</f>
        <v>0</v>
      </c>
      <c r="CE603" s="139" t="n">
        <f aca="false">+DATOS_[[#This Row],[SALARIO BASE Ef]]+DATOS_[[#This Row],[Tot COMPL.SAL Ef]]</f>
        <v>0</v>
      </c>
      <c r="CF603" s="139" t="n">
        <f aca="false">+SUM(DATOS_[[#This Row],[C.Extra.01]:[C.Extra.05]])</f>
        <v>0</v>
      </c>
      <c r="CG603" s="139" t="n">
        <f aca="false">+DATOS_[[#This Row],[TOTAL SALARIO Ef]]+DATOS_[[#This Row],[Tot Extrasalarial Ef]]</f>
        <v>0</v>
      </c>
      <c r="CH603" s="140" t="n">
        <f aca="false">MIN(IF(DATOS_[[#This Row],[Fecha Fin Contrato]]="",$D$4,DATOS_[[#This Row],[Fecha Fin Contrato]]),$D$4)-MAX(DATOS_[[#This Row],[Fecha de Contratación]],$D$3)+1</f>
        <v>1</v>
      </c>
      <c r="CI603" s="141" t="str">
        <f aca="false">IF(COUNTIFS(DATOS_[id],DATOS_[[#This Row],[id]])&gt;1,DATOS_[[#This Row],[id]],"")</f>
        <v/>
      </c>
      <c r="CJ603" s="141" t="n">
        <f aca="false">(Inicio!$G$10-DATOS_[[#This Row],[Fecha Nacimiento]])/365.25</f>
        <v>0</v>
      </c>
      <c r="CK603" s="141" t="n">
        <f aca="false">(Inicio!$G$10-DATOS_[[#This Row],[Fecha de Antigüedad]])/365.25</f>
        <v>0</v>
      </c>
      <c r="CL603" s="141" t="e">
        <f aca="false">+VLOOKUP(DATOS_[[#This Row],[Clave de Contrato]],TblTiposContrato13[],3,0)</f>
        <v>#N/A</v>
      </c>
      <c r="CM603" s="141" t="e">
        <f aca="false">+VLOOKUP(DATOS_[[#This Row],[Clave de Contrato]],TblTiposContrato13[],4,0)</f>
        <v>#N/A</v>
      </c>
      <c r="CN603" s="141" t="str">
        <f aca="false">VLOOKUP(DATOS_[[#This Row],[Edad]],CONTRATOS!TblRngEdad,2,1)</f>
        <v>20  o menos</v>
      </c>
      <c r="CO603" s="141" t="str">
        <f aca="false">VLOOKUP(DATOS_[[#This Row],[Antigüedad]],TblRngAntg14[],2,1)</f>
        <v>0 a 1 años</v>
      </c>
    </row>
    <row r="604" customFormat="false" ht="13.8" hidden="false" customHeight="false" outlineLevel="0" collapsed="false">
      <c r="D604" s="128"/>
      <c r="E604" s="129"/>
      <c r="F604" s="129"/>
      <c r="G604" s="129"/>
      <c r="H604" s="130"/>
      <c r="I604" s="131"/>
      <c r="J604" s="128"/>
      <c r="K604" s="132"/>
      <c r="L604" s="132"/>
      <c r="M604" s="133"/>
      <c r="N604" s="133"/>
      <c r="O604" s="133"/>
      <c r="P604" s="129"/>
      <c r="Z604" s="75"/>
      <c r="AA604" s="76"/>
      <c r="AB604" s="76"/>
      <c r="AC604" s="129"/>
      <c r="AD604" s="134"/>
      <c r="AE604" s="134"/>
      <c r="AF604" s="134"/>
      <c r="AG604" s="134"/>
      <c r="AH604" s="134"/>
      <c r="AI604" s="134"/>
      <c r="AJ604" s="134"/>
      <c r="AK604" s="134"/>
      <c r="AL604" s="134"/>
      <c r="AM604" s="134"/>
      <c r="AN604" s="134"/>
      <c r="AO604" s="134"/>
      <c r="AP604" s="134"/>
      <c r="AQ604" s="134"/>
      <c r="AR604" s="134"/>
      <c r="AS604" s="134"/>
      <c r="AT604" s="134"/>
      <c r="AU604" s="134"/>
      <c r="AV604" s="134"/>
      <c r="AW604" s="134"/>
      <c r="AX604" s="134"/>
      <c r="AY604" s="134"/>
      <c r="AZ604" s="134"/>
      <c r="BA604" s="134"/>
      <c r="BB604" s="134"/>
      <c r="BC604" s="134"/>
      <c r="BD604" s="134"/>
      <c r="BE604" s="134"/>
      <c r="BF604" s="134"/>
      <c r="BG604" s="134"/>
      <c r="BH604" s="134"/>
      <c r="BI604" s="134"/>
      <c r="BJ604" s="134"/>
      <c r="BK604" s="134"/>
      <c r="BL604" s="134"/>
      <c r="BM604" s="135"/>
      <c r="BN604" s="136" t="n">
        <f aca="false">+MAX($D$3,DATOS_[[#This Row],[Fecha Inicio Sit. Contract.]])</f>
        <v>0</v>
      </c>
      <c r="BO604" s="136" t="n">
        <f aca="false">+MIN($D$4,DATOS_[[#This Row],[Fecha Fin Sit. Contract.]])</f>
        <v>0</v>
      </c>
      <c r="BP604" s="137" t="n">
        <f aca="false">+DATOS_[[#This Row],[% de jornada]]*IF(DATOS_[[#This Row],[% jornada reducida]]="",1,DATOS_[[#This Row],[% jornada reducida]])</f>
        <v>0</v>
      </c>
      <c r="BQ604" s="137" t="n">
        <f aca="false">+(DATOS_[[#This Row],[F.fin.cal]]-DATOS_[[#This Row],[F.ini.cal]]+1)/($D$4-$D$3+1)</f>
        <v>1</v>
      </c>
      <c r="BR604" s="137" t="str">
        <f aca="false">IF(OR(AND(DATOS_[[#This Row],[Fecha Fin Contrato]]&lt;$D$3,DATOS_[[#This Row],[Fecha Fin Contrato]]&lt;&gt;""),DATOS_[[#This Row],[Fecha de Contratación]]&gt;$D$4),"Fuera","Dentro")</f>
        <v>Dentro</v>
      </c>
      <c r="BS604" s="137" t="str">
        <f aca="false" t="array" ref="BS604:BS604">IF(MAX(IF(DATOS_[id]=DATOS_[[#This Row],[id]],DATOS_[F.fin.cal]))=DATOS_[[#This Row],[F.fin.cal]],"Sí","NO")</f>
        <v>Sí</v>
      </c>
      <c r="BT604" s="137" t="str">
        <f aca="false">IF(AND(DATOS_[[#This Row],[% normaliz]]&lt;&gt;1,DATOS_[[#This Row],[% anualiz]]=1),"Sí","NO")</f>
        <v>Sí</v>
      </c>
      <c r="BU604" s="137" t="str">
        <f aca="false">IF(AND(DATOS_[[#This Row],[% normaliz]]=1,DATOS_[[#This Row],[% anualiz]]&lt;&gt;1),"Sí","NO")</f>
        <v>NO</v>
      </c>
      <c r="BV604" s="137" t="str">
        <f aca="false">IF(AND(DATOS_[[#This Row],[% normaliz]]&lt;&gt;1,DATOS_[[#This Row],[% anualiz]]&lt;&gt;1),"Sí","NO")</f>
        <v>NO</v>
      </c>
      <c r="BW604" s="137" t="str">
        <f aca="false">+IF(DATOS_[[#This Row],[% normaliz]]*DATOS_[[#This Row],[% anualiz]]=1,"NO","Sí")</f>
        <v>Sí</v>
      </c>
      <c r="BX604" s="138" t="e">
        <f aca="false">(DATOS_[[#This Row],[S.BASE]]*(1/DATOS_[[#This Row],[% normaliz]])*(1/DATOS_[[#This Row],[% anualiz]]))*IF(DATOS_[[#This Row],[Check Equiparado]]="Sí",1,0)</f>
        <v>#DIV/0!</v>
      </c>
      <c r="BY6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4" s="138" t="e">
        <f aca="false">+DATOS_[[#This Row],[SALARIO BASE Eq]]+DATOS_[[#This Row],[Tot COMPL.SAL Eq]]</f>
        <v>#DIV/0!</v>
      </c>
      <c r="CA604" s="138" t="e">
        <f aca="false" t="array" ref="CA604:CA6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4" s="138" t="e">
        <f aca="false">+DATOS_[[#This Row],[TOTAL SALARIO Eq]]+DATOS_[[#This Row],[Tot Extrasalarial Eq]]</f>
        <v>#DIV/0!</v>
      </c>
      <c r="CC604" s="139" t="n">
        <f aca="false">DATOS_[[#This Row],[S.BASE]]</f>
        <v>0</v>
      </c>
      <c r="CD604" s="139" t="n">
        <f aca="false">+SUM(DATOS_[[#This Row],[Conc.Sal.01]:[Conc.Sal.30]])</f>
        <v>0</v>
      </c>
      <c r="CE604" s="139" t="n">
        <f aca="false">+DATOS_[[#This Row],[SALARIO BASE Ef]]+DATOS_[[#This Row],[Tot COMPL.SAL Ef]]</f>
        <v>0</v>
      </c>
      <c r="CF604" s="139" t="n">
        <f aca="false">+SUM(DATOS_[[#This Row],[C.Extra.01]:[C.Extra.05]])</f>
        <v>0</v>
      </c>
      <c r="CG604" s="139" t="n">
        <f aca="false">+DATOS_[[#This Row],[TOTAL SALARIO Ef]]+DATOS_[[#This Row],[Tot Extrasalarial Ef]]</f>
        <v>0</v>
      </c>
      <c r="CH604" s="140" t="n">
        <f aca="false">MIN(IF(DATOS_[[#This Row],[Fecha Fin Contrato]]="",$D$4,DATOS_[[#This Row],[Fecha Fin Contrato]]),$D$4)-MAX(DATOS_[[#This Row],[Fecha de Contratación]],$D$3)+1</f>
        <v>1</v>
      </c>
      <c r="CI604" s="141" t="str">
        <f aca="false">IF(COUNTIFS(DATOS_[id],DATOS_[[#This Row],[id]])&gt;1,DATOS_[[#This Row],[id]],"")</f>
        <v/>
      </c>
      <c r="CJ604" s="141" t="n">
        <f aca="false">(Inicio!$G$10-DATOS_[[#This Row],[Fecha Nacimiento]])/365.25</f>
        <v>0</v>
      </c>
      <c r="CK604" s="141" t="n">
        <f aca="false">(Inicio!$G$10-DATOS_[[#This Row],[Fecha de Antigüedad]])/365.25</f>
        <v>0</v>
      </c>
      <c r="CL604" s="141" t="e">
        <f aca="false">+VLOOKUP(DATOS_[[#This Row],[Clave de Contrato]],TblTiposContrato13[],3,0)</f>
        <v>#N/A</v>
      </c>
      <c r="CM604" s="141" t="e">
        <f aca="false">+VLOOKUP(DATOS_[[#This Row],[Clave de Contrato]],TblTiposContrato13[],4,0)</f>
        <v>#N/A</v>
      </c>
      <c r="CN604" s="141" t="str">
        <f aca="false">VLOOKUP(DATOS_[[#This Row],[Edad]],CONTRATOS!TblRngEdad,2,1)</f>
        <v>20  o menos</v>
      </c>
      <c r="CO604" s="141" t="str">
        <f aca="false">VLOOKUP(DATOS_[[#This Row],[Antigüedad]],TblRngAntg14[],2,1)</f>
        <v>0 a 1 años</v>
      </c>
    </row>
    <row r="605" customFormat="false" ht="13.8" hidden="false" customHeight="false" outlineLevel="0" collapsed="false">
      <c r="D605" s="128"/>
      <c r="E605" s="129"/>
      <c r="F605" s="129"/>
      <c r="G605" s="129"/>
      <c r="H605" s="130"/>
      <c r="I605" s="131"/>
      <c r="J605" s="128"/>
      <c r="K605" s="132"/>
      <c r="L605" s="132"/>
      <c r="M605" s="133"/>
      <c r="N605" s="133"/>
      <c r="O605" s="133"/>
      <c r="P605" s="129"/>
      <c r="Z605" s="75"/>
      <c r="AA605" s="76"/>
      <c r="AB605" s="76"/>
      <c r="AC605" s="129"/>
      <c r="AD605" s="134"/>
      <c r="AE605" s="134"/>
      <c r="AF605" s="134"/>
      <c r="AG605" s="134"/>
      <c r="AH605" s="134"/>
      <c r="AI605" s="134"/>
      <c r="AJ605" s="134"/>
      <c r="AK605" s="134"/>
      <c r="AL605" s="134"/>
      <c r="AM605" s="134"/>
      <c r="AN605" s="134"/>
      <c r="AO605" s="134"/>
      <c r="AP605" s="134"/>
      <c r="AQ605" s="134"/>
      <c r="AR605" s="134"/>
      <c r="AS605" s="134"/>
      <c r="AT605" s="134"/>
      <c r="AU605" s="134"/>
      <c r="AV605" s="134"/>
      <c r="AW605" s="134"/>
      <c r="AX605" s="134"/>
      <c r="AY605" s="134"/>
      <c r="AZ605" s="134"/>
      <c r="BA605" s="134"/>
      <c r="BB605" s="134"/>
      <c r="BC605" s="134"/>
      <c r="BD605" s="134"/>
      <c r="BE605" s="134"/>
      <c r="BF605" s="134"/>
      <c r="BG605" s="134"/>
      <c r="BH605" s="134"/>
      <c r="BI605" s="134"/>
      <c r="BJ605" s="134"/>
      <c r="BK605" s="134"/>
      <c r="BL605" s="134"/>
      <c r="BM605" s="135"/>
      <c r="BN605" s="136" t="n">
        <f aca="false">+MAX($D$3,DATOS_[[#This Row],[Fecha Inicio Sit. Contract.]])</f>
        <v>0</v>
      </c>
      <c r="BO605" s="136" t="n">
        <f aca="false">+MIN($D$4,DATOS_[[#This Row],[Fecha Fin Sit. Contract.]])</f>
        <v>0</v>
      </c>
      <c r="BP605" s="137" t="n">
        <f aca="false">+DATOS_[[#This Row],[% de jornada]]*IF(DATOS_[[#This Row],[% jornada reducida]]="",1,DATOS_[[#This Row],[% jornada reducida]])</f>
        <v>0</v>
      </c>
      <c r="BQ605" s="137" t="n">
        <f aca="false">+(DATOS_[[#This Row],[F.fin.cal]]-DATOS_[[#This Row],[F.ini.cal]]+1)/($D$4-$D$3+1)</f>
        <v>1</v>
      </c>
      <c r="BR605" s="137" t="str">
        <f aca="false">IF(OR(AND(DATOS_[[#This Row],[Fecha Fin Contrato]]&lt;$D$3,DATOS_[[#This Row],[Fecha Fin Contrato]]&lt;&gt;""),DATOS_[[#This Row],[Fecha de Contratación]]&gt;$D$4),"Fuera","Dentro")</f>
        <v>Dentro</v>
      </c>
      <c r="BS605" s="137" t="str">
        <f aca="false" t="array" ref="BS605:BS605">IF(MAX(IF(DATOS_[id]=DATOS_[[#This Row],[id]],DATOS_[F.fin.cal]))=DATOS_[[#This Row],[F.fin.cal]],"Sí","NO")</f>
        <v>Sí</v>
      </c>
      <c r="BT605" s="137" t="str">
        <f aca="false">IF(AND(DATOS_[[#This Row],[% normaliz]]&lt;&gt;1,DATOS_[[#This Row],[% anualiz]]=1),"Sí","NO")</f>
        <v>Sí</v>
      </c>
      <c r="BU605" s="137" t="str">
        <f aca="false">IF(AND(DATOS_[[#This Row],[% normaliz]]=1,DATOS_[[#This Row],[% anualiz]]&lt;&gt;1),"Sí","NO")</f>
        <v>NO</v>
      </c>
      <c r="BV605" s="137" t="str">
        <f aca="false">IF(AND(DATOS_[[#This Row],[% normaliz]]&lt;&gt;1,DATOS_[[#This Row],[% anualiz]]&lt;&gt;1),"Sí","NO")</f>
        <v>NO</v>
      </c>
      <c r="BW605" s="137" t="str">
        <f aca="false">+IF(DATOS_[[#This Row],[% normaliz]]*DATOS_[[#This Row],[% anualiz]]=1,"NO","Sí")</f>
        <v>Sí</v>
      </c>
      <c r="BX605" s="138" t="e">
        <f aca="false">(DATOS_[[#This Row],[S.BASE]]*(1/DATOS_[[#This Row],[% normaliz]])*(1/DATOS_[[#This Row],[% anualiz]]))*IF(DATOS_[[#This Row],[Check Equiparado]]="Sí",1,0)</f>
        <v>#DIV/0!</v>
      </c>
      <c r="BY6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5" s="138" t="e">
        <f aca="false">+DATOS_[[#This Row],[SALARIO BASE Eq]]+DATOS_[[#This Row],[Tot COMPL.SAL Eq]]</f>
        <v>#DIV/0!</v>
      </c>
      <c r="CA605" s="138" t="e">
        <f aca="false" t="array" ref="CA605:CA6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5" s="138" t="e">
        <f aca="false">+DATOS_[[#This Row],[TOTAL SALARIO Eq]]+DATOS_[[#This Row],[Tot Extrasalarial Eq]]</f>
        <v>#DIV/0!</v>
      </c>
      <c r="CC605" s="139" t="n">
        <f aca="false">DATOS_[[#This Row],[S.BASE]]</f>
        <v>0</v>
      </c>
      <c r="CD605" s="139" t="n">
        <f aca="false">+SUM(DATOS_[[#This Row],[Conc.Sal.01]:[Conc.Sal.30]])</f>
        <v>0</v>
      </c>
      <c r="CE605" s="139" t="n">
        <f aca="false">+DATOS_[[#This Row],[SALARIO BASE Ef]]+DATOS_[[#This Row],[Tot COMPL.SAL Ef]]</f>
        <v>0</v>
      </c>
      <c r="CF605" s="139" t="n">
        <f aca="false">+SUM(DATOS_[[#This Row],[C.Extra.01]:[C.Extra.05]])</f>
        <v>0</v>
      </c>
      <c r="CG605" s="139" t="n">
        <f aca="false">+DATOS_[[#This Row],[TOTAL SALARIO Ef]]+DATOS_[[#This Row],[Tot Extrasalarial Ef]]</f>
        <v>0</v>
      </c>
      <c r="CH605" s="140" t="n">
        <f aca="false">MIN(IF(DATOS_[[#This Row],[Fecha Fin Contrato]]="",$D$4,DATOS_[[#This Row],[Fecha Fin Contrato]]),$D$4)-MAX(DATOS_[[#This Row],[Fecha de Contratación]],$D$3)+1</f>
        <v>1</v>
      </c>
      <c r="CI605" s="141" t="str">
        <f aca="false">IF(COUNTIFS(DATOS_[id],DATOS_[[#This Row],[id]])&gt;1,DATOS_[[#This Row],[id]],"")</f>
        <v/>
      </c>
      <c r="CJ605" s="141" t="n">
        <f aca="false">(Inicio!$G$10-DATOS_[[#This Row],[Fecha Nacimiento]])/365.25</f>
        <v>0</v>
      </c>
      <c r="CK605" s="141" t="n">
        <f aca="false">(Inicio!$G$10-DATOS_[[#This Row],[Fecha de Antigüedad]])/365.25</f>
        <v>0</v>
      </c>
      <c r="CL605" s="141" t="e">
        <f aca="false">+VLOOKUP(DATOS_[[#This Row],[Clave de Contrato]],TblTiposContrato13[],3,0)</f>
        <v>#N/A</v>
      </c>
      <c r="CM605" s="141" t="e">
        <f aca="false">+VLOOKUP(DATOS_[[#This Row],[Clave de Contrato]],TblTiposContrato13[],4,0)</f>
        <v>#N/A</v>
      </c>
      <c r="CN605" s="141" t="str">
        <f aca="false">VLOOKUP(DATOS_[[#This Row],[Edad]],CONTRATOS!TblRngEdad,2,1)</f>
        <v>20  o menos</v>
      </c>
      <c r="CO605" s="141" t="str">
        <f aca="false">VLOOKUP(DATOS_[[#This Row],[Antigüedad]],TblRngAntg14[],2,1)</f>
        <v>0 a 1 años</v>
      </c>
    </row>
    <row r="606" customFormat="false" ht="13.8" hidden="false" customHeight="false" outlineLevel="0" collapsed="false">
      <c r="D606" s="128"/>
      <c r="E606" s="129"/>
      <c r="F606" s="129"/>
      <c r="G606" s="129"/>
      <c r="H606" s="130"/>
      <c r="I606" s="131"/>
      <c r="J606" s="128"/>
      <c r="K606" s="132"/>
      <c r="L606" s="132"/>
      <c r="M606" s="133"/>
      <c r="N606" s="133"/>
      <c r="O606" s="133"/>
      <c r="P606" s="129"/>
      <c r="Z606" s="75"/>
      <c r="AA606" s="76"/>
      <c r="AB606" s="76"/>
      <c r="AC606" s="129"/>
      <c r="AD606" s="134"/>
      <c r="AE606" s="134"/>
      <c r="AF606" s="134"/>
      <c r="AG606" s="134"/>
      <c r="AH606" s="134"/>
      <c r="AI606" s="134"/>
      <c r="AJ606" s="134"/>
      <c r="AK606" s="134"/>
      <c r="AL606" s="134"/>
      <c r="AM606" s="134"/>
      <c r="AN606" s="134"/>
      <c r="AO606" s="134"/>
      <c r="AP606" s="134"/>
      <c r="AQ606" s="134"/>
      <c r="AR606" s="134"/>
      <c r="AS606" s="134"/>
      <c r="AT606" s="134"/>
      <c r="AU606" s="134"/>
      <c r="AV606" s="134"/>
      <c r="AW606" s="134"/>
      <c r="AX606" s="134"/>
      <c r="AY606" s="134"/>
      <c r="AZ606" s="134"/>
      <c r="BA606" s="134"/>
      <c r="BB606" s="134"/>
      <c r="BC606" s="134"/>
      <c r="BD606" s="134"/>
      <c r="BE606" s="134"/>
      <c r="BF606" s="134"/>
      <c r="BG606" s="134"/>
      <c r="BH606" s="134"/>
      <c r="BI606" s="134"/>
      <c r="BJ606" s="134"/>
      <c r="BK606" s="134"/>
      <c r="BL606" s="134"/>
      <c r="BM606" s="135"/>
      <c r="BN606" s="136" t="n">
        <f aca="false">+MAX($D$3,DATOS_[[#This Row],[Fecha Inicio Sit. Contract.]])</f>
        <v>0</v>
      </c>
      <c r="BO606" s="136" t="n">
        <f aca="false">+MIN($D$4,DATOS_[[#This Row],[Fecha Fin Sit. Contract.]])</f>
        <v>0</v>
      </c>
      <c r="BP606" s="137" t="n">
        <f aca="false">+DATOS_[[#This Row],[% de jornada]]*IF(DATOS_[[#This Row],[% jornada reducida]]="",1,DATOS_[[#This Row],[% jornada reducida]])</f>
        <v>0</v>
      </c>
      <c r="BQ606" s="137" t="n">
        <f aca="false">+(DATOS_[[#This Row],[F.fin.cal]]-DATOS_[[#This Row],[F.ini.cal]]+1)/($D$4-$D$3+1)</f>
        <v>1</v>
      </c>
      <c r="BR606" s="137" t="str">
        <f aca="false">IF(OR(AND(DATOS_[[#This Row],[Fecha Fin Contrato]]&lt;$D$3,DATOS_[[#This Row],[Fecha Fin Contrato]]&lt;&gt;""),DATOS_[[#This Row],[Fecha de Contratación]]&gt;$D$4),"Fuera","Dentro")</f>
        <v>Dentro</v>
      </c>
      <c r="BS606" s="137" t="str">
        <f aca="false" t="array" ref="BS606:BS606">IF(MAX(IF(DATOS_[id]=DATOS_[[#This Row],[id]],DATOS_[F.fin.cal]))=DATOS_[[#This Row],[F.fin.cal]],"Sí","NO")</f>
        <v>Sí</v>
      </c>
      <c r="BT606" s="137" t="str">
        <f aca="false">IF(AND(DATOS_[[#This Row],[% normaliz]]&lt;&gt;1,DATOS_[[#This Row],[% anualiz]]=1),"Sí","NO")</f>
        <v>Sí</v>
      </c>
      <c r="BU606" s="137" t="str">
        <f aca="false">IF(AND(DATOS_[[#This Row],[% normaliz]]=1,DATOS_[[#This Row],[% anualiz]]&lt;&gt;1),"Sí","NO")</f>
        <v>NO</v>
      </c>
      <c r="BV606" s="137" t="str">
        <f aca="false">IF(AND(DATOS_[[#This Row],[% normaliz]]&lt;&gt;1,DATOS_[[#This Row],[% anualiz]]&lt;&gt;1),"Sí","NO")</f>
        <v>NO</v>
      </c>
      <c r="BW606" s="137" t="str">
        <f aca="false">+IF(DATOS_[[#This Row],[% normaliz]]*DATOS_[[#This Row],[% anualiz]]=1,"NO","Sí")</f>
        <v>Sí</v>
      </c>
      <c r="BX606" s="138" t="e">
        <f aca="false">(DATOS_[[#This Row],[S.BASE]]*(1/DATOS_[[#This Row],[% normaliz]])*(1/DATOS_[[#This Row],[% anualiz]]))*IF(DATOS_[[#This Row],[Check Equiparado]]="Sí",1,0)</f>
        <v>#DIV/0!</v>
      </c>
      <c r="BY6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6" s="138" t="e">
        <f aca="false">+DATOS_[[#This Row],[SALARIO BASE Eq]]+DATOS_[[#This Row],[Tot COMPL.SAL Eq]]</f>
        <v>#DIV/0!</v>
      </c>
      <c r="CA606" s="138" t="e">
        <f aca="false" t="array" ref="CA606:CA6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6" s="138" t="e">
        <f aca="false">+DATOS_[[#This Row],[TOTAL SALARIO Eq]]+DATOS_[[#This Row],[Tot Extrasalarial Eq]]</f>
        <v>#DIV/0!</v>
      </c>
      <c r="CC606" s="139" t="n">
        <f aca="false">DATOS_[[#This Row],[S.BASE]]</f>
        <v>0</v>
      </c>
      <c r="CD606" s="139" t="n">
        <f aca="false">+SUM(DATOS_[[#This Row],[Conc.Sal.01]:[Conc.Sal.30]])</f>
        <v>0</v>
      </c>
      <c r="CE606" s="139" t="n">
        <f aca="false">+DATOS_[[#This Row],[SALARIO BASE Ef]]+DATOS_[[#This Row],[Tot COMPL.SAL Ef]]</f>
        <v>0</v>
      </c>
      <c r="CF606" s="139" t="n">
        <f aca="false">+SUM(DATOS_[[#This Row],[C.Extra.01]:[C.Extra.05]])</f>
        <v>0</v>
      </c>
      <c r="CG606" s="139" t="n">
        <f aca="false">+DATOS_[[#This Row],[TOTAL SALARIO Ef]]+DATOS_[[#This Row],[Tot Extrasalarial Ef]]</f>
        <v>0</v>
      </c>
      <c r="CH606" s="140" t="n">
        <f aca="false">MIN(IF(DATOS_[[#This Row],[Fecha Fin Contrato]]="",$D$4,DATOS_[[#This Row],[Fecha Fin Contrato]]),$D$4)-MAX(DATOS_[[#This Row],[Fecha de Contratación]],$D$3)+1</f>
        <v>1</v>
      </c>
      <c r="CI606" s="141" t="str">
        <f aca="false">IF(COUNTIFS(DATOS_[id],DATOS_[[#This Row],[id]])&gt;1,DATOS_[[#This Row],[id]],"")</f>
        <v/>
      </c>
      <c r="CJ606" s="141" t="n">
        <f aca="false">(Inicio!$G$10-DATOS_[[#This Row],[Fecha Nacimiento]])/365.25</f>
        <v>0</v>
      </c>
      <c r="CK606" s="141" t="n">
        <f aca="false">(Inicio!$G$10-DATOS_[[#This Row],[Fecha de Antigüedad]])/365.25</f>
        <v>0</v>
      </c>
      <c r="CL606" s="141" t="e">
        <f aca="false">+VLOOKUP(DATOS_[[#This Row],[Clave de Contrato]],TblTiposContrato13[],3,0)</f>
        <v>#N/A</v>
      </c>
      <c r="CM606" s="141" t="e">
        <f aca="false">+VLOOKUP(DATOS_[[#This Row],[Clave de Contrato]],TblTiposContrato13[],4,0)</f>
        <v>#N/A</v>
      </c>
      <c r="CN606" s="141" t="str">
        <f aca="false">VLOOKUP(DATOS_[[#This Row],[Edad]],CONTRATOS!TblRngEdad,2,1)</f>
        <v>20  o menos</v>
      </c>
      <c r="CO606" s="141" t="str">
        <f aca="false">VLOOKUP(DATOS_[[#This Row],[Antigüedad]],TblRngAntg14[],2,1)</f>
        <v>0 a 1 años</v>
      </c>
    </row>
    <row r="607" customFormat="false" ht="13.8" hidden="false" customHeight="false" outlineLevel="0" collapsed="false">
      <c r="D607" s="128"/>
      <c r="E607" s="129"/>
      <c r="F607" s="129"/>
      <c r="G607" s="129"/>
      <c r="H607" s="130"/>
      <c r="I607" s="131"/>
      <c r="J607" s="128"/>
      <c r="K607" s="132"/>
      <c r="L607" s="132"/>
      <c r="M607" s="133"/>
      <c r="N607" s="133"/>
      <c r="O607" s="133"/>
      <c r="P607" s="129"/>
      <c r="Z607" s="75"/>
      <c r="AA607" s="76"/>
      <c r="AB607" s="76"/>
      <c r="AC607" s="129"/>
      <c r="AD607" s="134"/>
      <c r="AE607" s="134"/>
      <c r="AF607" s="134"/>
      <c r="AG607" s="134"/>
      <c r="AH607" s="134"/>
      <c r="AI607" s="134"/>
      <c r="AJ607" s="134"/>
      <c r="AK607" s="134"/>
      <c r="AL607" s="134"/>
      <c r="AM607" s="134"/>
      <c r="AN607" s="134"/>
      <c r="AO607" s="134"/>
      <c r="AP607" s="134"/>
      <c r="AQ607" s="134"/>
      <c r="AR607" s="134"/>
      <c r="AS607" s="134"/>
      <c r="AT607" s="134"/>
      <c r="AU607" s="134"/>
      <c r="AV607" s="134"/>
      <c r="AW607" s="134"/>
      <c r="AX607" s="134"/>
      <c r="AY607" s="134"/>
      <c r="AZ607" s="134"/>
      <c r="BA607" s="134"/>
      <c r="BB607" s="134"/>
      <c r="BC607" s="134"/>
      <c r="BD607" s="134"/>
      <c r="BE607" s="134"/>
      <c r="BF607" s="134"/>
      <c r="BG607" s="134"/>
      <c r="BH607" s="134"/>
      <c r="BI607" s="134"/>
      <c r="BJ607" s="134"/>
      <c r="BK607" s="134"/>
      <c r="BL607" s="134"/>
      <c r="BM607" s="135"/>
      <c r="BN607" s="136" t="n">
        <f aca="false">+MAX($D$3,DATOS_[[#This Row],[Fecha Inicio Sit. Contract.]])</f>
        <v>0</v>
      </c>
      <c r="BO607" s="136" t="n">
        <f aca="false">+MIN($D$4,DATOS_[[#This Row],[Fecha Fin Sit. Contract.]])</f>
        <v>0</v>
      </c>
      <c r="BP607" s="137" t="n">
        <f aca="false">+DATOS_[[#This Row],[% de jornada]]*IF(DATOS_[[#This Row],[% jornada reducida]]="",1,DATOS_[[#This Row],[% jornada reducida]])</f>
        <v>0</v>
      </c>
      <c r="BQ607" s="137" t="n">
        <f aca="false">+(DATOS_[[#This Row],[F.fin.cal]]-DATOS_[[#This Row],[F.ini.cal]]+1)/($D$4-$D$3+1)</f>
        <v>1</v>
      </c>
      <c r="BR607" s="137" t="str">
        <f aca="false">IF(OR(AND(DATOS_[[#This Row],[Fecha Fin Contrato]]&lt;$D$3,DATOS_[[#This Row],[Fecha Fin Contrato]]&lt;&gt;""),DATOS_[[#This Row],[Fecha de Contratación]]&gt;$D$4),"Fuera","Dentro")</f>
        <v>Dentro</v>
      </c>
      <c r="BS607" s="137" t="str">
        <f aca="false" t="array" ref="BS607:BS607">IF(MAX(IF(DATOS_[id]=DATOS_[[#This Row],[id]],DATOS_[F.fin.cal]))=DATOS_[[#This Row],[F.fin.cal]],"Sí","NO")</f>
        <v>Sí</v>
      </c>
      <c r="BT607" s="137" t="str">
        <f aca="false">IF(AND(DATOS_[[#This Row],[% normaliz]]&lt;&gt;1,DATOS_[[#This Row],[% anualiz]]=1),"Sí","NO")</f>
        <v>Sí</v>
      </c>
      <c r="BU607" s="137" t="str">
        <f aca="false">IF(AND(DATOS_[[#This Row],[% normaliz]]=1,DATOS_[[#This Row],[% anualiz]]&lt;&gt;1),"Sí","NO")</f>
        <v>NO</v>
      </c>
      <c r="BV607" s="137" t="str">
        <f aca="false">IF(AND(DATOS_[[#This Row],[% normaliz]]&lt;&gt;1,DATOS_[[#This Row],[% anualiz]]&lt;&gt;1),"Sí","NO")</f>
        <v>NO</v>
      </c>
      <c r="BW607" s="137" t="str">
        <f aca="false">+IF(DATOS_[[#This Row],[% normaliz]]*DATOS_[[#This Row],[% anualiz]]=1,"NO","Sí")</f>
        <v>Sí</v>
      </c>
      <c r="BX607" s="138" t="e">
        <f aca="false">(DATOS_[[#This Row],[S.BASE]]*(1/DATOS_[[#This Row],[% normaliz]])*(1/DATOS_[[#This Row],[% anualiz]]))*IF(DATOS_[[#This Row],[Check Equiparado]]="Sí",1,0)</f>
        <v>#DIV/0!</v>
      </c>
      <c r="BY6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7" s="138" t="e">
        <f aca="false">+DATOS_[[#This Row],[SALARIO BASE Eq]]+DATOS_[[#This Row],[Tot COMPL.SAL Eq]]</f>
        <v>#DIV/0!</v>
      </c>
      <c r="CA607" s="138" t="e">
        <f aca="false" t="array" ref="CA607:CA6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7" s="138" t="e">
        <f aca="false">+DATOS_[[#This Row],[TOTAL SALARIO Eq]]+DATOS_[[#This Row],[Tot Extrasalarial Eq]]</f>
        <v>#DIV/0!</v>
      </c>
      <c r="CC607" s="139" t="n">
        <f aca="false">DATOS_[[#This Row],[S.BASE]]</f>
        <v>0</v>
      </c>
      <c r="CD607" s="139" t="n">
        <f aca="false">+SUM(DATOS_[[#This Row],[Conc.Sal.01]:[Conc.Sal.30]])</f>
        <v>0</v>
      </c>
      <c r="CE607" s="139" t="n">
        <f aca="false">+DATOS_[[#This Row],[SALARIO BASE Ef]]+DATOS_[[#This Row],[Tot COMPL.SAL Ef]]</f>
        <v>0</v>
      </c>
      <c r="CF607" s="139" t="n">
        <f aca="false">+SUM(DATOS_[[#This Row],[C.Extra.01]:[C.Extra.05]])</f>
        <v>0</v>
      </c>
      <c r="CG607" s="139" t="n">
        <f aca="false">+DATOS_[[#This Row],[TOTAL SALARIO Ef]]+DATOS_[[#This Row],[Tot Extrasalarial Ef]]</f>
        <v>0</v>
      </c>
      <c r="CH607" s="140" t="n">
        <f aca="false">MIN(IF(DATOS_[[#This Row],[Fecha Fin Contrato]]="",$D$4,DATOS_[[#This Row],[Fecha Fin Contrato]]),$D$4)-MAX(DATOS_[[#This Row],[Fecha de Contratación]],$D$3)+1</f>
        <v>1</v>
      </c>
      <c r="CI607" s="141" t="str">
        <f aca="false">IF(COUNTIFS(DATOS_[id],DATOS_[[#This Row],[id]])&gt;1,DATOS_[[#This Row],[id]],"")</f>
        <v/>
      </c>
      <c r="CJ607" s="141" t="n">
        <f aca="false">(Inicio!$G$10-DATOS_[[#This Row],[Fecha Nacimiento]])/365.25</f>
        <v>0</v>
      </c>
      <c r="CK607" s="141" t="n">
        <f aca="false">(Inicio!$G$10-DATOS_[[#This Row],[Fecha de Antigüedad]])/365.25</f>
        <v>0</v>
      </c>
      <c r="CL607" s="141" t="e">
        <f aca="false">+VLOOKUP(DATOS_[[#This Row],[Clave de Contrato]],TblTiposContrato13[],3,0)</f>
        <v>#N/A</v>
      </c>
      <c r="CM607" s="141" t="e">
        <f aca="false">+VLOOKUP(DATOS_[[#This Row],[Clave de Contrato]],TblTiposContrato13[],4,0)</f>
        <v>#N/A</v>
      </c>
      <c r="CN607" s="141" t="str">
        <f aca="false">VLOOKUP(DATOS_[[#This Row],[Edad]],CONTRATOS!TblRngEdad,2,1)</f>
        <v>20  o menos</v>
      </c>
      <c r="CO607" s="141" t="str">
        <f aca="false">VLOOKUP(DATOS_[[#This Row],[Antigüedad]],TblRngAntg14[],2,1)</f>
        <v>0 a 1 años</v>
      </c>
    </row>
    <row r="608" customFormat="false" ht="13.8" hidden="false" customHeight="false" outlineLevel="0" collapsed="false">
      <c r="D608" s="128"/>
      <c r="E608" s="129"/>
      <c r="F608" s="129"/>
      <c r="G608" s="129"/>
      <c r="H608" s="130"/>
      <c r="I608" s="131"/>
      <c r="J608" s="128"/>
      <c r="K608" s="132"/>
      <c r="L608" s="132"/>
      <c r="M608" s="133"/>
      <c r="N608" s="133"/>
      <c r="O608" s="133"/>
      <c r="P608" s="129"/>
      <c r="Z608" s="75"/>
      <c r="AA608" s="76"/>
      <c r="AB608" s="76"/>
      <c r="AC608" s="129"/>
      <c r="AD608" s="134"/>
      <c r="AE608" s="134"/>
      <c r="AF608" s="134"/>
      <c r="AG608" s="134"/>
      <c r="AH608" s="134"/>
      <c r="AI608" s="134"/>
      <c r="AJ608" s="134"/>
      <c r="AK608" s="134"/>
      <c r="AL608" s="134"/>
      <c r="AM608" s="134"/>
      <c r="AN608" s="134"/>
      <c r="AO608" s="134"/>
      <c r="AP608" s="134"/>
      <c r="AQ608" s="134"/>
      <c r="AR608" s="134"/>
      <c r="AS608" s="134"/>
      <c r="AT608" s="134"/>
      <c r="AU608" s="134"/>
      <c r="AV608" s="134"/>
      <c r="AW608" s="134"/>
      <c r="AX608" s="134"/>
      <c r="AY608" s="134"/>
      <c r="AZ608" s="134"/>
      <c r="BA608" s="134"/>
      <c r="BB608" s="134"/>
      <c r="BC608" s="134"/>
      <c r="BD608" s="134"/>
      <c r="BE608" s="134"/>
      <c r="BF608" s="134"/>
      <c r="BG608" s="134"/>
      <c r="BH608" s="134"/>
      <c r="BI608" s="134"/>
      <c r="BJ608" s="134"/>
      <c r="BK608" s="134"/>
      <c r="BL608" s="134"/>
      <c r="BM608" s="135"/>
      <c r="BN608" s="136" t="n">
        <f aca="false">+MAX($D$3,DATOS_[[#This Row],[Fecha Inicio Sit. Contract.]])</f>
        <v>0</v>
      </c>
      <c r="BO608" s="136" t="n">
        <f aca="false">+MIN($D$4,DATOS_[[#This Row],[Fecha Fin Sit. Contract.]])</f>
        <v>0</v>
      </c>
      <c r="BP608" s="137" t="n">
        <f aca="false">+DATOS_[[#This Row],[% de jornada]]*IF(DATOS_[[#This Row],[% jornada reducida]]="",1,DATOS_[[#This Row],[% jornada reducida]])</f>
        <v>0</v>
      </c>
      <c r="BQ608" s="137" t="n">
        <f aca="false">+(DATOS_[[#This Row],[F.fin.cal]]-DATOS_[[#This Row],[F.ini.cal]]+1)/($D$4-$D$3+1)</f>
        <v>1</v>
      </c>
      <c r="BR608" s="137" t="str">
        <f aca="false">IF(OR(AND(DATOS_[[#This Row],[Fecha Fin Contrato]]&lt;$D$3,DATOS_[[#This Row],[Fecha Fin Contrato]]&lt;&gt;""),DATOS_[[#This Row],[Fecha de Contratación]]&gt;$D$4),"Fuera","Dentro")</f>
        <v>Dentro</v>
      </c>
      <c r="BS608" s="137" t="str">
        <f aca="false" t="array" ref="BS608:BS608">IF(MAX(IF(DATOS_[id]=DATOS_[[#This Row],[id]],DATOS_[F.fin.cal]))=DATOS_[[#This Row],[F.fin.cal]],"Sí","NO")</f>
        <v>Sí</v>
      </c>
      <c r="BT608" s="137" t="str">
        <f aca="false">IF(AND(DATOS_[[#This Row],[% normaliz]]&lt;&gt;1,DATOS_[[#This Row],[% anualiz]]=1),"Sí","NO")</f>
        <v>Sí</v>
      </c>
      <c r="BU608" s="137" t="str">
        <f aca="false">IF(AND(DATOS_[[#This Row],[% normaliz]]=1,DATOS_[[#This Row],[% anualiz]]&lt;&gt;1),"Sí","NO")</f>
        <v>NO</v>
      </c>
      <c r="BV608" s="137" t="str">
        <f aca="false">IF(AND(DATOS_[[#This Row],[% normaliz]]&lt;&gt;1,DATOS_[[#This Row],[% anualiz]]&lt;&gt;1),"Sí","NO")</f>
        <v>NO</v>
      </c>
      <c r="BW608" s="137" t="str">
        <f aca="false">+IF(DATOS_[[#This Row],[% normaliz]]*DATOS_[[#This Row],[% anualiz]]=1,"NO","Sí")</f>
        <v>Sí</v>
      </c>
      <c r="BX608" s="138" t="e">
        <f aca="false">(DATOS_[[#This Row],[S.BASE]]*(1/DATOS_[[#This Row],[% normaliz]])*(1/DATOS_[[#This Row],[% anualiz]]))*IF(DATOS_[[#This Row],[Check Equiparado]]="Sí",1,0)</f>
        <v>#DIV/0!</v>
      </c>
      <c r="BY6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8" s="138" t="e">
        <f aca="false">+DATOS_[[#This Row],[SALARIO BASE Eq]]+DATOS_[[#This Row],[Tot COMPL.SAL Eq]]</f>
        <v>#DIV/0!</v>
      </c>
      <c r="CA608" s="138" t="e">
        <f aca="false" t="array" ref="CA608:CA6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8" s="138" t="e">
        <f aca="false">+DATOS_[[#This Row],[TOTAL SALARIO Eq]]+DATOS_[[#This Row],[Tot Extrasalarial Eq]]</f>
        <v>#DIV/0!</v>
      </c>
      <c r="CC608" s="139" t="n">
        <f aca="false">DATOS_[[#This Row],[S.BASE]]</f>
        <v>0</v>
      </c>
      <c r="CD608" s="139" t="n">
        <f aca="false">+SUM(DATOS_[[#This Row],[Conc.Sal.01]:[Conc.Sal.30]])</f>
        <v>0</v>
      </c>
      <c r="CE608" s="139" t="n">
        <f aca="false">+DATOS_[[#This Row],[SALARIO BASE Ef]]+DATOS_[[#This Row],[Tot COMPL.SAL Ef]]</f>
        <v>0</v>
      </c>
      <c r="CF608" s="139" t="n">
        <f aca="false">+SUM(DATOS_[[#This Row],[C.Extra.01]:[C.Extra.05]])</f>
        <v>0</v>
      </c>
      <c r="CG608" s="139" t="n">
        <f aca="false">+DATOS_[[#This Row],[TOTAL SALARIO Ef]]+DATOS_[[#This Row],[Tot Extrasalarial Ef]]</f>
        <v>0</v>
      </c>
      <c r="CH608" s="140" t="n">
        <f aca="false">MIN(IF(DATOS_[[#This Row],[Fecha Fin Contrato]]="",$D$4,DATOS_[[#This Row],[Fecha Fin Contrato]]),$D$4)-MAX(DATOS_[[#This Row],[Fecha de Contratación]],$D$3)+1</f>
        <v>1</v>
      </c>
      <c r="CI608" s="141" t="str">
        <f aca="false">IF(COUNTIFS(DATOS_[id],DATOS_[[#This Row],[id]])&gt;1,DATOS_[[#This Row],[id]],"")</f>
        <v/>
      </c>
      <c r="CJ608" s="141" t="n">
        <f aca="false">(Inicio!$G$10-DATOS_[[#This Row],[Fecha Nacimiento]])/365.25</f>
        <v>0</v>
      </c>
      <c r="CK608" s="141" t="n">
        <f aca="false">(Inicio!$G$10-DATOS_[[#This Row],[Fecha de Antigüedad]])/365.25</f>
        <v>0</v>
      </c>
      <c r="CL608" s="141" t="e">
        <f aca="false">+VLOOKUP(DATOS_[[#This Row],[Clave de Contrato]],TblTiposContrato13[],3,0)</f>
        <v>#N/A</v>
      </c>
      <c r="CM608" s="141" t="e">
        <f aca="false">+VLOOKUP(DATOS_[[#This Row],[Clave de Contrato]],TblTiposContrato13[],4,0)</f>
        <v>#N/A</v>
      </c>
      <c r="CN608" s="141" t="str">
        <f aca="false">VLOOKUP(DATOS_[[#This Row],[Edad]],CONTRATOS!TblRngEdad,2,1)</f>
        <v>20  o menos</v>
      </c>
      <c r="CO608" s="141" t="str">
        <f aca="false">VLOOKUP(DATOS_[[#This Row],[Antigüedad]],TblRngAntg14[],2,1)</f>
        <v>0 a 1 años</v>
      </c>
    </row>
    <row r="609" customFormat="false" ht="13.8" hidden="false" customHeight="false" outlineLevel="0" collapsed="false">
      <c r="D609" s="128"/>
      <c r="E609" s="129"/>
      <c r="F609" s="129"/>
      <c r="G609" s="129"/>
      <c r="H609" s="130"/>
      <c r="I609" s="131"/>
      <c r="J609" s="128"/>
      <c r="K609" s="132"/>
      <c r="L609" s="132"/>
      <c r="M609" s="133"/>
      <c r="N609" s="133"/>
      <c r="O609" s="133"/>
      <c r="P609" s="129"/>
      <c r="Z609" s="75"/>
      <c r="AA609" s="76"/>
      <c r="AB609" s="76"/>
      <c r="AC609" s="129"/>
      <c r="AD609" s="134"/>
      <c r="AE609" s="134"/>
      <c r="AF609" s="134"/>
      <c r="AG609" s="134"/>
      <c r="AH609" s="134"/>
      <c r="AI609" s="134"/>
      <c r="AJ609" s="134"/>
      <c r="AK609" s="134"/>
      <c r="AL609" s="134"/>
      <c r="AM609" s="134"/>
      <c r="AN609" s="134"/>
      <c r="AO609" s="134"/>
      <c r="AP609" s="134"/>
      <c r="AQ609" s="134"/>
      <c r="AR609" s="134"/>
      <c r="AS609" s="134"/>
      <c r="AT609" s="134"/>
      <c r="AU609" s="134"/>
      <c r="AV609" s="134"/>
      <c r="AW609" s="134"/>
      <c r="AX609" s="134"/>
      <c r="AY609" s="134"/>
      <c r="AZ609" s="134"/>
      <c r="BA609" s="134"/>
      <c r="BB609" s="134"/>
      <c r="BC609" s="134"/>
      <c r="BD609" s="134"/>
      <c r="BE609" s="134"/>
      <c r="BF609" s="134"/>
      <c r="BG609" s="134"/>
      <c r="BH609" s="134"/>
      <c r="BI609" s="134"/>
      <c r="BJ609" s="134"/>
      <c r="BK609" s="134"/>
      <c r="BL609" s="134"/>
      <c r="BM609" s="135"/>
      <c r="BN609" s="136" t="n">
        <f aca="false">+MAX($D$3,DATOS_[[#This Row],[Fecha Inicio Sit. Contract.]])</f>
        <v>0</v>
      </c>
      <c r="BO609" s="136" t="n">
        <f aca="false">+MIN($D$4,DATOS_[[#This Row],[Fecha Fin Sit. Contract.]])</f>
        <v>0</v>
      </c>
      <c r="BP609" s="137" t="n">
        <f aca="false">+DATOS_[[#This Row],[% de jornada]]*IF(DATOS_[[#This Row],[% jornada reducida]]="",1,DATOS_[[#This Row],[% jornada reducida]])</f>
        <v>0</v>
      </c>
      <c r="BQ609" s="137" t="n">
        <f aca="false">+(DATOS_[[#This Row],[F.fin.cal]]-DATOS_[[#This Row],[F.ini.cal]]+1)/($D$4-$D$3+1)</f>
        <v>1</v>
      </c>
      <c r="BR609" s="137" t="str">
        <f aca="false">IF(OR(AND(DATOS_[[#This Row],[Fecha Fin Contrato]]&lt;$D$3,DATOS_[[#This Row],[Fecha Fin Contrato]]&lt;&gt;""),DATOS_[[#This Row],[Fecha de Contratación]]&gt;$D$4),"Fuera","Dentro")</f>
        <v>Dentro</v>
      </c>
      <c r="BS609" s="137" t="str">
        <f aca="false" t="array" ref="BS609:BS609">IF(MAX(IF(DATOS_[id]=DATOS_[[#This Row],[id]],DATOS_[F.fin.cal]))=DATOS_[[#This Row],[F.fin.cal]],"Sí","NO")</f>
        <v>Sí</v>
      </c>
      <c r="BT609" s="137" t="str">
        <f aca="false">IF(AND(DATOS_[[#This Row],[% normaliz]]&lt;&gt;1,DATOS_[[#This Row],[% anualiz]]=1),"Sí","NO")</f>
        <v>Sí</v>
      </c>
      <c r="BU609" s="137" t="str">
        <f aca="false">IF(AND(DATOS_[[#This Row],[% normaliz]]=1,DATOS_[[#This Row],[% anualiz]]&lt;&gt;1),"Sí","NO")</f>
        <v>NO</v>
      </c>
      <c r="BV609" s="137" t="str">
        <f aca="false">IF(AND(DATOS_[[#This Row],[% normaliz]]&lt;&gt;1,DATOS_[[#This Row],[% anualiz]]&lt;&gt;1),"Sí","NO")</f>
        <v>NO</v>
      </c>
      <c r="BW609" s="137" t="str">
        <f aca="false">+IF(DATOS_[[#This Row],[% normaliz]]*DATOS_[[#This Row],[% anualiz]]=1,"NO","Sí")</f>
        <v>Sí</v>
      </c>
      <c r="BX609" s="138" t="e">
        <f aca="false">(DATOS_[[#This Row],[S.BASE]]*(1/DATOS_[[#This Row],[% normaliz]])*(1/DATOS_[[#This Row],[% anualiz]]))*IF(DATOS_[[#This Row],[Check Equiparado]]="Sí",1,0)</f>
        <v>#DIV/0!</v>
      </c>
      <c r="BY6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9" s="138" t="e">
        <f aca="false">+DATOS_[[#This Row],[SALARIO BASE Eq]]+DATOS_[[#This Row],[Tot COMPL.SAL Eq]]</f>
        <v>#DIV/0!</v>
      </c>
      <c r="CA609" s="138" t="e">
        <f aca="false" t="array" ref="CA609:CA6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9" s="138" t="e">
        <f aca="false">+DATOS_[[#This Row],[TOTAL SALARIO Eq]]+DATOS_[[#This Row],[Tot Extrasalarial Eq]]</f>
        <v>#DIV/0!</v>
      </c>
      <c r="CC609" s="139" t="n">
        <f aca="false">DATOS_[[#This Row],[S.BASE]]</f>
        <v>0</v>
      </c>
      <c r="CD609" s="139" t="n">
        <f aca="false">+SUM(DATOS_[[#This Row],[Conc.Sal.01]:[Conc.Sal.30]])</f>
        <v>0</v>
      </c>
      <c r="CE609" s="139" t="n">
        <f aca="false">+DATOS_[[#This Row],[SALARIO BASE Ef]]+DATOS_[[#This Row],[Tot COMPL.SAL Ef]]</f>
        <v>0</v>
      </c>
      <c r="CF609" s="139" t="n">
        <f aca="false">+SUM(DATOS_[[#This Row],[C.Extra.01]:[C.Extra.05]])</f>
        <v>0</v>
      </c>
      <c r="CG609" s="139" t="n">
        <f aca="false">+DATOS_[[#This Row],[TOTAL SALARIO Ef]]+DATOS_[[#This Row],[Tot Extrasalarial Ef]]</f>
        <v>0</v>
      </c>
      <c r="CH609" s="140" t="n">
        <f aca="false">MIN(IF(DATOS_[[#This Row],[Fecha Fin Contrato]]="",$D$4,DATOS_[[#This Row],[Fecha Fin Contrato]]),$D$4)-MAX(DATOS_[[#This Row],[Fecha de Contratación]],$D$3)+1</f>
        <v>1</v>
      </c>
      <c r="CI609" s="141" t="str">
        <f aca="false">IF(COUNTIFS(DATOS_[id],DATOS_[[#This Row],[id]])&gt;1,DATOS_[[#This Row],[id]],"")</f>
        <v/>
      </c>
      <c r="CJ609" s="141" t="n">
        <f aca="false">(Inicio!$G$10-DATOS_[[#This Row],[Fecha Nacimiento]])/365.25</f>
        <v>0</v>
      </c>
      <c r="CK609" s="141" t="n">
        <f aca="false">(Inicio!$G$10-DATOS_[[#This Row],[Fecha de Antigüedad]])/365.25</f>
        <v>0</v>
      </c>
      <c r="CL609" s="141" t="e">
        <f aca="false">+VLOOKUP(DATOS_[[#This Row],[Clave de Contrato]],TblTiposContrato13[],3,0)</f>
        <v>#N/A</v>
      </c>
      <c r="CM609" s="141" t="e">
        <f aca="false">+VLOOKUP(DATOS_[[#This Row],[Clave de Contrato]],TblTiposContrato13[],4,0)</f>
        <v>#N/A</v>
      </c>
      <c r="CN609" s="141" t="str">
        <f aca="false">VLOOKUP(DATOS_[[#This Row],[Edad]],CONTRATOS!TblRngEdad,2,1)</f>
        <v>20  o menos</v>
      </c>
      <c r="CO609" s="141" t="str">
        <f aca="false">VLOOKUP(DATOS_[[#This Row],[Antigüedad]],TblRngAntg14[],2,1)</f>
        <v>0 a 1 años</v>
      </c>
    </row>
    <row r="610" customFormat="false" ht="13.8" hidden="false" customHeight="false" outlineLevel="0" collapsed="false">
      <c r="D610" s="128"/>
      <c r="E610" s="129"/>
      <c r="F610" s="129"/>
      <c r="G610" s="129"/>
      <c r="H610" s="130"/>
      <c r="I610" s="131"/>
      <c r="J610" s="128"/>
      <c r="K610" s="132"/>
      <c r="L610" s="132"/>
      <c r="M610" s="133"/>
      <c r="N610" s="133"/>
      <c r="O610" s="133"/>
      <c r="P610" s="129"/>
      <c r="Z610" s="75"/>
      <c r="AA610" s="76"/>
      <c r="AB610" s="76"/>
      <c r="AC610" s="129"/>
      <c r="AD610" s="134"/>
      <c r="AE610" s="134"/>
      <c r="AF610" s="134"/>
      <c r="AG610" s="134"/>
      <c r="AH610" s="134"/>
      <c r="AI610" s="134"/>
      <c r="AJ610" s="134"/>
      <c r="AK610" s="134"/>
      <c r="AL610" s="134"/>
      <c r="AM610" s="134"/>
      <c r="AN610" s="134"/>
      <c r="AO610" s="134"/>
      <c r="AP610" s="134"/>
      <c r="AQ610" s="134"/>
      <c r="AR610" s="134"/>
      <c r="AS610" s="134"/>
      <c r="AT610" s="134"/>
      <c r="AU610" s="134"/>
      <c r="AV610" s="134"/>
      <c r="AW610" s="134"/>
      <c r="AX610" s="134"/>
      <c r="AY610" s="134"/>
      <c r="AZ610" s="134"/>
      <c r="BA610" s="134"/>
      <c r="BB610" s="134"/>
      <c r="BC610" s="134"/>
      <c r="BD610" s="134"/>
      <c r="BE610" s="134"/>
      <c r="BF610" s="134"/>
      <c r="BG610" s="134"/>
      <c r="BH610" s="134"/>
      <c r="BI610" s="134"/>
      <c r="BJ610" s="134"/>
      <c r="BK610" s="134"/>
      <c r="BL610" s="134"/>
      <c r="BM610" s="135"/>
      <c r="BN610" s="136" t="n">
        <f aca="false">+MAX($D$3,DATOS_[[#This Row],[Fecha Inicio Sit. Contract.]])</f>
        <v>0</v>
      </c>
      <c r="BO610" s="136" t="n">
        <f aca="false">+MIN($D$4,DATOS_[[#This Row],[Fecha Fin Sit. Contract.]])</f>
        <v>0</v>
      </c>
      <c r="BP610" s="137" t="n">
        <f aca="false">+DATOS_[[#This Row],[% de jornada]]*IF(DATOS_[[#This Row],[% jornada reducida]]="",1,DATOS_[[#This Row],[% jornada reducida]])</f>
        <v>0</v>
      </c>
      <c r="BQ610" s="137" t="n">
        <f aca="false">+(DATOS_[[#This Row],[F.fin.cal]]-DATOS_[[#This Row],[F.ini.cal]]+1)/($D$4-$D$3+1)</f>
        <v>1</v>
      </c>
      <c r="BR610" s="137" t="str">
        <f aca="false">IF(OR(AND(DATOS_[[#This Row],[Fecha Fin Contrato]]&lt;$D$3,DATOS_[[#This Row],[Fecha Fin Contrato]]&lt;&gt;""),DATOS_[[#This Row],[Fecha de Contratación]]&gt;$D$4),"Fuera","Dentro")</f>
        <v>Dentro</v>
      </c>
      <c r="BS610" s="137" t="str">
        <f aca="false" t="array" ref="BS610:BS610">IF(MAX(IF(DATOS_[id]=DATOS_[[#This Row],[id]],DATOS_[F.fin.cal]))=DATOS_[[#This Row],[F.fin.cal]],"Sí","NO")</f>
        <v>Sí</v>
      </c>
      <c r="BT610" s="137" t="str">
        <f aca="false">IF(AND(DATOS_[[#This Row],[% normaliz]]&lt;&gt;1,DATOS_[[#This Row],[% anualiz]]=1),"Sí","NO")</f>
        <v>Sí</v>
      </c>
      <c r="BU610" s="137" t="str">
        <f aca="false">IF(AND(DATOS_[[#This Row],[% normaliz]]=1,DATOS_[[#This Row],[% anualiz]]&lt;&gt;1),"Sí","NO")</f>
        <v>NO</v>
      </c>
      <c r="BV610" s="137" t="str">
        <f aca="false">IF(AND(DATOS_[[#This Row],[% normaliz]]&lt;&gt;1,DATOS_[[#This Row],[% anualiz]]&lt;&gt;1),"Sí","NO")</f>
        <v>NO</v>
      </c>
      <c r="BW610" s="137" t="str">
        <f aca="false">+IF(DATOS_[[#This Row],[% normaliz]]*DATOS_[[#This Row],[% anualiz]]=1,"NO","Sí")</f>
        <v>Sí</v>
      </c>
      <c r="BX610" s="138" t="e">
        <f aca="false">(DATOS_[[#This Row],[S.BASE]]*(1/DATOS_[[#This Row],[% normaliz]])*(1/DATOS_[[#This Row],[% anualiz]]))*IF(DATOS_[[#This Row],[Check Equiparado]]="Sí",1,0)</f>
        <v>#DIV/0!</v>
      </c>
      <c r="BY6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0" s="138" t="e">
        <f aca="false">+DATOS_[[#This Row],[SALARIO BASE Eq]]+DATOS_[[#This Row],[Tot COMPL.SAL Eq]]</f>
        <v>#DIV/0!</v>
      </c>
      <c r="CA610" s="138" t="e">
        <f aca="false" t="array" ref="CA610:CA6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0" s="138" t="e">
        <f aca="false">+DATOS_[[#This Row],[TOTAL SALARIO Eq]]+DATOS_[[#This Row],[Tot Extrasalarial Eq]]</f>
        <v>#DIV/0!</v>
      </c>
      <c r="CC610" s="139" t="n">
        <f aca="false">DATOS_[[#This Row],[S.BASE]]</f>
        <v>0</v>
      </c>
      <c r="CD610" s="139" t="n">
        <f aca="false">+SUM(DATOS_[[#This Row],[Conc.Sal.01]:[Conc.Sal.30]])</f>
        <v>0</v>
      </c>
      <c r="CE610" s="139" t="n">
        <f aca="false">+DATOS_[[#This Row],[SALARIO BASE Ef]]+DATOS_[[#This Row],[Tot COMPL.SAL Ef]]</f>
        <v>0</v>
      </c>
      <c r="CF610" s="139" t="n">
        <f aca="false">+SUM(DATOS_[[#This Row],[C.Extra.01]:[C.Extra.05]])</f>
        <v>0</v>
      </c>
      <c r="CG610" s="139" t="n">
        <f aca="false">+DATOS_[[#This Row],[TOTAL SALARIO Ef]]+DATOS_[[#This Row],[Tot Extrasalarial Ef]]</f>
        <v>0</v>
      </c>
      <c r="CH610" s="140" t="n">
        <f aca="false">MIN(IF(DATOS_[[#This Row],[Fecha Fin Contrato]]="",$D$4,DATOS_[[#This Row],[Fecha Fin Contrato]]),$D$4)-MAX(DATOS_[[#This Row],[Fecha de Contratación]],$D$3)+1</f>
        <v>1</v>
      </c>
      <c r="CI610" s="141" t="str">
        <f aca="false">IF(COUNTIFS(DATOS_[id],DATOS_[[#This Row],[id]])&gt;1,DATOS_[[#This Row],[id]],"")</f>
        <v/>
      </c>
      <c r="CJ610" s="141" t="n">
        <f aca="false">(Inicio!$G$10-DATOS_[[#This Row],[Fecha Nacimiento]])/365.25</f>
        <v>0</v>
      </c>
      <c r="CK610" s="141" t="n">
        <f aca="false">(Inicio!$G$10-DATOS_[[#This Row],[Fecha de Antigüedad]])/365.25</f>
        <v>0</v>
      </c>
      <c r="CL610" s="141" t="e">
        <f aca="false">+VLOOKUP(DATOS_[[#This Row],[Clave de Contrato]],TblTiposContrato13[],3,0)</f>
        <v>#N/A</v>
      </c>
      <c r="CM610" s="141" t="e">
        <f aca="false">+VLOOKUP(DATOS_[[#This Row],[Clave de Contrato]],TblTiposContrato13[],4,0)</f>
        <v>#N/A</v>
      </c>
      <c r="CN610" s="141" t="str">
        <f aca="false">VLOOKUP(DATOS_[[#This Row],[Edad]],CONTRATOS!TblRngEdad,2,1)</f>
        <v>20  o menos</v>
      </c>
      <c r="CO610" s="141" t="str">
        <f aca="false">VLOOKUP(DATOS_[[#This Row],[Antigüedad]],TblRngAntg14[],2,1)</f>
        <v>0 a 1 años</v>
      </c>
    </row>
    <row r="611" customFormat="false" ht="13.8" hidden="false" customHeight="false" outlineLevel="0" collapsed="false">
      <c r="D611" s="128"/>
      <c r="E611" s="129"/>
      <c r="F611" s="129"/>
      <c r="G611" s="129"/>
      <c r="H611" s="130"/>
      <c r="I611" s="131"/>
      <c r="J611" s="128"/>
      <c r="K611" s="132"/>
      <c r="L611" s="132"/>
      <c r="M611" s="133"/>
      <c r="N611" s="133"/>
      <c r="O611" s="133"/>
      <c r="P611" s="129"/>
      <c r="Z611" s="75"/>
      <c r="AA611" s="76"/>
      <c r="AB611" s="76"/>
      <c r="AC611" s="129"/>
      <c r="AD611" s="134"/>
      <c r="AE611" s="134"/>
      <c r="AF611" s="134"/>
      <c r="AG611" s="134"/>
      <c r="AH611" s="134"/>
      <c r="AI611" s="134"/>
      <c r="AJ611" s="134"/>
      <c r="AK611" s="134"/>
      <c r="AL611" s="134"/>
      <c r="AM611" s="134"/>
      <c r="AN611" s="134"/>
      <c r="AO611" s="134"/>
      <c r="AP611" s="134"/>
      <c r="AQ611" s="134"/>
      <c r="AR611" s="134"/>
      <c r="AS611" s="134"/>
      <c r="AT611" s="134"/>
      <c r="AU611" s="134"/>
      <c r="AV611" s="134"/>
      <c r="AW611" s="134"/>
      <c r="AX611" s="134"/>
      <c r="AY611" s="134"/>
      <c r="AZ611" s="134"/>
      <c r="BA611" s="134"/>
      <c r="BB611" s="134"/>
      <c r="BC611" s="134"/>
      <c r="BD611" s="134"/>
      <c r="BE611" s="134"/>
      <c r="BF611" s="134"/>
      <c r="BG611" s="134"/>
      <c r="BH611" s="134"/>
      <c r="BI611" s="134"/>
      <c r="BJ611" s="134"/>
      <c r="BK611" s="134"/>
      <c r="BL611" s="134"/>
      <c r="BM611" s="135"/>
      <c r="BN611" s="136" t="n">
        <f aca="false">+MAX($D$3,DATOS_[[#This Row],[Fecha Inicio Sit. Contract.]])</f>
        <v>0</v>
      </c>
      <c r="BO611" s="136" t="n">
        <f aca="false">+MIN($D$4,DATOS_[[#This Row],[Fecha Fin Sit. Contract.]])</f>
        <v>0</v>
      </c>
      <c r="BP611" s="137" t="n">
        <f aca="false">+DATOS_[[#This Row],[% de jornada]]*IF(DATOS_[[#This Row],[% jornada reducida]]="",1,DATOS_[[#This Row],[% jornada reducida]])</f>
        <v>0</v>
      </c>
      <c r="BQ611" s="137" t="n">
        <f aca="false">+(DATOS_[[#This Row],[F.fin.cal]]-DATOS_[[#This Row],[F.ini.cal]]+1)/($D$4-$D$3+1)</f>
        <v>1</v>
      </c>
      <c r="BR611" s="137" t="str">
        <f aca="false">IF(OR(AND(DATOS_[[#This Row],[Fecha Fin Contrato]]&lt;$D$3,DATOS_[[#This Row],[Fecha Fin Contrato]]&lt;&gt;""),DATOS_[[#This Row],[Fecha de Contratación]]&gt;$D$4),"Fuera","Dentro")</f>
        <v>Dentro</v>
      </c>
      <c r="BS611" s="137" t="str">
        <f aca="false" t="array" ref="BS611:BS611">IF(MAX(IF(DATOS_[id]=DATOS_[[#This Row],[id]],DATOS_[F.fin.cal]))=DATOS_[[#This Row],[F.fin.cal]],"Sí","NO")</f>
        <v>Sí</v>
      </c>
      <c r="BT611" s="137" t="str">
        <f aca="false">IF(AND(DATOS_[[#This Row],[% normaliz]]&lt;&gt;1,DATOS_[[#This Row],[% anualiz]]=1),"Sí","NO")</f>
        <v>Sí</v>
      </c>
      <c r="BU611" s="137" t="str">
        <f aca="false">IF(AND(DATOS_[[#This Row],[% normaliz]]=1,DATOS_[[#This Row],[% anualiz]]&lt;&gt;1),"Sí","NO")</f>
        <v>NO</v>
      </c>
      <c r="BV611" s="137" t="str">
        <f aca="false">IF(AND(DATOS_[[#This Row],[% normaliz]]&lt;&gt;1,DATOS_[[#This Row],[% anualiz]]&lt;&gt;1),"Sí","NO")</f>
        <v>NO</v>
      </c>
      <c r="BW611" s="137" t="str">
        <f aca="false">+IF(DATOS_[[#This Row],[% normaliz]]*DATOS_[[#This Row],[% anualiz]]=1,"NO","Sí")</f>
        <v>Sí</v>
      </c>
      <c r="BX611" s="138" t="e">
        <f aca="false">(DATOS_[[#This Row],[S.BASE]]*(1/DATOS_[[#This Row],[% normaliz]])*(1/DATOS_[[#This Row],[% anualiz]]))*IF(DATOS_[[#This Row],[Check Equiparado]]="Sí",1,0)</f>
        <v>#DIV/0!</v>
      </c>
      <c r="BY6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1" s="138" t="e">
        <f aca="false">+DATOS_[[#This Row],[SALARIO BASE Eq]]+DATOS_[[#This Row],[Tot COMPL.SAL Eq]]</f>
        <v>#DIV/0!</v>
      </c>
      <c r="CA611" s="138" t="e">
        <f aca="false" t="array" ref="CA611:CA6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1" s="138" t="e">
        <f aca="false">+DATOS_[[#This Row],[TOTAL SALARIO Eq]]+DATOS_[[#This Row],[Tot Extrasalarial Eq]]</f>
        <v>#DIV/0!</v>
      </c>
      <c r="CC611" s="139" t="n">
        <f aca="false">DATOS_[[#This Row],[S.BASE]]</f>
        <v>0</v>
      </c>
      <c r="CD611" s="139" t="n">
        <f aca="false">+SUM(DATOS_[[#This Row],[Conc.Sal.01]:[Conc.Sal.30]])</f>
        <v>0</v>
      </c>
      <c r="CE611" s="139" t="n">
        <f aca="false">+DATOS_[[#This Row],[SALARIO BASE Ef]]+DATOS_[[#This Row],[Tot COMPL.SAL Ef]]</f>
        <v>0</v>
      </c>
      <c r="CF611" s="139" t="n">
        <f aca="false">+SUM(DATOS_[[#This Row],[C.Extra.01]:[C.Extra.05]])</f>
        <v>0</v>
      </c>
      <c r="CG611" s="139" t="n">
        <f aca="false">+DATOS_[[#This Row],[TOTAL SALARIO Ef]]+DATOS_[[#This Row],[Tot Extrasalarial Ef]]</f>
        <v>0</v>
      </c>
      <c r="CH611" s="140" t="n">
        <f aca="false">MIN(IF(DATOS_[[#This Row],[Fecha Fin Contrato]]="",$D$4,DATOS_[[#This Row],[Fecha Fin Contrato]]),$D$4)-MAX(DATOS_[[#This Row],[Fecha de Contratación]],$D$3)+1</f>
        <v>1</v>
      </c>
      <c r="CI611" s="141" t="str">
        <f aca="false">IF(COUNTIFS(DATOS_[id],DATOS_[[#This Row],[id]])&gt;1,DATOS_[[#This Row],[id]],"")</f>
        <v/>
      </c>
      <c r="CJ611" s="141" t="n">
        <f aca="false">(Inicio!$G$10-DATOS_[[#This Row],[Fecha Nacimiento]])/365.25</f>
        <v>0</v>
      </c>
      <c r="CK611" s="141" t="n">
        <f aca="false">(Inicio!$G$10-DATOS_[[#This Row],[Fecha de Antigüedad]])/365.25</f>
        <v>0</v>
      </c>
      <c r="CL611" s="141" t="e">
        <f aca="false">+VLOOKUP(DATOS_[[#This Row],[Clave de Contrato]],TblTiposContrato13[],3,0)</f>
        <v>#N/A</v>
      </c>
      <c r="CM611" s="141" t="e">
        <f aca="false">+VLOOKUP(DATOS_[[#This Row],[Clave de Contrato]],TblTiposContrato13[],4,0)</f>
        <v>#N/A</v>
      </c>
      <c r="CN611" s="141" t="str">
        <f aca="false">VLOOKUP(DATOS_[[#This Row],[Edad]],CONTRATOS!TblRngEdad,2,1)</f>
        <v>20  o menos</v>
      </c>
      <c r="CO611" s="141" t="str">
        <f aca="false">VLOOKUP(DATOS_[[#This Row],[Antigüedad]],TblRngAntg14[],2,1)</f>
        <v>0 a 1 años</v>
      </c>
    </row>
    <row r="612" customFormat="false" ht="13.8" hidden="false" customHeight="false" outlineLevel="0" collapsed="false">
      <c r="D612" s="128"/>
      <c r="E612" s="129"/>
      <c r="F612" s="129"/>
      <c r="G612" s="129"/>
      <c r="H612" s="130"/>
      <c r="I612" s="131"/>
      <c r="J612" s="128"/>
      <c r="K612" s="132"/>
      <c r="L612" s="132"/>
      <c r="M612" s="133"/>
      <c r="N612" s="133"/>
      <c r="O612" s="133"/>
      <c r="P612" s="129"/>
      <c r="Z612" s="75"/>
      <c r="AA612" s="76"/>
      <c r="AB612" s="76"/>
      <c r="AC612" s="129"/>
      <c r="AD612" s="134"/>
      <c r="AE612" s="134"/>
      <c r="AF612" s="134"/>
      <c r="AG612" s="134"/>
      <c r="AH612" s="134"/>
      <c r="AI612" s="134"/>
      <c r="AJ612" s="134"/>
      <c r="AK612" s="134"/>
      <c r="AL612" s="134"/>
      <c r="AM612" s="134"/>
      <c r="AN612" s="134"/>
      <c r="AO612" s="134"/>
      <c r="AP612" s="134"/>
      <c r="AQ612" s="134"/>
      <c r="AR612" s="134"/>
      <c r="AS612" s="134"/>
      <c r="AT612" s="134"/>
      <c r="AU612" s="134"/>
      <c r="AV612" s="134"/>
      <c r="AW612" s="134"/>
      <c r="AX612" s="134"/>
      <c r="AY612" s="134"/>
      <c r="AZ612" s="134"/>
      <c r="BA612" s="134"/>
      <c r="BB612" s="134"/>
      <c r="BC612" s="134"/>
      <c r="BD612" s="134"/>
      <c r="BE612" s="134"/>
      <c r="BF612" s="134"/>
      <c r="BG612" s="134"/>
      <c r="BH612" s="134"/>
      <c r="BI612" s="134"/>
      <c r="BJ612" s="134"/>
      <c r="BK612" s="134"/>
      <c r="BL612" s="134"/>
      <c r="BM612" s="135"/>
      <c r="BN612" s="136" t="n">
        <f aca="false">+MAX($D$3,DATOS_[[#This Row],[Fecha Inicio Sit. Contract.]])</f>
        <v>0</v>
      </c>
      <c r="BO612" s="136" t="n">
        <f aca="false">+MIN($D$4,DATOS_[[#This Row],[Fecha Fin Sit. Contract.]])</f>
        <v>0</v>
      </c>
      <c r="BP612" s="137" t="n">
        <f aca="false">+DATOS_[[#This Row],[% de jornada]]*IF(DATOS_[[#This Row],[% jornada reducida]]="",1,DATOS_[[#This Row],[% jornada reducida]])</f>
        <v>0</v>
      </c>
      <c r="BQ612" s="137" t="n">
        <f aca="false">+(DATOS_[[#This Row],[F.fin.cal]]-DATOS_[[#This Row],[F.ini.cal]]+1)/($D$4-$D$3+1)</f>
        <v>1</v>
      </c>
      <c r="BR612" s="137" t="str">
        <f aca="false">IF(OR(AND(DATOS_[[#This Row],[Fecha Fin Contrato]]&lt;$D$3,DATOS_[[#This Row],[Fecha Fin Contrato]]&lt;&gt;""),DATOS_[[#This Row],[Fecha de Contratación]]&gt;$D$4),"Fuera","Dentro")</f>
        <v>Dentro</v>
      </c>
      <c r="BS612" s="137" t="str">
        <f aca="false" t="array" ref="BS612:BS612">IF(MAX(IF(DATOS_[id]=DATOS_[[#This Row],[id]],DATOS_[F.fin.cal]))=DATOS_[[#This Row],[F.fin.cal]],"Sí","NO")</f>
        <v>Sí</v>
      </c>
      <c r="BT612" s="137" t="str">
        <f aca="false">IF(AND(DATOS_[[#This Row],[% normaliz]]&lt;&gt;1,DATOS_[[#This Row],[% anualiz]]=1),"Sí","NO")</f>
        <v>Sí</v>
      </c>
      <c r="BU612" s="137" t="str">
        <f aca="false">IF(AND(DATOS_[[#This Row],[% normaliz]]=1,DATOS_[[#This Row],[% anualiz]]&lt;&gt;1),"Sí","NO")</f>
        <v>NO</v>
      </c>
      <c r="BV612" s="137" t="str">
        <f aca="false">IF(AND(DATOS_[[#This Row],[% normaliz]]&lt;&gt;1,DATOS_[[#This Row],[% anualiz]]&lt;&gt;1),"Sí","NO")</f>
        <v>NO</v>
      </c>
      <c r="BW612" s="137" t="str">
        <f aca="false">+IF(DATOS_[[#This Row],[% normaliz]]*DATOS_[[#This Row],[% anualiz]]=1,"NO","Sí")</f>
        <v>Sí</v>
      </c>
      <c r="BX612" s="138" t="e">
        <f aca="false">(DATOS_[[#This Row],[S.BASE]]*(1/DATOS_[[#This Row],[% normaliz]])*(1/DATOS_[[#This Row],[% anualiz]]))*IF(DATOS_[[#This Row],[Check Equiparado]]="Sí",1,0)</f>
        <v>#DIV/0!</v>
      </c>
      <c r="BY6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2" s="138" t="e">
        <f aca="false">+DATOS_[[#This Row],[SALARIO BASE Eq]]+DATOS_[[#This Row],[Tot COMPL.SAL Eq]]</f>
        <v>#DIV/0!</v>
      </c>
      <c r="CA612" s="138" t="e">
        <f aca="false" t="array" ref="CA612:CA6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2" s="138" t="e">
        <f aca="false">+DATOS_[[#This Row],[TOTAL SALARIO Eq]]+DATOS_[[#This Row],[Tot Extrasalarial Eq]]</f>
        <v>#DIV/0!</v>
      </c>
      <c r="CC612" s="139" t="n">
        <f aca="false">DATOS_[[#This Row],[S.BASE]]</f>
        <v>0</v>
      </c>
      <c r="CD612" s="139" t="n">
        <f aca="false">+SUM(DATOS_[[#This Row],[Conc.Sal.01]:[Conc.Sal.30]])</f>
        <v>0</v>
      </c>
      <c r="CE612" s="139" t="n">
        <f aca="false">+DATOS_[[#This Row],[SALARIO BASE Ef]]+DATOS_[[#This Row],[Tot COMPL.SAL Ef]]</f>
        <v>0</v>
      </c>
      <c r="CF612" s="139" t="n">
        <f aca="false">+SUM(DATOS_[[#This Row],[C.Extra.01]:[C.Extra.05]])</f>
        <v>0</v>
      </c>
      <c r="CG612" s="139" t="n">
        <f aca="false">+DATOS_[[#This Row],[TOTAL SALARIO Ef]]+DATOS_[[#This Row],[Tot Extrasalarial Ef]]</f>
        <v>0</v>
      </c>
      <c r="CH612" s="140" t="n">
        <f aca="false">MIN(IF(DATOS_[[#This Row],[Fecha Fin Contrato]]="",$D$4,DATOS_[[#This Row],[Fecha Fin Contrato]]),$D$4)-MAX(DATOS_[[#This Row],[Fecha de Contratación]],$D$3)+1</f>
        <v>1</v>
      </c>
      <c r="CI612" s="141" t="str">
        <f aca="false">IF(COUNTIFS(DATOS_[id],DATOS_[[#This Row],[id]])&gt;1,DATOS_[[#This Row],[id]],"")</f>
        <v/>
      </c>
      <c r="CJ612" s="141" t="n">
        <f aca="false">(Inicio!$G$10-DATOS_[[#This Row],[Fecha Nacimiento]])/365.25</f>
        <v>0</v>
      </c>
      <c r="CK612" s="141" t="n">
        <f aca="false">(Inicio!$G$10-DATOS_[[#This Row],[Fecha de Antigüedad]])/365.25</f>
        <v>0</v>
      </c>
      <c r="CL612" s="141" t="e">
        <f aca="false">+VLOOKUP(DATOS_[[#This Row],[Clave de Contrato]],TblTiposContrato13[],3,0)</f>
        <v>#N/A</v>
      </c>
      <c r="CM612" s="141" t="e">
        <f aca="false">+VLOOKUP(DATOS_[[#This Row],[Clave de Contrato]],TblTiposContrato13[],4,0)</f>
        <v>#N/A</v>
      </c>
      <c r="CN612" s="141" t="str">
        <f aca="false">VLOOKUP(DATOS_[[#This Row],[Edad]],CONTRATOS!TblRngEdad,2,1)</f>
        <v>20  o menos</v>
      </c>
      <c r="CO612" s="141" t="str">
        <f aca="false">VLOOKUP(DATOS_[[#This Row],[Antigüedad]],TblRngAntg14[],2,1)</f>
        <v>0 a 1 años</v>
      </c>
    </row>
    <row r="613" customFormat="false" ht="13.8" hidden="false" customHeight="false" outlineLevel="0" collapsed="false">
      <c r="D613" s="128"/>
      <c r="E613" s="129"/>
      <c r="F613" s="129"/>
      <c r="G613" s="129"/>
      <c r="H613" s="130"/>
      <c r="I613" s="131"/>
      <c r="J613" s="128"/>
      <c r="K613" s="132"/>
      <c r="L613" s="132"/>
      <c r="M613" s="133"/>
      <c r="N613" s="133"/>
      <c r="O613" s="133"/>
      <c r="P613" s="129"/>
      <c r="Z613" s="75"/>
      <c r="AA613" s="76"/>
      <c r="AB613" s="76"/>
      <c r="AC613" s="129"/>
      <c r="AD613" s="134"/>
      <c r="AE613" s="134"/>
      <c r="AF613" s="134"/>
      <c r="AG613" s="134"/>
      <c r="AH613" s="134"/>
      <c r="AI613" s="134"/>
      <c r="AJ613" s="134"/>
      <c r="AK613" s="134"/>
      <c r="AL613" s="134"/>
      <c r="AM613" s="134"/>
      <c r="AN613" s="134"/>
      <c r="AO613" s="134"/>
      <c r="AP613" s="134"/>
      <c r="AQ613" s="134"/>
      <c r="AR613" s="134"/>
      <c r="AS613" s="134"/>
      <c r="AT613" s="134"/>
      <c r="AU613" s="134"/>
      <c r="AV613" s="134"/>
      <c r="AW613" s="134"/>
      <c r="AX613" s="134"/>
      <c r="AY613" s="134"/>
      <c r="AZ613" s="134"/>
      <c r="BA613" s="134"/>
      <c r="BB613" s="134"/>
      <c r="BC613" s="134"/>
      <c r="BD613" s="134"/>
      <c r="BE613" s="134"/>
      <c r="BF613" s="134"/>
      <c r="BG613" s="134"/>
      <c r="BH613" s="134"/>
      <c r="BI613" s="134"/>
      <c r="BJ613" s="134"/>
      <c r="BK613" s="134"/>
      <c r="BL613" s="134"/>
      <c r="BM613" s="135"/>
      <c r="BN613" s="136" t="n">
        <f aca="false">+MAX($D$3,DATOS_[[#This Row],[Fecha Inicio Sit. Contract.]])</f>
        <v>0</v>
      </c>
      <c r="BO613" s="136" t="n">
        <f aca="false">+MIN($D$4,DATOS_[[#This Row],[Fecha Fin Sit. Contract.]])</f>
        <v>0</v>
      </c>
      <c r="BP613" s="137" t="n">
        <f aca="false">+DATOS_[[#This Row],[% de jornada]]*IF(DATOS_[[#This Row],[% jornada reducida]]="",1,DATOS_[[#This Row],[% jornada reducida]])</f>
        <v>0</v>
      </c>
      <c r="BQ613" s="137" t="n">
        <f aca="false">+(DATOS_[[#This Row],[F.fin.cal]]-DATOS_[[#This Row],[F.ini.cal]]+1)/($D$4-$D$3+1)</f>
        <v>1</v>
      </c>
      <c r="BR613" s="137" t="str">
        <f aca="false">IF(OR(AND(DATOS_[[#This Row],[Fecha Fin Contrato]]&lt;$D$3,DATOS_[[#This Row],[Fecha Fin Contrato]]&lt;&gt;""),DATOS_[[#This Row],[Fecha de Contratación]]&gt;$D$4),"Fuera","Dentro")</f>
        <v>Dentro</v>
      </c>
      <c r="BS613" s="137" t="str">
        <f aca="false" t="array" ref="BS613:BS613">IF(MAX(IF(DATOS_[id]=DATOS_[[#This Row],[id]],DATOS_[F.fin.cal]))=DATOS_[[#This Row],[F.fin.cal]],"Sí","NO")</f>
        <v>Sí</v>
      </c>
      <c r="BT613" s="137" t="str">
        <f aca="false">IF(AND(DATOS_[[#This Row],[% normaliz]]&lt;&gt;1,DATOS_[[#This Row],[% anualiz]]=1),"Sí","NO")</f>
        <v>Sí</v>
      </c>
      <c r="BU613" s="137" t="str">
        <f aca="false">IF(AND(DATOS_[[#This Row],[% normaliz]]=1,DATOS_[[#This Row],[% anualiz]]&lt;&gt;1),"Sí","NO")</f>
        <v>NO</v>
      </c>
      <c r="BV613" s="137" t="str">
        <f aca="false">IF(AND(DATOS_[[#This Row],[% normaliz]]&lt;&gt;1,DATOS_[[#This Row],[% anualiz]]&lt;&gt;1),"Sí","NO")</f>
        <v>NO</v>
      </c>
      <c r="BW613" s="137" t="str">
        <f aca="false">+IF(DATOS_[[#This Row],[% normaliz]]*DATOS_[[#This Row],[% anualiz]]=1,"NO","Sí")</f>
        <v>Sí</v>
      </c>
      <c r="BX613" s="138" t="e">
        <f aca="false">(DATOS_[[#This Row],[S.BASE]]*(1/DATOS_[[#This Row],[% normaliz]])*(1/DATOS_[[#This Row],[% anualiz]]))*IF(DATOS_[[#This Row],[Check Equiparado]]="Sí",1,0)</f>
        <v>#DIV/0!</v>
      </c>
      <c r="BY6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3" s="138" t="e">
        <f aca="false">+DATOS_[[#This Row],[SALARIO BASE Eq]]+DATOS_[[#This Row],[Tot COMPL.SAL Eq]]</f>
        <v>#DIV/0!</v>
      </c>
      <c r="CA613" s="138" t="e">
        <f aca="false" t="array" ref="CA613:CA6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3" s="138" t="e">
        <f aca="false">+DATOS_[[#This Row],[TOTAL SALARIO Eq]]+DATOS_[[#This Row],[Tot Extrasalarial Eq]]</f>
        <v>#DIV/0!</v>
      </c>
      <c r="CC613" s="139" t="n">
        <f aca="false">DATOS_[[#This Row],[S.BASE]]</f>
        <v>0</v>
      </c>
      <c r="CD613" s="139" t="n">
        <f aca="false">+SUM(DATOS_[[#This Row],[Conc.Sal.01]:[Conc.Sal.30]])</f>
        <v>0</v>
      </c>
      <c r="CE613" s="139" t="n">
        <f aca="false">+DATOS_[[#This Row],[SALARIO BASE Ef]]+DATOS_[[#This Row],[Tot COMPL.SAL Ef]]</f>
        <v>0</v>
      </c>
      <c r="CF613" s="139" t="n">
        <f aca="false">+SUM(DATOS_[[#This Row],[C.Extra.01]:[C.Extra.05]])</f>
        <v>0</v>
      </c>
      <c r="CG613" s="139" t="n">
        <f aca="false">+DATOS_[[#This Row],[TOTAL SALARIO Ef]]+DATOS_[[#This Row],[Tot Extrasalarial Ef]]</f>
        <v>0</v>
      </c>
      <c r="CH613" s="140" t="n">
        <f aca="false">MIN(IF(DATOS_[[#This Row],[Fecha Fin Contrato]]="",$D$4,DATOS_[[#This Row],[Fecha Fin Contrato]]),$D$4)-MAX(DATOS_[[#This Row],[Fecha de Contratación]],$D$3)+1</f>
        <v>1</v>
      </c>
      <c r="CI613" s="141" t="str">
        <f aca="false">IF(COUNTIFS(DATOS_[id],DATOS_[[#This Row],[id]])&gt;1,DATOS_[[#This Row],[id]],"")</f>
        <v/>
      </c>
      <c r="CJ613" s="141" t="n">
        <f aca="false">(Inicio!$G$10-DATOS_[[#This Row],[Fecha Nacimiento]])/365.25</f>
        <v>0</v>
      </c>
      <c r="CK613" s="141" t="n">
        <f aca="false">(Inicio!$G$10-DATOS_[[#This Row],[Fecha de Antigüedad]])/365.25</f>
        <v>0</v>
      </c>
      <c r="CL613" s="141" t="e">
        <f aca="false">+VLOOKUP(DATOS_[[#This Row],[Clave de Contrato]],TblTiposContrato13[],3,0)</f>
        <v>#N/A</v>
      </c>
      <c r="CM613" s="141" t="e">
        <f aca="false">+VLOOKUP(DATOS_[[#This Row],[Clave de Contrato]],TblTiposContrato13[],4,0)</f>
        <v>#N/A</v>
      </c>
      <c r="CN613" s="141" t="str">
        <f aca="false">VLOOKUP(DATOS_[[#This Row],[Edad]],CONTRATOS!TblRngEdad,2,1)</f>
        <v>20  o menos</v>
      </c>
      <c r="CO613" s="141" t="str">
        <f aca="false">VLOOKUP(DATOS_[[#This Row],[Antigüedad]],TblRngAntg14[],2,1)</f>
        <v>0 a 1 años</v>
      </c>
    </row>
    <row r="614" customFormat="false" ht="13.8" hidden="false" customHeight="false" outlineLevel="0" collapsed="false">
      <c r="D614" s="128"/>
      <c r="E614" s="129"/>
      <c r="F614" s="129"/>
      <c r="G614" s="129"/>
      <c r="H614" s="130"/>
      <c r="I614" s="131"/>
      <c r="J614" s="128"/>
      <c r="K614" s="132"/>
      <c r="L614" s="132"/>
      <c r="M614" s="133"/>
      <c r="N614" s="133"/>
      <c r="O614" s="133"/>
      <c r="P614" s="129"/>
      <c r="Z614" s="75"/>
      <c r="AA614" s="76"/>
      <c r="AB614" s="76"/>
      <c r="AC614" s="129"/>
      <c r="AD614" s="134"/>
      <c r="AE614" s="134"/>
      <c r="AF614" s="134"/>
      <c r="AG614" s="134"/>
      <c r="AH614" s="134"/>
      <c r="AI614" s="134"/>
      <c r="AJ614" s="134"/>
      <c r="AK614" s="134"/>
      <c r="AL614" s="134"/>
      <c r="AM614" s="134"/>
      <c r="AN614" s="134"/>
      <c r="AO614" s="134"/>
      <c r="AP614" s="134"/>
      <c r="AQ614" s="134"/>
      <c r="AR614" s="134"/>
      <c r="AS614" s="134"/>
      <c r="AT614" s="134"/>
      <c r="AU614" s="134"/>
      <c r="AV614" s="134"/>
      <c r="AW614" s="134"/>
      <c r="AX614" s="134"/>
      <c r="AY614" s="134"/>
      <c r="AZ614" s="134"/>
      <c r="BA614" s="134"/>
      <c r="BB614" s="134"/>
      <c r="BC614" s="134"/>
      <c r="BD614" s="134"/>
      <c r="BE614" s="134"/>
      <c r="BF614" s="134"/>
      <c r="BG614" s="134"/>
      <c r="BH614" s="134"/>
      <c r="BI614" s="134"/>
      <c r="BJ614" s="134"/>
      <c r="BK614" s="134"/>
      <c r="BL614" s="134"/>
      <c r="BM614" s="135"/>
      <c r="BN614" s="136" t="n">
        <f aca="false">+MAX($D$3,DATOS_[[#This Row],[Fecha Inicio Sit. Contract.]])</f>
        <v>0</v>
      </c>
      <c r="BO614" s="136" t="n">
        <f aca="false">+MIN($D$4,DATOS_[[#This Row],[Fecha Fin Sit. Contract.]])</f>
        <v>0</v>
      </c>
      <c r="BP614" s="137" t="n">
        <f aca="false">+DATOS_[[#This Row],[% de jornada]]*IF(DATOS_[[#This Row],[% jornada reducida]]="",1,DATOS_[[#This Row],[% jornada reducida]])</f>
        <v>0</v>
      </c>
      <c r="BQ614" s="137" t="n">
        <f aca="false">+(DATOS_[[#This Row],[F.fin.cal]]-DATOS_[[#This Row],[F.ini.cal]]+1)/($D$4-$D$3+1)</f>
        <v>1</v>
      </c>
      <c r="BR614" s="137" t="str">
        <f aca="false">IF(OR(AND(DATOS_[[#This Row],[Fecha Fin Contrato]]&lt;$D$3,DATOS_[[#This Row],[Fecha Fin Contrato]]&lt;&gt;""),DATOS_[[#This Row],[Fecha de Contratación]]&gt;$D$4),"Fuera","Dentro")</f>
        <v>Dentro</v>
      </c>
      <c r="BS614" s="137" t="str">
        <f aca="false" t="array" ref="BS614:BS614">IF(MAX(IF(DATOS_[id]=DATOS_[[#This Row],[id]],DATOS_[F.fin.cal]))=DATOS_[[#This Row],[F.fin.cal]],"Sí","NO")</f>
        <v>Sí</v>
      </c>
      <c r="BT614" s="137" t="str">
        <f aca="false">IF(AND(DATOS_[[#This Row],[% normaliz]]&lt;&gt;1,DATOS_[[#This Row],[% anualiz]]=1),"Sí","NO")</f>
        <v>Sí</v>
      </c>
      <c r="BU614" s="137" t="str">
        <f aca="false">IF(AND(DATOS_[[#This Row],[% normaliz]]=1,DATOS_[[#This Row],[% anualiz]]&lt;&gt;1),"Sí","NO")</f>
        <v>NO</v>
      </c>
      <c r="BV614" s="137" t="str">
        <f aca="false">IF(AND(DATOS_[[#This Row],[% normaliz]]&lt;&gt;1,DATOS_[[#This Row],[% anualiz]]&lt;&gt;1),"Sí","NO")</f>
        <v>NO</v>
      </c>
      <c r="BW614" s="137" t="str">
        <f aca="false">+IF(DATOS_[[#This Row],[% normaliz]]*DATOS_[[#This Row],[% anualiz]]=1,"NO","Sí")</f>
        <v>Sí</v>
      </c>
      <c r="BX614" s="138" t="e">
        <f aca="false">(DATOS_[[#This Row],[S.BASE]]*(1/DATOS_[[#This Row],[% normaliz]])*(1/DATOS_[[#This Row],[% anualiz]]))*IF(DATOS_[[#This Row],[Check Equiparado]]="Sí",1,0)</f>
        <v>#DIV/0!</v>
      </c>
      <c r="BY6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4" s="138" t="e">
        <f aca="false">+DATOS_[[#This Row],[SALARIO BASE Eq]]+DATOS_[[#This Row],[Tot COMPL.SAL Eq]]</f>
        <v>#DIV/0!</v>
      </c>
      <c r="CA614" s="138" t="e">
        <f aca="false" t="array" ref="CA614:CA6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4" s="138" t="e">
        <f aca="false">+DATOS_[[#This Row],[TOTAL SALARIO Eq]]+DATOS_[[#This Row],[Tot Extrasalarial Eq]]</f>
        <v>#DIV/0!</v>
      </c>
      <c r="CC614" s="139" t="n">
        <f aca="false">DATOS_[[#This Row],[S.BASE]]</f>
        <v>0</v>
      </c>
      <c r="CD614" s="139" t="n">
        <f aca="false">+SUM(DATOS_[[#This Row],[Conc.Sal.01]:[Conc.Sal.30]])</f>
        <v>0</v>
      </c>
      <c r="CE614" s="139" t="n">
        <f aca="false">+DATOS_[[#This Row],[SALARIO BASE Ef]]+DATOS_[[#This Row],[Tot COMPL.SAL Ef]]</f>
        <v>0</v>
      </c>
      <c r="CF614" s="139" t="n">
        <f aca="false">+SUM(DATOS_[[#This Row],[C.Extra.01]:[C.Extra.05]])</f>
        <v>0</v>
      </c>
      <c r="CG614" s="139" t="n">
        <f aca="false">+DATOS_[[#This Row],[TOTAL SALARIO Ef]]+DATOS_[[#This Row],[Tot Extrasalarial Ef]]</f>
        <v>0</v>
      </c>
      <c r="CH614" s="140" t="n">
        <f aca="false">MIN(IF(DATOS_[[#This Row],[Fecha Fin Contrato]]="",$D$4,DATOS_[[#This Row],[Fecha Fin Contrato]]),$D$4)-MAX(DATOS_[[#This Row],[Fecha de Contratación]],$D$3)+1</f>
        <v>1</v>
      </c>
      <c r="CI614" s="141" t="str">
        <f aca="false">IF(COUNTIFS(DATOS_[id],DATOS_[[#This Row],[id]])&gt;1,DATOS_[[#This Row],[id]],"")</f>
        <v/>
      </c>
      <c r="CJ614" s="141" t="n">
        <f aca="false">(Inicio!$G$10-DATOS_[[#This Row],[Fecha Nacimiento]])/365.25</f>
        <v>0</v>
      </c>
      <c r="CK614" s="141" t="n">
        <f aca="false">(Inicio!$G$10-DATOS_[[#This Row],[Fecha de Antigüedad]])/365.25</f>
        <v>0</v>
      </c>
      <c r="CL614" s="141" t="e">
        <f aca="false">+VLOOKUP(DATOS_[[#This Row],[Clave de Contrato]],TblTiposContrato13[],3,0)</f>
        <v>#N/A</v>
      </c>
      <c r="CM614" s="141" t="e">
        <f aca="false">+VLOOKUP(DATOS_[[#This Row],[Clave de Contrato]],TblTiposContrato13[],4,0)</f>
        <v>#N/A</v>
      </c>
      <c r="CN614" s="141" t="str">
        <f aca="false">VLOOKUP(DATOS_[[#This Row],[Edad]],CONTRATOS!TblRngEdad,2,1)</f>
        <v>20  o menos</v>
      </c>
      <c r="CO614" s="141" t="str">
        <f aca="false">VLOOKUP(DATOS_[[#This Row],[Antigüedad]],TblRngAntg14[],2,1)</f>
        <v>0 a 1 años</v>
      </c>
    </row>
    <row r="615" customFormat="false" ht="13.8" hidden="false" customHeight="false" outlineLevel="0" collapsed="false">
      <c r="D615" s="128"/>
      <c r="E615" s="129"/>
      <c r="F615" s="129"/>
      <c r="G615" s="129"/>
      <c r="H615" s="130"/>
      <c r="I615" s="131"/>
      <c r="J615" s="128"/>
      <c r="K615" s="132"/>
      <c r="L615" s="132"/>
      <c r="M615" s="133"/>
      <c r="N615" s="133"/>
      <c r="O615" s="133"/>
      <c r="P615" s="129"/>
      <c r="Z615" s="75"/>
      <c r="AA615" s="76"/>
      <c r="AB615" s="76"/>
      <c r="AC615" s="129"/>
      <c r="AD615" s="134"/>
      <c r="AE615" s="134"/>
      <c r="AF615" s="134"/>
      <c r="AG615" s="134"/>
      <c r="AH615" s="134"/>
      <c r="AI615" s="134"/>
      <c r="AJ615" s="134"/>
      <c r="AK615" s="134"/>
      <c r="AL615" s="134"/>
      <c r="AM615" s="134"/>
      <c r="AN615" s="134"/>
      <c r="AO615" s="134"/>
      <c r="AP615" s="134"/>
      <c r="AQ615" s="134"/>
      <c r="AR615" s="134"/>
      <c r="AS615" s="134"/>
      <c r="AT615" s="134"/>
      <c r="AU615" s="134"/>
      <c r="AV615" s="134"/>
      <c r="AW615" s="134"/>
      <c r="AX615" s="134"/>
      <c r="AY615" s="134"/>
      <c r="AZ615" s="134"/>
      <c r="BA615" s="134"/>
      <c r="BB615" s="134"/>
      <c r="BC615" s="134"/>
      <c r="BD615" s="134"/>
      <c r="BE615" s="134"/>
      <c r="BF615" s="134"/>
      <c r="BG615" s="134"/>
      <c r="BH615" s="134"/>
      <c r="BI615" s="134"/>
      <c r="BJ615" s="134"/>
      <c r="BK615" s="134"/>
      <c r="BL615" s="134"/>
      <c r="BM615" s="135"/>
      <c r="BN615" s="136" t="n">
        <f aca="false">+MAX($D$3,DATOS_[[#This Row],[Fecha Inicio Sit. Contract.]])</f>
        <v>0</v>
      </c>
      <c r="BO615" s="136" t="n">
        <f aca="false">+MIN($D$4,DATOS_[[#This Row],[Fecha Fin Sit. Contract.]])</f>
        <v>0</v>
      </c>
      <c r="BP615" s="137" t="n">
        <f aca="false">+DATOS_[[#This Row],[% de jornada]]*IF(DATOS_[[#This Row],[% jornada reducida]]="",1,DATOS_[[#This Row],[% jornada reducida]])</f>
        <v>0</v>
      </c>
      <c r="BQ615" s="137" t="n">
        <f aca="false">+(DATOS_[[#This Row],[F.fin.cal]]-DATOS_[[#This Row],[F.ini.cal]]+1)/($D$4-$D$3+1)</f>
        <v>1</v>
      </c>
      <c r="BR615" s="137" t="str">
        <f aca="false">IF(OR(AND(DATOS_[[#This Row],[Fecha Fin Contrato]]&lt;$D$3,DATOS_[[#This Row],[Fecha Fin Contrato]]&lt;&gt;""),DATOS_[[#This Row],[Fecha de Contratación]]&gt;$D$4),"Fuera","Dentro")</f>
        <v>Dentro</v>
      </c>
      <c r="BS615" s="137" t="str">
        <f aca="false" t="array" ref="BS615:BS615">IF(MAX(IF(DATOS_[id]=DATOS_[[#This Row],[id]],DATOS_[F.fin.cal]))=DATOS_[[#This Row],[F.fin.cal]],"Sí","NO")</f>
        <v>Sí</v>
      </c>
      <c r="BT615" s="137" t="str">
        <f aca="false">IF(AND(DATOS_[[#This Row],[% normaliz]]&lt;&gt;1,DATOS_[[#This Row],[% anualiz]]=1),"Sí","NO")</f>
        <v>Sí</v>
      </c>
      <c r="BU615" s="137" t="str">
        <f aca="false">IF(AND(DATOS_[[#This Row],[% normaliz]]=1,DATOS_[[#This Row],[% anualiz]]&lt;&gt;1),"Sí","NO")</f>
        <v>NO</v>
      </c>
      <c r="BV615" s="137" t="str">
        <f aca="false">IF(AND(DATOS_[[#This Row],[% normaliz]]&lt;&gt;1,DATOS_[[#This Row],[% anualiz]]&lt;&gt;1),"Sí","NO")</f>
        <v>NO</v>
      </c>
      <c r="BW615" s="137" t="str">
        <f aca="false">+IF(DATOS_[[#This Row],[% normaliz]]*DATOS_[[#This Row],[% anualiz]]=1,"NO","Sí")</f>
        <v>Sí</v>
      </c>
      <c r="BX615" s="138" t="e">
        <f aca="false">(DATOS_[[#This Row],[S.BASE]]*(1/DATOS_[[#This Row],[% normaliz]])*(1/DATOS_[[#This Row],[% anualiz]]))*IF(DATOS_[[#This Row],[Check Equiparado]]="Sí",1,0)</f>
        <v>#DIV/0!</v>
      </c>
      <c r="BY6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5" s="138" t="e">
        <f aca="false">+DATOS_[[#This Row],[SALARIO BASE Eq]]+DATOS_[[#This Row],[Tot COMPL.SAL Eq]]</f>
        <v>#DIV/0!</v>
      </c>
      <c r="CA615" s="138" t="e">
        <f aca="false" t="array" ref="CA615:CA6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5" s="138" t="e">
        <f aca="false">+DATOS_[[#This Row],[TOTAL SALARIO Eq]]+DATOS_[[#This Row],[Tot Extrasalarial Eq]]</f>
        <v>#DIV/0!</v>
      </c>
      <c r="CC615" s="139" t="n">
        <f aca="false">DATOS_[[#This Row],[S.BASE]]</f>
        <v>0</v>
      </c>
      <c r="CD615" s="139" t="n">
        <f aca="false">+SUM(DATOS_[[#This Row],[Conc.Sal.01]:[Conc.Sal.30]])</f>
        <v>0</v>
      </c>
      <c r="CE615" s="139" t="n">
        <f aca="false">+DATOS_[[#This Row],[SALARIO BASE Ef]]+DATOS_[[#This Row],[Tot COMPL.SAL Ef]]</f>
        <v>0</v>
      </c>
      <c r="CF615" s="139" t="n">
        <f aca="false">+SUM(DATOS_[[#This Row],[C.Extra.01]:[C.Extra.05]])</f>
        <v>0</v>
      </c>
      <c r="CG615" s="139" t="n">
        <f aca="false">+DATOS_[[#This Row],[TOTAL SALARIO Ef]]+DATOS_[[#This Row],[Tot Extrasalarial Ef]]</f>
        <v>0</v>
      </c>
      <c r="CH615" s="140" t="n">
        <f aca="false">MIN(IF(DATOS_[[#This Row],[Fecha Fin Contrato]]="",$D$4,DATOS_[[#This Row],[Fecha Fin Contrato]]),$D$4)-MAX(DATOS_[[#This Row],[Fecha de Contratación]],$D$3)+1</f>
        <v>1</v>
      </c>
      <c r="CI615" s="141" t="str">
        <f aca="false">IF(COUNTIFS(DATOS_[id],DATOS_[[#This Row],[id]])&gt;1,DATOS_[[#This Row],[id]],"")</f>
        <v/>
      </c>
      <c r="CJ615" s="141" t="n">
        <f aca="false">(Inicio!$G$10-DATOS_[[#This Row],[Fecha Nacimiento]])/365.25</f>
        <v>0</v>
      </c>
      <c r="CK615" s="141" t="n">
        <f aca="false">(Inicio!$G$10-DATOS_[[#This Row],[Fecha de Antigüedad]])/365.25</f>
        <v>0</v>
      </c>
      <c r="CL615" s="141" t="e">
        <f aca="false">+VLOOKUP(DATOS_[[#This Row],[Clave de Contrato]],TblTiposContrato13[],3,0)</f>
        <v>#N/A</v>
      </c>
      <c r="CM615" s="141" t="e">
        <f aca="false">+VLOOKUP(DATOS_[[#This Row],[Clave de Contrato]],TblTiposContrato13[],4,0)</f>
        <v>#N/A</v>
      </c>
      <c r="CN615" s="141" t="str">
        <f aca="false">VLOOKUP(DATOS_[[#This Row],[Edad]],CONTRATOS!TblRngEdad,2,1)</f>
        <v>20  o menos</v>
      </c>
      <c r="CO615" s="141" t="str">
        <f aca="false">VLOOKUP(DATOS_[[#This Row],[Antigüedad]],TblRngAntg14[],2,1)</f>
        <v>0 a 1 años</v>
      </c>
    </row>
    <row r="616" customFormat="false" ht="13.8" hidden="false" customHeight="false" outlineLevel="0" collapsed="false">
      <c r="D616" s="128"/>
      <c r="E616" s="129"/>
      <c r="F616" s="129"/>
      <c r="G616" s="129"/>
      <c r="H616" s="130"/>
      <c r="I616" s="131"/>
      <c r="J616" s="128"/>
      <c r="K616" s="132"/>
      <c r="L616" s="132"/>
      <c r="M616" s="133"/>
      <c r="N616" s="133"/>
      <c r="O616" s="133"/>
      <c r="P616" s="129"/>
      <c r="Z616" s="75"/>
      <c r="AA616" s="76"/>
      <c r="AB616" s="76"/>
      <c r="AC616" s="129"/>
      <c r="AD616" s="134"/>
      <c r="AE616" s="134"/>
      <c r="AF616" s="134"/>
      <c r="AG616" s="134"/>
      <c r="AH616" s="134"/>
      <c r="AI616" s="134"/>
      <c r="AJ616" s="134"/>
      <c r="AK616" s="134"/>
      <c r="AL616" s="134"/>
      <c r="AM616" s="134"/>
      <c r="AN616" s="134"/>
      <c r="AO616" s="134"/>
      <c r="AP616" s="134"/>
      <c r="AQ616" s="134"/>
      <c r="AR616" s="134"/>
      <c r="AS616" s="134"/>
      <c r="AT616" s="134"/>
      <c r="AU616" s="134"/>
      <c r="AV616" s="134"/>
      <c r="AW616" s="134"/>
      <c r="AX616" s="134"/>
      <c r="AY616" s="134"/>
      <c r="AZ616" s="134"/>
      <c r="BA616" s="134"/>
      <c r="BB616" s="134"/>
      <c r="BC616" s="134"/>
      <c r="BD616" s="134"/>
      <c r="BE616" s="134"/>
      <c r="BF616" s="134"/>
      <c r="BG616" s="134"/>
      <c r="BH616" s="134"/>
      <c r="BI616" s="134"/>
      <c r="BJ616" s="134"/>
      <c r="BK616" s="134"/>
      <c r="BL616" s="134"/>
      <c r="BM616" s="135"/>
      <c r="BN616" s="136" t="n">
        <f aca="false">+MAX($D$3,DATOS_[[#This Row],[Fecha Inicio Sit. Contract.]])</f>
        <v>0</v>
      </c>
      <c r="BO616" s="136" t="n">
        <f aca="false">+MIN($D$4,DATOS_[[#This Row],[Fecha Fin Sit. Contract.]])</f>
        <v>0</v>
      </c>
      <c r="BP616" s="137" t="n">
        <f aca="false">+DATOS_[[#This Row],[% de jornada]]*IF(DATOS_[[#This Row],[% jornada reducida]]="",1,DATOS_[[#This Row],[% jornada reducida]])</f>
        <v>0</v>
      </c>
      <c r="BQ616" s="137" t="n">
        <f aca="false">+(DATOS_[[#This Row],[F.fin.cal]]-DATOS_[[#This Row],[F.ini.cal]]+1)/($D$4-$D$3+1)</f>
        <v>1</v>
      </c>
      <c r="BR616" s="137" t="str">
        <f aca="false">IF(OR(AND(DATOS_[[#This Row],[Fecha Fin Contrato]]&lt;$D$3,DATOS_[[#This Row],[Fecha Fin Contrato]]&lt;&gt;""),DATOS_[[#This Row],[Fecha de Contratación]]&gt;$D$4),"Fuera","Dentro")</f>
        <v>Dentro</v>
      </c>
      <c r="BS616" s="137" t="str">
        <f aca="false" t="array" ref="BS616:BS616">IF(MAX(IF(DATOS_[id]=DATOS_[[#This Row],[id]],DATOS_[F.fin.cal]))=DATOS_[[#This Row],[F.fin.cal]],"Sí","NO")</f>
        <v>Sí</v>
      </c>
      <c r="BT616" s="137" t="str">
        <f aca="false">IF(AND(DATOS_[[#This Row],[% normaliz]]&lt;&gt;1,DATOS_[[#This Row],[% anualiz]]=1),"Sí","NO")</f>
        <v>Sí</v>
      </c>
      <c r="BU616" s="137" t="str">
        <f aca="false">IF(AND(DATOS_[[#This Row],[% normaliz]]=1,DATOS_[[#This Row],[% anualiz]]&lt;&gt;1),"Sí","NO")</f>
        <v>NO</v>
      </c>
      <c r="BV616" s="137" t="str">
        <f aca="false">IF(AND(DATOS_[[#This Row],[% normaliz]]&lt;&gt;1,DATOS_[[#This Row],[% anualiz]]&lt;&gt;1),"Sí","NO")</f>
        <v>NO</v>
      </c>
      <c r="BW616" s="137" t="str">
        <f aca="false">+IF(DATOS_[[#This Row],[% normaliz]]*DATOS_[[#This Row],[% anualiz]]=1,"NO","Sí")</f>
        <v>Sí</v>
      </c>
      <c r="BX616" s="138" t="e">
        <f aca="false">(DATOS_[[#This Row],[S.BASE]]*(1/DATOS_[[#This Row],[% normaliz]])*(1/DATOS_[[#This Row],[% anualiz]]))*IF(DATOS_[[#This Row],[Check Equiparado]]="Sí",1,0)</f>
        <v>#DIV/0!</v>
      </c>
      <c r="BY6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6" s="138" t="e">
        <f aca="false">+DATOS_[[#This Row],[SALARIO BASE Eq]]+DATOS_[[#This Row],[Tot COMPL.SAL Eq]]</f>
        <v>#DIV/0!</v>
      </c>
      <c r="CA616" s="138" t="e">
        <f aca="false" t="array" ref="CA616:CA6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6" s="138" t="e">
        <f aca="false">+DATOS_[[#This Row],[TOTAL SALARIO Eq]]+DATOS_[[#This Row],[Tot Extrasalarial Eq]]</f>
        <v>#DIV/0!</v>
      </c>
      <c r="CC616" s="139" t="n">
        <f aca="false">DATOS_[[#This Row],[S.BASE]]</f>
        <v>0</v>
      </c>
      <c r="CD616" s="139" t="n">
        <f aca="false">+SUM(DATOS_[[#This Row],[Conc.Sal.01]:[Conc.Sal.30]])</f>
        <v>0</v>
      </c>
      <c r="CE616" s="139" t="n">
        <f aca="false">+DATOS_[[#This Row],[SALARIO BASE Ef]]+DATOS_[[#This Row],[Tot COMPL.SAL Ef]]</f>
        <v>0</v>
      </c>
      <c r="CF616" s="139" t="n">
        <f aca="false">+SUM(DATOS_[[#This Row],[C.Extra.01]:[C.Extra.05]])</f>
        <v>0</v>
      </c>
      <c r="CG616" s="139" t="n">
        <f aca="false">+DATOS_[[#This Row],[TOTAL SALARIO Ef]]+DATOS_[[#This Row],[Tot Extrasalarial Ef]]</f>
        <v>0</v>
      </c>
      <c r="CH616" s="140" t="n">
        <f aca="false">MIN(IF(DATOS_[[#This Row],[Fecha Fin Contrato]]="",$D$4,DATOS_[[#This Row],[Fecha Fin Contrato]]),$D$4)-MAX(DATOS_[[#This Row],[Fecha de Contratación]],$D$3)+1</f>
        <v>1</v>
      </c>
      <c r="CI616" s="141" t="str">
        <f aca="false">IF(COUNTIFS(DATOS_[id],DATOS_[[#This Row],[id]])&gt;1,DATOS_[[#This Row],[id]],"")</f>
        <v/>
      </c>
      <c r="CJ616" s="141" t="n">
        <f aca="false">(Inicio!$G$10-DATOS_[[#This Row],[Fecha Nacimiento]])/365.25</f>
        <v>0</v>
      </c>
      <c r="CK616" s="141" t="n">
        <f aca="false">(Inicio!$G$10-DATOS_[[#This Row],[Fecha de Antigüedad]])/365.25</f>
        <v>0</v>
      </c>
      <c r="CL616" s="141" t="e">
        <f aca="false">+VLOOKUP(DATOS_[[#This Row],[Clave de Contrato]],TblTiposContrato13[],3,0)</f>
        <v>#N/A</v>
      </c>
      <c r="CM616" s="141" t="e">
        <f aca="false">+VLOOKUP(DATOS_[[#This Row],[Clave de Contrato]],TblTiposContrato13[],4,0)</f>
        <v>#N/A</v>
      </c>
      <c r="CN616" s="141" t="str">
        <f aca="false">VLOOKUP(DATOS_[[#This Row],[Edad]],CONTRATOS!TblRngEdad,2,1)</f>
        <v>20  o menos</v>
      </c>
      <c r="CO616" s="141" t="str">
        <f aca="false">VLOOKUP(DATOS_[[#This Row],[Antigüedad]],TblRngAntg14[],2,1)</f>
        <v>0 a 1 años</v>
      </c>
    </row>
    <row r="617" customFormat="false" ht="13.8" hidden="false" customHeight="false" outlineLevel="0" collapsed="false">
      <c r="D617" s="128"/>
      <c r="E617" s="129"/>
      <c r="F617" s="129"/>
      <c r="G617" s="129"/>
      <c r="H617" s="130"/>
      <c r="I617" s="131"/>
      <c r="J617" s="128"/>
      <c r="K617" s="132"/>
      <c r="L617" s="132"/>
      <c r="M617" s="133"/>
      <c r="N617" s="133"/>
      <c r="O617" s="133"/>
      <c r="P617" s="129"/>
      <c r="Z617" s="75"/>
      <c r="AA617" s="76"/>
      <c r="AB617" s="76"/>
      <c r="AC617" s="129"/>
      <c r="AD617" s="134"/>
      <c r="AE617" s="134"/>
      <c r="AF617" s="134"/>
      <c r="AG617" s="134"/>
      <c r="AH617" s="134"/>
      <c r="AI617" s="134"/>
      <c r="AJ617" s="134"/>
      <c r="AK617" s="134"/>
      <c r="AL617" s="134"/>
      <c r="AM617" s="134"/>
      <c r="AN617" s="134"/>
      <c r="AO617" s="134"/>
      <c r="AP617" s="134"/>
      <c r="AQ617" s="134"/>
      <c r="AR617" s="134"/>
      <c r="AS617" s="134"/>
      <c r="AT617" s="134"/>
      <c r="AU617" s="134"/>
      <c r="AV617" s="134"/>
      <c r="AW617" s="134"/>
      <c r="AX617" s="134"/>
      <c r="AY617" s="134"/>
      <c r="AZ617" s="134"/>
      <c r="BA617" s="134"/>
      <c r="BB617" s="134"/>
      <c r="BC617" s="134"/>
      <c r="BD617" s="134"/>
      <c r="BE617" s="134"/>
      <c r="BF617" s="134"/>
      <c r="BG617" s="134"/>
      <c r="BH617" s="134"/>
      <c r="BI617" s="134"/>
      <c r="BJ617" s="134"/>
      <c r="BK617" s="134"/>
      <c r="BL617" s="134"/>
      <c r="BM617" s="135"/>
      <c r="BN617" s="136" t="n">
        <f aca="false">+MAX($D$3,DATOS_[[#This Row],[Fecha Inicio Sit. Contract.]])</f>
        <v>0</v>
      </c>
      <c r="BO617" s="136" t="n">
        <f aca="false">+MIN($D$4,DATOS_[[#This Row],[Fecha Fin Sit. Contract.]])</f>
        <v>0</v>
      </c>
      <c r="BP617" s="137" t="n">
        <f aca="false">+DATOS_[[#This Row],[% de jornada]]*IF(DATOS_[[#This Row],[% jornada reducida]]="",1,DATOS_[[#This Row],[% jornada reducida]])</f>
        <v>0</v>
      </c>
      <c r="BQ617" s="137" t="n">
        <f aca="false">+(DATOS_[[#This Row],[F.fin.cal]]-DATOS_[[#This Row],[F.ini.cal]]+1)/($D$4-$D$3+1)</f>
        <v>1</v>
      </c>
      <c r="BR617" s="137" t="str">
        <f aca="false">IF(OR(AND(DATOS_[[#This Row],[Fecha Fin Contrato]]&lt;$D$3,DATOS_[[#This Row],[Fecha Fin Contrato]]&lt;&gt;""),DATOS_[[#This Row],[Fecha de Contratación]]&gt;$D$4),"Fuera","Dentro")</f>
        <v>Dentro</v>
      </c>
      <c r="BS617" s="137" t="str">
        <f aca="false" t="array" ref="BS617:BS617">IF(MAX(IF(DATOS_[id]=DATOS_[[#This Row],[id]],DATOS_[F.fin.cal]))=DATOS_[[#This Row],[F.fin.cal]],"Sí","NO")</f>
        <v>Sí</v>
      </c>
      <c r="BT617" s="137" t="str">
        <f aca="false">IF(AND(DATOS_[[#This Row],[% normaliz]]&lt;&gt;1,DATOS_[[#This Row],[% anualiz]]=1),"Sí","NO")</f>
        <v>Sí</v>
      </c>
      <c r="BU617" s="137" t="str">
        <f aca="false">IF(AND(DATOS_[[#This Row],[% normaliz]]=1,DATOS_[[#This Row],[% anualiz]]&lt;&gt;1),"Sí","NO")</f>
        <v>NO</v>
      </c>
      <c r="BV617" s="137" t="str">
        <f aca="false">IF(AND(DATOS_[[#This Row],[% normaliz]]&lt;&gt;1,DATOS_[[#This Row],[% anualiz]]&lt;&gt;1),"Sí","NO")</f>
        <v>NO</v>
      </c>
      <c r="BW617" s="137" t="str">
        <f aca="false">+IF(DATOS_[[#This Row],[% normaliz]]*DATOS_[[#This Row],[% anualiz]]=1,"NO","Sí")</f>
        <v>Sí</v>
      </c>
      <c r="BX617" s="138" t="e">
        <f aca="false">(DATOS_[[#This Row],[S.BASE]]*(1/DATOS_[[#This Row],[% normaliz]])*(1/DATOS_[[#This Row],[% anualiz]]))*IF(DATOS_[[#This Row],[Check Equiparado]]="Sí",1,0)</f>
        <v>#DIV/0!</v>
      </c>
      <c r="BY6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7" s="138" t="e">
        <f aca="false">+DATOS_[[#This Row],[SALARIO BASE Eq]]+DATOS_[[#This Row],[Tot COMPL.SAL Eq]]</f>
        <v>#DIV/0!</v>
      </c>
      <c r="CA617" s="138" t="e">
        <f aca="false" t="array" ref="CA617:CA6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7" s="138" t="e">
        <f aca="false">+DATOS_[[#This Row],[TOTAL SALARIO Eq]]+DATOS_[[#This Row],[Tot Extrasalarial Eq]]</f>
        <v>#DIV/0!</v>
      </c>
      <c r="CC617" s="139" t="n">
        <f aca="false">DATOS_[[#This Row],[S.BASE]]</f>
        <v>0</v>
      </c>
      <c r="CD617" s="139" t="n">
        <f aca="false">+SUM(DATOS_[[#This Row],[Conc.Sal.01]:[Conc.Sal.30]])</f>
        <v>0</v>
      </c>
      <c r="CE617" s="139" t="n">
        <f aca="false">+DATOS_[[#This Row],[SALARIO BASE Ef]]+DATOS_[[#This Row],[Tot COMPL.SAL Ef]]</f>
        <v>0</v>
      </c>
      <c r="CF617" s="139" t="n">
        <f aca="false">+SUM(DATOS_[[#This Row],[C.Extra.01]:[C.Extra.05]])</f>
        <v>0</v>
      </c>
      <c r="CG617" s="139" t="n">
        <f aca="false">+DATOS_[[#This Row],[TOTAL SALARIO Ef]]+DATOS_[[#This Row],[Tot Extrasalarial Ef]]</f>
        <v>0</v>
      </c>
      <c r="CH617" s="140" t="n">
        <f aca="false">MIN(IF(DATOS_[[#This Row],[Fecha Fin Contrato]]="",$D$4,DATOS_[[#This Row],[Fecha Fin Contrato]]),$D$4)-MAX(DATOS_[[#This Row],[Fecha de Contratación]],$D$3)+1</f>
        <v>1</v>
      </c>
      <c r="CI617" s="141" t="str">
        <f aca="false">IF(COUNTIFS(DATOS_[id],DATOS_[[#This Row],[id]])&gt;1,DATOS_[[#This Row],[id]],"")</f>
        <v/>
      </c>
      <c r="CJ617" s="141" t="n">
        <f aca="false">(Inicio!$G$10-DATOS_[[#This Row],[Fecha Nacimiento]])/365.25</f>
        <v>0</v>
      </c>
      <c r="CK617" s="141" t="n">
        <f aca="false">(Inicio!$G$10-DATOS_[[#This Row],[Fecha de Antigüedad]])/365.25</f>
        <v>0</v>
      </c>
      <c r="CL617" s="141" t="e">
        <f aca="false">+VLOOKUP(DATOS_[[#This Row],[Clave de Contrato]],TblTiposContrato13[],3,0)</f>
        <v>#N/A</v>
      </c>
      <c r="CM617" s="141" t="e">
        <f aca="false">+VLOOKUP(DATOS_[[#This Row],[Clave de Contrato]],TblTiposContrato13[],4,0)</f>
        <v>#N/A</v>
      </c>
      <c r="CN617" s="141" t="str">
        <f aca="false">VLOOKUP(DATOS_[[#This Row],[Edad]],CONTRATOS!TblRngEdad,2,1)</f>
        <v>20  o menos</v>
      </c>
      <c r="CO617" s="141" t="str">
        <f aca="false">VLOOKUP(DATOS_[[#This Row],[Antigüedad]],TblRngAntg14[],2,1)</f>
        <v>0 a 1 años</v>
      </c>
    </row>
    <row r="618" customFormat="false" ht="13.8" hidden="false" customHeight="false" outlineLevel="0" collapsed="false">
      <c r="D618" s="128"/>
      <c r="E618" s="129"/>
      <c r="F618" s="129"/>
      <c r="G618" s="129"/>
      <c r="H618" s="130"/>
      <c r="I618" s="131"/>
      <c r="J618" s="128"/>
      <c r="K618" s="132"/>
      <c r="L618" s="132"/>
      <c r="M618" s="133"/>
      <c r="N618" s="133"/>
      <c r="O618" s="133"/>
      <c r="P618" s="129"/>
      <c r="Z618" s="75"/>
      <c r="AA618" s="76"/>
      <c r="AB618" s="76"/>
      <c r="AC618" s="129"/>
      <c r="AD618" s="134"/>
      <c r="AE618" s="134"/>
      <c r="AF618" s="134"/>
      <c r="AG618" s="134"/>
      <c r="AH618" s="134"/>
      <c r="AI618" s="134"/>
      <c r="AJ618" s="134"/>
      <c r="AK618" s="134"/>
      <c r="AL618" s="134"/>
      <c r="AM618" s="134"/>
      <c r="AN618" s="134"/>
      <c r="AO618" s="134"/>
      <c r="AP618" s="134"/>
      <c r="AQ618" s="134"/>
      <c r="AR618" s="134"/>
      <c r="AS618" s="134"/>
      <c r="AT618" s="134"/>
      <c r="AU618" s="134"/>
      <c r="AV618" s="134"/>
      <c r="AW618" s="134"/>
      <c r="AX618" s="134"/>
      <c r="AY618" s="134"/>
      <c r="AZ618" s="134"/>
      <c r="BA618" s="134"/>
      <c r="BB618" s="134"/>
      <c r="BC618" s="134"/>
      <c r="BD618" s="134"/>
      <c r="BE618" s="134"/>
      <c r="BF618" s="134"/>
      <c r="BG618" s="134"/>
      <c r="BH618" s="134"/>
      <c r="BI618" s="134"/>
      <c r="BJ618" s="134"/>
      <c r="BK618" s="134"/>
      <c r="BL618" s="134"/>
      <c r="BM618" s="135"/>
      <c r="BN618" s="136" t="n">
        <f aca="false">+MAX($D$3,DATOS_[[#This Row],[Fecha Inicio Sit. Contract.]])</f>
        <v>0</v>
      </c>
      <c r="BO618" s="136" t="n">
        <f aca="false">+MIN($D$4,DATOS_[[#This Row],[Fecha Fin Sit. Contract.]])</f>
        <v>0</v>
      </c>
      <c r="BP618" s="137" t="n">
        <f aca="false">+DATOS_[[#This Row],[% de jornada]]*IF(DATOS_[[#This Row],[% jornada reducida]]="",1,DATOS_[[#This Row],[% jornada reducida]])</f>
        <v>0</v>
      </c>
      <c r="BQ618" s="137" t="n">
        <f aca="false">+(DATOS_[[#This Row],[F.fin.cal]]-DATOS_[[#This Row],[F.ini.cal]]+1)/($D$4-$D$3+1)</f>
        <v>1</v>
      </c>
      <c r="BR618" s="137" t="str">
        <f aca="false">IF(OR(AND(DATOS_[[#This Row],[Fecha Fin Contrato]]&lt;$D$3,DATOS_[[#This Row],[Fecha Fin Contrato]]&lt;&gt;""),DATOS_[[#This Row],[Fecha de Contratación]]&gt;$D$4),"Fuera","Dentro")</f>
        <v>Dentro</v>
      </c>
      <c r="BS618" s="137" t="str">
        <f aca="false" t="array" ref="BS618:BS618">IF(MAX(IF(DATOS_[id]=DATOS_[[#This Row],[id]],DATOS_[F.fin.cal]))=DATOS_[[#This Row],[F.fin.cal]],"Sí","NO")</f>
        <v>Sí</v>
      </c>
      <c r="BT618" s="137" t="str">
        <f aca="false">IF(AND(DATOS_[[#This Row],[% normaliz]]&lt;&gt;1,DATOS_[[#This Row],[% anualiz]]=1),"Sí","NO")</f>
        <v>Sí</v>
      </c>
      <c r="BU618" s="137" t="str">
        <f aca="false">IF(AND(DATOS_[[#This Row],[% normaliz]]=1,DATOS_[[#This Row],[% anualiz]]&lt;&gt;1),"Sí","NO")</f>
        <v>NO</v>
      </c>
      <c r="BV618" s="137" t="str">
        <f aca="false">IF(AND(DATOS_[[#This Row],[% normaliz]]&lt;&gt;1,DATOS_[[#This Row],[% anualiz]]&lt;&gt;1),"Sí","NO")</f>
        <v>NO</v>
      </c>
      <c r="BW618" s="137" t="str">
        <f aca="false">+IF(DATOS_[[#This Row],[% normaliz]]*DATOS_[[#This Row],[% anualiz]]=1,"NO","Sí")</f>
        <v>Sí</v>
      </c>
      <c r="BX618" s="138" t="e">
        <f aca="false">(DATOS_[[#This Row],[S.BASE]]*(1/DATOS_[[#This Row],[% normaliz]])*(1/DATOS_[[#This Row],[% anualiz]]))*IF(DATOS_[[#This Row],[Check Equiparado]]="Sí",1,0)</f>
        <v>#DIV/0!</v>
      </c>
      <c r="BY6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8" s="138" t="e">
        <f aca="false">+DATOS_[[#This Row],[SALARIO BASE Eq]]+DATOS_[[#This Row],[Tot COMPL.SAL Eq]]</f>
        <v>#DIV/0!</v>
      </c>
      <c r="CA618" s="138" t="e">
        <f aca="false" t="array" ref="CA618:CA6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8" s="138" t="e">
        <f aca="false">+DATOS_[[#This Row],[TOTAL SALARIO Eq]]+DATOS_[[#This Row],[Tot Extrasalarial Eq]]</f>
        <v>#DIV/0!</v>
      </c>
      <c r="CC618" s="139" t="n">
        <f aca="false">DATOS_[[#This Row],[S.BASE]]</f>
        <v>0</v>
      </c>
      <c r="CD618" s="139" t="n">
        <f aca="false">+SUM(DATOS_[[#This Row],[Conc.Sal.01]:[Conc.Sal.30]])</f>
        <v>0</v>
      </c>
      <c r="CE618" s="139" t="n">
        <f aca="false">+DATOS_[[#This Row],[SALARIO BASE Ef]]+DATOS_[[#This Row],[Tot COMPL.SAL Ef]]</f>
        <v>0</v>
      </c>
      <c r="CF618" s="139" t="n">
        <f aca="false">+SUM(DATOS_[[#This Row],[C.Extra.01]:[C.Extra.05]])</f>
        <v>0</v>
      </c>
      <c r="CG618" s="139" t="n">
        <f aca="false">+DATOS_[[#This Row],[TOTAL SALARIO Ef]]+DATOS_[[#This Row],[Tot Extrasalarial Ef]]</f>
        <v>0</v>
      </c>
      <c r="CH618" s="140" t="n">
        <f aca="false">MIN(IF(DATOS_[[#This Row],[Fecha Fin Contrato]]="",$D$4,DATOS_[[#This Row],[Fecha Fin Contrato]]),$D$4)-MAX(DATOS_[[#This Row],[Fecha de Contratación]],$D$3)+1</f>
        <v>1</v>
      </c>
      <c r="CI618" s="141" t="str">
        <f aca="false">IF(COUNTIFS(DATOS_[id],DATOS_[[#This Row],[id]])&gt;1,DATOS_[[#This Row],[id]],"")</f>
        <v/>
      </c>
      <c r="CJ618" s="141" t="n">
        <f aca="false">(Inicio!$G$10-DATOS_[[#This Row],[Fecha Nacimiento]])/365.25</f>
        <v>0</v>
      </c>
      <c r="CK618" s="141" t="n">
        <f aca="false">(Inicio!$G$10-DATOS_[[#This Row],[Fecha de Antigüedad]])/365.25</f>
        <v>0</v>
      </c>
      <c r="CL618" s="141" t="e">
        <f aca="false">+VLOOKUP(DATOS_[[#This Row],[Clave de Contrato]],TblTiposContrato13[],3,0)</f>
        <v>#N/A</v>
      </c>
      <c r="CM618" s="141" t="e">
        <f aca="false">+VLOOKUP(DATOS_[[#This Row],[Clave de Contrato]],TblTiposContrato13[],4,0)</f>
        <v>#N/A</v>
      </c>
      <c r="CN618" s="141" t="str">
        <f aca="false">VLOOKUP(DATOS_[[#This Row],[Edad]],CONTRATOS!TblRngEdad,2,1)</f>
        <v>20  o menos</v>
      </c>
      <c r="CO618" s="141" t="str">
        <f aca="false">VLOOKUP(DATOS_[[#This Row],[Antigüedad]],TblRngAntg14[],2,1)</f>
        <v>0 a 1 años</v>
      </c>
    </row>
    <row r="619" customFormat="false" ht="13.8" hidden="false" customHeight="false" outlineLevel="0" collapsed="false">
      <c r="D619" s="128"/>
      <c r="E619" s="129"/>
      <c r="F619" s="129"/>
      <c r="G619" s="129"/>
      <c r="H619" s="130"/>
      <c r="I619" s="131"/>
      <c r="J619" s="128"/>
      <c r="K619" s="132"/>
      <c r="L619" s="132"/>
      <c r="M619" s="133"/>
      <c r="N619" s="133"/>
      <c r="O619" s="133"/>
      <c r="P619" s="129"/>
      <c r="Z619" s="75"/>
      <c r="AA619" s="76"/>
      <c r="AB619" s="76"/>
      <c r="AC619" s="129"/>
      <c r="AD619" s="134"/>
      <c r="AE619" s="134"/>
      <c r="AF619" s="134"/>
      <c r="AG619" s="134"/>
      <c r="AH619" s="134"/>
      <c r="AI619" s="134"/>
      <c r="AJ619" s="134"/>
      <c r="AK619" s="134"/>
      <c r="AL619" s="134"/>
      <c r="AM619" s="134"/>
      <c r="AN619" s="134"/>
      <c r="AO619" s="134"/>
      <c r="AP619" s="134"/>
      <c r="AQ619" s="134"/>
      <c r="AR619" s="134"/>
      <c r="AS619" s="134"/>
      <c r="AT619" s="134"/>
      <c r="AU619" s="134"/>
      <c r="AV619" s="134"/>
      <c r="AW619" s="134"/>
      <c r="AX619" s="134"/>
      <c r="AY619" s="134"/>
      <c r="AZ619" s="134"/>
      <c r="BA619" s="134"/>
      <c r="BB619" s="134"/>
      <c r="BC619" s="134"/>
      <c r="BD619" s="134"/>
      <c r="BE619" s="134"/>
      <c r="BF619" s="134"/>
      <c r="BG619" s="134"/>
      <c r="BH619" s="134"/>
      <c r="BI619" s="134"/>
      <c r="BJ619" s="134"/>
      <c r="BK619" s="134"/>
      <c r="BL619" s="134"/>
      <c r="BM619" s="135"/>
      <c r="BN619" s="136" t="n">
        <f aca="false">+MAX($D$3,DATOS_[[#This Row],[Fecha Inicio Sit. Contract.]])</f>
        <v>0</v>
      </c>
      <c r="BO619" s="136" t="n">
        <f aca="false">+MIN($D$4,DATOS_[[#This Row],[Fecha Fin Sit. Contract.]])</f>
        <v>0</v>
      </c>
      <c r="BP619" s="137" t="n">
        <f aca="false">+DATOS_[[#This Row],[% de jornada]]*IF(DATOS_[[#This Row],[% jornada reducida]]="",1,DATOS_[[#This Row],[% jornada reducida]])</f>
        <v>0</v>
      </c>
      <c r="BQ619" s="137" t="n">
        <f aca="false">+(DATOS_[[#This Row],[F.fin.cal]]-DATOS_[[#This Row],[F.ini.cal]]+1)/($D$4-$D$3+1)</f>
        <v>1</v>
      </c>
      <c r="BR619" s="137" t="str">
        <f aca="false">IF(OR(AND(DATOS_[[#This Row],[Fecha Fin Contrato]]&lt;$D$3,DATOS_[[#This Row],[Fecha Fin Contrato]]&lt;&gt;""),DATOS_[[#This Row],[Fecha de Contratación]]&gt;$D$4),"Fuera","Dentro")</f>
        <v>Dentro</v>
      </c>
      <c r="BS619" s="137" t="str">
        <f aca="false" t="array" ref="BS619:BS619">IF(MAX(IF(DATOS_[id]=DATOS_[[#This Row],[id]],DATOS_[F.fin.cal]))=DATOS_[[#This Row],[F.fin.cal]],"Sí","NO")</f>
        <v>Sí</v>
      </c>
      <c r="BT619" s="137" t="str">
        <f aca="false">IF(AND(DATOS_[[#This Row],[% normaliz]]&lt;&gt;1,DATOS_[[#This Row],[% anualiz]]=1),"Sí","NO")</f>
        <v>Sí</v>
      </c>
      <c r="BU619" s="137" t="str">
        <f aca="false">IF(AND(DATOS_[[#This Row],[% normaliz]]=1,DATOS_[[#This Row],[% anualiz]]&lt;&gt;1),"Sí","NO")</f>
        <v>NO</v>
      </c>
      <c r="BV619" s="137" t="str">
        <f aca="false">IF(AND(DATOS_[[#This Row],[% normaliz]]&lt;&gt;1,DATOS_[[#This Row],[% anualiz]]&lt;&gt;1),"Sí","NO")</f>
        <v>NO</v>
      </c>
      <c r="BW619" s="137" t="str">
        <f aca="false">+IF(DATOS_[[#This Row],[% normaliz]]*DATOS_[[#This Row],[% anualiz]]=1,"NO","Sí")</f>
        <v>Sí</v>
      </c>
      <c r="BX619" s="138" t="e">
        <f aca="false">(DATOS_[[#This Row],[S.BASE]]*(1/DATOS_[[#This Row],[% normaliz]])*(1/DATOS_[[#This Row],[% anualiz]]))*IF(DATOS_[[#This Row],[Check Equiparado]]="Sí",1,0)</f>
        <v>#DIV/0!</v>
      </c>
      <c r="BY6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9" s="138" t="e">
        <f aca="false">+DATOS_[[#This Row],[SALARIO BASE Eq]]+DATOS_[[#This Row],[Tot COMPL.SAL Eq]]</f>
        <v>#DIV/0!</v>
      </c>
      <c r="CA619" s="138" t="e">
        <f aca="false" t="array" ref="CA619:CA6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9" s="138" t="e">
        <f aca="false">+DATOS_[[#This Row],[TOTAL SALARIO Eq]]+DATOS_[[#This Row],[Tot Extrasalarial Eq]]</f>
        <v>#DIV/0!</v>
      </c>
      <c r="CC619" s="139" t="n">
        <f aca="false">DATOS_[[#This Row],[S.BASE]]</f>
        <v>0</v>
      </c>
      <c r="CD619" s="139" t="n">
        <f aca="false">+SUM(DATOS_[[#This Row],[Conc.Sal.01]:[Conc.Sal.30]])</f>
        <v>0</v>
      </c>
      <c r="CE619" s="139" t="n">
        <f aca="false">+DATOS_[[#This Row],[SALARIO BASE Ef]]+DATOS_[[#This Row],[Tot COMPL.SAL Ef]]</f>
        <v>0</v>
      </c>
      <c r="CF619" s="139" t="n">
        <f aca="false">+SUM(DATOS_[[#This Row],[C.Extra.01]:[C.Extra.05]])</f>
        <v>0</v>
      </c>
      <c r="CG619" s="139" t="n">
        <f aca="false">+DATOS_[[#This Row],[TOTAL SALARIO Ef]]+DATOS_[[#This Row],[Tot Extrasalarial Ef]]</f>
        <v>0</v>
      </c>
      <c r="CH619" s="140" t="n">
        <f aca="false">MIN(IF(DATOS_[[#This Row],[Fecha Fin Contrato]]="",$D$4,DATOS_[[#This Row],[Fecha Fin Contrato]]),$D$4)-MAX(DATOS_[[#This Row],[Fecha de Contratación]],$D$3)+1</f>
        <v>1</v>
      </c>
      <c r="CI619" s="141" t="str">
        <f aca="false">IF(COUNTIFS(DATOS_[id],DATOS_[[#This Row],[id]])&gt;1,DATOS_[[#This Row],[id]],"")</f>
        <v/>
      </c>
      <c r="CJ619" s="141" t="n">
        <f aca="false">(Inicio!$G$10-DATOS_[[#This Row],[Fecha Nacimiento]])/365.25</f>
        <v>0</v>
      </c>
      <c r="CK619" s="141" t="n">
        <f aca="false">(Inicio!$G$10-DATOS_[[#This Row],[Fecha de Antigüedad]])/365.25</f>
        <v>0</v>
      </c>
      <c r="CL619" s="141" t="e">
        <f aca="false">+VLOOKUP(DATOS_[[#This Row],[Clave de Contrato]],TblTiposContrato13[],3,0)</f>
        <v>#N/A</v>
      </c>
      <c r="CM619" s="141" t="e">
        <f aca="false">+VLOOKUP(DATOS_[[#This Row],[Clave de Contrato]],TblTiposContrato13[],4,0)</f>
        <v>#N/A</v>
      </c>
      <c r="CN619" s="141" t="str">
        <f aca="false">VLOOKUP(DATOS_[[#This Row],[Edad]],CONTRATOS!TblRngEdad,2,1)</f>
        <v>20  o menos</v>
      </c>
      <c r="CO619" s="141" t="str">
        <f aca="false">VLOOKUP(DATOS_[[#This Row],[Antigüedad]],TblRngAntg14[],2,1)</f>
        <v>0 a 1 años</v>
      </c>
    </row>
    <row r="620" customFormat="false" ht="13.8" hidden="false" customHeight="false" outlineLevel="0" collapsed="false">
      <c r="D620" s="128"/>
      <c r="E620" s="129"/>
      <c r="F620" s="129"/>
      <c r="G620" s="129"/>
      <c r="H620" s="130"/>
      <c r="I620" s="131"/>
      <c r="J620" s="128"/>
      <c r="K620" s="132"/>
      <c r="L620" s="132"/>
      <c r="M620" s="133"/>
      <c r="N620" s="133"/>
      <c r="O620" s="133"/>
      <c r="P620" s="129"/>
      <c r="Z620" s="75"/>
      <c r="AA620" s="76"/>
      <c r="AB620" s="76"/>
      <c r="AC620" s="129"/>
      <c r="AD620" s="134"/>
      <c r="AE620" s="134"/>
      <c r="AF620" s="134"/>
      <c r="AG620" s="134"/>
      <c r="AH620" s="134"/>
      <c r="AI620" s="134"/>
      <c r="AJ620" s="134"/>
      <c r="AK620" s="134"/>
      <c r="AL620" s="134"/>
      <c r="AM620" s="134"/>
      <c r="AN620" s="134"/>
      <c r="AO620" s="134"/>
      <c r="AP620" s="134"/>
      <c r="AQ620" s="134"/>
      <c r="AR620" s="134"/>
      <c r="AS620" s="134"/>
      <c r="AT620" s="134"/>
      <c r="AU620" s="134"/>
      <c r="AV620" s="134"/>
      <c r="AW620" s="134"/>
      <c r="AX620" s="134"/>
      <c r="AY620" s="134"/>
      <c r="AZ620" s="134"/>
      <c r="BA620" s="134"/>
      <c r="BB620" s="134"/>
      <c r="BC620" s="134"/>
      <c r="BD620" s="134"/>
      <c r="BE620" s="134"/>
      <c r="BF620" s="134"/>
      <c r="BG620" s="134"/>
      <c r="BH620" s="134"/>
      <c r="BI620" s="134"/>
      <c r="BJ620" s="134"/>
      <c r="BK620" s="134"/>
      <c r="BL620" s="134"/>
      <c r="BM620" s="135"/>
      <c r="BN620" s="136" t="n">
        <f aca="false">+MAX($D$3,DATOS_[[#This Row],[Fecha Inicio Sit. Contract.]])</f>
        <v>0</v>
      </c>
      <c r="BO620" s="136" t="n">
        <f aca="false">+MIN($D$4,DATOS_[[#This Row],[Fecha Fin Sit. Contract.]])</f>
        <v>0</v>
      </c>
      <c r="BP620" s="137" t="n">
        <f aca="false">+DATOS_[[#This Row],[% de jornada]]*IF(DATOS_[[#This Row],[% jornada reducida]]="",1,DATOS_[[#This Row],[% jornada reducida]])</f>
        <v>0</v>
      </c>
      <c r="BQ620" s="137" t="n">
        <f aca="false">+(DATOS_[[#This Row],[F.fin.cal]]-DATOS_[[#This Row],[F.ini.cal]]+1)/($D$4-$D$3+1)</f>
        <v>1</v>
      </c>
      <c r="BR620" s="137" t="str">
        <f aca="false">IF(OR(AND(DATOS_[[#This Row],[Fecha Fin Contrato]]&lt;$D$3,DATOS_[[#This Row],[Fecha Fin Contrato]]&lt;&gt;""),DATOS_[[#This Row],[Fecha de Contratación]]&gt;$D$4),"Fuera","Dentro")</f>
        <v>Dentro</v>
      </c>
      <c r="BS620" s="137" t="str">
        <f aca="false" t="array" ref="BS620:BS620">IF(MAX(IF(DATOS_[id]=DATOS_[[#This Row],[id]],DATOS_[F.fin.cal]))=DATOS_[[#This Row],[F.fin.cal]],"Sí","NO")</f>
        <v>Sí</v>
      </c>
      <c r="BT620" s="137" t="str">
        <f aca="false">IF(AND(DATOS_[[#This Row],[% normaliz]]&lt;&gt;1,DATOS_[[#This Row],[% anualiz]]=1),"Sí","NO")</f>
        <v>Sí</v>
      </c>
      <c r="BU620" s="137" t="str">
        <f aca="false">IF(AND(DATOS_[[#This Row],[% normaliz]]=1,DATOS_[[#This Row],[% anualiz]]&lt;&gt;1),"Sí","NO")</f>
        <v>NO</v>
      </c>
      <c r="BV620" s="137" t="str">
        <f aca="false">IF(AND(DATOS_[[#This Row],[% normaliz]]&lt;&gt;1,DATOS_[[#This Row],[% anualiz]]&lt;&gt;1),"Sí","NO")</f>
        <v>NO</v>
      </c>
      <c r="BW620" s="137" t="str">
        <f aca="false">+IF(DATOS_[[#This Row],[% normaliz]]*DATOS_[[#This Row],[% anualiz]]=1,"NO","Sí")</f>
        <v>Sí</v>
      </c>
      <c r="BX620" s="138" t="e">
        <f aca="false">(DATOS_[[#This Row],[S.BASE]]*(1/DATOS_[[#This Row],[% normaliz]])*(1/DATOS_[[#This Row],[% anualiz]]))*IF(DATOS_[[#This Row],[Check Equiparado]]="Sí",1,0)</f>
        <v>#DIV/0!</v>
      </c>
      <c r="BY6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0" s="138" t="e">
        <f aca="false">+DATOS_[[#This Row],[SALARIO BASE Eq]]+DATOS_[[#This Row],[Tot COMPL.SAL Eq]]</f>
        <v>#DIV/0!</v>
      </c>
      <c r="CA620" s="138" t="e">
        <f aca="false" t="array" ref="CA620:CA6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0" s="138" t="e">
        <f aca="false">+DATOS_[[#This Row],[TOTAL SALARIO Eq]]+DATOS_[[#This Row],[Tot Extrasalarial Eq]]</f>
        <v>#DIV/0!</v>
      </c>
      <c r="CC620" s="139" t="n">
        <f aca="false">DATOS_[[#This Row],[S.BASE]]</f>
        <v>0</v>
      </c>
      <c r="CD620" s="139" t="n">
        <f aca="false">+SUM(DATOS_[[#This Row],[Conc.Sal.01]:[Conc.Sal.30]])</f>
        <v>0</v>
      </c>
      <c r="CE620" s="139" t="n">
        <f aca="false">+DATOS_[[#This Row],[SALARIO BASE Ef]]+DATOS_[[#This Row],[Tot COMPL.SAL Ef]]</f>
        <v>0</v>
      </c>
      <c r="CF620" s="139" t="n">
        <f aca="false">+SUM(DATOS_[[#This Row],[C.Extra.01]:[C.Extra.05]])</f>
        <v>0</v>
      </c>
      <c r="CG620" s="139" t="n">
        <f aca="false">+DATOS_[[#This Row],[TOTAL SALARIO Ef]]+DATOS_[[#This Row],[Tot Extrasalarial Ef]]</f>
        <v>0</v>
      </c>
      <c r="CH620" s="140" t="n">
        <f aca="false">MIN(IF(DATOS_[[#This Row],[Fecha Fin Contrato]]="",$D$4,DATOS_[[#This Row],[Fecha Fin Contrato]]),$D$4)-MAX(DATOS_[[#This Row],[Fecha de Contratación]],$D$3)+1</f>
        <v>1</v>
      </c>
      <c r="CI620" s="141" t="str">
        <f aca="false">IF(COUNTIFS(DATOS_[id],DATOS_[[#This Row],[id]])&gt;1,DATOS_[[#This Row],[id]],"")</f>
        <v/>
      </c>
      <c r="CJ620" s="141" t="n">
        <f aca="false">(Inicio!$G$10-DATOS_[[#This Row],[Fecha Nacimiento]])/365.25</f>
        <v>0</v>
      </c>
      <c r="CK620" s="141" t="n">
        <f aca="false">(Inicio!$G$10-DATOS_[[#This Row],[Fecha de Antigüedad]])/365.25</f>
        <v>0</v>
      </c>
      <c r="CL620" s="141" t="e">
        <f aca="false">+VLOOKUP(DATOS_[[#This Row],[Clave de Contrato]],TblTiposContrato13[],3,0)</f>
        <v>#N/A</v>
      </c>
      <c r="CM620" s="141" t="e">
        <f aca="false">+VLOOKUP(DATOS_[[#This Row],[Clave de Contrato]],TblTiposContrato13[],4,0)</f>
        <v>#N/A</v>
      </c>
      <c r="CN620" s="141" t="str">
        <f aca="false">VLOOKUP(DATOS_[[#This Row],[Edad]],CONTRATOS!TblRngEdad,2,1)</f>
        <v>20  o menos</v>
      </c>
      <c r="CO620" s="141" t="str">
        <f aca="false">VLOOKUP(DATOS_[[#This Row],[Antigüedad]],TblRngAntg14[],2,1)</f>
        <v>0 a 1 años</v>
      </c>
    </row>
    <row r="621" customFormat="false" ht="13.8" hidden="false" customHeight="false" outlineLevel="0" collapsed="false">
      <c r="D621" s="128"/>
      <c r="E621" s="129"/>
      <c r="F621" s="129"/>
      <c r="G621" s="129"/>
      <c r="H621" s="130"/>
      <c r="I621" s="131"/>
      <c r="J621" s="128"/>
      <c r="K621" s="132"/>
      <c r="L621" s="132"/>
      <c r="M621" s="133"/>
      <c r="N621" s="133"/>
      <c r="O621" s="133"/>
      <c r="P621" s="129"/>
      <c r="Z621" s="75"/>
      <c r="AA621" s="76"/>
      <c r="AB621" s="76"/>
      <c r="AC621" s="129"/>
      <c r="AD621" s="134"/>
      <c r="AE621" s="134"/>
      <c r="AF621" s="134"/>
      <c r="AG621" s="134"/>
      <c r="AH621" s="134"/>
      <c r="AI621" s="134"/>
      <c r="AJ621" s="134"/>
      <c r="AK621" s="134"/>
      <c r="AL621" s="134"/>
      <c r="AM621" s="134"/>
      <c r="AN621" s="134"/>
      <c r="AO621" s="134"/>
      <c r="AP621" s="134"/>
      <c r="AQ621" s="134"/>
      <c r="AR621" s="134"/>
      <c r="AS621" s="134"/>
      <c r="AT621" s="134"/>
      <c r="AU621" s="134"/>
      <c r="AV621" s="134"/>
      <c r="AW621" s="134"/>
      <c r="AX621" s="134"/>
      <c r="AY621" s="134"/>
      <c r="AZ621" s="134"/>
      <c r="BA621" s="134"/>
      <c r="BB621" s="134"/>
      <c r="BC621" s="134"/>
      <c r="BD621" s="134"/>
      <c r="BE621" s="134"/>
      <c r="BF621" s="134"/>
      <c r="BG621" s="134"/>
      <c r="BH621" s="134"/>
      <c r="BI621" s="134"/>
      <c r="BJ621" s="134"/>
      <c r="BK621" s="134"/>
      <c r="BL621" s="134"/>
      <c r="BM621" s="135"/>
      <c r="BN621" s="136" t="n">
        <f aca="false">+MAX($D$3,DATOS_[[#This Row],[Fecha Inicio Sit. Contract.]])</f>
        <v>0</v>
      </c>
      <c r="BO621" s="136" t="n">
        <f aca="false">+MIN($D$4,DATOS_[[#This Row],[Fecha Fin Sit. Contract.]])</f>
        <v>0</v>
      </c>
      <c r="BP621" s="137" t="n">
        <f aca="false">+DATOS_[[#This Row],[% de jornada]]*IF(DATOS_[[#This Row],[% jornada reducida]]="",1,DATOS_[[#This Row],[% jornada reducida]])</f>
        <v>0</v>
      </c>
      <c r="BQ621" s="137" t="n">
        <f aca="false">+(DATOS_[[#This Row],[F.fin.cal]]-DATOS_[[#This Row],[F.ini.cal]]+1)/($D$4-$D$3+1)</f>
        <v>1</v>
      </c>
      <c r="BR621" s="137" t="str">
        <f aca="false">IF(OR(AND(DATOS_[[#This Row],[Fecha Fin Contrato]]&lt;$D$3,DATOS_[[#This Row],[Fecha Fin Contrato]]&lt;&gt;""),DATOS_[[#This Row],[Fecha de Contratación]]&gt;$D$4),"Fuera","Dentro")</f>
        <v>Dentro</v>
      </c>
      <c r="BS621" s="137" t="str">
        <f aca="false" t="array" ref="BS621:BS621">IF(MAX(IF(DATOS_[id]=DATOS_[[#This Row],[id]],DATOS_[F.fin.cal]))=DATOS_[[#This Row],[F.fin.cal]],"Sí","NO")</f>
        <v>Sí</v>
      </c>
      <c r="BT621" s="137" t="str">
        <f aca="false">IF(AND(DATOS_[[#This Row],[% normaliz]]&lt;&gt;1,DATOS_[[#This Row],[% anualiz]]=1),"Sí","NO")</f>
        <v>Sí</v>
      </c>
      <c r="BU621" s="137" t="str">
        <f aca="false">IF(AND(DATOS_[[#This Row],[% normaliz]]=1,DATOS_[[#This Row],[% anualiz]]&lt;&gt;1),"Sí","NO")</f>
        <v>NO</v>
      </c>
      <c r="BV621" s="137" t="str">
        <f aca="false">IF(AND(DATOS_[[#This Row],[% normaliz]]&lt;&gt;1,DATOS_[[#This Row],[% anualiz]]&lt;&gt;1),"Sí","NO")</f>
        <v>NO</v>
      </c>
      <c r="BW621" s="137" t="str">
        <f aca="false">+IF(DATOS_[[#This Row],[% normaliz]]*DATOS_[[#This Row],[% anualiz]]=1,"NO","Sí")</f>
        <v>Sí</v>
      </c>
      <c r="BX621" s="138" t="e">
        <f aca="false">(DATOS_[[#This Row],[S.BASE]]*(1/DATOS_[[#This Row],[% normaliz]])*(1/DATOS_[[#This Row],[% anualiz]]))*IF(DATOS_[[#This Row],[Check Equiparado]]="Sí",1,0)</f>
        <v>#DIV/0!</v>
      </c>
      <c r="BY6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1" s="138" t="e">
        <f aca="false">+DATOS_[[#This Row],[SALARIO BASE Eq]]+DATOS_[[#This Row],[Tot COMPL.SAL Eq]]</f>
        <v>#DIV/0!</v>
      </c>
      <c r="CA621" s="138" t="e">
        <f aca="false" t="array" ref="CA621:CA6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1" s="138" t="e">
        <f aca="false">+DATOS_[[#This Row],[TOTAL SALARIO Eq]]+DATOS_[[#This Row],[Tot Extrasalarial Eq]]</f>
        <v>#DIV/0!</v>
      </c>
      <c r="CC621" s="139" t="n">
        <f aca="false">DATOS_[[#This Row],[S.BASE]]</f>
        <v>0</v>
      </c>
      <c r="CD621" s="139" t="n">
        <f aca="false">+SUM(DATOS_[[#This Row],[Conc.Sal.01]:[Conc.Sal.30]])</f>
        <v>0</v>
      </c>
      <c r="CE621" s="139" t="n">
        <f aca="false">+DATOS_[[#This Row],[SALARIO BASE Ef]]+DATOS_[[#This Row],[Tot COMPL.SAL Ef]]</f>
        <v>0</v>
      </c>
      <c r="CF621" s="139" t="n">
        <f aca="false">+SUM(DATOS_[[#This Row],[C.Extra.01]:[C.Extra.05]])</f>
        <v>0</v>
      </c>
      <c r="CG621" s="139" t="n">
        <f aca="false">+DATOS_[[#This Row],[TOTAL SALARIO Ef]]+DATOS_[[#This Row],[Tot Extrasalarial Ef]]</f>
        <v>0</v>
      </c>
      <c r="CH621" s="140" t="n">
        <f aca="false">MIN(IF(DATOS_[[#This Row],[Fecha Fin Contrato]]="",$D$4,DATOS_[[#This Row],[Fecha Fin Contrato]]),$D$4)-MAX(DATOS_[[#This Row],[Fecha de Contratación]],$D$3)+1</f>
        <v>1</v>
      </c>
      <c r="CI621" s="141" t="str">
        <f aca="false">IF(COUNTIFS(DATOS_[id],DATOS_[[#This Row],[id]])&gt;1,DATOS_[[#This Row],[id]],"")</f>
        <v/>
      </c>
      <c r="CJ621" s="141" t="n">
        <f aca="false">(Inicio!$G$10-DATOS_[[#This Row],[Fecha Nacimiento]])/365.25</f>
        <v>0</v>
      </c>
      <c r="CK621" s="141" t="n">
        <f aca="false">(Inicio!$G$10-DATOS_[[#This Row],[Fecha de Antigüedad]])/365.25</f>
        <v>0</v>
      </c>
      <c r="CL621" s="141" t="e">
        <f aca="false">+VLOOKUP(DATOS_[[#This Row],[Clave de Contrato]],TblTiposContrato13[],3,0)</f>
        <v>#N/A</v>
      </c>
      <c r="CM621" s="141" t="e">
        <f aca="false">+VLOOKUP(DATOS_[[#This Row],[Clave de Contrato]],TblTiposContrato13[],4,0)</f>
        <v>#N/A</v>
      </c>
      <c r="CN621" s="141" t="str">
        <f aca="false">VLOOKUP(DATOS_[[#This Row],[Edad]],CONTRATOS!TblRngEdad,2,1)</f>
        <v>20  o menos</v>
      </c>
      <c r="CO621" s="141" t="str">
        <f aca="false">VLOOKUP(DATOS_[[#This Row],[Antigüedad]],TblRngAntg14[],2,1)</f>
        <v>0 a 1 años</v>
      </c>
    </row>
    <row r="622" customFormat="false" ht="13.8" hidden="false" customHeight="false" outlineLevel="0" collapsed="false">
      <c r="D622" s="128"/>
      <c r="E622" s="129"/>
      <c r="F622" s="129"/>
      <c r="G622" s="129"/>
      <c r="H622" s="130"/>
      <c r="I622" s="131"/>
      <c r="J622" s="128"/>
      <c r="K622" s="132"/>
      <c r="L622" s="132"/>
      <c r="M622" s="133"/>
      <c r="N622" s="133"/>
      <c r="O622" s="133"/>
      <c r="P622" s="129"/>
      <c r="Z622" s="75"/>
      <c r="AA622" s="76"/>
      <c r="AB622" s="76"/>
      <c r="AC622" s="129"/>
      <c r="AD622" s="134"/>
      <c r="AE622" s="134"/>
      <c r="AF622" s="134"/>
      <c r="AG622" s="134"/>
      <c r="AH622" s="134"/>
      <c r="AI622" s="134"/>
      <c r="AJ622" s="134"/>
      <c r="AK622" s="134"/>
      <c r="AL622" s="134"/>
      <c r="AM622" s="134"/>
      <c r="AN622" s="134"/>
      <c r="AO622" s="134"/>
      <c r="AP622" s="134"/>
      <c r="AQ622" s="134"/>
      <c r="AR622" s="134"/>
      <c r="AS622" s="134"/>
      <c r="AT622" s="134"/>
      <c r="AU622" s="134"/>
      <c r="AV622" s="134"/>
      <c r="AW622" s="134"/>
      <c r="AX622" s="134"/>
      <c r="AY622" s="134"/>
      <c r="AZ622" s="134"/>
      <c r="BA622" s="134"/>
      <c r="BB622" s="134"/>
      <c r="BC622" s="134"/>
      <c r="BD622" s="134"/>
      <c r="BE622" s="134"/>
      <c r="BF622" s="134"/>
      <c r="BG622" s="134"/>
      <c r="BH622" s="134"/>
      <c r="BI622" s="134"/>
      <c r="BJ622" s="134"/>
      <c r="BK622" s="134"/>
      <c r="BL622" s="134"/>
      <c r="BM622" s="135"/>
      <c r="BN622" s="136" t="n">
        <f aca="false">+MAX($D$3,DATOS_[[#This Row],[Fecha Inicio Sit. Contract.]])</f>
        <v>0</v>
      </c>
      <c r="BO622" s="136" t="n">
        <f aca="false">+MIN($D$4,DATOS_[[#This Row],[Fecha Fin Sit. Contract.]])</f>
        <v>0</v>
      </c>
      <c r="BP622" s="137" t="n">
        <f aca="false">+DATOS_[[#This Row],[% de jornada]]*IF(DATOS_[[#This Row],[% jornada reducida]]="",1,DATOS_[[#This Row],[% jornada reducida]])</f>
        <v>0</v>
      </c>
      <c r="BQ622" s="137" t="n">
        <f aca="false">+(DATOS_[[#This Row],[F.fin.cal]]-DATOS_[[#This Row],[F.ini.cal]]+1)/($D$4-$D$3+1)</f>
        <v>1</v>
      </c>
      <c r="BR622" s="137" t="str">
        <f aca="false">IF(OR(AND(DATOS_[[#This Row],[Fecha Fin Contrato]]&lt;$D$3,DATOS_[[#This Row],[Fecha Fin Contrato]]&lt;&gt;""),DATOS_[[#This Row],[Fecha de Contratación]]&gt;$D$4),"Fuera","Dentro")</f>
        <v>Dentro</v>
      </c>
      <c r="BS622" s="137" t="str">
        <f aca="false" t="array" ref="BS622:BS622">IF(MAX(IF(DATOS_[id]=DATOS_[[#This Row],[id]],DATOS_[F.fin.cal]))=DATOS_[[#This Row],[F.fin.cal]],"Sí","NO")</f>
        <v>Sí</v>
      </c>
      <c r="BT622" s="137" t="str">
        <f aca="false">IF(AND(DATOS_[[#This Row],[% normaliz]]&lt;&gt;1,DATOS_[[#This Row],[% anualiz]]=1),"Sí","NO")</f>
        <v>Sí</v>
      </c>
      <c r="BU622" s="137" t="str">
        <f aca="false">IF(AND(DATOS_[[#This Row],[% normaliz]]=1,DATOS_[[#This Row],[% anualiz]]&lt;&gt;1),"Sí","NO")</f>
        <v>NO</v>
      </c>
      <c r="BV622" s="137" t="str">
        <f aca="false">IF(AND(DATOS_[[#This Row],[% normaliz]]&lt;&gt;1,DATOS_[[#This Row],[% anualiz]]&lt;&gt;1),"Sí","NO")</f>
        <v>NO</v>
      </c>
      <c r="BW622" s="137" t="str">
        <f aca="false">+IF(DATOS_[[#This Row],[% normaliz]]*DATOS_[[#This Row],[% anualiz]]=1,"NO","Sí")</f>
        <v>Sí</v>
      </c>
      <c r="BX622" s="138" t="e">
        <f aca="false">(DATOS_[[#This Row],[S.BASE]]*(1/DATOS_[[#This Row],[% normaliz]])*(1/DATOS_[[#This Row],[% anualiz]]))*IF(DATOS_[[#This Row],[Check Equiparado]]="Sí",1,0)</f>
        <v>#DIV/0!</v>
      </c>
      <c r="BY6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2" s="138" t="e">
        <f aca="false">+DATOS_[[#This Row],[SALARIO BASE Eq]]+DATOS_[[#This Row],[Tot COMPL.SAL Eq]]</f>
        <v>#DIV/0!</v>
      </c>
      <c r="CA622" s="138" t="e">
        <f aca="false" t="array" ref="CA622:CA6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2" s="138" t="e">
        <f aca="false">+DATOS_[[#This Row],[TOTAL SALARIO Eq]]+DATOS_[[#This Row],[Tot Extrasalarial Eq]]</f>
        <v>#DIV/0!</v>
      </c>
      <c r="CC622" s="139" t="n">
        <f aca="false">DATOS_[[#This Row],[S.BASE]]</f>
        <v>0</v>
      </c>
      <c r="CD622" s="139" t="n">
        <f aca="false">+SUM(DATOS_[[#This Row],[Conc.Sal.01]:[Conc.Sal.30]])</f>
        <v>0</v>
      </c>
      <c r="CE622" s="139" t="n">
        <f aca="false">+DATOS_[[#This Row],[SALARIO BASE Ef]]+DATOS_[[#This Row],[Tot COMPL.SAL Ef]]</f>
        <v>0</v>
      </c>
      <c r="CF622" s="139" t="n">
        <f aca="false">+SUM(DATOS_[[#This Row],[C.Extra.01]:[C.Extra.05]])</f>
        <v>0</v>
      </c>
      <c r="CG622" s="139" t="n">
        <f aca="false">+DATOS_[[#This Row],[TOTAL SALARIO Ef]]+DATOS_[[#This Row],[Tot Extrasalarial Ef]]</f>
        <v>0</v>
      </c>
      <c r="CH622" s="140" t="n">
        <f aca="false">MIN(IF(DATOS_[[#This Row],[Fecha Fin Contrato]]="",$D$4,DATOS_[[#This Row],[Fecha Fin Contrato]]),$D$4)-MAX(DATOS_[[#This Row],[Fecha de Contratación]],$D$3)+1</f>
        <v>1</v>
      </c>
      <c r="CI622" s="141" t="str">
        <f aca="false">IF(COUNTIFS(DATOS_[id],DATOS_[[#This Row],[id]])&gt;1,DATOS_[[#This Row],[id]],"")</f>
        <v/>
      </c>
      <c r="CJ622" s="141" t="n">
        <f aca="false">(Inicio!$G$10-DATOS_[[#This Row],[Fecha Nacimiento]])/365.25</f>
        <v>0</v>
      </c>
      <c r="CK622" s="141" t="n">
        <f aca="false">(Inicio!$G$10-DATOS_[[#This Row],[Fecha de Antigüedad]])/365.25</f>
        <v>0</v>
      </c>
      <c r="CL622" s="141" t="e">
        <f aca="false">+VLOOKUP(DATOS_[[#This Row],[Clave de Contrato]],TblTiposContrato13[],3,0)</f>
        <v>#N/A</v>
      </c>
      <c r="CM622" s="141" t="e">
        <f aca="false">+VLOOKUP(DATOS_[[#This Row],[Clave de Contrato]],TblTiposContrato13[],4,0)</f>
        <v>#N/A</v>
      </c>
      <c r="CN622" s="141" t="str">
        <f aca="false">VLOOKUP(DATOS_[[#This Row],[Edad]],CONTRATOS!TblRngEdad,2,1)</f>
        <v>20  o menos</v>
      </c>
      <c r="CO622" s="141" t="str">
        <f aca="false">VLOOKUP(DATOS_[[#This Row],[Antigüedad]],TblRngAntg14[],2,1)</f>
        <v>0 a 1 años</v>
      </c>
    </row>
    <row r="623" customFormat="false" ht="13.8" hidden="false" customHeight="false" outlineLevel="0" collapsed="false">
      <c r="D623" s="128"/>
      <c r="E623" s="129"/>
      <c r="F623" s="129"/>
      <c r="G623" s="129"/>
      <c r="H623" s="130"/>
      <c r="I623" s="131"/>
      <c r="J623" s="128"/>
      <c r="K623" s="132"/>
      <c r="L623" s="132"/>
      <c r="M623" s="133"/>
      <c r="N623" s="133"/>
      <c r="O623" s="133"/>
      <c r="P623" s="129"/>
      <c r="Z623" s="75"/>
      <c r="AA623" s="76"/>
      <c r="AB623" s="76"/>
      <c r="AC623" s="129"/>
      <c r="AD623" s="134"/>
      <c r="AE623" s="134"/>
      <c r="AF623" s="134"/>
      <c r="AG623" s="134"/>
      <c r="AH623" s="134"/>
      <c r="AI623" s="134"/>
      <c r="AJ623" s="134"/>
      <c r="AK623" s="134"/>
      <c r="AL623" s="134"/>
      <c r="AM623" s="134"/>
      <c r="AN623" s="134"/>
      <c r="AO623" s="134"/>
      <c r="AP623" s="134"/>
      <c r="AQ623" s="134"/>
      <c r="AR623" s="134"/>
      <c r="AS623" s="134"/>
      <c r="AT623" s="134"/>
      <c r="AU623" s="134"/>
      <c r="AV623" s="134"/>
      <c r="AW623" s="134"/>
      <c r="AX623" s="134"/>
      <c r="AY623" s="134"/>
      <c r="AZ623" s="134"/>
      <c r="BA623" s="134"/>
      <c r="BB623" s="134"/>
      <c r="BC623" s="134"/>
      <c r="BD623" s="134"/>
      <c r="BE623" s="134"/>
      <c r="BF623" s="134"/>
      <c r="BG623" s="134"/>
      <c r="BH623" s="134"/>
      <c r="BI623" s="134"/>
      <c r="BJ623" s="134"/>
      <c r="BK623" s="134"/>
      <c r="BL623" s="134"/>
      <c r="BM623" s="135"/>
      <c r="BN623" s="136" t="n">
        <f aca="false">+MAX($D$3,DATOS_[[#This Row],[Fecha Inicio Sit. Contract.]])</f>
        <v>0</v>
      </c>
      <c r="BO623" s="136" t="n">
        <f aca="false">+MIN($D$4,DATOS_[[#This Row],[Fecha Fin Sit. Contract.]])</f>
        <v>0</v>
      </c>
      <c r="BP623" s="137" t="n">
        <f aca="false">+DATOS_[[#This Row],[% de jornada]]*IF(DATOS_[[#This Row],[% jornada reducida]]="",1,DATOS_[[#This Row],[% jornada reducida]])</f>
        <v>0</v>
      </c>
      <c r="BQ623" s="137" t="n">
        <f aca="false">+(DATOS_[[#This Row],[F.fin.cal]]-DATOS_[[#This Row],[F.ini.cal]]+1)/($D$4-$D$3+1)</f>
        <v>1</v>
      </c>
      <c r="BR623" s="137" t="str">
        <f aca="false">IF(OR(AND(DATOS_[[#This Row],[Fecha Fin Contrato]]&lt;$D$3,DATOS_[[#This Row],[Fecha Fin Contrato]]&lt;&gt;""),DATOS_[[#This Row],[Fecha de Contratación]]&gt;$D$4),"Fuera","Dentro")</f>
        <v>Dentro</v>
      </c>
      <c r="BS623" s="137" t="str">
        <f aca="false" t="array" ref="BS623:BS623">IF(MAX(IF(DATOS_[id]=DATOS_[[#This Row],[id]],DATOS_[F.fin.cal]))=DATOS_[[#This Row],[F.fin.cal]],"Sí","NO")</f>
        <v>Sí</v>
      </c>
      <c r="BT623" s="137" t="str">
        <f aca="false">IF(AND(DATOS_[[#This Row],[% normaliz]]&lt;&gt;1,DATOS_[[#This Row],[% anualiz]]=1),"Sí","NO")</f>
        <v>Sí</v>
      </c>
      <c r="BU623" s="137" t="str">
        <f aca="false">IF(AND(DATOS_[[#This Row],[% normaliz]]=1,DATOS_[[#This Row],[% anualiz]]&lt;&gt;1),"Sí","NO")</f>
        <v>NO</v>
      </c>
      <c r="BV623" s="137" t="str">
        <f aca="false">IF(AND(DATOS_[[#This Row],[% normaliz]]&lt;&gt;1,DATOS_[[#This Row],[% anualiz]]&lt;&gt;1),"Sí","NO")</f>
        <v>NO</v>
      </c>
      <c r="BW623" s="137" t="str">
        <f aca="false">+IF(DATOS_[[#This Row],[% normaliz]]*DATOS_[[#This Row],[% anualiz]]=1,"NO","Sí")</f>
        <v>Sí</v>
      </c>
      <c r="BX623" s="138" t="e">
        <f aca="false">(DATOS_[[#This Row],[S.BASE]]*(1/DATOS_[[#This Row],[% normaliz]])*(1/DATOS_[[#This Row],[% anualiz]]))*IF(DATOS_[[#This Row],[Check Equiparado]]="Sí",1,0)</f>
        <v>#DIV/0!</v>
      </c>
      <c r="BY6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3" s="138" t="e">
        <f aca="false">+DATOS_[[#This Row],[SALARIO BASE Eq]]+DATOS_[[#This Row],[Tot COMPL.SAL Eq]]</f>
        <v>#DIV/0!</v>
      </c>
      <c r="CA623" s="138" t="e">
        <f aca="false" t="array" ref="CA623:CA6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3" s="138" t="e">
        <f aca="false">+DATOS_[[#This Row],[TOTAL SALARIO Eq]]+DATOS_[[#This Row],[Tot Extrasalarial Eq]]</f>
        <v>#DIV/0!</v>
      </c>
      <c r="CC623" s="139" t="n">
        <f aca="false">DATOS_[[#This Row],[S.BASE]]</f>
        <v>0</v>
      </c>
      <c r="CD623" s="139" t="n">
        <f aca="false">+SUM(DATOS_[[#This Row],[Conc.Sal.01]:[Conc.Sal.30]])</f>
        <v>0</v>
      </c>
      <c r="CE623" s="139" t="n">
        <f aca="false">+DATOS_[[#This Row],[SALARIO BASE Ef]]+DATOS_[[#This Row],[Tot COMPL.SAL Ef]]</f>
        <v>0</v>
      </c>
      <c r="CF623" s="139" t="n">
        <f aca="false">+SUM(DATOS_[[#This Row],[C.Extra.01]:[C.Extra.05]])</f>
        <v>0</v>
      </c>
      <c r="CG623" s="139" t="n">
        <f aca="false">+DATOS_[[#This Row],[TOTAL SALARIO Ef]]+DATOS_[[#This Row],[Tot Extrasalarial Ef]]</f>
        <v>0</v>
      </c>
      <c r="CH623" s="140" t="n">
        <f aca="false">MIN(IF(DATOS_[[#This Row],[Fecha Fin Contrato]]="",$D$4,DATOS_[[#This Row],[Fecha Fin Contrato]]),$D$4)-MAX(DATOS_[[#This Row],[Fecha de Contratación]],$D$3)+1</f>
        <v>1</v>
      </c>
      <c r="CI623" s="141" t="str">
        <f aca="false">IF(COUNTIFS(DATOS_[id],DATOS_[[#This Row],[id]])&gt;1,DATOS_[[#This Row],[id]],"")</f>
        <v/>
      </c>
      <c r="CJ623" s="141" t="n">
        <f aca="false">(Inicio!$G$10-DATOS_[[#This Row],[Fecha Nacimiento]])/365.25</f>
        <v>0</v>
      </c>
      <c r="CK623" s="141" t="n">
        <f aca="false">(Inicio!$G$10-DATOS_[[#This Row],[Fecha de Antigüedad]])/365.25</f>
        <v>0</v>
      </c>
      <c r="CL623" s="141" t="e">
        <f aca="false">+VLOOKUP(DATOS_[[#This Row],[Clave de Contrato]],TblTiposContrato13[],3,0)</f>
        <v>#N/A</v>
      </c>
      <c r="CM623" s="141" t="e">
        <f aca="false">+VLOOKUP(DATOS_[[#This Row],[Clave de Contrato]],TblTiposContrato13[],4,0)</f>
        <v>#N/A</v>
      </c>
      <c r="CN623" s="141" t="str">
        <f aca="false">VLOOKUP(DATOS_[[#This Row],[Edad]],CONTRATOS!TblRngEdad,2,1)</f>
        <v>20  o menos</v>
      </c>
      <c r="CO623" s="141" t="str">
        <f aca="false">VLOOKUP(DATOS_[[#This Row],[Antigüedad]],TblRngAntg14[],2,1)</f>
        <v>0 a 1 años</v>
      </c>
    </row>
    <row r="624" customFormat="false" ht="13.8" hidden="false" customHeight="false" outlineLevel="0" collapsed="false">
      <c r="D624" s="128"/>
      <c r="E624" s="129"/>
      <c r="F624" s="129"/>
      <c r="G624" s="129"/>
      <c r="H624" s="130"/>
      <c r="I624" s="131"/>
      <c r="J624" s="128"/>
      <c r="K624" s="132"/>
      <c r="L624" s="132"/>
      <c r="M624" s="133"/>
      <c r="N624" s="133"/>
      <c r="O624" s="133"/>
      <c r="P624" s="129"/>
      <c r="Z624" s="75"/>
      <c r="AA624" s="76"/>
      <c r="AB624" s="76"/>
      <c r="AC624" s="129"/>
      <c r="AD624" s="134"/>
      <c r="AE624" s="134"/>
      <c r="AF624" s="134"/>
      <c r="AG624" s="134"/>
      <c r="AH624" s="134"/>
      <c r="AI624" s="134"/>
      <c r="AJ624" s="134"/>
      <c r="AK624" s="134"/>
      <c r="AL624" s="134"/>
      <c r="AM624" s="134"/>
      <c r="AN624" s="134"/>
      <c r="AO624" s="134"/>
      <c r="AP624" s="134"/>
      <c r="AQ624" s="134"/>
      <c r="AR624" s="134"/>
      <c r="AS624" s="134"/>
      <c r="AT624" s="134"/>
      <c r="AU624" s="134"/>
      <c r="AV624" s="134"/>
      <c r="AW624" s="134"/>
      <c r="AX624" s="134"/>
      <c r="AY624" s="134"/>
      <c r="AZ624" s="134"/>
      <c r="BA624" s="134"/>
      <c r="BB624" s="134"/>
      <c r="BC624" s="134"/>
      <c r="BD624" s="134"/>
      <c r="BE624" s="134"/>
      <c r="BF624" s="134"/>
      <c r="BG624" s="134"/>
      <c r="BH624" s="134"/>
      <c r="BI624" s="134"/>
      <c r="BJ624" s="134"/>
      <c r="BK624" s="134"/>
      <c r="BL624" s="134"/>
      <c r="BM624" s="135"/>
      <c r="BN624" s="136" t="n">
        <f aca="false">+MAX($D$3,DATOS_[[#This Row],[Fecha Inicio Sit. Contract.]])</f>
        <v>0</v>
      </c>
      <c r="BO624" s="136" t="n">
        <f aca="false">+MIN($D$4,DATOS_[[#This Row],[Fecha Fin Sit. Contract.]])</f>
        <v>0</v>
      </c>
      <c r="BP624" s="137" t="n">
        <f aca="false">+DATOS_[[#This Row],[% de jornada]]*IF(DATOS_[[#This Row],[% jornada reducida]]="",1,DATOS_[[#This Row],[% jornada reducida]])</f>
        <v>0</v>
      </c>
      <c r="BQ624" s="137" t="n">
        <f aca="false">+(DATOS_[[#This Row],[F.fin.cal]]-DATOS_[[#This Row],[F.ini.cal]]+1)/($D$4-$D$3+1)</f>
        <v>1</v>
      </c>
      <c r="BR624" s="137" t="str">
        <f aca="false">IF(OR(AND(DATOS_[[#This Row],[Fecha Fin Contrato]]&lt;$D$3,DATOS_[[#This Row],[Fecha Fin Contrato]]&lt;&gt;""),DATOS_[[#This Row],[Fecha de Contratación]]&gt;$D$4),"Fuera","Dentro")</f>
        <v>Dentro</v>
      </c>
      <c r="BS624" s="137" t="str">
        <f aca="false" t="array" ref="BS624:BS624">IF(MAX(IF(DATOS_[id]=DATOS_[[#This Row],[id]],DATOS_[F.fin.cal]))=DATOS_[[#This Row],[F.fin.cal]],"Sí","NO")</f>
        <v>Sí</v>
      </c>
      <c r="BT624" s="137" t="str">
        <f aca="false">IF(AND(DATOS_[[#This Row],[% normaliz]]&lt;&gt;1,DATOS_[[#This Row],[% anualiz]]=1),"Sí","NO")</f>
        <v>Sí</v>
      </c>
      <c r="BU624" s="137" t="str">
        <f aca="false">IF(AND(DATOS_[[#This Row],[% normaliz]]=1,DATOS_[[#This Row],[% anualiz]]&lt;&gt;1),"Sí","NO")</f>
        <v>NO</v>
      </c>
      <c r="BV624" s="137" t="str">
        <f aca="false">IF(AND(DATOS_[[#This Row],[% normaliz]]&lt;&gt;1,DATOS_[[#This Row],[% anualiz]]&lt;&gt;1),"Sí","NO")</f>
        <v>NO</v>
      </c>
      <c r="BW624" s="137" t="str">
        <f aca="false">+IF(DATOS_[[#This Row],[% normaliz]]*DATOS_[[#This Row],[% anualiz]]=1,"NO","Sí")</f>
        <v>Sí</v>
      </c>
      <c r="BX624" s="138" t="e">
        <f aca="false">(DATOS_[[#This Row],[S.BASE]]*(1/DATOS_[[#This Row],[% normaliz]])*(1/DATOS_[[#This Row],[% anualiz]]))*IF(DATOS_[[#This Row],[Check Equiparado]]="Sí",1,0)</f>
        <v>#DIV/0!</v>
      </c>
      <c r="BY6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4" s="138" t="e">
        <f aca="false">+DATOS_[[#This Row],[SALARIO BASE Eq]]+DATOS_[[#This Row],[Tot COMPL.SAL Eq]]</f>
        <v>#DIV/0!</v>
      </c>
      <c r="CA624" s="138" t="e">
        <f aca="false" t="array" ref="CA624:CA6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4" s="138" t="e">
        <f aca="false">+DATOS_[[#This Row],[TOTAL SALARIO Eq]]+DATOS_[[#This Row],[Tot Extrasalarial Eq]]</f>
        <v>#DIV/0!</v>
      </c>
      <c r="CC624" s="139" t="n">
        <f aca="false">DATOS_[[#This Row],[S.BASE]]</f>
        <v>0</v>
      </c>
      <c r="CD624" s="139" t="n">
        <f aca="false">+SUM(DATOS_[[#This Row],[Conc.Sal.01]:[Conc.Sal.30]])</f>
        <v>0</v>
      </c>
      <c r="CE624" s="139" t="n">
        <f aca="false">+DATOS_[[#This Row],[SALARIO BASE Ef]]+DATOS_[[#This Row],[Tot COMPL.SAL Ef]]</f>
        <v>0</v>
      </c>
      <c r="CF624" s="139" t="n">
        <f aca="false">+SUM(DATOS_[[#This Row],[C.Extra.01]:[C.Extra.05]])</f>
        <v>0</v>
      </c>
      <c r="CG624" s="139" t="n">
        <f aca="false">+DATOS_[[#This Row],[TOTAL SALARIO Ef]]+DATOS_[[#This Row],[Tot Extrasalarial Ef]]</f>
        <v>0</v>
      </c>
      <c r="CH624" s="140" t="n">
        <f aca="false">MIN(IF(DATOS_[[#This Row],[Fecha Fin Contrato]]="",$D$4,DATOS_[[#This Row],[Fecha Fin Contrato]]),$D$4)-MAX(DATOS_[[#This Row],[Fecha de Contratación]],$D$3)+1</f>
        <v>1</v>
      </c>
      <c r="CI624" s="141" t="str">
        <f aca="false">IF(COUNTIFS(DATOS_[id],DATOS_[[#This Row],[id]])&gt;1,DATOS_[[#This Row],[id]],"")</f>
        <v/>
      </c>
      <c r="CJ624" s="141" t="n">
        <f aca="false">(Inicio!$G$10-DATOS_[[#This Row],[Fecha Nacimiento]])/365.25</f>
        <v>0</v>
      </c>
      <c r="CK624" s="141" t="n">
        <f aca="false">(Inicio!$G$10-DATOS_[[#This Row],[Fecha de Antigüedad]])/365.25</f>
        <v>0</v>
      </c>
      <c r="CL624" s="141" t="e">
        <f aca="false">+VLOOKUP(DATOS_[[#This Row],[Clave de Contrato]],TblTiposContrato13[],3,0)</f>
        <v>#N/A</v>
      </c>
      <c r="CM624" s="141" t="e">
        <f aca="false">+VLOOKUP(DATOS_[[#This Row],[Clave de Contrato]],TblTiposContrato13[],4,0)</f>
        <v>#N/A</v>
      </c>
      <c r="CN624" s="141" t="str">
        <f aca="false">VLOOKUP(DATOS_[[#This Row],[Edad]],CONTRATOS!TblRngEdad,2,1)</f>
        <v>20  o menos</v>
      </c>
      <c r="CO624" s="141" t="str">
        <f aca="false">VLOOKUP(DATOS_[[#This Row],[Antigüedad]],TblRngAntg14[],2,1)</f>
        <v>0 a 1 años</v>
      </c>
    </row>
    <row r="625" customFormat="false" ht="13.8" hidden="false" customHeight="false" outlineLevel="0" collapsed="false">
      <c r="D625" s="128"/>
      <c r="E625" s="129"/>
      <c r="F625" s="129"/>
      <c r="G625" s="129"/>
      <c r="H625" s="130"/>
      <c r="I625" s="131"/>
      <c r="J625" s="128"/>
      <c r="K625" s="132"/>
      <c r="L625" s="132"/>
      <c r="M625" s="133"/>
      <c r="N625" s="133"/>
      <c r="O625" s="133"/>
      <c r="P625" s="129"/>
      <c r="Z625" s="75"/>
      <c r="AA625" s="76"/>
      <c r="AB625" s="76"/>
      <c r="AC625" s="129"/>
      <c r="AD625" s="134"/>
      <c r="AE625" s="134"/>
      <c r="AF625" s="134"/>
      <c r="AG625" s="134"/>
      <c r="AH625" s="134"/>
      <c r="AI625" s="134"/>
      <c r="AJ625" s="134"/>
      <c r="AK625" s="134"/>
      <c r="AL625" s="134"/>
      <c r="AM625" s="134"/>
      <c r="AN625" s="134"/>
      <c r="AO625" s="134"/>
      <c r="AP625" s="134"/>
      <c r="AQ625" s="134"/>
      <c r="AR625" s="134"/>
      <c r="AS625" s="134"/>
      <c r="AT625" s="134"/>
      <c r="AU625" s="134"/>
      <c r="AV625" s="134"/>
      <c r="AW625" s="134"/>
      <c r="AX625" s="134"/>
      <c r="AY625" s="134"/>
      <c r="AZ625" s="134"/>
      <c r="BA625" s="134"/>
      <c r="BB625" s="134"/>
      <c r="BC625" s="134"/>
      <c r="BD625" s="134"/>
      <c r="BE625" s="134"/>
      <c r="BF625" s="134"/>
      <c r="BG625" s="134"/>
      <c r="BH625" s="134"/>
      <c r="BI625" s="134"/>
      <c r="BJ625" s="134"/>
      <c r="BK625" s="134"/>
      <c r="BL625" s="134"/>
      <c r="BM625" s="135"/>
      <c r="BN625" s="136" t="n">
        <f aca="false">+MAX($D$3,DATOS_[[#This Row],[Fecha Inicio Sit. Contract.]])</f>
        <v>0</v>
      </c>
      <c r="BO625" s="136" t="n">
        <f aca="false">+MIN($D$4,DATOS_[[#This Row],[Fecha Fin Sit. Contract.]])</f>
        <v>0</v>
      </c>
      <c r="BP625" s="137" t="n">
        <f aca="false">+DATOS_[[#This Row],[% de jornada]]*IF(DATOS_[[#This Row],[% jornada reducida]]="",1,DATOS_[[#This Row],[% jornada reducida]])</f>
        <v>0</v>
      </c>
      <c r="BQ625" s="137" t="n">
        <f aca="false">+(DATOS_[[#This Row],[F.fin.cal]]-DATOS_[[#This Row],[F.ini.cal]]+1)/($D$4-$D$3+1)</f>
        <v>1</v>
      </c>
      <c r="BR625" s="137" t="str">
        <f aca="false">IF(OR(AND(DATOS_[[#This Row],[Fecha Fin Contrato]]&lt;$D$3,DATOS_[[#This Row],[Fecha Fin Contrato]]&lt;&gt;""),DATOS_[[#This Row],[Fecha de Contratación]]&gt;$D$4),"Fuera","Dentro")</f>
        <v>Dentro</v>
      </c>
      <c r="BS625" s="137" t="str">
        <f aca="false" t="array" ref="BS625:BS625">IF(MAX(IF(DATOS_[id]=DATOS_[[#This Row],[id]],DATOS_[F.fin.cal]))=DATOS_[[#This Row],[F.fin.cal]],"Sí","NO")</f>
        <v>Sí</v>
      </c>
      <c r="BT625" s="137" t="str">
        <f aca="false">IF(AND(DATOS_[[#This Row],[% normaliz]]&lt;&gt;1,DATOS_[[#This Row],[% anualiz]]=1),"Sí","NO")</f>
        <v>Sí</v>
      </c>
      <c r="BU625" s="137" t="str">
        <f aca="false">IF(AND(DATOS_[[#This Row],[% normaliz]]=1,DATOS_[[#This Row],[% anualiz]]&lt;&gt;1),"Sí","NO")</f>
        <v>NO</v>
      </c>
      <c r="BV625" s="137" t="str">
        <f aca="false">IF(AND(DATOS_[[#This Row],[% normaliz]]&lt;&gt;1,DATOS_[[#This Row],[% anualiz]]&lt;&gt;1),"Sí","NO")</f>
        <v>NO</v>
      </c>
      <c r="BW625" s="137" t="str">
        <f aca="false">+IF(DATOS_[[#This Row],[% normaliz]]*DATOS_[[#This Row],[% anualiz]]=1,"NO","Sí")</f>
        <v>Sí</v>
      </c>
      <c r="BX625" s="138" t="e">
        <f aca="false">(DATOS_[[#This Row],[S.BASE]]*(1/DATOS_[[#This Row],[% normaliz]])*(1/DATOS_[[#This Row],[% anualiz]]))*IF(DATOS_[[#This Row],[Check Equiparado]]="Sí",1,0)</f>
        <v>#DIV/0!</v>
      </c>
      <c r="BY6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5" s="138" t="e">
        <f aca="false">+DATOS_[[#This Row],[SALARIO BASE Eq]]+DATOS_[[#This Row],[Tot COMPL.SAL Eq]]</f>
        <v>#DIV/0!</v>
      </c>
      <c r="CA625" s="138" t="e">
        <f aca="false" t="array" ref="CA625:CA6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5" s="138" t="e">
        <f aca="false">+DATOS_[[#This Row],[TOTAL SALARIO Eq]]+DATOS_[[#This Row],[Tot Extrasalarial Eq]]</f>
        <v>#DIV/0!</v>
      </c>
      <c r="CC625" s="139" t="n">
        <f aca="false">DATOS_[[#This Row],[S.BASE]]</f>
        <v>0</v>
      </c>
      <c r="CD625" s="139" t="n">
        <f aca="false">+SUM(DATOS_[[#This Row],[Conc.Sal.01]:[Conc.Sal.30]])</f>
        <v>0</v>
      </c>
      <c r="CE625" s="139" t="n">
        <f aca="false">+DATOS_[[#This Row],[SALARIO BASE Ef]]+DATOS_[[#This Row],[Tot COMPL.SAL Ef]]</f>
        <v>0</v>
      </c>
      <c r="CF625" s="139" t="n">
        <f aca="false">+SUM(DATOS_[[#This Row],[C.Extra.01]:[C.Extra.05]])</f>
        <v>0</v>
      </c>
      <c r="CG625" s="139" t="n">
        <f aca="false">+DATOS_[[#This Row],[TOTAL SALARIO Ef]]+DATOS_[[#This Row],[Tot Extrasalarial Ef]]</f>
        <v>0</v>
      </c>
      <c r="CH625" s="140" t="n">
        <f aca="false">MIN(IF(DATOS_[[#This Row],[Fecha Fin Contrato]]="",$D$4,DATOS_[[#This Row],[Fecha Fin Contrato]]),$D$4)-MAX(DATOS_[[#This Row],[Fecha de Contratación]],$D$3)+1</f>
        <v>1</v>
      </c>
      <c r="CI625" s="141" t="str">
        <f aca="false">IF(COUNTIFS(DATOS_[id],DATOS_[[#This Row],[id]])&gt;1,DATOS_[[#This Row],[id]],"")</f>
        <v/>
      </c>
      <c r="CJ625" s="141" t="n">
        <f aca="false">(Inicio!$G$10-DATOS_[[#This Row],[Fecha Nacimiento]])/365.25</f>
        <v>0</v>
      </c>
      <c r="CK625" s="141" t="n">
        <f aca="false">(Inicio!$G$10-DATOS_[[#This Row],[Fecha de Antigüedad]])/365.25</f>
        <v>0</v>
      </c>
      <c r="CL625" s="141" t="e">
        <f aca="false">+VLOOKUP(DATOS_[[#This Row],[Clave de Contrato]],TblTiposContrato13[],3,0)</f>
        <v>#N/A</v>
      </c>
      <c r="CM625" s="141" t="e">
        <f aca="false">+VLOOKUP(DATOS_[[#This Row],[Clave de Contrato]],TblTiposContrato13[],4,0)</f>
        <v>#N/A</v>
      </c>
      <c r="CN625" s="141" t="str">
        <f aca="false">VLOOKUP(DATOS_[[#This Row],[Edad]],CONTRATOS!TblRngEdad,2,1)</f>
        <v>20  o menos</v>
      </c>
      <c r="CO625" s="141" t="str">
        <f aca="false">VLOOKUP(DATOS_[[#This Row],[Antigüedad]],TblRngAntg14[],2,1)</f>
        <v>0 a 1 años</v>
      </c>
    </row>
    <row r="626" customFormat="false" ht="13.8" hidden="false" customHeight="false" outlineLevel="0" collapsed="false">
      <c r="D626" s="128"/>
      <c r="E626" s="129"/>
      <c r="F626" s="129"/>
      <c r="G626" s="129"/>
      <c r="H626" s="130"/>
      <c r="I626" s="131"/>
      <c r="J626" s="128"/>
      <c r="K626" s="132"/>
      <c r="L626" s="132"/>
      <c r="M626" s="133"/>
      <c r="N626" s="133"/>
      <c r="O626" s="133"/>
      <c r="P626" s="129"/>
      <c r="Z626" s="75"/>
      <c r="AA626" s="76"/>
      <c r="AB626" s="76"/>
      <c r="AC626" s="129"/>
      <c r="AD626" s="134"/>
      <c r="AE626" s="134"/>
      <c r="AF626" s="134"/>
      <c r="AG626" s="134"/>
      <c r="AH626" s="134"/>
      <c r="AI626" s="134"/>
      <c r="AJ626" s="134"/>
      <c r="AK626" s="134"/>
      <c r="AL626" s="134"/>
      <c r="AM626" s="134"/>
      <c r="AN626" s="134"/>
      <c r="AO626" s="134"/>
      <c r="AP626" s="134"/>
      <c r="AQ626" s="134"/>
      <c r="AR626" s="134"/>
      <c r="AS626" s="134"/>
      <c r="AT626" s="134"/>
      <c r="AU626" s="134"/>
      <c r="AV626" s="134"/>
      <c r="AW626" s="134"/>
      <c r="AX626" s="134"/>
      <c r="AY626" s="134"/>
      <c r="AZ626" s="134"/>
      <c r="BA626" s="134"/>
      <c r="BB626" s="134"/>
      <c r="BC626" s="134"/>
      <c r="BD626" s="134"/>
      <c r="BE626" s="134"/>
      <c r="BF626" s="134"/>
      <c r="BG626" s="134"/>
      <c r="BH626" s="134"/>
      <c r="BI626" s="134"/>
      <c r="BJ626" s="134"/>
      <c r="BK626" s="134"/>
      <c r="BL626" s="134"/>
      <c r="BM626" s="135"/>
      <c r="BN626" s="136" t="n">
        <f aca="false">+MAX($D$3,DATOS_[[#This Row],[Fecha Inicio Sit. Contract.]])</f>
        <v>0</v>
      </c>
      <c r="BO626" s="136" t="n">
        <f aca="false">+MIN($D$4,DATOS_[[#This Row],[Fecha Fin Sit. Contract.]])</f>
        <v>0</v>
      </c>
      <c r="BP626" s="137" t="n">
        <f aca="false">+DATOS_[[#This Row],[% de jornada]]*IF(DATOS_[[#This Row],[% jornada reducida]]="",1,DATOS_[[#This Row],[% jornada reducida]])</f>
        <v>0</v>
      </c>
      <c r="BQ626" s="137" t="n">
        <f aca="false">+(DATOS_[[#This Row],[F.fin.cal]]-DATOS_[[#This Row],[F.ini.cal]]+1)/($D$4-$D$3+1)</f>
        <v>1</v>
      </c>
      <c r="BR626" s="137" t="str">
        <f aca="false">IF(OR(AND(DATOS_[[#This Row],[Fecha Fin Contrato]]&lt;$D$3,DATOS_[[#This Row],[Fecha Fin Contrato]]&lt;&gt;""),DATOS_[[#This Row],[Fecha de Contratación]]&gt;$D$4),"Fuera","Dentro")</f>
        <v>Dentro</v>
      </c>
      <c r="BS626" s="137" t="str">
        <f aca="false" t="array" ref="BS626:BS626">IF(MAX(IF(DATOS_[id]=DATOS_[[#This Row],[id]],DATOS_[F.fin.cal]))=DATOS_[[#This Row],[F.fin.cal]],"Sí","NO")</f>
        <v>Sí</v>
      </c>
      <c r="BT626" s="137" t="str">
        <f aca="false">IF(AND(DATOS_[[#This Row],[% normaliz]]&lt;&gt;1,DATOS_[[#This Row],[% anualiz]]=1),"Sí","NO")</f>
        <v>Sí</v>
      </c>
      <c r="BU626" s="137" t="str">
        <f aca="false">IF(AND(DATOS_[[#This Row],[% normaliz]]=1,DATOS_[[#This Row],[% anualiz]]&lt;&gt;1),"Sí","NO")</f>
        <v>NO</v>
      </c>
      <c r="BV626" s="137" t="str">
        <f aca="false">IF(AND(DATOS_[[#This Row],[% normaliz]]&lt;&gt;1,DATOS_[[#This Row],[% anualiz]]&lt;&gt;1),"Sí","NO")</f>
        <v>NO</v>
      </c>
      <c r="BW626" s="137" t="str">
        <f aca="false">+IF(DATOS_[[#This Row],[% normaliz]]*DATOS_[[#This Row],[% anualiz]]=1,"NO","Sí")</f>
        <v>Sí</v>
      </c>
      <c r="BX626" s="138" t="e">
        <f aca="false">(DATOS_[[#This Row],[S.BASE]]*(1/DATOS_[[#This Row],[% normaliz]])*(1/DATOS_[[#This Row],[% anualiz]]))*IF(DATOS_[[#This Row],[Check Equiparado]]="Sí",1,0)</f>
        <v>#DIV/0!</v>
      </c>
      <c r="BY6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6" s="138" t="e">
        <f aca="false">+DATOS_[[#This Row],[SALARIO BASE Eq]]+DATOS_[[#This Row],[Tot COMPL.SAL Eq]]</f>
        <v>#DIV/0!</v>
      </c>
      <c r="CA626" s="138" t="e">
        <f aca="false" t="array" ref="CA626:CA6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6" s="138" t="e">
        <f aca="false">+DATOS_[[#This Row],[TOTAL SALARIO Eq]]+DATOS_[[#This Row],[Tot Extrasalarial Eq]]</f>
        <v>#DIV/0!</v>
      </c>
      <c r="CC626" s="139" t="n">
        <f aca="false">DATOS_[[#This Row],[S.BASE]]</f>
        <v>0</v>
      </c>
      <c r="CD626" s="139" t="n">
        <f aca="false">+SUM(DATOS_[[#This Row],[Conc.Sal.01]:[Conc.Sal.30]])</f>
        <v>0</v>
      </c>
      <c r="CE626" s="139" t="n">
        <f aca="false">+DATOS_[[#This Row],[SALARIO BASE Ef]]+DATOS_[[#This Row],[Tot COMPL.SAL Ef]]</f>
        <v>0</v>
      </c>
      <c r="CF626" s="139" t="n">
        <f aca="false">+SUM(DATOS_[[#This Row],[C.Extra.01]:[C.Extra.05]])</f>
        <v>0</v>
      </c>
      <c r="CG626" s="139" t="n">
        <f aca="false">+DATOS_[[#This Row],[TOTAL SALARIO Ef]]+DATOS_[[#This Row],[Tot Extrasalarial Ef]]</f>
        <v>0</v>
      </c>
      <c r="CH626" s="140" t="n">
        <f aca="false">MIN(IF(DATOS_[[#This Row],[Fecha Fin Contrato]]="",$D$4,DATOS_[[#This Row],[Fecha Fin Contrato]]),$D$4)-MAX(DATOS_[[#This Row],[Fecha de Contratación]],$D$3)+1</f>
        <v>1</v>
      </c>
      <c r="CI626" s="141" t="str">
        <f aca="false">IF(COUNTIFS(DATOS_[id],DATOS_[[#This Row],[id]])&gt;1,DATOS_[[#This Row],[id]],"")</f>
        <v/>
      </c>
      <c r="CJ626" s="141" t="n">
        <f aca="false">(Inicio!$G$10-DATOS_[[#This Row],[Fecha Nacimiento]])/365.25</f>
        <v>0</v>
      </c>
      <c r="CK626" s="141" t="n">
        <f aca="false">(Inicio!$G$10-DATOS_[[#This Row],[Fecha de Antigüedad]])/365.25</f>
        <v>0</v>
      </c>
      <c r="CL626" s="141" t="e">
        <f aca="false">+VLOOKUP(DATOS_[[#This Row],[Clave de Contrato]],TblTiposContrato13[],3,0)</f>
        <v>#N/A</v>
      </c>
      <c r="CM626" s="141" t="e">
        <f aca="false">+VLOOKUP(DATOS_[[#This Row],[Clave de Contrato]],TblTiposContrato13[],4,0)</f>
        <v>#N/A</v>
      </c>
      <c r="CN626" s="141" t="str">
        <f aca="false">VLOOKUP(DATOS_[[#This Row],[Edad]],CONTRATOS!TblRngEdad,2,1)</f>
        <v>20  o menos</v>
      </c>
      <c r="CO626" s="141" t="str">
        <f aca="false">VLOOKUP(DATOS_[[#This Row],[Antigüedad]],TblRngAntg14[],2,1)</f>
        <v>0 a 1 años</v>
      </c>
    </row>
    <row r="627" customFormat="false" ht="13.8" hidden="false" customHeight="false" outlineLevel="0" collapsed="false">
      <c r="D627" s="128"/>
      <c r="E627" s="129"/>
      <c r="F627" s="129"/>
      <c r="G627" s="129"/>
      <c r="H627" s="130"/>
      <c r="I627" s="131"/>
      <c r="J627" s="128"/>
      <c r="K627" s="132"/>
      <c r="L627" s="132"/>
      <c r="M627" s="133"/>
      <c r="N627" s="133"/>
      <c r="O627" s="133"/>
      <c r="P627" s="129"/>
      <c r="Z627" s="75"/>
      <c r="AA627" s="76"/>
      <c r="AB627" s="76"/>
      <c r="AC627" s="129"/>
      <c r="AD627" s="134"/>
      <c r="AE627" s="134"/>
      <c r="AF627" s="134"/>
      <c r="AG627" s="134"/>
      <c r="AH627" s="134"/>
      <c r="AI627" s="134"/>
      <c r="AJ627" s="134"/>
      <c r="AK627" s="134"/>
      <c r="AL627" s="134"/>
      <c r="AM627" s="134"/>
      <c r="AN627" s="134"/>
      <c r="AO627" s="134"/>
      <c r="AP627" s="134"/>
      <c r="AQ627" s="134"/>
      <c r="AR627" s="134"/>
      <c r="AS627" s="134"/>
      <c r="AT627" s="134"/>
      <c r="AU627" s="134"/>
      <c r="AV627" s="134"/>
      <c r="AW627" s="134"/>
      <c r="AX627" s="134"/>
      <c r="AY627" s="134"/>
      <c r="AZ627" s="134"/>
      <c r="BA627" s="134"/>
      <c r="BB627" s="134"/>
      <c r="BC627" s="134"/>
      <c r="BD627" s="134"/>
      <c r="BE627" s="134"/>
      <c r="BF627" s="134"/>
      <c r="BG627" s="134"/>
      <c r="BH627" s="134"/>
      <c r="BI627" s="134"/>
      <c r="BJ627" s="134"/>
      <c r="BK627" s="134"/>
      <c r="BL627" s="134"/>
      <c r="BM627" s="135"/>
      <c r="BN627" s="136" t="n">
        <f aca="false">+MAX($D$3,DATOS_[[#This Row],[Fecha Inicio Sit. Contract.]])</f>
        <v>0</v>
      </c>
      <c r="BO627" s="136" t="n">
        <f aca="false">+MIN($D$4,DATOS_[[#This Row],[Fecha Fin Sit. Contract.]])</f>
        <v>0</v>
      </c>
      <c r="BP627" s="137" t="n">
        <f aca="false">+DATOS_[[#This Row],[% de jornada]]*IF(DATOS_[[#This Row],[% jornada reducida]]="",1,DATOS_[[#This Row],[% jornada reducida]])</f>
        <v>0</v>
      </c>
      <c r="BQ627" s="137" t="n">
        <f aca="false">+(DATOS_[[#This Row],[F.fin.cal]]-DATOS_[[#This Row],[F.ini.cal]]+1)/($D$4-$D$3+1)</f>
        <v>1</v>
      </c>
      <c r="BR627" s="137" t="str">
        <f aca="false">IF(OR(AND(DATOS_[[#This Row],[Fecha Fin Contrato]]&lt;$D$3,DATOS_[[#This Row],[Fecha Fin Contrato]]&lt;&gt;""),DATOS_[[#This Row],[Fecha de Contratación]]&gt;$D$4),"Fuera","Dentro")</f>
        <v>Dentro</v>
      </c>
      <c r="BS627" s="137" t="str">
        <f aca="false" t="array" ref="BS627:BS627">IF(MAX(IF(DATOS_[id]=DATOS_[[#This Row],[id]],DATOS_[F.fin.cal]))=DATOS_[[#This Row],[F.fin.cal]],"Sí","NO")</f>
        <v>Sí</v>
      </c>
      <c r="BT627" s="137" t="str">
        <f aca="false">IF(AND(DATOS_[[#This Row],[% normaliz]]&lt;&gt;1,DATOS_[[#This Row],[% anualiz]]=1),"Sí","NO")</f>
        <v>Sí</v>
      </c>
      <c r="BU627" s="137" t="str">
        <f aca="false">IF(AND(DATOS_[[#This Row],[% normaliz]]=1,DATOS_[[#This Row],[% anualiz]]&lt;&gt;1),"Sí","NO")</f>
        <v>NO</v>
      </c>
      <c r="BV627" s="137" t="str">
        <f aca="false">IF(AND(DATOS_[[#This Row],[% normaliz]]&lt;&gt;1,DATOS_[[#This Row],[% anualiz]]&lt;&gt;1),"Sí","NO")</f>
        <v>NO</v>
      </c>
      <c r="BW627" s="137" t="str">
        <f aca="false">+IF(DATOS_[[#This Row],[% normaliz]]*DATOS_[[#This Row],[% anualiz]]=1,"NO","Sí")</f>
        <v>Sí</v>
      </c>
      <c r="BX627" s="138" t="e">
        <f aca="false">(DATOS_[[#This Row],[S.BASE]]*(1/DATOS_[[#This Row],[% normaliz]])*(1/DATOS_[[#This Row],[% anualiz]]))*IF(DATOS_[[#This Row],[Check Equiparado]]="Sí",1,0)</f>
        <v>#DIV/0!</v>
      </c>
      <c r="BY6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7" s="138" t="e">
        <f aca="false">+DATOS_[[#This Row],[SALARIO BASE Eq]]+DATOS_[[#This Row],[Tot COMPL.SAL Eq]]</f>
        <v>#DIV/0!</v>
      </c>
      <c r="CA627" s="138" t="e">
        <f aca="false" t="array" ref="CA627:CA6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7" s="138" t="e">
        <f aca="false">+DATOS_[[#This Row],[TOTAL SALARIO Eq]]+DATOS_[[#This Row],[Tot Extrasalarial Eq]]</f>
        <v>#DIV/0!</v>
      </c>
      <c r="CC627" s="139" t="n">
        <f aca="false">DATOS_[[#This Row],[S.BASE]]</f>
        <v>0</v>
      </c>
      <c r="CD627" s="139" t="n">
        <f aca="false">+SUM(DATOS_[[#This Row],[Conc.Sal.01]:[Conc.Sal.30]])</f>
        <v>0</v>
      </c>
      <c r="CE627" s="139" t="n">
        <f aca="false">+DATOS_[[#This Row],[SALARIO BASE Ef]]+DATOS_[[#This Row],[Tot COMPL.SAL Ef]]</f>
        <v>0</v>
      </c>
      <c r="CF627" s="139" t="n">
        <f aca="false">+SUM(DATOS_[[#This Row],[C.Extra.01]:[C.Extra.05]])</f>
        <v>0</v>
      </c>
      <c r="CG627" s="139" t="n">
        <f aca="false">+DATOS_[[#This Row],[TOTAL SALARIO Ef]]+DATOS_[[#This Row],[Tot Extrasalarial Ef]]</f>
        <v>0</v>
      </c>
      <c r="CH627" s="140" t="n">
        <f aca="false">MIN(IF(DATOS_[[#This Row],[Fecha Fin Contrato]]="",$D$4,DATOS_[[#This Row],[Fecha Fin Contrato]]),$D$4)-MAX(DATOS_[[#This Row],[Fecha de Contratación]],$D$3)+1</f>
        <v>1</v>
      </c>
      <c r="CI627" s="141" t="str">
        <f aca="false">IF(COUNTIFS(DATOS_[id],DATOS_[[#This Row],[id]])&gt;1,DATOS_[[#This Row],[id]],"")</f>
        <v/>
      </c>
      <c r="CJ627" s="141" t="n">
        <f aca="false">(Inicio!$G$10-DATOS_[[#This Row],[Fecha Nacimiento]])/365.25</f>
        <v>0</v>
      </c>
      <c r="CK627" s="141" t="n">
        <f aca="false">(Inicio!$G$10-DATOS_[[#This Row],[Fecha de Antigüedad]])/365.25</f>
        <v>0</v>
      </c>
      <c r="CL627" s="141" t="e">
        <f aca="false">+VLOOKUP(DATOS_[[#This Row],[Clave de Contrato]],TblTiposContrato13[],3,0)</f>
        <v>#N/A</v>
      </c>
      <c r="CM627" s="141" t="e">
        <f aca="false">+VLOOKUP(DATOS_[[#This Row],[Clave de Contrato]],TblTiposContrato13[],4,0)</f>
        <v>#N/A</v>
      </c>
      <c r="CN627" s="141" t="str">
        <f aca="false">VLOOKUP(DATOS_[[#This Row],[Edad]],CONTRATOS!TblRngEdad,2,1)</f>
        <v>20  o menos</v>
      </c>
      <c r="CO627" s="141" t="str">
        <f aca="false">VLOOKUP(DATOS_[[#This Row],[Antigüedad]],TblRngAntg14[],2,1)</f>
        <v>0 a 1 años</v>
      </c>
    </row>
    <row r="628" customFormat="false" ht="13.8" hidden="false" customHeight="false" outlineLevel="0" collapsed="false">
      <c r="D628" s="128"/>
      <c r="E628" s="129"/>
      <c r="F628" s="129"/>
      <c r="G628" s="129"/>
      <c r="H628" s="130"/>
      <c r="I628" s="131"/>
      <c r="J628" s="128"/>
      <c r="K628" s="132"/>
      <c r="L628" s="132"/>
      <c r="M628" s="133"/>
      <c r="N628" s="133"/>
      <c r="O628" s="133"/>
      <c r="P628" s="129"/>
      <c r="Z628" s="75"/>
      <c r="AA628" s="76"/>
      <c r="AB628" s="76"/>
      <c r="AC628" s="129"/>
      <c r="AD628" s="134"/>
      <c r="AE628" s="134"/>
      <c r="AF628" s="134"/>
      <c r="AG628" s="134"/>
      <c r="AH628" s="134"/>
      <c r="AI628" s="134"/>
      <c r="AJ628" s="134"/>
      <c r="AK628" s="134"/>
      <c r="AL628" s="134"/>
      <c r="AM628" s="134"/>
      <c r="AN628" s="134"/>
      <c r="AO628" s="134"/>
      <c r="AP628" s="134"/>
      <c r="AQ628" s="134"/>
      <c r="AR628" s="134"/>
      <c r="AS628" s="134"/>
      <c r="AT628" s="134"/>
      <c r="AU628" s="134"/>
      <c r="AV628" s="134"/>
      <c r="AW628" s="134"/>
      <c r="AX628" s="134"/>
      <c r="AY628" s="134"/>
      <c r="AZ628" s="134"/>
      <c r="BA628" s="134"/>
      <c r="BB628" s="134"/>
      <c r="BC628" s="134"/>
      <c r="BD628" s="134"/>
      <c r="BE628" s="134"/>
      <c r="BF628" s="134"/>
      <c r="BG628" s="134"/>
      <c r="BH628" s="134"/>
      <c r="BI628" s="134"/>
      <c r="BJ628" s="134"/>
      <c r="BK628" s="134"/>
      <c r="BL628" s="134"/>
      <c r="BM628" s="135"/>
      <c r="BN628" s="136" t="n">
        <f aca="false">+MAX($D$3,DATOS_[[#This Row],[Fecha Inicio Sit. Contract.]])</f>
        <v>0</v>
      </c>
      <c r="BO628" s="136" t="n">
        <f aca="false">+MIN($D$4,DATOS_[[#This Row],[Fecha Fin Sit. Contract.]])</f>
        <v>0</v>
      </c>
      <c r="BP628" s="137" t="n">
        <f aca="false">+DATOS_[[#This Row],[% de jornada]]*IF(DATOS_[[#This Row],[% jornada reducida]]="",1,DATOS_[[#This Row],[% jornada reducida]])</f>
        <v>0</v>
      </c>
      <c r="BQ628" s="137" t="n">
        <f aca="false">+(DATOS_[[#This Row],[F.fin.cal]]-DATOS_[[#This Row],[F.ini.cal]]+1)/($D$4-$D$3+1)</f>
        <v>1</v>
      </c>
      <c r="BR628" s="137" t="str">
        <f aca="false">IF(OR(AND(DATOS_[[#This Row],[Fecha Fin Contrato]]&lt;$D$3,DATOS_[[#This Row],[Fecha Fin Contrato]]&lt;&gt;""),DATOS_[[#This Row],[Fecha de Contratación]]&gt;$D$4),"Fuera","Dentro")</f>
        <v>Dentro</v>
      </c>
      <c r="BS628" s="137" t="str">
        <f aca="false" t="array" ref="BS628:BS628">IF(MAX(IF(DATOS_[id]=DATOS_[[#This Row],[id]],DATOS_[F.fin.cal]))=DATOS_[[#This Row],[F.fin.cal]],"Sí","NO")</f>
        <v>Sí</v>
      </c>
      <c r="BT628" s="137" t="str">
        <f aca="false">IF(AND(DATOS_[[#This Row],[% normaliz]]&lt;&gt;1,DATOS_[[#This Row],[% anualiz]]=1),"Sí","NO")</f>
        <v>Sí</v>
      </c>
      <c r="BU628" s="137" t="str">
        <f aca="false">IF(AND(DATOS_[[#This Row],[% normaliz]]=1,DATOS_[[#This Row],[% anualiz]]&lt;&gt;1),"Sí","NO")</f>
        <v>NO</v>
      </c>
      <c r="BV628" s="137" t="str">
        <f aca="false">IF(AND(DATOS_[[#This Row],[% normaliz]]&lt;&gt;1,DATOS_[[#This Row],[% anualiz]]&lt;&gt;1),"Sí","NO")</f>
        <v>NO</v>
      </c>
      <c r="BW628" s="137" t="str">
        <f aca="false">+IF(DATOS_[[#This Row],[% normaliz]]*DATOS_[[#This Row],[% anualiz]]=1,"NO","Sí")</f>
        <v>Sí</v>
      </c>
      <c r="BX628" s="138" t="e">
        <f aca="false">(DATOS_[[#This Row],[S.BASE]]*(1/DATOS_[[#This Row],[% normaliz]])*(1/DATOS_[[#This Row],[% anualiz]]))*IF(DATOS_[[#This Row],[Check Equiparado]]="Sí",1,0)</f>
        <v>#DIV/0!</v>
      </c>
      <c r="BY6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8" s="138" t="e">
        <f aca="false">+DATOS_[[#This Row],[SALARIO BASE Eq]]+DATOS_[[#This Row],[Tot COMPL.SAL Eq]]</f>
        <v>#DIV/0!</v>
      </c>
      <c r="CA628" s="138" t="e">
        <f aca="false" t="array" ref="CA628:CA6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8" s="138" t="e">
        <f aca="false">+DATOS_[[#This Row],[TOTAL SALARIO Eq]]+DATOS_[[#This Row],[Tot Extrasalarial Eq]]</f>
        <v>#DIV/0!</v>
      </c>
      <c r="CC628" s="139" t="n">
        <f aca="false">DATOS_[[#This Row],[S.BASE]]</f>
        <v>0</v>
      </c>
      <c r="CD628" s="139" t="n">
        <f aca="false">+SUM(DATOS_[[#This Row],[Conc.Sal.01]:[Conc.Sal.30]])</f>
        <v>0</v>
      </c>
      <c r="CE628" s="139" t="n">
        <f aca="false">+DATOS_[[#This Row],[SALARIO BASE Ef]]+DATOS_[[#This Row],[Tot COMPL.SAL Ef]]</f>
        <v>0</v>
      </c>
      <c r="CF628" s="139" t="n">
        <f aca="false">+SUM(DATOS_[[#This Row],[C.Extra.01]:[C.Extra.05]])</f>
        <v>0</v>
      </c>
      <c r="CG628" s="139" t="n">
        <f aca="false">+DATOS_[[#This Row],[TOTAL SALARIO Ef]]+DATOS_[[#This Row],[Tot Extrasalarial Ef]]</f>
        <v>0</v>
      </c>
      <c r="CH628" s="140" t="n">
        <f aca="false">MIN(IF(DATOS_[[#This Row],[Fecha Fin Contrato]]="",$D$4,DATOS_[[#This Row],[Fecha Fin Contrato]]),$D$4)-MAX(DATOS_[[#This Row],[Fecha de Contratación]],$D$3)+1</f>
        <v>1</v>
      </c>
      <c r="CI628" s="141" t="str">
        <f aca="false">IF(COUNTIFS(DATOS_[id],DATOS_[[#This Row],[id]])&gt;1,DATOS_[[#This Row],[id]],"")</f>
        <v/>
      </c>
      <c r="CJ628" s="141" t="n">
        <f aca="false">(Inicio!$G$10-DATOS_[[#This Row],[Fecha Nacimiento]])/365.25</f>
        <v>0</v>
      </c>
      <c r="CK628" s="141" t="n">
        <f aca="false">(Inicio!$G$10-DATOS_[[#This Row],[Fecha de Antigüedad]])/365.25</f>
        <v>0</v>
      </c>
      <c r="CL628" s="141" t="e">
        <f aca="false">+VLOOKUP(DATOS_[[#This Row],[Clave de Contrato]],TblTiposContrato13[],3,0)</f>
        <v>#N/A</v>
      </c>
      <c r="CM628" s="141" t="e">
        <f aca="false">+VLOOKUP(DATOS_[[#This Row],[Clave de Contrato]],TblTiposContrato13[],4,0)</f>
        <v>#N/A</v>
      </c>
      <c r="CN628" s="141" t="str">
        <f aca="false">VLOOKUP(DATOS_[[#This Row],[Edad]],CONTRATOS!TblRngEdad,2,1)</f>
        <v>20  o menos</v>
      </c>
      <c r="CO628" s="141" t="str">
        <f aca="false">VLOOKUP(DATOS_[[#This Row],[Antigüedad]],TblRngAntg14[],2,1)</f>
        <v>0 a 1 años</v>
      </c>
    </row>
    <row r="629" customFormat="false" ht="13.8" hidden="false" customHeight="false" outlineLevel="0" collapsed="false">
      <c r="D629" s="128"/>
      <c r="E629" s="129"/>
      <c r="F629" s="129"/>
      <c r="G629" s="129"/>
      <c r="H629" s="130"/>
      <c r="I629" s="131"/>
      <c r="J629" s="128"/>
      <c r="K629" s="132"/>
      <c r="L629" s="132"/>
      <c r="M629" s="133"/>
      <c r="N629" s="133"/>
      <c r="O629" s="133"/>
      <c r="P629" s="129"/>
      <c r="Z629" s="75"/>
      <c r="AA629" s="76"/>
      <c r="AB629" s="76"/>
      <c r="AC629" s="129"/>
      <c r="AD629" s="134"/>
      <c r="AE629" s="134"/>
      <c r="AF629" s="134"/>
      <c r="AG629" s="134"/>
      <c r="AH629" s="134"/>
      <c r="AI629" s="134"/>
      <c r="AJ629" s="134"/>
      <c r="AK629" s="134"/>
      <c r="AL629" s="134"/>
      <c r="AM629" s="134"/>
      <c r="AN629" s="134"/>
      <c r="AO629" s="134"/>
      <c r="AP629" s="134"/>
      <c r="AQ629" s="134"/>
      <c r="AR629" s="134"/>
      <c r="AS629" s="134"/>
      <c r="AT629" s="134"/>
      <c r="AU629" s="134"/>
      <c r="AV629" s="134"/>
      <c r="AW629" s="134"/>
      <c r="AX629" s="134"/>
      <c r="AY629" s="134"/>
      <c r="AZ629" s="134"/>
      <c r="BA629" s="134"/>
      <c r="BB629" s="134"/>
      <c r="BC629" s="134"/>
      <c r="BD629" s="134"/>
      <c r="BE629" s="134"/>
      <c r="BF629" s="134"/>
      <c r="BG629" s="134"/>
      <c r="BH629" s="134"/>
      <c r="BI629" s="134"/>
      <c r="BJ629" s="134"/>
      <c r="BK629" s="134"/>
      <c r="BL629" s="134"/>
      <c r="BM629" s="135"/>
      <c r="BN629" s="136" t="n">
        <f aca="false">+MAX($D$3,DATOS_[[#This Row],[Fecha Inicio Sit. Contract.]])</f>
        <v>0</v>
      </c>
      <c r="BO629" s="136" t="n">
        <f aca="false">+MIN($D$4,DATOS_[[#This Row],[Fecha Fin Sit. Contract.]])</f>
        <v>0</v>
      </c>
      <c r="BP629" s="137" t="n">
        <f aca="false">+DATOS_[[#This Row],[% de jornada]]*IF(DATOS_[[#This Row],[% jornada reducida]]="",1,DATOS_[[#This Row],[% jornada reducida]])</f>
        <v>0</v>
      </c>
      <c r="BQ629" s="137" t="n">
        <f aca="false">+(DATOS_[[#This Row],[F.fin.cal]]-DATOS_[[#This Row],[F.ini.cal]]+1)/($D$4-$D$3+1)</f>
        <v>1</v>
      </c>
      <c r="BR629" s="137" t="str">
        <f aca="false">IF(OR(AND(DATOS_[[#This Row],[Fecha Fin Contrato]]&lt;$D$3,DATOS_[[#This Row],[Fecha Fin Contrato]]&lt;&gt;""),DATOS_[[#This Row],[Fecha de Contratación]]&gt;$D$4),"Fuera","Dentro")</f>
        <v>Dentro</v>
      </c>
      <c r="BS629" s="137" t="str">
        <f aca="false" t="array" ref="BS629:BS629">IF(MAX(IF(DATOS_[id]=DATOS_[[#This Row],[id]],DATOS_[F.fin.cal]))=DATOS_[[#This Row],[F.fin.cal]],"Sí","NO")</f>
        <v>Sí</v>
      </c>
      <c r="BT629" s="137" t="str">
        <f aca="false">IF(AND(DATOS_[[#This Row],[% normaliz]]&lt;&gt;1,DATOS_[[#This Row],[% anualiz]]=1),"Sí","NO")</f>
        <v>Sí</v>
      </c>
      <c r="BU629" s="137" t="str">
        <f aca="false">IF(AND(DATOS_[[#This Row],[% normaliz]]=1,DATOS_[[#This Row],[% anualiz]]&lt;&gt;1),"Sí","NO")</f>
        <v>NO</v>
      </c>
      <c r="BV629" s="137" t="str">
        <f aca="false">IF(AND(DATOS_[[#This Row],[% normaliz]]&lt;&gt;1,DATOS_[[#This Row],[% anualiz]]&lt;&gt;1),"Sí","NO")</f>
        <v>NO</v>
      </c>
      <c r="BW629" s="137" t="str">
        <f aca="false">+IF(DATOS_[[#This Row],[% normaliz]]*DATOS_[[#This Row],[% anualiz]]=1,"NO","Sí")</f>
        <v>Sí</v>
      </c>
      <c r="BX629" s="138" t="e">
        <f aca="false">(DATOS_[[#This Row],[S.BASE]]*(1/DATOS_[[#This Row],[% normaliz]])*(1/DATOS_[[#This Row],[% anualiz]]))*IF(DATOS_[[#This Row],[Check Equiparado]]="Sí",1,0)</f>
        <v>#DIV/0!</v>
      </c>
      <c r="BY6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9" s="138" t="e">
        <f aca="false">+DATOS_[[#This Row],[SALARIO BASE Eq]]+DATOS_[[#This Row],[Tot COMPL.SAL Eq]]</f>
        <v>#DIV/0!</v>
      </c>
      <c r="CA629" s="138" t="e">
        <f aca="false" t="array" ref="CA629:CA6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9" s="138" t="e">
        <f aca="false">+DATOS_[[#This Row],[TOTAL SALARIO Eq]]+DATOS_[[#This Row],[Tot Extrasalarial Eq]]</f>
        <v>#DIV/0!</v>
      </c>
      <c r="CC629" s="139" t="n">
        <f aca="false">DATOS_[[#This Row],[S.BASE]]</f>
        <v>0</v>
      </c>
      <c r="CD629" s="139" t="n">
        <f aca="false">+SUM(DATOS_[[#This Row],[Conc.Sal.01]:[Conc.Sal.30]])</f>
        <v>0</v>
      </c>
      <c r="CE629" s="139" t="n">
        <f aca="false">+DATOS_[[#This Row],[SALARIO BASE Ef]]+DATOS_[[#This Row],[Tot COMPL.SAL Ef]]</f>
        <v>0</v>
      </c>
      <c r="CF629" s="139" t="n">
        <f aca="false">+SUM(DATOS_[[#This Row],[C.Extra.01]:[C.Extra.05]])</f>
        <v>0</v>
      </c>
      <c r="CG629" s="139" t="n">
        <f aca="false">+DATOS_[[#This Row],[TOTAL SALARIO Ef]]+DATOS_[[#This Row],[Tot Extrasalarial Ef]]</f>
        <v>0</v>
      </c>
      <c r="CH629" s="140" t="n">
        <f aca="false">MIN(IF(DATOS_[[#This Row],[Fecha Fin Contrato]]="",$D$4,DATOS_[[#This Row],[Fecha Fin Contrato]]),$D$4)-MAX(DATOS_[[#This Row],[Fecha de Contratación]],$D$3)+1</f>
        <v>1</v>
      </c>
      <c r="CI629" s="141" t="str">
        <f aca="false">IF(COUNTIFS(DATOS_[id],DATOS_[[#This Row],[id]])&gt;1,DATOS_[[#This Row],[id]],"")</f>
        <v/>
      </c>
      <c r="CJ629" s="141" t="n">
        <f aca="false">(Inicio!$G$10-DATOS_[[#This Row],[Fecha Nacimiento]])/365.25</f>
        <v>0</v>
      </c>
      <c r="CK629" s="141" t="n">
        <f aca="false">(Inicio!$G$10-DATOS_[[#This Row],[Fecha de Antigüedad]])/365.25</f>
        <v>0</v>
      </c>
      <c r="CL629" s="141" t="e">
        <f aca="false">+VLOOKUP(DATOS_[[#This Row],[Clave de Contrato]],TblTiposContrato13[],3,0)</f>
        <v>#N/A</v>
      </c>
      <c r="CM629" s="141" t="e">
        <f aca="false">+VLOOKUP(DATOS_[[#This Row],[Clave de Contrato]],TblTiposContrato13[],4,0)</f>
        <v>#N/A</v>
      </c>
      <c r="CN629" s="141" t="str">
        <f aca="false">VLOOKUP(DATOS_[[#This Row],[Edad]],CONTRATOS!TblRngEdad,2,1)</f>
        <v>20  o menos</v>
      </c>
      <c r="CO629" s="141" t="str">
        <f aca="false">VLOOKUP(DATOS_[[#This Row],[Antigüedad]],TblRngAntg14[],2,1)</f>
        <v>0 a 1 años</v>
      </c>
    </row>
    <row r="630" customFormat="false" ht="13.8" hidden="false" customHeight="false" outlineLevel="0" collapsed="false">
      <c r="D630" s="128"/>
      <c r="E630" s="129"/>
      <c r="F630" s="129"/>
      <c r="G630" s="129"/>
      <c r="H630" s="130"/>
      <c r="I630" s="131"/>
      <c r="J630" s="128"/>
      <c r="K630" s="132"/>
      <c r="L630" s="132"/>
      <c r="M630" s="133"/>
      <c r="N630" s="133"/>
      <c r="O630" s="133"/>
      <c r="P630" s="129"/>
      <c r="Z630" s="75"/>
      <c r="AA630" s="76"/>
      <c r="AB630" s="76"/>
      <c r="AC630" s="129"/>
      <c r="AD630" s="134"/>
      <c r="AE630" s="134"/>
      <c r="AF630" s="134"/>
      <c r="AG630" s="134"/>
      <c r="AH630" s="134"/>
      <c r="AI630" s="134"/>
      <c r="AJ630" s="134"/>
      <c r="AK630" s="134"/>
      <c r="AL630" s="134"/>
      <c r="AM630" s="134"/>
      <c r="AN630" s="134"/>
      <c r="AO630" s="134"/>
      <c r="AP630" s="134"/>
      <c r="AQ630" s="134"/>
      <c r="AR630" s="134"/>
      <c r="AS630" s="134"/>
      <c r="AT630" s="134"/>
      <c r="AU630" s="134"/>
      <c r="AV630" s="134"/>
      <c r="AW630" s="134"/>
      <c r="AX630" s="134"/>
      <c r="AY630" s="134"/>
      <c r="AZ630" s="134"/>
      <c r="BA630" s="134"/>
      <c r="BB630" s="134"/>
      <c r="BC630" s="134"/>
      <c r="BD630" s="134"/>
      <c r="BE630" s="134"/>
      <c r="BF630" s="134"/>
      <c r="BG630" s="134"/>
      <c r="BH630" s="134"/>
      <c r="BI630" s="134"/>
      <c r="BJ630" s="134"/>
      <c r="BK630" s="134"/>
      <c r="BL630" s="134"/>
      <c r="BM630" s="135"/>
      <c r="BN630" s="136" t="n">
        <f aca="false">+MAX($D$3,DATOS_[[#This Row],[Fecha Inicio Sit. Contract.]])</f>
        <v>0</v>
      </c>
      <c r="BO630" s="136" t="n">
        <f aca="false">+MIN($D$4,DATOS_[[#This Row],[Fecha Fin Sit. Contract.]])</f>
        <v>0</v>
      </c>
      <c r="BP630" s="137" t="n">
        <f aca="false">+DATOS_[[#This Row],[% de jornada]]*IF(DATOS_[[#This Row],[% jornada reducida]]="",1,DATOS_[[#This Row],[% jornada reducida]])</f>
        <v>0</v>
      </c>
      <c r="BQ630" s="137" t="n">
        <f aca="false">+(DATOS_[[#This Row],[F.fin.cal]]-DATOS_[[#This Row],[F.ini.cal]]+1)/($D$4-$D$3+1)</f>
        <v>1</v>
      </c>
      <c r="BR630" s="137" t="str">
        <f aca="false">IF(OR(AND(DATOS_[[#This Row],[Fecha Fin Contrato]]&lt;$D$3,DATOS_[[#This Row],[Fecha Fin Contrato]]&lt;&gt;""),DATOS_[[#This Row],[Fecha de Contratación]]&gt;$D$4),"Fuera","Dentro")</f>
        <v>Dentro</v>
      </c>
      <c r="BS630" s="137" t="str">
        <f aca="false" t="array" ref="BS630:BS630">IF(MAX(IF(DATOS_[id]=DATOS_[[#This Row],[id]],DATOS_[F.fin.cal]))=DATOS_[[#This Row],[F.fin.cal]],"Sí","NO")</f>
        <v>Sí</v>
      </c>
      <c r="BT630" s="137" t="str">
        <f aca="false">IF(AND(DATOS_[[#This Row],[% normaliz]]&lt;&gt;1,DATOS_[[#This Row],[% anualiz]]=1),"Sí","NO")</f>
        <v>Sí</v>
      </c>
      <c r="BU630" s="137" t="str">
        <f aca="false">IF(AND(DATOS_[[#This Row],[% normaliz]]=1,DATOS_[[#This Row],[% anualiz]]&lt;&gt;1),"Sí","NO")</f>
        <v>NO</v>
      </c>
      <c r="BV630" s="137" t="str">
        <f aca="false">IF(AND(DATOS_[[#This Row],[% normaliz]]&lt;&gt;1,DATOS_[[#This Row],[% anualiz]]&lt;&gt;1),"Sí","NO")</f>
        <v>NO</v>
      </c>
      <c r="BW630" s="137" t="str">
        <f aca="false">+IF(DATOS_[[#This Row],[% normaliz]]*DATOS_[[#This Row],[% anualiz]]=1,"NO","Sí")</f>
        <v>Sí</v>
      </c>
      <c r="BX630" s="138" t="e">
        <f aca="false">(DATOS_[[#This Row],[S.BASE]]*(1/DATOS_[[#This Row],[% normaliz]])*(1/DATOS_[[#This Row],[% anualiz]]))*IF(DATOS_[[#This Row],[Check Equiparado]]="Sí",1,0)</f>
        <v>#DIV/0!</v>
      </c>
      <c r="BY6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0" s="138" t="e">
        <f aca="false">+DATOS_[[#This Row],[SALARIO BASE Eq]]+DATOS_[[#This Row],[Tot COMPL.SAL Eq]]</f>
        <v>#DIV/0!</v>
      </c>
      <c r="CA630" s="138" t="e">
        <f aca="false" t="array" ref="CA630:CA6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0" s="138" t="e">
        <f aca="false">+DATOS_[[#This Row],[TOTAL SALARIO Eq]]+DATOS_[[#This Row],[Tot Extrasalarial Eq]]</f>
        <v>#DIV/0!</v>
      </c>
      <c r="CC630" s="139" t="n">
        <f aca="false">DATOS_[[#This Row],[S.BASE]]</f>
        <v>0</v>
      </c>
      <c r="CD630" s="139" t="n">
        <f aca="false">+SUM(DATOS_[[#This Row],[Conc.Sal.01]:[Conc.Sal.30]])</f>
        <v>0</v>
      </c>
      <c r="CE630" s="139" t="n">
        <f aca="false">+DATOS_[[#This Row],[SALARIO BASE Ef]]+DATOS_[[#This Row],[Tot COMPL.SAL Ef]]</f>
        <v>0</v>
      </c>
      <c r="CF630" s="139" t="n">
        <f aca="false">+SUM(DATOS_[[#This Row],[C.Extra.01]:[C.Extra.05]])</f>
        <v>0</v>
      </c>
      <c r="CG630" s="139" t="n">
        <f aca="false">+DATOS_[[#This Row],[TOTAL SALARIO Ef]]+DATOS_[[#This Row],[Tot Extrasalarial Ef]]</f>
        <v>0</v>
      </c>
      <c r="CH630" s="140" t="n">
        <f aca="false">MIN(IF(DATOS_[[#This Row],[Fecha Fin Contrato]]="",$D$4,DATOS_[[#This Row],[Fecha Fin Contrato]]),$D$4)-MAX(DATOS_[[#This Row],[Fecha de Contratación]],$D$3)+1</f>
        <v>1</v>
      </c>
      <c r="CI630" s="141" t="str">
        <f aca="false">IF(COUNTIFS(DATOS_[id],DATOS_[[#This Row],[id]])&gt;1,DATOS_[[#This Row],[id]],"")</f>
        <v/>
      </c>
      <c r="CJ630" s="141" t="n">
        <f aca="false">(Inicio!$G$10-DATOS_[[#This Row],[Fecha Nacimiento]])/365.25</f>
        <v>0</v>
      </c>
      <c r="CK630" s="141" t="n">
        <f aca="false">(Inicio!$G$10-DATOS_[[#This Row],[Fecha de Antigüedad]])/365.25</f>
        <v>0</v>
      </c>
      <c r="CL630" s="141" t="e">
        <f aca="false">+VLOOKUP(DATOS_[[#This Row],[Clave de Contrato]],TblTiposContrato13[],3,0)</f>
        <v>#N/A</v>
      </c>
      <c r="CM630" s="141" t="e">
        <f aca="false">+VLOOKUP(DATOS_[[#This Row],[Clave de Contrato]],TblTiposContrato13[],4,0)</f>
        <v>#N/A</v>
      </c>
      <c r="CN630" s="141" t="str">
        <f aca="false">VLOOKUP(DATOS_[[#This Row],[Edad]],CONTRATOS!TblRngEdad,2,1)</f>
        <v>20  o menos</v>
      </c>
      <c r="CO630" s="141" t="str">
        <f aca="false">VLOOKUP(DATOS_[[#This Row],[Antigüedad]],TblRngAntg14[],2,1)</f>
        <v>0 a 1 años</v>
      </c>
    </row>
    <row r="631" customFormat="false" ht="13.8" hidden="false" customHeight="false" outlineLevel="0" collapsed="false">
      <c r="D631" s="128"/>
      <c r="E631" s="129"/>
      <c r="F631" s="129"/>
      <c r="G631" s="129"/>
      <c r="H631" s="130"/>
      <c r="I631" s="131"/>
      <c r="J631" s="128"/>
      <c r="K631" s="132"/>
      <c r="L631" s="132"/>
      <c r="M631" s="133"/>
      <c r="N631" s="133"/>
      <c r="O631" s="133"/>
      <c r="P631" s="129"/>
      <c r="Z631" s="75"/>
      <c r="AA631" s="76"/>
      <c r="AB631" s="76"/>
      <c r="AC631" s="129"/>
      <c r="AD631" s="134"/>
      <c r="AE631" s="134"/>
      <c r="AF631" s="134"/>
      <c r="AG631" s="134"/>
      <c r="AH631" s="134"/>
      <c r="AI631" s="134"/>
      <c r="AJ631" s="134"/>
      <c r="AK631" s="134"/>
      <c r="AL631" s="134"/>
      <c r="AM631" s="134"/>
      <c r="AN631" s="134"/>
      <c r="AO631" s="134"/>
      <c r="AP631" s="134"/>
      <c r="AQ631" s="134"/>
      <c r="AR631" s="134"/>
      <c r="AS631" s="134"/>
      <c r="AT631" s="134"/>
      <c r="AU631" s="134"/>
      <c r="AV631" s="134"/>
      <c r="AW631" s="134"/>
      <c r="AX631" s="134"/>
      <c r="AY631" s="134"/>
      <c r="AZ631" s="134"/>
      <c r="BA631" s="134"/>
      <c r="BB631" s="134"/>
      <c r="BC631" s="134"/>
      <c r="BD631" s="134"/>
      <c r="BE631" s="134"/>
      <c r="BF631" s="134"/>
      <c r="BG631" s="134"/>
      <c r="BH631" s="134"/>
      <c r="BI631" s="134"/>
      <c r="BJ631" s="134"/>
      <c r="BK631" s="134"/>
      <c r="BL631" s="134"/>
      <c r="BM631" s="135"/>
      <c r="BN631" s="136" t="n">
        <f aca="false">+MAX($D$3,DATOS_[[#This Row],[Fecha Inicio Sit. Contract.]])</f>
        <v>0</v>
      </c>
      <c r="BO631" s="136" t="n">
        <f aca="false">+MIN($D$4,DATOS_[[#This Row],[Fecha Fin Sit. Contract.]])</f>
        <v>0</v>
      </c>
      <c r="BP631" s="137" t="n">
        <f aca="false">+DATOS_[[#This Row],[% de jornada]]*IF(DATOS_[[#This Row],[% jornada reducida]]="",1,DATOS_[[#This Row],[% jornada reducida]])</f>
        <v>0</v>
      </c>
      <c r="BQ631" s="137" t="n">
        <f aca="false">+(DATOS_[[#This Row],[F.fin.cal]]-DATOS_[[#This Row],[F.ini.cal]]+1)/($D$4-$D$3+1)</f>
        <v>1</v>
      </c>
      <c r="BR631" s="137" t="str">
        <f aca="false">IF(OR(AND(DATOS_[[#This Row],[Fecha Fin Contrato]]&lt;$D$3,DATOS_[[#This Row],[Fecha Fin Contrato]]&lt;&gt;""),DATOS_[[#This Row],[Fecha de Contratación]]&gt;$D$4),"Fuera","Dentro")</f>
        <v>Dentro</v>
      </c>
      <c r="BS631" s="137" t="str">
        <f aca="false" t="array" ref="BS631:BS631">IF(MAX(IF(DATOS_[id]=DATOS_[[#This Row],[id]],DATOS_[F.fin.cal]))=DATOS_[[#This Row],[F.fin.cal]],"Sí","NO")</f>
        <v>Sí</v>
      </c>
      <c r="BT631" s="137" t="str">
        <f aca="false">IF(AND(DATOS_[[#This Row],[% normaliz]]&lt;&gt;1,DATOS_[[#This Row],[% anualiz]]=1),"Sí","NO")</f>
        <v>Sí</v>
      </c>
      <c r="BU631" s="137" t="str">
        <f aca="false">IF(AND(DATOS_[[#This Row],[% normaliz]]=1,DATOS_[[#This Row],[% anualiz]]&lt;&gt;1),"Sí","NO")</f>
        <v>NO</v>
      </c>
      <c r="BV631" s="137" t="str">
        <f aca="false">IF(AND(DATOS_[[#This Row],[% normaliz]]&lt;&gt;1,DATOS_[[#This Row],[% anualiz]]&lt;&gt;1),"Sí","NO")</f>
        <v>NO</v>
      </c>
      <c r="BW631" s="137" t="str">
        <f aca="false">+IF(DATOS_[[#This Row],[% normaliz]]*DATOS_[[#This Row],[% anualiz]]=1,"NO","Sí")</f>
        <v>Sí</v>
      </c>
      <c r="BX631" s="138" t="e">
        <f aca="false">(DATOS_[[#This Row],[S.BASE]]*(1/DATOS_[[#This Row],[% normaliz]])*(1/DATOS_[[#This Row],[% anualiz]]))*IF(DATOS_[[#This Row],[Check Equiparado]]="Sí",1,0)</f>
        <v>#DIV/0!</v>
      </c>
      <c r="BY6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1" s="138" t="e">
        <f aca="false">+DATOS_[[#This Row],[SALARIO BASE Eq]]+DATOS_[[#This Row],[Tot COMPL.SAL Eq]]</f>
        <v>#DIV/0!</v>
      </c>
      <c r="CA631" s="138" t="e">
        <f aca="false" t="array" ref="CA631:CA6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1" s="138" t="e">
        <f aca="false">+DATOS_[[#This Row],[TOTAL SALARIO Eq]]+DATOS_[[#This Row],[Tot Extrasalarial Eq]]</f>
        <v>#DIV/0!</v>
      </c>
      <c r="CC631" s="139" t="n">
        <f aca="false">DATOS_[[#This Row],[S.BASE]]</f>
        <v>0</v>
      </c>
      <c r="CD631" s="139" t="n">
        <f aca="false">+SUM(DATOS_[[#This Row],[Conc.Sal.01]:[Conc.Sal.30]])</f>
        <v>0</v>
      </c>
      <c r="CE631" s="139" t="n">
        <f aca="false">+DATOS_[[#This Row],[SALARIO BASE Ef]]+DATOS_[[#This Row],[Tot COMPL.SAL Ef]]</f>
        <v>0</v>
      </c>
      <c r="CF631" s="139" t="n">
        <f aca="false">+SUM(DATOS_[[#This Row],[C.Extra.01]:[C.Extra.05]])</f>
        <v>0</v>
      </c>
      <c r="CG631" s="139" t="n">
        <f aca="false">+DATOS_[[#This Row],[TOTAL SALARIO Ef]]+DATOS_[[#This Row],[Tot Extrasalarial Ef]]</f>
        <v>0</v>
      </c>
      <c r="CH631" s="140" t="n">
        <f aca="false">MIN(IF(DATOS_[[#This Row],[Fecha Fin Contrato]]="",$D$4,DATOS_[[#This Row],[Fecha Fin Contrato]]),$D$4)-MAX(DATOS_[[#This Row],[Fecha de Contratación]],$D$3)+1</f>
        <v>1</v>
      </c>
      <c r="CI631" s="141" t="str">
        <f aca="false">IF(COUNTIFS(DATOS_[id],DATOS_[[#This Row],[id]])&gt;1,DATOS_[[#This Row],[id]],"")</f>
        <v/>
      </c>
      <c r="CJ631" s="141" t="n">
        <f aca="false">(Inicio!$G$10-DATOS_[[#This Row],[Fecha Nacimiento]])/365.25</f>
        <v>0</v>
      </c>
      <c r="CK631" s="141" t="n">
        <f aca="false">(Inicio!$G$10-DATOS_[[#This Row],[Fecha de Antigüedad]])/365.25</f>
        <v>0</v>
      </c>
      <c r="CL631" s="141" t="e">
        <f aca="false">+VLOOKUP(DATOS_[[#This Row],[Clave de Contrato]],TblTiposContrato13[],3,0)</f>
        <v>#N/A</v>
      </c>
      <c r="CM631" s="141" t="e">
        <f aca="false">+VLOOKUP(DATOS_[[#This Row],[Clave de Contrato]],TblTiposContrato13[],4,0)</f>
        <v>#N/A</v>
      </c>
      <c r="CN631" s="141" t="str">
        <f aca="false">VLOOKUP(DATOS_[[#This Row],[Edad]],CONTRATOS!TblRngEdad,2,1)</f>
        <v>20  o menos</v>
      </c>
      <c r="CO631" s="141" t="str">
        <f aca="false">VLOOKUP(DATOS_[[#This Row],[Antigüedad]],TblRngAntg14[],2,1)</f>
        <v>0 a 1 años</v>
      </c>
    </row>
    <row r="632" customFormat="false" ht="13.8" hidden="false" customHeight="false" outlineLevel="0" collapsed="false">
      <c r="D632" s="128"/>
      <c r="E632" s="129"/>
      <c r="F632" s="129"/>
      <c r="G632" s="129"/>
      <c r="H632" s="130"/>
      <c r="I632" s="131"/>
      <c r="J632" s="128"/>
      <c r="K632" s="132"/>
      <c r="L632" s="132"/>
      <c r="M632" s="133"/>
      <c r="N632" s="133"/>
      <c r="O632" s="133"/>
      <c r="P632" s="129"/>
      <c r="Z632" s="75"/>
      <c r="AA632" s="76"/>
      <c r="AB632" s="76"/>
      <c r="AC632" s="129"/>
      <c r="AD632" s="134"/>
      <c r="AE632" s="134"/>
      <c r="AF632" s="134"/>
      <c r="AG632" s="134"/>
      <c r="AH632" s="134"/>
      <c r="AI632" s="134"/>
      <c r="AJ632" s="134"/>
      <c r="AK632" s="134"/>
      <c r="AL632" s="134"/>
      <c r="AM632" s="134"/>
      <c r="AN632" s="134"/>
      <c r="AO632" s="134"/>
      <c r="AP632" s="134"/>
      <c r="AQ632" s="134"/>
      <c r="AR632" s="134"/>
      <c r="AS632" s="134"/>
      <c r="AT632" s="134"/>
      <c r="AU632" s="134"/>
      <c r="AV632" s="134"/>
      <c r="AW632" s="134"/>
      <c r="AX632" s="134"/>
      <c r="AY632" s="134"/>
      <c r="AZ632" s="134"/>
      <c r="BA632" s="134"/>
      <c r="BB632" s="134"/>
      <c r="BC632" s="134"/>
      <c r="BD632" s="134"/>
      <c r="BE632" s="134"/>
      <c r="BF632" s="134"/>
      <c r="BG632" s="134"/>
      <c r="BH632" s="134"/>
      <c r="BI632" s="134"/>
      <c r="BJ632" s="134"/>
      <c r="BK632" s="134"/>
      <c r="BL632" s="134"/>
      <c r="BM632" s="135"/>
      <c r="BN632" s="136" t="n">
        <f aca="false">+MAX($D$3,DATOS_[[#This Row],[Fecha Inicio Sit. Contract.]])</f>
        <v>0</v>
      </c>
      <c r="BO632" s="136" t="n">
        <f aca="false">+MIN($D$4,DATOS_[[#This Row],[Fecha Fin Sit. Contract.]])</f>
        <v>0</v>
      </c>
      <c r="BP632" s="137" t="n">
        <f aca="false">+DATOS_[[#This Row],[% de jornada]]*IF(DATOS_[[#This Row],[% jornada reducida]]="",1,DATOS_[[#This Row],[% jornada reducida]])</f>
        <v>0</v>
      </c>
      <c r="BQ632" s="137" t="n">
        <f aca="false">+(DATOS_[[#This Row],[F.fin.cal]]-DATOS_[[#This Row],[F.ini.cal]]+1)/($D$4-$D$3+1)</f>
        <v>1</v>
      </c>
      <c r="BR632" s="137" t="str">
        <f aca="false">IF(OR(AND(DATOS_[[#This Row],[Fecha Fin Contrato]]&lt;$D$3,DATOS_[[#This Row],[Fecha Fin Contrato]]&lt;&gt;""),DATOS_[[#This Row],[Fecha de Contratación]]&gt;$D$4),"Fuera","Dentro")</f>
        <v>Dentro</v>
      </c>
      <c r="BS632" s="137" t="str">
        <f aca="false" t="array" ref="BS632:BS632">IF(MAX(IF(DATOS_[id]=DATOS_[[#This Row],[id]],DATOS_[F.fin.cal]))=DATOS_[[#This Row],[F.fin.cal]],"Sí","NO")</f>
        <v>Sí</v>
      </c>
      <c r="BT632" s="137" t="str">
        <f aca="false">IF(AND(DATOS_[[#This Row],[% normaliz]]&lt;&gt;1,DATOS_[[#This Row],[% anualiz]]=1),"Sí","NO")</f>
        <v>Sí</v>
      </c>
      <c r="BU632" s="137" t="str">
        <f aca="false">IF(AND(DATOS_[[#This Row],[% normaliz]]=1,DATOS_[[#This Row],[% anualiz]]&lt;&gt;1),"Sí","NO")</f>
        <v>NO</v>
      </c>
      <c r="BV632" s="137" t="str">
        <f aca="false">IF(AND(DATOS_[[#This Row],[% normaliz]]&lt;&gt;1,DATOS_[[#This Row],[% anualiz]]&lt;&gt;1),"Sí","NO")</f>
        <v>NO</v>
      </c>
      <c r="BW632" s="137" t="str">
        <f aca="false">+IF(DATOS_[[#This Row],[% normaliz]]*DATOS_[[#This Row],[% anualiz]]=1,"NO","Sí")</f>
        <v>Sí</v>
      </c>
      <c r="BX632" s="138" t="e">
        <f aca="false">(DATOS_[[#This Row],[S.BASE]]*(1/DATOS_[[#This Row],[% normaliz]])*(1/DATOS_[[#This Row],[% anualiz]]))*IF(DATOS_[[#This Row],[Check Equiparado]]="Sí",1,0)</f>
        <v>#DIV/0!</v>
      </c>
      <c r="BY6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2" s="138" t="e">
        <f aca="false">+DATOS_[[#This Row],[SALARIO BASE Eq]]+DATOS_[[#This Row],[Tot COMPL.SAL Eq]]</f>
        <v>#DIV/0!</v>
      </c>
      <c r="CA632" s="138" t="e">
        <f aca="false" t="array" ref="CA632:CA6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2" s="138" t="e">
        <f aca="false">+DATOS_[[#This Row],[TOTAL SALARIO Eq]]+DATOS_[[#This Row],[Tot Extrasalarial Eq]]</f>
        <v>#DIV/0!</v>
      </c>
      <c r="CC632" s="139" t="n">
        <f aca="false">DATOS_[[#This Row],[S.BASE]]</f>
        <v>0</v>
      </c>
      <c r="CD632" s="139" t="n">
        <f aca="false">+SUM(DATOS_[[#This Row],[Conc.Sal.01]:[Conc.Sal.30]])</f>
        <v>0</v>
      </c>
      <c r="CE632" s="139" t="n">
        <f aca="false">+DATOS_[[#This Row],[SALARIO BASE Ef]]+DATOS_[[#This Row],[Tot COMPL.SAL Ef]]</f>
        <v>0</v>
      </c>
      <c r="CF632" s="139" t="n">
        <f aca="false">+SUM(DATOS_[[#This Row],[C.Extra.01]:[C.Extra.05]])</f>
        <v>0</v>
      </c>
      <c r="CG632" s="139" t="n">
        <f aca="false">+DATOS_[[#This Row],[TOTAL SALARIO Ef]]+DATOS_[[#This Row],[Tot Extrasalarial Ef]]</f>
        <v>0</v>
      </c>
      <c r="CH632" s="140" t="n">
        <f aca="false">MIN(IF(DATOS_[[#This Row],[Fecha Fin Contrato]]="",$D$4,DATOS_[[#This Row],[Fecha Fin Contrato]]),$D$4)-MAX(DATOS_[[#This Row],[Fecha de Contratación]],$D$3)+1</f>
        <v>1</v>
      </c>
      <c r="CI632" s="141" t="str">
        <f aca="false">IF(COUNTIFS(DATOS_[id],DATOS_[[#This Row],[id]])&gt;1,DATOS_[[#This Row],[id]],"")</f>
        <v/>
      </c>
      <c r="CJ632" s="141" t="n">
        <f aca="false">(Inicio!$G$10-DATOS_[[#This Row],[Fecha Nacimiento]])/365.25</f>
        <v>0</v>
      </c>
      <c r="CK632" s="141" t="n">
        <f aca="false">(Inicio!$G$10-DATOS_[[#This Row],[Fecha de Antigüedad]])/365.25</f>
        <v>0</v>
      </c>
      <c r="CL632" s="141" t="e">
        <f aca="false">+VLOOKUP(DATOS_[[#This Row],[Clave de Contrato]],TblTiposContrato13[],3,0)</f>
        <v>#N/A</v>
      </c>
      <c r="CM632" s="141" t="e">
        <f aca="false">+VLOOKUP(DATOS_[[#This Row],[Clave de Contrato]],TblTiposContrato13[],4,0)</f>
        <v>#N/A</v>
      </c>
      <c r="CN632" s="141" t="str">
        <f aca="false">VLOOKUP(DATOS_[[#This Row],[Edad]],CONTRATOS!TblRngEdad,2,1)</f>
        <v>20  o menos</v>
      </c>
      <c r="CO632" s="141" t="str">
        <f aca="false">VLOOKUP(DATOS_[[#This Row],[Antigüedad]],TblRngAntg14[],2,1)</f>
        <v>0 a 1 años</v>
      </c>
    </row>
    <row r="633" customFormat="false" ht="13.8" hidden="false" customHeight="false" outlineLevel="0" collapsed="false">
      <c r="D633" s="128"/>
      <c r="E633" s="129"/>
      <c r="F633" s="129"/>
      <c r="G633" s="129"/>
      <c r="H633" s="130"/>
      <c r="I633" s="131"/>
      <c r="J633" s="128"/>
      <c r="K633" s="132"/>
      <c r="L633" s="132"/>
      <c r="M633" s="133"/>
      <c r="N633" s="133"/>
      <c r="O633" s="133"/>
      <c r="P633" s="129"/>
      <c r="Z633" s="75"/>
      <c r="AA633" s="76"/>
      <c r="AB633" s="76"/>
      <c r="AC633" s="129"/>
      <c r="AD633" s="134"/>
      <c r="AE633" s="134"/>
      <c r="AF633" s="134"/>
      <c r="AG633" s="134"/>
      <c r="AH633" s="134"/>
      <c r="AI633" s="134"/>
      <c r="AJ633" s="134"/>
      <c r="AK633" s="134"/>
      <c r="AL633" s="134"/>
      <c r="AM633" s="134"/>
      <c r="AN633" s="134"/>
      <c r="AO633" s="134"/>
      <c r="AP633" s="134"/>
      <c r="AQ633" s="134"/>
      <c r="AR633" s="134"/>
      <c r="AS633" s="134"/>
      <c r="AT633" s="134"/>
      <c r="AU633" s="134"/>
      <c r="AV633" s="134"/>
      <c r="AW633" s="134"/>
      <c r="AX633" s="134"/>
      <c r="AY633" s="134"/>
      <c r="AZ633" s="134"/>
      <c r="BA633" s="134"/>
      <c r="BB633" s="134"/>
      <c r="BC633" s="134"/>
      <c r="BD633" s="134"/>
      <c r="BE633" s="134"/>
      <c r="BF633" s="134"/>
      <c r="BG633" s="134"/>
      <c r="BH633" s="134"/>
      <c r="BI633" s="134"/>
      <c r="BJ633" s="134"/>
      <c r="BK633" s="134"/>
      <c r="BL633" s="134"/>
      <c r="BM633" s="135"/>
      <c r="BN633" s="136" t="n">
        <f aca="false">+MAX($D$3,DATOS_[[#This Row],[Fecha Inicio Sit. Contract.]])</f>
        <v>0</v>
      </c>
      <c r="BO633" s="136" t="n">
        <f aca="false">+MIN($D$4,DATOS_[[#This Row],[Fecha Fin Sit. Contract.]])</f>
        <v>0</v>
      </c>
      <c r="BP633" s="137" t="n">
        <f aca="false">+DATOS_[[#This Row],[% de jornada]]*IF(DATOS_[[#This Row],[% jornada reducida]]="",1,DATOS_[[#This Row],[% jornada reducida]])</f>
        <v>0</v>
      </c>
      <c r="BQ633" s="137" t="n">
        <f aca="false">+(DATOS_[[#This Row],[F.fin.cal]]-DATOS_[[#This Row],[F.ini.cal]]+1)/($D$4-$D$3+1)</f>
        <v>1</v>
      </c>
      <c r="BR633" s="137" t="str">
        <f aca="false">IF(OR(AND(DATOS_[[#This Row],[Fecha Fin Contrato]]&lt;$D$3,DATOS_[[#This Row],[Fecha Fin Contrato]]&lt;&gt;""),DATOS_[[#This Row],[Fecha de Contratación]]&gt;$D$4),"Fuera","Dentro")</f>
        <v>Dentro</v>
      </c>
      <c r="BS633" s="137" t="str">
        <f aca="false" t="array" ref="BS633:BS633">IF(MAX(IF(DATOS_[id]=DATOS_[[#This Row],[id]],DATOS_[F.fin.cal]))=DATOS_[[#This Row],[F.fin.cal]],"Sí","NO")</f>
        <v>Sí</v>
      </c>
      <c r="BT633" s="137" t="str">
        <f aca="false">IF(AND(DATOS_[[#This Row],[% normaliz]]&lt;&gt;1,DATOS_[[#This Row],[% anualiz]]=1),"Sí","NO")</f>
        <v>Sí</v>
      </c>
      <c r="BU633" s="137" t="str">
        <f aca="false">IF(AND(DATOS_[[#This Row],[% normaliz]]=1,DATOS_[[#This Row],[% anualiz]]&lt;&gt;1),"Sí","NO")</f>
        <v>NO</v>
      </c>
      <c r="BV633" s="137" t="str">
        <f aca="false">IF(AND(DATOS_[[#This Row],[% normaliz]]&lt;&gt;1,DATOS_[[#This Row],[% anualiz]]&lt;&gt;1),"Sí","NO")</f>
        <v>NO</v>
      </c>
      <c r="BW633" s="137" t="str">
        <f aca="false">+IF(DATOS_[[#This Row],[% normaliz]]*DATOS_[[#This Row],[% anualiz]]=1,"NO","Sí")</f>
        <v>Sí</v>
      </c>
      <c r="BX633" s="138" t="e">
        <f aca="false">(DATOS_[[#This Row],[S.BASE]]*(1/DATOS_[[#This Row],[% normaliz]])*(1/DATOS_[[#This Row],[% anualiz]]))*IF(DATOS_[[#This Row],[Check Equiparado]]="Sí",1,0)</f>
        <v>#DIV/0!</v>
      </c>
      <c r="BY6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3" s="138" t="e">
        <f aca="false">+DATOS_[[#This Row],[SALARIO BASE Eq]]+DATOS_[[#This Row],[Tot COMPL.SAL Eq]]</f>
        <v>#DIV/0!</v>
      </c>
      <c r="CA633" s="138" t="e">
        <f aca="false" t="array" ref="CA633:CA6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3" s="138" t="e">
        <f aca="false">+DATOS_[[#This Row],[TOTAL SALARIO Eq]]+DATOS_[[#This Row],[Tot Extrasalarial Eq]]</f>
        <v>#DIV/0!</v>
      </c>
      <c r="CC633" s="139" t="n">
        <f aca="false">DATOS_[[#This Row],[S.BASE]]</f>
        <v>0</v>
      </c>
      <c r="CD633" s="139" t="n">
        <f aca="false">+SUM(DATOS_[[#This Row],[Conc.Sal.01]:[Conc.Sal.30]])</f>
        <v>0</v>
      </c>
      <c r="CE633" s="139" t="n">
        <f aca="false">+DATOS_[[#This Row],[SALARIO BASE Ef]]+DATOS_[[#This Row],[Tot COMPL.SAL Ef]]</f>
        <v>0</v>
      </c>
      <c r="CF633" s="139" t="n">
        <f aca="false">+SUM(DATOS_[[#This Row],[C.Extra.01]:[C.Extra.05]])</f>
        <v>0</v>
      </c>
      <c r="CG633" s="139" t="n">
        <f aca="false">+DATOS_[[#This Row],[TOTAL SALARIO Ef]]+DATOS_[[#This Row],[Tot Extrasalarial Ef]]</f>
        <v>0</v>
      </c>
      <c r="CH633" s="140" t="n">
        <f aca="false">MIN(IF(DATOS_[[#This Row],[Fecha Fin Contrato]]="",$D$4,DATOS_[[#This Row],[Fecha Fin Contrato]]),$D$4)-MAX(DATOS_[[#This Row],[Fecha de Contratación]],$D$3)+1</f>
        <v>1</v>
      </c>
      <c r="CI633" s="141" t="str">
        <f aca="false">IF(COUNTIFS(DATOS_[id],DATOS_[[#This Row],[id]])&gt;1,DATOS_[[#This Row],[id]],"")</f>
        <v/>
      </c>
      <c r="CJ633" s="141" t="n">
        <f aca="false">(Inicio!$G$10-DATOS_[[#This Row],[Fecha Nacimiento]])/365.25</f>
        <v>0</v>
      </c>
      <c r="CK633" s="141" t="n">
        <f aca="false">(Inicio!$G$10-DATOS_[[#This Row],[Fecha de Antigüedad]])/365.25</f>
        <v>0</v>
      </c>
      <c r="CL633" s="141" t="e">
        <f aca="false">+VLOOKUP(DATOS_[[#This Row],[Clave de Contrato]],TblTiposContrato13[],3,0)</f>
        <v>#N/A</v>
      </c>
      <c r="CM633" s="141" t="e">
        <f aca="false">+VLOOKUP(DATOS_[[#This Row],[Clave de Contrato]],TblTiposContrato13[],4,0)</f>
        <v>#N/A</v>
      </c>
      <c r="CN633" s="141" t="str">
        <f aca="false">VLOOKUP(DATOS_[[#This Row],[Edad]],CONTRATOS!TblRngEdad,2,1)</f>
        <v>20  o menos</v>
      </c>
      <c r="CO633" s="141" t="str">
        <f aca="false">VLOOKUP(DATOS_[[#This Row],[Antigüedad]],TblRngAntg14[],2,1)</f>
        <v>0 a 1 años</v>
      </c>
    </row>
    <row r="634" customFormat="false" ht="13.8" hidden="false" customHeight="false" outlineLevel="0" collapsed="false">
      <c r="D634" s="128"/>
      <c r="E634" s="129"/>
      <c r="F634" s="129"/>
      <c r="G634" s="129"/>
      <c r="H634" s="130"/>
      <c r="I634" s="131"/>
      <c r="J634" s="128"/>
      <c r="K634" s="132"/>
      <c r="L634" s="132"/>
      <c r="M634" s="133"/>
      <c r="N634" s="133"/>
      <c r="O634" s="133"/>
      <c r="P634" s="129"/>
      <c r="Z634" s="75"/>
      <c r="AA634" s="76"/>
      <c r="AB634" s="76"/>
      <c r="AC634" s="129"/>
      <c r="AD634" s="134"/>
      <c r="AE634" s="134"/>
      <c r="AF634" s="134"/>
      <c r="AG634" s="134"/>
      <c r="AH634" s="134"/>
      <c r="AI634" s="134"/>
      <c r="AJ634" s="134"/>
      <c r="AK634" s="134"/>
      <c r="AL634" s="134"/>
      <c r="AM634" s="134"/>
      <c r="AN634" s="134"/>
      <c r="AO634" s="134"/>
      <c r="AP634" s="134"/>
      <c r="AQ634" s="134"/>
      <c r="AR634" s="134"/>
      <c r="AS634" s="134"/>
      <c r="AT634" s="134"/>
      <c r="AU634" s="134"/>
      <c r="AV634" s="134"/>
      <c r="AW634" s="134"/>
      <c r="AX634" s="134"/>
      <c r="AY634" s="134"/>
      <c r="AZ634" s="134"/>
      <c r="BA634" s="134"/>
      <c r="BB634" s="134"/>
      <c r="BC634" s="134"/>
      <c r="BD634" s="134"/>
      <c r="BE634" s="134"/>
      <c r="BF634" s="134"/>
      <c r="BG634" s="134"/>
      <c r="BH634" s="134"/>
      <c r="BI634" s="134"/>
      <c r="BJ634" s="134"/>
      <c r="BK634" s="134"/>
      <c r="BL634" s="134"/>
      <c r="BM634" s="135"/>
      <c r="BN634" s="136" t="n">
        <f aca="false">+MAX($D$3,DATOS_[[#This Row],[Fecha Inicio Sit. Contract.]])</f>
        <v>0</v>
      </c>
      <c r="BO634" s="136" t="n">
        <f aca="false">+MIN($D$4,DATOS_[[#This Row],[Fecha Fin Sit. Contract.]])</f>
        <v>0</v>
      </c>
      <c r="BP634" s="137" t="n">
        <f aca="false">+DATOS_[[#This Row],[% de jornada]]*IF(DATOS_[[#This Row],[% jornada reducida]]="",1,DATOS_[[#This Row],[% jornada reducida]])</f>
        <v>0</v>
      </c>
      <c r="BQ634" s="137" t="n">
        <f aca="false">+(DATOS_[[#This Row],[F.fin.cal]]-DATOS_[[#This Row],[F.ini.cal]]+1)/($D$4-$D$3+1)</f>
        <v>1</v>
      </c>
      <c r="BR634" s="137" t="str">
        <f aca="false">IF(OR(AND(DATOS_[[#This Row],[Fecha Fin Contrato]]&lt;$D$3,DATOS_[[#This Row],[Fecha Fin Contrato]]&lt;&gt;""),DATOS_[[#This Row],[Fecha de Contratación]]&gt;$D$4),"Fuera","Dentro")</f>
        <v>Dentro</v>
      </c>
      <c r="BS634" s="137" t="str">
        <f aca="false" t="array" ref="BS634:BS634">IF(MAX(IF(DATOS_[id]=DATOS_[[#This Row],[id]],DATOS_[F.fin.cal]))=DATOS_[[#This Row],[F.fin.cal]],"Sí","NO")</f>
        <v>Sí</v>
      </c>
      <c r="BT634" s="137" t="str">
        <f aca="false">IF(AND(DATOS_[[#This Row],[% normaliz]]&lt;&gt;1,DATOS_[[#This Row],[% anualiz]]=1),"Sí","NO")</f>
        <v>Sí</v>
      </c>
      <c r="BU634" s="137" t="str">
        <f aca="false">IF(AND(DATOS_[[#This Row],[% normaliz]]=1,DATOS_[[#This Row],[% anualiz]]&lt;&gt;1),"Sí","NO")</f>
        <v>NO</v>
      </c>
      <c r="BV634" s="137" t="str">
        <f aca="false">IF(AND(DATOS_[[#This Row],[% normaliz]]&lt;&gt;1,DATOS_[[#This Row],[% anualiz]]&lt;&gt;1),"Sí","NO")</f>
        <v>NO</v>
      </c>
      <c r="BW634" s="137" t="str">
        <f aca="false">+IF(DATOS_[[#This Row],[% normaliz]]*DATOS_[[#This Row],[% anualiz]]=1,"NO","Sí")</f>
        <v>Sí</v>
      </c>
      <c r="BX634" s="138" t="e">
        <f aca="false">(DATOS_[[#This Row],[S.BASE]]*(1/DATOS_[[#This Row],[% normaliz]])*(1/DATOS_[[#This Row],[% anualiz]]))*IF(DATOS_[[#This Row],[Check Equiparado]]="Sí",1,0)</f>
        <v>#DIV/0!</v>
      </c>
      <c r="BY6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4" s="138" t="e">
        <f aca="false">+DATOS_[[#This Row],[SALARIO BASE Eq]]+DATOS_[[#This Row],[Tot COMPL.SAL Eq]]</f>
        <v>#DIV/0!</v>
      </c>
      <c r="CA634" s="138" t="e">
        <f aca="false" t="array" ref="CA634:CA6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4" s="138" t="e">
        <f aca="false">+DATOS_[[#This Row],[TOTAL SALARIO Eq]]+DATOS_[[#This Row],[Tot Extrasalarial Eq]]</f>
        <v>#DIV/0!</v>
      </c>
      <c r="CC634" s="139" t="n">
        <f aca="false">DATOS_[[#This Row],[S.BASE]]</f>
        <v>0</v>
      </c>
      <c r="CD634" s="139" t="n">
        <f aca="false">+SUM(DATOS_[[#This Row],[Conc.Sal.01]:[Conc.Sal.30]])</f>
        <v>0</v>
      </c>
      <c r="CE634" s="139" t="n">
        <f aca="false">+DATOS_[[#This Row],[SALARIO BASE Ef]]+DATOS_[[#This Row],[Tot COMPL.SAL Ef]]</f>
        <v>0</v>
      </c>
      <c r="CF634" s="139" t="n">
        <f aca="false">+SUM(DATOS_[[#This Row],[C.Extra.01]:[C.Extra.05]])</f>
        <v>0</v>
      </c>
      <c r="CG634" s="139" t="n">
        <f aca="false">+DATOS_[[#This Row],[TOTAL SALARIO Ef]]+DATOS_[[#This Row],[Tot Extrasalarial Ef]]</f>
        <v>0</v>
      </c>
      <c r="CH634" s="140" t="n">
        <f aca="false">MIN(IF(DATOS_[[#This Row],[Fecha Fin Contrato]]="",$D$4,DATOS_[[#This Row],[Fecha Fin Contrato]]),$D$4)-MAX(DATOS_[[#This Row],[Fecha de Contratación]],$D$3)+1</f>
        <v>1</v>
      </c>
      <c r="CI634" s="141" t="str">
        <f aca="false">IF(COUNTIFS(DATOS_[id],DATOS_[[#This Row],[id]])&gt;1,DATOS_[[#This Row],[id]],"")</f>
        <v/>
      </c>
      <c r="CJ634" s="141" t="n">
        <f aca="false">(Inicio!$G$10-DATOS_[[#This Row],[Fecha Nacimiento]])/365.25</f>
        <v>0</v>
      </c>
      <c r="CK634" s="141" t="n">
        <f aca="false">(Inicio!$G$10-DATOS_[[#This Row],[Fecha de Antigüedad]])/365.25</f>
        <v>0</v>
      </c>
      <c r="CL634" s="141" t="e">
        <f aca="false">+VLOOKUP(DATOS_[[#This Row],[Clave de Contrato]],TblTiposContrato13[],3,0)</f>
        <v>#N/A</v>
      </c>
      <c r="CM634" s="141" t="e">
        <f aca="false">+VLOOKUP(DATOS_[[#This Row],[Clave de Contrato]],TblTiposContrato13[],4,0)</f>
        <v>#N/A</v>
      </c>
      <c r="CN634" s="141" t="str">
        <f aca="false">VLOOKUP(DATOS_[[#This Row],[Edad]],CONTRATOS!TblRngEdad,2,1)</f>
        <v>20  o menos</v>
      </c>
      <c r="CO634" s="141" t="str">
        <f aca="false">VLOOKUP(DATOS_[[#This Row],[Antigüedad]],TblRngAntg14[],2,1)</f>
        <v>0 a 1 años</v>
      </c>
    </row>
    <row r="635" customFormat="false" ht="13.8" hidden="false" customHeight="false" outlineLevel="0" collapsed="false">
      <c r="D635" s="128"/>
      <c r="E635" s="129"/>
      <c r="F635" s="129"/>
      <c r="G635" s="129"/>
      <c r="H635" s="130"/>
      <c r="I635" s="131"/>
      <c r="J635" s="128"/>
      <c r="K635" s="132"/>
      <c r="L635" s="132"/>
      <c r="M635" s="133"/>
      <c r="N635" s="133"/>
      <c r="O635" s="133"/>
      <c r="P635" s="129"/>
      <c r="Z635" s="75"/>
      <c r="AA635" s="76"/>
      <c r="AB635" s="76"/>
      <c r="AC635" s="129"/>
      <c r="AD635" s="134"/>
      <c r="AE635" s="134"/>
      <c r="AF635" s="134"/>
      <c r="AG635" s="134"/>
      <c r="AH635" s="134"/>
      <c r="AI635" s="134"/>
      <c r="AJ635" s="134"/>
      <c r="AK635" s="134"/>
      <c r="AL635" s="134"/>
      <c r="AM635" s="134"/>
      <c r="AN635" s="134"/>
      <c r="AO635" s="134"/>
      <c r="AP635" s="134"/>
      <c r="AQ635" s="134"/>
      <c r="AR635" s="134"/>
      <c r="AS635" s="134"/>
      <c r="AT635" s="134"/>
      <c r="AU635" s="134"/>
      <c r="AV635" s="134"/>
      <c r="AW635" s="134"/>
      <c r="AX635" s="134"/>
      <c r="AY635" s="134"/>
      <c r="AZ635" s="134"/>
      <c r="BA635" s="134"/>
      <c r="BB635" s="134"/>
      <c r="BC635" s="134"/>
      <c r="BD635" s="134"/>
      <c r="BE635" s="134"/>
      <c r="BF635" s="134"/>
      <c r="BG635" s="134"/>
      <c r="BH635" s="134"/>
      <c r="BI635" s="134"/>
      <c r="BJ635" s="134"/>
      <c r="BK635" s="134"/>
      <c r="BL635" s="134"/>
      <c r="BM635" s="135"/>
      <c r="BN635" s="136" t="n">
        <f aca="false">+MAX($D$3,DATOS_[[#This Row],[Fecha Inicio Sit. Contract.]])</f>
        <v>0</v>
      </c>
      <c r="BO635" s="136" t="n">
        <f aca="false">+MIN($D$4,DATOS_[[#This Row],[Fecha Fin Sit. Contract.]])</f>
        <v>0</v>
      </c>
      <c r="BP635" s="137" t="n">
        <f aca="false">+DATOS_[[#This Row],[% de jornada]]*IF(DATOS_[[#This Row],[% jornada reducida]]="",1,DATOS_[[#This Row],[% jornada reducida]])</f>
        <v>0</v>
      </c>
      <c r="BQ635" s="137" t="n">
        <f aca="false">+(DATOS_[[#This Row],[F.fin.cal]]-DATOS_[[#This Row],[F.ini.cal]]+1)/($D$4-$D$3+1)</f>
        <v>1</v>
      </c>
      <c r="BR635" s="137" t="str">
        <f aca="false">IF(OR(AND(DATOS_[[#This Row],[Fecha Fin Contrato]]&lt;$D$3,DATOS_[[#This Row],[Fecha Fin Contrato]]&lt;&gt;""),DATOS_[[#This Row],[Fecha de Contratación]]&gt;$D$4),"Fuera","Dentro")</f>
        <v>Dentro</v>
      </c>
      <c r="BS635" s="137" t="str">
        <f aca="false" t="array" ref="BS635:BS635">IF(MAX(IF(DATOS_[id]=DATOS_[[#This Row],[id]],DATOS_[F.fin.cal]))=DATOS_[[#This Row],[F.fin.cal]],"Sí","NO")</f>
        <v>Sí</v>
      </c>
      <c r="BT635" s="137" t="str">
        <f aca="false">IF(AND(DATOS_[[#This Row],[% normaliz]]&lt;&gt;1,DATOS_[[#This Row],[% anualiz]]=1),"Sí","NO")</f>
        <v>Sí</v>
      </c>
      <c r="BU635" s="137" t="str">
        <f aca="false">IF(AND(DATOS_[[#This Row],[% normaliz]]=1,DATOS_[[#This Row],[% anualiz]]&lt;&gt;1),"Sí","NO")</f>
        <v>NO</v>
      </c>
      <c r="BV635" s="137" t="str">
        <f aca="false">IF(AND(DATOS_[[#This Row],[% normaliz]]&lt;&gt;1,DATOS_[[#This Row],[% anualiz]]&lt;&gt;1),"Sí","NO")</f>
        <v>NO</v>
      </c>
      <c r="BW635" s="137" t="str">
        <f aca="false">+IF(DATOS_[[#This Row],[% normaliz]]*DATOS_[[#This Row],[% anualiz]]=1,"NO","Sí")</f>
        <v>Sí</v>
      </c>
      <c r="BX635" s="138" t="e">
        <f aca="false">(DATOS_[[#This Row],[S.BASE]]*(1/DATOS_[[#This Row],[% normaliz]])*(1/DATOS_[[#This Row],[% anualiz]]))*IF(DATOS_[[#This Row],[Check Equiparado]]="Sí",1,0)</f>
        <v>#DIV/0!</v>
      </c>
      <c r="BY6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5" s="138" t="e">
        <f aca="false">+DATOS_[[#This Row],[SALARIO BASE Eq]]+DATOS_[[#This Row],[Tot COMPL.SAL Eq]]</f>
        <v>#DIV/0!</v>
      </c>
      <c r="CA635" s="138" t="e">
        <f aca="false" t="array" ref="CA635:CA6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5" s="138" t="e">
        <f aca="false">+DATOS_[[#This Row],[TOTAL SALARIO Eq]]+DATOS_[[#This Row],[Tot Extrasalarial Eq]]</f>
        <v>#DIV/0!</v>
      </c>
      <c r="CC635" s="139" t="n">
        <f aca="false">DATOS_[[#This Row],[S.BASE]]</f>
        <v>0</v>
      </c>
      <c r="CD635" s="139" t="n">
        <f aca="false">+SUM(DATOS_[[#This Row],[Conc.Sal.01]:[Conc.Sal.30]])</f>
        <v>0</v>
      </c>
      <c r="CE635" s="139" t="n">
        <f aca="false">+DATOS_[[#This Row],[SALARIO BASE Ef]]+DATOS_[[#This Row],[Tot COMPL.SAL Ef]]</f>
        <v>0</v>
      </c>
      <c r="CF635" s="139" t="n">
        <f aca="false">+SUM(DATOS_[[#This Row],[C.Extra.01]:[C.Extra.05]])</f>
        <v>0</v>
      </c>
      <c r="CG635" s="139" t="n">
        <f aca="false">+DATOS_[[#This Row],[TOTAL SALARIO Ef]]+DATOS_[[#This Row],[Tot Extrasalarial Ef]]</f>
        <v>0</v>
      </c>
      <c r="CH635" s="140" t="n">
        <f aca="false">MIN(IF(DATOS_[[#This Row],[Fecha Fin Contrato]]="",$D$4,DATOS_[[#This Row],[Fecha Fin Contrato]]),$D$4)-MAX(DATOS_[[#This Row],[Fecha de Contratación]],$D$3)+1</f>
        <v>1</v>
      </c>
      <c r="CI635" s="141" t="str">
        <f aca="false">IF(COUNTIFS(DATOS_[id],DATOS_[[#This Row],[id]])&gt;1,DATOS_[[#This Row],[id]],"")</f>
        <v/>
      </c>
      <c r="CJ635" s="141" t="n">
        <f aca="false">(Inicio!$G$10-DATOS_[[#This Row],[Fecha Nacimiento]])/365.25</f>
        <v>0</v>
      </c>
      <c r="CK635" s="141" t="n">
        <f aca="false">(Inicio!$G$10-DATOS_[[#This Row],[Fecha de Antigüedad]])/365.25</f>
        <v>0</v>
      </c>
      <c r="CL635" s="141" t="e">
        <f aca="false">+VLOOKUP(DATOS_[[#This Row],[Clave de Contrato]],TblTiposContrato13[],3,0)</f>
        <v>#N/A</v>
      </c>
      <c r="CM635" s="141" t="e">
        <f aca="false">+VLOOKUP(DATOS_[[#This Row],[Clave de Contrato]],TblTiposContrato13[],4,0)</f>
        <v>#N/A</v>
      </c>
      <c r="CN635" s="141" t="str">
        <f aca="false">VLOOKUP(DATOS_[[#This Row],[Edad]],CONTRATOS!TblRngEdad,2,1)</f>
        <v>20  o menos</v>
      </c>
      <c r="CO635" s="141" t="str">
        <f aca="false">VLOOKUP(DATOS_[[#This Row],[Antigüedad]],TblRngAntg14[],2,1)</f>
        <v>0 a 1 años</v>
      </c>
    </row>
    <row r="636" customFormat="false" ht="13.8" hidden="false" customHeight="false" outlineLevel="0" collapsed="false">
      <c r="D636" s="128"/>
      <c r="E636" s="129"/>
      <c r="F636" s="129"/>
      <c r="G636" s="129"/>
      <c r="H636" s="130"/>
      <c r="I636" s="131"/>
      <c r="J636" s="128"/>
      <c r="K636" s="132"/>
      <c r="L636" s="132"/>
      <c r="M636" s="133"/>
      <c r="N636" s="133"/>
      <c r="O636" s="133"/>
      <c r="P636" s="129"/>
      <c r="Z636" s="75"/>
      <c r="AA636" s="76"/>
      <c r="AB636" s="76"/>
      <c r="AC636" s="129"/>
      <c r="AD636" s="134"/>
      <c r="AE636" s="134"/>
      <c r="AF636" s="134"/>
      <c r="AG636" s="134"/>
      <c r="AH636" s="134"/>
      <c r="AI636" s="134"/>
      <c r="AJ636" s="134"/>
      <c r="AK636" s="134"/>
      <c r="AL636" s="134"/>
      <c r="AM636" s="134"/>
      <c r="AN636" s="134"/>
      <c r="AO636" s="134"/>
      <c r="AP636" s="134"/>
      <c r="AQ636" s="134"/>
      <c r="AR636" s="134"/>
      <c r="AS636" s="134"/>
      <c r="AT636" s="134"/>
      <c r="AU636" s="134"/>
      <c r="AV636" s="134"/>
      <c r="AW636" s="134"/>
      <c r="AX636" s="134"/>
      <c r="AY636" s="134"/>
      <c r="AZ636" s="134"/>
      <c r="BA636" s="134"/>
      <c r="BB636" s="134"/>
      <c r="BC636" s="134"/>
      <c r="BD636" s="134"/>
      <c r="BE636" s="134"/>
      <c r="BF636" s="134"/>
      <c r="BG636" s="134"/>
      <c r="BH636" s="134"/>
      <c r="BI636" s="134"/>
      <c r="BJ636" s="134"/>
      <c r="BK636" s="134"/>
      <c r="BL636" s="134"/>
      <c r="BM636" s="135"/>
      <c r="BN636" s="136" t="n">
        <f aca="false">+MAX($D$3,DATOS_[[#This Row],[Fecha Inicio Sit. Contract.]])</f>
        <v>0</v>
      </c>
      <c r="BO636" s="136" t="n">
        <f aca="false">+MIN($D$4,DATOS_[[#This Row],[Fecha Fin Sit. Contract.]])</f>
        <v>0</v>
      </c>
      <c r="BP636" s="137" t="n">
        <f aca="false">+DATOS_[[#This Row],[% de jornada]]*IF(DATOS_[[#This Row],[% jornada reducida]]="",1,DATOS_[[#This Row],[% jornada reducida]])</f>
        <v>0</v>
      </c>
      <c r="BQ636" s="137" t="n">
        <f aca="false">+(DATOS_[[#This Row],[F.fin.cal]]-DATOS_[[#This Row],[F.ini.cal]]+1)/($D$4-$D$3+1)</f>
        <v>1</v>
      </c>
      <c r="BR636" s="137" t="str">
        <f aca="false">IF(OR(AND(DATOS_[[#This Row],[Fecha Fin Contrato]]&lt;$D$3,DATOS_[[#This Row],[Fecha Fin Contrato]]&lt;&gt;""),DATOS_[[#This Row],[Fecha de Contratación]]&gt;$D$4),"Fuera","Dentro")</f>
        <v>Dentro</v>
      </c>
      <c r="BS636" s="137" t="str">
        <f aca="false" t="array" ref="BS636:BS636">IF(MAX(IF(DATOS_[id]=DATOS_[[#This Row],[id]],DATOS_[F.fin.cal]))=DATOS_[[#This Row],[F.fin.cal]],"Sí","NO")</f>
        <v>Sí</v>
      </c>
      <c r="BT636" s="137" t="str">
        <f aca="false">IF(AND(DATOS_[[#This Row],[% normaliz]]&lt;&gt;1,DATOS_[[#This Row],[% anualiz]]=1),"Sí","NO")</f>
        <v>Sí</v>
      </c>
      <c r="BU636" s="137" t="str">
        <f aca="false">IF(AND(DATOS_[[#This Row],[% normaliz]]=1,DATOS_[[#This Row],[% anualiz]]&lt;&gt;1),"Sí","NO")</f>
        <v>NO</v>
      </c>
      <c r="BV636" s="137" t="str">
        <f aca="false">IF(AND(DATOS_[[#This Row],[% normaliz]]&lt;&gt;1,DATOS_[[#This Row],[% anualiz]]&lt;&gt;1),"Sí","NO")</f>
        <v>NO</v>
      </c>
      <c r="BW636" s="137" t="str">
        <f aca="false">+IF(DATOS_[[#This Row],[% normaliz]]*DATOS_[[#This Row],[% anualiz]]=1,"NO","Sí")</f>
        <v>Sí</v>
      </c>
      <c r="BX636" s="138" t="e">
        <f aca="false">(DATOS_[[#This Row],[S.BASE]]*(1/DATOS_[[#This Row],[% normaliz]])*(1/DATOS_[[#This Row],[% anualiz]]))*IF(DATOS_[[#This Row],[Check Equiparado]]="Sí",1,0)</f>
        <v>#DIV/0!</v>
      </c>
      <c r="BY6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6" s="138" t="e">
        <f aca="false">+DATOS_[[#This Row],[SALARIO BASE Eq]]+DATOS_[[#This Row],[Tot COMPL.SAL Eq]]</f>
        <v>#DIV/0!</v>
      </c>
      <c r="CA636" s="138" t="e">
        <f aca="false" t="array" ref="CA636:CA6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6" s="138" t="e">
        <f aca="false">+DATOS_[[#This Row],[TOTAL SALARIO Eq]]+DATOS_[[#This Row],[Tot Extrasalarial Eq]]</f>
        <v>#DIV/0!</v>
      </c>
      <c r="CC636" s="139" t="n">
        <f aca="false">DATOS_[[#This Row],[S.BASE]]</f>
        <v>0</v>
      </c>
      <c r="CD636" s="139" t="n">
        <f aca="false">+SUM(DATOS_[[#This Row],[Conc.Sal.01]:[Conc.Sal.30]])</f>
        <v>0</v>
      </c>
      <c r="CE636" s="139" t="n">
        <f aca="false">+DATOS_[[#This Row],[SALARIO BASE Ef]]+DATOS_[[#This Row],[Tot COMPL.SAL Ef]]</f>
        <v>0</v>
      </c>
      <c r="CF636" s="139" t="n">
        <f aca="false">+SUM(DATOS_[[#This Row],[C.Extra.01]:[C.Extra.05]])</f>
        <v>0</v>
      </c>
      <c r="CG636" s="139" t="n">
        <f aca="false">+DATOS_[[#This Row],[TOTAL SALARIO Ef]]+DATOS_[[#This Row],[Tot Extrasalarial Ef]]</f>
        <v>0</v>
      </c>
      <c r="CH636" s="140" t="n">
        <f aca="false">MIN(IF(DATOS_[[#This Row],[Fecha Fin Contrato]]="",$D$4,DATOS_[[#This Row],[Fecha Fin Contrato]]),$D$4)-MAX(DATOS_[[#This Row],[Fecha de Contratación]],$D$3)+1</f>
        <v>1</v>
      </c>
      <c r="CI636" s="141" t="str">
        <f aca="false">IF(COUNTIFS(DATOS_[id],DATOS_[[#This Row],[id]])&gt;1,DATOS_[[#This Row],[id]],"")</f>
        <v/>
      </c>
      <c r="CJ636" s="141" t="n">
        <f aca="false">(Inicio!$G$10-DATOS_[[#This Row],[Fecha Nacimiento]])/365.25</f>
        <v>0</v>
      </c>
      <c r="CK636" s="141" t="n">
        <f aca="false">(Inicio!$G$10-DATOS_[[#This Row],[Fecha de Antigüedad]])/365.25</f>
        <v>0</v>
      </c>
      <c r="CL636" s="141" t="e">
        <f aca="false">+VLOOKUP(DATOS_[[#This Row],[Clave de Contrato]],TblTiposContrato13[],3,0)</f>
        <v>#N/A</v>
      </c>
      <c r="CM636" s="141" t="e">
        <f aca="false">+VLOOKUP(DATOS_[[#This Row],[Clave de Contrato]],TblTiposContrato13[],4,0)</f>
        <v>#N/A</v>
      </c>
      <c r="CN636" s="141" t="str">
        <f aca="false">VLOOKUP(DATOS_[[#This Row],[Edad]],CONTRATOS!TblRngEdad,2,1)</f>
        <v>20  o menos</v>
      </c>
      <c r="CO636" s="141" t="str">
        <f aca="false">VLOOKUP(DATOS_[[#This Row],[Antigüedad]],TblRngAntg14[],2,1)</f>
        <v>0 a 1 años</v>
      </c>
    </row>
    <row r="637" customFormat="false" ht="13.8" hidden="false" customHeight="false" outlineLevel="0" collapsed="false">
      <c r="D637" s="128"/>
      <c r="E637" s="129"/>
      <c r="F637" s="129"/>
      <c r="G637" s="129"/>
      <c r="H637" s="130"/>
      <c r="I637" s="131"/>
      <c r="J637" s="128"/>
      <c r="K637" s="132"/>
      <c r="L637" s="132"/>
      <c r="M637" s="133"/>
      <c r="N637" s="133"/>
      <c r="O637" s="133"/>
      <c r="P637" s="129"/>
      <c r="Z637" s="75"/>
      <c r="AA637" s="76"/>
      <c r="AB637" s="76"/>
      <c r="AC637" s="129"/>
      <c r="AD637" s="134"/>
      <c r="AE637" s="134"/>
      <c r="AF637" s="134"/>
      <c r="AG637" s="134"/>
      <c r="AH637" s="134"/>
      <c r="AI637" s="134"/>
      <c r="AJ637" s="134"/>
      <c r="AK637" s="134"/>
      <c r="AL637" s="134"/>
      <c r="AM637" s="134"/>
      <c r="AN637" s="134"/>
      <c r="AO637" s="134"/>
      <c r="AP637" s="134"/>
      <c r="AQ637" s="134"/>
      <c r="AR637" s="134"/>
      <c r="AS637" s="134"/>
      <c r="AT637" s="134"/>
      <c r="AU637" s="134"/>
      <c r="AV637" s="134"/>
      <c r="AW637" s="134"/>
      <c r="AX637" s="134"/>
      <c r="AY637" s="134"/>
      <c r="AZ637" s="134"/>
      <c r="BA637" s="134"/>
      <c r="BB637" s="134"/>
      <c r="BC637" s="134"/>
      <c r="BD637" s="134"/>
      <c r="BE637" s="134"/>
      <c r="BF637" s="134"/>
      <c r="BG637" s="134"/>
      <c r="BH637" s="134"/>
      <c r="BI637" s="134"/>
      <c r="BJ637" s="134"/>
      <c r="BK637" s="134"/>
      <c r="BL637" s="134"/>
      <c r="BM637" s="135"/>
      <c r="BN637" s="136" t="n">
        <f aca="false">+MAX($D$3,DATOS_[[#This Row],[Fecha Inicio Sit. Contract.]])</f>
        <v>0</v>
      </c>
      <c r="BO637" s="136" t="n">
        <f aca="false">+MIN($D$4,DATOS_[[#This Row],[Fecha Fin Sit. Contract.]])</f>
        <v>0</v>
      </c>
      <c r="BP637" s="137" t="n">
        <f aca="false">+DATOS_[[#This Row],[% de jornada]]*IF(DATOS_[[#This Row],[% jornada reducida]]="",1,DATOS_[[#This Row],[% jornada reducida]])</f>
        <v>0</v>
      </c>
      <c r="BQ637" s="137" t="n">
        <f aca="false">+(DATOS_[[#This Row],[F.fin.cal]]-DATOS_[[#This Row],[F.ini.cal]]+1)/($D$4-$D$3+1)</f>
        <v>1</v>
      </c>
      <c r="BR637" s="137" t="str">
        <f aca="false">IF(OR(AND(DATOS_[[#This Row],[Fecha Fin Contrato]]&lt;$D$3,DATOS_[[#This Row],[Fecha Fin Contrato]]&lt;&gt;""),DATOS_[[#This Row],[Fecha de Contratación]]&gt;$D$4),"Fuera","Dentro")</f>
        <v>Dentro</v>
      </c>
      <c r="BS637" s="137" t="str">
        <f aca="false" t="array" ref="BS637:BS637">IF(MAX(IF(DATOS_[id]=DATOS_[[#This Row],[id]],DATOS_[F.fin.cal]))=DATOS_[[#This Row],[F.fin.cal]],"Sí","NO")</f>
        <v>Sí</v>
      </c>
      <c r="BT637" s="137" t="str">
        <f aca="false">IF(AND(DATOS_[[#This Row],[% normaliz]]&lt;&gt;1,DATOS_[[#This Row],[% anualiz]]=1),"Sí","NO")</f>
        <v>Sí</v>
      </c>
      <c r="BU637" s="137" t="str">
        <f aca="false">IF(AND(DATOS_[[#This Row],[% normaliz]]=1,DATOS_[[#This Row],[% anualiz]]&lt;&gt;1),"Sí","NO")</f>
        <v>NO</v>
      </c>
      <c r="BV637" s="137" t="str">
        <f aca="false">IF(AND(DATOS_[[#This Row],[% normaliz]]&lt;&gt;1,DATOS_[[#This Row],[% anualiz]]&lt;&gt;1),"Sí","NO")</f>
        <v>NO</v>
      </c>
      <c r="BW637" s="137" t="str">
        <f aca="false">+IF(DATOS_[[#This Row],[% normaliz]]*DATOS_[[#This Row],[% anualiz]]=1,"NO","Sí")</f>
        <v>Sí</v>
      </c>
      <c r="BX637" s="138" t="e">
        <f aca="false">(DATOS_[[#This Row],[S.BASE]]*(1/DATOS_[[#This Row],[% normaliz]])*(1/DATOS_[[#This Row],[% anualiz]]))*IF(DATOS_[[#This Row],[Check Equiparado]]="Sí",1,0)</f>
        <v>#DIV/0!</v>
      </c>
      <c r="BY6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7" s="138" t="e">
        <f aca="false">+DATOS_[[#This Row],[SALARIO BASE Eq]]+DATOS_[[#This Row],[Tot COMPL.SAL Eq]]</f>
        <v>#DIV/0!</v>
      </c>
      <c r="CA637" s="138" t="e">
        <f aca="false" t="array" ref="CA637:CA6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7" s="138" t="e">
        <f aca="false">+DATOS_[[#This Row],[TOTAL SALARIO Eq]]+DATOS_[[#This Row],[Tot Extrasalarial Eq]]</f>
        <v>#DIV/0!</v>
      </c>
      <c r="CC637" s="139" t="n">
        <f aca="false">DATOS_[[#This Row],[S.BASE]]</f>
        <v>0</v>
      </c>
      <c r="CD637" s="139" t="n">
        <f aca="false">+SUM(DATOS_[[#This Row],[Conc.Sal.01]:[Conc.Sal.30]])</f>
        <v>0</v>
      </c>
      <c r="CE637" s="139" t="n">
        <f aca="false">+DATOS_[[#This Row],[SALARIO BASE Ef]]+DATOS_[[#This Row],[Tot COMPL.SAL Ef]]</f>
        <v>0</v>
      </c>
      <c r="CF637" s="139" t="n">
        <f aca="false">+SUM(DATOS_[[#This Row],[C.Extra.01]:[C.Extra.05]])</f>
        <v>0</v>
      </c>
      <c r="CG637" s="139" t="n">
        <f aca="false">+DATOS_[[#This Row],[TOTAL SALARIO Ef]]+DATOS_[[#This Row],[Tot Extrasalarial Ef]]</f>
        <v>0</v>
      </c>
      <c r="CH637" s="140" t="n">
        <f aca="false">MIN(IF(DATOS_[[#This Row],[Fecha Fin Contrato]]="",$D$4,DATOS_[[#This Row],[Fecha Fin Contrato]]),$D$4)-MAX(DATOS_[[#This Row],[Fecha de Contratación]],$D$3)+1</f>
        <v>1</v>
      </c>
      <c r="CI637" s="141" t="str">
        <f aca="false">IF(COUNTIFS(DATOS_[id],DATOS_[[#This Row],[id]])&gt;1,DATOS_[[#This Row],[id]],"")</f>
        <v/>
      </c>
      <c r="CJ637" s="141" t="n">
        <f aca="false">(Inicio!$G$10-DATOS_[[#This Row],[Fecha Nacimiento]])/365.25</f>
        <v>0</v>
      </c>
      <c r="CK637" s="141" t="n">
        <f aca="false">(Inicio!$G$10-DATOS_[[#This Row],[Fecha de Antigüedad]])/365.25</f>
        <v>0</v>
      </c>
      <c r="CL637" s="141" t="e">
        <f aca="false">+VLOOKUP(DATOS_[[#This Row],[Clave de Contrato]],TblTiposContrato13[],3,0)</f>
        <v>#N/A</v>
      </c>
      <c r="CM637" s="141" t="e">
        <f aca="false">+VLOOKUP(DATOS_[[#This Row],[Clave de Contrato]],TblTiposContrato13[],4,0)</f>
        <v>#N/A</v>
      </c>
      <c r="CN637" s="141" t="str">
        <f aca="false">VLOOKUP(DATOS_[[#This Row],[Edad]],CONTRATOS!TblRngEdad,2,1)</f>
        <v>20  o menos</v>
      </c>
      <c r="CO637" s="141" t="str">
        <f aca="false">VLOOKUP(DATOS_[[#This Row],[Antigüedad]],TblRngAntg14[],2,1)</f>
        <v>0 a 1 años</v>
      </c>
    </row>
    <row r="638" customFormat="false" ht="13.8" hidden="false" customHeight="false" outlineLevel="0" collapsed="false">
      <c r="D638" s="128"/>
      <c r="E638" s="129"/>
      <c r="F638" s="129"/>
      <c r="G638" s="129"/>
      <c r="H638" s="130"/>
      <c r="I638" s="131"/>
      <c r="J638" s="128"/>
      <c r="K638" s="132"/>
      <c r="L638" s="132"/>
      <c r="M638" s="133"/>
      <c r="N638" s="133"/>
      <c r="O638" s="133"/>
      <c r="P638" s="129"/>
      <c r="Z638" s="75"/>
      <c r="AA638" s="76"/>
      <c r="AB638" s="76"/>
      <c r="AC638" s="129"/>
      <c r="AD638" s="134"/>
      <c r="AE638" s="134"/>
      <c r="AF638" s="134"/>
      <c r="AG638" s="134"/>
      <c r="AH638" s="134"/>
      <c r="AI638" s="134"/>
      <c r="AJ638" s="134"/>
      <c r="AK638" s="134"/>
      <c r="AL638" s="134"/>
      <c r="AM638" s="134"/>
      <c r="AN638" s="134"/>
      <c r="AO638" s="134"/>
      <c r="AP638" s="134"/>
      <c r="AQ638" s="134"/>
      <c r="AR638" s="134"/>
      <c r="AS638" s="134"/>
      <c r="AT638" s="134"/>
      <c r="AU638" s="134"/>
      <c r="AV638" s="134"/>
      <c r="AW638" s="134"/>
      <c r="AX638" s="134"/>
      <c r="AY638" s="134"/>
      <c r="AZ638" s="134"/>
      <c r="BA638" s="134"/>
      <c r="BB638" s="134"/>
      <c r="BC638" s="134"/>
      <c r="BD638" s="134"/>
      <c r="BE638" s="134"/>
      <c r="BF638" s="134"/>
      <c r="BG638" s="134"/>
      <c r="BH638" s="134"/>
      <c r="BI638" s="134"/>
      <c r="BJ638" s="134"/>
      <c r="BK638" s="134"/>
      <c r="BL638" s="134"/>
      <c r="BM638" s="135"/>
      <c r="BN638" s="136" t="n">
        <f aca="false">+MAX($D$3,DATOS_[[#This Row],[Fecha Inicio Sit. Contract.]])</f>
        <v>0</v>
      </c>
      <c r="BO638" s="136" t="n">
        <f aca="false">+MIN($D$4,DATOS_[[#This Row],[Fecha Fin Sit. Contract.]])</f>
        <v>0</v>
      </c>
      <c r="BP638" s="137" t="n">
        <f aca="false">+DATOS_[[#This Row],[% de jornada]]*IF(DATOS_[[#This Row],[% jornada reducida]]="",1,DATOS_[[#This Row],[% jornada reducida]])</f>
        <v>0</v>
      </c>
      <c r="BQ638" s="137" t="n">
        <f aca="false">+(DATOS_[[#This Row],[F.fin.cal]]-DATOS_[[#This Row],[F.ini.cal]]+1)/($D$4-$D$3+1)</f>
        <v>1</v>
      </c>
      <c r="BR638" s="137" t="str">
        <f aca="false">IF(OR(AND(DATOS_[[#This Row],[Fecha Fin Contrato]]&lt;$D$3,DATOS_[[#This Row],[Fecha Fin Contrato]]&lt;&gt;""),DATOS_[[#This Row],[Fecha de Contratación]]&gt;$D$4),"Fuera","Dentro")</f>
        <v>Dentro</v>
      </c>
      <c r="BS638" s="137" t="str">
        <f aca="false" t="array" ref="BS638:BS638">IF(MAX(IF(DATOS_[id]=DATOS_[[#This Row],[id]],DATOS_[F.fin.cal]))=DATOS_[[#This Row],[F.fin.cal]],"Sí","NO")</f>
        <v>Sí</v>
      </c>
      <c r="BT638" s="137" t="str">
        <f aca="false">IF(AND(DATOS_[[#This Row],[% normaliz]]&lt;&gt;1,DATOS_[[#This Row],[% anualiz]]=1),"Sí","NO")</f>
        <v>Sí</v>
      </c>
      <c r="BU638" s="137" t="str">
        <f aca="false">IF(AND(DATOS_[[#This Row],[% normaliz]]=1,DATOS_[[#This Row],[% anualiz]]&lt;&gt;1),"Sí","NO")</f>
        <v>NO</v>
      </c>
      <c r="BV638" s="137" t="str">
        <f aca="false">IF(AND(DATOS_[[#This Row],[% normaliz]]&lt;&gt;1,DATOS_[[#This Row],[% anualiz]]&lt;&gt;1),"Sí","NO")</f>
        <v>NO</v>
      </c>
      <c r="BW638" s="137" t="str">
        <f aca="false">+IF(DATOS_[[#This Row],[% normaliz]]*DATOS_[[#This Row],[% anualiz]]=1,"NO","Sí")</f>
        <v>Sí</v>
      </c>
      <c r="BX638" s="138" t="e">
        <f aca="false">(DATOS_[[#This Row],[S.BASE]]*(1/DATOS_[[#This Row],[% normaliz]])*(1/DATOS_[[#This Row],[% anualiz]]))*IF(DATOS_[[#This Row],[Check Equiparado]]="Sí",1,0)</f>
        <v>#DIV/0!</v>
      </c>
      <c r="BY6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8" s="138" t="e">
        <f aca="false">+DATOS_[[#This Row],[SALARIO BASE Eq]]+DATOS_[[#This Row],[Tot COMPL.SAL Eq]]</f>
        <v>#DIV/0!</v>
      </c>
      <c r="CA638" s="138" t="e">
        <f aca="false" t="array" ref="CA638:CA6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8" s="138" t="e">
        <f aca="false">+DATOS_[[#This Row],[TOTAL SALARIO Eq]]+DATOS_[[#This Row],[Tot Extrasalarial Eq]]</f>
        <v>#DIV/0!</v>
      </c>
      <c r="CC638" s="139" t="n">
        <f aca="false">DATOS_[[#This Row],[S.BASE]]</f>
        <v>0</v>
      </c>
      <c r="CD638" s="139" t="n">
        <f aca="false">+SUM(DATOS_[[#This Row],[Conc.Sal.01]:[Conc.Sal.30]])</f>
        <v>0</v>
      </c>
      <c r="CE638" s="139" t="n">
        <f aca="false">+DATOS_[[#This Row],[SALARIO BASE Ef]]+DATOS_[[#This Row],[Tot COMPL.SAL Ef]]</f>
        <v>0</v>
      </c>
      <c r="CF638" s="139" t="n">
        <f aca="false">+SUM(DATOS_[[#This Row],[C.Extra.01]:[C.Extra.05]])</f>
        <v>0</v>
      </c>
      <c r="CG638" s="139" t="n">
        <f aca="false">+DATOS_[[#This Row],[TOTAL SALARIO Ef]]+DATOS_[[#This Row],[Tot Extrasalarial Ef]]</f>
        <v>0</v>
      </c>
      <c r="CH638" s="140" t="n">
        <f aca="false">MIN(IF(DATOS_[[#This Row],[Fecha Fin Contrato]]="",$D$4,DATOS_[[#This Row],[Fecha Fin Contrato]]),$D$4)-MAX(DATOS_[[#This Row],[Fecha de Contratación]],$D$3)+1</f>
        <v>1</v>
      </c>
      <c r="CI638" s="141" t="str">
        <f aca="false">IF(COUNTIFS(DATOS_[id],DATOS_[[#This Row],[id]])&gt;1,DATOS_[[#This Row],[id]],"")</f>
        <v/>
      </c>
      <c r="CJ638" s="141" t="n">
        <f aca="false">(Inicio!$G$10-DATOS_[[#This Row],[Fecha Nacimiento]])/365.25</f>
        <v>0</v>
      </c>
      <c r="CK638" s="141" t="n">
        <f aca="false">(Inicio!$G$10-DATOS_[[#This Row],[Fecha de Antigüedad]])/365.25</f>
        <v>0</v>
      </c>
      <c r="CL638" s="141" t="e">
        <f aca="false">+VLOOKUP(DATOS_[[#This Row],[Clave de Contrato]],TblTiposContrato13[],3,0)</f>
        <v>#N/A</v>
      </c>
      <c r="CM638" s="141" t="e">
        <f aca="false">+VLOOKUP(DATOS_[[#This Row],[Clave de Contrato]],TblTiposContrato13[],4,0)</f>
        <v>#N/A</v>
      </c>
      <c r="CN638" s="141" t="str">
        <f aca="false">VLOOKUP(DATOS_[[#This Row],[Edad]],CONTRATOS!TblRngEdad,2,1)</f>
        <v>20  o menos</v>
      </c>
      <c r="CO638" s="141" t="str">
        <f aca="false">VLOOKUP(DATOS_[[#This Row],[Antigüedad]],TblRngAntg14[],2,1)</f>
        <v>0 a 1 años</v>
      </c>
    </row>
    <row r="639" customFormat="false" ht="13.8" hidden="false" customHeight="false" outlineLevel="0" collapsed="false">
      <c r="D639" s="128"/>
      <c r="E639" s="129"/>
      <c r="F639" s="129"/>
      <c r="G639" s="129"/>
      <c r="H639" s="130"/>
      <c r="I639" s="131"/>
      <c r="J639" s="128"/>
      <c r="K639" s="132"/>
      <c r="L639" s="132"/>
      <c r="M639" s="133"/>
      <c r="N639" s="133"/>
      <c r="O639" s="133"/>
      <c r="P639" s="129"/>
      <c r="Z639" s="75"/>
      <c r="AA639" s="76"/>
      <c r="AB639" s="76"/>
      <c r="AC639" s="129"/>
      <c r="AD639" s="134"/>
      <c r="AE639" s="134"/>
      <c r="AF639" s="134"/>
      <c r="AG639" s="134"/>
      <c r="AH639" s="134"/>
      <c r="AI639" s="134"/>
      <c r="AJ639" s="134"/>
      <c r="AK639" s="134"/>
      <c r="AL639" s="134"/>
      <c r="AM639" s="134"/>
      <c r="AN639" s="134"/>
      <c r="AO639" s="134"/>
      <c r="AP639" s="134"/>
      <c r="AQ639" s="134"/>
      <c r="AR639" s="134"/>
      <c r="AS639" s="134"/>
      <c r="AT639" s="134"/>
      <c r="AU639" s="134"/>
      <c r="AV639" s="134"/>
      <c r="AW639" s="134"/>
      <c r="AX639" s="134"/>
      <c r="AY639" s="134"/>
      <c r="AZ639" s="134"/>
      <c r="BA639" s="134"/>
      <c r="BB639" s="134"/>
      <c r="BC639" s="134"/>
      <c r="BD639" s="134"/>
      <c r="BE639" s="134"/>
      <c r="BF639" s="134"/>
      <c r="BG639" s="134"/>
      <c r="BH639" s="134"/>
      <c r="BI639" s="134"/>
      <c r="BJ639" s="134"/>
      <c r="BK639" s="134"/>
      <c r="BL639" s="134"/>
      <c r="BM639" s="135"/>
      <c r="BN639" s="136" t="n">
        <f aca="false">+MAX($D$3,DATOS_[[#This Row],[Fecha Inicio Sit. Contract.]])</f>
        <v>0</v>
      </c>
      <c r="BO639" s="136" t="n">
        <f aca="false">+MIN($D$4,DATOS_[[#This Row],[Fecha Fin Sit. Contract.]])</f>
        <v>0</v>
      </c>
      <c r="BP639" s="137" t="n">
        <f aca="false">+DATOS_[[#This Row],[% de jornada]]*IF(DATOS_[[#This Row],[% jornada reducida]]="",1,DATOS_[[#This Row],[% jornada reducida]])</f>
        <v>0</v>
      </c>
      <c r="BQ639" s="137" t="n">
        <f aca="false">+(DATOS_[[#This Row],[F.fin.cal]]-DATOS_[[#This Row],[F.ini.cal]]+1)/($D$4-$D$3+1)</f>
        <v>1</v>
      </c>
      <c r="BR639" s="137" t="str">
        <f aca="false">IF(OR(AND(DATOS_[[#This Row],[Fecha Fin Contrato]]&lt;$D$3,DATOS_[[#This Row],[Fecha Fin Contrato]]&lt;&gt;""),DATOS_[[#This Row],[Fecha de Contratación]]&gt;$D$4),"Fuera","Dentro")</f>
        <v>Dentro</v>
      </c>
      <c r="BS639" s="137" t="str">
        <f aca="false" t="array" ref="BS639:BS639">IF(MAX(IF(DATOS_[id]=DATOS_[[#This Row],[id]],DATOS_[F.fin.cal]))=DATOS_[[#This Row],[F.fin.cal]],"Sí","NO")</f>
        <v>Sí</v>
      </c>
      <c r="BT639" s="137" t="str">
        <f aca="false">IF(AND(DATOS_[[#This Row],[% normaliz]]&lt;&gt;1,DATOS_[[#This Row],[% anualiz]]=1),"Sí","NO")</f>
        <v>Sí</v>
      </c>
      <c r="BU639" s="137" t="str">
        <f aca="false">IF(AND(DATOS_[[#This Row],[% normaliz]]=1,DATOS_[[#This Row],[% anualiz]]&lt;&gt;1),"Sí","NO")</f>
        <v>NO</v>
      </c>
      <c r="BV639" s="137" t="str">
        <f aca="false">IF(AND(DATOS_[[#This Row],[% normaliz]]&lt;&gt;1,DATOS_[[#This Row],[% anualiz]]&lt;&gt;1),"Sí","NO")</f>
        <v>NO</v>
      </c>
      <c r="BW639" s="137" t="str">
        <f aca="false">+IF(DATOS_[[#This Row],[% normaliz]]*DATOS_[[#This Row],[% anualiz]]=1,"NO","Sí")</f>
        <v>Sí</v>
      </c>
      <c r="BX639" s="138" t="e">
        <f aca="false">(DATOS_[[#This Row],[S.BASE]]*(1/DATOS_[[#This Row],[% normaliz]])*(1/DATOS_[[#This Row],[% anualiz]]))*IF(DATOS_[[#This Row],[Check Equiparado]]="Sí",1,0)</f>
        <v>#DIV/0!</v>
      </c>
      <c r="BY6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9" s="138" t="e">
        <f aca="false">+DATOS_[[#This Row],[SALARIO BASE Eq]]+DATOS_[[#This Row],[Tot COMPL.SAL Eq]]</f>
        <v>#DIV/0!</v>
      </c>
      <c r="CA639" s="138" t="e">
        <f aca="false" t="array" ref="CA639:CA6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9" s="138" t="e">
        <f aca="false">+DATOS_[[#This Row],[TOTAL SALARIO Eq]]+DATOS_[[#This Row],[Tot Extrasalarial Eq]]</f>
        <v>#DIV/0!</v>
      </c>
      <c r="CC639" s="139" t="n">
        <f aca="false">DATOS_[[#This Row],[S.BASE]]</f>
        <v>0</v>
      </c>
      <c r="CD639" s="139" t="n">
        <f aca="false">+SUM(DATOS_[[#This Row],[Conc.Sal.01]:[Conc.Sal.30]])</f>
        <v>0</v>
      </c>
      <c r="CE639" s="139" t="n">
        <f aca="false">+DATOS_[[#This Row],[SALARIO BASE Ef]]+DATOS_[[#This Row],[Tot COMPL.SAL Ef]]</f>
        <v>0</v>
      </c>
      <c r="CF639" s="139" t="n">
        <f aca="false">+SUM(DATOS_[[#This Row],[C.Extra.01]:[C.Extra.05]])</f>
        <v>0</v>
      </c>
      <c r="CG639" s="139" t="n">
        <f aca="false">+DATOS_[[#This Row],[TOTAL SALARIO Ef]]+DATOS_[[#This Row],[Tot Extrasalarial Ef]]</f>
        <v>0</v>
      </c>
      <c r="CH639" s="140" t="n">
        <f aca="false">MIN(IF(DATOS_[[#This Row],[Fecha Fin Contrato]]="",$D$4,DATOS_[[#This Row],[Fecha Fin Contrato]]),$D$4)-MAX(DATOS_[[#This Row],[Fecha de Contratación]],$D$3)+1</f>
        <v>1</v>
      </c>
      <c r="CI639" s="141" t="str">
        <f aca="false">IF(COUNTIFS(DATOS_[id],DATOS_[[#This Row],[id]])&gt;1,DATOS_[[#This Row],[id]],"")</f>
        <v/>
      </c>
      <c r="CJ639" s="141" t="n">
        <f aca="false">(Inicio!$G$10-DATOS_[[#This Row],[Fecha Nacimiento]])/365.25</f>
        <v>0</v>
      </c>
      <c r="CK639" s="141" t="n">
        <f aca="false">(Inicio!$G$10-DATOS_[[#This Row],[Fecha de Antigüedad]])/365.25</f>
        <v>0</v>
      </c>
      <c r="CL639" s="141" t="e">
        <f aca="false">+VLOOKUP(DATOS_[[#This Row],[Clave de Contrato]],TblTiposContrato13[],3,0)</f>
        <v>#N/A</v>
      </c>
      <c r="CM639" s="141" t="e">
        <f aca="false">+VLOOKUP(DATOS_[[#This Row],[Clave de Contrato]],TblTiposContrato13[],4,0)</f>
        <v>#N/A</v>
      </c>
      <c r="CN639" s="141" t="str">
        <f aca="false">VLOOKUP(DATOS_[[#This Row],[Edad]],CONTRATOS!TblRngEdad,2,1)</f>
        <v>20  o menos</v>
      </c>
      <c r="CO639" s="141" t="str">
        <f aca="false">VLOOKUP(DATOS_[[#This Row],[Antigüedad]],TblRngAntg14[],2,1)</f>
        <v>0 a 1 años</v>
      </c>
    </row>
    <row r="640" customFormat="false" ht="13.8" hidden="false" customHeight="false" outlineLevel="0" collapsed="false">
      <c r="D640" s="128"/>
      <c r="E640" s="129"/>
      <c r="F640" s="129"/>
      <c r="G640" s="129"/>
      <c r="H640" s="130"/>
      <c r="I640" s="131"/>
      <c r="J640" s="128"/>
      <c r="K640" s="132"/>
      <c r="L640" s="132"/>
      <c r="M640" s="133"/>
      <c r="N640" s="133"/>
      <c r="O640" s="133"/>
      <c r="P640" s="129"/>
      <c r="Z640" s="75"/>
      <c r="AA640" s="76"/>
      <c r="AB640" s="76"/>
      <c r="AC640" s="129"/>
      <c r="AD640" s="134"/>
      <c r="AE640" s="134"/>
      <c r="AF640" s="134"/>
      <c r="AG640" s="134"/>
      <c r="AH640" s="134"/>
      <c r="AI640" s="134"/>
      <c r="AJ640" s="134"/>
      <c r="AK640" s="134"/>
      <c r="AL640" s="134"/>
      <c r="AM640" s="134"/>
      <c r="AN640" s="134"/>
      <c r="AO640" s="134"/>
      <c r="AP640" s="134"/>
      <c r="AQ640" s="134"/>
      <c r="AR640" s="134"/>
      <c r="AS640" s="134"/>
      <c r="AT640" s="134"/>
      <c r="AU640" s="134"/>
      <c r="AV640" s="134"/>
      <c r="AW640" s="134"/>
      <c r="AX640" s="134"/>
      <c r="AY640" s="134"/>
      <c r="AZ640" s="134"/>
      <c r="BA640" s="134"/>
      <c r="BB640" s="134"/>
      <c r="BC640" s="134"/>
      <c r="BD640" s="134"/>
      <c r="BE640" s="134"/>
      <c r="BF640" s="134"/>
      <c r="BG640" s="134"/>
      <c r="BH640" s="134"/>
      <c r="BI640" s="134"/>
      <c r="BJ640" s="134"/>
      <c r="BK640" s="134"/>
      <c r="BL640" s="134"/>
      <c r="BM640" s="135"/>
      <c r="BN640" s="136" t="n">
        <f aca="false">+MAX($D$3,DATOS_[[#This Row],[Fecha Inicio Sit. Contract.]])</f>
        <v>0</v>
      </c>
      <c r="BO640" s="136" t="n">
        <f aca="false">+MIN($D$4,DATOS_[[#This Row],[Fecha Fin Sit. Contract.]])</f>
        <v>0</v>
      </c>
      <c r="BP640" s="137" t="n">
        <f aca="false">+DATOS_[[#This Row],[% de jornada]]*IF(DATOS_[[#This Row],[% jornada reducida]]="",1,DATOS_[[#This Row],[% jornada reducida]])</f>
        <v>0</v>
      </c>
      <c r="BQ640" s="137" t="n">
        <f aca="false">+(DATOS_[[#This Row],[F.fin.cal]]-DATOS_[[#This Row],[F.ini.cal]]+1)/($D$4-$D$3+1)</f>
        <v>1</v>
      </c>
      <c r="BR640" s="137" t="str">
        <f aca="false">IF(OR(AND(DATOS_[[#This Row],[Fecha Fin Contrato]]&lt;$D$3,DATOS_[[#This Row],[Fecha Fin Contrato]]&lt;&gt;""),DATOS_[[#This Row],[Fecha de Contratación]]&gt;$D$4),"Fuera","Dentro")</f>
        <v>Dentro</v>
      </c>
      <c r="BS640" s="137" t="str">
        <f aca="false" t="array" ref="BS640:BS640">IF(MAX(IF(DATOS_[id]=DATOS_[[#This Row],[id]],DATOS_[F.fin.cal]))=DATOS_[[#This Row],[F.fin.cal]],"Sí","NO")</f>
        <v>Sí</v>
      </c>
      <c r="BT640" s="137" t="str">
        <f aca="false">IF(AND(DATOS_[[#This Row],[% normaliz]]&lt;&gt;1,DATOS_[[#This Row],[% anualiz]]=1),"Sí","NO")</f>
        <v>Sí</v>
      </c>
      <c r="BU640" s="137" t="str">
        <f aca="false">IF(AND(DATOS_[[#This Row],[% normaliz]]=1,DATOS_[[#This Row],[% anualiz]]&lt;&gt;1),"Sí","NO")</f>
        <v>NO</v>
      </c>
      <c r="BV640" s="137" t="str">
        <f aca="false">IF(AND(DATOS_[[#This Row],[% normaliz]]&lt;&gt;1,DATOS_[[#This Row],[% anualiz]]&lt;&gt;1),"Sí","NO")</f>
        <v>NO</v>
      </c>
      <c r="BW640" s="137" t="str">
        <f aca="false">+IF(DATOS_[[#This Row],[% normaliz]]*DATOS_[[#This Row],[% anualiz]]=1,"NO","Sí")</f>
        <v>Sí</v>
      </c>
      <c r="BX640" s="138" t="e">
        <f aca="false">(DATOS_[[#This Row],[S.BASE]]*(1/DATOS_[[#This Row],[% normaliz]])*(1/DATOS_[[#This Row],[% anualiz]]))*IF(DATOS_[[#This Row],[Check Equiparado]]="Sí",1,0)</f>
        <v>#DIV/0!</v>
      </c>
      <c r="BY6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0" s="138" t="e">
        <f aca="false">+DATOS_[[#This Row],[SALARIO BASE Eq]]+DATOS_[[#This Row],[Tot COMPL.SAL Eq]]</f>
        <v>#DIV/0!</v>
      </c>
      <c r="CA640" s="138" t="e">
        <f aca="false" t="array" ref="CA640:CA6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0" s="138" t="e">
        <f aca="false">+DATOS_[[#This Row],[TOTAL SALARIO Eq]]+DATOS_[[#This Row],[Tot Extrasalarial Eq]]</f>
        <v>#DIV/0!</v>
      </c>
      <c r="CC640" s="139" t="n">
        <f aca="false">DATOS_[[#This Row],[S.BASE]]</f>
        <v>0</v>
      </c>
      <c r="CD640" s="139" t="n">
        <f aca="false">+SUM(DATOS_[[#This Row],[Conc.Sal.01]:[Conc.Sal.30]])</f>
        <v>0</v>
      </c>
      <c r="CE640" s="139" t="n">
        <f aca="false">+DATOS_[[#This Row],[SALARIO BASE Ef]]+DATOS_[[#This Row],[Tot COMPL.SAL Ef]]</f>
        <v>0</v>
      </c>
      <c r="CF640" s="139" t="n">
        <f aca="false">+SUM(DATOS_[[#This Row],[C.Extra.01]:[C.Extra.05]])</f>
        <v>0</v>
      </c>
      <c r="CG640" s="139" t="n">
        <f aca="false">+DATOS_[[#This Row],[TOTAL SALARIO Ef]]+DATOS_[[#This Row],[Tot Extrasalarial Ef]]</f>
        <v>0</v>
      </c>
      <c r="CH640" s="140" t="n">
        <f aca="false">MIN(IF(DATOS_[[#This Row],[Fecha Fin Contrato]]="",$D$4,DATOS_[[#This Row],[Fecha Fin Contrato]]),$D$4)-MAX(DATOS_[[#This Row],[Fecha de Contratación]],$D$3)+1</f>
        <v>1</v>
      </c>
      <c r="CI640" s="141" t="str">
        <f aca="false">IF(COUNTIFS(DATOS_[id],DATOS_[[#This Row],[id]])&gt;1,DATOS_[[#This Row],[id]],"")</f>
        <v/>
      </c>
      <c r="CJ640" s="141" t="n">
        <f aca="false">(Inicio!$G$10-DATOS_[[#This Row],[Fecha Nacimiento]])/365.25</f>
        <v>0</v>
      </c>
      <c r="CK640" s="141" t="n">
        <f aca="false">(Inicio!$G$10-DATOS_[[#This Row],[Fecha de Antigüedad]])/365.25</f>
        <v>0</v>
      </c>
      <c r="CL640" s="141" t="e">
        <f aca="false">+VLOOKUP(DATOS_[[#This Row],[Clave de Contrato]],TblTiposContrato13[],3,0)</f>
        <v>#N/A</v>
      </c>
      <c r="CM640" s="141" t="e">
        <f aca="false">+VLOOKUP(DATOS_[[#This Row],[Clave de Contrato]],TblTiposContrato13[],4,0)</f>
        <v>#N/A</v>
      </c>
      <c r="CN640" s="141" t="str">
        <f aca="false">VLOOKUP(DATOS_[[#This Row],[Edad]],CONTRATOS!TblRngEdad,2,1)</f>
        <v>20  o menos</v>
      </c>
      <c r="CO640" s="141" t="str">
        <f aca="false">VLOOKUP(DATOS_[[#This Row],[Antigüedad]],TblRngAntg14[],2,1)</f>
        <v>0 a 1 años</v>
      </c>
    </row>
    <row r="641" customFormat="false" ht="13.8" hidden="false" customHeight="false" outlineLevel="0" collapsed="false">
      <c r="D641" s="128"/>
      <c r="E641" s="129"/>
      <c r="F641" s="129"/>
      <c r="G641" s="129"/>
      <c r="H641" s="130"/>
      <c r="I641" s="131"/>
      <c r="J641" s="128"/>
      <c r="K641" s="132"/>
      <c r="L641" s="132"/>
      <c r="M641" s="133"/>
      <c r="N641" s="133"/>
      <c r="O641" s="133"/>
      <c r="P641" s="129"/>
      <c r="Z641" s="75"/>
      <c r="AA641" s="76"/>
      <c r="AB641" s="76"/>
      <c r="AC641" s="129"/>
      <c r="AD641" s="134"/>
      <c r="AE641" s="134"/>
      <c r="AF641" s="134"/>
      <c r="AG641" s="134"/>
      <c r="AH641" s="134"/>
      <c r="AI641" s="134"/>
      <c r="AJ641" s="134"/>
      <c r="AK641" s="134"/>
      <c r="AL641" s="134"/>
      <c r="AM641" s="134"/>
      <c r="AN641" s="134"/>
      <c r="AO641" s="134"/>
      <c r="AP641" s="134"/>
      <c r="AQ641" s="134"/>
      <c r="AR641" s="134"/>
      <c r="AS641" s="134"/>
      <c r="AT641" s="134"/>
      <c r="AU641" s="134"/>
      <c r="AV641" s="134"/>
      <c r="AW641" s="134"/>
      <c r="AX641" s="134"/>
      <c r="AY641" s="134"/>
      <c r="AZ641" s="134"/>
      <c r="BA641" s="134"/>
      <c r="BB641" s="134"/>
      <c r="BC641" s="134"/>
      <c r="BD641" s="134"/>
      <c r="BE641" s="134"/>
      <c r="BF641" s="134"/>
      <c r="BG641" s="134"/>
      <c r="BH641" s="134"/>
      <c r="BI641" s="134"/>
      <c r="BJ641" s="134"/>
      <c r="BK641" s="134"/>
      <c r="BL641" s="134"/>
      <c r="BM641" s="135"/>
      <c r="BN641" s="136" t="n">
        <f aca="false">+MAX($D$3,DATOS_[[#This Row],[Fecha Inicio Sit. Contract.]])</f>
        <v>0</v>
      </c>
      <c r="BO641" s="136" t="n">
        <f aca="false">+MIN($D$4,DATOS_[[#This Row],[Fecha Fin Sit. Contract.]])</f>
        <v>0</v>
      </c>
      <c r="BP641" s="137" t="n">
        <f aca="false">+DATOS_[[#This Row],[% de jornada]]*IF(DATOS_[[#This Row],[% jornada reducida]]="",1,DATOS_[[#This Row],[% jornada reducida]])</f>
        <v>0</v>
      </c>
      <c r="BQ641" s="137" t="n">
        <f aca="false">+(DATOS_[[#This Row],[F.fin.cal]]-DATOS_[[#This Row],[F.ini.cal]]+1)/($D$4-$D$3+1)</f>
        <v>1</v>
      </c>
      <c r="BR641" s="137" t="str">
        <f aca="false">IF(OR(AND(DATOS_[[#This Row],[Fecha Fin Contrato]]&lt;$D$3,DATOS_[[#This Row],[Fecha Fin Contrato]]&lt;&gt;""),DATOS_[[#This Row],[Fecha de Contratación]]&gt;$D$4),"Fuera","Dentro")</f>
        <v>Dentro</v>
      </c>
      <c r="BS641" s="137" t="str">
        <f aca="false" t="array" ref="BS641:BS641">IF(MAX(IF(DATOS_[id]=DATOS_[[#This Row],[id]],DATOS_[F.fin.cal]))=DATOS_[[#This Row],[F.fin.cal]],"Sí","NO")</f>
        <v>Sí</v>
      </c>
      <c r="BT641" s="137" t="str">
        <f aca="false">IF(AND(DATOS_[[#This Row],[% normaliz]]&lt;&gt;1,DATOS_[[#This Row],[% anualiz]]=1),"Sí","NO")</f>
        <v>Sí</v>
      </c>
      <c r="BU641" s="137" t="str">
        <f aca="false">IF(AND(DATOS_[[#This Row],[% normaliz]]=1,DATOS_[[#This Row],[% anualiz]]&lt;&gt;1),"Sí","NO")</f>
        <v>NO</v>
      </c>
      <c r="BV641" s="137" t="str">
        <f aca="false">IF(AND(DATOS_[[#This Row],[% normaliz]]&lt;&gt;1,DATOS_[[#This Row],[% anualiz]]&lt;&gt;1),"Sí","NO")</f>
        <v>NO</v>
      </c>
      <c r="BW641" s="137" t="str">
        <f aca="false">+IF(DATOS_[[#This Row],[% normaliz]]*DATOS_[[#This Row],[% anualiz]]=1,"NO","Sí")</f>
        <v>Sí</v>
      </c>
      <c r="BX641" s="138" t="e">
        <f aca="false">(DATOS_[[#This Row],[S.BASE]]*(1/DATOS_[[#This Row],[% normaliz]])*(1/DATOS_[[#This Row],[% anualiz]]))*IF(DATOS_[[#This Row],[Check Equiparado]]="Sí",1,0)</f>
        <v>#DIV/0!</v>
      </c>
      <c r="BY6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1" s="138" t="e">
        <f aca="false">+DATOS_[[#This Row],[SALARIO BASE Eq]]+DATOS_[[#This Row],[Tot COMPL.SAL Eq]]</f>
        <v>#DIV/0!</v>
      </c>
      <c r="CA641" s="138" t="e">
        <f aca="false" t="array" ref="CA641:CA6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1" s="138" t="e">
        <f aca="false">+DATOS_[[#This Row],[TOTAL SALARIO Eq]]+DATOS_[[#This Row],[Tot Extrasalarial Eq]]</f>
        <v>#DIV/0!</v>
      </c>
      <c r="CC641" s="139" t="n">
        <f aca="false">DATOS_[[#This Row],[S.BASE]]</f>
        <v>0</v>
      </c>
      <c r="CD641" s="139" t="n">
        <f aca="false">+SUM(DATOS_[[#This Row],[Conc.Sal.01]:[Conc.Sal.30]])</f>
        <v>0</v>
      </c>
      <c r="CE641" s="139" t="n">
        <f aca="false">+DATOS_[[#This Row],[SALARIO BASE Ef]]+DATOS_[[#This Row],[Tot COMPL.SAL Ef]]</f>
        <v>0</v>
      </c>
      <c r="CF641" s="139" t="n">
        <f aca="false">+SUM(DATOS_[[#This Row],[C.Extra.01]:[C.Extra.05]])</f>
        <v>0</v>
      </c>
      <c r="CG641" s="139" t="n">
        <f aca="false">+DATOS_[[#This Row],[TOTAL SALARIO Ef]]+DATOS_[[#This Row],[Tot Extrasalarial Ef]]</f>
        <v>0</v>
      </c>
      <c r="CH641" s="140" t="n">
        <f aca="false">MIN(IF(DATOS_[[#This Row],[Fecha Fin Contrato]]="",$D$4,DATOS_[[#This Row],[Fecha Fin Contrato]]),$D$4)-MAX(DATOS_[[#This Row],[Fecha de Contratación]],$D$3)+1</f>
        <v>1</v>
      </c>
      <c r="CI641" s="141" t="str">
        <f aca="false">IF(COUNTIFS(DATOS_[id],DATOS_[[#This Row],[id]])&gt;1,DATOS_[[#This Row],[id]],"")</f>
        <v/>
      </c>
      <c r="CJ641" s="141" t="n">
        <f aca="false">(Inicio!$G$10-DATOS_[[#This Row],[Fecha Nacimiento]])/365.25</f>
        <v>0</v>
      </c>
      <c r="CK641" s="141" t="n">
        <f aca="false">(Inicio!$G$10-DATOS_[[#This Row],[Fecha de Antigüedad]])/365.25</f>
        <v>0</v>
      </c>
      <c r="CL641" s="141" t="e">
        <f aca="false">+VLOOKUP(DATOS_[[#This Row],[Clave de Contrato]],TblTiposContrato13[],3,0)</f>
        <v>#N/A</v>
      </c>
      <c r="CM641" s="141" t="e">
        <f aca="false">+VLOOKUP(DATOS_[[#This Row],[Clave de Contrato]],TblTiposContrato13[],4,0)</f>
        <v>#N/A</v>
      </c>
      <c r="CN641" s="141" t="str">
        <f aca="false">VLOOKUP(DATOS_[[#This Row],[Edad]],CONTRATOS!TblRngEdad,2,1)</f>
        <v>20  o menos</v>
      </c>
      <c r="CO641" s="141" t="str">
        <f aca="false">VLOOKUP(DATOS_[[#This Row],[Antigüedad]],TblRngAntg14[],2,1)</f>
        <v>0 a 1 años</v>
      </c>
    </row>
    <row r="642" customFormat="false" ht="13.8" hidden="false" customHeight="false" outlineLevel="0" collapsed="false">
      <c r="D642" s="128"/>
      <c r="E642" s="129"/>
      <c r="F642" s="129"/>
      <c r="G642" s="129"/>
      <c r="H642" s="130"/>
      <c r="I642" s="131"/>
      <c r="J642" s="128"/>
      <c r="K642" s="132"/>
      <c r="L642" s="132"/>
      <c r="M642" s="133"/>
      <c r="N642" s="133"/>
      <c r="O642" s="133"/>
      <c r="P642" s="129"/>
      <c r="Z642" s="75"/>
      <c r="AA642" s="76"/>
      <c r="AB642" s="76"/>
      <c r="AC642" s="129"/>
      <c r="AD642" s="134"/>
      <c r="AE642" s="134"/>
      <c r="AF642" s="134"/>
      <c r="AG642" s="134"/>
      <c r="AH642" s="134"/>
      <c r="AI642" s="134"/>
      <c r="AJ642" s="134"/>
      <c r="AK642" s="134"/>
      <c r="AL642" s="134"/>
      <c r="AM642" s="134"/>
      <c r="AN642" s="134"/>
      <c r="AO642" s="134"/>
      <c r="AP642" s="134"/>
      <c r="AQ642" s="134"/>
      <c r="AR642" s="134"/>
      <c r="AS642" s="134"/>
      <c r="AT642" s="134"/>
      <c r="AU642" s="134"/>
      <c r="AV642" s="134"/>
      <c r="AW642" s="134"/>
      <c r="AX642" s="134"/>
      <c r="AY642" s="134"/>
      <c r="AZ642" s="134"/>
      <c r="BA642" s="134"/>
      <c r="BB642" s="134"/>
      <c r="BC642" s="134"/>
      <c r="BD642" s="134"/>
      <c r="BE642" s="134"/>
      <c r="BF642" s="134"/>
      <c r="BG642" s="134"/>
      <c r="BH642" s="134"/>
      <c r="BI642" s="134"/>
      <c r="BJ642" s="134"/>
      <c r="BK642" s="134"/>
      <c r="BL642" s="134"/>
      <c r="BM642" s="135"/>
      <c r="BN642" s="136" t="n">
        <f aca="false">+MAX($D$3,DATOS_[[#This Row],[Fecha Inicio Sit. Contract.]])</f>
        <v>0</v>
      </c>
      <c r="BO642" s="136" t="n">
        <f aca="false">+MIN($D$4,DATOS_[[#This Row],[Fecha Fin Sit. Contract.]])</f>
        <v>0</v>
      </c>
      <c r="BP642" s="137" t="n">
        <f aca="false">+DATOS_[[#This Row],[% de jornada]]*IF(DATOS_[[#This Row],[% jornada reducida]]="",1,DATOS_[[#This Row],[% jornada reducida]])</f>
        <v>0</v>
      </c>
      <c r="BQ642" s="137" t="n">
        <f aca="false">+(DATOS_[[#This Row],[F.fin.cal]]-DATOS_[[#This Row],[F.ini.cal]]+1)/($D$4-$D$3+1)</f>
        <v>1</v>
      </c>
      <c r="BR642" s="137" t="str">
        <f aca="false">IF(OR(AND(DATOS_[[#This Row],[Fecha Fin Contrato]]&lt;$D$3,DATOS_[[#This Row],[Fecha Fin Contrato]]&lt;&gt;""),DATOS_[[#This Row],[Fecha de Contratación]]&gt;$D$4),"Fuera","Dentro")</f>
        <v>Dentro</v>
      </c>
      <c r="BS642" s="137" t="str">
        <f aca="false" t="array" ref="BS642:BS642">IF(MAX(IF(DATOS_[id]=DATOS_[[#This Row],[id]],DATOS_[F.fin.cal]))=DATOS_[[#This Row],[F.fin.cal]],"Sí","NO")</f>
        <v>Sí</v>
      </c>
      <c r="BT642" s="137" t="str">
        <f aca="false">IF(AND(DATOS_[[#This Row],[% normaliz]]&lt;&gt;1,DATOS_[[#This Row],[% anualiz]]=1),"Sí","NO")</f>
        <v>Sí</v>
      </c>
      <c r="BU642" s="137" t="str">
        <f aca="false">IF(AND(DATOS_[[#This Row],[% normaliz]]=1,DATOS_[[#This Row],[% anualiz]]&lt;&gt;1),"Sí","NO")</f>
        <v>NO</v>
      </c>
      <c r="BV642" s="137" t="str">
        <f aca="false">IF(AND(DATOS_[[#This Row],[% normaliz]]&lt;&gt;1,DATOS_[[#This Row],[% anualiz]]&lt;&gt;1),"Sí","NO")</f>
        <v>NO</v>
      </c>
      <c r="BW642" s="137" t="str">
        <f aca="false">+IF(DATOS_[[#This Row],[% normaliz]]*DATOS_[[#This Row],[% anualiz]]=1,"NO","Sí")</f>
        <v>Sí</v>
      </c>
      <c r="BX642" s="138" t="e">
        <f aca="false">(DATOS_[[#This Row],[S.BASE]]*(1/DATOS_[[#This Row],[% normaliz]])*(1/DATOS_[[#This Row],[% anualiz]]))*IF(DATOS_[[#This Row],[Check Equiparado]]="Sí",1,0)</f>
        <v>#DIV/0!</v>
      </c>
      <c r="BY6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2" s="138" t="e">
        <f aca="false">+DATOS_[[#This Row],[SALARIO BASE Eq]]+DATOS_[[#This Row],[Tot COMPL.SAL Eq]]</f>
        <v>#DIV/0!</v>
      </c>
      <c r="CA642" s="138" t="e">
        <f aca="false" t="array" ref="CA642:CA6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2" s="138" t="e">
        <f aca="false">+DATOS_[[#This Row],[TOTAL SALARIO Eq]]+DATOS_[[#This Row],[Tot Extrasalarial Eq]]</f>
        <v>#DIV/0!</v>
      </c>
      <c r="CC642" s="139" t="n">
        <f aca="false">DATOS_[[#This Row],[S.BASE]]</f>
        <v>0</v>
      </c>
      <c r="CD642" s="139" t="n">
        <f aca="false">+SUM(DATOS_[[#This Row],[Conc.Sal.01]:[Conc.Sal.30]])</f>
        <v>0</v>
      </c>
      <c r="CE642" s="139" t="n">
        <f aca="false">+DATOS_[[#This Row],[SALARIO BASE Ef]]+DATOS_[[#This Row],[Tot COMPL.SAL Ef]]</f>
        <v>0</v>
      </c>
      <c r="CF642" s="139" t="n">
        <f aca="false">+SUM(DATOS_[[#This Row],[C.Extra.01]:[C.Extra.05]])</f>
        <v>0</v>
      </c>
      <c r="CG642" s="139" t="n">
        <f aca="false">+DATOS_[[#This Row],[TOTAL SALARIO Ef]]+DATOS_[[#This Row],[Tot Extrasalarial Ef]]</f>
        <v>0</v>
      </c>
      <c r="CH642" s="140" t="n">
        <f aca="false">MIN(IF(DATOS_[[#This Row],[Fecha Fin Contrato]]="",$D$4,DATOS_[[#This Row],[Fecha Fin Contrato]]),$D$4)-MAX(DATOS_[[#This Row],[Fecha de Contratación]],$D$3)+1</f>
        <v>1</v>
      </c>
      <c r="CI642" s="141" t="str">
        <f aca="false">IF(COUNTIFS(DATOS_[id],DATOS_[[#This Row],[id]])&gt;1,DATOS_[[#This Row],[id]],"")</f>
        <v/>
      </c>
      <c r="CJ642" s="141" t="n">
        <f aca="false">(Inicio!$G$10-DATOS_[[#This Row],[Fecha Nacimiento]])/365.25</f>
        <v>0</v>
      </c>
      <c r="CK642" s="141" t="n">
        <f aca="false">(Inicio!$G$10-DATOS_[[#This Row],[Fecha de Antigüedad]])/365.25</f>
        <v>0</v>
      </c>
      <c r="CL642" s="141" t="e">
        <f aca="false">+VLOOKUP(DATOS_[[#This Row],[Clave de Contrato]],TblTiposContrato13[],3,0)</f>
        <v>#N/A</v>
      </c>
      <c r="CM642" s="141" t="e">
        <f aca="false">+VLOOKUP(DATOS_[[#This Row],[Clave de Contrato]],TblTiposContrato13[],4,0)</f>
        <v>#N/A</v>
      </c>
      <c r="CN642" s="141" t="str">
        <f aca="false">VLOOKUP(DATOS_[[#This Row],[Edad]],CONTRATOS!TblRngEdad,2,1)</f>
        <v>20  o menos</v>
      </c>
      <c r="CO642" s="141" t="str">
        <f aca="false">VLOOKUP(DATOS_[[#This Row],[Antigüedad]],TblRngAntg14[],2,1)</f>
        <v>0 a 1 años</v>
      </c>
    </row>
    <row r="643" customFormat="false" ht="13.8" hidden="false" customHeight="false" outlineLevel="0" collapsed="false">
      <c r="D643" s="128"/>
      <c r="E643" s="129"/>
      <c r="F643" s="129"/>
      <c r="G643" s="129"/>
      <c r="H643" s="130"/>
      <c r="I643" s="131"/>
      <c r="J643" s="128"/>
      <c r="K643" s="132"/>
      <c r="L643" s="132"/>
      <c r="M643" s="133"/>
      <c r="N643" s="133"/>
      <c r="O643" s="133"/>
      <c r="P643" s="129"/>
      <c r="Z643" s="75"/>
      <c r="AA643" s="76"/>
      <c r="AB643" s="76"/>
      <c r="AC643" s="129"/>
      <c r="AD643" s="134"/>
      <c r="AE643" s="134"/>
      <c r="AF643" s="134"/>
      <c r="AG643" s="134"/>
      <c r="AH643" s="134"/>
      <c r="AI643" s="134"/>
      <c r="AJ643" s="134"/>
      <c r="AK643" s="134"/>
      <c r="AL643" s="134"/>
      <c r="AM643" s="134"/>
      <c r="AN643" s="134"/>
      <c r="AO643" s="134"/>
      <c r="AP643" s="134"/>
      <c r="AQ643" s="134"/>
      <c r="AR643" s="134"/>
      <c r="AS643" s="134"/>
      <c r="AT643" s="134"/>
      <c r="AU643" s="134"/>
      <c r="AV643" s="134"/>
      <c r="AW643" s="134"/>
      <c r="AX643" s="134"/>
      <c r="AY643" s="134"/>
      <c r="AZ643" s="134"/>
      <c r="BA643" s="134"/>
      <c r="BB643" s="134"/>
      <c r="BC643" s="134"/>
      <c r="BD643" s="134"/>
      <c r="BE643" s="134"/>
      <c r="BF643" s="134"/>
      <c r="BG643" s="134"/>
      <c r="BH643" s="134"/>
      <c r="BI643" s="134"/>
      <c r="BJ643" s="134"/>
      <c r="BK643" s="134"/>
      <c r="BL643" s="134"/>
      <c r="BM643" s="135"/>
      <c r="BN643" s="136" t="n">
        <f aca="false">+MAX($D$3,DATOS_[[#This Row],[Fecha Inicio Sit. Contract.]])</f>
        <v>0</v>
      </c>
      <c r="BO643" s="136" t="n">
        <f aca="false">+MIN($D$4,DATOS_[[#This Row],[Fecha Fin Sit. Contract.]])</f>
        <v>0</v>
      </c>
      <c r="BP643" s="137" t="n">
        <f aca="false">+DATOS_[[#This Row],[% de jornada]]*IF(DATOS_[[#This Row],[% jornada reducida]]="",1,DATOS_[[#This Row],[% jornada reducida]])</f>
        <v>0</v>
      </c>
      <c r="BQ643" s="137" t="n">
        <f aca="false">+(DATOS_[[#This Row],[F.fin.cal]]-DATOS_[[#This Row],[F.ini.cal]]+1)/($D$4-$D$3+1)</f>
        <v>1</v>
      </c>
      <c r="BR643" s="137" t="str">
        <f aca="false">IF(OR(AND(DATOS_[[#This Row],[Fecha Fin Contrato]]&lt;$D$3,DATOS_[[#This Row],[Fecha Fin Contrato]]&lt;&gt;""),DATOS_[[#This Row],[Fecha de Contratación]]&gt;$D$4),"Fuera","Dentro")</f>
        <v>Dentro</v>
      </c>
      <c r="BS643" s="137" t="str">
        <f aca="false" t="array" ref="BS643:BS643">IF(MAX(IF(DATOS_[id]=DATOS_[[#This Row],[id]],DATOS_[F.fin.cal]))=DATOS_[[#This Row],[F.fin.cal]],"Sí","NO")</f>
        <v>Sí</v>
      </c>
      <c r="BT643" s="137" t="str">
        <f aca="false">IF(AND(DATOS_[[#This Row],[% normaliz]]&lt;&gt;1,DATOS_[[#This Row],[% anualiz]]=1),"Sí","NO")</f>
        <v>Sí</v>
      </c>
      <c r="BU643" s="137" t="str">
        <f aca="false">IF(AND(DATOS_[[#This Row],[% normaliz]]=1,DATOS_[[#This Row],[% anualiz]]&lt;&gt;1),"Sí","NO")</f>
        <v>NO</v>
      </c>
      <c r="BV643" s="137" t="str">
        <f aca="false">IF(AND(DATOS_[[#This Row],[% normaliz]]&lt;&gt;1,DATOS_[[#This Row],[% anualiz]]&lt;&gt;1),"Sí","NO")</f>
        <v>NO</v>
      </c>
      <c r="BW643" s="137" t="str">
        <f aca="false">+IF(DATOS_[[#This Row],[% normaliz]]*DATOS_[[#This Row],[% anualiz]]=1,"NO","Sí")</f>
        <v>Sí</v>
      </c>
      <c r="BX643" s="138" t="e">
        <f aca="false">(DATOS_[[#This Row],[S.BASE]]*(1/DATOS_[[#This Row],[% normaliz]])*(1/DATOS_[[#This Row],[% anualiz]]))*IF(DATOS_[[#This Row],[Check Equiparado]]="Sí",1,0)</f>
        <v>#DIV/0!</v>
      </c>
      <c r="BY6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3" s="138" t="e">
        <f aca="false">+DATOS_[[#This Row],[SALARIO BASE Eq]]+DATOS_[[#This Row],[Tot COMPL.SAL Eq]]</f>
        <v>#DIV/0!</v>
      </c>
      <c r="CA643" s="138" t="e">
        <f aca="false" t="array" ref="CA643:CA6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3" s="138" t="e">
        <f aca="false">+DATOS_[[#This Row],[TOTAL SALARIO Eq]]+DATOS_[[#This Row],[Tot Extrasalarial Eq]]</f>
        <v>#DIV/0!</v>
      </c>
      <c r="CC643" s="139" t="n">
        <f aca="false">DATOS_[[#This Row],[S.BASE]]</f>
        <v>0</v>
      </c>
      <c r="CD643" s="139" t="n">
        <f aca="false">+SUM(DATOS_[[#This Row],[Conc.Sal.01]:[Conc.Sal.30]])</f>
        <v>0</v>
      </c>
      <c r="CE643" s="139" t="n">
        <f aca="false">+DATOS_[[#This Row],[SALARIO BASE Ef]]+DATOS_[[#This Row],[Tot COMPL.SAL Ef]]</f>
        <v>0</v>
      </c>
      <c r="CF643" s="139" t="n">
        <f aca="false">+SUM(DATOS_[[#This Row],[C.Extra.01]:[C.Extra.05]])</f>
        <v>0</v>
      </c>
      <c r="CG643" s="139" t="n">
        <f aca="false">+DATOS_[[#This Row],[TOTAL SALARIO Ef]]+DATOS_[[#This Row],[Tot Extrasalarial Ef]]</f>
        <v>0</v>
      </c>
      <c r="CH643" s="140" t="n">
        <f aca="false">MIN(IF(DATOS_[[#This Row],[Fecha Fin Contrato]]="",$D$4,DATOS_[[#This Row],[Fecha Fin Contrato]]),$D$4)-MAX(DATOS_[[#This Row],[Fecha de Contratación]],$D$3)+1</f>
        <v>1</v>
      </c>
      <c r="CI643" s="141" t="str">
        <f aca="false">IF(COUNTIFS(DATOS_[id],DATOS_[[#This Row],[id]])&gt;1,DATOS_[[#This Row],[id]],"")</f>
        <v/>
      </c>
      <c r="CJ643" s="141" t="n">
        <f aca="false">(Inicio!$G$10-DATOS_[[#This Row],[Fecha Nacimiento]])/365.25</f>
        <v>0</v>
      </c>
      <c r="CK643" s="141" t="n">
        <f aca="false">(Inicio!$G$10-DATOS_[[#This Row],[Fecha de Antigüedad]])/365.25</f>
        <v>0</v>
      </c>
      <c r="CL643" s="141" t="e">
        <f aca="false">+VLOOKUP(DATOS_[[#This Row],[Clave de Contrato]],TblTiposContrato13[],3,0)</f>
        <v>#N/A</v>
      </c>
      <c r="CM643" s="141" t="e">
        <f aca="false">+VLOOKUP(DATOS_[[#This Row],[Clave de Contrato]],TblTiposContrato13[],4,0)</f>
        <v>#N/A</v>
      </c>
      <c r="CN643" s="141" t="str">
        <f aca="false">VLOOKUP(DATOS_[[#This Row],[Edad]],CONTRATOS!TblRngEdad,2,1)</f>
        <v>20  o menos</v>
      </c>
      <c r="CO643" s="141" t="str">
        <f aca="false">VLOOKUP(DATOS_[[#This Row],[Antigüedad]],TblRngAntg14[],2,1)</f>
        <v>0 a 1 años</v>
      </c>
    </row>
    <row r="644" customFormat="false" ht="13.8" hidden="false" customHeight="false" outlineLevel="0" collapsed="false">
      <c r="D644" s="128"/>
      <c r="E644" s="129"/>
      <c r="F644" s="129"/>
      <c r="G644" s="129"/>
      <c r="H644" s="130"/>
      <c r="I644" s="131"/>
      <c r="J644" s="128"/>
      <c r="K644" s="132"/>
      <c r="L644" s="132"/>
      <c r="M644" s="133"/>
      <c r="N644" s="133"/>
      <c r="O644" s="133"/>
      <c r="P644" s="129"/>
      <c r="Z644" s="75"/>
      <c r="AA644" s="76"/>
      <c r="AB644" s="76"/>
      <c r="AC644" s="129"/>
      <c r="AD644" s="134"/>
      <c r="AE644" s="134"/>
      <c r="AF644" s="134"/>
      <c r="AG644" s="134"/>
      <c r="AH644" s="134"/>
      <c r="AI644" s="134"/>
      <c r="AJ644" s="134"/>
      <c r="AK644" s="134"/>
      <c r="AL644" s="134"/>
      <c r="AM644" s="134"/>
      <c r="AN644" s="134"/>
      <c r="AO644" s="134"/>
      <c r="AP644" s="134"/>
      <c r="AQ644" s="134"/>
      <c r="AR644" s="134"/>
      <c r="AS644" s="134"/>
      <c r="AT644" s="134"/>
      <c r="AU644" s="134"/>
      <c r="AV644" s="134"/>
      <c r="AW644" s="134"/>
      <c r="AX644" s="134"/>
      <c r="AY644" s="134"/>
      <c r="AZ644" s="134"/>
      <c r="BA644" s="134"/>
      <c r="BB644" s="134"/>
      <c r="BC644" s="134"/>
      <c r="BD644" s="134"/>
      <c r="BE644" s="134"/>
      <c r="BF644" s="134"/>
      <c r="BG644" s="134"/>
      <c r="BH644" s="134"/>
      <c r="BI644" s="134"/>
      <c r="BJ644" s="134"/>
      <c r="BK644" s="134"/>
      <c r="BL644" s="134"/>
      <c r="BM644" s="135"/>
      <c r="BN644" s="136" t="n">
        <f aca="false">+MAX($D$3,DATOS_[[#This Row],[Fecha Inicio Sit. Contract.]])</f>
        <v>0</v>
      </c>
      <c r="BO644" s="136" t="n">
        <f aca="false">+MIN($D$4,DATOS_[[#This Row],[Fecha Fin Sit. Contract.]])</f>
        <v>0</v>
      </c>
      <c r="BP644" s="137" t="n">
        <f aca="false">+DATOS_[[#This Row],[% de jornada]]*IF(DATOS_[[#This Row],[% jornada reducida]]="",1,DATOS_[[#This Row],[% jornada reducida]])</f>
        <v>0</v>
      </c>
      <c r="BQ644" s="137" t="n">
        <f aca="false">+(DATOS_[[#This Row],[F.fin.cal]]-DATOS_[[#This Row],[F.ini.cal]]+1)/($D$4-$D$3+1)</f>
        <v>1</v>
      </c>
      <c r="BR644" s="137" t="str">
        <f aca="false">IF(OR(AND(DATOS_[[#This Row],[Fecha Fin Contrato]]&lt;$D$3,DATOS_[[#This Row],[Fecha Fin Contrato]]&lt;&gt;""),DATOS_[[#This Row],[Fecha de Contratación]]&gt;$D$4),"Fuera","Dentro")</f>
        <v>Dentro</v>
      </c>
      <c r="BS644" s="137" t="str">
        <f aca="false" t="array" ref="BS644:BS644">IF(MAX(IF(DATOS_[id]=DATOS_[[#This Row],[id]],DATOS_[F.fin.cal]))=DATOS_[[#This Row],[F.fin.cal]],"Sí","NO")</f>
        <v>Sí</v>
      </c>
      <c r="BT644" s="137" t="str">
        <f aca="false">IF(AND(DATOS_[[#This Row],[% normaliz]]&lt;&gt;1,DATOS_[[#This Row],[% anualiz]]=1),"Sí","NO")</f>
        <v>Sí</v>
      </c>
      <c r="BU644" s="137" t="str">
        <f aca="false">IF(AND(DATOS_[[#This Row],[% normaliz]]=1,DATOS_[[#This Row],[% anualiz]]&lt;&gt;1),"Sí","NO")</f>
        <v>NO</v>
      </c>
      <c r="BV644" s="137" t="str">
        <f aca="false">IF(AND(DATOS_[[#This Row],[% normaliz]]&lt;&gt;1,DATOS_[[#This Row],[% anualiz]]&lt;&gt;1),"Sí","NO")</f>
        <v>NO</v>
      </c>
      <c r="BW644" s="137" t="str">
        <f aca="false">+IF(DATOS_[[#This Row],[% normaliz]]*DATOS_[[#This Row],[% anualiz]]=1,"NO","Sí")</f>
        <v>Sí</v>
      </c>
      <c r="BX644" s="138" t="e">
        <f aca="false">(DATOS_[[#This Row],[S.BASE]]*(1/DATOS_[[#This Row],[% normaliz]])*(1/DATOS_[[#This Row],[% anualiz]]))*IF(DATOS_[[#This Row],[Check Equiparado]]="Sí",1,0)</f>
        <v>#DIV/0!</v>
      </c>
      <c r="BY6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4" s="138" t="e">
        <f aca="false">+DATOS_[[#This Row],[SALARIO BASE Eq]]+DATOS_[[#This Row],[Tot COMPL.SAL Eq]]</f>
        <v>#DIV/0!</v>
      </c>
      <c r="CA644" s="138" t="e">
        <f aca="false" t="array" ref="CA644:CA6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4" s="138" t="e">
        <f aca="false">+DATOS_[[#This Row],[TOTAL SALARIO Eq]]+DATOS_[[#This Row],[Tot Extrasalarial Eq]]</f>
        <v>#DIV/0!</v>
      </c>
      <c r="CC644" s="139" t="n">
        <f aca="false">DATOS_[[#This Row],[S.BASE]]</f>
        <v>0</v>
      </c>
      <c r="CD644" s="139" t="n">
        <f aca="false">+SUM(DATOS_[[#This Row],[Conc.Sal.01]:[Conc.Sal.30]])</f>
        <v>0</v>
      </c>
      <c r="CE644" s="139" t="n">
        <f aca="false">+DATOS_[[#This Row],[SALARIO BASE Ef]]+DATOS_[[#This Row],[Tot COMPL.SAL Ef]]</f>
        <v>0</v>
      </c>
      <c r="CF644" s="139" t="n">
        <f aca="false">+SUM(DATOS_[[#This Row],[C.Extra.01]:[C.Extra.05]])</f>
        <v>0</v>
      </c>
      <c r="CG644" s="139" t="n">
        <f aca="false">+DATOS_[[#This Row],[TOTAL SALARIO Ef]]+DATOS_[[#This Row],[Tot Extrasalarial Ef]]</f>
        <v>0</v>
      </c>
      <c r="CH644" s="140" t="n">
        <f aca="false">MIN(IF(DATOS_[[#This Row],[Fecha Fin Contrato]]="",$D$4,DATOS_[[#This Row],[Fecha Fin Contrato]]),$D$4)-MAX(DATOS_[[#This Row],[Fecha de Contratación]],$D$3)+1</f>
        <v>1</v>
      </c>
      <c r="CI644" s="141" t="str">
        <f aca="false">IF(COUNTIFS(DATOS_[id],DATOS_[[#This Row],[id]])&gt;1,DATOS_[[#This Row],[id]],"")</f>
        <v/>
      </c>
      <c r="CJ644" s="141" t="n">
        <f aca="false">(Inicio!$G$10-DATOS_[[#This Row],[Fecha Nacimiento]])/365.25</f>
        <v>0</v>
      </c>
      <c r="CK644" s="141" t="n">
        <f aca="false">(Inicio!$G$10-DATOS_[[#This Row],[Fecha de Antigüedad]])/365.25</f>
        <v>0</v>
      </c>
      <c r="CL644" s="141" t="e">
        <f aca="false">+VLOOKUP(DATOS_[[#This Row],[Clave de Contrato]],TblTiposContrato13[],3,0)</f>
        <v>#N/A</v>
      </c>
      <c r="CM644" s="141" t="e">
        <f aca="false">+VLOOKUP(DATOS_[[#This Row],[Clave de Contrato]],TblTiposContrato13[],4,0)</f>
        <v>#N/A</v>
      </c>
      <c r="CN644" s="141" t="str">
        <f aca="false">VLOOKUP(DATOS_[[#This Row],[Edad]],CONTRATOS!TblRngEdad,2,1)</f>
        <v>20  o menos</v>
      </c>
      <c r="CO644" s="141" t="str">
        <f aca="false">VLOOKUP(DATOS_[[#This Row],[Antigüedad]],TblRngAntg14[],2,1)</f>
        <v>0 a 1 años</v>
      </c>
    </row>
    <row r="645" customFormat="false" ht="13.8" hidden="false" customHeight="false" outlineLevel="0" collapsed="false">
      <c r="D645" s="128"/>
      <c r="E645" s="129"/>
      <c r="F645" s="129"/>
      <c r="G645" s="129"/>
      <c r="H645" s="130"/>
      <c r="I645" s="131"/>
      <c r="J645" s="128"/>
      <c r="K645" s="132"/>
      <c r="L645" s="132"/>
      <c r="M645" s="133"/>
      <c r="N645" s="133"/>
      <c r="O645" s="133"/>
      <c r="P645" s="129"/>
      <c r="Z645" s="75"/>
      <c r="AA645" s="76"/>
      <c r="AB645" s="76"/>
      <c r="AC645" s="129"/>
      <c r="AD645" s="134"/>
      <c r="AE645" s="134"/>
      <c r="AF645" s="134"/>
      <c r="AG645" s="134"/>
      <c r="AH645" s="134"/>
      <c r="AI645" s="134"/>
      <c r="AJ645" s="134"/>
      <c r="AK645" s="134"/>
      <c r="AL645" s="134"/>
      <c r="AM645" s="134"/>
      <c r="AN645" s="134"/>
      <c r="AO645" s="134"/>
      <c r="AP645" s="134"/>
      <c r="AQ645" s="134"/>
      <c r="AR645" s="134"/>
      <c r="AS645" s="134"/>
      <c r="AT645" s="134"/>
      <c r="AU645" s="134"/>
      <c r="AV645" s="134"/>
      <c r="AW645" s="134"/>
      <c r="AX645" s="134"/>
      <c r="AY645" s="134"/>
      <c r="AZ645" s="134"/>
      <c r="BA645" s="134"/>
      <c r="BB645" s="134"/>
      <c r="BC645" s="134"/>
      <c r="BD645" s="134"/>
      <c r="BE645" s="134"/>
      <c r="BF645" s="134"/>
      <c r="BG645" s="134"/>
      <c r="BH645" s="134"/>
      <c r="BI645" s="134"/>
      <c r="BJ645" s="134"/>
      <c r="BK645" s="134"/>
      <c r="BL645" s="134"/>
      <c r="BM645" s="135"/>
      <c r="BN645" s="136" t="n">
        <f aca="false">+MAX($D$3,DATOS_[[#This Row],[Fecha Inicio Sit. Contract.]])</f>
        <v>0</v>
      </c>
      <c r="BO645" s="136" t="n">
        <f aca="false">+MIN($D$4,DATOS_[[#This Row],[Fecha Fin Sit. Contract.]])</f>
        <v>0</v>
      </c>
      <c r="BP645" s="137" t="n">
        <f aca="false">+DATOS_[[#This Row],[% de jornada]]*IF(DATOS_[[#This Row],[% jornada reducida]]="",1,DATOS_[[#This Row],[% jornada reducida]])</f>
        <v>0</v>
      </c>
      <c r="BQ645" s="137" t="n">
        <f aca="false">+(DATOS_[[#This Row],[F.fin.cal]]-DATOS_[[#This Row],[F.ini.cal]]+1)/($D$4-$D$3+1)</f>
        <v>1</v>
      </c>
      <c r="BR645" s="137" t="str">
        <f aca="false">IF(OR(AND(DATOS_[[#This Row],[Fecha Fin Contrato]]&lt;$D$3,DATOS_[[#This Row],[Fecha Fin Contrato]]&lt;&gt;""),DATOS_[[#This Row],[Fecha de Contratación]]&gt;$D$4),"Fuera","Dentro")</f>
        <v>Dentro</v>
      </c>
      <c r="BS645" s="137" t="str">
        <f aca="false" t="array" ref="BS645:BS645">IF(MAX(IF(DATOS_[id]=DATOS_[[#This Row],[id]],DATOS_[F.fin.cal]))=DATOS_[[#This Row],[F.fin.cal]],"Sí","NO")</f>
        <v>Sí</v>
      </c>
      <c r="BT645" s="137" t="str">
        <f aca="false">IF(AND(DATOS_[[#This Row],[% normaliz]]&lt;&gt;1,DATOS_[[#This Row],[% anualiz]]=1),"Sí","NO")</f>
        <v>Sí</v>
      </c>
      <c r="BU645" s="137" t="str">
        <f aca="false">IF(AND(DATOS_[[#This Row],[% normaliz]]=1,DATOS_[[#This Row],[% anualiz]]&lt;&gt;1),"Sí","NO")</f>
        <v>NO</v>
      </c>
      <c r="BV645" s="137" t="str">
        <f aca="false">IF(AND(DATOS_[[#This Row],[% normaliz]]&lt;&gt;1,DATOS_[[#This Row],[% anualiz]]&lt;&gt;1),"Sí","NO")</f>
        <v>NO</v>
      </c>
      <c r="BW645" s="137" t="str">
        <f aca="false">+IF(DATOS_[[#This Row],[% normaliz]]*DATOS_[[#This Row],[% anualiz]]=1,"NO","Sí")</f>
        <v>Sí</v>
      </c>
      <c r="BX645" s="138" t="e">
        <f aca="false">(DATOS_[[#This Row],[S.BASE]]*(1/DATOS_[[#This Row],[% normaliz]])*(1/DATOS_[[#This Row],[% anualiz]]))*IF(DATOS_[[#This Row],[Check Equiparado]]="Sí",1,0)</f>
        <v>#DIV/0!</v>
      </c>
      <c r="BY6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5" s="138" t="e">
        <f aca="false">+DATOS_[[#This Row],[SALARIO BASE Eq]]+DATOS_[[#This Row],[Tot COMPL.SAL Eq]]</f>
        <v>#DIV/0!</v>
      </c>
      <c r="CA645" s="138" t="e">
        <f aca="false" t="array" ref="CA645:CA6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5" s="138" t="e">
        <f aca="false">+DATOS_[[#This Row],[TOTAL SALARIO Eq]]+DATOS_[[#This Row],[Tot Extrasalarial Eq]]</f>
        <v>#DIV/0!</v>
      </c>
      <c r="CC645" s="139" t="n">
        <f aca="false">DATOS_[[#This Row],[S.BASE]]</f>
        <v>0</v>
      </c>
      <c r="CD645" s="139" t="n">
        <f aca="false">+SUM(DATOS_[[#This Row],[Conc.Sal.01]:[Conc.Sal.30]])</f>
        <v>0</v>
      </c>
      <c r="CE645" s="139" t="n">
        <f aca="false">+DATOS_[[#This Row],[SALARIO BASE Ef]]+DATOS_[[#This Row],[Tot COMPL.SAL Ef]]</f>
        <v>0</v>
      </c>
      <c r="CF645" s="139" t="n">
        <f aca="false">+SUM(DATOS_[[#This Row],[C.Extra.01]:[C.Extra.05]])</f>
        <v>0</v>
      </c>
      <c r="CG645" s="139" t="n">
        <f aca="false">+DATOS_[[#This Row],[TOTAL SALARIO Ef]]+DATOS_[[#This Row],[Tot Extrasalarial Ef]]</f>
        <v>0</v>
      </c>
      <c r="CH645" s="140" t="n">
        <f aca="false">MIN(IF(DATOS_[[#This Row],[Fecha Fin Contrato]]="",$D$4,DATOS_[[#This Row],[Fecha Fin Contrato]]),$D$4)-MAX(DATOS_[[#This Row],[Fecha de Contratación]],$D$3)+1</f>
        <v>1</v>
      </c>
      <c r="CI645" s="141" t="str">
        <f aca="false">IF(COUNTIFS(DATOS_[id],DATOS_[[#This Row],[id]])&gt;1,DATOS_[[#This Row],[id]],"")</f>
        <v/>
      </c>
      <c r="CJ645" s="141" t="n">
        <f aca="false">(Inicio!$G$10-DATOS_[[#This Row],[Fecha Nacimiento]])/365.25</f>
        <v>0</v>
      </c>
      <c r="CK645" s="141" t="n">
        <f aca="false">(Inicio!$G$10-DATOS_[[#This Row],[Fecha de Antigüedad]])/365.25</f>
        <v>0</v>
      </c>
      <c r="CL645" s="141" t="e">
        <f aca="false">+VLOOKUP(DATOS_[[#This Row],[Clave de Contrato]],TblTiposContrato13[],3,0)</f>
        <v>#N/A</v>
      </c>
      <c r="CM645" s="141" t="e">
        <f aca="false">+VLOOKUP(DATOS_[[#This Row],[Clave de Contrato]],TblTiposContrato13[],4,0)</f>
        <v>#N/A</v>
      </c>
      <c r="CN645" s="141" t="str">
        <f aca="false">VLOOKUP(DATOS_[[#This Row],[Edad]],CONTRATOS!TblRngEdad,2,1)</f>
        <v>20  o menos</v>
      </c>
      <c r="CO645" s="141" t="str">
        <f aca="false">VLOOKUP(DATOS_[[#This Row],[Antigüedad]],TblRngAntg14[],2,1)</f>
        <v>0 a 1 años</v>
      </c>
    </row>
    <row r="646" customFormat="false" ht="13.8" hidden="false" customHeight="false" outlineLevel="0" collapsed="false">
      <c r="D646" s="128"/>
      <c r="E646" s="129"/>
      <c r="F646" s="129"/>
      <c r="G646" s="129"/>
      <c r="H646" s="130"/>
      <c r="I646" s="131"/>
      <c r="J646" s="128"/>
      <c r="K646" s="132"/>
      <c r="L646" s="132"/>
      <c r="M646" s="133"/>
      <c r="N646" s="133"/>
      <c r="O646" s="133"/>
      <c r="P646" s="129"/>
      <c r="Z646" s="75"/>
      <c r="AA646" s="76"/>
      <c r="AB646" s="76"/>
      <c r="AC646" s="129"/>
      <c r="AD646" s="134"/>
      <c r="AE646" s="134"/>
      <c r="AF646" s="134"/>
      <c r="AG646" s="134"/>
      <c r="AH646" s="134"/>
      <c r="AI646" s="134"/>
      <c r="AJ646" s="134"/>
      <c r="AK646" s="134"/>
      <c r="AL646" s="134"/>
      <c r="AM646" s="134"/>
      <c r="AN646" s="134"/>
      <c r="AO646" s="134"/>
      <c r="AP646" s="134"/>
      <c r="AQ646" s="134"/>
      <c r="AR646" s="134"/>
      <c r="AS646" s="134"/>
      <c r="AT646" s="134"/>
      <c r="AU646" s="134"/>
      <c r="AV646" s="134"/>
      <c r="AW646" s="134"/>
      <c r="AX646" s="134"/>
      <c r="AY646" s="134"/>
      <c r="AZ646" s="134"/>
      <c r="BA646" s="134"/>
      <c r="BB646" s="134"/>
      <c r="BC646" s="134"/>
      <c r="BD646" s="134"/>
      <c r="BE646" s="134"/>
      <c r="BF646" s="134"/>
      <c r="BG646" s="134"/>
      <c r="BH646" s="134"/>
      <c r="BI646" s="134"/>
      <c r="BJ646" s="134"/>
      <c r="BK646" s="134"/>
      <c r="BL646" s="134"/>
      <c r="BM646" s="135"/>
      <c r="BN646" s="136" t="n">
        <f aca="false">+MAX($D$3,DATOS_[[#This Row],[Fecha Inicio Sit. Contract.]])</f>
        <v>0</v>
      </c>
      <c r="BO646" s="136" t="n">
        <f aca="false">+MIN($D$4,DATOS_[[#This Row],[Fecha Fin Sit. Contract.]])</f>
        <v>0</v>
      </c>
      <c r="BP646" s="137" t="n">
        <f aca="false">+DATOS_[[#This Row],[% de jornada]]*IF(DATOS_[[#This Row],[% jornada reducida]]="",1,DATOS_[[#This Row],[% jornada reducida]])</f>
        <v>0</v>
      </c>
      <c r="BQ646" s="137" t="n">
        <f aca="false">+(DATOS_[[#This Row],[F.fin.cal]]-DATOS_[[#This Row],[F.ini.cal]]+1)/($D$4-$D$3+1)</f>
        <v>1</v>
      </c>
      <c r="BR646" s="137" t="str">
        <f aca="false">IF(OR(AND(DATOS_[[#This Row],[Fecha Fin Contrato]]&lt;$D$3,DATOS_[[#This Row],[Fecha Fin Contrato]]&lt;&gt;""),DATOS_[[#This Row],[Fecha de Contratación]]&gt;$D$4),"Fuera","Dentro")</f>
        <v>Dentro</v>
      </c>
      <c r="BS646" s="137" t="str">
        <f aca="false" t="array" ref="BS646:BS646">IF(MAX(IF(DATOS_[id]=DATOS_[[#This Row],[id]],DATOS_[F.fin.cal]))=DATOS_[[#This Row],[F.fin.cal]],"Sí","NO")</f>
        <v>Sí</v>
      </c>
      <c r="BT646" s="137" t="str">
        <f aca="false">IF(AND(DATOS_[[#This Row],[% normaliz]]&lt;&gt;1,DATOS_[[#This Row],[% anualiz]]=1),"Sí","NO")</f>
        <v>Sí</v>
      </c>
      <c r="BU646" s="137" t="str">
        <f aca="false">IF(AND(DATOS_[[#This Row],[% normaliz]]=1,DATOS_[[#This Row],[% anualiz]]&lt;&gt;1),"Sí","NO")</f>
        <v>NO</v>
      </c>
      <c r="BV646" s="137" t="str">
        <f aca="false">IF(AND(DATOS_[[#This Row],[% normaliz]]&lt;&gt;1,DATOS_[[#This Row],[% anualiz]]&lt;&gt;1),"Sí","NO")</f>
        <v>NO</v>
      </c>
      <c r="BW646" s="137" t="str">
        <f aca="false">+IF(DATOS_[[#This Row],[% normaliz]]*DATOS_[[#This Row],[% anualiz]]=1,"NO","Sí")</f>
        <v>Sí</v>
      </c>
      <c r="BX646" s="138" t="e">
        <f aca="false">(DATOS_[[#This Row],[S.BASE]]*(1/DATOS_[[#This Row],[% normaliz]])*(1/DATOS_[[#This Row],[% anualiz]]))*IF(DATOS_[[#This Row],[Check Equiparado]]="Sí",1,0)</f>
        <v>#DIV/0!</v>
      </c>
      <c r="BY6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6" s="138" t="e">
        <f aca="false">+DATOS_[[#This Row],[SALARIO BASE Eq]]+DATOS_[[#This Row],[Tot COMPL.SAL Eq]]</f>
        <v>#DIV/0!</v>
      </c>
      <c r="CA646" s="138" t="e">
        <f aca="false" t="array" ref="CA646:CA6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6" s="138" t="e">
        <f aca="false">+DATOS_[[#This Row],[TOTAL SALARIO Eq]]+DATOS_[[#This Row],[Tot Extrasalarial Eq]]</f>
        <v>#DIV/0!</v>
      </c>
      <c r="CC646" s="139" t="n">
        <f aca="false">DATOS_[[#This Row],[S.BASE]]</f>
        <v>0</v>
      </c>
      <c r="CD646" s="139" t="n">
        <f aca="false">+SUM(DATOS_[[#This Row],[Conc.Sal.01]:[Conc.Sal.30]])</f>
        <v>0</v>
      </c>
      <c r="CE646" s="139" t="n">
        <f aca="false">+DATOS_[[#This Row],[SALARIO BASE Ef]]+DATOS_[[#This Row],[Tot COMPL.SAL Ef]]</f>
        <v>0</v>
      </c>
      <c r="CF646" s="139" t="n">
        <f aca="false">+SUM(DATOS_[[#This Row],[C.Extra.01]:[C.Extra.05]])</f>
        <v>0</v>
      </c>
      <c r="CG646" s="139" t="n">
        <f aca="false">+DATOS_[[#This Row],[TOTAL SALARIO Ef]]+DATOS_[[#This Row],[Tot Extrasalarial Ef]]</f>
        <v>0</v>
      </c>
      <c r="CH646" s="140" t="n">
        <f aca="false">MIN(IF(DATOS_[[#This Row],[Fecha Fin Contrato]]="",$D$4,DATOS_[[#This Row],[Fecha Fin Contrato]]),$D$4)-MAX(DATOS_[[#This Row],[Fecha de Contratación]],$D$3)+1</f>
        <v>1</v>
      </c>
      <c r="CI646" s="141" t="str">
        <f aca="false">IF(COUNTIFS(DATOS_[id],DATOS_[[#This Row],[id]])&gt;1,DATOS_[[#This Row],[id]],"")</f>
        <v/>
      </c>
      <c r="CJ646" s="141" t="n">
        <f aca="false">(Inicio!$G$10-DATOS_[[#This Row],[Fecha Nacimiento]])/365.25</f>
        <v>0</v>
      </c>
      <c r="CK646" s="141" t="n">
        <f aca="false">(Inicio!$G$10-DATOS_[[#This Row],[Fecha de Antigüedad]])/365.25</f>
        <v>0</v>
      </c>
      <c r="CL646" s="141" t="e">
        <f aca="false">+VLOOKUP(DATOS_[[#This Row],[Clave de Contrato]],TblTiposContrato13[],3,0)</f>
        <v>#N/A</v>
      </c>
      <c r="CM646" s="141" t="e">
        <f aca="false">+VLOOKUP(DATOS_[[#This Row],[Clave de Contrato]],TblTiposContrato13[],4,0)</f>
        <v>#N/A</v>
      </c>
      <c r="CN646" s="141" t="str">
        <f aca="false">VLOOKUP(DATOS_[[#This Row],[Edad]],CONTRATOS!TblRngEdad,2,1)</f>
        <v>20  o menos</v>
      </c>
      <c r="CO646" s="141" t="str">
        <f aca="false">VLOOKUP(DATOS_[[#This Row],[Antigüedad]],TblRngAntg14[],2,1)</f>
        <v>0 a 1 años</v>
      </c>
    </row>
    <row r="647" customFormat="false" ht="13.8" hidden="false" customHeight="false" outlineLevel="0" collapsed="false">
      <c r="D647" s="128"/>
      <c r="E647" s="129"/>
      <c r="F647" s="129"/>
      <c r="G647" s="129"/>
      <c r="H647" s="130"/>
      <c r="I647" s="131"/>
      <c r="J647" s="128"/>
      <c r="K647" s="132"/>
      <c r="L647" s="132"/>
      <c r="M647" s="133"/>
      <c r="N647" s="133"/>
      <c r="O647" s="133"/>
      <c r="P647" s="129"/>
      <c r="Z647" s="75"/>
      <c r="AA647" s="76"/>
      <c r="AB647" s="76"/>
      <c r="AC647" s="129"/>
      <c r="AD647" s="134"/>
      <c r="AE647" s="134"/>
      <c r="AF647" s="134"/>
      <c r="AG647" s="134"/>
      <c r="AH647" s="134"/>
      <c r="AI647" s="134"/>
      <c r="AJ647" s="134"/>
      <c r="AK647" s="134"/>
      <c r="AL647" s="134"/>
      <c r="AM647" s="134"/>
      <c r="AN647" s="134"/>
      <c r="AO647" s="134"/>
      <c r="AP647" s="134"/>
      <c r="AQ647" s="134"/>
      <c r="AR647" s="134"/>
      <c r="AS647" s="134"/>
      <c r="AT647" s="134"/>
      <c r="AU647" s="134"/>
      <c r="AV647" s="134"/>
      <c r="AW647" s="134"/>
      <c r="AX647" s="134"/>
      <c r="AY647" s="134"/>
      <c r="AZ647" s="134"/>
      <c r="BA647" s="134"/>
      <c r="BB647" s="134"/>
      <c r="BC647" s="134"/>
      <c r="BD647" s="134"/>
      <c r="BE647" s="134"/>
      <c r="BF647" s="134"/>
      <c r="BG647" s="134"/>
      <c r="BH647" s="134"/>
      <c r="BI647" s="134"/>
      <c r="BJ647" s="134"/>
      <c r="BK647" s="134"/>
      <c r="BL647" s="134"/>
      <c r="BM647" s="135"/>
      <c r="BN647" s="136" t="n">
        <f aca="false">+MAX($D$3,DATOS_[[#This Row],[Fecha Inicio Sit. Contract.]])</f>
        <v>0</v>
      </c>
      <c r="BO647" s="136" t="n">
        <f aca="false">+MIN($D$4,DATOS_[[#This Row],[Fecha Fin Sit. Contract.]])</f>
        <v>0</v>
      </c>
      <c r="BP647" s="137" t="n">
        <f aca="false">+DATOS_[[#This Row],[% de jornada]]*IF(DATOS_[[#This Row],[% jornada reducida]]="",1,DATOS_[[#This Row],[% jornada reducida]])</f>
        <v>0</v>
      </c>
      <c r="BQ647" s="137" t="n">
        <f aca="false">+(DATOS_[[#This Row],[F.fin.cal]]-DATOS_[[#This Row],[F.ini.cal]]+1)/($D$4-$D$3+1)</f>
        <v>1</v>
      </c>
      <c r="BR647" s="137" t="str">
        <f aca="false">IF(OR(AND(DATOS_[[#This Row],[Fecha Fin Contrato]]&lt;$D$3,DATOS_[[#This Row],[Fecha Fin Contrato]]&lt;&gt;""),DATOS_[[#This Row],[Fecha de Contratación]]&gt;$D$4),"Fuera","Dentro")</f>
        <v>Dentro</v>
      </c>
      <c r="BS647" s="137" t="str">
        <f aca="false" t="array" ref="BS647:BS647">IF(MAX(IF(DATOS_[id]=DATOS_[[#This Row],[id]],DATOS_[F.fin.cal]))=DATOS_[[#This Row],[F.fin.cal]],"Sí","NO")</f>
        <v>Sí</v>
      </c>
      <c r="BT647" s="137" t="str">
        <f aca="false">IF(AND(DATOS_[[#This Row],[% normaliz]]&lt;&gt;1,DATOS_[[#This Row],[% anualiz]]=1),"Sí","NO")</f>
        <v>Sí</v>
      </c>
      <c r="BU647" s="137" t="str">
        <f aca="false">IF(AND(DATOS_[[#This Row],[% normaliz]]=1,DATOS_[[#This Row],[% anualiz]]&lt;&gt;1),"Sí","NO")</f>
        <v>NO</v>
      </c>
      <c r="BV647" s="137" t="str">
        <f aca="false">IF(AND(DATOS_[[#This Row],[% normaliz]]&lt;&gt;1,DATOS_[[#This Row],[% anualiz]]&lt;&gt;1),"Sí","NO")</f>
        <v>NO</v>
      </c>
      <c r="BW647" s="137" t="str">
        <f aca="false">+IF(DATOS_[[#This Row],[% normaliz]]*DATOS_[[#This Row],[% anualiz]]=1,"NO","Sí")</f>
        <v>Sí</v>
      </c>
      <c r="BX647" s="138" t="e">
        <f aca="false">(DATOS_[[#This Row],[S.BASE]]*(1/DATOS_[[#This Row],[% normaliz]])*(1/DATOS_[[#This Row],[% anualiz]]))*IF(DATOS_[[#This Row],[Check Equiparado]]="Sí",1,0)</f>
        <v>#DIV/0!</v>
      </c>
      <c r="BY6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7" s="138" t="e">
        <f aca="false">+DATOS_[[#This Row],[SALARIO BASE Eq]]+DATOS_[[#This Row],[Tot COMPL.SAL Eq]]</f>
        <v>#DIV/0!</v>
      </c>
      <c r="CA647" s="138" t="e">
        <f aca="false" t="array" ref="CA647:CA6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7" s="138" t="e">
        <f aca="false">+DATOS_[[#This Row],[TOTAL SALARIO Eq]]+DATOS_[[#This Row],[Tot Extrasalarial Eq]]</f>
        <v>#DIV/0!</v>
      </c>
      <c r="CC647" s="139" t="n">
        <f aca="false">DATOS_[[#This Row],[S.BASE]]</f>
        <v>0</v>
      </c>
      <c r="CD647" s="139" t="n">
        <f aca="false">+SUM(DATOS_[[#This Row],[Conc.Sal.01]:[Conc.Sal.30]])</f>
        <v>0</v>
      </c>
      <c r="CE647" s="139" t="n">
        <f aca="false">+DATOS_[[#This Row],[SALARIO BASE Ef]]+DATOS_[[#This Row],[Tot COMPL.SAL Ef]]</f>
        <v>0</v>
      </c>
      <c r="CF647" s="139" t="n">
        <f aca="false">+SUM(DATOS_[[#This Row],[C.Extra.01]:[C.Extra.05]])</f>
        <v>0</v>
      </c>
      <c r="CG647" s="139" t="n">
        <f aca="false">+DATOS_[[#This Row],[TOTAL SALARIO Ef]]+DATOS_[[#This Row],[Tot Extrasalarial Ef]]</f>
        <v>0</v>
      </c>
      <c r="CH647" s="140" t="n">
        <f aca="false">MIN(IF(DATOS_[[#This Row],[Fecha Fin Contrato]]="",$D$4,DATOS_[[#This Row],[Fecha Fin Contrato]]),$D$4)-MAX(DATOS_[[#This Row],[Fecha de Contratación]],$D$3)+1</f>
        <v>1</v>
      </c>
      <c r="CI647" s="141" t="str">
        <f aca="false">IF(COUNTIFS(DATOS_[id],DATOS_[[#This Row],[id]])&gt;1,DATOS_[[#This Row],[id]],"")</f>
        <v/>
      </c>
      <c r="CJ647" s="141" t="n">
        <f aca="false">(Inicio!$G$10-DATOS_[[#This Row],[Fecha Nacimiento]])/365.25</f>
        <v>0</v>
      </c>
      <c r="CK647" s="141" t="n">
        <f aca="false">(Inicio!$G$10-DATOS_[[#This Row],[Fecha de Antigüedad]])/365.25</f>
        <v>0</v>
      </c>
      <c r="CL647" s="141" t="e">
        <f aca="false">+VLOOKUP(DATOS_[[#This Row],[Clave de Contrato]],TblTiposContrato13[],3,0)</f>
        <v>#N/A</v>
      </c>
      <c r="CM647" s="141" t="e">
        <f aca="false">+VLOOKUP(DATOS_[[#This Row],[Clave de Contrato]],TblTiposContrato13[],4,0)</f>
        <v>#N/A</v>
      </c>
      <c r="CN647" s="141" t="str">
        <f aca="false">VLOOKUP(DATOS_[[#This Row],[Edad]],CONTRATOS!TblRngEdad,2,1)</f>
        <v>20  o menos</v>
      </c>
      <c r="CO647" s="141" t="str">
        <f aca="false">VLOOKUP(DATOS_[[#This Row],[Antigüedad]],TblRngAntg14[],2,1)</f>
        <v>0 a 1 años</v>
      </c>
    </row>
    <row r="648" customFormat="false" ht="13.8" hidden="false" customHeight="false" outlineLevel="0" collapsed="false">
      <c r="D648" s="128"/>
      <c r="E648" s="129"/>
      <c r="F648" s="129"/>
      <c r="G648" s="129"/>
      <c r="H648" s="130"/>
      <c r="I648" s="131"/>
      <c r="J648" s="128"/>
      <c r="K648" s="132"/>
      <c r="L648" s="132"/>
      <c r="M648" s="133"/>
      <c r="N648" s="133"/>
      <c r="O648" s="133"/>
      <c r="P648" s="129"/>
      <c r="Z648" s="75"/>
      <c r="AA648" s="76"/>
      <c r="AB648" s="76"/>
      <c r="AC648" s="129"/>
      <c r="AD648" s="134"/>
      <c r="AE648" s="134"/>
      <c r="AF648" s="134"/>
      <c r="AG648" s="134"/>
      <c r="AH648" s="134"/>
      <c r="AI648" s="134"/>
      <c r="AJ648" s="134"/>
      <c r="AK648" s="134"/>
      <c r="AL648" s="134"/>
      <c r="AM648" s="134"/>
      <c r="AN648" s="134"/>
      <c r="AO648" s="134"/>
      <c r="AP648" s="134"/>
      <c r="AQ648" s="134"/>
      <c r="AR648" s="134"/>
      <c r="AS648" s="134"/>
      <c r="AT648" s="134"/>
      <c r="AU648" s="134"/>
      <c r="AV648" s="134"/>
      <c r="AW648" s="134"/>
      <c r="AX648" s="134"/>
      <c r="AY648" s="134"/>
      <c r="AZ648" s="134"/>
      <c r="BA648" s="134"/>
      <c r="BB648" s="134"/>
      <c r="BC648" s="134"/>
      <c r="BD648" s="134"/>
      <c r="BE648" s="134"/>
      <c r="BF648" s="134"/>
      <c r="BG648" s="134"/>
      <c r="BH648" s="134"/>
      <c r="BI648" s="134"/>
      <c r="BJ648" s="134"/>
      <c r="BK648" s="134"/>
      <c r="BL648" s="134"/>
      <c r="BM648" s="135"/>
      <c r="BN648" s="136" t="n">
        <f aca="false">+MAX($D$3,DATOS_[[#This Row],[Fecha Inicio Sit. Contract.]])</f>
        <v>0</v>
      </c>
      <c r="BO648" s="136" t="n">
        <f aca="false">+MIN($D$4,DATOS_[[#This Row],[Fecha Fin Sit. Contract.]])</f>
        <v>0</v>
      </c>
      <c r="BP648" s="137" t="n">
        <f aca="false">+DATOS_[[#This Row],[% de jornada]]*IF(DATOS_[[#This Row],[% jornada reducida]]="",1,DATOS_[[#This Row],[% jornada reducida]])</f>
        <v>0</v>
      </c>
      <c r="BQ648" s="137" t="n">
        <f aca="false">+(DATOS_[[#This Row],[F.fin.cal]]-DATOS_[[#This Row],[F.ini.cal]]+1)/($D$4-$D$3+1)</f>
        <v>1</v>
      </c>
      <c r="BR648" s="137" t="str">
        <f aca="false">IF(OR(AND(DATOS_[[#This Row],[Fecha Fin Contrato]]&lt;$D$3,DATOS_[[#This Row],[Fecha Fin Contrato]]&lt;&gt;""),DATOS_[[#This Row],[Fecha de Contratación]]&gt;$D$4),"Fuera","Dentro")</f>
        <v>Dentro</v>
      </c>
      <c r="BS648" s="137" t="str">
        <f aca="false" t="array" ref="BS648:BS648">IF(MAX(IF(DATOS_[id]=DATOS_[[#This Row],[id]],DATOS_[F.fin.cal]))=DATOS_[[#This Row],[F.fin.cal]],"Sí","NO")</f>
        <v>Sí</v>
      </c>
      <c r="BT648" s="137" t="str">
        <f aca="false">IF(AND(DATOS_[[#This Row],[% normaliz]]&lt;&gt;1,DATOS_[[#This Row],[% anualiz]]=1),"Sí","NO")</f>
        <v>Sí</v>
      </c>
      <c r="BU648" s="137" t="str">
        <f aca="false">IF(AND(DATOS_[[#This Row],[% normaliz]]=1,DATOS_[[#This Row],[% anualiz]]&lt;&gt;1),"Sí","NO")</f>
        <v>NO</v>
      </c>
      <c r="BV648" s="137" t="str">
        <f aca="false">IF(AND(DATOS_[[#This Row],[% normaliz]]&lt;&gt;1,DATOS_[[#This Row],[% anualiz]]&lt;&gt;1),"Sí","NO")</f>
        <v>NO</v>
      </c>
      <c r="BW648" s="137" t="str">
        <f aca="false">+IF(DATOS_[[#This Row],[% normaliz]]*DATOS_[[#This Row],[% anualiz]]=1,"NO","Sí")</f>
        <v>Sí</v>
      </c>
      <c r="BX648" s="138" t="e">
        <f aca="false">(DATOS_[[#This Row],[S.BASE]]*(1/DATOS_[[#This Row],[% normaliz]])*(1/DATOS_[[#This Row],[% anualiz]]))*IF(DATOS_[[#This Row],[Check Equiparado]]="Sí",1,0)</f>
        <v>#DIV/0!</v>
      </c>
      <c r="BY6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8" s="138" t="e">
        <f aca="false">+DATOS_[[#This Row],[SALARIO BASE Eq]]+DATOS_[[#This Row],[Tot COMPL.SAL Eq]]</f>
        <v>#DIV/0!</v>
      </c>
      <c r="CA648" s="138" t="e">
        <f aca="false" t="array" ref="CA648:CA6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8" s="138" t="e">
        <f aca="false">+DATOS_[[#This Row],[TOTAL SALARIO Eq]]+DATOS_[[#This Row],[Tot Extrasalarial Eq]]</f>
        <v>#DIV/0!</v>
      </c>
      <c r="CC648" s="139" t="n">
        <f aca="false">DATOS_[[#This Row],[S.BASE]]</f>
        <v>0</v>
      </c>
      <c r="CD648" s="139" t="n">
        <f aca="false">+SUM(DATOS_[[#This Row],[Conc.Sal.01]:[Conc.Sal.30]])</f>
        <v>0</v>
      </c>
      <c r="CE648" s="139" t="n">
        <f aca="false">+DATOS_[[#This Row],[SALARIO BASE Ef]]+DATOS_[[#This Row],[Tot COMPL.SAL Ef]]</f>
        <v>0</v>
      </c>
      <c r="CF648" s="139" t="n">
        <f aca="false">+SUM(DATOS_[[#This Row],[C.Extra.01]:[C.Extra.05]])</f>
        <v>0</v>
      </c>
      <c r="CG648" s="139" t="n">
        <f aca="false">+DATOS_[[#This Row],[TOTAL SALARIO Ef]]+DATOS_[[#This Row],[Tot Extrasalarial Ef]]</f>
        <v>0</v>
      </c>
      <c r="CH648" s="140" t="n">
        <f aca="false">MIN(IF(DATOS_[[#This Row],[Fecha Fin Contrato]]="",$D$4,DATOS_[[#This Row],[Fecha Fin Contrato]]),$D$4)-MAX(DATOS_[[#This Row],[Fecha de Contratación]],$D$3)+1</f>
        <v>1</v>
      </c>
      <c r="CI648" s="141" t="str">
        <f aca="false">IF(COUNTIFS(DATOS_[id],DATOS_[[#This Row],[id]])&gt;1,DATOS_[[#This Row],[id]],"")</f>
        <v/>
      </c>
      <c r="CJ648" s="141" t="n">
        <f aca="false">(Inicio!$G$10-DATOS_[[#This Row],[Fecha Nacimiento]])/365.25</f>
        <v>0</v>
      </c>
      <c r="CK648" s="141" t="n">
        <f aca="false">(Inicio!$G$10-DATOS_[[#This Row],[Fecha de Antigüedad]])/365.25</f>
        <v>0</v>
      </c>
      <c r="CL648" s="141" t="e">
        <f aca="false">+VLOOKUP(DATOS_[[#This Row],[Clave de Contrato]],TblTiposContrato13[],3,0)</f>
        <v>#N/A</v>
      </c>
      <c r="CM648" s="141" t="e">
        <f aca="false">+VLOOKUP(DATOS_[[#This Row],[Clave de Contrato]],TblTiposContrato13[],4,0)</f>
        <v>#N/A</v>
      </c>
      <c r="CN648" s="141" t="str">
        <f aca="false">VLOOKUP(DATOS_[[#This Row],[Edad]],CONTRATOS!TblRngEdad,2,1)</f>
        <v>20  o menos</v>
      </c>
      <c r="CO648" s="141" t="str">
        <f aca="false">VLOOKUP(DATOS_[[#This Row],[Antigüedad]],TblRngAntg14[],2,1)</f>
        <v>0 a 1 años</v>
      </c>
    </row>
    <row r="649" customFormat="false" ht="13.8" hidden="false" customHeight="false" outlineLevel="0" collapsed="false">
      <c r="D649" s="128"/>
      <c r="E649" s="129"/>
      <c r="F649" s="129"/>
      <c r="G649" s="129"/>
      <c r="H649" s="130"/>
      <c r="I649" s="131"/>
      <c r="J649" s="128"/>
      <c r="K649" s="132"/>
      <c r="L649" s="132"/>
      <c r="M649" s="133"/>
      <c r="N649" s="133"/>
      <c r="O649" s="133"/>
      <c r="P649" s="129"/>
      <c r="Z649" s="75"/>
      <c r="AA649" s="76"/>
      <c r="AB649" s="76"/>
      <c r="AC649" s="129"/>
      <c r="AD649" s="134"/>
      <c r="AE649" s="134"/>
      <c r="AF649" s="134"/>
      <c r="AG649" s="134"/>
      <c r="AH649" s="134"/>
      <c r="AI649" s="134"/>
      <c r="AJ649" s="134"/>
      <c r="AK649" s="134"/>
      <c r="AL649" s="134"/>
      <c r="AM649" s="134"/>
      <c r="AN649" s="134"/>
      <c r="AO649" s="134"/>
      <c r="AP649" s="134"/>
      <c r="AQ649" s="134"/>
      <c r="AR649" s="134"/>
      <c r="AS649" s="134"/>
      <c r="AT649" s="134"/>
      <c r="AU649" s="134"/>
      <c r="AV649" s="134"/>
      <c r="AW649" s="134"/>
      <c r="AX649" s="134"/>
      <c r="AY649" s="134"/>
      <c r="AZ649" s="134"/>
      <c r="BA649" s="134"/>
      <c r="BB649" s="134"/>
      <c r="BC649" s="134"/>
      <c r="BD649" s="134"/>
      <c r="BE649" s="134"/>
      <c r="BF649" s="134"/>
      <c r="BG649" s="134"/>
      <c r="BH649" s="134"/>
      <c r="BI649" s="134"/>
      <c r="BJ649" s="134"/>
      <c r="BK649" s="134"/>
      <c r="BL649" s="134"/>
      <c r="BM649" s="135"/>
      <c r="BN649" s="136" t="n">
        <f aca="false">+MAX($D$3,DATOS_[[#This Row],[Fecha Inicio Sit. Contract.]])</f>
        <v>0</v>
      </c>
      <c r="BO649" s="136" t="n">
        <f aca="false">+MIN($D$4,DATOS_[[#This Row],[Fecha Fin Sit. Contract.]])</f>
        <v>0</v>
      </c>
      <c r="BP649" s="137" t="n">
        <f aca="false">+DATOS_[[#This Row],[% de jornada]]*IF(DATOS_[[#This Row],[% jornada reducida]]="",1,DATOS_[[#This Row],[% jornada reducida]])</f>
        <v>0</v>
      </c>
      <c r="BQ649" s="137" t="n">
        <f aca="false">+(DATOS_[[#This Row],[F.fin.cal]]-DATOS_[[#This Row],[F.ini.cal]]+1)/($D$4-$D$3+1)</f>
        <v>1</v>
      </c>
      <c r="BR649" s="137" t="str">
        <f aca="false">IF(OR(AND(DATOS_[[#This Row],[Fecha Fin Contrato]]&lt;$D$3,DATOS_[[#This Row],[Fecha Fin Contrato]]&lt;&gt;""),DATOS_[[#This Row],[Fecha de Contratación]]&gt;$D$4),"Fuera","Dentro")</f>
        <v>Dentro</v>
      </c>
      <c r="BS649" s="137" t="str">
        <f aca="false" t="array" ref="BS649:BS649">IF(MAX(IF(DATOS_[id]=DATOS_[[#This Row],[id]],DATOS_[F.fin.cal]))=DATOS_[[#This Row],[F.fin.cal]],"Sí","NO")</f>
        <v>Sí</v>
      </c>
      <c r="BT649" s="137" t="str">
        <f aca="false">IF(AND(DATOS_[[#This Row],[% normaliz]]&lt;&gt;1,DATOS_[[#This Row],[% anualiz]]=1),"Sí","NO")</f>
        <v>Sí</v>
      </c>
      <c r="BU649" s="137" t="str">
        <f aca="false">IF(AND(DATOS_[[#This Row],[% normaliz]]=1,DATOS_[[#This Row],[% anualiz]]&lt;&gt;1),"Sí","NO")</f>
        <v>NO</v>
      </c>
      <c r="BV649" s="137" t="str">
        <f aca="false">IF(AND(DATOS_[[#This Row],[% normaliz]]&lt;&gt;1,DATOS_[[#This Row],[% anualiz]]&lt;&gt;1),"Sí","NO")</f>
        <v>NO</v>
      </c>
      <c r="BW649" s="137" t="str">
        <f aca="false">+IF(DATOS_[[#This Row],[% normaliz]]*DATOS_[[#This Row],[% anualiz]]=1,"NO","Sí")</f>
        <v>Sí</v>
      </c>
      <c r="BX649" s="138" t="e">
        <f aca="false">(DATOS_[[#This Row],[S.BASE]]*(1/DATOS_[[#This Row],[% normaliz]])*(1/DATOS_[[#This Row],[% anualiz]]))*IF(DATOS_[[#This Row],[Check Equiparado]]="Sí",1,0)</f>
        <v>#DIV/0!</v>
      </c>
      <c r="BY6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9" s="138" t="e">
        <f aca="false">+DATOS_[[#This Row],[SALARIO BASE Eq]]+DATOS_[[#This Row],[Tot COMPL.SAL Eq]]</f>
        <v>#DIV/0!</v>
      </c>
      <c r="CA649" s="138" t="e">
        <f aca="false" t="array" ref="CA649:CA6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9" s="138" t="e">
        <f aca="false">+DATOS_[[#This Row],[TOTAL SALARIO Eq]]+DATOS_[[#This Row],[Tot Extrasalarial Eq]]</f>
        <v>#DIV/0!</v>
      </c>
      <c r="CC649" s="139" t="n">
        <f aca="false">DATOS_[[#This Row],[S.BASE]]</f>
        <v>0</v>
      </c>
      <c r="CD649" s="139" t="n">
        <f aca="false">+SUM(DATOS_[[#This Row],[Conc.Sal.01]:[Conc.Sal.30]])</f>
        <v>0</v>
      </c>
      <c r="CE649" s="139" t="n">
        <f aca="false">+DATOS_[[#This Row],[SALARIO BASE Ef]]+DATOS_[[#This Row],[Tot COMPL.SAL Ef]]</f>
        <v>0</v>
      </c>
      <c r="CF649" s="139" t="n">
        <f aca="false">+SUM(DATOS_[[#This Row],[C.Extra.01]:[C.Extra.05]])</f>
        <v>0</v>
      </c>
      <c r="CG649" s="139" t="n">
        <f aca="false">+DATOS_[[#This Row],[TOTAL SALARIO Ef]]+DATOS_[[#This Row],[Tot Extrasalarial Ef]]</f>
        <v>0</v>
      </c>
      <c r="CH649" s="140" t="n">
        <f aca="false">MIN(IF(DATOS_[[#This Row],[Fecha Fin Contrato]]="",$D$4,DATOS_[[#This Row],[Fecha Fin Contrato]]),$D$4)-MAX(DATOS_[[#This Row],[Fecha de Contratación]],$D$3)+1</f>
        <v>1</v>
      </c>
      <c r="CI649" s="141" t="str">
        <f aca="false">IF(COUNTIFS(DATOS_[id],DATOS_[[#This Row],[id]])&gt;1,DATOS_[[#This Row],[id]],"")</f>
        <v/>
      </c>
      <c r="CJ649" s="141" t="n">
        <f aca="false">(Inicio!$G$10-DATOS_[[#This Row],[Fecha Nacimiento]])/365.25</f>
        <v>0</v>
      </c>
      <c r="CK649" s="141" t="n">
        <f aca="false">(Inicio!$G$10-DATOS_[[#This Row],[Fecha de Antigüedad]])/365.25</f>
        <v>0</v>
      </c>
      <c r="CL649" s="141" t="e">
        <f aca="false">+VLOOKUP(DATOS_[[#This Row],[Clave de Contrato]],TblTiposContrato13[],3,0)</f>
        <v>#N/A</v>
      </c>
      <c r="CM649" s="141" t="e">
        <f aca="false">+VLOOKUP(DATOS_[[#This Row],[Clave de Contrato]],TblTiposContrato13[],4,0)</f>
        <v>#N/A</v>
      </c>
      <c r="CN649" s="141" t="str">
        <f aca="false">VLOOKUP(DATOS_[[#This Row],[Edad]],CONTRATOS!TblRngEdad,2,1)</f>
        <v>20  o menos</v>
      </c>
      <c r="CO649" s="141" t="str">
        <f aca="false">VLOOKUP(DATOS_[[#This Row],[Antigüedad]],TblRngAntg14[],2,1)</f>
        <v>0 a 1 años</v>
      </c>
    </row>
    <row r="650" customFormat="false" ht="13.8" hidden="false" customHeight="false" outlineLevel="0" collapsed="false">
      <c r="D650" s="128"/>
      <c r="E650" s="129"/>
      <c r="F650" s="129"/>
      <c r="G650" s="129"/>
      <c r="H650" s="130"/>
      <c r="I650" s="131"/>
      <c r="J650" s="128"/>
      <c r="K650" s="132"/>
      <c r="L650" s="132"/>
      <c r="M650" s="133"/>
      <c r="N650" s="133"/>
      <c r="O650" s="133"/>
      <c r="P650" s="129"/>
      <c r="Z650" s="75"/>
      <c r="AA650" s="76"/>
      <c r="AB650" s="76"/>
      <c r="AC650" s="129"/>
      <c r="AD650" s="134"/>
      <c r="AE650" s="134"/>
      <c r="AF650" s="134"/>
      <c r="AG650" s="134"/>
      <c r="AH650" s="134"/>
      <c r="AI650" s="134"/>
      <c r="AJ650" s="134"/>
      <c r="AK650" s="134"/>
      <c r="AL650" s="134"/>
      <c r="AM650" s="134"/>
      <c r="AN650" s="134"/>
      <c r="AO650" s="134"/>
      <c r="AP650" s="134"/>
      <c r="AQ650" s="134"/>
      <c r="AR650" s="134"/>
      <c r="AS650" s="134"/>
      <c r="AT650" s="134"/>
      <c r="AU650" s="134"/>
      <c r="AV650" s="134"/>
      <c r="AW650" s="134"/>
      <c r="AX650" s="134"/>
      <c r="AY650" s="134"/>
      <c r="AZ650" s="134"/>
      <c r="BA650" s="134"/>
      <c r="BB650" s="134"/>
      <c r="BC650" s="134"/>
      <c r="BD650" s="134"/>
      <c r="BE650" s="134"/>
      <c r="BF650" s="134"/>
      <c r="BG650" s="134"/>
      <c r="BH650" s="134"/>
      <c r="BI650" s="134"/>
      <c r="BJ650" s="134"/>
      <c r="BK650" s="134"/>
      <c r="BL650" s="134"/>
      <c r="BM650" s="135"/>
      <c r="BN650" s="136" t="n">
        <f aca="false">+MAX($D$3,DATOS_[[#This Row],[Fecha Inicio Sit. Contract.]])</f>
        <v>0</v>
      </c>
      <c r="BO650" s="136" t="n">
        <f aca="false">+MIN($D$4,DATOS_[[#This Row],[Fecha Fin Sit. Contract.]])</f>
        <v>0</v>
      </c>
      <c r="BP650" s="137" t="n">
        <f aca="false">+DATOS_[[#This Row],[% de jornada]]*IF(DATOS_[[#This Row],[% jornada reducida]]="",1,DATOS_[[#This Row],[% jornada reducida]])</f>
        <v>0</v>
      </c>
      <c r="BQ650" s="137" t="n">
        <f aca="false">+(DATOS_[[#This Row],[F.fin.cal]]-DATOS_[[#This Row],[F.ini.cal]]+1)/($D$4-$D$3+1)</f>
        <v>1</v>
      </c>
      <c r="BR650" s="137" t="str">
        <f aca="false">IF(OR(AND(DATOS_[[#This Row],[Fecha Fin Contrato]]&lt;$D$3,DATOS_[[#This Row],[Fecha Fin Contrato]]&lt;&gt;""),DATOS_[[#This Row],[Fecha de Contratación]]&gt;$D$4),"Fuera","Dentro")</f>
        <v>Dentro</v>
      </c>
      <c r="BS650" s="137" t="str">
        <f aca="false" t="array" ref="BS650:BS650">IF(MAX(IF(DATOS_[id]=DATOS_[[#This Row],[id]],DATOS_[F.fin.cal]))=DATOS_[[#This Row],[F.fin.cal]],"Sí","NO")</f>
        <v>Sí</v>
      </c>
      <c r="BT650" s="137" t="str">
        <f aca="false">IF(AND(DATOS_[[#This Row],[% normaliz]]&lt;&gt;1,DATOS_[[#This Row],[% anualiz]]=1),"Sí","NO")</f>
        <v>Sí</v>
      </c>
      <c r="BU650" s="137" t="str">
        <f aca="false">IF(AND(DATOS_[[#This Row],[% normaliz]]=1,DATOS_[[#This Row],[% anualiz]]&lt;&gt;1),"Sí","NO")</f>
        <v>NO</v>
      </c>
      <c r="BV650" s="137" t="str">
        <f aca="false">IF(AND(DATOS_[[#This Row],[% normaliz]]&lt;&gt;1,DATOS_[[#This Row],[% anualiz]]&lt;&gt;1),"Sí","NO")</f>
        <v>NO</v>
      </c>
      <c r="BW650" s="137" t="str">
        <f aca="false">+IF(DATOS_[[#This Row],[% normaliz]]*DATOS_[[#This Row],[% anualiz]]=1,"NO","Sí")</f>
        <v>Sí</v>
      </c>
      <c r="BX650" s="138" t="e">
        <f aca="false">(DATOS_[[#This Row],[S.BASE]]*(1/DATOS_[[#This Row],[% normaliz]])*(1/DATOS_[[#This Row],[% anualiz]]))*IF(DATOS_[[#This Row],[Check Equiparado]]="Sí",1,0)</f>
        <v>#DIV/0!</v>
      </c>
      <c r="BY6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0" s="138" t="e">
        <f aca="false">+DATOS_[[#This Row],[SALARIO BASE Eq]]+DATOS_[[#This Row],[Tot COMPL.SAL Eq]]</f>
        <v>#DIV/0!</v>
      </c>
      <c r="CA650" s="138" t="e">
        <f aca="false" t="array" ref="CA650:CA6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0" s="138" t="e">
        <f aca="false">+DATOS_[[#This Row],[TOTAL SALARIO Eq]]+DATOS_[[#This Row],[Tot Extrasalarial Eq]]</f>
        <v>#DIV/0!</v>
      </c>
      <c r="CC650" s="139" t="n">
        <f aca="false">DATOS_[[#This Row],[S.BASE]]</f>
        <v>0</v>
      </c>
      <c r="CD650" s="139" t="n">
        <f aca="false">+SUM(DATOS_[[#This Row],[Conc.Sal.01]:[Conc.Sal.30]])</f>
        <v>0</v>
      </c>
      <c r="CE650" s="139" t="n">
        <f aca="false">+DATOS_[[#This Row],[SALARIO BASE Ef]]+DATOS_[[#This Row],[Tot COMPL.SAL Ef]]</f>
        <v>0</v>
      </c>
      <c r="CF650" s="139" t="n">
        <f aca="false">+SUM(DATOS_[[#This Row],[C.Extra.01]:[C.Extra.05]])</f>
        <v>0</v>
      </c>
      <c r="CG650" s="139" t="n">
        <f aca="false">+DATOS_[[#This Row],[TOTAL SALARIO Ef]]+DATOS_[[#This Row],[Tot Extrasalarial Ef]]</f>
        <v>0</v>
      </c>
      <c r="CH650" s="140" t="n">
        <f aca="false">MIN(IF(DATOS_[[#This Row],[Fecha Fin Contrato]]="",$D$4,DATOS_[[#This Row],[Fecha Fin Contrato]]),$D$4)-MAX(DATOS_[[#This Row],[Fecha de Contratación]],$D$3)+1</f>
        <v>1</v>
      </c>
      <c r="CI650" s="141" t="str">
        <f aca="false">IF(COUNTIFS(DATOS_[id],DATOS_[[#This Row],[id]])&gt;1,DATOS_[[#This Row],[id]],"")</f>
        <v/>
      </c>
      <c r="CJ650" s="141" t="n">
        <f aca="false">(Inicio!$G$10-DATOS_[[#This Row],[Fecha Nacimiento]])/365.25</f>
        <v>0</v>
      </c>
      <c r="CK650" s="141" t="n">
        <f aca="false">(Inicio!$G$10-DATOS_[[#This Row],[Fecha de Antigüedad]])/365.25</f>
        <v>0</v>
      </c>
      <c r="CL650" s="141" t="e">
        <f aca="false">+VLOOKUP(DATOS_[[#This Row],[Clave de Contrato]],TblTiposContrato13[],3,0)</f>
        <v>#N/A</v>
      </c>
      <c r="CM650" s="141" t="e">
        <f aca="false">+VLOOKUP(DATOS_[[#This Row],[Clave de Contrato]],TblTiposContrato13[],4,0)</f>
        <v>#N/A</v>
      </c>
      <c r="CN650" s="141" t="str">
        <f aca="false">VLOOKUP(DATOS_[[#This Row],[Edad]],CONTRATOS!TblRngEdad,2,1)</f>
        <v>20  o menos</v>
      </c>
      <c r="CO650" s="141" t="str">
        <f aca="false">VLOOKUP(DATOS_[[#This Row],[Antigüedad]],TblRngAntg14[],2,1)</f>
        <v>0 a 1 años</v>
      </c>
    </row>
    <row r="651" customFormat="false" ht="13.8" hidden="false" customHeight="false" outlineLevel="0" collapsed="false">
      <c r="D651" s="128"/>
      <c r="E651" s="129"/>
      <c r="F651" s="129"/>
      <c r="G651" s="129"/>
      <c r="H651" s="130"/>
      <c r="I651" s="131"/>
      <c r="J651" s="128"/>
      <c r="K651" s="132"/>
      <c r="L651" s="132"/>
      <c r="M651" s="133"/>
      <c r="N651" s="133"/>
      <c r="O651" s="133"/>
      <c r="P651" s="129"/>
      <c r="Z651" s="75"/>
      <c r="AA651" s="76"/>
      <c r="AB651" s="76"/>
      <c r="AC651" s="129"/>
      <c r="AD651" s="134"/>
      <c r="AE651" s="134"/>
      <c r="AF651" s="134"/>
      <c r="AG651" s="134"/>
      <c r="AH651" s="134"/>
      <c r="AI651" s="134"/>
      <c r="AJ651" s="134"/>
      <c r="AK651" s="134"/>
      <c r="AL651" s="134"/>
      <c r="AM651" s="134"/>
      <c r="AN651" s="134"/>
      <c r="AO651" s="134"/>
      <c r="AP651" s="134"/>
      <c r="AQ651" s="134"/>
      <c r="AR651" s="134"/>
      <c r="AS651" s="134"/>
      <c r="AT651" s="134"/>
      <c r="AU651" s="134"/>
      <c r="AV651" s="134"/>
      <c r="AW651" s="134"/>
      <c r="AX651" s="134"/>
      <c r="AY651" s="134"/>
      <c r="AZ651" s="134"/>
      <c r="BA651" s="134"/>
      <c r="BB651" s="134"/>
      <c r="BC651" s="134"/>
      <c r="BD651" s="134"/>
      <c r="BE651" s="134"/>
      <c r="BF651" s="134"/>
      <c r="BG651" s="134"/>
      <c r="BH651" s="134"/>
      <c r="BI651" s="134"/>
      <c r="BJ651" s="134"/>
      <c r="BK651" s="134"/>
      <c r="BL651" s="134"/>
      <c r="BM651" s="135"/>
      <c r="BN651" s="136" t="n">
        <f aca="false">+MAX($D$3,DATOS_[[#This Row],[Fecha Inicio Sit. Contract.]])</f>
        <v>0</v>
      </c>
      <c r="BO651" s="136" t="n">
        <f aca="false">+MIN($D$4,DATOS_[[#This Row],[Fecha Fin Sit. Contract.]])</f>
        <v>0</v>
      </c>
      <c r="BP651" s="137" t="n">
        <f aca="false">+DATOS_[[#This Row],[% de jornada]]*IF(DATOS_[[#This Row],[% jornada reducida]]="",1,DATOS_[[#This Row],[% jornada reducida]])</f>
        <v>0</v>
      </c>
      <c r="BQ651" s="137" t="n">
        <f aca="false">+(DATOS_[[#This Row],[F.fin.cal]]-DATOS_[[#This Row],[F.ini.cal]]+1)/($D$4-$D$3+1)</f>
        <v>1</v>
      </c>
      <c r="BR651" s="137" t="str">
        <f aca="false">IF(OR(AND(DATOS_[[#This Row],[Fecha Fin Contrato]]&lt;$D$3,DATOS_[[#This Row],[Fecha Fin Contrato]]&lt;&gt;""),DATOS_[[#This Row],[Fecha de Contratación]]&gt;$D$4),"Fuera","Dentro")</f>
        <v>Dentro</v>
      </c>
      <c r="BS651" s="137" t="str">
        <f aca="false" t="array" ref="BS651:BS651">IF(MAX(IF(DATOS_[id]=DATOS_[[#This Row],[id]],DATOS_[F.fin.cal]))=DATOS_[[#This Row],[F.fin.cal]],"Sí","NO")</f>
        <v>Sí</v>
      </c>
      <c r="BT651" s="137" t="str">
        <f aca="false">IF(AND(DATOS_[[#This Row],[% normaliz]]&lt;&gt;1,DATOS_[[#This Row],[% anualiz]]=1),"Sí","NO")</f>
        <v>Sí</v>
      </c>
      <c r="BU651" s="137" t="str">
        <f aca="false">IF(AND(DATOS_[[#This Row],[% normaliz]]=1,DATOS_[[#This Row],[% anualiz]]&lt;&gt;1),"Sí","NO")</f>
        <v>NO</v>
      </c>
      <c r="BV651" s="137" t="str">
        <f aca="false">IF(AND(DATOS_[[#This Row],[% normaliz]]&lt;&gt;1,DATOS_[[#This Row],[% anualiz]]&lt;&gt;1),"Sí","NO")</f>
        <v>NO</v>
      </c>
      <c r="BW651" s="137" t="str">
        <f aca="false">+IF(DATOS_[[#This Row],[% normaliz]]*DATOS_[[#This Row],[% anualiz]]=1,"NO","Sí")</f>
        <v>Sí</v>
      </c>
      <c r="BX651" s="138" t="e">
        <f aca="false">(DATOS_[[#This Row],[S.BASE]]*(1/DATOS_[[#This Row],[% normaliz]])*(1/DATOS_[[#This Row],[% anualiz]]))*IF(DATOS_[[#This Row],[Check Equiparado]]="Sí",1,0)</f>
        <v>#DIV/0!</v>
      </c>
      <c r="BY6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1" s="138" t="e">
        <f aca="false">+DATOS_[[#This Row],[SALARIO BASE Eq]]+DATOS_[[#This Row],[Tot COMPL.SAL Eq]]</f>
        <v>#DIV/0!</v>
      </c>
      <c r="CA651" s="138" t="e">
        <f aca="false" t="array" ref="CA651:CA6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1" s="138" t="e">
        <f aca="false">+DATOS_[[#This Row],[TOTAL SALARIO Eq]]+DATOS_[[#This Row],[Tot Extrasalarial Eq]]</f>
        <v>#DIV/0!</v>
      </c>
      <c r="CC651" s="139" t="n">
        <f aca="false">DATOS_[[#This Row],[S.BASE]]</f>
        <v>0</v>
      </c>
      <c r="CD651" s="139" t="n">
        <f aca="false">+SUM(DATOS_[[#This Row],[Conc.Sal.01]:[Conc.Sal.30]])</f>
        <v>0</v>
      </c>
      <c r="CE651" s="139" t="n">
        <f aca="false">+DATOS_[[#This Row],[SALARIO BASE Ef]]+DATOS_[[#This Row],[Tot COMPL.SAL Ef]]</f>
        <v>0</v>
      </c>
      <c r="CF651" s="139" t="n">
        <f aca="false">+SUM(DATOS_[[#This Row],[C.Extra.01]:[C.Extra.05]])</f>
        <v>0</v>
      </c>
      <c r="CG651" s="139" t="n">
        <f aca="false">+DATOS_[[#This Row],[TOTAL SALARIO Ef]]+DATOS_[[#This Row],[Tot Extrasalarial Ef]]</f>
        <v>0</v>
      </c>
      <c r="CH651" s="140" t="n">
        <f aca="false">MIN(IF(DATOS_[[#This Row],[Fecha Fin Contrato]]="",$D$4,DATOS_[[#This Row],[Fecha Fin Contrato]]),$D$4)-MAX(DATOS_[[#This Row],[Fecha de Contratación]],$D$3)+1</f>
        <v>1</v>
      </c>
      <c r="CI651" s="141" t="str">
        <f aca="false">IF(COUNTIFS(DATOS_[id],DATOS_[[#This Row],[id]])&gt;1,DATOS_[[#This Row],[id]],"")</f>
        <v/>
      </c>
      <c r="CJ651" s="141" t="n">
        <f aca="false">(Inicio!$G$10-DATOS_[[#This Row],[Fecha Nacimiento]])/365.25</f>
        <v>0</v>
      </c>
      <c r="CK651" s="141" t="n">
        <f aca="false">(Inicio!$G$10-DATOS_[[#This Row],[Fecha de Antigüedad]])/365.25</f>
        <v>0</v>
      </c>
      <c r="CL651" s="141" t="e">
        <f aca="false">+VLOOKUP(DATOS_[[#This Row],[Clave de Contrato]],TblTiposContrato13[],3,0)</f>
        <v>#N/A</v>
      </c>
      <c r="CM651" s="141" t="e">
        <f aca="false">+VLOOKUP(DATOS_[[#This Row],[Clave de Contrato]],TblTiposContrato13[],4,0)</f>
        <v>#N/A</v>
      </c>
      <c r="CN651" s="141" t="str">
        <f aca="false">VLOOKUP(DATOS_[[#This Row],[Edad]],CONTRATOS!TblRngEdad,2,1)</f>
        <v>20  o menos</v>
      </c>
      <c r="CO651" s="141" t="str">
        <f aca="false">VLOOKUP(DATOS_[[#This Row],[Antigüedad]],TblRngAntg14[],2,1)</f>
        <v>0 a 1 años</v>
      </c>
    </row>
    <row r="652" customFormat="false" ht="13.8" hidden="false" customHeight="false" outlineLevel="0" collapsed="false">
      <c r="D652" s="128"/>
      <c r="E652" s="129"/>
      <c r="F652" s="129"/>
      <c r="G652" s="129"/>
      <c r="H652" s="130"/>
      <c r="I652" s="131"/>
      <c r="J652" s="128"/>
      <c r="K652" s="132"/>
      <c r="L652" s="132"/>
      <c r="M652" s="133"/>
      <c r="N652" s="133"/>
      <c r="O652" s="133"/>
      <c r="P652" s="129"/>
      <c r="Z652" s="75"/>
      <c r="AA652" s="76"/>
      <c r="AB652" s="76"/>
      <c r="AC652" s="129"/>
      <c r="AD652" s="134"/>
      <c r="AE652" s="134"/>
      <c r="AF652" s="134"/>
      <c r="AG652" s="134"/>
      <c r="AH652" s="134"/>
      <c r="AI652" s="134"/>
      <c r="AJ652" s="134"/>
      <c r="AK652" s="134"/>
      <c r="AL652" s="134"/>
      <c r="AM652" s="134"/>
      <c r="AN652" s="134"/>
      <c r="AO652" s="134"/>
      <c r="AP652" s="134"/>
      <c r="AQ652" s="134"/>
      <c r="AR652" s="134"/>
      <c r="AS652" s="134"/>
      <c r="AT652" s="134"/>
      <c r="AU652" s="134"/>
      <c r="AV652" s="134"/>
      <c r="AW652" s="134"/>
      <c r="AX652" s="134"/>
      <c r="AY652" s="134"/>
      <c r="AZ652" s="134"/>
      <c r="BA652" s="134"/>
      <c r="BB652" s="134"/>
      <c r="BC652" s="134"/>
      <c r="BD652" s="134"/>
      <c r="BE652" s="134"/>
      <c r="BF652" s="134"/>
      <c r="BG652" s="134"/>
      <c r="BH652" s="134"/>
      <c r="BI652" s="134"/>
      <c r="BJ652" s="134"/>
      <c r="BK652" s="134"/>
      <c r="BL652" s="134"/>
      <c r="BM652" s="135"/>
      <c r="BN652" s="136" t="n">
        <f aca="false">+MAX($D$3,DATOS_[[#This Row],[Fecha Inicio Sit. Contract.]])</f>
        <v>0</v>
      </c>
      <c r="BO652" s="136" t="n">
        <f aca="false">+MIN($D$4,DATOS_[[#This Row],[Fecha Fin Sit. Contract.]])</f>
        <v>0</v>
      </c>
      <c r="BP652" s="137" t="n">
        <f aca="false">+DATOS_[[#This Row],[% de jornada]]*IF(DATOS_[[#This Row],[% jornada reducida]]="",1,DATOS_[[#This Row],[% jornada reducida]])</f>
        <v>0</v>
      </c>
      <c r="BQ652" s="137" t="n">
        <f aca="false">+(DATOS_[[#This Row],[F.fin.cal]]-DATOS_[[#This Row],[F.ini.cal]]+1)/($D$4-$D$3+1)</f>
        <v>1</v>
      </c>
      <c r="BR652" s="137" t="str">
        <f aca="false">IF(OR(AND(DATOS_[[#This Row],[Fecha Fin Contrato]]&lt;$D$3,DATOS_[[#This Row],[Fecha Fin Contrato]]&lt;&gt;""),DATOS_[[#This Row],[Fecha de Contratación]]&gt;$D$4),"Fuera","Dentro")</f>
        <v>Dentro</v>
      </c>
      <c r="BS652" s="137" t="str">
        <f aca="false" t="array" ref="BS652:BS652">IF(MAX(IF(DATOS_[id]=DATOS_[[#This Row],[id]],DATOS_[F.fin.cal]))=DATOS_[[#This Row],[F.fin.cal]],"Sí","NO")</f>
        <v>Sí</v>
      </c>
      <c r="BT652" s="137" t="str">
        <f aca="false">IF(AND(DATOS_[[#This Row],[% normaliz]]&lt;&gt;1,DATOS_[[#This Row],[% anualiz]]=1),"Sí","NO")</f>
        <v>Sí</v>
      </c>
      <c r="BU652" s="137" t="str">
        <f aca="false">IF(AND(DATOS_[[#This Row],[% normaliz]]=1,DATOS_[[#This Row],[% anualiz]]&lt;&gt;1),"Sí","NO")</f>
        <v>NO</v>
      </c>
      <c r="BV652" s="137" t="str">
        <f aca="false">IF(AND(DATOS_[[#This Row],[% normaliz]]&lt;&gt;1,DATOS_[[#This Row],[% anualiz]]&lt;&gt;1),"Sí","NO")</f>
        <v>NO</v>
      </c>
      <c r="BW652" s="137" t="str">
        <f aca="false">+IF(DATOS_[[#This Row],[% normaliz]]*DATOS_[[#This Row],[% anualiz]]=1,"NO","Sí")</f>
        <v>Sí</v>
      </c>
      <c r="BX652" s="138" t="e">
        <f aca="false">(DATOS_[[#This Row],[S.BASE]]*(1/DATOS_[[#This Row],[% normaliz]])*(1/DATOS_[[#This Row],[% anualiz]]))*IF(DATOS_[[#This Row],[Check Equiparado]]="Sí",1,0)</f>
        <v>#DIV/0!</v>
      </c>
      <c r="BY6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2" s="138" t="e">
        <f aca="false">+DATOS_[[#This Row],[SALARIO BASE Eq]]+DATOS_[[#This Row],[Tot COMPL.SAL Eq]]</f>
        <v>#DIV/0!</v>
      </c>
      <c r="CA652" s="138" t="e">
        <f aca="false" t="array" ref="CA652:CA6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2" s="138" t="e">
        <f aca="false">+DATOS_[[#This Row],[TOTAL SALARIO Eq]]+DATOS_[[#This Row],[Tot Extrasalarial Eq]]</f>
        <v>#DIV/0!</v>
      </c>
      <c r="CC652" s="139" t="n">
        <f aca="false">DATOS_[[#This Row],[S.BASE]]</f>
        <v>0</v>
      </c>
      <c r="CD652" s="139" t="n">
        <f aca="false">+SUM(DATOS_[[#This Row],[Conc.Sal.01]:[Conc.Sal.30]])</f>
        <v>0</v>
      </c>
      <c r="CE652" s="139" t="n">
        <f aca="false">+DATOS_[[#This Row],[SALARIO BASE Ef]]+DATOS_[[#This Row],[Tot COMPL.SAL Ef]]</f>
        <v>0</v>
      </c>
      <c r="CF652" s="139" t="n">
        <f aca="false">+SUM(DATOS_[[#This Row],[C.Extra.01]:[C.Extra.05]])</f>
        <v>0</v>
      </c>
      <c r="CG652" s="139" t="n">
        <f aca="false">+DATOS_[[#This Row],[TOTAL SALARIO Ef]]+DATOS_[[#This Row],[Tot Extrasalarial Ef]]</f>
        <v>0</v>
      </c>
      <c r="CH652" s="140" t="n">
        <f aca="false">MIN(IF(DATOS_[[#This Row],[Fecha Fin Contrato]]="",$D$4,DATOS_[[#This Row],[Fecha Fin Contrato]]),$D$4)-MAX(DATOS_[[#This Row],[Fecha de Contratación]],$D$3)+1</f>
        <v>1</v>
      </c>
      <c r="CI652" s="141" t="str">
        <f aca="false">IF(COUNTIFS(DATOS_[id],DATOS_[[#This Row],[id]])&gt;1,DATOS_[[#This Row],[id]],"")</f>
        <v/>
      </c>
      <c r="CJ652" s="141" t="n">
        <f aca="false">(Inicio!$G$10-DATOS_[[#This Row],[Fecha Nacimiento]])/365.25</f>
        <v>0</v>
      </c>
      <c r="CK652" s="141" t="n">
        <f aca="false">(Inicio!$G$10-DATOS_[[#This Row],[Fecha de Antigüedad]])/365.25</f>
        <v>0</v>
      </c>
      <c r="CL652" s="141" t="e">
        <f aca="false">+VLOOKUP(DATOS_[[#This Row],[Clave de Contrato]],TblTiposContrato13[],3,0)</f>
        <v>#N/A</v>
      </c>
      <c r="CM652" s="141" t="e">
        <f aca="false">+VLOOKUP(DATOS_[[#This Row],[Clave de Contrato]],TblTiposContrato13[],4,0)</f>
        <v>#N/A</v>
      </c>
      <c r="CN652" s="141" t="str">
        <f aca="false">VLOOKUP(DATOS_[[#This Row],[Edad]],CONTRATOS!TblRngEdad,2,1)</f>
        <v>20  o menos</v>
      </c>
      <c r="CO652" s="141" t="str">
        <f aca="false">VLOOKUP(DATOS_[[#This Row],[Antigüedad]],TblRngAntg14[],2,1)</f>
        <v>0 a 1 años</v>
      </c>
    </row>
    <row r="653" customFormat="false" ht="13.8" hidden="false" customHeight="false" outlineLevel="0" collapsed="false">
      <c r="D653" s="128"/>
      <c r="E653" s="129"/>
      <c r="F653" s="129"/>
      <c r="G653" s="129"/>
      <c r="H653" s="130"/>
      <c r="I653" s="131"/>
      <c r="J653" s="128"/>
      <c r="K653" s="132"/>
      <c r="L653" s="132"/>
      <c r="M653" s="133"/>
      <c r="N653" s="133"/>
      <c r="O653" s="133"/>
      <c r="P653" s="129"/>
      <c r="Z653" s="75"/>
      <c r="AA653" s="76"/>
      <c r="AB653" s="76"/>
      <c r="AC653" s="129"/>
      <c r="AD653" s="134"/>
      <c r="AE653" s="134"/>
      <c r="AF653" s="134"/>
      <c r="AG653" s="134"/>
      <c r="AH653" s="134"/>
      <c r="AI653" s="134"/>
      <c r="AJ653" s="134"/>
      <c r="AK653" s="134"/>
      <c r="AL653" s="134"/>
      <c r="AM653" s="134"/>
      <c r="AN653" s="134"/>
      <c r="AO653" s="134"/>
      <c r="AP653" s="134"/>
      <c r="AQ653" s="134"/>
      <c r="AR653" s="134"/>
      <c r="AS653" s="134"/>
      <c r="AT653" s="134"/>
      <c r="AU653" s="134"/>
      <c r="AV653" s="134"/>
      <c r="AW653" s="134"/>
      <c r="AX653" s="134"/>
      <c r="AY653" s="134"/>
      <c r="AZ653" s="134"/>
      <c r="BA653" s="134"/>
      <c r="BB653" s="134"/>
      <c r="BC653" s="134"/>
      <c r="BD653" s="134"/>
      <c r="BE653" s="134"/>
      <c r="BF653" s="134"/>
      <c r="BG653" s="134"/>
      <c r="BH653" s="134"/>
      <c r="BI653" s="134"/>
      <c r="BJ653" s="134"/>
      <c r="BK653" s="134"/>
      <c r="BL653" s="134"/>
      <c r="BM653" s="135"/>
      <c r="BN653" s="136" t="n">
        <f aca="false">+MAX($D$3,DATOS_[[#This Row],[Fecha Inicio Sit. Contract.]])</f>
        <v>0</v>
      </c>
      <c r="BO653" s="136" t="n">
        <f aca="false">+MIN($D$4,DATOS_[[#This Row],[Fecha Fin Sit. Contract.]])</f>
        <v>0</v>
      </c>
      <c r="BP653" s="137" t="n">
        <f aca="false">+DATOS_[[#This Row],[% de jornada]]*IF(DATOS_[[#This Row],[% jornada reducida]]="",1,DATOS_[[#This Row],[% jornada reducida]])</f>
        <v>0</v>
      </c>
      <c r="BQ653" s="137" t="n">
        <f aca="false">+(DATOS_[[#This Row],[F.fin.cal]]-DATOS_[[#This Row],[F.ini.cal]]+1)/($D$4-$D$3+1)</f>
        <v>1</v>
      </c>
      <c r="BR653" s="137" t="str">
        <f aca="false">IF(OR(AND(DATOS_[[#This Row],[Fecha Fin Contrato]]&lt;$D$3,DATOS_[[#This Row],[Fecha Fin Contrato]]&lt;&gt;""),DATOS_[[#This Row],[Fecha de Contratación]]&gt;$D$4),"Fuera","Dentro")</f>
        <v>Dentro</v>
      </c>
      <c r="BS653" s="137" t="str">
        <f aca="false" t="array" ref="BS653:BS653">IF(MAX(IF(DATOS_[id]=DATOS_[[#This Row],[id]],DATOS_[F.fin.cal]))=DATOS_[[#This Row],[F.fin.cal]],"Sí","NO")</f>
        <v>Sí</v>
      </c>
      <c r="BT653" s="137" t="str">
        <f aca="false">IF(AND(DATOS_[[#This Row],[% normaliz]]&lt;&gt;1,DATOS_[[#This Row],[% anualiz]]=1),"Sí","NO")</f>
        <v>Sí</v>
      </c>
      <c r="BU653" s="137" t="str">
        <f aca="false">IF(AND(DATOS_[[#This Row],[% normaliz]]=1,DATOS_[[#This Row],[% anualiz]]&lt;&gt;1),"Sí","NO")</f>
        <v>NO</v>
      </c>
      <c r="BV653" s="137" t="str">
        <f aca="false">IF(AND(DATOS_[[#This Row],[% normaliz]]&lt;&gt;1,DATOS_[[#This Row],[% anualiz]]&lt;&gt;1),"Sí","NO")</f>
        <v>NO</v>
      </c>
      <c r="BW653" s="137" t="str">
        <f aca="false">+IF(DATOS_[[#This Row],[% normaliz]]*DATOS_[[#This Row],[% anualiz]]=1,"NO","Sí")</f>
        <v>Sí</v>
      </c>
      <c r="BX653" s="138" t="e">
        <f aca="false">(DATOS_[[#This Row],[S.BASE]]*(1/DATOS_[[#This Row],[% normaliz]])*(1/DATOS_[[#This Row],[% anualiz]]))*IF(DATOS_[[#This Row],[Check Equiparado]]="Sí",1,0)</f>
        <v>#DIV/0!</v>
      </c>
      <c r="BY6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3" s="138" t="e">
        <f aca="false">+DATOS_[[#This Row],[SALARIO BASE Eq]]+DATOS_[[#This Row],[Tot COMPL.SAL Eq]]</f>
        <v>#DIV/0!</v>
      </c>
      <c r="CA653" s="138" t="e">
        <f aca="false" t="array" ref="CA653:CA6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3" s="138" t="e">
        <f aca="false">+DATOS_[[#This Row],[TOTAL SALARIO Eq]]+DATOS_[[#This Row],[Tot Extrasalarial Eq]]</f>
        <v>#DIV/0!</v>
      </c>
      <c r="CC653" s="139" t="n">
        <f aca="false">DATOS_[[#This Row],[S.BASE]]</f>
        <v>0</v>
      </c>
      <c r="CD653" s="139" t="n">
        <f aca="false">+SUM(DATOS_[[#This Row],[Conc.Sal.01]:[Conc.Sal.30]])</f>
        <v>0</v>
      </c>
      <c r="CE653" s="139" t="n">
        <f aca="false">+DATOS_[[#This Row],[SALARIO BASE Ef]]+DATOS_[[#This Row],[Tot COMPL.SAL Ef]]</f>
        <v>0</v>
      </c>
      <c r="CF653" s="139" t="n">
        <f aca="false">+SUM(DATOS_[[#This Row],[C.Extra.01]:[C.Extra.05]])</f>
        <v>0</v>
      </c>
      <c r="CG653" s="139" t="n">
        <f aca="false">+DATOS_[[#This Row],[TOTAL SALARIO Ef]]+DATOS_[[#This Row],[Tot Extrasalarial Ef]]</f>
        <v>0</v>
      </c>
      <c r="CH653" s="140" t="n">
        <f aca="false">MIN(IF(DATOS_[[#This Row],[Fecha Fin Contrato]]="",$D$4,DATOS_[[#This Row],[Fecha Fin Contrato]]),$D$4)-MAX(DATOS_[[#This Row],[Fecha de Contratación]],$D$3)+1</f>
        <v>1</v>
      </c>
      <c r="CI653" s="141" t="str">
        <f aca="false">IF(COUNTIFS(DATOS_[id],DATOS_[[#This Row],[id]])&gt;1,DATOS_[[#This Row],[id]],"")</f>
        <v/>
      </c>
      <c r="CJ653" s="141" t="n">
        <f aca="false">(Inicio!$G$10-DATOS_[[#This Row],[Fecha Nacimiento]])/365.25</f>
        <v>0</v>
      </c>
      <c r="CK653" s="141" t="n">
        <f aca="false">(Inicio!$G$10-DATOS_[[#This Row],[Fecha de Antigüedad]])/365.25</f>
        <v>0</v>
      </c>
      <c r="CL653" s="141" t="e">
        <f aca="false">+VLOOKUP(DATOS_[[#This Row],[Clave de Contrato]],TblTiposContrato13[],3,0)</f>
        <v>#N/A</v>
      </c>
      <c r="CM653" s="141" t="e">
        <f aca="false">+VLOOKUP(DATOS_[[#This Row],[Clave de Contrato]],TblTiposContrato13[],4,0)</f>
        <v>#N/A</v>
      </c>
      <c r="CN653" s="141" t="str">
        <f aca="false">VLOOKUP(DATOS_[[#This Row],[Edad]],CONTRATOS!TblRngEdad,2,1)</f>
        <v>20  o menos</v>
      </c>
      <c r="CO653" s="141" t="str">
        <f aca="false">VLOOKUP(DATOS_[[#This Row],[Antigüedad]],TblRngAntg14[],2,1)</f>
        <v>0 a 1 años</v>
      </c>
    </row>
    <row r="654" customFormat="false" ht="13.8" hidden="false" customHeight="false" outlineLevel="0" collapsed="false">
      <c r="D654" s="128"/>
      <c r="E654" s="129"/>
      <c r="F654" s="129"/>
      <c r="G654" s="129"/>
      <c r="H654" s="130"/>
      <c r="I654" s="131"/>
      <c r="J654" s="128"/>
      <c r="K654" s="132"/>
      <c r="L654" s="132"/>
      <c r="M654" s="133"/>
      <c r="N654" s="133"/>
      <c r="O654" s="133"/>
      <c r="P654" s="129"/>
      <c r="Z654" s="75"/>
      <c r="AA654" s="76"/>
      <c r="AB654" s="76"/>
      <c r="AC654" s="129"/>
      <c r="AD654" s="134"/>
      <c r="AE654" s="134"/>
      <c r="AF654" s="134"/>
      <c r="AG654" s="134"/>
      <c r="AH654" s="134"/>
      <c r="AI654" s="134"/>
      <c r="AJ654" s="134"/>
      <c r="AK654" s="134"/>
      <c r="AL654" s="134"/>
      <c r="AM654" s="134"/>
      <c r="AN654" s="134"/>
      <c r="AO654" s="134"/>
      <c r="AP654" s="134"/>
      <c r="AQ654" s="134"/>
      <c r="AR654" s="134"/>
      <c r="AS654" s="134"/>
      <c r="AT654" s="134"/>
      <c r="AU654" s="134"/>
      <c r="AV654" s="134"/>
      <c r="AW654" s="134"/>
      <c r="AX654" s="134"/>
      <c r="AY654" s="134"/>
      <c r="AZ654" s="134"/>
      <c r="BA654" s="134"/>
      <c r="BB654" s="134"/>
      <c r="BC654" s="134"/>
      <c r="BD654" s="134"/>
      <c r="BE654" s="134"/>
      <c r="BF654" s="134"/>
      <c r="BG654" s="134"/>
      <c r="BH654" s="134"/>
      <c r="BI654" s="134"/>
      <c r="BJ654" s="134"/>
      <c r="BK654" s="134"/>
      <c r="BL654" s="134"/>
      <c r="BM654" s="135"/>
      <c r="BN654" s="136" t="n">
        <f aca="false">+MAX($D$3,DATOS_[[#This Row],[Fecha Inicio Sit. Contract.]])</f>
        <v>0</v>
      </c>
      <c r="BO654" s="136" t="n">
        <f aca="false">+MIN($D$4,DATOS_[[#This Row],[Fecha Fin Sit. Contract.]])</f>
        <v>0</v>
      </c>
      <c r="BP654" s="137" t="n">
        <f aca="false">+DATOS_[[#This Row],[% de jornada]]*IF(DATOS_[[#This Row],[% jornada reducida]]="",1,DATOS_[[#This Row],[% jornada reducida]])</f>
        <v>0</v>
      </c>
      <c r="BQ654" s="137" t="n">
        <f aca="false">+(DATOS_[[#This Row],[F.fin.cal]]-DATOS_[[#This Row],[F.ini.cal]]+1)/($D$4-$D$3+1)</f>
        <v>1</v>
      </c>
      <c r="BR654" s="137" t="str">
        <f aca="false">IF(OR(AND(DATOS_[[#This Row],[Fecha Fin Contrato]]&lt;$D$3,DATOS_[[#This Row],[Fecha Fin Contrato]]&lt;&gt;""),DATOS_[[#This Row],[Fecha de Contratación]]&gt;$D$4),"Fuera","Dentro")</f>
        <v>Dentro</v>
      </c>
      <c r="BS654" s="137" t="str">
        <f aca="false" t="array" ref="BS654:BS654">IF(MAX(IF(DATOS_[id]=DATOS_[[#This Row],[id]],DATOS_[F.fin.cal]))=DATOS_[[#This Row],[F.fin.cal]],"Sí","NO")</f>
        <v>Sí</v>
      </c>
      <c r="BT654" s="137" t="str">
        <f aca="false">IF(AND(DATOS_[[#This Row],[% normaliz]]&lt;&gt;1,DATOS_[[#This Row],[% anualiz]]=1),"Sí","NO")</f>
        <v>Sí</v>
      </c>
      <c r="BU654" s="137" t="str">
        <f aca="false">IF(AND(DATOS_[[#This Row],[% normaliz]]=1,DATOS_[[#This Row],[% anualiz]]&lt;&gt;1),"Sí","NO")</f>
        <v>NO</v>
      </c>
      <c r="BV654" s="137" t="str">
        <f aca="false">IF(AND(DATOS_[[#This Row],[% normaliz]]&lt;&gt;1,DATOS_[[#This Row],[% anualiz]]&lt;&gt;1),"Sí","NO")</f>
        <v>NO</v>
      </c>
      <c r="BW654" s="137" t="str">
        <f aca="false">+IF(DATOS_[[#This Row],[% normaliz]]*DATOS_[[#This Row],[% anualiz]]=1,"NO","Sí")</f>
        <v>Sí</v>
      </c>
      <c r="BX654" s="138" t="e">
        <f aca="false">(DATOS_[[#This Row],[S.BASE]]*(1/DATOS_[[#This Row],[% normaliz]])*(1/DATOS_[[#This Row],[% anualiz]]))*IF(DATOS_[[#This Row],[Check Equiparado]]="Sí",1,0)</f>
        <v>#DIV/0!</v>
      </c>
      <c r="BY6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4" s="138" t="e">
        <f aca="false">+DATOS_[[#This Row],[SALARIO BASE Eq]]+DATOS_[[#This Row],[Tot COMPL.SAL Eq]]</f>
        <v>#DIV/0!</v>
      </c>
      <c r="CA654" s="138" t="e">
        <f aca="false" t="array" ref="CA654:CA6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4" s="138" t="e">
        <f aca="false">+DATOS_[[#This Row],[TOTAL SALARIO Eq]]+DATOS_[[#This Row],[Tot Extrasalarial Eq]]</f>
        <v>#DIV/0!</v>
      </c>
      <c r="CC654" s="139" t="n">
        <f aca="false">DATOS_[[#This Row],[S.BASE]]</f>
        <v>0</v>
      </c>
      <c r="CD654" s="139" t="n">
        <f aca="false">+SUM(DATOS_[[#This Row],[Conc.Sal.01]:[Conc.Sal.30]])</f>
        <v>0</v>
      </c>
      <c r="CE654" s="139" t="n">
        <f aca="false">+DATOS_[[#This Row],[SALARIO BASE Ef]]+DATOS_[[#This Row],[Tot COMPL.SAL Ef]]</f>
        <v>0</v>
      </c>
      <c r="CF654" s="139" t="n">
        <f aca="false">+SUM(DATOS_[[#This Row],[C.Extra.01]:[C.Extra.05]])</f>
        <v>0</v>
      </c>
      <c r="CG654" s="139" t="n">
        <f aca="false">+DATOS_[[#This Row],[TOTAL SALARIO Ef]]+DATOS_[[#This Row],[Tot Extrasalarial Ef]]</f>
        <v>0</v>
      </c>
      <c r="CH654" s="140" t="n">
        <f aca="false">MIN(IF(DATOS_[[#This Row],[Fecha Fin Contrato]]="",$D$4,DATOS_[[#This Row],[Fecha Fin Contrato]]),$D$4)-MAX(DATOS_[[#This Row],[Fecha de Contratación]],$D$3)+1</f>
        <v>1</v>
      </c>
      <c r="CI654" s="141" t="str">
        <f aca="false">IF(COUNTIFS(DATOS_[id],DATOS_[[#This Row],[id]])&gt;1,DATOS_[[#This Row],[id]],"")</f>
        <v/>
      </c>
      <c r="CJ654" s="141" t="n">
        <f aca="false">(Inicio!$G$10-DATOS_[[#This Row],[Fecha Nacimiento]])/365.25</f>
        <v>0</v>
      </c>
      <c r="CK654" s="141" t="n">
        <f aca="false">(Inicio!$G$10-DATOS_[[#This Row],[Fecha de Antigüedad]])/365.25</f>
        <v>0</v>
      </c>
      <c r="CL654" s="141" t="e">
        <f aca="false">+VLOOKUP(DATOS_[[#This Row],[Clave de Contrato]],TblTiposContrato13[],3,0)</f>
        <v>#N/A</v>
      </c>
      <c r="CM654" s="141" t="e">
        <f aca="false">+VLOOKUP(DATOS_[[#This Row],[Clave de Contrato]],TblTiposContrato13[],4,0)</f>
        <v>#N/A</v>
      </c>
      <c r="CN654" s="141" t="str">
        <f aca="false">VLOOKUP(DATOS_[[#This Row],[Edad]],CONTRATOS!TblRngEdad,2,1)</f>
        <v>20  o menos</v>
      </c>
      <c r="CO654" s="141" t="str">
        <f aca="false">VLOOKUP(DATOS_[[#This Row],[Antigüedad]],TblRngAntg14[],2,1)</f>
        <v>0 a 1 años</v>
      </c>
    </row>
    <row r="655" customFormat="false" ht="13.8" hidden="false" customHeight="false" outlineLevel="0" collapsed="false">
      <c r="D655" s="128"/>
      <c r="E655" s="129"/>
      <c r="F655" s="129"/>
      <c r="G655" s="129"/>
      <c r="H655" s="130"/>
      <c r="I655" s="131"/>
      <c r="J655" s="128"/>
      <c r="K655" s="132"/>
      <c r="L655" s="132"/>
      <c r="M655" s="133"/>
      <c r="N655" s="133"/>
      <c r="O655" s="133"/>
      <c r="P655" s="129"/>
      <c r="Z655" s="75"/>
      <c r="AA655" s="76"/>
      <c r="AB655" s="76"/>
      <c r="AC655" s="129"/>
      <c r="AD655" s="134"/>
      <c r="AE655" s="134"/>
      <c r="AF655" s="134"/>
      <c r="AG655" s="134"/>
      <c r="AH655" s="134"/>
      <c r="AI655" s="134"/>
      <c r="AJ655" s="134"/>
      <c r="AK655" s="134"/>
      <c r="AL655" s="134"/>
      <c r="AM655" s="134"/>
      <c r="AN655" s="134"/>
      <c r="AO655" s="134"/>
      <c r="AP655" s="134"/>
      <c r="AQ655" s="134"/>
      <c r="AR655" s="134"/>
      <c r="AS655" s="134"/>
      <c r="AT655" s="134"/>
      <c r="AU655" s="134"/>
      <c r="AV655" s="134"/>
      <c r="AW655" s="134"/>
      <c r="AX655" s="134"/>
      <c r="AY655" s="134"/>
      <c r="AZ655" s="134"/>
      <c r="BA655" s="134"/>
      <c r="BB655" s="134"/>
      <c r="BC655" s="134"/>
      <c r="BD655" s="134"/>
      <c r="BE655" s="134"/>
      <c r="BF655" s="134"/>
      <c r="BG655" s="134"/>
      <c r="BH655" s="134"/>
      <c r="BI655" s="134"/>
      <c r="BJ655" s="134"/>
      <c r="BK655" s="134"/>
      <c r="BL655" s="134"/>
      <c r="BM655" s="135"/>
      <c r="BN655" s="136" t="n">
        <f aca="false">+MAX($D$3,DATOS_[[#This Row],[Fecha Inicio Sit. Contract.]])</f>
        <v>0</v>
      </c>
      <c r="BO655" s="136" t="n">
        <f aca="false">+MIN($D$4,DATOS_[[#This Row],[Fecha Fin Sit. Contract.]])</f>
        <v>0</v>
      </c>
      <c r="BP655" s="137" t="n">
        <f aca="false">+DATOS_[[#This Row],[% de jornada]]*IF(DATOS_[[#This Row],[% jornada reducida]]="",1,DATOS_[[#This Row],[% jornada reducida]])</f>
        <v>0</v>
      </c>
      <c r="BQ655" s="137" t="n">
        <f aca="false">+(DATOS_[[#This Row],[F.fin.cal]]-DATOS_[[#This Row],[F.ini.cal]]+1)/($D$4-$D$3+1)</f>
        <v>1</v>
      </c>
      <c r="BR655" s="137" t="str">
        <f aca="false">IF(OR(AND(DATOS_[[#This Row],[Fecha Fin Contrato]]&lt;$D$3,DATOS_[[#This Row],[Fecha Fin Contrato]]&lt;&gt;""),DATOS_[[#This Row],[Fecha de Contratación]]&gt;$D$4),"Fuera","Dentro")</f>
        <v>Dentro</v>
      </c>
      <c r="BS655" s="137" t="str">
        <f aca="false" t="array" ref="BS655:BS655">IF(MAX(IF(DATOS_[id]=DATOS_[[#This Row],[id]],DATOS_[F.fin.cal]))=DATOS_[[#This Row],[F.fin.cal]],"Sí","NO")</f>
        <v>Sí</v>
      </c>
      <c r="BT655" s="137" t="str">
        <f aca="false">IF(AND(DATOS_[[#This Row],[% normaliz]]&lt;&gt;1,DATOS_[[#This Row],[% anualiz]]=1),"Sí","NO")</f>
        <v>Sí</v>
      </c>
      <c r="BU655" s="137" t="str">
        <f aca="false">IF(AND(DATOS_[[#This Row],[% normaliz]]=1,DATOS_[[#This Row],[% anualiz]]&lt;&gt;1),"Sí","NO")</f>
        <v>NO</v>
      </c>
      <c r="BV655" s="137" t="str">
        <f aca="false">IF(AND(DATOS_[[#This Row],[% normaliz]]&lt;&gt;1,DATOS_[[#This Row],[% anualiz]]&lt;&gt;1),"Sí","NO")</f>
        <v>NO</v>
      </c>
      <c r="BW655" s="137" t="str">
        <f aca="false">+IF(DATOS_[[#This Row],[% normaliz]]*DATOS_[[#This Row],[% anualiz]]=1,"NO","Sí")</f>
        <v>Sí</v>
      </c>
      <c r="BX655" s="138" t="e">
        <f aca="false">(DATOS_[[#This Row],[S.BASE]]*(1/DATOS_[[#This Row],[% normaliz]])*(1/DATOS_[[#This Row],[% anualiz]]))*IF(DATOS_[[#This Row],[Check Equiparado]]="Sí",1,0)</f>
        <v>#DIV/0!</v>
      </c>
      <c r="BY6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5" s="138" t="e">
        <f aca="false">+DATOS_[[#This Row],[SALARIO BASE Eq]]+DATOS_[[#This Row],[Tot COMPL.SAL Eq]]</f>
        <v>#DIV/0!</v>
      </c>
      <c r="CA655" s="138" t="e">
        <f aca="false" t="array" ref="CA655:CA6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5" s="138" t="e">
        <f aca="false">+DATOS_[[#This Row],[TOTAL SALARIO Eq]]+DATOS_[[#This Row],[Tot Extrasalarial Eq]]</f>
        <v>#DIV/0!</v>
      </c>
      <c r="CC655" s="139" t="n">
        <f aca="false">DATOS_[[#This Row],[S.BASE]]</f>
        <v>0</v>
      </c>
      <c r="CD655" s="139" t="n">
        <f aca="false">+SUM(DATOS_[[#This Row],[Conc.Sal.01]:[Conc.Sal.30]])</f>
        <v>0</v>
      </c>
      <c r="CE655" s="139" t="n">
        <f aca="false">+DATOS_[[#This Row],[SALARIO BASE Ef]]+DATOS_[[#This Row],[Tot COMPL.SAL Ef]]</f>
        <v>0</v>
      </c>
      <c r="CF655" s="139" t="n">
        <f aca="false">+SUM(DATOS_[[#This Row],[C.Extra.01]:[C.Extra.05]])</f>
        <v>0</v>
      </c>
      <c r="CG655" s="139" t="n">
        <f aca="false">+DATOS_[[#This Row],[TOTAL SALARIO Ef]]+DATOS_[[#This Row],[Tot Extrasalarial Ef]]</f>
        <v>0</v>
      </c>
      <c r="CH655" s="140" t="n">
        <f aca="false">MIN(IF(DATOS_[[#This Row],[Fecha Fin Contrato]]="",$D$4,DATOS_[[#This Row],[Fecha Fin Contrato]]),$D$4)-MAX(DATOS_[[#This Row],[Fecha de Contratación]],$D$3)+1</f>
        <v>1</v>
      </c>
      <c r="CI655" s="141" t="str">
        <f aca="false">IF(COUNTIFS(DATOS_[id],DATOS_[[#This Row],[id]])&gt;1,DATOS_[[#This Row],[id]],"")</f>
        <v/>
      </c>
      <c r="CJ655" s="141" t="n">
        <f aca="false">(Inicio!$G$10-DATOS_[[#This Row],[Fecha Nacimiento]])/365.25</f>
        <v>0</v>
      </c>
      <c r="CK655" s="141" t="n">
        <f aca="false">(Inicio!$G$10-DATOS_[[#This Row],[Fecha de Antigüedad]])/365.25</f>
        <v>0</v>
      </c>
      <c r="CL655" s="141" t="e">
        <f aca="false">+VLOOKUP(DATOS_[[#This Row],[Clave de Contrato]],TblTiposContrato13[],3,0)</f>
        <v>#N/A</v>
      </c>
      <c r="CM655" s="141" t="e">
        <f aca="false">+VLOOKUP(DATOS_[[#This Row],[Clave de Contrato]],TblTiposContrato13[],4,0)</f>
        <v>#N/A</v>
      </c>
      <c r="CN655" s="141" t="str">
        <f aca="false">VLOOKUP(DATOS_[[#This Row],[Edad]],CONTRATOS!TblRngEdad,2,1)</f>
        <v>20  o menos</v>
      </c>
      <c r="CO655" s="141" t="str">
        <f aca="false">VLOOKUP(DATOS_[[#This Row],[Antigüedad]],TblRngAntg14[],2,1)</f>
        <v>0 a 1 años</v>
      </c>
    </row>
    <row r="656" customFormat="false" ht="13.8" hidden="false" customHeight="false" outlineLevel="0" collapsed="false">
      <c r="D656" s="128"/>
      <c r="E656" s="129"/>
      <c r="F656" s="129"/>
      <c r="G656" s="129"/>
      <c r="H656" s="130"/>
      <c r="I656" s="131"/>
      <c r="J656" s="128"/>
      <c r="K656" s="132"/>
      <c r="L656" s="132"/>
      <c r="M656" s="133"/>
      <c r="N656" s="133"/>
      <c r="O656" s="133"/>
      <c r="P656" s="129"/>
      <c r="Z656" s="75"/>
      <c r="AA656" s="76"/>
      <c r="AB656" s="76"/>
      <c r="AC656" s="129"/>
      <c r="AD656" s="134"/>
      <c r="AE656" s="134"/>
      <c r="AF656" s="134"/>
      <c r="AG656" s="134"/>
      <c r="AH656" s="134"/>
      <c r="AI656" s="134"/>
      <c r="AJ656" s="134"/>
      <c r="AK656" s="134"/>
      <c r="AL656" s="134"/>
      <c r="AM656" s="134"/>
      <c r="AN656" s="134"/>
      <c r="AO656" s="134"/>
      <c r="AP656" s="134"/>
      <c r="AQ656" s="134"/>
      <c r="AR656" s="134"/>
      <c r="AS656" s="134"/>
      <c r="AT656" s="134"/>
      <c r="AU656" s="134"/>
      <c r="AV656" s="134"/>
      <c r="AW656" s="134"/>
      <c r="AX656" s="134"/>
      <c r="AY656" s="134"/>
      <c r="AZ656" s="134"/>
      <c r="BA656" s="134"/>
      <c r="BB656" s="134"/>
      <c r="BC656" s="134"/>
      <c r="BD656" s="134"/>
      <c r="BE656" s="134"/>
      <c r="BF656" s="134"/>
      <c r="BG656" s="134"/>
      <c r="BH656" s="134"/>
      <c r="BI656" s="134"/>
      <c r="BJ656" s="134"/>
      <c r="BK656" s="134"/>
      <c r="BL656" s="134"/>
      <c r="BM656" s="135"/>
      <c r="BN656" s="136" t="n">
        <f aca="false">+MAX($D$3,DATOS_[[#This Row],[Fecha Inicio Sit. Contract.]])</f>
        <v>0</v>
      </c>
      <c r="BO656" s="136" t="n">
        <f aca="false">+MIN($D$4,DATOS_[[#This Row],[Fecha Fin Sit. Contract.]])</f>
        <v>0</v>
      </c>
      <c r="BP656" s="137" t="n">
        <f aca="false">+DATOS_[[#This Row],[% de jornada]]*IF(DATOS_[[#This Row],[% jornada reducida]]="",1,DATOS_[[#This Row],[% jornada reducida]])</f>
        <v>0</v>
      </c>
      <c r="BQ656" s="137" t="n">
        <f aca="false">+(DATOS_[[#This Row],[F.fin.cal]]-DATOS_[[#This Row],[F.ini.cal]]+1)/($D$4-$D$3+1)</f>
        <v>1</v>
      </c>
      <c r="BR656" s="137" t="str">
        <f aca="false">IF(OR(AND(DATOS_[[#This Row],[Fecha Fin Contrato]]&lt;$D$3,DATOS_[[#This Row],[Fecha Fin Contrato]]&lt;&gt;""),DATOS_[[#This Row],[Fecha de Contratación]]&gt;$D$4),"Fuera","Dentro")</f>
        <v>Dentro</v>
      </c>
      <c r="BS656" s="137" t="str">
        <f aca="false" t="array" ref="BS656:BS656">IF(MAX(IF(DATOS_[id]=DATOS_[[#This Row],[id]],DATOS_[F.fin.cal]))=DATOS_[[#This Row],[F.fin.cal]],"Sí","NO")</f>
        <v>Sí</v>
      </c>
      <c r="BT656" s="137" t="str">
        <f aca="false">IF(AND(DATOS_[[#This Row],[% normaliz]]&lt;&gt;1,DATOS_[[#This Row],[% anualiz]]=1),"Sí","NO")</f>
        <v>Sí</v>
      </c>
      <c r="BU656" s="137" t="str">
        <f aca="false">IF(AND(DATOS_[[#This Row],[% normaliz]]=1,DATOS_[[#This Row],[% anualiz]]&lt;&gt;1),"Sí","NO")</f>
        <v>NO</v>
      </c>
      <c r="BV656" s="137" t="str">
        <f aca="false">IF(AND(DATOS_[[#This Row],[% normaliz]]&lt;&gt;1,DATOS_[[#This Row],[% anualiz]]&lt;&gt;1),"Sí","NO")</f>
        <v>NO</v>
      </c>
      <c r="BW656" s="137" t="str">
        <f aca="false">+IF(DATOS_[[#This Row],[% normaliz]]*DATOS_[[#This Row],[% anualiz]]=1,"NO","Sí")</f>
        <v>Sí</v>
      </c>
      <c r="BX656" s="138" t="e">
        <f aca="false">(DATOS_[[#This Row],[S.BASE]]*(1/DATOS_[[#This Row],[% normaliz]])*(1/DATOS_[[#This Row],[% anualiz]]))*IF(DATOS_[[#This Row],[Check Equiparado]]="Sí",1,0)</f>
        <v>#DIV/0!</v>
      </c>
      <c r="BY6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6" s="138" t="e">
        <f aca="false">+DATOS_[[#This Row],[SALARIO BASE Eq]]+DATOS_[[#This Row],[Tot COMPL.SAL Eq]]</f>
        <v>#DIV/0!</v>
      </c>
      <c r="CA656" s="138" t="e">
        <f aca="false" t="array" ref="CA656:CA6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6" s="138" t="e">
        <f aca="false">+DATOS_[[#This Row],[TOTAL SALARIO Eq]]+DATOS_[[#This Row],[Tot Extrasalarial Eq]]</f>
        <v>#DIV/0!</v>
      </c>
      <c r="CC656" s="139" t="n">
        <f aca="false">DATOS_[[#This Row],[S.BASE]]</f>
        <v>0</v>
      </c>
      <c r="CD656" s="139" t="n">
        <f aca="false">+SUM(DATOS_[[#This Row],[Conc.Sal.01]:[Conc.Sal.30]])</f>
        <v>0</v>
      </c>
      <c r="CE656" s="139" t="n">
        <f aca="false">+DATOS_[[#This Row],[SALARIO BASE Ef]]+DATOS_[[#This Row],[Tot COMPL.SAL Ef]]</f>
        <v>0</v>
      </c>
      <c r="CF656" s="139" t="n">
        <f aca="false">+SUM(DATOS_[[#This Row],[C.Extra.01]:[C.Extra.05]])</f>
        <v>0</v>
      </c>
      <c r="CG656" s="139" t="n">
        <f aca="false">+DATOS_[[#This Row],[TOTAL SALARIO Ef]]+DATOS_[[#This Row],[Tot Extrasalarial Ef]]</f>
        <v>0</v>
      </c>
      <c r="CH656" s="140" t="n">
        <f aca="false">MIN(IF(DATOS_[[#This Row],[Fecha Fin Contrato]]="",$D$4,DATOS_[[#This Row],[Fecha Fin Contrato]]),$D$4)-MAX(DATOS_[[#This Row],[Fecha de Contratación]],$D$3)+1</f>
        <v>1</v>
      </c>
      <c r="CI656" s="141" t="str">
        <f aca="false">IF(COUNTIFS(DATOS_[id],DATOS_[[#This Row],[id]])&gt;1,DATOS_[[#This Row],[id]],"")</f>
        <v/>
      </c>
      <c r="CJ656" s="141" t="n">
        <f aca="false">(Inicio!$G$10-DATOS_[[#This Row],[Fecha Nacimiento]])/365.25</f>
        <v>0</v>
      </c>
      <c r="CK656" s="141" t="n">
        <f aca="false">(Inicio!$G$10-DATOS_[[#This Row],[Fecha de Antigüedad]])/365.25</f>
        <v>0</v>
      </c>
      <c r="CL656" s="141" t="e">
        <f aca="false">+VLOOKUP(DATOS_[[#This Row],[Clave de Contrato]],TblTiposContrato13[],3,0)</f>
        <v>#N/A</v>
      </c>
      <c r="CM656" s="141" t="e">
        <f aca="false">+VLOOKUP(DATOS_[[#This Row],[Clave de Contrato]],TblTiposContrato13[],4,0)</f>
        <v>#N/A</v>
      </c>
      <c r="CN656" s="141" t="str">
        <f aca="false">VLOOKUP(DATOS_[[#This Row],[Edad]],CONTRATOS!TblRngEdad,2,1)</f>
        <v>20  o menos</v>
      </c>
      <c r="CO656" s="141" t="str">
        <f aca="false">VLOOKUP(DATOS_[[#This Row],[Antigüedad]],TblRngAntg14[],2,1)</f>
        <v>0 a 1 años</v>
      </c>
    </row>
    <row r="657" customFormat="false" ht="13.8" hidden="false" customHeight="false" outlineLevel="0" collapsed="false">
      <c r="D657" s="128"/>
      <c r="E657" s="129"/>
      <c r="F657" s="129"/>
      <c r="G657" s="129"/>
      <c r="H657" s="130"/>
      <c r="I657" s="131"/>
      <c r="J657" s="128"/>
      <c r="K657" s="132"/>
      <c r="L657" s="132"/>
      <c r="M657" s="133"/>
      <c r="N657" s="133"/>
      <c r="O657" s="133"/>
      <c r="P657" s="129"/>
      <c r="Z657" s="75"/>
      <c r="AA657" s="76"/>
      <c r="AB657" s="76"/>
      <c r="AC657" s="129"/>
      <c r="AD657" s="134"/>
      <c r="AE657" s="134"/>
      <c r="AF657" s="134"/>
      <c r="AG657" s="134"/>
      <c r="AH657" s="134"/>
      <c r="AI657" s="134"/>
      <c r="AJ657" s="134"/>
      <c r="AK657" s="134"/>
      <c r="AL657" s="134"/>
      <c r="AM657" s="134"/>
      <c r="AN657" s="134"/>
      <c r="AO657" s="134"/>
      <c r="AP657" s="134"/>
      <c r="AQ657" s="134"/>
      <c r="AR657" s="134"/>
      <c r="AS657" s="134"/>
      <c r="AT657" s="134"/>
      <c r="AU657" s="134"/>
      <c r="AV657" s="134"/>
      <c r="AW657" s="134"/>
      <c r="AX657" s="134"/>
      <c r="AY657" s="134"/>
      <c r="AZ657" s="134"/>
      <c r="BA657" s="134"/>
      <c r="BB657" s="134"/>
      <c r="BC657" s="134"/>
      <c r="BD657" s="134"/>
      <c r="BE657" s="134"/>
      <c r="BF657" s="134"/>
      <c r="BG657" s="134"/>
      <c r="BH657" s="134"/>
      <c r="BI657" s="134"/>
      <c r="BJ657" s="134"/>
      <c r="BK657" s="134"/>
      <c r="BL657" s="134"/>
      <c r="BM657" s="135"/>
      <c r="BN657" s="136" t="n">
        <f aca="false">+MAX($D$3,DATOS_[[#This Row],[Fecha Inicio Sit. Contract.]])</f>
        <v>0</v>
      </c>
      <c r="BO657" s="136" t="n">
        <f aca="false">+MIN($D$4,DATOS_[[#This Row],[Fecha Fin Sit. Contract.]])</f>
        <v>0</v>
      </c>
      <c r="BP657" s="137" t="n">
        <f aca="false">+DATOS_[[#This Row],[% de jornada]]*IF(DATOS_[[#This Row],[% jornada reducida]]="",1,DATOS_[[#This Row],[% jornada reducida]])</f>
        <v>0</v>
      </c>
      <c r="BQ657" s="137" t="n">
        <f aca="false">+(DATOS_[[#This Row],[F.fin.cal]]-DATOS_[[#This Row],[F.ini.cal]]+1)/($D$4-$D$3+1)</f>
        <v>1</v>
      </c>
      <c r="BR657" s="137" t="str">
        <f aca="false">IF(OR(AND(DATOS_[[#This Row],[Fecha Fin Contrato]]&lt;$D$3,DATOS_[[#This Row],[Fecha Fin Contrato]]&lt;&gt;""),DATOS_[[#This Row],[Fecha de Contratación]]&gt;$D$4),"Fuera","Dentro")</f>
        <v>Dentro</v>
      </c>
      <c r="BS657" s="137" t="str">
        <f aca="false" t="array" ref="BS657:BS657">IF(MAX(IF(DATOS_[id]=DATOS_[[#This Row],[id]],DATOS_[F.fin.cal]))=DATOS_[[#This Row],[F.fin.cal]],"Sí","NO")</f>
        <v>Sí</v>
      </c>
      <c r="BT657" s="137" t="str">
        <f aca="false">IF(AND(DATOS_[[#This Row],[% normaliz]]&lt;&gt;1,DATOS_[[#This Row],[% anualiz]]=1),"Sí","NO")</f>
        <v>Sí</v>
      </c>
      <c r="BU657" s="137" t="str">
        <f aca="false">IF(AND(DATOS_[[#This Row],[% normaliz]]=1,DATOS_[[#This Row],[% anualiz]]&lt;&gt;1),"Sí","NO")</f>
        <v>NO</v>
      </c>
      <c r="BV657" s="137" t="str">
        <f aca="false">IF(AND(DATOS_[[#This Row],[% normaliz]]&lt;&gt;1,DATOS_[[#This Row],[% anualiz]]&lt;&gt;1),"Sí","NO")</f>
        <v>NO</v>
      </c>
      <c r="BW657" s="137" t="str">
        <f aca="false">+IF(DATOS_[[#This Row],[% normaliz]]*DATOS_[[#This Row],[% anualiz]]=1,"NO","Sí")</f>
        <v>Sí</v>
      </c>
      <c r="BX657" s="138" t="e">
        <f aca="false">(DATOS_[[#This Row],[S.BASE]]*(1/DATOS_[[#This Row],[% normaliz]])*(1/DATOS_[[#This Row],[% anualiz]]))*IF(DATOS_[[#This Row],[Check Equiparado]]="Sí",1,0)</f>
        <v>#DIV/0!</v>
      </c>
      <c r="BY6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7" s="138" t="e">
        <f aca="false">+DATOS_[[#This Row],[SALARIO BASE Eq]]+DATOS_[[#This Row],[Tot COMPL.SAL Eq]]</f>
        <v>#DIV/0!</v>
      </c>
      <c r="CA657" s="138" t="e">
        <f aca="false" t="array" ref="CA657:CA6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7" s="138" t="e">
        <f aca="false">+DATOS_[[#This Row],[TOTAL SALARIO Eq]]+DATOS_[[#This Row],[Tot Extrasalarial Eq]]</f>
        <v>#DIV/0!</v>
      </c>
      <c r="CC657" s="139" t="n">
        <f aca="false">DATOS_[[#This Row],[S.BASE]]</f>
        <v>0</v>
      </c>
      <c r="CD657" s="139" t="n">
        <f aca="false">+SUM(DATOS_[[#This Row],[Conc.Sal.01]:[Conc.Sal.30]])</f>
        <v>0</v>
      </c>
      <c r="CE657" s="139" t="n">
        <f aca="false">+DATOS_[[#This Row],[SALARIO BASE Ef]]+DATOS_[[#This Row],[Tot COMPL.SAL Ef]]</f>
        <v>0</v>
      </c>
      <c r="CF657" s="139" t="n">
        <f aca="false">+SUM(DATOS_[[#This Row],[C.Extra.01]:[C.Extra.05]])</f>
        <v>0</v>
      </c>
      <c r="CG657" s="139" t="n">
        <f aca="false">+DATOS_[[#This Row],[TOTAL SALARIO Ef]]+DATOS_[[#This Row],[Tot Extrasalarial Ef]]</f>
        <v>0</v>
      </c>
      <c r="CH657" s="140" t="n">
        <f aca="false">MIN(IF(DATOS_[[#This Row],[Fecha Fin Contrato]]="",$D$4,DATOS_[[#This Row],[Fecha Fin Contrato]]),$D$4)-MAX(DATOS_[[#This Row],[Fecha de Contratación]],$D$3)+1</f>
        <v>1</v>
      </c>
      <c r="CI657" s="141" t="str">
        <f aca="false">IF(COUNTIFS(DATOS_[id],DATOS_[[#This Row],[id]])&gt;1,DATOS_[[#This Row],[id]],"")</f>
        <v/>
      </c>
      <c r="CJ657" s="141" t="n">
        <f aca="false">(Inicio!$G$10-DATOS_[[#This Row],[Fecha Nacimiento]])/365.25</f>
        <v>0</v>
      </c>
      <c r="CK657" s="141" t="n">
        <f aca="false">(Inicio!$G$10-DATOS_[[#This Row],[Fecha de Antigüedad]])/365.25</f>
        <v>0</v>
      </c>
      <c r="CL657" s="141" t="e">
        <f aca="false">+VLOOKUP(DATOS_[[#This Row],[Clave de Contrato]],TblTiposContrato13[],3,0)</f>
        <v>#N/A</v>
      </c>
      <c r="CM657" s="141" t="e">
        <f aca="false">+VLOOKUP(DATOS_[[#This Row],[Clave de Contrato]],TblTiposContrato13[],4,0)</f>
        <v>#N/A</v>
      </c>
      <c r="CN657" s="141" t="str">
        <f aca="false">VLOOKUP(DATOS_[[#This Row],[Edad]],CONTRATOS!TblRngEdad,2,1)</f>
        <v>20  o menos</v>
      </c>
      <c r="CO657" s="141" t="str">
        <f aca="false">VLOOKUP(DATOS_[[#This Row],[Antigüedad]],TblRngAntg14[],2,1)</f>
        <v>0 a 1 años</v>
      </c>
    </row>
    <row r="658" customFormat="false" ht="13.8" hidden="false" customHeight="false" outlineLevel="0" collapsed="false">
      <c r="D658" s="128"/>
      <c r="E658" s="129"/>
      <c r="F658" s="129"/>
      <c r="G658" s="129"/>
      <c r="H658" s="130"/>
      <c r="I658" s="131"/>
      <c r="J658" s="128"/>
      <c r="K658" s="132"/>
      <c r="L658" s="132"/>
      <c r="M658" s="133"/>
      <c r="N658" s="133"/>
      <c r="O658" s="133"/>
      <c r="P658" s="129"/>
      <c r="Z658" s="75"/>
      <c r="AA658" s="76"/>
      <c r="AB658" s="76"/>
      <c r="AC658" s="129"/>
      <c r="AD658" s="134"/>
      <c r="AE658" s="134"/>
      <c r="AF658" s="134"/>
      <c r="AG658" s="134"/>
      <c r="AH658" s="134"/>
      <c r="AI658" s="134"/>
      <c r="AJ658" s="134"/>
      <c r="AK658" s="134"/>
      <c r="AL658" s="134"/>
      <c r="AM658" s="134"/>
      <c r="AN658" s="134"/>
      <c r="AO658" s="134"/>
      <c r="AP658" s="134"/>
      <c r="AQ658" s="134"/>
      <c r="AR658" s="134"/>
      <c r="AS658" s="134"/>
      <c r="AT658" s="134"/>
      <c r="AU658" s="134"/>
      <c r="AV658" s="134"/>
      <c r="AW658" s="134"/>
      <c r="AX658" s="134"/>
      <c r="AY658" s="134"/>
      <c r="AZ658" s="134"/>
      <c r="BA658" s="134"/>
      <c r="BB658" s="134"/>
      <c r="BC658" s="134"/>
      <c r="BD658" s="134"/>
      <c r="BE658" s="134"/>
      <c r="BF658" s="134"/>
      <c r="BG658" s="134"/>
      <c r="BH658" s="134"/>
      <c r="BI658" s="134"/>
      <c r="BJ658" s="134"/>
      <c r="BK658" s="134"/>
      <c r="BL658" s="134"/>
      <c r="BM658" s="135"/>
      <c r="BN658" s="136" t="n">
        <f aca="false">+MAX($D$3,DATOS_[[#This Row],[Fecha Inicio Sit. Contract.]])</f>
        <v>0</v>
      </c>
      <c r="BO658" s="136" t="n">
        <f aca="false">+MIN($D$4,DATOS_[[#This Row],[Fecha Fin Sit. Contract.]])</f>
        <v>0</v>
      </c>
      <c r="BP658" s="137" t="n">
        <f aca="false">+DATOS_[[#This Row],[% de jornada]]*IF(DATOS_[[#This Row],[% jornada reducida]]="",1,DATOS_[[#This Row],[% jornada reducida]])</f>
        <v>0</v>
      </c>
      <c r="BQ658" s="137" t="n">
        <f aca="false">+(DATOS_[[#This Row],[F.fin.cal]]-DATOS_[[#This Row],[F.ini.cal]]+1)/($D$4-$D$3+1)</f>
        <v>1</v>
      </c>
      <c r="BR658" s="137" t="str">
        <f aca="false">IF(OR(AND(DATOS_[[#This Row],[Fecha Fin Contrato]]&lt;$D$3,DATOS_[[#This Row],[Fecha Fin Contrato]]&lt;&gt;""),DATOS_[[#This Row],[Fecha de Contratación]]&gt;$D$4),"Fuera","Dentro")</f>
        <v>Dentro</v>
      </c>
      <c r="BS658" s="137" t="str">
        <f aca="false" t="array" ref="BS658:BS658">IF(MAX(IF(DATOS_[id]=DATOS_[[#This Row],[id]],DATOS_[F.fin.cal]))=DATOS_[[#This Row],[F.fin.cal]],"Sí","NO")</f>
        <v>Sí</v>
      </c>
      <c r="BT658" s="137" t="str">
        <f aca="false">IF(AND(DATOS_[[#This Row],[% normaliz]]&lt;&gt;1,DATOS_[[#This Row],[% anualiz]]=1),"Sí","NO")</f>
        <v>Sí</v>
      </c>
      <c r="BU658" s="137" t="str">
        <f aca="false">IF(AND(DATOS_[[#This Row],[% normaliz]]=1,DATOS_[[#This Row],[% anualiz]]&lt;&gt;1),"Sí","NO")</f>
        <v>NO</v>
      </c>
      <c r="BV658" s="137" t="str">
        <f aca="false">IF(AND(DATOS_[[#This Row],[% normaliz]]&lt;&gt;1,DATOS_[[#This Row],[% anualiz]]&lt;&gt;1),"Sí","NO")</f>
        <v>NO</v>
      </c>
      <c r="BW658" s="137" t="str">
        <f aca="false">+IF(DATOS_[[#This Row],[% normaliz]]*DATOS_[[#This Row],[% anualiz]]=1,"NO","Sí")</f>
        <v>Sí</v>
      </c>
      <c r="BX658" s="138" t="e">
        <f aca="false">(DATOS_[[#This Row],[S.BASE]]*(1/DATOS_[[#This Row],[% normaliz]])*(1/DATOS_[[#This Row],[% anualiz]]))*IF(DATOS_[[#This Row],[Check Equiparado]]="Sí",1,0)</f>
        <v>#DIV/0!</v>
      </c>
      <c r="BY6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8" s="138" t="e">
        <f aca="false">+DATOS_[[#This Row],[SALARIO BASE Eq]]+DATOS_[[#This Row],[Tot COMPL.SAL Eq]]</f>
        <v>#DIV/0!</v>
      </c>
      <c r="CA658" s="138" t="e">
        <f aca="false" t="array" ref="CA658:CA6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8" s="138" t="e">
        <f aca="false">+DATOS_[[#This Row],[TOTAL SALARIO Eq]]+DATOS_[[#This Row],[Tot Extrasalarial Eq]]</f>
        <v>#DIV/0!</v>
      </c>
      <c r="CC658" s="139" t="n">
        <f aca="false">DATOS_[[#This Row],[S.BASE]]</f>
        <v>0</v>
      </c>
      <c r="CD658" s="139" t="n">
        <f aca="false">+SUM(DATOS_[[#This Row],[Conc.Sal.01]:[Conc.Sal.30]])</f>
        <v>0</v>
      </c>
      <c r="CE658" s="139" t="n">
        <f aca="false">+DATOS_[[#This Row],[SALARIO BASE Ef]]+DATOS_[[#This Row],[Tot COMPL.SAL Ef]]</f>
        <v>0</v>
      </c>
      <c r="CF658" s="139" t="n">
        <f aca="false">+SUM(DATOS_[[#This Row],[C.Extra.01]:[C.Extra.05]])</f>
        <v>0</v>
      </c>
      <c r="CG658" s="139" t="n">
        <f aca="false">+DATOS_[[#This Row],[TOTAL SALARIO Ef]]+DATOS_[[#This Row],[Tot Extrasalarial Ef]]</f>
        <v>0</v>
      </c>
      <c r="CH658" s="140" t="n">
        <f aca="false">MIN(IF(DATOS_[[#This Row],[Fecha Fin Contrato]]="",$D$4,DATOS_[[#This Row],[Fecha Fin Contrato]]),$D$4)-MAX(DATOS_[[#This Row],[Fecha de Contratación]],$D$3)+1</f>
        <v>1</v>
      </c>
      <c r="CI658" s="141" t="str">
        <f aca="false">IF(COUNTIFS(DATOS_[id],DATOS_[[#This Row],[id]])&gt;1,DATOS_[[#This Row],[id]],"")</f>
        <v/>
      </c>
      <c r="CJ658" s="141" t="n">
        <f aca="false">(Inicio!$G$10-DATOS_[[#This Row],[Fecha Nacimiento]])/365.25</f>
        <v>0</v>
      </c>
      <c r="CK658" s="141" t="n">
        <f aca="false">(Inicio!$G$10-DATOS_[[#This Row],[Fecha de Antigüedad]])/365.25</f>
        <v>0</v>
      </c>
      <c r="CL658" s="141" t="e">
        <f aca="false">+VLOOKUP(DATOS_[[#This Row],[Clave de Contrato]],TblTiposContrato13[],3,0)</f>
        <v>#N/A</v>
      </c>
      <c r="CM658" s="141" t="e">
        <f aca="false">+VLOOKUP(DATOS_[[#This Row],[Clave de Contrato]],TblTiposContrato13[],4,0)</f>
        <v>#N/A</v>
      </c>
      <c r="CN658" s="141" t="str">
        <f aca="false">VLOOKUP(DATOS_[[#This Row],[Edad]],CONTRATOS!TblRngEdad,2,1)</f>
        <v>20  o menos</v>
      </c>
      <c r="CO658" s="141" t="str">
        <f aca="false">VLOOKUP(DATOS_[[#This Row],[Antigüedad]],TblRngAntg14[],2,1)</f>
        <v>0 a 1 años</v>
      </c>
    </row>
    <row r="659" customFormat="false" ht="13.8" hidden="false" customHeight="false" outlineLevel="0" collapsed="false">
      <c r="D659" s="128"/>
      <c r="E659" s="129"/>
      <c r="F659" s="129"/>
      <c r="G659" s="129"/>
      <c r="H659" s="130"/>
      <c r="I659" s="131"/>
      <c r="J659" s="128"/>
      <c r="K659" s="132"/>
      <c r="L659" s="132"/>
      <c r="M659" s="133"/>
      <c r="N659" s="133"/>
      <c r="O659" s="133"/>
      <c r="P659" s="129"/>
      <c r="Z659" s="75"/>
      <c r="AA659" s="76"/>
      <c r="AB659" s="76"/>
      <c r="AC659" s="129"/>
      <c r="AD659" s="134"/>
      <c r="AE659" s="134"/>
      <c r="AF659" s="134"/>
      <c r="AG659" s="134"/>
      <c r="AH659" s="134"/>
      <c r="AI659" s="134"/>
      <c r="AJ659" s="134"/>
      <c r="AK659" s="134"/>
      <c r="AL659" s="134"/>
      <c r="AM659" s="134"/>
      <c r="AN659" s="134"/>
      <c r="AO659" s="134"/>
      <c r="AP659" s="134"/>
      <c r="AQ659" s="134"/>
      <c r="AR659" s="134"/>
      <c r="AS659" s="134"/>
      <c r="AT659" s="134"/>
      <c r="AU659" s="134"/>
      <c r="AV659" s="134"/>
      <c r="AW659" s="134"/>
      <c r="AX659" s="134"/>
      <c r="AY659" s="134"/>
      <c r="AZ659" s="134"/>
      <c r="BA659" s="134"/>
      <c r="BB659" s="134"/>
      <c r="BC659" s="134"/>
      <c r="BD659" s="134"/>
      <c r="BE659" s="134"/>
      <c r="BF659" s="134"/>
      <c r="BG659" s="134"/>
      <c r="BH659" s="134"/>
      <c r="BI659" s="134"/>
      <c r="BJ659" s="134"/>
      <c r="BK659" s="134"/>
      <c r="BL659" s="134"/>
      <c r="BM659" s="135"/>
      <c r="BN659" s="136" t="n">
        <f aca="false">+MAX($D$3,DATOS_[[#This Row],[Fecha Inicio Sit. Contract.]])</f>
        <v>0</v>
      </c>
      <c r="BO659" s="136" t="n">
        <f aca="false">+MIN($D$4,DATOS_[[#This Row],[Fecha Fin Sit. Contract.]])</f>
        <v>0</v>
      </c>
      <c r="BP659" s="137" t="n">
        <f aca="false">+DATOS_[[#This Row],[% de jornada]]*IF(DATOS_[[#This Row],[% jornada reducida]]="",1,DATOS_[[#This Row],[% jornada reducida]])</f>
        <v>0</v>
      </c>
      <c r="BQ659" s="137" t="n">
        <f aca="false">+(DATOS_[[#This Row],[F.fin.cal]]-DATOS_[[#This Row],[F.ini.cal]]+1)/($D$4-$D$3+1)</f>
        <v>1</v>
      </c>
      <c r="BR659" s="137" t="str">
        <f aca="false">IF(OR(AND(DATOS_[[#This Row],[Fecha Fin Contrato]]&lt;$D$3,DATOS_[[#This Row],[Fecha Fin Contrato]]&lt;&gt;""),DATOS_[[#This Row],[Fecha de Contratación]]&gt;$D$4),"Fuera","Dentro")</f>
        <v>Dentro</v>
      </c>
      <c r="BS659" s="137" t="str">
        <f aca="false" t="array" ref="BS659:BS659">IF(MAX(IF(DATOS_[id]=DATOS_[[#This Row],[id]],DATOS_[F.fin.cal]))=DATOS_[[#This Row],[F.fin.cal]],"Sí","NO")</f>
        <v>Sí</v>
      </c>
      <c r="BT659" s="137" t="str">
        <f aca="false">IF(AND(DATOS_[[#This Row],[% normaliz]]&lt;&gt;1,DATOS_[[#This Row],[% anualiz]]=1),"Sí","NO")</f>
        <v>Sí</v>
      </c>
      <c r="BU659" s="137" t="str">
        <f aca="false">IF(AND(DATOS_[[#This Row],[% normaliz]]=1,DATOS_[[#This Row],[% anualiz]]&lt;&gt;1),"Sí","NO")</f>
        <v>NO</v>
      </c>
      <c r="BV659" s="137" t="str">
        <f aca="false">IF(AND(DATOS_[[#This Row],[% normaliz]]&lt;&gt;1,DATOS_[[#This Row],[% anualiz]]&lt;&gt;1),"Sí","NO")</f>
        <v>NO</v>
      </c>
      <c r="BW659" s="137" t="str">
        <f aca="false">+IF(DATOS_[[#This Row],[% normaliz]]*DATOS_[[#This Row],[% anualiz]]=1,"NO","Sí")</f>
        <v>Sí</v>
      </c>
      <c r="BX659" s="138" t="e">
        <f aca="false">(DATOS_[[#This Row],[S.BASE]]*(1/DATOS_[[#This Row],[% normaliz]])*(1/DATOS_[[#This Row],[% anualiz]]))*IF(DATOS_[[#This Row],[Check Equiparado]]="Sí",1,0)</f>
        <v>#DIV/0!</v>
      </c>
      <c r="BY6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9" s="138" t="e">
        <f aca="false">+DATOS_[[#This Row],[SALARIO BASE Eq]]+DATOS_[[#This Row],[Tot COMPL.SAL Eq]]</f>
        <v>#DIV/0!</v>
      </c>
      <c r="CA659" s="138" t="e">
        <f aca="false" t="array" ref="CA659:CA6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9" s="138" t="e">
        <f aca="false">+DATOS_[[#This Row],[TOTAL SALARIO Eq]]+DATOS_[[#This Row],[Tot Extrasalarial Eq]]</f>
        <v>#DIV/0!</v>
      </c>
      <c r="CC659" s="139" t="n">
        <f aca="false">DATOS_[[#This Row],[S.BASE]]</f>
        <v>0</v>
      </c>
      <c r="CD659" s="139" t="n">
        <f aca="false">+SUM(DATOS_[[#This Row],[Conc.Sal.01]:[Conc.Sal.30]])</f>
        <v>0</v>
      </c>
      <c r="CE659" s="139" t="n">
        <f aca="false">+DATOS_[[#This Row],[SALARIO BASE Ef]]+DATOS_[[#This Row],[Tot COMPL.SAL Ef]]</f>
        <v>0</v>
      </c>
      <c r="CF659" s="139" t="n">
        <f aca="false">+SUM(DATOS_[[#This Row],[C.Extra.01]:[C.Extra.05]])</f>
        <v>0</v>
      </c>
      <c r="CG659" s="139" t="n">
        <f aca="false">+DATOS_[[#This Row],[TOTAL SALARIO Ef]]+DATOS_[[#This Row],[Tot Extrasalarial Ef]]</f>
        <v>0</v>
      </c>
      <c r="CH659" s="140" t="n">
        <f aca="false">MIN(IF(DATOS_[[#This Row],[Fecha Fin Contrato]]="",$D$4,DATOS_[[#This Row],[Fecha Fin Contrato]]),$D$4)-MAX(DATOS_[[#This Row],[Fecha de Contratación]],$D$3)+1</f>
        <v>1</v>
      </c>
      <c r="CI659" s="141" t="str">
        <f aca="false">IF(COUNTIFS(DATOS_[id],DATOS_[[#This Row],[id]])&gt;1,DATOS_[[#This Row],[id]],"")</f>
        <v/>
      </c>
      <c r="CJ659" s="141" t="n">
        <f aca="false">(Inicio!$G$10-DATOS_[[#This Row],[Fecha Nacimiento]])/365.25</f>
        <v>0</v>
      </c>
      <c r="CK659" s="141" t="n">
        <f aca="false">(Inicio!$G$10-DATOS_[[#This Row],[Fecha de Antigüedad]])/365.25</f>
        <v>0</v>
      </c>
      <c r="CL659" s="141" t="e">
        <f aca="false">+VLOOKUP(DATOS_[[#This Row],[Clave de Contrato]],TblTiposContrato13[],3,0)</f>
        <v>#N/A</v>
      </c>
      <c r="CM659" s="141" t="e">
        <f aca="false">+VLOOKUP(DATOS_[[#This Row],[Clave de Contrato]],TblTiposContrato13[],4,0)</f>
        <v>#N/A</v>
      </c>
      <c r="CN659" s="141" t="str">
        <f aca="false">VLOOKUP(DATOS_[[#This Row],[Edad]],CONTRATOS!TblRngEdad,2,1)</f>
        <v>20  o menos</v>
      </c>
      <c r="CO659" s="141" t="str">
        <f aca="false">VLOOKUP(DATOS_[[#This Row],[Antigüedad]],TblRngAntg14[],2,1)</f>
        <v>0 a 1 años</v>
      </c>
    </row>
    <row r="660" customFormat="false" ht="13.8" hidden="false" customHeight="false" outlineLevel="0" collapsed="false">
      <c r="D660" s="128"/>
      <c r="E660" s="129"/>
      <c r="F660" s="129"/>
      <c r="G660" s="129"/>
      <c r="H660" s="130"/>
      <c r="I660" s="131"/>
      <c r="J660" s="128"/>
      <c r="K660" s="132"/>
      <c r="L660" s="132"/>
      <c r="M660" s="133"/>
      <c r="N660" s="133"/>
      <c r="O660" s="133"/>
      <c r="P660" s="129"/>
      <c r="Z660" s="75"/>
      <c r="AA660" s="76"/>
      <c r="AB660" s="76"/>
      <c r="AC660" s="129"/>
      <c r="AD660" s="134"/>
      <c r="AE660" s="134"/>
      <c r="AF660" s="134"/>
      <c r="AG660" s="134"/>
      <c r="AH660" s="134"/>
      <c r="AI660" s="134"/>
      <c r="AJ660" s="134"/>
      <c r="AK660" s="134"/>
      <c r="AL660" s="134"/>
      <c r="AM660" s="134"/>
      <c r="AN660" s="134"/>
      <c r="AO660" s="134"/>
      <c r="AP660" s="134"/>
      <c r="AQ660" s="134"/>
      <c r="AR660" s="134"/>
      <c r="AS660" s="134"/>
      <c r="AT660" s="134"/>
      <c r="AU660" s="134"/>
      <c r="AV660" s="134"/>
      <c r="AW660" s="134"/>
      <c r="AX660" s="134"/>
      <c r="AY660" s="134"/>
      <c r="AZ660" s="134"/>
      <c r="BA660" s="134"/>
      <c r="BB660" s="134"/>
      <c r="BC660" s="134"/>
      <c r="BD660" s="134"/>
      <c r="BE660" s="134"/>
      <c r="BF660" s="134"/>
      <c r="BG660" s="134"/>
      <c r="BH660" s="134"/>
      <c r="BI660" s="134"/>
      <c r="BJ660" s="134"/>
      <c r="BK660" s="134"/>
      <c r="BL660" s="134"/>
      <c r="BM660" s="135"/>
      <c r="BN660" s="136" t="n">
        <f aca="false">+MAX($D$3,DATOS_[[#This Row],[Fecha Inicio Sit. Contract.]])</f>
        <v>0</v>
      </c>
      <c r="BO660" s="136" t="n">
        <f aca="false">+MIN($D$4,DATOS_[[#This Row],[Fecha Fin Sit. Contract.]])</f>
        <v>0</v>
      </c>
      <c r="BP660" s="137" t="n">
        <f aca="false">+DATOS_[[#This Row],[% de jornada]]*IF(DATOS_[[#This Row],[% jornada reducida]]="",1,DATOS_[[#This Row],[% jornada reducida]])</f>
        <v>0</v>
      </c>
      <c r="BQ660" s="137" t="n">
        <f aca="false">+(DATOS_[[#This Row],[F.fin.cal]]-DATOS_[[#This Row],[F.ini.cal]]+1)/($D$4-$D$3+1)</f>
        <v>1</v>
      </c>
      <c r="BR660" s="137" t="str">
        <f aca="false">IF(OR(AND(DATOS_[[#This Row],[Fecha Fin Contrato]]&lt;$D$3,DATOS_[[#This Row],[Fecha Fin Contrato]]&lt;&gt;""),DATOS_[[#This Row],[Fecha de Contratación]]&gt;$D$4),"Fuera","Dentro")</f>
        <v>Dentro</v>
      </c>
      <c r="BS660" s="137" t="str">
        <f aca="false" t="array" ref="BS660:BS660">IF(MAX(IF(DATOS_[id]=DATOS_[[#This Row],[id]],DATOS_[F.fin.cal]))=DATOS_[[#This Row],[F.fin.cal]],"Sí","NO")</f>
        <v>Sí</v>
      </c>
      <c r="BT660" s="137" t="str">
        <f aca="false">IF(AND(DATOS_[[#This Row],[% normaliz]]&lt;&gt;1,DATOS_[[#This Row],[% anualiz]]=1),"Sí","NO")</f>
        <v>Sí</v>
      </c>
      <c r="BU660" s="137" t="str">
        <f aca="false">IF(AND(DATOS_[[#This Row],[% normaliz]]=1,DATOS_[[#This Row],[% anualiz]]&lt;&gt;1),"Sí","NO")</f>
        <v>NO</v>
      </c>
      <c r="BV660" s="137" t="str">
        <f aca="false">IF(AND(DATOS_[[#This Row],[% normaliz]]&lt;&gt;1,DATOS_[[#This Row],[% anualiz]]&lt;&gt;1),"Sí","NO")</f>
        <v>NO</v>
      </c>
      <c r="BW660" s="137" t="str">
        <f aca="false">+IF(DATOS_[[#This Row],[% normaliz]]*DATOS_[[#This Row],[% anualiz]]=1,"NO","Sí")</f>
        <v>Sí</v>
      </c>
      <c r="BX660" s="138" t="e">
        <f aca="false">(DATOS_[[#This Row],[S.BASE]]*(1/DATOS_[[#This Row],[% normaliz]])*(1/DATOS_[[#This Row],[% anualiz]]))*IF(DATOS_[[#This Row],[Check Equiparado]]="Sí",1,0)</f>
        <v>#DIV/0!</v>
      </c>
      <c r="BY6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0" s="138" t="e">
        <f aca="false">+DATOS_[[#This Row],[SALARIO BASE Eq]]+DATOS_[[#This Row],[Tot COMPL.SAL Eq]]</f>
        <v>#DIV/0!</v>
      </c>
      <c r="CA660" s="138" t="e">
        <f aca="false" t="array" ref="CA660:CA6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0" s="138" t="e">
        <f aca="false">+DATOS_[[#This Row],[TOTAL SALARIO Eq]]+DATOS_[[#This Row],[Tot Extrasalarial Eq]]</f>
        <v>#DIV/0!</v>
      </c>
      <c r="CC660" s="139" t="n">
        <f aca="false">DATOS_[[#This Row],[S.BASE]]</f>
        <v>0</v>
      </c>
      <c r="CD660" s="139" t="n">
        <f aca="false">+SUM(DATOS_[[#This Row],[Conc.Sal.01]:[Conc.Sal.30]])</f>
        <v>0</v>
      </c>
      <c r="CE660" s="139" t="n">
        <f aca="false">+DATOS_[[#This Row],[SALARIO BASE Ef]]+DATOS_[[#This Row],[Tot COMPL.SAL Ef]]</f>
        <v>0</v>
      </c>
      <c r="CF660" s="139" t="n">
        <f aca="false">+SUM(DATOS_[[#This Row],[C.Extra.01]:[C.Extra.05]])</f>
        <v>0</v>
      </c>
      <c r="CG660" s="139" t="n">
        <f aca="false">+DATOS_[[#This Row],[TOTAL SALARIO Ef]]+DATOS_[[#This Row],[Tot Extrasalarial Ef]]</f>
        <v>0</v>
      </c>
      <c r="CH660" s="140" t="n">
        <f aca="false">MIN(IF(DATOS_[[#This Row],[Fecha Fin Contrato]]="",$D$4,DATOS_[[#This Row],[Fecha Fin Contrato]]),$D$4)-MAX(DATOS_[[#This Row],[Fecha de Contratación]],$D$3)+1</f>
        <v>1</v>
      </c>
      <c r="CI660" s="141" t="str">
        <f aca="false">IF(COUNTIFS(DATOS_[id],DATOS_[[#This Row],[id]])&gt;1,DATOS_[[#This Row],[id]],"")</f>
        <v/>
      </c>
      <c r="CJ660" s="141" t="n">
        <f aca="false">(Inicio!$G$10-DATOS_[[#This Row],[Fecha Nacimiento]])/365.25</f>
        <v>0</v>
      </c>
      <c r="CK660" s="141" t="n">
        <f aca="false">(Inicio!$G$10-DATOS_[[#This Row],[Fecha de Antigüedad]])/365.25</f>
        <v>0</v>
      </c>
      <c r="CL660" s="141" t="e">
        <f aca="false">+VLOOKUP(DATOS_[[#This Row],[Clave de Contrato]],TblTiposContrato13[],3,0)</f>
        <v>#N/A</v>
      </c>
      <c r="CM660" s="141" t="e">
        <f aca="false">+VLOOKUP(DATOS_[[#This Row],[Clave de Contrato]],TblTiposContrato13[],4,0)</f>
        <v>#N/A</v>
      </c>
      <c r="CN660" s="141" t="str">
        <f aca="false">VLOOKUP(DATOS_[[#This Row],[Edad]],CONTRATOS!TblRngEdad,2,1)</f>
        <v>20  o menos</v>
      </c>
      <c r="CO660" s="141" t="str">
        <f aca="false">VLOOKUP(DATOS_[[#This Row],[Antigüedad]],TblRngAntg14[],2,1)</f>
        <v>0 a 1 años</v>
      </c>
    </row>
    <row r="661" customFormat="false" ht="13.8" hidden="false" customHeight="false" outlineLevel="0" collapsed="false">
      <c r="D661" s="128"/>
      <c r="E661" s="129"/>
      <c r="F661" s="129"/>
      <c r="G661" s="129"/>
      <c r="H661" s="130"/>
      <c r="I661" s="131"/>
      <c r="J661" s="128"/>
      <c r="K661" s="132"/>
      <c r="L661" s="132"/>
      <c r="M661" s="133"/>
      <c r="N661" s="133"/>
      <c r="O661" s="133"/>
      <c r="P661" s="129"/>
      <c r="Z661" s="75"/>
      <c r="AA661" s="76"/>
      <c r="AB661" s="76"/>
      <c r="AC661" s="129"/>
      <c r="AD661" s="134"/>
      <c r="AE661" s="134"/>
      <c r="AF661" s="134"/>
      <c r="AG661" s="134"/>
      <c r="AH661" s="134"/>
      <c r="AI661" s="134"/>
      <c r="AJ661" s="134"/>
      <c r="AK661" s="134"/>
      <c r="AL661" s="134"/>
      <c r="AM661" s="134"/>
      <c r="AN661" s="134"/>
      <c r="AO661" s="134"/>
      <c r="AP661" s="134"/>
      <c r="AQ661" s="134"/>
      <c r="AR661" s="134"/>
      <c r="AS661" s="134"/>
      <c r="AT661" s="134"/>
      <c r="AU661" s="134"/>
      <c r="AV661" s="134"/>
      <c r="AW661" s="134"/>
      <c r="AX661" s="134"/>
      <c r="AY661" s="134"/>
      <c r="AZ661" s="134"/>
      <c r="BA661" s="134"/>
      <c r="BB661" s="134"/>
      <c r="BC661" s="134"/>
      <c r="BD661" s="134"/>
      <c r="BE661" s="134"/>
      <c r="BF661" s="134"/>
      <c r="BG661" s="134"/>
      <c r="BH661" s="134"/>
      <c r="BI661" s="134"/>
      <c r="BJ661" s="134"/>
      <c r="BK661" s="134"/>
      <c r="BL661" s="134"/>
      <c r="BM661" s="135"/>
      <c r="BN661" s="136" t="n">
        <f aca="false">+MAX($D$3,DATOS_[[#This Row],[Fecha Inicio Sit. Contract.]])</f>
        <v>0</v>
      </c>
      <c r="BO661" s="136" t="n">
        <f aca="false">+MIN($D$4,DATOS_[[#This Row],[Fecha Fin Sit. Contract.]])</f>
        <v>0</v>
      </c>
      <c r="BP661" s="137" t="n">
        <f aca="false">+DATOS_[[#This Row],[% de jornada]]*IF(DATOS_[[#This Row],[% jornada reducida]]="",1,DATOS_[[#This Row],[% jornada reducida]])</f>
        <v>0</v>
      </c>
      <c r="BQ661" s="137" t="n">
        <f aca="false">+(DATOS_[[#This Row],[F.fin.cal]]-DATOS_[[#This Row],[F.ini.cal]]+1)/($D$4-$D$3+1)</f>
        <v>1</v>
      </c>
      <c r="BR661" s="137" t="str">
        <f aca="false">IF(OR(AND(DATOS_[[#This Row],[Fecha Fin Contrato]]&lt;$D$3,DATOS_[[#This Row],[Fecha Fin Contrato]]&lt;&gt;""),DATOS_[[#This Row],[Fecha de Contratación]]&gt;$D$4),"Fuera","Dentro")</f>
        <v>Dentro</v>
      </c>
      <c r="BS661" s="137" t="str">
        <f aca="false" t="array" ref="BS661:BS661">IF(MAX(IF(DATOS_[id]=DATOS_[[#This Row],[id]],DATOS_[F.fin.cal]))=DATOS_[[#This Row],[F.fin.cal]],"Sí","NO")</f>
        <v>Sí</v>
      </c>
      <c r="BT661" s="137" t="str">
        <f aca="false">IF(AND(DATOS_[[#This Row],[% normaliz]]&lt;&gt;1,DATOS_[[#This Row],[% anualiz]]=1),"Sí","NO")</f>
        <v>Sí</v>
      </c>
      <c r="BU661" s="137" t="str">
        <f aca="false">IF(AND(DATOS_[[#This Row],[% normaliz]]=1,DATOS_[[#This Row],[% anualiz]]&lt;&gt;1),"Sí","NO")</f>
        <v>NO</v>
      </c>
      <c r="BV661" s="137" t="str">
        <f aca="false">IF(AND(DATOS_[[#This Row],[% normaliz]]&lt;&gt;1,DATOS_[[#This Row],[% anualiz]]&lt;&gt;1),"Sí","NO")</f>
        <v>NO</v>
      </c>
      <c r="BW661" s="137" t="str">
        <f aca="false">+IF(DATOS_[[#This Row],[% normaliz]]*DATOS_[[#This Row],[% anualiz]]=1,"NO","Sí")</f>
        <v>Sí</v>
      </c>
      <c r="BX661" s="138" t="e">
        <f aca="false">(DATOS_[[#This Row],[S.BASE]]*(1/DATOS_[[#This Row],[% normaliz]])*(1/DATOS_[[#This Row],[% anualiz]]))*IF(DATOS_[[#This Row],[Check Equiparado]]="Sí",1,0)</f>
        <v>#DIV/0!</v>
      </c>
      <c r="BY6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1" s="138" t="e">
        <f aca="false">+DATOS_[[#This Row],[SALARIO BASE Eq]]+DATOS_[[#This Row],[Tot COMPL.SAL Eq]]</f>
        <v>#DIV/0!</v>
      </c>
      <c r="CA661" s="138" t="e">
        <f aca="false" t="array" ref="CA661:CA6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1" s="138" t="e">
        <f aca="false">+DATOS_[[#This Row],[TOTAL SALARIO Eq]]+DATOS_[[#This Row],[Tot Extrasalarial Eq]]</f>
        <v>#DIV/0!</v>
      </c>
      <c r="CC661" s="139" t="n">
        <f aca="false">DATOS_[[#This Row],[S.BASE]]</f>
        <v>0</v>
      </c>
      <c r="CD661" s="139" t="n">
        <f aca="false">+SUM(DATOS_[[#This Row],[Conc.Sal.01]:[Conc.Sal.30]])</f>
        <v>0</v>
      </c>
      <c r="CE661" s="139" t="n">
        <f aca="false">+DATOS_[[#This Row],[SALARIO BASE Ef]]+DATOS_[[#This Row],[Tot COMPL.SAL Ef]]</f>
        <v>0</v>
      </c>
      <c r="CF661" s="139" t="n">
        <f aca="false">+SUM(DATOS_[[#This Row],[C.Extra.01]:[C.Extra.05]])</f>
        <v>0</v>
      </c>
      <c r="CG661" s="139" t="n">
        <f aca="false">+DATOS_[[#This Row],[TOTAL SALARIO Ef]]+DATOS_[[#This Row],[Tot Extrasalarial Ef]]</f>
        <v>0</v>
      </c>
      <c r="CH661" s="140" t="n">
        <f aca="false">MIN(IF(DATOS_[[#This Row],[Fecha Fin Contrato]]="",$D$4,DATOS_[[#This Row],[Fecha Fin Contrato]]),$D$4)-MAX(DATOS_[[#This Row],[Fecha de Contratación]],$D$3)+1</f>
        <v>1</v>
      </c>
      <c r="CI661" s="141" t="str">
        <f aca="false">IF(COUNTIFS(DATOS_[id],DATOS_[[#This Row],[id]])&gt;1,DATOS_[[#This Row],[id]],"")</f>
        <v/>
      </c>
      <c r="CJ661" s="141" t="n">
        <f aca="false">(Inicio!$G$10-DATOS_[[#This Row],[Fecha Nacimiento]])/365.25</f>
        <v>0</v>
      </c>
      <c r="CK661" s="141" t="n">
        <f aca="false">(Inicio!$G$10-DATOS_[[#This Row],[Fecha de Antigüedad]])/365.25</f>
        <v>0</v>
      </c>
      <c r="CL661" s="141" t="e">
        <f aca="false">+VLOOKUP(DATOS_[[#This Row],[Clave de Contrato]],TblTiposContrato13[],3,0)</f>
        <v>#N/A</v>
      </c>
      <c r="CM661" s="141" t="e">
        <f aca="false">+VLOOKUP(DATOS_[[#This Row],[Clave de Contrato]],TblTiposContrato13[],4,0)</f>
        <v>#N/A</v>
      </c>
      <c r="CN661" s="141" t="str">
        <f aca="false">VLOOKUP(DATOS_[[#This Row],[Edad]],CONTRATOS!TblRngEdad,2,1)</f>
        <v>20  o menos</v>
      </c>
      <c r="CO661" s="141" t="str">
        <f aca="false">VLOOKUP(DATOS_[[#This Row],[Antigüedad]],TblRngAntg14[],2,1)</f>
        <v>0 a 1 años</v>
      </c>
    </row>
    <row r="662" customFormat="false" ht="13.8" hidden="false" customHeight="false" outlineLevel="0" collapsed="false">
      <c r="D662" s="128"/>
      <c r="E662" s="129"/>
      <c r="F662" s="129"/>
      <c r="G662" s="129"/>
      <c r="H662" s="130"/>
      <c r="I662" s="131"/>
      <c r="J662" s="128"/>
      <c r="K662" s="132"/>
      <c r="L662" s="132"/>
      <c r="M662" s="133"/>
      <c r="N662" s="133"/>
      <c r="O662" s="133"/>
      <c r="P662" s="129"/>
      <c r="Z662" s="75"/>
      <c r="AA662" s="76"/>
      <c r="AB662" s="76"/>
      <c r="AC662" s="129"/>
      <c r="AD662" s="134"/>
      <c r="AE662" s="134"/>
      <c r="AF662" s="134"/>
      <c r="AG662" s="134"/>
      <c r="AH662" s="134"/>
      <c r="AI662" s="134"/>
      <c r="AJ662" s="134"/>
      <c r="AK662" s="134"/>
      <c r="AL662" s="134"/>
      <c r="AM662" s="134"/>
      <c r="AN662" s="134"/>
      <c r="AO662" s="134"/>
      <c r="AP662" s="134"/>
      <c r="AQ662" s="134"/>
      <c r="AR662" s="134"/>
      <c r="AS662" s="134"/>
      <c r="AT662" s="134"/>
      <c r="AU662" s="134"/>
      <c r="AV662" s="134"/>
      <c r="AW662" s="134"/>
      <c r="AX662" s="134"/>
      <c r="AY662" s="134"/>
      <c r="AZ662" s="134"/>
      <c r="BA662" s="134"/>
      <c r="BB662" s="134"/>
      <c r="BC662" s="134"/>
      <c r="BD662" s="134"/>
      <c r="BE662" s="134"/>
      <c r="BF662" s="134"/>
      <c r="BG662" s="134"/>
      <c r="BH662" s="134"/>
      <c r="BI662" s="134"/>
      <c r="BJ662" s="134"/>
      <c r="BK662" s="134"/>
      <c r="BL662" s="134"/>
      <c r="BM662" s="135"/>
      <c r="BN662" s="136" t="n">
        <f aca="false">+MAX($D$3,DATOS_[[#This Row],[Fecha Inicio Sit. Contract.]])</f>
        <v>0</v>
      </c>
      <c r="BO662" s="136" t="n">
        <f aca="false">+MIN($D$4,DATOS_[[#This Row],[Fecha Fin Sit. Contract.]])</f>
        <v>0</v>
      </c>
      <c r="BP662" s="137" t="n">
        <f aca="false">+DATOS_[[#This Row],[% de jornada]]*IF(DATOS_[[#This Row],[% jornada reducida]]="",1,DATOS_[[#This Row],[% jornada reducida]])</f>
        <v>0</v>
      </c>
      <c r="BQ662" s="137" t="n">
        <f aca="false">+(DATOS_[[#This Row],[F.fin.cal]]-DATOS_[[#This Row],[F.ini.cal]]+1)/($D$4-$D$3+1)</f>
        <v>1</v>
      </c>
      <c r="BR662" s="137" t="str">
        <f aca="false">IF(OR(AND(DATOS_[[#This Row],[Fecha Fin Contrato]]&lt;$D$3,DATOS_[[#This Row],[Fecha Fin Contrato]]&lt;&gt;""),DATOS_[[#This Row],[Fecha de Contratación]]&gt;$D$4),"Fuera","Dentro")</f>
        <v>Dentro</v>
      </c>
      <c r="BS662" s="137" t="str">
        <f aca="false" t="array" ref="BS662:BS662">IF(MAX(IF(DATOS_[id]=DATOS_[[#This Row],[id]],DATOS_[F.fin.cal]))=DATOS_[[#This Row],[F.fin.cal]],"Sí","NO")</f>
        <v>Sí</v>
      </c>
      <c r="BT662" s="137" t="str">
        <f aca="false">IF(AND(DATOS_[[#This Row],[% normaliz]]&lt;&gt;1,DATOS_[[#This Row],[% anualiz]]=1),"Sí","NO")</f>
        <v>Sí</v>
      </c>
      <c r="BU662" s="137" t="str">
        <f aca="false">IF(AND(DATOS_[[#This Row],[% normaliz]]=1,DATOS_[[#This Row],[% anualiz]]&lt;&gt;1),"Sí","NO")</f>
        <v>NO</v>
      </c>
      <c r="BV662" s="137" t="str">
        <f aca="false">IF(AND(DATOS_[[#This Row],[% normaliz]]&lt;&gt;1,DATOS_[[#This Row],[% anualiz]]&lt;&gt;1),"Sí","NO")</f>
        <v>NO</v>
      </c>
      <c r="BW662" s="137" t="str">
        <f aca="false">+IF(DATOS_[[#This Row],[% normaliz]]*DATOS_[[#This Row],[% anualiz]]=1,"NO","Sí")</f>
        <v>Sí</v>
      </c>
      <c r="BX662" s="138" t="e">
        <f aca="false">(DATOS_[[#This Row],[S.BASE]]*(1/DATOS_[[#This Row],[% normaliz]])*(1/DATOS_[[#This Row],[% anualiz]]))*IF(DATOS_[[#This Row],[Check Equiparado]]="Sí",1,0)</f>
        <v>#DIV/0!</v>
      </c>
      <c r="BY6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2" s="138" t="e">
        <f aca="false">+DATOS_[[#This Row],[SALARIO BASE Eq]]+DATOS_[[#This Row],[Tot COMPL.SAL Eq]]</f>
        <v>#DIV/0!</v>
      </c>
      <c r="CA662" s="138" t="e">
        <f aca="false" t="array" ref="CA662:CA6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2" s="138" t="e">
        <f aca="false">+DATOS_[[#This Row],[TOTAL SALARIO Eq]]+DATOS_[[#This Row],[Tot Extrasalarial Eq]]</f>
        <v>#DIV/0!</v>
      </c>
      <c r="CC662" s="139" t="n">
        <f aca="false">DATOS_[[#This Row],[S.BASE]]</f>
        <v>0</v>
      </c>
      <c r="CD662" s="139" t="n">
        <f aca="false">+SUM(DATOS_[[#This Row],[Conc.Sal.01]:[Conc.Sal.30]])</f>
        <v>0</v>
      </c>
      <c r="CE662" s="139" t="n">
        <f aca="false">+DATOS_[[#This Row],[SALARIO BASE Ef]]+DATOS_[[#This Row],[Tot COMPL.SAL Ef]]</f>
        <v>0</v>
      </c>
      <c r="CF662" s="139" t="n">
        <f aca="false">+SUM(DATOS_[[#This Row],[C.Extra.01]:[C.Extra.05]])</f>
        <v>0</v>
      </c>
      <c r="CG662" s="139" t="n">
        <f aca="false">+DATOS_[[#This Row],[TOTAL SALARIO Ef]]+DATOS_[[#This Row],[Tot Extrasalarial Ef]]</f>
        <v>0</v>
      </c>
      <c r="CH662" s="140" t="n">
        <f aca="false">MIN(IF(DATOS_[[#This Row],[Fecha Fin Contrato]]="",$D$4,DATOS_[[#This Row],[Fecha Fin Contrato]]),$D$4)-MAX(DATOS_[[#This Row],[Fecha de Contratación]],$D$3)+1</f>
        <v>1</v>
      </c>
      <c r="CI662" s="141" t="str">
        <f aca="false">IF(COUNTIFS(DATOS_[id],DATOS_[[#This Row],[id]])&gt;1,DATOS_[[#This Row],[id]],"")</f>
        <v/>
      </c>
      <c r="CJ662" s="141" t="n">
        <f aca="false">(Inicio!$G$10-DATOS_[[#This Row],[Fecha Nacimiento]])/365.25</f>
        <v>0</v>
      </c>
      <c r="CK662" s="141" t="n">
        <f aca="false">(Inicio!$G$10-DATOS_[[#This Row],[Fecha de Antigüedad]])/365.25</f>
        <v>0</v>
      </c>
      <c r="CL662" s="141" t="e">
        <f aca="false">+VLOOKUP(DATOS_[[#This Row],[Clave de Contrato]],TblTiposContrato13[],3,0)</f>
        <v>#N/A</v>
      </c>
      <c r="CM662" s="141" t="e">
        <f aca="false">+VLOOKUP(DATOS_[[#This Row],[Clave de Contrato]],TblTiposContrato13[],4,0)</f>
        <v>#N/A</v>
      </c>
      <c r="CN662" s="141" t="str">
        <f aca="false">VLOOKUP(DATOS_[[#This Row],[Edad]],CONTRATOS!TblRngEdad,2,1)</f>
        <v>20  o menos</v>
      </c>
      <c r="CO662" s="141" t="str">
        <f aca="false">VLOOKUP(DATOS_[[#This Row],[Antigüedad]],TblRngAntg14[],2,1)</f>
        <v>0 a 1 años</v>
      </c>
    </row>
    <row r="663" customFormat="false" ht="13.8" hidden="false" customHeight="false" outlineLevel="0" collapsed="false">
      <c r="D663" s="128"/>
      <c r="E663" s="129"/>
      <c r="F663" s="129"/>
      <c r="G663" s="129"/>
      <c r="H663" s="130"/>
      <c r="I663" s="131"/>
      <c r="J663" s="128"/>
      <c r="K663" s="132"/>
      <c r="L663" s="132"/>
      <c r="M663" s="133"/>
      <c r="N663" s="133"/>
      <c r="O663" s="133"/>
      <c r="P663" s="129"/>
      <c r="Z663" s="75"/>
      <c r="AA663" s="76"/>
      <c r="AB663" s="76"/>
      <c r="AC663" s="129"/>
      <c r="AD663" s="134"/>
      <c r="AE663" s="134"/>
      <c r="AF663" s="134"/>
      <c r="AG663" s="134"/>
      <c r="AH663" s="134"/>
      <c r="AI663" s="134"/>
      <c r="AJ663" s="134"/>
      <c r="AK663" s="134"/>
      <c r="AL663" s="134"/>
      <c r="AM663" s="134"/>
      <c r="AN663" s="134"/>
      <c r="AO663" s="134"/>
      <c r="AP663" s="134"/>
      <c r="AQ663" s="134"/>
      <c r="AR663" s="134"/>
      <c r="AS663" s="134"/>
      <c r="AT663" s="134"/>
      <c r="AU663" s="134"/>
      <c r="AV663" s="134"/>
      <c r="AW663" s="134"/>
      <c r="AX663" s="134"/>
      <c r="AY663" s="134"/>
      <c r="AZ663" s="134"/>
      <c r="BA663" s="134"/>
      <c r="BB663" s="134"/>
      <c r="BC663" s="134"/>
      <c r="BD663" s="134"/>
      <c r="BE663" s="134"/>
      <c r="BF663" s="134"/>
      <c r="BG663" s="134"/>
      <c r="BH663" s="134"/>
      <c r="BI663" s="134"/>
      <c r="BJ663" s="134"/>
      <c r="BK663" s="134"/>
      <c r="BL663" s="134"/>
      <c r="BM663" s="135"/>
      <c r="BN663" s="136" t="n">
        <f aca="false">+MAX($D$3,DATOS_[[#This Row],[Fecha Inicio Sit. Contract.]])</f>
        <v>0</v>
      </c>
      <c r="BO663" s="136" t="n">
        <f aca="false">+MIN($D$4,DATOS_[[#This Row],[Fecha Fin Sit. Contract.]])</f>
        <v>0</v>
      </c>
      <c r="BP663" s="137" t="n">
        <f aca="false">+DATOS_[[#This Row],[% de jornada]]*IF(DATOS_[[#This Row],[% jornada reducida]]="",1,DATOS_[[#This Row],[% jornada reducida]])</f>
        <v>0</v>
      </c>
      <c r="BQ663" s="137" t="n">
        <f aca="false">+(DATOS_[[#This Row],[F.fin.cal]]-DATOS_[[#This Row],[F.ini.cal]]+1)/($D$4-$D$3+1)</f>
        <v>1</v>
      </c>
      <c r="BR663" s="137" t="str">
        <f aca="false">IF(OR(AND(DATOS_[[#This Row],[Fecha Fin Contrato]]&lt;$D$3,DATOS_[[#This Row],[Fecha Fin Contrato]]&lt;&gt;""),DATOS_[[#This Row],[Fecha de Contratación]]&gt;$D$4),"Fuera","Dentro")</f>
        <v>Dentro</v>
      </c>
      <c r="BS663" s="137" t="str">
        <f aca="false" t="array" ref="BS663:BS663">IF(MAX(IF(DATOS_[id]=DATOS_[[#This Row],[id]],DATOS_[F.fin.cal]))=DATOS_[[#This Row],[F.fin.cal]],"Sí","NO")</f>
        <v>Sí</v>
      </c>
      <c r="BT663" s="137" t="str">
        <f aca="false">IF(AND(DATOS_[[#This Row],[% normaliz]]&lt;&gt;1,DATOS_[[#This Row],[% anualiz]]=1),"Sí","NO")</f>
        <v>Sí</v>
      </c>
      <c r="BU663" s="137" t="str">
        <f aca="false">IF(AND(DATOS_[[#This Row],[% normaliz]]=1,DATOS_[[#This Row],[% anualiz]]&lt;&gt;1),"Sí","NO")</f>
        <v>NO</v>
      </c>
      <c r="BV663" s="137" t="str">
        <f aca="false">IF(AND(DATOS_[[#This Row],[% normaliz]]&lt;&gt;1,DATOS_[[#This Row],[% anualiz]]&lt;&gt;1),"Sí","NO")</f>
        <v>NO</v>
      </c>
      <c r="BW663" s="137" t="str">
        <f aca="false">+IF(DATOS_[[#This Row],[% normaliz]]*DATOS_[[#This Row],[% anualiz]]=1,"NO","Sí")</f>
        <v>Sí</v>
      </c>
      <c r="BX663" s="138" t="e">
        <f aca="false">(DATOS_[[#This Row],[S.BASE]]*(1/DATOS_[[#This Row],[% normaliz]])*(1/DATOS_[[#This Row],[% anualiz]]))*IF(DATOS_[[#This Row],[Check Equiparado]]="Sí",1,0)</f>
        <v>#DIV/0!</v>
      </c>
      <c r="BY6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3" s="138" t="e">
        <f aca="false">+DATOS_[[#This Row],[SALARIO BASE Eq]]+DATOS_[[#This Row],[Tot COMPL.SAL Eq]]</f>
        <v>#DIV/0!</v>
      </c>
      <c r="CA663" s="138" t="e">
        <f aca="false" t="array" ref="CA663:CA6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3" s="138" t="e">
        <f aca="false">+DATOS_[[#This Row],[TOTAL SALARIO Eq]]+DATOS_[[#This Row],[Tot Extrasalarial Eq]]</f>
        <v>#DIV/0!</v>
      </c>
      <c r="CC663" s="139" t="n">
        <f aca="false">DATOS_[[#This Row],[S.BASE]]</f>
        <v>0</v>
      </c>
      <c r="CD663" s="139" t="n">
        <f aca="false">+SUM(DATOS_[[#This Row],[Conc.Sal.01]:[Conc.Sal.30]])</f>
        <v>0</v>
      </c>
      <c r="CE663" s="139" t="n">
        <f aca="false">+DATOS_[[#This Row],[SALARIO BASE Ef]]+DATOS_[[#This Row],[Tot COMPL.SAL Ef]]</f>
        <v>0</v>
      </c>
      <c r="CF663" s="139" t="n">
        <f aca="false">+SUM(DATOS_[[#This Row],[C.Extra.01]:[C.Extra.05]])</f>
        <v>0</v>
      </c>
      <c r="CG663" s="139" t="n">
        <f aca="false">+DATOS_[[#This Row],[TOTAL SALARIO Ef]]+DATOS_[[#This Row],[Tot Extrasalarial Ef]]</f>
        <v>0</v>
      </c>
      <c r="CH663" s="140" t="n">
        <f aca="false">MIN(IF(DATOS_[[#This Row],[Fecha Fin Contrato]]="",$D$4,DATOS_[[#This Row],[Fecha Fin Contrato]]),$D$4)-MAX(DATOS_[[#This Row],[Fecha de Contratación]],$D$3)+1</f>
        <v>1</v>
      </c>
      <c r="CI663" s="141" t="str">
        <f aca="false">IF(COUNTIFS(DATOS_[id],DATOS_[[#This Row],[id]])&gt;1,DATOS_[[#This Row],[id]],"")</f>
        <v/>
      </c>
      <c r="CJ663" s="141" t="n">
        <f aca="false">(Inicio!$G$10-DATOS_[[#This Row],[Fecha Nacimiento]])/365.25</f>
        <v>0</v>
      </c>
      <c r="CK663" s="141" t="n">
        <f aca="false">(Inicio!$G$10-DATOS_[[#This Row],[Fecha de Antigüedad]])/365.25</f>
        <v>0</v>
      </c>
      <c r="CL663" s="141" t="e">
        <f aca="false">+VLOOKUP(DATOS_[[#This Row],[Clave de Contrato]],TblTiposContrato13[],3,0)</f>
        <v>#N/A</v>
      </c>
      <c r="CM663" s="141" t="e">
        <f aca="false">+VLOOKUP(DATOS_[[#This Row],[Clave de Contrato]],TblTiposContrato13[],4,0)</f>
        <v>#N/A</v>
      </c>
      <c r="CN663" s="141" t="str">
        <f aca="false">VLOOKUP(DATOS_[[#This Row],[Edad]],CONTRATOS!TblRngEdad,2,1)</f>
        <v>20  o menos</v>
      </c>
      <c r="CO663" s="141" t="str">
        <f aca="false">VLOOKUP(DATOS_[[#This Row],[Antigüedad]],TblRngAntg14[],2,1)</f>
        <v>0 a 1 años</v>
      </c>
    </row>
    <row r="664" customFormat="false" ht="13.8" hidden="false" customHeight="false" outlineLevel="0" collapsed="false">
      <c r="D664" s="128"/>
      <c r="E664" s="129"/>
      <c r="F664" s="129"/>
      <c r="G664" s="129"/>
      <c r="H664" s="130"/>
      <c r="I664" s="131"/>
      <c r="J664" s="128"/>
      <c r="K664" s="132"/>
      <c r="L664" s="132"/>
      <c r="M664" s="133"/>
      <c r="N664" s="133"/>
      <c r="O664" s="133"/>
      <c r="P664" s="129"/>
      <c r="Z664" s="75"/>
      <c r="AA664" s="76"/>
      <c r="AB664" s="76"/>
      <c r="AC664" s="129"/>
      <c r="AD664" s="134"/>
      <c r="AE664" s="134"/>
      <c r="AF664" s="134"/>
      <c r="AG664" s="134"/>
      <c r="AH664" s="134"/>
      <c r="AI664" s="134"/>
      <c r="AJ664" s="134"/>
      <c r="AK664" s="134"/>
      <c r="AL664" s="134"/>
      <c r="AM664" s="134"/>
      <c r="AN664" s="134"/>
      <c r="AO664" s="134"/>
      <c r="AP664" s="134"/>
      <c r="AQ664" s="134"/>
      <c r="AR664" s="134"/>
      <c r="AS664" s="134"/>
      <c r="AT664" s="134"/>
      <c r="AU664" s="134"/>
      <c r="AV664" s="134"/>
      <c r="AW664" s="134"/>
      <c r="AX664" s="134"/>
      <c r="AY664" s="134"/>
      <c r="AZ664" s="134"/>
      <c r="BA664" s="134"/>
      <c r="BB664" s="134"/>
      <c r="BC664" s="134"/>
      <c r="BD664" s="134"/>
      <c r="BE664" s="134"/>
      <c r="BF664" s="134"/>
      <c r="BG664" s="134"/>
      <c r="BH664" s="134"/>
      <c r="BI664" s="134"/>
      <c r="BJ664" s="134"/>
      <c r="BK664" s="134"/>
      <c r="BL664" s="134"/>
      <c r="BM664" s="135"/>
      <c r="BN664" s="136" t="n">
        <f aca="false">+MAX($D$3,DATOS_[[#This Row],[Fecha Inicio Sit. Contract.]])</f>
        <v>0</v>
      </c>
      <c r="BO664" s="136" t="n">
        <f aca="false">+MIN($D$4,DATOS_[[#This Row],[Fecha Fin Sit. Contract.]])</f>
        <v>0</v>
      </c>
      <c r="BP664" s="137" t="n">
        <f aca="false">+DATOS_[[#This Row],[% de jornada]]*IF(DATOS_[[#This Row],[% jornada reducida]]="",1,DATOS_[[#This Row],[% jornada reducida]])</f>
        <v>0</v>
      </c>
      <c r="BQ664" s="137" t="n">
        <f aca="false">+(DATOS_[[#This Row],[F.fin.cal]]-DATOS_[[#This Row],[F.ini.cal]]+1)/($D$4-$D$3+1)</f>
        <v>1</v>
      </c>
      <c r="BR664" s="137" t="str">
        <f aca="false">IF(OR(AND(DATOS_[[#This Row],[Fecha Fin Contrato]]&lt;$D$3,DATOS_[[#This Row],[Fecha Fin Contrato]]&lt;&gt;""),DATOS_[[#This Row],[Fecha de Contratación]]&gt;$D$4),"Fuera","Dentro")</f>
        <v>Dentro</v>
      </c>
      <c r="BS664" s="137" t="str">
        <f aca="false" t="array" ref="BS664:BS664">IF(MAX(IF(DATOS_[id]=DATOS_[[#This Row],[id]],DATOS_[F.fin.cal]))=DATOS_[[#This Row],[F.fin.cal]],"Sí","NO")</f>
        <v>Sí</v>
      </c>
      <c r="BT664" s="137" t="str">
        <f aca="false">IF(AND(DATOS_[[#This Row],[% normaliz]]&lt;&gt;1,DATOS_[[#This Row],[% anualiz]]=1),"Sí","NO")</f>
        <v>Sí</v>
      </c>
      <c r="BU664" s="137" t="str">
        <f aca="false">IF(AND(DATOS_[[#This Row],[% normaliz]]=1,DATOS_[[#This Row],[% anualiz]]&lt;&gt;1),"Sí","NO")</f>
        <v>NO</v>
      </c>
      <c r="BV664" s="137" t="str">
        <f aca="false">IF(AND(DATOS_[[#This Row],[% normaliz]]&lt;&gt;1,DATOS_[[#This Row],[% anualiz]]&lt;&gt;1),"Sí","NO")</f>
        <v>NO</v>
      </c>
      <c r="BW664" s="137" t="str">
        <f aca="false">+IF(DATOS_[[#This Row],[% normaliz]]*DATOS_[[#This Row],[% anualiz]]=1,"NO","Sí")</f>
        <v>Sí</v>
      </c>
      <c r="BX664" s="138" t="e">
        <f aca="false">(DATOS_[[#This Row],[S.BASE]]*(1/DATOS_[[#This Row],[% normaliz]])*(1/DATOS_[[#This Row],[% anualiz]]))*IF(DATOS_[[#This Row],[Check Equiparado]]="Sí",1,0)</f>
        <v>#DIV/0!</v>
      </c>
      <c r="BY6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4" s="138" t="e">
        <f aca="false">+DATOS_[[#This Row],[SALARIO BASE Eq]]+DATOS_[[#This Row],[Tot COMPL.SAL Eq]]</f>
        <v>#DIV/0!</v>
      </c>
      <c r="CA664" s="138" t="e">
        <f aca="false" t="array" ref="CA664:CA6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4" s="138" t="e">
        <f aca="false">+DATOS_[[#This Row],[TOTAL SALARIO Eq]]+DATOS_[[#This Row],[Tot Extrasalarial Eq]]</f>
        <v>#DIV/0!</v>
      </c>
      <c r="CC664" s="139" t="n">
        <f aca="false">DATOS_[[#This Row],[S.BASE]]</f>
        <v>0</v>
      </c>
      <c r="CD664" s="139" t="n">
        <f aca="false">+SUM(DATOS_[[#This Row],[Conc.Sal.01]:[Conc.Sal.30]])</f>
        <v>0</v>
      </c>
      <c r="CE664" s="139" t="n">
        <f aca="false">+DATOS_[[#This Row],[SALARIO BASE Ef]]+DATOS_[[#This Row],[Tot COMPL.SAL Ef]]</f>
        <v>0</v>
      </c>
      <c r="CF664" s="139" t="n">
        <f aca="false">+SUM(DATOS_[[#This Row],[C.Extra.01]:[C.Extra.05]])</f>
        <v>0</v>
      </c>
      <c r="CG664" s="139" t="n">
        <f aca="false">+DATOS_[[#This Row],[TOTAL SALARIO Ef]]+DATOS_[[#This Row],[Tot Extrasalarial Ef]]</f>
        <v>0</v>
      </c>
      <c r="CH664" s="140" t="n">
        <f aca="false">MIN(IF(DATOS_[[#This Row],[Fecha Fin Contrato]]="",$D$4,DATOS_[[#This Row],[Fecha Fin Contrato]]),$D$4)-MAX(DATOS_[[#This Row],[Fecha de Contratación]],$D$3)+1</f>
        <v>1</v>
      </c>
      <c r="CI664" s="141" t="str">
        <f aca="false">IF(COUNTIFS(DATOS_[id],DATOS_[[#This Row],[id]])&gt;1,DATOS_[[#This Row],[id]],"")</f>
        <v/>
      </c>
      <c r="CJ664" s="141" t="n">
        <f aca="false">(Inicio!$G$10-DATOS_[[#This Row],[Fecha Nacimiento]])/365.25</f>
        <v>0</v>
      </c>
      <c r="CK664" s="141" t="n">
        <f aca="false">(Inicio!$G$10-DATOS_[[#This Row],[Fecha de Antigüedad]])/365.25</f>
        <v>0</v>
      </c>
      <c r="CL664" s="141" t="e">
        <f aca="false">+VLOOKUP(DATOS_[[#This Row],[Clave de Contrato]],TblTiposContrato13[],3,0)</f>
        <v>#N/A</v>
      </c>
      <c r="CM664" s="141" t="e">
        <f aca="false">+VLOOKUP(DATOS_[[#This Row],[Clave de Contrato]],TblTiposContrato13[],4,0)</f>
        <v>#N/A</v>
      </c>
      <c r="CN664" s="141" t="str">
        <f aca="false">VLOOKUP(DATOS_[[#This Row],[Edad]],CONTRATOS!TblRngEdad,2,1)</f>
        <v>20  o menos</v>
      </c>
      <c r="CO664" s="141" t="str">
        <f aca="false">VLOOKUP(DATOS_[[#This Row],[Antigüedad]],TblRngAntg14[],2,1)</f>
        <v>0 a 1 años</v>
      </c>
    </row>
    <row r="665" customFormat="false" ht="13.8" hidden="false" customHeight="false" outlineLevel="0" collapsed="false">
      <c r="D665" s="128"/>
      <c r="E665" s="129"/>
      <c r="F665" s="129"/>
      <c r="G665" s="129"/>
      <c r="H665" s="130"/>
      <c r="I665" s="131"/>
      <c r="J665" s="128"/>
      <c r="K665" s="132"/>
      <c r="L665" s="132"/>
      <c r="M665" s="133"/>
      <c r="N665" s="133"/>
      <c r="O665" s="133"/>
      <c r="P665" s="129"/>
      <c r="Z665" s="75"/>
      <c r="AA665" s="76"/>
      <c r="AB665" s="76"/>
      <c r="AC665" s="129"/>
      <c r="AD665" s="134"/>
      <c r="AE665" s="134"/>
      <c r="AF665" s="134"/>
      <c r="AG665" s="134"/>
      <c r="AH665" s="134"/>
      <c r="AI665" s="134"/>
      <c r="AJ665" s="134"/>
      <c r="AK665" s="134"/>
      <c r="AL665" s="134"/>
      <c r="AM665" s="134"/>
      <c r="AN665" s="134"/>
      <c r="AO665" s="134"/>
      <c r="AP665" s="134"/>
      <c r="AQ665" s="134"/>
      <c r="AR665" s="134"/>
      <c r="AS665" s="134"/>
      <c r="AT665" s="134"/>
      <c r="AU665" s="134"/>
      <c r="AV665" s="134"/>
      <c r="AW665" s="134"/>
      <c r="AX665" s="134"/>
      <c r="AY665" s="134"/>
      <c r="AZ665" s="134"/>
      <c r="BA665" s="134"/>
      <c r="BB665" s="134"/>
      <c r="BC665" s="134"/>
      <c r="BD665" s="134"/>
      <c r="BE665" s="134"/>
      <c r="BF665" s="134"/>
      <c r="BG665" s="134"/>
      <c r="BH665" s="134"/>
      <c r="BI665" s="134"/>
      <c r="BJ665" s="134"/>
      <c r="BK665" s="134"/>
      <c r="BL665" s="134"/>
      <c r="BM665" s="135"/>
      <c r="BN665" s="136" t="n">
        <f aca="false">+MAX($D$3,DATOS_[[#This Row],[Fecha Inicio Sit. Contract.]])</f>
        <v>0</v>
      </c>
      <c r="BO665" s="136" t="n">
        <f aca="false">+MIN($D$4,DATOS_[[#This Row],[Fecha Fin Sit. Contract.]])</f>
        <v>0</v>
      </c>
      <c r="BP665" s="137" t="n">
        <f aca="false">+DATOS_[[#This Row],[% de jornada]]*IF(DATOS_[[#This Row],[% jornada reducida]]="",1,DATOS_[[#This Row],[% jornada reducida]])</f>
        <v>0</v>
      </c>
      <c r="BQ665" s="137" t="n">
        <f aca="false">+(DATOS_[[#This Row],[F.fin.cal]]-DATOS_[[#This Row],[F.ini.cal]]+1)/($D$4-$D$3+1)</f>
        <v>1</v>
      </c>
      <c r="BR665" s="137" t="str">
        <f aca="false">IF(OR(AND(DATOS_[[#This Row],[Fecha Fin Contrato]]&lt;$D$3,DATOS_[[#This Row],[Fecha Fin Contrato]]&lt;&gt;""),DATOS_[[#This Row],[Fecha de Contratación]]&gt;$D$4),"Fuera","Dentro")</f>
        <v>Dentro</v>
      </c>
      <c r="BS665" s="137" t="str">
        <f aca="false" t="array" ref="BS665:BS665">IF(MAX(IF(DATOS_[id]=DATOS_[[#This Row],[id]],DATOS_[F.fin.cal]))=DATOS_[[#This Row],[F.fin.cal]],"Sí","NO")</f>
        <v>Sí</v>
      </c>
      <c r="BT665" s="137" t="str">
        <f aca="false">IF(AND(DATOS_[[#This Row],[% normaliz]]&lt;&gt;1,DATOS_[[#This Row],[% anualiz]]=1),"Sí","NO")</f>
        <v>Sí</v>
      </c>
      <c r="BU665" s="137" t="str">
        <f aca="false">IF(AND(DATOS_[[#This Row],[% normaliz]]=1,DATOS_[[#This Row],[% anualiz]]&lt;&gt;1),"Sí","NO")</f>
        <v>NO</v>
      </c>
      <c r="BV665" s="137" t="str">
        <f aca="false">IF(AND(DATOS_[[#This Row],[% normaliz]]&lt;&gt;1,DATOS_[[#This Row],[% anualiz]]&lt;&gt;1),"Sí","NO")</f>
        <v>NO</v>
      </c>
      <c r="BW665" s="137" t="str">
        <f aca="false">+IF(DATOS_[[#This Row],[% normaliz]]*DATOS_[[#This Row],[% anualiz]]=1,"NO","Sí")</f>
        <v>Sí</v>
      </c>
      <c r="BX665" s="138" t="e">
        <f aca="false">(DATOS_[[#This Row],[S.BASE]]*(1/DATOS_[[#This Row],[% normaliz]])*(1/DATOS_[[#This Row],[% anualiz]]))*IF(DATOS_[[#This Row],[Check Equiparado]]="Sí",1,0)</f>
        <v>#DIV/0!</v>
      </c>
      <c r="BY6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5" s="138" t="e">
        <f aca="false">+DATOS_[[#This Row],[SALARIO BASE Eq]]+DATOS_[[#This Row],[Tot COMPL.SAL Eq]]</f>
        <v>#DIV/0!</v>
      </c>
      <c r="CA665" s="138" t="e">
        <f aca="false" t="array" ref="CA665:CA6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5" s="138" t="e">
        <f aca="false">+DATOS_[[#This Row],[TOTAL SALARIO Eq]]+DATOS_[[#This Row],[Tot Extrasalarial Eq]]</f>
        <v>#DIV/0!</v>
      </c>
      <c r="CC665" s="139" t="n">
        <f aca="false">DATOS_[[#This Row],[S.BASE]]</f>
        <v>0</v>
      </c>
      <c r="CD665" s="139" t="n">
        <f aca="false">+SUM(DATOS_[[#This Row],[Conc.Sal.01]:[Conc.Sal.30]])</f>
        <v>0</v>
      </c>
      <c r="CE665" s="139" t="n">
        <f aca="false">+DATOS_[[#This Row],[SALARIO BASE Ef]]+DATOS_[[#This Row],[Tot COMPL.SAL Ef]]</f>
        <v>0</v>
      </c>
      <c r="CF665" s="139" t="n">
        <f aca="false">+SUM(DATOS_[[#This Row],[C.Extra.01]:[C.Extra.05]])</f>
        <v>0</v>
      </c>
      <c r="CG665" s="139" t="n">
        <f aca="false">+DATOS_[[#This Row],[TOTAL SALARIO Ef]]+DATOS_[[#This Row],[Tot Extrasalarial Ef]]</f>
        <v>0</v>
      </c>
      <c r="CH665" s="140" t="n">
        <f aca="false">MIN(IF(DATOS_[[#This Row],[Fecha Fin Contrato]]="",$D$4,DATOS_[[#This Row],[Fecha Fin Contrato]]),$D$4)-MAX(DATOS_[[#This Row],[Fecha de Contratación]],$D$3)+1</f>
        <v>1</v>
      </c>
      <c r="CI665" s="141" t="str">
        <f aca="false">IF(COUNTIFS(DATOS_[id],DATOS_[[#This Row],[id]])&gt;1,DATOS_[[#This Row],[id]],"")</f>
        <v/>
      </c>
      <c r="CJ665" s="141" t="n">
        <f aca="false">(Inicio!$G$10-DATOS_[[#This Row],[Fecha Nacimiento]])/365.25</f>
        <v>0</v>
      </c>
      <c r="CK665" s="141" t="n">
        <f aca="false">(Inicio!$G$10-DATOS_[[#This Row],[Fecha de Antigüedad]])/365.25</f>
        <v>0</v>
      </c>
      <c r="CL665" s="141" t="e">
        <f aca="false">+VLOOKUP(DATOS_[[#This Row],[Clave de Contrato]],TblTiposContrato13[],3,0)</f>
        <v>#N/A</v>
      </c>
      <c r="CM665" s="141" t="e">
        <f aca="false">+VLOOKUP(DATOS_[[#This Row],[Clave de Contrato]],TblTiposContrato13[],4,0)</f>
        <v>#N/A</v>
      </c>
      <c r="CN665" s="141" t="str">
        <f aca="false">VLOOKUP(DATOS_[[#This Row],[Edad]],CONTRATOS!TblRngEdad,2,1)</f>
        <v>20  o menos</v>
      </c>
      <c r="CO665" s="141" t="str">
        <f aca="false">VLOOKUP(DATOS_[[#This Row],[Antigüedad]],TblRngAntg14[],2,1)</f>
        <v>0 a 1 años</v>
      </c>
    </row>
    <row r="666" customFormat="false" ht="13.8" hidden="false" customHeight="false" outlineLevel="0" collapsed="false">
      <c r="D666" s="128"/>
      <c r="E666" s="129"/>
      <c r="F666" s="129"/>
      <c r="G666" s="129"/>
      <c r="H666" s="130"/>
      <c r="I666" s="131"/>
      <c r="J666" s="128"/>
      <c r="K666" s="132"/>
      <c r="L666" s="132"/>
      <c r="M666" s="133"/>
      <c r="N666" s="133"/>
      <c r="O666" s="133"/>
      <c r="P666" s="129"/>
      <c r="Z666" s="75"/>
      <c r="AA666" s="76"/>
      <c r="AB666" s="76"/>
      <c r="AC666" s="129"/>
      <c r="AD666" s="134"/>
      <c r="AE666" s="134"/>
      <c r="AF666" s="134"/>
      <c r="AG666" s="134"/>
      <c r="AH666" s="134"/>
      <c r="AI666" s="134"/>
      <c r="AJ666" s="134"/>
      <c r="AK666" s="134"/>
      <c r="AL666" s="134"/>
      <c r="AM666" s="134"/>
      <c r="AN666" s="134"/>
      <c r="AO666" s="134"/>
      <c r="AP666" s="134"/>
      <c r="AQ666" s="134"/>
      <c r="AR666" s="134"/>
      <c r="AS666" s="134"/>
      <c r="AT666" s="134"/>
      <c r="AU666" s="134"/>
      <c r="AV666" s="134"/>
      <c r="AW666" s="134"/>
      <c r="AX666" s="134"/>
      <c r="AY666" s="134"/>
      <c r="AZ666" s="134"/>
      <c r="BA666" s="134"/>
      <c r="BB666" s="134"/>
      <c r="BC666" s="134"/>
      <c r="BD666" s="134"/>
      <c r="BE666" s="134"/>
      <c r="BF666" s="134"/>
      <c r="BG666" s="134"/>
      <c r="BH666" s="134"/>
      <c r="BI666" s="134"/>
      <c r="BJ666" s="134"/>
      <c r="BK666" s="134"/>
      <c r="BL666" s="134"/>
      <c r="BM666" s="135"/>
      <c r="BN666" s="136" t="n">
        <f aca="false">+MAX($D$3,DATOS_[[#This Row],[Fecha Inicio Sit. Contract.]])</f>
        <v>0</v>
      </c>
      <c r="BO666" s="136" t="n">
        <f aca="false">+MIN($D$4,DATOS_[[#This Row],[Fecha Fin Sit. Contract.]])</f>
        <v>0</v>
      </c>
      <c r="BP666" s="137" t="n">
        <f aca="false">+DATOS_[[#This Row],[% de jornada]]*IF(DATOS_[[#This Row],[% jornada reducida]]="",1,DATOS_[[#This Row],[% jornada reducida]])</f>
        <v>0</v>
      </c>
      <c r="BQ666" s="137" t="n">
        <f aca="false">+(DATOS_[[#This Row],[F.fin.cal]]-DATOS_[[#This Row],[F.ini.cal]]+1)/($D$4-$D$3+1)</f>
        <v>1</v>
      </c>
      <c r="BR666" s="137" t="str">
        <f aca="false">IF(OR(AND(DATOS_[[#This Row],[Fecha Fin Contrato]]&lt;$D$3,DATOS_[[#This Row],[Fecha Fin Contrato]]&lt;&gt;""),DATOS_[[#This Row],[Fecha de Contratación]]&gt;$D$4),"Fuera","Dentro")</f>
        <v>Dentro</v>
      </c>
      <c r="BS666" s="137" t="str">
        <f aca="false" t="array" ref="BS666:BS666">IF(MAX(IF(DATOS_[id]=DATOS_[[#This Row],[id]],DATOS_[F.fin.cal]))=DATOS_[[#This Row],[F.fin.cal]],"Sí","NO")</f>
        <v>Sí</v>
      </c>
      <c r="BT666" s="137" t="str">
        <f aca="false">IF(AND(DATOS_[[#This Row],[% normaliz]]&lt;&gt;1,DATOS_[[#This Row],[% anualiz]]=1),"Sí","NO")</f>
        <v>Sí</v>
      </c>
      <c r="BU666" s="137" t="str">
        <f aca="false">IF(AND(DATOS_[[#This Row],[% normaliz]]=1,DATOS_[[#This Row],[% anualiz]]&lt;&gt;1),"Sí","NO")</f>
        <v>NO</v>
      </c>
      <c r="BV666" s="137" t="str">
        <f aca="false">IF(AND(DATOS_[[#This Row],[% normaliz]]&lt;&gt;1,DATOS_[[#This Row],[% anualiz]]&lt;&gt;1),"Sí","NO")</f>
        <v>NO</v>
      </c>
      <c r="BW666" s="137" t="str">
        <f aca="false">+IF(DATOS_[[#This Row],[% normaliz]]*DATOS_[[#This Row],[% anualiz]]=1,"NO","Sí")</f>
        <v>Sí</v>
      </c>
      <c r="BX666" s="138" t="e">
        <f aca="false">(DATOS_[[#This Row],[S.BASE]]*(1/DATOS_[[#This Row],[% normaliz]])*(1/DATOS_[[#This Row],[% anualiz]]))*IF(DATOS_[[#This Row],[Check Equiparado]]="Sí",1,0)</f>
        <v>#DIV/0!</v>
      </c>
      <c r="BY6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6" s="138" t="e">
        <f aca="false">+DATOS_[[#This Row],[SALARIO BASE Eq]]+DATOS_[[#This Row],[Tot COMPL.SAL Eq]]</f>
        <v>#DIV/0!</v>
      </c>
      <c r="CA666" s="138" t="e">
        <f aca="false" t="array" ref="CA666:CA6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6" s="138" t="e">
        <f aca="false">+DATOS_[[#This Row],[TOTAL SALARIO Eq]]+DATOS_[[#This Row],[Tot Extrasalarial Eq]]</f>
        <v>#DIV/0!</v>
      </c>
      <c r="CC666" s="139" t="n">
        <f aca="false">DATOS_[[#This Row],[S.BASE]]</f>
        <v>0</v>
      </c>
      <c r="CD666" s="139" t="n">
        <f aca="false">+SUM(DATOS_[[#This Row],[Conc.Sal.01]:[Conc.Sal.30]])</f>
        <v>0</v>
      </c>
      <c r="CE666" s="139" t="n">
        <f aca="false">+DATOS_[[#This Row],[SALARIO BASE Ef]]+DATOS_[[#This Row],[Tot COMPL.SAL Ef]]</f>
        <v>0</v>
      </c>
      <c r="CF666" s="139" t="n">
        <f aca="false">+SUM(DATOS_[[#This Row],[C.Extra.01]:[C.Extra.05]])</f>
        <v>0</v>
      </c>
      <c r="CG666" s="139" t="n">
        <f aca="false">+DATOS_[[#This Row],[TOTAL SALARIO Ef]]+DATOS_[[#This Row],[Tot Extrasalarial Ef]]</f>
        <v>0</v>
      </c>
      <c r="CH666" s="140" t="n">
        <f aca="false">MIN(IF(DATOS_[[#This Row],[Fecha Fin Contrato]]="",$D$4,DATOS_[[#This Row],[Fecha Fin Contrato]]),$D$4)-MAX(DATOS_[[#This Row],[Fecha de Contratación]],$D$3)+1</f>
        <v>1</v>
      </c>
      <c r="CI666" s="141" t="str">
        <f aca="false">IF(COUNTIFS(DATOS_[id],DATOS_[[#This Row],[id]])&gt;1,DATOS_[[#This Row],[id]],"")</f>
        <v/>
      </c>
      <c r="CJ666" s="141" t="n">
        <f aca="false">(Inicio!$G$10-DATOS_[[#This Row],[Fecha Nacimiento]])/365.25</f>
        <v>0</v>
      </c>
      <c r="CK666" s="141" t="n">
        <f aca="false">(Inicio!$G$10-DATOS_[[#This Row],[Fecha de Antigüedad]])/365.25</f>
        <v>0</v>
      </c>
      <c r="CL666" s="141" t="e">
        <f aca="false">+VLOOKUP(DATOS_[[#This Row],[Clave de Contrato]],TblTiposContrato13[],3,0)</f>
        <v>#N/A</v>
      </c>
      <c r="CM666" s="141" t="e">
        <f aca="false">+VLOOKUP(DATOS_[[#This Row],[Clave de Contrato]],TblTiposContrato13[],4,0)</f>
        <v>#N/A</v>
      </c>
      <c r="CN666" s="141" t="str">
        <f aca="false">VLOOKUP(DATOS_[[#This Row],[Edad]],CONTRATOS!TblRngEdad,2,1)</f>
        <v>20  o menos</v>
      </c>
      <c r="CO666" s="141" t="str">
        <f aca="false">VLOOKUP(DATOS_[[#This Row],[Antigüedad]],TblRngAntg14[],2,1)</f>
        <v>0 a 1 años</v>
      </c>
    </row>
    <row r="667" customFormat="false" ht="13.8" hidden="false" customHeight="false" outlineLevel="0" collapsed="false">
      <c r="D667" s="128"/>
      <c r="E667" s="129"/>
      <c r="F667" s="129"/>
      <c r="G667" s="129"/>
      <c r="H667" s="130"/>
      <c r="I667" s="131"/>
      <c r="J667" s="128"/>
      <c r="K667" s="132"/>
      <c r="L667" s="132"/>
      <c r="M667" s="133"/>
      <c r="N667" s="133"/>
      <c r="O667" s="133"/>
      <c r="P667" s="129"/>
      <c r="Z667" s="75"/>
      <c r="AA667" s="76"/>
      <c r="AB667" s="76"/>
      <c r="AC667" s="129"/>
      <c r="AD667" s="134"/>
      <c r="AE667" s="134"/>
      <c r="AF667" s="134"/>
      <c r="AG667" s="134"/>
      <c r="AH667" s="134"/>
      <c r="AI667" s="134"/>
      <c r="AJ667" s="134"/>
      <c r="AK667" s="134"/>
      <c r="AL667" s="134"/>
      <c r="AM667" s="134"/>
      <c r="AN667" s="134"/>
      <c r="AO667" s="134"/>
      <c r="AP667" s="134"/>
      <c r="AQ667" s="134"/>
      <c r="AR667" s="134"/>
      <c r="AS667" s="134"/>
      <c r="AT667" s="134"/>
      <c r="AU667" s="134"/>
      <c r="AV667" s="134"/>
      <c r="AW667" s="134"/>
      <c r="AX667" s="134"/>
      <c r="AY667" s="134"/>
      <c r="AZ667" s="134"/>
      <c r="BA667" s="134"/>
      <c r="BB667" s="134"/>
      <c r="BC667" s="134"/>
      <c r="BD667" s="134"/>
      <c r="BE667" s="134"/>
      <c r="BF667" s="134"/>
      <c r="BG667" s="134"/>
      <c r="BH667" s="134"/>
      <c r="BI667" s="134"/>
      <c r="BJ667" s="134"/>
      <c r="BK667" s="134"/>
      <c r="BL667" s="134"/>
      <c r="BM667" s="135"/>
      <c r="BN667" s="136" t="n">
        <f aca="false">+MAX($D$3,DATOS_[[#This Row],[Fecha Inicio Sit. Contract.]])</f>
        <v>0</v>
      </c>
      <c r="BO667" s="136" t="n">
        <f aca="false">+MIN($D$4,DATOS_[[#This Row],[Fecha Fin Sit. Contract.]])</f>
        <v>0</v>
      </c>
      <c r="BP667" s="137" t="n">
        <f aca="false">+DATOS_[[#This Row],[% de jornada]]*IF(DATOS_[[#This Row],[% jornada reducida]]="",1,DATOS_[[#This Row],[% jornada reducida]])</f>
        <v>0</v>
      </c>
      <c r="BQ667" s="137" t="n">
        <f aca="false">+(DATOS_[[#This Row],[F.fin.cal]]-DATOS_[[#This Row],[F.ini.cal]]+1)/($D$4-$D$3+1)</f>
        <v>1</v>
      </c>
      <c r="BR667" s="137" t="str">
        <f aca="false">IF(OR(AND(DATOS_[[#This Row],[Fecha Fin Contrato]]&lt;$D$3,DATOS_[[#This Row],[Fecha Fin Contrato]]&lt;&gt;""),DATOS_[[#This Row],[Fecha de Contratación]]&gt;$D$4),"Fuera","Dentro")</f>
        <v>Dentro</v>
      </c>
      <c r="BS667" s="137" t="str">
        <f aca="false" t="array" ref="BS667:BS667">IF(MAX(IF(DATOS_[id]=DATOS_[[#This Row],[id]],DATOS_[F.fin.cal]))=DATOS_[[#This Row],[F.fin.cal]],"Sí","NO")</f>
        <v>Sí</v>
      </c>
      <c r="BT667" s="137" t="str">
        <f aca="false">IF(AND(DATOS_[[#This Row],[% normaliz]]&lt;&gt;1,DATOS_[[#This Row],[% anualiz]]=1),"Sí","NO")</f>
        <v>Sí</v>
      </c>
      <c r="BU667" s="137" t="str">
        <f aca="false">IF(AND(DATOS_[[#This Row],[% normaliz]]=1,DATOS_[[#This Row],[% anualiz]]&lt;&gt;1),"Sí","NO")</f>
        <v>NO</v>
      </c>
      <c r="BV667" s="137" t="str">
        <f aca="false">IF(AND(DATOS_[[#This Row],[% normaliz]]&lt;&gt;1,DATOS_[[#This Row],[% anualiz]]&lt;&gt;1),"Sí","NO")</f>
        <v>NO</v>
      </c>
      <c r="BW667" s="137" t="str">
        <f aca="false">+IF(DATOS_[[#This Row],[% normaliz]]*DATOS_[[#This Row],[% anualiz]]=1,"NO","Sí")</f>
        <v>Sí</v>
      </c>
      <c r="BX667" s="138" t="e">
        <f aca="false">(DATOS_[[#This Row],[S.BASE]]*(1/DATOS_[[#This Row],[% normaliz]])*(1/DATOS_[[#This Row],[% anualiz]]))*IF(DATOS_[[#This Row],[Check Equiparado]]="Sí",1,0)</f>
        <v>#DIV/0!</v>
      </c>
      <c r="BY6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7" s="138" t="e">
        <f aca="false">+DATOS_[[#This Row],[SALARIO BASE Eq]]+DATOS_[[#This Row],[Tot COMPL.SAL Eq]]</f>
        <v>#DIV/0!</v>
      </c>
      <c r="CA667" s="138" t="e">
        <f aca="false" t="array" ref="CA667:CA6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7" s="138" t="e">
        <f aca="false">+DATOS_[[#This Row],[TOTAL SALARIO Eq]]+DATOS_[[#This Row],[Tot Extrasalarial Eq]]</f>
        <v>#DIV/0!</v>
      </c>
      <c r="CC667" s="139" t="n">
        <f aca="false">DATOS_[[#This Row],[S.BASE]]</f>
        <v>0</v>
      </c>
      <c r="CD667" s="139" t="n">
        <f aca="false">+SUM(DATOS_[[#This Row],[Conc.Sal.01]:[Conc.Sal.30]])</f>
        <v>0</v>
      </c>
      <c r="CE667" s="139" t="n">
        <f aca="false">+DATOS_[[#This Row],[SALARIO BASE Ef]]+DATOS_[[#This Row],[Tot COMPL.SAL Ef]]</f>
        <v>0</v>
      </c>
      <c r="CF667" s="139" t="n">
        <f aca="false">+SUM(DATOS_[[#This Row],[C.Extra.01]:[C.Extra.05]])</f>
        <v>0</v>
      </c>
      <c r="CG667" s="139" t="n">
        <f aca="false">+DATOS_[[#This Row],[TOTAL SALARIO Ef]]+DATOS_[[#This Row],[Tot Extrasalarial Ef]]</f>
        <v>0</v>
      </c>
      <c r="CH667" s="140" t="n">
        <f aca="false">MIN(IF(DATOS_[[#This Row],[Fecha Fin Contrato]]="",$D$4,DATOS_[[#This Row],[Fecha Fin Contrato]]),$D$4)-MAX(DATOS_[[#This Row],[Fecha de Contratación]],$D$3)+1</f>
        <v>1</v>
      </c>
      <c r="CI667" s="141" t="str">
        <f aca="false">IF(COUNTIFS(DATOS_[id],DATOS_[[#This Row],[id]])&gt;1,DATOS_[[#This Row],[id]],"")</f>
        <v/>
      </c>
      <c r="CJ667" s="141" t="n">
        <f aca="false">(Inicio!$G$10-DATOS_[[#This Row],[Fecha Nacimiento]])/365.25</f>
        <v>0</v>
      </c>
      <c r="CK667" s="141" t="n">
        <f aca="false">(Inicio!$G$10-DATOS_[[#This Row],[Fecha de Antigüedad]])/365.25</f>
        <v>0</v>
      </c>
      <c r="CL667" s="141" t="e">
        <f aca="false">+VLOOKUP(DATOS_[[#This Row],[Clave de Contrato]],TblTiposContrato13[],3,0)</f>
        <v>#N/A</v>
      </c>
      <c r="CM667" s="141" t="e">
        <f aca="false">+VLOOKUP(DATOS_[[#This Row],[Clave de Contrato]],TblTiposContrato13[],4,0)</f>
        <v>#N/A</v>
      </c>
      <c r="CN667" s="141" t="str">
        <f aca="false">VLOOKUP(DATOS_[[#This Row],[Edad]],CONTRATOS!TblRngEdad,2,1)</f>
        <v>20  o menos</v>
      </c>
      <c r="CO667" s="141" t="str">
        <f aca="false">VLOOKUP(DATOS_[[#This Row],[Antigüedad]],TblRngAntg14[],2,1)</f>
        <v>0 a 1 años</v>
      </c>
    </row>
    <row r="668" customFormat="false" ht="13.8" hidden="false" customHeight="false" outlineLevel="0" collapsed="false">
      <c r="D668" s="128"/>
      <c r="E668" s="129"/>
      <c r="F668" s="129"/>
      <c r="G668" s="129"/>
      <c r="H668" s="130"/>
      <c r="I668" s="131"/>
      <c r="J668" s="128"/>
      <c r="K668" s="132"/>
      <c r="L668" s="132"/>
      <c r="M668" s="133"/>
      <c r="N668" s="133"/>
      <c r="O668" s="133"/>
      <c r="P668" s="129"/>
      <c r="Z668" s="75"/>
      <c r="AA668" s="76"/>
      <c r="AB668" s="76"/>
      <c r="AC668" s="129"/>
      <c r="AD668" s="134"/>
      <c r="AE668" s="134"/>
      <c r="AF668" s="134"/>
      <c r="AG668" s="134"/>
      <c r="AH668" s="134"/>
      <c r="AI668" s="134"/>
      <c r="AJ668" s="134"/>
      <c r="AK668" s="134"/>
      <c r="AL668" s="134"/>
      <c r="AM668" s="134"/>
      <c r="AN668" s="134"/>
      <c r="AO668" s="134"/>
      <c r="AP668" s="134"/>
      <c r="AQ668" s="134"/>
      <c r="AR668" s="134"/>
      <c r="AS668" s="134"/>
      <c r="AT668" s="134"/>
      <c r="AU668" s="134"/>
      <c r="AV668" s="134"/>
      <c r="AW668" s="134"/>
      <c r="AX668" s="134"/>
      <c r="AY668" s="134"/>
      <c r="AZ668" s="134"/>
      <c r="BA668" s="134"/>
      <c r="BB668" s="134"/>
      <c r="BC668" s="134"/>
      <c r="BD668" s="134"/>
      <c r="BE668" s="134"/>
      <c r="BF668" s="134"/>
      <c r="BG668" s="134"/>
      <c r="BH668" s="134"/>
      <c r="BI668" s="134"/>
      <c r="BJ668" s="134"/>
      <c r="BK668" s="134"/>
      <c r="BL668" s="134"/>
      <c r="BM668" s="135"/>
      <c r="BN668" s="136" t="n">
        <f aca="false">+MAX($D$3,DATOS_[[#This Row],[Fecha Inicio Sit. Contract.]])</f>
        <v>0</v>
      </c>
      <c r="BO668" s="136" t="n">
        <f aca="false">+MIN($D$4,DATOS_[[#This Row],[Fecha Fin Sit. Contract.]])</f>
        <v>0</v>
      </c>
      <c r="BP668" s="137" t="n">
        <f aca="false">+DATOS_[[#This Row],[% de jornada]]*IF(DATOS_[[#This Row],[% jornada reducida]]="",1,DATOS_[[#This Row],[% jornada reducida]])</f>
        <v>0</v>
      </c>
      <c r="BQ668" s="137" t="n">
        <f aca="false">+(DATOS_[[#This Row],[F.fin.cal]]-DATOS_[[#This Row],[F.ini.cal]]+1)/($D$4-$D$3+1)</f>
        <v>1</v>
      </c>
      <c r="BR668" s="137" t="str">
        <f aca="false">IF(OR(AND(DATOS_[[#This Row],[Fecha Fin Contrato]]&lt;$D$3,DATOS_[[#This Row],[Fecha Fin Contrato]]&lt;&gt;""),DATOS_[[#This Row],[Fecha de Contratación]]&gt;$D$4),"Fuera","Dentro")</f>
        <v>Dentro</v>
      </c>
      <c r="BS668" s="137" t="str">
        <f aca="false" t="array" ref="BS668:BS668">IF(MAX(IF(DATOS_[id]=DATOS_[[#This Row],[id]],DATOS_[F.fin.cal]))=DATOS_[[#This Row],[F.fin.cal]],"Sí","NO")</f>
        <v>Sí</v>
      </c>
      <c r="BT668" s="137" t="str">
        <f aca="false">IF(AND(DATOS_[[#This Row],[% normaliz]]&lt;&gt;1,DATOS_[[#This Row],[% anualiz]]=1),"Sí","NO")</f>
        <v>Sí</v>
      </c>
      <c r="BU668" s="137" t="str">
        <f aca="false">IF(AND(DATOS_[[#This Row],[% normaliz]]=1,DATOS_[[#This Row],[% anualiz]]&lt;&gt;1),"Sí","NO")</f>
        <v>NO</v>
      </c>
      <c r="BV668" s="137" t="str">
        <f aca="false">IF(AND(DATOS_[[#This Row],[% normaliz]]&lt;&gt;1,DATOS_[[#This Row],[% anualiz]]&lt;&gt;1),"Sí","NO")</f>
        <v>NO</v>
      </c>
      <c r="BW668" s="137" t="str">
        <f aca="false">+IF(DATOS_[[#This Row],[% normaliz]]*DATOS_[[#This Row],[% anualiz]]=1,"NO","Sí")</f>
        <v>Sí</v>
      </c>
      <c r="BX668" s="138" t="e">
        <f aca="false">(DATOS_[[#This Row],[S.BASE]]*(1/DATOS_[[#This Row],[% normaliz]])*(1/DATOS_[[#This Row],[% anualiz]]))*IF(DATOS_[[#This Row],[Check Equiparado]]="Sí",1,0)</f>
        <v>#DIV/0!</v>
      </c>
      <c r="BY6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8" s="138" t="e">
        <f aca="false">+DATOS_[[#This Row],[SALARIO BASE Eq]]+DATOS_[[#This Row],[Tot COMPL.SAL Eq]]</f>
        <v>#DIV/0!</v>
      </c>
      <c r="CA668" s="138" t="e">
        <f aca="false" t="array" ref="CA668:CA6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8" s="138" t="e">
        <f aca="false">+DATOS_[[#This Row],[TOTAL SALARIO Eq]]+DATOS_[[#This Row],[Tot Extrasalarial Eq]]</f>
        <v>#DIV/0!</v>
      </c>
      <c r="CC668" s="139" t="n">
        <f aca="false">DATOS_[[#This Row],[S.BASE]]</f>
        <v>0</v>
      </c>
      <c r="CD668" s="139" t="n">
        <f aca="false">+SUM(DATOS_[[#This Row],[Conc.Sal.01]:[Conc.Sal.30]])</f>
        <v>0</v>
      </c>
      <c r="CE668" s="139" t="n">
        <f aca="false">+DATOS_[[#This Row],[SALARIO BASE Ef]]+DATOS_[[#This Row],[Tot COMPL.SAL Ef]]</f>
        <v>0</v>
      </c>
      <c r="CF668" s="139" t="n">
        <f aca="false">+SUM(DATOS_[[#This Row],[C.Extra.01]:[C.Extra.05]])</f>
        <v>0</v>
      </c>
      <c r="CG668" s="139" t="n">
        <f aca="false">+DATOS_[[#This Row],[TOTAL SALARIO Ef]]+DATOS_[[#This Row],[Tot Extrasalarial Ef]]</f>
        <v>0</v>
      </c>
      <c r="CH668" s="140" t="n">
        <f aca="false">MIN(IF(DATOS_[[#This Row],[Fecha Fin Contrato]]="",$D$4,DATOS_[[#This Row],[Fecha Fin Contrato]]),$D$4)-MAX(DATOS_[[#This Row],[Fecha de Contratación]],$D$3)+1</f>
        <v>1</v>
      </c>
      <c r="CI668" s="141" t="str">
        <f aca="false">IF(COUNTIFS(DATOS_[id],DATOS_[[#This Row],[id]])&gt;1,DATOS_[[#This Row],[id]],"")</f>
        <v/>
      </c>
      <c r="CJ668" s="141" t="n">
        <f aca="false">(Inicio!$G$10-DATOS_[[#This Row],[Fecha Nacimiento]])/365.25</f>
        <v>0</v>
      </c>
      <c r="CK668" s="141" t="n">
        <f aca="false">(Inicio!$G$10-DATOS_[[#This Row],[Fecha de Antigüedad]])/365.25</f>
        <v>0</v>
      </c>
      <c r="CL668" s="141" t="e">
        <f aca="false">+VLOOKUP(DATOS_[[#This Row],[Clave de Contrato]],TblTiposContrato13[],3,0)</f>
        <v>#N/A</v>
      </c>
      <c r="CM668" s="141" t="e">
        <f aca="false">+VLOOKUP(DATOS_[[#This Row],[Clave de Contrato]],TblTiposContrato13[],4,0)</f>
        <v>#N/A</v>
      </c>
      <c r="CN668" s="141" t="str">
        <f aca="false">VLOOKUP(DATOS_[[#This Row],[Edad]],CONTRATOS!TblRngEdad,2,1)</f>
        <v>20  o menos</v>
      </c>
      <c r="CO668" s="141" t="str">
        <f aca="false">VLOOKUP(DATOS_[[#This Row],[Antigüedad]],TblRngAntg14[],2,1)</f>
        <v>0 a 1 años</v>
      </c>
    </row>
    <row r="669" customFormat="false" ht="13.8" hidden="false" customHeight="false" outlineLevel="0" collapsed="false">
      <c r="D669" s="128"/>
      <c r="E669" s="129"/>
      <c r="F669" s="129"/>
      <c r="G669" s="129"/>
      <c r="H669" s="130"/>
      <c r="I669" s="131"/>
      <c r="J669" s="128"/>
      <c r="K669" s="132"/>
      <c r="L669" s="132"/>
      <c r="M669" s="133"/>
      <c r="N669" s="133"/>
      <c r="O669" s="133"/>
      <c r="P669" s="129"/>
      <c r="Z669" s="75"/>
      <c r="AA669" s="76"/>
      <c r="AB669" s="76"/>
      <c r="AC669" s="129"/>
      <c r="AD669" s="134"/>
      <c r="AE669" s="134"/>
      <c r="AF669" s="134"/>
      <c r="AG669" s="134"/>
      <c r="AH669" s="134"/>
      <c r="AI669" s="134"/>
      <c r="AJ669" s="134"/>
      <c r="AK669" s="134"/>
      <c r="AL669" s="134"/>
      <c r="AM669" s="134"/>
      <c r="AN669" s="134"/>
      <c r="AO669" s="134"/>
      <c r="AP669" s="134"/>
      <c r="AQ669" s="134"/>
      <c r="AR669" s="134"/>
      <c r="AS669" s="134"/>
      <c r="AT669" s="134"/>
      <c r="AU669" s="134"/>
      <c r="AV669" s="134"/>
      <c r="AW669" s="134"/>
      <c r="AX669" s="134"/>
      <c r="AY669" s="134"/>
      <c r="AZ669" s="134"/>
      <c r="BA669" s="134"/>
      <c r="BB669" s="134"/>
      <c r="BC669" s="134"/>
      <c r="BD669" s="134"/>
      <c r="BE669" s="134"/>
      <c r="BF669" s="134"/>
      <c r="BG669" s="134"/>
      <c r="BH669" s="134"/>
      <c r="BI669" s="134"/>
      <c r="BJ669" s="134"/>
      <c r="BK669" s="134"/>
      <c r="BL669" s="134"/>
      <c r="BM669" s="135"/>
      <c r="BN669" s="136" t="n">
        <f aca="false">+MAX($D$3,DATOS_[[#This Row],[Fecha Inicio Sit. Contract.]])</f>
        <v>0</v>
      </c>
      <c r="BO669" s="136" t="n">
        <f aca="false">+MIN($D$4,DATOS_[[#This Row],[Fecha Fin Sit. Contract.]])</f>
        <v>0</v>
      </c>
      <c r="BP669" s="137" t="n">
        <f aca="false">+DATOS_[[#This Row],[% de jornada]]*IF(DATOS_[[#This Row],[% jornada reducida]]="",1,DATOS_[[#This Row],[% jornada reducida]])</f>
        <v>0</v>
      </c>
      <c r="BQ669" s="137" t="n">
        <f aca="false">+(DATOS_[[#This Row],[F.fin.cal]]-DATOS_[[#This Row],[F.ini.cal]]+1)/($D$4-$D$3+1)</f>
        <v>1</v>
      </c>
      <c r="BR669" s="137" t="str">
        <f aca="false">IF(OR(AND(DATOS_[[#This Row],[Fecha Fin Contrato]]&lt;$D$3,DATOS_[[#This Row],[Fecha Fin Contrato]]&lt;&gt;""),DATOS_[[#This Row],[Fecha de Contratación]]&gt;$D$4),"Fuera","Dentro")</f>
        <v>Dentro</v>
      </c>
      <c r="BS669" s="137" t="str">
        <f aca="false" t="array" ref="BS669:BS669">IF(MAX(IF(DATOS_[id]=DATOS_[[#This Row],[id]],DATOS_[F.fin.cal]))=DATOS_[[#This Row],[F.fin.cal]],"Sí","NO")</f>
        <v>Sí</v>
      </c>
      <c r="BT669" s="137" t="str">
        <f aca="false">IF(AND(DATOS_[[#This Row],[% normaliz]]&lt;&gt;1,DATOS_[[#This Row],[% anualiz]]=1),"Sí","NO")</f>
        <v>Sí</v>
      </c>
      <c r="BU669" s="137" t="str">
        <f aca="false">IF(AND(DATOS_[[#This Row],[% normaliz]]=1,DATOS_[[#This Row],[% anualiz]]&lt;&gt;1),"Sí","NO")</f>
        <v>NO</v>
      </c>
      <c r="BV669" s="137" t="str">
        <f aca="false">IF(AND(DATOS_[[#This Row],[% normaliz]]&lt;&gt;1,DATOS_[[#This Row],[% anualiz]]&lt;&gt;1),"Sí","NO")</f>
        <v>NO</v>
      </c>
      <c r="BW669" s="137" t="str">
        <f aca="false">+IF(DATOS_[[#This Row],[% normaliz]]*DATOS_[[#This Row],[% anualiz]]=1,"NO","Sí")</f>
        <v>Sí</v>
      </c>
      <c r="BX669" s="138" t="e">
        <f aca="false">(DATOS_[[#This Row],[S.BASE]]*(1/DATOS_[[#This Row],[% normaliz]])*(1/DATOS_[[#This Row],[% anualiz]]))*IF(DATOS_[[#This Row],[Check Equiparado]]="Sí",1,0)</f>
        <v>#DIV/0!</v>
      </c>
      <c r="BY6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9" s="138" t="e">
        <f aca="false">+DATOS_[[#This Row],[SALARIO BASE Eq]]+DATOS_[[#This Row],[Tot COMPL.SAL Eq]]</f>
        <v>#DIV/0!</v>
      </c>
      <c r="CA669" s="138" t="e">
        <f aca="false" t="array" ref="CA669:CA6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9" s="138" t="e">
        <f aca="false">+DATOS_[[#This Row],[TOTAL SALARIO Eq]]+DATOS_[[#This Row],[Tot Extrasalarial Eq]]</f>
        <v>#DIV/0!</v>
      </c>
      <c r="CC669" s="139" t="n">
        <f aca="false">DATOS_[[#This Row],[S.BASE]]</f>
        <v>0</v>
      </c>
      <c r="CD669" s="139" t="n">
        <f aca="false">+SUM(DATOS_[[#This Row],[Conc.Sal.01]:[Conc.Sal.30]])</f>
        <v>0</v>
      </c>
      <c r="CE669" s="139" t="n">
        <f aca="false">+DATOS_[[#This Row],[SALARIO BASE Ef]]+DATOS_[[#This Row],[Tot COMPL.SAL Ef]]</f>
        <v>0</v>
      </c>
      <c r="CF669" s="139" t="n">
        <f aca="false">+SUM(DATOS_[[#This Row],[C.Extra.01]:[C.Extra.05]])</f>
        <v>0</v>
      </c>
      <c r="CG669" s="139" t="n">
        <f aca="false">+DATOS_[[#This Row],[TOTAL SALARIO Ef]]+DATOS_[[#This Row],[Tot Extrasalarial Ef]]</f>
        <v>0</v>
      </c>
      <c r="CH669" s="140" t="n">
        <f aca="false">MIN(IF(DATOS_[[#This Row],[Fecha Fin Contrato]]="",$D$4,DATOS_[[#This Row],[Fecha Fin Contrato]]),$D$4)-MAX(DATOS_[[#This Row],[Fecha de Contratación]],$D$3)+1</f>
        <v>1</v>
      </c>
      <c r="CI669" s="141" t="str">
        <f aca="false">IF(COUNTIFS(DATOS_[id],DATOS_[[#This Row],[id]])&gt;1,DATOS_[[#This Row],[id]],"")</f>
        <v/>
      </c>
      <c r="CJ669" s="141" t="n">
        <f aca="false">(Inicio!$G$10-DATOS_[[#This Row],[Fecha Nacimiento]])/365.25</f>
        <v>0</v>
      </c>
      <c r="CK669" s="141" t="n">
        <f aca="false">(Inicio!$G$10-DATOS_[[#This Row],[Fecha de Antigüedad]])/365.25</f>
        <v>0</v>
      </c>
      <c r="CL669" s="141" t="e">
        <f aca="false">+VLOOKUP(DATOS_[[#This Row],[Clave de Contrato]],TblTiposContrato13[],3,0)</f>
        <v>#N/A</v>
      </c>
      <c r="CM669" s="141" t="e">
        <f aca="false">+VLOOKUP(DATOS_[[#This Row],[Clave de Contrato]],TblTiposContrato13[],4,0)</f>
        <v>#N/A</v>
      </c>
      <c r="CN669" s="141" t="str">
        <f aca="false">VLOOKUP(DATOS_[[#This Row],[Edad]],CONTRATOS!TblRngEdad,2,1)</f>
        <v>20  o menos</v>
      </c>
      <c r="CO669" s="141" t="str">
        <f aca="false">VLOOKUP(DATOS_[[#This Row],[Antigüedad]],TblRngAntg14[],2,1)</f>
        <v>0 a 1 años</v>
      </c>
    </row>
    <row r="670" customFormat="false" ht="13.8" hidden="false" customHeight="false" outlineLevel="0" collapsed="false">
      <c r="D670" s="128"/>
      <c r="E670" s="129"/>
      <c r="F670" s="129"/>
      <c r="G670" s="129"/>
      <c r="H670" s="130"/>
      <c r="I670" s="131"/>
      <c r="J670" s="128"/>
      <c r="K670" s="132"/>
      <c r="L670" s="132"/>
      <c r="M670" s="133"/>
      <c r="N670" s="133"/>
      <c r="O670" s="133"/>
      <c r="P670" s="129"/>
      <c r="Z670" s="75"/>
      <c r="AA670" s="76"/>
      <c r="AB670" s="76"/>
      <c r="AC670" s="129"/>
      <c r="AD670" s="134"/>
      <c r="AE670" s="134"/>
      <c r="AF670" s="134"/>
      <c r="AG670" s="134"/>
      <c r="AH670" s="134"/>
      <c r="AI670" s="134"/>
      <c r="AJ670" s="134"/>
      <c r="AK670" s="134"/>
      <c r="AL670" s="134"/>
      <c r="AM670" s="134"/>
      <c r="AN670" s="134"/>
      <c r="AO670" s="134"/>
      <c r="AP670" s="134"/>
      <c r="AQ670" s="134"/>
      <c r="AR670" s="134"/>
      <c r="AS670" s="134"/>
      <c r="AT670" s="134"/>
      <c r="AU670" s="134"/>
      <c r="AV670" s="134"/>
      <c r="AW670" s="134"/>
      <c r="AX670" s="134"/>
      <c r="AY670" s="134"/>
      <c r="AZ670" s="134"/>
      <c r="BA670" s="134"/>
      <c r="BB670" s="134"/>
      <c r="BC670" s="134"/>
      <c r="BD670" s="134"/>
      <c r="BE670" s="134"/>
      <c r="BF670" s="134"/>
      <c r="BG670" s="134"/>
      <c r="BH670" s="134"/>
      <c r="BI670" s="134"/>
      <c r="BJ670" s="134"/>
      <c r="BK670" s="134"/>
      <c r="BL670" s="134"/>
      <c r="BM670" s="135"/>
      <c r="BN670" s="136" t="n">
        <f aca="false">+MAX($D$3,DATOS_[[#This Row],[Fecha Inicio Sit. Contract.]])</f>
        <v>0</v>
      </c>
      <c r="BO670" s="136" t="n">
        <f aca="false">+MIN($D$4,DATOS_[[#This Row],[Fecha Fin Sit. Contract.]])</f>
        <v>0</v>
      </c>
      <c r="BP670" s="137" t="n">
        <f aca="false">+DATOS_[[#This Row],[% de jornada]]*IF(DATOS_[[#This Row],[% jornada reducida]]="",1,DATOS_[[#This Row],[% jornada reducida]])</f>
        <v>0</v>
      </c>
      <c r="BQ670" s="137" t="n">
        <f aca="false">+(DATOS_[[#This Row],[F.fin.cal]]-DATOS_[[#This Row],[F.ini.cal]]+1)/($D$4-$D$3+1)</f>
        <v>1</v>
      </c>
      <c r="BR670" s="137" t="str">
        <f aca="false">IF(OR(AND(DATOS_[[#This Row],[Fecha Fin Contrato]]&lt;$D$3,DATOS_[[#This Row],[Fecha Fin Contrato]]&lt;&gt;""),DATOS_[[#This Row],[Fecha de Contratación]]&gt;$D$4),"Fuera","Dentro")</f>
        <v>Dentro</v>
      </c>
      <c r="BS670" s="137" t="str">
        <f aca="false" t="array" ref="BS670:BS670">IF(MAX(IF(DATOS_[id]=DATOS_[[#This Row],[id]],DATOS_[F.fin.cal]))=DATOS_[[#This Row],[F.fin.cal]],"Sí","NO")</f>
        <v>Sí</v>
      </c>
      <c r="BT670" s="137" t="str">
        <f aca="false">IF(AND(DATOS_[[#This Row],[% normaliz]]&lt;&gt;1,DATOS_[[#This Row],[% anualiz]]=1),"Sí","NO")</f>
        <v>Sí</v>
      </c>
      <c r="BU670" s="137" t="str">
        <f aca="false">IF(AND(DATOS_[[#This Row],[% normaliz]]=1,DATOS_[[#This Row],[% anualiz]]&lt;&gt;1),"Sí","NO")</f>
        <v>NO</v>
      </c>
      <c r="BV670" s="137" t="str">
        <f aca="false">IF(AND(DATOS_[[#This Row],[% normaliz]]&lt;&gt;1,DATOS_[[#This Row],[% anualiz]]&lt;&gt;1),"Sí","NO")</f>
        <v>NO</v>
      </c>
      <c r="BW670" s="137" t="str">
        <f aca="false">+IF(DATOS_[[#This Row],[% normaliz]]*DATOS_[[#This Row],[% anualiz]]=1,"NO","Sí")</f>
        <v>Sí</v>
      </c>
      <c r="BX670" s="138" t="e">
        <f aca="false">(DATOS_[[#This Row],[S.BASE]]*(1/DATOS_[[#This Row],[% normaliz]])*(1/DATOS_[[#This Row],[% anualiz]]))*IF(DATOS_[[#This Row],[Check Equiparado]]="Sí",1,0)</f>
        <v>#DIV/0!</v>
      </c>
      <c r="BY6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0" s="138" t="e">
        <f aca="false">+DATOS_[[#This Row],[SALARIO BASE Eq]]+DATOS_[[#This Row],[Tot COMPL.SAL Eq]]</f>
        <v>#DIV/0!</v>
      </c>
      <c r="CA670" s="138" t="e">
        <f aca="false" t="array" ref="CA670:CA6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0" s="138" t="e">
        <f aca="false">+DATOS_[[#This Row],[TOTAL SALARIO Eq]]+DATOS_[[#This Row],[Tot Extrasalarial Eq]]</f>
        <v>#DIV/0!</v>
      </c>
      <c r="CC670" s="139" t="n">
        <f aca="false">DATOS_[[#This Row],[S.BASE]]</f>
        <v>0</v>
      </c>
      <c r="CD670" s="139" t="n">
        <f aca="false">+SUM(DATOS_[[#This Row],[Conc.Sal.01]:[Conc.Sal.30]])</f>
        <v>0</v>
      </c>
      <c r="CE670" s="139" t="n">
        <f aca="false">+DATOS_[[#This Row],[SALARIO BASE Ef]]+DATOS_[[#This Row],[Tot COMPL.SAL Ef]]</f>
        <v>0</v>
      </c>
      <c r="CF670" s="139" t="n">
        <f aca="false">+SUM(DATOS_[[#This Row],[C.Extra.01]:[C.Extra.05]])</f>
        <v>0</v>
      </c>
      <c r="CG670" s="139" t="n">
        <f aca="false">+DATOS_[[#This Row],[TOTAL SALARIO Ef]]+DATOS_[[#This Row],[Tot Extrasalarial Ef]]</f>
        <v>0</v>
      </c>
      <c r="CH670" s="140" t="n">
        <f aca="false">MIN(IF(DATOS_[[#This Row],[Fecha Fin Contrato]]="",$D$4,DATOS_[[#This Row],[Fecha Fin Contrato]]),$D$4)-MAX(DATOS_[[#This Row],[Fecha de Contratación]],$D$3)+1</f>
        <v>1</v>
      </c>
      <c r="CI670" s="141" t="str">
        <f aca="false">IF(COUNTIFS(DATOS_[id],DATOS_[[#This Row],[id]])&gt;1,DATOS_[[#This Row],[id]],"")</f>
        <v/>
      </c>
      <c r="CJ670" s="141" t="n">
        <f aca="false">(Inicio!$G$10-DATOS_[[#This Row],[Fecha Nacimiento]])/365.25</f>
        <v>0</v>
      </c>
      <c r="CK670" s="141" t="n">
        <f aca="false">(Inicio!$G$10-DATOS_[[#This Row],[Fecha de Antigüedad]])/365.25</f>
        <v>0</v>
      </c>
      <c r="CL670" s="141" t="e">
        <f aca="false">+VLOOKUP(DATOS_[[#This Row],[Clave de Contrato]],TblTiposContrato13[],3,0)</f>
        <v>#N/A</v>
      </c>
      <c r="CM670" s="141" t="e">
        <f aca="false">+VLOOKUP(DATOS_[[#This Row],[Clave de Contrato]],TblTiposContrato13[],4,0)</f>
        <v>#N/A</v>
      </c>
      <c r="CN670" s="141" t="str">
        <f aca="false">VLOOKUP(DATOS_[[#This Row],[Edad]],CONTRATOS!TblRngEdad,2,1)</f>
        <v>20  o menos</v>
      </c>
      <c r="CO670" s="141" t="str">
        <f aca="false">VLOOKUP(DATOS_[[#This Row],[Antigüedad]],TblRngAntg14[],2,1)</f>
        <v>0 a 1 años</v>
      </c>
    </row>
    <row r="671" customFormat="false" ht="13.8" hidden="false" customHeight="false" outlineLevel="0" collapsed="false">
      <c r="D671" s="128"/>
      <c r="E671" s="129"/>
      <c r="F671" s="129"/>
      <c r="G671" s="129"/>
      <c r="H671" s="130"/>
      <c r="I671" s="131"/>
      <c r="J671" s="128"/>
      <c r="K671" s="132"/>
      <c r="L671" s="132"/>
      <c r="M671" s="133"/>
      <c r="N671" s="133"/>
      <c r="O671" s="133"/>
      <c r="P671" s="129"/>
      <c r="Z671" s="75"/>
      <c r="AA671" s="76"/>
      <c r="AB671" s="76"/>
      <c r="AC671" s="129"/>
      <c r="AD671" s="134"/>
      <c r="AE671" s="134"/>
      <c r="AF671" s="134"/>
      <c r="AG671" s="134"/>
      <c r="AH671" s="134"/>
      <c r="AI671" s="134"/>
      <c r="AJ671" s="134"/>
      <c r="AK671" s="134"/>
      <c r="AL671" s="134"/>
      <c r="AM671" s="134"/>
      <c r="AN671" s="134"/>
      <c r="AO671" s="134"/>
      <c r="AP671" s="134"/>
      <c r="AQ671" s="134"/>
      <c r="AR671" s="134"/>
      <c r="AS671" s="134"/>
      <c r="AT671" s="134"/>
      <c r="AU671" s="134"/>
      <c r="AV671" s="134"/>
      <c r="AW671" s="134"/>
      <c r="AX671" s="134"/>
      <c r="AY671" s="134"/>
      <c r="AZ671" s="134"/>
      <c r="BA671" s="134"/>
      <c r="BB671" s="134"/>
      <c r="BC671" s="134"/>
      <c r="BD671" s="134"/>
      <c r="BE671" s="134"/>
      <c r="BF671" s="134"/>
      <c r="BG671" s="134"/>
      <c r="BH671" s="134"/>
      <c r="BI671" s="134"/>
      <c r="BJ671" s="134"/>
      <c r="BK671" s="134"/>
      <c r="BL671" s="134"/>
      <c r="BM671" s="135"/>
      <c r="BN671" s="136" t="n">
        <f aca="false">+MAX($D$3,DATOS_[[#This Row],[Fecha Inicio Sit. Contract.]])</f>
        <v>0</v>
      </c>
      <c r="BO671" s="136" t="n">
        <f aca="false">+MIN($D$4,DATOS_[[#This Row],[Fecha Fin Sit. Contract.]])</f>
        <v>0</v>
      </c>
      <c r="BP671" s="137" t="n">
        <f aca="false">+DATOS_[[#This Row],[% de jornada]]*IF(DATOS_[[#This Row],[% jornada reducida]]="",1,DATOS_[[#This Row],[% jornada reducida]])</f>
        <v>0</v>
      </c>
      <c r="BQ671" s="137" t="n">
        <f aca="false">+(DATOS_[[#This Row],[F.fin.cal]]-DATOS_[[#This Row],[F.ini.cal]]+1)/($D$4-$D$3+1)</f>
        <v>1</v>
      </c>
      <c r="BR671" s="137" t="str">
        <f aca="false">IF(OR(AND(DATOS_[[#This Row],[Fecha Fin Contrato]]&lt;$D$3,DATOS_[[#This Row],[Fecha Fin Contrato]]&lt;&gt;""),DATOS_[[#This Row],[Fecha de Contratación]]&gt;$D$4),"Fuera","Dentro")</f>
        <v>Dentro</v>
      </c>
      <c r="BS671" s="137" t="str">
        <f aca="false" t="array" ref="BS671:BS671">IF(MAX(IF(DATOS_[id]=DATOS_[[#This Row],[id]],DATOS_[F.fin.cal]))=DATOS_[[#This Row],[F.fin.cal]],"Sí","NO")</f>
        <v>Sí</v>
      </c>
      <c r="BT671" s="137" t="str">
        <f aca="false">IF(AND(DATOS_[[#This Row],[% normaliz]]&lt;&gt;1,DATOS_[[#This Row],[% anualiz]]=1),"Sí","NO")</f>
        <v>Sí</v>
      </c>
      <c r="BU671" s="137" t="str">
        <f aca="false">IF(AND(DATOS_[[#This Row],[% normaliz]]=1,DATOS_[[#This Row],[% anualiz]]&lt;&gt;1),"Sí","NO")</f>
        <v>NO</v>
      </c>
      <c r="BV671" s="137" t="str">
        <f aca="false">IF(AND(DATOS_[[#This Row],[% normaliz]]&lt;&gt;1,DATOS_[[#This Row],[% anualiz]]&lt;&gt;1),"Sí","NO")</f>
        <v>NO</v>
      </c>
      <c r="BW671" s="137" t="str">
        <f aca="false">+IF(DATOS_[[#This Row],[% normaliz]]*DATOS_[[#This Row],[% anualiz]]=1,"NO","Sí")</f>
        <v>Sí</v>
      </c>
      <c r="BX671" s="138" t="e">
        <f aca="false">(DATOS_[[#This Row],[S.BASE]]*(1/DATOS_[[#This Row],[% normaliz]])*(1/DATOS_[[#This Row],[% anualiz]]))*IF(DATOS_[[#This Row],[Check Equiparado]]="Sí",1,0)</f>
        <v>#DIV/0!</v>
      </c>
      <c r="BY6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1" s="138" t="e">
        <f aca="false">+DATOS_[[#This Row],[SALARIO BASE Eq]]+DATOS_[[#This Row],[Tot COMPL.SAL Eq]]</f>
        <v>#DIV/0!</v>
      </c>
      <c r="CA671" s="138" t="e">
        <f aca="false" t="array" ref="CA671:CA6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1" s="138" t="e">
        <f aca="false">+DATOS_[[#This Row],[TOTAL SALARIO Eq]]+DATOS_[[#This Row],[Tot Extrasalarial Eq]]</f>
        <v>#DIV/0!</v>
      </c>
      <c r="CC671" s="139" t="n">
        <f aca="false">DATOS_[[#This Row],[S.BASE]]</f>
        <v>0</v>
      </c>
      <c r="CD671" s="139" t="n">
        <f aca="false">+SUM(DATOS_[[#This Row],[Conc.Sal.01]:[Conc.Sal.30]])</f>
        <v>0</v>
      </c>
      <c r="CE671" s="139" t="n">
        <f aca="false">+DATOS_[[#This Row],[SALARIO BASE Ef]]+DATOS_[[#This Row],[Tot COMPL.SAL Ef]]</f>
        <v>0</v>
      </c>
      <c r="CF671" s="139" t="n">
        <f aca="false">+SUM(DATOS_[[#This Row],[C.Extra.01]:[C.Extra.05]])</f>
        <v>0</v>
      </c>
      <c r="CG671" s="139" t="n">
        <f aca="false">+DATOS_[[#This Row],[TOTAL SALARIO Ef]]+DATOS_[[#This Row],[Tot Extrasalarial Ef]]</f>
        <v>0</v>
      </c>
      <c r="CH671" s="140" t="n">
        <f aca="false">MIN(IF(DATOS_[[#This Row],[Fecha Fin Contrato]]="",$D$4,DATOS_[[#This Row],[Fecha Fin Contrato]]),$D$4)-MAX(DATOS_[[#This Row],[Fecha de Contratación]],$D$3)+1</f>
        <v>1</v>
      </c>
      <c r="CI671" s="141" t="str">
        <f aca="false">IF(COUNTIFS(DATOS_[id],DATOS_[[#This Row],[id]])&gt;1,DATOS_[[#This Row],[id]],"")</f>
        <v/>
      </c>
      <c r="CJ671" s="141" t="n">
        <f aca="false">(Inicio!$G$10-DATOS_[[#This Row],[Fecha Nacimiento]])/365.25</f>
        <v>0</v>
      </c>
      <c r="CK671" s="141" t="n">
        <f aca="false">(Inicio!$G$10-DATOS_[[#This Row],[Fecha de Antigüedad]])/365.25</f>
        <v>0</v>
      </c>
      <c r="CL671" s="141" t="e">
        <f aca="false">+VLOOKUP(DATOS_[[#This Row],[Clave de Contrato]],TblTiposContrato13[],3,0)</f>
        <v>#N/A</v>
      </c>
      <c r="CM671" s="141" t="e">
        <f aca="false">+VLOOKUP(DATOS_[[#This Row],[Clave de Contrato]],TblTiposContrato13[],4,0)</f>
        <v>#N/A</v>
      </c>
      <c r="CN671" s="141" t="str">
        <f aca="false">VLOOKUP(DATOS_[[#This Row],[Edad]],CONTRATOS!TblRngEdad,2,1)</f>
        <v>20  o menos</v>
      </c>
      <c r="CO671" s="141" t="str">
        <f aca="false">VLOOKUP(DATOS_[[#This Row],[Antigüedad]],TblRngAntg14[],2,1)</f>
        <v>0 a 1 años</v>
      </c>
    </row>
    <row r="672" customFormat="false" ht="13.8" hidden="false" customHeight="false" outlineLevel="0" collapsed="false">
      <c r="D672" s="128"/>
      <c r="E672" s="129"/>
      <c r="F672" s="129"/>
      <c r="G672" s="129"/>
      <c r="H672" s="130"/>
      <c r="I672" s="131"/>
      <c r="J672" s="128"/>
      <c r="K672" s="132"/>
      <c r="L672" s="132"/>
      <c r="M672" s="133"/>
      <c r="N672" s="133"/>
      <c r="O672" s="133"/>
      <c r="P672" s="129"/>
      <c r="Z672" s="75"/>
      <c r="AA672" s="76"/>
      <c r="AB672" s="76"/>
      <c r="AC672" s="129"/>
      <c r="AD672" s="134"/>
      <c r="AE672" s="134"/>
      <c r="AF672" s="134"/>
      <c r="AG672" s="134"/>
      <c r="AH672" s="134"/>
      <c r="AI672" s="134"/>
      <c r="AJ672" s="134"/>
      <c r="AK672" s="134"/>
      <c r="AL672" s="134"/>
      <c r="AM672" s="134"/>
      <c r="AN672" s="134"/>
      <c r="AO672" s="134"/>
      <c r="AP672" s="134"/>
      <c r="AQ672" s="134"/>
      <c r="AR672" s="134"/>
      <c r="AS672" s="134"/>
      <c r="AT672" s="134"/>
      <c r="AU672" s="134"/>
      <c r="AV672" s="134"/>
      <c r="AW672" s="134"/>
      <c r="AX672" s="134"/>
      <c r="AY672" s="134"/>
      <c r="AZ672" s="134"/>
      <c r="BA672" s="134"/>
      <c r="BB672" s="134"/>
      <c r="BC672" s="134"/>
      <c r="BD672" s="134"/>
      <c r="BE672" s="134"/>
      <c r="BF672" s="134"/>
      <c r="BG672" s="134"/>
      <c r="BH672" s="134"/>
      <c r="BI672" s="134"/>
      <c r="BJ672" s="134"/>
      <c r="BK672" s="134"/>
      <c r="BL672" s="134"/>
      <c r="BM672" s="135"/>
      <c r="BN672" s="136" t="n">
        <f aca="false">+MAX($D$3,DATOS_[[#This Row],[Fecha Inicio Sit. Contract.]])</f>
        <v>0</v>
      </c>
      <c r="BO672" s="136" t="n">
        <f aca="false">+MIN($D$4,DATOS_[[#This Row],[Fecha Fin Sit. Contract.]])</f>
        <v>0</v>
      </c>
      <c r="BP672" s="137" t="n">
        <f aca="false">+DATOS_[[#This Row],[% de jornada]]*IF(DATOS_[[#This Row],[% jornada reducida]]="",1,DATOS_[[#This Row],[% jornada reducida]])</f>
        <v>0</v>
      </c>
      <c r="BQ672" s="137" t="n">
        <f aca="false">+(DATOS_[[#This Row],[F.fin.cal]]-DATOS_[[#This Row],[F.ini.cal]]+1)/($D$4-$D$3+1)</f>
        <v>1</v>
      </c>
      <c r="BR672" s="137" t="str">
        <f aca="false">IF(OR(AND(DATOS_[[#This Row],[Fecha Fin Contrato]]&lt;$D$3,DATOS_[[#This Row],[Fecha Fin Contrato]]&lt;&gt;""),DATOS_[[#This Row],[Fecha de Contratación]]&gt;$D$4),"Fuera","Dentro")</f>
        <v>Dentro</v>
      </c>
      <c r="BS672" s="137" t="str">
        <f aca="false" t="array" ref="BS672:BS672">IF(MAX(IF(DATOS_[id]=DATOS_[[#This Row],[id]],DATOS_[F.fin.cal]))=DATOS_[[#This Row],[F.fin.cal]],"Sí","NO")</f>
        <v>Sí</v>
      </c>
      <c r="BT672" s="137" t="str">
        <f aca="false">IF(AND(DATOS_[[#This Row],[% normaliz]]&lt;&gt;1,DATOS_[[#This Row],[% anualiz]]=1),"Sí","NO")</f>
        <v>Sí</v>
      </c>
      <c r="BU672" s="137" t="str">
        <f aca="false">IF(AND(DATOS_[[#This Row],[% normaliz]]=1,DATOS_[[#This Row],[% anualiz]]&lt;&gt;1),"Sí","NO")</f>
        <v>NO</v>
      </c>
      <c r="BV672" s="137" t="str">
        <f aca="false">IF(AND(DATOS_[[#This Row],[% normaliz]]&lt;&gt;1,DATOS_[[#This Row],[% anualiz]]&lt;&gt;1),"Sí","NO")</f>
        <v>NO</v>
      </c>
      <c r="BW672" s="137" t="str">
        <f aca="false">+IF(DATOS_[[#This Row],[% normaliz]]*DATOS_[[#This Row],[% anualiz]]=1,"NO","Sí")</f>
        <v>Sí</v>
      </c>
      <c r="BX672" s="138" t="e">
        <f aca="false">(DATOS_[[#This Row],[S.BASE]]*(1/DATOS_[[#This Row],[% normaliz]])*(1/DATOS_[[#This Row],[% anualiz]]))*IF(DATOS_[[#This Row],[Check Equiparado]]="Sí",1,0)</f>
        <v>#DIV/0!</v>
      </c>
      <c r="BY6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2" s="138" t="e">
        <f aca="false">+DATOS_[[#This Row],[SALARIO BASE Eq]]+DATOS_[[#This Row],[Tot COMPL.SAL Eq]]</f>
        <v>#DIV/0!</v>
      </c>
      <c r="CA672" s="138" t="e">
        <f aca="false" t="array" ref="CA672:CA6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2" s="138" t="e">
        <f aca="false">+DATOS_[[#This Row],[TOTAL SALARIO Eq]]+DATOS_[[#This Row],[Tot Extrasalarial Eq]]</f>
        <v>#DIV/0!</v>
      </c>
      <c r="CC672" s="139" t="n">
        <f aca="false">DATOS_[[#This Row],[S.BASE]]</f>
        <v>0</v>
      </c>
      <c r="CD672" s="139" t="n">
        <f aca="false">+SUM(DATOS_[[#This Row],[Conc.Sal.01]:[Conc.Sal.30]])</f>
        <v>0</v>
      </c>
      <c r="CE672" s="139" t="n">
        <f aca="false">+DATOS_[[#This Row],[SALARIO BASE Ef]]+DATOS_[[#This Row],[Tot COMPL.SAL Ef]]</f>
        <v>0</v>
      </c>
      <c r="CF672" s="139" t="n">
        <f aca="false">+SUM(DATOS_[[#This Row],[C.Extra.01]:[C.Extra.05]])</f>
        <v>0</v>
      </c>
      <c r="CG672" s="139" t="n">
        <f aca="false">+DATOS_[[#This Row],[TOTAL SALARIO Ef]]+DATOS_[[#This Row],[Tot Extrasalarial Ef]]</f>
        <v>0</v>
      </c>
      <c r="CH672" s="140" t="n">
        <f aca="false">MIN(IF(DATOS_[[#This Row],[Fecha Fin Contrato]]="",$D$4,DATOS_[[#This Row],[Fecha Fin Contrato]]),$D$4)-MAX(DATOS_[[#This Row],[Fecha de Contratación]],$D$3)+1</f>
        <v>1</v>
      </c>
      <c r="CI672" s="141" t="str">
        <f aca="false">IF(COUNTIFS(DATOS_[id],DATOS_[[#This Row],[id]])&gt;1,DATOS_[[#This Row],[id]],"")</f>
        <v/>
      </c>
      <c r="CJ672" s="141" t="n">
        <f aca="false">(Inicio!$G$10-DATOS_[[#This Row],[Fecha Nacimiento]])/365.25</f>
        <v>0</v>
      </c>
      <c r="CK672" s="141" t="n">
        <f aca="false">(Inicio!$G$10-DATOS_[[#This Row],[Fecha de Antigüedad]])/365.25</f>
        <v>0</v>
      </c>
      <c r="CL672" s="141" t="e">
        <f aca="false">+VLOOKUP(DATOS_[[#This Row],[Clave de Contrato]],TblTiposContrato13[],3,0)</f>
        <v>#N/A</v>
      </c>
      <c r="CM672" s="141" t="e">
        <f aca="false">+VLOOKUP(DATOS_[[#This Row],[Clave de Contrato]],TblTiposContrato13[],4,0)</f>
        <v>#N/A</v>
      </c>
      <c r="CN672" s="141" t="str">
        <f aca="false">VLOOKUP(DATOS_[[#This Row],[Edad]],CONTRATOS!TblRngEdad,2,1)</f>
        <v>20  o menos</v>
      </c>
      <c r="CO672" s="141" t="str">
        <f aca="false">VLOOKUP(DATOS_[[#This Row],[Antigüedad]],TblRngAntg14[],2,1)</f>
        <v>0 a 1 años</v>
      </c>
    </row>
    <row r="673" customFormat="false" ht="13.8" hidden="false" customHeight="false" outlineLevel="0" collapsed="false">
      <c r="D673" s="128"/>
      <c r="E673" s="129"/>
      <c r="F673" s="129"/>
      <c r="G673" s="129"/>
      <c r="H673" s="130"/>
      <c r="I673" s="131"/>
      <c r="J673" s="128"/>
      <c r="K673" s="132"/>
      <c r="L673" s="132"/>
      <c r="M673" s="133"/>
      <c r="N673" s="133"/>
      <c r="O673" s="133"/>
      <c r="P673" s="129"/>
      <c r="Z673" s="75"/>
      <c r="AA673" s="76"/>
      <c r="AB673" s="76"/>
      <c r="AC673" s="129"/>
      <c r="AD673" s="134"/>
      <c r="AE673" s="134"/>
      <c r="AF673" s="134"/>
      <c r="AG673" s="134"/>
      <c r="AH673" s="134"/>
      <c r="AI673" s="134"/>
      <c r="AJ673" s="134"/>
      <c r="AK673" s="134"/>
      <c r="AL673" s="134"/>
      <c r="AM673" s="134"/>
      <c r="AN673" s="134"/>
      <c r="AO673" s="134"/>
      <c r="AP673" s="134"/>
      <c r="AQ673" s="134"/>
      <c r="AR673" s="134"/>
      <c r="AS673" s="134"/>
      <c r="AT673" s="134"/>
      <c r="AU673" s="134"/>
      <c r="AV673" s="134"/>
      <c r="AW673" s="134"/>
      <c r="AX673" s="134"/>
      <c r="AY673" s="134"/>
      <c r="AZ673" s="134"/>
      <c r="BA673" s="134"/>
      <c r="BB673" s="134"/>
      <c r="BC673" s="134"/>
      <c r="BD673" s="134"/>
      <c r="BE673" s="134"/>
      <c r="BF673" s="134"/>
      <c r="BG673" s="134"/>
      <c r="BH673" s="134"/>
      <c r="BI673" s="134"/>
      <c r="BJ673" s="134"/>
      <c r="BK673" s="134"/>
      <c r="BL673" s="134"/>
      <c r="BM673" s="135"/>
      <c r="BN673" s="136" t="n">
        <f aca="false">+MAX($D$3,DATOS_[[#This Row],[Fecha Inicio Sit. Contract.]])</f>
        <v>0</v>
      </c>
      <c r="BO673" s="136" t="n">
        <f aca="false">+MIN($D$4,DATOS_[[#This Row],[Fecha Fin Sit. Contract.]])</f>
        <v>0</v>
      </c>
      <c r="BP673" s="137" t="n">
        <f aca="false">+DATOS_[[#This Row],[% de jornada]]*IF(DATOS_[[#This Row],[% jornada reducida]]="",1,DATOS_[[#This Row],[% jornada reducida]])</f>
        <v>0</v>
      </c>
      <c r="BQ673" s="137" t="n">
        <f aca="false">+(DATOS_[[#This Row],[F.fin.cal]]-DATOS_[[#This Row],[F.ini.cal]]+1)/($D$4-$D$3+1)</f>
        <v>1</v>
      </c>
      <c r="BR673" s="137" t="str">
        <f aca="false">IF(OR(AND(DATOS_[[#This Row],[Fecha Fin Contrato]]&lt;$D$3,DATOS_[[#This Row],[Fecha Fin Contrato]]&lt;&gt;""),DATOS_[[#This Row],[Fecha de Contratación]]&gt;$D$4),"Fuera","Dentro")</f>
        <v>Dentro</v>
      </c>
      <c r="BS673" s="137" t="str">
        <f aca="false" t="array" ref="BS673:BS673">IF(MAX(IF(DATOS_[id]=DATOS_[[#This Row],[id]],DATOS_[F.fin.cal]))=DATOS_[[#This Row],[F.fin.cal]],"Sí","NO")</f>
        <v>Sí</v>
      </c>
      <c r="BT673" s="137" t="str">
        <f aca="false">IF(AND(DATOS_[[#This Row],[% normaliz]]&lt;&gt;1,DATOS_[[#This Row],[% anualiz]]=1),"Sí","NO")</f>
        <v>Sí</v>
      </c>
      <c r="BU673" s="137" t="str">
        <f aca="false">IF(AND(DATOS_[[#This Row],[% normaliz]]=1,DATOS_[[#This Row],[% anualiz]]&lt;&gt;1),"Sí","NO")</f>
        <v>NO</v>
      </c>
      <c r="BV673" s="137" t="str">
        <f aca="false">IF(AND(DATOS_[[#This Row],[% normaliz]]&lt;&gt;1,DATOS_[[#This Row],[% anualiz]]&lt;&gt;1),"Sí","NO")</f>
        <v>NO</v>
      </c>
      <c r="BW673" s="137" t="str">
        <f aca="false">+IF(DATOS_[[#This Row],[% normaliz]]*DATOS_[[#This Row],[% anualiz]]=1,"NO","Sí")</f>
        <v>Sí</v>
      </c>
      <c r="BX673" s="138" t="e">
        <f aca="false">(DATOS_[[#This Row],[S.BASE]]*(1/DATOS_[[#This Row],[% normaliz]])*(1/DATOS_[[#This Row],[% anualiz]]))*IF(DATOS_[[#This Row],[Check Equiparado]]="Sí",1,0)</f>
        <v>#DIV/0!</v>
      </c>
      <c r="BY6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3" s="138" t="e">
        <f aca="false">+DATOS_[[#This Row],[SALARIO BASE Eq]]+DATOS_[[#This Row],[Tot COMPL.SAL Eq]]</f>
        <v>#DIV/0!</v>
      </c>
      <c r="CA673" s="138" t="e">
        <f aca="false" t="array" ref="CA673:CA6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3" s="138" t="e">
        <f aca="false">+DATOS_[[#This Row],[TOTAL SALARIO Eq]]+DATOS_[[#This Row],[Tot Extrasalarial Eq]]</f>
        <v>#DIV/0!</v>
      </c>
      <c r="CC673" s="139" t="n">
        <f aca="false">DATOS_[[#This Row],[S.BASE]]</f>
        <v>0</v>
      </c>
      <c r="CD673" s="139" t="n">
        <f aca="false">+SUM(DATOS_[[#This Row],[Conc.Sal.01]:[Conc.Sal.30]])</f>
        <v>0</v>
      </c>
      <c r="CE673" s="139" t="n">
        <f aca="false">+DATOS_[[#This Row],[SALARIO BASE Ef]]+DATOS_[[#This Row],[Tot COMPL.SAL Ef]]</f>
        <v>0</v>
      </c>
      <c r="CF673" s="139" t="n">
        <f aca="false">+SUM(DATOS_[[#This Row],[C.Extra.01]:[C.Extra.05]])</f>
        <v>0</v>
      </c>
      <c r="CG673" s="139" t="n">
        <f aca="false">+DATOS_[[#This Row],[TOTAL SALARIO Ef]]+DATOS_[[#This Row],[Tot Extrasalarial Ef]]</f>
        <v>0</v>
      </c>
      <c r="CH673" s="140" t="n">
        <f aca="false">MIN(IF(DATOS_[[#This Row],[Fecha Fin Contrato]]="",$D$4,DATOS_[[#This Row],[Fecha Fin Contrato]]),$D$4)-MAX(DATOS_[[#This Row],[Fecha de Contratación]],$D$3)+1</f>
        <v>1</v>
      </c>
      <c r="CI673" s="141" t="str">
        <f aca="false">IF(COUNTIFS(DATOS_[id],DATOS_[[#This Row],[id]])&gt;1,DATOS_[[#This Row],[id]],"")</f>
        <v/>
      </c>
      <c r="CJ673" s="141" t="n">
        <f aca="false">(Inicio!$G$10-DATOS_[[#This Row],[Fecha Nacimiento]])/365.25</f>
        <v>0</v>
      </c>
      <c r="CK673" s="141" t="n">
        <f aca="false">(Inicio!$G$10-DATOS_[[#This Row],[Fecha de Antigüedad]])/365.25</f>
        <v>0</v>
      </c>
      <c r="CL673" s="141" t="e">
        <f aca="false">+VLOOKUP(DATOS_[[#This Row],[Clave de Contrato]],TblTiposContrato13[],3,0)</f>
        <v>#N/A</v>
      </c>
      <c r="CM673" s="141" t="e">
        <f aca="false">+VLOOKUP(DATOS_[[#This Row],[Clave de Contrato]],TblTiposContrato13[],4,0)</f>
        <v>#N/A</v>
      </c>
      <c r="CN673" s="141" t="str">
        <f aca="false">VLOOKUP(DATOS_[[#This Row],[Edad]],CONTRATOS!TblRngEdad,2,1)</f>
        <v>20  o menos</v>
      </c>
      <c r="CO673" s="141" t="str">
        <f aca="false">VLOOKUP(DATOS_[[#This Row],[Antigüedad]],TblRngAntg14[],2,1)</f>
        <v>0 a 1 años</v>
      </c>
    </row>
    <row r="674" customFormat="false" ht="13.8" hidden="false" customHeight="false" outlineLevel="0" collapsed="false">
      <c r="D674" s="128"/>
      <c r="E674" s="129"/>
      <c r="F674" s="129"/>
      <c r="G674" s="129"/>
      <c r="H674" s="130"/>
      <c r="I674" s="131"/>
      <c r="J674" s="128"/>
      <c r="K674" s="132"/>
      <c r="L674" s="132"/>
      <c r="M674" s="133"/>
      <c r="N674" s="133"/>
      <c r="O674" s="133"/>
      <c r="P674" s="129"/>
      <c r="Z674" s="75"/>
      <c r="AA674" s="76"/>
      <c r="AB674" s="76"/>
      <c r="AC674" s="129"/>
      <c r="AD674" s="134"/>
      <c r="AE674" s="134"/>
      <c r="AF674" s="134"/>
      <c r="AG674" s="134"/>
      <c r="AH674" s="134"/>
      <c r="AI674" s="134"/>
      <c r="AJ674" s="134"/>
      <c r="AK674" s="134"/>
      <c r="AL674" s="134"/>
      <c r="AM674" s="134"/>
      <c r="AN674" s="134"/>
      <c r="AO674" s="134"/>
      <c r="AP674" s="134"/>
      <c r="AQ674" s="134"/>
      <c r="AR674" s="134"/>
      <c r="AS674" s="134"/>
      <c r="AT674" s="134"/>
      <c r="AU674" s="134"/>
      <c r="AV674" s="134"/>
      <c r="AW674" s="134"/>
      <c r="AX674" s="134"/>
      <c r="AY674" s="134"/>
      <c r="AZ674" s="134"/>
      <c r="BA674" s="134"/>
      <c r="BB674" s="134"/>
      <c r="BC674" s="134"/>
      <c r="BD674" s="134"/>
      <c r="BE674" s="134"/>
      <c r="BF674" s="134"/>
      <c r="BG674" s="134"/>
      <c r="BH674" s="134"/>
      <c r="BI674" s="134"/>
      <c r="BJ674" s="134"/>
      <c r="BK674" s="134"/>
      <c r="BL674" s="134"/>
      <c r="BM674" s="135"/>
      <c r="BN674" s="136" t="n">
        <f aca="false">+MAX($D$3,DATOS_[[#This Row],[Fecha Inicio Sit. Contract.]])</f>
        <v>0</v>
      </c>
      <c r="BO674" s="136" t="n">
        <f aca="false">+MIN($D$4,DATOS_[[#This Row],[Fecha Fin Sit. Contract.]])</f>
        <v>0</v>
      </c>
      <c r="BP674" s="137" t="n">
        <f aca="false">+DATOS_[[#This Row],[% de jornada]]*IF(DATOS_[[#This Row],[% jornada reducida]]="",1,DATOS_[[#This Row],[% jornada reducida]])</f>
        <v>0</v>
      </c>
      <c r="BQ674" s="137" t="n">
        <f aca="false">+(DATOS_[[#This Row],[F.fin.cal]]-DATOS_[[#This Row],[F.ini.cal]]+1)/($D$4-$D$3+1)</f>
        <v>1</v>
      </c>
      <c r="BR674" s="137" t="str">
        <f aca="false">IF(OR(AND(DATOS_[[#This Row],[Fecha Fin Contrato]]&lt;$D$3,DATOS_[[#This Row],[Fecha Fin Contrato]]&lt;&gt;""),DATOS_[[#This Row],[Fecha de Contratación]]&gt;$D$4),"Fuera","Dentro")</f>
        <v>Dentro</v>
      </c>
      <c r="BS674" s="137" t="str">
        <f aca="false" t="array" ref="BS674:BS674">IF(MAX(IF(DATOS_[id]=DATOS_[[#This Row],[id]],DATOS_[F.fin.cal]))=DATOS_[[#This Row],[F.fin.cal]],"Sí","NO")</f>
        <v>Sí</v>
      </c>
      <c r="BT674" s="137" t="str">
        <f aca="false">IF(AND(DATOS_[[#This Row],[% normaliz]]&lt;&gt;1,DATOS_[[#This Row],[% anualiz]]=1),"Sí","NO")</f>
        <v>Sí</v>
      </c>
      <c r="BU674" s="137" t="str">
        <f aca="false">IF(AND(DATOS_[[#This Row],[% normaliz]]=1,DATOS_[[#This Row],[% anualiz]]&lt;&gt;1),"Sí","NO")</f>
        <v>NO</v>
      </c>
      <c r="BV674" s="137" t="str">
        <f aca="false">IF(AND(DATOS_[[#This Row],[% normaliz]]&lt;&gt;1,DATOS_[[#This Row],[% anualiz]]&lt;&gt;1),"Sí","NO")</f>
        <v>NO</v>
      </c>
      <c r="BW674" s="137" t="str">
        <f aca="false">+IF(DATOS_[[#This Row],[% normaliz]]*DATOS_[[#This Row],[% anualiz]]=1,"NO","Sí")</f>
        <v>Sí</v>
      </c>
      <c r="BX674" s="138" t="e">
        <f aca="false">(DATOS_[[#This Row],[S.BASE]]*(1/DATOS_[[#This Row],[% normaliz]])*(1/DATOS_[[#This Row],[% anualiz]]))*IF(DATOS_[[#This Row],[Check Equiparado]]="Sí",1,0)</f>
        <v>#DIV/0!</v>
      </c>
      <c r="BY6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4" s="138" t="e">
        <f aca="false">+DATOS_[[#This Row],[SALARIO BASE Eq]]+DATOS_[[#This Row],[Tot COMPL.SAL Eq]]</f>
        <v>#DIV/0!</v>
      </c>
      <c r="CA674" s="138" t="e">
        <f aca="false" t="array" ref="CA674:CA6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4" s="138" t="e">
        <f aca="false">+DATOS_[[#This Row],[TOTAL SALARIO Eq]]+DATOS_[[#This Row],[Tot Extrasalarial Eq]]</f>
        <v>#DIV/0!</v>
      </c>
      <c r="CC674" s="139" t="n">
        <f aca="false">DATOS_[[#This Row],[S.BASE]]</f>
        <v>0</v>
      </c>
      <c r="CD674" s="139" t="n">
        <f aca="false">+SUM(DATOS_[[#This Row],[Conc.Sal.01]:[Conc.Sal.30]])</f>
        <v>0</v>
      </c>
      <c r="CE674" s="139" t="n">
        <f aca="false">+DATOS_[[#This Row],[SALARIO BASE Ef]]+DATOS_[[#This Row],[Tot COMPL.SAL Ef]]</f>
        <v>0</v>
      </c>
      <c r="CF674" s="139" t="n">
        <f aca="false">+SUM(DATOS_[[#This Row],[C.Extra.01]:[C.Extra.05]])</f>
        <v>0</v>
      </c>
      <c r="CG674" s="139" t="n">
        <f aca="false">+DATOS_[[#This Row],[TOTAL SALARIO Ef]]+DATOS_[[#This Row],[Tot Extrasalarial Ef]]</f>
        <v>0</v>
      </c>
      <c r="CH674" s="140" t="n">
        <f aca="false">MIN(IF(DATOS_[[#This Row],[Fecha Fin Contrato]]="",$D$4,DATOS_[[#This Row],[Fecha Fin Contrato]]),$D$4)-MAX(DATOS_[[#This Row],[Fecha de Contratación]],$D$3)+1</f>
        <v>1</v>
      </c>
      <c r="CI674" s="141" t="str">
        <f aca="false">IF(COUNTIFS(DATOS_[id],DATOS_[[#This Row],[id]])&gt;1,DATOS_[[#This Row],[id]],"")</f>
        <v/>
      </c>
      <c r="CJ674" s="141" t="n">
        <f aca="false">(Inicio!$G$10-DATOS_[[#This Row],[Fecha Nacimiento]])/365.25</f>
        <v>0</v>
      </c>
      <c r="CK674" s="141" t="n">
        <f aca="false">(Inicio!$G$10-DATOS_[[#This Row],[Fecha de Antigüedad]])/365.25</f>
        <v>0</v>
      </c>
      <c r="CL674" s="141" t="e">
        <f aca="false">+VLOOKUP(DATOS_[[#This Row],[Clave de Contrato]],TblTiposContrato13[],3,0)</f>
        <v>#N/A</v>
      </c>
      <c r="CM674" s="141" t="e">
        <f aca="false">+VLOOKUP(DATOS_[[#This Row],[Clave de Contrato]],TblTiposContrato13[],4,0)</f>
        <v>#N/A</v>
      </c>
      <c r="CN674" s="141" t="str">
        <f aca="false">VLOOKUP(DATOS_[[#This Row],[Edad]],CONTRATOS!TblRngEdad,2,1)</f>
        <v>20  o menos</v>
      </c>
      <c r="CO674" s="141" t="str">
        <f aca="false">VLOOKUP(DATOS_[[#This Row],[Antigüedad]],TblRngAntg14[],2,1)</f>
        <v>0 a 1 años</v>
      </c>
    </row>
    <row r="675" customFormat="false" ht="13.8" hidden="false" customHeight="false" outlineLevel="0" collapsed="false">
      <c r="D675" s="128"/>
      <c r="E675" s="129"/>
      <c r="F675" s="129"/>
      <c r="G675" s="129"/>
      <c r="H675" s="130"/>
      <c r="I675" s="131"/>
      <c r="J675" s="128"/>
      <c r="K675" s="132"/>
      <c r="L675" s="132"/>
      <c r="M675" s="133"/>
      <c r="N675" s="133"/>
      <c r="O675" s="133"/>
      <c r="P675" s="129"/>
      <c r="Z675" s="75"/>
      <c r="AA675" s="76"/>
      <c r="AB675" s="76"/>
      <c r="AC675" s="129"/>
      <c r="AD675" s="134"/>
      <c r="AE675" s="134"/>
      <c r="AF675" s="134"/>
      <c r="AG675" s="134"/>
      <c r="AH675" s="134"/>
      <c r="AI675" s="134"/>
      <c r="AJ675" s="134"/>
      <c r="AK675" s="134"/>
      <c r="AL675" s="134"/>
      <c r="AM675" s="134"/>
      <c r="AN675" s="134"/>
      <c r="AO675" s="134"/>
      <c r="AP675" s="134"/>
      <c r="AQ675" s="134"/>
      <c r="AR675" s="134"/>
      <c r="AS675" s="134"/>
      <c r="AT675" s="134"/>
      <c r="AU675" s="134"/>
      <c r="AV675" s="134"/>
      <c r="AW675" s="134"/>
      <c r="AX675" s="134"/>
      <c r="AY675" s="134"/>
      <c r="AZ675" s="134"/>
      <c r="BA675" s="134"/>
      <c r="BB675" s="134"/>
      <c r="BC675" s="134"/>
      <c r="BD675" s="134"/>
      <c r="BE675" s="134"/>
      <c r="BF675" s="134"/>
      <c r="BG675" s="134"/>
      <c r="BH675" s="134"/>
      <c r="BI675" s="134"/>
      <c r="BJ675" s="134"/>
      <c r="BK675" s="134"/>
      <c r="BL675" s="134"/>
      <c r="BM675" s="135"/>
      <c r="BN675" s="136" t="n">
        <f aca="false">+MAX($D$3,DATOS_[[#This Row],[Fecha Inicio Sit. Contract.]])</f>
        <v>0</v>
      </c>
      <c r="BO675" s="136" t="n">
        <f aca="false">+MIN($D$4,DATOS_[[#This Row],[Fecha Fin Sit. Contract.]])</f>
        <v>0</v>
      </c>
      <c r="BP675" s="137" t="n">
        <f aca="false">+DATOS_[[#This Row],[% de jornada]]*IF(DATOS_[[#This Row],[% jornada reducida]]="",1,DATOS_[[#This Row],[% jornada reducida]])</f>
        <v>0</v>
      </c>
      <c r="BQ675" s="137" t="n">
        <f aca="false">+(DATOS_[[#This Row],[F.fin.cal]]-DATOS_[[#This Row],[F.ini.cal]]+1)/($D$4-$D$3+1)</f>
        <v>1</v>
      </c>
      <c r="BR675" s="137" t="str">
        <f aca="false">IF(OR(AND(DATOS_[[#This Row],[Fecha Fin Contrato]]&lt;$D$3,DATOS_[[#This Row],[Fecha Fin Contrato]]&lt;&gt;""),DATOS_[[#This Row],[Fecha de Contratación]]&gt;$D$4),"Fuera","Dentro")</f>
        <v>Dentro</v>
      </c>
      <c r="BS675" s="137" t="str">
        <f aca="false" t="array" ref="BS675:BS675">IF(MAX(IF(DATOS_[id]=DATOS_[[#This Row],[id]],DATOS_[F.fin.cal]))=DATOS_[[#This Row],[F.fin.cal]],"Sí","NO")</f>
        <v>Sí</v>
      </c>
      <c r="BT675" s="137" t="str">
        <f aca="false">IF(AND(DATOS_[[#This Row],[% normaliz]]&lt;&gt;1,DATOS_[[#This Row],[% anualiz]]=1),"Sí","NO")</f>
        <v>Sí</v>
      </c>
      <c r="BU675" s="137" t="str">
        <f aca="false">IF(AND(DATOS_[[#This Row],[% normaliz]]=1,DATOS_[[#This Row],[% anualiz]]&lt;&gt;1),"Sí","NO")</f>
        <v>NO</v>
      </c>
      <c r="BV675" s="137" t="str">
        <f aca="false">IF(AND(DATOS_[[#This Row],[% normaliz]]&lt;&gt;1,DATOS_[[#This Row],[% anualiz]]&lt;&gt;1),"Sí","NO")</f>
        <v>NO</v>
      </c>
      <c r="BW675" s="137" t="str">
        <f aca="false">+IF(DATOS_[[#This Row],[% normaliz]]*DATOS_[[#This Row],[% anualiz]]=1,"NO","Sí")</f>
        <v>Sí</v>
      </c>
      <c r="BX675" s="138" t="e">
        <f aca="false">(DATOS_[[#This Row],[S.BASE]]*(1/DATOS_[[#This Row],[% normaliz]])*(1/DATOS_[[#This Row],[% anualiz]]))*IF(DATOS_[[#This Row],[Check Equiparado]]="Sí",1,0)</f>
        <v>#DIV/0!</v>
      </c>
      <c r="BY6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5" s="138" t="e">
        <f aca="false">+DATOS_[[#This Row],[SALARIO BASE Eq]]+DATOS_[[#This Row],[Tot COMPL.SAL Eq]]</f>
        <v>#DIV/0!</v>
      </c>
      <c r="CA675" s="138" t="e">
        <f aca="false" t="array" ref="CA675:CA6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5" s="138" t="e">
        <f aca="false">+DATOS_[[#This Row],[TOTAL SALARIO Eq]]+DATOS_[[#This Row],[Tot Extrasalarial Eq]]</f>
        <v>#DIV/0!</v>
      </c>
      <c r="CC675" s="139" t="n">
        <f aca="false">DATOS_[[#This Row],[S.BASE]]</f>
        <v>0</v>
      </c>
      <c r="CD675" s="139" t="n">
        <f aca="false">+SUM(DATOS_[[#This Row],[Conc.Sal.01]:[Conc.Sal.30]])</f>
        <v>0</v>
      </c>
      <c r="CE675" s="139" t="n">
        <f aca="false">+DATOS_[[#This Row],[SALARIO BASE Ef]]+DATOS_[[#This Row],[Tot COMPL.SAL Ef]]</f>
        <v>0</v>
      </c>
      <c r="CF675" s="139" t="n">
        <f aca="false">+SUM(DATOS_[[#This Row],[C.Extra.01]:[C.Extra.05]])</f>
        <v>0</v>
      </c>
      <c r="CG675" s="139" t="n">
        <f aca="false">+DATOS_[[#This Row],[TOTAL SALARIO Ef]]+DATOS_[[#This Row],[Tot Extrasalarial Ef]]</f>
        <v>0</v>
      </c>
      <c r="CH675" s="140" t="n">
        <f aca="false">MIN(IF(DATOS_[[#This Row],[Fecha Fin Contrato]]="",$D$4,DATOS_[[#This Row],[Fecha Fin Contrato]]),$D$4)-MAX(DATOS_[[#This Row],[Fecha de Contratación]],$D$3)+1</f>
        <v>1</v>
      </c>
      <c r="CI675" s="141" t="str">
        <f aca="false">IF(COUNTIFS(DATOS_[id],DATOS_[[#This Row],[id]])&gt;1,DATOS_[[#This Row],[id]],"")</f>
        <v/>
      </c>
      <c r="CJ675" s="141" t="n">
        <f aca="false">(Inicio!$G$10-DATOS_[[#This Row],[Fecha Nacimiento]])/365.25</f>
        <v>0</v>
      </c>
      <c r="CK675" s="141" t="n">
        <f aca="false">(Inicio!$G$10-DATOS_[[#This Row],[Fecha de Antigüedad]])/365.25</f>
        <v>0</v>
      </c>
      <c r="CL675" s="141" t="e">
        <f aca="false">+VLOOKUP(DATOS_[[#This Row],[Clave de Contrato]],TblTiposContrato13[],3,0)</f>
        <v>#N/A</v>
      </c>
      <c r="CM675" s="141" t="e">
        <f aca="false">+VLOOKUP(DATOS_[[#This Row],[Clave de Contrato]],TblTiposContrato13[],4,0)</f>
        <v>#N/A</v>
      </c>
      <c r="CN675" s="141" t="str">
        <f aca="false">VLOOKUP(DATOS_[[#This Row],[Edad]],CONTRATOS!TblRngEdad,2,1)</f>
        <v>20  o menos</v>
      </c>
      <c r="CO675" s="141" t="str">
        <f aca="false">VLOOKUP(DATOS_[[#This Row],[Antigüedad]],TblRngAntg14[],2,1)</f>
        <v>0 a 1 años</v>
      </c>
    </row>
    <row r="676" customFormat="false" ht="13.8" hidden="false" customHeight="false" outlineLevel="0" collapsed="false">
      <c r="D676" s="128"/>
      <c r="E676" s="129"/>
      <c r="F676" s="129"/>
      <c r="G676" s="129"/>
      <c r="H676" s="130"/>
      <c r="I676" s="131"/>
      <c r="J676" s="128"/>
      <c r="K676" s="132"/>
      <c r="L676" s="132"/>
      <c r="M676" s="133"/>
      <c r="N676" s="133"/>
      <c r="O676" s="133"/>
      <c r="P676" s="129"/>
      <c r="Z676" s="75"/>
      <c r="AA676" s="76"/>
      <c r="AB676" s="76"/>
      <c r="AC676" s="129"/>
      <c r="AD676" s="134"/>
      <c r="AE676" s="134"/>
      <c r="AF676" s="134"/>
      <c r="AG676" s="134"/>
      <c r="AH676" s="134"/>
      <c r="AI676" s="134"/>
      <c r="AJ676" s="134"/>
      <c r="AK676" s="134"/>
      <c r="AL676" s="134"/>
      <c r="AM676" s="134"/>
      <c r="AN676" s="134"/>
      <c r="AO676" s="134"/>
      <c r="AP676" s="134"/>
      <c r="AQ676" s="134"/>
      <c r="AR676" s="134"/>
      <c r="AS676" s="134"/>
      <c r="AT676" s="134"/>
      <c r="AU676" s="134"/>
      <c r="AV676" s="134"/>
      <c r="AW676" s="134"/>
      <c r="AX676" s="134"/>
      <c r="AY676" s="134"/>
      <c r="AZ676" s="134"/>
      <c r="BA676" s="134"/>
      <c r="BB676" s="134"/>
      <c r="BC676" s="134"/>
      <c r="BD676" s="134"/>
      <c r="BE676" s="134"/>
      <c r="BF676" s="134"/>
      <c r="BG676" s="134"/>
      <c r="BH676" s="134"/>
      <c r="BI676" s="134"/>
      <c r="BJ676" s="134"/>
      <c r="BK676" s="134"/>
      <c r="BL676" s="134"/>
      <c r="BM676" s="135"/>
      <c r="BN676" s="136" t="n">
        <f aca="false">+MAX($D$3,DATOS_[[#This Row],[Fecha Inicio Sit. Contract.]])</f>
        <v>0</v>
      </c>
      <c r="BO676" s="136" t="n">
        <f aca="false">+MIN($D$4,DATOS_[[#This Row],[Fecha Fin Sit. Contract.]])</f>
        <v>0</v>
      </c>
      <c r="BP676" s="137" t="n">
        <f aca="false">+DATOS_[[#This Row],[% de jornada]]*IF(DATOS_[[#This Row],[% jornada reducida]]="",1,DATOS_[[#This Row],[% jornada reducida]])</f>
        <v>0</v>
      </c>
      <c r="BQ676" s="137" t="n">
        <f aca="false">+(DATOS_[[#This Row],[F.fin.cal]]-DATOS_[[#This Row],[F.ini.cal]]+1)/($D$4-$D$3+1)</f>
        <v>1</v>
      </c>
      <c r="BR676" s="137" t="str">
        <f aca="false">IF(OR(AND(DATOS_[[#This Row],[Fecha Fin Contrato]]&lt;$D$3,DATOS_[[#This Row],[Fecha Fin Contrato]]&lt;&gt;""),DATOS_[[#This Row],[Fecha de Contratación]]&gt;$D$4),"Fuera","Dentro")</f>
        <v>Dentro</v>
      </c>
      <c r="BS676" s="137" t="str">
        <f aca="false" t="array" ref="BS676:BS676">IF(MAX(IF(DATOS_[id]=DATOS_[[#This Row],[id]],DATOS_[F.fin.cal]))=DATOS_[[#This Row],[F.fin.cal]],"Sí","NO")</f>
        <v>Sí</v>
      </c>
      <c r="BT676" s="137" t="str">
        <f aca="false">IF(AND(DATOS_[[#This Row],[% normaliz]]&lt;&gt;1,DATOS_[[#This Row],[% anualiz]]=1),"Sí","NO")</f>
        <v>Sí</v>
      </c>
      <c r="BU676" s="137" t="str">
        <f aca="false">IF(AND(DATOS_[[#This Row],[% normaliz]]=1,DATOS_[[#This Row],[% anualiz]]&lt;&gt;1),"Sí","NO")</f>
        <v>NO</v>
      </c>
      <c r="BV676" s="137" t="str">
        <f aca="false">IF(AND(DATOS_[[#This Row],[% normaliz]]&lt;&gt;1,DATOS_[[#This Row],[% anualiz]]&lt;&gt;1),"Sí","NO")</f>
        <v>NO</v>
      </c>
      <c r="BW676" s="137" t="str">
        <f aca="false">+IF(DATOS_[[#This Row],[% normaliz]]*DATOS_[[#This Row],[% anualiz]]=1,"NO","Sí")</f>
        <v>Sí</v>
      </c>
      <c r="BX676" s="138" t="e">
        <f aca="false">(DATOS_[[#This Row],[S.BASE]]*(1/DATOS_[[#This Row],[% normaliz]])*(1/DATOS_[[#This Row],[% anualiz]]))*IF(DATOS_[[#This Row],[Check Equiparado]]="Sí",1,0)</f>
        <v>#DIV/0!</v>
      </c>
      <c r="BY6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6" s="138" t="e">
        <f aca="false">+DATOS_[[#This Row],[SALARIO BASE Eq]]+DATOS_[[#This Row],[Tot COMPL.SAL Eq]]</f>
        <v>#DIV/0!</v>
      </c>
      <c r="CA676" s="138" t="e">
        <f aca="false" t="array" ref="CA676:CA6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6" s="138" t="e">
        <f aca="false">+DATOS_[[#This Row],[TOTAL SALARIO Eq]]+DATOS_[[#This Row],[Tot Extrasalarial Eq]]</f>
        <v>#DIV/0!</v>
      </c>
      <c r="CC676" s="139" t="n">
        <f aca="false">DATOS_[[#This Row],[S.BASE]]</f>
        <v>0</v>
      </c>
      <c r="CD676" s="139" t="n">
        <f aca="false">+SUM(DATOS_[[#This Row],[Conc.Sal.01]:[Conc.Sal.30]])</f>
        <v>0</v>
      </c>
      <c r="CE676" s="139" t="n">
        <f aca="false">+DATOS_[[#This Row],[SALARIO BASE Ef]]+DATOS_[[#This Row],[Tot COMPL.SAL Ef]]</f>
        <v>0</v>
      </c>
      <c r="CF676" s="139" t="n">
        <f aca="false">+SUM(DATOS_[[#This Row],[C.Extra.01]:[C.Extra.05]])</f>
        <v>0</v>
      </c>
      <c r="CG676" s="139" t="n">
        <f aca="false">+DATOS_[[#This Row],[TOTAL SALARIO Ef]]+DATOS_[[#This Row],[Tot Extrasalarial Ef]]</f>
        <v>0</v>
      </c>
      <c r="CH676" s="140" t="n">
        <f aca="false">MIN(IF(DATOS_[[#This Row],[Fecha Fin Contrato]]="",$D$4,DATOS_[[#This Row],[Fecha Fin Contrato]]),$D$4)-MAX(DATOS_[[#This Row],[Fecha de Contratación]],$D$3)+1</f>
        <v>1</v>
      </c>
      <c r="CI676" s="141" t="str">
        <f aca="false">IF(COUNTIFS(DATOS_[id],DATOS_[[#This Row],[id]])&gt;1,DATOS_[[#This Row],[id]],"")</f>
        <v/>
      </c>
      <c r="CJ676" s="141" t="n">
        <f aca="false">(Inicio!$G$10-DATOS_[[#This Row],[Fecha Nacimiento]])/365.25</f>
        <v>0</v>
      </c>
      <c r="CK676" s="141" t="n">
        <f aca="false">(Inicio!$G$10-DATOS_[[#This Row],[Fecha de Antigüedad]])/365.25</f>
        <v>0</v>
      </c>
      <c r="CL676" s="141" t="e">
        <f aca="false">+VLOOKUP(DATOS_[[#This Row],[Clave de Contrato]],TblTiposContrato13[],3,0)</f>
        <v>#N/A</v>
      </c>
      <c r="CM676" s="141" t="e">
        <f aca="false">+VLOOKUP(DATOS_[[#This Row],[Clave de Contrato]],TblTiposContrato13[],4,0)</f>
        <v>#N/A</v>
      </c>
      <c r="CN676" s="141" t="str">
        <f aca="false">VLOOKUP(DATOS_[[#This Row],[Edad]],CONTRATOS!TblRngEdad,2,1)</f>
        <v>20  o menos</v>
      </c>
      <c r="CO676" s="141" t="str">
        <f aca="false">VLOOKUP(DATOS_[[#This Row],[Antigüedad]],TblRngAntg14[],2,1)</f>
        <v>0 a 1 años</v>
      </c>
    </row>
    <row r="677" customFormat="false" ht="13.8" hidden="false" customHeight="false" outlineLevel="0" collapsed="false">
      <c r="D677" s="128"/>
      <c r="E677" s="129"/>
      <c r="F677" s="129"/>
      <c r="G677" s="129"/>
      <c r="H677" s="130"/>
      <c r="I677" s="131"/>
      <c r="J677" s="128"/>
      <c r="K677" s="132"/>
      <c r="L677" s="132"/>
      <c r="M677" s="133"/>
      <c r="N677" s="133"/>
      <c r="O677" s="133"/>
      <c r="P677" s="129"/>
      <c r="Z677" s="75"/>
      <c r="AA677" s="76"/>
      <c r="AB677" s="76"/>
      <c r="AC677" s="129"/>
      <c r="AD677" s="134"/>
      <c r="AE677" s="134"/>
      <c r="AF677" s="134"/>
      <c r="AG677" s="134"/>
      <c r="AH677" s="134"/>
      <c r="AI677" s="134"/>
      <c r="AJ677" s="134"/>
      <c r="AK677" s="134"/>
      <c r="AL677" s="134"/>
      <c r="AM677" s="134"/>
      <c r="AN677" s="134"/>
      <c r="AO677" s="134"/>
      <c r="AP677" s="134"/>
      <c r="AQ677" s="134"/>
      <c r="AR677" s="134"/>
      <c r="AS677" s="134"/>
      <c r="AT677" s="134"/>
      <c r="AU677" s="134"/>
      <c r="AV677" s="134"/>
      <c r="AW677" s="134"/>
      <c r="AX677" s="134"/>
      <c r="AY677" s="134"/>
      <c r="AZ677" s="134"/>
      <c r="BA677" s="134"/>
      <c r="BB677" s="134"/>
      <c r="BC677" s="134"/>
      <c r="BD677" s="134"/>
      <c r="BE677" s="134"/>
      <c r="BF677" s="134"/>
      <c r="BG677" s="134"/>
      <c r="BH677" s="134"/>
      <c r="BI677" s="134"/>
      <c r="BJ677" s="134"/>
      <c r="BK677" s="134"/>
      <c r="BL677" s="134"/>
      <c r="BM677" s="135"/>
      <c r="BN677" s="136" t="n">
        <f aca="false">+MAX($D$3,DATOS_[[#This Row],[Fecha Inicio Sit. Contract.]])</f>
        <v>0</v>
      </c>
      <c r="BO677" s="136" t="n">
        <f aca="false">+MIN($D$4,DATOS_[[#This Row],[Fecha Fin Sit. Contract.]])</f>
        <v>0</v>
      </c>
      <c r="BP677" s="137" t="n">
        <f aca="false">+DATOS_[[#This Row],[% de jornada]]*IF(DATOS_[[#This Row],[% jornada reducida]]="",1,DATOS_[[#This Row],[% jornada reducida]])</f>
        <v>0</v>
      </c>
      <c r="BQ677" s="137" t="n">
        <f aca="false">+(DATOS_[[#This Row],[F.fin.cal]]-DATOS_[[#This Row],[F.ini.cal]]+1)/($D$4-$D$3+1)</f>
        <v>1</v>
      </c>
      <c r="BR677" s="137" t="str">
        <f aca="false">IF(OR(AND(DATOS_[[#This Row],[Fecha Fin Contrato]]&lt;$D$3,DATOS_[[#This Row],[Fecha Fin Contrato]]&lt;&gt;""),DATOS_[[#This Row],[Fecha de Contratación]]&gt;$D$4),"Fuera","Dentro")</f>
        <v>Dentro</v>
      </c>
      <c r="BS677" s="137" t="str">
        <f aca="false" t="array" ref="BS677:BS677">IF(MAX(IF(DATOS_[id]=DATOS_[[#This Row],[id]],DATOS_[F.fin.cal]))=DATOS_[[#This Row],[F.fin.cal]],"Sí","NO")</f>
        <v>Sí</v>
      </c>
      <c r="BT677" s="137" t="str">
        <f aca="false">IF(AND(DATOS_[[#This Row],[% normaliz]]&lt;&gt;1,DATOS_[[#This Row],[% anualiz]]=1),"Sí","NO")</f>
        <v>Sí</v>
      </c>
      <c r="BU677" s="137" t="str">
        <f aca="false">IF(AND(DATOS_[[#This Row],[% normaliz]]=1,DATOS_[[#This Row],[% anualiz]]&lt;&gt;1),"Sí","NO")</f>
        <v>NO</v>
      </c>
      <c r="BV677" s="137" t="str">
        <f aca="false">IF(AND(DATOS_[[#This Row],[% normaliz]]&lt;&gt;1,DATOS_[[#This Row],[% anualiz]]&lt;&gt;1),"Sí","NO")</f>
        <v>NO</v>
      </c>
      <c r="BW677" s="137" t="str">
        <f aca="false">+IF(DATOS_[[#This Row],[% normaliz]]*DATOS_[[#This Row],[% anualiz]]=1,"NO","Sí")</f>
        <v>Sí</v>
      </c>
      <c r="BX677" s="138" t="e">
        <f aca="false">(DATOS_[[#This Row],[S.BASE]]*(1/DATOS_[[#This Row],[% normaliz]])*(1/DATOS_[[#This Row],[% anualiz]]))*IF(DATOS_[[#This Row],[Check Equiparado]]="Sí",1,0)</f>
        <v>#DIV/0!</v>
      </c>
      <c r="BY6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7" s="138" t="e">
        <f aca="false">+DATOS_[[#This Row],[SALARIO BASE Eq]]+DATOS_[[#This Row],[Tot COMPL.SAL Eq]]</f>
        <v>#DIV/0!</v>
      </c>
      <c r="CA677" s="138" t="e">
        <f aca="false" t="array" ref="CA677:CA6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7" s="138" t="e">
        <f aca="false">+DATOS_[[#This Row],[TOTAL SALARIO Eq]]+DATOS_[[#This Row],[Tot Extrasalarial Eq]]</f>
        <v>#DIV/0!</v>
      </c>
      <c r="CC677" s="139" t="n">
        <f aca="false">DATOS_[[#This Row],[S.BASE]]</f>
        <v>0</v>
      </c>
      <c r="CD677" s="139" t="n">
        <f aca="false">+SUM(DATOS_[[#This Row],[Conc.Sal.01]:[Conc.Sal.30]])</f>
        <v>0</v>
      </c>
      <c r="CE677" s="139" t="n">
        <f aca="false">+DATOS_[[#This Row],[SALARIO BASE Ef]]+DATOS_[[#This Row],[Tot COMPL.SAL Ef]]</f>
        <v>0</v>
      </c>
      <c r="CF677" s="139" t="n">
        <f aca="false">+SUM(DATOS_[[#This Row],[C.Extra.01]:[C.Extra.05]])</f>
        <v>0</v>
      </c>
      <c r="CG677" s="139" t="n">
        <f aca="false">+DATOS_[[#This Row],[TOTAL SALARIO Ef]]+DATOS_[[#This Row],[Tot Extrasalarial Ef]]</f>
        <v>0</v>
      </c>
      <c r="CH677" s="140" t="n">
        <f aca="false">MIN(IF(DATOS_[[#This Row],[Fecha Fin Contrato]]="",$D$4,DATOS_[[#This Row],[Fecha Fin Contrato]]),$D$4)-MAX(DATOS_[[#This Row],[Fecha de Contratación]],$D$3)+1</f>
        <v>1</v>
      </c>
      <c r="CI677" s="141" t="str">
        <f aca="false">IF(COUNTIFS(DATOS_[id],DATOS_[[#This Row],[id]])&gt;1,DATOS_[[#This Row],[id]],"")</f>
        <v/>
      </c>
      <c r="CJ677" s="141" t="n">
        <f aca="false">(Inicio!$G$10-DATOS_[[#This Row],[Fecha Nacimiento]])/365.25</f>
        <v>0</v>
      </c>
      <c r="CK677" s="141" t="n">
        <f aca="false">(Inicio!$G$10-DATOS_[[#This Row],[Fecha de Antigüedad]])/365.25</f>
        <v>0</v>
      </c>
      <c r="CL677" s="141" t="e">
        <f aca="false">+VLOOKUP(DATOS_[[#This Row],[Clave de Contrato]],TblTiposContrato13[],3,0)</f>
        <v>#N/A</v>
      </c>
      <c r="CM677" s="141" t="e">
        <f aca="false">+VLOOKUP(DATOS_[[#This Row],[Clave de Contrato]],TblTiposContrato13[],4,0)</f>
        <v>#N/A</v>
      </c>
      <c r="CN677" s="141" t="str">
        <f aca="false">VLOOKUP(DATOS_[[#This Row],[Edad]],CONTRATOS!TblRngEdad,2,1)</f>
        <v>20  o menos</v>
      </c>
      <c r="CO677" s="141" t="str">
        <f aca="false">VLOOKUP(DATOS_[[#This Row],[Antigüedad]],TblRngAntg14[],2,1)</f>
        <v>0 a 1 años</v>
      </c>
    </row>
    <row r="678" customFormat="false" ht="13.8" hidden="false" customHeight="false" outlineLevel="0" collapsed="false">
      <c r="D678" s="128"/>
      <c r="E678" s="129"/>
      <c r="F678" s="129"/>
      <c r="G678" s="129"/>
      <c r="H678" s="130"/>
      <c r="I678" s="131"/>
      <c r="J678" s="128"/>
      <c r="K678" s="132"/>
      <c r="L678" s="132"/>
      <c r="M678" s="133"/>
      <c r="N678" s="133"/>
      <c r="O678" s="133"/>
      <c r="P678" s="129"/>
      <c r="Z678" s="75"/>
      <c r="AA678" s="76"/>
      <c r="AB678" s="76"/>
      <c r="AC678" s="129"/>
      <c r="AD678" s="134"/>
      <c r="AE678" s="134"/>
      <c r="AF678" s="134"/>
      <c r="AG678" s="134"/>
      <c r="AH678" s="134"/>
      <c r="AI678" s="134"/>
      <c r="AJ678" s="134"/>
      <c r="AK678" s="134"/>
      <c r="AL678" s="134"/>
      <c r="AM678" s="134"/>
      <c r="AN678" s="134"/>
      <c r="AO678" s="134"/>
      <c r="AP678" s="134"/>
      <c r="AQ678" s="134"/>
      <c r="AR678" s="134"/>
      <c r="AS678" s="134"/>
      <c r="AT678" s="134"/>
      <c r="AU678" s="134"/>
      <c r="AV678" s="134"/>
      <c r="AW678" s="134"/>
      <c r="AX678" s="134"/>
      <c r="AY678" s="134"/>
      <c r="AZ678" s="134"/>
      <c r="BA678" s="134"/>
      <c r="BB678" s="134"/>
      <c r="BC678" s="134"/>
      <c r="BD678" s="134"/>
      <c r="BE678" s="134"/>
      <c r="BF678" s="134"/>
      <c r="BG678" s="134"/>
      <c r="BH678" s="134"/>
      <c r="BI678" s="134"/>
      <c r="BJ678" s="134"/>
      <c r="BK678" s="134"/>
      <c r="BL678" s="134"/>
      <c r="BM678" s="135"/>
      <c r="BN678" s="136" t="n">
        <f aca="false">+MAX($D$3,DATOS_[[#This Row],[Fecha Inicio Sit. Contract.]])</f>
        <v>0</v>
      </c>
      <c r="BO678" s="136" t="n">
        <f aca="false">+MIN($D$4,DATOS_[[#This Row],[Fecha Fin Sit. Contract.]])</f>
        <v>0</v>
      </c>
      <c r="BP678" s="137" t="n">
        <f aca="false">+DATOS_[[#This Row],[% de jornada]]*IF(DATOS_[[#This Row],[% jornada reducida]]="",1,DATOS_[[#This Row],[% jornada reducida]])</f>
        <v>0</v>
      </c>
      <c r="BQ678" s="137" t="n">
        <f aca="false">+(DATOS_[[#This Row],[F.fin.cal]]-DATOS_[[#This Row],[F.ini.cal]]+1)/($D$4-$D$3+1)</f>
        <v>1</v>
      </c>
      <c r="BR678" s="137" t="str">
        <f aca="false">IF(OR(AND(DATOS_[[#This Row],[Fecha Fin Contrato]]&lt;$D$3,DATOS_[[#This Row],[Fecha Fin Contrato]]&lt;&gt;""),DATOS_[[#This Row],[Fecha de Contratación]]&gt;$D$4),"Fuera","Dentro")</f>
        <v>Dentro</v>
      </c>
      <c r="BS678" s="137" t="str">
        <f aca="false" t="array" ref="BS678:BS678">IF(MAX(IF(DATOS_[id]=DATOS_[[#This Row],[id]],DATOS_[F.fin.cal]))=DATOS_[[#This Row],[F.fin.cal]],"Sí","NO")</f>
        <v>Sí</v>
      </c>
      <c r="BT678" s="137" t="str">
        <f aca="false">IF(AND(DATOS_[[#This Row],[% normaliz]]&lt;&gt;1,DATOS_[[#This Row],[% anualiz]]=1),"Sí","NO")</f>
        <v>Sí</v>
      </c>
      <c r="BU678" s="137" t="str">
        <f aca="false">IF(AND(DATOS_[[#This Row],[% normaliz]]=1,DATOS_[[#This Row],[% anualiz]]&lt;&gt;1),"Sí","NO")</f>
        <v>NO</v>
      </c>
      <c r="BV678" s="137" t="str">
        <f aca="false">IF(AND(DATOS_[[#This Row],[% normaliz]]&lt;&gt;1,DATOS_[[#This Row],[% anualiz]]&lt;&gt;1),"Sí","NO")</f>
        <v>NO</v>
      </c>
      <c r="BW678" s="137" t="str">
        <f aca="false">+IF(DATOS_[[#This Row],[% normaliz]]*DATOS_[[#This Row],[% anualiz]]=1,"NO","Sí")</f>
        <v>Sí</v>
      </c>
      <c r="BX678" s="138" t="e">
        <f aca="false">(DATOS_[[#This Row],[S.BASE]]*(1/DATOS_[[#This Row],[% normaliz]])*(1/DATOS_[[#This Row],[% anualiz]]))*IF(DATOS_[[#This Row],[Check Equiparado]]="Sí",1,0)</f>
        <v>#DIV/0!</v>
      </c>
      <c r="BY6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8" s="138" t="e">
        <f aca="false">+DATOS_[[#This Row],[SALARIO BASE Eq]]+DATOS_[[#This Row],[Tot COMPL.SAL Eq]]</f>
        <v>#DIV/0!</v>
      </c>
      <c r="CA678" s="138" t="e">
        <f aca="false" t="array" ref="CA678:CA6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8" s="138" t="e">
        <f aca="false">+DATOS_[[#This Row],[TOTAL SALARIO Eq]]+DATOS_[[#This Row],[Tot Extrasalarial Eq]]</f>
        <v>#DIV/0!</v>
      </c>
      <c r="CC678" s="139" t="n">
        <f aca="false">DATOS_[[#This Row],[S.BASE]]</f>
        <v>0</v>
      </c>
      <c r="CD678" s="139" t="n">
        <f aca="false">+SUM(DATOS_[[#This Row],[Conc.Sal.01]:[Conc.Sal.30]])</f>
        <v>0</v>
      </c>
      <c r="CE678" s="139" t="n">
        <f aca="false">+DATOS_[[#This Row],[SALARIO BASE Ef]]+DATOS_[[#This Row],[Tot COMPL.SAL Ef]]</f>
        <v>0</v>
      </c>
      <c r="CF678" s="139" t="n">
        <f aca="false">+SUM(DATOS_[[#This Row],[C.Extra.01]:[C.Extra.05]])</f>
        <v>0</v>
      </c>
      <c r="CG678" s="139" t="n">
        <f aca="false">+DATOS_[[#This Row],[TOTAL SALARIO Ef]]+DATOS_[[#This Row],[Tot Extrasalarial Ef]]</f>
        <v>0</v>
      </c>
      <c r="CH678" s="140" t="n">
        <f aca="false">MIN(IF(DATOS_[[#This Row],[Fecha Fin Contrato]]="",$D$4,DATOS_[[#This Row],[Fecha Fin Contrato]]),$D$4)-MAX(DATOS_[[#This Row],[Fecha de Contratación]],$D$3)+1</f>
        <v>1</v>
      </c>
      <c r="CI678" s="141" t="str">
        <f aca="false">IF(COUNTIFS(DATOS_[id],DATOS_[[#This Row],[id]])&gt;1,DATOS_[[#This Row],[id]],"")</f>
        <v/>
      </c>
      <c r="CJ678" s="141" t="n">
        <f aca="false">(Inicio!$G$10-DATOS_[[#This Row],[Fecha Nacimiento]])/365.25</f>
        <v>0</v>
      </c>
      <c r="CK678" s="141" t="n">
        <f aca="false">(Inicio!$G$10-DATOS_[[#This Row],[Fecha de Antigüedad]])/365.25</f>
        <v>0</v>
      </c>
      <c r="CL678" s="141" t="e">
        <f aca="false">+VLOOKUP(DATOS_[[#This Row],[Clave de Contrato]],TblTiposContrato13[],3,0)</f>
        <v>#N/A</v>
      </c>
      <c r="CM678" s="141" t="e">
        <f aca="false">+VLOOKUP(DATOS_[[#This Row],[Clave de Contrato]],TblTiposContrato13[],4,0)</f>
        <v>#N/A</v>
      </c>
      <c r="CN678" s="141" t="str">
        <f aca="false">VLOOKUP(DATOS_[[#This Row],[Edad]],CONTRATOS!TblRngEdad,2,1)</f>
        <v>20  o menos</v>
      </c>
      <c r="CO678" s="141" t="str">
        <f aca="false">VLOOKUP(DATOS_[[#This Row],[Antigüedad]],TblRngAntg14[],2,1)</f>
        <v>0 a 1 años</v>
      </c>
    </row>
    <row r="679" customFormat="false" ht="13.8" hidden="false" customHeight="false" outlineLevel="0" collapsed="false">
      <c r="D679" s="128"/>
      <c r="E679" s="129"/>
      <c r="F679" s="129"/>
      <c r="G679" s="129"/>
      <c r="H679" s="130"/>
      <c r="I679" s="131"/>
      <c r="J679" s="128"/>
      <c r="K679" s="132"/>
      <c r="L679" s="132"/>
      <c r="M679" s="133"/>
      <c r="N679" s="133"/>
      <c r="O679" s="133"/>
      <c r="P679" s="129"/>
      <c r="Z679" s="75"/>
      <c r="AA679" s="76"/>
      <c r="AB679" s="76"/>
      <c r="AC679" s="129"/>
      <c r="AD679" s="134"/>
      <c r="AE679" s="134"/>
      <c r="AF679" s="134"/>
      <c r="AG679" s="134"/>
      <c r="AH679" s="134"/>
      <c r="AI679" s="134"/>
      <c r="AJ679" s="134"/>
      <c r="AK679" s="134"/>
      <c r="AL679" s="134"/>
      <c r="AM679" s="134"/>
      <c r="AN679" s="134"/>
      <c r="AO679" s="134"/>
      <c r="AP679" s="134"/>
      <c r="AQ679" s="134"/>
      <c r="AR679" s="134"/>
      <c r="AS679" s="134"/>
      <c r="AT679" s="134"/>
      <c r="AU679" s="134"/>
      <c r="AV679" s="134"/>
      <c r="AW679" s="134"/>
      <c r="AX679" s="134"/>
      <c r="AY679" s="134"/>
      <c r="AZ679" s="134"/>
      <c r="BA679" s="134"/>
      <c r="BB679" s="134"/>
      <c r="BC679" s="134"/>
      <c r="BD679" s="134"/>
      <c r="BE679" s="134"/>
      <c r="BF679" s="134"/>
      <c r="BG679" s="134"/>
      <c r="BH679" s="134"/>
      <c r="BI679" s="134"/>
      <c r="BJ679" s="134"/>
      <c r="BK679" s="134"/>
      <c r="BL679" s="134"/>
      <c r="BM679" s="135"/>
      <c r="BN679" s="136" t="n">
        <f aca="false">+MAX($D$3,DATOS_[[#This Row],[Fecha Inicio Sit. Contract.]])</f>
        <v>0</v>
      </c>
      <c r="BO679" s="136" t="n">
        <f aca="false">+MIN($D$4,DATOS_[[#This Row],[Fecha Fin Sit. Contract.]])</f>
        <v>0</v>
      </c>
      <c r="BP679" s="137" t="n">
        <f aca="false">+DATOS_[[#This Row],[% de jornada]]*IF(DATOS_[[#This Row],[% jornada reducida]]="",1,DATOS_[[#This Row],[% jornada reducida]])</f>
        <v>0</v>
      </c>
      <c r="BQ679" s="137" t="n">
        <f aca="false">+(DATOS_[[#This Row],[F.fin.cal]]-DATOS_[[#This Row],[F.ini.cal]]+1)/($D$4-$D$3+1)</f>
        <v>1</v>
      </c>
      <c r="BR679" s="137" t="str">
        <f aca="false">IF(OR(AND(DATOS_[[#This Row],[Fecha Fin Contrato]]&lt;$D$3,DATOS_[[#This Row],[Fecha Fin Contrato]]&lt;&gt;""),DATOS_[[#This Row],[Fecha de Contratación]]&gt;$D$4),"Fuera","Dentro")</f>
        <v>Dentro</v>
      </c>
      <c r="BS679" s="137" t="str">
        <f aca="false" t="array" ref="BS679:BS679">IF(MAX(IF(DATOS_[id]=DATOS_[[#This Row],[id]],DATOS_[F.fin.cal]))=DATOS_[[#This Row],[F.fin.cal]],"Sí","NO")</f>
        <v>Sí</v>
      </c>
      <c r="BT679" s="137" t="str">
        <f aca="false">IF(AND(DATOS_[[#This Row],[% normaliz]]&lt;&gt;1,DATOS_[[#This Row],[% anualiz]]=1),"Sí","NO")</f>
        <v>Sí</v>
      </c>
      <c r="BU679" s="137" t="str">
        <f aca="false">IF(AND(DATOS_[[#This Row],[% normaliz]]=1,DATOS_[[#This Row],[% anualiz]]&lt;&gt;1),"Sí","NO")</f>
        <v>NO</v>
      </c>
      <c r="BV679" s="137" t="str">
        <f aca="false">IF(AND(DATOS_[[#This Row],[% normaliz]]&lt;&gt;1,DATOS_[[#This Row],[% anualiz]]&lt;&gt;1),"Sí","NO")</f>
        <v>NO</v>
      </c>
      <c r="BW679" s="137" t="str">
        <f aca="false">+IF(DATOS_[[#This Row],[% normaliz]]*DATOS_[[#This Row],[% anualiz]]=1,"NO","Sí")</f>
        <v>Sí</v>
      </c>
      <c r="BX679" s="138" t="e">
        <f aca="false">(DATOS_[[#This Row],[S.BASE]]*(1/DATOS_[[#This Row],[% normaliz]])*(1/DATOS_[[#This Row],[% anualiz]]))*IF(DATOS_[[#This Row],[Check Equiparado]]="Sí",1,0)</f>
        <v>#DIV/0!</v>
      </c>
      <c r="BY6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9" s="138" t="e">
        <f aca="false">+DATOS_[[#This Row],[SALARIO BASE Eq]]+DATOS_[[#This Row],[Tot COMPL.SAL Eq]]</f>
        <v>#DIV/0!</v>
      </c>
      <c r="CA679" s="138" t="e">
        <f aca="false" t="array" ref="CA679:CA6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9" s="138" t="e">
        <f aca="false">+DATOS_[[#This Row],[TOTAL SALARIO Eq]]+DATOS_[[#This Row],[Tot Extrasalarial Eq]]</f>
        <v>#DIV/0!</v>
      </c>
      <c r="CC679" s="139" t="n">
        <f aca="false">DATOS_[[#This Row],[S.BASE]]</f>
        <v>0</v>
      </c>
      <c r="CD679" s="139" t="n">
        <f aca="false">+SUM(DATOS_[[#This Row],[Conc.Sal.01]:[Conc.Sal.30]])</f>
        <v>0</v>
      </c>
      <c r="CE679" s="139" t="n">
        <f aca="false">+DATOS_[[#This Row],[SALARIO BASE Ef]]+DATOS_[[#This Row],[Tot COMPL.SAL Ef]]</f>
        <v>0</v>
      </c>
      <c r="CF679" s="139" t="n">
        <f aca="false">+SUM(DATOS_[[#This Row],[C.Extra.01]:[C.Extra.05]])</f>
        <v>0</v>
      </c>
      <c r="CG679" s="139" t="n">
        <f aca="false">+DATOS_[[#This Row],[TOTAL SALARIO Ef]]+DATOS_[[#This Row],[Tot Extrasalarial Ef]]</f>
        <v>0</v>
      </c>
      <c r="CH679" s="140" t="n">
        <f aca="false">MIN(IF(DATOS_[[#This Row],[Fecha Fin Contrato]]="",$D$4,DATOS_[[#This Row],[Fecha Fin Contrato]]),$D$4)-MAX(DATOS_[[#This Row],[Fecha de Contratación]],$D$3)+1</f>
        <v>1</v>
      </c>
      <c r="CI679" s="141" t="str">
        <f aca="false">IF(COUNTIFS(DATOS_[id],DATOS_[[#This Row],[id]])&gt;1,DATOS_[[#This Row],[id]],"")</f>
        <v/>
      </c>
      <c r="CJ679" s="141" t="n">
        <f aca="false">(Inicio!$G$10-DATOS_[[#This Row],[Fecha Nacimiento]])/365.25</f>
        <v>0</v>
      </c>
      <c r="CK679" s="141" t="n">
        <f aca="false">(Inicio!$G$10-DATOS_[[#This Row],[Fecha de Antigüedad]])/365.25</f>
        <v>0</v>
      </c>
      <c r="CL679" s="141" t="e">
        <f aca="false">+VLOOKUP(DATOS_[[#This Row],[Clave de Contrato]],TblTiposContrato13[],3,0)</f>
        <v>#N/A</v>
      </c>
      <c r="CM679" s="141" t="e">
        <f aca="false">+VLOOKUP(DATOS_[[#This Row],[Clave de Contrato]],TblTiposContrato13[],4,0)</f>
        <v>#N/A</v>
      </c>
      <c r="CN679" s="141" t="str">
        <f aca="false">VLOOKUP(DATOS_[[#This Row],[Edad]],CONTRATOS!TblRngEdad,2,1)</f>
        <v>20  o menos</v>
      </c>
      <c r="CO679" s="141" t="str">
        <f aca="false">VLOOKUP(DATOS_[[#This Row],[Antigüedad]],TblRngAntg14[],2,1)</f>
        <v>0 a 1 años</v>
      </c>
    </row>
    <row r="680" customFormat="false" ht="13.8" hidden="false" customHeight="false" outlineLevel="0" collapsed="false">
      <c r="D680" s="128"/>
      <c r="E680" s="129"/>
      <c r="F680" s="129"/>
      <c r="G680" s="129"/>
      <c r="H680" s="130"/>
      <c r="I680" s="131"/>
      <c r="J680" s="128"/>
      <c r="K680" s="132"/>
      <c r="L680" s="132"/>
      <c r="M680" s="133"/>
      <c r="N680" s="133"/>
      <c r="O680" s="133"/>
      <c r="P680" s="129"/>
      <c r="Z680" s="75"/>
      <c r="AA680" s="76"/>
      <c r="AB680" s="76"/>
      <c r="AC680" s="129"/>
      <c r="AD680" s="134"/>
      <c r="AE680" s="134"/>
      <c r="AF680" s="134"/>
      <c r="AG680" s="134"/>
      <c r="AH680" s="134"/>
      <c r="AI680" s="134"/>
      <c r="AJ680" s="134"/>
      <c r="AK680" s="134"/>
      <c r="AL680" s="134"/>
      <c r="AM680" s="134"/>
      <c r="AN680" s="134"/>
      <c r="AO680" s="134"/>
      <c r="AP680" s="134"/>
      <c r="AQ680" s="134"/>
      <c r="AR680" s="134"/>
      <c r="AS680" s="134"/>
      <c r="AT680" s="134"/>
      <c r="AU680" s="134"/>
      <c r="AV680" s="134"/>
      <c r="AW680" s="134"/>
      <c r="AX680" s="134"/>
      <c r="AY680" s="134"/>
      <c r="AZ680" s="134"/>
      <c r="BA680" s="134"/>
      <c r="BB680" s="134"/>
      <c r="BC680" s="134"/>
      <c r="BD680" s="134"/>
      <c r="BE680" s="134"/>
      <c r="BF680" s="134"/>
      <c r="BG680" s="134"/>
      <c r="BH680" s="134"/>
      <c r="BI680" s="134"/>
      <c r="BJ680" s="134"/>
      <c r="BK680" s="134"/>
      <c r="BL680" s="134"/>
      <c r="BM680" s="135"/>
      <c r="BN680" s="136" t="n">
        <f aca="false">+MAX($D$3,DATOS_[[#This Row],[Fecha Inicio Sit. Contract.]])</f>
        <v>0</v>
      </c>
      <c r="BO680" s="136" t="n">
        <f aca="false">+MIN($D$4,DATOS_[[#This Row],[Fecha Fin Sit. Contract.]])</f>
        <v>0</v>
      </c>
      <c r="BP680" s="137" t="n">
        <f aca="false">+DATOS_[[#This Row],[% de jornada]]*IF(DATOS_[[#This Row],[% jornada reducida]]="",1,DATOS_[[#This Row],[% jornada reducida]])</f>
        <v>0</v>
      </c>
      <c r="BQ680" s="137" t="n">
        <f aca="false">+(DATOS_[[#This Row],[F.fin.cal]]-DATOS_[[#This Row],[F.ini.cal]]+1)/($D$4-$D$3+1)</f>
        <v>1</v>
      </c>
      <c r="BR680" s="137" t="str">
        <f aca="false">IF(OR(AND(DATOS_[[#This Row],[Fecha Fin Contrato]]&lt;$D$3,DATOS_[[#This Row],[Fecha Fin Contrato]]&lt;&gt;""),DATOS_[[#This Row],[Fecha de Contratación]]&gt;$D$4),"Fuera","Dentro")</f>
        <v>Dentro</v>
      </c>
      <c r="BS680" s="137" t="str">
        <f aca="false" t="array" ref="BS680:BS680">IF(MAX(IF(DATOS_[id]=DATOS_[[#This Row],[id]],DATOS_[F.fin.cal]))=DATOS_[[#This Row],[F.fin.cal]],"Sí","NO")</f>
        <v>Sí</v>
      </c>
      <c r="BT680" s="137" t="str">
        <f aca="false">IF(AND(DATOS_[[#This Row],[% normaliz]]&lt;&gt;1,DATOS_[[#This Row],[% anualiz]]=1),"Sí","NO")</f>
        <v>Sí</v>
      </c>
      <c r="BU680" s="137" t="str">
        <f aca="false">IF(AND(DATOS_[[#This Row],[% normaliz]]=1,DATOS_[[#This Row],[% anualiz]]&lt;&gt;1),"Sí","NO")</f>
        <v>NO</v>
      </c>
      <c r="BV680" s="137" t="str">
        <f aca="false">IF(AND(DATOS_[[#This Row],[% normaliz]]&lt;&gt;1,DATOS_[[#This Row],[% anualiz]]&lt;&gt;1),"Sí","NO")</f>
        <v>NO</v>
      </c>
      <c r="BW680" s="137" t="str">
        <f aca="false">+IF(DATOS_[[#This Row],[% normaliz]]*DATOS_[[#This Row],[% anualiz]]=1,"NO","Sí")</f>
        <v>Sí</v>
      </c>
      <c r="BX680" s="138" t="e">
        <f aca="false">(DATOS_[[#This Row],[S.BASE]]*(1/DATOS_[[#This Row],[% normaliz]])*(1/DATOS_[[#This Row],[% anualiz]]))*IF(DATOS_[[#This Row],[Check Equiparado]]="Sí",1,0)</f>
        <v>#DIV/0!</v>
      </c>
      <c r="BY6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0" s="138" t="e">
        <f aca="false">+DATOS_[[#This Row],[SALARIO BASE Eq]]+DATOS_[[#This Row],[Tot COMPL.SAL Eq]]</f>
        <v>#DIV/0!</v>
      </c>
      <c r="CA680" s="138" t="e">
        <f aca="false" t="array" ref="CA680:CA6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0" s="138" t="e">
        <f aca="false">+DATOS_[[#This Row],[TOTAL SALARIO Eq]]+DATOS_[[#This Row],[Tot Extrasalarial Eq]]</f>
        <v>#DIV/0!</v>
      </c>
      <c r="CC680" s="139" t="n">
        <f aca="false">DATOS_[[#This Row],[S.BASE]]</f>
        <v>0</v>
      </c>
      <c r="CD680" s="139" t="n">
        <f aca="false">+SUM(DATOS_[[#This Row],[Conc.Sal.01]:[Conc.Sal.30]])</f>
        <v>0</v>
      </c>
      <c r="CE680" s="139" t="n">
        <f aca="false">+DATOS_[[#This Row],[SALARIO BASE Ef]]+DATOS_[[#This Row],[Tot COMPL.SAL Ef]]</f>
        <v>0</v>
      </c>
      <c r="CF680" s="139" t="n">
        <f aca="false">+SUM(DATOS_[[#This Row],[C.Extra.01]:[C.Extra.05]])</f>
        <v>0</v>
      </c>
      <c r="CG680" s="139" t="n">
        <f aca="false">+DATOS_[[#This Row],[TOTAL SALARIO Ef]]+DATOS_[[#This Row],[Tot Extrasalarial Ef]]</f>
        <v>0</v>
      </c>
      <c r="CH680" s="140" t="n">
        <f aca="false">MIN(IF(DATOS_[[#This Row],[Fecha Fin Contrato]]="",$D$4,DATOS_[[#This Row],[Fecha Fin Contrato]]),$D$4)-MAX(DATOS_[[#This Row],[Fecha de Contratación]],$D$3)+1</f>
        <v>1</v>
      </c>
      <c r="CI680" s="141" t="str">
        <f aca="false">IF(COUNTIFS(DATOS_[id],DATOS_[[#This Row],[id]])&gt;1,DATOS_[[#This Row],[id]],"")</f>
        <v/>
      </c>
      <c r="CJ680" s="141" t="n">
        <f aca="false">(Inicio!$G$10-DATOS_[[#This Row],[Fecha Nacimiento]])/365.25</f>
        <v>0</v>
      </c>
      <c r="CK680" s="141" t="n">
        <f aca="false">(Inicio!$G$10-DATOS_[[#This Row],[Fecha de Antigüedad]])/365.25</f>
        <v>0</v>
      </c>
      <c r="CL680" s="141" t="e">
        <f aca="false">+VLOOKUP(DATOS_[[#This Row],[Clave de Contrato]],TblTiposContrato13[],3,0)</f>
        <v>#N/A</v>
      </c>
      <c r="CM680" s="141" t="e">
        <f aca="false">+VLOOKUP(DATOS_[[#This Row],[Clave de Contrato]],TblTiposContrato13[],4,0)</f>
        <v>#N/A</v>
      </c>
      <c r="CN680" s="141" t="str">
        <f aca="false">VLOOKUP(DATOS_[[#This Row],[Edad]],CONTRATOS!TblRngEdad,2,1)</f>
        <v>20  o menos</v>
      </c>
      <c r="CO680" s="141" t="str">
        <f aca="false">VLOOKUP(DATOS_[[#This Row],[Antigüedad]],TblRngAntg14[],2,1)</f>
        <v>0 a 1 años</v>
      </c>
    </row>
    <row r="681" customFormat="false" ht="13.8" hidden="false" customHeight="false" outlineLevel="0" collapsed="false">
      <c r="D681" s="128"/>
      <c r="E681" s="129"/>
      <c r="F681" s="129"/>
      <c r="G681" s="129"/>
      <c r="H681" s="130"/>
      <c r="I681" s="131"/>
      <c r="J681" s="128"/>
      <c r="K681" s="132"/>
      <c r="L681" s="132"/>
      <c r="M681" s="133"/>
      <c r="N681" s="133"/>
      <c r="O681" s="133"/>
      <c r="P681" s="129"/>
      <c r="Z681" s="75"/>
      <c r="AA681" s="76"/>
      <c r="AB681" s="76"/>
      <c r="AC681" s="129"/>
      <c r="AD681" s="134"/>
      <c r="AE681" s="134"/>
      <c r="AF681" s="134"/>
      <c r="AG681" s="134"/>
      <c r="AH681" s="134"/>
      <c r="AI681" s="134"/>
      <c r="AJ681" s="134"/>
      <c r="AK681" s="134"/>
      <c r="AL681" s="134"/>
      <c r="AM681" s="134"/>
      <c r="AN681" s="134"/>
      <c r="AO681" s="134"/>
      <c r="AP681" s="134"/>
      <c r="AQ681" s="134"/>
      <c r="AR681" s="134"/>
      <c r="AS681" s="134"/>
      <c r="AT681" s="134"/>
      <c r="AU681" s="134"/>
      <c r="AV681" s="134"/>
      <c r="AW681" s="134"/>
      <c r="AX681" s="134"/>
      <c r="AY681" s="134"/>
      <c r="AZ681" s="134"/>
      <c r="BA681" s="134"/>
      <c r="BB681" s="134"/>
      <c r="BC681" s="134"/>
      <c r="BD681" s="134"/>
      <c r="BE681" s="134"/>
      <c r="BF681" s="134"/>
      <c r="BG681" s="134"/>
      <c r="BH681" s="134"/>
      <c r="BI681" s="134"/>
      <c r="BJ681" s="134"/>
      <c r="BK681" s="134"/>
      <c r="BL681" s="134"/>
      <c r="BM681" s="135"/>
      <c r="BN681" s="136" t="n">
        <f aca="false">+MAX($D$3,DATOS_[[#This Row],[Fecha Inicio Sit. Contract.]])</f>
        <v>0</v>
      </c>
      <c r="BO681" s="136" t="n">
        <f aca="false">+MIN($D$4,DATOS_[[#This Row],[Fecha Fin Sit. Contract.]])</f>
        <v>0</v>
      </c>
      <c r="BP681" s="137" t="n">
        <f aca="false">+DATOS_[[#This Row],[% de jornada]]*IF(DATOS_[[#This Row],[% jornada reducida]]="",1,DATOS_[[#This Row],[% jornada reducida]])</f>
        <v>0</v>
      </c>
      <c r="BQ681" s="137" t="n">
        <f aca="false">+(DATOS_[[#This Row],[F.fin.cal]]-DATOS_[[#This Row],[F.ini.cal]]+1)/($D$4-$D$3+1)</f>
        <v>1</v>
      </c>
      <c r="BR681" s="137" t="str">
        <f aca="false">IF(OR(AND(DATOS_[[#This Row],[Fecha Fin Contrato]]&lt;$D$3,DATOS_[[#This Row],[Fecha Fin Contrato]]&lt;&gt;""),DATOS_[[#This Row],[Fecha de Contratación]]&gt;$D$4),"Fuera","Dentro")</f>
        <v>Dentro</v>
      </c>
      <c r="BS681" s="137" t="str">
        <f aca="false" t="array" ref="BS681:BS681">IF(MAX(IF(DATOS_[id]=DATOS_[[#This Row],[id]],DATOS_[F.fin.cal]))=DATOS_[[#This Row],[F.fin.cal]],"Sí","NO")</f>
        <v>Sí</v>
      </c>
      <c r="BT681" s="137" t="str">
        <f aca="false">IF(AND(DATOS_[[#This Row],[% normaliz]]&lt;&gt;1,DATOS_[[#This Row],[% anualiz]]=1),"Sí","NO")</f>
        <v>Sí</v>
      </c>
      <c r="BU681" s="137" t="str">
        <f aca="false">IF(AND(DATOS_[[#This Row],[% normaliz]]=1,DATOS_[[#This Row],[% anualiz]]&lt;&gt;1),"Sí","NO")</f>
        <v>NO</v>
      </c>
      <c r="BV681" s="137" t="str">
        <f aca="false">IF(AND(DATOS_[[#This Row],[% normaliz]]&lt;&gt;1,DATOS_[[#This Row],[% anualiz]]&lt;&gt;1),"Sí","NO")</f>
        <v>NO</v>
      </c>
      <c r="BW681" s="137" t="str">
        <f aca="false">+IF(DATOS_[[#This Row],[% normaliz]]*DATOS_[[#This Row],[% anualiz]]=1,"NO","Sí")</f>
        <v>Sí</v>
      </c>
      <c r="BX681" s="138" t="e">
        <f aca="false">(DATOS_[[#This Row],[S.BASE]]*(1/DATOS_[[#This Row],[% normaliz]])*(1/DATOS_[[#This Row],[% anualiz]]))*IF(DATOS_[[#This Row],[Check Equiparado]]="Sí",1,0)</f>
        <v>#DIV/0!</v>
      </c>
      <c r="BY6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1" s="138" t="e">
        <f aca="false">+DATOS_[[#This Row],[SALARIO BASE Eq]]+DATOS_[[#This Row],[Tot COMPL.SAL Eq]]</f>
        <v>#DIV/0!</v>
      </c>
      <c r="CA681" s="138" t="e">
        <f aca="false" t="array" ref="CA681:CA6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1" s="138" t="e">
        <f aca="false">+DATOS_[[#This Row],[TOTAL SALARIO Eq]]+DATOS_[[#This Row],[Tot Extrasalarial Eq]]</f>
        <v>#DIV/0!</v>
      </c>
      <c r="CC681" s="139" t="n">
        <f aca="false">DATOS_[[#This Row],[S.BASE]]</f>
        <v>0</v>
      </c>
      <c r="CD681" s="139" t="n">
        <f aca="false">+SUM(DATOS_[[#This Row],[Conc.Sal.01]:[Conc.Sal.30]])</f>
        <v>0</v>
      </c>
      <c r="CE681" s="139" t="n">
        <f aca="false">+DATOS_[[#This Row],[SALARIO BASE Ef]]+DATOS_[[#This Row],[Tot COMPL.SAL Ef]]</f>
        <v>0</v>
      </c>
      <c r="CF681" s="139" t="n">
        <f aca="false">+SUM(DATOS_[[#This Row],[C.Extra.01]:[C.Extra.05]])</f>
        <v>0</v>
      </c>
      <c r="CG681" s="139" t="n">
        <f aca="false">+DATOS_[[#This Row],[TOTAL SALARIO Ef]]+DATOS_[[#This Row],[Tot Extrasalarial Ef]]</f>
        <v>0</v>
      </c>
      <c r="CH681" s="140" t="n">
        <f aca="false">MIN(IF(DATOS_[[#This Row],[Fecha Fin Contrato]]="",$D$4,DATOS_[[#This Row],[Fecha Fin Contrato]]),$D$4)-MAX(DATOS_[[#This Row],[Fecha de Contratación]],$D$3)+1</f>
        <v>1</v>
      </c>
      <c r="CI681" s="141" t="str">
        <f aca="false">IF(COUNTIFS(DATOS_[id],DATOS_[[#This Row],[id]])&gt;1,DATOS_[[#This Row],[id]],"")</f>
        <v/>
      </c>
      <c r="CJ681" s="141" t="n">
        <f aca="false">(Inicio!$G$10-DATOS_[[#This Row],[Fecha Nacimiento]])/365.25</f>
        <v>0</v>
      </c>
      <c r="CK681" s="141" t="n">
        <f aca="false">(Inicio!$G$10-DATOS_[[#This Row],[Fecha de Antigüedad]])/365.25</f>
        <v>0</v>
      </c>
      <c r="CL681" s="141" t="e">
        <f aca="false">+VLOOKUP(DATOS_[[#This Row],[Clave de Contrato]],TblTiposContrato13[],3,0)</f>
        <v>#N/A</v>
      </c>
      <c r="CM681" s="141" t="e">
        <f aca="false">+VLOOKUP(DATOS_[[#This Row],[Clave de Contrato]],TblTiposContrato13[],4,0)</f>
        <v>#N/A</v>
      </c>
      <c r="CN681" s="141" t="str">
        <f aca="false">VLOOKUP(DATOS_[[#This Row],[Edad]],CONTRATOS!TblRngEdad,2,1)</f>
        <v>20  o menos</v>
      </c>
      <c r="CO681" s="141" t="str">
        <f aca="false">VLOOKUP(DATOS_[[#This Row],[Antigüedad]],TblRngAntg14[],2,1)</f>
        <v>0 a 1 años</v>
      </c>
    </row>
    <row r="682" customFormat="false" ht="13.8" hidden="false" customHeight="false" outlineLevel="0" collapsed="false">
      <c r="D682" s="128"/>
      <c r="E682" s="129"/>
      <c r="F682" s="129"/>
      <c r="G682" s="129"/>
      <c r="H682" s="130"/>
      <c r="I682" s="131"/>
      <c r="J682" s="128"/>
      <c r="K682" s="132"/>
      <c r="L682" s="132"/>
      <c r="M682" s="133"/>
      <c r="N682" s="133"/>
      <c r="O682" s="133"/>
      <c r="P682" s="129"/>
      <c r="Z682" s="75"/>
      <c r="AA682" s="76"/>
      <c r="AB682" s="76"/>
      <c r="AC682" s="129"/>
      <c r="AD682" s="134"/>
      <c r="AE682" s="134"/>
      <c r="AF682" s="134"/>
      <c r="AG682" s="134"/>
      <c r="AH682" s="134"/>
      <c r="AI682" s="134"/>
      <c r="AJ682" s="134"/>
      <c r="AK682" s="134"/>
      <c r="AL682" s="134"/>
      <c r="AM682" s="134"/>
      <c r="AN682" s="134"/>
      <c r="AO682" s="134"/>
      <c r="AP682" s="134"/>
      <c r="AQ682" s="134"/>
      <c r="AR682" s="134"/>
      <c r="AS682" s="134"/>
      <c r="AT682" s="134"/>
      <c r="AU682" s="134"/>
      <c r="AV682" s="134"/>
      <c r="AW682" s="134"/>
      <c r="AX682" s="134"/>
      <c r="AY682" s="134"/>
      <c r="AZ682" s="134"/>
      <c r="BA682" s="134"/>
      <c r="BB682" s="134"/>
      <c r="BC682" s="134"/>
      <c r="BD682" s="134"/>
      <c r="BE682" s="134"/>
      <c r="BF682" s="134"/>
      <c r="BG682" s="134"/>
      <c r="BH682" s="134"/>
      <c r="BI682" s="134"/>
      <c r="BJ682" s="134"/>
      <c r="BK682" s="134"/>
      <c r="BL682" s="134"/>
      <c r="BM682" s="135"/>
      <c r="BN682" s="136" t="n">
        <f aca="false">+MAX($D$3,DATOS_[[#This Row],[Fecha Inicio Sit. Contract.]])</f>
        <v>0</v>
      </c>
      <c r="BO682" s="136" t="n">
        <f aca="false">+MIN($D$4,DATOS_[[#This Row],[Fecha Fin Sit. Contract.]])</f>
        <v>0</v>
      </c>
      <c r="BP682" s="137" t="n">
        <f aca="false">+DATOS_[[#This Row],[% de jornada]]*IF(DATOS_[[#This Row],[% jornada reducida]]="",1,DATOS_[[#This Row],[% jornada reducida]])</f>
        <v>0</v>
      </c>
      <c r="BQ682" s="137" t="n">
        <f aca="false">+(DATOS_[[#This Row],[F.fin.cal]]-DATOS_[[#This Row],[F.ini.cal]]+1)/($D$4-$D$3+1)</f>
        <v>1</v>
      </c>
      <c r="BR682" s="137" t="str">
        <f aca="false">IF(OR(AND(DATOS_[[#This Row],[Fecha Fin Contrato]]&lt;$D$3,DATOS_[[#This Row],[Fecha Fin Contrato]]&lt;&gt;""),DATOS_[[#This Row],[Fecha de Contratación]]&gt;$D$4),"Fuera","Dentro")</f>
        <v>Dentro</v>
      </c>
      <c r="BS682" s="137" t="str">
        <f aca="false" t="array" ref="BS682:BS682">IF(MAX(IF(DATOS_[id]=DATOS_[[#This Row],[id]],DATOS_[F.fin.cal]))=DATOS_[[#This Row],[F.fin.cal]],"Sí","NO")</f>
        <v>Sí</v>
      </c>
      <c r="BT682" s="137" t="str">
        <f aca="false">IF(AND(DATOS_[[#This Row],[% normaliz]]&lt;&gt;1,DATOS_[[#This Row],[% anualiz]]=1),"Sí","NO")</f>
        <v>Sí</v>
      </c>
      <c r="BU682" s="137" t="str">
        <f aca="false">IF(AND(DATOS_[[#This Row],[% normaliz]]=1,DATOS_[[#This Row],[% anualiz]]&lt;&gt;1),"Sí","NO")</f>
        <v>NO</v>
      </c>
      <c r="BV682" s="137" t="str">
        <f aca="false">IF(AND(DATOS_[[#This Row],[% normaliz]]&lt;&gt;1,DATOS_[[#This Row],[% anualiz]]&lt;&gt;1),"Sí","NO")</f>
        <v>NO</v>
      </c>
      <c r="BW682" s="137" t="str">
        <f aca="false">+IF(DATOS_[[#This Row],[% normaliz]]*DATOS_[[#This Row],[% anualiz]]=1,"NO","Sí")</f>
        <v>Sí</v>
      </c>
      <c r="BX682" s="138" t="e">
        <f aca="false">(DATOS_[[#This Row],[S.BASE]]*(1/DATOS_[[#This Row],[% normaliz]])*(1/DATOS_[[#This Row],[% anualiz]]))*IF(DATOS_[[#This Row],[Check Equiparado]]="Sí",1,0)</f>
        <v>#DIV/0!</v>
      </c>
      <c r="BY6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2" s="138" t="e">
        <f aca="false">+DATOS_[[#This Row],[SALARIO BASE Eq]]+DATOS_[[#This Row],[Tot COMPL.SAL Eq]]</f>
        <v>#DIV/0!</v>
      </c>
      <c r="CA682" s="138" t="e">
        <f aca="false" t="array" ref="CA682:CA6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2" s="138" t="e">
        <f aca="false">+DATOS_[[#This Row],[TOTAL SALARIO Eq]]+DATOS_[[#This Row],[Tot Extrasalarial Eq]]</f>
        <v>#DIV/0!</v>
      </c>
      <c r="CC682" s="139" t="n">
        <f aca="false">DATOS_[[#This Row],[S.BASE]]</f>
        <v>0</v>
      </c>
      <c r="CD682" s="139" t="n">
        <f aca="false">+SUM(DATOS_[[#This Row],[Conc.Sal.01]:[Conc.Sal.30]])</f>
        <v>0</v>
      </c>
      <c r="CE682" s="139" t="n">
        <f aca="false">+DATOS_[[#This Row],[SALARIO BASE Ef]]+DATOS_[[#This Row],[Tot COMPL.SAL Ef]]</f>
        <v>0</v>
      </c>
      <c r="CF682" s="139" t="n">
        <f aca="false">+SUM(DATOS_[[#This Row],[C.Extra.01]:[C.Extra.05]])</f>
        <v>0</v>
      </c>
      <c r="CG682" s="139" t="n">
        <f aca="false">+DATOS_[[#This Row],[TOTAL SALARIO Ef]]+DATOS_[[#This Row],[Tot Extrasalarial Ef]]</f>
        <v>0</v>
      </c>
      <c r="CH682" s="140" t="n">
        <f aca="false">MIN(IF(DATOS_[[#This Row],[Fecha Fin Contrato]]="",$D$4,DATOS_[[#This Row],[Fecha Fin Contrato]]),$D$4)-MAX(DATOS_[[#This Row],[Fecha de Contratación]],$D$3)+1</f>
        <v>1</v>
      </c>
      <c r="CI682" s="141" t="str">
        <f aca="false">IF(COUNTIFS(DATOS_[id],DATOS_[[#This Row],[id]])&gt;1,DATOS_[[#This Row],[id]],"")</f>
        <v/>
      </c>
      <c r="CJ682" s="141" t="n">
        <f aca="false">(Inicio!$G$10-DATOS_[[#This Row],[Fecha Nacimiento]])/365.25</f>
        <v>0</v>
      </c>
      <c r="CK682" s="141" t="n">
        <f aca="false">(Inicio!$G$10-DATOS_[[#This Row],[Fecha de Antigüedad]])/365.25</f>
        <v>0</v>
      </c>
      <c r="CL682" s="141" t="e">
        <f aca="false">+VLOOKUP(DATOS_[[#This Row],[Clave de Contrato]],TblTiposContrato13[],3,0)</f>
        <v>#N/A</v>
      </c>
      <c r="CM682" s="141" t="e">
        <f aca="false">+VLOOKUP(DATOS_[[#This Row],[Clave de Contrato]],TblTiposContrato13[],4,0)</f>
        <v>#N/A</v>
      </c>
      <c r="CN682" s="141" t="str">
        <f aca="false">VLOOKUP(DATOS_[[#This Row],[Edad]],CONTRATOS!TblRngEdad,2,1)</f>
        <v>20  o menos</v>
      </c>
      <c r="CO682" s="141" t="str">
        <f aca="false">VLOOKUP(DATOS_[[#This Row],[Antigüedad]],TblRngAntg14[],2,1)</f>
        <v>0 a 1 años</v>
      </c>
    </row>
    <row r="683" customFormat="false" ht="13.8" hidden="false" customHeight="false" outlineLevel="0" collapsed="false">
      <c r="D683" s="128"/>
      <c r="E683" s="129"/>
      <c r="F683" s="129"/>
      <c r="G683" s="129"/>
      <c r="H683" s="130"/>
      <c r="I683" s="131"/>
      <c r="J683" s="128"/>
      <c r="K683" s="132"/>
      <c r="L683" s="132"/>
      <c r="M683" s="133"/>
      <c r="N683" s="133"/>
      <c r="O683" s="133"/>
      <c r="P683" s="129"/>
      <c r="Z683" s="75"/>
      <c r="AA683" s="76"/>
      <c r="AB683" s="76"/>
      <c r="AC683" s="129"/>
      <c r="AD683" s="134"/>
      <c r="AE683" s="134"/>
      <c r="AF683" s="134"/>
      <c r="AG683" s="134"/>
      <c r="AH683" s="134"/>
      <c r="AI683" s="134"/>
      <c r="AJ683" s="134"/>
      <c r="AK683" s="134"/>
      <c r="AL683" s="134"/>
      <c r="AM683" s="134"/>
      <c r="AN683" s="134"/>
      <c r="AO683" s="134"/>
      <c r="AP683" s="134"/>
      <c r="AQ683" s="134"/>
      <c r="AR683" s="134"/>
      <c r="AS683" s="134"/>
      <c r="AT683" s="134"/>
      <c r="AU683" s="134"/>
      <c r="AV683" s="134"/>
      <c r="AW683" s="134"/>
      <c r="AX683" s="134"/>
      <c r="AY683" s="134"/>
      <c r="AZ683" s="134"/>
      <c r="BA683" s="134"/>
      <c r="BB683" s="134"/>
      <c r="BC683" s="134"/>
      <c r="BD683" s="134"/>
      <c r="BE683" s="134"/>
      <c r="BF683" s="134"/>
      <c r="BG683" s="134"/>
      <c r="BH683" s="134"/>
      <c r="BI683" s="134"/>
      <c r="BJ683" s="134"/>
      <c r="BK683" s="134"/>
      <c r="BL683" s="134"/>
      <c r="BM683" s="135"/>
      <c r="BN683" s="136" t="n">
        <f aca="false">+MAX($D$3,DATOS_[[#This Row],[Fecha Inicio Sit. Contract.]])</f>
        <v>0</v>
      </c>
      <c r="BO683" s="136" t="n">
        <f aca="false">+MIN($D$4,DATOS_[[#This Row],[Fecha Fin Sit. Contract.]])</f>
        <v>0</v>
      </c>
      <c r="BP683" s="137" t="n">
        <f aca="false">+DATOS_[[#This Row],[% de jornada]]*IF(DATOS_[[#This Row],[% jornada reducida]]="",1,DATOS_[[#This Row],[% jornada reducida]])</f>
        <v>0</v>
      </c>
      <c r="BQ683" s="137" t="n">
        <f aca="false">+(DATOS_[[#This Row],[F.fin.cal]]-DATOS_[[#This Row],[F.ini.cal]]+1)/($D$4-$D$3+1)</f>
        <v>1</v>
      </c>
      <c r="BR683" s="137" t="str">
        <f aca="false">IF(OR(AND(DATOS_[[#This Row],[Fecha Fin Contrato]]&lt;$D$3,DATOS_[[#This Row],[Fecha Fin Contrato]]&lt;&gt;""),DATOS_[[#This Row],[Fecha de Contratación]]&gt;$D$4),"Fuera","Dentro")</f>
        <v>Dentro</v>
      </c>
      <c r="BS683" s="137" t="str">
        <f aca="false" t="array" ref="BS683:BS683">IF(MAX(IF(DATOS_[id]=DATOS_[[#This Row],[id]],DATOS_[F.fin.cal]))=DATOS_[[#This Row],[F.fin.cal]],"Sí","NO")</f>
        <v>Sí</v>
      </c>
      <c r="BT683" s="137" t="str">
        <f aca="false">IF(AND(DATOS_[[#This Row],[% normaliz]]&lt;&gt;1,DATOS_[[#This Row],[% anualiz]]=1),"Sí","NO")</f>
        <v>Sí</v>
      </c>
      <c r="BU683" s="137" t="str">
        <f aca="false">IF(AND(DATOS_[[#This Row],[% normaliz]]=1,DATOS_[[#This Row],[% anualiz]]&lt;&gt;1),"Sí","NO")</f>
        <v>NO</v>
      </c>
      <c r="BV683" s="137" t="str">
        <f aca="false">IF(AND(DATOS_[[#This Row],[% normaliz]]&lt;&gt;1,DATOS_[[#This Row],[% anualiz]]&lt;&gt;1),"Sí","NO")</f>
        <v>NO</v>
      </c>
      <c r="BW683" s="137" t="str">
        <f aca="false">+IF(DATOS_[[#This Row],[% normaliz]]*DATOS_[[#This Row],[% anualiz]]=1,"NO","Sí")</f>
        <v>Sí</v>
      </c>
      <c r="BX683" s="138" t="e">
        <f aca="false">(DATOS_[[#This Row],[S.BASE]]*(1/DATOS_[[#This Row],[% normaliz]])*(1/DATOS_[[#This Row],[% anualiz]]))*IF(DATOS_[[#This Row],[Check Equiparado]]="Sí",1,0)</f>
        <v>#DIV/0!</v>
      </c>
      <c r="BY6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3" s="138" t="e">
        <f aca="false">+DATOS_[[#This Row],[SALARIO BASE Eq]]+DATOS_[[#This Row],[Tot COMPL.SAL Eq]]</f>
        <v>#DIV/0!</v>
      </c>
      <c r="CA683" s="138" t="e">
        <f aca="false" t="array" ref="CA683:CA6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3" s="138" t="e">
        <f aca="false">+DATOS_[[#This Row],[TOTAL SALARIO Eq]]+DATOS_[[#This Row],[Tot Extrasalarial Eq]]</f>
        <v>#DIV/0!</v>
      </c>
      <c r="CC683" s="139" t="n">
        <f aca="false">DATOS_[[#This Row],[S.BASE]]</f>
        <v>0</v>
      </c>
      <c r="CD683" s="139" t="n">
        <f aca="false">+SUM(DATOS_[[#This Row],[Conc.Sal.01]:[Conc.Sal.30]])</f>
        <v>0</v>
      </c>
      <c r="CE683" s="139" t="n">
        <f aca="false">+DATOS_[[#This Row],[SALARIO BASE Ef]]+DATOS_[[#This Row],[Tot COMPL.SAL Ef]]</f>
        <v>0</v>
      </c>
      <c r="CF683" s="139" t="n">
        <f aca="false">+SUM(DATOS_[[#This Row],[C.Extra.01]:[C.Extra.05]])</f>
        <v>0</v>
      </c>
      <c r="CG683" s="139" t="n">
        <f aca="false">+DATOS_[[#This Row],[TOTAL SALARIO Ef]]+DATOS_[[#This Row],[Tot Extrasalarial Ef]]</f>
        <v>0</v>
      </c>
      <c r="CH683" s="140" t="n">
        <f aca="false">MIN(IF(DATOS_[[#This Row],[Fecha Fin Contrato]]="",$D$4,DATOS_[[#This Row],[Fecha Fin Contrato]]),$D$4)-MAX(DATOS_[[#This Row],[Fecha de Contratación]],$D$3)+1</f>
        <v>1</v>
      </c>
      <c r="CI683" s="141" t="str">
        <f aca="false">IF(COUNTIFS(DATOS_[id],DATOS_[[#This Row],[id]])&gt;1,DATOS_[[#This Row],[id]],"")</f>
        <v/>
      </c>
      <c r="CJ683" s="141" t="n">
        <f aca="false">(Inicio!$G$10-DATOS_[[#This Row],[Fecha Nacimiento]])/365.25</f>
        <v>0</v>
      </c>
      <c r="CK683" s="141" t="n">
        <f aca="false">(Inicio!$G$10-DATOS_[[#This Row],[Fecha de Antigüedad]])/365.25</f>
        <v>0</v>
      </c>
      <c r="CL683" s="141" t="e">
        <f aca="false">+VLOOKUP(DATOS_[[#This Row],[Clave de Contrato]],TblTiposContrato13[],3,0)</f>
        <v>#N/A</v>
      </c>
      <c r="CM683" s="141" t="e">
        <f aca="false">+VLOOKUP(DATOS_[[#This Row],[Clave de Contrato]],TblTiposContrato13[],4,0)</f>
        <v>#N/A</v>
      </c>
      <c r="CN683" s="141" t="str">
        <f aca="false">VLOOKUP(DATOS_[[#This Row],[Edad]],CONTRATOS!TblRngEdad,2,1)</f>
        <v>20  o menos</v>
      </c>
      <c r="CO683" s="141" t="str">
        <f aca="false">VLOOKUP(DATOS_[[#This Row],[Antigüedad]],TblRngAntg14[],2,1)</f>
        <v>0 a 1 años</v>
      </c>
    </row>
    <row r="684" customFormat="false" ht="13.8" hidden="false" customHeight="false" outlineLevel="0" collapsed="false">
      <c r="D684" s="128"/>
      <c r="E684" s="129"/>
      <c r="F684" s="129"/>
      <c r="G684" s="129"/>
      <c r="H684" s="130"/>
      <c r="I684" s="131"/>
      <c r="J684" s="128"/>
      <c r="K684" s="132"/>
      <c r="L684" s="132"/>
      <c r="M684" s="133"/>
      <c r="N684" s="133"/>
      <c r="O684" s="133"/>
      <c r="P684" s="129"/>
      <c r="Z684" s="75"/>
      <c r="AA684" s="76"/>
      <c r="AB684" s="76"/>
      <c r="AC684" s="129"/>
      <c r="AD684" s="134"/>
      <c r="AE684" s="134"/>
      <c r="AF684" s="134"/>
      <c r="AG684" s="134"/>
      <c r="AH684" s="134"/>
      <c r="AI684" s="134"/>
      <c r="AJ684" s="134"/>
      <c r="AK684" s="134"/>
      <c r="AL684" s="134"/>
      <c r="AM684" s="134"/>
      <c r="AN684" s="134"/>
      <c r="AO684" s="134"/>
      <c r="AP684" s="134"/>
      <c r="AQ684" s="134"/>
      <c r="AR684" s="134"/>
      <c r="AS684" s="134"/>
      <c r="AT684" s="134"/>
      <c r="AU684" s="134"/>
      <c r="AV684" s="134"/>
      <c r="AW684" s="134"/>
      <c r="AX684" s="134"/>
      <c r="AY684" s="134"/>
      <c r="AZ684" s="134"/>
      <c r="BA684" s="134"/>
      <c r="BB684" s="134"/>
      <c r="BC684" s="134"/>
      <c r="BD684" s="134"/>
      <c r="BE684" s="134"/>
      <c r="BF684" s="134"/>
      <c r="BG684" s="134"/>
      <c r="BH684" s="134"/>
      <c r="BI684" s="134"/>
      <c r="BJ684" s="134"/>
      <c r="BK684" s="134"/>
      <c r="BL684" s="134"/>
      <c r="BM684" s="135"/>
      <c r="BN684" s="136" t="n">
        <f aca="false">+MAX($D$3,DATOS_[[#This Row],[Fecha Inicio Sit. Contract.]])</f>
        <v>0</v>
      </c>
      <c r="BO684" s="136" t="n">
        <f aca="false">+MIN($D$4,DATOS_[[#This Row],[Fecha Fin Sit. Contract.]])</f>
        <v>0</v>
      </c>
      <c r="BP684" s="137" t="n">
        <f aca="false">+DATOS_[[#This Row],[% de jornada]]*IF(DATOS_[[#This Row],[% jornada reducida]]="",1,DATOS_[[#This Row],[% jornada reducida]])</f>
        <v>0</v>
      </c>
      <c r="BQ684" s="137" t="n">
        <f aca="false">+(DATOS_[[#This Row],[F.fin.cal]]-DATOS_[[#This Row],[F.ini.cal]]+1)/($D$4-$D$3+1)</f>
        <v>1</v>
      </c>
      <c r="BR684" s="137" t="str">
        <f aca="false">IF(OR(AND(DATOS_[[#This Row],[Fecha Fin Contrato]]&lt;$D$3,DATOS_[[#This Row],[Fecha Fin Contrato]]&lt;&gt;""),DATOS_[[#This Row],[Fecha de Contratación]]&gt;$D$4),"Fuera","Dentro")</f>
        <v>Dentro</v>
      </c>
      <c r="BS684" s="137" t="str">
        <f aca="false" t="array" ref="BS684:BS684">IF(MAX(IF(DATOS_[id]=DATOS_[[#This Row],[id]],DATOS_[F.fin.cal]))=DATOS_[[#This Row],[F.fin.cal]],"Sí","NO")</f>
        <v>Sí</v>
      </c>
      <c r="BT684" s="137" t="str">
        <f aca="false">IF(AND(DATOS_[[#This Row],[% normaliz]]&lt;&gt;1,DATOS_[[#This Row],[% anualiz]]=1),"Sí","NO")</f>
        <v>Sí</v>
      </c>
      <c r="BU684" s="137" t="str">
        <f aca="false">IF(AND(DATOS_[[#This Row],[% normaliz]]=1,DATOS_[[#This Row],[% anualiz]]&lt;&gt;1),"Sí","NO")</f>
        <v>NO</v>
      </c>
      <c r="BV684" s="137" t="str">
        <f aca="false">IF(AND(DATOS_[[#This Row],[% normaliz]]&lt;&gt;1,DATOS_[[#This Row],[% anualiz]]&lt;&gt;1),"Sí","NO")</f>
        <v>NO</v>
      </c>
      <c r="BW684" s="137" t="str">
        <f aca="false">+IF(DATOS_[[#This Row],[% normaliz]]*DATOS_[[#This Row],[% anualiz]]=1,"NO","Sí")</f>
        <v>Sí</v>
      </c>
      <c r="BX684" s="138" t="e">
        <f aca="false">(DATOS_[[#This Row],[S.BASE]]*(1/DATOS_[[#This Row],[% normaliz]])*(1/DATOS_[[#This Row],[% anualiz]]))*IF(DATOS_[[#This Row],[Check Equiparado]]="Sí",1,0)</f>
        <v>#DIV/0!</v>
      </c>
      <c r="BY6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4" s="138" t="e">
        <f aca="false">+DATOS_[[#This Row],[SALARIO BASE Eq]]+DATOS_[[#This Row],[Tot COMPL.SAL Eq]]</f>
        <v>#DIV/0!</v>
      </c>
      <c r="CA684" s="138" t="e">
        <f aca="false" t="array" ref="CA684:CA6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4" s="138" t="e">
        <f aca="false">+DATOS_[[#This Row],[TOTAL SALARIO Eq]]+DATOS_[[#This Row],[Tot Extrasalarial Eq]]</f>
        <v>#DIV/0!</v>
      </c>
      <c r="CC684" s="139" t="n">
        <f aca="false">DATOS_[[#This Row],[S.BASE]]</f>
        <v>0</v>
      </c>
      <c r="CD684" s="139" t="n">
        <f aca="false">+SUM(DATOS_[[#This Row],[Conc.Sal.01]:[Conc.Sal.30]])</f>
        <v>0</v>
      </c>
      <c r="CE684" s="139" t="n">
        <f aca="false">+DATOS_[[#This Row],[SALARIO BASE Ef]]+DATOS_[[#This Row],[Tot COMPL.SAL Ef]]</f>
        <v>0</v>
      </c>
      <c r="CF684" s="139" t="n">
        <f aca="false">+SUM(DATOS_[[#This Row],[C.Extra.01]:[C.Extra.05]])</f>
        <v>0</v>
      </c>
      <c r="CG684" s="139" t="n">
        <f aca="false">+DATOS_[[#This Row],[TOTAL SALARIO Ef]]+DATOS_[[#This Row],[Tot Extrasalarial Ef]]</f>
        <v>0</v>
      </c>
      <c r="CH684" s="140" t="n">
        <f aca="false">MIN(IF(DATOS_[[#This Row],[Fecha Fin Contrato]]="",$D$4,DATOS_[[#This Row],[Fecha Fin Contrato]]),$D$4)-MAX(DATOS_[[#This Row],[Fecha de Contratación]],$D$3)+1</f>
        <v>1</v>
      </c>
      <c r="CI684" s="141" t="str">
        <f aca="false">IF(COUNTIFS(DATOS_[id],DATOS_[[#This Row],[id]])&gt;1,DATOS_[[#This Row],[id]],"")</f>
        <v/>
      </c>
      <c r="CJ684" s="141" t="n">
        <f aca="false">(Inicio!$G$10-DATOS_[[#This Row],[Fecha Nacimiento]])/365.25</f>
        <v>0</v>
      </c>
      <c r="CK684" s="141" t="n">
        <f aca="false">(Inicio!$G$10-DATOS_[[#This Row],[Fecha de Antigüedad]])/365.25</f>
        <v>0</v>
      </c>
      <c r="CL684" s="141" t="e">
        <f aca="false">+VLOOKUP(DATOS_[[#This Row],[Clave de Contrato]],TblTiposContrato13[],3,0)</f>
        <v>#N/A</v>
      </c>
      <c r="CM684" s="141" t="e">
        <f aca="false">+VLOOKUP(DATOS_[[#This Row],[Clave de Contrato]],TblTiposContrato13[],4,0)</f>
        <v>#N/A</v>
      </c>
      <c r="CN684" s="141" t="str">
        <f aca="false">VLOOKUP(DATOS_[[#This Row],[Edad]],CONTRATOS!TblRngEdad,2,1)</f>
        <v>20  o menos</v>
      </c>
      <c r="CO684" s="141" t="str">
        <f aca="false">VLOOKUP(DATOS_[[#This Row],[Antigüedad]],TblRngAntg14[],2,1)</f>
        <v>0 a 1 años</v>
      </c>
    </row>
    <row r="685" customFormat="false" ht="13.8" hidden="false" customHeight="false" outlineLevel="0" collapsed="false">
      <c r="D685" s="128"/>
      <c r="E685" s="129"/>
      <c r="F685" s="129"/>
      <c r="G685" s="129"/>
      <c r="H685" s="130"/>
      <c r="I685" s="131"/>
      <c r="J685" s="128"/>
      <c r="K685" s="132"/>
      <c r="L685" s="132"/>
      <c r="M685" s="133"/>
      <c r="N685" s="133"/>
      <c r="O685" s="133"/>
      <c r="P685" s="129"/>
      <c r="Z685" s="75"/>
      <c r="AA685" s="76"/>
      <c r="AB685" s="76"/>
      <c r="AC685" s="129"/>
      <c r="AD685" s="134"/>
      <c r="AE685" s="134"/>
      <c r="AF685" s="134"/>
      <c r="AG685" s="134"/>
      <c r="AH685" s="134"/>
      <c r="AI685" s="134"/>
      <c r="AJ685" s="134"/>
      <c r="AK685" s="134"/>
      <c r="AL685" s="134"/>
      <c r="AM685" s="134"/>
      <c r="AN685" s="134"/>
      <c r="AO685" s="134"/>
      <c r="AP685" s="134"/>
      <c r="AQ685" s="134"/>
      <c r="AR685" s="134"/>
      <c r="AS685" s="134"/>
      <c r="AT685" s="134"/>
      <c r="AU685" s="134"/>
      <c r="AV685" s="134"/>
      <c r="AW685" s="134"/>
      <c r="AX685" s="134"/>
      <c r="AY685" s="134"/>
      <c r="AZ685" s="134"/>
      <c r="BA685" s="134"/>
      <c r="BB685" s="134"/>
      <c r="BC685" s="134"/>
      <c r="BD685" s="134"/>
      <c r="BE685" s="134"/>
      <c r="BF685" s="134"/>
      <c r="BG685" s="134"/>
      <c r="BH685" s="134"/>
      <c r="BI685" s="134"/>
      <c r="BJ685" s="134"/>
      <c r="BK685" s="134"/>
      <c r="BL685" s="134"/>
      <c r="BM685" s="135"/>
      <c r="BN685" s="136" t="n">
        <f aca="false">+MAX($D$3,DATOS_[[#This Row],[Fecha Inicio Sit. Contract.]])</f>
        <v>0</v>
      </c>
      <c r="BO685" s="136" t="n">
        <f aca="false">+MIN($D$4,DATOS_[[#This Row],[Fecha Fin Sit. Contract.]])</f>
        <v>0</v>
      </c>
      <c r="BP685" s="137" t="n">
        <f aca="false">+DATOS_[[#This Row],[% de jornada]]*IF(DATOS_[[#This Row],[% jornada reducida]]="",1,DATOS_[[#This Row],[% jornada reducida]])</f>
        <v>0</v>
      </c>
      <c r="BQ685" s="137" t="n">
        <f aca="false">+(DATOS_[[#This Row],[F.fin.cal]]-DATOS_[[#This Row],[F.ini.cal]]+1)/($D$4-$D$3+1)</f>
        <v>1</v>
      </c>
      <c r="BR685" s="137" t="str">
        <f aca="false">IF(OR(AND(DATOS_[[#This Row],[Fecha Fin Contrato]]&lt;$D$3,DATOS_[[#This Row],[Fecha Fin Contrato]]&lt;&gt;""),DATOS_[[#This Row],[Fecha de Contratación]]&gt;$D$4),"Fuera","Dentro")</f>
        <v>Dentro</v>
      </c>
      <c r="BS685" s="137" t="str">
        <f aca="false" t="array" ref="BS685:BS685">IF(MAX(IF(DATOS_[id]=DATOS_[[#This Row],[id]],DATOS_[F.fin.cal]))=DATOS_[[#This Row],[F.fin.cal]],"Sí","NO")</f>
        <v>Sí</v>
      </c>
      <c r="BT685" s="137" t="str">
        <f aca="false">IF(AND(DATOS_[[#This Row],[% normaliz]]&lt;&gt;1,DATOS_[[#This Row],[% anualiz]]=1),"Sí","NO")</f>
        <v>Sí</v>
      </c>
      <c r="BU685" s="137" t="str">
        <f aca="false">IF(AND(DATOS_[[#This Row],[% normaliz]]=1,DATOS_[[#This Row],[% anualiz]]&lt;&gt;1),"Sí","NO")</f>
        <v>NO</v>
      </c>
      <c r="BV685" s="137" t="str">
        <f aca="false">IF(AND(DATOS_[[#This Row],[% normaliz]]&lt;&gt;1,DATOS_[[#This Row],[% anualiz]]&lt;&gt;1),"Sí","NO")</f>
        <v>NO</v>
      </c>
      <c r="BW685" s="137" t="str">
        <f aca="false">+IF(DATOS_[[#This Row],[% normaliz]]*DATOS_[[#This Row],[% anualiz]]=1,"NO","Sí")</f>
        <v>Sí</v>
      </c>
      <c r="BX685" s="138" t="e">
        <f aca="false">(DATOS_[[#This Row],[S.BASE]]*(1/DATOS_[[#This Row],[% normaliz]])*(1/DATOS_[[#This Row],[% anualiz]]))*IF(DATOS_[[#This Row],[Check Equiparado]]="Sí",1,0)</f>
        <v>#DIV/0!</v>
      </c>
      <c r="BY6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5" s="138" t="e">
        <f aca="false">+DATOS_[[#This Row],[SALARIO BASE Eq]]+DATOS_[[#This Row],[Tot COMPL.SAL Eq]]</f>
        <v>#DIV/0!</v>
      </c>
      <c r="CA685" s="138" t="e">
        <f aca="false" t="array" ref="CA685:CA6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5" s="138" t="e">
        <f aca="false">+DATOS_[[#This Row],[TOTAL SALARIO Eq]]+DATOS_[[#This Row],[Tot Extrasalarial Eq]]</f>
        <v>#DIV/0!</v>
      </c>
      <c r="CC685" s="139" t="n">
        <f aca="false">DATOS_[[#This Row],[S.BASE]]</f>
        <v>0</v>
      </c>
      <c r="CD685" s="139" t="n">
        <f aca="false">+SUM(DATOS_[[#This Row],[Conc.Sal.01]:[Conc.Sal.30]])</f>
        <v>0</v>
      </c>
      <c r="CE685" s="139" t="n">
        <f aca="false">+DATOS_[[#This Row],[SALARIO BASE Ef]]+DATOS_[[#This Row],[Tot COMPL.SAL Ef]]</f>
        <v>0</v>
      </c>
      <c r="CF685" s="139" t="n">
        <f aca="false">+SUM(DATOS_[[#This Row],[C.Extra.01]:[C.Extra.05]])</f>
        <v>0</v>
      </c>
      <c r="CG685" s="139" t="n">
        <f aca="false">+DATOS_[[#This Row],[TOTAL SALARIO Ef]]+DATOS_[[#This Row],[Tot Extrasalarial Ef]]</f>
        <v>0</v>
      </c>
      <c r="CH685" s="140" t="n">
        <f aca="false">MIN(IF(DATOS_[[#This Row],[Fecha Fin Contrato]]="",$D$4,DATOS_[[#This Row],[Fecha Fin Contrato]]),$D$4)-MAX(DATOS_[[#This Row],[Fecha de Contratación]],$D$3)+1</f>
        <v>1</v>
      </c>
      <c r="CI685" s="141" t="str">
        <f aca="false">IF(COUNTIFS(DATOS_[id],DATOS_[[#This Row],[id]])&gt;1,DATOS_[[#This Row],[id]],"")</f>
        <v/>
      </c>
      <c r="CJ685" s="141" t="n">
        <f aca="false">(Inicio!$G$10-DATOS_[[#This Row],[Fecha Nacimiento]])/365.25</f>
        <v>0</v>
      </c>
      <c r="CK685" s="141" t="n">
        <f aca="false">(Inicio!$G$10-DATOS_[[#This Row],[Fecha de Antigüedad]])/365.25</f>
        <v>0</v>
      </c>
      <c r="CL685" s="141" t="e">
        <f aca="false">+VLOOKUP(DATOS_[[#This Row],[Clave de Contrato]],TblTiposContrato13[],3,0)</f>
        <v>#N/A</v>
      </c>
      <c r="CM685" s="141" t="e">
        <f aca="false">+VLOOKUP(DATOS_[[#This Row],[Clave de Contrato]],TblTiposContrato13[],4,0)</f>
        <v>#N/A</v>
      </c>
      <c r="CN685" s="141" t="str">
        <f aca="false">VLOOKUP(DATOS_[[#This Row],[Edad]],CONTRATOS!TblRngEdad,2,1)</f>
        <v>20  o menos</v>
      </c>
      <c r="CO685" s="141" t="str">
        <f aca="false">VLOOKUP(DATOS_[[#This Row],[Antigüedad]],TblRngAntg14[],2,1)</f>
        <v>0 a 1 años</v>
      </c>
    </row>
    <row r="686" customFormat="false" ht="13.8" hidden="false" customHeight="false" outlineLevel="0" collapsed="false">
      <c r="D686" s="128"/>
      <c r="E686" s="129"/>
      <c r="F686" s="129"/>
      <c r="G686" s="129"/>
      <c r="H686" s="130"/>
      <c r="I686" s="131"/>
      <c r="J686" s="128"/>
      <c r="K686" s="132"/>
      <c r="L686" s="132"/>
      <c r="M686" s="133"/>
      <c r="N686" s="133"/>
      <c r="O686" s="133"/>
      <c r="P686" s="129"/>
      <c r="Z686" s="75"/>
      <c r="AA686" s="76"/>
      <c r="AB686" s="76"/>
      <c r="AC686" s="129"/>
      <c r="AD686" s="134"/>
      <c r="AE686" s="134"/>
      <c r="AF686" s="134"/>
      <c r="AG686" s="134"/>
      <c r="AH686" s="134"/>
      <c r="AI686" s="134"/>
      <c r="AJ686" s="134"/>
      <c r="AK686" s="134"/>
      <c r="AL686" s="134"/>
      <c r="AM686" s="134"/>
      <c r="AN686" s="134"/>
      <c r="AO686" s="134"/>
      <c r="AP686" s="134"/>
      <c r="AQ686" s="134"/>
      <c r="AR686" s="134"/>
      <c r="AS686" s="134"/>
      <c r="AT686" s="134"/>
      <c r="AU686" s="134"/>
      <c r="AV686" s="134"/>
      <c r="AW686" s="134"/>
      <c r="AX686" s="134"/>
      <c r="AY686" s="134"/>
      <c r="AZ686" s="134"/>
      <c r="BA686" s="134"/>
      <c r="BB686" s="134"/>
      <c r="BC686" s="134"/>
      <c r="BD686" s="134"/>
      <c r="BE686" s="134"/>
      <c r="BF686" s="134"/>
      <c r="BG686" s="134"/>
      <c r="BH686" s="134"/>
      <c r="BI686" s="134"/>
      <c r="BJ686" s="134"/>
      <c r="BK686" s="134"/>
      <c r="BL686" s="134"/>
      <c r="BM686" s="135"/>
      <c r="BN686" s="136" t="n">
        <f aca="false">+MAX($D$3,DATOS_[[#This Row],[Fecha Inicio Sit. Contract.]])</f>
        <v>0</v>
      </c>
      <c r="BO686" s="136" t="n">
        <f aca="false">+MIN($D$4,DATOS_[[#This Row],[Fecha Fin Sit. Contract.]])</f>
        <v>0</v>
      </c>
      <c r="BP686" s="137" t="n">
        <f aca="false">+DATOS_[[#This Row],[% de jornada]]*IF(DATOS_[[#This Row],[% jornada reducida]]="",1,DATOS_[[#This Row],[% jornada reducida]])</f>
        <v>0</v>
      </c>
      <c r="BQ686" s="137" t="n">
        <f aca="false">+(DATOS_[[#This Row],[F.fin.cal]]-DATOS_[[#This Row],[F.ini.cal]]+1)/($D$4-$D$3+1)</f>
        <v>1</v>
      </c>
      <c r="BR686" s="137" t="str">
        <f aca="false">IF(OR(AND(DATOS_[[#This Row],[Fecha Fin Contrato]]&lt;$D$3,DATOS_[[#This Row],[Fecha Fin Contrato]]&lt;&gt;""),DATOS_[[#This Row],[Fecha de Contratación]]&gt;$D$4),"Fuera","Dentro")</f>
        <v>Dentro</v>
      </c>
      <c r="BS686" s="137" t="str">
        <f aca="false" t="array" ref="BS686:BS686">IF(MAX(IF(DATOS_[id]=DATOS_[[#This Row],[id]],DATOS_[F.fin.cal]))=DATOS_[[#This Row],[F.fin.cal]],"Sí","NO")</f>
        <v>Sí</v>
      </c>
      <c r="BT686" s="137" t="str">
        <f aca="false">IF(AND(DATOS_[[#This Row],[% normaliz]]&lt;&gt;1,DATOS_[[#This Row],[% anualiz]]=1),"Sí","NO")</f>
        <v>Sí</v>
      </c>
      <c r="BU686" s="137" t="str">
        <f aca="false">IF(AND(DATOS_[[#This Row],[% normaliz]]=1,DATOS_[[#This Row],[% anualiz]]&lt;&gt;1),"Sí","NO")</f>
        <v>NO</v>
      </c>
      <c r="BV686" s="137" t="str">
        <f aca="false">IF(AND(DATOS_[[#This Row],[% normaliz]]&lt;&gt;1,DATOS_[[#This Row],[% anualiz]]&lt;&gt;1),"Sí","NO")</f>
        <v>NO</v>
      </c>
      <c r="BW686" s="137" t="str">
        <f aca="false">+IF(DATOS_[[#This Row],[% normaliz]]*DATOS_[[#This Row],[% anualiz]]=1,"NO","Sí")</f>
        <v>Sí</v>
      </c>
      <c r="BX686" s="138" t="e">
        <f aca="false">(DATOS_[[#This Row],[S.BASE]]*(1/DATOS_[[#This Row],[% normaliz]])*(1/DATOS_[[#This Row],[% anualiz]]))*IF(DATOS_[[#This Row],[Check Equiparado]]="Sí",1,0)</f>
        <v>#DIV/0!</v>
      </c>
      <c r="BY6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6" s="138" t="e">
        <f aca="false">+DATOS_[[#This Row],[SALARIO BASE Eq]]+DATOS_[[#This Row],[Tot COMPL.SAL Eq]]</f>
        <v>#DIV/0!</v>
      </c>
      <c r="CA686" s="138" t="e">
        <f aca="false" t="array" ref="CA686:CA6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6" s="138" t="e">
        <f aca="false">+DATOS_[[#This Row],[TOTAL SALARIO Eq]]+DATOS_[[#This Row],[Tot Extrasalarial Eq]]</f>
        <v>#DIV/0!</v>
      </c>
      <c r="CC686" s="139" t="n">
        <f aca="false">DATOS_[[#This Row],[S.BASE]]</f>
        <v>0</v>
      </c>
      <c r="CD686" s="139" t="n">
        <f aca="false">+SUM(DATOS_[[#This Row],[Conc.Sal.01]:[Conc.Sal.30]])</f>
        <v>0</v>
      </c>
      <c r="CE686" s="139" t="n">
        <f aca="false">+DATOS_[[#This Row],[SALARIO BASE Ef]]+DATOS_[[#This Row],[Tot COMPL.SAL Ef]]</f>
        <v>0</v>
      </c>
      <c r="CF686" s="139" t="n">
        <f aca="false">+SUM(DATOS_[[#This Row],[C.Extra.01]:[C.Extra.05]])</f>
        <v>0</v>
      </c>
      <c r="CG686" s="139" t="n">
        <f aca="false">+DATOS_[[#This Row],[TOTAL SALARIO Ef]]+DATOS_[[#This Row],[Tot Extrasalarial Ef]]</f>
        <v>0</v>
      </c>
      <c r="CH686" s="140" t="n">
        <f aca="false">MIN(IF(DATOS_[[#This Row],[Fecha Fin Contrato]]="",$D$4,DATOS_[[#This Row],[Fecha Fin Contrato]]),$D$4)-MAX(DATOS_[[#This Row],[Fecha de Contratación]],$D$3)+1</f>
        <v>1</v>
      </c>
      <c r="CI686" s="141" t="str">
        <f aca="false">IF(COUNTIFS(DATOS_[id],DATOS_[[#This Row],[id]])&gt;1,DATOS_[[#This Row],[id]],"")</f>
        <v/>
      </c>
      <c r="CJ686" s="141" t="n">
        <f aca="false">(Inicio!$G$10-DATOS_[[#This Row],[Fecha Nacimiento]])/365.25</f>
        <v>0</v>
      </c>
      <c r="CK686" s="141" t="n">
        <f aca="false">(Inicio!$G$10-DATOS_[[#This Row],[Fecha de Antigüedad]])/365.25</f>
        <v>0</v>
      </c>
      <c r="CL686" s="141" t="e">
        <f aca="false">+VLOOKUP(DATOS_[[#This Row],[Clave de Contrato]],TblTiposContrato13[],3,0)</f>
        <v>#N/A</v>
      </c>
      <c r="CM686" s="141" t="e">
        <f aca="false">+VLOOKUP(DATOS_[[#This Row],[Clave de Contrato]],TblTiposContrato13[],4,0)</f>
        <v>#N/A</v>
      </c>
      <c r="CN686" s="141" t="str">
        <f aca="false">VLOOKUP(DATOS_[[#This Row],[Edad]],CONTRATOS!TblRngEdad,2,1)</f>
        <v>20  o menos</v>
      </c>
      <c r="CO686" s="141" t="str">
        <f aca="false">VLOOKUP(DATOS_[[#This Row],[Antigüedad]],TblRngAntg14[],2,1)</f>
        <v>0 a 1 años</v>
      </c>
    </row>
    <row r="687" customFormat="false" ht="13.8" hidden="false" customHeight="false" outlineLevel="0" collapsed="false">
      <c r="D687" s="128"/>
      <c r="E687" s="129"/>
      <c r="F687" s="129"/>
      <c r="G687" s="129"/>
      <c r="H687" s="130"/>
      <c r="I687" s="131"/>
      <c r="J687" s="128"/>
      <c r="K687" s="132"/>
      <c r="L687" s="132"/>
      <c r="M687" s="133"/>
      <c r="N687" s="133"/>
      <c r="O687" s="133"/>
      <c r="P687" s="129"/>
      <c r="Z687" s="75"/>
      <c r="AA687" s="76"/>
      <c r="AB687" s="76"/>
      <c r="AC687" s="129"/>
      <c r="AD687" s="134"/>
      <c r="AE687" s="134"/>
      <c r="AF687" s="134"/>
      <c r="AG687" s="134"/>
      <c r="AH687" s="134"/>
      <c r="AI687" s="134"/>
      <c r="AJ687" s="134"/>
      <c r="AK687" s="134"/>
      <c r="AL687" s="134"/>
      <c r="AM687" s="134"/>
      <c r="AN687" s="134"/>
      <c r="AO687" s="134"/>
      <c r="AP687" s="134"/>
      <c r="AQ687" s="134"/>
      <c r="AR687" s="134"/>
      <c r="AS687" s="134"/>
      <c r="AT687" s="134"/>
      <c r="AU687" s="134"/>
      <c r="AV687" s="134"/>
      <c r="AW687" s="134"/>
      <c r="AX687" s="134"/>
      <c r="AY687" s="134"/>
      <c r="AZ687" s="134"/>
      <c r="BA687" s="134"/>
      <c r="BB687" s="134"/>
      <c r="BC687" s="134"/>
      <c r="BD687" s="134"/>
      <c r="BE687" s="134"/>
      <c r="BF687" s="134"/>
      <c r="BG687" s="134"/>
      <c r="BH687" s="134"/>
      <c r="BI687" s="134"/>
      <c r="BJ687" s="134"/>
      <c r="BK687" s="134"/>
      <c r="BL687" s="134"/>
      <c r="BM687" s="135"/>
      <c r="BN687" s="136" t="n">
        <f aca="false">+MAX($D$3,DATOS_[[#This Row],[Fecha Inicio Sit. Contract.]])</f>
        <v>0</v>
      </c>
      <c r="BO687" s="136" t="n">
        <f aca="false">+MIN($D$4,DATOS_[[#This Row],[Fecha Fin Sit. Contract.]])</f>
        <v>0</v>
      </c>
      <c r="BP687" s="137" t="n">
        <f aca="false">+DATOS_[[#This Row],[% de jornada]]*IF(DATOS_[[#This Row],[% jornada reducida]]="",1,DATOS_[[#This Row],[% jornada reducida]])</f>
        <v>0</v>
      </c>
      <c r="BQ687" s="137" t="n">
        <f aca="false">+(DATOS_[[#This Row],[F.fin.cal]]-DATOS_[[#This Row],[F.ini.cal]]+1)/($D$4-$D$3+1)</f>
        <v>1</v>
      </c>
      <c r="BR687" s="137" t="str">
        <f aca="false">IF(OR(AND(DATOS_[[#This Row],[Fecha Fin Contrato]]&lt;$D$3,DATOS_[[#This Row],[Fecha Fin Contrato]]&lt;&gt;""),DATOS_[[#This Row],[Fecha de Contratación]]&gt;$D$4),"Fuera","Dentro")</f>
        <v>Dentro</v>
      </c>
      <c r="BS687" s="137" t="str">
        <f aca="false" t="array" ref="BS687:BS687">IF(MAX(IF(DATOS_[id]=DATOS_[[#This Row],[id]],DATOS_[F.fin.cal]))=DATOS_[[#This Row],[F.fin.cal]],"Sí","NO")</f>
        <v>Sí</v>
      </c>
      <c r="BT687" s="137" t="str">
        <f aca="false">IF(AND(DATOS_[[#This Row],[% normaliz]]&lt;&gt;1,DATOS_[[#This Row],[% anualiz]]=1),"Sí","NO")</f>
        <v>Sí</v>
      </c>
      <c r="BU687" s="137" t="str">
        <f aca="false">IF(AND(DATOS_[[#This Row],[% normaliz]]=1,DATOS_[[#This Row],[% anualiz]]&lt;&gt;1),"Sí","NO")</f>
        <v>NO</v>
      </c>
      <c r="BV687" s="137" t="str">
        <f aca="false">IF(AND(DATOS_[[#This Row],[% normaliz]]&lt;&gt;1,DATOS_[[#This Row],[% anualiz]]&lt;&gt;1),"Sí","NO")</f>
        <v>NO</v>
      </c>
      <c r="BW687" s="137" t="str">
        <f aca="false">+IF(DATOS_[[#This Row],[% normaliz]]*DATOS_[[#This Row],[% anualiz]]=1,"NO","Sí")</f>
        <v>Sí</v>
      </c>
      <c r="BX687" s="138" t="e">
        <f aca="false">(DATOS_[[#This Row],[S.BASE]]*(1/DATOS_[[#This Row],[% normaliz]])*(1/DATOS_[[#This Row],[% anualiz]]))*IF(DATOS_[[#This Row],[Check Equiparado]]="Sí",1,0)</f>
        <v>#DIV/0!</v>
      </c>
      <c r="BY6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7" s="138" t="e">
        <f aca="false">+DATOS_[[#This Row],[SALARIO BASE Eq]]+DATOS_[[#This Row],[Tot COMPL.SAL Eq]]</f>
        <v>#DIV/0!</v>
      </c>
      <c r="CA687" s="138" t="e">
        <f aca="false" t="array" ref="CA687:CA6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7" s="138" t="e">
        <f aca="false">+DATOS_[[#This Row],[TOTAL SALARIO Eq]]+DATOS_[[#This Row],[Tot Extrasalarial Eq]]</f>
        <v>#DIV/0!</v>
      </c>
      <c r="CC687" s="139" t="n">
        <f aca="false">DATOS_[[#This Row],[S.BASE]]</f>
        <v>0</v>
      </c>
      <c r="CD687" s="139" t="n">
        <f aca="false">+SUM(DATOS_[[#This Row],[Conc.Sal.01]:[Conc.Sal.30]])</f>
        <v>0</v>
      </c>
      <c r="CE687" s="139" t="n">
        <f aca="false">+DATOS_[[#This Row],[SALARIO BASE Ef]]+DATOS_[[#This Row],[Tot COMPL.SAL Ef]]</f>
        <v>0</v>
      </c>
      <c r="CF687" s="139" t="n">
        <f aca="false">+SUM(DATOS_[[#This Row],[C.Extra.01]:[C.Extra.05]])</f>
        <v>0</v>
      </c>
      <c r="CG687" s="139" t="n">
        <f aca="false">+DATOS_[[#This Row],[TOTAL SALARIO Ef]]+DATOS_[[#This Row],[Tot Extrasalarial Ef]]</f>
        <v>0</v>
      </c>
      <c r="CH687" s="140" t="n">
        <f aca="false">MIN(IF(DATOS_[[#This Row],[Fecha Fin Contrato]]="",$D$4,DATOS_[[#This Row],[Fecha Fin Contrato]]),$D$4)-MAX(DATOS_[[#This Row],[Fecha de Contratación]],$D$3)+1</f>
        <v>1</v>
      </c>
      <c r="CI687" s="141" t="str">
        <f aca="false">IF(COUNTIFS(DATOS_[id],DATOS_[[#This Row],[id]])&gt;1,DATOS_[[#This Row],[id]],"")</f>
        <v/>
      </c>
      <c r="CJ687" s="141" t="n">
        <f aca="false">(Inicio!$G$10-DATOS_[[#This Row],[Fecha Nacimiento]])/365.25</f>
        <v>0</v>
      </c>
      <c r="CK687" s="141" t="n">
        <f aca="false">(Inicio!$G$10-DATOS_[[#This Row],[Fecha de Antigüedad]])/365.25</f>
        <v>0</v>
      </c>
      <c r="CL687" s="141" t="e">
        <f aca="false">+VLOOKUP(DATOS_[[#This Row],[Clave de Contrato]],TblTiposContrato13[],3,0)</f>
        <v>#N/A</v>
      </c>
      <c r="CM687" s="141" t="e">
        <f aca="false">+VLOOKUP(DATOS_[[#This Row],[Clave de Contrato]],TblTiposContrato13[],4,0)</f>
        <v>#N/A</v>
      </c>
      <c r="CN687" s="141" t="str">
        <f aca="false">VLOOKUP(DATOS_[[#This Row],[Edad]],CONTRATOS!TblRngEdad,2,1)</f>
        <v>20  o menos</v>
      </c>
      <c r="CO687" s="141" t="str">
        <f aca="false">VLOOKUP(DATOS_[[#This Row],[Antigüedad]],TblRngAntg14[],2,1)</f>
        <v>0 a 1 años</v>
      </c>
    </row>
    <row r="688" customFormat="false" ht="13.8" hidden="false" customHeight="false" outlineLevel="0" collapsed="false">
      <c r="D688" s="128"/>
      <c r="E688" s="129"/>
      <c r="F688" s="129"/>
      <c r="G688" s="129"/>
      <c r="H688" s="130"/>
      <c r="I688" s="131"/>
      <c r="J688" s="128"/>
      <c r="K688" s="132"/>
      <c r="L688" s="132"/>
      <c r="M688" s="133"/>
      <c r="N688" s="133"/>
      <c r="O688" s="133"/>
      <c r="P688" s="129"/>
      <c r="Z688" s="75"/>
      <c r="AA688" s="76"/>
      <c r="AB688" s="76"/>
      <c r="AC688" s="129"/>
      <c r="AD688" s="134"/>
      <c r="AE688" s="134"/>
      <c r="AF688" s="134"/>
      <c r="AG688" s="134"/>
      <c r="AH688" s="134"/>
      <c r="AI688" s="134"/>
      <c r="AJ688" s="134"/>
      <c r="AK688" s="134"/>
      <c r="AL688" s="134"/>
      <c r="AM688" s="134"/>
      <c r="AN688" s="134"/>
      <c r="AO688" s="134"/>
      <c r="AP688" s="134"/>
      <c r="AQ688" s="134"/>
      <c r="AR688" s="134"/>
      <c r="AS688" s="134"/>
      <c r="AT688" s="134"/>
      <c r="AU688" s="134"/>
      <c r="AV688" s="134"/>
      <c r="AW688" s="134"/>
      <c r="AX688" s="134"/>
      <c r="AY688" s="134"/>
      <c r="AZ688" s="134"/>
      <c r="BA688" s="134"/>
      <c r="BB688" s="134"/>
      <c r="BC688" s="134"/>
      <c r="BD688" s="134"/>
      <c r="BE688" s="134"/>
      <c r="BF688" s="134"/>
      <c r="BG688" s="134"/>
      <c r="BH688" s="134"/>
      <c r="BI688" s="134"/>
      <c r="BJ688" s="134"/>
      <c r="BK688" s="134"/>
      <c r="BL688" s="134"/>
      <c r="BM688" s="135"/>
      <c r="BN688" s="136" t="n">
        <f aca="false">+MAX($D$3,DATOS_[[#This Row],[Fecha Inicio Sit. Contract.]])</f>
        <v>0</v>
      </c>
      <c r="BO688" s="136" t="n">
        <f aca="false">+MIN($D$4,DATOS_[[#This Row],[Fecha Fin Sit. Contract.]])</f>
        <v>0</v>
      </c>
      <c r="BP688" s="137" t="n">
        <f aca="false">+DATOS_[[#This Row],[% de jornada]]*IF(DATOS_[[#This Row],[% jornada reducida]]="",1,DATOS_[[#This Row],[% jornada reducida]])</f>
        <v>0</v>
      </c>
      <c r="BQ688" s="137" t="n">
        <f aca="false">+(DATOS_[[#This Row],[F.fin.cal]]-DATOS_[[#This Row],[F.ini.cal]]+1)/($D$4-$D$3+1)</f>
        <v>1</v>
      </c>
      <c r="BR688" s="137" t="str">
        <f aca="false">IF(OR(AND(DATOS_[[#This Row],[Fecha Fin Contrato]]&lt;$D$3,DATOS_[[#This Row],[Fecha Fin Contrato]]&lt;&gt;""),DATOS_[[#This Row],[Fecha de Contratación]]&gt;$D$4),"Fuera","Dentro")</f>
        <v>Dentro</v>
      </c>
      <c r="BS688" s="137" t="str">
        <f aca="false" t="array" ref="BS688:BS688">IF(MAX(IF(DATOS_[id]=DATOS_[[#This Row],[id]],DATOS_[F.fin.cal]))=DATOS_[[#This Row],[F.fin.cal]],"Sí","NO")</f>
        <v>Sí</v>
      </c>
      <c r="BT688" s="137" t="str">
        <f aca="false">IF(AND(DATOS_[[#This Row],[% normaliz]]&lt;&gt;1,DATOS_[[#This Row],[% anualiz]]=1),"Sí","NO")</f>
        <v>Sí</v>
      </c>
      <c r="BU688" s="137" t="str">
        <f aca="false">IF(AND(DATOS_[[#This Row],[% normaliz]]=1,DATOS_[[#This Row],[% anualiz]]&lt;&gt;1),"Sí","NO")</f>
        <v>NO</v>
      </c>
      <c r="BV688" s="137" t="str">
        <f aca="false">IF(AND(DATOS_[[#This Row],[% normaliz]]&lt;&gt;1,DATOS_[[#This Row],[% anualiz]]&lt;&gt;1),"Sí","NO")</f>
        <v>NO</v>
      </c>
      <c r="BW688" s="137" t="str">
        <f aca="false">+IF(DATOS_[[#This Row],[% normaliz]]*DATOS_[[#This Row],[% anualiz]]=1,"NO","Sí")</f>
        <v>Sí</v>
      </c>
      <c r="BX688" s="138" t="e">
        <f aca="false">(DATOS_[[#This Row],[S.BASE]]*(1/DATOS_[[#This Row],[% normaliz]])*(1/DATOS_[[#This Row],[% anualiz]]))*IF(DATOS_[[#This Row],[Check Equiparado]]="Sí",1,0)</f>
        <v>#DIV/0!</v>
      </c>
      <c r="BY6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8" s="138" t="e">
        <f aca="false">+DATOS_[[#This Row],[SALARIO BASE Eq]]+DATOS_[[#This Row],[Tot COMPL.SAL Eq]]</f>
        <v>#DIV/0!</v>
      </c>
      <c r="CA688" s="138" t="e">
        <f aca="false" t="array" ref="CA688:CA6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8" s="138" t="e">
        <f aca="false">+DATOS_[[#This Row],[TOTAL SALARIO Eq]]+DATOS_[[#This Row],[Tot Extrasalarial Eq]]</f>
        <v>#DIV/0!</v>
      </c>
      <c r="CC688" s="139" t="n">
        <f aca="false">DATOS_[[#This Row],[S.BASE]]</f>
        <v>0</v>
      </c>
      <c r="CD688" s="139" t="n">
        <f aca="false">+SUM(DATOS_[[#This Row],[Conc.Sal.01]:[Conc.Sal.30]])</f>
        <v>0</v>
      </c>
      <c r="CE688" s="139" t="n">
        <f aca="false">+DATOS_[[#This Row],[SALARIO BASE Ef]]+DATOS_[[#This Row],[Tot COMPL.SAL Ef]]</f>
        <v>0</v>
      </c>
      <c r="CF688" s="139" t="n">
        <f aca="false">+SUM(DATOS_[[#This Row],[C.Extra.01]:[C.Extra.05]])</f>
        <v>0</v>
      </c>
      <c r="CG688" s="139" t="n">
        <f aca="false">+DATOS_[[#This Row],[TOTAL SALARIO Ef]]+DATOS_[[#This Row],[Tot Extrasalarial Ef]]</f>
        <v>0</v>
      </c>
      <c r="CH688" s="140" t="n">
        <f aca="false">MIN(IF(DATOS_[[#This Row],[Fecha Fin Contrato]]="",$D$4,DATOS_[[#This Row],[Fecha Fin Contrato]]),$D$4)-MAX(DATOS_[[#This Row],[Fecha de Contratación]],$D$3)+1</f>
        <v>1</v>
      </c>
      <c r="CI688" s="141" t="str">
        <f aca="false">IF(COUNTIFS(DATOS_[id],DATOS_[[#This Row],[id]])&gt;1,DATOS_[[#This Row],[id]],"")</f>
        <v/>
      </c>
      <c r="CJ688" s="141" t="n">
        <f aca="false">(Inicio!$G$10-DATOS_[[#This Row],[Fecha Nacimiento]])/365.25</f>
        <v>0</v>
      </c>
      <c r="CK688" s="141" t="n">
        <f aca="false">(Inicio!$G$10-DATOS_[[#This Row],[Fecha de Antigüedad]])/365.25</f>
        <v>0</v>
      </c>
      <c r="CL688" s="141" t="e">
        <f aca="false">+VLOOKUP(DATOS_[[#This Row],[Clave de Contrato]],TblTiposContrato13[],3,0)</f>
        <v>#N/A</v>
      </c>
      <c r="CM688" s="141" t="e">
        <f aca="false">+VLOOKUP(DATOS_[[#This Row],[Clave de Contrato]],TblTiposContrato13[],4,0)</f>
        <v>#N/A</v>
      </c>
      <c r="CN688" s="141" t="str">
        <f aca="false">VLOOKUP(DATOS_[[#This Row],[Edad]],CONTRATOS!TblRngEdad,2,1)</f>
        <v>20  o menos</v>
      </c>
      <c r="CO688" s="141" t="str">
        <f aca="false">VLOOKUP(DATOS_[[#This Row],[Antigüedad]],TblRngAntg14[],2,1)</f>
        <v>0 a 1 años</v>
      </c>
    </row>
    <row r="689" customFormat="false" ht="13.8" hidden="false" customHeight="false" outlineLevel="0" collapsed="false">
      <c r="D689" s="128"/>
      <c r="E689" s="129"/>
      <c r="F689" s="129"/>
      <c r="G689" s="129"/>
      <c r="H689" s="130"/>
      <c r="I689" s="131"/>
      <c r="J689" s="128"/>
      <c r="K689" s="132"/>
      <c r="L689" s="132"/>
      <c r="M689" s="133"/>
      <c r="N689" s="133"/>
      <c r="O689" s="133"/>
      <c r="P689" s="129"/>
      <c r="Z689" s="75"/>
      <c r="AA689" s="76"/>
      <c r="AB689" s="76"/>
      <c r="AC689" s="129"/>
      <c r="AD689" s="134"/>
      <c r="AE689" s="134"/>
      <c r="AF689" s="134"/>
      <c r="AG689" s="134"/>
      <c r="AH689" s="134"/>
      <c r="AI689" s="134"/>
      <c r="AJ689" s="134"/>
      <c r="AK689" s="134"/>
      <c r="AL689" s="134"/>
      <c r="AM689" s="134"/>
      <c r="AN689" s="134"/>
      <c r="AO689" s="134"/>
      <c r="AP689" s="134"/>
      <c r="AQ689" s="134"/>
      <c r="AR689" s="134"/>
      <c r="AS689" s="134"/>
      <c r="AT689" s="134"/>
      <c r="AU689" s="134"/>
      <c r="AV689" s="134"/>
      <c r="AW689" s="134"/>
      <c r="AX689" s="134"/>
      <c r="AY689" s="134"/>
      <c r="AZ689" s="134"/>
      <c r="BA689" s="134"/>
      <c r="BB689" s="134"/>
      <c r="BC689" s="134"/>
      <c r="BD689" s="134"/>
      <c r="BE689" s="134"/>
      <c r="BF689" s="134"/>
      <c r="BG689" s="134"/>
      <c r="BH689" s="134"/>
      <c r="BI689" s="134"/>
      <c r="BJ689" s="134"/>
      <c r="BK689" s="134"/>
      <c r="BL689" s="134"/>
      <c r="BM689" s="135"/>
      <c r="BN689" s="136" t="n">
        <f aca="false">+MAX($D$3,DATOS_[[#This Row],[Fecha Inicio Sit. Contract.]])</f>
        <v>0</v>
      </c>
      <c r="BO689" s="136" t="n">
        <f aca="false">+MIN($D$4,DATOS_[[#This Row],[Fecha Fin Sit. Contract.]])</f>
        <v>0</v>
      </c>
      <c r="BP689" s="137" t="n">
        <f aca="false">+DATOS_[[#This Row],[% de jornada]]*IF(DATOS_[[#This Row],[% jornada reducida]]="",1,DATOS_[[#This Row],[% jornada reducida]])</f>
        <v>0</v>
      </c>
      <c r="BQ689" s="137" t="n">
        <f aca="false">+(DATOS_[[#This Row],[F.fin.cal]]-DATOS_[[#This Row],[F.ini.cal]]+1)/($D$4-$D$3+1)</f>
        <v>1</v>
      </c>
      <c r="BR689" s="137" t="str">
        <f aca="false">IF(OR(AND(DATOS_[[#This Row],[Fecha Fin Contrato]]&lt;$D$3,DATOS_[[#This Row],[Fecha Fin Contrato]]&lt;&gt;""),DATOS_[[#This Row],[Fecha de Contratación]]&gt;$D$4),"Fuera","Dentro")</f>
        <v>Dentro</v>
      </c>
      <c r="BS689" s="137" t="str">
        <f aca="false" t="array" ref="BS689:BS689">IF(MAX(IF(DATOS_[id]=DATOS_[[#This Row],[id]],DATOS_[F.fin.cal]))=DATOS_[[#This Row],[F.fin.cal]],"Sí","NO")</f>
        <v>Sí</v>
      </c>
      <c r="BT689" s="137" t="str">
        <f aca="false">IF(AND(DATOS_[[#This Row],[% normaliz]]&lt;&gt;1,DATOS_[[#This Row],[% anualiz]]=1),"Sí","NO")</f>
        <v>Sí</v>
      </c>
      <c r="BU689" s="137" t="str">
        <f aca="false">IF(AND(DATOS_[[#This Row],[% normaliz]]=1,DATOS_[[#This Row],[% anualiz]]&lt;&gt;1),"Sí","NO")</f>
        <v>NO</v>
      </c>
      <c r="BV689" s="137" t="str">
        <f aca="false">IF(AND(DATOS_[[#This Row],[% normaliz]]&lt;&gt;1,DATOS_[[#This Row],[% anualiz]]&lt;&gt;1),"Sí","NO")</f>
        <v>NO</v>
      </c>
      <c r="BW689" s="137" t="str">
        <f aca="false">+IF(DATOS_[[#This Row],[% normaliz]]*DATOS_[[#This Row],[% anualiz]]=1,"NO","Sí")</f>
        <v>Sí</v>
      </c>
      <c r="BX689" s="138" t="e">
        <f aca="false">(DATOS_[[#This Row],[S.BASE]]*(1/DATOS_[[#This Row],[% normaliz]])*(1/DATOS_[[#This Row],[% anualiz]]))*IF(DATOS_[[#This Row],[Check Equiparado]]="Sí",1,0)</f>
        <v>#DIV/0!</v>
      </c>
      <c r="BY6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9" s="138" t="e">
        <f aca="false">+DATOS_[[#This Row],[SALARIO BASE Eq]]+DATOS_[[#This Row],[Tot COMPL.SAL Eq]]</f>
        <v>#DIV/0!</v>
      </c>
      <c r="CA689" s="138" t="e">
        <f aca="false" t="array" ref="CA689:CA6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9" s="138" t="e">
        <f aca="false">+DATOS_[[#This Row],[TOTAL SALARIO Eq]]+DATOS_[[#This Row],[Tot Extrasalarial Eq]]</f>
        <v>#DIV/0!</v>
      </c>
      <c r="CC689" s="139" t="n">
        <f aca="false">DATOS_[[#This Row],[S.BASE]]</f>
        <v>0</v>
      </c>
      <c r="CD689" s="139" t="n">
        <f aca="false">+SUM(DATOS_[[#This Row],[Conc.Sal.01]:[Conc.Sal.30]])</f>
        <v>0</v>
      </c>
      <c r="CE689" s="139" t="n">
        <f aca="false">+DATOS_[[#This Row],[SALARIO BASE Ef]]+DATOS_[[#This Row],[Tot COMPL.SAL Ef]]</f>
        <v>0</v>
      </c>
      <c r="CF689" s="139" t="n">
        <f aca="false">+SUM(DATOS_[[#This Row],[C.Extra.01]:[C.Extra.05]])</f>
        <v>0</v>
      </c>
      <c r="CG689" s="139" t="n">
        <f aca="false">+DATOS_[[#This Row],[TOTAL SALARIO Ef]]+DATOS_[[#This Row],[Tot Extrasalarial Ef]]</f>
        <v>0</v>
      </c>
      <c r="CH689" s="140" t="n">
        <f aca="false">MIN(IF(DATOS_[[#This Row],[Fecha Fin Contrato]]="",$D$4,DATOS_[[#This Row],[Fecha Fin Contrato]]),$D$4)-MAX(DATOS_[[#This Row],[Fecha de Contratación]],$D$3)+1</f>
        <v>1</v>
      </c>
      <c r="CI689" s="141" t="str">
        <f aca="false">IF(COUNTIFS(DATOS_[id],DATOS_[[#This Row],[id]])&gt;1,DATOS_[[#This Row],[id]],"")</f>
        <v/>
      </c>
      <c r="CJ689" s="141" t="n">
        <f aca="false">(Inicio!$G$10-DATOS_[[#This Row],[Fecha Nacimiento]])/365.25</f>
        <v>0</v>
      </c>
      <c r="CK689" s="141" t="n">
        <f aca="false">(Inicio!$G$10-DATOS_[[#This Row],[Fecha de Antigüedad]])/365.25</f>
        <v>0</v>
      </c>
      <c r="CL689" s="141" t="e">
        <f aca="false">+VLOOKUP(DATOS_[[#This Row],[Clave de Contrato]],TblTiposContrato13[],3,0)</f>
        <v>#N/A</v>
      </c>
      <c r="CM689" s="141" t="e">
        <f aca="false">+VLOOKUP(DATOS_[[#This Row],[Clave de Contrato]],TblTiposContrato13[],4,0)</f>
        <v>#N/A</v>
      </c>
      <c r="CN689" s="141" t="str">
        <f aca="false">VLOOKUP(DATOS_[[#This Row],[Edad]],CONTRATOS!TblRngEdad,2,1)</f>
        <v>20  o menos</v>
      </c>
      <c r="CO689" s="141" t="str">
        <f aca="false">VLOOKUP(DATOS_[[#This Row],[Antigüedad]],TblRngAntg14[],2,1)</f>
        <v>0 a 1 años</v>
      </c>
    </row>
    <row r="690" customFormat="false" ht="13.8" hidden="false" customHeight="false" outlineLevel="0" collapsed="false">
      <c r="D690" s="128"/>
      <c r="E690" s="129"/>
      <c r="F690" s="129"/>
      <c r="G690" s="129"/>
      <c r="H690" s="130"/>
      <c r="I690" s="131"/>
      <c r="J690" s="128"/>
      <c r="K690" s="132"/>
      <c r="L690" s="132"/>
      <c r="M690" s="133"/>
      <c r="N690" s="133"/>
      <c r="O690" s="133"/>
      <c r="P690" s="129"/>
      <c r="Z690" s="75"/>
      <c r="AA690" s="76"/>
      <c r="AB690" s="76"/>
      <c r="AC690" s="129"/>
      <c r="AD690" s="134"/>
      <c r="AE690" s="134"/>
      <c r="AF690" s="134"/>
      <c r="AG690" s="134"/>
      <c r="AH690" s="134"/>
      <c r="AI690" s="134"/>
      <c r="AJ690" s="134"/>
      <c r="AK690" s="134"/>
      <c r="AL690" s="134"/>
      <c r="AM690" s="134"/>
      <c r="AN690" s="134"/>
      <c r="AO690" s="134"/>
      <c r="AP690" s="134"/>
      <c r="AQ690" s="134"/>
      <c r="AR690" s="134"/>
      <c r="AS690" s="134"/>
      <c r="AT690" s="134"/>
      <c r="AU690" s="134"/>
      <c r="AV690" s="134"/>
      <c r="AW690" s="134"/>
      <c r="AX690" s="134"/>
      <c r="AY690" s="134"/>
      <c r="AZ690" s="134"/>
      <c r="BA690" s="134"/>
      <c r="BB690" s="134"/>
      <c r="BC690" s="134"/>
      <c r="BD690" s="134"/>
      <c r="BE690" s="134"/>
      <c r="BF690" s="134"/>
      <c r="BG690" s="134"/>
      <c r="BH690" s="134"/>
      <c r="BI690" s="134"/>
      <c r="BJ690" s="134"/>
      <c r="BK690" s="134"/>
      <c r="BL690" s="134"/>
      <c r="BM690" s="135"/>
      <c r="BN690" s="136" t="n">
        <f aca="false">+MAX($D$3,DATOS_[[#This Row],[Fecha Inicio Sit. Contract.]])</f>
        <v>0</v>
      </c>
      <c r="BO690" s="136" t="n">
        <f aca="false">+MIN($D$4,DATOS_[[#This Row],[Fecha Fin Sit. Contract.]])</f>
        <v>0</v>
      </c>
      <c r="BP690" s="137" t="n">
        <f aca="false">+DATOS_[[#This Row],[% de jornada]]*IF(DATOS_[[#This Row],[% jornada reducida]]="",1,DATOS_[[#This Row],[% jornada reducida]])</f>
        <v>0</v>
      </c>
      <c r="BQ690" s="137" t="n">
        <f aca="false">+(DATOS_[[#This Row],[F.fin.cal]]-DATOS_[[#This Row],[F.ini.cal]]+1)/($D$4-$D$3+1)</f>
        <v>1</v>
      </c>
      <c r="BR690" s="137" t="str">
        <f aca="false">IF(OR(AND(DATOS_[[#This Row],[Fecha Fin Contrato]]&lt;$D$3,DATOS_[[#This Row],[Fecha Fin Contrato]]&lt;&gt;""),DATOS_[[#This Row],[Fecha de Contratación]]&gt;$D$4),"Fuera","Dentro")</f>
        <v>Dentro</v>
      </c>
      <c r="BS690" s="137" t="str">
        <f aca="false" t="array" ref="BS690:BS690">IF(MAX(IF(DATOS_[id]=DATOS_[[#This Row],[id]],DATOS_[F.fin.cal]))=DATOS_[[#This Row],[F.fin.cal]],"Sí","NO")</f>
        <v>Sí</v>
      </c>
      <c r="BT690" s="137" t="str">
        <f aca="false">IF(AND(DATOS_[[#This Row],[% normaliz]]&lt;&gt;1,DATOS_[[#This Row],[% anualiz]]=1),"Sí","NO")</f>
        <v>Sí</v>
      </c>
      <c r="BU690" s="137" t="str">
        <f aca="false">IF(AND(DATOS_[[#This Row],[% normaliz]]=1,DATOS_[[#This Row],[% anualiz]]&lt;&gt;1),"Sí","NO")</f>
        <v>NO</v>
      </c>
      <c r="BV690" s="137" t="str">
        <f aca="false">IF(AND(DATOS_[[#This Row],[% normaliz]]&lt;&gt;1,DATOS_[[#This Row],[% anualiz]]&lt;&gt;1),"Sí","NO")</f>
        <v>NO</v>
      </c>
      <c r="BW690" s="137" t="str">
        <f aca="false">+IF(DATOS_[[#This Row],[% normaliz]]*DATOS_[[#This Row],[% anualiz]]=1,"NO","Sí")</f>
        <v>Sí</v>
      </c>
      <c r="BX690" s="138" t="e">
        <f aca="false">(DATOS_[[#This Row],[S.BASE]]*(1/DATOS_[[#This Row],[% normaliz]])*(1/DATOS_[[#This Row],[% anualiz]]))*IF(DATOS_[[#This Row],[Check Equiparado]]="Sí",1,0)</f>
        <v>#DIV/0!</v>
      </c>
      <c r="BY6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0" s="138" t="e">
        <f aca="false">+DATOS_[[#This Row],[SALARIO BASE Eq]]+DATOS_[[#This Row],[Tot COMPL.SAL Eq]]</f>
        <v>#DIV/0!</v>
      </c>
      <c r="CA690" s="138" t="e">
        <f aca="false" t="array" ref="CA690:CA6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0" s="138" t="e">
        <f aca="false">+DATOS_[[#This Row],[TOTAL SALARIO Eq]]+DATOS_[[#This Row],[Tot Extrasalarial Eq]]</f>
        <v>#DIV/0!</v>
      </c>
      <c r="CC690" s="139" t="n">
        <f aca="false">DATOS_[[#This Row],[S.BASE]]</f>
        <v>0</v>
      </c>
      <c r="CD690" s="139" t="n">
        <f aca="false">+SUM(DATOS_[[#This Row],[Conc.Sal.01]:[Conc.Sal.30]])</f>
        <v>0</v>
      </c>
      <c r="CE690" s="139" t="n">
        <f aca="false">+DATOS_[[#This Row],[SALARIO BASE Ef]]+DATOS_[[#This Row],[Tot COMPL.SAL Ef]]</f>
        <v>0</v>
      </c>
      <c r="CF690" s="139" t="n">
        <f aca="false">+SUM(DATOS_[[#This Row],[C.Extra.01]:[C.Extra.05]])</f>
        <v>0</v>
      </c>
      <c r="CG690" s="139" t="n">
        <f aca="false">+DATOS_[[#This Row],[TOTAL SALARIO Ef]]+DATOS_[[#This Row],[Tot Extrasalarial Ef]]</f>
        <v>0</v>
      </c>
      <c r="CH690" s="140" t="n">
        <f aca="false">MIN(IF(DATOS_[[#This Row],[Fecha Fin Contrato]]="",$D$4,DATOS_[[#This Row],[Fecha Fin Contrato]]),$D$4)-MAX(DATOS_[[#This Row],[Fecha de Contratación]],$D$3)+1</f>
        <v>1</v>
      </c>
      <c r="CI690" s="141" t="str">
        <f aca="false">IF(COUNTIFS(DATOS_[id],DATOS_[[#This Row],[id]])&gt;1,DATOS_[[#This Row],[id]],"")</f>
        <v/>
      </c>
      <c r="CJ690" s="141" t="n">
        <f aca="false">(Inicio!$G$10-DATOS_[[#This Row],[Fecha Nacimiento]])/365.25</f>
        <v>0</v>
      </c>
      <c r="CK690" s="141" t="n">
        <f aca="false">(Inicio!$G$10-DATOS_[[#This Row],[Fecha de Antigüedad]])/365.25</f>
        <v>0</v>
      </c>
      <c r="CL690" s="141" t="e">
        <f aca="false">+VLOOKUP(DATOS_[[#This Row],[Clave de Contrato]],TblTiposContrato13[],3,0)</f>
        <v>#N/A</v>
      </c>
      <c r="CM690" s="141" t="e">
        <f aca="false">+VLOOKUP(DATOS_[[#This Row],[Clave de Contrato]],TblTiposContrato13[],4,0)</f>
        <v>#N/A</v>
      </c>
      <c r="CN690" s="141" t="str">
        <f aca="false">VLOOKUP(DATOS_[[#This Row],[Edad]],CONTRATOS!TblRngEdad,2,1)</f>
        <v>20  o menos</v>
      </c>
      <c r="CO690" s="141" t="str">
        <f aca="false">VLOOKUP(DATOS_[[#This Row],[Antigüedad]],TblRngAntg14[],2,1)</f>
        <v>0 a 1 años</v>
      </c>
    </row>
    <row r="691" customFormat="false" ht="13.8" hidden="false" customHeight="false" outlineLevel="0" collapsed="false">
      <c r="D691" s="128"/>
      <c r="E691" s="129"/>
      <c r="F691" s="129"/>
      <c r="G691" s="129"/>
      <c r="H691" s="130"/>
      <c r="I691" s="131"/>
      <c r="J691" s="128"/>
      <c r="K691" s="132"/>
      <c r="L691" s="132"/>
      <c r="M691" s="133"/>
      <c r="N691" s="133"/>
      <c r="O691" s="133"/>
      <c r="P691" s="129"/>
      <c r="Z691" s="75"/>
      <c r="AA691" s="76"/>
      <c r="AB691" s="76"/>
      <c r="AC691" s="129"/>
      <c r="AD691" s="134"/>
      <c r="AE691" s="134"/>
      <c r="AF691" s="134"/>
      <c r="AG691" s="134"/>
      <c r="AH691" s="134"/>
      <c r="AI691" s="134"/>
      <c r="AJ691" s="134"/>
      <c r="AK691" s="134"/>
      <c r="AL691" s="134"/>
      <c r="AM691" s="134"/>
      <c r="AN691" s="134"/>
      <c r="AO691" s="134"/>
      <c r="AP691" s="134"/>
      <c r="AQ691" s="134"/>
      <c r="AR691" s="134"/>
      <c r="AS691" s="134"/>
      <c r="AT691" s="134"/>
      <c r="AU691" s="134"/>
      <c r="AV691" s="134"/>
      <c r="AW691" s="134"/>
      <c r="AX691" s="134"/>
      <c r="AY691" s="134"/>
      <c r="AZ691" s="134"/>
      <c r="BA691" s="134"/>
      <c r="BB691" s="134"/>
      <c r="BC691" s="134"/>
      <c r="BD691" s="134"/>
      <c r="BE691" s="134"/>
      <c r="BF691" s="134"/>
      <c r="BG691" s="134"/>
      <c r="BH691" s="134"/>
      <c r="BI691" s="134"/>
      <c r="BJ691" s="134"/>
      <c r="BK691" s="134"/>
      <c r="BL691" s="134"/>
      <c r="BM691" s="135"/>
      <c r="BN691" s="136" t="n">
        <f aca="false">+MAX($D$3,DATOS_[[#This Row],[Fecha Inicio Sit. Contract.]])</f>
        <v>0</v>
      </c>
      <c r="BO691" s="136" t="n">
        <f aca="false">+MIN($D$4,DATOS_[[#This Row],[Fecha Fin Sit. Contract.]])</f>
        <v>0</v>
      </c>
      <c r="BP691" s="137" t="n">
        <f aca="false">+DATOS_[[#This Row],[% de jornada]]*IF(DATOS_[[#This Row],[% jornada reducida]]="",1,DATOS_[[#This Row],[% jornada reducida]])</f>
        <v>0</v>
      </c>
      <c r="BQ691" s="137" t="n">
        <f aca="false">+(DATOS_[[#This Row],[F.fin.cal]]-DATOS_[[#This Row],[F.ini.cal]]+1)/($D$4-$D$3+1)</f>
        <v>1</v>
      </c>
      <c r="BR691" s="137" t="str">
        <f aca="false">IF(OR(AND(DATOS_[[#This Row],[Fecha Fin Contrato]]&lt;$D$3,DATOS_[[#This Row],[Fecha Fin Contrato]]&lt;&gt;""),DATOS_[[#This Row],[Fecha de Contratación]]&gt;$D$4),"Fuera","Dentro")</f>
        <v>Dentro</v>
      </c>
      <c r="BS691" s="137" t="str">
        <f aca="false" t="array" ref="BS691:BS691">IF(MAX(IF(DATOS_[id]=DATOS_[[#This Row],[id]],DATOS_[F.fin.cal]))=DATOS_[[#This Row],[F.fin.cal]],"Sí","NO")</f>
        <v>Sí</v>
      </c>
      <c r="BT691" s="137" t="str">
        <f aca="false">IF(AND(DATOS_[[#This Row],[% normaliz]]&lt;&gt;1,DATOS_[[#This Row],[% anualiz]]=1),"Sí","NO")</f>
        <v>Sí</v>
      </c>
      <c r="BU691" s="137" t="str">
        <f aca="false">IF(AND(DATOS_[[#This Row],[% normaliz]]=1,DATOS_[[#This Row],[% anualiz]]&lt;&gt;1),"Sí","NO")</f>
        <v>NO</v>
      </c>
      <c r="BV691" s="137" t="str">
        <f aca="false">IF(AND(DATOS_[[#This Row],[% normaliz]]&lt;&gt;1,DATOS_[[#This Row],[% anualiz]]&lt;&gt;1),"Sí","NO")</f>
        <v>NO</v>
      </c>
      <c r="BW691" s="137" t="str">
        <f aca="false">+IF(DATOS_[[#This Row],[% normaliz]]*DATOS_[[#This Row],[% anualiz]]=1,"NO","Sí")</f>
        <v>Sí</v>
      </c>
      <c r="BX691" s="138" t="e">
        <f aca="false">(DATOS_[[#This Row],[S.BASE]]*(1/DATOS_[[#This Row],[% normaliz]])*(1/DATOS_[[#This Row],[% anualiz]]))*IF(DATOS_[[#This Row],[Check Equiparado]]="Sí",1,0)</f>
        <v>#DIV/0!</v>
      </c>
      <c r="BY6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1" s="138" t="e">
        <f aca="false">+DATOS_[[#This Row],[SALARIO BASE Eq]]+DATOS_[[#This Row],[Tot COMPL.SAL Eq]]</f>
        <v>#DIV/0!</v>
      </c>
      <c r="CA691" s="138" t="e">
        <f aca="false" t="array" ref="CA691:CA6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1" s="138" t="e">
        <f aca="false">+DATOS_[[#This Row],[TOTAL SALARIO Eq]]+DATOS_[[#This Row],[Tot Extrasalarial Eq]]</f>
        <v>#DIV/0!</v>
      </c>
      <c r="CC691" s="139" t="n">
        <f aca="false">DATOS_[[#This Row],[S.BASE]]</f>
        <v>0</v>
      </c>
      <c r="CD691" s="139" t="n">
        <f aca="false">+SUM(DATOS_[[#This Row],[Conc.Sal.01]:[Conc.Sal.30]])</f>
        <v>0</v>
      </c>
      <c r="CE691" s="139" t="n">
        <f aca="false">+DATOS_[[#This Row],[SALARIO BASE Ef]]+DATOS_[[#This Row],[Tot COMPL.SAL Ef]]</f>
        <v>0</v>
      </c>
      <c r="CF691" s="139" t="n">
        <f aca="false">+SUM(DATOS_[[#This Row],[C.Extra.01]:[C.Extra.05]])</f>
        <v>0</v>
      </c>
      <c r="CG691" s="139" t="n">
        <f aca="false">+DATOS_[[#This Row],[TOTAL SALARIO Ef]]+DATOS_[[#This Row],[Tot Extrasalarial Ef]]</f>
        <v>0</v>
      </c>
      <c r="CH691" s="140" t="n">
        <f aca="false">MIN(IF(DATOS_[[#This Row],[Fecha Fin Contrato]]="",$D$4,DATOS_[[#This Row],[Fecha Fin Contrato]]),$D$4)-MAX(DATOS_[[#This Row],[Fecha de Contratación]],$D$3)+1</f>
        <v>1</v>
      </c>
      <c r="CI691" s="141" t="str">
        <f aca="false">IF(COUNTIFS(DATOS_[id],DATOS_[[#This Row],[id]])&gt;1,DATOS_[[#This Row],[id]],"")</f>
        <v/>
      </c>
      <c r="CJ691" s="141" t="n">
        <f aca="false">(Inicio!$G$10-DATOS_[[#This Row],[Fecha Nacimiento]])/365.25</f>
        <v>0</v>
      </c>
      <c r="CK691" s="141" t="n">
        <f aca="false">(Inicio!$G$10-DATOS_[[#This Row],[Fecha de Antigüedad]])/365.25</f>
        <v>0</v>
      </c>
      <c r="CL691" s="141" t="e">
        <f aca="false">+VLOOKUP(DATOS_[[#This Row],[Clave de Contrato]],TblTiposContrato13[],3,0)</f>
        <v>#N/A</v>
      </c>
      <c r="CM691" s="141" t="e">
        <f aca="false">+VLOOKUP(DATOS_[[#This Row],[Clave de Contrato]],TblTiposContrato13[],4,0)</f>
        <v>#N/A</v>
      </c>
      <c r="CN691" s="141" t="str">
        <f aca="false">VLOOKUP(DATOS_[[#This Row],[Edad]],CONTRATOS!TblRngEdad,2,1)</f>
        <v>20  o menos</v>
      </c>
      <c r="CO691" s="141" t="str">
        <f aca="false">VLOOKUP(DATOS_[[#This Row],[Antigüedad]],TblRngAntg14[],2,1)</f>
        <v>0 a 1 años</v>
      </c>
    </row>
    <row r="692" customFormat="false" ht="13.8" hidden="false" customHeight="false" outlineLevel="0" collapsed="false">
      <c r="D692" s="128"/>
      <c r="E692" s="129"/>
      <c r="F692" s="129"/>
      <c r="G692" s="129"/>
      <c r="H692" s="130"/>
      <c r="I692" s="131"/>
      <c r="J692" s="128"/>
      <c r="K692" s="132"/>
      <c r="L692" s="132"/>
      <c r="M692" s="133"/>
      <c r="N692" s="133"/>
      <c r="O692" s="133"/>
      <c r="P692" s="129"/>
      <c r="Z692" s="75"/>
      <c r="AA692" s="76"/>
      <c r="AB692" s="76"/>
      <c r="AC692" s="129"/>
      <c r="AD692" s="134"/>
      <c r="AE692" s="134"/>
      <c r="AF692" s="134"/>
      <c r="AG692" s="134"/>
      <c r="AH692" s="134"/>
      <c r="AI692" s="134"/>
      <c r="AJ692" s="134"/>
      <c r="AK692" s="134"/>
      <c r="AL692" s="134"/>
      <c r="AM692" s="134"/>
      <c r="AN692" s="134"/>
      <c r="AO692" s="134"/>
      <c r="AP692" s="134"/>
      <c r="AQ692" s="134"/>
      <c r="AR692" s="134"/>
      <c r="AS692" s="134"/>
      <c r="AT692" s="134"/>
      <c r="AU692" s="134"/>
      <c r="AV692" s="134"/>
      <c r="AW692" s="134"/>
      <c r="AX692" s="134"/>
      <c r="AY692" s="134"/>
      <c r="AZ692" s="134"/>
      <c r="BA692" s="134"/>
      <c r="BB692" s="134"/>
      <c r="BC692" s="134"/>
      <c r="BD692" s="134"/>
      <c r="BE692" s="134"/>
      <c r="BF692" s="134"/>
      <c r="BG692" s="134"/>
      <c r="BH692" s="134"/>
      <c r="BI692" s="134"/>
      <c r="BJ692" s="134"/>
      <c r="BK692" s="134"/>
      <c r="BL692" s="134"/>
      <c r="BM692" s="135"/>
      <c r="BN692" s="136" t="n">
        <f aca="false">+MAX($D$3,DATOS_[[#This Row],[Fecha Inicio Sit. Contract.]])</f>
        <v>0</v>
      </c>
      <c r="BO692" s="136" t="n">
        <f aca="false">+MIN($D$4,DATOS_[[#This Row],[Fecha Fin Sit. Contract.]])</f>
        <v>0</v>
      </c>
      <c r="BP692" s="137" t="n">
        <f aca="false">+DATOS_[[#This Row],[% de jornada]]*IF(DATOS_[[#This Row],[% jornada reducida]]="",1,DATOS_[[#This Row],[% jornada reducida]])</f>
        <v>0</v>
      </c>
      <c r="BQ692" s="137" t="n">
        <f aca="false">+(DATOS_[[#This Row],[F.fin.cal]]-DATOS_[[#This Row],[F.ini.cal]]+1)/($D$4-$D$3+1)</f>
        <v>1</v>
      </c>
      <c r="BR692" s="137" t="str">
        <f aca="false">IF(OR(AND(DATOS_[[#This Row],[Fecha Fin Contrato]]&lt;$D$3,DATOS_[[#This Row],[Fecha Fin Contrato]]&lt;&gt;""),DATOS_[[#This Row],[Fecha de Contratación]]&gt;$D$4),"Fuera","Dentro")</f>
        <v>Dentro</v>
      </c>
      <c r="BS692" s="137" t="str">
        <f aca="false" t="array" ref="BS692:BS692">IF(MAX(IF(DATOS_[id]=DATOS_[[#This Row],[id]],DATOS_[F.fin.cal]))=DATOS_[[#This Row],[F.fin.cal]],"Sí","NO")</f>
        <v>Sí</v>
      </c>
      <c r="BT692" s="137" t="str">
        <f aca="false">IF(AND(DATOS_[[#This Row],[% normaliz]]&lt;&gt;1,DATOS_[[#This Row],[% anualiz]]=1),"Sí","NO")</f>
        <v>Sí</v>
      </c>
      <c r="BU692" s="137" t="str">
        <f aca="false">IF(AND(DATOS_[[#This Row],[% normaliz]]=1,DATOS_[[#This Row],[% anualiz]]&lt;&gt;1),"Sí","NO")</f>
        <v>NO</v>
      </c>
      <c r="BV692" s="137" t="str">
        <f aca="false">IF(AND(DATOS_[[#This Row],[% normaliz]]&lt;&gt;1,DATOS_[[#This Row],[% anualiz]]&lt;&gt;1),"Sí","NO")</f>
        <v>NO</v>
      </c>
      <c r="BW692" s="137" t="str">
        <f aca="false">+IF(DATOS_[[#This Row],[% normaliz]]*DATOS_[[#This Row],[% anualiz]]=1,"NO","Sí")</f>
        <v>Sí</v>
      </c>
      <c r="BX692" s="138" t="e">
        <f aca="false">(DATOS_[[#This Row],[S.BASE]]*(1/DATOS_[[#This Row],[% normaliz]])*(1/DATOS_[[#This Row],[% anualiz]]))*IF(DATOS_[[#This Row],[Check Equiparado]]="Sí",1,0)</f>
        <v>#DIV/0!</v>
      </c>
      <c r="BY6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2" s="138" t="e">
        <f aca="false">+DATOS_[[#This Row],[SALARIO BASE Eq]]+DATOS_[[#This Row],[Tot COMPL.SAL Eq]]</f>
        <v>#DIV/0!</v>
      </c>
      <c r="CA692" s="138" t="e">
        <f aca="false" t="array" ref="CA692:CA6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2" s="138" t="e">
        <f aca="false">+DATOS_[[#This Row],[TOTAL SALARIO Eq]]+DATOS_[[#This Row],[Tot Extrasalarial Eq]]</f>
        <v>#DIV/0!</v>
      </c>
      <c r="CC692" s="139" t="n">
        <f aca="false">DATOS_[[#This Row],[S.BASE]]</f>
        <v>0</v>
      </c>
      <c r="CD692" s="139" t="n">
        <f aca="false">+SUM(DATOS_[[#This Row],[Conc.Sal.01]:[Conc.Sal.30]])</f>
        <v>0</v>
      </c>
      <c r="CE692" s="139" t="n">
        <f aca="false">+DATOS_[[#This Row],[SALARIO BASE Ef]]+DATOS_[[#This Row],[Tot COMPL.SAL Ef]]</f>
        <v>0</v>
      </c>
      <c r="CF692" s="139" t="n">
        <f aca="false">+SUM(DATOS_[[#This Row],[C.Extra.01]:[C.Extra.05]])</f>
        <v>0</v>
      </c>
      <c r="CG692" s="139" t="n">
        <f aca="false">+DATOS_[[#This Row],[TOTAL SALARIO Ef]]+DATOS_[[#This Row],[Tot Extrasalarial Ef]]</f>
        <v>0</v>
      </c>
      <c r="CH692" s="140" t="n">
        <f aca="false">MIN(IF(DATOS_[[#This Row],[Fecha Fin Contrato]]="",$D$4,DATOS_[[#This Row],[Fecha Fin Contrato]]),$D$4)-MAX(DATOS_[[#This Row],[Fecha de Contratación]],$D$3)+1</f>
        <v>1</v>
      </c>
      <c r="CI692" s="141" t="str">
        <f aca="false">IF(COUNTIFS(DATOS_[id],DATOS_[[#This Row],[id]])&gt;1,DATOS_[[#This Row],[id]],"")</f>
        <v/>
      </c>
      <c r="CJ692" s="141" t="n">
        <f aca="false">(Inicio!$G$10-DATOS_[[#This Row],[Fecha Nacimiento]])/365.25</f>
        <v>0</v>
      </c>
      <c r="CK692" s="141" t="n">
        <f aca="false">(Inicio!$G$10-DATOS_[[#This Row],[Fecha de Antigüedad]])/365.25</f>
        <v>0</v>
      </c>
      <c r="CL692" s="141" t="e">
        <f aca="false">+VLOOKUP(DATOS_[[#This Row],[Clave de Contrato]],TblTiposContrato13[],3,0)</f>
        <v>#N/A</v>
      </c>
      <c r="CM692" s="141" t="e">
        <f aca="false">+VLOOKUP(DATOS_[[#This Row],[Clave de Contrato]],TblTiposContrato13[],4,0)</f>
        <v>#N/A</v>
      </c>
      <c r="CN692" s="141" t="str">
        <f aca="false">VLOOKUP(DATOS_[[#This Row],[Edad]],CONTRATOS!TblRngEdad,2,1)</f>
        <v>20  o menos</v>
      </c>
      <c r="CO692" s="141" t="str">
        <f aca="false">VLOOKUP(DATOS_[[#This Row],[Antigüedad]],TblRngAntg14[],2,1)</f>
        <v>0 a 1 años</v>
      </c>
    </row>
    <row r="693" customFormat="false" ht="13.8" hidden="false" customHeight="false" outlineLevel="0" collapsed="false">
      <c r="D693" s="128"/>
      <c r="E693" s="129"/>
      <c r="F693" s="129"/>
      <c r="G693" s="129"/>
      <c r="H693" s="130"/>
      <c r="I693" s="131"/>
      <c r="J693" s="128"/>
      <c r="K693" s="132"/>
      <c r="L693" s="132"/>
      <c r="M693" s="133"/>
      <c r="N693" s="133"/>
      <c r="O693" s="133"/>
      <c r="P693" s="129"/>
      <c r="Z693" s="75"/>
      <c r="AA693" s="76"/>
      <c r="AB693" s="76"/>
      <c r="AC693" s="129"/>
      <c r="AD693" s="134"/>
      <c r="AE693" s="134"/>
      <c r="AF693" s="134"/>
      <c r="AG693" s="134"/>
      <c r="AH693" s="134"/>
      <c r="AI693" s="134"/>
      <c r="AJ693" s="134"/>
      <c r="AK693" s="134"/>
      <c r="AL693" s="134"/>
      <c r="AM693" s="134"/>
      <c r="AN693" s="134"/>
      <c r="AO693" s="134"/>
      <c r="AP693" s="134"/>
      <c r="AQ693" s="134"/>
      <c r="AR693" s="134"/>
      <c r="AS693" s="134"/>
      <c r="AT693" s="134"/>
      <c r="AU693" s="134"/>
      <c r="AV693" s="134"/>
      <c r="AW693" s="134"/>
      <c r="AX693" s="134"/>
      <c r="AY693" s="134"/>
      <c r="AZ693" s="134"/>
      <c r="BA693" s="134"/>
      <c r="BB693" s="134"/>
      <c r="BC693" s="134"/>
      <c r="BD693" s="134"/>
      <c r="BE693" s="134"/>
      <c r="BF693" s="134"/>
      <c r="BG693" s="134"/>
      <c r="BH693" s="134"/>
      <c r="BI693" s="134"/>
      <c r="BJ693" s="134"/>
      <c r="BK693" s="134"/>
      <c r="BL693" s="134"/>
      <c r="BM693" s="135"/>
      <c r="BN693" s="136" t="n">
        <f aca="false">+MAX($D$3,DATOS_[[#This Row],[Fecha Inicio Sit. Contract.]])</f>
        <v>0</v>
      </c>
      <c r="BO693" s="136" t="n">
        <f aca="false">+MIN($D$4,DATOS_[[#This Row],[Fecha Fin Sit. Contract.]])</f>
        <v>0</v>
      </c>
      <c r="BP693" s="137" t="n">
        <f aca="false">+DATOS_[[#This Row],[% de jornada]]*IF(DATOS_[[#This Row],[% jornada reducida]]="",1,DATOS_[[#This Row],[% jornada reducida]])</f>
        <v>0</v>
      </c>
      <c r="BQ693" s="137" t="n">
        <f aca="false">+(DATOS_[[#This Row],[F.fin.cal]]-DATOS_[[#This Row],[F.ini.cal]]+1)/($D$4-$D$3+1)</f>
        <v>1</v>
      </c>
      <c r="BR693" s="137" t="str">
        <f aca="false">IF(OR(AND(DATOS_[[#This Row],[Fecha Fin Contrato]]&lt;$D$3,DATOS_[[#This Row],[Fecha Fin Contrato]]&lt;&gt;""),DATOS_[[#This Row],[Fecha de Contratación]]&gt;$D$4),"Fuera","Dentro")</f>
        <v>Dentro</v>
      </c>
      <c r="BS693" s="137" t="str">
        <f aca="false" t="array" ref="BS693:BS693">IF(MAX(IF(DATOS_[id]=DATOS_[[#This Row],[id]],DATOS_[F.fin.cal]))=DATOS_[[#This Row],[F.fin.cal]],"Sí","NO")</f>
        <v>Sí</v>
      </c>
      <c r="BT693" s="137" t="str">
        <f aca="false">IF(AND(DATOS_[[#This Row],[% normaliz]]&lt;&gt;1,DATOS_[[#This Row],[% anualiz]]=1),"Sí","NO")</f>
        <v>Sí</v>
      </c>
      <c r="BU693" s="137" t="str">
        <f aca="false">IF(AND(DATOS_[[#This Row],[% normaliz]]=1,DATOS_[[#This Row],[% anualiz]]&lt;&gt;1),"Sí","NO")</f>
        <v>NO</v>
      </c>
      <c r="BV693" s="137" t="str">
        <f aca="false">IF(AND(DATOS_[[#This Row],[% normaliz]]&lt;&gt;1,DATOS_[[#This Row],[% anualiz]]&lt;&gt;1),"Sí","NO")</f>
        <v>NO</v>
      </c>
      <c r="BW693" s="137" t="str">
        <f aca="false">+IF(DATOS_[[#This Row],[% normaliz]]*DATOS_[[#This Row],[% anualiz]]=1,"NO","Sí")</f>
        <v>Sí</v>
      </c>
      <c r="BX693" s="138" t="e">
        <f aca="false">(DATOS_[[#This Row],[S.BASE]]*(1/DATOS_[[#This Row],[% normaliz]])*(1/DATOS_[[#This Row],[% anualiz]]))*IF(DATOS_[[#This Row],[Check Equiparado]]="Sí",1,0)</f>
        <v>#DIV/0!</v>
      </c>
      <c r="BY6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3" s="138" t="e">
        <f aca="false">+DATOS_[[#This Row],[SALARIO BASE Eq]]+DATOS_[[#This Row],[Tot COMPL.SAL Eq]]</f>
        <v>#DIV/0!</v>
      </c>
      <c r="CA693" s="138" t="e">
        <f aca="false" t="array" ref="CA693:CA6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3" s="138" t="e">
        <f aca="false">+DATOS_[[#This Row],[TOTAL SALARIO Eq]]+DATOS_[[#This Row],[Tot Extrasalarial Eq]]</f>
        <v>#DIV/0!</v>
      </c>
      <c r="CC693" s="139" t="n">
        <f aca="false">DATOS_[[#This Row],[S.BASE]]</f>
        <v>0</v>
      </c>
      <c r="CD693" s="139" t="n">
        <f aca="false">+SUM(DATOS_[[#This Row],[Conc.Sal.01]:[Conc.Sal.30]])</f>
        <v>0</v>
      </c>
      <c r="CE693" s="139" t="n">
        <f aca="false">+DATOS_[[#This Row],[SALARIO BASE Ef]]+DATOS_[[#This Row],[Tot COMPL.SAL Ef]]</f>
        <v>0</v>
      </c>
      <c r="CF693" s="139" t="n">
        <f aca="false">+SUM(DATOS_[[#This Row],[C.Extra.01]:[C.Extra.05]])</f>
        <v>0</v>
      </c>
      <c r="CG693" s="139" t="n">
        <f aca="false">+DATOS_[[#This Row],[TOTAL SALARIO Ef]]+DATOS_[[#This Row],[Tot Extrasalarial Ef]]</f>
        <v>0</v>
      </c>
      <c r="CH693" s="140" t="n">
        <f aca="false">MIN(IF(DATOS_[[#This Row],[Fecha Fin Contrato]]="",$D$4,DATOS_[[#This Row],[Fecha Fin Contrato]]),$D$4)-MAX(DATOS_[[#This Row],[Fecha de Contratación]],$D$3)+1</f>
        <v>1</v>
      </c>
      <c r="CI693" s="141" t="str">
        <f aca="false">IF(COUNTIFS(DATOS_[id],DATOS_[[#This Row],[id]])&gt;1,DATOS_[[#This Row],[id]],"")</f>
        <v/>
      </c>
      <c r="CJ693" s="141" t="n">
        <f aca="false">(Inicio!$G$10-DATOS_[[#This Row],[Fecha Nacimiento]])/365.25</f>
        <v>0</v>
      </c>
      <c r="CK693" s="141" t="n">
        <f aca="false">(Inicio!$G$10-DATOS_[[#This Row],[Fecha de Antigüedad]])/365.25</f>
        <v>0</v>
      </c>
      <c r="CL693" s="141" t="e">
        <f aca="false">+VLOOKUP(DATOS_[[#This Row],[Clave de Contrato]],TblTiposContrato13[],3,0)</f>
        <v>#N/A</v>
      </c>
      <c r="CM693" s="141" t="e">
        <f aca="false">+VLOOKUP(DATOS_[[#This Row],[Clave de Contrato]],TblTiposContrato13[],4,0)</f>
        <v>#N/A</v>
      </c>
      <c r="CN693" s="141" t="str">
        <f aca="false">VLOOKUP(DATOS_[[#This Row],[Edad]],CONTRATOS!TblRngEdad,2,1)</f>
        <v>20  o menos</v>
      </c>
      <c r="CO693" s="141" t="str">
        <f aca="false">VLOOKUP(DATOS_[[#This Row],[Antigüedad]],TblRngAntg14[],2,1)</f>
        <v>0 a 1 años</v>
      </c>
    </row>
    <row r="694" customFormat="false" ht="13.8" hidden="false" customHeight="false" outlineLevel="0" collapsed="false">
      <c r="D694" s="128"/>
      <c r="E694" s="129"/>
      <c r="F694" s="129"/>
      <c r="G694" s="129"/>
      <c r="H694" s="130"/>
      <c r="I694" s="131"/>
      <c r="J694" s="128"/>
      <c r="K694" s="132"/>
      <c r="L694" s="132"/>
      <c r="M694" s="133"/>
      <c r="N694" s="133"/>
      <c r="O694" s="133"/>
      <c r="P694" s="129"/>
      <c r="Z694" s="75"/>
      <c r="AA694" s="76"/>
      <c r="AB694" s="76"/>
      <c r="AC694" s="129"/>
      <c r="AD694" s="134"/>
      <c r="AE694" s="134"/>
      <c r="AF694" s="134"/>
      <c r="AG694" s="134"/>
      <c r="AH694" s="134"/>
      <c r="AI694" s="134"/>
      <c r="AJ694" s="134"/>
      <c r="AK694" s="134"/>
      <c r="AL694" s="134"/>
      <c r="AM694" s="134"/>
      <c r="AN694" s="134"/>
      <c r="AO694" s="134"/>
      <c r="AP694" s="134"/>
      <c r="AQ694" s="134"/>
      <c r="AR694" s="134"/>
      <c r="AS694" s="134"/>
      <c r="AT694" s="134"/>
      <c r="AU694" s="134"/>
      <c r="AV694" s="134"/>
      <c r="AW694" s="134"/>
      <c r="AX694" s="134"/>
      <c r="AY694" s="134"/>
      <c r="AZ694" s="134"/>
      <c r="BA694" s="134"/>
      <c r="BB694" s="134"/>
      <c r="BC694" s="134"/>
      <c r="BD694" s="134"/>
      <c r="BE694" s="134"/>
      <c r="BF694" s="134"/>
      <c r="BG694" s="134"/>
      <c r="BH694" s="134"/>
      <c r="BI694" s="134"/>
      <c r="BJ694" s="134"/>
      <c r="BK694" s="134"/>
      <c r="BL694" s="134"/>
      <c r="BM694" s="135"/>
      <c r="BN694" s="136" t="n">
        <f aca="false">+MAX($D$3,DATOS_[[#This Row],[Fecha Inicio Sit. Contract.]])</f>
        <v>0</v>
      </c>
      <c r="BO694" s="136" t="n">
        <f aca="false">+MIN($D$4,DATOS_[[#This Row],[Fecha Fin Sit. Contract.]])</f>
        <v>0</v>
      </c>
      <c r="BP694" s="137" t="n">
        <f aca="false">+DATOS_[[#This Row],[% de jornada]]*IF(DATOS_[[#This Row],[% jornada reducida]]="",1,DATOS_[[#This Row],[% jornada reducida]])</f>
        <v>0</v>
      </c>
      <c r="BQ694" s="137" t="n">
        <f aca="false">+(DATOS_[[#This Row],[F.fin.cal]]-DATOS_[[#This Row],[F.ini.cal]]+1)/($D$4-$D$3+1)</f>
        <v>1</v>
      </c>
      <c r="BR694" s="137" t="str">
        <f aca="false">IF(OR(AND(DATOS_[[#This Row],[Fecha Fin Contrato]]&lt;$D$3,DATOS_[[#This Row],[Fecha Fin Contrato]]&lt;&gt;""),DATOS_[[#This Row],[Fecha de Contratación]]&gt;$D$4),"Fuera","Dentro")</f>
        <v>Dentro</v>
      </c>
      <c r="BS694" s="137" t="str">
        <f aca="false" t="array" ref="BS694:BS694">IF(MAX(IF(DATOS_[id]=DATOS_[[#This Row],[id]],DATOS_[F.fin.cal]))=DATOS_[[#This Row],[F.fin.cal]],"Sí","NO")</f>
        <v>Sí</v>
      </c>
      <c r="BT694" s="137" t="str">
        <f aca="false">IF(AND(DATOS_[[#This Row],[% normaliz]]&lt;&gt;1,DATOS_[[#This Row],[% anualiz]]=1),"Sí","NO")</f>
        <v>Sí</v>
      </c>
      <c r="BU694" s="137" t="str">
        <f aca="false">IF(AND(DATOS_[[#This Row],[% normaliz]]=1,DATOS_[[#This Row],[% anualiz]]&lt;&gt;1),"Sí","NO")</f>
        <v>NO</v>
      </c>
      <c r="BV694" s="137" t="str">
        <f aca="false">IF(AND(DATOS_[[#This Row],[% normaliz]]&lt;&gt;1,DATOS_[[#This Row],[% anualiz]]&lt;&gt;1),"Sí","NO")</f>
        <v>NO</v>
      </c>
      <c r="BW694" s="137" t="str">
        <f aca="false">+IF(DATOS_[[#This Row],[% normaliz]]*DATOS_[[#This Row],[% anualiz]]=1,"NO","Sí")</f>
        <v>Sí</v>
      </c>
      <c r="BX694" s="138" t="e">
        <f aca="false">(DATOS_[[#This Row],[S.BASE]]*(1/DATOS_[[#This Row],[% normaliz]])*(1/DATOS_[[#This Row],[% anualiz]]))*IF(DATOS_[[#This Row],[Check Equiparado]]="Sí",1,0)</f>
        <v>#DIV/0!</v>
      </c>
      <c r="BY6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4" s="138" t="e">
        <f aca="false">+DATOS_[[#This Row],[SALARIO BASE Eq]]+DATOS_[[#This Row],[Tot COMPL.SAL Eq]]</f>
        <v>#DIV/0!</v>
      </c>
      <c r="CA694" s="138" t="e">
        <f aca="false" t="array" ref="CA694:CA6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4" s="138" t="e">
        <f aca="false">+DATOS_[[#This Row],[TOTAL SALARIO Eq]]+DATOS_[[#This Row],[Tot Extrasalarial Eq]]</f>
        <v>#DIV/0!</v>
      </c>
      <c r="CC694" s="139" t="n">
        <f aca="false">DATOS_[[#This Row],[S.BASE]]</f>
        <v>0</v>
      </c>
      <c r="CD694" s="139" t="n">
        <f aca="false">+SUM(DATOS_[[#This Row],[Conc.Sal.01]:[Conc.Sal.30]])</f>
        <v>0</v>
      </c>
      <c r="CE694" s="139" t="n">
        <f aca="false">+DATOS_[[#This Row],[SALARIO BASE Ef]]+DATOS_[[#This Row],[Tot COMPL.SAL Ef]]</f>
        <v>0</v>
      </c>
      <c r="CF694" s="139" t="n">
        <f aca="false">+SUM(DATOS_[[#This Row],[C.Extra.01]:[C.Extra.05]])</f>
        <v>0</v>
      </c>
      <c r="CG694" s="139" t="n">
        <f aca="false">+DATOS_[[#This Row],[TOTAL SALARIO Ef]]+DATOS_[[#This Row],[Tot Extrasalarial Ef]]</f>
        <v>0</v>
      </c>
      <c r="CH694" s="140" t="n">
        <f aca="false">MIN(IF(DATOS_[[#This Row],[Fecha Fin Contrato]]="",$D$4,DATOS_[[#This Row],[Fecha Fin Contrato]]),$D$4)-MAX(DATOS_[[#This Row],[Fecha de Contratación]],$D$3)+1</f>
        <v>1</v>
      </c>
      <c r="CI694" s="141" t="str">
        <f aca="false">IF(COUNTIFS(DATOS_[id],DATOS_[[#This Row],[id]])&gt;1,DATOS_[[#This Row],[id]],"")</f>
        <v/>
      </c>
      <c r="CJ694" s="141" t="n">
        <f aca="false">(Inicio!$G$10-DATOS_[[#This Row],[Fecha Nacimiento]])/365.25</f>
        <v>0</v>
      </c>
      <c r="CK694" s="141" t="n">
        <f aca="false">(Inicio!$G$10-DATOS_[[#This Row],[Fecha de Antigüedad]])/365.25</f>
        <v>0</v>
      </c>
      <c r="CL694" s="141" t="e">
        <f aca="false">+VLOOKUP(DATOS_[[#This Row],[Clave de Contrato]],TblTiposContrato13[],3,0)</f>
        <v>#N/A</v>
      </c>
      <c r="CM694" s="141" t="e">
        <f aca="false">+VLOOKUP(DATOS_[[#This Row],[Clave de Contrato]],TblTiposContrato13[],4,0)</f>
        <v>#N/A</v>
      </c>
      <c r="CN694" s="141" t="str">
        <f aca="false">VLOOKUP(DATOS_[[#This Row],[Edad]],CONTRATOS!TblRngEdad,2,1)</f>
        <v>20  o menos</v>
      </c>
      <c r="CO694" s="141" t="str">
        <f aca="false">VLOOKUP(DATOS_[[#This Row],[Antigüedad]],TblRngAntg14[],2,1)</f>
        <v>0 a 1 años</v>
      </c>
    </row>
    <row r="695" customFormat="false" ht="13.8" hidden="false" customHeight="false" outlineLevel="0" collapsed="false">
      <c r="D695" s="128"/>
      <c r="E695" s="129"/>
      <c r="F695" s="129"/>
      <c r="G695" s="129"/>
      <c r="H695" s="130"/>
      <c r="I695" s="131"/>
      <c r="J695" s="128"/>
      <c r="K695" s="132"/>
      <c r="L695" s="132"/>
      <c r="M695" s="133"/>
      <c r="N695" s="133"/>
      <c r="O695" s="133"/>
      <c r="P695" s="129"/>
      <c r="Z695" s="75"/>
      <c r="AA695" s="76"/>
      <c r="AB695" s="76"/>
      <c r="AC695" s="129"/>
      <c r="AD695" s="134"/>
      <c r="AE695" s="134"/>
      <c r="AF695" s="134"/>
      <c r="AG695" s="134"/>
      <c r="AH695" s="134"/>
      <c r="AI695" s="134"/>
      <c r="AJ695" s="134"/>
      <c r="AK695" s="134"/>
      <c r="AL695" s="134"/>
      <c r="AM695" s="134"/>
      <c r="AN695" s="134"/>
      <c r="AO695" s="134"/>
      <c r="AP695" s="134"/>
      <c r="AQ695" s="134"/>
      <c r="AR695" s="134"/>
      <c r="AS695" s="134"/>
      <c r="AT695" s="134"/>
      <c r="AU695" s="134"/>
      <c r="AV695" s="134"/>
      <c r="AW695" s="134"/>
      <c r="AX695" s="134"/>
      <c r="AY695" s="134"/>
      <c r="AZ695" s="134"/>
      <c r="BA695" s="134"/>
      <c r="BB695" s="134"/>
      <c r="BC695" s="134"/>
      <c r="BD695" s="134"/>
      <c r="BE695" s="134"/>
      <c r="BF695" s="134"/>
      <c r="BG695" s="134"/>
      <c r="BH695" s="134"/>
      <c r="BI695" s="134"/>
      <c r="BJ695" s="134"/>
      <c r="BK695" s="134"/>
      <c r="BL695" s="134"/>
      <c r="BM695" s="135"/>
      <c r="BN695" s="136" t="n">
        <f aca="false">+MAX($D$3,DATOS_[[#This Row],[Fecha Inicio Sit. Contract.]])</f>
        <v>0</v>
      </c>
      <c r="BO695" s="136" t="n">
        <f aca="false">+MIN($D$4,DATOS_[[#This Row],[Fecha Fin Sit. Contract.]])</f>
        <v>0</v>
      </c>
      <c r="BP695" s="137" t="n">
        <f aca="false">+DATOS_[[#This Row],[% de jornada]]*IF(DATOS_[[#This Row],[% jornada reducida]]="",1,DATOS_[[#This Row],[% jornada reducida]])</f>
        <v>0</v>
      </c>
      <c r="BQ695" s="137" t="n">
        <f aca="false">+(DATOS_[[#This Row],[F.fin.cal]]-DATOS_[[#This Row],[F.ini.cal]]+1)/($D$4-$D$3+1)</f>
        <v>1</v>
      </c>
      <c r="BR695" s="137" t="str">
        <f aca="false">IF(OR(AND(DATOS_[[#This Row],[Fecha Fin Contrato]]&lt;$D$3,DATOS_[[#This Row],[Fecha Fin Contrato]]&lt;&gt;""),DATOS_[[#This Row],[Fecha de Contratación]]&gt;$D$4),"Fuera","Dentro")</f>
        <v>Dentro</v>
      </c>
      <c r="BS695" s="137" t="str">
        <f aca="false" t="array" ref="BS695:BS695">IF(MAX(IF(DATOS_[id]=DATOS_[[#This Row],[id]],DATOS_[F.fin.cal]))=DATOS_[[#This Row],[F.fin.cal]],"Sí","NO")</f>
        <v>Sí</v>
      </c>
      <c r="BT695" s="137" t="str">
        <f aca="false">IF(AND(DATOS_[[#This Row],[% normaliz]]&lt;&gt;1,DATOS_[[#This Row],[% anualiz]]=1),"Sí","NO")</f>
        <v>Sí</v>
      </c>
      <c r="BU695" s="137" t="str">
        <f aca="false">IF(AND(DATOS_[[#This Row],[% normaliz]]=1,DATOS_[[#This Row],[% anualiz]]&lt;&gt;1),"Sí","NO")</f>
        <v>NO</v>
      </c>
      <c r="BV695" s="137" t="str">
        <f aca="false">IF(AND(DATOS_[[#This Row],[% normaliz]]&lt;&gt;1,DATOS_[[#This Row],[% anualiz]]&lt;&gt;1),"Sí","NO")</f>
        <v>NO</v>
      </c>
      <c r="BW695" s="137" t="str">
        <f aca="false">+IF(DATOS_[[#This Row],[% normaliz]]*DATOS_[[#This Row],[% anualiz]]=1,"NO","Sí")</f>
        <v>Sí</v>
      </c>
      <c r="BX695" s="138" t="e">
        <f aca="false">(DATOS_[[#This Row],[S.BASE]]*(1/DATOS_[[#This Row],[% normaliz]])*(1/DATOS_[[#This Row],[% anualiz]]))*IF(DATOS_[[#This Row],[Check Equiparado]]="Sí",1,0)</f>
        <v>#DIV/0!</v>
      </c>
      <c r="BY6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5" s="138" t="e">
        <f aca="false">+DATOS_[[#This Row],[SALARIO BASE Eq]]+DATOS_[[#This Row],[Tot COMPL.SAL Eq]]</f>
        <v>#DIV/0!</v>
      </c>
      <c r="CA695" s="138" t="e">
        <f aca="false" t="array" ref="CA695:CA6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5" s="138" t="e">
        <f aca="false">+DATOS_[[#This Row],[TOTAL SALARIO Eq]]+DATOS_[[#This Row],[Tot Extrasalarial Eq]]</f>
        <v>#DIV/0!</v>
      </c>
      <c r="CC695" s="139" t="n">
        <f aca="false">DATOS_[[#This Row],[S.BASE]]</f>
        <v>0</v>
      </c>
      <c r="CD695" s="139" t="n">
        <f aca="false">+SUM(DATOS_[[#This Row],[Conc.Sal.01]:[Conc.Sal.30]])</f>
        <v>0</v>
      </c>
      <c r="CE695" s="139" t="n">
        <f aca="false">+DATOS_[[#This Row],[SALARIO BASE Ef]]+DATOS_[[#This Row],[Tot COMPL.SAL Ef]]</f>
        <v>0</v>
      </c>
      <c r="CF695" s="139" t="n">
        <f aca="false">+SUM(DATOS_[[#This Row],[C.Extra.01]:[C.Extra.05]])</f>
        <v>0</v>
      </c>
      <c r="CG695" s="139" t="n">
        <f aca="false">+DATOS_[[#This Row],[TOTAL SALARIO Ef]]+DATOS_[[#This Row],[Tot Extrasalarial Ef]]</f>
        <v>0</v>
      </c>
      <c r="CH695" s="140" t="n">
        <f aca="false">MIN(IF(DATOS_[[#This Row],[Fecha Fin Contrato]]="",$D$4,DATOS_[[#This Row],[Fecha Fin Contrato]]),$D$4)-MAX(DATOS_[[#This Row],[Fecha de Contratación]],$D$3)+1</f>
        <v>1</v>
      </c>
      <c r="CI695" s="141" t="str">
        <f aca="false">IF(COUNTIFS(DATOS_[id],DATOS_[[#This Row],[id]])&gt;1,DATOS_[[#This Row],[id]],"")</f>
        <v/>
      </c>
      <c r="CJ695" s="141" t="n">
        <f aca="false">(Inicio!$G$10-DATOS_[[#This Row],[Fecha Nacimiento]])/365.25</f>
        <v>0</v>
      </c>
      <c r="CK695" s="141" t="n">
        <f aca="false">(Inicio!$G$10-DATOS_[[#This Row],[Fecha de Antigüedad]])/365.25</f>
        <v>0</v>
      </c>
      <c r="CL695" s="141" t="e">
        <f aca="false">+VLOOKUP(DATOS_[[#This Row],[Clave de Contrato]],TblTiposContrato13[],3,0)</f>
        <v>#N/A</v>
      </c>
      <c r="CM695" s="141" t="e">
        <f aca="false">+VLOOKUP(DATOS_[[#This Row],[Clave de Contrato]],TblTiposContrato13[],4,0)</f>
        <v>#N/A</v>
      </c>
      <c r="CN695" s="141" t="str">
        <f aca="false">VLOOKUP(DATOS_[[#This Row],[Edad]],CONTRATOS!TblRngEdad,2,1)</f>
        <v>20  o menos</v>
      </c>
      <c r="CO695" s="141" t="str">
        <f aca="false">VLOOKUP(DATOS_[[#This Row],[Antigüedad]],TblRngAntg14[],2,1)</f>
        <v>0 a 1 años</v>
      </c>
    </row>
    <row r="696" customFormat="false" ht="13.8" hidden="false" customHeight="false" outlineLevel="0" collapsed="false">
      <c r="D696" s="128"/>
      <c r="E696" s="129"/>
      <c r="F696" s="129"/>
      <c r="G696" s="129"/>
      <c r="H696" s="130"/>
      <c r="I696" s="131"/>
      <c r="J696" s="128"/>
      <c r="K696" s="132"/>
      <c r="L696" s="132"/>
      <c r="M696" s="133"/>
      <c r="N696" s="133"/>
      <c r="O696" s="133"/>
      <c r="P696" s="129"/>
      <c r="Z696" s="75"/>
      <c r="AA696" s="76"/>
      <c r="AB696" s="76"/>
      <c r="AC696" s="129"/>
      <c r="AD696" s="134"/>
      <c r="AE696" s="134"/>
      <c r="AF696" s="134"/>
      <c r="AG696" s="134"/>
      <c r="AH696" s="134"/>
      <c r="AI696" s="134"/>
      <c r="AJ696" s="134"/>
      <c r="AK696" s="134"/>
      <c r="AL696" s="134"/>
      <c r="AM696" s="134"/>
      <c r="AN696" s="134"/>
      <c r="AO696" s="134"/>
      <c r="AP696" s="134"/>
      <c r="AQ696" s="134"/>
      <c r="AR696" s="134"/>
      <c r="AS696" s="134"/>
      <c r="AT696" s="134"/>
      <c r="AU696" s="134"/>
      <c r="AV696" s="134"/>
      <c r="AW696" s="134"/>
      <c r="AX696" s="134"/>
      <c r="AY696" s="134"/>
      <c r="AZ696" s="134"/>
      <c r="BA696" s="134"/>
      <c r="BB696" s="134"/>
      <c r="BC696" s="134"/>
      <c r="BD696" s="134"/>
      <c r="BE696" s="134"/>
      <c r="BF696" s="134"/>
      <c r="BG696" s="134"/>
      <c r="BH696" s="134"/>
      <c r="BI696" s="134"/>
      <c r="BJ696" s="134"/>
      <c r="BK696" s="134"/>
      <c r="BL696" s="134"/>
      <c r="BM696" s="135"/>
      <c r="BN696" s="136" t="n">
        <f aca="false">+MAX($D$3,DATOS_[[#This Row],[Fecha Inicio Sit. Contract.]])</f>
        <v>0</v>
      </c>
      <c r="BO696" s="136" t="n">
        <f aca="false">+MIN($D$4,DATOS_[[#This Row],[Fecha Fin Sit. Contract.]])</f>
        <v>0</v>
      </c>
      <c r="BP696" s="137" t="n">
        <f aca="false">+DATOS_[[#This Row],[% de jornada]]*IF(DATOS_[[#This Row],[% jornada reducida]]="",1,DATOS_[[#This Row],[% jornada reducida]])</f>
        <v>0</v>
      </c>
      <c r="BQ696" s="137" t="n">
        <f aca="false">+(DATOS_[[#This Row],[F.fin.cal]]-DATOS_[[#This Row],[F.ini.cal]]+1)/($D$4-$D$3+1)</f>
        <v>1</v>
      </c>
      <c r="BR696" s="137" t="str">
        <f aca="false">IF(OR(AND(DATOS_[[#This Row],[Fecha Fin Contrato]]&lt;$D$3,DATOS_[[#This Row],[Fecha Fin Contrato]]&lt;&gt;""),DATOS_[[#This Row],[Fecha de Contratación]]&gt;$D$4),"Fuera","Dentro")</f>
        <v>Dentro</v>
      </c>
      <c r="BS696" s="137" t="str">
        <f aca="false" t="array" ref="BS696:BS696">IF(MAX(IF(DATOS_[id]=DATOS_[[#This Row],[id]],DATOS_[F.fin.cal]))=DATOS_[[#This Row],[F.fin.cal]],"Sí","NO")</f>
        <v>Sí</v>
      </c>
      <c r="BT696" s="137" t="str">
        <f aca="false">IF(AND(DATOS_[[#This Row],[% normaliz]]&lt;&gt;1,DATOS_[[#This Row],[% anualiz]]=1),"Sí","NO")</f>
        <v>Sí</v>
      </c>
      <c r="BU696" s="137" t="str">
        <f aca="false">IF(AND(DATOS_[[#This Row],[% normaliz]]=1,DATOS_[[#This Row],[% anualiz]]&lt;&gt;1),"Sí","NO")</f>
        <v>NO</v>
      </c>
      <c r="BV696" s="137" t="str">
        <f aca="false">IF(AND(DATOS_[[#This Row],[% normaliz]]&lt;&gt;1,DATOS_[[#This Row],[% anualiz]]&lt;&gt;1),"Sí","NO")</f>
        <v>NO</v>
      </c>
      <c r="BW696" s="137" t="str">
        <f aca="false">+IF(DATOS_[[#This Row],[% normaliz]]*DATOS_[[#This Row],[% anualiz]]=1,"NO","Sí")</f>
        <v>Sí</v>
      </c>
      <c r="BX696" s="138" t="e">
        <f aca="false">(DATOS_[[#This Row],[S.BASE]]*(1/DATOS_[[#This Row],[% normaliz]])*(1/DATOS_[[#This Row],[% anualiz]]))*IF(DATOS_[[#This Row],[Check Equiparado]]="Sí",1,0)</f>
        <v>#DIV/0!</v>
      </c>
      <c r="BY6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6" s="138" t="e">
        <f aca="false">+DATOS_[[#This Row],[SALARIO BASE Eq]]+DATOS_[[#This Row],[Tot COMPL.SAL Eq]]</f>
        <v>#DIV/0!</v>
      </c>
      <c r="CA696" s="138" t="e">
        <f aca="false" t="array" ref="CA696:CA6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6" s="138" t="e">
        <f aca="false">+DATOS_[[#This Row],[TOTAL SALARIO Eq]]+DATOS_[[#This Row],[Tot Extrasalarial Eq]]</f>
        <v>#DIV/0!</v>
      </c>
      <c r="CC696" s="139" t="n">
        <f aca="false">DATOS_[[#This Row],[S.BASE]]</f>
        <v>0</v>
      </c>
      <c r="CD696" s="139" t="n">
        <f aca="false">+SUM(DATOS_[[#This Row],[Conc.Sal.01]:[Conc.Sal.30]])</f>
        <v>0</v>
      </c>
      <c r="CE696" s="139" t="n">
        <f aca="false">+DATOS_[[#This Row],[SALARIO BASE Ef]]+DATOS_[[#This Row],[Tot COMPL.SAL Ef]]</f>
        <v>0</v>
      </c>
      <c r="CF696" s="139" t="n">
        <f aca="false">+SUM(DATOS_[[#This Row],[C.Extra.01]:[C.Extra.05]])</f>
        <v>0</v>
      </c>
      <c r="CG696" s="139" t="n">
        <f aca="false">+DATOS_[[#This Row],[TOTAL SALARIO Ef]]+DATOS_[[#This Row],[Tot Extrasalarial Ef]]</f>
        <v>0</v>
      </c>
      <c r="CH696" s="140" t="n">
        <f aca="false">MIN(IF(DATOS_[[#This Row],[Fecha Fin Contrato]]="",$D$4,DATOS_[[#This Row],[Fecha Fin Contrato]]),$D$4)-MAX(DATOS_[[#This Row],[Fecha de Contratación]],$D$3)+1</f>
        <v>1</v>
      </c>
      <c r="CI696" s="141" t="str">
        <f aca="false">IF(COUNTIFS(DATOS_[id],DATOS_[[#This Row],[id]])&gt;1,DATOS_[[#This Row],[id]],"")</f>
        <v/>
      </c>
      <c r="CJ696" s="141" t="n">
        <f aca="false">(Inicio!$G$10-DATOS_[[#This Row],[Fecha Nacimiento]])/365.25</f>
        <v>0</v>
      </c>
      <c r="CK696" s="141" t="n">
        <f aca="false">(Inicio!$G$10-DATOS_[[#This Row],[Fecha de Antigüedad]])/365.25</f>
        <v>0</v>
      </c>
      <c r="CL696" s="141" t="e">
        <f aca="false">+VLOOKUP(DATOS_[[#This Row],[Clave de Contrato]],TblTiposContrato13[],3,0)</f>
        <v>#N/A</v>
      </c>
      <c r="CM696" s="141" t="e">
        <f aca="false">+VLOOKUP(DATOS_[[#This Row],[Clave de Contrato]],TblTiposContrato13[],4,0)</f>
        <v>#N/A</v>
      </c>
      <c r="CN696" s="141" t="str">
        <f aca="false">VLOOKUP(DATOS_[[#This Row],[Edad]],CONTRATOS!TblRngEdad,2,1)</f>
        <v>20  o menos</v>
      </c>
      <c r="CO696" s="141" t="str">
        <f aca="false">VLOOKUP(DATOS_[[#This Row],[Antigüedad]],TblRngAntg14[],2,1)</f>
        <v>0 a 1 años</v>
      </c>
    </row>
    <row r="697" customFormat="false" ht="13.8" hidden="false" customHeight="false" outlineLevel="0" collapsed="false">
      <c r="D697" s="128"/>
      <c r="E697" s="129"/>
      <c r="F697" s="129"/>
      <c r="G697" s="129"/>
      <c r="H697" s="130"/>
      <c r="I697" s="131"/>
      <c r="J697" s="128"/>
      <c r="K697" s="132"/>
      <c r="L697" s="132"/>
      <c r="M697" s="133"/>
      <c r="N697" s="133"/>
      <c r="O697" s="133"/>
      <c r="P697" s="129"/>
      <c r="Z697" s="75"/>
      <c r="AA697" s="76"/>
      <c r="AB697" s="76"/>
      <c r="AC697" s="129"/>
      <c r="AD697" s="134"/>
      <c r="AE697" s="134"/>
      <c r="AF697" s="134"/>
      <c r="AG697" s="134"/>
      <c r="AH697" s="134"/>
      <c r="AI697" s="134"/>
      <c r="AJ697" s="134"/>
      <c r="AK697" s="134"/>
      <c r="AL697" s="134"/>
      <c r="AM697" s="134"/>
      <c r="AN697" s="134"/>
      <c r="AO697" s="134"/>
      <c r="AP697" s="134"/>
      <c r="AQ697" s="134"/>
      <c r="AR697" s="134"/>
      <c r="AS697" s="134"/>
      <c r="AT697" s="134"/>
      <c r="AU697" s="134"/>
      <c r="AV697" s="134"/>
      <c r="AW697" s="134"/>
      <c r="AX697" s="134"/>
      <c r="AY697" s="134"/>
      <c r="AZ697" s="134"/>
      <c r="BA697" s="134"/>
      <c r="BB697" s="134"/>
      <c r="BC697" s="134"/>
      <c r="BD697" s="134"/>
      <c r="BE697" s="134"/>
      <c r="BF697" s="134"/>
      <c r="BG697" s="134"/>
      <c r="BH697" s="134"/>
      <c r="BI697" s="134"/>
      <c r="BJ697" s="134"/>
      <c r="BK697" s="134"/>
      <c r="BL697" s="134"/>
      <c r="BM697" s="135"/>
      <c r="BN697" s="136" t="n">
        <f aca="false">+MAX($D$3,DATOS_[[#This Row],[Fecha Inicio Sit. Contract.]])</f>
        <v>0</v>
      </c>
      <c r="BO697" s="136" t="n">
        <f aca="false">+MIN($D$4,DATOS_[[#This Row],[Fecha Fin Sit. Contract.]])</f>
        <v>0</v>
      </c>
      <c r="BP697" s="137" t="n">
        <f aca="false">+DATOS_[[#This Row],[% de jornada]]*IF(DATOS_[[#This Row],[% jornada reducida]]="",1,DATOS_[[#This Row],[% jornada reducida]])</f>
        <v>0</v>
      </c>
      <c r="BQ697" s="137" t="n">
        <f aca="false">+(DATOS_[[#This Row],[F.fin.cal]]-DATOS_[[#This Row],[F.ini.cal]]+1)/($D$4-$D$3+1)</f>
        <v>1</v>
      </c>
      <c r="BR697" s="137" t="str">
        <f aca="false">IF(OR(AND(DATOS_[[#This Row],[Fecha Fin Contrato]]&lt;$D$3,DATOS_[[#This Row],[Fecha Fin Contrato]]&lt;&gt;""),DATOS_[[#This Row],[Fecha de Contratación]]&gt;$D$4),"Fuera","Dentro")</f>
        <v>Dentro</v>
      </c>
      <c r="BS697" s="137" t="str">
        <f aca="false" t="array" ref="BS697:BS697">IF(MAX(IF(DATOS_[id]=DATOS_[[#This Row],[id]],DATOS_[F.fin.cal]))=DATOS_[[#This Row],[F.fin.cal]],"Sí","NO")</f>
        <v>Sí</v>
      </c>
      <c r="BT697" s="137" t="str">
        <f aca="false">IF(AND(DATOS_[[#This Row],[% normaliz]]&lt;&gt;1,DATOS_[[#This Row],[% anualiz]]=1),"Sí","NO")</f>
        <v>Sí</v>
      </c>
      <c r="BU697" s="137" t="str">
        <f aca="false">IF(AND(DATOS_[[#This Row],[% normaliz]]=1,DATOS_[[#This Row],[% anualiz]]&lt;&gt;1),"Sí","NO")</f>
        <v>NO</v>
      </c>
      <c r="BV697" s="137" t="str">
        <f aca="false">IF(AND(DATOS_[[#This Row],[% normaliz]]&lt;&gt;1,DATOS_[[#This Row],[% anualiz]]&lt;&gt;1),"Sí","NO")</f>
        <v>NO</v>
      </c>
      <c r="BW697" s="137" t="str">
        <f aca="false">+IF(DATOS_[[#This Row],[% normaliz]]*DATOS_[[#This Row],[% anualiz]]=1,"NO","Sí")</f>
        <v>Sí</v>
      </c>
      <c r="BX697" s="138" t="e">
        <f aca="false">(DATOS_[[#This Row],[S.BASE]]*(1/DATOS_[[#This Row],[% normaliz]])*(1/DATOS_[[#This Row],[% anualiz]]))*IF(DATOS_[[#This Row],[Check Equiparado]]="Sí",1,0)</f>
        <v>#DIV/0!</v>
      </c>
      <c r="BY6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7" s="138" t="e">
        <f aca="false">+DATOS_[[#This Row],[SALARIO BASE Eq]]+DATOS_[[#This Row],[Tot COMPL.SAL Eq]]</f>
        <v>#DIV/0!</v>
      </c>
      <c r="CA697" s="138" t="e">
        <f aca="false" t="array" ref="CA697:CA6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7" s="138" t="e">
        <f aca="false">+DATOS_[[#This Row],[TOTAL SALARIO Eq]]+DATOS_[[#This Row],[Tot Extrasalarial Eq]]</f>
        <v>#DIV/0!</v>
      </c>
      <c r="CC697" s="139" t="n">
        <f aca="false">DATOS_[[#This Row],[S.BASE]]</f>
        <v>0</v>
      </c>
      <c r="CD697" s="139" t="n">
        <f aca="false">+SUM(DATOS_[[#This Row],[Conc.Sal.01]:[Conc.Sal.30]])</f>
        <v>0</v>
      </c>
      <c r="CE697" s="139" t="n">
        <f aca="false">+DATOS_[[#This Row],[SALARIO BASE Ef]]+DATOS_[[#This Row],[Tot COMPL.SAL Ef]]</f>
        <v>0</v>
      </c>
      <c r="CF697" s="139" t="n">
        <f aca="false">+SUM(DATOS_[[#This Row],[C.Extra.01]:[C.Extra.05]])</f>
        <v>0</v>
      </c>
      <c r="CG697" s="139" t="n">
        <f aca="false">+DATOS_[[#This Row],[TOTAL SALARIO Ef]]+DATOS_[[#This Row],[Tot Extrasalarial Ef]]</f>
        <v>0</v>
      </c>
      <c r="CH697" s="140" t="n">
        <f aca="false">MIN(IF(DATOS_[[#This Row],[Fecha Fin Contrato]]="",$D$4,DATOS_[[#This Row],[Fecha Fin Contrato]]),$D$4)-MAX(DATOS_[[#This Row],[Fecha de Contratación]],$D$3)+1</f>
        <v>1</v>
      </c>
      <c r="CI697" s="141" t="str">
        <f aca="false">IF(COUNTIFS(DATOS_[id],DATOS_[[#This Row],[id]])&gt;1,DATOS_[[#This Row],[id]],"")</f>
        <v/>
      </c>
      <c r="CJ697" s="141" t="n">
        <f aca="false">(Inicio!$G$10-DATOS_[[#This Row],[Fecha Nacimiento]])/365.25</f>
        <v>0</v>
      </c>
      <c r="CK697" s="141" t="n">
        <f aca="false">(Inicio!$G$10-DATOS_[[#This Row],[Fecha de Antigüedad]])/365.25</f>
        <v>0</v>
      </c>
      <c r="CL697" s="141" t="e">
        <f aca="false">+VLOOKUP(DATOS_[[#This Row],[Clave de Contrato]],TblTiposContrato13[],3,0)</f>
        <v>#N/A</v>
      </c>
      <c r="CM697" s="141" t="e">
        <f aca="false">+VLOOKUP(DATOS_[[#This Row],[Clave de Contrato]],TblTiposContrato13[],4,0)</f>
        <v>#N/A</v>
      </c>
      <c r="CN697" s="141" t="str">
        <f aca="false">VLOOKUP(DATOS_[[#This Row],[Edad]],CONTRATOS!TblRngEdad,2,1)</f>
        <v>20  o menos</v>
      </c>
      <c r="CO697" s="141" t="str">
        <f aca="false">VLOOKUP(DATOS_[[#This Row],[Antigüedad]],TblRngAntg14[],2,1)</f>
        <v>0 a 1 años</v>
      </c>
    </row>
    <row r="698" customFormat="false" ht="13.8" hidden="false" customHeight="false" outlineLevel="0" collapsed="false">
      <c r="D698" s="128"/>
      <c r="E698" s="129"/>
      <c r="F698" s="129"/>
      <c r="G698" s="129"/>
      <c r="H698" s="130"/>
      <c r="I698" s="131"/>
      <c r="J698" s="128"/>
      <c r="K698" s="132"/>
      <c r="L698" s="132"/>
      <c r="M698" s="133"/>
      <c r="N698" s="133"/>
      <c r="O698" s="133"/>
      <c r="P698" s="129"/>
      <c r="Z698" s="75"/>
      <c r="AA698" s="76"/>
      <c r="AB698" s="76"/>
      <c r="AC698" s="129"/>
      <c r="AD698" s="134"/>
      <c r="AE698" s="134"/>
      <c r="AF698" s="134"/>
      <c r="AG698" s="134"/>
      <c r="AH698" s="134"/>
      <c r="AI698" s="134"/>
      <c r="AJ698" s="134"/>
      <c r="AK698" s="134"/>
      <c r="AL698" s="134"/>
      <c r="AM698" s="134"/>
      <c r="AN698" s="134"/>
      <c r="AO698" s="134"/>
      <c r="AP698" s="134"/>
      <c r="AQ698" s="134"/>
      <c r="AR698" s="134"/>
      <c r="AS698" s="134"/>
      <c r="AT698" s="134"/>
      <c r="AU698" s="134"/>
      <c r="AV698" s="134"/>
      <c r="AW698" s="134"/>
      <c r="AX698" s="134"/>
      <c r="AY698" s="134"/>
      <c r="AZ698" s="134"/>
      <c r="BA698" s="134"/>
      <c r="BB698" s="134"/>
      <c r="BC698" s="134"/>
      <c r="BD698" s="134"/>
      <c r="BE698" s="134"/>
      <c r="BF698" s="134"/>
      <c r="BG698" s="134"/>
      <c r="BH698" s="134"/>
      <c r="BI698" s="134"/>
      <c r="BJ698" s="134"/>
      <c r="BK698" s="134"/>
      <c r="BL698" s="134"/>
      <c r="BM698" s="135"/>
      <c r="BN698" s="136" t="n">
        <f aca="false">+MAX($D$3,DATOS_[[#This Row],[Fecha Inicio Sit. Contract.]])</f>
        <v>0</v>
      </c>
      <c r="BO698" s="136" t="n">
        <f aca="false">+MIN($D$4,DATOS_[[#This Row],[Fecha Fin Sit. Contract.]])</f>
        <v>0</v>
      </c>
      <c r="BP698" s="137" t="n">
        <f aca="false">+DATOS_[[#This Row],[% de jornada]]*IF(DATOS_[[#This Row],[% jornada reducida]]="",1,DATOS_[[#This Row],[% jornada reducida]])</f>
        <v>0</v>
      </c>
      <c r="BQ698" s="137" t="n">
        <f aca="false">+(DATOS_[[#This Row],[F.fin.cal]]-DATOS_[[#This Row],[F.ini.cal]]+1)/($D$4-$D$3+1)</f>
        <v>1</v>
      </c>
      <c r="BR698" s="137" t="str">
        <f aca="false">IF(OR(AND(DATOS_[[#This Row],[Fecha Fin Contrato]]&lt;$D$3,DATOS_[[#This Row],[Fecha Fin Contrato]]&lt;&gt;""),DATOS_[[#This Row],[Fecha de Contratación]]&gt;$D$4),"Fuera","Dentro")</f>
        <v>Dentro</v>
      </c>
      <c r="BS698" s="137" t="str">
        <f aca="false" t="array" ref="BS698:BS698">IF(MAX(IF(DATOS_[id]=DATOS_[[#This Row],[id]],DATOS_[F.fin.cal]))=DATOS_[[#This Row],[F.fin.cal]],"Sí","NO")</f>
        <v>Sí</v>
      </c>
      <c r="BT698" s="137" t="str">
        <f aca="false">IF(AND(DATOS_[[#This Row],[% normaliz]]&lt;&gt;1,DATOS_[[#This Row],[% anualiz]]=1),"Sí","NO")</f>
        <v>Sí</v>
      </c>
      <c r="BU698" s="137" t="str">
        <f aca="false">IF(AND(DATOS_[[#This Row],[% normaliz]]=1,DATOS_[[#This Row],[% anualiz]]&lt;&gt;1),"Sí","NO")</f>
        <v>NO</v>
      </c>
      <c r="BV698" s="137" t="str">
        <f aca="false">IF(AND(DATOS_[[#This Row],[% normaliz]]&lt;&gt;1,DATOS_[[#This Row],[% anualiz]]&lt;&gt;1),"Sí","NO")</f>
        <v>NO</v>
      </c>
      <c r="BW698" s="137" t="str">
        <f aca="false">+IF(DATOS_[[#This Row],[% normaliz]]*DATOS_[[#This Row],[% anualiz]]=1,"NO","Sí")</f>
        <v>Sí</v>
      </c>
      <c r="BX698" s="138" t="e">
        <f aca="false">(DATOS_[[#This Row],[S.BASE]]*(1/DATOS_[[#This Row],[% normaliz]])*(1/DATOS_[[#This Row],[% anualiz]]))*IF(DATOS_[[#This Row],[Check Equiparado]]="Sí",1,0)</f>
        <v>#DIV/0!</v>
      </c>
      <c r="BY6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8" s="138" t="e">
        <f aca="false">+DATOS_[[#This Row],[SALARIO BASE Eq]]+DATOS_[[#This Row],[Tot COMPL.SAL Eq]]</f>
        <v>#DIV/0!</v>
      </c>
      <c r="CA698" s="138" t="e">
        <f aca="false" t="array" ref="CA698:CA6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8" s="138" t="e">
        <f aca="false">+DATOS_[[#This Row],[TOTAL SALARIO Eq]]+DATOS_[[#This Row],[Tot Extrasalarial Eq]]</f>
        <v>#DIV/0!</v>
      </c>
      <c r="CC698" s="139" t="n">
        <f aca="false">DATOS_[[#This Row],[S.BASE]]</f>
        <v>0</v>
      </c>
      <c r="CD698" s="139" t="n">
        <f aca="false">+SUM(DATOS_[[#This Row],[Conc.Sal.01]:[Conc.Sal.30]])</f>
        <v>0</v>
      </c>
      <c r="CE698" s="139" t="n">
        <f aca="false">+DATOS_[[#This Row],[SALARIO BASE Ef]]+DATOS_[[#This Row],[Tot COMPL.SAL Ef]]</f>
        <v>0</v>
      </c>
      <c r="CF698" s="139" t="n">
        <f aca="false">+SUM(DATOS_[[#This Row],[C.Extra.01]:[C.Extra.05]])</f>
        <v>0</v>
      </c>
      <c r="CG698" s="139" t="n">
        <f aca="false">+DATOS_[[#This Row],[TOTAL SALARIO Ef]]+DATOS_[[#This Row],[Tot Extrasalarial Ef]]</f>
        <v>0</v>
      </c>
      <c r="CH698" s="140" t="n">
        <f aca="false">MIN(IF(DATOS_[[#This Row],[Fecha Fin Contrato]]="",$D$4,DATOS_[[#This Row],[Fecha Fin Contrato]]),$D$4)-MAX(DATOS_[[#This Row],[Fecha de Contratación]],$D$3)+1</f>
        <v>1</v>
      </c>
      <c r="CI698" s="141" t="str">
        <f aca="false">IF(COUNTIFS(DATOS_[id],DATOS_[[#This Row],[id]])&gt;1,DATOS_[[#This Row],[id]],"")</f>
        <v/>
      </c>
      <c r="CJ698" s="141" t="n">
        <f aca="false">(Inicio!$G$10-DATOS_[[#This Row],[Fecha Nacimiento]])/365.25</f>
        <v>0</v>
      </c>
      <c r="CK698" s="141" t="n">
        <f aca="false">(Inicio!$G$10-DATOS_[[#This Row],[Fecha de Antigüedad]])/365.25</f>
        <v>0</v>
      </c>
      <c r="CL698" s="141" t="e">
        <f aca="false">+VLOOKUP(DATOS_[[#This Row],[Clave de Contrato]],TblTiposContrato13[],3,0)</f>
        <v>#N/A</v>
      </c>
      <c r="CM698" s="141" t="e">
        <f aca="false">+VLOOKUP(DATOS_[[#This Row],[Clave de Contrato]],TblTiposContrato13[],4,0)</f>
        <v>#N/A</v>
      </c>
      <c r="CN698" s="141" t="str">
        <f aca="false">VLOOKUP(DATOS_[[#This Row],[Edad]],CONTRATOS!TblRngEdad,2,1)</f>
        <v>20  o menos</v>
      </c>
      <c r="CO698" s="141" t="str">
        <f aca="false">VLOOKUP(DATOS_[[#This Row],[Antigüedad]],TblRngAntg14[],2,1)</f>
        <v>0 a 1 años</v>
      </c>
    </row>
    <row r="699" customFormat="false" ht="13.8" hidden="false" customHeight="false" outlineLevel="0" collapsed="false">
      <c r="D699" s="128"/>
      <c r="E699" s="129"/>
      <c r="F699" s="129"/>
      <c r="G699" s="129"/>
      <c r="H699" s="130"/>
      <c r="I699" s="131"/>
      <c r="J699" s="128"/>
      <c r="K699" s="132"/>
      <c r="L699" s="132"/>
      <c r="M699" s="133"/>
      <c r="N699" s="133"/>
      <c r="O699" s="133"/>
      <c r="P699" s="129"/>
      <c r="Z699" s="75"/>
      <c r="AA699" s="76"/>
      <c r="AB699" s="76"/>
      <c r="AC699" s="129"/>
      <c r="AD699" s="134"/>
      <c r="AE699" s="134"/>
      <c r="AF699" s="134"/>
      <c r="AG699" s="134"/>
      <c r="AH699" s="134"/>
      <c r="AI699" s="134"/>
      <c r="AJ699" s="134"/>
      <c r="AK699" s="134"/>
      <c r="AL699" s="134"/>
      <c r="AM699" s="134"/>
      <c r="AN699" s="134"/>
      <c r="AO699" s="134"/>
      <c r="AP699" s="134"/>
      <c r="AQ699" s="134"/>
      <c r="AR699" s="134"/>
      <c r="AS699" s="134"/>
      <c r="AT699" s="134"/>
      <c r="AU699" s="134"/>
      <c r="AV699" s="134"/>
      <c r="AW699" s="134"/>
      <c r="AX699" s="134"/>
      <c r="AY699" s="134"/>
      <c r="AZ699" s="134"/>
      <c r="BA699" s="134"/>
      <c r="BB699" s="134"/>
      <c r="BC699" s="134"/>
      <c r="BD699" s="134"/>
      <c r="BE699" s="134"/>
      <c r="BF699" s="134"/>
      <c r="BG699" s="134"/>
      <c r="BH699" s="134"/>
      <c r="BI699" s="134"/>
      <c r="BJ699" s="134"/>
      <c r="BK699" s="134"/>
      <c r="BL699" s="134"/>
      <c r="BM699" s="135"/>
      <c r="BN699" s="136" t="n">
        <f aca="false">+MAX($D$3,DATOS_[[#This Row],[Fecha Inicio Sit. Contract.]])</f>
        <v>0</v>
      </c>
      <c r="BO699" s="136" t="n">
        <f aca="false">+MIN($D$4,DATOS_[[#This Row],[Fecha Fin Sit. Contract.]])</f>
        <v>0</v>
      </c>
      <c r="BP699" s="137" t="n">
        <f aca="false">+DATOS_[[#This Row],[% de jornada]]*IF(DATOS_[[#This Row],[% jornada reducida]]="",1,DATOS_[[#This Row],[% jornada reducida]])</f>
        <v>0</v>
      </c>
      <c r="BQ699" s="137" t="n">
        <f aca="false">+(DATOS_[[#This Row],[F.fin.cal]]-DATOS_[[#This Row],[F.ini.cal]]+1)/($D$4-$D$3+1)</f>
        <v>1</v>
      </c>
      <c r="BR699" s="137" t="str">
        <f aca="false">IF(OR(AND(DATOS_[[#This Row],[Fecha Fin Contrato]]&lt;$D$3,DATOS_[[#This Row],[Fecha Fin Contrato]]&lt;&gt;""),DATOS_[[#This Row],[Fecha de Contratación]]&gt;$D$4),"Fuera","Dentro")</f>
        <v>Dentro</v>
      </c>
      <c r="BS699" s="137" t="str">
        <f aca="false" t="array" ref="BS699:BS699">IF(MAX(IF(DATOS_[id]=DATOS_[[#This Row],[id]],DATOS_[F.fin.cal]))=DATOS_[[#This Row],[F.fin.cal]],"Sí","NO")</f>
        <v>Sí</v>
      </c>
      <c r="BT699" s="137" t="str">
        <f aca="false">IF(AND(DATOS_[[#This Row],[% normaliz]]&lt;&gt;1,DATOS_[[#This Row],[% anualiz]]=1),"Sí","NO")</f>
        <v>Sí</v>
      </c>
      <c r="BU699" s="137" t="str">
        <f aca="false">IF(AND(DATOS_[[#This Row],[% normaliz]]=1,DATOS_[[#This Row],[% anualiz]]&lt;&gt;1),"Sí","NO")</f>
        <v>NO</v>
      </c>
      <c r="BV699" s="137" t="str">
        <f aca="false">IF(AND(DATOS_[[#This Row],[% normaliz]]&lt;&gt;1,DATOS_[[#This Row],[% anualiz]]&lt;&gt;1),"Sí","NO")</f>
        <v>NO</v>
      </c>
      <c r="BW699" s="137" t="str">
        <f aca="false">+IF(DATOS_[[#This Row],[% normaliz]]*DATOS_[[#This Row],[% anualiz]]=1,"NO","Sí")</f>
        <v>Sí</v>
      </c>
      <c r="BX699" s="138" t="e">
        <f aca="false">(DATOS_[[#This Row],[S.BASE]]*(1/DATOS_[[#This Row],[% normaliz]])*(1/DATOS_[[#This Row],[% anualiz]]))*IF(DATOS_[[#This Row],[Check Equiparado]]="Sí",1,0)</f>
        <v>#DIV/0!</v>
      </c>
      <c r="BY6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9" s="138" t="e">
        <f aca="false">+DATOS_[[#This Row],[SALARIO BASE Eq]]+DATOS_[[#This Row],[Tot COMPL.SAL Eq]]</f>
        <v>#DIV/0!</v>
      </c>
      <c r="CA699" s="138" t="e">
        <f aca="false" t="array" ref="CA699:CA6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9" s="138" t="e">
        <f aca="false">+DATOS_[[#This Row],[TOTAL SALARIO Eq]]+DATOS_[[#This Row],[Tot Extrasalarial Eq]]</f>
        <v>#DIV/0!</v>
      </c>
      <c r="CC699" s="139" t="n">
        <f aca="false">DATOS_[[#This Row],[S.BASE]]</f>
        <v>0</v>
      </c>
      <c r="CD699" s="139" t="n">
        <f aca="false">+SUM(DATOS_[[#This Row],[Conc.Sal.01]:[Conc.Sal.30]])</f>
        <v>0</v>
      </c>
      <c r="CE699" s="139" t="n">
        <f aca="false">+DATOS_[[#This Row],[SALARIO BASE Ef]]+DATOS_[[#This Row],[Tot COMPL.SAL Ef]]</f>
        <v>0</v>
      </c>
      <c r="CF699" s="139" t="n">
        <f aca="false">+SUM(DATOS_[[#This Row],[C.Extra.01]:[C.Extra.05]])</f>
        <v>0</v>
      </c>
      <c r="CG699" s="139" t="n">
        <f aca="false">+DATOS_[[#This Row],[TOTAL SALARIO Ef]]+DATOS_[[#This Row],[Tot Extrasalarial Ef]]</f>
        <v>0</v>
      </c>
      <c r="CH699" s="140" t="n">
        <f aca="false">MIN(IF(DATOS_[[#This Row],[Fecha Fin Contrato]]="",$D$4,DATOS_[[#This Row],[Fecha Fin Contrato]]),$D$4)-MAX(DATOS_[[#This Row],[Fecha de Contratación]],$D$3)+1</f>
        <v>1</v>
      </c>
      <c r="CI699" s="141" t="str">
        <f aca="false">IF(COUNTIFS(DATOS_[id],DATOS_[[#This Row],[id]])&gt;1,DATOS_[[#This Row],[id]],"")</f>
        <v/>
      </c>
      <c r="CJ699" s="141" t="n">
        <f aca="false">(Inicio!$G$10-DATOS_[[#This Row],[Fecha Nacimiento]])/365.25</f>
        <v>0</v>
      </c>
      <c r="CK699" s="141" t="n">
        <f aca="false">(Inicio!$G$10-DATOS_[[#This Row],[Fecha de Antigüedad]])/365.25</f>
        <v>0</v>
      </c>
      <c r="CL699" s="141" t="e">
        <f aca="false">+VLOOKUP(DATOS_[[#This Row],[Clave de Contrato]],TblTiposContrato13[],3,0)</f>
        <v>#N/A</v>
      </c>
      <c r="CM699" s="141" t="e">
        <f aca="false">+VLOOKUP(DATOS_[[#This Row],[Clave de Contrato]],TblTiposContrato13[],4,0)</f>
        <v>#N/A</v>
      </c>
      <c r="CN699" s="141" t="str">
        <f aca="false">VLOOKUP(DATOS_[[#This Row],[Edad]],CONTRATOS!TblRngEdad,2,1)</f>
        <v>20  o menos</v>
      </c>
      <c r="CO699" s="141" t="str">
        <f aca="false">VLOOKUP(DATOS_[[#This Row],[Antigüedad]],TblRngAntg14[],2,1)</f>
        <v>0 a 1 años</v>
      </c>
    </row>
    <row r="700" customFormat="false" ht="13.8" hidden="false" customHeight="false" outlineLevel="0" collapsed="false">
      <c r="D700" s="128"/>
      <c r="E700" s="129"/>
      <c r="F700" s="129"/>
      <c r="G700" s="129"/>
      <c r="H700" s="130"/>
      <c r="I700" s="131"/>
      <c r="J700" s="128"/>
      <c r="K700" s="132"/>
      <c r="L700" s="132"/>
      <c r="M700" s="133"/>
      <c r="N700" s="133"/>
      <c r="O700" s="133"/>
      <c r="P700" s="129"/>
      <c r="Z700" s="75"/>
      <c r="AA700" s="76"/>
      <c r="AB700" s="76"/>
      <c r="AC700" s="129"/>
      <c r="AD700" s="134"/>
      <c r="AE700" s="134"/>
      <c r="AF700" s="134"/>
      <c r="AG700" s="134"/>
      <c r="AH700" s="134"/>
      <c r="AI700" s="134"/>
      <c r="AJ700" s="134"/>
      <c r="AK700" s="134"/>
      <c r="AL700" s="134"/>
      <c r="AM700" s="134"/>
      <c r="AN700" s="134"/>
      <c r="AO700" s="134"/>
      <c r="AP700" s="134"/>
      <c r="AQ700" s="134"/>
      <c r="AR700" s="134"/>
      <c r="AS700" s="134"/>
      <c r="AT700" s="134"/>
      <c r="AU700" s="134"/>
      <c r="AV700" s="134"/>
      <c r="AW700" s="134"/>
      <c r="AX700" s="134"/>
      <c r="AY700" s="134"/>
      <c r="AZ700" s="134"/>
      <c r="BA700" s="134"/>
      <c r="BB700" s="134"/>
      <c r="BC700" s="134"/>
      <c r="BD700" s="134"/>
      <c r="BE700" s="134"/>
      <c r="BF700" s="134"/>
      <c r="BG700" s="134"/>
      <c r="BH700" s="134"/>
      <c r="BI700" s="134"/>
      <c r="BJ700" s="134"/>
      <c r="BK700" s="134"/>
      <c r="BL700" s="134"/>
      <c r="BM700" s="135"/>
      <c r="BN700" s="136" t="n">
        <f aca="false">+MAX($D$3,DATOS_[[#This Row],[Fecha Inicio Sit. Contract.]])</f>
        <v>0</v>
      </c>
      <c r="BO700" s="136" t="n">
        <f aca="false">+MIN($D$4,DATOS_[[#This Row],[Fecha Fin Sit. Contract.]])</f>
        <v>0</v>
      </c>
      <c r="BP700" s="137" t="n">
        <f aca="false">+DATOS_[[#This Row],[% de jornada]]*IF(DATOS_[[#This Row],[% jornada reducida]]="",1,DATOS_[[#This Row],[% jornada reducida]])</f>
        <v>0</v>
      </c>
      <c r="BQ700" s="137" t="n">
        <f aca="false">+(DATOS_[[#This Row],[F.fin.cal]]-DATOS_[[#This Row],[F.ini.cal]]+1)/($D$4-$D$3+1)</f>
        <v>1</v>
      </c>
      <c r="BR700" s="137" t="str">
        <f aca="false">IF(OR(AND(DATOS_[[#This Row],[Fecha Fin Contrato]]&lt;$D$3,DATOS_[[#This Row],[Fecha Fin Contrato]]&lt;&gt;""),DATOS_[[#This Row],[Fecha de Contratación]]&gt;$D$4),"Fuera","Dentro")</f>
        <v>Dentro</v>
      </c>
      <c r="BS700" s="137" t="str">
        <f aca="false" t="array" ref="BS700:BS700">IF(MAX(IF(DATOS_[id]=DATOS_[[#This Row],[id]],DATOS_[F.fin.cal]))=DATOS_[[#This Row],[F.fin.cal]],"Sí","NO")</f>
        <v>Sí</v>
      </c>
      <c r="BT700" s="137" t="str">
        <f aca="false">IF(AND(DATOS_[[#This Row],[% normaliz]]&lt;&gt;1,DATOS_[[#This Row],[% anualiz]]=1),"Sí","NO")</f>
        <v>Sí</v>
      </c>
      <c r="BU700" s="137" t="str">
        <f aca="false">IF(AND(DATOS_[[#This Row],[% normaliz]]=1,DATOS_[[#This Row],[% anualiz]]&lt;&gt;1),"Sí","NO")</f>
        <v>NO</v>
      </c>
      <c r="BV700" s="137" t="str">
        <f aca="false">IF(AND(DATOS_[[#This Row],[% normaliz]]&lt;&gt;1,DATOS_[[#This Row],[% anualiz]]&lt;&gt;1),"Sí","NO")</f>
        <v>NO</v>
      </c>
      <c r="BW700" s="137" t="str">
        <f aca="false">+IF(DATOS_[[#This Row],[% normaliz]]*DATOS_[[#This Row],[% anualiz]]=1,"NO","Sí")</f>
        <v>Sí</v>
      </c>
      <c r="BX700" s="138" t="e">
        <f aca="false">(DATOS_[[#This Row],[S.BASE]]*(1/DATOS_[[#This Row],[% normaliz]])*(1/DATOS_[[#This Row],[% anualiz]]))*IF(DATOS_[[#This Row],[Check Equiparado]]="Sí",1,0)</f>
        <v>#DIV/0!</v>
      </c>
      <c r="BY7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0" s="138" t="e">
        <f aca="false">+DATOS_[[#This Row],[SALARIO BASE Eq]]+DATOS_[[#This Row],[Tot COMPL.SAL Eq]]</f>
        <v>#DIV/0!</v>
      </c>
      <c r="CA700" s="138" t="e">
        <f aca="false" t="array" ref="CA700:CA7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0" s="138" t="e">
        <f aca="false">+DATOS_[[#This Row],[TOTAL SALARIO Eq]]+DATOS_[[#This Row],[Tot Extrasalarial Eq]]</f>
        <v>#DIV/0!</v>
      </c>
      <c r="CC700" s="139" t="n">
        <f aca="false">DATOS_[[#This Row],[S.BASE]]</f>
        <v>0</v>
      </c>
      <c r="CD700" s="139" t="n">
        <f aca="false">+SUM(DATOS_[[#This Row],[Conc.Sal.01]:[Conc.Sal.30]])</f>
        <v>0</v>
      </c>
      <c r="CE700" s="139" t="n">
        <f aca="false">+DATOS_[[#This Row],[SALARIO BASE Ef]]+DATOS_[[#This Row],[Tot COMPL.SAL Ef]]</f>
        <v>0</v>
      </c>
      <c r="CF700" s="139" t="n">
        <f aca="false">+SUM(DATOS_[[#This Row],[C.Extra.01]:[C.Extra.05]])</f>
        <v>0</v>
      </c>
      <c r="CG700" s="139" t="n">
        <f aca="false">+DATOS_[[#This Row],[TOTAL SALARIO Ef]]+DATOS_[[#This Row],[Tot Extrasalarial Ef]]</f>
        <v>0</v>
      </c>
      <c r="CH700" s="140" t="n">
        <f aca="false">MIN(IF(DATOS_[[#This Row],[Fecha Fin Contrato]]="",$D$4,DATOS_[[#This Row],[Fecha Fin Contrato]]),$D$4)-MAX(DATOS_[[#This Row],[Fecha de Contratación]],$D$3)+1</f>
        <v>1</v>
      </c>
      <c r="CI700" s="141" t="str">
        <f aca="false">IF(COUNTIFS(DATOS_[id],DATOS_[[#This Row],[id]])&gt;1,DATOS_[[#This Row],[id]],"")</f>
        <v/>
      </c>
      <c r="CJ700" s="141" t="n">
        <f aca="false">(Inicio!$G$10-DATOS_[[#This Row],[Fecha Nacimiento]])/365.25</f>
        <v>0</v>
      </c>
      <c r="CK700" s="141" t="n">
        <f aca="false">(Inicio!$G$10-DATOS_[[#This Row],[Fecha de Antigüedad]])/365.25</f>
        <v>0</v>
      </c>
      <c r="CL700" s="141" t="e">
        <f aca="false">+VLOOKUP(DATOS_[[#This Row],[Clave de Contrato]],TblTiposContrato13[],3,0)</f>
        <v>#N/A</v>
      </c>
      <c r="CM700" s="141" t="e">
        <f aca="false">+VLOOKUP(DATOS_[[#This Row],[Clave de Contrato]],TblTiposContrato13[],4,0)</f>
        <v>#N/A</v>
      </c>
      <c r="CN700" s="141" t="str">
        <f aca="false">VLOOKUP(DATOS_[[#This Row],[Edad]],CONTRATOS!TblRngEdad,2,1)</f>
        <v>20  o menos</v>
      </c>
      <c r="CO700" s="141" t="str">
        <f aca="false">VLOOKUP(DATOS_[[#This Row],[Antigüedad]],TblRngAntg14[],2,1)</f>
        <v>0 a 1 años</v>
      </c>
    </row>
    <row r="701" customFormat="false" ht="13.8" hidden="false" customHeight="false" outlineLevel="0" collapsed="false">
      <c r="D701" s="128"/>
      <c r="E701" s="129"/>
      <c r="F701" s="129"/>
      <c r="G701" s="129"/>
      <c r="H701" s="130"/>
      <c r="I701" s="131"/>
      <c r="J701" s="128"/>
      <c r="K701" s="132"/>
      <c r="L701" s="132"/>
      <c r="M701" s="133"/>
      <c r="N701" s="133"/>
      <c r="O701" s="133"/>
      <c r="P701" s="129"/>
      <c r="Z701" s="75"/>
      <c r="AA701" s="76"/>
      <c r="AB701" s="76"/>
      <c r="AC701" s="129"/>
      <c r="AD701" s="134"/>
      <c r="AE701" s="134"/>
      <c r="AF701" s="134"/>
      <c r="AG701" s="134"/>
      <c r="AH701" s="134"/>
      <c r="AI701" s="134"/>
      <c r="AJ701" s="134"/>
      <c r="AK701" s="134"/>
      <c r="AL701" s="134"/>
      <c r="AM701" s="134"/>
      <c r="AN701" s="134"/>
      <c r="AO701" s="134"/>
      <c r="AP701" s="134"/>
      <c r="AQ701" s="134"/>
      <c r="AR701" s="134"/>
      <c r="AS701" s="134"/>
      <c r="AT701" s="134"/>
      <c r="AU701" s="134"/>
      <c r="AV701" s="134"/>
      <c r="AW701" s="134"/>
      <c r="AX701" s="134"/>
      <c r="AY701" s="134"/>
      <c r="AZ701" s="134"/>
      <c r="BA701" s="134"/>
      <c r="BB701" s="134"/>
      <c r="BC701" s="134"/>
      <c r="BD701" s="134"/>
      <c r="BE701" s="134"/>
      <c r="BF701" s="134"/>
      <c r="BG701" s="134"/>
      <c r="BH701" s="134"/>
      <c r="BI701" s="134"/>
      <c r="BJ701" s="134"/>
      <c r="BK701" s="134"/>
      <c r="BL701" s="134"/>
      <c r="BM701" s="135"/>
      <c r="BN701" s="136" t="n">
        <f aca="false">+MAX($D$3,DATOS_[[#This Row],[Fecha Inicio Sit. Contract.]])</f>
        <v>0</v>
      </c>
      <c r="BO701" s="136" t="n">
        <f aca="false">+MIN($D$4,DATOS_[[#This Row],[Fecha Fin Sit. Contract.]])</f>
        <v>0</v>
      </c>
      <c r="BP701" s="137" t="n">
        <f aca="false">+DATOS_[[#This Row],[% de jornada]]*IF(DATOS_[[#This Row],[% jornada reducida]]="",1,DATOS_[[#This Row],[% jornada reducida]])</f>
        <v>0</v>
      </c>
      <c r="BQ701" s="137" t="n">
        <f aca="false">+(DATOS_[[#This Row],[F.fin.cal]]-DATOS_[[#This Row],[F.ini.cal]]+1)/($D$4-$D$3+1)</f>
        <v>1</v>
      </c>
      <c r="BR701" s="137" t="str">
        <f aca="false">IF(OR(AND(DATOS_[[#This Row],[Fecha Fin Contrato]]&lt;$D$3,DATOS_[[#This Row],[Fecha Fin Contrato]]&lt;&gt;""),DATOS_[[#This Row],[Fecha de Contratación]]&gt;$D$4),"Fuera","Dentro")</f>
        <v>Dentro</v>
      </c>
      <c r="BS701" s="137" t="str">
        <f aca="false" t="array" ref="BS701:BS701">IF(MAX(IF(DATOS_[id]=DATOS_[[#This Row],[id]],DATOS_[F.fin.cal]))=DATOS_[[#This Row],[F.fin.cal]],"Sí","NO")</f>
        <v>Sí</v>
      </c>
      <c r="BT701" s="137" t="str">
        <f aca="false">IF(AND(DATOS_[[#This Row],[% normaliz]]&lt;&gt;1,DATOS_[[#This Row],[% anualiz]]=1),"Sí","NO")</f>
        <v>Sí</v>
      </c>
      <c r="BU701" s="137" t="str">
        <f aca="false">IF(AND(DATOS_[[#This Row],[% normaliz]]=1,DATOS_[[#This Row],[% anualiz]]&lt;&gt;1),"Sí","NO")</f>
        <v>NO</v>
      </c>
      <c r="BV701" s="137" t="str">
        <f aca="false">IF(AND(DATOS_[[#This Row],[% normaliz]]&lt;&gt;1,DATOS_[[#This Row],[% anualiz]]&lt;&gt;1),"Sí","NO")</f>
        <v>NO</v>
      </c>
      <c r="BW701" s="137" t="str">
        <f aca="false">+IF(DATOS_[[#This Row],[% normaliz]]*DATOS_[[#This Row],[% anualiz]]=1,"NO","Sí")</f>
        <v>Sí</v>
      </c>
      <c r="BX701" s="138" t="e">
        <f aca="false">(DATOS_[[#This Row],[S.BASE]]*(1/DATOS_[[#This Row],[% normaliz]])*(1/DATOS_[[#This Row],[% anualiz]]))*IF(DATOS_[[#This Row],[Check Equiparado]]="Sí",1,0)</f>
        <v>#DIV/0!</v>
      </c>
      <c r="BY7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1" s="138" t="e">
        <f aca="false">+DATOS_[[#This Row],[SALARIO BASE Eq]]+DATOS_[[#This Row],[Tot COMPL.SAL Eq]]</f>
        <v>#DIV/0!</v>
      </c>
      <c r="CA701" s="138" t="e">
        <f aca="false" t="array" ref="CA701:CA7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1" s="138" t="e">
        <f aca="false">+DATOS_[[#This Row],[TOTAL SALARIO Eq]]+DATOS_[[#This Row],[Tot Extrasalarial Eq]]</f>
        <v>#DIV/0!</v>
      </c>
      <c r="CC701" s="139" t="n">
        <f aca="false">DATOS_[[#This Row],[S.BASE]]</f>
        <v>0</v>
      </c>
      <c r="CD701" s="139" t="n">
        <f aca="false">+SUM(DATOS_[[#This Row],[Conc.Sal.01]:[Conc.Sal.30]])</f>
        <v>0</v>
      </c>
      <c r="CE701" s="139" t="n">
        <f aca="false">+DATOS_[[#This Row],[SALARIO BASE Ef]]+DATOS_[[#This Row],[Tot COMPL.SAL Ef]]</f>
        <v>0</v>
      </c>
      <c r="CF701" s="139" t="n">
        <f aca="false">+SUM(DATOS_[[#This Row],[C.Extra.01]:[C.Extra.05]])</f>
        <v>0</v>
      </c>
      <c r="CG701" s="139" t="n">
        <f aca="false">+DATOS_[[#This Row],[TOTAL SALARIO Ef]]+DATOS_[[#This Row],[Tot Extrasalarial Ef]]</f>
        <v>0</v>
      </c>
      <c r="CH701" s="140" t="n">
        <f aca="false">MIN(IF(DATOS_[[#This Row],[Fecha Fin Contrato]]="",$D$4,DATOS_[[#This Row],[Fecha Fin Contrato]]),$D$4)-MAX(DATOS_[[#This Row],[Fecha de Contratación]],$D$3)+1</f>
        <v>1</v>
      </c>
      <c r="CI701" s="141" t="str">
        <f aca="false">IF(COUNTIFS(DATOS_[id],DATOS_[[#This Row],[id]])&gt;1,DATOS_[[#This Row],[id]],"")</f>
        <v/>
      </c>
      <c r="CJ701" s="141" t="n">
        <f aca="false">(Inicio!$G$10-DATOS_[[#This Row],[Fecha Nacimiento]])/365.25</f>
        <v>0</v>
      </c>
      <c r="CK701" s="141" t="n">
        <f aca="false">(Inicio!$G$10-DATOS_[[#This Row],[Fecha de Antigüedad]])/365.25</f>
        <v>0</v>
      </c>
      <c r="CL701" s="141" t="e">
        <f aca="false">+VLOOKUP(DATOS_[[#This Row],[Clave de Contrato]],TblTiposContrato13[],3,0)</f>
        <v>#N/A</v>
      </c>
      <c r="CM701" s="141" t="e">
        <f aca="false">+VLOOKUP(DATOS_[[#This Row],[Clave de Contrato]],TblTiposContrato13[],4,0)</f>
        <v>#N/A</v>
      </c>
      <c r="CN701" s="141" t="str">
        <f aca="false">VLOOKUP(DATOS_[[#This Row],[Edad]],CONTRATOS!TblRngEdad,2,1)</f>
        <v>20  o menos</v>
      </c>
      <c r="CO701" s="141" t="str">
        <f aca="false">VLOOKUP(DATOS_[[#This Row],[Antigüedad]],TblRngAntg14[],2,1)</f>
        <v>0 a 1 años</v>
      </c>
    </row>
    <row r="702" customFormat="false" ht="13.8" hidden="false" customHeight="false" outlineLevel="0" collapsed="false">
      <c r="D702" s="128"/>
      <c r="E702" s="129"/>
      <c r="F702" s="129"/>
      <c r="G702" s="129"/>
      <c r="H702" s="130"/>
      <c r="I702" s="131"/>
      <c r="J702" s="128"/>
      <c r="K702" s="132"/>
      <c r="L702" s="132"/>
      <c r="M702" s="133"/>
      <c r="N702" s="133"/>
      <c r="O702" s="133"/>
      <c r="P702" s="129"/>
      <c r="Z702" s="75"/>
      <c r="AA702" s="76"/>
      <c r="AB702" s="76"/>
      <c r="AC702" s="129"/>
      <c r="AD702" s="134"/>
      <c r="AE702" s="134"/>
      <c r="AF702" s="134"/>
      <c r="AG702" s="134"/>
      <c r="AH702" s="134"/>
      <c r="AI702" s="134"/>
      <c r="AJ702" s="134"/>
      <c r="AK702" s="134"/>
      <c r="AL702" s="134"/>
      <c r="AM702" s="134"/>
      <c r="AN702" s="134"/>
      <c r="AO702" s="134"/>
      <c r="AP702" s="134"/>
      <c r="AQ702" s="134"/>
      <c r="AR702" s="134"/>
      <c r="AS702" s="134"/>
      <c r="AT702" s="134"/>
      <c r="AU702" s="134"/>
      <c r="AV702" s="134"/>
      <c r="AW702" s="134"/>
      <c r="AX702" s="134"/>
      <c r="AY702" s="134"/>
      <c r="AZ702" s="134"/>
      <c r="BA702" s="134"/>
      <c r="BB702" s="134"/>
      <c r="BC702" s="134"/>
      <c r="BD702" s="134"/>
      <c r="BE702" s="134"/>
      <c r="BF702" s="134"/>
      <c r="BG702" s="134"/>
      <c r="BH702" s="134"/>
      <c r="BI702" s="134"/>
      <c r="BJ702" s="134"/>
      <c r="BK702" s="134"/>
      <c r="BL702" s="134"/>
      <c r="BM702" s="135"/>
      <c r="BN702" s="136" t="n">
        <f aca="false">+MAX($D$3,DATOS_[[#This Row],[Fecha Inicio Sit. Contract.]])</f>
        <v>0</v>
      </c>
      <c r="BO702" s="136" t="n">
        <f aca="false">+MIN($D$4,DATOS_[[#This Row],[Fecha Fin Sit. Contract.]])</f>
        <v>0</v>
      </c>
      <c r="BP702" s="137" t="n">
        <f aca="false">+DATOS_[[#This Row],[% de jornada]]*IF(DATOS_[[#This Row],[% jornada reducida]]="",1,DATOS_[[#This Row],[% jornada reducida]])</f>
        <v>0</v>
      </c>
      <c r="BQ702" s="137" t="n">
        <f aca="false">+(DATOS_[[#This Row],[F.fin.cal]]-DATOS_[[#This Row],[F.ini.cal]]+1)/($D$4-$D$3+1)</f>
        <v>1</v>
      </c>
      <c r="BR702" s="137" t="str">
        <f aca="false">IF(OR(AND(DATOS_[[#This Row],[Fecha Fin Contrato]]&lt;$D$3,DATOS_[[#This Row],[Fecha Fin Contrato]]&lt;&gt;""),DATOS_[[#This Row],[Fecha de Contratación]]&gt;$D$4),"Fuera","Dentro")</f>
        <v>Dentro</v>
      </c>
      <c r="BS702" s="137" t="str">
        <f aca="false" t="array" ref="BS702:BS702">IF(MAX(IF(DATOS_[id]=DATOS_[[#This Row],[id]],DATOS_[F.fin.cal]))=DATOS_[[#This Row],[F.fin.cal]],"Sí","NO")</f>
        <v>Sí</v>
      </c>
      <c r="BT702" s="137" t="str">
        <f aca="false">IF(AND(DATOS_[[#This Row],[% normaliz]]&lt;&gt;1,DATOS_[[#This Row],[% anualiz]]=1),"Sí","NO")</f>
        <v>Sí</v>
      </c>
      <c r="BU702" s="137" t="str">
        <f aca="false">IF(AND(DATOS_[[#This Row],[% normaliz]]=1,DATOS_[[#This Row],[% anualiz]]&lt;&gt;1),"Sí","NO")</f>
        <v>NO</v>
      </c>
      <c r="BV702" s="137" t="str">
        <f aca="false">IF(AND(DATOS_[[#This Row],[% normaliz]]&lt;&gt;1,DATOS_[[#This Row],[% anualiz]]&lt;&gt;1),"Sí","NO")</f>
        <v>NO</v>
      </c>
      <c r="BW702" s="137" t="str">
        <f aca="false">+IF(DATOS_[[#This Row],[% normaliz]]*DATOS_[[#This Row],[% anualiz]]=1,"NO","Sí")</f>
        <v>Sí</v>
      </c>
      <c r="BX702" s="138" t="e">
        <f aca="false">(DATOS_[[#This Row],[S.BASE]]*(1/DATOS_[[#This Row],[% normaliz]])*(1/DATOS_[[#This Row],[% anualiz]]))*IF(DATOS_[[#This Row],[Check Equiparado]]="Sí",1,0)</f>
        <v>#DIV/0!</v>
      </c>
      <c r="BY7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2" s="138" t="e">
        <f aca="false">+DATOS_[[#This Row],[SALARIO BASE Eq]]+DATOS_[[#This Row],[Tot COMPL.SAL Eq]]</f>
        <v>#DIV/0!</v>
      </c>
      <c r="CA702" s="138" t="e">
        <f aca="false" t="array" ref="CA702:CA7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2" s="138" t="e">
        <f aca="false">+DATOS_[[#This Row],[TOTAL SALARIO Eq]]+DATOS_[[#This Row],[Tot Extrasalarial Eq]]</f>
        <v>#DIV/0!</v>
      </c>
      <c r="CC702" s="139" t="n">
        <f aca="false">DATOS_[[#This Row],[S.BASE]]</f>
        <v>0</v>
      </c>
      <c r="CD702" s="139" t="n">
        <f aca="false">+SUM(DATOS_[[#This Row],[Conc.Sal.01]:[Conc.Sal.30]])</f>
        <v>0</v>
      </c>
      <c r="CE702" s="139" t="n">
        <f aca="false">+DATOS_[[#This Row],[SALARIO BASE Ef]]+DATOS_[[#This Row],[Tot COMPL.SAL Ef]]</f>
        <v>0</v>
      </c>
      <c r="CF702" s="139" t="n">
        <f aca="false">+SUM(DATOS_[[#This Row],[C.Extra.01]:[C.Extra.05]])</f>
        <v>0</v>
      </c>
      <c r="CG702" s="139" t="n">
        <f aca="false">+DATOS_[[#This Row],[TOTAL SALARIO Ef]]+DATOS_[[#This Row],[Tot Extrasalarial Ef]]</f>
        <v>0</v>
      </c>
      <c r="CH702" s="140" t="n">
        <f aca="false">MIN(IF(DATOS_[[#This Row],[Fecha Fin Contrato]]="",$D$4,DATOS_[[#This Row],[Fecha Fin Contrato]]),$D$4)-MAX(DATOS_[[#This Row],[Fecha de Contratación]],$D$3)+1</f>
        <v>1</v>
      </c>
      <c r="CI702" s="141" t="str">
        <f aca="false">IF(COUNTIFS(DATOS_[id],DATOS_[[#This Row],[id]])&gt;1,DATOS_[[#This Row],[id]],"")</f>
        <v/>
      </c>
      <c r="CJ702" s="141" t="n">
        <f aca="false">(Inicio!$G$10-DATOS_[[#This Row],[Fecha Nacimiento]])/365.25</f>
        <v>0</v>
      </c>
      <c r="CK702" s="141" t="n">
        <f aca="false">(Inicio!$G$10-DATOS_[[#This Row],[Fecha de Antigüedad]])/365.25</f>
        <v>0</v>
      </c>
      <c r="CL702" s="141" t="e">
        <f aca="false">+VLOOKUP(DATOS_[[#This Row],[Clave de Contrato]],TblTiposContrato13[],3,0)</f>
        <v>#N/A</v>
      </c>
      <c r="CM702" s="141" t="e">
        <f aca="false">+VLOOKUP(DATOS_[[#This Row],[Clave de Contrato]],TblTiposContrato13[],4,0)</f>
        <v>#N/A</v>
      </c>
      <c r="CN702" s="141" t="str">
        <f aca="false">VLOOKUP(DATOS_[[#This Row],[Edad]],CONTRATOS!TblRngEdad,2,1)</f>
        <v>20  o menos</v>
      </c>
      <c r="CO702" s="141" t="str">
        <f aca="false">VLOOKUP(DATOS_[[#This Row],[Antigüedad]],TblRngAntg14[],2,1)</f>
        <v>0 a 1 años</v>
      </c>
    </row>
    <row r="703" customFormat="false" ht="13.8" hidden="false" customHeight="false" outlineLevel="0" collapsed="false">
      <c r="D703" s="128"/>
      <c r="E703" s="129"/>
      <c r="F703" s="129"/>
      <c r="G703" s="129"/>
      <c r="H703" s="130"/>
      <c r="I703" s="131"/>
      <c r="J703" s="128"/>
      <c r="K703" s="132"/>
      <c r="L703" s="132"/>
      <c r="M703" s="133"/>
      <c r="N703" s="133"/>
      <c r="O703" s="133"/>
      <c r="P703" s="129"/>
      <c r="Z703" s="75"/>
      <c r="AA703" s="76"/>
      <c r="AB703" s="76"/>
      <c r="AC703" s="129"/>
      <c r="AD703" s="134"/>
      <c r="AE703" s="134"/>
      <c r="AF703" s="134"/>
      <c r="AG703" s="134"/>
      <c r="AH703" s="134"/>
      <c r="AI703" s="134"/>
      <c r="AJ703" s="134"/>
      <c r="AK703" s="134"/>
      <c r="AL703" s="134"/>
      <c r="AM703" s="134"/>
      <c r="AN703" s="134"/>
      <c r="AO703" s="134"/>
      <c r="AP703" s="134"/>
      <c r="AQ703" s="134"/>
      <c r="AR703" s="134"/>
      <c r="AS703" s="134"/>
      <c r="AT703" s="134"/>
      <c r="AU703" s="134"/>
      <c r="AV703" s="134"/>
      <c r="AW703" s="134"/>
      <c r="AX703" s="134"/>
      <c r="AY703" s="134"/>
      <c r="AZ703" s="134"/>
      <c r="BA703" s="134"/>
      <c r="BB703" s="134"/>
      <c r="BC703" s="134"/>
      <c r="BD703" s="134"/>
      <c r="BE703" s="134"/>
      <c r="BF703" s="134"/>
      <c r="BG703" s="134"/>
      <c r="BH703" s="134"/>
      <c r="BI703" s="134"/>
      <c r="BJ703" s="134"/>
      <c r="BK703" s="134"/>
      <c r="BL703" s="134"/>
      <c r="BM703" s="135"/>
      <c r="BN703" s="136" t="n">
        <f aca="false">+MAX($D$3,DATOS_[[#This Row],[Fecha Inicio Sit. Contract.]])</f>
        <v>0</v>
      </c>
      <c r="BO703" s="136" t="n">
        <f aca="false">+MIN($D$4,DATOS_[[#This Row],[Fecha Fin Sit. Contract.]])</f>
        <v>0</v>
      </c>
      <c r="BP703" s="137" t="n">
        <f aca="false">+DATOS_[[#This Row],[% de jornada]]*IF(DATOS_[[#This Row],[% jornada reducida]]="",1,DATOS_[[#This Row],[% jornada reducida]])</f>
        <v>0</v>
      </c>
      <c r="BQ703" s="137" t="n">
        <f aca="false">+(DATOS_[[#This Row],[F.fin.cal]]-DATOS_[[#This Row],[F.ini.cal]]+1)/($D$4-$D$3+1)</f>
        <v>1</v>
      </c>
      <c r="BR703" s="137" t="str">
        <f aca="false">IF(OR(AND(DATOS_[[#This Row],[Fecha Fin Contrato]]&lt;$D$3,DATOS_[[#This Row],[Fecha Fin Contrato]]&lt;&gt;""),DATOS_[[#This Row],[Fecha de Contratación]]&gt;$D$4),"Fuera","Dentro")</f>
        <v>Dentro</v>
      </c>
      <c r="BS703" s="137" t="str">
        <f aca="false" t="array" ref="BS703:BS703">IF(MAX(IF(DATOS_[id]=DATOS_[[#This Row],[id]],DATOS_[F.fin.cal]))=DATOS_[[#This Row],[F.fin.cal]],"Sí","NO")</f>
        <v>Sí</v>
      </c>
      <c r="BT703" s="137" t="str">
        <f aca="false">IF(AND(DATOS_[[#This Row],[% normaliz]]&lt;&gt;1,DATOS_[[#This Row],[% anualiz]]=1),"Sí","NO")</f>
        <v>Sí</v>
      </c>
      <c r="BU703" s="137" t="str">
        <f aca="false">IF(AND(DATOS_[[#This Row],[% normaliz]]=1,DATOS_[[#This Row],[% anualiz]]&lt;&gt;1),"Sí","NO")</f>
        <v>NO</v>
      </c>
      <c r="BV703" s="137" t="str">
        <f aca="false">IF(AND(DATOS_[[#This Row],[% normaliz]]&lt;&gt;1,DATOS_[[#This Row],[% anualiz]]&lt;&gt;1),"Sí","NO")</f>
        <v>NO</v>
      </c>
      <c r="BW703" s="137" t="str">
        <f aca="false">+IF(DATOS_[[#This Row],[% normaliz]]*DATOS_[[#This Row],[% anualiz]]=1,"NO","Sí")</f>
        <v>Sí</v>
      </c>
      <c r="BX703" s="138" t="e">
        <f aca="false">(DATOS_[[#This Row],[S.BASE]]*(1/DATOS_[[#This Row],[% normaliz]])*(1/DATOS_[[#This Row],[% anualiz]]))*IF(DATOS_[[#This Row],[Check Equiparado]]="Sí",1,0)</f>
        <v>#DIV/0!</v>
      </c>
      <c r="BY7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3" s="138" t="e">
        <f aca="false">+DATOS_[[#This Row],[SALARIO BASE Eq]]+DATOS_[[#This Row],[Tot COMPL.SAL Eq]]</f>
        <v>#DIV/0!</v>
      </c>
      <c r="CA703" s="138" t="e">
        <f aca="false" t="array" ref="CA703:CA7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3" s="138" t="e">
        <f aca="false">+DATOS_[[#This Row],[TOTAL SALARIO Eq]]+DATOS_[[#This Row],[Tot Extrasalarial Eq]]</f>
        <v>#DIV/0!</v>
      </c>
      <c r="CC703" s="139" t="n">
        <f aca="false">DATOS_[[#This Row],[S.BASE]]</f>
        <v>0</v>
      </c>
      <c r="CD703" s="139" t="n">
        <f aca="false">+SUM(DATOS_[[#This Row],[Conc.Sal.01]:[Conc.Sal.30]])</f>
        <v>0</v>
      </c>
      <c r="CE703" s="139" t="n">
        <f aca="false">+DATOS_[[#This Row],[SALARIO BASE Ef]]+DATOS_[[#This Row],[Tot COMPL.SAL Ef]]</f>
        <v>0</v>
      </c>
      <c r="CF703" s="139" t="n">
        <f aca="false">+SUM(DATOS_[[#This Row],[C.Extra.01]:[C.Extra.05]])</f>
        <v>0</v>
      </c>
      <c r="CG703" s="139" t="n">
        <f aca="false">+DATOS_[[#This Row],[TOTAL SALARIO Ef]]+DATOS_[[#This Row],[Tot Extrasalarial Ef]]</f>
        <v>0</v>
      </c>
      <c r="CH703" s="140" t="n">
        <f aca="false">MIN(IF(DATOS_[[#This Row],[Fecha Fin Contrato]]="",$D$4,DATOS_[[#This Row],[Fecha Fin Contrato]]),$D$4)-MAX(DATOS_[[#This Row],[Fecha de Contratación]],$D$3)+1</f>
        <v>1</v>
      </c>
      <c r="CI703" s="141" t="str">
        <f aca="false">IF(COUNTIFS(DATOS_[id],DATOS_[[#This Row],[id]])&gt;1,DATOS_[[#This Row],[id]],"")</f>
        <v/>
      </c>
      <c r="CJ703" s="141" t="n">
        <f aca="false">(Inicio!$G$10-DATOS_[[#This Row],[Fecha Nacimiento]])/365.25</f>
        <v>0</v>
      </c>
      <c r="CK703" s="141" t="n">
        <f aca="false">(Inicio!$G$10-DATOS_[[#This Row],[Fecha de Antigüedad]])/365.25</f>
        <v>0</v>
      </c>
      <c r="CL703" s="141" t="e">
        <f aca="false">+VLOOKUP(DATOS_[[#This Row],[Clave de Contrato]],TblTiposContrato13[],3,0)</f>
        <v>#N/A</v>
      </c>
      <c r="CM703" s="141" t="e">
        <f aca="false">+VLOOKUP(DATOS_[[#This Row],[Clave de Contrato]],TblTiposContrato13[],4,0)</f>
        <v>#N/A</v>
      </c>
      <c r="CN703" s="141" t="str">
        <f aca="false">VLOOKUP(DATOS_[[#This Row],[Edad]],CONTRATOS!TblRngEdad,2,1)</f>
        <v>20  o menos</v>
      </c>
      <c r="CO703" s="141" t="str">
        <f aca="false">VLOOKUP(DATOS_[[#This Row],[Antigüedad]],TblRngAntg14[],2,1)</f>
        <v>0 a 1 años</v>
      </c>
    </row>
    <row r="704" customFormat="false" ht="13.8" hidden="false" customHeight="false" outlineLevel="0" collapsed="false">
      <c r="D704" s="128"/>
      <c r="E704" s="129"/>
      <c r="F704" s="129"/>
      <c r="G704" s="129"/>
      <c r="H704" s="130"/>
      <c r="I704" s="131"/>
      <c r="J704" s="128"/>
      <c r="K704" s="132"/>
      <c r="L704" s="132"/>
      <c r="M704" s="133"/>
      <c r="N704" s="133"/>
      <c r="O704" s="133"/>
      <c r="P704" s="129"/>
      <c r="Z704" s="75"/>
      <c r="AA704" s="76"/>
      <c r="AB704" s="76"/>
      <c r="AC704" s="129"/>
      <c r="AD704" s="134"/>
      <c r="AE704" s="134"/>
      <c r="AF704" s="134"/>
      <c r="AG704" s="134"/>
      <c r="AH704" s="134"/>
      <c r="AI704" s="134"/>
      <c r="AJ704" s="134"/>
      <c r="AK704" s="134"/>
      <c r="AL704" s="134"/>
      <c r="AM704" s="134"/>
      <c r="AN704" s="134"/>
      <c r="AO704" s="134"/>
      <c r="AP704" s="134"/>
      <c r="AQ704" s="134"/>
      <c r="AR704" s="134"/>
      <c r="AS704" s="134"/>
      <c r="AT704" s="134"/>
      <c r="AU704" s="134"/>
      <c r="AV704" s="134"/>
      <c r="AW704" s="134"/>
      <c r="AX704" s="134"/>
      <c r="AY704" s="134"/>
      <c r="AZ704" s="134"/>
      <c r="BA704" s="134"/>
      <c r="BB704" s="134"/>
      <c r="BC704" s="134"/>
      <c r="BD704" s="134"/>
      <c r="BE704" s="134"/>
      <c r="BF704" s="134"/>
      <c r="BG704" s="134"/>
      <c r="BH704" s="134"/>
      <c r="BI704" s="134"/>
      <c r="BJ704" s="134"/>
      <c r="BK704" s="134"/>
      <c r="BL704" s="134"/>
      <c r="BM704" s="135"/>
      <c r="BN704" s="136" t="n">
        <f aca="false">+MAX($D$3,DATOS_[[#This Row],[Fecha Inicio Sit. Contract.]])</f>
        <v>0</v>
      </c>
      <c r="BO704" s="136" t="n">
        <f aca="false">+MIN($D$4,DATOS_[[#This Row],[Fecha Fin Sit. Contract.]])</f>
        <v>0</v>
      </c>
      <c r="BP704" s="137" t="n">
        <f aca="false">+DATOS_[[#This Row],[% de jornada]]*IF(DATOS_[[#This Row],[% jornada reducida]]="",1,DATOS_[[#This Row],[% jornada reducida]])</f>
        <v>0</v>
      </c>
      <c r="BQ704" s="137" t="n">
        <f aca="false">+(DATOS_[[#This Row],[F.fin.cal]]-DATOS_[[#This Row],[F.ini.cal]]+1)/($D$4-$D$3+1)</f>
        <v>1</v>
      </c>
      <c r="BR704" s="137" t="str">
        <f aca="false">IF(OR(AND(DATOS_[[#This Row],[Fecha Fin Contrato]]&lt;$D$3,DATOS_[[#This Row],[Fecha Fin Contrato]]&lt;&gt;""),DATOS_[[#This Row],[Fecha de Contratación]]&gt;$D$4),"Fuera","Dentro")</f>
        <v>Dentro</v>
      </c>
      <c r="BS704" s="137" t="str">
        <f aca="false" t="array" ref="BS704:BS704">IF(MAX(IF(DATOS_[id]=DATOS_[[#This Row],[id]],DATOS_[F.fin.cal]))=DATOS_[[#This Row],[F.fin.cal]],"Sí","NO")</f>
        <v>Sí</v>
      </c>
      <c r="BT704" s="137" t="str">
        <f aca="false">IF(AND(DATOS_[[#This Row],[% normaliz]]&lt;&gt;1,DATOS_[[#This Row],[% anualiz]]=1),"Sí","NO")</f>
        <v>Sí</v>
      </c>
      <c r="BU704" s="137" t="str">
        <f aca="false">IF(AND(DATOS_[[#This Row],[% normaliz]]=1,DATOS_[[#This Row],[% anualiz]]&lt;&gt;1),"Sí","NO")</f>
        <v>NO</v>
      </c>
      <c r="BV704" s="137" t="str">
        <f aca="false">IF(AND(DATOS_[[#This Row],[% normaliz]]&lt;&gt;1,DATOS_[[#This Row],[% anualiz]]&lt;&gt;1),"Sí","NO")</f>
        <v>NO</v>
      </c>
      <c r="BW704" s="137" t="str">
        <f aca="false">+IF(DATOS_[[#This Row],[% normaliz]]*DATOS_[[#This Row],[% anualiz]]=1,"NO","Sí")</f>
        <v>Sí</v>
      </c>
      <c r="BX704" s="138" t="e">
        <f aca="false">(DATOS_[[#This Row],[S.BASE]]*(1/DATOS_[[#This Row],[% normaliz]])*(1/DATOS_[[#This Row],[% anualiz]]))*IF(DATOS_[[#This Row],[Check Equiparado]]="Sí",1,0)</f>
        <v>#DIV/0!</v>
      </c>
      <c r="BY7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4" s="138" t="e">
        <f aca="false">+DATOS_[[#This Row],[SALARIO BASE Eq]]+DATOS_[[#This Row],[Tot COMPL.SAL Eq]]</f>
        <v>#DIV/0!</v>
      </c>
      <c r="CA704" s="138" t="e">
        <f aca="false" t="array" ref="CA704:CA7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4" s="138" t="e">
        <f aca="false">+DATOS_[[#This Row],[TOTAL SALARIO Eq]]+DATOS_[[#This Row],[Tot Extrasalarial Eq]]</f>
        <v>#DIV/0!</v>
      </c>
      <c r="CC704" s="139" t="n">
        <f aca="false">DATOS_[[#This Row],[S.BASE]]</f>
        <v>0</v>
      </c>
      <c r="CD704" s="139" t="n">
        <f aca="false">+SUM(DATOS_[[#This Row],[Conc.Sal.01]:[Conc.Sal.30]])</f>
        <v>0</v>
      </c>
      <c r="CE704" s="139" t="n">
        <f aca="false">+DATOS_[[#This Row],[SALARIO BASE Ef]]+DATOS_[[#This Row],[Tot COMPL.SAL Ef]]</f>
        <v>0</v>
      </c>
      <c r="CF704" s="139" t="n">
        <f aca="false">+SUM(DATOS_[[#This Row],[C.Extra.01]:[C.Extra.05]])</f>
        <v>0</v>
      </c>
      <c r="CG704" s="139" t="n">
        <f aca="false">+DATOS_[[#This Row],[TOTAL SALARIO Ef]]+DATOS_[[#This Row],[Tot Extrasalarial Ef]]</f>
        <v>0</v>
      </c>
      <c r="CH704" s="140" t="n">
        <f aca="false">MIN(IF(DATOS_[[#This Row],[Fecha Fin Contrato]]="",$D$4,DATOS_[[#This Row],[Fecha Fin Contrato]]),$D$4)-MAX(DATOS_[[#This Row],[Fecha de Contratación]],$D$3)+1</f>
        <v>1</v>
      </c>
      <c r="CI704" s="141" t="str">
        <f aca="false">IF(COUNTIFS(DATOS_[id],DATOS_[[#This Row],[id]])&gt;1,DATOS_[[#This Row],[id]],"")</f>
        <v/>
      </c>
      <c r="CJ704" s="141" t="n">
        <f aca="false">(Inicio!$G$10-DATOS_[[#This Row],[Fecha Nacimiento]])/365.25</f>
        <v>0</v>
      </c>
      <c r="CK704" s="141" t="n">
        <f aca="false">(Inicio!$G$10-DATOS_[[#This Row],[Fecha de Antigüedad]])/365.25</f>
        <v>0</v>
      </c>
      <c r="CL704" s="141" t="e">
        <f aca="false">+VLOOKUP(DATOS_[[#This Row],[Clave de Contrato]],TblTiposContrato13[],3,0)</f>
        <v>#N/A</v>
      </c>
      <c r="CM704" s="141" t="e">
        <f aca="false">+VLOOKUP(DATOS_[[#This Row],[Clave de Contrato]],TblTiposContrato13[],4,0)</f>
        <v>#N/A</v>
      </c>
      <c r="CN704" s="141" t="str">
        <f aca="false">VLOOKUP(DATOS_[[#This Row],[Edad]],CONTRATOS!TblRngEdad,2,1)</f>
        <v>20  o menos</v>
      </c>
      <c r="CO704" s="141" t="str">
        <f aca="false">VLOOKUP(DATOS_[[#This Row],[Antigüedad]],TblRngAntg14[],2,1)</f>
        <v>0 a 1 años</v>
      </c>
    </row>
    <row r="705" customFormat="false" ht="13.8" hidden="false" customHeight="false" outlineLevel="0" collapsed="false">
      <c r="D705" s="128"/>
      <c r="E705" s="129"/>
      <c r="F705" s="129"/>
      <c r="G705" s="129"/>
      <c r="H705" s="130"/>
      <c r="I705" s="131"/>
      <c r="J705" s="128"/>
      <c r="K705" s="132"/>
      <c r="L705" s="132"/>
      <c r="M705" s="133"/>
      <c r="N705" s="133"/>
      <c r="O705" s="133"/>
      <c r="P705" s="129"/>
      <c r="Z705" s="75"/>
      <c r="AA705" s="76"/>
      <c r="AB705" s="76"/>
      <c r="AC705" s="129"/>
      <c r="AD705" s="134"/>
      <c r="AE705" s="134"/>
      <c r="AF705" s="134"/>
      <c r="AG705" s="134"/>
      <c r="AH705" s="134"/>
      <c r="AI705" s="134"/>
      <c r="AJ705" s="134"/>
      <c r="AK705" s="134"/>
      <c r="AL705" s="134"/>
      <c r="AM705" s="134"/>
      <c r="AN705" s="134"/>
      <c r="AO705" s="134"/>
      <c r="AP705" s="134"/>
      <c r="AQ705" s="134"/>
      <c r="AR705" s="134"/>
      <c r="AS705" s="134"/>
      <c r="AT705" s="134"/>
      <c r="AU705" s="134"/>
      <c r="AV705" s="134"/>
      <c r="AW705" s="134"/>
      <c r="AX705" s="134"/>
      <c r="AY705" s="134"/>
      <c r="AZ705" s="134"/>
      <c r="BA705" s="134"/>
      <c r="BB705" s="134"/>
      <c r="BC705" s="134"/>
      <c r="BD705" s="134"/>
      <c r="BE705" s="134"/>
      <c r="BF705" s="134"/>
      <c r="BG705" s="134"/>
      <c r="BH705" s="134"/>
      <c r="BI705" s="134"/>
      <c r="BJ705" s="134"/>
      <c r="BK705" s="134"/>
      <c r="BL705" s="134"/>
      <c r="BM705" s="135"/>
      <c r="BN705" s="136" t="n">
        <f aca="false">+MAX($D$3,DATOS_[[#This Row],[Fecha Inicio Sit. Contract.]])</f>
        <v>0</v>
      </c>
      <c r="BO705" s="136" t="n">
        <f aca="false">+MIN($D$4,DATOS_[[#This Row],[Fecha Fin Sit. Contract.]])</f>
        <v>0</v>
      </c>
      <c r="BP705" s="137" t="n">
        <f aca="false">+DATOS_[[#This Row],[% de jornada]]*IF(DATOS_[[#This Row],[% jornada reducida]]="",1,DATOS_[[#This Row],[% jornada reducida]])</f>
        <v>0</v>
      </c>
      <c r="BQ705" s="137" t="n">
        <f aca="false">+(DATOS_[[#This Row],[F.fin.cal]]-DATOS_[[#This Row],[F.ini.cal]]+1)/($D$4-$D$3+1)</f>
        <v>1</v>
      </c>
      <c r="BR705" s="137" t="str">
        <f aca="false">IF(OR(AND(DATOS_[[#This Row],[Fecha Fin Contrato]]&lt;$D$3,DATOS_[[#This Row],[Fecha Fin Contrato]]&lt;&gt;""),DATOS_[[#This Row],[Fecha de Contratación]]&gt;$D$4),"Fuera","Dentro")</f>
        <v>Dentro</v>
      </c>
      <c r="BS705" s="137" t="str">
        <f aca="false" t="array" ref="BS705:BS705">IF(MAX(IF(DATOS_[id]=DATOS_[[#This Row],[id]],DATOS_[F.fin.cal]))=DATOS_[[#This Row],[F.fin.cal]],"Sí","NO")</f>
        <v>Sí</v>
      </c>
      <c r="BT705" s="137" t="str">
        <f aca="false">IF(AND(DATOS_[[#This Row],[% normaliz]]&lt;&gt;1,DATOS_[[#This Row],[% anualiz]]=1),"Sí","NO")</f>
        <v>Sí</v>
      </c>
      <c r="BU705" s="137" t="str">
        <f aca="false">IF(AND(DATOS_[[#This Row],[% normaliz]]=1,DATOS_[[#This Row],[% anualiz]]&lt;&gt;1),"Sí","NO")</f>
        <v>NO</v>
      </c>
      <c r="BV705" s="137" t="str">
        <f aca="false">IF(AND(DATOS_[[#This Row],[% normaliz]]&lt;&gt;1,DATOS_[[#This Row],[% anualiz]]&lt;&gt;1),"Sí","NO")</f>
        <v>NO</v>
      </c>
      <c r="BW705" s="137" t="str">
        <f aca="false">+IF(DATOS_[[#This Row],[% normaliz]]*DATOS_[[#This Row],[% anualiz]]=1,"NO","Sí")</f>
        <v>Sí</v>
      </c>
      <c r="BX705" s="138" t="e">
        <f aca="false">(DATOS_[[#This Row],[S.BASE]]*(1/DATOS_[[#This Row],[% normaliz]])*(1/DATOS_[[#This Row],[% anualiz]]))*IF(DATOS_[[#This Row],[Check Equiparado]]="Sí",1,0)</f>
        <v>#DIV/0!</v>
      </c>
      <c r="BY7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5" s="138" t="e">
        <f aca="false">+DATOS_[[#This Row],[SALARIO BASE Eq]]+DATOS_[[#This Row],[Tot COMPL.SAL Eq]]</f>
        <v>#DIV/0!</v>
      </c>
      <c r="CA705" s="138" t="e">
        <f aca="false" t="array" ref="CA705:CA7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5" s="138" t="e">
        <f aca="false">+DATOS_[[#This Row],[TOTAL SALARIO Eq]]+DATOS_[[#This Row],[Tot Extrasalarial Eq]]</f>
        <v>#DIV/0!</v>
      </c>
      <c r="CC705" s="139" t="n">
        <f aca="false">DATOS_[[#This Row],[S.BASE]]</f>
        <v>0</v>
      </c>
      <c r="CD705" s="139" t="n">
        <f aca="false">+SUM(DATOS_[[#This Row],[Conc.Sal.01]:[Conc.Sal.30]])</f>
        <v>0</v>
      </c>
      <c r="CE705" s="139" t="n">
        <f aca="false">+DATOS_[[#This Row],[SALARIO BASE Ef]]+DATOS_[[#This Row],[Tot COMPL.SAL Ef]]</f>
        <v>0</v>
      </c>
      <c r="CF705" s="139" t="n">
        <f aca="false">+SUM(DATOS_[[#This Row],[C.Extra.01]:[C.Extra.05]])</f>
        <v>0</v>
      </c>
      <c r="CG705" s="139" t="n">
        <f aca="false">+DATOS_[[#This Row],[TOTAL SALARIO Ef]]+DATOS_[[#This Row],[Tot Extrasalarial Ef]]</f>
        <v>0</v>
      </c>
      <c r="CH705" s="140" t="n">
        <f aca="false">MIN(IF(DATOS_[[#This Row],[Fecha Fin Contrato]]="",$D$4,DATOS_[[#This Row],[Fecha Fin Contrato]]),$D$4)-MAX(DATOS_[[#This Row],[Fecha de Contratación]],$D$3)+1</f>
        <v>1</v>
      </c>
      <c r="CI705" s="141" t="str">
        <f aca="false">IF(COUNTIFS(DATOS_[id],DATOS_[[#This Row],[id]])&gt;1,DATOS_[[#This Row],[id]],"")</f>
        <v/>
      </c>
      <c r="CJ705" s="141" t="n">
        <f aca="false">(Inicio!$G$10-DATOS_[[#This Row],[Fecha Nacimiento]])/365.25</f>
        <v>0</v>
      </c>
      <c r="CK705" s="141" t="n">
        <f aca="false">(Inicio!$G$10-DATOS_[[#This Row],[Fecha de Antigüedad]])/365.25</f>
        <v>0</v>
      </c>
      <c r="CL705" s="141" t="e">
        <f aca="false">+VLOOKUP(DATOS_[[#This Row],[Clave de Contrato]],TblTiposContrato13[],3,0)</f>
        <v>#N/A</v>
      </c>
      <c r="CM705" s="141" t="e">
        <f aca="false">+VLOOKUP(DATOS_[[#This Row],[Clave de Contrato]],TblTiposContrato13[],4,0)</f>
        <v>#N/A</v>
      </c>
      <c r="CN705" s="141" t="str">
        <f aca="false">VLOOKUP(DATOS_[[#This Row],[Edad]],CONTRATOS!TblRngEdad,2,1)</f>
        <v>20  o menos</v>
      </c>
      <c r="CO705" s="141" t="str">
        <f aca="false">VLOOKUP(DATOS_[[#This Row],[Antigüedad]],TblRngAntg14[],2,1)</f>
        <v>0 a 1 años</v>
      </c>
    </row>
    <row r="706" customFormat="false" ht="13.8" hidden="false" customHeight="false" outlineLevel="0" collapsed="false">
      <c r="D706" s="128"/>
      <c r="E706" s="129"/>
      <c r="F706" s="129"/>
      <c r="G706" s="129"/>
      <c r="H706" s="130"/>
      <c r="I706" s="131"/>
      <c r="J706" s="128"/>
      <c r="K706" s="132"/>
      <c r="L706" s="132"/>
      <c r="M706" s="133"/>
      <c r="N706" s="133"/>
      <c r="O706" s="133"/>
      <c r="P706" s="129"/>
      <c r="Z706" s="75"/>
      <c r="AA706" s="76"/>
      <c r="AB706" s="76"/>
      <c r="AC706" s="129"/>
      <c r="AD706" s="134"/>
      <c r="AE706" s="134"/>
      <c r="AF706" s="134"/>
      <c r="AG706" s="134"/>
      <c r="AH706" s="134"/>
      <c r="AI706" s="134"/>
      <c r="AJ706" s="134"/>
      <c r="AK706" s="134"/>
      <c r="AL706" s="134"/>
      <c r="AM706" s="134"/>
      <c r="AN706" s="134"/>
      <c r="AO706" s="134"/>
      <c r="AP706" s="134"/>
      <c r="AQ706" s="134"/>
      <c r="AR706" s="134"/>
      <c r="AS706" s="134"/>
      <c r="AT706" s="134"/>
      <c r="AU706" s="134"/>
      <c r="AV706" s="134"/>
      <c r="AW706" s="134"/>
      <c r="AX706" s="134"/>
      <c r="AY706" s="134"/>
      <c r="AZ706" s="134"/>
      <c r="BA706" s="134"/>
      <c r="BB706" s="134"/>
      <c r="BC706" s="134"/>
      <c r="BD706" s="134"/>
      <c r="BE706" s="134"/>
      <c r="BF706" s="134"/>
      <c r="BG706" s="134"/>
      <c r="BH706" s="134"/>
      <c r="BI706" s="134"/>
      <c r="BJ706" s="134"/>
      <c r="BK706" s="134"/>
      <c r="BL706" s="134"/>
      <c r="BM706" s="135"/>
      <c r="BN706" s="136" t="n">
        <f aca="false">+MAX($D$3,DATOS_[[#This Row],[Fecha Inicio Sit. Contract.]])</f>
        <v>0</v>
      </c>
      <c r="BO706" s="136" t="n">
        <f aca="false">+MIN($D$4,DATOS_[[#This Row],[Fecha Fin Sit. Contract.]])</f>
        <v>0</v>
      </c>
      <c r="BP706" s="137" t="n">
        <f aca="false">+DATOS_[[#This Row],[% de jornada]]*IF(DATOS_[[#This Row],[% jornada reducida]]="",1,DATOS_[[#This Row],[% jornada reducida]])</f>
        <v>0</v>
      </c>
      <c r="BQ706" s="137" t="n">
        <f aca="false">+(DATOS_[[#This Row],[F.fin.cal]]-DATOS_[[#This Row],[F.ini.cal]]+1)/($D$4-$D$3+1)</f>
        <v>1</v>
      </c>
      <c r="BR706" s="137" t="str">
        <f aca="false">IF(OR(AND(DATOS_[[#This Row],[Fecha Fin Contrato]]&lt;$D$3,DATOS_[[#This Row],[Fecha Fin Contrato]]&lt;&gt;""),DATOS_[[#This Row],[Fecha de Contratación]]&gt;$D$4),"Fuera","Dentro")</f>
        <v>Dentro</v>
      </c>
      <c r="BS706" s="137" t="str">
        <f aca="false" t="array" ref="BS706:BS706">IF(MAX(IF(DATOS_[id]=DATOS_[[#This Row],[id]],DATOS_[F.fin.cal]))=DATOS_[[#This Row],[F.fin.cal]],"Sí","NO")</f>
        <v>Sí</v>
      </c>
      <c r="BT706" s="137" t="str">
        <f aca="false">IF(AND(DATOS_[[#This Row],[% normaliz]]&lt;&gt;1,DATOS_[[#This Row],[% anualiz]]=1),"Sí","NO")</f>
        <v>Sí</v>
      </c>
      <c r="BU706" s="137" t="str">
        <f aca="false">IF(AND(DATOS_[[#This Row],[% normaliz]]=1,DATOS_[[#This Row],[% anualiz]]&lt;&gt;1),"Sí","NO")</f>
        <v>NO</v>
      </c>
      <c r="BV706" s="137" t="str">
        <f aca="false">IF(AND(DATOS_[[#This Row],[% normaliz]]&lt;&gt;1,DATOS_[[#This Row],[% anualiz]]&lt;&gt;1),"Sí","NO")</f>
        <v>NO</v>
      </c>
      <c r="BW706" s="137" t="str">
        <f aca="false">+IF(DATOS_[[#This Row],[% normaliz]]*DATOS_[[#This Row],[% anualiz]]=1,"NO","Sí")</f>
        <v>Sí</v>
      </c>
      <c r="BX706" s="138" t="e">
        <f aca="false">(DATOS_[[#This Row],[S.BASE]]*(1/DATOS_[[#This Row],[% normaliz]])*(1/DATOS_[[#This Row],[% anualiz]]))*IF(DATOS_[[#This Row],[Check Equiparado]]="Sí",1,0)</f>
        <v>#DIV/0!</v>
      </c>
      <c r="BY7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6" s="138" t="e">
        <f aca="false">+DATOS_[[#This Row],[SALARIO BASE Eq]]+DATOS_[[#This Row],[Tot COMPL.SAL Eq]]</f>
        <v>#DIV/0!</v>
      </c>
      <c r="CA706" s="138" t="e">
        <f aca="false" t="array" ref="CA706:CA7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6" s="138" t="e">
        <f aca="false">+DATOS_[[#This Row],[TOTAL SALARIO Eq]]+DATOS_[[#This Row],[Tot Extrasalarial Eq]]</f>
        <v>#DIV/0!</v>
      </c>
      <c r="CC706" s="139" t="n">
        <f aca="false">DATOS_[[#This Row],[S.BASE]]</f>
        <v>0</v>
      </c>
      <c r="CD706" s="139" t="n">
        <f aca="false">+SUM(DATOS_[[#This Row],[Conc.Sal.01]:[Conc.Sal.30]])</f>
        <v>0</v>
      </c>
      <c r="CE706" s="139" t="n">
        <f aca="false">+DATOS_[[#This Row],[SALARIO BASE Ef]]+DATOS_[[#This Row],[Tot COMPL.SAL Ef]]</f>
        <v>0</v>
      </c>
      <c r="CF706" s="139" t="n">
        <f aca="false">+SUM(DATOS_[[#This Row],[C.Extra.01]:[C.Extra.05]])</f>
        <v>0</v>
      </c>
      <c r="CG706" s="139" t="n">
        <f aca="false">+DATOS_[[#This Row],[TOTAL SALARIO Ef]]+DATOS_[[#This Row],[Tot Extrasalarial Ef]]</f>
        <v>0</v>
      </c>
      <c r="CH706" s="140" t="n">
        <f aca="false">MIN(IF(DATOS_[[#This Row],[Fecha Fin Contrato]]="",$D$4,DATOS_[[#This Row],[Fecha Fin Contrato]]),$D$4)-MAX(DATOS_[[#This Row],[Fecha de Contratación]],$D$3)+1</f>
        <v>1</v>
      </c>
      <c r="CI706" s="141" t="str">
        <f aca="false">IF(COUNTIFS(DATOS_[id],DATOS_[[#This Row],[id]])&gt;1,DATOS_[[#This Row],[id]],"")</f>
        <v/>
      </c>
      <c r="CJ706" s="141" t="n">
        <f aca="false">(Inicio!$G$10-DATOS_[[#This Row],[Fecha Nacimiento]])/365.25</f>
        <v>0</v>
      </c>
      <c r="CK706" s="141" t="n">
        <f aca="false">(Inicio!$G$10-DATOS_[[#This Row],[Fecha de Antigüedad]])/365.25</f>
        <v>0</v>
      </c>
      <c r="CL706" s="141" t="e">
        <f aca="false">+VLOOKUP(DATOS_[[#This Row],[Clave de Contrato]],TblTiposContrato13[],3,0)</f>
        <v>#N/A</v>
      </c>
      <c r="CM706" s="141" t="e">
        <f aca="false">+VLOOKUP(DATOS_[[#This Row],[Clave de Contrato]],TblTiposContrato13[],4,0)</f>
        <v>#N/A</v>
      </c>
      <c r="CN706" s="141" t="str">
        <f aca="false">VLOOKUP(DATOS_[[#This Row],[Edad]],CONTRATOS!TblRngEdad,2,1)</f>
        <v>20  o menos</v>
      </c>
      <c r="CO706" s="141" t="str">
        <f aca="false">VLOOKUP(DATOS_[[#This Row],[Antigüedad]],TblRngAntg14[],2,1)</f>
        <v>0 a 1 años</v>
      </c>
    </row>
    <row r="707" customFormat="false" ht="13.8" hidden="false" customHeight="false" outlineLevel="0" collapsed="false">
      <c r="D707" s="128"/>
      <c r="E707" s="129"/>
      <c r="F707" s="129"/>
      <c r="G707" s="129"/>
      <c r="H707" s="130"/>
      <c r="I707" s="131"/>
      <c r="J707" s="128"/>
      <c r="K707" s="132"/>
      <c r="L707" s="132"/>
      <c r="M707" s="133"/>
      <c r="N707" s="133"/>
      <c r="O707" s="133"/>
      <c r="P707" s="129"/>
      <c r="Z707" s="75"/>
      <c r="AA707" s="76"/>
      <c r="AB707" s="76"/>
      <c r="AC707" s="129"/>
      <c r="AD707" s="134"/>
      <c r="AE707" s="134"/>
      <c r="AF707" s="134"/>
      <c r="AG707" s="134"/>
      <c r="AH707" s="134"/>
      <c r="AI707" s="134"/>
      <c r="AJ707" s="134"/>
      <c r="AK707" s="134"/>
      <c r="AL707" s="134"/>
      <c r="AM707" s="134"/>
      <c r="AN707" s="134"/>
      <c r="AO707" s="134"/>
      <c r="AP707" s="134"/>
      <c r="AQ707" s="134"/>
      <c r="AR707" s="134"/>
      <c r="AS707" s="134"/>
      <c r="AT707" s="134"/>
      <c r="AU707" s="134"/>
      <c r="AV707" s="134"/>
      <c r="AW707" s="134"/>
      <c r="AX707" s="134"/>
      <c r="AY707" s="134"/>
      <c r="AZ707" s="134"/>
      <c r="BA707" s="134"/>
      <c r="BB707" s="134"/>
      <c r="BC707" s="134"/>
      <c r="BD707" s="134"/>
      <c r="BE707" s="134"/>
      <c r="BF707" s="134"/>
      <c r="BG707" s="134"/>
      <c r="BH707" s="134"/>
      <c r="BI707" s="134"/>
      <c r="BJ707" s="134"/>
      <c r="BK707" s="134"/>
      <c r="BL707" s="134"/>
      <c r="BM707" s="135"/>
      <c r="BN707" s="136" t="n">
        <f aca="false">+MAX($D$3,DATOS_[[#This Row],[Fecha Inicio Sit. Contract.]])</f>
        <v>0</v>
      </c>
      <c r="BO707" s="136" t="n">
        <f aca="false">+MIN($D$4,DATOS_[[#This Row],[Fecha Fin Sit. Contract.]])</f>
        <v>0</v>
      </c>
      <c r="BP707" s="137" t="n">
        <f aca="false">+DATOS_[[#This Row],[% de jornada]]*IF(DATOS_[[#This Row],[% jornada reducida]]="",1,DATOS_[[#This Row],[% jornada reducida]])</f>
        <v>0</v>
      </c>
      <c r="BQ707" s="137" t="n">
        <f aca="false">+(DATOS_[[#This Row],[F.fin.cal]]-DATOS_[[#This Row],[F.ini.cal]]+1)/($D$4-$D$3+1)</f>
        <v>1</v>
      </c>
      <c r="BR707" s="137" t="str">
        <f aca="false">IF(OR(AND(DATOS_[[#This Row],[Fecha Fin Contrato]]&lt;$D$3,DATOS_[[#This Row],[Fecha Fin Contrato]]&lt;&gt;""),DATOS_[[#This Row],[Fecha de Contratación]]&gt;$D$4),"Fuera","Dentro")</f>
        <v>Dentro</v>
      </c>
      <c r="BS707" s="137" t="str">
        <f aca="false" t="array" ref="BS707:BS707">IF(MAX(IF(DATOS_[id]=DATOS_[[#This Row],[id]],DATOS_[F.fin.cal]))=DATOS_[[#This Row],[F.fin.cal]],"Sí","NO")</f>
        <v>Sí</v>
      </c>
      <c r="BT707" s="137" t="str">
        <f aca="false">IF(AND(DATOS_[[#This Row],[% normaliz]]&lt;&gt;1,DATOS_[[#This Row],[% anualiz]]=1),"Sí","NO")</f>
        <v>Sí</v>
      </c>
      <c r="BU707" s="137" t="str">
        <f aca="false">IF(AND(DATOS_[[#This Row],[% normaliz]]=1,DATOS_[[#This Row],[% anualiz]]&lt;&gt;1),"Sí","NO")</f>
        <v>NO</v>
      </c>
      <c r="BV707" s="137" t="str">
        <f aca="false">IF(AND(DATOS_[[#This Row],[% normaliz]]&lt;&gt;1,DATOS_[[#This Row],[% anualiz]]&lt;&gt;1),"Sí","NO")</f>
        <v>NO</v>
      </c>
      <c r="BW707" s="137" t="str">
        <f aca="false">+IF(DATOS_[[#This Row],[% normaliz]]*DATOS_[[#This Row],[% anualiz]]=1,"NO","Sí")</f>
        <v>Sí</v>
      </c>
      <c r="BX707" s="138" t="e">
        <f aca="false">(DATOS_[[#This Row],[S.BASE]]*(1/DATOS_[[#This Row],[% normaliz]])*(1/DATOS_[[#This Row],[% anualiz]]))*IF(DATOS_[[#This Row],[Check Equiparado]]="Sí",1,0)</f>
        <v>#DIV/0!</v>
      </c>
      <c r="BY7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7" s="138" t="e">
        <f aca="false">+DATOS_[[#This Row],[SALARIO BASE Eq]]+DATOS_[[#This Row],[Tot COMPL.SAL Eq]]</f>
        <v>#DIV/0!</v>
      </c>
      <c r="CA707" s="138" t="e">
        <f aca="false" t="array" ref="CA707:CA7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7" s="138" t="e">
        <f aca="false">+DATOS_[[#This Row],[TOTAL SALARIO Eq]]+DATOS_[[#This Row],[Tot Extrasalarial Eq]]</f>
        <v>#DIV/0!</v>
      </c>
      <c r="CC707" s="139" t="n">
        <f aca="false">DATOS_[[#This Row],[S.BASE]]</f>
        <v>0</v>
      </c>
      <c r="CD707" s="139" t="n">
        <f aca="false">+SUM(DATOS_[[#This Row],[Conc.Sal.01]:[Conc.Sal.30]])</f>
        <v>0</v>
      </c>
      <c r="CE707" s="139" t="n">
        <f aca="false">+DATOS_[[#This Row],[SALARIO BASE Ef]]+DATOS_[[#This Row],[Tot COMPL.SAL Ef]]</f>
        <v>0</v>
      </c>
      <c r="CF707" s="139" t="n">
        <f aca="false">+SUM(DATOS_[[#This Row],[C.Extra.01]:[C.Extra.05]])</f>
        <v>0</v>
      </c>
      <c r="CG707" s="139" t="n">
        <f aca="false">+DATOS_[[#This Row],[TOTAL SALARIO Ef]]+DATOS_[[#This Row],[Tot Extrasalarial Ef]]</f>
        <v>0</v>
      </c>
      <c r="CH707" s="140" t="n">
        <f aca="false">MIN(IF(DATOS_[[#This Row],[Fecha Fin Contrato]]="",$D$4,DATOS_[[#This Row],[Fecha Fin Contrato]]),$D$4)-MAX(DATOS_[[#This Row],[Fecha de Contratación]],$D$3)+1</f>
        <v>1</v>
      </c>
      <c r="CI707" s="141" t="str">
        <f aca="false">IF(COUNTIFS(DATOS_[id],DATOS_[[#This Row],[id]])&gt;1,DATOS_[[#This Row],[id]],"")</f>
        <v/>
      </c>
      <c r="CJ707" s="141" t="n">
        <f aca="false">(Inicio!$G$10-DATOS_[[#This Row],[Fecha Nacimiento]])/365.25</f>
        <v>0</v>
      </c>
      <c r="CK707" s="141" t="n">
        <f aca="false">(Inicio!$G$10-DATOS_[[#This Row],[Fecha de Antigüedad]])/365.25</f>
        <v>0</v>
      </c>
      <c r="CL707" s="141" t="e">
        <f aca="false">+VLOOKUP(DATOS_[[#This Row],[Clave de Contrato]],TblTiposContrato13[],3,0)</f>
        <v>#N/A</v>
      </c>
      <c r="CM707" s="141" t="e">
        <f aca="false">+VLOOKUP(DATOS_[[#This Row],[Clave de Contrato]],TblTiposContrato13[],4,0)</f>
        <v>#N/A</v>
      </c>
      <c r="CN707" s="141" t="str">
        <f aca="false">VLOOKUP(DATOS_[[#This Row],[Edad]],CONTRATOS!TblRngEdad,2,1)</f>
        <v>20  o menos</v>
      </c>
      <c r="CO707" s="141" t="str">
        <f aca="false">VLOOKUP(DATOS_[[#This Row],[Antigüedad]],TblRngAntg14[],2,1)</f>
        <v>0 a 1 años</v>
      </c>
    </row>
    <row r="708" customFormat="false" ht="13.8" hidden="false" customHeight="false" outlineLevel="0" collapsed="false">
      <c r="D708" s="128"/>
      <c r="E708" s="129"/>
      <c r="F708" s="129"/>
      <c r="G708" s="129"/>
      <c r="H708" s="130"/>
      <c r="I708" s="131"/>
      <c r="J708" s="128"/>
      <c r="K708" s="132"/>
      <c r="L708" s="132"/>
      <c r="M708" s="133"/>
      <c r="N708" s="133"/>
      <c r="O708" s="133"/>
      <c r="P708" s="129"/>
      <c r="Z708" s="75"/>
      <c r="AA708" s="76"/>
      <c r="AB708" s="76"/>
      <c r="AC708" s="129"/>
      <c r="AD708" s="134"/>
      <c r="AE708" s="134"/>
      <c r="AF708" s="134"/>
      <c r="AG708" s="134"/>
      <c r="AH708" s="134"/>
      <c r="AI708" s="134"/>
      <c r="AJ708" s="134"/>
      <c r="AK708" s="134"/>
      <c r="AL708" s="134"/>
      <c r="AM708" s="134"/>
      <c r="AN708" s="134"/>
      <c r="AO708" s="134"/>
      <c r="AP708" s="134"/>
      <c r="AQ708" s="134"/>
      <c r="AR708" s="134"/>
      <c r="AS708" s="134"/>
      <c r="AT708" s="134"/>
      <c r="AU708" s="134"/>
      <c r="AV708" s="134"/>
      <c r="AW708" s="134"/>
      <c r="AX708" s="134"/>
      <c r="AY708" s="134"/>
      <c r="AZ708" s="134"/>
      <c r="BA708" s="134"/>
      <c r="BB708" s="134"/>
      <c r="BC708" s="134"/>
      <c r="BD708" s="134"/>
      <c r="BE708" s="134"/>
      <c r="BF708" s="134"/>
      <c r="BG708" s="134"/>
      <c r="BH708" s="134"/>
      <c r="BI708" s="134"/>
      <c r="BJ708" s="134"/>
      <c r="BK708" s="134"/>
      <c r="BL708" s="134"/>
      <c r="BM708" s="135"/>
      <c r="BN708" s="136" t="n">
        <f aca="false">+MAX($D$3,DATOS_[[#This Row],[Fecha Inicio Sit. Contract.]])</f>
        <v>0</v>
      </c>
      <c r="BO708" s="136" t="n">
        <f aca="false">+MIN($D$4,DATOS_[[#This Row],[Fecha Fin Sit. Contract.]])</f>
        <v>0</v>
      </c>
      <c r="BP708" s="137" t="n">
        <f aca="false">+DATOS_[[#This Row],[% de jornada]]*IF(DATOS_[[#This Row],[% jornada reducida]]="",1,DATOS_[[#This Row],[% jornada reducida]])</f>
        <v>0</v>
      </c>
      <c r="BQ708" s="137" t="n">
        <f aca="false">+(DATOS_[[#This Row],[F.fin.cal]]-DATOS_[[#This Row],[F.ini.cal]]+1)/($D$4-$D$3+1)</f>
        <v>1</v>
      </c>
      <c r="BR708" s="137" t="str">
        <f aca="false">IF(OR(AND(DATOS_[[#This Row],[Fecha Fin Contrato]]&lt;$D$3,DATOS_[[#This Row],[Fecha Fin Contrato]]&lt;&gt;""),DATOS_[[#This Row],[Fecha de Contratación]]&gt;$D$4),"Fuera","Dentro")</f>
        <v>Dentro</v>
      </c>
      <c r="BS708" s="137" t="str">
        <f aca="false" t="array" ref="BS708:BS708">IF(MAX(IF(DATOS_[id]=DATOS_[[#This Row],[id]],DATOS_[F.fin.cal]))=DATOS_[[#This Row],[F.fin.cal]],"Sí","NO")</f>
        <v>Sí</v>
      </c>
      <c r="BT708" s="137" t="str">
        <f aca="false">IF(AND(DATOS_[[#This Row],[% normaliz]]&lt;&gt;1,DATOS_[[#This Row],[% anualiz]]=1),"Sí","NO")</f>
        <v>Sí</v>
      </c>
      <c r="BU708" s="137" t="str">
        <f aca="false">IF(AND(DATOS_[[#This Row],[% normaliz]]=1,DATOS_[[#This Row],[% anualiz]]&lt;&gt;1),"Sí","NO")</f>
        <v>NO</v>
      </c>
      <c r="BV708" s="137" t="str">
        <f aca="false">IF(AND(DATOS_[[#This Row],[% normaliz]]&lt;&gt;1,DATOS_[[#This Row],[% anualiz]]&lt;&gt;1),"Sí","NO")</f>
        <v>NO</v>
      </c>
      <c r="BW708" s="137" t="str">
        <f aca="false">+IF(DATOS_[[#This Row],[% normaliz]]*DATOS_[[#This Row],[% anualiz]]=1,"NO","Sí")</f>
        <v>Sí</v>
      </c>
      <c r="BX708" s="138" t="e">
        <f aca="false">(DATOS_[[#This Row],[S.BASE]]*(1/DATOS_[[#This Row],[% normaliz]])*(1/DATOS_[[#This Row],[% anualiz]]))*IF(DATOS_[[#This Row],[Check Equiparado]]="Sí",1,0)</f>
        <v>#DIV/0!</v>
      </c>
      <c r="BY7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8" s="138" t="e">
        <f aca="false">+DATOS_[[#This Row],[SALARIO BASE Eq]]+DATOS_[[#This Row],[Tot COMPL.SAL Eq]]</f>
        <v>#DIV/0!</v>
      </c>
      <c r="CA708" s="138" t="e">
        <f aca="false" t="array" ref="CA708:CA7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8" s="138" t="e">
        <f aca="false">+DATOS_[[#This Row],[TOTAL SALARIO Eq]]+DATOS_[[#This Row],[Tot Extrasalarial Eq]]</f>
        <v>#DIV/0!</v>
      </c>
      <c r="CC708" s="139" t="n">
        <f aca="false">DATOS_[[#This Row],[S.BASE]]</f>
        <v>0</v>
      </c>
      <c r="CD708" s="139" t="n">
        <f aca="false">+SUM(DATOS_[[#This Row],[Conc.Sal.01]:[Conc.Sal.30]])</f>
        <v>0</v>
      </c>
      <c r="CE708" s="139" t="n">
        <f aca="false">+DATOS_[[#This Row],[SALARIO BASE Ef]]+DATOS_[[#This Row],[Tot COMPL.SAL Ef]]</f>
        <v>0</v>
      </c>
      <c r="CF708" s="139" t="n">
        <f aca="false">+SUM(DATOS_[[#This Row],[C.Extra.01]:[C.Extra.05]])</f>
        <v>0</v>
      </c>
      <c r="CG708" s="139" t="n">
        <f aca="false">+DATOS_[[#This Row],[TOTAL SALARIO Ef]]+DATOS_[[#This Row],[Tot Extrasalarial Ef]]</f>
        <v>0</v>
      </c>
      <c r="CH708" s="140" t="n">
        <f aca="false">MIN(IF(DATOS_[[#This Row],[Fecha Fin Contrato]]="",$D$4,DATOS_[[#This Row],[Fecha Fin Contrato]]),$D$4)-MAX(DATOS_[[#This Row],[Fecha de Contratación]],$D$3)+1</f>
        <v>1</v>
      </c>
      <c r="CI708" s="141" t="str">
        <f aca="false">IF(COUNTIFS(DATOS_[id],DATOS_[[#This Row],[id]])&gt;1,DATOS_[[#This Row],[id]],"")</f>
        <v/>
      </c>
      <c r="CJ708" s="141" t="n">
        <f aca="false">(Inicio!$G$10-DATOS_[[#This Row],[Fecha Nacimiento]])/365.25</f>
        <v>0</v>
      </c>
      <c r="CK708" s="141" t="n">
        <f aca="false">(Inicio!$G$10-DATOS_[[#This Row],[Fecha de Antigüedad]])/365.25</f>
        <v>0</v>
      </c>
      <c r="CL708" s="141" t="e">
        <f aca="false">+VLOOKUP(DATOS_[[#This Row],[Clave de Contrato]],TblTiposContrato13[],3,0)</f>
        <v>#N/A</v>
      </c>
      <c r="CM708" s="141" t="e">
        <f aca="false">+VLOOKUP(DATOS_[[#This Row],[Clave de Contrato]],TblTiposContrato13[],4,0)</f>
        <v>#N/A</v>
      </c>
      <c r="CN708" s="141" t="str">
        <f aca="false">VLOOKUP(DATOS_[[#This Row],[Edad]],CONTRATOS!TblRngEdad,2,1)</f>
        <v>20  o menos</v>
      </c>
      <c r="CO708" s="141" t="str">
        <f aca="false">VLOOKUP(DATOS_[[#This Row],[Antigüedad]],TblRngAntg14[],2,1)</f>
        <v>0 a 1 años</v>
      </c>
    </row>
    <row r="709" customFormat="false" ht="13.8" hidden="false" customHeight="false" outlineLevel="0" collapsed="false">
      <c r="D709" s="128"/>
      <c r="E709" s="129"/>
      <c r="F709" s="129"/>
      <c r="G709" s="129"/>
      <c r="H709" s="130"/>
      <c r="I709" s="131"/>
      <c r="J709" s="128"/>
      <c r="K709" s="132"/>
      <c r="L709" s="132"/>
      <c r="M709" s="133"/>
      <c r="N709" s="133"/>
      <c r="O709" s="133"/>
      <c r="P709" s="129"/>
      <c r="Z709" s="75"/>
      <c r="AA709" s="76"/>
      <c r="AB709" s="76"/>
      <c r="AC709" s="129"/>
      <c r="AD709" s="134"/>
      <c r="AE709" s="134"/>
      <c r="AF709" s="134"/>
      <c r="AG709" s="134"/>
      <c r="AH709" s="134"/>
      <c r="AI709" s="134"/>
      <c r="AJ709" s="134"/>
      <c r="AK709" s="134"/>
      <c r="AL709" s="134"/>
      <c r="AM709" s="134"/>
      <c r="AN709" s="134"/>
      <c r="AO709" s="134"/>
      <c r="AP709" s="134"/>
      <c r="AQ709" s="134"/>
      <c r="AR709" s="134"/>
      <c r="AS709" s="134"/>
      <c r="AT709" s="134"/>
      <c r="AU709" s="134"/>
      <c r="AV709" s="134"/>
      <c r="AW709" s="134"/>
      <c r="AX709" s="134"/>
      <c r="AY709" s="134"/>
      <c r="AZ709" s="134"/>
      <c r="BA709" s="134"/>
      <c r="BB709" s="134"/>
      <c r="BC709" s="134"/>
      <c r="BD709" s="134"/>
      <c r="BE709" s="134"/>
      <c r="BF709" s="134"/>
      <c r="BG709" s="134"/>
      <c r="BH709" s="134"/>
      <c r="BI709" s="134"/>
      <c r="BJ709" s="134"/>
      <c r="BK709" s="134"/>
      <c r="BL709" s="134"/>
      <c r="BM709" s="135"/>
      <c r="BN709" s="136" t="n">
        <f aca="false">+MAX($D$3,DATOS_[[#This Row],[Fecha Inicio Sit. Contract.]])</f>
        <v>0</v>
      </c>
      <c r="BO709" s="136" t="n">
        <f aca="false">+MIN($D$4,DATOS_[[#This Row],[Fecha Fin Sit. Contract.]])</f>
        <v>0</v>
      </c>
      <c r="BP709" s="137" t="n">
        <f aca="false">+DATOS_[[#This Row],[% de jornada]]*IF(DATOS_[[#This Row],[% jornada reducida]]="",1,DATOS_[[#This Row],[% jornada reducida]])</f>
        <v>0</v>
      </c>
      <c r="BQ709" s="137" t="n">
        <f aca="false">+(DATOS_[[#This Row],[F.fin.cal]]-DATOS_[[#This Row],[F.ini.cal]]+1)/($D$4-$D$3+1)</f>
        <v>1</v>
      </c>
      <c r="BR709" s="137" t="str">
        <f aca="false">IF(OR(AND(DATOS_[[#This Row],[Fecha Fin Contrato]]&lt;$D$3,DATOS_[[#This Row],[Fecha Fin Contrato]]&lt;&gt;""),DATOS_[[#This Row],[Fecha de Contratación]]&gt;$D$4),"Fuera","Dentro")</f>
        <v>Dentro</v>
      </c>
      <c r="BS709" s="137" t="str">
        <f aca="false" t="array" ref="BS709:BS709">IF(MAX(IF(DATOS_[id]=DATOS_[[#This Row],[id]],DATOS_[F.fin.cal]))=DATOS_[[#This Row],[F.fin.cal]],"Sí","NO")</f>
        <v>Sí</v>
      </c>
      <c r="BT709" s="137" t="str">
        <f aca="false">IF(AND(DATOS_[[#This Row],[% normaliz]]&lt;&gt;1,DATOS_[[#This Row],[% anualiz]]=1),"Sí","NO")</f>
        <v>Sí</v>
      </c>
      <c r="BU709" s="137" t="str">
        <f aca="false">IF(AND(DATOS_[[#This Row],[% normaliz]]=1,DATOS_[[#This Row],[% anualiz]]&lt;&gt;1),"Sí","NO")</f>
        <v>NO</v>
      </c>
      <c r="BV709" s="137" t="str">
        <f aca="false">IF(AND(DATOS_[[#This Row],[% normaliz]]&lt;&gt;1,DATOS_[[#This Row],[% anualiz]]&lt;&gt;1),"Sí","NO")</f>
        <v>NO</v>
      </c>
      <c r="BW709" s="137" t="str">
        <f aca="false">+IF(DATOS_[[#This Row],[% normaliz]]*DATOS_[[#This Row],[% anualiz]]=1,"NO","Sí")</f>
        <v>Sí</v>
      </c>
      <c r="BX709" s="138" t="e">
        <f aca="false">(DATOS_[[#This Row],[S.BASE]]*(1/DATOS_[[#This Row],[% normaliz]])*(1/DATOS_[[#This Row],[% anualiz]]))*IF(DATOS_[[#This Row],[Check Equiparado]]="Sí",1,0)</f>
        <v>#DIV/0!</v>
      </c>
      <c r="BY7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9" s="138" t="e">
        <f aca="false">+DATOS_[[#This Row],[SALARIO BASE Eq]]+DATOS_[[#This Row],[Tot COMPL.SAL Eq]]</f>
        <v>#DIV/0!</v>
      </c>
      <c r="CA709" s="138" t="e">
        <f aca="false" t="array" ref="CA709:CA7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9" s="138" t="e">
        <f aca="false">+DATOS_[[#This Row],[TOTAL SALARIO Eq]]+DATOS_[[#This Row],[Tot Extrasalarial Eq]]</f>
        <v>#DIV/0!</v>
      </c>
      <c r="CC709" s="139" t="n">
        <f aca="false">DATOS_[[#This Row],[S.BASE]]</f>
        <v>0</v>
      </c>
      <c r="CD709" s="139" t="n">
        <f aca="false">+SUM(DATOS_[[#This Row],[Conc.Sal.01]:[Conc.Sal.30]])</f>
        <v>0</v>
      </c>
      <c r="CE709" s="139" t="n">
        <f aca="false">+DATOS_[[#This Row],[SALARIO BASE Ef]]+DATOS_[[#This Row],[Tot COMPL.SAL Ef]]</f>
        <v>0</v>
      </c>
      <c r="CF709" s="139" t="n">
        <f aca="false">+SUM(DATOS_[[#This Row],[C.Extra.01]:[C.Extra.05]])</f>
        <v>0</v>
      </c>
      <c r="CG709" s="139" t="n">
        <f aca="false">+DATOS_[[#This Row],[TOTAL SALARIO Ef]]+DATOS_[[#This Row],[Tot Extrasalarial Ef]]</f>
        <v>0</v>
      </c>
      <c r="CH709" s="140" t="n">
        <f aca="false">MIN(IF(DATOS_[[#This Row],[Fecha Fin Contrato]]="",$D$4,DATOS_[[#This Row],[Fecha Fin Contrato]]),$D$4)-MAX(DATOS_[[#This Row],[Fecha de Contratación]],$D$3)+1</f>
        <v>1</v>
      </c>
      <c r="CI709" s="141" t="str">
        <f aca="false">IF(COUNTIFS(DATOS_[id],DATOS_[[#This Row],[id]])&gt;1,DATOS_[[#This Row],[id]],"")</f>
        <v/>
      </c>
      <c r="CJ709" s="141" t="n">
        <f aca="false">(Inicio!$G$10-DATOS_[[#This Row],[Fecha Nacimiento]])/365.25</f>
        <v>0</v>
      </c>
      <c r="CK709" s="141" t="n">
        <f aca="false">(Inicio!$G$10-DATOS_[[#This Row],[Fecha de Antigüedad]])/365.25</f>
        <v>0</v>
      </c>
      <c r="CL709" s="141" t="e">
        <f aca="false">+VLOOKUP(DATOS_[[#This Row],[Clave de Contrato]],TblTiposContrato13[],3,0)</f>
        <v>#N/A</v>
      </c>
      <c r="CM709" s="141" t="e">
        <f aca="false">+VLOOKUP(DATOS_[[#This Row],[Clave de Contrato]],TblTiposContrato13[],4,0)</f>
        <v>#N/A</v>
      </c>
      <c r="CN709" s="141" t="str">
        <f aca="false">VLOOKUP(DATOS_[[#This Row],[Edad]],CONTRATOS!TblRngEdad,2,1)</f>
        <v>20  o menos</v>
      </c>
      <c r="CO709" s="141" t="str">
        <f aca="false">VLOOKUP(DATOS_[[#This Row],[Antigüedad]],TblRngAntg14[],2,1)</f>
        <v>0 a 1 años</v>
      </c>
    </row>
    <row r="710" customFormat="false" ht="13.8" hidden="false" customHeight="false" outlineLevel="0" collapsed="false">
      <c r="D710" s="128"/>
      <c r="E710" s="129"/>
      <c r="F710" s="129"/>
      <c r="G710" s="129"/>
      <c r="H710" s="130"/>
      <c r="I710" s="131"/>
      <c r="J710" s="128"/>
      <c r="K710" s="132"/>
      <c r="L710" s="132"/>
      <c r="M710" s="133"/>
      <c r="N710" s="133"/>
      <c r="O710" s="133"/>
      <c r="P710" s="129"/>
      <c r="Z710" s="75"/>
      <c r="AA710" s="76"/>
      <c r="AB710" s="76"/>
      <c r="AC710" s="129"/>
      <c r="AD710" s="134"/>
      <c r="AE710" s="134"/>
      <c r="AF710" s="134"/>
      <c r="AG710" s="134"/>
      <c r="AH710" s="134"/>
      <c r="AI710" s="134"/>
      <c r="AJ710" s="134"/>
      <c r="AK710" s="134"/>
      <c r="AL710" s="134"/>
      <c r="AM710" s="134"/>
      <c r="AN710" s="134"/>
      <c r="AO710" s="134"/>
      <c r="AP710" s="134"/>
      <c r="AQ710" s="134"/>
      <c r="AR710" s="134"/>
      <c r="AS710" s="134"/>
      <c r="AT710" s="134"/>
      <c r="AU710" s="134"/>
      <c r="AV710" s="134"/>
      <c r="AW710" s="134"/>
      <c r="AX710" s="134"/>
      <c r="AY710" s="134"/>
      <c r="AZ710" s="134"/>
      <c r="BA710" s="134"/>
      <c r="BB710" s="134"/>
      <c r="BC710" s="134"/>
      <c r="BD710" s="134"/>
      <c r="BE710" s="134"/>
      <c r="BF710" s="134"/>
      <c r="BG710" s="134"/>
      <c r="BH710" s="134"/>
      <c r="BI710" s="134"/>
      <c r="BJ710" s="134"/>
      <c r="BK710" s="134"/>
      <c r="BL710" s="134"/>
      <c r="BM710" s="135"/>
      <c r="BN710" s="136" t="n">
        <f aca="false">+MAX($D$3,DATOS_[[#This Row],[Fecha Inicio Sit. Contract.]])</f>
        <v>0</v>
      </c>
      <c r="BO710" s="136" t="n">
        <f aca="false">+MIN($D$4,DATOS_[[#This Row],[Fecha Fin Sit. Contract.]])</f>
        <v>0</v>
      </c>
      <c r="BP710" s="137" t="n">
        <f aca="false">+DATOS_[[#This Row],[% de jornada]]*IF(DATOS_[[#This Row],[% jornada reducida]]="",1,DATOS_[[#This Row],[% jornada reducida]])</f>
        <v>0</v>
      </c>
      <c r="BQ710" s="137" t="n">
        <f aca="false">+(DATOS_[[#This Row],[F.fin.cal]]-DATOS_[[#This Row],[F.ini.cal]]+1)/($D$4-$D$3+1)</f>
        <v>1</v>
      </c>
      <c r="BR710" s="137" t="str">
        <f aca="false">IF(OR(AND(DATOS_[[#This Row],[Fecha Fin Contrato]]&lt;$D$3,DATOS_[[#This Row],[Fecha Fin Contrato]]&lt;&gt;""),DATOS_[[#This Row],[Fecha de Contratación]]&gt;$D$4),"Fuera","Dentro")</f>
        <v>Dentro</v>
      </c>
      <c r="BS710" s="137" t="str">
        <f aca="false" t="array" ref="BS710:BS710">IF(MAX(IF(DATOS_[id]=DATOS_[[#This Row],[id]],DATOS_[F.fin.cal]))=DATOS_[[#This Row],[F.fin.cal]],"Sí","NO")</f>
        <v>Sí</v>
      </c>
      <c r="BT710" s="137" t="str">
        <f aca="false">IF(AND(DATOS_[[#This Row],[% normaliz]]&lt;&gt;1,DATOS_[[#This Row],[% anualiz]]=1),"Sí","NO")</f>
        <v>Sí</v>
      </c>
      <c r="BU710" s="137" t="str">
        <f aca="false">IF(AND(DATOS_[[#This Row],[% normaliz]]=1,DATOS_[[#This Row],[% anualiz]]&lt;&gt;1),"Sí","NO")</f>
        <v>NO</v>
      </c>
      <c r="BV710" s="137" t="str">
        <f aca="false">IF(AND(DATOS_[[#This Row],[% normaliz]]&lt;&gt;1,DATOS_[[#This Row],[% anualiz]]&lt;&gt;1),"Sí","NO")</f>
        <v>NO</v>
      </c>
      <c r="BW710" s="137" t="str">
        <f aca="false">+IF(DATOS_[[#This Row],[% normaliz]]*DATOS_[[#This Row],[% anualiz]]=1,"NO","Sí")</f>
        <v>Sí</v>
      </c>
      <c r="BX710" s="138" t="e">
        <f aca="false">(DATOS_[[#This Row],[S.BASE]]*(1/DATOS_[[#This Row],[% normaliz]])*(1/DATOS_[[#This Row],[% anualiz]]))*IF(DATOS_[[#This Row],[Check Equiparado]]="Sí",1,0)</f>
        <v>#DIV/0!</v>
      </c>
      <c r="BY7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0" s="138" t="e">
        <f aca="false">+DATOS_[[#This Row],[SALARIO BASE Eq]]+DATOS_[[#This Row],[Tot COMPL.SAL Eq]]</f>
        <v>#DIV/0!</v>
      </c>
      <c r="CA710" s="138" t="e">
        <f aca="false" t="array" ref="CA710:CA7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0" s="138" t="e">
        <f aca="false">+DATOS_[[#This Row],[TOTAL SALARIO Eq]]+DATOS_[[#This Row],[Tot Extrasalarial Eq]]</f>
        <v>#DIV/0!</v>
      </c>
      <c r="CC710" s="139" t="n">
        <f aca="false">DATOS_[[#This Row],[S.BASE]]</f>
        <v>0</v>
      </c>
      <c r="CD710" s="139" t="n">
        <f aca="false">+SUM(DATOS_[[#This Row],[Conc.Sal.01]:[Conc.Sal.30]])</f>
        <v>0</v>
      </c>
      <c r="CE710" s="139" t="n">
        <f aca="false">+DATOS_[[#This Row],[SALARIO BASE Ef]]+DATOS_[[#This Row],[Tot COMPL.SAL Ef]]</f>
        <v>0</v>
      </c>
      <c r="CF710" s="139" t="n">
        <f aca="false">+SUM(DATOS_[[#This Row],[C.Extra.01]:[C.Extra.05]])</f>
        <v>0</v>
      </c>
      <c r="CG710" s="139" t="n">
        <f aca="false">+DATOS_[[#This Row],[TOTAL SALARIO Ef]]+DATOS_[[#This Row],[Tot Extrasalarial Ef]]</f>
        <v>0</v>
      </c>
      <c r="CH710" s="140" t="n">
        <f aca="false">MIN(IF(DATOS_[[#This Row],[Fecha Fin Contrato]]="",$D$4,DATOS_[[#This Row],[Fecha Fin Contrato]]),$D$4)-MAX(DATOS_[[#This Row],[Fecha de Contratación]],$D$3)+1</f>
        <v>1</v>
      </c>
      <c r="CI710" s="141" t="str">
        <f aca="false">IF(COUNTIFS(DATOS_[id],DATOS_[[#This Row],[id]])&gt;1,DATOS_[[#This Row],[id]],"")</f>
        <v/>
      </c>
      <c r="CJ710" s="141" t="n">
        <f aca="false">(Inicio!$G$10-DATOS_[[#This Row],[Fecha Nacimiento]])/365.25</f>
        <v>0</v>
      </c>
      <c r="CK710" s="141" t="n">
        <f aca="false">(Inicio!$G$10-DATOS_[[#This Row],[Fecha de Antigüedad]])/365.25</f>
        <v>0</v>
      </c>
      <c r="CL710" s="141" t="e">
        <f aca="false">+VLOOKUP(DATOS_[[#This Row],[Clave de Contrato]],TblTiposContrato13[],3,0)</f>
        <v>#N/A</v>
      </c>
      <c r="CM710" s="141" t="e">
        <f aca="false">+VLOOKUP(DATOS_[[#This Row],[Clave de Contrato]],TblTiposContrato13[],4,0)</f>
        <v>#N/A</v>
      </c>
      <c r="CN710" s="141" t="str">
        <f aca="false">VLOOKUP(DATOS_[[#This Row],[Edad]],CONTRATOS!TblRngEdad,2,1)</f>
        <v>20  o menos</v>
      </c>
      <c r="CO710" s="141" t="str">
        <f aca="false">VLOOKUP(DATOS_[[#This Row],[Antigüedad]],TblRngAntg14[],2,1)</f>
        <v>0 a 1 años</v>
      </c>
    </row>
    <row r="711" customFormat="false" ht="13.8" hidden="false" customHeight="false" outlineLevel="0" collapsed="false">
      <c r="D711" s="128"/>
      <c r="E711" s="129"/>
      <c r="F711" s="129"/>
      <c r="G711" s="129"/>
      <c r="H711" s="130"/>
      <c r="I711" s="131"/>
      <c r="J711" s="128"/>
      <c r="K711" s="132"/>
      <c r="L711" s="132"/>
      <c r="M711" s="133"/>
      <c r="N711" s="133"/>
      <c r="O711" s="133"/>
      <c r="P711" s="129"/>
      <c r="Z711" s="75"/>
      <c r="AA711" s="76"/>
      <c r="AB711" s="76"/>
      <c r="AC711" s="129"/>
      <c r="AD711" s="134"/>
      <c r="AE711" s="134"/>
      <c r="AF711" s="134"/>
      <c r="AG711" s="134"/>
      <c r="AH711" s="134"/>
      <c r="AI711" s="134"/>
      <c r="AJ711" s="134"/>
      <c r="AK711" s="134"/>
      <c r="AL711" s="134"/>
      <c r="AM711" s="134"/>
      <c r="AN711" s="134"/>
      <c r="AO711" s="134"/>
      <c r="AP711" s="134"/>
      <c r="AQ711" s="134"/>
      <c r="AR711" s="134"/>
      <c r="AS711" s="134"/>
      <c r="AT711" s="134"/>
      <c r="AU711" s="134"/>
      <c r="AV711" s="134"/>
      <c r="AW711" s="134"/>
      <c r="AX711" s="134"/>
      <c r="AY711" s="134"/>
      <c r="AZ711" s="134"/>
      <c r="BA711" s="134"/>
      <c r="BB711" s="134"/>
      <c r="BC711" s="134"/>
      <c r="BD711" s="134"/>
      <c r="BE711" s="134"/>
      <c r="BF711" s="134"/>
      <c r="BG711" s="134"/>
      <c r="BH711" s="134"/>
      <c r="BI711" s="134"/>
      <c r="BJ711" s="134"/>
      <c r="BK711" s="134"/>
      <c r="BL711" s="134"/>
      <c r="BM711" s="135"/>
      <c r="BN711" s="136" t="n">
        <f aca="false">+MAX($D$3,DATOS_[[#This Row],[Fecha Inicio Sit. Contract.]])</f>
        <v>0</v>
      </c>
      <c r="BO711" s="136" t="n">
        <f aca="false">+MIN($D$4,DATOS_[[#This Row],[Fecha Fin Sit. Contract.]])</f>
        <v>0</v>
      </c>
      <c r="BP711" s="137" t="n">
        <f aca="false">+DATOS_[[#This Row],[% de jornada]]*IF(DATOS_[[#This Row],[% jornada reducida]]="",1,DATOS_[[#This Row],[% jornada reducida]])</f>
        <v>0</v>
      </c>
      <c r="BQ711" s="137" t="n">
        <f aca="false">+(DATOS_[[#This Row],[F.fin.cal]]-DATOS_[[#This Row],[F.ini.cal]]+1)/($D$4-$D$3+1)</f>
        <v>1</v>
      </c>
      <c r="BR711" s="137" t="str">
        <f aca="false">IF(OR(AND(DATOS_[[#This Row],[Fecha Fin Contrato]]&lt;$D$3,DATOS_[[#This Row],[Fecha Fin Contrato]]&lt;&gt;""),DATOS_[[#This Row],[Fecha de Contratación]]&gt;$D$4),"Fuera","Dentro")</f>
        <v>Dentro</v>
      </c>
      <c r="BS711" s="137" t="str">
        <f aca="false" t="array" ref="BS711:BS711">IF(MAX(IF(DATOS_[id]=DATOS_[[#This Row],[id]],DATOS_[F.fin.cal]))=DATOS_[[#This Row],[F.fin.cal]],"Sí","NO")</f>
        <v>Sí</v>
      </c>
      <c r="BT711" s="137" t="str">
        <f aca="false">IF(AND(DATOS_[[#This Row],[% normaliz]]&lt;&gt;1,DATOS_[[#This Row],[% anualiz]]=1),"Sí","NO")</f>
        <v>Sí</v>
      </c>
      <c r="BU711" s="137" t="str">
        <f aca="false">IF(AND(DATOS_[[#This Row],[% normaliz]]=1,DATOS_[[#This Row],[% anualiz]]&lt;&gt;1),"Sí","NO")</f>
        <v>NO</v>
      </c>
      <c r="BV711" s="137" t="str">
        <f aca="false">IF(AND(DATOS_[[#This Row],[% normaliz]]&lt;&gt;1,DATOS_[[#This Row],[% anualiz]]&lt;&gt;1),"Sí","NO")</f>
        <v>NO</v>
      </c>
      <c r="BW711" s="137" t="str">
        <f aca="false">+IF(DATOS_[[#This Row],[% normaliz]]*DATOS_[[#This Row],[% anualiz]]=1,"NO","Sí")</f>
        <v>Sí</v>
      </c>
      <c r="BX711" s="138" t="e">
        <f aca="false">(DATOS_[[#This Row],[S.BASE]]*(1/DATOS_[[#This Row],[% normaliz]])*(1/DATOS_[[#This Row],[% anualiz]]))*IF(DATOS_[[#This Row],[Check Equiparado]]="Sí",1,0)</f>
        <v>#DIV/0!</v>
      </c>
      <c r="BY7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1" s="138" t="e">
        <f aca="false">+DATOS_[[#This Row],[SALARIO BASE Eq]]+DATOS_[[#This Row],[Tot COMPL.SAL Eq]]</f>
        <v>#DIV/0!</v>
      </c>
      <c r="CA711" s="138" t="e">
        <f aca="false" t="array" ref="CA711:CA7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1" s="138" t="e">
        <f aca="false">+DATOS_[[#This Row],[TOTAL SALARIO Eq]]+DATOS_[[#This Row],[Tot Extrasalarial Eq]]</f>
        <v>#DIV/0!</v>
      </c>
      <c r="CC711" s="139" t="n">
        <f aca="false">DATOS_[[#This Row],[S.BASE]]</f>
        <v>0</v>
      </c>
      <c r="CD711" s="139" t="n">
        <f aca="false">+SUM(DATOS_[[#This Row],[Conc.Sal.01]:[Conc.Sal.30]])</f>
        <v>0</v>
      </c>
      <c r="CE711" s="139" t="n">
        <f aca="false">+DATOS_[[#This Row],[SALARIO BASE Ef]]+DATOS_[[#This Row],[Tot COMPL.SAL Ef]]</f>
        <v>0</v>
      </c>
      <c r="CF711" s="139" t="n">
        <f aca="false">+SUM(DATOS_[[#This Row],[C.Extra.01]:[C.Extra.05]])</f>
        <v>0</v>
      </c>
      <c r="CG711" s="139" t="n">
        <f aca="false">+DATOS_[[#This Row],[TOTAL SALARIO Ef]]+DATOS_[[#This Row],[Tot Extrasalarial Ef]]</f>
        <v>0</v>
      </c>
      <c r="CH711" s="140" t="n">
        <f aca="false">MIN(IF(DATOS_[[#This Row],[Fecha Fin Contrato]]="",$D$4,DATOS_[[#This Row],[Fecha Fin Contrato]]),$D$4)-MAX(DATOS_[[#This Row],[Fecha de Contratación]],$D$3)+1</f>
        <v>1</v>
      </c>
      <c r="CI711" s="141" t="str">
        <f aca="false">IF(COUNTIFS(DATOS_[id],DATOS_[[#This Row],[id]])&gt;1,DATOS_[[#This Row],[id]],"")</f>
        <v/>
      </c>
      <c r="CJ711" s="141" t="n">
        <f aca="false">(Inicio!$G$10-DATOS_[[#This Row],[Fecha Nacimiento]])/365.25</f>
        <v>0</v>
      </c>
      <c r="CK711" s="141" t="n">
        <f aca="false">(Inicio!$G$10-DATOS_[[#This Row],[Fecha de Antigüedad]])/365.25</f>
        <v>0</v>
      </c>
      <c r="CL711" s="141" t="e">
        <f aca="false">+VLOOKUP(DATOS_[[#This Row],[Clave de Contrato]],TblTiposContrato13[],3,0)</f>
        <v>#N/A</v>
      </c>
      <c r="CM711" s="141" t="e">
        <f aca="false">+VLOOKUP(DATOS_[[#This Row],[Clave de Contrato]],TblTiposContrato13[],4,0)</f>
        <v>#N/A</v>
      </c>
      <c r="CN711" s="141" t="str">
        <f aca="false">VLOOKUP(DATOS_[[#This Row],[Edad]],CONTRATOS!TblRngEdad,2,1)</f>
        <v>20  o menos</v>
      </c>
      <c r="CO711" s="141" t="str">
        <f aca="false">VLOOKUP(DATOS_[[#This Row],[Antigüedad]],TblRngAntg14[],2,1)</f>
        <v>0 a 1 años</v>
      </c>
    </row>
    <row r="712" customFormat="false" ht="13.8" hidden="false" customHeight="false" outlineLevel="0" collapsed="false">
      <c r="D712" s="128"/>
      <c r="E712" s="129"/>
      <c r="F712" s="129"/>
      <c r="G712" s="129"/>
      <c r="H712" s="130"/>
      <c r="I712" s="131"/>
      <c r="J712" s="128"/>
      <c r="K712" s="132"/>
      <c r="L712" s="132"/>
      <c r="M712" s="133"/>
      <c r="N712" s="133"/>
      <c r="O712" s="133"/>
      <c r="P712" s="129"/>
      <c r="Z712" s="75"/>
      <c r="AA712" s="76"/>
      <c r="AB712" s="76"/>
      <c r="AC712" s="129"/>
      <c r="AD712" s="134"/>
      <c r="AE712" s="134"/>
      <c r="AF712" s="134"/>
      <c r="AG712" s="134"/>
      <c r="AH712" s="134"/>
      <c r="AI712" s="134"/>
      <c r="AJ712" s="134"/>
      <c r="AK712" s="134"/>
      <c r="AL712" s="134"/>
      <c r="AM712" s="134"/>
      <c r="AN712" s="134"/>
      <c r="AO712" s="134"/>
      <c r="AP712" s="134"/>
      <c r="AQ712" s="134"/>
      <c r="AR712" s="134"/>
      <c r="AS712" s="134"/>
      <c r="AT712" s="134"/>
      <c r="AU712" s="134"/>
      <c r="AV712" s="134"/>
      <c r="AW712" s="134"/>
      <c r="AX712" s="134"/>
      <c r="AY712" s="134"/>
      <c r="AZ712" s="134"/>
      <c r="BA712" s="134"/>
      <c r="BB712" s="134"/>
      <c r="BC712" s="134"/>
      <c r="BD712" s="134"/>
      <c r="BE712" s="134"/>
      <c r="BF712" s="134"/>
      <c r="BG712" s="134"/>
      <c r="BH712" s="134"/>
      <c r="BI712" s="134"/>
      <c r="BJ712" s="134"/>
      <c r="BK712" s="134"/>
      <c r="BL712" s="134"/>
      <c r="BM712" s="135"/>
      <c r="BN712" s="136" t="n">
        <f aca="false">+MAX($D$3,DATOS_[[#This Row],[Fecha Inicio Sit. Contract.]])</f>
        <v>0</v>
      </c>
      <c r="BO712" s="136" t="n">
        <f aca="false">+MIN($D$4,DATOS_[[#This Row],[Fecha Fin Sit. Contract.]])</f>
        <v>0</v>
      </c>
      <c r="BP712" s="137" t="n">
        <f aca="false">+DATOS_[[#This Row],[% de jornada]]*IF(DATOS_[[#This Row],[% jornada reducida]]="",1,DATOS_[[#This Row],[% jornada reducida]])</f>
        <v>0</v>
      </c>
      <c r="BQ712" s="137" t="n">
        <f aca="false">+(DATOS_[[#This Row],[F.fin.cal]]-DATOS_[[#This Row],[F.ini.cal]]+1)/($D$4-$D$3+1)</f>
        <v>1</v>
      </c>
      <c r="BR712" s="137" t="str">
        <f aca="false">IF(OR(AND(DATOS_[[#This Row],[Fecha Fin Contrato]]&lt;$D$3,DATOS_[[#This Row],[Fecha Fin Contrato]]&lt;&gt;""),DATOS_[[#This Row],[Fecha de Contratación]]&gt;$D$4),"Fuera","Dentro")</f>
        <v>Dentro</v>
      </c>
      <c r="BS712" s="137" t="str">
        <f aca="false" t="array" ref="BS712:BS712">IF(MAX(IF(DATOS_[id]=DATOS_[[#This Row],[id]],DATOS_[F.fin.cal]))=DATOS_[[#This Row],[F.fin.cal]],"Sí","NO")</f>
        <v>Sí</v>
      </c>
      <c r="BT712" s="137" t="str">
        <f aca="false">IF(AND(DATOS_[[#This Row],[% normaliz]]&lt;&gt;1,DATOS_[[#This Row],[% anualiz]]=1),"Sí","NO")</f>
        <v>Sí</v>
      </c>
      <c r="BU712" s="137" t="str">
        <f aca="false">IF(AND(DATOS_[[#This Row],[% normaliz]]=1,DATOS_[[#This Row],[% anualiz]]&lt;&gt;1),"Sí","NO")</f>
        <v>NO</v>
      </c>
      <c r="BV712" s="137" t="str">
        <f aca="false">IF(AND(DATOS_[[#This Row],[% normaliz]]&lt;&gt;1,DATOS_[[#This Row],[% anualiz]]&lt;&gt;1),"Sí","NO")</f>
        <v>NO</v>
      </c>
      <c r="BW712" s="137" t="str">
        <f aca="false">+IF(DATOS_[[#This Row],[% normaliz]]*DATOS_[[#This Row],[% anualiz]]=1,"NO","Sí")</f>
        <v>Sí</v>
      </c>
      <c r="BX712" s="138" t="e">
        <f aca="false">(DATOS_[[#This Row],[S.BASE]]*(1/DATOS_[[#This Row],[% normaliz]])*(1/DATOS_[[#This Row],[% anualiz]]))*IF(DATOS_[[#This Row],[Check Equiparado]]="Sí",1,0)</f>
        <v>#DIV/0!</v>
      </c>
      <c r="BY7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2" s="138" t="e">
        <f aca="false">+DATOS_[[#This Row],[SALARIO BASE Eq]]+DATOS_[[#This Row],[Tot COMPL.SAL Eq]]</f>
        <v>#DIV/0!</v>
      </c>
      <c r="CA712" s="138" t="e">
        <f aca="false" t="array" ref="CA712:CA7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2" s="138" t="e">
        <f aca="false">+DATOS_[[#This Row],[TOTAL SALARIO Eq]]+DATOS_[[#This Row],[Tot Extrasalarial Eq]]</f>
        <v>#DIV/0!</v>
      </c>
      <c r="CC712" s="139" t="n">
        <f aca="false">DATOS_[[#This Row],[S.BASE]]</f>
        <v>0</v>
      </c>
      <c r="CD712" s="139" t="n">
        <f aca="false">+SUM(DATOS_[[#This Row],[Conc.Sal.01]:[Conc.Sal.30]])</f>
        <v>0</v>
      </c>
      <c r="CE712" s="139" t="n">
        <f aca="false">+DATOS_[[#This Row],[SALARIO BASE Ef]]+DATOS_[[#This Row],[Tot COMPL.SAL Ef]]</f>
        <v>0</v>
      </c>
      <c r="CF712" s="139" t="n">
        <f aca="false">+SUM(DATOS_[[#This Row],[C.Extra.01]:[C.Extra.05]])</f>
        <v>0</v>
      </c>
      <c r="CG712" s="139" t="n">
        <f aca="false">+DATOS_[[#This Row],[TOTAL SALARIO Ef]]+DATOS_[[#This Row],[Tot Extrasalarial Ef]]</f>
        <v>0</v>
      </c>
      <c r="CH712" s="140" t="n">
        <f aca="false">MIN(IF(DATOS_[[#This Row],[Fecha Fin Contrato]]="",$D$4,DATOS_[[#This Row],[Fecha Fin Contrato]]),$D$4)-MAX(DATOS_[[#This Row],[Fecha de Contratación]],$D$3)+1</f>
        <v>1</v>
      </c>
      <c r="CI712" s="141" t="str">
        <f aca="false">IF(COUNTIFS(DATOS_[id],DATOS_[[#This Row],[id]])&gt;1,DATOS_[[#This Row],[id]],"")</f>
        <v/>
      </c>
      <c r="CJ712" s="141" t="n">
        <f aca="false">(Inicio!$G$10-DATOS_[[#This Row],[Fecha Nacimiento]])/365.25</f>
        <v>0</v>
      </c>
      <c r="CK712" s="141" t="n">
        <f aca="false">(Inicio!$G$10-DATOS_[[#This Row],[Fecha de Antigüedad]])/365.25</f>
        <v>0</v>
      </c>
      <c r="CL712" s="141" t="e">
        <f aca="false">+VLOOKUP(DATOS_[[#This Row],[Clave de Contrato]],TblTiposContrato13[],3,0)</f>
        <v>#N/A</v>
      </c>
      <c r="CM712" s="141" t="e">
        <f aca="false">+VLOOKUP(DATOS_[[#This Row],[Clave de Contrato]],TblTiposContrato13[],4,0)</f>
        <v>#N/A</v>
      </c>
      <c r="CN712" s="141" t="str">
        <f aca="false">VLOOKUP(DATOS_[[#This Row],[Edad]],CONTRATOS!TblRngEdad,2,1)</f>
        <v>20  o menos</v>
      </c>
      <c r="CO712" s="141" t="str">
        <f aca="false">VLOOKUP(DATOS_[[#This Row],[Antigüedad]],TblRngAntg14[],2,1)</f>
        <v>0 a 1 años</v>
      </c>
    </row>
    <row r="713" customFormat="false" ht="13.8" hidden="false" customHeight="false" outlineLevel="0" collapsed="false">
      <c r="D713" s="128"/>
      <c r="E713" s="129"/>
      <c r="F713" s="129"/>
      <c r="G713" s="129"/>
      <c r="H713" s="130"/>
      <c r="I713" s="131"/>
      <c r="J713" s="128"/>
      <c r="K713" s="132"/>
      <c r="L713" s="132"/>
      <c r="M713" s="133"/>
      <c r="N713" s="133"/>
      <c r="O713" s="133"/>
      <c r="P713" s="129"/>
      <c r="Z713" s="75"/>
      <c r="AA713" s="76"/>
      <c r="AB713" s="76"/>
      <c r="AC713" s="129"/>
      <c r="AD713" s="134"/>
      <c r="AE713" s="134"/>
      <c r="AF713" s="134"/>
      <c r="AG713" s="134"/>
      <c r="AH713" s="134"/>
      <c r="AI713" s="134"/>
      <c r="AJ713" s="134"/>
      <c r="AK713" s="134"/>
      <c r="AL713" s="134"/>
      <c r="AM713" s="134"/>
      <c r="AN713" s="134"/>
      <c r="AO713" s="134"/>
      <c r="AP713" s="134"/>
      <c r="AQ713" s="134"/>
      <c r="AR713" s="134"/>
      <c r="AS713" s="134"/>
      <c r="AT713" s="134"/>
      <c r="AU713" s="134"/>
      <c r="AV713" s="134"/>
      <c r="AW713" s="134"/>
      <c r="AX713" s="134"/>
      <c r="AY713" s="134"/>
      <c r="AZ713" s="134"/>
      <c r="BA713" s="134"/>
      <c r="BB713" s="134"/>
      <c r="BC713" s="134"/>
      <c r="BD713" s="134"/>
      <c r="BE713" s="134"/>
      <c r="BF713" s="134"/>
      <c r="BG713" s="134"/>
      <c r="BH713" s="134"/>
      <c r="BI713" s="134"/>
      <c r="BJ713" s="134"/>
      <c r="BK713" s="134"/>
      <c r="BL713" s="134"/>
      <c r="BM713" s="135"/>
      <c r="BN713" s="136" t="n">
        <f aca="false">+MAX($D$3,DATOS_[[#This Row],[Fecha Inicio Sit. Contract.]])</f>
        <v>0</v>
      </c>
      <c r="BO713" s="136" t="n">
        <f aca="false">+MIN($D$4,DATOS_[[#This Row],[Fecha Fin Sit. Contract.]])</f>
        <v>0</v>
      </c>
      <c r="BP713" s="137" t="n">
        <f aca="false">+DATOS_[[#This Row],[% de jornada]]*IF(DATOS_[[#This Row],[% jornada reducida]]="",1,DATOS_[[#This Row],[% jornada reducida]])</f>
        <v>0</v>
      </c>
      <c r="BQ713" s="137" t="n">
        <f aca="false">+(DATOS_[[#This Row],[F.fin.cal]]-DATOS_[[#This Row],[F.ini.cal]]+1)/($D$4-$D$3+1)</f>
        <v>1</v>
      </c>
      <c r="BR713" s="137" t="str">
        <f aca="false">IF(OR(AND(DATOS_[[#This Row],[Fecha Fin Contrato]]&lt;$D$3,DATOS_[[#This Row],[Fecha Fin Contrato]]&lt;&gt;""),DATOS_[[#This Row],[Fecha de Contratación]]&gt;$D$4),"Fuera","Dentro")</f>
        <v>Dentro</v>
      </c>
      <c r="BS713" s="137" t="str">
        <f aca="false" t="array" ref="BS713:BS713">IF(MAX(IF(DATOS_[id]=DATOS_[[#This Row],[id]],DATOS_[F.fin.cal]))=DATOS_[[#This Row],[F.fin.cal]],"Sí","NO")</f>
        <v>Sí</v>
      </c>
      <c r="BT713" s="137" t="str">
        <f aca="false">IF(AND(DATOS_[[#This Row],[% normaliz]]&lt;&gt;1,DATOS_[[#This Row],[% anualiz]]=1),"Sí","NO")</f>
        <v>Sí</v>
      </c>
      <c r="BU713" s="137" t="str">
        <f aca="false">IF(AND(DATOS_[[#This Row],[% normaliz]]=1,DATOS_[[#This Row],[% anualiz]]&lt;&gt;1),"Sí","NO")</f>
        <v>NO</v>
      </c>
      <c r="BV713" s="137" t="str">
        <f aca="false">IF(AND(DATOS_[[#This Row],[% normaliz]]&lt;&gt;1,DATOS_[[#This Row],[% anualiz]]&lt;&gt;1),"Sí","NO")</f>
        <v>NO</v>
      </c>
      <c r="BW713" s="137" t="str">
        <f aca="false">+IF(DATOS_[[#This Row],[% normaliz]]*DATOS_[[#This Row],[% anualiz]]=1,"NO","Sí")</f>
        <v>Sí</v>
      </c>
      <c r="BX713" s="138" t="e">
        <f aca="false">(DATOS_[[#This Row],[S.BASE]]*(1/DATOS_[[#This Row],[% normaliz]])*(1/DATOS_[[#This Row],[% anualiz]]))*IF(DATOS_[[#This Row],[Check Equiparado]]="Sí",1,0)</f>
        <v>#DIV/0!</v>
      </c>
      <c r="BY7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3" s="138" t="e">
        <f aca="false">+DATOS_[[#This Row],[SALARIO BASE Eq]]+DATOS_[[#This Row],[Tot COMPL.SAL Eq]]</f>
        <v>#DIV/0!</v>
      </c>
      <c r="CA713" s="138" t="e">
        <f aca="false" t="array" ref="CA713:CA7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3" s="138" t="e">
        <f aca="false">+DATOS_[[#This Row],[TOTAL SALARIO Eq]]+DATOS_[[#This Row],[Tot Extrasalarial Eq]]</f>
        <v>#DIV/0!</v>
      </c>
      <c r="CC713" s="139" t="n">
        <f aca="false">DATOS_[[#This Row],[S.BASE]]</f>
        <v>0</v>
      </c>
      <c r="CD713" s="139" t="n">
        <f aca="false">+SUM(DATOS_[[#This Row],[Conc.Sal.01]:[Conc.Sal.30]])</f>
        <v>0</v>
      </c>
      <c r="CE713" s="139" t="n">
        <f aca="false">+DATOS_[[#This Row],[SALARIO BASE Ef]]+DATOS_[[#This Row],[Tot COMPL.SAL Ef]]</f>
        <v>0</v>
      </c>
      <c r="CF713" s="139" t="n">
        <f aca="false">+SUM(DATOS_[[#This Row],[C.Extra.01]:[C.Extra.05]])</f>
        <v>0</v>
      </c>
      <c r="CG713" s="139" t="n">
        <f aca="false">+DATOS_[[#This Row],[TOTAL SALARIO Ef]]+DATOS_[[#This Row],[Tot Extrasalarial Ef]]</f>
        <v>0</v>
      </c>
      <c r="CH713" s="140" t="n">
        <f aca="false">MIN(IF(DATOS_[[#This Row],[Fecha Fin Contrato]]="",$D$4,DATOS_[[#This Row],[Fecha Fin Contrato]]),$D$4)-MAX(DATOS_[[#This Row],[Fecha de Contratación]],$D$3)+1</f>
        <v>1</v>
      </c>
      <c r="CI713" s="141" t="str">
        <f aca="false">IF(COUNTIFS(DATOS_[id],DATOS_[[#This Row],[id]])&gt;1,DATOS_[[#This Row],[id]],"")</f>
        <v/>
      </c>
      <c r="CJ713" s="141" t="n">
        <f aca="false">(Inicio!$G$10-DATOS_[[#This Row],[Fecha Nacimiento]])/365.25</f>
        <v>0</v>
      </c>
      <c r="CK713" s="141" t="n">
        <f aca="false">(Inicio!$G$10-DATOS_[[#This Row],[Fecha de Antigüedad]])/365.25</f>
        <v>0</v>
      </c>
      <c r="CL713" s="141" t="e">
        <f aca="false">+VLOOKUP(DATOS_[[#This Row],[Clave de Contrato]],TblTiposContrato13[],3,0)</f>
        <v>#N/A</v>
      </c>
      <c r="CM713" s="141" t="e">
        <f aca="false">+VLOOKUP(DATOS_[[#This Row],[Clave de Contrato]],TblTiposContrato13[],4,0)</f>
        <v>#N/A</v>
      </c>
      <c r="CN713" s="141" t="str">
        <f aca="false">VLOOKUP(DATOS_[[#This Row],[Edad]],CONTRATOS!TblRngEdad,2,1)</f>
        <v>20  o menos</v>
      </c>
      <c r="CO713" s="141" t="str">
        <f aca="false">VLOOKUP(DATOS_[[#This Row],[Antigüedad]],TblRngAntg14[],2,1)</f>
        <v>0 a 1 años</v>
      </c>
    </row>
    <row r="714" customFormat="false" ht="13.8" hidden="false" customHeight="false" outlineLevel="0" collapsed="false">
      <c r="D714" s="128"/>
      <c r="E714" s="129"/>
      <c r="F714" s="129"/>
      <c r="G714" s="129"/>
      <c r="H714" s="130"/>
      <c r="I714" s="131"/>
      <c r="J714" s="128"/>
      <c r="K714" s="132"/>
      <c r="L714" s="132"/>
      <c r="M714" s="133"/>
      <c r="N714" s="133"/>
      <c r="O714" s="133"/>
      <c r="P714" s="129"/>
      <c r="Z714" s="75"/>
      <c r="AA714" s="76"/>
      <c r="AB714" s="76"/>
      <c r="AC714" s="129"/>
      <c r="AD714" s="134"/>
      <c r="AE714" s="134"/>
      <c r="AF714" s="134"/>
      <c r="AG714" s="134"/>
      <c r="AH714" s="134"/>
      <c r="AI714" s="134"/>
      <c r="AJ714" s="134"/>
      <c r="AK714" s="134"/>
      <c r="AL714" s="134"/>
      <c r="AM714" s="134"/>
      <c r="AN714" s="134"/>
      <c r="AO714" s="134"/>
      <c r="AP714" s="134"/>
      <c r="AQ714" s="134"/>
      <c r="AR714" s="134"/>
      <c r="AS714" s="134"/>
      <c r="AT714" s="134"/>
      <c r="AU714" s="134"/>
      <c r="AV714" s="134"/>
      <c r="AW714" s="134"/>
      <c r="AX714" s="134"/>
      <c r="AY714" s="134"/>
      <c r="AZ714" s="134"/>
      <c r="BA714" s="134"/>
      <c r="BB714" s="134"/>
      <c r="BC714" s="134"/>
      <c r="BD714" s="134"/>
      <c r="BE714" s="134"/>
      <c r="BF714" s="134"/>
      <c r="BG714" s="134"/>
      <c r="BH714" s="134"/>
      <c r="BI714" s="134"/>
      <c r="BJ714" s="134"/>
      <c r="BK714" s="134"/>
      <c r="BL714" s="134"/>
      <c r="BM714" s="135"/>
      <c r="BN714" s="136" t="n">
        <f aca="false">+MAX($D$3,DATOS_[[#This Row],[Fecha Inicio Sit. Contract.]])</f>
        <v>0</v>
      </c>
      <c r="BO714" s="136" t="n">
        <f aca="false">+MIN($D$4,DATOS_[[#This Row],[Fecha Fin Sit. Contract.]])</f>
        <v>0</v>
      </c>
      <c r="BP714" s="137" t="n">
        <f aca="false">+DATOS_[[#This Row],[% de jornada]]*IF(DATOS_[[#This Row],[% jornada reducida]]="",1,DATOS_[[#This Row],[% jornada reducida]])</f>
        <v>0</v>
      </c>
      <c r="BQ714" s="137" t="n">
        <f aca="false">+(DATOS_[[#This Row],[F.fin.cal]]-DATOS_[[#This Row],[F.ini.cal]]+1)/($D$4-$D$3+1)</f>
        <v>1</v>
      </c>
      <c r="BR714" s="137" t="str">
        <f aca="false">IF(OR(AND(DATOS_[[#This Row],[Fecha Fin Contrato]]&lt;$D$3,DATOS_[[#This Row],[Fecha Fin Contrato]]&lt;&gt;""),DATOS_[[#This Row],[Fecha de Contratación]]&gt;$D$4),"Fuera","Dentro")</f>
        <v>Dentro</v>
      </c>
      <c r="BS714" s="137" t="str">
        <f aca="false" t="array" ref="BS714:BS714">IF(MAX(IF(DATOS_[id]=DATOS_[[#This Row],[id]],DATOS_[F.fin.cal]))=DATOS_[[#This Row],[F.fin.cal]],"Sí","NO")</f>
        <v>Sí</v>
      </c>
      <c r="BT714" s="137" t="str">
        <f aca="false">IF(AND(DATOS_[[#This Row],[% normaliz]]&lt;&gt;1,DATOS_[[#This Row],[% anualiz]]=1),"Sí","NO")</f>
        <v>Sí</v>
      </c>
      <c r="BU714" s="137" t="str">
        <f aca="false">IF(AND(DATOS_[[#This Row],[% normaliz]]=1,DATOS_[[#This Row],[% anualiz]]&lt;&gt;1),"Sí","NO")</f>
        <v>NO</v>
      </c>
      <c r="BV714" s="137" t="str">
        <f aca="false">IF(AND(DATOS_[[#This Row],[% normaliz]]&lt;&gt;1,DATOS_[[#This Row],[% anualiz]]&lt;&gt;1),"Sí","NO")</f>
        <v>NO</v>
      </c>
      <c r="BW714" s="137" t="str">
        <f aca="false">+IF(DATOS_[[#This Row],[% normaliz]]*DATOS_[[#This Row],[% anualiz]]=1,"NO","Sí")</f>
        <v>Sí</v>
      </c>
      <c r="BX714" s="138" t="e">
        <f aca="false">(DATOS_[[#This Row],[S.BASE]]*(1/DATOS_[[#This Row],[% normaliz]])*(1/DATOS_[[#This Row],[% anualiz]]))*IF(DATOS_[[#This Row],[Check Equiparado]]="Sí",1,0)</f>
        <v>#DIV/0!</v>
      </c>
      <c r="BY7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4" s="138" t="e">
        <f aca="false">+DATOS_[[#This Row],[SALARIO BASE Eq]]+DATOS_[[#This Row],[Tot COMPL.SAL Eq]]</f>
        <v>#DIV/0!</v>
      </c>
      <c r="CA714" s="138" t="e">
        <f aca="false" t="array" ref="CA714:CA7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4" s="138" t="e">
        <f aca="false">+DATOS_[[#This Row],[TOTAL SALARIO Eq]]+DATOS_[[#This Row],[Tot Extrasalarial Eq]]</f>
        <v>#DIV/0!</v>
      </c>
      <c r="CC714" s="139" t="n">
        <f aca="false">DATOS_[[#This Row],[S.BASE]]</f>
        <v>0</v>
      </c>
      <c r="CD714" s="139" t="n">
        <f aca="false">+SUM(DATOS_[[#This Row],[Conc.Sal.01]:[Conc.Sal.30]])</f>
        <v>0</v>
      </c>
      <c r="CE714" s="139" t="n">
        <f aca="false">+DATOS_[[#This Row],[SALARIO BASE Ef]]+DATOS_[[#This Row],[Tot COMPL.SAL Ef]]</f>
        <v>0</v>
      </c>
      <c r="CF714" s="139" t="n">
        <f aca="false">+SUM(DATOS_[[#This Row],[C.Extra.01]:[C.Extra.05]])</f>
        <v>0</v>
      </c>
      <c r="CG714" s="139" t="n">
        <f aca="false">+DATOS_[[#This Row],[TOTAL SALARIO Ef]]+DATOS_[[#This Row],[Tot Extrasalarial Ef]]</f>
        <v>0</v>
      </c>
      <c r="CH714" s="140" t="n">
        <f aca="false">MIN(IF(DATOS_[[#This Row],[Fecha Fin Contrato]]="",$D$4,DATOS_[[#This Row],[Fecha Fin Contrato]]),$D$4)-MAX(DATOS_[[#This Row],[Fecha de Contratación]],$D$3)+1</f>
        <v>1</v>
      </c>
      <c r="CI714" s="141" t="str">
        <f aca="false">IF(COUNTIFS(DATOS_[id],DATOS_[[#This Row],[id]])&gt;1,DATOS_[[#This Row],[id]],"")</f>
        <v/>
      </c>
      <c r="CJ714" s="141" t="n">
        <f aca="false">(Inicio!$G$10-DATOS_[[#This Row],[Fecha Nacimiento]])/365.25</f>
        <v>0</v>
      </c>
      <c r="CK714" s="141" t="n">
        <f aca="false">(Inicio!$G$10-DATOS_[[#This Row],[Fecha de Antigüedad]])/365.25</f>
        <v>0</v>
      </c>
      <c r="CL714" s="141" t="e">
        <f aca="false">+VLOOKUP(DATOS_[[#This Row],[Clave de Contrato]],TblTiposContrato13[],3,0)</f>
        <v>#N/A</v>
      </c>
      <c r="CM714" s="141" t="e">
        <f aca="false">+VLOOKUP(DATOS_[[#This Row],[Clave de Contrato]],TblTiposContrato13[],4,0)</f>
        <v>#N/A</v>
      </c>
      <c r="CN714" s="141" t="str">
        <f aca="false">VLOOKUP(DATOS_[[#This Row],[Edad]],CONTRATOS!TblRngEdad,2,1)</f>
        <v>20  o menos</v>
      </c>
      <c r="CO714" s="141" t="str">
        <f aca="false">VLOOKUP(DATOS_[[#This Row],[Antigüedad]],TblRngAntg14[],2,1)</f>
        <v>0 a 1 años</v>
      </c>
    </row>
    <row r="715" customFormat="false" ht="13.8" hidden="false" customHeight="false" outlineLevel="0" collapsed="false">
      <c r="D715" s="128"/>
      <c r="E715" s="129"/>
      <c r="F715" s="129"/>
      <c r="G715" s="129"/>
      <c r="H715" s="130"/>
      <c r="I715" s="131"/>
      <c r="J715" s="128"/>
      <c r="K715" s="132"/>
      <c r="L715" s="132"/>
      <c r="M715" s="133"/>
      <c r="N715" s="133"/>
      <c r="O715" s="133"/>
      <c r="P715" s="129"/>
      <c r="Z715" s="75"/>
      <c r="AA715" s="76"/>
      <c r="AB715" s="76"/>
      <c r="AC715" s="129"/>
      <c r="AD715" s="134"/>
      <c r="AE715" s="134"/>
      <c r="AF715" s="134"/>
      <c r="AG715" s="134"/>
      <c r="AH715" s="134"/>
      <c r="AI715" s="134"/>
      <c r="AJ715" s="134"/>
      <c r="AK715" s="134"/>
      <c r="AL715" s="134"/>
      <c r="AM715" s="134"/>
      <c r="AN715" s="134"/>
      <c r="AO715" s="134"/>
      <c r="AP715" s="134"/>
      <c r="AQ715" s="134"/>
      <c r="AR715" s="134"/>
      <c r="AS715" s="134"/>
      <c r="AT715" s="134"/>
      <c r="AU715" s="134"/>
      <c r="AV715" s="134"/>
      <c r="AW715" s="134"/>
      <c r="AX715" s="134"/>
      <c r="AY715" s="134"/>
      <c r="AZ715" s="134"/>
      <c r="BA715" s="134"/>
      <c r="BB715" s="134"/>
      <c r="BC715" s="134"/>
      <c r="BD715" s="134"/>
      <c r="BE715" s="134"/>
      <c r="BF715" s="134"/>
      <c r="BG715" s="134"/>
      <c r="BH715" s="134"/>
      <c r="BI715" s="134"/>
      <c r="BJ715" s="134"/>
      <c r="BK715" s="134"/>
      <c r="BL715" s="134"/>
      <c r="BM715" s="135"/>
      <c r="BN715" s="136" t="n">
        <f aca="false">+MAX($D$3,DATOS_[[#This Row],[Fecha Inicio Sit. Contract.]])</f>
        <v>0</v>
      </c>
      <c r="BO715" s="136" t="n">
        <f aca="false">+MIN($D$4,DATOS_[[#This Row],[Fecha Fin Sit. Contract.]])</f>
        <v>0</v>
      </c>
      <c r="BP715" s="137" t="n">
        <f aca="false">+DATOS_[[#This Row],[% de jornada]]*IF(DATOS_[[#This Row],[% jornada reducida]]="",1,DATOS_[[#This Row],[% jornada reducida]])</f>
        <v>0</v>
      </c>
      <c r="BQ715" s="137" t="n">
        <f aca="false">+(DATOS_[[#This Row],[F.fin.cal]]-DATOS_[[#This Row],[F.ini.cal]]+1)/($D$4-$D$3+1)</f>
        <v>1</v>
      </c>
      <c r="BR715" s="137" t="str">
        <f aca="false">IF(OR(AND(DATOS_[[#This Row],[Fecha Fin Contrato]]&lt;$D$3,DATOS_[[#This Row],[Fecha Fin Contrato]]&lt;&gt;""),DATOS_[[#This Row],[Fecha de Contratación]]&gt;$D$4),"Fuera","Dentro")</f>
        <v>Dentro</v>
      </c>
      <c r="BS715" s="137" t="str">
        <f aca="false" t="array" ref="BS715:BS715">IF(MAX(IF(DATOS_[id]=DATOS_[[#This Row],[id]],DATOS_[F.fin.cal]))=DATOS_[[#This Row],[F.fin.cal]],"Sí","NO")</f>
        <v>Sí</v>
      </c>
      <c r="BT715" s="137" t="str">
        <f aca="false">IF(AND(DATOS_[[#This Row],[% normaliz]]&lt;&gt;1,DATOS_[[#This Row],[% anualiz]]=1),"Sí","NO")</f>
        <v>Sí</v>
      </c>
      <c r="BU715" s="137" t="str">
        <f aca="false">IF(AND(DATOS_[[#This Row],[% normaliz]]=1,DATOS_[[#This Row],[% anualiz]]&lt;&gt;1),"Sí","NO")</f>
        <v>NO</v>
      </c>
      <c r="BV715" s="137" t="str">
        <f aca="false">IF(AND(DATOS_[[#This Row],[% normaliz]]&lt;&gt;1,DATOS_[[#This Row],[% anualiz]]&lt;&gt;1),"Sí","NO")</f>
        <v>NO</v>
      </c>
      <c r="BW715" s="137" t="str">
        <f aca="false">+IF(DATOS_[[#This Row],[% normaliz]]*DATOS_[[#This Row],[% anualiz]]=1,"NO","Sí")</f>
        <v>Sí</v>
      </c>
      <c r="BX715" s="138" t="e">
        <f aca="false">(DATOS_[[#This Row],[S.BASE]]*(1/DATOS_[[#This Row],[% normaliz]])*(1/DATOS_[[#This Row],[% anualiz]]))*IF(DATOS_[[#This Row],[Check Equiparado]]="Sí",1,0)</f>
        <v>#DIV/0!</v>
      </c>
      <c r="BY7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5" s="138" t="e">
        <f aca="false">+DATOS_[[#This Row],[SALARIO BASE Eq]]+DATOS_[[#This Row],[Tot COMPL.SAL Eq]]</f>
        <v>#DIV/0!</v>
      </c>
      <c r="CA715" s="138" t="e">
        <f aca="false" t="array" ref="CA715:CA7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5" s="138" t="e">
        <f aca="false">+DATOS_[[#This Row],[TOTAL SALARIO Eq]]+DATOS_[[#This Row],[Tot Extrasalarial Eq]]</f>
        <v>#DIV/0!</v>
      </c>
      <c r="CC715" s="139" t="n">
        <f aca="false">DATOS_[[#This Row],[S.BASE]]</f>
        <v>0</v>
      </c>
      <c r="CD715" s="139" t="n">
        <f aca="false">+SUM(DATOS_[[#This Row],[Conc.Sal.01]:[Conc.Sal.30]])</f>
        <v>0</v>
      </c>
      <c r="CE715" s="139" t="n">
        <f aca="false">+DATOS_[[#This Row],[SALARIO BASE Ef]]+DATOS_[[#This Row],[Tot COMPL.SAL Ef]]</f>
        <v>0</v>
      </c>
      <c r="CF715" s="139" t="n">
        <f aca="false">+SUM(DATOS_[[#This Row],[C.Extra.01]:[C.Extra.05]])</f>
        <v>0</v>
      </c>
      <c r="CG715" s="139" t="n">
        <f aca="false">+DATOS_[[#This Row],[TOTAL SALARIO Ef]]+DATOS_[[#This Row],[Tot Extrasalarial Ef]]</f>
        <v>0</v>
      </c>
      <c r="CH715" s="140" t="n">
        <f aca="false">MIN(IF(DATOS_[[#This Row],[Fecha Fin Contrato]]="",$D$4,DATOS_[[#This Row],[Fecha Fin Contrato]]),$D$4)-MAX(DATOS_[[#This Row],[Fecha de Contratación]],$D$3)+1</f>
        <v>1</v>
      </c>
      <c r="CI715" s="141" t="str">
        <f aca="false">IF(COUNTIFS(DATOS_[id],DATOS_[[#This Row],[id]])&gt;1,DATOS_[[#This Row],[id]],"")</f>
        <v/>
      </c>
      <c r="CJ715" s="141" t="n">
        <f aca="false">(Inicio!$G$10-DATOS_[[#This Row],[Fecha Nacimiento]])/365.25</f>
        <v>0</v>
      </c>
      <c r="CK715" s="141" t="n">
        <f aca="false">(Inicio!$G$10-DATOS_[[#This Row],[Fecha de Antigüedad]])/365.25</f>
        <v>0</v>
      </c>
      <c r="CL715" s="141" t="e">
        <f aca="false">+VLOOKUP(DATOS_[[#This Row],[Clave de Contrato]],TblTiposContrato13[],3,0)</f>
        <v>#N/A</v>
      </c>
      <c r="CM715" s="141" t="e">
        <f aca="false">+VLOOKUP(DATOS_[[#This Row],[Clave de Contrato]],TblTiposContrato13[],4,0)</f>
        <v>#N/A</v>
      </c>
      <c r="CN715" s="141" t="str">
        <f aca="false">VLOOKUP(DATOS_[[#This Row],[Edad]],CONTRATOS!TblRngEdad,2,1)</f>
        <v>20  o menos</v>
      </c>
      <c r="CO715" s="141" t="str">
        <f aca="false">VLOOKUP(DATOS_[[#This Row],[Antigüedad]],TblRngAntg14[],2,1)</f>
        <v>0 a 1 años</v>
      </c>
    </row>
    <row r="716" customFormat="false" ht="13.8" hidden="false" customHeight="false" outlineLevel="0" collapsed="false">
      <c r="D716" s="128"/>
      <c r="E716" s="129"/>
      <c r="F716" s="129"/>
      <c r="G716" s="129"/>
      <c r="H716" s="130"/>
      <c r="I716" s="131"/>
      <c r="J716" s="128"/>
      <c r="K716" s="132"/>
      <c r="L716" s="132"/>
      <c r="M716" s="133"/>
      <c r="N716" s="133"/>
      <c r="O716" s="133"/>
      <c r="P716" s="129"/>
      <c r="Z716" s="75"/>
      <c r="AA716" s="76"/>
      <c r="AB716" s="76"/>
      <c r="AC716" s="129"/>
      <c r="AD716" s="134"/>
      <c r="AE716" s="134"/>
      <c r="AF716" s="134"/>
      <c r="AG716" s="134"/>
      <c r="AH716" s="134"/>
      <c r="AI716" s="134"/>
      <c r="AJ716" s="134"/>
      <c r="AK716" s="134"/>
      <c r="AL716" s="134"/>
      <c r="AM716" s="134"/>
      <c r="AN716" s="134"/>
      <c r="AO716" s="134"/>
      <c r="AP716" s="134"/>
      <c r="AQ716" s="134"/>
      <c r="AR716" s="134"/>
      <c r="AS716" s="134"/>
      <c r="AT716" s="134"/>
      <c r="AU716" s="134"/>
      <c r="AV716" s="134"/>
      <c r="AW716" s="134"/>
      <c r="AX716" s="134"/>
      <c r="AY716" s="134"/>
      <c r="AZ716" s="134"/>
      <c r="BA716" s="134"/>
      <c r="BB716" s="134"/>
      <c r="BC716" s="134"/>
      <c r="BD716" s="134"/>
      <c r="BE716" s="134"/>
      <c r="BF716" s="134"/>
      <c r="BG716" s="134"/>
      <c r="BH716" s="134"/>
      <c r="BI716" s="134"/>
      <c r="BJ716" s="134"/>
      <c r="BK716" s="134"/>
      <c r="BL716" s="134"/>
      <c r="BM716" s="135"/>
      <c r="BN716" s="136" t="n">
        <f aca="false">+MAX($D$3,DATOS_[[#This Row],[Fecha Inicio Sit. Contract.]])</f>
        <v>0</v>
      </c>
      <c r="BO716" s="136" t="n">
        <f aca="false">+MIN($D$4,DATOS_[[#This Row],[Fecha Fin Sit. Contract.]])</f>
        <v>0</v>
      </c>
      <c r="BP716" s="137" t="n">
        <f aca="false">+DATOS_[[#This Row],[% de jornada]]*IF(DATOS_[[#This Row],[% jornada reducida]]="",1,DATOS_[[#This Row],[% jornada reducida]])</f>
        <v>0</v>
      </c>
      <c r="BQ716" s="137" t="n">
        <f aca="false">+(DATOS_[[#This Row],[F.fin.cal]]-DATOS_[[#This Row],[F.ini.cal]]+1)/($D$4-$D$3+1)</f>
        <v>1</v>
      </c>
      <c r="BR716" s="137" t="str">
        <f aca="false">IF(OR(AND(DATOS_[[#This Row],[Fecha Fin Contrato]]&lt;$D$3,DATOS_[[#This Row],[Fecha Fin Contrato]]&lt;&gt;""),DATOS_[[#This Row],[Fecha de Contratación]]&gt;$D$4),"Fuera","Dentro")</f>
        <v>Dentro</v>
      </c>
      <c r="BS716" s="137" t="str">
        <f aca="false" t="array" ref="BS716:BS716">IF(MAX(IF(DATOS_[id]=DATOS_[[#This Row],[id]],DATOS_[F.fin.cal]))=DATOS_[[#This Row],[F.fin.cal]],"Sí","NO")</f>
        <v>Sí</v>
      </c>
      <c r="BT716" s="137" t="str">
        <f aca="false">IF(AND(DATOS_[[#This Row],[% normaliz]]&lt;&gt;1,DATOS_[[#This Row],[% anualiz]]=1),"Sí","NO")</f>
        <v>Sí</v>
      </c>
      <c r="BU716" s="137" t="str">
        <f aca="false">IF(AND(DATOS_[[#This Row],[% normaliz]]=1,DATOS_[[#This Row],[% anualiz]]&lt;&gt;1),"Sí","NO")</f>
        <v>NO</v>
      </c>
      <c r="BV716" s="137" t="str">
        <f aca="false">IF(AND(DATOS_[[#This Row],[% normaliz]]&lt;&gt;1,DATOS_[[#This Row],[% anualiz]]&lt;&gt;1),"Sí","NO")</f>
        <v>NO</v>
      </c>
      <c r="BW716" s="137" t="str">
        <f aca="false">+IF(DATOS_[[#This Row],[% normaliz]]*DATOS_[[#This Row],[% anualiz]]=1,"NO","Sí")</f>
        <v>Sí</v>
      </c>
      <c r="BX716" s="138" t="e">
        <f aca="false">(DATOS_[[#This Row],[S.BASE]]*(1/DATOS_[[#This Row],[% normaliz]])*(1/DATOS_[[#This Row],[% anualiz]]))*IF(DATOS_[[#This Row],[Check Equiparado]]="Sí",1,0)</f>
        <v>#DIV/0!</v>
      </c>
      <c r="BY7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6" s="138" t="e">
        <f aca="false">+DATOS_[[#This Row],[SALARIO BASE Eq]]+DATOS_[[#This Row],[Tot COMPL.SAL Eq]]</f>
        <v>#DIV/0!</v>
      </c>
      <c r="CA716" s="138" t="e">
        <f aca="false" t="array" ref="CA716:CA7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6" s="138" t="e">
        <f aca="false">+DATOS_[[#This Row],[TOTAL SALARIO Eq]]+DATOS_[[#This Row],[Tot Extrasalarial Eq]]</f>
        <v>#DIV/0!</v>
      </c>
      <c r="CC716" s="139" t="n">
        <f aca="false">DATOS_[[#This Row],[S.BASE]]</f>
        <v>0</v>
      </c>
      <c r="CD716" s="139" t="n">
        <f aca="false">+SUM(DATOS_[[#This Row],[Conc.Sal.01]:[Conc.Sal.30]])</f>
        <v>0</v>
      </c>
      <c r="CE716" s="139" t="n">
        <f aca="false">+DATOS_[[#This Row],[SALARIO BASE Ef]]+DATOS_[[#This Row],[Tot COMPL.SAL Ef]]</f>
        <v>0</v>
      </c>
      <c r="CF716" s="139" t="n">
        <f aca="false">+SUM(DATOS_[[#This Row],[C.Extra.01]:[C.Extra.05]])</f>
        <v>0</v>
      </c>
      <c r="CG716" s="139" t="n">
        <f aca="false">+DATOS_[[#This Row],[TOTAL SALARIO Ef]]+DATOS_[[#This Row],[Tot Extrasalarial Ef]]</f>
        <v>0</v>
      </c>
      <c r="CH716" s="140" t="n">
        <f aca="false">MIN(IF(DATOS_[[#This Row],[Fecha Fin Contrato]]="",$D$4,DATOS_[[#This Row],[Fecha Fin Contrato]]),$D$4)-MAX(DATOS_[[#This Row],[Fecha de Contratación]],$D$3)+1</f>
        <v>1</v>
      </c>
      <c r="CI716" s="141" t="str">
        <f aca="false">IF(COUNTIFS(DATOS_[id],DATOS_[[#This Row],[id]])&gt;1,DATOS_[[#This Row],[id]],"")</f>
        <v/>
      </c>
      <c r="CJ716" s="141" t="n">
        <f aca="false">(Inicio!$G$10-DATOS_[[#This Row],[Fecha Nacimiento]])/365.25</f>
        <v>0</v>
      </c>
      <c r="CK716" s="141" t="n">
        <f aca="false">(Inicio!$G$10-DATOS_[[#This Row],[Fecha de Antigüedad]])/365.25</f>
        <v>0</v>
      </c>
      <c r="CL716" s="141" t="e">
        <f aca="false">+VLOOKUP(DATOS_[[#This Row],[Clave de Contrato]],TblTiposContrato13[],3,0)</f>
        <v>#N/A</v>
      </c>
      <c r="CM716" s="141" t="e">
        <f aca="false">+VLOOKUP(DATOS_[[#This Row],[Clave de Contrato]],TblTiposContrato13[],4,0)</f>
        <v>#N/A</v>
      </c>
      <c r="CN716" s="141" t="str">
        <f aca="false">VLOOKUP(DATOS_[[#This Row],[Edad]],CONTRATOS!TblRngEdad,2,1)</f>
        <v>20  o menos</v>
      </c>
      <c r="CO716" s="141" t="str">
        <f aca="false">VLOOKUP(DATOS_[[#This Row],[Antigüedad]],TblRngAntg14[],2,1)</f>
        <v>0 a 1 años</v>
      </c>
    </row>
    <row r="717" customFormat="false" ht="13.8" hidden="false" customHeight="false" outlineLevel="0" collapsed="false">
      <c r="D717" s="128"/>
      <c r="E717" s="129"/>
      <c r="F717" s="129"/>
      <c r="G717" s="129"/>
      <c r="H717" s="130"/>
      <c r="I717" s="131"/>
      <c r="J717" s="128"/>
      <c r="K717" s="132"/>
      <c r="L717" s="132"/>
      <c r="M717" s="133"/>
      <c r="N717" s="133"/>
      <c r="O717" s="133"/>
      <c r="P717" s="129"/>
      <c r="Z717" s="75"/>
      <c r="AA717" s="76"/>
      <c r="AB717" s="76"/>
      <c r="AC717" s="129"/>
      <c r="AD717" s="134"/>
      <c r="AE717" s="134"/>
      <c r="AF717" s="134"/>
      <c r="AG717" s="134"/>
      <c r="AH717" s="134"/>
      <c r="AI717" s="134"/>
      <c r="AJ717" s="134"/>
      <c r="AK717" s="134"/>
      <c r="AL717" s="134"/>
      <c r="AM717" s="134"/>
      <c r="AN717" s="134"/>
      <c r="AO717" s="134"/>
      <c r="AP717" s="134"/>
      <c r="AQ717" s="134"/>
      <c r="AR717" s="134"/>
      <c r="AS717" s="134"/>
      <c r="AT717" s="134"/>
      <c r="AU717" s="134"/>
      <c r="AV717" s="134"/>
      <c r="AW717" s="134"/>
      <c r="AX717" s="134"/>
      <c r="AY717" s="134"/>
      <c r="AZ717" s="134"/>
      <c r="BA717" s="134"/>
      <c r="BB717" s="134"/>
      <c r="BC717" s="134"/>
      <c r="BD717" s="134"/>
      <c r="BE717" s="134"/>
      <c r="BF717" s="134"/>
      <c r="BG717" s="134"/>
      <c r="BH717" s="134"/>
      <c r="BI717" s="134"/>
      <c r="BJ717" s="134"/>
      <c r="BK717" s="134"/>
      <c r="BL717" s="134"/>
      <c r="BM717" s="135"/>
      <c r="BN717" s="136" t="n">
        <f aca="false">+MAX($D$3,DATOS_[[#This Row],[Fecha Inicio Sit. Contract.]])</f>
        <v>0</v>
      </c>
      <c r="BO717" s="136" t="n">
        <f aca="false">+MIN($D$4,DATOS_[[#This Row],[Fecha Fin Sit. Contract.]])</f>
        <v>0</v>
      </c>
      <c r="BP717" s="137" t="n">
        <f aca="false">+DATOS_[[#This Row],[% de jornada]]*IF(DATOS_[[#This Row],[% jornada reducida]]="",1,DATOS_[[#This Row],[% jornada reducida]])</f>
        <v>0</v>
      </c>
      <c r="BQ717" s="137" t="n">
        <f aca="false">+(DATOS_[[#This Row],[F.fin.cal]]-DATOS_[[#This Row],[F.ini.cal]]+1)/($D$4-$D$3+1)</f>
        <v>1</v>
      </c>
      <c r="BR717" s="137" t="str">
        <f aca="false">IF(OR(AND(DATOS_[[#This Row],[Fecha Fin Contrato]]&lt;$D$3,DATOS_[[#This Row],[Fecha Fin Contrato]]&lt;&gt;""),DATOS_[[#This Row],[Fecha de Contratación]]&gt;$D$4),"Fuera","Dentro")</f>
        <v>Dentro</v>
      </c>
      <c r="BS717" s="137" t="str">
        <f aca="false" t="array" ref="BS717:BS717">IF(MAX(IF(DATOS_[id]=DATOS_[[#This Row],[id]],DATOS_[F.fin.cal]))=DATOS_[[#This Row],[F.fin.cal]],"Sí","NO")</f>
        <v>Sí</v>
      </c>
      <c r="BT717" s="137" t="str">
        <f aca="false">IF(AND(DATOS_[[#This Row],[% normaliz]]&lt;&gt;1,DATOS_[[#This Row],[% anualiz]]=1),"Sí","NO")</f>
        <v>Sí</v>
      </c>
      <c r="BU717" s="137" t="str">
        <f aca="false">IF(AND(DATOS_[[#This Row],[% normaliz]]=1,DATOS_[[#This Row],[% anualiz]]&lt;&gt;1),"Sí","NO")</f>
        <v>NO</v>
      </c>
      <c r="BV717" s="137" t="str">
        <f aca="false">IF(AND(DATOS_[[#This Row],[% normaliz]]&lt;&gt;1,DATOS_[[#This Row],[% anualiz]]&lt;&gt;1),"Sí","NO")</f>
        <v>NO</v>
      </c>
      <c r="BW717" s="137" t="str">
        <f aca="false">+IF(DATOS_[[#This Row],[% normaliz]]*DATOS_[[#This Row],[% anualiz]]=1,"NO","Sí")</f>
        <v>Sí</v>
      </c>
      <c r="BX717" s="138" t="e">
        <f aca="false">(DATOS_[[#This Row],[S.BASE]]*(1/DATOS_[[#This Row],[% normaliz]])*(1/DATOS_[[#This Row],[% anualiz]]))*IF(DATOS_[[#This Row],[Check Equiparado]]="Sí",1,0)</f>
        <v>#DIV/0!</v>
      </c>
      <c r="BY7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7" s="138" t="e">
        <f aca="false">+DATOS_[[#This Row],[SALARIO BASE Eq]]+DATOS_[[#This Row],[Tot COMPL.SAL Eq]]</f>
        <v>#DIV/0!</v>
      </c>
      <c r="CA717" s="138" t="e">
        <f aca="false" t="array" ref="CA717:CA7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7" s="138" t="e">
        <f aca="false">+DATOS_[[#This Row],[TOTAL SALARIO Eq]]+DATOS_[[#This Row],[Tot Extrasalarial Eq]]</f>
        <v>#DIV/0!</v>
      </c>
      <c r="CC717" s="139" t="n">
        <f aca="false">DATOS_[[#This Row],[S.BASE]]</f>
        <v>0</v>
      </c>
      <c r="CD717" s="139" t="n">
        <f aca="false">+SUM(DATOS_[[#This Row],[Conc.Sal.01]:[Conc.Sal.30]])</f>
        <v>0</v>
      </c>
      <c r="CE717" s="139" t="n">
        <f aca="false">+DATOS_[[#This Row],[SALARIO BASE Ef]]+DATOS_[[#This Row],[Tot COMPL.SAL Ef]]</f>
        <v>0</v>
      </c>
      <c r="CF717" s="139" t="n">
        <f aca="false">+SUM(DATOS_[[#This Row],[C.Extra.01]:[C.Extra.05]])</f>
        <v>0</v>
      </c>
      <c r="CG717" s="139" t="n">
        <f aca="false">+DATOS_[[#This Row],[TOTAL SALARIO Ef]]+DATOS_[[#This Row],[Tot Extrasalarial Ef]]</f>
        <v>0</v>
      </c>
      <c r="CH717" s="140" t="n">
        <f aca="false">MIN(IF(DATOS_[[#This Row],[Fecha Fin Contrato]]="",$D$4,DATOS_[[#This Row],[Fecha Fin Contrato]]),$D$4)-MAX(DATOS_[[#This Row],[Fecha de Contratación]],$D$3)+1</f>
        <v>1</v>
      </c>
      <c r="CI717" s="141" t="str">
        <f aca="false">IF(COUNTIFS(DATOS_[id],DATOS_[[#This Row],[id]])&gt;1,DATOS_[[#This Row],[id]],"")</f>
        <v/>
      </c>
      <c r="CJ717" s="141" t="n">
        <f aca="false">(Inicio!$G$10-DATOS_[[#This Row],[Fecha Nacimiento]])/365.25</f>
        <v>0</v>
      </c>
      <c r="CK717" s="141" t="n">
        <f aca="false">(Inicio!$G$10-DATOS_[[#This Row],[Fecha de Antigüedad]])/365.25</f>
        <v>0</v>
      </c>
      <c r="CL717" s="141" t="e">
        <f aca="false">+VLOOKUP(DATOS_[[#This Row],[Clave de Contrato]],TblTiposContrato13[],3,0)</f>
        <v>#N/A</v>
      </c>
      <c r="CM717" s="141" t="e">
        <f aca="false">+VLOOKUP(DATOS_[[#This Row],[Clave de Contrato]],TblTiposContrato13[],4,0)</f>
        <v>#N/A</v>
      </c>
      <c r="CN717" s="141" t="str">
        <f aca="false">VLOOKUP(DATOS_[[#This Row],[Edad]],CONTRATOS!TblRngEdad,2,1)</f>
        <v>20  o menos</v>
      </c>
      <c r="CO717" s="141" t="str">
        <f aca="false">VLOOKUP(DATOS_[[#This Row],[Antigüedad]],TblRngAntg14[],2,1)</f>
        <v>0 a 1 años</v>
      </c>
    </row>
    <row r="718" customFormat="false" ht="13.8" hidden="false" customHeight="false" outlineLevel="0" collapsed="false">
      <c r="D718" s="128"/>
      <c r="E718" s="129"/>
      <c r="F718" s="129"/>
      <c r="G718" s="129"/>
      <c r="H718" s="130"/>
      <c r="I718" s="131"/>
      <c r="J718" s="128"/>
      <c r="K718" s="132"/>
      <c r="L718" s="132"/>
      <c r="M718" s="133"/>
      <c r="N718" s="133"/>
      <c r="O718" s="133"/>
      <c r="P718" s="129"/>
      <c r="Z718" s="75"/>
      <c r="AA718" s="76"/>
      <c r="AB718" s="76"/>
      <c r="AC718" s="129"/>
      <c r="AD718" s="134"/>
      <c r="AE718" s="134"/>
      <c r="AF718" s="134"/>
      <c r="AG718" s="134"/>
      <c r="AH718" s="134"/>
      <c r="AI718" s="134"/>
      <c r="AJ718" s="134"/>
      <c r="AK718" s="134"/>
      <c r="AL718" s="134"/>
      <c r="AM718" s="134"/>
      <c r="AN718" s="134"/>
      <c r="AO718" s="134"/>
      <c r="AP718" s="134"/>
      <c r="AQ718" s="134"/>
      <c r="AR718" s="134"/>
      <c r="AS718" s="134"/>
      <c r="AT718" s="134"/>
      <c r="AU718" s="134"/>
      <c r="AV718" s="134"/>
      <c r="AW718" s="134"/>
      <c r="AX718" s="134"/>
      <c r="AY718" s="134"/>
      <c r="AZ718" s="134"/>
      <c r="BA718" s="134"/>
      <c r="BB718" s="134"/>
      <c r="BC718" s="134"/>
      <c r="BD718" s="134"/>
      <c r="BE718" s="134"/>
      <c r="BF718" s="134"/>
      <c r="BG718" s="134"/>
      <c r="BH718" s="134"/>
      <c r="BI718" s="134"/>
      <c r="BJ718" s="134"/>
      <c r="BK718" s="134"/>
      <c r="BL718" s="134"/>
      <c r="BM718" s="135"/>
      <c r="BN718" s="136" t="n">
        <f aca="false">+MAX($D$3,DATOS_[[#This Row],[Fecha Inicio Sit. Contract.]])</f>
        <v>0</v>
      </c>
      <c r="BO718" s="136" t="n">
        <f aca="false">+MIN($D$4,DATOS_[[#This Row],[Fecha Fin Sit. Contract.]])</f>
        <v>0</v>
      </c>
      <c r="BP718" s="137" t="n">
        <f aca="false">+DATOS_[[#This Row],[% de jornada]]*IF(DATOS_[[#This Row],[% jornada reducida]]="",1,DATOS_[[#This Row],[% jornada reducida]])</f>
        <v>0</v>
      </c>
      <c r="BQ718" s="137" t="n">
        <f aca="false">+(DATOS_[[#This Row],[F.fin.cal]]-DATOS_[[#This Row],[F.ini.cal]]+1)/($D$4-$D$3+1)</f>
        <v>1</v>
      </c>
      <c r="BR718" s="137" t="str">
        <f aca="false">IF(OR(AND(DATOS_[[#This Row],[Fecha Fin Contrato]]&lt;$D$3,DATOS_[[#This Row],[Fecha Fin Contrato]]&lt;&gt;""),DATOS_[[#This Row],[Fecha de Contratación]]&gt;$D$4),"Fuera","Dentro")</f>
        <v>Dentro</v>
      </c>
      <c r="BS718" s="137" t="str">
        <f aca="false" t="array" ref="BS718:BS718">IF(MAX(IF(DATOS_[id]=DATOS_[[#This Row],[id]],DATOS_[F.fin.cal]))=DATOS_[[#This Row],[F.fin.cal]],"Sí","NO")</f>
        <v>Sí</v>
      </c>
      <c r="BT718" s="137" t="str">
        <f aca="false">IF(AND(DATOS_[[#This Row],[% normaliz]]&lt;&gt;1,DATOS_[[#This Row],[% anualiz]]=1),"Sí","NO")</f>
        <v>Sí</v>
      </c>
      <c r="BU718" s="137" t="str">
        <f aca="false">IF(AND(DATOS_[[#This Row],[% normaliz]]=1,DATOS_[[#This Row],[% anualiz]]&lt;&gt;1),"Sí","NO")</f>
        <v>NO</v>
      </c>
      <c r="BV718" s="137" t="str">
        <f aca="false">IF(AND(DATOS_[[#This Row],[% normaliz]]&lt;&gt;1,DATOS_[[#This Row],[% anualiz]]&lt;&gt;1),"Sí","NO")</f>
        <v>NO</v>
      </c>
      <c r="BW718" s="137" t="str">
        <f aca="false">+IF(DATOS_[[#This Row],[% normaliz]]*DATOS_[[#This Row],[% anualiz]]=1,"NO","Sí")</f>
        <v>Sí</v>
      </c>
      <c r="BX718" s="138" t="e">
        <f aca="false">(DATOS_[[#This Row],[S.BASE]]*(1/DATOS_[[#This Row],[% normaliz]])*(1/DATOS_[[#This Row],[% anualiz]]))*IF(DATOS_[[#This Row],[Check Equiparado]]="Sí",1,0)</f>
        <v>#DIV/0!</v>
      </c>
      <c r="BY7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8" s="138" t="e">
        <f aca="false">+DATOS_[[#This Row],[SALARIO BASE Eq]]+DATOS_[[#This Row],[Tot COMPL.SAL Eq]]</f>
        <v>#DIV/0!</v>
      </c>
      <c r="CA718" s="138" t="e">
        <f aca="false" t="array" ref="CA718:CA7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8" s="138" t="e">
        <f aca="false">+DATOS_[[#This Row],[TOTAL SALARIO Eq]]+DATOS_[[#This Row],[Tot Extrasalarial Eq]]</f>
        <v>#DIV/0!</v>
      </c>
      <c r="CC718" s="139" t="n">
        <f aca="false">DATOS_[[#This Row],[S.BASE]]</f>
        <v>0</v>
      </c>
      <c r="CD718" s="139" t="n">
        <f aca="false">+SUM(DATOS_[[#This Row],[Conc.Sal.01]:[Conc.Sal.30]])</f>
        <v>0</v>
      </c>
      <c r="CE718" s="139" t="n">
        <f aca="false">+DATOS_[[#This Row],[SALARIO BASE Ef]]+DATOS_[[#This Row],[Tot COMPL.SAL Ef]]</f>
        <v>0</v>
      </c>
      <c r="CF718" s="139" t="n">
        <f aca="false">+SUM(DATOS_[[#This Row],[C.Extra.01]:[C.Extra.05]])</f>
        <v>0</v>
      </c>
      <c r="CG718" s="139" t="n">
        <f aca="false">+DATOS_[[#This Row],[TOTAL SALARIO Ef]]+DATOS_[[#This Row],[Tot Extrasalarial Ef]]</f>
        <v>0</v>
      </c>
      <c r="CH718" s="140" t="n">
        <f aca="false">MIN(IF(DATOS_[[#This Row],[Fecha Fin Contrato]]="",$D$4,DATOS_[[#This Row],[Fecha Fin Contrato]]),$D$4)-MAX(DATOS_[[#This Row],[Fecha de Contratación]],$D$3)+1</f>
        <v>1</v>
      </c>
      <c r="CI718" s="141" t="str">
        <f aca="false">IF(COUNTIFS(DATOS_[id],DATOS_[[#This Row],[id]])&gt;1,DATOS_[[#This Row],[id]],"")</f>
        <v/>
      </c>
      <c r="CJ718" s="141" t="n">
        <f aca="false">(Inicio!$G$10-DATOS_[[#This Row],[Fecha Nacimiento]])/365.25</f>
        <v>0</v>
      </c>
      <c r="CK718" s="141" t="n">
        <f aca="false">(Inicio!$G$10-DATOS_[[#This Row],[Fecha de Antigüedad]])/365.25</f>
        <v>0</v>
      </c>
      <c r="CL718" s="141" t="e">
        <f aca="false">+VLOOKUP(DATOS_[[#This Row],[Clave de Contrato]],TblTiposContrato13[],3,0)</f>
        <v>#N/A</v>
      </c>
      <c r="CM718" s="141" t="e">
        <f aca="false">+VLOOKUP(DATOS_[[#This Row],[Clave de Contrato]],TblTiposContrato13[],4,0)</f>
        <v>#N/A</v>
      </c>
      <c r="CN718" s="141" t="str">
        <f aca="false">VLOOKUP(DATOS_[[#This Row],[Edad]],CONTRATOS!TblRngEdad,2,1)</f>
        <v>20  o menos</v>
      </c>
      <c r="CO718" s="141" t="str">
        <f aca="false">VLOOKUP(DATOS_[[#This Row],[Antigüedad]],TblRngAntg14[],2,1)</f>
        <v>0 a 1 años</v>
      </c>
    </row>
    <row r="719" customFormat="false" ht="13.8" hidden="false" customHeight="false" outlineLevel="0" collapsed="false">
      <c r="D719" s="128"/>
      <c r="E719" s="129"/>
      <c r="F719" s="129"/>
      <c r="G719" s="129"/>
      <c r="H719" s="130"/>
      <c r="I719" s="131"/>
      <c r="J719" s="128"/>
      <c r="K719" s="132"/>
      <c r="L719" s="132"/>
      <c r="M719" s="133"/>
      <c r="N719" s="133"/>
      <c r="O719" s="133"/>
      <c r="P719" s="129"/>
      <c r="Z719" s="75"/>
      <c r="AA719" s="76"/>
      <c r="AB719" s="76"/>
      <c r="AC719" s="129"/>
      <c r="AD719" s="134"/>
      <c r="AE719" s="134"/>
      <c r="AF719" s="134"/>
      <c r="AG719" s="134"/>
      <c r="AH719" s="134"/>
      <c r="AI719" s="134"/>
      <c r="AJ719" s="134"/>
      <c r="AK719" s="134"/>
      <c r="AL719" s="134"/>
      <c r="AM719" s="134"/>
      <c r="AN719" s="134"/>
      <c r="AO719" s="134"/>
      <c r="AP719" s="134"/>
      <c r="AQ719" s="134"/>
      <c r="AR719" s="134"/>
      <c r="AS719" s="134"/>
      <c r="AT719" s="134"/>
      <c r="AU719" s="134"/>
      <c r="AV719" s="134"/>
      <c r="AW719" s="134"/>
      <c r="AX719" s="134"/>
      <c r="AY719" s="134"/>
      <c r="AZ719" s="134"/>
      <c r="BA719" s="134"/>
      <c r="BB719" s="134"/>
      <c r="BC719" s="134"/>
      <c r="BD719" s="134"/>
      <c r="BE719" s="134"/>
      <c r="BF719" s="134"/>
      <c r="BG719" s="134"/>
      <c r="BH719" s="134"/>
      <c r="BI719" s="134"/>
      <c r="BJ719" s="134"/>
      <c r="BK719" s="134"/>
      <c r="BL719" s="134"/>
      <c r="BM719" s="135"/>
      <c r="BN719" s="136" t="n">
        <f aca="false">+MAX($D$3,DATOS_[[#This Row],[Fecha Inicio Sit. Contract.]])</f>
        <v>0</v>
      </c>
      <c r="BO719" s="136" t="n">
        <f aca="false">+MIN($D$4,DATOS_[[#This Row],[Fecha Fin Sit. Contract.]])</f>
        <v>0</v>
      </c>
      <c r="BP719" s="137" t="n">
        <f aca="false">+DATOS_[[#This Row],[% de jornada]]*IF(DATOS_[[#This Row],[% jornada reducida]]="",1,DATOS_[[#This Row],[% jornada reducida]])</f>
        <v>0</v>
      </c>
      <c r="BQ719" s="137" t="n">
        <f aca="false">+(DATOS_[[#This Row],[F.fin.cal]]-DATOS_[[#This Row],[F.ini.cal]]+1)/($D$4-$D$3+1)</f>
        <v>1</v>
      </c>
      <c r="BR719" s="137" t="str">
        <f aca="false">IF(OR(AND(DATOS_[[#This Row],[Fecha Fin Contrato]]&lt;$D$3,DATOS_[[#This Row],[Fecha Fin Contrato]]&lt;&gt;""),DATOS_[[#This Row],[Fecha de Contratación]]&gt;$D$4),"Fuera","Dentro")</f>
        <v>Dentro</v>
      </c>
      <c r="BS719" s="137" t="str">
        <f aca="false" t="array" ref="BS719:BS719">IF(MAX(IF(DATOS_[id]=DATOS_[[#This Row],[id]],DATOS_[F.fin.cal]))=DATOS_[[#This Row],[F.fin.cal]],"Sí","NO")</f>
        <v>Sí</v>
      </c>
      <c r="BT719" s="137" t="str">
        <f aca="false">IF(AND(DATOS_[[#This Row],[% normaliz]]&lt;&gt;1,DATOS_[[#This Row],[% anualiz]]=1),"Sí","NO")</f>
        <v>Sí</v>
      </c>
      <c r="BU719" s="137" t="str">
        <f aca="false">IF(AND(DATOS_[[#This Row],[% normaliz]]=1,DATOS_[[#This Row],[% anualiz]]&lt;&gt;1),"Sí","NO")</f>
        <v>NO</v>
      </c>
      <c r="BV719" s="137" t="str">
        <f aca="false">IF(AND(DATOS_[[#This Row],[% normaliz]]&lt;&gt;1,DATOS_[[#This Row],[% anualiz]]&lt;&gt;1),"Sí","NO")</f>
        <v>NO</v>
      </c>
      <c r="BW719" s="137" t="str">
        <f aca="false">+IF(DATOS_[[#This Row],[% normaliz]]*DATOS_[[#This Row],[% anualiz]]=1,"NO","Sí")</f>
        <v>Sí</v>
      </c>
      <c r="BX719" s="138" t="e">
        <f aca="false">(DATOS_[[#This Row],[S.BASE]]*(1/DATOS_[[#This Row],[% normaliz]])*(1/DATOS_[[#This Row],[% anualiz]]))*IF(DATOS_[[#This Row],[Check Equiparado]]="Sí",1,0)</f>
        <v>#DIV/0!</v>
      </c>
      <c r="BY7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9" s="138" t="e">
        <f aca="false">+DATOS_[[#This Row],[SALARIO BASE Eq]]+DATOS_[[#This Row],[Tot COMPL.SAL Eq]]</f>
        <v>#DIV/0!</v>
      </c>
      <c r="CA719" s="138" t="e">
        <f aca="false" t="array" ref="CA719:CA7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9" s="138" t="e">
        <f aca="false">+DATOS_[[#This Row],[TOTAL SALARIO Eq]]+DATOS_[[#This Row],[Tot Extrasalarial Eq]]</f>
        <v>#DIV/0!</v>
      </c>
      <c r="CC719" s="139" t="n">
        <f aca="false">DATOS_[[#This Row],[S.BASE]]</f>
        <v>0</v>
      </c>
      <c r="CD719" s="139" t="n">
        <f aca="false">+SUM(DATOS_[[#This Row],[Conc.Sal.01]:[Conc.Sal.30]])</f>
        <v>0</v>
      </c>
      <c r="CE719" s="139" t="n">
        <f aca="false">+DATOS_[[#This Row],[SALARIO BASE Ef]]+DATOS_[[#This Row],[Tot COMPL.SAL Ef]]</f>
        <v>0</v>
      </c>
      <c r="CF719" s="139" t="n">
        <f aca="false">+SUM(DATOS_[[#This Row],[C.Extra.01]:[C.Extra.05]])</f>
        <v>0</v>
      </c>
      <c r="CG719" s="139" t="n">
        <f aca="false">+DATOS_[[#This Row],[TOTAL SALARIO Ef]]+DATOS_[[#This Row],[Tot Extrasalarial Ef]]</f>
        <v>0</v>
      </c>
      <c r="CH719" s="140" t="n">
        <f aca="false">MIN(IF(DATOS_[[#This Row],[Fecha Fin Contrato]]="",$D$4,DATOS_[[#This Row],[Fecha Fin Contrato]]),$D$4)-MAX(DATOS_[[#This Row],[Fecha de Contratación]],$D$3)+1</f>
        <v>1</v>
      </c>
      <c r="CI719" s="141" t="str">
        <f aca="false">IF(COUNTIFS(DATOS_[id],DATOS_[[#This Row],[id]])&gt;1,DATOS_[[#This Row],[id]],"")</f>
        <v/>
      </c>
      <c r="CJ719" s="141" t="n">
        <f aca="false">(Inicio!$G$10-DATOS_[[#This Row],[Fecha Nacimiento]])/365.25</f>
        <v>0</v>
      </c>
      <c r="CK719" s="141" t="n">
        <f aca="false">(Inicio!$G$10-DATOS_[[#This Row],[Fecha de Antigüedad]])/365.25</f>
        <v>0</v>
      </c>
      <c r="CL719" s="141" t="e">
        <f aca="false">+VLOOKUP(DATOS_[[#This Row],[Clave de Contrato]],TblTiposContrato13[],3,0)</f>
        <v>#N/A</v>
      </c>
      <c r="CM719" s="141" t="e">
        <f aca="false">+VLOOKUP(DATOS_[[#This Row],[Clave de Contrato]],TblTiposContrato13[],4,0)</f>
        <v>#N/A</v>
      </c>
      <c r="CN719" s="141" t="str">
        <f aca="false">VLOOKUP(DATOS_[[#This Row],[Edad]],CONTRATOS!TblRngEdad,2,1)</f>
        <v>20  o menos</v>
      </c>
      <c r="CO719" s="141" t="str">
        <f aca="false">VLOOKUP(DATOS_[[#This Row],[Antigüedad]],TblRngAntg14[],2,1)</f>
        <v>0 a 1 años</v>
      </c>
    </row>
    <row r="720" customFormat="false" ht="13.8" hidden="false" customHeight="false" outlineLevel="0" collapsed="false">
      <c r="D720" s="128"/>
      <c r="E720" s="129"/>
      <c r="F720" s="129"/>
      <c r="G720" s="129"/>
      <c r="H720" s="130"/>
      <c r="I720" s="131"/>
      <c r="J720" s="128"/>
      <c r="K720" s="132"/>
      <c r="L720" s="132"/>
      <c r="M720" s="133"/>
      <c r="N720" s="133"/>
      <c r="O720" s="133"/>
      <c r="P720" s="129"/>
      <c r="Z720" s="75"/>
      <c r="AA720" s="76"/>
      <c r="AB720" s="76"/>
      <c r="AC720" s="129"/>
      <c r="AD720" s="134"/>
      <c r="AE720" s="134"/>
      <c r="AF720" s="134"/>
      <c r="AG720" s="134"/>
      <c r="AH720" s="134"/>
      <c r="AI720" s="134"/>
      <c r="AJ720" s="134"/>
      <c r="AK720" s="134"/>
      <c r="AL720" s="134"/>
      <c r="AM720" s="134"/>
      <c r="AN720" s="134"/>
      <c r="AO720" s="134"/>
      <c r="AP720" s="134"/>
      <c r="AQ720" s="134"/>
      <c r="AR720" s="134"/>
      <c r="AS720" s="134"/>
      <c r="AT720" s="134"/>
      <c r="AU720" s="134"/>
      <c r="AV720" s="134"/>
      <c r="AW720" s="134"/>
      <c r="AX720" s="134"/>
      <c r="AY720" s="134"/>
      <c r="AZ720" s="134"/>
      <c r="BA720" s="134"/>
      <c r="BB720" s="134"/>
      <c r="BC720" s="134"/>
      <c r="BD720" s="134"/>
      <c r="BE720" s="134"/>
      <c r="BF720" s="134"/>
      <c r="BG720" s="134"/>
      <c r="BH720" s="134"/>
      <c r="BI720" s="134"/>
      <c r="BJ720" s="134"/>
      <c r="BK720" s="134"/>
      <c r="BL720" s="134"/>
      <c r="BM720" s="135"/>
      <c r="BN720" s="136" t="n">
        <f aca="false">+MAX($D$3,DATOS_[[#This Row],[Fecha Inicio Sit. Contract.]])</f>
        <v>0</v>
      </c>
      <c r="BO720" s="136" t="n">
        <f aca="false">+MIN($D$4,DATOS_[[#This Row],[Fecha Fin Sit. Contract.]])</f>
        <v>0</v>
      </c>
      <c r="BP720" s="137" t="n">
        <f aca="false">+DATOS_[[#This Row],[% de jornada]]*IF(DATOS_[[#This Row],[% jornada reducida]]="",1,DATOS_[[#This Row],[% jornada reducida]])</f>
        <v>0</v>
      </c>
      <c r="BQ720" s="137" t="n">
        <f aca="false">+(DATOS_[[#This Row],[F.fin.cal]]-DATOS_[[#This Row],[F.ini.cal]]+1)/($D$4-$D$3+1)</f>
        <v>1</v>
      </c>
      <c r="BR720" s="137" t="str">
        <f aca="false">IF(OR(AND(DATOS_[[#This Row],[Fecha Fin Contrato]]&lt;$D$3,DATOS_[[#This Row],[Fecha Fin Contrato]]&lt;&gt;""),DATOS_[[#This Row],[Fecha de Contratación]]&gt;$D$4),"Fuera","Dentro")</f>
        <v>Dentro</v>
      </c>
      <c r="BS720" s="137" t="str">
        <f aca="false" t="array" ref="BS720:BS720">IF(MAX(IF(DATOS_[id]=DATOS_[[#This Row],[id]],DATOS_[F.fin.cal]))=DATOS_[[#This Row],[F.fin.cal]],"Sí","NO")</f>
        <v>Sí</v>
      </c>
      <c r="BT720" s="137" t="str">
        <f aca="false">IF(AND(DATOS_[[#This Row],[% normaliz]]&lt;&gt;1,DATOS_[[#This Row],[% anualiz]]=1),"Sí","NO")</f>
        <v>Sí</v>
      </c>
      <c r="BU720" s="137" t="str">
        <f aca="false">IF(AND(DATOS_[[#This Row],[% normaliz]]=1,DATOS_[[#This Row],[% anualiz]]&lt;&gt;1),"Sí","NO")</f>
        <v>NO</v>
      </c>
      <c r="BV720" s="137" t="str">
        <f aca="false">IF(AND(DATOS_[[#This Row],[% normaliz]]&lt;&gt;1,DATOS_[[#This Row],[% anualiz]]&lt;&gt;1),"Sí","NO")</f>
        <v>NO</v>
      </c>
      <c r="BW720" s="137" t="str">
        <f aca="false">+IF(DATOS_[[#This Row],[% normaliz]]*DATOS_[[#This Row],[% anualiz]]=1,"NO","Sí")</f>
        <v>Sí</v>
      </c>
      <c r="BX720" s="138" t="e">
        <f aca="false">(DATOS_[[#This Row],[S.BASE]]*(1/DATOS_[[#This Row],[% normaliz]])*(1/DATOS_[[#This Row],[% anualiz]]))*IF(DATOS_[[#This Row],[Check Equiparado]]="Sí",1,0)</f>
        <v>#DIV/0!</v>
      </c>
      <c r="BY7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0" s="138" t="e">
        <f aca="false">+DATOS_[[#This Row],[SALARIO BASE Eq]]+DATOS_[[#This Row],[Tot COMPL.SAL Eq]]</f>
        <v>#DIV/0!</v>
      </c>
      <c r="CA720" s="138" t="e">
        <f aca="false" t="array" ref="CA720:CA7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0" s="138" t="e">
        <f aca="false">+DATOS_[[#This Row],[TOTAL SALARIO Eq]]+DATOS_[[#This Row],[Tot Extrasalarial Eq]]</f>
        <v>#DIV/0!</v>
      </c>
      <c r="CC720" s="139" t="n">
        <f aca="false">DATOS_[[#This Row],[S.BASE]]</f>
        <v>0</v>
      </c>
      <c r="CD720" s="139" t="n">
        <f aca="false">+SUM(DATOS_[[#This Row],[Conc.Sal.01]:[Conc.Sal.30]])</f>
        <v>0</v>
      </c>
      <c r="CE720" s="139" t="n">
        <f aca="false">+DATOS_[[#This Row],[SALARIO BASE Ef]]+DATOS_[[#This Row],[Tot COMPL.SAL Ef]]</f>
        <v>0</v>
      </c>
      <c r="CF720" s="139" t="n">
        <f aca="false">+SUM(DATOS_[[#This Row],[C.Extra.01]:[C.Extra.05]])</f>
        <v>0</v>
      </c>
      <c r="CG720" s="139" t="n">
        <f aca="false">+DATOS_[[#This Row],[TOTAL SALARIO Ef]]+DATOS_[[#This Row],[Tot Extrasalarial Ef]]</f>
        <v>0</v>
      </c>
      <c r="CH720" s="140" t="n">
        <f aca="false">MIN(IF(DATOS_[[#This Row],[Fecha Fin Contrato]]="",$D$4,DATOS_[[#This Row],[Fecha Fin Contrato]]),$D$4)-MAX(DATOS_[[#This Row],[Fecha de Contratación]],$D$3)+1</f>
        <v>1</v>
      </c>
      <c r="CI720" s="141" t="str">
        <f aca="false">IF(COUNTIFS(DATOS_[id],DATOS_[[#This Row],[id]])&gt;1,DATOS_[[#This Row],[id]],"")</f>
        <v/>
      </c>
      <c r="CJ720" s="141" t="n">
        <f aca="false">(Inicio!$G$10-DATOS_[[#This Row],[Fecha Nacimiento]])/365.25</f>
        <v>0</v>
      </c>
      <c r="CK720" s="141" t="n">
        <f aca="false">(Inicio!$G$10-DATOS_[[#This Row],[Fecha de Antigüedad]])/365.25</f>
        <v>0</v>
      </c>
      <c r="CL720" s="141" t="e">
        <f aca="false">+VLOOKUP(DATOS_[[#This Row],[Clave de Contrato]],TblTiposContrato13[],3,0)</f>
        <v>#N/A</v>
      </c>
      <c r="CM720" s="141" t="e">
        <f aca="false">+VLOOKUP(DATOS_[[#This Row],[Clave de Contrato]],TblTiposContrato13[],4,0)</f>
        <v>#N/A</v>
      </c>
      <c r="CN720" s="141" t="str">
        <f aca="false">VLOOKUP(DATOS_[[#This Row],[Edad]],CONTRATOS!TblRngEdad,2,1)</f>
        <v>20  o menos</v>
      </c>
      <c r="CO720" s="141" t="str">
        <f aca="false">VLOOKUP(DATOS_[[#This Row],[Antigüedad]],TblRngAntg14[],2,1)</f>
        <v>0 a 1 años</v>
      </c>
    </row>
    <row r="721" customFormat="false" ht="13.8" hidden="false" customHeight="false" outlineLevel="0" collapsed="false">
      <c r="D721" s="128"/>
      <c r="E721" s="129"/>
      <c r="F721" s="129"/>
      <c r="G721" s="129"/>
      <c r="H721" s="130"/>
      <c r="I721" s="131"/>
      <c r="J721" s="128"/>
      <c r="K721" s="132"/>
      <c r="L721" s="132"/>
      <c r="M721" s="133"/>
      <c r="N721" s="133"/>
      <c r="O721" s="133"/>
      <c r="P721" s="129"/>
      <c r="Z721" s="75"/>
      <c r="AA721" s="76"/>
      <c r="AB721" s="76"/>
      <c r="AC721" s="129"/>
      <c r="AD721" s="134"/>
      <c r="AE721" s="134"/>
      <c r="AF721" s="134"/>
      <c r="AG721" s="134"/>
      <c r="AH721" s="134"/>
      <c r="AI721" s="134"/>
      <c r="AJ721" s="134"/>
      <c r="AK721" s="134"/>
      <c r="AL721" s="134"/>
      <c r="AM721" s="134"/>
      <c r="AN721" s="134"/>
      <c r="AO721" s="134"/>
      <c r="AP721" s="134"/>
      <c r="AQ721" s="134"/>
      <c r="AR721" s="134"/>
      <c r="AS721" s="134"/>
      <c r="AT721" s="134"/>
      <c r="AU721" s="134"/>
      <c r="AV721" s="134"/>
      <c r="AW721" s="134"/>
      <c r="AX721" s="134"/>
      <c r="AY721" s="134"/>
      <c r="AZ721" s="134"/>
      <c r="BA721" s="134"/>
      <c r="BB721" s="134"/>
      <c r="BC721" s="134"/>
      <c r="BD721" s="134"/>
      <c r="BE721" s="134"/>
      <c r="BF721" s="134"/>
      <c r="BG721" s="134"/>
      <c r="BH721" s="134"/>
      <c r="BI721" s="134"/>
      <c r="BJ721" s="134"/>
      <c r="BK721" s="134"/>
      <c r="BL721" s="134"/>
      <c r="BM721" s="135"/>
      <c r="BN721" s="136" t="n">
        <f aca="false">+MAX($D$3,DATOS_[[#This Row],[Fecha Inicio Sit. Contract.]])</f>
        <v>0</v>
      </c>
      <c r="BO721" s="136" t="n">
        <f aca="false">+MIN($D$4,DATOS_[[#This Row],[Fecha Fin Sit. Contract.]])</f>
        <v>0</v>
      </c>
      <c r="BP721" s="137" t="n">
        <f aca="false">+DATOS_[[#This Row],[% de jornada]]*IF(DATOS_[[#This Row],[% jornada reducida]]="",1,DATOS_[[#This Row],[% jornada reducida]])</f>
        <v>0</v>
      </c>
      <c r="BQ721" s="137" t="n">
        <f aca="false">+(DATOS_[[#This Row],[F.fin.cal]]-DATOS_[[#This Row],[F.ini.cal]]+1)/($D$4-$D$3+1)</f>
        <v>1</v>
      </c>
      <c r="BR721" s="137" t="str">
        <f aca="false">IF(OR(AND(DATOS_[[#This Row],[Fecha Fin Contrato]]&lt;$D$3,DATOS_[[#This Row],[Fecha Fin Contrato]]&lt;&gt;""),DATOS_[[#This Row],[Fecha de Contratación]]&gt;$D$4),"Fuera","Dentro")</f>
        <v>Dentro</v>
      </c>
      <c r="BS721" s="137" t="str">
        <f aca="false" t="array" ref="BS721:BS721">IF(MAX(IF(DATOS_[id]=DATOS_[[#This Row],[id]],DATOS_[F.fin.cal]))=DATOS_[[#This Row],[F.fin.cal]],"Sí","NO")</f>
        <v>Sí</v>
      </c>
      <c r="BT721" s="137" t="str">
        <f aca="false">IF(AND(DATOS_[[#This Row],[% normaliz]]&lt;&gt;1,DATOS_[[#This Row],[% anualiz]]=1),"Sí","NO")</f>
        <v>Sí</v>
      </c>
      <c r="BU721" s="137" t="str">
        <f aca="false">IF(AND(DATOS_[[#This Row],[% normaliz]]=1,DATOS_[[#This Row],[% anualiz]]&lt;&gt;1),"Sí","NO")</f>
        <v>NO</v>
      </c>
      <c r="BV721" s="137" t="str">
        <f aca="false">IF(AND(DATOS_[[#This Row],[% normaliz]]&lt;&gt;1,DATOS_[[#This Row],[% anualiz]]&lt;&gt;1),"Sí","NO")</f>
        <v>NO</v>
      </c>
      <c r="BW721" s="137" t="str">
        <f aca="false">+IF(DATOS_[[#This Row],[% normaliz]]*DATOS_[[#This Row],[% anualiz]]=1,"NO","Sí")</f>
        <v>Sí</v>
      </c>
      <c r="BX721" s="138" t="e">
        <f aca="false">(DATOS_[[#This Row],[S.BASE]]*(1/DATOS_[[#This Row],[% normaliz]])*(1/DATOS_[[#This Row],[% anualiz]]))*IF(DATOS_[[#This Row],[Check Equiparado]]="Sí",1,0)</f>
        <v>#DIV/0!</v>
      </c>
      <c r="BY7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1" s="138" t="e">
        <f aca="false">+DATOS_[[#This Row],[SALARIO BASE Eq]]+DATOS_[[#This Row],[Tot COMPL.SAL Eq]]</f>
        <v>#DIV/0!</v>
      </c>
      <c r="CA721" s="138" t="e">
        <f aca="false" t="array" ref="CA721:CA7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1" s="138" t="e">
        <f aca="false">+DATOS_[[#This Row],[TOTAL SALARIO Eq]]+DATOS_[[#This Row],[Tot Extrasalarial Eq]]</f>
        <v>#DIV/0!</v>
      </c>
      <c r="CC721" s="139" t="n">
        <f aca="false">DATOS_[[#This Row],[S.BASE]]</f>
        <v>0</v>
      </c>
      <c r="CD721" s="139" t="n">
        <f aca="false">+SUM(DATOS_[[#This Row],[Conc.Sal.01]:[Conc.Sal.30]])</f>
        <v>0</v>
      </c>
      <c r="CE721" s="139" t="n">
        <f aca="false">+DATOS_[[#This Row],[SALARIO BASE Ef]]+DATOS_[[#This Row],[Tot COMPL.SAL Ef]]</f>
        <v>0</v>
      </c>
      <c r="CF721" s="139" t="n">
        <f aca="false">+SUM(DATOS_[[#This Row],[C.Extra.01]:[C.Extra.05]])</f>
        <v>0</v>
      </c>
      <c r="CG721" s="139" t="n">
        <f aca="false">+DATOS_[[#This Row],[TOTAL SALARIO Ef]]+DATOS_[[#This Row],[Tot Extrasalarial Ef]]</f>
        <v>0</v>
      </c>
      <c r="CH721" s="140" t="n">
        <f aca="false">MIN(IF(DATOS_[[#This Row],[Fecha Fin Contrato]]="",$D$4,DATOS_[[#This Row],[Fecha Fin Contrato]]),$D$4)-MAX(DATOS_[[#This Row],[Fecha de Contratación]],$D$3)+1</f>
        <v>1</v>
      </c>
      <c r="CI721" s="141" t="str">
        <f aca="false">IF(COUNTIFS(DATOS_[id],DATOS_[[#This Row],[id]])&gt;1,DATOS_[[#This Row],[id]],"")</f>
        <v/>
      </c>
      <c r="CJ721" s="141" t="n">
        <f aca="false">(Inicio!$G$10-DATOS_[[#This Row],[Fecha Nacimiento]])/365.25</f>
        <v>0</v>
      </c>
      <c r="CK721" s="141" t="n">
        <f aca="false">(Inicio!$G$10-DATOS_[[#This Row],[Fecha de Antigüedad]])/365.25</f>
        <v>0</v>
      </c>
      <c r="CL721" s="141" t="e">
        <f aca="false">+VLOOKUP(DATOS_[[#This Row],[Clave de Contrato]],TblTiposContrato13[],3,0)</f>
        <v>#N/A</v>
      </c>
      <c r="CM721" s="141" t="e">
        <f aca="false">+VLOOKUP(DATOS_[[#This Row],[Clave de Contrato]],TblTiposContrato13[],4,0)</f>
        <v>#N/A</v>
      </c>
      <c r="CN721" s="141" t="str">
        <f aca="false">VLOOKUP(DATOS_[[#This Row],[Edad]],CONTRATOS!TblRngEdad,2,1)</f>
        <v>20  o menos</v>
      </c>
      <c r="CO721" s="141" t="str">
        <f aca="false">VLOOKUP(DATOS_[[#This Row],[Antigüedad]],TblRngAntg14[],2,1)</f>
        <v>0 a 1 años</v>
      </c>
    </row>
    <row r="722" customFormat="false" ht="13.8" hidden="false" customHeight="false" outlineLevel="0" collapsed="false">
      <c r="D722" s="128"/>
      <c r="E722" s="129"/>
      <c r="F722" s="129"/>
      <c r="G722" s="129"/>
      <c r="H722" s="130"/>
      <c r="I722" s="131"/>
      <c r="J722" s="128"/>
      <c r="K722" s="132"/>
      <c r="L722" s="132"/>
      <c r="M722" s="133"/>
      <c r="N722" s="133"/>
      <c r="O722" s="133"/>
      <c r="P722" s="129"/>
      <c r="Z722" s="75"/>
      <c r="AA722" s="76"/>
      <c r="AB722" s="76"/>
      <c r="AC722" s="129"/>
      <c r="AD722" s="134"/>
      <c r="AE722" s="134"/>
      <c r="AF722" s="134"/>
      <c r="AG722" s="134"/>
      <c r="AH722" s="134"/>
      <c r="AI722" s="134"/>
      <c r="AJ722" s="134"/>
      <c r="AK722" s="134"/>
      <c r="AL722" s="134"/>
      <c r="AM722" s="134"/>
      <c r="AN722" s="134"/>
      <c r="AO722" s="134"/>
      <c r="AP722" s="134"/>
      <c r="AQ722" s="134"/>
      <c r="AR722" s="134"/>
      <c r="AS722" s="134"/>
      <c r="AT722" s="134"/>
      <c r="AU722" s="134"/>
      <c r="AV722" s="134"/>
      <c r="AW722" s="134"/>
      <c r="AX722" s="134"/>
      <c r="AY722" s="134"/>
      <c r="AZ722" s="134"/>
      <c r="BA722" s="134"/>
      <c r="BB722" s="134"/>
      <c r="BC722" s="134"/>
      <c r="BD722" s="134"/>
      <c r="BE722" s="134"/>
      <c r="BF722" s="134"/>
      <c r="BG722" s="134"/>
      <c r="BH722" s="134"/>
      <c r="BI722" s="134"/>
      <c r="BJ722" s="134"/>
      <c r="BK722" s="134"/>
      <c r="BL722" s="134"/>
      <c r="BM722" s="135"/>
      <c r="BN722" s="136" t="n">
        <f aca="false">+MAX($D$3,DATOS_[[#This Row],[Fecha Inicio Sit. Contract.]])</f>
        <v>0</v>
      </c>
      <c r="BO722" s="136" t="n">
        <f aca="false">+MIN($D$4,DATOS_[[#This Row],[Fecha Fin Sit. Contract.]])</f>
        <v>0</v>
      </c>
      <c r="BP722" s="137" t="n">
        <f aca="false">+DATOS_[[#This Row],[% de jornada]]*IF(DATOS_[[#This Row],[% jornada reducida]]="",1,DATOS_[[#This Row],[% jornada reducida]])</f>
        <v>0</v>
      </c>
      <c r="BQ722" s="137" t="n">
        <f aca="false">+(DATOS_[[#This Row],[F.fin.cal]]-DATOS_[[#This Row],[F.ini.cal]]+1)/($D$4-$D$3+1)</f>
        <v>1</v>
      </c>
      <c r="BR722" s="137" t="str">
        <f aca="false">IF(OR(AND(DATOS_[[#This Row],[Fecha Fin Contrato]]&lt;$D$3,DATOS_[[#This Row],[Fecha Fin Contrato]]&lt;&gt;""),DATOS_[[#This Row],[Fecha de Contratación]]&gt;$D$4),"Fuera","Dentro")</f>
        <v>Dentro</v>
      </c>
      <c r="BS722" s="137" t="str">
        <f aca="false" t="array" ref="BS722:BS722">IF(MAX(IF(DATOS_[id]=DATOS_[[#This Row],[id]],DATOS_[F.fin.cal]))=DATOS_[[#This Row],[F.fin.cal]],"Sí","NO")</f>
        <v>Sí</v>
      </c>
      <c r="BT722" s="137" t="str">
        <f aca="false">IF(AND(DATOS_[[#This Row],[% normaliz]]&lt;&gt;1,DATOS_[[#This Row],[% anualiz]]=1),"Sí","NO")</f>
        <v>Sí</v>
      </c>
      <c r="BU722" s="137" t="str">
        <f aca="false">IF(AND(DATOS_[[#This Row],[% normaliz]]=1,DATOS_[[#This Row],[% anualiz]]&lt;&gt;1),"Sí","NO")</f>
        <v>NO</v>
      </c>
      <c r="BV722" s="137" t="str">
        <f aca="false">IF(AND(DATOS_[[#This Row],[% normaliz]]&lt;&gt;1,DATOS_[[#This Row],[% anualiz]]&lt;&gt;1),"Sí","NO")</f>
        <v>NO</v>
      </c>
      <c r="BW722" s="137" t="str">
        <f aca="false">+IF(DATOS_[[#This Row],[% normaliz]]*DATOS_[[#This Row],[% anualiz]]=1,"NO","Sí")</f>
        <v>Sí</v>
      </c>
      <c r="BX722" s="138" t="e">
        <f aca="false">(DATOS_[[#This Row],[S.BASE]]*(1/DATOS_[[#This Row],[% normaliz]])*(1/DATOS_[[#This Row],[% anualiz]]))*IF(DATOS_[[#This Row],[Check Equiparado]]="Sí",1,0)</f>
        <v>#DIV/0!</v>
      </c>
      <c r="BY7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2" s="138" t="e">
        <f aca="false">+DATOS_[[#This Row],[SALARIO BASE Eq]]+DATOS_[[#This Row],[Tot COMPL.SAL Eq]]</f>
        <v>#DIV/0!</v>
      </c>
      <c r="CA722" s="138" t="e">
        <f aca="false" t="array" ref="CA722:CA7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2" s="138" t="e">
        <f aca="false">+DATOS_[[#This Row],[TOTAL SALARIO Eq]]+DATOS_[[#This Row],[Tot Extrasalarial Eq]]</f>
        <v>#DIV/0!</v>
      </c>
      <c r="CC722" s="139" t="n">
        <f aca="false">DATOS_[[#This Row],[S.BASE]]</f>
        <v>0</v>
      </c>
      <c r="CD722" s="139" t="n">
        <f aca="false">+SUM(DATOS_[[#This Row],[Conc.Sal.01]:[Conc.Sal.30]])</f>
        <v>0</v>
      </c>
      <c r="CE722" s="139" t="n">
        <f aca="false">+DATOS_[[#This Row],[SALARIO BASE Ef]]+DATOS_[[#This Row],[Tot COMPL.SAL Ef]]</f>
        <v>0</v>
      </c>
      <c r="CF722" s="139" t="n">
        <f aca="false">+SUM(DATOS_[[#This Row],[C.Extra.01]:[C.Extra.05]])</f>
        <v>0</v>
      </c>
      <c r="CG722" s="139" t="n">
        <f aca="false">+DATOS_[[#This Row],[TOTAL SALARIO Ef]]+DATOS_[[#This Row],[Tot Extrasalarial Ef]]</f>
        <v>0</v>
      </c>
      <c r="CH722" s="140" t="n">
        <f aca="false">MIN(IF(DATOS_[[#This Row],[Fecha Fin Contrato]]="",$D$4,DATOS_[[#This Row],[Fecha Fin Contrato]]),$D$4)-MAX(DATOS_[[#This Row],[Fecha de Contratación]],$D$3)+1</f>
        <v>1</v>
      </c>
      <c r="CI722" s="141" t="str">
        <f aca="false">IF(COUNTIFS(DATOS_[id],DATOS_[[#This Row],[id]])&gt;1,DATOS_[[#This Row],[id]],"")</f>
        <v/>
      </c>
      <c r="CJ722" s="141" t="n">
        <f aca="false">(Inicio!$G$10-DATOS_[[#This Row],[Fecha Nacimiento]])/365.25</f>
        <v>0</v>
      </c>
      <c r="CK722" s="141" t="n">
        <f aca="false">(Inicio!$G$10-DATOS_[[#This Row],[Fecha de Antigüedad]])/365.25</f>
        <v>0</v>
      </c>
      <c r="CL722" s="141" t="e">
        <f aca="false">+VLOOKUP(DATOS_[[#This Row],[Clave de Contrato]],TblTiposContrato13[],3,0)</f>
        <v>#N/A</v>
      </c>
      <c r="CM722" s="141" t="e">
        <f aca="false">+VLOOKUP(DATOS_[[#This Row],[Clave de Contrato]],TblTiposContrato13[],4,0)</f>
        <v>#N/A</v>
      </c>
      <c r="CN722" s="141" t="str">
        <f aca="false">VLOOKUP(DATOS_[[#This Row],[Edad]],CONTRATOS!TblRngEdad,2,1)</f>
        <v>20  o menos</v>
      </c>
      <c r="CO722" s="141" t="str">
        <f aca="false">VLOOKUP(DATOS_[[#This Row],[Antigüedad]],TblRngAntg14[],2,1)</f>
        <v>0 a 1 años</v>
      </c>
    </row>
    <row r="723" customFormat="false" ht="13.8" hidden="false" customHeight="false" outlineLevel="0" collapsed="false">
      <c r="D723" s="128"/>
      <c r="E723" s="129"/>
      <c r="F723" s="129"/>
      <c r="G723" s="129"/>
      <c r="H723" s="130"/>
      <c r="I723" s="131"/>
      <c r="J723" s="128"/>
      <c r="K723" s="132"/>
      <c r="L723" s="132"/>
      <c r="M723" s="133"/>
      <c r="N723" s="133"/>
      <c r="O723" s="133"/>
      <c r="P723" s="129"/>
      <c r="Z723" s="75"/>
      <c r="AA723" s="76"/>
      <c r="AB723" s="76"/>
      <c r="AC723" s="129"/>
      <c r="AD723" s="134"/>
      <c r="AE723" s="134"/>
      <c r="AF723" s="134"/>
      <c r="AG723" s="134"/>
      <c r="AH723" s="134"/>
      <c r="AI723" s="134"/>
      <c r="AJ723" s="134"/>
      <c r="AK723" s="134"/>
      <c r="AL723" s="134"/>
      <c r="AM723" s="134"/>
      <c r="AN723" s="134"/>
      <c r="AO723" s="134"/>
      <c r="AP723" s="134"/>
      <c r="AQ723" s="134"/>
      <c r="AR723" s="134"/>
      <c r="AS723" s="134"/>
      <c r="AT723" s="134"/>
      <c r="AU723" s="134"/>
      <c r="AV723" s="134"/>
      <c r="AW723" s="134"/>
      <c r="AX723" s="134"/>
      <c r="AY723" s="134"/>
      <c r="AZ723" s="134"/>
      <c r="BA723" s="134"/>
      <c r="BB723" s="134"/>
      <c r="BC723" s="134"/>
      <c r="BD723" s="134"/>
      <c r="BE723" s="134"/>
      <c r="BF723" s="134"/>
      <c r="BG723" s="134"/>
      <c r="BH723" s="134"/>
      <c r="BI723" s="134"/>
      <c r="BJ723" s="134"/>
      <c r="BK723" s="134"/>
      <c r="BL723" s="134"/>
      <c r="BM723" s="135"/>
      <c r="BN723" s="136" t="n">
        <f aca="false">+MAX($D$3,DATOS_[[#This Row],[Fecha Inicio Sit. Contract.]])</f>
        <v>0</v>
      </c>
      <c r="BO723" s="136" t="n">
        <f aca="false">+MIN($D$4,DATOS_[[#This Row],[Fecha Fin Sit. Contract.]])</f>
        <v>0</v>
      </c>
      <c r="BP723" s="137" t="n">
        <f aca="false">+DATOS_[[#This Row],[% de jornada]]*IF(DATOS_[[#This Row],[% jornada reducida]]="",1,DATOS_[[#This Row],[% jornada reducida]])</f>
        <v>0</v>
      </c>
      <c r="BQ723" s="137" t="n">
        <f aca="false">+(DATOS_[[#This Row],[F.fin.cal]]-DATOS_[[#This Row],[F.ini.cal]]+1)/($D$4-$D$3+1)</f>
        <v>1</v>
      </c>
      <c r="BR723" s="137" t="str">
        <f aca="false">IF(OR(AND(DATOS_[[#This Row],[Fecha Fin Contrato]]&lt;$D$3,DATOS_[[#This Row],[Fecha Fin Contrato]]&lt;&gt;""),DATOS_[[#This Row],[Fecha de Contratación]]&gt;$D$4),"Fuera","Dentro")</f>
        <v>Dentro</v>
      </c>
      <c r="BS723" s="137" t="str">
        <f aca="false" t="array" ref="BS723:BS723">IF(MAX(IF(DATOS_[id]=DATOS_[[#This Row],[id]],DATOS_[F.fin.cal]))=DATOS_[[#This Row],[F.fin.cal]],"Sí","NO")</f>
        <v>Sí</v>
      </c>
      <c r="BT723" s="137" t="str">
        <f aca="false">IF(AND(DATOS_[[#This Row],[% normaliz]]&lt;&gt;1,DATOS_[[#This Row],[% anualiz]]=1),"Sí","NO")</f>
        <v>Sí</v>
      </c>
      <c r="BU723" s="137" t="str">
        <f aca="false">IF(AND(DATOS_[[#This Row],[% normaliz]]=1,DATOS_[[#This Row],[% anualiz]]&lt;&gt;1),"Sí","NO")</f>
        <v>NO</v>
      </c>
      <c r="BV723" s="137" t="str">
        <f aca="false">IF(AND(DATOS_[[#This Row],[% normaliz]]&lt;&gt;1,DATOS_[[#This Row],[% anualiz]]&lt;&gt;1),"Sí","NO")</f>
        <v>NO</v>
      </c>
      <c r="BW723" s="137" t="str">
        <f aca="false">+IF(DATOS_[[#This Row],[% normaliz]]*DATOS_[[#This Row],[% anualiz]]=1,"NO","Sí")</f>
        <v>Sí</v>
      </c>
      <c r="BX723" s="138" t="e">
        <f aca="false">(DATOS_[[#This Row],[S.BASE]]*(1/DATOS_[[#This Row],[% normaliz]])*(1/DATOS_[[#This Row],[% anualiz]]))*IF(DATOS_[[#This Row],[Check Equiparado]]="Sí",1,0)</f>
        <v>#DIV/0!</v>
      </c>
      <c r="BY7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3" s="138" t="e">
        <f aca="false">+DATOS_[[#This Row],[SALARIO BASE Eq]]+DATOS_[[#This Row],[Tot COMPL.SAL Eq]]</f>
        <v>#DIV/0!</v>
      </c>
      <c r="CA723" s="138" t="e">
        <f aca="false" t="array" ref="CA723:CA7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3" s="138" t="e">
        <f aca="false">+DATOS_[[#This Row],[TOTAL SALARIO Eq]]+DATOS_[[#This Row],[Tot Extrasalarial Eq]]</f>
        <v>#DIV/0!</v>
      </c>
      <c r="CC723" s="139" t="n">
        <f aca="false">DATOS_[[#This Row],[S.BASE]]</f>
        <v>0</v>
      </c>
      <c r="CD723" s="139" t="n">
        <f aca="false">+SUM(DATOS_[[#This Row],[Conc.Sal.01]:[Conc.Sal.30]])</f>
        <v>0</v>
      </c>
      <c r="CE723" s="139" t="n">
        <f aca="false">+DATOS_[[#This Row],[SALARIO BASE Ef]]+DATOS_[[#This Row],[Tot COMPL.SAL Ef]]</f>
        <v>0</v>
      </c>
      <c r="CF723" s="139" t="n">
        <f aca="false">+SUM(DATOS_[[#This Row],[C.Extra.01]:[C.Extra.05]])</f>
        <v>0</v>
      </c>
      <c r="CG723" s="139" t="n">
        <f aca="false">+DATOS_[[#This Row],[TOTAL SALARIO Ef]]+DATOS_[[#This Row],[Tot Extrasalarial Ef]]</f>
        <v>0</v>
      </c>
      <c r="CH723" s="140" t="n">
        <f aca="false">MIN(IF(DATOS_[[#This Row],[Fecha Fin Contrato]]="",$D$4,DATOS_[[#This Row],[Fecha Fin Contrato]]),$D$4)-MAX(DATOS_[[#This Row],[Fecha de Contratación]],$D$3)+1</f>
        <v>1</v>
      </c>
      <c r="CI723" s="141" t="str">
        <f aca="false">IF(COUNTIFS(DATOS_[id],DATOS_[[#This Row],[id]])&gt;1,DATOS_[[#This Row],[id]],"")</f>
        <v/>
      </c>
      <c r="CJ723" s="141" t="n">
        <f aca="false">(Inicio!$G$10-DATOS_[[#This Row],[Fecha Nacimiento]])/365.25</f>
        <v>0</v>
      </c>
      <c r="CK723" s="141" t="n">
        <f aca="false">(Inicio!$G$10-DATOS_[[#This Row],[Fecha de Antigüedad]])/365.25</f>
        <v>0</v>
      </c>
      <c r="CL723" s="141" t="e">
        <f aca="false">+VLOOKUP(DATOS_[[#This Row],[Clave de Contrato]],TblTiposContrato13[],3,0)</f>
        <v>#N/A</v>
      </c>
      <c r="CM723" s="141" t="e">
        <f aca="false">+VLOOKUP(DATOS_[[#This Row],[Clave de Contrato]],TblTiposContrato13[],4,0)</f>
        <v>#N/A</v>
      </c>
      <c r="CN723" s="141" t="str">
        <f aca="false">VLOOKUP(DATOS_[[#This Row],[Edad]],CONTRATOS!TblRngEdad,2,1)</f>
        <v>20  o menos</v>
      </c>
      <c r="CO723" s="141" t="str">
        <f aca="false">VLOOKUP(DATOS_[[#This Row],[Antigüedad]],TblRngAntg14[],2,1)</f>
        <v>0 a 1 años</v>
      </c>
    </row>
    <row r="724" customFormat="false" ht="13.8" hidden="false" customHeight="false" outlineLevel="0" collapsed="false">
      <c r="D724" s="128"/>
      <c r="E724" s="129"/>
      <c r="F724" s="129"/>
      <c r="G724" s="129"/>
      <c r="H724" s="130"/>
      <c r="I724" s="131"/>
      <c r="J724" s="128"/>
      <c r="K724" s="132"/>
      <c r="L724" s="132"/>
      <c r="M724" s="133"/>
      <c r="N724" s="133"/>
      <c r="O724" s="133"/>
      <c r="P724" s="129"/>
      <c r="Z724" s="75"/>
      <c r="AA724" s="76"/>
      <c r="AB724" s="76"/>
      <c r="AC724" s="129"/>
      <c r="AD724" s="134"/>
      <c r="AE724" s="134"/>
      <c r="AF724" s="134"/>
      <c r="AG724" s="134"/>
      <c r="AH724" s="134"/>
      <c r="AI724" s="134"/>
      <c r="AJ724" s="134"/>
      <c r="AK724" s="134"/>
      <c r="AL724" s="134"/>
      <c r="AM724" s="134"/>
      <c r="AN724" s="134"/>
      <c r="AO724" s="134"/>
      <c r="AP724" s="134"/>
      <c r="AQ724" s="134"/>
      <c r="AR724" s="134"/>
      <c r="AS724" s="134"/>
      <c r="AT724" s="134"/>
      <c r="AU724" s="134"/>
      <c r="AV724" s="134"/>
      <c r="AW724" s="134"/>
      <c r="AX724" s="134"/>
      <c r="AY724" s="134"/>
      <c r="AZ724" s="134"/>
      <c r="BA724" s="134"/>
      <c r="BB724" s="134"/>
      <c r="BC724" s="134"/>
      <c r="BD724" s="134"/>
      <c r="BE724" s="134"/>
      <c r="BF724" s="134"/>
      <c r="BG724" s="134"/>
      <c r="BH724" s="134"/>
      <c r="BI724" s="134"/>
      <c r="BJ724" s="134"/>
      <c r="BK724" s="134"/>
      <c r="BL724" s="134"/>
      <c r="BM724" s="135"/>
      <c r="BN724" s="136" t="n">
        <f aca="false">+MAX($D$3,DATOS_[[#This Row],[Fecha Inicio Sit. Contract.]])</f>
        <v>0</v>
      </c>
      <c r="BO724" s="136" t="n">
        <f aca="false">+MIN($D$4,DATOS_[[#This Row],[Fecha Fin Sit. Contract.]])</f>
        <v>0</v>
      </c>
      <c r="BP724" s="137" t="n">
        <f aca="false">+DATOS_[[#This Row],[% de jornada]]*IF(DATOS_[[#This Row],[% jornada reducida]]="",1,DATOS_[[#This Row],[% jornada reducida]])</f>
        <v>0</v>
      </c>
      <c r="BQ724" s="137" t="n">
        <f aca="false">+(DATOS_[[#This Row],[F.fin.cal]]-DATOS_[[#This Row],[F.ini.cal]]+1)/($D$4-$D$3+1)</f>
        <v>1</v>
      </c>
      <c r="BR724" s="137" t="str">
        <f aca="false">IF(OR(AND(DATOS_[[#This Row],[Fecha Fin Contrato]]&lt;$D$3,DATOS_[[#This Row],[Fecha Fin Contrato]]&lt;&gt;""),DATOS_[[#This Row],[Fecha de Contratación]]&gt;$D$4),"Fuera","Dentro")</f>
        <v>Dentro</v>
      </c>
      <c r="BS724" s="137" t="str">
        <f aca="false" t="array" ref="BS724:BS724">IF(MAX(IF(DATOS_[id]=DATOS_[[#This Row],[id]],DATOS_[F.fin.cal]))=DATOS_[[#This Row],[F.fin.cal]],"Sí","NO")</f>
        <v>Sí</v>
      </c>
      <c r="BT724" s="137" t="str">
        <f aca="false">IF(AND(DATOS_[[#This Row],[% normaliz]]&lt;&gt;1,DATOS_[[#This Row],[% anualiz]]=1),"Sí","NO")</f>
        <v>Sí</v>
      </c>
      <c r="BU724" s="137" t="str">
        <f aca="false">IF(AND(DATOS_[[#This Row],[% normaliz]]=1,DATOS_[[#This Row],[% anualiz]]&lt;&gt;1),"Sí","NO")</f>
        <v>NO</v>
      </c>
      <c r="BV724" s="137" t="str">
        <f aca="false">IF(AND(DATOS_[[#This Row],[% normaliz]]&lt;&gt;1,DATOS_[[#This Row],[% anualiz]]&lt;&gt;1),"Sí","NO")</f>
        <v>NO</v>
      </c>
      <c r="BW724" s="137" t="str">
        <f aca="false">+IF(DATOS_[[#This Row],[% normaliz]]*DATOS_[[#This Row],[% anualiz]]=1,"NO","Sí")</f>
        <v>Sí</v>
      </c>
      <c r="BX724" s="138" t="e">
        <f aca="false">(DATOS_[[#This Row],[S.BASE]]*(1/DATOS_[[#This Row],[% normaliz]])*(1/DATOS_[[#This Row],[% anualiz]]))*IF(DATOS_[[#This Row],[Check Equiparado]]="Sí",1,0)</f>
        <v>#DIV/0!</v>
      </c>
      <c r="BY7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4" s="138" t="e">
        <f aca="false">+DATOS_[[#This Row],[SALARIO BASE Eq]]+DATOS_[[#This Row],[Tot COMPL.SAL Eq]]</f>
        <v>#DIV/0!</v>
      </c>
      <c r="CA724" s="138" t="e">
        <f aca="false" t="array" ref="CA724:CA7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4" s="138" t="e">
        <f aca="false">+DATOS_[[#This Row],[TOTAL SALARIO Eq]]+DATOS_[[#This Row],[Tot Extrasalarial Eq]]</f>
        <v>#DIV/0!</v>
      </c>
      <c r="CC724" s="139" t="n">
        <f aca="false">DATOS_[[#This Row],[S.BASE]]</f>
        <v>0</v>
      </c>
      <c r="CD724" s="139" t="n">
        <f aca="false">+SUM(DATOS_[[#This Row],[Conc.Sal.01]:[Conc.Sal.30]])</f>
        <v>0</v>
      </c>
      <c r="CE724" s="139" t="n">
        <f aca="false">+DATOS_[[#This Row],[SALARIO BASE Ef]]+DATOS_[[#This Row],[Tot COMPL.SAL Ef]]</f>
        <v>0</v>
      </c>
      <c r="CF724" s="139" t="n">
        <f aca="false">+SUM(DATOS_[[#This Row],[C.Extra.01]:[C.Extra.05]])</f>
        <v>0</v>
      </c>
      <c r="CG724" s="139" t="n">
        <f aca="false">+DATOS_[[#This Row],[TOTAL SALARIO Ef]]+DATOS_[[#This Row],[Tot Extrasalarial Ef]]</f>
        <v>0</v>
      </c>
      <c r="CH724" s="140" t="n">
        <f aca="false">MIN(IF(DATOS_[[#This Row],[Fecha Fin Contrato]]="",$D$4,DATOS_[[#This Row],[Fecha Fin Contrato]]),$D$4)-MAX(DATOS_[[#This Row],[Fecha de Contratación]],$D$3)+1</f>
        <v>1</v>
      </c>
      <c r="CI724" s="141" t="str">
        <f aca="false">IF(COUNTIFS(DATOS_[id],DATOS_[[#This Row],[id]])&gt;1,DATOS_[[#This Row],[id]],"")</f>
        <v/>
      </c>
      <c r="CJ724" s="141" t="n">
        <f aca="false">(Inicio!$G$10-DATOS_[[#This Row],[Fecha Nacimiento]])/365.25</f>
        <v>0</v>
      </c>
      <c r="CK724" s="141" t="n">
        <f aca="false">(Inicio!$G$10-DATOS_[[#This Row],[Fecha de Antigüedad]])/365.25</f>
        <v>0</v>
      </c>
      <c r="CL724" s="141" t="e">
        <f aca="false">+VLOOKUP(DATOS_[[#This Row],[Clave de Contrato]],TblTiposContrato13[],3,0)</f>
        <v>#N/A</v>
      </c>
      <c r="CM724" s="141" t="e">
        <f aca="false">+VLOOKUP(DATOS_[[#This Row],[Clave de Contrato]],TblTiposContrato13[],4,0)</f>
        <v>#N/A</v>
      </c>
      <c r="CN724" s="141" t="str">
        <f aca="false">VLOOKUP(DATOS_[[#This Row],[Edad]],CONTRATOS!TblRngEdad,2,1)</f>
        <v>20  o menos</v>
      </c>
      <c r="CO724" s="141" t="str">
        <f aca="false">VLOOKUP(DATOS_[[#This Row],[Antigüedad]],TblRngAntg14[],2,1)</f>
        <v>0 a 1 años</v>
      </c>
    </row>
    <row r="725" customFormat="false" ht="13.8" hidden="false" customHeight="false" outlineLevel="0" collapsed="false">
      <c r="D725" s="128"/>
      <c r="E725" s="129"/>
      <c r="F725" s="129"/>
      <c r="G725" s="129"/>
      <c r="H725" s="130"/>
      <c r="I725" s="131"/>
      <c r="J725" s="128"/>
      <c r="K725" s="132"/>
      <c r="L725" s="132"/>
      <c r="M725" s="133"/>
      <c r="N725" s="133"/>
      <c r="O725" s="133"/>
      <c r="P725" s="129"/>
      <c r="Z725" s="75"/>
      <c r="AA725" s="76"/>
      <c r="AB725" s="76"/>
      <c r="AC725" s="129"/>
      <c r="AD725" s="134"/>
      <c r="AE725" s="134"/>
      <c r="AF725" s="134"/>
      <c r="AG725" s="134"/>
      <c r="AH725" s="134"/>
      <c r="AI725" s="134"/>
      <c r="AJ725" s="134"/>
      <c r="AK725" s="134"/>
      <c r="AL725" s="134"/>
      <c r="AM725" s="134"/>
      <c r="AN725" s="134"/>
      <c r="AO725" s="134"/>
      <c r="AP725" s="134"/>
      <c r="AQ725" s="134"/>
      <c r="AR725" s="134"/>
      <c r="AS725" s="134"/>
      <c r="AT725" s="134"/>
      <c r="AU725" s="134"/>
      <c r="AV725" s="134"/>
      <c r="AW725" s="134"/>
      <c r="AX725" s="134"/>
      <c r="AY725" s="134"/>
      <c r="AZ725" s="134"/>
      <c r="BA725" s="134"/>
      <c r="BB725" s="134"/>
      <c r="BC725" s="134"/>
      <c r="BD725" s="134"/>
      <c r="BE725" s="134"/>
      <c r="BF725" s="134"/>
      <c r="BG725" s="134"/>
      <c r="BH725" s="134"/>
      <c r="BI725" s="134"/>
      <c r="BJ725" s="134"/>
      <c r="BK725" s="134"/>
      <c r="BL725" s="134"/>
      <c r="BM725" s="135"/>
      <c r="BN725" s="136" t="n">
        <f aca="false">+MAX($D$3,DATOS_[[#This Row],[Fecha Inicio Sit. Contract.]])</f>
        <v>0</v>
      </c>
      <c r="BO725" s="136" t="n">
        <f aca="false">+MIN($D$4,DATOS_[[#This Row],[Fecha Fin Sit. Contract.]])</f>
        <v>0</v>
      </c>
      <c r="BP725" s="137" t="n">
        <f aca="false">+DATOS_[[#This Row],[% de jornada]]*IF(DATOS_[[#This Row],[% jornada reducida]]="",1,DATOS_[[#This Row],[% jornada reducida]])</f>
        <v>0</v>
      </c>
      <c r="BQ725" s="137" t="n">
        <f aca="false">+(DATOS_[[#This Row],[F.fin.cal]]-DATOS_[[#This Row],[F.ini.cal]]+1)/($D$4-$D$3+1)</f>
        <v>1</v>
      </c>
      <c r="BR725" s="137" t="str">
        <f aca="false">IF(OR(AND(DATOS_[[#This Row],[Fecha Fin Contrato]]&lt;$D$3,DATOS_[[#This Row],[Fecha Fin Contrato]]&lt;&gt;""),DATOS_[[#This Row],[Fecha de Contratación]]&gt;$D$4),"Fuera","Dentro")</f>
        <v>Dentro</v>
      </c>
      <c r="BS725" s="137" t="str">
        <f aca="false" t="array" ref="BS725:BS725">IF(MAX(IF(DATOS_[id]=DATOS_[[#This Row],[id]],DATOS_[F.fin.cal]))=DATOS_[[#This Row],[F.fin.cal]],"Sí","NO")</f>
        <v>Sí</v>
      </c>
      <c r="BT725" s="137" t="str">
        <f aca="false">IF(AND(DATOS_[[#This Row],[% normaliz]]&lt;&gt;1,DATOS_[[#This Row],[% anualiz]]=1),"Sí","NO")</f>
        <v>Sí</v>
      </c>
      <c r="BU725" s="137" t="str">
        <f aca="false">IF(AND(DATOS_[[#This Row],[% normaliz]]=1,DATOS_[[#This Row],[% anualiz]]&lt;&gt;1),"Sí","NO")</f>
        <v>NO</v>
      </c>
      <c r="BV725" s="137" t="str">
        <f aca="false">IF(AND(DATOS_[[#This Row],[% normaliz]]&lt;&gt;1,DATOS_[[#This Row],[% anualiz]]&lt;&gt;1),"Sí","NO")</f>
        <v>NO</v>
      </c>
      <c r="BW725" s="137" t="str">
        <f aca="false">+IF(DATOS_[[#This Row],[% normaliz]]*DATOS_[[#This Row],[% anualiz]]=1,"NO","Sí")</f>
        <v>Sí</v>
      </c>
      <c r="BX725" s="138" t="e">
        <f aca="false">(DATOS_[[#This Row],[S.BASE]]*(1/DATOS_[[#This Row],[% normaliz]])*(1/DATOS_[[#This Row],[% anualiz]]))*IF(DATOS_[[#This Row],[Check Equiparado]]="Sí",1,0)</f>
        <v>#DIV/0!</v>
      </c>
      <c r="BY7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5" s="138" t="e">
        <f aca="false">+DATOS_[[#This Row],[SALARIO BASE Eq]]+DATOS_[[#This Row],[Tot COMPL.SAL Eq]]</f>
        <v>#DIV/0!</v>
      </c>
      <c r="CA725" s="138" t="e">
        <f aca="false" t="array" ref="CA725:CA7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5" s="138" t="e">
        <f aca="false">+DATOS_[[#This Row],[TOTAL SALARIO Eq]]+DATOS_[[#This Row],[Tot Extrasalarial Eq]]</f>
        <v>#DIV/0!</v>
      </c>
      <c r="CC725" s="139" t="n">
        <f aca="false">DATOS_[[#This Row],[S.BASE]]</f>
        <v>0</v>
      </c>
      <c r="CD725" s="139" t="n">
        <f aca="false">+SUM(DATOS_[[#This Row],[Conc.Sal.01]:[Conc.Sal.30]])</f>
        <v>0</v>
      </c>
      <c r="CE725" s="139" t="n">
        <f aca="false">+DATOS_[[#This Row],[SALARIO BASE Ef]]+DATOS_[[#This Row],[Tot COMPL.SAL Ef]]</f>
        <v>0</v>
      </c>
      <c r="CF725" s="139" t="n">
        <f aca="false">+SUM(DATOS_[[#This Row],[C.Extra.01]:[C.Extra.05]])</f>
        <v>0</v>
      </c>
      <c r="CG725" s="139" t="n">
        <f aca="false">+DATOS_[[#This Row],[TOTAL SALARIO Ef]]+DATOS_[[#This Row],[Tot Extrasalarial Ef]]</f>
        <v>0</v>
      </c>
      <c r="CH725" s="140" t="n">
        <f aca="false">MIN(IF(DATOS_[[#This Row],[Fecha Fin Contrato]]="",$D$4,DATOS_[[#This Row],[Fecha Fin Contrato]]),$D$4)-MAX(DATOS_[[#This Row],[Fecha de Contratación]],$D$3)+1</f>
        <v>1</v>
      </c>
      <c r="CI725" s="141" t="str">
        <f aca="false">IF(COUNTIFS(DATOS_[id],DATOS_[[#This Row],[id]])&gt;1,DATOS_[[#This Row],[id]],"")</f>
        <v/>
      </c>
      <c r="CJ725" s="141" t="n">
        <f aca="false">(Inicio!$G$10-DATOS_[[#This Row],[Fecha Nacimiento]])/365.25</f>
        <v>0</v>
      </c>
      <c r="CK725" s="141" t="n">
        <f aca="false">(Inicio!$G$10-DATOS_[[#This Row],[Fecha de Antigüedad]])/365.25</f>
        <v>0</v>
      </c>
      <c r="CL725" s="141" t="e">
        <f aca="false">+VLOOKUP(DATOS_[[#This Row],[Clave de Contrato]],TblTiposContrato13[],3,0)</f>
        <v>#N/A</v>
      </c>
      <c r="CM725" s="141" t="e">
        <f aca="false">+VLOOKUP(DATOS_[[#This Row],[Clave de Contrato]],TblTiposContrato13[],4,0)</f>
        <v>#N/A</v>
      </c>
      <c r="CN725" s="141" t="str">
        <f aca="false">VLOOKUP(DATOS_[[#This Row],[Edad]],CONTRATOS!TblRngEdad,2,1)</f>
        <v>20  o menos</v>
      </c>
      <c r="CO725" s="141" t="str">
        <f aca="false">VLOOKUP(DATOS_[[#This Row],[Antigüedad]],TblRngAntg14[],2,1)</f>
        <v>0 a 1 años</v>
      </c>
    </row>
    <row r="726" customFormat="false" ht="13.8" hidden="false" customHeight="false" outlineLevel="0" collapsed="false">
      <c r="D726" s="128"/>
      <c r="E726" s="129"/>
      <c r="F726" s="129"/>
      <c r="G726" s="129"/>
      <c r="H726" s="130"/>
      <c r="I726" s="131"/>
      <c r="J726" s="128"/>
      <c r="K726" s="132"/>
      <c r="L726" s="132"/>
      <c r="M726" s="133"/>
      <c r="N726" s="133"/>
      <c r="O726" s="133"/>
      <c r="P726" s="129"/>
      <c r="Z726" s="75"/>
      <c r="AA726" s="76"/>
      <c r="AB726" s="76"/>
      <c r="AC726" s="129"/>
      <c r="AD726" s="134"/>
      <c r="AE726" s="134"/>
      <c r="AF726" s="134"/>
      <c r="AG726" s="134"/>
      <c r="AH726" s="134"/>
      <c r="AI726" s="134"/>
      <c r="AJ726" s="134"/>
      <c r="AK726" s="134"/>
      <c r="AL726" s="134"/>
      <c r="AM726" s="134"/>
      <c r="AN726" s="134"/>
      <c r="AO726" s="134"/>
      <c r="AP726" s="134"/>
      <c r="AQ726" s="134"/>
      <c r="AR726" s="134"/>
      <c r="AS726" s="134"/>
      <c r="AT726" s="134"/>
      <c r="AU726" s="134"/>
      <c r="AV726" s="134"/>
      <c r="AW726" s="134"/>
      <c r="AX726" s="134"/>
      <c r="AY726" s="134"/>
      <c r="AZ726" s="134"/>
      <c r="BA726" s="134"/>
      <c r="BB726" s="134"/>
      <c r="BC726" s="134"/>
      <c r="BD726" s="134"/>
      <c r="BE726" s="134"/>
      <c r="BF726" s="134"/>
      <c r="BG726" s="134"/>
      <c r="BH726" s="134"/>
      <c r="BI726" s="134"/>
      <c r="BJ726" s="134"/>
      <c r="BK726" s="134"/>
      <c r="BL726" s="134"/>
      <c r="BM726" s="135"/>
      <c r="BN726" s="136" t="n">
        <f aca="false">+MAX($D$3,DATOS_[[#This Row],[Fecha Inicio Sit. Contract.]])</f>
        <v>0</v>
      </c>
      <c r="BO726" s="136" t="n">
        <f aca="false">+MIN($D$4,DATOS_[[#This Row],[Fecha Fin Sit. Contract.]])</f>
        <v>0</v>
      </c>
      <c r="BP726" s="137" t="n">
        <f aca="false">+DATOS_[[#This Row],[% de jornada]]*IF(DATOS_[[#This Row],[% jornada reducida]]="",1,DATOS_[[#This Row],[% jornada reducida]])</f>
        <v>0</v>
      </c>
      <c r="BQ726" s="137" t="n">
        <f aca="false">+(DATOS_[[#This Row],[F.fin.cal]]-DATOS_[[#This Row],[F.ini.cal]]+1)/($D$4-$D$3+1)</f>
        <v>1</v>
      </c>
      <c r="BR726" s="137" t="str">
        <f aca="false">IF(OR(AND(DATOS_[[#This Row],[Fecha Fin Contrato]]&lt;$D$3,DATOS_[[#This Row],[Fecha Fin Contrato]]&lt;&gt;""),DATOS_[[#This Row],[Fecha de Contratación]]&gt;$D$4),"Fuera","Dentro")</f>
        <v>Dentro</v>
      </c>
      <c r="BS726" s="137" t="str">
        <f aca="false" t="array" ref="BS726:BS726">IF(MAX(IF(DATOS_[id]=DATOS_[[#This Row],[id]],DATOS_[F.fin.cal]))=DATOS_[[#This Row],[F.fin.cal]],"Sí","NO")</f>
        <v>Sí</v>
      </c>
      <c r="BT726" s="137" t="str">
        <f aca="false">IF(AND(DATOS_[[#This Row],[% normaliz]]&lt;&gt;1,DATOS_[[#This Row],[% anualiz]]=1),"Sí","NO")</f>
        <v>Sí</v>
      </c>
      <c r="BU726" s="137" t="str">
        <f aca="false">IF(AND(DATOS_[[#This Row],[% normaliz]]=1,DATOS_[[#This Row],[% anualiz]]&lt;&gt;1),"Sí","NO")</f>
        <v>NO</v>
      </c>
      <c r="BV726" s="137" t="str">
        <f aca="false">IF(AND(DATOS_[[#This Row],[% normaliz]]&lt;&gt;1,DATOS_[[#This Row],[% anualiz]]&lt;&gt;1),"Sí","NO")</f>
        <v>NO</v>
      </c>
      <c r="BW726" s="137" t="str">
        <f aca="false">+IF(DATOS_[[#This Row],[% normaliz]]*DATOS_[[#This Row],[% anualiz]]=1,"NO","Sí")</f>
        <v>Sí</v>
      </c>
      <c r="BX726" s="138" t="e">
        <f aca="false">(DATOS_[[#This Row],[S.BASE]]*(1/DATOS_[[#This Row],[% normaliz]])*(1/DATOS_[[#This Row],[% anualiz]]))*IF(DATOS_[[#This Row],[Check Equiparado]]="Sí",1,0)</f>
        <v>#DIV/0!</v>
      </c>
      <c r="BY7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6" s="138" t="e">
        <f aca="false">+DATOS_[[#This Row],[SALARIO BASE Eq]]+DATOS_[[#This Row],[Tot COMPL.SAL Eq]]</f>
        <v>#DIV/0!</v>
      </c>
      <c r="CA726" s="138" t="e">
        <f aca="false" t="array" ref="CA726:CA7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6" s="138" t="e">
        <f aca="false">+DATOS_[[#This Row],[TOTAL SALARIO Eq]]+DATOS_[[#This Row],[Tot Extrasalarial Eq]]</f>
        <v>#DIV/0!</v>
      </c>
      <c r="CC726" s="139" t="n">
        <f aca="false">DATOS_[[#This Row],[S.BASE]]</f>
        <v>0</v>
      </c>
      <c r="CD726" s="139" t="n">
        <f aca="false">+SUM(DATOS_[[#This Row],[Conc.Sal.01]:[Conc.Sal.30]])</f>
        <v>0</v>
      </c>
      <c r="CE726" s="139" t="n">
        <f aca="false">+DATOS_[[#This Row],[SALARIO BASE Ef]]+DATOS_[[#This Row],[Tot COMPL.SAL Ef]]</f>
        <v>0</v>
      </c>
      <c r="CF726" s="139" t="n">
        <f aca="false">+SUM(DATOS_[[#This Row],[C.Extra.01]:[C.Extra.05]])</f>
        <v>0</v>
      </c>
      <c r="CG726" s="139" t="n">
        <f aca="false">+DATOS_[[#This Row],[TOTAL SALARIO Ef]]+DATOS_[[#This Row],[Tot Extrasalarial Ef]]</f>
        <v>0</v>
      </c>
      <c r="CH726" s="140" t="n">
        <f aca="false">MIN(IF(DATOS_[[#This Row],[Fecha Fin Contrato]]="",$D$4,DATOS_[[#This Row],[Fecha Fin Contrato]]),$D$4)-MAX(DATOS_[[#This Row],[Fecha de Contratación]],$D$3)+1</f>
        <v>1</v>
      </c>
      <c r="CI726" s="141" t="str">
        <f aca="false">IF(COUNTIFS(DATOS_[id],DATOS_[[#This Row],[id]])&gt;1,DATOS_[[#This Row],[id]],"")</f>
        <v/>
      </c>
      <c r="CJ726" s="141" t="n">
        <f aca="false">(Inicio!$G$10-DATOS_[[#This Row],[Fecha Nacimiento]])/365.25</f>
        <v>0</v>
      </c>
      <c r="CK726" s="141" t="n">
        <f aca="false">(Inicio!$G$10-DATOS_[[#This Row],[Fecha de Antigüedad]])/365.25</f>
        <v>0</v>
      </c>
      <c r="CL726" s="141" t="e">
        <f aca="false">+VLOOKUP(DATOS_[[#This Row],[Clave de Contrato]],TblTiposContrato13[],3,0)</f>
        <v>#N/A</v>
      </c>
      <c r="CM726" s="141" t="e">
        <f aca="false">+VLOOKUP(DATOS_[[#This Row],[Clave de Contrato]],TblTiposContrato13[],4,0)</f>
        <v>#N/A</v>
      </c>
      <c r="CN726" s="141" t="str">
        <f aca="false">VLOOKUP(DATOS_[[#This Row],[Edad]],CONTRATOS!TblRngEdad,2,1)</f>
        <v>20  o menos</v>
      </c>
      <c r="CO726" s="141" t="str">
        <f aca="false">VLOOKUP(DATOS_[[#This Row],[Antigüedad]],TblRngAntg14[],2,1)</f>
        <v>0 a 1 años</v>
      </c>
    </row>
    <row r="727" customFormat="false" ht="13.8" hidden="false" customHeight="false" outlineLevel="0" collapsed="false">
      <c r="D727" s="128"/>
      <c r="E727" s="129"/>
      <c r="F727" s="129"/>
      <c r="G727" s="129"/>
      <c r="H727" s="130"/>
      <c r="I727" s="131"/>
      <c r="J727" s="128"/>
      <c r="K727" s="132"/>
      <c r="L727" s="132"/>
      <c r="M727" s="133"/>
      <c r="N727" s="133"/>
      <c r="O727" s="133"/>
      <c r="P727" s="129"/>
      <c r="Z727" s="75"/>
      <c r="AA727" s="76"/>
      <c r="AB727" s="76"/>
      <c r="AC727" s="129"/>
      <c r="AD727" s="134"/>
      <c r="AE727" s="134"/>
      <c r="AF727" s="134"/>
      <c r="AG727" s="134"/>
      <c r="AH727" s="134"/>
      <c r="AI727" s="134"/>
      <c r="AJ727" s="134"/>
      <c r="AK727" s="134"/>
      <c r="AL727" s="134"/>
      <c r="AM727" s="134"/>
      <c r="AN727" s="134"/>
      <c r="AO727" s="134"/>
      <c r="AP727" s="134"/>
      <c r="AQ727" s="134"/>
      <c r="AR727" s="134"/>
      <c r="AS727" s="134"/>
      <c r="AT727" s="134"/>
      <c r="AU727" s="134"/>
      <c r="AV727" s="134"/>
      <c r="AW727" s="134"/>
      <c r="AX727" s="134"/>
      <c r="AY727" s="134"/>
      <c r="AZ727" s="134"/>
      <c r="BA727" s="134"/>
      <c r="BB727" s="134"/>
      <c r="BC727" s="134"/>
      <c r="BD727" s="134"/>
      <c r="BE727" s="134"/>
      <c r="BF727" s="134"/>
      <c r="BG727" s="134"/>
      <c r="BH727" s="134"/>
      <c r="BI727" s="134"/>
      <c r="BJ727" s="134"/>
      <c r="BK727" s="134"/>
      <c r="BL727" s="134"/>
      <c r="BM727" s="135"/>
      <c r="BN727" s="136" t="n">
        <f aca="false">+MAX($D$3,DATOS_[[#This Row],[Fecha Inicio Sit. Contract.]])</f>
        <v>0</v>
      </c>
      <c r="BO727" s="136" t="n">
        <f aca="false">+MIN($D$4,DATOS_[[#This Row],[Fecha Fin Sit. Contract.]])</f>
        <v>0</v>
      </c>
      <c r="BP727" s="137" t="n">
        <f aca="false">+DATOS_[[#This Row],[% de jornada]]*IF(DATOS_[[#This Row],[% jornada reducida]]="",1,DATOS_[[#This Row],[% jornada reducida]])</f>
        <v>0</v>
      </c>
      <c r="BQ727" s="137" t="n">
        <f aca="false">+(DATOS_[[#This Row],[F.fin.cal]]-DATOS_[[#This Row],[F.ini.cal]]+1)/($D$4-$D$3+1)</f>
        <v>1</v>
      </c>
      <c r="BR727" s="137" t="str">
        <f aca="false">IF(OR(AND(DATOS_[[#This Row],[Fecha Fin Contrato]]&lt;$D$3,DATOS_[[#This Row],[Fecha Fin Contrato]]&lt;&gt;""),DATOS_[[#This Row],[Fecha de Contratación]]&gt;$D$4),"Fuera","Dentro")</f>
        <v>Dentro</v>
      </c>
      <c r="BS727" s="137" t="str">
        <f aca="false" t="array" ref="BS727:BS727">IF(MAX(IF(DATOS_[id]=DATOS_[[#This Row],[id]],DATOS_[F.fin.cal]))=DATOS_[[#This Row],[F.fin.cal]],"Sí","NO")</f>
        <v>Sí</v>
      </c>
      <c r="BT727" s="137" t="str">
        <f aca="false">IF(AND(DATOS_[[#This Row],[% normaliz]]&lt;&gt;1,DATOS_[[#This Row],[% anualiz]]=1),"Sí","NO")</f>
        <v>Sí</v>
      </c>
      <c r="BU727" s="137" t="str">
        <f aca="false">IF(AND(DATOS_[[#This Row],[% normaliz]]=1,DATOS_[[#This Row],[% anualiz]]&lt;&gt;1),"Sí","NO")</f>
        <v>NO</v>
      </c>
      <c r="BV727" s="137" t="str">
        <f aca="false">IF(AND(DATOS_[[#This Row],[% normaliz]]&lt;&gt;1,DATOS_[[#This Row],[% anualiz]]&lt;&gt;1),"Sí","NO")</f>
        <v>NO</v>
      </c>
      <c r="BW727" s="137" t="str">
        <f aca="false">+IF(DATOS_[[#This Row],[% normaliz]]*DATOS_[[#This Row],[% anualiz]]=1,"NO","Sí")</f>
        <v>Sí</v>
      </c>
      <c r="BX727" s="138" t="e">
        <f aca="false">(DATOS_[[#This Row],[S.BASE]]*(1/DATOS_[[#This Row],[% normaliz]])*(1/DATOS_[[#This Row],[% anualiz]]))*IF(DATOS_[[#This Row],[Check Equiparado]]="Sí",1,0)</f>
        <v>#DIV/0!</v>
      </c>
      <c r="BY7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7" s="138" t="e">
        <f aca="false">+DATOS_[[#This Row],[SALARIO BASE Eq]]+DATOS_[[#This Row],[Tot COMPL.SAL Eq]]</f>
        <v>#DIV/0!</v>
      </c>
      <c r="CA727" s="138" t="e">
        <f aca="false" t="array" ref="CA727:CA7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7" s="138" t="e">
        <f aca="false">+DATOS_[[#This Row],[TOTAL SALARIO Eq]]+DATOS_[[#This Row],[Tot Extrasalarial Eq]]</f>
        <v>#DIV/0!</v>
      </c>
      <c r="CC727" s="139" t="n">
        <f aca="false">DATOS_[[#This Row],[S.BASE]]</f>
        <v>0</v>
      </c>
      <c r="CD727" s="139" t="n">
        <f aca="false">+SUM(DATOS_[[#This Row],[Conc.Sal.01]:[Conc.Sal.30]])</f>
        <v>0</v>
      </c>
      <c r="CE727" s="139" t="n">
        <f aca="false">+DATOS_[[#This Row],[SALARIO BASE Ef]]+DATOS_[[#This Row],[Tot COMPL.SAL Ef]]</f>
        <v>0</v>
      </c>
      <c r="CF727" s="139" t="n">
        <f aca="false">+SUM(DATOS_[[#This Row],[C.Extra.01]:[C.Extra.05]])</f>
        <v>0</v>
      </c>
      <c r="CG727" s="139" t="n">
        <f aca="false">+DATOS_[[#This Row],[TOTAL SALARIO Ef]]+DATOS_[[#This Row],[Tot Extrasalarial Ef]]</f>
        <v>0</v>
      </c>
      <c r="CH727" s="140" t="n">
        <f aca="false">MIN(IF(DATOS_[[#This Row],[Fecha Fin Contrato]]="",$D$4,DATOS_[[#This Row],[Fecha Fin Contrato]]),$D$4)-MAX(DATOS_[[#This Row],[Fecha de Contratación]],$D$3)+1</f>
        <v>1</v>
      </c>
      <c r="CI727" s="141" t="str">
        <f aca="false">IF(COUNTIFS(DATOS_[id],DATOS_[[#This Row],[id]])&gt;1,DATOS_[[#This Row],[id]],"")</f>
        <v/>
      </c>
      <c r="CJ727" s="141" t="n">
        <f aca="false">(Inicio!$G$10-DATOS_[[#This Row],[Fecha Nacimiento]])/365.25</f>
        <v>0</v>
      </c>
      <c r="CK727" s="141" t="n">
        <f aca="false">(Inicio!$G$10-DATOS_[[#This Row],[Fecha de Antigüedad]])/365.25</f>
        <v>0</v>
      </c>
      <c r="CL727" s="141" t="e">
        <f aca="false">+VLOOKUP(DATOS_[[#This Row],[Clave de Contrato]],TblTiposContrato13[],3,0)</f>
        <v>#N/A</v>
      </c>
      <c r="CM727" s="141" t="e">
        <f aca="false">+VLOOKUP(DATOS_[[#This Row],[Clave de Contrato]],TblTiposContrato13[],4,0)</f>
        <v>#N/A</v>
      </c>
      <c r="CN727" s="141" t="str">
        <f aca="false">VLOOKUP(DATOS_[[#This Row],[Edad]],CONTRATOS!TblRngEdad,2,1)</f>
        <v>20  o menos</v>
      </c>
      <c r="CO727" s="141" t="str">
        <f aca="false">VLOOKUP(DATOS_[[#This Row],[Antigüedad]],TblRngAntg14[],2,1)</f>
        <v>0 a 1 años</v>
      </c>
    </row>
    <row r="728" customFormat="false" ht="13.8" hidden="false" customHeight="false" outlineLevel="0" collapsed="false">
      <c r="D728" s="128"/>
      <c r="E728" s="129"/>
      <c r="F728" s="129"/>
      <c r="G728" s="129"/>
      <c r="H728" s="130"/>
      <c r="I728" s="131"/>
      <c r="J728" s="128"/>
      <c r="K728" s="132"/>
      <c r="L728" s="132"/>
      <c r="M728" s="133"/>
      <c r="N728" s="133"/>
      <c r="O728" s="133"/>
      <c r="P728" s="129"/>
      <c r="Z728" s="75"/>
      <c r="AA728" s="76"/>
      <c r="AB728" s="76"/>
      <c r="AC728" s="129"/>
      <c r="AD728" s="134"/>
      <c r="AE728" s="134"/>
      <c r="AF728" s="134"/>
      <c r="AG728" s="134"/>
      <c r="AH728" s="134"/>
      <c r="AI728" s="134"/>
      <c r="AJ728" s="134"/>
      <c r="AK728" s="134"/>
      <c r="AL728" s="134"/>
      <c r="AM728" s="134"/>
      <c r="AN728" s="134"/>
      <c r="AO728" s="134"/>
      <c r="AP728" s="134"/>
      <c r="AQ728" s="134"/>
      <c r="AR728" s="134"/>
      <c r="AS728" s="134"/>
      <c r="AT728" s="134"/>
      <c r="AU728" s="134"/>
      <c r="AV728" s="134"/>
      <c r="AW728" s="134"/>
      <c r="AX728" s="134"/>
      <c r="AY728" s="134"/>
      <c r="AZ728" s="134"/>
      <c r="BA728" s="134"/>
      <c r="BB728" s="134"/>
      <c r="BC728" s="134"/>
      <c r="BD728" s="134"/>
      <c r="BE728" s="134"/>
      <c r="BF728" s="134"/>
      <c r="BG728" s="134"/>
      <c r="BH728" s="134"/>
      <c r="BI728" s="134"/>
      <c r="BJ728" s="134"/>
      <c r="BK728" s="134"/>
      <c r="BL728" s="134"/>
      <c r="BM728" s="135"/>
      <c r="BN728" s="136" t="n">
        <f aca="false">+MAX($D$3,DATOS_[[#This Row],[Fecha Inicio Sit. Contract.]])</f>
        <v>0</v>
      </c>
      <c r="BO728" s="136" t="n">
        <f aca="false">+MIN($D$4,DATOS_[[#This Row],[Fecha Fin Sit. Contract.]])</f>
        <v>0</v>
      </c>
      <c r="BP728" s="137" t="n">
        <f aca="false">+DATOS_[[#This Row],[% de jornada]]*IF(DATOS_[[#This Row],[% jornada reducida]]="",1,DATOS_[[#This Row],[% jornada reducida]])</f>
        <v>0</v>
      </c>
      <c r="BQ728" s="137" t="n">
        <f aca="false">+(DATOS_[[#This Row],[F.fin.cal]]-DATOS_[[#This Row],[F.ini.cal]]+1)/($D$4-$D$3+1)</f>
        <v>1</v>
      </c>
      <c r="BR728" s="137" t="str">
        <f aca="false">IF(OR(AND(DATOS_[[#This Row],[Fecha Fin Contrato]]&lt;$D$3,DATOS_[[#This Row],[Fecha Fin Contrato]]&lt;&gt;""),DATOS_[[#This Row],[Fecha de Contratación]]&gt;$D$4),"Fuera","Dentro")</f>
        <v>Dentro</v>
      </c>
      <c r="BS728" s="137" t="str">
        <f aca="false" t="array" ref="BS728:BS728">IF(MAX(IF(DATOS_[id]=DATOS_[[#This Row],[id]],DATOS_[F.fin.cal]))=DATOS_[[#This Row],[F.fin.cal]],"Sí","NO")</f>
        <v>Sí</v>
      </c>
      <c r="BT728" s="137" t="str">
        <f aca="false">IF(AND(DATOS_[[#This Row],[% normaliz]]&lt;&gt;1,DATOS_[[#This Row],[% anualiz]]=1),"Sí","NO")</f>
        <v>Sí</v>
      </c>
      <c r="BU728" s="137" t="str">
        <f aca="false">IF(AND(DATOS_[[#This Row],[% normaliz]]=1,DATOS_[[#This Row],[% anualiz]]&lt;&gt;1),"Sí","NO")</f>
        <v>NO</v>
      </c>
      <c r="BV728" s="137" t="str">
        <f aca="false">IF(AND(DATOS_[[#This Row],[% normaliz]]&lt;&gt;1,DATOS_[[#This Row],[% anualiz]]&lt;&gt;1),"Sí","NO")</f>
        <v>NO</v>
      </c>
      <c r="BW728" s="137" t="str">
        <f aca="false">+IF(DATOS_[[#This Row],[% normaliz]]*DATOS_[[#This Row],[% anualiz]]=1,"NO","Sí")</f>
        <v>Sí</v>
      </c>
      <c r="BX728" s="138" t="e">
        <f aca="false">(DATOS_[[#This Row],[S.BASE]]*(1/DATOS_[[#This Row],[% normaliz]])*(1/DATOS_[[#This Row],[% anualiz]]))*IF(DATOS_[[#This Row],[Check Equiparado]]="Sí",1,0)</f>
        <v>#DIV/0!</v>
      </c>
      <c r="BY7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8" s="138" t="e">
        <f aca="false">+DATOS_[[#This Row],[SALARIO BASE Eq]]+DATOS_[[#This Row],[Tot COMPL.SAL Eq]]</f>
        <v>#DIV/0!</v>
      </c>
      <c r="CA728" s="138" t="e">
        <f aca="false" t="array" ref="CA728:CA7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8" s="138" t="e">
        <f aca="false">+DATOS_[[#This Row],[TOTAL SALARIO Eq]]+DATOS_[[#This Row],[Tot Extrasalarial Eq]]</f>
        <v>#DIV/0!</v>
      </c>
      <c r="CC728" s="139" t="n">
        <f aca="false">DATOS_[[#This Row],[S.BASE]]</f>
        <v>0</v>
      </c>
      <c r="CD728" s="139" t="n">
        <f aca="false">+SUM(DATOS_[[#This Row],[Conc.Sal.01]:[Conc.Sal.30]])</f>
        <v>0</v>
      </c>
      <c r="CE728" s="139" t="n">
        <f aca="false">+DATOS_[[#This Row],[SALARIO BASE Ef]]+DATOS_[[#This Row],[Tot COMPL.SAL Ef]]</f>
        <v>0</v>
      </c>
      <c r="CF728" s="139" t="n">
        <f aca="false">+SUM(DATOS_[[#This Row],[C.Extra.01]:[C.Extra.05]])</f>
        <v>0</v>
      </c>
      <c r="CG728" s="139" t="n">
        <f aca="false">+DATOS_[[#This Row],[TOTAL SALARIO Ef]]+DATOS_[[#This Row],[Tot Extrasalarial Ef]]</f>
        <v>0</v>
      </c>
      <c r="CH728" s="140" t="n">
        <f aca="false">MIN(IF(DATOS_[[#This Row],[Fecha Fin Contrato]]="",$D$4,DATOS_[[#This Row],[Fecha Fin Contrato]]),$D$4)-MAX(DATOS_[[#This Row],[Fecha de Contratación]],$D$3)+1</f>
        <v>1</v>
      </c>
      <c r="CI728" s="141" t="str">
        <f aca="false">IF(COUNTIFS(DATOS_[id],DATOS_[[#This Row],[id]])&gt;1,DATOS_[[#This Row],[id]],"")</f>
        <v/>
      </c>
      <c r="CJ728" s="141" t="n">
        <f aca="false">(Inicio!$G$10-DATOS_[[#This Row],[Fecha Nacimiento]])/365.25</f>
        <v>0</v>
      </c>
      <c r="CK728" s="141" t="n">
        <f aca="false">(Inicio!$G$10-DATOS_[[#This Row],[Fecha de Antigüedad]])/365.25</f>
        <v>0</v>
      </c>
      <c r="CL728" s="141" t="e">
        <f aca="false">+VLOOKUP(DATOS_[[#This Row],[Clave de Contrato]],TblTiposContrato13[],3,0)</f>
        <v>#N/A</v>
      </c>
      <c r="CM728" s="141" t="e">
        <f aca="false">+VLOOKUP(DATOS_[[#This Row],[Clave de Contrato]],TblTiposContrato13[],4,0)</f>
        <v>#N/A</v>
      </c>
      <c r="CN728" s="141" t="str">
        <f aca="false">VLOOKUP(DATOS_[[#This Row],[Edad]],CONTRATOS!TblRngEdad,2,1)</f>
        <v>20  o menos</v>
      </c>
      <c r="CO728" s="141" t="str">
        <f aca="false">VLOOKUP(DATOS_[[#This Row],[Antigüedad]],TblRngAntg14[],2,1)</f>
        <v>0 a 1 años</v>
      </c>
    </row>
    <row r="729" customFormat="false" ht="13.8" hidden="false" customHeight="false" outlineLevel="0" collapsed="false">
      <c r="D729" s="128"/>
      <c r="E729" s="129"/>
      <c r="F729" s="129"/>
      <c r="G729" s="129"/>
      <c r="H729" s="130"/>
      <c r="I729" s="131"/>
      <c r="J729" s="128"/>
      <c r="K729" s="132"/>
      <c r="L729" s="132"/>
      <c r="M729" s="133"/>
      <c r="N729" s="133"/>
      <c r="O729" s="133"/>
      <c r="P729" s="129"/>
      <c r="Z729" s="75"/>
      <c r="AA729" s="76"/>
      <c r="AB729" s="76"/>
      <c r="AC729" s="129"/>
      <c r="AD729" s="134"/>
      <c r="AE729" s="134"/>
      <c r="AF729" s="134"/>
      <c r="AG729" s="134"/>
      <c r="AH729" s="134"/>
      <c r="AI729" s="134"/>
      <c r="AJ729" s="134"/>
      <c r="AK729" s="134"/>
      <c r="AL729" s="134"/>
      <c r="AM729" s="134"/>
      <c r="AN729" s="134"/>
      <c r="AO729" s="134"/>
      <c r="AP729" s="134"/>
      <c r="AQ729" s="134"/>
      <c r="AR729" s="134"/>
      <c r="AS729" s="134"/>
      <c r="AT729" s="134"/>
      <c r="AU729" s="134"/>
      <c r="AV729" s="134"/>
      <c r="AW729" s="134"/>
      <c r="AX729" s="134"/>
      <c r="AY729" s="134"/>
      <c r="AZ729" s="134"/>
      <c r="BA729" s="134"/>
      <c r="BB729" s="134"/>
      <c r="BC729" s="134"/>
      <c r="BD729" s="134"/>
      <c r="BE729" s="134"/>
      <c r="BF729" s="134"/>
      <c r="BG729" s="134"/>
      <c r="BH729" s="134"/>
      <c r="BI729" s="134"/>
      <c r="BJ729" s="134"/>
      <c r="BK729" s="134"/>
      <c r="BL729" s="134"/>
      <c r="BM729" s="135"/>
      <c r="BN729" s="136" t="n">
        <f aca="false">+MAX($D$3,DATOS_[[#This Row],[Fecha Inicio Sit. Contract.]])</f>
        <v>0</v>
      </c>
      <c r="BO729" s="136" t="n">
        <f aca="false">+MIN($D$4,DATOS_[[#This Row],[Fecha Fin Sit. Contract.]])</f>
        <v>0</v>
      </c>
      <c r="BP729" s="137" t="n">
        <f aca="false">+DATOS_[[#This Row],[% de jornada]]*IF(DATOS_[[#This Row],[% jornada reducida]]="",1,DATOS_[[#This Row],[% jornada reducida]])</f>
        <v>0</v>
      </c>
      <c r="BQ729" s="137" t="n">
        <f aca="false">+(DATOS_[[#This Row],[F.fin.cal]]-DATOS_[[#This Row],[F.ini.cal]]+1)/($D$4-$D$3+1)</f>
        <v>1</v>
      </c>
      <c r="BR729" s="137" t="str">
        <f aca="false">IF(OR(AND(DATOS_[[#This Row],[Fecha Fin Contrato]]&lt;$D$3,DATOS_[[#This Row],[Fecha Fin Contrato]]&lt;&gt;""),DATOS_[[#This Row],[Fecha de Contratación]]&gt;$D$4),"Fuera","Dentro")</f>
        <v>Dentro</v>
      </c>
      <c r="BS729" s="137" t="str">
        <f aca="false" t="array" ref="BS729:BS729">IF(MAX(IF(DATOS_[id]=DATOS_[[#This Row],[id]],DATOS_[F.fin.cal]))=DATOS_[[#This Row],[F.fin.cal]],"Sí","NO")</f>
        <v>Sí</v>
      </c>
      <c r="BT729" s="137" t="str">
        <f aca="false">IF(AND(DATOS_[[#This Row],[% normaliz]]&lt;&gt;1,DATOS_[[#This Row],[% anualiz]]=1),"Sí","NO")</f>
        <v>Sí</v>
      </c>
      <c r="BU729" s="137" t="str">
        <f aca="false">IF(AND(DATOS_[[#This Row],[% normaliz]]=1,DATOS_[[#This Row],[% anualiz]]&lt;&gt;1),"Sí","NO")</f>
        <v>NO</v>
      </c>
      <c r="BV729" s="137" t="str">
        <f aca="false">IF(AND(DATOS_[[#This Row],[% normaliz]]&lt;&gt;1,DATOS_[[#This Row],[% anualiz]]&lt;&gt;1),"Sí","NO")</f>
        <v>NO</v>
      </c>
      <c r="BW729" s="137" t="str">
        <f aca="false">+IF(DATOS_[[#This Row],[% normaliz]]*DATOS_[[#This Row],[% anualiz]]=1,"NO","Sí")</f>
        <v>Sí</v>
      </c>
      <c r="BX729" s="138" t="e">
        <f aca="false">(DATOS_[[#This Row],[S.BASE]]*(1/DATOS_[[#This Row],[% normaliz]])*(1/DATOS_[[#This Row],[% anualiz]]))*IF(DATOS_[[#This Row],[Check Equiparado]]="Sí",1,0)</f>
        <v>#DIV/0!</v>
      </c>
      <c r="BY7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9" s="138" t="e">
        <f aca="false">+DATOS_[[#This Row],[SALARIO BASE Eq]]+DATOS_[[#This Row],[Tot COMPL.SAL Eq]]</f>
        <v>#DIV/0!</v>
      </c>
      <c r="CA729" s="138" t="e">
        <f aca="false" t="array" ref="CA729:CA7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9" s="138" t="e">
        <f aca="false">+DATOS_[[#This Row],[TOTAL SALARIO Eq]]+DATOS_[[#This Row],[Tot Extrasalarial Eq]]</f>
        <v>#DIV/0!</v>
      </c>
      <c r="CC729" s="139" t="n">
        <f aca="false">DATOS_[[#This Row],[S.BASE]]</f>
        <v>0</v>
      </c>
      <c r="CD729" s="139" t="n">
        <f aca="false">+SUM(DATOS_[[#This Row],[Conc.Sal.01]:[Conc.Sal.30]])</f>
        <v>0</v>
      </c>
      <c r="CE729" s="139" t="n">
        <f aca="false">+DATOS_[[#This Row],[SALARIO BASE Ef]]+DATOS_[[#This Row],[Tot COMPL.SAL Ef]]</f>
        <v>0</v>
      </c>
      <c r="CF729" s="139" t="n">
        <f aca="false">+SUM(DATOS_[[#This Row],[C.Extra.01]:[C.Extra.05]])</f>
        <v>0</v>
      </c>
      <c r="CG729" s="139" t="n">
        <f aca="false">+DATOS_[[#This Row],[TOTAL SALARIO Ef]]+DATOS_[[#This Row],[Tot Extrasalarial Ef]]</f>
        <v>0</v>
      </c>
      <c r="CH729" s="140" t="n">
        <f aca="false">MIN(IF(DATOS_[[#This Row],[Fecha Fin Contrato]]="",$D$4,DATOS_[[#This Row],[Fecha Fin Contrato]]),$D$4)-MAX(DATOS_[[#This Row],[Fecha de Contratación]],$D$3)+1</f>
        <v>1</v>
      </c>
      <c r="CI729" s="141" t="str">
        <f aca="false">IF(COUNTIFS(DATOS_[id],DATOS_[[#This Row],[id]])&gt;1,DATOS_[[#This Row],[id]],"")</f>
        <v/>
      </c>
      <c r="CJ729" s="141" t="n">
        <f aca="false">(Inicio!$G$10-DATOS_[[#This Row],[Fecha Nacimiento]])/365.25</f>
        <v>0</v>
      </c>
      <c r="CK729" s="141" t="n">
        <f aca="false">(Inicio!$G$10-DATOS_[[#This Row],[Fecha de Antigüedad]])/365.25</f>
        <v>0</v>
      </c>
      <c r="CL729" s="141" t="e">
        <f aca="false">+VLOOKUP(DATOS_[[#This Row],[Clave de Contrato]],TblTiposContrato13[],3,0)</f>
        <v>#N/A</v>
      </c>
      <c r="CM729" s="141" t="e">
        <f aca="false">+VLOOKUP(DATOS_[[#This Row],[Clave de Contrato]],TblTiposContrato13[],4,0)</f>
        <v>#N/A</v>
      </c>
      <c r="CN729" s="141" t="str">
        <f aca="false">VLOOKUP(DATOS_[[#This Row],[Edad]],CONTRATOS!TblRngEdad,2,1)</f>
        <v>20  o menos</v>
      </c>
      <c r="CO729" s="141" t="str">
        <f aca="false">VLOOKUP(DATOS_[[#This Row],[Antigüedad]],TblRngAntg14[],2,1)</f>
        <v>0 a 1 años</v>
      </c>
    </row>
    <row r="730" customFormat="false" ht="13.8" hidden="false" customHeight="false" outlineLevel="0" collapsed="false">
      <c r="D730" s="128"/>
      <c r="E730" s="129"/>
      <c r="F730" s="129"/>
      <c r="G730" s="129"/>
      <c r="H730" s="130"/>
      <c r="I730" s="131"/>
      <c r="J730" s="128"/>
      <c r="K730" s="132"/>
      <c r="L730" s="132"/>
      <c r="M730" s="133"/>
      <c r="N730" s="133"/>
      <c r="O730" s="133"/>
      <c r="P730" s="129"/>
      <c r="Z730" s="75"/>
      <c r="AA730" s="76"/>
      <c r="AB730" s="76"/>
      <c r="AC730" s="129"/>
      <c r="AD730" s="134"/>
      <c r="AE730" s="134"/>
      <c r="AF730" s="134"/>
      <c r="AG730" s="134"/>
      <c r="AH730" s="134"/>
      <c r="AI730" s="134"/>
      <c r="AJ730" s="134"/>
      <c r="AK730" s="134"/>
      <c r="AL730" s="134"/>
      <c r="AM730" s="134"/>
      <c r="AN730" s="134"/>
      <c r="AO730" s="134"/>
      <c r="AP730" s="134"/>
      <c r="AQ730" s="134"/>
      <c r="AR730" s="134"/>
      <c r="AS730" s="134"/>
      <c r="AT730" s="134"/>
      <c r="AU730" s="134"/>
      <c r="AV730" s="134"/>
      <c r="AW730" s="134"/>
      <c r="AX730" s="134"/>
      <c r="AY730" s="134"/>
      <c r="AZ730" s="134"/>
      <c r="BA730" s="134"/>
      <c r="BB730" s="134"/>
      <c r="BC730" s="134"/>
      <c r="BD730" s="134"/>
      <c r="BE730" s="134"/>
      <c r="BF730" s="134"/>
      <c r="BG730" s="134"/>
      <c r="BH730" s="134"/>
      <c r="BI730" s="134"/>
      <c r="BJ730" s="134"/>
      <c r="BK730" s="134"/>
      <c r="BL730" s="134"/>
      <c r="BM730" s="135"/>
      <c r="BN730" s="136" t="n">
        <f aca="false">+MAX($D$3,DATOS_[[#This Row],[Fecha Inicio Sit. Contract.]])</f>
        <v>0</v>
      </c>
      <c r="BO730" s="136" t="n">
        <f aca="false">+MIN($D$4,DATOS_[[#This Row],[Fecha Fin Sit. Contract.]])</f>
        <v>0</v>
      </c>
      <c r="BP730" s="137" t="n">
        <f aca="false">+DATOS_[[#This Row],[% de jornada]]*IF(DATOS_[[#This Row],[% jornada reducida]]="",1,DATOS_[[#This Row],[% jornada reducida]])</f>
        <v>0</v>
      </c>
      <c r="BQ730" s="137" t="n">
        <f aca="false">+(DATOS_[[#This Row],[F.fin.cal]]-DATOS_[[#This Row],[F.ini.cal]]+1)/($D$4-$D$3+1)</f>
        <v>1</v>
      </c>
      <c r="BR730" s="137" t="str">
        <f aca="false">IF(OR(AND(DATOS_[[#This Row],[Fecha Fin Contrato]]&lt;$D$3,DATOS_[[#This Row],[Fecha Fin Contrato]]&lt;&gt;""),DATOS_[[#This Row],[Fecha de Contratación]]&gt;$D$4),"Fuera","Dentro")</f>
        <v>Dentro</v>
      </c>
      <c r="BS730" s="137" t="str">
        <f aca="false" t="array" ref="BS730:BS730">IF(MAX(IF(DATOS_[id]=DATOS_[[#This Row],[id]],DATOS_[F.fin.cal]))=DATOS_[[#This Row],[F.fin.cal]],"Sí","NO")</f>
        <v>Sí</v>
      </c>
      <c r="BT730" s="137" t="str">
        <f aca="false">IF(AND(DATOS_[[#This Row],[% normaliz]]&lt;&gt;1,DATOS_[[#This Row],[% anualiz]]=1),"Sí","NO")</f>
        <v>Sí</v>
      </c>
      <c r="BU730" s="137" t="str">
        <f aca="false">IF(AND(DATOS_[[#This Row],[% normaliz]]=1,DATOS_[[#This Row],[% anualiz]]&lt;&gt;1),"Sí","NO")</f>
        <v>NO</v>
      </c>
      <c r="BV730" s="137" t="str">
        <f aca="false">IF(AND(DATOS_[[#This Row],[% normaliz]]&lt;&gt;1,DATOS_[[#This Row],[% anualiz]]&lt;&gt;1),"Sí","NO")</f>
        <v>NO</v>
      </c>
      <c r="BW730" s="137" t="str">
        <f aca="false">+IF(DATOS_[[#This Row],[% normaliz]]*DATOS_[[#This Row],[% anualiz]]=1,"NO","Sí")</f>
        <v>Sí</v>
      </c>
      <c r="BX730" s="138" t="e">
        <f aca="false">(DATOS_[[#This Row],[S.BASE]]*(1/DATOS_[[#This Row],[% normaliz]])*(1/DATOS_[[#This Row],[% anualiz]]))*IF(DATOS_[[#This Row],[Check Equiparado]]="Sí",1,0)</f>
        <v>#DIV/0!</v>
      </c>
      <c r="BY7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0" s="138" t="e">
        <f aca="false">+DATOS_[[#This Row],[SALARIO BASE Eq]]+DATOS_[[#This Row],[Tot COMPL.SAL Eq]]</f>
        <v>#DIV/0!</v>
      </c>
      <c r="CA730" s="138" t="e">
        <f aca="false" t="array" ref="CA730:CA7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0" s="138" t="e">
        <f aca="false">+DATOS_[[#This Row],[TOTAL SALARIO Eq]]+DATOS_[[#This Row],[Tot Extrasalarial Eq]]</f>
        <v>#DIV/0!</v>
      </c>
      <c r="CC730" s="139" t="n">
        <f aca="false">DATOS_[[#This Row],[S.BASE]]</f>
        <v>0</v>
      </c>
      <c r="CD730" s="139" t="n">
        <f aca="false">+SUM(DATOS_[[#This Row],[Conc.Sal.01]:[Conc.Sal.30]])</f>
        <v>0</v>
      </c>
      <c r="CE730" s="139" t="n">
        <f aca="false">+DATOS_[[#This Row],[SALARIO BASE Ef]]+DATOS_[[#This Row],[Tot COMPL.SAL Ef]]</f>
        <v>0</v>
      </c>
      <c r="CF730" s="139" t="n">
        <f aca="false">+SUM(DATOS_[[#This Row],[C.Extra.01]:[C.Extra.05]])</f>
        <v>0</v>
      </c>
      <c r="CG730" s="139" t="n">
        <f aca="false">+DATOS_[[#This Row],[TOTAL SALARIO Ef]]+DATOS_[[#This Row],[Tot Extrasalarial Ef]]</f>
        <v>0</v>
      </c>
      <c r="CH730" s="140" t="n">
        <f aca="false">MIN(IF(DATOS_[[#This Row],[Fecha Fin Contrato]]="",$D$4,DATOS_[[#This Row],[Fecha Fin Contrato]]),$D$4)-MAX(DATOS_[[#This Row],[Fecha de Contratación]],$D$3)+1</f>
        <v>1</v>
      </c>
      <c r="CI730" s="141" t="str">
        <f aca="false">IF(COUNTIFS(DATOS_[id],DATOS_[[#This Row],[id]])&gt;1,DATOS_[[#This Row],[id]],"")</f>
        <v/>
      </c>
      <c r="CJ730" s="141" t="n">
        <f aca="false">(Inicio!$G$10-DATOS_[[#This Row],[Fecha Nacimiento]])/365.25</f>
        <v>0</v>
      </c>
      <c r="CK730" s="141" t="n">
        <f aca="false">(Inicio!$G$10-DATOS_[[#This Row],[Fecha de Antigüedad]])/365.25</f>
        <v>0</v>
      </c>
      <c r="CL730" s="141" t="e">
        <f aca="false">+VLOOKUP(DATOS_[[#This Row],[Clave de Contrato]],TblTiposContrato13[],3,0)</f>
        <v>#N/A</v>
      </c>
      <c r="CM730" s="141" t="e">
        <f aca="false">+VLOOKUP(DATOS_[[#This Row],[Clave de Contrato]],TblTiposContrato13[],4,0)</f>
        <v>#N/A</v>
      </c>
      <c r="CN730" s="141" t="str">
        <f aca="false">VLOOKUP(DATOS_[[#This Row],[Edad]],CONTRATOS!TblRngEdad,2,1)</f>
        <v>20  o menos</v>
      </c>
      <c r="CO730" s="141" t="str">
        <f aca="false">VLOOKUP(DATOS_[[#This Row],[Antigüedad]],TblRngAntg14[],2,1)</f>
        <v>0 a 1 años</v>
      </c>
    </row>
    <row r="731" customFormat="false" ht="13.8" hidden="false" customHeight="false" outlineLevel="0" collapsed="false">
      <c r="D731" s="128"/>
      <c r="E731" s="129"/>
      <c r="F731" s="129"/>
      <c r="G731" s="129"/>
      <c r="H731" s="130"/>
      <c r="I731" s="131"/>
      <c r="J731" s="128"/>
      <c r="K731" s="132"/>
      <c r="L731" s="132"/>
      <c r="M731" s="133"/>
      <c r="N731" s="133"/>
      <c r="O731" s="133"/>
      <c r="P731" s="129"/>
      <c r="Z731" s="75"/>
      <c r="AA731" s="76"/>
      <c r="AB731" s="76"/>
      <c r="AC731" s="129"/>
      <c r="AD731" s="134"/>
      <c r="AE731" s="134"/>
      <c r="AF731" s="134"/>
      <c r="AG731" s="134"/>
      <c r="AH731" s="134"/>
      <c r="AI731" s="134"/>
      <c r="AJ731" s="134"/>
      <c r="AK731" s="134"/>
      <c r="AL731" s="134"/>
      <c r="AM731" s="134"/>
      <c r="AN731" s="134"/>
      <c r="AO731" s="134"/>
      <c r="AP731" s="134"/>
      <c r="AQ731" s="134"/>
      <c r="AR731" s="134"/>
      <c r="AS731" s="134"/>
      <c r="AT731" s="134"/>
      <c r="AU731" s="134"/>
      <c r="AV731" s="134"/>
      <c r="AW731" s="134"/>
      <c r="AX731" s="134"/>
      <c r="AY731" s="134"/>
      <c r="AZ731" s="134"/>
      <c r="BA731" s="134"/>
      <c r="BB731" s="134"/>
      <c r="BC731" s="134"/>
      <c r="BD731" s="134"/>
      <c r="BE731" s="134"/>
      <c r="BF731" s="134"/>
      <c r="BG731" s="134"/>
      <c r="BH731" s="134"/>
      <c r="BI731" s="134"/>
      <c r="BJ731" s="134"/>
      <c r="BK731" s="134"/>
      <c r="BL731" s="134"/>
      <c r="BM731" s="135"/>
      <c r="BN731" s="136" t="n">
        <f aca="false">+MAX($D$3,DATOS_[[#This Row],[Fecha Inicio Sit. Contract.]])</f>
        <v>0</v>
      </c>
      <c r="BO731" s="136" t="n">
        <f aca="false">+MIN($D$4,DATOS_[[#This Row],[Fecha Fin Sit. Contract.]])</f>
        <v>0</v>
      </c>
      <c r="BP731" s="137" t="n">
        <f aca="false">+DATOS_[[#This Row],[% de jornada]]*IF(DATOS_[[#This Row],[% jornada reducida]]="",1,DATOS_[[#This Row],[% jornada reducida]])</f>
        <v>0</v>
      </c>
      <c r="BQ731" s="137" t="n">
        <f aca="false">+(DATOS_[[#This Row],[F.fin.cal]]-DATOS_[[#This Row],[F.ini.cal]]+1)/($D$4-$D$3+1)</f>
        <v>1</v>
      </c>
      <c r="BR731" s="137" t="str">
        <f aca="false">IF(OR(AND(DATOS_[[#This Row],[Fecha Fin Contrato]]&lt;$D$3,DATOS_[[#This Row],[Fecha Fin Contrato]]&lt;&gt;""),DATOS_[[#This Row],[Fecha de Contratación]]&gt;$D$4),"Fuera","Dentro")</f>
        <v>Dentro</v>
      </c>
      <c r="BS731" s="137" t="str">
        <f aca="false" t="array" ref="BS731:BS731">IF(MAX(IF(DATOS_[id]=DATOS_[[#This Row],[id]],DATOS_[F.fin.cal]))=DATOS_[[#This Row],[F.fin.cal]],"Sí","NO")</f>
        <v>Sí</v>
      </c>
      <c r="BT731" s="137" t="str">
        <f aca="false">IF(AND(DATOS_[[#This Row],[% normaliz]]&lt;&gt;1,DATOS_[[#This Row],[% anualiz]]=1),"Sí","NO")</f>
        <v>Sí</v>
      </c>
      <c r="BU731" s="137" t="str">
        <f aca="false">IF(AND(DATOS_[[#This Row],[% normaliz]]=1,DATOS_[[#This Row],[% anualiz]]&lt;&gt;1),"Sí","NO")</f>
        <v>NO</v>
      </c>
      <c r="BV731" s="137" t="str">
        <f aca="false">IF(AND(DATOS_[[#This Row],[% normaliz]]&lt;&gt;1,DATOS_[[#This Row],[% anualiz]]&lt;&gt;1),"Sí","NO")</f>
        <v>NO</v>
      </c>
      <c r="BW731" s="137" t="str">
        <f aca="false">+IF(DATOS_[[#This Row],[% normaliz]]*DATOS_[[#This Row],[% anualiz]]=1,"NO","Sí")</f>
        <v>Sí</v>
      </c>
      <c r="BX731" s="138" t="e">
        <f aca="false">(DATOS_[[#This Row],[S.BASE]]*(1/DATOS_[[#This Row],[% normaliz]])*(1/DATOS_[[#This Row],[% anualiz]]))*IF(DATOS_[[#This Row],[Check Equiparado]]="Sí",1,0)</f>
        <v>#DIV/0!</v>
      </c>
      <c r="BY7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1" s="138" t="e">
        <f aca="false">+DATOS_[[#This Row],[SALARIO BASE Eq]]+DATOS_[[#This Row],[Tot COMPL.SAL Eq]]</f>
        <v>#DIV/0!</v>
      </c>
      <c r="CA731" s="138" t="e">
        <f aca="false" t="array" ref="CA731:CA7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1" s="138" t="e">
        <f aca="false">+DATOS_[[#This Row],[TOTAL SALARIO Eq]]+DATOS_[[#This Row],[Tot Extrasalarial Eq]]</f>
        <v>#DIV/0!</v>
      </c>
      <c r="CC731" s="139" t="n">
        <f aca="false">DATOS_[[#This Row],[S.BASE]]</f>
        <v>0</v>
      </c>
      <c r="CD731" s="139" t="n">
        <f aca="false">+SUM(DATOS_[[#This Row],[Conc.Sal.01]:[Conc.Sal.30]])</f>
        <v>0</v>
      </c>
      <c r="CE731" s="139" t="n">
        <f aca="false">+DATOS_[[#This Row],[SALARIO BASE Ef]]+DATOS_[[#This Row],[Tot COMPL.SAL Ef]]</f>
        <v>0</v>
      </c>
      <c r="CF731" s="139" t="n">
        <f aca="false">+SUM(DATOS_[[#This Row],[C.Extra.01]:[C.Extra.05]])</f>
        <v>0</v>
      </c>
      <c r="CG731" s="139" t="n">
        <f aca="false">+DATOS_[[#This Row],[TOTAL SALARIO Ef]]+DATOS_[[#This Row],[Tot Extrasalarial Ef]]</f>
        <v>0</v>
      </c>
      <c r="CH731" s="140" t="n">
        <f aca="false">MIN(IF(DATOS_[[#This Row],[Fecha Fin Contrato]]="",$D$4,DATOS_[[#This Row],[Fecha Fin Contrato]]),$D$4)-MAX(DATOS_[[#This Row],[Fecha de Contratación]],$D$3)+1</f>
        <v>1</v>
      </c>
      <c r="CI731" s="141" t="str">
        <f aca="false">IF(COUNTIFS(DATOS_[id],DATOS_[[#This Row],[id]])&gt;1,DATOS_[[#This Row],[id]],"")</f>
        <v/>
      </c>
      <c r="CJ731" s="141" t="n">
        <f aca="false">(Inicio!$G$10-DATOS_[[#This Row],[Fecha Nacimiento]])/365.25</f>
        <v>0</v>
      </c>
      <c r="CK731" s="141" t="n">
        <f aca="false">(Inicio!$G$10-DATOS_[[#This Row],[Fecha de Antigüedad]])/365.25</f>
        <v>0</v>
      </c>
      <c r="CL731" s="141" t="e">
        <f aca="false">+VLOOKUP(DATOS_[[#This Row],[Clave de Contrato]],TblTiposContrato13[],3,0)</f>
        <v>#N/A</v>
      </c>
      <c r="CM731" s="141" t="e">
        <f aca="false">+VLOOKUP(DATOS_[[#This Row],[Clave de Contrato]],TblTiposContrato13[],4,0)</f>
        <v>#N/A</v>
      </c>
      <c r="CN731" s="141" t="str">
        <f aca="false">VLOOKUP(DATOS_[[#This Row],[Edad]],CONTRATOS!TblRngEdad,2,1)</f>
        <v>20  o menos</v>
      </c>
      <c r="CO731" s="141" t="str">
        <f aca="false">VLOOKUP(DATOS_[[#This Row],[Antigüedad]],TblRngAntg14[],2,1)</f>
        <v>0 a 1 años</v>
      </c>
    </row>
    <row r="732" customFormat="false" ht="13.8" hidden="false" customHeight="false" outlineLevel="0" collapsed="false">
      <c r="D732" s="128"/>
      <c r="E732" s="129"/>
      <c r="F732" s="129"/>
      <c r="G732" s="129"/>
      <c r="H732" s="130"/>
      <c r="I732" s="131"/>
      <c r="J732" s="128"/>
      <c r="K732" s="132"/>
      <c r="L732" s="132"/>
      <c r="M732" s="133"/>
      <c r="N732" s="133"/>
      <c r="O732" s="133"/>
      <c r="P732" s="129"/>
      <c r="Z732" s="75"/>
      <c r="AA732" s="76"/>
      <c r="AB732" s="76"/>
      <c r="AC732" s="129"/>
      <c r="AD732" s="134"/>
      <c r="AE732" s="134"/>
      <c r="AF732" s="134"/>
      <c r="AG732" s="134"/>
      <c r="AH732" s="134"/>
      <c r="AI732" s="134"/>
      <c r="AJ732" s="134"/>
      <c r="AK732" s="134"/>
      <c r="AL732" s="134"/>
      <c r="AM732" s="134"/>
      <c r="AN732" s="134"/>
      <c r="AO732" s="134"/>
      <c r="AP732" s="134"/>
      <c r="AQ732" s="134"/>
      <c r="AR732" s="134"/>
      <c r="AS732" s="134"/>
      <c r="AT732" s="134"/>
      <c r="AU732" s="134"/>
      <c r="AV732" s="134"/>
      <c r="AW732" s="134"/>
      <c r="AX732" s="134"/>
      <c r="AY732" s="134"/>
      <c r="AZ732" s="134"/>
      <c r="BA732" s="134"/>
      <c r="BB732" s="134"/>
      <c r="BC732" s="134"/>
      <c r="BD732" s="134"/>
      <c r="BE732" s="134"/>
      <c r="BF732" s="134"/>
      <c r="BG732" s="134"/>
      <c r="BH732" s="134"/>
      <c r="BI732" s="134"/>
      <c r="BJ732" s="134"/>
      <c r="BK732" s="134"/>
      <c r="BL732" s="134"/>
      <c r="BM732" s="135"/>
      <c r="BN732" s="136" t="n">
        <f aca="false">+MAX($D$3,DATOS_[[#This Row],[Fecha Inicio Sit. Contract.]])</f>
        <v>0</v>
      </c>
      <c r="BO732" s="136" t="n">
        <f aca="false">+MIN($D$4,DATOS_[[#This Row],[Fecha Fin Sit. Contract.]])</f>
        <v>0</v>
      </c>
      <c r="BP732" s="137" t="n">
        <f aca="false">+DATOS_[[#This Row],[% de jornada]]*IF(DATOS_[[#This Row],[% jornada reducida]]="",1,DATOS_[[#This Row],[% jornada reducida]])</f>
        <v>0</v>
      </c>
      <c r="BQ732" s="137" t="n">
        <f aca="false">+(DATOS_[[#This Row],[F.fin.cal]]-DATOS_[[#This Row],[F.ini.cal]]+1)/($D$4-$D$3+1)</f>
        <v>1</v>
      </c>
      <c r="BR732" s="137" t="str">
        <f aca="false">IF(OR(AND(DATOS_[[#This Row],[Fecha Fin Contrato]]&lt;$D$3,DATOS_[[#This Row],[Fecha Fin Contrato]]&lt;&gt;""),DATOS_[[#This Row],[Fecha de Contratación]]&gt;$D$4),"Fuera","Dentro")</f>
        <v>Dentro</v>
      </c>
      <c r="BS732" s="137" t="str">
        <f aca="false" t="array" ref="BS732:BS732">IF(MAX(IF(DATOS_[id]=DATOS_[[#This Row],[id]],DATOS_[F.fin.cal]))=DATOS_[[#This Row],[F.fin.cal]],"Sí","NO")</f>
        <v>Sí</v>
      </c>
      <c r="BT732" s="137" t="str">
        <f aca="false">IF(AND(DATOS_[[#This Row],[% normaliz]]&lt;&gt;1,DATOS_[[#This Row],[% anualiz]]=1),"Sí","NO")</f>
        <v>Sí</v>
      </c>
      <c r="BU732" s="137" t="str">
        <f aca="false">IF(AND(DATOS_[[#This Row],[% normaliz]]=1,DATOS_[[#This Row],[% anualiz]]&lt;&gt;1),"Sí","NO")</f>
        <v>NO</v>
      </c>
      <c r="BV732" s="137" t="str">
        <f aca="false">IF(AND(DATOS_[[#This Row],[% normaliz]]&lt;&gt;1,DATOS_[[#This Row],[% anualiz]]&lt;&gt;1),"Sí","NO")</f>
        <v>NO</v>
      </c>
      <c r="BW732" s="137" t="str">
        <f aca="false">+IF(DATOS_[[#This Row],[% normaliz]]*DATOS_[[#This Row],[% anualiz]]=1,"NO","Sí")</f>
        <v>Sí</v>
      </c>
      <c r="BX732" s="138" t="e">
        <f aca="false">(DATOS_[[#This Row],[S.BASE]]*(1/DATOS_[[#This Row],[% normaliz]])*(1/DATOS_[[#This Row],[% anualiz]]))*IF(DATOS_[[#This Row],[Check Equiparado]]="Sí",1,0)</f>
        <v>#DIV/0!</v>
      </c>
      <c r="BY7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2" s="138" t="e">
        <f aca="false">+DATOS_[[#This Row],[SALARIO BASE Eq]]+DATOS_[[#This Row],[Tot COMPL.SAL Eq]]</f>
        <v>#DIV/0!</v>
      </c>
      <c r="CA732" s="138" t="e">
        <f aca="false" t="array" ref="CA732:CA7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2" s="138" t="e">
        <f aca="false">+DATOS_[[#This Row],[TOTAL SALARIO Eq]]+DATOS_[[#This Row],[Tot Extrasalarial Eq]]</f>
        <v>#DIV/0!</v>
      </c>
      <c r="CC732" s="139" t="n">
        <f aca="false">DATOS_[[#This Row],[S.BASE]]</f>
        <v>0</v>
      </c>
      <c r="CD732" s="139" t="n">
        <f aca="false">+SUM(DATOS_[[#This Row],[Conc.Sal.01]:[Conc.Sal.30]])</f>
        <v>0</v>
      </c>
      <c r="CE732" s="139" t="n">
        <f aca="false">+DATOS_[[#This Row],[SALARIO BASE Ef]]+DATOS_[[#This Row],[Tot COMPL.SAL Ef]]</f>
        <v>0</v>
      </c>
      <c r="CF732" s="139" t="n">
        <f aca="false">+SUM(DATOS_[[#This Row],[C.Extra.01]:[C.Extra.05]])</f>
        <v>0</v>
      </c>
      <c r="CG732" s="139" t="n">
        <f aca="false">+DATOS_[[#This Row],[TOTAL SALARIO Ef]]+DATOS_[[#This Row],[Tot Extrasalarial Ef]]</f>
        <v>0</v>
      </c>
      <c r="CH732" s="140" t="n">
        <f aca="false">MIN(IF(DATOS_[[#This Row],[Fecha Fin Contrato]]="",$D$4,DATOS_[[#This Row],[Fecha Fin Contrato]]),$D$4)-MAX(DATOS_[[#This Row],[Fecha de Contratación]],$D$3)+1</f>
        <v>1</v>
      </c>
      <c r="CI732" s="141" t="str">
        <f aca="false">IF(COUNTIFS(DATOS_[id],DATOS_[[#This Row],[id]])&gt;1,DATOS_[[#This Row],[id]],"")</f>
        <v/>
      </c>
      <c r="CJ732" s="141" t="n">
        <f aca="false">(Inicio!$G$10-DATOS_[[#This Row],[Fecha Nacimiento]])/365.25</f>
        <v>0</v>
      </c>
      <c r="CK732" s="141" t="n">
        <f aca="false">(Inicio!$G$10-DATOS_[[#This Row],[Fecha de Antigüedad]])/365.25</f>
        <v>0</v>
      </c>
      <c r="CL732" s="141" t="e">
        <f aca="false">+VLOOKUP(DATOS_[[#This Row],[Clave de Contrato]],TblTiposContrato13[],3,0)</f>
        <v>#N/A</v>
      </c>
      <c r="CM732" s="141" t="e">
        <f aca="false">+VLOOKUP(DATOS_[[#This Row],[Clave de Contrato]],TblTiposContrato13[],4,0)</f>
        <v>#N/A</v>
      </c>
      <c r="CN732" s="141" t="str">
        <f aca="false">VLOOKUP(DATOS_[[#This Row],[Edad]],CONTRATOS!TblRngEdad,2,1)</f>
        <v>20  o menos</v>
      </c>
      <c r="CO732" s="141" t="str">
        <f aca="false">VLOOKUP(DATOS_[[#This Row],[Antigüedad]],TblRngAntg14[],2,1)</f>
        <v>0 a 1 años</v>
      </c>
    </row>
    <row r="733" customFormat="false" ht="13.8" hidden="false" customHeight="false" outlineLevel="0" collapsed="false">
      <c r="D733" s="128"/>
      <c r="E733" s="129"/>
      <c r="F733" s="129"/>
      <c r="G733" s="129"/>
      <c r="H733" s="130"/>
      <c r="I733" s="131"/>
      <c r="J733" s="128"/>
      <c r="K733" s="132"/>
      <c r="L733" s="132"/>
      <c r="M733" s="133"/>
      <c r="N733" s="133"/>
      <c r="O733" s="133"/>
      <c r="P733" s="129"/>
      <c r="Z733" s="75"/>
      <c r="AA733" s="76"/>
      <c r="AB733" s="76"/>
      <c r="AC733" s="129"/>
      <c r="AD733" s="134"/>
      <c r="AE733" s="134"/>
      <c r="AF733" s="134"/>
      <c r="AG733" s="134"/>
      <c r="AH733" s="134"/>
      <c r="AI733" s="134"/>
      <c r="AJ733" s="134"/>
      <c r="AK733" s="134"/>
      <c r="AL733" s="134"/>
      <c r="AM733" s="134"/>
      <c r="AN733" s="134"/>
      <c r="AO733" s="134"/>
      <c r="AP733" s="134"/>
      <c r="AQ733" s="134"/>
      <c r="AR733" s="134"/>
      <c r="AS733" s="134"/>
      <c r="AT733" s="134"/>
      <c r="AU733" s="134"/>
      <c r="AV733" s="134"/>
      <c r="AW733" s="134"/>
      <c r="AX733" s="134"/>
      <c r="AY733" s="134"/>
      <c r="AZ733" s="134"/>
      <c r="BA733" s="134"/>
      <c r="BB733" s="134"/>
      <c r="BC733" s="134"/>
      <c r="BD733" s="134"/>
      <c r="BE733" s="134"/>
      <c r="BF733" s="134"/>
      <c r="BG733" s="134"/>
      <c r="BH733" s="134"/>
      <c r="BI733" s="134"/>
      <c r="BJ733" s="134"/>
      <c r="BK733" s="134"/>
      <c r="BL733" s="134"/>
      <c r="BM733" s="135"/>
      <c r="BN733" s="136" t="n">
        <f aca="false">+MAX($D$3,DATOS_[[#This Row],[Fecha Inicio Sit. Contract.]])</f>
        <v>0</v>
      </c>
      <c r="BO733" s="136" t="n">
        <f aca="false">+MIN($D$4,DATOS_[[#This Row],[Fecha Fin Sit. Contract.]])</f>
        <v>0</v>
      </c>
      <c r="BP733" s="137" t="n">
        <f aca="false">+DATOS_[[#This Row],[% de jornada]]*IF(DATOS_[[#This Row],[% jornada reducida]]="",1,DATOS_[[#This Row],[% jornada reducida]])</f>
        <v>0</v>
      </c>
      <c r="BQ733" s="137" t="n">
        <f aca="false">+(DATOS_[[#This Row],[F.fin.cal]]-DATOS_[[#This Row],[F.ini.cal]]+1)/($D$4-$D$3+1)</f>
        <v>1</v>
      </c>
      <c r="BR733" s="137" t="str">
        <f aca="false">IF(OR(AND(DATOS_[[#This Row],[Fecha Fin Contrato]]&lt;$D$3,DATOS_[[#This Row],[Fecha Fin Contrato]]&lt;&gt;""),DATOS_[[#This Row],[Fecha de Contratación]]&gt;$D$4),"Fuera","Dentro")</f>
        <v>Dentro</v>
      </c>
      <c r="BS733" s="137" t="str">
        <f aca="false" t="array" ref="BS733:BS733">IF(MAX(IF(DATOS_[id]=DATOS_[[#This Row],[id]],DATOS_[F.fin.cal]))=DATOS_[[#This Row],[F.fin.cal]],"Sí","NO")</f>
        <v>Sí</v>
      </c>
      <c r="BT733" s="137" t="str">
        <f aca="false">IF(AND(DATOS_[[#This Row],[% normaliz]]&lt;&gt;1,DATOS_[[#This Row],[% anualiz]]=1),"Sí","NO")</f>
        <v>Sí</v>
      </c>
      <c r="BU733" s="137" t="str">
        <f aca="false">IF(AND(DATOS_[[#This Row],[% normaliz]]=1,DATOS_[[#This Row],[% anualiz]]&lt;&gt;1),"Sí","NO")</f>
        <v>NO</v>
      </c>
      <c r="BV733" s="137" t="str">
        <f aca="false">IF(AND(DATOS_[[#This Row],[% normaliz]]&lt;&gt;1,DATOS_[[#This Row],[% anualiz]]&lt;&gt;1),"Sí","NO")</f>
        <v>NO</v>
      </c>
      <c r="BW733" s="137" t="str">
        <f aca="false">+IF(DATOS_[[#This Row],[% normaliz]]*DATOS_[[#This Row],[% anualiz]]=1,"NO","Sí")</f>
        <v>Sí</v>
      </c>
      <c r="BX733" s="138" t="e">
        <f aca="false">(DATOS_[[#This Row],[S.BASE]]*(1/DATOS_[[#This Row],[% normaliz]])*(1/DATOS_[[#This Row],[% anualiz]]))*IF(DATOS_[[#This Row],[Check Equiparado]]="Sí",1,0)</f>
        <v>#DIV/0!</v>
      </c>
      <c r="BY7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3" s="138" t="e">
        <f aca="false">+DATOS_[[#This Row],[SALARIO BASE Eq]]+DATOS_[[#This Row],[Tot COMPL.SAL Eq]]</f>
        <v>#DIV/0!</v>
      </c>
      <c r="CA733" s="138" t="e">
        <f aca="false" t="array" ref="CA733:CA7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3" s="138" t="e">
        <f aca="false">+DATOS_[[#This Row],[TOTAL SALARIO Eq]]+DATOS_[[#This Row],[Tot Extrasalarial Eq]]</f>
        <v>#DIV/0!</v>
      </c>
      <c r="CC733" s="139" t="n">
        <f aca="false">DATOS_[[#This Row],[S.BASE]]</f>
        <v>0</v>
      </c>
      <c r="CD733" s="139" t="n">
        <f aca="false">+SUM(DATOS_[[#This Row],[Conc.Sal.01]:[Conc.Sal.30]])</f>
        <v>0</v>
      </c>
      <c r="CE733" s="139" t="n">
        <f aca="false">+DATOS_[[#This Row],[SALARIO BASE Ef]]+DATOS_[[#This Row],[Tot COMPL.SAL Ef]]</f>
        <v>0</v>
      </c>
      <c r="CF733" s="139" t="n">
        <f aca="false">+SUM(DATOS_[[#This Row],[C.Extra.01]:[C.Extra.05]])</f>
        <v>0</v>
      </c>
      <c r="CG733" s="139" t="n">
        <f aca="false">+DATOS_[[#This Row],[TOTAL SALARIO Ef]]+DATOS_[[#This Row],[Tot Extrasalarial Ef]]</f>
        <v>0</v>
      </c>
      <c r="CH733" s="140" t="n">
        <f aca="false">MIN(IF(DATOS_[[#This Row],[Fecha Fin Contrato]]="",$D$4,DATOS_[[#This Row],[Fecha Fin Contrato]]),$D$4)-MAX(DATOS_[[#This Row],[Fecha de Contratación]],$D$3)+1</f>
        <v>1</v>
      </c>
      <c r="CI733" s="141" t="str">
        <f aca="false">IF(COUNTIFS(DATOS_[id],DATOS_[[#This Row],[id]])&gt;1,DATOS_[[#This Row],[id]],"")</f>
        <v/>
      </c>
      <c r="CJ733" s="141" t="n">
        <f aca="false">(Inicio!$G$10-DATOS_[[#This Row],[Fecha Nacimiento]])/365.25</f>
        <v>0</v>
      </c>
      <c r="CK733" s="141" t="n">
        <f aca="false">(Inicio!$G$10-DATOS_[[#This Row],[Fecha de Antigüedad]])/365.25</f>
        <v>0</v>
      </c>
      <c r="CL733" s="141" t="e">
        <f aca="false">+VLOOKUP(DATOS_[[#This Row],[Clave de Contrato]],TblTiposContrato13[],3,0)</f>
        <v>#N/A</v>
      </c>
      <c r="CM733" s="141" t="e">
        <f aca="false">+VLOOKUP(DATOS_[[#This Row],[Clave de Contrato]],TblTiposContrato13[],4,0)</f>
        <v>#N/A</v>
      </c>
      <c r="CN733" s="141" t="str">
        <f aca="false">VLOOKUP(DATOS_[[#This Row],[Edad]],CONTRATOS!TblRngEdad,2,1)</f>
        <v>20  o menos</v>
      </c>
      <c r="CO733" s="141" t="str">
        <f aca="false">VLOOKUP(DATOS_[[#This Row],[Antigüedad]],TblRngAntg14[],2,1)</f>
        <v>0 a 1 años</v>
      </c>
    </row>
    <row r="734" customFormat="false" ht="13.8" hidden="false" customHeight="false" outlineLevel="0" collapsed="false">
      <c r="D734" s="128"/>
      <c r="E734" s="129"/>
      <c r="F734" s="129"/>
      <c r="G734" s="129"/>
      <c r="H734" s="130"/>
      <c r="I734" s="131"/>
      <c r="J734" s="128"/>
      <c r="K734" s="132"/>
      <c r="L734" s="132"/>
      <c r="M734" s="133"/>
      <c r="N734" s="133"/>
      <c r="O734" s="133"/>
      <c r="P734" s="129"/>
      <c r="Z734" s="75"/>
      <c r="AA734" s="76"/>
      <c r="AB734" s="76"/>
      <c r="AC734" s="129"/>
      <c r="AD734" s="134"/>
      <c r="AE734" s="134"/>
      <c r="AF734" s="134"/>
      <c r="AG734" s="134"/>
      <c r="AH734" s="134"/>
      <c r="AI734" s="134"/>
      <c r="AJ734" s="134"/>
      <c r="AK734" s="134"/>
      <c r="AL734" s="134"/>
      <c r="AM734" s="134"/>
      <c r="AN734" s="134"/>
      <c r="AO734" s="134"/>
      <c r="AP734" s="134"/>
      <c r="AQ734" s="134"/>
      <c r="AR734" s="134"/>
      <c r="AS734" s="134"/>
      <c r="AT734" s="134"/>
      <c r="AU734" s="134"/>
      <c r="AV734" s="134"/>
      <c r="AW734" s="134"/>
      <c r="AX734" s="134"/>
      <c r="AY734" s="134"/>
      <c r="AZ734" s="134"/>
      <c r="BA734" s="134"/>
      <c r="BB734" s="134"/>
      <c r="BC734" s="134"/>
      <c r="BD734" s="134"/>
      <c r="BE734" s="134"/>
      <c r="BF734" s="134"/>
      <c r="BG734" s="134"/>
      <c r="BH734" s="134"/>
      <c r="BI734" s="134"/>
      <c r="BJ734" s="134"/>
      <c r="BK734" s="134"/>
      <c r="BL734" s="134"/>
      <c r="BM734" s="135"/>
      <c r="BN734" s="136" t="n">
        <f aca="false">+MAX($D$3,DATOS_[[#This Row],[Fecha Inicio Sit. Contract.]])</f>
        <v>0</v>
      </c>
      <c r="BO734" s="136" t="n">
        <f aca="false">+MIN($D$4,DATOS_[[#This Row],[Fecha Fin Sit. Contract.]])</f>
        <v>0</v>
      </c>
      <c r="BP734" s="137" t="n">
        <f aca="false">+DATOS_[[#This Row],[% de jornada]]*IF(DATOS_[[#This Row],[% jornada reducida]]="",1,DATOS_[[#This Row],[% jornada reducida]])</f>
        <v>0</v>
      </c>
      <c r="BQ734" s="137" t="n">
        <f aca="false">+(DATOS_[[#This Row],[F.fin.cal]]-DATOS_[[#This Row],[F.ini.cal]]+1)/($D$4-$D$3+1)</f>
        <v>1</v>
      </c>
      <c r="BR734" s="137" t="str">
        <f aca="false">IF(OR(AND(DATOS_[[#This Row],[Fecha Fin Contrato]]&lt;$D$3,DATOS_[[#This Row],[Fecha Fin Contrato]]&lt;&gt;""),DATOS_[[#This Row],[Fecha de Contratación]]&gt;$D$4),"Fuera","Dentro")</f>
        <v>Dentro</v>
      </c>
      <c r="BS734" s="137" t="str">
        <f aca="false" t="array" ref="BS734:BS734">IF(MAX(IF(DATOS_[id]=DATOS_[[#This Row],[id]],DATOS_[F.fin.cal]))=DATOS_[[#This Row],[F.fin.cal]],"Sí","NO")</f>
        <v>Sí</v>
      </c>
      <c r="BT734" s="137" t="str">
        <f aca="false">IF(AND(DATOS_[[#This Row],[% normaliz]]&lt;&gt;1,DATOS_[[#This Row],[% anualiz]]=1),"Sí","NO")</f>
        <v>Sí</v>
      </c>
      <c r="BU734" s="137" t="str">
        <f aca="false">IF(AND(DATOS_[[#This Row],[% normaliz]]=1,DATOS_[[#This Row],[% anualiz]]&lt;&gt;1),"Sí","NO")</f>
        <v>NO</v>
      </c>
      <c r="BV734" s="137" t="str">
        <f aca="false">IF(AND(DATOS_[[#This Row],[% normaliz]]&lt;&gt;1,DATOS_[[#This Row],[% anualiz]]&lt;&gt;1),"Sí","NO")</f>
        <v>NO</v>
      </c>
      <c r="BW734" s="137" t="str">
        <f aca="false">+IF(DATOS_[[#This Row],[% normaliz]]*DATOS_[[#This Row],[% anualiz]]=1,"NO","Sí")</f>
        <v>Sí</v>
      </c>
      <c r="BX734" s="138" t="e">
        <f aca="false">(DATOS_[[#This Row],[S.BASE]]*(1/DATOS_[[#This Row],[% normaliz]])*(1/DATOS_[[#This Row],[% anualiz]]))*IF(DATOS_[[#This Row],[Check Equiparado]]="Sí",1,0)</f>
        <v>#DIV/0!</v>
      </c>
      <c r="BY7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4" s="138" t="e">
        <f aca="false">+DATOS_[[#This Row],[SALARIO BASE Eq]]+DATOS_[[#This Row],[Tot COMPL.SAL Eq]]</f>
        <v>#DIV/0!</v>
      </c>
      <c r="CA734" s="138" t="e">
        <f aca="false" t="array" ref="CA734:CA7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4" s="138" t="e">
        <f aca="false">+DATOS_[[#This Row],[TOTAL SALARIO Eq]]+DATOS_[[#This Row],[Tot Extrasalarial Eq]]</f>
        <v>#DIV/0!</v>
      </c>
      <c r="CC734" s="139" t="n">
        <f aca="false">DATOS_[[#This Row],[S.BASE]]</f>
        <v>0</v>
      </c>
      <c r="CD734" s="139" t="n">
        <f aca="false">+SUM(DATOS_[[#This Row],[Conc.Sal.01]:[Conc.Sal.30]])</f>
        <v>0</v>
      </c>
      <c r="CE734" s="139" t="n">
        <f aca="false">+DATOS_[[#This Row],[SALARIO BASE Ef]]+DATOS_[[#This Row],[Tot COMPL.SAL Ef]]</f>
        <v>0</v>
      </c>
      <c r="CF734" s="139" t="n">
        <f aca="false">+SUM(DATOS_[[#This Row],[C.Extra.01]:[C.Extra.05]])</f>
        <v>0</v>
      </c>
      <c r="CG734" s="139" t="n">
        <f aca="false">+DATOS_[[#This Row],[TOTAL SALARIO Ef]]+DATOS_[[#This Row],[Tot Extrasalarial Ef]]</f>
        <v>0</v>
      </c>
      <c r="CH734" s="140" t="n">
        <f aca="false">MIN(IF(DATOS_[[#This Row],[Fecha Fin Contrato]]="",$D$4,DATOS_[[#This Row],[Fecha Fin Contrato]]),$D$4)-MAX(DATOS_[[#This Row],[Fecha de Contratación]],$D$3)+1</f>
        <v>1</v>
      </c>
      <c r="CI734" s="141" t="str">
        <f aca="false">IF(COUNTIFS(DATOS_[id],DATOS_[[#This Row],[id]])&gt;1,DATOS_[[#This Row],[id]],"")</f>
        <v/>
      </c>
      <c r="CJ734" s="141" t="n">
        <f aca="false">(Inicio!$G$10-DATOS_[[#This Row],[Fecha Nacimiento]])/365.25</f>
        <v>0</v>
      </c>
      <c r="CK734" s="141" t="n">
        <f aca="false">(Inicio!$G$10-DATOS_[[#This Row],[Fecha de Antigüedad]])/365.25</f>
        <v>0</v>
      </c>
      <c r="CL734" s="141" t="e">
        <f aca="false">+VLOOKUP(DATOS_[[#This Row],[Clave de Contrato]],TblTiposContrato13[],3,0)</f>
        <v>#N/A</v>
      </c>
      <c r="CM734" s="141" t="e">
        <f aca="false">+VLOOKUP(DATOS_[[#This Row],[Clave de Contrato]],TblTiposContrato13[],4,0)</f>
        <v>#N/A</v>
      </c>
      <c r="CN734" s="141" t="str">
        <f aca="false">VLOOKUP(DATOS_[[#This Row],[Edad]],CONTRATOS!TblRngEdad,2,1)</f>
        <v>20  o menos</v>
      </c>
      <c r="CO734" s="141" t="str">
        <f aca="false">VLOOKUP(DATOS_[[#This Row],[Antigüedad]],TblRngAntg14[],2,1)</f>
        <v>0 a 1 años</v>
      </c>
    </row>
    <row r="735" customFormat="false" ht="13.8" hidden="false" customHeight="false" outlineLevel="0" collapsed="false">
      <c r="D735" s="128"/>
      <c r="E735" s="129"/>
      <c r="F735" s="129"/>
      <c r="G735" s="129"/>
      <c r="H735" s="130"/>
      <c r="I735" s="131"/>
      <c r="J735" s="128"/>
      <c r="K735" s="132"/>
      <c r="L735" s="132"/>
      <c r="M735" s="133"/>
      <c r="N735" s="133"/>
      <c r="O735" s="133"/>
      <c r="P735" s="129"/>
      <c r="Z735" s="75"/>
      <c r="AA735" s="76"/>
      <c r="AB735" s="76"/>
      <c r="AC735" s="129"/>
      <c r="AD735" s="134"/>
      <c r="AE735" s="134"/>
      <c r="AF735" s="134"/>
      <c r="AG735" s="134"/>
      <c r="AH735" s="134"/>
      <c r="AI735" s="134"/>
      <c r="AJ735" s="134"/>
      <c r="AK735" s="134"/>
      <c r="AL735" s="134"/>
      <c r="AM735" s="134"/>
      <c r="AN735" s="134"/>
      <c r="AO735" s="134"/>
      <c r="AP735" s="134"/>
      <c r="AQ735" s="134"/>
      <c r="AR735" s="134"/>
      <c r="AS735" s="134"/>
      <c r="AT735" s="134"/>
      <c r="AU735" s="134"/>
      <c r="AV735" s="134"/>
      <c r="AW735" s="134"/>
      <c r="AX735" s="134"/>
      <c r="AY735" s="134"/>
      <c r="AZ735" s="134"/>
      <c r="BA735" s="134"/>
      <c r="BB735" s="134"/>
      <c r="BC735" s="134"/>
      <c r="BD735" s="134"/>
      <c r="BE735" s="134"/>
      <c r="BF735" s="134"/>
      <c r="BG735" s="134"/>
      <c r="BH735" s="134"/>
      <c r="BI735" s="134"/>
      <c r="BJ735" s="134"/>
      <c r="BK735" s="134"/>
      <c r="BL735" s="134"/>
      <c r="BM735" s="135"/>
      <c r="BN735" s="136" t="n">
        <f aca="false">+MAX($D$3,DATOS_[[#This Row],[Fecha Inicio Sit. Contract.]])</f>
        <v>0</v>
      </c>
      <c r="BO735" s="136" t="n">
        <f aca="false">+MIN($D$4,DATOS_[[#This Row],[Fecha Fin Sit. Contract.]])</f>
        <v>0</v>
      </c>
      <c r="BP735" s="137" t="n">
        <f aca="false">+DATOS_[[#This Row],[% de jornada]]*IF(DATOS_[[#This Row],[% jornada reducida]]="",1,DATOS_[[#This Row],[% jornada reducida]])</f>
        <v>0</v>
      </c>
      <c r="BQ735" s="137" t="n">
        <f aca="false">+(DATOS_[[#This Row],[F.fin.cal]]-DATOS_[[#This Row],[F.ini.cal]]+1)/($D$4-$D$3+1)</f>
        <v>1</v>
      </c>
      <c r="BR735" s="137" t="str">
        <f aca="false">IF(OR(AND(DATOS_[[#This Row],[Fecha Fin Contrato]]&lt;$D$3,DATOS_[[#This Row],[Fecha Fin Contrato]]&lt;&gt;""),DATOS_[[#This Row],[Fecha de Contratación]]&gt;$D$4),"Fuera","Dentro")</f>
        <v>Dentro</v>
      </c>
      <c r="BS735" s="137" t="str">
        <f aca="false" t="array" ref="BS735:BS735">IF(MAX(IF(DATOS_[id]=DATOS_[[#This Row],[id]],DATOS_[F.fin.cal]))=DATOS_[[#This Row],[F.fin.cal]],"Sí","NO")</f>
        <v>Sí</v>
      </c>
      <c r="BT735" s="137" t="str">
        <f aca="false">IF(AND(DATOS_[[#This Row],[% normaliz]]&lt;&gt;1,DATOS_[[#This Row],[% anualiz]]=1),"Sí","NO")</f>
        <v>Sí</v>
      </c>
      <c r="BU735" s="137" t="str">
        <f aca="false">IF(AND(DATOS_[[#This Row],[% normaliz]]=1,DATOS_[[#This Row],[% anualiz]]&lt;&gt;1),"Sí","NO")</f>
        <v>NO</v>
      </c>
      <c r="BV735" s="137" t="str">
        <f aca="false">IF(AND(DATOS_[[#This Row],[% normaliz]]&lt;&gt;1,DATOS_[[#This Row],[% anualiz]]&lt;&gt;1),"Sí","NO")</f>
        <v>NO</v>
      </c>
      <c r="BW735" s="137" t="str">
        <f aca="false">+IF(DATOS_[[#This Row],[% normaliz]]*DATOS_[[#This Row],[% anualiz]]=1,"NO","Sí")</f>
        <v>Sí</v>
      </c>
      <c r="BX735" s="138" t="e">
        <f aca="false">(DATOS_[[#This Row],[S.BASE]]*(1/DATOS_[[#This Row],[% normaliz]])*(1/DATOS_[[#This Row],[% anualiz]]))*IF(DATOS_[[#This Row],[Check Equiparado]]="Sí",1,0)</f>
        <v>#DIV/0!</v>
      </c>
      <c r="BY7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5" s="138" t="e">
        <f aca="false">+DATOS_[[#This Row],[SALARIO BASE Eq]]+DATOS_[[#This Row],[Tot COMPL.SAL Eq]]</f>
        <v>#DIV/0!</v>
      </c>
      <c r="CA735" s="138" t="e">
        <f aca="false" t="array" ref="CA735:CA7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5" s="138" t="e">
        <f aca="false">+DATOS_[[#This Row],[TOTAL SALARIO Eq]]+DATOS_[[#This Row],[Tot Extrasalarial Eq]]</f>
        <v>#DIV/0!</v>
      </c>
      <c r="CC735" s="139" t="n">
        <f aca="false">DATOS_[[#This Row],[S.BASE]]</f>
        <v>0</v>
      </c>
      <c r="CD735" s="139" t="n">
        <f aca="false">+SUM(DATOS_[[#This Row],[Conc.Sal.01]:[Conc.Sal.30]])</f>
        <v>0</v>
      </c>
      <c r="CE735" s="139" t="n">
        <f aca="false">+DATOS_[[#This Row],[SALARIO BASE Ef]]+DATOS_[[#This Row],[Tot COMPL.SAL Ef]]</f>
        <v>0</v>
      </c>
      <c r="CF735" s="139" t="n">
        <f aca="false">+SUM(DATOS_[[#This Row],[C.Extra.01]:[C.Extra.05]])</f>
        <v>0</v>
      </c>
      <c r="CG735" s="139" t="n">
        <f aca="false">+DATOS_[[#This Row],[TOTAL SALARIO Ef]]+DATOS_[[#This Row],[Tot Extrasalarial Ef]]</f>
        <v>0</v>
      </c>
      <c r="CH735" s="140" t="n">
        <f aca="false">MIN(IF(DATOS_[[#This Row],[Fecha Fin Contrato]]="",$D$4,DATOS_[[#This Row],[Fecha Fin Contrato]]),$D$4)-MAX(DATOS_[[#This Row],[Fecha de Contratación]],$D$3)+1</f>
        <v>1</v>
      </c>
      <c r="CI735" s="141" t="str">
        <f aca="false">IF(COUNTIFS(DATOS_[id],DATOS_[[#This Row],[id]])&gt;1,DATOS_[[#This Row],[id]],"")</f>
        <v/>
      </c>
      <c r="CJ735" s="141" t="n">
        <f aca="false">(Inicio!$G$10-DATOS_[[#This Row],[Fecha Nacimiento]])/365.25</f>
        <v>0</v>
      </c>
      <c r="CK735" s="141" t="n">
        <f aca="false">(Inicio!$G$10-DATOS_[[#This Row],[Fecha de Antigüedad]])/365.25</f>
        <v>0</v>
      </c>
      <c r="CL735" s="141" t="e">
        <f aca="false">+VLOOKUP(DATOS_[[#This Row],[Clave de Contrato]],TblTiposContrato13[],3,0)</f>
        <v>#N/A</v>
      </c>
      <c r="CM735" s="141" t="e">
        <f aca="false">+VLOOKUP(DATOS_[[#This Row],[Clave de Contrato]],TblTiposContrato13[],4,0)</f>
        <v>#N/A</v>
      </c>
      <c r="CN735" s="141" t="str">
        <f aca="false">VLOOKUP(DATOS_[[#This Row],[Edad]],CONTRATOS!TblRngEdad,2,1)</f>
        <v>20  o menos</v>
      </c>
      <c r="CO735" s="141" t="str">
        <f aca="false">VLOOKUP(DATOS_[[#This Row],[Antigüedad]],TblRngAntg14[],2,1)</f>
        <v>0 a 1 años</v>
      </c>
    </row>
    <row r="736" customFormat="false" ht="13.8" hidden="false" customHeight="false" outlineLevel="0" collapsed="false">
      <c r="D736" s="128"/>
      <c r="E736" s="129"/>
      <c r="F736" s="129"/>
      <c r="G736" s="129"/>
      <c r="H736" s="130"/>
      <c r="I736" s="131"/>
      <c r="J736" s="128"/>
      <c r="K736" s="132"/>
      <c r="L736" s="132"/>
      <c r="M736" s="133"/>
      <c r="N736" s="133"/>
      <c r="O736" s="133"/>
      <c r="P736" s="129"/>
      <c r="Z736" s="75"/>
      <c r="AA736" s="76"/>
      <c r="AB736" s="76"/>
      <c r="AC736" s="129"/>
      <c r="AD736" s="134"/>
      <c r="AE736" s="134"/>
      <c r="AF736" s="134"/>
      <c r="AG736" s="134"/>
      <c r="AH736" s="134"/>
      <c r="AI736" s="134"/>
      <c r="AJ736" s="134"/>
      <c r="AK736" s="134"/>
      <c r="AL736" s="134"/>
      <c r="AM736" s="134"/>
      <c r="AN736" s="134"/>
      <c r="AO736" s="134"/>
      <c r="AP736" s="134"/>
      <c r="AQ736" s="134"/>
      <c r="AR736" s="134"/>
      <c r="AS736" s="134"/>
      <c r="AT736" s="134"/>
      <c r="AU736" s="134"/>
      <c r="AV736" s="134"/>
      <c r="AW736" s="134"/>
      <c r="AX736" s="134"/>
      <c r="AY736" s="134"/>
      <c r="AZ736" s="134"/>
      <c r="BA736" s="134"/>
      <c r="BB736" s="134"/>
      <c r="BC736" s="134"/>
      <c r="BD736" s="134"/>
      <c r="BE736" s="134"/>
      <c r="BF736" s="134"/>
      <c r="BG736" s="134"/>
      <c r="BH736" s="134"/>
      <c r="BI736" s="134"/>
      <c r="BJ736" s="134"/>
      <c r="BK736" s="134"/>
      <c r="BL736" s="134"/>
      <c r="BM736" s="135"/>
      <c r="BN736" s="136" t="n">
        <f aca="false">+MAX($D$3,DATOS_[[#This Row],[Fecha Inicio Sit. Contract.]])</f>
        <v>0</v>
      </c>
      <c r="BO736" s="136" t="n">
        <f aca="false">+MIN($D$4,DATOS_[[#This Row],[Fecha Fin Sit. Contract.]])</f>
        <v>0</v>
      </c>
      <c r="BP736" s="137" t="n">
        <f aca="false">+DATOS_[[#This Row],[% de jornada]]*IF(DATOS_[[#This Row],[% jornada reducida]]="",1,DATOS_[[#This Row],[% jornada reducida]])</f>
        <v>0</v>
      </c>
      <c r="BQ736" s="137" t="n">
        <f aca="false">+(DATOS_[[#This Row],[F.fin.cal]]-DATOS_[[#This Row],[F.ini.cal]]+1)/($D$4-$D$3+1)</f>
        <v>1</v>
      </c>
      <c r="BR736" s="137" t="str">
        <f aca="false">IF(OR(AND(DATOS_[[#This Row],[Fecha Fin Contrato]]&lt;$D$3,DATOS_[[#This Row],[Fecha Fin Contrato]]&lt;&gt;""),DATOS_[[#This Row],[Fecha de Contratación]]&gt;$D$4),"Fuera","Dentro")</f>
        <v>Dentro</v>
      </c>
      <c r="BS736" s="137" t="str">
        <f aca="false" t="array" ref="BS736:BS736">IF(MAX(IF(DATOS_[id]=DATOS_[[#This Row],[id]],DATOS_[F.fin.cal]))=DATOS_[[#This Row],[F.fin.cal]],"Sí","NO")</f>
        <v>Sí</v>
      </c>
      <c r="BT736" s="137" t="str">
        <f aca="false">IF(AND(DATOS_[[#This Row],[% normaliz]]&lt;&gt;1,DATOS_[[#This Row],[% anualiz]]=1),"Sí","NO")</f>
        <v>Sí</v>
      </c>
      <c r="BU736" s="137" t="str">
        <f aca="false">IF(AND(DATOS_[[#This Row],[% normaliz]]=1,DATOS_[[#This Row],[% anualiz]]&lt;&gt;1),"Sí","NO")</f>
        <v>NO</v>
      </c>
      <c r="BV736" s="137" t="str">
        <f aca="false">IF(AND(DATOS_[[#This Row],[% normaliz]]&lt;&gt;1,DATOS_[[#This Row],[% anualiz]]&lt;&gt;1),"Sí","NO")</f>
        <v>NO</v>
      </c>
      <c r="BW736" s="137" t="str">
        <f aca="false">+IF(DATOS_[[#This Row],[% normaliz]]*DATOS_[[#This Row],[% anualiz]]=1,"NO","Sí")</f>
        <v>Sí</v>
      </c>
      <c r="BX736" s="138" t="e">
        <f aca="false">(DATOS_[[#This Row],[S.BASE]]*(1/DATOS_[[#This Row],[% normaliz]])*(1/DATOS_[[#This Row],[% anualiz]]))*IF(DATOS_[[#This Row],[Check Equiparado]]="Sí",1,0)</f>
        <v>#DIV/0!</v>
      </c>
      <c r="BY7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6" s="138" t="e">
        <f aca="false">+DATOS_[[#This Row],[SALARIO BASE Eq]]+DATOS_[[#This Row],[Tot COMPL.SAL Eq]]</f>
        <v>#DIV/0!</v>
      </c>
      <c r="CA736" s="138" t="e">
        <f aca="false" t="array" ref="CA736:CA7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6" s="138" t="e">
        <f aca="false">+DATOS_[[#This Row],[TOTAL SALARIO Eq]]+DATOS_[[#This Row],[Tot Extrasalarial Eq]]</f>
        <v>#DIV/0!</v>
      </c>
      <c r="CC736" s="139" t="n">
        <f aca="false">DATOS_[[#This Row],[S.BASE]]</f>
        <v>0</v>
      </c>
      <c r="CD736" s="139" t="n">
        <f aca="false">+SUM(DATOS_[[#This Row],[Conc.Sal.01]:[Conc.Sal.30]])</f>
        <v>0</v>
      </c>
      <c r="CE736" s="139" t="n">
        <f aca="false">+DATOS_[[#This Row],[SALARIO BASE Ef]]+DATOS_[[#This Row],[Tot COMPL.SAL Ef]]</f>
        <v>0</v>
      </c>
      <c r="CF736" s="139" t="n">
        <f aca="false">+SUM(DATOS_[[#This Row],[C.Extra.01]:[C.Extra.05]])</f>
        <v>0</v>
      </c>
      <c r="CG736" s="139" t="n">
        <f aca="false">+DATOS_[[#This Row],[TOTAL SALARIO Ef]]+DATOS_[[#This Row],[Tot Extrasalarial Ef]]</f>
        <v>0</v>
      </c>
      <c r="CH736" s="140" t="n">
        <f aca="false">MIN(IF(DATOS_[[#This Row],[Fecha Fin Contrato]]="",$D$4,DATOS_[[#This Row],[Fecha Fin Contrato]]),$D$4)-MAX(DATOS_[[#This Row],[Fecha de Contratación]],$D$3)+1</f>
        <v>1</v>
      </c>
      <c r="CI736" s="141" t="str">
        <f aca="false">IF(COUNTIFS(DATOS_[id],DATOS_[[#This Row],[id]])&gt;1,DATOS_[[#This Row],[id]],"")</f>
        <v/>
      </c>
      <c r="CJ736" s="141" t="n">
        <f aca="false">(Inicio!$G$10-DATOS_[[#This Row],[Fecha Nacimiento]])/365.25</f>
        <v>0</v>
      </c>
      <c r="CK736" s="141" t="n">
        <f aca="false">(Inicio!$G$10-DATOS_[[#This Row],[Fecha de Antigüedad]])/365.25</f>
        <v>0</v>
      </c>
      <c r="CL736" s="141" t="e">
        <f aca="false">+VLOOKUP(DATOS_[[#This Row],[Clave de Contrato]],TblTiposContrato13[],3,0)</f>
        <v>#N/A</v>
      </c>
      <c r="CM736" s="141" t="e">
        <f aca="false">+VLOOKUP(DATOS_[[#This Row],[Clave de Contrato]],TblTiposContrato13[],4,0)</f>
        <v>#N/A</v>
      </c>
      <c r="CN736" s="141" t="str">
        <f aca="false">VLOOKUP(DATOS_[[#This Row],[Edad]],CONTRATOS!TblRngEdad,2,1)</f>
        <v>20  o menos</v>
      </c>
      <c r="CO736" s="141" t="str">
        <f aca="false">VLOOKUP(DATOS_[[#This Row],[Antigüedad]],TblRngAntg14[],2,1)</f>
        <v>0 a 1 años</v>
      </c>
    </row>
    <row r="737" customFormat="false" ht="13.8" hidden="false" customHeight="false" outlineLevel="0" collapsed="false">
      <c r="D737" s="128"/>
      <c r="E737" s="129"/>
      <c r="F737" s="129"/>
      <c r="G737" s="129"/>
      <c r="H737" s="130"/>
      <c r="I737" s="131"/>
      <c r="J737" s="128"/>
      <c r="K737" s="132"/>
      <c r="L737" s="132"/>
      <c r="M737" s="133"/>
      <c r="N737" s="133"/>
      <c r="O737" s="133"/>
      <c r="P737" s="129"/>
      <c r="Z737" s="75"/>
      <c r="AA737" s="76"/>
      <c r="AB737" s="76"/>
      <c r="AC737" s="129"/>
      <c r="AD737" s="134"/>
      <c r="AE737" s="134"/>
      <c r="AF737" s="134"/>
      <c r="AG737" s="134"/>
      <c r="AH737" s="134"/>
      <c r="AI737" s="134"/>
      <c r="AJ737" s="134"/>
      <c r="AK737" s="134"/>
      <c r="AL737" s="134"/>
      <c r="AM737" s="134"/>
      <c r="AN737" s="134"/>
      <c r="AO737" s="134"/>
      <c r="AP737" s="134"/>
      <c r="AQ737" s="134"/>
      <c r="AR737" s="134"/>
      <c r="AS737" s="134"/>
      <c r="AT737" s="134"/>
      <c r="AU737" s="134"/>
      <c r="AV737" s="134"/>
      <c r="AW737" s="134"/>
      <c r="AX737" s="134"/>
      <c r="AY737" s="134"/>
      <c r="AZ737" s="134"/>
      <c r="BA737" s="134"/>
      <c r="BB737" s="134"/>
      <c r="BC737" s="134"/>
      <c r="BD737" s="134"/>
      <c r="BE737" s="134"/>
      <c r="BF737" s="134"/>
      <c r="BG737" s="134"/>
      <c r="BH737" s="134"/>
      <c r="BI737" s="134"/>
      <c r="BJ737" s="134"/>
      <c r="BK737" s="134"/>
      <c r="BL737" s="134"/>
      <c r="BM737" s="135"/>
      <c r="BN737" s="136" t="n">
        <f aca="false">+MAX($D$3,DATOS_[[#This Row],[Fecha Inicio Sit. Contract.]])</f>
        <v>0</v>
      </c>
      <c r="BO737" s="136" t="n">
        <f aca="false">+MIN($D$4,DATOS_[[#This Row],[Fecha Fin Sit. Contract.]])</f>
        <v>0</v>
      </c>
      <c r="BP737" s="137" t="n">
        <f aca="false">+DATOS_[[#This Row],[% de jornada]]*IF(DATOS_[[#This Row],[% jornada reducida]]="",1,DATOS_[[#This Row],[% jornada reducida]])</f>
        <v>0</v>
      </c>
      <c r="BQ737" s="137" t="n">
        <f aca="false">+(DATOS_[[#This Row],[F.fin.cal]]-DATOS_[[#This Row],[F.ini.cal]]+1)/($D$4-$D$3+1)</f>
        <v>1</v>
      </c>
      <c r="BR737" s="137" t="str">
        <f aca="false">IF(OR(AND(DATOS_[[#This Row],[Fecha Fin Contrato]]&lt;$D$3,DATOS_[[#This Row],[Fecha Fin Contrato]]&lt;&gt;""),DATOS_[[#This Row],[Fecha de Contratación]]&gt;$D$4),"Fuera","Dentro")</f>
        <v>Dentro</v>
      </c>
      <c r="BS737" s="137" t="str">
        <f aca="false" t="array" ref="BS737:BS737">IF(MAX(IF(DATOS_[id]=DATOS_[[#This Row],[id]],DATOS_[F.fin.cal]))=DATOS_[[#This Row],[F.fin.cal]],"Sí","NO")</f>
        <v>Sí</v>
      </c>
      <c r="BT737" s="137" t="str">
        <f aca="false">IF(AND(DATOS_[[#This Row],[% normaliz]]&lt;&gt;1,DATOS_[[#This Row],[% anualiz]]=1),"Sí","NO")</f>
        <v>Sí</v>
      </c>
      <c r="BU737" s="137" t="str">
        <f aca="false">IF(AND(DATOS_[[#This Row],[% normaliz]]=1,DATOS_[[#This Row],[% anualiz]]&lt;&gt;1),"Sí","NO")</f>
        <v>NO</v>
      </c>
      <c r="BV737" s="137" t="str">
        <f aca="false">IF(AND(DATOS_[[#This Row],[% normaliz]]&lt;&gt;1,DATOS_[[#This Row],[% anualiz]]&lt;&gt;1),"Sí","NO")</f>
        <v>NO</v>
      </c>
      <c r="BW737" s="137" t="str">
        <f aca="false">+IF(DATOS_[[#This Row],[% normaliz]]*DATOS_[[#This Row],[% anualiz]]=1,"NO","Sí")</f>
        <v>Sí</v>
      </c>
      <c r="BX737" s="138" t="e">
        <f aca="false">(DATOS_[[#This Row],[S.BASE]]*(1/DATOS_[[#This Row],[% normaliz]])*(1/DATOS_[[#This Row],[% anualiz]]))*IF(DATOS_[[#This Row],[Check Equiparado]]="Sí",1,0)</f>
        <v>#DIV/0!</v>
      </c>
      <c r="BY7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7" s="138" t="e">
        <f aca="false">+DATOS_[[#This Row],[SALARIO BASE Eq]]+DATOS_[[#This Row],[Tot COMPL.SAL Eq]]</f>
        <v>#DIV/0!</v>
      </c>
      <c r="CA737" s="138" t="e">
        <f aca="false" t="array" ref="CA737:CA7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7" s="138" t="e">
        <f aca="false">+DATOS_[[#This Row],[TOTAL SALARIO Eq]]+DATOS_[[#This Row],[Tot Extrasalarial Eq]]</f>
        <v>#DIV/0!</v>
      </c>
      <c r="CC737" s="139" t="n">
        <f aca="false">DATOS_[[#This Row],[S.BASE]]</f>
        <v>0</v>
      </c>
      <c r="CD737" s="139" t="n">
        <f aca="false">+SUM(DATOS_[[#This Row],[Conc.Sal.01]:[Conc.Sal.30]])</f>
        <v>0</v>
      </c>
      <c r="CE737" s="139" t="n">
        <f aca="false">+DATOS_[[#This Row],[SALARIO BASE Ef]]+DATOS_[[#This Row],[Tot COMPL.SAL Ef]]</f>
        <v>0</v>
      </c>
      <c r="CF737" s="139" t="n">
        <f aca="false">+SUM(DATOS_[[#This Row],[C.Extra.01]:[C.Extra.05]])</f>
        <v>0</v>
      </c>
      <c r="CG737" s="139" t="n">
        <f aca="false">+DATOS_[[#This Row],[TOTAL SALARIO Ef]]+DATOS_[[#This Row],[Tot Extrasalarial Ef]]</f>
        <v>0</v>
      </c>
      <c r="CH737" s="140" t="n">
        <f aca="false">MIN(IF(DATOS_[[#This Row],[Fecha Fin Contrato]]="",$D$4,DATOS_[[#This Row],[Fecha Fin Contrato]]),$D$4)-MAX(DATOS_[[#This Row],[Fecha de Contratación]],$D$3)+1</f>
        <v>1</v>
      </c>
      <c r="CI737" s="141" t="str">
        <f aca="false">IF(COUNTIFS(DATOS_[id],DATOS_[[#This Row],[id]])&gt;1,DATOS_[[#This Row],[id]],"")</f>
        <v/>
      </c>
      <c r="CJ737" s="141" t="n">
        <f aca="false">(Inicio!$G$10-DATOS_[[#This Row],[Fecha Nacimiento]])/365.25</f>
        <v>0</v>
      </c>
      <c r="CK737" s="141" t="n">
        <f aca="false">(Inicio!$G$10-DATOS_[[#This Row],[Fecha de Antigüedad]])/365.25</f>
        <v>0</v>
      </c>
      <c r="CL737" s="141" t="e">
        <f aca="false">+VLOOKUP(DATOS_[[#This Row],[Clave de Contrato]],TblTiposContrato13[],3,0)</f>
        <v>#N/A</v>
      </c>
      <c r="CM737" s="141" t="e">
        <f aca="false">+VLOOKUP(DATOS_[[#This Row],[Clave de Contrato]],TblTiposContrato13[],4,0)</f>
        <v>#N/A</v>
      </c>
      <c r="CN737" s="141" t="str">
        <f aca="false">VLOOKUP(DATOS_[[#This Row],[Edad]],CONTRATOS!TblRngEdad,2,1)</f>
        <v>20  o menos</v>
      </c>
      <c r="CO737" s="141" t="str">
        <f aca="false">VLOOKUP(DATOS_[[#This Row],[Antigüedad]],TblRngAntg14[],2,1)</f>
        <v>0 a 1 años</v>
      </c>
    </row>
    <row r="738" customFormat="false" ht="13.8" hidden="false" customHeight="false" outlineLevel="0" collapsed="false">
      <c r="D738" s="128"/>
      <c r="E738" s="129"/>
      <c r="F738" s="129"/>
      <c r="G738" s="129"/>
      <c r="H738" s="130"/>
      <c r="I738" s="131"/>
      <c r="J738" s="128"/>
      <c r="K738" s="132"/>
      <c r="L738" s="132"/>
      <c r="M738" s="133"/>
      <c r="N738" s="133"/>
      <c r="O738" s="133"/>
      <c r="P738" s="129"/>
      <c r="Z738" s="75"/>
      <c r="AA738" s="76"/>
      <c r="AB738" s="76"/>
      <c r="AC738" s="129"/>
      <c r="AD738" s="134"/>
      <c r="AE738" s="134"/>
      <c r="AF738" s="134"/>
      <c r="AG738" s="134"/>
      <c r="AH738" s="134"/>
      <c r="AI738" s="134"/>
      <c r="AJ738" s="134"/>
      <c r="AK738" s="134"/>
      <c r="AL738" s="134"/>
      <c r="AM738" s="134"/>
      <c r="AN738" s="134"/>
      <c r="AO738" s="134"/>
      <c r="AP738" s="134"/>
      <c r="AQ738" s="134"/>
      <c r="AR738" s="134"/>
      <c r="AS738" s="134"/>
      <c r="AT738" s="134"/>
      <c r="AU738" s="134"/>
      <c r="AV738" s="134"/>
      <c r="AW738" s="134"/>
      <c r="AX738" s="134"/>
      <c r="AY738" s="134"/>
      <c r="AZ738" s="134"/>
      <c r="BA738" s="134"/>
      <c r="BB738" s="134"/>
      <c r="BC738" s="134"/>
      <c r="BD738" s="134"/>
      <c r="BE738" s="134"/>
      <c r="BF738" s="134"/>
      <c r="BG738" s="134"/>
      <c r="BH738" s="134"/>
      <c r="BI738" s="134"/>
      <c r="BJ738" s="134"/>
      <c r="BK738" s="134"/>
      <c r="BL738" s="134"/>
      <c r="BM738" s="135"/>
      <c r="BN738" s="136" t="n">
        <f aca="false">+MAX($D$3,DATOS_[[#This Row],[Fecha Inicio Sit. Contract.]])</f>
        <v>0</v>
      </c>
      <c r="BO738" s="136" t="n">
        <f aca="false">+MIN($D$4,DATOS_[[#This Row],[Fecha Fin Sit. Contract.]])</f>
        <v>0</v>
      </c>
      <c r="BP738" s="137" t="n">
        <f aca="false">+DATOS_[[#This Row],[% de jornada]]*IF(DATOS_[[#This Row],[% jornada reducida]]="",1,DATOS_[[#This Row],[% jornada reducida]])</f>
        <v>0</v>
      </c>
      <c r="BQ738" s="137" t="n">
        <f aca="false">+(DATOS_[[#This Row],[F.fin.cal]]-DATOS_[[#This Row],[F.ini.cal]]+1)/($D$4-$D$3+1)</f>
        <v>1</v>
      </c>
      <c r="BR738" s="137" t="str">
        <f aca="false">IF(OR(AND(DATOS_[[#This Row],[Fecha Fin Contrato]]&lt;$D$3,DATOS_[[#This Row],[Fecha Fin Contrato]]&lt;&gt;""),DATOS_[[#This Row],[Fecha de Contratación]]&gt;$D$4),"Fuera","Dentro")</f>
        <v>Dentro</v>
      </c>
      <c r="BS738" s="137" t="str">
        <f aca="false" t="array" ref="BS738:BS738">IF(MAX(IF(DATOS_[id]=DATOS_[[#This Row],[id]],DATOS_[F.fin.cal]))=DATOS_[[#This Row],[F.fin.cal]],"Sí","NO")</f>
        <v>Sí</v>
      </c>
      <c r="BT738" s="137" t="str">
        <f aca="false">IF(AND(DATOS_[[#This Row],[% normaliz]]&lt;&gt;1,DATOS_[[#This Row],[% anualiz]]=1),"Sí","NO")</f>
        <v>Sí</v>
      </c>
      <c r="BU738" s="137" t="str">
        <f aca="false">IF(AND(DATOS_[[#This Row],[% normaliz]]=1,DATOS_[[#This Row],[% anualiz]]&lt;&gt;1),"Sí","NO")</f>
        <v>NO</v>
      </c>
      <c r="BV738" s="137" t="str">
        <f aca="false">IF(AND(DATOS_[[#This Row],[% normaliz]]&lt;&gt;1,DATOS_[[#This Row],[% anualiz]]&lt;&gt;1),"Sí","NO")</f>
        <v>NO</v>
      </c>
      <c r="BW738" s="137" t="str">
        <f aca="false">+IF(DATOS_[[#This Row],[% normaliz]]*DATOS_[[#This Row],[% anualiz]]=1,"NO","Sí")</f>
        <v>Sí</v>
      </c>
      <c r="BX738" s="138" t="e">
        <f aca="false">(DATOS_[[#This Row],[S.BASE]]*(1/DATOS_[[#This Row],[% normaliz]])*(1/DATOS_[[#This Row],[% anualiz]]))*IF(DATOS_[[#This Row],[Check Equiparado]]="Sí",1,0)</f>
        <v>#DIV/0!</v>
      </c>
      <c r="BY7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8" s="138" t="e">
        <f aca="false">+DATOS_[[#This Row],[SALARIO BASE Eq]]+DATOS_[[#This Row],[Tot COMPL.SAL Eq]]</f>
        <v>#DIV/0!</v>
      </c>
      <c r="CA738" s="138" t="e">
        <f aca="false" t="array" ref="CA738:CA7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8" s="138" t="e">
        <f aca="false">+DATOS_[[#This Row],[TOTAL SALARIO Eq]]+DATOS_[[#This Row],[Tot Extrasalarial Eq]]</f>
        <v>#DIV/0!</v>
      </c>
      <c r="CC738" s="139" t="n">
        <f aca="false">DATOS_[[#This Row],[S.BASE]]</f>
        <v>0</v>
      </c>
      <c r="CD738" s="139" t="n">
        <f aca="false">+SUM(DATOS_[[#This Row],[Conc.Sal.01]:[Conc.Sal.30]])</f>
        <v>0</v>
      </c>
      <c r="CE738" s="139" t="n">
        <f aca="false">+DATOS_[[#This Row],[SALARIO BASE Ef]]+DATOS_[[#This Row],[Tot COMPL.SAL Ef]]</f>
        <v>0</v>
      </c>
      <c r="CF738" s="139" t="n">
        <f aca="false">+SUM(DATOS_[[#This Row],[C.Extra.01]:[C.Extra.05]])</f>
        <v>0</v>
      </c>
      <c r="CG738" s="139" t="n">
        <f aca="false">+DATOS_[[#This Row],[TOTAL SALARIO Ef]]+DATOS_[[#This Row],[Tot Extrasalarial Ef]]</f>
        <v>0</v>
      </c>
      <c r="CH738" s="140" t="n">
        <f aca="false">MIN(IF(DATOS_[[#This Row],[Fecha Fin Contrato]]="",$D$4,DATOS_[[#This Row],[Fecha Fin Contrato]]),$D$4)-MAX(DATOS_[[#This Row],[Fecha de Contratación]],$D$3)+1</f>
        <v>1</v>
      </c>
      <c r="CI738" s="141" t="str">
        <f aca="false">IF(COUNTIFS(DATOS_[id],DATOS_[[#This Row],[id]])&gt;1,DATOS_[[#This Row],[id]],"")</f>
        <v/>
      </c>
      <c r="CJ738" s="141" t="n">
        <f aca="false">(Inicio!$G$10-DATOS_[[#This Row],[Fecha Nacimiento]])/365.25</f>
        <v>0</v>
      </c>
      <c r="CK738" s="141" t="n">
        <f aca="false">(Inicio!$G$10-DATOS_[[#This Row],[Fecha de Antigüedad]])/365.25</f>
        <v>0</v>
      </c>
      <c r="CL738" s="141" t="e">
        <f aca="false">+VLOOKUP(DATOS_[[#This Row],[Clave de Contrato]],TblTiposContrato13[],3,0)</f>
        <v>#N/A</v>
      </c>
      <c r="CM738" s="141" t="e">
        <f aca="false">+VLOOKUP(DATOS_[[#This Row],[Clave de Contrato]],TblTiposContrato13[],4,0)</f>
        <v>#N/A</v>
      </c>
      <c r="CN738" s="141" t="str">
        <f aca="false">VLOOKUP(DATOS_[[#This Row],[Edad]],CONTRATOS!TblRngEdad,2,1)</f>
        <v>20  o menos</v>
      </c>
      <c r="CO738" s="141" t="str">
        <f aca="false">VLOOKUP(DATOS_[[#This Row],[Antigüedad]],TblRngAntg14[],2,1)</f>
        <v>0 a 1 años</v>
      </c>
    </row>
    <row r="739" customFormat="false" ht="13.8" hidden="false" customHeight="false" outlineLevel="0" collapsed="false">
      <c r="D739" s="128"/>
      <c r="E739" s="129"/>
      <c r="F739" s="129"/>
      <c r="G739" s="129"/>
      <c r="H739" s="130"/>
      <c r="I739" s="131"/>
      <c r="J739" s="128"/>
      <c r="K739" s="132"/>
      <c r="L739" s="132"/>
      <c r="M739" s="133"/>
      <c r="N739" s="133"/>
      <c r="O739" s="133"/>
      <c r="P739" s="129"/>
      <c r="Z739" s="75"/>
      <c r="AA739" s="76"/>
      <c r="AB739" s="76"/>
      <c r="AC739" s="129"/>
      <c r="AD739" s="134"/>
      <c r="AE739" s="134"/>
      <c r="AF739" s="134"/>
      <c r="AG739" s="134"/>
      <c r="AH739" s="134"/>
      <c r="AI739" s="134"/>
      <c r="AJ739" s="134"/>
      <c r="AK739" s="134"/>
      <c r="AL739" s="134"/>
      <c r="AM739" s="134"/>
      <c r="AN739" s="134"/>
      <c r="AO739" s="134"/>
      <c r="AP739" s="134"/>
      <c r="AQ739" s="134"/>
      <c r="AR739" s="134"/>
      <c r="AS739" s="134"/>
      <c r="AT739" s="134"/>
      <c r="AU739" s="134"/>
      <c r="AV739" s="134"/>
      <c r="AW739" s="134"/>
      <c r="AX739" s="134"/>
      <c r="AY739" s="134"/>
      <c r="AZ739" s="134"/>
      <c r="BA739" s="134"/>
      <c r="BB739" s="134"/>
      <c r="BC739" s="134"/>
      <c r="BD739" s="134"/>
      <c r="BE739" s="134"/>
      <c r="BF739" s="134"/>
      <c r="BG739" s="134"/>
      <c r="BH739" s="134"/>
      <c r="BI739" s="134"/>
      <c r="BJ739" s="134"/>
      <c r="BK739" s="134"/>
      <c r="BL739" s="134"/>
      <c r="BM739" s="135"/>
      <c r="BN739" s="136" t="n">
        <f aca="false">+MAX($D$3,DATOS_[[#This Row],[Fecha Inicio Sit. Contract.]])</f>
        <v>0</v>
      </c>
      <c r="BO739" s="136" t="n">
        <f aca="false">+MIN($D$4,DATOS_[[#This Row],[Fecha Fin Sit. Contract.]])</f>
        <v>0</v>
      </c>
      <c r="BP739" s="137" t="n">
        <f aca="false">+DATOS_[[#This Row],[% de jornada]]*IF(DATOS_[[#This Row],[% jornada reducida]]="",1,DATOS_[[#This Row],[% jornada reducida]])</f>
        <v>0</v>
      </c>
      <c r="BQ739" s="137" t="n">
        <f aca="false">+(DATOS_[[#This Row],[F.fin.cal]]-DATOS_[[#This Row],[F.ini.cal]]+1)/($D$4-$D$3+1)</f>
        <v>1</v>
      </c>
      <c r="BR739" s="137" t="str">
        <f aca="false">IF(OR(AND(DATOS_[[#This Row],[Fecha Fin Contrato]]&lt;$D$3,DATOS_[[#This Row],[Fecha Fin Contrato]]&lt;&gt;""),DATOS_[[#This Row],[Fecha de Contratación]]&gt;$D$4),"Fuera","Dentro")</f>
        <v>Dentro</v>
      </c>
      <c r="BS739" s="137" t="str">
        <f aca="false" t="array" ref="BS739:BS739">IF(MAX(IF(DATOS_[id]=DATOS_[[#This Row],[id]],DATOS_[F.fin.cal]))=DATOS_[[#This Row],[F.fin.cal]],"Sí","NO")</f>
        <v>Sí</v>
      </c>
      <c r="BT739" s="137" t="str">
        <f aca="false">IF(AND(DATOS_[[#This Row],[% normaliz]]&lt;&gt;1,DATOS_[[#This Row],[% anualiz]]=1),"Sí","NO")</f>
        <v>Sí</v>
      </c>
      <c r="BU739" s="137" t="str">
        <f aca="false">IF(AND(DATOS_[[#This Row],[% normaliz]]=1,DATOS_[[#This Row],[% anualiz]]&lt;&gt;1),"Sí","NO")</f>
        <v>NO</v>
      </c>
      <c r="BV739" s="137" t="str">
        <f aca="false">IF(AND(DATOS_[[#This Row],[% normaliz]]&lt;&gt;1,DATOS_[[#This Row],[% anualiz]]&lt;&gt;1),"Sí","NO")</f>
        <v>NO</v>
      </c>
      <c r="BW739" s="137" t="str">
        <f aca="false">+IF(DATOS_[[#This Row],[% normaliz]]*DATOS_[[#This Row],[% anualiz]]=1,"NO","Sí")</f>
        <v>Sí</v>
      </c>
      <c r="BX739" s="138" t="e">
        <f aca="false">(DATOS_[[#This Row],[S.BASE]]*(1/DATOS_[[#This Row],[% normaliz]])*(1/DATOS_[[#This Row],[% anualiz]]))*IF(DATOS_[[#This Row],[Check Equiparado]]="Sí",1,0)</f>
        <v>#DIV/0!</v>
      </c>
      <c r="BY7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9" s="138" t="e">
        <f aca="false">+DATOS_[[#This Row],[SALARIO BASE Eq]]+DATOS_[[#This Row],[Tot COMPL.SAL Eq]]</f>
        <v>#DIV/0!</v>
      </c>
      <c r="CA739" s="138" t="e">
        <f aca="false" t="array" ref="CA739:CA7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9" s="138" t="e">
        <f aca="false">+DATOS_[[#This Row],[TOTAL SALARIO Eq]]+DATOS_[[#This Row],[Tot Extrasalarial Eq]]</f>
        <v>#DIV/0!</v>
      </c>
      <c r="CC739" s="139" t="n">
        <f aca="false">DATOS_[[#This Row],[S.BASE]]</f>
        <v>0</v>
      </c>
      <c r="CD739" s="139" t="n">
        <f aca="false">+SUM(DATOS_[[#This Row],[Conc.Sal.01]:[Conc.Sal.30]])</f>
        <v>0</v>
      </c>
      <c r="CE739" s="139" t="n">
        <f aca="false">+DATOS_[[#This Row],[SALARIO BASE Ef]]+DATOS_[[#This Row],[Tot COMPL.SAL Ef]]</f>
        <v>0</v>
      </c>
      <c r="CF739" s="139" t="n">
        <f aca="false">+SUM(DATOS_[[#This Row],[C.Extra.01]:[C.Extra.05]])</f>
        <v>0</v>
      </c>
      <c r="CG739" s="139" t="n">
        <f aca="false">+DATOS_[[#This Row],[TOTAL SALARIO Ef]]+DATOS_[[#This Row],[Tot Extrasalarial Ef]]</f>
        <v>0</v>
      </c>
      <c r="CH739" s="140" t="n">
        <f aca="false">MIN(IF(DATOS_[[#This Row],[Fecha Fin Contrato]]="",$D$4,DATOS_[[#This Row],[Fecha Fin Contrato]]),$D$4)-MAX(DATOS_[[#This Row],[Fecha de Contratación]],$D$3)+1</f>
        <v>1</v>
      </c>
      <c r="CI739" s="141" t="str">
        <f aca="false">IF(COUNTIFS(DATOS_[id],DATOS_[[#This Row],[id]])&gt;1,DATOS_[[#This Row],[id]],"")</f>
        <v/>
      </c>
      <c r="CJ739" s="141" t="n">
        <f aca="false">(Inicio!$G$10-DATOS_[[#This Row],[Fecha Nacimiento]])/365.25</f>
        <v>0</v>
      </c>
      <c r="CK739" s="141" t="n">
        <f aca="false">(Inicio!$G$10-DATOS_[[#This Row],[Fecha de Antigüedad]])/365.25</f>
        <v>0</v>
      </c>
      <c r="CL739" s="141" t="e">
        <f aca="false">+VLOOKUP(DATOS_[[#This Row],[Clave de Contrato]],TblTiposContrato13[],3,0)</f>
        <v>#N/A</v>
      </c>
      <c r="CM739" s="141" t="e">
        <f aca="false">+VLOOKUP(DATOS_[[#This Row],[Clave de Contrato]],TblTiposContrato13[],4,0)</f>
        <v>#N/A</v>
      </c>
      <c r="CN739" s="141" t="str">
        <f aca="false">VLOOKUP(DATOS_[[#This Row],[Edad]],CONTRATOS!TblRngEdad,2,1)</f>
        <v>20  o menos</v>
      </c>
      <c r="CO739" s="141" t="str">
        <f aca="false">VLOOKUP(DATOS_[[#This Row],[Antigüedad]],TblRngAntg14[],2,1)</f>
        <v>0 a 1 años</v>
      </c>
    </row>
    <row r="740" customFormat="false" ht="13.8" hidden="false" customHeight="false" outlineLevel="0" collapsed="false">
      <c r="D740" s="128"/>
      <c r="E740" s="129"/>
      <c r="F740" s="129"/>
      <c r="G740" s="129"/>
      <c r="H740" s="130"/>
      <c r="I740" s="131"/>
      <c r="J740" s="128"/>
      <c r="K740" s="132"/>
      <c r="L740" s="132"/>
      <c r="M740" s="133"/>
      <c r="N740" s="133"/>
      <c r="O740" s="133"/>
      <c r="P740" s="129"/>
      <c r="Z740" s="75"/>
      <c r="AA740" s="76"/>
      <c r="AB740" s="76"/>
      <c r="AC740" s="129"/>
      <c r="AD740" s="134"/>
      <c r="AE740" s="134"/>
      <c r="AF740" s="134"/>
      <c r="AG740" s="134"/>
      <c r="AH740" s="134"/>
      <c r="AI740" s="134"/>
      <c r="AJ740" s="134"/>
      <c r="AK740" s="134"/>
      <c r="AL740" s="134"/>
      <c r="AM740" s="134"/>
      <c r="AN740" s="134"/>
      <c r="AO740" s="134"/>
      <c r="AP740" s="134"/>
      <c r="AQ740" s="134"/>
      <c r="AR740" s="134"/>
      <c r="AS740" s="134"/>
      <c r="AT740" s="134"/>
      <c r="AU740" s="134"/>
      <c r="AV740" s="134"/>
      <c r="AW740" s="134"/>
      <c r="AX740" s="134"/>
      <c r="AY740" s="134"/>
      <c r="AZ740" s="134"/>
      <c r="BA740" s="134"/>
      <c r="BB740" s="134"/>
      <c r="BC740" s="134"/>
      <c r="BD740" s="134"/>
      <c r="BE740" s="134"/>
      <c r="BF740" s="134"/>
      <c r="BG740" s="134"/>
      <c r="BH740" s="134"/>
      <c r="BI740" s="134"/>
      <c r="BJ740" s="134"/>
      <c r="BK740" s="134"/>
      <c r="BL740" s="134"/>
      <c r="BM740" s="135"/>
      <c r="BN740" s="136" t="n">
        <f aca="false">+MAX($D$3,DATOS_[[#This Row],[Fecha Inicio Sit. Contract.]])</f>
        <v>0</v>
      </c>
      <c r="BO740" s="136" t="n">
        <f aca="false">+MIN($D$4,DATOS_[[#This Row],[Fecha Fin Sit. Contract.]])</f>
        <v>0</v>
      </c>
      <c r="BP740" s="137" t="n">
        <f aca="false">+DATOS_[[#This Row],[% de jornada]]*IF(DATOS_[[#This Row],[% jornada reducida]]="",1,DATOS_[[#This Row],[% jornada reducida]])</f>
        <v>0</v>
      </c>
      <c r="BQ740" s="137" t="n">
        <f aca="false">+(DATOS_[[#This Row],[F.fin.cal]]-DATOS_[[#This Row],[F.ini.cal]]+1)/($D$4-$D$3+1)</f>
        <v>1</v>
      </c>
      <c r="BR740" s="137" t="str">
        <f aca="false">IF(OR(AND(DATOS_[[#This Row],[Fecha Fin Contrato]]&lt;$D$3,DATOS_[[#This Row],[Fecha Fin Contrato]]&lt;&gt;""),DATOS_[[#This Row],[Fecha de Contratación]]&gt;$D$4),"Fuera","Dentro")</f>
        <v>Dentro</v>
      </c>
      <c r="BS740" s="137" t="str">
        <f aca="false" t="array" ref="BS740:BS740">IF(MAX(IF(DATOS_[id]=DATOS_[[#This Row],[id]],DATOS_[F.fin.cal]))=DATOS_[[#This Row],[F.fin.cal]],"Sí","NO")</f>
        <v>Sí</v>
      </c>
      <c r="BT740" s="137" t="str">
        <f aca="false">IF(AND(DATOS_[[#This Row],[% normaliz]]&lt;&gt;1,DATOS_[[#This Row],[% anualiz]]=1),"Sí","NO")</f>
        <v>Sí</v>
      </c>
      <c r="BU740" s="137" t="str">
        <f aca="false">IF(AND(DATOS_[[#This Row],[% normaliz]]=1,DATOS_[[#This Row],[% anualiz]]&lt;&gt;1),"Sí","NO")</f>
        <v>NO</v>
      </c>
      <c r="BV740" s="137" t="str">
        <f aca="false">IF(AND(DATOS_[[#This Row],[% normaliz]]&lt;&gt;1,DATOS_[[#This Row],[% anualiz]]&lt;&gt;1),"Sí","NO")</f>
        <v>NO</v>
      </c>
      <c r="BW740" s="137" t="str">
        <f aca="false">+IF(DATOS_[[#This Row],[% normaliz]]*DATOS_[[#This Row],[% anualiz]]=1,"NO","Sí")</f>
        <v>Sí</v>
      </c>
      <c r="BX740" s="138" t="e">
        <f aca="false">(DATOS_[[#This Row],[S.BASE]]*(1/DATOS_[[#This Row],[% normaliz]])*(1/DATOS_[[#This Row],[% anualiz]]))*IF(DATOS_[[#This Row],[Check Equiparado]]="Sí",1,0)</f>
        <v>#DIV/0!</v>
      </c>
      <c r="BY7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0" s="138" t="e">
        <f aca="false">+DATOS_[[#This Row],[SALARIO BASE Eq]]+DATOS_[[#This Row],[Tot COMPL.SAL Eq]]</f>
        <v>#DIV/0!</v>
      </c>
      <c r="CA740" s="138" t="e">
        <f aca="false" t="array" ref="CA740:CA7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0" s="138" t="e">
        <f aca="false">+DATOS_[[#This Row],[TOTAL SALARIO Eq]]+DATOS_[[#This Row],[Tot Extrasalarial Eq]]</f>
        <v>#DIV/0!</v>
      </c>
      <c r="CC740" s="139" t="n">
        <f aca="false">DATOS_[[#This Row],[S.BASE]]</f>
        <v>0</v>
      </c>
      <c r="CD740" s="139" t="n">
        <f aca="false">+SUM(DATOS_[[#This Row],[Conc.Sal.01]:[Conc.Sal.30]])</f>
        <v>0</v>
      </c>
      <c r="CE740" s="139" t="n">
        <f aca="false">+DATOS_[[#This Row],[SALARIO BASE Ef]]+DATOS_[[#This Row],[Tot COMPL.SAL Ef]]</f>
        <v>0</v>
      </c>
      <c r="CF740" s="139" t="n">
        <f aca="false">+SUM(DATOS_[[#This Row],[C.Extra.01]:[C.Extra.05]])</f>
        <v>0</v>
      </c>
      <c r="CG740" s="139" t="n">
        <f aca="false">+DATOS_[[#This Row],[TOTAL SALARIO Ef]]+DATOS_[[#This Row],[Tot Extrasalarial Ef]]</f>
        <v>0</v>
      </c>
      <c r="CH740" s="140" t="n">
        <f aca="false">MIN(IF(DATOS_[[#This Row],[Fecha Fin Contrato]]="",$D$4,DATOS_[[#This Row],[Fecha Fin Contrato]]),$D$4)-MAX(DATOS_[[#This Row],[Fecha de Contratación]],$D$3)+1</f>
        <v>1</v>
      </c>
      <c r="CI740" s="141" t="str">
        <f aca="false">IF(COUNTIFS(DATOS_[id],DATOS_[[#This Row],[id]])&gt;1,DATOS_[[#This Row],[id]],"")</f>
        <v/>
      </c>
      <c r="CJ740" s="141" t="n">
        <f aca="false">(Inicio!$G$10-DATOS_[[#This Row],[Fecha Nacimiento]])/365.25</f>
        <v>0</v>
      </c>
      <c r="CK740" s="141" t="n">
        <f aca="false">(Inicio!$G$10-DATOS_[[#This Row],[Fecha de Antigüedad]])/365.25</f>
        <v>0</v>
      </c>
      <c r="CL740" s="141" t="e">
        <f aca="false">+VLOOKUP(DATOS_[[#This Row],[Clave de Contrato]],TblTiposContrato13[],3,0)</f>
        <v>#N/A</v>
      </c>
      <c r="CM740" s="141" t="e">
        <f aca="false">+VLOOKUP(DATOS_[[#This Row],[Clave de Contrato]],TblTiposContrato13[],4,0)</f>
        <v>#N/A</v>
      </c>
      <c r="CN740" s="141" t="str">
        <f aca="false">VLOOKUP(DATOS_[[#This Row],[Edad]],CONTRATOS!TblRngEdad,2,1)</f>
        <v>20  o menos</v>
      </c>
      <c r="CO740" s="141" t="str">
        <f aca="false">VLOOKUP(DATOS_[[#This Row],[Antigüedad]],TblRngAntg14[],2,1)</f>
        <v>0 a 1 años</v>
      </c>
    </row>
    <row r="741" customFormat="false" ht="13.8" hidden="false" customHeight="false" outlineLevel="0" collapsed="false">
      <c r="D741" s="128"/>
      <c r="E741" s="129"/>
      <c r="F741" s="129"/>
      <c r="G741" s="129"/>
      <c r="H741" s="130"/>
      <c r="I741" s="131"/>
      <c r="J741" s="128"/>
      <c r="K741" s="132"/>
      <c r="L741" s="132"/>
      <c r="M741" s="133"/>
      <c r="N741" s="133"/>
      <c r="O741" s="133"/>
      <c r="P741" s="129"/>
      <c r="Z741" s="75"/>
      <c r="AA741" s="76"/>
      <c r="AB741" s="76"/>
      <c r="AC741" s="129"/>
      <c r="AD741" s="134"/>
      <c r="AE741" s="134"/>
      <c r="AF741" s="134"/>
      <c r="AG741" s="134"/>
      <c r="AH741" s="134"/>
      <c r="AI741" s="134"/>
      <c r="AJ741" s="134"/>
      <c r="AK741" s="134"/>
      <c r="AL741" s="134"/>
      <c r="AM741" s="134"/>
      <c r="AN741" s="134"/>
      <c r="AO741" s="134"/>
      <c r="AP741" s="134"/>
      <c r="AQ741" s="134"/>
      <c r="AR741" s="134"/>
      <c r="AS741" s="134"/>
      <c r="AT741" s="134"/>
      <c r="AU741" s="134"/>
      <c r="AV741" s="134"/>
      <c r="AW741" s="134"/>
      <c r="AX741" s="134"/>
      <c r="AY741" s="134"/>
      <c r="AZ741" s="134"/>
      <c r="BA741" s="134"/>
      <c r="BB741" s="134"/>
      <c r="BC741" s="134"/>
      <c r="BD741" s="134"/>
      <c r="BE741" s="134"/>
      <c r="BF741" s="134"/>
      <c r="BG741" s="134"/>
      <c r="BH741" s="134"/>
      <c r="BI741" s="134"/>
      <c r="BJ741" s="134"/>
      <c r="BK741" s="134"/>
      <c r="BL741" s="134"/>
      <c r="BM741" s="135"/>
      <c r="BN741" s="136" t="n">
        <f aca="false">+MAX($D$3,DATOS_[[#This Row],[Fecha Inicio Sit. Contract.]])</f>
        <v>0</v>
      </c>
      <c r="BO741" s="136" t="n">
        <f aca="false">+MIN($D$4,DATOS_[[#This Row],[Fecha Fin Sit. Contract.]])</f>
        <v>0</v>
      </c>
      <c r="BP741" s="137" t="n">
        <f aca="false">+DATOS_[[#This Row],[% de jornada]]*IF(DATOS_[[#This Row],[% jornada reducida]]="",1,DATOS_[[#This Row],[% jornada reducida]])</f>
        <v>0</v>
      </c>
      <c r="BQ741" s="137" t="n">
        <f aca="false">+(DATOS_[[#This Row],[F.fin.cal]]-DATOS_[[#This Row],[F.ini.cal]]+1)/($D$4-$D$3+1)</f>
        <v>1</v>
      </c>
      <c r="BR741" s="137" t="str">
        <f aca="false">IF(OR(AND(DATOS_[[#This Row],[Fecha Fin Contrato]]&lt;$D$3,DATOS_[[#This Row],[Fecha Fin Contrato]]&lt;&gt;""),DATOS_[[#This Row],[Fecha de Contratación]]&gt;$D$4),"Fuera","Dentro")</f>
        <v>Dentro</v>
      </c>
      <c r="BS741" s="137" t="str">
        <f aca="false" t="array" ref="BS741:BS741">IF(MAX(IF(DATOS_[id]=DATOS_[[#This Row],[id]],DATOS_[F.fin.cal]))=DATOS_[[#This Row],[F.fin.cal]],"Sí","NO")</f>
        <v>Sí</v>
      </c>
      <c r="BT741" s="137" t="str">
        <f aca="false">IF(AND(DATOS_[[#This Row],[% normaliz]]&lt;&gt;1,DATOS_[[#This Row],[% anualiz]]=1),"Sí","NO")</f>
        <v>Sí</v>
      </c>
      <c r="BU741" s="137" t="str">
        <f aca="false">IF(AND(DATOS_[[#This Row],[% normaliz]]=1,DATOS_[[#This Row],[% anualiz]]&lt;&gt;1),"Sí","NO")</f>
        <v>NO</v>
      </c>
      <c r="BV741" s="137" t="str">
        <f aca="false">IF(AND(DATOS_[[#This Row],[% normaliz]]&lt;&gt;1,DATOS_[[#This Row],[% anualiz]]&lt;&gt;1),"Sí","NO")</f>
        <v>NO</v>
      </c>
      <c r="BW741" s="137" t="str">
        <f aca="false">+IF(DATOS_[[#This Row],[% normaliz]]*DATOS_[[#This Row],[% anualiz]]=1,"NO","Sí")</f>
        <v>Sí</v>
      </c>
      <c r="BX741" s="138" t="e">
        <f aca="false">(DATOS_[[#This Row],[S.BASE]]*(1/DATOS_[[#This Row],[% normaliz]])*(1/DATOS_[[#This Row],[% anualiz]]))*IF(DATOS_[[#This Row],[Check Equiparado]]="Sí",1,0)</f>
        <v>#DIV/0!</v>
      </c>
      <c r="BY7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1" s="138" t="e">
        <f aca="false">+DATOS_[[#This Row],[SALARIO BASE Eq]]+DATOS_[[#This Row],[Tot COMPL.SAL Eq]]</f>
        <v>#DIV/0!</v>
      </c>
      <c r="CA741" s="138" t="e">
        <f aca="false" t="array" ref="CA741:CA7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1" s="138" t="e">
        <f aca="false">+DATOS_[[#This Row],[TOTAL SALARIO Eq]]+DATOS_[[#This Row],[Tot Extrasalarial Eq]]</f>
        <v>#DIV/0!</v>
      </c>
      <c r="CC741" s="139" t="n">
        <f aca="false">DATOS_[[#This Row],[S.BASE]]</f>
        <v>0</v>
      </c>
      <c r="CD741" s="139" t="n">
        <f aca="false">+SUM(DATOS_[[#This Row],[Conc.Sal.01]:[Conc.Sal.30]])</f>
        <v>0</v>
      </c>
      <c r="CE741" s="139" t="n">
        <f aca="false">+DATOS_[[#This Row],[SALARIO BASE Ef]]+DATOS_[[#This Row],[Tot COMPL.SAL Ef]]</f>
        <v>0</v>
      </c>
      <c r="CF741" s="139" t="n">
        <f aca="false">+SUM(DATOS_[[#This Row],[C.Extra.01]:[C.Extra.05]])</f>
        <v>0</v>
      </c>
      <c r="CG741" s="139" t="n">
        <f aca="false">+DATOS_[[#This Row],[TOTAL SALARIO Ef]]+DATOS_[[#This Row],[Tot Extrasalarial Ef]]</f>
        <v>0</v>
      </c>
      <c r="CH741" s="140" t="n">
        <f aca="false">MIN(IF(DATOS_[[#This Row],[Fecha Fin Contrato]]="",$D$4,DATOS_[[#This Row],[Fecha Fin Contrato]]),$D$4)-MAX(DATOS_[[#This Row],[Fecha de Contratación]],$D$3)+1</f>
        <v>1</v>
      </c>
      <c r="CI741" s="141" t="str">
        <f aca="false">IF(COUNTIFS(DATOS_[id],DATOS_[[#This Row],[id]])&gt;1,DATOS_[[#This Row],[id]],"")</f>
        <v/>
      </c>
      <c r="CJ741" s="141" t="n">
        <f aca="false">(Inicio!$G$10-DATOS_[[#This Row],[Fecha Nacimiento]])/365.25</f>
        <v>0</v>
      </c>
      <c r="CK741" s="141" t="n">
        <f aca="false">(Inicio!$G$10-DATOS_[[#This Row],[Fecha de Antigüedad]])/365.25</f>
        <v>0</v>
      </c>
      <c r="CL741" s="141" t="e">
        <f aca="false">+VLOOKUP(DATOS_[[#This Row],[Clave de Contrato]],TblTiposContrato13[],3,0)</f>
        <v>#N/A</v>
      </c>
      <c r="CM741" s="141" t="e">
        <f aca="false">+VLOOKUP(DATOS_[[#This Row],[Clave de Contrato]],TblTiposContrato13[],4,0)</f>
        <v>#N/A</v>
      </c>
      <c r="CN741" s="141" t="str">
        <f aca="false">VLOOKUP(DATOS_[[#This Row],[Edad]],CONTRATOS!TblRngEdad,2,1)</f>
        <v>20  o menos</v>
      </c>
      <c r="CO741" s="141" t="str">
        <f aca="false">VLOOKUP(DATOS_[[#This Row],[Antigüedad]],TblRngAntg14[],2,1)</f>
        <v>0 a 1 años</v>
      </c>
    </row>
    <row r="742" customFormat="false" ht="13.8" hidden="false" customHeight="false" outlineLevel="0" collapsed="false">
      <c r="D742" s="128"/>
      <c r="E742" s="129"/>
      <c r="F742" s="129"/>
      <c r="G742" s="129"/>
      <c r="H742" s="130"/>
      <c r="I742" s="131"/>
      <c r="J742" s="128"/>
      <c r="K742" s="132"/>
      <c r="L742" s="132"/>
      <c r="M742" s="133"/>
      <c r="N742" s="133"/>
      <c r="O742" s="133"/>
      <c r="P742" s="129"/>
      <c r="Z742" s="75"/>
      <c r="AA742" s="76"/>
      <c r="AB742" s="76"/>
      <c r="AC742" s="129"/>
      <c r="AD742" s="134"/>
      <c r="AE742" s="134"/>
      <c r="AF742" s="134"/>
      <c r="AG742" s="134"/>
      <c r="AH742" s="134"/>
      <c r="AI742" s="134"/>
      <c r="AJ742" s="134"/>
      <c r="AK742" s="134"/>
      <c r="AL742" s="134"/>
      <c r="AM742" s="134"/>
      <c r="AN742" s="134"/>
      <c r="AO742" s="134"/>
      <c r="AP742" s="134"/>
      <c r="AQ742" s="134"/>
      <c r="AR742" s="134"/>
      <c r="AS742" s="134"/>
      <c r="AT742" s="134"/>
      <c r="AU742" s="134"/>
      <c r="AV742" s="134"/>
      <c r="AW742" s="134"/>
      <c r="AX742" s="134"/>
      <c r="AY742" s="134"/>
      <c r="AZ742" s="134"/>
      <c r="BA742" s="134"/>
      <c r="BB742" s="134"/>
      <c r="BC742" s="134"/>
      <c r="BD742" s="134"/>
      <c r="BE742" s="134"/>
      <c r="BF742" s="134"/>
      <c r="BG742" s="134"/>
      <c r="BH742" s="134"/>
      <c r="BI742" s="134"/>
      <c r="BJ742" s="134"/>
      <c r="BK742" s="134"/>
      <c r="BL742" s="134"/>
      <c r="BM742" s="135"/>
      <c r="BN742" s="136" t="n">
        <f aca="false">+MAX($D$3,DATOS_[[#This Row],[Fecha Inicio Sit. Contract.]])</f>
        <v>0</v>
      </c>
      <c r="BO742" s="136" t="n">
        <f aca="false">+MIN($D$4,DATOS_[[#This Row],[Fecha Fin Sit. Contract.]])</f>
        <v>0</v>
      </c>
      <c r="BP742" s="137" t="n">
        <f aca="false">+DATOS_[[#This Row],[% de jornada]]*IF(DATOS_[[#This Row],[% jornada reducida]]="",1,DATOS_[[#This Row],[% jornada reducida]])</f>
        <v>0</v>
      </c>
      <c r="BQ742" s="137" t="n">
        <f aca="false">+(DATOS_[[#This Row],[F.fin.cal]]-DATOS_[[#This Row],[F.ini.cal]]+1)/($D$4-$D$3+1)</f>
        <v>1</v>
      </c>
      <c r="BR742" s="137" t="str">
        <f aca="false">IF(OR(AND(DATOS_[[#This Row],[Fecha Fin Contrato]]&lt;$D$3,DATOS_[[#This Row],[Fecha Fin Contrato]]&lt;&gt;""),DATOS_[[#This Row],[Fecha de Contratación]]&gt;$D$4),"Fuera","Dentro")</f>
        <v>Dentro</v>
      </c>
      <c r="BS742" s="137" t="str">
        <f aca="false" t="array" ref="BS742:BS742">IF(MAX(IF(DATOS_[id]=DATOS_[[#This Row],[id]],DATOS_[F.fin.cal]))=DATOS_[[#This Row],[F.fin.cal]],"Sí","NO")</f>
        <v>Sí</v>
      </c>
      <c r="BT742" s="137" t="str">
        <f aca="false">IF(AND(DATOS_[[#This Row],[% normaliz]]&lt;&gt;1,DATOS_[[#This Row],[% anualiz]]=1),"Sí","NO")</f>
        <v>Sí</v>
      </c>
      <c r="BU742" s="137" t="str">
        <f aca="false">IF(AND(DATOS_[[#This Row],[% normaliz]]=1,DATOS_[[#This Row],[% anualiz]]&lt;&gt;1),"Sí","NO")</f>
        <v>NO</v>
      </c>
      <c r="BV742" s="137" t="str">
        <f aca="false">IF(AND(DATOS_[[#This Row],[% normaliz]]&lt;&gt;1,DATOS_[[#This Row],[% anualiz]]&lt;&gt;1),"Sí","NO")</f>
        <v>NO</v>
      </c>
      <c r="BW742" s="137" t="str">
        <f aca="false">+IF(DATOS_[[#This Row],[% normaliz]]*DATOS_[[#This Row],[% anualiz]]=1,"NO","Sí")</f>
        <v>Sí</v>
      </c>
      <c r="BX742" s="138" t="e">
        <f aca="false">(DATOS_[[#This Row],[S.BASE]]*(1/DATOS_[[#This Row],[% normaliz]])*(1/DATOS_[[#This Row],[% anualiz]]))*IF(DATOS_[[#This Row],[Check Equiparado]]="Sí",1,0)</f>
        <v>#DIV/0!</v>
      </c>
      <c r="BY7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2" s="138" t="e">
        <f aca="false">+DATOS_[[#This Row],[SALARIO BASE Eq]]+DATOS_[[#This Row],[Tot COMPL.SAL Eq]]</f>
        <v>#DIV/0!</v>
      </c>
      <c r="CA742" s="138" t="e">
        <f aca="false" t="array" ref="CA742:CA7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2" s="138" t="e">
        <f aca="false">+DATOS_[[#This Row],[TOTAL SALARIO Eq]]+DATOS_[[#This Row],[Tot Extrasalarial Eq]]</f>
        <v>#DIV/0!</v>
      </c>
      <c r="CC742" s="139" t="n">
        <f aca="false">DATOS_[[#This Row],[S.BASE]]</f>
        <v>0</v>
      </c>
      <c r="CD742" s="139" t="n">
        <f aca="false">+SUM(DATOS_[[#This Row],[Conc.Sal.01]:[Conc.Sal.30]])</f>
        <v>0</v>
      </c>
      <c r="CE742" s="139" t="n">
        <f aca="false">+DATOS_[[#This Row],[SALARIO BASE Ef]]+DATOS_[[#This Row],[Tot COMPL.SAL Ef]]</f>
        <v>0</v>
      </c>
      <c r="CF742" s="139" t="n">
        <f aca="false">+SUM(DATOS_[[#This Row],[C.Extra.01]:[C.Extra.05]])</f>
        <v>0</v>
      </c>
      <c r="CG742" s="139" t="n">
        <f aca="false">+DATOS_[[#This Row],[TOTAL SALARIO Ef]]+DATOS_[[#This Row],[Tot Extrasalarial Ef]]</f>
        <v>0</v>
      </c>
      <c r="CH742" s="140" t="n">
        <f aca="false">MIN(IF(DATOS_[[#This Row],[Fecha Fin Contrato]]="",$D$4,DATOS_[[#This Row],[Fecha Fin Contrato]]),$D$4)-MAX(DATOS_[[#This Row],[Fecha de Contratación]],$D$3)+1</f>
        <v>1</v>
      </c>
      <c r="CI742" s="141" t="str">
        <f aca="false">IF(COUNTIFS(DATOS_[id],DATOS_[[#This Row],[id]])&gt;1,DATOS_[[#This Row],[id]],"")</f>
        <v/>
      </c>
      <c r="CJ742" s="141" t="n">
        <f aca="false">(Inicio!$G$10-DATOS_[[#This Row],[Fecha Nacimiento]])/365.25</f>
        <v>0</v>
      </c>
      <c r="CK742" s="141" t="n">
        <f aca="false">(Inicio!$G$10-DATOS_[[#This Row],[Fecha de Antigüedad]])/365.25</f>
        <v>0</v>
      </c>
      <c r="CL742" s="141" t="e">
        <f aca="false">+VLOOKUP(DATOS_[[#This Row],[Clave de Contrato]],TblTiposContrato13[],3,0)</f>
        <v>#N/A</v>
      </c>
      <c r="CM742" s="141" t="e">
        <f aca="false">+VLOOKUP(DATOS_[[#This Row],[Clave de Contrato]],TblTiposContrato13[],4,0)</f>
        <v>#N/A</v>
      </c>
      <c r="CN742" s="141" t="str">
        <f aca="false">VLOOKUP(DATOS_[[#This Row],[Edad]],CONTRATOS!TblRngEdad,2,1)</f>
        <v>20  o menos</v>
      </c>
      <c r="CO742" s="141" t="str">
        <f aca="false">VLOOKUP(DATOS_[[#This Row],[Antigüedad]],TblRngAntg14[],2,1)</f>
        <v>0 a 1 años</v>
      </c>
    </row>
    <row r="743" customFormat="false" ht="13.8" hidden="false" customHeight="false" outlineLevel="0" collapsed="false">
      <c r="D743" s="128"/>
      <c r="E743" s="129"/>
      <c r="F743" s="129"/>
      <c r="G743" s="129"/>
      <c r="H743" s="130"/>
      <c r="I743" s="131"/>
      <c r="J743" s="128"/>
      <c r="K743" s="132"/>
      <c r="L743" s="132"/>
      <c r="M743" s="133"/>
      <c r="N743" s="133"/>
      <c r="O743" s="133"/>
      <c r="P743" s="129"/>
      <c r="Z743" s="75"/>
      <c r="AA743" s="76"/>
      <c r="AB743" s="76"/>
      <c r="AC743" s="129"/>
      <c r="AD743" s="134"/>
      <c r="AE743" s="134"/>
      <c r="AF743" s="134"/>
      <c r="AG743" s="134"/>
      <c r="AH743" s="134"/>
      <c r="AI743" s="134"/>
      <c r="AJ743" s="134"/>
      <c r="AK743" s="134"/>
      <c r="AL743" s="134"/>
      <c r="AM743" s="134"/>
      <c r="AN743" s="134"/>
      <c r="AO743" s="134"/>
      <c r="AP743" s="134"/>
      <c r="AQ743" s="134"/>
      <c r="AR743" s="134"/>
      <c r="AS743" s="134"/>
      <c r="AT743" s="134"/>
      <c r="AU743" s="134"/>
      <c r="AV743" s="134"/>
      <c r="AW743" s="134"/>
      <c r="AX743" s="134"/>
      <c r="AY743" s="134"/>
      <c r="AZ743" s="134"/>
      <c r="BA743" s="134"/>
      <c r="BB743" s="134"/>
      <c r="BC743" s="134"/>
      <c r="BD743" s="134"/>
      <c r="BE743" s="134"/>
      <c r="BF743" s="134"/>
      <c r="BG743" s="134"/>
      <c r="BH743" s="134"/>
      <c r="BI743" s="134"/>
      <c r="BJ743" s="134"/>
      <c r="BK743" s="134"/>
      <c r="BL743" s="134"/>
      <c r="BM743" s="135"/>
      <c r="BN743" s="136" t="n">
        <f aca="false">+MAX($D$3,DATOS_[[#This Row],[Fecha Inicio Sit. Contract.]])</f>
        <v>0</v>
      </c>
      <c r="BO743" s="136" t="n">
        <f aca="false">+MIN($D$4,DATOS_[[#This Row],[Fecha Fin Sit. Contract.]])</f>
        <v>0</v>
      </c>
      <c r="BP743" s="137" t="n">
        <f aca="false">+DATOS_[[#This Row],[% de jornada]]*IF(DATOS_[[#This Row],[% jornada reducida]]="",1,DATOS_[[#This Row],[% jornada reducida]])</f>
        <v>0</v>
      </c>
      <c r="BQ743" s="137" t="n">
        <f aca="false">+(DATOS_[[#This Row],[F.fin.cal]]-DATOS_[[#This Row],[F.ini.cal]]+1)/($D$4-$D$3+1)</f>
        <v>1</v>
      </c>
      <c r="BR743" s="137" t="str">
        <f aca="false">IF(OR(AND(DATOS_[[#This Row],[Fecha Fin Contrato]]&lt;$D$3,DATOS_[[#This Row],[Fecha Fin Contrato]]&lt;&gt;""),DATOS_[[#This Row],[Fecha de Contratación]]&gt;$D$4),"Fuera","Dentro")</f>
        <v>Dentro</v>
      </c>
      <c r="BS743" s="137" t="str">
        <f aca="false" t="array" ref="BS743:BS743">IF(MAX(IF(DATOS_[id]=DATOS_[[#This Row],[id]],DATOS_[F.fin.cal]))=DATOS_[[#This Row],[F.fin.cal]],"Sí","NO")</f>
        <v>Sí</v>
      </c>
      <c r="BT743" s="137" t="str">
        <f aca="false">IF(AND(DATOS_[[#This Row],[% normaliz]]&lt;&gt;1,DATOS_[[#This Row],[% anualiz]]=1),"Sí","NO")</f>
        <v>Sí</v>
      </c>
      <c r="BU743" s="137" t="str">
        <f aca="false">IF(AND(DATOS_[[#This Row],[% normaliz]]=1,DATOS_[[#This Row],[% anualiz]]&lt;&gt;1),"Sí","NO")</f>
        <v>NO</v>
      </c>
      <c r="BV743" s="137" t="str">
        <f aca="false">IF(AND(DATOS_[[#This Row],[% normaliz]]&lt;&gt;1,DATOS_[[#This Row],[% anualiz]]&lt;&gt;1),"Sí","NO")</f>
        <v>NO</v>
      </c>
      <c r="BW743" s="137" t="str">
        <f aca="false">+IF(DATOS_[[#This Row],[% normaliz]]*DATOS_[[#This Row],[% anualiz]]=1,"NO","Sí")</f>
        <v>Sí</v>
      </c>
      <c r="BX743" s="138" t="e">
        <f aca="false">(DATOS_[[#This Row],[S.BASE]]*(1/DATOS_[[#This Row],[% normaliz]])*(1/DATOS_[[#This Row],[% anualiz]]))*IF(DATOS_[[#This Row],[Check Equiparado]]="Sí",1,0)</f>
        <v>#DIV/0!</v>
      </c>
      <c r="BY7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3" s="138" t="e">
        <f aca="false">+DATOS_[[#This Row],[SALARIO BASE Eq]]+DATOS_[[#This Row],[Tot COMPL.SAL Eq]]</f>
        <v>#DIV/0!</v>
      </c>
      <c r="CA743" s="138" t="e">
        <f aca="false" t="array" ref="CA743:CA7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3" s="138" t="e">
        <f aca="false">+DATOS_[[#This Row],[TOTAL SALARIO Eq]]+DATOS_[[#This Row],[Tot Extrasalarial Eq]]</f>
        <v>#DIV/0!</v>
      </c>
      <c r="CC743" s="139" t="n">
        <f aca="false">DATOS_[[#This Row],[S.BASE]]</f>
        <v>0</v>
      </c>
      <c r="CD743" s="139" t="n">
        <f aca="false">+SUM(DATOS_[[#This Row],[Conc.Sal.01]:[Conc.Sal.30]])</f>
        <v>0</v>
      </c>
      <c r="CE743" s="139" t="n">
        <f aca="false">+DATOS_[[#This Row],[SALARIO BASE Ef]]+DATOS_[[#This Row],[Tot COMPL.SAL Ef]]</f>
        <v>0</v>
      </c>
      <c r="CF743" s="139" t="n">
        <f aca="false">+SUM(DATOS_[[#This Row],[C.Extra.01]:[C.Extra.05]])</f>
        <v>0</v>
      </c>
      <c r="CG743" s="139" t="n">
        <f aca="false">+DATOS_[[#This Row],[TOTAL SALARIO Ef]]+DATOS_[[#This Row],[Tot Extrasalarial Ef]]</f>
        <v>0</v>
      </c>
      <c r="CH743" s="140" t="n">
        <f aca="false">MIN(IF(DATOS_[[#This Row],[Fecha Fin Contrato]]="",$D$4,DATOS_[[#This Row],[Fecha Fin Contrato]]),$D$4)-MAX(DATOS_[[#This Row],[Fecha de Contratación]],$D$3)+1</f>
        <v>1</v>
      </c>
      <c r="CI743" s="141" t="str">
        <f aca="false">IF(COUNTIFS(DATOS_[id],DATOS_[[#This Row],[id]])&gt;1,DATOS_[[#This Row],[id]],"")</f>
        <v/>
      </c>
      <c r="CJ743" s="141" t="n">
        <f aca="false">(Inicio!$G$10-DATOS_[[#This Row],[Fecha Nacimiento]])/365.25</f>
        <v>0</v>
      </c>
      <c r="CK743" s="141" t="n">
        <f aca="false">(Inicio!$G$10-DATOS_[[#This Row],[Fecha de Antigüedad]])/365.25</f>
        <v>0</v>
      </c>
      <c r="CL743" s="141" t="e">
        <f aca="false">+VLOOKUP(DATOS_[[#This Row],[Clave de Contrato]],TblTiposContrato13[],3,0)</f>
        <v>#N/A</v>
      </c>
      <c r="CM743" s="141" t="e">
        <f aca="false">+VLOOKUP(DATOS_[[#This Row],[Clave de Contrato]],TblTiposContrato13[],4,0)</f>
        <v>#N/A</v>
      </c>
      <c r="CN743" s="141" t="str">
        <f aca="false">VLOOKUP(DATOS_[[#This Row],[Edad]],CONTRATOS!TblRngEdad,2,1)</f>
        <v>20  o menos</v>
      </c>
      <c r="CO743" s="141" t="str">
        <f aca="false">VLOOKUP(DATOS_[[#This Row],[Antigüedad]],TblRngAntg14[],2,1)</f>
        <v>0 a 1 años</v>
      </c>
    </row>
    <row r="744" customFormat="false" ht="13.8" hidden="false" customHeight="false" outlineLevel="0" collapsed="false">
      <c r="D744" s="128"/>
      <c r="E744" s="129"/>
      <c r="F744" s="129"/>
      <c r="G744" s="129"/>
      <c r="H744" s="130"/>
      <c r="I744" s="131"/>
      <c r="J744" s="128"/>
      <c r="K744" s="132"/>
      <c r="L744" s="132"/>
      <c r="M744" s="133"/>
      <c r="N744" s="133"/>
      <c r="O744" s="133"/>
      <c r="P744" s="129"/>
      <c r="Z744" s="75"/>
      <c r="AA744" s="76"/>
      <c r="AB744" s="76"/>
      <c r="AC744" s="129"/>
      <c r="AD744" s="134"/>
      <c r="AE744" s="134"/>
      <c r="AF744" s="134"/>
      <c r="AG744" s="134"/>
      <c r="AH744" s="134"/>
      <c r="AI744" s="134"/>
      <c r="AJ744" s="134"/>
      <c r="AK744" s="134"/>
      <c r="AL744" s="134"/>
      <c r="AM744" s="134"/>
      <c r="AN744" s="134"/>
      <c r="AO744" s="134"/>
      <c r="AP744" s="134"/>
      <c r="AQ744" s="134"/>
      <c r="AR744" s="134"/>
      <c r="AS744" s="134"/>
      <c r="AT744" s="134"/>
      <c r="AU744" s="134"/>
      <c r="AV744" s="134"/>
      <c r="AW744" s="134"/>
      <c r="AX744" s="134"/>
      <c r="AY744" s="134"/>
      <c r="AZ744" s="134"/>
      <c r="BA744" s="134"/>
      <c r="BB744" s="134"/>
      <c r="BC744" s="134"/>
      <c r="BD744" s="134"/>
      <c r="BE744" s="134"/>
      <c r="BF744" s="134"/>
      <c r="BG744" s="134"/>
      <c r="BH744" s="134"/>
      <c r="BI744" s="134"/>
      <c r="BJ744" s="134"/>
      <c r="BK744" s="134"/>
      <c r="BL744" s="134"/>
      <c r="BM744" s="135"/>
      <c r="BN744" s="136" t="n">
        <f aca="false">+MAX($D$3,DATOS_[[#This Row],[Fecha Inicio Sit. Contract.]])</f>
        <v>0</v>
      </c>
      <c r="BO744" s="136" t="n">
        <f aca="false">+MIN($D$4,DATOS_[[#This Row],[Fecha Fin Sit. Contract.]])</f>
        <v>0</v>
      </c>
      <c r="BP744" s="137" t="n">
        <f aca="false">+DATOS_[[#This Row],[% de jornada]]*IF(DATOS_[[#This Row],[% jornada reducida]]="",1,DATOS_[[#This Row],[% jornada reducida]])</f>
        <v>0</v>
      </c>
      <c r="BQ744" s="137" t="n">
        <f aca="false">+(DATOS_[[#This Row],[F.fin.cal]]-DATOS_[[#This Row],[F.ini.cal]]+1)/($D$4-$D$3+1)</f>
        <v>1</v>
      </c>
      <c r="BR744" s="137" t="str">
        <f aca="false">IF(OR(AND(DATOS_[[#This Row],[Fecha Fin Contrato]]&lt;$D$3,DATOS_[[#This Row],[Fecha Fin Contrato]]&lt;&gt;""),DATOS_[[#This Row],[Fecha de Contratación]]&gt;$D$4),"Fuera","Dentro")</f>
        <v>Dentro</v>
      </c>
      <c r="BS744" s="137" t="str">
        <f aca="false" t="array" ref="BS744:BS744">IF(MAX(IF(DATOS_[id]=DATOS_[[#This Row],[id]],DATOS_[F.fin.cal]))=DATOS_[[#This Row],[F.fin.cal]],"Sí","NO")</f>
        <v>Sí</v>
      </c>
      <c r="BT744" s="137" t="str">
        <f aca="false">IF(AND(DATOS_[[#This Row],[% normaliz]]&lt;&gt;1,DATOS_[[#This Row],[% anualiz]]=1),"Sí","NO")</f>
        <v>Sí</v>
      </c>
      <c r="BU744" s="137" t="str">
        <f aca="false">IF(AND(DATOS_[[#This Row],[% normaliz]]=1,DATOS_[[#This Row],[% anualiz]]&lt;&gt;1),"Sí","NO")</f>
        <v>NO</v>
      </c>
      <c r="BV744" s="137" t="str">
        <f aca="false">IF(AND(DATOS_[[#This Row],[% normaliz]]&lt;&gt;1,DATOS_[[#This Row],[% anualiz]]&lt;&gt;1),"Sí","NO")</f>
        <v>NO</v>
      </c>
      <c r="BW744" s="137" t="str">
        <f aca="false">+IF(DATOS_[[#This Row],[% normaliz]]*DATOS_[[#This Row],[% anualiz]]=1,"NO","Sí")</f>
        <v>Sí</v>
      </c>
      <c r="BX744" s="138" t="e">
        <f aca="false">(DATOS_[[#This Row],[S.BASE]]*(1/DATOS_[[#This Row],[% normaliz]])*(1/DATOS_[[#This Row],[% anualiz]]))*IF(DATOS_[[#This Row],[Check Equiparado]]="Sí",1,0)</f>
        <v>#DIV/0!</v>
      </c>
      <c r="BY7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4" s="138" t="e">
        <f aca="false">+DATOS_[[#This Row],[SALARIO BASE Eq]]+DATOS_[[#This Row],[Tot COMPL.SAL Eq]]</f>
        <v>#DIV/0!</v>
      </c>
      <c r="CA744" s="138" t="e">
        <f aca="false" t="array" ref="CA744:CA7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4" s="138" t="e">
        <f aca="false">+DATOS_[[#This Row],[TOTAL SALARIO Eq]]+DATOS_[[#This Row],[Tot Extrasalarial Eq]]</f>
        <v>#DIV/0!</v>
      </c>
      <c r="CC744" s="139" t="n">
        <f aca="false">DATOS_[[#This Row],[S.BASE]]</f>
        <v>0</v>
      </c>
      <c r="CD744" s="139" t="n">
        <f aca="false">+SUM(DATOS_[[#This Row],[Conc.Sal.01]:[Conc.Sal.30]])</f>
        <v>0</v>
      </c>
      <c r="CE744" s="139" t="n">
        <f aca="false">+DATOS_[[#This Row],[SALARIO BASE Ef]]+DATOS_[[#This Row],[Tot COMPL.SAL Ef]]</f>
        <v>0</v>
      </c>
      <c r="CF744" s="139" t="n">
        <f aca="false">+SUM(DATOS_[[#This Row],[C.Extra.01]:[C.Extra.05]])</f>
        <v>0</v>
      </c>
      <c r="CG744" s="139" t="n">
        <f aca="false">+DATOS_[[#This Row],[TOTAL SALARIO Ef]]+DATOS_[[#This Row],[Tot Extrasalarial Ef]]</f>
        <v>0</v>
      </c>
      <c r="CH744" s="140" t="n">
        <f aca="false">MIN(IF(DATOS_[[#This Row],[Fecha Fin Contrato]]="",$D$4,DATOS_[[#This Row],[Fecha Fin Contrato]]),$D$4)-MAX(DATOS_[[#This Row],[Fecha de Contratación]],$D$3)+1</f>
        <v>1</v>
      </c>
      <c r="CI744" s="141" t="str">
        <f aca="false">IF(COUNTIFS(DATOS_[id],DATOS_[[#This Row],[id]])&gt;1,DATOS_[[#This Row],[id]],"")</f>
        <v/>
      </c>
      <c r="CJ744" s="141" t="n">
        <f aca="false">(Inicio!$G$10-DATOS_[[#This Row],[Fecha Nacimiento]])/365.25</f>
        <v>0</v>
      </c>
      <c r="CK744" s="141" t="n">
        <f aca="false">(Inicio!$G$10-DATOS_[[#This Row],[Fecha de Antigüedad]])/365.25</f>
        <v>0</v>
      </c>
      <c r="CL744" s="141" t="e">
        <f aca="false">+VLOOKUP(DATOS_[[#This Row],[Clave de Contrato]],TblTiposContrato13[],3,0)</f>
        <v>#N/A</v>
      </c>
      <c r="CM744" s="141" t="e">
        <f aca="false">+VLOOKUP(DATOS_[[#This Row],[Clave de Contrato]],TblTiposContrato13[],4,0)</f>
        <v>#N/A</v>
      </c>
      <c r="CN744" s="141" t="str">
        <f aca="false">VLOOKUP(DATOS_[[#This Row],[Edad]],CONTRATOS!TblRngEdad,2,1)</f>
        <v>20  o menos</v>
      </c>
      <c r="CO744" s="141" t="str">
        <f aca="false">VLOOKUP(DATOS_[[#This Row],[Antigüedad]],TblRngAntg14[],2,1)</f>
        <v>0 a 1 años</v>
      </c>
    </row>
    <row r="745" customFormat="false" ht="13.8" hidden="false" customHeight="false" outlineLevel="0" collapsed="false">
      <c r="D745" s="128"/>
      <c r="E745" s="129"/>
      <c r="F745" s="129"/>
      <c r="G745" s="129"/>
      <c r="H745" s="130"/>
      <c r="I745" s="131"/>
      <c r="J745" s="128"/>
      <c r="K745" s="132"/>
      <c r="L745" s="132"/>
      <c r="M745" s="133"/>
      <c r="N745" s="133"/>
      <c r="O745" s="133"/>
      <c r="P745" s="129"/>
      <c r="Z745" s="75"/>
      <c r="AA745" s="76"/>
      <c r="AB745" s="76"/>
      <c r="AC745" s="129"/>
      <c r="AD745" s="134"/>
      <c r="AE745" s="134"/>
      <c r="AF745" s="134"/>
      <c r="AG745" s="134"/>
      <c r="AH745" s="134"/>
      <c r="AI745" s="134"/>
      <c r="AJ745" s="134"/>
      <c r="AK745" s="134"/>
      <c r="AL745" s="134"/>
      <c r="AM745" s="134"/>
      <c r="AN745" s="134"/>
      <c r="AO745" s="134"/>
      <c r="AP745" s="134"/>
      <c r="AQ745" s="134"/>
      <c r="AR745" s="134"/>
      <c r="AS745" s="134"/>
      <c r="AT745" s="134"/>
      <c r="AU745" s="134"/>
      <c r="AV745" s="134"/>
      <c r="AW745" s="134"/>
      <c r="AX745" s="134"/>
      <c r="AY745" s="134"/>
      <c r="AZ745" s="134"/>
      <c r="BA745" s="134"/>
      <c r="BB745" s="134"/>
      <c r="BC745" s="134"/>
      <c r="BD745" s="134"/>
      <c r="BE745" s="134"/>
      <c r="BF745" s="134"/>
      <c r="BG745" s="134"/>
      <c r="BH745" s="134"/>
      <c r="BI745" s="134"/>
      <c r="BJ745" s="134"/>
      <c r="BK745" s="134"/>
      <c r="BL745" s="134"/>
      <c r="BM745" s="135"/>
      <c r="BN745" s="136" t="n">
        <f aca="false">+MAX($D$3,DATOS_[[#This Row],[Fecha Inicio Sit. Contract.]])</f>
        <v>0</v>
      </c>
      <c r="BO745" s="136" t="n">
        <f aca="false">+MIN($D$4,DATOS_[[#This Row],[Fecha Fin Sit. Contract.]])</f>
        <v>0</v>
      </c>
      <c r="BP745" s="137" t="n">
        <f aca="false">+DATOS_[[#This Row],[% de jornada]]*IF(DATOS_[[#This Row],[% jornada reducida]]="",1,DATOS_[[#This Row],[% jornada reducida]])</f>
        <v>0</v>
      </c>
      <c r="BQ745" s="137" t="n">
        <f aca="false">+(DATOS_[[#This Row],[F.fin.cal]]-DATOS_[[#This Row],[F.ini.cal]]+1)/($D$4-$D$3+1)</f>
        <v>1</v>
      </c>
      <c r="BR745" s="137" t="str">
        <f aca="false">IF(OR(AND(DATOS_[[#This Row],[Fecha Fin Contrato]]&lt;$D$3,DATOS_[[#This Row],[Fecha Fin Contrato]]&lt;&gt;""),DATOS_[[#This Row],[Fecha de Contratación]]&gt;$D$4),"Fuera","Dentro")</f>
        <v>Dentro</v>
      </c>
      <c r="BS745" s="137" t="str">
        <f aca="false" t="array" ref="BS745:BS745">IF(MAX(IF(DATOS_[id]=DATOS_[[#This Row],[id]],DATOS_[F.fin.cal]))=DATOS_[[#This Row],[F.fin.cal]],"Sí","NO")</f>
        <v>Sí</v>
      </c>
      <c r="BT745" s="137" t="str">
        <f aca="false">IF(AND(DATOS_[[#This Row],[% normaliz]]&lt;&gt;1,DATOS_[[#This Row],[% anualiz]]=1),"Sí","NO")</f>
        <v>Sí</v>
      </c>
      <c r="BU745" s="137" t="str">
        <f aca="false">IF(AND(DATOS_[[#This Row],[% normaliz]]=1,DATOS_[[#This Row],[% anualiz]]&lt;&gt;1),"Sí","NO")</f>
        <v>NO</v>
      </c>
      <c r="BV745" s="137" t="str">
        <f aca="false">IF(AND(DATOS_[[#This Row],[% normaliz]]&lt;&gt;1,DATOS_[[#This Row],[% anualiz]]&lt;&gt;1),"Sí","NO")</f>
        <v>NO</v>
      </c>
      <c r="BW745" s="137" t="str">
        <f aca="false">+IF(DATOS_[[#This Row],[% normaliz]]*DATOS_[[#This Row],[% anualiz]]=1,"NO","Sí")</f>
        <v>Sí</v>
      </c>
      <c r="BX745" s="138" t="e">
        <f aca="false">(DATOS_[[#This Row],[S.BASE]]*(1/DATOS_[[#This Row],[% normaliz]])*(1/DATOS_[[#This Row],[% anualiz]]))*IF(DATOS_[[#This Row],[Check Equiparado]]="Sí",1,0)</f>
        <v>#DIV/0!</v>
      </c>
      <c r="BY7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5" s="138" t="e">
        <f aca="false">+DATOS_[[#This Row],[SALARIO BASE Eq]]+DATOS_[[#This Row],[Tot COMPL.SAL Eq]]</f>
        <v>#DIV/0!</v>
      </c>
      <c r="CA745" s="138" t="e">
        <f aca="false" t="array" ref="CA745:CA7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5" s="138" t="e">
        <f aca="false">+DATOS_[[#This Row],[TOTAL SALARIO Eq]]+DATOS_[[#This Row],[Tot Extrasalarial Eq]]</f>
        <v>#DIV/0!</v>
      </c>
      <c r="CC745" s="139" t="n">
        <f aca="false">DATOS_[[#This Row],[S.BASE]]</f>
        <v>0</v>
      </c>
      <c r="CD745" s="139" t="n">
        <f aca="false">+SUM(DATOS_[[#This Row],[Conc.Sal.01]:[Conc.Sal.30]])</f>
        <v>0</v>
      </c>
      <c r="CE745" s="139" t="n">
        <f aca="false">+DATOS_[[#This Row],[SALARIO BASE Ef]]+DATOS_[[#This Row],[Tot COMPL.SAL Ef]]</f>
        <v>0</v>
      </c>
      <c r="CF745" s="139" t="n">
        <f aca="false">+SUM(DATOS_[[#This Row],[C.Extra.01]:[C.Extra.05]])</f>
        <v>0</v>
      </c>
      <c r="CG745" s="139" t="n">
        <f aca="false">+DATOS_[[#This Row],[TOTAL SALARIO Ef]]+DATOS_[[#This Row],[Tot Extrasalarial Ef]]</f>
        <v>0</v>
      </c>
      <c r="CH745" s="140" t="n">
        <f aca="false">MIN(IF(DATOS_[[#This Row],[Fecha Fin Contrato]]="",$D$4,DATOS_[[#This Row],[Fecha Fin Contrato]]),$D$4)-MAX(DATOS_[[#This Row],[Fecha de Contratación]],$D$3)+1</f>
        <v>1</v>
      </c>
      <c r="CI745" s="141" t="str">
        <f aca="false">IF(COUNTIFS(DATOS_[id],DATOS_[[#This Row],[id]])&gt;1,DATOS_[[#This Row],[id]],"")</f>
        <v/>
      </c>
      <c r="CJ745" s="141" t="n">
        <f aca="false">(Inicio!$G$10-DATOS_[[#This Row],[Fecha Nacimiento]])/365.25</f>
        <v>0</v>
      </c>
      <c r="CK745" s="141" t="n">
        <f aca="false">(Inicio!$G$10-DATOS_[[#This Row],[Fecha de Antigüedad]])/365.25</f>
        <v>0</v>
      </c>
      <c r="CL745" s="141" t="e">
        <f aca="false">+VLOOKUP(DATOS_[[#This Row],[Clave de Contrato]],TblTiposContrato13[],3,0)</f>
        <v>#N/A</v>
      </c>
      <c r="CM745" s="141" t="e">
        <f aca="false">+VLOOKUP(DATOS_[[#This Row],[Clave de Contrato]],TblTiposContrato13[],4,0)</f>
        <v>#N/A</v>
      </c>
      <c r="CN745" s="141" t="str">
        <f aca="false">VLOOKUP(DATOS_[[#This Row],[Edad]],CONTRATOS!TblRngEdad,2,1)</f>
        <v>20  o menos</v>
      </c>
      <c r="CO745" s="141" t="str">
        <f aca="false">VLOOKUP(DATOS_[[#This Row],[Antigüedad]],TblRngAntg14[],2,1)</f>
        <v>0 a 1 años</v>
      </c>
    </row>
    <row r="746" customFormat="false" ht="13.8" hidden="false" customHeight="false" outlineLevel="0" collapsed="false">
      <c r="D746" s="128"/>
      <c r="E746" s="129"/>
      <c r="F746" s="129"/>
      <c r="G746" s="129"/>
      <c r="H746" s="130"/>
      <c r="I746" s="131"/>
      <c r="J746" s="128"/>
      <c r="K746" s="132"/>
      <c r="L746" s="132"/>
      <c r="M746" s="133"/>
      <c r="N746" s="133"/>
      <c r="O746" s="133"/>
      <c r="P746" s="129"/>
      <c r="Z746" s="75"/>
      <c r="AA746" s="76"/>
      <c r="AB746" s="76"/>
      <c r="AC746" s="129"/>
      <c r="AD746" s="134"/>
      <c r="AE746" s="134"/>
      <c r="AF746" s="134"/>
      <c r="AG746" s="134"/>
      <c r="AH746" s="134"/>
      <c r="AI746" s="134"/>
      <c r="AJ746" s="134"/>
      <c r="AK746" s="134"/>
      <c r="AL746" s="134"/>
      <c r="AM746" s="134"/>
      <c r="AN746" s="134"/>
      <c r="AO746" s="134"/>
      <c r="AP746" s="134"/>
      <c r="AQ746" s="134"/>
      <c r="AR746" s="134"/>
      <c r="AS746" s="134"/>
      <c r="AT746" s="134"/>
      <c r="AU746" s="134"/>
      <c r="AV746" s="134"/>
      <c r="AW746" s="134"/>
      <c r="AX746" s="134"/>
      <c r="AY746" s="134"/>
      <c r="AZ746" s="134"/>
      <c r="BA746" s="134"/>
      <c r="BB746" s="134"/>
      <c r="BC746" s="134"/>
      <c r="BD746" s="134"/>
      <c r="BE746" s="134"/>
      <c r="BF746" s="134"/>
      <c r="BG746" s="134"/>
      <c r="BH746" s="134"/>
      <c r="BI746" s="134"/>
      <c r="BJ746" s="134"/>
      <c r="BK746" s="134"/>
      <c r="BL746" s="134"/>
      <c r="BM746" s="135"/>
      <c r="BN746" s="136" t="n">
        <f aca="false">+MAX($D$3,DATOS_[[#This Row],[Fecha Inicio Sit. Contract.]])</f>
        <v>0</v>
      </c>
      <c r="BO746" s="136" t="n">
        <f aca="false">+MIN($D$4,DATOS_[[#This Row],[Fecha Fin Sit. Contract.]])</f>
        <v>0</v>
      </c>
      <c r="BP746" s="137" t="n">
        <f aca="false">+DATOS_[[#This Row],[% de jornada]]*IF(DATOS_[[#This Row],[% jornada reducida]]="",1,DATOS_[[#This Row],[% jornada reducida]])</f>
        <v>0</v>
      </c>
      <c r="BQ746" s="137" t="n">
        <f aca="false">+(DATOS_[[#This Row],[F.fin.cal]]-DATOS_[[#This Row],[F.ini.cal]]+1)/($D$4-$D$3+1)</f>
        <v>1</v>
      </c>
      <c r="BR746" s="137" t="str">
        <f aca="false">IF(OR(AND(DATOS_[[#This Row],[Fecha Fin Contrato]]&lt;$D$3,DATOS_[[#This Row],[Fecha Fin Contrato]]&lt;&gt;""),DATOS_[[#This Row],[Fecha de Contratación]]&gt;$D$4),"Fuera","Dentro")</f>
        <v>Dentro</v>
      </c>
      <c r="BS746" s="137" t="str">
        <f aca="false" t="array" ref="BS746:BS746">IF(MAX(IF(DATOS_[id]=DATOS_[[#This Row],[id]],DATOS_[F.fin.cal]))=DATOS_[[#This Row],[F.fin.cal]],"Sí","NO")</f>
        <v>Sí</v>
      </c>
      <c r="BT746" s="137" t="str">
        <f aca="false">IF(AND(DATOS_[[#This Row],[% normaliz]]&lt;&gt;1,DATOS_[[#This Row],[% anualiz]]=1),"Sí","NO")</f>
        <v>Sí</v>
      </c>
      <c r="BU746" s="137" t="str">
        <f aca="false">IF(AND(DATOS_[[#This Row],[% normaliz]]=1,DATOS_[[#This Row],[% anualiz]]&lt;&gt;1),"Sí","NO")</f>
        <v>NO</v>
      </c>
      <c r="BV746" s="137" t="str">
        <f aca="false">IF(AND(DATOS_[[#This Row],[% normaliz]]&lt;&gt;1,DATOS_[[#This Row],[% anualiz]]&lt;&gt;1),"Sí","NO")</f>
        <v>NO</v>
      </c>
      <c r="BW746" s="137" t="str">
        <f aca="false">+IF(DATOS_[[#This Row],[% normaliz]]*DATOS_[[#This Row],[% anualiz]]=1,"NO","Sí")</f>
        <v>Sí</v>
      </c>
      <c r="BX746" s="138" t="e">
        <f aca="false">(DATOS_[[#This Row],[S.BASE]]*(1/DATOS_[[#This Row],[% normaliz]])*(1/DATOS_[[#This Row],[% anualiz]]))*IF(DATOS_[[#This Row],[Check Equiparado]]="Sí",1,0)</f>
        <v>#DIV/0!</v>
      </c>
      <c r="BY7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6" s="138" t="e">
        <f aca="false">+DATOS_[[#This Row],[SALARIO BASE Eq]]+DATOS_[[#This Row],[Tot COMPL.SAL Eq]]</f>
        <v>#DIV/0!</v>
      </c>
      <c r="CA746" s="138" t="e">
        <f aca="false" t="array" ref="CA746:CA7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6" s="138" t="e">
        <f aca="false">+DATOS_[[#This Row],[TOTAL SALARIO Eq]]+DATOS_[[#This Row],[Tot Extrasalarial Eq]]</f>
        <v>#DIV/0!</v>
      </c>
      <c r="CC746" s="139" t="n">
        <f aca="false">DATOS_[[#This Row],[S.BASE]]</f>
        <v>0</v>
      </c>
      <c r="CD746" s="139" t="n">
        <f aca="false">+SUM(DATOS_[[#This Row],[Conc.Sal.01]:[Conc.Sal.30]])</f>
        <v>0</v>
      </c>
      <c r="CE746" s="139" t="n">
        <f aca="false">+DATOS_[[#This Row],[SALARIO BASE Ef]]+DATOS_[[#This Row],[Tot COMPL.SAL Ef]]</f>
        <v>0</v>
      </c>
      <c r="CF746" s="139" t="n">
        <f aca="false">+SUM(DATOS_[[#This Row],[C.Extra.01]:[C.Extra.05]])</f>
        <v>0</v>
      </c>
      <c r="CG746" s="139" t="n">
        <f aca="false">+DATOS_[[#This Row],[TOTAL SALARIO Ef]]+DATOS_[[#This Row],[Tot Extrasalarial Ef]]</f>
        <v>0</v>
      </c>
      <c r="CH746" s="140" t="n">
        <f aca="false">MIN(IF(DATOS_[[#This Row],[Fecha Fin Contrato]]="",$D$4,DATOS_[[#This Row],[Fecha Fin Contrato]]),$D$4)-MAX(DATOS_[[#This Row],[Fecha de Contratación]],$D$3)+1</f>
        <v>1</v>
      </c>
      <c r="CI746" s="141" t="str">
        <f aca="false">IF(COUNTIFS(DATOS_[id],DATOS_[[#This Row],[id]])&gt;1,DATOS_[[#This Row],[id]],"")</f>
        <v/>
      </c>
      <c r="CJ746" s="141" t="n">
        <f aca="false">(Inicio!$G$10-DATOS_[[#This Row],[Fecha Nacimiento]])/365.25</f>
        <v>0</v>
      </c>
      <c r="CK746" s="141" t="n">
        <f aca="false">(Inicio!$G$10-DATOS_[[#This Row],[Fecha de Antigüedad]])/365.25</f>
        <v>0</v>
      </c>
      <c r="CL746" s="141" t="e">
        <f aca="false">+VLOOKUP(DATOS_[[#This Row],[Clave de Contrato]],TblTiposContrato13[],3,0)</f>
        <v>#N/A</v>
      </c>
      <c r="CM746" s="141" t="e">
        <f aca="false">+VLOOKUP(DATOS_[[#This Row],[Clave de Contrato]],TblTiposContrato13[],4,0)</f>
        <v>#N/A</v>
      </c>
      <c r="CN746" s="141" t="str">
        <f aca="false">VLOOKUP(DATOS_[[#This Row],[Edad]],CONTRATOS!TblRngEdad,2,1)</f>
        <v>20  o menos</v>
      </c>
      <c r="CO746" s="141" t="str">
        <f aca="false">VLOOKUP(DATOS_[[#This Row],[Antigüedad]],TblRngAntg14[],2,1)</f>
        <v>0 a 1 años</v>
      </c>
    </row>
    <row r="747" customFormat="false" ht="13.8" hidden="false" customHeight="false" outlineLevel="0" collapsed="false">
      <c r="D747" s="128"/>
      <c r="E747" s="129"/>
      <c r="F747" s="129"/>
      <c r="G747" s="129"/>
      <c r="H747" s="130"/>
      <c r="I747" s="131"/>
      <c r="J747" s="128"/>
      <c r="K747" s="132"/>
      <c r="L747" s="132"/>
      <c r="M747" s="133"/>
      <c r="N747" s="133"/>
      <c r="O747" s="133"/>
      <c r="P747" s="129"/>
      <c r="Z747" s="75"/>
      <c r="AA747" s="76"/>
      <c r="AB747" s="76"/>
      <c r="AC747" s="129"/>
      <c r="AD747" s="134"/>
      <c r="AE747" s="134"/>
      <c r="AF747" s="134"/>
      <c r="AG747" s="134"/>
      <c r="AH747" s="134"/>
      <c r="AI747" s="134"/>
      <c r="AJ747" s="134"/>
      <c r="AK747" s="134"/>
      <c r="AL747" s="134"/>
      <c r="AM747" s="134"/>
      <c r="AN747" s="134"/>
      <c r="AO747" s="134"/>
      <c r="AP747" s="134"/>
      <c r="AQ747" s="134"/>
      <c r="AR747" s="134"/>
      <c r="AS747" s="134"/>
      <c r="AT747" s="134"/>
      <c r="AU747" s="134"/>
      <c r="AV747" s="134"/>
      <c r="AW747" s="134"/>
      <c r="AX747" s="134"/>
      <c r="AY747" s="134"/>
      <c r="AZ747" s="134"/>
      <c r="BA747" s="134"/>
      <c r="BB747" s="134"/>
      <c r="BC747" s="134"/>
      <c r="BD747" s="134"/>
      <c r="BE747" s="134"/>
      <c r="BF747" s="134"/>
      <c r="BG747" s="134"/>
      <c r="BH747" s="134"/>
      <c r="BI747" s="134"/>
      <c r="BJ747" s="134"/>
      <c r="BK747" s="134"/>
      <c r="BL747" s="134"/>
      <c r="BM747" s="135"/>
      <c r="BN747" s="136" t="n">
        <f aca="false">+MAX($D$3,DATOS_[[#This Row],[Fecha Inicio Sit. Contract.]])</f>
        <v>0</v>
      </c>
      <c r="BO747" s="136" t="n">
        <f aca="false">+MIN($D$4,DATOS_[[#This Row],[Fecha Fin Sit. Contract.]])</f>
        <v>0</v>
      </c>
      <c r="BP747" s="137" t="n">
        <f aca="false">+DATOS_[[#This Row],[% de jornada]]*IF(DATOS_[[#This Row],[% jornada reducida]]="",1,DATOS_[[#This Row],[% jornada reducida]])</f>
        <v>0</v>
      </c>
      <c r="BQ747" s="137" t="n">
        <f aca="false">+(DATOS_[[#This Row],[F.fin.cal]]-DATOS_[[#This Row],[F.ini.cal]]+1)/($D$4-$D$3+1)</f>
        <v>1</v>
      </c>
      <c r="BR747" s="137" t="str">
        <f aca="false">IF(OR(AND(DATOS_[[#This Row],[Fecha Fin Contrato]]&lt;$D$3,DATOS_[[#This Row],[Fecha Fin Contrato]]&lt;&gt;""),DATOS_[[#This Row],[Fecha de Contratación]]&gt;$D$4),"Fuera","Dentro")</f>
        <v>Dentro</v>
      </c>
      <c r="BS747" s="137" t="str">
        <f aca="false" t="array" ref="BS747:BS747">IF(MAX(IF(DATOS_[id]=DATOS_[[#This Row],[id]],DATOS_[F.fin.cal]))=DATOS_[[#This Row],[F.fin.cal]],"Sí","NO")</f>
        <v>Sí</v>
      </c>
      <c r="BT747" s="137" t="str">
        <f aca="false">IF(AND(DATOS_[[#This Row],[% normaliz]]&lt;&gt;1,DATOS_[[#This Row],[% anualiz]]=1),"Sí","NO")</f>
        <v>Sí</v>
      </c>
      <c r="BU747" s="137" t="str">
        <f aca="false">IF(AND(DATOS_[[#This Row],[% normaliz]]=1,DATOS_[[#This Row],[% anualiz]]&lt;&gt;1),"Sí","NO")</f>
        <v>NO</v>
      </c>
      <c r="BV747" s="137" t="str">
        <f aca="false">IF(AND(DATOS_[[#This Row],[% normaliz]]&lt;&gt;1,DATOS_[[#This Row],[% anualiz]]&lt;&gt;1),"Sí","NO")</f>
        <v>NO</v>
      </c>
      <c r="BW747" s="137" t="str">
        <f aca="false">+IF(DATOS_[[#This Row],[% normaliz]]*DATOS_[[#This Row],[% anualiz]]=1,"NO","Sí")</f>
        <v>Sí</v>
      </c>
      <c r="BX747" s="138" t="e">
        <f aca="false">(DATOS_[[#This Row],[S.BASE]]*(1/DATOS_[[#This Row],[% normaliz]])*(1/DATOS_[[#This Row],[% anualiz]]))*IF(DATOS_[[#This Row],[Check Equiparado]]="Sí",1,0)</f>
        <v>#DIV/0!</v>
      </c>
      <c r="BY7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7" s="138" t="e">
        <f aca="false">+DATOS_[[#This Row],[SALARIO BASE Eq]]+DATOS_[[#This Row],[Tot COMPL.SAL Eq]]</f>
        <v>#DIV/0!</v>
      </c>
      <c r="CA747" s="138" t="e">
        <f aca="false" t="array" ref="CA747:CA7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7" s="138" t="e">
        <f aca="false">+DATOS_[[#This Row],[TOTAL SALARIO Eq]]+DATOS_[[#This Row],[Tot Extrasalarial Eq]]</f>
        <v>#DIV/0!</v>
      </c>
      <c r="CC747" s="139" t="n">
        <f aca="false">DATOS_[[#This Row],[S.BASE]]</f>
        <v>0</v>
      </c>
      <c r="CD747" s="139" t="n">
        <f aca="false">+SUM(DATOS_[[#This Row],[Conc.Sal.01]:[Conc.Sal.30]])</f>
        <v>0</v>
      </c>
      <c r="CE747" s="139" t="n">
        <f aca="false">+DATOS_[[#This Row],[SALARIO BASE Ef]]+DATOS_[[#This Row],[Tot COMPL.SAL Ef]]</f>
        <v>0</v>
      </c>
      <c r="CF747" s="139" t="n">
        <f aca="false">+SUM(DATOS_[[#This Row],[C.Extra.01]:[C.Extra.05]])</f>
        <v>0</v>
      </c>
      <c r="CG747" s="139" t="n">
        <f aca="false">+DATOS_[[#This Row],[TOTAL SALARIO Ef]]+DATOS_[[#This Row],[Tot Extrasalarial Ef]]</f>
        <v>0</v>
      </c>
      <c r="CH747" s="140" t="n">
        <f aca="false">MIN(IF(DATOS_[[#This Row],[Fecha Fin Contrato]]="",$D$4,DATOS_[[#This Row],[Fecha Fin Contrato]]),$D$4)-MAX(DATOS_[[#This Row],[Fecha de Contratación]],$D$3)+1</f>
        <v>1</v>
      </c>
      <c r="CI747" s="141" t="str">
        <f aca="false">IF(COUNTIFS(DATOS_[id],DATOS_[[#This Row],[id]])&gt;1,DATOS_[[#This Row],[id]],"")</f>
        <v/>
      </c>
      <c r="CJ747" s="141" t="n">
        <f aca="false">(Inicio!$G$10-DATOS_[[#This Row],[Fecha Nacimiento]])/365.25</f>
        <v>0</v>
      </c>
      <c r="CK747" s="141" t="n">
        <f aca="false">(Inicio!$G$10-DATOS_[[#This Row],[Fecha de Antigüedad]])/365.25</f>
        <v>0</v>
      </c>
      <c r="CL747" s="141" t="e">
        <f aca="false">+VLOOKUP(DATOS_[[#This Row],[Clave de Contrato]],TblTiposContrato13[],3,0)</f>
        <v>#N/A</v>
      </c>
      <c r="CM747" s="141" t="e">
        <f aca="false">+VLOOKUP(DATOS_[[#This Row],[Clave de Contrato]],TblTiposContrato13[],4,0)</f>
        <v>#N/A</v>
      </c>
      <c r="CN747" s="141" t="str">
        <f aca="false">VLOOKUP(DATOS_[[#This Row],[Edad]],CONTRATOS!TblRngEdad,2,1)</f>
        <v>20  o menos</v>
      </c>
      <c r="CO747" s="141" t="str">
        <f aca="false">VLOOKUP(DATOS_[[#This Row],[Antigüedad]],TblRngAntg14[],2,1)</f>
        <v>0 a 1 años</v>
      </c>
    </row>
    <row r="748" customFormat="false" ht="13.8" hidden="false" customHeight="false" outlineLevel="0" collapsed="false">
      <c r="D748" s="128"/>
      <c r="E748" s="129"/>
      <c r="F748" s="129"/>
      <c r="G748" s="129"/>
      <c r="H748" s="130"/>
      <c r="I748" s="131"/>
      <c r="J748" s="128"/>
      <c r="K748" s="132"/>
      <c r="L748" s="132"/>
      <c r="M748" s="133"/>
      <c r="N748" s="133"/>
      <c r="O748" s="133"/>
      <c r="P748" s="129"/>
      <c r="Z748" s="75"/>
      <c r="AA748" s="76"/>
      <c r="AB748" s="76"/>
      <c r="AC748" s="129"/>
      <c r="AD748" s="134"/>
      <c r="AE748" s="134"/>
      <c r="AF748" s="134"/>
      <c r="AG748" s="134"/>
      <c r="AH748" s="134"/>
      <c r="AI748" s="134"/>
      <c r="AJ748" s="134"/>
      <c r="AK748" s="134"/>
      <c r="AL748" s="134"/>
      <c r="AM748" s="134"/>
      <c r="AN748" s="134"/>
      <c r="AO748" s="134"/>
      <c r="AP748" s="134"/>
      <c r="AQ748" s="134"/>
      <c r="AR748" s="134"/>
      <c r="AS748" s="134"/>
      <c r="AT748" s="134"/>
      <c r="AU748" s="134"/>
      <c r="AV748" s="134"/>
      <c r="AW748" s="134"/>
      <c r="AX748" s="134"/>
      <c r="AY748" s="134"/>
      <c r="AZ748" s="134"/>
      <c r="BA748" s="134"/>
      <c r="BB748" s="134"/>
      <c r="BC748" s="134"/>
      <c r="BD748" s="134"/>
      <c r="BE748" s="134"/>
      <c r="BF748" s="134"/>
      <c r="BG748" s="134"/>
      <c r="BH748" s="134"/>
      <c r="BI748" s="134"/>
      <c r="BJ748" s="134"/>
      <c r="BK748" s="134"/>
      <c r="BL748" s="134"/>
      <c r="BM748" s="135"/>
      <c r="BN748" s="136" t="n">
        <f aca="false">+MAX($D$3,DATOS_[[#This Row],[Fecha Inicio Sit. Contract.]])</f>
        <v>0</v>
      </c>
      <c r="BO748" s="136" t="n">
        <f aca="false">+MIN($D$4,DATOS_[[#This Row],[Fecha Fin Sit. Contract.]])</f>
        <v>0</v>
      </c>
      <c r="BP748" s="137" t="n">
        <f aca="false">+DATOS_[[#This Row],[% de jornada]]*IF(DATOS_[[#This Row],[% jornada reducida]]="",1,DATOS_[[#This Row],[% jornada reducida]])</f>
        <v>0</v>
      </c>
      <c r="BQ748" s="137" t="n">
        <f aca="false">+(DATOS_[[#This Row],[F.fin.cal]]-DATOS_[[#This Row],[F.ini.cal]]+1)/($D$4-$D$3+1)</f>
        <v>1</v>
      </c>
      <c r="BR748" s="137" t="str">
        <f aca="false">IF(OR(AND(DATOS_[[#This Row],[Fecha Fin Contrato]]&lt;$D$3,DATOS_[[#This Row],[Fecha Fin Contrato]]&lt;&gt;""),DATOS_[[#This Row],[Fecha de Contratación]]&gt;$D$4),"Fuera","Dentro")</f>
        <v>Dentro</v>
      </c>
      <c r="BS748" s="137" t="str">
        <f aca="false" t="array" ref="BS748:BS748">IF(MAX(IF(DATOS_[id]=DATOS_[[#This Row],[id]],DATOS_[F.fin.cal]))=DATOS_[[#This Row],[F.fin.cal]],"Sí","NO")</f>
        <v>Sí</v>
      </c>
      <c r="BT748" s="137" t="str">
        <f aca="false">IF(AND(DATOS_[[#This Row],[% normaliz]]&lt;&gt;1,DATOS_[[#This Row],[% anualiz]]=1),"Sí","NO")</f>
        <v>Sí</v>
      </c>
      <c r="BU748" s="137" t="str">
        <f aca="false">IF(AND(DATOS_[[#This Row],[% normaliz]]=1,DATOS_[[#This Row],[% anualiz]]&lt;&gt;1),"Sí","NO")</f>
        <v>NO</v>
      </c>
      <c r="BV748" s="137" t="str">
        <f aca="false">IF(AND(DATOS_[[#This Row],[% normaliz]]&lt;&gt;1,DATOS_[[#This Row],[% anualiz]]&lt;&gt;1),"Sí","NO")</f>
        <v>NO</v>
      </c>
      <c r="BW748" s="137" t="str">
        <f aca="false">+IF(DATOS_[[#This Row],[% normaliz]]*DATOS_[[#This Row],[% anualiz]]=1,"NO","Sí")</f>
        <v>Sí</v>
      </c>
      <c r="BX748" s="138" t="e">
        <f aca="false">(DATOS_[[#This Row],[S.BASE]]*(1/DATOS_[[#This Row],[% normaliz]])*(1/DATOS_[[#This Row],[% anualiz]]))*IF(DATOS_[[#This Row],[Check Equiparado]]="Sí",1,0)</f>
        <v>#DIV/0!</v>
      </c>
      <c r="BY7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8" s="138" t="e">
        <f aca="false">+DATOS_[[#This Row],[SALARIO BASE Eq]]+DATOS_[[#This Row],[Tot COMPL.SAL Eq]]</f>
        <v>#DIV/0!</v>
      </c>
      <c r="CA748" s="138" t="e">
        <f aca="false" t="array" ref="CA748:CA7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8" s="138" t="e">
        <f aca="false">+DATOS_[[#This Row],[TOTAL SALARIO Eq]]+DATOS_[[#This Row],[Tot Extrasalarial Eq]]</f>
        <v>#DIV/0!</v>
      </c>
      <c r="CC748" s="139" t="n">
        <f aca="false">DATOS_[[#This Row],[S.BASE]]</f>
        <v>0</v>
      </c>
      <c r="CD748" s="139" t="n">
        <f aca="false">+SUM(DATOS_[[#This Row],[Conc.Sal.01]:[Conc.Sal.30]])</f>
        <v>0</v>
      </c>
      <c r="CE748" s="139" t="n">
        <f aca="false">+DATOS_[[#This Row],[SALARIO BASE Ef]]+DATOS_[[#This Row],[Tot COMPL.SAL Ef]]</f>
        <v>0</v>
      </c>
      <c r="CF748" s="139" t="n">
        <f aca="false">+SUM(DATOS_[[#This Row],[C.Extra.01]:[C.Extra.05]])</f>
        <v>0</v>
      </c>
      <c r="CG748" s="139" t="n">
        <f aca="false">+DATOS_[[#This Row],[TOTAL SALARIO Ef]]+DATOS_[[#This Row],[Tot Extrasalarial Ef]]</f>
        <v>0</v>
      </c>
      <c r="CH748" s="140" t="n">
        <f aca="false">MIN(IF(DATOS_[[#This Row],[Fecha Fin Contrato]]="",$D$4,DATOS_[[#This Row],[Fecha Fin Contrato]]),$D$4)-MAX(DATOS_[[#This Row],[Fecha de Contratación]],$D$3)+1</f>
        <v>1</v>
      </c>
      <c r="CI748" s="141" t="str">
        <f aca="false">IF(COUNTIFS(DATOS_[id],DATOS_[[#This Row],[id]])&gt;1,DATOS_[[#This Row],[id]],"")</f>
        <v/>
      </c>
      <c r="CJ748" s="141" t="n">
        <f aca="false">(Inicio!$G$10-DATOS_[[#This Row],[Fecha Nacimiento]])/365.25</f>
        <v>0</v>
      </c>
      <c r="CK748" s="141" t="n">
        <f aca="false">(Inicio!$G$10-DATOS_[[#This Row],[Fecha de Antigüedad]])/365.25</f>
        <v>0</v>
      </c>
      <c r="CL748" s="141" t="e">
        <f aca="false">+VLOOKUP(DATOS_[[#This Row],[Clave de Contrato]],TblTiposContrato13[],3,0)</f>
        <v>#N/A</v>
      </c>
      <c r="CM748" s="141" t="e">
        <f aca="false">+VLOOKUP(DATOS_[[#This Row],[Clave de Contrato]],TblTiposContrato13[],4,0)</f>
        <v>#N/A</v>
      </c>
      <c r="CN748" s="141" t="str">
        <f aca="false">VLOOKUP(DATOS_[[#This Row],[Edad]],CONTRATOS!TblRngEdad,2,1)</f>
        <v>20  o menos</v>
      </c>
      <c r="CO748" s="141" t="str">
        <f aca="false">VLOOKUP(DATOS_[[#This Row],[Antigüedad]],TblRngAntg14[],2,1)</f>
        <v>0 a 1 años</v>
      </c>
    </row>
    <row r="749" customFormat="false" ht="13.8" hidden="false" customHeight="false" outlineLevel="0" collapsed="false">
      <c r="D749" s="128"/>
      <c r="E749" s="129"/>
      <c r="F749" s="129"/>
      <c r="G749" s="129"/>
      <c r="H749" s="130"/>
      <c r="I749" s="131"/>
      <c r="J749" s="128"/>
      <c r="K749" s="132"/>
      <c r="L749" s="132"/>
      <c r="M749" s="133"/>
      <c r="N749" s="133"/>
      <c r="O749" s="133"/>
      <c r="P749" s="129"/>
      <c r="Z749" s="75"/>
      <c r="AA749" s="76"/>
      <c r="AB749" s="76"/>
      <c r="AC749" s="129"/>
      <c r="AD749" s="134"/>
      <c r="AE749" s="134"/>
      <c r="AF749" s="134"/>
      <c r="AG749" s="134"/>
      <c r="AH749" s="134"/>
      <c r="AI749" s="134"/>
      <c r="AJ749" s="134"/>
      <c r="AK749" s="134"/>
      <c r="AL749" s="134"/>
      <c r="AM749" s="134"/>
      <c r="AN749" s="134"/>
      <c r="AO749" s="134"/>
      <c r="AP749" s="134"/>
      <c r="AQ749" s="134"/>
      <c r="AR749" s="134"/>
      <c r="AS749" s="134"/>
      <c r="AT749" s="134"/>
      <c r="AU749" s="134"/>
      <c r="AV749" s="134"/>
      <c r="AW749" s="134"/>
      <c r="AX749" s="134"/>
      <c r="AY749" s="134"/>
      <c r="AZ749" s="134"/>
      <c r="BA749" s="134"/>
      <c r="BB749" s="134"/>
      <c r="BC749" s="134"/>
      <c r="BD749" s="134"/>
      <c r="BE749" s="134"/>
      <c r="BF749" s="134"/>
      <c r="BG749" s="134"/>
      <c r="BH749" s="134"/>
      <c r="BI749" s="134"/>
      <c r="BJ749" s="134"/>
      <c r="BK749" s="134"/>
      <c r="BL749" s="134"/>
      <c r="BM749" s="135"/>
      <c r="BN749" s="136" t="n">
        <f aca="false">+MAX($D$3,DATOS_[[#This Row],[Fecha Inicio Sit. Contract.]])</f>
        <v>0</v>
      </c>
      <c r="BO749" s="136" t="n">
        <f aca="false">+MIN($D$4,DATOS_[[#This Row],[Fecha Fin Sit. Contract.]])</f>
        <v>0</v>
      </c>
      <c r="BP749" s="137" t="n">
        <f aca="false">+DATOS_[[#This Row],[% de jornada]]*IF(DATOS_[[#This Row],[% jornada reducida]]="",1,DATOS_[[#This Row],[% jornada reducida]])</f>
        <v>0</v>
      </c>
      <c r="BQ749" s="137" t="n">
        <f aca="false">+(DATOS_[[#This Row],[F.fin.cal]]-DATOS_[[#This Row],[F.ini.cal]]+1)/($D$4-$D$3+1)</f>
        <v>1</v>
      </c>
      <c r="BR749" s="137" t="str">
        <f aca="false">IF(OR(AND(DATOS_[[#This Row],[Fecha Fin Contrato]]&lt;$D$3,DATOS_[[#This Row],[Fecha Fin Contrato]]&lt;&gt;""),DATOS_[[#This Row],[Fecha de Contratación]]&gt;$D$4),"Fuera","Dentro")</f>
        <v>Dentro</v>
      </c>
      <c r="BS749" s="137" t="str">
        <f aca="false" t="array" ref="BS749:BS749">IF(MAX(IF(DATOS_[id]=DATOS_[[#This Row],[id]],DATOS_[F.fin.cal]))=DATOS_[[#This Row],[F.fin.cal]],"Sí","NO")</f>
        <v>Sí</v>
      </c>
      <c r="BT749" s="137" t="str">
        <f aca="false">IF(AND(DATOS_[[#This Row],[% normaliz]]&lt;&gt;1,DATOS_[[#This Row],[% anualiz]]=1),"Sí","NO")</f>
        <v>Sí</v>
      </c>
      <c r="BU749" s="137" t="str">
        <f aca="false">IF(AND(DATOS_[[#This Row],[% normaliz]]=1,DATOS_[[#This Row],[% anualiz]]&lt;&gt;1),"Sí","NO")</f>
        <v>NO</v>
      </c>
      <c r="BV749" s="137" t="str">
        <f aca="false">IF(AND(DATOS_[[#This Row],[% normaliz]]&lt;&gt;1,DATOS_[[#This Row],[% anualiz]]&lt;&gt;1),"Sí","NO")</f>
        <v>NO</v>
      </c>
      <c r="BW749" s="137" t="str">
        <f aca="false">+IF(DATOS_[[#This Row],[% normaliz]]*DATOS_[[#This Row],[% anualiz]]=1,"NO","Sí")</f>
        <v>Sí</v>
      </c>
      <c r="BX749" s="138" t="e">
        <f aca="false">(DATOS_[[#This Row],[S.BASE]]*(1/DATOS_[[#This Row],[% normaliz]])*(1/DATOS_[[#This Row],[% anualiz]]))*IF(DATOS_[[#This Row],[Check Equiparado]]="Sí",1,0)</f>
        <v>#DIV/0!</v>
      </c>
      <c r="BY7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9" s="138" t="e">
        <f aca="false">+DATOS_[[#This Row],[SALARIO BASE Eq]]+DATOS_[[#This Row],[Tot COMPL.SAL Eq]]</f>
        <v>#DIV/0!</v>
      </c>
      <c r="CA749" s="138" t="e">
        <f aca="false" t="array" ref="CA749:CA7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9" s="138" t="e">
        <f aca="false">+DATOS_[[#This Row],[TOTAL SALARIO Eq]]+DATOS_[[#This Row],[Tot Extrasalarial Eq]]</f>
        <v>#DIV/0!</v>
      </c>
      <c r="CC749" s="139" t="n">
        <f aca="false">DATOS_[[#This Row],[S.BASE]]</f>
        <v>0</v>
      </c>
      <c r="CD749" s="139" t="n">
        <f aca="false">+SUM(DATOS_[[#This Row],[Conc.Sal.01]:[Conc.Sal.30]])</f>
        <v>0</v>
      </c>
      <c r="CE749" s="139" t="n">
        <f aca="false">+DATOS_[[#This Row],[SALARIO BASE Ef]]+DATOS_[[#This Row],[Tot COMPL.SAL Ef]]</f>
        <v>0</v>
      </c>
      <c r="CF749" s="139" t="n">
        <f aca="false">+SUM(DATOS_[[#This Row],[C.Extra.01]:[C.Extra.05]])</f>
        <v>0</v>
      </c>
      <c r="CG749" s="139" t="n">
        <f aca="false">+DATOS_[[#This Row],[TOTAL SALARIO Ef]]+DATOS_[[#This Row],[Tot Extrasalarial Ef]]</f>
        <v>0</v>
      </c>
      <c r="CH749" s="140" t="n">
        <f aca="false">MIN(IF(DATOS_[[#This Row],[Fecha Fin Contrato]]="",$D$4,DATOS_[[#This Row],[Fecha Fin Contrato]]),$D$4)-MAX(DATOS_[[#This Row],[Fecha de Contratación]],$D$3)+1</f>
        <v>1</v>
      </c>
      <c r="CI749" s="141" t="str">
        <f aca="false">IF(COUNTIFS(DATOS_[id],DATOS_[[#This Row],[id]])&gt;1,DATOS_[[#This Row],[id]],"")</f>
        <v/>
      </c>
      <c r="CJ749" s="141" t="n">
        <f aca="false">(Inicio!$G$10-DATOS_[[#This Row],[Fecha Nacimiento]])/365.25</f>
        <v>0</v>
      </c>
      <c r="CK749" s="141" t="n">
        <f aca="false">(Inicio!$G$10-DATOS_[[#This Row],[Fecha de Antigüedad]])/365.25</f>
        <v>0</v>
      </c>
      <c r="CL749" s="141" t="e">
        <f aca="false">+VLOOKUP(DATOS_[[#This Row],[Clave de Contrato]],TblTiposContrato13[],3,0)</f>
        <v>#N/A</v>
      </c>
      <c r="CM749" s="141" t="e">
        <f aca="false">+VLOOKUP(DATOS_[[#This Row],[Clave de Contrato]],TblTiposContrato13[],4,0)</f>
        <v>#N/A</v>
      </c>
      <c r="CN749" s="141" t="str">
        <f aca="false">VLOOKUP(DATOS_[[#This Row],[Edad]],CONTRATOS!TblRngEdad,2,1)</f>
        <v>20  o menos</v>
      </c>
      <c r="CO749" s="141" t="str">
        <f aca="false">VLOOKUP(DATOS_[[#This Row],[Antigüedad]],TblRngAntg14[],2,1)</f>
        <v>0 a 1 años</v>
      </c>
    </row>
    <row r="750" customFormat="false" ht="13.8" hidden="false" customHeight="false" outlineLevel="0" collapsed="false">
      <c r="D750" s="128"/>
      <c r="E750" s="129"/>
      <c r="F750" s="129"/>
      <c r="G750" s="129"/>
      <c r="H750" s="130"/>
      <c r="I750" s="131"/>
      <c r="J750" s="128"/>
      <c r="K750" s="132"/>
      <c r="L750" s="132"/>
      <c r="M750" s="133"/>
      <c r="N750" s="133"/>
      <c r="O750" s="133"/>
      <c r="P750" s="129"/>
      <c r="Z750" s="75"/>
      <c r="AA750" s="76"/>
      <c r="AB750" s="76"/>
      <c r="AC750" s="129"/>
      <c r="AD750" s="134"/>
      <c r="AE750" s="134"/>
      <c r="AF750" s="134"/>
      <c r="AG750" s="134"/>
      <c r="AH750" s="134"/>
      <c r="AI750" s="134"/>
      <c r="AJ750" s="134"/>
      <c r="AK750" s="134"/>
      <c r="AL750" s="134"/>
      <c r="AM750" s="134"/>
      <c r="AN750" s="134"/>
      <c r="AO750" s="134"/>
      <c r="AP750" s="134"/>
      <c r="AQ750" s="134"/>
      <c r="AR750" s="134"/>
      <c r="AS750" s="134"/>
      <c r="AT750" s="134"/>
      <c r="AU750" s="134"/>
      <c r="AV750" s="134"/>
      <c r="AW750" s="134"/>
      <c r="AX750" s="134"/>
      <c r="AY750" s="134"/>
      <c r="AZ750" s="134"/>
      <c r="BA750" s="134"/>
      <c r="BB750" s="134"/>
      <c r="BC750" s="134"/>
      <c r="BD750" s="134"/>
      <c r="BE750" s="134"/>
      <c r="BF750" s="134"/>
      <c r="BG750" s="134"/>
      <c r="BH750" s="134"/>
      <c r="BI750" s="134"/>
      <c r="BJ750" s="134"/>
      <c r="BK750" s="134"/>
      <c r="BL750" s="134"/>
      <c r="BM750" s="135"/>
      <c r="BN750" s="136" t="n">
        <f aca="false">+MAX($D$3,DATOS_[[#This Row],[Fecha Inicio Sit. Contract.]])</f>
        <v>0</v>
      </c>
      <c r="BO750" s="136" t="n">
        <f aca="false">+MIN($D$4,DATOS_[[#This Row],[Fecha Fin Sit. Contract.]])</f>
        <v>0</v>
      </c>
      <c r="BP750" s="137" t="n">
        <f aca="false">+DATOS_[[#This Row],[% de jornada]]*IF(DATOS_[[#This Row],[% jornada reducida]]="",1,DATOS_[[#This Row],[% jornada reducida]])</f>
        <v>0</v>
      </c>
      <c r="BQ750" s="137" t="n">
        <f aca="false">+(DATOS_[[#This Row],[F.fin.cal]]-DATOS_[[#This Row],[F.ini.cal]]+1)/($D$4-$D$3+1)</f>
        <v>1</v>
      </c>
      <c r="BR750" s="137" t="str">
        <f aca="false">IF(OR(AND(DATOS_[[#This Row],[Fecha Fin Contrato]]&lt;$D$3,DATOS_[[#This Row],[Fecha Fin Contrato]]&lt;&gt;""),DATOS_[[#This Row],[Fecha de Contratación]]&gt;$D$4),"Fuera","Dentro")</f>
        <v>Dentro</v>
      </c>
      <c r="BS750" s="137" t="str">
        <f aca="false" t="array" ref="BS750:BS750">IF(MAX(IF(DATOS_[id]=DATOS_[[#This Row],[id]],DATOS_[F.fin.cal]))=DATOS_[[#This Row],[F.fin.cal]],"Sí","NO")</f>
        <v>Sí</v>
      </c>
      <c r="BT750" s="137" t="str">
        <f aca="false">IF(AND(DATOS_[[#This Row],[% normaliz]]&lt;&gt;1,DATOS_[[#This Row],[% anualiz]]=1),"Sí","NO")</f>
        <v>Sí</v>
      </c>
      <c r="BU750" s="137" t="str">
        <f aca="false">IF(AND(DATOS_[[#This Row],[% normaliz]]=1,DATOS_[[#This Row],[% anualiz]]&lt;&gt;1),"Sí","NO")</f>
        <v>NO</v>
      </c>
      <c r="BV750" s="137" t="str">
        <f aca="false">IF(AND(DATOS_[[#This Row],[% normaliz]]&lt;&gt;1,DATOS_[[#This Row],[% anualiz]]&lt;&gt;1),"Sí","NO")</f>
        <v>NO</v>
      </c>
      <c r="BW750" s="137" t="str">
        <f aca="false">+IF(DATOS_[[#This Row],[% normaliz]]*DATOS_[[#This Row],[% anualiz]]=1,"NO","Sí")</f>
        <v>Sí</v>
      </c>
      <c r="BX750" s="138" t="e">
        <f aca="false">(DATOS_[[#This Row],[S.BASE]]*(1/DATOS_[[#This Row],[% normaliz]])*(1/DATOS_[[#This Row],[% anualiz]]))*IF(DATOS_[[#This Row],[Check Equiparado]]="Sí",1,0)</f>
        <v>#DIV/0!</v>
      </c>
      <c r="BY7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0" s="138" t="e">
        <f aca="false">+DATOS_[[#This Row],[SALARIO BASE Eq]]+DATOS_[[#This Row],[Tot COMPL.SAL Eq]]</f>
        <v>#DIV/0!</v>
      </c>
      <c r="CA750" s="138" t="e">
        <f aca="false" t="array" ref="CA750:CA7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0" s="138" t="e">
        <f aca="false">+DATOS_[[#This Row],[TOTAL SALARIO Eq]]+DATOS_[[#This Row],[Tot Extrasalarial Eq]]</f>
        <v>#DIV/0!</v>
      </c>
      <c r="CC750" s="139" t="n">
        <f aca="false">DATOS_[[#This Row],[S.BASE]]</f>
        <v>0</v>
      </c>
      <c r="CD750" s="139" t="n">
        <f aca="false">+SUM(DATOS_[[#This Row],[Conc.Sal.01]:[Conc.Sal.30]])</f>
        <v>0</v>
      </c>
      <c r="CE750" s="139" t="n">
        <f aca="false">+DATOS_[[#This Row],[SALARIO BASE Ef]]+DATOS_[[#This Row],[Tot COMPL.SAL Ef]]</f>
        <v>0</v>
      </c>
      <c r="CF750" s="139" t="n">
        <f aca="false">+SUM(DATOS_[[#This Row],[C.Extra.01]:[C.Extra.05]])</f>
        <v>0</v>
      </c>
      <c r="CG750" s="139" t="n">
        <f aca="false">+DATOS_[[#This Row],[TOTAL SALARIO Ef]]+DATOS_[[#This Row],[Tot Extrasalarial Ef]]</f>
        <v>0</v>
      </c>
      <c r="CH750" s="140" t="n">
        <f aca="false">MIN(IF(DATOS_[[#This Row],[Fecha Fin Contrato]]="",$D$4,DATOS_[[#This Row],[Fecha Fin Contrato]]),$D$4)-MAX(DATOS_[[#This Row],[Fecha de Contratación]],$D$3)+1</f>
        <v>1</v>
      </c>
      <c r="CI750" s="141" t="str">
        <f aca="false">IF(COUNTIFS(DATOS_[id],DATOS_[[#This Row],[id]])&gt;1,DATOS_[[#This Row],[id]],"")</f>
        <v/>
      </c>
      <c r="CJ750" s="141" t="n">
        <f aca="false">(Inicio!$G$10-DATOS_[[#This Row],[Fecha Nacimiento]])/365.25</f>
        <v>0</v>
      </c>
      <c r="CK750" s="141" t="n">
        <f aca="false">(Inicio!$G$10-DATOS_[[#This Row],[Fecha de Antigüedad]])/365.25</f>
        <v>0</v>
      </c>
      <c r="CL750" s="141" t="e">
        <f aca="false">+VLOOKUP(DATOS_[[#This Row],[Clave de Contrato]],TblTiposContrato13[],3,0)</f>
        <v>#N/A</v>
      </c>
      <c r="CM750" s="141" t="e">
        <f aca="false">+VLOOKUP(DATOS_[[#This Row],[Clave de Contrato]],TblTiposContrato13[],4,0)</f>
        <v>#N/A</v>
      </c>
      <c r="CN750" s="141" t="str">
        <f aca="false">VLOOKUP(DATOS_[[#This Row],[Edad]],CONTRATOS!TblRngEdad,2,1)</f>
        <v>20  o menos</v>
      </c>
      <c r="CO750" s="141" t="str">
        <f aca="false">VLOOKUP(DATOS_[[#This Row],[Antigüedad]],TblRngAntg14[],2,1)</f>
        <v>0 a 1 años</v>
      </c>
    </row>
    <row r="751" customFormat="false" ht="13.8" hidden="false" customHeight="false" outlineLevel="0" collapsed="false">
      <c r="D751" s="128"/>
      <c r="E751" s="129"/>
      <c r="F751" s="129"/>
      <c r="G751" s="129"/>
      <c r="H751" s="130"/>
      <c r="I751" s="131"/>
      <c r="J751" s="128"/>
      <c r="K751" s="132"/>
      <c r="L751" s="132"/>
      <c r="M751" s="133"/>
      <c r="N751" s="133"/>
      <c r="O751" s="133"/>
      <c r="P751" s="129"/>
      <c r="Z751" s="75"/>
      <c r="AA751" s="76"/>
      <c r="AB751" s="76"/>
      <c r="AC751" s="129"/>
      <c r="AD751" s="134"/>
      <c r="AE751" s="134"/>
      <c r="AF751" s="134"/>
      <c r="AG751" s="134"/>
      <c r="AH751" s="134"/>
      <c r="AI751" s="134"/>
      <c r="AJ751" s="134"/>
      <c r="AK751" s="134"/>
      <c r="AL751" s="134"/>
      <c r="AM751" s="134"/>
      <c r="AN751" s="134"/>
      <c r="AO751" s="134"/>
      <c r="AP751" s="134"/>
      <c r="AQ751" s="134"/>
      <c r="AR751" s="134"/>
      <c r="AS751" s="134"/>
      <c r="AT751" s="134"/>
      <c r="AU751" s="134"/>
      <c r="AV751" s="134"/>
      <c r="AW751" s="134"/>
      <c r="AX751" s="134"/>
      <c r="AY751" s="134"/>
      <c r="AZ751" s="134"/>
      <c r="BA751" s="134"/>
      <c r="BB751" s="134"/>
      <c r="BC751" s="134"/>
      <c r="BD751" s="134"/>
      <c r="BE751" s="134"/>
      <c r="BF751" s="134"/>
      <c r="BG751" s="134"/>
      <c r="BH751" s="134"/>
      <c r="BI751" s="134"/>
      <c r="BJ751" s="134"/>
      <c r="BK751" s="134"/>
      <c r="BL751" s="134"/>
      <c r="BM751" s="135"/>
      <c r="BN751" s="136" t="n">
        <f aca="false">+MAX($D$3,DATOS_[[#This Row],[Fecha Inicio Sit. Contract.]])</f>
        <v>0</v>
      </c>
      <c r="BO751" s="136" t="n">
        <f aca="false">+MIN($D$4,DATOS_[[#This Row],[Fecha Fin Sit. Contract.]])</f>
        <v>0</v>
      </c>
      <c r="BP751" s="137" t="n">
        <f aca="false">+DATOS_[[#This Row],[% de jornada]]*IF(DATOS_[[#This Row],[% jornada reducida]]="",1,DATOS_[[#This Row],[% jornada reducida]])</f>
        <v>0</v>
      </c>
      <c r="BQ751" s="137" t="n">
        <f aca="false">+(DATOS_[[#This Row],[F.fin.cal]]-DATOS_[[#This Row],[F.ini.cal]]+1)/($D$4-$D$3+1)</f>
        <v>1</v>
      </c>
      <c r="BR751" s="137" t="str">
        <f aca="false">IF(OR(AND(DATOS_[[#This Row],[Fecha Fin Contrato]]&lt;$D$3,DATOS_[[#This Row],[Fecha Fin Contrato]]&lt;&gt;""),DATOS_[[#This Row],[Fecha de Contratación]]&gt;$D$4),"Fuera","Dentro")</f>
        <v>Dentro</v>
      </c>
      <c r="BS751" s="137" t="str">
        <f aca="false" t="array" ref="BS751:BS751">IF(MAX(IF(DATOS_[id]=DATOS_[[#This Row],[id]],DATOS_[F.fin.cal]))=DATOS_[[#This Row],[F.fin.cal]],"Sí","NO")</f>
        <v>Sí</v>
      </c>
      <c r="BT751" s="137" t="str">
        <f aca="false">IF(AND(DATOS_[[#This Row],[% normaliz]]&lt;&gt;1,DATOS_[[#This Row],[% anualiz]]=1),"Sí","NO")</f>
        <v>Sí</v>
      </c>
      <c r="BU751" s="137" t="str">
        <f aca="false">IF(AND(DATOS_[[#This Row],[% normaliz]]=1,DATOS_[[#This Row],[% anualiz]]&lt;&gt;1),"Sí","NO")</f>
        <v>NO</v>
      </c>
      <c r="BV751" s="137" t="str">
        <f aca="false">IF(AND(DATOS_[[#This Row],[% normaliz]]&lt;&gt;1,DATOS_[[#This Row],[% anualiz]]&lt;&gt;1),"Sí","NO")</f>
        <v>NO</v>
      </c>
      <c r="BW751" s="137" t="str">
        <f aca="false">+IF(DATOS_[[#This Row],[% normaliz]]*DATOS_[[#This Row],[% anualiz]]=1,"NO","Sí")</f>
        <v>Sí</v>
      </c>
      <c r="BX751" s="138" t="e">
        <f aca="false">(DATOS_[[#This Row],[S.BASE]]*(1/DATOS_[[#This Row],[% normaliz]])*(1/DATOS_[[#This Row],[% anualiz]]))*IF(DATOS_[[#This Row],[Check Equiparado]]="Sí",1,0)</f>
        <v>#DIV/0!</v>
      </c>
      <c r="BY7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1" s="138" t="e">
        <f aca="false">+DATOS_[[#This Row],[SALARIO BASE Eq]]+DATOS_[[#This Row],[Tot COMPL.SAL Eq]]</f>
        <v>#DIV/0!</v>
      </c>
      <c r="CA751" s="138" t="e">
        <f aca="false" t="array" ref="CA751:CA7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1" s="138" t="e">
        <f aca="false">+DATOS_[[#This Row],[TOTAL SALARIO Eq]]+DATOS_[[#This Row],[Tot Extrasalarial Eq]]</f>
        <v>#DIV/0!</v>
      </c>
      <c r="CC751" s="139" t="n">
        <f aca="false">DATOS_[[#This Row],[S.BASE]]</f>
        <v>0</v>
      </c>
      <c r="CD751" s="139" t="n">
        <f aca="false">+SUM(DATOS_[[#This Row],[Conc.Sal.01]:[Conc.Sal.30]])</f>
        <v>0</v>
      </c>
      <c r="CE751" s="139" t="n">
        <f aca="false">+DATOS_[[#This Row],[SALARIO BASE Ef]]+DATOS_[[#This Row],[Tot COMPL.SAL Ef]]</f>
        <v>0</v>
      </c>
      <c r="CF751" s="139" t="n">
        <f aca="false">+SUM(DATOS_[[#This Row],[C.Extra.01]:[C.Extra.05]])</f>
        <v>0</v>
      </c>
      <c r="CG751" s="139" t="n">
        <f aca="false">+DATOS_[[#This Row],[TOTAL SALARIO Ef]]+DATOS_[[#This Row],[Tot Extrasalarial Ef]]</f>
        <v>0</v>
      </c>
      <c r="CH751" s="140" t="n">
        <f aca="false">MIN(IF(DATOS_[[#This Row],[Fecha Fin Contrato]]="",$D$4,DATOS_[[#This Row],[Fecha Fin Contrato]]),$D$4)-MAX(DATOS_[[#This Row],[Fecha de Contratación]],$D$3)+1</f>
        <v>1</v>
      </c>
      <c r="CI751" s="141" t="str">
        <f aca="false">IF(COUNTIFS(DATOS_[id],DATOS_[[#This Row],[id]])&gt;1,DATOS_[[#This Row],[id]],"")</f>
        <v/>
      </c>
      <c r="CJ751" s="141" t="n">
        <f aca="false">(Inicio!$G$10-DATOS_[[#This Row],[Fecha Nacimiento]])/365.25</f>
        <v>0</v>
      </c>
      <c r="CK751" s="141" t="n">
        <f aca="false">(Inicio!$G$10-DATOS_[[#This Row],[Fecha de Antigüedad]])/365.25</f>
        <v>0</v>
      </c>
      <c r="CL751" s="141" t="e">
        <f aca="false">+VLOOKUP(DATOS_[[#This Row],[Clave de Contrato]],TblTiposContrato13[],3,0)</f>
        <v>#N/A</v>
      </c>
      <c r="CM751" s="141" t="e">
        <f aca="false">+VLOOKUP(DATOS_[[#This Row],[Clave de Contrato]],TblTiposContrato13[],4,0)</f>
        <v>#N/A</v>
      </c>
      <c r="CN751" s="141" t="str">
        <f aca="false">VLOOKUP(DATOS_[[#This Row],[Edad]],CONTRATOS!TblRngEdad,2,1)</f>
        <v>20  o menos</v>
      </c>
      <c r="CO751" s="141" t="str">
        <f aca="false">VLOOKUP(DATOS_[[#This Row],[Antigüedad]],TblRngAntg14[],2,1)</f>
        <v>0 a 1 años</v>
      </c>
    </row>
    <row r="752" customFormat="false" ht="13.8" hidden="false" customHeight="false" outlineLevel="0" collapsed="false">
      <c r="D752" s="128"/>
      <c r="E752" s="129"/>
      <c r="F752" s="129"/>
      <c r="G752" s="129"/>
      <c r="H752" s="130"/>
      <c r="I752" s="131"/>
      <c r="J752" s="128"/>
      <c r="K752" s="132"/>
      <c r="L752" s="132"/>
      <c r="M752" s="133"/>
      <c r="N752" s="133"/>
      <c r="O752" s="133"/>
      <c r="P752" s="129"/>
      <c r="Z752" s="75"/>
      <c r="AA752" s="76"/>
      <c r="AB752" s="76"/>
      <c r="AC752" s="129"/>
      <c r="AD752" s="134"/>
      <c r="AE752" s="134"/>
      <c r="AF752" s="134"/>
      <c r="AG752" s="134"/>
      <c r="AH752" s="134"/>
      <c r="AI752" s="134"/>
      <c r="AJ752" s="134"/>
      <c r="AK752" s="134"/>
      <c r="AL752" s="134"/>
      <c r="AM752" s="134"/>
      <c r="AN752" s="134"/>
      <c r="AO752" s="134"/>
      <c r="AP752" s="134"/>
      <c r="AQ752" s="134"/>
      <c r="AR752" s="134"/>
      <c r="AS752" s="134"/>
      <c r="AT752" s="134"/>
      <c r="AU752" s="134"/>
      <c r="AV752" s="134"/>
      <c r="AW752" s="134"/>
      <c r="AX752" s="134"/>
      <c r="AY752" s="134"/>
      <c r="AZ752" s="134"/>
      <c r="BA752" s="134"/>
      <c r="BB752" s="134"/>
      <c r="BC752" s="134"/>
      <c r="BD752" s="134"/>
      <c r="BE752" s="134"/>
      <c r="BF752" s="134"/>
      <c r="BG752" s="134"/>
      <c r="BH752" s="134"/>
      <c r="BI752" s="134"/>
      <c r="BJ752" s="134"/>
      <c r="BK752" s="134"/>
      <c r="BL752" s="134"/>
      <c r="BM752" s="135"/>
      <c r="BN752" s="136" t="n">
        <f aca="false">+MAX($D$3,DATOS_[[#This Row],[Fecha Inicio Sit. Contract.]])</f>
        <v>0</v>
      </c>
      <c r="BO752" s="136" t="n">
        <f aca="false">+MIN($D$4,DATOS_[[#This Row],[Fecha Fin Sit. Contract.]])</f>
        <v>0</v>
      </c>
      <c r="BP752" s="137" t="n">
        <f aca="false">+DATOS_[[#This Row],[% de jornada]]*IF(DATOS_[[#This Row],[% jornada reducida]]="",1,DATOS_[[#This Row],[% jornada reducida]])</f>
        <v>0</v>
      </c>
      <c r="BQ752" s="137" t="n">
        <f aca="false">+(DATOS_[[#This Row],[F.fin.cal]]-DATOS_[[#This Row],[F.ini.cal]]+1)/($D$4-$D$3+1)</f>
        <v>1</v>
      </c>
      <c r="BR752" s="137" t="str">
        <f aca="false">IF(OR(AND(DATOS_[[#This Row],[Fecha Fin Contrato]]&lt;$D$3,DATOS_[[#This Row],[Fecha Fin Contrato]]&lt;&gt;""),DATOS_[[#This Row],[Fecha de Contratación]]&gt;$D$4),"Fuera","Dentro")</f>
        <v>Dentro</v>
      </c>
      <c r="BS752" s="137" t="str">
        <f aca="false" t="array" ref="BS752:BS752">IF(MAX(IF(DATOS_[id]=DATOS_[[#This Row],[id]],DATOS_[F.fin.cal]))=DATOS_[[#This Row],[F.fin.cal]],"Sí","NO")</f>
        <v>Sí</v>
      </c>
      <c r="BT752" s="137" t="str">
        <f aca="false">IF(AND(DATOS_[[#This Row],[% normaliz]]&lt;&gt;1,DATOS_[[#This Row],[% anualiz]]=1),"Sí","NO")</f>
        <v>Sí</v>
      </c>
      <c r="BU752" s="137" t="str">
        <f aca="false">IF(AND(DATOS_[[#This Row],[% normaliz]]=1,DATOS_[[#This Row],[% anualiz]]&lt;&gt;1),"Sí","NO")</f>
        <v>NO</v>
      </c>
      <c r="BV752" s="137" t="str">
        <f aca="false">IF(AND(DATOS_[[#This Row],[% normaliz]]&lt;&gt;1,DATOS_[[#This Row],[% anualiz]]&lt;&gt;1),"Sí","NO")</f>
        <v>NO</v>
      </c>
      <c r="BW752" s="137" t="str">
        <f aca="false">+IF(DATOS_[[#This Row],[% normaliz]]*DATOS_[[#This Row],[% anualiz]]=1,"NO","Sí")</f>
        <v>Sí</v>
      </c>
      <c r="BX752" s="138" t="e">
        <f aca="false">(DATOS_[[#This Row],[S.BASE]]*(1/DATOS_[[#This Row],[% normaliz]])*(1/DATOS_[[#This Row],[% anualiz]]))*IF(DATOS_[[#This Row],[Check Equiparado]]="Sí",1,0)</f>
        <v>#DIV/0!</v>
      </c>
      <c r="BY7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2" s="138" t="e">
        <f aca="false">+DATOS_[[#This Row],[SALARIO BASE Eq]]+DATOS_[[#This Row],[Tot COMPL.SAL Eq]]</f>
        <v>#DIV/0!</v>
      </c>
      <c r="CA752" s="138" t="e">
        <f aca="false" t="array" ref="CA752:CA7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2" s="138" t="e">
        <f aca="false">+DATOS_[[#This Row],[TOTAL SALARIO Eq]]+DATOS_[[#This Row],[Tot Extrasalarial Eq]]</f>
        <v>#DIV/0!</v>
      </c>
      <c r="CC752" s="139" t="n">
        <f aca="false">DATOS_[[#This Row],[S.BASE]]</f>
        <v>0</v>
      </c>
      <c r="CD752" s="139" t="n">
        <f aca="false">+SUM(DATOS_[[#This Row],[Conc.Sal.01]:[Conc.Sal.30]])</f>
        <v>0</v>
      </c>
      <c r="CE752" s="139" t="n">
        <f aca="false">+DATOS_[[#This Row],[SALARIO BASE Ef]]+DATOS_[[#This Row],[Tot COMPL.SAL Ef]]</f>
        <v>0</v>
      </c>
      <c r="CF752" s="139" t="n">
        <f aca="false">+SUM(DATOS_[[#This Row],[C.Extra.01]:[C.Extra.05]])</f>
        <v>0</v>
      </c>
      <c r="CG752" s="139" t="n">
        <f aca="false">+DATOS_[[#This Row],[TOTAL SALARIO Ef]]+DATOS_[[#This Row],[Tot Extrasalarial Ef]]</f>
        <v>0</v>
      </c>
      <c r="CH752" s="140" t="n">
        <f aca="false">MIN(IF(DATOS_[[#This Row],[Fecha Fin Contrato]]="",$D$4,DATOS_[[#This Row],[Fecha Fin Contrato]]),$D$4)-MAX(DATOS_[[#This Row],[Fecha de Contratación]],$D$3)+1</f>
        <v>1</v>
      </c>
      <c r="CI752" s="141" t="str">
        <f aca="false">IF(COUNTIFS(DATOS_[id],DATOS_[[#This Row],[id]])&gt;1,DATOS_[[#This Row],[id]],"")</f>
        <v/>
      </c>
      <c r="CJ752" s="141" t="n">
        <f aca="false">(Inicio!$G$10-DATOS_[[#This Row],[Fecha Nacimiento]])/365.25</f>
        <v>0</v>
      </c>
      <c r="CK752" s="141" t="n">
        <f aca="false">(Inicio!$G$10-DATOS_[[#This Row],[Fecha de Antigüedad]])/365.25</f>
        <v>0</v>
      </c>
      <c r="CL752" s="141" t="e">
        <f aca="false">+VLOOKUP(DATOS_[[#This Row],[Clave de Contrato]],TblTiposContrato13[],3,0)</f>
        <v>#N/A</v>
      </c>
      <c r="CM752" s="141" t="e">
        <f aca="false">+VLOOKUP(DATOS_[[#This Row],[Clave de Contrato]],TblTiposContrato13[],4,0)</f>
        <v>#N/A</v>
      </c>
      <c r="CN752" s="141" t="str">
        <f aca="false">VLOOKUP(DATOS_[[#This Row],[Edad]],CONTRATOS!TblRngEdad,2,1)</f>
        <v>20  o menos</v>
      </c>
      <c r="CO752" s="141" t="str">
        <f aca="false">VLOOKUP(DATOS_[[#This Row],[Antigüedad]],TblRngAntg14[],2,1)</f>
        <v>0 a 1 años</v>
      </c>
    </row>
    <row r="753" customFormat="false" ht="13.8" hidden="false" customHeight="false" outlineLevel="0" collapsed="false">
      <c r="D753" s="128"/>
      <c r="E753" s="129"/>
      <c r="F753" s="129"/>
      <c r="G753" s="129"/>
      <c r="H753" s="130"/>
      <c r="I753" s="131"/>
      <c r="J753" s="128"/>
      <c r="K753" s="132"/>
      <c r="L753" s="132"/>
      <c r="M753" s="133"/>
      <c r="N753" s="133"/>
      <c r="O753" s="133"/>
      <c r="P753" s="129"/>
      <c r="Z753" s="75"/>
      <c r="AA753" s="76"/>
      <c r="AB753" s="76"/>
      <c r="AC753" s="129"/>
      <c r="AD753" s="134"/>
      <c r="AE753" s="134"/>
      <c r="AF753" s="134"/>
      <c r="AG753" s="134"/>
      <c r="AH753" s="134"/>
      <c r="AI753" s="134"/>
      <c r="AJ753" s="134"/>
      <c r="AK753" s="134"/>
      <c r="AL753" s="134"/>
      <c r="AM753" s="134"/>
      <c r="AN753" s="134"/>
      <c r="AO753" s="134"/>
      <c r="AP753" s="134"/>
      <c r="AQ753" s="134"/>
      <c r="AR753" s="134"/>
      <c r="AS753" s="134"/>
      <c r="AT753" s="134"/>
      <c r="AU753" s="134"/>
      <c r="AV753" s="134"/>
      <c r="AW753" s="134"/>
      <c r="AX753" s="134"/>
      <c r="AY753" s="134"/>
      <c r="AZ753" s="134"/>
      <c r="BA753" s="134"/>
      <c r="BB753" s="134"/>
      <c r="BC753" s="134"/>
      <c r="BD753" s="134"/>
      <c r="BE753" s="134"/>
      <c r="BF753" s="134"/>
      <c r="BG753" s="134"/>
      <c r="BH753" s="134"/>
      <c r="BI753" s="134"/>
      <c r="BJ753" s="134"/>
      <c r="BK753" s="134"/>
      <c r="BL753" s="134"/>
      <c r="BM753" s="135"/>
      <c r="BN753" s="136" t="n">
        <f aca="false">+MAX($D$3,DATOS_[[#This Row],[Fecha Inicio Sit. Contract.]])</f>
        <v>0</v>
      </c>
      <c r="BO753" s="136" t="n">
        <f aca="false">+MIN($D$4,DATOS_[[#This Row],[Fecha Fin Sit. Contract.]])</f>
        <v>0</v>
      </c>
      <c r="BP753" s="137" t="n">
        <f aca="false">+DATOS_[[#This Row],[% de jornada]]*IF(DATOS_[[#This Row],[% jornada reducida]]="",1,DATOS_[[#This Row],[% jornada reducida]])</f>
        <v>0</v>
      </c>
      <c r="BQ753" s="137" t="n">
        <f aca="false">+(DATOS_[[#This Row],[F.fin.cal]]-DATOS_[[#This Row],[F.ini.cal]]+1)/($D$4-$D$3+1)</f>
        <v>1</v>
      </c>
      <c r="BR753" s="137" t="str">
        <f aca="false">IF(OR(AND(DATOS_[[#This Row],[Fecha Fin Contrato]]&lt;$D$3,DATOS_[[#This Row],[Fecha Fin Contrato]]&lt;&gt;""),DATOS_[[#This Row],[Fecha de Contratación]]&gt;$D$4),"Fuera","Dentro")</f>
        <v>Dentro</v>
      </c>
      <c r="BS753" s="137" t="str">
        <f aca="false" t="array" ref="BS753:BS753">IF(MAX(IF(DATOS_[id]=DATOS_[[#This Row],[id]],DATOS_[F.fin.cal]))=DATOS_[[#This Row],[F.fin.cal]],"Sí","NO")</f>
        <v>Sí</v>
      </c>
      <c r="BT753" s="137" t="str">
        <f aca="false">IF(AND(DATOS_[[#This Row],[% normaliz]]&lt;&gt;1,DATOS_[[#This Row],[% anualiz]]=1),"Sí","NO")</f>
        <v>Sí</v>
      </c>
      <c r="BU753" s="137" t="str">
        <f aca="false">IF(AND(DATOS_[[#This Row],[% normaliz]]=1,DATOS_[[#This Row],[% anualiz]]&lt;&gt;1),"Sí","NO")</f>
        <v>NO</v>
      </c>
      <c r="BV753" s="137" t="str">
        <f aca="false">IF(AND(DATOS_[[#This Row],[% normaliz]]&lt;&gt;1,DATOS_[[#This Row],[% anualiz]]&lt;&gt;1),"Sí","NO")</f>
        <v>NO</v>
      </c>
      <c r="BW753" s="137" t="str">
        <f aca="false">+IF(DATOS_[[#This Row],[% normaliz]]*DATOS_[[#This Row],[% anualiz]]=1,"NO","Sí")</f>
        <v>Sí</v>
      </c>
      <c r="BX753" s="138" t="e">
        <f aca="false">(DATOS_[[#This Row],[S.BASE]]*(1/DATOS_[[#This Row],[% normaliz]])*(1/DATOS_[[#This Row],[% anualiz]]))*IF(DATOS_[[#This Row],[Check Equiparado]]="Sí",1,0)</f>
        <v>#DIV/0!</v>
      </c>
      <c r="BY7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3" s="138" t="e">
        <f aca="false">+DATOS_[[#This Row],[SALARIO BASE Eq]]+DATOS_[[#This Row],[Tot COMPL.SAL Eq]]</f>
        <v>#DIV/0!</v>
      </c>
      <c r="CA753" s="138" t="e">
        <f aca="false" t="array" ref="CA753:CA7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3" s="138" t="e">
        <f aca="false">+DATOS_[[#This Row],[TOTAL SALARIO Eq]]+DATOS_[[#This Row],[Tot Extrasalarial Eq]]</f>
        <v>#DIV/0!</v>
      </c>
      <c r="CC753" s="139" t="n">
        <f aca="false">DATOS_[[#This Row],[S.BASE]]</f>
        <v>0</v>
      </c>
      <c r="CD753" s="139" t="n">
        <f aca="false">+SUM(DATOS_[[#This Row],[Conc.Sal.01]:[Conc.Sal.30]])</f>
        <v>0</v>
      </c>
      <c r="CE753" s="139" t="n">
        <f aca="false">+DATOS_[[#This Row],[SALARIO BASE Ef]]+DATOS_[[#This Row],[Tot COMPL.SAL Ef]]</f>
        <v>0</v>
      </c>
      <c r="CF753" s="139" t="n">
        <f aca="false">+SUM(DATOS_[[#This Row],[C.Extra.01]:[C.Extra.05]])</f>
        <v>0</v>
      </c>
      <c r="CG753" s="139" t="n">
        <f aca="false">+DATOS_[[#This Row],[TOTAL SALARIO Ef]]+DATOS_[[#This Row],[Tot Extrasalarial Ef]]</f>
        <v>0</v>
      </c>
      <c r="CH753" s="140" t="n">
        <f aca="false">MIN(IF(DATOS_[[#This Row],[Fecha Fin Contrato]]="",$D$4,DATOS_[[#This Row],[Fecha Fin Contrato]]),$D$4)-MAX(DATOS_[[#This Row],[Fecha de Contratación]],$D$3)+1</f>
        <v>1</v>
      </c>
      <c r="CI753" s="141" t="str">
        <f aca="false">IF(COUNTIFS(DATOS_[id],DATOS_[[#This Row],[id]])&gt;1,DATOS_[[#This Row],[id]],"")</f>
        <v/>
      </c>
      <c r="CJ753" s="141" t="n">
        <f aca="false">(Inicio!$G$10-DATOS_[[#This Row],[Fecha Nacimiento]])/365.25</f>
        <v>0</v>
      </c>
      <c r="CK753" s="141" t="n">
        <f aca="false">(Inicio!$G$10-DATOS_[[#This Row],[Fecha de Antigüedad]])/365.25</f>
        <v>0</v>
      </c>
      <c r="CL753" s="141" t="e">
        <f aca="false">+VLOOKUP(DATOS_[[#This Row],[Clave de Contrato]],TblTiposContrato13[],3,0)</f>
        <v>#N/A</v>
      </c>
      <c r="CM753" s="141" t="e">
        <f aca="false">+VLOOKUP(DATOS_[[#This Row],[Clave de Contrato]],TblTiposContrato13[],4,0)</f>
        <v>#N/A</v>
      </c>
      <c r="CN753" s="141" t="str">
        <f aca="false">VLOOKUP(DATOS_[[#This Row],[Edad]],CONTRATOS!TblRngEdad,2,1)</f>
        <v>20  o menos</v>
      </c>
      <c r="CO753" s="141" t="str">
        <f aca="false">VLOOKUP(DATOS_[[#This Row],[Antigüedad]],TblRngAntg14[],2,1)</f>
        <v>0 a 1 años</v>
      </c>
    </row>
    <row r="754" customFormat="false" ht="13.8" hidden="false" customHeight="false" outlineLevel="0" collapsed="false">
      <c r="D754" s="128"/>
      <c r="E754" s="129"/>
      <c r="F754" s="129"/>
      <c r="G754" s="129"/>
      <c r="H754" s="130"/>
      <c r="I754" s="131"/>
      <c r="J754" s="128"/>
      <c r="K754" s="132"/>
      <c r="L754" s="132"/>
      <c r="M754" s="133"/>
      <c r="N754" s="133"/>
      <c r="O754" s="133"/>
      <c r="P754" s="129"/>
      <c r="Z754" s="75"/>
      <c r="AA754" s="76"/>
      <c r="AB754" s="76"/>
      <c r="AC754" s="129"/>
      <c r="AD754" s="134"/>
      <c r="AE754" s="134"/>
      <c r="AF754" s="134"/>
      <c r="AG754" s="134"/>
      <c r="AH754" s="134"/>
      <c r="AI754" s="134"/>
      <c r="AJ754" s="134"/>
      <c r="AK754" s="134"/>
      <c r="AL754" s="134"/>
      <c r="AM754" s="134"/>
      <c r="AN754" s="134"/>
      <c r="AO754" s="134"/>
      <c r="AP754" s="134"/>
      <c r="AQ754" s="134"/>
      <c r="AR754" s="134"/>
      <c r="AS754" s="134"/>
      <c r="AT754" s="134"/>
      <c r="AU754" s="134"/>
      <c r="AV754" s="134"/>
      <c r="AW754" s="134"/>
      <c r="AX754" s="134"/>
      <c r="AY754" s="134"/>
      <c r="AZ754" s="134"/>
      <c r="BA754" s="134"/>
      <c r="BB754" s="134"/>
      <c r="BC754" s="134"/>
      <c r="BD754" s="134"/>
      <c r="BE754" s="134"/>
      <c r="BF754" s="134"/>
      <c r="BG754" s="134"/>
      <c r="BH754" s="134"/>
      <c r="BI754" s="134"/>
      <c r="BJ754" s="134"/>
      <c r="BK754" s="134"/>
      <c r="BL754" s="134"/>
      <c r="BM754" s="135"/>
      <c r="BN754" s="136" t="n">
        <f aca="false">+MAX($D$3,DATOS_[[#This Row],[Fecha Inicio Sit. Contract.]])</f>
        <v>0</v>
      </c>
      <c r="BO754" s="136" t="n">
        <f aca="false">+MIN($D$4,DATOS_[[#This Row],[Fecha Fin Sit. Contract.]])</f>
        <v>0</v>
      </c>
      <c r="BP754" s="137" t="n">
        <f aca="false">+DATOS_[[#This Row],[% de jornada]]*IF(DATOS_[[#This Row],[% jornada reducida]]="",1,DATOS_[[#This Row],[% jornada reducida]])</f>
        <v>0</v>
      </c>
      <c r="BQ754" s="137" t="n">
        <f aca="false">+(DATOS_[[#This Row],[F.fin.cal]]-DATOS_[[#This Row],[F.ini.cal]]+1)/($D$4-$D$3+1)</f>
        <v>1</v>
      </c>
      <c r="BR754" s="137" t="str">
        <f aca="false">IF(OR(AND(DATOS_[[#This Row],[Fecha Fin Contrato]]&lt;$D$3,DATOS_[[#This Row],[Fecha Fin Contrato]]&lt;&gt;""),DATOS_[[#This Row],[Fecha de Contratación]]&gt;$D$4),"Fuera","Dentro")</f>
        <v>Dentro</v>
      </c>
      <c r="BS754" s="137" t="str">
        <f aca="false" t="array" ref="BS754:BS754">IF(MAX(IF(DATOS_[id]=DATOS_[[#This Row],[id]],DATOS_[F.fin.cal]))=DATOS_[[#This Row],[F.fin.cal]],"Sí","NO")</f>
        <v>Sí</v>
      </c>
      <c r="BT754" s="137" t="str">
        <f aca="false">IF(AND(DATOS_[[#This Row],[% normaliz]]&lt;&gt;1,DATOS_[[#This Row],[% anualiz]]=1),"Sí","NO")</f>
        <v>Sí</v>
      </c>
      <c r="BU754" s="137" t="str">
        <f aca="false">IF(AND(DATOS_[[#This Row],[% normaliz]]=1,DATOS_[[#This Row],[% anualiz]]&lt;&gt;1),"Sí","NO")</f>
        <v>NO</v>
      </c>
      <c r="BV754" s="137" t="str">
        <f aca="false">IF(AND(DATOS_[[#This Row],[% normaliz]]&lt;&gt;1,DATOS_[[#This Row],[% anualiz]]&lt;&gt;1),"Sí","NO")</f>
        <v>NO</v>
      </c>
      <c r="BW754" s="137" t="str">
        <f aca="false">+IF(DATOS_[[#This Row],[% normaliz]]*DATOS_[[#This Row],[% anualiz]]=1,"NO","Sí")</f>
        <v>Sí</v>
      </c>
      <c r="BX754" s="138" t="e">
        <f aca="false">(DATOS_[[#This Row],[S.BASE]]*(1/DATOS_[[#This Row],[% normaliz]])*(1/DATOS_[[#This Row],[% anualiz]]))*IF(DATOS_[[#This Row],[Check Equiparado]]="Sí",1,0)</f>
        <v>#DIV/0!</v>
      </c>
      <c r="BY7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4" s="138" t="e">
        <f aca="false">+DATOS_[[#This Row],[SALARIO BASE Eq]]+DATOS_[[#This Row],[Tot COMPL.SAL Eq]]</f>
        <v>#DIV/0!</v>
      </c>
      <c r="CA754" s="138" t="e">
        <f aca="false" t="array" ref="CA754:CA7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4" s="138" t="e">
        <f aca="false">+DATOS_[[#This Row],[TOTAL SALARIO Eq]]+DATOS_[[#This Row],[Tot Extrasalarial Eq]]</f>
        <v>#DIV/0!</v>
      </c>
      <c r="CC754" s="139" t="n">
        <f aca="false">DATOS_[[#This Row],[S.BASE]]</f>
        <v>0</v>
      </c>
      <c r="CD754" s="139" t="n">
        <f aca="false">+SUM(DATOS_[[#This Row],[Conc.Sal.01]:[Conc.Sal.30]])</f>
        <v>0</v>
      </c>
      <c r="CE754" s="139" t="n">
        <f aca="false">+DATOS_[[#This Row],[SALARIO BASE Ef]]+DATOS_[[#This Row],[Tot COMPL.SAL Ef]]</f>
        <v>0</v>
      </c>
      <c r="CF754" s="139" t="n">
        <f aca="false">+SUM(DATOS_[[#This Row],[C.Extra.01]:[C.Extra.05]])</f>
        <v>0</v>
      </c>
      <c r="CG754" s="139" t="n">
        <f aca="false">+DATOS_[[#This Row],[TOTAL SALARIO Ef]]+DATOS_[[#This Row],[Tot Extrasalarial Ef]]</f>
        <v>0</v>
      </c>
      <c r="CH754" s="140" t="n">
        <f aca="false">MIN(IF(DATOS_[[#This Row],[Fecha Fin Contrato]]="",$D$4,DATOS_[[#This Row],[Fecha Fin Contrato]]),$D$4)-MAX(DATOS_[[#This Row],[Fecha de Contratación]],$D$3)+1</f>
        <v>1</v>
      </c>
      <c r="CI754" s="141" t="str">
        <f aca="false">IF(COUNTIFS(DATOS_[id],DATOS_[[#This Row],[id]])&gt;1,DATOS_[[#This Row],[id]],"")</f>
        <v/>
      </c>
      <c r="CJ754" s="141" t="n">
        <f aca="false">(Inicio!$G$10-DATOS_[[#This Row],[Fecha Nacimiento]])/365.25</f>
        <v>0</v>
      </c>
      <c r="CK754" s="141" t="n">
        <f aca="false">(Inicio!$G$10-DATOS_[[#This Row],[Fecha de Antigüedad]])/365.25</f>
        <v>0</v>
      </c>
      <c r="CL754" s="141" t="e">
        <f aca="false">+VLOOKUP(DATOS_[[#This Row],[Clave de Contrato]],TblTiposContrato13[],3,0)</f>
        <v>#N/A</v>
      </c>
      <c r="CM754" s="141" t="e">
        <f aca="false">+VLOOKUP(DATOS_[[#This Row],[Clave de Contrato]],TblTiposContrato13[],4,0)</f>
        <v>#N/A</v>
      </c>
      <c r="CN754" s="141" t="str">
        <f aca="false">VLOOKUP(DATOS_[[#This Row],[Edad]],CONTRATOS!TblRngEdad,2,1)</f>
        <v>20  o menos</v>
      </c>
      <c r="CO754" s="141" t="str">
        <f aca="false">VLOOKUP(DATOS_[[#This Row],[Antigüedad]],TblRngAntg14[],2,1)</f>
        <v>0 a 1 años</v>
      </c>
    </row>
    <row r="755" customFormat="false" ht="13.8" hidden="false" customHeight="false" outlineLevel="0" collapsed="false">
      <c r="D755" s="128"/>
      <c r="E755" s="129"/>
      <c r="F755" s="129"/>
      <c r="G755" s="129"/>
      <c r="H755" s="130"/>
      <c r="I755" s="131"/>
      <c r="J755" s="128"/>
      <c r="K755" s="132"/>
      <c r="L755" s="132"/>
      <c r="M755" s="133"/>
      <c r="N755" s="133"/>
      <c r="O755" s="133"/>
      <c r="P755" s="129"/>
      <c r="Z755" s="75"/>
      <c r="AA755" s="76"/>
      <c r="AB755" s="76"/>
      <c r="AC755" s="129"/>
      <c r="AD755" s="134"/>
      <c r="AE755" s="134"/>
      <c r="AF755" s="134"/>
      <c r="AG755" s="134"/>
      <c r="AH755" s="134"/>
      <c r="AI755" s="134"/>
      <c r="AJ755" s="134"/>
      <c r="AK755" s="134"/>
      <c r="AL755" s="134"/>
      <c r="AM755" s="134"/>
      <c r="AN755" s="134"/>
      <c r="AO755" s="134"/>
      <c r="AP755" s="134"/>
      <c r="AQ755" s="134"/>
      <c r="AR755" s="134"/>
      <c r="AS755" s="134"/>
      <c r="AT755" s="134"/>
      <c r="AU755" s="134"/>
      <c r="AV755" s="134"/>
      <c r="AW755" s="134"/>
      <c r="AX755" s="134"/>
      <c r="AY755" s="134"/>
      <c r="AZ755" s="134"/>
      <c r="BA755" s="134"/>
      <c r="BB755" s="134"/>
      <c r="BC755" s="134"/>
      <c r="BD755" s="134"/>
      <c r="BE755" s="134"/>
      <c r="BF755" s="134"/>
      <c r="BG755" s="134"/>
      <c r="BH755" s="134"/>
      <c r="BI755" s="134"/>
      <c r="BJ755" s="134"/>
      <c r="BK755" s="134"/>
      <c r="BL755" s="134"/>
      <c r="BM755" s="135"/>
      <c r="BN755" s="136" t="n">
        <f aca="false">+MAX($D$3,DATOS_[[#This Row],[Fecha Inicio Sit. Contract.]])</f>
        <v>0</v>
      </c>
      <c r="BO755" s="136" t="n">
        <f aca="false">+MIN($D$4,DATOS_[[#This Row],[Fecha Fin Sit. Contract.]])</f>
        <v>0</v>
      </c>
      <c r="BP755" s="137" t="n">
        <f aca="false">+DATOS_[[#This Row],[% de jornada]]*IF(DATOS_[[#This Row],[% jornada reducida]]="",1,DATOS_[[#This Row],[% jornada reducida]])</f>
        <v>0</v>
      </c>
      <c r="BQ755" s="137" t="n">
        <f aca="false">+(DATOS_[[#This Row],[F.fin.cal]]-DATOS_[[#This Row],[F.ini.cal]]+1)/($D$4-$D$3+1)</f>
        <v>1</v>
      </c>
      <c r="BR755" s="137" t="str">
        <f aca="false">IF(OR(AND(DATOS_[[#This Row],[Fecha Fin Contrato]]&lt;$D$3,DATOS_[[#This Row],[Fecha Fin Contrato]]&lt;&gt;""),DATOS_[[#This Row],[Fecha de Contratación]]&gt;$D$4),"Fuera","Dentro")</f>
        <v>Dentro</v>
      </c>
      <c r="BS755" s="137" t="str">
        <f aca="false" t="array" ref="BS755:BS755">IF(MAX(IF(DATOS_[id]=DATOS_[[#This Row],[id]],DATOS_[F.fin.cal]))=DATOS_[[#This Row],[F.fin.cal]],"Sí","NO")</f>
        <v>Sí</v>
      </c>
      <c r="BT755" s="137" t="str">
        <f aca="false">IF(AND(DATOS_[[#This Row],[% normaliz]]&lt;&gt;1,DATOS_[[#This Row],[% anualiz]]=1),"Sí","NO")</f>
        <v>Sí</v>
      </c>
      <c r="BU755" s="137" t="str">
        <f aca="false">IF(AND(DATOS_[[#This Row],[% normaliz]]=1,DATOS_[[#This Row],[% anualiz]]&lt;&gt;1),"Sí","NO")</f>
        <v>NO</v>
      </c>
      <c r="BV755" s="137" t="str">
        <f aca="false">IF(AND(DATOS_[[#This Row],[% normaliz]]&lt;&gt;1,DATOS_[[#This Row],[% anualiz]]&lt;&gt;1),"Sí","NO")</f>
        <v>NO</v>
      </c>
      <c r="BW755" s="137" t="str">
        <f aca="false">+IF(DATOS_[[#This Row],[% normaliz]]*DATOS_[[#This Row],[% anualiz]]=1,"NO","Sí")</f>
        <v>Sí</v>
      </c>
      <c r="BX755" s="138" t="e">
        <f aca="false">(DATOS_[[#This Row],[S.BASE]]*(1/DATOS_[[#This Row],[% normaliz]])*(1/DATOS_[[#This Row],[% anualiz]]))*IF(DATOS_[[#This Row],[Check Equiparado]]="Sí",1,0)</f>
        <v>#DIV/0!</v>
      </c>
      <c r="BY7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5" s="138" t="e">
        <f aca="false">+DATOS_[[#This Row],[SALARIO BASE Eq]]+DATOS_[[#This Row],[Tot COMPL.SAL Eq]]</f>
        <v>#DIV/0!</v>
      </c>
      <c r="CA755" s="138" t="e">
        <f aca="false" t="array" ref="CA755:CA7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5" s="138" t="e">
        <f aca="false">+DATOS_[[#This Row],[TOTAL SALARIO Eq]]+DATOS_[[#This Row],[Tot Extrasalarial Eq]]</f>
        <v>#DIV/0!</v>
      </c>
      <c r="CC755" s="139" t="n">
        <f aca="false">DATOS_[[#This Row],[S.BASE]]</f>
        <v>0</v>
      </c>
      <c r="CD755" s="139" t="n">
        <f aca="false">+SUM(DATOS_[[#This Row],[Conc.Sal.01]:[Conc.Sal.30]])</f>
        <v>0</v>
      </c>
      <c r="CE755" s="139" t="n">
        <f aca="false">+DATOS_[[#This Row],[SALARIO BASE Ef]]+DATOS_[[#This Row],[Tot COMPL.SAL Ef]]</f>
        <v>0</v>
      </c>
      <c r="CF755" s="139" t="n">
        <f aca="false">+SUM(DATOS_[[#This Row],[C.Extra.01]:[C.Extra.05]])</f>
        <v>0</v>
      </c>
      <c r="CG755" s="139" t="n">
        <f aca="false">+DATOS_[[#This Row],[TOTAL SALARIO Ef]]+DATOS_[[#This Row],[Tot Extrasalarial Ef]]</f>
        <v>0</v>
      </c>
      <c r="CH755" s="140" t="n">
        <f aca="false">MIN(IF(DATOS_[[#This Row],[Fecha Fin Contrato]]="",$D$4,DATOS_[[#This Row],[Fecha Fin Contrato]]),$D$4)-MAX(DATOS_[[#This Row],[Fecha de Contratación]],$D$3)+1</f>
        <v>1</v>
      </c>
      <c r="CI755" s="141" t="str">
        <f aca="false">IF(COUNTIFS(DATOS_[id],DATOS_[[#This Row],[id]])&gt;1,DATOS_[[#This Row],[id]],"")</f>
        <v/>
      </c>
      <c r="CJ755" s="141" t="n">
        <f aca="false">(Inicio!$G$10-DATOS_[[#This Row],[Fecha Nacimiento]])/365.25</f>
        <v>0</v>
      </c>
      <c r="CK755" s="141" t="n">
        <f aca="false">(Inicio!$G$10-DATOS_[[#This Row],[Fecha de Antigüedad]])/365.25</f>
        <v>0</v>
      </c>
      <c r="CL755" s="141" t="e">
        <f aca="false">+VLOOKUP(DATOS_[[#This Row],[Clave de Contrato]],TblTiposContrato13[],3,0)</f>
        <v>#N/A</v>
      </c>
      <c r="CM755" s="141" t="e">
        <f aca="false">+VLOOKUP(DATOS_[[#This Row],[Clave de Contrato]],TblTiposContrato13[],4,0)</f>
        <v>#N/A</v>
      </c>
      <c r="CN755" s="141" t="str">
        <f aca="false">VLOOKUP(DATOS_[[#This Row],[Edad]],CONTRATOS!TblRngEdad,2,1)</f>
        <v>20  o menos</v>
      </c>
      <c r="CO755" s="141" t="str">
        <f aca="false">VLOOKUP(DATOS_[[#This Row],[Antigüedad]],TblRngAntg14[],2,1)</f>
        <v>0 a 1 años</v>
      </c>
    </row>
    <row r="756" customFormat="false" ht="13.8" hidden="false" customHeight="false" outlineLevel="0" collapsed="false">
      <c r="D756" s="128"/>
      <c r="E756" s="129"/>
      <c r="F756" s="129"/>
      <c r="G756" s="129"/>
      <c r="H756" s="130"/>
      <c r="I756" s="131"/>
      <c r="J756" s="128"/>
      <c r="K756" s="132"/>
      <c r="L756" s="132"/>
      <c r="M756" s="133"/>
      <c r="N756" s="133"/>
      <c r="O756" s="133"/>
      <c r="P756" s="129"/>
      <c r="Z756" s="75"/>
      <c r="AA756" s="76"/>
      <c r="AB756" s="76"/>
      <c r="AC756" s="129"/>
      <c r="AD756" s="134"/>
      <c r="AE756" s="134"/>
      <c r="AF756" s="134"/>
      <c r="AG756" s="134"/>
      <c r="AH756" s="134"/>
      <c r="AI756" s="134"/>
      <c r="AJ756" s="134"/>
      <c r="AK756" s="134"/>
      <c r="AL756" s="134"/>
      <c r="AM756" s="134"/>
      <c r="AN756" s="134"/>
      <c r="AO756" s="134"/>
      <c r="AP756" s="134"/>
      <c r="AQ756" s="134"/>
      <c r="AR756" s="134"/>
      <c r="AS756" s="134"/>
      <c r="AT756" s="134"/>
      <c r="AU756" s="134"/>
      <c r="AV756" s="134"/>
      <c r="AW756" s="134"/>
      <c r="AX756" s="134"/>
      <c r="AY756" s="134"/>
      <c r="AZ756" s="134"/>
      <c r="BA756" s="134"/>
      <c r="BB756" s="134"/>
      <c r="BC756" s="134"/>
      <c r="BD756" s="134"/>
      <c r="BE756" s="134"/>
      <c r="BF756" s="134"/>
      <c r="BG756" s="134"/>
      <c r="BH756" s="134"/>
      <c r="BI756" s="134"/>
      <c r="BJ756" s="134"/>
      <c r="BK756" s="134"/>
      <c r="BL756" s="134"/>
      <c r="BM756" s="135"/>
      <c r="BN756" s="136" t="n">
        <f aca="false">+MAX($D$3,DATOS_[[#This Row],[Fecha Inicio Sit. Contract.]])</f>
        <v>0</v>
      </c>
      <c r="BO756" s="136" t="n">
        <f aca="false">+MIN($D$4,DATOS_[[#This Row],[Fecha Fin Sit. Contract.]])</f>
        <v>0</v>
      </c>
      <c r="BP756" s="137" t="n">
        <f aca="false">+DATOS_[[#This Row],[% de jornada]]*IF(DATOS_[[#This Row],[% jornada reducida]]="",1,DATOS_[[#This Row],[% jornada reducida]])</f>
        <v>0</v>
      </c>
      <c r="BQ756" s="137" t="n">
        <f aca="false">+(DATOS_[[#This Row],[F.fin.cal]]-DATOS_[[#This Row],[F.ini.cal]]+1)/($D$4-$D$3+1)</f>
        <v>1</v>
      </c>
      <c r="BR756" s="137" t="str">
        <f aca="false">IF(OR(AND(DATOS_[[#This Row],[Fecha Fin Contrato]]&lt;$D$3,DATOS_[[#This Row],[Fecha Fin Contrato]]&lt;&gt;""),DATOS_[[#This Row],[Fecha de Contratación]]&gt;$D$4),"Fuera","Dentro")</f>
        <v>Dentro</v>
      </c>
      <c r="BS756" s="137" t="str">
        <f aca="false" t="array" ref="BS756:BS756">IF(MAX(IF(DATOS_[id]=DATOS_[[#This Row],[id]],DATOS_[F.fin.cal]))=DATOS_[[#This Row],[F.fin.cal]],"Sí","NO")</f>
        <v>Sí</v>
      </c>
      <c r="BT756" s="137" t="str">
        <f aca="false">IF(AND(DATOS_[[#This Row],[% normaliz]]&lt;&gt;1,DATOS_[[#This Row],[% anualiz]]=1),"Sí","NO")</f>
        <v>Sí</v>
      </c>
      <c r="BU756" s="137" t="str">
        <f aca="false">IF(AND(DATOS_[[#This Row],[% normaliz]]=1,DATOS_[[#This Row],[% anualiz]]&lt;&gt;1),"Sí","NO")</f>
        <v>NO</v>
      </c>
      <c r="BV756" s="137" t="str">
        <f aca="false">IF(AND(DATOS_[[#This Row],[% normaliz]]&lt;&gt;1,DATOS_[[#This Row],[% anualiz]]&lt;&gt;1),"Sí","NO")</f>
        <v>NO</v>
      </c>
      <c r="BW756" s="137" t="str">
        <f aca="false">+IF(DATOS_[[#This Row],[% normaliz]]*DATOS_[[#This Row],[% anualiz]]=1,"NO","Sí")</f>
        <v>Sí</v>
      </c>
      <c r="BX756" s="138" t="e">
        <f aca="false">(DATOS_[[#This Row],[S.BASE]]*(1/DATOS_[[#This Row],[% normaliz]])*(1/DATOS_[[#This Row],[% anualiz]]))*IF(DATOS_[[#This Row],[Check Equiparado]]="Sí",1,0)</f>
        <v>#DIV/0!</v>
      </c>
      <c r="BY7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6" s="138" t="e">
        <f aca="false">+DATOS_[[#This Row],[SALARIO BASE Eq]]+DATOS_[[#This Row],[Tot COMPL.SAL Eq]]</f>
        <v>#DIV/0!</v>
      </c>
      <c r="CA756" s="138" t="e">
        <f aca="false" t="array" ref="CA756:CA7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6" s="138" t="e">
        <f aca="false">+DATOS_[[#This Row],[TOTAL SALARIO Eq]]+DATOS_[[#This Row],[Tot Extrasalarial Eq]]</f>
        <v>#DIV/0!</v>
      </c>
      <c r="CC756" s="139" t="n">
        <f aca="false">DATOS_[[#This Row],[S.BASE]]</f>
        <v>0</v>
      </c>
      <c r="CD756" s="139" t="n">
        <f aca="false">+SUM(DATOS_[[#This Row],[Conc.Sal.01]:[Conc.Sal.30]])</f>
        <v>0</v>
      </c>
      <c r="CE756" s="139" t="n">
        <f aca="false">+DATOS_[[#This Row],[SALARIO BASE Ef]]+DATOS_[[#This Row],[Tot COMPL.SAL Ef]]</f>
        <v>0</v>
      </c>
      <c r="CF756" s="139" t="n">
        <f aca="false">+SUM(DATOS_[[#This Row],[C.Extra.01]:[C.Extra.05]])</f>
        <v>0</v>
      </c>
      <c r="CG756" s="139" t="n">
        <f aca="false">+DATOS_[[#This Row],[TOTAL SALARIO Ef]]+DATOS_[[#This Row],[Tot Extrasalarial Ef]]</f>
        <v>0</v>
      </c>
      <c r="CH756" s="140" t="n">
        <f aca="false">MIN(IF(DATOS_[[#This Row],[Fecha Fin Contrato]]="",$D$4,DATOS_[[#This Row],[Fecha Fin Contrato]]),$D$4)-MAX(DATOS_[[#This Row],[Fecha de Contratación]],$D$3)+1</f>
        <v>1</v>
      </c>
      <c r="CI756" s="141" t="str">
        <f aca="false">IF(COUNTIFS(DATOS_[id],DATOS_[[#This Row],[id]])&gt;1,DATOS_[[#This Row],[id]],"")</f>
        <v/>
      </c>
      <c r="CJ756" s="141" t="n">
        <f aca="false">(Inicio!$G$10-DATOS_[[#This Row],[Fecha Nacimiento]])/365.25</f>
        <v>0</v>
      </c>
      <c r="CK756" s="141" t="n">
        <f aca="false">(Inicio!$G$10-DATOS_[[#This Row],[Fecha de Antigüedad]])/365.25</f>
        <v>0</v>
      </c>
      <c r="CL756" s="141" t="e">
        <f aca="false">+VLOOKUP(DATOS_[[#This Row],[Clave de Contrato]],TblTiposContrato13[],3,0)</f>
        <v>#N/A</v>
      </c>
      <c r="CM756" s="141" t="e">
        <f aca="false">+VLOOKUP(DATOS_[[#This Row],[Clave de Contrato]],TblTiposContrato13[],4,0)</f>
        <v>#N/A</v>
      </c>
      <c r="CN756" s="141" t="str">
        <f aca="false">VLOOKUP(DATOS_[[#This Row],[Edad]],CONTRATOS!TblRngEdad,2,1)</f>
        <v>20  o menos</v>
      </c>
      <c r="CO756" s="141" t="str">
        <f aca="false">VLOOKUP(DATOS_[[#This Row],[Antigüedad]],TblRngAntg14[],2,1)</f>
        <v>0 a 1 años</v>
      </c>
    </row>
    <row r="757" customFormat="false" ht="13.8" hidden="false" customHeight="false" outlineLevel="0" collapsed="false">
      <c r="D757" s="128"/>
      <c r="E757" s="129"/>
      <c r="F757" s="129"/>
      <c r="G757" s="129"/>
      <c r="H757" s="130"/>
      <c r="I757" s="131"/>
      <c r="J757" s="128"/>
      <c r="K757" s="132"/>
      <c r="L757" s="132"/>
      <c r="M757" s="133"/>
      <c r="N757" s="133"/>
      <c r="O757" s="133"/>
      <c r="P757" s="129"/>
      <c r="Z757" s="75"/>
      <c r="AA757" s="76"/>
      <c r="AB757" s="76"/>
      <c r="AC757" s="129"/>
      <c r="AD757" s="134"/>
      <c r="AE757" s="134"/>
      <c r="AF757" s="134"/>
      <c r="AG757" s="134"/>
      <c r="AH757" s="134"/>
      <c r="AI757" s="134"/>
      <c r="AJ757" s="134"/>
      <c r="AK757" s="134"/>
      <c r="AL757" s="134"/>
      <c r="AM757" s="134"/>
      <c r="AN757" s="134"/>
      <c r="AO757" s="134"/>
      <c r="AP757" s="134"/>
      <c r="AQ757" s="134"/>
      <c r="AR757" s="134"/>
      <c r="AS757" s="134"/>
      <c r="AT757" s="134"/>
      <c r="AU757" s="134"/>
      <c r="AV757" s="134"/>
      <c r="AW757" s="134"/>
      <c r="AX757" s="134"/>
      <c r="AY757" s="134"/>
      <c r="AZ757" s="134"/>
      <c r="BA757" s="134"/>
      <c r="BB757" s="134"/>
      <c r="BC757" s="134"/>
      <c r="BD757" s="134"/>
      <c r="BE757" s="134"/>
      <c r="BF757" s="134"/>
      <c r="BG757" s="134"/>
      <c r="BH757" s="134"/>
      <c r="BI757" s="134"/>
      <c r="BJ757" s="134"/>
      <c r="BK757" s="134"/>
      <c r="BL757" s="134"/>
      <c r="BM757" s="135"/>
      <c r="BN757" s="136" t="n">
        <f aca="false">+MAX($D$3,DATOS_[[#This Row],[Fecha Inicio Sit. Contract.]])</f>
        <v>0</v>
      </c>
      <c r="BO757" s="136" t="n">
        <f aca="false">+MIN($D$4,DATOS_[[#This Row],[Fecha Fin Sit. Contract.]])</f>
        <v>0</v>
      </c>
      <c r="BP757" s="137" t="n">
        <f aca="false">+DATOS_[[#This Row],[% de jornada]]*IF(DATOS_[[#This Row],[% jornada reducida]]="",1,DATOS_[[#This Row],[% jornada reducida]])</f>
        <v>0</v>
      </c>
      <c r="BQ757" s="137" t="n">
        <f aca="false">+(DATOS_[[#This Row],[F.fin.cal]]-DATOS_[[#This Row],[F.ini.cal]]+1)/($D$4-$D$3+1)</f>
        <v>1</v>
      </c>
      <c r="BR757" s="137" t="str">
        <f aca="false">IF(OR(AND(DATOS_[[#This Row],[Fecha Fin Contrato]]&lt;$D$3,DATOS_[[#This Row],[Fecha Fin Contrato]]&lt;&gt;""),DATOS_[[#This Row],[Fecha de Contratación]]&gt;$D$4),"Fuera","Dentro")</f>
        <v>Dentro</v>
      </c>
      <c r="BS757" s="137" t="str">
        <f aca="false" t="array" ref="BS757:BS757">IF(MAX(IF(DATOS_[id]=DATOS_[[#This Row],[id]],DATOS_[F.fin.cal]))=DATOS_[[#This Row],[F.fin.cal]],"Sí","NO")</f>
        <v>Sí</v>
      </c>
      <c r="BT757" s="137" t="str">
        <f aca="false">IF(AND(DATOS_[[#This Row],[% normaliz]]&lt;&gt;1,DATOS_[[#This Row],[% anualiz]]=1),"Sí","NO")</f>
        <v>Sí</v>
      </c>
      <c r="BU757" s="137" t="str">
        <f aca="false">IF(AND(DATOS_[[#This Row],[% normaliz]]=1,DATOS_[[#This Row],[% anualiz]]&lt;&gt;1),"Sí","NO")</f>
        <v>NO</v>
      </c>
      <c r="BV757" s="137" t="str">
        <f aca="false">IF(AND(DATOS_[[#This Row],[% normaliz]]&lt;&gt;1,DATOS_[[#This Row],[% anualiz]]&lt;&gt;1),"Sí","NO")</f>
        <v>NO</v>
      </c>
      <c r="BW757" s="137" t="str">
        <f aca="false">+IF(DATOS_[[#This Row],[% normaliz]]*DATOS_[[#This Row],[% anualiz]]=1,"NO","Sí")</f>
        <v>Sí</v>
      </c>
      <c r="BX757" s="138" t="e">
        <f aca="false">(DATOS_[[#This Row],[S.BASE]]*(1/DATOS_[[#This Row],[% normaliz]])*(1/DATOS_[[#This Row],[% anualiz]]))*IF(DATOS_[[#This Row],[Check Equiparado]]="Sí",1,0)</f>
        <v>#DIV/0!</v>
      </c>
      <c r="BY7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7" s="138" t="e">
        <f aca="false">+DATOS_[[#This Row],[SALARIO BASE Eq]]+DATOS_[[#This Row],[Tot COMPL.SAL Eq]]</f>
        <v>#DIV/0!</v>
      </c>
      <c r="CA757" s="138" t="e">
        <f aca="false" t="array" ref="CA757:CA7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7" s="138" t="e">
        <f aca="false">+DATOS_[[#This Row],[TOTAL SALARIO Eq]]+DATOS_[[#This Row],[Tot Extrasalarial Eq]]</f>
        <v>#DIV/0!</v>
      </c>
      <c r="CC757" s="139" t="n">
        <f aca="false">DATOS_[[#This Row],[S.BASE]]</f>
        <v>0</v>
      </c>
      <c r="CD757" s="139" t="n">
        <f aca="false">+SUM(DATOS_[[#This Row],[Conc.Sal.01]:[Conc.Sal.30]])</f>
        <v>0</v>
      </c>
      <c r="CE757" s="139" t="n">
        <f aca="false">+DATOS_[[#This Row],[SALARIO BASE Ef]]+DATOS_[[#This Row],[Tot COMPL.SAL Ef]]</f>
        <v>0</v>
      </c>
      <c r="CF757" s="139" t="n">
        <f aca="false">+SUM(DATOS_[[#This Row],[C.Extra.01]:[C.Extra.05]])</f>
        <v>0</v>
      </c>
      <c r="CG757" s="139" t="n">
        <f aca="false">+DATOS_[[#This Row],[TOTAL SALARIO Ef]]+DATOS_[[#This Row],[Tot Extrasalarial Ef]]</f>
        <v>0</v>
      </c>
      <c r="CH757" s="140" t="n">
        <f aca="false">MIN(IF(DATOS_[[#This Row],[Fecha Fin Contrato]]="",$D$4,DATOS_[[#This Row],[Fecha Fin Contrato]]),$D$4)-MAX(DATOS_[[#This Row],[Fecha de Contratación]],$D$3)+1</f>
        <v>1</v>
      </c>
      <c r="CI757" s="141" t="str">
        <f aca="false">IF(COUNTIFS(DATOS_[id],DATOS_[[#This Row],[id]])&gt;1,DATOS_[[#This Row],[id]],"")</f>
        <v/>
      </c>
      <c r="CJ757" s="141" t="n">
        <f aca="false">(Inicio!$G$10-DATOS_[[#This Row],[Fecha Nacimiento]])/365.25</f>
        <v>0</v>
      </c>
      <c r="CK757" s="141" t="n">
        <f aca="false">(Inicio!$G$10-DATOS_[[#This Row],[Fecha de Antigüedad]])/365.25</f>
        <v>0</v>
      </c>
      <c r="CL757" s="141" t="e">
        <f aca="false">+VLOOKUP(DATOS_[[#This Row],[Clave de Contrato]],TblTiposContrato13[],3,0)</f>
        <v>#N/A</v>
      </c>
      <c r="CM757" s="141" t="e">
        <f aca="false">+VLOOKUP(DATOS_[[#This Row],[Clave de Contrato]],TblTiposContrato13[],4,0)</f>
        <v>#N/A</v>
      </c>
      <c r="CN757" s="141" t="str">
        <f aca="false">VLOOKUP(DATOS_[[#This Row],[Edad]],CONTRATOS!TblRngEdad,2,1)</f>
        <v>20  o menos</v>
      </c>
      <c r="CO757" s="141" t="str">
        <f aca="false">VLOOKUP(DATOS_[[#This Row],[Antigüedad]],TblRngAntg14[],2,1)</f>
        <v>0 a 1 años</v>
      </c>
    </row>
    <row r="758" customFormat="false" ht="13.8" hidden="false" customHeight="false" outlineLevel="0" collapsed="false">
      <c r="D758" s="128"/>
      <c r="E758" s="129"/>
      <c r="F758" s="129"/>
      <c r="G758" s="129"/>
      <c r="H758" s="130"/>
      <c r="I758" s="131"/>
      <c r="J758" s="128"/>
      <c r="K758" s="132"/>
      <c r="L758" s="132"/>
      <c r="M758" s="133"/>
      <c r="N758" s="133"/>
      <c r="O758" s="133"/>
      <c r="P758" s="129"/>
      <c r="Z758" s="75"/>
      <c r="AA758" s="76"/>
      <c r="AB758" s="76"/>
      <c r="AC758" s="129"/>
      <c r="AD758" s="134"/>
      <c r="AE758" s="134"/>
      <c r="AF758" s="134"/>
      <c r="AG758" s="134"/>
      <c r="AH758" s="134"/>
      <c r="AI758" s="134"/>
      <c r="AJ758" s="134"/>
      <c r="AK758" s="134"/>
      <c r="AL758" s="134"/>
      <c r="AM758" s="134"/>
      <c r="AN758" s="134"/>
      <c r="AO758" s="134"/>
      <c r="AP758" s="134"/>
      <c r="AQ758" s="134"/>
      <c r="AR758" s="134"/>
      <c r="AS758" s="134"/>
      <c r="AT758" s="134"/>
      <c r="AU758" s="134"/>
      <c r="AV758" s="134"/>
      <c r="AW758" s="134"/>
      <c r="AX758" s="134"/>
      <c r="AY758" s="134"/>
      <c r="AZ758" s="134"/>
      <c r="BA758" s="134"/>
      <c r="BB758" s="134"/>
      <c r="BC758" s="134"/>
      <c r="BD758" s="134"/>
      <c r="BE758" s="134"/>
      <c r="BF758" s="134"/>
      <c r="BG758" s="134"/>
      <c r="BH758" s="134"/>
      <c r="BI758" s="134"/>
      <c r="BJ758" s="134"/>
      <c r="BK758" s="134"/>
      <c r="BL758" s="134"/>
      <c r="BM758" s="135"/>
      <c r="BN758" s="136" t="n">
        <f aca="false">+MAX($D$3,DATOS_[[#This Row],[Fecha Inicio Sit. Contract.]])</f>
        <v>0</v>
      </c>
      <c r="BO758" s="136" t="n">
        <f aca="false">+MIN($D$4,DATOS_[[#This Row],[Fecha Fin Sit. Contract.]])</f>
        <v>0</v>
      </c>
      <c r="BP758" s="137" t="n">
        <f aca="false">+DATOS_[[#This Row],[% de jornada]]*IF(DATOS_[[#This Row],[% jornada reducida]]="",1,DATOS_[[#This Row],[% jornada reducida]])</f>
        <v>0</v>
      </c>
      <c r="BQ758" s="137" t="n">
        <f aca="false">+(DATOS_[[#This Row],[F.fin.cal]]-DATOS_[[#This Row],[F.ini.cal]]+1)/($D$4-$D$3+1)</f>
        <v>1</v>
      </c>
      <c r="BR758" s="137" t="str">
        <f aca="false">IF(OR(AND(DATOS_[[#This Row],[Fecha Fin Contrato]]&lt;$D$3,DATOS_[[#This Row],[Fecha Fin Contrato]]&lt;&gt;""),DATOS_[[#This Row],[Fecha de Contratación]]&gt;$D$4),"Fuera","Dentro")</f>
        <v>Dentro</v>
      </c>
      <c r="BS758" s="137" t="str">
        <f aca="false" t="array" ref="BS758:BS758">IF(MAX(IF(DATOS_[id]=DATOS_[[#This Row],[id]],DATOS_[F.fin.cal]))=DATOS_[[#This Row],[F.fin.cal]],"Sí","NO")</f>
        <v>Sí</v>
      </c>
      <c r="BT758" s="137" t="str">
        <f aca="false">IF(AND(DATOS_[[#This Row],[% normaliz]]&lt;&gt;1,DATOS_[[#This Row],[% anualiz]]=1),"Sí","NO")</f>
        <v>Sí</v>
      </c>
      <c r="BU758" s="137" t="str">
        <f aca="false">IF(AND(DATOS_[[#This Row],[% normaliz]]=1,DATOS_[[#This Row],[% anualiz]]&lt;&gt;1),"Sí","NO")</f>
        <v>NO</v>
      </c>
      <c r="BV758" s="137" t="str">
        <f aca="false">IF(AND(DATOS_[[#This Row],[% normaliz]]&lt;&gt;1,DATOS_[[#This Row],[% anualiz]]&lt;&gt;1),"Sí","NO")</f>
        <v>NO</v>
      </c>
      <c r="BW758" s="137" t="str">
        <f aca="false">+IF(DATOS_[[#This Row],[% normaliz]]*DATOS_[[#This Row],[% anualiz]]=1,"NO","Sí")</f>
        <v>Sí</v>
      </c>
      <c r="BX758" s="138" t="e">
        <f aca="false">(DATOS_[[#This Row],[S.BASE]]*(1/DATOS_[[#This Row],[% normaliz]])*(1/DATOS_[[#This Row],[% anualiz]]))*IF(DATOS_[[#This Row],[Check Equiparado]]="Sí",1,0)</f>
        <v>#DIV/0!</v>
      </c>
      <c r="BY7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8" s="138" t="e">
        <f aca="false">+DATOS_[[#This Row],[SALARIO BASE Eq]]+DATOS_[[#This Row],[Tot COMPL.SAL Eq]]</f>
        <v>#DIV/0!</v>
      </c>
      <c r="CA758" s="138" t="e">
        <f aca="false" t="array" ref="CA758:CA7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8" s="138" t="e">
        <f aca="false">+DATOS_[[#This Row],[TOTAL SALARIO Eq]]+DATOS_[[#This Row],[Tot Extrasalarial Eq]]</f>
        <v>#DIV/0!</v>
      </c>
      <c r="CC758" s="139" t="n">
        <f aca="false">DATOS_[[#This Row],[S.BASE]]</f>
        <v>0</v>
      </c>
      <c r="CD758" s="139" t="n">
        <f aca="false">+SUM(DATOS_[[#This Row],[Conc.Sal.01]:[Conc.Sal.30]])</f>
        <v>0</v>
      </c>
      <c r="CE758" s="139" t="n">
        <f aca="false">+DATOS_[[#This Row],[SALARIO BASE Ef]]+DATOS_[[#This Row],[Tot COMPL.SAL Ef]]</f>
        <v>0</v>
      </c>
      <c r="CF758" s="139" t="n">
        <f aca="false">+SUM(DATOS_[[#This Row],[C.Extra.01]:[C.Extra.05]])</f>
        <v>0</v>
      </c>
      <c r="CG758" s="139" t="n">
        <f aca="false">+DATOS_[[#This Row],[TOTAL SALARIO Ef]]+DATOS_[[#This Row],[Tot Extrasalarial Ef]]</f>
        <v>0</v>
      </c>
      <c r="CH758" s="140" t="n">
        <f aca="false">MIN(IF(DATOS_[[#This Row],[Fecha Fin Contrato]]="",$D$4,DATOS_[[#This Row],[Fecha Fin Contrato]]),$D$4)-MAX(DATOS_[[#This Row],[Fecha de Contratación]],$D$3)+1</f>
        <v>1</v>
      </c>
      <c r="CI758" s="141" t="str">
        <f aca="false">IF(COUNTIFS(DATOS_[id],DATOS_[[#This Row],[id]])&gt;1,DATOS_[[#This Row],[id]],"")</f>
        <v/>
      </c>
      <c r="CJ758" s="141" t="n">
        <f aca="false">(Inicio!$G$10-DATOS_[[#This Row],[Fecha Nacimiento]])/365.25</f>
        <v>0</v>
      </c>
      <c r="CK758" s="141" t="n">
        <f aca="false">(Inicio!$G$10-DATOS_[[#This Row],[Fecha de Antigüedad]])/365.25</f>
        <v>0</v>
      </c>
      <c r="CL758" s="141" t="e">
        <f aca="false">+VLOOKUP(DATOS_[[#This Row],[Clave de Contrato]],TblTiposContrato13[],3,0)</f>
        <v>#N/A</v>
      </c>
      <c r="CM758" s="141" t="e">
        <f aca="false">+VLOOKUP(DATOS_[[#This Row],[Clave de Contrato]],TblTiposContrato13[],4,0)</f>
        <v>#N/A</v>
      </c>
      <c r="CN758" s="141" t="str">
        <f aca="false">VLOOKUP(DATOS_[[#This Row],[Edad]],CONTRATOS!TblRngEdad,2,1)</f>
        <v>20  o menos</v>
      </c>
      <c r="CO758" s="141" t="str">
        <f aca="false">VLOOKUP(DATOS_[[#This Row],[Antigüedad]],TblRngAntg14[],2,1)</f>
        <v>0 a 1 años</v>
      </c>
    </row>
    <row r="759" customFormat="false" ht="13.8" hidden="false" customHeight="false" outlineLevel="0" collapsed="false">
      <c r="D759" s="128"/>
      <c r="E759" s="129"/>
      <c r="F759" s="129"/>
      <c r="G759" s="129"/>
      <c r="H759" s="130"/>
      <c r="I759" s="131"/>
      <c r="J759" s="128"/>
      <c r="K759" s="132"/>
      <c r="L759" s="132"/>
      <c r="M759" s="133"/>
      <c r="N759" s="133"/>
      <c r="O759" s="133"/>
      <c r="P759" s="129"/>
      <c r="Z759" s="75"/>
      <c r="AA759" s="76"/>
      <c r="AB759" s="76"/>
      <c r="AC759" s="129"/>
      <c r="AD759" s="134"/>
      <c r="AE759" s="134"/>
      <c r="AF759" s="134"/>
      <c r="AG759" s="134"/>
      <c r="AH759" s="134"/>
      <c r="AI759" s="134"/>
      <c r="AJ759" s="134"/>
      <c r="AK759" s="134"/>
      <c r="AL759" s="134"/>
      <c r="AM759" s="134"/>
      <c r="AN759" s="134"/>
      <c r="AO759" s="134"/>
      <c r="AP759" s="134"/>
      <c r="AQ759" s="134"/>
      <c r="AR759" s="134"/>
      <c r="AS759" s="134"/>
      <c r="AT759" s="134"/>
      <c r="AU759" s="134"/>
      <c r="AV759" s="134"/>
      <c r="AW759" s="134"/>
      <c r="AX759" s="134"/>
      <c r="AY759" s="134"/>
      <c r="AZ759" s="134"/>
      <c r="BA759" s="134"/>
      <c r="BB759" s="134"/>
      <c r="BC759" s="134"/>
      <c r="BD759" s="134"/>
      <c r="BE759" s="134"/>
      <c r="BF759" s="134"/>
      <c r="BG759" s="134"/>
      <c r="BH759" s="134"/>
      <c r="BI759" s="134"/>
      <c r="BJ759" s="134"/>
      <c r="BK759" s="134"/>
      <c r="BL759" s="134"/>
      <c r="BM759" s="135"/>
      <c r="BN759" s="136" t="n">
        <f aca="false">+MAX($D$3,DATOS_[[#This Row],[Fecha Inicio Sit. Contract.]])</f>
        <v>0</v>
      </c>
      <c r="BO759" s="136" t="n">
        <f aca="false">+MIN($D$4,DATOS_[[#This Row],[Fecha Fin Sit. Contract.]])</f>
        <v>0</v>
      </c>
      <c r="BP759" s="137" t="n">
        <f aca="false">+DATOS_[[#This Row],[% de jornada]]*IF(DATOS_[[#This Row],[% jornada reducida]]="",1,DATOS_[[#This Row],[% jornada reducida]])</f>
        <v>0</v>
      </c>
      <c r="BQ759" s="137" t="n">
        <f aca="false">+(DATOS_[[#This Row],[F.fin.cal]]-DATOS_[[#This Row],[F.ini.cal]]+1)/($D$4-$D$3+1)</f>
        <v>1</v>
      </c>
      <c r="BR759" s="137" t="str">
        <f aca="false">IF(OR(AND(DATOS_[[#This Row],[Fecha Fin Contrato]]&lt;$D$3,DATOS_[[#This Row],[Fecha Fin Contrato]]&lt;&gt;""),DATOS_[[#This Row],[Fecha de Contratación]]&gt;$D$4),"Fuera","Dentro")</f>
        <v>Dentro</v>
      </c>
      <c r="BS759" s="137" t="str">
        <f aca="false" t="array" ref="BS759:BS759">IF(MAX(IF(DATOS_[id]=DATOS_[[#This Row],[id]],DATOS_[F.fin.cal]))=DATOS_[[#This Row],[F.fin.cal]],"Sí","NO")</f>
        <v>Sí</v>
      </c>
      <c r="BT759" s="137" t="str">
        <f aca="false">IF(AND(DATOS_[[#This Row],[% normaliz]]&lt;&gt;1,DATOS_[[#This Row],[% anualiz]]=1),"Sí","NO")</f>
        <v>Sí</v>
      </c>
      <c r="BU759" s="137" t="str">
        <f aca="false">IF(AND(DATOS_[[#This Row],[% normaliz]]=1,DATOS_[[#This Row],[% anualiz]]&lt;&gt;1),"Sí","NO")</f>
        <v>NO</v>
      </c>
      <c r="BV759" s="137" t="str">
        <f aca="false">IF(AND(DATOS_[[#This Row],[% normaliz]]&lt;&gt;1,DATOS_[[#This Row],[% anualiz]]&lt;&gt;1),"Sí","NO")</f>
        <v>NO</v>
      </c>
      <c r="BW759" s="137" t="str">
        <f aca="false">+IF(DATOS_[[#This Row],[% normaliz]]*DATOS_[[#This Row],[% anualiz]]=1,"NO","Sí")</f>
        <v>Sí</v>
      </c>
      <c r="BX759" s="138" t="e">
        <f aca="false">(DATOS_[[#This Row],[S.BASE]]*(1/DATOS_[[#This Row],[% normaliz]])*(1/DATOS_[[#This Row],[% anualiz]]))*IF(DATOS_[[#This Row],[Check Equiparado]]="Sí",1,0)</f>
        <v>#DIV/0!</v>
      </c>
      <c r="BY7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9" s="138" t="e">
        <f aca="false">+DATOS_[[#This Row],[SALARIO BASE Eq]]+DATOS_[[#This Row],[Tot COMPL.SAL Eq]]</f>
        <v>#DIV/0!</v>
      </c>
      <c r="CA759" s="138" t="e">
        <f aca="false" t="array" ref="CA759:CA7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9" s="138" t="e">
        <f aca="false">+DATOS_[[#This Row],[TOTAL SALARIO Eq]]+DATOS_[[#This Row],[Tot Extrasalarial Eq]]</f>
        <v>#DIV/0!</v>
      </c>
      <c r="CC759" s="139" t="n">
        <f aca="false">DATOS_[[#This Row],[S.BASE]]</f>
        <v>0</v>
      </c>
      <c r="CD759" s="139" t="n">
        <f aca="false">+SUM(DATOS_[[#This Row],[Conc.Sal.01]:[Conc.Sal.30]])</f>
        <v>0</v>
      </c>
      <c r="CE759" s="139" t="n">
        <f aca="false">+DATOS_[[#This Row],[SALARIO BASE Ef]]+DATOS_[[#This Row],[Tot COMPL.SAL Ef]]</f>
        <v>0</v>
      </c>
      <c r="CF759" s="139" t="n">
        <f aca="false">+SUM(DATOS_[[#This Row],[C.Extra.01]:[C.Extra.05]])</f>
        <v>0</v>
      </c>
      <c r="CG759" s="139" t="n">
        <f aca="false">+DATOS_[[#This Row],[TOTAL SALARIO Ef]]+DATOS_[[#This Row],[Tot Extrasalarial Ef]]</f>
        <v>0</v>
      </c>
      <c r="CH759" s="140" t="n">
        <f aca="false">MIN(IF(DATOS_[[#This Row],[Fecha Fin Contrato]]="",$D$4,DATOS_[[#This Row],[Fecha Fin Contrato]]),$D$4)-MAX(DATOS_[[#This Row],[Fecha de Contratación]],$D$3)+1</f>
        <v>1</v>
      </c>
      <c r="CI759" s="141" t="str">
        <f aca="false">IF(COUNTIFS(DATOS_[id],DATOS_[[#This Row],[id]])&gt;1,DATOS_[[#This Row],[id]],"")</f>
        <v/>
      </c>
      <c r="CJ759" s="141" t="n">
        <f aca="false">(Inicio!$G$10-DATOS_[[#This Row],[Fecha Nacimiento]])/365.25</f>
        <v>0</v>
      </c>
      <c r="CK759" s="141" t="n">
        <f aca="false">(Inicio!$G$10-DATOS_[[#This Row],[Fecha de Antigüedad]])/365.25</f>
        <v>0</v>
      </c>
      <c r="CL759" s="141" t="e">
        <f aca="false">+VLOOKUP(DATOS_[[#This Row],[Clave de Contrato]],TblTiposContrato13[],3,0)</f>
        <v>#N/A</v>
      </c>
      <c r="CM759" s="141" t="e">
        <f aca="false">+VLOOKUP(DATOS_[[#This Row],[Clave de Contrato]],TblTiposContrato13[],4,0)</f>
        <v>#N/A</v>
      </c>
      <c r="CN759" s="141" t="str">
        <f aca="false">VLOOKUP(DATOS_[[#This Row],[Edad]],CONTRATOS!TblRngEdad,2,1)</f>
        <v>20  o menos</v>
      </c>
      <c r="CO759" s="141" t="str">
        <f aca="false">VLOOKUP(DATOS_[[#This Row],[Antigüedad]],TblRngAntg14[],2,1)</f>
        <v>0 a 1 años</v>
      </c>
    </row>
    <row r="760" customFormat="false" ht="13.8" hidden="false" customHeight="false" outlineLevel="0" collapsed="false">
      <c r="D760" s="128"/>
      <c r="E760" s="129"/>
      <c r="F760" s="129"/>
      <c r="G760" s="129"/>
      <c r="H760" s="130"/>
      <c r="I760" s="131"/>
      <c r="J760" s="128"/>
      <c r="K760" s="132"/>
      <c r="L760" s="132"/>
      <c r="M760" s="133"/>
      <c r="N760" s="133"/>
      <c r="O760" s="133"/>
      <c r="P760" s="129"/>
      <c r="Z760" s="75"/>
      <c r="AA760" s="76"/>
      <c r="AB760" s="76"/>
      <c r="AC760" s="129"/>
      <c r="AD760" s="134"/>
      <c r="AE760" s="134"/>
      <c r="AF760" s="134"/>
      <c r="AG760" s="134"/>
      <c r="AH760" s="134"/>
      <c r="AI760" s="134"/>
      <c r="AJ760" s="134"/>
      <c r="AK760" s="134"/>
      <c r="AL760" s="134"/>
      <c r="AM760" s="134"/>
      <c r="AN760" s="134"/>
      <c r="AO760" s="134"/>
      <c r="AP760" s="134"/>
      <c r="AQ760" s="134"/>
      <c r="AR760" s="134"/>
      <c r="AS760" s="134"/>
      <c r="AT760" s="134"/>
      <c r="AU760" s="134"/>
      <c r="AV760" s="134"/>
      <c r="AW760" s="134"/>
      <c r="AX760" s="134"/>
      <c r="AY760" s="134"/>
      <c r="AZ760" s="134"/>
      <c r="BA760" s="134"/>
      <c r="BB760" s="134"/>
      <c r="BC760" s="134"/>
      <c r="BD760" s="134"/>
      <c r="BE760" s="134"/>
      <c r="BF760" s="134"/>
      <c r="BG760" s="134"/>
      <c r="BH760" s="134"/>
      <c r="BI760" s="134"/>
      <c r="BJ760" s="134"/>
      <c r="BK760" s="134"/>
      <c r="BL760" s="134"/>
      <c r="BM760" s="135"/>
      <c r="BN760" s="136" t="n">
        <f aca="false">+MAX($D$3,DATOS_[[#This Row],[Fecha Inicio Sit. Contract.]])</f>
        <v>0</v>
      </c>
      <c r="BO760" s="136" t="n">
        <f aca="false">+MIN($D$4,DATOS_[[#This Row],[Fecha Fin Sit. Contract.]])</f>
        <v>0</v>
      </c>
      <c r="BP760" s="137" t="n">
        <f aca="false">+DATOS_[[#This Row],[% de jornada]]*IF(DATOS_[[#This Row],[% jornada reducida]]="",1,DATOS_[[#This Row],[% jornada reducida]])</f>
        <v>0</v>
      </c>
      <c r="BQ760" s="137" t="n">
        <f aca="false">+(DATOS_[[#This Row],[F.fin.cal]]-DATOS_[[#This Row],[F.ini.cal]]+1)/($D$4-$D$3+1)</f>
        <v>1</v>
      </c>
      <c r="BR760" s="137" t="str">
        <f aca="false">IF(OR(AND(DATOS_[[#This Row],[Fecha Fin Contrato]]&lt;$D$3,DATOS_[[#This Row],[Fecha Fin Contrato]]&lt;&gt;""),DATOS_[[#This Row],[Fecha de Contratación]]&gt;$D$4),"Fuera","Dentro")</f>
        <v>Dentro</v>
      </c>
      <c r="BS760" s="137" t="str">
        <f aca="false" t="array" ref="BS760:BS760">IF(MAX(IF(DATOS_[id]=DATOS_[[#This Row],[id]],DATOS_[F.fin.cal]))=DATOS_[[#This Row],[F.fin.cal]],"Sí","NO")</f>
        <v>Sí</v>
      </c>
      <c r="BT760" s="137" t="str">
        <f aca="false">IF(AND(DATOS_[[#This Row],[% normaliz]]&lt;&gt;1,DATOS_[[#This Row],[% anualiz]]=1),"Sí","NO")</f>
        <v>Sí</v>
      </c>
      <c r="BU760" s="137" t="str">
        <f aca="false">IF(AND(DATOS_[[#This Row],[% normaliz]]=1,DATOS_[[#This Row],[% anualiz]]&lt;&gt;1),"Sí","NO")</f>
        <v>NO</v>
      </c>
      <c r="BV760" s="137" t="str">
        <f aca="false">IF(AND(DATOS_[[#This Row],[% normaliz]]&lt;&gt;1,DATOS_[[#This Row],[% anualiz]]&lt;&gt;1),"Sí","NO")</f>
        <v>NO</v>
      </c>
      <c r="BW760" s="137" t="str">
        <f aca="false">+IF(DATOS_[[#This Row],[% normaliz]]*DATOS_[[#This Row],[% anualiz]]=1,"NO","Sí")</f>
        <v>Sí</v>
      </c>
      <c r="BX760" s="138" t="e">
        <f aca="false">(DATOS_[[#This Row],[S.BASE]]*(1/DATOS_[[#This Row],[% normaliz]])*(1/DATOS_[[#This Row],[% anualiz]]))*IF(DATOS_[[#This Row],[Check Equiparado]]="Sí",1,0)</f>
        <v>#DIV/0!</v>
      </c>
      <c r="BY7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0" s="138" t="e">
        <f aca="false">+DATOS_[[#This Row],[SALARIO BASE Eq]]+DATOS_[[#This Row],[Tot COMPL.SAL Eq]]</f>
        <v>#DIV/0!</v>
      </c>
      <c r="CA760" s="138" t="e">
        <f aca="false" t="array" ref="CA760:CA7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0" s="138" t="e">
        <f aca="false">+DATOS_[[#This Row],[TOTAL SALARIO Eq]]+DATOS_[[#This Row],[Tot Extrasalarial Eq]]</f>
        <v>#DIV/0!</v>
      </c>
      <c r="CC760" s="139" t="n">
        <f aca="false">DATOS_[[#This Row],[S.BASE]]</f>
        <v>0</v>
      </c>
      <c r="CD760" s="139" t="n">
        <f aca="false">+SUM(DATOS_[[#This Row],[Conc.Sal.01]:[Conc.Sal.30]])</f>
        <v>0</v>
      </c>
      <c r="CE760" s="139" t="n">
        <f aca="false">+DATOS_[[#This Row],[SALARIO BASE Ef]]+DATOS_[[#This Row],[Tot COMPL.SAL Ef]]</f>
        <v>0</v>
      </c>
      <c r="CF760" s="139" t="n">
        <f aca="false">+SUM(DATOS_[[#This Row],[C.Extra.01]:[C.Extra.05]])</f>
        <v>0</v>
      </c>
      <c r="CG760" s="139" t="n">
        <f aca="false">+DATOS_[[#This Row],[TOTAL SALARIO Ef]]+DATOS_[[#This Row],[Tot Extrasalarial Ef]]</f>
        <v>0</v>
      </c>
      <c r="CH760" s="140" t="n">
        <f aca="false">MIN(IF(DATOS_[[#This Row],[Fecha Fin Contrato]]="",$D$4,DATOS_[[#This Row],[Fecha Fin Contrato]]),$D$4)-MAX(DATOS_[[#This Row],[Fecha de Contratación]],$D$3)+1</f>
        <v>1</v>
      </c>
      <c r="CI760" s="141" t="str">
        <f aca="false">IF(COUNTIFS(DATOS_[id],DATOS_[[#This Row],[id]])&gt;1,DATOS_[[#This Row],[id]],"")</f>
        <v/>
      </c>
      <c r="CJ760" s="141" t="n">
        <f aca="false">(Inicio!$G$10-DATOS_[[#This Row],[Fecha Nacimiento]])/365.25</f>
        <v>0</v>
      </c>
      <c r="CK760" s="141" t="n">
        <f aca="false">(Inicio!$G$10-DATOS_[[#This Row],[Fecha de Antigüedad]])/365.25</f>
        <v>0</v>
      </c>
      <c r="CL760" s="141" t="e">
        <f aca="false">+VLOOKUP(DATOS_[[#This Row],[Clave de Contrato]],TblTiposContrato13[],3,0)</f>
        <v>#N/A</v>
      </c>
      <c r="CM760" s="141" t="e">
        <f aca="false">+VLOOKUP(DATOS_[[#This Row],[Clave de Contrato]],TblTiposContrato13[],4,0)</f>
        <v>#N/A</v>
      </c>
      <c r="CN760" s="141" t="str">
        <f aca="false">VLOOKUP(DATOS_[[#This Row],[Edad]],CONTRATOS!TblRngEdad,2,1)</f>
        <v>20  o menos</v>
      </c>
      <c r="CO760" s="141" t="str">
        <f aca="false">VLOOKUP(DATOS_[[#This Row],[Antigüedad]],TblRngAntg14[],2,1)</f>
        <v>0 a 1 años</v>
      </c>
    </row>
    <row r="761" customFormat="false" ht="13.8" hidden="false" customHeight="false" outlineLevel="0" collapsed="false">
      <c r="D761" s="128"/>
      <c r="E761" s="129"/>
      <c r="F761" s="129"/>
      <c r="G761" s="129"/>
      <c r="H761" s="130"/>
      <c r="I761" s="131"/>
      <c r="J761" s="128"/>
      <c r="K761" s="132"/>
      <c r="L761" s="132"/>
      <c r="M761" s="133"/>
      <c r="N761" s="133"/>
      <c r="O761" s="133"/>
      <c r="P761" s="129"/>
      <c r="Z761" s="75"/>
      <c r="AA761" s="76"/>
      <c r="AB761" s="76"/>
      <c r="AC761" s="129"/>
      <c r="AD761" s="134"/>
      <c r="AE761" s="134"/>
      <c r="AF761" s="134"/>
      <c r="AG761" s="134"/>
      <c r="AH761" s="134"/>
      <c r="AI761" s="134"/>
      <c r="AJ761" s="134"/>
      <c r="AK761" s="134"/>
      <c r="AL761" s="134"/>
      <c r="AM761" s="134"/>
      <c r="AN761" s="134"/>
      <c r="AO761" s="134"/>
      <c r="AP761" s="134"/>
      <c r="AQ761" s="134"/>
      <c r="AR761" s="134"/>
      <c r="AS761" s="134"/>
      <c r="AT761" s="134"/>
      <c r="AU761" s="134"/>
      <c r="AV761" s="134"/>
      <c r="AW761" s="134"/>
      <c r="AX761" s="134"/>
      <c r="AY761" s="134"/>
      <c r="AZ761" s="134"/>
      <c r="BA761" s="134"/>
      <c r="BB761" s="134"/>
      <c r="BC761" s="134"/>
      <c r="BD761" s="134"/>
      <c r="BE761" s="134"/>
      <c r="BF761" s="134"/>
      <c r="BG761" s="134"/>
      <c r="BH761" s="134"/>
      <c r="BI761" s="134"/>
      <c r="BJ761" s="134"/>
      <c r="BK761" s="134"/>
      <c r="BL761" s="134"/>
      <c r="BM761" s="135"/>
      <c r="BN761" s="136" t="n">
        <f aca="false">+MAX($D$3,DATOS_[[#This Row],[Fecha Inicio Sit. Contract.]])</f>
        <v>0</v>
      </c>
      <c r="BO761" s="136" t="n">
        <f aca="false">+MIN($D$4,DATOS_[[#This Row],[Fecha Fin Sit. Contract.]])</f>
        <v>0</v>
      </c>
      <c r="BP761" s="137" t="n">
        <f aca="false">+DATOS_[[#This Row],[% de jornada]]*IF(DATOS_[[#This Row],[% jornada reducida]]="",1,DATOS_[[#This Row],[% jornada reducida]])</f>
        <v>0</v>
      </c>
      <c r="BQ761" s="137" t="n">
        <f aca="false">+(DATOS_[[#This Row],[F.fin.cal]]-DATOS_[[#This Row],[F.ini.cal]]+1)/($D$4-$D$3+1)</f>
        <v>1</v>
      </c>
      <c r="BR761" s="137" t="str">
        <f aca="false">IF(OR(AND(DATOS_[[#This Row],[Fecha Fin Contrato]]&lt;$D$3,DATOS_[[#This Row],[Fecha Fin Contrato]]&lt;&gt;""),DATOS_[[#This Row],[Fecha de Contratación]]&gt;$D$4),"Fuera","Dentro")</f>
        <v>Dentro</v>
      </c>
      <c r="BS761" s="137" t="str">
        <f aca="false" t="array" ref="BS761:BS761">IF(MAX(IF(DATOS_[id]=DATOS_[[#This Row],[id]],DATOS_[F.fin.cal]))=DATOS_[[#This Row],[F.fin.cal]],"Sí","NO")</f>
        <v>Sí</v>
      </c>
      <c r="BT761" s="137" t="str">
        <f aca="false">IF(AND(DATOS_[[#This Row],[% normaliz]]&lt;&gt;1,DATOS_[[#This Row],[% anualiz]]=1),"Sí","NO")</f>
        <v>Sí</v>
      </c>
      <c r="BU761" s="137" t="str">
        <f aca="false">IF(AND(DATOS_[[#This Row],[% normaliz]]=1,DATOS_[[#This Row],[% anualiz]]&lt;&gt;1),"Sí","NO")</f>
        <v>NO</v>
      </c>
      <c r="BV761" s="137" t="str">
        <f aca="false">IF(AND(DATOS_[[#This Row],[% normaliz]]&lt;&gt;1,DATOS_[[#This Row],[% anualiz]]&lt;&gt;1),"Sí","NO")</f>
        <v>NO</v>
      </c>
      <c r="BW761" s="137" t="str">
        <f aca="false">+IF(DATOS_[[#This Row],[% normaliz]]*DATOS_[[#This Row],[% anualiz]]=1,"NO","Sí")</f>
        <v>Sí</v>
      </c>
      <c r="BX761" s="138" t="e">
        <f aca="false">(DATOS_[[#This Row],[S.BASE]]*(1/DATOS_[[#This Row],[% normaliz]])*(1/DATOS_[[#This Row],[% anualiz]]))*IF(DATOS_[[#This Row],[Check Equiparado]]="Sí",1,0)</f>
        <v>#DIV/0!</v>
      </c>
      <c r="BY7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1" s="138" t="e">
        <f aca="false">+DATOS_[[#This Row],[SALARIO BASE Eq]]+DATOS_[[#This Row],[Tot COMPL.SAL Eq]]</f>
        <v>#DIV/0!</v>
      </c>
      <c r="CA761" s="138" t="e">
        <f aca="false" t="array" ref="CA761:CA7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1" s="138" t="e">
        <f aca="false">+DATOS_[[#This Row],[TOTAL SALARIO Eq]]+DATOS_[[#This Row],[Tot Extrasalarial Eq]]</f>
        <v>#DIV/0!</v>
      </c>
      <c r="CC761" s="139" t="n">
        <f aca="false">DATOS_[[#This Row],[S.BASE]]</f>
        <v>0</v>
      </c>
      <c r="CD761" s="139" t="n">
        <f aca="false">+SUM(DATOS_[[#This Row],[Conc.Sal.01]:[Conc.Sal.30]])</f>
        <v>0</v>
      </c>
      <c r="CE761" s="139" t="n">
        <f aca="false">+DATOS_[[#This Row],[SALARIO BASE Ef]]+DATOS_[[#This Row],[Tot COMPL.SAL Ef]]</f>
        <v>0</v>
      </c>
      <c r="CF761" s="139" t="n">
        <f aca="false">+SUM(DATOS_[[#This Row],[C.Extra.01]:[C.Extra.05]])</f>
        <v>0</v>
      </c>
      <c r="CG761" s="139" t="n">
        <f aca="false">+DATOS_[[#This Row],[TOTAL SALARIO Ef]]+DATOS_[[#This Row],[Tot Extrasalarial Ef]]</f>
        <v>0</v>
      </c>
      <c r="CH761" s="140" t="n">
        <f aca="false">MIN(IF(DATOS_[[#This Row],[Fecha Fin Contrato]]="",$D$4,DATOS_[[#This Row],[Fecha Fin Contrato]]),$D$4)-MAX(DATOS_[[#This Row],[Fecha de Contratación]],$D$3)+1</f>
        <v>1</v>
      </c>
      <c r="CI761" s="141" t="str">
        <f aca="false">IF(COUNTIFS(DATOS_[id],DATOS_[[#This Row],[id]])&gt;1,DATOS_[[#This Row],[id]],"")</f>
        <v/>
      </c>
      <c r="CJ761" s="141" t="n">
        <f aca="false">(Inicio!$G$10-DATOS_[[#This Row],[Fecha Nacimiento]])/365.25</f>
        <v>0</v>
      </c>
      <c r="CK761" s="141" t="n">
        <f aca="false">(Inicio!$G$10-DATOS_[[#This Row],[Fecha de Antigüedad]])/365.25</f>
        <v>0</v>
      </c>
      <c r="CL761" s="141" t="e">
        <f aca="false">+VLOOKUP(DATOS_[[#This Row],[Clave de Contrato]],TblTiposContrato13[],3,0)</f>
        <v>#N/A</v>
      </c>
      <c r="CM761" s="141" t="e">
        <f aca="false">+VLOOKUP(DATOS_[[#This Row],[Clave de Contrato]],TblTiposContrato13[],4,0)</f>
        <v>#N/A</v>
      </c>
      <c r="CN761" s="141" t="str">
        <f aca="false">VLOOKUP(DATOS_[[#This Row],[Edad]],CONTRATOS!TblRngEdad,2,1)</f>
        <v>20  o menos</v>
      </c>
      <c r="CO761" s="141" t="str">
        <f aca="false">VLOOKUP(DATOS_[[#This Row],[Antigüedad]],TblRngAntg14[],2,1)</f>
        <v>0 a 1 años</v>
      </c>
    </row>
    <row r="762" customFormat="false" ht="13.8" hidden="false" customHeight="false" outlineLevel="0" collapsed="false">
      <c r="D762" s="128"/>
      <c r="E762" s="129"/>
      <c r="F762" s="129"/>
      <c r="G762" s="129"/>
      <c r="H762" s="130"/>
      <c r="I762" s="131"/>
      <c r="J762" s="128"/>
      <c r="K762" s="132"/>
      <c r="L762" s="132"/>
      <c r="M762" s="133"/>
      <c r="N762" s="133"/>
      <c r="O762" s="133"/>
      <c r="P762" s="129"/>
      <c r="Z762" s="75"/>
      <c r="AA762" s="76"/>
      <c r="AB762" s="76"/>
      <c r="AC762" s="129"/>
      <c r="AD762" s="134"/>
      <c r="AE762" s="134"/>
      <c r="AF762" s="134"/>
      <c r="AG762" s="134"/>
      <c r="AH762" s="134"/>
      <c r="AI762" s="134"/>
      <c r="AJ762" s="134"/>
      <c r="AK762" s="134"/>
      <c r="AL762" s="134"/>
      <c r="AM762" s="134"/>
      <c r="AN762" s="134"/>
      <c r="AO762" s="134"/>
      <c r="AP762" s="134"/>
      <c r="AQ762" s="134"/>
      <c r="AR762" s="134"/>
      <c r="AS762" s="134"/>
      <c r="AT762" s="134"/>
      <c r="AU762" s="134"/>
      <c r="AV762" s="134"/>
      <c r="AW762" s="134"/>
      <c r="AX762" s="134"/>
      <c r="AY762" s="134"/>
      <c r="AZ762" s="134"/>
      <c r="BA762" s="134"/>
      <c r="BB762" s="134"/>
      <c r="BC762" s="134"/>
      <c r="BD762" s="134"/>
      <c r="BE762" s="134"/>
      <c r="BF762" s="134"/>
      <c r="BG762" s="134"/>
      <c r="BH762" s="134"/>
      <c r="BI762" s="134"/>
      <c r="BJ762" s="134"/>
      <c r="BK762" s="134"/>
      <c r="BL762" s="134"/>
      <c r="BM762" s="135"/>
      <c r="BN762" s="136" t="n">
        <f aca="false">+MAX($D$3,DATOS_[[#This Row],[Fecha Inicio Sit. Contract.]])</f>
        <v>0</v>
      </c>
      <c r="BO762" s="136" t="n">
        <f aca="false">+MIN($D$4,DATOS_[[#This Row],[Fecha Fin Sit. Contract.]])</f>
        <v>0</v>
      </c>
      <c r="BP762" s="137" t="n">
        <f aca="false">+DATOS_[[#This Row],[% de jornada]]*IF(DATOS_[[#This Row],[% jornada reducida]]="",1,DATOS_[[#This Row],[% jornada reducida]])</f>
        <v>0</v>
      </c>
      <c r="BQ762" s="137" t="n">
        <f aca="false">+(DATOS_[[#This Row],[F.fin.cal]]-DATOS_[[#This Row],[F.ini.cal]]+1)/($D$4-$D$3+1)</f>
        <v>1</v>
      </c>
      <c r="BR762" s="137" t="str">
        <f aca="false">IF(OR(AND(DATOS_[[#This Row],[Fecha Fin Contrato]]&lt;$D$3,DATOS_[[#This Row],[Fecha Fin Contrato]]&lt;&gt;""),DATOS_[[#This Row],[Fecha de Contratación]]&gt;$D$4),"Fuera","Dentro")</f>
        <v>Dentro</v>
      </c>
      <c r="BS762" s="137" t="str">
        <f aca="false" t="array" ref="BS762:BS762">IF(MAX(IF(DATOS_[id]=DATOS_[[#This Row],[id]],DATOS_[F.fin.cal]))=DATOS_[[#This Row],[F.fin.cal]],"Sí","NO")</f>
        <v>Sí</v>
      </c>
      <c r="BT762" s="137" t="str">
        <f aca="false">IF(AND(DATOS_[[#This Row],[% normaliz]]&lt;&gt;1,DATOS_[[#This Row],[% anualiz]]=1),"Sí","NO")</f>
        <v>Sí</v>
      </c>
      <c r="BU762" s="137" t="str">
        <f aca="false">IF(AND(DATOS_[[#This Row],[% normaliz]]=1,DATOS_[[#This Row],[% anualiz]]&lt;&gt;1),"Sí","NO")</f>
        <v>NO</v>
      </c>
      <c r="BV762" s="137" t="str">
        <f aca="false">IF(AND(DATOS_[[#This Row],[% normaliz]]&lt;&gt;1,DATOS_[[#This Row],[% anualiz]]&lt;&gt;1),"Sí","NO")</f>
        <v>NO</v>
      </c>
      <c r="BW762" s="137" t="str">
        <f aca="false">+IF(DATOS_[[#This Row],[% normaliz]]*DATOS_[[#This Row],[% anualiz]]=1,"NO","Sí")</f>
        <v>Sí</v>
      </c>
      <c r="BX762" s="138" t="e">
        <f aca="false">(DATOS_[[#This Row],[S.BASE]]*(1/DATOS_[[#This Row],[% normaliz]])*(1/DATOS_[[#This Row],[% anualiz]]))*IF(DATOS_[[#This Row],[Check Equiparado]]="Sí",1,0)</f>
        <v>#DIV/0!</v>
      </c>
      <c r="BY7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2" s="138" t="e">
        <f aca="false">+DATOS_[[#This Row],[SALARIO BASE Eq]]+DATOS_[[#This Row],[Tot COMPL.SAL Eq]]</f>
        <v>#DIV/0!</v>
      </c>
      <c r="CA762" s="138" t="e">
        <f aca="false" t="array" ref="CA762:CA7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2" s="138" t="e">
        <f aca="false">+DATOS_[[#This Row],[TOTAL SALARIO Eq]]+DATOS_[[#This Row],[Tot Extrasalarial Eq]]</f>
        <v>#DIV/0!</v>
      </c>
      <c r="CC762" s="139" t="n">
        <f aca="false">DATOS_[[#This Row],[S.BASE]]</f>
        <v>0</v>
      </c>
      <c r="CD762" s="139" t="n">
        <f aca="false">+SUM(DATOS_[[#This Row],[Conc.Sal.01]:[Conc.Sal.30]])</f>
        <v>0</v>
      </c>
      <c r="CE762" s="139" t="n">
        <f aca="false">+DATOS_[[#This Row],[SALARIO BASE Ef]]+DATOS_[[#This Row],[Tot COMPL.SAL Ef]]</f>
        <v>0</v>
      </c>
      <c r="CF762" s="139" t="n">
        <f aca="false">+SUM(DATOS_[[#This Row],[C.Extra.01]:[C.Extra.05]])</f>
        <v>0</v>
      </c>
      <c r="CG762" s="139" t="n">
        <f aca="false">+DATOS_[[#This Row],[TOTAL SALARIO Ef]]+DATOS_[[#This Row],[Tot Extrasalarial Ef]]</f>
        <v>0</v>
      </c>
      <c r="CH762" s="140" t="n">
        <f aca="false">MIN(IF(DATOS_[[#This Row],[Fecha Fin Contrato]]="",$D$4,DATOS_[[#This Row],[Fecha Fin Contrato]]),$D$4)-MAX(DATOS_[[#This Row],[Fecha de Contratación]],$D$3)+1</f>
        <v>1</v>
      </c>
      <c r="CI762" s="141" t="str">
        <f aca="false">IF(COUNTIFS(DATOS_[id],DATOS_[[#This Row],[id]])&gt;1,DATOS_[[#This Row],[id]],"")</f>
        <v/>
      </c>
      <c r="CJ762" s="141" t="n">
        <f aca="false">(Inicio!$G$10-DATOS_[[#This Row],[Fecha Nacimiento]])/365.25</f>
        <v>0</v>
      </c>
      <c r="CK762" s="141" t="n">
        <f aca="false">(Inicio!$G$10-DATOS_[[#This Row],[Fecha de Antigüedad]])/365.25</f>
        <v>0</v>
      </c>
      <c r="CL762" s="141" t="e">
        <f aca="false">+VLOOKUP(DATOS_[[#This Row],[Clave de Contrato]],TblTiposContrato13[],3,0)</f>
        <v>#N/A</v>
      </c>
      <c r="CM762" s="141" t="e">
        <f aca="false">+VLOOKUP(DATOS_[[#This Row],[Clave de Contrato]],TblTiposContrato13[],4,0)</f>
        <v>#N/A</v>
      </c>
      <c r="CN762" s="141" t="str">
        <f aca="false">VLOOKUP(DATOS_[[#This Row],[Edad]],CONTRATOS!TblRngEdad,2,1)</f>
        <v>20  o menos</v>
      </c>
      <c r="CO762" s="141" t="str">
        <f aca="false">VLOOKUP(DATOS_[[#This Row],[Antigüedad]],TblRngAntg14[],2,1)</f>
        <v>0 a 1 años</v>
      </c>
    </row>
    <row r="763" customFormat="false" ht="13.8" hidden="false" customHeight="false" outlineLevel="0" collapsed="false">
      <c r="D763" s="128"/>
      <c r="E763" s="129"/>
      <c r="F763" s="129"/>
      <c r="G763" s="129"/>
      <c r="H763" s="130"/>
      <c r="I763" s="131"/>
      <c r="J763" s="128"/>
      <c r="K763" s="132"/>
      <c r="L763" s="132"/>
      <c r="M763" s="133"/>
      <c r="N763" s="133"/>
      <c r="O763" s="133"/>
      <c r="P763" s="129"/>
      <c r="Z763" s="75"/>
      <c r="AA763" s="76"/>
      <c r="AB763" s="76"/>
      <c r="AC763" s="129"/>
      <c r="AD763" s="134"/>
      <c r="AE763" s="134"/>
      <c r="AF763" s="134"/>
      <c r="AG763" s="134"/>
      <c r="AH763" s="134"/>
      <c r="AI763" s="134"/>
      <c r="AJ763" s="134"/>
      <c r="AK763" s="134"/>
      <c r="AL763" s="134"/>
      <c r="AM763" s="134"/>
      <c r="AN763" s="134"/>
      <c r="AO763" s="134"/>
      <c r="AP763" s="134"/>
      <c r="AQ763" s="134"/>
      <c r="AR763" s="134"/>
      <c r="AS763" s="134"/>
      <c r="AT763" s="134"/>
      <c r="AU763" s="134"/>
      <c r="AV763" s="134"/>
      <c r="AW763" s="134"/>
      <c r="AX763" s="134"/>
      <c r="AY763" s="134"/>
      <c r="AZ763" s="134"/>
      <c r="BA763" s="134"/>
      <c r="BB763" s="134"/>
      <c r="BC763" s="134"/>
      <c r="BD763" s="134"/>
      <c r="BE763" s="134"/>
      <c r="BF763" s="134"/>
      <c r="BG763" s="134"/>
      <c r="BH763" s="134"/>
      <c r="BI763" s="134"/>
      <c r="BJ763" s="134"/>
      <c r="BK763" s="134"/>
      <c r="BL763" s="134"/>
      <c r="BM763" s="135"/>
      <c r="BN763" s="136" t="n">
        <f aca="false">+MAX($D$3,DATOS_[[#This Row],[Fecha Inicio Sit. Contract.]])</f>
        <v>0</v>
      </c>
      <c r="BO763" s="136" t="n">
        <f aca="false">+MIN($D$4,DATOS_[[#This Row],[Fecha Fin Sit. Contract.]])</f>
        <v>0</v>
      </c>
      <c r="BP763" s="137" t="n">
        <f aca="false">+DATOS_[[#This Row],[% de jornada]]*IF(DATOS_[[#This Row],[% jornada reducida]]="",1,DATOS_[[#This Row],[% jornada reducida]])</f>
        <v>0</v>
      </c>
      <c r="BQ763" s="137" t="n">
        <f aca="false">+(DATOS_[[#This Row],[F.fin.cal]]-DATOS_[[#This Row],[F.ini.cal]]+1)/($D$4-$D$3+1)</f>
        <v>1</v>
      </c>
      <c r="BR763" s="137" t="str">
        <f aca="false">IF(OR(AND(DATOS_[[#This Row],[Fecha Fin Contrato]]&lt;$D$3,DATOS_[[#This Row],[Fecha Fin Contrato]]&lt;&gt;""),DATOS_[[#This Row],[Fecha de Contratación]]&gt;$D$4),"Fuera","Dentro")</f>
        <v>Dentro</v>
      </c>
      <c r="BS763" s="137" t="str">
        <f aca="false" t="array" ref="BS763:BS763">IF(MAX(IF(DATOS_[id]=DATOS_[[#This Row],[id]],DATOS_[F.fin.cal]))=DATOS_[[#This Row],[F.fin.cal]],"Sí","NO")</f>
        <v>Sí</v>
      </c>
      <c r="BT763" s="137" t="str">
        <f aca="false">IF(AND(DATOS_[[#This Row],[% normaliz]]&lt;&gt;1,DATOS_[[#This Row],[% anualiz]]=1),"Sí","NO")</f>
        <v>Sí</v>
      </c>
      <c r="BU763" s="137" t="str">
        <f aca="false">IF(AND(DATOS_[[#This Row],[% normaliz]]=1,DATOS_[[#This Row],[% anualiz]]&lt;&gt;1),"Sí","NO")</f>
        <v>NO</v>
      </c>
      <c r="BV763" s="137" t="str">
        <f aca="false">IF(AND(DATOS_[[#This Row],[% normaliz]]&lt;&gt;1,DATOS_[[#This Row],[% anualiz]]&lt;&gt;1),"Sí","NO")</f>
        <v>NO</v>
      </c>
      <c r="BW763" s="137" t="str">
        <f aca="false">+IF(DATOS_[[#This Row],[% normaliz]]*DATOS_[[#This Row],[% anualiz]]=1,"NO","Sí")</f>
        <v>Sí</v>
      </c>
      <c r="BX763" s="138" t="e">
        <f aca="false">(DATOS_[[#This Row],[S.BASE]]*(1/DATOS_[[#This Row],[% normaliz]])*(1/DATOS_[[#This Row],[% anualiz]]))*IF(DATOS_[[#This Row],[Check Equiparado]]="Sí",1,0)</f>
        <v>#DIV/0!</v>
      </c>
      <c r="BY7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3" s="138" t="e">
        <f aca="false">+DATOS_[[#This Row],[SALARIO BASE Eq]]+DATOS_[[#This Row],[Tot COMPL.SAL Eq]]</f>
        <v>#DIV/0!</v>
      </c>
      <c r="CA763" s="138" t="e">
        <f aca="false" t="array" ref="CA763:CA7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3" s="138" t="e">
        <f aca="false">+DATOS_[[#This Row],[TOTAL SALARIO Eq]]+DATOS_[[#This Row],[Tot Extrasalarial Eq]]</f>
        <v>#DIV/0!</v>
      </c>
      <c r="CC763" s="139" t="n">
        <f aca="false">DATOS_[[#This Row],[S.BASE]]</f>
        <v>0</v>
      </c>
      <c r="CD763" s="139" t="n">
        <f aca="false">+SUM(DATOS_[[#This Row],[Conc.Sal.01]:[Conc.Sal.30]])</f>
        <v>0</v>
      </c>
      <c r="CE763" s="139" t="n">
        <f aca="false">+DATOS_[[#This Row],[SALARIO BASE Ef]]+DATOS_[[#This Row],[Tot COMPL.SAL Ef]]</f>
        <v>0</v>
      </c>
      <c r="CF763" s="139" t="n">
        <f aca="false">+SUM(DATOS_[[#This Row],[C.Extra.01]:[C.Extra.05]])</f>
        <v>0</v>
      </c>
      <c r="CG763" s="139" t="n">
        <f aca="false">+DATOS_[[#This Row],[TOTAL SALARIO Ef]]+DATOS_[[#This Row],[Tot Extrasalarial Ef]]</f>
        <v>0</v>
      </c>
      <c r="CH763" s="140" t="n">
        <f aca="false">MIN(IF(DATOS_[[#This Row],[Fecha Fin Contrato]]="",$D$4,DATOS_[[#This Row],[Fecha Fin Contrato]]),$D$4)-MAX(DATOS_[[#This Row],[Fecha de Contratación]],$D$3)+1</f>
        <v>1</v>
      </c>
      <c r="CI763" s="141" t="str">
        <f aca="false">IF(COUNTIFS(DATOS_[id],DATOS_[[#This Row],[id]])&gt;1,DATOS_[[#This Row],[id]],"")</f>
        <v/>
      </c>
      <c r="CJ763" s="141" t="n">
        <f aca="false">(Inicio!$G$10-DATOS_[[#This Row],[Fecha Nacimiento]])/365.25</f>
        <v>0</v>
      </c>
      <c r="CK763" s="141" t="n">
        <f aca="false">(Inicio!$G$10-DATOS_[[#This Row],[Fecha de Antigüedad]])/365.25</f>
        <v>0</v>
      </c>
      <c r="CL763" s="141" t="e">
        <f aca="false">+VLOOKUP(DATOS_[[#This Row],[Clave de Contrato]],TblTiposContrato13[],3,0)</f>
        <v>#N/A</v>
      </c>
      <c r="CM763" s="141" t="e">
        <f aca="false">+VLOOKUP(DATOS_[[#This Row],[Clave de Contrato]],TblTiposContrato13[],4,0)</f>
        <v>#N/A</v>
      </c>
      <c r="CN763" s="141" t="str">
        <f aca="false">VLOOKUP(DATOS_[[#This Row],[Edad]],CONTRATOS!TblRngEdad,2,1)</f>
        <v>20  o menos</v>
      </c>
      <c r="CO763" s="141" t="str">
        <f aca="false">VLOOKUP(DATOS_[[#This Row],[Antigüedad]],TblRngAntg14[],2,1)</f>
        <v>0 a 1 años</v>
      </c>
    </row>
    <row r="764" customFormat="false" ht="13.8" hidden="false" customHeight="false" outlineLevel="0" collapsed="false">
      <c r="D764" s="128"/>
      <c r="E764" s="129"/>
      <c r="F764" s="129"/>
      <c r="G764" s="129"/>
      <c r="H764" s="130"/>
      <c r="I764" s="131"/>
      <c r="J764" s="128"/>
      <c r="K764" s="132"/>
      <c r="L764" s="132"/>
      <c r="M764" s="133"/>
      <c r="N764" s="133"/>
      <c r="O764" s="133"/>
      <c r="P764" s="129"/>
      <c r="Z764" s="75"/>
      <c r="AA764" s="76"/>
      <c r="AB764" s="76"/>
      <c r="AC764" s="129"/>
      <c r="AD764" s="134"/>
      <c r="AE764" s="134"/>
      <c r="AF764" s="134"/>
      <c r="AG764" s="134"/>
      <c r="AH764" s="134"/>
      <c r="AI764" s="134"/>
      <c r="AJ764" s="134"/>
      <c r="AK764" s="134"/>
      <c r="AL764" s="134"/>
      <c r="AM764" s="134"/>
      <c r="AN764" s="134"/>
      <c r="AO764" s="134"/>
      <c r="AP764" s="134"/>
      <c r="AQ764" s="134"/>
      <c r="AR764" s="134"/>
      <c r="AS764" s="134"/>
      <c r="AT764" s="134"/>
      <c r="AU764" s="134"/>
      <c r="AV764" s="134"/>
      <c r="AW764" s="134"/>
      <c r="AX764" s="134"/>
      <c r="AY764" s="134"/>
      <c r="AZ764" s="134"/>
      <c r="BA764" s="134"/>
      <c r="BB764" s="134"/>
      <c r="BC764" s="134"/>
      <c r="BD764" s="134"/>
      <c r="BE764" s="134"/>
      <c r="BF764" s="134"/>
      <c r="BG764" s="134"/>
      <c r="BH764" s="134"/>
      <c r="BI764" s="134"/>
      <c r="BJ764" s="134"/>
      <c r="BK764" s="134"/>
      <c r="BL764" s="134"/>
      <c r="BM764" s="135"/>
      <c r="BN764" s="136" t="n">
        <f aca="false">+MAX($D$3,DATOS_[[#This Row],[Fecha Inicio Sit. Contract.]])</f>
        <v>0</v>
      </c>
      <c r="BO764" s="136" t="n">
        <f aca="false">+MIN($D$4,DATOS_[[#This Row],[Fecha Fin Sit. Contract.]])</f>
        <v>0</v>
      </c>
      <c r="BP764" s="137" t="n">
        <f aca="false">+DATOS_[[#This Row],[% de jornada]]*IF(DATOS_[[#This Row],[% jornada reducida]]="",1,DATOS_[[#This Row],[% jornada reducida]])</f>
        <v>0</v>
      </c>
      <c r="BQ764" s="137" t="n">
        <f aca="false">+(DATOS_[[#This Row],[F.fin.cal]]-DATOS_[[#This Row],[F.ini.cal]]+1)/($D$4-$D$3+1)</f>
        <v>1</v>
      </c>
      <c r="BR764" s="137" t="str">
        <f aca="false">IF(OR(AND(DATOS_[[#This Row],[Fecha Fin Contrato]]&lt;$D$3,DATOS_[[#This Row],[Fecha Fin Contrato]]&lt;&gt;""),DATOS_[[#This Row],[Fecha de Contratación]]&gt;$D$4),"Fuera","Dentro")</f>
        <v>Dentro</v>
      </c>
      <c r="BS764" s="137" t="str">
        <f aca="false" t="array" ref="BS764:BS764">IF(MAX(IF(DATOS_[id]=DATOS_[[#This Row],[id]],DATOS_[F.fin.cal]))=DATOS_[[#This Row],[F.fin.cal]],"Sí","NO")</f>
        <v>Sí</v>
      </c>
      <c r="BT764" s="137" t="str">
        <f aca="false">IF(AND(DATOS_[[#This Row],[% normaliz]]&lt;&gt;1,DATOS_[[#This Row],[% anualiz]]=1),"Sí","NO")</f>
        <v>Sí</v>
      </c>
      <c r="BU764" s="137" t="str">
        <f aca="false">IF(AND(DATOS_[[#This Row],[% normaliz]]=1,DATOS_[[#This Row],[% anualiz]]&lt;&gt;1),"Sí","NO")</f>
        <v>NO</v>
      </c>
      <c r="BV764" s="137" t="str">
        <f aca="false">IF(AND(DATOS_[[#This Row],[% normaliz]]&lt;&gt;1,DATOS_[[#This Row],[% anualiz]]&lt;&gt;1),"Sí","NO")</f>
        <v>NO</v>
      </c>
      <c r="BW764" s="137" t="str">
        <f aca="false">+IF(DATOS_[[#This Row],[% normaliz]]*DATOS_[[#This Row],[% anualiz]]=1,"NO","Sí")</f>
        <v>Sí</v>
      </c>
      <c r="BX764" s="138" t="e">
        <f aca="false">(DATOS_[[#This Row],[S.BASE]]*(1/DATOS_[[#This Row],[% normaliz]])*(1/DATOS_[[#This Row],[% anualiz]]))*IF(DATOS_[[#This Row],[Check Equiparado]]="Sí",1,0)</f>
        <v>#DIV/0!</v>
      </c>
      <c r="BY7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4" s="138" t="e">
        <f aca="false">+DATOS_[[#This Row],[SALARIO BASE Eq]]+DATOS_[[#This Row],[Tot COMPL.SAL Eq]]</f>
        <v>#DIV/0!</v>
      </c>
      <c r="CA764" s="138" t="e">
        <f aca="false" t="array" ref="CA764:CA7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4" s="138" t="e">
        <f aca="false">+DATOS_[[#This Row],[TOTAL SALARIO Eq]]+DATOS_[[#This Row],[Tot Extrasalarial Eq]]</f>
        <v>#DIV/0!</v>
      </c>
      <c r="CC764" s="139" t="n">
        <f aca="false">DATOS_[[#This Row],[S.BASE]]</f>
        <v>0</v>
      </c>
      <c r="CD764" s="139" t="n">
        <f aca="false">+SUM(DATOS_[[#This Row],[Conc.Sal.01]:[Conc.Sal.30]])</f>
        <v>0</v>
      </c>
      <c r="CE764" s="139" t="n">
        <f aca="false">+DATOS_[[#This Row],[SALARIO BASE Ef]]+DATOS_[[#This Row],[Tot COMPL.SAL Ef]]</f>
        <v>0</v>
      </c>
      <c r="CF764" s="139" t="n">
        <f aca="false">+SUM(DATOS_[[#This Row],[C.Extra.01]:[C.Extra.05]])</f>
        <v>0</v>
      </c>
      <c r="CG764" s="139" t="n">
        <f aca="false">+DATOS_[[#This Row],[TOTAL SALARIO Ef]]+DATOS_[[#This Row],[Tot Extrasalarial Ef]]</f>
        <v>0</v>
      </c>
      <c r="CH764" s="140" t="n">
        <f aca="false">MIN(IF(DATOS_[[#This Row],[Fecha Fin Contrato]]="",$D$4,DATOS_[[#This Row],[Fecha Fin Contrato]]),$D$4)-MAX(DATOS_[[#This Row],[Fecha de Contratación]],$D$3)+1</f>
        <v>1</v>
      </c>
      <c r="CI764" s="141" t="str">
        <f aca="false">IF(COUNTIFS(DATOS_[id],DATOS_[[#This Row],[id]])&gt;1,DATOS_[[#This Row],[id]],"")</f>
        <v/>
      </c>
      <c r="CJ764" s="141" t="n">
        <f aca="false">(Inicio!$G$10-DATOS_[[#This Row],[Fecha Nacimiento]])/365.25</f>
        <v>0</v>
      </c>
      <c r="CK764" s="141" t="n">
        <f aca="false">(Inicio!$G$10-DATOS_[[#This Row],[Fecha de Antigüedad]])/365.25</f>
        <v>0</v>
      </c>
      <c r="CL764" s="141" t="e">
        <f aca="false">+VLOOKUP(DATOS_[[#This Row],[Clave de Contrato]],TblTiposContrato13[],3,0)</f>
        <v>#N/A</v>
      </c>
      <c r="CM764" s="141" t="e">
        <f aca="false">+VLOOKUP(DATOS_[[#This Row],[Clave de Contrato]],TblTiposContrato13[],4,0)</f>
        <v>#N/A</v>
      </c>
      <c r="CN764" s="141" t="str">
        <f aca="false">VLOOKUP(DATOS_[[#This Row],[Edad]],CONTRATOS!TblRngEdad,2,1)</f>
        <v>20  o menos</v>
      </c>
      <c r="CO764" s="141" t="str">
        <f aca="false">VLOOKUP(DATOS_[[#This Row],[Antigüedad]],TblRngAntg14[],2,1)</f>
        <v>0 a 1 años</v>
      </c>
    </row>
    <row r="765" customFormat="false" ht="13.8" hidden="false" customHeight="false" outlineLevel="0" collapsed="false">
      <c r="D765" s="128"/>
      <c r="E765" s="129"/>
      <c r="F765" s="129"/>
      <c r="G765" s="129"/>
      <c r="H765" s="130"/>
      <c r="I765" s="131"/>
      <c r="J765" s="128"/>
      <c r="K765" s="132"/>
      <c r="L765" s="132"/>
      <c r="M765" s="133"/>
      <c r="N765" s="133"/>
      <c r="O765" s="133"/>
      <c r="P765" s="129"/>
      <c r="Z765" s="75"/>
      <c r="AA765" s="76"/>
      <c r="AB765" s="76"/>
      <c r="AC765" s="129"/>
      <c r="AD765" s="134"/>
      <c r="AE765" s="134"/>
      <c r="AF765" s="134"/>
      <c r="AG765" s="134"/>
      <c r="AH765" s="134"/>
      <c r="AI765" s="134"/>
      <c r="AJ765" s="134"/>
      <c r="AK765" s="134"/>
      <c r="AL765" s="134"/>
      <c r="AM765" s="134"/>
      <c r="AN765" s="134"/>
      <c r="AO765" s="134"/>
      <c r="AP765" s="134"/>
      <c r="AQ765" s="134"/>
      <c r="AR765" s="134"/>
      <c r="AS765" s="134"/>
      <c r="AT765" s="134"/>
      <c r="AU765" s="134"/>
      <c r="AV765" s="134"/>
      <c r="AW765" s="134"/>
      <c r="AX765" s="134"/>
      <c r="AY765" s="134"/>
      <c r="AZ765" s="134"/>
      <c r="BA765" s="134"/>
      <c r="BB765" s="134"/>
      <c r="BC765" s="134"/>
      <c r="BD765" s="134"/>
      <c r="BE765" s="134"/>
      <c r="BF765" s="134"/>
      <c r="BG765" s="134"/>
      <c r="BH765" s="134"/>
      <c r="BI765" s="134"/>
      <c r="BJ765" s="134"/>
      <c r="BK765" s="134"/>
      <c r="BL765" s="134"/>
      <c r="BM765" s="135"/>
      <c r="BN765" s="136" t="n">
        <f aca="false">+MAX($D$3,DATOS_[[#This Row],[Fecha Inicio Sit. Contract.]])</f>
        <v>0</v>
      </c>
      <c r="BO765" s="136" t="n">
        <f aca="false">+MIN($D$4,DATOS_[[#This Row],[Fecha Fin Sit. Contract.]])</f>
        <v>0</v>
      </c>
      <c r="BP765" s="137" t="n">
        <f aca="false">+DATOS_[[#This Row],[% de jornada]]*IF(DATOS_[[#This Row],[% jornada reducida]]="",1,DATOS_[[#This Row],[% jornada reducida]])</f>
        <v>0</v>
      </c>
      <c r="BQ765" s="137" t="n">
        <f aca="false">+(DATOS_[[#This Row],[F.fin.cal]]-DATOS_[[#This Row],[F.ini.cal]]+1)/($D$4-$D$3+1)</f>
        <v>1</v>
      </c>
      <c r="BR765" s="137" t="str">
        <f aca="false">IF(OR(AND(DATOS_[[#This Row],[Fecha Fin Contrato]]&lt;$D$3,DATOS_[[#This Row],[Fecha Fin Contrato]]&lt;&gt;""),DATOS_[[#This Row],[Fecha de Contratación]]&gt;$D$4),"Fuera","Dentro")</f>
        <v>Dentro</v>
      </c>
      <c r="BS765" s="137" t="str">
        <f aca="false" t="array" ref="BS765:BS765">IF(MAX(IF(DATOS_[id]=DATOS_[[#This Row],[id]],DATOS_[F.fin.cal]))=DATOS_[[#This Row],[F.fin.cal]],"Sí","NO")</f>
        <v>Sí</v>
      </c>
      <c r="BT765" s="137" t="str">
        <f aca="false">IF(AND(DATOS_[[#This Row],[% normaliz]]&lt;&gt;1,DATOS_[[#This Row],[% anualiz]]=1),"Sí","NO")</f>
        <v>Sí</v>
      </c>
      <c r="BU765" s="137" t="str">
        <f aca="false">IF(AND(DATOS_[[#This Row],[% normaliz]]=1,DATOS_[[#This Row],[% anualiz]]&lt;&gt;1),"Sí","NO")</f>
        <v>NO</v>
      </c>
      <c r="BV765" s="137" t="str">
        <f aca="false">IF(AND(DATOS_[[#This Row],[% normaliz]]&lt;&gt;1,DATOS_[[#This Row],[% anualiz]]&lt;&gt;1),"Sí","NO")</f>
        <v>NO</v>
      </c>
      <c r="BW765" s="137" t="str">
        <f aca="false">+IF(DATOS_[[#This Row],[% normaliz]]*DATOS_[[#This Row],[% anualiz]]=1,"NO","Sí")</f>
        <v>Sí</v>
      </c>
      <c r="BX765" s="138" t="e">
        <f aca="false">(DATOS_[[#This Row],[S.BASE]]*(1/DATOS_[[#This Row],[% normaliz]])*(1/DATOS_[[#This Row],[% anualiz]]))*IF(DATOS_[[#This Row],[Check Equiparado]]="Sí",1,0)</f>
        <v>#DIV/0!</v>
      </c>
      <c r="BY7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5" s="138" t="e">
        <f aca="false">+DATOS_[[#This Row],[SALARIO BASE Eq]]+DATOS_[[#This Row],[Tot COMPL.SAL Eq]]</f>
        <v>#DIV/0!</v>
      </c>
      <c r="CA765" s="138" t="e">
        <f aca="false" t="array" ref="CA765:CA7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5" s="138" t="e">
        <f aca="false">+DATOS_[[#This Row],[TOTAL SALARIO Eq]]+DATOS_[[#This Row],[Tot Extrasalarial Eq]]</f>
        <v>#DIV/0!</v>
      </c>
      <c r="CC765" s="139" t="n">
        <f aca="false">DATOS_[[#This Row],[S.BASE]]</f>
        <v>0</v>
      </c>
      <c r="CD765" s="139" t="n">
        <f aca="false">+SUM(DATOS_[[#This Row],[Conc.Sal.01]:[Conc.Sal.30]])</f>
        <v>0</v>
      </c>
      <c r="CE765" s="139" t="n">
        <f aca="false">+DATOS_[[#This Row],[SALARIO BASE Ef]]+DATOS_[[#This Row],[Tot COMPL.SAL Ef]]</f>
        <v>0</v>
      </c>
      <c r="CF765" s="139" t="n">
        <f aca="false">+SUM(DATOS_[[#This Row],[C.Extra.01]:[C.Extra.05]])</f>
        <v>0</v>
      </c>
      <c r="CG765" s="139" t="n">
        <f aca="false">+DATOS_[[#This Row],[TOTAL SALARIO Ef]]+DATOS_[[#This Row],[Tot Extrasalarial Ef]]</f>
        <v>0</v>
      </c>
      <c r="CH765" s="140" t="n">
        <f aca="false">MIN(IF(DATOS_[[#This Row],[Fecha Fin Contrato]]="",$D$4,DATOS_[[#This Row],[Fecha Fin Contrato]]),$D$4)-MAX(DATOS_[[#This Row],[Fecha de Contratación]],$D$3)+1</f>
        <v>1</v>
      </c>
      <c r="CI765" s="141" t="str">
        <f aca="false">IF(COUNTIFS(DATOS_[id],DATOS_[[#This Row],[id]])&gt;1,DATOS_[[#This Row],[id]],"")</f>
        <v/>
      </c>
      <c r="CJ765" s="141" t="n">
        <f aca="false">(Inicio!$G$10-DATOS_[[#This Row],[Fecha Nacimiento]])/365.25</f>
        <v>0</v>
      </c>
      <c r="CK765" s="141" t="n">
        <f aca="false">(Inicio!$G$10-DATOS_[[#This Row],[Fecha de Antigüedad]])/365.25</f>
        <v>0</v>
      </c>
      <c r="CL765" s="141" t="e">
        <f aca="false">+VLOOKUP(DATOS_[[#This Row],[Clave de Contrato]],TblTiposContrato13[],3,0)</f>
        <v>#N/A</v>
      </c>
      <c r="CM765" s="141" t="e">
        <f aca="false">+VLOOKUP(DATOS_[[#This Row],[Clave de Contrato]],TblTiposContrato13[],4,0)</f>
        <v>#N/A</v>
      </c>
      <c r="CN765" s="141" t="str">
        <f aca="false">VLOOKUP(DATOS_[[#This Row],[Edad]],CONTRATOS!TblRngEdad,2,1)</f>
        <v>20  o menos</v>
      </c>
      <c r="CO765" s="141" t="str">
        <f aca="false">VLOOKUP(DATOS_[[#This Row],[Antigüedad]],TblRngAntg14[],2,1)</f>
        <v>0 a 1 años</v>
      </c>
    </row>
    <row r="766" customFormat="false" ht="13.8" hidden="false" customHeight="false" outlineLevel="0" collapsed="false">
      <c r="D766" s="128"/>
      <c r="E766" s="129"/>
      <c r="F766" s="129"/>
      <c r="G766" s="129"/>
      <c r="H766" s="130"/>
      <c r="I766" s="131"/>
      <c r="J766" s="128"/>
      <c r="K766" s="132"/>
      <c r="L766" s="132"/>
      <c r="M766" s="133"/>
      <c r="N766" s="133"/>
      <c r="O766" s="133"/>
      <c r="P766" s="129"/>
      <c r="Z766" s="75"/>
      <c r="AA766" s="76"/>
      <c r="AB766" s="76"/>
      <c r="AC766" s="129"/>
      <c r="AD766" s="134"/>
      <c r="AE766" s="134"/>
      <c r="AF766" s="134"/>
      <c r="AG766" s="134"/>
      <c r="AH766" s="134"/>
      <c r="AI766" s="134"/>
      <c r="AJ766" s="134"/>
      <c r="AK766" s="134"/>
      <c r="AL766" s="134"/>
      <c r="AM766" s="134"/>
      <c r="AN766" s="134"/>
      <c r="AO766" s="134"/>
      <c r="AP766" s="134"/>
      <c r="AQ766" s="134"/>
      <c r="AR766" s="134"/>
      <c r="AS766" s="134"/>
      <c r="AT766" s="134"/>
      <c r="AU766" s="134"/>
      <c r="AV766" s="134"/>
      <c r="AW766" s="134"/>
      <c r="AX766" s="134"/>
      <c r="AY766" s="134"/>
      <c r="AZ766" s="134"/>
      <c r="BA766" s="134"/>
      <c r="BB766" s="134"/>
      <c r="BC766" s="134"/>
      <c r="BD766" s="134"/>
      <c r="BE766" s="134"/>
      <c r="BF766" s="134"/>
      <c r="BG766" s="134"/>
      <c r="BH766" s="134"/>
      <c r="BI766" s="134"/>
      <c r="BJ766" s="134"/>
      <c r="BK766" s="134"/>
      <c r="BL766" s="134"/>
      <c r="BM766" s="135"/>
      <c r="BN766" s="136" t="n">
        <f aca="false">+MAX($D$3,DATOS_[[#This Row],[Fecha Inicio Sit. Contract.]])</f>
        <v>0</v>
      </c>
      <c r="BO766" s="136" t="n">
        <f aca="false">+MIN($D$4,DATOS_[[#This Row],[Fecha Fin Sit. Contract.]])</f>
        <v>0</v>
      </c>
      <c r="BP766" s="137" t="n">
        <f aca="false">+DATOS_[[#This Row],[% de jornada]]*IF(DATOS_[[#This Row],[% jornada reducida]]="",1,DATOS_[[#This Row],[% jornada reducida]])</f>
        <v>0</v>
      </c>
      <c r="BQ766" s="137" t="n">
        <f aca="false">+(DATOS_[[#This Row],[F.fin.cal]]-DATOS_[[#This Row],[F.ini.cal]]+1)/($D$4-$D$3+1)</f>
        <v>1</v>
      </c>
      <c r="BR766" s="137" t="str">
        <f aca="false">IF(OR(AND(DATOS_[[#This Row],[Fecha Fin Contrato]]&lt;$D$3,DATOS_[[#This Row],[Fecha Fin Contrato]]&lt;&gt;""),DATOS_[[#This Row],[Fecha de Contratación]]&gt;$D$4),"Fuera","Dentro")</f>
        <v>Dentro</v>
      </c>
      <c r="BS766" s="137" t="str">
        <f aca="false" t="array" ref="BS766:BS766">IF(MAX(IF(DATOS_[id]=DATOS_[[#This Row],[id]],DATOS_[F.fin.cal]))=DATOS_[[#This Row],[F.fin.cal]],"Sí","NO")</f>
        <v>Sí</v>
      </c>
      <c r="BT766" s="137" t="str">
        <f aca="false">IF(AND(DATOS_[[#This Row],[% normaliz]]&lt;&gt;1,DATOS_[[#This Row],[% anualiz]]=1),"Sí","NO")</f>
        <v>Sí</v>
      </c>
      <c r="BU766" s="137" t="str">
        <f aca="false">IF(AND(DATOS_[[#This Row],[% normaliz]]=1,DATOS_[[#This Row],[% anualiz]]&lt;&gt;1),"Sí","NO")</f>
        <v>NO</v>
      </c>
      <c r="BV766" s="137" t="str">
        <f aca="false">IF(AND(DATOS_[[#This Row],[% normaliz]]&lt;&gt;1,DATOS_[[#This Row],[% anualiz]]&lt;&gt;1),"Sí","NO")</f>
        <v>NO</v>
      </c>
      <c r="BW766" s="137" t="str">
        <f aca="false">+IF(DATOS_[[#This Row],[% normaliz]]*DATOS_[[#This Row],[% anualiz]]=1,"NO","Sí")</f>
        <v>Sí</v>
      </c>
      <c r="BX766" s="138" t="e">
        <f aca="false">(DATOS_[[#This Row],[S.BASE]]*(1/DATOS_[[#This Row],[% normaliz]])*(1/DATOS_[[#This Row],[% anualiz]]))*IF(DATOS_[[#This Row],[Check Equiparado]]="Sí",1,0)</f>
        <v>#DIV/0!</v>
      </c>
      <c r="BY7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6" s="138" t="e">
        <f aca="false">+DATOS_[[#This Row],[SALARIO BASE Eq]]+DATOS_[[#This Row],[Tot COMPL.SAL Eq]]</f>
        <v>#DIV/0!</v>
      </c>
      <c r="CA766" s="138" t="e">
        <f aca="false" t="array" ref="CA766:CA7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6" s="138" t="e">
        <f aca="false">+DATOS_[[#This Row],[TOTAL SALARIO Eq]]+DATOS_[[#This Row],[Tot Extrasalarial Eq]]</f>
        <v>#DIV/0!</v>
      </c>
      <c r="CC766" s="139" t="n">
        <f aca="false">DATOS_[[#This Row],[S.BASE]]</f>
        <v>0</v>
      </c>
      <c r="CD766" s="139" t="n">
        <f aca="false">+SUM(DATOS_[[#This Row],[Conc.Sal.01]:[Conc.Sal.30]])</f>
        <v>0</v>
      </c>
      <c r="CE766" s="139" t="n">
        <f aca="false">+DATOS_[[#This Row],[SALARIO BASE Ef]]+DATOS_[[#This Row],[Tot COMPL.SAL Ef]]</f>
        <v>0</v>
      </c>
      <c r="CF766" s="139" t="n">
        <f aca="false">+SUM(DATOS_[[#This Row],[C.Extra.01]:[C.Extra.05]])</f>
        <v>0</v>
      </c>
      <c r="CG766" s="139" t="n">
        <f aca="false">+DATOS_[[#This Row],[TOTAL SALARIO Ef]]+DATOS_[[#This Row],[Tot Extrasalarial Ef]]</f>
        <v>0</v>
      </c>
      <c r="CH766" s="140" t="n">
        <f aca="false">MIN(IF(DATOS_[[#This Row],[Fecha Fin Contrato]]="",$D$4,DATOS_[[#This Row],[Fecha Fin Contrato]]),$D$4)-MAX(DATOS_[[#This Row],[Fecha de Contratación]],$D$3)+1</f>
        <v>1</v>
      </c>
      <c r="CI766" s="141" t="str">
        <f aca="false">IF(COUNTIFS(DATOS_[id],DATOS_[[#This Row],[id]])&gt;1,DATOS_[[#This Row],[id]],"")</f>
        <v/>
      </c>
      <c r="CJ766" s="141" t="n">
        <f aca="false">(Inicio!$G$10-DATOS_[[#This Row],[Fecha Nacimiento]])/365.25</f>
        <v>0</v>
      </c>
      <c r="CK766" s="141" t="n">
        <f aca="false">(Inicio!$G$10-DATOS_[[#This Row],[Fecha de Antigüedad]])/365.25</f>
        <v>0</v>
      </c>
      <c r="CL766" s="141" t="e">
        <f aca="false">+VLOOKUP(DATOS_[[#This Row],[Clave de Contrato]],TblTiposContrato13[],3,0)</f>
        <v>#N/A</v>
      </c>
      <c r="CM766" s="141" t="e">
        <f aca="false">+VLOOKUP(DATOS_[[#This Row],[Clave de Contrato]],TblTiposContrato13[],4,0)</f>
        <v>#N/A</v>
      </c>
      <c r="CN766" s="141" t="str">
        <f aca="false">VLOOKUP(DATOS_[[#This Row],[Edad]],CONTRATOS!TblRngEdad,2,1)</f>
        <v>20  o menos</v>
      </c>
      <c r="CO766" s="141" t="str">
        <f aca="false">VLOOKUP(DATOS_[[#This Row],[Antigüedad]],TblRngAntg14[],2,1)</f>
        <v>0 a 1 años</v>
      </c>
    </row>
    <row r="767" customFormat="false" ht="13.8" hidden="false" customHeight="false" outlineLevel="0" collapsed="false">
      <c r="D767" s="128"/>
      <c r="E767" s="129"/>
      <c r="F767" s="129"/>
      <c r="G767" s="129"/>
      <c r="H767" s="130"/>
      <c r="I767" s="131"/>
      <c r="J767" s="128"/>
      <c r="K767" s="132"/>
      <c r="L767" s="132"/>
      <c r="M767" s="133"/>
      <c r="N767" s="133"/>
      <c r="O767" s="133"/>
      <c r="P767" s="129"/>
      <c r="Z767" s="75"/>
      <c r="AA767" s="76"/>
      <c r="AB767" s="76"/>
      <c r="AC767" s="129"/>
      <c r="AD767" s="134"/>
      <c r="AE767" s="134"/>
      <c r="AF767" s="134"/>
      <c r="AG767" s="134"/>
      <c r="AH767" s="134"/>
      <c r="AI767" s="134"/>
      <c r="AJ767" s="134"/>
      <c r="AK767" s="134"/>
      <c r="AL767" s="134"/>
      <c r="AM767" s="134"/>
      <c r="AN767" s="134"/>
      <c r="AO767" s="134"/>
      <c r="AP767" s="134"/>
      <c r="AQ767" s="134"/>
      <c r="AR767" s="134"/>
      <c r="AS767" s="134"/>
      <c r="AT767" s="134"/>
      <c r="AU767" s="134"/>
      <c r="AV767" s="134"/>
      <c r="AW767" s="134"/>
      <c r="AX767" s="134"/>
      <c r="AY767" s="134"/>
      <c r="AZ767" s="134"/>
      <c r="BA767" s="134"/>
      <c r="BB767" s="134"/>
      <c r="BC767" s="134"/>
      <c r="BD767" s="134"/>
      <c r="BE767" s="134"/>
      <c r="BF767" s="134"/>
      <c r="BG767" s="134"/>
      <c r="BH767" s="134"/>
      <c r="BI767" s="134"/>
      <c r="BJ767" s="134"/>
      <c r="BK767" s="134"/>
      <c r="BL767" s="134"/>
      <c r="BM767" s="135"/>
      <c r="BN767" s="136" t="n">
        <f aca="false">+MAX($D$3,DATOS_[[#This Row],[Fecha Inicio Sit. Contract.]])</f>
        <v>0</v>
      </c>
      <c r="BO767" s="136" t="n">
        <f aca="false">+MIN($D$4,DATOS_[[#This Row],[Fecha Fin Sit. Contract.]])</f>
        <v>0</v>
      </c>
      <c r="BP767" s="137" t="n">
        <f aca="false">+DATOS_[[#This Row],[% de jornada]]*IF(DATOS_[[#This Row],[% jornada reducida]]="",1,DATOS_[[#This Row],[% jornada reducida]])</f>
        <v>0</v>
      </c>
      <c r="BQ767" s="137" t="n">
        <f aca="false">+(DATOS_[[#This Row],[F.fin.cal]]-DATOS_[[#This Row],[F.ini.cal]]+1)/($D$4-$D$3+1)</f>
        <v>1</v>
      </c>
      <c r="BR767" s="137" t="str">
        <f aca="false">IF(OR(AND(DATOS_[[#This Row],[Fecha Fin Contrato]]&lt;$D$3,DATOS_[[#This Row],[Fecha Fin Contrato]]&lt;&gt;""),DATOS_[[#This Row],[Fecha de Contratación]]&gt;$D$4),"Fuera","Dentro")</f>
        <v>Dentro</v>
      </c>
      <c r="BS767" s="137" t="str">
        <f aca="false" t="array" ref="BS767:BS767">IF(MAX(IF(DATOS_[id]=DATOS_[[#This Row],[id]],DATOS_[F.fin.cal]))=DATOS_[[#This Row],[F.fin.cal]],"Sí","NO")</f>
        <v>Sí</v>
      </c>
      <c r="BT767" s="137" t="str">
        <f aca="false">IF(AND(DATOS_[[#This Row],[% normaliz]]&lt;&gt;1,DATOS_[[#This Row],[% anualiz]]=1),"Sí","NO")</f>
        <v>Sí</v>
      </c>
      <c r="BU767" s="137" t="str">
        <f aca="false">IF(AND(DATOS_[[#This Row],[% normaliz]]=1,DATOS_[[#This Row],[% anualiz]]&lt;&gt;1),"Sí","NO")</f>
        <v>NO</v>
      </c>
      <c r="BV767" s="137" t="str">
        <f aca="false">IF(AND(DATOS_[[#This Row],[% normaliz]]&lt;&gt;1,DATOS_[[#This Row],[% anualiz]]&lt;&gt;1),"Sí","NO")</f>
        <v>NO</v>
      </c>
      <c r="BW767" s="137" t="str">
        <f aca="false">+IF(DATOS_[[#This Row],[% normaliz]]*DATOS_[[#This Row],[% anualiz]]=1,"NO","Sí")</f>
        <v>Sí</v>
      </c>
      <c r="BX767" s="138" t="e">
        <f aca="false">(DATOS_[[#This Row],[S.BASE]]*(1/DATOS_[[#This Row],[% normaliz]])*(1/DATOS_[[#This Row],[% anualiz]]))*IF(DATOS_[[#This Row],[Check Equiparado]]="Sí",1,0)</f>
        <v>#DIV/0!</v>
      </c>
      <c r="BY7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7" s="138" t="e">
        <f aca="false">+DATOS_[[#This Row],[SALARIO BASE Eq]]+DATOS_[[#This Row],[Tot COMPL.SAL Eq]]</f>
        <v>#DIV/0!</v>
      </c>
      <c r="CA767" s="138" t="e">
        <f aca="false" t="array" ref="CA767:CA7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7" s="138" t="e">
        <f aca="false">+DATOS_[[#This Row],[TOTAL SALARIO Eq]]+DATOS_[[#This Row],[Tot Extrasalarial Eq]]</f>
        <v>#DIV/0!</v>
      </c>
      <c r="CC767" s="139" t="n">
        <f aca="false">DATOS_[[#This Row],[S.BASE]]</f>
        <v>0</v>
      </c>
      <c r="CD767" s="139" t="n">
        <f aca="false">+SUM(DATOS_[[#This Row],[Conc.Sal.01]:[Conc.Sal.30]])</f>
        <v>0</v>
      </c>
      <c r="CE767" s="139" t="n">
        <f aca="false">+DATOS_[[#This Row],[SALARIO BASE Ef]]+DATOS_[[#This Row],[Tot COMPL.SAL Ef]]</f>
        <v>0</v>
      </c>
      <c r="CF767" s="139" t="n">
        <f aca="false">+SUM(DATOS_[[#This Row],[C.Extra.01]:[C.Extra.05]])</f>
        <v>0</v>
      </c>
      <c r="CG767" s="139" t="n">
        <f aca="false">+DATOS_[[#This Row],[TOTAL SALARIO Ef]]+DATOS_[[#This Row],[Tot Extrasalarial Ef]]</f>
        <v>0</v>
      </c>
      <c r="CH767" s="140" t="n">
        <f aca="false">MIN(IF(DATOS_[[#This Row],[Fecha Fin Contrato]]="",$D$4,DATOS_[[#This Row],[Fecha Fin Contrato]]),$D$4)-MAX(DATOS_[[#This Row],[Fecha de Contratación]],$D$3)+1</f>
        <v>1</v>
      </c>
      <c r="CI767" s="141" t="str">
        <f aca="false">IF(COUNTIFS(DATOS_[id],DATOS_[[#This Row],[id]])&gt;1,DATOS_[[#This Row],[id]],"")</f>
        <v/>
      </c>
      <c r="CJ767" s="141" t="n">
        <f aca="false">(Inicio!$G$10-DATOS_[[#This Row],[Fecha Nacimiento]])/365.25</f>
        <v>0</v>
      </c>
      <c r="CK767" s="141" t="n">
        <f aca="false">(Inicio!$G$10-DATOS_[[#This Row],[Fecha de Antigüedad]])/365.25</f>
        <v>0</v>
      </c>
      <c r="CL767" s="141" t="e">
        <f aca="false">+VLOOKUP(DATOS_[[#This Row],[Clave de Contrato]],TblTiposContrato13[],3,0)</f>
        <v>#N/A</v>
      </c>
      <c r="CM767" s="141" t="e">
        <f aca="false">+VLOOKUP(DATOS_[[#This Row],[Clave de Contrato]],TblTiposContrato13[],4,0)</f>
        <v>#N/A</v>
      </c>
      <c r="CN767" s="141" t="str">
        <f aca="false">VLOOKUP(DATOS_[[#This Row],[Edad]],CONTRATOS!TblRngEdad,2,1)</f>
        <v>20  o menos</v>
      </c>
      <c r="CO767" s="141" t="str">
        <f aca="false">VLOOKUP(DATOS_[[#This Row],[Antigüedad]],TblRngAntg14[],2,1)</f>
        <v>0 a 1 años</v>
      </c>
    </row>
    <row r="768" customFormat="false" ht="13.8" hidden="false" customHeight="false" outlineLevel="0" collapsed="false">
      <c r="D768" s="128"/>
      <c r="E768" s="129"/>
      <c r="F768" s="129"/>
      <c r="G768" s="129"/>
      <c r="H768" s="130"/>
      <c r="I768" s="131"/>
      <c r="J768" s="128"/>
      <c r="K768" s="132"/>
      <c r="L768" s="132"/>
      <c r="M768" s="133"/>
      <c r="N768" s="133"/>
      <c r="O768" s="133"/>
      <c r="P768" s="129"/>
      <c r="Z768" s="75"/>
      <c r="AA768" s="76"/>
      <c r="AB768" s="76"/>
      <c r="AC768" s="129"/>
      <c r="AD768" s="134"/>
      <c r="AE768" s="134"/>
      <c r="AF768" s="134"/>
      <c r="AG768" s="134"/>
      <c r="AH768" s="134"/>
      <c r="AI768" s="134"/>
      <c r="AJ768" s="134"/>
      <c r="AK768" s="134"/>
      <c r="AL768" s="134"/>
      <c r="AM768" s="134"/>
      <c r="AN768" s="134"/>
      <c r="AO768" s="134"/>
      <c r="AP768" s="134"/>
      <c r="AQ768" s="134"/>
      <c r="AR768" s="134"/>
      <c r="AS768" s="134"/>
      <c r="AT768" s="134"/>
      <c r="AU768" s="134"/>
      <c r="AV768" s="134"/>
      <c r="AW768" s="134"/>
      <c r="AX768" s="134"/>
      <c r="AY768" s="134"/>
      <c r="AZ768" s="134"/>
      <c r="BA768" s="134"/>
      <c r="BB768" s="134"/>
      <c r="BC768" s="134"/>
      <c r="BD768" s="134"/>
      <c r="BE768" s="134"/>
      <c r="BF768" s="134"/>
      <c r="BG768" s="134"/>
      <c r="BH768" s="134"/>
      <c r="BI768" s="134"/>
      <c r="BJ768" s="134"/>
      <c r="BK768" s="134"/>
      <c r="BL768" s="134"/>
      <c r="BM768" s="135"/>
      <c r="BN768" s="136" t="n">
        <f aca="false">+MAX($D$3,DATOS_[[#This Row],[Fecha Inicio Sit. Contract.]])</f>
        <v>0</v>
      </c>
      <c r="BO768" s="136" t="n">
        <f aca="false">+MIN($D$4,DATOS_[[#This Row],[Fecha Fin Sit. Contract.]])</f>
        <v>0</v>
      </c>
      <c r="BP768" s="137" t="n">
        <f aca="false">+DATOS_[[#This Row],[% de jornada]]*IF(DATOS_[[#This Row],[% jornada reducida]]="",1,DATOS_[[#This Row],[% jornada reducida]])</f>
        <v>0</v>
      </c>
      <c r="BQ768" s="137" t="n">
        <f aca="false">+(DATOS_[[#This Row],[F.fin.cal]]-DATOS_[[#This Row],[F.ini.cal]]+1)/($D$4-$D$3+1)</f>
        <v>1</v>
      </c>
      <c r="BR768" s="137" t="str">
        <f aca="false">IF(OR(AND(DATOS_[[#This Row],[Fecha Fin Contrato]]&lt;$D$3,DATOS_[[#This Row],[Fecha Fin Contrato]]&lt;&gt;""),DATOS_[[#This Row],[Fecha de Contratación]]&gt;$D$4),"Fuera","Dentro")</f>
        <v>Dentro</v>
      </c>
      <c r="BS768" s="137" t="str">
        <f aca="false" t="array" ref="BS768:BS768">IF(MAX(IF(DATOS_[id]=DATOS_[[#This Row],[id]],DATOS_[F.fin.cal]))=DATOS_[[#This Row],[F.fin.cal]],"Sí","NO")</f>
        <v>Sí</v>
      </c>
      <c r="BT768" s="137" t="str">
        <f aca="false">IF(AND(DATOS_[[#This Row],[% normaliz]]&lt;&gt;1,DATOS_[[#This Row],[% anualiz]]=1),"Sí","NO")</f>
        <v>Sí</v>
      </c>
      <c r="BU768" s="137" t="str">
        <f aca="false">IF(AND(DATOS_[[#This Row],[% normaliz]]=1,DATOS_[[#This Row],[% anualiz]]&lt;&gt;1),"Sí","NO")</f>
        <v>NO</v>
      </c>
      <c r="BV768" s="137" t="str">
        <f aca="false">IF(AND(DATOS_[[#This Row],[% normaliz]]&lt;&gt;1,DATOS_[[#This Row],[% anualiz]]&lt;&gt;1),"Sí","NO")</f>
        <v>NO</v>
      </c>
      <c r="BW768" s="137" t="str">
        <f aca="false">+IF(DATOS_[[#This Row],[% normaliz]]*DATOS_[[#This Row],[% anualiz]]=1,"NO","Sí")</f>
        <v>Sí</v>
      </c>
      <c r="BX768" s="138" t="e">
        <f aca="false">(DATOS_[[#This Row],[S.BASE]]*(1/DATOS_[[#This Row],[% normaliz]])*(1/DATOS_[[#This Row],[% anualiz]]))*IF(DATOS_[[#This Row],[Check Equiparado]]="Sí",1,0)</f>
        <v>#DIV/0!</v>
      </c>
      <c r="BY7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8" s="138" t="e">
        <f aca="false">+DATOS_[[#This Row],[SALARIO BASE Eq]]+DATOS_[[#This Row],[Tot COMPL.SAL Eq]]</f>
        <v>#DIV/0!</v>
      </c>
      <c r="CA768" s="138" t="e">
        <f aca="false" t="array" ref="CA768:CA7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8" s="138" t="e">
        <f aca="false">+DATOS_[[#This Row],[TOTAL SALARIO Eq]]+DATOS_[[#This Row],[Tot Extrasalarial Eq]]</f>
        <v>#DIV/0!</v>
      </c>
      <c r="CC768" s="139" t="n">
        <f aca="false">DATOS_[[#This Row],[S.BASE]]</f>
        <v>0</v>
      </c>
      <c r="CD768" s="139" t="n">
        <f aca="false">+SUM(DATOS_[[#This Row],[Conc.Sal.01]:[Conc.Sal.30]])</f>
        <v>0</v>
      </c>
      <c r="CE768" s="139" t="n">
        <f aca="false">+DATOS_[[#This Row],[SALARIO BASE Ef]]+DATOS_[[#This Row],[Tot COMPL.SAL Ef]]</f>
        <v>0</v>
      </c>
      <c r="CF768" s="139" t="n">
        <f aca="false">+SUM(DATOS_[[#This Row],[C.Extra.01]:[C.Extra.05]])</f>
        <v>0</v>
      </c>
      <c r="CG768" s="139" t="n">
        <f aca="false">+DATOS_[[#This Row],[TOTAL SALARIO Ef]]+DATOS_[[#This Row],[Tot Extrasalarial Ef]]</f>
        <v>0</v>
      </c>
      <c r="CH768" s="140" t="n">
        <f aca="false">MIN(IF(DATOS_[[#This Row],[Fecha Fin Contrato]]="",$D$4,DATOS_[[#This Row],[Fecha Fin Contrato]]),$D$4)-MAX(DATOS_[[#This Row],[Fecha de Contratación]],$D$3)+1</f>
        <v>1</v>
      </c>
      <c r="CI768" s="141" t="str">
        <f aca="false">IF(COUNTIFS(DATOS_[id],DATOS_[[#This Row],[id]])&gt;1,DATOS_[[#This Row],[id]],"")</f>
        <v/>
      </c>
      <c r="CJ768" s="141" t="n">
        <f aca="false">(Inicio!$G$10-DATOS_[[#This Row],[Fecha Nacimiento]])/365.25</f>
        <v>0</v>
      </c>
      <c r="CK768" s="141" t="n">
        <f aca="false">(Inicio!$G$10-DATOS_[[#This Row],[Fecha de Antigüedad]])/365.25</f>
        <v>0</v>
      </c>
      <c r="CL768" s="141" t="e">
        <f aca="false">+VLOOKUP(DATOS_[[#This Row],[Clave de Contrato]],TblTiposContrato13[],3,0)</f>
        <v>#N/A</v>
      </c>
      <c r="CM768" s="141" t="e">
        <f aca="false">+VLOOKUP(DATOS_[[#This Row],[Clave de Contrato]],TblTiposContrato13[],4,0)</f>
        <v>#N/A</v>
      </c>
      <c r="CN768" s="141" t="str">
        <f aca="false">VLOOKUP(DATOS_[[#This Row],[Edad]],CONTRATOS!TblRngEdad,2,1)</f>
        <v>20  o menos</v>
      </c>
      <c r="CO768" s="141" t="str">
        <f aca="false">VLOOKUP(DATOS_[[#This Row],[Antigüedad]],TblRngAntg14[],2,1)</f>
        <v>0 a 1 años</v>
      </c>
    </row>
    <row r="769" customFormat="false" ht="13.8" hidden="false" customHeight="false" outlineLevel="0" collapsed="false">
      <c r="D769" s="128"/>
      <c r="E769" s="129"/>
      <c r="F769" s="129"/>
      <c r="G769" s="129"/>
      <c r="H769" s="130"/>
      <c r="I769" s="131"/>
      <c r="J769" s="128"/>
      <c r="K769" s="132"/>
      <c r="L769" s="132"/>
      <c r="M769" s="133"/>
      <c r="N769" s="133"/>
      <c r="O769" s="133"/>
      <c r="P769" s="129"/>
      <c r="Z769" s="75"/>
      <c r="AA769" s="76"/>
      <c r="AB769" s="76"/>
      <c r="AC769" s="129"/>
      <c r="AD769" s="134"/>
      <c r="AE769" s="134"/>
      <c r="AF769" s="134"/>
      <c r="AG769" s="134"/>
      <c r="AH769" s="134"/>
      <c r="AI769" s="134"/>
      <c r="AJ769" s="134"/>
      <c r="AK769" s="134"/>
      <c r="AL769" s="134"/>
      <c r="AM769" s="134"/>
      <c r="AN769" s="134"/>
      <c r="AO769" s="134"/>
      <c r="AP769" s="134"/>
      <c r="AQ769" s="134"/>
      <c r="AR769" s="134"/>
      <c r="AS769" s="134"/>
      <c r="AT769" s="134"/>
      <c r="AU769" s="134"/>
      <c r="AV769" s="134"/>
      <c r="AW769" s="134"/>
      <c r="AX769" s="134"/>
      <c r="AY769" s="134"/>
      <c r="AZ769" s="134"/>
      <c r="BA769" s="134"/>
      <c r="BB769" s="134"/>
      <c r="BC769" s="134"/>
      <c r="BD769" s="134"/>
      <c r="BE769" s="134"/>
      <c r="BF769" s="134"/>
      <c r="BG769" s="134"/>
      <c r="BH769" s="134"/>
      <c r="BI769" s="134"/>
      <c r="BJ769" s="134"/>
      <c r="BK769" s="134"/>
      <c r="BL769" s="134"/>
      <c r="BM769" s="135"/>
      <c r="BN769" s="136" t="n">
        <f aca="false">+MAX($D$3,DATOS_[[#This Row],[Fecha Inicio Sit. Contract.]])</f>
        <v>0</v>
      </c>
      <c r="BO769" s="136" t="n">
        <f aca="false">+MIN($D$4,DATOS_[[#This Row],[Fecha Fin Sit. Contract.]])</f>
        <v>0</v>
      </c>
      <c r="BP769" s="137" t="n">
        <f aca="false">+DATOS_[[#This Row],[% de jornada]]*IF(DATOS_[[#This Row],[% jornada reducida]]="",1,DATOS_[[#This Row],[% jornada reducida]])</f>
        <v>0</v>
      </c>
      <c r="BQ769" s="137" t="n">
        <f aca="false">+(DATOS_[[#This Row],[F.fin.cal]]-DATOS_[[#This Row],[F.ini.cal]]+1)/($D$4-$D$3+1)</f>
        <v>1</v>
      </c>
      <c r="BR769" s="137" t="str">
        <f aca="false">IF(OR(AND(DATOS_[[#This Row],[Fecha Fin Contrato]]&lt;$D$3,DATOS_[[#This Row],[Fecha Fin Contrato]]&lt;&gt;""),DATOS_[[#This Row],[Fecha de Contratación]]&gt;$D$4),"Fuera","Dentro")</f>
        <v>Dentro</v>
      </c>
      <c r="BS769" s="137" t="str">
        <f aca="false" t="array" ref="BS769:BS769">IF(MAX(IF(DATOS_[id]=DATOS_[[#This Row],[id]],DATOS_[F.fin.cal]))=DATOS_[[#This Row],[F.fin.cal]],"Sí","NO")</f>
        <v>Sí</v>
      </c>
      <c r="BT769" s="137" t="str">
        <f aca="false">IF(AND(DATOS_[[#This Row],[% normaliz]]&lt;&gt;1,DATOS_[[#This Row],[% anualiz]]=1),"Sí","NO")</f>
        <v>Sí</v>
      </c>
      <c r="BU769" s="137" t="str">
        <f aca="false">IF(AND(DATOS_[[#This Row],[% normaliz]]=1,DATOS_[[#This Row],[% anualiz]]&lt;&gt;1),"Sí","NO")</f>
        <v>NO</v>
      </c>
      <c r="BV769" s="137" t="str">
        <f aca="false">IF(AND(DATOS_[[#This Row],[% normaliz]]&lt;&gt;1,DATOS_[[#This Row],[% anualiz]]&lt;&gt;1),"Sí","NO")</f>
        <v>NO</v>
      </c>
      <c r="BW769" s="137" t="str">
        <f aca="false">+IF(DATOS_[[#This Row],[% normaliz]]*DATOS_[[#This Row],[% anualiz]]=1,"NO","Sí")</f>
        <v>Sí</v>
      </c>
      <c r="BX769" s="138" t="e">
        <f aca="false">(DATOS_[[#This Row],[S.BASE]]*(1/DATOS_[[#This Row],[% normaliz]])*(1/DATOS_[[#This Row],[% anualiz]]))*IF(DATOS_[[#This Row],[Check Equiparado]]="Sí",1,0)</f>
        <v>#DIV/0!</v>
      </c>
      <c r="BY7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9" s="138" t="e">
        <f aca="false">+DATOS_[[#This Row],[SALARIO BASE Eq]]+DATOS_[[#This Row],[Tot COMPL.SAL Eq]]</f>
        <v>#DIV/0!</v>
      </c>
      <c r="CA769" s="138" t="e">
        <f aca="false" t="array" ref="CA769:CA7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9" s="138" t="e">
        <f aca="false">+DATOS_[[#This Row],[TOTAL SALARIO Eq]]+DATOS_[[#This Row],[Tot Extrasalarial Eq]]</f>
        <v>#DIV/0!</v>
      </c>
      <c r="CC769" s="139" t="n">
        <f aca="false">DATOS_[[#This Row],[S.BASE]]</f>
        <v>0</v>
      </c>
      <c r="CD769" s="139" t="n">
        <f aca="false">+SUM(DATOS_[[#This Row],[Conc.Sal.01]:[Conc.Sal.30]])</f>
        <v>0</v>
      </c>
      <c r="CE769" s="139" t="n">
        <f aca="false">+DATOS_[[#This Row],[SALARIO BASE Ef]]+DATOS_[[#This Row],[Tot COMPL.SAL Ef]]</f>
        <v>0</v>
      </c>
      <c r="CF769" s="139" t="n">
        <f aca="false">+SUM(DATOS_[[#This Row],[C.Extra.01]:[C.Extra.05]])</f>
        <v>0</v>
      </c>
      <c r="CG769" s="139" t="n">
        <f aca="false">+DATOS_[[#This Row],[TOTAL SALARIO Ef]]+DATOS_[[#This Row],[Tot Extrasalarial Ef]]</f>
        <v>0</v>
      </c>
      <c r="CH769" s="140" t="n">
        <f aca="false">MIN(IF(DATOS_[[#This Row],[Fecha Fin Contrato]]="",$D$4,DATOS_[[#This Row],[Fecha Fin Contrato]]),$D$4)-MAX(DATOS_[[#This Row],[Fecha de Contratación]],$D$3)+1</f>
        <v>1</v>
      </c>
      <c r="CI769" s="141" t="str">
        <f aca="false">IF(COUNTIFS(DATOS_[id],DATOS_[[#This Row],[id]])&gt;1,DATOS_[[#This Row],[id]],"")</f>
        <v/>
      </c>
      <c r="CJ769" s="141" t="n">
        <f aca="false">(Inicio!$G$10-DATOS_[[#This Row],[Fecha Nacimiento]])/365.25</f>
        <v>0</v>
      </c>
      <c r="CK769" s="141" t="n">
        <f aca="false">(Inicio!$G$10-DATOS_[[#This Row],[Fecha de Antigüedad]])/365.25</f>
        <v>0</v>
      </c>
      <c r="CL769" s="141" t="e">
        <f aca="false">+VLOOKUP(DATOS_[[#This Row],[Clave de Contrato]],TblTiposContrato13[],3,0)</f>
        <v>#N/A</v>
      </c>
      <c r="CM769" s="141" t="e">
        <f aca="false">+VLOOKUP(DATOS_[[#This Row],[Clave de Contrato]],TblTiposContrato13[],4,0)</f>
        <v>#N/A</v>
      </c>
      <c r="CN769" s="141" t="str">
        <f aca="false">VLOOKUP(DATOS_[[#This Row],[Edad]],CONTRATOS!TblRngEdad,2,1)</f>
        <v>20  o menos</v>
      </c>
      <c r="CO769" s="141" t="str">
        <f aca="false">VLOOKUP(DATOS_[[#This Row],[Antigüedad]],TblRngAntg14[],2,1)</f>
        <v>0 a 1 años</v>
      </c>
    </row>
    <row r="770" customFormat="false" ht="13.8" hidden="false" customHeight="false" outlineLevel="0" collapsed="false">
      <c r="D770" s="128"/>
      <c r="E770" s="129"/>
      <c r="F770" s="129"/>
      <c r="G770" s="129"/>
      <c r="H770" s="130"/>
      <c r="I770" s="131"/>
      <c r="J770" s="128"/>
      <c r="K770" s="132"/>
      <c r="L770" s="132"/>
      <c r="M770" s="133"/>
      <c r="N770" s="133"/>
      <c r="O770" s="133"/>
      <c r="P770" s="129"/>
      <c r="Z770" s="75"/>
      <c r="AA770" s="76"/>
      <c r="AB770" s="76"/>
      <c r="AC770" s="129"/>
      <c r="AD770" s="134"/>
      <c r="AE770" s="134"/>
      <c r="AF770" s="134"/>
      <c r="AG770" s="134"/>
      <c r="AH770" s="134"/>
      <c r="AI770" s="134"/>
      <c r="AJ770" s="134"/>
      <c r="AK770" s="134"/>
      <c r="AL770" s="134"/>
      <c r="AM770" s="134"/>
      <c r="AN770" s="134"/>
      <c r="AO770" s="134"/>
      <c r="AP770" s="134"/>
      <c r="AQ770" s="134"/>
      <c r="AR770" s="134"/>
      <c r="AS770" s="134"/>
      <c r="AT770" s="134"/>
      <c r="AU770" s="134"/>
      <c r="AV770" s="134"/>
      <c r="AW770" s="134"/>
      <c r="AX770" s="134"/>
      <c r="AY770" s="134"/>
      <c r="AZ770" s="134"/>
      <c r="BA770" s="134"/>
      <c r="BB770" s="134"/>
      <c r="BC770" s="134"/>
      <c r="BD770" s="134"/>
      <c r="BE770" s="134"/>
      <c r="BF770" s="134"/>
      <c r="BG770" s="134"/>
      <c r="BH770" s="134"/>
      <c r="BI770" s="134"/>
      <c r="BJ770" s="134"/>
      <c r="BK770" s="134"/>
      <c r="BL770" s="134"/>
      <c r="BM770" s="135"/>
      <c r="BN770" s="136" t="n">
        <f aca="false">+MAX($D$3,DATOS_[[#This Row],[Fecha Inicio Sit. Contract.]])</f>
        <v>0</v>
      </c>
      <c r="BO770" s="136" t="n">
        <f aca="false">+MIN($D$4,DATOS_[[#This Row],[Fecha Fin Sit. Contract.]])</f>
        <v>0</v>
      </c>
      <c r="BP770" s="137" t="n">
        <f aca="false">+DATOS_[[#This Row],[% de jornada]]*IF(DATOS_[[#This Row],[% jornada reducida]]="",1,DATOS_[[#This Row],[% jornada reducida]])</f>
        <v>0</v>
      </c>
      <c r="BQ770" s="137" t="n">
        <f aca="false">+(DATOS_[[#This Row],[F.fin.cal]]-DATOS_[[#This Row],[F.ini.cal]]+1)/($D$4-$D$3+1)</f>
        <v>1</v>
      </c>
      <c r="BR770" s="137" t="str">
        <f aca="false">IF(OR(AND(DATOS_[[#This Row],[Fecha Fin Contrato]]&lt;$D$3,DATOS_[[#This Row],[Fecha Fin Contrato]]&lt;&gt;""),DATOS_[[#This Row],[Fecha de Contratación]]&gt;$D$4),"Fuera","Dentro")</f>
        <v>Dentro</v>
      </c>
      <c r="BS770" s="137" t="str">
        <f aca="false" t="array" ref="BS770:BS770">IF(MAX(IF(DATOS_[id]=DATOS_[[#This Row],[id]],DATOS_[F.fin.cal]))=DATOS_[[#This Row],[F.fin.cal]],"Sí","NO")</f>
        <v>Sí</v>
      </c>
      <c r="BT770" s="137" t="str">
        <f aca="false">IF(AND(DATOS_[[#This Row],[% normaliz]]&lt;&gt;1,DATOS_[[#This Row],[% anualiz]]=1),"Sí","NO")</f>
        <v>Sí</v>
      </c>
      <c r="BU770" s="137" t="str">
        <f aca="false">IF(AND(DATOS_[[#This Row],[% normaliz]]=1,DATOS_[[#This Row],[% anualiz]]&lt;&gt;1),"Sí","NO")</f>
        <v>NO</v>
      </c>
      <c r="BV770" s="137" t="str">
        <f aca="false">IF(AND(DATOS_[[#This Row],[% normaliz]]&lt;&gt;1,DATOS_[[#This Row],[% anualiz]]&lt;&gt;1),"Sí","NO")</f>
        <v>NO</v>
      </c>
      <c r="BW770" s="137" t="str">
        <f aca="false">+IF(DATOS_[[#This Row],[% normaliz]]*DATOS_[[#This Row],[% anualiz]]=1,"NO","Sí")</f>
        <v>Sí</v>
      </c>
      <c r="BX770" s="138" t="e">
        <f aca="false">(DATOS_[[#This Row],[S.BASE]]*(1/DATOS_[[#This Row],[% normaliz]])*(1/DATOS_[[#This Row],[% anualiz]]))*IF(DATOS_[[#This Row],[Check Equiparado]]="Sí",1,0)</f>
        <v>#DIV/0!</v>
      </c>
      <c r="BY7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0" s="138" t="e">
        <f aca="false">+DATOS_[[#This Row],[SALARIO BASE Eq]]+DATOS_[[#This Row],[Tot COMPL.SAL Eq]]</f>
        <v>#DIV/0!</v>
      </c>
      <c r="CA770" s="138" t="e">
        <f aca="false" t="array" ref="CA770:CA7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0" s="138" t="e">
        <f aca="false">+DATOS_[[#This Row],[TOTAL SALARIO Eq]]+DATOS_[[#This Row],[Tot Extrasalarial Eq]]</f>
        <v>#DIV/0!</v>
      </c>
      <c r="CC770" s="139" t="n">
        <f aca="false">DATOS_[[#This Row],[S.BASE]]</f>
        <v>0</v>
      </c>
      <c r="CD770" s="139" t="n">
        <f aca="false">+SUM(DATOS_[[#This Row],[Conc.Sal.01]:[Conc.Sal.30]])</f>
        <v>0</v>
      </c>
      <c r="CE770" s="139" t="n">
        <f aca="false">+DATOS_[[#This Row],[SALARIO BASE Ef]]+DATOS_[[#This Row],[Tot COMPL.SAL Ef]]</f>
        <v>0</v>
      </c>
      <c r="CF770" s="139" t="n">
        <f aca="false">+SUM(DATOS_[[#This Row],[C.Extra.01]:[C.Extra.05]])</f>
        <v>0</v>
      </c>
      <c r="CG770" s="139" t="n">
        <f aca="false">+DATOS_[[#This Row],[TOTAL SALARIO Ef]]+DATOS_[[#This Row],[Tot Extrasalarial Ef]]</f>
        <v>0</v>
      </c>
      <c r="CH770" s="140" t="n">
        <f aca="false">MIN(IF(DATOS_[[#This Row],[Fecha Fin Contrato]]="",$D$4,DATOS_[[#This Row],[Fecha Fin Contrato]]),$D$4)-MAX(DATOS_[[#This Row],[Fecha de Contratación]],$D$3)+1</f>
        <v>1</v>
      </c>
      <c r="CI770" s="141" t="str">
        <f aca="false">IF(COUNTIFS(DATOS_[id],DATOS_[[#This Row],[id]])&gt;1,DATOS_[[#This Row],[id]],"")</f>
        <v/>
      </c>
      <c r="CJ770" s="141" t="n">
        <f aca="false">(Inicio!$G$10-DATOS_[[#This Row],[Fecha Nacimiento]])/365.25</f>
        <v>0</v>
      </c>
      <c r="CK770" s="141" t="n">
        <f aca="false">(Inicio!$G$10-DATOS_[[#This Row],[Fecha de Antigüedad]])/365.25</f>
        <v>0</v>
      </c>
      <c r="CL770" s="141" t="e">
        <f aca="false">+VLOOKUP(DATOS_[[#This Row],[Clave de Contrato]],TblTiposContrato13[],3,0)</f>
        <v>#N/A</v>
      </c>
      <c r="CM770" s="141" t="e">
        <f aca="false">+VLOOKUP(DATOS_[[#This Row],[Clave de Contrato]],TblTiposContrato13[],4,0)</f>
        <v>#N/A</v>
      </c>
      <c r="CN770" s="141" t="str">
        <f aca="false">VLOOKUP(DATOS_[[#This Row],[Edad]],CONTRATOS!TblRngEdad,2,1)</f>
        <v>20  o menos</v>
      </c>
      <c r="CO770" s="141" t="str">
        <f aca="false">VLOOKUP(DATOS_[[#This Row],[Antigüedad]],TblRngAntg14[],2,1)</f>
        <v>0 a 1 años</v>
      </c>
    </row>
    <row r="771" customFormat="false" ht="13.8" hidden="false" customHeight="false" outlineLevel="0" collapsed="false">
      <c r="D771" s="128"/>
      <c r="E771" s="129"/>
      <c r="F771" s="129"/>
      <c r="G771" s="129"/>
      <c r="H771" s="130"/>
      <c r="I771" s="131"/>
      <c r="J771" s="128"/>
      <c r="K771" s="132"/>
      <c r="L771" s="132"/>
      <c r="M771" s="133"/>
      <c r="N771" s="133"/>
      <c r="O771" s="133"/>
      <c r="P771" s="129"/>
      <c r="Z771" s="75"/>
      <c r="AA771" s="76"/>
      <c r="AB771" s="76"/>
      <c r="AC771" s="129"/>
      <c r="AD771" s="134"/>
      <c r="AE771" s="134"/>
      <c r="AF771" s="134"/>
      <c r="AG771" s="134"/>
      <c r="AH771" s="134"/>
      <c r="AI771" s="134"/>
      <c r="AJ771" s="134"/>
      <c r="AK771" s="134"/>
      <c r="AL771" s="134"/>
      <c r="AM771" s="134"/>
      <c r="AN771" s="134"/>
      <c r="AO771" s="134"/>
      <c r="AP771" s="134"/>
      <c r="AQ771" s="134"/>
      <c r="AR771" s="134"/>
      <c r="AS771" s="134"/>
      <c r="AT771" s="134"/>
      <c r="AU771" s="134"/>
      <c r="AV771" s="134"/>
      <c r="AW771" s="134"/>
      <c r="AX771" s="134"/>
      <c r="AY771" s="134"/>
      <c r="AZ771" s="134"/>
      <c r="BA771" s="134"/>
      <c r="BB771" s="134"/>
      <c r="BC771" s="134"/>
      <c r="BD771" s="134"/>
      <c r="BE771" s="134"/>
      <c r="BF771" s="134"/>
      <c r="BG771" s="134"/>
      <c r="BH771" s="134"/>
      <c r="BI771" s="134"/>
      <c r="BJ771" s="134"/>
      <c r="BK771" s="134"/>
      <c r="BL771" s="134"/>
      <c r="BM771" s="135"/>
      <c r="BN771" s="136" t="n">
        <f aca="false">+MAX($D$3,DATOS_[[#This Row],[Fecha Inicio Sit. Contract.]])</f>
        <v>0</v>
      </c>
      <c r="BO771" s="136" t="n">
        <f aca="false">+MIN($D$4,DATOS_[[#This Row],[Fecha Fin Sit. Contract.]])</f>
        <v>0</v>
      </c>
      <c r="BP771" s="137" t="n">
        <f aca="false">+DATOS_[[#This Row],[% de jornada]]*IF(DATOS_[[#This Row],[% jornada reducida]]="",1,DATOS_[[#This Row],[% jornada reducida]])</f>
        <v>0</v>
      </c>
      <c r="BQ771" s="137" t="n">
        <f aca="false">+(DATOS_[[#This Row],[F.fin.cal]]-DATOS_[[#This Row],[F.ini.cal]]+1)/($D$4-$D$3+1)</f>
        <v>1</v>
      </c>
      <c r="BR771" s="137" t="str">
        <f aca="false">IF(OR(AND(DATOS_[[#This Row],[Fecha Fin Contrato]]&lt;$D$3,DATOS_[[#This Row],[Fecha Fin Contrato]]&lt;&gt;""),DATOS_[[#This Row],[Fecha de Contratación]]&gt;$D$4),"Fuera","Dentro")</f>
        <v>Dentro</v>
      </c>
      <c r="BS771" s="137" t="str">
        <f aca="false" t="array" ref="BS771:BS771">IF(MAX(IF(DATOS_[id]=DATOS_[[#This Row],[id]],DATOS_[F.fin.cal]))=DATOS_[[#This Row],[F.fin.cal]],"Sí","NO")</f>
        <v>Sí</v>
      </c>
      <c r="BT771" s="137" t="str">
        <f aca="false">IF(AND(DATOS_[[#This Row],[% normaliz]]&lt;&gt;1,DATOS_[[#This Row],[% anualiz]]=1),"Sí","NO")</f>
        <v>Sí</v>
      </c>
      <c r="BU771" s="137" t="str">
        <f aca="false">IF(AND(DATOS_[[#This Row],[% normaliz]]=1,DATOS_[[#This Row],[% anualiz]]&lt;&gt;1),"Sí","NO")</f>
        <v>NO</v>
      </c>
      <c r="BV771" s="137" t="str">
        <f aca="false">IF(AND(DATOS_[[#This Row],[% normaliz]]&lt;&gt;1,DATOS_[[#This Row],[% anualiz]]&lt;&gt;1),"Sí","NO")</f>
        <v>NO</v>
      </c>
      <c r="BW771" s="137" t="str">
        <f aca="false">+IF(DATOS_[[#This Row],[% normaliz]]*DATOS_[[#This Row],[% anualiz]]=1,"NO","Sí")</f>
        <v>Sí</v>
      </c>
      <c r="BX771" s="138" t="e">
        <f aca="false">(DATOS_[[#This Row],[S.BASE]]*(1/DATOS_[[#This Row],[% normaliz]])*(1/DATOS_[[#This Row],[% anualiz]]))*IF(DATOS_[[#This Row],[Check Equiparado]]="Sí",1,0)</f>
        <v>#DIV/0!</v>
      </c>
      <c r="BY7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1" s="138" t="e">
        <f aca="false">+DATOS_[[#This Row],[SALARIO BASE Eq]]+DATOS_[[#This Row],[Tot COMPL.SAL Eq]]</f>
        <v>#DIV/0!</v>
      </c>
      <c r="CA771" s="138" t="e">
        <f aca="false" t="array" ref="CA771:CA7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1" s="138" t="e">
        <f aca="false">+DATOS_[[#This Row],[TOTAL SALARIO Eq]]+DATOS_[[#This Row],[Tot Extrasalarial Eq]]</f>
        <v>#DIV/0!</v>
      </c>
      <c r="CC771" s="139" t="n">
        <f aca="false">DATOS_[[#This Row],[S.BASE]]</f>
        <v>0</v>
      </c>
      <c r="CD771" s="139" t="n">
        <f aca="false">+SUM(DATOS_[[#This Row],[Conc.Sal.01]:[Conc.Sal.30]])</f>
        <v>0</v>
      </c>
      <c r="CE771" s="139" t="n">
        <f aca="false">+DATOS_[[#This Row],[SALARIO BASE Ef]]+DATOS_[[#This Row],[Tot COMPL.SAL Ef]]</f>
        <v>0</v>
      </c>
      <c r="CF771" s="139" t="n">
        <f aca="false">+SUM(DATOS_[[#This Row],[C.Extra.01]:[C.Extra.05]])</f>
        <v>0</v>
      </c>
      <c r="CG771" s="139" t="n">
        <f aca="false">+DATOS_[[#This Row],[TOTAL SALARIO Ef]]+DATOS_[[#This Row],[Tot Extrasalarial Ef]]</f>
        <v>0</v>
      </c>
      <c r="CH771" s="140" t="n">
        <f aca="false">MIN(IF(DATOS_[[#This Row],[Fecha Fin Contrato]]="",$D$4,DATOS_[[#This Row],[Fecha Fin Contrato]]),$D$4)-MAX(DATOS_[[#This Row],[Fecha de Contratación]],$D$3)+1</f>
        <v>1</v>
      </c>
      <c r="CI771" s="141" t="str">
        <f aca="false">IF(COUNTIFS(DATOS_[id],DATOS_[[#This Row],[id]])&gt;1,DATOS_[[#This Row],[id]],"")</f>
        <v/>
      </c>
      <c r="CJ771" s="141" t="n">
        <f aca="false">(Inicio!$G$10-DATOS_[[#This Row],[Fecha Nacimiento]])/365.25</f>
        <v>0</v>
      </c>
      <c r="CK771" s="141" t="n">
        <f aca="false">(Inicio!$G$10-DATOS_[[#This Row],[Fecha de Antigüedad]])/365.25</f>
        <v>0</v>
      </c>
      <c r="CL771" s="141" t="e">
        <f aca="false">+VLOOKUP(DATOS_[[#This Row],[Clave de Contrato]],TblTiposContrato13[],3,0)</f>
        <v>#N/A</v>
      </c>
      <c r="CM771" s="141" t="e">
        <f aca="false">+VLOOKUP(DATOS_[[#This Row],[Clave de Contrato]],TblTiposContrato13[],4,0)</f>
        <v>#N/A</v>
      </c>
      <c r="CN771" s="141" t="str">
        <f aca="false">VLOOKUP(DATOS_[[#This Row],[Edad]],CONTRATOS!TblRngEdad,2,1)</f>
        <v>20  o menos</v>
      </c>
      <c r="CO771" s="141" t="str">
        <f aca="false">VLOOKUP(DATOS_[[#This Row],[Antigüedad]],TblRngAntg14[],2,1)</f>
        <v>0 a 1 años</v>
      </c>
    </row>
    <row r="772" customFormat="false" ht="13.8" hidden="false" customHeight="false" outlineLevel="0" collapsed="false">
      <c r="D772" s="128"/>
      <c r="E772" s="129"/>
      <c r="F772" s="129"/>
      <c r="G772" s="129"/>
      <c r="H772" s="130"/>
      <c r="I772" s="131"/>
      <c r="J772" s="128"/>
      <c r="K772" s="132"/>
      <c r="L772" s="132"/>
      <c r="M772" s="133"/>
      <c r="N772" s="133"/>
      <c r="O772" s="133"/>
      <c r="P772" s="129"/>
      <c r="Z772" s="75"/>
      <c r="AA772" s="76"/>
      <c r="AB772" s="76"/>
      <c r="AC772" s="129"/>
      <c r="AD772" s="134"/>
      <c r="AE772" s="134"/>
      <c r="AF772" s="134"/>
      <c r="AG772" s="134"/>
      <c r="AH772" s="134"/>
      <c r="AI772" s="134"/>
      <c r="AJ772" s="134"/>
      <c r="AK772" s="134"/>
      <c r="AL772" s="134"/>
      <c r="AM772" s="134"/>
      <c r="AN772" s="134"/>
      <c r="AO772" s="134"/>
      <c r="AP772" s="134"/>
      <c r="AQ772" s="134"/>
      <c r="AR772" s="134"/>
      <c r="AS772" s="134"/>
      <c r="AT772" s="134"/>
      <c r="AU772" s="134"/>
      <c r="AV772" s="134"/>
      <c r="AW772" s="134"/>
      <c r="AX772" s="134"/>
      <c r="AY772" s="134"/>
      <c r="AZ772" s="134"/>
      <c r="BA772" s="134"/>
      <c r="BB772" s="134"/>
      <c r="BC772" s="134"/>
      <c r="BD772" s="134"/>
      <c r="BE772" s="134"/>
      <c r="BF772" s="134"/>
      <c r="BG772" s="134"/>
      <c r="BH772" s="134"/>
      <c r="BI772" s="134"/>
      <c r="BJ772" s="134"/>
      <c r="BK772" s="134"/>
      <c r="BL772" s="134"/>
      <c r="BM772" s="135"/>
      <c r="BN772" s="136" t="n">
        <f aca="false">+MAX($D$3,DATOS_[[#This Row],[Fecha Inicio Sit. Contract.]])</f>
        <v>0</v>
      </c>
      <c r="BO772" s="136" t="n">
        <f aca="false">+MIN($D$4,DATOS_[[#This Row],[Fecha Fin Sit. Contract.]])</f>
        <v>0</v>
      </c>
      <c r="BP772" s="137" t="n">
        <f aca="false">+DATOS_[[#This Row],[% de jornada]]*IF(DATOS_[[#This Row],[% jornada reducida]]="",1,DATOS_[[#This Row],[% jornada reducida]])</f>
        <v>0</v>
      </c>
      <c r="BQ772" s="137" t="n">
        <f aca="false">+(DATOS_[[#This Row],[F.fin.cal]]-DATOS_[[#This Row],[F.ini.cal]]+1)/($D$4-$D$3+1)</f>
        <v>1</v>
      </c>
      <c r="BR772" s="137" t="str">
        <f aca="false">IF(OR(AND(DATOS_[[#This Row],[Fecha Fin Contrato]]&lt;$D$3,DATOS_[[#This Row],[Fecha Fin Contrato]]&lt;&gt;""),DATOS_[[#This Row],[Fecha de Contratación]]&gt;$D$4),"Fuera","Dentro")</f>
        <v>Dentro</v>
      </c>
      <c r="BS772" s="137" t="str">
        <f aca="false" t="array" ref="BS772:BS772">IF(MAX(IF(DATOS_[id]=DATOS_[[#This Row],[id]],DATOS_[F.fin.cal]))=DATOS_[[#This Row],[F.fin.cal]],"Sí","NO")</f>
        <v>Sí</v>
      </c>
      <c r="BT772" s="137" t="str">
        <f aca="false">IF(AND(DATOS_[[#This Row],[% normaliz]]&lt;&gt;1,DATOS_[[#This Row],[% anualiz]]=1),"Sí","NO")</f>
        <v>Sí</v>
      </c>
      <c r="BU772" s="137" t="str">
        <f aca="false">IF(AND(DATOS_[[#This Row],[% normaliz]]=1,DATOS_[[#This Row],[% anualiz]]&lt;&gt;1),"Sí","NO")</f>
        <v>NO</v>
      </c>
      <c r="BV772" s="137" t="str">
        <f aca="false">IF(AND(DATOS_[[#This Row],[% normaliz]]&lt;&gt;1,DATOS_[[#This Row],[% anualiz]]&lt;&gt;1),"Sí","NO")</f>
        <v>NO</v>
      </c>
      <c r="BW772" s="137" t="str">
        <f aca="false">+IF(DATOS_[[#This Row],[% normaliz]]*DATOS_[[#This Row],[% anualiz]]=1,"NO","Sí")</f>
        <v>Sí</v>
      </c>
      <c r="BX772" s="138" t="e">
        <f aca="false">(DATOS_[[#This Row],[S.BASE]]*(1/DATOS_[[#This Row],[% normaliz]])*(1/DATOS_[[#This Row],[% anualiz]]))*IF(DATOS_[[#This Row],[Check Equiparado]]="Sí",1,0)</f>
        <v>#DIV/0!</v>
      </c>
      <c r="BY7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2" s="138" t="e">
        <f aca="false">+DATOS_[[#This Row],[SALARIO BASE Eq]]+DATOS_[[#This Row],[Tot COMPL.SAL Eq]]</f>
        <v>#DIV/0!</v>
      </c>
      <c r="CA772" s="138" t="e">
        <f aca="false" t="array" ref="CA772:CA7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2" s="138" t="e">
        <f aca="false">+DATOS_[[#This Row],[TOTAL SALARIO Eq]]+DATOS_[[#This Row],[Tot Extrasalarial Eq]]</f>
        <v>#DIV/0!</v>
      </c>
      <c r="CC772" s="139" t="n">
        <f aca="false">DATOS_[[#This Row],[S.BASE]]</f>
        <v>0</v>
      </c>
      <c r="CD772" s="139" t="n">
        <f aca="false">+SUM(DATOS_[[#This Row],[Conc.Sal.01]:[Conc.Sal.30]])</f>
        <v>0</v>
      </c>
      <c r="CE772" s="139" t="n">
        <f aca="false">+DATOS_[[#This Row],[SALARIO BASE Ef]]+DATOS_[[#This Row],[Tot COMPL.SAL Ef]]</f>
        <v>0</v>
      </c>
      <c r="CF772" s="139" t="n">
        <f aca="false">+SUM(DATOS_[[#This Row],[C.Extra.01]:[C.Extra.05]])</f>
        <v>0</v>
      </c>
      <c r="CG772" s="139" t="n">
        <f aca="false">+DATOS_[[#This Row],[TOTAL SALARIO Ef]]+DATOS_[[#This Row],[Tot Extrasalarial Ef]]</f>
        <v>0</v>
      </c>
      <c r="CH772" s="140" t="n">
        <f aca="false">MIN(IF(DATOS_[[#This Row],[Fecha Fin Contrato]]="",$D$4,DATOS_[[#This Row],[Fecha Fin Contrato]]),$D$4)-MAX(DATOS_[[#This Row],[Fecha de Contratación]],$D$3)+1</f>
        <v>1</v>
      </c>
      <c r="CI772" s="141" t="str">
        <f aca="false">IF(COUNTIFS(DATOS_[id],DATOS_[[#This Row],[id]])&gt;1,DATOS_[[#This Row],[id]],"")</f>
        <v/>
      </c>
      <c r="CJ772" s="141" t="n">
        <f aca="false">(Inicio!$G$10-DATOS_[[#This Row],[Fecha Nacimiento]])/365.25</f>
        <v>0</v>
      </c>
      <c r="CK772" s="141" t="n">
        <f aca="false">(Inicio!$G$10-DATOS_[[#This Row],[Fecha de Antigüedad]])/365.25</f>
        <v>0</v>
      </c>
      <c r="CL772" s="141" t="e">
        <f aca="false">+VLOOKUP(DATOS_[[#This Row],[Clave de Contrato]],TblTiposContrato13[],3,0)</f>
        <v>#N/A</v>
      </c>
      <c r="CM772" s="141" t="e">
        <f aca="false">+VLOOKUP(DATOS_[[#This Row],[Clave de Contrato]],TblTiposContrato13[],4,0)</f>
        <v>#N/A</v>
      </c>
      <c r="CN772" s="141" t="str">
        <f aca="false">VLOOKUP(DATOS_[[#This Row],[Edad]],CONTRATOS!TblRngEdad,2,1)</f>
        <v>20  o menos</v>
      </c>
      <c r="CO772" s="141" t="str">
        <f aca="false">VLOOKUP(DATOS_[[#This Row],[Antigüedad]],TblRngAntg14[],2,1)</f>
        <v>0 a 1 años</v>
      </c>
    </row>
    <row r="773" customFormat="false" ht="13.8" hidden="false" customHeight="false" outlineLevel="0" collapsed="false">
      <c r="D773" s="128"/>
      <c r="E773" s="129"/>
      <c r="F773" s="129"/>
      <c r="G773" s="129"/>
      <c r="H773" s="130"/>
      <c r="I773" s="131"/>
      <c r="J773" s="128"/>
      <c r="K773" s="132"/>
      <c r="L773" s="132"/>
      <c r="M773" s="133"/>
      <c r="N773" s="133"/>
      <c r="O773" s="133"/>
      <c r="P773" s="129"/>
      <c r="Z773" s="75"/>
      <c r="AA773" s="76"/>
      <c r="AB773" s="76"/>
      <c r="AC773" s="129"/>
      <c r="AD773" s="134"/>
      <c r="AE773" s="134"/>
      <c r="AF773" s="134"/>
      <c r="AG773" s="134"/>
      <c r="AH773" s="134"/>
      <c r="AI773" s="134"/>
      <c r="AJ773" s="134"/>
      <c r="AK773" s="134"/>
      <c r="AL773" s="134"/>
      <c r="AM773" s="134"/>
      <c r="AN773" s="134"/>
      <c r="AO773" s="134"/>
      <c r="AP773" s="134"/>
      <c r="AQ773" s="134"/>
      <c r="AR773" s="134"/>
      <c r="AS773" s="134"/>
      <c r="AT773" s="134"/>
      <c r="AU773" s="134"/>
      <c r="AV773" s="134"/>
      <c r="AW773" s="134"/>
      <c r="AX773" s="134"/>
      <c r="AY773" s="134"/>
      <c r="AZ773" s="134"/>
      <c r="BA773" s="134"/>
      <c r="BB773" s="134"/>
      <c r="BC773" s="134"/>
      <c r="BD773" s="134"/>
      <c r="BE773" s="134"/>
      <c r="BF773" s="134"/>
      <c r="BG773" s="134"/>
      <c r="BH773" s="134"/>
      <c r="BI773" s="134"/>
      <c r="BJ773" s="134"/>
      <c r="BK773" s="134"/>
      <c r="BL773" s="134"/>
      <c r="BM773" s="135"/>
      <c r="BN773" s="136" t="n">
        <f aca="false">+MAX($D$3,DATOS_[[#This Row],[Fecha Inicio Sit. Contract.]])</f>
        <v>0</v>
      </c>
      <c r="BO773" s="136" t="n">
        <f aca="false">+MIN($D$4,DATOS_[[#This Row],[Fecha Fin Sit. Contract.]])</f>
        <v>0</v>
      </c>
      <c r="BP773" s="137" t="n">
        <f aca="false">+DATOS_[[#This Row],[% de jornada]]*IF(DATOS_[[#This Row],[% jornada reducida]]="",1,DATOS_[[#This Row],[% jornada reducida]])</f>
        <v>0</v>
      </c>
      <c r="BQ773" s="137" t="n">
        <f aca="false">+(DATOS_[[#This Row],[F.fin.cal]]-DATOS_[[#This Row],[F.ini.cal]]+1)/($D$4-$D$3+1)</f>
        <v>1</v>
      </c>
      <c r="BR773" s="137" t="str">
        <f aca="false">IF(OR(AND(DATOS_[[#This Row],[Fecha Fin Contrato]]&lt;$D$3,DATOS_[[#This Row],[Fecha Fin Contrato]]&lt;&gt;""),DATOS_[[#This Row],[Fecha de Contratación]]&gt;$D$4),"Fuera","Dentro")</f>
        <v>Dentro</v>
      </c>
      <c r="BS773" s="137" t="str">
        <f aca="false" t="array" ref="BS773:BS773">IF(MAX(IF(DATOS_[id]=DATOS_[[#This Row],[id]],DATOS_[F.fin.cal]))=DATOS_[[#This Row],[F.fin.cal]],"Sí","NO")</f>
        <v>Sí</v>
      </c>
      <c r="BT773" s="137" t="str">
        <f aca="false">IF(AND(DATOS_[[#This Row],[% normaliz]]&lt;&gt;1,DATOS_[[#This Row],[% anualiz]]=1),"Sí","NO")</f>
        <v>Sí</v>
      </c>
      <c r="BU773" s="137" t="str">
        <f aca="false">IF(AND(DATOS_[[#This Row],[% normaliz]]=1,DATOS_[[#This Row],[% anualiz]]&lt;&gt;1),"Sí","NO")</f>
        <v>NO</v>
      </c>
      <c r="BV773" s="137" t="str">
        <f aca="false">IF(AND(DATOS_[[#This Row],[% normaliz]]&lt;&gt;1,DATOS_[[#This Row],[% anualiz]]&lt;&gt;1),"Sí","NO")</f>
        <v>NO</v>
      </c>
      <c r="BW773" s="137" t="str">
        <f aca="false">+IF(DATOS_[[#This Row],[% normaliz]]*DATOS_[[#This Row],[% anualiz]]=1,"NO","Sí")</f>
        <v>Sí</v>
      </c>
      <c r="BX773" s="138" t="e">
        <f aca="false">(DATOS_[[#This Row],[S.BASE]]*(1/DATOS_[[#This Row],[% normaliz]])*(1/DATOS_[[#This Row],[% anualiz]]))*IF(DATOS_[[#This Row],[Check Equiparado]]="Sí",1,0)</f>
        <v>#DIV/0!</v>
      </c>
      <c r="BY7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3" s="138" t="e">
        <f aca="false">+DATOS_[[#This Row],[SALARIO BASE Eq]]+DATOS_[[#This Row],[Tot COMPL.SAL Eq]]</f>
        <v>#DIV/0!</v>
      </c>
      <c r="CA773" s="138" t="e">
        <f aca="false" t="array" ref="CA773:CA7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3" s="138" t="e">
        <f aca="false">+DATOS_[[#This Row],[TOTAL SALARIO Eq]]+DATOS_[[#This Row],[Tot Extrasalarial Eq]]</f>
        <v>#DIV/0!</v>
      </c>
      <c r="CC773" s="139" t="n">
        <f aca="false">DATOS_[[#This Row],[S.BASE]]</f>
        <v>0</v>
      </c>
      <c r="CD773" s="139" t="n">
        <f aca="false">+SUM(DATOS_[[#This Row],[Conc.Sal.01]:[Conc.Sal.30]])</f>
        <v>0</v>
      </c>
      <c r="CE773" s="139" t="n">
        <f aca="false">+DATOS_[[#This Row],[SALARIO BASE Ef]]+DATOS_[[#This Row],[Tot COMPL.SAL Ef]]</f>
        <v>0</v>
      </c>
      <c r="CF773" s="139" t="n">
        <f aca="false">+SUM(DATOS_[[#This Row],[C.Extra.01]:[C.Extra.05]])</f>
        <v>0</v>
      </c>
      <c r="CG773" s="139" t="n">
        <f aca="false">+DATOS_[[#This Row],[TOTAL SALARIO Ef]]+DATOS_[[#This Row],[Tot Extrasalarial Ef]]</f>
        <v>0</v>
      </c>
      <c r="CH773" s="140" t="n">
        <f aca="false">MIN(IF(DATOS_[[#This Row],[Fecha Fin Contrato]]="",$D$4,DATOS_[[#This Row],[Fecha Fin Contrato]]),$D$4)-MAX(DATOS_[[#This Row],[Fecha de Contratación]],$D$3)+1</f>
        <v>1</v>
      </c>
      <c r="CI773" s="141" t="str">
        <f aca="false">IF(COUNTIFS(DATOS_[id],DATOS_[[#This Row],[id]])&gt;1,DATOS_[[#This Row],[id]],"")</f>
        <v/>
      </c>
      <c r="CJ773" s="141" t="n">
        <f aca="false">(Inicio!$G$10-DATOS_[[#This Row],[Fecha Nacimiento]])/365.25</f>
        <v>0</v>
      </c>
      <c r="CK773" s="141" t="n">
        <f aca="false">(Inicio!$G$10-DATOS_[[#This Row],[Fecha de Antigüedad]])/365.25</f>
        <v>0</v>
      </c>
      <c r="CL773" s="141" t="e">
        <f aca="false">+VLOOKUP(DATOS_[[#This Row],[Clave de Contrato]],TblTiposContrato13[],3,0)</f>
        <v>#N/A</v>
      </c>
      <c r="CM773" s="141" t="e">
        <f aca="false">+VLOOKUP(DATOS_[[#This Row],[Clave de Contrato]],TblTiposContrato13[],4,0)</f>
        <v>#N/A</v>
      </c>
      <c r="CN773" s="141" t="str">
        <f aca="false">VLOOKUP(DATOS_[[#This Row],[Edad]],CONTRATOS!TblRngEdad,2,1)</f>
        <v>20  o menos</v>
      </c>
      <c r="CO773" s="141" t="str">
        <f aca="false">VLOOKUP(DATOS_[[#This Row],[Antigüedad]],TblRngAntg14[],2,1)</f>
        <v>0 a 1 años</v>
      </c>
    </row>
    <row r="774" customFormat="false" ht="13.8" hidden="false" customHeight="false" outlineLevel="0" collapsed="false">
      <c r="D774" s="128"/>
      <c r="E774" s="129"/>
      <c r="F774" s="129"/>
      <c r="G774" s="129"/>
      <c r="H774" s="130"/>
      <c r="I774" s="131"/>
      <c r="J774" s="128"/>
      <c r="K774" s="132"/>
      <c r="L774" s="132"/>
      <c r="M774" s="133"/>
      <c r="N774" s="133"/>
      <c r="O774" s="133"/>
      <c r="P774" s="129"/>
      <c r="Z774" s="75"/>
      <c r="AA774" s="76"/>
      <c r="AB774" s="76"/>
      <c r="AC774" s="129"/>
      <c r="AD774" s="134"/>
      <c r="AE774" s="134"/>
      <c r="AF774" s="134"/>
      <c r="AG774" s="134"/>
      <c r="AH774" s="134"/>
      <c r="AI774" s="134"/>
      <c r="AJ774" s="134"/>
      <c r="AK774" s="134"/>
      <c r="AL774" s="134"/>
      <c r="AM774" s="134"/>
      <c r="AN774" s="134"/>
      <c r="AO774" s="134"/>
      <c r="AP774" s="134"/>
      <c r="AQ774" s="134"/>
      <c r="AR774" s="134"/>
      <c r="AS774" s="134"/>
      <c r="AT774" s="134"/>
      <c r="AU774" s="134"/>
      <c r="AV774" s="134"/>
      <c r="AW774" s="134"/>
      <c r="AX774" s="134"/>
      <c r="AY774" s="134"/>
      <c r="AZ774" s="134"/>
      <c r="BA774" s="134"/>
      <c r="BB774" s="134"/>
      <c r="BC774" s="134"/>
      <c r="BD774" s="134"/>
      <c r="BE774" s="134"/>
      <c r="BF774" s="134"/>
      <c r="BG774" s="134"/>
      <c r="BH774" s="134"/>
      <c r="BI774" s="134"/>
      <c r="BJ774" s="134"/>
      <c r="BK774" s="134"/>
      <c r="BL774" s="134"/>
      <c r="BM774" s="135"/>
      <c r="BN774" s="136" t="n">
        <f aca="false">+MAX($D$3,DATOS_[[#This Row],[Fecha Inicio Sit. Contract.]])</f>
        <v>0</v>
      </c>
      <c r="BO774" s="136" t="n">
        <f aca="false">+MIN($D$4,DATOS_[[#This Row],[Fecha Fin Sit. Contract.]])</f>
        <v>0</v>
      </c>
      <c r="BP774" s="137" t="n">
        <f aca="false">+DATOS_[[#This Row],[% de jornada]]*IF(DATOS_[[#This Row],[% jornada reducida]]="",1,DATOS_[[#This Row],[% jornada reducida]])</f>
        <v>0</v>
      </c>
      <c r="BQ774" s="137" t="n">
        <f aca="false">+(DATOS_[[#This Row],[F.fin.cal]]-DATOS_[[#This Row],[F.ini.cal]]+1)/($D$4-$D$3+1)</f>
        <v>1</v>
      </c>
      <c r="BR774" s="137" t="str">
        <f aca="false">IF(OR(AND(DATOS_[[#This Row],[Fecha Fin Contrato]]&lt;$D$3,DATOS_[[#This Row],[Fecha Fin Contrato]]&lt;&gt;""),DATOS_[[#This Row],[Fecha de Contratación]]&gt;$D$4),"Fuera","Dentro")</f>
        <v>Dentro</v>
      </c>
      <c r="BS774" s="137" t="str">
        <f aca="false" t="array" ref="BS774:BS774">IF(MAX(IF(DATOS_[id]=DATOS_[[#This Row],[id]],DATOS_[F.fin.cal]))=DATOS_[[#This Row],[F.fin.cal]],"Sí","NO")</f>
        <v>Sí</v>
      </c>
      <c r="BT774" s="137" t="str">
        <f aca="false">IF(AND(DATOS_[[#This Row],[% normaliz]]&lt;&gt;1,DATOS_[[#This Row],[% anualiz]]=1),"Sí","NO")</f>
        <v>Sí</v>
      </c>
      <c r="BU774" s="137" t="str">
        <f aca="false">IF(AND(DATOS_[[#This Row],[% normaliz]]=1,DATOS_[[#This Row],[% anualiz]]&lt;&gt;1),"Sí","NO")</f>
        <v>NO</v>
      </c>
      <c r="BV774" s="137" t="str">
        <f aca="false">IF(AND(DATOS_[[#This Row],[% normaliz]]&lt;&gt;1,DATOS_[[#This Row],[% anualiz]]&lt;&gt;1),"Sí","NO")</f>
        <v>NO</v>
      </c>
      <c r="BW774" s="137" t="str">
        <f aca="false">+IF(DATOS_[[#This Row],[% normaliz]]*DATOS_[[#This Row],[% anualiz]]=1,"NO","Sí")</f>
        <v>Sí</v>
      </c>
      <c r="BX774" s="138" t="e">
        <f aca="false">(DATOS_[[#This Row],[S.BASE]]*(1/DATOS_[[#This Row],[% normaliz]])*(1/DATOS_[[#This Row],[% anualiz]]))*IF(DATOS_[[#This Row],[Check Equiparado]]="Sí",1,0)</f>
        <v>#DIV/0!</v>
      </c>
      <c r="BY7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4" s="138" t="e">
        <f aca="false">+DATOS_[[#This Row],[SALARIO BASE Eq]]+DATOS_[[#This Row],[Tot COMPL.SAL Eq]]</f>
        <v>#DIV/0!</v>
      </c>
      <c r="CA774" s="138" t="e">
        <f aca="false" t="array" ref="CA774:CA7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4" s="138" t="e">
        <f aca="false">+DATOS_[[#This Row],[TOTAL SALARIO Eq]]+DATOS_[[#This Row],[Tot Extrasalarial Eq]]</f>
        <v>#DIV/0!</v>
      </c>
      <c r="CC774" s="139" t="n">
        <f aca="false">DATOS_[[#This Row],[S.BASE]]</f>
        <v>0</v>
      </c>
      <c r="CD774" s="139" t="n">
        <f aca="false">+SUM(DATOS_[[#This Row],[Conc.Sal.01]:[Conc.Sal.30]])</f>
        <v>0</v>
      </c>
      <c r="CE774" s="139" t="n">
        <f aca="false">+DATOS_[[#This Row],[SALARIO BASE Ef]]+DATOS_[[#This Row],[Tot COMPL.SAL Ef]]</f>
        <v>0</v>
      </c>
      <c r="CF774" s="139" t="n">
        <f aca="false">+SUM(DATOS_[[#This Row],[C.Extra.01]:[C.Extra.05]])</f>
        <v>0</v>
      </c>
      <c r="CG774" s="139" t="n">
        <f aca="false">+DATOS_[[#This Row],[TOTAL SALARIO Ef]]+DATOS_[[#This Row],[Tot Extrasalarial Ef]]</f>
        <v>0</v>
      </c>
      <c r="CH774" s="140" t="n">
        <f aca="false">MIN(IF(DATOS_[[#This Row],[Fecha Fin Contrato]]="",$D$4,DATOS_[[#This Row],[Fecha Fin Contrato]]),$D$4)-MAX(DATOS_[[#This Row],[Fecha de Contratación]],$D$3)+1</f>
        <v>1</v>
      </c>
      <c r="CI774" s="141" t="str">
        <f aca="false">IF(COUNTIFS(DATOS_[id],DATOS_[[#This Row],[id]])&gt;1,DATOS_[[#This Row],[id]],"")</f>
        <v/>
      </c>
      <c r="CJ774" s="141" t="n">
        <f aca="false">(Inicio!$G$10-DATOS_[[#This Row],[Fecha Nacimiento]])/365.25</f>
        <v>0</v>
      </c>
      <c r="CK774" s="141" t="n">
        <f aca="false">(Inicio!$G$10-DATOS_[[#This Row],[Fecha de Antigüedad]])/365.25</f>
        <v>0</v>
      </c>
      <c r="CL774" s="141" t="e">
        <f aca="false">+VLOOKUP(DATOS_[[#This Row],[Clave de Contrato]],TblTiposContrato13[],3,0)</f>
        <v>#N/A</v>
      </c>
      <c r="CM774" s="141" t="e">
        <f aca="false">+VLOOKUP(DATOS_[[#This Row],[Clave de Contrato]],TblTiposContrato13[],4,0)</f>
        <v>#N/A</v>
      </c>
      <c r="CN774" s="141" t="str">
        <f aca="false">VLOOKUP(DATOS_[[#This Row],[Edad]],CONTRATOS!TblRngEdad,2,1)</f>
        <v>20  o menos</v>
      </c>
      <c r="CO774" s="141" t="str">
        <f aca="false">VLOOKUP(DATOS_[[#This Row],[Antigüedad]],TblRngAntg14[],2,1)</f>
        <v>0 a 1 años</v>
      </c>
    </row>
    <row r="775" customFormat="false" ht="13.8" hidden="false" customHeight="false" outlineLevel="0" collapsed="false">
      <c r="D775" s="128"/>
      <c r="E775" s="129"/>
      <c r="F775" s="129"/>
      <c r="G775" s="129"/>
      <c r="H775" s="130"/>
      <c r="I775" s="131"/>
      <c r="J775" s="128"/>
      <c r="K775" s="132"/>
      <c r="L775" s="132"/>
      <c r="M775" s="133"/>
      <c r="N775" s="133"/>
      <c r="O775" s="133"/>
      <c r="P775" s="129"/>
      <c r="Z775" s="75"/>
      <c r="AA775" s="76"/>
      <c r="AB775" s="76"/>
      <c r="AC775" s="129"/>
      <c r="AD775" s="134"/>
      <c r="AE775" s="134"/>
      <c r="AF775" s="134"/>
      <c r="AG775" s="134"/>
      <c r="AH775" s="134"/>
      <c r="AI775" s="134"/>
      <c r="AJ775" s="134"/>
      <c r="AK775" s="134"/>
      <c r="AL775" s="134"/>
      <c r="AM775" s="134"/>
      <c r="AN775" s="134"/>
      <c r="AO775" s="134"/>
      <c r="AP775" s="134"/>
      <c r="AQ775" s="134"/>
      <c r="AR775" s="134"/>
      <c r="AS775" s="134"/>
      <c r="AT775" s="134"/>
      <c r="AU775" s="134"/>
      <c r="AV775" s="134"/>
      <c r="AW775" s="134"/>
      <c r="AX775" s="134"/>
      <c r="AY775" s="134"/>
      <c r="AZ775" s="134"/>
      <c r="BA775" s="134"/>
      <c r="BB775" s="134"/>
      <c r="BC775" s="134"/>
      <c r="BD775" s="134"/>
      <c r="BE775" s="134"/>
      <c r="BF775" s="134"/>
      <c r="BG775" s="134"/>
      <c r="BH775" s="134"/>
      <c r="BI775" s="134"/>
      <c r="BJ775" s="134"/>
      <c r="BK775" s="134"/>
      <c r="BL775" s="134"/>
      <c r="BM775" s="135"/>
      <c r="BN775" s="136" t="n">
        <f aca="false">+MAX($D$3,DATOS_[[#This Row],[Fecha Inicio Sit. Contract.]])</f>
        <v>0</v>
      </c>
      <c r="BO775" s="136" t="n">
        <f aca="false">+MIN($D$4,DATOS_[[#This Row],[Fecha Fin Sit. Contract.]])</f>
        <v>0</v>
      </c>
      <c r="BP775" s="137" t="n">
        <f aca="false">+DATOS_[[#This Row],[% de jornada]]*IF(DATOS_[[#This Row],[% jornada reducida]]="",1,DATOS_[[#This Row],[% jornada reducida]])</f>
        <v>0</v>
      </c>
      <c r="BQ775" s="137" t="n">
        <f aca="false">+(DATOS_[[#This Row],[F.fin.cal]]-DATOS_[[#This Row],[F.ini.cal]]+1)/($D$4-$D$3+1)</f>
        <v>1</v>
      </c>
      <c r="BR775" s="137" t="str">
        <f aca="false">IF(OR(AND(DATOS_[[#This Row],[Fecha Fin Contrato]]&lt;$D$3,DATOS_[[#This Row],[Fecha Fin Contrato]]&lt;&gt;""),DATOS_[[#This Row],[Fecha de Contratación]]&gt;$D$4),"Fuera","Dentro")</f>
        <v>Dentro</v>
      </c>
      <c r="BS775" s="137" t="str">
        <f aca="false" t="array" ref="BS775:BS775">IF(MAX(IF(DATOS_[id]=DATOS_[[#This Row],[id]],DATOS_[F.fin.cal]))=DATOS_[[#This Row],[F.fin.cal]],"Sí","NO")</f>
        <v>Sí</v>
      </c>
      <c r="BT775" s="137" t="str">
        <f aca="false">IF(AND(DATOS_[[#This Row],[% normaliz]]&lt;&gt;1,DATOS_[[#This Row],[% anualiz]]=1),"Sí","NO")</f>
        <v>Sí</v>
      </c>
      <c r="BU775" s="137" t="str">
        <f aca="false">IF(AND(DATOS_[[#This Row],[% normaliz]]=1,DATOS_[[#This Row],[% anualiz]]&lt;&gt;1),"Sí","NO")</f>
        <v>NO</v>
      </c>
      <c r="BV775" s="137" t="str">
        <f aca="false">IF(AND(DATOS_[[#This Row],[% normaliz]]&lt;&gt;1,DATOS_[[#This Row],[% anualiz]]&lt;&gt;1),"Sí","NO")</f>
        <v>NO</v>
      </c>
      <c r="BW775" s="137" t="str">
        <f aca="false">+IF(DATOS_[[#This Row],[% normaliz]]*DATOS_[[#This Row],[% anualiz]]=1,"NO","Sí")</f>
        <v>Sí</v>
      </c>
      <c r="BX775" s="138" t="e">
        <f aca="false">(DATOS_[[#This Row],[S.BASE]]*(1/DATOS_[[#This Row],[% normaliz]])*(1/DATOS_[[#This Row],[% anualiz]]))*IF(DATOS_[[#This Row],[Check Equiparado]]="Sí",1,0)</f>
        <v>#DIV/0!</v>
      </c>
      <c r="BY7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5" s="138" t="e">
        <f aca="false">+DATOS_[[#This Row],[SALARIO BASE Eq]]+DATOS_[[#This Row],[Tot COMPL.SAL Eq]]</f>
        <v>#DIV/0!</v>
      </c>
      <c r="CA775" s="138" t="e">
        <f aca="false" t="array" ref="CA775:CA7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5" s="138" t="e">
        <f aca="false">+DATOS_[[#This Row],[TOTAL SALARIO Eq]]+DATOS_[[#This Row],[Tot Extrasalarial Eq]]</f>
        <v>#DIV/0!</v>
      </c>
      <c r="CC775" s="139" t="n">
        <f aca="false">DATOS_[[#This Row],[S.BASE]]</f>
        <v>0</v>
      </c>
      <c r="CD775" s="139" t="n">
        <f aca="false">+SUM(DATOS_[[#This Row],[Conc.Sal.01]:[Conc.Sal.30]])</f>
        <v>0</v>
      </c>
      <c r="CE775" s="139" t="n">
        <f aca="false">+DATOS_[[#This Row],[SALARIO BASE Ef]]+DATOS_[[#This Row],[Tot COMPL.SAL Ef]]</f>
        <v>0</v>
      </c>
      <c r="CF775" s="139" t="n">
        <f aca="false">+SUM(DATOS_[[#This Row],[C.Extra.01]:[C.Extra.05]])</f>
        <v>0</v>
      </c>
      <c r="CG775" s="139" t="n">
        <f aca="false">+DATOS_[[#This Row],[TOTAL SALARIO Ef]]+DATOS_[[#This Row],[Tot Extrasalarial Ef]]</f>
        <v>0</v>
      </c>
      <c r="CH775" s="140" t="n">
        <f aca="false">MIN(IF(DATOS_[[#This Row],[Fecha Fin Contrato]]="",$D$4,DATOS_[[#This Row],[Fecha Fin Contrato]]),$D$4)-MAX(DATOS_[[#This Row],[Fecha de Contratación]],$D$3)+1</f>
        <v>1</v>
      </c>
      <c r="CI775" s="141" t="str">
        <f aca="false">IF(COUNTIFS(DATOS_[id],DATOS_[[#This Row],[id]])&gt;1,DATOS_[[#This Row],[id]],"")</f>
        <v/>
      </c>
      <c r="CJ775" s="141" t="n">
        <f aca="false">(Inicio!$G$10-DATOS_[[#This Row],[Fecha Nacimiento]])/365.25</f>
        <v>0</v>
      </c>
      <c r="CK775" s="141" t="n">
        <f aca="false">(Inicio!$G$10-DATOS_[[#This Row],[Fecha de Antigüedad]])/365.25</f>
        <v>0</v>
      </c>
      <c r="CL775" s="141" t="e">
        <f aca="false">+VLOOKUP(DATOS_[[#This Row],[Clave de Contrato]],TblTiposContrato13[],3,0)</f>
        <v>#N/A</v>
      </c>
      <c r="CM775" s="141" t="e">
        <f aca="false">+VLOOKUP(DATOS_[[#This Row],[Clave de Contrato]],TblTiposContrato13[],4,0)</f>
        <v>#N/A</v>
      </c>
      <c r="CN775" s="141" t="str">
        <f aca="false">VLOOKUP(DATOS_[[#This Row],[Edad]],CONTRATOS!TblRngEdad,2,1)</f>
        <v>20  o menos</v>
      </c>
      <c r="CO775" s="141" t="str">
        <f aca="false">VLOOKUP(DATOS_[[#This Row],[Antigüedad]],TblRngAntg14[],2,1)</f>
        <v>0 a 1 años</v>
      </c>
    </row>
    <row r="776" customFormat="false" ht="13.8" hidden="false" customHeight="false" outlineLevel="0" collapsed="false">
      <c r="D776" s="128"/>
      <c r="E776" s="129"/>
      <c r="F776" s="129"/>
      <c r="G776" s="129"/>
      <c r="H776" s="130"/>
      <c r="I776" s="131"/>
      <c r="J776" s="128"/>
      <c r="K776" s="132"/>
      <c r="L776" s="132"/>
      <c r="M776" s="133"/>
      <c r="N776" s="133"/>
      <c r="O776" s="133"/>
      <c r="P776" s="129"/>
      <c r="Z776" s="75"/>
      <c r="AA776" s="76"/>
      <c r="AB776" s="76"/>
      <c r="AC776" s="129"/>
      <c r="AD776" s="134"/>
      <c r="AE776" s="134"/>
      <c r="AF776" s="134"/>
      <c r="AG776" s="134"/>
      <c r="AH776" s="134"/>
      <c r="AI776" s="134"/>
      <c r="AJ776" s="134"/>
      <c r="AK776" s="134"/>
      <c r="AL776" s="134"/>
      <c r="AM776" s="134"/>
      <c r="AN776" s="134"/>
      <c r="AO776" s="134"/>
      <c r="AP776" s="134"/>
      <c r="AQ776" s="134"/>
      <c r="AR776" s="134"/>
      <c r="AS776" s="134"/>
      <c r="AT776" s="134"/>
      <c r="AU776" s="134"/>
      <c r="AV776" s="134"/>
      <c r="AW776" s="134"/>
      <c r="AX776" s="134"/>
      <c r="AY776" s="134"/>
      <c r="AZ776" s="134"/>
      <c r="BA776" s="134"/>
      <c r="BB776" s="134"/>
      <c r="BC776" s="134"/>
      <c r="BD776" s="134"/>
      <c r="BE776" s="134"/>
      <c r="BF776" s="134"/>
      <c r="BG776" s="134"/>
      <c r="BH776" s="134"/>
      <c r="BI776" s="134"/>
      <c r="BJ776" s="134"/>
      <c r="BK776" s="134"/>
      <c r="BL776" s="134"/>
      <c r="BM776" s="135"/>
      <c r="BN776" s="136" t="n">
        <f aca="false">+MAX($D$3,DATOS_[[#This Row],[Fecha Inicio Sit. Contract.]])</f>
        <v>0</v>
      </c>
      <c r="BO776" s="136" t="n">
        <f aca="false">+MIN($D$4,DATOS_[[#This Row],[Fecha Fin Sit. Contract.]])</f>
        <v>0</v>
      </c>
      <c r="BP776" s="137" t="n">
        <f aca="false">+DATOS_[[#This Row],[% de jornada]]*IF(DATOS_[[#This Row],[% jornada reducida]]="",1,DATOS_[[#This Row],[% jornada reducida]])</f>
        <v>0</v>
      </c>
      <c r="BQ776" s="137" t="n">
        <f aca="false">+(DATOS_[[#This Row],[F.fin.cal]]-DATOS_[[#This Row],[F.ini.cal]]+1)/($D$4-$D$3+1)</f>
        <v>1</v>
      </c>
      <c r="BR776" s="137" t="str">
        <f aca="false">IF(OR(AND(DATOS_[[#This Row],[Fecha Fin Contrato]]&lt;$D$3,DATOS_[[#This Row],[Fecha Fin Contrato]]&lt;&gt;""),DATOS_[[#This Row],[Fecha de Contratación]]&gt;$D$4),"Fuera","Dentro")</f>
        <v>Dentro</v>
      </c>
      <c r="BS776" s="137" t="str">
        <f aca="false" t="array" ref="BS776:BS776">IF(MAX(IF(DATOS_[id]=DATOS_[[#This Row],[id]],DATOS_[F.fin.cal]))=DATOS_[[#This Row],[F.fin.cal]],"Sí","NO")</f>
        <v>Sí</v>
      </c>
      <c r="BT776" s="137" t="str">
        <f aca="false">IF(AND(DATOS_[[#This Row],[% normaliz]]&lt;&gt;1,DATOS_[[#This Row],[% anualiz]]=1),"Sí","NO")</f>
        <v>Sí</v>
      </c>
      <c r="BU776" s="137" t="str">
        <f aca="false">IF(AND(DATOS_[[#This Row],[% normaliz]]=1,DATOS_[[#This Row],[% anualiz]]&lt;&gt;1),"Sí","NO")</f>
        <v>NO</v>
      </c>
      <c r="BV776" s="137" t="str">
        <f aca="false">IF(AND(DATOS_[[#This Row],[% normaliz]]&lt;&gt;1,DATOS_[[#This Row],[% anualiz]]&lt;&gt;1),"Sí","NO")</f>
        <v>NO</v>
      </c>
      <c r="BW776" s="137" t="str">
        <f aca="false">+IF(DATOS_[[#This Row],[% normaliz]]*DATOS_[[#This Row],[% anualiz]]=1,"NO","Sí")</f>
        <v>Sí</v>
      </c>
      <c r="BX776" s="138" t="e">
        <f aca="false">(DATOS_[[#This Row],[S.BASE]]*(1/DATOS_[[#This Row],[% normaliz]])*(1/DATOS_[[#This Row],[% anualiz]]))*IF(DATOS_[[#This Row],[Check Equiparado]]="Sí",1,0)</f>
        <v>#DIV/0!</v>
      </c>
      <c r="BY7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6" s="138" t="e">
        <f aca="false">+DATOS_[[#This Row],[SALARIO BASE Eq]]+DATOS_[[#This Row],[Tot COMPL.SAL Eq]]</f>
        <v>#DIV/0!</v>
      </c>
      <c r="CA776" s="138" t="e">
        <f aca="false" t="array" ref="CA776:CA7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6" s="138" t="e">
        <f aca="false">+DATOS_[[#This Row],[TOTAL SALARIO Eq]]+DATOS_[[#This Row],[Tot Extrasalarial Eq]]</f>
        <v>#DIV/0!</v>
      </c>
      <c r="CC776" s="139" t="n">
        <f aca="false">DATOS_[[#This Row],[S.BASE]]</f>
        <v>0</v>
      </c>
      <c r="CD776" s="139" t="n">
        <f aca="false">+SUM(DATOS_[[#This Row],[Conc.Sal.01]:[Conc.Sal.30]])</f>
        <v>0</v>
      </c>
      <c r="CE776" s="139" t="n">
        <f aca="false">+DATOS_[[#This Row],[SALARIO BASE Ef]]+DATOS_[[#This Row],[Tot COMPL.SAL Ef]]</f>
        <v>0</v>
      </c>
      <c r="CF776" s="139" t="n">
        <f aca="false">+SUM(DATOS_[[#This Row],[C.Extra.01]:[C.Extra.05]])</f>
        <v>0</v>
      </c>
      <c r="CG776" s="139" t="n">
        <f aca="false">+DATOS_[[#This Row],[TOTAL SALARIO Ef]]+DATOS_[[#This Row],[Tot Extrasalarial Ef]]</f>
        <v>0</v>
      </c>
      <c r="CH776" s="140" t="n">
        <f aca="false">MIN(IF(DATOS_[[#This Row],[Fecha Fin Contrato]]="",$D$4,DATOS_[[#This Row],[Fecha Fin Contrato]]),$D$4)-MAX(DATOS_[[#This Row],[Fecha de Contratación]],$D$3)+1</f>
        <v>1</v>
      </c>
      <c r="CI776" s="141" t="str">
        <f aca="false">IF(COUNTIFS(DATOS_[id],DATOS_[[#This Row],[id]])&gt;1,DATOS_[[#This Row],[id]],"")</f>
        <v/>
      </c>
      <c r="CJ776" s="141" t="n">
        <f aca="false">(Inicio!$G$10-DATOS_[[#This Row],[Fecha Nacimiento]])/365.25</f>
        <v>0</v>
      </c>
      <c r="CK776" s="141" t="n">
        <f aca="false">(Inicio!$G$10-DATOS_[[#This Row],[Fecha de Antigüedad]])/365.25</f>
        <v>0</v>
      </c>
      <c r="CL776" s="141" t="e">
        <f aca="false">+VLOOKUP(DATOS_[[#This Row],[Clave de Contrato]],TblTiposContrato13[],3,0)</f>
        <v>#N/A</v>
      </c>
      <c r="CM776" s="141" t="e">
        <f aca="false">+VLOOKUP(DATOS_[[#This Row],[Clave de Contrato]],TblTiposContrato13[],4,0)</f>
        <v>#N/A</v>
      </c>
      <c r="CN776" s="141" t="str">
        <f aca="false">VLOOKUP(DATOS_[[#This Row],[Edad]],CONTRATOS!TblRngEdad,2,1)</f>
        <v>20  o menos</v>
      </c>
      <c r="CO776" s="141" t="str">
        <f aca="false">VLOOKUP(DATOS_[[#This Row],[Antigüedad]],TblRngAntg14[],2,1)</f>
        <v>0 a 1 años</v>
      </c>
    </row>
    <row r="777" customFormat="false" ht="13.8" hidden="false" customHeight="false" outlineLevel="0" collapsed="false">
      <c r="D777" s="128"/>
      <c r="E777" s="129"/>
      <c r="F777" s="129"/>
      <c r="G777" s="129"/>
      <c r="H777" s="130"/>
      <c r="I777" s="131"/>
      <c r="J777" s="128"/>
      <c r="K777" s="132"/>
      <c r="L777" s="132"/>
      <c r="M777" s="133"/>
      <c r="N777" s="133"/>
      <c r="O777" s="133"/>
      <c r="P777" s="129"/>
      <c r="Z777" s="75"/>
      <c r="AA777" s="76"/>
      <c r="AB777" s="76"/>
      <c r="AC777" s="129"/>
      <c r="AD777" s="134"/>
      <c r="AE777" s="134"/>
      <c r="AF777" s="134"/>
      <c r="AG777" s="134"/>
      <c r="AH777" s="134"/>
      <c r="AI777" s="134"/>
      <c r="AJ777" s="134"/>
      <c r="AK777" s="134"/>
      <c r="AL777" s="134"/>
      <c r="AM777" s="134"/>
      <c r="AN777" s="134"/>
      <c r="AO777" s="134"/>
      <c r="AP777" s="134"/>
      <c r="AQ777" s="134"/>
      <c r="AR777" s="134"/>
      <c r="AS777" s="134"/>
      <c r="AT777" s="134"/>
      <c r="AU777" s="134"/>
      <c r="AV777" s="134"/>
      <c r="AW777" s="134"/>
      <c r="AX777" s="134"/>
      <c r="AY777" s="134"/>
      <c r="AZ777" s="134"/>
      <c r="BA777" s="134"/>
      <c r="BB777" s="134"/>
      <c r="BC777" s="134"/>
      <c r="BD777" s="134"/>
      <c r="BE777" s="134"/>
      <c r="BF777" s="134"/>
      <c r="BG777" s="134"/>
      <c r="BH777" s="134"/>
      <c r="BI777" s="134"/>
      <c r="BJ777" s="134"/>
      <c r="BK777" s="134"/>
      <c r="BL777" s="134"/>
      <c r="BM777" s="135"/>
      <c r="BN777" s="136" t="n">
        <f aca="false">+MAX($D$3,DATOS_[[#This Row],[Fecha Inicio Sit. Contract.]])</f>
        <v>0</v>
      </c>
      <c r="BO777" s="136" t="n">
        <f aca="false">+MIN($D$4,DATOS_[[#This Row],[Fecha Fin Sit. Contract.]])</f>
        <v>0</v>
      </c>
      <c r="BP777" s="137" t="n">
        <f aca="false">+DATOS_[[#This Row],[% de jornada]]*IF(DATOS_[[#This Row],[% jornada reducida]]="",1,DATOS_[[#This Row],[% jornada reducida]])</f>
        <v>0</v>
      </c>
      <c r="BQ777" s="137" t="n">
        <f aca="false">+(DATOS_[[#This Row],[F.fin.cal]]-DATOS_[[#This Row],[F.ini.cal]]+1)/($D$4-$D$3+1)</f>
        <v>1</v>
      </c>
      <c r="BR777" s="137" t="str">
        <f aca="false">IF(OR(AND(DATOS_[[#This Row],[Fecha Fin Contrato]]&lt;$D$3,DATOS_[[#This Row],[Fecha Fin Contrato]]&lt;&gt;""),DATOS_[[#This Row],[Fecha de Contratación]]&gt;$D$4),"Fuera","Dentro")</f>
        <v>Dentro</v>
      </c>
      <c r="BS777" s="137" t="str">
        <f aca="false" t="array" ref="BS777:BS777">IF(MAX(IF(DATOS_[id]=DATOS_[[#This Row],[id]],DATOS_[F.fin.cal]))=DATOS_[[#This Row],[F.fin.cal]],"Sí","NO")</f>
        <v>Sí</v>
      </c>
      <c r="BT777" s="137" t="str">
        <f aca="false">IF(AND(DATOS_[[#This Row],[% normaliz]]&lt;&gt;1,DATOS_[[#This Row],[% anualiz]]=1),"Sí","NO")</f>
        <v>Sí</v>
      </c>
      <c r="BU777" s="137" t="str">
        <f aca="false">IF(AND(DATOS_[[#This Row],[% normaliz]]=1,DATOS_[[#This Row],[% anualiz]]&lt;&gt;1),"Sí","NO")</f>
        <v>NO</v>
      </c>
      <c r="BV777" s="137" t="str">
        <f aca="false">IF(AND(DATOS_[[#This Row],[% normaliz]]&lt;&gt;1,DATOS_[[#This Row],[% anualiz]]&lt;&gt;1),"Sí","NO")</f>
        <v>NO</v>
      </c>
      <c r="BW777" s="137" t="str">
        <f aca="false">+IF(DATOS_[[#This Row],[% normaliz]]*DATOS_[[#This Row],[% anualiz]]=1,"NO","Sí")</f>
        <v>Sí</v>
      </c>
      <c r="BX777" s="138" t="e">
        <f aca="false">(DATOS_[[#This Row],[S.BASE]]*(1/DATOS_[[#This Row],[% normaliz]])*(1/DATOS_[[#This Row],[% anualiz]]))*IF(DATOS_[[#This Row],[Check Equiparado]]="Sí",1,0)</f>
        <v>#DIV/0!</v>
      </c>
      <c r="BY7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7" s="138" t="e">
        <f aca="false">+DATOS_[[#This Row],[SALARIO BASE Eq]]+DATOS_[[#This Row],[Tot COMPL.SAL Eq]]</f>
        <v>#DIV/0!</v>
      </c>
      <c r="CA777" s="138" t="e">
        <f aca="false" t="array" ref="CA777:CA7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7" s="138" t="e">
        <f aca="false">+DATOS_[[#This Row],[TOTAL SALARIO Eq]]+DATOS_[[#This Row],[Tot Extrasalarial Eq]]</f>
        <v>#DIV/0!</v>
      </c>
      <c r="CC777" s="139" t="n">
        <f aca="false">DATOS_[[#This Row],[S.BASE]]</f>
        <v>0</v>
      </c>
      <c r="CD777" s="139" t="n">
        <f aca="false">+SUM(DATOS_[[#This Row],[Conc.Sal.01]:[Conc.Sal.30]])</f>
        <v>0</v>
      </c>
      <c r="CE777" s="139" t="n">
        <f aca="false">+DATOS_[[#This Row],[SALARIO BASE Ef]]+DATOS_[[#This Row],[Tot COMPL.SAL Ef]]</f>
        <v>0</v>
      </c>
      <c r="CF777" s="139" t="n">
        <f aca="false">+SUM(DATOS_[[#This Row],[C.Extra.01]:[C.Extra.05]])</f>
        <v>0</v>
      </c>
      <c r="CG777" s="139" t="n">
        <f aca="false">+DATOS_[[#This Row],[TOTAL SALARIO Ef]]+DATOS_[[#This Row],[Tot Extrasalarial Ef]]</f>
        <v>0</v>
      </c>
      <c r="CH777" s="140" t="n">
        <f aca="false">MIN(IF(DATOS_[[#This Row],[Fecha Fin Contrato]]="",$D$4,DATOS_[[#This Row],[Fecha Fin Contrato]]),$D$4)-MAX(DATOS_[[#This Row],[Fecha de Contratación]],$D$3)+1</f>
        <v>1</v>
      </c>
      <c r="CI777" s="141" t="str">
        <f aca="false">IF(COUNTIFS(DATOS_[id],DATOS_[[#This Row],[id]])&gt;1,DATOS_[[#This Row],[id]],"")</f>
        <v/>
      </c>
      <c r="CJ777" s="141" t="n">
        <f aca="false">(Inicio!$G$10-DATOS_[[#This Row],[Fecha Nacimiento]])/365.25</f>
        <v>0</v>
      </c>
      <c r="CK777" s="141" t="n">
        <f aca="false">(Inicio!$G$10-DATOS_[[#This Row],[Fecha de Antigüedad]])/365.25</f>
        <v>0</v>
      </c>
      <c r="CL777" s="141" t="e">
        <f aca="false">+VLOOKUP(DATOS_[[#This Row],[Clave de Contrato]],TblTiposContrato13[],3,0)</f>
        <v>#N/A</v>
      </c>
      <c r="CM777" s="141" t="e">
        <f aca="false">+VLOOKUP(DATOS_[[#This Row],[Clave de Contrato]],TblTiposContrato13[],4,0)</f>
        <v>#N/A</v>
      </c>
      <c r="CN777" s="141" t="str">
        <f aca="false">VLOOKUP(DATOS_[[#This Row],[Edad]],CONTRATOS!TblRngEdad,2,1)</f>
        <v>20  o menos</v>
      </c>
      <c r="CO777" s="141" t="str">
        <f aca="false">VLOOKUP(DATOS_[[#This Row],[Antigüedad]],TblRngAntg14[],2,1)</f>
        <v>0 a 1 años</v>
      </c>
    </row>
    <row r="778" customFormat="false" ht="13.8" hidden="false" customHeight="false" outlineLevel="0" collapsed="false">
      <c r="D778" s="128"/>
      <c r="E778" s="129"/>
      <c r="F778" s="129"/>
      <c r="G778" s="129"/>
      <c r="H778" s="130"/>
      <c r="I778" s="131"/>
      <c r="J778" s="128"/>
      <c r="K778" s="132"/>
      <c r="L778" s="132"/>
      <c r="M778" s="133"/>
      <c r="N778" s="133"/>
      <c r="O778" s="133"/>
      <c r="P778" s="129"/>
      <c r="Z778" s="75"/>
      <c r="AA778" s="76"/>
      <c r="AB778" s="76"/>
      <c r="AC778" s="129"/>
      <c r="AD778" s="134"/>
      <c r="AE778" s="134"/>
      <c r="AF778" s="134"/>
      <c r="AG778" s="134"/>
      <c r="AH778" s="134"/>
      <c r="AI778" s="134"/>
      <c r="AJ778" s="134"/>
      <c r="AK778" s="134"/>
      <c r="AL778" s="134"/>
      <c r="AM778" s="134"/>
      <c r="AN778" s="134"/>
      <c r="AO778" s="134"/>
      <c r="AP778" s="134"/>
      <c r="AQ778" s="134"/>
      <c r="AR778" s="134"/>
      <c r="AS778" s="134"/>
      <c r="AT778" s="134"/>
      <c r="AU778" s="134"/>
      <c r="AV778" s="134"/>
      <c r="AW778" s="134"/>
      <c r="AX778" s="134"/>
      <c r="AY778" s="134"/>
      <c r="AZ778" s="134"/>
      <c r="BA778" s="134"/>
      <c r="BB778" s="134"/>
      <c r="BC778" s="134"/>
      <c r="BD778" s="134"/>
      <c r="BE778" s="134"/>
      <c r="BF778" s="134"/>
      <c r="BG778" s="134"/>
      <c r="BH778" s="134"/>
      <c r="BI778" s="134"/>
      <c r="BJ778" s="134"/>
      <c r="BK778" s="134"/>
      <c r="BL778" s="134"/>
      <c r="BM778" s="135"/>
      <c r="BN778" s="136" t="n">
        <f aca="false">+MAX($D$3,DATOS_[[#This Row],[Fecha Inicio Sit. Contract.]])</f>
        <v>0</v>
      </c>
      <c r="BO778" s="136" t="n">
        <f aca="false">+MIN($D$4,DATOS_[[#This Row],[Fecha Fin Sit. Contract.]])</f>
        <v>0</v>
      </c>
      <c r="BP778" s="137" t="n">
        <f aca="false">+DATOS_[[#This Row],[% de jornada]]*IF(DATOS_[[#This Row],[% jornada reducida]]="",1,DATOS_[[#This Row],[% jornada reducida]])</f>
        <v>0</v>
      </c>
      <c r="BQ778" s="137" t="n">
        <f aca="false">+(DATOS_[[#This Row],[F.fin.cal]]-DATOS_[[#This Row],[F.ini.cal]]+1)/($D$4-$D$3+1)</f>
        <v>1</v>
      </c>
      <c r="BR778" s="137" t="str">
        <f aca="false">IF(OR(AND(DATOS_[[#This Row],[Fecha Fin Contrato]]&lt;$D$3,DATOS_[[#This Row],[Fecha Fin Contrato]]&lt;&gt;""),DATOS_[[#This Row],[Fecha de Contratación]]&gt;$D$4),"Fuera","Dentro")</f>
        <v>Dentro</v>
      </c>
      <c r="BS778" s="137" t="str">
        <f aca="false" t="array" ref="BS778:BS778">IF(MAX(IF(DATOS_[id]=DATOS_[[#This Row],[id]],DATOS_[F.fin.cal]))=DATOS_[[#This Row],[F.fin.cal]],"Sí","NO")</f>
        <v>Sí</v>
      </c>
      <c r="BT778" s="137" t="str">
        <f aca="false">IF(AND(DATOS_[[#This Row],[% normaliz]]&lt;&gt;1,DATOS_[[#This Row],[% anualiz]]=1),"Sí","NO")</f>
        <v>Sí</v>
      </c>
      <c r="BU778" s="137" t="str">
        <f aca="false">IF(AND(DATOS_[[#This Row],[% normaliz]]=1,DATOS_[[#This Row],[% anualiz]]&lt;&gt;1),"Sí","NO")</f>
        <v>NO</v>
      </c>
      <c r="BV778" s="137" t="str">
        <f aca="false">IF(AND(DATOS_[[#This Row],[% normaliz]]&lt;&gt;1,DATOS_[[#This Row],[% anualiz]]&lt;&gt;1),"Sí","NO")</f>
        <v>NO</v>
      </c>
      <c r="BW778" s="137" t="str">
        <f aca="false">+IF(DATOS_[[#This Row],[% normaliz]]*DATOS_[[#This Row],[% anualiz]]=1,"NO","Sí")</f>
        <v>Sí</v>
      </c>
      <c r="BX778" s="138" t="e">
        <f aca="false">(DATOS_[[#This Row],[S.BASE]]*(1/DATOS_[[#This Row],[% normaliz]])*(1/DATOS_[[#This Row],[% anualiz]]))*IF(DATOS_[[#This Row],[Check Equiparado]]="Sí",1,0)</f>
        <v>#DIV/0!</v>
      </c>
      <c r="BY7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8" s="138" t="e">
        <f aca="false">+DATOS_[[#This Row],[SALARIO BASE Eq]]+DATOS_[[#This Row],[Tot COMPL.SAL Eq]]</f>
        <v>#DIV/0!</v>
      </c>
      <c r="CA778" s="138" t="e">
        <f aca="false" t="array" ref="CA778:CA7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8" s="138" t="e">
        <f aca="false">+DATOS_[[#This Row],[TOTAL SALARIO Eq]]+DATOS_[[#This Row],[Tot Extrasalarial Eq]]</f>
        <v>#DIV/0!</v>
      </c>
      <c r="CC778" s="139" t="n">
        <f aca="false">DATOS_[[#This Row],[S.BASE]]</f>
        <v>0</v>
      </c>
      <c r="CD778" s="139" t="n">
        <f aca="false">+SUM(DATOS_[[#This Row],[Conc.Sal.01]:[Conc.Sal.30]])</f>
        <v>0</v>
      </c>
      <c r="CE778" s="139" t="n">
        <f aca="false">+DATOS_[[#This Row],[SALARIO BASE Ef]]+DATOS_[[#This Row],[Tot COMPL.SAL Ef]]</f>
        <v>0</v>
      </c>
      <c r="CF778" s="139" t="n">
        <f aca="false">+SUM(DATOS_[[#This Row],[C.Extra.01]:[C.Extra.05]])</f>
        <v>0</v>
      </c>
      <c r="CG778" s="139" t="n">
        <f aca="false">+DATOS_[[#This Row],[TOTAL SALARIO Ef]]+DATOS_[[#This Row],[Tot Extrasalarial Ef]]</f>
        <v>0</v>
      </c>
      <c r="CH778" s="140" t="n">
        <f aca="false">MIN(IF(DATOS_[[#This Row],[Fecha Fin Contrato]]="",$D$4,DATOS_[[#This Row],[Fecha Fin Contrato]]),$D$4)-MAX(DATOS_[[#This Row],[Fecha de Contratación]],$D$3)+1</f>
        <v>1</v>
      </c>
      <c r="CI778" s="141" t="str">
        <f aca="false">IF(COUNTIFS(DATOS_[id],DATOS_[[#This Row],[id]])&gt;1,DATOS_[[#This Row],[id]],"")</f>
        <v/>
      </c>
      <c r="CJ778" s="141" t="n">
        <f aca="false">(Inicio!$G$10-DATOS_[[#This Row],[Fecha Nacimiento]])/365.25</f>
        <v>0</v>
      </c>
      <c r="CK778" s="141" t="n">
        <f aca="false">(Inicio!$G$10-DATOS_[[#This Row],[Fecha de Antigüedad]])/365.25</f>
        <v>0</v>
      </c>
      <c r="CL778" s="141" t="e">
        <f aca="false">+VLOOKUP(DATOS_[[#This Row],[Clave de Contrato]],TblTiposContrato13[],3,0)</f>
        <v>#N/A</v>
      </c>
      <c r="CM778" s="141" t="e">
        <f aca="false">+VLOOKUP(DATOS_[[#This Row],[Clave de Contrato]],TblTiposContrato13[],4,0)</f>
        <v>#N/A</v>
      </c>
      <c r="CN778" s="141" t="str">
        <f aca="false">VLOOKUP(DATOS_[[#This Row],[Edad]],CONTRATOS!TblRngEdad,2,1)</f>
        <v>20  o menos</v>
      </c>
      <c r="CO778" s="141" t="str">
        <f aca="false">VLOOKUP(DATOS_[[#This Row],[Antigüedad]],TblRngAntg14[],2,1)</f>
        <v>0 a 1 años</v>
      </c>
    </row>
    <row r="779" customFormat="false" ht="13.8" hidden="false" customHeight="false" outlineLevel="0" collapsed="false">
      <c r="D779" s="128"/>
      <c r="E779" s="129"/>
      <c r="F779" s="129"/>
      <c r="G779" s="129"/>
      <c r="H779" s="130"/>
      <c r="I779" s="131"/>
      <c r="J779" s="128"/>
      <c r="K779" s="132"/>
      <c r="L779" s="132"/>
      <c r="M779" s="133"/>
      <c r="N779" s="133"/>
      <c r="O779" s="133"/>
      <c r="P779" s="129"/>
      <c r="Z779" s="75"/>
      <c r="AA779" s="76"/>
      <c r="AB779" s="76"/>
      <c r="AC779" s="129"/>
      <c r="AD779" s="134"/>
      <c r="AE779" s="134"/>
      <c r="AF779" s="134"/>
      <c r="AG779" s="134"/>
      <c r="AH779" s="134"/>
      <c r="AI779" s="134"/>
      <c r="AJ779" s="134"/>
      <c r="AK779" s="134"/>
      <c r="AL779" s="134"/>
      <c r="AM779" s="134"/>
      <c r="AN779" s="134"/>
      <c r="AO779" s="134"/>
      <c r="AP779" s="134"/>
      <c r="AQ779" s="134"/>
      <c r="AR779" s="134"/>
      <c r="AS779" s="134"/>
      <c r="AT779" s="134"/>
      <c r="AU779" s="134"/>
      <c r="AV779" s="134"/>
      <c r="AW779" s="134"/>
      <c r="AX779" s="134"/>
      <c r="AY779" s="134"/>
      <c r="AZ779" s="134"/>
      <c r="BA779" s="134"/>
      <c r="BB779" s="134"/>
      <c r="BC779" s="134"/>
      <c r="BD779" s="134"/>
      <c r="BE779" s="134"/>
      <c r="BF779" s="134"/>
      <c r="BG779" s="134"/>
      <c r="BH779" s="134"/>
      <c r="BI779" s="134"/>
      <c r="BJ779" s="134"/>
      <c r="BK779" s="134"/>
      <c r="BL779" s="134"/>
      <c r="BM779" s="135"/>
      <c r="BN779" s="136" t="n">
        <f aca="false">+MAX($D$3,DATOS_[[#This Row],[Fecha Inicio Sit. Contract.]])</f>
        <v>0</v>
      </c>
      <c r="BO779" s="136" t="n">
        <f aca="false">+MIN($D$4,DATOS_[[#This Row],[Fecha Fin Sit. Contract.]])</f>
        <v>0</v>
      </c>
      <c r="BP779" s="137" t="n">
        <f aca="false">+DATOS_[[#This Row],[% de jornada]]*IF(DATOS_[[#This Row],[% jornada reducida]]="",1,DATOS_[[#This Row],[% jornada reducida]])</f>
        <v>0</v>
      </c>
      <c r="BQ779" s="137" t="n">
        <f aca="false">+(DATOS_[[#This Row],[F.fin.cal]]-DATOS_[[#This Row],[F.ini.cal]]+1)/($D$4-$D$3+1)</f>
        <v>1</v>
      </c>
      <c r="BR779" s="137" t="str">
        <f aca="false">IF(OR(AND(DATOS_[[#This Row],[Fecha Fin Contrato]]&lt;$D$3,DATOS_[[#This Row],[Fecha Fin Contrato]]&lt;&gt;""),DATOS_[[#This Row],[Fecha de Contratación]]&gt;$D$4),"Fuera","Dentro")</f>
        <v>Dentro</v>
      </c>
      <c r="BS779" s="137" t="str">
        <f aca="false" t="array" ref="BS779:BS779">IF(MAX(IF(DATOS_[id]=DATOS_[[#This Row],[id]],DATOS_[F.fin.cal]))=DATOS_[[#This Row],[F.fin.cal]],"Sí","NO")</f>
        <v>Sí</v>
      </c>
      <c r="BT779" s="137" t="str">
        <f aca="false">IF(AND(DATOS_[[#This Row],[% normaliz]]&lt;&gt;1,DATOS_[[#This Row],[% anualiz]]=1),"Sí","NO")</f>
        <v>Sí</v>
      </c>
      <c r="BU779" s="137" t="str">
        <f aca="false">IF(AND(DATOS_[[#This Row],[% normaliz]]=1,DATOS_[[#This Row],[% anualiz]]&lt;&gt;1),"Sí","NO")</f>
        <v>NO</v>
      </c>
      <c r="BV779" s="137" t="str">
        <f aca="false">IF(AND(DATOS_[[#This Row],[% normaliz]]&lt;&gt;1,DATOS_[[#This Row],[% anualiz]]&lt;&gt;1),"Sí","NO")</f>
        <v>NO</v>
      </c>
      <c r="BW779" s="137" t="str">
        <f aca="false">+IF(DATOS_[[#This Row],[% normaliz]]*DATOS_[[#This Row],[% anualiz]]=1,"NO","Sí")</f>
        <v>Sí</v>
      </c>
      <c r="BX779" s="138" t="e">
        <f aca="false">(DATOS_[[#This Row],[S.BASE]]*(1/DATOS_[[#This Row],[% normaliz]])*(1/DATOS_[[#This Row],[% anualiz]]))*IF(DATOS_[[#This Row],[Check Equiparado]]="Sí",1,0)</f>
        <v>#DIV/0!</v>
      </c>
      <c r="BY7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9" s="138" t="e">
        <f aca="false">+DATOS_[[#This Row],[SALARIO BASE Eq]]+DATOS_[[#This Row],[Tot COMPL.SAL Eq]]</f>
        <v>#DIV/0!</v>
      </c>
      <c r="CA779" s="138" t="e">
        <f aca="false" t="array" ref="CA779:CA7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9" s="138" t="e">
        <f aca="false">+DATOS_[[#This Row],[TOTAL SALARIO Eq]]+DATOS_[[#This Row],[Tot Extrasalarial Eq]]</f>
        <v>#DIV/0!</v>
      </c>
      <c r="CC779" s="139" t="n">
        <f aca="false">DATOS_[[#This Row],[S.BASE]]</f>
        <v>0</v>
      </c>
      <c r="CD779" s="139" t="n">
        <f aca="false">+SUM(DATOS_[[#This Row],[Conc.Sal.01]:[Conc.Sal.30]])</f>
        <v>0</v>
      </c>
      <c r="CE779" s="139" t="n">
        <f aca="false">+DATOS_[[#This Row],[SALARIO BASE Ef]]+DATOS_[[#This Row],[Tot COMPL.SAL Ef]]</f>
        <v>0</v>
      </c>
      <c r="CF779" s="139" t="n">
        <f aca="false">+SUM(DATOS_[[#This Row],[C.Extra.01]:[C.Extra.05]])</f>
        <v>0</v>
      </c>
      <c r="CG779" s="139" t="n">
        <f aca="false">+DATOS_[[#This Row],[TOTAL SALARIO Ef]]+DATOS_[[#This Row],[Tot Extrasalarial Ef]]</f>
        <v>0</v>
      </c>
      <c r="CH779" s="140" t="n">
        <f aca="false">MIN(IF(DATOS_[[#This Row],[Fecha Fin Contrato]]="",$D$4,DATOS_[[#This Row],[Fecha Fin Contrato]]),$D$4)-MAX(DATOS_[[#This Row],[Fecha de Contratación]],$D$3)+1</f>
        <v>1</v>
      </c>
      <c r="CI779" s="141" t="str">
        <f aca="false">IF(COUNTIFS(DATOS_[id],DATOS_[[#This Row],[id]])&gt;1,DATOS_[[#This Row],[id]],"")</f>
        <v/>
      </c>
      <c r="CJ779" s="141" t="n">
        <f aca="false">(Inicio!$G$10-DATOS_[[#This Row],[Fecha Nacimiento]])/365.25</f>
        <v>0</v>
      </c>
      <c r="CK779" s="141" t="n">
        <f aca="false">(Inicio!$G$10-DATOS_[[#This Row],[Fecha de Antigüedad]])/365.25</f>
        <v>0</v>
      </c>
      <c r="CL779" s="141" t="e">
        <f aca="false">+VLOOKUP(DATOS_[[#This Row],[Clave de Contrato]],TblTiposContrato13[],3,0)</f>
        <v>#N/A</v>
      </c>
      <c r="CM779" s="141" t="e">
        <f aca="false">+VLOOKUP(DATOS_[[#This Row],[Clave de Contrato]],TblTiposContrato13[],4,0)</f>
        <v>#N/A</v>
      </c>
      <c r="CN779" s="141" t="str">
        <f aca="false">VLOOKUP(DATOS_[[#This Row],[Edad]],CONTRATOS!TblRngEdad,2,1)</f>
        <v>20  o menos</v>
      </c>
      <c r="CO779" s="141" t="str">
        <f aca="false">VLOOKUP(DATOS_[[#This Row],[Antigüedad]],TblRngAntg14[],2,1)</f>
        <v>0 a 1 años</v>
      </c>
    </row>
    <row r="780" customFormat="false" ht="13.8" hidden="false" customHeight="false" outlineLevel="0" collapsed="false">
      <c r="D780" s="128"/>
      <c r="E780" s="129"/>
      <c r="F780" s="129"/>
      <c r="G780" s="129"/>
      <c r="H780" s="130"/>
      <c r="I780" s="131"/>
      <c r="J780" s="128"/>
      <c r="K780" s="132"/>
      <c r="L780" s="132"/>
      <c r="M780" s="133"/>
      <c r="N780" s="133"/>
      <c r="O780" s="133"/>
      <c r="P780" s="129"/>
      <c r="Z780" s="75"/>
      <c r="AA780" s="76"/>
      <c r="AB780" s="76"/>
      <c r="AC780" s="129"/>
      <c r="AD780" s="134"/>
      <c r="AE780" s="134"/>
      <c r="AF780" s="134"/>
      <c r="AG780" s="134"/>
      <c r="AH780" s="134"/>
      <c r="AI780" s="134"/>
      <c r="AJ780" s="134"/>
      <c r="AK780" s="134"/>
      <c r="AL780" s="134"/>
      <c r="AM780" s="134"/>
      <c r="AN780" s="134"/>
      <c r="AO780" s="134"/>
      <c r="AP780" s="134"/>
      <c r="AQ780" s="134"/>
      <c r="AR780" s="134"/>
      <c r="AS780" s="134"/>
      <c r="AT780" s="134"/>
      <c r="AU780" s="134"/>
      <c r="AV780" s="134"/>
      <c r="AW780" s="134"/>
      <c r="AX780" s="134"/>
      <c r="AY780" s="134"/>
      <c r="AZ780" s="134"/>
      <c r="BA780" s="134"/>
      <c r="BB780" s="134"/>
      <c r="BC780" s="134"/>
      <c r="BD780" s="134"/>
      <c r="BE780" s="134"/>
      <c r="BF780" s="134"/>
      <c r="BG780" s="134"/>
      <c r="BH780" s="134"/>
      <c r="BI780" s="134"/>
      <c r="BJ780" s="134"/>
      <c r="BK780" s="134"/>
      <c r="BL780" s="134"/>
      <c r="BM780" s="135"/>
      <c r="BN780" s="136" t="n">
        <f aca="false">+MAX($D$3,DATOS_[[#This Row],[Fecha Inicio Sit. Contract.]])</f>
        <v>0</v>
      </c>
      <c r="BO780" s="136" t="n">
        <f aca="false">+MIN($D$4,DATOS_[[#This Row],[Fecha Fin Sit. Contract.]])</f>
        <v>0</v>
      </c>
      <c r="BP780" s="137" t="n">
        <f aca="false">+DATOS_[[#This Row],[% de jornada]]*IF(DATOS_[[#This Row],[% jornada reducida]]="",1,DATOS_[[#This Row],[% jornada reducida]])</f>
        <v>0</v>
      </c>
      <c r="BQ780" s="137" t="n">
        <f aca="false">+(DATOS_[[#This Row],[F.fin.cal]]-DATOS_[[#This Row],[F.ini.cal]]+1)/($D$4-$D$3+1)</f>
        <v>1</v>
      </c>
      <c r="BR780" s="137" t="str">
        <f aca="false">IF(OR(AND(DATOS_[[#This Row],[Fecha Fin Contrato]]&lt;$D$3,DATOS_[[#This Row],[Fecha Fin Contrato]]&lt;&gt;""),DATOS_[[#This Row],[Fecha de Contratación]]&gt;$D$4),"Fuera","Dentro")</f>
        <v>Dentro</v>
      </c>
      <c r="BS780" s="137" t="str">
        <f aca="false" t="array" ref="BS780:BS780">IF(MAX(IF(DATOS_[id]=DATOS_[[#This Row],[id]],DATOS_[F.fin.cal]))=DATOS_[[#This Row],[F.fin.cal]],"Sí","NO")</f>
        <v>Sí</v>
      </c>
      <c r="BT780" s="137" t="str">
        <f aca="false">IF(AND(DATOS_[[#This Row],[% normaliz]]&lt;&gt;1,DATOS_[[#This Row],[% anualiz]]=1),"Sí","NO")</f>
        <v>Sí</v>
      </c>
      <c r="BU780" s="137" t="str">
        <f aca="false">IF(AND(DATOS_[[#This Row],[% normaliz]]=1,DATOS_[[#This Row],[% anualiz]]&lt;&gt;1),"Sí","NO")</f>
        <v>NO</v>
      </c>
      <c r="BV780" s="137" t="str">
        <f aca="false">IF(AND(DATOS_[[#This Row],[% normaliz]]&lt;&gt;1,DATOS_[[#This Row],[% anualiz]]&lt;&gt;1),"Sí","NO")</f>
        <v>NO</v>
      </c>
      <c r="BW780" s="137" t="str">
        <f aca="false">+IF(DATOS_[[#This Row],[% normaliz]]*DATOS_[[#This Row],[% anualiz]]=1,"NO","Sí")</f>
        <v>Sí</v>
      </c>
      <c r="BX780" s="138" t="e">
        <f aca="false">(DATOS_[[#This Row],[S.BASE]]*(1/DATOS_[[#This Row],[% normaliz]])*(1/DATOS_[[#This Row],[% anualiz]]))*IF(DATOS_[[#This Row],[Check Equiparado]]="Sí",1,0)</f>
        <v>#DIV/0!</v>
      </c>
      <c r="BY7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0" s="138" t="e">
        <f aca="false">+DATOS_[[#This Row],[SALARIO BASE Eq]]+DATOS_[[#This Row],[Tot COMPL.SAL Eq]]</f>
        <v>#DIV/0!</v>
      </c>
      <c r="CA780" s="138" t="e">
        <f aca="false" t="array" ref="CA780:CA7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0" s="138" t="e">
        <f aca="false">+DATOS_[[#This Row],[TOTAL SALARIO Eq]]+DATOS_[[#This Row],[Tot Extrasalarial Eq]]</f>
        <v>#DIV/0!</v>
      </c>
      <c r="CC780" s="139" t="n">
        <f aca="false">DATOS_[[#This Row],[S.BASE]]</f>
        <v>0</v>
      </c>
      <c r="CD780" s="139" t="n">
        <f aca="false">+SUM(DATOS_[[#This Row],[Conc.Sal.01]:[Conc.Sal.30]])</f>
        <v>0</v>
      </c>
      <c r="CE780" s="139" t="n">
        <f aca="false">+DATOS_[[#This Row],[SALARIO BASE Ef]]+DATOS_[[#This Row],[Tot COMPL.SAL Ef]]</f>
        <v>0</v>
      </c>
      <c r="CF780" s="139" t="n">
        <f aca="false">+SUM(DATOS_[[#This Row],[C.Extra.01]:[C.Extra.05]])</f>
        <v>0</v>
      </c>
      <c r="CG780" s="139" t="n">
        <f aca="false">+DATOS_[[#This Row],[TOTAL SALARIO Ef]]+DATOS_[[#This Row],[Tot Extrasalarial Ef]]</f>
        <v>0</v>
      </c>
      <c r="CH780" s="140" t="n">
        <f aca="false">MIN(IF(DATOS_[[#This Row],[Fecha Fin Contrato]]="",$D$4,DATOS_[[#This Row],[Fecha Fin Contrato]]),$D$4)-MAX(DATOS_[[#This Row],[Fecha de Contratación]],$D$3)+1</f>
        <v>1</v>
      </c>
      <c r="CI780" s="141" t="str">
        <f aca="false">IF(COUNTIFS(DATOS_[id],DATOS_[[#This Row],[id]])&gt;1,DATOS_[[#This Row],[id]],"")</f>
        <v/>
      </c>
      <c r="CJ780" s="141" t="n">
        <f aca="false">(Inicio!$G$10-DATOS_[[#This Row],[Fecha Nacimiento]])/365.25</f>
        <v>0</v>
      </c>
      <c r="CK780" s="141" t="n">
        <f aca="false">(Inicio!$G$10-DATOS_[[#This Row],[Fecha de Antigüedad]])/365.25</f>
        <v>0</v>
      </c>
      <c r="CL780" s="141" t="e">
        <f aca="false">+VLOOKUP(DATOS_[[#This Row],[Clave de Contrato]],TblTiposContrato13[],3,0)</f>
        <v>#N/A</v>
      </c>
      <c r="CM780" s="141" t="e">
        <f aca="false">+VLOOKUP(DATOS_[[#This Row],[Clave de Contrato]],TblTiposContrato13[],4,0)</f>
        <v>#N/A</v>
      </c>
      <c r="CN780" s="141" t="str">
        <f aca="false">VLOOKUP(DATOS_[[#This Row],[Edad]],CONTRATOS!TblRngEdad,2,1)</f>
        <v>20  o menos</v>
      </c>
      <c r="CO780" s="141" t="str">
        <f aca="false">VLOOKUP(DATOS_[[#This Row],[Antigüedad]],TblRngAntg14[],2,1)</f>
        <v>0 a 1 años</v>
      </c>
    </row>
    <row r="781" customFormat="false" ht="13.8" hidden="false" customHeight="false" outlineLevel="0" collapsed="false">
      <c r="D781" s="128"/>
      <c r="E781" s="129"/>
      <c r="F781" s="129"/>
      <c r="G781" s="129"/>
      <c r="H781" s="130"/>
      <c r="I781" s="131"/>
      <c r="J781" s="128"/>
      <c r="K781" s="132"/>
      <c r="L781" s="132"/>
      <c r="M781" s="133"/>
      <c r="N781" s="133"/>
      <c r="O781" s="133"/>
      <c r="P781" s="129"/>
      <c r="Z781" s="75"/>
      <c r="AA781" s="76"/>
      <c r="AB781" s="76"/>
      <c r="AC781" s="129"/>
      <c r="AD781" s="134"/>
      <c r="AE781" s="134"/>
      <c r="AF781" s="134"/>
      <c r="AG781" s="134"/>
      <c r="AH781" s="134"/>
      <c r="AI781" s="134"/>
      <c r="AJ781" s="134"/>
      <c r="AK781" s="134"/>
      <c r="AL781" s="134"/>
      <c r="AM781" s="134"/>
      <c r="AN781" s="134"/>
      <c r="AO781" s="134"/>
      <c r="AP781" s="134"/>
      <c r="AQ781" s="134"/>
      <c r="AR781" s="134"/>
      <c r="AS781" s="134"/>
      <c r="AT781" s="134"/>
      <c r="AU781" s="134"/>
      <c r="AV781" s="134"/>
      <c r="AW781" s="134"/>
      <c r="AX781" s="134"/>
      <c r="AY781" s="134"/>
      <c r="AZ781" s="134"/>
      <c r="BA781" s="134"/>
      <c r="BB781" s="134"/>
      <c r="BC781" s="134"/>
      <c r="BD781" s="134"/>
      <c r="BE781" s="134"/>
      <c r="BF781" s="134"/>
      <c r="BG781" s="134"/>
      <c r="BH781" s="134"/>
      <c r="BI781" s="134"/>
      <c r="BJ781" s="134"/>
      <c r="BK781" s="134"/>
      <c r="BL781" s="134"/>
      <c r="BM781" s="135"/>
      <c r="BN781" s="136" t="n">
        <f aca="false">+MAX($D$3,DATOS_[[#This Row],[Fecha Inicio Sit. Contract.]])</f>
        <v>0</v>
      </c>
      <c r="BO781" s="136" t="n">
        <f aca="false">+MIN($D$4,DATOS_[[#This Row],[Fecha Fin Sit. Contract.]])</f>
        <v>0</v>
      </c>
      <c r="BP781" s="137" t="n">
        <f aca="false">+DATOS_[[#This Row],[% de jornada]]*IF(DATOS_[[#This Row],[% jornada reducida]]="",1,DATOS_[[#This Row],[% jornada reducida]])</f>
        <v>0</v>
      </c>
      <c r="BQ781" s="137" t="n">
        <f aca="false">+(DATOS_[[#This Row],[F.fin.cal]]-DATOS_[[#This Row],[F.ini.cal]]+1)/($D$4-$D$3+1)</f>
        <v>1</v>
      </c>
      <c r="BR781" s="137" t="str">
        <f aca="false">IF(OR(AND(DATOS_[[#This Row],[Fecha Fin Contrato]]&lt;$D$3,DATOS_[[#This Row],[Fecha Fin Contrato]]&lt;&gt;""),DATOS_[[#This Row],[Fecha de Contratación]]&gt;$D$4),"Fuera","Dentro")</f>
        <v>Dentro</v>
      </c>
      <c r="BS781" s="137" t="str">
        <f aca="false" t="array" ref="BS781:BS781">IF(MAX(IF(DATOS_[id]=DATOS_[[#This Row],[id]],DATOS_[F.fin.cal]))=DATOS_[[#This Row],[F.fin.cal]],"Sí","NO")</f>
        <v>Sí</v>
      </c>
      <c r="BT781" s="137" t="str">
        <f aca="false">IF(AND(DATOS_[[#This Row],[% normaliz]]&lt;&gt;1,DATOS_[[#This Row],[% anualiz]]=1),"Sí","NO")</f>
        <v>Sí</v>
      </c>
      <c r="BU781" s="137" t="str">
        <f aca="false">IF(AND(DATOS_[[#This Row],[% normaliz]]=1,DATOS_[[#This Row],[% anualiz]]&lt;&gt;1),"Sí","NO")</f>
        <v>NO</v>
      </c>
      <c r="BV781" s="137" t="str">
        <f aca="false">IF(AND(DATOS_[[#This Row],[% normaliz]]&lt;&gt;1,DATOS_[[#This Row],[% anualiz]]&lt;&gt;1),"Sí","NO")</f>
        <v>NO</v>
      </c>
      <c r="BW781" s="137" t="str">
        <f aca="false">+IF(DATOS_[[#This Row],[% normaliz]]*DATOS_[[#This Row],[% anualiz]]=1,"NO","Sí")</f>
        <v>Sí</v>
      </c>
      <c r="BX781" s="138" t="e">
        <f aca="false">(DATOS_[[#This Row],[S.BASE]]*(1/DATOS_[[#This Row],[% normaliz]])*(1/DATOS_[[#This Row],[% anualiz]]))*IF(DATOS_[[#This Row],[Check Equiparado]]="Sí",1,0)</f>
        <v>#DIV/0!</v>
      </c>
      <c r="BY7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1" s="138" t="e">
        <f aca="false">+DATOS_[[#This Row],[SALARIO BASE Eq]]+DATOS_[[#This Row],[Tot COMPL.SAL Eq]]</f>
        <v>#DIV/0!</v>
      </c>
      <c r="CA781" s="138" t="e">
        <f aca="false" t="array" ref="CA781:CA7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1" s="138" t="e">
        <f aca="false">+DATOS_[[#This Row],[TOTAL SALARIO Eq]]+DATOS_[[#This Row],[Tot Extrasalarial Eq]]</f>
        <v>#DIV/0!</v>
      </c>
      <c r="CC781" s="139" t="n">
        <f aca="false">DATOS_[[#This Row],[S.BASE]]</f>
        <v>0</v>
      </c>
      <c r="CD781" s="139" t="n">
        <f aca="false">+SUM(DATOS_[[#This Row],[Conc.Sal.01]:[Conc.Sal.30]])</f>
        <v>0</v>
      </c>
      <c r="CE781" s="139" t="n">
        <f aca="false">+DATOS_[[#This Row],[SALARIO BASE Ef]]+DATOS_[[#This Row],[Tot COMPL.SAL Ef]]</f>
        <v>0</v>
      </c>
      <c r="CF781" s="139" t="n">
        <f aca="false">+SUM(DATOS_[[#This Row],[C.Extra.01]:[C.Extra.05]])</f>
        <v>0</v>
      </c>
      <c r="CG781" s="139" t="n">
        <f aca="false">+DATOS_[[#This Row],[TOTAL SALARIO Ef]]+DATOS_[[#This Row],[Tot Extrasalarial Ef]]</f>
        <v>0</v>
      </c>
      <c r="CH781" s="140" t="n">
        <f aca="false">MIN(IF(DATOS_[[#This Row],[Fecha Fin Contrato]]="",$D$4,DATOS_[[#This Row],[Fecha Fin Contrato]]),$D$4)-MAX(DATOS_[[#This Row],[Fecha de Contratación]],$D$3)+1</f>
        <v>1</v>
      </c>
      <c r="CI781" s="141" t="str">
        <f aca="false">IF(COUNTIFS(DATOS_[id],DATOS_[[#This Row],[id]])&gt;1,DATOS_[[#This Row],[id]],"")</f>
        <v/>
      </c>
      <c r="CJ781" s="141" t="n">
        <f aca="false">(Inicio!$G$10-DATOS_[[#This Row],[Fecha Nacimiento]])/365.25</f>
        <v>0</v>
      </c>
      <c r="CK781" s="141" t="n">
        <f aca="false">(Inicio!$G$10-DATOS_[[#This Row],[Fecha de Antigüedad]])/365.25</f>
        <v>0</v>
      </c>
      <c r="CL781" s="141" t="e">
        <f aca="false">+VLOOKUP(DATOS_[[#This Row],[Clave de Contrato]],TblTiposContrato13[],3,0)</f>
        <v>#N/A</v>
      </c>
      <c r="CM781" s="141" t="e">
        <f aca="false">+VLOOKUP(DATOS_[[#This Row],[Clave de Contrato]],TblTiposContrato13[],4,0)</f>
        <v>#N/A</v>
      </c>
      <c r="CN781" s="141" t="str">
        <f aca="false">VLOOKUP(DATOS_[[#This Row],[Edad]],CONTRATOS!TblRngEdad,2,1)</f>
        <v>20  o menos</v>
      </c>
      <c r="CO781" s="141" t="str">
        <f aca="false">VLOOKUP(DATOS_[[#This Row],[Antigüedad]],TblRngAntg14[],2,1)</f>
        <v>0 a 1 años</v>
      </c>
    </row>
    <row r="782" customFormat="false" ht="13.8" hidden="false" customHeight="false" outlineLevel="0" collapsed="false">
      <c r="D782" s="128"/>
      <c r="E782" s="129"/>
      <c r="F782" s="129"/>
      <c r="G782" s="129"/>
      <c r="H782" s="130"/>
      <c r="I782" s="131"/>
      <c r="J782" s="128"/>
      <c r="K782" s="132"/>
      <c r="L782" s="132"/>
      <c r="M782" s="133"/>
      <c r="N782" s="133"/>
      <c r="O782" s="133"/>
      <c r="P782" s="129"/>
      <c r="Z782" s="75"/>
      <c r="AA782" s="76"/>
      <c r="AB782" s="76"/>
      <c r="AC782" s="129"/>
      <c r="AD782" s="134"/>
      <c r="AE782" s="134"/>
      <c r="AF782" s="134"/>
      <c r="AG782" s="134"/>
      <c r="AH782" s="134"/>
      <c r="AI782" s="134"/>
      <c r="AJ782" s="134"/>
      <c r="AK782" s="134"/>
      <c r="AL782" s="134"/>
      <c r="AM782" s="134"/>
      <c r="AN782" s="134"/>
      <c r="AO782" s="134"/>
      <c r="AP782" s="134"/>
      <c r="AQ782" s="134"/>
      <c r="AR782" s="134"/>
      <c r="AS782" s="134"/>
      <c r="AT782" s="134"/>
      <c r="AU782" s="134"/>
      <c r="AV782" s="134"/>
      <c r="AW782" s="134"/>
      <c r="AX782" s="134"/>
      <c r="AY782" s="134"/>
      <c r="AZ782" s="134"/>
      <c r="BA782" s="134"/>
      <c r="BB782" s="134"/>
      <c r="BC782" s="134"/>
      <c r="BD782" s="134"/>
      <c r="BE782" s="134"/>
      <c r="BF782" s="134"/>
      <c r="BG782" s="134"/>
      <c r="BH782" s="134"/>
      <c r="BI782" s="134"/>
      <c r="BJ782" s="134"/>
      <c r="BK782" s="134"/>
      <c r="BL782" s="134"/>
      <c r="BM782" s="135"/>
      <c r="BN782" s="136" t="n">
        <f aca="false">+MAX($D$3,DATOS_[[#This Row],[Fecha Inicio Sit. Contract.]])</f>
        <v>0</v>
      </c>
      <c r="BO782" s="136" t="n">
        <f aca="false">+MIN($D$4,DATOS_[[#This Row],[Fecha Fin Sit. Contract.]])</f>
        <v>0</v>
      </c>
      <c r="BP782" s="137" t="n">
        <f aca="false">+DATOS_[[#This Row],[% de jornada]]*IF(DATOS_[[#This Row],[% jornada reducida]]="",1,DATOS_[[#This Row],[% jornada reducida]])</f>
        <v>0</v>
      </c>
      <c r="BQ782" s="137" t="n">
        <f aca="false">+(DATOS_[[#This Row],[F.fin.cal]]-DATOS_[[#This Row],[F.ini.cal]]+1)/($D$4-$D$3+1)</f>
        <v>1</v>
      </c>
      <c r="BR782" s="137" t="str">
        <f aca="false">IF(OR(AND(DATOS_[[#This Row],[Fecha Fin Contrato]]&lt;$D$3,DATOS_[[#This Row],[Fecha Fin Contrato]]&lt;&gt;""),DATOS_[[#This Row],[Fecha de Contratación]]&gt;$D$4),"Fuera","Dentro")</f>
        <v>Dentro</v>
      </c>
      <c r="BS782" s="137" t="str">
        <f aca="false" t="array" ref="BS782:BS782">IF(MAX(IF(DATOS_[id]=DATOS_[[#This Row],[id]],DATOS_[F.fin.cal]))=DATOS_[[#This Row],[F.fin.cal]],"Sí","NO")</f>
        <v>Sí</v>
      </c>
      <c r="BT782" s="137" t="str">
        <f aca="false">IF(AND(DATOS_[[#This Row],[% normaliz]]&lt;&gt;1,DATOS_[[#This Row],[% anualiz]]=1),"Sí","NO")</f>
        <v>Sí</v>
      </c>
      <c r="BU782" s="137" t="str">
        <f aca="false">IF(AND(DATOS_[[#This Row],[% normaliz]]=1,DATOS_[[#This Row],[% anualiz]]&lt;&gt;1),"Sí","NO")</f>
        <v>NO</v>
      </c>
      <c r="BV782" s="137" t="str">
        <f aca="false">IF(AND(DATOS_[[#This Row],[% normaliz]]&lt;&gt;1,DATOS_[[#This Row],[% anualiz]]&lt;&gt;1),"Sí","NO")</f>
        <v>NO</v>
      </c>
      <c r="BW782" s="137" t="str">
        <f aca="false">+IF(DATOS_[[#This Row],[% normaliz]]*DATOS_[[#This Row],[% anualiz]]=1,"NO","Sí")</f>
        <v>Sí</v>
      </c>
      <c r="BX782" s="138" t="e">
        <f aca="false">(DATOS_[[#This Row],[S.BASE]]*(1/DATOS_[[#This Row],[% normaliz]])*(1/DATOS_[[#This Row],[% anualiz]]))*IF(DATOS_[[#This Row],[Check Equiparado]]="Sí",1,0)</f>
        <v>#DIV/0!</v>
      </c>
      <c r="BY7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2" s="138" t="e">
        <f aca="false">+DATOS_[[#This Row],[SALARIO BASE Eq]]+DATOS_[[#This Row],[Tot COMPL.SAL Eq]]</f>
        <v>#DIV/0!</v>
      </c>
      <c r="CA782" s="138" t="e">
        <f aca="false" t="array" ref="CA782:CA7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2" s="138" t="e">
        <f aca="false">+DATOS_[[#This Row],[TOTAL SALARIO Eq]]+DATOS_[[#This Row],[Tot Extrasalarial Eq]]</f>
        <v>#DIV/0!</v>
      </c>
      <c r="CC782" s="139" t="n">
        <f aca="false">DATOS_[[#This Row],[S.BASE]]</f>
        <v>0</v>
      </c>
      <c r="CD782" s="139" t="n">
        <f aca="false">+SUM(DATOS_[[#This Row],[Conc.Sal.01]:[Conc.Sal.30]])</f>
        <v>0</v>
      </c>
      <c r="CE782" s="139" t="n">
        <f aca="false">+DATOS_[[#This Row],[SALARIO BASE Ef]]+DATOS_[[#This Row],[Tot COMPL.SAL Ef]]</f>
        <v>0</v>
      </c>
      <c r="CF782" s="139" t="n">
        <f aca="false">+SUM(DATOS_[[#This Row],[C.Extra.01]:[C.Extra.05]])</f>
        <v>0</v>
      </c>
      <c r="CG782" s="139" t="n">
        <f aca="false">+DATOS_[[#This Row],[TOTAL SALARIO Ef]]+DATOS_[[#This Row],[Tot Extrasalarial Ef]]</f>
        <v>0</v>
      </c>
      <c r="CH782" s="140" t="n">
        <f aca="false">MIN(IF(DATOS_[[#This Row],[Fecha Fin Contrato]]="",$D$4,DATOS_[[#This Row],[Fecha Fin Contrato]]),$D$4)-MAX(DATOS_[[#This Row],[Fecha de Contratación]],$D$3)+1</f>
        <v>1</v>
      </c>
      <c r="CI782" s="141" t="str">
        <f aca="false">IF(COUNTIFS(DATOS_[id],DATOS_[[#This Row],[id]])&gt;1,DATOS_[[#This Row],[id]],"")</f>
        <v/>
      </c>
      <c r="CJ782" s="141" t="n">
        <f aca="false">(Inicio!$G$10-DATOS_[[#This Row],[Fecha Nacimiento]])/365.25</f>
        <v>0</v>
      </c>
      <c r="CK782" s="141" t="n">
        <f aca="false">(Inicio!$G$10-DATOS_[[#This Row],[Fecha de Antigüedad]])/365.25</f>
        <v>0</v>
      </c>
      <c r="CL782" s="141" t="e">
        <f aca="false">+VLOOKUP(DATOS_[[#This Row],[Clave de Contrato]],TblTiposContrato13[],3,0)</f>
        <v>#N/A</v>
      </c>
      <c r="CM782" s="141" t="e">
        <f aca="false">+VLOOKUP(DATOS_[[#This Row],[Clave de Contrato]],TblTiposContrato13[],4,0)</f>
        <v>#N/A</v>
      </c>
      <c r="CN782" s="141" t="str">
        <f aca="false">VLOOKUP(DATOS_[[#This Row],[Edad]],CONTRATOS!TblRngEdad,2,1)</f>
        <v>20  o menos</v>
      </c>
      <c r="CO782" s="141" t="str">
        <f aca="false">VLOOKUP(DATOS_[[#This Row],[Antigüedad]],TblRngAntg14[],2,1)</f>
        <v>0 a 1 años</v>
      </c>
    </row>
    <row r="783" customFormat="false" ht="13.8" hidden="false" customHeight="false" outlineLevel="0" collapsed="false">
      <c r="D783" s="128"/>
      <c r="E783" s="129"/>
      <c r="F783" s="129"/>
      <c r="G783" s="129"/>
      <c r="H783" s="130"/>
      <c r="I783" s="131"/>
      <c r="J783" s="128"/>
      <c r="K783" s="132"/>
      <c r="L783" s="132"/>
      <c r="M783" s="133"/>
      <c r="N783" s="133"/>
      <c r="O783" s="133"/>
      <c r="P783" s="129"/>
      <c r="Z783" s="75"/>
      <c r="AA783" s="76"/>
      <c r="AB783" s="76"/>
      <c r="AC783" s="129"/>
      <c r="AD783" s="134"/>
      <c r="AE783" s="134"/>
      <c r="AF783" s="134"/>
      <c r="AG783" s="134"/>
      <c r="AH783" s="134"/>
      <c r="AI783" s="134"/>
      <c r="AJ783" s="134"/>
      <c r="AK783" s="134"/>
      <c r="AL783" s="134"/>
      <c r="AM783" s="134"/>
      <c r="AN783" s="134"/>
      <c r="AO783" s="134"/>
      <c r="AP783" s="134"/>
      <c r="AQ783" s="134"/>
      <c r="AR783" s="134"/>
      <c r="AS783" s="134"/>
      <c r="AT783" s="134"/>
      <c r="AU783" s="134"/>
      <c r="AV783" s="134"/>
      <c r="AW783" s="134"/>
      <c r="AX783" s="134"/>
      <c r="AY783" s="134"/>
      <c r="AZ783" s="134"/>
      <c r="BA783" s="134"/>
      <c r="BB783" s="134"/>
      <c r="BC783" s="134"/>
      <c r="BD783" s="134"/>
      <c r="BE783" s="134"/>
      <c r="BF783" s="134"/>
      <c r="BG783" s="134"/>
      <c r="BH783" s="134"/>
      <c r="BI783" s="134"/>
      <c r="BJ783" s="134"/>
      <c r="BK783" s="134"/>
      <c r="BL783" s="134"/>
      <c r="BM783" s="135"/>
      <c r="BN783" s="136" t="n">
        <f aca="false">+MAX($D$3,DATOS_[[#This Row],[Fecha Inicio Sit. Contract.]])</f>
        <v>0</v>
      </c>
      <c r="BO783" s="136" t="n">
        <f aca="false">+MIN($D$4,DATOS_[[#This Row],[Fecha Fin Sit. Contract.]])</f>
        <v>0</v>
      </c>
      <c r="BP783" s="137" t="n">
        <f aca="false">+DATOS_[[#This Row],[% de jornada]]*IF(DATOS_[[#This Row],[% jornada reducida]]="",1,DATOS_[[#This Row],[% jornada reducida]])</f>
        <v>0</v>
      </c>
      <c r="BQ783" s="137" t="n">
        <f aca="false">+(DATOS_[[#This Row],[F.fin.cal]]-DATOS_[[#This Row],[F.ini.cal]]+1)/($D$4-$D$3+1)</f>
        <v>1</v>
      </c>
      <c r="BR783" s="137" t="str">
        <f aca="false">IF(OR(AND(DATOS_[[#This Row],[Fecha Fin Contrato]]&lt;$D$3,DATOS_[[#This Row],[Fecha Fin Contrato]]&lt;&gt;""),DATOS_[[#This Row],[Fecha de Contratación]]&gt;$D$4),"Fuera","Dentro")</f>
        <v>Dentro</v>
      </c>
      <c r="BS783" s="137" t="str">
        <f aca="false" t="array" ref="BS783:BS783">IF(MAX(IF(DATOS_[id]=DATOS_[[#This Row],[id]],DATOS_[F.fin.cal]))=DATOS_[[#This Row],[F.fin.cal]],"Sí","NO")</f>
        <v>Sí</v>
      </c>
      <c r="BT783" s="137" t="str">
        <f aca="false">IF(AND(DATOS_[[#This Row],[% normaliz]]&lt;&gt;1,DATOS_[[#This Row],[% anualiz]]=1),"Sí","NO")</f>
        <v>Sí</v>
      </c>
      <c r="BU783" s="137" t="str">
        <f aca="false">IF(AND(DATOS_[[#This Row],[% normaliz]]=1,DATOS_[[#This Row],[% anualiz]]&lt;&gt;1),"Sí","NO")</f>
        <v>NO</v>
      </c>
      <c r="BV783" s="137" t="str">
        <f aca="false">IF(AND(DATOS_[[#This Row],[% normaliz]]&lt;&gt;1,DATOS_[[#This Row],[% anualiz]]&lt;&gt;1),"Sí","NO")</f>
        <v>NO</v>
      </c>
      <c r="BW783" s="137" t="str">
        <f aca="false">+IF(DATOS_[[#This Row],[% normaliz]]*DATOS_[[#This Row],[% anualiz]]=1,"NO","Sí")</f>
        <v>Sí</v>
      </c>
      <c r="BX783" s="138" t="e">
        <f aca="false">(DATOS_[[#This Row],[S.BASE]]*(1/DATOS_[[#This Row],[% normaliz]])*(1/DATOS_[[#This Row],[% anualiz]]))*IF(DATOS_[[#This Row],[Check Equiparado]]="Sí",1,0)</f>
        <v>#DIV/0!</v>
      </c>
      <c r="BY7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3" s="138" t="e">
        <f aca="false">+DATOS_[[#This Row],[SALARIO BASE Eq]]+DATOS_[[#This Row],[Tot COMPL.SAL Eq]]</f>
        <v>#DIV/0!</v>
      </c>
      <c r="CA783" s="138" t="e">
        <f aca="false" t="array" ref="CA783:CA7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3" s="138" t="e">
        <f aca="false">+DATOS_[[#This Row],[TOTAL SALARIO Eq]]+DATOS_[[#This Row],[Tot Extrasalarial Eq]]</f>
        <v>#DIV/0!</v>
      </c>
      <c r="CC783" s="139" t="n">
        <f aca="false">DATOS_[[#This Row],[S.BASE]]</f>
        <v>0</v>
      </c>
      <c r="CD783" s="139" t="n">
        <f aca="false">+SUM(DATOS_[[#This Row],[Conc.Sal.01]:[Conc.Sal.30]])</f>
        <v>0</v>
      </c>
      <c r="CE783" s="139" t="n">
        <f aca="false">+DATOS_[[#This Row],[SALARIO BASE Ef]]+DATOS_[[#This Row],[Tot COMPL.SAL Ef]]</f>
        <v>0</v>
      </c>
      <c r="CF783" s="139" t="n">
        <f aca="false">+SUM(DATOS_[[#This Row],[C.Extra.01]:[C.Extra.05]])</f>
        <v>0</v>
      </c>
      <c r="CG783" s="139" t="n">
        <f aca="false">+DATOS_[[#This Row],[TOTAL SALARIO Ef]]+DATOS_[[#This Row],[Tot Extrasalarial Ef]]</f>
        <v>0</v>
      </c>
      <c r="CH783" s="140" t="n">
        <f aca="false">MIN(IF(DATOS_[[#This Row],[Fecha Fin Contrato]]="",$D$4,DATOS_[[#This Row],[Fecha Fin Contrato]]),$D$4)-MAX(DATOS_[[#This Row],[Fecha de Contratación]],$D$3)+1</f>
        <v>1</v>
      </c>
      <c r="CI783" s="141" t="str">
        <f aca="false">IF(COUNTIFS(DATOS_[id],DATOS_[[#This Row],[id]])&gt;1,DATOS_[[#This Row],[id]],"")</f>
        <v/>
      </c>
      <c r="CJ783" s="141" t="n">
        <f aca="false">(Inicio!$G$10-DATOS_[[#This Row],[Fecha Nacimiento]])/365.25</f>
        <v>0</v>
      </c>
      <c r="CK783" s="141" t="n">
        <f aca="false">(Inicio!$G$10-DATOS_[[#This Row],[Fecha de Antigüedad]])/365.25</f>
        <v>0</v>
      </c>
      <c r="CL783" s="141" t="e">
        <f aca="false">+VLOOKUP(DATOS_[[#This Row],[Clave de Contrato]],TblTiposContrato13[],3,0)</f>
        <v>#N/A</v>
      </c>
      <c r="CM783" s="141" t="e">
        <f aca="false">+VLOOKUP(DATOS_[[#This Row],[Clave de Contrato]],TblTiposContrato13[],4,0)</f>
        <v>#N/A</v>
      </c>
      <c r="CN783" s="141" t="str">
        <f aca="false">VLOOKUP(DATOS_[[#This Row],[Edad]],CONTRATOS!TblRngEdad,2,1)</f>
        <v>20  o menos</v>
      </c>
      <c r="CO783" s="141" t="str">
        <f aca="false">VLOOKUP(DATOS_[[#This Row],[Antigüedad]],TblRngAntg14[],2,1)</f>
        <v>0 a 1 años</v>
      </c>
    </row>
    <row r="784" customFormat="false" ht="13.8" hidden="false" customHeight="false" outlineLevel="0" collapsed="false">
      <c r="D784" s="128"/>
      <c r="E784" s="129"/>
      <c r="F784" s="129"/>
      <c r="G784" s="129"/>
      <c r="H784" s="130"/>
      <c r="I784" s="131"/>
      <c r="J784" s="128"/>
      <c r="K784" s="132"/>
      <c r="L784" s="132"/>
      <c r="M784" s="133"/>
      <c r="N784" s="133"/>
      <c r="O784" s="133"/>
      <c r="P784" s="129"/>
      <c r="Z784" s="75"/>
      <c r="AA784" s="76"/>
      <c r="AB784" s="76"/>
      <c r="AC784" s="129"/>
      <c r="AD784" s="134"/>
      <c r="AE784" s="134"/>
      <c r="AF784" s="134"/>
      <c r="AG784" s="134"/>
      <c r="AH784" s="134"/>
      <c r="AI784" s="134"/>
      <c r="AJ784" s="134"/>
      <c r="AK784" s="134"/>
      <c r="AL784" s="134"/>
      <c r="AM784" s="134"/>
      <c r="AN784" s="134"/>
      <c r="AO784" s="134"/>
      <c r="AP784" s="134"/>
      <c r="AQ784" s="134"/>
      <c r="AR784" s="134"/>
      <c r="AS784" s="134"/>
      <c r="AT784" s="134"/>
      <c r="AU784" s="134"/>
      <c r="AV784" s="134"/>
      <c r="AW784" s="134"/>
      <c r="AX784" s="134"/>
      <c r="AY784" s="134"/>
      <c r="AZ784" s="134"/>
      <c r="BA784" s="134"/>
      <c r="BB784" s="134"/>
      <c r="BC784" s="134"/>
      <c r="BD784" s="134"/>
      <c r="BE784" s="134"/>
      <c r="BF784" s="134"/>
      <c r="BG784" s="134"/>
      <c r="BH784" s="134"/>
      <c r="BI784" s="134"/>
      <c r="BJ784" s="134"/>
      <c r="BK784" s="134"/>
      <c r="BL784" s="134"/>
      <c r="BM784" s="135"/>
      <c r="BN784" s="136" t="n">
        <f aca="false">+MAX($D$3,DATOS_[[#This Row],[Fecha Inicio Sit. Contract.]])</f>
        <v>0</v>
      </c>
      <c r="BO784" s="136" t="n">
        <f aca="false">+MIN($D$4,DATOS_[[#This Row],[Fecha Fin Sit. Contract.]])</f>
        <v>0</v>
      </c>
      <c r="BP784" s="137" t="n">
        <f aca="false">+DATOS_[[#This Row],[% de jornada]]*IF(DATOS_[[#This Row],[% jornada reducida]]="",1,DATOS_[[#This Row],[% jornada reducida]])</f>
        <v>0</v>
      </c>
      <c r="BQ784" s="137" t="n">
        <f aca="false">+(DATOS_[[#This Row],[F.fin.cal]]-DATOS_[[#This Row],[F.ini.cal]]+1)/($D$4-$D$3+1)</f>
        <v>1</v>
      </c>
      <c r="BR784" s="137" t="str">
        <f aca="false">IF(OR(AND(DATOS_[[#This Row],[Fecha Fin Contrato]]&lt;$D$3,DATOS_[[#This Row],[Fecha Fin Contrato]]&lt;&gt;""),DATOS_[[#This Row],[Fecha de Contratación]]&gt;$D$4),"Fuera","Dentro")</f>
        <v>Dentro</v>
      </c>
      <c r="BS784" s="137" t="str">
        <f aca="false" t="array" ref="BS784:BS784">IF(MAX(IF(DATOS_[id]=DATOS_[[#This Row],[id]],DATOS_[F.fin.cal]))=DATOS_[[#This Row],[F.fin.cal]],"Sí","NO")</f>
        <v>Sí</v>
      </c>
      <c r="BT784" s="137" t="str">
        <f aca="false">IF(AND(DATOS_[[#This Row],[% normaliz]]&lt;&gt;1,DATOS_[[#This Row],[% anualiz]]=1),"Sí","NO")</f>
        <v>Sí</v>
      </c>
      <c r="BU784" s="137" t="str">
        <f aca="false">IF(AND(DATOS_[[#This Row],[% normaliz]]=1,DATOS_[[#This Row],[% anualiz]]&lt;&gt;1),"Sí","NO")</f>
        <v>NO</v>
      </c>
      <c r="BV784" s="137" t="str">
        <f aca="false">IF(AND(DATOS_[[#This Row],[% normaliz]]&lt;&gt;1,DATOS_[[#This Row],[% anualiz]]&lt;&gt;1),"Sí","NO")</f>
        <v>NO</v>
      </c>
      <c r="BW784" s="137" t="str">
        <f aca="false">+IF(DATOS_[[#This Row],[% normaliz]]*DATOS_[[#This Row],[% anualiz]]=1,"NO","Sí")</f>
        <v>Sí</v>
      </c>
      <c r="BX784" s="138" t="e">
        <f aca="false">(DATOS_[[#This Row],[S.BASE]]*(1/DATOS_[[#This Row],[% normaliz]])*(1/DATOS_[[#This Row],[% anualiz]]))*IF(DATOS_[[#This Row],[Check Equiparado]]="Sí",1,0)</f>
        <v>#DIV/0!</v>
      </c>
      <c r="BY7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4" s="138" t="e">
        <f aca="false">+DATOS_[[#This Row],[SALARIO BASE Eq]]+DATOS_[[#This Row],[Tot COMPL.SAL Eq]]</f>
        <v>#DIV/0!</v>
      </c>
      <c r="CA784" s="138" t="e">
        <f aca="false" t="array" ref="CA784:CA7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4" s="138" t="e">
        <f aca="false">+DATOS_[[#This Row],[TOTAL SALARIO Eq]]+DATOS_[[#This Row],[Tot Extrasalarial Eq]]</f>
        <v>#DIV/0!</v>
      </c>
      <c r="CC784" s="139" t="n">
        <f aca="false">DATOS_[[#This Row],[S.BASE]]</f>
        <v>0</v>
      </c>
      <c r="CD784" s="139" t="n">
        <f aca="false">+SUM(DATOS_[[#This Row],[Conc.Sal.01]:[Conc.Sal.30]])</f>
        <v>0</v>
      </c>
      <c r="CE784" s="139" t="n">
        <f aca="false">+DATOS_[[#This Row],[SALARIO BASE Ef]]+DATOS_[[#This Row],[Tot COMPL.SAL Ef]]</f>
        <v>0</v>
      </c>
      <c r="CF784" s="139" t="n">
        <f aca="false">+SUM(DATOS_[[#This Row],[C.Extra.01]:[C.Extra.05]])</f>
        <v>0</v>
      </c>
      <c r="CG784" s="139" t="n">
        <f aca="false">+DATOS_[[#This Row],[TOTAL SALARIO Ef]]+DATOS_[[#This Row],[Tot Extrasalarial Ef]]</f>
        <v>0</v>
      </c>
      <c r="CH784" s="140" t="n">
        <f aca="false">MIN(IF(DATOS_[[#This Row],[Fecha Fin Contrato]]="",$D$4,DATOS_[[#This Row],[Fecha Fin Contrato]]),$D$4)-MAX(DATOS_[[#This Row],[Fecha de Contratación]],$D$3)+1</f>
        <v>1</v>
      </c>
      <c r="CI784" s="141" t="str">
        <f aca="false">IF(COUNTIFS(DATOS_[id],DATOS_[[#This Row],[id]])&gt;1,DATOS_[[#This Row],[id]],"")</f>
        <v/>
      </c>
      <c r="CJ784" s="141" t="n">
        <f aca="false">(Inicio!$G$10-DATOS_[[#This Row],[Fecha Nacimiento]])/365.25</f>
        <v>0</v>
      </c>
      <c r="CK784" s="141" t="n">
        <f aca="false">(Inicio!$G$10-DATOS_[[#This Row],[Fecha de Antigüedad]])/365.25</f>
        <v>0</v>
      </c>
      <c r="CL784" s="141" t="e">
        <f aca="false">+VLOOKUP(DATOS_[[#This Row],[Clave de Contrato]],TblTiposContrato13[],3,0)</f>
        <v>#N/A</v>
      </c>
      <c r="CM784" s="141" t="e">
        <f aca="false">+VLOOKUP(DATOS_[[#This Row],[Clave de Contrato]],TblTiposContrato13[],4,0)</f>
        <v>#N/A</v>
      </c>
      <c r="CN784" s="141" t="str">
        <f aca="false">VLOOKUP(DATOS_[[#This Row],[Edad]],CONTRATOS!TblRngEdad,2,1)</f>
        <v>20  o menos</v>
      </c>
      <c r="CO784" s="141" t="str">
        <f aca="false">VLOOKUP(DATOS_[[#This Row],[Antigüedad]],TblRngAntg14[],2,1)</f>
        <v>0 a 1 años</v>
      </c>
    </row>
    <row r="785" customFormat="false" ht="13.8" hidden="false" customHeight="false" outlineLevel="0" collapsed="false">
      <c r="D785" s="128"/>
      <c r="E785" s="129"/>
      <c r="F785" s="129"/>
      <c r="G785" s="129"/>
      <c r="H785" s="130"/>
      <c r="I785" s="131"/>
      <c r="J785" s="128"/>
      <c r="K785" s="132"/>
      <c r="L785" s="132"/>
      <c r="M785" s="133"/>
      <c r="N785" s="133"/>
      <c r="O785" s="133"/>
      <c r="P785" s="129"/>
      <c r="Z785" s="75"/>
      <c r="AA785" s="76"/>
      <c r="AB785" s="76"/>
      <c r="AC785" s="129"/>
      <c r="AD785" s="134"/>
      <c r="AE785" s="134"/>
      <c r="AF785" s="134"/>
      <c r="AG785" s="134"/>
      <c r="AH785" s="134"/>
      <c r="AI785" s="134"/>
      <c r="AJ785" s="134"/>
      <c r="AK785" s="134"/>
      <c r="AL785" s="134"/>
      <c r="AM785" s="134"/>
      <c r="AN785" s="134"/>
      <c r="AO785" s="134"/>
      <c r="AP785" s="134"/>
      <c r="AQ785" s="134"/>
      <c r="AR785" s="134"/>
      <c r="AS785" s="134"/>
      <c r="AT785" s="134"/>
      <c r="AU785" s="134"/>
      <c r="AV785" s="134"/>
      <c r="AW785" s="134"/>
      <c r="AX785" s="134"/>
      <c r="AY785" s="134"/>
      <c r="AZ785" s="134"/>
      <c r="BA785" s="134"/>
      <c r="BB785" s="134"/>
      <c r="BC785" s="134"/>
      <c r="BD785" s="134"/>
      <c r="BE785" s="134"/>
      <c r="BF785" s="134"/>
      <c r="BG785" s="134"/>
      <c r="BH785" s="134"/>
      <c r="BI785" s="134"/>
      <c r="BJ785" s="134"/>
      <c r="BK785" s="134"/>
      <c r="BL785" s="134"/>
      <c r="BM785" s="135"/>
      <c r="BN785" s="136" t="n">
        <f aca="false">+MAX($D$3,DATOS_[[#This Row],[Fecha Inicio Sit. Contract.]])</f>
        <v>0</v>
      </c>
      <c r="BO785" s="136" t="n">
        <f aca="false">+MIN($D$4,DATOS_[[#This Row],[Fecha Fin Sit. Contract.]])</f>
        <v>0</v>
      </c>
      <c r="BP785" s="137" t="n">
        <f aca="false">+DATOS_[[#This Row],[% de jornada]]*IF(DATOS_[[#This Row],[% jornada reducida]]="",1,DATOS_[[#This Row],[% jornada reducida]])</f>
        <v>0</v>
      </c>
      <c r="BQ785" s="137" t="n">
        <f aca="false">+(DATOS_[[#This Row],[F.fin.cal]]-DATOS_[[#This Row],[F.ini.cal]]+1)/($D$4-$D$3+1)</f>
        <v>1</v>
      </c>
      <c r="BR785" s="137" t="str">
        <f aca="false">IF(OR(AND(DATOS_[[#This Row],[Fecha Fin Contrato]]&lt;$D$3,DATOS_[[#This Row],[Fecha Fin Contrato]]&lt;&gt;""),DATOS_[[#This Row],[Fecha de Contratación]]&gt;$D$4),"Fuera","Dentro")</f>
        <v>Dentro</v>
      </c>
      <c r="BS785" s="137" t="str">
        <f aca="false" t="array" ref="BS785:BS785">IF(MAX(IF(DATOS_[id]=DATOS_[[#This Row],[id]],DATOS_[F.fin.cal]))=DATOS_[[#This Row],[F.fin.cal]],"Sí","NO")</f>
        <v>Sí</v>
      </c>
      <c r="BT785" s="137" t="str">
        <f aca="false">IF(AND(DATOS_[[#This Row],[% normaliz]]&lt;&gt;1,DATOS_[[#This Row],[% anualiz]]=1),"Sí","NO")</f>
        <v>Sí</v>
      </c>
      <c r="BU785" s="137" t="str">
        <f aca="false">IF(AND(DATOS_[[#This Row],[% normaliz]]=1,DATOS_[[#This Row],[% anualiz]]&lt;&gt;1),"Sí","NO")</f>
        <v>NO</v>
      </c>
      <c r="BV785" s="137" t="str">
        <f aca="false">IF(AND(DATOS_[[#This Row],[% normaliz]]&lt;&gt;1,DATOS_[[#This Row],[% anualiz]]&lt;&gt;1),"Sí","NO")</f>
        <v>NO</v>
      </c>
      <c r="BW785" s="137" t="str">
        <f aca="false">+IF(DATOS_[[#This Row],[% normaliz]]*DATOS_[[#This Row],[% anualiz]]=1,"NO","Sí")</f>
        <v>Sí</v>
      </c>
      <c r="BX785" s="138" t="e">
        <f aca="false">(DATOS_[[#This Row],[S.BASE]]*(1/DATOS_[[#This Row],[% normaliz]])*(1/DATOS_[[#This Row],[% anualiz]]))*IF(DATOS_[[#This Row],[Check Equiparado]]="Sí",1,0)</f>
        <v>#DIV/0!</v>
      </c>
      <c r="BY7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5" s="138" t="e">
        <f aca="false">+DATOS_[[#This Row],[SALARIO BASE Eq]]+DATOS_[[#This Row],[Tot COMPL.SAL Eq]]</f>
        <v>#DIV/0!</v>
      </c>
      <c r="CA785" s="138" t="e">
        <f aca="false" t="array" ref="CA785:CA7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5" s="138" t="e">
        <f aca="false">+DATOS_[[#This Row],[TOTAL SALARIO Eq]]+DATOS_[[#This Row],[Tot Extrasalarial Eq]]</f>
        <v>#DIV/0!</v>
      </c>
      <c r="CC785" s="139" t="n">
        <f aca="false">DATOS_[[#This Row],[S.BASE]]</f>
        <v>0</v>
      </c>
      <c r="CD785" s="139" t="n">
        <f aca="false">+SUM(DATOS_[[#This Row],[Conc.Sal.01]:[Conc.Sal.30]])</f>
        <v>0</v>
      </c>
      <c r="CE785" s="139" t="n">
        <f aca="false">+DATOS_[[#This Row],[SALARIO BASE Ef]]+DATOS_[[#This Row],[Tot COMPL.SAL Ef]]</f>
        <v>0</v>
      </c>
      <c r="CF785" s="139" t="n">
        <f aca="false">+SUM(DATOS_[[#This Row],[C.Extra.01]:[C.Extra.05]])</f>
        <v>0</v>
      </c>
      <c r="CG785" s="139" t="n">
        <f aca="false">+DATOS_[[#This Row],[TOTAL SALARIO Ef]]+DATOS_[[#This Row],[Tot Extrasalarial Ef]]</f>
        <v>0</v>
      </c>
      <c r="CH785" s="140" t="n">
        <f aca="false">MIN(IF(DATOS_[[#This Row],[Fecha Fin Contrato]]="",$D$4,DATOS_[[#This Row],[Fecha Fin Contrato]]),$D$4)-MAX(DATOS_[[#This Row],[Fecha de Contratación]],$D$3)+1</f>
        <v>1</v>
      </c>
      <c r="CI785" s="141" t="str">
        <f aca="false">IF(COUNTIFS(DATOS_[id],DATOS_[[#This Row],[id]])&gt;1,DATOS_[[#This Row],[id]],"")</f>
        <v/>
      </c>
      <c r="CJ785" s="141" t="n">
        <f aca="false">(Inicio!$G$10-DATOS_[[#This Row],[Fecha Nacimiento]])/365.25</f>
        <v>0</v>
      </c>
      <c r="CK785" s="141" t="n">
        <f aca="false">(Inicio!$G$10-DATOS_[[#This Row],[Fecha de Antigüedad]])/365.25</f>
        <v>0</v>
      </c>
      <c r="CL785" s="141" t="e">
        <f aca="false">+VLOOKUP(DATOS_[[#This Row],[Clave de Contrato]],TblTiposContrato13[],3,0)</f>
        <v>#N/A</v>
      </c>
      <c r="CM785" s="141" t="e">
        <f aca="false">+VLOOKUP(DATOS_[[#This Row],[Clave de Contrato]],TblTiposContrato13[],4,0)</f>
        <v>#N/A</v>
      </c>
      <c r="CN785" s="141" t="str">
        <f aca="false">VLOOKUP(DATOS_[[#This Row],[Edad]],CONTRATOS!TblRngEdad,2,1)</f>
        <v>20  o menos</v>
      </c>
      <c r="CO785" s="141" t="str">
        <f aca="false">VLOOKUP(DATOS_[[#This Row],[Antigüedad]],TblRngAntg14[],2,1)</f>
        <v>0 a 1 años</v>
      </c>
    </row>
    <row r="786" customFormat="false" ht="13.8" hidden="false" customHeight="false" outlineLevel="0" collapsed="false">
      <c r="D786" s="128"/>
      <c r="E786" s="129"/>
      <c r="F786" s="129"/>
      <c r="G786" s="129"/>
      <c r="H786" s="130"/>
      <c r="I786" s="131"/>
      <c r="J786" s="128"/>
      <c r="K786" s="132"/>
      <c r="L786" s="132"/>
      <c r="M786" s="133"/>
      <c r="N786" s="133"/>
      <c r="O786" s="133"/>
      <c r="P786" s="129"/>
      <c r="Z786" s="75"/>
      <c r="AA786" s="76"/>
      <c r="AB786" s="76"/>
      <c r="AC786" s="129"/>
      <c r="AD786" s="134"/>
      <c r="AE786" s="134"/>
      <c r="AF786" s="134"/>
      <c r="AG786" s="134"/>
      <c r="AH786" s="134"/>
      <c r="AI786" s="134"/>
      <c r="AJ786" s="134"/>
      <c r="AK786" s="134"/>
      <c r="AL786" s="134"/>
      <c r="AM786" s="134"/>
      <c r="AN786" s="134"/>
      <c r="AO786" s="134"/>
      <c r="AP786" s="134"/>
      <c r="AQ786" s="134"/>
      <c r="AR786" s="134"/>
      <c r="AS786" s="134"/>
      <c r="AT786" s="134"/>
      <c r="AU786" s="134"/>
      <c r="AV786" s="134"/>
      <c r="AW786" s="134"/>
      <c r="AX786" s="134"/>
      <c r="AY786" s="134"/>
      <c r="AZ786" s="134"/>
      <c r="BA786" s="134"/>
      <c r="BB786" s="134"/>
      <c r="BC786" s="134"/>
      <c r="BD786" s="134"/>
      <c r="BE786" s="134"/>
      <c r="BF786" s="134"/>
      <c r="BG786" s="134"/>
      <c r="BH786" s="134"/>
      <c r="BI786" s="134"/>
      <c r="BJ786" s="134"/>
      <c r="BK786" s="134"/>
      <c r="BL786" s="134"/>
      <c r="BM786" s="135"/>
      <c r="BN786" s="136" t="n">
        <f aca="false">+MAX($D$3,DATOS_[[#This Row],[Fecha Inicio Sit. Contract.]])</f>
        <v>0</v>
      </c>
      <c r="BO786" s="136" t="n">
        <f aca="false">+MIN($D$4,DATOS_[[#This Row],[Fecha Fin Sit. Contract.]])</f>
        <v>0</v>
      </c>
      <c r="BP786" s="137" t="n">
        <f aca="false">+DATOS_[[#This Row],[% de jornada]]*IF(DATOS_[[#This Row],[% jornada reducida]]="",1,DATOS_[[#This Row],[% jornada reducida]])</f>
        <v>0</v>
      </c>
      <c r="BQ786" s="137" t="n">
        <f aca="false">+(DATOS_[[#This Row],[F.fin.cal]]-DATOS_[[#This Row],[F.ini.cal]]+1)/($D$4-$D$3+1)</f>
        <v>1</v>
      </c>
      <c r="BR786" s="137" t="str">
        <f aca="false">IF(OR(AND(DATOS_[[#This Row],[Fecha Fin Contrato]]&lt;$D$3,DATOS_[[#This Row],[Fecha Fin Contrato]]&lt;&gt;""),DATOS_[[#This Row],[Fecha de Contratación]]&gt;$D$4),"Fuera","Dentro")</f>
        <v>Dentro</v>
      </c>
      <c r="BS786" s="137" t="str">
        <f aca="false" t="array" ref="BS786:BS786">IF(MAX(IF(DATOS_[id]=DATOS_[[#This Row],[id]],DATOS_[F.fin.cal]))=DATOS_[[#This Row],[F.fin.cal]],"Sí","NO")</f>
        <v>Sí</v>
      </c>
      <c r="BT786" s="137" t="str">
        <f aca="false">IF(AND(DATOS_[[#This Row],[% normaliz]]&lt;&gt;1,DATOS_[[#This Row],[% anualiz]]=1),"Sí","NO")</f>
        <v>Sí</v>
      </c>
      <c r="BU786" s="137" t="str">
        <f aca="false">IF(AND(DATOS_[[#This Row],[% normaliz]]=1,DATOS_[[#This Row],[% anualiz]]&lt;&gt;1),"Sí","NO")</f>
        <v>NO</v>
      </c>
      <c r="BV786" s="137" t="str">
        <f aca="false">IF(AND(DATOS_[[#This Row],[% normaliz]]&lt;&gt;1,DATOS_[[#This Row],[% anualiz]]&lt;&gt;1),"Sí","NO")</f>
        <v>NO</v>
      </c>
      <c r="BW786" s="137" t="str">
        <f aca="false">+IF(DATOS_[[#This Row],[% normaliz]]*DATOS_[[#This Row],[% anualiz]]=1,"NO","Sí")</f>
        <v>Sí</v>
      </c>
      <c r="BX786" s="138" t="e">
        <f aca="false">(DATOS_[[#This Row],[S.BASE]]*(1/DATOS_[[#This Row],[% normaliz]])*(1/DATOS_[[#This Row],[% anualiz]]))*IF(DATOS_[[#This Row],[Check Equiparado]]="Sí",1,0)</f>
        <v>#DIV/0!</v>
      </c>
      <c r="BY7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6" s="138" t="e">
        <f aca="false">+DATOS_[[#This Row],[SALARIO BASE Eq]]+DATOS_[[#This Row],[Tot COMPL.SAL Eq]]</f>
        <v>#DIV/0!</v>
      </c>
      <c r="CA786" s="138" t="e">
        <f aca="false" t="array" ref="CA786:CA7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6" s="138" t="e">
        <f aca="false">+DATOS_[[#This Row],[TOTAL SALARIO Eq]]+DATOS_[[#This Row],[Tot Extrasalarial Eq]]</f>
        <v>#DIV/0!</v>
      </c>
      <c r="CC786" s="139" t="n">
        <f aca="false">DATOS_[[#This Row],[S.BASE]]</f>
        <v>0</v>
      </c>
      <c r="CD786" s="139" t="n">
        <f aca="false">+SUM(DATOS_[[#This Row],[Conc.Sal.01]:[Conc.Sal.30]])</f>
        <v>0</v>
      </c>
      <c r="CE786" s="139" t="n">
        <f aca="false">+DATOS_[[#This Row],[SALARIO BASE Ef]]+DATOS_[[#This Row],[Tot COMPL.SAL Ef]]</f>
        <v>0</v>
      </c>
      <c r="CF786" s="139" t="n">
        <f aca="false">+SUM(DATOS_[[#This Row],[C.Extra.01]:[C.Extra.05]])</f>
        <v>0</v>
      </c>
      <c r="CG786" s="139" t="n">
        <f aca="false">+DATOS_[[#This Row],[TOTAL SALARIO Ef]]+DATOS_[[#This Row],[Tot Extrasalarial Ef]]</f>
        <v>0</v>
      </c>
      <c r="CH786" s="140" t="n">
        <f aca="false">MIN(IF(DATOS_[[#This Row],[Fecha Fin Contrato]]="",$D$4,DATOS_[[#This Row],[Fecha Fin Contrato]]),$D$4)-MAX(DATOS_[[#This Row],[Fecha de Contratación]],$D$3)+1</f>
        <v>1</v>
      </c>
      <c r="CI786" s="141" t="str">
        <f aca="false">IF(COUNTIFS(DATOS_[id],DATOS_[[#This Row],[id]])&gt;1,DATOS_[[#This Row],[id]],"")</f>
        <v/>
      </c>
      <c r="CJ786" s="141" t="n">
        <f aca="false">(Inicio!$G$10-DATOS_[[#This Row],[Fecha Nacimiento]])/365.25</f>
        <v>0</v>
      </c>
      <c r="CK786" s="141" t="n">
        <f aca="false">(Inicio!$G$10-DATOS_[[#This Row],[Fecha de Antigüedad]])/365.25</f>
        <v>0</v>
      </c>
      <c r="CL786" s="141" t="e">
        <f aca="false">+VLOOKUP(DATOS_[[#This Row],[Clave de Contrato]],TblTiposContrato13[],3,0)</f>
        <v>#N/A</v>
      </c>
      <c r="CM786" s="141" t="e">
        <f aca="false">+VLOOKUP(DATOS_[[#This Row],[Clave de Contrato]],TblTiposContrato13[],4,0)</f>
        <v>#N/A</v>
      </c>
      <c r="CN786" s="141" t="str">
        <f aca="false">VLOOKUP(DATOS_[[#This Row],[Edad]],CONTRATOS!TblRngEdad,2,1)</f>
        <v>20  o menos</v>
      </c>
      <c r="CO786" s="141" t="str">
        <f aca="false">VLOOKUP(DATOS_[[#This Row],[Antigüedad]],TblRngAntg14[],2,1)</f>
        <v>0 a 1 años</v>
      </c>
    </row>
    <row r="787" customFormat="false" ht="13.8" hidden="false" customHeight="false" outlineLevel="0" collapsed="false">
      <c r="D787" s="128"/>
      <c r="E787" s="129"/>
      <c r="F787" s="129"/>
      <c r="G787" s="129"/>
      <c r="H787" s="130"/>
      <c r="I787" s="131"/>
      <c r="J787" s="128"/>
      <c r="K787" s="132"/>
      <c r="L787" s="132"/>
      <c r="M787" s="133"/>
      <c r="N787" s="133"/>
      <c r="O787" s="133"/>
      <c r="P787" s="129"/>
      <c r="Z787" s="75"/>
      <c r="AA787" s="76"/>
      <c r="AB787" s="76"/>
      <c r="AC787" s="129"/>
      <c r="AD787" s="134"/>
      <c r="AE787" s="134"/>
      <c r="AF787" s="134"/>
      <c r="AG787" s="134"/>
      <c r="AH787" s="134"/>
      <c r="AI787" s="134"/>
      <c r="AJ787" s="134"/>
      <c r="AK787" s="134"/>
      <c r="AL787" s="134"/>
      <c r="AM787" s="134"/>
      <c r="AN787" s="134"/>
      <c r="AO787" s="134"/>
      <c r="AP787" s="134"/>
      <c r="AQ787" s="134"/>
      <c r="AR787" s="134"/>
      <c r="AS787" s="134"/>
      <c r="AT787" s="134"/>
      <c r="AU787" s="134"/>
      <c r="AV787" s="134"/>
      <c r="AW787" s="134"/>
      <c r="AX787" s="134"/>
      <c r="AY787" s="134"/>
      <c r="AZ787" s="134"/>
      <c r="BA787" s="134"/>
      <c r="BB787" s="134"/>
      <c r="BC787" s="134"/>
      <c r="BD787" s="134"/>
      <c r="BE787" s="134"/>
      <c r="BF787" s="134"/>
      <c r="BG787" s="134"/>
      <c r="BH787" s="134"/>
      <c r="BI787" s="134"/>
      <c r="BJ787" s="134"/>
      <c r="BK787" s="134"/>
      <c r="BL787" s="134"/>
      <c r="BM787" s="135"/>
      <c r="BN787" s="136" t="n">
        <f aca="false">+MAX($D$3,DATOS_[[#This Row],[Fecha Inicio Sit. Contract.]])</f>
        <v>0</v>
      </c>
      <c r="BO787" s="136" t="n">
        <f aca="false">+MIN($D$4,DATOS_[[#This Row],[Fecha Fin Sit. Contract.]])</f>
        <v>0</v>
      </c>
      <c r="BP787" s="137" t="n">
        <f aca="false">+DATOS_[[#This Row],[% de jornada]]*IF(DATOS_[[#This Row],[% jornada reducida]]="",1,DATOS_[[#This Row],[% jornada reducida]])</f>
        <v>0</v>
      </c>
      <c r="BQ787" s="137" t="n">
        <f aca="false">+(DATOS_[[#This Row],[F.fin.cal]]-DATOS_[[#This Row],[F.ini.cal]]+1)/($D$4-$D$3+1)</f>
        <v>1</v>
      </c>
      <c r="BR787" s="137" t="str">
        <f aca="false">IF(OR(AND(DATOS_[[#This Row],[Fecha Fin Contrato]]&lt;$D$3,DATOS_[[#This Row],[Fecha Fin Contrato]]&lt;&gt;""),DATOS_[[#This Row],[Fecha de Contratación]]&gt;$D$4),"Fuera","Dentro")</f>
        <v>Dentro</v>
      </c>
      <c r="BS787" s="137" t="str">
        <f aca="false" t="array" ref="BS787:BS787">IF(MAX(IF(DATOS_[id]=DATOS_[[#This Row],[id]],DATOS_[F.fin.cal]))=DATOS_[[#This Row],[F.fin.cal]],"Sí","NO")</f>
        <v>Sí</v>
      </c>
      <c r="BT787" s="137" t="str">
        <f aca="false">IF(AND(DATOS_[[#This Row],[% normaliz]]&lt;&gt;1,DATOS_[[#This Row],[% anualiz]]=1),"Sí","NO")</f>
        <v>Sí</v>
      </c>
      <c r="BU787" s="137" t="str">
        <f aca="false">IF(AND(DATOS_[[#This Row],[% normaliz]]=1,DATOS_[[#This Row],[% anualiz]]&lt;&gt;1),"Sí","NO")</f>
        <v>NO</v>
      </c>
      <c r="BV787" s="137" t="str">
        <f aca="false">IF(AND(DATOS_[[#This Row],[% normaliz]]&lt;&gt;1,DATOS_[[#This Row],[% anualiz]]&lt;&gt;1),"Sí","NO")</f>
        <v>NO</v>
      </c>
      <c r="BW787" s="137" t="str">
        <f aca="false">+IF(DATOS_[[#This Row],[% normaliz]]*DATOS_[[#This Row],[% anualiz]]=1,"NO","Sí")</f>
        <v>Sí</v>
      </c>
      <c r="BX787" s="138" t="e">
        <f aca="false">(DATOS_[[#This Row],[S.BASE]]*(1/DATOS_[[#This Row],[% normaliz]])*(1/DATOS_[[#This Row],[% anualiz]]))*IF(DATOS_[[#This Row],[Check Equiparado]]="Sí",1,0)</f>
        <v>#DIV/0!</v>
      </c>
      <c r="BY7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7" s="138" t="e">
        <f aca="false">+DATOS_[[#This Row],[SALARIO BASE Eq]]+DATOS_[[#This Row],[Tot COMPL.SAL Eq]]</f>
        <v>#DIV/0!</v>
      </c>
      <c r="CA787" s="138" t="e">
        <f aca="false" t="array" ref="CA787:CA7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7" s="138" t="e">
        <f aca="false">+DATOS_[[#This Row],[TOTAL SALARIO Eq]]+DATOS_[[#This Row],[Tot Extrasalarial Eq]]</f>
        <v>#DIV/0!</v>
      </c>
      <c r="CC787" s="139" t="n">
        <f aca="false">DATOS_[[#This Row],[S.BASE]]</f>
        <v>0</v>
      </c>
      <c r="CD787" s="139" t="n">
        <f aca="false">+SUM(DATOS_[[#This Row],[Conc.Sal.01]:[Conc.Sal.30]])</f>
        <v>0</v>
      </c>
      <c r="CE787" s="139" t="n">
        <f aca="false">+DATOS_[[#This Row],[SALARIO BASE Ef]]+DATOS_[[#This Row],[Tot COMPL.SAL Ef]]</f>
        <v>0</v>
      </c>
      <c r="CF787" s="139" t="n">
        <f aca="false">+SUM(DATOS_[[#This Row],[C.Extra.01]:[C.Extra.05]])</f>
        <v>0</v>
      </c>
      <c r="CG787" s="139" t="n">
        <f aca="false">+DATOS_[[#This Row],[TOTAL SALARIO Ef]]+DATOS_[[#This Row],[Tot Extrasalarial Ef]]</f>
        <v>0</v>
      </c>
      <c r="CH787" s="140" t="n">
        <f aca="false">MIN(IF(DATOS_[[#This Row],[Fecha Fin Contrato]]="",$D$4,DATOS_[[#This Row],[Fecha Fin Contrato]]),$D$4)-MAX(DATOS_[[#This Row],[Fecha de Contratación]],$D$3)+1</f>
        <v>1</v>
      </c>
      <c r="CI787" s="141" t="str">
        <f aca="false">IF(COUNTIFS(DATOS_[id],DATOS_[[#This Row],[id]])&gt;1,DATOS_[[#This Row],[id]],"")</f>
        <v/>
      </c>
      <c r="CJ787" s="141" t="n">
        <f aca="false">(Inicio!$G$10-DATOS_[[#This Row],[Fecha Nacimiento]])/365.25</f>
        <v>0</v>
      </c>
      <c r="CK787" s="141" t="n">
        <f aca="false">(Inicio!$G$10-DATOS_[[#This Row],[Fecha de Antigüedad]])/365.25</f>
        <v>0</v>
      </c>
      <c r="CL787" s="141" t="e">
        <f aca="false">+VLOOKUP(DATOS_[[#This Row],[Clave de Contrato]],TblTiposContrato13[],3,0)</f>
        <v>#N/A</v>
      </c>
      <c r="CM787" s="141" t="e">
        <f aca="false">+VLOOKUP(DATOS_[[#This Row],[Clave de Contrato]],TblTiposContrato13[],4,0)</f>
        <v>#N/A</v>
      </c>
      <c r="CN787" s="141" t="str">
        <f aca="false">VLOOKUP(DATOS_[[#This Row],[Edad]],CONTRATOS!TblRngEdad,2,1)</f>
        <v>20  o menos</v>
      </c>
      <c r="CO787" s="141" t="str">
        <f aca="false">VLOOKUP(DATOS_[[#This Row],[Antigüedad]],TblRngAntg14[],2,1)</f>
        <v>0 a 1 años</v>
      </c>
    </row>
    <row r="788" customFormat="false" ht="13.8" hidden="false" customHeight="false" outlineLevel="0" collapsed="false">
      <c r="D788" s="128"/>
      <c r="E788" s="129"/>
      <c r="F788" s="129"/>
      <c r="G788" s="129"/>
      <c r="H788" s="130"/>
      <c r="I788" s="131"/>
      <c r="J788" s="128"/>
      <c r="K788" s="132"/>
      <c r="L788" s="132"/>
      <c r="M788" s="133"/>
      <c r="N788" s="133"/>
      <c r="O788" s="133"/>
      <c r="P788" s="129"/>
      <c r="Z788" s="75"/>
      <c r="AA788" s="76"/>
      <c r="AB788" s="76"/>
      <c r="AC788" s="129"/>
      <c r="AD788" s="134"/>
      <c r="AE788" s="134"/>
      <c r="AF788" s="134"/>
      <c r="AG788" s="134"/>
      <c r="AH788" s="134"/>
      <c r="AI788" s="134"/>
      <c r="AJ788" s="134"/>
      <c r="AK788" s="134"/>
      <c r="AL788" s="134"/>
      <c r="AM788" s="134"/>
      <c r="AN788" s="134"/>
      <c r="AO788" s="134"/>
      <c r="AP788" s="134"/>
      <c r="AQ788" s="134"/>
      <c r="AR788" s="134"/>
      <c r="AS788" s="134"/>
      <c r="AT788" s="134"/>
      <c r="AU788" s="134"/>
      <c r="AV788" s="134"/>
      <c r="AW788" s="134"/>
      <c r="AX788" s="134"/>
      <c r="AY788" s="134"/>
      <c r="AZ788" s="134"/>
      <c r="BA788" s="134"/>
      <c r="BB788" s="134"/>
      <c r="BC788" s="134"/>
      <c r="BD788" s="134"/>
      <c r="BE788" s="134"/>
      <c r="BF788" s="134"/>
      <c r="BG788" s="134"/>
      <c r="BH788" s="134"/>
      <c r="BI788" s="134"/>
      <c r="BJ788" s="134"/>
      <c r="BK788" s="134"/>
      <c r="BL788" s="134"/>
      <c r="BM788" s="135"/>
      <c r="BN788" s="136" t="n">
        <f aca="false">+MAX($D$3,DATOS_[[#This Row],[Fecha Inicio Sit. Contract.]])</f>
        <v>0</v>
      </c>
      <c r="BO788" s="136" t="n">
        <f aca="false">+MIN($D$4,DATOS_[[#This Row],[Fecha Fin Sit. Contract.]])</f>
        <v>0</v>
      </c>
      <c r="BP788" s="137" t="n">
        <f aca="false">+DATOS_[[#This Row],[% de jornada]]*IF(DATOS_[[#This Row],[% jornada reducida]]="",1,DATOS_[[#This Row],[% jornada reducida]])</f>
        <v>0</v>
      </c>
      <c r="BQ788" s="137" t="n">
        <f aca="false">+(DATOS_[[#This Row],[F.fin.cal]]-DATOS_[[#This Row],[F.ini.cal]]+1)/($D$4-$D$3+1)</f>
        <v>1</v>
      </c>
      <c r="BR788" s="137" t="str">
        <f aca="false">IF(OR(AND(DATOS_[[#This Row],[Fecha Fin Contrato]]&lt;$D$3,DATOS_[[#This Row],[Fecha Fin Contrato]]&lt;&gt;""),DATOS_[[#This Row],[Fecha de Contratación]]&gt;$D$4),"Fuera","Dentro")</f>
        <v>Dentro</v>
      </c>
      <c r="BS788" s="137" t="str">
        <f aca="false" t="array" ref="BS788:BS788">IF(MAX(IF(DATOS_[id]=DATOS_[[#This Row],[id]],DATOS_[F.fin.cal]))=DATOS_[[#This Row],[F.fin.cal]],"Sí","NO")</f>
        <v>Sí</v>
      </c>
      <c r="BT788" s="137" t="str">
        <f aca="false">IF(AND(DATOS_[[#This Row],[% normaliz]]&lt;&gt;1,DATOS_[[#This Row],[% anualiz]]=1),"Sí","NO")</f>
        <v>Sí</v>
      </c>
      <c r="BU788" s="137" t="str">
        <f aca="false">IF(AND(DATOS_[[#This Row],[% normaliz]]=1,DATOS_[[#This Row],[% anualiz]]&lt;&gt;1),"Sí","NO")</f>
        <v>NO</v>
      </c>
      <c r="BV788" s="137" t="str">
        <f aca="false">IF(AND(DATOS_[[#This Row],[% normaliz]]&lt;&gt;1,DATOS_[[#This Row],[% anualiz]]&lt;&gt;1),"Sí","NO")</f>
        <v>NO</v>
      </c>
      <c r="BW788" s="137" t="str">
        <f aca="false">+IF(DATOS_[[#This Row],[% normaliz]]*DATOS_[[#This Row],[% anualiz]]=1,"NO","Sí")</f>
        <v>Sí</v>
      </c>
      <c r="BX788" s="138" t="e">
        <f aca="false">(DATOS_[[#This Row],[S.BASE]]*(1/DATOS_[[#This Row],[% normaliz]])*(1/DATOS_[[#This Row],[% anualiz]]))*IF(DATOS_[[#This Row],[Check Equiparado]]="Sí",1,0)</f>
        <v>#DIV/0!</v>
      </c>
      <c r="BY7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8" s="138" t="e">
        <f aca="false">+DATOS_[[#This Row],[SALARIO BASE Eq]]+DATOS_[[#This Row],[Tot COMPL.SAL Eq]]</f>
        <v>#DIV/0!</v>
      </c>
      <c r="CA788" s="138" t="e">
        <f aca="false" t="array" ref="CA788:CA7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8" s="138" t="e">
        <f aca="false">+DATOS_[[#This Row],[TOTAL SALARIO Eq]]+DATOS_[[#This Row],[Tot Extrasalarial Eq]]</f>
        <v>#DIV/0!</v>
      </c>
      <c r="CC788" s="139" t="n">
        <f aca="false">DATOS_[[#This Row],[S.BASE]]</f>
        <v>0</v>
      </c>
      <c r="CD788" s="139" t="n">
        <f aca="false">+SUM(DATOS_[[#This Row],[Conc.Sal.01]:[Conc.Sal.30]])</f>
        <v>0</v>
      </c>
      <c r="CE788" s="139" t="n">
        <f aca="false">+DATOS_[[#This Row],[SALARIO BASE Ef]]+DATOS_[[#This Row],[Tot COMPL.SAL Ef]]</f>
        <v>0</v>
      </c>
      <c r="CF788" s="139" t="n">
        <f aca="false">+SUM(DATOS_[[#This Row],[C.Extra.01]:[C.Extra.05]])</f>
        <v>0</v>
      </c>
      <c r="CG788" s="139" t="n">
        <f aca="false">+DATOS_[[#This Row],[TOTAL SALARIO Ef]]+DATOS_[[#This Row],[Tot Extrasalarial Ef]]</f>
        <v>0</v>
      </c>
      <c r="CH788" s="140" t="n">
        <f aca="false">MIN(IF(DATOS_[[#This Row],[Fecha Fin Contrato]]="",$D$4,DATOS_[[#This Row],[Fecha Fin Contrato]]),$D$4)-MAX(DATOS_[[#This Row],[Fecha de Contratación]],$D$3)+1</f>
        <v>1</v>
      </c>
      <c r="CI788" s="141" t="str">
        <f aca="false">IF(COUNTIFS(DATOS_[id],DATOS_[[#This Row],[id]])&gt;1,DATOS_[[#This Row],[id]],"")</f>
        <v/>
      </c>
      <c r="CJ788" s="141" t="n">
        <f aca="false">(Inicio!$G$10-DATOS_[[#This Row],[Fecha Nacimiento]])/365.25</f>
        <v>0</v>
      </c>
      <c r="CK788" s="141" t="n">
        <f aca="false">(Inicio!$G$10-DATOS_[[#This Row],[Fecha de Antigüedad]])/365.25</f>
        <v>0</v>
      </c>
      <c r="CL788" s="141" t="e">
        <f aca="false">+VLOOKUP(DATOS_[[#This Row],[Clave de Contrato]],TblTiposContrato13[],3,0)</f>
        <v>#N/A</v>
      </c>
      <c r="CM788" s="141" t="e">
        <f aca="false">+VLOOKUP(DATOS_[[#This Row],[Clave de Contrato]],TblTiposContrato13[],4,0)</f>
        <v>#N/A</v>
      </c>
      <c r="CN788" s="141" t="str">
        <f aca="false">VLOOKUP(DATOS_[[#This Row],[Edad]],CONTRATOS!TblRngEdad,2,1)</f>
        <v>20  o menos</v>
      </c>
      <c r="CO788" s="141" t="str">
        <f aca="false">VLOOKUP(DATOS_[[#This Row],[Antigüedad]],TblRngAntg14[],2,1)</f>
        <v>0 a 1 años</v>
      </c>
    </row>
    <row r="789" customFormat="false" ht="13.8" hidden="false" customHeight="false" outlineLevel="0" collapsed="false">
      <c r="D789" s="128"/>
      <c r="E789" s="129"/>
      <c r="F789" s="129"/>
      <c r="G789" s="129"/>
      <c r="H789" s="130"/>
      <c r="I789" s="131"/>
      <c r="J789" s="128"/>
      <c r="K789" s="132"/>
      <c r="L789" s="132"/>
      <c r="M789" s="133"/>
      <c r="N789" s="133"/>
      <c r="O789" s="133"/>
      <c r="P789" s="129"/>
      <c r="Z789" s="75"/>
      <c r="AA789" s="76"/>
      <c r="AB789" s="76"/>
      <c r="AC789" s="129"/>
      <c r="AD789" s="134"/>
      <c r="AE789" s="134"/>
      <c r="AF789" s="134"/>
      <c r="AG789" s="134"/>
      <c r="AH789" s="134"/>
      <c r="AI789" s="134"/>
      <c r="AJ789" s="134"/>
      <c r="AK789" s="134"/>
      <c r="AL789" s="134"/>
      <c r="AM789" s="134"/>
      <c r="AN789" s="134"/>
      <c r="AO789" s="134"/>
      <c r="AP789" s="134"/>
      <c r="AQ789" s="134"/>
      <c r="AR789" s="134"/>
      <c r="AS789" s="134"/>
      <c r="AT789" s="134"/>
      <c r="AU789" s="134"/>
      <c r="AV789" s="134"/>
      <c r="AW789" s="134"/>
      <c r="AX789" s="134"/>
      <c r="AY789" s="134"/>
      <c r="AZ789" s="134"/>
      <c r="BA789" s="134"/>
      <c r="BB789" s="134"/>
      <c r="BC789" s="134"/>
      <c r="BD789" s="134"/>
      <c r="BE789" s="134"/>
      <c r="BF789" s="134"/>
      <c r="BG789" s="134"/>
      <c r="BH789" s="134"/>
      <c r="BI789" s="134"/>
      <c r="BJ789" s="134"/>
      <c r="BK789" s="134"/>
      <c r="BL789" s="134"/>
      <c r="BM789" s="135"/>
      <c r="BN789" s="136" t="n">
        <f aca="false">+MAX($D$3,DATOS_[[#This Row],[Fecha Inicio Sit. Contract.]])</f>
        <v>0</v>
      </c>
      <c r="BO789" s="136" t="n">
        <f aca="false">+MIN($D$4,DATOS_[[#This Row],[Fecha Fin Sit. Contract.]])</f>
        <v>0</v>
      </c>
      <c r="BP789" s="137" t="n">
        <f aca="false">+DATOS_[[#This Row],[% de jornada]]*IF(DATOS_[[#This Row],[% jornada reducida]]="",1,DATOS_[[#This Row],[% jornada reducida]])</f>
        <v>0</v>
      </c>
      <c r="BQ789" s="137" t="n">
        <f aca="false">+(DATOS_[[#This Row],[F.fin.cal]]-DATOS_[[#This Row],[F.ini.cal]]+1)/($D$4-$D$3+1)</f>
        <v>1</v>
      </c>
      <c r="BR789" s="137" t="str">
        <f aca="false">IF(OR(AND(DATOS_[[#This Row],[Fecha Fin Contrato]]&lt;$D$3,DATOS_[[#This Row],[Fecha Fin Contrato]]&lt;&gt;""),DATOS_[[#This Row],[Fecha de Contratación]]&gt;$D$4),"Fuera","Dentro")</f>
        <v>Dentro</v>
      </c>
      <c r="BS789" s="137" t="str">
        <f aca="false" t="array" ref="BS789:BS789">IF(MAX(IF(DATOS_[id]=DATOS_[[#This Row],[id]],DATOS_[F.fin.cal]))=DATOS_[[#This Row],[F.fin.cal]],"Sí","NO")</f>
        <v>Sí</v>
      </c>
      <c r="BT789" s="137" t="str">
        <f aca="false">IF(AND(DATOS_[[#This Row],[% normaliz]]&lt;&gt;1,DATOS_[[#This Row],[% anualiz]]=1),"Sí","NO")</f>
        <v>Sí</v>
      </c>
      <c r="BU789" s="137" t="str">
        <f aca="false">IF(AND(DATOS_[[#This Row],[% normaliz]]=1,DATOS_[[#This Row],[% anualiz]]&lt;&gt;1),"Sí","NO")</f>
        <v>NO</v>
      </c>
      <c r="BV789" s="137" t="str">
        <f aca="false">IF(AND(DATOS_[[#This Row],[% normaliz]]&lt;&gt;1,DATOS_[[#This Row],[% anualiz]]&lt;&gt;1),"Sí","NO")</f>
        <v>NO</v>
      </c>
      <c r="BW789" s="137" t="str">
        <f aca="false">+IF(DATOS_[[#This Row],[% normaliz]]*DATOS_[[#This Row],[% anualiz]]=1,"NO","Sí")</f>
        <v>Sí</v>
      </c>
      <c r="BX789" s="138" t="e">
        <f aca="false">(DATOS_[[#This Row],[S.BASE]]*(1/DATOS_[[#This Row],[% normaliz]])*(1/DATOS_[[#This Row],[% anualiz]]))*IF(DATOS_[[#This Row],[Check Equiparado]]="Sí",1,0)</f>
        <v>#DIV/0!</v>
      </c>
      <c r="BY7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9" s="138" t="e">
        <f aca="false">+DATOS_[[#This Row],[SALARIO BASE Eq]]+DATOS_[[#This Row],[Tot COMPL.SAL Eq]]</f>
        <v>#DIV/0!</v>
      </c>
      <c r="CA789" s="138" t="e">
        <f aca="false" t="array" ref="CA789:CA7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9" s="138" t="e">
        <f aca="false">+DATOS_[[#This Row],[TOTAL SALARIO Eq]]+DATOS_[[#This Row],[Tot Extrasalarial Eq]]</f>
        <v>#DIV/0!</v>
      </c>
      <c r="CC789" s="139" t="n">
        <f aca="false">DATOS_[[#This Row],[S.BASE]]</f>
        <v>0</v>
      </c>
      <c r="CD789" s="139" t="n">
        <f aca="false">+SUM(DATOS_[[#This Row],[Conc.Sal.01]:[Conc.Sal.30]])</f>
        <v>0</v>
      </c>
      <c r="CE789" s="139" t="n">
        <f aca="false">+DATOS_[[#This Row],[SALARIO BASE Ef]]+DATOS_[[#This Row],[Tot COMPL.SAL Ef]]</f>
        <v>0</v>
      </c>
      <c r="CF789" s="139" t="n">
        <f aca="false">+SUM(DATOS_[[#This Row],[C.Extra.01]:[C.Extra.05]])</f>
        <v>0</v>
      </c>
      <c r="CG789" s="139" t="n">
        <f aca="false">+DATOS_[[#This Row],[TOTAL SALARIO Ef]]+DATOS_[[#This Row],[Tot Extrasalarial Ef]]</f>
        <v>0</v>
      </c>
      <c r="CH789" s="140" t="n">
        <f aca="false">MIN(IF(DATOS_[[#This Row],[Fecha Fin Contrato]]="",$D$4,DATOS_[[#This Row],[Fecha Fin Contrato]]),$D$4)-MAX(DATOS_[[#This Row],[Fecha de Contratación]],$D$3)+1</f>
        <v>1</v>
      </c>
      <c r="CI789" s="141" t="str">
        <f aca="false">IF(COUNTIFS(DATOS_[id],DATOS_[[#This Row],[id]])&gt;1,DATOS_[[#This Row],[id]],"")</f>
        <v/>
      </c>
      <c r="CJ789" s="141" t="n">
        <f aca="false">(Inicio!$G$10-DATOS_[[#This Row],[Fecha Nacimiento]])/365.25</f>
        <v>0</v>
      </c>
      <c r="CK789" s="141" t="n">
        <f aca="false">(Inicio!$G$10-DATOS_[[#This Row],[Fecha de Antigüedad]])/365.25</f>
        <v>0</v>
      </c>
      <c r="CL789" s="141" t="e">
        <f aca="false">+VLOOKUP(DATOS_[[#This Row],[Clave de Contrato]],TblTiposContrato13[],3,0)</f>
        <v>#N/A</v>
      </c>
      <c r="CM789" s="141" t="e">
        <f aca="false">+VLOOKUP(DATOS_[[#This Row],[Clave de Contrato]],TblTiposContrato13[],4,0)</f>
        <v>#N/A</v>
      </c>
      <c r="CN789" s="141" t="str">
        <f aca="false">VLOOKUP(DATOS_[[#This Row],[Edad]],CONTRATOS!TblRngEdad,2,1)</f>
        <v>20  o menos</v>
      </c>
      <c r="CO789" s="141" t="str">
        <f aca="false">VLOOKUP(DATOS_[[#This Row],[Antigüedad]],TblRngAntg14[],2,1)</f>
        <v>0 a 1 años</v>
      </c>
    </row>
    <row r="790" customFormat="false" ht="13.8" hidden="false" customHeight="false" outlineLevel="0" collapsed="false">
      <c r="D790" s="128"/>
      <c r="E790" s="129"/>
      <c r="F790" s="129"/>
      <c r="G790" s="129"/>
      <c r="H790" s="130"/>
      <c r="I790" s="131"/>
      <c r="J790" s="128"/>
      <c r="K790" s="132"/>
      <c r="L790" s="132"/>
      <c r="M790" s="133"/>
      <c r="N790" s="133"/>
      <c r="O790" s="133"/>
      <c r="P790" s="129"/>
      <c r="Z790" s="75"/>
      <c r="AA790" s="76"/>
      <c r="AB790" s="76"/>
      <c r="AC790" s="129"/>
      <c r="AD790" s="134"/>
      <c r="AE790" s="134"/>
      <c r="AF790" s="134"/>
      <c r="AG790" s="134"/>
      <c r="AH790" s="134"/>
      <c r="AI790" s="134"/>
      <c r="AJ790" s="134"/>
      <c r="AK790" s="134"/>
      <c r="AL790" s="134"/>
      <c r="AM790" s="134"/>
      <c r="AN790" s="134"/>
      <c r="AO790" s="134"/>
      <c r="AP790" s="134"/>
      <c r="AQ790" s="134"/>
      <c r="AR790" s="134"/>
      <c r="AS790" s="134"/>
      <c r="AT790" s="134"/>
      <c r="AU790" s="134"/>
      <c r="AV790" s="134"/>
      <c r="AW790" s="134"/>
      <c r="AX790" s="134"/>
      <c r="AY790" s="134"/>
      <c r="AZ790" s="134"/>
      <c r="BA790" s="134"/>
      <c r="BB790" s="134"/>
      <c r="BC790" s="134"/>
      <c r="BD790" s="134"/>
      <c r="BE790" s="134"/>
      <c r="BF790" s="134"/>
      <c r="BG790" s="134"/>
      <c r="BH790" s="134"/>
      <c r="BI790" s="134"/>
      <c r="BJ790" s="134"/>
      <c r="BK790" s="134"/>
      <c r="BL790" s="134"/>
      <c r="BM790" s="135"/>
      <c r="BN790" s="136" t="n">
        <f aca="false">+MAX($D$3,DATOS_[[#This Row],[Fecha Inicio Sit. Contract.]])</f>
        <v>0</v>
      </c>
      <c r="BO790" s="136" t="n">
        <f aca="false">+MIN($D$4,DATOS_[[#This Row],[Fecha Fin Sit. Contract.]])</f>
        <v>0</v>
      </c>
      <c r="BP790" s="137" t="n">
        <f aca="false">+DATOS_[[#This Row],[% de jornada]]*IF(DATOS_[[#This Row],[% jornada reducida]]="",1,DATOS_[[#This Row],[% jornada reducida]])</f>
        <v>0</v>
      </c>
      <c r="BQ790" s="137" t="n">
        <f aca="false">+(DATOS_[[#This Row],[F.fin.cal]]-DATOS_[[#This Row],[F.ini.cal]]+1)/($D$4-$D$3+1)</f>
        <v>1</v>
      </c>
      <c r="BR790" s="137" t="str">
        <f aca="false">IF(OR(AND(DATOS_[[#This Row],[Fecha Fin Contrato]]&lt;$D$3,DATOS_[[#This Row],[Fecha Fin Contrato]]&lt;&gt;""),DATOS_[[#This Row],[Fecha de Contratación]]&gt;$D$4),"Fuera","Dentro")</f>
        <v>Dentro</v>
      </c>
      <c r="BS790" s="137" t="str">
        <f aca="false" t="array" ref="BS790:BS790">IF(MAX(IF(DATOS_[id]=DATOS_[[#This Row],[id]],DATOS_[F.fin.cal]))=DATOS_[[#This Row],[F.fin.cal]],"Sí","NO")</f>
        <v>Sí</v>
      </c>
      <c r="BT790" s="137" t="str">
        <f aca="false">IF(AND(DATOS_[[#This Row],[% normaliz]]&lt;&gt;1,DATOS_[[#This Row],[% anualiz]]=1),"Sí","NO")</f>
        <v>Sí</v>
      </c>
      <c r="BU790" s="137" t="str">
        <f aca="false">IF(AND(DATOS_[[#This Row],[% normaliz]]=1,DATOS_[[#This Row],[% anualiz]]&lt;&gt;1),"Sí","NO")</f>
        <v>NO</v>
      </c>
      <c r="BV790" s="137" t="str">
        <f aca="false">IF(AND(DATOS_[[#This Row],[% normaliz]]&lt;&gt;1,DATOS_[[#This Row],[% anualiz]]&lt;&gt;1),"Sí","NO")</f>
        <v>NO</v>
      </c>
      <c r="BW790" s="137" t="str">
        <f aca="false">+IF(DATOS_[[#This Row],[% normaliz]]*DATOS_[[#This Row],[% anualiz]]=1,"NO","Sí")</f>
        <v>Sí</v>
      </c>
      <c r="BX790" s="138" t="e">
        <f aca="false">(DATOS_[[#This Row],[S.BASE]]*(1/DATOS_[[#This Row],[% normaliz]])*(1/DATOS_[[#This Row],[% anualiz]]))*IF(DATOS_[[#This Row],[Check Equiparado]]="Sí",1,0)</f>
        <v>#DIV/0!</v>
      </c>
      <c r="BY7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0" s="138" t="e">
        <f aca="false">+DATOS_[[#This Row],[SALARIO BASE Eq]]+DATOS_[[#This Row],[Tot COMPL.SAL Eq]]</f>
        <v>#DIV/0!</v>
      </c>
      <c r="CA790" s="138" t="e">
        <f aca="false" t="array" ref="CA790:CA7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0" s="138" t="e">
        <f aca="false">+DATOS_[[#This Row],[TOTAL SALARIO Eq]]+DATOS_[[#This Row],[Tot Extrasalarial Eq]]</f>
        <v>#DIV/0!</v>
      </c>
      <c r="CC790" s="139" t="n">
        <f aca="false">DATOS_[[#This Row],[S.BASE]]</f>
        <v>0</v>
      </c>
      <c r="CD790" s="139" t="n">
        <f aca="false">+SUM(DATOS_[[#This Row],[Conc.Sal.01]:[Conc.Sal.30]])</f>
        <v>0</v>
      </c>
      <c r="CE790" s="139" t="n">
        <f aca="false">+DATOS_[[#This Row],[SALARIO BASE Ef]]+DATOS_[[#This Row],[Tot COMPL.SAL Ef]]</f>
        <v>0</v>
      </c>
      <c r="CF790" s="139" t="n">
        <f aca="false">+SUM(DATOS_[[#This Row],[C.Extra.01]:[C.Extra.05]])</f>
        <v>0</v>
      </c>
      <c r="CG790" s="139" t="n">
        <f aca="false">+DATOS_[[#This Row],[TOTAL SALARIO Ef]]+DATOS_[[#This Row],[Tot Extrasalarial Ef]]</f>
        <v>0</v>
      </c>
      <c r="CH790" s="140" t="n">
        <f aca="false">MIN(IF(DATOS_[[#This Row],[Fecha Fin Contrato]]="",$D$4,DATOS_[[#This Row],[Fecha Fin Contrato]]),$D$4)-MAX(DATOS_[[#This Row],[Fecha de Contratación]],$D$3)+1</f>
        <v>1</v>
      </c>
      <c r="CI790" s="141" t="str">
        <f aca="false">IF(COUNTIFS(DATOS_[id],DATOS_[[#This Row],[id]])&gt;1,DATOS_[[#This Row],[id]],"")</f>
        <v/>
      </c>
      <c r="CJ790" s="141" t="n">
        <f aca="false">(Inicio!$G$10-DATOS_[[#This Row],[Fecha Nacimiento]])/365.25</f>
        <v>0</v>
      </c>
      <c r="CK790" s="141" t="n">
        <f aca="false">(Inicio!$G$10-DATOS_[[#This Row],[Fecha de Antigüedad]])/365.25</f>
        <v>0</v>
      </c>
      <c r="CL790" s="141" t="e">
        <f aca="false">+VLOOKUP(DATOS_[[#This Row],[Clave de Contrato]],TblTiposContrato13[],3,0)</f>
        <v>#N/A</v>
      </c>
      <c r="CM790" s="141" t="e">
        <f aca="false">+VLOOKUP(DATOS_[[#This Row],[Clave de Contrato]],TblTiposContrato13[],4,0)</f>
        <v>#N/A</v>
      </c>
      <c r="CN790" s="141" t="str">
        <f aca="false">VLOOKUP(DATOS_[[#This Row],[Edad]],CONTRATOS!TblRngEdad,2,1)</f>
        <v>20  o menos</v>
      </c>
      <c r="CO790" s="141" t="str">
        <f aca="false">VLOOKUP(DATOS_[[#This Row],[Antigüedad]],TblRngAntg14[],2,1)</f>
        <v>0 a 1 años</v>
      </c>
    </row>
    <row r="791" customFormat="false" ht="13.8" hidden="false" customHeight="false" outlineLevel="0" collapsed="false">
      <c r="D791" s="128"/>
      <c r="E791" s="129"/>
      <c r="F791" s="129"/>
      <c r="G791" s="129"/>
      <c r="H791" s="130"/>
      <c r="I791" s="131"/>
      <c r="J791" s="128"/>
      <c r="K791" s="132"/>
      <c r="L791" s="132"/>
      <c r="M791" s="133"/>
      <c r="N791" s="133"/>
      <c r="O791" s="133"/>
      <c r="P791" s="129"/>
      <c r="Z791" s="75"/>
      <c r="AA791" s="76"/>
      <c r="AB791" s="76"/>
      <c r="AC791" s="129"/>
      <c r="AD791" s="134"/>
      <c r="AE791" s="134"/>
      <c r="AF791" s="134"/>
      <c r="AG791" s="134"/>
      <c r="AH791" s="134"/>
      <c r="AI791" s="134"/>
      <c r="AJ791" s="134"/>
      <c r="AK791" s="134"/>
      <c r="AL791" s="134"/>
      <c r="AM791" s="134"/>
      <c r="AN791" s="134"/>
      <c r="AO791" s="134"/>
      <c r="AP791" s="134"/>
      <c r="AQ791" s="134"/>
      <c r="AR791" s="134"/>
      <c r="AS791" s="134"/>
      <c r="AT791" s="134"/>
      <c r="AU791" s="134"/>
      <c r="AV791" s="134"/>
      <c r="AW791" s="134"/>
      <c r="AX791" s="134"/>
      <c r="AY791" s="134"/>
      <c r="AZ791" s="134"/>
      <c r="BA791" s="134"/>
      <c r="BB791" s="134"/>
      <c r="BC791" s="134"/>
      <c r="BD791" s="134"/>
      <c r="BE791" s="134"/>
      <c r="BF791" s="134"/>
      <c r="BG791" s="134"/>
      <c r="BH791" s="134"/>
      <c r="BI791" s="134"/>
      <c r="BJ791" s="134"/>
      <c r="BK791" s="134"/>
      <c r="BL791" s="134"/>
      <c r="BM791" s="135"/>
      <c r="BN791" s="136" t="n">
        <f aca="false">+MAX($D$3,DATOS_[[#This Row],[Fecha Inicio Sit. Contract.]])</f>
        <v>0</v>
      </c>
      <c r="BO791" s="136" t="n">
        <f aca="false">+MIN($D$4,DATOS_[[#This Row],[Fecha Fin Sit. Contract.]])</f>
        <v>0</v>
      </c>
      <c r="BP791" s="137" t="n">
        <f aca="false">+DATOS_[[#This Row],[% de jornada]]*IF(DATOS_[[#This Row],[% jornada reducida]]="",1,DATOS_[[#This Row],[% jornada reducida]])</f>
        <v>0</v>
      </c>
      <c r="BQ791" s="137" t="n">
        <f aca="false">+(DATOS_[[#This Row],[F.fin.cal]]-DATOS_[[#This Row],[F.ini.cal]]+1)/($D$4-$D$3+1)</f>
        <v>1</v>
      </c>
      <c r="BR791" s="137" t="str">
        <f aca="false">IF(OR(AND(DATOS_[[#This Row],[Fecha Fin Contrato]]&lt;$D$3,DATOS_[[#This Row],[Fecha Fin Contrato]]&lt;&gt;""),DATOS_[[#This Row],[Fecha de Contratación]]&gt;$D$4),"Fuera","Dentro")</f>
        <v>Dentro</v>
      </c>
      <c r="BS791" s="137" t="str">
        <f aca="false" t="array" ref="BS791:BS791">IF(MAX(IF(DATOS_[id]=DATOS_[[#This Row],[id]],DATOS_[F.fin.cal]))=DATOS_[[#This Row],[F.fin.cal]],"Sí","NO")</f>
        <v>Sí</v>
      </c>
      <c r="BT791" s="137" t="str">
        <f aca="false">IF(AND(DATOS_[[#This Row],[% normaliz]]&lt;&gt;1,DATOS_[[#This Row],[% anualiz]]=1),"Sí","NO")</f>
        <v>Sí</v>
      </c>
      <c r="BU791" s="137" t="str">
        <f aca="false">IF(AND(DATOS_[[#This Row],[% normaliz]]=1,DATOS_[[#This Row],[% anualiz]]&lt;&gt;1),"Sí","NO")</f>
        <v>NO</v>
      </c>
      <c r="BV791" s="137" t="str">
        <f aca="false">IF(AND(DATOS_[[#This Row],[% normaliz]]&lt;&gt;1,DATOS_[[#This Row],[% anualiz]]&lt;&gt;1),"Sí","NO")</f>
        <v>NO</v>
      </c>
      <c r="BW791" s="137" t="str">
        <f aca="false">+IF(DATOS_[[#This Row],[% normaliz]]*DATOS_[[#This Row],[% anualiz]]=1,"NO","Sí")</f>
        <v>Sí</v>
      </c>
      <c r="BX791" s="138" t="e">
        <f aca="false">(DATOS_[[#This Row],[S.BASE]]*(1/DATOS_[[#This Row],[% normaliz]])*(1/DATOS_[[#This Row],[% anualiz]]))*IF(DATOS_[[#This Row],[Check Equiparado]]="Sí",1,0)</f>
        <v>#DIV/0!</v>
      </c>
      <c r="BY7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1" s="138" t="e">
        <f aca="false">+DATOS_[[#This Row],[SALARIO BASE Eq]]+DATOS_[[#This Row],[Tot COMPL.SAL Eq]]</f>
        <v>#DIV/0!</v>
      </c>
      <c r="CA791" s="138" t="e">
        <f aca="false" t="array" ref="CA791:CA7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1" s="138" t="e">
        <f aca="false">+DATOS_[[#This Row],[TOTAL SALARIO Eq]]+DATOS_[[#This Row],[Tot Extrasalarial Eq]]</f>
        <v>#DIV/0!</v>
      </c>
      <c r="CC791" s="139" t="n">
        <f aca="false">DATOS_[[#This Row],[S.BASE]]</f>
        <v>0</v>
      </c>
      <c r="CD791" s="139" t="n">
        <f aca="false">+SUM(DATOS_[[#This Row],[Conc.Sal.01]:[Conc.Sal.30]])</f>
        <v>0</v>
      </c>
      <c r="CE791" s="139" t="n">
        <f aca="false">+DATOS_[[#This Row],[SALARIO BASE Ef]]+DATOS_[[#This Row],[Tot COMPL.SAL Ef]]</f>
        <v>0</v>
      </c>
      <c r="CF791" s="139" t="n">
        <f aca="false">+SUM(DATOS_[[#This Row],[C.Extra.01]:[C.Extra.05]])</f>
        <v>0</v>
      </c>
      <c r="CG791" s="139" t="n">
        <f aca="false">+DATOS_[[#This Row],[TOTAL SALARIO Ef]]+DATOS_[[#This Row],[Tot Extrasalarial Ef]]</f>
        <v>0</v>
      </c>
      <c r="CH791" s="140" t="n">
        <f aca="false">MIN(IF(DATOS_[[#This Row],[Fecha Fin Contrato]]="",$D$4,DATOS_[[#This Row],[Fecha Fin Contrato]]),$D$4)-MAX(DATOS_[[#This Row],[Fecha de Contratación]],$D$3)+1</f>
        <v>1</v>
      </c>
      <c r="CI791" s="141" t="str">
        <f aca="false">IF(COUNTIFS(DATOS_[id],DATOS_[[#This Row],[id]])&gt;1,DATOS_[[#This Row],[id]],"")</f>
        <v/>
      </c>
      <c r="CJ791" s="141" t="n">
        <f aca="false">(Inicio!$G$10-DATOS_[[#This Row],[Fecha Nacimiento]])/365.25</f>
        <v>0</v>
      </c>
      <c r="CK791" s="141" t="n">
        <f aca="false">(Inicio!$G$10-DATOS_[[#This Row],[Fecha de Antigüedad]])/365.25</f>
        <v>0</v>
      </c>
      <c r="CL791" s="141" t="e">
        <f aca="false">+VLOOKUP(DATOS_[[#This Row],[Clave de Contrato]],TblTiposContrato13[],3,0)</f>
        <v>#N/A</v>
      </c>
      <c r="CM791" s="141" t="e">
        <f aca="false">+VLOOKUP(DATOS_[[#This Row],[Clave de Contrato]],TblTiposContrato13[],4,0)</f>
        <v>#N/A</v>
      </c>
      <c r="CN791" s="141" t="str">
        <f aca="false">VLOOKUP(DATOS_[[#This Row],[Edad]],CONTRATOS!TblRngEdad,2,1)</f>
        <v>20  o menos</v>
      </c>
      <c r="CO791" s="141" t="str">
        <f aca="false">VLOOKUP(DATOS_[[#This Row],[Antigüedad]],TblRngAntg14[],2,1)</f>
        <v>0 a 1 años</v>
      </c>
    </row>
    <row r="792" customFormat="false" ht="13.8" hidden="false" customHeight="false" outlineLevel="0" collapsed="false">
      <c r="D792" s="128"/>
      <c r="E792" s="129"/>
      <c r="F792" s="129"/>
      <c r="G792" s="129"/>
      <c r="H792" s="130"/>
      <c r="I792" s="131"/>
      <c r="J792" s="128"/>
      <c r="K792" s="132"/>
      <c r="L792" s="132"/>
      <c r="M792" s="133"/>
      <c r="N792" s="133"/>
      <c r="O792" s="133"/>
      <c r="P792" s="129"/>
      <c r="Z792" s="75"/>
      <c r="AA792" s="76"/>
      <c r="AB792" s="76"/>
      <c r="AC792" s="129"/>
      <c r="AD792" s="134"/>
      <c r="AE792" s="134"/>
      <c r="AF792" s="134"/>
      <c r="AG792" s="134"/>
      <c r="AH792" s="134"/>
      <c r="AI792" s="134"/>
      <c r="AJ792" s="134"/>
      <c r="AK792" s="134"/>
      <c r="AL792" s="134"/>
      <c r="AM792" s="134"/>
      <c r="AN792" s="134"/>
      <c r="AO792" s="134"/>
      <c r="AP792" s="134"/>
      <c r="AQ792" s="134"/>
      <c r="AR792" s="134"/>
      <c r="AS792" s="134"/>
      <c r="AT792" s="134"/>
      <c r="AU792" s="134"/>
      <c r="AV792" s="134"/>
      <c r="AW792" s="134"/>
      <c r="AX792" s="134"/>
      <c r="AY792" s="134"/>
      <c r="AZ792" s="134"/>
      <c r="BA792" s="134"/>
      <c r="BB792" s="134"/>
      <c r="BC792" s="134"/>
      <c r="BD792" s="134"/>
      <c r="BE792" s="134"/>
      <c r="BF792" s="134"/>
      <c r="BG792" s="134"/>
      <c r="BH792" s="134"/>
      <c r="BI792" s="134"/>
      <c r="BJ792" s="134"/>
      <c r="BK792" s="134"/>
      <c r="BL792" s="134"/>
      <c r="BM792" s="135"/>
      <c r="BN792" s="136" t="n">
        <f aca="false">+MAX($D$3,DATOS_[[#This Row],[Fecha Inicio Sit. Contract.]])</f>
        <v>0</v>
      </c>
      <c r="BO792" s="136" t="n">
        <f aca="false">+MIN($D$4,DATOS_[[#This Row],[Fecha Fin Sit. Contract.]])</f>
        <v>0</v>
      </c>
      <c r="BP792" s="137" t="n">
        <f aca="false">+DATOS_[[#This Row],[% de jornada]]*IF(DATOS_[[#This Row],[% jornada reducida]]="",1,DATOS_[[#This Row],[% jornada reducida]])</f>
        <v>0</v>
      </c>
      <c r="BQ792" s="137" t="n">
        <f aca="false">+(DATOS_[[#This Row],[F.fin.cal]]-DATOS_[[#This Row],[F.ini.cal]]+1)/($D$4-$D$3+1)</f>
        <v>1</v>
      </c>
      <c r="BR792" s="137" t="str">
        <f aca="false">IF(OR(AND(DATOS_[[#This Row],[Fecha Fin Contrato]]&lt;$D$3,DATOS_[[#This Row],[Fecha Fin Contrato]]&lt;&gt;""),DATOS_[[#This Row],[Fecha de Contratación]]&gt;$D$4),"Fuera","Dentro")</f>
        <v>Dentro</v>
      </c>
      <c r="BS792" s="137" t="str">
        <f aca="false" t="array" ref="BS792:BS792">IF(MAX(IF(DATOS_[id]=DATOS_[[#This Row],[id]],DATOS_[F.fin.cal]))=DATOS_[[#This Row],[F.fin.cal]],"Sí","NO")</f>
        <v>Sí</v>
      </c>
      <c r="BT792" s="137" t="str">
        <f aca="false">IF(AND(DATOS_[[#This Row],[% normaliz]]&lt;&gt;1,DATOS_[[#This Row],[% anualiz]]=1),"Sí","NO")</f>
        <v>Sí</v>
      </c>
      <c r="BU792" s="137" t="str">
        <f aca="false">IF(AND(DATOS_[[#This Row],[% normaliz]]=1,DATOS_[[#This Row],[% anualiz]]&lt;&gt;1),"Sí","NO")</f>
        <v>NO</v>
      </c>
      <c r="BV792" s="137" t="str">
        <f aca="false">IF(AND(DATOS_[[#This Row],[% normaliz]]&lt;&gt;1,DATOS_[[#This Row],[% anualiz]]&lt;&gt;1),"Sí","NO")</f>
        <v>NO</v>
      </c>
      <c r="BW792" s="137" t="str">
        <f aca="false">+IF(DATOS_[[#This Row],[% normaliz]]*DATOS_[[#This Row],[% anualiz]]=1,"NO","Sí")</f>
        <v>Sí</v>
      </c>
      <c r="BX792" s="138" t="e">
        <f aca="false">(DATOS_[[#This Row],[S.BASE]]*(1/DATOS_[[#This Row],[% normaliz]])*(1/DATOS_[[#This Row],[% anualiz]]))*IF(DATOS_[[#This Row],[Check Equiparado]]="Sí",1,0)</f>
        <v>#DIV/0!</v>
      </c>
      <c r="BY7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2" s="138" t="e">
        <f aca="false">+DATOS_[[#This Row],[SALARIO BASE Eq]]+DATOS_[[#This Row],[Tot COMPL.SAL Eq]]</f>
        <v>#DIV/0!</v>
      </c>
      <c r="CA792" s="138" t="e">
        <f aca="false" t="array" ref="CA792:CA7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2" s="138" t="e">
        <f aca="false">+DATOS_[[#This Row],[TOTAL SALARIO Eq]]+DATOS_[[#This Row],[Tot Extrasalarial Eq]]</f>
        <v>#DIV/0!</v>
      </c>
      <c r="CC792" s="139" t="n">
        <f aca="false">DATOS_[[#This Row],[S.BASE]]</f>
        <v>0</v>
      </c>
      <c r="CD792" s="139" t="n">
        <f aca="false">+SUM(DATOS_[[#This Row],[Conc.Sal.01]:[Conc.Sal.30]])</f>
        <v>0</v>
      </c>
      <c r="CE792" s="139" t="n">
        <f aca="false">+DATOS_[[#This Row],[SALARIO BASE Ef]]+DATOS_[[#This Row],[Tot COMPL.SAL Ef]]</f>
        <v>0</v>
      </c>
      <c r="CF792" s="139" t="n">
        <f aca="false">+SUM(DATOS_[[#This Row],[C.Extra.01]:[C.Extra.05]])</f>
        <v>0</v>
      </c>
      <c r="CG792" s="139" t="n">
        <f aca="false">+DATOS_[[#This Row],[TOTAL SALARIO Ef]]+DATOS_[[#This Row],[Tot Extrasalarial Ef]]</f>
        <v>0</v>
      </c>
      <c r="CH792" s="140" t="n">
        <f aca="false">MIN(IF(DATOS_[[#This Row],[Fecha Fin Contrato]]="",$D$4,DATOS_[[#This Row],[Fecha Fin Contrato]]),$D$4)-MAX(DATOS_[[#This Row],[Fecha de Contratación]],$D$3)+1</f>
        <v>1</v>
      </c>
      <c r="CI792" s="141" t="str">
        <f aca="false">IF(COUNTIFS(DATOS_[id],DATOS_[[#This Row],[id]])&gt;1,DATOS_[[#This Row],[id]],"")</f>
        <v/>
      </c>
      <c r="CJ792" s="141" t="n">
        <f aca="false">(Inicio!$G$10-DATOS_[[#This Row],[Fecha Nacimiento]])/365.25</f>
        <v>0</v>
      </c>
      <c r="CK792" s="141" t="n">
        <f aca="false">(Inicio!$G$10-DATOS_[[#This Row],[Fecha de Antigüedad]])/365.25</f>
        <v>0</v>
      </c>
      <c r="CL792" s="141" t="e">
        <f aca="false">+VLOOKUP(DATOS_[[#This Row],[Clave de Contrato]],TblTiposContrato13[],3,0)</f>
        <v>#N/A</v>
      </c>
      <c r="CM792" s="141" t="e">
        <f aca="false">+VLOOKUP(DATOS_[[#This Row],[Clave de Contrato]],TblTiposContrato13[],4,0)</f>
        <v>#N/A</v>
      </c>
      <c r="CN792" s="141" t="str">
        <f aca="false">VLOOKUP(DATOS_[[#This Row],[Edad]],CONTRATOS!TblRngEdad,2,1)</f>
        <v>20  o menos</v>
      </c>
      <c r="CO792" s="141" t="str">
        <f aca="false">VLOOKUP(DATOS_[[#This Row],[Antigüedad]],TblRngAntg14[],2,1)</f>
        <v>0 a 1 años</v>
      </c>
    </row>
    <row r="793" customFormat="false" ht="13.8" hidden="false" customHeight="false" outlineLevel="0" collapsed="false">
      <c r="D793" s="128"/>
      <c r="E793" s="129"/>
      <c r="F793" s="129"/>
      <c r="G793" s="129"/>
      <c r="H793" s="130"/>
      <c r="I793" s="131"/>
      <c r="J793" s="128"/>
      <c r="K793" s="132"/>
      <c r="L793" s="132"/>
      <c r="M793" s="133"/>
      <c r="N793" s="133"/>
      <c r="O793" s="133"/>
      <c r="P793" s="129"/>
      <c r="Z793" s="75"/>
      <c r="AA793" s="76"/>
      <c r="AB793" s="76"/>
      <c r="AC793" s="129"/>
      <c r="AD793" s="134"/>
      <c r="AE793" s="134"/>
      <c r="AF793" s="134"/>
      <c r="AG793" s="134"/>
      <c r="AH793" s="134"/>
      <c r="AI793" s="134"/>
      <c r="AJ793" s="134"/>
      <c r="AK793" s="134"/>
      <c r="AL793" s="134"/>
      <c r="AM793" s="134"/>
      <c r="AN793" s="134"/>
      <c r="AO793" s="134"/>
      <c r="AP793" s="134"/>
      <c r="AQ793" s="134"/>
      <c r="AR793" s="134"/>
      <c r="AS793" s="134"/>
      <c r="AT793" s="134"/>
      <c r="AU793" s="134"/>
      <c r="AV793" s="134"/>
      <c r="AW793" s="134"/>
      <c r="AX793" s="134"/>
      <c r="AY793" s="134"/>
      <c r="AZ793" s="134"/>
      <c r="BA793" s="134"/>
      <c r="BB793" s="134"/>
      <c r="BC793" s="134"/>
      <c r="BD793" s="134"/>
      <c r="BE793" s="134"/>
      <c r="BF793" s="134"/>
      <c r="BG793" s="134"/>
      <c r="BH793" s="134"/>
      <c r="BI793" s="134"/>
      <c r="BJ793" s="134"/>
      <c r="BK793" s="134"/>
      <c r="BL793" s="134"/>
      <c r="BM793" s="135"/>
      <c r="BN793" s="136" t="n">
        <f aca="false">+MAX($D$3,DATOS_[[#This Row],[Fecha Inicio Sit. Contract.]])</f>
        <v>0</v>
      </c>
      <c r="BO793" s="136" t="n">
        <f aca="false">+MIN($D$4,DATOS_[[#This Row],[Fecha Fin Sit. Contract.]])</f>
        <v>0</v>
      </c>
      <c r="BP793" s="137" t="n">
        <f aca="false">+DATOS_[[#This Row],[% de jornada]]*IF(DATOS_[[#This Row],[% jornada reducida]]="",1,DATOS_[[#This Row],[% jornada reducida]])</f>
        <v>0</v>
      </c>
      <c r="BQ793" s="137" t="n">
        <f aca="false">+(DATOS_[[#This Row],[F.fin.cal]]-DATOS_[[#This Row],[F.ini.cal]]+1)/($D$4-$D$3+1)</f>
        <v>1</v>
      </c>
      <c r="BR793" s="137" t="str">
        <f aca="false">IF(OR(AND(DATOS_[[#This Row],[Fecha Fin Contrato]]&lt;$D$3,DATOS_[[#This Row],[Fecha Fin Contrato]]&lt;&gt;""),DATOS_[[#This Row],[Fecha de Contratación]]&gt;$D$4),"Fuera","Dentro")</f>
        <v>Dentro</v>
      </c>
      <c r="BS793" s="137" t="str">
        <f aca="false" t="array" ref="BS793:BS793">IF(MAX(IF(DATOS_[id]=DATOS_[[#This Row],[id]],DATOS_[F.fin.cal]))=DATOS_[[#This Row],[F.fin.cal]],"Sí","NO")</f>
        <v>Sí</v>
      </c>
      <c r="BT793" s="137" t="str">
        <f aca="false">IF(AND(DATOS_[[#This Row],[% normaliz]]&lt;&gt;1,DATOS_[[#This Row],[% anualiz]]=1),"Sí","NO")</f>
        <v>Sí</v>
      </c>
      <c r="BU793" s="137" t="str">
        <f aca="false">IF(AND(DATOS_[[#This Row],[% normaliz]]=1,DATOS_[[#This Row],[% anualiz]]&lt;&gt;1),"Sí","NO")</f>
        <v>NO</v>
      </c>
      <c r="BV793" s="137" t="str">
        <f aca="false">IF(AND(DATOS_[[#This Row],[% normaliz]]&lt;&gt;1,DATOS_[[#This Row],[% anualiz]]&lt;&gt;1),"Sí","NO")</f>
        <v>NO</v>
      </c>
      <c r="BW793" s="137" t="str">
        <f aca="false">+IF(DATOS_[[#This Row],[% normaliz]]*DATOS_[[#This Row],[% anualiz]]=1,"NO","Sí")</f>
        <v>Sí</v>
      </c>
      <c r="BX793" s="138" t="e">
        <f aca="false">(DATOS_[[#This Row],[S.BASE]]*(1/DATOS_[[#This Row],[% normaliz]])*(1/DATOS_[[#This Row],[% anualiz]]))*IF(DATOS_[[#This Row],[Check Equiparado]]="Sí",1,0)</f>
        <v>#DIV/0!</v>
      </c>
      <c r="BY7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3" s="138" t="e">
        <f aca="false">+DATOS_[[#This Row],[SALARIO BASE Eq]]+DATOS_[[#This Row],[Tot COMPL.SAL Eq]]</f>
        <v>#DIV/0!</v>
      </c>
      <c r="CA793" s="138" t="e">
        <f aca="false" t="array" ref="CA793:CA7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3" s="138" t="e">
        <f aca="false">+DATOS_[[#This Row],[TOTAL SALARIO Eq]]+DATOS_[[#This Row],[Tot Extrasalarial Eq]]</f>
        <v>#DIV/0!</v>
      </c>
      <c r="CC793" s="139" t="n">
        <f aca="false">DATOS_[[#This Row],[S.BASE]]</f>
        <v>0</v>
      </c>
      <c r="CD793" s="139" t="n">
        <f aca="false">+SUM(DATOS_[[#This Row],[Conc.Sal.01]:[Conc.Sal.30]])</f>
        <v>0</v>
      </c>
      <c r="CE793" s="139" t="n">
        <f aca="false">+DATOS_[[#This Row],[SALARIO BASE Ef]]+DATOS_[[#This Row],[Tot COMPL.SAL Ef]]</f>
        <v>0</v>
      </c>
      <c r="CF793" s="139" t="n">
        <f aca="false">+SUM(DATOS_[[#This Row],[C.Extra.01]:[C.Extra.05]])</f>
        <v>0</v>
      </c>
      <c r="CG793" s="139" t="n">
        <f aca="false">+DATOS_[[#This Row],[TOTAL SALARIO Ef]]+DATOS_[[#This Row],[Tot Extrasalarial Ef]]</f>
        <v>0</v>
      </c>
      <c r="CH793" s="140" t="n">
        <f aca="false">MIN(IF(DATOS_[[#This Row],[Fecha Fin Contrato]]="",$D$4,DATOS_[[#This Row],[Fecha Fin Contrato]]),$D$4)-MAX(DATOS_[[#This Row],[Fecha de Contratación]],$D$3)+1</f>
        <v>1</v>
      </c>
      <c r="CI793" s="141" t="str">
        <f aca="false">IF(COUNTIFS(DATOS_[id],DATOS_[[#This Row],[id]])&gt;1,DATOS_[[#This Row],[id]],"")</f>
        <v/>
      </c>
      <c r="CJ793" s="141" t="n">
        <f aca="false">(Inicio!$G$10-DATOS_[[#This Row],[Fecha Nacimiento]])/365.25</f>
        <v>0</v>
      </c>
      <c r="CK793" s="141" t="n">
        <f aca="false">(Inicio!$G$10-DATOS_[[#This Row],[Fecha de Antigüedad]])/365.25</f>
        <v>0</v>
      </c>
      <c r="CL793" s="141" t="e">
        <f aca="false">+VLOOKUP(DATOS_[[#This Row],[Clave de Contrato]],TblTiposContrato13[],3,0)</f>
        <v>#N/A</v>
      </c>
      <c r="CM793" s="141" t="e">
        <f aca="false">+VLOOKUP(DATOS_[[#This Row],[Clave de Contrato]],TblTiposContrato13[],4,0)</f>
        <v>#N/A</v>
      </c>
      <c r="CN793" s="141" t="str">
        <f aca="false">VLOOKUP(DATOS_[[#This Row],[Edad]],CONTRATOS!TblRngEdad,2,1)</f>
        <v>20  o menos</v>
      </c>
      <c r="CO793" s="141" t="str">
        <f aca="false">VLOOKUP(DATOS_[[#This Row],[Antigüedad]],TblRngAntg14[],2,1)</f>
        <v>0 a 1 años</v>
      </c>
    </row>
    <row r="794" customFormat="false" ht="13.8" hidden="false" customHeight="false" outlineLevel="0" collapsed="false">
      <c r="D794" s="128"/>
      <c r="E794" s="129"/>
      <c r="F794" s="129"/>
      <c r="G794" s="129"/>
      <c r="H794" s="130"/>
      <c r="I794" s="131"/>
      <c r="J794" s="128"/>
      <c r="K794" s="132"/>
      <c r="L794" s="132"/>
      <c r="M794" s="133"/>
      <c r="N794" s="133"/>
      <c r="O794" s="133"/>
      <c r="P794" s="129"/>
      <c r="Z794" s="75"/>
      <c r="AA794" s="76"/>
      <c r="AB794" s="76"/>
      <c r="AC794" s="129"/>
      <c r="AD794" s="134"/>
      <c r="AE794" s="134"/>
      <c r="AF794" s="134"/>
      <c r="AG794" s="134"/>
      <c r="AH794" s="134"/>
      <c r="AI794" s="134"/>
      <c r="AJ794" s="134"/>
      <c r="AK794" s="134"/>
      <c r="AL794" s="134"/>
      <c r="AM794" s="134"/>
      <c r="AN794" s="134"/>
      <c r="AO794" s="134"/>
      <c r="AP794" s="134"/>
      <c r="AQ794" s="134"/>
      <c r="AR794" s="134"/>
      <c r="AS794" s="134"/>
      <c r="AT794" s="134"/>
      <c r="AU794" s="134"/>
      <c r="AV794" s="134"/>
      <c r="AW794" s="134"/>
      <c r="AX794" s="134"/>
      <c r="AY794" s="134"/>
      <c r="AZ794" s="134"/>
      <c r="BA794" s="134"/>
      <c r="BB794" s="134"/>
      <c r="BC794" s="134"/>
      <c r="BD794" s="134"/>
      <c r="BE794" s="134"/>
      <c r="BF794" s="134"/>
      <c r="BG794" s="134"/>
      <c r="BH794" s="134"/>
      <c r="BI794" s="134"/>
      <c r="BJ794" s="134"/>
      <c r="BK794" s="134"/>
      <c r="BL794" s="134"/>
      <c r="BM794" s="135"/>
      <c r="BN794" s="136" t="n">
        <f aca="false">+MAX($D$3,DATOS_[[#This Row],[Fecha Inicio Sit. Contract.]])</f>
        <v>0</v>
      </c>
      <c r="BO794" s="136" t="n">
        <f aca="false">+MIN($D$4,DATOS_[[#This Row],[Fecha Fin Sit. Contract.]])</f>
        <v>0</v>
      </c>
      <c r="BP794" s="137" t="n">
        <f aca="false">+DATOS_[[#This Row],[% de jornada]]*IF(DATOS_[[#This Row],[% jornada reducida]]="",1,DATOS_[[#This Row],[% jornada reducida]])</f>
        <v>0</v>
      </c>
      <c r="BQ794" s="137" t="n">
        <f aca="false">+(DATOS_[[#This Row],[F.fin.cal]]-DATOS_[[#This Row],[F.ini.cal]]+1)/($D$4-$D$3+1)</f>
        <v>1</v>
      </c>
      <c r="BR794" s="137" t="str">
        <f aca="false">IF(OR(AND(DATOS_[[#This Row],[Fecha Fin Contrato]]&lt;$D$3,DATOS_[[#This Row],[Fecha Fin Contrato]]&lt;&gt;""),DATOS_[[#This Row],[Fecha de Contratación]]&gt;$D$4),"Fuera","Dentro")</f>
        <v>Dentro</v>
      </c>
      <c r="BS794" s="137" t="str">
        <f aca="false" t="array" ref="BS794:BS794">IF(MAX(IF(DATOS_[id]=DATOS_[[#This Row],[id]],DATOS_[F.fin.cal]))=DATOS_[[#This Row],[F.fin.cal]],"Sí","NO")</f>
        <v>Sí</v>
      </c>
      <c r="BT794" s="137" t="str">
        <f aca="false">IF(AND(DATOS_[[#This Row],[% normaliz]]&lt;&gt;1,DATOS_[[#This Row],[% anualiz]]=1),"Sí","NO")</f>
        <v>Sí</v>
      </c>
      <c r="BU794" s="137" t="str">
        <f aca="false">IF(AND(DATOS_[[#This Row],[% normaliz]]=1,DATOS_[[#This Row],[% anualiz]]&lt;&gt;1),"Sí","NO")</f>
        <v>NO</v>
      </c>
      <c r="BV794" s="137" t="str">
        <f aca="false">IF(AND(DATOS_[[#This Row],[% normaliz]]&lt;&gt;1,DATOS_[[#This Row],[% anualiz]]&lt;&gt;1),"Sí","NO")</f>
        <v>NO</v>
      </c>
      <c r="BW794" s="137" t="str">
        <f aca="false">+IF(DATOS_[[#This Row],[% normaliz]]*DATOS_[[#This Row],[% anualiz]]=1,"NO","Sí")</f>
        <v>Sí</v>
      </c>
      <c r="BX794" s="138" t="e">
        <f aca="false">(DATOS_[[#This Row],[S.BASE]]*(1/DATOS_[[#This Row],[% normaliz]])*(1/DATOS_[[#This Row],[% anualiz]]))*IF(DATOS_[[#This Row],[Check Equiparado]]="Sí",1,0)</f>
        <v>#DIV/0!</v>
      </c>
      <c r="BY7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4" s="138" t="e">
        <f aca="false">+DATOS_[[#This Row],[SALARIO BASE Eq]]+DATOS_[[#This Row],[Tot COMPL.SAL Eq]]</f>
        <v>#DIV/0!</v>
      </c>
      <c r="CA794" s="138" t="e">
        <f aca="false" t="array" ref="CA794:CA7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4" s="138" t="e">
        <f aca="false">+DATOS_[[#This Row],[TOTAL SALARIO Eq]]+DATOS_[[#This Row],[Tot Extrasalarial Eq]]</f>
        <v>#DIV/0!</v>
      </c>
      <c r="CC794" s="139" t="n">
        <f aca="false">DATOS_[[#This Row],[S.BASE]]</f>
        <v>0</v>
      </c>
      <c r="CD794" s="139" t="n">
        <f aca="false">+SUM(DATOS_[[#This Row],[Conc.Sal.01]:[Conc.Sal.30]])</f>
        <v>0</v>
      </c>
      <c r="CE794" s="139" t="n">
        <f aca="false">+DATOS_[[#This Row],[SALARIO BASE Ef]]+DATOS_[[#This Row],[Tot COMPL.SAL Ef]]</f>
        <v>0</v>
      </c>
      <c r="CF794" s="139" t="n">
        <f aca="false">+SUM(DATOS_[[#This Row],[C.Extra.01]:[C.Extra.05]])</f>
        <v>0</v>
      </c>
      <c r="CG794" s="139" t="n">
        <f aca="false">+DATOS_[[#This Row],[TOTAL SALARIO Ef]]+DATOS_[[#This Row],[Tot Extrasalarial Ef]]</f>
        <v>0</v>
      </c>
      <c r="CH794" s="140" t="n">
        <f aca="false">MIN(IF(DATOS_[[#This Row],[Fecha Fin Contrato]]="",$D$4,DATOS_[[#This Row],[Fecha Fin Contrato]]),$D$4)-MAX(DATOS_[[#This Row],[Fecha de Contratación]],$D$3)+1</f>
        <v>1</v>
      </c>
      <c r="CI794" s="141" t="str">
        <f aca="false">IF(COUNTIFS(DATOS_[id],DATOS_[[#This Row],[id]])&gt;1,DATOS_[[#This Row],[id]],"")</f>
        <v/>
      </c>
      <c r="CJ794" s="141" t="n">
        <f aca="false">(Inicio!$G$10-DATOS_[[#This Row],[Fecha Nacimiento]])/365.25</f>
        <v>0</v>
      </c>
      <c r="CK794" s="141" t="n">
        <f aca="false">(Inicio!$G$10-DATOS_[[#This Row],[Fecha de Antigüedad]])/365.25</f>
        <v>0</v>
      </c>
      <c r="CL794" s="141" t="e">
        <f aca="false">+VLOOKUP(DATOS_[[#This Row],[Clave de Contrato]],TblTiposContrato13[],3,0)</f>
        <v>#N/A</v>
      </c>
      <c r="CM794" s="141" t="e">
        <f aca="false">+VLOOKUP(DATOS_[[#This Row],[Clave de Contrato]],TblTiposContrato13[],4,0)</f>
        <v>#N/A</v>
      </c>
      <c r="CN794" s="141" t="str">
        <f aca="false">VLOOKUP(DATOS_[[#This Row],[Edad]],CONTRATOS!TblRngEdad,2,1)</f>
        <v>20  o menos</v>
      </c>
      <c r="CO794" s="141" t="str">
        <f aca="false">VLOOKUP(DATOS_[[#This Row],[Antigüedad]],TblRngAntg14[],2,1)</f>
        <v>0 a 1 años</v>
      </c>
    </row>
    <row r="795" customFormat="false" ht="13.8" hidden="false" customHeight="false" outlineLevel="0" collapsed="false">
      <c r="D795" s="128"/>
      <c r="E795" s="129"/>
      <c r="F795" s="129"/>
      <c r="G795" s="129"/>
      <c r="H795" s="130"/>
      <c r="I795" s="131"/>
      <c r="J795" s="128"/>
      <c r="K795" s="132"/>
      <c r="L795" s="132"/>
      <c r="M795" s="133"/>
      <c r="N795" s="133"/>
      <c r="O795" s="133"/>
      <c r="P795" s="129"/>
      <c r="Z795" s="75"/>
      <c r="AA795" s="76"/>
      <c r="AB795" s="76"/>
      <c r="AC795" s="129"/>
      <c r="AD795" s="134"/>
      <c r="AE795" s="134"/>
      <c r="AF795" s="134"/>
      <c r="AG795" s="134"/>
      <c r="AH795" s="134"/>
      <c r="AI795" s="134"/>
      <c r="AJ795" s="134"/>
      <c r="AK795" s="134"/>
      <c r="AL795" s="134"/>
      <c r="AM795" s="134"/>
      <c r="AN795" s="134"/>
      <c r="AO795" s="134"/>
      <c r="AP795" s="134"/>
      <c r="AQ795" s="134"/>
      <c r="AR795" s="134"/>
      <c r="AS795" s="134"/>
      <c r="AT795" s="134"/>
      <c r="AU795" s="134"/>
      <c r="AV795" s="134"/>
      <c r="AW795" s="134"/>
      <c r="AX795" s="134"/>
      <c r="AY795" s="134"/>
      <c r="AZ795" s="134"/>
      <c r="BA795" s="134"/>
      <c r="BB795" s="134"/>
      <c r="BC795" s="134"/>
      <c r="BD795" s="134"/>
      <c r="BE795" s="134"/>
      <c r="BF795" s="134"/>
      <c r="BG795" s="134"/>
      <c r="BH795" s="134"/>
      <c r="BI795" s="134"/>
      <c r="BJ795" s="134"/>
      <c r="BK795" s="134"/>
      <c r="BL795" s="134"/>
      <c r="BM795" s="135"/>
      <c r="BN795" s="136" t="n">
        <f aca="false">+MAX($D$3,DATOS_[[#This Row],[Fecha Inicio Sit. Contract.]])</f>
        <v>0</v>
      </c>
      <c r="BO795" s="136" t="n">
        <f aca="false">+MIN($D$4,DATOS_[[#This Row],[Fecha Fin Sit. Contract.]])</f>
        <v>0</v>
      </c>
      <c r="BP795" s="137" t="n">
        <f aca="false">+DATOS_[[#This Row],[% de jornada]]*IF(DATOS_[[#This Row],[% jornada reducida]]="",1,DATOS_[[#This Row],[% jornada reducida]])</f>
        <v>0</v>
      </c>
      <c r="BQ795" s="137" t="n">
        <f aca="false">+(DATOS_[[#This Row],[F.fin.cal]]-DATOS_[[#This Row],[F.ini.cal]]+1)/($D$4-$D$3+1)</f>
        <v>1</v>
      </c>
      <c r="BR795" s="137" t="str">
        <f aca="false">IF(OR(AND(DATOS_[[#This Row],[Fecha Fin Contrato]]&lt;$D$3,DATOS_[[#This Row],[Fecha Fin Contrato]]&lt;&gt;""),DATOS_[[#This Row],[Fecha de Contratación]]&gt;$D$4),"Fuera","Dentro")</f>
        <v>Dentro</v>
      </c>
      <c r="BS795" s="137" t="str">
        <f aca="false" t="array" ref="BS795:BS795">IF(MAX(IF(DATOS_[id]=DATOS_[[#This Row],[id]],DATOS_[F.fin.cal]))=DATOS_[[#This Row],[F.fin.cal]],"Sí","NO")</f>
        <v>Sí</v>
      </c>
      <c r="BT795" s="137" t="str">
        <f aca="false">IF(AND(DATOS_[[#This Row],[% normaliz]]&lt;&gt;1,DATOS_[[#This Row],[% anualiz]]=1),"Sí","NO")</f>
        <v>Sí</v>
      </c>
      <c r="BU795" s="137" t="str">
        <f aca="false">IF(AND(DATOS_[[#This Row],[% normaliz]]=1,DATOS_[[#This Row],[% anualiz]]&lt;&gt;1),"Sí","NO")</f>
        <v>NO</v>
      </c>
      <c r="BV795" s="137" t="str">
        <f aca="false">IF(AND(DATOS_[[#This Row],[% normaliz]]&lt;&gt;1,DATOS_[[#This Row],[% anualiz]]&lt;&gt;1),"Sí","NO")</f>
        <v>NO</v>
      </c>
      <c r="BW795" s="137" t="str">
        <f aca="false">+IF(DATOS_[[#This Row],[% normaliz]]*DATOS_[[#This Row],[% anualiz]]=1,"NO","Sí")</f>
        <v>Sí</v>
      </c>
      <c r="BX795" s="138" t="e">
        <f aca="false">(DATOS_[[#This Row],[S.BASE]]*(1/DATOS_[[#This Row],[% normaliz]])*(1/DATOS_[[#This Row],[% anualiz]]))*IF(DATOS_[[#This Row],[Check Equiparado]]="Sí",1,0)</f>
        <v>#DIV/0!</v>
      </c>
      <c r="BY7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5" s="138" t="e">
        <f aca="false">+DATOS_[[#This Row],[SALARIO BASE Eq]]+DATOS_[[#This Row],[Tot COMPL.SAL Eq]]</f>
        <v>#DIV/0!</v>
      </c>
      <c r="CA795" s="138" t="e">
        <f aca="false" t="array" ref="CA795:CA7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5" s="138" t="e">
        <f aca="false">+DATOS_[[#This Row],[TOTAL SALARIO Eq]]+DATOS_[[#This Row],[Tot Extrasalarial Eq]]</f>
        <v>#DIV/0!</v>
      </c>
      <c r="CC795" s="139" t="n">
        <f aca="false">DATOS_[[#This Row],[S.BASE]]</f>
        <v>0</v>
      </c>
      <c r="CD795" s="139" t="n">
        <f aca="false">+SUM(DATOS_[[#This Row],[Conc.Sal.01]:[Conc.Sal.30]])</f>
        <v>0</v>
      </c>
      <c r="CE795" s="139" t="n">
        <f aca="false">+DATOS_[[#This Row],[SALARIO BASE Ef]]+DATOS_[[#This Row],[Tot COMPL.SAL Ef]]</f>
        <v>0</v>
      </c>
      <c r="CF795" s="139" t="n">
        <f aca="false">+SUM(DATOS_[[#This Row],[C.Extra.01]:[C.Extra.05]])</f>
        <v>0</v>
      </c>
      <c r="CG795" s="139" t="n">
        <f aca="false">+DATOS_[[#This Row],[TOTAL SALARIO Ef]]+DATOS_[[#This Row],[Tot Extrasalarial Ef]]</f>
        <v>0</v>
      </c>
      <c r="CH795" s="140" t="n">
        <f aca="false">MIN(IF(DATOS_[[#This Row],[Fecha Fin Contrato]]="",$D$4,DATOS_[[#This Row],[Fecha Fin Contrato]]),$D$4)-MAX(DATOS_[[#This Row],[Fecha de Contratación]],$D$3)+1</f>
        <v>1</v>
      </c>
      <c r="CI795" s="141" t="str">
        <f aca="false">IF(COUNTIFS(DATOS_[id],DATOS_[[#This Row],[id]])&gt;1,DATOS_[[#This Row],[id]],"")</f>
        <v/>
      </c>
      <c r="CJ795" s="141" t="n">
        <f aca="false">(Inicio!$G$10-DATOS_[[#This Row],[Fecha Nacimiento]])/365.25</f>
        <v>0</v>
      </c>
      <c r="CK795" s="141" t="n">
        <f aca="false">(Inicio!$G$10-DATOS_[[#This Row],[Fecha de Antigüedad]])/365.25</f>
        <v>0</v>
      </c>
      <c r="CL795" s="141" t="e">
        <f aca="false">+VLOOKUP(DATOS_[[#This Row],[Clave de Contrato]],TblTiposContrato13[],3,0)</f>
        <v>#N/A</v>
      </c>
      <c r="CM795" s="141" t="e">
        <f aca="false">+VLOOKUP(DATOS_[[#This Row],[Clave de Contrato]],TblTiposContrato13[],4,0)</f>
        <v>#N/A</v>
      </c>
      <c r="CN795" s="141" t="str">
        <f aca="false">VLOOKUP(DATOS_[[#This Row],[Edad]],CONTRATOS!TblRngEdad,2,1)</f>
        <v>20  o menos</v>
      </c>
      <c r="CO795" s="141" t="str">
        <f aca="false">VLOOKUP(DATOS_[[#This Row],[Antigüedad]],TblRngAntg14[],2,1)</f>
        <v>0 a 1 años</v>
      </c>
    </row>
    <row r="796" customFormat="false" ht="13.8" hidden="false" customHeight="false" outlineLevel="0" collapsed="false">
      <c r="D796" s="128"/>
      <c r="E796" s="129"/>
      <c r="F796" s="129"/>
      <c r="G796" s="129"/>
      <c r="H796" s="130"/>
      <c r="I796" s="131"/>
      <c r="J796" s="128"/>
      <c r="K796" s="132"/>
      <c r="L796" s="132"/>
      <c r="M796" s="133"/>
      <c r="N796" s="133"/>
      <c r="O796" s="133"/>
      <c r="P796" s="129"/>
      <c r="Z796" s="75"/>
      <c r="AA796" s="76"/>
      <c r="AB796" s="76"/>
      <c r="AC796" s="129"/>
      <c r="AD796" s="134"/>
      <c r="AE796" s="134"/>
      <c r="AF796" s="134"/>
      <c r="AG796" s="134"/>
      <c r="AH796" s="134"/>
      <c r="AI796" s="134"/>
      <c r="AJ796" s="134"/>
      <c r="AK796" s="134"/>
      <c r="AL796" s="134"/>
      <c r="AM796" s="134"/>
      <c r="AN796" s="134"/>
      <c r="AO796" s="134"/>
      <c r="AP796" s="134"/>
      <c r="AQ796" s="134"/>
      <c r="AR796" s="134"/>
      <c r="AS796" s="134"/>
      <c r="AT796" s="134"/>
      <c r="AU796" s="134"/>
      <c r="AV796" s="134"/>
      <c r="AW796" s="134"/>
      <c r="AX796" s="134"/>
      <c r="AY796" s="134"/>
      <c r="AZ796" s="134"/>
      <c r="BA796" s="134"/>
      <c r="BB796" s="134"/>
      <c r="BC796" s="134"/>
      <c r="BD796" s="134"/>
      <c r="BE796" s="134"/>
      <c r="BF796" s="134"/>
      <c r="BG796" s="134"/>
      <c r="BH796" s="134"/>
      <c r="BI796" s="134"/>
      <c r="BJ796" s="134"/>
      <c r="BK796" s="134"/>
      <c r="BL796" s="134"/>
      <c r="BM796" s="135"/>
      <c r="BN796" s="136" t="n">
        <f aca="false">+MAX($D$3,DATOS_[[#This Row],[Fecha Inicio Sit. Contract.]])</f>
        <v>0</v>
      </c>
      <c r="BO796" s="136" t="n">
        <f aca="false">+MIN($D$4,DATOS_[[#This Row],[Fecha Fin Sit. Contract.]])</f>
        <v>0</v>
      </c>
      <c r="BP796" s="137" t="n">
        <f aca="false">+DATOS_[[#This Row],[% de jornada]]*IF(DATOS_[[#This Row],[% jornada reducida]]="",1,DATOS_[[#This Row],[% jornada reducida]])</f>
        <v>0</v>
      </c>
      <c r="BQ796" s="137" t="n">
        <f aca="false">+(DATOS_[[#This Row],[F.fin.cal]]-DATOS_[[#This Row],[F.ini.cal]]+1)/($D$4-$D$3+1)</f>
        <v>1</v>
      </c>
      <c r="BR796" s="137" t="str">
        <f aca="false">IF(OR(AND(DATOS_[[#This Row],[Fecha Fin Contrato]]&lt;$D$3,DATOS_[[#This Row],[Fecha Fin Contrato]]&lt;&gt;""),DATOS_[[#This Row],[Fecha de Contratación]]&gt;$D$4),"Fuera","Dentro")</f>
        <v>Dentro</v>
      </c>
      <c r="BS796" s="137" t="str">
        <f aca="false" t="array" ref="BS796:BS796">IF(MAX(IF(DATOS_[id]=DATOS_[[#This Row],[id]],DATOS_[F.fin.cal]))=DATOS_[[#This Row],[F.fin.cal]],"Sí","NO")</f>
        <v>Sí</v>
      </c>
      <c r="BT796" s="137" t="str">
        <f aca="false">IF(AND(DATOS_[[#This Row],[% normaliz]]&lt;&gt;1,DATOS_[[#This Row],[% anualiz]]=1),"Sí","NO")</f>
        <v>Sí</v>
      </c>
      <c r="BU796" s="137" t="str">
        <f aca="false">IF(AND(DATOS_[[#This Row],[% normaliz]]=1,DATOS_[[#This Row],[% anualiz]]&lt;&gt;1),"Sí","NO")</f>
        <v>NO</v>
      </c>
      <c r="BV796" s="137" t="str">
        <f aca="false">IF(AND(DATOS_[[#This Row],[% normaliz]]&lt;&gt;1,DATOS_[[#This Row],[% anualiz]]&lt;&gt;1),"Sí","NO")</f>
        <v>NO</v>
      </c>
      <c r="BW796" s="137" t="str">
        <f aca="false">+IF(DATOS_[[#This Row],[% normaliz]]*DATOS_[[#This Row],[% anualiz]]=1,"NO","Sí")</f>
        <v>Sí</v>
      </c>
      <c r="BX796" s="138" t="e">
        <f aca="false">(DATOS_[[#This Row],[S.BASE]]*(1/DATOS_[[#This Row],[% normaliz]])*(1/DATOS_[[#This Row],[% anualiz]]))*IF(DATOS_[[#This Row],[Check Equiparado]]="Sí",1,0)</f>
        <v>#DIV/0!</v>
      </c>
      <c r="BY7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6" s="138" t="e">
        <f aca="false">+DATOS_[[#This Row],[SALARIO BASE Eq]]+DATOS_[[#This Row],[Tot COMPL.SAL Eq]]</f>
        <v>#DIV/0!</v>
      </c>
      <c r="CA796" s="138" t="e">
        <f aca="false" t="array" ref="CA796:CA7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6" s="138" t="e">
        <f aca="false">+DATOS_[[#This Row],[TOTAL SALARIO Eq]]+DATOS_[[#This Row],[Tot Extrasalarial Eq]]</f>
        <v>#DIV/0!</v>
      </c>
      <c r="CC796" s="139" t="n">
        <f aca="false">DATOS_[[#This Row],[S.BASE]]</f>
        <v>0</v>
      </c>
      <c r="CD796" s="139" t="n">
        <f aca="false">+SUM(DATOS_[[#This Row],[Conc.Sal.01]:[Conc.Sal.30]])</f>
        <v>0</v>
      </c>
      <c r="CE796" s="139" t="n">
        <f aca="false">+DATOS_[[#This Row],[SALARIO BASE Ef]]+DATOS_[[#This Row],[Tot COMPL.SAL Ef]]</f>
        <v>0</v>
      </c>
      <c r="CF796" s="139" t="n">
        <f aca="false">+SUM(DATOS_[[#This Row],[C.Extra.01]:[C.Extra.05]])</f>
        <v>0</v>
      </c>
      <c r="CG796" s="139" t="n">
        <f aca="false">+DATOS_[[#This Row],[TOTAL SALARIO Ef]]+DATOS_[[#This Row],[Tot Extrasalarial Ef]]</f>
        <v>0</v>
      </c>
      <c r="CH796" s="140" t="n">
        <f aca="false">MIN(IF(DATOS_[[#This Row],[Fecha Fin Contrato]]="",$D$4,DATOS_[[#This Row],[Fecha Fin Contrato]]),$D$4)-MAX(DATOS_[[#This Row],[Fecha de Contratación]],$D$3)+1</f>
        <v>1</v>
      </c>
      <c r="CI796" s="141" t="str">
        <f aca="false">IF(COUNTIFS(DATOS_[id],DATOS_[[#This Row],[id]])&gt;1,DATOS_[[#This Row],[id]],"")</f>
        <v/>
      </c>
      <c r="CJ796" s="141" t="n">
        <f aca="false">(Inicio!$G$10-DATOS_[[#This Row],[Fecha Nacimiento]])/365.25</f>
        <v>0</v>
      </c>
      <c r="CK796" s="141" t="n">
        <f aca="false">(Inicio!$G$10-DATOS_[[#This Row],[Fecha de Antigüedad]])/365.25</f>
        <v>0</v>
      </c>
      <c r="CL796" s="141" t="e">
        <f aca="false">+VLOOKUP(DATOS_[[#This Row],[Clave de Contrato]],TblTiposContrato13[],3,0)</f>
        <v>#N/A</v>
      </c>
      <c r="CM796" s="141" t="e">
        <f aca="false">+VLOOKUP(DATOS_[[#This Row],[Clave de Contrato]],TblTiposContrato13[],4,0)</f>
        <v>#N/A</v>
      </c>
      <c r="CN796" s="141" t="str">
        <f aca="false">VLOOKUP(DATOS_[[#This Row],[Edad]],CONTRATOS!TblRngEdad,2,1)</f>
        <v>20  o menos</v>
      </c>
      <c r="CO796" s="141" t="str">
        <f aca="false">VLOOKUP(DATOS_[[#This Row],[Antigüedad]],TblRngAntg14[],2,1)</f>
        <v>0 a 1 años</v>
      </c>
    </row>
    <row r="797" customFormat="false" ht="13.8" hidden="false" customHeight="false" outlineLevel="0" collapsed="false">
      <c r="D797" s="128"/>
      <c r="E797" s="129"/>
      <c r="F797" s="129"/>
      <c r="G797" s="129"/>
      <c r="H797" s="130"/>
      <c r="I797" s="131"/>
      <c r="J797" s="128"/>
      <c r="K797" s="132"/>
      <c r="L797" s="132"/>
      <c r="M797" s="133"/>
      <c r="N797" s="133"/>
      <c r="O797" s="133"/>
      <c r="P797" s="129"/>
      <c r="Z797" s="75"/>
      <c r="AA797" s="76"/>
      <c r="AB797" s="76"/>
      <c r="AC797" s="129"/>
      <c r="AD797" s="134"/>
      <c r="AE797" s="134"/>
      <c r="AF797" s="134"/>
      <c r="AG797" s="134"/>
      <c r="AH797" s="134"/>
      <c r="AI797" s="134"/>
      <c r="AJ797" s="134"/>
      <c r="AK797" s="134"/>
      <c r="AL797" s="134"/>
      <c r="AM797" s="134"/>
      <c r="AN797" s="134"/>
      <c r="AO797" s="134"/>
      <c r="AP797" s="134"/>
      <c r="AQ797" s="134"/>
      <c r="AR797" s="134"/>
      <c r="AS797" s="134"/>
      <c r="AT797" s="134"/>
      <c r="AU797" s="134"/>
      <c r="AV797" s="134"/>
      <c r="AW797" s="134"/>
      <c r="AX797" s="134"/>
      <c r="AY797" s="134"/>
      <c r="AZ797" s="134"/>
      <c r="BA797" s="134"/>
      <c r="BB797" s="134"/>
      <c r="BC797" s="134"/>
      <c r="BD797" s="134"/>
      <c r="BE797" s="134"/>
      <c r="BF797" s="134"/>
      <c r="BG797" s="134"/>
      <c r="BH797" s="134"/>
      <c r="BI797" s="134"/>
      <c r="BJ797" s="134"/>
      <c r="BK797" s="134"/>
      <c r="BL797" s="134"/>
      <c r="BM797" s="135"/>
      <c r="BN797" s="136" t="n">
        <f aca="false">+MAX($D$3,DATOS_[[#This Row],[Fecha Inicio Sit. Contract.]])</f>
        <v>0</v>
      </c>
      <c r="BO797" s="136" t="n">
        <f aca="false">+MIN($D$4,DATOS_[[#This Row],[Fecha Fin Sit. Contract.]])</f>
        <v>0</v>
      </c>
      <c r="BP797" s="137" t="n">
        <f aca="false">+DATOS_[[#This Row],[% de jornada]]*IF(DATOS_[[#This Row],[% jornada reducida]]="",1,DATOS_[[#This Row],[% jornada reducida]])</f>
        <v>0</v>
      </c>
      <c r="BQ797" s="137" t="n">
        <f aca="false">+(DATOS_[[#This Row],[F.fin.cal]]-DATOS_[[#This Row],[F.ini.cal]]+1)/($D$4-$D$3+1)</f>
        <v>1</v>
      </c>
      <c r="BR797" s="137" t="str">
        <f aca="false">IF(OR(AND(DATOS_[[#This Row],[Fecha Fin Contrato]]&lt;$D$3,DATOS_[[#This Row],[Fecha Fin Contrato]]&lt;&gt;""),DATOS_[[#This Row],[Fecha de Contratación]]&gt;$D$4),"Fuera","Dentro")</f>
        <v>Dentro</v>
      </c>
      <c r="BS797" s="137" t="str">
        <f aca="false" t="array" ref="BS797:BS797">IF(MAX(IF(DATOS_[id]=DATOS_[[#This Row],[id]],DATOS_[F.fin.cal]))=DATOS_[[#This Row],[F.fin.cal]],"Sí","NO")</f>
        <v>Sí</v>
      </c>
      <c r="BT797" s="137" t="str">
        <f aca="false">IF(AND(DATOS_[[#This Row],[% normaliz]]&lt;&gt;1,DATOS_[[#This Row],[% anualiz]]=1),"Sí","NO")</f>
        <v>Sí</v>
      </c>
      <c r="BU797" s="137" t="str">
        <f aca="false">IF(AND(DATOS_[[#This Row],[% normaliz]]=1,DATOS_[[#This Row],[% anualiz]]&lt;&gt;1),"Sí","NO")</f>
        <v>NO</v>
      </c>
      <c r="BV797" s="137" t="str">
        <f aca="false">IF(AND(DATOS_[[#This Row],[% normaliz]]&lt;&gt;1,DATOS_[[#This Row],[% anualiz]]&lt;&gt;1),"Sí","NO")</f>
        <v>NO</v>
      </c>
      <c r="BW797" s="137" t="str">
        <f aca="false">+IF(DATOS_[[#This Row],[% normaliz]]*DATOS_[[#This Row],[% anualiz]]=1,"NO","Sí")</f>
        <v>Sí</v>
      </c>
      <c r="BX797" s="138" t="e">
        <f aca="false">(DATOS_[[#This Row],[S.BASE]]*(1/DATOS_[[#This Row],[% normaliz]])*(1/DATOS_[[#This Row],[% anualiz]]))*IF(DATOS_[[#This Row],[Check Equiparado]]="Sí",1,0)</f>
        <v>#DIV/0!</v>
      </c>
      <c r="BY7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7" s="138" t="e">
        <f aca="false">+DATOS_[[#This Row],[SALARIO BASE Eq]]+DATOS_[[#This Row],[Tot COMPL.SAL Eq]]</f>
        <v>#DIV/0!</v>
      </c>
      <c r="CA797" s="138" t="e">
        <f aca="false" t="array" ref="CA797:CA7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7" s="138" t="e">
        <f aca="false">+DATOS_[[#This Row],[TOTAL SALARIO Eq]]+DATOS_[[#This Row],[Tot Extrasalarial Eq]]</f>
        <v>#DIV/0!</v>
      </c>
      <c r="CC797" s="139" t="n">
        <f aca="false">DATOS_[[#This Row],[S.BASE]]</f>
        <v>0</v>
      </c>
      <c r="CD797" s="139" t="n">
        <f aca="false">+SUM(DATOS_[[#This Row],[Conc.Sal.01]:[Conc.Sal.30]])</f>
        <v>0</v>
      </c>
      <c r="CE797" s="139" t="n">
        <f aca="false">+DATOS_[[#This Row],[SALARIO BASE Ef]]+DATOS_[[#This Row],[Tot COMPL.SAL Ef]]</f>
        <v>0</v>
      </c>
      <c r="CF797" s="139" t="n">
        <f aca="false">+SUM(DATOS_[[#This Row],[C.Extra.01]:[C.Extra.05]])</f>
        <v>0</v>
      </c>
      <c r="CG797" s="139" t="n">
        <f aca="false">+DATOS_[[#This Row],[TOTAL SALARIO Ef]]+DATOS_[[#This Row],[Tot Extrasalarial Ef]]</f>
        <v>0</v>
      </c>
      <c r="CH797" s="140" t="n">
        <f aca="false">MIN(IF(DATOS_[[#This Row],[Fecha Fin Contrato]]="",$D$4,DATOS_[[#This Row],[Fecha Fin Contrato]]),$D$4)-MAX(DATOS_[[#This Row],[Fecha de Contratación]],$D$3)+1</f>
        <v>1</v>
      </c>
      <c r="CI797" s="141" t="str">
        <f aca="false">IF(COUNTIFS(DATOS_[id],DATOS_[[#This Row],[id]])&gt;1,DATOS_[[#This Row],[id]],"")</f>
        <v/>
      </c>
      <c r="CJ797" s="141" t="n">
        <f aca="false">(Inicio!$G$10-DATOS_[[#This Row],[Fecha Nacimiento]])/365.25</f>
        <v>0</v>
      </c>
      <c r="CK797" s="141" t="n">
        <f aca="false">(Inicio!$G$10-DATOS_[[#This Row],[Fecha de Antigüedad]])/365.25</f>
        <v>0</v>
      </c>
      <c r="CL797" s="141" t="e">
        <f aca="false">+VLOOKUP(DATOS_[[#This Row],[Clave de Contrato]],TblTiposContrato13[],3,0)</f>
        <v>#N/A</v>
      </c>
      <c r="CM797" s="141" t="e">
        <f aca="false">+VLOOKUP(DATOS_[[#This Row],[Clave de Contrato]],TblTiposContrato13[],4,0)</f>
        <v>#N/A</v>
      </c>
      <c r="CN797" s="141" t="str">
        <f aca="false">VLOOKUP(DATOS_[[#This Row],[Edad]],CONTRATOS!TblRngEdad,2,1)</f>
        <v>20  o menos</v>
      </c>
      <c r="CO797" s="141" t="str">
        <f aca="false">VLOOKUP(DATOS_[[#This Row],[Antigüedad]],TblRngAntg14[],2,1)</f>
        <v>0 a 1 años</v>
      </c>
    </row>
    <row r="798" customFormat="false" ht="13.8" hidden="false" customHeight="false" outlineLevel="0" collapsed="false">
      <c r="D798" s="128"/>
      <c r="E798" s="129"/>
      <c r="F798" s="129"/>
      <c r="G798" s="129"/>
      <c r="H798" s="130"/>
      <c r="I798" s="131"/>
      <c r="J798" s="128"/>
      <c r="K798" s="132"/>
      <c r="L798" s="132"/>
      <c r="M798" s="133"/>
      <c r="N798" s="133"/>
      <c r="O798" s="133"/>
      <c r="P798" s="129"/>
      <c r="Z798" s="75"/>
      <c r="AA798" s="76"/>
      <c r="AB798" s="76"/>
      <c r="AC798" s="129"/>
      <c r="AD798" s="134"/>
      <c r="AE798" s="134"/>
      <c r="AF798" s="134"/>
      <c r="AG798" s="134"/>
      <c r="AH798" s="134"/>
      <c r="AI798" s="134"/>
      <c r="AJ798" s="134"/>
      <c r="AK798" s="134"/>
      <c r="AL798" s="134"/>
      <c r="AM798" s="134"/>
      <c r="AN798" s="134"/>
      <c r="AO798" s="134"/>
      <c r="AP798" s="134"/>
      <c r="AQ798" s="134"/>
      <c r="AR798" s="134"/>
      <c r="AS798" s="134"/>
      <c r="AT798" s="134"/>
      <c r="AU798" s="134"/>
      <c r="AV798" s="134"/>
      <c r="AW798" s="134"/>
      <c r="AX798" s="134"/>
      <c r="AY798" s="134"/>
      <c r="AZ798" s="134"/>
      <c r="BA798" s="134"/>
      <c r="BB798" s="134"/>
      <c r="BC798" s="134"/>
      <c r="BD798" s="134"/>
      <c r="BE798" s="134"/>
      <c r="BF798" s="134"/>
      <c r="BG798" s="134"/>
      <c r="BH798" s="134"/>
      <c r="BI798" s="134"/>
      <c r="BJ798" s="134"/>
      <c r="BK798" s="134"/>
      <c r="BL798" s="134"/>
      <c r="BM798" s="135"/>
      <c r="BN798" s="136" t="n">
        <f aca="false">+MAX($D$3,DATOS_[[#This Row],[Fecha Inicio Sit. Contract.]])</f>
        <v>0</v>
      </c>
      <c r="BO798" s="136" t="n">
        <f aca="false">+MIN($D$4,DATOS_[[#This Row],[Fecha Fin Sit. Contract.]])</f>
        <v>0</v>
      </c>
      <c r="BP798" s="137" t="n">
        <f aca="false">+DATOS_[[#This Row],[% de jornada]]*IF(DATOS_[[#This Row],[% jornada reducida]]="",1,DATOS_[[#This Row],[% jornada reducida]])</f>
        <v>0</v>
      </c>
      <c r="BQ798" s="137" t="n">
        <f aca="false">+(DATOS_[[#This Row],[F.fin.cal]]-DATOS_[[#This Row],[F.ini.cal]]+1)/($D$4-$D$3+1)</f>
        <v>1</v>
      </c>
      <c r="BR798" s="137" t="str">
        <f aca="false">IF(OR(AND(DATOS_[[#This Row],[Fecha Fin Contrato]]&lt;$D$3,DATOS_[[#This Row],[Fecha Fin Contrato]]&lt;&gt;""),DATOS_[[#This Row],[Fecha de Contratación]]&gt;$D$4),"Fuera","Dentro")</f>
        <v>Dentro</v>
      </c>
      <c r="BS798" s="137" t="str">
        <f aca="false" t="array" ref="BS798:BS798">IF(MAX(IF(DATOS_[id]=DATOS_[[#This Row],[id]],DATOS_[F.fin.cal]))=DATOS_[[#This Row],[F.fin.cal]],"Sí","NO")</f>
        <v>Sí</v>
      </c>
      <c r="BT798" s="137" t="str">
        <f aca="false">IF(AND(DATOS_[[#This Row],[% normaliz]]&lt;&gt;1,DATOS_[[#This Row],[% anualiz]]=1),"Sí","NO")</f>
        <v>Sí</v>
      </c>
      <c r="BU798" s="137" t="str">
        <f aca="false">IF(AND(DATOS_[[#This Row],[% normaliz]]=1,DATOS_[[#This Row],[% anualiz]]&lt;&gt;1),"Sí","NO")</f>
        <v>NO</v>
      </c>
      <c r="BV798" s="137" t="str">
        <f aca="false">IF(AND(DATOS_[[#This Row],[% normaliz]]&lt;&gt;1,DATOS_[[#This Row],[% anualiz]]&lt;&gt;1),"Sí","NO")</f>
        <v>NO</v>
      </c>
      <c r="BW798" s="137" t="str">
        <f aca="false">+IF(DATOS_[[#This Row],[% normaliz]]*DATOS_[[#This Row],[% anualiz]]=1,"NO","Sí")</f>
        <v>Sí</v>
      </c>
      <c r="BX798" s="138" t="e">
        <f aca="false">(DATOS_[[#This Row],[S.BASE]]*(1/DATOS_[[#This Row],[% normaliz]])*(1/DATOS_[[#This Row],[% anualiz]]))*IF(DATOS_[[#This Row],[Check Equiparado]]="Sí",1,0)</f>
        <v>#DIV/0!</v>
      </c>
      <c r="BY7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8" s="138" t="e">
        <f aca="false">+DATOS_[[#This Row],[SALARIO BASE Eq]]+DATOS_[[#This Row],[Tot COMPL.SAL Eq]]</f>
        <v>#DIV/0!</v>
      </c>
      <c r="CA798" s="138" t="e">
        <f aca="false" t="array" ref="CA798:CA7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8" s="138" t="e">
        <f aca="false">+DATOS_[[#This Row],[TOTAL SALARIO Eq]]+DATOS_[[#This Row],[Tot Extrasalarial Eq]]</f>
        <v>#DIV/0!</v>
      </c>
      <c r="CC798" s="139" t="n">
        <f aca="false">DATOS_[[#This Row],[S.BASE]]</f>
        <v>0</v>
      </c>
      <c r="CD798" s="139" t="n">
        <f aca="false">+SUM(DATOS_[[#This Row],[Conc.Sal.01]:[Conc.Sal.30]])</f>
        <v>0</v>
      </c>
      <c r="CE798" s="139" t="n">
        <f aca="false">+DATOS_[[#This Row],[SALARIO BASE Ef]]+DATOS_[[#This Row],[Tot COMPL.SAL Ef]]</f>
        <v>0</v>
      </c>
      <c r="CF798" s="139" t="n">
        <f aca="false">+SUM(DATOS_[[#This Row],[C.Extra.01]:[C.Extra.05]])</f>
        <v>0</v>
      </c>
      <c r="CG798" s="139" t="n">
        <f aca="false">+DATOS_[[#This Row],[TOTAL SALARIO Ef]]+DATOS_[[#This Row],[Tot Extrasalarial Ef]]</f>
        <v>0</v>
      </c>
      <c r="CH798" s="140" t="n">
        <f aca="false">MIN(IF(DATOS_[[#This Row],[Fecha Fin Contrato]]="",$D$4,DATOS_[[#This Row],[Fecha Fin Contrato]]),$D$4)-MAX(DATOS_[[#This Row],[Fecha de Contratación]],$D$3)+1</f>
        <v>1</v>
      </c>
      <c r="CI798" s="141" t="str">
        <f aca="false">IF(COUNTIFS(DATOS_[id],DATOS_[[#This Row],[id]])&gt;1,DATOS_[[#This Row],[id]],"")</f>
        <v/>
      </c>
      <c r="CJ798" s="141" t="n">
        <f aca="false">(Inicio!$G$10-DATOS_[[#This Row],[Fecha Nacimiento]])/365.25</f>
        <v>0</v>
      </c>
      <c r="CK798" s="141" t="n">
        <f aca="false">(Inicio!$G$10-DATOS_[[#This Row],[Fecha de Antigüedad]])/365.25</f>
        <v>0</v>
      </c>
      <c r="CL798" s="141" t="e">
        <f aca="false">+VLOOKUP(DATOS_[[#This Row],[Clave de Contrato]],TblTiposContrato13[],3,0)</f>
        <v>#N/A</v>
      </c>
      <c r="CM798" s="141" t="e">
        <f aca="false">+VLOOKUP(DATOS_[[#This Row],[Clave de Contrato]],TblTiposContrato13[],4,0)</f>
        <v>#N/A</v>
      </c>
      <c r="CN798" s="141" t="str">
        <f aca="false">VLOOKUP(DATOS_[[#This Row],[Edad]],CONTRATOS!TblRngEdad,2,1)</f>
        <v>20  o menos</v>
      </c>
      <c r="CO798" s="141" t="str">
        <f aca="false">VLOOKUP(DATOS_[[#This Row],[Antigüedad]],TblRngAntg14[],2,1)</f>
        <v>0 a 1 años</v>
      </c>
    </row>
    <row r="799" customFormat="false" ht="13.8" hidden="false" customHeight="false" outlineLevel="0" collapsed="false">
      <c r="D799" s="128"/>
      <c r="E799" s="129"/>
      <c r="F799" s="129"/>
      <c r="G799" s="129"/>
      <c r="H799" s="130"/>
      <c r="I799" s="131"/>
      <c r="J799" s="128"/>
      <c r="K799" s="132"/>
      <c r="L799" s="132"/>
      <c r="M799" s="133"/>
      <c r="N799" s="133"/>
      <c r="O799" s="133"/>
      <c r="P799" s="129"/>
      <c r="Z799" s="75"/>
      <c r="AA799" s="76"/>
      <c r="AB799" s="76"/>
      <c r="AC799" s="129"/>
      <c r="AD799" s="134"/>
      <c r="AE799" s="134"/>
      <c r="AF799" s="134"/>
      <c r="AG799" s="134"/>
      <c r="AH799" s="134"/>
      <c r="AI799" s="134"/>
      <c r="AJ799" s="134"/>
      <c r="AK799" s="134"/>
      <c r="AL799" s="134"/>
      <c r="AM799" s="134"/>
      <c r="AN799" s="134"/>
      <c r="AO799" s="134"/>
      <c r="AP799" s="134"/>
      <c r="AQ799" s="134"/>
      <c r="AR799" s="134"/>
      <c r="AS799" s="134"/>
      <c r="AT799" s="134"/>
      <c r="AU799" s="134"/>
      <c r="AV799" s="134"/>
      <c r="AW799" s="134"/>
      <c r="AX799" s="134"/>
      <c r="AY799" s="134"/>
      <c r="AZ799" s="134"/>
      <c r="BA799" s="134"/>
      <c r="BB799" s="134"/>
      <c r="BC799" s="134"/>
      <c r="BD799" s="134"/>
      <c r="BE799" s="134"/>
      <c r="BF799" s="134"/>
      <c r="BG799" s="134"/>
      <c r="BH799" s="134"/>
      <c r="BI799" s="134"/>
      <c r="BJ799" s="134"/>
      <c r="BK799" s="134"/>
      <c r="BL799" s="134"/>
      <c r="BM799" s="135"/>
      <c r="BN799" s="136" t="n">
        <f aca="false">+MAX($D$3,DATOS_[[#This Row],[Fecha Inicio Sit. Contract.]])</f>
        <v>0</v>
      </c>
      <c r="BO799" s="136" t="n">
        <f aca="false">+MIN($D$4,DATOS_[[#This Row],[Fecha Fin Sit. Contract.]])</f>
        <v>0</v>
      </c>
      <c r="BP799" s="137" t="n">
        <f aca="false">+DATOS_[[#This Row],[% de jornada]]*IF(DATOS_[[#This Row],[% jornada reducida]]="",1,DATOS_[[#This Row],[% jornada reducida]])</f>
        <v>0</v>
      </c>
      <c r="BQ799" s="137" t="n">
        <f aca="false">+(DATOS_[[#This Row],[F.fin.cal]]-DATOS_[[#This Row],[F.ini.cal]]+1)/($D$4-$D$3+1)</f>
        <v>1</v>
      </c>
      <c r="BR799" s="137" t="str">
        <f aca="false">IF(OR(AND(DATOS_[[#This Row],[Fecha Fin Contrato]]&lt;$D$3,DATOS_[[#This Row],[Fecha Fin Contrato]]&lt;&gt;""),DATOS_[[#This Row],[Fecha de Contratación]]&gt;$D$4),"Fuera","Dentro")</f>
        <v>Dentro</v>
      </c>
      <c r="BS799" s="137" t="str">
        <f aca="false" t="array" ref="BS799:BS799">IF(MAX(IF(DATOS_[id]=DATOS_[[#This Row],[id]],DATOS_[F.fin.cal]))=DATOS_[[#This Row],[F.fin.cal]],"Sí","NO")</f>
        <v>Sí</v>
      </c>
      <c r="BT799" s="137" t="str">
        <f aca="false">IF(AND(DATOS_[[#This Row],[% normaliz]]&lt;&gt;1,DATOS_[[#This Row],[% anualiz]]=1),"Sí","NO")</f>
        <v>Sí</v>
      </c>
      <c r="BU799" s="137" t="str">
        <f aca="false">IF(AND(DATOS_[[#This Row],[% normaliz]]=1,DATOS_[[#This Row],[% anualiz]]&lt;&gt;1),"Sí","NO")</f>
        <v>NO</v>
      </c>
      <c r="BV799" s="137" t="str">
        <f aca="false">IF(AND(DATOS_[[#This Row],[% normaliz]]&lt;&gt;1,DATOS_[[#This Row],[% anualiz]]&lt;&gt;1),"Sí","NO")</f>
        <v>NO</v>
      </c>
      <c r="BW799" s="137" t="str">
        <f aca="false">+IF(DATOS_[[#This Row],[% normaliz]]*DATOS_[[#This Row],[% anualiz]]=1,"NO","Sí")</f>
        <v>Sí</v>
      </c>
      <c r="BX799" s="138" t="e">
        <f aca="false">(DATOS_[[#This Row],[S.BASE]]*(1/DATOS_[[#This Row],[% normaliz]])*(1/DATOS_[[#This Row],[% anualiz]]))*IF(DATOS_[[#This Row],[Check Equiparado]]="Sí",1,0)</f>
        <v>#DIV/0!</v>
      </c>
      <c r="BY7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9" s="138" t="e">
        <f aca="false">+DATOS_[[#This Row],[SALARIO BASE Eq]]+DATOS_[[#This Row],[Tot COMPL.SAL Eq]]</f>
        <v>#DIV/0!</v>
      </c>
      <c r="CA799" s="138" t="e">
        <f aca="false" t="array" ref="CA799:CA7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9" s="138" t="e">
        <f aca="false">+DATOS_[[#This Row],[TOTAL SALARIO Eq]]+DATOS_[[#This Row],[Tot Extrasalarial Eq]]</f>
        <v>#DIV/0!</v>
      </c>
      <c r="CC799" s="139" t="n">
        <f aca="false">DATOS_[[#This Row],[S.BASE]]</f>
        <v>0</v>
      </c>
      <c r="CD799" s="139" t="n">
        <f aca="false">+SUM(DATOS_[[#This Row],[Conc.Sal.01]:[Conc.Sal.30]])</f>
        <v>0</v>
      </c>
      <c r="CE799" s="139" t="n">
        <f aca="false">+DATOS_[[#This Row],[SALARIO BASE Ef]]+DATOS_[[#This Row],[Tot COMPL.SAL Ef]]</f>
        <v>0</v>
      </c>
      <c r="CF799" s="139" t="n">
        <f aca="false">+SUM(DATOS_[[#This Row],[C.Extra.01]:[C.Extra.05]])</f>
        <v>0</v>
      </c>
      <c r="CG799" s="139" t="n">
        <f aca="false">+DATOS_[[#This Row],[TOTAL SALARIO Ef]]+DATOS_[[#This Row],[Tot Extrasalarial Ef]]</f>
        <v>0</v>
      </c>
      <c r="CH799" s="140" t="n">
        <f aca="false">MIN(IF(DATOS_[[#This Row],[Fecha Fin Contrato]]="",$D$4,DATOS_[[#This Row],[Fecha Fin Contrato]]),$D$4)-MAX(DATOS_[[#This Row],[Fecha de Contratación]],$D$3)+1</f>
        <v>1</v>
      </c>
      <c r="CI799" s="141" t="str">
        <f aca="false">IF(COUNTIFS(DATOS_[id],DATOS_[[#This Row],[id]])&gt;1,DATOS_[[#This Row],[id]],"")</f>
        <v/>
      </c>
      <c r="CJ799" s="141" t="n">
        <f aca="false">(Inicio!$G$10-DATOS_[[#This Row],[Fecha Nacimiento]])/365.25</f>
        <v>0</v>
      </c>
      <c r="CK799" s="141" t="n">
        <f aca="false">(Inicio!$G$10-DATOS_[[#This Row],[Fecha de Antigüedad]])/365.25</f>
        <v>0</v>
      </c>
      <c r="CL799" s="141" t="e">
        <f aca="false">+VLOOKUP(DATOS_[[#This Row],[Clave de Contrato]],TblTiposContrato13[],3,0)</f>
        <v>#N/A</v>
      </c>
      <c r="CM799" s="141" t="e">
        <f aca="false">+VLOOKUP(DATOS_[[#This Row],[Clave de Contrato]],TblTiposContrato13[],4,0)</f>
        <v>#N/A</v>
      </c>
      <c r="CN799" s="141" t="str">
        <f aca="false">VLOOKUP(DATOS_[[#This Row],[Edad]],CONTRATOS!TblRngEdad,2,1)</f>
        <v>20  o menos</v>
      </c>
      <c r="CO799" s="141" t="str">
        <f aca="false">VLOOKUP(DATOS_[[#This Row],[Antigüedad]],TblRngAntg14[],2,1)</f>
        <v>0 a 1 años</v>
      </c>
    </row>
    <row r="800" customFormat="false" ht="13.8" hidden="false" customHeight="false" outlineLevel="0" collapsed="false">
      <c r="D800" s="128"/>
      <c r="E800" s="129"/>
      <c r="F800" s="129"/>
      <c r="G800" s="129"/>
      <c r="H800" s="130"/>
      <c r="I800" s="131"/>
      <c r="J800" s="128"/>
      <c r="K800" s="132"/>
      <c r="L800" s="132"/>
      <c r="M800" s="133"/>
      <c r="N800" s="133"/>
      <c r="O800" s="133"/>
      <c r="P800" s="129"/>
      <c r="Z800" s="75"/>
      <c r="AA800" s="76"/>
      <c r="AB800" s="76"/>
      <c r="AC800" s="129"/>
      <c r="AD800" s="134"/>
      <c r="AE800" s="134"/>
      <c r="AF800" s="134"/>
      <c r="AG800" s="134"/>
      <c r="AH800" s="134"/>
      <c r="AI800" s="134"/>
      <c r="AJ800" s="134"/>
      <c r="AK800" s="134"/>
      <c r="AL800" s="134"/>
      <c r="AM800" s="134"/>
      <c r="AN800" s="134"/>
      <c r="AO800" s="134"/>
      <c r="AP800" s="134"/>
      <c r="AQ800" s="134"/>
      <c r="AR800" s="134"/>
      <c r="AS800" s="134"/>
      <c r="AT800" s="134"/>
      <c r="AU800" s="134"/>
      <c r="AV800" s="134"/>
      <c r="AW800" s="134"/>
      <c r="AX800" s="134"/>
      <c r="AY800" s="134"/>
      <c r="AZ800" s="134"/>
      <c r="BA800" s="134"/>
      <c r="BB800" s="134"/>
      <c r="BC800" s="134"/>
      <c r="BD800" s="134"/>
      <c r="BE800" s="134"/>
      <c r="BF800" s="134"/>
      <c r="BG800" s="134"/>
      <c r="BH800" s="134"/>
      <c r="BI800" s="134"/>
      <c r="BJ800" s="134"/>
      <c r="BK800" s="134"/>
      <c r="BL800" s="134"/>
      <c r="BM800" s="135"/>
      <c r="BN800" s="136" t="n">
        <f aca="false">+MAX($D$3,DATOS_[[#This Row],[Fecha Inicio Sit. Contract.]])</f>
        <v>0</v>
      </c>
      <c r="BO800" s="136" t="n">
        <f aca="false">+MIN($D$4,DATOS_[[#This Row],[Fecha Fin Sit. Contract.]])</f>
        <v>0</v>
      </c>
      <c r="BP800" s="137" t="n">
        <f aca="false">+DATOS_[[#This Row],[% de jornada]]*IF(DATOS_[[#This Row],[% jornada reducida]]="",1,DATOS_[[#This Row],[% jornada reducida]])</f>
        <v>0</v>
      </c>
      <c r="BQ800" s="137" t="n">
        <f aca="false">+(DATOS_[[#This Row],[F.fin.cal]]-DATOS_[[#This Row],[F.ini.cal]]+1)/($D$4-$D$3+1)</f>
        <v>1</v>
      </c>
      <c r="BR800" s="137" t="str">
        <f aca="false">IF(OR(AND(DATOS_[[#This Row],[Fecha Fin Contrato]]&lt;$D$3,DATOS_[[#This Row],[Fecha Fin Contrato]]&lt;&gt;""),DATOS_[[#This Row],[Fecha de Contratación]]&gt;$D$4),"Fuera","Dentro")</f>
        <v>Dentro</v>
      </c>
      <c r="BS800" s="137" t="str">
        <f aca="false" t="array" ref="BS800:BS800">IF(MAX(IF(DATOS_[id]=DATOS_[[#This Row],[id]],DATOS_[F.fin.cal]))=DATOS_[[#This Row],[F.fin.cal]],"Sí","NO")</f>
        <v>Sí</v>
      </c>
      <c r="BT800" s="137" t="str">
        <f aca="false">IF(AND(DATOS_[[#This Row],[% normaliz]]&lt;&gt;1,DATOS_[[#This Row],[% anualiz]]=1),"Sí","NO")</f>
        <v>Sí</v>
      </c>
      <c r="BU800" s="137" t="str">
        <f aca="false">IF(AND(DATOS_[[#This Row],[% normaliz]]=1,DATOS_[[#This Row],[% anualiz]]&lt;&gt;1),"Sí","NO")</f>
        <v>NO</v>
      </c>
      <c r="BV800" s="137" t="str">
        <f aca="false">IF(AND(DATOS_[[#This Row],[% normaliz]]&lt;&gt;1,DATOS_[[#This Row],[% anualiz]]&lt;&gt;1),"Sí","NO")</f>
        <v>NO</v>
      </c>
      <c r="BW800" s="137" t="str">
        <f aca="false">+IF(DATOS_[[#This Row],[% normaliz]]*DATOS_[[#This Row],[% anualiz]]=1,"NO","Sí")</f>
        <v>Sí</v>
      </c>
      <c r="BX800" s="138" t="e">
        <f aca="false">(DATOS_[[#This Row],[S.BASE]]*(1/DATOS_[[#This Row],[% normaliz]])*(1/DATOS_[[#This Row],[% anualiz]]))*IF(DATOS_[[#This Row],[Check Equiparado]]="Sí",1,0)</f>
        <v>#DIV/0!</v>
      </c>
      <c r="BY8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0" s="138" t="e">
        <f aca="false">+DATOS_[[#This Row],[SALARIO BASE Eq]]+DATOS_[[#This Row],[Tot COMPL.SAL Eq]]</f>
        <v>#DIV/0!</v>
      </c>
      <c r="CA800" s="138" t="e">
        <f aca="false" t="array" ref="CA800:CA8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0" s="138" t="e">
        <f aca="false">+DATOS_[[#This Row],[TOTAL SALARIO Eq]]+DATOS_[[#This Row],[Tot Extrasalarial Eq]]</f>
        <v>#DIV/0!</v>
      </c>
      <c r="CC800" s="139" t="n">
        <f aca="false">DATOS_[[#This Row],[S.BASE]]</f>
        <v>0</v>
      </c>
      <c r="CD800" s="139" t="n">
        <f aca="false">+SUM(DATOS_[[#This Row],[Conc.Sal.01]:[Conc.Sal.30]])</f>
        <v>0</v>
      </c>
      <c r="CE800" s="139" t="n">
        <f aca="false">+DATOS_[[#This Row],[SALARIO BASE Ef]]+DATOS_[[#This Row],[Tot COMPL.SAL Ef]]</f>
        <v>0</v>
      </c>
      <c r="CF800" s="139" t="n">
        <f aca="false">+SUM(DATOS_[[#This Row],[C.Extra.01]:[C.Extra.05]])</f>
        <v>0</v>
      </c>
      <c r="CG800" s="139" t="n">
        <f aca="false">+DATOS_[[#This Row],[TOTAL SALARIO Ef]]+DATOS_[[#This Row],[Tot Extrasalarial Ef]]</f>
        <v>0</v>
      </c>
      <c r="CH800" s="140" t="n">
        <f aca="false">MIN(IF(DATOS_[[#This Row],[Fecha Fin Contrato]]="",$D$4,DATOS_[[#This Row],[Fecha Fin Contrato]]),$D$4)-MAX(DATOS_[[#This Row],[Fecha de Contratación]],$D$3)+1</f>
        <v>1</v>
      </c>
      <c r="CI800" s="141" t="str">
        <f aca="false">IF(COUNTIFS(DATOS_[id],DATOS_[[#This Row],[id]])&gt;1,DATOS_[[#This Row],[id]],"")</f>
        <v/>
      </c>
      <c r="CJ800" s="141" t="n">
        <f aca="false">(Inicio!$G$10-DATOS_[[#This Row],[Fecha Nacimiento]])/365.25</f>
        <v>0</v>
      </c>
      <c r="CK800" s="141" t="n">
        <f aca="false">(Inicio!$G$10-DATOS_[[#This Row],[Fecha de Antigüedad]])/365.25</f>
        <v>0</v>
      </c>
      <c r="CL800" s="141" t="e">
        <f aca="false">+VLOOKUP(DATOS_[[#This Row],[Clave de Contrato]],TblTiposContrato13[],3,0)</f>
        <v>#N/A</v>
      </c>
      <c r="CM800" s="141" t="e">
        <f aca="false">+VLOOKUP(DATOS_[[#This Row],[Clave de Contrato]],TblTiposContrato13[],4,0)</f>
        <v>#N/A</v>
      </c>
      <c r="CN800" s="141" t="str">
        <f aca="false">VLOOKUP(DATOS_[[#This Row],[Edad]],CONTRATOS!TblRngEdad,2,1)</f>
        <v>20  o menos</v>
      </c>
      <c r="CO800" s="141" t="str">
        <f aca="false">VLOOKUP(DATOS_[[#This Row],[Antigüedad]],TblRngAntg14[],2,1)</f>
        <v>0 a 1 años</v>
      </c>
    </row>
    <row r="801" customFormat="false" ht="13.8" hidden="false" customHeight="false" outlineLevel="0" collapsed="false">
      <c r="D801" s="128"/>
      <c r="E801" s="129"/>
      <c r="F801" s="129"/>
      <c r="G801" s="129"/>
      <c r="H801" s="130"/>
      <c r="I801" s="131"/>
      <c r="J801" s="128"/>
      <c r="K801" s="132"/>
      <c r="L801" s="132"/>
      <c r="M801" s="133"/>
      <c r="N801" s="133"/>
      <c r="O801" s="133"/>
      <c r="P801" s="129"/>
      <c r="Z801" s="75"/>
      <c r="AA801" s="76"/>
      <c r="AB801" s="76"/>
      <c r="AC801" s="129"/>
      <c r="AD801" s="134"/>
      <c r="AE801" s="134"/>
      <c r="AF801" s="134"/>
      <c r="AG801" s="134"/>
      <c r="AH801" s="134"/>
      <c r="AI801" s="134"/>
      <c r="AJ801" s="134"/>
      <c r="AK801" s="134"/>
      <c r="AL801" s="134"/>
      <c r="AM801" s="134"/>
      <c r="AN801" s="134"/>
      <c r="AO801" s="134"/>
      <c r="AP801" s="134"/>
      <c r="AQ801" s="134"/>
      <c r="AR801" s="134"/>
      <c r="AS801" s="134"/>
      <c r="AT801" s="134"/>
      <c r="AU801" s="134"/>
      <c r="AV801" s="134"/>
      <c r="AW801" s="134"/>
      <c r="AX801" s="134"/>
      <c r="AY801" s="134"/>
      <c r="AZ801" s="134"/>
      <c r="BA801" s="134"/>
      <c r="BB801" s="134"/>
      <c r="BC801" s="134"/>
      <c r="BD801" s="134"/>
      <c r="BE801" s="134"/>
      <c r="BF801" s="134"/>
      <c r="BG801" s="134"/>
      <c r="BH801" s="134"/>
      <c r="BI801" s="134"/>
      <c r="BJ801" s="134"/>
      <c r="BK801" s="134"/>
      <c r="BL801" s="134"/>
      <c r="BM801" s="135"/>
      <c r="BN801" s="136" t="n">
        <f aca="false">+MAX($D$3,DATOS_[[#This Row],[Fecha Inicio Sit. Contract.]])</f>
        <v>0</v>
      </c>
      <c r="BO801" s="136" t="n">
        <f aca="false">+MIN($D$4,DATOS_[[#This Row],[Fecha Fin Sit. Contract.]])</f>
        <v>0</v>
      </c>
      <c r="BP801" s="137" t="n">
        <f aca="false">+DATOS_[[#This Row],[% de jornada]]*IF(DATOS_[[#This Row],[% jornada reducida]]="",1,DATOS_[[#This Row],[% jornada reducida]])</f>
        <v>0</v>
      </c>
      <c r="BQ801" s="137" t="n">
        <f aca="false">+(DATOS_[[#This Row],[F.fin.cal]]-DATOS_[[#This Row],[F.ini.cal]]+1)/($D$4-$D$3+1)</f>
        <v>1</v>
      </c>
      <c r="BR801" s="137" t="str">
        <f aca="false">IF(OR(AND(DATOS_[[#This Row],[Fecha Fin Contrato]]&lt;$D$3,DATOS_[[#This Row],[Fecha Fin Contrato]]&lt;&gt;""),DATOS_[[#This Row],[Fecha de Contratación]]&gt;$D$4),"Fuera","Dentro")</f>
        <v>Dentro</v>
      </c>
      <c r="BS801" s="137" t="str">
        <f aca="false" t="array" ref="BS801:BS801">IF(MAX(IF(DATOS_[id]=DATOS_[[#This Row],[id]],DATOS_[F.fin.cal]))=DATOS_[[#This Row],[F.fin.cal]],"Sí","NO")</f>
        <v>Sí</v>
      </c>
      <c r="BT801" s="137" t="str">
        <f aca="false">IF(AND(DATOS_[[#This Row],[% normaliz]]&lt;&gt;1,DATOS_[[#This Row],[% anualiz]]=1),"Sí","NO")</f>
        <v>Sí</v>
      </c>
      <c r="BU801" s="137" t="str">
        <f aca="false">IF(AND(DATOS_[[#This Row],[% normaliz]]=1,DATOS_[[#This Row],[% anualiz]]&lt;&gt;1),"Sí","NO")</f>
        <v>NO</v>
      </c>
      <c r="BV801" s="137" t="str">
        <f aca="false">IF(AND(DATOS_[[#This Row],[% normaliz]]&lt;&gt;1,DATOS_[[#This Row],[% anualiz]]&lt;&gt;1),"Sí","NO")</f>
        <v>NO</v>
      </c>
      <c r="BW801" s="137" t="str">
        <f aca="false">+IF(DATOS_[[#This Row],[% normaliz]]*DATOS_[[#This Row],[% anualiz]]=1,"NO","Sí")</f>
        <v>Sí</v>
      </c>
      <c r="BX801" s="138" t="e">
        <f aca="false">(DATOS_[[#This Row],[S.BASE]]*(1/DATOS_[[#This Row],[% normaliz]])*(1/DATOS_[[#This Row],[% anualiz]]))*IF(DATOS_[[#This Row],[Check Equiparado]]="Sí",1,0)</f>
        <v>#DIV/0!</v>
      </c>
      <c r="BY8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1" s="138" t="e">
        <f aca="false">+DATOS_[[#This Row],[SALARIO BASE Eq]]+DATOS_[[#This Row],[Tot COMPL.SAL Eq]]</f>
        <v>#DIV/0!</v>
      </c>
      <c r="CA801" s="138" t="e">
        <f aca="false" t="array" ref="CA801:CA8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1" s="138" t="e">
        <f aca="false">+DATOS_[[#This Row],[TOTAL SALARIO Eq]]+DATOS_[[#This Row],[Tot Extrasalarial Eq]]</f>
        <v>#DIV/0!</v>
      </c>
      <c r="CC801" s="139" t="n">
        <f aca="false">DATOS_[[#This Row],[S.BASE]]</f>
        <v>0</v>
      </c>
      <c r="CD801" s="139" t="n">
        <f aca="false">+SUM(DATOS_[[#This Row],[Conc.Sal.01]:[Conc.Sal.30]])</f>
        <v>0</v>
      </c>
      <c r="CE801" s="139" t="n">
        <f aca="false">+DATOS_[[#This Row],[SALARIO BASE Ef]]+DATOS_[[#This Row],[Tot COMPL.SAL Ef]]</f>
        <v>0</v>
      </c>
      <c r="CF801" s="139" t="n">
        <f aca="false">+SUM(DATOS_[[#This Row],[C.Extra.01]:[C.Extra.05]])</f>
        <v>0</v>
      </c>
      <c r="CG801" s="139" t="n">
        <f aca="false">+DATOS_[[#This Row],[TOTAL SALARIO Ef]]+DATOS_[[#This Row],[Tot Extrasalarial Ef]]</f>
        <v>0</v>
      </c>
      <c r="CH801" s="140" t="n">
        <f aca="false">MIN(IF(DATOS_[[#This Row],[Fecha Fin Contrato]]="",$D$4,DATOS_[[#This Row],[Fecha Fin Contrato]]),$D$4)-MAX(DATOS_[[#This Row],[Fecha de Contratación]],$D$3)+1</f>
        <v>1</v>
      </c>
      <c r="CI801" s="141" t="str">
        <f aca="false">IF(COUNTIFS(DATOS_[id],DATOS_[[#This Row],[id]])&gt;1,DATOS_[[#This Row],[id]],"")</f>
        <v/>
      </c>
      <c r="CJ801" s="141" t="n">
        <f aca="false">(Inicio!$G$10-DATOS_[[#This Row],[Fecha Nacimiento]])/365.25</f>
        <v>0</v>
      </c>
      <c r="CK801" s="141" t="n">
        <f aca="false">(Inicio!$G$10-DATOS_[[#This Row],[Fecha de Antigüedad]])/365.25</f>
        <v>0</v>
      </c>
      <c r="CL801" s="141" t="e">
        <f aca="false">+VLOOKUP(DATOS_[[#This Row],[Clave de Contrato]],TblTiposContrato13[],3,0)</f>
        <v>#N/A</v>
      </c>
      <c r="CM801" s="141" t="e">
        <f aca="false">+VLOOKUP(DATOS_[[#This Row],[Clave de Contrato]],TblTiposContrato13[],4,0)</f>
        <v>#N/A</v>
      </c>
      <c r="CN801" s="141" t="str">
        <f aca="false">VLOOKUP(DATOS_[[#This Row],[Edad]],CONTRATOS!TblRngEdad,2,1)</f>
        <v>20  o menos</v>
      </c>
      <c r="CO801" s="141" t="str">
        <f aca="false">VLOOKUP(DATOS_[[#This Row],[Antigüedad]],TblRngAntg14[],2,1)</f>
        <v>0 a 1 años</v>
      </c>
    </row>
    <row r="802" customFormat="false" ht="13.8" hidden="false" customHeight="false" outlineLevel="0" collapsed="false">
      <c r="D802" s="128"/>
      <c r="E802" s="129"/>
      <c r="F802" s="129"/>
      <c r="G802" s="129"/>
      <c r="H802" s="130"/>
      <c r="I802" s="131"/>
      <c r="J802" s="128"/>
      <c r="K802" s="132"/>
      <c r="L802" s="132"/>
      <c r="M802" s="133"/>
      <c r="N802" s="133"/>
      <c r="O802" s="133"/>
      <c r="P802" s="129"/>
      <c r="Z802" s="75"/>
      <c r="AA802" s="76"/>
      <c r="AB802" s="76"/>
      <c r="AC802" s="129"/>
      <c r="AD802" s="134"/>
      <c r="AE802" s="134"/>
      <c r="AF802" s="134"/>
      <c r="AG802" s="134"/>
      <c r="AH802" s="134"/>
      <c r="AI802" s="134"/>
      <c r="AJ802" s="134"/>
      <c r="AK802" s="134"/>
      <c r="AL802" s="134"/>
      <c r="AM802" s="134"/>
      <c r="AN802" s="134"/>
      <c r="AO802" s="134"/>
      <c r="AP802" s="134"/>
      <c r="AQ802" s="134"/>
      <c r="AR802" s="134"/>
      <c r="AS802" s="134"/>
      <c r="AT802" s="134"/>
      <c r="AU802" s="134"/>
      <c r="AV802" s="134"/>
      <c r="AW802" s="134"/>
      <c r="AX802" s="134"/>
      <c r="AY802" s="134"/>
      <c r="AZ802" s="134"/>
      <c r="BA802" s="134"/>
      <c r="BB802" s="134"/>
      <c r="BC802" s="134"/>
      <c r="BD802" s="134"/>
      <c r="BE802" s="134"/>
      <c r="BF802" s="134"/>
      <c r="BG802" s="134"/>
      <c r="BH802" s="134"/>
      <c r="BI802" s="134"/>
      <c r="BJ802" s="134"/>
      <c r="BK802" s="134"/>
      <c r="BL802" s="134"/>
      <c r="BM802" s="135"/>
      <c r="BN802" s="136" t="n">
        <f aca="false">+MAX($D$3,DATOS_[[#This Row],[Fecha Inicio Sit. Contract.]])</f>
        <v>0</v>
      </c>
      <c r="BO802" s="136" t="n">
        <f aca="false">+MIN($D$4,DATOS_[[#This Row],[Fecha Fin Sit. Contract.]])</f>
        <v>0</v>
      </c>
      <c r="BP802" s="137" t="n">
        <f aca="false">+DATOS_[[#This Row],[% de jornada]]*IF(DATOS_[[#This Row],[% jornada reducida]]="",1,DATOS_[[#This Row],[% jornada reducida]])</f>
        <v>0</v>
      </c>
      <c r="BQ802" s="137" t="n">
        <f aca="false">+(DATOS_[[#This Row],[F.fin.cal]]-DATOS_[[#This Row],[F.ini.cal]]+1)/($D$4-$D$3+1)</f>
        <v>1</v>
      </c>
      <c r="BR802" s="137" t="str">
        <f aca="false">IF(OR(AND(DATOS_[[#This Row],[Fecha Fin Contrato]]&lt;$D$3,DATOS_[[#This Row],[Fecha Fin Contrato]]&lt;&gt;""),DATOS_[[#This Row],[Fecha de Contratación]]&gt;$D$4),"Fuera","Dentro")</f>
        <v>Dentro</v>
      </c>
      <c r="BS802" s="137" t="str">
        <f aca="false" t="array" ref="BS802:BS802">IF(MAX(IF(DATOS_[id]=DATOS_[[#This Row],[id]],DATOS_[F.fin.cal]))=DATOS_[[#This Row],[F.fin.cal]],"Sí","NO")</f>
        <v>Sí</v>
      </c>
      <c r="BT802" s="137" t="str">
        <f aca="false">IF(AND(DATOS_[[#This Row],[% normaliz]]&lt;&gt;1,DATOS_[[#This Row],[% anualiz]]=1),"Sí","NO")</f>
        <v>Sí</v>
      </c>
      <c r="BU802" s="137" t="str">
        <f aca="false">IF(AND(DATOS_[[#This Row],[% normaliz]]=1,DATOS_[[#This Row],[% anualiz]]&lt;&gt;1),"Sí","NO")</f>
        <v>NO</v>
      </c>
      <c r="BV802" s="137" t="str">
        <f aca="false">IF(AND(DATOS_[[#This Row],[% normaliz]]&lt;&gt;1,DATOS_[[#This Row],[% anualiz]]&lt;&gt;1),"Sí","NO")</f>
        <v>NO</v>
      </c>
      <c r="BW802" s="137" t="str">
        <f aca="false">+IF(DATOS_[[#This Row],[% normaliz]]*DATOS_[[#This Row],[% anualiz]]=1,"NO","Sí")</f>
        <v>Sí</v>
      </c>
      <c r="BX802" s="138" t="e">
        <f aca="false">(DATOS_[[#This Row],[S.BASE]]*(1/DATOS_[[#This Row],[% normaliz]])*(1/DATOS_[[#This Row],[% anualiz]]))*IF(DATOS_[[#This Row],[Check Equiparado]]="Sí",1,0)</f>
        <v>#DIV/0!</v>
      </c>
      <c r="BY8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2" s="138" t="e">
        <f aca="false">+DATOS_[[#This Row],[SALARIO BASE Eq]]+DATOS_[[#This Row],[Tot COMPL.SAL Eq]]</f>
        <v>#DIV/0!</v>
      </c>
      <c r="CA802" s="138" t="e">
        <f aca="false" t="array" ref="CA802:CA8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2" s="138" t="e">
        <f aca="false">+DATOS_[[#This Row],[TOTAL SALARIO Eq]]+DATOS_[[#This Row],[Tot Extrasalarial Eq]]</f>
        <v>#DIV/0!</v>
      </c>
      <c r="CC802" s="139" t="n">
        <f aca="false">DATOS_[[#This Row],[S.BASE]]</f>
        <v>0</v>
      </c>
      <c r="CD802" s="139" t="n">
        <f aca="false">+SUM(DATOS_[[#This Row],[Conc.Sal.01]:[Conc.Sal.30]])</f>
        <v>0</v>
      </c>
      <c r="CE802" s="139" t="n">
        <f aca="false">+DATOS_[[#This Row],[SALARIO BASE Ef]]+DATOS_[[#This Row],[Tot COMPL.SAL Ef]]</f>
        <v>0</v>
      </c>
      <c r="CF802" s="139" t="n">
        <f aca="false">+SUM(DATOS_[[#This Row],[C.Extra.01]:[C.Extra.05]])</f>
        <v>0</v>
      </c>
      <c r="CG802" s="139" t="n">
        <f aca="false">+DATOS_[[#This Row],[TOTAL SALARIO Ef]]+DATOS_[[#This Row],[Tot Extrasalarial Ef]]</f>
        <v>0</v>
      </c>
      <c r="CH802" s="140" t="n">
        <f aca="false">MIN(IF(DATOS_[[#This Row],[Fecha Fin Contrato]]="",$D$4,DATOS_[[#This Row],[Fecha Fin Contrato]]),$D$4)-MAX(DATOS_[[#This Row],[Fecha de Contratación]],$D$3)+1</f>
        <v>1</v>
      </c>
      <c r="CI802" s="141" t="str">
        <f aca="false">IF(COUNTIFS(DATOS_[id],DATOS_[[#This Row],[id]])&gt;1,DATOS_[[#This Row],[id]],"")</f>
        <v/>
      </c>
      <c r="CJ802" s="141" t="n">
        <f aca="false">(Inicio!$G$10-DATOS_[[#This Row],[Fecha Nacimiento]])/365.25</f>
        <v>0</v>
      </c>
      <c r="CK802" s="141" t="n">
        <f aca="false">(Inicio!$G$10-DATOS_[[#This Row],[Fecha de Antigüedad]])/365.25</f>
        <v>0</v>
      </c>
      <c r="CL802" s="141" t="e">
        <f aca="false">+VLOOKUP(DATOS_[[#This Row],[Clave de Contrato]],TblTiposContrato13[],3,0)</f>
        <v>#N/A</v>
      </c>
      <c r="CM802" s="141" t="e">
        <f aca="false">+VLOOKUP(DATOS_[[#This Row],[Clave de Contrato]],TblTiposContrato13[],4,0)</f>
        <v>#N/A</v>
      </c>
      <c r="CN802" s="141" t="str">
        <f aca="false">VLOOKUP(DATOS_[[#This Row],[Edad]],CONTRATOS!TblRngEdad,2,1)</f>
        <v>20  o menos</v>
      </c>
      <c r="CO802" s="141" t="str">
        <f aca="false">VLOOKUP(DATOS_[[#This Row],[Antigüedad]],TblRngAntg14[],2,1)</f>
        <v>0 a 1 años</v>
      </c>
    </row>
    <row r="803" customFormat="false" ht="13.8" hidden="false" customHeight="false" outlineLevel="0" collapsed="false">
      <c r="D803" s="128"/>
      <c r="E803" s="129"/>
      <c r="F803" s="129"/>
      <c r="G803" s="129"/>
      <c r="H803" s="130"/>
      <c r="I803" s="131"/>
      <c r="J803" s="128"/>
      <c r="K803" s="132"/>
      <c r="L803" s="132"/>
      <c r="M803" s="133"/>
      <c r="N803" s="133"/>
      <c r="O803" s="133"/>
      <c r="P803" s="129"/>
      <c r="Z803" s="75"/>
      <c r="AA803" s="76"/>
      <c r="AB803" s="76"/>
      <c r="AC803" s="129"/>
      <c r="AD803" s="134"/>
      <c r="AE803" s="134"/>
      <c r="AF803" s="134"/>
      <c r="AG803" s="134"/>
      <c r="AH803" s="134"/>
      <c r="AI803" s="134"/>
      <c r="AJ803" s="134"/>
      <c r="AK803" s="134"/>
      <c r="AL803" s="134"/>
      <c r="AM803" s="134"/>
      <c r="AN803" s="134"/>
      <c r="AO803" s="134"/>
      <c r="AP803" s="134"/>
      <c r="AQ803" s="134"/>
      <c r="AR803" s="134"/>
      <c r="AS803" s="134"/>
      <c r="AT803" s="134"/>
      <c r="AU803" s="134"/>
      <c r="AV803" s="134"/>
      <c r="AW803" s="134"/>
      <c r="AX803" s="134"/>
      <c r="AY803" s="134"/>
      <c r="AZ803" s="134"/>
      <c r="BA803" s="134"/>
      <c r="BB803" s="134"/>
      <c r="BC803" s="134"/>
      <c r="BD803" s="134"/>
      <c r="BE803" s="134"/>
      <c r="BF803" s="134"/>
      <c r="BG803" s="134"/>
      <c r="BH803" s="134"/>
      <c r="BI803" s="134"/>
      <c r="BJ803" s="134"/>
      <c r="BK803" s="134"/>
      <c r="BL803" s="134"/>
      <c r="BM803" s="135"/>
      <c r="BN803" s="136" t="n">
        <f aca="false">+MAX($D$3,DATOS_[[#This Row],[Fecha Inicio Sit. Contract.]])</f>
        <v>0</v>
      </c>
      <c r="BO803" s="136" t="n">
        <f aca="false">+MIN($D$4,DATOS_[[#This Row],[Fecha Fin Sit. Contract.]])</f>
        <v>0</v>
      </c>
      <c r="BP803" s="137" t="n">
        <f aca="false">+DATOS_[[#This Row],[% de jornada]]*IF(DATOS_[[#This Row],[% jornada reducida]]="",1,DATOS_[[#This Row],[% jornada reducida]])</f>
        <v>0</v>
      </c>
      <c r="BQ803" s="137" t="n">
        <f aca="false">+(DATOS_[[#This Row],[F.fin.cal]]-DATOS_[[#This Row],[F.ini.cal]]+1)/($D$4-$D$3+1)</f>
        <v>1</v>
      </c>
      <c r="BR803" s="137" t="str">
        <f aca="false">IF(OR(AND(DATOS_[[#This Row],[Fecha Fin Contrato]]&lt;$D$3,DATOS_[[#This Row],[Fecha Fin Contrato]]&lt;&gt;""),DATOS_[[#This Row],[Fecha de Contratación]]&gt;$D$4),"Fuera","Dentro")</f>
        <v>Dentro</v>
      </c>
      <c r="BS803" s="137" t="str">
        <f aca="false" t="array" ref="BS803:BS803">IF(MAX(IF(DATOS_[id]=DATOS_[[#This Row],[id]],DATOS_[F.fin.cal]))=DATOS_[[#This Row],[F.fin.cal]],"Sí","NO")</f>
        <v>Sí</v>
      </c>
      <c r="BT803" s="137" t="str">
        <f aca="false">IF(AND(DATOS_[[#This Row],[% normaliz]]&lt;&gt;1,DATOS_[[#This Row],[% anualiz]]=1),"Sí","NO")</f>
        <v>Sí</v>
      </c>
      <c r="BU803" s="137" t="str">
        <f aca="false">IF(AND(DATOS_[[#This Row],[% normaliz]]=1,DATOS_[[#This Row],[% anualiz]]&lt;&gt;1),"Sí","NO")</f>
        <v>NO</v>
      </c>
      <c r="BV803" s="137" t="str">
        <f aca="false">IF(AND(DATOS_[[#This Row],[% normaliz]]&lt;&gt;1,DATOS_[[#This Row],[% anualiz]]&lt;&gt;1),"Sí","NO")</f>
        <v>NO</v>
      </c>
      <c r="BW803" s="137" t="str">
        <f aca="false">+IF(DATOS_[[#This Row],[% normaliz]]*DATOS_[[#This Row],[% anualiz]]=1,"NO","Sí")</f>
        <v>Sí</v>
      </c>
      <c r="BX803" s="138" t="e">
        <f aca="false">(DATOS_[[#This Row],[S.BASE]]*(1/DATOS_[[#This Row],[% normaliz]])*(1/DATOS_[[#This Row],[% anualiz]]))*IF(DATOS_[[#This Row],[Check Equiparado]]="Sí",1,0)</f>
        <v>#DIV/0!</v>
      </c>
      <c r="BY8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3" s="138" t="e">
        <f aca="false">+DATOS_[[#This Row],[SALARIO BASE Eq]]+DATOS_[[#This Row],[Tot COMPL.SAL Eq]]</f>
        <v>#DIV/0!</v>
      </c>
      <c r="CA803" s="138" t="e">
        <f aca="false" t="array" ref="CA803:CA8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3" s="138" t="e">
        <f aca="false">+DATOS_[[#This Row],[TOTAL SALARIO Eq]]+DATOS_[[#This Row],[Tot Extrasalarial Eq]]</f>
        <v>#DIV/0!</v>
      </c>
      <c r="CC803" s="139" t="n">
        <f aca="false">DATOS_[[#This Row],[S.BASE]]</f>
        <v>0</v>
      </c>
      <c r="CD803" s="139" t="n">
        <f aca="false">+SUM(DATOS_[[#This Row],[Conc.Sal.01]:[Conc.Sal.30]])</f>
        <v>0</v>
      </c>
      <c r="CE803" s="139" t="n">
        <f aca="false">+DATOS_[[#This Row],[SALARIO BASE Ef]]+DATOS_[[#This Row],[Tot COMPL.SAL Ef]]</f>
        <v>0</v>
      </c>
      <c r="CF803" s="139" t="n">
        <f aca="false">+SUM(DATOS_[[#This Row],[C.Extra.01]:[C.Extra.05]])</f>
        <v>0</v>
      </c>
      <c r="CG803" s="139" t="n">
        <f aca="false">+DATOS_[[#This Row],[TOTAL SALARIO Ef]]+DATOS_[[#This Row],[Tot Extrasalarial Ef]]</f>
        <v>0</v>
      </c>
      <c r="CH803" s="140" t="n">
        <f aca="false">MIN(IF(DATOS_[[#This Row],[Fecha Fin Contrato]]="",$D$4,DATOS_[[#This Row],[Fecha Fin Contrato]]),$D$4)-MAX(DATOS_[[#This Row],[Fecha de Contratación]],$D$3)+1</f>
        <v>1</v>
      </c>
      <c r="CI803" s="141" t="str">
        <f aca="false">IF(COUNTIFS(DATOS_[id],DATOS_[[#This Row],[id]])&gt;1,DATOS_[[#This Row],[id]],"")</f>
        <v/>
      </c>
      <c r="CJ803" s="141" t="n">
        <f aca="false">(Inicio!$G$10-DATOS_[[#This Row],[Fecha Nacimiento]])/365.25</f>
        <v>0</v>
      </c>
      <c r="CK803" s="141" t="n">
        <f aca="false">(Inicio!$G$10-DATOS_[[#This Row],[Fecha de Antigüedad]])/365.25</f>
        <v>0</v>
      </c>
      <c r="CL803" s="141" t="e">
        <f aca="false">+VLOOKUP(DATOS_[[#This Row],[Clave de Contrato]],TblTiposContrato13[],3,0)</f>
        <v>#N/A</v>
      </c>
      <c r="CM803" s="141" t="e">
        <f aca="false">+VLOOKUP(DATOS_[[#This Row],[Clave de Contrato]],TblTiposContrato13[],4,0)</f>
        <v>#N/A</v>
      </c>
      <c r="CN803" s="141" t="str">
        <f aca="false">VLOOKUP(DATOS_[[#This Row],[Edad]],CONTRATOS!TblRngEdad,2,1)</f>
        <v>20  o menos</v>
      </c>
      <c r="CO803" s="141" t="str">
        <f aca="false">VLOOKUP(DATOS_[[#This Row],[Antigüedad]],TblRngAntg14[],2,1)</f>
        <v>0 a 1 años</v>
      </c>
    </row>
    <row r="804" customFormat="false" ht="13.8" hidden="false" customHeight="false" outlineLevel="0" collapsed="false">
      <c r="D804" s="128"/>
      <c r="E804" s="129"/>
      <c r="F804" s="129"/>
      <c r="G804" s="129"/>
      <c r="H804" s="130"/>
      <c r="I804" s="131"/>
      <c r="J804" s="128"/>
      <c r="K804" s="132"/>
      <c r="L804" s="132"/>
      <c r="M804" s="133"/>
      <c r="N804" s="133"/>
      <c r="O804" s="133"/>
      <c r="P804" s="129"/>
      <c r="Z804" s="75"/>
      <c r="AA804" s="76"/>
      <c r="AB804" s="76"/>
      <c r="AC804" s="129"/>
      <c r="AD804" s="134"/>
      <c r="AE804" s="134"/>
      <c r="AF804" s="134"/>
      <c r="AG804" s="134"/>
      <c r="AH804" s="134"/>
      <c r="AI804" s="134"/>
      <c r="AJ804" s="134"/>
      <c r="AK804" s="134"/>
      <c r="AL804" s="134"/>
      <c r="AM804" s="134"/>
      <c r="AN804" s="134"/>
      <c r="AO804" s="134"/>
      <c r="AP804" s="134"/>
      <c r="AQ804" s="134"/>
      <c r="AR804" s="134"/>
      <c r="AS804" s="134"/>
      <c r="AT804" s="134"/>
      <c r="AU804" s="134"/>
      <c r="AV804" s="134"/>
      <c r="AW804" s="134"/>
      <c r="AX804" s="134"/>
      <c r="AY804" s="134"/>
      <c r="AZ804" s="134"/>
      <c r="BA804" s="134"/>
      <c r="BB804" s="134"/>
      <c r="BC804" s="134"/>
      <c r="BD804" s="134"/>
      <c r="BE804" s="134"/>
      <c r="BF804" s="134"/>
      <c r="BG804" s="134"/>
      <c r="BH804" s="134"/>
      <c r="BI804" s="134"/>
      <c r="BJ804" s="134"/>
      <c r="BK804" s="134"/>
      <c r="BL804" s="134"/>
      <c r="BM804" s="135"/>
      <c r="BN804" s="136" t="n">
        <f aca="false">+MAX($D$3,DATOS_[[#This Row],[Fecha Inicio Sit. Contract.]])</f>
        <v>0</v>
      </c>
      <c r="BO804" s="136" t="n">
        <f aca="false">+MIN($D$4,DATOS_[[#This Row],[Fecha Fin Sit. Contract.]])</f>
        <v>0</v>
      </c>
      <c r="BP804" s="137" t="n">
        <f aca="false">+DATOS_[[#This Row],[% de jornada]]*IF(DATOS_[[#This Row],[% jornada reducida]]="",1,DATOS_[[#This Row],[% jornada reducida]])</f>
        <v>0</v>
      </c>
      <c r="BQ804" s="137" t="n">
        <f aca="false">+(DATOS_[[#This Row],[F.fin.cal]]-DATOS_[[#This Row],[F.ini.cal]]+1)/($D$4-$D$3+1)</f>
        <v>1</v>
      </c>
      <c r="BR804" s="137" t="str">
        <f aca="false">IF(OR(AND(DATOS_[[#This Row],[Fecha Fin Contrato]]&lt;$D$3,DATOS_[[#This Row],[Fecha Fin Contrato]]&lt;&gt;""),DATOS_[[#This Row],[Fecha de Contratación]]&gt;$D$4),"Fuera","Dentro")</f>
        <v>Dentro</v>
      </c>
      <c r="BS804" s="137" t="str">
        <f aca="false" t="array" ref="BS804:BS804">IF(MAX(IF(DATOS_[id]=DATOS_[[#This Row],[id]],DATOS_[F.fin.cal]))=DATOS_[[#This Row],[F.fin.cal]],"Sí","NO")</f>
        <v>Sí</v>
      </c>
      <c r="BT804" s="137" t="str">
        <f aca="false">IF(AND(DATOS_[[#This Row],[% normaliz]]&lt;&gt;1,DATOS_[[#This Row],[% anualiz]]=1),"Sí","NO")</f>
        <v>Sí</v>
      </c>
      <c r="BU804" s="137" t="str">
        <f aca="false">IF(AND(DATOS_[[#This Row],[% normaliz]]=1,DATOS_[[#This Row],[% anualiz]]&lt;&gt;1),"Sí","NO")</f>
        <v>NO</v>
      </c>
      <c r="BV804" s="137" t="str">
        <f aca="false">IF(AND(DATOS_[[#This Row],[% normaliz]]&lt;&gt;1,DATOS_[[#This Row],[% anualiz]]&lt;&gt;1),"Sí","NO")</f>
        <v>NO</v>
      </c>
      <c r="BW804" s="137" t="str">
        <f aca="false">+IF(DATOS_[[#This Row],[% normaliz]]*DATOS_[[#This Row],[% anualiz]]=1,"NO","Sí")</f>
        <v>Sí</v>
      </c>
      <c r="BX804" s="138" t="e">
        <f aca="false">(DATOS_[[#This Row],[S.BASE]]*(1/DATOS_[[#This Row],[% normaliz]])*(1/DATOS_[[#This Row],[% anualiz]]))*IF(DATOS_[[#This Row],[Check Equiparado]]="Sí",1,0)</f>
        <v>#DIV/0!</v>
      </c>
      <c r="BY8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4" s="138" t="e">
        <f aca="false">+DATOS_[[#This Row],[SALARIO BASE Eq]]+DATOS_[[#This Row],[Tot COMPL.SAL Eq]]</f>
        <v>#DIV/0!</v>
      </c>
      <c r="CA804" s="138" t="e">
        <f aca="false" t="array" ref="CA804:CA8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4" s="138" t="e">
        <f aca="false">+DATOS_[[#This Row],[TOTAL SALARIO Eq]]+DATOS_[[#This Row],[Tot Extrasalarial Eq]]</f>
        <v>#DIV/0!</v>
      </c>
      <c r="CC804" s="139" t="n">
        <f aca="false">DATOS_[[#This Row],[S.BASE]]</f>
        <v>0</v>
      </c>
      <c r="CD804" s="139" t="n">
        <f aca="false">+SUM(DATOS_[[#This Row],[Conc.Sal.01]:[Conc.Sal.30]])</f>
        <v>0</v>
      </c>
      <c r="CE804" s="139" t="n">
        <f aca="false">+DATOS_[[#This Row],[SALARIO BASE Ef]]+DATOS_[[#This Row],[Tot COMPL.SAL Ef]]</f>
        <v>0</v>
      </c>
      <c r="CF804" s="139" t="n">
        <f aca="false">+SUM(DATOS_[[#This Row],[C.Extra.01]:[C.Extra.05]])</f>
        <v>0</v>
      </c>
      <c r="CG804" s="139" t="n">
        <f aca="false">+DATOS_[[#This Row],[TOTAL SALARIO Ef]]+DATOS_[[#This Row],[Tot Extrasalarial Ef]]</f>
        <v>0</v>
      </c>
      <c r="CH804" s="140" t="n">
        <f aca="false">MIN(IF(DATOS_[[#This Row],[Fecha Fin Contrato]]="",$D$4,DATOS_[[#This Row],[Fecha Fin Contrato]]),$D$4)-MAX(DATOS_[[#This Row],[Fecha de Contratación]],$D$3)+1</f>
        <v>1</v>
      </c>
      <c r="CI804" s="141" t="str">
        <f aca="false">IF(COUNTIFS(DATOS_[id],DATOS_[[#This Row],[id]])&gt;1,DATOS_[[#This Row],[id]],"")</f>
        <v/>
      </c>
      <c r="CJ804" s="141" t="n">
        <f aca="false">(Inicio!$G$10-DATOS_[[#This Row],[Fecha Nacimiento]])/365.25</f>
        <v>0</v>
      </c>
      <c r="CK804" s="141" t="n">
        <f aca="false">(Inicio!$G$10-DATOS_[[#This Row],[Fecha de Antigüedad]])/365.25</f>
        <v>0</v>
      </c>
      <c r="CL804" s="141" t="e">
        <f aca="false">+VLOOKUP(DATOS_[[#This Row],[Clave de Contrato]],TblTiposContrato13[],3,0)</f>
        <v>#N/A</v>
      </c>
      <c r="CM804" s="141" t="e">
        <f aca="false">+VLOOKUP(DATOS_[[#This Row],[Clave de Contrato]],TblTiposContrato13[],4,0)</f>
        <v>#N/A</v>
      </c>
      <c r="CN804" s="141" t="str">
        <f aca="false">VLOOKUP(DATOS_[[#This Row],[Edad]],CONTRATOS!TblRngEdad,2,1)</f>
        <v>20  o menos</v>
      </c>
      <c r="CO804" s="141" t="str">
        <f aca="false">VLOOKUP(DATOS_[[#This Row],[Antigüedad]],TblRngAntg14[],2,1)</f>
        <v>0 a 1 años</v>
      </c>
    </row>
    <row r="805" customFormat="false" ht="13.8" hidden="false" customHeight="false" outlineLevel="0" collapsed="false">
      <c r="D805" s="128"/>
      <c r="E805" s="129"/>
      <c r="F805" s="129"/>
      <c r="G805" s="129"/>
      <c r="H805" s="130"/>
      <c r="I805" s="131"/>
      <c r="J805" s="128"/>
      <c r="K805" s="132"/>
      <c r="L805" s="132"/>
      <c r="M805" s="133"/>
      <c r="N805" s="133"/>
      <c r="O805" s="133"/>
      <c r="P805" s="129"/>
      <c r="Z805" s="75"/>
      <c r="AA805" s="76"/>
      <c r="AB805" s="76"/>
      <c r="AC805" s="129"/>
      <c r="AD805" s="134"/>
      <c r="AE805" s="134"/>
      <c r="AF805" s="134"/>
      <c r="AG805" s="134"/>
      <c r="AH805" s="134"/>
      <c r="AI805" s="134"/>
      <c r="AJ805" s="134"/>
      <c r="AK805" s="134"/>
      <c r="AL805" s="134"/>
      <c r="AM805" s="134"/>
      <c r="AN805" s="134"/>
      <c r="AO805" s="134"/>
      <c r="AP805" s="134"/>
      <c r="AQ805" s="134"/>
      <c r="AR805" s="134"/>
      <c r="AS805" s="134"/>
      <c r="AT805" s="134"/>
      <c r="AU805" s="134"/>
      <c r="AV805" s="134"/>
      <c r="AW805" s="134"/>
      <c r="AX805" s="134"/>
      <c r="AY805" s="134"/>
      <c r="AZ805" s="134"/>
      <c r="BA805" s="134"/>
      <c r="BB805" s="134"/>
      <c r="BC805" s="134"/>
      <c r="BD805" s="134"/>
      <c r="BE805" s="134"/>
      <c r="BF805" s="134"/>
      <c r="BG805" s="134"/>
      <c r="BH805" s="134"/>
      <c r="BI805" s="134"/>
      <c r="BJ805" s="134"/>
      <c r="BK805" s="134"/>
      <c r="BL805" s="134"/>
      <c r="BM805" s="135"/>
      <c r="BN805" s="136" t="n">
        <f aca="false">+MAX($D$3,DATOS_[[#This Row],[Fecha Inicio Sit. Contract.]])</f>
        <v>0</v>
      </c>
      <c r="BO805" s="136" t="n">
        <f aca="false">+MIN($D$4,DATOS_[[#This Row],[Fecha Fin Sit. Contract.]])</f>
        <v>0</v>
      </c>
      <c r="BP805" s="137" t="n">
        <f aca="false">+DATOS_[[#This Row],[% de jornada]]*IF(DATOS_[[#This Row],[% jornada reducida]]="",1,DATOS_[[#This Row],[% jornada reducida]])</f>
        <v>0</v>
      </c>
      <c r="BQ805" s="137" t="n">
        <f aca="false">+(DATOS_[[#This Row],[F.fin.cal]]-DATOS_[[#This Row],[F.ini.cal]]+1)/($D$4-$D$3+1)</f>
        <v>1</v>
      </c>
      <c r="BR805" s="137" t="str">
        <f aca="false">IF(OR(AND(DATOS_[[#This Row],[Fecha Fin Contrato]]&lt;$D$3,DATOS_[[#This Row],[Fecha Fin Contrato]]&lt;&gt;""),DATOS_[[#This Row],[Fecha de Contratación]]&gt;$D$4),"Fuera","Dentro")</f>
        <v>Dentro</v>
      </c>
      <c r="BS805" s="137" t="str">
        <f aca="false" t="array" ref="BS805:BS805">IF(MAX(IF(DATOS_[id]=DATOS_[[#This Row],[id]],DATOS_[F.fin.cal]))=DATOS_[[#This Row],[F.fin.cal]],"Sí","NO")</f>
        <v>Sí</v>
      </c>
      <c r="BT805" s="137" t="str">
        <f aca="false">IF(AND(DATOS_[[#This Row],[% normaliz]]&lt;&gt;1,DATOS_[[#This Row],[% anualiz]]=1),"Sí","NO")</f>
        <v>Sí</v>
      </c>
      <c r="BU805" s="137" t="str">
        <f aca="false">IF(AND(DATOS_[[#This Row],[% normaliz]]=1,DATOS_[[#This Row],[% anualiz]]&lt;&gt;1),"Sí","NO")</f>
        <v>NO</v>
      </c>
      <c r="BV805" s="137" t="str">
        <f aca="false">IF(AND(DATOS_[[#This Row],[% normaliz]]&lt;&gt;1,DATOS_[[#This Row],[% anualiz]]&lt;&gt;1),"Sí","NO")</f>
        <v>NO</v>
      </c>
      <c r="BW805" s="137" t="str">
        <f aca="false">+IF(DATOS_[[#This Row],[% normaliz]]*DATOS_[[#This Row],[% anualiz]]=1,"NO","Sí")</f>
        <v>Sí</v>
      </c>
      <c r="BX805" s="138" t="e">
        <f aca="false">(DATOS_[[#This Row],[S.BASE]]*(1/DATOS_[[#This Row],[% normaliz]])*(1/DATOS_[[#This Row],[% anualiz]]))*IF(DATOS_[[#This Row],[Check Equiparado]]="Sí",1,0)</f>
        <v>#DIV/0!</v>
      </c>
      <c r="BY8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5" s="138" t="e">
        <f aca="false">+DATOS_[[#This Row],[SALARIO BASE Eq]]+DATOS_[[#This Row],[Tot COMPL.SAL Eq]]</f>
        <v>#DIV/0!</v>
      </c>
      <c r="CA805" s="138" t="e">
        <f aca="false" t="array" ref="CA805:CA8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5" s="138" t="e">
        <f aca="false">+DATOS_[[#This Row],[TOTAL SALARIO Eq]]+DATOS_[[#This Row],[Tot Extrasalarial Eq]]</f>
        <v>#DIV/0!</v>
      </c>
      <c r="CC805" s="139" t="n">
        <f aca="false">DATOS_[[#This Row],[S.BASE]]</f>
        <v>0</v>
      </c>
      <c r="CD805" s="139" t="n">
        <f aca="false">+SUM(DATOS_[[#This Row],[Conc.Sal.01]:[Conc.Sal.30]])</f>
        <v>0</v>
      </c>
      <c r="CE805" s="139" t="n">
        <f aca="false">+DATOS_[[#This Row],[SALARIO BASE Ef]]+DATOS_[[#This Row],[Tot COMPL.SAL Ef]]</f>
        <v>0</v>
      </c>
      <c r="CF805" s="139" t="n">
        <f aca="false">+SUM(DATOS_[[#This Row],[C.Extra.01]:[C.Extra.05]])</f>
        <v>0</v>
      </c>
      <c r="CG805" s="139" t="n">
        <f aca="false">+DATOS_[[#This Row],[TOTAL SALARIO Ef]]+DATOS_[[#This Row],[Tot Extrasalarial Ef]]</f>
        <v>0</v>
      </c>
      <c r="CH805" s="140" t="n">
        <f aca="false">MIN(IF(DATOS_[[#This Row],[Fecha Fin Contrato]]="",$D$4,DATOS_[[#This Row],[Fecha Fin Contrato]]),$D$4)-MAX(DATOS_[[#This Row],[Fecha de Contratación]],$D$3)+1</f>
        <v>1</v>
      </c>
      <c r="CI805" s="141" t="str">
        <f aca="false">IF(COUNTIFS(DATOS_[id],DATOS_[[#This Row],[id]])&gt;1,DATOS_[[#This Row],[id]],"")</f>
        <v/>
      </c>
      <c r="CJ805" s="141" t="n">
        <f aca="false">(Inicio!$G$10-DATOS_[[#This Row],[Fecha Nacimiento]])/365.25</f>
        <v>0</v>
      </c>
      <c r="CK805" s="141" t="n">
        <f aca="false">(Inicio!$G$10-DATOS_[[#This Row],[Fecha de Antigüedad]])/365.25</f>
        <v>0</v>
      </c>
      <c r="CL805" s="141" t="e">
        <f aca="false">+VLOOKUP(DATOS_[[#This Row],[Clave de Contrato]],TblTiposContrato13[],3,0)</f>
        <v>#N/A</v>
      </c>
      <c r="CM805" s="141" t="e">
        <f aca="false">+VLOOKUP(DATOS_[[#This Row],[Clave de Contrato]],TblTiposContrato13[],4,0)</f>
        <v>#N/A</v>
      </c>
      <c r="CN805" s="141" t="str">
        <f aca="false">VLOOKUP(DATOS_[[#This Row],[Edad]],CONTRATOS!TblRngEdad,2,1)</f>
        <v>20  o menos</v>
      </c>
      <c r="CO805" s="141" t="str">
        <f aca="false">VLOOKUP(DATOS_[[#This Row],[Antigüedad]],TblRngAntg14[],2,1)</f>
        <v>0 a 1 años</v>
      </c>
    </row>
    <row r="806" customFormat="false" ht="13.8" hidden="false" customHeight="false" outlineLevel="0" collapsed="false">
      <c r="D806" s="128"/>
      <c r="E806" s="129"/>
      <c r="F806" s="129"/>
      <c r="G806" s="129"/>
      <c r="H806" s="130"/>
      <c r="I806" s="131"/>
      <c r="J806" s="128"/>
      <c r="K806" s="132"/>
      <c r="L806" s="132"/>
      <c r="M806" s="133"/>
      <c r="N806" s="133"/>
      <c r="O806" s="133"/>
      <c r="P806" s="129"/>
      <c r="Z806" s="75"/>
      <c r="AA806" s="76"/>
      <c r="AB806" s="76"/>
      <c r="AC806" s="129"/>
      <c r="AD806" s="134"/>
      <c r="AE806" s="134"/>
      <c r="AF806" s="134"/>
      <c r="AG806" s="134"/>
      <c r="AH806" s="134"/>
      <c r="AI806" s="134"/>
      <c r="AJ806" s="134"/>
      <c r="AK806" s="134"/>
      <c r="AL806" s="134"/>
      <c r="AM806" s="134"/>
      <c r="AN806" s="134"/>
      <c r="AO806" s="134"/>
      <c r="AP806" s="134"/>
      <c r="AQ806" s="134"/>
      <c r="AR806" s="134"/>
      <c r="AS806" s="134"/>
      <c r="AT806" s="134"/>
      <c r="AU806" s="134"/>
      <c r="AV806" s="134"/>
      <c r="AW806" s="134"/>
      <c r="AX806" s="134"/>
      <c r="AY806" s="134"/>
      <c r="AZ806" s="134"/>
      <c r="BA806" s="134"/>
      <c r="BB806" s="134"/>
      <c r="BC806" s="134"/>
      <c r="BD806" s="134"/>
      <c r="BE806" s="134"/>
      <c r="BF806" s="134"/>
      <c r="BG806" s="134"/>
      <c r="BH806" s="134"/>
      <c r="BI806" s="134"/>
      <c r="BJ806" s="134"/>
      <c r="BK806" s="134"/>
      <c r="BL806" s="134"/>
      <c r="BM806" s="135"/>
      <c r="BN806" s="136" t="n">
        <f aca="false">+MAX($D$3,DATOS_[[#This Row],[Fecha Inicio Sit. Contract.]])</f>
        <v>0</v>
      </c>
      <c r="BO806" s="136" t="n">
        <f aca="false">+MIN($D$4,DATOS_[[#This Row],[Fecha Fin Sit. Contract.]])</f>
        <v>0</v>
      </c>
      <c r="BP806" s="137" t="n">
        <f aca="false">+DATOS_[[#This Row],[% de jornada]]*IF(DATOS_[[#This Row],[% jornada reducida]]="",1,DATOS_[[#This Row],[% jornada reducida]])</f>
        <v>0</v>
      </c>
      <c r="BQ806" s="137" t="n">
        <f aca="false">+(DATOS_[[#This Row],[F.fin.cal]]-DATOS_[[#This Row],[F.ini.cal]]+1)/($D$4-$D$3+1)</f>
        <v>1</v>
      </c>
      <c r="BR806" s="137" t="str">
        <f aca="false">IF(OR(AND(DATOS_[[#This Row],[Fecha Fin Contrato]]&lt;$D$3,DATOS_[[#This Row],[Fecha Fin Contrato]]&lt;&gt;""),DATOS_[[#This Row],[Fecha de Contratación]]&gt;$D$4),"Fuera","Dentro")</f>
        <v>Dentro</v>
      </c>
      <c r="BS806" s="137" t="str">
        <f aca="false" t="array" ref="BS806:BS806">IF(MAX(IF(DATOS_[id]=DATOS_[[#This Row],[id]],DATOS_[F.fin.cal]))=DATOS_[[#This Row],[F.fin.cal]],"Sí","NO")</f>
        <v>Sí</v>
      </c>
      <c r="BT806" s="137" t="str">
        <f aca="false">IF(AND(DATOS_[[#This Row],[% normaliz]]&lt;&gt;1,DATOS_[[#This Row],[% anualiz]]=1),"Sí","NO")</f>
        <v>Sí</v>
      </c>
      <c r="BU806" s="137" t="str">
        <f aca="false">IF(AND(DATOS_[[#This Row],[% normaliz]]=1,DATOS_[[#This Row],[% anualiz]]&lt;&gt;1),"Sí","NO")</f>
        <v>NO</v>
      </c>
      <c r="BV806" s="137" t="str">
        <f aca="false">IF(AND(DATOS_[[#This Row],[% normaliz]]&lt;&gt;1,DATOS_[[#This Row],[% anualiz]]&lt;&gt;1),"Sí","NO")</f>
        <v>NO</v>
      </c>
      <c r="BW806" s="137" t="str">
        <f aca="false">+IF(DATOS_[[#This Row],[% normaliz]]*DATOS_[[#This Row],[% anualiz]]=1,"NO","Sí")</f>
        <v>Sí</v>
      </c>
      <c r="BX806" s="138" t="e">
        <f aca="false">(DATOS_[[#This Row],[S.BASE]]*(1/DATOS_[[#This Row],[% normaliz]])*(1/DATOS_[[#This Row],[% anualiz]]))*IF(DATOS_[[#This Row],[Check Equiparado]]="Sí",1,0)</f>
        <v>#DIV/0!</v>
      </c>
      <c r="BY8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6" s="138" t="e">
        <f aca="false">+DATOS_[[#This Row],[SALARIO BASE Eq]]+DATOS_[[#This Row],[Tot COMPL.SAL Eq]]</f>
        <v>#DIV/0!</v>
      </c>
      <c r="CA806" s="138" t="e">
        <f aca="false" t="array" ref="CA806:CA8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6" s="138" t="e">
        <f aca="false">+DATOS_[[#This Row],[TOTAL SALARIO Eq]]+DATOS_[[#This Row],[Tot Extrasalarial Eq]]</f>
        <v>#DIV/0!</v>
      </c>
      <c r="CC806" s="139" t="n">
        <f aca="false">DATOS_[[#This Row],[S.BASE]]</f>
        <v>0</v>
      </c>
      <c r="CD806" s="139" t="n">
        <f aca="false">+SUM(DATOS_[[#This Row],[Conc.Sal.01]:[Conc.Sal.30]])</f>
        <v>0</v>
      </c>
      <c r="CE806" s="139" t="n">
        <f aca="false">+DATOS_[[#This Row],[SALARIO BASE Ef]]+DATOS_[[#This Row],[Tot COMPL.SAL Ef]]</f>
        <v>0</v>
      </c>
      <c r="CF806" s="139" t="n">
        <f aca="false">+SUM(DATOS_[[#This Row],[C.Extra.01]:[C.Extra.05]])</f>
        <v>0</v>
      </c>
      <c r="CG806" s="139" t="n">
        <f aca="false">+DATOS_[[#This Row],[TOTAL SALARIO Ef]]+DATOS_[[#This Row],[Tot Extrasalarial Ef]]</f>
        <v>0</v>
      </c>
      <c r="CH806" s="140" t="n">
        <f aca="false">MIN(IF(DATOS_[[#This Row],[Fecha Fin Contrato]]="",$D$4,DATOS_[[#This Row],[Fecha Fin Contrato]]),$D$4)-MAX(DATOS_[[#This Row],[Fecha de Contratación]],$D$3)+1</f>
        <v>1</v>
      </c>
      <c r="CI806" s="141" t="str">
        <f aca="false">IF(COUNTIFS(DATOS_[id],DATOS_[[#This Row],[id]])&gt;1,DATOS_[[#This Row],[id]],"")</f>
        <v/>
      </c>
      <c r="CJ806" s="141" t="n">
        <f aca="false">(Inicio!$G$10-DATOS_[[#This Row],[Fecha Nacimiento]])/365.25</f>
        <v>0</v>
      </c>
      <c r="CK806" s="141" t="n">
        <f aca="false">(Inicio!$G$10-DATOS_[[#This Row],[Fecha de Antigüedad]])/365.25</f>
        <v>0</v>
      </c>
      <c r="CL806" s="141" t="e">
        <f aca="false">+VLOOKUP(DATOS_[[#This Row],[Clave de Contrato]],TblTiposContrato13[],3,0)</f>
        <v>#N/A</v>
      </c>
      <c r="CM806" s="141" t="e">
        <f aca="false">+VLOOKUP(DATOS_[[#This Row],[Clave de Contrato]],TblTiposContrato13[],4,0)</f>
        <v>#N/A</v>
      </c>
      <c r="CN806" s="141" t="str">
        <f aca="false">VLOOKUP(DATOS_[[#This Row],[Edad]],CONTRATOS!TblRngEdad,2,1)</f>
        <v>20  o menos</v>
      </c>
      <c r="CO806" s="141" t="str">
        <f aca="false">VLOOKUP(DATOS_[[#This Row],[Antigüedad]],TblRngAntg14[],2,1)</f>
        <v>0 a 1 años</v>
      </c>
    </row>
    <row r="807" customFormat="false" ht="13.8" hidden="false" customHeight="false" outlineLevel="0" collapsed="false">
      <c r="D807" s="128"/>
      <c r="E807" s="129"/>
      <c r="F807" s="129"/>
      <c r="G807" s="129"/>
      <c r="H807" s="130"/>
      <c r="I807" s="131"/>
      <c r="J807" s="128"/>
      <c r="K807" s="132"/>
      <c r="L807" s="132"/>
      <c r="M807" s="133"/>
      <c r="N807" s="133"/>
      <c r="O807" s="133"/>
      <c r="P807" s="129"/>
      <c r="Z807" s="75"/>
      <c r="AA807" s="76"/>
      <c r="AB807" s="76"/>
      <c r="AC807" s="129"/>
      <c r="AD807" s="134"/>
      <c r="AE807" s="134"/>
      <c r="AF807" s="134"/>
      <c r="AG807" s="134"/>
      <c r="AH807" s="134"/>
      <c r="AI807" s="134"/>
      <c r="AJ807" s="134"/>
      <c r="AK807" s="134"/>
      <c r="AL807" s="134"/>
      <c r="AM807" s="134"/>
      <c r="AN807" s="134"/>
      <c r="AO807" s="134"/>
      <c r="AP807" s="134"/>
      <c r="AQ807" s="134"/>
      <c r="AR807" s="134"/>
      <c r="AS807" s="134"/>
      <c r="AT807" s="134"/>
      <c r="AU807" s="134"/>
      <c r="AV807" s="134"/>
      <c r="AW807" s="134"/>
      <c r="AX807" s="134"/>
      <c r="AY807" s="134"/>
      <c r="AZ807" s="134"/>
      <c r="BA807" s="134"/>
      <c r="BB807" s="134"/>
      <c r="BC807" s="134"/>
      <c r="BD807" s="134"/>
      <c r="BE807" s="134"/>
      <c r="BF807" s="134"/>
      <c r="BG807" s="134"/>
      <c r="BH807" s="134"/>
      <c r="BI807" s="134"/>
      <c r="BJ807" s="134"/>
      <c r="BK807" s="134"/>
      <c r="BL807" s="134"/>
      <c r="BM807" s="135"/>
      <c r="BN807" s="136" t="n">
        <f aca="false">+MAX($D$3,DATOS_[[#This Row],[Fecha Inicio Sit. Contract.]])</f>
        <v>0</v>
      </c>
      <c r="BO807" s="136" t="n">
        <f aca="false">+MIN($D$4,DATOS_[[#This Row],[Fecha Fin Sit. Contract.]])</f>
        <v>0</v>
      </c>
      <c r="BP807" s="137" t="n">
        <f aca="false">+DATOS_[[#This Row],[% de jornada]]*IF(DATOS_[[#This Row],[% jornada reducida]]="",1,DATOS_[[#This Row],[% jornada reducida]])</f>
        <v>0</v>
      </c>
      <c r="BQ807" s="137" t="n">
        <f aca="false">+(DATOS_[[#This Row],[F.fin.cal]]-DATOS_[[#This Row],[F.ini.cal]]+1)/($D$4-$D$3+1)</f>
        <v>1</v>
      </c>
      <c r="BR807" s="137" t="str">
        <f aca="false">IF(OR(AND(DATOS_[[#This Row],[Fecha Fin Contrato]]&lt;$D$3,DATOS_[[#This Row],[Fecha Fin Contrato]]&lt;&gt;""),DATOS_[[#This Row],[Fecha de Contratación]]&gt;$D$4),"Fuera","Dentro")</f>
        <v>Dentro</v>
      </c>
      <c r="BS807" s="137" t="str">
        <f aca="false" t="array" ref="BS807:BS807">IF(MAX(IF(DATOS_[id]=DATOS_[[#This Row],[id]],DATOS_[F.fin.cal]))=DATOS_[[#This Row],[F.fin.cal]],"Sí","NO")</f>
        <v>Sí</v>
      </c>
      <c r="BT807" s="137" t="str">
        <f aca="false">IF(AND(DATOS_[[#This Row],[% normaliz]]&lt;&gt;1,DATOS_[[#This Row],[% anualiz]]=1),"Sí","NO")</f>
        <v>Sí</v>
      </c>
      <c r="BU807" s="137" t="str">
        <f aca="false">IF(AND(DATOS_[[#This Row],[% normaliz]]=1,DATOS_[[#This Row],[% anualiz]]&lt;&gt;1),"Sí","NO")</f>
        <v>NO</v>
      </c>
      <c r="BV807" s="137" t="str">
        <f aca="false">IF(AND(DATOS_[[#This Row],[% normaliz]]&lt;&gt;1,DATOS_[[#This Row],[% anualiz]]&lt;&gt;1),"Sí","NO")</f>
        <v>NO</v>
      </c>
      <c r="BW807" s="137" t="str">
        <f aca="false">+IF(DATOS_[[#This Row],[% normaliz]]*DATOS_[[#This Row],[% anualiz]]=1,"NO","Sí")</f>
        <v>Sí</v>
      </c>
      <c r="BX807" s="138" t="e">
        <f aca="false">(DATOS_[[#This Row],[S.BASE]]*(1/DATOS_[[#This Row],[% normaliz]])*(1/DATOS_[[#This Row],[% anualiz]]))*IF(DATOS_[[#This Row],[Check Equiparado]]="Sí",1,0)</f>
        <v>#DIV/0!</v>
      </c>
      <c r="BY8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7" s="138" t="e">
        <f aca="false">+DATOS_[[#This Row],[SALARIO BASE Eq]]+DATOS_[[#This Row],[Tot COMPL.SAL Eq]]</f>
        <v>#DIV/0!</v>
      </c>
      <c r="CA807" s="138" t="e">
        <f aca="false" t="array" ref="CA807:CA8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7" s="138" t="e">
        <f aca="false">+DATOS_[[#This Row],[TOTAL SALARIO Eq]]+DATOS_[[#This Row],[Tot Extrasalarial Eq]]</f>
        <v>#DIV/0!</v>
      </c>
      <c r="CC807" s="139" t="n">
        <f aca="false">DATOS_[[#This Row],[S.BASE]]</f>
        <v>0</v>
      </c>
      <c r="CD807" s="139" t="n">
        <f aca="false">+SUM(DATOS_[[#This Row],[Conc.Sal.01]:[Conc.Sal.30]])</f>
        <v>0</v>
      </c>
      <c r="CE807" s="139" t="n">
        <f aca="false">+DATOS_[[#This Row],[SALARIO BASE Ef]]+DATOS_[[#This Row],[Tot COMPL.SAL Ef]]</f>
        <v>0</v>
      </c>
      <c r="CF807" s="139" t="n">
        <f aca="false">+SUM(DATOS_[[#This Row],[C.Extra.01]:[C.Extra.05]])</f>
        <v>0</v>
      </c>
      <c r="CG807" s="139" t="n">
        <f aca="false">+DATOS_[[#This Row],[TOTAL SALARIO Ef]]+DATOS_[[#This Row],[Tot Extrasalarial Ef]]</f>
        <v>0</v>
      </c>
      <c r="CH807" s="140" t="n">
        <f aca="false">MIN(IF(DATOS_[[#This Row],[Fecha Fin Contrato]]="",$D$4,DATOS_[[#This Row],[Fecha Fin Contrato]]),$D$4)-MAX(DATOS_[[#This Row],[Fecha de Contratación]],$D$3)+1</f>
        <v>1</v>
      </c>
      <c r="CI807" s="141" t="str">
        <f aca="false">IF(COUNTIFS(DATOS_[id],DATOS_[[#This Row],[id]])&gt;1,DATOS_[[#This Row],[id]],"")</f>
        <v/>
      </c>
      <c r="CJ807" s="141" t="n">
        <f aca="false">(Inicio!$G$10-DATOS_[[#This Row],[Fecha Nacimiento]])/365.25</f>
        <v>0</v>
      </c>
      <c r="CK807" s="141" t="n">
        <f aca="false">(Inicio!$G$10-DATOS_[[#This Row],[Fecha de Antigüedad]])/365.25</f>
        <v>0</v>
      </c>
      <c r="CL807" s="141" t="e">
        <f aca="false">+VLOOKUP(DATOS_[[#This Row],[Clave de Contrato]],TblTiposContrato13[],3,0)</f>
        <v>#N/A</v>
      </c>
      <c r="CM807" s="141" t="e">
        <f aca="false">+VLOOKUP(DATOS_[[#This Row],[Clave de Contrato]],TblTiposContrato13[],4,0)</f>
        <v>#N/A</v>
      </c>
      <c r="CN807" s="141" t="str">
        <f aca="false">VLOOKUP(DATOS_[[#This Row],[Edad]],CONTRATOS!TblRngEdad,2,1)</f>
        <v>20  o menos</v>
      </c>
      <c r="CO807" s="141" t="str">
        <f aca="false">VLOOKUP(DATOS_[[#This Row],[Antigüedad]],TblRngAntg14[],2,1)</f>
        <v>0 a 1 años</v>
      </c>
    </row>
    <row r="808" customFormat="false" ht="13.8" hidden="false" customHeight="false" outlineLevel="0" collapsed="false">
      <c r="D808" s="128"/>
      <c r="E808" s="129"/>
      <c r="F808" s="129"/>
      <c r="G808" s="129"/>
      <c r="H808" s="130"/>
      <c r="I808" s="131"/>
      <c r="J808" s="128"/>
      <c r="K808" s="132"/>
      <c r="L808" s="132"/>
      <c r="M808" s="133"/>
      <c r="N808" s="133"/>
      <c r="O808" s="133"/>
      <c r="P808" s="129"/>
      <c r="Z808" s="75"/>
      <c r="AA808" s="76"/>
      <c r="AB808" s="76"/>
      <c r="AC808" s="129"/>
      <c r="AD808" s="134"/>
      <c r="AE808" s="134"/>
      <c r="AF808" s="134"/>
      <c r="AG808" s="134"/>
      <c r="AH808" s="134"/>
      <c r="AI808" s="134"/>
      <c r="AJ808" s="134"/>
      <c r="AK808" s="134"/>
      <c r="AL808" s="134"/>
      <c r="AM808" s="134"/>
      <c r="AN808" s="134"/>
      <c r="AO808" s="134"/>
      <c r="AP808" s="134"/>
      <c r="AQ808" s="134"/>
      <c r="AR808" s="134"/>
      <c r="AS808" s="134"/>
      <c r="AT808" s="134"/>
      <c r="AU808" s="134"/>
      <c r="AV808" s="134"/>
      <c r="AW808" s="134"/>
      <c r="AX808" s="134"/>
      <c r="AY808" s="134"/>
      <c r="AZ808" s="134"/>
      <c r="BA808" s="134"/>
      <c r="BB808" s="134"/>
      <c r="BC808" s="134"/>
      <c r="BD808" s="134"/>
      <c r="BE808" s="134"/>
      <c r="BF808" s="134"/>
      <c r="BG808" s="134"/>
      <c r="BH808" s="134"/>
      <c r="BI808" s="134"/>
      <c r="BJ808" s="134"/>
      <c r="BK808" s="134"/>
      <c r="BL808" s="134"/>
      <c r="BM808" s="135"/>
      <c r="BN808" s="136" t="n">
        <f aca="false">+MAX($D$3,DATOS_[[#This Row],[Fecha Inicio Sit. Contract.]])</f>
        <v>0</v>
      </c>
      <c r="BO808" s="136" t="n">
        <f aca="false">+MIN($D$4,DATOS_[[#This Row],[Fecha Fin Sit. Contract.]])</f>
        <v>0</v>
      </c>
      <c r="BP808" s="137" t="n">
        <f aca="false">+DATOS_[[#This Row],[% de jornada]]*IF(DATOS_[[#This Row],[% jornada reducida]]="",1,DATOS_[[#This Row],[% jornada reducida]])</f>
        <v>0</v>
      </c>
      <c r="BQ808" s="137" t="n">
        <f aca="false">+(DATOS_[[#This Row],[F.fin.cal]]-DATOS_[[#This Row],[F.ini.cal]]+1)/($D$4-$D$3+1)</f>
        <v>1</v>
      </c>
      <c r="BR808" s="137" t="str">
        <f aca="false">IF(OR(AND(DATOS_[[#This Row],[Fecha Fin Contrato]]&lt;$D$3,DATOS_[[#This Row],[Fecha Fin Contrato]]&lt;&gt;""),DATOS_[[#This Row],[Fecha de Contratación]]&gt;$D$4),"Fuera","Dentro")</f>
        <v>Dentro</v>
      </c>
      <c r="BS808" s="137" t="str">
        <f aca="false" t="array" ref="BS808:BS808">IF(MAX(IF(DATOS_[id]=DATOS_[[#This Row],[id]],DATOS_[F.fin.cal]))=DATOS_[[#This Row],[F.fin.cal]],"Sí","NO")</f>
        <v>Sí</v>
      </c>
      <c r="BT808" s="137" t="str">
        <f aca="false">IF(AND(DATOS_[[#This Row],[% normaliz]]&lt;&gt;1,DATOS_[[#This Row],[% anualiz]]=1),"Sí","NO")</f>
        <v>Sí</v>
      </c>
      <c r="BU808" s="137" t="str">
        <f aca="false">IF(AND(DATOS_[[#This Row],[% normaliz]]=1,DATOS_[[#This Row],[% anualiz]]&lt;&gt;1),"Sí","NO")</f>
        <v>NO</v>
      </c>
      <c r="BV808" s="137" t="str">
        <f aca="false">IF(AND(DATOS_[[#This Row],[% normaliz]]&lt;&gt;1,DATOS_[[#This Row],[% anualiz]]&lt;&gt;1),"Sí","NO")</f>
        <v>NO</v>
      </c>
      <c r="BW808" s="137" t="str">
        <f aca="false">+IF(DATOS_[[#This Row],[% normaliz]]*DATOS_[[#This Row],[% anualiz]]=1,"NO","Sí")</f>
        <v>Sí</v>
      </c>
      <c r="BX808" s="138" t="e">
        <f aca="false">(DATOS_[[#This Row],[S.BASE]]*(1/DATOS_[[#This Row],[% normaliz]])*(1/DATOS_[[#This Row],[% anualiz]]))*IF(DATOS_[[#This Row],[Check Equiparado]]="Sí",1,0)</f>
        <v>#DIV/0!</v>
      </c>
      <c r="BY8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8" s="138" t="e">
        <f aca="false">+DATOS_[[#This Row],[SALARIO BASE Eq]]+DATOS_[[#This Row],[Tot COMPL.SAL Eq]]</f>
        <v>#DIV/0!</v>
      </c>
      <c r="CA808" s="138" t="e">
        <f aca="false" t="array" ref="CA808:CA8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8" s="138" t="e">
        <f aca="false">+DATOS_[[#This Row],[TOTAL SALARIO Eq]]+DATOS_[[#This Row],[Tot Extrasalarial Eq]]</f>
        <v>#DIV/0!</v>
      </c>
      <c r="CC808" s="139" t="n">
        <f aca="false">DATOS_[[#This Row],[S.BASE]]</f>
        <v>0</v>
      </c>
      <c r="CD808" s="139" t="n">
        <f aca="false">+SUM(DATOS_[[#This Row],[Conc.Sal.01]:[Conc.Sal.30]])</f>
        <v>0</v>
      </c>
      <c r="CE808" s="139" t="n">
        <f aca="false">+DATOS_[[#This Row],[SALARIO BASE Ef]]+DATOS_[[#This Row],[Tot COMPL.SAL Ef]]</f>
        <v>0</v>
      </c>
      <c r="CF808" s="139" t="n">
        <f aca="false">+SUM(DATOS_[[#This Row],[C.Extra.01]:[C.Extra.05]])</f>
        <v>0</v>
      </c>
      <c r="CG808" s="139" t="n">
        <f aca="false">+DATOS_[[#This Row],[TOTAL SALARIO Ef]]+DATOS_[[#This Row],[Tot Extrasalarial Ef]]</f>
        <v>0</v>
      </c>
      <c r="CH808" s="140" t="n">
        <f aca="false">MIN(IF(DATOS_[[#This Row],[Fecha Fin Contrato]]="",$D$4,DATOS_[[#This Row],[Fecha Fin Contrato]]),$D$4)-MAX(DATOS_[[#This Row],[Fecha de Contratación]],$D$3)+1</f>
        <v>1</v>
      </c>
      <c r="CI808" s="141" t="str">
        <f aca="false">IF(COUNTIFS(DATOS_[id],DATOS_[[#This Row],[id]])&gt;1,DATOS_[[#This Row],[id]],"")</f>
        <v/>
      </c>
      <c r="CJ808" s="141" t="n">
        <f aca="false">(Inicio!$G$10-DATOS_[[#This Row],[Fecha Nacimiento]])/365.25</f>
        <v>0</v>
      </c>
      <c r="CK808" s="141" t="n">
        <f aca="false">(Inicio!$G$10-DATOS_[[#This Row],[Fecha de Antigüedad]])/365.25</f>
        <v>0</v>
      </c>
      <c r="CL808" s="141" t="e">
        <f aca="false">+VLOOKUP(DATOS_[[#This Row],[Clave de Contrato]],TblTiposContrato13[],3,0)</f>
        <v>#N/A</v>
      </c>
      <c r="CM808" s="141" t="e">
        <f aca="false">+VLOOKUP(DATOS_[[#This Row],[Clave de Contrato]],TblTiposContrato13[],4,0)</f>
        <v>#N/A</v>
      </c>
      <c r="CN808" s="141" t="str">
        <f aca="false">VLOOKUP(DATOS_[[#This Row],[Edad]],CONTRATOS!TblRngEdad,2,1)</f>
        <v>20  o menos</v>
      </c>
      <c r="CO808" s="141" t="str">
        <f aca="false">VLOOKUP(DATOS_[[#This Row],[Antigüedad]],TblRngAntg14[],2,1)</f>
        <v>0 a 1 años</v>
      </c>
    </row>
    <row r="809" customFormat="false" ht="13.8" hidden="false" customHeight="false" outlineLevel="0" collapsed="false">
      <c r="D809" s="128"/>
      <c r="E809" s="129"/>
      <c r="F809" s="129"/>
      <c r="G809" s="129"/>
      <c r="H809" s="130"/>
      <c r="I809" s="131"/>
      <c r="J809" s="128"/>
      <c r="K809" s="132"/>
      <c r="L809" s="132"/>
      <c r="M809" s="133"/>
      <c r="N809" s="133"/>
      <c r="O809" s="133"/>
      <c r="P809" s="129"/>
      <c r="Z809" s="75"/>
      <c r="AA809" s="76"/>
      <c r="AB809" s="76"/>
      <c r="AC809" s="129"/>
      <c r="AD809" s="134"/>
      <c r="AE809" s="134"/>
      <c r="AF809" s="134"/>
      <c r="AG809" s="134"/>
      <c r="AH809" s="134"/>
      <c r="AI809" s="134"/>
      <c r="AJ809" s="134"/>
      <c r="AK809" s="134"/>
      <c r="AL809" s="134"/>
      <c r="AM809" s="134"/>
      <c r="AN809" s="134"/>
      <c r="AO809" s="134"/>
      <c r="AP809" s="134"/>
      <c r="AQ809" s="134"/>
      <c r="AR809" s="134"/>
      <c r="AS809" s="134"/>
      <c r="AT809" s="134"/>
      <c r="AU809" s="134"/>
      <c r="AV809" s="134"/>
      <c r="AW809" s="134"/>
      <c r="AX809" s="134"/>
      <c r="AY809" s="134"/>
      <c r="AZ809" s="134"/>
      <c r="BA809" s="134"/>
      <c r="BB809" s="134"/>
      <c r="BC809" s="134"/>
      <c r="BD809" s="134"/>
      <c r="BE809" s="134"/>
      <c r="BF809" s="134"/>
      <c r="BG809" s="134"/>
      <c r="BH809" s="134"/>
      <c r="BI809" s="134"/>
      <c r="BJ809" s="134"/>
      <c r="BK809" s="134"/>
      <c r="BL809" s="134"/>
      <c r="BM809" s="135"/>
      <c r="BN809" s="136" t="n">
        <f aca="false">+MAX($D$3,DATOS_[[#This Row],[Fecha Inicio Sit. Contract.]])</f>
        <v>0</v>
      </c>
      <c r="BO809" s="136" t="n">
        <f aca="false">+MIN($D$4,DATOS_[[#This Row],[Fecha Fin Sit. Contract.]])</f>
        <v>0</v>
      </c>
      <c r="BP809" s="137" t="n">
        <f aca="false">+DATOS_[[#This Row],[% de jornada]]*IF(DATOS_[[#This Row],[% jornada reducida]]="",1,DATOS_[[#This Row],[% jornada reducida]])</f>
        <v>0</v>
      </c>
      <c r="BQ809" s="137" t="n">
        <f aca="false">+(DATOS_[[#This Row],[F.fin.cal]]-DATOS_[[#This Row],[F.ini.cal]]+1)/($D$4-$D$3+1)</f>
        <v>1</v>
      </c>
      <c r="BR809" s="137" t="str">
        <f aca="false">IF(OR(AND(DATOS_[[#This Row],[Fecha Fin Contrato]]&lt;$D$3,DATOS_[[#This Row],[Fecha Fin Contrato]]&lt;&gt;""),DATOS_[[#This Row],[Fecha de Contratación]]&gt;$D$4),"Fuera","Dentro")</f>
        <v>Dentro</v>
      </c>
      <c r="BS809" s="137" t="str">
        <f aca="false" t="array" ref="BS809:BS809">IF(MAX(IF(DATOS_[id]=DATOS_[[#This Row],[id]],DATOS_[F.fin.cal]))=DATOS_[[#This Row],[F.fin.cal]],"Sí","NO")</f>
        <v>Sí</v>
      </c>
      <c r="BT809" s="137" t="str">
        <f aca="false">IF(AND(DATOS_[[#This Row],[% normaliz]]&lt;&gt;1,DATOS_[[#This Row],[% anualiz]]=1),"Sí","NO")</f>
        <v>Sí</v>
      </c>
      <c r="BU809" s="137" t="str">
        <f aca="false">IF(AND(DATOS_[[#This Row],[% normaliz]]=1,DATOS_[[#This Row],[% anualiz]]&lt;&gt;1),"Sí","NO")</f>
        <v>NO</v>
      </c>
      <c r="BV809" s="137" t="str">
        <f aca="false">IF(AND(DATOS_[[#This Row],[% normaliz]]&lt;&gt;1,DATOS_[[#This Row],[% anualiz]]&lt;&gt;1),"Sí","NO")</f>
        <v>NO</v>
      </c>
      <c r="BW809" s="137" t="str">
        <f aca="false">+IF(DATOS_[[#This Row],[% normaliz]]*DATOS_[[#This Row],[% anualiz]]=1,"NO","Sí")</f>
        <v>Sí</v>
      </c>
      <c r="BX809" s="138" t="e">
        <f aca="false">(DATOS_[[#This Row],[S.BASE]]*(1/DATOS_[[#This Row],[% normaliz]])*(1/DATOS_[[#This Row],[% anualiz]]))*IF(DATOS_[[#This Row],[Check Equiparado]]="Sí",1,0)</f>
        <v>#DIV/0!</v>
      </c>
      <c r="BY8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9" s="138" t="e">
        <f aca="false">+DATOS_[[#This Row],[SALARIO BASE Eq]]+DATOS_[[#This Row],[Tot COMPL.SAL Eq]]</f>
        <v>#DIV/0!</v>
      </c>
      <c r="CA809" s="138" t="e">
        <f aca="false" t="array" ref="CA809:CA8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9" s="138" t="e">
        <f aca="false">+DATOS_[[#This Row],[TOTAL SALARIO Eq]]+DATOS_[[#This Row],[Tot Extrasalarial Eq]]</f>
        <v>#DIV/0!</v>
      </c>
      <c r="CC809" s="139" t="n">
        <f aca="false">DATOS_[[#This Row],[S.BASE]]</f>
        <v>0</v>
      </c>
      <c r="CD809" s="139" t="n">
        <f aca="false">+SUM(DATOS_[[#This Row],[Conc.Sal.01]:[Conc.Sal.30]])</f>
        <v>0</v>
      </c>
      <c r="CE809" s="139" t="n">
        <f aca="false">+DATOS_[[#This Row],[SALARIO BASE Ef]]+DATOS_[[#This Row],[Tot COMPL.SAL Ef]]</f>
        <v>0</v>
      </c>
      <c r="CF809" s="139" t="n">
        <f aca="false">+SUM(DATOS_[[#This Row],[C.Extra.01]:[C.Extra.05]])</f>
        <v>0</v>
      </c>
      <c r="CG809" s="139" t="n">
        <f aca="false">+DATOS_[[#This Row],[TOTAL SALARIO Ef]]+DATOS_[[#This Row],[Tot Extrasalarial Ef]]</f>
        <v>0</v>
      </c>
      <c r="CH809" s="140" t="n">
        <f aca="false">MIN(IF(DATOS_[[#This Row],[Fecha Fin Contrato]]="",$D$4,DATOS_[[#This Row],[Fecha Fin Contrato]]),$D$4)-MAX(DATOS_[[#This Row],[Fecha de Contratación]],$D$3)+1</f>
        <v>1</v>
      </c>
      <c r="CI809" s="141" t="str">
        <f aca="false">IF(COUNTIFS(DATOS_[id],DATOS_[[#This Row],[id]])&gt;1,DATOS_[[#This Row],[id]],"")</f>
        <v/>
      </c>
      <c r="CJ809" s="141" t="n">
        <f aca="false">(Inicio!$G$10-DATOS_[[#This Row],[Fecha Nacimiento]])/365.25</f>
        <v>0</v>
      </c>
      <c r="CK809" s="141" t="n">
        <f aca="false">(Inicio!$G$10-DATOS_[[#This Row],[Fecha de Antigüedad]])/365.25</f>
        <v>0</v>
      </c>
      <c r="CL809" s="141" t="e">
        <f aca="false">+VLOOKUP(DATOS_[[#This Row],[Clave de Contrato]],TblTiposContrato13[],3,0)</f>
        <v>#N/A</v>
      </c>
      <c r="CM809" s="141" t="e">
        <f aca="false">+VLOOKUP(DATOS_[[#This Row],[Clave de Contrato]],TblTiposContrato13[],4,0)</f>
        <v>#N/A</v>
      </c>
      <c r="CN809" s="141" t="str">
        <f aca="false">VLOOKUP(DATOS_[[#This Row],[Edad]],CONTRATOS!TblRngEdad,2,1)</f>
        <v>20  o menos</v>
      </c>
      <c r="CO809" s="141" t="str">
        <f aca="false">VLOOKUP(DATOS_[[#This Row],[Antigüedad]],TblRngAntg14[],2,1)</f>
        <v>0 a 1 años</v>
      </c>
    </row>
    <row r="810" customFormat="false" ht="13.8" hidden="false" customHeight="false" outlineLevel="0" collapsed="false">
      <c r="D810" s="128"/>
      <c r="E810" s="129"/>
      <c r="F810" s="129"/>
      <c r="G810" s="129"/>
      <c r="H810" s="130"/>
      <c r="I810" s="131"/>
      <c r="J810" s="128"/>
      <c r="K810" s="132"/>
      <c r="L810" s="132"/>
      <c r="M810" s="133"/>
      <c r="N810" s="133"/>
      <c r="O810" s="133"/>
      <c r="P810" s="129"/>
      <c r="Z810" s="75"/>
      <c r="AA810" s="76"/>
      <c r="AB810" s="76"/>
      <c r="AC810" s="129"/>
      <c r="AD810" s="134"/>
      <c r="AE810" s="134"/>
      <c r="AF810" s="134"/>
      <c r="AG810" s="134"/>
      <c r="AH810" s="134"/>
      <c r="AI810" s="134"/>
      <c r="AJ810" s="134"/>
      <c r="AK810" s="134"/>
      <c r="AL810" s="134"/>
      <c r="AM810" s="134"/>
      <c r="AN810" s="134"/>
      <c r="AO810" s="134"/>
      <c r="AP810" s="134"/>
      <c r="AQ810" s="134"/>
      <c r="AR810" s="134"/>
      <c r="AS810" s="134"/>
      <c r="AT810" s="134"/>
      <c r="AU810" s="134"/>
      <c r="AV810" s="134"/>
      <c r="AW810" s="134"/>
      <c r="AX810" s="134"/>
      <c r="AY810" s="134"/>
      <c r="AZ810" s="134"/>
      <c r="BA810" s="134"/>
      <c r="BB810" s="134"/>
      <c r="BC810" s="134"/>
      <c r="BD810" s="134"/>
      <c r="BE810" s="134"/>
      <c r="BF810" s="134"/>
      <c r="BG810" s="134"/>
      <c r="BH810" s="134"/>
      <c r="BI810" s="134"/>
      <c r="BJ810" s="134"/>
      <c r="BK810" s="134"/>
      <c r="BL810" s="134"/>
      <c r="BM810" s="135"/>
      <c r="BN810" s="136" t="n">
        <f aca="false">+MAX($D$3,DATOS_[[#This Row],[Fecha Inicio Sit. Contract.]])</f>
        <v>0</v>
      </c>
      <c r="BO810" s="136" t="n">
        <f aca="false">+MIN($D$4,DATOS_[[#This Row],[Fecha Fin Sit. Contract.]])</f>
        <v>0</v>
      </c>
      <c r="BP810" s="137" t="n">
        <f aca="false">+DATOS_[[#This Row],[% de jornada]]*IF(DATOS_[[#This Row],[% jornada reducida]]="",1,DATOS_[[#This Row],[% jornada reducida]])</f>
        <v>0</v>
      </c>
      <c r="BQ810" s="137" t="n">
        <f aca="false">+(DATOS_[[#This Row],[F.fin.cal]]-DATOS_[[#This Row],[F.ini.cal]]+1)/($D$4-$D$3+1)</f>
        <v>1</v>
      </c>
      <c r="BR810" s="137" t="str">
        <f aca="false">IF(OR(AND(DATOS_[[#This Row],[Fecha Fin Contrato]]&lt;$D$3,DATOS_[[#This Row],[Fecha Fin Contrato]]&lt;&gt;""),DATOS_[[#This Row],[Fecha de Contratación]]&gt;$D$4),"Fuera","Dentro")</f>
        <v>Dentro</v>
      </c>
      <c r="BS810" s="137" t="str">
        <f aca="false" t="array" ref="BS810:BS810">IF(MAX(IF(DATOS_[id]=DATOS_[[#This Row],[id]],DATOS_[F.fin.cal]))=DATOS_[[#This Row],[F.fin.cal]],"Sí","NO")</f>
        <v>Sí</v>
      </c>
      <c r="BT810" s="137" t="str">
        <f aca="false">IF(AND(DATOS_[[#This Row],[% normaliz]]&lt;&gt;1,DATOS_[[#This Row],[% anualiz]]=1),"Sí","NO")</f>
        <v>Sí</v>
      </c>
      <c r="BU810" s="137" t="str">
        <f aca="false">IF(AND(DATOS_[[#This Row],[% normaliz]]=1,DATOS_[[#This Row],[% anualiz]]&lt;&gt;1),"Sí","NO")</f>
        <v>NO</v>
      </c>
      <c r="BV810" s="137" t="str">
        <f aca="false">IF(AND(DATOS_[[#This Row],[% normaliz]]&lt;&gt;1,DATOS_[[#This Row],[% anualiz]]&lt;&gt;1),"Sí","NO")</f>
        <v>NO</v>
      </c>
      <c r="BW810" s="137" t="str">
        <f aca="false">+IF(DATOS_[[#This Row],[% normaliz]]*DATOS_[[#This Row],[% anualiz]]=1,"NO","Sí")</f>
        <v>Sí</v>
      </c>
      <c r="BX810" s="138" t="e">
        <f aca="false">(DATOS_[[#This Row],[S.BASE]]*(1/DATOS_[[#This Row],[% normaliz]])*(1/DATOS_[[#This Row],[% anualiz]]))*IF(DATOS_[[#This Row],[Check Equiparado]]="Sí",1,0)</f>
        <v>#DIV/0!</v>
      </c>
      <c r="BY8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0" s="138" t="e">
        <f aca="false">+DATOS_[[#This Row],[SALARIO BASE Eq]]+DATOS_[[#This Row],[Tot COMPL.SAL Eq]]</f>
        <v>#DIV/0!</v>
      </c>
      <c r="CA810" s="138" t="e">
        <f aca="false" t="array" ref="CA810:CA8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0" s="138" t="e">
        <f aca="false">+DATOS_[[#This Row],[TOTAL SALARIO Eq]]+DATOS_[[#This Row],[Tot Extrasalarial Eq]]</f>
        <v>#DIV/0!</v>
      </c>
      <c r="CC810" s="139" t="n">
        <f aca="false">DATOS_[[#This Row],[S.BASE]]</f>
        <v>0</v>
      </c>
      <c r="CD810" s="139" t="n">
        <f aca="false">+SUM(DATOS_[[#This Row],[Conc.Sal.01]:[Conc.Sal.30]])</f>
        <v>0</v>
      </c>
      <c r="CE810" s="139" t="n">
        <f aca="false">+DATOS_[[#This Row],[SALARIO BASE Ef]]+DATOS_[[#This Row],[Tot COMPL.SAL Ef]]</f>
        <v>0</v>
      </c>
      <c r="CF810" s="139" t="n">
        <f aca="false">+SUM(DATOS_[[#This Row],[C.Extra.01]:[C.Extra.05]])</f>
        <v>0</v>
      </c>
      <c r="CG810" s="139" t="n">
        <f aca="false">+DATOS_[[#This Row],[TOTAL SALARIO Ef]]+DATOS_[[#This Row],[Tot Extrasalarial Ef]]</f>
        <v>0</v>
      </c>
      <c r="CH810" s="140" t="n">
        <f aca="false">MIN(IF(DATOS_[[#This Row],[Fecha Fin Contrato]]="",$D$4,DATOS_[[#This Row],[Fecha Fin Contrato]]),$D$4)-MAX(DATOS_[[#This Row],[Fecha de Contratación]],$D$3)+1</f>
        <v>1</v>
      </c>
      <c r="CI810" s="141" t="str">
        <f aca="false">IF(COUNTIFS(DATOS_[id],DATOS_[[#This Row],[id]])&gt;1,DATOS_[[#This Row],[id]],"")</f>
        <v/>
      </c>
      <c r="CJ810" s="141" t="n">
        <f aca="false">(Inicio!$G$10-DATOS_[[#This Row],[Fecha Nacimiento]])/365.25</f>
        <v>0</v>
      </c>
      <c r="CK810" s="141" t="n">
        <f aca="false">(Inicio!$G$10-DATOS_[[#This Row],[Fecha de Antigüedad]])/365.25</f>
        <v>0</v>
      </c>
      <c r="CL810" s="141" t="e">
        <f aca="false">+VLOOKUP(DATOS_[[#This Row],[Clave de Contrato]],TblTiposContrato13[],3,0)</f>
        <v>#N/A</v>
      </c>
      <c r="CM810" s="141" t="e">
        <f aca="false">+VLOOKUP(DATOS_[[#This Row],[Clave de Contrato]],TblTiposContrato13[],4,0)</f>
        <v>#N/A</v>
      </c>
      <c r="CN810" s="141" t="str">
        <f aca="false">VLOOKUP(DATOS_[[#This Row],[Edad]],CONTRATOS!TblRngEdad,2,1)</f>
        <v>20  o menos</v>
      </c>
      <c r="CO810" s="141" t="str">
        <f aca="false">VLOOKUP(DATOS_[[#This Row],[Antigüedad]],TblRngAntg14[],2,1)</f>
        <v>0 a 1 años</v>
      </c>
    </row>
    <row r="811" customFormat="false" ht="13.8" hidden="false" customHeight="false" outlineLevel="0" collapsed="false">
      <c r="D811" s="128"/>
      <c r="E811" s="129"/>
      <c r="F811" s="129"/>
      <c r="G811" s="129"/>
      <c r="H811" s="130"/>
      <c r="I811" s="131"/>
      <c r="J811" s="128"/>
      <c r="K811" s="132"/>
      <c r="L811" s="132"/>
      <c r="M811" s="133"/>
      <c r="N811" s="133"/>
      <c r="O811" s="133"/>
      <c r="P811" s="129"/>
      <c r="Z811" s="75"/>
      <c r="AA811" s="76"/>
      <c r="AB811" s="76"/>
      <c r="AC811" s="129"/>
      <c r="AD811" s="134"/>
      <c r="AE811" s="134"/>
      <c r="AF811" s="134"/>
      <c r="AG811" s="134"/>
      <c r="AH811" s="134"/>
      <c r="AI811" s="134"/>
      <c r="AJ811" s="134"/>
      <c r="AK811" s="134"/>
      <c r="AL811" s="134"/>
      <c r="AM811" s="134"/>
      <c r="AN811" s="134"/>
      <c r="AO811" s="134"/>
      <c r="AP811" s="134"/>
      <c r="AQ811" s="134"/>
      <c r="AR811" s="134"/>
      <c r="AS811" s="134"/>
      <c r="AT811" s="134"/>
      <c r="AU811" s="134"/>
      <c r="AV811" s="134"/>
      <c r="AW811" s="134"/>
      <c r="AX811" s="134"/>
      <c r="AY811" s="134"/>
      <c r="AZ811" s="134"/>
      <c r="BA811" s="134"/>
      <c r="BB811" s="134"/>
      <c r="BC811" s="134"/>
      <c r="BD811" s="134"/>
      <c r="BE811" s="134"/>
      <c r="BF811" s="134"/>
      <c r="BG811" s="134"/>
      <c r="BH811" s="134"/>
      <c r="BI811" s="134"/>
      <c r="BJ811" s="134"/>
      <c r="BK811" s="134"/>
      <c r="BL811" s="134"/>
      <c r="BM811" s="135"/>
      <c r="BN811" s="136" t="n">
        <f aca="false">+MAX($D$3,DATOS_[[#This Row],[Fecha Inicio Sit. Contract.]])</f>
        <v>0</v>
      </c>
      <c r="BO811" s="136" t="n">
        <f aca="false">+MIN($D$4,DATOS_[[#This Row],[Fecha Fin Sit. Contract.]])</f>
        <v>0</v>
      </c>
      <c r="BP811" s="137" t="n">
        <f aca="false">+DATOS_[[#This Row],[% de jornada]]*IF(DATOS_[[#This Row],[% jornada reducida]]="",1,DATOS_[[#This Row],[% jornada reducida]])</f>
        <v>0</v>
      </c>
      <c r="BQ811" s="137" t="n">
        <f aca="false">+(DATOS_[[#This Row],[F.fin.cal]]-DATOS_[[#This Row],[F.ini.cal]]+1)/($D$4-$D$3+1)</f>
        <v>1</v>
      </c>
      <c r="BR811" s="137" t="str">
        <f aca="false">IF(OR(AND(DATOS_[[#This Row],[Fecha Fin Contrato]]&lt;$D$3,DATOS_[[#This Row],[Fecha Fin Contrato]]&lt;&gt;""),DATOS_[[#This Row],[Fecha de Contratación]]&gt;$D$4),"Fuera","Dentro")</f>
        <v>Dentro</v>
      </c>
      <c r="BS811" s="137" t="str">
        <f aca="false" t="array" ref="BS811:BS811">IF(MAX(IF(DATOS_[id]=DATOS_[[#This Row],[id]],DATOS_[F.fin.cal]))=DATOS_[[#This Row],[F.fin.cal]],"Sí","NO")</f>
        <v>Sí</v>
      </c>
      <c r="BT811" s="137" t="str">
        <f aca="false">IF(AND(DATOS_[[#This Row],[% normaliz]]&lt;&gt;1,DATOS_[[#This Row],[% anualiz]]=1),"Sí","NO")</f>
        <v>Sí</v>
      </c>
      <c r="BU811" s="137" t="str">
        <f aca="false">IF(AND(DATOS_[[#This Row],[% normaliz]]=1,DATOS_[[#This Row],[% anualiz]]&lt;&gt;1),"Sí","NO")</f>
        <v>NO</v>
      </c>
      <c r="BV811" s="137" t="str">
        <f aca="false">IF(AND(DATOS_[[#This Row],[% normaliz]]&lt;&gt;1,DATOS_[[#This Row],[% anualiz]]&lt;&gt;1),"Sí","NO")</f>
        <v>NO</v>
      </c>
      <c r="BW811" s="137" t="str">
        <f aca="false">+IF(DATOS_[[#This Row],[% normaliz]]*DATOS_[[#This Row],[% anualiz]]=1,"NO","Sí")</f>
        <v>Sí</v>
      </c>
      <c r="BX811" s="138" t="e">
        <f aca="false">(DATOS_[[#This Row],[S.BASE]]*(1/DATOS_[[#This Row],[% normaliz]])*(1/DATOS_[[#This Row],[% anualiz]]))*IF(DATOS_[[#This Row],[Check Equiparado]]="Sí",1,0)</f>
        <v>#DIV/0!</v>
      </c>
      <c r="BY8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1" s="138" t="e">
        <f aca="false">+DATOS_[[#This Row],[SALARIO BASE Eq]]+DATOS_[[#This Row],[Tot COMPL.SAL Eq]]</f>
        <v>#DIV/0!</v>
      </c>
      <c r="CA811" s="138" t="e">
        <f aca="false" t="array" ref="CA811:CA8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1" s="138" t="e">
        <f aca="false">+DATOS_[[#This Row],[TOTAL SALARIO Eq]]+DATOS_[[#This Row],[Tot Extrasalarial Eq]]</f>
        <v>#DIV/0!</v>
      </c>
      <c r="CC811" s="139" t="n">
        <f aca="false">DATOS_[[#This Row],[S.BASE]]</f>
        <v>0</v>
      </c>
      <c r="CD811" s="139" t="n">
        <f aca="false">+SUM(DATOS_[[#This Row],[Conc.Sal.01]:[Conc.Sal.30]])</f>
        <v>0</v>
      </c>
      <c r="CE811" s="139" t="n">
        <f aca="false">+DATOS_[[#This Row],[SALARIO BASE Ef]]+DATOS_[[#This Row],[Tot COMPL.SAL Ef]]</f>
        <v>0</v>
      </c>
      <c r="CF811" s="139" t="n">
        <f aca="false">+SUM(DATOS_[[#This Row],[C.Extra.01]:[C.Extra.05]])</f>
        <v>0</v>
      </c>
      <c r="CG811" s="139" t="n">
        <f aca="false">+DATOS_[[#This Row],[TOTAL SALARIO Ef]]+DATOS_[[#This Row],[Tot Extrasalarial Ef]]</f>
        <v>0</v>
      </c>
      <c r="CH811" s="140" t="n">
        <f aca="false">MIN(IF(DATOS_[[#This Row],[Fecha Fin Contrato]]="",$D$4,DATOS_[[#This Row],[Fecha Fin Contrato]]),$D$4)-MAX(DATOS_[[#This Row],[Fecha de Contratación]],$D$3)+1</f>
        <v>1</v>
      </c>
      <c r="CI811" s="141" t="str">
        <f aca="false">IF(COUNTIFS(DATOS_[id],DATOS_[[#This Row],[id]])&gt;1,DATOS_[[#This Row],[id]],"")</f>
        <v/>
      </c>
      <c r="CJ811" s="141" t="n">
        <f aca="false">(Inicio!$G$10-DATOS_[[#This Row],[Fecha Nacimiento]])/365.25</f>
        <v>0</v>
      </c>
      <c r="CK811" s="141" t="n">
        <f aca="false">(Inicio!$G$10-DATOS_[[#This Row],[Fecha de Antigüedad]])/365.25</f>
        <v>0</v>
      </c>
      <c r="CL811" s="141" t="e">
        <f aca="false">+VLOOKUP(DATOS_[[#This Row],[Clave de Contrato]],TblTiposContrato13[],3,0)</f>
        <v>#N/A</v>
      </c>
      <c r="CM811" s="141" t="e">
        <f aca="false">+VLOOKUP(DATOS_[[#This Row],[Clave de Contrato]],TblTiposContrato13[],4,0)</f>
        <v>#N/A</v>
      </c>
      <c r="CN811" s="141" t="str">
        <f aca="false">VLOOKUP(DATOS_[[#This Row],[Edad]],CONTRATOS!TblRngEdad,2,1)</f>
        <v>20  o menos</v>
      </c>
      <c r="CO811" s="141" t="str">
        <f aca="false">VLOOKUP(DATOS_[[#This Row],[Antigüedad]],TblRngAntg14[],2,1)</f>
        <v>0 a 1 años</v>
      </c>
    </row>
    <row r="812" customFormat="false" ht="13.8" hidden="false" customHeight="false" outlineLevel="0" collapsed="false">
      <c r="D812" s="128"/>
      <c r="E812" s="129"/>
      <c r="F812" s="129"/>
      <c r="G812" s="129"/>
      <c r="H812" s="130"/>
      <c r="I812" s="131"/>
      <c r="J812" s="128"/>
      <c r="K812" s="132"/>
      <c r="L812" s="132"/>
      <c r="M812" s="133"/>
      <c r="N812" s="133"/>
      <c r="O812" s="133"/>
      <c r="P812" s="129"/>
      <c r="Z812" s="75"/>
      <c r="AA812" s="76"/>
      <c r="AB812" s="76"/>
      <c r="AC812" s="129"/>
      <c r="AD812" s="134"/>
      <c r="AE812" s="134"/>
      <c r="AF812" s="134"/>
      <c r="AG812" s="134"/>
      <c r="AH812" s="134"/>
      <c r="AI812" s="134"/>
      <c r="AJ812" s="134"/>
      <c r="AK812" s="134"/>
      <c r="AL812" s="134"/>
      <c r="AM812" s="134"/>
      <c r="AN812" s="134"/>
      <c r="AO812" s="134"/>
      <c r="AP812" s="134"/>
      <c r="AQ812" s="134"/>
      <c r="AR812" s="134"/>
      <c r="AS812" s="134"/>
      <c r="AT812" s="134"/>
      <c r="AU812" s="134"/>
      <c r="AV812" s="134"/>
      <c r="AW812" s="134"/>
      <c r="AX812" s="134"/>
      <c r="AY812" s="134"/>
      <c r="AZ812" s="134"/>
      <c r="BA812" s="134"/>
      <c r="BB812" s="134"/>
      <c r="BC812" s="134"/>
      <c r="BD812" s="134"/>
      <c r="BE812" s="134"/>
      <c r="BF812" s="134"/>
      <c r="BG812" s="134"/>
      <c r="BH812" s="134"/>
      <c r="BI812" s="134"/>
      <c r="BJ812" s="134"/>
      <c r="BK812" s="134"/>
      <c r="BL812" s="134"/>
      <c r="BM812" s="135"/>
      <c r="BN812" s="136" t="n">
        <f aca="false">+MAX($D$3,DATOS_[[#This Row],[Fecha Inicio Sit. Contract.]])</f>
        <v>0</v>
      </c>
      <c r="BO812" s="136" t="n">
        <f aca="false">+MIN($D$4,DATOS_[[#This Row],[Fecha Fin Sit. Contract.]])</f>
        <v>0</v>
      </c>
      <c r="BP812" s="137" t="n">
        <f aca="false">+DATOS_[[#This Row],[% de jornada]]*IF(DATOS_[[#This Row],[% jornada reducida]]="",1,DATOS_[[#This Row],[% jornada reducida]])</f>
        <v>0</v>
      </c>
      <c r="BQ812" s="137" t="n">
        <f aca="false">+(DATOS_[[#This Row],[F.fin.cal]]-DATOS_[[#This Row],[F.ini.cal]]+1)/($D$4-$D$3+1)</f>
        <v>1</v>
      </c>
      <c r="BR812" s="137" t="str">
        <f aca="false">IF(OR(AND(DATOS_[[#This Row],[Fecha Fin Contrato]]&lt;$D$3,DATOS_[[#This Row],[Fecha Fin Contrato]]&lt;&gt;""),DATOS_[[#This Row],[Fecha de Contratación]]&gt;$D$4),"Fuera","Dentro")</f>
        <v>Dentro</v>
      </c>
      <c r="BS812" s="137" t="str">
        <f aca="false" t="array" ref="BS812:BS812">IF(MAX(IF(DATOS_[id]=DATOS_[[#This Row],[id]],DATOS_[F.fin.cal]))=DATOS_[[#This Row],[F.fin.cal]],"Sí","NO")</f>
        <v>Sí</v>
      </c>
      <c r="BT812" s="137" t="str">
        <f aca="false">IF(AND(DATOS_[[#This Row],[% normaliz]]&lt;&gt;1,DATOS_[[#This Row],[% anualiz]]=1),"Sí","NO")</f>
        <v>Sí</v>
      </c>
      <c r="BU812" s="137" t="str">
        <f aca="false">IF(AND(DATOS_[[#This Row],[% normaliz]]=1,DATOS_[[#This Row],[% anualiz]]&lt;&gt;1),"Sí","NO")</f>
        <v>NO</v>
      </c>
      <c r="BV812" s="137" t="str">
        <f aca="false">IF(AND(DATOS_[[#This Row],[% normaliz]]&lt;&gt;1,DATOS_[[#This Row],[% anualiz]]&lt;&gt;1),"Sí","NO")</f>
        <v>NO</v>
      </c>
      <c r="BW812" s="137" t="str">
        <f aca="false">+IF(DATOS_[[#This Row],[% normaliz]]*DATOS_[[#This Row],[% anualiz]]=1,"NO","Sí")</f>
        <v>Sí</v>
      </c>
      <c r="BX812" s="138" t="e">
        <f aca="false">(DATOS_[[#This Row],[S.BASE]]*(1/DATOS_[[#This Row],[% normaliz]])*(1/DATOS_[[#This Row],[% anualiz]]))*IF(DATOS_[[#This Row],[Check Equiparado]]="Sí",1,0)</f>
        <v>#DIV/0!</v>
      </c>
      <c r="BY8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2" s="138" t="e">
        <f aca="false">+DATOS_[[#This Row],[SALARIO BASE Eq]]+DATOS_[[#This Row],[Tot COMPL.SAL Eq]]</f>
        <v>#DIV/0!</v>
      </c>
      <c r="CA812" s="138" t="e">
        <f aca="false" t="array" ref="CA812:CA8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2" s="138" t="e">
        <f aca="false">+DATOS_[[#This Row],[TOTAL SALARIO Eq]]+DATOS_[[#This Row],[Tot Extrasalarial Eq]]</f>
        <v>#DIV/0!</v>
      </c>
      <c r="CC812" s="139" t="n">
        <f aca="false">DATOS_[[#This Row],[S.BASE]]</f>
        <v>0</v>
      </c>
      <c r="CD812" s="139" t="n">
        <f aca="false">+SUM(DATOS_[[#This Row],[Conc.Sal.01]:[Conc.Sal.30]])</f>
        <v>0</v>
      </c>
      <c r="CE812" s="139" t="n">
        <f aca="false">+DATOS_[[#This Row],[SALARIO BASE Ef]]+DATOS_[[#This Row],[Tot COMPL.SAL Ef]]</f>
        <v>0</v>
      </c>
      <c r="CF812" s="139" t="n">
        <f aca="false">+SUM(DATOS_[[#This Row],[C.Extra.01]:[C.Extra.05]])</f>
        <v>0</v>
      </c>
      <c r="CG812" s="139" t="n">
        <f aca="false">+DATOS_[[#This Row],[TOTAL SALARIO Ef]]+DATOS_[[#This Row],[Tot Extrasalarial Ef]]</f>
        <v>0</v>
      </c>
      <c r="CH812" s="140" t="n">
        <f aca="false">MIN(IF(DATOS_[[#This Row],[Fecha Fin Contrato]]="",$D$4,DATOS_[[#This Row],[Fecha Fin Contrato]]),$D$4)-MAX(DATOS_[[#This Row],[Fecha de Contratación]],$D$3)+1</f>
        <v>1</v>
      </c>
      <c r="CI812" s="141" t="str">
        <f aca="false">IF(COUNTIFS(DATOS_[id],DATOS_[[#This Row],[id]])&gt;1,DATOS_[[#This Row],[id]],"")</f>
        <v/>
      </c>
      <c r="CJ812" s="141" t="n">
        <f aca="false">(Inicio!$G$10-DATOS_[[#This Row],[Fecha Nacimiento]])/365.25</f>
        <v>0</v>
      </c>
      <c r="CK812" s="141" t="n">
        <f aca="false">(Inicio!$G$10-DATOS_[[#This Row],[Fecha de Antigüedad]])/365.25</f>
        <v>0</v>
      </c>
      <c r="CL812" s="141" t="e">
        <f aca="false">+VLOOKUP(DATOS_[[#This Row],[Clave de Contrato]],TblTiposContrato13[],3,0)</f>
        <v>#N/A</v>
      </c>
      <c r="CM812" s="141" t="e">
        <f aca="false">+VLOOKUP(DATOS_[[#This Row],[Clave de Contrato]],TblTiposContrato13[],4,0)</f>
        <v>#N/A</v>
      </c>
      <c r="CN812" s="141" t="str">
        <f aca="false">VLOOKUP(DATOS_[[#This Row],[Edad]],CONTRATOS!TblRngEdad,2,1)</f>
        <v>20  o menos</v>
      </c>
      <c r="CO812" s="141" t="str">
        <f aca="false">VLOOKUP(DATOS_[[#This Row],[Antigüedad]],TblRngAntg14[],2,1)</f>
        <v>0 a 1 años</v>
      </c>
    </row>
    <row r="813" customFormat="false" ht="13.8" hidden="false" customHeight="false" outlineLevel="0" collapsed="false">
      <c r="D813" s="128"/>
      <c r="E813" s="129"/>
      <c r="F813" s="129"/>
      <c r="G813" s="129"/>
      <c r="H813" s="130"/>
      <c r="I813" s="131"/>
      <c r="J813" s="128"/>
      <c r="K813" s="132"/>
      <c r="L813" s="132"/>
      <c r="M813" s="133"/>
      <c r="N813" s="133"/>
      <c r="O813" s="133"/>
      <c r="P813" s="129"/>
      <c r="Z813" s="75"/>
      <c r="AA813" s="76"/>
      <c r="AB813" s="76"/>
      <c r="AC813" s="129"/>
      <c r="AD813" s="134"/>
      <c r="AE813" s="134"/>
      <c r="AF813" s="134"/>
      <c r="AG813" s="134"/>
      <c r="AH813" s="134"/>
      <c r="AI813" s="134"/>
      <c r="AJ813" s="134"/>
      <c r="AK813" s="134"/>
      <c r="AL813" s="134"/>
      <c r="AM813" s="134"/>
      <c r="AN813" s="134"/>
      <c r="AO813" s="134"/>
      <c r="AP813" s="134"/>
      <c r="AQ813" s="134"/>
      <c r="AR813" s="134"/>
      <c r="AS813" s="134"/>
      <c r="AT813" s="134"/>
      <c r="AU813" s="134"/>
      <c r="AV813" s="134"/>
      <c r="AW813" s="134"/>
      <c r="AX813" s="134"/>
      <c r="AY813" s="134"/>
      <c r="AZ813" s="134"/>
      <c r="BA813" s="134"/>
      <c r="BB813" s="134"/>
      <c r="BC813" s="134"/>
      <c r="BD813" s="134"/>
      <c r="BE813" s="134"/>
      <c r="BF813" s="134"/>
      <c r="BG813" s="134"/>
      <c r="BH813" s="134"/>
      <c r="BI813" s="134"/>
      <c r="BJ813" s="134"/>
      <c r="BK813" s="134"/>
      <c r="BL813" s="134"/>
      <c r="BM813" s="135"/>
      <c r="BN813" s="136" t="n">
        <f aca="false">+MAX($D$3,DATOS_[[#This Row],[Fecha Inicio Sit. Contract.]])</f>
        <v>0</v>
      </c>
      <c r="BO813" s="136" t="n">
        <f aca="false">+MIN($D$4,DATOS_[[#This Row],[Fecha Fin Sit. Contract.]])</f>
        <v>0</v>
      </c>
      <c r="BP813" s="137" t="n">
        <f aca="false">+DATOS_[[#This Row],[% de jornada]]*IF(DATOS_[[#This Row],[% jornada reducida]]="",1,DATOS_[[#This Row],[% jornada reducida]])</f>
        <v>0</v>
      </c>
      <c r="BQ813" s="137" t="n">
        <f aca="false">+(DATOS_[[#This Row],[F.fin.cal]]-DATOS_[[#This Row],[F.ini.cal]]+1)/($D$4-$D$3+1)</f>
        <v>1</v>
      </c>
      <c r="BR813" s="137" t="str">
        <f aca="false">IF(OR(AND(DATOS_[[#This Row],[Fecha Fin Contrato]]&lt;$D$3,DATOS_[[#This Row],[Fecha Fin Contrato]]&lt;&gt;""),DATOS_[[#This Row],[Fecha de Contratación]]&gt;$D$4),"Fuera","Dentro")</f>
        <v>Dentro</v>
      </c>
      <c r="BS813" s="137" t="str">
        <f aca="false" t="array" ref="BS813:BS813">IF(MAX(IF(DATOS_[id]=DATOS_[[#This Row],[id]],DATOS_[F.fin.cal]))=DATOS_[[#This Row],[F.fin.cal]],"Sí","NO")</f>
        <v>Sí</v>
      </c>
      <c r="BT813" s="137" t="str">
        <f aca="false">IF(AND(DATOS_[[#This Row],[% normaliz]]&lt;&gt;1,DATOS_[[#This Row],[% anualiz]]=1),"Sí","NO")</f>
        <v>Sí</v>
      </c>
      <c r="BU813" s="137" t="str">
        <f aca="false">IF(AND(DATOS_[[#This Row],[% normaliz]]=1,DATOS_[[#This Row],[% anualiz]]&lt;&gt;1),"Sí","NO")</f>
        <v>NO</v>
      </c>
      <c r="BV813" s="137" t="str">
        <f aca="false">IF(AND(DATOS_[[#This Row],[% normaliz]]&lt;&gt;1,DATOS_[[#This Row],[% anualiz]]&lt;&gt;1),"Sí","NO")</f>
        <v>NO</v>
      </c>
      <c r="BW813" s="137" t="str">
        <f aca="false">+IF(DATOS_[[#This Row],[% normaliz]]*DATOS_[[#This Row],[% anualiz]]=1,"NO","Sí")</f>
        <v>Sí</v>
      </c>
      <c r="BX813" s="138" t="e">
        <f aca="false">(DATOS_[[#This Row],[S.BASE]]*(1/DATOS_[[#This Row],[% normaliz]])*(1/DATOS_[[#This Row],[% anualiz]]))*IF(DATOS_[[#This Row],[Check Equiparado]]="Sí",1,0)</f>
        <v>#DIV/0!</v>
      </c>
      <c r="BY8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3" s="138" t="e">
        <f aca="false">+DATOS_[[#This Row],[SALARIO BASE Eq]]+DATOS_[[#This Row],[Tot COMPL.SAL Eq]]</f>
        <v>#DIV/0!</v>
      </c>
      <c r="CA813" s="138" t="e">
        <f aca="false" t="array" ref="CA813:CA8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3" s="138" t="e">
        <f aca="false">+DATOS_[[#This Row],[TOTAL SALARIO Eq]]+DATOS_[[#This Row],[Tot Extrasalarial Eq]]</f>
        <v>#DIV/0!</v>
      </c>
      <c r="CC813" s="139" t="n">
        <f aca="false">DATOS_[[#This Row],[S.BASE]]</f>
        <v>0</v>
      </c>
      <c r="CD813" s="139" t="n">
        <f aca="false">+SUM(DATOS_[[#This Row],[Conc.Sal.01]:[Conc.Sal.30]])</f>
        <v>0</v>
      </c>
      <c r="CE813" s="139" t="n">
        <f aca="false">+DATOS_[[#This Row],[SALARIO BASE Ef]]+DATOS_[[#This Row],[Tot COMPL.SAL Ef]]</f>
        <v>0</v>
      </c>
      <c r="CF813" s="139" t="n">
        <f aca="false">+SUM(DATOS_[[#This Row],[C.Extra.01]:[C.Extra.05]])</f>
        <v>0</v>
      </c>
      <c r="CG813" s="139" t="n">
        <f aca="false">+DATOS_[[#This Row],[TOTAL SALARIO Ef]]+DATOS_[[#This Row],[Tot Extrasalarial Ef]]</f>
        <v>0</v>
      </c>
      <c r="CH813" s="140" t="n">
        <f aca="false">MIN(IF(DATOS_[[#This Row],[Fecha Fin Contrato]]="",$D$4,DATOS_[[#This Row],[Fecha Fin Contrato]]),$D$4)-MAX(DATOS_[[#This Row],[Fecha de Contratación]],$D$3)+1</f>
        <v>1</v>
      </c>
      <c r="CI813" s="141" t="str">
        <f aca="false">IF(COUNTIFS(DATOS_[id],DATOS_[[#This Row],[id]])&gt;1,DATOS_[[#This Row],[id]],"")</f>
        <v/>
      </c>
      <c r="CJ813" s="141" t="n">
        <f aca="false">(Inicio!$G$10-DATOS_[[#This Row],[Fecha Nacimiento]])/365.25</f>
        <v>0</v>
      </c>
      <c r="CK813" s="141" t="n">
        <f aca="false">(Inicio!$G$10-DATOS_[[#This Row],[Fecha de Antigüedad]])/365.25</f>
        <v>0</v>
      </c>
      <c r="CL813" s="141" t="e">
        <f aca="false">+VLOOKUP(DATOS_[[#This Row],[Clave de Contrato]],TblTiposContrato13[],3,0)</f>
        <v>#N/A</v>
      </c>
      <c r="CM813" s="141" t="e">
        <f aca="false">+VLOOKUP(DATOS_[[#This Row],[Clave de Contrato]],TblTiposContrato13[],4,0)</f>
        <v>#N/A</v>
      </c>
      <c r="CN813" s="141" t="str">
        <f aca="false">VLOOKUP(DATOS_[[#This Row],[Edad]],CONTRATOS!TblRngEdad,2,1)</f>
        <v>20  o menos</v>
      </c>
      <c r="CO813" s="141" t="str">
        <f aca="false">VLOOKUP(DATOS_[[#This Row],[Antigüedad]],TblRngAntg14[],2,1)</f>
        <v>0 a 1 años</v>
      </c>
    </row>
    <row r="814" customFormat="false" ht="13.8" hidden="false" customHeight="false" outlineLevel="0" collapsed="false">
      <c r="D814" s="128"/>
      <c r="E814" s="129"/>
      <c r="F814" s="129"/>
      <c r="G814" s="129"/>
      <c r="H814" s="130"/>
      <c r="I814" s="131"/>
      <c r="J814" s="128"/>
      <c r="K814" s="132"/>
      <c r="L814" s="132"/>
      <c r="M814" s="133"/>
      <c r="N814" s="133"/>
      <c r="O814" s="133"/>
      <c r="P814" s="129"/>
      <c r="Z814" s="75"/>
      <c r="AA814" s="76"/>
      <c r="AB814" s="76"/>
      <c r="AC814" s="129"/>
      <c r="AD814" s="134"/>
      <c r="AE814" s="134"/>
      <c r="AF814" s="134"/>
      <c r="AG814" s="134"/>
      <c r="AH814" s="134"/>
      <c r="AI814" s="134"/>
      <c r="AJ814" s="134"/>
      <c r="AK814" s="134"/>
      <c r="AL814" s="134"/>
      <c r="AM814" s="134"/>
      <c r="AN814" s="134"/>
      <c r="AO814" s="134"/>
      <c r="AP814" s="134"/>
      <c r="AQ814" s="134"/>
      <c r="AR814" s="134"/>
      <c r="AS814" s="134"/>
      <c r="AT814" s="134"/>
      <c r="AU814" s="134"/>
      <c r="AV814" s="134"/>
      <c r="AW814" s="134"/>
      <c r="AX814" s="134"/>
      <c r="AY814" s="134"/>
      <c r="AZ814" s="134"/>
      <c r="BA814" s="134"/>
      <c r="BB814" s="134"/>
      <c r="BC814" s="134"/>
      <c r="BD814" s="134"/>
      <c r="BE814" s="134"/>
      <c r="BF814" s="134"/>
      <c r="BG814" s="134"/>
      <c r="BH814" s="134"/>
      <c r="BI814" s="134"/>
      <c r="BJ814" s="134"/>
      <c r="BK814" s="134"/>
      <c r="BL814" s="134"/>
      <c r="BM814" s="135"/>
      <c r="BN814" s="136" t="n">
        <f aca="false">+MAX($D$3,DATOS_[[#This Row],[Fecha Inicio Sit. Contract.]])</f>
        <v>0</v>
      </c>
      <c r="BO814" s="136" t="n">
        <f aca="false">+MIN($D$4,DATOS_[[#This Row],[Fecha Fin Sit. Contract.]])</f>
        <v>0</v>
      </c>
      <c r="BP814" s="137" t="n">
        <f aca="false">+DATOS_[[#This Row],[% de jornada]]*IF(DATOS_[[#This Row],[% jornada reducida]]="",1,DATOS_[[#This Row],[% jornada reducida]])</f>
        <v>0</v>
      </c>
      <c r="BQ814" s="137" t="n">
        <f aca="false">+(DATOS_[[#This Row],[F.fin.cal]]-DATOS_[[#This Row],[F.ini.cal]]+1)/($D$4-$D$3+1)</f>
        <v>1</v>
      </c>
      <c r="BR814" s="137" t="str">
        <f aca="false">IF(OR(AND(DATOS_[[#This Row],[Fecha Fin Contrato]]&lt;$D$3,DATOS_[[#This Row],[Fecha Fin Contrato]]&lt;&gt;""),DATOS_[[#This Row],[Fecha de Contratación]]&gt;$D$4),"Fuera","Dentro")</f>
        <v>Dentro</v>
      </c>
      <c r="BS814" s="137" t="str">
        <f aca="false" t="array" ref="BS814:BS814">IF(MAX(IF(DATOS_[id]=DATOS_[[#This Row],[id]],DATOS_[F.fin.cal]))=DATOS_[[#This Row],[F.fin.cal]],"Sí","NO")</f>
        <v>Sí</v>
      </c>
      <c r="BT814" s="137" t="str">
        <f aca="false">IF(AND(DATOS_[[#This Row],[% normaliz]]&lt;&gt;1,DATOS_[[#This Row],[% anualiz]]=1),"Sí","NO")</f>
        <v>Sí</v>
      </c>
      <c r="BU814" s="137" t="str">
        <f aca="false">IF(AND(DATOS_[[#This Row],[% normaliz]]=1,DATOS_[[#This Row],[% anualiz]]&lt;&gt;1),"Sí","NO")</f>
        <v>NO</v>
      </c>
      <c r="BV814" s="137" t="str">
        <f aca="false">IF(AND(DATOS_[[#This Row],[% normaliz]]&lt;&gt;1,DATOS_[[#This Row],[% anualiz]]&lt;&gt;1),"Sí","NO")</f>
        <v>NO</v>
      </c>
      <c r="BW814" s="137" t="str">
        <f aca="false">+IF(DATOS_[[#This Row],[% normaliz]]*DATOS_[[#This Row],[% anualiz]]=1,"NO","Sí")</f>
        <v>Sí</v>
      </c>
      <c r="BX814" s="138" t="e">
        <f aca="false">(DATOS_[[#This Row],[S.BASE]]*(1/DATOS_[[#This Row],[% normaliz]])*(1/DATOS_[[#This Row],[% anualiz]]))*IF(DATOS_[[#This Row],[Check Equiparado]]="Sí",1,0)</f>
        <v>#DIV/0!</v>
      </c>
      <c r="BY8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4" s="138" t="e">
        <f aca="false">+DATOS_[[#This Row],[SALARIO BASE Eq]]+DATOS_[[#This Row],[Tot COMPL.SAL Eq]]</f>
        <v>#DIV/0!</v>
      </c>
      <c r="CA814" s="138" t="e">
        <f aca="false" t="array" ref="CA814:CA8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4" s="138" t="e">
        <f aca="false">+DATOS_[[#This Row],[TOTAL SALARIO Eq]]+DATOS_[[#This Row],[Tot Extrasalarial Eq]]</f>
        <v>#DIV/0!</v>
      </c>
      <c r="CC814" s="139" t="n">
        <f aca="false">DATOS_[[#This Row],[S.BASE]]</f>
        <v>0</v>
      </c>
      <c r="CD814" s="139" t="n">
        <f aca="false">+SUM(DATOS_[[#This Row],[Conc.Sal.01]:[Conc.Sal.30]])</f>
        <v>0</v>
      </c>
      <c r="CE814" s="139" t="n">
        <f aca="false">+DATOS_[[#This Row],[SALARIO BASE Ef]]+DATOS_[[#This Row],[Tot COMPL.SAL Ef]]</f>
        <v>0</v>
      </c>
      <c r="CF814" s="139" t="n">
        <f aca="false">+SUM(DATOS_[[#This Row],[C.Extra.01]:[C.Extra.05]])</f>
        <v>0</v>
      </c>
      <c r="CG814" s="139" t="n">
        <f aca="false">+DATOS_[[#This Row],[TOTAL SALARIO Ef]]+DATOS_[[#This Row],[Tot Extrasalarial Ef]]</f>
        <v>0</v>
      </c>
      <c r="CH814" s="140" t="n">
        <f aca="false">MIN(IF(DATOS_[[#This Row],[Fecha Fin Contrato]]="",$D$4,DATOS_[[#This Row],[Fecha Fin Contrato]]),$D$4)-MAX(DATOS_[[#This Row],[Fecha de Contratación]],$D$3)+1</f>
        <v>1</v>
      </c>
      <c r="CI814" s="141" t="str">
        <f aca="false">IF(COUNTIFS(DATOS_[id],DATOS_[[#This Row],[id]])&gt;1,DATOS_[[#This Row],[id]],"")</f>
        <v/>
      </c>
      <c r="CJ814" s="141" t="n">
        <f aca="false">(Inicio!$G$10-DATOS_[[#This Row],[Fecha Nacimiento]])/365.25</f>
        <v>0</v>
      </c>
      <c r="CK814" s="141" t="n">
        <f aca="false">(Inicio!$G$10-DATOS_[[#This Row],[Fecha de Antigüedad]])/365.25</f>
        <v>0</v>
      </c>
      <c r="CL814" s="141" t="e">
        <f aca="false">+VLOOKUP(DATOS_[[#This Row],[Clave de Contrato]],TblTiposContrato13[],3,0)</f>
        <v>#N/A</v>
      </c>
      <c r="CM814" s="141" t="e">
        <f aca="false">+VLOOKUP(DATOS_[[#This Row],[Clave de Contrato]],TblTiposContrato13[],4,0)</f>
        <v>#N/A</v>
      </c>
      <c r="CN814" s="141" t="str">
        <f aca="false">VLOOKUP(DATOS_[[#This Row],[Edad]],CONTRATOS!TblRngEdad,2,1)</f>
        <v>20  o menos</v>
      </c>
      <c r="CO814" s="141" t="str">
        <f aca="false">VLOOKUP(DATOS_[[#This Row],[Antigüedad]],TblRngAntg14[],2,1)</f>
        <v>0 a 1 años</v>
      </c>
    </row>
    <row r="815" customFormat="false" ht="13.8" hidden="false" customHeight="false" outlineLevel="0" collapsed="false">
      <c r="D815" s="128"/>
      <c r="E815" s="129"/>
      <c r="F815" s="129"/>
      <c r="G815" s="129"/>
      <c r="H815" s="130"/>
      <c r="I815" s="131"/>
      <c r="J815" s="128"/>
      <c r="K815" s="132"/>
      <c r="L815" s="132"/>
      <c r="M815" s="133"/>
      <c r="N815" s="133"/>
      <c r="O815" s="133"/>
      <c r="P815" s="129"/>
      <c r="Z815" s="75"/>
      <c r="AA815" s="76"/>
      <c r="AB815" s="76"/>
      <c r="AC815" s="129"/>
      <c r="AD815" s="134"/>
      <c r="AE815" s="134"/>
      <c r="AF815" s="134"/>
      <c r="AG815" s="134"/>
      <c r="AH815" s="134"/>
      <c r="AI815" s="134"/>
      <c r="AJ815" s="134"/>
      <c r="AK815" s="134"/>
      <c r="AL815" s="134"/>
      <c r="AM815" s="134"/>
      <c r="AN815" s="134"/>
      <c r="AO815" s="134"/>
      <c r="AP815" s="134"/>
      <c r="AQ815" s="134"/>
      <c r="AR815" s="134"/>
      <c r="AS815" s="134"/>
      <c r="AT815" s="134"/>
      <c r="AU815" s="134"/>
      <c r="AV815" s="134"/>
      <c r="AW815" s="134"/>
      <c r="AX815" s="134"/>
      <c r="AY815" s="134"/>
      <c r="AZ815" s="134"/>
      <c r="BA815" s="134"/>
      <c r="BB815" s="134"/>
      <c r="BC815" s="134"/>
      <c r="BD815" s="134"/>
      <c r="BE815" s="134"/>
      <c r="BF815" s="134"/>
      <c r="BG815" s="134"/>
      <c r="BH815" s="134"/>
      <c r="BI815" s="134"/>
      <c r="BJ815" s="134"/>
      <c r="BK815" s="134"/>
      <c r="BL815" s="134"/>
      <c r="BM815" s="135"/>
      <c r="BN815" s="136" t="n">
        <f aca="false">+MAX($D$3,DATOS_[[#This Row],[Fecha Inicio Sit. Contract.]])</f>
        <v>0</v>
      </c>
      <c r="BO815" s="136" t="n">
        <f aca="false">+MIN($D$4,DATOS_[[#This Row],[Fecha Fin Sit. Contract.]])</f>
        <v>0</v>
      </c>
      <c r="BP815" s="137" t="n">
        <f aca="false">+DATOS_[[#This Row],[% de jornada]]*IF(DATOS_[[#This Row],[% jornada reducida]]="",1,DATOS_[[#This Row],[% jornada reducida]])</f>
        <v>0</v>
      </c>
      <c r="BQ815" s="137" t="n">
        <f aca="false">+(DATOS_[[#This Row],[F.fin.cal]]-DATOS_[[#This Row],[F.ini.cal]]+1)/($D$4-$D$3+1)</f>
        <v>1</v>
      </c>
      <c r="BR815" s="137" t="str">
        <f aca="false">IF(OR(AND(DATOS_[[#This Row],[Fecha Fin Contrato]]&lt;$D$3,DATOS_[[#This Row],[Fecha Fin Contrato]]&lt;&gt;""),DATOS_[[#This Row],[Fecha de Contratación]]&gt;$D$4),"Fuera","Dentro")</f>
        <v>Dentro</v>
      </c>
      <c r="BS815" s="137" t="str">
        <f aca="false" t="array" ref="BS815:BS815">IF(MAX(IF(DATOS_[id]=DATOS_[[#This Row],[id]],DATOS_[F.fin.cal]))=DATOS_[[#This Row],[F.fin.cal]],"Sí","NO")</f>
        <v>Sí</v>
      </c>
      <c r="BT815" s="137" t="str">
        <f aca="false">IF(AND(DATOS_[[#This Row],[% normaliz]]&lt;&gt;1,DATOS_[[#This Row],[% anualiz]]=1),"Sí","NO")</f>
        <v>Sí</v>
      </c>
      <c r="BU815" s="137" t="str">
        <f aca="false">IF(AND(DATOS_[[#This Row],[% normaliz]]=1,DATOS_[[#This Row],[% anualiz]]&lt;&gt;1),"Sí","NO")</f>
        <v>NO</v>
      </c>
      <c r="BV815" s="137" t="str">
        <f aca="false">IF(AND(DATOS_[[#This Row],[% normaliz]]&lt;&gt;1,DATOS_[[#This Row],[% anualiz]]&lt;&gt;1),"Sí","NO")</f>
        <v>NO</v>
      </c>
      <c r="BW815" s="137" t="str">
        <f aca="false">+IF(DATOS_[[#This Row],[% normaliz]]*DATOS_[[#This Row],[% anualiz]]=1,"NO","Sí")</f>
        <v>Sí</v>
      </c>
      <c r="BX815" s="138" t="e">
        <f aca="false">(DATOS_[[#This Row],[S.BASE]]*(1/DATOS_[[#This Row],[% normaliz]])*(1/DATOS_[[#This Row],[% anualiz]]))*IF(DATOS_[[#This Row],[Check Equiparado]]="Sí",1,0)</f>
        <v>#DIV/0!</v>
      </c>
      <c r="BY8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5" s="138" t="e">
        <f aca="false">+DATOS_[[#This Row],[SALARIO BASE Eq]]+DATOS_[[#This Row],[Tot COMPL.SAL Eq]]</f>
        <v>#DIV/0!</v>
      </c>
      <c r="CA815" s="138" t="e">
        <f aca="false" t="array" ref="CA815:CA8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5" s="138" t="e">
        <f aca="false">+DATOS_[[#This Row],[TOTAL SALARIO Eq]]+DATOS_[[#This Row],[Tot Extrasalarial Eq]]</f>
        <v>#DIV/0!</v>
      </c>
      <c r="CC815" s="139" t="n">
        <f aca="false">DATOS_[[#This Row],[S.BASE]]</f>
        <v>0</v>
      </c>
      <c r="CD815" s="139" t="n">
        <f aca="false">+SUM(DATOS_[[#This Row],[Conc.Sal.01]:[Conc.Sal.30]])</f>
        <v>0</v>
      </c>
      <c r="CE815" s="139" t="n">
        <f aca="false">+DATOS_[[#This Row],[SALARIO BASE Ef]]+DATOS_[[#This Row],[Tot COMPL.SAL Ef]]</f>
        <v>0</v>
      </c>
      <c r="CF815" s="139" t="n">
        <f aca="false">+SUM(DATOS_[[#This Row],[C.Extra.01]:[C.Extra.05]])</f>
        <v>0</v>
      </c>
      <c r="CG815" s="139" t="n">
        <f aca="false">+DATOS_[[#This Row],[TOTAL SALARIO Ef]]+DATOS_[[#This Row],[Tot Extrasalarial Ef]]</f>
        <v>0</v>
      </c>
      <c r="CH815" s="140" t="n">
        <f aca="false">MIN(IF(DATOS_[[#This Row],[Fecha Fin Contrato]]="",$D$4,DATOS_[[#This Row],[Fecha Fin Contrato]]),$D$4)-MAX(DATOS_[[#This Row],[Fecha de Contratación]],$D$3)+1</f>
        <v>1</v>
      </c>
      <c r="CI815" s="141" t="str">
        <f aca="false">IF(COUNTIFS(DATOS_[id],DATOS_[[#This Row],[id]])&gt;1,DATOS_[[#This Row],[id]],"")</f>
        <v/>
      </c>
      <c r="CJ815" s="141" t="n">
        <f aca="false">(Inicio!$G$10-DATOS_[[#This Row],[Fecha Nacimiento]])/365.25</f>
        <v>0</v>
      </c>
      <c r="CK815" s="141" t="n">
        <f aca="false">(Inicio!$G$10-DATOS_[[#This Row],[Fecha de Antigüedad]])/365.25</f>
        <v>0</v>
      </c>
      <c r="CL815" s="141" t="e">
        <f aca="false">+VLOOKUP(DATOS_[[#This Row],[Clave de Contrato]],TblTiposContrato13[],3,0)</f>
        <v>#N/A</v>
      </c>
      <c r="CM815" s="141" t="e">
        <f aca="false">+VLOOKUP(DATOS_[[#This Row],[Clave de Contrato]],TblTiposContrato13[],4,0)</f>
        <v>#N/A</v>
      </c>
      <c r="CN815" s="141" t="str">
        <f aca="false">VLOOKUP(DATOS_[[#This Row],[Edad]],CONTRATOS!TblRngEdad,2,1)</f>
        <v>20  o menos</v>
      </c>
      <c r="CO815" s="141" t="str">
        <f aca="false">VLOOKUP(DATOS_[[#This Row],[Antigüedad]],TblRngAntg14[],2,1)</f>
        <v>0 a 1 años</v>
      </c>
    </row>
    <row r="816" customFormat="false" ht="13.8" hidden="false" customHeight="false" outlineLevel="0" collapsed="false">
      <c r="D816" s="128"/>
      <c r="E816" s="129"/>
      <c r="F816" s="129"/>
      <c r="G816" s="129"/>
      <c r="H816" s="130"/>
      <c r="I816" s="131"/>
      <c r="J816" s="128"/>
      <c r="K816" s="132"/>
      <c r="L816" s="132"/>
      <c r="M816" s="133"/>
      <c r="N816" s="133"/>
      <c r="O816" s="133"/>
      <c r="P816" s="129"/>
      <c r="Z816" s="75"/>
      <c r="AA816" s="76"/>
      <c r="AB816" s="76"/>
      <c r="AC816" s="129"/>
      <c r="AD816" s="134"/>
      <c r="AE816" s="134"/>
      <c r="AF816" s="134"/>
      <c r="AG816" s="134"/>
      <c r="AH816" s="134"/>
      <c r="AI816" s="134"/>
      <c r="AJ816" s="134"/>
      <c r="AK816" s="134"/>
      <c r="AL816" s="134"/>
      <c r="AM816" s="134"/>
      <c r="AN816" s="134"/>
      <c r="AO816" s="134"/>
      <c r="AP816" s="134"/>
      <c r="AQ816" s="134"/>
      <c r="AR816" s="134"/>
      <c r="AS816" s="134"/>
      <c r="AT816" s="134"/>
      <c r="AU816" s="134"/>
      <c r="AV816" s="134"/>
      <c r="AW816" s="134"/>
      <c r="AX816" s="134"/>
      <c r="AY816" s="134"/>
      <c r="AZ816" s="134"/>
      <c r="BA816" s="134"/>
      <c r="BB816" s="134"/>
      <c r="BC816" s="134"/>
      <c r="BD816" s="134"/>
      <c r="BE816" s="134"/>
      <c r="BF816" s="134"/>
      <c r="BG816" s="134"/>
      <c r="BH816" s="134"/>
      <c r="BI816" s="134"/>
      <c r="BJ816" s="134"/>
      <c r="BK816" s="134"/>
      <c r="BL816" s="134"/>
      <c r="BM816" s="135"/>
      <c r="BN816" s="136" t="n">
        <f aca="false">+MAX($D$3,DATOS_[[#This Row],[Fecha Inicio Sit. Contract.]])</f>
        <v>0</v>
      </c>
      <c r="BO816" s="136" t="n">
        <f aca="false">+MIN($D$4,DATOS_[[#This Row],[Fecha Fin Sit. Contract.]])</f>
        <v>0</v>
      </c>
      <c r="BP816" s="137" t="n">
        <f aca="false">+DATOS_[[#This Row],[% de jornada]]*IF(DATOS_[[#This Row],[% jornada reducida]]="",1,DATOS_[[#This Row],[% jornada reducida]])</f>
        <v>0</v>
      </c>
      <c r="BQ816" s="137" t="n">
        <f aca="false">+(DATOS_[[#This Row],[F.fin.cal]]-DATOS_[[#This Row],[F.ini.cal]]+1)/($D$4-$D$3+1)</f>
        <v>1</v>
      </c>
      <c r="BR816" s="137" t="str">
        <f aca="false">IF(OR(AND(DATOS_[[#This Row],[Fecha Fin Contrato]]&lt;$D$3,DATOS_[[#This Row],[Fecha Fin Contrato]]&lt;&gt;""),DATOS_[[#This Row],[Fecha de Contratación]]&gt;$D$4),"Fuera","Dentro")</f>
        <v>Dentro</v>
      </c>
      <c r="BS816" s="137" t="str">
        <f aca="false" t="array" ref="BS816:BS816">IF(MAX(IF(DATOS_[id]=DATOS_[[#This Row],[id]],DATOS_[F.fin.cal]))=DATOS_[[#This Row],[F.fin.cal]],"Sí","NO")</f>
        <v>Sí</v>
      </c>
      <c r="BT816" s="137" t="str">
        <f aca="false">IF(AND(DATOS_[[#This Row],[% normaliz]]&lt;&gt;1,DATOS_[[#This Row],[% anualiz]]=1),"Sí","NO")</f>
        <v>Sí</v>
      </c>
      <c r="BU816" s="137" t="str">
        <f aca="false">IF(AND(DATOS_[[#This Row],[% normaliz]]=1,DATOS_[[#This Row],[% anualiz]]&lt;&gt;1),"Sí","NO")</f>
        <v>NO</v>
      </c>
      <c r="BV816" s="137" t="str">
        <f aca="false">IF(AND(DATOS_[[#This Row],[% normaliz]]&lt;&gt;1,DATOS_[[#This Row],[% anualiz]]&lt;&gt;1),"Sí","NO")</f>
        <v>NO</v>
      </c>
      <c r="BW816" s="137" t="str">
        <f aca="false">+IF(DATOS_[[#This Row],[% normaliz]]*DATOS_[[#This Row],[% anualiz]]=1,"NO","Sí")</f>
        <v>Sí</v>
      </c>
      <c r="BX816" s="138" t="e">
        <f aca="false">(DATOS_[[#This Row],[S.BASE]]*(1/DATOS_[[#This Row],[% normaliz]])*(1/DATOS_[[#This Row],[% anualiz]]))*IF(DATOS_[[#This Row],[Check Equiparado]]="Sí",1,0)</f>
        <v>#DIV/0!</v>
      </c>
      <c r="BY8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6" s="138" t="e">
        <f aca="false">+DATOS_[[#This Row],[SALARIO BASE Eq]]+DATOS_[[#This Row],[Tot COMPL.SAL Eq]]</f>
        <v>#DIV/0!</v>
      </c>
      <c r="CA816" s="138" t="e">
        <f aca="false" t="array" ref="CA816:CA8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6" s="138" t="e">
        <f aca="false">+DATOS_[[#This Row],[TOTAL SALARIO Eq]]+DATOS_[[#This Row],[Tot Extrasalarial Eq]]</f>
        <v>#DIV/0!</v>
      </c>
      <c r="CC816" s="139" t="n">
        <f aca="false">DATOS_[[#This Row],[S.BASE]]</f>
        <v>0</v>
      </c>
      <c r="CD816" s="139" t="n">
        <f aca="false">+SUM(DATOS_[[#This Row],[Conc.Sal.01]:[Conc.Sal.30]])</f>
        <v>0</v>
      </c>
      <c r="CE816" s="139" t="n">
        <f aca="false">+DATOS_[[#This Row],[SALARIO BASE Ef]]+DATOS_[[#This Row],[Tot COMPL.SAL Ef]]</f>
        <v>0</v>
      </c>
      <c r="CF816" s="139" t="n">
        <f aca="false">+SUM(DATOS_[[#This Row],[C.Extra.01]:[C.Extra.05]])</f>
        <v>0</v>
      </c>
      <c r="CG816" s="139" t="n">
        <f aca="false">+DATOS_[[#This Row],[TOTAL SALARIO Ef]]+DATOS_[[#This Row],[Tot Extrasalarial Ef]]</f>
        <v>0</v>
      </c>
      <c r="CH816" s="140" t="n">
        <f aca="false">MIN(IF(DATOS_[[#This Row],[Fecha Fin Contrato]]="",$D$4,DATOS_[[#This Row],[Fecha Fin Contrato]]),$D$4)-MAX(DATOS_[[#This Row],[Fecha de Contratación]],$D$3)+1</f>
        <v>1</v>
      </c>
      <c r="CI816" s="141" t="str">
        <f aca="false">IF(COUNTIFS(DATOS_[id],DATOS_[[#This Row],[id]])&gt;1,DATOS_[[#This Row],[id]],"")</f>
        <v/>
      </c>
      <c r="CJ816" s="141" t="n">
        <f aca="false">(Inicio!$G$10-DATOS_[[#This Row],[Fecha Nacimiento]])/365.25</f>
        <v>0</v>
      </c>
      <c r="CK816" s="141" t="n">
        <f aca="false">(Inicio!$G$10-DATOS_[[#This Row],[Fecha de Antigüedad]])/365.25</f>
        <v>0</v>
      </c>
      <c r="CL816" s="141" t="e">
        <f aca="false">+VLOOKUP(DATOS_[[#This Row],[Clave de Contrato]],TblTiposContrato13[],3,0)</f>
        <v>#N/A</v>
      </c>
      <c r="CM816" s="141" t="e">
        <f aca="false">+VLOOKUP(DATOS_[[#This Row],[Clave de Contrato]],TblTiposContrato13[],4,0)</f>
        <v>#N/A</v>
      </c>
      <c r="CN816" s="141" t="str">
        <f aca="false">VLOOKUP(DATOS_[[#This Row],[Edad]],CONTRATOS!TblRngEdad,2,1)</f>
        <v>20  o menos</v>
      </c>
      <c r="CO816" s="141" t="str">
        <f aca="false">VLOOKUP(DATOS_[[#This Row],[Antigüedad]],TblRngAntg14[],2,1)</f>
        <v>0 a 1 años</v>
      </c>
    </row>
    <row r="817" customFormat="false" ht="13.8" hidden="false" customHeight="false" outlineLevel="0" collapsed="false">
      <c r="D817" s="128"/>
      <c r="E817" s="129"/>
      <c r="F817" s="129"/>
      <c r="G817" s="129"/>
      <c r="H817" s="130"/>
      <c r="I817" s="131"/>
      <c r="J817" s="128"/>
      <c r="K817" s="132"/>
      <c r="L817" s="132"/>
      <c r="M817" s="133"/>
      <c r="N817" s="133"/>
      <c r="O817" s="133"/>
      <c r="P817" s="129"/>
      <c r="Z817" s="75"/>
      <c r="AA817" s="76"/>
      <c r="AB817" s="76"/>
      <c r="AC817" s="129"/>
      <c r="AD817" s="134"/>
      <c r="AE817" s="134"/>
      <c r="AF817" s="134"/>
      <c r="AG817" s="134"/>
      <c r="AH817" s="134"/>
      <c r="AI817" s="134"/>
      <c r="AJ817" s="134"/>
      <c r="AK817" s="134"/>
      <c r="AL817" s="134"/>
      <c r="AM817" s="134"/>
      <c r="AN817" s="134"/>
      <c r="AO817" s="134"/>
      <c r="AP817" s="134"/>
      <c r="AQ817" s="134"/>
      <c r="AR817" s="134"/>
      <c r="AS817" s="134"/>
      <c r="AT817" s="134"/>
      <c r="AU817" s="134"/>
      <c r="AV817" s="134"/>
      <c r="AW817" s="134"/>
      <c r="AX817" s="134"/>
      <c r="AY817" s="134"/>
      <c r="AZ817" s="134"/>
      <c r="BA817" s="134"/>
      <c r="BB817" s="134"/>
      <c r="BC817" s="134"/>
      <c r="BD817" s="134"/>
      <c r="BE817" s="134"/>
      <c r="BF817" s="134"/>
      <c r="BG817" s="134"/>
      <c r="BH817" s="134"/>
      <c r="BI817" s="134"/>
      <c r="BJ817" s="134"/>
      <c r="BK817" s="134"/>
      <c r="BL817" s="134"/>
      <c r="BM817" s="135"/>
      <c r="BN817" s="136" t="n">
        <f aca="false">+MAX($D$3,DATOS_[[#This Row],[Fecha Inicio Sit. Contract.]])</f>
        <v>0</v>
      </c>
      <c r="BO817" s="136" t="n">
        <f aca="false">+MIN($D$4,DATOS_[[#This Row],[Fecha Fin Sit. Contract.]])</f>
        <v>0</v>
      </c>
      <c r="BP817" s="137" t="n">
        <f aca="false">+DATOS_[[#This Row],[% de jornada]]*IF(DATOS_[[#This Row],[% jornada reducida]]="",1,DATOS_[[#This Row],[% jornada reducida]])</f>
        <v>0</v>
      </c>
      <c r="BQ817" s="137" t="n">
        <f aca="false">+(DATOS_[[#This Row],[F.fin.cal]]-DATOS_[[#This Row],[F.ini.cal]]+1)/($D$4-$D$3+1)</f>
        <v>1</v>
      </c>
      <c r="BR817" s="137" t="str">
        <f aca="false">IF(OR(AND(DATOS_[[#This Row],[Fecha Fin Contrato]]&lt;$D$3,DATOS_[[#This Row],[Fecha Fin Contrato]]&lt;&gt;""),DATOS_[[#This Row],[Fecha de Contratación]]&gt;$D$4),"Fuera","Dentro")</f>
        <v>Dentro</v>
      </c>
      <c r="BS817" s="137" t="str">
        <f aca="false" t="array" ref="BS817:BS817">IF(MAX(IF(DATOS_[id]=DATOS_[[#This Row],[id]],DATOS_[F.fin.cal]))=DATOS_[[#This Row],[F.fin.cal]],"Sí","NO")</f>
        <v>Sí</v>
      </c>
      <c r="BT817" s="137" t="str">
        <f aca="false">IF(AND(DATOS_[[#This Row],[% normaliz]]&lt;&gt;1,DATOS_[[#This Row],[% anualiz]]=1),"Sí","NO")</f>
        <v>Sí</v>
      </c>
      <c r="BU817" s="137" t="str">
        <f aca="false">IF(AND(DATOS_[[#This Row],[% normaliz]]=1,DATOS_[[#This Row],[% anualiz]]&lt;&gt;1),"Sí","NO")</f>
        <v>NO</v>
      </c>
      <c r="BV817" s="137" t="str">
        <f aca="false">IF(AND(DATOS_[[#This Row],[% normaliz]]&lt;&gt;1,DATOS_[[#This Row],[% anualiz]]&lt;&gt;1),"Sí","NO")</f>
        <v>NO</v>
      </c>
      <c r="BW817" s="137" t="str">
        <f aca="false">+IF(DATOS_[[#This Row],[% normaliz]]*DATOS_[[#This Row],[% anualiz]]=1,"NO","Sí")</f>
        <v>Sí</v>
      </c>
      <c r="BX817" s="138" t="e">
        <f aca="false">(DATOS_[[#This Row],[S.BASE]]*(1/DATOS_[[#This Row],[% normaliz]])*(1/DATOS_[[#This Row],[% anualiz]]))*IF(DATOS_[[#This Row],[Check Equiparado]]="Sí",1,0)</f>
        <v>#DIV/0!</v>
      </c>
      <c r="BY8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7" s="138" t="e">
        <f aca="false">+DATOS_[[#This Row],[SALARIO BASE Eq]]+DATOS_[[#This Row],[Tot COMPL.SAL Eq]]</f>
        <v>#DIV/0!</v>
      </c>
      <c r="CA817" s="138" t="e">
        <f aca="false" t="array" ref="CA817:CA8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7" s="138" t="e">
        <f aca="false">+DATOS_[[#This Row],[TOTAL SALARIO Eq]]+DATOS_[[#This Row],[Tot Extrasalarial Eq]]</f>
        <v>#DIV/0!</v>
      </c>
      <c r="CC817" s="139" t="n">
        <f aca="false">DATOS_[[#This Row],[S.BASE]]</f>
        <v>0</v>
      </c>
      <c r="CD817" s="139" t="n">
        <f aca="false">+SUM(DATOS_[[#This Row],[Conc.Sal.01]:[Conc.Sal.30]])</f>
        <v>0</v>
      </c>
      <c r="CE817" s="139" t="n">
        <f aca="false">+DATOS_[[#This Row],[SALARIO BASE Ef]]+DATOS_[[#This Row],[Tot COMPL.SAL Ef]]</f>
        <v>0</v>
      </c>
      <c r="CF817" s="139" t="n">
        <f aca="false">+SUM(DATOS_[[#This Row],[C.Extra.01]:[C.Extra.05]])</f>
        <v>0</v>
      </c>
      <c r="CG817" s="139" t="n">
        <f aca="false">+DATOS_[[#This Row],[TOTAL SALARIO Ef]]+DATOS_[[#This Row],[Tot Extrasalarial Ef]]</f>
        <v>0</v>
      </c>
      <c r="CH817" s="140" t="n">
        <f aca="false">MIN(IF(DATOS_[[#This Row],[Fecha Fin Contrato]]="",$D$4,DATOS_[[#This Row],[Fecha Fin Contrato]]),$D$4)-MAX(DATOS_[[#This Row],[Fecha de Contratación]],$D$3)+1</f>
        <v>1</v>
      </c>
      <c r="CI817" s="141" t="str">
        <f aca="false">IF(COUNTIFS(DATOS_[id],DATOS_[[#This Row],[id]])&gt;1,DATOS_[[#This Row],[id]],"")</f>
        <v/>
      </c>
      <c r="CJ817" s="141" t="n">
        <f aca="false">(Inicio!$G$10-DATOS_[[#This Row],[Fecha Nacimiento]])/365.25</f>
        <v>0</v>
      </c>
      <c r="CK817" s="141" t="n">
        <f aca="false">(Inicio!$G$10-DATOS_[[#This Row],[Fecha de Antigüedad]])/365.25</f>
        <v>0</v>
      </c>
      <c r="CL817" s="141" t="e">
        <f aca="false">+VLOOKUP(DATOS_[[#This Row],[Clave de Contrato]],TblTiposContrato13[],3,0)</f>
        <v>#N/A</v>
      </c>
      <c r="CM817" s="141" t="e">
        <f aca="false">+VLOOKUP(DATOS_[[#This Row],[Clave de Contrato]],TblTiposContrato13[],4,0)</f>
        <v>#N/A</v>
      </c>
      <c r="CN817" s="141" t="str">
        <f aca="false">VLOOKUP(DATOS_[[#This Row],[Edad]],CONTRATOS!TblRngEdad,2,1)</f>
        <v>20  o menos</v>
      </c>
      <c r="CO817" s="141" t="str">
        <f aca="false">VLOOKUP(DATOS_[[#This Row],[Antigüedad]],TblRngAntg14[],2,1)</f>
        <v>0 a 1 años</v>
      </c>
    </row>
    <row r="818" customFormat="false" ht="13.8" hidden="false" customHeight="false" outlineLevel="0" collapsed="false">
      <c r="D818" s="128"/>
      <c r="E818" s="129"/>
      <c r="F818" s="129"/>
      <c r="G818" s="129"/>
      <c r="H818" s="130"/>
      <c r="I818" s="131"/>
      <c r="J818" s="128"/>
      <c r="K818" s="132"/>
      <c r="L818" s="132"/>
      <c r="M818" s="133"/>
      <c r="N818" s="133"/>
      <c r="O818" s="133"/>
      <c r="P818" s="129"/>
      <c r="Z818" s="75"/>
      <c r="AA818" s="76"/>
      <c r="AB818" s="76"/>
      <c r="AC818" s="129"/>
      <c r="AD818" s="134"/>
      <c r="AE818" s="134"/>
      <c r="AF818" s="134"/>
      <c r="AG818" s="134"/>
      <c r="AH818" s="134"/>
      <c r="AI818" s="134"/>
      <c r="AJ818" s="134"/>
      <c r="AK818" s="134"/>
      <c r="AL818" s="134"/>
      <c r="AM818" s="134"/>
      <c r="AN818" s="134"/>
      <c r="AO818" s="134"/>
      <c r="AP818" s="134"/>
      <c r="AQ818" s="134"/>
      <c r="AR818" s="134"/>
      <c r="AS818" s="134"/>
      <c r="AT818" s="134"/>
      <c r="AU818" s="134"/>
      <c r="AV818" s="134"/>
      <c r="AW818" s="134"/>
      <c r="AX818" s="134"/>
      <c r="AY818" s="134"/>
      <c r="AZ818" s="134"/>
      <c r="BA818" s="134"/>
      <c r="BB818" s="134"/>
      <c r="BC818" s="134"/>
      <c r="BD818" s="134"/>
      <c r="BE818" s="134"/>
      <c r="BF818" s="134"/>
      <c r="BG818" s="134"/>
      <c r="BH818" s="134"/>
      <c r="BI818" s="134"/>
      <c r="BJ818" s="134"/>
      <c r="BK818" s="134"/>
      <c r="BL818" s="134"/>
      <c r="BM818" s="135"/>
      <c r="BN818" s="136" t="n">
        <f aca="false">+MAX($D$3,DATOS_[[#This Row],[Fecha Inicio Sit. Contract.]])</f>
        <v>0</v>
      </c>
      <c r="BO818" s="136" t="n">
        <f aca="false">+MIN($D$4,DATOS_[[#This Row],[Fecha Fin Sit. Contract.]])</f>
        <v>0</v>
      </c>
      <c r="BP818" s="137" t="n">
        <f aca="false">+DATOS_[[#This Row],[% de jornada]]*IF(DATOS_[[#This Row],[% jornada reducida]]="",1,DATOS_[[#This Row],[% jornada reducida]])</f>
        <v>0</v>
      </c>
      <c r="BQ818" s="137" t="n">
        <f aca="false">+(DATOS_[[#This Row],[F.fin.cal]]-DATOS_[[#This Row],[F.ini.cal]]+1)/($D$4-$D$3+1)</f>
        <v>1</v>
      </c>
      <c r="BR818" s="137" t="str">
        <f aca="false">IF(OR(AND(DATOS_[[#This Row],[Fecha Fin Contrato]]&lt;$D$3,DATOS_[[#This Row],[Fecha Fin Contrato]]&lt;&gt;""),DATOS_[[#This Row],[Fecha de Contratación]]&gt;$D$4),"Fuera","Dentro")</f>
        <v>Dentro</v>
      </c>
      <c r="BS818" s="137" t="str">
        <f aca="false" t="array" ref="BS818:BS818">IF(MAX(IF(DATOS_[id]=DATOS_[[#This Row],[id]],DATOS_[F.fin.cal]))=DATOS_[[#This Row],[F.fin.cal]],"Sí","NO")</f>
        <v>Sí</v>
      </c>
      <c r="BT818" s="137" t="str">
        <f aca="false">IF(AND(DATOS_[[#This Row],[% normaliz]]&lt;&gt;1,DATOS_[[#This Row],[% anualiz]]=1),"Sí","NO")</f>
        <v>Sí</v>
      </c>
      <c r="BU818" s="137" t="str">
        <f aca="false">IF(AND(DATOS_[[#This Row],[% normaliz]]=1,DATOS_[[#This Row],[% anualiz]]&lt;&gt;1),"Sí","NO")</f>
        <v>NO</v>
      </c>
      <c r="BV818" s="137" t="str">
        <f aca="false">IF(AND(DATOS_[[#This Row],[% normaliz]]&lt;&gt;1,DATOS_[[#This Row],[% anualiz]]&lt;&gt;1),"Sí","NO")</f>
        <v>NO</v>
      </c>
      <c r="BW818" s="137" t="str">
        <f aca="false">+IF(DATOS_[[#This Row],[% normaliz]]*DATOS_[[#This Row],[% anualiz]]=1,"NO","Sí")</f>
        <v>Sí</v>
      </c>
      <c r="BX818" s="138" t="e">
        <f aca="false">(DATOS_[[#This Row],[S.BASE]]*(1/DATOS_[[#This Row],[% normaliz]])*(1/DATOS_[[#This Row],[% anualiz]]))*IF(DATOS_[[#This Row],[Check Equiparado]]="Sí",1,0)</f>
        <v>#DIV/0!</v>
      </c>
      <c r="BY8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8" s="138" t="e">
        <f aca="false">+DATOS_[[#This Row],[SALARIO BASE Eq]]+DATOS_[[#This Row],[Tot COMPL.SAL Eq]]</f>
        <v>#DIV/0!</v>
      </c>
      <c r="CA818" s="138" t="e">
        <f aca="false" t="array" ref="CA818:CA8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8" s="138" t="e">
        <f aca="false">+DATOS_[[#This Row],[TOTAL SALARIO Eq]]+DATOS_[[#This Row],[Tot Extrasalarial Eq]]</f>
        <v>#DIV/0!</v>
      </c>
      <c r="CC818" s="139" t="n">
        <f aca="false">DATOS_[[#This Row],[S.BASE]]</f>
        <v>0</v>
      </c>
      <c r="CD818" s="139" t="n">
        <f aca="false">+SUM(DATOS_[[#This Row],[Conc.Sal.01]:[Conc.Sal.30]])</f>
        <v>0</v>
      </c>
      <c r="CE818" s="139" t="n">
        <f aca="false">+DATOS_[[#This Row],[SALARIO BASE Ef]]+DATOS_[[#This Row],[Tot COMPL.SAL Ef]]</f>
        <v>0</v>
      </c>
      <c r="CF818" s="139" t="n">
        <f aca="false">+SUM(DATOS_[[#This Row],[C.Extra.01]:[C.Extra.05]])</f>
        <v>0</v>
      </c>
      <c r="CG818" s="139" t="n">
        <f aca="false">+DATOS_[[#This Row],[TOTAL SALARIO Ef]]+DATOS_[[#This Row],[Tot Extrasalarial Ef]]</f>
        <v>0</v>
      </c>
      <c r="CH818" s="140" t="n">
        <f aca="false">MIN(IF(DATOS_[[#This Row],[Fecha Fin Contrato]]="",$D$4,DATOS_[[#This Row],[Fecha Fin Contrato]]),$D$4)-MAX(DATOS_[[#This Row],[Fecha de Contratación]],$D$3)+1</f>
        <v>1</v>
      </c>
      <c r="CI818" s="141" t="str">
        <f aca="false">IF(COUNTIFS(DATOS_[id],DATOS_[[#This Row],[id]])&gt;1,DATOS_[[#This Row],[id]],"")</f>
        <v/>
      </c>
      <c r="CJ818" s="141" t="n">
        <f aca="false">(Inicio!$G$10-DATOS_[[#This Row],[Fecha Nacimiento]])/365.25</f>
        <v>0</v>
      </c>
      <c r="CK818" s="141" t="n">
        <f aca="false">(Inicio!$G$10-DATOS_[[#This Row],[Fecha de Antigüedad]])/365.25</f>
        <v>0</v>
      </c>
      <c r="CL818" s="141" t="e">
        <f aca="false">+VLOOKUP(DATOS_[[#This Row],[Clave de Contrato]],TblTiposContrato13[],3,0)</f>
        <v>#N/A</v>
      </c>
      <c r="CM818" s="141" t="e">
        <f aca="false">+VLOOKUP(DATOS_[[#This Row],[Clave de Contrato]],TblTiposContrato13[],4,0)</f>
        <v>#N/A</v>
      </c>
      <c r="CN818" s="141" t="str">
        <f aca="false">VLOOKUP(DATOS_[[#This Row],[Edad]],CONTRATOS!TblRngEdad,2,1)</f>
        <v>20  o menos</v>
      </c>
      <c r="CO818" s="141" t="str">
        <f aca="false">VLOOKUP(DATOS_[[#This Row],[Antigüedad]],TblRngAntg14[],2,1)</f>
        <v>0 a 1 años</v>
      </c>
    </row>
    <row r="819" customFormat="false" ht="13.8" hidden="false" customHeight="false" outlineLevel="0" collapsed="false">
      <c r="D819" s="128"/>
      <c r="E819" s="129"/>
      <c r="F819" s="129"/>
      <c r="G819" s="129"/>
      <c r="H819" s="130"/>
      <c r="I819" s="131"/>
      <c r="J819" s="128"/>
      <c r="K819" s="132"/>
      <c r="L819" s="132"/>
      <c r="M819" s="133"/>
      <c r="N819" s="133"/>
      <c r="O819" s="133"/>
      <c r="P819" s="129"/>
      <c r="Z819" s="75"/>
      <c r="AA819" s="76"/>
      <c r="AB819" s="76"/>
      <c r="AC819" s="129"/>
      <c r="AD819" s="134"/>
      <c r="AE819" s="134"/>
      <c r="AF819" s="134"/>
      <c r="AG819" s="134"/>
      <c r="AH819" s="134"/>
      <c r="AI819" s="134"/>
      <c r="AJ819" s="134"/>
      <c r="AK819" s="134"/>
      <c r="AL819" s="134"/>
      <c r="AM819" s="134"/>
      <c r="AN819" s="134"/>
      <c r="AO819" s="134"/>
      <c r="AP819" s="134"/>
      <c r="AQ819" s="134"/>
      <c r="AR819" s="134"/>
      <c r="AS819" s="134"/>
      <c r="AT819" s="134"/>
      <c r="AU819" s="134"/>
      <c r="AV819" s="134"/>
      <c r="AW819" s="134"/>
      <c r="AX819" s="134"/>
      <c r="AY819" s="134"/>
      <c r="AZ819" s="134"/>
      <c r="BA819" s="134"/>
      <c r="BB819" s="134"/>
      <c r="BC819" s="134"/>
      <c r="BD819" s="134"/>
      <c r="BE819" s="134"/>
      <c r="BF819" s="134"/>
      <c r="BG819" s="134"/>
      <c r="BH819" s="134"/>
      <c r="BI819" s="134"/>
      <c r="BJ819" s="134"/>
      <c r="BK819" s="134"/>
      <c r="BL819" s="134"/>
      <c r="BM819" s="135"/>
      <c r="BN819" s="136" t="n">
        <f aca="false">+MAX($D$3,DATOS_[[#This Row],[Fecha Inicio Sit. Contract.]])</f>
        <v>0</v>
      </c>
      <c r="BO819" s="136" t="n">
        <f aca="false">+MIN($D$4,DATOS_[[#This Row],[Fecha Fin Sit. Contract.]])</f>
        <v>0</v>
      </c>
      <c r="BP819" s="137" t="n">
        <f aca="false">+DATOS_[[#This Row],[% de jornada]]*IF(DATOS_[[#This Row],[% jornada reducida]]="",1,DATOS_[[#This Row],[% jornada reducida]])</f>
        <v>0</v>
      </c>
      <c r="BQ819" s="137" t="n">
        <f aca="false">+(DATOS_[[#This Row],[F.fin.cal]]-DATOS_[[#This Row],[F.ini.cal]]+1)/($D$4-$D$3+1)</f>
        <v>1</v>
      </c>
      <c r="BR819" s="137" t="str">
        <f aca="false">IF(OR(AND(DATOS_[[#This Row],[Fecha Fin Contrato]]&lt;$D$3,DATOS_[[#This Row],[Fecha Fin Contrato]]&lt;&gt;""),DATOS_[[#This Row],[Fecha de Contratación]]&gt;$D$4),"Fuera","Dentro")</f>
        <v>Dentro</v>
      </c>
      <c r="BS819" s="137" t="str">
        <f aca="false" t="array" ref="BS819:BS819">IF(MAX(IF(DATOS_[id]=DATOS_[[#This Row],[id]],DATOS_[F.fin.cal]))=DATOS_[[#This Row],[F.fin.cal]],"Sí","NO")</f>
        <v>Sí</v>
      </c>
      <c r="BT819" s="137" t="str">
        <f aca="false">IF(AND(DATOS_[[#This Row],[% normaliz]]&lt;&gt;1,DATOS_[[#This Row],[% anualiz]]=1),"Sí","NO")</f>
        <v>Sí</v>
      </c>
      <c r="BU819" s="137" t="str">
        <f aca="false">IF(AND(DATOS_[[#This Row],[% normaliz]]=1,DATOS_[[#This Row],[% anualiz]]&lt;&gt;1),"Sí","NO")</f>
        <v>NO</v>
      </c>
      <c r="BV819" s="137" t="str">
        <f aca="false">IF(AND(DATOS_[[#This Row],[% normaliz]]&lt;&gt;1,DATOS_[[#This Row],[% anualiz]]&lt;&gt;1),"Sí","NO")</f>
        <v>NO</v>
      </c>
      <c r="BW819" s="137" t="str">
        <f aca="false">+IF(DATOS_[[#This Row],[% normaliz]]*DATOS_[[#This Row],[% anualiz]]=1,"NO","Sí")</f>
        <v>Sí</v>
      </c>
      <c r="BX819" s="138" t="e">
        <f aca="false">(DATOS_[[#This Row],[S.BASE]]*(1/DATOS_[[#This Row],[% normaliz]])*(1/DATOS_[[#This Row],[% anualiz]]))*IF(DATOS_[[#This Row],[Check Equiparado]]="Sí",1,0)</f>
        <v>#DIV/0!</v>
      </c>
      <c r="BY8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9" s="138" t="e">
        <f aca="false">+DATOS_[[#This Row],[SALARIO BASE Eq]]+DATOS_[[#This Row],[Tot COMPL.SAL Eq]]</f>
        <v>#DIV/0!</v>
      </c>
      <c r="CA819" s="138" t="e">
        <f aca="false" t="array" ref="CA819:CA8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9" s="138" t="e">
        <f aca="false">+DATOS_[[#This Row],[TOTAL SALARIO Eq]]+DATOS_[[#This Row],[Tot Extrasalarial Eq]]</f>
        <v>#DIV/0!</v>
      </c>
      <c r="CC819" s="139" t="n">
        <f aca="false">DATOS_[[#This Row],[S.BASE]]</f>
        <v>0</v>
      </c>
      <c r="CD819" s="139" t="n">
        <f aca="false">+SUM(DATOS_[[#This Row],[Conc.Sal.01]:[Conc.Sal.30]])</f>
        <v>0</v>
      </c>
      <c r="CE819" s="139" t="n">
        <f aca="false">+DATOS_[[#This Row],[SALARIO BASE Ef]]+DATOS_[[#This Row],[Tot COMPL.SAL Ef]]</f>
        <v>0</v>
      </c>
      <c r="CF819" s="139" t="n">
        <f aca="false">+SUM(DATOS_[[#This Row],[C.Extra.01]:[C.Extra.05]])</f>
        <v>0</v>
      </c>
      <c r="CG819" s="139" t="n">
        <f aca="false">+DATOS_[[#This Row],[TOTAL SALARIO Ef]]+DATOS_[[#This Row],[Tot Extrasalarial Ef]]</f>
        <v>0</v>
      </c>
      <c r="CH819" s="140" t="n">
        <f aca="false">MIN(IF(DATOS_[[#This Row],[Fecha Fin Contrato]]="",$D$4,DATOS_[[#This Row],[Fecha Fin Contrato]]),$D$4)-MAX(DATOS_[[#This Row],[Fecha de Contratación]],$D$3)+1</f>
        <v>1</v>
      </c>
      <c r="CI819" s="141" t="str">
        <f aca="false">IF(COUNTIFS(DATOS_[id],DATOS_[[#This Row],[id]])&gt;1,DATOS_[[#This Row],[id]],"")</f>
        <v/>
      </c>
      <c r="CJ819" s="141" t="n">
        <f aca="false">(Inicio!$G$10-DATOS_[[#This Row],[Fecha Nacimiento]])/365.25</f>
        <v>0</v>
      </c>
      <c r="CK819" s="141" t="n">
        <f aca="false">(Inicio!$G$10-DATOS_[[#This Row],[Fecha de Antigüedad]])/365.25</f>
        <v>0</v>
      </c>
      <c r="CL819" s="141" t="e">
        <f aca="false">+VLOOKUP(DATOS_[[#This Row],[Clave de Contrato]],TblTiposContrato13[],3,0)</f>
        <v>#N/A</v>
      </c>
      <c r="CM819" s="141" t="e">
        <f aca="false">+VLOOKUP(DATOS_[[#This Row],[Clave de Contrato]],TblTiposContrato13[],4,0)</f>
        <v>#N/A</v>
      </c>
      <c r="CN819" s="141" t="str">
        <f aca="false">VLOOKUP(DATOS_[[#This Row],[Edad]],CONTRATOS!TblRngEdad,2,1)</f>
        <v>20  o menos</v>
      </c>
      <c r="CO819" s="141" t="str">
        <f aca="false">VLOOKUP(DATOS_[[#This Row],[Antigüedad]],TblRngAntg14[],2,1)</f>
        <v>0 a 1 años</v>
      </c>
    </row>
    <row r="820" customFormat="false" ht="13.8" hidden="false" customHeight="false" outlineLevel="0" collapsed="false">
      <c r="D820" s="128"/>
      <c r="E820" s="129"/>
      <c r="F820" s="129"/>
      <c r="G820" s="129"/>
      <c r="H820" s="130"/>
      <c r="I820" s="131"/>
      <c r="J820" s="128"/>
      <c r="K820" s="132"/>
      <c r="L820" s="132"/>
      <c r="M820" s="133"/>
      <c r="N820" s="133"/>
      <c r="O820" s="133"/>
      <c r="P820" s="129"/>
      <c r="Z820" s="75"/>
      <c r="AA820" s="76"/>
      <c r="AB820" s="76"/>
      <c r="AC820" s="129"/>
      <c r="AD820" s="134"/>
      <c r="AE820" s="134"/>
      <c r="AF820" s="134"/>
      <c r="AG820" s="134"/>
      <c r="AH820" s="134"/>
      <c r="AI820" s="134"/>
      <c r="AJ820" s="134"/>
      <c r="AK820" s="134"/>
      <c r="AL820" s="134"/>
      <c r="AM820" s="134"/>
      <c r="AN820" s="134"/>
      <c r="AO820" s="134"/>
      <c r="AP820" s="134"/>
      <c r="AQ820" s="134"/>
      <c r="AR820" s="134"/>
      <c r="AS820" s="134"/>
      <c r="AT820" s="134"/>
      <c r="AU820" s="134"/>
      <c r="AV820" s="134"/>
      <c r="AW820" s="134"/>
      <c r="AX820" s="134"/>
      <c r="AY820" s="134"/>
      <c r="AZ820" s="134"/>
      <c r="BA820" s="134"/>
      <c r="BB820" s="134"/>
      <c r="BC820" s="134"/>
      <c r="BD820" s="134"/>
      <c r="BE820" s="134"/>
      <c r="BF820" s="134"/>
      <c r="BG820" s="134"/>
      <c r="BH820" s="134"/>
      <c r="BI820" s="134"/>
      <c r="BJ820" s="134"/>
      <c r="BK820" s="134"/>
      <c r="BL820" s="134"/>
      <c r="BM820" s="135"/>
      <c r="BN820" s="136" t="n">
        <f aca="false">+MAX($D$3,DATOS_[[#This Row],[Fecha Inicio Sit. Contract.]])</f>
        <v>0</v>
      </c>
      <c r="BO820" s="136" t="n">
        <f aca="false">+MIN($D$4,DATOS_[[#This Row],[Fecha Fin Sit. Contract.]])</f>
        <v>0</v>
      </c>
      <c r="BP820" s="137" t="n">
        <f aca="false">+DATOS_[[#This Row],[% de jornada]]*IF(DATOS_[[#This Row],[% jornada reducida]]="",1,DATOS_[[#This Row],[% jornada reducida]])</f>
        <v>0</v>
      </c>
      <c r="BQ820" s="137" t="n">
        <f aca="false">+(DATOS_[[#This Row],[F.fin.cal]]-DATOS_[[#This Row],[F.ini.cal]]+1)/($D$4-$D$3+1)</f>
        <v>1</v>
      </c>
      <c r="BR820" s="137" t="str">
        <f aca="false">IF(OR(AND(DATOS_[[#This Row],[Fecha Fin Contrato]]&lt;$D$3,DATOS_[[#This Row],[Fecha Fin Contrato]]&lt;&gt;""),DATOS_[[#This Row],[Fecha de Contratación]]&gt;$D$4),"Fuera","Dentro")</f>
        <v>Dentro</v>
      </c>
      <c r="BS820" s="137" t="str">
        <f aca="false" t="array" ref="BS820:BS820">IF(MAX(IF(DATOS_[id]=DATOS_[[#This Row],[id]],DATOS_[F.fin.cal]))=DATOS_[[#This Row],[F.fin.cal]],"Sí","NO")</f>
        <v>Sí</v>
      </c>
      <c r="BT820" s="137" t="str">
        <f aca="false">IF(AND(DATOS_[[#This Row],[% normaliz]]&lt;&gt;1,DATOS_[[#This Row],[% anualiz]]=1),"Sí","NO")</f>
        <v>Sí</v>
      </c>
      <c r="BU820" s="137" t="str">
        <f aca="false">IF(AND(DATOS_[[#This Row],[% normaliz]]=1,DATOS_[[#This Row],[% anualiz]]&lt;&gt;1),"Sí","NO")</f>
        <v>NO</v>
      </c>
      <c r="BV820" s="137" t="str">
        <f aca="false">IF(AND(DATOS_[[#This Row],[% normaliz]]&lt;&gt;1,DATOS_[[#This Row],[% anualiz]]&lt;&gt;1),"Sí","NO")</f>
        <v>NO</v>
      </c>
      <c r="BW820" s="137" t="str">
        <f aca="false">+IF(DATOS_[[#This Row],[% normaliz]]*DATOS_[[#This Row],[% anualiz]]=1,"NO","Sí")</f>
        <v>Sí</v>
      </c>
      <c r="BX820" s="138" t="e">
        <f aca="false">(DATOS_[[#This Row],[S.BASE]]*(1/DATOS_[[#This Row],[% normaliz]])*(1/DATOS_[[#This Row],[% anualiz]]))*IF(DATOS_[[#This Row],[Check Equiparado]]="Sí",1,0)</f>
        <v>#DIV/0!</v>
      </c>
      <c r="BY8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0" s="138" t="e">
        <f aca="false">+DATOS_[[#This Row],[SALARIO BASE Eq]]+DATOS_[[#This Row],[Tot COMPL.SAL Eq]]</f>
        <v>#DIV/0!</v>
      </c>
      <c r="CA820" s="138" t="e">
        <f aca="false" t="array" ref="CA820:CA8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0" s="138" t="e">
        <f aca="false">+DATOS_[[#This Row],[TOTAL SALARIO Eq]]+DATOS_[[#This Row],[Tot Extrasalarial Eq]]</f>
        <v>#DIV/0!</v>
      </c>
      <c r="CC820" s="139" t="n">
        <f aca="false">DATOS_[[#This Row],[S.BASE]]</f>
        <v>0</v>
      </c>
      <c r="CD820" s="139" t="n">
        <f aca="false">+SUM(DATOS_[[#This Row],[Conc.Sal.01]:[Conc.Sal.30]])</f>
        <v>0</v>
      </c>
      <c r="CE820" s="139" t="n">
        <f aca="false">+DATOS_[[#This Row],[SALARIO BASE Ef]]+DATOS_[[#This Row],[Tot COMPL.SAL Ef]]</f>
        <v>0</v>
      </c>
      <c r="CF820" s="139" t="n">
        <f aca="false">+SUM(DATOS_[[#This Row],[C.Extra.01]:[C.Extra.05]])</f>
        <v>0</v>
      </c>
      <c r="CG820" s="139" t="n">
        <f aca="false">+DATOS_[[#This Row],[TOTAL SALARIO Ef]]+DATOS_[[#This Row],[Tot Extrasalarial Ef]]</f>
        <v>0</v>
      </c>
      <c r="CH820" s="140" t="n">
        <f aca="false">MIN(IF(DATOS_[[#This Row],[Fecha Fin Contrato]]="",$D$4,DATOS_[[#This Row],[Fecha Fin Contrato]]),$D$4)-MAX(DATOS_[[#This Row],[Fecha de Contratación]],$D$3)+1</f>
        <v>1</v>
      </c>
      <c r="CI820" s="141" t="str">
        <f aca="false">IF(COUNTIFS(DATOS_[id],DATOS_[[#This Row],[id]])&gt;1,DATOS_[[#This Row],[id]],"")</f>
        <v/>
      </c>
      <c r="CJ820" s="141" t="n">
        <f aca="false">(Inicio!$G$10-DATOS_[[#This Row],[Fecha Nacimiento]])/365.25</f>
        <v>0</v>
      </c>
      <c r="CK820" s="141" t="n">
        <f aca="false">(Inicio!$G$10-DATOS_[[#This Row],[Fecha de Antigüedad]])/365.25</f>
        <v>0</v>
      </c>
      <c r="CL820" s="141" t="e">
        <f aca="false">+VLOOKUP(DATOS_[[#This Row],[Clave de Contrato]],TblTiposContrato13[],3,0)</f>
        <v>#N/A</v>
      </c>
      <c r="CM820" s="141" t="e">
        <f aca="false">+VLOOKUP(DATOS_[[#This Row],[Clave de Contrato]],TblTiposContrato13[],4,0)</f>
        <v>#N/A</v>
      </c>
      <c r="CN820" s="141" t="str">
        <f aca="false">VLOOKUP(DATOS_[[#This Row],[Edad]],CONTRATOS!TblRngEdad,2,1)</f>
        <v>20  o menos</v>
      </c>
      <c r="CO820" s="141" t="str">
        <f aca="false">VLOOKUP(DATOS_[[#This Row],[Antigüedad]],TblRngAntg14[],2,1)</f>
        <v>0 a 1 años</v>
      </c>
    </row>
    <row r="821" customFormat="false" ht="13.8" hidden="false" customHeight="false" outlineLevel="0" collapsed="false">
      <c r="D821" s="128"/>
      <c r="E821" s="129"/>
      <c r="F821" s="129"/>
      <c r="G821" s="129"/>
      <c r="H821" s="130"/>
      <c r="I821" s="131"/>
      <c r="J821" s="128"/>
      <c r="K821" s="132"/>
      <c r="L821" s="132"/>
      <c r="M821" s="133"/>
      <c r="N821" s="133"/>
      <c r="O821" s="133"/>
      <c r="P821" s="129"/>
      <c r="Z821" s="75"/>
      <c r="AA821" s="76"/>
      <c r="AB821" s="76"/>
      <c r="AC821" s="129"/>
      <c r="AD821" s="134"/>
      <c r="AE821" s="134"/>
      <c r="AF821" s="134"/>
      <c r="AG821" s="134"/>
      <c r="AH821" s="134"/>
      <c r="AI821" s="134"/>
      <c r="AJ821" s="134"/>
      <c r="AK821" s="134"/>
      <c r="AL821" s="134"/>
      <c r="AM821" s="134"/>
      <c r="AN821" s="134"/>
      <c r="AO821" s="134"/>
      <c r="AP821" s="134"/>
      <c r="AQ821" s="134"/>
      <c r="AR821" s="134"/>
      <c r="AS821" s="134"/>
      <c r="AT821" s="134"/>
      <c r="AU821" s="134"/>
      <c r="AV821" s="134"/>
      <c r="AW821" s="134"/>
      <c r="AX821" s="134"/>
      <c r="AY821" s="134"/>
      <c r="AZ821" s="134"/>
      <c r="BA821" s="134"/>
      <c r="BB821" s="134"/>
      <c r="BC821" s="134"/>
      <c r="BD821" s="134"/>
      <c r="BE821" s="134"/>
      <c r="BF821" s="134"/>
      <c r="BG821" s="134"/>
      <c r="BH821" s="134"/>
      <c r="BI821" s="134"/>
      <c r="BJ821" s="134"/>
      <c r="BK821" s="134"/>
      <c r="BL821" s="134"/>
      <c r="BM821" s="135"/>
      <c r="BN821" s="136" t="n">
        <f aca="false">+MAX($D$3,DATOS_[[#This Row],[Fecha Inicio Sit. Contract.]])</f>
        <v>0</v>
      </c>
      <c r="BO821" s="136" t="n">
        <f aca="false">+MIN($D$4,DATOS_[[#This Row],[Fecha Fin Sit. Contract.]])</f>
        <v>0</v>
      </c>
      <c r="BP821" s="137" t="n">
        <f aca="false">+DATOS_[[#This Row],[% de jornada]]*IF(DATOS_[[#This Row],[% jornada reducida]]="",1,DATOS_[[#This Row],[% jornada reducida]])</f>
        <v>0</v>
      </c>
      <c r="BQ821" s="137" t="n">
        <f aca="false">+(DATOS_[[#This Row],[F.fin.cal]]-DATOS_[[#This Row],[F.ini.cal]]+1)/($D$4-$D$3+1)</f>
        <v>1</v>
      </c>
      <c r="BR821" s="137" t="str">
        <f aca="false">IF(OR(AND(DATOS_[[#This Row],[Fecha Fin Contrato]]&lt;$D$3,DATOS_[[#This Row],[Fecha Fin Contrato]]&lt;&gt;""),DATOS_[[#This Row],[Fecha de Contratación]]&gt;$D$4),"Fuera","Dentro")</f>
        <v>Dentro</v>
      </c>
      <c r="BS821" s="137" t="str">
        <f aca="false" t="array" ref="BS821:BS821">IF(MAX(IF(DATOS_[id]=DATOS_[[#This Row],[id]],DATOS_[F.fin.cal]))=DATOS_[[#This Row],[F.fin.cal]],"Sí","NO")</f>
        <v>Sí</v>
      </c>
      <c r="BT821" s="137" t="str">
        <f aca="false">IF(AND(DATOS_[[#This Row],[% normaliz]]&lt;&gt;1,DATOS_[[#This Row],[% anualiz]]=1),"Sí","NO")</f>
        <v>Sí</v>
      </c>
      <c r="BU821" s="137" t="str">
        <f aca="false">IF(AND(DATOS_[[#This Row],[% normaliz]]=1,DATOS_[[#This Row],[% anualiz]]&lt;&gt;1),"Sí","NO")</f>
        <v>NO</v>
      </c>
      <c r="BV821" s="137" t="str">
        <f aca="false">IF(AND(DATOS_[[#This Row],[% normaliz]]&lt;&gt;1,DATOS_[[#This Row],[% anualiz]]&lt;&gt;1),"Sí","NO")</f>
        <v>NO</v>
      </c>
      <c r="BW821" s="137" t="str">
        <f aca="false">+IF(DATOS_[[#This Row],[% normaliz]]*DATOS_[[#This Row],[% anualiz]]=1,"NO","Sí")</f>
        <v>Sí</v>
      </c>
      <c r="BX821" s="138" t="e">
        <f aca="false">(DATOS_[[#This Row],[S.BASE]]*(1/DATOS_[[#This Row],[% normaliz]])*(1/DATOS_[[#This Row],[% anualiz]]))*IF(DATOS_[[#This Row],[Check Equiparado]]="Sí",1,0)</f>
        <v>#DIV/0!</v>
      </c>
      <c r="BY8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1" s="138" t="e">
        <f aca="false">+DATOS_[[#This Row],[SALARIO BASE Eq]]+DATOS_[[#This Row],[Tot COMPL.SAL Eq]]</f>
        <v>#DIV/0!</v>
      </c>
      <c r="CA821" s="138" t="e">
        <f aca="false" t="array" ref="CA821:CA8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1" s="138" t="e">
        <f aca="false">+DATOS_[[#This Row],[TOTAL SALARIO Eq]]+DATOS_[[#This Row],[Tot Extrasalarial Eq]]</f>
        <v>#DIV/0!</v>
      </c>
      <c r="CC821" s="139" t="n">
        <f aca="false">DATOS_[[#This Row],[S.BASE]]</f>
        <v>0</v>
      </c>
      <c r="CD821" s="139" t="n">
        <f aca="false">+SUM(DATOS_[[#This Row],[Conc.Sal.01]:[Conc.Sal.30]])</f>
        <v>0</v>
      </c>
      <c r="CE821" s="139" t="n">
        <f aca="false">+DATOS_[[#This Row],[SALARIO BASE Ef]]+DATOS_[[#This Row],[Tot COMPL.SAL Ef]]</f>
        <v>0</v>
      </c>
      <c r="CF821" s="139" t="n">
        <f aca="false">+SUM(DATOS_[[#This Row],[C.Extra.01]:[C.Extra.05]])</f>
        <v>0</v>
      </c>
      <c r="CG821" s="139" t="n">
        <f aca="false">+DATOS_[[#This Row],[TOTAL SALARIO Ef]]+DATOS_[[#This Row],[Tot Extrasalarial Ef]]</f>
        <v>0</v>
      </c>
      <c r="CH821" s="140" t="n">
        <f aca="false">MIN(IF(DATOS_[[#This Row],[Fecha Fin Contrato]]="",$D$4,DATOS_[[#This Row],[Fecha Fin Contrato]]),$D$4)-MAX(DATOS_[[#This Row],[Fecha de Contratación]],$D$3)+1</f>
        <v>1</v>
      </c>
      <c r="CI821" s="141" t="str">
        <f aca="false">IF(COUNTIFS(DATOS_[id],DATOS_[[#This Row],[id]])&gt;1,DATOS_[[#This Row],[id]],"")</f>
        <v/>
      </c>
      <c r="CJ821" s="141" t="n">
        <f aca="false">(Inicio!$G$10-DATOS_[[#This Row],[Fecha Nacimiento]])/365.25</f>
        <v>0</v>
      </c>
      <c r="CK821" s="141" t="n">
        <f aca="false">(Inicio!$G$10-DATOS_[[#This Row],[Fecha de Antigüedad]])/365.25</f>
        <v>0</v>
      </c>
      <c r="CL821" s="141" t="e">
        <f aca="false">+VLOOKUP(DATOS_[[#This Row],[Clave de Contrato]],TblTiposContrato13[],3,0)</f>
        <v>#N/A</v>
      </c>
      <c r="CM821" s="141" t="e">
        <f aca="false">+VLOOKUP(DATOS_[[#This Row],[Clave de Contrato]],TblTiposContrato13[],4,0)</f>
        <v>#N/A</v>
      </c>
      <c r="CN821" s="141" t="str">
        <f aca="false">VLOOKUP(DATOS_[[#This Row],[Edad]],CONTRATOS!TblRngEdad,2,1)</f>
        <v>20  o menos</v>
      </c>
      <c r="CO821" s="141" t="str">
        <f aca="false">VLOOKUP(DATOS_[[#This Row],[Antigüedad]],TblRngAntg14[],2,1)</f>
        <v>0 a 1 años</v>
      </c>
    </row>
    <row r="822" customFormat="false" ht="13.8" hidden="false" customHeight="false" outlineLevel="0" collapsed="false">
      <c r="D822" s="128"/>
      <c r="E822" s="129"/>
      <c r="F822" s="129"/>
      <c r="G822" s="129"/>
      <c r="H822" s="130"/>
      <c r="I822" s="131"/>
      <c r="J822" s="128"/>
      <c r="K822" s="132"/>
      <c r="L822" s="132"/>
      <c r="M822" s="133"/>
      <c r="N822" s="133"/>
      <c r="O822" s="133"/>
      <c r="P822" s="129"/>
      <c r="Z822" s="75"/>
      <c r="AA822" s="76"/>
      <c r="AB822" s="76"/>
      <c r="AC822" s="129"/>
      <c r="AD822" s="134"/>
      <c r="AE822" s="134"/>
      <c r="AF822" s="134"/>
      <c r="AG822" s="134"/>
      <c r="AH822" s="134"/>
      <c r="AI822" s="134"/>
      <c r="AJ822" s="134"/>
      <c r="AK822" s="134"/>
      <c r="AL822" s="134"/>
      <c r="AM822" s="134"/>
      <c r="AN822" s="134"/>
      <c r="AO822" s="134"/>
      <c r="AP822" s="134"/>
      <c r="AQ822" s="134"/>
      <c r="AR822" s="134"/>
      <c r="AS822" s="134"/>
      <c r="AT822" s="134"/>
      <c r="AU822" s="134"/>
      <c r="AV822" s="134"/>
      <c r="AW822" s="134"/>
      <c r="AX822" s="134"/>
      <c r="AY822" s="134"/>
      <c r="AZ822" s="134"/>
      <c r="BA822" s="134"/>
      <c r="BB822" s="134"/>
      <c r="BC822" s="134"/>
      <c r="BD822" s="134"/>
      <c r="BE822" s="134"/>
      <c r="BF822" s="134"/>
      <c r="BG822" s="134"/>
      <c r="BH822" s="134"/>
      <c r="BI822" s="134"/>
      <c r="BJ822" s="134"/>
      <c r="BK822" s="134"/>
      <c r="BL822" s="134"/>
      <c r="BM822" s="135"/>
      <c r="BN822" s="136" t="n">
        <f aca="false">+MAX($D$3,DATOS_[[#This Row],[Fecha Inicio Sit. Contract.]])</f>
        <v>0</v>
      </c>
      <c r="BO822" s="136" t="n">
        <f aca="false">+MIN($D$4,DATOS_[[#This Row],[Fecha Fin Sit. Contract.]])</f>
        <v>0</v>
      </c>
      <c r="BP822" s="137" t="n">
        <f aca="false">+DATOS_[[#This Row],[% de jornada]]*IF(DATOS_[[#This Row],[% jornada reducida]]="",1,DATOS_[[#This Row],[% jornada reducida]])</f>
        <v>0</v>
      </c>
      <c r="BQ822" s="137" t="n">
        <f aca="false">+(DATOS_[[#This Row],[F.fin.cal]]-DATOS_[[#This Row],[F.ini.cal]]+1)/($D$4-$D$3+1)</f>
        <v>1</v>
      </c>
      <c r="BR822" s="137" t="str">
        <f aca="false">IF(OR(AND(DATOS_[[#This Row],[Fecha Fin Contrato]]&lt;$D$3,DATOS_[[#This Row],[Fecha Fin Contrato]]&lt;&gt;""),DATOS_[[#This Row],[Fecha de Contratación]]&gt;$D$4),"Fuera","Dentro")</f>
        <v>Dentro</v>
      </c>
      <c r="BS822" s="137" t="str">
        <f aca="false" t="array" ref="BS822:BS822">IF(MAX(IF(DATOS_[id]=DATOS_[[#This Row],[id]],DATOS_[F.fin.cal]))=DATOS_[[#This Row],[F.fin.cal]],"Sí","NO")</f>
        <v>Sí</v>
      </c>
      <c r="BT822" s="137" t="str">
        <f aca="false">IF(AND(DATOS_[[#This Row],[% normaliz]]&lt;&gt;1,DATOS_[[#This Row],[% anualiz]]=1),"Sí","NO")</f>
        <v>Sí</v>
      </c>
      <c r="BU822" s="137" t="str">
        <f aca="false">IF(AND(DATOS_[[#This Row],[% normaliz]]=1,DATOS_[[#This Row],[% anualiz]]&lt;&gt;1),"Sí","NO")</f>
        <v>NO</v>
      </c>
      <c r="BV822" s="137" t="str">
        <f aca="false">IF(AND(DATOS_[[#This Row],[% normaliz]]&lt;&gt;1,DATOS_[[#This Row],[% anualiz]]&lt;&gt;1),"Sí","NO")</f>
        <v>NO</v>
      </c>
      <c r="BW822" s="137" t="str">
        <f aca="false">+IF(DATOS_[[#This Row],[% normaliz]]*DATOS_[[#This Row],[% anualiz]]=1,"NO","Sí")</f>
        <v>Sí</v>
      </c>
      <c r="BX822" s="138" t="e">
        <f aca="false">(DATOS_[[#This Row],[S.BASE]]*(1/DATOS_[[#This Row],[% normaliz]])*(1/DATOS_[[#This Row],[% anualiz]]))*IF(DATOS_[[#This Row],[Check Equiparado]]="Sí",1,0)</f>
        <v>#DIV/0!</v>
      </c>
      <c r="BY8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2" s="138" t="e">
        <f aca="false">+DATOS_[[#This Row],[SALARIO BASE Eq]]+DATOS_[[#This Row],[Tot COMPL.SAL Eq]]</f>
        <v>#DIV/0!</v>
      </c>
      <c r="CA822" s="138" t="e">
        <f aca="false" t="array" ref="CA822:CA8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2" s="138" t="e">
        <f aca="false">+DATOS_[[#This Row],[TOTAL SALARIO Eq]]+DATOS_[[#This Row],[Tot Extrasalarial Eq]]</f>
        <v>#DIV/0!</v>
      </c>
      <c r="CC822" s="139" t="n">
        <f aca="false">DATOS_[[#This Row],[S.BASE]]</f>
        <v>0</v>
      </c>
      <c r="CD822" s="139" t="n">
        <f aca="false">+SUM(DATOS_[[#This Row],[Conc.Sal.01]:[Conc.Sal.30]])</f>
        <v>0</v>
      </c>
      <c r="CE822" s="139" t="n">
        <f aca="false">+DATOS_[[#This Row],[SALARIO BASE Ef]]+DATOS_[[#This Row],[Tot COMPL.SAL Ef]]</f>
        <v>0</v>
      </c>
      <c r="CF822" s="139" t="n">
        <f aca="false">+SUM(DATOS_[[#This Row],[C.Extra.01]:[C.Extra.05]])</f>
        <v>0</v>
      </c>
      <c r="CG822" s="139" t="n">
        <f aca="false">+DATOS_[[#This Row],[TOTAL SALARIO Ef]]+DATOS_[[#This Row],[Tot Extrasalarial Ef]]</f>
        <v>0</v>
      </c>
      <c r="CH822" s="140" t="n">
        <f aca="false">MIN(IF(DATOS_[[#This Row],[Fecha Fin Contrato]]="",$D$4,DATOS_[[#This Row],[Fecha Fin Contrato]]),$D$4)-MAX(DATOS_[[#This Row],[Fecha de Contratación]],$D$3)+1</f>
        <v>1</v>
      </c>
      <c r="CI822" s="141" t="str">
        <f aca="false">IF(COUNTIFS(DATOS_[id],DATOS_[[#This Row],[id]])&gt;1,DATOS_[[#This Row],[id]],"")</f>
        <v/>
      </c>
      <c r="CJ822" s="141" t="n">
        <f aca="false">(Inicio!$G$10-DATOS_[[#This Row],[Fecha Nacimiento]])/365.25</f>
        <v>0</v>
      </c>
      <c r="CK822" s="141" t="n">
        <f aca="false">(Inicio!$G$10-DATOS_[[#This Row],[Fecha de Antigüedad]])/365.25</f>
        <v>0</v>
      </c>
      <c r="CL822" s="141" t="e">
        <f aca="false">+VLOOKUP(DATOS_[[#This Row],[Clave de Contrato]],TblTiposContrato13[],3,0)</f>
        <v>#N/A</v>
      </c>
      <c r="CM822" s="141" t="e">
        <f aca="false">+VLOOKUP(DATOS_[[#This Row],[Clave de Contrato]],TblTiposContrato13[],4,0)</f>
        <v>#N/A</v>
      </c>
      <c r="CN822" s="141" t="str">
        <f aca="false">VLOOKUP(DATOS_[[#This Row],[Edad]],CONTRATOS!TblRngEdad,2,1)</f>
        <v>20  o menos</v>
      </c>
      <c r="CO822" s="141" t="str">
        <f aca="false">VLOOKUP(DATOS_[[#This Row],[Antigüedad]],TblRngAntg14[],2,1)</f>
        <v>0 a 1 años</v>
      </c>
    </row>
    <row r="823" customFormat="false" ht="13.8" hidden="false" customHeight="false" outlineLevel="0" collapsed="false">
      <c r="D823" s="128"/>
      <c r="E823" s="129"/>
      <c r="F823" s="129"/>
      <c r="G823" s="129"/>
      <c r="H823" s="130"/>
      <c r="I823" s="131"/>
      <c r="J823" s="128"/>
      <c r="K823" s="132"/>
      <c r="L823" s="132"/>
      <c r="M823" s="133"/>
      <c r="N823" s="133"/>
      <c r="O823" s="133"/>
      <c r="P823" s="129"/>
      <c r="Z823" s="75"/>
      <c r="AA823" s="76"/>
      <c r="AB823" s="76"/>
      <c r="AC823" s="129"/>
      <c r="AD823" s="134"/>
      <c r="AE823" s="134"/>
      <c r="AF823" s="134"/>
      <c r="AG823" s="134"/>
      <c r="AH823" s="134"/>
      <c r="AI823" s="134"/>
      <c r="AJ823" s="134"/>
      <c r="AK823" s="134"/>
      <c r="AL823" s="134"/>
      <c r="AM823" s="134"/>
      <c r="AN823" s="134"/>
      <c r="AO823" s="134"/>
      <c r="AP823" s="134"/>
      <c r="AQ823" s="134"/>
      <c r="AR823" s="134"/>
      <c r="AS823" s="134"/>
      <c r="AT823" s="134"/>
      <c r="AU823" s="134"/>
      <c r="AV823" s="134"/>
      <c r="AW823" s="134"/>
      <c r="AX823" s="134"/>
      <c r="AY823" s="134"/>
      <c r="AZ823" s="134"/>
      <c r="BA823" s="134"/>
      <c r="BB823" s="134"/>
      <c r="BC823" s="134"/>
      <c r="BD823" s="134"/>
      <c r="BE823" s="134"/>
      <c r="BF823" s="134"/>
      <c r="BG823" s="134"/>
      <c r="BH823" s="134"/>
      <c r="BI823" s="134"/>
      <c r="BJ823" s="134"/>
      <c r="BK823" s="134"/>
      <c r="BL823" s="134"/>
      <c r="BM823" s="135"/>
      <c r="BN823" s="136" t="n">
        <f aca="false">+MAX($D$3,DATOS_[[#This Row],[Fecha Inicio Sit. Contract.]])</f>
        <v>0</v>
      </c>
      <c r="BO823" s="136" t="n">
        <f aca="false">+MIN($D$4,DATOS_[[#This Row],[Fecha Fin Sit. Contract.]])</f>
        <v>0</v>
      </c>
      <c r="BP823" s="137" t="n">
        <f aca="false">+DATOS_[[#This Row],[% de jornada]]*IF(DATOS_[[#This Row],[% jornada reducida]]="",1,DATOS_[[#This Row],[% jornada reducida]])</f>
        <v>0</v>
      </c>
      <c r="BQ823" s="137" t="n">
        <f aca="false">+(DATOS_[[#This Row],[F.fin.cal]]-DATOS_[[#This Row],[F.ini.cal]]+1)/($D$4-$D$3+1)</f>
        <v>1</v>
      </c>
      <c r="BR823" s="137" t="str">
        <f aca="false">IF(OR(AND(DATOS_[[#This Row],[Fecha Fin Contrato]]&lt;$D$3,DATOS_[[#This Row],[Fecha Fin Contrato]]&lt;&gt;""),DATOS_[[#This Row],[Fecha de Contratación]]&gt;$D$4),"Fuera","Dentro")</f>
        <v>Dentro</v>
      </c>
      <c r="BS823" s="137" t="str">
        <f aca="false" t="array" ref="BS823:BS823">IF(MAX(IF(DATOS_[id]=DATOS_[[#This Row],[id]],DATOS_[F.fin.cal]))=DATOS_[[#This Row],[F.fin.cal]],"Sí","NO")</f>
        <v>Sí</v>
      </c>
      <c r="BT823" s="137" t="str">
        <f aca="false">IF(AND(DATOS_[[#This Row],[% normaliz]]&lt;&gt;1,DATOS_[[#This Row],[% anualiz]]=1),"Sí","NO")</f>
        <v>Sí</v>
      </c>
      <c r="BU823" s="137" t="str">
        <f aca="false">IF(AND(DATOS_[[#This Row],[% normaliz]]=1,DATOS_[[#This Row],[% anualiz]]&lt;&gt;1),"Sí","NO")</f>
        <v>NO</v>
      </c>
      <c r="BV823" s="137" t="str">
        <f aca="false">IF(AND(DATOS_[[#This Row],[% normaliz]]&lt;&gt;1,DATOS_[[#This Row],[% anualiz]]&lt;&gt;1),"Sí","NO")</f>
        <v>NO</v>
      </c>
      <c r="BW823" s="137" t="str">
        <f aca="false">+IF(DATOS_[[#This Row],[% normaliz]]*DATOS_[[#This Row],[% anualiz]]=1,"NO","Sí")</f>
        <v>Sí</v>
      </c>
      <c r="BX823" s="138" t="e">
        <f aca="false">(DATOS_[[#This Row],[S.BASE]]*(1/DATOS_[[#This Row],[% normaliz]])*(1/DATOS_[[#This Row],[% anualiz]]))*IF(DATOS_[[#This Row],[Check Equiparado]]="Sí",1,0)</f>
        <v>#DIV/0!</v>
      </c>
      <c r="BY8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3" s="138" t="e">
        <f aca="false">+DATOS_[[#This Row],[SALARIO BASE Eq]]+DATOS_[[#This Row],[Tot COMPL.SAL Eq]]</f>
        <v>#DIV/0!</v>
      </c>
      <c r="CA823" s="138" t="e">
        <f aca="false" t="array" ref="CA823:CA8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3" s="138" t="e">
        <f aca="false">+DATOS_[[#This Row],[TOTAL SALARIO Eq]]+DATOS_[[#This Row],[Tot Extrasalarial Eq]]</f>
        <v>#DIV/0!</v>
      </c>
      <c r="CC823" s="139" t="n">
        <f aca="false">DATOS_[[#This Row],[S.BASE]]</f>
        <v>0</v>
      </c>
      <c r="CD823" s="139" t="n">
        <f aca="false">+SUM(DATOS_[[#This Row],[Conc.Sal.01]:[Conc.Sal.30]])</f>
        <v>0</v>
      </c>
      <c r="CE823" s="139" t="n">
        <f aca="false">+DATOS_[[#This Row],[SALARIO BASE Ef]]+DATOS_[[#This Row],[Tot COMPL.SAL Ef]]</f>
        <v>0</v>
      </c>
      <c r="CF823" s="139" t="n">
        <f aca="false">+SUM(DATOS_[[#This Row],[C.Extra.01]:[C.Extra.05]])</f>
        <v>0</v>
      </c>
      <c r="CG823" s="139" t="n">
        <f aca="false">+DATOS_[[#This Row],[TOTAL SALARIO Ef]]+DATOS_[[#This Row],[Tot Extrasalarial Ef]]</f>
        <v>0</v>
      </c>
      <c r="CH823" s="140" t="n">
        <f aca="false">MIN(IF(DATOS_[[#This Row],[Fecha Fin Contrato]]="",$D$4,DATOS_[[#This Row],[Fecha Fin Contrato]]),$D$4)-MAX(DATOS_[[#This Row],[Fecha de Contratación]],$D$3)+1</f>
        <v>1</v>
      </c>
      <c r="CI823" s="141" t="str">
        <f aca="false">IF(COUNTIFS(DATOS_[id],DATOS_[[#This Row],[id]])&gt;1,DATOS_[[#This Row],[id]],"")</f>
        <v/>
      </c>
      <c r="CJ823" s="141" t="n">
        <f aca="false">(Inicio!$G$10-DATOS_[[#This Row],[Fecha Nacimiento]])/365.25</f>
        <v>0</v>
      </c>
      <c r="CK823" s="141" t="n">
        <f aca="false">(Inicio!$G$10-DATOS_[[#This Row],[Fecha de Antigüedad]])/365.25</f>
        <v>0</v>
      </c>
      <c r="CL823" s="141" t="e">
        <f aca="false">+VLOOKUP(DATOS_[[#This Row],[Clave de Contrato]],TblTiposContrato13[],3,0)</f>
        <v>#N/A</v>
      </c>
      <c r="CM823" s="141" t="e">
        <f aca="false">+VLOOKUP(DATOS_[[#This Row],[Clave de Contrato]],TblTiposContrato13[],4,0)</f>
        <v>#N/A</v>
      </c>
      <c r="CN823" s="141" t="str">
        <f aca="false">VLOOKUP(DATOS_[[#This Row],[Edad]],CONTRATOS!TblRngEdad,2,1)</f>
        <v>20  o menos</v>
      </c>
      <c r="CO823" s="141" t="str">
        <f aca="false">VLOOKUP(DATOS_[[#This Row],[Antigüedad]],TblRngAntg14[],2,1)</f>
        <v>0 a 1 años</v>
      </c>
    </row>
    <row r="824" customFormat="false" ht="13.8" hidden="false" customHeight="false" outlineLevel="0" collapsed="false">
      <c r="D824" s="128"/>
      <c r="E824" s="129"/>
      <c r="F824" s="129"/>
      <c r="G824" s="129"/>
      <c r="H824" s="130"/>
      <c r="I824" s="131"/>
      <c r="J824" s="128"/>
      <c r="K824" s="132"/>
      <c r="L824" s="132"/>
      <c r="M824" s="133"/>
      <c r="N824" s="133"/>
      <c r="O824" s="133"/>
      <c r="P824" s="129"/>
      <c r="Z824" s="75"/>
      <c r="AA824" s="76"/>
      <c r="AB824" s="76"/>
      <c r="AC824" s="129"/>
      <c r="AD824" s="134"/>
      <c r="AE824" s="134"/>
      <c r="AF824" s="134"/>
      <c r="AG824" s="134"/>
      <c r="AH824" s="134"/>
      <c r="AI824" s="134"/>
      <c r="AJ824" s="134"/>
      <c r="AK824" s="134"/>
      <c r="AL824" s="134"/>
      <c r="AM824" s="134"/>
      <c r="AN824" s="134"/>
      <c r="AO824" s="134"/>
      <c r="AP824" s="134"/>
      <c r="AQ824" s="134"/>
      <c r="AR824" s="134"/>
      <c r="AS824" s="134"/>
      <c r="AT824" s="134"/>
      <c r="AU824" s="134"/>
      <c r="AV824" s="134"/>
      <c r="AW824" s="134"/>
      <c r="AX824" s="134"/>
      <c r="AY824" s="134"/>
      <c r="AZ824" s="134"/>
      <c r="BA824" s="134"/>
      <c r="BB824" s="134"/>
      <c r="BC824" s="134"/>
      <c r="BD824" s="134"/>
      <c r="BE824" s="134"/>
      <c r="BF824" s="134"/>
      <c r="BG824" s="134"/>
      <c r="BH824" s="134"/>
      <c r="BI824" s="134"/>
      <c r="BJ824" s="134"/>
      <c r="BK824" s="134"/>
      <c r="BL824" s="134"/>
      <c r="BM824" s="135"/>
      <c r="BN824" s="136" t="n">
        <f aca="false">+MAX($D$3,DATOS_[[#This Row],[Fecha Inicio Sit. Contract.]])</f>
        <v>0</v>
      </c>
      <c r="BO824" s="136" t="n">
        <f aca="false">+MIN($D$4,DATOS_[[#This Row],[Fecha Fin Sit. Contract.]])</f>
        <v>0</v>
      </c>
      <c r="BP824" s="137" t="n">
        <f aca="false">+DATOS_[[#This Row],[% de jornada]]*IF(DATOS_[[#This Row],[% jornada reducida]]="",1,DATOS_[[#This Row],[% jornada reducida]])</f>
        <v>0</v>
      </c>
      <c r="BQ824" s="137" t="n">
        <f aca="false">+(DATOS_[[#This Row],[F.fin.cal]]-DATOS_[[#This Row],[F.ini.cal]]+1)/($D$4-$D$3+1)</f>
        <v>1</v>
      </c>
      <c r="BR824" s="137" t="str">
        <f aca="false">IF(OR(AND(DATOS_[[#This Row],[Fecha Fin Contrato]]&lt;$D$3,DATOS_[[#This Row],[Fecha Fin Contrato]]&lt;&gt;""),DATOS_[[#This Row],[Fecha de Contratación]]&gt;$D$4),"Fuera","Dentro")</f>
        <v>Dentro</v>
      </c>
      <c r="BS824" s="137" t="str">
        <f aca="false" t="array" ref="BS824:BS824">IF(MAX(IF(DATOS_[id]=DATOS_[[#This Row],[id]],DATOS_[F.fin.cal]))=DATOS_[[#This Row],[F.fin.cal]],"Sí","NO")</f>
        <v>Sí</v>
      </c>
      <c r="BT824" s="137" t="str">
        <f aca="false">IF(AND(DATOS_[[#This Row],[% normaliz]]&lt;&gt;1,DATOS_[[#This Row],[% anualiz]]=1),"Sí","NO")</f>
        <v>Sí</v>
      </c>
      <c r="BU824" s="137" t="str">
        <f aca="false">IF(AND(DATOS_[[#This Row],[% normaliz]]=1,DATOS_[[#This Row],[% anualiz]]&lt;&gt;1),"Sí","NO")</f>
        <v>NO</v>
      </c>
      <c r="BV824" s="137" t="str">
        <f aca="false">IF(AND(DATOS_[[#This Row],[% normaliz]]&lt;&gt;1,DATOS_[[#This Row],[% anualiz]]&lt;&gt;1),"Sí","NO")</f>
        <v>NO</v>
      </c>
      <c r="BW824" s="137" t="str">
        <f aca="false">+IF(DATOS_[[#This Row],[% normaliz]]*DATOS_[[#This Row],[% anualiz]]=1,"NO","Sí")</f>
        <v>Sí</v>
      </c>
      <c r="BX824" s="138" t="e">
        <f aca="false">(DATOS_[[#This Row],[S.BASE]]*(1/DATOS_[[#This Row],[% normaliz]])*(1/DATOS_[[#This Row],[% anualiz]]))*IF(DATOS_[[#This Row],[Check Equiparado]]="Sí",1,0)</f>
        <v>#DIV/0!</v>
      </c>
      <c r="BY8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4" s="138" t="e">
        <f aca="false">+DATOS_[[#This Row],[SALARIO BASE Eq]]+DATOS_[[#This Row],[Tot COMPL.SAL Eq]]</f>
        <v>#DIV/0!</v>
      </c>
      <c r="CA824" s="138" t="e">
        <f aca="false" t="array" ref="CA824:CA8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4" s="138" t="e">
        <f aca="false">+DATOS_[[#This Row],[TOTAL SALARIO Eq]]+DATOS_[[#This Row],[Tot Extrasalarial Eq]]</f>
        <v>#DIV/0!</v>
      </c>
      <c r="CC824" s="139" t="n">
        <f aca="false">DATOS_[[#This Row],[S.BASE]]</f>
        <v>0</v>
      </c>
      <c r="CD824" s="139" t="n">
        <f aca="false">+SUM(DATOS_[[#This Row],[Conc.Sal.01]:[Conc.Sal.30]])</f>
        <v>0</v>
      </c>
      <c r="CE824" s="139" t="n">
        <f aca="false">+DATOS_[[#This Row],[SALARIO BASE Ef]]+DATOS_[[#This Row],[Tot COMPL.SAL Ef]]</f>
        <v>0</v>
      </c>
      <c r="CF824" s="139" t="n">
        <f aca="false">+SUM(DATOS_[[#This Row],[C.Extra.01]:[C.Extra.05]])</f>
        <v>0</v>
      </c>
      <c r="CG824" s="139" t="n">
        <f aca="false">+DATOS_[[#This Row],[TOTAL SALARIO Ef]]+DATOS_[[#This Row],[Tot Extrasalarial Ef]]</f>
        <v>0</v>
      </c>
      <c r="CH824" s="140" t="n">
        <f aca="false">MIN(IF(DATOS_[[#This Row],[Fecha Fin Contrato]]="",$D$4,DATOS_[[#This Row],[Fecha Fin Contrato]]),$D$4)-MAX(DATOS_[[#This Row],[Fecha de Contratación]],$D$3)+1</f>
        <v>1</v>
      </c>
      <c r="CI824" s="141" t="str">
        <f aca="false">IF(COUNTIFS(DATOS_[id],DATOS_[[#This Row],[id]])&gt;1,DATOS_[[#This Row],[id]],"")</f>
        <v/>
      </c>
      <c r="CJ824" s="141" t="n">
        <f aca="false">(Inicio!$G$10-DATOS_[[#This Row],[Fecha Nacimiento]])/365.25</f>
        <v>0</v>
      </c>
      <c r="CK824" s="141" t="n">
        <f aca="false">(Inicio!$G$10-DATOS_[[#This Row],[Fecha de Antigüedad]])/365.25</f>
        <v>0</v>
      </c>
      <c r="CL824" s="141" t="e">
        <f aca="false">+VLOOKUP(DATOS_[[#This Row],[Clave de Contrato]],TblTiposContrato13[],3,0)</f>
        <v>#N/A</v>
      </c>
      <c r="CM824" s="141" t="e">
        <f aca="false">+VLOOKUP(DATOS_[[#This Row],[Clave de Contrato]],TblTiposContrato13[],4,0)</f>
        <v>#N/A</v>
      </c>
      <c r="CN824" s="141" t="str">
        <f aca="false">VLOOKUP(DATOS_[[#This Row],[Edad]],CONTRATOS!TblRngEdad,2,1)</f>
        <v>20  o menos</v>
      </c>
      <c r="CO824" s="141" t="str">
        <f aca="false">VLOOKUP(DATOS_[[#This Row],[Antigüedad]],TblRngAntg14[],2,1)</f>
        <v>0 a 1 años</v>
      </c>
    </row>
    <row r="825" customFormat="false" ht="13.8" hidden="false" customHeight="false" outlineLevel="0" collapsed="false">
      <c r="D825" s="128"/>
      <c r="E825" s="129"/>
      <c r="F825" s="129"/>
      <c r="G825" s="129"/>
      <c r="H825" s="130"/>
      <c r="I825" s="131"/>
      <c r="J825" s="128"/>
      <c r="K825" s="132"/>
      <c r="L825" s="132"/>
      <c r="M825" s="133"/>
      <c r="N825" s="133"/>
      <c r="O825" s="133"/>
      <c r="P825" s="129"/>
      <c r="Z825" s="75"/>
      <c r="AA825" s="76"/>
      <c r="AB825" s="76"/>
      <c r="AC825" s="129"/>
      <c r="AD825" s="134"/>
      <c r="AE825" s="134"/>
      <c r="AF825" s="134"/>
      <c r="AG825" s="134"/>
      <c r="AH825" s="134"/>
      <c r="AI825" s="134"/>
      <c r="AJ825" s="134"/>
      <c r="AK825" s="134"/>
      <c r="AL825" s="134"/>
      <c r="AM825" s="134"/>
      <c r="AN825" s="134"/>
      <c r="AO825" s="134"/>
      <c r="AP825" s="134"/>
      <c r="AQ825" s="134"/>
      <c r="AR825" s="134"/>
      <c r="AS825" s="134"/>
      <c r="AT825" s="134"/>
      <c r="AU825" s="134"/>
      <c r="AV825" s="134"/>
      <c r="AW825" s="134"/>
      <c r="AX825" s="134"/>
      <c r="AY825" s="134"/>
      <c r="AZ825" s="134"/>
      <c r="BA825" s="134"/>
      <c r="BB825" s="134"/>
      <c r="BC825" s="134"/>
      <c r="BD825" s="134"/>
      <c r="BE825" s="134"/>
      <c r="BF825" s="134"/>
      <c r="BG825" s="134"/>
      <c r="BH825" s="134"/>
      <c r="BI825" s="134"/>
      <c r="BJ825" s="134"/>
      <c r="BK825" s="134"/>
      <c r="BL825" s="134"/>
      <c r="BM825" s="135"/>
      <c r="BN825" s="136" t="n">
        <f aca="false">+MAX($D$3,DATOS_[[#This Row],[Fecha Inicio Sit. Contract.]])</f>
        <v>0</v>
      </c>
      <c r="BO825" s="136" t="n">
        <f aca="false">+MIN($D$4,DATOS_[[#This Row],[Fecha Fin Sit. Contract.]])</f>
        <v>0</v>
      </c>
      <c r="BP825" s="137" t="n">
        <f aca="false">+DATOS_[[#This Row],[% de jornada]]*IF(DATOS_[[#This Row],[% jornada reducida]]="",1,DATOS_[[#This Row],[% jornada reducida]])</f>
        <v>0</v>
      </c>
      <c r="BQ825" s="137" t="n">
        <f aca="false">+(DATOS_[[#This Row],[F.fin.cal]]-DATOS_[[#This Row],[F.ini.cal]]+1)/($D$4-$D$3+1)</f>
        <v>1</v>
      </c>
      <c r="BR825" s="137" t="str">
        <f aca="false">IF(OR(AND(DATOS_[[#This Row],[Fecha Fin Contrato]]&lt;$D$3,DATOS_[[#This Row],[Fecha Fin Contrato]]&lt;&gt;""),DATOS_[[#This Row],[Fecha de Contratación]]&gt;$D$4),"Fuera","Dentro")</f>
        <v>Dentro</v>
      </c>
      <c r="BS825" s="137" t="str">
        <f aca="false" t="array" ref="BS825:BS825">IF(MAX(IF(DATOS_[id]=DATOS_[[#This Row],[id]],DATOS_[F.fin.cal]))=DATOS_[[#This Row],[F.fin.cal]],"Sí","NO")</f>
        <v>Sí</v>
      </c>
      <c r="BT825" s="137" t="str">
        <f aca="false">IF(AND(DATOS_[[#This Row],[% normaliz]]&lt;&gt;1,DATOS_[[#This Row],[% anualiz]]=1),"Sí","NO")</f>
        <v>Sí</v>
      </c>
      <c r="BU825" s="137" t="str">
        <f aca="false">IF(AND(DATOS_[[#This Row],[% normaliz]]=1,DATOS_[[#This Row],[% anualiz]]&lt;&gt;1),"Sí","NO")</f>
        <v>NO</v>
      </c>
      <c r="BV825" s="137" t="str">
        <f aca="false">IF(AND(DATOS_[[#This Row],[% normaliz]]&lt;&gt;1,DATOS_[[#This Row],[% anualiz]]&lt;&gt;1),"Sí","NO")</f>
        <v>NO</v>
      </c>
      <c r="BW825" s="137" t="str">
        <f aca="false">+IF(DATOS_[[#This Row],[% normaliz]]*DATOS_[[#This Row],[% anualiz]]=1,"NO","Sí")</f>
        <v>Sí</v>
      </c>
      <c r="BX825" s="138" t="e">
        <f aca="false">(DATOS_[[#This Row],[S.BASE]]*(1/DATOS_[[#This Row],[% normaliz]])*(1/DATOS_[[#This Row],[% anualiz]]))*IF(DATOS_[[#This Row],[Check Equiparado]]="Sí",1,0)</f>
        <v>#DIV/0!</v>
      </c>
      <c r="BY8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5" s="138" t="e">
        <f aca="false">+DATOS_[[#This Row],[SALARIO BASE Eq]]+DATOS_[[#This Row],[Tot COMPL.SAL Eq]]</f>
        <v>#DIV/0!</v>
      </c>
      <c r="CA825" s="138" t="e">
        <f aca="false" t="array" ref="CA825:CA8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5" s="138" t="e">
        <f aca="false">+DATOS_[[#This Row],[TOTAL SALARIO Eq]]+DATOS_[[#This Row],[Tot Extrasalarial Eq]]</f>
        <v>#DIV/0!</v>
      </c>
      <c r="CC825" s="139" t="n">
        <f aca="false">DATOS_[[#This Row],[S.BASE]]</f>
        <v>0</v>
      </c>
      <c r="CD825" s="139" t="n">
        <f aca="false">+SUM(DATOS_[[#This Row],[Conc.Sal.01]:[Conc.Sal.30]])</f>
        <v>0</v>
      </c>
      <c r="CE825" s="139" t="n">
        <f aca="false">+DATOS_[[#This Row],[SALARIO BASE Ef]]+DATOS_[[#This Row],[Tot COMPL.SAL Ef]]</f>
        <v>0</v>
      </c>
      <c r="CF825" s="139" t="n">
        <f aca="false">+SUM(DATOS_[[#This Row],[C.Extra.01]:[C.Extra.05]])</f>
        <v>0</v>
      </c>
      <c r="CG825" s="139" t="n">
        <f aca="false">+DATOS_[[#This Row],[TOTAL SALARIO Ef]]+DATOS_[[#This Row],[Tot Extrasalarial Ef]]</f>
        <v>0</v>
      </c>
      <c r="CH825" s="140" t="n">
        <f aca="false">MIN(IF(DATOS_[[#This Row],[Fecha Fin Contrato]]="",$D$4,DATOS_[[#This Row],[Fecha Fin Contrato]]),$D$4)-MAX(DATOS_[[#This Row],[Fecha de Contratación]],$D$3)+1</f>
        <v>1</v>
      </c>
      <c r="CI825" s="141" t="str">
        <f aca="false">IF(COUNTIFS(DATOS_[id],DATOS_[[#This Row],[id]])&gt;1,DATOS_[[#This Row],[id]],"")</f>
        <v/>
      </c>
      <c r="CJ825" s="141" t="n">
        <f aca="false">(Inicio!$G$10-DATOS_[[#This Row],[Fecha Nacimiento]])/365.25</f>
        <v>0</v>
      </c>
      <c r="CK825" s="141" t="n">
        <f aca="false">(Inicio!$G$10-DATOS_[[#This Row],[Fecha de Antigüedad]])/365.25</f>
        <v>0</v>
      </c>
      <c r="CL825" s="141" t="e">
        <f aca="false">+VLOOKUP(DATOS_[[#This Row],[Clave de Contrato]],TblTiposContrato13[],3,0)</f>
        <v>#N/A</v>
      </c>
      <c r="CM825" s="141" t="e">
        <f aca="false">+VLOOKUP(DATOS_[[#This Row],[Clave de Contrato]],TblTiposContrato13[],4,0)</f>
        <v>#N/A</v>
      </c>
      <c r="CN825" s="141" t="str">
        <f aca="false">VLOOKUP(DATOS_[[#This Row],[Edad]],CONTRATOS!TblRngEdad,2,1)</f>
        <v>20  o menos</v>
      </c>
      <c r="CO825" s="141" t="str">
        <f aca="false">VLOOKUP(DATOS_[[#This Row],[Antigüedad]],TblRngAntg14[],2,1)</f>
        <v>0 a 1 años</v>
      </c>
    </row>
    <row r="826" customFormat="false" ht="13.8" hidden="false" customHeight="false" outlineLevel="0" collapsed="false">
      <c r="D826" s="128"/>
      <c r="E826" s="129"/>
      <c r="F826" s="129"/>
      <c r="G826" s="129"/>
      <c r="H826" s="130"/>
      <c r="I826" s="131"/>
      <c r="J826" s="128"/>
      <c r="K826" s="132"/>
      <c r="L826" s="132"/>
      <c r="M826" s="133"/>
      <c r="N826" s="133"/>
      <c r="O826" s="133"/>
      <c r="P826" s="129"/>
      <c r="Z826" s="75"/>
      <c r="AA826" s="76"/>
      <c r="AB826" s="76"/>
      <c r="AC826" s="129"/>
      <c r="AD826" s="134"/>
      <c r="AE826" s="134"/>
      <c r="AF826" s="134"/>
      <c r="AG826" s="134"/>
      <c r="AH826" s="134"/>
      <c r="AI826" s="134"/>
      <c r="AJ826" s="134"/>
      <c r="AK826" s="134"/>
      <c r="AL826" s="134"/>
      <c r="AM826" s="134"/>
      <c r="AN826" s="134"/>
      <c r="AO826" s="134"/>
      <c r="AP826" s="134"/>
      <c r="AQ826" s="134"/>
      <c r="AR826" s="134"/>
      <c r="AS826" s="134"/>
      <c r="AT826" s="134"/>
      <c r="AU826" s="134"/>
      <c r="AV826" s="134"/>
      <c r="AW826" s="134"/>
      <c r="AX826" s="134"/>
      <c r="AY826" s="134"/>
      <c r="AZ826" s="134"/>
      <c r="BA826" s="134"/>
      <c r="BB826" s="134"/>
      <c r="BC826" s="134"/>
      <c r="BD826" s="134"/>
      <c r="BE826" s="134"/>
      <c r="BF826" s="134"/>
      <c r="BG826" s="134"/>
      <c r="BH826" s="134"/>
      <c r="BI826" s="134"/>
      <c r="BJ826" s="134"/>
      <c r="BK826" s="134"/>
      <c r="BL826" s="134"/>
      <c r="BM826" s="135"/>
      <c r="BN826" s="136" t="n">
        <f aca="false">+MAX($D$3,DATOS_[[#This Row],[Fecha Inicio Sit. Contract.]])</f>
        <v>0</v>
      </c>
      <c r="BO826" s="136" t="n">
        <f aca="false">+MIN($D$4,DATOS_[[#This Row],[Fecha Fin Sit. Contract.]])</f>
        <v>0</v>
      </c>
      <c r="BP826" s="137" t="n">
        <f aca="false">+DATOS_[[#This Row],[% de jornada]]*IF(DATOS_[[#This Row],[% jornada reducida]]="",1,DATOS_[[#This Row],[% jornada reducida]])</f>
        <v>0</v>
      </c>
      <c r="BQ826" s="137" t="n">
        <f aca="false">+(DATOS_[[#This Row],[F.fin.cal]]-DATOS_[[#This Row],[F.ini.cal]]+1)/($D$4-$D$3+1)</f>
        <v>1</v>
      </c>
      <c r="BR826" s="137" t="str">
        <f aca="false">IF(OR(AND(DATOS_[[#This Row],[Fecha Fin Contrato]]&lt;$D$3,DATOS_[[#This Row],[Fecha Fin Contrato]]&lt;&gt;""),DATOS_[[#This Row],[Fecha de Contratación]]&gt;$D$4),"Fuera","Dentro")</f>
        <v>Dentro</v>
      </c>
      <c r="BS826" s="137" t="str">
        <f aca="false" t="array" ref="BS826:BS826">IF(MAX(IF(DATOS_[id]=DATOS_[[#This Row],[id]],DATOS_[F.fin.cal]))=DATOS_[[#This Row],[F.fin.cal]],"Sí","NO")</f>
        <v>Sí</v>
      </c>
      <c r="BT826" s="137" t="str">
        <f aca="false">IF(AND(DATOS_[[#This Row],[% normaliz]]&lt;&gt;1,DATOS_[[#This Row],[% anualiz]]=1),"Sí","NO")</f>
        <v>Sí</v>
      </c>
      <c r="BU826" s="137" t="str">
        <f aca="false">IF(AND(DATOS_[[#This Row],[% normaliz]]=1,DATOS_[[#This Row],[% anualiz]]&lt;&gt;1),"Sí","NO")</f>
        <v>NO</v>
      </c>
      <c r="BV826" s="137" t="str">
        <f aca="false">IF(AND(DATOS_[[#This Row],[% normaliz]]&lt;&gt;1,DATOS_[[#This Row],[% anualiz]]&lt;&gt;1),"Sí","NO")</f>
        <v>NO</v>
      </c>
      <c r="BW826" s="137" t="str">
        <f aca="false">+IF(DATOS_[[#This Row],[% normaliz]]*DATOS_[[#This Row],[% anualiz]]=1,"NO","Sí")</f>
        <v>Sí</v>
      </c>
      <c r="BX826" s="138" t="e">
        <f aca="false">(DATOS_[[#This Row],[S.BASE]]*(1/DATOS_[[#This Row],[% normaliz]])*(1/DATOS_[[#This Row],[% anualiz]]))*IF(DATOS_[[#This Row],[Check Equiparado]]="Sí",1,0)</f>
        <v>#DIV/0!</v>
      </c>
      <c r="BY8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6" s="138" t="e">
        <f aca="false">+DATOS_[[#This Row],[SALARIO BASE Eq]]+DATOS_[[#This Row],[Tot COMPL.SAL Eq]]</f>
        <v>#DIV/0!</v>
      </c>
      <c r="CA826" s="138" t="e">
        <f aca="false" t="array" ref="CA826:CA8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6" s="138" t="e">
        <f aca="false">+DATOS_[[#This Row],[TOTAL SALARIO Eq]]+DATOS_[[#This Row],[Tot Extrasalarial Eq]]</f>
        <v>#DIV/0!</v>
      </c>
      <c r="CC826" s="139" t="n">
        <f aca="false">DATOS_[[#This Row],[S.BASE]]</f>
        <v>0</v>
      </c>
      <c r="CD826" s="139" t="n">
        <f aca="false">+SUM(DATOS_[[#This Row],[Conc.Sal.01]:[Conc.Sal.30]])</f>
        <v>0</v>
      </c>
      <c r="CE826" s="139" t="n">
        <f aca="false">+DATOS_[[#This Row],[SALARIO BASE Ef]]+DATOS_[[#This Row],[Tot COMPL.SAL Ef]]</f>
        <v>0</v>
      </c>
      <c r="CF826" s="139" t="n">
        <f aca="false">+SUM(DATOS_[[#This Row],[C.Extra.01]:[C.Extra.05]])</f>
        <v>0</v>
      </c>
      <c r="CG826" s="139" t="n">
        <f aca="false">+DATOS_[[#This Row],[TOTAL SALARIO Ef]]+DATOS_[[#This Row],[Tot Extrasalarial Ef]]</f>
        <v>0</v>
      </c>
      <c r="CH826" s="140" t="n">
        <f aca="false">MIN(IF(DATOS_[[#This Row],[Fecha Fin Contrato]]="",$D$4,DATOS_[[#This Row],[Fecha Fin Contrato]]),$D$4)-MAX(DATOS_[[#This Row],[Fecha de Contratación]],$D$3)+1</f>
        <v>1</v>
      </c>
      <c r="CI826" s="141" t="str">
        <f aca="false">IF(COUNTIFS(DATOS_[id],DATOS_[[#This Row],[id]])&gt;1,DATOS_[[#This Row],[id]],"")</f>
        <v/>
      </c>
      <c r="CJ826" s="141" t="n">
        <f aca="false">(Inicio!$G$10-DATOS_[[#This Row],[Fecha Nacimiento]])/365.25</f>
        <v>0</v>
      </c>
      <c r="CK826" s="141" t="n">
        <f aca="false">(Inicio!$G$10-DATOS_[[#This Row],[Fecha de Antigüedad]])/365.25</f>
        <v>0</v>
      </c>
      <c r="CL826" s="141" t="e">
        <f aca="false">+VLOOKUP(DATOS_[[#This Row],[Clave de Contrato]],TblTiposContrato13[],3,0)</f>
        <v>#N/A</v>
      </c>
      <c r="CM826" s="141" t="e">
        <f aca="false">+VLOOKUP(DATOS_[[#This Row],[Clave de Contrato]],TblTiposContrato13[],4,0)</f>
        <v>#N/A</v>
      </c>
      <c r="CN826" s="141" t="str">
        <f aca="false">VLOOKUP(DATOS_[[#This Row],[Edad]],CONTRATOS!TblRngEdad,2,1)</f>
        <v>20  o menos</v>
      </c>
      <c r="CO826" s="141" t="str">
        <f aca="false">VLOOKUP(DATOS_[[#This Row],[Antigüedad]],TblRngAntg14[],2,1)</f>
        <v>0 a 1 años</v>
      </c>
    </row>
    <row r="827" customFormat="false" ht="13.8" hidden="false" customHeight="false" outlineLevel="0" collapsed="false">
      <c r="D827" s="128"/>
      <c r="E827" s="129"/>
      <c r="F827" s="129"/>
      <c r="G827" s="129"/>
      <c r="H827" s="130"/>
      <c r="I827" s="131"/>
      <c r="J827" s="128"/>
      <c r="K827" s="132"/>
      <c r="L827" s="132"/>
      <c r="M827" s="133"/>
      <c r="N827" s="133"/>
      <c r="O827" s="133"/>
      <c r="P827" s="129"/>
      <c r="Z827" s="75"/>
      <c r="AA827" s="76"/>
      <c r="AB827" s="76"/>
      <c r="AC827" s="129"/>
      <c r="AD827" s="134"/>
      <c r="AE827" s="134"/>
      <c r="AF827" s="134"/>
      <c r="AG827" s="134"/>
      <c r="AH827" s="134"/>
      <c r="AI827" s="134"/>
      <c r="AJ827" s="134"/>
      <c r="AK827" s="134"/>
      <c r="AL827" s="134"/>
      <c r="AM827" s="134"/>
      <c r="AN827" s="134"/>
      <c r="AO827" s="134"/>
      <c r="AP827" s="134"/>
      <c r="AQ827" s="134"/>
      <c r="AR827" s="134"/>
      <c r="AS827" s="134"/>
      <c r="AT827" s="134"/>
      <c r="AU827" s="134"/>
      <c r="AV827" s="134"/>
      <c r="AW827" s="134"/>
      <c r="AX827" s="134"/>
      <c r="AY827" s="134"/>
      <c r="AZ827" s="134"/>
      <c r="BA827" s="134"/>
      <c r="BB827" s="134"/>
      <c r="BC827" s="134"/>
      <c r="BD827" s="134"/>
      <c r="BE827" s="134"/>
      <c r="BF827" s="134"/>
      <c r="BG827" s="134"/>
      <c r="BH827" s="134"/>
      <c r="BI827" s="134"/>
      <c r="BJ827" s="134"/>
      <c r="BK827" s="134"/>
      <c r="BL827" s="134"/>
      <c r="BM827" s="135"/>
      <c r="BN827" s="136" t="n">
        <f aca="false">+MAX($D$3,DATOS_[[#This Row],[Fecha Inicio Sit. Contract.]])</f>
        <v>0</v>
      </c>
      <c r="BO827" s="136" t="n">
        <f aca="false">+MIN($D$4,DATOS_[[#This Row],[Fecha Fin Sit. Contract.]])</f>
        <v>0</v>
      </c>
      <c r="BP827" s="137" t="n">
        <f aca="false">+DATOS_[[#This Row],[% de jornada]]*IF(DATOS_[[#This Row],[% jornada reducida]]="",1,DATOS_[[#This Row],[% jornada reducida]])</f>
        <v>0</v>
      </c>
      <c r="BQ827" s="137" t="n">
        <f aca="false">+(DATOS_[[#This Row],[F.fin.cal]]-DATOS_[[#This Row],[F.ini.cal]]+1)/($D$4-$D$3+1)</f>
        <v>1</v>
      </c>
      <c r="BR827" s="137" t="str">
        <f aca="false">IF(OR(AND(DATOS_[[#This Row],[Fecha Fin Contrato]]&lt;$D$3,DATOS_[[#This Row],[Fecha Fin Contrato]]&lt;&gt;""),DATOS_[[#This Row],[Fecha de Contratación]]&gt;$D$4),"Fuera","Dentro")</f>
        <v>Dentro</v>
      </c>
      <c r="BS827" s="137" t="str">
        <f aca="false" t="array" ref="BS827:BS827">IF(MAX(IF(DATOS_[id]=DATOS_[[#This Row],[id]],DATOS_[F.fin.cal]))=DATOS_[[#This Row],[F.fin.cal]],"Sí","NO")</f>
        <v>Sí</v>
      </c>
      <c r="BT827" s="137" t="str">
        <f aca="false">IF(AND(DATOS_[[#This Row],[% normaliz]]&lt;&gt;1,DATOS_[[#This Row],[% anualiz]]=1),"Sí","NO")</f>
        <v>Sí</v>
      </c>
      <c r="BU827" s="137" t="str">
        <f aca="false">IF(AND(DATOS_[[#This Row],[% normaliz]]=1,DATOS_[[#This Row],[% anualiz]]&lt;&gt;1),"Sí","NO")</f>
        <v>NO</v>
      </c>
      <c r="BV827" s="137" t="str">
        <f aca="false">IF(AND(DATOS_[[#This Row],[% normaliz]]&lt;&gt;1,DATOS_[[#This Row],[% anualiz]]&lt;&gt;1),"Sí","NO")</f>
        <v>NO</v>
      </c>
      <c r="BW827" s="137" t="str">
        <f aca="false">+IF(DATOS_[[#This Row],[% normaliz]]*DATOS_[[#This Row],[% anualiz]]=1,"NO","Sí")</f>
        <v>Sí</v>
      </c>
      <c r="BX827" s="138" t="e">
        <f aca="false">(DATOS_[[#This Row],[S.BASE]]*(1/DATOS_[[#This Row],[% normaliz]])*(1/DATOS_[[#This Row],[% anualiz]]))*IF(DATOS_[[#This Row],[Check Equiparado]]="Sí",1,0)</f>
        <v>#DIV/0!</v>
      </c>
      <c r="BY8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7" s="138" t="e">
        <f aca="false">+DATOS_[[#This Row],[SALARIO BASE Eq]]+DATOS_[[#This Row],[Tot COMPL.SAL Eq]]</f>
        <v>#DIV/0!</v>
      </c>
      <c r="CA827" s="138" t="e">
        <f aca="false" t="array" ref="CA827:CA8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7" s="138" t="e">
        <f aca="false">+DATOS_[[#This Row],[TOTAL SALARIO Eq]]+DATOS_[[#This Row],[Tot Extrasalarial Eq]]</f>
        <v>#DIV/0!</v>
      </c>
      <c r="CC827" s="139" t="n">
        <f aca="false">DATOS_[[#This Row],[S.BASE]]</f>
        <v>0</v>
      </c>
      <c r="CD827" s="139" t="n">
        <f aca="false">+SUM(DATOS_[[#This Row],[Conc.Sal.01]:[Conc.Sal.30]])</f>
        <v>0</v>
      </c>
      <c r="CE827" s="139" t="n">
        <f aca="false">+DATOS_[[#This Row],[SALARIO BASE Ef]]+DATOS_[[#This Row],[Tot COMPL.SAL Ef]]</f>
        <v>0</v>
      </c>
      <c r="CF827" s="139" t="n">
        <f aca="false">+SUM(DATOS_[[#This Row],[C.Extra.01]:[C.Extra.05]])</f>
        <v>0</v>
      </c>
      <c r="CG827" s="139" t="n">
        <f aca="false">+DATOS_[[#This Row],[TOTAL SALARIO Ef]]+DATOS_[[#This Row],[Tot Extrasalarial Ef]]</f>
        <v>0</v>
      </c>
      <c r="CH827" s="140" t="n">
        <f aca="false">MIN(IF(DATOS_[[#This Row],[Fecha Fin Contrato]]="",$D$4,DATOS_[[#This Row],[Fecha Fin Contrato]]),$D$4)-MAX(DATOS_[[#This Row],[Fecha de Contratación]],$D$3)+1</f>
        <v>1</v>
      </c>
      <c r="CI827" s="141" t="str">
        <f aca="false">IF(COUNTIFS(DATOS_[id],DATOS_[[#This Row],[id]])&gt;1,DATOS_[[#This Row],[id]],"")</f>
        <v/>
      </c>
      <c r="CJ827" s="141" t="n">
        <f aca="false">(Inicio!$G$10-DATOS_[[#This Row],[Fecha Nacimiento]])/365.25</f>
        <v>0</v>
      </c>
      <c r="CK827" s="141" t="n">
        <f aca="false">(Inicio!$G$10-DATOS_[[#This Row],[Fecha de Antigüedad]])/365.25</f>
        <v>0</v>
      </c>
      <c r="CL827" s="141" t="e">
        <f aca="false">+VLOOKUP(DATOS_[[#This Row],[Clave de Contrato]],TblTiposContrato13[],3,0)</f>
        <v>#N/A</v>
      </c>
      <c r="CM827" s="141" t="e">
        <f aca="false">+VLOOKUP(DATOS_[[#This Row],[Clave de Contrato]],TblTiposContrato13[],4,0)</f>
        <v>#N/A</v>
      </c>
      <c r="CN827" s="141" t="str">
        <f aca="false">VLOOKUP(DATOS_[[#This Row],[Edad]],CONTRATOS!TblRngEdad,2,1)</f>
        <v>20  o menos</v>
      </c>
      <c r="CO827" s="141" t="str">
        <f aca="false">VLOOKUP(DATOS_[[#This Row],[Antigüedad]],TblRngAntg14[],2,1)</f>
        <v>0 a 1 años</v>
      </c>
    </row>
    <row r="828" customFormat="false" ht="13.8" hidden="false" customHeight="false" outlineLevel="0" collapsed="false">
      <c r="D828" s="128"/>
      <c r="E828" s="129"/>
      <c r="F828" s="129"/>
      <c r="G828" s="129"/>
      <c r="H828" s="130"/>
      <c r="I828" s="131"/>
      <c r="J828" s="128"/>
      <c r="K828" s="132"/>
      <c r="L828" s="132"/>
      <c r="M828" s="133"/>
      <c r="N828" s="133"/>
      <c r="O828" s="133"/>
      <c r="P828" s="129"/>
      <c r="Z828" s="75"/>
      <c r="AA828" s="76"/>
      <c r="AB828" s="76"/>
      <c r="AC828" s="129"/>
      <c r="AD828" s="134"/>
      <c r="AE828" s="134"/>
      <c r="AF828" s="134"/>
      <c r="AG828" s="134"/>
      <c r="AH828" s="134"/>
      <c r="AI828" s="134"/>
      <c r="AJ828" s="134"/>
      <c r="AK828" s="134"/>
      <c r="AL828" s="134"/>
      <c r="AM828" s="134"/>
      <c r="AN828" s="134"/>
      <c r="AO828" s="134"/>
      <c r="AP828" s="134"/>
      <c r="AQ828" s="134"/>
      <c r="AR828" s="134"/>
      <c r="AS828" s="134"/>
      <c r="AT828" s="134"/>
      <c r="AU828" s="134"/>
      <c r="AV828" s="134"/>
      <c r="AW828" s="134"/>
      <c r="AX828" s="134"/>
      <c r="AY828" s="134"/>
      <c r="AZ828" s="134"/>
      <c r="BA828" s="134"/>
      <c r="BB828" s="134"/>
      <c r="BC828" s="134"/>
      <c r="BD828" s="134"/>
      <c r="BE828" s="134"/>
      <c r="BF828" s="134"/>
      <c r="BG828" s="134"/>
      <c r="BH828" s="134"/>
      <c r="BI828" s="134"/>
      <c r="BJ828" s="134"/>
      <c r="BK828" s="134"/>
      <c r="BL828" s="134"/>
      <c r="BM828" s="135"/>
      <c r="BN828" s="136" t="n">
        <f aca="false">+MAX($D$3,DATOS_[[#This Row],[Fecha Inicio Sit. Contract.]])</f>
        <v>0</v>
      </c>
      <c r="BO828" s="136" t="n">
        <f aca="false">+MIN($D$4,DATOS_[[#This Row],[Fecha Fin Sit. Contract.]])</f>
        <v>0</v>
      </c>
      <c r="BP828" s="137" t="n">
        <f aca="false">+DATOS_[[#This Row],[% de jornada]]*IF(DATOS_[[#This Row],[% jornada reducida]]="",1,DATOS_[[#This Row],[% jornada reducida]])</f>
        <v>0</v>
      </c>
      <c r="BQ828" s="137" t="n">
        <f aca="false">+(DATOS_[[#This Row],[F.fin.cal]]-DATOS_[[#This Row],[F.ini.cal]]+1)/($D$4-$D$3+1)</f>
        <v>1</v>
      </c>
      <c r="BR828" s="137" t="str">
        <f aca="false">IF(OR(AND(DATOS_[[#This Row],[Fecha Fin Contrato]]&lt;$D$3,DATOS_[[#This Row],[Fecha Fin Contrato]]&lt;&gt;""),DATOS_[[#This Row],[Fecha de Contratación]]&gt;$D$4),"Fuera","Dentro")</f>
        <v>Dentro</v>
      </c>
      <c r="BS828" s="137" t="str">
        <f aca="false" t="array" ref="BS828:BS828">IF(MAX(IF(DATOS_[id]=DATOS_[[#This Row],[id]],DATOS_[F.fin.cal]))=DATOS_[[#This Row],[F.fin.cal]],"Sí","NO")</f>
        <v>Sí</v>
      </c>
      <c r="BT828" s="137" t="str">
        <f aca="false">IF(AND(DATOS_[[#This Row],[% normaliz]]&lt;&gt;1,DATOS_[[#This Row],[% anualiz]]=1),"Sí","NO")</f>
        <v>Sí</v>
      </c>
      <c r="BU828" s="137" t="str">
        <f aca="false">IF(AND(DATOS_[[#This Row],[% normaliz]]=1,DATOS_[[#This Row],[% anualiz]]&lt;&gt;1),"Sí","NO")</f>
        <v>NO</v>
      </c>
      <c r="BV828" s="137" t="str">
        <f aca="false">IF(AND(DATOS_[[#This Row],[% normaliz]]&lt;&gt;1,DATOS_[[#This Row],[% anualiz]]&lt;&gt;1),"Sí","NO")</f>
        <v>NO</v>
      </c>
      <c r="BW828" s="137" t="str">
        <f aca="false">+IF(DATOS_[[#This Row],[% normaliz]]*DATOS_[[#This Row],[% anualiz]]=1,"NO","Sí")</f>
        <v>Sí</v>
      </c>
      <c r="BX828" s="138" t="e">
        <f aca="false">(DATOS_[[#This Row],[S.BASE]]*(1/DATOS_[[#This Row],[% normaliz]])*(1/DATOS_[[#This Row],[% anualiz]]))*IF(DATOS_[[#This Row],[Check Equiparado]]="Sí",1,0)</f>
        <v>#DIV/0!</v>
      </c>
      <c r="BY8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8" s="138" t="e">
        <f aca="false">+DATOS_[[#This Row],[SALARIO BASE Eq]]+DATOS_[[#This Row],[Tot COMPL.SAL Eq]]</f>
        <v>#DIV/0!</v>
      </c>
      <c r="CA828" s="138" t="e">
        <f aca="false" t="array" ref="CA828:CA8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8" s="138" t="e">
        <f aca="false">+DATOS_[[#This Row],[TOTAL SALARIO Eq]]+DATOS_[[#This Row],[Tot Extrasalarial Eq]]</f>
        <v>#DIV/0!</v>
      </c>
      <c r="CC828" s="139" t="n">
        <f aca="false">DATOS_[[#This Row],[S.BASE]]</f>
        <v>0</v>
      </c>
      <c r="CD828" s="139" t="n">
        <f aca="false">+SUM(DATOS_[[#This Row],[Conc.Sal.01]:[Conc.Sal.30]])</f>
        <v>0</v>
      </c>
      <c r="CE828" s="139" t="n">
        <f aca="false">+DATOS_[[#This Row],[SALARIO BASE Ef]]+DATOS_[[#This Row],[Tot COMPL.SAL Ef]]</f>
        <v>0</v>
      </c>
      <c r="CF828" s="139" t="n">
        <f aca="false">+SUM(DATOS_[[#This Row],[C.Extra.01]:[C.Extra.05]])</f>
        <v>0</v>
      </c>
      <c r="CG828" s="139" t="n">
        <f aca="false">+DATOS_[[#This Row],[TOTAL SALARIO Ef]]+DATOS_[[#This Row],[Tot Extrasalarial Ef]]</f>
        <v>0</v>
      </c>
      <c r="CH828" s="140" t="n">
        <f aca="false">MIN(IF(DATOS_[[#This Row],[Fecha Fin Contrato]]="",$D$4,DATOS_[[#This Row],[Fecha Fin Contrato]]),$D$4)-MAX(DATOS_[[#This Row],[Fecha de Contratación]],$D$3)+1</f>
        <v>1</v>
      </c>
      <c r="CI828" s="141" t="str">
        <f aca="false">IF(COUNTIFS(DATOS_[id],DATOS_[[#This Row],[id]])&gt;1,DATOS_[[#This Row],[id]],"")</f>
        <v/>
      </c>
      <c r="CJ828" s="141" t="n">
        <f aca="false">(Inicio!$G$10-DATOS_[[#This Row],[Fecha Nacimiento]])/365.25</f>
        <v>0</v>
      </c>
      <c r="CK828" s="141" t="n">
        <f aca="false">(Inicio!$G$10-DATOS_[[#This Row],[Fecha de Antigüedad]])/365.25</f>
        <v>0</v>
      </c>
      <c r="CL828" s="141" t="e">
        <f aca="false">+VLOOKUP(DATOS_[[#This Row],[Clave de Contrato]],TblTiposContrato13[],3,0)</f>
        <v>#N/A</v>
      </c>
      <c r="CM828" s="141" t="e">
        <f aca="false">+VLOOKUP(DATOS_[[#This Row],[Clave de Contrato]],TblTiposContrato13[],4,0)</f>
        <v>#N/A</v>
      </c>
      <c r="CN828" s="141" t="str">
        <f aca="false">VLOOKUP(DATOS_[[#This Row],[Edad]],CONTRATOS!TblRngEdad,2,1)</f>
        <v>20  o menos</v>
      </c>
      <c r="CO828" s="141" t="str">
        <f aca="false">VLOOKUP(DATOS_[[#This Row],[Antigüedad]],TblRngAntg14[],2,1)</f>
        <v>0 a 1 años</v>
      </c>
    </row>
    <row r="829" customFormat="false" ht="13.8" hidden="false" customHeight="false" outlineLevel="0" collapsed="false">
      <c r="D829" s="128"/>
      <c r="E829" s="129"/>
      <c r="F829" s="129"/>
      <c r="G829" s="129"/>
      <c r="H829" s="130"/>
      <c r="I829" s="131"/>
      <c r="J829" s="128"/>
      <c r="K829" s="132"/>
      <c r="L829" s="132"/>
      <c r="M829" s="133"/>
      <c r="N829" s="133"/>
      <c r="O829" s="133"/>
      <c r="P829" s="129"/>
      <c r="Z829" s="75"/>
      <c r="AA829" s="76"/>
      <c r="AB829" s="76"/>
      <c r="AC829" s="129"/>
      <c r="AD829" s="134"/>
      <c r="AE829" s="134"/>
      <c r="AF829" s="134"/>
      <c r="AG829" s="134"/>
      <c r="AH829" s="134"/>
      <c r="AI829" s="134"/>
      <c r="AJ829" s="134"/>
      <c r="AK829" s="134"/>
      <c r="AL829" s="134"/>
      <c r="AM829" s="134"/>
      <c r="AN829" s="134"/>
      <c r="AO829" s="134"/>
      <c r="AP829" s="134"/>
      <c r="AQ829" s="134"/>
      <c r="AR829" s="134"/>
      <c r="AS829" s="134"/>
      <c r="AT829" s="134"/>
      <c r="AU829" s="134"/>
      <c r="AV829" s="134"/>
      <c r="AW829" s="134"/>
      <c r="AX829" s="134"/>
      <c r="AY829" s="134"/>
      <c r="AZ829" s="134"/>
      <c r="BA829" s="134"/>
      <c r="BB829" s="134"/>
      <c r="BC829" s="134"/>
      <c r="BD829" s="134"/>
      <c r="BE829" s="134"/>
      <c r="BF829" s="134"/>
      <c r="BG829" s="134"/>
      <c r="BH829" s="134"/>
      <c r="BI829" s="134"/>
      <c r="BJ829" s="134"/>
      <c r="BK829" s="134"/>
      <c r="BL829" s="134"/>
      <c r="BM829" s="135"/>
      <c r="BN829" s="136" t="n">
        <f aca="false">+MAX($D$3,DATOS_[[#This Row],[Fecha Inicio Sit. Contract.]])</f>
        <v>0</v>
      </c>
      <c r="BO829" s="136" t="n">
        <f aca="false">+MIN($D$4,DATOS_[[#This Row],[Fecha Fin Sit. Contract.]])</f>
        <v>0</v>
      </c>
      <c r="BP829" s="137" t="n">
        <f aca="false">+DATOS_[[#This Row],[% de jornada]]*IF(DATOS_[[#This Row],[% jornada reducida]]="",1,DATOS_[[#This Row],[% jornada reducida]])</f>
        <v>0</v>
      </c>
      <c r="BQ829" s="137" t="n">
        <f aca="false">+(DATOS_[[#This Row],[F.fin.cal]]-DATOS_[[#This Row],[F.ini.cal]]+1)/($D$4-$D$3+1)</f>
        <v>1</v>
      </c>
      <c r="BR829" s="137" t="str">
        <f aca="false">IF(OR(AND(DATOS_[[#This Row],[Fecha Fin Contrato]]&lt;$D$3,DATOS_[[#This Row],[Fecha Fin Contrato]]&lt;&gt;""),DATOS_[[#This Row],[Fecha de Contratación]]&gt;$D$4),"Fuera","Dentro")</f>
        <v>Dentro</v>
      </c>
      <c r="BS829" s="137" t="str">
        <f aca="false" t="array" ref="BS829:BS829">IF(MAX(IF(DATOS_[id]=DATOS_[[#This Row],[id]],DATOS_[F.fin.cal]))=DATOS_[[#This Row],[F.fin.cal]],"Sí","NO")</f>
        <v>Sí</v>
      </c>
      <c r="BT829" s="137" t="str">
        <f aca="false">IF(AND(DATOS_[[#This Row],[% normaliz]]&lt;&gt;1,DATOS_[[#This Row],[% anualiz]]=1),"Sí","NO")</f>
        <v>Sí</v>
      </c>
      <c r="BU829" s="137" t="str">
        <f aca="false">IF(AND(DATOS_[[#This Row],[% normaliz]]=1,DATOS_[[#This Row],[% anualiz]]&lt;&gt;1),"Sí","NO")</f>
        <v>NO</v>
      </c>
      <c r="BV829" s="137" t="str">
        <f aca="false">IF(AND(DATOS_[[#This Row],[% normaliz]]&lt;&gt;1,DATOS_[[#This Row],[% anualiz]]&lt;&gt;1),"Sí","NO")</f>
        <v>NO</v>
      </c>
      <c r="BW829" s="137" t="str">
        <f aca="false">+IF(DATOS_[[#This Row],[% normaliz]]*DATOS_[[#This Row],[% anualiz]]=1,"NO","Sí")</f>
        <v>Sí</v>
      </c>
      <c r="BX829" s="138" t="e">
        <f aca="false">(DATOS_[[#This Row],[S.BASE]]*(1/DATOS_[[#This Row],[% normaliz]])*(1/DATOS_[[#This Row],[% anualiz]]))*IF(DATOS_[[#This Row],[Check Equiparado]]="Sí",1,0)</f>
        <v>#DIV/0!</v>
      </c>
      <c r="BY8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9" s="138" t="e">
        <f aca="false">+DATOS_[[#This Row],[SALARIO BASE Eq]]+DATOS_[[#This Row],[Tot COMPL.SAL Eq]]</f>
        <v>#DIV/0!</v>
      </c>
      <c r="CA829" s="138" t="e">
        <f aca="false" t="array" ref="CA829:CA8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9" s="138" t="e">
        <f aca="false">+DATOS_[[#This Row],[TOTAL SALARIO Eq]]+DATOS_[[#This Row],[Tot Extrasalarial Eq]]</f>
        <v>#DIV/0!</v>
      </c>
      <c r="CC829" s="139" t="n">
        <f aca="false">DATOS_[[#This Row],[S.BASE]]</f>
        <v>0</v>
      </c>
      <c r="CD829" s="139" t="n">
        <f aca="false">+SUM(DATOS_[[#This Row],[Conc.Sal.01]:[Conc.Sal.30]])</f>
        <v>0</v>
      </c>
      <c r="CE829" s="139" t="n">
        <f aca="false">+DATOS_[[#This Row],[SALARIO BASE Ef]]+DATOS_[[#This Row],[Tot COMPL.SAL Ef]]</f>
        <v>0</v>
      </c>
      <c r="CF829" s="139" t="n">
        <f aca="false">+SUM(DATOS_[[#This Row],[C.Extra.01]:[C.Extra.05]])</f>
        <v>0</v>
      </c>
      <c r="CG829" s="139" t="n">
        <f aca="false">+DATOS_[[#This Row],[TOTAL SALARIO Ef]]+DATOS_[[#This Row],[Tot Extrasalarial Ef]]</f>
        <v>0</v>
      </c>
      <c r="CH829" s="140" t="n">
        <f aca="false">MIN(IF(DATOS_[[#This Row],[Fecha Fin Contrato]]="",$D$4,DATOS_[[#This Row],[Fecha Fin Contrato]]),$D$4)-MAX(DATOS_[[#This Row],[Fecha de Contratación]],$D$3)+1</f>
        <v>1</v>
      </c>
      <c r="CI829" s="141" t="str">
        <f aca="false">IF(COUNTIFS(DATOS_[id],DATOS_[[#This Row],[id]])&gt;1,DATOS_[[#This Row],[id]],"")</f>
        <v/>
      </c>
      <c r="CJ829" s="141" t="n">
        <f aca="false">(Inicio!$G$10-DATOS_[[#This Row],[Fecha Nacimiento]])/365.25</f>
        <v>0</v>
      </c>
      <c r="CK829" s="141" t="n">
        <f aca="false">(Inicio!$G$10-DATOS_[[#This Row],[Fecha de Antigüedad]])/365.25</f>
        <v>0</v>
      </c>
      <c r="CL829" s="141" t="e">
        <f aca="false">+VLOOKUP(DATOS_[[#This Row],[Clave de Contrato]],TblTiposContrato13[],3,0)</f>
        <v>#N/A</v>
      </c>
      <c r="CM829" s="141" t="e">
        <f aca="false">+VLOOKUP(DATOS_[[#This Row],[Clave de Contrato]],TblTiposContrato13[],4,0)</f>
        <v>#N/A</v>
      </c>
      <c r="CN829" s="141" t="str">
        <f aca="false">VLOOKUP(DATOS_[[#This Row],[Edad]],CONTRATOS!TblRngEdad,2,1)</f>
        <v>20  o menos</v>
      </c>
      <c r="CO829" s="141" t="str">
        <f aca="false">VLOOKUP(DATOS_[[#This Row],[Antigüedad]],TblRngAntg14[],2,1)</f>
        <v>0 a 1 años</v>
      </c>
    </row>
    <row r="830" customFormat="false" ht="13.8" hidden="false" customHeight="false" outlineLevel="0" collapsed="false">
      <c r="D830" s="128"/>
      <c r="E830" s="129"/>
      <c r="F830" s="129"/>
      <c r="G830" s="129"/>
      <c r="H830" s="130"/>
      <c r="I830" s="131"/>
      <c r="J830" s="128"/>
      <c r="K830" s="132"/>
      <c r="L830" s="132"/>
      <c r="M830" s="133"/>
      <c r="N830" s="133"/>
      <c r="O830" s="133"/>
      <c r="P830" s="129"/>
      <c r="Z830" s="75"/>
      <c r="AA830" s="76"/>
      <c r="AB830" s="76"/>
      <c r="AC830" s="129"/>
      <c r="AD830" s="134"/>
      <c r="AE830" s="134"/>
      <c r="AF830" s="134"/>
      <c r="AG830" s="134"/>
      <c r="AH830" s="134"/>
      <c r="AI830" s="134"/>
      <c r="AJ830" s="134"/>
      <c r="AK830" s="134"/>
      <c r="AL830" s="134"/>
      <c r="AM830" s="134"/>
      <c r="AN830" s="134"/>
      <c r="AO830" s="134"/>
      <c r="AP830" s="134"/>
      <c r="AQ830" s="134"/>
      <c r="AR830" s="134"/>
      <c r="AS830" s="134"/>
      <c r="AT830" s="134"/>
      <c r="AU830" s="134"/>
      <c r="AV830" s="134"/>
      <c r="AW830" s="134"/>
      <c r="AX830" s="134"/>
      <c r="AY830" s="134"/>
      <c r="AZ830" s="134"/>
      <c r="BA830" s="134"/>
      <c r="BB830" s="134"/>
      <c r="BC830" s="134"/>
      <c r="BD830" s="134"/>
      <c r="BE830" s="134"/>
      <c r="BF830" s="134"/>
      <c r="BG830" s="134"/>
      <c r="BH830" s="134"/>
      <c r="BI830" s="134"/>
      <c r="BJ830" s="134"/>
      <c r="BK830" s="134"/>
      <c r="BL830" s="134"/>
      <c r="BM830" s="135"/>
      <c r="BN830" s="136" t="n">
        <f aca="false">+MAX($D$3,DATOS_[[#This Row],[Fecha Inicio Sit. Contract.]])</f>
        <v>0</v>
      </c>
      <c r="BO830" s="136" t="n">
        <f aca="false">+MIN($D$4,DATOS_[[#This Row],[Fecha Fin Sit. Contract.]])</f>
        <v>0</v>
      </c>
      <c r="BP830" s="137" t="n">
        <f aca="false">+DATOS_[[#This Row],[% de jornada]]*IF(DATOS_[[#This Row],[% jornada reducida]]="",1,DATOS_[[#This Row],[% jornada reducida]])</f>
        <v>0</v>
      </c>
      <c r="BQ830" s="137" t="n">
        <f aca="false">+(DATOS_[[#This Row],[F.fin.cal]]-DATOS_[[#This Row],[F.ini.cal]]+1)/($D$4-$D$3+1)</f>
        <v>1</v>
      </c>
      <c r="BR830" s="137" t="str">
        <f aca="false">IF(OR(AND(DATOS_[[#This Row],[Fecha Fin Contrato]]&lt;$D$3,DATOS_[[#This Row],[Fecha Fin Contrato]]&lt;&gt;""),DATOS_[[#This Row],[Fecha de Contratación]]&gt;$D$4),"Fuera","Dentro")</f>
        <v>Dentro</v>
      </c>
      <c r="BS830" s="137" t="str">
        <f aca="false" t="array" ref="BS830:BS830">IF(MAX(IF(DATOS_[id]=DATOS_[[#This Row],[id]],DATOS_[F.fin.cal]))=DATOS_[[#This Row],[F.fin.cal]],"Sí","NO")</f>
        <v>Sí</v>
      </c>
      <c r="BT830" s="137" t="str">
        <f aca="false">IF(AND(DATOS_[[#This Row],[% normaliz]]&lt;&gt;1,DATOS_[[#This Row],[% anualiz]]=1),"Sí","NO")</f>
        <v>Sí</v>
      </c>
      <c r="BU830" s="137" t="str">
        <f aca="false">IF(AND(DATOS_[[#This Row],[% normaliz]]=1,DATOS_[[#This Row],[% anualiz]]&lt;&gt;1),"Sí","NO")</f>
        <v>NO</v>
      </c>
      <c r="BV830" s="137" t="str">
        <f aca="false">IF(AND(DATOS_[[#This Row],[% normaliz]]&lt;&gt;1,DATOS_[[#This Row],[% anualiz]]&lt;&gt;1),"Sí","NO")</f>
        <v>NO</v>
      </c>
      <c r="BW830" s="137" t="str">
        <f aca="false">+IF(DATOS_[[#This Row],[% normaliz]]*DATOS_[[#This Row],[% anualiz]]=1,"NO","Sí")</f>
        <v>Sí</v>
      </c>
      <c r="BX830" s="138" t="e">
        <f aca="false">(DATOS_[[#This Row],[S.BASE]]*(1/DATOS_[[#This Row],[% normaliz]])*(1/DATOS_[[#This Row],[% anualiz]]))*IF(DATOS_[[#This Row],[Check Equiparado]]="Sí",1,0)</f>
        <v>#DIV/0!</v>
      </c>
      <c r="BY8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0" s="138" t="e">
        <f aca="false">+DATOS_[[#This Row],[SALARIO BASE Eq]]+DATOS_[[#This Row],[Tot COMPL.SAL Eq]]</f>
        <v>#DIV/0!</v>
      </c>
      <c r="CA830" s="138" t="e">
        <f aca="false" t="array" ref="CA830:CA8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0" s="138" t="e">
        <f aca="false">+DATOS_[[#This Row],[TOTAL SALARIO Eq]]+DATOS_[[#This Row],[Tot Extrasalarial Eq]]</f>
        <v>#DIV/0!</v>
      </c>
      <c r="CC830" s="139" t="n">
        <f aca="false">DATOS_[[#This Row],[S.BASE]]</f>
        <v>0</v>
      </c>
      <c r="CD830" s="139" t="n">
        <f aca="false">+SUM(DATOS_[[#This Row],[Conc.Sal.01]:[Conc.Sal.30]])</f>
        <v>0</v>
      </c>
      <c r="CE830" s="139" t="n">
        <f aca="false">+DATOS_[[#This Row],[SALARIO BASE Ef]]+DATOS_[[#This Row],[Tot COMPL.SAL Ef]]</f>
        <v>0</v>
      </c>
      <c r="CF830" s="139" t="n">
        <f aca="false">+SUM(DATOS_[[#This Row],[C.Extra.01]:[C.Extra.05]])</f>
        <v>0</v>
      </c>
      <c r="CG830" s="139" t="n">
        <f aca="false">+DATOS_[[#This Row],[TOTAL SALARIO Ef]]+DATOS_[[#This Row],[Tot Extrasalarial Ef]]</f>
        <v>0</v>
      </c>
      <c r="CH830" s="140" t="n">
        <f aca="false">MIN(IF(DATOS_[[#This Row],[Fecha Fin Contrato]]="",$D$4,DATOS_[[#This Row],[Fecha Fin Contrato]]),$D$4)-MAX(DATOS_[[#This Row],[Fecha de Contratación]],$D$3)+1</f>
        <v>1</v>
      </c>
      <c r="CI830" s="141" t="str">
        <f aca="false">IF(COUNTIFS(DATOS_[id],DATOS_[[#This Row],[id]])&gt;1,DATOS_[[#This Row],[id]],"")</f>
        <v/>
      </c>
      <c r="CJ830" s="141" t="n">
        <f aca="false">(Inicio!$G$10-DATOS_[[#This Row],[Fecha Nacimiento]])/365.25</f>
        <v>0</v>
      </c>
      <c r="CK830" s="141" t="n">
        <f aca="false">(Inicio!$G$10-DATOS_[[#This Row],[Fecha de Antigüedad]])/365.25</f>
        <v>0</v>
      </c>
      <c r="CL830" s="141" t="e">
        <f aca="false">+VLOOKUP(DATOS_[[#This Row],[Clave de Contrato]],TblTiposContrato13[],3,0)</f>
        <v>#N/A</v>
      </c>
      <c r="CM830" s="141" t="e">
        <f aca="false">+VLOOKUP(DATOS_[[#This Row],[Clave de Contrato]],TblTiposContrato13[],4,0)</f>
        <v>#N/A</v>
      </c>
      <c r="CN830" s="141" t="str">
        <f aca="false">VLOOKUP(DATOS_[[#This Row],[Edad]],CONTRATOS!TblRngEdad,2,1)</f>
        <v>20  o menos</v>
      </c>
      <c r="CO830" s="141" t="str">
        <f aca="false">VLOOKUP(DATOS_[[#This Row],[Antigüedad]],TblRngAntg14[],2,1)</f>
        <v>0 a 1 años</v>
      </c>
    </row>
    <row r="831" customFormat="false" ht="13.8" hidden="false" customHeight="false" outlineLevel="0" collapsed="false">
      <c r="D831" s="128"/>
      <c r="E831" s="129"/>
      <c r="F831" s="129"/>
      <c r="G831" s="129"/>
      <c r="H831" s="130"/>
      <c r="I831" s="131"/>
      <c r="J831" s="128"/>
      <c r="K831" s="132"/>
      <c r="L831" s="132"/>
      <c r="M831" s="133"/>
      <c r="N831" s="133"/>
      <c r="O831" s="133"/>
      <c r="P831" s="129"/>
      <c r="Z831" s="75"/>
      <c r="AA831" s="76"/>
      <c r="AB831" s="76"/>
      <c r="AC831" s="129"/>
      <c r="AD831" s="134"/>
      <c r="AE831" s="134"/>
      <c r="AF831" s="134"/>
      <c r="AG831" s="134"/>
      <c r="AH831" s="134"/>
      <c r="AI831" s="134"/>
      <c r="AJ831" s="134"/>
      <c r="AK831" s="134"/>
      <c r="AL831" s="134"/>
      <c r="AM831" s="134"/>
      <c r="AN831" s="134"/>
      <c r="AO831" s="134"/>
      <c r="AP831" s="134"/>
      <c r="AQ831" s="134"/>
      <c r="AR831" s="134"/>
      <c r="AS831" s="134"/>
      <c r="AT831" s="134"/>
      <c r="AU831" s="134"/>
      <c r="AV831" s="134"/>
      <c r="AW831" s="134"/>
      <c r="AX831" s="134"/>
      <c r="AY831" s="134"/>
      <c r="AZ831" s="134"/>
      <c r="BA831" s="134"/>
      <c r="BB831" s="134"/>
      <c r="BC831" s="134"/>
      <c r="BD831" s="134"/>
      <c r="BE831" s="134"/>
      <c r="BF831" s="134"/>
      <c r="BG831" s="134"/>
      <c r="BH831" s="134"/>
      <c r="BI831" s="134"/>
      <c r="BJ831" s="134"/>
      <c r="BK831" s="134"/>
      <c r="BL831" s="134"/>
      <c r="BM831" s="135"/>
      <c r="BN831" s="136" t="n">
        <f aca="false">+MAX($D$3,DATOS_[[#This Row],[Fecha Inicio Sit. Contract.]])</f>
        <v>0</v>
      </c>
      <c r="BO831" s="136" t="n">
        <f aca="false">+MIN($D$4,DATOS_[[#This Row],[Fecha Fin Sit. Contract.]])</f>
        <v>0</v>
      </c>
      <c r="BP831" s="137" t="n">
        <f aca="false">+DATOS_[[#This Row],[% de jornada]]*IF(DATOS_[[#This Row],[% jornada reducida]]="",1,DATOS_[[#This Row],[% jornada reducida]])</f>
        <v>0</v>
      </c>
      <c r="BQ831" s="137" t="n">
        <f aca="false">+(DATOS_[[#This Row],[F.fin.cal]]-DATOS_[[#This Row],[F.ini.cal]]+1)/($D$4-$D$3+1)</f>
        <v>1</v>
      </c>
      <c r="BR831" s="137" t="str">
        <f aca="false">IF(OR(AND(DATOS_[[#This Row],[Fecha Fin Contrato]]&lt;$D$3,DATOS_[[#This Row],[Fecha Fin Contrato]]&lt;&gt;""),DATOS_[[#This Row],[Fecha de Contratación]]&gt;$D$4),"Fuera","Dentro")</f>
        <v>Dentro</v>
      </c>
      <c r="BS831" s="137" t="str">
        <f aca="false" t="array" ref="BS831:BS831">IF(MAX(IF(DATOS_[id]=DATOS_[[#This Row],[id]],DATOS_[F.fin.cal]))=DATOS_[[#This Row],[F.fin.cal]],"Sí","NO")</f>
        <v>Sí</v>
      </c>
      <c r="BT831" s="137" t="str">
        <f aca="false">IF(AND(DATOS_[[#This Row],[% normaliz]]&lt;&gt;1,DATOS_[[#This Row],[% anualiz]]=1),"Sí","NO")</f>
        <v>Sí</v>
      </c>
      <c r="BU831" s="137" t="str">
        <f aca="false">IF(AND(DATOS_[[#This Row],[% normaliz]]=1,DATOS_[[#This Row],[% anualiz]]&lt;&gt;1),"Sí","NO")</f>
        <v>NO</v>
      </c>
      <c r="BV831" s="137" t="str">
        <f aca="false">IF(AND(DATOS_[[#This Row],[% normaliz]]&lt;&gt;1,DATOS_[[#This Row],[% anualiz]]&lt;&gt;1),"Sí","NO")</f>
        <v>NO</v>
      </c>
      <c r="BW831" s="137" t="str">
        <f aca="false">+IF(DATOS_[[#This Row],[% normaliz]]*DATOS_[[#This Row],[% anualiz]]=1,"NO","Sí")</f>
        <v>Sí</v>
      </c>
      <c r="BX831" s="138" t="e">
        <f aca="false">(DATOS_[[#This Row],[S.BASE]]*(1/DATOS_[[#This Row],[% normaliz]])*(1/DATOS_[[#This Row],[% anualiz]]))*IF(DATOS_[[#This Row],[Check Equiparado]]="Sí",1,0)</f>
        <v>#DIV/0!</v>
      </c>
      <c r="BY8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1" s="138" t="e">
        <f aca="false">+DATOS_[[#This Row],[SALARIO BASE Eq]]+DATOS_[[#This Row],[Tot COMPL.SAL Eq]]</f>
        <v>#DIV/0!</v>
      </c>
      <c r="CA831" s="138" t="e">
        <f aca="false" t="array" ref="CA831:CA8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1" s="138" t="e">
        <f aca="false">+DATOS_[[#This Row],[TOTAL SALARIO Eq]]+DATOS_[[#This Row],[Tot Extrasalarial Eq]]</f>
        <v>#DIV/0!</v>
      </c>
      <c r="CC831" s="139" t="n">
        <f aca="false">DATOS_[[#This Row],[S.BASE]]</f>
        <v>0</v>
      </c>
      <c r="CD831" s="139" t="n">
        <f aca="false">+SUM(DATOS_[[#This Row],[Conc.Sal.01]:[Conc.Sal.30]])</f>
        <v>0</v>
      </c>
      <c r="CE831" s="139" t="n">
        <f aca="false">+DATOS_[[#This Row],[SALARIO BASE Ef]]+DATOS_[[#This Row],[Tot COMPL.SAL Ef]]</f>
        <v>0</v>
      </c>
      <c r="CF831" s="139" t="n">
        <f aca="false">+SUM(DATOS_[[#This Row],[C.Extra.01]:[C.Extra.05]])</f>
        <v>0</v>
      </c>
      <c r="CG831" s="139" t="n">
        <f aca="false">+DATOS_[[#This Row],[TOTAL SALARIO Ef]]+DATOS_[[#This Row],[Tot Extrasalarial Ef]]</f>
        <v>0</v>
      </c>
      <c r="CH831" s="140" t="n">
        <f aca="false">MIN(IF(DATOS_[[#This Row],[Fecha Fin Contrato]]="",$D$4,DATOS_[[#This Row],[Fecha Fin Contrato]]),$D$4)-MAX(DATOS_[[#This Row],[Fecha de Contratación]],$D$3)+1</f>
        <v>1</v>
      </c>
      <c r="CI831" s="141" t="str">
        <f aca="false">IF(COUNTIFS(DATOS_[id],DATOS_[[#This Row],[id]])&gt;1,DATOS_[[#This Row],[id]],"")</f>
        <v/>
      </c>
      <c r="CJ831" s="141" t="n">
        <f aca="false">(Inicio!$G$10-DATOS_[[#This Row],[Fecha Nacimiento]])/365.25</f>
        <v>0</v>
      </c>
      <c r="CK831" s="141" t="n">
        <f aca="false">(Inicio!$G$10-DATOS_[[#This Row],[Fecha de Antigüedad]])/365.25</f>
        <v>0</v>
      </c>
      <c r="CL831" s="141" t="e">
        <f aca="false">+VLOOKUP(DATOS_[[#This Row],[Clave de Contrato]],TblTiposContrato13[],3,0)</f>
        <v>#N/A</v>
      </c>
      <c r="CM831" s="141" t="e">
        <f aca="false">+VLOOKUP(DATOS_[[#This Row],[Clave de Contrato]],TblTiposContrato13[],4,0)</f>
        <v>#N/A</v>
      </c>
      <c r="CN831" s="141" t="str">
        <f aca="false">VLOOKUP(DATOS_[[#This Row],[Edad]],CONTRATOS!TblRngEdad,2,1)</f>
        <v>20  o menos</v>
      </c>
      <c r="CO831" s="141" t="str">
        <f aca="false">VLOOKUP(DATOS_[[#This Row],[Antigüedad]],TblRngAntg14[],2,1)</f>
        <v>0 a 1 años</v>
      </c>
    </row>
    <row r="832" customFormat="false" ht="13.8" hidden="false" customHeight="false" outlineLevel="0" collapsed="false">
      <c r="D832" s="128"/>
      <c r="E832" s="129"/>
      <c r="F832" s="129"/>
      <c r="G832" s="129"/>
      <c r="H832" s="130"/>
      <c r="I832" s="131"/>
      <c r="J832" s="128"/>
      <c r="K832" s="132"/>
      <c r="L832" s="132"/>
      <c r="M832" s="133"/>
      <c r="N832" s="133"/>
      <c r="O832" s="133"/>
      <c r="P832" s="129"/>
      <c r="Z832" s="75"/>
      <c r="AA832" s="76"/>
      <c r="AB832" s="76"/>
      <c r="AC832" s="129"/>
      <c r="AD832" s="134"/>
      <c r="AE832" s="134"/>
      <c r="AF832" s="134"/>
      <c r="AG832" s="134"/>
      <c r="AH832" s="134"/>
      <c r="AI832" s="134"/>
      <c r="AJ832" s="134"/>
      <c r="AK832" s="134"/>
      <c r="AL832" s="134"/>
      <c r="AM832" s="134"/>
      <c r="AN832" s="134"/>
      <c r="AO832" s="134"/>
      <c r="AP832" s="134"/>
      <c r="AQ832" s="134"/>
      <c r="AR832" s="134"/>
      <c r="AS832" s="134"/>
      <c r="AT832" s="134"/>
      <c r="AU832" s="134"/>
      <c r="AV832" s="134"/>
      <c r="AW832" s="134"/>
      <c r="AX832" s="134"/>
      <c r="AY832" s="134"/>
      <c r="AZ832" s="134"/>
      <c r="BA832" s="134"/>
      <c r="BB832" s="134"/>
      <c r="BC832" s="134"/>
      <c r="BD832" s="134"/>
      <c r="BE832" s="134"/>
      <c r="BF832" s="134"/>
      <c r="BG832" s="134"/>
      <c r="BH832" s="134"/>
      <c r="BI832" s="134"/>
      <c r="BJ832" s="134"/>
      <c r="BK832" s="134"/>
      <c r="BL832" s="134"/>
      <c r="BM832" s="135"/>
      <c r="BN832" s="136" t="n">
        <f aca="false">+MAX($D$3,DATOS_[[#This Row],[Fecha Inicio Sit. Contract.]])</f>
        <v>0</v>
      </c>
      <c r="BO832" s="136" t="n">
        <f aca="false">+MIN($D$4,DATOS_[[#This Row],[Fecha Fin Sit. Contract.]])</f>
        <v>0</v>
      </c>
      <c r="BP832" s="137" t="n">
        <f aca="false">+DATOS_[[#This Row],[% de jornada]]*IF(DATOS_[[#This Row],[% jornada reducida]]="",1,DATOS_[[#This Row],[% jornada reducida]])</f>
        <v>0</v>
      </c>
      <c r="BQ832" s="137" t="n">
        <f aca="false">+(DATOS_[[#This Row],[F.fin.cal]]-DATOS_[[#This Row],[F.ini.cal]]+1)/($D$4-$D$3+1)</f>
        <v>1</v>
      </c>
      <c r="BR832" s="137" t="str">
        <f aca="false">IF(OR(AND(DATOS_[[#This Row],[Fecha Fin Contrato]]&lt;$D$3,DATOS_[[#This Row],[Fecha Fin Contrato]]&lt;&gt;""),DATOS_[[#This Row],[Fecha de Contratación]]&gt;$D$4),"Fuera","Dentro")</f>
        <v>Dentro</v>
      </c>
      <c r="BS832" s="137" t="str">
        <f aca="false" t="array" ref="BS832:BS832">IF(MAX(IF(DATOS_[id]=DATOS_[[#This Row],[id]],DATOS_[F.fin.cal]))=DATOS_[[#This Row],[F.fin.cal]],"Sí","NO")</f>
        <v>Sí</v>
      </c>
      <c r="BT832" s="137" t="str">
        <f aca="false">IF(AND(DATOS_[[#This Row],[% normaliz]]&lt;&gt;1,DATOS_[[#This Row],[% anualiz]]=1),"Sí","NO")</f>
        <v>Sí</v>
      </c>
      <c r="BU832" s="137" t="str">
        <f aca="false">IF(AND(DATOS_[[#This Row],[% normaliz]]=1,DATOS_[[#This Row],[% anualiz]]&lt;&gt;1),"Sí","NO")</f>
        <v>NO</v>
      </c>
      <c r="BV832" s="137" t="str">
        <f aca="false">IF(AND(DATOS_[[#This Row],[% normaliz]]&lt;&gt;1,DATOS_[[#This Row],[% anualiz]]&lt;&gt;1),"Sí","NO")</f>
        <v>NO</v>
      </c>
      <c r="BW832" s="137" t="str">
        <f aca="false">+IF(DATOS_[[#This Row],[% normaliz]]*DATOS_[[#This Row],[% anualiz]]=1,"NO","Sí")</f>
        <v>Sí</v>
      </c>
      <c r="BX832" s="138" t="e">
        <f aca="false">(DATOS_[[#This Row],[S.BASE]]*(1/DATOS_[[#This Row],[% normaliz]])*(1/DATOS_[[#This Row],[% anualiz]]))*IF(DATOS_[[#This Row],[Check Equiparado]]="Sí",1,0)</f>
        <v>#DIV/0!</v>
      </c>
      <c r="BY8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2" s="138" t="e">
        <f aca="false">+DATOS_[[#This Row],[SALARIO BASE Eq]]+DATOS_[[#This Row],[Tot COMPL.SAL Eq]]</f>
        <v>#DIV/0!</v>
      </c>
      <c r="CA832" s="138" t="e">
        <f aca="false" t="array" ref="CA832:CA8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2" s="138" t="e">
        <f aca="false">+DATOS_[[#This Row],[TOTAL SALARIO Eq]]+DATOS_[[#This Row],[Tot Extrasalarial Eq]]</f>
        <v>#DIV/0!</v>
      </c>
      <c r="CC832" s="139" t="n">
        <f aca="false">DATOS_[[#This Row],[S.BASE]]</f>
        <v>0</v>
      </c>
      <c r="CD832" s="139" t="n">
        <f aca="false">+SUM(DATOS_[[#This Row],[Conc.Sal.01]:[Conc.Sal.30]])</f>
        <v>0</v>
      </c>
      <c r="CE832" s="139" t="n">
        <f aca="false">+DATOS_[[#This Row],[SALARIO BASE Ef]]+DATOS_[[#This Row],[Tot COMPL.SAL Ef]]</f>
        <v>0</v>
      </c>
      <c r="CF832" s="139" t="n">
        <f aca="false">+SUM(DATOS_[[#This Row],[C.Extra.01]:[C.Extra.05]])</f>
        <v>0</v>
      </c>
      <c r="CG832" s="139" t="n">
        <f aca="false">+DATOS_[[#This Row],[TOTAL SALARIO Ef]]+DATOS_[[#This Row],[Tot Extrasalarial Ef]]</f>
        <v>0</v>
      </c>
      <c r="CH832" s="140" t="n">
        <f aca="false">MIN(IF(DATOS_[[#This Row],[Fecha Fin Contrato]]="",$D$4,DATOS_[[#This Row],[Fecha Fin Contrato]]),$D$4)-MAX(DATOS_[[#This Row],[Fecha de Contratación]],$D$3)+1</f>
        <v>1</v>
      </c>
      <c r="CI832" s="141" t="str">
        <f aca="false">IF(COUNTIFS(DATOS_[id],DATOS_[[#This Row],[id]])&gt;1,DATOS_[[#This Row],[id]],"")</f>
        <v/>
      </c>
      <c r="CJ832" s="141" t="n">
        <f aca="false">(Inicio!$G$10-DATOS_[[#This Row],[Fecha Nacimiento]])/365.25</f>
        <v>0</v>
      </c>
      <c r="CK832" s="141" t="n">
        <f aca="false">(Inicio!$G$10-DATOS_[[#This Row],[Fecha de Antigüedad]])/365.25</f>
        <v>0</v>
      </c>
      <c r="CL832" s="141" t="e">
        <f aca="false">+VLOOKUP(DATOS_[[#This Row],[Clave de Contrato]],TblTiposContrato13[],3,0)</f>
        <v>#N/A</v>
      </c>
      <c r="CM832" s="141" t="e">
        <f aca="false">+VLOOKUP(DATOS_[[#This Row],[Clave de Contrato]],TblTiposContrato13[],4,0)</f>
        <v>#N/A</v>
      </c>
      <c r="CN832" s="141" t="str">
        <f aca="false">VLOOKUP(DATOS_[[#This Row],[Edad]],CONTRATOS!TblRngEdad,2,1)</f>
        <v>20  o menos</v>
      </c>
      <c r="CO832" s="141" t="str">
        <f aca="false">VLOOKUP(DATOS_[[#This Row],[Antigüedad]],TblRngAntg14[],2,1)</f>
        <v>0 a 1 años</v>
      </c>
    </row>
    <row r="833" customFormat="false" ht="13.8" hidden="false" customHeight="false" outlineLevel="0" collapsed="false">
      <c r="D833" s="128"/>
      <c r="E833" s="129"/>
      <c r="F833" s="129"/>
      <c r="G833" s="129"/>
      <c r="H833" s="130"/>
      <c r="I833" s="131"/>
      <c r="J833" s="128"/>
      <c r="K833" s="132"/>
      <c r="L833" s="132"/>
      <c r="M833" s="133"/>
      <c r="N833" s="133"/>
      <c r="O833" s="133"/>
      <c r="P833" s="129"/>
      <c r="Z833" s="75"/>
      <c r="AA833" s="76"/>
      <c r="AB833" s="76"/>
      <c r="AC833" s="129"/>
      <c r="AD833" s="134"/>
      <c r="AE833" s="134"/>
      <c r="AF833" s="134"/>
      <c r="AG833" s="134"/>
      <c r="AH833" s="134"/>
      <c r="AI833" s="134"/>
      <c r="AJ833" s="134"/>
      <c r="AK833" s="134"/>
      <c r="AL833" s="134"/>
      <c r="AM833" s="134"/>
      <c r="AN833" s="134"/>
      <c r="AO833" s="134"/>
      <c r="AP833" s="134"/>
      <c r="AQ833" s="134"/>
      <c r="AR833" s="134"/>
      <c r="AS833" s="134"/>
      <c r="AT833" s="134"/>
      <c r="AU833" s="134"/>
      <c r="AV833" s="134"/>
      <c r="AW833" s="134"/>
      <c r="AX833" s="134"/>
      <c r="AY833" s="134"/>
      <c r="AZ833" s="134"/>
      <c r="BA833" s="134"/>
      <c r="BB833" s="134"/>
      <c r="BC833" s="134"/>
      <c r="BD833" s="134"/>
      <c r="BE833" s="134"/>
      <c r="BF833" s="134"/>
      <c r="BG833" s="134"/>
      <c r="BH833" s="134"/>
      <c r="BI833" s="134"/>
      <c r="BJ833" s="134"/>
      <c r="BK833" s="134"/>
      <c r="BL833" s="134"/>
      <c r="BM833" s="135"/>
      <c r="BN833" s="136" t="n">
        <f aca="false">+MAX($D$3,DATOS_[[#This Row],[Fecha Inicio Sit. Contract.]])</f>
        <v>0</v>
      </c>
      <c r="BO833" s="136" t="n">
        <f aca="false">+MIN($D$4,DATOS_[[#This Row],[Fecha Fin Sit. Contract.]])</f>
        <v>0</v>
      </c>
      <c r="BP833" s="137" t="n">
        <f aca="false">+DATOS_[[#This Row],[% de jornada]]*IF(DATOS_[[#This Row],[% jornada reducida]]="",1,DATOS_[[#This Row],[% jornada reducida]])</f>
        <v>0</v>
      </c>
      <c r="BQ833" s="137" t="n">
        <f aca="false">+(DATOS_[[#This Row],[F.fin.cal]]-DATOS_[[#This Row],[F.ini.cal]]+1)/($D$4-$D$3+1)</f>
        <v>1</v>
      </c>
      <c r="BR833" s="137" t="str">
        <f aca="false">IF(OR(AND(DATOS_[[#This Row],[Fecha Fin Contrato]]&lt;$D$3,DATOS_[[#This Row],[Fecha Fin Contrato]]&lt;&gt;""),DATOS_[[#This Row],[Fecha de Contratación]]&gt;$D$4),"Fuera","Dentro")</f>
        <v>Dentro</v>
      </c>
      <c r="BS833" s="137" t="str">
        <f aca="false" t="array" ref="BS833:BS833">IF(MAX(IF(DATOS_[id]=DATOS_[[#This Row],[id]],DATOS_[F.fin.cal]))=DATOS_[[#This Row],[F.fin.cal]],"Sí","NO")</f>
        <v>Sí</v>
      </c>
      <c r="BT833" s="137" t="str">
        <f aca="false">IF(AND(DATOS_[[#This Row],[% normaliz]]&lt;&gt;1,DATOS_[[#This Row],[% anualiz]]=1),"Sí","NO")</f>
        <v>Sí</v>
      </c>
      <c r="BU833" s="137" t="str">
        <f aca="false">IF(AND(DATOS_[[#This Row],[% normaliz]]=1,DATOS_[[#This Row],[% anualiz]]&lt;&gt;1),"Sí","NO")</f>
        <v>NO</v>
      </c>
      <c r="BV833" s="137" t="str">
        <f aca="false">IF(AND(DATOS_[[#This Row],[% normaliz]]&lt;&gt;1,DATOS_[[#This Row],[% anualiz]]&lt;&gt;1),"Sí","NO")</f>
        <v>NO</v>
      </c>
      <c r="BW833" s="137" t="str">
        <f aca="false">+IF(DATOS_[[#This Row],[% normaliz]]*DATOS_[[#This Row],[% anualiz]]=1,"NO","Sí")</f>
        <v>Sí</v>
      </c>
      <c r="BX833" s="138" t="e">
        <f aca="false">(DATOS_[[#This Row],[S.BASE]]*(1/DATOS_[[#This Row],[% normaliz]])*(1/DATOS_[[#This Row],[% anualiz]]))*IF(DATOS_[[#This Row],[Check Equiparado]]="Sí",1,0)</f>
        <v>#DIV/0!</v>
      </c>
      <c r="BY8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3" s="138" t="e">
        <f aca="false">+DATOS_[[#This Row],[SALARIO BASE Eq]]+DATOS_[[#This Row],[Tot COMPL.SAL Eq]]</f>
        <v>#DIV/0!</v>
      </c>
      <c r="CA833" s="138" t="e">
        <f aca="false" t="array" ref="CA833:CA8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3" s="138" t="e">
        <f aca="false">+DATOS_[[#This Row],[TOTAL SALARIO Eq]]+DATOS_[[#This Row],[Tot Extrasalarial Eq]]</f>
        <v>#DIV/0!</v>
      </c>
      <c r="CC833" s="139" t="n">
        <f aca="false">DATOS_[[#This Row],[S.BASE]]</f>
        <v>0</v>
      </c>
      <c r="CD833" s="139" t="n">
        <f aca="false">+SUM(DATOS_[[#This Row],[Conc.Sal.01]:[Conc.Sal.30]])</f>
        <v>0</v>
      </c>
      <c r="CE833" s="139" t="n">
        <f aca="false">+DATOS_[[#This Row],[SALARIO BASE Ef]]+DATOS_[[#This Row],[Tot COMPL.SAL Ef]]</f>
        <v>0</v>
      </c>
      <c r="CF833" s="139" t="n">
        <f aca="false">+SUM(DATOS_[[#This Row],[C.Extra.01]:[C.Extra.05]])</f>
        <v>0</v>
      </c>
      <c r="CG833" s="139" t="n">
        <f aca="false">+DATOS_[[#This Row],[TOTAL SALARIO Ef]]+DATOS_[[#This Row],[Tot Extrasalarial Ef]]</f>
        <v>0</v>
      </c>
      <c r="CH833" s="140" t="n">
        <f aca="false">MIN(IF(DATOS_[[#This Row],[Fecha Fin Contrato]]="",$D$4,DATOS_[[#This Row],[Fecha Fin Contrato]]),$D$4)-MAX(DATOS_[[#This Row],[Fecha de Contratación]],$D$3)+1</f>
        <v>1</v>
      </c>
      <c r="CI833" s="141" t="str">
        <f aca="false">IF(COUNTIFS(DATOS_[id],DATOS_[[#This Row],[id]])&gt;1,DATOS_[[#This Row],[id]],"")</f>
        <v/>
      </c>
      <c r="CJ833" s="141" t="n">
        <f aca="false">(Inicio!$G$10-DATOS_[[#This Row],[Fecha Nacimiento]])/365.25</f>
        <v>0</v>
      </c>
      <c r="CK833" s="141" t="n">
        <f aca="false">(Inicio!$G$10-DATOS_[[#This Row],[Fecha de Antigüedad]])/365.25</f>
        <v>0</v>
      </c>
      <c r="CL833" s="141" t="e">
        <f aca="false">+VLOOKUP(DATOS_[[#This Row],[Clave de Contrato]],TblTiposContrato13[],3,0)</f>
        <v>#N/A</v>
      </c>
      <c r="CM833" s="141" t="e">
        <f aca="false">+VLOOKUP(DATOS_[[#This Row],[Clave de Contrato]],TblTiposContrato13[],4,0)</f>
        <v>#N/A</v>
      </c>
      <c r="CN833" s="141" t="str">
        <f aca="false">VLOOKUP(DATOS_[[#This Row],[Edad]],CONTRATOS!TblRngEdad,2,1)</f>
        <v>20  o menos</v>
      </c>
      <c r="CO833" s="141" t="str">
        <f aca="false">VLOOKUP(DATOS_[[#This Row],[Antigüedad]],TblRngAntg14[],2,1)</f>
        <v>0 a 1 años</v>
      </c>
    </row>
    <row r="834" customFormat="false" ht="13.8" hidden="false" customHeight="false" outlineLevel="0" collapsed="false">
      <c r="D834" s="128"/>
      <c r="E834" s="129"/>
      <c r="F834" s="129"/>
      <c r="G834" s="129"/>
      <c r="H834" s="130"/>
      <c r="I834" s="131"/>
      <c r="J834" s="128"/>
      <c r="K834" s="132"/>
      <c r="L834" s="132"/>
      <c r="M834" s="133"/>
      <c r="N834" s="133"/>
      <c r="O834" s="133"/>
      <c r="P834" s="129"/>
      <c r="Z834" s="75"/>
      <c r="AA834" s="76"/>
      <c r="AB834" s="76"/>
      <c r="AC834" s="129"/>
      <c r="AD834" s="134"/>
      <c r="AE834" s="134"/>
      <c r="AF834" s="134"/>
      <c r="AG834" s="134"/>
      <c r="AH834" s="134"/>
      <c r="AI834" s="134"/>
      <c r="AJ834" s="134"/>
      <c r="AK834" s="134"/>
      <c r="AL834" s="134"/>
      <c r="AM834" s="134"/>
      <c r="AN834" s="134"/>
      <c r="AO834" s="134"/>
      <c r="AP834" s="134"/>
      <c r="AQ834" s="134"/>
      <c r="AR834" s="134"/>
      <c r="AS834" s="134"/>
      <c r="AT834" s="134"/>
      <c r="AU834" s="134"/>
      <c r="AV834" s="134"/>
      <c r="AW834" s="134"/>
      <c r="AX834" s="134"/>
      <c r="AY834" s="134"/>
      <c r="AZ834" s="134"/>
      <c r="BA834" s="134"/>
      <c r="BB834" s="134"/>
      <c r="BC834" s="134"/>
      <c r="BD834" s="134"/>
      <c r="BE834" s="134"/>
      <c r="BF834" s="134"/>
      <c r="BG834" s="134"/>
      <c r="BH834" s="134"/>
      <c r="BI834" s="134"/>
      <c r="BJ834" s="134"/>
      <c r="BK834" s="134"/>
      <c r="BL834" s="134"/>
      <c r="BM834" s="135"/>
      <c r="BN834" s="136" t="n">
        <f aca="false">+MAX($D$3,DATOS_[[#This Row],[Fecha Inicio Sit. Contract.]])</f>
        <v>0</v>
      </c>
      <c r="BO834" s="136" t="n">
        <f aca="false">+MIN($D$4,DATOS_[[#This Row],[Fecha Fin Sit. Contract.]])</f>
        <v>0</v>
      </c>
      <c r="BP834" s="137" t="n">
        <f aca="false">+DATOS_[[#This Row],[% de jornada]]*IF(DATOS_[[#This Row],[% jornada reducida]]="",1,DATOS_[[#This Row],[% jornada reducida]])</f>
        <v>0</v>
      </c>
      <c r="BQ834" s="137" t="n">
        <f aca="false">+(DATOS_[[#This Row],[F.fin.cal]]-DATOS_[[#This Row],[F.ini.cal]]+1)/($D$4-$D$3+1)</f>
        <v>1</v>
      </c>
      <c r="BR834" s="137" t="str">
        <f aca="false">IF(OR(AND(DATOS_[[#This Row],[Fecha Fin Contrato]]&lt;$D$3,DATOS_[[#This Row],[Fecha Fin Contrato]]&lt;&gt;""),DATOS_[[#This Row],[Fecha de Contratación]]&gt;$D$4),"Fuera","Dentro")</f>
        <v>Dentro</v>
      </c>
      <c r="BS834" s="137" t="str">
        <f aca="false" t="array" ref="BS834:BS834">IF(MAX(IF(DATOS_[id]=DATOS_[[#This Row],[id]],DATOS_[F.fin.cal]))=DATOS_[[#This Row],[F.fin.cal]],"Sí","NO")</f>
        <v>Sí</v>
      </c>
      <c r="BT834" s="137" t="str">
        <f aca="false">IF(AND(DATOS_[[#This Row],[% normaliz]]&lt;&gt;1,DATOS_[[#This Row],[% anualiz]]=1),"Sí","NO")</f>
        <v>Sí</v>
      </c>
      <c r="BU834" s="137" t="str">
        <f aca="false">IF(AND(DATOS_[[#This Row],[% normaliz]]=1,DATOS_[[#This Row],[% anualiz]]&lt;&gt;1),"Sí","NO")</f>
        <v>NO</v>
      </c>
      <c r="BV834" s="137" t="str">
        <f aca="false">IF(AND(DATOS_[[#This Row],[% normaliz]]&lt;&gt;1,DATOS_[[#This Row],[% anualiz]]&lt;&gt;1),"Sí","NO")</f>
        <v>NO</v>
      </c>
      <c r="BW834" s="137" t="str">
        <f aca="false">+IF(DATOS_[[#This Row],[% normaliz]]*DATOS_[[#This Row],[% anualiz]]=1,"NO","Sí")</f>
        <v>Sí</v>
      </c>
      <c r="BX834" s="138" t="e">
        <f aca="false">(DATOS_[[#This Row],[S.BASE]]*(1/DATOS_[[#This Row],[% normaliz]])*(1/DATOS_[[#This Row],[% anualiz]]))*IF(DATOS_[[#This Row],[Check Equiparado]]="Sí",1,0)</f>
        <v>#DIV/0!</v>
      </c>
      <c r="BY8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4" s="138" t="e">
        <f aca="false">+DATOS_[[#This Row],[SALARIO BASE Eq]]+DATOS_[[#This Row],[Tot COMPL.SAL Eq]]</f>
        <v>#DIV/0!</v>
      </c>
      <c r="CA834" s="138" t="e">
        <f aca="false" t="array" ref="CA834:CA8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4" s="138" t="e">
        <f aca="false">+DATOS_[[#This Row],[TOTAL SALARIO Eq]]+DATOS_[[#This Row],[Tot Extrasalarial Eq]]</f>
        <v>#DIV/0!</v>
      </c>
      <c r="CC834" s="139" t="n">
        <f aca="false">DATOS_[[#This Row],[S.BASE]]</f>
        <v>0</v>
      </c>
      <c r="CD834" s="139" t="n">
        <f aca="false">+SUM(DATOS_[[#This Row],[Conc.Sal.01]:[Conc.Sal.30]])</f>
        <v>0</v>
      </c>
      <c r="CE834" s="139" t="n">
        <f aca="false">+DATOS_[[#This Row],[SALARIO BASE Ef]]+DATOS_[[#This Row],[Tot COMPL.SAL Ef]]</f>
        <v>0</v>
      </c>
      <c r="CF834" s="139" t="n">
        <f aca="false">+SUM(DATOS_[[#This Row],[C.Extra.01]:[C.Extra.05]])</f>
        <v>0</v>
      </c>
      <c r="CG834" s="139" t="n">
        <f aca="false">+DATOS_[[#This Row],[TOTAL SALARIO Ef]]+DATOS_[[#This Row],[Tot Extrasalarial Ef]]</f>
        <v>0</v>
      </c>
      <c r="CH834" s="140" t="n">
        <f aca="false">MIN(IF(DATOS_[[#This Row],[Fecha Fin Contrato]]="",$D$4,DATOS_[[#This Row],[Fecha Fin Contrato]]),$D$4)-MAX(DATOS_[[#This Row],[Fecha de Contratación]],$D$3)+1</f>
        <v>1</v>
      </c>
      <c r="CI834" s="141" t="str">
        <f aca="false">IF(COUNTIFS(DATOS_[id],DATOS_[[#This Row],[id]])&gt;1,DATOS_[[#This Row],[id]],"")</f>
        <v/>
      </c>
      <c r="CJ834" s="141" t="n">
        <f aca="false">(Inicio!$G$10-DATOS_[[#This Row],[Fecha Nacimiento]])/365.25</f>
        <v>0</v>
      </c>
      <c r="CK834" s="141" t="n">
        <f aca="false">(Inicio!$G$10-DATOS_[[#This Row],[Fecha de Antigüedad]])/365.25</f>
        <v>0</v>
      </c>
      <c r="CL834" s="141" t="e">
        <f aca="false">+VLOOKUP(DATOS_[[#This Row],[Clave de Contrato]],TblTiposContrato13[],3,0)</f>
        <v>#N/A</v>
      </c>
      <c r="CM834" s="141" t="e">
        <f aca="false">+VLOOKUP(DATOS_[[#This Row],[Clave de Contrato]],TblTiposContrato13[],4,0)</f>
        <v>#N/A</v>
      </c>
      <c r="CN834" s="141" t="str">
        <f aca="false">VLOOKUP(DATOS_[[#This Row],[Edad]],CONTRATOS!TblRngEdad,2,1)</f>
        <v>20  o menos</v>
      </c>
      <c r="CO834" s="141" t="str">
        <f aca="false">VLOOKUP(DATOS_[[#This Row],[Antigüedad]],TblRngAntg14[],2,1)</f>
        <v>0 a 1 años</v>
      </c>
    </row>
    <row r="835" customFormat="false" ht="13.8" hidden="false" customHeight="false" outlineLevel="0" collapsed="false">
      <c r="D835" s="128"/>
      <c r="E835" s="129"/>
      <c r="F835" s="129"/>
      <c r="G835" s="129"/>
      <c r="H835" s="130"/>
      <c r="I835" s="131"/>
      <c r="J835" s="128"/>
      <c r="K835" s="132"/>
      <c r="L835" s="132"/>
      <c r="M835" s="133"/>
      <c r="N835" s="133"/>
      <c r="O835" s="133"/>
      <c r="P835" s="129"/>
      <c r="Z835" s="75"/>
      <c r="AA835" s="76"/>
      <c r="AB835" s="76"/>
      <c r="AC835" s="129"/>
      <c r="AD835" s="134"/>
      <c r="AE835" s="134"/>
      <c r="AF835" s="134"/>
      <c r="AG835" s="134"/>
      <c r="AH835" s="134"/>
      <c r="AI835" s="134"/>
      <c r="AJ835" s="134"/>
      <c r="AK835" s="134"/>
      <c r="AL835" s="134"/>
      <c r="AM835" s="134"/>
      <c r="AN835" s="134"/>
      <c r="AO835" s="134"/>
      <c r="AP835" s="134"/>
      <c r="AQ835" s="134"/>
      <c r="AR835" s="134"/>
      <c r="AS835" s="134"/>
      <c r="AT835" s="134"/>
      <c r="AU835" s="134"/>
      <c r="AV835" s="134"/>
      <c r="AW835" s="134"/>
      <c r="AX835" s="134"/>
      <c r="AY835" s="134"/>
      <c r="AZ835" s="134"/>
      <c r="BA835" s="134"/>
      <c r="BB835" s="134"/>
      <c r="BC835" s="134"/>
      <c r="BD835" s="134"/>
      <c r="BE835" s="134"/>
      <c r="BF835" s="134"/>
      <c r="BG835" s="134"/>
      <c r="BH835" s="134"/>
      <c r="BI835" s="134"/>
      <c r="BJ835" s="134"/>
      <c r="BK835" s="134"/>
      <c r="BL835" s="134"/>
      <c r="BM835" s="135"/>
      <c r="BN835" s="136" t="n">
        <f aca="false">+MAX($D$3,DATOS_[[#This Row],[Fecha Inicio Sit. Contract.]])</f>
        <v>0</v>
      </c>
      <c r="BO835" s="136" t="n">
        <f aca="false">+MIN($D$4,DATOS_[[#This Row],[Fecha Fin Sit. Contract.]])</f>
        <v>0</v>
      </c>
      <c r="BP835" s="137" t="n">
        <f aca="false">+DATOS_[[#This Row],[% de jornada]]*IF(DATOS_[[#This Row],[% jornada reducida]]="",1,DATOS_[[#This Row],[% jornada reducida]])</f>
        <v>0</v>
      </c>
      <c r="BQ835" s="137" t="n">
        <f aca="false">+(DATOS_[[#This Row],[F.fin.cal]]-DATOS_[[#This Row],[F.ini.cal]]+1)/($D$4-$D$3+1)</f>
        <v>1</v>
      </c>
      <c r="BR835" s="137" t="str">
        <f aca="false">IF(OR(AND(DATOS_[[#This Row],[Fecha Fin Contrato]]&lt;$D$3,DATOS_[[#This Row],[Fecha Fin Contrato]]&lt;&gt;""),DATOS_[[#This Row],[Fecha de Contratación]]&gt;$D$4),"Fuera","Dentro")</f>
        <v>Dentro</v>
      </c>
      <c r="BS835" s="137" t="str">
        <f aca="false" t="array" ref="BS835:BS835">IF(MAX(IF(DATOS_[id]=DATOS_[[#This Row],[id]],DATOS_[F.fin.cal]))=DATOS_[[#This Row],[F.fin.cal]],"Sí","NO")</f>
        <v>Sí</v>
      </c>
      <c r="BT835" s="137" t="str">
        <f aca="false">IF(AND(DATOS_[[#This Row],[% normaliz]]&lt;&gt;1,DATOS_[[#This Row],[% anualiz]]=1),"Sí","NO")</f>
        <v>Sí</v>
      </c>
      <c r="BU835" s="137" t="str">
        <f aca="false">IF(AND(DATOS_[[#This Row],[% normaliz]]=1,DATOS_[[#This Row],[% anualiz]]&lt;&gt;1),"Sí","NO")</f>
        <v>NO</v>
      </c>
      <c r="BV835" s="137" t="str">
        <f aca="false">IF(AND(DATOS_[[#This Row],[% normaliz]]&lt;&gt;1,DATOS_[[#This Row],[% anualiz]]&lt;&gt;1),"Sí","NO")</f>
        <v>NO</v>
      </c>
      <c r="BW835" s="137" t="str">
        <f aca="false">+IF(DATOS_[[#This Row],[% normaliz]]*DATOS_[[#This Row],[% anualiz]]=1,"NO","Sí")</f>
        <v>Sí</v>
      </c>
      <c r="BX835" s="138" t="e">
        <f aca="false">(DATOS_[[#This Row],[S.BASE]]*(1/DATOS_[[#This Row],[% normaliz]])*(1/DATOS_[[#This Row],[% anualiz]]))*IF(DATOS_[[#This Row],[Check Equiparado]]="Sí",1,0)</f>
        <v>#DIV/0!</v>
      </c>
      <c r="BY8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5" s="138" t="e">
        <f aca="false">+DATOS_[[#This Row],[SALARIO BASE Eq]]+DATOS_[[#This Row],[Tot COMPL.SAL Eq]]</f>
        <v>#DIV/0!</v>
      </c>
      <c r="CA835" s="138" t="e">
        <f aca="false" t="array" ref="CA835:CA8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5" s="138" t="e">
        <f aca="false">+DATOS_[[#This Row],[TOTAL SALARIO Eq]]+DATOS_[[#This Row],[Tot Extrasalarial Eq]]</f>
        <v>#DIV/0!</v>
      </c>
      <c r="CC835" s="139" t="n">
        <f aca="false">DATOS_[[#This Row],[S.BASE]]</f>
        <v>0</v>
      </c>
      <c r="CD835" s="139" t="n">
        <f aca="false">+SUM(DATOS_[[#This Row],[Conc.Sal.01]:[Conc.Sal.30]])</f>
        <v>0</v>
      </c>
      <c r="CE835" s="139" t="n">
        <f aca="false">+DATOS_[[#This Row],[SALARIO BASE Ef]]+DATOS_[[#This Row],[Tot COMPL.SAL Ef]]</f>
        <v>0</v>
      </c>
      <c r="CF835" s="139" t="n">
        <f aca="false">+SUM(DATOS_[[#This Row],[C.Extra.01]:[C.Extra.05]])</f>
        <v>0</v>
      </c>
      <c r="CG835" s="139" t="n">
        <f aca="false">+DATOS_[[#This Row],[TOTAL SALARIO Ef]]+DATOS_[[#This Row],[Tot Extrasalarial Ef]]</f>
        <v>0</v>
      </c>
      <c r="CH835" s="140" t="n">
        <f aca="false">MIN(IF(DATOS_[[#This Row],[Fecha Fin Contrato]]="",$D$4,DATOS_[[#This Row],[Fecha Fin Contrato]]),$D$4)-MAX(DATOS_[[#This Row],[Fecha de Contratación]],$D$3)+1</f>
        <v>1</v>
      </c>
      <c r="CI835" s="141" t="str">
        <f aca="false">IF(COUNTIFS(DATOS_[id],DATOS_[[#This Row],[id]])&gt;1,DATOS_[[#This Row],[id]],"")</f>
        <v/>
      </c>
      <c r="CJ835" s="141" t="n">
        <f aca="false">(Inicio!$G$10-DATOS_[[#This Row],[Fecha Nacimiento]])/365.25</f>
        <v>0</v>
      </c>
      <c r="CK835" s="141" t="n">
        <f aca="false">(Inicio!$G$10-DATOS_[[#This Row],[Fecha de Antigüedad]])/365.25</f>
        <v>0</v>
      </c>
      <c r="CL835" s="141" t="e">
        <f aca="false">+VLOOKUP(DATOS_[[#This Row],[Clave de Contrato]],TblTiposContrato13[],3,0)</f>
        <v>#N/A</v>
      </c>
      <c r="CM835" s="141" t="e">
        <f aca="false">+VLOOKUP(DATOS_[[#This Row],[Clave de Contrato]],TblTiposContrato13[],4,0)</f>
        <v>#N/A</v>
      </c>
      <c r="CN835" s="141" t="str">
        <f aca="false">VLOOKUP(DATOS_[[#This Row],[Edad]],CONTRATOS!TblRngEdad,2,1)</f>
        <v>20  o menos</v>
      </c>
      <c r="CO835" s="141" t="str">
        <f aca="false">VLOOKUP(DATOS_[[#This Row],[Antigüedad]],TblRngAntg14[],2,1)</f>
        <v>0 a 1 años</v>
      </c>
    </row>
    <row r="836" customFormat="false" ht="13.8" hidden="false" customHeight="false" outlineLevel="0" collapsed="false">
      <c r="D836" s="128"/>
      <c r="E836" s="129"/>
      <c r="F836" s="129"/>
      <c r="G836" s="129"/>
      <c r="H836" s="130"/>
      <c r="I836" s="131"/>
      <c r="J836" s="128"/>
      <c r="K836" s="132"/>
      <c r="L836" s="132"/>
      <c r="M836" s="133"/>
      <c r="N836" s="133"/>
      <c r="O836" s="133"/>
      <c r="P836" s="129"/>
      <c r="Z836" s="75"/>
      <c r="AA836" s="76"/>
      <c r="AB836" s="76"/>
      <c r="AC836" s="129"/>
      <c r="AD836" s="134"/>
      <c r="AE836" s="134"/>
      <c r="AF836" s="134"/>
      <c r="AG836" s="134"/>
      <c r="AH836" s="134"/>
      <c r="AI836" s="134"/>
      <c r="AJ836" s="134"/>
      <c r="AK836" s="134"/>
      <c r="AL836" s="134"/>
      <c r="AM836" s="134"/>
      <c r="AN836" s="134"/>
      <c r="AO836" s="134"/>
      <c r="AP836" s="134"/>
      <c r="AQ836" s="134"/>
      <c r="AR836" s="134"/>
      <c r="AS836" s="134"/>
      <c r="AT836" s="134"/>
      <c r="AU836" s="134"/>
      <c r="AV836" s="134"/>
      <c r="AW836" s="134"/>
      <c r="AX836" s="134"/>
      <c r="AY836" s="134"/>
      <c r="AZ836" s="134"/>
      <c r="BA836" s="134"/>
      <c r="BB836" s="134"/>
      <c r="BC836" s="134"/>
      <c r="BD836" s="134"/>
      <c r="BE836" s="134"/>
      <c r="BF836" s="134"/>
      <c r="BG836" s="134"/>
      <c r="BH836" s="134"/>
      <c r="BI836" s="134"/>
      <c r="BJ836" s="134"/>
      <c r="BK836" s="134"/>
      <c r="BL836" s="134"/>
      <c r="BM836" s="135"/>
      <c r="BN836" s="136" t="n">
        <f aca="false">+MAX($D$3,DATOS_[[#This Row],[Fecha Inicio Sit. Contract.]])</f>
        <v>0</v>
      </c>
      <c r="BO836" s="136" t="n">
        <f aca="false">+MIN($D$4,DATOS_[[#This Row],[Fecha Fin Sit. Contract.]])</f>
        <v>0</v>
      </c>
      <c r="BP836" s="137" t="n">
        <f aca="false">+DATOS_[[#This Row],[% de jornada]]*IF(DATOS_[[#This Row],[% jornada reducida]]="",1,DATOS_[[#This Row],[% jornada reducida]])</f>
        <v>0</v>
      </c>
      <c r="BQ836" s="137" t="n">
        <f aca="false">+(DATOS_[[#This Row],[F.fin.cal]]-DATOS_[[#This Row],[F.ini.cal]]+1)/($D$4-$D$3+1)</f>
        <v>1</v>
      </c>
      <c r="BR836" s="137" t="str">
        <f aca="false">IF(OR(AND(DATOS_[[#This Row],[Fecha Fin Contrato]]&lt;$D$3,DATOS_[[#This Row],[Fecha Fin Contrato]]&lt;&gt;""),DATOS_[[#This Row],[Fecha de Contratación]]&gt;$D$4),"Fuera","Dentro")</f>
        <v>Dentro</v>
      </c>
      <c r="BS836" s="137" t="str">
        <f aca="false" t="array" ref="BS836:BS836">IF(MAX(IF(DATOS_[id]=DATOS_[[#This Row],[id]],DATOS_[F.fin.cal]))=DATOS_[[#This Row],[F.fin.cal]],"Sí","NO")</f>
        <v>Sí</v>
      </c>
      <c r="BT836" s="137" t="str">
        <f aca="false">IF(AND(DATOS_[[#This Row],[% normaliz]]&lt;&gt;1,DATOS_[[#This Row],[% anualiz]]=1),"Sí","NO")</f>
        <v>Sí</v>
      </c>
      <c r="BU836" s="137" t="str">
        <f aca="false">IF(AND(DATOS_[[#This Row],[% normaliz]]=1,DATOS_[[#This Row],[% anualiz]]&lt;&gt;1),"Sí","NO")</f>
        <v>NO</v>
      </c>
      <c r="BV836" s="137" t="str">
        <f aca="false">IF(AND(DATOS_[[#This Row],[% normaliz]]&lt;&gt;1,DATOS_[[#This Row],[% anualiz]]&lt;&gt;1),"Sí","NO")</f>
        <v>NO</v>
      </c>
      <c r="BW836" s="137" t="str">
        <f aca="false">+IF(DATOS_[[#This Row],[% normaliz]]*DATOS_[[#This Row],[% anualiz]]=1,"NO","Sí")</f>
        <v>Sí</v>
      </c>
      <c r="BX836" s="138" t="e">
        <f aca="false">(DATOS_[[#This Row],[S.BASE]]*(1/DATOS_[[#This Row],[% normaliz]])*(1/DATOS_[[#This Row],[% anualiz]]))*IF(DATOS_[[#This Row],[Check Equiparado]]="Sí",1,0)</f>
        <v>#DIV/0!</v>
      </c>
      <c r="BY8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6" s="138" t="e">
        <f aca="false">+DATOS_[[#This Row],[SALARIO BASE Eq]]+DATOS_[[#This Row],[Tot COMPL.SAL Eq]]</f>
        <v>#DIV/0!</v>
      </c>
      <c r="CA836" s="138" t="e">
        <f aca="false" t="array" ref="CA836:CA8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6" s="138" t="e">
        <f aca="false">+DATOS_[[#This Row],[TOTAL SALARIO Eq]]+DATOS_[[#This Row],[Tot Extrasalarial Eq]]</f>
        <v>#DIV/0!</v>
      </c>
      <c r="CC836" s="139" t="n">
        <f aca="false">DATOS_[[#This Row],[S.BASE]]</f>
        <v>0</v>
      </c>
      <c r="CD836" s="139" t="n">
        <f aca="false">+SUM(DATOS_[[#This Row],[Conc.Sal.01]:[Conc.Sal.30]])</f>
        <v>0</v>
      </c>
      <c r="CE836" s="139" t="n">
        <f aca="false">+DATOS_[[#This Row],[SALARIO BASE Ef]]+DATOS_[[#This Row],[Tot COMPL.SAL Ef]]</f>
        <v>0</v>
      </c>
      <c r="CF836" s="139" t="n">
        <f aca="false">+SUM(DATOS_[[#This Row],[C.Extra.01]:[C.Extra.05]])</f>
        <v>0</v>
      </c>
      <c r="CG836" s="139" t="n">
        <f aca="false">+DATOS_[[#This Row],[TOTAL SALARIO Ef]]+DATOS_[[#This Row],[Tot Extrasalarial Ef]]</f>
        <v>0</v>
      </c>
      <c r="CH836" s="140" t="n">
        <f aca="false">MIN(IF(DATOS_[[#This Row],[Fecha Fin Contrato]]="",$D$4,DATOS_[[#This Row],[Fecha Fin Contrato]]),$D$4)-MAX(DATOS_[[#This Row],[Fecha de Contratación]],$D$3)+1</f>
        <v>1</v>
      </c>
      <c r="CI836" s="141" t="str">
        <f aca="false">IF(COUNTIFS(DATOS_[id],DATOS_[[#This Row],[id]])&gt;1,DATOS_[[#This Row],[id]],"")</f>
        <v/>
      </c>
      <c r="CJ836" s="141" t="n">
        <f aca="false">(Inicio!$G$10-DATOS_[[#This Row],[Fecha Nacimiento]])/365.25</f>
        <v>0</v>
      </c>
      <c r="CK836" s="141" t="n">
        <f aca="false">(Inicio!$G$10-DATOS_[[#This Row],[Fecha de Antigüedad]])/365.25</f>
        <v>0</v>
      </c>
      <c r="CL836" s="141" t="e">
        <f aca="false">+VLOOKUP(DATOS_[[#This Row],[Clave de Contrato]],TblTiposContrato13[],3,0)</f>
        <v>#N/A</v>
      </c>
      <c r="CM836" s="141" t="e">
        <f aca="false">+VLOOKUP(DATOS_[[#This Row],[Clave de Contrato]],TblTiposContrato13[],4,0)</f>
        <v>#N/A</v>
      </c>
      <c r="CN836" s="141" t="str">
        <f aca="false">VLOOKUP(DATOS_[[#This Row],[Edad]],CONTRATOS!TblRngEdad,2,1)</f>
        <v>20  o menos</v>
      </c>
      <c r="CO836" s="141" t="str">
        <f aca="false">VLOOKUP(DATOS_[[#This Row],[Antigüedad]],TblRngAntg14[],2,1)</f>
        <v>0 a 1 años</v>
      </c>
    </row>
    <row r="837" customFormat="false" ht="13.8" hidden="false" customHeight="false" outlineLevel="0" collapsed="false">
      <c r="D837" s="128"/>
      <c r="E837" s="129"/>
      <c r="F837" s="129"/>
      <c r="G837" s="129"/>
      <c r="H837" s="130"/>
      <c r="I837" s="131"/>
      <c r="J837" s="128"/>
      <c r="K837" s="132"/>
      <c r="L837" s="132"/>
      <c r="M837" s="133"/>
      <c r="N837" s="133"/>
      <c r="O837" s="133"/>
      <c r="P837" s="129"/>
      <c r="Z837" s="75"/>
      <c r="AA837" s="76"/>
      <c r="AB837" s="76"/>
      <c r="AC837" s="129"/>
      <c r="AD837" s="134"/>
      <c r="AE837" s="134"/>
      <c r="AF837" s="134"/>
      <c r="AG837" s="134"/>
      <c r="AH837" s="134"/>
      <c r="AI837" s="134"/>
      <c r="AJ837" s="134"/>
      <c r="AK837" s="134"/>
      <c r="AL837" s="134"/>
      <c r="AM837" s="134"/>
      <c r="AN837" s="134"/>
      <c r="AO837" s="134"/>
      <c r="AP837" s="134"/>
      <c r="AQ837" s="134"/>
      <c r="AR837" s="134"/>
      <c r="AS837" s="134"/>
      <c r="AT837" s="134"/>
      <c r="AU837" s="134"/>
      <c r="AV837" s="134"/>
      <c r="AW837" s="134"/>
      <c r="AX837" s="134"/>
      <c r="AY837" s="134"/>
      <c r="AZ837" s="134"/>
      <c r="BA837" s="134"/>
      <c r="BB837" s="134"/>
      <c r="BC837" s="134"/>
      <c r="BD837" s="134"/>
      <c r="BE837" s="134"/>
      <c r="BF837" s="134"/>
      <c r="BG837" s="134"/>
      <c r="BH837" s="134"/>
      <c r="BI837" s="134"/>
      <c r="BJ837" s="134"/>
      <c r="BK837" s="134"/>
      <c r="BL837" s="134"/>
      <c r="BM837" s="135"/>
      <c r="BN837" s="136" t="n">
        <f aca="false">+MAX($D$3,DATOS_[[#This Row],[Fecha Inicio Sit. Contract.]])</f>
        <v>0</v>
      </c>
      <c r="BO837" s="136" t="n">
        <f aca="false">+MIN($D$4,DATOS_[[#This Row],[Fecha Fin Sit. Contract.]])</f>
        <v>0</v>
      </c>
      <c r="BP837" s="137" t="n">
        <f aca="false">+DATOS_[[#This Row],[% de jornada]]*IF(DATOS_[[#This Row],[% jornada reducida]]="",1,DATOS_[[#This Row],[% jornada reducida]])</f>
        <v>0</v>
      </c>
      <c r="BQ837" s="137" t="n">
        <f aca="false">+(DATOS_[[#This Row],[F.fin.cal]]-DATOS_[[#This Row],[F.ini.cal]]+1)/($D$4-$D$3+1)</f>
        <v>1</v>
      </c>
      <c r="BR837" s="137" t="str">
        <f aca="false">IF(OR(AND(DATOS_[[#This Row],[Fecha Fin Contrato]]&lt;$D$3,DATOS_[[#This Row],[Fecha Fin Contrato]]&lt;&gt;""),DATOS_[[#This Row],[Fecha de Contratación]]&gt;$D$4),"Fuera","Dentro")</f>
        <v>Dentro</v>
      </c>
      <c r="BS837" s="137" t="str">
        <f aca="false" t="array" ref="BS837:BS837">IF(MAX(IF(DATOS_[id]=DATOS_[[#This Row],[id]],DATOS_[F.fin.cal]))=DATOS_[[#This Row],[F.fin.cal]],"Sí","NO")</f>
        <v>Sí</v>
      </c>
      <c r="BT837" s="137" t="str">
        <f aca="false">IF(AND(DATOS_[[#This Row],[% normaliz]]&lt;&gt;1,DATOS_[[#This Row],[% anualiz]]=1),"Sí","NO")</f>
        <v>Sí</v>
      </c>
      <c r="BU837" s="137" t="str">
        <f aca="false">IF(AND(DATOS_[[#This Row],[% normaliz]]=1,DATOS_[[#This Row],[% anualiz]]&lt;&gt;1),"Sí","NO")</f>
        <v>NO</v>
      </c>
      <c r="BV837" s="137" t="str">
        <f aca="false">IF(AND(DATOS_[[#This Row],[% normaliz]]&lt;&gt;1,DATOS_[[#This Row],[% anualiz]]&lt;&gt;1),"Sí","NO")</f>
        <v>NO</v>
      </c>
      <c r="BW837" s="137" t="str">
        <f aca="false">+IF(DATOS_[[#This Row],[% normaliz]]*DATOS_[[#This Row],[% anualiz]]=1,"NO","Sí")</f>
        <v>Sí</v>
      </c>
      <c r="BX837" s="138" t="e">
        <f aca="false">(DATOS_[[#This Row],[S.BASE]]*(1/DATOS_[[#This Row],[% normaliz]])*(1/DATOS_[[#This Row],[% anualiz]]))*IF(DATOS_[[#This Row],[Check Equiparado]]="Sí",1,0)</f>
        <v>#DIV/0!</v>
      </c>
      <c r="BY8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7" s="138" t="e">
        <f aca="false">+DATOS_[[#This Row],[SALARIO BASE Eq]]+DATOS_[[#This Row],[Tot COMPL.SAL Eq]]</f>
        <v>#DIV/0!</v>
      </c>
      <c r="CA837" s="138" t="e">
        <f aca="false" t="array" ref="CA837:CA8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7" s="138" t="e">
        <f aca="false">+DATOS_[[#This Row],[TOTAL SALARIO Eq]]+DATOS_[[#This Row],[Tot Extrasalarial Eq]]</f>
        <v>#DIV/0!</v>
      </c>
      <c r="CC837" s="139" t="n">
        <f aca="false">DATOS_[[#This Row],[S.BASE]]</f>
        <v>0</v>
      </c>
      <c r="CD837" s="139" t="n">
        <f aca="false">+SUM(DATOS_[[#This Row],[Conc.Sal.01]:[Conc.Sal.30]])</f>
        <v>0</v>
      </c>
      <c r="CE837" s="139" t="n">
        <f aca="false">+DATOS_[[#This Row],[SALARIO BASE Ef]]+DATOS_[[#This Row],[Tot COMPL.SAL Ef]]</f>
        <v>0</v>
      </c>
      <c r="CF837" s="139" t="n">
        <f aca="false">+SUM(DATOS_[[#This Row],[C.Extra.01]:[C.Extra.05]])</f>
        <v>0</v>
      </c>
      <c r="CG837" s="139" t="n">
        <f aca="false">+DATOS_[[#This Row],[TOTAL SALARIO Ef]]+DATOS_[[#This Row],[Tot Extrasalarial Ef]]</f>
        <v>0</v>
      </c>
      <c r="CH837" s="140" t="n">
        <f aca="false">MIN(IF(DATOS_[[#This Row],[Fecha Fin Contrato]]="",$D$4,DATOS_[[#This Row],[Fecha Fin Contrato]]),$D$4)-MAX(DATOS_[[#This Row],[Fecha de Contratación]],$D$3)+1</f>
        <v>1</v>
      </c>
      <c r="CI837" s="141" t="str">
        <f aca="false">IF(COUNTIFS(DATOS_[id],DATOS_[[#This Row],[id]])&gt;1,DATOS_[[#This Row],[id]],"")</f>
        <v/>
      </c>
      <c r="CJ837" s="141" t="n">
        <f aca="false">(Inicio!$G$10-DATOS_[[#This Row],[Fecha Nacimiento]])/365.25</f>
        <v>0</v>
      </c>
      <c r="CK837" s="141" t="n">
        <f aca="false">(Inicio!$G$10-DATOS_[[#This Row],[Fecha de Antigüedad]])/365.25</f>
        <v>0</v>
      </c>
      <c r="CL837" s="141" t="e">
        <f aca="false">+VLOOKUP(DATOS_[[#This Row],[Clave de Contrato]],TblTiposContrato13[],3,0)</f>
        <v>#N/A</v>
      </c>
      <c r="CM837" s="141" t="e">
        <f aca="false">+VLOOKUP(DATOS_[[#This Row],[Clave de Contrato]],TblTiposContrato13[],4,0)</f>
        <v>#N/A</v>
      </c>
      <c r="CN837" s="141" t="str">
        <f aca="false">VLOOKUP(DATOS_[[#This Row],[Edad]],CONTRATOS!TblRngEdad,2,1)</f>
        <v>20  o menos</v>
      </c>
      <c r="CO837" s="141" t="str">
        <f aca="false">VLOOKUP(DATOS_[[#This Row],[Antigüedad]],TblRngAntg14[],2,1)</f>
        <v>0 a 1 años</v>
      </c>
    </row>
    <row r="838" customFormat="false" ht="13.8" hidden="false" customHeight="false" outlineLevel="0" collapsed="false">
      <c r="D838" s="128"/>
      <c r="E838" s="129"/>
      <c r="F838" s="129"/>
      <c r="G838" s="129"/>
      <c r="H838" s="130"/>
      <c r="I838" s="131"/>
      <c r="J838" s="128"/>
      <c r="K838" s="132"/>
      <c r="L838" s="132"/>
      <c r="M838" s="133"/>
      <c r="N838" s="133"/>
      <c r="O838" s="133"/>
      <c r="P838" s="129"/>
      <c r="Z838" s="75"/>
      <c r="AA838" s="76"/>
      <c r="AB838" s="76"/>
      <c r="AC838" s="129"/>
      <c r="AD838" s="134"/>
      <c r="AE838" s="134"/>
      <c r="AF838" s="134"/>
      <c r="AG838" s="134"/>
      <c r="AH838" s="134"/>
      <c r="AI838" s="134"/>
      <c r="AJ838" s="134"/>
      <c r="AK838" s="134"/>
      <c r="AL838" s="134"/>
      <c r="AM838" s="134"/>
      <c r="AN838" s="134"/>
      <c r="AO838" s="134"/>
      <c r="AP838" s="134"/>
      <c r="AQ838" s="134"/>
      <c r="AR838" s="134"/>
      <c r="AS838" s="134"/>
      <c r="AT838" s="134"/>
      <c r="AU838" s="134"/>
      <c r="AV838" s="134"/>
      <c r="AW838" s="134"/>
      <c r="AX838" s="134"/>
      <c r="AY838" s="134"/>
      <c r="AZ838" s="134"/>
      <c r="BA838" s="134"/>
      <c r="BB838" s="134"/>
      <c r="BC838" s="134"/>
      <c r="BD838" s="134"/>
      <c r="BE838" s="134"/>
      <c r="BF838" s="134"/>
      <c r="BG838" s="134"/>
      <c r="BH838" s="134"/>
      <c r="BI838" s="134"/>
      <c r="BJ838" s="134"/>
      <c r="BK838" s="134"/>
      <c r="BL838" s="134"/>
      <c r="BM838" s="135"/>
      <c r="BN838" s="136" t="n">
        <f aca="false">+MAX($D$3,DATOS_[[#This Row],[Fecha Inicio Sit. Contract.]])</f>
        <v>0</v>
      </c>
      <c r="BO838" s="136" t="n">
        <f aca="false">+MIN($D$4,DATOS_[[#This Row],[Fecha Fin Sit. Contract.]])</f>
        <v>0</v>
      </c>
      <c r="BP838" s="137" t="n">
        <f aca="false">+DATOS_[[#This Row],[% de jornada]]*IF(DATOS_[[#This Row],[% jornada reducida]]="",1,DATOS_[[#This Row],[% jornada reducida]])</f>
        <v>0</v>
      </c>
      <c r="BQ838" s="137" t="n">
        <f aca="false">+(DATOS_[[#This Row],[F.fin.cal]]-DATOS_[[#This Row],[F.ini.cal]]+1)/($D$4-$D$3+1)</f>
        <v>1</v>
      </c>
      <c r="BR838" s="137" t="str">
        <f aca="false">IF(OR(AND(DATOS_[[#This Row],[Fecha Fin Contrato]]&lt;$D$3,DATOS_[[#This Row],[Fecha Fin Contrato]]&lt;&gt;""),DATOS_[[#This Row],[Fecha de Contratación]]&gt;$D$4),"Fuera","Dentro")</f>
        <v>Dentro</v>
      </c>
      <c r="BS838" s="137" t="str">
        <f aca="false" t="array" ref="BS838:BS838">IF(MAX(IF(DATOS_[id]=DATOS_[[#This Row],[id]],DATOS_[F.fin.cal]))=DATOS_[[#This Row],[F.fin.cal]],"Sí","NO")</f>
        <v>Sí</v>
      </c>
      <c r="BT838" s="137" t="str">
        <f aca="false">IF(AND(DATOS_[[#This Row],[% normaliz]]&lt;&gt;1,DATOS_[[#This Row],[% anualiz]]=1),"Sí","NO")</f>
        <v>Sí</v>
      </c>
      <c r="BU838" s="137" t="str">
        <f aca="false">IF(AND(DATOS_[[#This Row],[% normaliz]]=1,DATOS_[[#This Row],[% anualiz]]&lt;&gt;1),"Sí","NO")</f>
        <v>NO</v>
      </c>
      <c r="BV838" s="137" t="str">
        <f aca="false">IF(AND(DATOS_[[#This Row],[% normaliz]]&lt;&gt;1,DATOS_[[#This Row],[% anualiz]]&lt;&gt;1),"Sí","NO")</f>
        <v>NO</v>
      </c>
      <c r="BW838" s="137" t="str">
        <f aca="false">+IF(DATOS_[[#This Row],[% normaliz]]*DATOS_[[#This Row],[% anualiz]]=1,"NO","Sí")</f>
        <v>Sí</v>
      </c>
      <c r="BX838" s="138" t="e">
        <f aca="false">(DATOS_[[#This Row],[S.BASE]]*(1/DATOS_[[#This Row],[% normaliz]])*(1/DATOS_[[#This Row],[% anualiz]]))*IF(DATOS_[[#This Row],[Check Equiparado]]="Sí",1,0)</f>
        <v>#DIV/0!</v>
      </c>
      <c r="BY8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8" s="138" t="e">
        <f aca="false">+DATOS_[[#This Row],[SALARIO BASE Eq]]+DATOS_[[#This Row],[Tot COMPL.SAL Eq]]</f>
        <v>#DIV/0!</v>
      </c>
      <c r="CA838" s="138" t="e">
        <f aca="false" t="array" ref="CA838:CA8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8" s="138" t="e">
        <f aca="false">+DATOS_[[#This Row],[TOTAL SALARIO Eq]]+DATOS_[[#This Row],[Tot Extrasalarial Eq]]</f>
        <v>#DIV/0!</v>
      </c>
      <c r="CC838" s="139" t="n">
        <f aca="false">DATOS_[[#This Row],[S.BASE]]</f>
        <v>0</v>
      </c>
      <c r="CD838" s="139" t="n">
        <f aca="false">+SUM(DATOS_[[#This Row],[Conc.Sal.01]:[Conc.Sal.30]])</f>
        <v>0</v>
      </c>
      <c r="CE838" s="139" t="n">
        <f aca="false">+DATOS_[[#This Row],[SALARIO BASE Ef]]+DATOS_[[#This Row],[Tot COMPL.SAL Ef]]</f>
        <v>0</v>
      </c>
      <c r="CF838" s="139" t="n">
        <f aca="false">+SUM(DATOS_[[#This Row],[C.Extra.01]:[C.Extra.05]])</f>
        <v>0</v>
      </c>
      <c r="CG838" s="139" t="n">
        <f aca="false">+DATOS_[[#This Row],[TOTAL SALARIO Ef]]+DATOS_[[#This Row],[Tot Extrasalarial Ef]]</f>
        <v>0</v>
      </c>
      <c r="CH838" s="140" t="n">
        <f aca="false">MIN(IF(DATOS_[[#This Row],[Fecha Fin Contrato]]="",$D$4,DATOS_[[#This Row],[Fecha Fin Contrato]]),$D$4)-MAX(DATOS_[[#This Row],[Fecha de Contratación]],$D$3)+1</f>
        <v>1</v>
      </c>
      <c r="CI838" s="141" t="str">
        <f aca="false">IF(COUNTIFS(DATOS_[id],DATOS_[[#This Row],[id]])&gt;1,DATOS_[[#This Row],[id]],"")</f>
        <v/>
      </c>
      <c r="CJ838" s="141" t="n">
        <f aca="false">(Inicio!$G$10-DATOS_[[#This Row],[Fecha Nacimiento]])/365.25</f>
        <v>0</v>
      </c>
      <c r="CK838" s="141" t="n">
        <f aca="false">(Inicio!$G$10-DATOS_[[#This Row],[Fecha de Antigüedad]])/365.25</f>
        <v>0</v>
      </c>
      <c r="CL838" s="141" t="e">
        <f aca="false">+VLOOKUP(DATOS_[[#This Row],[Clave de Contrato]],TblTiposContrato13[],3,0)</f>
        <v>#N/A</v>
      </c>
      <c r="CM838" s="141" t="e">
        <f aca="false">+VLOOKUP(DATOS_[[#This Row],[Clave de Contrato]],TblTiposContrato13[],4,0)</f>
        <v>#N/A</v>
      </c>
      <c r="CN838" s="141" t="str">
        <f aca="false">VLOOKUP(DATOS_[[#This Row],[Edad]],CONTRATOS!TblRngEdad,2,1)</f>
        <v>20  o menos</v>
      </c>
      <c r="CO838" s="141" t="str">
        <f aca="false">VLOOKUP(DATOS_[[#This Row],[Antigüedad]],TblRngAntg14[],2,1)</f>
        <v>0 a 1 años</v>
      </c>
    </row>
    <row r="839" customFormat="false" ht="13.8" hidden="false" customHeight="false" outlineLevel="0" collapsed="false">
      <c r="D839" s="128"/>
      <c r="E839" s="129"/>
      <c r="F839" s="129"/>
      <c r="G839" s="129"/>
      <c r="H839" s="130"/>
      <c r="I839" s="131"/>
      <c r="J839" s="128"/>
      <c r="K839" s="132"/>
      <c r="L839" s="132"/>
      <c r="M839" s="133"/>
      <c r="N839" s="133"/>
      <c r="O839" s="133"/>
      <c r="P839" s="129"/>
      <c r="Z839" s="75"/>
      <c r="AA839" s="76"/>
      <c r="AB839" s="76"/>
      <c r="AC839" s="129"/>
      <c r="AD839" s="134"/>
      <c r="AE839" s="134"/>
      <c r="AF839" s="134"/>
      <c r="AG839" s="134"/>
      <c r="AH839" s="134"/>
      <c r="AI839" s="134"/>
      <c r="AJ839" s="134"/>
      <c r="AK839" s="134"/>
      <c r="AL839" s="134"/>
      <c r="AM839" s="134"/>
      <c r="AN839" s="134"/>
      <c r="AO839" s="134"/>
      <c r="AP839" s="134"/>
      <c r="AQ839" s="134"/>
      <c r="AR839" s="134"/>
      <c r="AS839" s="134"/>
      <c r="AT839" s="134"/>
      <c r="AU839" s="134"/>
      <c r="AV839" s="134"/>
      <c r="AW839" s="134"/>
      <c r="AX839" s="134"/>
      <c r="AY839" s="134"/>
      <c r="AZ839" s="134"/>
      <c r="BA839" s="134"/>
      <c r="BB839" s="134"/>
      <c r="BC839" s="134"/>
      <c r="BD839" s="134"/>
      <c r="BE839" s="134"/>
      <c r="BF839" s="134"/>
      <c r="BG839" s="134"/>
      <c r="BH839" s="134"/>
      <c r="BI839" s="134"/>
      <c r="BJ839" s="134"/>
      <c r="BK839" s="134"/>
      <c r="BL839" s="134"/>
      <c r="BM839" s="135"/>
      <c r="BN839" s="136" t="n">
        <f aca="false">+MAX($D$3,DATOS_[[#This Row],[Fecha Inicio Sit. Contract.]])</f>
        <v>0</v>
      </c>
      <c r="BO839" s="136" t="n">
        <f aca="false">+MIN($D$4,DATOS_[[#This Row],[Fecha Fin Sit. Contract.]])</f>
        <v>0</v>
      </c>
      <c r="BP839" s="137" t="n">
        <f aca="false">+DATOS_[[#This Row],[% de jornada]]*IF(DATOS_[[#This Row],[% jornada reducida]]="",1,DATOS_[[#This Row],[% jornada reducida]])</f>
        <v>0</v>
      </c>
      <c r="BQ839" s="137" t="n">
        <f aca="false">+(DATOS_[[#This Row],[F.fin.cal]]-DATOS_[[#This Row],[F.ini.cal]]+1)/($D$4-$D$3+1)</f>
        <v>1</v>
      </c>
      <c r="BR839" s="137" t="str">
        <f aca="false">IF(OR(AND(DATOS_[[#This Row],[Fecha Fin Contrato]]&lt;$D$3,DATOS_[[#This Row],[Fecha Fin Contrato]]&lt;&gt;""),DATOS_[[#This Row],[Fecha de Contratación]]&gt;$D$4),"Fuera","Dentro")</f>
        <v>Dentro</v>
      </c>
      <c r="BS839" s="137" t="str">
        <f aca="false" t="array" ref="BS839:BS839">IF(MAX(IF(DATOS_[id]=DATOS_[[#This Row],[id]],DATOS_[F.fin.cal]))=DATOS_[[#This Row],[F.fin.cal]],"Sí","NO")</f>
        <v>Sí</v>
      </c>
      <c r="BT839" s="137" t="str">
        <f aca="false">IF(AND(DATOS_[[#This Row],[% normaliz]]&lt;&gt;1,DATOS_[[#This Row],[% anualiz]]=1),"Sí","NO")</f>
        <v>Sí</v>
      </c>
      <c r="BU839" s="137" t="str">
        <f aca="false">IF(AND(DATOS_[[#This Row],[% normaliz]]=1,DATOS_[[#This Row],[% anualiz]]&lt;&gt;1),"Sí","NO")</f>
        <v>NO</v>
      </c>
      <c r="BV839" s="137" t="str">
        <f aca="false">IF(AND(DATOS_[[#This Row],[% normaliz]]&lt;&gt;1,DATOS_[[#This Row],[% anualiz]]&lt;&gt;1),"Sí","NO")</f>
        <v>NO</v>
      </c>
      <c r="BW839" s="137" t="str">
        <f aca="false">+IF(DATOS_[[#This Row],[% normaliz]]*DATOS_[[#This Row],[% anualiz]]=1,"NO","Sí")</f>
        <v>Sí</v>
      </c>
      <c r="BX839" s="138" t="e">
        <f aca="false">(DATOS_[[#This Row],[S.BASE]]*(1/DATOS_[[#This Row],[% normaliz]])*(1/DATOS_[[#This Row],[% anualiz]]))*IF(DATOS_[[#This Row],[Check Equiparado]]="Sí",1,0)</f>
        <v>#DIV/0!</v>
      </c>
      <c r="BY8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9" s="138" t="e">
        <f aca="false">+DATOS_[[#This Row],[SALARIO BASE Eq]]+DATOS_[[#This Row],[Tot COMPL.SAL Eq]]</f>
        <v>#DIV/0!</v>
      </c>
      <c r="CA839" s="138" t="e">
        <f aca="false" t="array" ref="CA839:CA8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9" s="138" t="e">
        <f aca="false">+DATOS_[[#This Row],[TOTAL SALARIO Eq]]+DATOS_[[#This Row],[Tot Extrasalarial Eq]]</f>
        <v>#DIV/0!</v>
      </c>
      <c r="CC839" s="139" t="n">
        <f aca="false">DATOS_[[#This Row],[S.BASE]]</f>
        <v>0</v>
      </c>
      <c r="CD839" s="139" t="n">
        <f aca="false">+SUM(DATOS_[[#This Row],[Conc.Sal.01]:[Conc.Sal.30]])</f>
        <v>0</v>
      </c>
      <c r="CE839" s="139" t="n">
        <f aca="false">+DATOS_[[#This Row],[SALARIO BASE Ef]]+DATOS_[[#This Row],[Tot COMPL.SAL Ef]]</f>
        <v>0</v>
      </c>
      <c r="CF839" s="139" t="n">
        <f aca="false">+SUM(DATOS_[[#This Row],[C.Extra.01]:[C.Extra.05]])</f>
        <v>0</v>
      </c>
      <c r="CG839" s="139" t="n">
        <f aca="false">+DATOS_[[#This Row],[TOTAL SALARIO Ef]]+DATOS_[[#This Row],[Tot Extrasalarial Ef]]</f>
        <v>0</v>
      </c>
      <c r="CH839" s="140" t="n">
        <f aca="false">MIN(IF(DATOS_[[#This Row],[Fecha Fin Contrato]]="",$D$4,DATOS_[[#This Row],[Fecha Fin Contrato]]),$D$4)-MAX(DATOS_[[#This Row],[Fecha de Contratación]],$D$3)+1</f>
        <v>1</v>
      </c>
      <c r="CI839" s="141" t="str">
        <f aca="false">IF(COUNTIFS(DATOS_[id],DATOS_[[#This Row],[id]])&gt;1,DATOS_[[#This Row],[id]],"")</f>
        <v/>
      </c>
      <c r="CJ839" s="141" t="n">
        <f aca="false">(Inicio!$G$10-DATOS_[[#This Row],[Fecha Nacimiento]])/365.25</f>
        <v>0</v>
      </c>
      <c r="CK839" s="141" t="n">
        <f aca="false">(Inicio!$G$10-DATOS_[[#This Row],[Fecha de Antigüedad]])/365.25</f>
        <v>0</v>
      </c>
      <c r="CL839" s="141" t="e">
        <f aca="false">+VLOOKUP(DATOS_[[#This Row],[Clave de Contrato]],TblTiposContrato13[],3,0)</f>
        <v>#N/A</v>
      </c>
      <c r="CM839" s="141" t="e">
        <f aca="false">+VLOOKUP(DATOS_[[#This Row],[Clave de Contrato]],TblTiposContrato13[],4,0)</f>
        <v>#N/A</v>
      </c>
      <c r="CN839" s="141" t="str">
        <f aca="false">VLOOKUP(DATOS_[[#This Row],[Edad]],CONTRATOS!TblRngEdad,2,1)</f>
        <v>20  o menos</v>
      </c>
      <c r="CO839" s="141" t="str">
        <f aca="false">VLOOKUP(DATOS_[[#This Row],[Antigüedad]],TblRngAntg14[],2,1)</f>
        <v>0 a 1 años</v>
      </c>
    </row>
    <row r="840" customFormat="false" ht="13.8" hidden="false" customHeight="false" outlineLevel="0" collapsed="false">
      <c r="D840" s="128"/>
      <c r="E840" s="129"/>
      <c r="F840" s="129"/>
      <c r="G840" s="129"/>
      <c r="H840" s="130"/>
      <c r="I840" s="131"/>
      <c r="J840" s="128"/>
      <c r="K840" s="132"/>
      <c r="L840" s="132"/>
      <c r="M840" s="133"/>
      <c r="N840" s="133"/>
      <c r="O840" s="133"/>
      <c r="P840" s="129"/>
      <c r="Z840" s="75"/>
      <c r="AA840" s="76"/>
      <c r="AB840" s="76"/>
      <c r="AC840" s="129"/>
      <c r="AD840" s="134"/>
      <c r="AE840" s="134"/>
      <c r="AF840" s="134"/>
      <c r="AG840" s="134"/>
      <c r="AH840" s="134"/>
      <c r="AI840" s="134"/>
      <c r="AJ840" s="134"/>
      <c r="AK840" s="134"/>
      <c r="AL840" s="134"/>
      <c r="AM840" s="134"/>
      <c r="AN840" s="134"/>
      <c r="AO840" s="134"/>
      <c r="AP840" s="134"/>
      <c r="AQ840" s="134"/>
      <c r="AR840" s="134"/>
      <c r="AS840" s="134"/>
      <c r="AT840" s="134"/>
      <c r="AU840" s="134"/>
      <c r="AV840" s="134"/>
      <c r="AW840" s="134"/>
      <c r="AX840" s="134"/>
      <c r="AY840" s="134"/>
      <c r="AZ840" s="134"/>
      <c r="BA840" s="134"/>
      <c r="BB840" s="134"/>
      <c r="BC840" s="134"/>
      <c r="BD840" s="134"/>
      <c r="BE840" s="134"/>
      <c r="BF840" s="134"/>
      <c r="BG840" s="134"/>
      <c r="BH840" s="134"/>
      <c r="BI840" s="134"/>
      <c r="BJ840" s="134"/>
      <c r="BK840" s="134"/>
      <c r="BL840" s="134"/>
      <c r="BM840" s="135"/>
      <c r="BN840" s="136" t="n">
        <f aca="false">+MAX($D$3,DATOS_[[#This Row],[Fecha Inicio Sit. Contract.]])</f>
        <v>0</v>
      </c>
      <c r="BO840" s="136" t="n">
        <f aca="false">+MIN($D$4,DATOS_[[#This Row],[Fecha Fin Sit. Contract.]])</f>
        <v>0</v>
      </c>
      <c r="BP840" s="137" t="n">
        <f aca="false">+DATOS_[[#This Row],[% de jornada]]*IF(DATOS_[[#This Row],[% jornada reducida]]="",1,DATOS_[[#This Row],[% jornada reducida]])</f>
        <v>0</v>
      </c>
      <c r="BQ840" s="137" t="n">
        <f aca="false">+(DATOS_[[#This Row],[F.fin.cal]]-DATOS_[[#This Row],[F.ini.cal]]+1)/($D$4-$D$3+1)</f>
        <v>1</v>
      </c>
      <c r="BR840" s="137" t="str">
        <f aca="false">IF(OR(AND(DATOS_[[#This Row],[Fecha Fin Contrato]]&lt;$D$3,DATOS_[[#This Row],[Fecha Fin Contrato]]&lt;&gt;""),DATOS_[[#This Row],[Fecha de Contratación]]&gt;$D$4),"Fuera","Dentro")</f>
        <v>Dentro</v>
      </c>
      <c r="BS840" s="137" t="str">
        <f aca="false" t="array" ref="BS840:BS840">IF(MAX(IF(DATOS_[id]=DATOS_[[#This Row],[id]],DATOS_[F.fin.cal]))=DATOS_[[#This Row],[F.fin.cal]],"Sí","NO")</f>
        <v>Sí</v>
      </c>
      <c r="BT840" s="137" t="str">
        <f aca="false">IF(AND(DATOS_[[#This Row],[% normaliz]]&lt;&gt;1,DATOS_[[#This Row],[% anualiz]]=1),"Sí","NO")</f>
        <v>Sí</v>
      </c>
      <c r="BU840" s="137" t="str">
        <f aca="false">IF(AND(DATOS_[[#This Row],[% normaliz]]=1,DATOS_[[#This Row],[% anualiz]]&lt;&gt;1),"Sí","NO")</f>
        <v>NO</v>
      </c>
      <c r="BV840" s="137" t="str">
        <f aca="false">IF(AND(DATOS_[[#This Row],[% normaliz]]&lt;&gt;1,DATOS_[[#This Row],[% anualiz]]&lt;&gt;1),"Sí","NO")</f>
        <v>NO</v>
      </c>
      <c r="BW840" s="137" t="str">
        <f aca="false">+IF(DATOS_[[#This Row],[% normaliz]]*DATOS_[[#This Row],[% anualiz]]=1,"NO","Sí")</f>
        <v>Sí</v>
      </c>
      <c r="BX840" s="138" t="e">
        <f aca="false">(DATOS_[[#This Row],[S.BASE]]*(1/DATOS_[[#This Row],[% normaliz]])*(1/DATOS_[[#This Row],[% anualiz]]))*IF(DATOS_[[#This Row],[Check Equiparado]]="Sí",1,0)</f>
        <v>#DIV/0!</v>
      </c>
      <c r="BY8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0" s="138" t="e">
        <f aca="false">+DATOS_[[#This Row],[SALARIO BASE Eq]]+DATOS_[[#This Row],[Tot COMPL.SAL Eq]]</f>
        <v>#DIV/0!</v>
      </c>
      <c r="CA840" s="138" t="e">
        <f aca="false" t="array" ref="CA840:CA8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0" s="138" t="e">
        <f aca="false">+DATOS_[[#This Row],[TOTAL SALARIO Eq]]+DATOS_[[#This Row],[Tot Extrasalarial Eq]]</f>
        <v>#DIV/0!</v>
      </c>
      <c r="CC840" s="139" t="n">
        <f aca="false">DATOS_[[#This Row],[S.BASE]]</f>
        <v>0</v>
      </c>
      <c r="CD840" s="139" t="n">
        <f aca="false">+SUM(DATOS_[[#This Row],[Conc.Sal.01]:[Conc.Sal.30]])</f>
        <v>0</v>
      </c>
      <c r="CE840" s="139" t="n">
        <f aca="false">+DATOS_[[#This Row],[SALARIO BASE Ef]]+DATOS_[[#This Row],[Tot COMPL.SAL Ef]]</f>
        <v>0</v>
      </c>
      <c r="CF840" s="139" t="n">
        <f aca="false">+SUM(DATOS_[[#This Row],[C.Extra.01]:[C.Extra.05]])</f>
        <v>0</v>
      </c>
      <c r="CG840" s="139" t="n">
        <f aca="false">+DATOS_[[#This Row],[TOTAL SALARIO Ef]]+DATOS_[[#This Row],[Tot Extrasalarial Ef]]</f>
        <v>0</v>
      </c>
      <c r="CH840" s="140" t="n">
        <f aca="false">MIN(IF(DATOS_[[#This Row],[Fecha Fin Contrato]]="",$D$4,DATOS_[[#This Row],[Fecha Fin Contrato]]),$D$4)-MAX(DATOS_[[#This Row],[Fecha de Contratación]],$D$3)+1</f>
        <v>1</v>
      </c>
      <c r="CI840" s="141" t="str">
        <f aca="false">IF(COUNTIFS(DATOS_[id],DATOS_[[#This Row],[id]])&gt;1,DATOS_[[#This Row],[id]],"")</f>
        <v/>
      </c>
      <c r="CJ840" s="141" t="n">
        <f aca="false">(Inicio!$G$10-DATOS_[[#This Row],[Fecha Nacimiento]])/365.25</f>
        <v>0</v>
      </c>
      <c r="CK840" s="141" t="n">
        <f aca="false">(Inicio!$G$10-DATOS_[[#This Row],[Fecha de Antigüedad]])/365.25</f>
        <v>0</v>
      </c>
      <c r="CL840" s="141" t="e">
        <f aca="false">+VLOOKUP(DATOS_[[#This Row],[Clave de Contrato]],TblTiposContrato13[],3,0)</f>
        <v>#N/A</v>
      </c>
      <c r="CM840" s="141" t="e">
        <f aca="false">+VLOOKUP(DATOS_[[#This Row],[Clave de Contrato]],TblTiposContrato13[],4,0)</f>
        <v>#N/A</v>
      </c>
      <c r="CN840" s="141" t="str">
        <f aca="false">VLOOKUP(DATOS_[[#This Row],[Edad]],CONTRATOS!TblRngEdad,2,1)</f>
        <v>20  o menos</v>
      </c>
      <c r="CO840" s="141" t="str">
        <f aca="false">VLOOKUP(DATOS_[[#This Row],[Antigüedad]],TblRngAntg14[],2,1)</f>
        <v>0 a 1 años</v>
      </c>
    </row>
    <row r="841" customFormat="false" ht="13.8" hidden="false" customHeight="false" outlineLevel="0" collapsed="false">
      <c r="D841" s="128"/>
      <c r="E841" s="129"/>
      <c r="F841" s="129"/>
      <c r="G841" s="129"/>
      <c r="H841" s="130"/>
      <c r="I841" s="131"/>
      <c r="J841" s="128"/>
      <c r="K841" s="132"/>
      <c r="L841" s="132"/>
      <c r="M841" s="133"/>
      <c r="N841" s="133"/>
      <c r="O841" s="133"/>
      <c r="P841" s="129"/>
      <c r="Z841" s="75"/>
      <c r="AA841" s="76"/>
      <c r="AB841" s="76"/>
      <c r="AC841" s="129"/>
      <c r="AD841" s="134"/>
      <c r="AE841" s="134"/>
      <c r="AF841" s="134"/>
      <c r="AG841" s="134"/>
      <c r="AH841" s="134"/>
      <c r="AI841" s="134"/>
      <c r="AJ841" s="134"/>
      <c r="AK841" s="134"/>
      <c r="AL841" s="134"/>
      <c r="AM841" s="134"/>
      <c r="AN841" s="134"/>
      <c r="AO841" s="134"/>
      <c r="AP841" s="134"/>
      <c r="AQ841" s="134"/>
      <c r="AR841" s="134"/>
      <c r="AS841" s="134"/>
      <c r="AT841" s="134"/>
      <c r="AU841" s="134"/>
      <c r="AV841" s="134"/>
      <c r="AW841" s="134"/>
      <c r="AX841" s="134"/>
      <c r="AY841" s="134"/>
      <c r="AZ841" s="134"/>
      <c r="BA841" s="134"/>
      <c r="BB841" s="134"/>
      <c r="BC841" s="134"/>
      <c r="BD841" s="134"/>
      <c r="BE841" s="134"/>
      <c r="BF841" s="134"/>
      <c r="BG841" s="134"/>
      <c r="BH841" s="134"/>
      <c r="BI841" s="134"/>
      <c r="BJ841" s="134"/>
      <c r="BK841" s="134"/>
      <c r="BL841" s="134"/>
      <c r="BM841" s="135"/>
      <c r="BN841" s="136" t="n">
        <f aca="false">+MAX($D$3,DATOS_[[#This Row],[Fecha Inicio Sit. Contract.]])</f>
        <v>0</v>
      </c>
      <c r="BO841" s="136" t="n">
        <f aca="false">+MIN($D$4,DATOS_[[#This Row],[Fecha Fin Sit. Contract.]])</f>
        <v>0</v>
      </c>
      <c r="BP841" s="137" t="n">
        <f aca="false">+DATOS_[[#This Row],[% de jornada]]*IF(DATOS_[[#This Row],[% jornada reducida]]="",1,DATOS_[[#This Row],[% jornada reducida]])</f>
        <v>0</v>
      </c>
      <c r="BQ841" s="137" t="n">
        <f aca="false">+(DATOS_[[#This Row],[F.fin.cal]]-DATOS_[[#This Row],[F.ini.cal]]+1)/($D$4-$D$3+1)</f>
        <v>1</v>
      </c>
      <c r="BR841" s="137" t="str">
        <f aca="false">IF(OR(AND(DATOS_[[#This Row],[Fecha Fin Contrato]]&lt;$D$3,DATOS_[[#This Row],[Fecha Fin Contrato]]&lt;&gt;""),DATOS_[[#This Row],[Fecha de Contratación]]&gt;$D$4),"Fuera","Dentro")</f>
        <v>Dentro</v>
      </c>
      <c r="BS841" s="137" t="str">
        <f aca="false" t="array" ref="BS841:BS841">IF(MAX(IF(DATOS_[id]=DATOS_[[#This Row],[id]],DATOS_[F.fin.cal]))=DATOS_[[#This Row],[F.fin.cal]],"Sí","NO")</f>
        <v>Sí</v>
      </c>
      <c r="BT841" s="137" t="str">
        <f aca="false">IF(AND(DATOS_[[#This Row],[% normaliz]]&lt;&gt;1,DATOS_[[#This Row],[% anualiz]]=1),"Sí","NO")</f>
        <v>Sí</v>
      </c>
      <c r="BU841" s="137" t="str">
        <f aca="false">IF(AND(DATOS_[[#This Row],[% normaliz]]=1,DATOS_[[#This Row],[% anualiz]]&lt;&gt;1),"Sí","NO")</f>
        <v>NO</v>
      </c>
      <c r="BV841" s="137" t="str">
        <f aca="false">IF(AND(DATOS_[[#This Row],[% normaliz]]&lt;&gt;1,DATOS_[[#This Row],[% anualiz]]&lt;&gt;1),"Sí","NO")</f>
        <v>NO</v>
      </c>
      <c r="BW841" s="137" t="str">
        <f aca="false">+IF(DATOS_[[#This Row],[% normaliz]]*DATOS_[[#This Row],[% anualiz]]=1,"NO","Sí")</f>
        <v>Sí</v>
      </c>
      <c r="BX841" s="138" t="e">
        <f aca="false">(DATOS_[[#This Row],[S.BASE]]*(1/DATOS_[[#This Row],[% normaliz]])*(1/DATOS_[[#This Row],[% anualiz]]))*IF(DATOS_[[#This Row],[Check Equiparado]]="Sí",1,0)</f>
        <v>#DIV/0!</v>
      </c>
      <c r="BY8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1" s="138" t="e">
        <f aca="false">+DATOS_[[#This Row],[SALARIO BASE Eq]]+DATOS_[[#This Row],[Tot COMPL.SAL Eq]]</f>
        <v>#DIV/0!</v>
      </c>
      <c r="CA841" s="138" t="e">
        <f aca="false" t="array" ref="CA841:CA8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1" s="138" t="e">
        <f aca="false">+DATOS_[[#This Row],[TOTAL SALARIO Eq]]+DATOS_[[#This Row],[Tot Extrasalarial Eq]]</f>
        <v>#DIV/0!</v>
      </c>
      <c r="CC841" s="139" t="n">
        <f aca="false">DATOS_[[#This Row],[S.BASE]]</f>
        <v>0</v>
      </c>
      <c r="CD841" s="139" t="n">
        <f aca="false">+SUM(DATOS_[[#This Row],[Conc.Sal.01]:[Conc.Sal.30]])</f>
        <v>0</v>
      </c>
      <c r="CE841" s="139" t="n">
        <f aca="false">+DATOS_[[#This Row],[SALARIO BASE Ef]]+DATOS_[[#This Row],[Tot COMPL.SAL Ef]]</f>
        <v>0</v>
      </c>
      <c r="CF841" s="139" t="n">
        <f aca="false">+SUM(DATOS_[[#This Row],[C.Extra.01]:[C.Extra.05]])</f>
        <v>0</v>
      </c>
      <c r="CG841" s="139" t="n">
        <f aca="false">+DATOS_[[#This Row],[TOTAL SALARIO Ef]]+DATOS_[[#This Row],[Tot Extrasalarial Ef]]</f>
        <v>0</v>
      </c>
      <c r="CH841" s="140" t="n">
        <f aca="false">MIN(IF(DATOS_[[#This Row],[Fecha Fin Contrato]]="",$D$4,DATOS_[[#This Row],[Fecha Fin Contrato]]),$D$4)-MAX(DATOS_[[#This Row],[Fecha de Contratación]],$D$3)+1</f>
        <v>1</v>
      </c>
      <c r="CI841" s="141" t="str">
        <f aca="false">IF(COUNTIFS(DATOS_[id],DATOS_[[#This Row],[id]])&gt;1,DATOS_[[#This Row],[id]],"")</f>
        <v/>
      </c>
      <c r="CJ841" s="141" t="n">
        <f aca="false">(Inicio!$G$10-DATOS_[[#This Row],[Fecha Nacimiento]])/365.25</f>
        <v>0</v>
      </c>
      <c r="CK841" s="141" t="n">
        <f aca="false">(Inicio!$G$10-DATOS_[[#This Row],[Fecha de Antigüedad]])/365.25</f>
        <v>0</v>
      </c>
      <c r="CL841" s="141" t="e">
        <f aca="false">+VLOOKUP(DATOS_[[#This Row],[Clave de Contrato]],TblTiposContrato13[],3,0)</f>
        <v>#N/A</v>
      </c>
      <c r="CM841" s="141" t="e">
        <f aca="false">+VLOOKUP(DATOS_[[#This Row],[Clave de Contrato]],TblTiposContrato13[],4,0)</f>
        <v>#N/A</v>
      </c>
      <c r="CN841" s="141" t="str">
        <f aca="false">VLOOKUP(DATOS_[[#This Row],[Edad]],CONTRATOS!TblRngEdad,2,1)</f>
        <v>20  o menos</v>
      </c>
      <c r="CO841" s="141" t="str">
        <f aca="false">VLOOKUP(DATOS_[[#This Row],[Antigüedad]],TblRngAntg14[],2,1)</f>
        <v>0 a 1 años</v>
      </c>
    </row>
    <row r="842" customFormat="false" ht="13.8" hidden="false" customHeight="false" outlineLevel="0" collapsed="false">
      <c r="D842" s="128"/>
      <c r="E842" s="129"/>
      <c r="F842" s="129"/>
      <c r="G842" s="129"/>
      <c r="H842" s="130"/>
      <c r="I842" s="131"/>
      <c r="J842" s="128"/>
      <c r="K842" s="132"/>
      <c r="L842" s="132"/>
      <c r="M842" s="133"/>
      <c r="N842" s="133"/>
      <c r="O842" s="133"/>
      <c r="P842" s="129"/>
      <c r="Z842" s="75"/>
      <c r="AA842" s="76"/>
      <c r="AB842" s="76"/>
      <c r="AC842" s="129"/>
      <c r="AD842" s="134"/>
      <c r="AE842" s="134"/>
      <c r="AF842" s="134"/>
      <c r="AG842" s="134"/>
      <c r="AH842" s="134"/>
      <c r="AI842" s="134"/>
      <c r="AJ842" s="134"/>
      <c r="AK842" s="134"/>
      <c r="AL842" s="134"/>
      <c r="AM842" s="134"/>
      <c r="AN842" s="134"/>
      <c r="AO842" s="134"/>
      <c r="AP842" s="134"/>
      <c r="AQ842" s="134"/>
      <c r="AR842" s="134"/>
      <c r="AS842" s="134"/>
      <c r="AT842" s="134"/>
      <c r="AU842" s="134"/>
      <c r="AV842" s="134"/>
      <c r="AW842" s="134"/>
      <c r="AX842" s="134"/>
      <c r="AY842" s="134"/>
      <c r="AZ842" s="134"/>
      <c r="BA842" s="134"/>
      <c r="BB842" s="134"/>
      <c r="BC842" s="134"/>
      <c r="BD842" s="134"/>
      <c r="BE842" s="134"/>
      <c r="BF842" s="134"/>
      <c r="BG842" s="134"/>
      <c r="BH842" s="134"/>
      <c r="BI842" s="134"/>
      <c r="BJ842" s="134"/>
      <c r="BK842" s="134"/>
      <c r="BL842" s="134"/>
      <c r="BM842" s="135"/>
      <c r="BN842" s="136" t="n">
        <f aca="false">+MAX($D$3,DATOS_[[#This Row],[Fecha Inicio Sit. Contract.]])</f>
        <v>0</v>
      </c>
      <c r="BO842" s="136" t="n">
        <f aca="false">+MIN($D$4,DATOS_[[#This Row],[Fecha Fin Sit. Contract.]])</f>
        <v>0</v>
      </c>
      <c r="BP842" s="137" t="n">
        <f aca="false">+DATOS_[[#This Row],[% de jornada]]*IF(DATOS_[[#This Row],[% jornada reducida]]="",1,DATOS_[[#This Row],[% jornada reducida]])</f>
        <v>0</v>
      </c>
      <c r="BQ842" s="137" t="n">
        <f aca="false">+(DATOS_[[#This Row],[F.fin.cal]]-DATOS_[[#This Row],[F.ini.cal]]+1)/($D$4-$D$3+1)</f>
        <v>1</v>
      </c>
      <c r="BR842" s="137" t="str">
        <f aca="false">IF(OR(AND(DATOS_[[#This Row],[Fecha Fin Contrato]]&lt;$D$3,DATOS_[[#This Row],[Fecha Fin Contrato]]&lt;&gt;""),DATOS_[[#This Row],[Fecha de Contratación]]&gt;$D$4),"Fuera","Dentro")</f>
        <v>Dentro</v>
      </c>
      <c r="BS842" s="137" t="str">
        <f aca="false" t="array" ref="BS842:BS842">IF(MAX(IF(DATOS_[id]=DATOS_[[#This Row],[id]],DATOS_[F.fin.cal]))=DATOS_[[#This Row],[F.fin.cal]],"Sí","NO")</f>
        <v>Sí</v>
      </c>
      <c r="BT842" s="137" t="str">
        <f aca="false">IF(AND(DATOS_[[#This Row],[% normaliz]]&lt;&gt;1,DATOS_[[#This Row],[% anualiz]]=1),"Sí","NO")</f>
        <v>Sí</v>
      </c>
      <c r="BU842" s="137" t="str">
        <f aca="false">IF(AND(DATOS_[[#This Row],[% normaliz]]=1,DATOS_[[#This Row],[% anualiz]]&lt;&gt;1),"Sí","NO")</f>
        <v>NO</v>
      </c>
      <c r="BV842" s="137" t="str">
        <f aca="false">IF(AND(DATOS_[[#This Row],[% normaliz]]&lt;&gt;1,DATOS_[[#This Row],[% anualiz]]&lt;&gt;1),"Sí","NO")</f>
        <v>NO</v>
      </c>
      <c r="BW842" s="137" t="str">
        <f aca="false">+IF(DATOS_[[#This Row],[% normaliz]]*DATOS_[[#This Row],[% anualiz]]=1,"NO","Sí")</f>
        <v>Sí</v>
      </c>
      <c r="BX842" s="138" t="e">
        <f aca="false">(DATOS_[[#This Row],[S.BASE]]*(1/DATOS_[[#This Row],[% normaliz]])*(1/DATOS_[[#This Row],[% anualiz]]))*IF(DATOS_[[#This Row],[Check Equiparado]]="Sí",1,0)</f>
        <v>#DIV/0!</v>
      </c>
      <c r="BY8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2" s="138" t="e">
        <f aca="false">+DATOS_[[#This Row],[SALARIO BASE Eq]]+DATOS_[[#This Row],[Tot COMPL.SAL Eq]]</f>
        <v>#DIV/0!</v>
      </c>
      <c r="CA842" s="138" t="e">
        <f aca="false" t="array" ref="CA842:CA8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2" s="138" t="e">
        <f aca="false">+DATOS_[[#This Row],[TOTAL SALARIO Eq]]+DATOS_[[#This Row],[Tot Extrasalarial Eq]]</f>
        <v>#DIV/0!</v>
      </c>
      <c r="CC842" s="139" t="n">
        <f aca="false">DATOS_[[#This Row],[S.BASE]]</f>
        <v>0</v>
      </c>
      <c r="CD842" s="139" t="n">
        <f aca="false">+SUM(DATOS_[[#This Row],[Conc.Sal.01]:[Conc.Sal.30]])</f>
        <v>0</v>
      </c>
      <c r="CE842" s="139" t="n">
        <f aca="false">+DATOS_[[#This Row],[SALARIO BASE Ef]]+DATOS_[[#This Row],[Tot COMPL.SAL Ef]]</f>
        <v>0</v>
      </c>
      <c r="CF842" s="139" t="n">
        <f aca="false">+SUM(DATOS_[[#This Row],[C.Extra.01]:[C.Extra.05]])</f>
        <v>0</v>
      </c>
      <c r="CG842" s="139" t="n">
        <f aca="false">+DATOS_[[#This Row],[TOTAL SALARIO Ef]]+DATOS_[[#This Row],[Tot Extrasalarial Ef]]</f>
        <v>0</v>
      </c>
      <c r="CH842" s="140" t="n">
        <f aca="false">MIN(IF(DATOS_[[#This Row],[Fecha Fin Contrato]]="",$D$4,DATOS_[[#This Row],[Fecha Fin Contrato]]),$D$4)-MAX(DATOS_[[#This Row],[Fecha de Contratación]],$D$3)+1</f>
        <v>1</v>
      </c>
      <c r="CI842" s="141" t="str">
        <f aca="false">IF(COUNTIFS(DATOS_[id],DATOS_[[#This Row],[id]])&gt;1,DATOS_[[#This Row],[id]],"")</f>
        <v/>
      </c>
      <c r="CJ842" s="141" t="n">
        <f aca="false">(Inicio!$G$10-DATOS_[[#This Row],[Fecha Nacimiento]])/365.25</f>
        <v>0</v>
      </c>
      <c r="CK842" s="141" t="n">
        <f aca="false">(Inicio!$G$10-DATOS_[[#This Row],[Fecha de Antigüedad]])/365.25</f>
        <v>0</v>
      </c>
      <c r="CL842" s="141" t="e">
        <f aca="false">+VLOOKUP(DATOS_[[#This Row],[Clave de Contrato]],TblTiposContrato13[],3,0)</f>
        <v>#N/A</v>
      </c>
      <c r="CM842" s="141" t="e">
        <f aca="false">+VLOOKUP(DATOS_[[#This Row],[Clave de Contrato]],TblTiposContrato13[],4,0)</f>
        <v>#N/A</v>
      </c>
      <c r="CN842" s="141" t="str">
        <f aca="false">VLOOKUP(DATOS_[[#This Row],[Edad]],CONTRATOS!TblRngEdad,2,1)</f>
        <v>20  o menos</v>
      </c>
      <c r="CO842" s="141" t="str">
        <f aca="false">VLOOKUP(DATOS_[[#This Row],[Antigüedad]],TblRngAntg14[],2,1)</f>
        <v>0 a 1 años</v>
      </c>
    </row>
    <row r="843" customFormat="false" ht="13.8" hidden="false" customHeight="false" outlineLevel="0" collapsed="false">
      <c r="D843" s="128"/>
      <c r="E843" s="129"/>
      <c r="F843" s="129"/>
      <c r="G843" s="129"/>
      <c r="H843" s="130"/>
      <c r="I843" s="131"/>
      <c r="J843" s="128"/>
      <c r="K843" s="132"/>
      <c r="L843" s="132"/>
      <c r="M843" s="133"/>
      <c r="N843" s="133"/>
      <c r="O843" s="133"/>
      <c r="P843" s="129"/>
      <c r="Z843" s="75"/>
      <c r="AA843" s="76"/>
      <c r="AB843" s="76"/>
      <c r="AC843" s="129"/>
      <c r="AD843" s="134"/>
      <c r="AE843" s="134"/>
      <c r="AF843" s="134"/>
      <c r="AG843" s="134"/>
      <c r="AH843" s="134"/>
      <c r="AI843" s="134"/>
      <c r="AJ843" s="134"/>
      <c r="AK843" s="134"/>
      <c r="AL843" s="134"/>
      <c r="AM843" s="134"/>
      <c r="AN843" s="134"/>
      <c r="AO843" s="134"/>
      <c r="AP843" s="134"/>
      <c r="AQ843" s="134"/>
      <c r="AR843" s="134"/>
      <c r="AS843" s="134"/>
      <c r="AT843" s="134"/>
      <c r="AU843" s="134"/>
      <c r="AV843" s="134"/>
      <c r="AW843" s="134"/>
      <c r="AX843" s="134"/>
      <c r="AY843" s="134"/>
      <c r="AZ843" s="134"/>
      <c r="BA843" s="134"/>
      <c r="BB843" s="134"/>
      <c r="BC843" s="134"/>
      <c r="BD843" s="134"/>
      <c r="BE843" s="134"/>
      <c r="BF843" s="134"/>
      <c r="BG843" s="134"/>
      <c r="BH843" s="134"/>
      <c r="BI843" s="134"/>
      <c r="BJ843" s="134"/>
      <c r="BK843" s="134"/>
      <c r="BL843" s="134"/>
      <c r="BM843" s="135"/>
      <c r="BN843" s="136" t="n">
        <f aca="false">+MAX($D$3,DATOS_[[#This Row],[Fecha Inicio Sit. Contract.]])</f>
        <v>0</v>
      </c>
      <c r="BO843" s="136" t="n">
        <f aca="false">+MIN($D$4,DATOS_[[#This Row],[Fecha Fin Sit. Contract.]])</f>
        <v>0</v>
      </c>
      <c r="BP843" s="137" t="n">
        <f aca="false">+DATOS_[[#This Row],[% de jornada]]*IF(DATOS_[[#This Row],[% jornada reducida]]="",1,DATOS_[[#This Row],[% jornada reducida]])</f>
        <v>0</v>
      </c>
      <c r="BQ843" s="137" t="n">
        <f aca="false">+(DATOS_[[#This Row],[F.fin.cal]]-DATOS_[[#This Row],[F.ini.cal]]+1)/($D$4-$D$3+1)</f>
        <v>1</v>
      </c>
      <c r="BR843" s="137" t="str">
        <f aca="false">IF(OR(AND(DATOS_[[#This Row],[Fecha Fin Contrato]]&lt;$D$3,DATOS_[[#This Row],[Fecha Fin Contrato]]&lt;&gt;""),DATOS_[[#This Row],[Fecha de Contratación]]&gt;$D$4),"Fuera","Dentro")</f>
        <v>Dentro</v>
      </c>
      <c r="BS843" s="137" t="str">
        <f aca="false" t="array" ref="BS843:BS843">IF(MAX(IF(DATOS_[id]=DATOS_[[#This Row],[id]],DATOS_[F.fin.cal]))=DATOS_[[#This Row],[F.fin.cal]],"Sí","NO")</f>
        <v>Sí</v>
      </c>
      <c r="BT843" s="137" t="str">
        <f aca="false">IF(AND(DATOS_[[#This Row],[% normaliz]]&lt;&gt;1,DATOS_[[#This Row],[% anualiz]]=1),"Sí","NO")</f>
        <v>Sí</v>
      </c>
      <c r="BU843" s="137" t="str">
        <f aca="false">IF(AND(DATOS_[[#This Row],[% normaliz]]=1,DATOS_[[#This Row],[% anualiz]]&lt;&gt;1),"Sí","NO")</f>
        <v>NO</v>
      </c>
      <c r="BV843" s="137" t="str">
        <f aca="false">IF(AND(DATOS_[[#This Row],[% normaliz]]&lt;&gt;1,DATOS_[[#This Row],[% anualiz]]&lt;&gt;1),"Sí","NO")</f>
        <v>NO</v>
      </c>
      <c r="BW843" s="137" t="str">
        <f aca="false">+IF(DATOS_[[#This Row],[% normaliz]]*DATOS_[[#This Row],[% anualiz]]=1,"NO","Sí")</f>
        <v>Sí</v>
      </c>
      <c r="BX843" s="138" t="e">
        <f aca="false">(DATOS_[[#This Row],[S.BASE]]*(1/DATOS_[[#This Row],[% normaliz]])*(1/DATOS_[[#This Row],[% anualiz]]))*IF(DATOS_[[#This Row],[Check Equiparado]]="Sí",1,0)</f>
        <v>#DIV/0!</v>
      </c>
      <c r="BY8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3" s="138" t="e">
        <f aca="false">+DATOS_[[#This Row],[SALARIO BASE Eq]]+DATOS_[[#This Row],[Tot COMPL.SAL Eq]]</f>
        <v>#DIV/0!</v>
      </c>
      <c r="CA843" s="138" t="e">
        <f aca="false" t="array" ref="CA843:CA8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3" s="138" t="e">
        <f aca="false">+DATOS_[[#This Row],[TOTAL SALARIO Eq]]+DATOS_[[#This Row],[Tot Extrasalarial Eq]]</f>
        <v>#DIV/0!</v>
      </c>
      <c r="CC843" s="139" t="n">
        <f aca="false">DATOS_[[#This Row],[S.BASE]]</f>
        <v>0</v>
      </c>
      <c r="CD843" s="139" t="n">
        <f aca="false">+SUM(DATOS_[[#This Row],[Conc.Sal.01]:[Conc.Sal.30]])</f>
        <v>0</v>
      </c>
      <c r="CE843" s="139" t="n">
        <f aca="false">+DATOS_[[#This Row],[SALARIO BASE Ef]]+DATOS_[[#This Row],[Tot COMPL.SAL Ef]]</f>
        <v>0</v>
      </c>
      <c r="CF843" s="139" t="n">
        <f aca="false">+SUM(DATOS_[[#This Row],[C.Extra.01]:[C.Extra.05]])</f>
        <v>0</v>
      </c>
      <c r="CG843" s="139" t="n">
        <f aca="false">+DATOS_[[#This Row],[TOTAL SALARIO Ef]]+DATOS_[[#This Row],[Tot Extrasalarial Ef]]</f>
        <v>0</v>
      </c>
      <c r="CH843" s="140" t="n">
        <f aca="false">MIN(IF(DATOS_[[#This Row],[Fecha Fin Contrato]]="",$D$4,DATOS_[[#This Row],[Fecha Fin Contrato]]),$D$4)-MAX(DATOS_[[#This Row],[Fecha de Contratación]],$D$3)+1</f>
        <v>1</v>
      </c>
      <c r="CI843" s="141" t="str">
        <f aca="false">IF(COUNTIFS(DATOS_[id],DATOS_[[#This Row],[id]])&gt;1,DATOS_[[#This Row],[id]],"")</f>
        <v/>
      </c>
      <c r="CJ843" s="141" t="n">
        <f aca="false">(Inicio!$G$10-DATOS_[[#This Row],[Fecha Nacimiento]])/365.25</f>
        <v>0</v>
      </c>
      <c r="CK843" s="141" t="n">
        <f aca="false">(Inicio!$G$10-DATOS_[[#This Row],[Fecha de Antigüedad]])/365.25</f>
        <v>0</v>
      </c>
      <c r="CL843" s="141" t="e">
        <f aca="false">+VLOOKUP(DATOS_[[#This Row],[Clave de Contrato]],TblTiposContrato13[],3,0)</f>
        <v>#N/A</v>
      </c>
      <c r="CM843" s="141" t="e">
        <f aca="false">+VLOOKUP(DATOS_[[#This Row],[Clave de Contrato]],TblTiposContrato13[],4,0)</f>
        <v>#N/A</v>
      </c>
      <c r="CN843" s="141" t="str">
        <f aca="false">VLOOKUP(DATOS_[[#This Row],[Edad]],CONTRATOS!TblRngEdad,2,1)</f>
        <v>20  o menos</v>
      </c>
      <c r="CO843" s="141" t="str">
        <f aca="false">VLOOKUP(DATOS_[[#This Row],[Antigüedad]],TblRngAntg14[],2,1)</f>
        <v>0 a 1 años</v>
      </c>
    </row>
    <row r="844" customFormat="false" ht="13.8" hidden="false" customHeight="false" outlineLevel="0" collapsed="false">
      <c r="D844" s="128"/>
      <c r="E844" s="129"/>
      <c r="F844" s="129"/>
      <c r="G844" s="129"/>
      <c r="H844" s="130"/>
      <c r="I844" s="131"/>
      <c r="J844" s="128"/>
      <c r="K844" s="132"/>
      <c r="L844" s="132"/>
      <c r="M844" s="133"/>
      <c r="N844" s="133"/>
      <c r="O844" s="133"/>
      <c r="P844" s="129"/>
      <c r="Z844" s="75"/>
      <c r="AA844" s="76"/>
      <c r="AB844" s="76"/>
      <c r="AC844" s="129"/>
      <c r="AD844" s="134"/>
      <c r="AE844" s="134"/>
      <c r="AF844" s="134"/>
      <c r="AG844" s="134"/>
      <c r="AH844" s="134"/>
      <c r="AI844" s="134"/>
      <c r="AJ844" s="134"/>
      <c r="AK844" s="134"/>
      <c r="AL844" s="134"/>
      <c r="AM844" s="134"/>
      <c r="AN844" s="134"/>
      <c r="AO844" s="134"/>
      <c r="AP844" s="134"/>
      <c r="AQ844" s="134"/>
      <c r="AR844" s="134"/>
      <c r="AS844" s="134"/>
      <c r="AT844" s="134"/>
      <c r="AU844" s="134"/>
      <c r="AV844" s="134"/>
      <c r="AW844" s="134"/>
      <c r="AX844" s="134"/>
      <c r="AY844" s="134"/>
      <c r="AZ844" s="134"/>
      <c r="BA844" s="134"/>
      <c r="BB844" s="134"/>
      <c r="BC844" s="134"/>
      <c r="BD844" s="134"/>
      <c r="BE844" s="134"/>
      <c r="BF844" s="134"/>
      <c r="BG844" s="134"/>
      <c r="BH844" s="134"/>
      <c r="BI844" s="134"/>
      <c r="BJ844" s="134"/>
      <c r="BK844" s="134"/>
      <c r="BL844" s="134"/>
      <c r="BM844" s="135"/>
      <c r="BN844" s="136" t="n">
        <f aca="false">+MAX($D$3,DATOS_[[#This Row],[Fecha Inicio Sit. Contract.]])</f>
        <v>0</v>
      </c>
      <c r="BO844" s="136" t="n">
        <f aca="false">+MIN($D$4,DATOS_[[#This Row],[Fecha Fin Sit. Contract.]])</f>
        <v>0</v>
      </c>
      <c r="BP844" s="137" t="n">
        <f aca="false">+DATOS_[[#This Row],[% de jornada]]*IF(DATOS_[[#This Row],[% jornada reducida]]="",1,DATOS_[[#This Row],[% jornada reducida]])</f>
        <v>0</v>
      </c>
      <c r="BQ844" s="137" t="n">
        <f aca="false">+(DATOS_[[#This Row],[F.fin.cal]]-DATOS_[[#This Row],[F.ini.cal]]+1)/($D$4-$D$3+1)</f>
        <v>1</v>
      </c>
      <c r="BR844" s="137" t="str">
        <f aca="false">IF(OR(AND(DATOS_[[#This Row],[Fecha Fin Contrato]]&lt;$D$3,DATOS_[[#This Row],[Fecha Fin Contrato]]&lt;&gt;""),DATOS_[[#This Row],[Fecha de Contratación]]&gt;$D$4),"Fuera","Dentro")</f>
        <v>Dentro</v>
      </c>
      <c r="BS844" s="137" t="str">
        <f aca="false" t="array" ref="BS844:BS844">IF(MAX(IF(DATOS_[id]=DATOS_[[#This Row],[id]],DATOS_[F.fin.cal]))=DATOS_[[#This Row],[F.fin.cal]],"Sí","NO")</f>
        <v>Sí</v>
      </c>
      <c r="BT844" s="137" t="str">
        <f aca="false">IF(AND(DATOS_[[#This Row],[% normaliz]]&lt;&gt;1,DATOS_[[#This Row],[% anualiz]]=1),"Sí","NO")</f>
        <v>Sí</v>
      </c>
      <c r="BU844" s="137" t="str">
        <f aca="false">IF(AND(DATOS_[[#This Row],[% normaliz]]=1,DATOS_[[#This Row],[% anualiz]]&lt;&gt;1),"Sí","NO")</f>
        <v>NO</v>
      </c>
      <c r="BV844" s="137" t="str">
        <f aca="false">IF(AND(DATOS_[[#This Row],[% normaliz]]&lt;&gt;1,DATOS_[[#This Row],[% anualiz]]&lt;&gt;1),"Sí","NO")</f>
        <v>NO</v>
      </c>
      <c r="BW844" s="137" t="str">
        <f aca="false">+IF(DATOS_[[#This Row],[% normaliz]]*DATOS_[[#This Row],[% anualiz]]=1,"NO","Sí")</f>
        <v>Sí</v>
      </c>
      <c r="BX844" s="138" t="e">
        <f aca="false">(DATOS_[[#This Row],[S.BASE]]*(1/DATOS_[[#This Row],[% normaliz]])*(1/DATOS_[[#This Row],[% anualiz]]))*IF(DATOS_[[#This Row],[Check Equiparado]]="Sí",1,0)</f>
        <v>#DIV/0!</v>
      </c>
      <c r="BY8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4" s="138" t="e">
        <f aca="false">+DATOS_[[#This Row],[SALARIO BASE Eq]]+DATOS_[[#This Row],[Tot COMPL.SAL Eq]]</f>
        <v>#DIV/0!</v>
      </c>
      <c r="CA844" s="138" t="e">
        <f aca="false" t="array" ref="CA844:CA8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4" s="138" t="e">
        <f aca="false">+DATOS_[[#This Row],[TOTAL SALARIO Eq]]+DATOS_[[#This Row],[Tot Extrasalarial Eq]]</f>
        <v>#DIV/0!</v>
      </c>
      <c r="CC844" s="139" t="n">
        <f aca="false">DATOS_[[#This Row],[S.BASE]]</f>
        <v>0</v>
      </c>
      <c r="CD844" s="139" t="n">
        <f aca="false">+SUM(DATOS_[[#This Row],[Conc.Sal.01]:[Conc.Sal.30]])</f>
        <v>0</v>
      </c>
      <c r="CE844" s="139" t="n">
        <f aca="false">+DATOS_[[#This Row],[SALARIO BASE Ef]]+DATOS_[[#This Row],[Tot COMPL.SAL Ef]]</f>
        <v>0</v>
      </c>
      <c r="CF844" s="139" t="n">
        <f aca="false">+SUM(DATOS_[[#This Row],[C.Extra.01]:[C.Extra.05]])</f>
        <v>0</v>
      </c>
      <c r="CG844" s="139" t="n">
        <f aca="false">+DATOS_[[#This Row],[TOTAL SALARIO Ef]]+DATOS_[[#This Row],[Tot Extrasalarial Ef]]</f>
        <v>0</v>
      </c>
      <c r="CH844" s="140" t="n">
        <f aca="false">MIN(IF(DATOS_[[#This Row],[Fecha Fin Contrato]]="",$D$4,DATOS_[[#This Row],[Fecha Fin Contrato]]),$D$4)-MAX(DATOS_[[#This Row],[Fecha de Contratación]],$D$3)+1</f>
        <v>1</v>
      </c>
      <c r="CI844" s="141" t="str">
        <f aca="false">IF(COUNTIFS(DATOS_[id],DATOS_[[#This Row],[id]])&gt;1,DATOS_[[#This Row],[id]],"")</f>
        <v/>
      </c>
      <c r="CJ844" s="141" t="n">
        <f aca="false">(Inicio!$G$10-DATOS_[[#This Row],[Fecha Nacimiento]])/365.25</f>
        <v>0</v>
      </c>
      <c r="CK844" s="141" t="n">
        <f aca="false">(Inicio!$G$10-DATOS_[[#This Row],[Fecha de Antigüedad]])/365.25</f>
        <v>0</v>
      </c>
      <c r="CL844" s="141" t="e">
        <f aca="false">+VLOOKUP(DATOS_[[#This Row],[Clave de Contrato]],TblTiposContrato13[],3,0)</f>
        <v>#N/A</v>
      </c>
      <c r="CM844" s="141" t="e">
        <f aca="false">+VLOOKUP(DATOS_[[#This Row],[Clave de Contrato]],TblTiposContrato13[],4,0)</f>
        <v>#N/A</v>
      </c>
      <c r="CN844" s="141" t="str">
        <f aca="false">VLOOKUP(DATOS_[[#This Row],[Edad]],CONTRATOS!TblRngEdad,2,1)</f>
        <v>20  o menos</v>
      </c>
      <c r="CO844" s="141" t="str">
        <f aca="false">VLOOKUP(DATOS_[[#This Row],[Antigüedad]],TblRngAntg14[],2,1)</f>
        <v>0 a 1 años</v>
      </c>
    </row>
    <row r="845" customFormat="false" ht="13.8" hidden="false" customHeight="false" outlineLevel="0" collapsed="false">
      <c r="D845" s="128"/>
      <c r="E845" s="129"/>
      <c r="F845" s="129"/>
      <c r="G845" s="129"/>
      <c r="H845" s="130"/>
      <c r="I845" s="131"/>
      <c r="J845" s="128"/>
      <c r="K845" s="132"/>
      <c r="L845" s="132"/>
      <c r="M845" s="133"/>
      <c r="N845" s="133"/>
      <c r="O845" s="133"/>
      <c r="P845" s="129"/>
      <c r="Z845" s="75"/>
      <c r="AA845" s="76"/>
      <c r="AB845" s="76"/>
      <c r="AC845" s="129"/>
      <c r="AD845" s="134"/>
      <c r="AE845" s="134"/>
      <c r="AF845" s="134"/>
      <c r="AG845" s="134"/>
      <c r="AH845" s="134"/>
      <c r="AI845" s="134"/>
      <c r="AJ845" s="134"/>
      <c r="AK845" s="134"/>
      <c r="AL845" s="134"/>
      <c r="AM845" s="134"/>
      <c r="AN845" s="134"/>
      <c r="AO845" s="134"/>
      <c r="AP845" s="134"/>
      <c r="AQ845" s="134"/>
      <c r="AR845" s="134"/>
      <c r="AS845" s="134"/>
      <c r="AT845" s="134"/>
      <c r="AU845" s="134"/>
      <c r="AV845" s="134"/>
      <c r="AW845" s="134"/>
      <c r="AX845" s="134"/>
      <c r="AY845" s="134"/>
      <c r="AZ845" s="134"/>
      <c r="BA845" s="134"/>
      <c r="BB845" s="134"/>
      <c r="BC845" s="134"/>
      <c r="BD845" s="134"/>
      <c r="BE845" s="134"/>
      <c r="BF845" s="134"/>
      <c r="BG845" s="134"/>
      <c r="BH845" s="134"/>
      <c r="BI845" s="134"/>
      <c r="BJ845" s="134"/>
      <c r="BK845" s="134"/>
      <c r="BL845" s="134"/>
      <c r="BM845" s="135"/>
      <c r="BN845" s="136" t="n">
        <f aca="false">+MAX($D$3,DATOS_[[#This Row],[Fecha Inicio Sit. Contract.]])</f>
        <v>0</v>
      </c>
      <c r="BO845" s="136" t="n">
        <f aca="false">+MIN($D$4,DATOS_[[#This Row],[Fecha Fin Sit. Contract.]])</f>
        <v>0</v>
      </c>
      <c r="BP845" s="137" t="n">
        <f aca="false">+DATOS_[[#This Row],[% de jornada]]*IF(DATOS_[[#This Row],[% jornada reducida]]="",1,DATOS_[[#This Row],[% jornada reducida]])</f>
        <v>0</v>
      </c>
      <c r="BQ845" s="137" t="n">
        <f aca="false">+(DATOS_[[#This Row],[F.fin.cal]]-DATOS_[[#This Row],[F.ini.cal]]+1)/($D$4-$D$3+1)</f>
        <v>1</v>
      </c>
      <c r="BR845" s="137" t="str">
        <f aca="false">IF(OR(AND(DATOS_[[#This Row],[Fecha Fin Contrato]]&lt;$D$3,DATOS_[[#This Row],[Fecha Fin Contrato]]&lt;&gt;""),DATOS_[[#This Row],[Fecha de Contratación]]&gt;$D$4),"Fuera","Dentro")</f>
        <v>Dentro</v>
      </c>
      <c r="BS845" s="137" t="str">
        <f aca="false" t="array" ref="BS845:BS845">IF(MAX(IF(DATOS_[id]=DATOS_[[#This Row],[id]],DATOS_[F.fin.cal]))=DATOS_[[#This Row],[F.fin.cal]],"Sí","NO")</f>
        <v>Sí</v>
      </c>
      <c r="BT845" s="137" t="str">
        <f aca="false">IF(AND(DATOS_[[#This Row],[% normaliz]]&lt;&gt;1,DATOS_[[#This Row],[% anualiz]]=1),"Sí","NO")</f>
        <v>Sí</v>
      </c>
      <c r="BU845" s="137" t="str">
        <f aca="false">IF(AND(DATOS_[[#This Row],[% normaliz]]=1,DATOS_[[#This Row],[% anualiz]]&lt;&gt;1),"Sí","NO")</f>
        <v>NO</v>
      </c>
      <c r="BV845" s="137" t="str">
        <f aca="false">IF(AND(DATOS_[[#This Row],[% normaliz]]&lt;&gt;1,DATOS_[[#This Row],[% anualiz]]&lt;&gt;1),"Sí","NO")</f>
        <v>NO</v>
      </c>
      <c r="BW845" s="137" t="str">
        <f aca="false">+IF(DATOS_[[#This Row],[% normaliz]]*DATOS_[[#This Row],[% anualiz]]=1,"NO","Sí")</f>
        <v>Sí</v>
      </c>
      <c r="BX845" s="138" t="e">
        <f aca="false">(DATOS_[[#This Row],[S.BASE]]*(1/DATOS_[[#This Row],[% normaliz]])*(1/DATOS_[[#This Row],[% anualiz]]))*IF(DATOS_[[#This Row],[Check Equiparado]]="Sí",1,0)</f>
        <v>#DIV/0!</v>
      </c>
      <c r="BY8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5" s="138" t="e">
        <f aca="false">+DATOS_[[#This Row],[SALARIO BASE Eq]]+DATOS_[[#This Row],[Tot COMPL.SAL Eq]]</f>
        <v>#DIV/0!</v>
      </c>
      <c r="CA845" s="138" t="e">
        <f aca="false" t="array" ref="CA845:CA8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5" s="138" t="e">
        <f aca="false">+DATOS_[[#This Row],[TOTAL SALARIO Eq]]+DATOS_[[#This Row],[Tot Extrasalarial Eq]]</f>
        <v>#DIV/0!</v>
      </c>
      <c r="CC845" s="139" t="n">
        <f aca="false">DATOS_[[#This Row],[S.BASE]]</f>
        <v>0</v>
      </c>
      <c r="CD845" s="139" t="n">
        <f aca="false">+SUM(DATOS_[[#This Row],[Conc.Sal.01]:[Conc.Sal.30]])</f>
        <v>0</v>
      </c>
      <c r="CE845" s="139" t="n">
        <f aca="false">+DATOS_[[#This Row],[SALARIO BASE Ef]]+DATOS_[[#This Row],[Tot COMPL.SAL Ef]]</f>
        <v>0</v>
      </c>
      <c r="CF845" s="139" t="n">
        <f aca="false">+SUM(DATOS_[[#This Row],[C.Extra.01]:[C.Extra.05]])</f>
        <v>0</v>
      </c>
      <c r="CG845" s="139" t="n">
        <f aca="false">+DATOS_[[#This Row],[TOTAL SALARIO Ef]]+DATOS_[[#This Row],[Tot Extrasalarial Ef]]</f>
        <v>0</v>
      </c>
      <c r="CH845" s="140" t="n">
        <f aca="false">MIN(IF(DATOS_[[#This Row],[Fecha Fin Contrato]]="",$D$4,DATOS_[[#This Row],[Fecha Fin Contrato]]),$D$4)-MAX(DATOS_[[#This Row],[Fecha de Contratación]],$D$3)+1</f>
        <v>1</v>
      </c>
      <c r="CI845" s="141" t="str">
        <f aca="false">IF(COUNTIFS(DATOS_[id],DATOS_[[#This Row],[id]])&gt;1,DATOS_[[#This Row],[id]],"")</f>
        <v/>
      </c>
      <c r="CJ845" s="141" t="n">
        <f aca="false">(Inicio!$G$10-DATOS_[[#This Row],[Fecha Nacimiento]])/365.25</f>
        <v>0</v>
      </c>
      <c r="CK845" s="141" t="n">
        <f aca="false">(Inicio!$G$10-DATOS_[[#This Row],[Fecha de Antigüedad]])/365.25</f>
        <v>0</v>
      </c>
      <c r="CL845" s="141" t="e">
        <f aca="false">+VLOOKUP(DATOS_[[#This Row],[Clave de Contrato]],TblTiposContrato13[],3,0)</f>
        <v>#N/A</v>
      </c>
      <c r="CM845" s="141" t="e">
        <f aca="false">+VLOOKUP(DATOS_[[#This Row],[Clave de Contrato]],TblTiposContrato13[],4,0)</f>
        <v>#N/A</v>
      </c>
      <c r="CN845" s="141" t="str">
        <f aca="false">VLOOKUP(DATOS_[[#This Row],[Edad]],CONTRATOS!TblRngEdad,2,1)</f>
        <v>20  o menos</v>
      </c>
      <c r="CO845" s="141" t="str">
        <f aca="false">VLOOKUP(DATOS_[[#This Row],[Antigüedad]],TblRngAntg14[],2,1)</f>
        <v>0 a 1 años</v>
      </c>
    </row>
    <row r="846" customFormat="false" ht="13.8" hidden="false" customHeight="false" outlineLevel="0" collapsed="false">
      <c r="D846" s="128"/>
      <c r="E846" s="129"/>
      <c r="F846" s="129"/>
      <c r="G846" s="129"/>
      <c r="H846" s="130"/>
      <c r="I846" s="131"/>
      <c r="J846" s="128"/>
      <c r="K846" s="132"/>
      <c r="L846" s="132"/>
      <c r="M846" s="133"/>
      <c r="N846" s="133"/>
      <c r="O846" s="133"/>
      <c r="P846" s="129"/>
      <c r="Z846" s="75"/>
      <c r="AA846" s="76"/>
      <c r="AB846" s="76"/>
      <c r="AC846" s="129"/>
      <c r="AD846" s="134"/>
      <c r="AE846" s="134"/>
      <c r="AF846" s="134"/>
      <c r="AG846" s="134"/>
      <c r="AH846" s="134"/>
      <c r="AI846" s="134"/>
      <c r="AJ846" s="134"/>
      <c r="AK846" s="134"/>
      <c r="AL846" s="134"/>
      <c r="AM846" s="134"/>
      <c r="AN846" s="134"/>
      <c r="AO846" s="134"/>
      <c r="AP846" s="134"/>
      <c r="AQ846" s="134"/>
      <c r="AR846" s="134"/>
      <c r="AS846" s="134"/>
      <c r="AT846" s="134"/>
      <c r="AU846" s="134"/>
      <c r="AV846" s="134"/>
      <c r="AW846" s="134"/>
      <c r="AX846" s="134"/>
      <c r="AY846" s="134"/>
      <c r="AZ846" s="134"/>
      <c r="BA846" s="134"/>
      <c r="BB846" s="134"/>
      <c r="BC846" s="134"/>
      <c r="BD846" s="134"/>
      <c r="BE846" s="134"/>
      <c r="BF846" s="134"/>
      <c r="BG846" s="134"/>
      <c r="BH846" s="134"/>
      <c r="BI846" s="134"/>
      <c r="BJ846" s="134"/>
      <c r="BK846" s="134"/>
      <c r="BL846" s="134"/>
      <c r="BM846" s="135"/>
      <c r="BN846" s="136" t="n">
        <f aca="false">+MAX($D$3,DATOS_[[#This Row],[Fecha Inicio Sit. Contract.]])</f>
        <v>0</v>
      </c>
      <c r="BO846" s="136" t="n">
        <f aca="false">+MIN($D$4,DATOS_[[#This Row],[Fecha Fin Sit. Contract.]])</f>
        <v>0</v>
      </c>
      <c r="BP846" s="137" t="n">
        <f aca="false">+DATOS_[[#This Row],[% de jornada]]*IF(DATOS_[[#This Row],[% jornada reducida]]="",1,DATOS_[[#This Row],[% jornada reducida]])</f>
        <v>0</v>
      </c>
      <c r="BQ846" s="137" t="n">
        <f aca="false">+(DATOS_[[#This Row],[F.fin.cal]]-DATOS_[[#This Row],[F.ini.cal]]+1)/($D$4-$D$3+1)</f>
        <v>1</v>
      </c>
      <c r="BR846" s="137" t="str">
        <f aca="false">IF(OR(AND(DATOS_[[#This Row],[Fecha Fin Contrato]]&lt;$D$3,DATOS_[[#This Row],[Fecha Fin Contrato]]&lt;&gt;""),DATOS_[[#This Row],[Fecha de Contratación]]&gt;$D$4),"Fuera","Dentro")</f>
        <v>Dentro</v>
      </c>
      <c r="BS846" s="137" t="str">
        <f aca="false" t="array" ref="BS846:BS846">IF(MAX(IF(DATOS_[id]=DATOS_[[#This Row],[id]],DATOS_[F.fin.cal]))=DATOS_[[#This Row],[F.fin.cal]],"Sí","NO")</f>
        <v>Sí</v>
      </c>
      <c r="BT846" s="137" t="str">
        <f aca="false">IF(AND(DATOS_[[#This Row],[% normaliz]]&lt;&gt;1,DATOS_[[#This Row],[% anualiz]]=1),"Sí","NO")</f>
        <v>Sí</v>
      </c>
      <c r="BU846" s="137" t="str">
        <f aca="false">IF(AND(DATOS_[[#This Row],[% normaliz]]=1,DATOS_[[#This Row],[% anualiz]]&lt;&gt;1),"Sí","NO")</f>
        <v>NO</v>
      </c>
      <c r="BV846" s="137" t="str">
        <f aca="false">IF(AND(DATOS_[[#This Row],[% normaliz]]&lt;&gt;1,DATOS_[[#This Row],[% anualiz]]&lt;&gt;1),"Sí","NO")</f>
        <v>NO</v>
      </c>
      <c r="BW846" s="137" t="str">
        <f aca="false">+IF(DATOS_[[#This Row],[% normaliz]]*DATOS_[[#This Row],[% anualiz]]=1,"NO","Sí")</f>
        <v>Sí</v>
      </c>
      <c r="BX846" s="138" t="e">
        <f aca="false">(DATOS_[[#This Row],[S.BASE]]*(1/DATOS_[[#This Row],[% normaliz]])*(1/DATOS_[[#This Row],[% anualiz]]))*IF(DATOS_[[#This Row],[Check Equiparado]]="Sí",1,0)</f>
        <v>#DIV/0!</v>
      </c>
      <c r="BY8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6" s="138" t="e">
        <f aca="false">+DATOS_[[#This Row],[SALARIO BASE Eq]]+DATOS_[[#This Row],[Tot COMPL.SAL Eq]]</f>
        <v>#DIV/0!</v>
      </c>
      <c r="CA846" s="138" t="e">
        <f aca="false" t="array" ref="CA846:CA8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6" s="138" t="e">
        <f aca="false">+DATOS_[[#This Row],[TOTAL SALARIO Eq]]+DATOS_[[#This Row],[Tot Extrasalarial Eq]]</f>
        <v>#DIV/0!</v>
      </c>
      <c r="CC846" s="139" t="n">
        <f aca="false">DATOS_[[#This Row],[S.BASE]]</f>
        <v>0</v>
      </c>
      <c r="CD846" s="139" t="n">
        <f aca="false">+SUM(DATOS_[[#This Row],[Conc.Sal.01]:[Conc.Sal.30]])</f>
        <v>0</v>
      </c>
      <c r="CE846" s="139" t="n">
        <f aca="false">+DATOS_[[#This Row],[SALARIO BASE Ef]]+DATOS_[[#This Row],[Tot COMPL.SAL Ef]]</f>
        <v>0</v>
      </c>
      <c r="CF846" s="139" t="n">
        <f aca="false">+SUM(DATOS_[[#This Row],[C.Extra.01]:[C.Extra.05]])</f>
        <v>0</v>
      </c>
      <c r="CG846" s="139" t="n">
        <f aca="false">+DATOS_[[#This Row],[TOTAL SALARIO Ef]]+DATOS_[[#This Row],[Tot Extrasalarial Ef]]</f>
        <v>0</v>
      </c>
      <c r="CH846" s="140" t="n">
        <f aca="false">MIN(IF(DATOS_[[#This Row],[Fecha Fin Contrato]]="",$D$4,DATOS_[[#This Row],[Fecha Fin Contrato]]),$D$4)-MAX(DATOS_[[#This Row],[Fecha de Contratación]],$D$3)+1</f>
        <v>1</v>
      </c>
      <c r="CI846" s="141" t="str">
        <f aca="false">IF(COUNTIFS(DATOS_[id],DATOS_[[#This Row],[id]])&gt;1,DATOS_[[#This Row],[id]],"")</f>
        <v/>
      </c>
      <c r="CJ846" s="141" t="n">
        <f aca="false">(Inicio!$G$10-DATOS_[[#This Row],[Fecha Nacimiento]])/365.25</f>
        <v>0</v>
      </c>
      <c r="CK846" s="141" t="n">
        <f aca="false">(Inicio!$G$10-DATOS_[[#This Row],[Fecha de Antigüedad]])/365.25</f>
        <v>0</v>
      </c>
      <c r="CL846" s="141" t="e">
        <f aca="false">+VLOOKUP(DATOS_[[#This Row],[Clave de Contrato]],TblTiposContrato13[],3,0)</f>
        <v>#N/A</v>
      </c>
      <c r="CM846" s="141" t="e">
        <f aca="false">+VLOOKUP(DATOS_[[#This Row],[Clave de Contrato]],TblTiposContrato13[],4,0)</f>
        <v>#N/A</v>
      </c>
      <c r="CN846" s="141" t="str">
        <f aca="false">VLOOKUP(DATOS_[[#This Row],[Edad]],CONTRATOS!TblRngEdad,2,1)</f>
        <v>20  o menos</v>
      </c>
      <c r="CO846" s="141" t="str">
        <f aca="false">VLOOKUP(DATOS_[[#This Row],[Antigüedad]],TblRngAntg14[],2,1)</f>
        <v>0 a 1 años</v>
      </c>
    </row>
    <row r="847" customFormat="false" ht="13.8" hidden="false" customHeight="false" outlineLevel="0" collapsed="false">
      <c r="D847" s="128"/>
      <c r="E847" s="129"/>
      <c r="F847" s="129"/>
      <c r="G847" s="129"/>
      <c r="H847" s="130"/>
      <c r="I847" s="131"/>
      <c r="J847" s="128"/>
      <c r="K847" s="132"/>
      <c r="L847" s="132"/>
      <c r="M847" s="133"/>
      <c r="N847" s="133"/>
      <c r="O847" s="133"/>
      <c r="P847" s="129"/>
      <c r="Z847" s="75"/>
      <c r="AA847" s="76"/>
      <c r="AB847" s="76"/>
      <c r="AC847" s="129"/>
      <c r="AD847" s="134"/>
      <c r="AE847" s="134"/>
      <c r="AF847" s="134"/>
      <c r="AG847" s="134"/>
      <c r="AH847" s="134"/>
      <c r="AI847" s="134"/>
      <c r="AJ847" s="134"/>
      <c r="AK847" s="134"/>
      <c r="AL847" s="134"/>
      <c r="AM847" s="134"/>
      <c r="AN847" s="134"/>
      <c r="AO847" s="134"/>
      <c r="AP847" s="134"/>
      <c r="AQ847" s="134"/>
      <c r="AR847" s="134"/>
      <c r="AS847" s="134"/>
      <c r="AT847" s="134"/>
      <c r="AU847" s="134"/>
      <c r="AV847" s="134"/>
      <c r="AW847" s="134"/>
      <c r="AX847" s="134"/>
      <c r="AY847" s="134"/>
      <c r="AZ847" s="134"/>
      <c r="BA847" s="134"/>
      <c r="BB847" s="134"/>
      <c r="BC847" s="134"/>
      <c r="BD847" s="134"/>
      <c r="BE847" s="134"/>
      <c r="BF847" s="134"/>
      <c r="BG847" s="134"/>
      <c r="BH847" s="134"/>
      <c r="BI847" s="134"/>
      <c r="BJ847" s="134"/>
      <c r="BK847" s="134"/>
      <c r="BL847" s="134"/>
      <c r="BM847" s="135"/>
      <c r="BN847" s="136" t="n">
        <f aca="false">+MAX($D$3,DATOS_[[#This Row],[Fecha Inicio Sit. Contract.]])</f>
        <v>0</v>
      </c>
      <c r="BO847" s="136" t="n">
        <f aca="false">+MIN($D$4,DATOS_[[#This Row],[Fecha Fin Sit. Contract.]])</f>
        <v>0</v>
      </c>
      <c r="BP847" s="137" t="n">
        <f aca="false">+DATOS_[[#This Row],[% de jornada]]*IF(DATOS_[[#This Row],[% jornada reducida]]="",1,DATOS_[[#This Row],[% jornada reducida]])</f>
        <v>0</v>
      </c>
      <c r="BQ847" s="137" t="n">
        <f aca="false">+(DATOS_[[#This Row],[F.fin.cal]]-DATOS_[[#This Row],[F.ini.cal]]+1)/($D$4-$D$3+1)</f>
        <v>1</v>
      </c>
      <c r="BR847" s="137" t="str">
        <f aca="false">IF(OR(AND(DATOS_[[#This Row],[Fecha Fin Contrato]]&lt;$D$3,DATOS_[[#This Row],[Fecha Fin Contrato]]&lt;&gt;""),DATOS_[[#This Row],[Fecha de Contratación]]&gt;$D$4),"Fuera","Dentro")</f>
        <v>Dentro</v>
      </c>
      <c r="BS847" s="137" t="str">
        <f aca="false" t="array" ref="BS847:BS847">IF(MAX(IF(DATOS_[id]=DATOS_[[#This Row],[id]],DATOS_[F.fin.cal]))=DATOS_[[#This Row],[F.fin.cal]],"Sí","NO")</f>
        <v>Sí</v>
      </c>
      <c r="BT847" s="137" t="str">
        <f aca="false">IF(AND(DATOS_[[#This Row],[% normaliz]]&lt;&gt;1,DATOS_[[#This Row],[% anualiz]]=1),"Sí","NO")</f>
        <v>Sí</v>
      </c>
      <c r="BU847" s="137" t="str">
        <f aca="false">IF(AND(DATOS_[[#This Row],[% normaliz]]=1,DATOS_[[#This Row],[% anualiz]]&lt;&gt;1),"Sí","NO")</f>
        <v>NO</v>
      </c>
      <c r="BV847" s="137" t="str">
        <f aca="false">IF(AND(DATOS_[[#This Row],[% normaliz]]&lt;&gt;1,DATOS_[[#This Row],[% anualiz]]&lt;&gt;1),"Sí","NO")</f>
        <v>NO</v>
      </c>
      <c r="BW847" s="137" t="str">
        <f aca="false">+IF(DATOS_[[#This Row],[% normaliz]]*DATOS_[[#This Row],[% anualiz]]=1,"NO","Sí")</f>
        <v>Sí</v>
      </c>
      <c r="BX847" s="138" t="e">
        <f aca="false">(DATOS_[[#This Row],[S.BASE]]*(1/DATOS_[[#This Row],[% normaliz]])*(1/DATOS_[[#This Row],[% anualiz]]))*IF(DATOS_[[#This Row],[Check Equiparado]]="Sí",1,0)</f>
        <v>#DIV/0!</v>
      </c>
      <c r="BY8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7" s="138" t="e">
        <f aca="false">+DATOS_[[#This Row],[SALARIO BASE Eq]]+DATOS_[[#This Row],[Tot COMPL.SAL Eq]]</f>
        <v>#DIV/0!</v>
      </c>
      <c r="CA847" s="138" t="e">
        <f aca="false" t="array" ref="CA847:CA8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7" s="138" t="e">
        <f aca="false">+DATOS_[[#This Row],[TOTAL SALARIO Eq]]+DATOS_[[#This Row],[Tot Extrasalarial Eq]]</f>
        <v>#DIV/0!</v>
      </c>
      <c r="CC847" s="139" t="n">
        <f aca="false">DATOS_[[#This Row],[S.BASE]]</f>
        <v>0</v>
      </c>
      <c r="CD847" s="139" t="n">
        <f aca="false">+SUM(DATOS_[[#This Row],[Conc.Sal.01]:[Conc.Sal.30]])</f>
        <v>0</v>
      </c>
      <c r="CE847" s="139" t="n">
        <f aca="false">+DATOS_[[#This Row],[SALARIO BASE Ef]]+DATOS_[[#This Row],[Tot COMPL.SAL Ef]]</f>
        <v>0</v>
      </c>
      <c r="CF847" s="139" t="n">
        <f aca="false">+SUM(DATOS_[[#This Row],[C.Extra.01]:[C.Extra.05]])</f>
        <v>0</v>
      </c>
      <c r="CG847" s="139" t="n">
        <f aca="false">+DATOS_[[#This Row],[TOTAL SALARIO Ef]]+DATOS_[[#This Row],[Tot Extrasalarial Ef]]</f>
        <v>0</v>
      </c>
      <c r="CH847" s="140" t="n">
        <f aca="false">MIN(IF(DATOS_[[#This Row],[Fecha Fin Contrato]]="",$D$4,DATOS_[[#This Row],[Fecha Fin Contrato]]),$D$4)-MAX(DATOS_[[#This Row],[Fecha de Contratación]],$D$3)+1</f>
        <v>1</v>
      </c>
      <c r="CI847" s="141" t="str">
        <f aca="false">IF(COUNTIFS(DATOS_[id],DATOS_[[#This Row],[id]])&gt;1,DATOS_[[#This Row],[id]],"")</f>
        <v/>
      </c>
      <c r="CJ847" s="141" t="n">
        <f aca="false">(Inicio!$G$10-DATOS_[[#This Row],[Fecha Nacimiento]])/365.25</f>
        <v>0</v>
      </c>
      <c r="CK847" s="141" t="n">
        <f aca="false">(Inicio!$G$10-DATOS_[[#This Row],[Fecha de Antigüedad]])/365.25</f>
        <v>0</v>
      </c>
      <c r="CL847" s="141" t="e">
        <f aca="false">+VLOOKUP(DATOS_[[#This Row],[Clave de Contrato]],TblTiposContrato13[],3,0)</f>
        <v>#N/A</v>
      </c>
      <c r="CM847" s="141" t="e">
        <f aca="false">+VLOOKUP(DATOS_[[#This Row],[Clave de Contrato]],TblTiposContrato13[],4,0)</f>
        <v>#N/A</v>
      </c>
      <c r="CN847" s="141" t="str">
        <f aca="false">VLOOKUP(DATOS_[[#This Row],[Edad]],CONTRATOS!TblRngEdad,2,1)</f>
        <v>20  o menos</v>
      </c>
      <c r="CO847" s="141" t="str">
        <f aca="false">VLOOKUP(DATOS_[[#This Row],[Antigüedad]],TblRngAntg14[],2,1)</f>
        <v>0 a 1 años</v>
      </c>
    </row>
    <row r="848" customFormat="false" ht="13.8" hidden="false" customHeight="false" outlineLevel="0" collapsed="false">
      <c r="D848" s="128"/>
      <c r="E848" s="129"/>
      <c r="F848" s="129"/>
      <c r="G848" s="129"/>
      <c r="H848" s="130"/>
      <c r="I848" s="131"/>
      <c r="J848" s="128"/>
      <c r="K848" s="132"/>
      <c r="L848" s="132"/>
      <c r="M848" s="133"/>
      <c r="N848" s="133"/>
      <c r="O848" s="133"/>
      <c r="P848" s="129"/>
      <c r="Z848" s="75"/>
      <c r="AA848" s="76"/>
      <c r="AB848" s="76"/>
      <c r="AC848" s="129"/>
      <c r="AD848" s="134"/>
      <c r="AE848" s="134"/>
      <c r="AF848" s="134"/>
      <c r="AG848" s="134"/>
      <c r="AH848" s="134"/>
      <c r="AI848" s="134"/>
      <c r="AJ848" s="134"/>
      <c r="AK848" s="134"/>
      <c r="AL848" s="134"/>
      <c r="AM848" s="134"/>
      <c r="AN848" s="134"/>
      <c r="AO848" s="134"/>
      <c r="AP848" s="134"/>
      <c r="AQ848" s="134"/>
      <c r="AR848" s="134"/>
      <c r="AS848" s="134"/>
      <c r="AT848" s="134"/>
      <c r="AU848" s="134"/>
      <c r="AV848" s="134"/>
      <c r="AW848" s="134"/>
      <c r="AX848" s="134"/>
      <c r="AY848" s="134"/>
      <c r="AZ848" s="134"/>
      <c r="BA848" s="134"/>
      <c r="BB848" s="134"/>
      <c r="BC848" s="134"/>
      <c r="BD848" s="134"/>
      <c r="BE848" s="134"/>
      <c r="BF848" s="134"/>
      <c r="BG848" s="134"/>
      <c r="BH848" s="134"/>
      <c r="BI848" s="134"/>
      <c r="BJ848" s="134"/>
      <c r="BK848" s="134"/>
      <c r="BL848" s="134"/>
      <c r="BM848" s="135"/>
      <c r="BN848" s="136" t="n">
        <f aca="false">+MAX($D$3,DATOS_[[#This Row],[Fecha Inicio Sit. Contract.]])</f>
        <v>0</v>
      </c>
      <c r="BO848" s="136" t="n">
        <f aca="false">+MIN($D$4,DATOS_[[#This Row],[Fecha Fin Sit. Contract.]])</f>
        <v>0</v>
      </c>
      <c r="BP848" s="137" t="n">
        <f aca="false">+DATOS_[[#This Row],[% de jornada]]*IF(DATOS_[[#This Row],[% jornada reducida]]="",1,DATOS_[[#This Row],[% jornada reducida]])</f>
        <v>0</v>
      </c>
      <c r="BQ848" s="137" t="n">
        <f aca="false">+(DATOS_[[#This Row],[F.fin.cal]]-DATOS_[[#This Row],[F.ini.cal]]+1)/($D$4-$D$3+1)</f>
        <v>1</v>
      </c>
      <c r="BR848" s="137" t="str">
        <f aca="false">IF(OR(AND(DATOS_[[#This Row],[Fecha Fin Contrato]]&lt;$D$3,DATOS_[[#This Row],[Fecha Fin Contrato]]&lt;&gt;""),DATOS_[[#This Row],[Fecha de Contratación]]&gt;$D$4),"Fuera","Dentro")</f>
        <v>Dentro</v>
      </c>
      <c r="BS848" s="137" t="str">
        <f aca="false" t="array" ref="BS848:BS848">IF(MAX(IF(DATOS_[id]=DATOS_[[#This Row],[id]],DATOS_[F.fin.cal]))=DATOS_[[#This Row],[F.fin.cal]],"Sí","NO")</f>
        <v>Sí</v>
      </c>
      <c r="BT848" s="137" t="str">
        <f aca="false">IF(AND(DATOS_[[#This Row],[% normaliz]]&lt;&gt;1,DATOS_[[#This Row],[% anualiz]]=1),"Sí","NO")</f>
        <v>Sí</v>
      </c>
      <c r="BU848" s="137" t="str">
        <f aca="false">IF(AND(DATOS_[[#This Row],[% normaliz]]=1,DATOS_[[#This Row],[% anualiz]]&lt;&gt;1),"Sí","NO")</f>
        <v>NO</v>
      </c>
      <c r="BV848" s="137" t="str">
        <f aca="false">IF(AND(DATOS_[[#This Row],[% normaliz]]&lt;&gt;1,DATOS_[[#This Row],[% anualiz]]&lt;&gt;1),"Sí","NO")</f>
        <v>NO</v>
      </c>
      <c r="BW848" s="137" t="str">
        <f aca="false">+IF(DATOS_[[#This Row],[% normaliz]]*DATOS_[[#This Row],[% anualiz]]=1,"NO","Sí")</f>
        <v>Sí</v>
      </c>
      <c r="BX848" s="138" t="e">
        <f aca="false">(DATOS_[[#This Row],[S.BASE]]*(1/DATOS_[[#This Row],[% normaliz]])*(1/DATOS_[[#This Row],[% anualiz]]))*IF(DATOS_[[#This Row],[Check Equiparado]]="Sí",1,0)</f>
        <v>#DIV/0!</v>
      </c>
      <c r="BY8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8" s="138" t="e">
        <f aca="false">+DATOS_[[#This Row],[SALARIO BASE Eq]]+DATOS_[[#This Row],[Tot COMPL.SAL Eq]]</f>
        <v>#DIV/0!</v>
      </c>
      <c r="CA848" s="138" t="e">
        <f aca="false" t="array" ref="CA848:CA8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8" s="138" t="e">
        <f aca="false">+DATOS_[[#This Row],[TOTAL SALARIO Eq]]+DATOS_[[#This Row],[Tot Extrasalarial Eq]]</f>
        <v>#DIV/0!</v>
      </c>
      <c r="CC848" s="139" t="n">
        <f aca="false">DATOS_[[#This Row],[S.BASE]]</f>
        <v>0</v>
      </c>
      <c r="CD848" s="139" t="n">
        <f aca="false">+SUM(DATOS_[[#This Row],[Conc.Sal.01]:[Conc.Sal.30]])</f>
        <v>0</v>
      </c>
      <c r="CE848" s="139" t="n">
        <f aca="false">+DATOS_[[#This Row],[SALARIO BASE Ef]]+DATOS_[[#This Row],[Tot COMPL.SAL Ef]]</f>
        <v>0</v>
      </c>
      <c r="CF848" s="139" t="n">
        <f aca="false">+SUM(DATOS_[[#This Row],[C.Extra.01]:[C.Extra.05]])</f>
        <v>0</v>
      </c>
      <c r="CG848" s="139" t="n">
        <f aca="false">+DATOS_[[#This Row],[TOTAL SALARIO Ef]]+DATOS_[[#This Row],[Tot Extrasalarial Ef]]</f>
        <v>0</v>
      </c>
      <c r="CH848" s="140" t="n">
        <f aca="false">MIN(IF(DATOS_[[#This Row],[Fecha Fin Contrato]]="",$D$4,DATOS_[[#This Row],[Fecha Fin Contrato]]),$D$4)-MAX(DATOS_[[#This Row],[Fecha de Contratación]],$D$3)+1</f>
        <v>1</v>
      </c>
      <c r="CI848" s="141" t="str">
        <f aca="false">IF(COUNTIFS(DATOS_[id],DATOS_[[#This Row],[id]])&gt;1,DATOS_[[#This Row],[id]],"")</f>
        <v/>
      </c>
      <c r="CJ848" s="141" t="n">
        <f aca="false">(Inicio!$G$10-DATOS_[[#This Row],[Fecha Nacimiento]])/365.25</f>
        <v>0</v>
      </c>
      <c r="CK848" s="141" t="n">
        <f aca="false">(Inicio!$G$10-DATOS_[[#This Row],[Fecha de Antigüedad]])/365.25</f>
        <v>0</v>
      </c>
      <c r="CL848" s="141" t="e">
        <f aca="false">+VLOOKUP(DATOS_[[#This Row],[Clave de Contrato]],TblTiposContrato13[],3,0)</f>
        <v>#N/A</v>
      </c>
      <c r="CM848" s="141" t="e">
        <f aca="false">+VLOOKUP(DATOS_[[#This Row],[Clave de Contrato]],TblTiposContrato13[],4,0)</f>
        <v>#N/A</v>
      </c>
      <c r="CN848" s="141" t="str">
        <f aca="false">VLOOKUP(DATOS_[[#This Row],[Edad]],CONTRATOS!TblRngEdad,2,1)</f>
        <v>20  o menos</v>
      </c>
      <c r="CO848" s="141" t="str">
        <f aca="false">VLOOKUP(DATOS_[[#This Row],[Antigüedad]],TblRngAntg14[],2,1)</f>
        <v>0 a 1 años</v>
      </c>
    </row>
    <row r="849" customFormat="false" ht="13.8" hidden="false" customHeight="false" outlineLevel="0" collapsed="false">
      <c r="D849" s="128"/>
      <c r="E849" s="129"/>
      <c r="F849" s="129"/>
      <c r="G849" s="129"/>
      <c r="H849" s="130"/>
      <c r="I849" s="131"/>
      <c r="J849" s="128"/>
      <c r="K849" s="132"/>
      <c r="L849" s="132"/>
      <c r="M849" s="133"/>
      <c r="N849" s="133"/>
      <c r="O849" s="133"/>
      <c r="P849" s="129"/>
      <c r="Z849" s="75"/>
      <c r="AA849" s="76"/>
      <c r="AB849" s="76"/>
      <c r="AC849" s="129"/>
      <c r="AD849" s="134"/>
      <c r="AE849" s="134"/>
      <c r="AF849" s="134"/>
      <c r="AG849" s="134"/>
      <c r="AH849" s="134"/>
      <c r="AI849" s="134"/>
      <c r="AJ849" s="134"/>
      <c r="AK849" s="134"/>
      <c r="AL849" s="134"/>
      <c r="AM849" s="134"/>
      <c r="AN849" s="134"/>
      <c r="AO849" s="134"/>
      <c r="AP849" s="134"/>
      <c r="AQ849" s="134"/>
      <c r="AR849" s="134"/>
      <c r="AS849" s="134"/>
      <c r="AT849" s="134"/>
      <c r="AU849" s="134"/>
      <c r="AV849" s="134"/>
      <c r="AW849" s="134"/>
      <c r="AX849" s="134"/>
      <c r="AY849" s="134"/>
      <c r="AZ849" s="134"/>
      <c r="BA849" s="134"/>
      <c r="BB849" s="134"/>
      <c r="BC849" s="134"/>
      <c r="BD849" s="134"/>
      <c r="BE849" s="134"/>
      <c r="BF849" s="134"/>
      <c r="BG849" s="134"/>
      <c r="BH849" s="134"/>
      <c r="BI849" s="134"/>
      <c r="BJ849" s="134"/>
      <c r="BK849" s="134"/>
      <c r="BL849" s="134"/>
      <c r="BM849" s="135"/>
      <c r="BN849" s="136" t="n">
        <f aca="false">+MAX($D$3,DATOS_[[#This Row],[Fecha Inicio Sit. Contract.]])</f>
        <v>0</v>
      </c>
      <c r="BO849" s="136" t="n">
        <f aca="false">+MIN($D$4,DATOS_[[#This Row],[Fecha Fin Sit. Contract.]])</f>
        <v>0</v>
      </c>
      <c r="BP849" s="137" t="n">
        <f aca="false">+DATOS_[[#This Row],[% de jornada]]*IF(DATOS_[[#This Row],[% jornada reducida]]="",1,DATOS_[[#This Row],[% jornada reducida]])</f>
        <v>0</v>
      </c>
      <c r="BQ849" s="137" t="n">
        <f aca="false">+(DATOS_[[#This Row],[F.fin.cal]]-DATOS_[[#This Row],[F.ini.cal]]+1)/($D$4-$D$3+1)</f>
        <v>1</v>
      </c>
      <c r="BR849" s="137" t="str">
        <f aca="false">IF(OR(AND(DATOS_[[#This Row],[Fecha Fin Contrato]]&lt;$D$3,DATOS_[[#This Row],[Fecha Fin Contrato]]&lt;&gt;""),DATOS_[[#This Row],[Fecha de Contratación]]&gt;$D$4),"Fuera","Dentro")</f>
        <v>Dentro</v>
      </c>
      <c r="BS849" s="137" t="str">
        <f aca="false" t="array" ref="BS849:BS849">IF(MAX(IF(DATOS_[id]=DATOS_[[#This Row],[id]],DATOS_[F.fin.cal]))=DATOS_[[#This Row],[F.fin.cal]],"Sí","NO")</f>
        <v>Sí</v>
      </c>
      <c r="BT849" s="137" t="str">
        <f aca="false">IF(AND(DATOS_[[#This Row],[% normaliz]]&lt;&gt;1,DATOS_[[#This Row],[% anualiz]]=1),"Sí","NO")</f>
        <v>Sí</v>
      </c>
      <c r="BU849" s="137" t="str">
        <f aca="false">IF(AND(DATOS_[[#This Row],[% normaliz]]=1,DATOS_[[#This Row],[% anualiz]]&lt;&gt;1),"Sí","NO")</f>
        <v>NO</v>
      </c>
      <c r="BV849" s="137" t="str">
        <f aca="false">IF(AND(DATOS_[[#This Row],[% normaliz]]&lt;&gt;1,DATOS_[[#This Row],[% anualiz]]&lt;&gt;1),"Sí","NO")</f>
        <v>NO</v>
      </c>
      <c r="BW849" s="137" t="str">
        <f aca="false">+IF(DATOS_[[#This Row],[% normaliz]]*DATOS_[[#This Row],[% anualiz]]=1,"NO","Sí")</f>
        <v>Sí</v>
      </c>
      <c r="BX849" s="138" t="e">
        <f aca="false">(DATOS_[[#This Row],[S.BASE]]*(1/DATOS_[[#This Row],[% normaliz]])*(1/DATOS_[[#This Row],[% anualiz]]))*IF(DATOS_[[#This Row],[Check Equiparado]]="Sí",1,0)</f>
        <v>#DIV/0!</v>
      </c>
      <c r="BY8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9" s="138" t="e">
        <f aca="false">+DATOS_[[#This Row],[SALARIO BASE Eq]]+DATOS_[[#This Row],[Tot COMPL.SAL Eq]]</f>
        <v>#DIV/0!</v>
      </c>
      <c r="CA849" s="138" t="e">
        <f aca="false" t="array" ref="CA849:CA8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9" s="138" t="e">
        <f aca="false">+DATOS_[[#This Row],[TOTAL SALARIO Eq]]+DATOS_[[#This Row],[Tot Extrasalarial Eq]]</f>
        <v>#DIV/0!</v>
      </c>
      <c r="CC849" s="139" t="n">
        <f aca="false">DATOS_[[#This Row],[S.BASE]]</f>
        <v>0</v>
      </c>
      <c r="CD849" s="139" t="n">
        <f aca="false">+SUM(DATOS_[[#This Row],[Conc.Sal.01]:[Conc.Sal.30]])</f>
        <v>0</v>
      </c>
      <c r="CE849" s="139" t="n">
        <f aca="false">+DATOS_[[#This Row],[SALARIO BASE Ef]]+DATOS_[[#This Row],[Tot COMPL.SAL Ef]]</f>
        <v>0</v>
      </c>
      <c r="CF849" s="139" t="n">
        <f aca="false">+SUM(DATOS_[[#This Row],[C.Extra.01]:[C.Extra.05]])</f>
        <v>0</v>
      </c>
      <c r="CG849" s="139" t="n">
        <f aca="false">+DATOS_[[#This Row],[TOTAL SALARIO Ef]]+DATOS_[[#This Row],[Tot Extrasalarial Ef]]</f>
        <v>0</v>
      </c>
      <c r="CH849" s="140" t="n">
        <f aca="false">MIN(IF(DATOS_[[#This Row],[Fecha Fin Contrato]]="",$D$4,DATOS_[[#This Row],[Fecha Fin Contrato]]),$D$4)-MAX(DATOS_[[#This Row],[Fecha de Contratación]],$D$3)+1</f>
        <v>1</v>
      </c>
      <c r="CI849" s="141" t="str">
        <f aca="false">IF(COUNTIFS(DATOS_[id],DATOS_[[#This Row],[id]])&gt;1,DATOS_[[#This Row],[id]],"")</f>
        <v/>
      </c>
      <c r="CJ849" s="141" t="n">
        <f aca="false">(Inicio!$G$10-DATOS_[[#This Row],[Fecha Nacimiento]])/365.25</f>
        <v>0</v>
      </c>
      <c r="CK849" s="141" t="n">
        <f aca="false">(Inicio!$G$10-DATOS_[[#This Row],[Fecha de Antigüedad]])/365.25</f>
        <v>0</v>
      </c>
      <c r="CL849" s="141" t="e">
        <f aca="false">+VLOOKUP(DATOS_[[#This Row],[Clave de Contrato]],TblTiposContrato13[],3,0)</f>
        <v>#N/A</v>
      </c>
      <c r="CM849" s="141" t="e">
        <f aca="false">+VLOOKUP(DATOS_[[#This Row],[Clave de Contrato]],TblTiposContrato13[],4,0)</f>
        <v>#N/A</v>
      </c>
      <c r="CN849" s="141" t="str">
        <f aca="false">VLOOKUP(DATOS_[[#This Row],[Edad]],CONTRATOS!TblRngEdad,2,1)</f>
        <v>20  o menos</v>
      </c>
      <c r="CO849" s="141" t="str">
        <f aca="false">VLOOKUP(DATOS_[[#This Row],[Antigüedad]],TblRngAntg14[],2,1)</f>
        <v>0 a 1 años</v>
      </c>
    </row>
    <row r="850" customFormat="false" ht="13.8" hidden="false" customHeight="false" outlineLevel="0" collapsed="false">
      <c r="D850" s="128"/>
      <c r="E850" s="129"/>
      <c r="F850" s="129"/>
      <c r="G850" s="129"/>
      <c r="H850" s="130"/>
      <c r="I850" s="131"/>
      <c r="J850" s="128"/>
      <c r="K850" s="132"/>
      <c r="L850" s="132"/>
      <c r="M850" s="133"/>
      <c r="N850" s="133"/>
      <c r="O850" s="133"/>
      <c r="P850" s="129"/>
      <c r="Z850" s="75"/>
      <c r="AA850" s="76"/>
      <c r="AB850" s="76"/>
      <c r="AC850" s="129"/>
      <c r="AD850" s="134"/>
      <c r="AE850" s="134"/>
      <c r="AF850" s="134"/>
      <c r="AG850" s="134"/>
      <c r="AH850" s="134"/>
      <c r="AI850" s="134"/>
      <c r="AJ850" s="134"/>
      <c r="AK850" s="134"/>
      <c r="AL850" s="134"/>
      <c r="AM850" s="134"/>
      <c r="AN850" s="134"/>
      <c r="AO850" s="134"/>
      <c r="AP850" s="134"/>
      <c r="AQ850" s="134"/>
      <c r="AR850" s="134"/>
      <c r="AS850" s="134"/>
      <c r="AT850" s="134"/>
      <c r="AU850" s="134"/>
      <c r="AV850" s="134"/>
      <c r="AW850" s="134"/>
      <c r="AX850" s="134"/>
      <c r="AY850" s="134"/>
      <c r="AZ850" s="134"/>
      <c r="BA850" s="134"/>
      <c r="BB850" s="134"/>
      <c r="BC850" s="134"/>
      <c r="BD850" s="134"/>
      <c r="BE850" s="134"/>
      <c r="BF850" s="134"/>
      <c r="BG850" s="134"/>
      <c r="BH850" s="134"/>
      <c r="BI850" s="134"/>
      <c r="BJ850" s="134"/>
      <c r="BK850" s="134"/>
      <c r="BL850" s="134"/>
      <c r="BM850" s="135"/>
      <c r="BN850" s="136" t="n">
        <f aca="false">+MAX($D$3,DATOS_[[#This Row],[Fecha Inicio Sit. Contract.]])</f>
        <v>0</v>
      </c>
      <c r="BO850" s="136" t="n">
        <f aca="false">+MIN($D$4,DATOS_[[#This Row],[Fecha Fin Sit. Contract.]])</f>
        <v>0</v>
      </c>
      <c r="BP850" s="137" t="n">
        <f aca="false">+DATOS_[[#This Row],[% de jornada]]*IF(DATOS_[[#This Row],[% jornada reducida]]="",1,DATOS_[[#This Row],[% jornada reducida]])</f>
        <v>0</v>
      </c>
      <c r="BQ850" s="137" t="n">
        <f aca="false">+(DATOS_[[#This Row],[F.fin.cal]]-DATOS_[[#This Row],[F.ini.cal]]+1)/($D$4-$D$3+1)</f>
        <v>1</v>
      </c>
      <c r="BR850" s="137" t="str">
        <f aca="false">IF(OR(AND(DATOS_[[#This Row],[Fecha Fin Contrato]]&lt;$D$3,DATOS_[[#This Row],[Fecha Fin Contrato]]&lt;&gt;""),DATOS_[[#This Row],[Fecha de Contratación]]&gt;$D$4),"Fuera","Dentro")</f>
        <v>Dentro</v>
      </c>
      <c r="BS850" s="137" t="str">
        <f aca="false" t="array" ref="BS850:BS850">IF(MAX(IF(DATOS_[id]=DATOS_[[#This Row],[id]],DATOS_[F.fin.cal]))=DATOS_[[#This Row],[F.fin.cal]],"Sí","NO")</f>
        <v>Sí</v>
      </c>
      <c r="BT850" s="137" t="str">
        <f aca="false">IF(AND(DATOS_[[#This Row],[% normaliz]]&lt;&gt;1,DATOS_[[#This Row],[% anualiz]]=1),"Sí","NO")</f>
        <v>Sí</v>
      </c>
      <c r="BU850" s="137" t="str">
        <f aca="false">IF(AND(DATOS_[[#This Row],[% normaliz]]=1,DATOS_[[#This Row],[% anualiz]]&lt;&gt;1),"Sí","NO")</f>
        <v>NO</v>
      </c>
      <c r="BV850" s="137" t="str">
        <f aca="false">IF(AND(DATOS_[[#This Row],[% normaliz]]&lt;&gt;1,DATOS_[[#This Row],[% anualiz]]&lt;&gt;1),"Sí","NO")</f>
        <v>NO</v>
      </c>
      <c r="BW850" s="137" t="str">
        <f aca="false">+IF(DATOS_[[#This Row],[% normaliz]]*DATOS_[[#This Row],[% anualiz]]=1,"NO","Sí")</f>
        <v>Sí</v>
      </c>
      <c r="BX850" s="138" t="e">
        <f aca="false">(DATOS_[[#This Row],[S.BASE]]*(1/DATOS_[[#This Row],[% normaliz]])*(1/DATOS_[[#This Row],[% anualiz]]))*IF(DATOS_[[#This Row],[Check Equiparado]]="Sí",1,0)</f>
        <v>#DIV/0!</v>
      </c>
      <c r="BY8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0" s="138" t="e">
        <f aca="false">+DATOS_[[#This Row],[SALARIO BASE Eq]]+DATOS_[[#This Row],[Tot COMPL.SAL Eq]]</f>
        <v>#DIV/0!</v>
      </c>
      <c r="CA850" s="138" t="e">
        <f aca="false" t="array" ref="CA850:CA8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0" s="138" t="e">
        <f aca="false">+DATOS_[[#This Row],[TOTAL SALARIO Eq]]+DATOS_[[#This Row],[Tot Extrasalarial Eq]]</f>
        <v>#DIV/0!</v>
      </c>
      <c r="CC850" s="139" t="n">
        <f aca="false">DATOS_[[#This Row],[S.BASE]]</f>
        <v>0</v>
      </c>
      <c r="CD850" s="139" t="n">
        <f aca="false">+SUM(DATOS_[[#This Row],[Conc.Sal.01]:[Conc.Sal.30]])</f>
        <v>0</v>
      </c>
      <c r="CE850" s="139" t="n">
        <f aca="false">+DATOS_[[#This Row],[SALARIO BASE Ef]]+DATOS_[[#This Row],[Tot COMPL.SAL Ef]]</f>
        <v>0</v>
      </c>
      <c r="CF850" s="139" t="n">
        <f aca="false">+SUM(DATOS_[[#This Row],[C.Extra.01]:[C.Extra.05]])</f>
        <v>0</v>
      </c>
      <c r="CG850" s="139" t="n">
        <f aca="false">+DATOS_[[#This Row],[TOTAL SALARIO Ef]]+DATOS_[[#This Row],[Tot Extrasalarial Ef]]</f>
        <v>0</v>
      </c>
      <c r="CH850" s="140" t="n">
        <f aca="false">MIN(IF(DATOS_[[#This Row],[Fecha Fin Contrato]]="",$D$4,DATOS_[[#This Row],[Fecha Fin Contrato]]),$D$4)-MAX(DATOS_[[#This Row],[Fecha de Contratación]],$D$3)+1</f>
        <v>1</v>
      </c>
      <c r="CI850" s="141" t="str">
        <f aca="false">IF(COUNTIFS(DATOS_[id],DATOS_[[#This Row],[id]])&gt;1,DATOS_[[#This Row],[id]],"")</f>
        <v/>
      </c>
      <c r="CJ850" s="141" t="n">
        <f aca="false">(Inicio!$G$10-DATOS_[[#This Row],[Fecha Nacimiento]])/365.25</f>
        <v>0</v>
      </c>
      <c r="CK850" s="141" t="n">
        <f aca="false">(Inicio!$G$10-DATOS_[[#This Row],[Fecha de Antigüedad]])/365.25</f>
        <v>0</v>
      </c>
      <c r="CL850" s="141" t="e">
        <f aca="false">+VLOOKUP(DATOS_[[#This Row],[Clave de Contrato]],TblTiposContrato13[],3,0)</f>
        <v>#N/A</v>
      </c>
      <c r="CM850" s="141" t="e">
        <f aca="false">+VLOOKUP(DATOS_[[#This Row],[Clave de Contrato]],TblTiposContrato13[],4,0)</f>
        <v>#N/A</v>
      </c>
      <c r="CN850" s="141" t="str">
        <f aca="false">VLOOKUP(DATOS_[[#This Row],[Edad]],CONTRATOS!TblRngEdad,2,1)</f>
        <v>20  o menos</v>
      </c>
      <c r="CO850" s="141" t="str">
        <f aca="false">VLOOKUP(DATOS_[[#This Row],[Antigüedad]],TblRngAntg14[],2,1)</f>
        <v>0 a 1 años</v>
      </c>
    </row>
    <row r="851" customFormat="false" ht="13.8" hidden="false" customHeight="false" outlineLevel="0" collapsed="false">
      <c r="D851" s="128"/>
      <c r="E851" s="129"/>
      <c r="F851" s="129"/>
      <c r="G851" s="129"/>
      <c r="H851" s="130"/>
      <c r="I851" s="131"/>
      <c r="J851" s="128"/>
      <c r="K851" s="132"/>
      <c r="L851" s="132"/>
      <c r="M851" s="133"/>
      <c r="N851" s="133"/>
      <c r="O851" s="133"/>
      <c r="P851" s="129"/>
      <c r="Z851" s="75"/>
      <c r="AA851" s="76"/>
      <c r="AB851" s="76"/>
      <c r="AC851" s="129"/>
      <c r="AD851" s="134"/>
      <c r="AE851" s="134"/>
      <c r="AF851" s="134"/>
      <c r="AG851" s="134"/>
      <c r="AH851" s="134"/>
      <c r="AI851" s="134"/>
      <c r="AJ851" s="134"/>
      <c r="AK851" s="134"/>
      <c r="AL851" s="134"/>
      <c r="AM851" s="134"/>
      <c r="AN851" s="134"/>
      <c r="AO851" s="134"/>
      <c r="AP851" s="134"/>
      <c r="AQ851" s="134"/>
      <c r="AR851" s="134"/>
      <c r="AS851" s="134"/>
      <c r="AT851" s="134"/>
      <c r="AU851" s="134"/>
      <c r="AV851" s="134"/>
      <c r="AW851" s="134"/>
      <c r="AX851" s="134"/>
      <c r="AY851" s="134"/>
      <c r="AZ851" s="134"/>
      <c r="BA851" s="134"/>
      <c r="BB851" s="134"/>
      <c r="BC851" s="134"/>
      <c r="BD851" s="134"/>
      <c r="BE851" s="134"/>
      <c r="BF851" s="134"/>
      <c r="BG851" s="134"/>
      <c r="BH851" s="134"/>
      <c r="BI851" s="134"/>
      <c r="BJ851" s="134"/>
      <c r="BK851" s="134"/>
      <c r="BL851" s="134"/>
      <c r="BM851" s="135"/>
      <c r="BN851" s="136" t="n">
        <f aca="false">+MAX($D$3,DATOS_[[#This Row],[Fecha Inicio Sit. Contract.]])</f>
        <v>0</v>
      </c>
      <c r="BO851" s="136" t="n">
        <f aca="false">+MIN($D$4,DATOS_[[#This Row],[Fecha Fin Sit. Contract.]])</f>
        <v>0</v>
      </c>
      <c r="BP851" s="137" t="n">
        <f aca="false">+DATOS_[[#This Row],[% de jornada]]*IF(DATOS_[[#This Row],[% jornada reducida]]="",1,DATOS_[[#This Row],[% jornada reducida]])</f>
        <v>0</v>
      </c>
      <c r="BQ851" s="137" t="n">
        <f aca="false">+(DATOS_[[#This Row],[F.fin.cal]]-DATOS_[[#This Row],[F.ini.cal]]+1)/($D$4-$D$3+1)</f>
        <v>1</v>
      </c>
      <c r="BR851" s="137" t="str">
        <f aca="false">IF(OR(AND(DATOS_[[#This Row],[Fecha Fin Contrato]]&lt;$D$3,DATOS_[[#This Row],[Fecha Fin Contrato]]&lt;&gt;""),DATOS_[[#This Row],[Fecha de Contratación]]&gt;$D$4),"Fuera","Dentro")</f>
        <v>Dentro</v>
      </c>
      <c r="BS851" s="137" t="str">
        <f aca="false" t="array" ref="BS851:BS851">IF(MAX(IF(DATOS_[id]=DATOS_[[#This Row],[id]],DATOS_[F.fin.cal]))=DATOS_[[#This Row],[F.fin.cal]],"Sí","NO")</f>
        <v>Sí</v>
      </c>
      <c r="BT851" s="137" t="str">
        <f aca="false">IF(AND(DATOS_[[#This Row],[% normaliz]]&lt;&gt;1,DATOS_[[#This Row],[% anualiz]]=1),"Sí","NO")</f>
        <v>Sí</v>
      </c>
      <c r="BU851" s="137" t="str">
        <f aca="false">IF(AND(DATOS_[[#This Row],[% normaliz]]=1,DATOS_[[#This Row],[% anualiz]]&lt;&gt;1),"Sí","NO")</f>
        <v>NO</v>
      </c>
      <c r="BV851" s="137" t="str">
        <f aca="false">IF(AND(DATOS_[[#This Row],[% normaliz]]&lt;&gt;1,DATOS_[[#This Row],[% anualiz]]&lt;&gt;1),"Sí","NO")</f>
        <v>NO</v>
      </c>
      <c r="BW851" s="137" t="str">
        <f aca="false">+IF(DATOS_[[#This Row],[% normaliz]]*DATOS_[[#This Row],[% anualiz]]=1,"NO","Sí")</f>
        <v>Sí</v>
      </c>
      <c r="BX851" s="138" t="e">
        <f aca="false">(DATOS_[[#This Row],[S.BASE]]*(1/DATOS_[[#This Row],[% normaliz]])*(1/DATOS_[[#This Row],[% anualiz]]))*IF(DATOS_[[#This Row],[Check Equiparado]]="Sí",1,0)</f>
        <v>#DIV/0!</v>
      </c>
      <c r="BY8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1" s="138" t="e">
        <f aca="false">+DATOS_[[#This Row],[SALARIO BASE Eq]]+DATOS_[[#This Row],[Tot COMPL.SAL Eq]]</f>
        <v>#DIV/0!</v>
      </c>
      <c r="CA851" s="138" t="e">
        <f aca="false" t="array" ref="CA851:CA8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1" s="138" t="e">
        <f aca="false">+DATOS_[[#This Row],[TOTAL SALARIO Eq]]+DATOS_[[#This Row],[Tot Extrasalarial Eq]]</f>
        <v>#DIV/0!</v>
      </c>
      <c r="CC851" s="139" t="n">
        <f aca="false">DATOS_[[#This Row],[S.BASE]]</f>
        <v>0</v>
      </c>
      <c r="CD851" s="139" t="n">
        <f aca="false">+SUM(DATOS_[[#This Row],[Conc.Sal.01]:[Conc.Sal.30]])</f>
        <v>0</v>
      </c>
      <c r="CE851" s="139" t="n">
        <f aca="false">+DATOS_[[#This Row],[SALARIO BASE Ef]]+DATOS_[[#This Row],[Tot COMPL.SAL Ef]]</f>
        <v>0</v>
      </c>
      <c r="CF851" s="139" t="n">
        <f aca="false">+SUM(DATOS_[[#This Row],[C.Extra.01]:[C.Extra.05]])</f>
        <v>0</v>
      </c>
      <c r="CG851" s="139" t="n">
        <f aca="false">+DATOS_[[#This Row],[TOTAL SALARIO Ef]]+DATOS_[[#This Row],[Tot Extrasalarial Ef]]</f>
        <v>0</v>
      </c>
      <c r="CH851" s="140" t="n">
        <f aca="false">MIN(IF(DATOS_[[#This Row],[Fecha Fin Contrato]]="",$D$4,DATOS_[[#This Row],[Fecha Fin Contrato]]),$D$4)-MAX(DATOS_[[#This Row],[Fecha de Contratación]],$D$3)+1</f>
        <v>1</v>
      </c>
      <c r="CI851" s="141" t="str">
        <f aca="false">IF(COUNTIFS(DATOS_[id],DATOS_[[#This Row],[id]])&gt;1,DATOS_[[#This Row],[id]],"")</f>
        <v/>
      </c>
      <c r="CJ851" s="141" t="n">
        <f aca="false">(Inicio!$G$10-DATOS_[[#This Row],[Fecha Nacimiento]])/365.25</f>
        <v>0</v>
      </c>
      <c r="CK851" s="141" t="n">
        <f aca="false">(Inicio!$G$10-DATOS_[[#This Row],[Fecha de Antigüedad]])/365.25</f>
        <v>0</v>
      </c>
      <c r="CL851" s="141" t="e">
        <f aca="false">+VLOOKUP(DATOS_[[#This Row],[Clave de Contrato]],TblTiposContrato13[],3,0)</f>
        <v>#N/A</v>
      </c>
      <c r="CM851" s="141" t="e">
        <f aca="false">+VLOOKUP(DATOS_[[#This Row],[Clave de Contrato]],TblTiposContrato13[],4,0)</f>
        <v>#N/A</v>
      </c>
      <c r="CN851" s="141" t="str">
        <f aca="false">VLOOKUP(DATOS_[[#This Row],[Edad]],CONTRATOS!TblRngEdad,2,1)</f>
        <v>20  o menos</v>
      </c>
      <c r="CO851" s="141" t="str">
        <f aca="false">VLOOKUP(DATOS_[[#This Row],[Antigüedad]],TblRngAntg14[],2,1)</f>
        <v>0 a 1 años</v>
      </c>
    </row>
    <row r="852" customFormat="false" ht="13.8" hidden="false" customHeight="false" outlineLevel="0" collapsed="false">
      <c r="D852" s="128"/>
      <c r="E852" s="129"/>
      <c r="F852" s="129"/>
      <c r="G852" s="129"/>
      <c r="H852" s="130"/>
      <c r="I852" s="131"/>
      <c r="J852" s="128"/>
      <c r="K852" s="132"/>
      <c r="L852" s="132"/>
      <c r="M852" s="133"/>
      <c r="N852" s="133"/>
      <c r="O852" s="133"/>
      <c r="P852" s="129"/>
      <c r="Z852" s="75"/>
      <c r="AA852" s="76"/>
      <c r="AB852" s="76"/>
      <c r="AC852" s="129"/>
      <c r="AD852" s="134"/>
      <c r="AE852" s="134"/>
      <c r="AF852" s="134"/>
      <c r="AG852" s="134"/>
      <c r="AH852" s="134"/>
      <c r="AI852" s="134"/>
      <c r="AJ852" s="134"/>
      <c r="AK852" s="134"/>
      <c r="AL852" s="134"/>
      <c r="AM852" s="134"/>
      <c r="AN852" s="134"/>
      <c r="AO852" s="134"/>
      <c r="AP852" s="134"/>
      <c r="AQ852" s="134"/>
      <c r="AR852" s="134"/>
      <c r="AS852" s="134"/>
      <c r="AT852" s="134"/>
      <c r="AU852" s="134"/>
      <c r="AV852" s="134"/>
      <c r="AW852" s="134"/>
      <c r="AX852" s="134"/>
      <c r="AY852" s="134"/>
      <c r="AZ852" s="134"/>
      <c r="BA852" s="134"/>
      <c r="BB852" s="134"/>
      <c r="BC852" s="134"/>
      <c r="BD852" s="134"/>
      <c r="BE852" s="134"/>
      <c r="BF852" s="134"/>
      <c r="BG852" s="134"/>
      <c r="BH852" s="134"/>
      <c r="BI852" s="134"/>
      <c r="BJ852" s="134"/>
      <c r="BK852" s="134"/>
      <c r="BL852" s="134"/>
      <c r="BM852" s="135"/>
      <c r="BN852" s="136" t="n">
        <f aca="false">+MAX($D$3,DATOS_[[#This Row],[Fecha Inicio Sit. Contract.]])</f>
        <v>0</v>
      </c>
      <c r="BO852" s="136" t="n">
        <f aca="false">+MIN($D$4,DATOS_[[#This Row],[Fecha Fin Sit. Contract.]])</f>
        <v>0</v>
      </c>
      <c r="BP852" s="137" t="n">
        <f aca="false">+DATOS_[[#This Row],[% de jornada]]*IF(DATOS_[[#This Row],[% jornada reducida]]="",1,DATOS_[[#This Row],[% jornada reducida]])</f>
        <v>0</v>
      </c>
      <c r="BQ852" s="137" t="n">
        <f aca="false">+(DATOS_[[#This Row],[F.fin.cal]]-DATOS_[[#This Row],[F.ini.cal]]+1)/($D$4-$D$3+1)</f>
        <v>1</v>
      </c>
      <c r="BR852" s="137" t="str">
        <f aca="false">IF(OR(AND(DATOS_[[#This Row],[Fecha Fin Contrato]]&lt;$D$3,DATOS_[[#This Row],[Fecha Fin Contrato]]&lt;&gt;""),DATOS_[[#This Row],[Fecha de Contratación]]&gt;$D$4),"Fuera","Dentro")</f>
        <v>Dentro</v>
      </c>
      <c r="BS852" s="137" t="str">
        <f aca="false" t="array" ref="BS852:BS852">IF(MAX(IF(DATOS_[id]=DATOS_[[#This Row],[id]],DATOS_[F.fin.cal]))=DATOS_[[#This Row],[F.fin.cal]],"Sí","NO")</f>
        <v>Sí</v>
      </c>
      <c r="BT852" s="137" t="str">
        <f aca="false">IF(AND(DATOS_[[#This Row],[% normaliz]]&lt;&gt;1,DATOS_[[#This Row],[% anualiz]]=1),"Sí","NO")</f>
        <v>Sí</v>
      </c>
      <c r="BU852" s="137" t="str">
        <f aca="false">IF(AND(DATOS_[[#This Row],[% normaliz]]=1,DATOS_[[#This Row],[% anualiz]]&lt;&gt;1),"Sí","NO")</f>
        <v>NO</v>
      </c>
      <c r="BV852" s="137" t="str">
        <f aca="false">IF(AND(DATOS_[[#This Row],[% normaliz]]&lt;&gt;1,DATOS_[[#This Row],[% anualiz]]&lt;&gt;1),"Sí","NO")</f>
        <v>NO</v>
      </c>
      <c r="BW852" s="137" t="str">
        <f aca="false">+IF(DATOS_[[#This Row],[% normaliz]]*DATOS_[[#This Row],[% anualiz]]=1,"NO","Sí")</f>
        <v>Sí</v>
      </c>
      <c r="BX852" s="138" t="e">
        <f aca="false">(DATOS_[[#This Row],[S.BASE]]*(1/DATOS_[[#This Row],[% normaliz]])*(1/DATOS_[[#This Row],[% anualiz]]))*IF(DATOS_[[#This Row],[Check Equiparado]]="Sí",1,0)</f>
        <v>#DIV/0!</v>
      </c>
      <c r="BY8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2" s="138" t="e">
        <f aca="false">+DATOS_[[#This Row],[SALARIO BASE Eq]]+DATOS_[[#This Row],[Tot COMPL.SAL Eq]]</f>
        <v>#DIV/0!</v>
      </c>
      <c r="CA852" s="138" t="e">
        <f aca="false" t="array" ref="CA852:CA8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2" s="138" t="e">
        <f aca="false">+DATOS_[[#This Row],[TOTAL SALARIO Eq]]+DATOS_[[#This Row],[Tot Extrasalarial Eq]]</f>
        <v>#DIV/0!</v>
      </c>
      <c r="CC852" s="139" t="n">
        <f aca="false">DATOS_[[#This Row],[S.BASE]]</f>
        <v>0</v>
      </c>
      <c r="CD852" s="139" t="n">
        <f aca="false">+SUM(DATOS_[[#This Row],[Conc.Sal.01]:[Conc.Sal.30]])</f>
        <v>0</v>
      </c>
      <c r="CE852" s="139" t="n">
        <f aca="false">+DATOS_[[#This Row],[SALARIO BASE Ef]]+DATOS_[[#This Row],[Tot COMPL.SAL Ef]]</f>
        <v>0</v>
      </c>
      <c r="CF852" s="139" t="n">
        <f aca="false">+SUM(DATOS_[[#This Row],[C.Extra.01]:[C.Extra.05]])</f>
        <v>0</v>
      </c>
      <c r="CG852" s="139" t="n">
        <f aca="false">+DATOS_[[#This Row],[TOTAL SALARIO Ef]]+DATOS_[[#This Row],[Tot Extrasalarial Ef]]</f>
        <v>0</v>
      </c>
      <c r="CH852" s="140" t="n">
        <f aca="false">MIN(IF(DATOS_[[#This Row],[Fecha Fin Contrato]]="",$D$4,DATOS_[[#This Row],[Fecha Fin Contrato]]),$D$4)-MAX(DATOS_[[#This Row],[Fecha de Contratación]],$D$3)+1</f>
        <v>1</v>
      </c>
      <c r="CI852" s="141" t="str">
        <f aca="false">IF(COUNTIFS(DATOS_[id],DATOS_[[#This Row],[id]])&gt;1,DATOS_[[#This Row],[id]],"")</f>
        <v/>
      </c>
      <c r="CJ852" s="141" t="n">
        <f aca="false">(Inicio!$G$10-DATOS_[[#This Row],[Fecha Nacimiento]])/365.25</f>
        <v>0</v>
      </c>
      <c r="CK852" s="141" t="n">
        <f aca="false">(Inicio!$G$10-DATOS_[[#This Row],[Fecha de Antigüedad]])/365.25</f>
        <v>0</v>
      </c>
      <c r="CL852" s="141" t="e">
        <f aca="false">+VLOOKUP(DATOS_[[#This Row],[Clave de Contrato]],TblTiposContrato13[],3,0)</f>
        <v>#N/A</v>
      </c>
      <c r="CM852" s="141" t="e">
        <f aca="false">+VLOOKUP(DATOS_[[#This Row],[Clave de Contrato]],TblTiposContrato13[],4,0)</f>
        <v>#N/A</v>
      </c>
      <c r="CN852" s="141" t="str">
        <f aca="false">VLOOKUP(DATOS_[[#This Row],[Edad]],CONTRATOS!TblRngEdad,2,1)</f>
        <v>20  o menos</v>
      </c>
      <c r="CO852" s="141" t="str">
        <f aca="false">VLOOKUP(DATOS_[[#This Row],[Antigüedad]],TblRngAntg14[],2,1)</f>
        <v>0 a 1 años</v>
      </c>
    </row>
    <row r="853" customFormat="false" ht="13.8" hidden="false" customHeight="false" outlineLevel="0" collapsed="false">
      <c r="D853" s="128"/>
      <c r="E853" s="129"/>
      <c r="F853" s="129"/>
      <c r="G853" s="129"/>
      <c r="H853" s="130"/>
      <c r="I853" s="131"/>
      <c r="J853" s="128"/>
      <c r="K853" s="132"/>
      <c r="L853" s="132"/>
      <c r="M853" s="133"/>
      <c r="N853" s="133"/>
      <c r="O853" s="133"/>
      <c r="P853" s="129"/>
      <c r="Z853" s="75"/>
      <c r="AA853" s="76"/>
      <c r="AB853" s="76"/>
      <c r="AC853" s="129"/>
      <c r="AD853" s="134"/>
      <c r="AE853" s="134"/>
      <c r="AF853" s="134"/>
      <c r="AG853" s="134"/>
      <c r="AH853" s="134"/>
      <c r="AI853" s="134"/>
      <c r="AJ853" s="134"/>
      <c r="AK853" s="134"/>
      <c r="AL853" s="134"/>
      <c r="AM853" s="134"/>
      <c r="AN853" s="134"/>
      <c r="AO853" s="134"/>
      <c r="AP853" s="134"/>
      <c r="AQ853" s="134"/>
      <c r="AR853" s="134"/>
      <c r="AS853" s="134"/>
      <c r="AT853" s="134"/>
      <c r="AU853" s="134"/>
      <c r="AV853" s="134"/>
      <c r="AW853" s="134"/>
      <c r="AX853" s="134"/>
      <c r="AY853" s="134"/>
      <c r="AZ853" s="134"/>
      <c r="BA853" s="134"/>
      <c r="BB853" s="134"/>
      <c r="BC853" s="134"/>
      <c r="BD853" s="134"/>
      <c r="BE853" s="134"/>
      <c r="BF853" s="134"/>
      <c r="BG853" s="134"/>
      <c r="BH853" s="134"/>
      <c r="BI853" s="134"/>
      <c r="BJ853" s="134"/>
      <c r="BK853" s="134"/>
      <c r="BL853" s="134"/>
      <c r="BM853" s="135"/>
      <c r="BN853" s="136" t="n">
        <f aca="false">+MAX($D$3,DATOS_[[#This Row],[Fecha Inicio Sit. Contract.]])</f>
        <v>0</v>
      </c>
      <c r="BO853" s="136" t="n">
        <f aca="false">+MIN($D$4,DATOS_[[#This Row],[Fecha Fin Sit. Contract.]])</f>
        <v>0</v>
      </c>
      <c r="BP853" s="137" t="n">
        <f aca="false">+DATOS_[[#This Row],[% de jornada]]*IF(DATOS_[[#This Row],[% jornada reducida]]="",1,DATOS_[[#This Row],[% jornada reducida]])</f>
        <v>0</v>
      </c>
      <c r="BQ853" s="137" t="n">
        <f aca="false">+(DATOS_[[#This Row],[F.fin.cal]]-DATOS_[[#This Row],[F.ini.cal]]+1)/($D$4-$D$3+1)</f>
        <v>1</v>
      </c>
      <c r="BR853" s="137" t="str">
        <f aca="false">IF(OR(AND(DATOS_[[#This Row],[Fecha Fin Contrato]]&lt;$D$3,DATOS_[[#This Row],[Fecha Fin Contrato]]&lt;&gt;""),DATOS_[[#This Row],[Fecha de Contratación]]&gt;$D$4),"Fuera","Dentro")</f>
        <v>Dentro</v>
      </c>
      <c r="BS853" s="137" t="str">
        <f aca="false" t="array" ref="BS853:BS853">IF(MAX(IF(DATOS_[id]=DATOS_[[#This Row],[id]],DATOS_[F.fin.cal]))=DATOS_[[#This Row],[F.fin.cal]],"Sí","NO")</f>
        <v>Sí</v>
      </c>
      <c r="BT853" s="137" t="str">
        <f aca="false">IF(AND(DATOS_[[#This Row],[% normaliz]]&lt;&gt;1,DATOS_[[#This Row],[% anualiz]]=1),"Sí","NO")</f>
        <v>Sí</v>
      </c>
      <c r="BU853" s="137" t="str">
        <f aca="false">IF(AND(DATOS_[[#This Row],[% normaliz]]=1,DATOS_[[#This Row],[% anualiz]]&lt;&gt;1),"Sí","NO")</f>
        <v>NO</v>
      </c>
      <c r="BV853" s="137" t="str">
        <f aca="false">IF(AND(DATOS_[[#This Row],[% normaliz]]&lt;&gt;1,DATOS_[[#This Row],[% anualiz]]&lt;&gt;1),"Sí","NO")</f>
        <v>NO</v>
      </c>
      <c r="BW853" s="137" t="str">
        <f aca="false">+IF(DATOS_[[#This Row],[% normaliz]]*DATOS_[[#This Row],[% anualiz]]=1,"NO","Sí")</f>
        <v>Sí</v>
      </c>
      <c r="BX853" s="138" t="e">
        <f aca="false">(DATOS_[[#This Row],[S.BASE]]*(1/DATOS_[[#This Row],[% normaliz]])*(1/DATOS_[[#This Row],[% anualiz]]))*IF(DATOS_[[#This Row],[Check Equiparado]]="Sí",1,0)</f>
        <v>#DIV/0!</v>
      </c>
      <c r="BY8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3" s="138" t="e">
        <f aca="false">+DATOS_[[#This Row],[SALARIO BASE Eq]]+DATOS_[[#This Row],[Tot COMPL.SAL Eq]]</f>
        <v>#DIV/0!</v>
      </c>
      <c r="CA853" s="138" t="e">
        <f aca="false" t="array" ref="CA853:CA8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3" s="138" t="e">
        <f aca="false">+DATOS_[[#This Row],[TOTAL SALARIO Eq]]+DATOS_[[#This Row],[Tot Extrasalarial Eq]]</f>
        <v>#DIV/0!</v>
      </c>
      <c r="CC853" s="139" t="n">
        <f aca="false">DATOS_[[#This Row],[S.BASE]]</f>
        <v>0</v>
      </c>
      <c r="CD853" s="139" t="n">
        <f aca="false">+SUM(DATOS_[[#This Row],[Conc.Sal.01]:[Conc.Sal.30]])</f>
        <v>0</v>
      </c>
      <c r="CE853" s="139" t="n">
        <f aca="false">+DATOS_[[#This Row],[SALARIO BASE Ef]]+DATOS_[[#This Row],[Tot COMPL.SAL Ef]]</f>
        <v>0</v>
      </c>
      <c r="CF853" s="139" t="n">
        <f aca="false">+SUM(DATOS_[[#This Row],[C.Extra.01]:[C.Extra.05]])</f>
        <v>0</v>
      </c>
      <c r="CG853" s="139" t="n">
        <f aca="false">+DATOS_[[#This Row],[TOTAL SALARIO Ef]]+DATOS_[[#This Row],[Tot Extrasalarial Ef]]</f>
        <v>0</v>
      </c>
      <c r="CH853" s="140" t="n">
        <f aca="false">MIN(IF(DATOS_[[#This Row],[Fecha Fin Contrato]]="",$D$4,DATOS_[[#This Row],[Fecha Fin Contrato]]),$D$4)-MAX(DATOS_[[#This Row],[Fecha de Contratación]],$D$3)+1</f>
        <v>1</v>
      </c>
      <c r="CI853" s="141" t="str">
        <f aca="false">IF(COUNTIFS(DATOS_[id],DATOS_[[#This Row],[id]])&gt;1,DATOS_[[#This Row],[id]],"")</f>
        <v/>
      </c>
      <c r="CJ853" s="141" t="n">
        <f aca="false">(Inicio!$G$10-DATOS_[[#This Row],[Fecha Nacimiento]])/365.25</f>
        <v>0</v>
      </c>
      <c r="CK853" s="141" t="n">
        <f aca="false">(Inicio!$G$10-DATOS_[[#This Row],[Fecha de Antigüedad]])/365.25</f>
        <v>0</v>
      </c>
      <c r="CL853" s="141" t="e">
        <f aca="false">+VLOOKUP(DATOS_[[#This Row],[Clave de Contrato]],TblTiposContrato13[],3,0)</f>
        <v>#N/A</v>
      </c>
      <c r="CM853" s="141" t="e">
        <f aca="false">+VLOOKUP(DATOS_[[#This Row],[Clave de Contrato]],TblTiposContrato13[],4,0)</f>
        <v>#N/A</v>
      </c>
      <c r="CN853" s="141" t="str">
        <f aca="false">VLOOKUP(DATOS_[[#This Row],[Edad]],CONTRATOS!TblRngEdad,2,1)</f>
        <v>20  o menos</v>
      </c>
      <c r="CO853" s="141" t="str">
        <f aca="false">VLOOKUP(DATOS_[[#This Row],[Antigüedad]],TblRngAntg14[],2,1)</f>
        <v>0 a 1 años</v>
      </c>
    </row>
    <row r="854" customFormat="false" ht="13.8" hidden="false" customHeight="false" outlineLevel="0" collapsed="false">
      <c r="D854" s="128"/>
      <c r="E854" s="129"/>
      <c r="F854" s="129"/>
      <c r="G854" s="129"/>
      <c r="H854" s="130"/>
      <c r="I854" s="131"/>
      <c r="J854" s="128"/>
      <c r="K854" s="132"/>
      <c r="L854" s="132"/>
      <c r="M854" s="133"/>
      <c r="N854" s="133"/>
      <c r="O854" s="133"/>
      <c r="P854" s="129"/>
      <c r="Z854" s="75"/>
      <c r="AA854" s="76"/>
      <c r="AB854" s="76"/>
      <c r="AC854" s="129"/>
      <c r="AD854" s="134"/>
      <c r="AE854" s="134"/>
      <c r="AF854" s="134"/>
      <c r="AG854" s="134"/>
      <c r="AH854" s="134"/>
      <c r="AI854" s="134"/>
      <c r="AJ854" s="134"/>
      <c r="AK854" s="134"/>
      <c r="AL854" s="134"/>
      <c r="AM854" s="134"/>
      <c r="AN854" s="134"/>
      <c r="AO854" s="134"/>
      <c r="AP854" s="134"/>
      <c r="AQ854" s="134"/>
      <c r="AR854" s="134"/>
      <c r="AS854" s="134"/>
      <c r="AT854" s="134"/>
      <c r="AU854" s="134"/>
      <c r="AV854" s="134"/>
      <c r="AW854" s="134"/>
      <c r="AX854" s="134"/>
      <c r="AY854" s="134"/>
      <c r="AZ854" s="134"/>
      <c r="BA854" s="134"/>
      <c r="BB854" s="134"/>
      <c r="BC854" s="134"/>
      <c r="BD854" s="134"/>
      <c r="BE854" s="134"/>
      <c r="BF854" s="134"/>
      <c r="BG854" s="134"/>
      <c r="BH854" s="134"/>
      <c r="BI854" s="134"/>
      <c r="BJ854" s="134"/>
      <c r="BK854" s="134"/>
      <c r="BL854" s="134"/>
      <c r="BM854" s="135"/>
      <c r="BN854" s="136" t="n">
        <f aca="false">+MAX($D$3,DATOS_[[#This Row],[Fecha Inicio Sit. Contract.]])</f>
        <v>0</v>
      </c>
      <c r="BO854" s="136" t="n">
        <f aca="false">+MIN($D$4,DATOS_[[#This Row],[Fecha Fin Sit. Contract.]])</f>
        <v>0</v>
      </c>
      <c r="BP854" s="137" t="n">
        <f aca="false">+DATOS_[[#This Row],[% de jornada]]*IF(DATOS_[[#This Row],[% jornada reducida]]="",1,DATOS_[[#This Row],[% jornada reducida]])</f>
        <v>0</v>
      </c>
      <c r="BQ854" s="137" t="n">
        <f aca="false">+(DATOS_[[#This Row],[F.fin.cal]]-DATOS_[[#This Row],[F.ini.cal]]+1)/($D$4-$D$3+1)</f>
        <v>1</v>
      </c>
      <c r="BR854" s="137" t="str">
        <f aca="false">IF(OR(AND(DATOS_[[#This Row],[Fecha Fin Contrato]]&lt;$D$3,DATOS_[[#This Row],[Fecha Fin Contrato]]&lt;&gt;""),DATOS_[[#This Row],[Fecha de Contratación]]&gt;$D$4),"Fuera","Dentro")</f>
        <v>Dentro</v>
      </c>
      <c r="BS854" s="137" t="str">
        <f aca="false" t="array" ref="BS854:BS854">IF(MAX(IF(DATOS_[id]=DATOS_[[#This Row],[id]],DATOS_[F.fin.cal]))=DATOS_[[#This Row],[F.fin.cal]],"Sí","NO")</f>
        <v>Sí</v>
      </c>
      <c r="BT854" s="137" t="str">
        <f aca="false">IF(AND(DATOS_[[#This Row],[% normaliz]]&lt;&gt;1,DATOS_[[#This Row],[% anualiz]]=1),"Sí","NO")</f>
        <v>Sí</v>
      </c>
      <c r="BU854" s="137" t="str">
        <f aca="false">IF(AND(DATOS_[[#This Row],[% normaliz]]=1,DATOS_[[#This Row],[% anualiz]]&lt;&gt;1),"Sí","NO")</f>
        <v>NO</v>
      </c>
      <c r="BV854" s="137" t="str">
        <f aca="false">IF(AND(DATOS_[[#This Row],[% normaliz]]&lt;&gt;1,DATOS_[[#This Row],[% anualiz]]&lt;&gt;1),"Sí","NO")</f>
        <v>NO</v>
      </c>
      <c r="BW854" s="137" t="str">
        <f aca="false">+IF(DATOS_[[#This Row],[% normaliz]]*DATOS_[[#This Row],[% anualiz]]=1,"NO","Sí")</f>
        <v>Sí</v>
      </c>
      <c r="BX854" s="138" t="e">
        <f aca="false">(DATOS_[[#This Row],[S.BASE]]*(1/DATOS_[[#This Row],[% normaliz]])*(1/DATOS_[[#This Row],[% anualiz]]))*IF(DATOS_[[#This Row],[Check Equiparado]]="Sí",1,0)</f>
        <v>#DIV/0!</v>
      </c>
      <c r="BY8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4" s="138" t="e">
        <f aca="false">+DATOS_[[#This Row],[SALARIO BASE Eq]]+DATOS_[[#This Row],[Tot COMPL.SAL Eq]]</f>
        <v>#DIV/0!</v>
      </c>
      <c r="CA854" s="138" t="e">
        <f aca="false" t="array" ref="CA854:CA8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4" s="138" t="e">
        <f aca="false">+DATOS_[[#This Row],[TOTAL SALARIO Eq]]+DATOS_[[#This Row],[Tot Extrasalarial Eq]]</f>
        <v>#DIV/0!</v>
      </c>
      <c r="CC854" s="139" t="n">
        <f aca="false">DATOS_[[#This Row],[S.BASE]]</f>
        <v>0</v>
      </c>
      <c r="CD854" s="139" t="n">
        <f aca="false">+SUM(DATOS_[[#This Row],[Conc.Sal.01]:[Conc.Sal.30]])</f>
        <v>0</v>
      </c>
      <c r="CE854" s="139" t="n">
        <f aca="false">+DATOS_[[#This Row],[SALARIO BASE Ef]]+DATOS_[[#This Row],[Tot COMPL.SAL Ef]]</f>
        <v>0</v>
      </c>
      <c r="CF854" s="139" t="n">
        <f aca="false">+SUM(DATOS_[[#This Row],[C.Extra.01]:[C.Extra.05]])</f>
        <v>0</v>
      </c>
      <c r="CG854" s="139" t="n">
        <f aca="false">+DATOS_[[#This Row],[TOTAL SALARIO Ef]]+DATOS_[[#This Row],[Tot Extrasalarial Ef]]</f>
        <v>0</v>
      </c>
      <c r="CH854" s="140" t="n">
        <f aca="false">MIN(IF(DATOS_[[#This Row],[Fecha Fin Contrato]]="",$D$4,DATOS_[[#This Row],[Fecha Fin Contrato]]),$D$4)-MAX(DATOS_[[#This Row],[Fecha de Contratación]],$D$3)+1</f>
        <v>1</v>
      </c>
      <c r="CI854" s="141" t="str">
        <f aca="false">IF(COUNTIFS(DATOS_[id],DATOS_[[#This Row],[id]])&gt;1,DATOS_[[#This Row],[id]],"")</f>
        <v/>
      </c>
      <c r="CJ854" s="141" t="n">
        <f aca="false">(Inicio!$G$10-DATOS_[[#This Row],[Fecha Nacimiento]])/365.25</f>
        <v>0</v>
      </c>
      <c r="CK854" s="141" t="n">
        <f aca="false">(Inicio!$G$10-DATOS_[[#This Row],[Fecha de Antigüedad]])/365.25</f>
        <v>0</v>
      </c>
      <c r="CL854" s="141" t="e">
        <f aca="false">+VLOOKUP(DATOS_[[#This Row],[Clave de Contrato]],TblTiposContrato13[],3,0)</f>
        <v>#N/A</v>
      </c>
      <c r="CM854" s="141" t="e">
        <f aca="false">+VLOOKUP(DATOS_[[#This Row],[Clave de Contrato]],TblTiposContrato13[],4,0)</f>
        <v>#N/A</v>
      </c>
      <c r="CN854" s="141" t="str">
        <f aca="false">VLOOKUP(DATOS_[[#This Row],[Edad]],CONTRATOS!TblRngEdad,2,1)</f>
        <v>20  o menos</v>
      </c>
      <c r="CO854" s="141" t="str">
        <f aca="false">VLOOKUP(DATOS_[[#This Row],[Antigüedad]],TblRngAntg14[],2,1)</f>
        <v>0 a 1 años</v>
      </c>
    </row>
    <row r="855" customFormat="false" ht="13.8" hidden="false" customHeight="false" outlineLevel="0" collapsed="false">
      <c r="D855" s="128"/>
      <c r="E855" s="129"/>
      <c r="F855" s="129"/>
      <c r="G855" s="129"/>
      <c r="H855" s="130"/>
      <c r="I855" s="131"/>
      <c r="J855" s="128"/>
      <c r="K855" s="132"/>
      <c r="L855" s="132"/>
      <c r="M855" s="133"/>
      <c r="N855" s="133"/>
      <c r="O855" s="133"/>
      <c r="P855" s="129"/>
      <c r="Z855" s="75"/>
      <c r="AA855" s="76"/>
      <c r="AB855" s="76"/>
      <c r="AC855" s="129"/>
      <c r="AD855" s="134"/>
      <c r="AE855" s="134"/>
      <c r="AF855" s="134"/>
      <c r="AG855" s="134"/>
      <c r="AH855" s="134"/>
      <c r="AI855" s="134"/>
      <c r="AJ855" s="134"/>
      <c r="AK855" s="134"/>
      <c r="AL855" s="134"/>
      <c r="AM855" s="134"/>
      <c r="AN855" s="134"/>
      <c r="AO855" s="134"/>
      <c r="AP855" s="134"/>
      <c r="AQ855" s="134"/>
      <c r="AR855" s="134"/>
      <c r="AS855" s="134"/>
      <c r="AT855" s="134"/>
      <c r="AU855" s="134"/>
      <c r="AV855" s="134"/>
      <c r="AW855" s="134"/>
      <c r="AX855" s="134"/>
      <c r="AY855" s="134"/>
      <c r="AZ855" s="134"/>
      <c r="BA855" s="134"/>
      <c r="BB855" s="134"/>
      <c r="BC855" s="134"/>
      <c r="BD855" s="134"/>
      <c r="BE855" s="134"/>
      <c r="BF855" s="134"/>
      <c r="BG855" s="134"/>
      <c r="BH855" s="134"/>
      <c r="BI855" s="134"/>
      <c r="BJ855" s="134"/>
      <c r="BK855" s="134"/>
      <c r="BL855" s="134"/>
      <c r="BM855" s="135"/>
      <c r="BN855" s="136" t="n">
        <f aca="false">+MAX($D$3,DATOS_[[#This Row],[Fecha Inicio Sit. Contract.]])</f>
        <v>0</v>
      </c>
      <c r="BO855" s="136" t="n">
        <f aca="false">+MIN($D$4,DATOS_[[#This Row],[Fecha Fin Sit. Contract.]])</f>
        <v>0</v>
      </c>
      <c r="BP855" s="137" t="n">
        <f aca="false">+DATOS_[[#This Row],[% de jornada]]*IF(DATOS_[[#This Row],[% jornada reducida]]="",1,DATOS_[[#This Row],[% jornada reducida]])</f>
        <v>0</v>
      </c>
      <c r="BQ855" s="137" t="n">
        <f aca="false">+(DATOS_[[#This Row],[F.fin.cal]]-DATOS_[[#This Row],[F.ini.cal]]+1)/($D$4-$D$3+1)</f>
        <v>1</v>
      </c>
      <c r="BR855" s="137" t="str">
        <f aca="false">IF(OR(AND(DATOS_[[#This Row],[Fecha Fin Contrato]]&lt;$D$3,DATOS_[[#This Row],[Fecha Fin Contrato]]&lt;&gt;""),DATOS_[[#This Row],[Fecha de Contratación]]&gt;$D$4),"Fuera","Dentro")</f>
        <v>Dentro</v>
      </c>
      <c r="BS855" s="137" t="str">
        <f aca="false" t="array" ref="BS855:BS855">IF(MAX(IF(DATOS_[id]=DATOS_[[#This Row],[id]],DATOS_[F.fin.cal]))=DATOS_[[#This Row],[F.fin.cal]],"Sí","NO")</f>
        <v>Sí</v>
      </c>
      <c r="BT855" s="137" t="str">
        <f aca="false">IF(AND(DATOS_[[#This Row],[% normaliz]]&lt;&gt;1,DATOS_[[#This Row],[% anualiz]]=1),"Sí","NO")</f>
        <v>Sí</v>
      </c>
      <c r="BU855" s="137" t="str">
        <f aca="false">IF(AND(DATOS_[[#This Row],[% normaliz]]=1,DATOS_[[#This Row],[% anualiz]]&lt;&gt;1),"Sí","NO")</f>
        <v>NO</v>
      </c>
      <c r="BV855" s="137" t="str">
        <f aca="false">IF(AND(DATOS_[[#This Row],[% normaliz]]&lt;&gt;1,DATOS_[[#This Row],[% anualiz]]&lt;&gt;1),"Sí","NO")</f>
        <v>NO</v>
      </c>
      <c r="BW855" s="137" t="str">
        <f aca="false">+IF(DATOS_[[#This Row],[% normaliz]]*DATOS_[[#This Row],[% anualiz]]=1,"NO","Sí")</f>
        <v>Sí</v>
      </c>
      <c r="BX855" s="138" t="e">
        <f aca="false">(DATOS_[[#This Row],[S.BASE]]*(1/DATOS_[[#This Row],[% normaliz]])*(1/DATOS_[[#This Row],[% anualiz]]))*IF(DATOS_[[#This Row],[Check Equiparado]]="Sí",1,0)</f>
        <v>#DIV/0!</v>
      </c>
      <c r="BY8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5" s="138" t="e">
        <f aca="false">+DATOS_[[#This Row],[SALARIO BASE Eq]]+DATOS_[[#This Row],[Tot COMPL.SAL Eq]]</f>
        <v>#DIV/0!</v>
      </c>
      <c r="CA855" s="138" t="e">
        <f aca="false" t="array" ref="CA855:CA8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5" s="138" t="e">
        <f aca="false">+DATOS_[[#This Row],[TOTAL SALARIO Eq]]+DATOS_[[#This Row],[Tot Extrasalarial Eq]]</f>
        <v>#DIV/0!</v>
      </c>
      <c r="CC855" s="139" t="n">
        <f aca="false">DATOS_[[#This Row],[S.BASE]]</f>
        <v>0</v>
      </c>
      <c r="CD855" s="139" t="n">
        <f aca="false">+SUM(DATOS_[[#This Row],[Conc.Sal.01]:[Conc.Sal.30]])</f>
        <v>0</v>
      </c>
      <c r="CE855" s="139" t="n">
        <f aca="false">+DATOS_[[#This Row],[SALARIO BASE Ef]]+DATOS_[[#This Row],[Tot COMPL.SAL Ef]]</f>
        <v>0</v>
      </c>
      <c r="CF855" s="139" t="n">
        <f aca="false">+SUM(DATOS_[[#This Row],[C.Extra.01]:[C.Extra.05]])</f>
        <v>0</v>
      </c>
      <c r="CG855" s="139" t="n">
        <f aca="false">+DATOS_[[#This Row],[TOTAL SALARIO Ef]]+DATOS_[[#This Row],[Tot Extrasalarial Ef]]</f>
        <v>0</v>
      </c>
      <c r="CH855" s="140" t="n">
        <f aca="false">MIN(IF(DATOS_[[#This Row],[Fecha Fin Contrato]]="",$D$4,DATOS_[[#This Row],[Fecha Fin Contrato]]),$D$4)-MAX(DATOS_[[#This Row],[Fecha de Contratación]],$D$3)+1</f>
        <v>1</v>
      </c>
      <c r="CI855" s="141" t="str">
        <f aca="false">IF(COUNTIFS(DATOS_[id],DATOS_[[#This Row],[id]])&gt;1,DATOS_[[#This Row],[id]],"")</f>
        <v/>
      </c>
      <c r="CJ855" s="141" t="n">
        <f aca="false">(Inicio!$G$10-DATOS_[[#This Row],[Fecha Nacimiento]])/365.25</f>
        <v>0</v>
      </c>
      <c r="CK855" s="141" t="n">
        <f aca="false">(Inicio!$G$10-DATOS_[[#This Row],[Fecha de Antigüedad]])/365.25</f>
        <v>0</v>
      </c>
      <c r="CL855" s="141" t="e">
        <f aca="false">+VLOOKUP(DATOS_[[#This Row],[Clave de Contrato]],TblTiposContrato13[],3,0)</f>
        <v>#N/A</v>
      </c>
      <c r="CM855" s="141" t="e">
        <f aca="false">+VLOOKUP(DATOS_[[#This Row],[Clave de Contrato]],TblTiposContrato13[],4,0)</f>
        <v>#N/A</v>
      </c>
      <c r="CN855" s="141" t="str">
        <f aca="false">VLOOKUP(DATOS_[[#This Row],[Edad]],CONTRATOS!TblRngEdad,2,1)</f>
        <v>20  o menos</v>
      </c>
      <c r="CO855" s="141" t="str">
        <f aca="false">VLOOKUP(DATOS_[[#This Row],[Antigüedad]],TblRngAntg14[],2,1)</f>
        <v>0 a 1 años</v>
      </c>
    </row>
    <row r="856" customFormat="false" ht="13.8" hidden="false" customHeight="false" outlineLevel="0" collapsed="false">
      <c r="D856" s="128"/>
      <c r="E856" s="129"/>
      <c r="F856" s="129"/>
      <c r="G856" s="129"/>
      <c r="H856" s="130"/>
      <c r="I856" s="131"/>
      <c r="J856" s="128"/>
      <c r="K856" s="132"/>
      <c r="L856" s="132"/>
      <c r="M856" s="133"/>
      <c r="N856" s="133"/>
      <c r="O856" s="133"/>
      <c r="P856" s="129"/>
      <c r="Z856" s="75"/>
      <c r="AA856" s="76"/>
      <c r="AB856" s="76"/>
      <c r="AC856" s="129"/>
      <c r="AD856" s="134"/>
      <c r="AE856" s="134"/>
      <c r="AF856" s="134"/>
      <c r="AG856" s="134"/>
      <c r="AH856" s="134"/>
      <c r="AI856" s="134"/>
      <c r="AJ856" s="134"/>
      <c r="AK856" s="134"/>
      <c r="AL856" s="134"/>
      <c r="AM856" s="134"/>
      <c r="AN856" s="134"/>
      <c r="AO856" s="134"/>
      <c r="AP856" s="134"/>
      <c r="AQ856" s="134"/>
      <c r="AR856" s="134"/>
      <c r="AS856" s="134"/>
      <c r="AT856" s="134"/>
      <c r="AU856" s="134"/>
      <c r="AV856" s="134"/>
      <c r="AW856" s="134"/>
      <c r="AX856" s="134"/>
      <c r="AY856" s="134"/>
      <c r="AZ856" s="134"/>
      <c r="BA856" s="134"/>
      <c r="BB856" s="134"/>
      <c r="BC856" s="134"/>
      <c r="BD856" s="134"/>
      <c r="BE856" s="134"/>
      <c r="BF856" s="134"/>
      <c r="BG856" s="134"/>
      <c r="BH856" s="134"/>
      <c r="BI856" s="134"/>
      <c r="BJ856" s="134"/>
      <c r="BK856" s="134"/>
      <c r="BL856" s="134"/>
      <c r="BM856" s="135"/>
      <c r="BN856" s="136" t="n">
        <f aca="false">+MAX($D$3,DATOS_[[#This Row],[Fecha Inicio Sit. Contract.]])</f>
        <v>0</v>
      </c>
      <c r="BO856" s="136" t="n">
        <f aca="false">+MIN($D$4,DATOS_[[#This Row],[Fecha Fin Sit. Contract.]])</f>
        <v>0</v>
      </c>
      <c r="BP856" s="137" t="n">
        <f aca="false">+DATOS_[[#This Row],[% de jornada]]*IF(DATOS_[[#This Row],[% jornada reducida]]="",1,DATOS_[[#This Row],[% jornada reducida]])</f>
        <v>0</v>
      </c>
      <c r="BQ856" s="137" t="n">
        <f aca="false">+(DATOS_[[#This Row],[F.fin.cal]]-DATOS_[[#This Row],[F.ini.cal]]+1)/($D$4-$D$3+1)</f>
        <v>1</v>
      </c>
      <c r="BR856" s="137" t="str">
        <f aca="false">IF(OR(AND(DATOS_[[#This Row],[Fecha Fin Contrato]]&lt;$D$3,DATOS_[[#This Row],[Fecha Fin Contrato]]&lt;&gt;""),DATOS_[[#This Row],[Fecha de Contratación]]&gt;$D$4),"Fuera","Dentro")</f>
        <v>Dentro</v>
      </c>
      <c r="BS856" s="137" t="str">
        <f aca="false" t="array" ref="BS856:BS856">IF(MAX(IF(DATOS_[id]=DATOS_[[#This Row],[id]],DATOS_[F.fin.cal]))=DATOS_[[#This Row],[F.fin.cal]],"Sí","NO")</f>
        <v>Sí</v>
      </c>
      <c r="BT856" s="137" t="str">
        <f aca="false">IF(AND(DATOS_[[#This Row],[% normaliz]]&lt;&gt;1,DATOS_[[#This Row],[% anualiz]]=1),"Sí","NO")</f>
        <v>Sí</v>
      </c>
      <c r="BU856" s="137" t="str">
        <f aca="false">IF(AND(DATOS_[[#This Row],[% normaliz]]=1,DATOS_[[#This Row],[% anualiz]]&lt;&gt;1),"Sí","NO")</f>
        <v>NO</v>
      </c>
      <c r="BV856" s="137" t="str">
        <f aca="false">IF(AND(DATOS_[[#This Row],[% normaliz]]&lt;&gt;1,DATOS_[[#This Row],[% anualiz]]&lt;&gt;1),"Sí","NO")</f>
        <v>NO</v>
      </c>
      <c r="BW856" s="137" t="str">
        <f aca="false">+IF(DATOS_[[#This Row],[% normaliz]]*DATOS_[[#This Row],[% anualiz]]=1,"NO","Sí")</f>
        <v>Sí</v>
      </c>
      <c r="BX856" s="138" t="e">
        <f aca="false">(DATOS_[[#This Row],[S.BASE]]*(1/DATOS_[[#This Row],[% normaliz]])*(1/DATOS_[[#This Row],[% anualiz]]))*IF(DATOS_[[#This Row],[Check Equiparado]]="Sí",1,0)</f>
        <v>#DIV/0!</v>
      </c>
      <c r="BY8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6" s="138" t="e">
        <f aca="false">+DATOS_[[#This Row],[SALARIO BASE Eq]]+DATOS_[[#This Row],[Tot COMPL.SAL Eq]]</f>
        <v>#DIV/0!</v>
      </c>
      <c r="CA856" s="138" t="e">
        <f aca="false" t="array" ref="CA856:CA8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6" s="138" t="e">
        <f aca="false">+DATOS_[[#This Row],[TOTAL SALARIO Eq]]+DATOS_[[#This Row],[Tot Extrasalarial Eq]]</f>
        <v>#DIV/0!</v>
      </c>
      <c r="CC856" s="139" t="n">
        <f aca="false">DATOS_[[#This Row],[S.BASE]]</f>
        <v>0</v>
      </c>
      <c r="CD856" s="139" t="n">
        <f aca="false">+SUM(DATOS_[[#This Row],[Conc.Sal.01]:[Conc.Sal.30]])</f>
        <v>0</v>
      </c>
      <c r="CE856" s="139" t="n">
        <f aca="false">+DATOS_[[#This Row],[SALARIO BASE Ef]]+DATOS_[[#This Row],[Tot COMPL.SAL Ef]]</f>
        <v>0</v>
      </c>
      <c r="CF856" s="139" t="n">
        <f aca="false">+SUM(DATOS_[[#This Row],[C.Extra.01]:[C.Extra.05]])</f>
        <v>0</v>
      </c>
      <c r="CG856" s="139" t="n">
        <f aca="false">+DATOS_[[#This Row],[TOTAL SALARIO Ef]]+DATOS_[[#This Row],[Tot Extrasalarial Ef]]</f>
        <v>0</v>
      </c>
      <c r="CH856" s="140" t="n">
        <f aca="false">MIN(IF(DATOS_[[#This Row],[Fecha Fin Contrato]]="",$D$4,DATOS_[[#This Row],[Fecha Fin Contrato]]),$D$4)-MAX(DATOS_[[#This Row],[Fecha de Contratación]],$D$3)+1</f>
        <v>1</v>
      </c>
      <c r="CI856" s="141" t="str">
        <f aca="false">IF(COUNTIFS(DATOS_[id],DATOS_[[#This Row],[id]])&gt;1,DATOS_[[#This Row],[id]],"")</f>
        <v/>
      </c>
      <c r="CJ856" s="141" t="n">
        <f aca="false">(Inicio!$G$10-DATOS_[[#This Row],[Fecha Nacimiento]])/365.25</f>
        <v>0</v>
      </c>
      <c r="CK856" s="141" t="n">
        <f aca="false">(Inicio!$G$10-DATOS_[[#This Row],[Fecha de Antigüedad]])/365.25</f>
        <v>0</v>
      </c>
      <c r="CL856" s="141" t="e">
        <f aca="false">+VLOOKUP(DATOS_[[#This Row],[Clave de Contrato]],TblTiposContrato13[],3,0)</f>
        <v>#N/A</v>
      </c>
      <c r="CM856" s="141" t="e">
        <f aca="false">+VLOOKUP(DATOS_[[#This Row],[Clave de Contrato]],TblTiposContrato13[],4,0)</f>
        <v>#N/A</v>
      </c>
      <c r="CN856" s="141" t="str">
        <f aca="false">VLOOKUP(DATOS_[[#This Row],[Edad]],CONTRATOS!TblRngEdad,2,1)</f>
        <v>20  o menos</v>
      </c>
      <c r="CO856" s="141" t="str">
        <f aca="false">VLOOKUP(DATOS_[[#This Row],[Antigüedad]],TblRngAntg14[],2,1)</f>
        <v>0 a 1 años</v>
      </c>
    </row>
    <row r="857" customFormat="false" ht="13.8" hidden="false" customHeight="false" outlineLevel="0" collapsed="false">
      <c r="D857" s="128"/>
      <c r="E857" s="129"/>
      <c r="F857" s="129"/>
      <c r="G857" s="129"/>
      <c r="H857" s="130"/>
      <c r="I857" s="131"/>
      <c r="J857" s="128"/>
      <c r="K857" s="132"/>
      <c r="L857" s="132"/>
      <c r="M857" s="133"/>
      <c r="N857" s="133"/>
      <c r="O857" s="133"/>
      <c r="P857" s="129"/>
      <c r="Z857" s="75"/>
      <c r="AA857" s="76"/>
      <c r="AB857" s="76"/>
      <c r="AC857" s="129"/>
      <c r="AD857" s="134"/>
      <c r="AE857" s="134"/>
      <c r="AF857" s="134"/>
      <c r="AG857" s="134"/>
      <c r="AH857" s="134"/>
      <c r="AI857" s="134"/>
      <c r="AJ857" s="134"/>
      <c r="AK857" s="134"/>
      <c r="AL857" s="134"/>
      <c r="AM857" s="134"/>
      <c r="AN857" s="134"/>
      <c r="AO857" s="134"/>
      <c r="AP857" s="134"/>
      <c r="AQ857" s="134"/>
      <c r="AR857" s="134"/>
      <c r="AS857" s="134"/>
      <c r="AT857" s="134"/>
      <c r="AU857" s="134"/>
      <c r="AV857" s="134"/>
      <c r="AW857" s="134"/>
      <c r="AX857" s="134"/>
      <c r="AY857" s="134"/>
      <c r="AZ857" s="134"/>
      <c r="BA857" s="134"/>
      <c r="BB857" s="134"/>
      <c r="BC857" s="134"/>
      <c r="BD857" s="134"/>
      <c r="BE857" s="134"/>
      <c r="BF857" s="134"/>
      <c r="BG857" s="134"/>
      <c r="BH857" s="134"/>
      <c r="BI857" s="134"/>
      <c r="BJ857" s="134"/>
      <c r="BK857" s="134"/>
      <c r="BL857" s="134"/>
      <c r="BM857" s="135"/>
      <c r="BN857" s="136" t="n">
        <f aca="false">+MAX($D$3,DATOS_[[#This Row],[Fecha Inicio Sit. Contract.]])</f>
        <v>0</v>
      </c>
      <c r="BO857" s="136" t="n">
        <f aca="false">+MIN($D$4,DATOS_[[#This Row],[Fecha Fin Sit. Contract.]])</f>
        <v>0</v>
      </c>
      <c r="BP857" s="137" t="n">
        <f aca="false">+DATOS_[[#This Row],[% de jornada]]*IF(DATOS_[[#This Row],[% jornada reducida]]="",1,DATOS_[[#This Row],[% jornada reducida]])</f>
        <v>0</v>
      </c>
      <c r="BQ857" s="137" t="n">
        <f aca="false">+(DATOS_[[#This Row],[F.fin.cal]]-DATOS_[[#This Row],[F.ini.cal]]+1)/($D$4-$D$3+1)</f>
        <v>1</v>
      </c>
      <c r="BR857" s="137" t="str">
        <f aca="false">IF(OR(AND(DATOS_[[#This Row],[Fecha Fin Contrato]]&lt;$D$3,DATOS_[[#This Row],[Fecha Fin Contrato]]&lt;&gt;""),DATOS_[[#This Row],[Fecha de Contratación]]&gt;$D$4),"Fuera","Dentro")</f>
        <v>Dentro</v>
      </c>
      <c r="BS857" s="137" t="str">
        <f aca="false" t="array" ref="BS857:BS857">IF(MAX(IF(DATOS_[id]=DATOS_[[#This Row],[id]],DATOS_[F.fin.cal]))=DATOS_[[#This Row],[F.fin.cal]],"Sí","NO")</f>
        <v>Sí</v>
      </c>
      <c r="BT857" s="137" t="str">
        <f aca="false">IF(AND(DATOS_[[#This Row],[% normaliz]]&lt;&gt;1,DATOS_[[#This Row],[% anualiz]]=1),"Sí","NO")</f>
        <v>Sí</v>
      </c>
      <c r="BU857" s="137" t="str">
        <f aca="false">IF(AND(DATOS_[[#This Row],[% normaliz]]=1,DATOS_[[#This Row],[% anualiz]]&lt;&gt;1),"Sí","NO")</f>
        <v>NO</v>
      </c>
      <c r="BV857" s="137" t="str">
        <f aca="false">IF(AND(DATOS_[[#This Row],[% normaliz]]&lt;&gt;1,DATOS_[[#This Row],[% anualiz]]&lt;&gt;1),"Sí","NO")</f>
        <v>NO</v>
      </c>
      <c r="BW857" s="137" t="str">
        <f aca="false">+IF(DATOS_[[#This Row],[% normaliz]]*DATOS_[[#This Row],[% anualiz]]=1,"NO","Sí")</f>
        <v>Sí</v>
      </c>
      <c r="BX857" s="138" t="e">
        <f aca="false">(DATOS_[[#This Row],[S.BASE]]*(1/DATOS_[[#This Row],[% normaliz]])*(1/DATOS_[[#This Row],[% anualiz]]))*IF(DATOS_[[#This Row],[Check Equiparado]]="Sí",1,0)</f>
        <v>#DIV/0!</v>
      </c>
      <c r="BY8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7" s="138" t="e">
        <f aca="false">+DATOS_[[#This Row],[SALARIO BASE Eq]]+DATOS_[[#This Row],[Tot COMPL.SAL Eq]]</f>
        <v>#DIV/0!</v>
      </c>
      <c r="CA857" s="138" t="e">
        <f aca="false" t="array" ref="CA857:CA8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7" s="138" t="e">
        <f aca="false">+DATOS_[[#This Row],[TOTAL SALARIO Eq]]+DATOS_[[#This Row],[Tot Extrasalarial Eq]]</f>
        <v>#DIV/0!</v>
      </c>
      <c r="CC857" s="139" t="n">
        <f aca="false">DATOS_[[#This Row],[S.BASE]]</f>
        <v>0</v>
      </c>
      <c r="CD857" s="139" t="n">
        <f aca="false">+SUM(DATOS_[[#This Row],[Conc.Sal.01]:[Conc.Sal.30]])</f>
        <v>0</v>
      </c>
      <c r="CE857" s="139" t="n">
        <f aca="false">+DATOS_[[#This Row],[SALARIO BASE Ef]]+DATOS_[[#This Row],[Tot COMPL.SAL Ef]]</f>
        <v>0</v>
      </c>
      <c r="CF857" s="139" t="n">
        <f aca="false">+SUM(DATOS_[[#This Row],[C.Extra.01]:[C.Extra.05]])</f>
        <v>0</v>
      </c>
      <c r="CG857" s="139" t="n">
        <f aca="false">+DATOS_[[#This Row],[TOTAL SALARIO Ef]]+DATOS_[[#This Row],[Tot Extrasalarial Ef]]</f>
        <v>0</v>
      </c>
      <c r="CH857" s="140" t="n">
        <f aca="false">MIN(IF(DATOS_[[#This Row],[Fecha Fin Contrato]]="",$D$4,DATOS_[[#This Row],[Fecha Fin Contrato]]),$D$4)-MAX(DATOS_[[#This Row],[Fecha de Contratación]],$D$3)+1</f>
        <v>1</v>
      </c>
      <c r="CI857" s="141" t="str">
        <f aca="false">IF(COUNTIFS(DATOS_[id],DATOS_[[#This Row],[id]])&gt;1,DATOS_[[#This Row],[id]],"")</f>
        <v/>
      </c>
      <c r="CJ857" s="141" t="n">
        <f aca="false">(Inicio!$G$10-DATOS_[[#This Row],[Fecha Nacimiento]])/365.25</f>
        <v>0</v>
      </c>
      <c r="CK857" s="141" t="n">
        <f aca="false">(Inicio!$G$10-DATOS_[[#This Row],[Fecha de Antigüedad]])/365.25</f>
        <v>0</v>
      </c>
      <c r="CL857" s="141" t="e">
        <f aca="false">+VLOOKUP(DATOS_[[#This Row],[Clave de Contrato]],TblTiposContrato13[],3,0)</f>
        <v>#N/A</v>
      </c>
      <c r="CM857" s="141" t="e">
        <f aca="false">+VLOOKUP(DATOS_[[#This Row],[Clave de Contrato]],TblTiposContrato13[],4,0)</f>
        <v>#N/A</v>
      </c>
      <c r="CN857" s="141" t="str">
        <f aca="false">VLOOKUP(DATOS_[[#This Row],[Edad]],CONTRATOS!TblRngEdad,2,1)</f>
        <v>20  o menos</v>
      </c>
      <c r="CO857" s="141" t="str">
        <f aca="false">VLOOKUP(DATOS_[[#This Row],[Antigüedad]],TblRngAntg14[],2,1)</f>
        <v>0 a 1 años</v>
      </c>
    </row>
    <row r="858" customFormat="false" ht="13.8" hidden="false" customHeight="false" outlineLevel="0" collapsed="false">
      <c r="D858" s="128"/>
      <c r="E858" s="129"/>
      <c r="F858" s="129"/>
      <c r="G858" s="129"/>
      <c r="H858" s="130"/>
      <c r="I858" s="131"/>
      <c r="J858" s="128"/>
      <c r="K858" s="132"/>
      <c r="L858" s="132"/>
      <c r="M858" s="133"/>
      <c r="N858" s="133"/>
      <c r="O858" s="133"/>
      <c r="P858" s="129"/>
      <c r="Z858" s="75"/>
      <c r="AA858" s="76"/>
      <c r="AB858" s="76"/>
      <c r="AC858" s="129"/>
      <c r="AD858" s="134"/>
      <c r="AE858" s="134"/>
      <c r="AF858" s="134"/>
      <c r="AG858" s="134"/>
      <c r="AH858" s="134"/>
      <c r="AI858" s="134"/>
      <c r="AJ858" s="134"/>
      <c r="AK858" s="134"/>
      <c r="AL858" s="134"/>
      <c r="AM858" s="134"/>
      <c r="AN858" s="134"/>
      <c r="AO858" s="134"/>
      <c r="AP858" s="134"/>
      <c r="AQ858" s="134"/>
      <c r="AR858" s="134"/>
      <c r="AS858" s="134"/>
      <c r="AT858" s="134"/>
      <c r="AU858" s="134"/>
      <c r="AV858" s="134"/>
      <c r="AW858" s="134"/>
      <c r="AX858" s="134"/>
      <c r="AY858" s="134"/>
      <c r="AZ858" s="134"/>
      <c r="BA858" s="134"/>
      <c r="BB858" s="134"/>
      <c r="BC858" s="134"/>
      <c r="BD858" s="134"/>
      <c r="BE858" s="134"/>
      <c r="BF858" s="134"/>
      <c r="BG858" s="134"/>
      <c r="BH858" s="134"/>
      <c r="BI858" s="134"/>
      <c r="BJ858" s="134"/>
      <c r="BK858" s="134"/>
      <c r="BL858" s="134"/>
      <c r="BM858" s="135"/>
      <c r="BN858" s="136" t="n">
        <f aca="false">+MAX($D$3,DATOS_[[#This Row],[Fecha Inicio Sit. Contract.]])</f>
        <v>0</v>
      </c>
      <c r="BO858" s="136" t="n">
        <f aca="false">+MIN($D$4,DATOS_[[#This Row],[Fecha Fin Sit. Contract.]])</f>
        <v>0</v>
      </c>
      <c r="BP858" s="137" t="n">
        <f aca="false">+DATOS_[[#This Row],[% de jornada]]*IF(DATOS_[[#This Row],[% jornada reducida]]="",1,DATOS_[[#This Row],[% jornada reducida]])</f>
        <v>0</v>
      </c>
      <c r="BQ858" s="137" t="n">
        <f aca="false">+(DATOS_[[#This Row],[F.fin.cal]]-DATOS_[[#This Row],[F.ini.cal]]+1)/($D$4-$D$3+1)</f>
        <v>1</v>
      </c>
      <c r="BR858" s="137" t="str">
        <f aca="false">IF(OR(AND(DATOS_[[#This Row],[Fecha Fin Contrato]]&lt;$D$3,DATOS_[[#This Row],[Fecha Fin Contrato]]&lt;&gt;""),DATOS_[[#This Row],[Fecha de Contratación]]&gt;$D$4),"Fuera","Dentro")</f>
        <v>Dentro</v>
      </c>
      <c r="BS858" s="137" t="str">
        <f aca="false" t="array" ref="BS858:BS858">IF(MAX(IF(DATOS_[id]=DATOS_[[#This Row],[id]],DATOS_[F.fin.cal]))=DATOS_[[#This Row],[F.fin.cal]],"Sí","NO")</f>
        <v>Sí</v>
      </c>
      <c r="BT858" s="137" t="str">
        <f aca="false">IF(AND(DATOS_[[#This Row],[% normaliz]]&lt;&gt;1,DATOS_[[#This Row],[% anualiz]]=1),"Sí","NO")</f>
        <v>Sí</v>
      </c>
      <c r="BU858" s="137" t="str">
        <f aca="false">IF(AND(DATOS_[[#This Row],[% normaliz]]=1,DATOS_[[#This Row],[% anualiz]]&lt;&gt;1),"Sí","NO")</f>
        <v>NO</v>
      </c>
      <c r="BV858" s="137" t="str">
        <f aca="false">IF(AND(DATOS_[[#This Row],[% normaliz]]&lt;&gt;1,DATOS_[[#This Row],[% anualiz]]&lt;&gt;1),"Sí","NO")</f>
        <v>NO</v>
      </c>
      <c r="BW858" s="137" t="str">
        <f aca="false">+IF(DATOS_[[#This Row],[% normaliz]]*DATOS_[[#This Row],[% anualiz]]=1,"NO","Sí")</f>
        <v>Sí</v>
      </c>
      <c r="BX858" s="138" t="e">
        <f aca="false">(DATOS_[[#This Row],[S.BASE]]*(1/DATOS_[[#This Row],[% normaliz]])*(1/DATOS_[[#This Row],[% anualiz]]))*IF(DATOS_[[#This Row],[Check Equiparado]]="Sí",1,0)</f>
        <v>#DIV/0!</v>
      </c>
      <c r="BY8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8" s="138" t="e">
        <f aca="false">+DATOS_[[#This Row],[SALARIO BASE Eq]]+DATOS_[[#This Row],[Tot COMPL.SAL Eq]]</f>
        <v>#DIV/0!</v>
      </c>
      <c r="CA858" s="138" t="e">
        <f aca="false" t="array" ref="CA858:CA8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8" s="138" t="e">
        <f aca="false">+DATOS_[[#This Row],[TOTAL SALARIO Eq]]+DATOS_[[#This Row],[Tot Extrasalarial Eq]]</f>
        <v>#DIV/0!</v>
      </c>
      <c r="CC858" s="139" t="n">
        <f aca="false">DATOS_[[#This Row],[S.BASE]]</f>
        <v>0</v>
      </c>
      <c r="CD858" s="139" t="n">
        <f aca="false">+SUM(DATOS_[[#This Row],[Conc.Sal.01]:[Conc.Sal.30]])</f>
        <v>0</v>
      </c>
      <c r="CE858" s="139" t="n">
        <f aca="false">+DATOS_[[#This Row],[SALARIO BASE Ef]]+DATOS_[[#This Row],[Tot COMPL.SAL Ef]]</f>
        <v>0</v>
      </c>
      <c r="CF858" s="139" t="n">
        <f aca="false">+SUM(DATOS_[[#This Row],[C.Extra.01]:[C.Extra.05]])</f>
        <v>0</v>
      </c>
      <c r="CG858" s="139" t="n">
        <f aca="false">+DATOS_[[#This Row],[TOTAL SALARIO Ef]]+DATOS_[[#This Row],[Tot Extrasalarial Ef]]</f>
        <v>0</v>
      </c>
      <c r="CH858" s="140" t="n">
        <f aca="false">MIN(IF(DATOS_[[#This Row],[Fecha Fin Contrato]]="",$D$4,DATOS_[[#This Row],[Fecha Fin Contrato]]),$D$4)-MAX(DATOS_[[#This Row],[Fecha de Contratación]],$D$3)+1</f>
        <v>1</v>
      </c>
      <c r="CI858" s="141" t="str">
        <f aca="false">IF(COUNTIFS(DATOS_[id],DATOS_[[#This Row],[id]])&gt;1,DATOS_[[#This Row],[id]],"")</f>
        <v/>
      </c>
      <c r="CJ858" s="141" t="n">
        <f aca="false">(Inicio!$G$10-DATOS_[[#This Row],[Fecha Nacimiento]])/365.25</f>
        <v>0</v>
      </c>
      <c r="CK858" s="141" t="n">
        <f aca="false">(Inicio!$G$10-DATOS_[[#This Row],[Fecha de Antigüedad]])/365.25</f>
        <v>0</v>
      </c>
      <c r="CL858" s="141" t="e">
        <f aca="false">+VLOOKUP(DATOS_[[#This Row],[Clave de Contrato]],TblTiposContrato13[],3,0)</f>
        <v>#N/A</v>
      </c>
      <c r="CM858" s="141" t="e">
        <f aca="false">+VLOOKUP(DATOS_[[#This Row],[Clave de Contrato]],TblTiposContrato13[],4,0)</f>
        <v>#N/A</v>
      </c>
      <c r="CN858" s="141" t="str">
        <f aca="false">VLOOKUP(DATOS_[[#This Row],[Edad]],CONTRATOS!TblRngEdad,2,1)</f>
        <v>20  o menos</v>
      </c>
      <c r="CO858" s="141" t="str">
        <f aca="false">VLOOKUP(DATOS_[[#This Row],[Antigüedad]],TblRngAntg14[],2,1)</f>
        <v>0 a 1 años</v>
      </c>
    </row>
    <row r="859" customFormat="false" ht="13.8" hidden="false" customHeight="false" outlineLevel="0" collapsed="false">
      <c r="D859" s="128"/>
      <c r="E859" s="129"/>
      <c r="F859" s="129"/>
      <c r="G859" s="129"/>
      <c r="H859" s="130"/>
      <c r="I859" s="131"/>
      <c r="J859" s="128"/>
      <c r="K859" s="132"/>
      <c r="L859" s="132"/>
      <c r="M859" s="133"/>
      <c r="N859" s="133"/>
      <c r="O859" s="133"/>
      <c r="P859" s="129"/>
      <c r="Z859" s="75"/>
      <c r="AA859" s="76"/>
      <c r="AB859" s="76"/>
      <c r="AC859" s="129"/>
      <c r="AD859" s="134"/>
      <c r="AE859" s="134"/>
      <c r="AF859" s="134"/>
      <c r="AG859" s="134"/>
      <c r="AH859" s="134"/>
      <c r="AI859" s="134"/>
      <c r="AJ859" s="134"/>
      <c r="AK859" s="134"/>
      <c r="AL859" s="134"/>
      <c r="AM859" s="134"/>
      <c r="AN859" s="134"/>
      <c r="AO859" s="134"/>
      <c r="AP859" s="134"/>
      <c r="AQ859" s="134"/>
      <c r="AR859" s="134"/>
      <c r="AS859" s="134"/>
      <c r="AT859" s="134"/>
      <c r="AU859" s="134"/>
      <c r="AV859" s="134"/>
      <c r="AW859" s="134"/>
      <c r="AX859" s="134"/>
      <c r="AY859" s="134"/>
      <c r="AZ859" s="134"/>
      <c r="BA859" s="134"/>
      <c r="BB859" s="134"/>
      <c r="BC859" s="134"/>
      <c r="BD859" s="134"/>
      <c r="BE859" s="134"/>
      <c r="BF859" s="134"/>
      <c r="BG859" s="134"/>
      <c r="BH859" s="134"/>
      <c r="BI859" s="134"/>
      <c r="BJ859" s="134"/>
      <c r="BK859" s="134"/>
      <c r="BL859" s="134"/>
      <c r="BM859" s="135"/>
      <c r="BN859" s="136" t="n">
        <f aca="false">+MAX($D$3,DATOS_[[#This Row],[Fecha Inicio Sit. Contract.]])</f>
        <v>0</v>
      </c>
      <c r="BO859" s="136" t="n">
        <f aca="false">+MIN($D$4,DATOS_[[#This Row],[Fecha Fin Sit. Contract.]])</f>
        <v>0</v>
      </c>
      <c r="BP859" s="137" t="n">
        <f aca="false">+DATOS_[[#This Row],[% de jornada]]*IF(DATOS_[[#This Row],[% jornada reducida]]="",1,DATOS_[[#This Row],[% jornada reducida]])</f>
        <v>0</v>
      </c>
      <c r="BQ859" s="137" t="n">
        <f aca="false">+(DATOS_[[#This Row],[F.fin.cal]]-DATOS_[[#This Row],[F.ini.cal]]+1)/($D$4-$D$3+1)</f>
        <v>1</v>
      </c>
      <c r="BR859" s="137" t="str">
        <f aca="false">IF(OR(AND(DATOS_[[#This Row],[Fecha Fin Contrato]]&lt;$D$3,DATOS_[[#This Row],[Fecha Fin Contrato]]&lt;&gt;""),DATOS_[[#This Row],[Fecha de Contratación]]&gt;$D$4),"Fuera","Dentro")</f>
        <v>Dentro</v>
      </c>
      <c r="BS859" s="137" t="str">
        <f aca="false" t="array" ref="BS859:BS859">IF(MAX(IF(DATOS_[id]=DATOS_[[#This Row],[id]],DATOS_[F.fin.cal]))=DATOS_[[#This Row],[F.fin.cal]],"Sí","NO")</f>
        <v>Sí</v>
      </c>
      <c r="BT859" s="137" t="str">
        <f aca="false">IF(AND(DATOS_[[#This Row],[% normaliz]]&lt;&gt;1,DATOS_[[#This Row],[% anualiz]]=1),"Sí","NO")</f>
        <v>Sí</v>
      </c>
      <c r="BU859" s="137" t="str">
        <f aca="false">IF(AND(DATOS_[[#This Row],[% normaliz]]=1,DATOS_[[#This Row],[% anualiz]]&lt;&gt;1),"Sí","NO")</f>
        <v>NO</v>
      </c>
      <c r="BV859" s="137" t="str">
        <f aca="false">IF(AND(DATOS_[[#This Row],[% normaliz]]&lt;&gt;1,DATOS_[[#This Row],[% anualiz]]&lt;&gt;1),"Sí","NO")</f>
        <v>NO</v>
      </c>
      <c r="BW859" s="137" t="str">
        <f aca="false">+IF(DATOS_[[#This Row],[% normaliz]]*DATOS_[[#This Row],[% anualiz]]=1,"NO","Sí")</f>
        <v>Sí</v>
      </c>
      <c r="BX859" s="138" t="e">
        <f aca="false">(DATOS_[[#This Row],[S.BASE]]*(1/DATOS_[[#This Row],[% normaliz]])*(1/DATOS_[[#This Row],[% anualiz]]))*IF(DATOS_[[#This Row],[Check Equiparado]]="Sí",1,0)</f>
        <v>#DIV/0!</v>
      </c>
      <c r="BY8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9" s="138" t="e">
        <f aca="false">+DATOS_[[#This Row],[SALARIO BASE Eq]]+DATOS_[[#This Row],[Tot COMPL.SAL Eq]]</f>
        <v>#DIV/0!</v>
      </c>
      <c r="CA859" s="138" t="e">
        <f aca="false" t="array" ref="CA859:CA8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9" s="138" t="e">
        <f aca="false">+DATOS_[[#This Row],[TOTAL SALARIO Eq]]+DATOS_[[#This Row],[Tot Extrasalarial Eq]]</f>
        <v>#DIV/0!</v>
      </c>
      <c r="CC859" s="139" t="n">
        <f aca="false">DATOS_[[#This Row],[S.BASE]]</f>
        <v>0</v>
      </c>
      <c r="CD859" s="139" t="n">
        <f aca="false">+SUM(DATOS_[[#This Row],[Conc.Sal.01]:[Conc.Sal.30]])</f>
        <v>0</v>
      </c>
      <c r="CE859" s="139" t="n">
        <f aca="false">+DATOS_[[#This Row],[SALARIO BASE Ef]]+DATOS_[[#This Row],[Tot COMPL.SAL Ef]]</f>
        <v>0</v>
      </c>
      <c r="CF859" s="139" t="n">
        <f aca="false">+SUM(DATOS_[[#This Row],[C.Extra.01]:[C.Extra.05]])</f>
        <v>0</v>
      </c>
      <c r="CG859" s="139" t="n">
        <f aca="false">+DATOS_[[#This Row],[TOTAL SALARIO Ef]]+DATOS_[[#This Row],[Tot Extrasalarial Ef]]</f>
        <v>0</v>
      </c>
      <c r="CH859" s="140" t="n">
        <f aca="false">MIN(IF(DATOS_[[#This Row],[Fecha Fin Contrato]]="",$D$4,DATOS_[[#This Row],[Fecha Fin Contrato]]),$D$4)-MAX(DATOS_[[#This Row],[Fecha de Contratación]],$D$3)+1</f>
        <v>1</v>
      </c>
      <c r="CI859" s="141" t="str">
        <f aca="false">IF(COUNTIFS(DATOS_[id],DATOS_[[#This Row],[id]])&gt;1,DATOS_[[#This Row],[id]],"")</f>
        <v/>
      </c>
      <c r="CJ859" s="141" t="n">
        <f aca="false">(Inicio!$G$10-DATOS_[[#This Row],[Fecha Nacimiento]])/365.25</f>
        <v>0</v>
      </c>
      <c r="CK859" s="141" t="n">
        <f aca="false">(Inicio!$G$10-DATOS_[[#This Row],[Fecha de Antigüedad]])/365.25</f>
        <v>0</v>
      </c>
      <c r="CL859" s="141" t="e">
        <f aca="false">+VLOOKUP(DATOS_[[#This Row],[Clave de Contrato]],TblTiposContrato13[],3,0)</f>
        <v>#N/A</v>
      </c>
      <c r="CM859" s="141" t="e">
        <f aca="false">+VLOOKUP(DATOS_[[#This Row],[Clave de Contrato]],TblTiposContrato13[],4,0)</f>
        <v>#N/A</v>
      </c>
      <c r="CN859" s="141" t="str">
        <f aca="false">VLOOKUP(DATOS_[[#This Row],[Edad]],CONTRATOS!TblRngEdad,2,1)</f>
        <v>20  o menos</v>
      </c>
      <c r="CO859" s="141" t="str">
        <f aca="false">VLOOKUP(DATOS_[[#This Row],[Antigüedad]],TblRngAntg14[],2,1)</f>
        <v>0 a 1 años</v>
      </c>
    </row>
    <row r="860" customFormat="false" ht="13.8" hidden="false" customHeight="false" outlineLevel="0" collapsed="false">
      <c r="D860" s="128"/>
      <c r="E860" s="129"/>
      <c r="F860" s="129"/>
      <c r="G860" s="129"/>
      <c r="H860" s="130"/>
      <c r="I860" s="131"/>
      <c r="J860" s="128"/>
      <c r="K860" s="132"/>
      <c r="L860" s="132"/>
      <c r="M860" s="133"/>
      <c r="N860" s="133"/>
      <c r="O860" s="133"/>
      <c r="P860" s="129"/>
      <c r="Z860" s="75"/>
      <c r="AA860" s="76"/>
      <c r="AB860" s="76"/>
      <c r="AC860" s="129"/>
      <c r="AD860" s="134"/>
      <c r="AE860" s="134"/>
      <c r="AF860" s="134"/>
      <c r="AG860" s="134"/>
      <c r="AH860" s="134"/>
      <c r="AI860" s="134"/>
      <c r="AJ860" s="134"/>
      <c r="AK860" s="134"/>
      <c r="AL860" s="134"/>
      <c r="AM860" s="134"/>
      <c r="AN860" s="134"/>
      <c r="AO860" s="134"/>
      <c r="AP860" s="134"/>
      <c r="AQ860" s="134"/>
      <c r="AR860" s="134"/>
      <c r="AS860" s="134"/>
      <c r="AT860" s="134"/>
      <c r="AU860" s="134"/>
      <c r="AV860" s="134"/>
      <c r="AW860" s="134"/>
      <c r="AX860" s="134"/>
      <c r="AY860" s="134"/>
      <c r="AZ860" s="134"/>
      <c r="BA860" s="134"/>
      <c r="BB860" s="134"/>
      <c r="BC860" s="134"/>
      <c r="BD860" s="134"/>
      <c r="BE860" s="134"/>
      <c r="BF860" s="134"/>
      <c r="BG860" s="134"/>
      <c r="BH860" s="134"/>
      <c r="BI860" s="134"/>
      <c r="BJ860" s="134"/>
      <c r="BK860" s="134"/>
      <c r="BL860" s="134"/>
      <c r="BM860" s="135"/>
      <c r="BN860" s="136" t="n">
        <f aca="false">+MAX($D$3,DATOS_[[#This Row],[Fecha Inicio Sit. Contract.]])</f>
        <v>0</v>
      </c>
      <c r="BO860" s="136" t="n">
        <f aca="false">+MIN($D$4,DATOS_[[#This Row],[Fecha Fin Sit. Contract.]])</f>
        <v>0</v>
      </c>
      <c r="BP860" s="137" t="n">
        <f aca="false">+DATOS_[[#This Row],[% de jornada]]*IF(DATOS_[[#This Row],[% jornada reducida]]="",1,DATOS_[[#This Row],[% jornada reducida]])</f>
        <v>0</v>
      </c>
      <c r="BQ860" s="137" t="n">
        <f aca="false">+(DATOS_[[#This Row],[F.fin.cal]]-DATOS_[[#This Row],[F.ini.cal]]+1)/($D$4-$D$3+1)</f>
        <v>1</v>
      </c>
      <c r="BR860" s="137" t="str">
        <f aca="false">IF(OR(AND(DATOS_[[#This Row],[Fecha Fin Contrato]]&lt;$D$3,DATOS_[[#This Row],[Fecha Fin Contrato]]&lt;&gt;""),DATOS_[[#This Row],[Fecha de Contratación]]&gt;$D$4),"Fuera","Dentro")</f>
        <v>Dentro</v>
      </c>
      <c r="BS860" s="137" t="str">
        <f aca="false" t="array" ref="BS860:BS860">IF(MAX(IF(DATOS_[id]=DATOS_[[#This Row],[id]],DATOS_[F.fin.cal]))=DATOS_[[#This Row],[F.fin.cal]],"Sí","NO")</f>
        <v>Sí</v>
      </c>
      <c r="BT860" s="137" t="str">
        <f aca="false">IF(AND(DATOS_[[#This Row],[% normaliz]]&lt;&gt;1,DATOS_[[#This Row],[% anualiz]]=1),"Sí","NO")</f>
        <v>Sí</v>
      </c>
      <c r="BU860" s="137" t="str">
        <f aca="false">IF(AND(DATOS_[[#This Row],[% normaliz]]=1,DATOS_[[#This Row],[% anualiz]]&lt;&gt;1),"Sí","NO")</f>
        <v>NO</v>
      </c>
      <c r="BV860" s="137" t="str">
        <f aca="false">IF(AND(DATOS_[[#This Row],[% normaliz]]&lt;&gt;1,DATOS_[[#This Row],[% anualiz]]&lt;&gt;1),"Sí","NO")</f>
        <v>NO</v>
      </c>
      <c r="BW860" s="137" t="str">
        <f aca="false">+IF(DATOS_[[#This Row],[% normaliz]]*DATOS_[[#This Row],[% anualiz]]=1,"NO","Sí")</f>
        <v>Sí</v>
      </c>
      <c r="BX860" s="138" t="e">
        <f aca="false">(DATOS_[[#This Row],[S.BASE]]*(1/DATOS_[[#This Row],[% normaliz]])*(1/DATOS_[[#This Row],[% anualiz]]))*IF(DATOS_[[#This Row],[Check Equiparado]]="Sí",1,0)</f>
        <v>#DIV/0!</v>
      </c>
      <c r="BY8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0" s="138" t="e">
        <f aca="false">+DATOS_[[#This Row],[SALARIO BASE Eq]]+DATOS_[[#This Row],[Tot COMPL.SAL Eq]]</f>
        <v>#DIV/0!</v>
      </c>
      <c r="CA860" s="138" t="e">
        <f aca="false" t="array" ref="CA860:CA8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0" s="138" t="e">
        <f aca="false">+DATOS_[[#This Row],[TOTAL SALARIO Eq]]+DATOS_[[#This Row],[Tot Extrasalarial Eq]]</f>
        <v>#DIV/0!</v>
      </c>
      <c r="CC860" s="139" t="n">
        <f aca="false">DATOS_[[#This Row],[S.BASE]]</f>
        <v>0</v>
      </c>
      <c r="CD860" s="139" t="n">
        <f aca="false">+SUM(DATOS_[[#This Row],[Conc.Sal.01]:[Conc.Sal.30]])</f>
        <v>0</v>
      </c>
      <c r="CE860" s="139" t="n">
        <f aca="false">+DATOS_[[#This Row],[SALARIO BASE Ef]]+DATOS_[[#This Row],[Tot COMPL.SAL Ef]]</f>
        <v>0</v>
      </c>
      <c r="CF860" s="139" t="n">
        <f aca="false">+SUM(DATOS_[[#This Row],[C.Extra.01]:[C.Extra.05]])</f>
        <v>0</v>
      </c>
      <c r="CG860" s="139" t="n">
        <f aca="false">+DATOS_[[#This Row],[TOTAL SALARIO Ef]]+DATOS_[[#This Row],[Tot Extrasalarial Ef]]</f>
        <v>0</v>
      </c>
      <c r="CH860" s="140" t="n">
        <f aca="false">MIN(IF(DATOS_[[#This Row],[Fecha Fin Contrato]]="",$D$4,DATOS_[[#This Row],[Fecha Fin Contrato]]),$D$4)-MAX(DATOS_[[#This Row],[Fecha de Contratación]],$D$3)+1</f>
        <v>1</v>
      </c>
      <c r="CI860" s="141" t="str">
        <f aca="false">IF(COUNTIFS(DATOS_[id],DATOS_[[#This Row],[id]])&gt;1,DATOS_[[#This Row],[id]],"")</f>
        <v/>
      </c>
      <c r="CJ860" s="141" t="n">
        <f aca="false">(Inicio!$G$10-DATOS_[[#This Row],[Fecha Nacimiento]])/365.25</f>
        <v>0</v>
      </c>
      <c r="CK860" s="141" t="n">
        <f aca="false">(Inicio!$G$10-DATOS_[[#This Row],[Fecha de Antigüedad]])/365.25</f>
        <v>0</v>
      </c>
      <c r="CL860" s="141" t="e">
        <f aca="false">+VLOOKUP(DATOS_[[#This Row],[Clave de Contrato]],TblTiposContrato13[],3,0)</f>
        <v>#N/A</v>
      </c>
      <c r="CM860" s="141" t="e">
        <f aca="false">+VLOOKUP(DATOS_[[#This Row],[Clave de Contrato]],TblTiposContrato13[],4,0)</f>
        <v>#N/A</v>
      </c>
      <c r="CN860" s="141" t="str">
        <f aca="false">VLOOKUP(DATOS_[[#This Row],[Edad]],CONTRATOS!TblRngEdad,2,1)</f>
        <v>20  o menos</v>
      </c>
      <c r="CO860" s="141" t="str">
        <f aca="false">VLOOKUP(DATOS_[[#This Row],[Antigüedad]],TblRngAntg14[],2,1)</f>
        <v>0 a 1 años</v>
      </c>
    </row>
    <row r="861" customFormat="false" ht="13.8" hidden="false" customHeight="false" outlineLevel="0" collapsed="false">
      <c r="D861" s="128"/>
      <c r="E861" s="129"/>
      <c r="F861" s="129"/>
      <c r="G861" s="129"/>
      <c r="H861" s="130"/>
      <c r="I861" s="131"/>
      <c r="J861" s="128"/>
      <c r="K861" s="132"/>
      <c r="L861" s="132"/>
      <c r="M861" s="133"/>
      <c r="N861" s="133"/>
      <c r="O861" s="133"/>
      <c r="P861" s="129"/>
      <c r="Z861" s="75"/>
      <c r="AA861" s="76"/>
      <c r="AB861" s="76"/>
      <c r="AC861" s="129"/>
      <c r="AD861" s="134"/>
      <c r="AE861" s="134"/>
      <c r="AF861" s="134"/>
      <c r="AG861" s="134"/>
      <c r="AH861" s="134"/>
      <c r="AI861" s="134"/>
      <c r="AJ861" s="134"/>
      <c r="AK861" s="134"/>
      <c r="AL861" s="134"/>
      <c r="AM861" s="134"/>
      <c r="AN861" s="134"/>
      <c r="AO861" s="134"/>
      <c r="AP861" s="134"/>
      <c r="AQ861" s="134"/>
      <c r="AR861" s="134"/>
      <c r="AS861" s="134"/>
      <c r="AT861" s="134"/>
      <c r="AU861" s="134"/>
      <c r="AV861" s="134"/>
      <c r="AW861" s="134"/>
      <c r="AX861" s="134"/>
      <c r="AY861" s="134"/>
      <c r="AZ861" s="134"/>
      <c r="BA861" s="134"/>
      <c r="BB861" s="134"/>
      <c r="BC861" s="134"/>
      <c r="BD861" s="134"/>
      <c r="BE861" s="134"/>
      <c r="BF861" s="134"/>
      <c r="BG861" s="134"/>
      <c r="BH861" s="134"/>
      <c r="BI861" s="134"/>
      <c r="BJ861" s="134"/>
      <c r="BK861" s="134"/>
      <c r="BL861" s="134"/>
      <c r="BM861" s="135"/>
      <c r="BN861" s="136" t="n">
        <f aca="false">+MAX($D$3,DATOS_[[#This Row],[Fecha Inicio Sit. Contract.]])</f>
        <v>0</v>
      </c>
      <c r="BO861" s="136" t="n">
        <f aca="false">+MIN($D$4,DATOS_[[#This Row],[Fecha Fin Sit. Contract.]])</f>
        <v>0</v>
      </c>
      <c r="BP861" s="137" t="n">
        <f aca="false">+DATOS_[[#This Row],[% de jornada]]*IF(DATOS_[[#This Row],[% jornada reducida]]="",1,DATOS_[[#This Row],[% jornada reducida]])</f>
        <v>0</v>
      </c>
      <c r="BQ861" s="137" t="n">
        <f aca="false">+(DATOS_[[#This Row],[F.fin.cal]]-DATOS_[[#This Row],[F.ini.cal]]+1)/($D$4-$D$3+1)</f>
        <v>1</v>
      </c>
      <c r="BR861" s="137" t="str">
        <f aca="false">IF(OR(AND(DATOS_[[#This Row],[Fecha Fin Contrato]]&lt;$D$3,DATOS_[[#This Row],[Fecha Fin Contrato]]&lt;&gt;""),DATOS_[[#This Row],[Fecha de Contratación]]&gt;$D$4),"Fuera","Dentro")</f>
        <v>Dentro</v>
      </c>
      <c r="BS861" s="137" t="str">
        <f aca="false" t="array" ref="BS861:BS861">IF(MAX(IF(DATOS_[id]=DATOS_[[#This Row],[id]],DATOS_[F.fin.cal]))=DATOS_[[#This Row],[F.fin.cal]],"Sí","NO")</f>
        <v>Sí</v>
      </c>
      <c r="BT861" s="137" t="str">
        <f aca="false">IF(AND(DATOS_[[#This Row],[% normaliz]]&lt;&gt;1,DATOS_[[#This Row],[% anualiz]]=1),"Sí","NO")</f>
        <v>Sí</v>
      </c>
      <c r="BU861" s="137" t="str">
        <f aca="false">IF(AND(DATOS_[[#This Row],[% normaliz]]=1,DATOS_[[#This Row],[% anualiz]]&lt;&gt;1),"Sí","NO")</f>
        <v>NO</v>
      </c>
      <c r="BV861" s="137" t="str">
        <f aca="false">IF(AND(DATOS_[[#This Row],[% normaliz]]&lt;&gt;1,DATOS_[[#This Row],[% anualiz]]&lt;&gt;1),"Sí","NO")</f>
        <v>NO</v>
      </c>
      <c r="BW861" s="137" t="str">
        <f aca="false">+IF(DATOS_[[#This Row],[% normaliz]]*DATOS_[[#This Row],[% anualiz]]=1,"NO","Sí")</f>
        <v>Sí</v>
      </c>
      <c r="BX861" s="138" t="e">
        <f aca="false">(DATOS_[[#This Row],[S.BASE]]*(1/DATOS_[[#This Row],[% normaliz]])*(1/DATOS_[[#This Row],[% anualiz]]))*IF(DATOS_[[#This Row],[Check Equiparado]]="Sí",1,0)</f>
        <v>#DIV/0!</v>
      </c>
      <c r="BY8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1" s="138" t="e">
        <f aca="false">+DATOS_[[#This Row],[SALARIO BASE Eq]]+DATOS_[[#This Row],[Tot COMPL.SAL Eq]]</f>
        <v>#DIV/0!</v>
      </c>
      <c r="CA861" s="138" t="e">
        <f aca="false" t="array" ref="CA861:CA8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1" s="138" t="e">
        <f aca="false">+DATOS_[[#This Row],[TOTAL SALARIO Eq]]+DATOS_[[#This Row],[Tot Extrasalarial Eq]]</f>
        <v>#DIV/0!</v>
      </c>
      <c r="CC861" s="139" t="n">
        <f aca="false">DATOS_[[#This Row],[S.BASE]]</f>
        <v>0</v>
      </c>
      <c r="CD861" s="139" t="n">
        <f aca="false">+SUM(DATOS_[[#This Row],[Conc.Sal.01]:[Conc.Sal.30]])</f>
        <v>0</v>
      </c>
      <c r="CE861" s="139" t="n">
        <f aca="false">+DATOS_[[#This Row],[SALARIO BASE Ef]]+DATOS_[[#This Row],[Tot COMPL.SAL Ef]]</f>
        <v>0</v>
      </c>
      <c r="CF861" s="139" t="n">
        <f aca="false">+SUM(DATOS_[[#This Row],[C.Extra.01]:[C.Extra.05]])</f>
        <v>0</v>
      </c>
      <c r="CG861" s="139" t="n">
        <f aca="false">+DATOS_[[#This Row],[TOTAL SALARIO Ef]]+DATOS_[[#This Row],[Tot Extrasalarial Ef]]</f>
        <v>0</v>
      </c>
      <c r="CH861" s="140" t="n">
        <f aca="false">MIN(IF(DATOS_[[#This Row],[Fecha Fin Contrato]]="",$D$4,DATOS_[[#This Row],[Fecha Fin Contrato]]),$D$4)-MAX(DATOS_[[#This Row],[Fecha de Contratación]],$D$3)+1</f>
        <v>1</v>
      </c>
      <c r="CI861" s="141" t="str">
        <f aca="false">IF(COUNTIFS(DATOS_[id],DATOS_[[#This Row],[id]])&gt;1,DATOS_[[#This Row],[id]],"")</f>
        <v/>
      </c>
      <c r="CJ861" s="141" t="n">
        <f aca="false">(Inicio!$G$10-DATOS_[[#This Row],[Fecha Nacimiento]])/365.25</f>
        <v>0</v>
      </c>
      <c r="CK861" s="141" t="n">
        <f aca="false">(Inicio!$G$10-DATOS_[[#This Row],[Fecha de Antigüedad]])/365.25</f>
        <v>0</v>
      </c>
      <c r="CL861" s="141" t="e">
        <f aca="false">+VLOOKUP(DATOS_[[#This Row],[Clave de Contrato]],TblTiposContrato13[],3,0)</f>
        <v>#N/A</v>
      </c>
      <c r="CM861" s="141" t="e">
        <f aca="false">+VLOOKUP(DATOS_[[#This Row],[Clave de Contrato]],TblTiposContrato13[],4,0)</f>
        <v>#N/A</v>
      </c>
      <c r="CN861" s="141" t="str">
        <f aca="false">VLOOKUP(DATOS_[[#This Row],[Edad]],CONTRATOS!TblRngEdad,2,1)</f>
        <v>20  o menos</v>
      </c>
      <c r="CO861" s="141" t="str">
        <f aca="false">VLOOKUP(DATOS_[[#This Row],[Antigüedad]],TblRngAntg14[],2,1)</f>
        <v>0 a 1 años</v>
      </c>
    </row>
    <row r="862" customFormat="false" ht="13.8" hidden="false" customHeight="false" outlineLevel="0" collapsed="false">
      <c r="D862" s="128"/>
      <c r="E862" s="129"/>
      <c r="F862" s="129"/>
      <c r="G862" s="129"/>
      <c r="H862" s="130"/>
      <c r="I862" s="131"/>
      <c r="J862" s="128"/>
      <c r="K862" s="132"/>
      <c r="L862" s="132"/>
      <c r="M862" s="133"/>
      <c r="N862" s="133"/>
      <c r="O862" s="133"/>
      <c r="P862" s="129"/>
      <c r="Z862" s="75"/>
      <c r="AA862" s="76"/>
      <c r="AB862" s="76"/>
      <c r="AC862" s="129"/>
      <c r="AD862" s="134"/>
      <c r="AE862" s="134"/>
      <c r="AF862" s="134"/>
      <c r="AG862" s="134"/>
      <c r="AH862" s="134"/>
      <c r="AI862" s="134"/>
      <c r="AJ862" s="134"/>
      <c r="AK862" s="134"/>
      <c r="AL862" s="134"/>
      <c r="AM862" s="134"/>
      <c r="AN862" s="134"/>
      <c r="AO862" s="134"/>
      <c r="AP862" s="134"/>
      <c r="AQ862" s="134"/>
      <c r="AR862" s="134"/>
      <c r="AS862" s="134"/>
      <c r="AT862" s="134"/>
      <c r="AU862" s="134"/>
      <c r="AV862" s="134"/>
      <c r="AW862" s="134"/>
      <c r="AX862" s="134"/>
      <c r="AY862" s="134"/>
      <c r="AZ862" s="134"/>
      <c r="BA862" s="134"/>
      <c r="BB862" s="134"/>
      <c r="BC862" s="134"/>
      <c r="BD862" s="134"/>
      <c r="BE862" s="134"/>
      <c r="BF862" s="134"/>
      <c r="BG862" s="134"/>
      <c r="BH862" s="134"/>
      <c r="BI862" s="134"/>
      <c r="BJ862" s="134"/>
      <c r="BK862" s="134"/>
      <c r="BL862" s="134"/>
      <c r="BM862" s="135"/>
      <c r="BN862" s="136" t="n">
        <f aca="false">+MAX($D$3,DATOS_[[#This Row],[Fecha Inicio Sit. Contract.]])</f>
        <v>0</v>
      </c>
      <c r="BO862" s="136" t="n">
        <f aca="false">+MIN($D$4,DATOS_[[#This Row],[Fecha Fin Sit. Contract.]])</f>
        <v>0</v>
      </c>
      <c r="BP862" s="137" t="n">
        <f aca="false">+DATOS_[[#This Row],[% de jornada]]*IF(DATOS_[[#This Row],[% jornada reducida]]="",1,DATOS_[[#This Row],[% jornada reducida]])</f>
        <v>0</v>
      </c>
      <c r="BQ862" s="137" t="n">
        <f aca="false">+(DATOS_[[#This Row],[F.fin.cal]]-DATOS_[[#This Row],[F.ini.cal]]+1)/($D$4-$D$3+1)</f>
        <v>1</v>
      </c>
      <c r="BR862" s="137" t="str">
        <f aca="false">IF(OR(AND(DATOS_[[#This Row],[Fecha Fin Contrato]]&lt;$D$3,DATOS_[[#This Row],[Fecha Fin Contrato]]&lt;&gt;""),DATOS_[[#This Row],[Fecha de Contratación]]&gt;$D$4),"Fuera","Dentro")</f>
        <v>Dentro</v>
      </c>
      <c r="BS862" s="137" t="str">
        <f aca="false" t="array" ref="BS862:BS862">IF(MAX(IF(DATOS_[id]=DATOS_[[#This Row],[id]],DATOS_[F.fin.cal]))=DATOS_[[#This Row],[F.fin.cal]],"Sí","NO")</f>
        <v>Sí</v>
      </c>
      <c r="BT862" s="137" t="str">
        <f aca="false">IF(AND(DATOS_[[#This Row],[% normaliz]]&lt;&gt;1,DATOS_[[#This Row],[% anualiz]]=1),"Sí","NO")</f>
        <v>Sí</v>
      </c>
      <c r="BU862" s="137" t="str">
        <f aca="false">IF(AND(DATOS_[[#This Row],[% normaliz]]=1,DATOS_[[#This Row],[% anualiz]]&lt;&gt;1),"Sí","NO")</f>
        <v>NO</v>
      </c>
      <c r="BV862" s="137" t="str">
        <f aca="false">IF(AND(DATOS_[[#This Row],[% normaliz]]&lt;&gt;1,DATOS_[[#This Row],[% anualiz]]&lt;&gt;1),"Sí","NO")</f>
        <v>NO</v>
      </c>
      <c r="BW862" s="137" t="str">
        <f aca="false">+IF(DATOS_[[#This Row],[% normaliz]]*DATOS_[[#This Row],[% anualiz]]=1,"NO","Sí")</f>
        <v>Sí</v>
      </c>
      <c r="BX862" s="138" t="e">
        <f aca="false">(DATOS_[[#This Row],[S.BASE]]*(1/DATOS_[[#This Row],[% normaliz]])*(1/DATOS_[[#This Row],[% anualiz]]))*IF(DATOS_[[#This Row],[Check Equiparado]]="Sí",1,0)</f>
        <v>#DIV/0!</v>
      </c>
      <c r="BY8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2" s="138" t="e">
        <f aca="false">+DATOS_[[#This Row],[SALARIO BASE Eq]]+DATOS_[[#This Row],[Tot COMPL.SAL Eq]]</f>
        <v>#DIV/0!</v>
      </c>
      <c r="CA862" s="138" t="e">
        <f aca="false" t="array" ref="CA862:CA8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2" s="138" t="e">
        <f aca="false">+DATOS_[[#This Row],[TOTAL SALARIO Eq]]+DATOS_[[#This Row],[Tot Extrasalarial Eq]]</f>
        <v>#DIV/0!</v>
      </c>
      <c r="CC862" s="139" t="n">
        <f aca="false">DATOS_[[#This Row],[S.BASE]]</f>
        <v>0</v>
      </c>
      <c r="CD862" s="139" t="n">
        <f aca="false">+SUM(DATOS_[[#This Row],[Conc.Sal.01]:[Conc.Sal.30]])</f>
        <v>0</v>
      </c>
      <c r="CE862" s="139" t="n">
        <f aca="false">+DATOS_[[#This Row],[SALARIO BASE Ef]]+DATOS_[[#This Row],[Tot COMPL.SAL Ef]]</f>
        <v>0</v>
      </c>
      <c r="CF862" s="139" t="n">
        <f aca="false">+SUM(DATOS_[[#This Row],[C.Extra.01]:[C.Extra.05]])</f>
        <v>0</v>
      </c>
      <c r="CG862" s="139" t="n">
        <f aca="false">+DATOS_[[#This Row],[TOTAL SALARIO Ef]]+DATOS_[[#This Row],[Tot Extrasalarial Ef]]</f>
        <v>0</v>
      </c>
      <c r="CH862" s="140" t="n">
        <f aca="false">MIN(IF(DATOS_[[#This Row],[Fecha Fin Contrato]]="",$D$4,DATOS_[[#This Row],[Fecha Fin Contrato]]),$D$4)-MAX(DATOS_[[#This Row],[Fecha de Contratación]],$D$3)+1</f>
        <v>1</v>
      </c>
      <c r="CI862" s="141" t="str">
        <f aca="false">IF(COUNTIFS(DATOS_[id],DATOS_[[#This Row],[id]])&gt;1,DATOS_[[#This Row],[id]],"")</f>
        <v/>
      </c>
      <c r="CJ862" s="141" t="n">
        <f aca="false">(Inicio!$G$10-DATOS_[[#This Row],[Fecha Nacimiento]])/365.25</f>
        <v>0</v>
      </c>
      <c r="CK862" s="141" t="n">
        <f aca="false">(Inicio!$G$10-DATOS_[[#This Row],[Fecha de Antigüedad]])/365.25</f>
        <v>0</v>
      </c>
      <c r="CL862" s="141" t="e">
        <f aca="false">+VLOOKUP(DATOS_[[#This Row],[Clave de Contrato]],TblTiposContrato13[],3,0)</f>
        <v>#N/A</v>
      </c>
      <c r="CM862" s="141" t="e">
        <f aca="false">+VLOOKUP(DATOS_[[#This Row],[Clave de Contrato]],TblTiposContrato13[],4,0)</f>
        <v>#N/A</v>
      </c>
      <c r="CN862" s="141" t="str">
        <f aca="false">VLOOKUP(DATOS_[[#This Row],[Edad]],CONTRATOS!TblRngEdad,2,1)</f>
        <v>20  o menos</v>
      </c>
      <c r="CO862" s="141" t="str">
        <f aca="false">VLOOKUP(DATOS_[[#This Row],[Antigüedad]],TblRngAntg14[],2,1)</f>
        <v>0 a 1 años</v>
      </c>
    </row>
    <row r="863" customFormat="false" ht="13.8" hidden="false" customHeight="false" outlineLevel="0" collapsed="false">
      <c r="D863" s="128"/>
      <c r="E863" s="129"/>
      <c r="F863" s="129"/>
      <c r="G863" s="129"/>
      <c r="H863" s="130"/>
      <c r="I863" s="131"/>
      <c r="J863" s="128"/>
      <c r="K863" s="132"/>
      <c r="L863" s="132"/>
      <c r="M863" s="133"/>
      <c r="N863" s="133"/>
      <c r="O863" s="133"/>
      <c r="P863" s="129"/>
      <c r="Z863" s="75"/>
      <c r="AA863" s="76"/>
      <c r="AB863" s="76"/>
      <c r="AC863" s="129"/>
      <c r="AD863" s="134"/>
      <c r="AE863" s="134"/>
      <c r="AF863" s="134"/>
      <c r="AG863" s="134"/>
      <c r="AH863" s="134"/>
      <c r="AI863" s="134"/>
      <c r="AJ863" s="134"/>
      <c r="AK863" s="134"/>
      <c r="AL863" s="134"/>
      <c r="AM863" s="134"/>
      <c r="AN863" s="134"/>
      <c r="AO863" s="134"/>
      <c r="AP863" s="134"/>
      <c r="AQ863" s="134"/>
      <c r="AR863" s="134"/>
      <c r="AS863" s="134"/>
      <c r="AT863" s="134"/>
      <c r="AU863" s="134"/>
      <c r="AV863" s="134"/>
      <c r="AW863" s="134"/>
      <c r="AX863" s="134"/>
      <c r="AY863" s="134"/>
      <c r="AZ863" s="134"/>
      <c r="BA863" s="134"/>
      <c r="BB863" s="134"/>
      <c r="BC863" s="134"/>
      <c r="BD863" s="134"/>
      <c r="BE863" s="134"/>
      <c r="BF863" s="134"/>
      <c r="BG863" s="134"/>
      <c r="BH863" s="134"/>
      <c r="BI863" s="134"/>
      <c r="BJ863" s="134"/>
      <c r="BK863" s="134"/>
      <c r="BL863" s="134"/>
      <c r="BM863" s="135"/>
      <c r="BN863" s="136" t="n">
        <f aca="false">+MAX($D$3,DATOS_[[#This Row],[Fecha Inicio Sit. Contract.]])</f>
        <v>0</v>
      </c>
      <c r="BO863" s="136" t="n">
        <f aca="false">+MIN($D$4,DATOS_[[#This Row],[Fecha Fin Sit. Contract.]])</f>
        <v>0</v>
      </c>
      <c r="BP863" s="137" t="n">
        <f aca="false">+DATOS_[[#This Row],[% de jornada]]*IF(DATOS_[[#This Row],[% jornada reducida]]="",1,DATOS_[[#This Row],[% jornada reducida]])</f>
        <v>0</v>
      </c>
      <c r="BQ863" s="137" t="n">
        <f aca="false">+(DATOS_[[#This Row],[F.fin.cal]]-DATOS_[[#This Row],[F.ini.cal]]+1)/($D$4-$D$3+1)</f>
        <v>1</v>
      </c>
      <c r="BR863" s="137" t="str">
        <f aca="false">IF(OR(AND(DATOS_[[#This Row],[Fecha Fin Contrato]]&lt;$D$3,DATOS_[[#This Row],[Fecha Fin Contrato]]&lt;&gt;""),DATOS_[[#This Row],[Fecha de Contratación]]&gt;$D$4),"Fuera","Dentro")</f>
        <v>Dentro</v>
      </c>
      <c r="BS863" s="137" t="str">
        <f aca="false" t="array" ref="BS863:BS863">IF(MAX(IF(DATOS_[id]=DATOS_[[#This Row],[id]],DATOS_[F.fin.cal]))=DATOS_[[#This Row],[F.fin.cal]],"Sí","NO")</f>
        <v>Sí</v>
      </c>
      <c r="BT863" s="137" t="str">
        <f aca="false">IF(AND(DATOS_[[#This Row],[% normaliz]]&lt;&gt;1,DATOS_[[#This Row],[% anualiz]]=1),"Sí","NO")</f>
        <v>Sí</v>
      </c>
      <c r="BU863" s="137" t="str">
        <f aca="false">IF(AND(DATOS_[[#This Row],[% normaliz]]=1,DATOS_[[#This Row],[% anualiz]]&lt;&gt;1),"Sí","NO")</f>
        <v>NO</v>
      </c>
      <c r="BV863" s="137" t="str">
        <f aca="false">IF(AND(DATOS_[[#This Row],[% normaliz]]&lt;&gt;1,DATOS_[[#This Row],[% anualiz]]&lt;&gt;1),"Sí","NO")</f>
        <v>NO</v>
      </c>
      <c r="BW863" s="137" t="str">
        <f aca="false">+IF(DATOS_[[#This Row],[% normaliz]]*DATOS_[[#This Row],[% anualiz]]=1,"NO","Sí")</f>
        <v>Sí</v>
      </c>
      <c r="BX863" s="138" t="e">
        <f aca="false">(DATOS_[[#This Row],[S.BASE]]*(1/DATOS_[[#This Row],[% normaliz]])*(1/DATOS_[[#This Row],[% anualiz]]))*IF(DATOS_[[#This Row],[Check Equiparado]]="Sí",1,0)</f>
        <v>#DIV/0!</v>
      </c>
      <c r="BY8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3" s="138" t="e">
        <f aca="false">+DATOS_[[#This Row],[SALARIO BASE Eq]]+DATOS_[[#This Row],[Tot COMPL.SAL Eq]]</f>
        <v>#DIV/0!</v>
      </c>
      <c r="CA863" s="138" t="e">
        <f aca="false" t="array" ref="CA863:CA8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3" s="138" t="e">
        <f aca="false">+DATOS_[[#This Row],[TOTAL SALARIO Eq]]+DATOS_[[#This Row],[Tot Extrasalarial Eq]]</f>
        <v>#DIV/0!</v>
      </c>
      <c r="CC863" s="139" t="n">
        <f aca="false">DATOS_[[#This Row],[S.BASE]]</f>
        <v>0</v>
      </c>
      <c r="CD863" s="139" t="n">
        <f aca="false">+SUM(DATOS_[[#This Row],[Conc.Sal.01]:[Conc.Sal.30]])</f>
        <v>0</v>
      </c>
      <c r="CE863" s="139" t="n">
        <f aca="false">+DATOS_[[#This Row],[SALARIO BASE Ef]]+DATOS_[[#This Row],[Tot COMPL.SAL Ef]]</f>
        <v>0</v>
      </c>
      <c r="CF863" s="139" t="n">
        <f aca="false">+SUM(DATOS_[[#This Row],[C.Extra.01]:[C.Extra.05]])</f>
        <v>0</v>
      </c>
      <c r="CG863" s="139" t="n">
        <f aca="false">+DATOS_[[#This Row],[TOTAL SALARIO Ef]]+DATOS_[[#This Row],[Tot Extrasalarial Ef]]</f>
        <v>0</v>
      </c>
      <c r="CH863" s="140" t="n">
        <f aca="false">MIN(IF(DATOS_[[#This Row],[Fecha Fin Contrato]]="",$D$4,DATOS_[[#This Row],[Fecha Fin Contrato]]),$D$4)-MAX(DATOS_[[#This Row],[Fecha de Contratación]],$D$3)+1</f>
        <v>1</v>
      </c>
      <c r="CI863" s="141" t="str">
        <f aca="false">IF(COUNTIFS(DATOS_[id],DATOS_[[#This Row],[id]])&gt;1,DATOS_[[#This Row],[id]],"")</f>
        <v/>
      </c>
      <c r="CJ863" s="141" t="n">
        <f aca="false">(Inicio!$G$10-DATOS_[[#This Row],[Fecha Nacimiento]])/365.25</f>
        <v>0</v>
      </c>
      <c r="CK863" s="141" t="n">
        <f aca="false">(Inicio!$G$10-DATOS_[[#This Row],[Fecha de Antigüedad]])/365.25</f>
        <v>0</v>
      </c>
      <c r="CL863" s="141" t="e">
        <f aca="false">+VLOOKUP(DATOS_[[#This Row],[Clave de Contrato]],TblTiposContrato13[],3,0)</f>
        <v>#N/A</v>
      </c>
      <c r="CM863" s="141" t="e">
        <f aca="false">+VLOOKUP(DATOS_[[#This Row],[Clave de Contrato]],TblTiposContrato13[],4,0)</f>
        <v>#N/A</v>
      </c>
      <c r="CN863" s="141" t="str">
        <f aca="false">VLOOKUP(DATOS_[[#This Row],[Edad]],CONTRATOS!TblRngEdad,2,1)</f>
        <v>20  o menos</v>
      </c>
      <c r="CO863" s="141" t="str">
        <f aca="false">VLOOKUP(DATOS_[[#This Row],[Antigüedad]],TblRngAntg14[],2,1)</f>
        <v>0 a 1 años</v>
      </c>
    </row>
    <row r="864" customFormat="false" ht="13.8" hidden="false" customHeight="false" outlineLevel="0" collapsed="false">
      <c r="D864" s="128"/>
      <c r="E864" s="129"/>
      <c r="F864" s="129"/>
      <c r="G864" s="129"/>
      <c r="H864" s="130"/>
      <c r="I864" s="131"/>
      <c r="J864" s="128"/>
      <c r="K864" s="132"/>
      <c r="L864" s="132"/>
      <c r="M864" s="133"/>
      <c r="N864" s="133"/>
      <c r="O864" s="133"/>
      <c r="P864" s="129"/>
      <c r="Z864" s="75"/>
      <c r="AA864" s="76"/>
      <c r="AB864" s="76"/>
      <c r="AC864" s="129"/>
      <c r="AD864" s="134"/>
      <c r="AE864" s="134"/>
      <c r="AF864" s="134"/>
      <c r="AG864" s="134"/>
      <c r="AH864" s="134"/>
      <c r="AI864" s="134"/>
      <c r="AJ864" s="134"/>
      <c r="AK864" s="134"/>
      <c r="AL864" s="134"/>
      <c r="AM864" s="134"/>
      <c r="AN864" s="134"/>
      <c r="AO864" s="134"/>
      <c r="AP864" s="134"/>
      <c r="AQ864" s="134"/>
      <c r="AR864" s="134"/>
      <c r="AS864" s="134"/>
      <c r="AT864" s="134"/>
      <c r="AU864" s="134"/>
      <c r="AV864" s="134"/>
      <c r="AW864" s="134"/>
      <c r="AX864" s="134"/>
      <c r="AY864" s="134"/>
      <c r="AZ864" s="134"/>
      <c r="BA864" s="134"/>
      <c r="BB864" s="134"/>
      <c r="BC864" s="134"/>
      <c r="BD864" s="134"/>
      <c r="BE864" s="134"/>
      <c r="BF864" s="134"/>
      <c r="BG864" s="134"/>
      <c r="BH864" s="134"/>
      <c r="BI864" s="134"/>
      <c r="BJ864" s="134"/>
      <c r="BK864" s="134"/>
      <c r="BL864" s="134"/>
      <c r="BM864" s="135"/>
      <c r="BN864" s="136" t="n">
        <f aca="false">+MAX($D$3,DATOS_[[#This Row],[Fecha Inicio Sit. Contract.]])</f>
        <v>0</v>
      </c>
      <c r="BO864" s="136" t="n">
        <f aca="false">+MIN($D$4,DATOS_[[#This Row],[Fecha Fin Sit. Contract.]])</f>
        <v>0</v>
      </c>
      <c r="BP864" s="137" t="n">
        <f aca="false">+DATOS_[[#This Row],[% de jornada]]*IF(DATOS_[[#This Row],[% jornada reducida]]="",1,DATOS_[[#This Row],[% jornada reducida]])</f>
        <v>0</v>
      </c>
      <c r="BQ864" s="137" t="n">
        <f aca="false">+(DATOS_[[#This Row],[F.fin.cal]]-DATOS_[[#This Row],[F.ini.cal]]+1)/($D$4-$D$3+1)</f>
        <v>1</v>
      </c>
      <c r="BR864" s="137" t="str">
        <f aca="false">IF(OR(AND(DATOS_[[#This Row],[Fecha Fin Contrato]]&lt;$D$3,DATOS_[[#This Row],[Fecha Fin Contrato]]&lt;&gt;""),DATOS_[[#This Row],[Fecha de Contratación]]&gt;$D$4),"Fuera","Dentro")</f>
        <v>Dentro</v>
      </c>
      <c r="BS864" s="137" t="str">
        <f aca="false" t="array" ref="BS864:BS864">IF(MAX(IF(DATOS_[id]=DATOS_[[#This Row],[id]],DATOS_[F.fin.cal]))=DATOS_[[#This Row],[F.fin.cal]],"Sí","NO")</f>
        <v>Sí</v>
      </c>
      <c r="BT864" s="137" t="str">
        <f aca="false">IF(AND(DATOS_[[#This Row],[% normaliz]]&lt;&gt;1,DATOS_[[#This Row],[% anualiz]]=1),"Sí","NO")</f>
        <v>Sí</v>
      </c>
      <c r="BU864" s="137" t="str">
        <f aca="false">IF(AND(DATOS_[[#This Row],[% normaliz]]=1,DATOS_[[#This Row],[% anualiz]]&lt;&gt;1),"Sí","NO")</f>
        <v>NO</v>
      </c>
      <c r="BV864" s="137" t="str">
        <f aca="false">IF(AND(DATOS_[[#This Row],[% normaliz]]&lt;&gt;1,DATOS_[[#This Row],[% anualiz]]&lt;&gt;1),"Sí","NO")</f>
        <v>NO</v>
      </c>
      <c r="BW864" s="137" t="str">
        <f aca="false">+IF(DATOS_[[#This Row],[% normaliz]]*DATOS_[[#This Row],[% anualiz]]=1,"NO","Sí")</f>
        <v>Sí</v>
      </c>
      <c r="BX864" s="138" t="e">
        <f aca="false">(DATOS_[[#This Row],[S.BASE]]*(1/DATOS_[[#This Row],[% normaliz]])*(1/DATOS_[[#This Row],[% anualiz]]))*IF(DATOS_[[#This Row],[Check Equiparado]]="Sí",1,0)</f>
        <v>#DIV/0!</v>
      </c>
      <c r="BY8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4" s="138" t="e">
        <f aca="false">+DATOS_[[#This Row],[SALARIO BASE Eq]]+DATOS_[[#This Row],[Tot COMPL.SAL Eq]]</f>
        <v>#DIV/0!</v>
      </c>
      <c r="CA864" s="138" t="e">
        <f aca="false" t="array" ref="CA864:CA8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4" s="138" t="e">
        <f aca="false">+DATOS_[[#This Row],[TOTAL SALARIO Eq]]+DATOS_[[#This Row],[Tot Extrasalarial Eq]]</f>
        <v>#DIV/0!</v>
      </c>
      <c r="CC864" s="139" t="n">
        <f aca="false">DATOS_[[#This Row],[S.BASE]]</f>
        <v>0</v>
      </c>
      <c r="CD864" s="139" t="n">
        <f aca="false">+SUM(DATOS_[[#This Row],[Conc.Sal.01]:[Conc.Sal.30]])</f>
        <v>0</v>
      </c>
      <c r="CE864" s="139" t="n">
        <f aca="false">+DATOS_[[#This Row],[SALARIO BASE Ef]]+DATOS_[[#This Row],[Tot COMPL.SAL Ef]]</f>
        <v>0</v>
      </c>
      <c r="CF864" s="139" t="n">
        <f aca="false">+SUM(DATOS_[[#This Row],[C.Extra.01]:[C.Extra.05]])</f>
        <v>0</v>
      </c>
      <c r="CG864" s="139" t="n">
        <f aca="false">+DATOS_[[#This Row],[TOTAL SALARIO Ef]]+DATOS_[[#This Row],[Tot Extrasalarial Ef]]</f>
        <v>0</v>
      </c>
      <c r="CH864" s="140" t="n">
        <f aca="false">MIN(IF(DATOS_[[#This Row],[Fecha Fin Contrato]]="",$D$4,DATOS_[[#This Row],[Fecha Fin Contrato]]),$D$4)-MAX(DATOS_[[#This Row],[Fecha de Contratación]],$D$3)+1</f>
        <v>1</v>
      </c>
      <c r="CI864" s="141" t="str">
        <f aca="false">IF(COUNTIFS(DATOS_[id],DATOS_[[#This Row],[id]])&gt;1,DATOS_[[#This Row],[id]],"")</f>
        <v/>
      </c>
      <c r="CJ864" s="141" t="n">
        <f aca="false">(Inicio!$G$10-DATOS_[[#This Row],[Fecha Nacimiento]])/365.25</f>
        <v>0</v>
      </c>
      <c r="CK864" s="141" t="n">
        <f aca="false">(Inicio!$G$10-DATOS_[[#This Row],[Fecha de Antigüedad]])/365.25</f>
        <v>0</v>
      </c>
      <c r="CL864" s="141" t="e">
        <f aca="false">+VLOOKUP(DATOS_[[#This Row],[Clave de Contrato]],TblTiposContrato13[],3,0)</f>
        <v>#N/A</v>
      </c>
      <c r="CM864" s="141" t="e">
        <f aca="false">+VLOOKUP(DATOS_[[#This Row],[Clave de Contrato]],TblTiposContrato13[],4,0)</f>
        <v>#N/A</v>
      </c>
      <c r="CN864" s="141" t="str">
        <f aca="false">VLOOKUP(DATOS_[[#This Row],[Edad]],CONTRATOS!TblRngEdad,2,1)</f>
        <v>20  o menos</v>
      </c>
      <c r="CO864" s="141" t="str">
        <f aca="false">VLOOKUP(DATOS_[[#This Row],[Antigüedad]],TblRngAntg14[],2,1)</f>
        <v>0 a 1 años</v>
      </c>
    </row>
    <row r="865" customFormat="false" ht="13.8" hidden="false" customHeight="false" outlineLevel="0" collapsed="false">
      <c r="D865" s="128"/>
      <c r="E865" s="129"/>
      <c r="F865" s="129"/>
      <c r="G865" s="129"/>
      <c r="H865" s="130"/>
      <c r="I865" s="131"/>
      <c r="J865" s="128"/>
      <c r="K865" s="132"/>
      <c r="L865" s="132"/>
      <c r="M865" s="133"/>
      <c r="N865" s="133"/>
      <c r="O865" s="133"/>
      <c r="P865" s="129"/>
      <c r="Z865" s="75"/>
      <c r="AA865" s="76"/>
      <c r="AB865" s="76"/>
      <c r="AC865" s="129"/>
      <c r="AD865" s="134"/>
      <c r="AE865" s="134"/>
      <c r="AF865" s="134"/>
      <c r="AG865" s="134"/>
      <c r="AH865" s="134"/>
      <c r="AI865" s="134"/>
      <c r="AJ865" s="134"/>
      <c r="AK865" s="134"/>
      <c r="AL865" s="134"/>
      <c r="AM865" s="134"/>
      <c r="AN865" s="134"/>
      <c r="AO865" s="134"/>
      <c r="AP865" s="134"/>
      <c r="AQ865" s="134"/>
      <c r="AR865" s="134"/>
      <c r="AS865" s="134"/>
      <c r="AT865" s="134"/>
      <c r="AU865" s="134"/>
      <c r="AV865" s="134"/>
      <c r="AW865" s="134"/>
      <c r="AX865" s="134"/>
      <c r="AY865" s="134"/>
      <c r="AZ865" s="134"/>
      <c r="BA865" s="134"/>
      <c r="BB865" s="134"/>
      <c r="BC865" s="134"/>
      <c r="BD865" s="134"/>
      <c r="BE865" s="134"/>
      <c r="BF865" s="134"/>
      <c r="BG865" s="134"/>
      <c r="BH865" s="134"/>
      <c r="BI865" s="134"/>
      <c r="BJ865" s="134"/>
      <c r="BK865" s="134"/>
      <c r="BL865" s="134"/>
      <c r="BM865" s="135"/>
      <c r="BN865" s="136" t="n">
        <f aca="false">+MAX($D$3,DATOS_[[#This Row],[Fecha Inicio Sit. Contract.]])</f>
        <v>0</v>
      </c>
      <c r="BO865" s="136" t="n">
        <f aca="false">+MIN($D$4,DATOS_[[#This Row],[Fecha Fin Sit. Contract.]])</f>
        <v>0</v>
      </c>
      <c r="BP865" s="137" t="n">
        <f aca="false">+DATOS_[[#This Row],[% de jornada]]*IF(DATOS_[[#This Row],[% jornada reducida]]="",1,DATOS_[[#This Row],[% jornada reducida]])</f>
        <v>0</v>
      </c>
      <c r="BQ865" s="137" t="n">
        <f aca="false">+(DATOS_[[#This Row],[F.fin.cal]]-DATOS_[[#This Row],[F.ini.cal]]+1)/($D$4-$D$3+1)</f>
        <v>1</v>
      </c>
      <c r="BR865" s="137" t="str">
        <f aca="false">IF(OR(AND(DATOS_[[#This Row],[Fecha Fin Contrato]]&lt;$D$3,DATOS_[[#This Row],[Fecha Fin Contrato]]&lt;&gt;""),DATOS_[[#This Row],[Fecha de Contratación]]&gt;$D$4),"Fuera","Dentro")</f>
        <v>Dentro</v>
      </c>
      <c r="BS865" s="137" t="str">
        <f aca="false" t="array" ref="BS865:BS865">IF(MAX(IF(DATOS_[id]=DATOS_[[#This Row],[id]],DATOS_[F.fin.cal]))=DATOS_[[#This Row],[F.fin.cal]],"Sí","NO")</f>
        <v>Sí</v>
      </c>
      <c r="BT865" s="137" t="str">
        <f aca="false">IF(AND(DATOS_[[#This Row],[% normaliz]]&lt;&gt;1,DATOS_[[#This Row],[% anualiz]]=1),"Sí","NO")</f>
        <v>Sí</v>
      </c>
      <c r="BU865" s="137" t="str">
        <f aca="false">IF(AND(DATOS_[[#This Row],[% normaliz]]=1,DATOS_[[#This Row],[% anualiz]]&lt;&gt;1),"Sí","NO")</f>
        <v>NO</v>
      </c>
      <c r="BV865" s="137" t="str">
        <f aca="false">IF(AND(DATOS_[[#This Row],[% normaliz]]&lt;&gt;1,DATOS_[[#This Row],[% anualiz]]&lt;&gt;1),"Sí","NO")</f>
        <v>NO</v>
      </c>
      <c r="BW865" s="137" t="str">
        <f aca="false">+IF(DATOS_[[#This Row],[% normaliz]]*DATOS_[[#This Row],[% anualiz]]=1,"NO","Sí")</f>
        <v>Sí</v>
      </c>
      <c r="BX865" s="138" t="e">
        <f aca="false">(DATOS_[[#This Row],[S.BASE]]*(1/DATOS_[[#This Row],[% normaliz]])*(1/DATOS_[[#This Row],[% anualiz]]))*IF(DATOS_[[#This Row],[Check Equiparado]]="Sí",1,0)</f>
        <v>#DIV/0!</v>
      </c>
      <c r="BY8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5" s="138" t="e">
        <f aca="false">+DATOS_[[#This Row],[SALARIO BASE Eq]]+DATOS_[[#This Row],[Tot COMPL.SAL Eq]]</f>
        <v>#DIV/0!</v>
      </c>
      <c r="CA865" s="138" t="e">
        <f aca="false" t="array" ref="CA865:CA8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5" s="138" t="e">
        <f aca="false">+DATOS_[[#This Row],[TOTAL SALARIO Eq]]+DATOS_[[#This Row],[Tot Extrasalarial Eq]]</f>
        <v>#DIV/0!</v>
      </c>
      <c r="CC865" s="139" t="n">
        <f aca="false">DATOS_[[#This Row],[S.BASE]]</f>
        <v>0</v>
      </c>
      <c r="CD865" s="139" t="n">
        <f aca="false">+SUM(DATOS_[[#This Row],[Conc.Sal.01]:[Conc.Sal.30]])</f>
        <v>0</v>
      </c>
      <c r="CE865" s="139" t="n">
        <f aca="false">+DATOS_[[#This Row],[SALARIO BASE Ef]]+DATOS_[[#This Row],[Tot COMPL.SAL Ef]]</f>
        <v>0</v>
      </c>
      <c r="CF865" s="139" t="n">
        <f aca="false">+SUM(DATOS_[[#This Row],[C.Extra.01]:[C.Extra.05]])</f>
        <v>0</v>
      </c>
      <c r="CG865" s="139" t="n">
        <f aca="false">+DATOS_[[#This Row],[TOTAL SALARIO Ef]]+DATOS_[[#This Row],[Tot Extrasalarial Ef]]</f>
        <v>0</v>
      </c>
      <c r="CH865" s="140" t="n">
        <f aca="false">MIN(IF(DATOS_[[#This Row],[Fecha Fin Contrato]]="",$D$4,DATOS_[[#This Row],[Fecha Fin Contrato]]),$D$4)-MAX(DATOS_[[#This Row],[Fecha de Contratación]],$D$3)+1</f>
        <v>1</v>
      </c>
      <c r="CI865" s="141" t="str">
        <f aca="false">IF(COUNTIFS(DATOS_[id],DATOS_[[#This Row],[id]])&gt;1,DATOS_[[#This Row],[id]],"")</f>
        <v/>
      </c>
      <c r="CJ865" s="141" t="n">
        <f aca="false">(Inicio!$G$10-DATOS_[[#This Row],[Fecha Nacimiento]])/365.25</f>
        <v>0</v>
      </c>
      <c r="CK865" s="141" t="n">
        <f aca="false">(Inicio!$G$10-DATOS_[[#This Row],[Fecha de Antigüedad]])/365.25</f>
        <v>0</v>
      </c>
      <c r="CL865" s="141" t="e">
        <f aca="false">+VLOOKUP(DATOS_[[#This Row],[Clave de Contrato]],TblTiposContrato13[],3,0)</f>
        <v>#N/A</v>
      </c>
      <c r="CM865" s="141" t="e">
        <f aca="false">+VLOOKUP(DATOS_[[#This Row],[Clave de Contrato]],TblTiposContrato13[],4,0)</f>
        <v>#N/A</v>
      </c>
      <c r="CN865" s="141" t="str">
        <f aca="false">VLOOKUP(DATOS_[[#This Row],[Edad]],CONTRATOS!TblRngEdad,2,1)</f>
        <v>20  o menos</v>
      </c>
      <c r="CO865" s="141" t="str">
        <f aca="false">VLOOKUP(DATOS_[[#This Row],[Antigüedad]],TblRngAntg14[],2,1)</f>
        <v>0 a 1 años</v>
      </c>
    </row>
    <row r="866" customFormat="false" ht="13.8" hidden="false" customHeight="false" outlineLevel="0" collapsed="false">
      <c r="D866" s="128"/>
      <c r="E866" s="129"/>
      <c r="F866" s="129"/>
      <c r="G866" s="129"/>
      <c r="H866" s="130"/>
      <c r="I866" s="131"/>
      <c r="J866" s="128"/>
      <c r="K866" s="132"/>
      <c r="L866" s="132"/>
      <c r="M866" s="133"/>
      <c r="N866" s="133"/>
      <c r="O866" s="133"/>
      <c r="P866" s="129"/>
      <c r="Z866" s="75"/>
      <c r="AA866" s="76"/>
      <c r="AB866" s="76"/>
      <c r="AC866" s="129"/>
      <c r="AD866" s="134"/>
      <c r="AE866" s="134"/>
      <c r="AF866" s="134"/>
      <c r="AG866" s="134"/>
      <c r="AH866" s="134"/>
      <c r="AI866" s="134"/>
      <c r="AJ866" s="134"/>
      <c r="AK866" s="134"/>
      <c r="AL866" s="134"/>
      <c r="AM866" s="134"/>
      <c r="AN866" s="134"/>
      <c r="AO866" s="134"/>
      <c r="AP866" s="134"/>
      <c r="AQ866" s="134"/>
      <c r="AR866" s="134"/>
      <c r="AS866" s="134"/>
      <c r="AT866" s="134"/>
      <c r="AU866" s="134"/>
      <c r="AV866" s="134"/>
      <c r="AW866" s="134"/>
      <c r="AX866" s="134"/>
      <c r="AY866" s="134"/>
      <c r="AZ866" s="134"/>
      <c r="BA866" s="134"/>
      <c r="BB866" s="134"/>
      <c r="BC866" s="134"/>
      <c r="BD866" s="134"/>
      <c r="BE866" s="134"/>
      <c r="BF866" s="134"/>
      <c r="BG866" s="134"/>
      <c r="BH866" s="134"/>
      <c r="BI866" s="134"/>
      <c r="BJ866" s="134"/>
      <c r="BK866" s="134"/>
      <c r="BL866" s="134"/>
      <c r="BM866" s="135"/>
      <c r="BN866" s="136" t="n">
        <f aca="false">+MAX($D$3,DATOS_[[#This Row],[Fecha Inicio Sit. Contract.]])</f>
        <v>0</v>
      </c>
      <c r="BO866" s="136" t="n">
        <f aca="false">+MIN($D$4,DATOS_[[#This Row],[Fecha Fin Sit. Contract.]])</f>
        <v>0</v>
      </c>
      <c r="BP866" s="137" t="n">
        <f aca="false">+DATOS_[[#This Row],[% de jornada]]*IF(DATOS_[[#This Row],[% jornada reducida]]="",1,DATOS_[[#This Row],[% jornada reducida]])</f>
        <v>0</v>
      </c>
      <c r="BQ866" s="137" t="n">
        <f aca="false">+(DATOS_[[#This Row],[F.fin.cal]]-DATOS_[[#This Row],[F.ini.cal]]+1)/($D$4-$D$3+1)</f>
        <v>1</v>
      </c>
      <c r="BR866" s="137" t="str">
        <f aca="false">IF(OR(AND(DATOS_[[#This Row],[Fecha Fin Contrato]]&lt;$D$3,DATOS_[[#This Row],[Fecha Fin Contrato]]&lt;&gt;""),DATOS_[[#This Row],[Fecha de Contratación]]&gt;$D$4),"Fuera","Dentro")</f>
        <v>Dentro</v>
      </c>
      <c r="BS866" s="137" t="str">
        <f aca="false" t="array" ref="BS866:BS866">IF(MAX(IF(DATOS_[id]=DATOS_[[#This Row],[id]],DATOS_[F.fin.cal]))=DATOS_[[#This Row],[F.fin.cal]],"Sí","NO")</f>
        <v>Sí</v>
      </c>
      <c r="BT866" s="137" t="str">
        <f aca="false">IF(AND(DATOS_[[#This Row],[% normaliz]]&lt;&gt;1,DATOS_[[#This Row],[% anualiz]]=1),"Sí","NO")</f>
        <v>Sí</v>
      </c>
      <c r="BU866" s="137" t="str">
        <f aca="false">IF(AND(DATOS_[[#This Row],[% normaliz]]=1,DATOS_[[#This Row],[% anualiz]]&lt;&gt;1),"Sí","NO")</f>
        <v>NO</v>
      </c>
      <c r="BV866" s="137" t="str">
        <f aca="false">IF(AND(DATOS_[[#This Row],[% normaliz]]&lt;&gt;1,DATOS_[[#This Row],[% anualiz]]&lt;&gt;1),"Sí","NO")</f>
        <v>NO</v>
      </c>
      <c r="BW866" s="137" t="str">
        <f aca="false">+IF(DATOS_[[#This Row],[% normaliz]]*DATOS_[[#This Row],[% anualiz]]=1,"NO","Sí")</f>
        <v>Sí</v>
      </c>
      <c r="BX866" s="138" t="e">
        <f aca="false">(DATOS_[[#This Row],[S.BASE]]*(1/DATOS_[[#This Row],[% normaliz]])*(1/DATOS_[[#This Row],[% anualiz]]))*IF(DATOS_[[#This Row],[Check Equiparado]]="Sí",1,0)</f>
        <v>#DIV/0!</v>
      </c>
      <c r="BY8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6" s="138" t="e">
        <f aca="false">+DATOS_[[#This Row],[SALARIO BASE Eq]]+DATOS_[[#This Row],[Tot COMPL.SAL Eq]]</f>
        <v>#DIV/0!</v>
      </c>
      <c r="CA866" s="138" t="e">
        <f aca="false" t="array" ref="CA866:CA8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6" s="138" t="e">
        <f aca="false">+DATOS_[[#This Row],[TOTAL SALARIO Eq]]+DATOS_[[#This Row],[Tot Extrasalarial Eq]]</f>
        <v>#DIV/0!</v>
      </c>
      <c r="CC866" s="139" t="n">
        <f aca="false">DATOS_[[#This Row],[S.BASE]]</f>
        <v>0</v>
      </c>
      <c r="CD866" s="139" t="n">
        <f aca="false">+SUM(DATOS_[[#This Row],[Conc.Sal.01]:[Conc.Sal.30]])</f>
        <v>0</v>
      </c>
      <c r="CE866" s="139" t="n">
        <f aca="false">+DATOS_[[#This Row],[SALARIO BASE Ef]]+DATOS_[[#This Row],[Tot COMPL.SAL Ef]]</f>
        <v>0</v>
      </c>
      <c r="CF866" s="139" t="n">
        <f aca="false">+SUM(DATOS_[[#This Row],[C.Extra.01]:[C.Extra.05]])</f>
        <v>0</v>
      </c>
      <c r="CG866" s="139" t="n">
        <f aca="false">+DATOS_[[#This Row],[TOTAL SALARIO Ef]]+DATOS_[[#This Row],[Tot Extrasalarial Ef]]</f>
        <v>0</v>
      </c>
      <c r="CH866" s="140" t="n">
        <f aca="false">MIN(IF(DATOS_[[#This Row],[Fecha Fin Contrato]]="",$D$4,DATOS_[[#This Row],[Fecha Fin Contrato]]),$D$4)-MAX(DATOS_[[#This Row],[Fecha de Contratación]],$D$3)+1</f>
        <v>1</v>
      </c>
      <c r="CI866" s="141" t="str">
        <f aca="false">IF(COUNTIFS(DATOS_[id],DATOS_[[#This Row],[id]])&gt;1,DATOS_[[#This Row],[id]],"")</f>
        <v/>
      </c>
      <c r="CJ866" s="141" t="n">
        <f aca="false">(Inicio!$G$10-DATOS_[[#This Row],[Fecha Nacimiento]])/365.25</f>
        <v>0</v>
      </c>
      <c r="CK866" s="141" t="n">
        <f aca="false">(Inicio!$G$10-DATOS_[[#This Row],[Fecha de Antigüedad]])/365.25</f>
        <v>0</v>
      </c>
      <c r="CL866" s="141" t="e">
        <f aca="false">+VLOOKUP(DATOS_[[#This Row],[Clave de Contrato]],TblTiposContrato13[],3,0)</f>
        <v>#N/A</v>
      </c>
      <c r="CM866" s="141" t="e">
        <f aca="false">+VLOOKUP(DATOS_[[#This Row],[Clave de Contrato]],TblTiposContrato13[],4,0)</f>
        <v>#N/A</v>
      </c>
      <c r="CN866" s="141" t="str">
        <f aca="false">VLOOKUP(DATOS_[[#This Row],[Edad]],CONTRATOS!TblRngEdad,2,1)</f>
        <v>20  o menos</v>
      </c>
      <c r="CO866" s="141" t="str">
        <f aca="false">VLOOKUP(DATOS_[[#This Row],[Antigüedad]],TblRngAntg14[],2,1)</f>
        <v>0 a 1 años</v>
      </c>
    </row>
    <row r="867" customFormat="false" ht="13.8" hidden="false" customHeight="false" outlineLevel="0" collapsed="false">
      <c r="D867" s="128"/>
      <c r="E867" s="129"/>
      <c r="F867" s="129"/>
      <c r="G867" s="129"/>
      <c r="H867" s="130"/>
      <c r="I867" s="131"/>
      <c r="J867" s="128"/>
      <c r="K867" s="132"/>
      <c r="L867" s="132"/>
      <c r="M867" s="133"/>
      <c r="N867" s="133"/>
      <c r="O867" s="133"/>
      <c r="P867" s="129"/>
      <c r="Z867" s="75"/>
      <c r="AA867" s="76"/>
      <c r="AB867" s="76"/>
      <c r="AC867" s="129"/>
      <c r="AD867" s="134"/>
      <c r="AE867" s="134"/>
      <c r="AF867" s="134"/>
      <c r="AG867" s="134"/>
      <c r="AH867" s="134"/>
      <c r="AI867" s="134"/>
      <c r="AJ867" s="134"/>
      <c r="AK867" s="134"/>
      <c r="AL867" s="134"/>
      <c r="AM867" s="134"/>
      <c r="AN867" s="134"/>
      <c r="AO867" s="134"/>
      <c r="AP867" s="134"/>
      <c r="AQ867" s="134"/>
      <c r="AR867" s="134"/>
      <c r="AS867" s="134"/>
      <c r="AT867" s="134"/>
      <c r="AU867" s="134"/>
      <c r="AV867" s="134"/>
      <c r="AW867" s="134"/>
      <c r="AX867" s="134"/>
      <c r="AY867" s="134"/>
      <c r="AZ867" s="134"/>
      <c r="BA867" s="134"/>
      <c r="BB867" s="134"/>
      <c r="BC867" s="134"/>
      <c r="BD867" s="134"/>
      <c r="BE867" s="134"/>
      <c r="BF867" s="134"/>
      <c r="BG867" s="134"/>
      <c r="BH867" s="134"/>
      <c r="BI867" s="134"/>
      <c r="BJ867" s="134"/>
      <c r="BK867" s="134"/>
      <c r="BL867" s="134"/>
      <c r="BM867" s="135"/>
      <c r="BN867" s="136" t="n">
        <f aca="false">+MAX($D$3,DATOS_[[#This Row],[Fecha Inicio Sit. Contract.]])</f>
        <v>0</v>
      </c>
      <c r="BO867" s="136" t="n">
        <f aca="false">+MIN($D$4,DATOS_[[#This Row],[Fecha Fin Sit. Contract.]])</f>
        <v>0</v>
      </c>
      <c r="BP867" s="137" t="n">
        <f aca="false">+DATOS_[[#This Row],[% de jornada]]*IF(DATOS_[[#This Row],[% jornada reducida]]="",1,DATOS_[[#This Row],[% jornada reducida]])</f>
        <v>0</v>
      </c>
      <c r="BQ867" s="137" t="n">
        <f aca="false">+(DATOS_[[#This Row],[F.fin.cal]]-DATOS_[[#This Row],[F.ini.cal]]+1)/($D$4-$D$3+1)</f>
        <v>1</v>
      </c>
      <c r="BR867" s="137" t="str">
        <f aca="false">IF(OR(AND(DATOS_[[#This Row],[Fecha Fin Contrato]]&lt;$D$3,DATOS_[[#This Row],[Fecha Fin Contrato]]&lt;&gt;""),DATOS_[[#This Row],[Fecha de Contratación]]&gt;$D$4),"Fuera","Dentro")</f>
        <v>Dentro</v>
      </c>
      <c r="BS867" s="137" t="str">
        <f aca="false" t="array" ref="BS867:BS867">IF(MAX(IF(DATOS_[id]=DATOS_[[#This Row],[id]],DATOS_[F.fin.cal]))=DATOS_[[#This Row],[F.fin.cal]],"Sí","NO")</f>
        <v>Sí</v>
      </c>
      <c r="BT867" s="137" t="str">
        <f aca="false">IF(AND(DATOS_[[#This Row],[% normaliz]]&lt;&gt;1,DATOS_[[#This Row],[% anualiz]]=1),"Sí","NO")</f>
        <v>Sí</v>
      </c>
      <c r="BU867" s="137" t="str">
        <f aca="false">IF(AND(DATOS_[[#This Row],[% normaliz]]=1,DATOS_[[#This Row],[% anualiz]]&lt;&gt;1),"Sí","NO")</f>
        <v>NO</v>
      </c>
      <c r="BV867" s="137" t="str">
        <f aca="false">IF(AND(DATOS_[[#This Row],[% normaliz]]&lt;&gt;1,DATOS_[[#This Row],[% anualiz]]&lt;&gt;1),"Sí","NO")</f>
        <v>NO</v>
      </c>
      <c r="BW867" s="137" t="str">
        <f aca="false">+IF(DATOS_[[#This Row],[% normaliz]]*DATOS_[[#This Row],[% anualiz]]=1,"NO","Sí")</f>
        <v>Sí</v>
      </c>
      <c r="BX867" s="138" t="e">
        <f aca="false">(DATOS_[[#This Row],[S.BASE]]*(1/DATOS_[[#This Row],[% normaliz]])*(1/DATOS_[[#This Row],[% anualiz]]))*IF(DATOS_[[#This Row],[Check Equiparado]]="Sí",1,0)</f>
        <v>#DIV/0!</v>
      </c>
      <c r="BY8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7" s="138" t="e">
        <f aca="false">+DATOS_[[#This Row],[SALARIO BASE Eq]]+DATOS_[[#This Row],[Tot COMPL.SAL Eq]]</f>
        <v>#DIV/0!</v>
      </c>
      <c r="CA867" s="138" t="e">
        <f aca="false" t="array" ref="CA867:CA8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7" s="138" t="e">
        <f aca="false">+DATOS_[[#This Row],[TOTAL SALARIO Eq]]+DATOS_[[#This Row],[Tot Extrasalarial Eq]]</f>
        <v>#DIV/0!</v>
      </c>
      <c r="CC867" s="139" t="n">
        <f aca="false">DATOS_[[#This Row],[S.BASE]]</f>
        <v>0</v>
      </c>
      <c r="CD867" s="139" t="n">
        <f aca="false">+SUM(DATOS_[[#This Row],[Conc.Sal.01]:[Conc.Sal.30]])</f>
        <v>0</v>
      </c>
      <c r="CE867" s="139" t="n">
        <f aca="false">+DATOS_[[#This Row],[SALARIO BASE Ef]]+DATOS_[[#This Row],[Tot COMPL.SAL Ef]]</f>
        <v>0</v>
      </c>
      <c r="CF867" s="139" t="n">
        <f aca="false">+SUM(DATOS_[[#This Row],[C.Extra.01]:[C.Extra.05]])</f>
        <v>0</v>
      </c>
      <c r="CG867" s="139" t="n">
        <f aca="false">+DATOS_[[#This Row],[TOTAL SALARIO Ef]]+DATOS_[[#This Row],[Tot Extrasalarial Ef]]</f>
        <v>0</v>
      </c>
      <c r="CH867" s="140" t="n">
        <f aca="false">MIN(IF(DATOS_[[#This Row],[Fecha Fin Contrato]]="",$D$4,DATOS_[[#This Row],[Fecha Fin Contrato]]),$D$4)-MAX(DATOS_[[#This Row],[Fecha de Contratación]],$D$3)+1</f>
        <v>1</v>
      </c>
      <c r="CI867" s="141" t="str">
        <f aca="false">IF(COUNTIFS(DATOS_[id],DATOS_[[#This Row],[id]])&gt;1,DATOS_[[#This Row],[id]],"")</f>
        <v/>
      </c>
      <c r="CJ867" s="141" t="n">
        <f aca="false">(Inicio!$G$10-DATOS_[[#This Row],[Fecha Nacimiento]])/365.25</f>
        <v>0</v>
      </c>
      <c r="CK867" s="141" t="n">
        <f aca="false">(Inicio!$G$10-DATOS_[[#This Row],[Fecha de Antigüedad]])/365.25</f>
        <v>0</v>
      </c>
      <c r="CL867" s="141" t="e">
        <f aca="false">+VLOOKUP(DATOS_[[#This Row],[Clave de Contrato]],TblTiposContrato13[],3,0)</f>
        <v>#N/A</v>
      </c>
      <c r="CM867" s="141" t="e">
        <f aca="false">+VLOOKUP(DATOS_[[#This Row],[Clave de Contrato]],TblTiposContrato13[],4,0)</f>
        <v>#N/A</v>
      </c>
      <c r="CN867" s="141" t="str">
        <f aca="false">VLOOKUP(DATOS_[[#This Row],[Edad]],CONTRATOS!TblRngEdad,2,1)</f>
        <v>20  o menos</v>
      </c>
      <c r="CO867" s="141" t="str">
        <f aca="false">VLOOKUP(DATOS_[[#This Row],[Antigüedad]],TblRngAntg14[],2,1)</f>
        <v>0 a 1 años</v>
      </c>
    </row>
    <row r="868" customFormat="false" ht="13.8" hidden="false" customHeight="false" outlineLevel="0" collapsed="false">
      <c r="D868" s="128"/>
      <c r="E868" s="129"/>
      <c r="F868" s="129"/>
      <c r="G868" s="129"/>
      <c r="H868" s="130"/>
      <c r="I868" s="131"/>
      <c r="J868" s="128"/>
      <c r="K868" s="132"/>
      <c r="L868" s="132"/>
      <c r="M868" s="133"/>
      <c r="N868" s="133"/>
      <c r="O868" s="133"/>
      <c r="P868" s="129"/>
      <c r="Z868" s="75"/>
      <c r="AA868" s="76"/>
      <c r="AB868" s="76"/>
      <c r="AC868" s="129"/>
      <c r="AD868" s="134"/>
      <c r="AE868" s="134"/>
      <c r="AF868" s="134"/>
      <c r="AG868" s="134"/>
      <c r="AH868" s="134"/>
      <c r="AI868" s="134"/>
      <c r="AJ868" s="134"/>
      <c r="AK868" s="134"/>
      <c r="AL868" s="134"/>
      <c r="AM868" s="134"/>
      <c r="AN868" s="134"/>
      <c r="AO868" s="134"/>
      <c r="AP868" s="134"/>
      <c r="AQ868" s="134"/>
      <c r="AR868" s="134"/>
      <c r="AS868" s="134"/>
      <c r="AT868" s="134"/>
      <c r="AU868" s="134"/>
      <c r="AV868" s="134"/>
      <c r="AW868" s="134"/>
      <c r="AX868" s="134"/>
      <c r="AY868" s="134"/>
      <c r="AZ868" s="134"/>
      <c r="BA868" s="134"/>
      <c r="BB868" s="134"/>
      <c r="BC868" s="134"/>
      <c r="BD868" s="134"/>
      <c r="BE868" s="134"/>
      <c r="BF868" s="134"/>
      <c r="BG868" s="134"/>
      <c r="BH868" s="134"/>
      <c r="BI868" s="134"/>
      <c r="BJ868" s="134"/>
      <c r="BK868" s="134"/>
      <c r="BL868" s="134"/>
      <c r="BM868" s="135"/>
      <c r="BN868" s="136" t="n">
        <f aca="false">+MAX($D$3,DATOS_[[#This Row],[Fecha Inicio Sit. Contract.]])</f>
        <v>0</v>
      </c>
      <c r="BO868" s="136" t="n">
        <f aca="false">+MIN($D$4,DATOS_[[#This Row],[Fecha Fin Sit. Contract.]])</f>
        <v>0</v>
      </c>
      <c r="BP868" s="137" t="n">
        <f aca="false">+DATOS_[[#This Row],[% de jornada]]*IF(DATOS_[[#This Row],[% jornada reducida]]="",1,DATOS_[[#This Row],[% jornada reducida]])</f>
        <v>0</v>
      </c>
      <c r="BQ868" s="137" t="n">
        <f aca="false">+(DATOS_[[#This Row],[F.fin.cal]]-DATOS_[[#This Row],[F.ini.cal]]+1)/($D$4-$D$3+1)</f>
        <v>1</v>
      </c>
      <c r="BR868" s="137" t="str">
        <f aca="false">IF(OR(AND(DATOS_[[#This Row],[Fecha Fin Contrato]]&lt;$D$3,DATOS_[[#This Row],[Fecha Fin Contrato]]&lt;&gt;""),DATOS_[[#This Row],[Fecha de Contratación]]&gt;$D$4),"Fuera","Dentro")</f>
        <v>Dentro</v>
      </c>
      <c r="BS868" s="137" t="str">
        <f aca="false" t="array" ref="BS868:BS868">IF(MAX(IF(DATOS_[id]=DATOS_[[#This Row],[id]],DATOS_[F.fin.cal]))=DATOS_[[#This Row],[F.fin.cal]],"Sí","NO")</f>
        <v>Sí</v>
      </c>
      <c r="BT868" s="137" t="str">
        <f aca="false">IF(AND(DATOS_[[#This Row],[% normaliz]]&lt;&gt;1,DATOS_[[#This Row],[% anualiz]]=1),"Sí","NO")</f>
        <v>Sí</v>
      </c>
      <c r="BU868" s="137" t="str">
        <f aca="false">IF(AND(DATOS_[[#This Row],[% normaliz]]=1,DATOS_[[#This Row],[% anualiz]]&lt;&gt;1),"Sí","NO")</f>
        <v>NO</v>
      </c>
      <c r="BV868" s="137" t="str">
        <f aca="false">IF(AND(DATOS_[[#This Row],[% normaliz]]&lt;&gt;1,DATOS_[[#This Row],[% anualiz]]&lt;&gt;1),"Sí","NO")</f>
        <v>NO</v>
      </c>
      <c r="BW868" s="137" t="str">
        <f aca="false">+IF(DATOS_[[#This Row],[% normaliz]]*DATOS_[[#This Row],[% anualiz]]=1,"NO","Sí")</f>
        <v>Sí</v>
      </c>
      <c r="BX868" s="138" t="e">
        <f aca="false">(DATOS_[[#This Row],[S.BASE]]*(1/DATOS_[[#This Row],[% normaliz]])*(1/DATOS_[[#This Row],[% anualiz]]))*IF(DATOS_[[#This Row],[Check Equiparado]]="Sí",1,0)</f>
        <v>#DIV/0!</v>
      </c>
      <c r="BY8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8" s="138" t="e">
        <f aca="false">+DATOS_[[#This Row],[SALARIO BASE Eq]]+DATOS_[[#This Row],[Tot COMPL.SAL Eq]]</f>
        <v>#DIV/0!</v>
      </c>
      <c r="CA868" s="138" t="e">
        <f aca="false" t="array" ref="CA868:CA8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8" s="138" t="e">
        <f aca="false">+DATOS_[[#This Row],[TOTAL SALARIO Eq]]+DATOS_[[#This Row],[Tot Extrasalarial Eq]]</f>
        <v>#DIV/0!</v>
      </c>
      <c r="CC868" s="139" t="n">
        <f aca="false">DATOS_[[#This Row],[S.BASE]]</f>
        <v>0</v>
      </c>
      <c r="CD868" s="139" t="n">
        <f aca="false">+SUM(DATOS_[[#This Row],[Conc.Sal.01]:[Conc.Sal.30]])</f>
        <v>0</v>
      </c>
      <c r="CE868" s="139" t="n">
        <f aca="false">+DATOS_[[#This Row],[SALARIO BASE Ef]]+DATOS_[[#This Row],[Tot COMPL.SAL Ef]]</f>
        <v>0</v>
      </c>
      <c r="CF868" s="139" t="n">
        <f aca="false">+SUM(DATOS_[[#This Row],[C.Extra.01]:[C.Extra.05]])</f>
        <v>0</v>
      </c>
      <c r="CG868" s="139" t="n">
        <f aca="false">+DATOS_[[#This Row],[TOTAL SALARIO Ef]]+DATOS_[[#This Row],[Tot Extrasalarial Ef]]</f>
        <v>0</v>
      </c>
      <c r="CH868" s="140" t="n">
        <f aca="false">MIN(IF(DATOS_[[#This Row],[Fecha Fin Contrato]]="",$D$4,DATOS_[[#This Row],[Fecha Fin Contrato]]),$D$4)-MAX(DATOS_[[#This Row],[Fecha de Contratación]],$D$3)+1</f>
        <v>1</v>
      </c>
      <c r="CI868" s="141" t="str">
        <f aca="false">IF(COUNTIFS(DATOS_[id],DATOS_[[#This Row],[id]])&gt;1,DATOS_[[#This Row],[id]],"")</f>
        <v/>
      </c>
      <c r="CJ868" s="141" t="n">
        <f aca="false">(Inicio!$G$10-DATOS_[[#This Row],[Fecha Nacimiento]])/365.25</f>
        <v>0</v>
      </c>
      <c r="CK868" s="141" t="n">
        <f aca="false">(Inicio!$G$10-DATOS_[[#This Row],[Fecha de Antigüedad]])/365.25</f>
        <v>0</v>
      </c>
      <c r="CL868" s="141" t="e">
        <f aca="false">+VLOOKUP(DATOS_[[#This Row],[Clave de Contrato]],TblTiposContrato13[],3,0)</f>
        <v>#N/A</v>
      </c>
      <c r="CM868" s="141" t="e">
        <f aca="false">+VLOOKUP(DATOS_[[#This Row],[Clave de Contrato]],TblTiposContrato13[],4,0)</f>
        <v>#N/A</v>
      </c>
      <c r="CN868" s="141" t="str">
        <f aca="false">VLOOKUP(DATOS_[[#This Row],[Edad]],CONTRATOS!TblRngEdad,2,1)</f>
        <v>20  o menos</v>
      </c>
      <c r="CO868" s="141" t="str">
        <f aca="false">VLOOKUP(DATOS_[[#This Row],[Antigüedad]],TblRngAntg14[],2,1)</f>
        <v>0 a 1 años</v>
      </c>
    </row>
    <row r="869" customFormat="false" ht="13.8" hidden="false" customHeight="false" outlineLevel="0" collapsed="false">
      <c r="D869" s="128"/>
      <c r="E869" s="129"/>
      <c r="F869" s="129"/>
      <c r="G869" s="129"/>
      <c r="H869" s="130"/>
      <c r="I869" s="131"/>
      <c r="J869" s="128"/>
      <c r="K869" s="132"/>
      <c r="L869" s="132"/>
      <c r="M869" s="133"/>
      <c r="N869" s="133"/>
      <c r="O869" s="133"/>
      <c r="P869" s="129"/>
      <c r="Z869" s="75"/>
      <c r="AA869" s="76"/>
      <c r="AB869" s="76"/>
      <c r="AC869" s="129"/>
      <c r="AD869" s="134"/>
      <c r="AE869" s="134"/>
      <c r="AF869" s="134"/>
      <c r="AG869" s="134"/>
      <c r="AH869" s="134"/>
      <c r="AI869" s="134"/>
      <c r="AJ869" s="134"/>
      <c r="AK869" s="134"/>
      <c r="AL869" s="134"/>
      <c r="AM869" s="134"/>
      <c r="AN869" s="134"/>
      <c r="AO869" s="134"/>
      <c r="AP869" s="134"/>
      <c r="AQ869" s="134"/>
      <c r="AR869" s="134"/>
      <c r="AS869" s="134"/>
      <c r="AT869" s="134"/>
      <c r="AU869" s="134"/>
      <c r="AV869" s="134"/>
      <c r="AW869" s="134"/>
      <c r="AX869" s="134"/>
      <c r="AY869" s="134"/>
      <c r="AZ869" s="134"/>
      <c r="BA869" s="134"/>
      <c r="BB869" s="134"/>
      <c r="BC869" s="134"/>
      <c r="BD869" s="134"/>
      <c r="BE869" s="134"/>
      <c r="BF869" s="134"/>
      <c r="BG869" s="134"/>
      <c r="BH869" s="134"/>
      <c r="BI869" s="134"/>
      <c r="BJ869" s="134"/>
      <c r="BK869" s="134"/>
      <c r="BL869" s="134"/>
      <c r="BM869" s="135"/>
      <c r="BN869" s="136" t="n">
        <f aca="false">+MAX($D$3,DATOS_[[#This Row],[Fecha Inicio Sit. Contract.]])</f>
        <v>0</v>
      </c>
      <c r="BO869" s="136" t="n">
        <f aca="false">+MIN($D$4,DATOS_[[#This Row],[Fecha Fin Sit. Contract.]])</f>
        <v>0</v>
      </c>
      <c r="BP869" s="137" t="n">
        <f aca="false">+DATOS_[[#This Row],[% de jornada]]*IF(DATOS_[[#This Row],[% jornada reducida]]="",1,DATOS_[[#This Row],[% jornada reducida]])</f>
        <v>0</v>
      </c>
      <c r="BQ869" s="137" t="n">
        <f aca="false">+(DATOS_[[#This Row],[F.fin.cal]]-DATOS_[[#This Row],[F.ini.cal]]+1)/($D$4-$D$3+1)</f>
        <v>1</v>
      </c>
      <c r="BR869" s="137" t="str">
        <f aca="false">IF(OR(AND(DATOS_[[#This Row],[Fecha Fin Contrato]]&lt;$D$3,DATOS_[[#This Row],[Fecha Fin Contrato]]&lt;&gt;""),DATOS_[[#This Row],[Fecha de Contratación]]&gt;$D$4),"Fuera","Dentro")</f>
        <v>Dentro</v>
      </c>
      <c r="BS869" s="137" t="str">
        <f aca="false" t="array" ref="BS869:BS869">IF(MAX(IF(DATOS_[id]=DATOS_[[#This Row],[id]],DATOS_[F.fin.cal]))=DATOS_[[#This Row],[F.fin.cal]],"Sí","NO")</f>
        <v>Sí</v>
      </c>
      <c r="BT869" s="137" t="str">
        <f aca="false">IF(AND(DATOS_[[#This Row],[% normaliz]]&lt;&gt;1,DATOS_[[#This Row],[% anualiz]]=1),"Sí","NO")</f>
        <v>Sí</v>
      </c>
      <c r="BU869" s="137" t="str">
        <f aca="false">IF(AND(DATOS_[[#This Row],[% normaliz]]=1,DATOS_[[#This Row],[% anualiz]]&lt;&gt;1),"Sí","NO")</f>
        <v>NO</v>
      </c>
      <c r="BV869" s="137" t="str">
        <f aca="false">IF(AND(DATOS_[[#This Row],[% normaliz]]&lt;&gt;1,DATOS_[[#This Row],[% anualiz]]&lt;&gt;1),"Sí","NO")</f>
        <v>NO</v>
      </c>
      <c r="BW869" s="137" t="str">
        <f aca="false">+IF(DATOS_[[#This Row],[% normaliz]]*DATOS_[[#This Row],[% anualiz]]=1,"NO","Sí")</f>
        <v>Sí</v>
      </c>
      <c r="BX869" s="138" t="e">
        <f aca="false">(DATOS_[[#This Row],[S.BASE]]*(1/DATOS_[[#This Row],[% normaliz]])*(1/DATOS_[[#This Row],[% anualiz]]))*IF(DATOS_[[#This Row],[Check Equiparado]]="Sí",1,0)</f>
        <v>#DIV/0!</v>
      </c>
      <c r="BY8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9" s="138" t="e">
        <f aca="false">+DATOS_[[#This Row],[SALARIO BASE Eq]]+DATOS_[[#This Row],[Tot COMPL.SAL Eq]]</f>
        <v>#DIV/0!</v>
      </c>
      <c r="CA869" s="138" t="e">
        <f aca="false" t="array" ref="CA869:CA8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9" s="138" t="e">
        <f aca="false">+DATOS_[[#This Row],[TOTAL SALARIO Eq]]+DATOS_[[#This Row],[Tot Extrasalarial Eq]]</f>
        <v>#DIV/0!</v>
      </c>
      <c r="CC869" s="139" t="n">
        <f aca="false">DATOS_[[#This Row],[S.BASE]]</f>
        <v>0</v>
      </c>
      <c r="CD869" s="139" t="n">
        <f aca="false">+SUM(DATOS_[[#This Row],[Conc.Sal.01]:[Conc.Sal.30]])</f>
        <v>0</v>
      </c>
      <c r="CE869" s="139" t="n">
        <f aca="false">+DATOS_[[#This Row],[SALARIO BASE Ef]]+DATOS_[[#This Row],[Tot COMPL.SAL Ef]]</f>
        <v>0</v>
      </c>
      <c r="CF869" s="139" t="n">
        <f aca="false">+SUM(DATOS_[[#This Row],[C.Extra.01]:[C.Extra.05]])</f>
        <v>0</v>
      </c>
      <c r="CG869" s="139" t="n">
        <f aca="false">+DATOS_[[#This Row],[TOTAL SALARIO Ef]]+DATOS_[[#This Row],[Tot Extrasalarial Ef]]</f>
        <v>0</v>
      </c>
      <c r="CH869" s="140" t="n">
        <f aca="false">MIN(IF(DATOS_[[#This Row],[Fecha Fin Contrato]]="",$D$4,DATOS_[[#This Row],[Fecha Fin Contrato]]),$D$4)-MAX(DATOS_[[#This Row],[Fecha de Contratación]],$D$3)+1</f>
        <v>1</v>
      </c>
      <c r="CI869" s="141" t="str">
        <f aca="false">IF(COUNTIFS(DATOS_[id],DATOS_[[#This Row],[id]])&gt;1,DATOS_[[#This Row],[id]],"")</f>
        <v/>
      </c>
      <c r="CJ869" s="141" t="n">
        <f aca="false">(Inicio!$G$10-DATOS_[[#This Row],[Fecha Nacimiento]])/365.25</f>
        <v>0</v>
      </c>
      <c r="CK869" s="141" t="n">
        <f aca="false">(Inicio!$G$10-DATOS_[[#This Row],[Fecha de Antigüedad]])/365.25</f>
        <v>0</v>
      </c>
      <c r="CL869" s="141" t="e">
        <f aca="false">+VLOOKUP(DATOS_[[#This Row],[Clave de Contrato]],TblTiposContrato13[],3,0)</f>
        <v>#N/A</v>
      </c>
      <c r="CM869" s="141" t="e">
        <f aca="false">+VLOOKUP(DATOS_[[#This Row],[Clave de Contrato]],TblTiposContrato13[],4,0)</f>
        <v>#N/A</v>
      </c>
      <c r="CN869" s="141" t="str">
        <f aca="false">VLOOKUP(DATOS_[[#This Row],[Edad]],CONTRATOS!TblRngEdad,2,1)</f>
        <v>20  o menos</v>
      </c>
      <c r="CO869" s="141" t="str">
        <f aca="false">VLOOKUP(DATOS_[[#This Row],[Antigüedad]],TblRngAntg14[],2,1)</f>
        <v>0 a 1 años</v>
      </c>
    </row>
    <row r="870" customFormat="false" ht="13.8" hidden="false" customHeight="false" outlineLevel="0" collapsed="false">
      <c r="D870" s="128"/>
      <c r="E870" s="129"/>
      <c r="F870" s="129"/>
      <c r="G870" s="129"/>
      <c r="H870" s="130"/>
      <c r="I870" s="131"/>
      <c r="J870" s="128"/>
      <c r="K870" s="132"/>
      <c r="L870" s="132"/>
      <c r="M870" s="133"/>
      <c r="N870" s="133"/>
      <c r="O870" s="133"/>
      <c r="P870" s="129"/>
      <c r="Z870" s="75"/>
      <c r="AA870" s="76"/>
      <c r="AB870" s="76"/>
      <c r="AC870" s="129"/>
      <c r="AD870" s="134"/>
      <c r="AE870" s="134"/>
      <c r="AF870" s="134"/>
      <c r="AG870" s="134"/>
      <c r="AH870" s="134"/>
      <c r="AI870" s="134"/>
      <c r="AJ870" s="134"/>
      <c r="AK870" s="134"/>
      <c r="AL870" s="134"/>
      <c r="AM870" s="134"/>
      <c r="AN870" s="134"/>
      <c r="AO870" s="134"/>
      <c r="AP870" s="134"/>
      <c r="AQ870" s="134"/>
      <c r="AR870" s="134"/>
      <c r="AS870" s="134"/>
      <c r="AT870" s="134"/>
      <c r="AU870" s="134"/>
      <c r="AV870" s="134"/>
      <c r="AW870" s="134"/>
      <c r="AX870" s="134"/>
      <c r="AY870" s="134"/>
      <c r="AZ870" s="134"/>
      <c r="BA870" s="134"/>
      <c r="BB870" s="134"/>
      <c r="BC870" s="134"/>
      <c r="BD870" s="134"/>
      <c r="BE870" s="134"/>
      <c r="BF870" s="134"/>
      <c r="BG870" s="134"/>
      <c r="BH870" s="134"/>
      <c r="BI870" s="134"/>
      <c r="BJ870" s="134"/>
      <c r="BK870" s="134"/>
      <c r="BL870" s="134"/>
      <c r="BM870" s="135"/>
      <c r="BN870" s="136" t="n">
        <f aca="false">+MAX($D$3,DATOS_[[#This Row],[Fecha Inicio Sit. Contract.]])</f>
        <v>0</v>
      </c>
      <c r="BO870" s="136" t="n">
        <f aca="false">+MIN($D$4,DATOS_[[#This Row],[Fecha Fin Sit. Contract.]])</f>
        <v>0</v>
      </c>
      <c r="BP870" s="137" t="n">
        <f aca="false">+DATOS_[[#This Row],[% de jornada]]*IF(DATOS_[[#This Row],[% jornada reducida]]="",1,DATOS_[[#This Row],[% jornada reducida]])</f>
        <v>0</v>
      </c>
      <c r="BQ870" s="137" t="n">
        <f aca="false">+(DATOS_[[#This Row],[F.fin.cal]]-DATOS_[[#This Row],[F.ini.cal]]+1)/($D$4-$D$3+1)</f>
        <v>1</v>
      </c>
      <c r="BR870" s="137" t="str">
        <f aca="false">IF(OR(AND(DATOS_[[#This Row],[Fecha Fin Contrato]]&lt;$D$3,DATOS_[[#This Row],[Fecha Fin Contrato]]&lt;&gt;""),DATOS_[[#This Row],[Fecha de Contratación]]&gt;$D$4),"Fuera","Dentro")</f>
        <v>Dentro</v>
      </c>
      <c r="BS870" s="137" t="str">
        <f aca="false" t="array" ref="BS870:BS870">IF(MAX(IF(DATOS_[id]=DATOS_[[#This Row],[id]],DATOS_[F.fin.cal]))=DATOS_[[#This Row],[F.fin.cal]],"Sí","NO")</f>
        <v>Sí</v>
      </c>
      <c r="BT870" s="137" t="str">
        <f aca="false">IF(AND(DATOS_[[#This Row],[% normaliz]]&lt;&gt;1,DATOS_[[#This Row],[% anualiz]]=1),"Sí","NO")</f>
        <v>Sí</v>
      </c>
      <c r="BU870" s="137" t="str">
        <f aca="false">IF(AND(DATOS_[[#This Row],[% normaliz]]=1,DATOS_[[#This Row],[% anualiz]]&lt;&gt;1),"Sí","NO")</f>
        <v>NO</v>
      </c>
      <c r="BV870" s="137" t="str">
        <f aca="false">IF(AND(DATOS_[[#This Row],[% normaliz]]&lt;&gt;1,DATOS_[[#This Row],[% anualiz]]&lt;&gt;1),"Sí","NO")</f>
        <v>NO</v>
      </c>
      <c r="BW870" s="137" t="str">
        <f aca="false">+IF(DATOS_[[#This Row],[% normaliz]]*DATOS_[[#This Row],[% anualiz]]=1,"NO","Sí")</f>
        <v>Sí</v>
      </c>
      <c r="BX870" s="138" t="e">
        <f aca="false">(DATOS_[[#This Row],[S.BASE]]*(1/DATOS_[[#This Row],[% normaliz]])*(1/DATOS_[[#This Row],[% anualiz]]))*IF(DATOS_[[#This Row],[Check Equiparado]]="Sí",1,0)</f>
        <v>#DIV/0!</v>
      </c>
      <c r="BY8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0" s="138" t="e">
        <f aca="false">+DATOS_[[#This Row],[SALARIO BASE Eq]]+DATOS_[[#This Row],[Tot COMPL.SAL Eq]]</f>
        <v>#DIV/0!</v>
      </c>
      <c r="CA870" s="138" t="e">
        <f aca="false" t="array" ref="CA870:CA8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0" s="138" t="e">
        <f aca="false">+DATOS_[[#This Row],[TOTAL SALARIO Eq]]+DATOS_[[#This Row],[Tot Extrasalarial Eq]]</f>
        <v>#DIV/0!</v>
      </c>
      <c r="CC870" s="139" t="n">
        <f aca="false">DATOS_[[#This Row],[S.BASE]]</f>
        <v>0</v>
      </c>
      <c r="CD870" s="139" t="n">
        <f aca="false">+SUM(DATOS_[[#This Row],[Conc.Sal.01]:[Conc.Sal.30]])</f>
        <v>0</v>
      </c>
      <c r="CE870" s="139" t="n">
        <f aca="false">+DATOS_[[#This Row],[SALARIO BASE Ef]]+DATOS_[[#This Row],[Tot COMPL.SAL Ef]]</f>
        <v>0</v>
      </c>
      <c r="CF870" s="139" t="n">
        <f aca="false">+SUM(DATOS_[[#This Row],[C.Extra.01]:[C.Extra.05]])</f>
        <v>0</v>
      </c>
      <c r="CG870" s="139" t="n">
        <f aca="false">+DATOS_[[#This Row],[TOTAL SALARIO Ef]]+DATOS_[[#This Row],[Tot Extrasalarial Ef]]</f>
        <v>0</v>
      </c>
      <c r="CH870" s="140" t="n">
        <f aca="false">MIN(IF(DATOS_[[#This Row],[Fecha Fin Contrato]]="",$D$4,DATOS_[[#This Row],[Fecha Fin Contrato]]),$D$4)-MAX(DATOS_[[#This Row],[Fecha de Contratación]],$D$3)+1</f>
        <v>1</v>
      </c>
      <c r="CI870" s="141" t="str">
        <f aca="false">IF(COUNTIFS(DATOS_[id],DATOS_[[#This Row],[id]])&gt;1,DATOS_[[#This Row],[id]],"")</f>
        <v/>
      </c>
      <c r="CJ870" s="141" t="n">
        <f aca="false">(Inicio!$G$10-DATOS_[[#This Row],[Fecha Nacimiento]])/365.25</f>
        <v>0</v>
      </c>
      <c r="CK870" s="141" t="n">
        <f aca="false">(Inicio!$G$10-DATOS_[[#This Row],[Fecha de Antigüedad]])/365.25</f>
        <v>0</v>
      </c>
      <c r="CL870" s="141" t="e">
        <f aca="false">+VLOOKUP(DATOS_[[#This Row],[Clave de Contrato]],TblTiposContrato13[],3,0)</f>
        <v>#N/A</v>
      </c>
      <c r="CM870" s="141" t="e">
        <f aca="false">+VLOOKUP(DATOS_[[#This Row],[Clave de Contrato]],TblTiposContrato13[],4,0)</f>
        <v>#N/A</v>
      </c>
      <c r="CN870" s="141" t="str">
        <f aca="false">VLOOKUP(DATOS_[[#This Row],[Edad]],CONTRATOS!TblRngEdad,2,1)</f>
        <v>20  o menos</v>
      </c>
      <c r="CO870" s="141" t="str">
        <f aca="false">VLOOKUP(DATOS_[[#This Row],[Antigüedad]],TblRngAntg14[],2,1)</f>
        <v>0 a 1 años</v>
      </c>
    </row>
    <row r="871" customFormat="false" ht="13.8" hidden="false" customHeight="false" outlineLevel="0" collapsed="false">
      <c r="D871" s="128"/>
      <c r="E871" s="129"/>
      <c r="F871" s="129"/>
      <c r="G871" s="129"/>
      <c r="H871" s="130"/>
      <c r="I871" s="131"/>
      <c r="J871" s="128"/>
      <c r="K871" s="132"/>
      <c r="L871" s="132"/>
      <c r="M871" s="133"/>
      <c r="N871" s="133"/>
      <c r="O871" s="133"/>
      <c r="P871" s="129"/>
      <c r="Z871" s="75"/>
      <c r="AA871" s="76"/>
      <c r="AB871" s="76"/>
      <c r="AC871" s="129"/>
      <c r="AD871" s="134"/>
      <c r="AE871" s="134"/>
      <c r="AF871" s="134"/>
      <c r="AG871" s="134"/>
      <c r="AH871" s="134"/>
      <c r="AI871" s="134"/>
      <c r="AJ871" s="134"/>
      <c r="AK871" s="134"/>
      <c r="AL871" s="134"/>
      <c r="AM871" s="134"/>
      <c r="AN871" s="134"/>
      <c r="AO871" s="134"/>
      <c r="AP871" s="134"/>
      <c r="AQ871" s="134"/>
      <c r="AR871" s="134"/>
      <c r="AS871" s="134"/>
      <c r="AT871" s="134"/>
      <c r="AU871" s="134"/>
      <c r="AV871" s="134"/>
      <c r="AW871" s="134"/>
      <c r="AX871" s="134"/>
      <c r="AY871" s="134"/>
      <c r="AZ871" s="134"/>
      <c r="BA871" s="134"/>
      <c r="BB871" s="134"/>
      <c r="BC871" s="134"/>
      <c r="BD871" s="134"/>
      <c r="BE871" s="134"/>
      <c r="BF871" s="134"/>
      <c r="BG871" s="134"/>
      <c r="BH871" s="134"/>
      <c r="BI871" s="134"/>
      <c r="BJ871" s="134"/>
      <c r="BK871" s="134"/>
      <c r="BL871" s="134"/>
      <c r="BM871" s="135"/>
      <c r="BN871" s="136" t="n">
        <f aca="false">+MAX($D$3,DATOS_[[#This Row],[Fecha Inicio Sit. Contract.]])</f>
        <v>0</v>
      </c>
      <c r="BO871" s="136" t="n">
        <f aca="false">+MIN($D$4,DATOS_[[#This Row],[Fecha Fin Sit. Contract.]])</f>
        <v>0</v>
      </c>
      <c r="BP871" s="137" t="n">
        <f aca="false">+DATOS_[[#This Row],[% de jornada]]*IF(DATOS_[[#This Row],[% jornada reducida]]="",1,DATOS_[[#This Row],[% jornada reducida]])</f>
        <v>0</v>
      </c>
      <c r="BQ871" s="137" t="n">
        <f aca="false">+(DATOS_[[#This Row],[F.fin.cal]]-DATOS_[[#This Row],[F.ini.cal]]+1)/($D$4-$D$3+1)</f>
        <v>1</v>
      </c>
      <c r="BR871" s="137" t="str">
        <f aca="false">IF(OR(AND(DATOS_[[#This Row],[Fecha Fin Contrato]]&lt;$D$3,DATOS_[[#This Row],[Fecha Fin Contrato]]&lt;&gt;""),DATOS_[[#This Row],[Fecha de Contratación]]&gt;$D$4),"Fuera","Dentro")</f>
        <v>Dentro</v>
      </c>
      <c r="BS871" s="137" t="str">
        <f aca="false" t="array" ref="BS871:BS871">IF(MAX(IF(DATOS_[id]=DATOS_[[#This Row],[id]],DATOS_[F.fin.cal]))=DATOS_[[#This Row],[F.fin.cal]],"Sí","NO")</f>
        <v>Sí</v>
      </c>
      <c r="BT871" s="137" t="str">
        <f aca="false">IF(AND(DATOS_[[#This Row],[% normaliz]]&lt;&gt;1,DATOS_[[#This Row],[% anualiz]]=1),"Sí","NO")</f>
        <v>Sí</v>
      </c>
      <c r="BU871" s="137" t="str">
        <f aca="false">IF(AND(DATOS_[[#This Row],[% normaliz]]=1,DATOS_[[#This Row],[% anualiz]]&lt;&gt;1),"Sí","NO")</f>
        <v>NO</v>
      </c>
      <c r="BV871" s="137" t="str">
        <f aca="false">IF(AND(DATOS_[[#This Row],[% normaliz]]&lt;&gt;1,DATOS_[[#This Row],[% anualiz]]&lt;&gt;1),"Sí","NO")</f>
        <v>NO</v>
      </c>
      <c r="BW871" s="137" t="str">
        <f aca="false">+IF(DATOS_[[#This Row],[% normaliz]]*DATOS_[[#This Row],[% anualiz]]=1,"NO","Sí")</f>
        <v>Sí</v>
      </c>
      <c r="BX871" s="138" t="e">
        <f aca="false">(DATOS_[[#This Row],[S.BASE]]*(1/DATOS_[[#This Row],[% normaliz]])*(1/DATOS_[[#This Row],[% anualiz]]))*IF(DATOS_[[#This Row],[Check Equiparado]]="Sí",1,0)</f>
        <v>#DIV/0!</v>
      </c>
      <c r="BY8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1" s="138" t="e">
        <f aca="false">+DATOS_[[#This Row],[SALARIO BASE Eq]]+DATOS_[[#This Row],[Tot COMPL.SAL Eq]]</f>
        <v>#DIV/0!</v>
      </c>
      <c r="CA871" s="138" t="e">
        <f aca="false" t="array" ref="CA871:CA8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1" s="138" t="e">
        <f aca="false">+DATOS_[[#This Row],[TOTAL SALARIO Eq]]+DATOS_[[#This Row],[Tot Extrasalarial Eq]]</f>
        <v>#DIV/0!</v>
      </c>
      <c r="CC871" s="139" t="n">
        <f aca="false">DATOS_[[#This Row],[S.BASE]]</f>
        <v>0</v>
      </c>
      <c r="CD871" s="139" t="n">
        <f aca="false">+SUM(DATOS_[[#This Row],[Conc.Sal.01]:[Conc.Sal.30]])</f>
        <v>0</v>
      </c>
      <c r="CE871" s="139" t="n">
        <f aca="false">+DATOS_[[#This Row],[SALARIO BASE Ef]]+DATOS_[[#This Row],[Tot COMPL.SAL Ef]]</f>
        <v>0</v>
      </c>
      <c r="CF871" s="139" t="n">
        <f aca="false">+SUM(DATOS_[[#This Row],[C.Extra.01]:[C.Extra.05]])</f>
        <v>0</v>
      </c>
      <c r="CG871" s="139" t="n">
        <f aca="false">+DATOS_[[#This Row],[TOTAL SALARIO Ef]]+DATOS_[[#This Row],[Tot Extrasalarial Ef]]</f>
        <v>0</v>
      </c>
      <c r="CH871" s="140" t="n">
        <f aca="false">MIN(IF(DATOS_[[#This Row],[Fecha Fin Contrato]]="",$D$4,DATOS_[[#This Row],[Fecha Fin Contrato]]),$D$4)-MAX(DATOS_[[#This Row],[Fecha de Contratación]],$D$3)+1</f>
        <v>1</v>
      </c>
      <c r="CI871" s="141" t="str">
        <f aca="false">IF(COUNTIFS(DATOS_[id],DATOS_[[#This Row],[id]])&gt;1,DATOS_[[#This Row],[id]],"")</f>
        <v/>
      </c>
      <c r="CJ871" s="141" t="n">
        <f aca="false">(Inicio!$G$10-DATOS_[[#This Row],[Fecha Nacimiento]])/365.25</f>
        <v>0</v>
      </c>
      <c r="CK871" s="141" t="n">
        <f aca="false">(Inicio!$G$10-DATOS_[[#This Row],[Fecha de Antigüedad]])/365.25</f>
        <v>0</v>
      </c>
      <c r="CL871" s="141" t="e">
        <f aca="false">+VLOOKUP(DATOS_[[#This Row],[Clave de Contrato]],TblTiposContrato13[],3,0)</f>
        <v>#N/A</v>
      </c>
      <c r="CM871" s="141" t="e">
        <f aca="false">+VLOOKUP(DATOS_[[#This Row],[Clave de Contrato]],TblTiposContrato13[],4,0)</f>
        <v>#N/A</v>
      </c>
      <c r="CN871" s="141" t="str">
        <f aca="false">VLOOKUP(DATOS_[[#This Row],[Edad]],CONTRATOS!TblRngEdad,2,1)</f>
        <v>20  o menos</v>
      </c>
      <c r="CO871" s="141" t="str">
        <f aca="false">VLOOKUP(DATOS_[[#This Row],[Antigüedad]],TblRngAntg14[],2,1)</f>
        <v>0 a 1 años</v>
      </c>
    </row>
    <row r="872" customFormat="false" ht="13.8" hidden="false" customHeight="false" outlineLevel="0" collapsed="false">
      <c r="D872" s="128"/>
      <c r="E872" s="129"/>
      <c r="F872" s="129"/>
      <c r="G872" s="129"/>
      <c r="H872" s="130"/>
      <c r="I872" s="131"/>
      <c r="J872" s="128"/>
      <c r="K872" s="132"/>
      <c r="L872" s="132"/>
      <c r="M872" s="133"/>
      <c r="N872" s="133"/>
      <c r="O872" s="133"/>
      <c r="P872" s="129"/>
      <c r="Z872" s="75"/>
      <c r="AA872" s="76"/>
      <c r="AB872" s="76"/>
      <c r="AC872" s="129"/>
      <c r="AD872" s="134"/>
      <c r="AE872" s="134"/>
      <c r="AF872" s="134"/>
      <c r="AG872" s="134"/>
      <c r="AH872" s="134"/>
      <c r="AI872" s="134"/>
      <c r="AJ872" s="134"/>
      <c r="AK872" s="134"/>
      <c r="AL872" s="134"/>
      <c r="AM872" s="134"/>
      <c r="AN872" s="134"/>
      <c r="AO872" s="134"/>
      <c r="AP872" s="134"/>
      <c r="AQ872" s="134"/>
      <c r="AR872" s="134"/>
      <c r="AS872" s="134"/>
      <c r="AT872" s="134"/>
      <c r="AU872" s="134"/>
      <c r="AV872" s="134"/>
      <c r="AW872" s="134"/>
      <c r="AX872" s="134"/>
      <c r="AY872" s="134"/>
      <c r="AZ872" s="134"/>
      <c r="BA872" s="134"/>
      <c r="BB872" s="134"/>
      <c r="BC872" s="134"/>
      <c r="BD872" s="134"/>
      <c r="BE872" s="134"/>
      <c r="BF872" s="134"/>
      <c r="BG872" s="134"/>
      <c r="BH872" s="134"/>
      <c r="BI872" s="134"/>
      <c r="BJ872" s="134"/>
      <c r="BK872" s="134"/>
      <c r="BL872" s="134"/>
      <c r="BM872" s="135"/>
      <c r="BN872" s="136" t="n">
        <f aca="false">+MAX($D$3,DATOS_[[#This Row],[Fecha Inicio Sit. Contract.]])</f>
        <v>0</v>
      </c>
      <c r="BO872" s="136" t="n">
        <f aca="false">+MIN($D$4,DATOS_[[#This Row],[Fecha Fin Sit. Contract.]])</f>
        <v>0</v>
      </c>
      <c r="BP872" s="137" t="n">
        <f aca="false">+DATOS_[[#This Row],[% de jornada]]*IF(DATOS_[[#This Row],[% jornada reducida]]="",1,DATOS_[[#This Row],[% jornada reducida]])</f>
        <v>0</v>
      </c>
      <c r="BQ872" s="137" t="n">
        <f aca="false">+(DATOS_[[#This Row],[F.fin.cal]]-DATOS_[[#This Row],[F.ini.cal]]+1)/($D$4-$D$3+1)</f>
        <v>1</v>
      </c>
      <c r="BR872" s="137" t="str">
        <f aca="false">IF(OR(AND(DATOS_[[#This Row],[Fecha Fin Contrato]]&lt;$D$3,DATOS_[[#This Row],[Fecha Fin Contrato]]&lt;&gt;""),DATOS_[[#This Row],[Fecha de Contratación]]&gt;$D$4),"Fuera","Dentro")</f>
        <v>Dentro</v>
      </c>
      <c r="BS872" s="137" t="str">
        <f aca="false" t="array" ref="BS872:BS872">IF(MAX(IF(DATOS_[id]=DATOS_[[#This Row],[id]],DATOS_[F.fin.cal]))=DATOS_[[#This Row],[F.fin.cal]],"Sí","NO")</f>
        <v>Sí</v>
      </c>
      <c r="BT872" s="137" t="str">
        <f aca="false">IF(AND(DATOS_[[#This Row],[% normaliz]]&lt;&gt;1,DATOS_[[#This Row],[% anualiz]]=1),"Sí","NO")</f>
        <v>Sí</v>
      </c>
      <c r="BU872" s="137" t="str">
        <f aca="false">IF(AND(DATOS_[[#This Row],[% normaliz]]=1,DATOS_[[#This Row],[% anualiz]]&lt;&gt;1),"Sí","NO")</f>
        <v>NO</v>
      </c>
      <c r="BV872" s="137" t="str">
        <f aca="false">IF(AND(DATOS_[[#This Row],[% normaliz]]&lt;&gt;1,DATOS_[[#This Row],[% anualiz]]&lt;&gt;1),"Sí","NO")</f>
        <v>NO</v>
      </c>
      <c r="BW872" s="137" t="str">
        <f aca="false">+IF(DATOS_[[#This Row],[% normaliz]]*DATOS_[[#This Row],[% anualiz]]=1,"NO","Sí")</f>
        <v>Sí</v>
      </c>
      <c r="BX872" s="138" t="e">
        <f aca="false">(DATOS_[[#This Row],[S.BASE]]*(1/DATOS_[[#This Row],[% normaliz]])*(1/DATOS_[[#This Row],[% anualiz]]))*IF(DATOS_[[#This Row],[Check Equiparado]]="Sí",1,0)</f>
        <v>#DIV/0!</v>
      </c>
      <c r="BY8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2" s="138" t="e">
        <f aca="false">+DATOS_[[#This Row],[SALARIO BASE Eq]]+DATOS_[[#This Row],[Tot COMPL.SAL Eq]]</f>
        <v>#DIV/0!</v>
      </c>
      <c r="CA872" s="138" t="e">
        <f aca="false" t="array" ref="CA872:CA8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2" s="138" t="e">
        <f aca="false">+DATOS_[[#This Row],[TOTAL SALARIO Eq]]+DATOS_[[#This Row],[Tot Extrasalarial Eq]]</f>
        <v>#DIV/0!</v>
      </c>
      <c r="CC872" s="139" t="n">
        <f aca="false">DATOS_[[#This Row],[S.BASE]]</f>
        <v>0</v>
      </c>
      <c r="CD872" s="139" t="n">
        <f aca="false">+SUM(DATOS_[[#This Row],[Conc.Sal.01]:[Conc.Sal.30]])</f>
        <v>0</v>
      </c>
      <c r="CE872" s="139" t="n">
        <f aca="false">+DATOS_[[#This Row],[SALARIO BASE Ef]]+DATOS_[[#This Row],[Tot COMPL.SAL Ef]]</f>
        <v>0</v>
      </c>
      <c r="CF872" s="139" t="n">
        <f aca="false">+SUM(DATOS_[[#This Row],[C.Extra.01]:[C.Extra.05]])</f>
        <v>0</v>
      </c>
      <c r="CG872" s="139" t="n">
        <f aca="false">+DATOS_[[#This Row],[TOTAL SALARIO Ef]]+DATOS_[[#This Row],[Tot Extrasalarial Ef]]</f>
        <v>0</v>
      </c>
      <c r="CH872" s="140" t="n">
        <f aca="false">MIN(IF(DATOS_[[#This Row],[Fecha Fin Contrato]]="",$D$4,DATOS_[[#This Row],[Fecha Fin Contrato]]),$D$4)-MAX(DATOS_[[#This Row],[Fecha de Contratación]],$D$3)+1</f>
        <v>1</v>
      </c>
      <c r="CI872" s="141" t="str">
        <f aca="false">IF(COUNTIFS(DATOS_[id],DATOS_[[#This Row],[id]])&gt;1,DATOS_[[#This Row],[id]],"")</f>
        <v/>
      </c>
      <c r="CJ872" s="141" t="n">
        <f aca="false">(Inicio!$G$10-DATOS_[[#This Row],[Fecha Nacimiento]])/365.25</f>
        <v>0</v>
      </c>
      <c r="CK872" s="141" t="n">
        <f aca="false">(Inicio!$G$10-DATOS_[[#This Row],[Fecha de Antigüedad]])/365.25</f>
        <v>0</v>
      </c>
      <c r="CL872" s="141" t="e">
        <f aca="false">+VLOOKUP(DATOS_[[#This Row],[Clave de Contrato]],TblTiposContrato13[],3,0)</f>
        <v>#N/A</v>
      </c>
      <c r="CM872" s="141" t="e">
        <f aca="false">+VLOOKUP(DATOS_[[#This Row],[Clave de Contrato]],TblTiposContrato13[],4,0)</f>
        <v>#N/A</v>
      </c>
      <c r="CN872" s="141" t="str">
        <f aca="false">VLOOKUP(DATOS_[[#This Row],[Edad]],CONTRATOS!TblRngEdad,2,1)</f>
        <v>20  o menos</v>
      </c>
      <c r="CO872" s="141" t="str">
        <f aca="false">VLOOKUP(DATOS_[[#This Row],[Antigüedad]],TblRngAntg14[],2,1)</f>
        <v>0 a 1 años</v>
      </c>
    </row>
    <row r="873" customFormat="false" ht="13.8" hidden="false" customHeight="false" outlineLevel="0" collapsed="false">
      <c r="D873" s="128"/>
      <c r="E873" s="129"/>
      <c r="F873" s="129"/>
      <c r="G873" s="129"/>
      <c r="H873" s="130"/>
      <c r="I873" s="131"/>
      <c r="J873" s="128"/>
      <c r="K873" s="132"/>
      <c r="L873" s="132"/>
      <c r="M873" s="133"/>
      <c r="N873" s="133"/>
      <c r="O873" s="133"/>
      <c r="P873" s="129"/>
      <c r="Z873" s="75"/>
      <c r="AA873" s="76"/>
      <c r="AB873" s="76"/>
      <c r="AC873" s="129"/>
      <c r="AD873" s="134"/>
      <c r="AE873" s="134"/>
      <c r="AF873" s="134"/>
      <c r="AG873" s="134"/>
      <c r="AH873" s="134"/>
      <c r="AI873" s="134"/>
      <c r="AJ873" s="134"/>
      <c r="AK873" s="134"/>
      <c r="AL873" s="134"/>
      <c r="AM873" s="134"/>
      <c r="AN873" s="134"/>
      <c r="AO873" s="134"/>
      <c r="AP873" s="134"/>
      <c r="AQ873" s="134"/>
      <c r="AR873" s="134"/>
      <c r="AS873" s="134"/>
      <c r="AT873" s="134"/>
      <c r="AU873" s="134"/>
      <c r="AV873" s="134"/>
      <c r="AW873" s="134"/>
      <c r="AX873" s="134"/>
      <c r="AY873" s="134"/>
      <c r="AZ873" s="134"/>
      <c r="BA873" s="134"/>
      <c r="BB873" s="134"/>
      <c r="BC873" s="134"/>
      <c r="BD873" s="134"/>
      <c r="BE873" s="134"/>
      <c r="BF873" s="134"/>
      <c r="BG873" s="134"/>
      <c r="BH873" s="134"/>
      <c r="BI873" s="134"/>
      <c r="BJ873" s="134"/>
      <c r="BK873" s="134"/>
      <c r="BL873" s="134"/>
      <c r="BM873" s="135"/>
      <c r="BN873" s="136" t="n">
        <f aca="false">+MAX($D$3,DATOS_[[#This Row],[Fecha Inicio Sit. Contract.]])</f>
        <v>0</v>
      </c>
      <c r="BO873" s="136" t="n">
        <f aca="false">+MIN($D$4,DATOS_[[#This Row],[Fecha Fin Sit. Contract.]])</f>
        <v>0</v>
      </c>
      <c r="BP873" s="137" t="n">
        <f aca="false">+DATOS_[[#This Row],[% de jornada]]*IF(DATOS_[[#This Row],[% jornada reducida]]="",1,DATOS_[[#This Row],[% jornada reducida]])</f>
        <v>0</v>
      </c>
      <c r="BQ873" s="137" t="n">
        <f aca="false">+(DATOS_[[#This Row],[F.fin.cal]]-DATOS_[[#This Row],[F.ini.cal]]+1)/($D$4-$D$3+1)</f>
        <v>1</v>
      </c>
      <c r="BR873" s="137" t="str">
        <f aca="false">IF(OR(AND(DATOS_[[#This Row],[Fecha Fin Contrato]]&lt;$D$3,DATOS_[[#This Row],[Fecha Fin Contrato]]&lt;&gt;""),DATOS_[[#This Row],[Fecha de Contratación]]&gt;$D$4),"Fuera","Dentro")</f>
        <v>Dentro</v>
      </c>
      <c r="BS873" s="137" t="str">
        <f aca="false" t="array" ref="BS873:BS873">IF(MAX(IF(DATOS_[id]=DATOS_[[#This Row],[id]],DATOS_[F.fin.cal]))=DATOS_[[#This Row],[F.fin.cal]],"Sí","NO")</f>
        <v>Sí</v>
      </c>
      <c r="BT873" s="137" t="str">
        <f aca="false">IF(AND(DATOS_[[#This Row],[% normaliz]]&lt;&gt;1,DATOS_[[#This Row],[% anualiz]]=1),"Sí","NO")</f>
        <v>Sí</v>
      </c>
      <c r="BU873" s="137" t="str">
        <f aca="false">IF(AND(DATOS_[[#This Row],[% normaliz]]=1,DATOS_[[#This Row],[% anualiz]]&lt;&gt;1),"Sí","NO")</f>
        <v>NO</v>
      </c>
      <c r="BV873" s="137" t="str">
        <f aca="false">IF(AND(DATOS_[[#This Row],[% normaliz]]&lt;&gt;1,DATOS_[[#This Row],[% anualiz]]&lt;&gt;1),"Sí","NO")</f>
        <v>NO</v>
      </c>
      <c r="BW873" s="137" t="str">
        <f aca="false">+IF(DATOS_[[#This Row],[% normaliz]]*DATOS_[[#This Row],[% anualiz]]=1,"NO","Sí")</f>
        <v>Sí</v>
      </c>
      <c r="BX873" s="138" t="e">
        <f aca="false">(DATOS_[[#This Row],[S.BASE]]*(1/DATOS_[[#This Row],[% normaliz]])*(1/DATOS_[[#This Row],[% anualiz]]))*IF(DATOS_[[#This Row],[Check Equiparado]]="Sí",1,0)</f>
        <v>#DIV/0!</v>
      </c>
      <c r="BY8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3" s="138" t="e">
        <f aca="false">+DATOS_[[#This Row],[SALARIO BASE Eq]]+DATOS_[[#This Row],[Tot COMPL.SAL Eq]]</f>
        <v>#DIV/0!</v>
      </c>
      <c r="CA873" s="138" t="e">
        <f aca="false" t="array" ref="CA873:CA8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3" s="138" t="e">
        <f aca="false">+DATOS_[[#This Row],[TOTAL SALARIO Eq]]+DATOS_[[#This Row],[Tot Extrasalarial Eq]]</f>
        <v>#DIV/0!</v>
      </c>
      <c r="CC873" s="139" t="n">
        <f aca="false">DATOS_[[#This Row],[S.BASE]]</f>
        <v>0</v>
      </c>
      <c r="CD873" s="139" t="n">
        <f aca="false">+SUM(DATOS_[[#This Row],[Conc.Sal.01]:[Conc.Sal.30]])</f>
        <v>0</v>
      </c>
      <c r="CE873" s="139" t="n">
        <f aca="false">+DATOS_[[#This Row],[SALARIO BASE Ef]]+DATOS_[[#This Row],[Tot COMPL.SAL Ef]]</f>
        <v>0</v>
      </c>
      <c r="CF873" s="139" t="n">
        <f aca="false">+SUM(DATOS_[[#This Row],[C.Extra.01]:[C.Extra.05]])</f>
        <v>0</v>
      </c>
      <c r="CG873" s="139" t="n">
        <f aca="false">+DATOS_[[#This Row],[TOTAL SALARIO Ef]]+DATOS_[[#This Row],[Tot Extrasalarial Ef]]</f>
        <v>0</v>
      </c>
      <c r="CH873" s="140" t="n">
        <f aca="false">MIN(IF(DATOS_[[#This Row],[Fecha Fin Contrato]]="",$D$4,DATOS_[[#This Row],[Fecha Fin Contrato]]),$D$4)-MAX(DATOS_[[#This Row],[Fecha de Contratación]],$D$3)+1</f>
        <v>1</v>
      </c>
      <c r="CI873" s="141" t="str">
        <f aca="false">IF(COUNTIFS(DATOS_[id],DATOS_[[#This Row],[id]])&gt;1,DATOS_[[#This Row],[id]],"")</f>
        <v/>
      </c>
      <c r="CJ873" s="141" t="n">
        <f aca="false">(Inicio!$G$10-DATOS_[[#This Row],[Fecha Nacimiento]])/365.25</f>
        <v>0</v>
      </c>
      <c r="CK873" s="141" t="n">
        <f aca="false">(Inicio!$G$10-DATOS_[[#This Row],[Fecha de Antigüedad]])/365.25</f>
        <v>0</v>
      </c>
      <c r="CL873" s="141" t="e">
        <f aca="false">+VLOOKUP(DATOS_[[#This Row],[Clave de Contrato]],TblTiposContrato13[],3,0)</f>
        <v>#N/A</v>
      </c>
      <c r="CM873" s="141" t="e">
        <f aca="false">+VLOOKUP(DATOS_[[#This Row],[Clave de Contrato]],TblTiposContrato13[],4,0)</f>
        <v>#N/A</v>
      </c>
      <c r="CN873" s="141" t="str">
        <f aca="false">VLOOKUP(DATOS_[[#This Row],[Edad]],CONTRATOS!TblRngEdad,2,1)</f>
        <v>20  o menos</v>
      </c>
      <c r="CO873" s="141" t="str">
        <f aca="false">VLOOKUP(DATOS_[[#This Row],[Antigüedad]],TblRngAntg14[],2,1)</f>
        <v>0 a 1 años</v>
      </c>
    </row>
    <row r="874" customFormat="false" ht="13.8" hidden="false" customHeight="false" outlineLevel="0" collapsed="false">
      <c r="D874" s="128"/>
      <c r="E874" s="129"/>
      <c r="F874" s="129"/>
      <c r="G874" s="129"/>
      <c r="H874" s="130"/>
      <c r="I874" s="131"/>
      <c r="J874" s="128"/>
      <c r="K874" s="132"/>
      <c r="L874" s="132"/>
      <c r="M874" s="133"/>
      <c r="N874" s="133"/>
      <c r="O874" s="133"/>
      <c r="P874" s="129"/>
      <c r="Z874" s="75"/>
      <c r="AA874" s="76"/>
      <c r="AB874" s="76"/>
      <c r="AC874" s="129"/>
      <c r="AD874" s="134"/>
      <c r="AE874" s="134"/>
      <c r="AF874" s="134"/>
      <c r="AG874" s="134"/>
      <c r="AH874" s="134"/>
      <c r="AI874" s="134"/>
      <c r="AJ874" s="134"/>
      <c r="AK874" s="134"/>
      <c r="AL874" s="134"/>
      <c r="AM874" s="134"/>
      <c r="AN874" s="134"/>
      <c r="AO874" s="134"/>
      <c r="AP874" s="134"/>
      <c r="AQ874" s="134"/>
      <c r="AR874" s="134"/>
      <c r="AS874" s="134"/>
      <c r="AT874" s="134"/>
      <c r="AU874" s="134"/>
      <c r="AV874" s="134"/>
      <c r="AW874" s="134"/>
      <c r="AX874" s="134"/>
      <c r="AY874" s="134"/>
      <c r="AZ874" s="134"/>
      <c r="BA874" s="134"/>
      <c r="BB874" s="134"/>
      <c r="BC874" s="134"/>
      <c r="BD874" s="134"/>
      <c r="BE874" s="134"/>
      <c r="BF874" s="134"/>
      <c r="BG874" s="134"/>
      <c r="BH874" s="134"/>
      <c r="BI874" s="134"/>
      <c r="BJ874" s="134"/>
      <c r="BK874" s="134"/>
      <c r="BL874" s="134"/>
      <c r="BM874" s="135"/>
      <c r="BN874" s="136" t="n">
        <f aca="false">+MAX($D$3,DATOS_[[#This Row],[Fecha Inicio Sit. Contract.]])</f>
        <v>0</v>
      </c>
      <c r="BO874" s="136" t="n">
        <f aca="false">+MIN($D$4,DATOS_[[#This Row],[Fecha Fin Sit. Contract.]])</f>
        <v>0</v>
      </c>
      <c r="BP874" s="137" t="n">
        <f aca="false">+DATOS_[[#This Row],[% de jornada]]*IF(DATOS_[[#This Row],[% jornada reducida]]="",1,DATOS_[[#This Row],[% jornada reducida]])</f>
        <v>0</v>
      </c>
      <c r="BQ874" s="137" t="n">
        <f aca="false">+(DATOS_[[#This Row],[F.fin.cal]]-DATOS_[[#This Row],[F.ini.cal]]+1)/($D$4-$D$3+1)</f>
        <v>1</v>
      </c>
      <c r="BR874" s="137" t="str">
        <f aca="false">IF(OR(AND(DATOS_[[#This Row],[Fecha Fin Contrato]]&lt;$D$3,DATOS_[[#This Row],[Fecha Fin Contrato]]&lt;&gt;""),DATOS_[[#This Row],[Fecha de Contratación]]&gt;$D$4),"Fuera","Dentro")</f>
        <v>Dentro</v>
      </c>
      <c r="BS874" s="137" t="str">
        <f aca="false" t="array" ref="BS874:BS874">IF(MAX(IF(DATOS_[id]=DATOS_[[#This Row],[id]],DATOS_[F.fin.cal]))=DATOS_[[#This Row],[F.fin.cal]],"Sí","NO")</f>
        <v>Sí</v>
      </c>
      <c r="BT874" s="137" t="str">
        <f aca="false">IF(AND(DATOS_[[#This Row],[% normaliz]]&lt;&gt;1,DATOS_[[#This Row],[% anualiz]]=1),"Sí","NO")</f>
        <v>Sí</v>
      </c>
      <c r="BU874" s="137" t="str">
        <f aca="false">IF(AND(DATOS_[[#This Row],[% normaliz]]=1,DATOS_[[#This Row],[% anualiz]]&lt;&gt;1),"Sí","NO")</f>
        <v>NO</v>
      </c>
      <c r="BV874" s="137" t="str">
        <f aca="false">IF(AND(DATOS_[[#This Row],[% normaliz]]&lt;&gt;1,DATOS_[[#This Row],[% anualiz]]&lt;&gt;1),"Sí","NO")</f>
        <v>NO</v>
      </c>
      <c r="BW874" s="137" t="str">
        <f aca="false">+IF(DATOS_[[#This Row],[% normaliz]]*DATOS_[[#This Row],[% anualiz]]=1,"NO","Sí")</f>
        <v>Sí</v>
      </c>
      <c r="BX874" s="138" t="e">
        <f aca="false">(DATOS_[[#This Row],[S.BASE]]*(1/DATOS_[[#This Row],[% normaliz]])*(1/DATOS_[[#This Row],[% anualiz]]))*IF(DATOS_[[#This Row],[Check Equiparado]]="Sí",1,0)</f>
        <v>#DIV/0!</v>
      </c>
      <c r="BY8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4" s="138" t="e">
        <f aca="false">+DATOS_[[#This Row],[SALARIO BASE Eq]]+DATOS_[[#This Row],[Tot COMPL.SAL Eq]]</f>
        <v>#DIV/0!</v>
      </c>
      <c r="CA874" s="138" t="e">
        <f aca="false" t="array" ref="CA874:CA8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4" s="138" t="e">
        <f aca="false">+DATOS_[[#This Row],[TOTAL SALARIO Eq]]+DATOS_[[#This Row],[Tot Extrasalarial Eq]]</f>
        <v>#DIV/0!</v>
      </c>
      <c r="CC874" s="139" t="n">
        <f aca="false">DATOS_[[#This Row],[S.BASE]]</f>
        <v>0</v>
      </c>
      <c r="CD874" s="139" t="n">
        <f aca="false">+SUM(DATOS_[[#This Row],[Conc.Sal.01]:[Conc.Sal.30]])</f>
        <v>0</v>
      </c>
      <c r="CE874" s="139" t="n">
        <f aca="false">+DATOS_[[#This Row],[SALARIO BASE Ef]]+DATOS_[[#This Row],[Tot COMPL.SAL Ef]]</f>
        <v>0</v>
      </c>
      <c r="CF874" s="139" t="n">
        <f aca="false">+SUM(DATOS_[[#This Row],[C.Extra.01]:[C.Extra.05]])</f>
        <v>0</v>
      </c>
      <c r="CG874" s="139" t="n">
        <f aca="false">+DATOS_[[#This Row],[TOTAL SALARIO Ef]]+DATOS_[[#This Row],[Tot Extrasalarial Ef]]</f>
        <v>0</v>
      </c>
      <c r="CH874" s="140" t="n">
        <f aca="false">MIN(IF(DATOS_[[#This Row],[Fecha Fin Contrato]]="",$D$4,DATOS_[[#This Row],[Fecha Fin Contrato]]),$D$4)-MAX(DATOS_[[#This Row],[Fecha de Contratación]],$D$3)+1</f>
        <v>1</v>
      </c>
      <c r="CI874" s="141" t="str">
        <f aca="false">IF(COUNTIFS(DATOS_[id],DATOS_[[#This Row],[id]])&gt;1,DATOS_[[#This Row],[id]],"")</f>
        <v/>
      </c>
      <c r="CJ874" s="141" t="n">
        <f aca="false">(Inicio!$G$10-DATOS_[[#This Row],[Fecha Nacimiento]])/365.25</f>
        <v>0</v>
      </c>
      <c r="CK874" s="141" t="n">
        <f aca="false">(Inicio!$G$10-DATOS_[[#This Row],[Fecha de Antigüedad]])/365.25</f>
        <v>0</v>
      </c>
      <c r="CL874" s="141" t="e">
        <f aca="false">+VLOOKUP(DATOS_[[#This Row],[Clave de Contrato]],TblTiposContrato13[],3,0)</f>
        <v>#N/A</v>
      </c>
      <c r="CM874" s="141" t="e">
        <f aca="false">+VLOOKUP(DATOS_[[#This Row],[Clave de Contrato]],TblTiposContrato13[],4,0)</f>
        <v>#N/A</v>
      </c>
      <c r="CN874" s="141" t="str">
        <f aca="false">VLOOKUP(DATOS_[[#This Row],[Edad]],CONTRATOS!TblRngEdad,2,1)</f>
        <v>20  o menos</v>
      </c>
      <c r="CO874" s="141" t="str">
        <f aca="false">VLOOKUP(DATOS_[[#This Row],[Antigüedad]],TblRngAntg14[],2,1)</f>
        <v>0 a 1 años</v>
      </c>
    </row>
    <row r="875" customFormat="false" ht="13.8" hidden="false" customHeight="false" outlineLevel="0" collapsed="false">
      <c r="D875" s="128"/>
      <c r="E875" s="129"/>
      <c r="F875" s="129"/>
      <c r="G875" s="129"/>
      <c r="H875" s="130"/>
      <c r="I875" s="131"/>
      <c r="J875" s="128"/>
      <c r="K875" s="132"/>
      <c r="L875" s="132"/>
      <c r="M875" s="133"/>
      <c r="N875" s="133"/>
      <c r="O875" s="133"/>
      <c r="P875" s="129"/>
      <c r="Z875" s="75"/>
      <c r="AA875" s="76"/>
      <c r="AB875" s="76"/>
      <c r="AC875" s="129"/>
      <c r="AD875" s="134"/>
      <c r="AE875" s="134"/>
      <c r="AF875" s="134"/>
      <c r="AG875" s="134"/>
      <c r="AH875" s="134"/>
      <c r="AI875" s="134"/>
      <c r="AJ875" s="134"/>
      <c r="AK875" s="134"/>
      <c r="AL875" s="134"/>
      <c r="AM875" s="134"/>
      <c r="AN875" s="134"/>
      <c r="AO875" s="134"/>
      <c r="AP875" s="134"/>
      <c r="AQ875" s="134"/>
      <c r="AR875" s="134"/>
      <c r="AS875" s="134"/>
      <c r="AT875" s="134"/>
      <c r="AU875" s="134"/>
      <c r="AV875" s="134"/>
      <c r="AW875" s="134"/>
      <c r="AX875" s="134"/>
      <c r="AY875" s="134"/>
      <c r="AZ875" s="134"/>
      <c r="BA875" s="134"/>
      <c r="BB875" s="134"/>
      <c r="BC875" s="134"/>
      <c r="BD875" s="134"/>
      <c r="BE875" s="134"/>
      <c r="BF875" s="134"/>
      <c r="BG875" s="134"/>
      <c r="BH875" s="134"/>
      <c r="BI875" s="134"/>
      <c r="BJ875" s="134"/>
      <c r="BK875" s="134"/>
      <c r="BL875" s="134"/>
      <c r="BM875" s="135"/>
      <c r="BN875" s="136" t="n">
        <f aca="false">+MAX($D$3,DATOS_[[#This Row],[Fecha Inicio Sit. Contract.]])</f>
        <v>0</v>
      </c>
      <c r="BO875" s="136" t="n">
        <f aca="false">+MIN($D$4,DATOS_[[#This Row],[Fecha Fin Sit. Contract.]])</f>
        <v>0</v>
      </c>
      <c r="BP875" s="137" t="n">
        <f aca="false">+DATOS_[[#This Row],[% de jornada]]*IF(DATOS_[[#This Row],[% jornada reducida]]="",1,DATOS_[[#This Row],[% jornada reducida]])</f>
        <v>0</v>
      </c>
      <c r="BQ875" s="137" t="n">
        <f aca="false">+(DATOS_[[#This Row],[F.fin.cal]]-DATOS_[[#This Row],[F.ini.cal]]+1)/($D$4-$D$3+1)</f>
        <v>1</v>
      </c>
      <c r="BR875" s="137" t="str">
        <f aca="false">IF(OR(AND(DATOS_[[#This Row],[Fecha Fin Contrato]]&lt;$D$3,DATOS_[[#This Row],[Fecha Fin Contrato]]&lt;&gt;""),DATOS_[[#This Row],[Fecha de Contratación]]&gt;$D$4),"Fuera","Dentro")</f>
        <v>Dentro</v>
      </c>
      <c r="BS875" s="137" t="str">
        <f aca="false" t="array" ref="BS875:BS875">IF(MAX(IF(DATOS_[id]=DATOS_[[#This Row],[id]],DATOS_[F.fin.cal]))=DATOS_[[#This Row],[F.fin.cal]],"Sí","NO")</f>
        <v>Sí</v>
      </c>
      <c r="BT875" s="137" t="str">
        <f aca="false">IF(AND(DATOS_[[#This Row],[% normaliz]]&lt;&gt;1,DATOS_[[#This Row],[% anualiz]]=1),"Sí","NO")</f>
        <v>Sí</v>
      </c>
      <c r="BU875" s="137" t="str">
        <f aca="false">IF(AND(DATOS_[[#This Row],[% normaliz]]=1,DATOS_[[#This Row],[% anualiz]]&lt;&gt;1),"Sí","NO")</f>
        <v>NO</v>
      </c>
      <c r="BV875" s="137" t="str">
        <f aca="false">IF(AND(DATOS_[[#This Row],[% normaliz]]&lt;&gt;1,DATOS_[[#This Row],[% anualiz]]&lt;&gt;1),"Sí","NO")</f>
        <v>NO</v>
      </c>
      <c r="BW875" s="137" t="str">
        <f aca="false">+IF(DATOS_[[#This Row],[% normaliz]]*DATOS_[[#This Row],[% anualiz]]=1,"NO","Sí")</f>
        <v>Sí</v>
      </c>
      <c r="BX875" s="138" t="e">
        <f aca="false">(DATOS_[[#This Row],[S.BASE]]*(1/DATOS_[[#This Row],[% normaliz]])*(1/DATOS_[[#This Row],[% anualiz]]))*IF(DATOS_[[#This Row],[Check Equiparado]]="Sí",1,0)</f>
        <v>#DIV/0!</v>
      </c>
      <c r="BY8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5" s="138" t="e">
        <f aca="false">+DATOS_[[#This Row],[SALARIO BASE Eq]]+DATOS_[[#This Row],[Tot COMPL.SAL Eq]]</f>
        <v>#DIV/0!</v>
      </c>
      <c r="CA875" s="138" t="e">
        <f aca="false" t="array" ref="CA875:CA8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5" s="138" t="e">
        <f aca="false">+DATOS_[[#This Row],[TOTAL SALARIO Eq]]+DATOS_[[#This Row],[Tot Extrasalarial Eq]]</f>
        <v>#DIV/0!</v>
      </c>
      <c r="CC875" s="139" t="n">
        <f aca="false">DATOS_[[#This Row],[S.BASE]]</f>
        <v>0</v>
      </c>
      <c r="CD875" s="139" t="n">
        <f aca="false">+SUM(DATOS_[[#This Row],[Conc.Sal.01]:[Conc.Sal.30]])</f>
        <v>0</v>
      </c>
      <c r="CE875" s="139" t="n">
        <f aca="false">+DATOS_[[#This Row],[SALARIO BASE Ef]]+DATOS_[[#This Row],[Tot COMPL.SAL Ef]]</f>
        <v>0</v>
      </c>
      <c r="CF875" s="139" t="n">
        <f aca="false">+SUM(DATOS_[[#This Row],[C.Extra.01]:[C.Extra.05]])</f>
        <v>0</v>
      </c>
      <c r="CG875" s="139" t="n">
        <f aca="false">+DATOS_[[#This Row],[TOTAL SALARIO Ef]]+DATOS_[[#This Row],[Tot Extrasalarial Ef]]</f>
        <v>0</v>
      </c>
      <c r="CH875" s="140" t="n">
        <f aca="false">MIN(IF(DATOS_[[#This Row],[Fecha Fin Contrato]]="",$D$4,DATOS_[[#This Row],[Fecha Fin Contrato]]),$D$4)-MAX(DATOS_[[#This Row],[Fecha de Contratación]],$D$3)+1</f>
        <v>1</v>
      </c>
      <c r="CI875" s="141" t="str">
        <f aca="false">IF(COUNTIFS(DATOS_[id],DATOS_[[#This Row],[id]])&gt;1,DATOS_[[#This Row],[id]],"")</f>
        <v/>
      </c>
      <c r="CJ875" s="141" t="n">
        <f aca="false">(Inicio!$G$10-DATOS_[[#This Row],[Fecha Nacimiento]])/365.25</f>
        <v>0</v>
      </c>
      <c r="CK875" s="141" t="n">
        <f aca="false">(Inicio!$G$10-DATOS_[[#This Row],[Fecha de Antigüedad]])/365.25</f>
        <v>0</v>
      </c>
      <c r="CL875" s="141" t="e">
        <f aca="false">+VLOOKUP(DATOS_[[#This Row],[Clave de Contrato]],TblTiposContrato13[],3,0)</f>
        <v>#N/A</v>
      </c>
      <c r="CM875" s="141" t="e">
        <f aca="false">+VLOOKUP(DATOS_[[#This Row],[Clave de Contrato]],TblTiposContrato13[],4,0)</f>
        <v>#N/A</v>
      </c>
      <c r="CN875" s="141" t="str">
        <f aca="false">VLOOKUP(DATOS_[[#This Row],[Edad]],CONTRATOS!TblRngEdad,2,1)</f>
        <v>20  o menos</v>
      </c>
      <c r="CO875" s="141" t="str">
        <f aca="false">VLOOKUP(DATOS_[[#This Row],[Antigüedad]],TblRngAntg14[],2,1)</f>
        <v>0 a 1 años</v>
      </c>
    </row>
    <row r="876" customFormat="false" ht="13.8" hidden="false" customHeight="false" outlineLevel="0" collapsed="false">
      <c r="D876" s="128"/>
      <c r="E876" s="129"/>
      <c r="F876" s="129"/>
      <c r="G876" s="129"/>
      <c r="H876" s="130"/>
      <c r="I876" s="131"/>
      <c r="J876" s="128"/>
      <c r="K876" s="132"/>
      <c r="L876" s="132"/>
      <c r="M876" s="133"/>
      <c r="N876" s="133"/>
      <c r="O876" s="133"/>
      <c r="P876" s="129"/>
      <c r="Z876" s="75"/>
      <c r="AA876" s="76"/>
      <c r="AB876" s="76"/>
      <c r="AC876" s="129"/>
      <c r="AD876" s="134"/>
      <c r="AE876" s="134"/>
      <c r="AF876" s="134"/>
      <c r="AG876" s="134"/>
      <c r="AH876" s="134"/>
      <c r="AI876" s="134"/>
      <c r="AJ876" s="134"/>
      <c r="AK876" s="134"/>
      <c r="AL876" s="134"/>
      <c r="AM876" s="134"/>
      <c r="AN876" s="134"/>
      <c r="AO876" s="134"/>
      <c r="AP876" s="134"/>
      <c r="AQ876" s="134"/>
      <c r="AR876" s="134"/>
      <c r="AS876" s="134"/>
      <c r="AT876" s="134"/>
      <c r="AU876" s="134"/>
      <c r="AV876" s="134"/>
      <c r="AW876" s="134"/>
      <c r="AX876" s="134"/>
      <c r="AY876" s="134"/>
      <c r="AZ876" s="134"/>
      <c r="BA876" s="134"/>
      <c r="BB876" s="134"/>
      <c r="BC876" s="134"/>
      <c r="BD876" s="134"/>
      <c r="BE876" s="134"/>
      <c r="BF876" s="134"/>
      <c r="BG876" s="134"/>
      <c r="BH876" s="134"/>
      <c r="BI876" s="134"/>
      <c r="BJ876" s="134"/>
      <c r="BK876" s="134"/>
      <c r="BL876" s="134"/>
      <c r="BM876" s="135"/>
      <c r="BN876" s="136" t="n">
        <f aca="false">+MAX($D$3,DATOS_[[#This Row],[Fecha Inicio Sit. Contract.]])</f>
        <v>0</v>
      </c>
      <c r="BO876" s="136" t="n">
        <f aca="false">+MIN($D$4,DATOS_[[#This Row],[Fecha Fin Sit. Contract.]])</f>
        <v>0</v>
      </c>
      <c r="BP876" s="137" t="n">
        <f aca="false">+DATOS_[[#This Row],[% de jornada]]*IF(DATOS_[[#This Row],[% jornada reducida]]="",1,DATOS_[[#This Row],[% jornada reducida]])</f>
        <v>0</v>
      </c>
      <c r="BQ876" s="137" t="n">
        <f aca="false">+(DATOS_[[#This Row],[F.fin.cal]]-DATOS_[[#This Row],[F.ini.cal]]+1)/($D$4-$D$3+1)</f>
        <v>1</v>
      </c>
      <c r="BR876" s="137" t="str">
        <f aca="false">IF(OR(AND(DATOS_[[#This Row],[Fecha Fin Contrato]]&lt;$D$3,DATOS_[[#This Row],[Fecha Fin Contrato]]&lt;&gt;""),DATOS_[[#This Row],[Fecha de Contratación]]&gt;$D$4),"Fuera","Dentro")</f>
        <v>Dentro</v>
      </c>
      <c r="BS876" s="137" t="str">
        <f aca="false" t="array" ref="BS876:BS876">IF(MAX(IF(DATOS_[id]=DATOS_[[#This Row],[id]],DATOS_[F.fin.cal]))=DATOS_[[#This Row],[F.fin.cal]],"Sí","NO")</f>
        <v>Sí</v>
      </c>
      <c r="BT876" s="137" t="str">
        <f aca="false">IF(AND(DATOS_[[#This Row],[% normaliz]]&lt;&gt;1,DATOS_[[#This Row],[% anualiz]]=1),"Sí","NO")</f>
        <v>Sí</v>
      </c>
      <c r="BU876" s="137" t="str">
        <f aca="false">IF(AND(DATOS_[[#This Row],[% normaliz]]=1,DATOS_[[#This Row],[% anualiz]]&lt;&gt;1),"Sí","NO")</f>
        <v>NO</v>
      </c>
      <c r="BV876" s="137" t="str">
        <f aca="false">IF(AND(DATOS_[[#This Row],[% normaliz]]&lt;&gt;1,DATOS_[[#This Row],[% anualiz]]&lt;&gt;1),"Sí","NO")</f>
        <v>NO</v>
      </c>
      <c r="BW876" s="137" t="str">
        <f aca="false">+IF(DATOS_[[#This Row],[% normaliz]]*DATOS_[[#This Row],[% anualiz]]=1,"NO","Sí")</f>
        <v>Sí</v>
      </c>
      <c r="BX876" s="138" t="e">
        <f aca="false">(DATOS_[[#This Row],[S.BASE]]*(1/DATOS_[[#This Row],[% normaliz]])*(1/DATOS_[[#This Row],[% anualiz]]))*IF(DATOS_[[#This Row],[Check Equiparado]]="Sí",1,0)</f>
        <v>#DIV/0!</v>
      </c>
      <c r="BY8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6" s="138" t="e">
        <f aca="false">+DATOS_[[#This Row],[SALARIO BASE Eq]]+DATOS_[[#This Row],[Tot COMPL.SAL Eq]]</f>
        <v>#DIV/0!</v>
      </c>
      <c r="CA876" s="138" t="e">
        <f aca="false" t="array" ref="CA876:CA8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6" s="138" t="e">
        <f aca="false">+DATOS_[[#This Row],[TOTAL SALARIO Eq]]+DATOS_[[#This Row],[Tot Extrasalarial Eq]]</f>
        <v>#DIV/0!</v>
      </c>
      <c r="CC876" s="139" t="n">
        <f aca="false">DATOS_[[#This Row],[S.BASE]]</f>
        <v>0</v>
      </c>
      <c r="CD876" s="139" t="n">
        <f aca="false">+SUM(DATOS_[[#This Row],[Conc.Sal.01]:[Conc.Sal.30]])</f>
        <v>0</v>
      </c>
      <c r="CE876" s="139" t="n">
        <f aca="false">+DATOS_[[#This Row],[SALARIO BASE Ef]]+DATOS_[[#This Row],[Tot COMPL.SAL Ef]]</f>
        <v>0</v>
      </c>
      <c r="CF876" s="139" t="n">
        <f aca="false">+SUM(DATOS_[[#This Row],[C.Extra.01]:[C.Extra.05]])</f>
        <v>0</v>
      </c>
      <c r="CG876" s="139" t="n">
        <f aca="false">+DATOS_[[#This Row],[TOTAL SALARIO Ef]]+DATOS_[[#This Row],[Tot Extrasalarial Ef]]</f>
        <v>0</v>
      </c>
      <c r="CH876" s="140" t="n">
        <f aca="false">MIN(IF(DATOS_[[#This Row],[Fecha Fin Contrato]]="",$D$4,DATOS_[[#This Row],[Fecha Fin Contrato]]),$D$4)-MAX(DATOS_[[#This Row],[Fecha de Contratación]],$D$3)+1</f>
        <v>1</v>
      </c>
      <c r="CI876" s="141" t="str">
        <f aca="false">IF(COUNTIFS(DATOS_[id],DATOS_[[#This Row],[id]])&gt;1,DATOS_[[#This Row],[id]],"")</f>
        <v/>
      </c>
      <c r="CJ876" s="141" t="n">
        <f aca="false">(Inicio!$G$10-DATOS_[[#This Row],[Fecha Nacimiento]])/365.25</f>
        <v>0</v>
      </c>
      <c r="CK876" s="141" t="n">
        <f aca="false">(Inicio!$G$10-DATOS_[[#This Row],[Fecha de Antigüedad]])/365.25</f>
        <v>0</v>
      </c>
      <c r="CL876" s="141" t="e">
        <f aca="false">+VLOOKUP(DATOS_[[#This Row],[Clave de Contrato]],TblTiposContrato13[],3,0)</f>
        <v>#N/A</v>
      </c>
      <c r="CM876" s="141" t="e">
        <f aca="false">+VLOOKUP(DATOS_[[#This Row],[Clave de Contrato]],TblTiposContrato13[],4,0)</f>
        <v>#N/A</v>
      </c>
      <c r="CN876" s="141" t="str">
        <f aca="false">VLOOKUP(DATOS_[[#This Row],[Edad]],CONTRATOS!TblRngEdad,2,1)</f>
        <v>20  o menos</v>
      </c>
      <c r="CO876" s="141" t="str">
        <f aca="false">VLOOKUP(DATOS_[[#This Row],[Antigüedad]],TblRngAntg14[],2,1)</f>
        <v>0 a 1 años</v>
      </c>
    </row>
    <row r="877" customFormat="false" ht="13.8" hidden="false" customHeight="false" outlineLevel="0" collapsed="false">
      <c r="D877" s="128"/>
      <c r="E877" s="129"/>
      <c r="F877" s="129"/>
      <c r="G877" s="129"/>
      <c r="H877" s="130"/>
      <c r="I877" s="131"/>
      <c r="J877" s="128"/>
      <c r="K877" s="132"/>
      <c r="L877" s="132"/>
      <c r="M877" s="133"/>
      <c r="N877" s="133"/>
      <c r="O877" s="133"/>
      <c r="P877" s="129"/>
      <c r="Z877" s="75"/>
      <c r="AA877" s="76"/>
      <c r="AB877" s="76"/>
      <c r="AC877" s="129"/>
      <c r="AD877" s="134"/>
      <c r="AE877" s="134"/>
      <c r="AF877" s="134"/>
      <c r="AG877" s="134"/>
      <c r="AH877" s="134"/>
      <c r="AI877" s="134"/>
      <c r="AJ877" s="134"/>
      <c r="AK877" s="134"/>
      <c r="AL877" s="134"/>
      <c r="AM877" s="134"/>
      <c r="AN877" s="134"/>
      <c r="AO877" s="134"/>
      <c r="AP877" s="134"/>
      <c r="AQ877" s="134"/>
      <c r="AR877" s="134"/>
      <c r="AS877" s="134"/>
      <c r="AT877" s="134"/>
      <c r="AU877" s="134"/>
      <c r="AV877" s="134"/>
      <c r="AW877" s="134"/>
      <c r="AX877" s="134"/>
      <c r="AY877" s="134"/>
      <c r="AZ877" s="134"/>
      <c r="BA877" s="134"/>
      <c r="BB877" s="134"/>
      <c r="BC877" s="134"/>
      <c r="BD877" s="134"/>
      <c r="BE877" s="134"/>
      <c r="BF877" s="134"/>
      <c r="BG877" s="134"/>
      <c r="BH877" s="134"/>
      <c r="BI877" s="134"/>
      <c r="BJ877" s="134"/>
      <c r="BK877" s="134"/>
      <c r="BL877" s="134"/>
      <c r="BM877" s="135"/>
      <c r="BN877" s="136" t="n">
        <f aca="false">+MAX($D$3,DATOS_[[#This Row],[Fecha Inicio Sit. Contract.]])</f>
        <v>0</v>
      </c>
      <c r="BO877" s="136" t="n">
        <f aca="false">+MIN($D$4,DATOS_[[#This Row],[Fecha Fin Sit. Contract.]])</f>
        <v>0</v>
      </c>
      <c r="BP877" s="137" t="n">
        <f aca="false">+DATOS_[[#This Row],[% de jornada]]*IF(DATOS_[[#This Row],[% jornada reducida]]="",1,DATOS_[[#This Row],[% jornada reducida]])</f>
        <v>0</v>
      </c>
      <c r="BQ877" s="137" t="n">
        <f aca="false">+(DATOS_[[#This Row],[F.fin.cal]]-DATOS_[[#This Row],[F.ini.cal]]+1)/($D$4-$D$3+1)</f>
        <v>1</v>
      </c>
      <c r="BR877" s="137" t="str">
        <f aca="false">IF(OR(AND(DATOS_[[#This Row],[Fecha Fin Contrato]]&lt;$D$3,DATOS_[[#This Row],[Fecha Fin Contrato]]&lt;&gt;""),DATOS_[[#This Row],[Fecha de Contratación]]&gt;$D$4),"Fuera","Dentro")</f>
        <v>Dentro</v>
      </c>
      <c r="BS877" s="137" t="str">
        <f aca="false" t="array" ref="BS877:BS877">IF(MAX(IF(DATOS_[id]=DATOS_[[#This Row],[id]],DATOS_[F.fin.cal]))=DATOS_[[#This Row],[F.fin.cal]],"Sí","NO")</f>
        <v>Sí</v>
      </c>
      <c r="BT877" s="137" t="str">
        <f aca="false">IF(AND(DATOS_[[#This Row],[% normaliz]]&lt;&gt;1,DATOS_[[#This Row],[% anualiz]]=1),"Sí","NO")</f>
        <v>Sí</v>
      </c>
      <c r="BU877" s="137" t="str">
        <f aca="false">IF(AND(DATOS_[[#This Row],[% normaliz]]=1,DATOS_[[#This Row],[% anualiz]]&lt;&gt;1),"Sí","NO")</f>
        <v>NO</v>
      </c>
      <c r="BV877" s="137" t="str">
        <f aca="false">IF(AND(DATOS_[[#This Row],[% normaliz]]&lt;&gt;1,DATOS_[[#This Row],[% anualiz]]&lt;&gt;1),"Sí","NO")</f>
        <v>NO</v>
      </c>
      <c r="BW877" s="137" t="str">
        <f aca="false">+IF(DATOS_[[#This Row],[% normaliz]]*DATOS_[[#This Row],[% anualiz]]=1,"NO","Sí")</f>
        <v>Sí</v>
      </c>
      <c r="BX877" s="138" t="e">
        <f aca="false">(DATOS_[[#This Row],[S.BASE]]*(1/DATOS_[[#This Row],[% normaliz]])*(1/DATOS_[[#This Row],[% anualiz]]))*IF(DATOS_[[#This Row],[Check Equiparado]]="Sí",1,0)</f>
        <v>#DIV/0!</v>
      </c>
      <c r="BY8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7" s="138" t="e">
        <f aca="false">+DATOS_[[#This Row],[SALARIO BASE Eq]]+DATOS_[[#This Row],[Tot COMPL.SAL Eq]]</f>
        <v>#DIV/0!</v>
      </c>
      <c r="CA877" s="138" t="e">
        <f aca="false" t="array" ref="CA877:CA8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7" s="138" t="e">
        <f aca="false">+DATOS_[[#This Row],[TOTAL SALARIO Eq]]+DATOS_[[#This Row],[Tot Extrasalarial Eq]]</f>
        <v>#DIV/0!</v>
      </c>
      <c r="CC877" s="139" t="n">
        <f aca="false">DATOS_[[#This Row],[S.BASE]]</f>
        <v>0</v>
      </c>
      <c r="CD877" s="139" t="n">
        <f aca="false">+SUM(DATOS_[[#This Row],[Conc.Sal.01]:[Conc.Sal.30]])</f>
        <v>0</v>
      </c>
      <c r="CE877" s="139" t="n">
        <f aca="false">+DATOS_[[#This Row],[SALARIO BASE Ef]]+DATOS_[[#This Row],[Tot COMPL.SAL Ef]]</f>
        <v>0</v>
      </c>
      <c r="CF877" s="139" t="n">
        <f aca="false">+SUM(DATOS_[[#This Row],[C.Extra.01]:[C.Extra.05]])</f>
        <v>0</v>
      </c>
      <c r="CG877" s="139" t="n">
        <f aca="false">+DATOS_[[#This Row],[TOTAL SALARIO Ef]]+DATOS_[[#This Row],[Tot Extrasalarial Ef]]</f>
        <v>0</v>
      </c>
      <c r="CH877" s="140" t="n">
        <f aca="false">MIN(IF(DATOS_[[#This Row],[Fecha Fin Contrato]]="",$D$4,DATOS_[[#This Row],[Fecha Fin Contrato]]),$D$4)-MAX(DATOS_[[#This Row],[Fecha de Contratación]],$D$3)+1</f>
        <v>1</v>
      </c>
      <c r="CI877" s="141" t="str">
        <f aca="false">IF(COUNTIFS(DATOS_[id],DATOS_[[#This Row],[id]])&gt;1,DATOS_[[#This Row],[id]],"")</f>
        <v/>
      </c>
      <c r="CJ877" s="141" t="n">
        <f aca="false">(Inicio!$G$10-DATOS_[[#This Row],[Fecha Nacimiento]])/365.25</f>
        <v>0</v>
      </c>
      <c r="CK877" s="141" t="n">
        <f aca="false">(Inicio!$G$10-DATOS_[[#This Row],[Fecha de Antigüedad]])/365.25</f>
        <v>0</v>
      </c>
      <c r="CL877" s="141" t="e">
        <f aca="false">+VLOOKUP(DATOS_[[#This Row],[Clave de Contrato]],TblTiposContrato13[],3,0)</f>
        <v>#N/A</v>
      </c>
      <c r="CM877" s="141" t="e">
        <f aca="false">+VLOOKUP(DATOS_[[#This Row],[Clave de Contrato]],TblTiposContrato13[],4,0)</f>
        <v>#N/A</v>
      </c>
      <c r="CN877" s="141" t="str">
        <f aca="false">VLOOKUP(DATOS_[[#This Row],[Edad]],CONTRATOS!TblRngEdad,2,1)</f>
        <v>20  o menos</v>
      </c>
      <c r="CO877" s="141" t="str">
        <f aca="false">VLOOKUP(DATOS_[[#This Row],[Antigüedad]],TblRngAntg14[],2,1)</f>
        <v>0 a 1 años</v>
      </c>
    </row>
    <row r="878" customFormat="false" ht="13.8" hidden="false" customHeight="false" outlineLevel="0" collapsed="false">
      <c r="D878" s="128"/>
      <c r="E878" s="129"/>
      <c r="F878" s="129"/>
      <c r="G878" s="129"/>
      <c r="H878" s="130"/>
      <c r="I878" s="131"/>
      <c r="J878" s="128"/>
      <c r="K878" s="132"/>
      <c r="L878" s="132"/>
      <c r="M878" s="133"/>
      <c r="N878" s="133"/>
      <c r="O878" s="133"/>
      <c r="P878" s="129"/>
      <c r="Z878" s="75"/>
      <c r="AA878" s="76"/>
      <c r="AB878" s="76"/>
      <c r="AC878" s="129"/>
      <c r="AD878" s="134"/>
      <c r="AE878" s="134"/>
      <c r="AF878" s="134"/>
      <c r="AG878" s="134"/>
      <c r="AH878" s="134"/>
      <c r="AI878" s="134"/>
      <c r="AJ878" s="134"/>
      <c r="AK878" s="134"/>
      <c r="AL878" s="134"/>
      <c r="AM878" s="134"/>
      <c r="AN878" s="134"/>
      <c r="AO878" s="134"/>
      <c r="AP878" s="134"/>
      <c r="AQ878" s="134"/>
      <c r="AR878" s="134"/>
      <c r="AS878" s="134"/>
      <c r="AT878" s="134"/>
      <c r="AU878" s="134"/>
      <c r="AV878" s="134"/>
      <c r="AW878" s="134"/>
      <c r="AX878" s="134"/>
      <c r="AY878" s="134"/>
      <c r="AZ878" s="134"/>
      <c r="BA878" s="134"/>
      <c r="BB878" s="134"/>
      <c r="BC878" s="134"/>
      <c r="BD878" s="134"/>
      <c r="BE878" s="134"/>
      <c r="BF878" s="134"/>
      <c r="BG878" s="134"/>
      <c r="BH878" s="134"/>
      <c r="BI878" s="134"/>
      <c r="BJ878" s="134"/>
      <c r="BK878" s="134"/>
      <c r="BL878" s="134"/>
      <c r="BM878" s="135"/>
      <c r="BN878" s="136" t="n">
        <f aca="false">+MAX($D$3,DATOS_[[#This Row],[Fecha Inicio Sit. Contract.]])</f>
        <v>0</v>
      </c>
      <c r="BO878" s="136" t="n">
        <f aca="false">+MIN($D$4,DATOS_[[#This Row],[Fecha Fin Sit. Contract.]])</f>
        <v>0</v>
      </c>
      <c r="BP878" s="137" t="n">
        <f aca="false">+DATOS_[[#This Row],[% de jornada]]*IF(DATOS_[[#This Row],[% jornada reducida]]="",1,DATOS_[[#This Row],[% jornada reducida]])</f>
        <v>0</v>
      </c>
      <c r="BQ878" s="137" t="n">
        <f aca="false">+(DATOS_[[#This Row],[F.fin.cal]]-DATOS_[[#This Row],[F.ini.cal]]+1)/($D$4-$D$3+1)</f>
        <v>1</v>
      </c>
      <c r="BR878" s="137" t="str">
        <f aca="false">IF(OR(AND(DATOS_[[#This Row],[Fecha Fin Contrato]]&lt;$D$3,DATOS_[[#This Row],[Fecha Fin Contrato]]&lt;&gt;""),DATOS_[[#This Row],[Fecha de Contratación]]&gt;$D$4),"Fuera","Dentro")</f>
        <v>Dentro</v>
      </c>
      <c r="BS878" s="137" t="str">
        <f aca="false" t="array" ref="BS878:BS878">IF(MAX(IF(DATOS_[id]=DATOS_[[#This Row],[id]],DATOS_[F.fin.cal]))=DATOS_[[#This Row],[F.fin.cal]],"Sí","NO")</f>
        <v>Sí</v>
      </c>
      <c r="BT878" s="137" t="str">
        <f aca="false">IF(AND(DATOS_[[#This Row],[% normaliz]]&lt;&gt;1,DATOS_[[#This Row],[% anualiz]]=1),"Sí","NO")</f>
        <v>Sí</v>
      </c>
      <c r="BU878" s="137" t="str">
        <f aca="false">IF(AND(DATOS_[[#This Row],[% normaliz]]=1,DATOS_[[#This Row],[% anualiz]]&lt;&gt;1),"Sí","NO")</f>
        <v>NO</v>
      </c>
      <c r="BV878" s="137" t="str">
        <f aca="false">IF(AND(DATOS_[[#This Row],[% normaliz]]&lt;&gt;1,DATOS_[[#This Row],[% anualiz]]&lt;&gt;1),"Sí","NO")</f>
        <v>NO</v>
      </c>
      <c r="BW878" s="137" t="str">
        <f aca="false">+IF(DATOS_[[#This Row],[% normaliz]]*DATOS_[[#This Row],[% anualiz]]=1,"NO","Sí")</f>
        <v>Sí</v>
      </c>
      <c r="BX878" s="138" t="e">
        <f aca="false">(DATOS_[[#This Row],[S.BASE]]*(1/DATOS_[[#This Row],[% normaliz]])*(1/DATOS_[[#This Row],[% anualiz]]))*IF(DATOS_[[#This Row],[Check Equiparado]]="Sí",1,0)</f>
        <v>#DIV/0!</v>
      </c>
      <c r="BY8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8" s="138" t="e">
        <f aca="false">+DATOS_[[#This Row],[SALARIO BASE Eq]]+DATOS_[[#This Row],[Tot COMPL.SAL Eq]]</f>
        <v>#DIV/0!</v>
      </c>
      <c r="CA878" s="138" t="e">
        <f aca="false" t="array" ref="CA878:CA8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8" s="138" t="e">
        <f aca="false">+DATOS_[[#This Row],[TOTAL SALARIO Eq]]+DATOS_[[#This Row],[Tot Extrasalarial Eq]]</f>
        <v>#DIV/0!</v>
      </c>
      <c r="CC878" s="139" t="n">
        <f aca="false">DATOS_[[#This Row],[S.BASE]]</f>
        <v>0</v>
      </c>
      <c r="CD878" s="139" t="n">
        <f aca="false">+SUM(DATOS_[[#This Row],[Conc.Sal.01]:[Conc.Sal.30]])</f>
        <v>0</v>
      </c>
      <c r="CE878" s="139" t="n">
        <f aca="false">+DATOS_[[#This Row],[SALARIO BASE Ef]]+DATOS_[[#This Row],[Tot COMPL.SAL Ef]]</f>
        <v>0</v>
      </c>
      <c r="CF878" s="139" t="n">
        <f aca="false">+SUM(DATOS_[[#This Row],[C.Extra.01]:[C.Extra.05]])</f>
        <v>0</v>
      </c>
      <c r="CG878" s="139" t="n">
        <f aca="false">+DATOS_[[#This Row],[TOTAL SALARIO Ef]]+DATOS_[[#This Row],[Tot Extrasalarial Ef]]</f>
        <v>0</v>
      </c>
      <c r="CH878" s="140" t="n">
        <f aca="false">MIN(IF(DATOS_[[#This Row],[Fecha Fin Contrato]]="",$D$4,DATOS_[[#This Row],[Fecha Fin Contrato]]),$D$4)-MAX(DATOS_[[#This Row],[Fecha de Contratación]],$D$3)+1</f>
        <v>1</v>
      </c>
      <c r="CI878" s="141" t="str">
        <f aca="false">IF(COUNTIFS(DATOS_[id],DATOS_[[#This Row],[id]])&gt;1,DATOS_[[#This Row],[id]],"")</f>
        <v/>
      </c>
      <c r="CJ878" s="141" t="n">
        <f aca="false">(Inicio!$G$10-DATOS_[[#This Row],[Fecha Nacimiento]])/365.25</f>
        <v>0</v>
      </c>
      <c r="CK878" s="141" t="n">
        <f aca="false">(Inicio!$G$10-DATOS_[[#This Row],[Fecha de Antigüedad]])/365.25</f>
        <v>0</v>
      </c>
      <c r="CL878" s="141" t="e">
        <f aca="false">+VLOOKUP(DATOS_[[#This Row],[Clave de Contrato]],TblTiposContrato13[],3,0)</f>
        <v>#N/A</v>
      </c>
      <c r="CM878" s="141" t="e">
        <f aca="false">+VLOOKUP(DATOS_[[#This Row],[Clave de Contrato]],TblTiposContrato13[],4,0)</f>
        <v>#N/A</v>
      </c>
      <c r="CN878" s="141" t="str">
        <f aca="false">VLOOKUP(DATOS_[[#This Row],[Edad]],CONTRATOS!TblRngEdad,2,1)</f>
        <v>20  o menos</v>
      </c>
      <c r="CO878" s="141" t="str">
        <f aca="false">VLOOKUP(DATOS_[[#This Row],[Antigüedad]],TblRngAntg14[],2,1)</f>
        <v>0 a 1 años</v>
      </c>
    </row>
    <row r="879" customFormat="false" ht="13.8" hidden="false" customHeight="false" outlineLevel="0" collapsed="false">
      <c r="D879" s="128"/>
      <c r="E879" s="129"/>
      <c r="F879" s="129"/>
      <c r="G879" s="129"/>
      <c r="H879" s="130"/>
      <c r="I879" s="131"/>
      <c r="J879" s="128"/>
      <c r="K879" s="132"/>
      <c r="L879" s="132"/>
      <c r="M879" s="133"/>
      <c r="N879" s="133"/>
      <c r="O879" s="133"/>
      <c r="P879" s="129"/>
      <c r="Z879" s="75"/>
      <c r="AA879" s="76"/>
      <c r="AB879" s="76"/>
      <c r="AC879" s="129"/>
      <c r="AD879" s="134"/>
      <c r="AE879" s="134"/>
      <c r="AF879" s="134"/>
      <c r="AG879" s="134"/>
      <c r="AH879" s="134"/>
      <c r="AI879" s="134"/>
      <c r="AJ879" s="134"/>
      <c r="AK879" s="134"/>
      <c r="AL879" s="134"/>
      <c r="AM879" s="134"/>
      <c r="AN879" s="134"/>
      <c r="AO879" s="134"/>
      <c r="AP879" s="134"/>
      <c r="AQ879" s="134"/>
      <c r="AR879" s="134"/>
      <c r="AS879" s="134"/>
      <c r="AT879" s="134"/>
      <c r="AU879" s="134"/>
      <c r="AV879" s="134"/>
      <c r="AW879" s="134"/>
      <c r="AX879" s="134"/>
      <c r="AY879" s="134"/>
      <c r="AZ879" s="134"/>
      <c r="BA879" s="134"/>
      <c r="BB879" s="134"/>
      <c r="BC879" s="134"/>
      <c r="BD879" s="134"/>
      <c r="BE879" s="134"/>
      <c r="BF879" s="134"/>
      <c r="BG879" s="134"/>
      <c r="BH879" s="134"/>
      <c r="BI879" s="134"/>
      <c r="BJ879" s="134"/>
      <c r="BK879" s="134"/>
      <c r="BL879" s="134"/>
      <c r="BM879" s="135"/>
      <c r="BN879" s="136" t="n">
        <f aca="false">+MAX($D$3,DATOS_[[#This Row],[Fecha Inicio Sit. Contract.]])</f>
        <v>0</v>
      </c>
      <c r="BO879" s="136" t="n">
        <f aca="false">+MIN($D$4,DATOS_[[#This Row],[Fecha Fin Sit. Contract.]])</f>
        <v>0</v>
      </c>
      <c r="BP879" s="137" t="n">
        <f aca="false">+DATOS_[[#This Row],[% de jornada]]*IF(DATOS_[[#This Row],[% jornada reducida]]="",1,DATOS_[[#This Row],[% jornada reducida]])</f>
        <v>0</v>
      </c>
      <c r="BQ879" s="137" t="n">
        <f aca="false">+(DATOS_[[#This Row],[F.fin.cal]]-DATOS_[[#This Row],[F.ini.cal]]+1)/($D$4-$D$3+1)</f>
        <v>1</v>
      </c>
      <c r="BR879" s="137" t="str">
        <f aca="false">IF(OR(AND(DATOS_[[#This Row],[Fecha Fin Contrato]]&lt;$D$3,DATOS_[[#This Row],[Fecha Fin Contrato]]&lt;&gt;""),DATOS_[[#This Row],[Fecha de Contratación]]&gt;$D$4),"Fuera","Dentro")</f>
        <v>Dentro</v>
      </c>
      <c r="BS879" s="137" t="str">
        <f aca="false" t="array" ref="BS879:BS879">IF(MAX(IF(DATOS_[id]=DATOS_[[#This Row],[id]],DATOS_[F.fin.cal]))=DATOS_[[#This Row],[F.fin.cal]],"Sí","NO")</f>
        <v>Sí</v>
      </c>
      <c r="BT879" s="137" t="str">
        <f aca="false">IF(AND(DATOS_[[#This Row],[% normaliz]]&lt;&gt;1,DATOS_[[#This Row],[% anualiz]]=1),"Sí","NO")</f>
        <v>Sí</v>
      </c>
      <c r="BU879" s="137" t="str">
        <f aca="false">IF(AND(DATOS_[[#This Row],[% normaliz]]=1,DATOS_[[#This Row],[% anualiz]]&lt;&gt;1),"Sí","NO")</f>
        <v>NO</v>
      </c>
      <c r="BV879" s="137" t="str">
        <f aca="false">IF(AND(DATOS_[[#This Row],[% normaliz]]&lt;&gt;1,DATOS_[[#This Row],[% anualiz]]&lt;&gt;1),"Sí","NO")</f>
        <v>NO</v>
      </c>
      <c r="BW879" s="137" t="str">
        <f aca="false">+IF(DATOS_[[#This Row],[% normaliz]]*DATOS_[[#This Row],[% anualiz]]=1,"NO","Sí")</f>
        <v>Sí</v>
      </c>
      <c r="BX879" s="138" t="e">
        <f aca="false">(DATOS_[[#This Row],[S.BASE]]*(1/DATOS_[[#This Row],[% normaliz]])*(1/DATOS_[[#This Row],[% anualiz]]))*IF(DATOS_[[#This Row],[Check Equiparado]]="Sí",1,0)</f>
        <v>#DIV/0!</v>
      </c>
      <c r="BY8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9" s="138" t="e">
        <f aca="false">+DATOS_[[#This Row],[SALARIO BASE Eq]]+DATOS_[[#This Row],[Tot COMPL.SAL Eq]]</f>
        <v>#DIV/0!</v>
      </c>
      <c r="CA879" s="138" t="e">
        <f aca="false" t="array" ref="CA879:CA8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9" s="138" t="e">
        <f aca="false">+DATOS_[[#This Row],[TOTAL SALARIO Eq]]+DATOS_[[#This Row],[Tot Extrasalarial Eq]]</f>
        <v>#DIV/0!</v>
      </c>
      <c r="CC879" s="139" t="n">
        <f aca="false">DATOS_[[#This Row],[S.BASE]]</f>
        <v>0</v>
      </c>
      <c r="CD879" s="139" t="n">
        <f aca="false">+SUM(DATOS_[[#This Row],[Conc.Sal.01]:[Conc.Sal.30]])</f>
        <v>0</v>
      </c>
      <c r="CE879" s="139" t="n">
        <f aca="false">+DATOS_[[#This Row],[SALARIO BASE Ef]]+DATOS_[[#This Row],[Tot COMPL.SAL Ef]]</f>
        <v>0</v>
      </c>
      <c r="CF879" s="139" t="n">
        <f aca="false">+SUM(DATOS_[[#This Row],[C.Extra.01]:[C.Extra.05]])</f>
        <v>0</v>
      </c>
      <c r="CG879" s="139" t="n">
        <f aca="false">+DATOS_[[#This Row],[TOTAL SALARIO Ef]]+DATOS_[[#This Row],[Tot Extrasalarial Ef]]</f>
        <v>0</v>
      </c>
      <c r="CH879" s="140" t="n">
        <f aca="false">MIN(IF(DATOS_[[#This Row],[Fecha Fin Contrato]]="",$D$4,DATOS_[[#This Row],[Fecha Fin Contrato]]),$D$4)-MAX(DATOS_[[#This Row],[Fecha de Contratación]],$D$3)+1</f>
        <v>1</v>
      </c>
      <c r="CI879" s="141" t="str">
        <f aca="false">IF(COUNTIFS(DATOS_[id],DATOS_[[#This Row],[id]])&gt;1,DATOS_[[#This Row],[id]],"")</f>
        <v/>
      </c>
      <c r="CJ879" s="141" t="n">
        <f aca="false">(Inicio!$G$10-DATOS_[[#This Row],[Fecha Nacimiento]])/365.25</f>
        <v>0</v>
      </c>
      <c r="CK879" s="141" t="n">
        <f aca="false">(Inicio!$G$10-DATOS_[[#This Row],[Fecha de Antigüedad]])/365.25</f>
        <v>0</v>
      </c>
      <c r="CL879" s="141" t="e">
        <f aca="false">+VLOOKUP(DATOS_[[#This Row],[Clave de Contrato]],TblTiposContrato13[],3,0)</f>
        <v>#N/A</v>
      </c>
      <c r="CM879" s="141" t="e">
        <f aca="false">+VLOOKUP(DATOS_[[#This Row],[Clave de Contrato]],TblTiposContrato13[],4,0)</f>
        <v>#N/A</v>
      </c>
      <c r="CN879" s="141" t="str">
        <f aca="false">VLOOKUP(DATOS_[[#This Row],[Edad]],CONTRATOS!TblRngEdad,2,1)</f>
        <v>20  o menos</v>
      </c>
      <c r="CO879" s="141" t="str">
        <f aca="false">VLOOKUP(DATOS_[[#This Row],[Antigüedad]],TblRngAntg14[],2,1)</f>
        <v>0 a 1 años</v>
      </c>
    </row>
    <row r="880" customFormat="false" ht="13.8" hidden="false" customHeight="false" outlineLevel="0" collapsed="false">
      <c r="D880" s="128"/>
      <c r="E880" s="129"/>
      <c r="F880" s="129"/>
      <c r="G880" s="129"/>
      <c r="H880" s="130"/>
      <c r="I880" s="131"/>
      <c r="J880" s="128"/>
      <c r="K880" s="132"/>
      <c r="L880" s="132"/>
      <c r="M880" s="133"/>
      <c r="N880" s="133"/>
      <c r="O880" s="133"/>
      <c r="P880" s="129"/>
      <c r="Z880" s="75"/>
      <c r="AA880" s="76"/>
      <c r="AB880" s="76"/>
      <c r="AC880" s="129"/>
      <c r="AD880" s="134"/>
      <c r="AE880" s="134"/>
      <c r="AF880" s="134"/>
      <c r="AG880" s="134"/>
      <c r="AH880" s="134"/>
      <c r="AI880" s="134"/>
      <c r="AJ880" s="134"/>
      <c r="AK880" s="134"/>
      <c r="AL880" s="134"/>
      <c r="AM880" s="134"/>
      <c r="AN880" s="134"/>
      <c r="AO880" s="134"/>
      <c r="AP880" s="134"/>
      <c r="AQ880" s="134"/>
      <c r="AR880" s="134"/>
      <c r="AS880" s="134"/>
      <c r="AT880" s="134"/>
      <c r="AU880" s="134"/>
      <c r="AV880" s="134"/>
      <c r="AW880" s="134"/>
      <c r="AX880" s="134"/>
      <c r="AY880" s="134"/>
      <c r="AZ880" s="134"/>
      <c r="BA880" s="134"/>
      <c r="BB880" s="134"/>
      <c r="BC880" s="134"/>
      <c r="BD880" s="134"/>
      <c r="BE880" s="134"/>
      <c r="BF880" s="134"/>
      <c r="BG880" s="134"/>
      <c r="BH880" s="134"/>
      <c r="BI880" s="134"/>
      <c r="BJ880" s="134"/>
      <c r="BK880" s="134"/>
      <c r="BL880" s="134"/>
      <c r="BM880" s="135"/>
      <c r="BN880" s="136" t="n">
        <f aca="false">+MAX($D$3,DATOS_[[#This Row],[Fecha Inicio Sit. Contract.]])</f>
        <v>0</v>
      </c>
      <c r="BO880" s="136" t="n">
        <f aca="false">+MIN($D$4,DATOS_[[#This Row],[Fecha Fin Sit. Contract.]])</f>
        <v>0</v>
      </c>
      <c r="BP880" s="137" t="n">
        <f aca="false">+DATOS_[[#This Row],[% de jornada]]*IF(DATOS_[[#This Row],[% jornada reducida]]="",1,DATOS_[[#This Row],[% jornada reducida]])</f>
        <v>0</v>
      </c>
      <c r="BQ880" s="137" t="n">
        <f aca="false">+(DATOS_[[#This Row],[F.fin.cal]]-DATOS_[[#This Row],[F.ini.cal]]+1)/($D$4-$D$3+1)</f>
        <v>1</v>
      </c>
      <c r="BR880" s="137" t="str">
        <f aca="false">IF(OR(AND(DATOS_[[#This Row],[Fecha Fin Contrato]]&lt;$D$3,DATOS_[[#This Row],[Fecha Fin Contrato]]&lt;&gt;""),DATOS_[[#This Row],[Fecha de Contratación]]&gt;$D$4),"Fuera","Dentro")</f>
        <v>Dentro</v>
      </c>
      <c r="BS880" s="137" t="str">
        <f aca="false" t="array" ref="BS880:BS880">IF(MAX(IF(DATOS_[id]=DATOS_[[#This Row],[id]],DATOS_[F.fin.cal]))=DATOS_[[#This Row],[F.fin.cal]],"Sí","NO")</f>
        <v>Sí</v>
      </c>
      <c r="BT880" s="137" t="str">
        <f aca="false">IF(AND(DATOS_[[#This Row],[% normaliz]]&lt;&gt;1,DATOS_[[#This Row],[% anualiz]]=1),"Sí","NO")</f>
        <v>Sí</v>
      </c>
      <c r="BU880" s="137" t="str">
        <f aca="false">IF(AND(DATOS_[[#This Row],[% normaliz]]=1,DATOS_[[#This Row],[% anualiz]]&lt;&gt;1),"Sí","NO")</f>
        <v>NO</v>
      </c>
      <c r="BV880" s="137" t="str">
        <f aca="false">IF(AND(DATOS_[[#This Row],[% normaliz]]&lt;&gt;1,DATOS_[[#This Row],[% anualiz]]&lt;&gt;1),"Sí","NO")</f>
        <v>NO</v>
      </c>
      <c r="BW880" s="137" t="str">
        <f aca="false">+IF(DATOS_[[#This Row],[% normaliz]]*DATOS_[[#This Row],[% anualiz]]=1,"NO","Sí")</f>
        <v>Sí</v>
      </c>
      <c r="BX880" s="138" t="e">
        <f aca="false">(DATOS_[[#This Row],[S.BASE]]*(1/DATOS_[[#This Row],[% normaliz]])*(1/DATOS_[[#This Row],[% anualiz]]))*IF(DATOS_[[#This Row],[Check Equiparado]]="Sí",1,0)</f>
        <v>#DIV/0!</v>
      </c>
      <c r="BY8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0" s="138" t="e">
        <f aca="false">+DATOS_[[#This Row],[SALARIO BASE Eq]]+DATOS_[[#This Row],[Tot COMPL.SAL Eq]]</f>
        <v>#DIV/0!</v>
      </c>
      <c r="CA880" s="138" t="e">
        <f aca="false" t="array" ref="CA880:CA8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0" s="138" t="e">
        <f aca="false">+DATOS_[[#This Row],[TOTAL SALARIO Eq]]+DATOS_[[#This Row],[Tot Extrasalarial Eq]]</f>
        <v>#DIV/0!</v>
      </c>
      <c r="CC880" s="139" t="n">
        <f aca="false">DATOS_[[#This Row],[S.BASE]]</f>
        <v>0</v>
      </c>
      <c r="CD880" s="139" t="n">
        <f aca="false">+SUM(DATOS_[[#This Row],[Conc.Sal.01]:[Conc.Sal.30]])</f>
        <v>0</v>
      </c>
      <c r="CE880" s="139" t="n">
        <f aca="false">+DATOS_[[#This Row],[SALARIO BASE Ef]]+DATOS_[[#This Row],[Tot COMPL.SAL Ef]]</f>
        <v>0</v>
      </c>
      <c r="CF880" s="139" t="n">
        <f aca="false">+SUM(DATOS_[[#This Row],[C.Extra.01]:[C.Extra.05]])</f>
        <v>0</v>
      </c>
      <c r="CG880" s="139" t="n">
        <f aca="false">+DATOS_[[#This Row],[TOTAL SALARIO Ef]]+DATOS_[[#This Row],[Tot Extrasalarial Ef]]</f>
        <v>0</v>
      </c>
      <c r="CH880" s="140" t="n">
        <f aca="false">MIN(IF(DATOS_[[#This Row],[Fecha Fin Contrato]]="",$D$4,DATOS_[[#This Row],[Fecha Fin Contrato]]),$D$4)-MAX(DATOS_[[#This Row],[Fecha de Contratación]],$D$3)+1</f>
        <v>1</v>
      </c>
      <c r="CI880" s="141" t="str">
        <f aca="false">IF(COUNTIFS(DATOS_[id],DATOS_[[#This Row],[id]])&gt;1,DATOS_[[#This Row],[id]],"")</f>
        <v/>
      </c>
      <c r="CJ880" s="141" t="n">
        <f aca="false">(Inicio!$G$10-DATOS_[[#This Row],[Fecha Nacimiento]])/365.25</f>
        <v>0</v>
      </c>
      <c r="CK880" s="141" t="n">
        <f aca="false">(Inicio!$G$10-DATOS_[[#This Row],[Fecha de Antigüedad]])/365.25</f>
        <v>0</v>
      </c>
      <c r="CL880" s="141" t="e">
        <f aca="false">+VLOOKUP(DATOS_[[#This Row],[Clave de Contrato]],TblTiposContrato13[],3,0)</f>
        <v>#N/A</v>
      </c>
      <c r="CM880" s="141" t="e">
        <f aca="false">+VLOOKUP(DATOS_[[#This Row],[Clave de Contrato]],TblTiposContrato13[],4,0)</f>
        <v>#N/A</v>
      </c>
      <c r="CN880" s="141" t="str">
        <f aca="false">VLOOKUP(DATOS_[[#This Row],[Edad]],CONTRATOS!TblRngEdad,2,1)</f>
        <v>20  o menos</v>
      </c>
      <c r="CO880" s="141" t="str">
        <f aca="false">VLOOKUP(DATOS_[[#This Row],[Antigüedad]],TblRngAntg14[],2,1)</f>
        <v>0 a 1 años</v>
      </c>
    </row>
    <row r="881" customFormat="false" ht="13.8" hidden="false" customHeight="false" outlineLevel="0" collapsed="false">
      <c r="D881" s="128"/>
      <c r="E881" s="129"/>
      <c r="F881" s="129"/>
      <c r="G881" s="129"/>
      <c r="H881" s="130"/>
      <c r="I881" s="131"/>
      <c r="J881" s="128"/>
      <c r="K881" s="132"/>
      <c r="L881" s="132"/>
      <c r="M881" s="133"/>
      <c r="N881" s="133"/>
      <c r="O881" s="133"/>
      <c r="P881" s="129"/>
      <c r="Z881" s="75"/>
      <c r="AA881" s="76"/>
      <c r="AB881" s="76"/>
      <c r="AC881" s="129"/>
      <c r="AD881" s="134"/>
      <c r="AE881" s="134"/>
      <c r="AF881" s="134"/>
      <c r="AG881" s="134"/>
      <c r="AH881" s="134"/>
      <c r="AI881" s="134"/>
      <c r="AJ881" s="134"/>
      <c r="AK881" s="134"/>
      <c r="AL881" s="134"/>
      <c r="AM881" s="134"/>
      <c r="AN881" s="134"/>
      <c r="AO881" s="134"/>
      <c r="AP881" s="134"/>
      <c r="AQ881" s="134"/>
      <c r="AR881" s="134"/>
      <c r="AS881" s="134"/>
      <c r="AT881" s="134"/>
      <c r="AU881" s="134"/>
      <c r="AV881" s="134"/>
      <c r="AW881" s="134"/>
      <c r="AX881" s="134"/>
      <c r="AY881" s="134"/>
      <c r="AZ881" s="134"/>
      <c r="BA881" s="134"/>
      <c r="BB881" s="134"/>
      <c r="BC881" s="134"/>
      <c r="BD881" s="134"/>
      <c r="BE881" s="134"/>
      <c r="BF881" s="134"/>
      <c r="BG881" s="134"/>
      <c r="BH881" s="134"/>
      <c r="BI881" s="134"/>
      <c r="BJ881" s="134"/>
      <c r="BK881" s="134"/>
      <c r="BL881" s="134"/>
      <c r="BM881" s="135"/>
      <c r="BN881" s="136" t="n">
        <f aca="false">+MAX($D$3,DATOS_[[#This Row],[Fecha Inicio Sit. Contract.]])</f>
        <v>0</v>
      </c>
      <c r="BO881" s="136" t="n">
        <f aca="false">+MIN($D$4,DATOS_[[#This Row],[Fecha Fin Sit. Contract.]])</f>
        <v>0</v>
      </c>
      <c r="BP881" s="137" t="n">
        <f aca="false">+DATOS_[[#This Row],[% de jornada]]*IF(DATOS_[[#This Row],[% jornada reducida]]="",1,DATOS_[[#This Row],[% jornada reducida]])</f>
        <v>0</v>
      </c>
      <c r="BQ881" s="137" t="n">
        <f aca="false">+(DATOS_[[#This Row],[F.fin.cal]]-DATOS_[[#This Row],[F.ini.cal]]+1)/($D$4-$D$3+1)</f>
        <v>1</v>
      </c>
      <c r="BR881" s="137" t="str">
        <f aca="false">IF(OR(AND(DATOS_[[#This Row],[Fecha Fin Contrato]]&lt;$D$3,DATOS_[[#This Row],[Fecha Fin Contrato]]&lt;&gt;""),DATOS_[[#This Row],[Fecha de Contratación]]&gt;$D$4),"Fuera","Dentro")</f>
        <v>Dentro</v>
      </c>
      <c r="BS881" s="137" t="str">
        <f aca="false" t="array" ref="BS881:BS881">IF(MAX(IF(DATOS_[id]=DATOS_[[#This Row],[id]],DATOS_[F.fin.cal]))=DATOS_[[#This Row],[F.fin.cal]],"Sí","NO")</f>
        <v>Sí</v>
      </c>
      <c r="BT881" s="137" t="str">
        <f aca="false">IF(AND(DATOS_[[#This Row],[% normaliz]]&lt;&gt;1,DATOS_[[#This Row],[% anualiz]]=1),"Sí","NO")</f>
        <v>Sí</v>
      </c>
      <c r="BU881" s="137" t="str">
        <f aca="false">IF(AND(DATOS_[[#This Row],[% normaliz]]=1,DATOS_[[#This Row],[% anualiz]]&lt;&gt;1),"Sí","NO")</f>
        <v>NO</v>
      </c>
      <c r="BV881" s="137" t="str">
        <f aca="false">IF(AND(DATOS_[[#This Row],[% normaliz]]&lt;&gt;1,DATOS_[[#This Row],[% anualiz]]&lt;&gt;1),"Sí","NO")</f>
        <v>NO</v>
      </c>
      <c r="BW881" s="137" t="str">
        <f aca="false">+IF(DATOS_[[#This Row],[% normaliz]]*DATOS_[[#This Row],[% anualiz]]=1,"NO","Sí")</f>
        <v>Sí</v>
      </c>
      <c r="BX881" s="138" t="e">
        <f aca="false">(DATOS_[[#This Row],[S.BASE]]*(1/DATOS_[[#This Row],[% normaliz]])*(1/DATOS_[[#This Row],[% anualiz]]))*IF(DATOS_[[#This Row],[Check Equiparado]]="Sí",1,0)</f>
        <v>#DIV/0!</v>
      </c>
      <c r="BY8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1" s="138" t="e">
        <f aca="false">+DATOS_[[#This Row],[SALARIO BASE Eq]]+DATOS_[[#This Row],[Tot COMPL.SAL Eq]]</f>
        <v>#DIV/0!</v>
      </c>
      <c r="CA881" s="138" t="e">
        <f aca="false" t="array" ref="CA881:CA8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1" s="138" t="e">
        <f aca="false">+DATOS_[[#This Row],[TOTAL SALARIO Eq]]+DATOS_[[#This Row],[Tot Extrasalarial Eq]]</f>
        <v>#DIV/0!</v>
      </c>
      <c r="CC881" s="139" t="n">
        <f aca="false">DATOS_[[#This Row],[S.BASE]]</f>
        <v>0</v>
      </c>
      <c r="CD881" s="139" t="n">
        <f aca="false">+SUM(DATOS_[[#This Row],[Conc.Sal.01]:[Conc.Sal.30]])</f>
        <v>0</v>
      </c>
      <c r="CE881" s="139" t="n">
        <f aca="false">+DATOS_[[#This Row],[SALARIO BASE Ef]]+DATOS_[[#This Row],[Tot COMPL.SAL Ef]]</f>
        <v>0</v>
      </c>
      <c r="CF881" s="139" t="n">
        <f aca="false">+SUM(DATOS_[[#This Row],[C.Extra.01]:[C.Extra.05]])</f>
        <v>0</v>
      </c>
      <c r="CG881" s="139" t="n">
        <f aca="false">+DATOS_[[#This Row],[TOTAL SALARIO Ef]]+DATOS_[[#This Row],[Tot Extrasalarial Ef]]</f>
        <v>0</v>
      </c>
      <c r="CH881" s="140" t="n">
        <f aca="false">MIN(IF(DATOS_[[#This Row],[Fecha Fin Contrato]]="",$D$4,DATOS_[[#This Row],[Fecha Fin Contrato]]),$D$4)-MAX(DATOS_[[#This Row],[Fecha de Contratación]],$D$3)+1</f>
        <v>1</v>
      </c>
      <c r="CI881" s="141" t="str">
        <f aca="false">IF(COUNTIFS(DATOS_[id],DATOS_[[#This Row],[id]])&gt;1,DATOS_[[#This Row],[id]],"")</f>
        <v/>
      </c>
      <c r="CJ881" s="141" t="n">
        <f aca="false">(Inicio!$G$10-DATOS_[[#This Row],[Fecha Nacimiento]])/365.25</f>
        <v>0</v>
      </c>
      <c r="CK881" s="141" t="n">
        <f aca="false">(Inicio!$G$10-DATOS_[[#This Row],[Fecha de Antigüedad]])/365.25</f>
        <v>0</v>
      </c>
      <c r="CL881" s="141" t="e">
        <f aca="false">+VLOOKUP(DATOS_[[#This Row],[Clave de Contrato]],TblTiposContrato13[],3,0)</f>
        <v>#N/A</v>
      </c>
      <c r="CM881" s="141" t="e">
        <f aca="false">+VLOOKUP(DATOS_[[#This Row],[Clave de Contrato]],TblTiposContrato13[],4,0)</f>
        <v>#N/A</v>
      </c>
      <c r="CN881" s="141" t="str">
        <f aca="false">VLOOKUP(DATOS_[[#This Row],[Edad]],CONTRATOS!TblRngEdad,2,1)</f>
        <v>20  o menos</v>
      </c>
      <c r="CO881" s="141" t="str">
        <f aca="false">VLOOKUP(DATOS_[[#This Row],[Antigüedad]],TblRngAntg14[],2,1)</f>
        <v>0 a 1 años</v>
      </c>
    </row>
    <row r="882" customFormat="false" ht="13.8" hidden="false" customHeight="false" outlineLevel="0" collapsed="false">
      <c r="D882" s="128"/>
      <c r="E882" s="129"/>
      <c r="F882" s="129"/>
      <c r="G882" s="129"/>
      <c r="H882" s="130"/>
      <c r="I882" s="131"/>
      <c r="J882" s="128"/>
      <c r="K882" s="132"/>
      <c r="L882" s="132"/>
      <c r="M882" s="133"/>
      <c r="N882" s="133"/>
      <c r="O882" s="133"/>
      <c r="P882" s="129"/>
      <c r="Z882" s="75"/>
      <c r="AA882" s="76"/>
      <c r="AB882" s="76"/>
      <c r="AC882" s="129"/>
      <c r="AD882" s="134"/>
      <c r="AE882" s="134"/>
      <c r="AF882" s="134"/>
      <c r="AG882" s="134"/>
      <c r="AH882" s="134"/>
      <c r="AI882" s="134"/>
      <c r="AJ882" s="134"/>
      <c r="AK882" s="134"/>
      <c r="AL882" s="134"/>
      <c r="AM882" s="134"/>
      <c r="AN882" s="134"/>
      <c r="AO882" s="134"/>
      <c r="AP882" s="134"/>
      <c r="AQ882" s="134"/>
      <c r="AR882" s="134"/>
      <c r="AS882" s="134"/>
      <c r="AT882" s="134"/>
      <c r="AU882" s="134"/>
      <c r="AV882" s="134"/>
      <c r="AW882" s="134"/>
      <c r="AX882" s="134"/>
      <c r="AY882" s="134"/>
      <c r="AZ882" s="134"/>
      <c r="BA882" s="134"/>
      <c r="BB882" s="134"/>
      <c r="BC882" s="134"/>
      <c r="BD882" s="134"/>
      <c r="BE882" s="134"/>
      <c r="BF882" s="134"/>
      <c r="BG882" s="134"/>
      <c r="BH882" s="134"/>
      <c r="BI882" s="134"/>
      <c r="BJ882" s="134"/>
      <c r="BK882" s="134"/>
      <c r="BL882" s="134"/>
      <c r="BM882" s="135"/>
      <c r="BN882" s="136" t="n">
        <f aca="false">+MAX($D$3,DATOS_[[#This Row],[Fecha Inicio Sit. Contract.]])</f>
        <v>0</v>
      </c>
      <c r="BO882" s="136" t="n">
        <f aca="false">+MIN($D$4,DATOS_[[#This Row],[Fecha Fin Sit. Contract.]])</f>
        <v>0</v>
      </c>
      <c r="BP882" s="137" t="n">
        <f aca="false">+DATOS_[[#This Row],[% de jornada]]*IF(DATOS_[[#This Row],[% jornada reducida]]="",1,DATOS_[[#This Row],[% jornada reducida]])</f>
        <v>0</v>
      </c>
      <c r="BQ882" s="137" t="n">
        <f aca="false">+(DATOS_[[#This Row],[F.fin.cal]]-DATOS_[[#This Row],[F.ini.cal]]+1)/($D$4-$D$3+1)</f>
        <v>1</v>
      </c>
      <c r="BR882" s="137" t="str">
        <f aca="false">IF(OR(AND(DATOS_[[#This Row],[Fecha Fin Contrato]]&lt;$D$3,DATOS_[[#This Row],[Fecha Fin Contrato]]&lt;&gt;""),DATOS_[[#This Row],[Fecha de Contratación]]&gt;$D$4),"Fuera","Dentro")</f>
        <v>Dentro</v>
      </c>
      <c r="BS882" s="137" t="str">
        <f aca="false" t="array" ref="BS882:BS882">IF(MAX(IF(DATOS_[id]=DATOS_[[#This Row],[id]],DATOS_[F.fin.cal]))=DATOS_[[#This Row],[F.fin.cal]],"Sí","NO")</f>
        <v>Sí</v>
      </c>
      <c r="BT882" s="137" t="str">
        <f aca="false">IF(AND(DATOS_[[#This Row],[% normaliz]]&lt;&gt;1,DATOS_[[#This Row],[% anualiz]]=1),"Sí","NO")</f>
        <v>Sí</v>
      </c>
      <c r="BU882" s="137" t="str">
        <f aca="false">IF(AND(DATOS_[[#This Row],[% normaliz]]=1,DATOS_[[#This Row],[% anualiz]]&lt;&gt;1),"Sí","NO")</f>
        <v>NO</v>
      </c>
      <c r="BV882" s="137" t="str">
        <f aca="false">IF(AND(DATOS_[[#This Row],[% normaliz]]&lt;&gt;1,DATOS_[[#This Row],[% anualiz]]&lt;&gt;1),"Sí","NO")</f>
        <v>NO</v>
      </c>
      <c r="BW882" s="137" t="str">
        <f aca="false">+IF(DATOS_[[#This Row],[% normaliz]]*DATOS_[[#This Row],[% anualiz]]=1,"NO","Sí")</f>
        <v>Sí</v>
      </c>
      <c r="BX882" s="138" t="e">
        <f aca="false">(DATOS_[[#This Row],[S.BASE]]*(1/DATOS_[[#This Row],[% normaliz]])*(1/DATOS_[[#This Row],[% anualiz]]))*IF(DATOS_[[#This Row],[Check Equiparado]]="Sí",1,0)</f>
        <v>#DIV/0!</v>
      </c>
      <c r="BY8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2" s="138" t="e">
        <f aca="false">+DATOS_[[#This Row],[SALARIO BASE Eq]]+DATOS_[[#This Row],[Tot COMPL.SAL Eq]]</f>
        <v>#DIV/0!</v>
      </c>
      <c r="CA882" s="138" t="e">
        <f aca="false" t="array" ref="CA882:CA8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2" s="138" t="e">
        <f aca="false">+DATOS_[[#This Row],[TOTAL SALARIO Eq]]+DATOS_[[#This Row],[Tot Extrasalarial Eq]]</f>
        <v>#DIV/0!</v>
      </c>
      <c r="CC882" s="139" t="n">
        <f aca="false">DATOS_[[#This Row],[S.BASE]]</f>
        <v>0</v>
      </c>
      <c r="CD882" s="139" t="n">
        <f aca="false">+SUM(DATOS_[[#This Row],[Conc.Sal.01]:[Conc.Sal.30]])</f>
        <v>0</v>
      </c>
      <c r="CE882" s="139" t="n">
        <f aca="false">+DATOS_[[#This Row],[SALARIO BASE Ef]]+DATOS_[[#This Row],[Tot COMPL.SAL Ef]]</f>
        <v>0</v>
      </c>
      <c r="CF882" s="139" t="n">
        <f aca="false">+SUM(DATOS_[[#This Row],[C.Extra.01]:[C.Extra.05]])</f>
        <v>0</v>
      </c>
      <c r="CG882" s="139" t="n">
        <f aca="false">+DATOS_[[#This Row],[TOTAL SALARIO Ef]]+DATOS_[[#This Row],[Tot Extrasalarial Ef]]</f>
        <v>0</v>
      </c>
      <c r="CH882" s="140" t="n">
        <f aca="false">MIN(IF(DATOS_[[#This Row],[Fecha Fin Contrato]]="",$D$4,DATOS_[[#This Row],[Fecha Fin Contrato]]),$D$4)-MAX(DATOS_[[#This Row],[Fecha de Contratación]],$D$3)+1</f>
        <v>1</v>
      </c>
      <c r="CI882" s="141" t="str">
        <f aca="false">IF(COUNTIFS(DATOS_[id],DATOS_[[#This Row],[id]])&gt;1,DATOS_[[#This Row],[id]],"")</f>
        <v/>
      </c>
      <c r="CJ882" s="141" t="n">
        <f aca="false">(Inicio!$G$10-DATOS_[[#This Row],[Fecha Nacimiento]])/365.25</f>
        <v>0</v>
      </c>
      <c r="CK882" s="141" t="n">
        <f aca="false">(Inicio!$G$10-DATOS_[[#This Row],[Fecha de Antigüedad]])/365.25</f>
        <v>0</v>
      </c>
      <c r="CL882" s="141" t="e">
        <f aca="false">+VLOOKUP(DATOS_[[#This Row],[Clave de Contrato]],TblTiposContrato13[],3,0)</f>
        <v>#N/A</v>
      </c>
      <c r="CM882" s="141" t="e">
        <f aca="false">+VLOOKUP(DATOS_[[#This Row],[Clave de Contrato]],TblTiposContrato13[],4,0)</f>
        <v>#N/A</v>
      </c>
      <c r="CN882" s="141" t="str">
        <f aca="false">VLOOKUP(DATOS_[[#This Row],[Edad]],CONTRATOS!TblRngEdad,2,1)</f>
        <v>20  o menos</v>
      </c>
      <c r="CO882" s="141" t="str">
        <f aca="false">VLOOKUP(DATOS_[[#This Row],[Antigüedad]],TblRngAntg14[],2,1)</f>
        <v>0 a 1 años</v>
      </c>
    </row>
    <row r="883" customFormat="false" ht="13.8" hidden="false" customHeight="false" outlineLevel="0" collapsed="false">
      <c r="D883" s="128"/>
      <c r="E883" s="129"/>
      <c r="F883" s="129"/>
      <c r="G883" s="129"/>
      <c r="H883" s="130"/>
      <c r="I883" s="131"/>
      <c r="J883" s="128"/>
      <c r="K883" s="132"/>
      <c r="L883" s="132"/>
      <c r="M883" s="133"/>
      <c r="N883" s="133"/>
      <c r="O883" s="133"/>
      <c r="P883" s="129"/>
      <c r="Z883" s="75"/>
      <c r="AA883" s="76"/>
      <c r="AB883" s="76"/>
      <c r="AC883" s="129"/>
      <c r="AD883" s="134"/>
      <c r="AE883" s="134"/>
      <c r="AF883" s="134"/>
      <c r="AG883" s="134"/>
      <c r="AH883" s="134"/>
      <c r="AI883" s="134"/>
      <c r="AJ883" s="134"/>
      <c r="AK883" s="134"/>
      <c r="AL883" s="134"/>
      <c r="AM883" s="134"/>
      <c r="AN883" s="134"/>
      <c r="AO883" s="134"/>
      <c r="AP883" s="134"/>
      <c r="AQ883" s="134"/>
      <c r="AR883" s="134"/>
      <c r="AS883" s="134"/>
      <c r="AT883" s="134"/>
      <c r="AU883" s="134"/>
      <c r="AV883" s="134"/>
      <c r="AW883" s="134"/>
      <c r="AX883" s="134"/>
      <c r="AY883" s="134"/>
      <c r="AZ883" s="134"/>
      <c r="BA883" s="134"/>
      <c r="BB883" s="134"/>
      <c r="BC883" s="134"/>
      <c r="BD883" s="134"/>
      <c r="BE883" s="134"/>
      <c r="BF883" s="134"/>
      <c r="BG883" s="134"/>
      <c r="BH883" s="134"/>
      <c r="BI883" s="134"/>
      <c r="BJ883" s="134"/>
      <c r="BK883" s="134"/>
      <c r="BL883" s="134"/>
      <c r="BM883" s="135"/>
      <c r="BN883" s="136" t="n">
        <f aca="false">+MAX($D$3,DATOS_[[#This Row],[Fecha Inicio Sit. Contract.]])</f>
        <v>0</v>
      </c>
      <c r="BO883" s="136" t="n">
        <f aca="false">+MIN($D$4,DATOS_[[#This Row],[Fecha Fin Sit. Contract.]])</f>
        <v>0</v>
      </c>
      <c r="BP883" s="137" t="n">
        <f aca="false">+DATOS_[[#This Row],[% de jornada]]*IF(DATOS_[[#This Row],[% jornada reducida]]="",1,DATOS_[[#This Row],[% jornada reducida]])</f>
        <v>0</v>
      </c>
      <c r="BQ883" s="137" t="n">
        <f aca="false">+(DATOS_[[#This Row],[F.fin.cal]]-DATOS_[[#This Row],[F.ini.cal]]+1)/($D$4-$D$3+1)</f>
        <v>1</v>
      </c>
      <c r="BR883" s="137" t="str">
        <f aca="false">IF(OR(AND(DATOS_[[#This Row],[Fecha Fin Contrato]]&lt;$D$3,DATOS_[[#This Row],[Fecha Fin Contrato]]&lt;&gt;""),DATOS_[[#This Row],[Fecha de Contratación]]&gt;$D$4),"Fuera","Dentro")</f>
        <v>Dentro</v>
      </c>
      <c r="BS883" s="137" t="str">
        <f aca="false" t="array" ref="BS883:BS883">IF(MAX(IF(DATOS_[id]=DATOS_[[#This Row],[id]],DATOS_[F.fin.cal]))=DATOS_[[#This Row],[F.fin.cal]],"Sí","NO")</f>
        <v>Sí</v>
      </c>
      <c r="BT883" s="137" t="str">
        <f aca="false">IF(AND(DATOS_[[#This Row],[% normaliz]]&lt;&gt;1,DATOS_[[#This Row],[% anualiz]]=1),"Sí","NO")</f>
        <v>Sí</v>
      </c>
      <c r="BU883" s="137" t="str">
        <f aca="false">IF(AND(DATOS_[[#This Row],[% normaliz]]=1,DATOS_[[#This Row],[% anualiz]]&lt;&gt;1),"Sí","NO")</f>
        <v>NO</v>
      </c>
      <c r="BV883" s="137" t="str">
        <f aca="false">IF(AND(DATOS_[[#This Row],[% normaliz]]&lt;&gt;1,DATOS_[[#This Row],[% anualiz]]&lt;&gt;1),"Sí","NO")</f>
        <v>NO</v>
      </c>
      <c r="BW883" s="137" t="str">
        <f aca="false">+IF(DATOS_[[#This Row],[% normaliz]]*DATOS_[[#This Row],[% anualiz]]=1,"NO","Sí")</f>
        <v>Sí</v>
      </c>
      <c r="BX883" s="138" t="e">
        <f aca="false">(DATOS_[[#This Row],[S.BASE]]*(1/DATOS_[[#This Row],[% normaliz]])*(1/DATOS_[[#This Row],[% anualiz]]))*IF(DATOS_[[#This Row],[Check Equiparado]]="Sí",1,0)</f>
        <v>#DIV/0!</v>
      </c>
      <c r="BY8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3" s="138" t="e">
        <f aca="false">+DATOS_[[#This Row],[SALARIO BASE Eq]]+DATOS_[[#This Row],[Tot COMPL.SAL Eq]]</f>
        <v>#DIV/0!</v>
      </c>
      <c r="CA883" s="138" t="e">
        <f aca="false" t="array" ref="CA883:CA8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3" s="138" t="e">
        <f aca="false">+DATOS_[[#This Row],[TOTAL SALARIO Eq]]+DATOS_[[#This Row],[Tot Extrasalarial Eq]]</f>
        <v>#DIV/0!</v>
      </c>
      <c r="CC883" s="139" t="n">
        <f aca="false">DATOS_[[#This Row],[S.BASE]]</f>
        <v>0</v>
      </c>
      <c r="CD883" s="139" t="n">
        <f aca="false">+SUM(DATOS_[[#This Row],[Conc.Sal.01]:[Conc.Sal.30]])</f>
        <v>0</v>
      </c>
      <c r="CE883" s="139" t="n">
        <f aca="false">+DATOS_[[#This Row],[SALARIO BASE Ef]]+DATOS_[[#This Row],[Tot COMPL.SAL Ef]]</f>
        <v>0</v>
      </c>
      <c r="CF883" s="139" t="n">
        <f aca="false">+SUM(DATOS_[[#This Row],[C.Extra.01]:[C.Extra.05]])</f>
        <v>0</v>
      </c>
      <c r="CG883" s="139" t="n">
        <f aca="false">+DATOS_[[#This Row],[TOTAL SALARIO Ef]]+DATOS_[[#This Row],[Tot Extrasalarial Ef]]</f>
        <v>0</v>
      </c>
      <c r="CH883" s="140" t="n">
        <f aca="false">MIN(IF(DATOS_[[#This Row],[Fecha Fin Contrato]]="",$D$4,DATOS_[[#This Row],[Fecha Fin Contrato]]),$D$4)-MAX(DATOS_[[#This Row],[Fecha de Contratación]],$D$3)+1</f>
        <v>1</v>
      </c>
      <c r="CI883" s="141" t="str">
        <f aca="false">IF(COUNTIFS(DATOS_[id],DATOS_[[#This Row],[id]])&gt;1,DATOS_[[#This Row],[id]],"")</f>
        <v/>
      </c>
      <c r="CJ883" s="141" t="n">
        <f aca="false">(Inicio!$G$10-DATOS_[[#This Row],[Fecha Nacimiento]])/365.25</f>
        <v>0</v>
      </c>
      <c r="CK883" s="141" t="n">
        <f aca="false">(Inicio!$G$10-DATOS_[[#This Row],[Fecha de Antigüedad]])/365.25</f>
        <v>0</v>
      </c>
      <c r="CL883" s="141" t="e">
        <f aca="false">+VLOOKUP(DATOS_[[#This Row],[Clave de Contrato]],TblTiposContrato13[],3,0)</f>
        <v>#N/A</v>
      </c>
      <c r="CM883" s="141" t="e">
        <f aca="false">+VLOOKUP(DATOS_[[#This Row],[Clave de Contrato]],TblTiposContrato13[],4,0)</f>
        <v>#N/A</v>
      </c>
      <c r="CN883" s="141" t="str">
        <f aca="false">VLOOKUP(DATOS_[[#This Row],[Edad]],CONTRATOS!TblRngEdad,2,1)</f>
        <v>20  o menos</v>
      </c>
      <c r="CO883" s="141" t="str">
        <f aca="false">VLOOKUP(DATOS_[[#This Row],[Antigüedad]],TblRngAntg14[],2,1)</f>
        <v>0 a 1 años</v>
      </c>
    </row>
    <row r="884" customFormat="false" ht="13.8" hidden="false" customHeight="false" outlineLevel="0" collapsed="false">
      <c r="D884" s="128"/>
      <c r="E884" s="129"/>
      <c r="F884" s="129"/>
      <c r="G884" s="129"/>
      <c r="H884" s="130"/>
      <c r="I884" s="131"/>
      <c r="J884" s="128"/>
      <c r="K884" s="132"/>
      <c r="L884" s="132"/>
      <c r="M884" s="133"/>
      <c r="N884" s="133"/>
      <c r="O884" s="133"/>
      <c r="P884" s="129"/>
      <c r="Z884" s="75"/>
      <c r="AA884" s="76"/>
      <c r="AB884" s="76"/>
      <c r="AC884" s="129"/>
      <c r="AD884" s="134"/>
      <c r="AE884" s="134"/>
      <c r="AF884" s="134"/>
      <c r="AG884" s="134"/>
      <c r="AH884" s="134"/>
      <c r="AI884" s="134"/>
      <c r="AJ884" s="134"/>
      <c r="AK884" s="134"/>
      <c r="AL884" s="134"/>
      <c r="AM884" s="134"/>
      <c r="AN884" s="134"/>
      <c r="AO884" s="134"/>
      <c r="AP884" s="134"/>
      <c r="AQ884" s="134"/>
      <c r="AR884" s="134"/>
      <c r="AS884" s="134"/>
      <c r="AT884" s="134"/>
      <c r="AU884" s="134"/>
      <c r="AV884" s="134"/>
      <c r="AW884" s="134"/>
      <c r="AX884" s="134"/>
      <c r="AY884" s="134"/>
      <c r="AZ884" s="134"/>
      <c r="BA884" s="134"/>
      <c r="BB884" s="134"/>
      <c r="BC884" s="134"/>
      <c r="BD884" s="134"/>
      <c r="BE884" s="134"/>
      <c r="BF884" s="134"/>
      <c r="BG884" s="134"/>
      <c r="BH884" s="134"/>
      <c r="BI884" s="134"/>
      <c r="BJ884" s="134"/>
      <c r="BK884" s="134"/>
      <c r="BL884" s="134"/>
      <c r="BM884" s="135"/>
      <c r="BN884" s="136" t="n">
        <f aca="false">+MAX($D$3,DATOS_[[#This Row],[Fecha Inicio Sit. Contract.]])</f>
        <v>0</v>
      </c>
      <c r="BO884" s="136" t="n">
        <f aca="false">+MIN($D$4,DATOS_[[#This Row],[Fecha Fin Sit. Contract.]])</f>
        <v>0</v>
      </c>
      <c r="BP884" s="137" t="n">
        <f aca="false">+DATOS_[[#This Row],[% de jornada]]*IF(DATOS_[[#This Row],[% jornada reducida]]="",1,DATOS_[[#This Row],[% jornada reducida]])</f>
        <v>0</v>
      </c>
      <c r="BQ884" s="137" t="n">
        <f aca="false">+(DATOS_[[#This Row],[F.fin.cal]]-DATOS_[[#This Row],[F.ini.cal]]+1)/($D$4-$D$3+1)</f>
        <v>1</v>
      </c>
      <c r="BR884" s="137" t="str">
        <f aca="false">IF(OR(AND(DATOS_[[#This Row],[Fecha Fin Contrato]]&lt;$D$3,DATOS_[[#This Row],[Fecha Fin Contrato]]&lt;&gt;""),DATOS_[[#This Row],[Fecha de Contratación]]&gt;$D$4),"Fuera","Dentro")</f>
        <v>Dentro</v>
      </c>
      <c r="BS884" s="137" t="str">
        <f aca="false" t="array" ref="BS884:BS884">IF(MAX(IF(DATOS_[id]=DATOS_[[#This Row],[id]],DATOS_[F.fin.cal]))=DATOS_[[#This Row],[F.fin.cal]],"Sí","NO")</f>
        <v>Sí</v>
      </c>
      <c r="BT884" s="137" t="str">
        <f aca="false">IF(AND(DATOS_[[#This Row],[% normaliz]]&lt;&gt;1,DATOS_[[#This Row],[% anualiz]]=1),"Sí","NO")</f>
        <v>Sí</v>
      </c>
      <c r="BU884" s="137" t="str">
        <f aca="false">IF(AND(DATOS_[[#This Row],[% normaliz]]=1,DATOS_[[#This Row],[% anualiz]]&lt;&gt;1),"Sí","NO")</f>
        <v>NO</v>
      </c>
      <c r="BV884" s="137" t="str">
        <f aca="false">IF(AND(DATOS_[[#This Row],[% normaliz]]&lt;&gt;1,DATOS_[[#This Row],[% anualiz]]&lt;&gt;1),"Sí","NO")</f>
        <v>NO</v>
      </c>
      <c r="BW884" s="137" t="str">
        <f aca="false">+IF(DATOS_[[#This Row],[% normaliz]]*DATOS_[[#This Row],[% anualiz]]=1,"NO","Sí")</f>
        <v>Sí</v>
      </c>
      <c r="BX884" s="138" t="e">
        <f aca="false">(DATOS_[[#This Row],[S.BASE]]*(1/DATOS_[[#This Row],[% normaliz]])*(1/DATOS_[[#This Row],[% anualiz]]))*IF(DATOS_[[#This Row],[Check Equiparado]]="Sí",1,0)</f>
        <v>#DIV/0!</v>
      </c>
      <c r="BY8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4" s="138" t="e">
        <f aca="false">+DATOS_[[#This Row],[SALARIO BASE Eq]]+DATOS_[[#This Row],[Tot COMPL.SAL Eq]]</f>
        <v>#DIV/0!</v>
      </c>
      <c r="CA884" s="138" t="e">
        <f aca="false" t="array" ref="CA884:CA8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4" s="138" t="e">
        <f aca="false">+DATOS_[[#This Row],[TOTAL SALARIO Eq]]+DATOS_[[#This Row],[Tot Extrasalarial Eq]]</f>
        <v>#DIV/0!</v>
      </c>
      <c r="CC884" s="139" t="n">
        <f aca="false">DATOS_[[#This Row],[S.BASE]]</f>
        <v>0</v>
      </c>
      <c r="CD884" s="139" t="n">
        <f aca="false">+SUM(DATOS_[[#This Row],[Conc.Sal.01]:[Conc.Sal.30]])</f>
        <v>0</v>
      </c>
      <c r="CE884" s="139" t="n">
        <f aca="false">+DATOS_[[#This Row],[SALARIO BASE Ef]]+DATOS_[[#This Row],[Tot COMPL.SAL Ef]]</f>
        <v>0</v>
      </c>
      <c r="CF884" s="139" t="n">
        <f aca="false">+SUM(DATOS_[[#This Row],[C.Extra.01]:[C.Extra.05]])</f>
        <v>0</v>
      </c>
      <c r="CG884" s="139" t="n">
        <f aca="false">+DATOS_[[#This Row],[TOTAL SALARIO Ef]]+DATOS_[[#This Row],[Tot Extrasalarial Ef]]</f>
        <v>0</v>
      </c>
      <c r="CH884" s="140" t="n">
        <f aca="false">MIN(IF(DATOS_[[#This Row],[Fecha Fin Contrato]]="",$D$4,DATOS_[[#This Row],[Fecha Fin Contrato]]),$D$4)-MAX(DATOS_[[#This Row],[Fecha de Contratación]],$D$3)+1</f>
        <v>1</v>
      </c>
      <c r="CI884" s="141" t="str">
        <f aca="false">IF(COUNTIFS(DATOS_[id],DATOS_[[#This Row],[id]])&gt;1,DATOS_[[#This Row],[id]],"")</f>
        <v/>
      </c>
      <c r="CJ884" s="141" t="n">
        <f aca="false">(Inicio!$G$10-DATOS_[[#This Row],[Fecha Nacimiento]])/365.25</f>
        <v>0</v>
      </c>
      <c r="CK884" s="141" t="n">
        <f aca="false">(Inicio!$G$10-DATOS_[[#This Row],[Fecha de Antigüedad]])/365.25</f>
        <v>0</v>
      </c>
      <c r="CL884" s="141" t="e">
        <f aca="false">+VLOOKUP(DATOS_[[#This Row],[Clave de Contrato]],TblTiposContrato13[],3,0)</f>
        <v>#N/A</v>
      </c>
      <c r="CM884" s="141" t="e">
        <f aca="false">+VLOOKUP(DATOS_[[#This Row],[Clave de Contrato]],TblTiposContrato13[],4,0)</f>
        <v>#N/A</v>
      </c>
      <c r="CN884" s="141" t="str">
        <f aca="false">VLOOKUP(DATOS_[[#This Row],[Edad]],CONTRATOS!TblRngEdad,2,1)</f>
        <v>20  o menos</v>
      </c>
      <c r="CO884" s="141" t="str">
        <f aca="false">VLOOKUP(DATOS_[[#This Row],[Antigüedad]],TblRngAntg14[],2,1)</f>
        <v>0 a 1 años</v>
      </c>
    </row>
    <row r="885" customFormat="false" ht="13.8" hidden="false" customHeight="false" outlineLevel="0" collapsed="false">
      <c r="D885" s="128"/>
      <c r="E885" s="129"/>
      <c r="F885" s="129"/>
      <c r="G885" s="129"/>
      <c r="H885" s="130"/>
      <c r="I885" s="131"/>
      <c r="J885" s="128"/>
      <c r="K885" s="132"/>
      <c r="L885" s="132"/>
      <c r="M885" s="133"/>
      <c r="N885" s="133"/>
      <c r="O885" s="133"/>
      <c r="P885" s="129"/>
      <c r="Z885" s="75"/>
      <c r="AA885" s="76"/>
      <c r="AB885" s="76"/>
      <c r="AC885" s="129"/>
      <c r="AD885" s="134"/>
      <c r="AE885" s="134"/>
      <c r="AF885" s="134"/>
      <c r="AG885" s="134"/>
      <c r="AH885" s="134"/>
      <c r="AI885" s="134"/>
      <c r="AJ885" s="134"/>
      <c r="AK885" s="134"/>
      <c r="AL885" s="134"/>
      <c r="AM885" s="134"/>
      <c r="AN885" s="134"/>
      <c r="AO885" s="134"/>
      <c r="AP885" s="134"/>
      <c r="AQ885" s="134"/>
      <c r="AR885" s="134"/>
      <c r="AS885" s="134"/>
      <c r="AT885" s="134"/>
      <c r="AU885" s="134"/>
      <c r="AV885" s="134"/>
      <c r="AW885" s="134"/>
      <c r="AX885" s="134"/>
      <c r="AY885" s="134"/>
      <c r="AZ885" s="134"/>
      <c r="BA885" s="134"/>
      <c r="BB885" s="134"/>
      <c r="BC885" s="134"/>
      <c r="BD885" s="134"/>
      <c r="BE885" s="134"/>
      <c r="BF885" s="134"/>
      <c r="BG885" s="134"/>
      <c r="BH885" s="134"/>
      <c r="BI885" s="134"/>
      <c r="BJ885" s="134"/>
      <c r="BK885" s="134"/>
      <c r="BL885" s="134"/>
      <c r="BM885" s="135"/>
      <c r="BN885" s="136" t="n">
        <f aca="false">+MAX($D$3,DATOS_[[#This Row],[Fecha Inicio Sit. Contract.]])</f>
        <v>0</v>
      </c>
      <c r="BO885" s="136" t="n">
        <f aca="false">+MIN($D$4,DATOS_[[#This Row],[Fecha Fin Sit. Contract.]])</f>
        <v>0</v>
      </c>
      <c r="BP885" s="137" t="n">
        <f aca="false">+DATOS_[[#This Row],[% de jornada]]*IF(DATOS_[[#This Row],[% jornada reducida]]="",1,DATOS_[[#This Row],[% jornada reducida]])</f>
        <v>0</v>
      </c>
      <c r="BQ885" s="137" t="n">
        <f aca="false">+(DATOS_[[#This Row],[F.fin.cal]]-DATOS_[[#This Row],[F.ini.cal]]+1)/($D$4-$D$3+1)</f>
        <v>1</v>
      </c>
      <c r="BR885" s="137" t="str">
        <f aca="false">IF(OR(AND(DATOS_[[#This Row],[Fecha Fin Contrato]]&lt;$D$3,DATOS_[[#This Row],[Fecha Fin Contrato]]&lt;&gt;""),DATOS_[[#This Row],[Fecha de Contratación]]&gt;$D$4),"Fuera","Dentro")</f>
        <v>Dentro</v>
      </c>
      <c r="BS885" s="137" t="str">
        <f aca="false" t="array" ref="BS885:BS885">IF(MAX(IF(DATOS_[id]=DATOS_[[#This Row],[id]],DATOS_[F.fin.cal]))=DATOS_[[#This Row],[F.fin.cal]],"Sí","NO")</f>
        <v>Sí</v>
      </c>
      <c r="BT885" s="137" t="str">
        <f aca="false">IF(AND(DATOS_[[#This Row],[% normaliz]]&lt;&gt;1,DATOS_[[#This Row],[% anualiz]]=1),"Sí","NO")</f>
        <v>Sí</v>
      </c>
      <c r="BU885" s="137" t="str">
        <f aca="false">IF(AND(DATOS_[[#This Row],[% normaliz]]=1,DATOS_[[#This Row],[% anualiz]]&lt;&gt;1),"Sí","NO")</f>
        <v>NO</v>
      </c>
      <c r="BV885" s="137" t="str">
        <f aca="false">IF(AND(DATOS_[[#This Row],[% normaliz]]&lt;&gt;1,DATOS_[[#This Row],[% anualiz]]&lt;&gt;1),"Sí","NO")</f>
        <v>NO</v>
      </c>
      <c r="BW885" s="137" t="str">
        <f aca="false">+IF(DATOS_[[#This Row],[% normaliz]]*DATOS_[[#This Row],[% anualiz]]=1,"NO","Sí")</f>
        <v>Sí</v>
      </c>
      <c r="BX885" s="138" t="e">
        <f aca="false">(DATOS_[[#This Row],[S.BASE]]*(1/DATOS_[[#This Row],[% normaliz]])*(1/DATOS_[[#This Row],[% anualiz]]))*IF(DATOS_[[#This Row],[Check Equiparado]]="Sí",1,0)</f>
        <v>#DIV/0!</v>
      </c>
      <c r="BY8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5" s="138" t="e">
        <f aca="false">+DATOS_[[#This Row],[SALARIO BASE Eq]]+DATOS_[[#This Row],[Tot COMPL.SAL Eq]]</f>
        <v>#DIV/0!</v>
      </c>
      <c r="CA885" s="138" t="e">
        <f aca="false" t="array" ref="CA885:CA8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5" s="138" t="e">
        <f aca="false">+DATOS_[[#This Row],[TOTAL SALARIO Eq]]+DATOS_[[#This Row],[Tot Extrasalarial Eq]]</f>
        <v>#DIV/0!</v>
      </c>
      <c r="CC885" s="139" t="n">
        <f aca="false">DATOS_[[#This Row],[S.BASE]]</f>
        <v>0</v>
      </c>
      <c r="CD885" s="139" t="n">
        <f aca="false">+SUM(DATOS_[[#This Row],[Conc.Sal.01]:[Conc.Sal.30]])</f>
        <v>0</v>
      </c>
      <c r="CE885" s="139" t="n">
        <f aca="false">+DATOS_[[#This Row],[SALARIO BASE Ef]]+DATOS_[[#This Row],[Tot COMPL.SAL Ef]]</f>
        <v>0</v>
      </c>
      <c r="CF885" s="139" t="n">
        <f aca="false">+SUM(DATOS_[[#This Row],[C.Extra.01]:[C.Extra.05]])</f>
        <v>0</v>
      </c>
      <c r="CG885" s="139" t="n">
        <f aca="false">+DATOS_[[#This Row],[TOTAL SALARIO Ef]]+DATOS_[[#This Row],[Tot Extrasalarial Ef]]</f>
        <v>0</v>
      </c>
      <c r="CH885" s="140" t="n">
        <f aca="false">MIN(IF(DATOS_[[#This Row],[Fecha Fin Contrato]]="",$D$4,DATOS_[[#This Row],[Fecha Fin Contrato]]),$D$4)-MAX(DATOS_[[#This Row],[Fecha de Contratación]],$D$3)+1</f>
        <v>1</v>
      </c>
      <c r="CI885" s="141" t="str">
        <f aca="false">IF(COUNTIFS(DATOS_[id],DATOS_[[#This Row],[id]])&gt;1,DATOS_[[#This Row],[id]],"")</f>
        <v/>
      </c>
      <c r="CJ885" s="141" t="n">
        <f aca="false">(Inicio!$G$10-DATOS_[[#This Row],[Fecha Nacimiento]])/365.25</f>
        <v>0</v>
      </c>
      <c r="CK885" s="141" t="n">
        <f aca="false">(Inicio!$G$10-DATOS_[[#This Row],[Fecha de Antigüedad]])/365.25</f>
        <v>0</v>
      </c>
      <c r="CL885" s="141" t="e">
        <f aca="false">+VLOOKUP(DATOS_[[#This Row],[Clave de Contrato]],TblTiposContrato13[],3,0)</f>
        <v>#N/A</v>
      </c>
      <c r="CM885" s="141" t="e">
        <f aca="false">+VLOOKUP(DATOS_[[#This Row],[Clave de Contrato]],TblTiposContrato13[],4,0)</f>
        <v>#N/A</v>
      </c>
      <c r="CN885" s="141" t="str">
        <f aca="false">VLOOKUP(DATOS_[[#This Row],[Edad]],CONTRATOS!TblRngEdad,2,1)</f>
        <v>20  o menos</v>
      </c>
      <c r="CO885" s="141" t="str">
        <f aca="false">VLOOKUP(DATOS_[[#This Row],[Antigüedad]],TblRngAntg14[],2,1)</f>
        <v>0 a 1 años</v>
      </c>
    </row>
    <row r="886" customFormat="false" ht="13.8" hidden="false" customHeight="false" outlineLevel="0" collapsed="false">
      <c r="D886" s="128"/>
      <c r="E886" s="129"/>
      <c r="F886" s="129"/>
      <c r="G886" s="129"/>
      <c r="H886" s="130"/>
      <c r="I886" s="131"/>
      <c r="J886" s="128"/>
      <c r="K886" s="132"/>
      <c r="L886" s="132"/>
      <c r="M886" s="133"/>
      <c r="N886" s="133"/>
      <c r="O886" s="133"/>
      <c r="P886" s="129"/>
      <c r="Z886" s="75"/>
      <c r="AA886" s="76"/>
      <c r="AB886" s="76"/>
      <c r="AC886" s="129"/>
      <c r="AD886" s="134"/>
      <c r="AE886" s="134"/>
      <c r="AF886" s="134"/>
      <c r="AG886" s="134"/>
      <c r="AH886" s="134"/>
      <c r="AI886" s="134"/>
      <c r="AJ886" s="134"/>
      <c r="AK886" s="134"/>
      <c r="AL886" s="134"/>
      <c r="AM886" s="134"/>
      <c r="AN886" s="134"/>
      <c r="AO886" s="134"/>
      <c r="AP886" s="134"/>
      <c r="AQ886" s="134"/>
      <c r="AR886" s="134"/>
      <c r="AS886" s="134"/>
      <c r="AT886" s="134"/>
      <c r="AU886" s="134"/>
      <c r="AV886" s="134"/>
      <c r="AW886" s="134"/>
      <c r="AX886" s="134"/>
      <c r="AY886" s="134"/>
      <c r="AZ886" s="134"/>
      <c r="BA886" s="134"/>
      <c r="BB886" s="134"/>
      <c r="BC886" s="134"/>
      <c r="BD886" s="134"/>
      <c r="BE886" s="134"/>
      <c r="BF886" s="134"/>
      <c r="BG886" s="134"/>
      <c r="BH886" s="134"/>
      <c r="BI886" s="134"/>
      <c r="BJ886" s="134"/>
      <c r="BK886" s="134"/>
      <c r="BL886" s="134"/>
      <c r="BM886" s="135"/>
      <c r="BN886" s="136" t="n">
        <f aca="false">+MAX($D$3,DATOS_[[#This Row],[Fecha Inicio Sit. Contract.]])</f>
        <v>0</v>
      </c>
      <c r="BO886" s="136" t="n">
        <f aca="false">+MIN($D$4,DATOS_[[#This Row],[Fecha Fin Sit. Contract.]])</f>
        <v>0</v>
      </c>
      <c r="BP886" s="137" t="n">
        <f aca="false">+DATOS_[[#This Row],[% de jornada]]*IF(DATOS_[[#This Row],[% jornada reducida]]="",1,DATOS_[[#This Row],[% jornada reducida]])</f>
        <v>0</v>
      </c>
      <c r="BQ886" s="137" t="n">
        <f aca="false">+(DATOS_[[#This Row],[F.fin.cal]]-DATOS_[[#This Row],[F.ini.cal]]+1)/($D$4-$D$3+1)</f>
        <v>1</v>
      </c>
      <c r="BR886" s="137" t="str">
        <f aca="false">IF(OR(AND(DATOS_[[#This Row],[Fecha Fin Contrato]]&lt;$D$3,DATOS_[[#This Row],[Fecha Fin Contrato]]&lt;&gt;""),DATOS_[[#This Row],[Fecha de Contratación]]&gt;$D$4),"Fuera","Dentro")</f>
        <v>Dentro</v>
      </c>
      <c r="BS886" s="137" t="str">
        <f aca="false" t="array" ref="BS886:BS886">IF(MAX(IF(DATOS_[id]=DATOS_[[#This Row],[id]],DATOS_[F.fin.cal]))=DATOS_[[#This Row],[F.fin.cal]],"Sí","NO")</f>
        <v>Sí</v>
      </c>
      <c r="BT886" s="137" t="str">
        <f aca="false">IF(AND(DATOS_[[#This Row],[% normaliz]]&lt;&gt;1,DATOS_[[#This Row],[% anualiz]]=1),"Sí","NO")</f>
        <v>Sí</v>
      </c>
      <c r="BU886" s="137" t="str">
        <f aca="false">IF(AND(DATOS_[[#This Row],[% normaliz]]=1,DATOS_[[#This Row],[% anualiz]]&lt;&gt;1),"Sí","NO")</f>
        <v>NO</v>
      </c>
      <c r="BV886" s="137" t="str">
        <f aca="false">IF(AND(DATOS_[[#This Row],[% normaliz]]&lt;&gt;1,DATOS_[[#This Row],[% anualiz]]&lt;&gt;1),"Sí","NO")</f>
        <v>NO</v>
      </c>
      <c r="BW886" s="137" t="str">
        <f aca="false">+IF(DATOS_[[#This Row],[% normaliz]]*DATOS_[[#This Row],[% anualiz]]=1,"NO","Sí")</f>
        <v>Sí</v>
      </c>
      <c r="BX886" s="138" t="e">
        <f aca="false">(DATOS_[[#This Row],[S.BASE]]*(1/DATOS_[[#This Row],[% normaliz]])*(1/DATOS_[[#This Row],[% anualiz]]))*IF(DATOS_[[#This Row],[Check Equiparado]]="Sí",1,0)</f>
        <v>#DIV/0!</v>
      </c>
      <c r="BY8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6" s="138" t="e">
        <f aca="false">+DATOS_[[#This Row],[SALARIO BASE Eq]]+DATOS_[[#This Row],[Tot COMPL.SAL Eq]]</f>
        <v>#DIV/0!</v>
      </c>
      <c r="CA886" s="138" t="e">
        <f aca="false" t="array" ref="CA886:CA8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6" s="138" t="e">
        <f aca="false">+DATOS_[[#This Row],[TOTAL SALARIO Eq]]+DATOS_[[#This Row],[Tot Extrasalarial Eq]]</f>
        <v>#DIV/0!</v>
      </c>
      <c r="CC886" s="139" t="n">
        <f aca="false">DATOS_[[#This Row],[S.BASE]]</f>
        <v>0</v>
      </c>
      <c r="CD886" s="139" t="n">
        <f aca="false">+SUM(DATOS_[[#This Row],[Conc.Sal.01]:[Conc.Sal.30]])</f>
        <v>0</v>
      </c>
      <c r="CE886" s="139" t="n">
        <f aca="false">+DATOS_[[#This Row],[SALARIO BASE Ef]]+DATOS_[[#This Row],[Tot COMPL.SAL Ef]]</f>
        <v>0</v>
      </c>
      <c r="CF886" s="139" t="n">
        <f aca="false">+SUM(DATOS_[[#This Row],[C.Extra.01]:[C.Extra.05]])</f>
        <v>0</v>
      </c>
      <c r="CG886" s="139" t="n">
        <f aca="false">+DATOS_[[#This Row],[TOTAL SALARIO Ef]]+DATOS_[[#This Row],[Tot Extrasalarial Ef]]</f>
        <v>0</v>
      </c>
      <c r="CH886" s="140" t="n">
        <f aca="false">MIN(IF(DATOS_[[#This Row],[Fecha Fin Contrato]]="",$D$4,DATOS_[[#This Row],[Fecha Fin Contrato]]),$D$4)-MAX(DATOS_[[#This Row],[Fecha de Contratación]],$D$3)+1</f>
        <v>1</v>
      </c>
      <c r="CI886" s="141" t="str">
        <f aca="false">IF(COUNTIFS(DATOS_[id],DATOS_[[#This Row],[id]])&gt;1,DATOS_[[#This Row],[id]],"")</f>
        <v/>
      </c>
      <c r="CJ886" s="141" t="n">
        <f aca="false">(Inicio!$G$10-DATOS_[[#This Row],[Fecha Nacimiento]])/365.25</f>
        <v>0</v>
      </c>
      <c r="CK886" s="141" t="n">
        <f aca="false">(Inicio!$G$10-DATOS_[[#This Row],[Fecha de Antigüedad]])/365.25</f>
        <v>0</v>
      </c>
      <c r="CL886" s="141" t="e">
        <f aca="false">+VLOOKUP(DATOS_[[#This Row],[Clave de Contrato]],TblTiposContrato13[],3,0)</f>
        <v>#N/A</v>
      </c>
      <c r="CM886" s="141" t="e">
        <f aca="false">+VLOOKUP(DATOS_[[#This Row],[Clave de Contrato]],TblTiposContrato13[],4,0)</f>
        <v>#N/A</v>
      </c>
      <c r="CN886" s="141" t="str">
        <f aca="false">VLOOKUP(DATOS_[[#This Row],[Edad]],CONTRATOS!TblRngEdad,2,1)</f>
        <v>20  o menos</v>
      </c>
      <c r="CO886" s="141" t="str">
        <f aca="false">VLOOKUP(DATOS_[[#This Row],[Antigüedad]],TblRngAntg14[],2,1)</f>
        <v>0 a 1 años</v>
      </c>
    </row>
    <row r="887" customFormat="false" ht="13.8" hidden="false" customHeight="false" outlineLevel="0" collapsed="false">
      <c r="D887" s="128"/>
      <c r="E887" s="129"/>
      <c r="F887" s="129"/>
      <c r="G887" s="129"/>
      <c r="H887" s="130"/>
      <c r="I887" s="131"/>
      <c r="J887" s="128"/>
      <c r="K887" s="132"/>
      <c r="L887" s="132"/>
      <c r="M887" s="133"/>
      <c r="N887" s="133"/>
      <c r="O887" s="133"/>
      <c r="P887" s="129"/>
      <c r="Z887" s="75"/>
      <c r="AA887" s="76"/>
      <c r="AB887" s="76"/>
      <c r="AC887" s="129"/>
      <c r="AD887" s="134"/>
      <c r="AE887" s="134"/>
      <c r="AF887" s="134"/>
      <c r="AG887" s="134"/>
      <c r="AH887" s="134"/>
      <c r="AI887" s="134"/>
      <c r="AJ887" s="134"/>
      <c r="AK887" s="134"/>
      <c r="AL887" s="134"/>
      <c r="AM887" s="134"/>
      <c r="AN887" s="134"/>
      <c r="AO887" s="134"/>
      <c r="AP887" s="134"/>
      <c r="AQ887" s="134"/>
      <c r="AR887" s="134"/>
      <c r="AS887" s="134"/>
      <c r="AT887" s="134"/>
      <c r="AU887" s="134"/>
      <c r="AV887" s="134"/>
      <c r="AW887" s="134"/>
      <c r="AX887" s="134"/>
      <c r="AY887" s="134"/>
      <c r="AZ887" s="134"/>
      <c r="BA887" s="134"/>
      <c r="BB887" s="134"/>
      <c r="BC887" s="134"/>
      <c r="BD887" s="134"/>
      <c r="BE887" s="134"/>
      <c r="BF887" s="134"/>
      <c r="BG887" s="134"/>
      <c r="BH887" s="134"/>
      <c r="BI887" s="134"/>
      <c r="BJ887" s="134"/>
      <c r="BK887" s="134"/>
      <c r="BL887" s="134"/>
      <c r="BM887" s="135"/>
      <c r="BN887" s="136" t="n">
        <f aca="false">+MAX($D$3,DATOS_[[#This Row],[Fecha Inicio Sit. Contract.]])</f>
        <v>0</v>
      </c>
      <c r="BO887" s="136" t="n">
        <f aca="false">+MIN($D$4,DATOS_[[#This Row],[Fecha Fin Sit. Contract.]])</f>
        <v>0</v>
      </c>
      <c r="BP887" s="137" t="n">
        <f aca="false">+DATOS_[[#This Row],[% de jornada]]*IF(DATOS_[[#This Row],[% jornada reducida]]="",1,DATOS_[[#This Row],[% jornada reducida]])</f>
        <v>0</v>
      </c>
      <c r="BQ887" s="137" t="n">
        <f aca="false">+(DATOS_[[#This Row],[F.fin.cal]]-DATOS_[[#This Row],[F.ini.cal]]+1)/($D$4-$D$3+1)</f>
        <v>1</v>
      </c>
      <c r="BR887" s="137" t="str">
        <f aca="false">IF(OR(AND(DATOS_[[#This Row],[Fecha Fin Contrato]]&lt;$D$3,DATOS_[[#This Row],[Fecha Fin Contrato]]&lt;&gt;""),DATOS_[[#This Row],[Fecha de Contratación]]&gt;$D$4),"Fuera","Dentro")</f>
        <v>Dentro</v>
      </c>
      <c r="BS887" s="137" t="str">
        <f aca="false" t="array" ref="BS887:BS887">IF(MAX(IF(DATOS_[id]=DATOS_[[#This Row],[id]],DATOS_[F.fin.cal]))=DATOS_[[#This Row],[F.fin.cal]],"Sí","NO")</f>
        <v>Sí</v>
      </c>
      <c r="BT887" s="137" t="str">
        <f aca="false">IF(AND(DATOS_[[#This Row],[% normaliz]]&lt;&gt;1,DATOS_[[#This Row],[% anualiz]]=1),"Sí","NO")</f>
        <v>Sí</v>
      </c>
      <c r="BU887" s="137" t="str">
        <f aca="false">IF(AND(DATOS_[[#This Row],[% normaliz]]=1,DATOS_[[#This Row],[% anualiz]]&lt;&gt;1),"Sí","NO")</f>
        <v>NO</v>
      </c>
      <c r="BV887" s="137" t="str">
        <f aca="false">IF(AND(DATOS_[[#This Row],[% normaliz]]&lt;&gt;1,DATOS_[[#This Row],[% anualiz]]&lt;&gt;1),"Sí","NO")</f>
        <v>NO</v>
      </c>
      <c r="BW887" s="137" t="str">
        <f aca="false">+IF(DATOS_[[#This Row],[% normaliz]]*DATOS_[[#This Row],[% anualiz]]=1,"NO","Sí")</f>
        <v>Sí</v>
      </c>
      <c r="BX887" s="138" t="e">
        <f aca="false">(DATOS_[[#This Row],[S.BASE]]*(1/DATOS_[[#This Row],[% normaliz]])*(1/DATOS_[[#This Row],[% anualiz]]))*IF(DATOS_[[#This Row],[Check Equiparado]]="Sí",1,0)</f>
        <v>#DIV/0!</v>
      </c>
      <c r="BY8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7" s="138" t="e">
        <f aca="false">+DATOS_[[#This Row],[SALARIO BASE Eq]]+DATOS_[[#This Row],[Tot COMPL.SAL Eq]]</f>
        <v>#DIV/0!</v>
      </c>
      <c r="CA887" s="138" t="e">
        <f aca="false" t="array" ref="CA887:CA8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7" s="138" t="e">
        <f aca="false">+DATOS_[[#This Row],[TOTAL SALARIO Eq]]+DATOS_[[#This Row],[Tot Extrasalarial Eq]]</f>
        <v>#DIV/0!</v>
      </c>
      <c r="CC887" s="139" t="n">
        <f aca="false">DATOS_[[#This Row],[S.BASE]]</f>
        <v>0</v>
      </c>
      <c r="CD887" s="139" t="n">
        <f aca="false">+SUM(DATOS_[[#This Row],[Conc.Sal.01]:[Conc.Sal.30]])</f>
        <v>0</v>
      </c>
      <c r="CE887" s="139" t="n">
        <f aca="false">+DATOS_[[#This Row],[SALARIO BASE Ef]]+DATOS_[[#This Row],[Tot COMPL.SAL Ef]]</f>
        <v>0</v>
      </c>
      <c r="CF887" s="139" t="n">
        <f aca="false">+SUM(DATOS_[[#This Row],[C.Extra.01]:[C.Extra.05]])</f>
        <v>0</v>
      </c>
      <c r="CG887" s="139" t="n">
        <f aca="false">+DATOS_[[#This Row],[TOTAL SALARIO Ef]]+DATOS_[[#This Row],[Tot Extrasalarial Ef]]</f>
        <v>0</v>
      </c>
      <c r="CH887" s="140" t="n">
        <f aca="false">MIN(IF(DATOS_[[#This Row],[Fecha Fin Contrato]]="",$D$4,DATOS_[[#This Row],[Fecha Fin Contrato]]),$D$4)-MAX(DATOS_[[#This Row],[Fecha de Contratación]],$D$3)+1</f>
        <v>1</v>
      </c>
      <c r="CI887" s="141" t="str">
        <f aca="false">IF(COUNTIFS(DATOS_[id],DATOS_[[#This Row],[id]])&gt;1,DATOS_[[#This Row],[id]],"")</f>
        <v/>
      </c>
      <c r="CJ887" s="141" t="n">
        <f aca="false">(Inicio!$G$10-DATOS_[[#This Row],[Fecha Nacimiento]])/365.25</f>
        <v>0</v>
      </c>
      <c r="CK887" s="141" t="n">
        <f aca="false">(Inicio!$G$10-DATOS_[[#This Row],[Fecha de Antigüedad]])/365.25</f>
        <v>0</v>
      </c>
      <c r="CL887" s="141" t="e">
        <f aca="false">+VLOOKUP(DATOS_[[#This Row],[Clave de Contrato]],TblTiposContrato13[],3,0)</f>
        <v>#N/A</v>
      </c>
      <c r="CM887" s="141" t="e">
        <f aca="false">+VLOOKUP(DATOS_[[#This Row],[Clave de Contrato]],TblTiposContrato13[],4,0)</f>
        <v>#N/A</v>
      </c>
      <c r="CN887" s="141" t="str">
        <f aca="false">VLOOKUP(DATOS_[[#This Row],[Edad]],CONTRATOS!TblRngEdad,2,1)</f>
        <v>20  o menos</v>
      </c>
      <c r="CO887" s="141" t="str">
        <f aca="false">VLOOKUP(DATOS_[[#This Row],[Antigüedad]],TblRngAntg14[],2,1)</f>
        <v>0 a 1 años</v>
      </c>
    </row>
    <row r="888" customFormat="false" ht="13.8" hidden="false" customHeight="false" outlineLevel="0" collapsed="false">
      <c r="D888" s="128"/>
      <c r="E888" s="129"/>
      <c r="F888" s="129"/>
      <c r="G888" s="129"/>
      <c r="H888" s="130"/>
      <c r="I888" s="131"/>
      <c r="J888" s="128"/>
      <c r="K888" s="132"/>
      <c r="L888" s="132"/>
      <c r="M888" s="133"/>
      <c r="N888" s="133"/>
      <c r="O888" s="133"/>
      <c r="P888" s="129"/>
      <c r="Z888" s="75"/>
      <c r="AA888" s="76"/>
      <c r="AB888" s="76"/>
      <c r="AC888" s="129"/>
      <c r="AD888" s="134"/>
      <c r="AE888" s="134"/>
      <c r="AF888" s="134"/>
      <c r="AG888" s="134"/>
      <c r="AH888" s="134"/>
      <c r="AI888" s="134"/>
      <c r="AJ888" s="134"/>
      <c r="AK888" s="134"/>
      <c r="AL888" s="134"/>
      <c r="AM888" s="134"/>
      <c r="AN888" s="134"/>
      <c r="AO888" s="134"/>
      <c r="AP888" s="134"/>
      <c r="AQ888" s="134"/>
      <c r="AR888" s="134"/>
      <c r="AS888" s="134"/>
      <c r="AT888" s="134"/>
      <c r="AU888" s="134"/>
      <c r="AV888" s="134"/>
      <c r="AW888" s="134"/>
      <c r="AX888" s="134"/>
      <c r="AY888" s="134"/>
      <c r="AZ888" s="134"/>
      <c r="BA888" s="134"/>
      <c r="BB888" s="134"/>
      <c r="BC888" s="134"/>
      <c r="BD888" s="134"/>
      <c r="BE888" s="134"/>
      <c r="BF888" s="134"/>
      <c r="BG888" s="134"/>
      <c r="BH888" s="134"/>
      <c r="BI888" s="134"/>
      <c r="BJ888" s="134"/>
      <c r="BK888" s="134"/>
      <c r="BL888" s="134"/>
      <c r="BM888" s="135"/>
      <c r="BN888" s="136" t="n">
        <f aca="false">+MAX($D$3,DATOS_[[#This Row],[Fecha Inicio Sit. Contract.]])</f>
        <v>0</v>
      </c>
      <c r="BO888" s="136" t="n">
        <f aca="false">+MIN($D$4,DATOS_[[#This Row],[Fecha Fin Sit. Contract.]])</f>
        <v>0</v>
      </c>
      <c r="BP888" s="137" t="n">
        <f aca="false">+DATOS_[[#This Row],[% de jornada]]*IF(DATOS_[[#This Row],[% jornada reducida]]="",1,DATOS_[[#This Row],[% jornada reducida]])</f>
        <v>0</v>
      </c>
      <c r="BQ888" s="137" t="n">
        <f aca="false">+(DATOS_[[#This Row],[F.fin.cal]]-DATOS_[[#This Row],[F.ini.cal]]+1)/($D$4-$D$3+1)</f>
        <v>1</v>
      </c>
      <c r="BR888" s="137" t="str">
        <f aca="false">IF(OR(AND(DATOS_[[#This Row],[Fecha Fin Contrato]]&lt;$D$3,DATOS_[[#This Row],[Fecha Fin Contrato]]&lt;&gt;""),DATOS_[[#This Row],[Fecha de Contratación]]&gt;$D$4),"Fuera","Dentro")</f>
        <v>Dentro</v>
      </c>
      <c r="BS888" s="137" t="str">
        <f aca="false" t="array" ref="BS888:BS888">IF(MAX(IF(DATOS_[id]=DATOS_[[#This Row],[id]],DATOS_[F.fin.cal]))=DATOS_[[#This Row],[F.fin.cal]],"Sí","NO")</f>
        <v>Sí</v>
      </c>
      <c r="BT888" s="137" t="str">
        <f aca="false">IF(AND(DATOS_[[#This Row],[% normaliz]]&lt;&gt;1,DATOS_[[#This Row],[% anualiz]]=1),"Sí","NO")</f>
        <v>Sí</v>
      </c>
      <c r="BU888" s="137" t="str">
        <f aca="false">IF(AND(DATOS_[[#This Row],[% normaliz]]=1,DATOS_[[#This Row],[% anualiz]]&lt;&gt;1),"Sí","NO")</f>
        <v>NO</v>
      </c>
      <c r="BV888" s="137" t="str">
        <f aca="false">IF(AND(DATOS_[[#This Row],[% normaliz]]&lt;&gt;1,DATOS_[[#This Row],[% anualiz]]&lt;&gt;1),"Sí","NO")</f>
        <v>NO</v>
      </c>
      <c r="BW888" s="137" t="str">
        <f aca="false">+IF(DATOS_[[#This Row],[% normaliz]]*DATOS_[[#This Row],[% anualiz]]=1,"NO","Sí")</f>
        <v>Sí</v>
      </c>
      <c r="BX888" s="138" t="e">
        <f aca="false">(DATOS_[[#This Row],[S.BASE]]*(1/DATOS_[[#This Row],[% normaliz]])*(1/DATOS_[[#This Row],[% anualiz]]))*IF(DATOS_[[#This Row],[Check Equiparado]]="Sí",1,0)</f>
        <v>#DIV/0!</v>
      </c>
      <c r="BY8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8" s="138" t="e">
        <f aca="false">+DATOS_[[#This Row],[SALARIO BASE Eq]]+DATOS_[[#This Row],[Tot COMPL.SAL Eq]]</f>
        <v>#DIV/0!</v>
      </c>
      <c r="CA888" s="138" t="e">
        <f aca="false" t="array" ref="CA888:CA8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8" s="138" t="e">
        <f aca="false">+DATOS_[[#This Row],[TOTAL SALARIO Eq]]+DATOS_[[#This Row],[Tot Extrasalarial Eq]]</f>
        <v>#DIV/0!</v>
      </c>
      <c r="CC888" s="139" t="n">
        <f aca="false">DATOS_[[#This Row],[S.BASE]]</f>
        <v>0</v>
      </c>
      <c r="CD888" s="139" t="n">
        <f aca="false">+SUM(DATOS_[[#This Row],[Conc.Sal.01]:[Conc.Sal.30]])</f>
        <v>0</v>
      </c>
      <c r="CE888" s="139" t="n">
        <f aca="false">+DATOS_[[#This Row],[SALARIO BASE Ef]]+DATOS_[[#This Row],[Tot COMPL.SAL Ef]]</f>
        <v>0</v>
      </c>
      <c r="CF888" s="139" t="n">
        <f aca="false">+SUM(DATOS_[[#This Row],[C.Extra.01]:[C.Extra.05]])</f>
        <v>0</v>
      </c>
      <c r="CG888" s="139" t="n">
        <f aca="false">+DATOS_[[#This Row],[TOTAL SALARIO Ef]]+DATOS_[[#This Row],[Tot Extrasalarial Ef]]</f>
        <v>0</v>
      </c>
      <c r="CH888" s="140" t="n">
        <f aca="false">MIN(IF(DATOS_[[#This Row],[Fecha Fin Contrato]]="",$D$4,DATOS_[[#This Row],[Fecha Fin Contrato]]),$D$4)-MAX(DATOS_[[#This Row],[Fecha de Contratación]],$D$3)+1</f>
        <v>1</v>
      </c>
      <c r="CI888" s="141" t="str">
        <f aca="false">IF(COUNTIFS(DATOS_[id],DATOS_[[#This Row],[id]])&gt;1,DATOS_[[#This Row],[id]],"")</f>
        <v/>
      </c>
      <c r="CJ888" s="141" t="n">
        <f aca="false">(Inicio!$G$10-DATOS_[[#This Row],[Fecha Nacimiento]])/365.25</f>
        <v>0</v>
      </c>
      <c r="CK888" s="141" t="n">
        <f aca="false">(Inicio!$G$10-DATOS_[[#This Row],[Fecha de Antigüedad]])/365.25</f>
        <v>0</v>
      </c>
      <c r="CL888" s="141" t="e">
        <f aca="false">+VLOOKUP(DATOS_[[#This Row],[Clave de Contrato]],TblTiposContrato13[],3,0)</f>
        <v>#N/A</v>
      </c>
      <c r="CM888" s="141" t="e">
        <f aca="false">+VLOOKUP(DATOS_[[#This Row],[Clave de Contrato]],TblTiposContrato13[],4,0)</f>
        <v>#N/A</v>
      </c>
      <c r="CN888" s="141" t="str">
        <f aca="false">VLOOKUP(DATOS_[[#This Row],[Edad]],CONTRATOS!TblRngEdad,2,1)</f>
        <v>20  o menos</v>
      </c>
      <c r="CO888" s="141" t="str">
        <f aca="false">VLOOKUP(DATOS_[[#This Row],[Antigüedad]],TblRngAntg14[],2,1)</f>
        <v>0 a 1 años</v>
      </c>
    </row>
    <row r="889" customFormat="false" ht="13.8" hidden="false" customHeight="false" outlineLevel="0" collapsed="false">
      <c r="D889" s="128"/>
      <c r="E889" s="129"/>
      <c r="F889" s="129"/>
      <c r="G889" s="129"/>
      <c r="H889" s="130"/>
      <c r="I889" s="131"/>
      <c r="J889" s="128"/>
      <c r="K889" s="132"/>
      <c r="L889" s="132"/>
      <c r="M889" s="133"/>
      <c r="N889" s="133"/>
      <c r="O889" s="133"/>
      <c r="P889" s="129"/>
      <c r="Z889" s="75"/>
      <c r="AA889" s="76"/>
      <c r="AB889" s="76"/>
      <c r="AC889" s="129"/>
      <c r="AD889" s="134"/>
      <c r="AE889" s="134"/>
      <c r="AF889" s="134"/>
      <c r="AG889" s="134"/>
      <c r="AH889" s="134"/>
      <c r="AI889" s="134"/>
      <c r="AJ889" s="134"/>
      <c r="AK889" s="134"/>
      <c r="AL889" s="134"/>
      <c r="AM889" s="134"/>
      <c r="AN889" s="134"/>
      <c r="AO889" s="134"/>
      <c r="AP889" s="134"/>
      <c r="AQ889" s="134"/>
      <c r="AR889" s="134"/>
      <c r="AS889" s="134"/>
      <c r="AT889" s="134"/>
      <c r="AU889" s="134"/>
      <c r="AV889" s="134"/>
      <c r="AW889" s="134"/>
      <c r="AX889" s="134"/>
      <c r="AY889" s="134"/>
      <c r="AZ889" s="134"/>
      <c r="BA889" s="134"/>
      <c r="BB889" s="134"/>
      <c r="BC889" s="134"/>
      <c r="BD889" s="134"/>
      <c r="BE889" s="134"/>
      <c r="BF889" s="134"/>
      <c r="BG889" s="134"/>
      <c r="BH889" s="134"/>
      <c r="BI889" s="134"/>
      <c r="BJ889" s="134"/>
      <c r="BK889" s="134"/>
      <c r="BL889" s="134"/>
      <c r="BM889" s="135"/>
      <c r="BN889" s="136" t="n">
        <f aca="false">+MAX($D$3,DATOS_[[#This Row],[Fecha Inicio Sit. Contract.]])</f>
        <v>0</v>
      </c>
      <c r="BO889" s="136" t="n">
        <f aca="false">+MIN($D$4,DATOS_[[#This Row],[Fecha Fin Sit. Contract.]])</f>
        <v>0</v>
      </c>
      <c r="BP889" s="137" t="n">
        <f aca="false">+DATOS_[[#This Row],[% de jornada]]*IF(DATOS_[[#This Row],[% jornada reducida]]="",1,DATOS_[[#This Row],[% jornada reducida]])</f>
        <v>0</v>
      </c>
      <c r="BQ889" s="137" t="n">
        <f aca="false">+(DATOS_[[#This Row],[F.fin.cal]]-DATOS_[[#This Row],[F.ini.cal]]+1)/($D$4-$D$3+1)</f>
        <v>1</v>
      </c>
      <c r="BR889" s="137" t="str">
        <f aca="false">IF(OR(AND(DATOS_[[#This Row],[Fecha Fin Contrato]]&lt;$D$3,DATOS_[[#This Row],[Fecha Fin Contrato]]&lt;&gt;""),DATOS_[[#This Row],[Fecha de Contratación]]&gt;$D$4),"Fuera","Dentro")</f>
        <v>Dentro</v>
      </c>
      <c r="BS889" s="137" t="str">
        <f aca="false" t="array" ref="BS889:BS889">IF(MAX(IF(DATOS_[id]=DATOS_[[#This Row],[id]],DATOS_[F.fin.cal]))=DATOS_[[#This Row],[F.fin.cal]],"Sí","NO")</f>
        <v>Sí</v>
      </c>
      <c r="BT889" s="137" t="str">
        <f aca="false">IF(AND(DATOS_[[#This Row],[% normaliz]]&lt;&gt;1,DATOS_[[#This Row],[% anualiz]]=1),"Sí","NO")</f>
        <v>Sí</v>
      </c>
      <c r="BU889" s="137" t="str">
        <f aca="false">IF(AND(DATOS_[[#This Row],[% normaliz]]=1,DATOS_[[#This Row],[% anualiz]]&lt;&gt;1),"Sí","NO")</f>
        <v>NO</v>
      </c>
      <c r="BV889" s="137" t="str">
        <f aca="false">IF(AND(DATOS_[[#This Row],[% normaliz]]&lt;&gt;1,DATOS_[[#This Row],[% anualiz]]&lt;&gt;1),"Sí","NO")</f>
        <v>NO</v>
      </c>
      <c r="BW889" s="137" t="str">
        <f aca="false">+IF(DATOS_[[#This Row],[% normaliz]]*DATOS_[[#This Row],[% anualiz]]=1,"NO","Sí")</f>
        <v>Sí</v>
      </c>
      <c r="BX889" s="138" t="e">
        <f aca="false">(DATOS_[[#This Row],[S.BASE]]*(1/DATOS_[[#This Row],[% normaliz]])*(1/DATOS_[[#This Row],[% anualiz]]))*IF(DATOS_[[#This Row],[Check Equiparado]]="Sí",1,0)</f>
        <v>#DIV/0!</v>
      </c>
      <c r="BY8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9" s="138" t="e">
        <f aca="false">+DATOS_[[#This Row],[SALARIO BASE Eq]]+DATOS_[[#This Row],[Tot COMPL.SAL Eq]]</f>
        <v>#DIV/0!</v>
      </c>
      <c r="CA889" s="138" t="e">
        <f aca="false" t="array" ref="CA889:CA8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9" s="138" t="e">
        <f aca="false">+DATOS_[[#This Row],[TOTAL SALARIO Eq]]+DATOS_[[#This Row],[Tot Extrasalarial Eq]]</f>
        <v>#DIV/0!</v>
      </c>
      <c r="CC889" s="139" t="n">
        <f aca="false">DATOS_[[#This Row],[S.BASE]]</f>
        <v>0</v>
      </c>
      <c r="CD889" s="139" t="n">
        <f aca="false">+SUM(DATOS_[[#This Row],[Conc.Sal.01]:[Conc.Sal.30]])</f>
        <v>0</v>
      </c>
      <c r="CE889" s="139" t="n">
        <f aca="false">+DATOS_[[#This Row],[SALARIO BASE Ef]]+DATOS_[[#This Row],[Tot COMPL.SAL Ef]]</f>
        <v>0</v>
      </c>
      <c r="CF889" s="139" t="n">
        <f aca="false">+SUM(DATOS_[[#This Row],[C.Extra.01]:[C.Extra.05]])</f>
        <v>0</v>
      </c>
      <c r="CG889" s="139" t="n">
        <f aca="false">+DATOS_[[#This Row],[TOTAL SALARIO Ef]]+DATOS_[[#This Row],[Tot Extrasalarial Ef]]</f>
        <v>0</v>
      </c>
      <c r="CH889" s="140" t="n">
        <f aca="false">MIN(IF(DATOS_[[#This Row],[Fecha Fin Contrato]]="",$D$4,DATOS_[[#This Row],[Fecha Fin Contrato]]),$D$4)-MAX(DATOS_[[#This Row],[Fecha de Contratación]],$D$3)+1</f>
        <v>1</v>
      </c>
      <c r="CI889" s="141" t="str">
        <f aca="false">IF(COUNTIFS(DATOS_[id],DATOS_[[#This Row],[id]])&gt;1,DATOS_[[#This Row],[id]],"")</f>
        <v/>
      </c>
      <c r="CJ889" s="141" t="n">
        <f aca="false">(Inicio!$G$10-DATOS_[[#This Row],[Fecha Nacimiento]])/365.25</f>
        <v>0</v>
      </c>
      <c r="CK889" s="141" t="n">
        <f aca="false">(Inicio!$G$10-DATOS_[[#This Row],[Fecha de Antigüedad]])/365.25</f>
        <v>0</v>
      </c>
      <c r="CL889" s="141" t="e">
        <f aca="false">+VLOOKUP(DATOS_[[#This Row],[Clave de Contrato]],TblTiposContrato13[],3,0)</f>
        <v>#N/A</v>
      </c>
      <c r="CM889" s="141" t="e">
        <f aca="false">+VLOOKUP(DATOS_[[#This Row],[Clave de Contrato]],TblTiposContrato13[],4,0)</f>
        <v>#N/A</v>
      </c>
      <c r="CN889" s="141" t="str">
        <f aca="false">VLOOKUP(DATOS_[[#This Row],[Edad]],CONTRATOS!TblRngEdad,2,1)</f>
        <v>20  o menos</v>
      </c>
      <c r="CO889" s="141" t="str">
        <f aca="false">VLOOKUP(DATOS_[[#This Row],[Antigüedad]],TblRngAntg14[],2,1)</f>
        <v>0 a 1 años</v>
      </c>
    </row>
    <row r="890" customFormat="false" ht="13.8" hidden="false" customHeight="false" outlineLevel="0" collapsed="false">
      <c r="D890" s="128"/>
      <c r="E890" s="129"/>
      <c r="F890" s="129"/>
      <c r="G890" s="129"/>
      <c r="H890" s="130"/>
      <c r="I890" s="131"/>
      <c r="J890" s="128"/>
      <c r="K890" s="132"/>
      <c r="L890" s="132"/>
      <c r="M890" s="133"/>
      <c r="N890" s="133"/>
      <c r="O890" s="133"/>
      <c r="P890" s="129"/>
      <c r="Z890" s="75"/>
      <c r="AA890" s="76"/>
      <c r="AB890" s="76"/>
      <c r="AC890" s="129"/>
      <c r="AD890" s="134"/>
      <c r="AE890" s="134"/>
      <c r="AF890" s="134"/>
      <c r="AG890" s="134"/>
      <c r="AH890" s="134"/>
      <c r="AI890" s="134"/>
      <c r="AJ890" s="134"/>
      <c r="AK890" s="134"/>
      <c r="AL890" s="134"/>
      <c r="AM890" s="134"/>
      <c r="AN890" s="134"/>
      <c r="AO890" s="134"/>
      <c r="AP890" s="134"/>
      <c r="AQ890" s="134"/>
      <c r="AR890" s="134"/>
      <c r="AS890" s="134"/>
      <c r="AT890" s="134"/>
      <c r="AU890" s="134"/>
      <c r="AV890" s="134"/>
      <c r="AW890" s="134"/>
      <c r="AX890" s="134"/>
      <c r="AY890" s="134"/>
      <c r="AZ890" s="134"/>
      <c r="BA890" s="134"/>
      <c r="BB890" s="134"/>
      <c r="BC890" s="134"/>
      <c r="BD890" s="134"/>
      <c r="BE890" s="134"/>
      <c r="BF890" s="134"/>
      <c r="BG890" s="134"/>
      <c r="BH890" s="134"/>
      <c r="BI890" s="134"/>
      <c r="BJ890" s="134"/>
      <c r="BK890" s="134"/>
      <c r="BL890" s="134"/>
      <c r="BM890" s="135"/>
      <c r="BN890" s="136" t="n">
        <f aca="false">+MAX($D$3,DATOS_[[#This Row],[Fecha Inicio Sit. Contract.]])</f>
        <v>0</v>
      </c>
      <c r="BO890" s="136" t="n">
        <f aca="false">+MIN($D$4,DATOS_[[#This Row],[Fecha Fin Sit. Contract.]])</f>
        <v>0</v>
      </c>
      <c r="BP890" s="137" t="n">
        <f aca="false">+DATOS_[[#This Row],[% de jornada]]*IF(DATOS_[[#This Row],[% jornada reducida]]="",1,DATOS_[[#This Row],[% jornada reducida]])</f>
        <v>0</v>
      </c>
      <c r="BQ890" s="137" t="n">
        <f aca="false">+(DATOS_[[#This Row],[F.fin.cal]]-DATOS_[[#This Row],[F.ini.cal]]+1)/($D$4-$D$3+1)</f>
        <v>1</v>
      </c>
      <c r="BR890" s="137" t="str">
        <f aca="false">IF(OR(AND(DATOS_[[#This Row],[Fecha Fin Contrato]]&lt;$D$3,DATOS_[[#This Row],[Fecha Fin Contrato]]&lt;&gt;""),DATOS_[[#This Row],[Fecha de Contratación]]&gt;$D$4),"Fuera","Dentro")</f>
        <v>Dentro</v>
      </c>
      <c r="BS890" s="137" t="str">
        <f aca="false" t="array" ref="BS890:BS890">IF(MAX(IF(DATOS_[id]=DATOS_[[#This Row],[id]],DATOS_[F.fin.cal]))=DATOS_[[#This Row],[F.fin.cal]],"Sí","NO")</f>
        <v>Sí</v>
      </c>
      <c r="BT890" s="137" t="str">
        <f aca="false">IF(AND(DATOS_[[#This Row],[% normaliz]]&lt;&gt;1,DATOS_[[#This Row],[% anualiz]]=1),"Sí","NO")</f>
        <v>Sí</v>
      </c>
      <c r="BU890" s="137" t="str">
        <f aca="false">IF(AND(DATOS_[[#This Row],[% normaliz]]=1,DATOS_[[#This Row],[% anualiz]]&lt;&gt;1),"Sí","NO")</f>
        <v>NO</v>
      </c>
      <c r="BV890" s="137" t="str">
        <f aca="false">IF(AND(DATOS_[[#This Row],[% normaliz]]&lt;&gt;1,DATOS_[[#This Row],[% anualiz]]&lt;&gt;1),"Sí","NO")</f>
        <v>NO</v>
      </c>
      <c r="BW890" s="137" t="str">
        <f aca="false">+IF(DATOS_[[#This Row],[% normaliz]]*DATOS_[[#This Row],[% anualiz]]=1,"NO","Sí")</f>
        <v>Sí</v>
      </c>
      <c r="BX890" s="138" t="e">
        <f aca="false">(DATOS_[[#This Row],[S.BASE]]*(1/DATOS_[[#This Row],[% normaliz]])*(1/DATOS_[[#This Row],[% anualiz]]))*IF(DATOS_[[#This Row],[Check Equiparado]]="Sí",1,0)</f>
        <v>#DIV/0!</v>
      </c>
      <c r="BY8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0" s="138" t="e">
        <f aca="false">+DATOS_[[#This Row],[SALARIO BASE Eq]]+DATOS_[[#This Row],[Tot COMPL.SAL Eq]]</f>
        <v>#DIV/0!</v>
      </c>
      <c r="CA890" s="138" t="e">
        <f aca="false" t="array" ref="CA890:CA8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0" s="138" t="e">
        <f aca="false">+DATOS_[[#This Row],[TOTAL SALARIO Eq]]+DATOS_[[#This Row],[Tot Extrasalarial Eq]]</f>
        <v>#DIV/0!</v>
      </c>
      <c r="CC890" s="139" t="n">
        <f aca="false">DATOS_[[#This Row],[S.BASE]]</f>
        <v>0</v>
      </c>
      <c r="CD890" s="139" t="n">
        <f aca="false">+SUM(DATOS_[[#This Row],[Conc.Sal.01]:[Conc.Sal.30]])</f>
        <v>0</v>
      </c>
      <c r="CE890" s="139" t="n">
        <f aca="false">+DATOS_[[#This Row],[SALARIO BASE Ef]]+DATOS_[[#This Row],[Tot COMPL.SAL Ef]]</f>
        <v>0</v>
      </c>
      <c r="CF890" s="139" t="n">
        <f aca="false">+SUM(DATOS_[[#This Row],[C.Extra.01]:[C.Extra.05]])</f>
        <v>0</v>
      </c>
      <c r="CG890" s="139" t="n">
        <f aca="false">+DATOS_[[#This Row],[TOTAL SALARIO Ef]]+DATOS_[[#This Row],[Tot Extrasalarial Ef]]</f>
        <v>0</v>
      </c>
      <c r="CH890" s="140" t="n">
        <f aca="false">MIN(IF(DATOS_[[#This Row],[Fecha Fin Contrato]]="",$D$4,DATOS_[[#This Row],[Fecha Fin Contrato]]),$D$4)-MAX(DATOS_[[#This Row],[Fecha de Contratación]],$D$3)+1</f>
        <v>1</v>
      </c>
      <c r="CI890" s="141" t="str">
        <f aca="false">IF(COUNTIFS(DATOS_[id],DATOS_[[#This Row],[id]])&gt;1,DATOS_[[#This Row],[id]],"")</f>
        <v/>
      </c>
      <c r="CJ890" s="141" t="n">
        <f aca="false">(Inicio!$G$10-DATOS_[[#This Row],[Fecha Nacimiento]])/365.25</f>
        <v>0</v>
      </c>
      <c r="CK890" s="141" t="n">
        <f aca="false">(Inicio!$G$10-DATOS_[[#This Row],[Fecha de Antigüedad]])/365.25</f>
        <v>0</v>
      </c>
      <c r="CL890" s="141" t="e">
        <f aca="false">+VLOOKUP(DATOS_[[#This Row],[Clave de Contrato]],TblTiposContrato13[],3,0)</f>
        <v>#N/A</v>
      </c>
      <c r="CM890" s="141" t="e">
        <f aca="false">+VLOOKUP(DATOS_[[#This Row],[Clave de Contrato]],TblTiposContrato13[],4,0)</f>
        <v>#N/A</v>
      </c>
      <c r="CN890" s="141" t="str">
        <f aca="false">VLOOKUP(DATOS_[[#This Row],[Edad]],CONTRATOS!TblRngEdad,2,1)</f>
        <v>20  o menos</v>
      </c>
      <c r="CO890" s="141" t="str">
        <f aca="false">VLOOKUP(DATOS_[[#This Row],[Antigüedad]],TblRngAntg14[],2,1)</f>
        <v>0 a 1 años</v>
      </c>
    </row>
    <row r="891" customFormat="false" ht="13.8" hidden="false" customHeight="false" outlineLevel="0" collapsed="false">
      <c r="D891" s="128"/>
      <c r="E891" s="129"/>
      <c r="F891" s="129"/>
      <c r="G891" s="129"/>
      <c r="H891" s="130"/>
      <c r="I891" s="131"/>
      <c r="J891" s="128"/>
      <c r="K891" s="132"/>
      <c r="L891" s="132"/>
      <c r="M891" s="133"/>
      <c r="N891" s="133"/>
      <c r="O891" s="133"/>
      <c r="P891" s="129"/>
      <c r="Z891" s="75"/>
      <c r="AA891" s="76"/>
      <c r="AB891" s="76"/>
      <c r="AC891" s="129"/>
      <c r="AD891" s="134"/>
      <c r="AE891" s="134"/>
      <c r="AF891" s="134"/>
      <c r="AG891" s="134"/>
      <c r="AH891" s="134"/>
      <c r="AI891" s="134"/>
      <c r="AJ891" s="134"/>
      <c r="AK891" s="134"/>
      <c r="AL891" s="134"/>
      <c r="AM891" s="134"/>
      <c r="AN891" s="134"/>
      <c r="AO891" s="134"/>
      <c r="AP891" s="134"/>
      <c r="AQ891" s="134"/>
      <c r="AR891" s="134"/>
      <c r="AS891" s="134"/>
      <c r="AT891" s="134"/>
      <c r="AU891" s="134"/>
      <c r="AV891" s="134"/>
      <c r="AW891" s="134"/>
      <c r="AX891" s="134"/>
      <c r="AY891" s="134"/>
      <c r="AZ891" s="134"/>
      <c r="BA891" s="134"/>
      <c r="BB891" s="134"/>
      <c r="BC891" s="134"/>
      <c r="BD891" s="134"/>
      <c r="BE891" s="134"/>
      <c r="BF891" s="134"/>
      <c r="BG891" s="134"/>
      <c r="BH891" s="134"/>
      <c r="BI891" s="134"/>
      <c r="BJ891" s="134"/>
      <c r="BK891" s="134"/>
      <c r="BL891" s="134"/>
      <c r="BM891" s="135"/>
      <c r="BN891" s="136" t="n">
        <f aca="false">+MAX($D$3,DATOS_[[#This Row],[Fecha Inicio Sit. Contract.]])</f>
        <v>0</v>
      </c>
      <c r="BO891" s="136" t="n">
        <f aca="false">+MIN($D$4,DATOS_[[#This Row],[Fecha Fin Sit. Contract.]])</f>
        <v>0</v>
      </c>
      <c r="BP891" s="137" t="n">
        <f aca="false">+DATOS_[[#This Row],[% de jornada]]*IF(DATOS_[[#This Row],[% jornada reducida]]="",1,DATOS_[[#This Row],[% jornada reducida]])</f>
        <v>0</v>
      </c>
      <c r="BQ891" s="137" t="n">
        <f aca="false">+(DATOS_[[#This Row],[F.fin.cal]]-DATOS_[[#This Row],[F.ini.cal]]+1)/($D$4-$D$3+1)</f>
        <v>1</v>
      </c>
      <c r="BR891" s="137" t="str">
        <f aca="false">IF(OR(AND(DATOS_[[#This Row],[Fecha Fin Contrato]]&lt;$D$3,DATOS_[[#This Row],[Fecha Fin Contrato]]&lt;&gt;""),DATOS_[[#This Row],[Fecha de Contratación]]&gt;$D$4),"Fuera","Dentro")</f>
        <v>Dentro</v>
      </c>
      <c r="BS891" s="137" t="str">
        <f aca="false" t="array" ref="BS891:BS891">IF(MAX(IF(DATOS_[id]=DATOS_[[#This Row],[id]],DATOS_[F.fin.cal]))=DATOS_[[#This Row],[F.fin.cal]],"Sí","NO")</f>
        <v>Sí</v>
      </c>
      <c r="BT891" s="137" t="str">
        <f aca="false">IF(AND(DATOS_[[#This Row],[% normaliz]]&lt;&gt;1,DATOS_[[#This Row],[% anualiz]]=1),"Sí","NO")</f>
        <v>Sí</v>
      </c>
      <c r="BU891" s="137" t="str">
        <f aca="false">IF(AND(DATOS_[[#This Row],[% normaliz]]=1,DATOS_[[#This Row],[% anualiz]]&lt;&gt;1),"Sí","NO")</f>
        <v>NO</v>
      </c>
      <c r="BV891" s="137" t="str">
        <f aca="false">IF(AND(DATOS_[[#This Row],[% normaliz]]&lt;&gt;1,DATOS_[[#This Row],[% anualiz]]&lt;&gt;1),"Sí","NO")</f>
        <v>NO</v>
      </c>
      <c r="BW891" s="137" t="str">
        <f aca="false">+IF(DATOS_[[#This Row],[% normaliz]]*DATOS_[[#This Row],[% anualiz]]=1,"NO","Sí")</f>
        <v>Sí</v>
      </c>
      <c r="BX891" s="138" t="e">
        <f aca="false">(DATOS_[[#This Row],[S.BASE]]*(1/DATOS_[[#This Row],[% normaliz]])*(1/DATOS_[[#This Row],[% anualiz]]))*IF(DATOS_[[#This Row],[Check Equiparado]]="Sí",1,0)</f>
        <v>#DIV/0!</v>
      </c>
      <c r="BY8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1" s="138" t="e">
        <f aca="false">+DATOS_[[#This Row],[SALARIO BASE Eq]]+DATOS_[[#This Row],[Tot COMPL.SAL Eq]]</f>
        <v>#DIV/0!</v>
      </c>
      <c r="CA891" s="138" t="e">
        <f aca="false" t="array" ref="CA891:CA8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1" s="138" t="e">
        <f aca="false">+DATOS_[[#This Row],[TOTAL SALARIO Eq]]+DATOS_[[#This Row],[Tot Extrasalarial Eq]]</f>
        <v>#DIV/0!</v>
      </c>
      <c r="CC891" s="139" t="n">
        <f aca="false">DATOS_[[#This Row],[S.BASE]]</f>
        <v>0</v>
      </c>
      <c r="CD891" s="139" t="n">
        <f aca="false">+SUM(DATOS_[[#This Row],[Conc.Sal.01]:[Conc.Sal.30]])</f>
        <v>0</v>
      </c>
      <c r="CE891" s="139" t="n">
        <f aca="false">+DATOS_[[#This Row],[SALARIO BASE Ef]]+DATOS_[[#This Row],[Tot COMPL.SAL Ef]]</f>
        <v>0</v>
      </c>
      <c r="CF891" s="139" t="n">
        <f aca="false">+SUM(DATOS_[[#This Row],[C.Extra.01]:[C.Extra.05]])</f>
        <v>0</v>
      </c>
      <c r="CG891" s="139" t="n">
        <f aca="false">+DATOS_[[#This Row],[TOTAL SALARIO Ef]]+DATOS_[[#This Row],[Tot Extrasalarial Ef]]</f>
        <v>0</v>
      </c>
      <c r="CH891" s="140" t="n">
        <f aca="false">MIN(IF(DATOS_[[#This Row],[Fecha Fin Contrato]]="",$D$4,DATOS_[[#This Row],[Fecha Fin Contrato]]),$D$4)-MAX(DATOS_[[#This Row],[Fecha de Contratación]],$D$3)+1</f>
        <v>1</v>
      </c>
      <c r="CI891" s="141" t="str">
        <f aca="false">IF(COUNTIFS(DATOS_[id],DATOS_[[#This Row],[id]])&gt;1,DATOS_[[#This Row],[id]],"")</f>
        <v/>
      </c>
      <c r="CJ891" s="141" t="n">
        <f aca="false">(Inicio!$G$10-DATOS_[[#This Row],[Fecha Nacimiento]])/365.25</f>
        <v>0</v>
      </c>
      <c r="CK891" s="141" t="n">
        <f aca="false">(Inicio!$G$10-DATOS_[[#This Row],[Fecha de Antigüedad]])/365.25</f>
        <v>0</v>
      </c>
      <c r="CL891" s="141" t="e">
        <f aca="false">+VLOOKUP(DATOS_[[#This Row],[Clave de Contrato]],TblTiposContrato13[],3,0)</f>
        <v>#N/A</v>
      </c>
      <c r="CM891" s="141" t="e">
        <f aca="false">+VLOOKUP(DATOS_[[#This Row],[Clave de Contrato]],TblTiposContrato13[],4,0)</f>
        <v>#N/A</v>
      </c>
      <c r="CN891" s="141" t="str">
        <f aca="false">VLOOKUP(DATOS_[[#This Row],[Edad]],CONTRATOS!TblRngEdad,2,1)</f>
        <v>20  o menos</v>
      </c>
      <c r="CO891" s="141" t="str">
        <f aca="false">VLOOKUP(DATOS_[[#This Row],[Antigüedad]],TblRngAntg14[],2,1)</f>
        <v>0 a 1 años</v>
      </c>
    </row>
    <row r="892" customFormat="false" ht="13.8" hidden="false" customHeight="false" outlineLevel="0" collapsed="false">
      <c r="D892" s="128"/>
      <c r="E892" s="129"/>
      <c r="F892" s="129"/>
      <c r="G892" s="129"/>
      <c r="H892" s="130"/>
      <c r="I892" s="131"/>
      <c r="J892" s="128"/>
      <c r="K892" s="132"/>
      <c r="L892" s="132"/>
      <c r="M892" s="133"/>
      <c r="N892" s="133"/>
      <c r="O892" s="133"/>
      <c r="P892" s="129"/>
      <c r="Z892" s="75"/>
      <c r="AA892" s="76"/>
      <c r="AB892" s="76"/>
      <c r="AC892" s="129"/>
      <c r="AD892" s="134"/>
      <c r="AE892" s="134"/>
      <c r="AF892" s="134"/>
      <c r="AG892" s="134"/>
      <c r="AH892" s="134"/>
      <c r="AI892" s="134"/>
      <c r="AJ892" s="134"/>
      <c r="AK892" s="134"/>
      <c r="AL892" s="134"/>
      <c r="AM892" s="134"/>
      <c r="AN892" s="134"/>
      <c r="AO892" s="134"/>
      <c r="AP892" s="134"/>
      <c r="AQ892" s="134"/>
      <c r="AR892" s="134"/>
      <c r="AS892" s="134"/>
      <c r="AT892" s="134"/>
      <c r="AU892" s="134"/>
      <c r="AV892" s="134"/>
      <c r="AW892" s="134"/>
      <c r="AX892" s="134"/>
      <c r="AY892" s="134"/>
      <c r="AZ892" s="134"/>
      <c r="BA892" s="134"/>
      <c r="BB892" s="134"/>
      <c r="BC892" s="134"/>
      <c r="BD892" s="134"/>
      <c r="BE892" s="134"/>
      <c r="BF892" s="134"/>
      <c r="BG892" s="134"/>
      <c r="BH892" s="134"/>
      <c r="BI892" s="134"/>
      <c r="BJ892" s="134"/>
      <c r="BK892" s="134"/>
      <c r="BL892" s="134"/>
      <c r="BM892" s="135"/>
      <c r="BN892" s="136" t="n">
        <f aca="false">+MAX($D$3,DATOS_[[#This Row],[Fecha Inicio Sit. Contract.]])</f>
        <v>0</v>
      </c>
      <c r="BO892" s="136" t="n">
        <f aca="false">+MIN($D$4,DATOS_[[#This Row],[Fecha Fin Sit. Contract.]])</f>
        <v>0</v>
      </c>
      <c r="BP892" s="137" t="n">
        <f aca="false">+DATOS_[[#This Row],[% de jornada]]*IF(DATOS_[[#This Row],[% jornada reducida]]="",1,DATOS_[[#This Row],[% jornada reducida]])</f>
        <v>0</v>
      </c>
      <c r="BQ892" s="137" t="n">
        <f aca="false">+(DATOS_[[#This Row],[F.fin.cal]]-DATOS_[[#This Row],[F.ini.cal]]+1)/($D$4-$D$3+1)</f>
        <v>1</v>
      </c>
      <c r="BR892" s="137" t="str">
        <f aca="false">IF(OR(AND(DATOS_[[#This Row],[Fecha Fin Contrato]]&lt;$D$3,DATOS_[[#This Row],[Fecha Fin Contrato]]&lt;&gt;""),DATOS_[[#This Row],[Fecha de Contratación]]&gt;$D$4),"Fuera","Dentro")</f>
        <v>Dentro</v>
      </c>
      <c r="BS892" s="137" t="str">
        <f aca="false" t="array" ref="BS892:BS892">IF(MAX(IF(DATOS_[id]=DATOS_[[#This Row],[id]],DATOS_[F.fin.cal]))=DATOS_[[#This Row],[F.fin.cal]],"Sí","NO")</f>
        <v>Sí</v>
      </c>
      <c r="BT892" s="137" t="str">
        <f aca="false">IF(AND(DATOS_[[#This Row],[% normaliz]]&lt;&gt;1,DATOS_[[#This Row],[% anualiz]]=1),"Sí","NO")</f>
        <v>Sí</v>
      </c>
      <c r="BU892" s="137" t="str">
        <f aca="false">IF(AND(DATOS_[[#This Row],[% normaliz]]=1,DATOS_[[#This Row],[% anualiz]]&lt;&gt;1),"Sí","NO")</f>
        <v>NO</v>
      </c>
      <c r="BV892" s="137" t="str">
        <f aca="false">IF(AND(DATOS_[[#This Row],[% normaliz]]&lt;&gt;1,DATOS_[[#This Row],[% anualiz]]&lt;&gt;1),"Sí","NO")</f>
        <v>NO</v>
      </c>
      <c r="BW892" s="137" t="str">
        <f aca="false">+IF(DATOS_[[#This Row],[% normaliz]]*DATOS_[[#This Row],[% anualiz]]=1,"NO","Sí")</f>
        <v>Sí</v>
      </c>
      <c r="BX892" s="138" t="e">
        <f aca="false">(DATOS_[[#This Row],[S.BASE]]*(1/DATOS_[[#This Row],[% normaliz]])*(1/DATOS_[[#This Row],[% anualiz]]))*IF(DATOS_[[#This Row],[Check Equiparado]]="Sí",1,0)</f>
        <v>#DIV/0!</v>
      </c>
      <c r="BY8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2" s="138" t="e">
        <f aca="false">+DATOS_[[#This Row],[SALARIO BASE Eq]]+DATOS_[[#This Row],[Tot COMPL.SAL Eq]]</f>
        <v>#DIV/0!</v>
      </c>
      <c r="CA892" s="138" t="e">
        <f aca="false" t="array" ref="CA892:CA8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2" s="138" t="e">
        <f aca="false">+DATOS_[[#This Row],[TOTAL SALARIO Eq]]+DATOS_[[#This Row],[Tot Extrasalarial Eq]]</f>
        <v>#DIV/0!</v>
      </c>
      <c r="CC892" s="139" t="n">
        <f aca="false">DATOS_[[#This Row],[S.BASE]]</f>
        <v>0</v>
      </c>
      <c r="CD892" s="139" t="n">
        <f aca="false">+SUM(DATOS_[[#This Row],[Conc.Sal.01]:[Conc.Sal.30]])</f>
        <v>0</v>
      </c>
      <c r="CE892" s="139" t="n">
        <f aca="false">+DATOS_[[#This Row],[SALARIO BASE Ef]]+DATOS_[[#This Row],[Tot COMPL.SAL Ef]]</f>
        <v>0</v>
      </c>
      <c r="CF892" s="139" t="n">
        <f aca="false">+SUM(DATOS_[[#This Row],[C.Extra.01]:[C.Extra.05]])</f>
        <v>0</v>
      </c>
      <c r="CG892" s="139" t="n">
        <f aca="false">+DATOS_[[#This Row],[TOTAL SALARIO Ef]]+DATOS_[[#This Row],[Tot Extrasalarial Ef]]</f>
        <v>0</v>
      </c>
      <c r="CH892" s="140" t="n">
        <f aca="false">MIN(IF(DATOS_[[#This Row],[Fecha Fin Contrato]]="",$D$4,DATOS_[[#This Row],[Fecha Fin Contrato]]),$D$4)-MAX(DATOS_[[#This Row],[Fecha de Contratación]],$D$3)+1</f>
        <v>1</v>
      </c>
      <c r="CI892" s="141" t="str">
        <f aca="false">IF(COUNTIFS(DATOS_[id],DATOS_[[#This Row],[id]])&gt;1,DATOS_[[#This Row],[id]],"")</f>
        <v/>
      </c>
      <c r="CJ892" s="141" t="n">
        <f aca="false">(Inicio!$G$10-DATOS_[[#This Row],[Fecha Nacimiento]])/365.25</f>
        <v>0</v>
      </c>
      <c r="CK892" s="141" t="n">
        <f aca="false">(Inicio!$G$10-DATOS_[[#This Row],[Fecha de Antigüedad]])/365.25</f>
        <v>0</v>
      </c>
      <c r="CL892" s="141" t="e">
        <f aca="false">+VLOOKUP(DATOS_[[#This Row],[Clave de Contrato]],TblTiposContrato13[],3,0)</f>
        <v>#N/A</v>
      </c>
      <c r="CM892" s="141" t="e">
        <f aca="false">+VLOOKUP(DATOS_[[#This Row],[Clave de Contrato]],TblTiposContrato13[],4,0)</f>
        <v>#N/A</v>
      </c>
      <c r="CN892" s="141" t="str">
        <f aca="false">VLOOKUP(DATOS_[[#This Row],[Edad]],CONTRATOS!TblRngEdad,2,1)</f>
        <v>20  o menos</v>
      </c>
      <c r="CO892" s="141" t="str">
        <f aca="false">VLOOKUP(DATOS_[[#This Row],[Antigüedad]],TblRngAntg14[],2,1)</f>
        <v>0 a 1 años</v>
      </c>
    </row>
    <row r="893" customFormat="false" ht="13.8" hidden="false" customHeight="false" outlineLevel="0" collapsed="false">
      <c r="D893" s="128"/>
      <c r="E893" s="129"/>
      <c r="F893" s="129"/>
      <c r="G893" s="129"/>
      <c r="H893" s="130"/>
      <c r="I893" s="131"/>
      <c r="J893" s="128"/>
      <c r="K893" s="132"/>
      <c r="L893" s="132"/>
      <c r="M893" s="133"/>
      <c r="N893" s="133"/>
      <c r="O893" s="133"/>
      <c r="P893" s="129"/>
      <c r="Z893" s="75"/>
      <c r="AA893" s="76"/>
      <c r="AB893" s="76"/>
      <c r="AC893" s="129"/>
      <c r="AD893" s="134"/>
      <c r="AE893" s="134"/>
      <c r="AF893" s="134"/>
      <c r="AG893" s="134"/>
      <c r="AH893" s="134"/>
      <c r="AI893" s="134"/>
      <c r="AJ893" s="134"/>
      <c r="AK893" s="134"/>
      <c r="AL893" s="134"/>
      <c r="AM893" s="134"/>
      <c r="AN893" s="134"/>
      <c r="AO893" s="134"/>
      <c r="AP893" s="134"/>
      <c r="AQ893" s="134"/>
      <c r="AR893" s="134"/>
      <c r="AS893" s="134"/>
      <c r="AT893" s="134"/>
      <c r="AU893" s="134"/>
      <c r="AV893" s="134"/>
      <c r="AW893" s="134"/>
      <c r="AX893" s="134"/>
      <c r="AY893" s="134"/>
      <c r="AZ893" s="134"/>
      <c r="BA893" s="134"/>
      <c r="BB893" s="134"/>
      <c r="BC893" s="134"/>
      <c r="BD893" s="134"/>
      <c r="BE893" s="134"/>
      <c r="BF893" s="134"/>
      <c r="BG893" s="134"/>
      <c r="BH893" s="134"/>
      <c r="BI893" s="134"/>
      <c r="BJ893" s="134"/>
      <c r="BK893" s="134"/>
      <c r="BL893" s="134"/>
      <c r="BM893" s="135"/>
      <c r="BN893" s="136" t="n">
        <f aca="false">+MAX($D$3,DATOS_[[#This Row],[Fecha Inicio Sit. Contract.]])</f>
        <v>0</v>
      </c>
      <c r="BO893" s="136" t="n">
        <f aca="false">+MIN($D$4,DATOS_[[#This Row],[Fecha Fin Sit. Contract.]])</f>
        <v>0</v>
      </c>
      <c r="BP893" s="137" t="n">
        <f aca="false">+DATOS_[[#This Row],[% de jornada]]*IF(DATOS_[[#This Row],[% jornada reducida]]="",1,DATOS_[[#This Row],[% jornada reducida]])</f>
        <v>0</v>
      </c>
      <c r="BQ893" s="137" t="n">
        <f aca="false">+(DATOS_[[#This Row],[F.fin.cal]]-DATOS_[[#This Row],[F.ini.cal]]+1)/($D$4-$D$3+1)</f>
        <v>1</v>
      </c>
      <c r="BR893" s="137" t="str">
        <f aca="false">IF(OR(AND(DATOS_[[#This Row],[Fecha Fin Contrato]]&lt;$D$3,DATOS_[[#This Row],[Fecha Fin Contrato]]&lt;&gt;""),DATOS_[[#This Row],[Fecha de Contratación]]&gt;$D$4),"Fuera","Dentro")</f>
        <v>Dentro</v>
      </c>
      <c r="BS893" s="137" t="str">
        <f aca="false" t="array" ref="BS893:BS893">IF(MAX(IF(DATOS_[id]=DATOS_[[#This Row],[id]],DATOS_[F.fin.cal]))=DATOS_[[#This Row],[F.fin.cal]],"Sí","NO")</f>
        <v>Sí</v>
      </c>
      <c r="BT893" s="137" t="str">
        <f aca="false">IF(AND(DATOS_[[#This Row],[% normaliz]]&lt;&gt;1,DATOS_[[#This Row],[% anualiz]]=1),"Sí","NO")</f>
        <v>Sí</v>
      </c>
      <c r="BU893" s="137" t="str">
        <f aca="false">IF(AND(DATOS_[[#This Row],[% normaliz]]=1,DATOS_[[#This Row],[% anualiz]]&lt;&gt;1),"Sí","NO")</f>
        <v>NO</v>
      </c>
      <c r="BV893" s="137" t="str">
        <f aca="false">IF(AND(DATOS_[[#This Row],[% normaliz]]&lt;&gt;1,DATOS_[[#This Row],[% anualiz]]&lt;&gt;1),"Sí","NO")</f>
        <v>NO</v>
      </c>
      <c r="BW893" s="137" t="str">
        <f aca="false">+IF(DATOS_[[#This Row],[% normaliz]]*DATOS_[[#This Row],[% anualiz]]=1,"NO","Sí")</f>
        <v>Sí</v>
      </c>
      <c r="BX893" s="138" t="e">
        <f aca="false">(DATOS_[[#This Row],[S.BASE]]*(1/DATOS_[[#This Row],[% normaliz]])*(1/DATOS_[[#This Row],[% anualiz]]))*IF(DATOS_[[#This Row],[Check Equiparado]]="Sí",1,0)</f>
        <v>#DIV/0!</v>
      </c>
      <c r="BY8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3" s="138" t="e">
        <f aca="false">+DATOS_[[#This Row],[SALARIO BASE Eq]]+DATOS_[[#This Row],[Tot COMPL.SAL Eq]]</f>
        <v>#DIV/0!</v>
      </c>
      <c r="CA893" s="138" t="e">
        <f aca="false" t="array" ref="CA893:CA8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3" s="138" t="e">
        <f aca="false">+DATOS_[[#This Row],[TOTAL SALARIO Eq]]+DATOS_[[#This Row],[Tot Extrasalarial Eq]]</f>
        <v>#DIV/0!</v>
      </c>
      <c r="CC893" s="139" t="n">
        <f aca="false">DATOS_[[#This Row],[S.BASE]]</f>
        <v>0</v>
      </c>
      <c r="CD893" s="139" t="n">
        <f aca="false">+SUM(DATOS_[[#This Row],[Conc.Sal.01]:[Conc.Sal.30]])</f>
        <v>0</v>
      </c>
      <c r="CE893" s="139" t="n">
        <f aca="false">+DATOS_[[#This Row],[SALARIO BASE Ef]]+DATOS_[[#This Row],[Tot COMPL.SAL Ef]]</f>
        <v>0</v>
      </c>
      <c r="CF893" s="139" t="n">
        <f aca="false">+SUM(DATOS_[[#This Row],[C.Extra.01]:[C.Extra.05]])</f>
        <v>0</v>
      </c>
      <c r="CG893" s="139" t="n">
        <f aca="false">+DATOS_[[#This Row],[TOTAL SALARIO Ef]]+DATOS_[[#This Row],[Tot Extrasalarial Ef]]</f>
        <v>0</v>
      </c>
      <c r="CH893" s="140" t="n">
        <f aca="false">MIN(IF(DATOS_[[#This Row],[Fecha Fin Contrato]]="",$D$4,DATOS_[[#This Row],[Fecha Fin Contrato]]),$D$4)-MAX(DATOS_[[#This Row],[Fecha de Contratación]],$D$3)+1</f>
        <v>1</v>
      </c>
      <c r="CI893" s="141" t="str">
        <f aca="false">IF(COUNTIFS(DATOS_[id],DATOS_[[#This Row],[id]])&gt;1,DATOS_[[#This Row],[id]],"")</f>
        <v/>
      </c>
      <c r="CJ893" s="141" t="n">
        <f aca="false">(Inicio!$G$10-DATOS_[[#This Row],[Fecha Nacimiento]])/365.25</f>
        <v>0</v>
      </c>
      <c r="CK893" s="141" t="n">
        <f aca="false">(Inicio!$G$10-DATOS_[[#This Row],[Fecha de Antigüedad]])/365.25</f>
        <v>0</v>
      </c>
      <c r="CL893" s="141" t="e">
        <f aca="false">+VLOOKUP(DATOS_[[#This Row],[Clave de Contrato]],TblTiposContrato13[],3,0)</f>
        <v>#N/A</v>
      </c>
      <c r="CM893" s="141" t="e">
        <f aca="false">+VLOOKUP(DATOS_[[#This Row],[Clave de Contrato]],TblTiposContrato13[],4,0)</f>
        <v>#N/A</v>
      </c>
      <c r="CN893" s="141" t="str">
        <f aca="false">VLOOKUP(DATOS_[[#This Row],[Edad]],CONTRATOS!TblRngEdad,2,1)</f>
        <v>20  o menos</v>
      </c>
      <c r="CO893" s="141" t="str">
        <f aca="false">VLOOKUP(DATOS_[[#This Row],[Antigüedad]],TblRngAntg14[],2,1)</f>
        <v>0 a 1 años</v>
      </c>
    </row>
    <row r="894" customFormat="false" ht="13.8" hidden="false" customHeight="false" outlineLevel="0" collapsed="false">
      <c r="D894" s="128"/>
      <c r="E894" s="129"/>
      <c r="F894" s="129"/>
      <c r="G894" s="129"/>
      <c r="H894" s="130"/>
      <c r="I894" s="131"/>
      <c r="J894" s="128"/>
      <c r="K894" s="132"/>
      <c r="L894" s="132"/>
      <c r="M894" s="133"/>
      <c r="N894" s="133"/>
      <c r="O894" s="133"/>
      <c r="P894" s="129"/>
      <c r="Z894" s="75"/>
      <c r="AA894" s="76"/>
      <c r="AB894" s="76"/>
      <c r="AC894" s="129"/>
      <c r="AD894" s="134"/>
      <c r="AE894" s="134"/>
      <c r="AF894" s="134"/>
      <c r="AG894" s="134"/>
      <c r="AH894" s="134"/>
      <c r="AI894" s="134"/>
      <c r="AJ894" s="134"/>
      <c r="AK894" s="134"/>
      <c r="AL894" s="134"/>
      <c r="AM894" s="134"/>
      <c r="AN894" s="134"/>
      <c r="AO894" s="134"/>
      <c r="AP894" s="134"/>
      <c r="AQ894" s="134"/>
      <c r="AR894" s="134"/>
      <c r="AS894" s="134"/>
      <c r="AT894" s="134"/>
      <c r="AU894" s="134"/>
      <c r="AV894" s="134"/>
      <c r="AW894" s="134"/>
      <c r="AX894" s="134"/>
      <c r="AY894" s="134"/>
      <c r="AZ894" s="134"/>
      <c r="BA894" s="134"/>
      <c r="BB894" s="134"/>
      <c r="BC894" s="134"/>
      <c r="BD894" s="134"/>
      <c r="BE894" s="134"/>
      <c r="BF894" s="134"/>
      <c r="BG894" s="134"/>
      <c r="BH894" s="134"/>
      <c r="BI894" s="134"/>
      <c r="BJ894" s="134"/>
      <c r="BK894" s="134"/>
      <c r="BL894" s="134"/>
      <c r="BM894" s="135"/>
      <c r="BN894" s="136" t="n">
        <f aca="false">+MAX($D$3,DATOS_[[#This Row],[Fecha Inicio Sit. Contract.]])</f>
        <v>0</v>
      </c>
      <c r="BO894" s="136" t="n">
        <f aca="false">+MIN($D$4,DATOS_[[#This Row],[Fecha Fin Sit. Contract.]])</f>
        <v>0</v>
      </c>
      <c r="BP894" s="137" t="n">
        <f aca="false">+DATOS_[[#This Row],[% de jornada]]*IF(DATOS_[[#This Row],[% jornada reducida]]="",1,DATOS_[[#This Row],[% jornada reducida]])</f>
        <v>0</v>
      </c>
      <c r="BQ894" s="137" t="n">
        <f aca="false">+(DATOS_[[#This Row],[F.fin.cal]]-DATOS_[[#This Row],[F.ini.cal]]+1)/($D$4-$D$3+1)</f>
        <v>1</v>
      </c>
      <c r="BR894" s="137" t="str">
        <f aca="false">IF(OR(AND(DATOS_[[#This Row],[Fecha Fin Contrato]]&lt;$D$3,DATOS_[[#This Row],[Fecha Fin Contrato]]&lt;&gt;""),DATOS_[[#This Row],[Fecha de Contratación]]&gt;$D$4),"Fuera","Dentro")</f>
        <v>Dentro</v>
      </c>
      <c r="BS894" s="137" t="str">
        <f aca="false" t="array" ref="BS894:BS894">IF(MAX(IF(DATOS_[id]=DATOS_[[#This Row],[id]],DATOS_[F.fin.cal]))=DATOS_[[#This Row],[F.fin.cal]],"Sí","NO")</f>
        <v>Sí</v>
      </c>
      <c r="BT894" s="137" t="str">
        <f aca="false">IF(AND(DATOS_[[#This Row],[% normaliz]]&lt;&gt;1,DATOS_[[#This Row],[% anualiz]]=1),"Sí","NO")</f>
        <v>Sí</v>
      </c>
      <c r="BU894" s="137" t="str">
        <f aca="false">IF(AND(DATOS_[[#This Row],[% normaliz]]=1,DATOS_[[#This Row],[% anualiz]]&lt;&gt;1),"Sí","NO")</f>
        <v>NO</v>
      </c>
      <c r="BV894" s="137" t="str">
        <f aca="false">IF(AND(DATOS_[[#This Row],[% normaliz]]&lt;&gt;1,DATOS_[[#This Row],[% anualiz]]&lt;&gt;1),"Sí","NO")</f>
        <v>NO</v>
      </c>
      <c r="BW894" s="137" t="str">
        <f aca="false">+IF(DATOS_[[#This Row],[% normaliz]]*DATOS_[[#This Row],[% anualiz]]=1,"NO","Sí")</f>
        <v>Sí</v>
      </c>
      <c r="BX894" s="138" t="e">
        <f aca="false">(DATOS_[[#This Row],[S.BASE]]*(1/DATOS_[[#This Row],[% normaliz]])*(1/DATOS_[[#This Row],[% anualiz]]))*IF(DATOS_[[#This Row],[Check Equiparado]]="Sí",1,0)</f>
        <v>#DIV/0!</v>
      </c>
      <c r="BY8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4" s="138" t="e">
        <f aca="false">+DATOS_[[#This Row],[SALARIO BASE Eq]]+DATOS_[[#This Row],[Tot COMPL.SAL Eq]]</f>
        <v>#DIV/0!</v>
      </c>
      <c r="CA894" s="138" t="e">
        <f aca="false" t="array" ref="CA894:CA8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4" s="138" t="e">
        <f aca="false">+DATOS_[[#This Row],[TOTAL SALARIO Eq]]+DATOS_[[#This Row],[Tot Extrasalarial Eq]]</f>
        <v>#DIV/0!</v>
      </c>
      <c r="CC894" s="139" t="n">
        <f aca="false">DATOS_[[#This Row],[S.BASE]]</f>
        <v>0</v>
      </c>
      <c r="CD894" s="139" t="n">
        <f aca="false">+SUM(DATOS_[[#This Row],[Conc.Sal.01]:[Conc.Sal.30]])</f>
        <v>0</v>
      </c>
      <c r="CE894" s="139" t="n">
        <f aca="false">+DATOS_[[#This Row],[SALARIO BASE Ef]]+DATOS_[[#This Row],[Tot COMPL.SAL Ef]]</f>
        <v>0</v>
      </c>
      <c r="CF894" s="139" t="n">
        <f aca="false">+SUM(DATOS_[[#This Row],[C.Extra.01]:[C.Extra.05]])</f>
        <v>0</v>
      </c>
      <c r="CG894" s="139" t="n">
        <f aca="false">+DATOS_[[#This Row],[TOTAL SALARIO Ef]]+DATOS_[[#This Row],[Tot Extrasalarial Ef]]</f>
        <v>0</v>
      </c>
      <c r="CH894" s="140" t="n">
        <f aca="false">MIN(IF(DATOS_[[#This Row],[Fecha Fin Contrato]]="",$D$4,DATOS_[[#This Row],[Fecha Fin Contrato]]),$D$4)-MAX(DATOS_[[#This Row],[Fecha de Contratación]],$D$3)+1</f>
        <v>1</v>
      </c>
      <c r="CI894" s="141" t="str">
        <f aca="false">IF(COUNTIFS(DATOS_[id],DATOS_[[#This Row],[id]])&gt;1,DATOS_[[#This Row],[id]],"")</f>
        <v/>
      </c>
      <c r="CJ894" s="141" t="n">
        <f aca="false">(Inicio!$G$10-DATOS_[[#This Row],[Fecha Nacimiento]])/365.25</f>
        <v>0</v>
      </c>
      <c r="CK894" s="141" t="n">
        <f aca="false">(Inicio!$G$10-DATOS_[[#This Row],[Fecha de Antigüedad]])/365.25</f>
        <v>0</v>
      </c>
      <c r="CL894" s="141" t="e">
        <f aca="false">+VLOOKUP(DATOS_[[#This Row],[Clave de Contrato]],TblTiposContrato13[],3,0)</f>
        <v>#N/A</v>
      </c>
      <c r="CM894" s="141" t="e">
        <f aca="false">+VLOOKUP(DATOS_[[#This Row],[Clave de Contrato]],TblTiposContrato13[],4,0)</f>
        <v>#N/A</v>
      </c>
      <c r="CN894" s="141" t="str">
        <f aca="false">VLOOKUP(DATOS_[[#This Row],[Edad]],CONTRATOS!TblRngEdad,2,1)</f>
        <v>20  o menos</v>
      </c>
      <c r="CO894" s="141" t="str">
        <f aca="false">VLOOKUP(DATOS_[[#This Row],[Antigüedad]],TblRngAntg14[],2,1)</f>
        <v>0 a 1 años</v>
      </c>
    </row>
    <row r="895" customFormat="false" ht="13.8" hidden="false" customHeight="false" outlineLevel="0" collapsed="false">
      <c r="D895" s="128"/>
      <c r="E895" s="129"/>
      <c r="F895" s="129"/>
      <c r="G895" s="129"/>
      <c r="H895" s="130"/>
      <c r="I895" s="131"/>
      <c r="J895" s="128"/>
      <c r="K895" s="132"/>
      <c r="L895" s="132"/>
      <c r="M895" s="133"/>
      <c r="N895" s="133"/>
      <c r="O895" s="133"/>
      <c r="P895" s="129"/>
      <c r="Z895" s="75"/>
      <c r="AA895" s="76"/>
      <c r="AB895" s="76"/>
      <c r="AC895" s="129"/>
      <c r="AD895" s="134"/>
      <c r="AE895" s="134"/>
      <c r="AF895" s="134"/>
      <c r="AG895" s="134"/>
      <c r="AH895" s="134"/>
      <c r="AI895" s="134"/>
      <c r="AJ895" s="134"/>
      <c r="AK895" s="134"/>
      <c r="AL895" s="134"/>
      <c r="AM895" s="134"/>
      <c r="AN895" s="134"/>
      <c r="AO895" s="134"/>
      <c r="AP895" s="134"/>
      <c r="AQ895" s="134"/>
      <c r="AR895" s="134"/>
      <c r="AS895" s="134"/>
      <c r="AT895" s="134"/>
      <c r="AU895" s="134"/>
      <c r="AV895" s="134"/>
      <c r="AW895" s="134"/>
      <c r="AX895" s="134"/>
      <c r="AY895" s="134"/>
      <c r="AZ895" s="134"/>
      <c r="BA895" s="134"/>
      <c r="BB895" s="134"/>
      <c r="BC895" s="134"/>
      <c r="BD895" s="134"/>
      <c r="BE895" s="134"/>
      <c r="BF895" s="134"/>
      <c r="BG895" s="134"/>
      <c r="BH895" s="134"/>
      <c r="BI895" s="134"/>
      <c r="BJ895" s="134"/>
      <c r="BK895" s="134"/>
      <c r="BL895" s="134"/>
      <c r="BM895" s="135"/>
      <c r="BN895" s="136" t="n">
        <f aca="false">+MAX($D$3,DATOS_[[#This Row],[Fecha Inicio Sit. Contract.]])</f>
        <v>0</v>
      </c>
      <c r="BO895" s="136" t="n">
        <f aca="false">+MIN($D$4,DATOS_[[#This Row],[Fecha Fin Sit. Contract.]])</f>
        <v>0</v>
      </c>
      <c r="BP895" s="137" t="n">
        <f aca="false">+DATOS_[[#This Row],[% de jornada]]*IF(DATOS_[[#This Row],[% jornada reducida]]="",1,DATOS_[[#This Row],[% jornada reducida]])</f>
        <v>0</v>
      </c>
      <c r="BQ895" s="137" t="n">
        <f aca="false">+(DATOS_[[#This Row],[F.fin.cal]]-DATOS_[[#This Row],[F.ini.cal]]+1)/($D$4-$D$3+1)</f>
        <v>1</v>
      </c>
      <c r="BR895" s="137" t="str">
        <f aca="false">IF(OR(AND(DATOS_[[#This Row],[Fecha Fin Contrato]]&lt;$D$3,DATOS_[[#This Row],[Fecha Fin Contrato]]&lt;&gt;""),DATOS_[[#This Row],[Fecha de Contratación]]&gt;$D$4),"Fuera","Dentro")</f>
        <v>Dentro</v>
      </c>
      <c r="BS895" s="137" t="str">
        <f aca="false" t="array" ref="BS895:BS895">IF(MAX(IF(DATOS_[id]=DATOS_[[#This Row],[id]],DATOS_[F.fin.cal]))=DATOS_[[#This Row],[F.fin.cal]],"Sí","NO")</f>
        <v>Sí</v>
      </c>
      <c r="BT895" s="137" t="str">
        <f aca="false">IF(AND(DATOS_[[#This Row],[% normaliz]]&lt;&gt;1,DATOS_[[#This Row],[% anualiz]]=1),"Sí","NO")</f>
        <v>Sí</v>
      </c>
      <c r="BU895" s="137" t="str">
        <f aca="false">IF(AND(DATOS_[[#This Row],[% normaliz]]=1,DATOS_[[#This Row],[% anualiz]]&lt;&gt;1),"Sí","NO")</f>
        <v>NO</v>
      </c>
      <c r="BV895" s="137" t="str">
        <f aca="false">IF(AND(DATOS_[[#This Row],[% normaliz]]&lt;&gt;1,DATOS_[[#This Row],[% anualiz]]&lt;&gt;1),"Sí","NO")</f>
        <v>NO</v>
      </c>
      <c r="BW895" s="137" t="str">
        <f aca="false">+IF(DATOS_[[#This Row],[% normaliz]]*DATOS_[[#This Row],[% anualiz]]=1,"NO","Sí")</f>
        <v>Sí</v>
      </c>
      <c r="BX895" s="138" t="e">
        <f aca="false">(DATOS_[[#This Row],[S.BASE]]*(1/DATOS_[[#This Row],[% normaliz]])*(1/DATOS_[[#This Row],[% anualiz]]))*IF(DATOS_[[#This Row],[Check Equiparado]]="Sí",1,0)</f>
        <v>#DIV/0!</v>
      </c>
      <c r="BY8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5" s="138" t="e">
        <f aca="false">+DATOS_[[#This Row],[SALARIO BASE Eq]]+DATOS_[[#This Row],[Tot COMPL.SAL Eq]]</f>
        <v>#DIV/0!</v>
      </c>
      <c r="CA895" s="138" t="e">
        <f aca="false" t="array" ref="CA895:CA8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5" s="138" t="e">
        <f aca="false">+DATOS_[[#This Row],[TOTAL SALARIO Eq]]+DATOS_[[#This Row],[Tot Extrasalarial Eq]]</f>
        <v>#DIV/0!</v>
      </c>
      <c r="CC895" s="139" t="n">
        <f aca="false">DATOS_[[#This Row],[S.BASE]]</f>
        <v>0</v>
      </c>
      <c r="CD895" s="139" t="n">
        <f aca="false">+SUM(DATOS_[[#This Row],[Conc.Sal.01]:[Conc.Sal.30]])</f>
        <v>0</v>
      </c>
      <c r="CE895" s="139" t="n">
        <f aca="false">+DATOS_[[#This Row],[SALARIO BASE Ef]]+DATOS_[[#This Row],[Tot COMPL.SAL Ef]]</f>
        <v>0</v>
      </c>
      <c r="CF895" s="139" t="n">
        <f aca="false">+SUM(DATOS_[[#This Row],[C.Extra.01]:[C.Extra.05]])</f>
        <v>0</v>
      </c>
      <c r="CG895" s="139" t="n">
        <f aca="false">+DATOS_[[#This Row],[TOTAL SALARIO Ef]]+DATOS_[[#This Row],[Tot Extrasalarial Ef]]</f>
        <v>0</v>
      </c>
      <c r="CH895" s="140" t="n">
        <f aca="false">MIN(IF(DATOS_[[#This Row],[Fecha Fin Contrato]]="",$D$4,DATOS_[[#This Row],[Fecha Fin Contrato]]),$D$4)-MAX(DATOS_[[#This Row],[Fecha de Contratación]],$D$3)+1</f>
        <v>1</v>
      </c>
      <c r="CI895" s="141" t="str">
        <f aca="false">IF(COUNTIFS(DATOS_[id],DATOS_[[#This Row],[id]])&gt;1,DATOS_[[#This Row],[id]],"")</f>
        <v/>
      </c>
      <c r="CJ895" s="141" t="n">
        <f aca="false">(Inicio!$G$10-DATOS_[[#This Row],[Fecha Nacimiento]])/365.25</f>
        <v>0</v>
      </c>
      <c r="CK895" s="141" t="n">
        <f aca="false">(Inicio!$G$10-DATOS_[[#This Row],[Fecha de Antigüedad]])/365.25</f>
        <v>0</v>
      </c>
      <c r="CL895" s="141" t="e">
        <f aca="false">+VLOOKUP(DATOS_[[#This Row],[Clave de Contrato]],TblTiposContrato13[],3,0)</f>
        <v>#N/A</v>
      </c>
      <c r="CM895" s="141" t="e">
        <f aca="false">+VLOOKUP(DATOS_[[#This Row],[Clave de Contrato]],TblTiposContrato13[],4,0)</f>
        <v>#N/A</v>
      </c>
      <c r="CN895" s="141" t="str">
        <f aca="false">VLOOKUP(DATOS_[[#This Row],[Edad]],CONTRATOS!TblRngEdad,2,1)</f>
        <v>20  o menos</v>
      </c>
      <c r="CO895" s="141" t="str">
        <f aca="false">VLOOKUP(DATOS_[[#This Row],[Antigüedad]],TblRngAntg14[],2,1)</f>
        <v>0 a 1 años</v>
      </c>
    </row>
    <row r="896" customFormat="false" ht="13.8" hidden="false" customHeight="false" outlineLevel="0" collapsed="false">
      <c r="D896" s="128"/>
      <c r="E896" s="129"/>
      <c r="F896" s="129"/>
      <c r="G896" s="129"/>
      <c r="H896" s="130"/>
      <c r="I896" s="131"/>
      <c r="J896" s="128"/>
      <c r="K896" s="132"/>
      <c r="L896" s="132"/>
      <c r="M896" s="133"/>
      <c r="N896" s="133"/>
      <c r="O896" s="133"/>
      <c r="P896" s="129"/>
      <c r="Z896" s="75"/>
      <c r="AA896" s="76"/>
      <c r="AB896" s="76"/>
      <c r="AC896" s="129"/>
      <c r="AD896" s="134"/>
      <c r="AE896" s="134"/>
      <c r="AF896" s="134"/>
      <c r="AG896" s="134"/>
      <c r="AH896" s="134"/>
      <c r="AI896" s="134"/>
      <c r="AJ896" s="134"/>
      <c r="AK896" s="134"/>
      <c r="AL896" s="134"/>
      <c r="AM896" s="134"/>
      <c r="AN896" s="134"/>
      <c r="AO896" s="134"/>
      <c r="AP896" s="134"/>
      <c r="AQ896" s="134"/>
      <c r="AR896" s="134"/>
      <c r="AS896" s="134"/>
      <c r="AT896" s="134"/>
      <c r="AU896" s="134"/>
      <c r="AV896" s="134"/>
      <c r="AW896" s="134"/>
      <c r="AX896" s="134"/>
      <c r="AY896" s="134"/>
      <c r="AZ896" s="134"/>
      <c r="BA896" s="134"/>
      <c r="BB896" s="134"/>
      <c r="BC896" s="134"/>
      <c r="BD896" s="134"/>
      <c r="BE896" s="134"/>
      <c r="BF896" s="134"/>
      <c r="BG896" s="134"/>
      <c r="BH896" s="134"/>
      <c r="BI896" s="134"/>
      <c r="BJ896" s="134"/>
      <c r="BK896" s="134"/>
      <c r="BL896" s="134"/>
      <c r="BM896" s="135"/>
      <c r="BN896" s="136" t="n">
        <f aca="false">+MAX($D$3,DATOS_[[#This Row],[Fecha Inicio Sit. Contract.]])</f>
        <v>0</v>
      </c>
      <c r="BO896" s="136" t="n">
        <f aca="false">+MIN($D$4,DATOS_[[#This Row],[Fecha Fin Sit. Contract.]])</f>
        <v>0</v>
      </c>
      <c r="BP896" s="137" t="n">
        <f aca="false">+DATOS_[[#This Row],[% de jornada]]*IF(DATOS_[[#This Row],[% jornada reducida]]="",1,DATOS_[[#This Row],[% jornada reducida]])</f>
        <v>0</v>
      </c>
      <c r="BQ896" s="137" t="n">
        <f aca="false">+(DATOS_[[#This Row],[F.fin.cal]]-DATOS_[[#This Row],[F.ini.cal]]+1)/($D$4-$D$3+1)</f>
        <v>1</v>
      </c>
      <c r="BR896" s="137" t="str">
        <f aca="false">IF(OR(AND(DATOS_[[#This Row],[Fecha Fin Contrato]]&lt;$D$3,DATOS_[[#This Row],[Fecha Fin Contrato]]&lt;&gt;""),DATOS_[[#This Row],[Fecha de Contratación]]&gt;$D$4),"Fuera","Dentro")</f>
        <v>Dentro</v>
      </c>
      <c r="BS896" s="137" t="str">
        <f aca="false" t="array" ref="BS896:BS896">IF(MAX(IF(DATOS_[id]=DATOS_[[#This Row],[id]],DATOS_[F.fin.cal]))=DATOS_[[#This Row],[F.fin.cal]],"Sí","NO")</f>
        <v>Sí</v>
      </c>
      <c r="BT896" s="137" t="str">
        <f aca="false">IF(AND(DATOS_[[#This Row],[% normaliz]]&lt;&gt;1,DATOS_[[#This Row],[% anualiz]]=1),"Sí","NO")</f>
        <v>Sí</v>
      </c>
      <c r="BU896" s="137" t="str">
        <f aca="false">IF(AND(DATOS_[[#This Row],[% normaliz]]=1,DATOS_[[#This Row],[% anualiz]]&lt;&gt;1),"Sí","NO")</f>
        <v>NO</v>
      </c>
      <c r="BV896" s="137" t="str">
        <f aca="false">IF(AND(DATOS_[[#This Row],[% normaliz]]&lt;&gt;1,DATOS_[[#This Row],[% anualiz]]&lt;&gt;1),"Sí","NO")</f>
        <v>NO</v>
      </c>
      <c r="BW896" s="137" t="str">
        <f aca="false">+IF(DATOS_[[#This Row],[% normaliz]]*DATOS_[[#This Row],[% anualiz]]=1,"NO","Sí")</f>
        <v>Sí</v>
      </c>
      <c r="BX896" s="138" t="e">
        <f aca="false">(DATOS_[[#This Row],[S.BASE]]*(1/DATOS_[[#This Row],[% normaliz]])*(1/DATOS_[[#This Row],[% anualiz]]))*IF(DATOS_[[#This Row],[Check Equiparado]]="Sí",1,0)</f>
        <v>#DIV/0!</v>
      </c>
      <c r="BY8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6" s="138" t="e">
        <f aca="false">+DATOS_[[#This Row],[SALARIO BASE Eq]]+DATOS_[[#This Row],[Tot COMPL.SAL Eq]]</f>
        <v>#DIV/0!</v>
      </c>
      <c r="CA896" s="138" t="e">
        <f aca="false" t="array" ref="CA896:CA8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6" s="138" t="e">
        <f aca="false">+DATOS_[[#This Row],[TOTAL SALARIO Eq]]+DATOS_[[#This Row],[Tot Extrasalarial Eq]]</f>
        <v>#DIV/0!</v>
      </c>
      <c r="CC896" s="139" t="n">
        <f aca="false">DATOS_[[#This Row],[S.BASE]]</f>
        <v>0</v>
      </c>
      <c r="CD896" s="139" t="n">
        <f aca="false">+SUM(DATOS_[[#This Row],[Conc.Sal.01]:[Conc.Sal.30]])</f>
        <v>0</v>
      </c>
      <c r="CE896" s="139" t="n">
        <f aca="false">+DATOS_[[#This Row],[SALARIO BASE Ef]]+DATOS_[[#This Row],[Tot COMPL.SAL Ef]]</f>
        <v>0</v>
      </c>
      <c r="CF896" s="139" t="n">
        <f aca="false">+SUM(DATOS_[[#This Row],[C.Extra.01]:[C.Extra.05]])</f>
        <v>0</v>
      </c>
      <c r="CG896" s="139" t="n">
        <f aca="false">+DATOS_[[#This Row],[TOTAL SALARIO Ef]]+DATOS_[[#This Row],[Tot Extrasalarial Ef]]</f>
        <v>0</v>
      </c>
      <c r="CH896" s="140" t="n">
        <f aca="false">MIN(IF(DATOS_[[#This Row],[Fecha Fin Contrato]]="",$D$4,DATOS_[[#This Row],[Fecha Fin Contrato]]),$D$4)-MAX(DATOS_[[#This Row],[Fecha de Contratación]],$D$3)+1</f>
        <v>1</v>
      </c>
      <c r="CI896" s="141" t="str">
        <f aca="false">IF(COUNTIFS(DATOS_[id],DATOS_[[#This Row],[id]])&gt;1,DATOS_[[#This Row],[id]],"")</f>
        <v/>
      </c>
      <c r="CJ896" s="141" t="n">
        <f aca="false">(Inicio!$G$10-DATOS_[[#This Row],[Fecha Nacimiento]])/365.25</f>
        <v>0</v>
      </c>
      <c r="CK896" s="141" t="n">
        <f aca="false">(Inicio!$G$10-DATOS_[[#This Row],[Fecha de Antigüedad]])/365.25</f>
        <v>0</v>
      </c>
      <c r="CL896" s="141" t="e">
        <f aca="false">+VLOOKUP(DATOS_[[#This Row],[Clave de Contrato]],TblTiposContrato13[],3,0)</f>
        <v>#N/A</v>
      </c>
      <c r="CM896" s="141" t="e">
        <f aca="false">+VLOOKUP(DATOS_[[#This Row],[Clave de Contrato]],TblTiposContrato13[],4,0)</f>
        <v>#N/A</v>
      </c>
      <c r="CN896" s="141" t="str">
        <f aca="false">VLOOKUP(DATOS_[[#This Row],[Edad]],CONTRATOS!TblRngEdad,2,1)</f>
        <v>20  o menos</v>
      </c>
      <c r="CO896" s="141" t="str">
        <f aca="false">VLOOKUP(DATOS_[[#This Row],[Antigüedad]],TblRngAntg14[],2,1)</f>
        <v>0 a 1 años</v>
      </c>
    </row>
    <row r="897" customFormat="false" ht="13.8" hidden="false" customHeight="false" outlineLevel="0" collapsed="false">
      <c r="D897" s="128"/>
      <c r="E897" s="129"/>
      <c r="F897" s="129"/>
      <c r="G897" s="129"/>
      <c r="H897" s="130"/>
      <c r="I897" s="131"/>
      <c r="J897" s="128"/>
      <c r="K897" s="132"/>
      <c r="L897" s="132"/>
      <c r="M897" s="133"/>
      <c r="N897" s="133"/>
      <c r="O897" s="133"/>
      <c r="P897" s="129"/>
      <c r="Z897" s="75"/>
      <c r="AA897" s="76"/>
      <c r="AB897" s="76"/>
      <c r="AC897" s="129"/>
      <c r="AD897" s="134"/>
      <c r="AE897" s="134"/>
      <c r="AF897" s="134"/>
      <c r="AG897" s="134"/>
      <c r="AH897" s="134"/>
      <c r="AI897" s="134"/>
      <c r="AJ897" s="134"/>
      <c r="AK897" s="134"/>
      <c r="AL897" s="134"/>
      <c r="AM897" s="134"/>
      <c r="AN897" s="134"/>
      <c r="AO897" s="134"/>
      <c r="AP897" s="134"/>
      <c r="AQ897" s="134"/>
      <c r="AR897" s="134"/>
      <c r="AS897" s="134"/>
      <c r="AT897" s="134"/>
      <c r="AU897" s="134"/>
      <c r="AV897" s="134"/>
      <c r="AW897" s="134"/>
      <c r="AX897" s="134"/>
      <c r="AY897" s="134"/>
      <c r="AZ897" s="134"/>
      <c r="BA897" s="134"/>
      <c r="BB897" s="134"/>
      <c r="BC897" s="134"/>
      <c r="BD897" s="134"/>
      <c r="BE897" s="134"/>
      <c r="BF897" s="134"/>
      <c r="BG897" s="134"/>
      <c r="BH897" s="134"/>
      <c r="BI897" s="134"/>
      <c r="BJ897" s="134"/>
      <c r="BK897" s="134"/>
      <c r="BL897" s="134"/>
      <c r="BM897" s="135"/>
      <c r="BN897" s="136" t="n">
        <f aca="false">+MAX($D$3,DATOS_[[#This Row],[Fecha Inicio Sit. Contract.]])</f>
        <v>0</v>
      </c>
      <c r="BO897" s="136" t="n">
        <f aca="false">+MIN($D$4,DATOS_[[#This Row],[Fecha Fin Sit. Contract.]])</f>
        <v>0</v>
      </c>
      <c r="BP897" s="137" t="n">
        <f aca="false">+DATOS_[[#This Row],[% de jornada]]*IF(DATOS_[[#This Row],[% jornada reducida]]="",1,DATOS_[[#This Row],[% jornada reducida]])</f>
        <v>0</v>
      </c>
      <c r="BQ897" s="137" t="n">
        <f aca="false">+(DATOS_[[#This Row],[F.fin.cal]]-DATOS_[[#This Row],[F.ini.cal]]+1)/($D$4-$D$3+1)</f>
        <v>1</v>
      </c>
      <c r="BR897" s="137" t="str">
        <f aca="false">IF(OR(AND(DATOS_[[#This Row],[Fecha Fin Contrato]]&lt;$D$3,DATOS_[[#This Row],[Fecha Fin Contrato]]&lt;&gt;""),DATOS_[[#This Row],[Fecha de Contratación]]&gt;$D$4),"Fuera","Dentro")</f>
        <v>Dentro</v>
      </c>
      <c r="BS897" s="137" t="str">
        <f aca="false" t="array" ref="BS897:BS897">IF(MAX(IF(DATOS_[id]=DATOS_[[#This Row],[id]],DATOS_[F.fin.cal]))=DATOS_[[#This Row],[F.fin.cal]],"Sí","NO")</f>
        <v>Sí</v>
      </c>
      <c r="BT897" s="137" t="str">
        <f aca="false">IF(AND(DATOS_[[#This Row],[% normaliz]]&lt;&gt;1,DATOS_[[#This Row],[% anualiz]]=1),"Sí","NO")</f>
        <v>Sí</v>
      </c>
      <c r="BU897" s="137" t="str">
        <f aca="false">IF(AND(DATOS_[[#This Row],[% normaliz]]=1,DATOS_[[#This Row],[% anualiz]]&lt;&gt;1),"Sí","NO")</f>
        <v>NO</v>
      </c>
      <c r="BV897" s="137" t="str">
        <f aca="false">IF(AND(DATOS_[[#This Row],[% normaliz]]&lt;&gt;1,DATOS_[[#This Row],[% anualiz]]&lt;&gt;1),"Sí","NO")</f>
        <v>NO</v>
      </c>
      <c r="BW897" s="137" t="str">
        <f aca="false">+IF(DATOS_[[#This Row],[% normaliz]]*DATOS_[[#This Row],[% anualiz]]=1,"NO","Sí")</f>
        <v>Sí</v>
      </c>
      <c r="BX897" s="138" t="e">
        <f aca="false">(DATOS_[[#This Row],[S.BASE]]*(1/DATOS_[[#This Row],[% normaliz]])*(1/DATOS_[[#This Row],[% anualiz]]))*IF(DATOS_[[#This Row],[Check Equiparado]]="Sí",1,0)</f>
        <v>#DIV/0!</v>
      </c>
      <c r="BY8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7" s="138" t="e">
        <f aca="false">+DATOS_[[#This Row],[SALARIO BASE Eq]]+DATOS_[[#This Row],[Tot COMPL.SAL Eq]]</f>
        <v>#DIV/0!</v>
      </c>
      <c r="CA897" s="138" t="e">
        <f aca="false" t="array" ref="CA897:CA8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7" s="138" t="e">
        <f aca="false">+DATOS_[[#This Row],[TOTAL SALARIO Eq]]+DATOS_[[#This Row],[Tot Extrasalarial Eq]]</f>
        <v>#DIV/0!</v>
      </c>
      <c r="CC897" s="139" t="n">
        <f aca="false">DATOS_[[#This Row],[S.BASE]]</f>
        <v>0</v>
      </c>
      <c r="CD897" s="139" t="n">
        <f aca="false">+SUM(DATOS_[[#This Row],[Conc.Sal.01]:[Conc.Sal.30]])</f>
        <v>0</v>
      </c>
      <c r="CE897" s="139" t="n">
        <f aca="false">+DATOS_[[#This Row],[SALARIO BASE Ef]]+DATOS_[[#This Row],[Tot COMPL.SAL Ef]]</f>
        <v>0</v>
      </c>
      <c r="CF897" s="139" t="n">
        <f aca="false">+SUM(DATOS_[[#This Row],[C.Extra.01]:[C.Extra.05]])</f>
        <v>0</v>
      </c>
      <c r="CG897" s="139" t="n">
        <f aca="false">+DATOS_[[#This Row],[TOTAL SALARIO Ef]]+DATOS_[[#This Row],[Tot Extrasalarial Ef]]</f>
        <v>0</v>
      </c>
      <c r="CH897" s="140" t="n">
        <f aca="false">MIN(IF(DATOS_[[#This Row],[Fecha Fin Contrato]]="",$D$4,DATOS_[[#This Row],[Fecha Fin Contrato]]),$D$4)-MAX(DATOS_[[#This Row],[Fecha de Contratación]],$D$3)+1</f>
        <v>1</v>
      </c>
      <c r="CI897" s="141" t="str">
        <f aca="false">IF(COUNTIFS(DATOS_[id],DATOS_[[#This Row],[id]])&gt;1,DATOS_[[#This Row],[id]],"")</f>
        <v/>
      </c>
      <c r="CJ897" s="141" t="n">
        <f aca="false">(Inicio!$G$10-DATOS_[[#This Row],[Fecha Nacimiento]])/365.25</f>
        <v>0</v>
      </c>
      <c r="CK897" s="141" t="n">
        <f aca="false">(Inicio!$G$10-DATOS_[[#This Row],[Fecha de Antigüedad]])/365.25</f>
        <v>0</v>
      </c>
      <c r="CL897" s="141" t="e">
        <f aca="false">+VLOOKUP(DATOS_[[#This Row],[Clave de Contrato]],TblTiposContrato13[],3,0)</f>
        <v>#N/A</v>
      </c>
      <c r="CM897" s="141" t="e">
        <f aca="false">+VLOOKUP(DATOS_[[#This Row],[Clave de Contrato]],TblTiposContrato13[],4,0)</f>
        <v>#N/A</v>
      </c>
      <c r="CN897" s="141" t="str">
        <f aca="false">VLOOKUP(DATOS_[[#This Row],[Edad]],CONTRATOS!TblRngEdad,2,1)</f>
        <v>20  o menos</v>
      </c>
      <c r="CO897" s="141" t="str">
        <f aca="false">VLOOKUP(DATOS_[[#This Row],[Antigüedad]],TblRngAntg14[],2,1)</f>
        <v>0 a 1 años</v>
      </c>
    </row>
    <row r="898" customFormat="false" ht="13.8" hidden="false" customHeight="false" outlineLevel="0" collapsed="false">
      <c r="D898" s="128"/>
      <c r="E898" s="129"/>
      <c r="F898" s="129"/>
      <c r="G898" s="129"/>
      <c r="H898" s="130"/>
      <c r="I898" s="131"/>
      <c r="J898" s="128"/>
      <c r="K898" s="132"/>
      <c r="L898" s="132"/>
      <c r="M898" s="133"/>
      <c r="N898" s="133"/>
      <c r="O898" s="133"/>
      <c r="P898" s="129"/>
      <c r="Z898" s="75"/>
      <c r="AA898" s="76"/>
      <c r="AB898" s="76"/>
      <c r="AC898" s="129"/>
      <c r="AD898" s="134"/>
      <c r="AE898" s="134"/>
      <c r="AF898" s="134"/>
      <c r="AG898" s="134"/>
      <c r="AH898" s="134"/>
      <c r="AI898" s="134"/>
      <c r="AJ898" s="134"/>
      <c r="AK898" s="134"/>
      <c r="AL898" s="134"/>
      <c r="AM898" s="134"/>
      <c r="AN898" s="134"/>
      <c r="AO898" s="134"/>
      <c r="AP898" s="134"/>
      <c r="AQ898" s="134"/>
      <c r="AR898" s="134"/>
      <c r="AS898" s="134"/>
      <c r="AT898" s="134"/>
      <c r="AU898" s="134"/>
      <c r="AV898" s="134"/>
      <c r="AW898" s="134"/>
      <c r="AX898" s="134"/>
      <c r="AY898" s="134"/>
      <c r="AZ898" s="134"/>
      <c r="BA898" s="134"/>
      <c r="BB898" s="134"/>
      <c r="BC898" s="134"/>
      <c r="BD898" s="134"/>
      <c r="BE898" s="134"/>
      <c r="BF898" s="134"/>
      <c r="BG898" s="134"/>
      <c r="BH898" s="134"/>
      <c r="BI898" s="134"/>
      <c r="BJ898" s="134"/>
      <c r="BK898" s="134"/>
      <c r="BL898" s="134"/>
      <c r="BM898" s="135"/>
      <c r="BN898" s="136" t="n">
        <f aca="false">+MAX($D$3,DATOS_[[#This Row],[Fecha Inicio Sit. Contract.]])</f>
        <v>0</v>
      </c>
      <c r="BO898" s="136" t="n">
        <f aca="false">+MIN($D$4,DATOS_[[#This Row],[Fecha Fin Sit. Contract.]])</f>
        <v>0</v>
      </c>
      <c r="BP898" s="137" t="n">
        <f aca="false">+DATOS_[[#This Row],[% de jornada]]*IF(DATOS_[[#This Row],[% jornada reducida]]="",1,DATOS_[[#This Row],[% jornada reducida]])</f>
        <v>0</v>
      </c>
      <c r="BQ898" s="137" t="n">
        <f aca="false">+(DATOS_[[#This Row],[F.fin.cal]]-DATOS_[[#This Row],[F.ini.cal]]+1)/($D$4-$D$3+1)</f>
        <v>1</v>
      </c>
      <c r="BR898" s="137" t="str">
        <f aca="false">IF(OR(AND(DATOS_[[#This Row],[Fecha Fin Contrato]]&lt;$D$3,DATOS_[[#This Row],[Fecha Fin Contrato]]&lt;&gt;""),DATOS_[[#This Row],[Fecha de Contratación]]&gt;$D$4),"Fuera","Dentro")</f>
        <v>Dentro</v>
      </c>
      <c r="BS898" s="137" t="str">
        <f aca="false" t="array" ref="BS898:BS898">IF(MAX(IF(DATOS_[id]=DATOS_[[#This Row],[id]],DATOS_[F.fin.cal]))=DATOS_[[#This Row],[F.fin.cal]],"Sí","NO")</f>
        <v>Sí</v>
      </c>
      <c r="BT898" s="137" t="str">
        <f aca="false">IF(AND(DATOS_[[#This Row],[% normaliz]]&lt;&gt;1,DATOS_[[#This Row],[% anualiz]]=1),"Sí","NO")</f>
        <v>Sí</v>
      </c>
      <c r="BU898" s="137" t="str">
        <f aca="false">IF(AND(DATOS_[[#This Row],[% normaliz]]=1,DATOS_[[#This Row],[% anualiz]]&lt;&gt;1),"Sí","NO")</f>
        <v>NO</v>
      </c>
      <c r="BV898" s="137" t="str">
        <f aca="false">IF(AND(DATOS_[[#This Row],[% normaliz]]&lt;&gt;1,DATOS_[[#This Row],[% anualiz]]&lt;&gt;1),"Sí","NO")</f>
        <v>NO</v>
      </c>
      <c r="BW898" s="137" t="str">
        <f aca="false">+IF(DATOS_[[#This Row],[% normaliz]]*DATOS_[[#This Row],[% anualiz]]=1,"NO","Sí")</f>
        <v>Sí</v>
      </c>
      <c r="BX898" s="138" t="e">
        <f aca="false">(DATOS_[[#This Row],[S.BASE]]*(1/DATOS_[[#This Row],[% normaliz]])*(1/DATOS_[[#This Row],[% anualiz]]))*IF(DATOS_[[#This Row],[Check Equiparado]]="Sí",1,0)</f>
        <v>#DIV/0!</v>
      </c>
      <c r="BY8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8" s="138" t="e">
        <f aca="false">+DATOS_[[#This Row],[SALARIO BASE Eq]]+DATOS_[[#This Row],[Tot COMPL.SAL Eq]]</f>
        <v>#DIV/0!</v>
      </c>
      <c r="CA898" s="138" t="e">
        <f aca="false" t="array" ref="CA898:CA8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8" s="138" t="e">
        <f aca="false">+DATOS_[[#This Row],[TOTAL SALARIO Eq]]+DATOS_[[#This Row],[Tot Extrasalarial Eq]]</f>
        <v>#DIV/0!</v>
      </c>
      <c r="CC898" s="139" t="n">
        <f aca="false">DATOS_[[#This Row],[S.BASE]]</f>
        <v>0</v>
      </c>
      <c r="CD898" s="139" t="n">
        <f aca="false">+SUM(DATOS_[[#This Row],[Conc.Sal.01]:[Conc.Sal.30]])</f>
        <v>0</v>
      </c>
      <c r="CE898" s="139" t="n">
        <f aca="false">+DATOS_[[#This Row],[SALARIO BASE Ef]]+DATOS_[[#This Row],[Tot COMPL.SAL Ef]]</f>
        <v>0</v>
      </c>
      <c r="CF898" s="139" t="n">
        <f aca="false">+SUM(DATOS_[[#This Row],[C.Extra.01]:[C.Extra.05]])</f>
        <v>0</v>
      </c>
      <c r="CG898" s="139" t="n">
        <f aca="false">+DATOS_[[#This Row],[TOTAL SALARIO Ef]]+DATOS_[[#This Row],[Tot Extrasalarial Ef]]</f>
        <v>0</v>
      </c>
      <c r="CH898" s="140" t="n">
        <f aca="false">MIN(IF(DATOS_[[#This Row],[Fecha Fin Contrato]]="",$D$4,DATOS_[[#This Row],[Fecha Fin Contrato]]),$D$4)-MAX(DATOS_[[#This Row],[Fecha de Contratación]],$D$3)+1</f>
        <v>1</v>
      </c>
      <c r="CI898" s="141" t="str">
        <f aca="false">IF(COUNTIFS(DATOS_[id],DATOS_[[#This Row],[id]])&gt;1,DATOS_[[#This Row],[id]],"")</f>
        <v/>
      </c>
      <c r="CJ898" s="141" t="n">
        <f aca="false">(Inicio!$G$10-DATOS_[[#This Row],[Fecha Nacimiento]])/365.25</f>
        <v>0</v>
      </c>
      <c r="CK898" s="141" t="n">
        <f aca="false">(Inicio!$G$10-DATOS_[[#This Row],[Fecha de Antigüedad]])/365.25</f>
        <v>0</v>
      </c>
      <c r="CL898" s="141" t="e">
        <f aca="false">+VLOOKUP(DATOS_[[#This Row],[Clave de Contrato]],TblTiposContrato13[],3,0)</f>
        <v>#N/A</v>
      </c>
      <c r="CM898" s="141" t="e">
        <f aca="false">+VLOOKUP(DATOS_[[#This Row],[Clave de Contrato]],TblTiposContrato13[],4,0)</f>
        <v>#N/A</v>
      </c>
      <c r="CN898" s="141" t="str">
        <f aca="false">VLOOKUP(DATOS_[[#This Row],[Edad]],CONTRATOS!TblRngEdad,2,1)</f>
        <v>20  o menos</v>
      </c>
      <c r="CO898" s="141" t="str">
        <f aca="false">VLOOKUP(DATOS_[[#This Row],[Antigüedad]],TblRngAntg14[],2,1)</f>
        <v>0 a 1 años</v>
      </c>
    </row>
    <row r="899" customFormat="false" ht="13.8" hidden="false" customHeight="false" outlineLevel="0" collapsed="false">
      <c r="D899" s="128"/>
      <c r="E899" s="129"/>
      <c r="F899" s="129"/>
      <c r="G899" s="129"/>
      <c r="H899" s="130"/>
      <c r="I899" s="131"/>
      <c r="J899" s="128"/>
      <c r="K899" s="132"/>
      <c r="L899" s="132"/>
      <c r="M899" s="133"/>
      <c r="N899" s="133"/>
      <c r="O899" s="133"/>
      <c r="P899" s="129"/>
      <c r="Z899" s="75"/>
      <c r="AA899" s="76"/>
      <c r="AB899" s="76"/>
      <c r="AC899" s="129"/>
      <c r="AD899" s="134"/>
      <c r="AE899" s="134"/>
      <c r="AF899" s="134"/>
      <c r="AG899" s="134"/>
      <c r="AH899" s="134"/>
      <c r="AI899" s="134"/>
      <c r="AJ899" s="134"/>
      <c r="AK899" s="134"/>
      <c r="AL899" s="134"/>
      <c r="AM899" s="134"/>
      <c r="AN899" s="134"/>
      <c r="AO899" s="134"/>
      <c r="AP899" s="134"/>
      <c r="AQ899" s="134"/>
      <c r="AR899" s="134"/>
      <c r="AS899" s="134"/>
      <c r="AT899" s="134"/>
      <c r="AU899" s="134"/>
      <c r="AV899" s="134"/>
      <c r="AW899" s="134"/>
      <c r="AX899" s="134"/>
      <c r="AY899" s="134"/>
      <c r="AZ899" s="134"/>
      <c r="BA899" s="134"/>
      <c r="BB899" s="134"/>
      <c r="BC899" s="134"/>
      <c r="BD899" s="134"/>
      <c r="BE899" s="134"/>
      <c r="BF899" s="134"/>
      <c r="BG899" s="134"/>
      <c r="BH899" s="134"/>
      <c r="BI899" s="134"/>
      <c r="BJ899" s="134"/>
      <c r="BK899" s="134"/>
      <c r="BL899" s="134"/>
      <c r="BM899" s="135"/>
      <c r="BN899" s="136" t="n">
        <f aca="false">+MAX($D$3,DATOS_[[#This Row],[Fecha Inicio Sit. Contract.]])</f>
        <v>0</v>
      </c>
      <c r="BO899" s="136" t="n">
        <f aca="false">+MIN($D$4,DATOS_[[#This Row],[Fecha Fin Sit. Contract.]])</f>
        <v>0</v>
      </c>
      <c r="BP899" s="137" t="n">
        <f aca="false">+DATOS_[[#This Row],[% de jornada]]*IF(DATOS_[[#This Row],[% jornada reducida]]="",1,DATOS_[[#This Row],[% jornada reducida]])</f>
        <v>0</v>
      </c>
      <c r="BQ899" s="137" t="n">
        <f aca="false">+(DATOS_[[#This Row],[F.fin.cal]]-DATOS_[[#This Row],[F.ini.cal]]+1)/($D$4-$D$3+1)</f>
        <v>1</v>
      </c>
      <c r="BR899" s="137" t="str">
        <f aca="false">IF(OR(AND(DATOS_[[#This Row],[Fecha Fin Contrato]]&lt;$D$3,DATOS_[[#This Row],[Fecha Fin Contrato]]&lt;&gt;""),DATOS_[[#This Row],[Fecha de Contratación]]&gt;$D$4),"Fuera","Dentro")</f>
        <v>Dentro</v>
      </c>
      <c r="BS899" s="137" t="str">
        <f aca="false" t="array" ref="BS899:BS899">IF(MAX(IF(DATOS_[id]=DATOS_[[#This Row],[id]],DATOS_[F.fin.cal]))=DATOS_[[#This Row],[F.fin.cal]],"Sí","NO")</f>
        <v>Sí</v>
      </c>
      <c r="BT899" s="137" t="str">
        <f aca="false">IF(AND(DATOS_[[#This Row],[% normaliz]]&lt;&gt;1,DATOS_[[#This Row],[% anualiz]]=1),"Sí","NO")</f>
        <v>Sí</v>
      </c>
      <c r="BU899" s="137" t="str">
        <f aca="false">IF(AND(DATOS_[[#This Row],[% normaliz]]=1,DATOS_[[#This Row],[% anualiz]]&lt;&gt;1),"Sí","NO")</f>
        <v>NO</v>
      </c>
      <c r="BV899" s="137" t="str">
        <f aca="false">IF(AND(DATOS_[[#This Row],[% normaliz]]&lt;&gt;1,DATOS_[[#This Row],[% anualiz]]&lt;&gt;1),"Sí","NO")</f>
        <v>NO</v>
      </c>
      <c r="BW899" s="137" t="str">
        <f aca="false">+IF(DATOS_[[#This Row],[% normaliz]]*DATOS_[[#This Row],[% anualiz]]=1,"NO","Sí")</f>
        <v>Sí</v>
      </c>
      <c r="BX899" s="138" t="e">
        <f aca="false">(DATOS_[[#This Row],[S.BASE]]*(1/DATOS_[[#This Row],[% normaliz]])*(1/DATOS_[[#This Row],[% anualiz]]))*IF(DATOS_[[#This Row],[Check Equiparado]]="Sí",1,0)</f>
        <v>#DIV/0!</v>
      </c>
      <c r="BY8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9" s="138" t="e">
        <f aca="false">+DATOS_[[#This Row],[SALARIO BASE Eq]]+DATOS_[[#This Row],[Tot COMPL.SAL Eq]]</f>
        <v>#DIV/0!</v>
      </c>
      <c r="CA899" s="138" t="e">
        <f aca="false" t="array" ref="CA899:CA8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9" s="138" t="e">
        <f aca="false">+DATOS_[[#This Row],[TOTAL SALARIO Eq]]+DATOS_[[#This Row],[Tot Extrasalarial Eq]]</f>
        <v>#DIV/0!</v>
      </c>
      <c r="CC899" s="139" t="n">
        <f aca="false">DATOS_[[#This Row],[S.BASE]]</f>
        <v>0</v>
      </c>
      <c r="CD899" s="139" t="n">
        <f aca="false">+SUM(DATOS_[[#This Row],[Conc.Sal.01]:[Conc.Sal.30]])</f>
        <v>0</v>
      </c>
      <c r="CE899" s="139" t="n">
        <f aca="false">+DATOS_[[#This Row],[SALARIO BASE Ef]]+DATOS_[[#This Row],[Tot COMPL.SAL Ef]]</f>
        <v>0</v>
      </c>
      <c r="CF899" s="139" t="n">
        <f aca="false">+SUM(DATOS_[[#This Row],[C.Extra.01]:[C.Extra.05]])</f>
        <v>0</v>
      </c>
      <c r="CG899" s="139" t="n">
        <f aca="false">+DATOS_[[#This Row],[TOTAL SALARIO Ef]]+DATOS_[[#This Row],[Tot Extrasalarial Ef]]</f>
        <v>0</v>
      </c>
      <c r="CH899" s="140" t="n">
        <f aca="false">MIN(IF(DATOS_[[#This Row],[Fecha Fin Contrato]]="",$D$4,DATOS_[[#This Row],[Fecha Fin Contrato]]),$D$4)-MAX(DATOS_[[#This Row],[Fecha de Contratación]],$D$3)+1</f>
        <v>1</v>
      </c>
      <c r="CI899" s="141" t="str">
        <f aca="false">IF(COUNTIFS(DATOS_[id],DATOS_[[#This Row],[id]])&gt;1,DATOS_[[#This Row],[id]],"")</f>
        <v/>
      </c>
      <c r="CJ899" s="141" t="n">
        <f aca="false">(Inicio!$G$10-DATOS_[[#This Row],[Fecha Nacimiento]])/365.25</f>
        <v>0</v>
      </c>
      <c r="CK899" s="141" t="n">
        <f aca="false">(Inicio!$G$10-DATOS_[[#This Row],[Fecha de Antigüedad]])/365.25</f>
        <v>0</v>
      </c>
      <c r="CL899" s="141" t="e">
        <f aca="false">+VLOOKUP(DATOS_[[#This Row],[Clave de Contrato]],TblTiposContrato13[],3,0)</f>
        <v>#N/A</v>
      </c>
      <c r="CM899" s="141" t="e">
        <f aca="false">+VLOOKUP(DATOS_[[#This Row],[Clave de Contrato]],TblTiposContrato13[],4,0)</f>
        <v>#N/A</v>
      </c>
      <c r="CN899" s="141" t="str">
        <f aca="false">VLOOKUP(DATOS_[[#This Row],[Edad]],CONTRATOS!TblRngEdad,2,1)</f>
        <v>20  o menos</v>
      </c>
      <c r="CO899" s="141" t="str">
        <f aca="false">VLOOKUP(DATOS_[[#This Row],[Antigüedad]],TblRngAntg14[],2,1)</f>
        <v>0 a 1 años</v>
      </c>
    </row>
    <row r="900" customFormat="false" ht="13.8" hidden="false" customHeight="false" outlineLevel="0" collapsed="false">
      <c r="D900" s="128"/>
      <c r="E900" s="129"/>
      <c r="F900" s="129"/>
      <c r="G900" s="129"/>
      <c r="H900" s="130"/>
      <c r="I900" s="131"/>
      <c r="J900" s="128"/>
      <c r="K900" s="132"/>
      <c r="L900" s="132"/>
      <c r="M900" s="133"/>
      <c r="N900" s="133"/>
      <c r="O900" s="133"/>
      <c r="P900" s="129"/>
      <c r="Z900" s="75"/>
      <c r="AA900" s="76"/>
      <c r="AB900" s="76"/>
      <c r="AC900" s="129"/>
      <c r="AD900" s="134"/>
      <c r="AE900" s="134"/>
      <c r="AF900" s="134"/>
      <c r="AG900" s="134"/>
      <c r="AH900" s="134"/>
      <c r="AI900" s="134"/>
      <c r="AJ900" s="134"/>
      <c r="AK900" s="134"/>
      <c r="AL900" s="134"/>
      <c r="AM900" s="134"/>
      <c r="AN900" s="134"/>
      <c r="AO900" s="134"/>
      <c r="AP900" s="134"/>
      <c r="AQ900" s="134"/>
      <c r="AR900" s="134"/>
      <c r="AS900" s="134"/>
      <c r="AT900" s="134"/>
      <c r="AU900" s="134"/>
      <c r="AV900" s="134"/>
      <c r="AW900" s="134"/>
      <c r="AX900" s="134"/>
      <c r="AY900" s="134"/>
      <c r="AZ900" s="134"/>
      <c r="BA900" s="134"/>
      <c r="BB900" s="134"/>
      <c r="BC900" s="134"/>
      <c r="BD900" s="134"/>
      <c r="BE900" s="134"/>
      <c r="BF900" s="134"/>
      <c r="BG900" s="134"/>
      <c r="BH900" s="134"/>
      <c r="BI900" s="134"/>
      <c r="BJ900" s="134"/>
      <c r="BK900" s="134"/>
      <c r="BL900" s="134"/>
      <c r="BM900" s="135"/>
      <c r="BN900" s="136" t="n">
        <f aca="false">+MAX($D$3,DATOS_[[#This Row],[Fecha Inicio Sit. Contract.]])</f>
        <v>0</v>
      </c>
      <c r="BO900" s="136" t="n">
        <f aca="false">+MIN($D$4,DATOS_[[#This Row],[Fecha Fin Sit. Contract.]])</f>
        <v>0</v>
      </c>
      <c r="BP900" s="137" t="n">
        <f aca="false">+DATOS_[[#This Row],[% de jornada]]*IF(DATOS_[[#This Row],[% jornada reducida]]="",1,DATOS_[[#This Row],[% jornada reducida]])</f>
        <v>0</v>
      </c>
      <c r="BQ900" s="137" t="n">
        <f aca="false">+(DATOS_[[#This Row],[F.fin.cal]]-DATOS_[[#This Row],[F.ini.cal]]+1)/($D$4-$D$3+1)</f>
        <v>1</v>
      </c>
      <c r="BR900" s="137" t="str">
        <f aca="false">IF(OR(AND(DATOS_[[#This Row],[Fecha Fin Contrato]]&lt;$D$3,DATOS_[[#This Row],[Fecha Fin Contrato]]&lt;&gt;""),DATOS_[[#This Row],[Fecha de Contratación]]&gt;$D$4),"Fuera","Dentro")</f>
        <v>Dentro</v>
      </c>
      <c r="BS900" s="137" t="str">
        <f aca="false" t="array" ref="BS900:BS900">IF(MAX(IF(DATOS_[id]=DATOS_[[#This Row],[id]],DATOS_[F.fin.cal]))=DATOS_[[#This Row],[F.fin.cal]],"Sí","NO")</f>
        <v>Sí</v>
      </c>
      <c r="BT900" s="137" t="str">
        <f aca="false">IF(AND(DATOS_[[#This Row],[% normaliz]]&lt;&gt;1,DATOS_[[#This Row],[% anualiz]]=1),"Sí","NO")</f>
        <v>Sí</v>
      </c>
      <c r="BU900" s="137" t="str">
        <f aca="false">IF(AND(DATOS_[[#This Row],[% normaliz]]=1,DATOS_[[#This Row],[% anualiz]]&lt;&gt;1),"Sí","NO")</f>
        <v>NO</v>
      </c>
      <c r="BV900" s="137" t="str">
        <f aca="false">IF(AND(DATOS_[[#This Row],[% normaliz]]&lt;&gt;1,DATOS_[[#This Row],[% anualiz]]&lt;&gt;1),"Sí","NO")</f>
        <v>NO</v>
      </c>
      <c r="BW900" s="137" t="str">
        <f aca="false">+IF(DATOS_[[#This Row],[% normaliz]]*DATOS_[[#This Row],[% anualiz]]=1,"NO","Sí")</f>
        <v>Sí</v>
      </c>
      <c r="BX900" s="138" t="e">
        <f aca="false">(DATOS_[[#This Row],[S.BASE]]*(1/DATOS_[[#This Row],[% normaliz]])*(1/DATOS_[[#This Row],[% anualiz]]))*IF(DATOS_[[#This Row],[Check Equiparado]]="Sí",1,0)</f>
        <v>#DIV/0!</v>
      </c>
      <c r="BY9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0" s="138" t="e">
        <f aca="false">+DATOS_[[#This Row],[SALARIO BASE Eq]]+DATOS_[[#This Row],[Tot COMPL.SAL Eq]]</f>
        <v>#DIV/0!</v>
      </c>
      <c r="CA900" s="138" t="e">
        <f aca="false" t="array" ref="CA900:CA9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0" s="138" t="e">
        <f aca="false">+DATOS_[[#This Row],[TOTAL SALARIO Eq]]+DATOS_[[#This Row],[Tot Extrasalarial Eq]]</f>
        <v>#DIV/0!</v>
      </c>
      <c r="CC900" s="139" t="n">
        <f aca="false">DATOS_[[#This Row],[S.BASE]]</f>
        <v>0</v>
      </c>
      <c r="CD900" s="139" t="n">
        <f aca="false">+SUM(DATOS_[[#This Row],[Conc.Sal.01]:[Conc.Sal.30]])</f>
        <v>0</v>
      </c>
      <c r="CE900" s="139" t="n">
        <f aca="false">+DATOS_[[#This Row],[SALARIO BASE Ef]]+DATOS_[[#This Row],[Tot COMPL.SAL Ef]]</f>
        <v>0</v>
      </c>
      <c r="CF900" s="139" t="n">
        <f aca="false">+SUM(DATOS_[[#This Row],[C.Extra.01]:[C.Extra.05]])</f>
        <v>0</v>
      </c>
      <c r="CG900" s="139" t="n">
        <f aca="false">+DATOS_[[#This Row],[TOTAL SALARIO Ef]]+DATOS_[[#This Row],[Tot Extrasalarial Ef]]</f>
        <v>0</v>
      </c>
      <c r="CH900" s="140" t="n">
        <f aca="false">MIN(IF(DATOS_[[#This Row],[Fecha Fin Contrato]]="",$D$4,DATOS_[[#This Row],[Fecha Fin Contrato]]),$D$4)-MAX(DATOS_[[#This Row],[Fecha de Contratación]],$D$3)+1</f>
        <v>1</v>
      </c>
      <c r="CI900" s="141" t="str">
        <f aca="false">IF(COUNTIFS(DATOS_[id],DATOS_[[#This Row],[id]])&gt;1,DATOS_[[#This Row],[id]],"")</f>
        <v/>
      </c>
      <c r="CJ900" s="141" t="n">
        <f aca="false">(Inicio!$G$10-DATOS_[[#This Row],[Fecha Nacimiento]])/365.25</f>
        <v>0</v>
      </c>
      <c r="CK900" s="141" t="n">
        <f aca="false">(Inicio!$G$10-DATOS_[[#This Row],[Fecha de Antigüedad]])/365.25</f>
        <v>0</v>
      </c>
      <c r="CL900" s="141" t="e">
        <f aca="false">+VLOOKUP(DATOS_[[#This Row],[Clave de Contrato]],TblTiposContrato13[],3,0)</f>
        <v>#N/A</v>
      </c>
      <c r="CM900" s="141" t="e">
        <f aca="false">+VLOOKUP(DATOS_[[#This Row],[Clave de Contrato]],TblTiposContrato13[],4,0)</f>
        <v>#N/A</v>
      </c>
      <c r="CN900" s="141" t="str">
        <f aca="false">VLOOKUP(DATOS_[[#This Row],[Edad]],CONTRATOS!TblRngEdad,2,1)</f>
        <v>20  o menos</v>
      </c>
      <c r="CO900" s="141" t="str">
        <f aca="false">VLOOKUP(DATOS_[[#This Row],[Antigüedad]],TblRngAntg14[],2,1)</f>
        <v>0 a 1 años</v>
      </c>
    </row>
    <row r="901" customFormat="false" ht="13.8" hidden="false" customHeight="false" outlineLevel="0" collapsed="false">
      <c r="D901" s="128"/>
      <c r="E901" s="129"/>
      <c r="F901" s="129"/>
      <c r="G901" s="129"/>
      <c r="H901" s="130"/>
      <c r="I901" s="131"/>
      <c r="J901" s="128"/>
      <c r="K901" s="132"/>
      <c r="L901" s="132"/>
      <c r="M901" s="133"/>
      <c r="N901" s="133"/>
      <c r="O901" s="133"/>
      <c r="P901" s="129"/>
      <c r="Z901" s="75"/>
      <c r="AA901" s="76"/>
      <c r="AB901" s="76"/>
      <c r="AC901" s="129"/>
      <c r="AD901" s="134"/>
      <c r="AE901" s="134"/>
      <c r="AF901" s="134"/>
      <c r="AG901" s="134"/>
      <c r="AH901" s="134"/>
      <c r="AI901" s="134"/>
      <c r="AJ901" s="134"/>
      <c r="AK901" s="134"/>
      <c r="AL901" s="134"/>
      <c r="AM901" s="134"/>
      <c r="AN901" s="134"/>
      <c r="AO901" s="134"/>
      <c r="AP901" s="134"/>
      <c r="AQ901" s="134"/>
      <c r="AR901" s="134"/>
      <c r="AS901" s="134"/>
      <c r="AT901" s="134"/>
      <c r="AU901" s="134"/>
      <c r="AV901" s="134"/>
      <c r="AW901" s="134"/>
      <c r="AX901" s="134"/>
      <c r="AY901" s="134"/>
      <c r="AZ901" s="134"/>
      <c r="BA901" s="134"/>
      <c r="BB901" s="134"/>
      <c r="BC901" s="134"/>
      <c r="BD901" s="134"/>
      <c r="BE901" s="134"/>
      <c r="BF901" s="134"/>
      <c r="BG901" s="134"/>
      <c r="BH901" s="134"/>
      <c r="BI901" s="134"/>
      <c r="BJ901" s="134"/>
      <c r="BK901" s="134"/>
      <c r="BL901" s="134"/>
      <c r="BM901" s="135"/>
      <c r="BN901" s="136" t="n">
        <f aca="false">+MAX($D$3,DATOS_[[#This Row],[Fecha Inicio Sit. Contract.]])</f>
        <v>0</v>
      </c>
      <c r="BO901" s="136" t="n">
        <f aca="false">+MIN($D$4,DATOS_[[#This Row],[Fecha Fin Sit. Contract.]])</f>
        <v>0</v>
      </c>
      <c r="BP901" s="137" t="n">
        <f aca="false">+DATOS_[[#This Row],[% de jornada]]*IF(DATOS_[[#This Row],[% jornada reducida]]="",1,DATOS_[[#This Row],[% jornada reducida]])</f>
        <v>0</v>
      </c>
      <c r="BQ901" s="137" t="n">
        <f aca="false">+(DATOS_[[#This Row],[F.fin.cal]]-DATOS_[[#This Row],[F.ini.cal]]+1)/($D$4-$D$3+1)</f>
        <v>1</v>
      </c>
      <c r="BR901" s="137" t="str">
        <f aca="false">IF(OR(AND(DATOS_[[#This Row],[Fecha Fin Contrato]]&lt;$D$3,DATOS_[[#This Row],[Fecha Fin Contrato]]&lt;&gt;""),DATOS_[[#This Row],[Fecha de Contratación]]&gt;$D$4),"Fuera","Dentro")</f>
        <v>Dentro</v>
      </c>
      <c r="BS901" s="137" t="str">
        <f aca="false" t="array" ref="BS901:BS901">IF(MAX(IF(DATOS_[id]=DATOS_[[#This Row],[id]],DATOS_[F.fin.cal]))=DATOS_[[#This Row],[F.fin.cal]],"Sí","NO")</f>
        <v>Sí</v>
      </c>
      <c r="BT901" s="137" t="str">
        <f aca="false">IF(AND(DATOS_[[#This Row],[% normaliz]]&lt;&gt;1,DATOS_[[#This Row],[% anualiz]]=1),"Sí","NO")</f>
        <v>Sí</v>
      </c>
      <c r="BU901" s="137" t="str">
        <f aca="false">IF(AND(DATOS_[[#This Row],[% normaliz]]=1,DATOS_[[#This Row],[% anualiz]]&lt;&gt;1),"Sí","NO")</f>
        <v>NO</v>
      </c>
      <c r="BV901" s="137" t="str">
        <f aca="false">IF(AND(DATOS_[[#This Row],[% normaliz]]&lt;&gt;1,DATOS_[[#This Row],[% anualiz]]&lt;&gt;1),"Sí","NO")</f>
        <v>NO</v>
      </c>
      <c r="BW901" s="137" t="str">
        <f aca="false">+IF(DATOS_[[#This Row],[% normaliz]]*DATOS_[[#This Row],[% anualiz]]=1,"NO","Sí")</f>
        <v>Sí</v>
      </c>
      <c r="BX901" s="138" t="e">
        <f aca="false">(DATOS_[[#This Row],[S.BASE]]*(1/DATOS_[[#This Row],[% normaliz]])*(1/DATOS_[[#This Row],[% anualiz]]))*IF(DATOS_[[#This Row],[Check Equiparado]]="Sí",1,0)</f>
        <v>#DIV/0!</v>
      </c>
      <c r="BY9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1" s="138" t="e">
        <f aca="false">+DATOS_[[#This Row],[SALARIO BASE Eq]]+DATOS_[[#This Row],[Tot COMPL.SAL Eq]]</f>
        <v>#DIV/0!</v>
      </c>
      <c r="CA901" s="138" t="e">
        <f aca="false" t="array" ref="CA901:CA9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1" s="138" t="e">
        <f aca="false">+DATOS_[[#This Row],[TOTAL SALARIO Eq]]+DATOS_[[#This Row],[Tot Extrasalarial Eq]]</f>
        <v>#DIV/0!</v>
      </c>
      <c r="CC901" s="139" t="n">
        <f aca="false">DATOS_[[#This Row],[S.BASE]]</f>
        <v>0</v>
      </c>
      <c r="CD901" s="139" t="n">
        <f aca="false">+SUM(DATOS_[[#This Row],[Conc.Sal.01]:[Conc.Sal.30]])</f>
        <v>0</v>
      </c>
      <c r="CE901" s="139" t="n">
        <f aca="false">+DATOS_[[#This Row],[SALARIO BASE Ef]]+DATOS_[[#This Row],[Tot COMPL.SAL Ef]]</f>
        <v>0</v>
      </c>
      <c r="CF901" s="139" t="n">
        <f aca="false">+SUM(DATOS_[[#This Row],[C.Extra.01]:[C.Extra.05]])</f>
        <v>0</v>
      </c>
      <c r="CG901" s="139" t="n">
        <f aca="false">+DATOS_[[#This Row],[TOTAL SALARIO Ef]]+DATOS_[[#This Row],[Tot Extrasalarial Ef]]</f>
        <v>0</v>
      </c>
      <c r="CH901" s="140" t="n">
        <f aca="false">MIN(IF(DATOS_[[#This Row],[Fecha Fin Contrato]]="",$D$4,DATOS_[[#This Row],[Fecha Fin Contrato]]),$D$4)-MAX(DATOS_[[#This Row],[Fecha de Contratación]],$D$3)+1</f>
        <v>1</v>
      </c>
      <c r="CI901" s="141" t="str">
        <f aca="false">IF(COUNTIFS(DATOS_[id],DATOS_[[#This Row],[id]])&gt;1,DATOS_[[#This Row],[id]],"")</f>
        <v/>
      </c>
      <c r="CJ901" s="141" t="n">
        <f aca="false">(Inicio!$G$10-DATOS_[[#This Row],[Fecha Nacimiento]])/365.25</f>
        <v>0</v>
      </c>
      <c r="CK901" s="141" t="n">
        <f aca="false">(Inicio!$G$10-DATOS_[[#This Row],[Fecha de Antigüedad]])/365.25</f>
        <v>0</v>
      </c>
      <c r="CL901" s="141" t="e">
        <f aca="false">+VLOOKUP(DATOS_[[#This Row],[Clave de Contrato]],TblTiposContrato13[],3,0)</f>
        <v>#N/A</v>
      </c>
      <c r="CM901" s="141" t="e">
        <f aca="false">+VLOOKUP(DATOS_[[#This Row],[Clave de Contrato]],TblTiposContrato13[],4,0)</f>
        <v>#N/A</v>
      </c>
      <c r="CN901" s="141" t="str">
        <f aca="false">VLOOKUP(DATOS_[[#This Row],[Edad]],CONTRATOS!TblRngEdad,2,1)</f>
        <v>20  o menos</v>
      </c>
      <c r="CO901" s="141" t="str">
        <f aca="false">VLOOKUP(DATOS_[[#This Row],[Antigüedad]],TblRngAntg14[],2,1)</f>
        <v>0 a 1 años</v>
      </c>
    </row>
    <row r="902" customFormat="false" ht="13.8" hidden="false" customHeight="false" outlineLevel="0" collapsed="false">
      <c r="D902" s="128"/>
      <c r="E902" s="129"/>
      <c r="F902" s="129"/>
      <c r="G902" s="129"/>
      <c r="H902" s="130"/>
      <c r="I902" s="131"/>
      <c r="J902" s="128"/>
      <c r="K902" s="132"/>
      <c r="L902" s="132"/>
      <c r="M902" s="133"/>
      <c r="N902" s="133"/>
      <c r="O902" s="133"/>
      <c r="P902" s="129"/>
      <c r="Z902" s="75"/>
      <c r="AA902" s="76"/>
      <c r="AB902" s="76"/>
      <c r="AC902" s="129"/>
      <c r="AD902" s="134"/>
      <c r="AE902" s="134"/>
      <c r="AF902" s="134"/>
      <c r="AG902" s="134"/>
      <c r="AH902" s="134"/>
      <c r="AI902" s="134"/>
      <c r="AJ902" s="134"/>
      <c r="AK902" s="134"/>
      <c r="AL902" s="134"/>
      <c r="AM902" s="134"/>
      <c r="AN902" s="134"/>
      <c r="AO902" s="134"/>
      <c r="AP902" s="134"/>
      <c r="AQ902" s="134"/>
      <c r="AR902" s="134"/>
      <c r="AS902" s="134"/>
      <c r="AT902" s="134"/>
      <c r="AU902" s="134"/>
      <c r="AV902" s="134"/>
      <c r="AW902" s="134"/>
      <c r="AX902" s="134"/>
      <c r="AY902" s="134"/>
      <c r="AZ902" s="134"/>
      <c r="BA902" s="134"/>
      <c r="BB902" s="134"/>
      <c r="BC902" s="134"/>
      <c r="BD902" s="134"/>
      <c r="BE902" s="134"/>
      <c r="BF902" s="134"/>
      <c r="BG902" s="134"/>
      <c r="BH902" s="134"/>
      <c r="BI902" s="134"/>
      <c r="BJ902" s="134"/>
      <c r="BK902" s="134"/>
      <c r="BL902" s="134"/>
      <c r="BM902" s="135"/>
      <c r="BN902" s="136" t="n">
        <f aca="false">+MAX($D$3,DATOS_[[#This Row],[Fecha Inicio Sit. Contract.]])</f>
        <v>0</v>
      </c>
      <c r="BO902" s="136" t="n">
        <f aca="false">+MIN($D$4,DATOS_[[#This Row],[Fecha Fin Sit. Contract.]])</f>
        <v>0</v>
      </c>
      <c r="BP902" s="137" t="n">
        <f aca="false">+DATOS_[[#This Row],[% de jornada]]*IF(DATOS_[[#This Row],[% jornada reducida]]="",1,DATOS_[[#This Row],[% jornada reducida]])</f>
        <v>0</v>
      </c>
      <c r="BQ902" s="137" t="n">
        <f aca="false">+(DATOS_[[#This Row],[F.fin.cal]]-DATOS_[[#This Row],[F.ini.cal]]+1)/($D$4-$D$3+1)</f>
        <v>1</v>
      </c>
      <c r="BR902" s="137" t="str">
        <f aca="false">IF(OR(AND(DATOS_[[#This Row],[Fecha Fin Contrato]]&lt;$D$3,DATOS_[[#This Row],[Fecha Fin Contrato]]&lt;&gt;""),DATOS_[[#This Row],[Fecha de Contratación]]&gt;$D$4),"Fuera","Dentro")</f>
        <v>Dentro</v>
      </c>
      <c r="BS902" s="137" t="str">
        <f aca="false" t="array" ref="BS902:BS902">IF(MAX(IF(DATOS_[id]=DATOS_[[#This Row],[id]],DATOS_[F.fin.cal]))=DATOS_[[#This Row],[F.fin.cal]],"Sí","NO")</f>
        <v>Sí</v>
      </c>
      <c r="BT902" s="137" t="str">
        <f aca="false">IF(AND(DATOS_[[#This Row],[% normaliz]]&lt;&gt;1,DATOS_[[#This Row],[% anualiz]]=1),"Sí","NO")</f>
        <v>Sí</v>
      </c>
      <c r="BU902" s="137" t="str">
        <f aca="false">IF(AND(DATOS_[[#This Row],[% normaliz]]=1,DATOS_[[#This Row],[% anualiz]]&lt;&gt;1),"Sí","NO")</f>
        <v>NO</v>
      </c>
      <c r="BV902" s="137" t="str">
        <f aca="false">IF(AND(DATOS_[[#This Row],[% normaliz]]&lt;&gt;1,DATOS_[[#This Row],[% anualiz]]&lt;&gt;1),"Sí","NO")</f>
        <v>NO</v>
      </c>
      <c r="BW902" s="137" t="str">
        <f aca="false">+IF(DATOS_[[#This Row],[% normaliz]]*DATOS_[[#This Row],[% anualiz]]=1,"NO","Sí")</f>
        <v>Sí</v>
      </c>
      <c r="BX902" s="138" t="e">
        <f aca="false">(DATOS_[[#This Row],[S.BASE]]*(1/DATOS_[[#This Row],[% normaliz]])*(1/DATOS_[[#This Row],[% anualiz]]))*IF(DATOS_[[#This Row],[Check Equiparado]]="Sí",1,0)</f>
        <v>#DIV/0!</v>
      </c>
      <c r="BY9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2" s="138" t="e">
        <f aca="false">+DATOS_[[#This Row],[SALARIO BASE Eq]]+DATOS_[[#This Row],[Tot COMPL.SAL Eq]]</f>
        <v>#DIV/0!</v>
      </c>
      <c r="CA902" s="138" t="e">
        <f aca="false" t="array" ref="CA902:CA9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2" s="138" t="e">
        <f aca="false">+DATOS_[[#This Row],[TOTAL SALARIO Eq]]+DATOS_[[#This Row],[Tot Extrasalarial Eq]]</f>
        <v>#DIV/0!</v>
      </c>
      <c r="CC902" s="139" t="n">
        <f aca="false">DATOS_[[#This Row],[S.BASE]]</f>
        <v>0</v>
      </c>
      <c r="CD902" s="139" t="n">
        <f aca="false">+SUM(DATOS_[[#This Row],[Conc.Sal.01]:[Conc.Sal.30]])</f>
        <v>0</v>
      </c>
      <c r="CE902" s="139" t="n">
        <f aca="false">+DATOS_[[#This Row],[SALARIO BASE Ef]]+DATOS_[[#This Row],[Tot COMPL.SAL Ef]]</f>
        <v>0</v>
      </c>
      <c r="CF902" s="139" t="n">
        <f aca="false">+SUM(DATOS_[[#This Row],[C.Extra.01]:[C.Extra.05]])</f>
        <v>0</v>
      </c>
      <c r="CG902" s="139" t="n">
        <f aca="false">+DATOS_[[#This Row],[TOTAL SALARIO Ef]]+DATOS_[[#This Row],[Tot Extrasalarial Ef]]</f>
        <v>0</v>
      </c>
      <c r="CH902" s="140" t="n">
        <f aca="false">MIN(IF(DATOS_[[#This Row],[Fecha Fin Contrato]]="",$D$4,DATOS_[[#This Row],[Fecha Fin Contrato]]),$D$4)-MAX(DATOS_[[#This Row],[Fecha de Contratación]],$D$3)+1</f>
        <v>1</v>
      </c>
      <c r="CI902" s="141" t="str">
        <f aca="false">IF(COUNTIFS(DATOS_[id],DATOS_[[#This Row],[id]])&gt;1,DATOS_[[#This Row],[id]],"")</f>
        <v/>
      </c>
      <c r="CJ902" s="141" t="n">
        <f aca="false">(Inicio!$G$10-DATOS_[[#This Row],[Fecha Nacimiento]])/365.25</f>
        <v>0</v>
      </c>
      <c r="CK902" s="141" t="n">
        <f aca="false">(Inicio!$G$10-DATOS_[[#This Row],[Fecha de Antigüedad]])/365.25</f>
        <v>0</v>
      </c>
      <c r="CL902" s="141" t="e">
        <f aca="false">+VLOOKUP(DATOS_[[#This Row],[Clave de Contrato]],TblTiposContrato13[],3,0)</f>
        <v>#N/A</v>
      </c>
      <c r="CM902" s="141" t="e">
        <f aca="false">+VLOOKUP(DATOS_[[#This Row],[Clave de Contrato]],TblTiposContrato13[],4,0)</f>
        <v>#N/A</v>
      </c>
      <c r="CN902" s="141" t="str">
        <f aca="false">VLOOKUP(DATOS_[[#This Row],[Edad]],CONTRATOS!TblRngEdad,2,1)</f>
        <v>20  o menos</v>
      </c>
      <c r="CO902" s="141" t="str">
        <f aca="false">VLOOKUP(DATOS_[[#This Row],[Antigüedad]],TblRngAntg14[],2,1)</f>
        <v>0 a 1 años</v>
      </c>
    </row>
    <row r="903" customFormat="false" ht="13.8" hidden="false" customHeight="false" outlineLevel="0" collapsed="false">
      <c r="D903" s="128"/>
      <c r="E903" s="129"/>
      <c r="F903" s="129"/>
      <c r="G903" s="129"/>
      <c r="H903" s="130"/>
      <c r="I903" s="131"/>
      <c r="J903" s="128"/>
      <c r="K903" s="132"/>
      <c r="L903" s="132"/>
      <c r="M903" s="133"/>
      <c r="N903" s="133"/>
      <c r="O903" s="133"/>
      <c r="P903" s="129"/>
      <c r="Z903" s="75"/>
      <c r="AA903" s="76"/>
      <c r="AB903" s="76"/>
      <c r="AC903" s="129"/>
      <c r="AD903" s="134"/>
      <c r="AE903" s="134"/>
      <c r="AF903" s="134"/>
      <c r="AG903" s="134"/>
      <c r="AH903" s="134"/>
      <c r="AI903" s="134"/>
      <c r="AJ903" s="134"/>
      <c r="AK903" s="134"/>
      <c r="AL903" s="134"/>
      <c r="AM903" s="134"/>
      <c r="AN903" s="134"/>
      <c r="AO903" s="134"/>
      <c r="AP903" s="134"/>
      <c r="AQ903" s="134"/>
      <c r="AR903" s="134"/>
      <c r="AS903" s="134"/>
      <c r="AT903" s="134"/>
      <c r="AU903" s="134"/>
      <c r="AV903" s="134"/>
      <c r="AW903" s="134"/>
      <c r="AX903" s="134"/>
      <c r="AY903" s="134"/>
      <c r="AZ903" s="134"/>
      <c r="BA903" s="134"/>
      <c r="BB903" s="134"/>
      <c r="BC903" s="134"/>
      <c r="BD903" s="134"/>
      <c r="BE903" s="134"/>
      <c r="BF903" s="134"/>
      <c r="BG903" s="134"/>
      <c r="BH903" s="134"/>
      <c r="BI903" s="134"/>
      <c r="BJ903" s="134"/>
      <c r="BK903" s="134"/>
      <c r="BL903" s="134"/>
      <c r="BM903" s="135"/>
      <c r="BN903" s="136" t="n">
        <f aca="false">+MAX($D$3,DATOS_[[#This Row],[Fecha Inicio Sit. Contract.]])</f>
        <v>0</v>
      </c>
      <c r="BO903" s="136" t="n">
        <f aca="false">+MIN($D$4,DATOS_[[#This Row],[Fecha Fin Sit. Contract.]])</f>
        <v>0</v>
      </c>
      <c r="BP903" s="137" t="n">
        <f aca="false">+DATOS_[[#This Row],[% de jornada]]*IF(DATOS_[[#This Row],[% jornada reducida]]="",1,DATOS_[[#This Row],[% jornada reducida]])</f>
        <v>0</v>
      </c>
      <c r="BQ903" s="137" t="n">
        <f aca="false">+(DATOS_[[#This Row],[F.fin.cal]]-DATOS_[[#This Row],[F.ini.cal]]+1)/($D$4-$D$3+1)</f>
        <v>1</v>
      </c>
      <c r="BR903" s="137" t="str">
        <f aca="false">IF(OR(AND(DATOS_[[#This Row],[Fecha Fin Contrato]]&lt;$D$3,DATOS_[[#This Row],[Fecha Fin Contrato]]&lt;&gt;""),DATOS_[[#This Row],[Fecha de Contratación]]&gt;$D$4),"Fuera","Dentro")</f>
        <v>Dentro</v>
      </c>
      <c r="BS903" s="137" t="str">
        <f aca="false" t="array" ref="BS903:BS903">IF(MAX(IF(DATOS_[id]=DATOS_[[#This Row],[id]],DATOS_[F.fin.cal]))=DATOS_[[#This Row],[F.fin.cal]],"Sí","NO")</f>
        <v>Sí</v>
      </c>
      <c r="BT903" s="137" t="str">
        <f aca="false">IF(AND(DATOS_[[#This Row],[% normaliz]]&lt;&gt;1,DATOS_[[#This Row],[% anualiz]]=1),"Sí","NO")</f>
        <v>Sí</v>
      </c>
      <c r="BU903" s="137" t="str">
        <f aca="false">IF(AND(DATOS_[[#This Row],[% normaliz]]=1,DATOS_[[#This Row],[% anualiz]]&lt;&gt;1),"Sí","NO")</f>
        <v>NO</v>
      </c>
      <c r="BV903" s="137" t="str">
        <f aca="false">IF(AND(DATOS_[[#This Row],[% normaliz]]&lt;&gt;1,DATOS_[[#This Row],[% anualiz]]&lt;&gt;1),"Sí","NO")</f>
        <v>NO</v>
      </c>
      <c r="BW903" s="137" t="str">
        <f aca="false">+IF(DATOS_[[#This Row],[% normaliz]]*DATOS_[[#This Row],[% anualiz]]=1,"NO","Sí")</f>
        <v>Sí</v>
      </c>
      <c r="BX903" s="138" t="e">
        <f aca="false">(DATOS_[[#This Row],[S.BASE]]*(1/DATOS_[[#This Row],[% normaliz]])*(1/DATOS_[[#This Row],[% anualiz]]))*IF(DATOS_[[#This Row],[Check Equiparado]]="Sí",1,0)</f>
        <v>#DIV/0!</v>
      </c>
      <c r="BY9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3" s="138" t="e">
        <f aca="false">+DATOS_[[#This Row],[SALARIO BASE Eq]]+DATOS_[[#This Row],[Tot COMPL.SAL Eq]]</f>
        <v>#DIV/0!</v>
      </c>
      <c r="CA903" s="138" t="e">
        <f aca="false" t="array" ref="CA903:CA9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3" s="138" t="e">
        <f aca="false">+DATOS_[[#This Row],[TOTAL SALARIO Eq]]+DATOS_[[#This Row],[Tot Extrasalarial Eq]]</f>
        <v>#DIV/0!</v>
      </c>
      <c r="CC903" s="139" t="n">
        <f aca="false">DATOS_[[#This Row],[S.BASE]]</f>
        <v>0</v>
      </c>
      <c r="CD903" s="139" t="n">
        <f aca="false">+SUM(DATOS_[[#This Row],[Conc.Sal.01]:[Conc.Sal.30]])</f>
        <v>0</v>
      </c>
      <c r="CE903" s="139" t="n">
        <f aca="false">+DATOS_[[#This Row],[SALARIO BASE Ef]]+DATOS_[[#This Row],[Tot COMPL.SAL Ef]]</f>
        <v>0</v>
      </c>
      <c r="CF903" s="139" t="n">
        <f aca="false">+SUM(DATOS_[[#This Row],[C.Extra.01]:[C.Extra.05]])</f>
        <v>0</v>
      </c>
      <c r="CG903" s="139" t="n">
        <f aca="false">+DATOS_[[#This Row],[TOTAL SALARIO Ef]]+DATOS_[[#This Row],[Tot Extrasalarial Ef]]</f>
        <v>0</v>
      </c>
      <c r="CH903" s="140" t="n">
        <f aca="false">MIN(IF(DATOS_[[#This Row],[Fecha Fin Contrato]]="",$D$4,DATOS_[[#This Row],[Fecha Fin Contrato]]),$D$4)-MAX(DATOS_[[#This Row],[Fecha de Contratación]],$D$3)+1</f>
        <v>1</v>
      </c>
      <c r="CI903" s="141" t="str">
        <f aca="false">IF(COUNTIFS(DATOS_[id],DATOS_[[#This Row],[id]])&gt;1,DATOS_[[#This Row],[id]],"")</f>
        <v/>
      </c>
      <c r="CJ903" s="141" t="n">
        <f aca="false">(Inicio!$G$10-DATOS_[[#This Row],[Fecha Nacimiento]])/365.25</f>
        <v>0</v>
      </c>
      <c r="CK903" s="141" t="n">
        <f aca="false">(Inicio!$G$10-DATOS_[[#This Row],[Fecha de Antigüedad]])/365.25</f>
        <v>0</v>
      </c>
      <c r="CL903" s="141" t="e">
        <f aca="false">+VLOOKUP(DATOS_[[#This Row],[Clave de Contrato]],TblTiposContrato13[],3,0)</f>
        <v>#N/A</v>
      </c>
      <c r="CM903" s="141" t="e">
        <f aca="false">+VLOOKUP(DATOS_[[#This Row],[Clave de Contrato]],TblTiposContrato13[],4,0)</f>
        <v>#N/A</v>
      </c>
      <c r="CN903" s="141" t="str">
        <f aca="false">VLOOKUP(DATOS_[[#This Row],[Edad]],CONTRATOS!TblRngEdad,2,1)</f>
        <v>20  o menos</v>
      </c>
      <c r="CO903" s="141" t="str">
        <f aca="false">VLOOKUP(DATOS_[[#This Row],[Antigüedad]],TblRngAntg14[],2,1)</f>
        <v>0 a 1 años</v>
      </c>
    </row>
    <row r="904" customFormat="false" ht="13.8" hidden="false" customHeight="false" outlineLevel="0" collapsed="false">
      <c r="D904" s="128"/>
      <c r="E904" s="129"/>
      <c r="F904" s="129"/>
      <c r="G904" s="129"/>
      <c r="H904" s="130"/>
      <c r="I904" s="131"/>
      <c r="J904" s="128"/>
      <c r="K904" s="132"/>
      <c r="L904" s="132"/>
      <c r="M904" s="133"/>
      <c r="N904" s="133"/>
      <c r="O904" s="133"/>
      <c r="P904" s="129"/>
      <c r="Z904" s="75"/>
      <c r="AA904" s="76"/>
      <c r="AB904" s="76"/>
      <c r="AC904" s="129"/>
      <c r="AD904" s="134"/>
      <c r="AE904" s="134"/>
      <c r="AF904" s="134"/>
      <c r="AG904" s="134"/>
      <c r="AH904" s="134"/>
      <c r="AI904" s="134"/>
      <c r="AJ904" s="134"/>
      <c r="AK904" s="134"/>
      <c r="AL904" s="134"/>
      <c r="AM904" s="134"/>
      <c r="AN904" s="134"/>
      <c r="AO904" s="134"/>
      <c r="AP904" s="134"/>
      <c r="AQ904" s="134"/>
      <c r="AR904" s="134"/>
      <c r="AS904" s="134"/>
      <c r="AT904" s="134"/>
      <c r="AU904" s="134"/>
      <c r="AV904" s="134"/>
      <c r="AW904" s="134"/>
      <c r="AX904" s="134"/>
      <c r="AY904" s="134"/>
      <c r="AZ904" s="134"/>
      <c r="BA904" s="134"/>
      <c r="BB904" s="134"/>
      <c r="BC904" s="134"/>
      <c r="BD904" s="134"/>
      <c r="BE904" s="134"/>
      <c r="BF904" s="134"/>
      <c r="BG904" s="134"/>
      <c r="BH904" s="134"/>
      <c r="BI904" s="134"/>
      <c r="BJ904" s="134"/>
      <c r="BK904" s="134"/>
      <c r="BL904" s="134"/>
      <c r="BM904" s="135"/>
      <c r="BN904" s="136" t="n">
        <f aca="false">+MAX($D$3,DATOS_[[#This Row],[Fecha Inicio Sit. Contract.]])</f>
        <v>0</v>
      </c>
      <c r="BO904" s="136" t="n">
        <f aca="false">+MIN($D$4,DATOS_[[#This Row],[Fecha Fin Sit. Contract.]])</f>
        <v>0</v>
      </c>
      <c r="BP904" s="137" t="n">
        <f aca="false">+DATOS_[[#This Row],[% de jornada]]*IF(DATOS_[[#This Row],[% jornada reducida]]="",1,DATOS_[[#This Row],[% jornada reducida]])</f>
        <v>0</v>
      </c>
      <c r="BQ904" s="137" t="n">
        <f aca="false">+(DATOS_[[#This Row],[F.fin.cal]]-DATOS_[[#This Row],[F.ini.cal]]+1)/($D$4-$D$3+1)</f>
        <v>1</v>
      </c>
      <c r="BR904" s="137" t="str">
        <f aca="false">IF(OR(AND(DATOS_[[#This Row],[Fecha Fin Contrato]]&lt;$D$3,DATOS_[[#This Row],[Fecha Fin Contrato]]&lt;&gt;""),DATOS_[[#This Row],[Fecha de Contratación]]&gt;$D$4),"Fuera","Dentro")</f>
        <v>Dentro</v>
      </c>
      <c r="BS904" s="137" t="str">
        <f aca="false" t="array" ref="BS904:BS904">IF(MAX(IF(DATOS_[id]=DATOS_[[#This Row],[id]],DATOS_[F.fin.cal]))=DATOS_[[#This Row],[F.fin.cal]],"Sí","NO")</f>
        <v>Sí</v>
      </c>
      <c r="BT904" s="137" t="str">
        <f aca="false">IF(AND(DATOS_[[#This Row],[% normaliz]]&lt;&gt;1,DATOS_[[#This Row],[% anualiz]]=1),"Sí","NO")</f>
        <v>Sí</v>
      </c>
      <c r="BU904" s="137" t="str">
        <f aca="false">IF(AND(DATOS_[[#This Row],[% normaliz]]=1,DATOS_[[#This Row],[% anualiz]]&lt;&gt;1),"Sí","NO")</f>
        <v>NO</v>
      </c>
      <c r="BV904" s="137" t="str">
        <f aca="false">IF(AND(DATOS_[[#This Row],[% normaliz]]&lt;&gt;1,DATOS_[[#This Row],[% anualiz]]&lt;&gt;1),"Sí","NO")</f>
        <v>NO</v>
      </c>
      <c r="BW904" s="137" t="str">
        <f aca="false">+IF(DATOS_[[#This Row],[% normaliz]]*DATOS_[[#This Row],[% anualiz]]=1,"NO","Sí")</f>
        <v>Sí</v>
      </c>
      <c r="BX904" s="138" t="e">
        <f aca="false">(DATOS_[[#This Row],[S.BASE]]*(1/DATOS_[[#This Row],[% normaliz]])*(1/DATOS_[[#This Row],[% anualiz]]))*IF(DATOS_[[#This Row],[Check Equiparado]]="Sí",1,0)</f>
        <v>#DIV/0!</v>
      </c>
      <c r="BY9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4" s="138" t="e">
        <f aca="false">+DATOS_[[#This Row],[SALARIO BASE Eq]]+DATOS_[[#This Row],[Tot COMPL.SAL Eq]]</f>
        <v>#DIV/0!</v>
      </c>
      <c r="CA904" s="138" t="e">
        <f aca="false" t="array" ref="CA904:CA9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4" s="138" t="e">
        <f aca="false">+DATOS_[[#This Row],[TOTAL SALARIO Eq]]+DATOS_[[#This Row],[Tot Extrasalarial Eq]]</f>
        <v>#DIV/0!</v>
      </c>
      <c r="CC904" s="139" t="n">
        <f aca="false">DATOS_[[#This Row],[S.BASE]]</f>
        <v>0</v>
      </c>
      <c r="CD904" s="139" t="n">
        <f aca="false">+SUM(DATOS_[[#This Row],[Conc.Sal.01]:[Conc.Sal.30]])</f>
        <v>0</v>
      </c>
      <c r="CE904" s="139" t="n">
        <f aca="false">+DATOS_[[#This Row],[SALARIO BASE Ef]]+DATOS_[[#This Row],[Tot COMPL.SAL Ef]]</f>
        <v>0</v>
      </c>
      <c r="CF904" s="139" t="n">
        <f aca="false">+SUM(DATOS_[[#This Row],[C.Extra.01]:[C.Extra.05]])</f>
        <v>0</v>
      </c>
      <c r="CG904" s="139" t="n">
        <f aca="false">+DATOS_[[#This Row],[TOTAL SALARIO Ef]]+DATOS_[[#This Row],[Tot Extrasalarial Ef]]</f>
        <v>0</v>
      </c>
      <c r="CH904" s="140" t="n">
        <f aca="false">MIN(IF(DATOS_[[#This Row],[Fecha Fin Contrato]]="",$D$4,DATOS_[[#This Row],[Fecha Fin Contrato]]),$D$4)-MAX(DATOS_[[#This Row],[Fecha de Contratación]],$D$3)+1</f>
        <v>1</v>
      </c>
      <c r="CI904" s="141" t="str">
        <f aca="false">IF(COUNTIFS(DATOS_[id],DATOS_[[#This Row],[id]])&gt;1,DATOS_[[#This Row],[id]],"")</f>
        <v/>
      </c>
      <c r="CJ904" s="141" t="n">
        <f aca="false">(Inicio!$G$10-DATOS_[[#This Row],[Fecha Nacimiento]])/365.25</f>
        <v>0</v>
      </c>
      <c r="CK904" s="141" t="n">
        <f aca="false">(Inicio!$G$10-DATOS_[[#This Row],[Fecha de Antigüedad]])/365.25</f>
        <v>0</v>
      </c>
      <c r="CL904" s="141" t="e">
        <f aca="false">+VLOOKUP(DATOS_[[#This Row],[Clave de Contrato]],TblTiposContrato13[],3,0)</f>
        <v>#N/A</v>
      </c>
      <c r="CM904" s="141" t="e">
        <f aca="false">+VLOOKUP(DATOS_[[#This Row],[Clave de Contrato]],TblTiposContrato13[],4,0)</f>
        <v>#N/A</v>
      </c>
      <c r="CN904" s="141" t="str">
        <f aca="false">VLOOKUP(DATOS_[[#This Row],[Edad]],CONTRATOS!TblRngEdad,2,1)</f>
        <v>20  o menos</v>
      </c>
      <c r="CO904" s="141" t="str">
        <f aca="false">VLOOKUP(DATOS_[[#This Row],[Antigüedad]],TblRngAntg14[],2,1)</f>
        <v>0 a 1 años</v>
      </c>
    </row>
    <row r="905" customFormat="false" ht="13.8" hidden="false" customHeight="false" outlineLevel="0" collapsed="false">
      <c r="D905" s="128"/>
      <c r="E905" s="129"/>
      <c r="F905" s="129"/>
      <c r="G905" s="129"/>
      <c r="H905" s="130"/>
      <c r="I905" s="131"/>
      <c r="J905" s="128"/>
      <c r="K905" s="132"/>
      <c r="L905" s="132"/>
      <c r="M905" s="133"/>
      <c r="N905" s="133"/>
      <c r="O905" s="133"/>
      <c r="P905" s="129"/>
      <c r="Z905" s="75"/>
      <c r="AA905" s="76"/>
      <c r="AB905" s="76"/>
      <c r="AC905" s="129"/>
      <c r="AD905" s="134"/>
      <c r="AE905" s="134"/>
      <c r="AF905" s="134"/>
      <c r="AG905" s="134"/>
      <c r="AH905" s="134"/>
      <c r="AI905" s="134"/>
      <c r="AJ905" s="134"/>
      <c r="AK905" s="134"/>
      <c r="AL905" s="134"/>
      <c r="AM905" s="134"/>
      <c r="AN905" s="134"/>
      <c r="AO905" s="134"/>
      <c r="AP905" s="134"/>
      <c r="AQ905" s="134"/>
      <c r="AR905" s="134"/>
      <c r="AS905" s="134"/>
      <c r="AT905" s="134"/>
      <c r="AU905" s="134"/>
      <c r="AV905" s="134"/>
      <c r="AW905" s="134"/>
      <c r="AX905" s="134"/>
      <c r="AY905" s="134"/>
      <c r="AZ905" s="134"/>
      <c r="BA905" s="134"/>
      <c r="BB905" s="134"/>
      <c r="BC905" s="134"/>
      <c r="BD905" s="134"/>
      <c r="BE905" s="134"/>
      <c r="BF905" s="134"/>
      <c r="BG905" s="134"/>
      <c r="BH905" s="134"/>
      <c r="BI905" s="134"/>
      <c r="BJ905" s="134"/>
      <c r="BK905" s="134"/>
      <c r="BL905" s="134"/>
      <c r="BM905" s="135"/>
      <c r="BN905" s="136" t="n">
        <f aca="false">+MAX($D$3,DATOS_[[#This Row],[Fecha Inicio Sit. Contract.]])</f>
        <v>0</v>
      </c>
      <c r="BO905" s="136" t="n">
        <f aca="false">+MIN($D$4,DATOS_[[#This Row],[Fecha Fin Sit. Contract.]])</f>
        <v>0</v>
      </c>
      <c r="BP905" s="137" t="n">
        <f aca="false">+DATOS_[[#This Row],[% de jornada]]*IF(DATOS_[[#This Row],[% jornada reducida]]="",1,DATOS_[[#This Row],[% jornada reducida]])</f>
        <v>0</v>
      </c>
      <c r="BQ905" s="137" t="n">
        <f aca="false">+(DATOS_[[#This Row],[F.fin.cal]]-DATOS_[[#This Row],[F.ini.cal]]+1)/($D$4-$D$3+1)</f>
        <v>1</v>
      </c>
      <c r="BR905" s="137" t="str">
        <f aca="false">IF(OR(AND(DATOS_[[#This Row],[Fecha Fin Contrato]]&lt;$D$3,DATOS_[[#This Row],[Fecha Fin Contrato]]&lt;&gt;""),DATOS_[[#This Row],[Fecha de Contratación]]&gt;$D$4),"Fuera","Dentro")</f>
        <v>Dentro</v>
      </c>
      <c r="BS905" s="137" t="str">
        <f aca="false" t="array" ref="BS905:BS905">IF(MAX(IF(DATOS_[id]=DATOS_[[#This Row],[id]],DATOS_[F.fin.cal]))=DATOS_[[#This Row],[F.fin.cal]],"Sí","NO")</f>
        <v>Sí</v>
      </c>
      <c r="BT905" s="137" t="str">
        <f aca="false">IF(AND(DATOS_[[#This Row],[% normaliz]]&lt;&gt;1,DATOS_[[#This Row],[% anualiz]]=1),"Sí","NO")</f>
        <v>Sí</v>
      </c>
      <c r="BU905" s="137" t="str">
        <f aca="false">IF(AND(DATOS_[[#This Row],[% normaliz]]=1,DATOS_[[#This Row],[% anualiz]]&lt;&gt;1),"Sí","NO")</f>
        <v>NO</v>
      </c>
      <c r="BV905" s="137" t="str">
        <f aca="false">IF(AND(DATOS_[[#This Row],[% normaliz]]&lt;&gt;1,DATOS_[[#This Row],[% anualiz]]&lt;&gt;1),"Sí","NO")</f>
        <v>NO</v>
      </c>
      <c r="BW905" s="137" t="str">
        <f aca="false">+IF(DATOS_[[#This Row],[% normaliz]]*DATOS_[[#This Row],[% anualiz]]=1,"NO","Sí")</f>
        <v>Sí</v>
      </c>
      <c r="BX905" s="138" t="e">
        <f aca="false">(DATOS_[[#This Row],[S.BASE]]*(1/DATOS_[[#This Row],[% normaliz]])*(1/DATOS_[[#This Row],[% anualiz]]))*IF(DATOS_[[#This Row],[Check Equiparado]]="Sí",1,0)</f>
        <v>#DIV/0!</v>
      </c>
      <c r="BY9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5" s="138" t="e">
        <f aca="false">+DATOS_[[#This Row],[SALARIO BASE Eq]]+DATOS_[[#This Row],[Tot COMPL.SAL Eq]]</f>
        <v>#DIV/0!</v>
      </c>
      <c r="CA905" s="138" t="e">
        <f aca="false" t="array" ref="CA905:CA9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5" s="138" t="e">
        <f aca="false">+DATOS_[[#This Row],[TOTAL SALARIO Eq]]+DATOS_[[#This Row],[Tot Extrasalarial Eq]]</f>
        <v>#DIV/0!</v>
      </c>
      <c r="CC905" s="139" t="n">
        <f aca="false">DATOS_[[#This Row],[S.BASE]]</f>
        <v>0</v>
      </c>
      <c r="CD905" s="139" t="n">
        <f aca="false">+SUM(DATOS_[[#This Row],[Conc.Sal.01]:[Conc.Sal.30]])</f>
        <v>0</v>
      </c>
      <c r="CE905" s="139" t="n">
        <f aca="false">+DATOS_[[#This Row],[SALARIO BASE Ef]]+DATOS_[[#This Row],[Tot COMPL.SAL Ef]]</f>
        <v>0</v>
      </c>
      <c r="CF905" s="139" t="n">
        <f aca="false">+SUM(DATOS_[[#This Row],[C.Extra.01]:[C.Extra.05]])</f>
        <v>0</v>
      </c>
      <c r="CG905" s="139" t="n">
        <f aca="false">+DATOS_[[#This Row],[TOTAL SALARIO Ef]]+DATOS_[[#This Row],[Tot Extrasalarial Ef]]</f>
        <v>0</v>
      </c>
      <c r="CH905" s="140" t="n">
        <f aca="false">MIN(IF(DATOS_[[#This Row],[Fecha Fin Contrato]]="",$D$4,DATOS_[[#This Row],[Fecha Fin Contrato]]),$D$4)-MAX(DATOS_[[#This Row],[Fecha de Contratación]],$D$3)+1</f>
        <v>1</v>
      </c>
      <c r="CI905" s="141" t="str">
        <f aca="false">IF(COUNTIFS(DATOS_[id],DATOS_[[#This Row],[id]])&gt;1,DATOS_[[#This Row],[id]],"")</f>
        <v/>
      </c>
      <c r="CJ905" s="141" t="n">
        <f aca="false">(Inicio!$G$10-DATOS_[[#This Row],[Fecha Nacimiento]])/365.25</f>
        <v>0</v>
      </c>
      <c r="CK905" s="141" t="n">
        <f aca="false">(Inicio!$G$10-DATOS_[[#This Row],[Fecha de Antigüedad]])/365.25</f>
        <v>0</v>
      </c>
      <c r="CL905" s="141" t="e">
        <f aca="false">+VLOOKUP(DATOS_[[#This Row],[Clave de Contrato]],TblTiposContrato13[],3,0)</f>
        <v>#N/A</v>
      </c>
      <c r="CM905" s="141" t="e">
        <f aca="false">+VLOOKUP(DATOS_[[#This Row],[Clave de Contrato]],TblTiposContrato13[],4,0)</f>
        <v>#N/A</v>
      </c>
      <c r="CN905" s="141" t="str">
        <f aca="false">VLOOKUP(DATOS_[[#This Row],[Edad]],CONTRATOS!TblRngEdad,2,1)</f>
        <v>20  o menos</v>
      </c>
      <c r="CO905" s="141" t="str">
        <f aca="false">VLOOKUP(DATOS_[[#This Row],[Antigüedad]],TblRngAntg14[],2,1)</f>
        <v>0 a 1 años</v>
      </c>
    </row>
    <row r="906" customFormat="false" ht="13.8" hidden="false" customHeight="false" outlineLevel="0" collapsed="false">
      <c r="D906" s="128"/>
      <c r="E906" s="129"/>
      <c r="F906" s="129"/>
      <c r="G906" s="129"/>
      <c r="H906" s="130"/>
      <c r="I906" s="131"/>
      <c r="J906" s="128"/>
      <c r="K906" s="132"/>
      <c r="L906" s="132"/>
      <c r="M906" s="133"/>
      <c r="N906" s="133"/>
      <c r="O906" s="133"/>
      <c r="P906" s="129"/>
      <c r="Z906" s="75"/>
      <c r="AA906" s="76"/>
      <c r="AB906" s="76"/>
      <c r="AC906" s="129"/>
      <c r="AD906" s="134"/>
      <c r="AE906" s="134"/>
      <c r="AF906" s="134"/>
      <c r="AG906" s="134"/>
      <c r="AH906" s="134"/>
      <c r="AI906" s="134"/>
      <c r="AJ906" s="134"/>
      <c r="AK906" s="134"/>
      <c r="AL906" s="134"/>
      <c r="AM906" s="134"/>
      <c r="AN906" s="134"/>
      <c r="AO906" s="134"/>
      <c r="AP906" s="134"/>
      <c r="AQ906" s="134"/>
      <c r="AR906" s="134"/>
      <c r="AS906" s="134"/>
      <c r="AT906" s="134"/>
      <c r="AU906" s="134"/>
      <c r="AV906" s="134"/>
      <c r="AW906" s="134"/>
      <c r="AX906" s="134"/>
      <c r="AY906" s="134"/>
      <c r="AZ906" s="134"/>
      <c r="BA906" s="134"/>
      <c r="BB906" s="134"/>
      <c r="BC906" s="134"/>
      <c r="BD906" s="134"/>
      <c r="BE906" s="134"/>
      <c r="BF906" s="134"/>
      <c r="BG906" s="134"/>
      <c r="BH906" s="134"/>
      <c r="BI906" s="134"/>
      <c r="BJ906" s="134"/>
      <c r="BK906" s="134"/>
      <c r="BL906" s="134"/>
      <c r="BM906" s="135"/>
      <c r="BN906" s="136" t="n">
        <f aca="false">+MAX($D$3,DATOS_[[#This Row],[Fecha Inicio Sit. Contract.]])</f>
        <v>0</v>
      </c>
      <c r="BO906" s="136" t="n">
        <f aca="false">+MIN($D$4,DATOS_[[#This Row],[Fecha Fin Sit. Contract.]])</f>
        <v>0</v>
      </c>
      <c r="BP906" s="137" t="n">
        <f aca="false">+DATOS_[[#This Row],[% de jornada]]*IF(DATOS_[[#This Row],[% jornada reducida]]="",1,DATOS_[[#This Row],[% jornada reducida]])</f>
        <v>0</v>
      </c>
      <c r="BQ906" s="137" t="n">
        <f aca="false">+(DATOS_[[#This Row],[F.fin.cal]]-DATOS_[[#This Row],[F.ini.cal]]+1)/($D$4-$D$3+1)</f>
        <v>1</v>
      </c>
      <c r="BR906" s="137" t="str">
        <f aca="false">IF(OR(AND(DATOS_[[#This Row],[Fecha Fin Contrato]]&lt;$D$3,DATOS_[[#This Row],[Fecha Fin Contrato]]&lt;&gt;""),DATOS_[[#This Row],[Fecha de Contratación]]&gt;$D$4),"Fuera","Dentro")</f>
        <v>Dentro</v>
      </c>
      <c r="BS906" s="137" t="str">
        <f aca="false" t="array" ref="BS906:BS906">IF(MAX(IF(DATOS_[id]=DATOS_[[#This Row],[id]],DATOS_[F.fin.cal]))=DATOS_[[#This Row],[F.fin.cal]],"Sí","NO")</f>
        <v>Sí</v>
      </c>
      <c r="BT906" s="137" t="str">
        <f aca="false">IF(AND(DATOS_[[#This Row],[% normaliz]]&lt;&gt;1,DATOS_[[#This Row],[% anualiz]]=1),"Sí","NO")</f>
        <v>Sí</v>
      </c>
      <c r="BU906" s="137" t="str">
        <f aca="false">IF(AND(DATOS_[[#This Row],[% normaliz]]=1,DATOS_[[#This Row],[% anualiz]]&lt;&gt;1),"Sí","NO")</f>
        <v>NO</v>
      </c>
      <c r="BV906" s="137" t="str">
        <f aca="false">IF(AND(DATOS_[[#This Row],[% normaliz]]&lt;&gt;1,DATOS_[[#This Row],[% anualiz]]&lt;&gt;1),"Sí","NO")</f>
        <v>NO</v>
      </c>
      <c r="BW906" s="137" t="str">
        <f aca="false">+IF(DATOS_[[#This Row],[% normaliz]]*DATOS_[[#This Row],[% anualiz]]=1,"NO","Sí")</f>
        <v>Sí</v>
      </c>
      <c r="BX906" s="138" t="e">
        <f aca="false">(DATOS_[[#This Row],[S.BASE]]*(1/DATOS_[[#This Row],[% normaliz]])*(1/DATOS_[[#This Row],[% anualiz]]))*IF(DATOS_[[#This Row],[Check Equiparado]]="Sí",1,0)</f>
        <v>#DIV/0!</v>
      </c>
      <c r="BY9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6" s="138" t="e">
        <f aca="false">+DATOS_[[#This Row],[SALARIO BASE Eq]]+DATOS_[[#This Row],[Tot COMPL.SAL Eq]]</f>
        <v>#DIV/0!</v>
      </c>
      <c r="CA906" s="138" t="e">
        <f aca="false" t="array" ref="CA906:CA9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6" s="138" t="e">
        <f aca="false">+DATOS_[[#This Row],[TOTAL SALARIO Eq]]+DATOS_[[#This Row],[Tot Extrasalarial Eq]]</f>
        <v>#DIV/0!</v>
      </c>
      <c r="CC906" s="139" t="n">
        <f aca="false">DATOS_[[#This Row],[S.BASE]]</f>
        <v>0</v>
      </c>
      <c r="CD906" s="139" t="n">
        <f aca="false">+SUM(DATOS_[[#This Row],[Conc.Sal.01]:[Conc.Sal.30]])</f>
        <v>0</v>
      </c>
      <c r="CE906" s="139" t="n">
        <f aca="false">+DATOS_[[#This Row],[SALARIO BASE Ef]]+DATOS_[[#This Row],[Tot COMPL.SAL Ef]]</f>
        <v>0</v>
      </c>
      <c r="CF906" s="139" t="n">
        <f aca="false">+SUM(DATOS_[[#This Row],[C.Extra.01]:[C.Extra.05]])</f>
        <v>0</v>
      </c>
      <c r="CG906" s="139" t="n">
        <f aca="false">+DATOS_[[#This Row],[TOTAL SALARIO Ef]]+DATOS_[[#This Row],[Tot Extrasalarial Ef]]</f>
        <v>0</v>
      </c>
      <c r="CH906" s="140" t="n">
        <f aca="false">MIN(IF(DATOS_[[#This Row],[Fecha Fin Contrato]]="",$D$4,DATOS_[[#This Row],[Fecha Fin Contrato]]),$D$4)-MAX(DATOS_[[#This Row],[Fecha de Contratación]],$D$3)+1</f>
        <v>1</v>
      </c>
      <c r="CI906" s="141" t="str">
        <f aca="false">IF(COUNTIFS(DATOS_[id],DATOS_[[#This Row],[id]])&gt;1,DATOS_[[#This Row],[id]],"")</f>
        <v/>
      </c>
      <c r="CJ906" s="141" t="n">
        <f aca="false">(Inicio!$G$10-DATOS_[[#This Row],[Fecha Nacimiento]])/365.25</f>
        <v>0</v>
      </c>
      <c r="CK906" s="141" t="n">
        <f aca="false">(Inicio!$G$10-DATOS_[[#This Row],[Fecha de Antigüedad]])/365.25</f>
        <v>0</v>
      </c>
      <c r="CL906" s="141" t="e">
        <f aca="false">+VLOOKUP(DATOS_[[#This Row],[Clave de Contrato]],TblTiposContrato13[],3,0)</f>
        <v>#N/A</v>
      </c>
      <c r="CM906" s="141" t="e">
        <f aca="false">+VLOOKUP(DATOS_[[#This Row],[Clave de Contrato]],TblTiposContrato13[],4,0)</f>
        <v>#N/A</v>
      </c>
      <c r="CN906" s="141" t="str">
        <f aca="false">VLOOKUP(DATOS_[[#This Row],[Edad]],CONTRATOS!TblRngEdad,2,1)</f>
        <v>20  o menos</v>
      </c>
      <c r="CO906" s="141" t="str">
        <f aca="false">VLOOKUP(DATOS_[[#This Row],[Antigüedad]],TblRngAntg14[],2,1)</f>
        <v>0 a 1 años</v>
      </c>
    </row>
    <row r="907" customFormat="false" ht="13.8" hidden="false" customHeight="false" outlineLevel="0" collapsed="false">
      <c r="D907" s="128"/>
      <c r="E907" s="129"/>
      <c r="F907" s="129"/>
      <c r="G907" s="129"/>
      <c r="H907" s="130"/>
      <c r="I907" s="131"/>
      <c r="J907" s="128"/>
      <c r="K907" s="132"/>
      <c r="L907" s="132"/>
      <c r="M907" s="133"/>
      <c r="N907" s="133"/>
      <c r="O907" s="133"/>
      <c r="P907" s="129"/>
      <c r="Z907" s="75"/>
      <c r="AA907" s="76"/>
      <c r="AB907" s="76"/>
      <c r="AC907" s="129"/>
      <c r="AD907" s="134"/>
      <c r="AE907" s="134"/>
      <c r="AF907" s="134"/>
      <c r="AG907" s="134"/>
      <c r="AH907" s="134"/>
      <c r="AI907" s="134"/>
      <c r="AJ907" s="134"/>
      <c r="AK907" s="134"/>
      <c r="AL907" s="134"/>
      <c r="AM907" s="134"/>
      <c r="AN907" s="134"/>
      <c r="AO907" s="134"/>
      <c r="AP907" s="134"/>
      <c r="AQ907" s="134"/>
      <c r="AR907" s="134"/>
      <c r="AS907" s="134"/>
      <c r="AT907" s="134"/>
      <c r="AU907" s="134"/>
      <c r="AV907" s="134"/>
      <c r="AW907" s="134"/>
      <c r="AX907" s="134"/>
      <c r="AY907" s="134"/>
      <c r="AZ907" s="134"/>
      <c r="BA907" s="134"/>
      <c r="BB907" s="134"/>
      <c r="BC907" s="134"/>
      <c r="BD907" s="134"/>
      <c r="BE907" s="134"/>
      <c r="BF907" s="134"/>
      <c r="BG907" s="134"/>
      <c r="BH907" s="134"/>
      <c r="BI907" s="134"/>
      <c r="BJ907" s="134"/>
      <c r="BK907" s="134"/>
      <c r="BL907" s="134"/>
      <c r="BM907" s="135"/>
      <c r="BN907" s="136" t="n">
        <f aca="false">+MAX($D$3,DATOS_[[#This Row],[Fecha Inicio Sit. Contract.]])</f>
        <v>0</v>
      </c>
      <c r="BO907" s="136" t="n">
        <f aca="false">+MIN($D$4,DATOS_[[#This Row],[Fecha Fin Sit. Contract.]])</f>
        <v>0</v>
      </c>
      <c r="BP907" s="137" t="n">
        <f aca="false">+DATOS_[[#This Row],[% de jornada]]*IF(DATOS_[[#This Row],[% jornada reducida]]="",1,DATOS_[[#This Row],[% jornada reducida]])</f>
        <v>0</v>
      </c>
      <c r="BQ907" s="137" t="n">
        <f aca="false">+(DATOS_[[#This Row],[F.fin.cal]]-DATOS_[[#This Row],[F.ini.cal]]+1)/($D$4-$D$3+1)</f>
        <v>1</v>
      </c>
      <c r="BR907" s="137" t="str">
        <f aca="false">IF(OR(AND(DATOS_[[#This Row],[Fecha Fin Contrato]]&lt;$D$3,DATOS_[[#This Row],[Fecha Fin Contrato]]&lt;&gt;""),DATOS_[[#This Row],[Fecha de Contratación]]&gt;$D$4),"Fuera","Dentro")</f>
        <v>Dentro</v>
      </c>
      <c r="BS907" s="137" t="str">
        <f aca="false" t="array" ref="BS907:BS907">IF(MAX(IF(DATOS_[id]=DATOS_[[#This Row],[id]],DATOS_[F.fin.cal]))=DATOS_[[#This Row],[F.fin.cal]],"Sí","NO")</f>
        <v>Sí</v>
      </c>
      <c r="BT907" s="137" t="str">
        <f aca="false">IF(AND(DATOS_[[#This Row],[% normaliz]]&lt;&gt;1,DATOS_[[#This Row],[% anualiz]]=1),"Sí","NO")</f>
        <v>Sí</v>
      </c>
      <c r="BU907" s="137" t="str">
        <f aca="false">IF(AND(DATOS_[[#This Row],[% normaliz]]=1,DATOS_[[#This Row],[% anualiz]]&lt;&gt;1),"Sí","NO")</f>
        <v>NO</v>
      </c>
      <c r="BV907" s="137" t="str">
        <f aca="false">IF(AND(DATOS_[[#This Row],[% normaliz]]&lt;&gt;1,DATOS_[[#This Row],[% anualiz]]&lt;&gt;1),"Sí","NO")</f>
        <v>NO</v>
      </c>
      <c r="BW907" s="137" t="str">
        <f aca="false">+IF(DATOS_[[#This Row],[% normaliz]]*DATOS_[[#This Row],[% anualiz]]=1,"NO","Sí")</f>
        <v>Sí</v>
      </c>
      <c r="BX907" s="138" t="e">
        <f aca="false">(DATOS_[[#This Row],[S.BASE]]*(1/DATOS_[[#This Row],[% normaliz]])*(1/DATOS_[[#This Row],[% anualiz]]))*IF(DATOS_[[#This Row],[Check Equiparado]]="Sí",1,0)</f>
        <v>#DIV/0!</v>
      </c>
      <c r="BY9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7" s="138" t="e">
        <f aca="false">+DATOS_[[#This Row],[SALARIO BASE Eq]]+DATOS_[[#This Row],[Tot COMPL.SAL Eq]]</f>
        <v>#DIV/0!</v>
      </c>
      <c r="CA907" s="138" t="e">
        <f aca="false" t="array" ref="CA907:CA9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7" s="138" t="e">
        <f aca="false">+DATOS_[[#This Row],[TOTAL SALARIO Eq]]+DATOS_[[#This Row],[Tot Extrasalarial Eq]]</f>
        <v>#DIV/0!</v>
      </c>
      <c r="CC907" s="139" t="n">
        <f aca="false">DATOS_[[#This Row],[S.BASE]]</f>
        <v>0</v>
      </c>
      <c r="CD907" s="139" t="n">
        <f aca="false">+SUM(DATOS_[[#This Row],[Conc.Sal.01]:[Conc.Sal.30]])</f>
        <v>0</v>
      </c>
      <c r="CE907" s="139" t="n">
        <f aca="false">+DATOS_[[#This Row],[SALARIO BASE Ef]]+DATOS_[[#This Row],[Tot COMPL.SAL Ef]]</f>
        <v>0</v>
      </c>
      <c r="CF907" s="139" t="n">
        <f aca="false">+SUM(DATOS_[[#This Row],[C.Extra.01]:[C.Extra.05]])</f>
        <v>0</v>
      </c>
      <c r="CG907" s="139" t="n">
        <f aca="false">+DATOS_[[#This Row],[TOTAL SALARIO Ef]]+DATOS_[[#This Row],[Tot Extrasalarial Ef]]</f>
        <v>0</v>
      </c>
      <c r="CH907" s="140" t="n">
        <f aca="false">MIN(IF(DATOS_[[#This Row],[Fecha Fin Contrato]]="",$D$4,DATOS_[[#This Row],[Fecha Fin Contrato]]),$D$4)-MAX(DATOS_[[#This Row],[Fecha de Contratación]],$D$3)+1</f>
        <v>1</v>
      </c>
      <c r="CI907" s="141" t="str">
        <f aca="false">IF(COUNTIFS(DATOS_[id],DATOS_[[#This Row],[id]])&gt;1,DATOS_[[#This Row],[id]],"")</f>
        <v/>
      </c>
      <c r="CJ907" s="141" t="n">
        <f aca="false">(Inicio!$G$10-DATOS_[[#This Row],[Fecha Nacimiento]])/365.25</f>
        <v>0</v>
      </c>
      <c r="CK907" s="141" t="n">
        <f aca="false">(Inicio!$G$10-DATOS_[[#This Row],[Fecha de Antigüedad]])/365.25</f>
        <v>0</v>
      </c>
      <c r="CL907" s="141" t="e">
        <f aca="false">+VLOOKUP(DATOS_[[#This Row],[Clave de Contrato]],TblTiposContrato13[],3,0)</f>
        <v>#N/A</v>
      </c>
      <c r="CM907" s="141" t="e">
        <f aca="false">+VLOOKUP(DATOS_[[#This Row],[Clave de Contrato]],TblTiposContrato13[],4,0)</f>
        <v>#N/A</v>
      </c>
      <c r="CN907" s="141" t="str">
        <f aca="false">VLOOKUP(DATOS_[[#This Row],[Edad]],CONTRATOS!TblRngEdad,2,1)</f>
        <v>20  o menos</v>
      </c>
      <c r="CO907" s="141" t="str">
        <f aca="false">VLOOKUP(DATOS_[[#This Row],[Antigüedad]],TblRngAntg14[],2,1)</f>
        <v>0 a 1 años</v>
      </c>
    </row>
    <row r="908" customFormat="false" ht="13.8" hidden="false" customHeight="false" outlineLevel="0" collapsed="false">
      <c r="D908" s="128"/>
      <c r="E908" s="129"/>
      <c r="F908" s="129"/>
      <c r="G908" s="129"/>
      <c r="H908" s="130"/>
      <c r="I908" s="131"/>
      <c r="J908" s="128"/>
      <c r="K908" s="132"/>
      <c r="L908" s="132"/>
      <c r="M908" s="133"/>
      <c r="N908" s="133"/>
      <c r="O908" s="133"/>
      <c r="P908" s="129"/>
      <c r="Z908" s="75"/>
      <c r="AA908" s="76"/>
      <c r="AB908" s="76"/>
      <c r="AC908" s="129"/>
      <c r="AD908" s="134"/>
      <c r="AE908" s="134"/>
      <c r="AF908" s="134"/>
      <c r="AG908" s="134"/>
      <c r="AH908" s="134"/>
      <c r="AI908" s="134"/>
      <c r="AJ908" s="134"/>
      <c r="AK908" s="134"/>
      <c r="AL908" s="134"/>
      <c r="AM908" s="134"/>
      <c r="AN908" s="134"/>
      <c r="AO908" s="134"/>
      <c r="AP908" s="134"/>
      <c r="AQ908" s="134"/>
      <c r="AR908" s="134"/>
      <c r="AS908" s="134"/>
      <c r="AT908" s="134"/>
      <c r="AU908" s="134"/>
      <c r="AV908" s="134"/>
      <c r="AW908" s="134"/>
      <c r="AX908" s="134"/>
      <c r="AY908" s="134"/>
      <c r="AZ908" s="134"/>
      <c r="BA908" s="134"/>
      <c r="BB908" s="134"/>
      <c r="BC908" s="134"/>
      <c r="BD908" s="134"/>
      <c r="BE908" s="134"/>
      <c r="BF908" s="134"/>
      <c r="BG908" s="134"/>
      <c r="BH908" s="134"/>
      <c r="BI908" s="134"/>
      <c r="BJ908" s="134"/>
      <c r="BK908" s="134"/>
      <c r="BL908" s="134"/>
      <c r="BM908" s="135"/>
      <c r="BN908" s="136" t="n">
        <f aca="false">+MAX($D$3,DATOS_[[#This Row],[Fecha Inicio Sit. Contract.]])</f>
        <v>0</v>
      </c>
      <c r="BO908" s="136" t="n">
        <f aca="false">+MIN($D$4,DATOS_[[#This Row],[Fecha Fin Sit. Contract.]])</f>
        <v>0</v>
      </c>
      <c r="BP908" s="137" t="n">
        <f aca="false">+DATOS_[[#This Row],[% de jornada]]*IF(DATOS_[[#This Row],[% jornada reducida]]="",1,DATOS_[[#This Row],[% jornada reducida]])</f>
        <v>0</v>
      </c>
      <c r="BQ908" s="137" t="n">
        <f aca="false">+(DATOS_[[#This Row],[F.fin.cal]]-DATOS_[[#This Row],[F.ini.cal]]+1)/($D$4-$D$3+1)</f>
        <v>1</v>
      </c>
      <c r="BR908" s="137" t="str">
        <f aca="false">IF(OR(AND(DATOS_[[#This Row],[Fecha Fin Contrato]]&lt;$D$3,DATOS_[[#This Row],[Fecha Fin Contrato]]&lt;&gt;""),DATOS_[[#This Row],[Fecha de Contratación]]&gt;$D$4),"Fuera","Dentro")</f>
        <v>Dentro</v>
      </c>
      <c r="BS908" s="137" t="str">
        <f aca="false" t="array" ref="BS908:BS908">IF(MAX(IF(DATOS_[id]=DATOS_[[#This Row],[id]],DATOS_[F.fin.cal]))=DATOS_[[#This Row],[F.fin.cal]],"Sí","NO")</f>
        <v>Sí</v>
      </c>
      <c r="BT908" s="137" t="str">
        <f aca="false">IF(AND(DATOS_[[#This Row],[% normaliz]]&lt;&gt;1,DATOS_[[#This Row],[% anualiz]]=1),"Sí","NO")</f>
        <v>Sí</v>
      </c>
      <c r="BU908" s="137" t="str">
        <f aca="false">IF(AND(DATOS_[[#This Row],[% normaliz]]=1,DATOS_[[#This Row],[% anualiz]]&lt;&gt;1),"Sí","NO")</f>
        <v>NO</v>
      </c>
      <c r="BV908" s="137" t="str">
        <f aca="false">IF(AND(DATOS_[[#This Row],[% normaliz]]&lt;&gt;1,DATOS_[[#This Row],[% anualiz]]&lt;&gt;1),"Sí","NO")</f>
        <v>NO</v>
      </c>
      <c r="BW908" s="137" t="str">
        <f aca="false">+IF(DATOS_[[#This Row],[% normaliz]]*DATOS_[[#This Row],[% anualiz]]=1,"NO","Sí")</f>
        <v>Sí</v>
      </c>
      <c r="BX908" s="138" t="e">
        <f aca="false">(DATOS_[[#This Row],[S.BASE]]*(1/DATOS_[[#This Row],[% normaliz]])*(1/DATOS_[[#This Row],[% anualiz]]))*IF(DATOS_[[#This Row],[Check Equiparado]]="Sí",1,0)</f>
        <v>#DIV/0!</v>
      </c>
      <c r="BY9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8" s="138" t="e">
        <f aca="false">+DATOS_[[#This Row],[SALARIO BASE Eq]]+DATOS_[[#This Row],[Tot COMPL.SAL Eq]]</f>
        <v>#DIV/0!</v>
      </c>
      <c r="CA908" s="138" t="e">
        <f aca="false" t="array" ref="CA908:CA9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8" s="138" t="e">
        <f aca="false">+DATOS_[[#This Row],[TOTAL SALARIO Eq]]+DATOS_[[#This Row],[Tot Extrasalarial Eq]]</f>
        <v>#DIV/0!</v>
      </c>
      <c r="CC908" s="139" t="n">
        <f aca="false">DATOS_[[#This Row],[S.BASE]]</f>
        <v>0</v>
      </c>
      <c r="CD908" s="139" t="n">
        <f aca="false">+SUM(DATOS_[[#This Row],[Conc.Sal.01]:[Conc.Sal.30]])</f>
        <v>0</v>
      </c>
      <c r="CE908" s="139" t="n">
        <f aca="false">+DATOS_[[#This Row],[SALARIO BASE Ef]]+DATOS_[[#This Row],[Tot COMPL.SAL Ef]]</f>
        <v>0</v>
      </c>
      <c r="CF908" s="139" t="n">
        <f aca="false">+SUM(DATOS_[[#This Row],[C.Extra.01]:[C.Extra.05]])</f>
        <v>0</v>
      </c>
      <c r="CG908" s="139" t="n">
        <f aca="false">+DATOS_[[#This Row],[TOTAL SALARIO Ef]]+DATOS_[[#This Row],[Tot Extrasalarial Ef]]</f>
        <v>0</v>
      </c>
      <c r="CH908" s="140" t="n">
        <f aca="false">MIN(IF(DATOS_[[#This Row],[Fecha Fin Contrato]]="",$D$4,DATOS_[[#This Row],[Fecha Fin Contrato]]),$D$4)-MAX(DATOS_[[#This Row],[Fecha de Contratación]],$D$3)+1</f>
        <v>1</v>
      </c>
      <c r="CI908" s="141" t="str">
        <f aca="false">IF(COUNTIFS(DATOS_[id],DATOS_[[#This Row],[id]])&gt;1,DATOS_[[#This Row],[id]],"")</f>
        <v/>
      </c>
      <c r="CJ908" s="141" t="n">
        <f aca="false">(Inicio!$G$10-DATOS_[[#This Row],[Fecha Nacimiento]])/365.25</f>
        <v>0</v>
      </c>
      <c r="CK908" s="141" t="n">
        <f aca="false">(Inicio!$G$10-DATOS_[[#This Row],[Fecha de Antigüedad]])/365.25</f>
        <v>0</v>
      </c>
      <c r="CL908" s="141" t="e">
        <f aca="false">+VLOOKUP(DATOS_[[#This Row],[Clave de Contrato]],TblTiposContrato13[],3,0)</f>
        <v>#N/A</v>
      </c>
      <c r="CM908" s="141" t="e">
        <f aca="false">+VLOOKUP(DATOS_[[#This Row],[Clave de Contrato]],TblTiposContrato13[],4,0)</f>
        <v>#N/A</v>
      </c>
      <c r="CN908" s="141" t="str">
        <f aca="false">VLOOKUP(DATOS_[[#This Row],[Edad]],CONTRATOS!TblRngEdad,2,1)</f>
        <v>20  o menos</v>
      </c>
      <c r="CO908" s="141" t="str">
        <f aca="false">VLOOKUP(DATOS_[[#This Row],[Antigüedad]],TblRngAntg14[],2,1)</f>
        <v>0 a 1 años</v>
      </c>
    </row>
    <row r="909" customFormat="false" ht="13.8" hidden="false" customHeight="false" outlineLevel="0" collapsed="false">
      <c r="D909" s="128"/>
      <c r="E909" s="129"/>
      <c r="F909" s="129"/>
      <c r="G909" s="129"/>
      <c r="H909" s="130"/>
      <c r="I909" s="131"/>
      <c r="J909" s="128"/>
      <c r="K909" s="132"/>
      <c r="L909" s="132"/>
      <c r="M909" s="133"/>
      <c r="N909" s="133"/>
      <c r="O909" s="133"/>
      <c r="P909" s="129"/>
      <c r="Z909" s="75"/>
      <c r="AA909" s="76"/>
      <c r="AB909" s="76"/>
      <c r="AC909" s="129"/>
      <c r="AD909" s="134"/>
      <c r="AE909" s="134"/>
      <c r="AF909" s="134"/>
      <c r="AG909" s="134"/>
      <c r="AH909" s="134"/>
      <c r="AI909" s="134"/>
      <c r="AJ909" s="134"/>
      <c r="AK909" s="134"/>
      <c r="AL909" s="134"/>
      <c r="AM909" s="134"/>
      <c r="AN909" s="134"/>
      <c r="AO909" s="134"/>
      <c r="AP909" s="134"/>
      <c r="AQ909" s="134"/>
      <c r="AR909" s="134"/>
      <c r="AS909" s="134"/>
      <c r="AT909" s="134"/>
      <c r="AU909" s="134"/>
      <c r="AV909" s="134"/>
      <c r="AW909" s="134"/>
      <c r="AX909" s="134"/>
      <c r="AY909" s="134"/>
      <c r="AZ909" s="134"/>
      <c r="BA909" s="134"/>
      <c r="BB909" s="134"/>
      <c r="BC909" s="134"/>
      <c r="BD909" s="134"/>
      <c r="BE909" s="134"/>
      <c r="BF909" s="134"/>
      <c r="BG909" s="134"/>
      <c r="BH909" s="134"/>
      <c r="BI909" s="134"/>
      <c r="BJ909" s="134"/>
      <c r="BK909" s="134"/>
      <c r="BL909" s="134"/>
      <c r="BM909" s="135"/>
      <c r="BN909" s="136" t="n">
        <f aca="false">+MAX($D$3,DATOS_[[#This Row],[Fecha Inicio Sit. Contract.]])</f>
        <v>0</v>
      </c>
      <c r="BO909" s="136" t="n">
        <f aca="false">+MIN($D$4,DATOS_[[#This Row],[Fecha Fin Sit. Contract.]])</f>
        <v>0</v>
      </c>
      <c r="BP909" s="137" t="n">
        <f aca="false">+DATOS_[[#This Row],[% de jornada]]*IF(DATOS_[[#This Row],[% jornada reducida]]="",1,DATOS_[[#This Row],[% jornada reducida]])</f>
        <v>0</v>
      </c>
      <c r="BQ909" s="137" t="n">
        <f aca="false">+(DATOS_[[#This Row],[F.fin.cal]]-DATOS_[[#This Row],[F.ini.cal]]+1)/($D$4-$D$3+1)</f>
        <v>1</v>
      </c>
      <c r="BR909" s="137" t="str">
        <f aca="false">IF(OR(AND(DATOS_[[#This Row],[Fecha Fin Contrato]]&lt;$D$3,DATOS_[[#This Row],[Fecha Fin Contrato]]&lt;&gt;""),DATOS_[[#This Row],[Fecha de Contratación]]&gt;$D$4),"Fuera","Dentro")</f>
        <v>Dentro</v>
      </c>
      <c r="BS909" s="137" t="str">
        <f aca="false" t="array" ref="BS909:BS909">IF(MAX(IF(DATOS_[id]=DATOS_[[#This Row],[id]],DATOS_[F.fin.cal]))=DATOS_[[#This Row],[F.fin.cal]],"Sí","NO")</f>
        <v>Sí</v>
      </c>
      <c r="BT909" s="137" t="str">
        <f aca="false">IF(AND(DATOS_[[#This Row],[% normaliz]]&lt;&gt;1,DATOS_[[#This Row],[% anualiz]]=1),"Sí","NO")</f>
        <v>Sí</v>
      </c>
      <c r="BU909" s="137" t="str">
        <f aca="false">IF(AND(DATOS_[[#This Row],[% normaliz]]=1,DATOS_[[#This Row],[% anualiz]]&lt;&gt;1),"Sí","NO")</f>
        <v>NO</v>
      </c>
      <c r="BV909" s="137" t="str">
        <f aca="false">IF(AND(DATOS_[[#This Row],[% normaliz]]&lt;&gt;1,DATOS_[[#This Row],[% anualiz]]&lt;&gt;1),"Sí","NO")</f>
        <v>NO</v>
      </c>
      <c r="BW909" s="137" t="str">
        <f aca="false">+IF(DATOS_[[#This Row],[% normaliz]]*DATOS_[[#This Row],[% anualiz]]=1,"NO","Sí")</f>
        <v>Sí</v>
      </c>
      <c r="BX909" s="138" t="e">
        <f aca="false">(DATOS_[[#This Row],[S.BASE]]*(1/DATOS_[[#This Row],[% normaliz]])*(1/DATOS_[[#This Row],[% anualiz]]))*IF(DATOS_[[#This Row],[Check Equiparado]]="Sí",1,0)</f>
        <v>#DIV/0!</v>
      </c>
      <c r="BY90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9" s="138" t="e">
        <f aca="false">+DATOS_[[#This Row],[SALARIO BASE Eq]]+DATOS_[[#This Row],[Tot COMPL.SAL Eq]]</f>
        <v>#DIV/0!</v>
      </c>
      <c r="CA909" s="138" t="e">
        <f aca="false" t="array" ref="CA909:CA9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9" s="138" t="e">
        <f aca="false">+DATOS_[[#This Row],[TOTAL SALARIO Eq]]+DATOS_[[#This Row],[Tot Extrasalarial Eq]]</f>
        <v>#DIV/0!</v>
      </c>
      <c r="CC909" s="139" t="n">
        <f aca="false">DATOS_[[#This Row],[S.BASE]]</f>
        <v>0</v>
      </c>
      <c r="CD909" s="139" t="n">
        <f aca="false">+SUM(DATOS_[[#This Row],[Conc.Sal.01]:[Conc.Sal.30]])</f>
        <v>0</v>
      </c>
      <c r="CE909" s="139" t="n">
        <f aca="false">+DATOS_[[#This Row],[SALARIO BASE Ef]]+DATOS_[[#This Row],[Tot COMPL.SAL Ef]]</f>
        <v>0</v>
      </c>
      <c r="CF909" s="139" t="n">
        <f aca="false">+SUM(DATOS_[[#This Row],[C.Extra.01]:[C.Extra.05]])</f>
        <v>0</v>
      </c>
      <c r="CG909" s="139" t="n">
        <f aca="false">+DATOS_[[#This Row],[TOTAL SALARIO Ef]]+DATOS_[[#This Row],[Tot Extrasalarial Ef]]</f>
        <v>0</v>
      </c>
      <c r="CH909" s="140" t="n">
        <f aca="false">MIN(IF(DATOS_[[#This Row],[Fecha Fin Contrato]]="",$D$4,DATOS_[[#This Row],[Fecha Fin Contrato]]),$D$4)-MAX(DATOS_[[#This Row],[Fecha de Contratación]],$D$3)+1</f>
        <v>1</v>
      </c>
      <c r="CI909" s="141" t="str">
        <f aca="false">IF(COUNTIFS(DATOS_[id],DATOS_[[#This Row],[id]])&gt;1,DATOS_[[#This Row],[id]],"")</f>
        <v/>
      </c>
      <c r="CJ909" s="141" t="n">
        <f aca="false">(Inicio!$G$10-DATOS_[[#This Row],[Fecha Nacimiento]])/365.25</f>
        <v>0</v>
      </c>
      <c r="CK909" s="141" t="n">
        <f aca="false">(Inicio!$G$10-DATOS_[[#This Row],[Fecha de Antigüedad]])/365.25</f>
        <v>0</v>
      </c>
      <c r="CL909" s="141" t="e">
        <f aca="false">+VLOOKUP(DATOS_[[#This Row],[Clave de Contrato]],TblTiposContrato13[],3,0)</f>
        <v>#N/A</v>
      </c>
      <c r="CM909" s="141" t="e">
        <f aca="false">+VLOOKUP(DATOS_[[#This Row],[Clave de Contrato]],TblTiposContrato13[],4,0)</f>
        <v>#N/A</v>
      </c>
      <c r="CN909" s="141" t="str">
        <f aca="false">VLOOKUP(DATOS_[[#This Row],[Edad]],CONTRATOS!TblRngEdad,2,1)</f>
        <v>20  o menos</v>
      </c>
      <c r="CO909" s="141" t="str">
        <f aca="false">VLOOKUP(DATOS_[[#This Row],[Antigüedad]],TblRngAntg14[],2,1)</f>
        <v>0 a 1 años</v>
      </c>
    </row>
    <row r="910" customFormat="false" ht="13.8" hidden="false" customHeight="false" outlineLevel="0" collapsed="false">
      <c r="D910" s="128"/>
      <c r="E910" s="129"/>
      <c r="F910" s="129"/>
      <c r="G910" s="129"/>
      <c r="H910" s="130"/>
      <c r="I910" s="131"/>
      <c r="J910" s="128"/>
      <c r="K910" s="132"/>
      <c r="L910" s="132"/>
      <c r="M910" s="133"/>
      <c r="N910" s="133"/>
      <c r="O910" s="133"/>
      <c r="P910" s="129"/>
      <c r="Z910" s="75"/>
      <c r="AA910" s="76"/>
      <c r="AB910" s="76"/>
      <c r="AC910" s="129"/>
      <c r="AD910" s="134"/>
      <c r="AE910" s="134"/>
      <c r="AF910" s="134"/>
      <c r="AG910" s="134"/>
      <c r="AH910" s="134"/>
      <c r="AI910" s="134"/>
      <c r="AJ910" s="134"/>
      <c r="AK910" s="134"/>
      <c r="AL910" s="134"/>
      <c r="AM910" s="134"/>
      <c r="AN910" s="134"/>
      <c r="AO910" s="134"/>
      <c r="AP910" s="134"/>
      <c r="AQ910" s="134"/>
      <c r="AR910" s="134"/>
      <c r="AS910" s="134"/>
      <c r="AT910" s="134"/>
      <c r="AU910" s="134"/>
      <c r="AV910" s="134"/>
      <c r="AW910" s="134"/>
      <c r="AX910" s="134"/>
      <c r="AY910" s="134"/>
      <c r="AZ910" s="134"/>
      <c r="BA910" s="134"/>
      <c r="BB910" s="134"/>
      <c r="BC910" s="134"/>
      <c r="BD910" s="134"/>
      <c r="BE910" s="134"/>
      <c r="BF910" s="134"/>
      <c r="BG910" s="134"/>
      <c r="BH910" s="134"/>
      <c r="BI910" s="134"/>
      <c r="BJ910" s="134"/>
      <c r="BK910" s="134"/>
      <c r="BL910" s="134"/>
      <c r="BM910" s="135"/>
      <c r="BN910" s="136" t="n">
        <f aca="false">+MAX($D$3,DATOS_[[#This Row],[Fecha Inicio Sit. Contract.]])</f>
        <v>0</v>
      </c>
      <c r="BO910" s="136" t="n">
        <f aca="false">+MIN($D$4,DATOS_[[#This Row],[Fecha Fin Sit. Contract.]])</f>
        <v>0</v>
      </c>
      <c r="BP910" s="137" t="n">
        <f aca="false">+DATOS_[[#This Row],[% de jornada]]*IF(DATOS_[[#This Row],[% jornada reducida]]="",1,DATOS_[[#This Row],[% jornada reducida]])</f>
        <v>0</v>
      </c>
      <c r="BQ910" s="137" t="n">
        <f aca="false">+(DATOS_[[#This Row],[F.fin.cal]]-DATOS_[[#This Row],[F.ini.cal]]+1)/($D$4-$D$3+1)</f>
        <v>1</v>
      </c>
      <c r="BR910" s="137" t="str">
        <f aca="false">IF(OR(AND(DATOS_[[#This Row],[Fecha Fin Contrato]]&lt;$D$3,DATOS_[[#This Row],[Fecha Fin Contrato]]&lt;&gt;""),DATOS_[[#This Row],[Fecha de Contratación]]&gt;$D$4),"Fuera","Dentro")</f>
        <v>Dentro</v>
      </c>
      <c r="BS910" s="137" t="str">
        <f aca="false" t="array" ref="BS910:BS910">IF(MAX(IF(DATOS_[id]=DATOS_[[#This Row],[id]],DATOS_[F.fin.cal]))=DATOS_[[#This Row],[F.fin.cal]],"Sí","NO")</f>
        <v>Sí</v>
      </c>
      <c r="BT910" s="137" t="str">
        <f aca="false">IF(AND(DATOS_[[#This Row],[% normaliz]]&lt;&gt;1,DATOS_[[#This Row],[% anualiz]]=1),"Sí","NO")</f>
        <v>Sí</v>
      </c>
      <c r="BU910" s="137" t="str">
        <f aca="false">IF(AND(DATOS_[[#This Row],[% normaliz]]=1,DATOS_[[#This Row],[% anualiz]]&lt;&gt;1),"Sí","NO")</f>
        <v>NO</v>
      </c>
      <c r="BV910" s="137" t="str">
        <f aca="false">IF(AND(DATOS_[[#This Row],[% normaliz]]&lt;&gt;1,DATOS_[[#This Row],[% anualiz]]&lt;&gt;1),"Sí","NO")</f>
        <v>NO</v>
      </c>
      <c r="BW910" s="137" t="str">
        <f aca="false">+IF(DATOS_[[#This Row],[% normaliz]]*DATOS_[[#This Row],[% anualiz]]=1,"NO","Sí")</f>
        <v>Sí</v>
      </c>
      <c r="BX910" s="138" t="e">
        <f aca="false">(DATOS_[[#This Row],[S.BASE]]*(1/DATOS_[[#This Row],[% normaliz]])*(1/DATOS_[[#This Row],[% anualiz]]))*IF(DATOS_[[#This Row],[Check Equiparado]]="Sí",1,0)</f>
        <v>#DIV/0!</v>
      </c>
      <c r="BY91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0" s="138" t="e">
        <f aca="false">+DATOS_[[#This Row],[SALARIO BASE Eq]]+DATOS_[[#This Row],[Tot COMPL.SAL Eq]]</f>
        <v>#DIV/0!</v>
      </c>
      <c r="CA910" s="138" t="e">
        <f aca="false" t="array" ref="CA910:CA9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0" s="138" t="e">
        <f aca="false">+DATOS_[[#This Row],[TOTAL SALARIO Eq]]+DATOS_[[#This Row],[Tot Extrasalarial Eq]]</f>
        <v>#DIV/0!</v>
      </c>
      <c r="CC910" s="139" t="n">
        <f aca="false">DATOS_[[#This Row],[S.BASE]]</f>
        <v>0</v>
      </c>
      <c r="CD910" s="139" t="n">
        <f aca="false">+SUM(DATOS_[[#This Row],[Conc.Sal.01]:[Conc.Sal.30]])</f>
        <v>0</v>
      </c>
      <c r="CE910" s="139" t="n">
        <f aca="false">+DATOS_[[#This Row],[SALARIO BASE Ef]]+DATOS_[[#This Row],[Tot COMPL.SAL Ef]]</f>
        <v>0</v>
      </c>
      <c r="CF910" s="139" t="n">
        <f aca="false">+SUM(DATOS_[[#This Row],[C.Extra.01]:[C.Extra.05]])</f>
        <v>0</v>
      </c>
      <c r="CG910" s="139" t="n">
        <f aca="false">+DATOS_[[#This Row],[TOTAL SALARIO Ef]]+DATOS_[[#This Row],[Tot Extrasalarial Ef]]</f>
        <v>0</v>
      </c>
      <c r="CH910" s="140" t="n">
        <f aca="false">MIN(IF(DATOS_[[#This Row],[Fecha Fin Contrato]]="",$D$4,DATOS_[[#This Row],[Fecha Fin Contrato]]),$D$4)-MAX(DATOS_[[#This Row],[Fecha de Contratación]],$D$3)+1</f>
        <v>1</v>
      </c>
      <c r="CI910" s="141" t="str">
        <f aca="false">IF(COUNTIFS(DATOS_[id],DATOS_[[#This Row],[id]])&gt;1,DATOS_[[#This Row],[id]],"")</f>
        <v/>
      </c>
      <c r="CJ910" s="141" t="n">
        <f aca="false">(Inicio!$G$10-DATOS_[[#This Row],[Fecha Nacimiento]])/365.25</f>
        <v>0</v>
      </c>
      <c r="CK910" s="141" t="n">
        <f aca="false">(Inicio!$G$10-DATOS_[[#This Row],[Fecha de Antigüedad]])/365.25</f>
        <v>0</v>
      </c>
      <c r="CL910" s="141" t="e">
        <f aca="false">+VLOOKUP(DATOS_[[#This Row],[Clave de Contrato]],TblTiposContrato13[],3,0)</f>
        <v>#N/A</v>
      </c>
      <c r="CM910" s="141" t="e">
        <f aca="false">+VLOOKUP(DATOS_[[#This Row],[Clave de Contrato]],TblTiposContrato13[],4,0)</f>
        <v>#N/A</v>
      </c>
      <c r="CN910" s="141" t="str">
        <f aca="false">VLOOKUP(DATOS_[[#This Row],[Edad]],CONTRATOS!TblRngEdad,2,1)</f>
        <v>20  o menos</v>
      </c>
      <c r="CO910" s="141" t="str">
        <f aca="false">VLOOKUP(DATOS_[[#This Row],[Antigüedad]],TblRngAntg14[],2,1)</f>
        <v>0 a 1 años</v>
      </c>
    </row>
    <row r="911" customFormat="false" ht="13.8" hidden="false" customHeight="false" outlineLevel="0" collapsed="false">
      <c r="D911" s="128"/>
      <c r="E911" s="129"/>
      <c r="F911" s="129"/>
      <c r="G911" s="129"/>
      <c r="H911" s="130"/>
      <c r="I911" s="131"/>
      <c r="J911" s="128"/>
      <c r="K911" s="132"/>
      <c r="L911" s="132"/>
      <c r="M911" s="133"/>
      <c r="N911" s="133"/>
      <c r="O911" s="133"/>
      <c r="P911" s="129"/>
      <c r="Z911" s="75"/>
      <c r="AA911" s="76"/>
      <c r="AB911" s="76"/>
      <c r="AC911" s="129"/>
      <c r="AD911" s="134"/>
      <c r="AE911" s="134"/>
      <c r="AF911" s="134"/>
      <c r="AG911" s="134"/>
      <c r="AH911" s="134"/>
      <c r="AI911" s="134"/>
      <c r="AJ911" s="134"/>
      <c r="AK911" s="134"/>
      <c r="AL911" s="134"/>
      <c r="AM911" s="134"/>
      <c r="AN911" s="134"/>
      <c r="AO911" s="134"/>
      <c r="AP911" s="134"/>
      <c r="AQ911" s="134"/>
      <c r="AR911" s="134"/>
      <c r="AS911" s="134"/>
      <c r="AT911" s="134"/>
      <c r="AU911" s="134"/>
      <c r="AV911" s="134"/>
      <c r="AW911" s="134"/>
      <c r="AX911" s="134"/>
      <c r="AY911" s="134"/>
      <c r="AZ911" s="134"/>
      <c r="BA911" s="134"/>
      <c r="BB911" s="134"/>
      <c r="BC911" s="134"/>
      <c r="BD911" s="134"/>
      <c r="BE911" s="134"/>
      <c r="BF911" s="134"/>
      <c r="BG911" s="134"/>
      <c r="BH911" s="134"/>
      <c r="BI911" s="134"/>
      <c r="BJ911" s="134"/>
      <c r="BK911" s="134"/>
      <c r="BL911" s="134"/>
      <c r="BM911" s="135"/>
      <c r="BN911" s="136" t="n">
        <f aca="false">+MAX($D$3,DATOS_[[#This Row],[Fecha Inicio Sit. Contract.]])</f>
        <v>0</v>
      </c>
      <c r="BO911" s="136" t="n">
        <f aca="false">+MIN($D$4,DATOS_[[#This Row],[Fecha Fin Sit. Contract.]])</f>
        <v>0</v>
      </c>
      <c r="BP911" s="137" t="n">
        <f aca="false">+DATOS_[[#This Row],[% de jornada]]*IF(DATOS_[[#This Row],[% jornada reducida]]="",1,DATOS_[[#This Row],[% jornada reducida]])</f>
        <v>0</v>
      </c>
      <c r="BQ911" s="137" t="n">
        <f aca="false">+(DATOS_[[#This Row],[F.fin.cal]]-DATOS_[[#This Row],[F.ini.cal]]+1)/($D$4-$D$3+1)</f>
        <v>1</v>
      </c>
      <c r="BR911" s="137" t="str">
        <f aca="false">IF(OR(AND(DATOS_[[#This Row],[Fecha Fin Contrato]]&lt;$D$3,DATOS_[[#This Row],[Fecha Fin Contrato]]&lt;&gt;""),DATOS_[[#This Row],[Fecha de Contratación]]&gt;$D$4),"Fuera","Dentro")</f>
        <v>Dentro</v>
      </c>
      <c r="BS911" s="137" t="str">
        <f aca="false" t="array" ref="BS911:BS911">IF(MAX(IF(DATOS_[id]=DATOS_[[#This Row],[id]],DATOS_[F.fin.cal]))=DATOS_[[#This Row],[F.fin.cal]],"Sí","NO")</f>
        <v>Sí</v>
      </c>
      <c r="BT911" s="137" t="str">
        <f aca="false">IF(AND(DATOS_[[#This Row],[% normaliz]]&lt;&gt;1,DATOS_[[#This Row],[% anualiz]]=1),"Sí","NO")</f>
        <v>Sí</v>
      </c>
      <c r="BU911" s="137" t="str">
        <f aca="false">IF(AND(DATOS_[[#This Row],[% normaliz]]=1,DATOS_[[#This Row],[% anualiz]]&lt;&gt;1),"Sí","NO")</f>
        <v>NO</v>
      </c>
      <c r="BV911" s="137" t="str">
        <f aca="false">IF(AND(DATOS_[[#This Row],[% normaliz]]&lt;&gt;1,DATOS_[[#This Row],[% anualiz]]&lt;&gt;1),"Sí","NO")</f>
        <v>NO</v>
      </c>
      <c r="BW911" s="137" t="str">
        <f aca="false">+IF(DATOS_[[#This Row],[% normaliz]]*DATOS_[[#This Row],[% anualiz]]=1,"NO","Sí")</f>
        <v>Sí</v>
      </c>
      <c r="BX911" s="138" t="e">
        <f aca="false">(DATOS_[[#This Row],[S.BASE]]*(1/DATOS_[[#This Row],[% normaliz]])*(1/DATOS_[[#This Row],[% anualiz]]))*IF(DATOS_[[#This Row],[Check Equiparado]]="Sí",1,0)</f>
        <v>#DIV/0!</v>
      </c>
      <c r="BY91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1" s="138" t="e">
        <f aca="false">+DATOS_[[#This Row],[SALARIO BASE Eq]]+DATOS_[[#This Row],[Tot COMPL.SAL Eq]]</f>
        <v>#DIV/0!</v>
      </c>
      <c r="CA911" s="138" t="e">
        <f aca="false" t="array" ref="CA911:CA9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1" s="138" t="e">
        <f aca="false">+DATOS_[[#This Row],[TOTAL SALARIO Eq]]+DATOS_[[#This Row],[Tot Extrasalarial Eq]]</f>
        <v>#DIV/0!</v>
      </c>
      <c r="CC911" s="139" t="n">
        <f aca="false">DATOS_[[#This Row],[S.BASE]]</f>
        <v>0</v>
      </c>
      <c r="CD911" s="139" t="n">
        <f aca="false">+SUM(DATOS_[[#This Row],[Conc.Sal.01]:[Conc.Sal.30]])</f>
        <v>0</v>
      </c>
      <c r="CE911" s="139" t="n">
        <f aca="false">+DATOS_[[#This Row],[SALARIO BASE Ef]]+DATOS_[[#This Row],[Tot COMPL.SAL Ef]]</f>
        <v>0</v>
      </c>
      <c r="CF911" s="139" t="n">
        <f aca="false">+SUM(DATOS_[[#This Row],[C.Extra.01]:[C.Extra.05]])</f>
        <v>0</v>
      </c>
      <c r="CG911" s="139" t="n">
        <f aca="false">+DATOS_[[#This Row],[TOTAL SALARIO Ef]]+DATOS_[[#This Row],[Tot Extrasalarial Ef]]</f>
        <v>0</v>
      </c>
      <c r="CH911" s="140" t="n">
        <f aca="false">MIN(IF(DATOS_[[#This Row],[Fecha Fin Contrato]]="",$D$4,DATOS_[[#This Row],[Fecha Fin Contrato]]),$D$4)-MAX(DATOS_[[#This Row],[Fecha de Contratación]],$D$3)+1</f>
        <v>1</v>
      </c>
      <c r="CI911" s="141" t="str">
        <f aca="false">IF(COUNTIFS(DATOS_[id],DATOS_[[#This Row],[id]])&gt;1,DATOS_[[#This Row],[id]],"")</f>
        <v/>
      </c>
      <c r="CJ911" s="141" t="n">
        <f aca="false">(Inicio!$G$10-DATOS_[[#This Row],[Fecha Nacimiento]])/365.25</f>
        <v>0</v>
      </c>
      <c r="CK911" s="141" t="n">
        <f aca="false">(Inicio!$G$10-DATOS_[[#This Row],[Fecha de Antigüedad]])/365.25</f>
        <v>0</v>
      </c>
      <c r="CL911" s="141" t="e">
        <f aca="false">+VLOOKUP(DATOS_[[#This Row],[Clave de Contrato]],TblTiposContrato13[],3,0)</f>
        <v>#N/A</v>
      </c>
      <c r="CM911" s="141" t="e">
        <f aca="false">+VLOOKUP(DATOS_[[#This Row],[Clave de Contrato]],TblTiposContrato13[],4,0)</f>
        <v>#N/A</v>
      </c>
      <c r="CN911" s="141" t="str">
        <f aca="false">VLOOKUP(DATOS_[[#This Row],[Edad]],CONTRATOS!TblRngEdad,2,1)</f>
        <v>20  o menos</v>
      </c>
      <c r="CO911" s="141" t="str">
        <f aca="false">VLOOKUP(DATOS_[[#This Row],[Antigüedad]],TblRngAntg14[],2,1)</f>
        <v>0 a 1 años</v>
      </c>
    </row>
    <row r="912" customFormat="false" ht="13.8" hidden="false" customHeight="false" outlineLevel="0" collapsed="false">
      <c r="D912" s="128"/>
      <c r="E912" s="129"/>
      <c r="F912" s="129"/>
      <c r="G912" s="129"/>
      <c r="H912" s="130"/>
      <c r="I912" s="131"/>
      <c r="J912" s="128"/>
      <c r="K912" s="132"/>
      <c r="L912" s="132"/>
      <c r="M912" s="133"/>
      <c r="N912" s="133"/>
      <c r="O912" s="133"/>
      <c r="P912" s="129"/>
      <c r="Z912" s="75"/>
      <c r="AA912" s="76"/>
      <c r="AB912" s="76"/>
      <c r="AC912" s="129"/>
      <c r="AD912" s="134"/>
      <c r="AE912" s="134"/>
      <c r="AF912" s="134"/>
      <c r="AG912" s="134"/>
      <c r="AH912" s="134"/>
      <c r="AI912" s="134"/>
      <c r="AJ912" s="134"/>
      <c r="AK912" s="134"/>
      <c r="AL912" s="134"/>
      <c r="AM912" s="134"/>
      <c r="AN912" s="134"/>
      <c r="AO912" s="134"/>
      <c r="AP912" s="134"/>
      <c r="AQ912" s="134"/>
      <c r="AR912" s="134"/>
      <c r="AS912" s="134"/>
      <c r="AT912" s="134"/>
      <c r="AU912" s="134"/>
      <c r="AV912" s="134"/>
      <c r="AW912" s="134"/>
      <c r="AX912" s="134"/>
      <c r="AY912" s="134"/>
      <c r="AZ912" s="134"/>
      <c r="BA912" s="134"/>
      <c r="BB912" s="134"/>
      <c r="BC912" s="134"/>
      <c r="BD912" s="134"/>
      <c r="BE912" s="134"/>
      <c r="BF912" s="134"/>
      <c r="BG912" s="134"/>
      <c r="BH912" s="134"/>
      <c r="BI912" s="134"/>
      <c r="BJ912" s="134"/>
      <c r="BK912" s="134"/>
      <c r="BL912" s="134"/>
      <c r="BM912" s="135"/>
      <c r="BN912" s="136" t="n">
        <f aca="false">+MAX($D$3,DATOS_[[#This Row],[Fecha Inicio Sit. Contract.]])</f>
        <v>0</v>
      </c>
      <c r="BO912" s="136" t="n">
        <f aca="false">+MIN($D$4,DATOS_[[#This Row],[Fecha Fin Sit. Contract.]])</f>
        <v>0</v>
      </c>
      <c r="BP912" s="137" t="n">
        <f aca="false">+DATOS_[[#This Row],[% de jornada]]*IF(DATOS_[[#This Row],[% jornada reducida]]="",1,DATOS_[[#This Row],[% jornada reducida]])</f>
        <v>0</v>
      </c>
      <c r="BQ912" s="137" t="n">
        <f aca="false">+(DATOS_[[#This Row],[F.fin.cal]]-DATOS_[[#This Row],[F.ini.cal]]+1)/($D$4-$D$3+1)</f>
        <v>1</v>
      </c>
      <c r="BR912" s="137" t="str">
        <f aca="false">IF(OR(AND(DATOS_[[#This Row],[Fecha Fin Contrato]]&lt;$D$3,DATOS_[[#This Row],[Fecha Fin Contrato]]&lt;&gt;""),DATOS_[[#This Row],[Fecha de Contratación]]&gt;$D$4),"Fuera","Dentro")</f>
        <v>Dentro</v>
      </c>
      <c r="BS912" s="137" t="str">
        <f aca="false" t="array" ref="BS912:BS912">IF(MAX(IF(DATOS_[id]=DATOS_[[#This Row],[id]],DATOS_[F.fin.cal]))=DATOS_[[#This Row],[F.fin.cal]],"Sí","NO")</f>
        <v>Sí</v>
      </c>
      <c r="BT912" s="137" t="str">
        <f aca="false">IF(AND(DATOS_[[#This Row],[% normaliz]]&lt;&gt;1,DATOS_[[#This Row],[% anualiz]]=1),"Sí","NO")</f>
        <v>Sí</v>
      </c>
      <c r="BU912" s="137" t="str">
        <f aca="false">IF(AND(DATOS_[[#This Row],[% normaliz]]=1,DATOS_[[#This Row],[% anualiz]]&lt;&gt;1),"Sí","NO")</f>
        <v>NO</v>
      </c>
      <c r="BV912" s="137" t="str">
        <f aca="false">IF(AND(DATOS_[[#This Row],[% normaliz]]&lt;&gt;1,DATOS_[[#This Row],[% anualiz]]&lt;&gt;1),"Sí","NO")</f>
        <v>NO</v>
      </c>
      <c r="BW912" s="137" t="str">
        <f aca="false">+IF(DATOS_[[#This Row],[% normaliz]]*DATOS_[[#This Row],[% anualiz]]=1,"NO","Sí")</f>
        <v>Sí</v>
      </c>
      <c r="BX912" s="138" t="e">
        <f aca="false">(DATOS_[[#This Row],[S.BASE]]*(1/DATOS_[[#This Row],[% normaliz]])*(1/DATOS_[[#This Row],[% anualiz]]))*IF(DATOS_[[#This Row],[Check Equiparado]]="Sí",1,0)</f>
        <v>#DIV/0!</v>
      </c>
      <c r="BY91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2" s="138" t="e">
        <f aca="false">+DATOS_[[#This Row],[SALARIO BASE Eq]]+DATOS_[[#This Row],[Tot COMPL.SAL Eq]]</f>
        <v>#DIV/0!</v>
      </c>
      <c r="CA912" s="138" t="e">
        <f aca="false" t="array" ref="CA912:CA9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2" s="138" t="e">
        <f aca="false">+DATOS_[[#This Row],[TOTAL SALARIO Eq]]+DATOS_[[#This Row],[Tot Extrasalarial Eq]]</f>
        <v>#DIV/0!</v>
      </c>
      <c r="CC912" s="139" t="n">
        <f aca="false">DATOS_[[#This Row],[S.BASE]]</f>
        <v>0</v>
      </c>
      <c r="CD912" s="139" t="n">
        <f aca="false">+SUM(DATOS_[[#This Row],[Conc.Sal.01]:[Conc.Sal.30]])</f>
        <v>0</v>
      </c>
      <c r="CE912" s="139" t="n">
        <f aca="false">+DATOS_[[#This Row],[SALARIO BASE Ef]]+DATOS_[[#This Row],[Tot COMPL.SAL Ef]]</f>
        <v>0</v>
      </c>
      <c r="CF912" s="139" t="n">
        <f aca="false">+SUM(DATOS_[[#This Row],[C.Extra.01]:[C.Extra.05]])</f>
        <v>0</v>
      </c>
      <c r="CG912" s="139" t="n">
        <f aca="false">+DATOS_[[#This Row],[TOTAL SALARIO Ef]]+DATOS_[[#This Row],[Tot Extrasalarial Ef]]</f>
        <v>0</v>
      </c>
      <c r="CH912" s="140" t="n">
        <f aca="false">MIN(IF(DATOS_[[#This Row],[Fecha Fin Contrato]]="",$D$4,DATOS_[[#This Row],[Fecha Fin Contrato]]),$D$4)-MAX(DATOS_[[#This Row],[Fecha de Contratación]],$D$3)+1</f>
        <v>1</v>
      </c>
      <c r="CI912" s="141" t="str">
        <f aca="false">IF(COUNTIFS(DATOS_[id],DATOS_[[#This Row],[id]])&gt;1,DATOS_[[#This Row],[id]],"")</f>
        <v/>
      </c>
      <c r="CJ912" s="141" t="n">
        <f aca="false">(Inicio!$G$10-DATOS_[[#This Row],[Fecha Nacimiento]])/365.25</f>
        <v>0</v>
      </c>
      <c r="CK912" s="141" t="n">
        <f aca="false">(Inicio!$G$10-DATOS_[[#This Row],[Fecha de Antigüedad]])/365.25</f>
        <v>0</v>
      </c>
      <c r="CL912" s="141" t="e">
        <f aca="false">+VLOOKUP(DATOS_[[#This Row],[Clave de Contrato]],TblTiposContrato13[],3,0)</f>
        <v>#N/A</v>
      </c>
      <c r="CM912" s="141" t="e">
        <f aca="false">+VLOOKUP(DATOS_[[#This Row],[Clave de Contrato]],TblTiposContrato13[],4,0)</f>
        <v>#N/A</v>
      </c>
      <c r="CN912" s="141" t="str">
        <f aca="false">VLOOKUP(DATOS_[[#This Row],[Edad]],CONTRATOS!TblRngEdad,2,1)</f>
        <v>20  o menos</v>
      </c>
      <c r="CO912" s="141" t="str">
        <f aca="false">VLOOKUP(DATOS_[[#This Row],[Antigüedad]],TblRngAntg14[],2,1)</f>
        <v>0 a 1 años</v>
      </c>
    </row>
    <row r="913" customFormat="false" ht="13.8" hidden="false" customHeight="false" outlineLevel="0" collapsed="false">
      <c r="D913" s="128"/>
      <c r="E913" s="129"/>
      <c r="F913" s="129"/>
      <c r="G913" s="129"/>
      <c r="H913" s="130"/>
      <c r="I913" s="131"/>
      <c r="J913" s="128"/>
      <c r="K913" s="132"/>
      <c r="L913" s="132"/>
      <c r="M913" s="133"/>
      <c r="N913" s="133"/>
      <c r="O913" s="133"/>
      <c r="P913" s="129"/>
      <c r="Z913" s="75"/>
      <c r="AA913" s="76"/>
      <c r="AB913" s="76"/>
      <c r="AC913" s="129"/>
      <c r="AD913" s="134"/>
      <c r="AE913" s="134"/>
      <c r="AF913" s="134"/>
      <c r="AG913" s="134"/>
      <c r="AH913" s="134"/>
      <c r="AI913" s="134"/>
      <c r="AJ913" s="134"/>
      <c r="AK913" s="134"/>
      <c r="AL913" s="134"/>
      <c r="AM913" s="134"/>
      <c r="AN913" s="134"/>
      <c r="AO913" s="134"/>
      <c r="AP913" s="134"/>
      <c r="AQ913" s="134"/>
      <c r="AR913" s="134"/>
      <c r="AS913" s="134"/>
      <c r="AT913" s="134"/>
      <c r="AU913" s="134"/>
      <c r="AV913" s="134"/>
      <c r="AW913" s="134"/>
      <c r="AX913" s="134"/>
      <c r="AY913" s="134"/>
      <c r="AZ913" s="134"/>
      <c r="BA913" s="134"/>
      <c r="BB913" s="134"/>
      <c r="BC913" s="134"/>
      <c r="BD913" s="134"/>
      <c r="BE913" s="134"/>
      <c r="BF913" s="134"/>
      <c r="BG913" s="134"/>
      <c r="BH913" s="134"/>
      <c r="BI913" s="134"/>
      <c r="BJ913" s="134"/>
      <c r="BK913" s="134"/>
      <c r="BL913" s="134"/>
      <c r="BM913" s="135"/>
      <c r="BN913" s="136" t="n">
        <f aca="false">+MAX($D$3,DATOS_[[#This Row],[Fecha Inicio Sit. Contract.]])</f>
        <v>0</v>
      </c>
      <c r="BO913" s="136" t="n">
        <f aca="false">+MIN($D$4,DATOS_[[#This Row],[Fecha Fin Sit. Contract.]])</f>
        <v>0</v>
      </c>
      <c r="BP913" s="137" t="n">
        <f aca="false">+DATOS_[[#This Row],[% de jornada]]*IF(DATOS_[[#This Row],[% jornada reducida]]="",1,DATOS_[[#This Row],[% jornada reducida]])</f>
        <v>0</v>
      </c>
      <c r="BQ913" s="137" t="n">
        <f aca="false">+(DATOS_[[#This Row],[F.fin.cal]]-DATOS_[[#This Row],[F.ini.cal]]+1)/($D$4-$D$3+1)</f>
        <v>1</v>
      </c>
      <c r="BR913" s="137" t="str">
        <f aca="false">IF(OR(AND(DATOS_[[#This Row],[Fecha Fin Contrato]]&lt;$D$3,DATOS_[[#This Row],[Fecha Fin Contrato]]&lt;&gt;""),DATOS_[[#This Row],[Fecha de Contratación]]&gt;$D$4),"Fuera","Dentro")</f>
        <v>Dentro</v>
      </c>
      <c r="BS913" s="137" t="str">
        <f aca="false" t="array" ref="BS913:BS913">IF(MAX(IF(DATOS_[id]=DATOS_[[#This Row],[id]],DATOS_[F.fin.cal]))=DATOS_[[#This Row],[F.fin.cal]],"Sí","NO")</f>
        <v>Sí</v>
      </c>
      <c r="BT913" s="137" t="str">
        <f aca="false">IF(AND(DATOS_[[#This Row],[% normaliz]]&lt;&gt;1,DATOS_[[#This Row],[% anualiz]]=1),"Sí","NO")</f>
        <v>Sí</v>
      </c>
      <c r="BU913" s="137" t="str">
        <f aca="false">IF(AND(DATOS_[[#This Row],[% normaliz]]=1,DATOS_[[#This Row],[% anualiz]]&lt;&gt;1),"Sí","NO")</f>
        <v>NO</v>
      </c>
      <c r="BV913" s="137" t="str">
        <f aca="false">IF(AND(DATOS_[[#This Row],[% normaliz]]&lt;&gt;1,DATOS_[[#This Row],[% anualiz]]&lt;&gt;1),"Sí","NO")</f>
        <v>NO</v>
      </c>
      <c r="BW913" s="137" t="str">
        <f aca="false">+IF(DATOS_[[#This Row],[% normaliz]]*DATOS_[[#This Row],[% anualiz]]=1,"NO","Sí")</f>
        <v>Sí</v>
      </c>
      <c r="BX913" s="138" t="e">
        <f aca="false">(DATOS_[[#This Row],[S.BASE]]*(1/DATOS_[[#This Row],[% normaliz]])*(1/DATOS_[[#This Row],[% anualiz]]))*IF(DATOS_[[#This Row],[Check Equiparado]]="Sí",1,0)</f>
        <v>#DIV/0!</v>
      </c>
      <c r="BY91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3" s="138" t="e">
        <f aca="false">+DATOS_[[#This Row],[SALARIO BASE Eq]]+DATOS_[[#This Row],[Tot COMPL.SAL Eq]]</f>
        <v>#DIV/0!</v>
      </c>
      <c r="CA913" s="138" t="e">
        <f aca="false" t="array" ref="CA913:CA9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3" s="138" t="e">
        <f aca="false">+DATOS_[[#This Row],[TOTAL SALARIO Eq]]+DATOS_[[#This Row],[Tot Extrasalarial Eq]]</f>
        <v>#DIV/0!</v>
      </c>
      <c r="CC913" s="139" t="n">
        <f aca="false">DATOS_[[#This Row],[S.BASE]]</f>
        <v>0</v>
      </c>
      <c r="CD913" s="139" t="n">
        <f aca="false">+SUM(DATOS_[[#This Row],[Conc.Sal.01]:[Conc.Sal.30]])</f>
        <v>0</v>
      </c>
      <c r="CE913" s="139" t="n">
        <f aca="false">+DATOS_[[#This Row],[SALARIO BASE Ef]]+DATOS_[[#This Row],[Tot COMPL.SAL Ef]]</f>
        <v>0</v>
      </c>
      <c r="CF913" s="139" t="n">
        <f aca="false">+SUM(DATOS_[[#This Row],[C.Extra.01]:[C.Extra.05]])</f>
        <v>0</v>
      </c>
      <c r="CG913" s="139" t="n">
        <f aca="false">+DATOS_[[#This Row],[TOTAL SALARIO Ef]]+DATOS_[[#This Row],[Tot Extrasalarial Ef]]</f>
        <v>0</v>
      </c>
      <c r="CH913" s="140" t="n">
        <f aca="false">MIN(IF(DATOS_[[#This Row],[Fecha Fin Contrato]]="",$D$4,DATOS_[[#This Row],[Fecha Fin Contrato]]),$D$4)-MAX(DATOS_[[#This Row],[Fecha de Contratación]],$D$3)+1</f>
        <v>1</v>
      </c>
      <c r="CI913" s="141" t="str">
        <f aca="false">IF(COUNTIFS(DATOS_[id],DATOS_[[#This Row],[id]])&gt;1,DATOS_[[#This Row],[id]],"")</f>
        <v/>
      </c>
      <c r="CJ913" s="141" t="n">
        <f aca="false">(Inicio!$G$10-DATOS_[[#This Row],[Fecha Nacimiento]])/365.25</f>
        <v>0</v>
      </c>
      <c r="CK913" s="141" t="n">
        <f aca="false">(Inicio!$G$10-DATOS_[[#This Row],[Fecha de Antigüedad]])/365.25</f>
        <v>0</v>
      </c>
      <c r="CL913" s="141" t="e">
        <f aca="false">+VLOOKUP(DATOS_[[#This Row],[Clave de Contrato]],TblTiposContrato13[],3,0)</f>
        <v>#N/A</v>
      </c>
      <c r="CM913" s="141" t="e">
        <f aca="false">+VLOOKUP(DATOS_[[#This Row],[Clave de Contrato]],TblTiposContrato13[],4,0)</f>
        <v>#N/A</v>
      </c>
      <c r="CN913" s="141" t="str">
        <f aca="false">VLOOKUP(DATOS_[[#This Row],[Edad]],CONTRATOS!TblRngEdad,2,1)</f>
        <v>20  o menos</v>
      </c>
      <c r="CO913" s="141" t="str">
        <f aca="false">VLOOKUP(DATOS_[[#This Row],[Antigüedad]],TblRngAntg14[],2,1)</f>
        <v>0 a 1 años</v>
      </c>
    </row>
    <row r="914" customFormat="false" ht="13.8" hidden="false" customHeight="false" outlineLevel="0" collapsed="false">
      <c r="D914" s="128"/>
      <c r="E914" s="129"/>
      <c r="F914" s="129"/>
      <c r="G914" s="129"/>
      <c r="H914" s="130"/>
      <c r="I914" s="131"/>
      <c r="J914" s="128"/>
      <c r="K914" s="132"/>
      <c r="L914" s="132"/>
      <c r="M914" s="133"/>
      <c r="N914" s="133"/>
      <c r="O914" s="133"/>
      <c r="P914" s="129"/>
      <c r="Z914" s="75"/>
      <c r="AA914" s="76"/>
      <c r="AB914" s="76"/>
      <c r="AC914" s="129"/>
      <c r="AD914" s="134"/>
      <c r="AE914" s="134"/>
      <c r="AF914" s="134"/>
      <c r="AG914" s="134"/>
      <c r="AH914" s="134"/>
      <c r="AI914" s="134"/>
      <c r="AJ914" s="134"/>
      <c r="AK914" s="134"/>
      <c r="AL914" s="134"/>
      <c r="AM914" s="134"/>
      <c r="AN914" s="134"/>
      <c r="AO914" s="134"/>
      <c r="AP914" s="134"/>
      <c r="AQ914" s="134"/>
      <c r="AR914" s="134"/>
      <c r="AS914" s="134"/>
      <c r="AT914" s="134"/>
      <c r="AU914" s="134"/>
      <c r="AV914" s="134"/>
      <c r="AW914" s="134"/>
      <c r="AX914" s="134"/>
      <c r="AY914" s="134"/>
      <c r="AZ914" s="134"/>
      <c r="BA914" s="134"/>
      <c r="BB914" s="134"/>
      <c r="BC914" s="134"/>
      <c r="BD914" s="134"/>
      <c r="BE914" s="134"/>
      <c r="BF914" s="134"/>
      <c r="BG914" s="134"/>
      <c r="BH914" s="134"/>
      <c r="BI914" s="134"/>
      <c r="BJ914" s="134"/>
      <c r="BK914" s="134"/>
      <c r="BL914" s="134"/>
      <c r="BM914" s="135"/>
      <c r="BN914" s="136" t="n">
        <f aca="false">+MAX($D$3,DATOS_[[#This Row],[Fecha Inicio Sit. Contract.]])</f>
        <v>0</v>
      </c>
      <c r="BO914" s="136" t="n">
        <f aca="false">+MIN($D$4,DATOS_[[#This Row],[Fecha Fin Sit. Contract.]])</f>
        <v>0</v>
      </c>
      <c r="BP914" s="137" t="n">
        <f aca="false">+DATOS_[[#This Row],[% de jornada]]*IF(DATOS_[[#This Row],[% jornada reducida]]="",1,DATOS_[[#This Row],[% jornada reducida]])</f>
        <v>0</v>
      </c>
      <c r="BQ914" s="137" t="n">
        <f aca="false">+(DATOS_[[#This Row],[F.fin.cal]]-DATOS_[[#This Row],[F.ini.cal]]+1)/($D$4-$D$3+1)</f>
        <v>1</v>
      </c>
      <c r="BR914" s="137" t="str">
        <f aca="false">IF(OR(AND(DATOS_[[#This Row],[Fecha Fin Contrato]]&lt;$D$3,DATOS_[[#This Row],[Fecha Fin Contrato]]&lt;&gt;""),DATOS_[[#This Row],[Fecha de Contratación]]&gt;$D$4),"Fuera","Dentro")</f>
        <v>Dentro</v>
      </c>
      <c r="BS914" s="137" t="str">
        <f aca="false" t="array" ref="BS914:BS914">IF(MAX(IF(DATOS_[id]=DATOS_[[#This Row],[id]],DATOS_[F.fin.cal]))=DATOS_[[#This Row],[F.fin.cal]],"Sí","NO")</f>
        <v>Sí</v>
      </c>
      <c r="BT914" s="137" t="str">
        <f aca="false">IF(AND(DATOS_[[#This Row],[% normaliz]]&lt;&gt;1,DATOS_[[#This Row],[% anualiz]]=1),"Sí","NO")</f>
        <v>Sí</v>
      </c>
      <c r="BU914" s="137" t="str">
        <f aca="false">IF(AND(DATOS_[[#This Row],[% normaliz]]=1,DATOS_[[#This Row],[% anualiz]]&lt;&gt;1),"Sí","NO")</f>
        <v>NO</v>
      </c>
      <c r="BV914" s="137" t="str">
        <f aca="false">IF(AND(DATOS_[[#This Row],[% normaliz]]&lt;&gt;1,DATOS_[[#This Row],[% anualiz]]&lt;&gt;1),"Sí","NO")</f>
        <v>NO</v>
      </c>
      <c r="BW914" s="137" t="str">
        <f aca="false">+IF(DATOS_[[#This Row],[% normaliz]]*DATOS_[[#This Row],[% anualiz]]=1,"NO","Sí")</f>
        <v>Sí</v>
      </c>
      <c r="BX914" s="138" t="e">
        <f aca="false">(DATOS_[[#This Row],[S.BASE]]*(1/DATOS_[[#This Row],[% normaliz]])*(1/DATOS_[[#This Row],[% anualiz]]))*IF(DATOS_[[#This Row],[Check Equiparado]]="Sí",1,0)</f>
        <v>#DIV/0!</v>
      </c>
      <c r="BY91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4" s="138" t="e">
        <f aca="false">+DATOS_[[#This Row],[SALARIO BASE Eq]]+DATOS_[[#This Row],[Tot COMPL.SAL Eq]]</f>
        <v>#DIV/0!</v>
      </c>
      <c r="CA914" s="138" t="e">
        <f aca="false" t="array" ref="CA914:CA9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4" s="138" t="e">
        <f aca="false">+DATOS_[[#This Row],[TOTAL SALARIO Eq]]+DATOS_[[#This Row],[Tot Extrasalarial Eq]]</f>
        <v>#DIV/0!</v>
      </c>
      <c r="CC914" s="139" t="n">
        <f aca="false">DATOS_[[#This Row],[S.BASE]]</f>
        <v>0</v>
      </c>
      <c r="CD914" s="139" t="n">
        <f aca="false">+SUM(DATOS_[[#This Row],[Conc.Sal.01]:[Conc.Sal.30]])</f>
        <v>0</v>
      </c>
      <c r="CE914" s="139" t="n">
        <f aca="false">+DATOS_[[#This Row],[SALARIO BASE Ef]]+DATOS_[[#This Row],[Tot COMPL.SAL Ef]]</f>
        <v>0</v>
      </c>
      <c r="CF914" s="139" t="n">
        <f aca="false">+SUM(DATOS_[[#This Row],[C.Extra.01]:[C.Extra.05]])</f>
        <v>0</v>
      </c>
      <c r="CG914" s="139" t="n">
        <f aca="false">+DATOS_[[#This Row],[TOTAL SALARIO Ef]]+DATOS_[[#This Row],[Tot Extrasalarial Ef]]</f>
        <v>0</v>
      </c>
      <c r="CH914" s="140" t="n">
        <f aca="false">MIN(IF(DATOS_[[#This Row],[Fecha Fin Contrato]]="",$D$4,DATOS_[[#This Row],[Fecha Fin Contrato]]),$D$4)-MAX(DATOS_[[#This Row],[Fecha de Contratación]],$D$3)+1</f>
        <v>1</v>
      </c>
      <c r="CI914" s="141" t="str">
        <f aca="false">IF(COUNTIFS(DATOS_[id],DATOS_[[#This Row],[id]])&gt;1,DATOS_[[#This Row],[id]],"")</f>
        <v/>
      </c>
      <c r="CJ914" s="141" t="n">
        <f aca="false">(Inicio!$G$10-DATOS_[[#This Row],[Fecha Nacimiento]])/365.25</f>
        <v>0</v>
      </c>
      <c r="CK914" s="141" t="n">
        <f aca="false">(Inicio!$G$10-DATOS_[[#This Row],[Fecha de Antigüedad]])/365.25</f>
        <v>0</v>
      </c>
      <c r="CL914" s="141" t="e">
        <f aca="false">+VLOOKUP(DATOS_[[#This Row],[Clave de Contrato]],TblTiposContrato13[],3,0)</f>
        <v>#N/A</v>
      </c>
      <c r="CM914" s="141" t="e">
        <f aca="false">+VLOOKUP(DATOS_[[#This Row],[Clave de Contrato]],TblTiposContrato13[],4,0)</f>
        <v>#N/A</v>
      </c>
      <c r="CN914" s="141" t="str">
        <f aca="false">VLOOKUP(DATOS_[[#This Row],[Edad]],CONTRATOS!TblRngEdad,2,1)</f>
        <v>20  o menos</v>
      </c>
      <c r="CO914" s="141" t="str">
        <f aca="false">VLOOKUP(DATOS_[[#This Row],[Antigüedad]],TblRngAntg14[],2,1)</f>
        <v>0 a 1 años</v>
      </c>
    </row>
    <row r="915" customFormat="false" ht="13.8" hidden="false" customHeight="false" outlineLevel="0" collapsed="false">
      <c r="D915" s="128"/>
      <c r="E915" s="129"/>
      <c r="F915" s="129"/>
      <c r="G915" s="129"/>
      <c r="H915" s="130"/>
      <c r="I915" s="131"/>
      <c r="J915" s="128"/>
      <c r="K915" s="132"/>
      <c r="L915" s="132"/>
      <c r="M915" s="133"/>
      <c r="N915" s="133"/>
      <c r="O915" s="133"/>
      <c r="P915" s="129"/>
      <c r="Z915" s="75"/>
      <c r="AA915" s="76"/>
      <c r="AB915" s="76"/>
      <c r="AC915" s="129"/>
      <c r="AD915" s="134"/>
      <c r="AE915" s="134"/>
      <c r="AF915" s="134"/>
      <c r="AG915" s="134"/>
      <c r="AH915" s="134"/>
      <c r="AI915" s="134"/>
      <c r="AJ915" s="134"/>
      <c r="AK915" s="134"/>
      <c r="AL915" s="134"/>
      <c r="AM915" s="134"/>
      <c r="AN915" s="134"/>
      <c r="AO915" s="134"/>
      <c r="AP915" s="134"/>
      <c r="AQ915" s="134"/>
      <c r="AR915" s="134"/>
      <c r="AS915" s="134"/>
      <c r="AT915" s="134"/>
      <c r="AU915" s="134"/>
      <c r="AV915" s="134"/>
      <c r="AW915" s="134"/>
      <c r="AX915" s="134"/>
      <c r="AY915" s="134"/>
      <c r="AZ915" s="134"/>
      <c r="BA915" s="134"/>
      <c r="BB915" s="134"/>
      <c r="BC915" s="134"/>
      <c r="BD915" s="134"/>
      <c r="BE915" s="134"/>
      <c r="BF915" s="134"/>
      <c r="BG915" s="134"/>
      <c r="BH915" s="134"/>
      <c r="BI915" s="134"/>
      <c r="BJ915" s="134"/>
      <c r="BK915" s="134"/>
      <c r="BL915" s="134"/>
      <c r="BM915" s="135"/>
      <c r="BN915" s="136" t="n">
        <f aca="false">+MAX($D$3,DATOS_[[#This Row],[Fecha Inicio Sit. Contract.]])</f>
        <v>0</v>
      </c>
      <c r="BO915" s="136" t="n">
        <f aca="false">+MIN($D$4,DATOS_[[#This Row],[Fecha Fin Sit. Contract.]])</f>
        <v>0</v>
      </c>
      <c r="BP915" s="137" t="n">
        <f aca="false">+DATOS_[[#This Row],[% de jornada]]*IF(DATOS_[[#This Row],[% jornada reducida]]="",1,DATOS_[[#This Row],[% jornada reducida]])</f>
        <v>0</v>
      </c>
      <c r="BQ915" s="137" t="n">
        <f aca="false">+(DATOS_[[#This Row],[F.fin.cal]]-DATOS_[[#This Row],[F.ini.cal]]+1)/($D$4-$D$3+1)</f>
        <v>1</v>
      </c>
      <c r="BR915" s="137" t="str">
        <f aca="false">IF(OR(AND(DATOS_[[#This Row],[Fecha Fin Contrato]]&lt;$D$3,DATOS_[[#This Row],[Fecha Fin Contrato]]&lt;&gt;""),DATOS_[[#This Row],[Fecha de Contratación]]&gt;$D$4),"Fuera","Dentro")</f>
        <v>Dentro</v>
      </c>
      <c r="BS915" s="137" t="str">
        <f aca="false" t="array" ref="BS915:BS915">IF(MAX(IF(DATOS_[id]=DATOS_[[#This Row],[id]],DATOS_[F.fin.cal]))=DATOS_[[#This Row],[F.fin.cal]],"Sí","NO")</f>
        <v>Sí</v>
      </c>
      <c r="BT915" s="137" t="str">
        <f aca="false">IF(AND(DATOS_[[#This Row],[% normaliz]]&lt;&gt;1,DATOS_[[#This Row],[% anualiz]]=1),"Sí","NO")</f>
        <v>Sí</v>
      </c>
      <c r="BU915" s="137" t="str">
        <f aca="false">IF(AND(DATOS_[[#This Row],[% normaliz]]=1,DATOS_[[#This Row],[% anualiz]]&lt;&gt;1),"Sí","NO")</f>
        <v>NO</v>
      </c>
      <c r="BV915" s="137" t="str">
        <f aca="false">IF(AND(DATOS_[[#This Row],[% normaliz]]&lt;&gt;1,DATOS_[[#This Row],[% anualiz]]&lt;&gt;1),"Sí","NO")</f>
        <v>NO</v>
      </c>
      <c r="BW915" s="137" t="str">
        <f aca="false">+IF(DATOS_[[#This Row],[% normaliz]]*DATOS_[[#This Row],[% anualiz]]=1,"NO","Sí")</f>
        <v>Sí</v>
      </c>
      <c r="BX915" s="138" t="e">
        <f aca="false">(DATOS_[[#This Row],[S.BASE]]*(1/DATOS_[[#This Row],[% normaliz]])*(1/DATOS_[[#This Row],[% anualiz]]))*IF(DATOS_[[#This Row],[Check Equiparado]]="Sí",1,0)</f>
        <v>#DIV/0!</v>
      </c>
      <c r="BY91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5" s="138" t="e">
        <f aca="false">+DATOS_[[#This Row],[SALARIO BASE Eq]]+DATOS_[[#This Row],[Tot COMPL.SAL Eq]]</f>
        <v>#DIV/0!</v>
      </c>
      <c r="CA915" s="138" t="e">
        <f aca="false" t="array" ref="CA915:CA9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5" s="138" t="e">
        <f aca="false">+DATOS_[[#This Row],[TOTAL SALARIO Eq]]+DATOS_[[#This Row],[Tot Extrasalarial Eq]]</f>
        <v>#DIV/0!</v>
      </c>
      <c r="CC915" s="139" t="n">
        <f aca="false">DATOS_[[#This Row],[S.BASE]]</f>
        <v>0</v>
      </c>
      <c r="CD915" s="139" t="n">
        <f aca="false">+SUM(DATOS_[[#This Row],[Conc.Sal.01]:[Conc.Sal.30]])</f>
        <v>0</v>
      </c>
      <c r="CE915" s="139" t="n">
        <f aca="false">+DATOS_[[#This Row],[SALARIO BASE Ef]]+DATOS_[[#This Row],[Tot COMPL.SAL Ef]]</f>
        <v>0</v>
      </c>
      <c r="CF915" s="139" t="n">
        <f aca="false">+SUM(DATOS_[[#This Row],[C.Extra.01]:[C.Extra.05]])</f>
        <v>0</v>
      </c>
      <c r="CG915" s="139" t="n">
        <f aca="false">+DATOS_[[#This Row],[TOTAL SALARIO Ef]]+DATOS_[[#This Row],[Tot Extrasalarial Ef]]</f>
        <v>0</v>
      </c>
      <c r="CH915" s="140" t="n">
        <f aca="false">MIN(IF(DATOS_[[#This Row],[Fecha Fin Contrato]]="",$D$4,DATOS_[[#This Row],[Fecha Fin Contrato]]),$D$4)-MAX(DATOS_[[#This Row],[Fecha de Contratación]],$D$3)+1</f>
        <v>1</v>
      </c>
      <c r="CI915" s="141" t="str">
        <f aca="false">IF(COUNTIFS(DATOS_[id],DATOS_[[#This Row],[id]])&gt;1,DATOS_[[#This Row],[id]],"")</f>
        <v/>
      </c>
      <c r="CJ915" s="141" t="n">
        <f aca="false">(Inicio!$G$10-DATOS_[[#This Row],[Fecha Nacimiento]])/365.25</f>
        <v>0</v>
      </c>
      <c r="CK915" s="141" t="n">
        <f aca="false">(Inicio!$G$10-DATOS_[[#This Row],[Fecha de Antigüedad]])/365.25</f>
        <v>0</v>
      </c>
      <c r="CL915" s="141" t="e">
        <f aca="false">+VLOOKUP(DATOS_[[#This Row],[Clave de Contrato]],TblTiposContrato13[],3,0)</f>
        <v>#N/A</v>
      </c>
      <c r="CM915" s="141" t="e">
        <f aca="false">+VLOOKUP(DATOS_[[#This Row],[Clave de Contrato]],TblTiposContrato13[],4,0)</f>
        <v>#N/A</v>
      </c>
      <c r="CN915" s="141" t="str">
        <f aca="false">VLOOKUP(DATOS_[[#This Row],[Edad]],CONTRATOS!TblRngEdad,2,1)</f>
        <v>20  o menos</v>
      </c>
      <c r="CO915" s="141" t="str">
        <f aca="false">VLOOKUP(DATOS_[[#This Row],[Antigüedad]],TblRngAntg14[],2,1)</f>
        <v>0 a 1 años</v>
      </c>
    </row>
    <row r="916" customFormat="false" ht="13.8" hidden="false" customHeight="false" outlineLevel="0" collapsed="false">
      <c r="D916" s="128"/>
      <c r="E916" s="129"/>
      <c r="F916" s="129"/>
      <c r="G916" s="129"/>
      <c r="H916" s="130"/>
      <c r="I916" s="131"/>
      <c r="J916" s="128"/>
      <c r="K916" s="132"/>
      <c r="L916" s="132"/>
      <c r="M916" s="133"/>
      <c r="N916" s="133"/>
      <c r="O916" s="133"/>
      <c r="P916" s="129"/>
      <c r="Z916" s="75"/>
      <c r="AA916" s="76"/>
      <c r="AB916" s="76"/>
      <c r="AC916" s="129"/>
      <c r="AD916" s="134"/>
      <c r="AE916" s="134"/>
      <c r="AF916" s="134"/>
      <c r="AG916" s="134"/>
      <c r="AH916" s="134"/>
      <c r="AI916" s="134"/>
      <c r="AJ916" s="134"/>
      <c r="AK916" s="134"/>
      <c r="AL916" s="134"/>
      <c r="AM916" s="134"/>
      <c r="AN916" s="134"/>
      <c r="AO916" s="134"/>
      <c r="AP916" s="134"/>
      <c r="AQ916" s="134"/>
      <c r="AR916" s="134"/>
      <c r="AS916" s="134"/>
      <c r="AT916" s="134"/>
      <c r="AU916" s="134"/>
      <c r="AV916" s="134"/>
      <c r="AW916" s="134"/>
      <c r="AX916" s="134"/>
      <c r="AY916" s="134"/>
      <c r="AZ916" s="134"/>
      <c r="BA916" s="134"/>
      <c r="BB916" s="134"/>
      <c r="BC916" s="134"/>
      <c r="BD916" s="134"/>
      <c r="BE916" s="134"/>
      <c r="BF916" s="134"/>
      <c r="BG916" s="134"/>
      <c r="BH916" s="134"/>
      <c r="BI916" s="134"/>
      <c r="BJ916" s="134"/>
      <c r="BK916" s="134"/>
      <c r="BL916" s="134"/>
      <c r="BM916" s="135"/>
      <c r="BN916" s="136" t="n">
        <f aca="false">+MAX($D$3,DATOS_[[#This Row],[Fecha Inicio Sit. Contract.]])</f>
        <v>0</v>
      </c>
      <c r="BO916" s="136" t="n">
        <f aca="false">+MIN($D$4,DATOS_[[#This Row],[Fecha Fin Sit. Contract.]])</f>
        <v>0</v>
      </c>
      <c r="BP916" s="137" t="n">
        <f aca="false">+DATOS_[[#This Row],[% de jornada]]*IF(DATOS_[[#This Row],[% jornada reducida]]="",1,DATOS_[[#This Row],[% jornada reducida]])</f>
        <v>0</v>
      </c>
      <c r="BQ916" s="137" t="n">
        <f aca="false">+(DATOS_[[#This Row],[F.fin.cal]]-DATOS_[[#This Row],[F.ini.cal]]+1)/($D$4-$D$3+1)</f>
        <v>1</v>
      </c>
      <c r="BR916" s="137" t="str">
        <f aca="false">IF(OR(AND(DATOS_[[#This Row],[Fecha Fin Contrato]]&lt;$D$3,DATOS_[[#This Row],[Fecha Fin Contrato]]&lt;&gt;""),DATOS_[[#This Row],[Fecha de Contratación]]&gt;$D$4),"Fuera","Dentro")</f>
        <v>Dentro</v>
      </c>
      <c r="BS916" s="137" t="str">
        <f aca="false" t="array" ref="BS916:BS916">IF(MAX(IF(DATOS_[id]=DATOS_[[#This Row],[id]],DATOS_[F.fin.cal]))=DATOS_[[#This Row],[F.fin.cal]],"Sí","NO")</f>
        <v>Sí</v>
      </c>
      <c r="BT916" s="137" t="str">
        <f aca="false">IF(AND(DATOS_[[#This Row],[% normaliz]]&lt;&gt;1,DATOS_[[#This Row],[% anualiz]]=1),"Sí","NO")</f>
        <v>Sí</v>
      </c>
      <c r="BU916" s="137" t="str">
        <f aca="false">IF(AND(DATOS_[[#This Row],[% normaliz]]=1,DATOS_[[#This Row],[% anualiz]]&lt;&gt;1),"Sí","NO")</f>
        <v>NO</v>
      </c>
      <c r="BV916" s="137" t="str">
        <f aca="false">IF(AND(DATOS_[[#This Row],[% normaliz]]&lt;&gt;1,DATOS_[[#This Row],[% anualiz]]&lt;&gt;1),"Sí","NO")</f>
        <v>NO</v>
      </c>
      <c r="BW916" s="137" t="str">
        <f aca="false">+IF(DATOS_[[#This Row],[% normaliz]]*DATOS_[[#This Row],[% anualiz]]=1,"NO","Sí")</f>
        <v>Sí</v>
      </c>
      <c r="BX916" s="138" t="e">
        <f aca="false">(DATOS_[[#This Row],[S.BASE]]*(1/DATOS_[[#This Row],[% normaliz]])*(1/DATOS_[[#This Row],[% anualiz]]))*IF(DATOS_[[#This Row],[Check Equiparado]]="Sí",1,0)</f>
        <v>#DIV/0!</v>
      </c>
      <c r="BY91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6" s="138" t="e">
        <f aca="false">+DATOS_[[#This Row],[SALARIO BASE Eq]]+DATOS_[[#This Row],[Tot COMPL.SAL Eq]]</f>
        <v>#DIV/0!</v>
      </c>
      <c r="CA916" s="138" t="e">
        <f aca="false" t="array" ref="CA916:CA9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6" s="138" t="e">
        <f aca="false">+DATOS_[[#This Row],[TOTAL SALARIO Eq]]+DATOS_[[#This Row],[Tot Extrasalarial Eq]]</f>
        <v>#DIV/0!</v>
      </c>
      <c r="CC916" s="139" t="n">
        <f aca="false">DATOS_[[#This Row],[S.BASE]]</f>
        <v>0</v>
      </c>
      <c r="CD916" s="139" t="n">
        <f aca="false">+SUM(DATOS_[[#This Row],[Conc.Sal.01]:[Conc.Sal.30]])</f>
        <v>0</v>
      </c>
      <c r="CE916" s="139" t="n">
        <f aca="false">+DATOS_[[#This Row],[SALARIO BASE Ef]]+DATOS_[[#This Row],[Tot COMPL.SAL Ef]]</f>
        <v>0</v>
      </c>
      <c r="CF916" s="139" t="n">
        <f aca="false">+SUM(DATOS_[[#This Row],[C.Extra.01]:[C.Extra.05]])</f>
        <v>0</v>
      </c>
      <c r="CG916" s="139" t="n">
        <f aca="false">+DATOS_[[#This Row],[TOTAL SALARIO Ef]]+DATOS_[[#This Row],[Tot Extrasalarial Ef]]</f>
        <v>0</v>
      </c>
      <c r="CH916" s="140" t="n">
        <f aca="false">MIN(IF(DATOS_[[#This Row],[Fecha Fin Contrato]]="",$D$4,DATOS_[[#This Row],[Fecha Fin Contrato]]),$D$4)-MAX(DATOS_[[#This Row],[Fecha de Contratación]],$D$3)+1</f>
        <v>1</v>
      </c>
      <c r="CI916" s="141" t="str">
        <f aca="false">IF(COUNTIFS(DATOS_[id],DATOS_[[#This Row],[id]])&gt;1,DATOS_[[#This Row],[id]],"")</f>
        <v/>
      </c>
      <c r="CJ916" s="141" t="n">
        <f aca="false">(Inicio!$G$10-DATOS_[[#This Row],[Fecha Nacimiento]])/365.25</f>
        <v>0</v>
      </c>
      <c r="CK916" s="141" t="n">
        <f aca="false">(Inicio!$G$10-DATOS_[[#This Row],[Fecha de Antigüedad]])/365.25</f>
        <v>0</v>
      </c>
      <c r="CL916" s="141" t="e">
        <f aca="false">+VLOOKUP(DATOS_[[#This Row],[Clave de Contrato]],TblTiposContrato13[],3,0)</f>
        <v>#N/A</v>
      </c>
      <c r="CM916" s="141" t="e">
        <f aca="false">+VLOOKUP(DATOS_[[#This Row],[Clave de Contrato]],TblTiposContrato13[],4,0)</f>
        <v>#N/A</v>
      </c>
      <c r="CN916" s="141" t="str">
        <f aca="false">VLOOKUP(DATOS_[[#This Row],[Edad]],CONTRATOS!TblRngEdad,2,1)</f>
        <v>20  o menos</v>
      </c>
      <c r="CO916" s="141" t="str">
        <f aca="false">VLOOKUP(DATOS_[[#This Row],[Antigüedad]],TblRngAntg14[],2,1)</f>
        <v>0 a 1 años</v>
      </c>
    </row>
    <row r="917" customFormat="false" ht="13.8" hidden="false" customHeight="false" outlineLevel="0" collapsed="false">
      <c r="D917" s="128"/>
      <c r="E917" s="129"/>
      <c r="F917" s="129"/>
      <c r="G917" s="129"/>
      <c r="H917" s="130"/>
      <c r="I917" s="131"/>
      <c r="J917" s="128"/>
      <c r="K917" s="132"/>
      <c r="L917" s="132"/>
      <c r="M917" s="133"/>
      <c r="N917" s="133"/>
      <c r="O917" s="133"/>
      <c r="P917" s="129"/>
      <c r="Z917" s="75"/>
      <c r="AA917" s="76"/>
      <c r="AB917" s="76"/>
      <c r="AC917" s="129"/>
      <c r="AD917" s="134"/>
      <c r="AE917" s="134"/>
      <c r="AF917" s="134"/>
      <c r="AG917" s="134"/>
      <c r="AH917" s="134"/>
      <c r="AI917" s="134"/>
      <c r="AJ917" s="134"/>
      <c r="AK917" s="134"/>
      <c r="AL917" s="134"/>
      <c r="AM917" s="134"/>
      <c r="AN917" s="134"/>
      <c r="AO917" s="134"/>
      <c r="AP917" s="134"/>
      <c r="AQ917" s="134"/>
      <c r="AR917" s="134"/>
      <c r="AS917" s="134"/>
      <c r="AT917" s="134"/>
      <c r="AU917" s="134"/>
      <c r="AV917" s="134"/>
      <c r="AW917" s="134"/>
      <c r="AX917" s="134"/>
      <c r="AY917" s="134"/>
      <c r="AZ917" s="134"/>
      <c r="BA917" s="134"/>
      <c r="BB917" s="134"/>
      <c r="BC917" s="134"/>
      <c r="BD917" s="134"/>
      <c r="BE917" s="134"/>
      <c r="BF917" s="134"/>
      <c r="BG917" s="134"/>
      <c r="BH917" s="134"/>
      <c r="BI917" s="134"/>
      <c r="BJ917" s="134"/>
      <c r="BK917" s="134"/>
      <c r="BL917" s="134"/>
      <c r="BM917" s="135"/>
      <c r="BN917" s="136" t="n">
        <f aca="false">+MAX($D$3,DATOS_[[#This Row],[Fecha Inicio Sit. Contract.]])</f>
        <v>0</v>
      </c>
      <c r="BO917" s="136" t="n">
        <f aca="false">+MIN($D$4,DATOS_[[#This Row],[Fecha Fin Sit. Contract.]])</f>
        <v>0</v>
      </c>
      <c r="BP917" s="137" t="n">
        <f aca="false">+DATOS_[[#This Row],[% de jornada]]*IF(DATOS_[[#This Row],[% jornada reducida]]="",1,DATOS_[[#This Row],[% jornada reducida]])</f>
        <v>0</v>
      </c>
      <c r="BQ917" s="137" t="n">
        <f aca="false">+(DATOS_[[#This Row],[F.fin.cal]]-DATOS_[[#This Row],[F.ini.cal]]+1)/($D$4-$D$3+1)</f>
        <v>1</v>
      </c>
      <c r="BR917" s="137" t="str">
        <f aca="false">IF(OR(AND(DATOS_[[#This Row],[Fecha Fin Contrato]]&lt;$D$3,DATOS_[[#This Row],[Fecha Fin Contrato]]&lt;&gt;""),DATOS_[[#This Row],[Fecha de Contratación]]&gt;$D$4),"Fuera","Dentro")</f>
        <v>Dentro</v>
      </c>
      <c r="BS917" s="137" t="str">
        <f aca="false" t="array" ref="BS917:BS917">IF(MAX(IF(DATOS_[id]=DATOS_[[#This Row],[id]],DATOS_[F.fin.cal]))=DATOS_[[#This Row],[F.fin.cal]],"Sí","NO")</f>
        <v>Sí</v>
      </c>
      <c r="BT917" s="137" t="str">
        <f aca="false">IF(AND(DATOS_[[#This Row],[% normaliz]]&lt;&gt;1,DATOS_[[#This Row],[% anualiz]]=1),"Sí","NO")</f>
        <v>Sí</v>
      </c>
      <c r="BU917" s="137" t="str">
        <f aca="false">IF(AND(DATOS_[[#This Row],[% normaliz]]=1,DATOS_[[#This Row],[% anualiz]]&lt;&gt;1),"Sí","NO")</f>
        <v>NO</v>
      </c>
      <c r="BV917" s="137" t="str">
        <f aca="false">IF(AND(DATOS_[[#This Row],[% normaliz]]&lt;&gt;1,DATOS_[[#This Row],[% anualiz]]&lt;&gt;1),"Sí","NO")</f>
        <v>NO</v>
      </c>
      <c r="BW917" s="137" t="str">
        <f aca="false">+IF(DATOS_[[#This Row],[% normaliz]]*DATOS_[[#This Row],[% anualiz]]=1,"NO","Sí")</f>
        <v>Sí</v>
      </c>
      <c r="BX917" s="138" t="e">
        <f aca="false">(DATOS_[[#This Row],[S.BASE]]*(1/DATOS_[[#This Row],[% normaliz]])*(1/DATOS_[[#This Row],[% anualiz]]))*IF(DATOS_[[#This Row],[Check Equiparado]]="Sí",1,0)</f>
        <v>#DIV/0!</v>
      </c>
      <c r="BY91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7" s="138" t="e">
        <f aca="false">+DATOS_[[#This Row],[SALARIO BASE Eq]]+DATOS_[[#This Row],[Tot COMPL.SAL Eq]]</f>
        <v>#DIV/0!</v>
      </c>
      <c r="CA917" s="138" t="e">
        <f aca="false" t="array" ref="CA917:CA9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7" s="138" t="e">
        <f aca="false">+DATOS_[[#This Row],[TOTAL SALARIO Eq]]+DATOS_[[#This Row],[Tot Extrasalarial Eq]]</f>
        <v>#DIV/0!</v>
      </c>
      <c r="CC917" s="139" t="n">
        <f aca="false">DATOS_[[#This Row],[S.BASE]]</f>
        <v>0</v>
      </c>
      <c r="CD917" s="139" t="n">
        <f aca="false">+SUM(DATOS_[[#This Row],[Conc.Sal.01]:[Conc.Sal.30]])</f>
        <v>0</v>
      </c>
      <c r="CE917" s="139" t="n">
        <f aca="false">+DATOS_[[#This Row],[SALARIO BASE Ef]]+DATOS_[[#This Row],[Tot COMPL.SAL Ef]]</f>
        <v>0</v>
      </c>
      <c r="CF917" s="139" t="n">
        <f aca="false">+SUM(DATOS_[[#This Row],[C.Extra.01]:[C.Extra.05]])</f>
        <v>0</v>
      </c>
      <c r="CG917" s="139" t="n">
        <f aca="false">+DATOS_[[#This Row],[TOTAL SALARIO Ef]]+DATOS_[[#This Row],[Tot Extrasalarial Ef]]</f>
        <v>0</v>
      </c>
      <c r="CH917" s="140" t="n">
        <f aca="false">MIN(IF(DATOS_[[#This Row],[Fecha Fin Contrato]]="",$D$4,DATOS_[[#This Row],[Fecha Fin Contrato]]),$D$4)-MAX(DATOS_[[#This Row],[Fecha de Contratación]],$D$3)+1</f>
        <v>1</v>
      </c>
      <c r="CI917" s="141" t="str">
        <f aca="false">IF(COUNTIFS(DATOS_[id],DATOS_[[#This Row],[id]])&gt;1,DATOS_[[#This Row],[id]],"")</f>
        <v/>
      </c>
      <c r="CJ917" s="141" t="n">
        <f aca="false">(Inicio!$G$10-DATOS_[[#This Row],[Fecha Nacimiento]])/365.25</f>
        <v>0</v>
      </c>
      <c r="CK917" s="141" t="n">
        <f aca="false">(Inicio!$G$10-DATOS_[[#This Row],[Fecha de Antigüedad]])/365.25</f>
        <v>0</v>
      </c>
      <c r="CL917" s="141" t="e">
        <f aca="false">+VLOOKUP(DATOS_[[#This Row],[Clave de Contrato]],TblTiposContrato13[],3,0)</f>
        <v>#N/A</v>
      </c>
      <c r="CM917" s="141" t="e">
        <f aca="false">+VLOOKUP(DATOS_[[#This Row],[Clave de Contrato]],TblTiposContrato13[],4,0)</f>
        <v>#N/A</v>
      </c>
      <c r="CN917" s="141" t="str">
        <f aca="false">VLOOKUP(DATOS_[[#This Row],[Edad]],CONTRATOS!TblRngEdad,2,1)</f>
        <v>20  o menos</v>
      </c>
      <c r="CO917" s="141" t="str">
        <f aca="false">VLOOKUP(DATOS_[[#This Row],[Antigüedad]],TblRngAntg14[],2,1)</f>
        <v>0 a 1 años</v>
      </c>
    </row>
    <row r="918" customFormat="false" ht="13.8" hidden="false" customHeight="false" outlineLevel="0" collapsed="false">
      <c r="D918" s="128"/>
      <c r="E918" s="129"/>
      <c r="F918" s="129"/>
      <c r="G918" s="129"/>
      <c r="H918" s="130"/>
      <c r="I918" s="131"/>
      <c r="J918" s="128"/>
      <c r="K918" s="132"/>
      <c r="L918" s="132"/>
      <c r="M918" s="133"/>
      <c r="N918" s="133"/>
      <c r="O918" s="133"/>
      <c r="P918" s="129"/>
      <c r="Z918" s="75"/>
      <c r="AA918" s="76"/>
      <c r="AB918" s="76"/>
      <c r="AC918" s="129"/>
      <c r="AD918" s="134"/>
      <c r="AE918" s="134"/>
      <c r="AF918" s="134"/>
      <c r="AG918" s="134"/>
      <c r="AH918" s="134"/>
      <c r="AI918" s="134"/>
      <c r="AJ918" s="134"/>
      <c r="AK918" s="134"/>
      <c r="AL918" s="134"/>
      <c r="AM918" s="134"/>
      <c r="AN918" s="134"/>
      <c r="AO918" s="134"/>
      <c r="AP918" s="134"/>
      <c r="AQ918" s="134"/>
      <c r="AR918" s="134"/>
      <c r="AS918" s="134"/>
      <c r="AT918" s="134"/>
      <c r="AU918" s="134"/>
      <c r="AV918" s="134"/>
      <c r="AW918" s="134"/>
      <c r="AX918" s="134"/>
      <c r="AY918" s="134"/>
      <c r="AZ918" s="134"/>
      <c r="BA918" s="134"/>
      <c r="BB918" s="134"/>
      <c r="BC918" s="134"/>
      <c r="BD918" s="134"/>
      <c r="BE918" s="134"/>
      <c r="BF918" s="134"/>
      <c r="BG918" s="134"/>
      <c r="BH918" s="134"/>
      <c r="BI918" s="134"/>
      <c r="BJ918" s="134"/>
      <c r="BK918" s="134"/>
      <c r="BL918" s="134"/>
      <c r="BM918" s="135"/>
      <c r="BN918" s="136" t="n">
        <f aca="false">+MAX($D$3,DATOS_[[#This Row],[Fecha Inicio Sit. Contract.]])</f>
        <v>0</v>
      </c>
      <c r="BO918" s="136" t="n">
        <f aca="false">+MIN($D$4,DATOS_[[#This Row],[Fecha Fin Sit. Contract.]])</f>
        <v>0</v>
      </c>
      <c r="BP918" s="137" t="n">
        <f aca="false">+DATOS_[[#This Row],[% de jornada]]*IF(DATOS_[[#This Row],[% jornada reducida]]="",1,DATOS_[[#This Row],[% jornada reducida]])</f>
        <v>0</v>
      </c>
      <c r="BQ918" s="137" t="n">
        <f aca="false">+(DATOS_[[#This Row],[F.fin.cal]]-DATOS_[[#This Row],[F.ini.cal]]+1)/($D$4-$D$3+1)</f>
        <v>1</v>
      </c>
      <c r="BR918" s="137" t="str">
        <f aca="false">IF(OR(AND(DATOS_[[#This Row],[Fecha Fin Contrato]]&lt;$D$3,DATOS_[[#This Row],[Fecha Fin Contrato]]&lt;&gt;""),DATOS_[[#This Row],[Fecha de Contratación]]&gt;$D$4),"Fuera","Dentro")</f>
        <v>Dentro</v>
      </c>
      <c r="BS918" s="137" t="str">
        <f aca="false" t="array" ref="BS918:BS918">IF(MAX(IF(DATOS_[id]=DATOS_[[#This Row],[id]],DATOS_[F.fin.cal]))=DATOS_[[#This Row],[F.fin.cal]],"Sí","NO")</f>
        <v>Sí</v>
      </c>
      <c r="BT918" s="137" t="str">
        <f aca="false">IF(AND(DATOS_[[#This Row],[% normaliz]]&lt;&gt;1,DATOS_[[#This Row],[% anualiz]]=1),"Sí","NO")</f>
        <v>Sí</v>
      </c>
      <c r="BU918" s="137" t="str">
        <f aca="false">IF(AND(DATOS_[[#This Row],[% normaliz]]=1,DATOS_[[#This Row],[% anualiz]]&lt;&gt;1),"Sí","NO")</f>
        <v>NO</v>
      </c>
      <c r="BV918" s="137" t="str">
        <f aca="false">IF(AND(DATOS_[[#This Row],[% normaliz]]&lt;&gt;1,DATOS_[[#This Row],[% anualiz]]&lt;&gt;1),"Sí","NO")</f>
        <v>NO</v>
      </c>
      <c r="BW918" s="137" t="str">
        <f aca="false">+IF(DATOS_[[#This Row],[% normaliz]]*DATOS_[[#This Row],[% anualiz]]=1,"NO","Sí")</f>
        <v>Sí</v>
      </c>
      <c r="BX918" s="138" t="e">
        <f aca="false">(DATOS_[[#This Row],[S.BASE]]*(1/DATOS_[[#This Row],[% normaliz]])*(1/DATOS_[[#This Row],[% anualiz]]))*IF(DATOS_[[#This Row],[Check Equiparado]]="Sí",1,0)</f>
        <v>#DIV/0!</v>
      </c>
      <c r="BY91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8" s="138" t="e">
        <f aca="false">+DATOS_[[#This Row],[SALARIO BASE Eq]]+DATOS_[[#This Row],[Tot COMPL.SAL Eq]]</f>
        <v>#DIV/0!</v>
      </c>
      <c r="CA918" s="138" t="e">
        <f aca="false" t="array" ref="CA918:CA9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8" s="138" t="e">
        <f aca="false">+DATOS_[[#This Row],[TOTAL SALARIO Eq]]+DATOS_[[#This Row],[Tot Extrasalarial Eq]]</f>
        <v>#DIV/0!</v>
      </c>
      <c r="CC918" s="139" t="n">
        <f aca="false">DATOS_[[#This Row],[S.BASE]]</f>
        <v>0</v>
      </c>
      <c r="CD918" s="139" t="n">
        <f aca="false">+SUM(DATOS_[[#This Row],[Conc.Sal.01]:[Conc.Sal.30]])</f>
        <v>0</v>
      </c>
      <c r="CE918" s="139" t="n">
        <f aca="false">+DATOS_[[#This Row],[SALARIO BASE Ef]]+DATOS_[[#This Row],[Tot COMPL.SAL Ef]]</f>
        <v>0</v>
      </c>
      <c r="CF918" s="139" t="n">
        <f aca="false">+SUM(DATOS_[[#This Row],[C.Extra.01]:[C.Extra.05]])</f>
        <v>0</v>
      </c>
      <c r="CG918" s="139" t="n">
        <f aca="false">+DATOS_[[#This Row],[TOTAL SALARIO Ef]]+DATOS_[[#This Row],[Tot Extrasalarial Ef]]</f>
        <v>0</v>
      </c>
      <c r="CH918" s="140" t="n">
        <f aca="false">MIN(IF(DATOS_[[#This Row],[Fecha Fin Contrato]]="",$D$4,DATOS_[[#This Row],[Fecha Fin Contrato]]),$D$4)-MAX(DATOS_[[#This Row],[Fecha de Contratación]],$D$3)+1</f>
        <v>1</v>
      </c>
      <c r="CI918" s="141" t="str">
        <f aca="false">IF(COUNTIFS(DATOS_[id],DATOS_[[#This Row],[id]])&gt;1,DATOS_[[#This Row],[id]],"")</f>
        <v/>
      </c>
      <c r="CJ918" s="141" t="n">
        <f aca="false">(Inicio!$G$10-DATOS_[[#This Row],[Fecha Nacimiento]])/365.25</f>
        <v>0</v>
      </c>
      <c r="CK918" s="141" t="n">
        <f aca="false">(Inicio!$G$10-DATOS_[[#This Row],[Fecha de Antigüedad]])/365.25</f>
        <v>0</v>
      </c>
      <c r="CL918" s="141" t="e">
        <f aca="false">+VLOOKUP(DATOS_[[#This Row],[Clave de Contrato]],TblTiposContrato13[],3,0)</f>
        <v>#N/A</v>
      </c>
      <c r="CM918" s="141" t="e">
        <f aca="false">+VLOOKUP(DATOS_[[#This Row],[Clave de Contrato]],TblTiposContrato13[],4,0)</f>
        <v>#N/A</v>
      </c>
      <c r="CN918" s="141" t="str">
        <f aca="false">VLOOKUP(DATOS_[[#This Row],[Edad]],CONTRATOS!TblRngEdad,2,1)</f>
        <v>20  o menos</v>
      </c>
      <c r="CO918" s="141" t="str">
        <f aca="false">VLOOKUP(DATOS_[[#This Row],[Antigüedad]],TblRngAntg14[],2,1)</f>
        <v>0 a 1 años</v>
      </c>
    </row>
    <row r="919" customFormat="false" ht="13.8" hidden="false" customHeight="false" outlineLevel="0" collapsed="false">
      <c r="D919" s="128"/>
      <c r="E919" s="129"/>
      <c r="F919" s="129"/>
      <c r="G919" s="129"/>
      <c r="H919" s="130"/>
      <c r="I919" s="131"/>
      <c r="J919" s="128"/>
      <c r="K919" s="132"/>
      <c r="L919" s="132"/>
      <c r="M919" s="133"/>
      <c r="N919" s="133"/>
      <c r="O919" s="133"/>
      <c r="P919" s="129"/>
      <c r="Z919" s="75"/>
      <c r="AA919" s="76"/>
      <c r="AB919" s="76"/>
      <c r="AC919" s="129"/>
      <c r="AD919" s="134"/>
      <c r="AE919" s="134"/>
      <c r="AF919" s="134"/>
      <c r="AG919" s="134"/>
      <c r="AH919" s="134"/>
      <c r="AI919" s="134"/>
      <c r="AJ919" s="134"/>
      <c r="AK919" s="134"/>
      <c r="AL919" s="134"/>
      <c r="AM919" s="134"/>
      <c r="AN919" s="134"/>
      <c r="AO919" s="134"/>
      <c r="AP919" s="134"/>
      <c r="AQ919" s="134"/>
      <c r="AR919" s="134"/>
      <c r="AS919" s="134"/>
      <c r="AT919" s="134"/>
      <c r="AU919" s="134"/>
      <c r="AV919" s="134"/>
      <c r="AW919" s="134"/>
      <c r="AX919" s="134"/>
      <c r="AY919" s="134"/>
      <c r="AZ919" s="134"/>
      <c r="BA919" s="134"/>
      <c r="BB919" s="134"/>
      <c r="BC919" s="134"/>
      <c r="BD919" s="134"/>
      <c r="BE919" s="134"/>
      <c r="BF919" s="134"/>
      <c r="BG919" s="134"/>
      <c r="BH919" s="134"/>
      <c r="BI919" s="134"/>
      <c r="BJ919" s="134"/>
      <c r="BK919" s="134"/>
      <c r="BL919" s="134"/>
      <c r="BM919" s="135"/>
      <c r="BN919" s="136" t="n">
        <f aca="false">+MAX($D$3,DATOS_[[#This Row],[Fecha Inicio Sit. Contract.]])</f>
        <v>0</v>
      </c>
      <c r="BO919" s="136" t="n">
        <f aca="false">+MIN($D$4,DATOS_[[#This Row],[Fecha Fin Sit. Contract.]])</f>
        <v>0</v>
      </c>
      <c r="BP919" s="137" t="n">
        <f aca="false">+DATOS_[[#This Row],[% de jornada]]*IF(DATOS_[[#This Row],[% jornada reducida]]="",1,DATOS_[[#This Row],[% jornada reducida]])</f>
        <v>0</v>
      </c>
      <c r="BQ919" s="137" t="n">
        <f aca="false">+(DATOS_[[#This Row],[F.fin.cal]]-DATOS_[[#This Row],[F.ini.cal]]+1)/($D$4-$D$3+1)</f>
        <v>1</v>
      </c>
      <c r="BR919" s="137" t="str">
        <f aca="false">IF(OR(AND(DATOS_[[#This Row],[Fecha Fin Contrato]]&lt;$D$3,DATOS_[[#This Row],[Fecha Fin Contrato]]&lt;&gt;""),DATOS_[[#This Row],[Fecha de Contratación]]&gt;$D$4),"Fuera","Dentro")</f>
        <v>Dentro</v>
      </c>
      <c r="BS919" s="137" t="str">
        <f aca="false" t="array" ref="BS919:BS919">IF(MAX(IF(DATOS_[id]=DATOS_[[#This Row],[id]],DATOS_[F.fin.cal]))=DATOS_[[#This Row],[F.fin.cal]],"Sí","NO")</f>
        <v>Sí</v>
      </c>
      <c r="BT919" s="137" t="str">
        <f aca="false">IF(AND(DATOS_[[#This Row],[% normaliz]]&lt;&gt;1,DATOS_[[#This Row],[% anualiz]]=1),"Sí","NO")</f>
        <v>Sí</v>
      </c>
      <c r="BU919" s="137" t="str">
        <f aca="false">IF(AND(DATOS_[[#This Row],[% normaliz]]=1,DATOS_[[#This Row],[% anualiz]]&lt;&gt;1),"Sí","NO")</f>
        <v>NO</v>
      </c>
      <c r="BV919" s="137" t="str">
        <f aca="false">IF(AND(DATOS_[[#This Row],[% normaliz]]&lt;&gt;1,DATOS_[[#This Row],[% anualiz]]&lt;&gt;1),"Sí","NO")</f>
        <v>NO</v>
      </c>
      <c r="BW919" s="137" t="str">
        <f aca="false">+IF(DATOS_[[#This Row],[% normaliz]]*DATOS_[[#This Row],[% anualiz]]=1,"NO","Sí")</f>
        <v>Sí</v>
      </c>
      <c r="BX919" s="138" t="e">
        <f aca="false">(DATOS_[[#This Row],[S.BASE]]*(1/DATOS_[[#This Row],[% normaliz]])*(1/DATOS_[[#This Row],[% anualiz]]))*IF(DATOS_[[#This Row],[Check Equiparado]]="Sí",1,0)</f>
        <v>#DIV/0!</v>
      </c>
      <c r="BY91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9" s="138" t="e">
        <f aca="false">+DATOS_[[#This Row],[SALARIO BASE Eq]]+DATOS_[[#This Row],[Tot COMPL.SAL Eq]]</f>
        <v>#DIV/0!</v>
      </c>
      <c r="CA919" s="138" t="e">
        <f aca="false" t="array" ref="CA919:CA9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9" s="138" t="e">
        <f aca="false">+DATOS_[[#This Row],[TOTAL SALARIO Eq]]+DATOS_[[#This Row],[Tot Extrasalarial Eq]]</f>
        <v>#DIV/0!</v>
      </c>
      <c r="CC919" s="139" t="n">
        <f aca="false">DATOS_[[#This Row],[S.BASE]]</f>
        <v>0</v>
      </c>
      <c r="CD919" s="139" t="n">
        <f aca="false">+SUM(DATOS_[[#This Row],[Conc.Sal.01]:[Conc.Sal.30]])</f>
        <v>0</v>
      </c>
      <c r="CE919" s="139" t="n">
        <f aca="false">+DATOS_[[#This Row],[SALARIO BASE Ef]]+DATOS_[[#This Row],[Tot COMPL.SAL Ef]]</f>
        <v>0</v>
      </c>
      <c r="CF919" s="139" t="n">
        <f aca="false">+SUM(DATOS_[[#This Row],[C.Extra.01]:[C.Extra.05]])</f>
        <v>0</v>
      </c>
      <c r="CG919" s="139" t="n">
        <f aca="false">+DATOS_[[#This Row],[TOTAL SALARIO Ef]]+DATOS_[[#This Row],[Tot Extrasalarial Ef]]</f>
        <v>0</v>
      </c>
      <c r="CH919" s="140" t="n">
        <f aca="false">MIN(IF(DATOS_[[#This Row],[Fecha Fin Contrato]]="",$D$4,DATOS_[[#This Row],[Fecha Fin Contrato]]),$D$4)-MAX(DATOS_[[#This Row],[Fecha de Contratación]],$D$3)+1</f>
        <v>1</v>
      </c>
      <c r="CI919" s="141" t="str">
        <f aca="false">IF(COUNTIFS(DATOS_[id],DATOS_[[#This Row],[id]])&gt;1,DATOS_[[#This Row],[id]],"")</f>
        <v/>
      </c>
      <c r="CJ919" s="141" t="n">
        <f aca="false">(Inicio!$G$10-DATOS_[[#This Row],[Fecha Nacimiento]])/365.25</f>
        <v>0</v>
      </c>
      <c r="CK919" s="141" t="n">
        <f aca="false">(Inicio!$G$10-DATOS_[[#This Row],[Fecha de Antigüedad]])/365.25</f>
        <v>0</v>
      </c>
      <c r="CL919" s="141" t="e">
        <f aca="false">+VLOOKUP(DATOS_[[#This Row],[Clave de Contrato]],TblTiposContrato13[],3,0)</f>
        <v>#N/A</v>
      </c>
      <c r="CM919" s="141" t="e">
        <f aca="false">+VLOOKUP(DATOS_[[#This Row],[Clave de Contrato]],TblTiposContrato13[],4,0)</f>
        <v>#N/A</v>
      </c>
      <c r="CN919" s="141" t="str">
        <f aca="false">VLOOKUP(DATOS_[[#This Row],[Edad]],CONTRATOS!TblRngEdad,2,1)</f>
        <v>20  o menos</v>
      </c>
      <c r="CO919" s="141" t="str">
        <f aca="false">VLOOKUP(DATOS_[[#This Row],[Antigüedad]],TblRngAntg14[],2,1)</f>
        <v>0 a 1 años</v>
      </c>
    </row>
    <row r="920" customFormat="false" ht="13.8" hidden="false" customHeight="false" outlineLevel="0" collapsed="false">
      <c r="D920" s="128"/>
      <c r="E920" s="129"/>
      <c r="F920" s="129"/>
      <c r="G920" s="129"/>
      <c r="H920" s="130"/>
      <c r="I920" s="131"/>
      <c r="J920" s="128"/>
      <c r="K920" s="132"/>
      <c r="L920" s="132"/>
      <c r="M920" s="133"/>
      <c r="N920" s="133"/>
      <c r="O920" s="133"/>
      <c r="P920" s="129"/>
      <c r="Z920" s="75"/>
      <c r="AA920" s="76"/>
      <c r="AB920" s="76"/>
      <c r="AC920" s="129"/>
      <c r="AD920" s="134"/>
      <c r="AE920" s="134"/>
      <c r="AF920" s="134"/>
      <c r="AG920" s="134"/>
      <c r="AH920" s="134"/>
      <c r="AI920" s="134"/>
      <c r="AJ920" s="134"/>
      <c r="AK920" s="134"/>
      <c r="AL920" s="134"/>
      <c r="AM920" s="134"/>
      <c r="AN920" s="134"/>
      <c r="AO920" s="134"/>
      <c r="AP920" s="134"/>
      <c r="AQ920" s="134"/>
      <c r="AR920" s="134"/>
      <c r="AS920" s="134"/>
      <c r="AT920" s="134"/>
      <c r="AU920" s="134"/>
      <c r="AV920" s="134"/>
      <c r="AW920" s="134"/>
      <c r="AX920" s="134"/>
      <c r="AY920" s="134"/>
      <c r="AZ920" s="134"/>
      <c r="BA920" s="134"/>
      <c r="BB920" s="134"/>
      <c r="BC920" s="134"/>
      <c r="BD920" s="134"/>
      <c r="BE920" s="134"/>
      <c r="BF920" s="134"/>
      <c r="BG920" s="134"/>
      <c r="BH920" s="134"/>
      <c r="BI920" s="134"/>
      <c r="BJ920" s="134"/>
      <c r="BK920" s="134"/>
      <c r="BL920" s="134"/>
      <c r="BM920" s="135"/>
      <c r="BN920" s="136" t="n">
        <f aca="false">+MAX($D$3,DATOS_[[#This Row],[Fecha Inicio Sit. Contract.]])</f>
        <v>0</v>
      </c>
      <c r="BO920" s="136" t="n">
        <f aca="false">+MIN($D$4,DATOS_[[#This Row],[Fecha Fin Sit. Contract.]])</f>
        <v>0</v>
      </c>
      <c r="BP920" s="137" t="n">
        <f aca="false">+DATOS_[[#This Row],[% de jornada]]*IF(DATOS_[[#This Row],[% jornada reducida]]="",1,DATOS_[[#This Row],[% jornada reducida]])</f>
        <v>0</v>
      </c>
      <c r="BQ920" s="137" t="n">
        <f aca="false">+(DATOS_[[#This Row],[F.fin.cal]]-DATOS_[[#This Row],[F.ini.cal]]+1)/($D$4-$D$3+1)</f>
        <v>1</v>
      </c>
      <c r="BR920" s="137" t="str">
        <f aca="false">IF(OR(AND(DATOS_[[#This Row],[Fecha Fin Contrato]]&lt;$D$3,DATOS_[[#This Row],[Fecha Fin Contrato]]&lt;&gt;""),DATOS_[[#This Row],[Fecha de Contratación]]&gt;$D$4),"Fuera","Dentro")</f>
        <v>Dentro</v>
      </c>
      <c r="BS920" s="137" t="str">
        <f aca="false" t="array" ref="BS920:BS920">IF(MAX(IF(DATOS_[id]=DATOS_[[#This Row],[id]],DATOS_[F.fin.cal]))=DATOS_[[#This Row],[F.fin.cal]],"Sí","NO")</f>
        <v>Sí</v>
      </c>
      <c r="BT920" s="137" t="str">
        <f aca="false">IF(AND(DATOS_[[#This Row],[% normaliz]]&lt;&gt;1,DATOS_[[#This Row],[% anualiz]]=1),"Sí","NO")</f>
        <v>Sí</v>
      </c>
      <c r="BU920" s="137" t="str">
        <f aca="false">IF(AND(DATOS_[[#This Row],[% normaliz]]=1,DATOS_[[#This Row],[% anualiz]]&lt;&gt;1),"Sí","NO")</f>
        <v>NO</v>
      </c>
      <c r="BV920" s="137" t="str">
        <f aca="false">IF(AND(DATOS_[[#This Row],[% normaliz]]&lt;&gt;1,DATOS_[[#This Row],[% anualiz]]&lt;&gt;1),"Sí","NO")</f>
        <v>NO</v>
      </c>
      <c r="BW920" s="137" t="str">
        <f aca="false">+IF(DATOS_[[#This Row],[% normaliz]]*DATOS_[[#This Row],[% anualiz]]=1,"NO","Sí")</f>
        <v>Sí</v>
      </c>
      <c r="BX920" s="138" t="e">
        <f aca="false">(DATOS_[[#This Row],[S.BASE]]*(1/DATOS_[[#This Row],[% normaliz]])*(1/DATOS_[[#This Row],[% anualiz]]))*IF(DATOS_[[#This Row],[Check Equiparado]]="Sí",1,0)</f>
        <v>#DIV/0!</v>
      </c>
      <c r="BY92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0" s="138" t="e">
        <f aca="false">+DATOS_[[#This Row],[SALARIO BASE Eq]]+DATOS_[[#This Row],[Tot COMPL.SAL Eq]]</f>
        <v>#DIV/0!</v>
      </c>
      <c r="CA920" s="138" t="e">
        <f aca="false" t="array" ref="CA920:CA9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0" s="138" t="e">
        <f aca="false">+DATOS_[[#This Row],[TOTAL SALARIO Eq]]+DATOS_[[#This Row],[Tot Extrasalarial Eq]]</f>
        <v>#DIV/0!</v>
      </c>
      <c r="CC920" s="139" t="n">
        <f aca="false">DATOS_[[#This Row],[S.BASE]]</f>
        <v>0</v>
      </c>
      <c r="CD920" s="139" t="n">
        <f aca="false">+SUM(DATOS_[[#This Row],[Conc.Sal.01]:[Conc.Sal.30]])</f>
        <v>0</v>
      </c>
      <c r="CE920" s="139" t="n">
        <f aca="false">+DATOS_[[#This Row],[SALARIO BASE Ef]]+DATOS_[[#This Row],[Tot COMPL.SAL Ef]]</f>
        <v>0</v>
      </c>
      <c r="CF920" s="139" t="n">
        <f aca="false">+SUM(DATOS_[[#This Row],[C.Extra.01]:[C.Extra.05]])</f>
        <v>0</v>
      </c>
      <c r="CG920" s="139" t="n">
        <f aca="false">+DATOS_[[#This Row],[TOTAL SALARIO Ef]]+DATOS_[[#This Row],[Tot Extrasalarial Ef]]</f>
        <v>0</v>
      </c>
      <c r="CH920" s="140" t="n">
        <f aca="false">MIN(IF(DATOS_[[#This Row],[Fecha Fin Contrato]]="",$D$4,DATOS_[[#This Row],[Fecha Fin Contrato]]),$D$4)-MAX(DATOS_[[#This Row],[Fecha de Contratación]],$D$3)+1</f>
        <v>1</v>
      </c>
      <c r="CI920" s="141" t="str">
        <f aca="false">IF(COUNTIFS(DATOS_[id],DATOS_[[#This Row],[id]])&gt;1,DATOS_[[#This Row],[id]],"")</f>
        <v/>
      </c>
      <c r="CJ920" s="141" t="n">
        <f aca="false">(Inicio!$G$10-DATOS_[[#This Row],[Fecha Nacimiento]])/365.25</f>
        <v>0</v>
      </c>
      <c r="CK920" s="141" t="n">
        <f aca="false">(Inicio!$G$10-DATOS_[[#This Row],[Fecha de Antigüedad]])/365.25</f>
        <v>0</v>
      </c>
      <c r="CL920" s="141" t="e">
        <f aca="false">+VLOOKUP(DATOS_[[#This Row],[Clave de Contrato]],TblTiposContrato13[],3,0)</f>
        <v>#N/A</v>
      </c>
      <c r="CM920" s="141" t="e">
        <f aca="false">+VLOOKUP(DATOS_[[#This Row],[Clave de Contrato]],TblTiposContrato13[],4,0)</f>
        <v>#N/A</v>
      </c>
      <c r="CN920" s="141" t="str">
        <f aca="false">VLOOKUP(DATOS_[[#This Row],[Edad]],CONTRATOS!TblRngEdad,2,1)</f>
        <v>20  o menos</v>
      </c>
      <c r="CO920" s="141" t="str">
        <f aca="false">VLOOKUP(DATOS_[[#This Row],[Antigüedad]],TblRngAntg14[],2,1)</f>
        <v>0 a 1 años</v>
      </c>
    </row>
    <row r="921" customFormat="false" ht="13.8" hidden="false" customHeight="false" outlineLevel="0" collapsed="false">
      <c r="D921" s="128"/>
      <c r="E921" s="129"/>
      <c r="F921" s="129"/>
      <c r="G921" s="129"/>
      <c r="H921" s="130"/>
      <c r="I921" s="131"/>
      <c r="J921" s="128"/>
      <c r="K921" s="132"/>
      <c r="L921" s="132"/>
      <c r="M921" s="133"/>
      <c r="N921" s="133"/>
      <c r="O921" s="133"/>
      <c r="P921" s="129"/>
      <c r="Z921" s="75"/>
      <c r="AA921" s="76"/>
      <c r="AB921" s="76"/>
      <c r="AC921" s="129"/>
      <c r="AD921" s="134"/>
      <c r="AE921" s="134"/>
      <c r="AF921" s="134"/>
      <c r="AG921" s="134"/>
      <c r="AH921" s="134"/>
      <c r="AI921" s="134"/>
      <c r="AJ921" s="134"/>
      <c r="AK921" s="134"/>
      <c r="AL921" s="134"/>
      <c r="AM921" s="134"/>
      <c r="AN921" s="134"/>
      <c r="AO921" s="134"/>
      <c r="AP921" s="134"/>
      <c r="AQ921" s="134"/>
      <c r="AR921" s="134"/>
      <c r="AS921" s="134"/>
      <c r="AT921" s="134"/>
      <c r="AU921" s="134"/>
      <c r="AV921" s="134"/>
      <c r="AW921" s="134"/>
      <c r="AX921" s="134"/>
      <c r="AY921" s="134"/>
      <c r="AZ921" s="134"/>
      <c r="BA921" s="134"/>
      <c r="BB921" s="134"/>
      <c r="BC921" s="134"/>
      <c r="BD921" s="134"/>
      <c r="BE921" s="134"/>
      <c r="BF921" s="134"/>
      <c r="BG921" s="134"/>
      <c r="BH921" s="134"/>
      <c r="BI921" s="134"/>
      <c r="BJ921" s="134"/>
      <c r="BK921" s="134"/>
      <c r="BL921" s="134"/>
      <c r="BM921" s="135"/>
      <c r="BN921" s="136" t="n">
        <f aca="false">+MAX($D$3,DATOS_[[#This Row],[Fecha Inicio Sit. Contract.]])</f>
        <v>0</v>
      </c>
      <c r="BO921" s="136" t="n">
        <f aca="false">+MIN($D$4,DATOS_[[#This Row],[Fecha Fin Sit. Contract.]])</f>
        <v>0</v>
      </c>
      <c r="BP921" s="137" t="n">
        <f aca="false">+DATOS_[[#This Row],[% de jornada]]*IF(DATOS_[[#This Row],[% jornada reducida]]="",1,DATOS_[[#This Row],[% jornada reducida]])</f>
        <v>0</v>
      </c>
      <c r="BQ921" s="137" t="n">
        <f aca="false">+(DATOS_[[#This Row],[F.fin.cal]]-DATOS_[[#This Row],[F.ini.cal]]+1)/($D$4-$D$3+1)</f>
        <v>1</v>
      </c>
      <c r="BR921" s="137" t="str">
        <f aca="false">IF(OR(AND(DATOS_[[#This Row],[Fecha Fin Contrato]]&lt;$D$3,DATOS_[[#This Row],[Fecha Fin Contrato]]&lt;&gt;""),DATOS_[[#This Row],[Fecha de Contratación]]&gt;$D$4),"Fuera","Dentro")</f>
        <v>Dentro</v>
      </c>
      <c r="BS921" s="137" t="str">
        <f aca="false" t="array" ref="BS921:BS921">IF(MAX(IF(DATOS_[id]=DATOS_[[#This Row],[id]],DATOS_[F.fin.cal]))=DATOS_[[#This Row],[F.fin.cal]],"Sí","NO")</f>
        <v>Sí</v>
      </c>
      <c r="BT921" s="137" t="str">
        <f aca="false">IF(AND(DATOS_[[#This Row],[% normaliz]]&lt;&gt;1,DATOS_[[#This Row],[% anualiz]]=1),"Sí","NO")</f>
        <v>Sí</v>
      </c>
      <c r="BU921" s="137" t="str">
        <f aca="false">IF(AND(DATOS_[[#This Row],[% normaliz]]=1,DATOS_[[#This Row],[% anualiz]]&lt;&gt;1),"Sí","NO")</f>
        <v>NO</v>
      </c>
      <c r="BV921" s="137" t="str">
        <f aca="false">IF(AND(DATOS_[[#This Row],[% normaliz]]&lt;&gt;1,DATOS_[[#This Row],[% anualiz]]&lt;&gt;1),"Sí","NO")</f>
        <v>NO</v>
      </c>
      <c r="BW921" s="137" t="str">
        <f aca="false">+IF(DATOS_[[#This Row],[% normaliz]]*DATOS_[[#This Row],[% anualiz]]=1,"NO","Sí")</f>
        <v>Sí</v>
      </c>
      <c r="BX921" s="138" t="e">
        <f aca="false">(DATOS_[[#This Row],[S.BASE]]*(1/DATOS_[[#This Row],[% normaliz]])*(1/DATOS_[[#This Row],[% anualiz]]))*IF(DATOS_[[#This Row],[Check Equiparado]]="Sí",1,0)</f>
        <v>#DIV/0!</v>
      </c>
      <c r="BY92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1" s="138" t="e">
        <f aca="false">+DATOS_[[#This Row],[SALARIO BASE Eq]]+DATOS_[[#This Row],[Tot COMPL.SAL Eq]]</f>
        <v>#DIV/0!</v>
      </c>
      <c r="CA921" s="138" t="e">
        <f aca="false" t="array" ref="CA921:CA9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1" s="138" t="e">
        <f aca="false">+DATOS_[[#This Row],[TOTAL SALARIO Eq]]+DATOS_[[#This Row],[Tot Extrasalarial Eq]]</f>
        <v>#DIV/0!</v>
      </c>
      <c r="CC921" s="139" t="n">
        <f aca="false">DATOS_[[#This Row],[S.BASE]]</f>
        <v>0</v>
      </c>
      <c r="CD921" s="139" t="n">
        <f aca="false">+SUM(DATOS_[[#This Row],[Conc.Sal.01]:[Conc.Sal.30]])</f>
        <v>0</v>
      </c>
      <c r="CE921" s="139" t="n">
        <f aca="false">+DATOS_[[#This Row],[SALARIO BASE Ef]]+DATOS_[[#This Row],[Tot COMPL.SAL Ef]]</f>
        <v>0</v>
      </c>
      <c r="CF921" s="139" t="n">
        <f aca="false">+SUM(DATOS_[[#This Row],[C.Extra.01]:[C.Extra.05]])</f>
        <v>0</v>
      </c>
      <c r="CG921" s="139" t="n">
        <f aca="false">+DATOS_[[#This Row],[TOTAL SALARIO Ef]]+DATOS_[[#This Row],[Tot Extrasalarial Ef]]</f>
        <v>0</v>
      </c>
      <c r="CH921" s="140" t="n">
        <f aca="false">MIN(IF(DATOS_[[#This Row],[Fecha Fin Contrato]]="",$D$4,DATOS_[[#This Row],[Fecha Fin Contrato]]),$D$4)-MAX(DATOS_[[#This Row],[Fecha de Contratación]],$D$3)+1</f>
        <v>1</v>
      </c>
      <c r="CI921" s="141" t="str">
        <f aca="false">IF(COUNTIFS(DATOS_[id],DATOS_[[#This Row],[id]])&gt;1,DATOS_[[#This Row],[id]],"")</f>
        <v/>
      </c>
      <c r="CJ921" s="141" t="n">
        <f aca="false">(Inicio!$G$10-DATOS_[[#This Row],[Fecha Nacimiento]])/365.25</f>
        <v>0</v>
      </c>
      <c r="CK921" s="141" t="n">
        <f aca="false">(Inicio!$G$10-DATOS_[[#This Row],[Fecha de Antigüedad]])/365.25</f>
        <v>0</v>
      </c>
      <c r="CL921" s="141" t="e">
        <f aca="false">+VLOOKUP(DATOS_[[#This Row],[Clave de Contrato]],TblTiposContrato13[],3,0)</f>
        <v>#N/A</v>
      </c>
      <c r="CM921" s="141" t="e">
        <f aca="false">+VLOOKUP(DATOS_[[#This Row],[Clave de Contrato]],TblTiposContrato13[],4,0)</f>
        <v>#N/A</v>
      </c>
      <c r="CN921" s="141" t="str">
        <f aca="false">VLOOKUP(DATOS_[[#This Row],[Edad]],CONTRATOS!TblRngEdad,2,1)</f>
        <v>20  o menos</v>
      </c>
      <c r="CO921" s="141" t="str">
        <f aca="false">VLOOKUP(DATOS_[[#This Row],[Antigüedad]],TblRngAntg14[],2,1)</f>
        <v>0 a 1 años</v>
      </c>
    </row>
    <row r="922" customFormat="false" ht="13.8" hidden="false" customHeight="false" outlineLevel="0" collapsed="false">
      <c r="D922" s="128"/>
      <c r="E922" s="129"/>
      <c r="F922" s="129"/>
      <c r="G922" s="129"/>
      <c r="H922" s="130"/>
      <c r="I922" s="131"/>
      <c r="J922" s="128"/>
      <c r="K922" s="132"/>
      <c r="L922" s="132"/>
      <c r="M922" s="133"/>
      <c r="N922" s="133"/>
      <c r="O922" s="133"/>
      <c r="P922" s="129"/>
      <c r="Z922" s="75"/>
      <c r="AA922" s="76"/>
      <c r="AB922" s="76"/>
      <c r="AC922" s="129"/>
      <c r="AD922" s="134"/>
      <c r="AE922" s="134"/>
      <c r="AF922" s="134"/>
      <c r="AG922" s="134"/>
      <c r="AH922" s="134"/>
      <c r="AI922" s="134"/>
      <c r="AJ922" s="134"/>
      <c r="AK922" s="134"/>
      <c r="AL922" s="134"/>
      <c r="AM922" s="134"/>
      <c r="AN922" s="134"/>
      <c r="AO922" s="134"/>
      <c r="AP922" s="134"/>
      <c r="AQ922" s="134"/>
      <c r="AR922" s="134"/>
      <c r="AS922" s="134"/>
      <c r="AT922" s="134"/>
      <c r="AU922" s="134"/>
      <c r="AV922" s="134"/>
      <c r="AW922" s="134"/>
      <c r="AX922" s="134"/>
      <c r="AY922" s="134"/>
      <c r="AZ922" s="134"/>
      <c r="BA922" s="134"/>
      <c r="BB922" s="134"/>
      <c r="BC922" s="134"/>
      <c r="BD922" s="134"/>
      <c r="BE922" s="134"/>
      <c r="BF922" s="134"/>
      <c r="BG922" s="134"/>
      <c r="BH922" s="134"/>
      <c r="BI922" s="134"/>
      <c r="BJ922" s="134"/>
      <c r="BK922" s="134"/>
      <c r="BL922" s="134"/>
      <c r="BM922" s="135"/>
      <c r="BN922" s="136" t="n">
        <f aca="false">+MAX($D$3,DATOS_[[#This Row],[Fecha Inicio Sit. Contract.]])</f>
        <v>0</v>
      </c>
      <c r="BO922" s="136" t="n">
        <f aca="false">+MIN($D$4,DATOS_[[#This Row],[Fecha Fin Sit. Contract.]])</f>
        <v>0</v>
      </c>
      <c r="BP922" s="137" t="n">
        <f aca="false">+DATOS_[[#This Row],[% de jornada]]*IF(DATOS_[[#This Row],[% jornada reducida]]="",1,DATOS_[[#This Row],[% jornada reducida]])</f>
        <v>0</v>
      </c>
      <c r="BQ922" s="137" t="n">
        <f aca="false">+(DATOS_[[#This Row],[F.fin.cal]]-DATOS_[[#This Row],[F.ini.cal]]+1)/($D$4-$D$3+1)</f>
        <v>1</v>
      </c>
      <c r="BR922" s="137" t="str">
        <f aca="false">IF(OR(AND(DATOS_[[#This Row],[Fecha Fin Contrato]]&lt;$D$3,DATOS_[[#This Row],[Fecha Fin Contrato]]&lt;&gt;""),DATOS_[[#This Row],[Fecha de Contratación]]&gt;$D$4),"Fuera","Dentro")</f>
        <v>Dentro</v>
      </c>
      <c r="BS922" s="137" t="str">
        <f aca="false" t="array" ref="BS922:BS922">IF(MAX(IF(DATOS_[id]=DATOS_[[#This Row],[id]],DATOS_[F.fin.cal]))=DATOS_[[#This Row],[F.fin.cal]],"Sí","NO")</f>
        <v>Sí</v>
      </c>
      <c r="BT922" s="137" t="str">
        <f aca="false">IF(AND(DATOS_[[#This Row],[% normaliz]]&lt;&gt;1,DATOS_[[#This Row],[% anualiz]]=1),"Sí","NO")</f>
        <v>Sí</v>
      </c>
      <c r="BU922" s="137" t="str">
        <f aca="false">IF(AND(DATOS_[[#This Row],[% normaliz]]=1,DATOS_[[#This Row],[% anualiz]]&lt;&gt;1),"Sí","NO")</f>
        <v>NO</v>
      </c>
      <c r="BV922" s="137" t="str">
        <f aca="false">IF(AND(DATOS_[[#This Row],[% normaliz]]&lt;&gt;1,DATOS_[[#This Row],[% anualiz]]&lt;&gt;1),"Sí","NO")</f>
        <v>NO</v>
      </c>
      <c r="BW922" s="137" t="str">
        <f aca="false">+IF(DATOS_[[#This Row],[% normaliz]]*DATOS_[[#This Row],[% anualiz]]=1,"NO","Sí")</f>
        <v>Sí</v>
      </c>
      <c r="BX922" s="138" t="e">
        <f aca="false">(DATOS_[[#This Row],[S.BASE]]*(1/DATOS_[[#This Row],[% normaliz]])*(1/DATOS_[[#This Row],[% anualiz]]))*IF(DATOS_[[#This Row],[Check Equiparado]]="Sí",1,0)</f>
        <v>#DIV/0!</v>
      </c>
      <c r="BY92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2" s="138" t="e">
        <f aca="false">+DATOS_[[#This Row],[SALARIO BASE Eq]]+DATOS_[[#This Row],[Tot COMPL.SAL Eq]]</f>
        <v>#DIV/0!</v>
      </c>
      <c r="CA922" s="138" t="e">
        <f aca="false" t="array" ref="CA922:CA9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2" s="138" t="e">
        <f aca="false">+DATOS_[[#This Row],[TOTAL SALARIO Eq]]+DATOS_[[#This Row],[Tot Extrasalarial Eq]]</f>
        <v>#DIV/0!</v>
      </c>
      <c r="CC922" s="139" t="n">
        <f aca="false">DATOS_[[#This Row],[S.BASE]]</f>
        <v>0</v>
      </c>
      <c r="CD922" s="139" t="n">
        <f aca="false">+SUM(DATOS_[[#This Row],[Conc.Sal.01]:[Conc.Sal.30]])</f>
        <v>0</v>
      </c>
      <c r="CE922" s="139" t="n">
        <f aca="false">+DATOS_[[#This Row],[SALARIO BASE Ef]]+DATOS_[[#This Row],[Tot COMPL.SAL Ef]]</f>
        <v>0</v>
      </c>
      <c r="CF922" s="139" t="n">
        <f aca="false">+SUM(DATOS_[[#This Row],[C.Extra.01]:[C.Extra.05]])</f>
        <v>0</v>
      </c>
      <c r="CG922" s="139" t="n">
        <f aca="false">+DATOS_[[#This Row],[TOTAL SALARIO Ef]]+DATOS_[[#This Row],[Tot Extrasalarial Ef]]</f>
        <v>0</v>
      </c>
      <c r="CH922" s="140" t="n">
        <f aca="false">MIN(IF(DATOS_[[#This Row],[Fecha Fin Contrato]]="",$D$4,DATOS_[[#This Row],[Fecha Fin Contrato]]),$D$4)-MAX(DATOS_[[#This Row],[Fecha de Contratación]],$D$3)+1</f>
        <v>1</v>
      </c>
      <c r="CI922" s="141" t="str">
        <f aca="false">IF(COUNTIFS(DATOS_[id],DATOS_[[#This Row],[id]])&gt;1,DATOS_[[#This Row],[id]],"")</f>
        <v/>
      </c>
      <c r="CJ922" s="141" t="n">
        <f aca="false">(Inicio!$G$10-DATOS_[[#This Row],[Fecha Nacimiento]])/365.25</f>
        <v>0</v>
      </c>
      <c r="CK922" s="141" t="n">
        <f aca="false">(Inicio!$G$10-DATOS_[[#This Row],[Fecha de Antigüedad]])/365.25</f>
        <v>0</v>
      </c>
      <c r="CL922" s="141" t="e">
        <f aca="false">+VLOOKUP(DATOS_[[#This Row],[Clave de Contrato]],TblTiposContrato13[],3,0)</f>
        <v>#N/A</v>
      </c>
      <c r="CM922" s="141" t="e">
        <f aca="false">+VLOOKUP(DATOS_[[#This Row],[Clave de Contrato]],TblTiposContrato13[],4,0)</f>
        <v>#N/A</v>
      </c>
      <c r="CN922" s="141" t="str">
        <f aca="false">VLOOKUP(DATOS_[[#This Row],[Edad]],CONTRATOS!TblRngEdad,2,1)</f>
        <v>20  o menos</v>
      </c>
      <c r="CO922" s="141" t="str">
        <f aca="false">VLOOKUP(DATOS_[[#This Row],[Antigüedad]],TblRngAntg14[],2,1)</f>
        <v>0 a 1 años</v>
      </c>
    </row>
    <row r="923" customFormat="false" ht="13.8" hidden="false" customHeight="false" outlineLevel="0" collapsed="false">
      <c r="D923" s="128"/>
      <c r="E923" s="129"/>
      <c r="F923" s="129"/>
      <c r="G923" s="129"/>
      <c r="H923" s="130"/>
      <c r="I923" s="131"/>
      <c r="J923" s="128"/>
      <c r="K923" s="132"/>
      <c r="L923" s="132"/>
      <c r="M923" s="133"/>
      <c r="N923" s="133"/>
      <c r="O923" s="133"/>
      <c r="P923" s="129"/>
      <c r="Z923" s="75"/>
      <c r="AA923" s="76"/>
      <c r="AB923" s="76"/>
      <c r="AC923" s="129"/>
      <c r="AD923" s="134"/>
      <c r="AE923" s="134"/>
      <c r="AF923" s="134"/>
      <c r="AG923" s="134"/>
      <c r="AH923" s="134"/>
      <c r="AI923" s="134"/>
      <c r="AJ923" s="134"/>
      <c r="AK923" s="134"/>
      <c r="AL923" s="134"/>
      <c r="AM923" s="134"/>
      <c r="AN923" s="134"/>
      <c r="AO923" s="134"/>
      <c r="AP923" s="134"/>
      <c r="AQ923" s="134"/>
      <c r="AR923" s="134"/>
      <c r="AS923" s="134"/>
      <c r="AT923" s="134"/>
      <c r="AU923" s="134"/>
      <c r="AV923" s="134"/>
      <c r="AW923" s="134"/>
      <c r="AX923" s="134"/>
      <c r="AY923" s="134"/>
      <c r="AZ923" s="134"/>
      <c r="BA923" s="134"/>
      <c r="BB923" s="134"/>
      <c r="BC923" s="134"/>
      <c r="BD923" s="134"/>
      <c r="BE923" s="134"/>
      <c r="BF923" s="134"/>
      <c r="BG923" s="134"/>
      <c r="BH923" s="134"/>
      <c r="BI923" s="134"/>
      <c r="BJ923" s="134"/>
      <c r="BK923" s="134"/>
      <c r="BL923" s="134"/>
      <c r="BM923" s="135"/>
      <c r="BN923" s="136" t="n">
        <f aca="false">+MAX($D$3,DATOS_[[#This Row],[Fecha Inicio Sit. Contract.]])</f>
        <v>0</v>
      </c>
      <c r="BO923" s="136" t="n">
        <f aca="false">+MIN($D$4,DATOS_[[#This Row],[Fecha Fin Sit. Contract.]])</f>
        <v>0</v>
      </c>
      <c r="BP923" s="137" t="n">
        <f aca="false">+DATOS_[[#This Row],[% de jornada]]*IF(DATOS_[[#This Row],[% jornada reducida]]="",1,DATOS_[[#This Row],[% jornada reducida]])</f>
        <v>0</v>
      </c>
      <c r="BQ923" s="137" t="n">
        <f aca="false">+(DATOS_[[#This Row],[F.fin.cal]]-DATOS_[[#This Row],[F.ini.cal]]+1)/($D$4-$D$3+1)</f>
        <v>1</v>
      </c>
      <c r="BR923" s="137" t="str">
        <f aca="false">IF(OR(AND(DATOS_[[#This Row],[Fecha Fin Contrato]]&lt;$D$3,DATOS_[[#This Row],[Fecha Fin Contrato]]&lt;&gt;""),DATOS_[[#This Row],[Fecha de Contratación]]&gt;$D$4),"Fuera","Dentro")</f>
        <v>Dentro</v>
      </c>
      <c r="BS923" s="137" t="str">
        <f aca="false" t="array" ref="BS923:BS923">IF(MAX(IF(DATOS_[id]=DATOS_[[#This Row],[id]],DATOS_[F.fin.cal]))=DATOS_[[#This Row],[F.fin.cal]],"Sí","NO")</f>
        <v>Sí</v>
      </c>
      <c r="BT923" s="137" t="str">
        <f aca="false">IF(AND(DATOS_[[#This Row],[% normaliz]]&lt;&gt;1,DATOS_[[#This Row],[% anualiz]]=1),"Sí","NO")</f>
        <v>Sí</v>
      </c>
      <c r="BU923" s="137" t="str">
        <f aca="false">IF(AND(DATOS_[[#This Row],[% normaliz]]=1,DATOS_[[#This Row],[% anualiz]]&lt;&gt;1),"Sí","NO")</f>
        <v>NO</v>
      </c>
      <c r="BV923" s="137" t="str">
        <f aca="false">IF(AND(DATOS_[[#This Row],[% normaliz]]&lt;&gt;1,DATOS_[[#This Row],[% anualiz]]&lt;&gt;1),"Sí","NO")</f>
        <v>NO</v>
      </c>
      <c r="BW923" s="137" t="str">
        <f aca="false">+IF(DATOS_[[#This Row],[% normaliz]]*DATOS_[[#This Row],[% anualiz]]=1,"NO","Sí")</f>
        <v>Sí</v>
      </c>
      <c r="BX923" s="138" t="e">
        <f aca="false">(DATOS_[[#This Row],[S.BASE]]*(1/DATOS_[[#This Row],[% normaliz]])*(1/DATOS_[[#This Row],[% anualiz]]))*IF(DATOS_[[#This Row],[Check Equiparado]]="Sí",1,0)</f>
        <v>#DIV/0!</v>
      </c>
      <c r="BY92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3" s="138" t="e">
        <f aca="false">+DATOS_[[#This Row],[SALARIO BASE Eq]]+DATOS_[[#This Row],[Tot COMPL.SAL Eq]]</f>
        <v>#DIV/0!</v>
      </c>
      <c r="CA923" s="138" t="e">
        <f aca="false" t="array" ref="CA923:CA9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3" s="138" t="e">
        <f aca="false">+DATOS_[[#This Row],[TOTAL SALARIO Eq]]+DATOS_[[#This Row],[Tot Extrasalarial Eq]]</f>
        <v>#DIV/0!</v>
      </c>
      <c r="CC923" s="139" t="n">
        <f aca="false">DATOS_[[#This Row],[S.BASE]]</f>
        <v>0</v>
      </c>
      <c r="CD923" s="139" t="n">
        <f aca="false">+SUM(DATOS_[[#This Row],[Conc.Sal.01]:[Conc.Sal.30]])</f>
        <v>0</v>
      </c>
      <c r="CE923" s="139" t="n">
        <f aca="false">+DATOS_[[#This Row],[SALARIO BASE Ef]]+DATOS_[[#This Row],[Tot COMPL.SAL Ef]]</f>
        <v>0</v>
      </c>
      <c r="CF923" s="139" t="n">
        <f aca="false">+SUM(DATOS_[[#This Row],[C.Extra.01]:[C.Extra.05]])</f>
        <v>0</v>
      </c>
      <c r="CG923" s="139" t="n">
        <f aca="false">+DATOS_[[#This Row],[TOTAL SALARIO Ef]]+DATOS_[[#This Row],[Tot Extrasalarial Ef]]</f>
        <v>0</v>
      </c>
      <c r="CH923" s="140" t="n">
        <f aca="false">MIN(IF(DATOS_[[#This Row],[Fecha Fin Contrato]]="",$D$4,DATOS_[[#This Row],[Fecha Fin Contrato]]),$D$4)-MAX(DATOS_[[#This Row],[Fecha de Contratación]],$D$3)+1</f>
        <v>1</v>
      </c>
      <c r="CI923" s="141" t="str">
        <f aca="false">IF(COUNTIFS(DATOS_[id],DATOS_[[#This Row],[id]])&gt;1,DATOS_[[#This Row],[id]],"")</f>
        <v/>
      </c>
      <c r="CJ923" s="141" t="n">
        <f aca="false">(Inicio!$G$10-DATOS_[[#This Row],[Fecha Nacimiento]])/365.25</f>
        <v>0</v>
      </c>
      <c r="CK923" s="141" t="n">
        <f aca="false">(Inicio!$G$10-DATOS_[[#This Row],[Fecha de Antigüedad]])/365.25</f>
        <v>0</v>
      </c>
      <c r="CL923" s="141" t="e">
        <f aca="false">+VLOOKUP(DATOS_[[#This Row],[Clave de Contrato]],TblTiposContrato13[],3,0)</f>
        <v>#N/A</v>
      </c>
      <c r="CM923" s="141" t="e">
        <f aca="false">+VLOOKUP(DATOS_[[#This Row],[Clave de Contrato]],TblTiposContrato13[],4,0)</f>
        <v>#N/A</v>
      </c>
      <c r="CN923" s="141" t="str">
        <f aca="false">VLOOKUP(DATOS_[[#This Row],[Edad]],CONTRATOS!TblRngEdad,2,1)</f>
        <v>20  o menos</v>
      </c>
      <c r="CO923" s="141" t="str">
        <f aca="false">VLOOKUP(DATOS_[[#This Row],[Antigüedad]],TblRngAntg14[],2,1)</f>
        <v>0 a 1 años</v>
      </c>
    </row>
    <row r="924" customFormat="false" ht="13.8" hidden="false" customHeight="false" outlineLevel="0" collapsed="false">
      <c r="D924" s="128"/>
      <c r="E924" s="129"/>
      <c r="F924" s="129"/>
      <c r="G924" s="129"/>
      <c r="H924" s="130"/>
      <c r="I924" s="131"/>
      <c r="J924" s="128"/>
      <c r="K924" s="132"/>
      <c r="L924" s="132"/>
      <c r="M924" s="133"/>
      <c r="N924" s="133"/>
      <c r="O924" s="133"/>
      <c r="P924" s="129"/>
      <c r="Z924" s="75"/>
      <c r="AA924" s="76"/>
      <c r="AB924" s="76"/>
      <c r="AC924" s="129"/>
      <c r="AD924" s="134"/>
      <c r="AE924" s="134"/>
      <c r="AF924" s="134"/>
      <c r="AG924" s="134"/>
      <c r="AH924" s="134"/>
      <c r="AI924" s="134"/>
      <c r="AJ924" s="134"/>
      <c r="AK924" s="134"/>
      <c r="AL924" s="134"/>
      <c r="AM924" s="134"/>
      <c r="AN924" s="134"/>
      <c r="AO924" s="134"/>
      <c r="AP924" s="134"/>
      <c r="AQ924" s="134"/>
      <c r="AR924" s="134"/>
      <c r="AS924" s="134"/>
      <c r="AT924" s="134"/>
      <c r="AU924" s="134"/>
      <c r="AV924" s="134"/>
      <c r="AW924" s="134"/>
      <c r="AX924" s="134"/>
      <c r="AY924" s="134"/>
      <c r="AZ924" s="134"/>
      <c r="BA924" s="134"/>
      <c r="BB924" s="134"/>
      <c r="BC924" s="134"/>
      <c r="BD924" s="134"/>
      <c r="BE924" s="134"/>
      <c r="BF924" s="134"/>
      <c r="BG924" s="134"/>
      <c r="BH924" s="134"/>
      <c r="BI924" s="134"/>
      <c r="BJ924" s="134"/>
      <c r="BK924" s="134"/>
      <c r="BL924" s="134"/>
      <c r="BM924" s="135"/>
      <c r="BN924" s="136" t="n">
        <f aca="false">+MAX($D$3,DATOS_[[#This Row],[Fecha Inicio Sit. Contract.]])</f>
        <v>0</v>
      </c>
      <c r="BO924" s="136" t="n">
        <f aca="false">+MIN($D$4,DATOS_[[#This Row],[Fecha Fin Sit. Contract.]])</f>
        <v>0</v>
      </c>
      <c r="BP924" s="137" t="n">
        <f aca="false">+DATOS_[[#This Row],[% de jornada]]*IF(DATOS_[[#This Row],[% jornada reducida]]="",1,DATOS_[[#This Row],[% jornada reducida]])</f>
        <v>0</v>
      </c>
      <c r="BQ924" s="137" t="n">
        <f aca="false">+(DATOS_[[#This Row],[F.fin.cal]]-DATOS_[[#This Row],[F.ini.cal]]+1)/($D$4-$D$3+1)</f>
        <v>1</v>
      </c>
      <c r="BR924" s="137" t="str">
        <f aca="false">IF(OR(AND(DATOS_[[#This Row],[Fecha Fin Contrato]]&lt;$D$3,DATOS_[[#This Row],[Fecha Fin Contrato]]&lt;&gt;""),DATOS_[[#This Row],[Fecha de Contratación]]&gt;$D$4),"Fuera","Dentro")</f>
        <v>Dentro</v>
      </c>
      <c r="BS924" s="137" t="str">
        <f aca="false" t="array" ref="BS924:BS924">IF(MAX(IF(DATOS_[id]=DATOS_[[#This Row],[id]],DATOS_[F.fin.cal]))=DATOS_[[#This Row],[F.fin.cal]],"Sí","NO")</f>
        <v>Sí</v>
      </c>
      <c r="BT924" s="137" t="str">
        <f aca="false">IF(AND(DATOS_[[#This Row],[% normaliz]]&lt;&gt;1,DATOS_[[#This Row],[% anualiz]]=1),"Sí","NO")</f>
        <v>Sí</v>
      </c>
      <c r="BU924" s="137" t="str">
        <f aca="false">IF(AND(DATOS_[[#This Row],[% normaliz]]=1,DATOS_[[#This Row],[% anualiz]]&lt;&gt;1),"Sí","NO")</f>
        <v>NO</v>
      </c>
      <c r="BV924" s="137" t="str">
        <f aca="false">IF(AND(DATOS_[[#This Row],[% normaliz]]&lt;&gt;1,DATOS_[[#This Row],[% anualiz]]&lt;&gt;1),"Sí","NO")</f>
        <v>NO</v>
      </c>
      <c r="BW924" s="137" t="str">
        <f aca="false">+IF(DATOS_[[#This Row],[% normaliz]]*DATOS_[[#This Row],[% anualiz]]=1,"NO","Sí")</f>
        <v>Sí</v>
      </c>
      <c r="BX924" s="138" t="e">
        <f aca="false">(DATOS_[[#This Row],[S.BASE]]*(1/DATOS_[[#This Row],[% normaliz]])*(1/DATOS_[[#This Row],[% anualiz]]))*IF(DATOS_[[#This Row],[Check Equiparado]]="Sí",1,0)</f>
        <v>#DIV/0!</v>
      </c>
      <c r="BY92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4" s="138" t="e">
        <f aca="false">+DATOS_[[#This Row],[SALARIO BASE Eq]]+DATOS_[[#This Row],[Tot COMPL.SAL Eq]]</f>
        <v>#DIV/0!</v>
      </c>
      <c r="CA924" s="138" t="e">
        <f aca="false" t="array" ref="CA924:CA9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4" s="138" t="e">
        <f aca="false">+DATOS_[[#This Row],[TOTAL SALARIO Eq]]+DATOS_[[#This Row],[Tot Extrasalarial Eq]]</f>
        <v>#DIV/0!</v>
      </c>
      <c r="CC924" s="139" t="n">
        <f aca="false">DATOS_[[#This Row],[S.BASE]]</f>
        <v>0</v>
      </c>
      <c r="CD924" s="139" t="n">
        <f aca="false">+SUM(DATOS_[[#This Row],[Conc.Sal.01]:[Conc.Sal.30]])</f>
        <v>0</v>
      </c>
      <c r="CE924" s="139" t="n">
        <f aca="false">+DATOS_[[#This Row],[SALARIO BASE Ef]]+DATOS_[[#This Row],[Tot COMPL.SAL Ef]]</f>
        <v>0</v>
      </c>
      <c r="CF924" s="139" t="n">
        <f aca="false">+SUM(DATOS_[[#This Row],[C.Extra.01]:[C.Extra.05]])</f>
        <v>0</v>
      </c>
      <c r="CG924" s="139" t="n">
        <f aca="false">+DATOS_[[#This Row],[TOTAL SALARIO Ef]]+DATOS_[[#This Row],[Tot Extrasalarial Ef]]</f>
        <v>0</v>
      </c>
      <c r="CH924" s="140" t="n">
        <f aca="false">MIN(IF(DATOS_[[#This Row],[Fecha Fin Contrato]]="",$D$4,DATOS_[[#This Row],[Fecha Fin Contrato]]),$D$4)-MAX(DATOS_[[#This Row],[Fecha de Contratación]],$D$3)+1</f>
        <v>1</v>
      </c>
      <c r="CI924" s="141" t="str">
        <f aca="false">IF(COUNTIFS(DATOS_[id],DATOS_[[#This Row],[id]])&gt;1,DATOS_[[#This Row],[id]],"")</f>
        <v/>
      </c>
      <c r="CJ924" s="141" t="n">
        <f aca="false">(Inicio!$G$10-DATOS_[[#This Row],[Fecha Nacimiento]])/365.25</f>
        <v>0</v>
      </c>
      <c r="CK924" s="141" t="n">
        <f aca="false">(Inicio!$G$10-DATOS_[[#This Row],[Fecha de Antigüedad]])/365.25</f>
        <v>0</v>
      </c>
      <c r="CL924" s="141" t="e">
        <f aca="false">+VLOOKUP(DATOS_[[#This Row],[Clave de Contrato]],TblTiposContrato13[],3,0)</f>
        <v>#N/A</v>
      </c>
      <c r="CM924" s="141" t="e">
        <f aca="false">+VLOOKUP(DATOS_[[#This Row],[Clave de Contrato]],TblTiposContrato13[],4,0)</f>
        <v>#N/A</v>
      </c>
      <c r="CN924" s="141" t="str">
        <f aca="false">VLOOKUP(DATOS_[[#This Row],[Edad]],CONTRATOS!TblRngEdad,2,1)</f>
        <v>20  o menos</v>
      </c>
      <c r="CO924" s="141" t="str">
        <f aca="false">VLOOKUP(DATOS_[[#This Row],[Antigüedad]],TblRngAntg14[],2,1)</f>
        <v>0 a 1 años</v>
      </c>
    </row>
    <row r="925" customFormat="false" ht="13.8" hidden="false" customHeight="false" outlineLevel="0" collapsed="false">
      <c r="D925" s="128"/>
      <c r="E925" s="129"/>
      <c r="F925" s="129"/>
      <c r="G925" s="129"/>
      <c r="H925" s="130"/>
      <c r="I925" s="131"/>
      <c r="J925" s="128"/>
      <c r="K925" s="132"/>
      <c r="L925" s="132"/>
      <c r="M925" s="133"/>
      <c r="N925" s="133"/>
      <c r="O925" s="133"/>
      <c r="P925" s="129"/>
      <c r="Z925" s="75"/>
      <c r="AA925" s="76"/>
      <c r="AB925" s="76"/>
      <c r="AC925" s="129"/>
      <c r="AD925" s="134"/>
      <c r="AE925" s="134"/>
      <c r="AF925" s="134"/>
      <c r="AG925" s="134"/>
      <c r="AH925" s="134"/>
      <c r="AI925" s="134"/>
      <c r="AJ925" s="134"/>
      <c r="AK925" s="134"/>
      <c r="AL925" s="134"/>
      <c r="AM925" s="134"/>
      <c r="AN925" s="134"/>
      <c r="AO925" s="134"/>
      <c r="AP925" s="134"/>
      <c r="AQ925" s="134"/>
      <c r="AR925" s="134"/>
      <c r="AS925" s="134"/>
      <c r="AT925" s="134"/>
      <c r="AU925" s="134"/>
      <c r="AV925" s="134"/>
      <c r="AW925" s="134"/>
      <c r="AX925" s="134"/>
      <c r="AY925" s="134"/>
      <c r="AZ925" s="134"/>
      <c r="BA925" s="134"/>
      <c r="BB925" s="134"/>
      <c r="BC925" s="134"/>
      <c r="BD925" s="134"/>
      <c r="BE925" s="134"/>
      <c r="BF925" s="134"/>
      <c r="BG925" s="134"/>
      <c r="BH925" s="134"/>
      <c r="BI925" s="134"/>
      <c r="BJ925" s="134"/>
      <c r="BK925" s="134"/>
      <c r="BL925" s="134"/>
      <c r="BM925" s="135"/>
      <c r="BN925" s="136" t="n">
        <f aca="false">+MAX($D$3,DATOS_[[#This Row],[Fecha Inicio Sit. Contract.]])</f>
        <v>0</v>
      </c>
      <c r="BO925" s="136" t="n">
        <f aca="false">+MIN($D$4,DATOS_[[#This Row],[Fecha Fin Sit. Contract.]])</f>
        <v>0</v>
      </c>
      <c r="BP925" s="137" t="n">
        <f aca="false">+DATOS_[[#This Row],[% de jornada]]*IF(DATOS_[[#This Row],[% jornada reducida]]="",1,DATOS_[[#This Row],[% jornada reducida]])</f>
        <v>0</v>
      </c>
      <c r="BQ925" s="137" t="n">
        <f aca="false">+(DATOS_[[#This Row],[F.fin.cal]]-DATOS_[[#This Row],[F.ini.cal]]+1)/($D$4-$D$3+1)</f>
        <v>1</v>
      </c>
      <c r="BR925" s="137" t="str">
        <f aca="false">IF(OR(AND(DATOS_[[#This Row],[Fecha Fin Contrato]]&lt;$D$3,DATOS_[[#This Row],[Fecha Fin Contrato]]&lt;&gt;""),DATOS_[[#This Row],[Fecha de Contratación]]&gt;$D$4),"Fuera","Dentro")</f>
        <v>Dentro</v>
      </c>
      <c r="BS925" s="137" t="str">
        <f aca="false" t="array" ref="BS925:BS925">IF(MAX(IF(DATOS_[id]=DATOS_[[#This Row],[id]],DATOS_[F.fin.cal]))=DATOS_[[#This Row],[F.fin.cal]],"Sí","NO")</f>
        <v>Sí</v>
      </c>
      <c r="BT925" s="137" t="str">
        <f aca="false">IF(AND(DATOS_[[#This Row],[% normaliz]]&lt;&gt;1,DATOS_[[#This Row],[% anualiz]]=1),"Sí","NO")</f>
        <v>Sí</v>
      </c>
      <c r="BU925" s="137" t="str">
        <f aca="false">IF(AND(DATOS_[[#This Row],[% normaliz]]=1,DATOS_[[#This Row],[% anualiz]]&lt;&gt;1),"Sí","NO")</f>
        <v>NO</v>
      </c>
      <c r="BV925" s="137" t="str">
        <f aca="false">IF(AND(DATOS_[[#This Row],[% normaliz]]&lt;&gt;1,DATOS_[[#This Row],[% anualiz]]&lt;&gt;1),"Sí","NO")</f>
        <v>NO</v>
      </c>
      <c r="BW925" s="137" t="str">
        <f aca="false">+IF(DATOS_[[#This Row],[% normaliz]]*DATOS_[[#This Row],[% anualiz]]=1,"NO","Sí")</f>
        <v>Sí</v>
      </c>
      <c r="BX925" s="138" t="e">
        <f aca="false">(DATOS_[[#This Row],[S.BASE]]*(1/DATOS_[[#This Row],[% normaliz]])*(1/DATOS_[[#This Row],[% anualiz]]))*IF(DATOS_[[#This Row],[Check Equiparado]]="Sí",1,0)</f>
        <v>#DIV/0!</v>
      </c>
      <c r="BY92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5" s="138" t="e">
        <f aca="false">+DATOS_[[#This Row],[SALARIO BASE Eq]]+DATOS_[[#This Row],[Tot COMPL.SAL Eq]]</f>
        <v>#DIV/0!</v>
      </c>
      <c r="CA925" s="138" t="e">
        <f aca="false" t="array" ref="CA925:CA9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5" s="138" t="e">
        <f aca="false">+DATOS_[[#This Row],[TOTAL SALARIO Eq]]+DATOS_[[#This Row],[Tot Extrasalarial Eq]]</f>
        <v>#DIV/0!</v>
      </c>
      <c r="CC925" s="139" t="n">
        <f aca="false">DATOS_[[#This Row],[S.BASE]]</f>
        <v>0</v>
      </c>
      <c r="CD925" s="139" t="n">
        <f aca="false">+SUM(DATOS_[[#This Row],[Conc.Sal.01]:[Conc.Sal.30]])</f>
        <v>0</v>
      </c>
      <c r="CE925" s="139" t="n">
        <f aca="false">+DATOS_[[#This Row],[SALARIO BASE Ef]]+DATOS_[[#This Row],[Tot COMPL.SAL Ef]]</f>
        <v>0</v>
      </c>
      <c r="CF925" s="139" t="n">
        <f aca="false">+SUM(DATOS_[[#This Row],[C.Extra.01]:[C.Extra.05]])</f>
        <v>0</v>
      </c>
      <c r="CG925" s="139" t="n">
        <f aca="false">+DATOS_[[#This Row],[TOTAL SALARIO Ef]]+DATOS_[[#This Row],[Tot Extrasalarial Ef]]</f>
        <v>0</v>
      </c>
      <c r="CH925" s="140" t="n">
        <f aca="false">MIN(IF(DATOS_[[#This Row],[Fecha Fin Contrato]]="",$D$4,DATOS_[[#This Row],[Fecha Fin Contrato]]),$D$4)-MAX(DATOS_[[#This Row],[Fecha de Contratación]],$D$3)+1</f>
        <v>1</v>
      </c>
      <c r="CI925" s="141" t="str">
        <f aca="false">IF(COUNTIFS(DATOS_[id],DATOS_[[#This Row],[id]])&gt;1,DATOS_[[#This Row],[id]],"")</f>
        <v/>
      </c>
      <c r="CJ925" s="141" t="n">
        <f aca="false">(Inicio!$G$10-DATOS_[[#This Row],[Fecha Nacimiento]])/365.25</f>
        <v>0</v>
      </c>
      <c r="CK925" s="141" t="n">
        <f aca="false">(Inicio!$G$10-DATOS_[[#This Row],[Fecha de Antigüedad]])/365.25</f>
        <v>0</v>
      </c>
      <c r="CL925" s="141" t="e">
        <f aca="false">+VLOOKUP(DATOS_[[#This Row],[Clave de Contrato]],TblTiposContrato13[],3,0)</f>
        <v>#N/A</v>
      </c>
      <c r="CM925" s="141" t="e">
        <f aca="false">+VLOOKUP(DATOS_[[#This Row],[Clave de Contrato]],TblTiposContrato13[],4,0)</f>
        <v>#N/A</v>
      </c>
      <c r="CN925" s="141" t="str">
        <f aca="false">VLOOKUP(DATOS_[[#This Row],[Edad]],CONTRATOS!TblRngEdad,2,1)</f>
        <v>20  o menos</v>
      </c>
      <c r="CO925" s="141" t="str">
        <f aca="false">VLOOKUP(DATOS_[[#This Row],[Antigüedad]],TblRngAntg14[],2,1)</f>
        <v>0 a 1 años</v>
      </c>
    </row>
    <row r="926" customFormat="false" ht="13.8" hidden="false" customHeight="false" outlineLevel="0" collapsed="false">
      <c r="D926" s="128"/>
      <c r="E926" s="129"/>
      <c r="F926" s="129"/>
      <c r="G926" s="129"/>
      <c r="H926" s="130"/>
      <c r="I926" s="131"/>
      <c r="J926" s="128"/>
      <c r="K926" s="132"/>
      <c r="L926" s="132"/>
      <c r="M926" s="133"/>
      <c r="N926" s="133"/>
      <c r="O926" s="133"/>
      <c r="P926" s="129"/>
      <c r="Z926" s="75"/>
      <c r="AA926" s="76"/>
      <c r="AB926" s="76"/>
      <c r="AC926" s="129"/>
      <c r="AD926" s="134"/>
      <c r="AE926" s="134"/>
      <c r="AF926" s="134"/>
      <c r="AG926" s="134"/>
      <c r="AH926" s="134"/>
      <c r="AI926" s="134"/>
      <c r="AJ926" s="134"/>
      <c r="AK926" s="134"/>
      <c r="AL926" s="134"/>
      <c r="AM926" s="134"/>
      <c r="AN926" s="134"/>
      <c r="AO926" s="134"/>
      <c r="AP926" s="134"/>
      <c r="AQ926" s="134"/>
      <c r="AR926" s="134"/>
      <c r="AS926" s="134"/>
      <c r="AT926" s="134"/>
      <c r="AU926" s="134"/>
      <c r="AV926" s="134"/>
      <c r="AW926" s="134"/>
      <c r="AX926" s="134"/>
      <c r="AY926" s="134"/>
      <c r="AZ926" s="134"/>
      <c r="BA926" s="134"/>
      <c r="BB926" s="134"/>
      <c r="BC926" s="134"/>
      <c r="BD926" s="134"/>
      <c r="BE926" s="134"/>
      <c r="BF926" s="134"/>
      <c r="BG926" s="134"/>
      <c r="BH926" s="134"/>
      <c r="BI926" s="134"/>
      <c r="BJ926" s="134"/>
      <c r="BK926" s="134"/>
      <c r="BL926" s="134"/>
      <c r="BM926" s="135"/>
      <c r="BN926" s="136" t="n">
        <f aca="false">+MAX($D$3,DATOS_[[#This Row],[Fecha Inicio Sit. Contract.]])</f>
        <v>0</v>
      </c>
      <c r="BO926" s="136" t="n">
        <f aca="false">+MIN($D$4,DATOS_[[#This Row],[Fecha Fin Sit. Contract.]])</f>
        <v>0</v>
      </c>
      <c r="BP926" s="137" t="n">
        <f aca="false">+DATOS_[[#This Row],[% de jornada]]*IF(DATOS_[[#This Row],[% jornada reducida]]="",1,DATOS_[[#This Row],[% jornada reducida]])</f>
        <v>0</v>
      </c>
      <c r="BQ926" s="137" t="n">
        <f aca="false">+(DATOS_[[#This Row],[F.fin.cal]]-DATOS_[[#This Row],[F.ini.cal]]+1)/($D$4-$D$3+1)</f>
        <v>1</v>
      </c>
      <c r="BR926" s="137" t="str">
        <f aca="false">IF(OR(AND(DATOS_[[#This Row],[Fecha Fin Contrato]]&lt;$D$3,DATOS_[[#This Row],[Fecha Fin Contrato]]&lt;&gt;""),DATOS_[[#This Row],[Fecha de Contratación]]&gt;$D$4),"Fuera","Dentro")</f>
        <v>Dentro</v>
      </c>
      <c r="BS926" s="137" t="str">
        <f aca="false" t="array" ref="BS926:BS926">IF(MAX(IF(DATOS_[id]=DATOS_[[#This Row],[id]],DATOS_[F.fin.cal]))=DATOS_[[#This Row],[F.fin.cal]],"Sí","NO")</f>
        <v>Sí</v>
      </c>
      <c r="BT926" s="137" t="str">
        <f aca="false">IF(AND(DATOS_[[#This Row],[% normaliz]]&lt;&gt;1,DATOS_[[#This Row],[% anualiz]]=1),"Sí","NO")</f>
        <v>Sí</v>
      </c>
      <c r="BU926" s="137" t="str">
        <f aca="false">IF(AND(DATOS_[[#This Row],[% normaliz]]=1,DATOS_[[#This Row],[% anualiz]]&lt;&gt;1),"Sí","NO")</f>
        <v>NO</v>
      </c>
      <c r="BV926" s="137" t="str">
        <f aca="false">IF(AND(DATOS_[[#This Row],[% normaliz]]&lt;&gt;1,DATOS_[[#This Row],[% anualiz]]&lt;&gt;1),"Sí","NO")</f>
        <v>NO</v>
      </c>
      <c r="BW926" s="137" t="str">
        <f aca="false">+IF(DATOS_[[#This Row],[% normaliz]]*DATOS_[[#This Row],[% anualiz]]=1,"NO","Sí")</f>
        <v>Sí</v>
      </c>
      <c r="BX926" s="138" t="e">
        <f aca="false">(DATOS_[[#This Row],[S.BASE]]*(1/DATOS_[[#This Row],[% normaliz]])*(1/DATOS_[[#This Row],[% anualiz]]))*IF(DATOS_[[#This Row],[Check Equiparado]]="Sí",1,0)</f>
        <v>#DIV/0!</v>
      </c>
      <c r="BY92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6" s="138" t="e">
        <f aca="false">+DATOS_[[#This Row],[SALARIO BASE Eq]]+DATOS_[[#This Row],[Tot COMPL.SAL Eq]]</f>
        <v>#DIV/0!</v>
      </c>
      <c r="CA926" s="138" t="e">
        <f aca="false" t="array" ref="CA926:CA9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6" s="138" t="e">
        <f aca="false">+DATOS_[[#This Row],[TOTAL SALARIO Eq]]+DATOS_[[#This Row],[Tot Extrasalarial Eq]]</f>
        <v>#DIV/0!</v>
      </c>
      <c r="CC926" s="139" t="n">
        <f aca="false">DATOS_[[#This Row],[S.BASE]]</f>
        <v>0</v>
      </c>
      <c r="CD926" s="139" t="n">
        <f aca="false">+SUM(DATOS_[[#This Row],[Conc.Sal.01]:[Conc.Sal.30]])</f>
        <v>0</v>
      </c>
      <c r="CE926" s="139" t="n">
        <f aca="false">+DATOS_[[#This Row],[SALARIO BASE Ef]]+DATOS_[[#This Row],[Tot COMPL.SAL Ef]]</f>
        <v>0</v>
      </c>
      <c r="CF926" s="139" t="n">
        <f aca="false">+SUM(DATOS_[[#This Row],[C.Extra.01]:[C.Extra.05]])</f>
        <v>0</v>
      </c>
      <c r="CG926" s="139" t="n">
        <f aca="false">+DATOS_[[#This Row],[TOTAL SALARIO Ef]]+DATOS_[[#This Row],[Tot Extrasalarial Ef]]</f>
        <v>0</v>
      </c>
      <c r="CH926" s="140" t="n">
        <f aca="false">MIN(IF(DATOS_[[#This Row],[Fecha Fin Contrato]]="",$D$4,DATOS_[[#This Row],[Fecha Fin Contrato]]),$D$4)-MAX(DATOS_[[#This Row],[Fecha de Contratación]],$D$3)+1</f>
        <v>1</v>
      </c>
      <c r="CI926" s="141" t="str">
        <f aca="false">IF(COUNTIFS(DATOS_[id],DATOS_[[#This Row],[id]])&gt;1,DATOS_[[#This Row],[id]],"")</f>
        <v/>
      </c>
      <c r="CJ926" s="141" t="n">
        <f aca="false">(Inicio!$G$10-DATOS_[[#This Row],[Fecha Nacimiento]])/365.25</f>
        <v>0</v>
      </c>
      <c r="CK926" s="141" t="n">
        <f aca="false">(Inicio!$G$10-DATOS_[[#This Row],[Fecha de Antigüedad]])/365.25</f>
        <v>0</v>
      </c>
      <c r="CL926" s="141" t="e">
        <f aca="false">+VLOOKUP(DATOS_[[#This Row],[Clave de Contrato]],TblTiposContrato13[],3,0)</f>
        <v>#N/A</v>
      </c>
      <c r="CM926" s="141" t="e">
        <f aca="false">+VLOOKUP(DATOS_[[#This Row],[Clave de Contrato]],TblTiposContrato13[],4,0)</f>
        <v>#N/A</v>
      </c>
      <c r="CN926" s="141" t="str">
        <f aca="false">VLOOKUP(DATOS_[[#This Row],[Edad]],CONTRATOS!TblRngEdad,2,1)</f>
        <v>20  o menos</v>
      </c>
      <c r="CO926" s="141" t="str">
        <f aca="false">VLOOKUP(DATOS_[[#This Row],[Antigüedad]],TblRngAntg14[],2,1)</f>
        <v>0 a 1 años</v>
      </c>
    </row>
    <row r="927" customFormat="false" ht="13.8" hidden="false" customHeight="false" outlineLevel="0" collapsed="false">
      <c r="D927" s="128"/>
      <c r="E927" s="129"/>
      <c r="F927" s="129"/>
      <c r="G927" s="129"/>
      <c r="H927" s="130"/>
      <c r="I927" s="131"/>
      <c r="J927" s="128"/>
      <c r="K927" s="132"/>
      <c r="L927" s="132"/>
      <c r="M927" s="133"/>
      <c r="N927" s="133"/>
      <c r="O927" s="133"/>
      <c r="P927" s="129"/>
      <c r="Z927" s="75"/>
      <c r="AA927" s="76"/>
      <c r="AB927" s="76"/>
      <c r="AC927" s="129"/>
      <c r="AD927" s="134"/>
      <c r="AE927" s="134"/>
      <c r="AF927" s="134"/>
      <c r="AG927" s="134"/>
      <c r="AH927" s="134"/>
      <c r="AI927" s="134"/>
      <c r="AJ927" s="134"/>
      <c r="AK927" s="134"/>
      <c r="AL927" s="134"/>
      <c r="AM927" s="134"/>
      <c r="AN927" s="134"/>
      <c r="AO927" s="134"/>
      <c r="AP927" s="134"/>
      <c r="AQ927" s="134"/>
      <c r="AR927" s="134"/>
      <c r="AS927" s="134"/>
      <c r="AT927" s="134"/>
      <c r="AU927" s="134"/>
      <c r="AV927" s="134"/>
      <c r="AW927" s="134"/>
      <c r="AX927" s="134"/>
      <c r="AY927" s="134"/>
      <c r="AZ927" s="134"/>
      <c r="BA927" s="134"/>
      <c r="BB927" s="134"/>
      <c r="BC927" s="134"/>
      <c r="BD927" s="134"/>
      <c r="BE927" s="134"/>
      <c r="BF927" s="134"/>
      <c r="BG927" s="134"/>
      <c r="BH927" s="134"/>
      <c r="BI927" s="134"/>
      <c r="BJ927" s="134"/>
      <c r="BK927" s="134"/>
      <c r="BL927" s="134"/>
      <c r="BM927" s="135"/>
      <c r="BN927" s="136" t="n">
        <f aca="false">+MAX($D$3,DATOS_[[#This Row],[Fecha Inicio Sit. Contract.]])</f>
        <v>0</v>
      </c>
      <c r="BO927" s="136" t="n">
        <f aca="false">+MIN($D$4,DATOS_[[#This Row],[Fecha Fin Sit. Contract.]])</f>
        <v>0</v>
      </c>
      <c r="BP927" s="137" t="n">
        <f aca="false">+DATOS_[[#This Row],[% de jornada]]*IF(DATOS_[[#This Row],[% jornada reducida]]="",1,DATOS_[[#This Row],[% jornada reducida]])</f>
        <v>0</v>
      </c>
      <c r="BQ927" s="137" t="n">
        <f aca="false">+(DATOS_[[#This Row],[F.fin.cal]]-DATOS_[[#This Row],[F.ini.cal]]+1)/($D$4-$D$3+1)</f>
        <v>1</v>
      </c>
      <c r="BR927" s="137" t="str">
        <f aca="false">IF(OR(AND(DATOS_[[#This Row],[Fecha Fin Contrato]]&lt;$D$3,DATOS_[[#This Row],[Fecha Fin Contrato]]&lt;&gt;""),DATOS_[[#This Row],[Fecha de Contratación]]&gt;$D$4),"Fuera","Dentro")</f>
        <v>Dentro</v>
      </c>
      <c r="BS927" s="137" t="str">
        <f aca="false" t="array" ref="BS927:BS927">IF(MAX(IF(DATOS_[id]=DATOS_[[#This Row],[id]],DATOS_[F.fin.cal]))=DATOS_[[#This Row],[F.fin.cal]],"Sí","NO")</f>
        <v>Sí</v>
      </c>
      <c r="BT927" s="137" t="str">
        <f aca="false">IF(AND(DATOS_[[#This Row],[% normaliz]]&lt;&gt;1,DATOS_[[#This Row],[% anualiz]]=1),"Sí","NO")</f>
        <v>Sí</v>
      </c>
      <c r="BU927" s="137" t="str">
        <f aca="false">IF(AND(DATOS_[[#This Row],[% normaliz]]=1,DATOS_[[#This Row],[% anualiz]]&lt;&gt;1),"Sí","NO")</f>
        <v>NO</v>
      </c>
      <c r="BV927" s="137" t="str">
        <f aca="false">IF(AND(DATOS_[[#This Row],[% normaliz]]&lt;&gt;1,DATOS_[[#This Row],[% anualiz]]&lt;&gt;1),"Sí","NO")</f>
        <v>NO</v>
      </c>
      <c r="BW927" s="137" t="str">
        <f aca="false">+IF(DATOS_[[#This Row],[% normaliz]]*DATOS_[[#This Row],[% anualiz]]=1,"NO","Sí")</f>
        <v>Sí</v>
      </c>
      <c r="BX927" s="138" t="e">
        <f aca="false">(DATOS_[[#This Row],[S.BASE]]*(1/DATOS_[[#This Row],[% normaliz]])*(1/DATOS_[[#This Row],[% anualiz]]))*IF(DATOS_[[#This Row],[Check Equiparado]]="Sí",1,0)</f>
        <v>#DIV/0!</v>
      </c>
      <c r="BY92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7" s="138" t="e">
        <f aca="false">+DATOS_[[#This Row],[SALARIO BASE Eq]]+DATOS_[[#This Row],[Tot COMPL.SAL Eq]]</f>
        <v>#DIV/0!</v>
      </c>
      <c r="CA927" s="138" t="e">
        <f aca="false" t="array" ref="CA927:CA9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7" s="138" t="e">
        <f aca="false">+DATOS_[[#This Row],[TOTAL SALARIO Eq]]+DATOS_[[#This Row],[Tot Extrasalarial Eq]]</f>
        <v>#DIV/0!</v>
      </c>
      <c r="CC927" s="139" t="n">
        <f aca="false">DATOS_[[#This Row],[S.BASE]]</f>
        <v>0</v>
      </c>
      <c r="CD927" s="139" t="n">
        <f aca="false">+SUM(DATOS_[[#This Row],[Conc.Sal.01]:[Conc.Sal.30]])</f>
        <v>0</v>
      </c>
      <c r="CE927" s="139" t="n">
        <f aca="false">+DATOS_[[#This Row],[SALARIO BASE Ef]]+DATOS_[[#This Row],[Tot COMPL.SAL Ef]]</f>
        <v>0</v>
      </c>
      <c r="CF927" s="139" t="n">
        <f aca="false">+SUM(DATOS_[[#This Row],[C.Extra.01]:[C.Extra.05]])</f>
        <v>0</v>
      </c>
      <c r="CG927" s="139" t="n">
        <f aca="false">+DATOS_[[#This Row],[TOTAL SALARIO Ef]]+DATOS_[[#This Row],[Tot Extrasalarial Ef]]</f>
        <v>0</v>
      </c>
      <c r="CH927" s="140" t="n">
        <f aca="false">MIN(IF(DATOS_[[#This Row],[Fecha Fin Contrato]]="",$D$4,DATOS_[[#This Row],[Fecha Fin Contrato]]),$D$4)-MAX(DATOS_[[#This Row],[Fecha de Contratación]],$D$3)+1</f>
        <v>1</v>
      </c>
      <c r="CI927" s="141" t="str">
        <f aca="false">IF(COUNTIFS(DATOS_[id],DATOS_[[#This Row],[id]])&gt;1,DATOS_[[#This Row],[id]],"")</f>
        <v/>
      </c>
      <c r="CJ927" s="141" t="n">
        <f aca="false">(Inicio!$G$10-DATOS_[[#This Row],[Fecha Nacimiento]])/365.25</f>
        <v>0</v>
      </c>
      <c r="CK927" s="141" t="n">
        <f aca="false">(Inicio!$G$10-DATOS_[[#This Row],[Fecha de Antigüedad]])/365.25</f>
        <v>0</v>
      </c>
      <c r="CL927" s="141" t="e">
        <f aca="false">+VLOOKUP(DATOS_[[#This Row],[Clave de Contrato]],TblTiposContrato13[],3,0)</f>
        <v>#N/A</v>
      </c>
      <c r="CM927" s="141" t="e">
        <f aca="false">+VLOOKUP(DATOS_[[#This Row],[Clave de Contrato]],TblTiposContrato13[],4,0)</f>
        <v>#N/A</v>
      </c>
      <c r="CN927" s="141" t="str">
        <f aca="false">VLOOKUP(DATOS_[[#This Row],[Edad]],CONTRATOS!TblRngEdad,2,1)</f>
        <v>20  o menos</v>
      </c>
      <c r="CO927" s="141" t="str">
        <f aca="false">VLOOKUP(DATOS_[[#This Row],[Antigüedad]],TblRngAntg14[],2,1)</f>
        <v>0 a 1 años</v>
      </c>
    </row>
    <row r="928" customFormat="false" ht="13.8" hidden="false" customHeight="false" outlineLevel="0" collapsed="false">
      <c r="D928" s="128"/>
      <c r="E928" s="129"/>
      <c r="F928" s="129"/>
      <c r="G928" s="129"/>
      <c r="H928" s="130"/>
      <c r="I928" s="131"/>
      <c r="J928" s="128"/>
      <c r="K928" s="132"/>
      <c r="L928" s="132"/>
      <c r="M928" s="133"/>
      <c r="N928" s="133"/>
      <c r="O928" s="133"/>
      <c r="P928" s="129"/>
      <c r="Z928" s="75"/>
      <c r="AA928" s="76"/>
      <c r="AB928" s="76"/>
      <c r="AC928" s="129"/>
      <c r="AD928" s="134"/>
      <c r="AE928" s="134"/>
      <c r="AF928" s="134"/>
      <c r="AG928" s="134"/>
      <c r="AH928" s="134"/>
      <c r="AI928" s="134"/>
      <c r="AJ928" s="134"/>
      <c r="AK928" s="134"/>
      <c r="AL928" s="134"/>
      <c r="AM928" s="134"/>
      <c r="AN928" s="134"/>
      <c r="AO928" s="134"/>
      <c r="AP928" s="134"/>
      <c r="AQ928" s="134"/>
      <c r="AR928" s="134"/>
      <c r="AS928" s="134"/>
      <c r="AT928" s="134"/>
      <c r="AU928" s="134"/>
      <c r="AV928" s="134"/>
      <c r="AW928" s="134"/>
      <c r="AX928" s="134"/>
      <c r="AY928" s="134"/>
      <c r="AZ928" s="134"/>
      <c r="BA928" s="134"/>
      <c r="BB928" s="134"/>
      <c r="BC928" s="134"/>
      <c r="BD928" s="134"/>
      <c r="BE928" s="134"/>
      <c r="BF928" s="134"/>
      <c r="BG928" s="134"/>
      <c r="BH928" s="134"/>
      <c r="BI928" s="134"/>
      <c r="BJ928" s="134"/>
      <c r="BK928" s="134"/>
      <c r="BL928" s="134"/>
      <c r="BM928" s="135"/>
      <c r="BN928" s="136" t="n">
        <f aca="false">+MAX($D$3,DATOS_[[#This Row],[Fecha Inicio Sit. Contract.]])</f>
        <v>0</v>
      </c>
      <c r="BO928" s="136" t="n">
        <f aca="false">+MIN($D$4,DATOS_[[#This Row],[Fecha Fin Sit. Contract.]])</f>
        <v>0</v>
      </c>
      <c r="BP928" s="137" t="n">
        <f aca="false">+DATOS_[[#This Row],[% de jornada]]*IF(DATOS_[[#This Row],[% jornada reducida]]="",1,DATOS_[[#This Row],[% jornada reducida]])</f>
        <v>0</v>
      </c>
      <c r="BQ928" s="137" t="n">
        <f aca="false">+(DATOS_[[#This Row],[F.fin.cal]]-DATOS_[[#This Row],[F.ini.cal]]+1)/($D$4-$D$3+1)</f>
        <v>1</v>
      </c>
      <c r="BR928" s="137" t="str">
        <f aca="false">IF(OR(AND(DATOS_[[#This Row],[Fecha Fin Contrato]]&lt;$D$3,DATOS_[[#This Row],[Fecha Fin Contrato]]&lt;&gt;""),DATOS_[[#This Row],[Fecha de Contratación]]&gt;$D$4),"Fuera","Dentro")</f>
        <v>Dentro</v>
      </c>
      <c r="BS928" s="137" t="str">
        <f aca="false" t="array" ref="BS928:BS928">IF(MAX(IF(DATOS_[id]=DATOS_[[#This Row],[id]],DATOS_[F.fin.cal]))=DATOS_[[#This Row],[F.fin.cal]],"Sí","NO")</f>
        <v>Sí</v>
      </c>
      <c r="BT928" s="137" t="str">
        <f aca="false">IF(AND(DATOS_[[#This Row],[% normaliz]]&lt;&gt;1,DATOS_[[#This Row],[% anualiz]]=1),"Sí","NO")</f>
        <v>Sí</v>
      </c>
      <c r="BU928" s="137" t="str">
        <f aca="false">IF(AND(DATOS_[[#This Row],[% normaliz]]=1,DATOS_[[#This Row],[% anualiz]]&lt;&gt;1),"Sí","NO")</f>
        <v>NO</v>
      </c>
      <c r="BV928" s="137" t="str">
        <f aca="false">IF(AND(DATOS_[[#This Row],[% normaliz]]&lt;&gt;1,DATOS_[[#This Row],[% anualiz]]&lt;&gt;1),"Sí","NO")</f>
        <v>NO</v>
      </c>
      <c r="BW928" s="137" t="str">
        <f aca="false">+IF(DATOS_[[#This Row],[% normaliz]]*DATOS_[[#This Row],[% anualiz]]=1,"NO","Sí")</f>
        <v>Sí</v>
      </c>
      <c r="BX928" s="138" t="e">
        <f aca="false">(DATOS_[[#This Row],[S.BASE]]*(1/DATOS_[[#This Row],[% normaliz]])*(1/DATOS_[[#This Row],[% anualiz]]))*IF(DATOS_[[#This Row],[Check Equiparado]]="Sí",1,0)</f>
        <v>#DIV/0!</v>
      </c>
      <c r="BY92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8" s="138" t="e">
        <f aca="false">+DATOS_[[#This Row],[SALARIO BASE Eq]]+DATOS_[[#This Row],[Tot COMPL.SAL Eq]]</f>
        <v>#DIV/0!</v>
      </c>
      <c r="CA928" s="138" t="e">
        <f aca="false" t="array" ref="CA928:CA9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8" s="138" t="e">
        <f aca="false">+DATOS_[[#This Row],[TOTAL SALARIO Eq]]+DATOS_[[#This Row],[Tot Extrasalarial Eq]]</f>
        <v>#DIV/0!</v>
      </c>
      <c r="CC928" s="139" t="n">
        <f aca="false">DATOS_[[#This Row],[S.BASE]]</f>
        <v>0</v>
      </c>
      <c r="CD928" s="139" t="n">
        <f aca="false">+SUM(DATOS_[[#This Row],[Conc.Sal.01]:[Conc.Sal.30]])</f>
        <v>0</v>
      </c>
      <c r="CE928" s="139" t="n">
        <f aca="false">+DATOS_[[#This Row],[SALARIO BASE Ef]]+DATOS_[[#This Row],[Tot COMPL.SAL Ef]]</f>
        <v>0</v>
      </c>
      <c r="CF928" s="139" t="n">
        <f aca="false">+SUM(DATOS_[[#This Row],[C.Extra.01]:[C.Extra.05]])</f>
        <v>0</v>
      </c>
      <c r="CG928" s="139" t="n">
        <f aca="false">+DATOS_[[#This Row],[TOTAL SALARIO Ef]]+DATOS_[[#This Row],[Tot Extrasalarial Ef]]</f>
        <v>0</v>
      </c>
      <c r="CH928" s="140" t="n">
        <f aca="false">MIN(IF(DATOS_[[#This Row],[Fecha Fin Contrato]]="",$D$4,DATOS_[[#This Row],[Fecha Fin Contrato]]),$D$4)-MAX(DATOS_[[#This Row],[Fecha de Contratación]],$D$3)+1</f>
        <v>1</v>
      </c>
      <c r="CI928" s="141" t="str">
        <f aca="false">IF(COUNTIFS(DATOS_[id],DATOS_[[#This Row],[id]])&gt;1,DATOS_[[#This Row],[id]],"")</f>
        <v/>
      </c>
      <c r="CJ928" s="141" t="n">
        <f aca="false">(Inicio!$G$10-DATOS_[[#This Row],[Fecha Nacimiento]])/365.25</f>
        <v>0</v>
      </c>
      <c r="CK928" s="141" t="n">
        <f aca="false">(Inicio!$G$10-DATOS_[[#This Row],[Fecha de Antigüedad]])/365.25</f>
        <v>0</v>
      </c>
      <c r="CL928" s="141" t="e">
        <f aca="false">+VLOOKUP(DATOS_[[#This Row],[Clave de Contrato]],TblTiposContrato13[],3,0)</f>
        <v>#N/A</v>
      </c>
      <c r="CM928" s="141" t="e">
        <f aca="false">+VLOOKUP(DATOS_[[#This Row],[Clave de Contrato]],TblTiposContrato13[],4,0)</f>
        <v>#N/A</v>
      </c>
      <c r="CN928" s="141" t="str">
        <f aca="false">VLOOKUP(DATOS_[[#This Row],[Edad]],CONTRATOS!TblRngEdad,2,1)</f>
        <v>20  o menos</v>
      </c>
      <c r="CO928" s="141" t="str">
        <f aca="false">VLOOKUP(DATOS_[[#This Row],[Antigüedad]],TblRngAntg14[],2,1)</f>
        <v>0 a 1 años</v>
      </c>
    </row>
    <row r="929" customFormat="false" ht="13.8" hidden="false" customHeight="false" outlineLevel="0" collapsed="false">
      <c r="D929" s="128"/>
      <c r="E929" s="129"/>
      <c r="F929" s="129"/>
      <c r="G929" s="129"/>
      <c r="H929" s="130"/>
      <c r="I929" s="131"/>
      <c r="J929" s="128"/>
      <c r="K929" s="132"/>
      <c r="L929" s="132"/>
      <c r="M929" s="133"/>
      <c r="N929" s="133"/>
      <c r="O929" s="133"/>
      <c r="P929" s="129"/>
      <c r="Z929" s="75"/>
      <c r="AA929" s="76"/>
      <c r="AB929" s="76"/>
      <c r="AC929" s="129"/>
      <c r="AD929" s="134"/>
      <c r="AE929" s="134"/>
      <c r="AF929" s="134"/>
      <c r="AG929" s="134"/>
      <c r="AH929" s="134"/>
      <c r="AI929" s="134"/>
      <c r="AJ929" s="134"/>
      <c r="AK929" s="134"/>
      <c r="AL929" s="134"/>
      <c r="AM929" s="134"/>
      <c r="AN929" s="134"/>
      <c r="AO929" s="134"/>
      <c r="AP929" s="134"/>
      <c r="AQ929" s="134"/>
      <c r="AR929" s="134"/>
      <c r="AS929" s="134"/>
      <c r="AT929" s="134"/>
      <c r="AU929" s="134"/>
      <c r="AV929" s="134"/>
      <c r="AW929" s="134"/>
      <c r="AX929" s="134"/>
      <c r="AY929" s="134"/>
      <c r="AZ929" s="134"/>
      <c r="BA929" s="134"/>
      <c r="BB929" s="134"/>
      <c r="BC929" s="134"/>
      <c r="BD929" s="134"/>
      <c r="BE929" s="134"/>
      <c r="BF929" s="134"/>
      <c r="BG929" s="134"/>
      <c r="BH929" s="134"/>
      <c r="BI929" s="134"/>
      <c r="BJ929" s="134"/>
      <c r="BK929" s="134"/>
      <c r="BL929" s="134"/>
      <c r="BM929" s="135"/>
      <c r="BN929" s="136" t="n">
        <f aca="false">+MAX($D$3,DATOS_[[#This Row],[Fecha Inicio Sit. Contract.]])</f>
        <v>0</v>
      </c>
      <c r="BO929" s="136" t="n">
        <f aca="false">+MIN($D$4,DATOS_[[#This Row],[Fecha Fin Sit. Contract.]])</f>
        <v>0</v>
      </c>
      <c r="BP929" s="137" t="n">
        <f aca="false">+DATOS_[[#This Row],[% de jornada]]*IF(DATOS_[[#This Row],[% jornada reducida]]="",1,DATOS_[[#This Row],[% jornada reducida]])</f>
        <v>0</v>
      </c>
      <c r="BQ929" s="137" t="n">
        <f aca="false">+(DATOS_[[#This Row],[F.fin.cal]]-DATOS_[[#This Row],[F.ini.cal]]+1)/($D$4-$D$3+1)</f>
        <v>1</v>
      </c>
      <c r="BR929" s="137" t="str">
        <f aca="false">IF(OR(AND(DATOS_[[#This Row],[Fecha Fin Contrato]]&lt;$D$3,DATOS_[[#This Row],[Fecha Fin Contrato]]&lt;&gt;""),DATOS_[[#This Row],[Fecha de Contratación]]&gt;$D$4),"Fuera","Dentro")</f>
        <v>Dentro</v>
      </c>
      <c r="BS929" s="137" t="str">
        <f aca="false" t="array" ref="BS929:BS929">IF(MAX(IF(DATOS_[id]=DATOS_[[#This Row],[id]],DATOS_[F.fin.cal]))=DATOS_[[#This Row],[F.fin.cal]],"Sí","NO")</f>
        <v>Sí</v>
      </c>
      <c r="BT929" s="137" t="str">
        <f aca="false">IF(AND(DATOS_[[#This Row],[% normaliz]]&lt;&gt;1,DATOS_[[#This Row],[% anualiz]]=1),"Sí","NO")</f>
        <v>Sí</v>
      </c>
      <c r="BU929" s="137" t="str">
        <f aca="false">IF(AND(DATOS_[[#This Row],[% normaliz]]=1,DATOS_[[#This Row],[% anualiz]]&lt;&gt;1),"Sí","NO")</f>
        <v>NO</v>
      </c>
      <c r="BV929" s="137" t="str">
        <f aca="false">IF(AND(DATOS_[[#This Row],[% normaliz]]&lt;&gt;1,DATOS_[[#This Row],[% anualiz]]&lt;&gt;1),"Sí","NO")</f>
        <v>NO</v>
      </c>
      <c r="BW929" s="137" t="str">
        <f aca="false">+IF(DATOS_[[#This Row],[% normaliz]]*DATOS_[[#This Row],[% anualiz]]=1,"NO","Sí")</f>
        <v>Sí</v>
      </c>
      <c r="BX929" s="138" t="e">
        <f aca="false">(DATOS_[[#This Row],[S.BASE]]*(1/DATOS_[[#This Row],[% normaliz]])*(1/DATOS_[[#This Row],[% anualiz]]))*IF(DATOS_[[#This Row],[Check Equiparado]]="Sí",1,0)</f>
        <v>#DIV/0!</v>
      </c>
      <c r="BY92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9" s="138" t="e">
        <f aca="false">+DATOS_[[#This Row],[SALARIO BASE Eq]]+DATOS_[[#This Row],[Tot COMPL.SAL Eq]]</f>
        <v>#DIV/0!</v>
      </c>
      <c r="CA929" s="138" t="e">
        <f aca="false" t="array" ref="CA929:CA9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9" s="138" t="e">
        <f aca="false">+DATOS_[[#This Row],[TOTAL SALARIO Eq]]+DATOS_[[#This Row],[Tot Extrasalarial Eq]]</f>
        <v>#DIV/0!</v>
      </c>
      <c r="CC929" s="139" t="n">
        <f aca="false">DATOS_[[#This Row],[S.BASE]]</f>
        <v>0</v>
      </c>
      <c r="CD929" s="139" t="n">
        <f aca="false">+SUM(DATOS_[[#This Row],[Conc.Sal.01]:[Conc.Sal.30]])</f>
        <v>0</v>
      </c>
      <c r="CE929" s="139" t="n">
        <f aca="false">+DATOS_[[#This Row],[SALARIO BASE Ef]]+DATOS_[[#This Row],[Tot COMPL.SAL Ef]]</f>
        <v>0</v>
      </c>
      <c r="CF929" s="139" t="n">
        <f aca="false">+SUM(DATOS_[[#This Row],[C.Extra.01]:[C.Extra.05]])</f>
        <v>0</v>
      </c>
      <c r="CG929" s="139" t="n">
        <f aca="false">+DATOS_[[#This Row],[TOTAL SALARIO Ef]]+DATOS_[[#This Row],[Tot Extrasalarial Ef]]</f>
        <v>0</v>
      </c>
      <c r="CH929" s="140" t="n">
        <f aca="false">MIN(IF(DATOS_[[#This Row],[Fecha Fin Contrato]]="",$D$4,DATOS_[[#This Row],[Fecha Fin Contrato]]),$D$4)-MAX(DATOS_[[#This Row],[Fecha de Contratación]],$D$3)+1</f>
        <v>1</v>
      </c>
      <c r="CI929" s="141" t="str">
        <f aca="false">IF(COUNTIFS(DATOS_[id],DATOS_[[#This Row],[id]])&gt;1,DATOS_[[#This Row],[id]],"")</f>
        <v/>
      </c>
      <c r="CJ929" s="141" t="n">
        <f aca="false">(Inicio!$G$10-DATOS_[[#This Row],[Fecha Nacimiento]])/365.25</f>
        <v>0</v>
      </c>
      <c r="CK929" s="141" t="n">
        <f aca="false">(Inicio!$G$10-DATOS_[[#This Row],[Fecha de Antigüedad]])/365.25</f>
        <v>0</v>
      </c>
      <c r="CL929" s="141" t="e">
        <f aca="false">+VLOOKUP(DATOS_[[#This Row],[Clave de Contrato]],TblTiposContrato13[],3,0)</f>
        <v>#N/A</v>
      </c>
      <c r="CM929" s="141" t="e">
        <f aca="false">+VLOOKUP(DATOS_[[#This Row],[Clave de Contrato]],TblTiposContrato13[],4,0)</f>
        <v>#N/A</v>
      </c>
      <c r="CN929" s="141" t="str">
        <f aca="false">VLOOKUP(DATOS_[[#This Row],[Edad]],CONTRATOS!TblRngEdad,2,1)</f>
        <v>20  o menos</v>
      </c>
      <c r="CO929" s="141" t="str">
        <f aca="false">VLOOKUP(DATOS_[[#This Row],[Antigüedad]],TblRngAntg14[],2,1)</f>
        <v>0 a 1 años</v>
      </c>
    </row>
    <row r="930" customFormat="false" ht="13.8" hidden="false" customHeight="false" outlineLevel="0" collapsed="false">
      <c r="D930" s="128"/>
      <c r="E930" s="129"/>
      <c r="F930" s="129"/>
      <c r="G930" s="129"/>
      <c r="H930" s="130"/>
      <c r="I930" s="131"/>
      <c r="J930" s="128"/>
      <c r="K930" s="132"/>
      <c r="L930" s="132"/>
      <c r="M930" s="133"/>
      <c r="N930" s="133"/>
      <c r="O930" s="133"/>
      <c r="P930" s="129"/>
      <c r="Z930" s="75"/>
      <c r="AA930" s="76"/>
      <c r="AB930" s="76"/>
      <c r="AC930" s="129"/>
      <c r="AD930" s="134"/>
      <c r="AE930" s="134"/>
      <c r="AF930" s="134"/>
      <c r="AG930" s="134"/>
      <c r="AH930" s="134"/>
      <c r="AI930" s="134"/>
      <c r="AJ930" s="134"/>
      <c r="AK930" s="134"/>
      <c r="AL930" s="134"/>
      <c r="AM930" s="134"/>
      <c r="AN930" s="134"/>
      <c r="AO930" s="134"/>
      <c r="AP930" s="134"/>
      <c r="AQ930" s="134"/>
      <c r="AR930" s="134"/>
      <c r="AS930" s="134"/>
      <c r="AT930" s="134"/>
      <c r="AU930" s="134"/>
      <c r="AV930" s="134"/>
      <c r="AW930" s="134"/>
      <c r="AX930" s="134"/>
      <c r="AY930" s="134"/>
      <c r="AZ930" s="134"/>
      <c r="BA930" s="134"/>
      <c r="BB930" s="134"/>
      <c r="BC930" s="134"/>
      <c r="BD930" s="134"/>
      <c r="BE930" s="134"/>
      <c r="BF930" s="134"/>
      <c r="BG930" s="134"/>
      <c r="BH930" s="134"/>
      <c r="BI930" s="134"/>
      <c r="BJ930" s="134"/>
      <c r="BK930" s="134"/>
      <c r="BL930" s="134"/>
      <c r="BM930" s="135"/>
      <c r="BN930" s="136" t="n">
        <f aca="false">+MAX($D$3,DATOS_[[#This Row],[Fecha Inicio Sit. Contract.]])</f>
        <v>0</v>
      </c>
      <c r="BO930" s="136" t="n">
        <f aca="false">+MIN($D$4,DATOS_[[#This Row],[Fecha Fin Sit. Contract.]])</f>
        <v>0</v>
      </c>
      <c r="BP930" s="137" t="n">
        <f aca="false">+DATOS_[[#This Row],[% de jornada]]*IF(DATOS_[[#This Row],[% jornada reducida]]="",1,DATOS_[[#This Row],[% jornada reducida]])</f>
        <v>0</v>
      </c>
      <c r="BQ930" s="137" t="n">
        <f aca="false">+(DATOS_[[#This Row],[F.fin.cal]]-DATOS_[[#This Row],[F.ini.cal]]+1)/($D$4-$D$3+1)</f>
        <v>1</v>
      </c>
      <c r="BR930" s="137" t="str">
        <f aca="false">IF(OR(AND(DATOS_[[#This Row],[Fecha Fin Contrato]]&lt;$D$3,DATOS_[[#This Row],[Fecha Fin Contrato]]&lt;&gt;""),DATOS_[[#This Row],[Fecha de Contratación]]&gt;$D$4),"Fuera","Dentro")</f>
        <v>Dentro</v>
      </c>
      <c r="BS930" s="137" t="str">
        <f aca="false" t="array" ref="BS930:BS930">IF(MAX(IF(DATOS_[id]=DATOS_[[#This Row],[id]],DATOS_[F.fin.cal]))=DATOS_[[#This Row],[F.fin.cal]],"Sí","NO")</f>
        <v>Sí</v>
      </c>
      <c r="BT930" s="137" t="str">
        <f aca="false">IF(AND(DATOS_[[#This Row],[% normaliz]]&lt;&gt;1,DATOS_[[#This Row],[% anualiz]]=1),"Sí","NO")</f>
        <v>Sí</v>
      </c>
      <c r="BU930" s="137" t="str">
        <f aca="false">IF(AND(DATOS_[[#This Row],[% normaliz]]=1,DATOS_[[#This Row],[% anualiz]]&lt;&gt;1),"Sí","NO")</f>
        <v>NO</v>
      </c>
      <c r="BV930" s="137" t="str">
        <f aca="false">IF(AND(DATOS_[[#This Row],[% normaliz]]&lt;&gt;1,DATOS_[[#This Row],[% anualiz]]&lt;&gt;1),"Sí","NO")</f>
        <v>NO</v>
      </c>
      <c r="BW930" s="137" t="str">
        <f aca="false">+IF(DATOS_[[#This Row],[% normaliz]]*DATOS_[[#This Row],[% anualiz]]=1,"NO","Sí")</f>
        <v>Sí</v>
      </c>
      <c r="BX930" s="138" t="e">
        <f aca="false">(DATOS_[[#This Row],[S.BASE]]*(1/DATOS_[[#This Row],[% normaliz]])*(1/DATOS_[[#This Row],[% anualiz]]))*IF(DATOS_[[#This Row],[Check Equiparado]]="Sí",1,0)</f>
        <v>#DIV/0!</v>
      </c>
      <c r="BY93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0" s="138" t="e">
        <f aca="false">+DATOS_[[#This Row],[SALARIO BASE Eq]]+DATOS_[[#This Row],[Tot COMPL.SAL Eq]]</f>
        <v>#DIV/0!</v>
      </c>
      <c r="CA930" s="138" t="e">
        <f aca="false" t="array" ref="CA930:CA9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0" s="138" t="e">
        <f aca="false">+DATOS_[[#This Row],[TOTAL SALARIO Eq]]+DATOS_[[#This Row],[Tot Extrasalarial Eq]]</f>
        <v>#DIV/0!</v>
      </c>
      <c r="CC930" s="139" t="n">
        <f aca="false">DATOS_[[#This Row],[S.BASE]]</f>
        <v>0</v>
      </c>
      <c r="CD930" s="139" t="n">
        <f aca="false">+SUM(DATOS_[[#This Row],[Conc.Sal.01]:[Conc.Sal.30]])</f>
        <v>0</v>
      </c>
      <c r="CE930" s="139" t="n">
        <f aca="false">+DATOS_[[#This Row],[SALARIO BASE Ef]]+DATOS_[[#This Row],[Tot COMPL.SAL Ef]]</f>
        <v>0</v>
      </c>
      <c r="CF930" s="139" t="n">
        <f aca="false">+SUM(DATOS_[[#This Row],[C.Extra.01]:[C.Extra.05]])</f>
        <v>0</v>
      </c>
      <c r="CG930" s="139" t="n">
        <f aca="false">+DATOS_[[#This Row],[TOTAL SALARIO Ef]]+DATOS_[[#This Row],[Tot Extrasalarial Ef]]</f>
        <v>0</v>
      </c>
      <c r="CH930" s="140" t="n">
        <f aca="false">MIN(IF(DATOS_[[#This Row],[Fecha Fin Contrato]]="",$D$4,DATOS_[[#This Row],[Fecha Fin Contrato]]),$D$4)-MAX(DATOS_[[#This Row],[Fecha de Contratación]],$D$3)+1</f>
        <v>1</v>
      </c>
      <c r="CI930" s="141" t="str">
        <f aca="false">IF(COUNTIFS(DATOS_[id],DATOS_[[#This Row],[id]])&gt;1,DATOS_[[#This Row],[id]],"")</f>
        <v/>
      </c>
      <c r="CJ930" s="141" t="n">
        <f aca="false">(Inicio!$G$10-DATOS_[[#This Row],[Fecha Nacimiento]])/365.25</f>
        <v>0</v>
      </c>
      <c r="CK930" s="141" t="n">
        <f aca="false">(Inicio!$G$10-DATOS_[[#This Row],[Fecha de Antigüedad]])/365.25</f>
        <v>0</v>
      </c>
      <c r="CL930" s="141" t="e">
        <f aca="false">+VLOOKUP(DATOS_[[#This Row],[Clave de Contrato]],TblTiposContrato13[],3,0)</f>
        <v>#N/A</v>
      </c>
      <c r="CM930" s="141" t="e">
        <f aca="false">+VLOOKUP(DATOS_[[#This Row],[Clave de Contrato]],TblTiposContrato13[],4,0)</f>
        <v>#N/A</v>
      </c>
      <c r="CN930" s="141" t="str">
        <f aca="false">VLOOKUP(DATOS_[[#This Row],[Edad]],CONTRATOS!TblRngEdad,2,1)</f>
        <v>20  o menos</v>
      </c>
      <c r="CO930" s="141" t="str">
        <f aca="false">VLOOKUP(DATOS_[[#This Row],[Antigüedad]],TblRngAntg14[],2,1)</f>
        <v>0 a 1 años</v>
      </c>
    </row>
    <row r="931" customFormat="false" ht="13.8" hidden="false" customHeight="false" outlineLevel="0" collapsed="false">
      <c r="D931" s="128"/>
      <c r="E931" s="129"/>
      <c r="F931" s="129"/>
      <c r="G931" s="129"/>
      <c r="H931" s="130"/>
      <c r="I931" s="131"/>
      <c r="J931" s="128"/>
      <c r="K931" s="132"/>
      <c r="L931" s="132"/>
      <c r="M931" s="133"/>
      <c r="N931" s="133"/>
      <c r="O931" s="133"/>
      <c r="P931" s="129"/>
      <c r="Z931" s="75"/>
      <c r="AA931" s="76"/>
      <c r="AB931" s="76"/>
      <c r="AC931" s="129"/>
      <c r="AD931" s="134"/>
      <c r="AE931" s="134"/>
      <c r="AF931" s="134"/>
      <c r="AG931" s="134"/>
      <c r="AH931" s="134"/>
      <c r="AI931" s="134"/>
      <c r="AJ931" s="134"/>
      <c r="AK931" s="134"/>
      <c r="AL931" s="134"/>
      <c r="AM931" s="134"/>
      <c r="AN931" s="134"/>
      <c r="AO931" s="134"/>
      <c r="AP931" s="134"/>
      <c r="AQ931" s="134"/>
      <c r="AR931" s="134"/>
      <c r="AS931" s="134"/>
      <c r="AT931" s="134"/>
      <c r="AU931" s="134"/>
      <c r="AV931" s="134"/>
      <c r="AW931" s="134"/>
      <c r="AX931" s="134"/>
      <c r="AY931" s="134"/>
      <c r="AZ931" s="134"/>
      <c r="BA931" s="134"/>
      <c r="BB931" s="134"/>
      <c r="BC931" s="134"/>
      <c r="BD931" s="134"/>
      <c r="BE931" s="134"/>
      <c r="BF931" s="134"/>
      <c r="BG931" s="134"/>
      <c r="BH931" s="134"/>
      <c r="BI931" s="134"/>
      <c r="BJ931" s="134"/>
      <c r="BK931" s="134"/>
      <c r="BL931" s="134"/>
      <c r="BM931" s="135"/>
      <c r="BN931" s="136" t="n">
        <f aca="false">+MAX($D$3,DATOS_[[#This Row],[Fecha Inicio Sit. Contract.]])</f>
        <v>0</v>
      </c>
      <c r="BO931" s="136" t="n">
        <f aca="false">+MIN($D$4,DATOS_[[#This Row],[Fecha Fin Sit. Contract.]])</f>
        <v>0</v>
      </c>
      <c r="BP931" s="137" t="n">
        <f aca="false">+DATOS_[[#This Row],[% de jornada]]*IF(DATOS_[[#This Row],[% jornada reducida]]="",1,DATOS_[[#This Row],[% jornada reducida]])</f>
        <v>0</v>
      </c>
      <c r="BQ931" s="137" t="n">
        <f aca="false">+(DATOS_[[#This Row],[F.fin.cal]]-DATOS_[[#This Row],[F.ini.cal]]+1)/($D$4-$D$3+1)</f>
        <v>1</v>
      </c>
      <c r="BR931" s="137" t="str">
        <f aca="false">IF(OR(AND(DATOS_[[#This Row],[Fecha Fin Contrato]]&lt;$D$3,DATOS_[[#This Row],[Fecha Fin Contrato]]&lt;&gt;""),DATOS_[[#This Row],[Fecha de Contratación]]&gt;$D$4),"Fuera","Dentro")</f>
        <v>Dentro</v>
      </c>
      <c r="BS931" s="137" t="str">
        <f aca="false" t="array" ref="BS931:BS931">IF(MAX(IF(DATOS_[id]=DATOS_[[#This Row],[id]],DATOS_[F.fin.cal]))=DATOS_[[#This Row],[F.fin.cal]],"Sí","NO")</f>
        <v>Sí</v>
      </c>
      <c r="BT931" s="137" t="str">
        <f aca="false">IF(AND(DATOS_[[#This Row],[% normaliz]]&lt;&gt;1,DATOS_[[#This Row],[% anualiz]]=1),"Sí","NO")</f>
        <v>Sí</v>
      </c>
      <c r="BU931" s="137" t="str">
        <f aca="false">IF(AND(DATOS_[[#This Row],[% normaliz]]=1,DATOS_[[#This Row],[% anualiz]]&lt;&gt;1),"Sí","NO")</f>
        <v>NO</v>
      </c>
      <c r="BV931" s="137" t="str">
        <f aca="false">IF(AND(DATOS_[[#This Row],[% normaliz]]&lt;&gt;1,DATOS_[[#This Row],[% anualiz]]&lt;&gt;1),"Sí","NO")</f>
        <v>NO</v>
      </c>
      <c r="BW931" s="137" t="str">
        <f aca="false">+IF(DATOS_[[#This Row],[% normaliz]]*DATOS_[[#This Row],[% anualiz]]=1,"NO","Sí")</f>
        <v>Sí</v>
      </c>
      <c r="BX931" s="138" t="e">
        <f aca="false">(DATOS_[[#This Row],[S.BASE]]*(1/DATOS_[[#This Row],[% normaliz]])*(1/DATOS_[[#This Row],[% anualiz]]))*IF(DATOS_[[#This Row],[Check Equiparado]]="Sí",1,0)</f>
        <v>#DIV/0!</v>
      </c>
      <c r="BY93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1" s="138" t="e">
        <f aca="false">+DATOS_[[#This Row],[SALARIO BASE Eq]]+DATOS_[[#This Row],[Tot COMPL.SAL Eq]]</f>
        <v>#DIV/0!</v>
      </c>
      <c r="CA931" s="138" t="e">
        <f aca="false" t="array" ref="CA931:CA9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1" s="138" t="e">
        <f aca="false">+DATOS_[[#This Row],[TOTAL SALARIO Eq]]+DATOS_[[#This Row],[Tot Extrasalarial Eq]]</f>
        <v>#DIV/0!</v>
      </c>
      <c r="CC931" s="139" t="n">
        <f aca="false">DATOS_[[#This Row],[S.BASE]]</f>
        <v>0</v>
      </c>
      <c r="CD931" s="139" t="n">
        <f aca="false">+SUM(DATOS_[[#This Row],[Conc.Sal.01]:[Conc.Sal.30]])</f>
        <v>0</v>
      </c>
      <c r="CE931" s="139" t="n">
        <f aca="false">+DATOS_[[#This Row],[SALARIO BASE Ef]]+DATOS_[[#This Row],[Tot COMPL.SAL Ef]]</f>
        <v>0</v>
      </c>
      <c r="CF931" s="139" t="n">
        <f aca="false">+SUM(DATOS_[[#This Row],[C.Extra.01]:[C.Extra.05]])</f>
        <v>0</v>
      </c>
      <c r="CG931" s="139" t="n">
        <f aca="false">+DATOS_[[#This Row],[TOTAL SALARIO Ef]]+DATOS_[[#This Row],[Tot Extrasalarial Ef]]</f>
        <v>0</v>
      </c>
      <c r="CH931" s="140" t="n">
        <f aca="false">MIN(IF(DATOS_[[#This Row],[Fecha Fin Contrato]]="",$D$4,DATOS_[[#This Row],[Fecha Fin Contrato]]),$D$4)-MAX(DATOS_[[#This Row],[Fecha de Contratación]],$D$3)+1</f>
        <v>1</v>
      </c>
      <c r="CI931" s="141" t="str">
        <f aca="false">IF(COUNTIFS(DATOS_[id],DATOS_[[#This Row],[id]])&gt;1,DATOS_[[#This Row],[id]],"")</f>
        <v/>
      </c>
      <c r="CJ931" s="141" t="n">
        <f aca="false">(Inicio!$G$10-DATOS_[[#This Row],[Fecha Nacimiento]])/365.25</f>
        <v>0</v>
      </c>
      <c r="CK931" s="141" t="n">
        <f aca="false">(Inicio!$G$10-DATOS_[[#This Row],[Fecha de Antigüedad]])/365.25</f>
        <v>0</v>
      </c>
      <c r="CL931" s="141" t="e">
        <f aca="false">+VLOOKUP(DATOS_[[#This Row],[Clave de Contrato]],TblTiposContrato13[],3,0)</f>
        <v>#N/A</v>
      </c>
      <c r="CM931" s="141" t="e">
        <f aca="false">+VLOOKUP(DATOS_[[#This Row],[Clave de Contrato]],TblTiposContrato13[],4,0)</f>
        <v>#N/A</v>
      </c>
      <c r="CN931" s="141" t="str">
        <f aca="false">VLOOKUP(DATOS_[[#This Row],[Edad]],CONTRATOS!TblRngEdad,2,1)</f>
        <v>20  o menos</v>
      </c>
      <c r="CO931" s="141" t="str">
        <f aca="false">VLOOKUP(DATOS_[[#This Row],[Antigüedad]],TblRngAntg14[],2,1)</f>
        <v>0 a 1 años</v>
      </c>
    </row>
    <row r="932" customFormat="false" ht="13.8" hidden="false" customHeight="false" outlineLevel="0" collapsed="false">
      <c r="D932" s="128"/>
      <c r="E932" s="129"/>
      <c r="F932" s="129"/>
      <c r="G932" s="129"/>
      <c r="H932" s="130"/>
      <c r="I932" s="131"/>
      <c r="J932" s="128"/>
      <c r="K932" s="132"/>
      <c r="L932" s="132"/>
      <c r="M932" s="133"/>
      <c r="N932" s="133"/>
      <c r="O932" s="133"/>
      <c r="P932" s="129"/>
      <c r="Z932" s="75"/>
      <c r="AA932" s="76"/>
      <c r="AB932" s="76"/>
      <c r="AC932" s="129"/>
      <c r="AD932" s="134"/>
      <c r="AE932" s="134"/>
      <c r="AF932" s="134"/>
      <c r="AG932" s="134"/>
      <c r="AH932" s="134"/>
      <c r="AI932" s="134"/>
      <c r="AJ932" s="134"/>
      <c r="AK932" s="134"/>
      <c r="AL932" s="134"/>
      <c r="AM932" s="134"/>
      <c r="AN932" s="134"/>
      <c r="AO932" s="134"/>
      <c r="AP932" s="134"/>
      <c r="AQ932" s="134"/>
      <c r="AR932" s="134"/>
      <c r="AS932" s="134"/>
      <c r="AT932" s="134"/>
      <c r="AU932" s="134"/>
      <c r="AV932" s="134"/>
      <c r="AW932" s="134"/>
      <c r="AX932" s="134"/>
      <c r="AY932" s="134"/>
      <c r="AZ932" s="134"/>
      <c r="BA932" s="134"/>
      <c r="BB932" s="134"/>
      <c r="BC932" s="134"/>
      <c r="BD932" s="134"/>
      <c r="BE932" s="134"/>
      <c r="BF932" s="134"/>
      <c r="BG932" s="134"/>
      <c r="BH932" s="134"/>
      <c r="BI932" s="134"/>
      <c r="BJ932" s="134"/>
      <c r="BK932" s="134"/>
      <c r="BL932" s="134"/>
      <c r="BM932" s="135"/>
      <c r="BN932" s="136" t="n">
        <f aca="false">+MAX($D$3,DATOS_[[#This Row],[Fecha Inicio Sit. Contract.]])</f>
        <v>0</v>
      </c>
      <c r="BO932" s="136" t="n">
        <f aca="false">+MIN($D$4,DATOS_[[#This Row],[Fecha Fin Sit. Contract.]])</f>
        <v>0</v>
      </c>
      <c r="BP932" s="137" t="n">
        <f aca="false">+DATOS_[[#This Row],[% de jornada]]*IF(DATOS_[[#This Row],[% jornada reducida]]="",1,DATOS_[[#This Row],[% jornada reducida]])</f>
        <v>0</v>
      </c>
      <c r="BQ932" s="137" t="n">
        <f aca="false">+(DATOS_[[#This Row],[F.fin.cal]]-DATOS_[[#This Row],[F.ini.cal]]+1)/($D$4-$D$3+1)</f>
        <v>1</v>
      </c>
      <c r="BR932" s="137" t="str">
        <f aca="false">IF(OR(AND(DATOS_[[#This Row],[Fecha Fin Contrato]]&lt;$D$3,DATOS_[[#This Row],[Fecha Fin Contrato]]&lt;&gt;""),DATOS_[[#This Row],[Fecha de Contratación]]&gt;$D$4),"Fuera","Dentro")</f>
        <v>Dentro</v>
      </c>
      <c r="BS932" s="137" t="str">
        <f aca="false" t="array" ref="BS932:BS932">IF(MAX(IF(DATOS_[id]=DATOS_[[#This Row],[id]],DATOS_[F.fin.cal]))=DATOS_[[#This Row],[F.fin.cal]],"Sí","NO")</f>
        <v>Sí</v>
      </c>
      <c r="BT932" s="137" t="str">
        <f aca="false">IF(AND(DATOS_[[#This Row],[% normaliz]]&lt;&gt;1,DATOS_[[#This Row],[% anualiz]]=1),"Sí","NO")</f>
        <v>Sí</v>
      </c>
      <c r="BU932" s="137" t="str">
        <f aca="false">IF(AND(DATOS_[[#This Row],[% normaliz]]=1,DATOS_[[#This Row],[% anualiz]]&lt;&gt;1),"Sí","NO")</f>
        <v>NO</v>
      </c>
      <c r="BV932" s="137" t="str">
        <f aca="false">IF(AND(DATOS_[[#This Row],[% normaliz]]&lt;&gt;1,DATOS_[[#This Row],[% anualiz]]&lt;&gt;1),"Sí","NO")</f>
        <v>NO</v>
      </c>
      <c r="BW932" s="137" t="str">
        <f aca="false">+IF(DATOS_[[#This Row],[% normaliz]]*DATOS_[[#This Row],[% anualiz]]=1,"NO","Sí")</f>
        <v>Sí</v>
      </c>
      <c r="BX932" s="138" t="e">
        <f aca="false">(DATOS_[[#This Row],[S.BASE]]*(1/DATOS_[[#This Row],[% normaliz]])*(1/DATOS_[[#This Row],[% anualiz]]))*IF(DATOS_[[#This Row],[Check Equiparado]]="Sí",1,0)</f>
        <v>#DIV/0!</v>
      </c>
      <c r="BY93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2" s="138" t="e">
        <f aca="false">+DATOS_[[#This Row],[SALARIO BASE Eq]]+DATOS_[[#This Row],[Tot COMPL.SAL Eq]]</f>
        <v>#DIV/0!</v>
      </c>
      <c r="CA932" s="138" t="e">
        <f aca="false" t="array" ref="CA932:CA9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2" s="138" t="e">
        <f aca="false">+DATOS_[[#This Row],[TOTAL SALARIO Eq]]+DATOS_[[#This Row],[Tot Extrasalarial Eq]]</f>
        <v>#DIV/0!</v>
      </c>
      <c r="CC932" s="139" t="n">
        <f aca="false">DATOS_[[#This Row],[S.BASE]]</f>
        <v>0</v>
      </c>
      <c r="CD932" s="139" t="n">
        <f aca="false">+SUM(DATOS_[[#This Row],[Conc.Sal.01]:[Conc.Sal.30]])</f>
        <v>0</v>
      </c>
      <c r="CE932" s="139" t="n">
        <f aca="false">+DATOS_[[#This Row],[SALARIO BASE Ef]]+DATOS_[[#This Row],[Tot COMPL.SAL Ef]]</f>
        <v>0</v>
      </c>
      <c r="CF932" s="139" t="n">
        <f aca="false">+SUM(DATOS_[[#This Row],[C.Extra.01]:[C.Extra.05]])</f>
        <v>0</v>
      </c>
      <c r="CG932" s="139" t="n">
        <f aca="false">+DATOS_[[#This Row],[TOTAL SALARIO Ef]]+DATOS_[[#This Row],[Tot Extrasalarial Ef]]</f>
        <v>0</v>
      </c>
      <c r="CH932" s="140" t="n">
        <f aca="false">MIN(IF(DATOS_[[#This Row],[Fecha Fin Contrato]]="",$D$4,DATOS_[[#This Row],[Fecha Fin Contrato]]),$D$4)-MAX(DATOS_[[#This Row],[Fecha de Contratación]],$D$3)+1</f>
        <v>1</v>
      </c>
      <c r="CI932" s="141" t="str">
        <f aca="false">IF(COUNTIFS(DATOS_[id],DATOS_[[#This Row],[id]])&gt;1,DATOS_[[#This Row],[id]],"")</f>
        <v/>
      </c>
      <c r="CJ932" s="141" t="n">
        <f aca="false">(Inicio!$G$10-DATOS_[[#This Row],[Fecha Nacimiento]])/365.25</f>
        <v>0</v>
      </c>
      <c r="CK932" s="141" t="n">
        <f aca="false">(Inicio!$G$10-DATOS_[[#This Row],[Fecha de Antigüedad]])/365.25</f>
        <v>0</v>
      </c>
      <c r="CL932" s="141" t="e">
        <f aca="false">+VLOOKUP(DATOS_[[#This Row],[Clave de Contrato]],TblTiposContrato13[],3,0)</f>
        <v>#N/A</v>
      </c>
      <c r="CM932" s="141" t="e">
        <f aca="false">+VLOOKUP(DATOS_[[#This Row],[Clave de Contrato]],TblTiposContrato13[],4,0)</f>
        <v>#N/A</v>
      </c>
      <c r="CN932" s="141" t="str">
        <f aca="false">VLOOKUP(DATOS_[[#This Row],[Edad]],CONTRATOS!TblRngEdad,2,1)</f>
        <v>20  o menos</v>
      </c>
      <c r="CO932" s="141" t="str">
        <f aca="false">VLOOKUP(DATOS_[[#This Row],[Antigüedad]],TblRngAntg14[],2,1)</f>
        <v>0 a 1 años</v>
      </c>
    </row>
    <row r="933" customFormat="false" ht="13.8" hidden="false" customHeight="false" outlineLevel="0" collapsed="false">
      <c r="D933" s="128"/>
      <c r="E933" s="129"/>
      <c r="F933" s="129"/>
      <c r="G933" s="129"/>
      <c r="H933" s="130"/>
      <c r="I933" s="131"/>
      <c r="J933" s="128"/>
      <c r="K933" s="132"/>
      <c r="L933" s="132"/>
      <c r="M933" s="133"/>
      <c r="N933" s="133"/>
      <c r="O933" s="133"/>
      <c r="P933" s="129"/>
      <c r="Z933" s="75"/>
      <c r="AA933" s="76"/>
      <c r="AB933" s="76"/>
      <c r="AC933" s="129"/>
      <c r="AD933" s="134"/>
      <c r="AE933" s="134"/>
      <c r="AF933" s="134"/>
      <c r="AG933" s="134"/>
      <c r="AH933" s="134"/>
      <c r="AI933" s="134"/>
      <c r="AJ933" s="134"/>
      <c r="AK933" s="134"/>
      <c r="AL933" s="134"/>
      <c r="AM933" s="134"/>
      <c r="AN933" s="134"/>
      <c r="AO933" s="134"/>
      <c r="AP933" s="134"/>
      <c r="AQ933" s="134"/>
      <c r="AR933" s="134"/>
      <c r="AS933" s="134"/>
      <c r="AT933" s="134"/>
      <c r="AU933" s="134"/>
      <c r="AV933" s="134"/>
      <c r="AW933" s="134"/>
      <c r="AX933" s="134"/>
      <c r="AY933" s="134"/>
      <c r="AZ933" s="134"/>
      <c r="BA933" s="134"/>
      <c r="BB933" s="134"/>
      <c r="BC933" s="134"/>
      <c r="BD933" s="134"/>
      <c r="BE933" s="134"/>
      <c r="BF933" s="134"/>
      <c r="BG933" s="134"/>
      <c r="BH933" s="134"/>
      <c r="BI933" s="134"/>
      <c r="BJ933" s="134"/>
      <c r="BK933" s="134"/>
      <c r="BL933" s="134"/>
      <c r="BM933" s="135"/>
      <c r="BN933" s="136" t="n">
        <f aca="false">+MAX($D$3,DATOS_[[#This Row],[Fecha Inicio Sit. Contract.]])</f>
        <v>0</v>
      </c>
      <c r="BO933" s="136" t="n">
        <f aca="false">+MIN($D$4,DATOS_[[#This Row],[Fecha Fin Sit. Contract.]])</f>
        <v>0</v>
      </c>
      <c r="BP933" s="137" t="n">
        <f aca="false">+DATOS_[[#This Row],[% de jornada]]*IF(DATOS_[[#This Row],[% jornada reducida]]="",1,DATOS_[[#This Row],[% jornada reducida]])</f>
        <v>0</v>
      </c>
      <c r="BQ933" s="137" t="n">
        <f aca="false">+(DATOS_[[#This Row],[F.fin.cal]]-DATOS_[[#This Row],[F.ini.cal]]+1)/($D$4-$D$3+1)</f>
        <v>1</v>
      </c>
      <c r="BR933" s="137" t="str">
        <f aca="false">IF(OR(AND(DATOS_[[#This Row],[Fecha Fin Contrato]]&lt;$D$3,DATOS_[[#This Row],[Fecha Fin Contrato]]&lt;&gt;""),DATOS_[[#This Row],[Fecha de Contratación]]&gt;$D$4),"Fuera","Dentro")</f>
        <v>Dentro</v>
      </c>
      <c r="BS933" s="137" t="str">
        <f aca="false" t="array" ref="BS933:BS933">IF(MAX(IF(DATOS_[id]=DATOS_[[#This Row],[id]],DATOS_[F.fin.cal]))=DATOS_[[#This Row],[F.fin.cal]],"Sí","NO")</f>
        <v>Sí</v>
      </c>
      <c r="BT933" s="137" t="str">
        <f aca="false">IF(AND(DATOS_[[#This Row],[% normaliz]]&lt;&gt;1,DATOS_[[#This Row],[% anualiz]]=1),"Sí","NO")</f>
        <v>Sí</v>
      </c>
      <c r="BU933" s="137" t="str">
        <f aca="false">IF(AND(DATOS_[[#This Row],[% normaliz]]=1,DATOS_[[#This Row],[% anualiz]]&lt;&gt;1),"Sí","NO")</f>
        <v>NO</v>
      </c>
      <c r="BV933" s="137" t="str">
        <f aca="false">IF(AND(DATOS_[[#This Row],[% normaliz]]&lt;&gt;1,DATOS_[[#This Row],[% anualiz]]&lt;&gt;1),"Sí","NO")</f>
        <v>NO</v>
      </c>
      <c r="BW933" s="137" t="str">
        <f aca="false">+IF(DATOS_[[#This Row],[% normaliz]]*DATOS_[[#This Row],[% anualiz]]=1,"NO","Sí")</f>
        <v>Sí</v>
      </c>
      <c r="BX933" s="138" t="e">
        <f aca="false">(DATOS_[[#This Row],[S.BASE]]*(1/DATOS_[[#This Row],[% normaliz]])*(1/DATOS_[[#This Row],[% anualiz]]))*IF(DATOS_[[#This Row],[Check Equiparado]]="Sí",1,0)</f>
        <v>#DIV/0!</v>
      </c>
      <c r="BY93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3" s="138" t="e">
        <f aca="false">+DATOS_[[#This Row],[SALARIO BASE Eq]]+DATOS_[[#This Row],[Tot COMPL.SAL Eq]]</f>
        <v>#DIV/0!</v>
      </c>
      <c r="CA933" s="138" t="e">
        <f aca="false" t="array" ref="CA933:CA9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3" s="138" t="e">
        <f aca="false">+DATOS_[[#This Row],[TOTAL SALARIO Eq]]+DATOS_[[#This Row],[Tot Extrasalarial Eq]]</f>
        <v>#DIV/0!</v>
      </c>
      <c r="CC933" s="139" t="n">
        <f aca="false">DATOS_[[#This Row],[S.BASE]]</f>
        <v>0</v>
      </c>
      <c r="CD933" s="139" t="n">
        <f aca="false">+SUM(DATOS_[[#This Row],[Conc.Sal.01]:[Conc.Sal.30]])</f>
        <v>0</v>
      </c>
      <c r="CE933" s="139" t="n">
        <f aca="false">+DATOS_[[#This Row],[SALARIO BASE Ef]]+DATOS_[[#This Row],[Tot COMPL.SAL Ef]]</f>
        <v>0</v>
      </c>
      <c r="CF933" s="139" t="n">
        <f aca="false">+SUM(DATOS_[[#This Row],[C.Extra.01]:[C.Extra.05]])</f>
        <v>0</v>
      </c>
      <c r="CG933" s="139" t="n">
        <f aca="false">+DATOS_[[#This Row],[TOTAL SALARIO Ef]]+DATOS_[[#This Row],[Tot Extrasalarial Ef]]</f>
        <v>0</v>
      </c>
      <c r="CH933" s="140" t="n">
        <f aca="false">MIN(IF(DATOS_[[#This Row],[Fecha Fin Contrato]]="",$D$4,DATOS_[[#This Row],[Fecha Fin Contrato]]),$D$4)-MAX(DATOS_[[#This Row],[Fecha de Contratación]],$D$3)+1</f>
        <v>1</v>
      </c>
      <c r="CI933" s="141" t="str">
        <f aca="false">IF(COUNTIFS(DATOS_[id],DATOS_[[#This Row],[id]])&gt;1,DATOS_[[#This Row],[id]],"")</f>
        <v/>
      </c>
      <c r="CJ933" s="141" t="n">
        <f aca="false">(Inicio!$G$10-DATOS_[[#This Row],[Fecha Nacimiento]])/365.25</f>
        <v>0</v>
      </c>
      <c r="CK933" s="141" t="n">
        <f aca="false">(Inicio!$G$10-DATOS_[[#This Row],[Fecha de Antigüedad]])/365.25</f>
        <v>0</v>
      </c>
      <c r="CL933" s="141" t="e">
        <f aca="false">+VLOOKUP(DATOS_[[#This Row],[Clave de Contrato]],TblTiposContrato13[],3,0)</f>
        <v>#N/A</v>
      </c>
      <c r="CM933" s="141" t="e">
        <f aca="false">+VLOOKUP(DATOS_[[#This Row],[Clave de Contrato]],TblTiposContrato13[],4,0)</f>
        <v>#N/A</v>
      </c>
      <c r="CN933" s="141" t="str">
        <f aca="false">VLOOKUP(DATOS_[[#This Row],[Edad]],CONTRATOS!TblRngEdad,2,1)</f>
        <v>20  o menos</v>
      </c>
      <c r="CO933" s="141" t="str">
        <f aca="false">VLOOKUP(DATOS_[[#This Row],[Antigüedad]],TblRngAntg14[],2,1)</f>
        <v>0 a 1 años</v>
      </c>
    </row>
    <row r="934" customFormat="false" ht="13.8" hidden="false" customHeight="false" outlineLevel="0" collapsed="false">
      <c r="D934" s="128"/>
      <c r="E934" s="129"/>
      <c r="F934" s="129"/>
      <c r="G934" s="129"/>
      <c r="H934" s="130"/>
      <c r="I934" s="131"/>
      <c r="J934" s="128"/>
      <c r="K934" s="132"/>
      <c r="L934" s="132"/>
      <c r="M934" s="133"/>
      <c r="N934" s="133"/>
      <c r="O934" s="133"/>
      <c r="P934" s="129"/>
      <c r="Z934" s="75"/>
      <c r="AA934" s="76"/>
      <c r="AB934" s="76"/>
      <c r="AC934" s="129"/>
      <c r="AD934" s="134"/>
      <c r="AE934" s="134"/>
      <c r="AF934" s="134"/>
      <c r="AG934" s="134"/>
      <c r="AH934" s="134"/>
      <c r="AI934" s="134"/>
      <c r="AJ934" s="134"/>
      <c r="AK934" s="134"/>
      <c r="AL934" s="134"/>
      <c r="AM934" s="134"/>
      <c r="AN934" s="134"/>
      <c r="AO934" s="134"/>
      <c r="AP934" s="134"/>
      <c r="AQ934" s="134"/>
      <c r="AR934" s="134"/>
      <c r="AS934" s="134"/>
      <c r="AT934" s="134"/>
      <c r="AU934" s="134"/>
      <c r="AV934" s="134"/>
      <c r="AW934" s="134"/>
      <c r="AX934" s="134"/>
      <c r="AY934" s="134"/>
      <c r="AZ934" s="134"/>
      <c r="BA934" s="134"/>
      <c r="BB934" s="134"/>
      <c r="BC934" s="134"/>
      <c r="BD934" s="134"/>
      <c r="BE934" s="134"/>
      <c r="BF934" s="134"/>
      <c r="BG934" s="134"/>
      <c r="BH934" s="134"/>
      <c r="BI934" s="134"/>
      <c r="BJ934" s="134"/>
      <c r="BK934" s="134"/>
      <c r="BL934" s="134"/>
      <c r="BM934" s="135"/>
      <c r="BN934" s="136" t="n">
        <f aca="false">+MAX($D$3,DATOS_[[#This Row],[Fecha Inicio Sit. Contract.]])</f>
        <v>0</v>
      </c>
      <c r="BO934" s="136" t="n">
        <f aca="false">+MIN($D$4,DATOS_[[#This Row],[Fecha Fin Sit. Contract.]])</f>
        <v>0</v>
      </c>
      <c r="BP934" s="137" t="n">
        <f aca="false">+DATOS_[[#This Row],[% de jornada]]*IF(DATOS_[[#This Row],[% jornada reducida]]="",1,DATOS_[[#This Row],[% jornada reducida]])</f>
        <v>0</v>
      </c>
      <c r="BQ934" s="137" t="n">
        <f aca="false">+(DATOS_[[#This Row],[F.fin.cal]]-DATOS_[[#This Row],[F.ini.cal]]+1)/($D$4-$D$3+1)</f>
        <v>1</v>
      </c>
      <c r="BR934" s="137" t="str">
        <f aca="false">IF(OR(AND(DATOS_[[#This Row],[Fecha Fin Contrato]]&lt;$D$3,DATOS_[[#This Row],[Fecha Fin Contrato]]&lt;&gt;""),DATOS_[[#This Row],[Fecha de Contratación]]&gt;$D$4),"Fuera","Dentro")</f>
        <v>Dentro</v>
      </c>
      <c r="BS934" s="137" t="str">
        <f aca="false" t="array" ref="BS934:BS934">IF(MAX(IF(DATOS_[id]=DATOS_[[#This Row],[id]],DATOS_[F.fin.cal]))=DATOS_[[#This Row],[F.fin.cal]],"Sí","NO")</f>
        <v>Sí</v>
      </c>
      <c r="BT934" s="137" t="str">
        <f aca="false">IF(AND(DATOS_[[#This Row],[% normaliz]]&lt;&gt;1,DATOS_[[#This Row],[% anualiz]]=1),"Sí","NO")</f>
        <v>Sí</v>
      </c>
      <c r="BU934" s="137" t="str">
        <f aca="false">IF(AND(DATOS_[[#This Row],[% normaliz]]=1,DATOS_[[#This Row],[% anualiz]]&lt;&gt;1),"Sí","NO")</f>
        <v>NO</v>
      </c>
      <c r="BV934" s="137" t="str">
        <f aca="false">IF(AND(DATOS_[[#This Row],[% normaliz]]&lt;&gt;1,DATOS_[[#This Row],[% anualiz]]&lt;&gt;1),"Sí","NO")</f>
        <v>NO</v>
      </c>
      <c r="BW934" s="137" t="str">
        <f aca="false">+IF(DATOS_[[#This Row],[% normaliz]]*DATOS_[[#This Row],[% anualiz]]=1,"NO","Sí")</f>
        <v>Sí</v>
      </c>
      <c r="BX934" s="138" t="e">
        <f aca="false">(DATOS_[[#This Row],[S.BASE]]*(1/DATOS_[[#This Row],[% normaliz]])*(1/DATOS_[[#This Row],[% anualiz]]))*IF(DATOS_[[#This Row],[Check Equiparado]]="Sí",1,0)</f>
        <v>#DIV/0!</v>
      </c>
      <c r="BY93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4" s="138" t="e">
        <f aca="false">+DATOS_[[#This Row],[SALARIO BASE Eq]]+DATOS_[[#This Row],[Tot COMPL.SAL Eq]]</f>
        <v>#DIV/0!</v>
      </c>
      <c r="CA934" s="138" t="e">
        <f aca="false" t="array" ref="CA934:CA9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4" s="138" t="e">
        <f aca="false">+DATOS_[[#This Row],[TOTAL SALARIO Eq]]+DATOS_[[#This Row],[Tot Extrasalarial Eq]]</f>
        <v>#DIV/0!</v>
      </c>
      <c r="CC934" s="139" t="n">
        <f aca="false">DATOS_[[#This Row],[S.BASE]]</f>
        <v>0</v>
      </c>
      <c r="CD934" s="139" t="n">
        <f aca="false">+SUM(DATOS_[[#This Row],[Conc.Sal.01]:[Conc.Sal.30]])</f>
        <v>0</v>
      </c>
      <c r="CE934" s="139" t="n">
        <f aca="false">+DATOS_[[#This Row],[SALARIO BASE Ef]]+DATOS_[[#This Row],[Tot COMPL.SAL Ef]]</f>
        <v>0</v>
      </c>
      <c r="CF934" s="139" t="n">
        <f aca="false">+SUM(DATOS_[[#This Row],[C.Extra.01]:[C.Extra.05]])</f>
        <v>0</v>
      </c>
      <c r="CG934" s="139" t="n">
        <f aca="false">+DATOS_[[#This Row],[TOTAL SALARIO Ef]]+DATOS_[[#This Row],[Tot Extrasalarial Ef]]</f>
        <v>0</v>
      </c>
      <c r="CH934" s="140" t="n">
        <f aca="false">MIN(IF(DATOS_[[#This Row],[Fecha Fin Contrato]]="",$D$4,DATOS_[[#This Row],[Fecha Fin Contrato]]),$D$4)-MAX(DATOS_[[#This Row],[Fecha de Contratación]],$D$3)+1</f>
        <v>1</v>
      </c>
      <c r="CI934" s="141" t="str">
        <f aca="false">IF(COUNTIFS(DATOS_[id],DATOS_[[#This Row],[id]])&gt;1,DATOS_[[#This Row],[id]],"")</f>
        <v/>
      </c>
      <c r="CJ934" s="141" t="n">
        <f aca="false">(Inicio!$G$10-DATOS_[[#This Row],[Fecha Nacimiento]])/365.25</f>
        <v>0</v>
      </c>
      <c r="CK934" s="141" t="n">
        <f aca="false">(Inicio!$G$10-DATOS_[[#This Row],[Fecha de Antigüedad]])/365.25</f>
        <v>0</v>
      </c>
      <c r="CL934" s="141" t="e">
        <f aca="false">+VLOOKUP(DATOS_[[#This Row],[Clave de Contrato]],TblTiposContrato13[],3,0)</f>
        <v>#N/A</v>
      </c>
      <c r="CM934" s="141" t="e">
        <f aca="false">+VLOOKUP(DATOS_[[#This Row],[Clave de Contrato]],TblTiposContrato13[],4,0)</f>
        <v>#N/A</v>
      </c>
      <c r="CN934" s="141" t="str">
        <f aca="false">VLOOKUP(DATOS_[[#This Row],[Edad]],CONTRATOS!TblRngEdad,2,1)</f>
        <v>20  o menos</v>
      </c>
      <c r="CO934" s="141" t="str">
        <f aca="false">VLOOKUP(DATOS_[[#This Row],[Antigüedad]],TblRngAntg14[],2,1)</f>
        <v>0 a 1 años</v>
      </c>
    </row>
    <row r="935" customFormat="false" ht="13.8" hidden="false" customHeight="false" outlineLevel="0" collapsed="false">
      <c r="D935" s="128"/>
      <c r="E935" s="129"/>
      <c r="F935" s="129"/>
      <c r="G935" s="129"/>
      <c r="H935" s="130"/>
      <c r="I935" s="131"/>
      <c r="J935" s="128"/>
      <c r="K935" s="132"/>
      <c r="L935" s="132"/>
      <c r="M935" s="133"/>
      <c r="N935" s="133"/>
      <c r="O935" s="133"/>
      <c r="P935" s="129"/>
      <c r="Z935" s="75"/>
      <c r="AA935" s="76"/>
      <c r="AB935" s="76"/>
      <c r="AC935" s="129"/>
      <c r="AD935" s="134"/>
      <c r="AE935" s="134"/>
      <c r="AF935" s="134"/>
      <c r="AG935" s="134"/>
      <c r="AH935" s="134"/>
      <c r="AI935" s="134"/>
      <c r="AJ935" s="134"/>
      <c r="AK935" s="134"/>
      <c r="AL935" s="134"/>
      <c r="AM935" s="134"/>
      <c r="AN935" s="134"/>
      <c r="AO935" s="134"/>
      <c r="AP935" s="134"/>
      <c r="AQ935" s="134"/>
      <c r="AR935" s="134"/>
      <c r="AS935" s="134"/>
      <c r="AT935" s="134"/>
      <c r="AU935" s="134"/>
      <c r="AV935" s="134"/>
      <c r="AW935" s="134"/>
      <c r="AX935" s="134"/>
      <c r="AY935" s="134"/>
      <c r="AZ935" s="134"/>
      <c r="BA935" s="134"/>
      <c r="BB935" s="134"/>
      <c r="BC935" s="134"/>
      <c r="BD935" s="134"/>
      <c r="BE935" s="134"/>
      <c r="BF935" s="134"/>
      <c r="BG935" s="134"/>
      <c r="BH935" s="134"/>
      <c r="BI935" s="134"/>
      <c r="BJ935" s="134"/>
      <c r="BK935" s="134"/>
      <c r="BL935" s="134"/>
      <c r="BM935" s="135"/>
      <c r="BN935" s="136" t="n">
        <f aca="false">+MAX($D$3,DATOS_[[#This Row],[Fecha Inicio Sit. Contract.]])</f>
        <v>0</v>
      </c>
      <c r="BO935" s="136" t="n">
        <f aca="false">+MIN($D$4,DATOS_[[#This Row],[Fecha Fin Sit. Contract.]])</f>
        <v>0</v>
      </c>
      <c r="BP935" s="137" t="n">
        <f aca="false">+DATOS_[[#This Row],[% de jornada]]*IF(DATOS_[[#This Row],[% jornada reducida]]="",1,DATOS_[[#This Row],[% jornada reducida]])</f>
        <v>0</v>
      </c>
      <c r="BQ935" s="137" t="n">
        <f aca="false">+(DATOS_[[#This Row],[F.fin.cal]]-DATOS_[[#This Row],[F.ini.cal]]+1)/($D$4-$D$3+1)</f>
        <v>1</v>
      </c>
      <c r="BR935" s="137" t="str">
        <f aca="false">IF(OR(AND(DATOS_[[#This Row],[Fecha Fin Contrato]]&lt;$D$3,DATOS_[[#This Row],[Fecha Fin Contrato]]&lt;&gt;""),DATOS_[[#This Row],[Fecha de Contratación]]&gt;$D$4),"Fuera","Dentro")</f>
        <v>Dentro</v>
      </c>
      <c r="BS935" s="137" t="str">
        <f aca="false" t="array" ref="BS935:BS935">IF(MAX(IF(DATOS_[id]=DATOS_[[#This Row],[id]],DATOS_[F.fin.cal]))=DATOS_[[#This Row],[F.fin.cal]],"Sí","NO")</f>
        <v>Sí</v>
      </c>
      <c r="BT935" s="137" t="str">
        <f aca="false">IF(AND(DATOS_[[#This Row],[% normaliz]]&lt;&gt;1,DATOS_[[#This Row],[% anualiz]]=1),"Sí","NO")</f>
        <v>Sí</v>
      </c>
      <c r="BU935" s="137" t="str">
        <f aca="false">IF(AND(DATOS_[[#This Row],[% normaliz]]=1,DATOS_[[#This Row],[% anualiz]]&lt;&gt;1),"Sí","NO")</f>
        <v>NO</v>
      </c>
      <c r="BV935" s="137" t="str">
        <f aca="false">IF(AND(DATOS_[[#This Row],[% normaliz]]&lt;&gt;1,DATOS_[[#This Row],[% anualiz]]&lt;&gt;1),"Sí","NO")</f>
        <v>NO</v>
      </c>
      <c r="BW935" s="137" t="str">
        <f aca="false">+IF(DATOS_[[#This Row],[% normaliz]]*DATOS_[[#This Row],[% anualiz]]=1,"NO","Sí")</f>
        <v>Sí</v>
      </c>
      <c r="BX935" s="138" t="e">
        <f aca="false">(DATOS_[[#This Row],[S.BASE]]*(1/DATOS_[[#This Row],[% normaliz]])*(1/DATOS_[[#This Row],[% anualiz]]))*IF(DATOS_[[#This Row],[Check Equiparado]]="Sí",1,0)</f>
        <v>#DIV/0!</v>
      </c>
      <c r="BY93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5" s="138" t="e">
        <f aca="false">+DATOS_[[#This Row],[SALARIO BASE Eq]]+DATOS_[[#This Row],[Tot COMPL.SAL Eq]]</f>
        <v>#DIV/0!</v>
      </c>
      <c r="CA935" s="138" t="e">
        <f aca="false" t="array" ref="CA935:CA9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5" s="138" t="e">
        <f aca="false">+DATOS_[[#This Row],[TOTAL SALARIO Eq]]+DATOS_[[#This Row],[Tot Extrasalarial Eq]]</f>
        <v>#DIV/0!</v>
      </c>
      <c r="CC935" s="139" t="n">
        <f aca="false">DATOS_[[#This Row],[S.BASE]]</f>
        <v>0</v>
      </c>
      <c r="CD935" s="139" t="n">
        <f aca="false">+SUM(DATOS_[[#This Row],[Conc.Sal.01]:[Conc.Sal.30]])</f>
        <v>0</v>
      </c>
      <c r="CE935" s="139" t="n">
        <f aca="false">+DATOS_[[#This Row],[SALARIO BASE Ef]]+DATOS_[[#This Row],[Tot COMPL.SAL Ef]]</f>
        <v>0</v>
      </c>
      <c r="CF935" s="139" t="n">
        <f aca="false">+SUM(DATOS_[[#This Row],[C.Extra.01]:[C.Extra.05]])</f>
        <v>0</v>
      </c>
      <c r="CG935" s="139" t="n">
        <f aca="false">+DATOS_[[#This Row],[TOTAL SALARIO Ef]]+DATOS_[[#This Row],[Tot Extrasalarial Ef]]</f>
        <v>0</v>
      </c>
      <c r="CH935" s="140" t="n">
        <f aca="false">MIN(IF(DATOS_[[#This Row],[Fecha Fin Contrato]]="",$D$4,DATOS_[[#This Row],[Fecha Fin Contrato]]),$D$4)-MAX(DATOS_[[#This Row],[Fecha de Contratación]],$D$3)+1</f>
        <v>1</v>
      </c>
      <c r="CI935" s="141" t="str">
        <f aca="false">IF(COUNTIFS(DATOS_[id],DATOS_[[#This Row],[id]])&gt;1,DATOS_[[#This Row],[id]],"")</f>
        <v/>
      </c>
      <c r="CJ935" s="141" t="n">
        <f aca="false">(Inicio!$G$10-DATOS_[[#This Row],[Fecha Nacimiento]])/365.25</f>
        <v>0</v>
      </c>
      <c r="CK935" s="141" t="n">
        <f aca="false">(Inicio!$G$10-DATOS_[[#This Row],[Fecha de Antigüedad]])/365.25</f>
        <v>0</v>
      </c>
      <c r="CL935" s="141" t="e">
        <f aca="false">+VLOOKUP(DATOS_[[#This Row],[Clave de Contrato]],TblTiposContrato13[],3,0)</f>
        <v>#N/A</v>
      </c>
      <c r="CM935" s="141" t="e">
        <f aca="false">+VLOOKUP(DATOS_[[#This Row],[Clave de Contrato]],TblTiposContrato13[],4,0)</f>
        <v>#N/A</v>
      </c>
      <c r="CN935" s="141" t="str">
        <f aca="false">VLOOKUP(DATOS_[[#This Row],[Edad]],CONTRATOS!TblRngEdad,2,1)</f>
        <v>20  o menos</v>
      </c>
      <c r="CO935" s="141" t="str">
        <f aca="false">VLOOKUP(DATOS_[[#This Row],[Antigüedad]],TblRngAntg14[],2,1)</f>
        <v>0 a 1 años</v>
      </c>
    </row>
    <row r="936" customFormat="false" ht="13.8" hidden="false" customHeight="false" outlineLevel="0" collapsed="false">
      <c r="D936" s="128"/>
      <c r="E936" s="129"/>
      <c r="F936" s="129"/>
      <c r="G936" s="129"/>
      <c r="H936" s="130"/>
      <c r="I936" s="131"/>
      <c r="J936" s="128"/>
      <c r="K936" s="132"/>
      <c r="L936" s="132"/>
      <c r="M936" s="133"/>
      <c r="N936" s="133"/>
      <c r="O936" s="133"/>
      <c r="P936" s="129"/>
      <c r="Z936" s="75"/>
      <c r="AA936" s="76"/>
      <c r="AB936" s="76"/>
      <c r="AC936" s="129"/>
      <c r="AD936" s="134"/>
      <c r="AE936" s="134"/>
      <c r="AF936" s="134"/>
      <c r="AG936" s="134"/>
      <c r="AH936" s="134"/>
      <c r="AI936" s="134"/>
      <c r="AJ936" s="134"/>
      <c r="AK936" s="134"/>
      <c r="AL936" s="134"/>
      <c r="AM936" s="134"/>
      <c r="AN936" s="134"/>
      <c r="AO936" s="134"/>
      <c r="AP936" s="134"/>
      <c r="AQ936" s="134"/>
      <c r="AR936" s="134"/>
      <c r="AS936" s="134"/>
      <c r="AT936" s="134"/>
      <c r="AU936" s="134"/>
      <c r="AV936" s="134"/>
      <c r="AW936" s="134"/>
      <c r="AX936" s="134"/>
      <c r="AY936" s="134"/>
      <c r="AZ936" s="134"/>
      <c r="BA936" s="134"/>
      <c r="BB936" s="134"/>
      <c r="BC936" s="134"/>
      <c r="BD936" s="134"/>
      <c r="BE936" s="134"/>
      <c r="BF936" s="134"/>
      <c r="BG936" s="134"/>
      <c r="BH936" s="134"/>
      <c r="BI936" s="134"/>
      <c r="BJ936" s="134"/>
      <c r="BK936" s="134"/>
      <c r="BL936" s="134"/>
      <c r="BM936" s="135"/>
      <c r="BN936" s="136" t="n">
        <f aca="false">+MAX($D$3,DATOS_[[#This Row],[Fecha Inicio Sit. Contract.]])</f>
        <v>0</v>
      </c>
      <c r="BO936" s="136" t="n">
        <f aca="false">+MIN($D$4,DATOS_[[#This Row],[Fecha Fin Sit. Contract.]])</f>
        <v>0</v>
      </c>
      <c r="BP936" s="137" t="n">
        <f aca="false">+DATOS_[[#This Row],[% de jornada]]*IF(DATOS_[[#This Row],[% jornada reducida]]="",1,DATOS_[[#This Row],[% jornada reducida]])</f>
        <v>0</v>
      </c>
      <c r="BQ936" s="137" t="n">
        <f aca="false">+(DATOS_[[#This Row],[F.fin.cal]]-DATOS_[[#This Row],[F.ini.cal]]+1)/($D$4-$D$3+1)</f>
        <v>1</v>
      </c>
      <c r="BR936" s="137" t="str">
        <f aca="false">IF(OR(AND(DATOS_[[#This Row],[Fecha Fin Contrato]]&lt;$D$3,DATOS_[[#This Row],[Fecha Fin Contrato]]&lt;&gt;""),DATOS_[[#This Row],[Fecha de Contratación]]&gt;$D$4),"Fuera","Dentro")</f>
        <v>Dentro</v>
      </c>
      <c r="BS936" s="137" t="str">
        <f aca="false" t="array" ref="BS936:BS936">IF(MAX(IF(DATOS_[id]=DATOS_[[#This Row],[id]],DATOS_[F.fin.cal]))=DATOS_[[#This Row],[F.fin.cal]],"Sí","NO")</f>
        <v>Sí</v>
      </c>
      <c r="BT936" s="137" t="str">
        <f aca="false">IF(AND(DATOS_[[#This Row],[% normaliz]]&lt;&gt;1,DATOS_[[#This Row],[% anualiz]]=1),"Sí","NO")</f>
        <v>Sí</v>
      </c>
      <c r="BU936" s="137" t="str">
        <f aca="false">IF(AND(DATOS_[[#This Row],[% normaliz]]=1,DATOS_[[#This Row],[% anualiz]]&lt;&gt;1),"Sí","NO")</f>
        <v>NO</v>
      </c>
      <c r="BV936" s="137" t="str">
        <f aca="false">IF(AND(DATOS_[[#This Row],[% normaliz]]&lt;&gt;1,DATOS_[[#This Row],[% anualiz]]&lt;&gt;1),"Sí","NO")</f>
        <v>NO</v>
      </c>
      <c r="BW936" s="137" t="str">
        <f aca="false">+IF(DATOS_[[#This Row],[% normaliz]]*DATOS_[[#This Row],[% anualiz]]=1,"NO","Sí")</f>
        <v>Sí</v>
      </c>
      <c r="BX936" s="138" t="e">
        <f aca="false">(DATOS_[[#This Row],[S.BASE]]*(1/DATOS_[[#This Row],[% normaliz]])*(1/DATOS_[[#This Row],[% anualiz]]))*IF(DATOS_[[#This Row],[Check Equiparado]]="Sí",1,0)</f>
        <v>#DIV/0!</v>
      </c>
      <c r="BY93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6" s="138" t="e">
        <f aca="false">+DATOS_[[#This Row],[SALARIO BASE Eq]]+DATOS_[[#This Row],[Tot COMPL.SAL Eq]]</f>
        <v>#DIV/0!</v>
      </c>
      <c r="CA936" s="138" t="e">
        <f aca="false" t="array" ref="CA936:CA9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6" s="138" t="e">
        <f aca="false">+DATOS_[[#This Row],[TOTAL SALARIO Eq]]+DATOS_[[#This Row],[Tot Extrasalarial Eq]]</f>
        <v>#DIV/0!</v>
      </c>
      <c r="CC936" s="139" t="n">
        <f aca="false">DATOS_[[#This Row],[S.BASE]]</f>
        <v>0</v>
      </c>
      <c r="CD936" s="139" t="n">
        <f aca="false">+SUM(DATOS_[[#This Row],[Conc.Sal.01]:[Conc.Sal.30]])</f>
        <v>0</v>
      </c>
      <c r="CE936" s="139" t="n">
        <f aca="false">+DATOS_[[#This Row],[SALARIO BASE Ef]]+DATOS_[[#This Row],[Tot COMPL.SAL Ef]]</f>
        <v>0</v>
      </c>
      <c r="CF936" s="139" t="n">
        <f aca="false">+SUM(DATOS_[[#This Row],[C.Extra.01]:[C.Extra.05]])</f>
        <v>0</v>
      </c>
      <c r="CG936" s="139" t="n">
        <f aca="false">+DATOS_[[#This Row],[TOTAL SALARIO Ef]]+DATOS_[[#This Row],[Tot Extrasalarial Ef]]</f>
        <v>0</v>
      </c>
      <c r="CH936" s="140" t="n">
        <f aca="false">MIN(IF(DATOS_[[#This Row],[Fecha Fin Contrato]]="",$D$4,DATOS_[[#This Row],[Fecha Fin Contrato]]),$D$4)-MAX(DATOS_[[#This Row],[Fecha de Contratación]],$D$3)+1</f>
        <v>1</v>
      </c>
      <c r="CI936" s="141" t="str">
        <f aca="false">IF(COUNTIFS(DATOS_[id],DATOS_[[#This Row],[id]])&gt;1,DATOS_[[#This Row],[id]],"")</f>
        <v/>
      </c>
      <c r="CJ936" s="141" t="n">
        <f aca="false">(Inicio!$G$10-DATOS_[[#This Row],[Fecha Nacimiento]])/365.25</f>
        <v>0</v>
      </c>
      <c r="CK936" s="141" t="n">
        <f aca="false">(Inicio!$G$10-DATOS_[[#This Row],[Fecha de Antigüedad]])/365.25</f>
        <v>0</v>
      </c>
      <c r="CL936" s="141" t="e">
        <f aca="false">+VLOOKUP(DATOS_[[#This Row],[Clave de Contrato]],TblTiposContrato13[],3,0)</f>
        <v>#N/A</v>
      </c>
      <c r="CM936" s="141" t="e">
        <f aca="false">+VLOOKUP(DATOS_[[#This Row],[Clave de Contrato]],TblTiposContrato13[],4,0)</f>
        <v>#N/A</v>
      </c>
      <c r="CN936" s="141" t="str">
        <f aca="false">VLOOKUP(DATOS_[[#This Row],[Edad]],CONTRATOS!TblRngEdad,2,1)</f>
        <v>20  o menos</v>
      </c>
      <c r="CO936" s="141" t="str">
        <f aca="false">VLOOKUP(DATOS_[[#This Row],[Antigüedad]],TblRngAntg14[],2,1)</f>
        <v>0 a 1 años</v>
      </c>
    </row>
    <row r="937" customFormat="false" ht="13.8" hidden="false" customHeight="false" outlineLevel="0" collapsed="false">
      <c r="D937" s="128"/>
      <c r="E937" s="129"/>
      <c r="F937" s="129"/>
      <c r="G937" s="129"/>
      <c r="H937" s="130"/>
      <c r="I937" s="131"/>
      <c r="J937" s="128"/>
      <c r="K937" s="132"/>
      <c r="L937" s="132"/>
      <c r="M937" s="133"/>
      <c r="N937" s="133"/>
      <c r="O937" s="133"/>
      <c r="P937" s="129"/>
      <c r="Z937" s="75"/>
      <c r="AA937" s="76"/>
      <c r="AB937" s="76"/>
      <c r="AC937" s="129"/>
      <c r="AD937" s="134"/>
      <c r="AE937" s="134"/>
      <c r="AF937" s="134"/>
      <c r="AG937" s="134"/>
      <c r="AH937" s="134"/>
      <c r="AI937" s="134"/>
      <c r="AJ937" s="134"/>
      <c r="AK937" s="134"/>
      <c r="AL937" s="134"/>
      <c r="AM937" s="134"/>
      <c r="AN937" s="134"/>
      <c r="AO937" s="134"/>
      <c r="AP937" s="134"/>
      <c r="AQ937" s="134"/>
      <c r="AR937" s="134"/>
      <c r="AS937" s="134"/>
      <c r="AT937" s="134"/>
      <c r="AU937" s="134"/>
      <c r="AV937" s="134"/>
      <c r="AW937" s="134"/>
      <c r="AX937" s="134"/>
      <c r="AY937" s="134"/>
      <c r="AZ937" s="134"/>
      <c r="BA937" s="134"/>
      <c r="BB937" s="134"/>
      <c r="BC937" s="134"/>
      <c r="BD937" s="134"/>
      <c r="BE937" s="134"/>
      <c r="BF937" s="134"/>
      <c r="BG937" s="134"/>
      <c r="BH937" s="134"/>
      <c r="BI937" s="134"/>
      <c r="BJ937" s="134"/>
      <c r="BK937" s="134"/>
      <c r="BL937" s="134"/>
      <c r="BM937" s="135"/>
      <c r="BN937" s="136" t="n">
        <f aca="false">+MAX($D$3,DATOS_[[#This Row],[Fecha Inicio Sit. Contract.]])</f>
        <v>0</v>
      </c>
      <c r="BO937" s="136" t="n">
        <f aca="false">+MIN($D$4,DATOS_[[#This Row],[Fecha Fin Sit. Contract.]])</f>
        <v>0</v>
      </c>
      <c r="BP937" s="137" t="n">
        <f aca="false">+DATOS_[[#This Row],[% de jornada]]*IF(DATOS_[[#This Row],[% jornada reducida]]="",1,DATOS_[[#This Row],[% jornada reducida]])</f>
        <v>0</v>
      </c>
      <c r="BQ937" s="137" t="n">
        <f aca="false">+(DATOS_[[#This Row],[F.fin.cal]]-DATOS_[[#This Row],[F.ini.cal]]+1)/($D$4-$D$3+1)</f>
        <v>1</v>
      </c>
      <c r="BR937" s="137" t="str">
        <f aca="false">IF(OR(AND(DATOS_[[#This Row],[Fecha Fin Contrato]]&lt;$D$3,DATOS_[[#This Row],[Fecha Fin Contrato]]&lt;&gt;""),DATOS_[[#This Row],[Fecha de Contratación]]&gt;$D$4),"Fuera","Dentro")</f>
        <v>Dentro</v>
      </c>
      <c r="BS937" s="137" t="str">
        <f aca="false" t="array" ref="BS937:BS937">IF(MAX(IF(DATOS_[id]=DATOS_[[#This Row],[id]],DATOS_[F.fin.cal]))=DATOS_[[#This Row],[F.fin.cal]],"Sí","NO")</f>
        <v>Sí</v>
      </c>
      <c r="BT937" s="137" t="str">
        <f aca="false">IF(AND(DATOS_[[#This Row],[% normaliz]]&lt;&gt;1,DATOS_[[#This Row],[% anualiz]]=1),"Sí","NO")</f>
        <v>Sí</v>
      </c>
      <c r="BU937" s="137" t="str">
        <f aca="false">IF(AND(DATOS_[[#This Row],[% normaliz]]=1,DATOS_[[#This Row],[% anualiz]]&lt;&gt;1),"Sí","NO")</f>
        <v>NO</v>
      </c>
      <c r="BV937" s="137" t="str">
        <f aca="false">IF(AND(DATOS_[[#This Row],[% normaliz]]&lt;&gt;1,DATOS_[[#This Row],[% anualiz]]&lt;&gt;1),"Sí","NO")</f>
        <v>NO</v>
      </c>
      <c r="BW937" s="137" t="str">
        <f aca="false">+IF(DATOS_[[#This Row],[% normaliz]]*DATOS_[[#This Row],[% anualiz]]=1,"NO","Sí")</f>
        <v>Sí</v>
      </c>
      <c r="BX937" s="138" t="e">
        <f aca="false">(DATOS_[[#This Row],[S.BASE]]*(1/DATOS_[[#This Row],[% normaliz]])*(1/DATOS_[[#This Row],[% anualiz]]))*IF(DATOS_[[#This Row],[Check Equiparado]]="Sí",1,0)</f>
        <v>#DIV/0!</v>
      </c>
      <c r="BY93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7" s="138" t="e">
        <f aca="false">+DATOS_[[#This Row],[SALARIO BASE Eq]]+DATOS_[[#This Row],[Tot COMPL.SAL Eq]]</f>
        <v>#DIV/0!</v>
      </c>
      <c r="CA937" s="138" t="e">
        <f aca="false" t="array" ref="CA937:CA9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7" s="138" t="e">
        <f aca="false">+DATOS_[[#This Row],[TOTAL SALARIO Eq]]+DATOS_[[#This Row],[Tot Extrasalarial Eq]]</f>
        <v>#DIV/0!</v>
      </c>
      <c r="CC937" s="139" t="n">
        <f aca="false">DATOS_[[#This Row],[S.BASE]]</f>
        <v>0</v>
      </c>
      <c r="CD937" s="139" t="n">
        <f aca="false">+SUM(DATOS_[[#This Row],[Conc.Sal.01]:[Conc.Sal.30]])</f>
        <v>0</v>
      </c>
      <c r="CE937" s="139" t="n">
        <f aca="false">+DATOS_[[#This Row],[SALARIO BASE Ef]]+DATOS_[[#This Row],[Tot COMPL.SAL Ef]]</f>
        <v>0</v>
      </c>
      <c r="CF937" s="139" t="n">
        <f aca="false">+SUM(DATOS_[[#This Row],[C.Extra.01]:[C.Extra.05]])</f>
        <v>0</v>
      </c>
      <c r="CG937" s="139" t="n">
        <f aca="false">+DATOS_[[#This Row],[TOTAL SALARIO Ef]]+DATOS_[[#This Row],[Tot Extrasalarial Ef]]</f>
        <v>0</v>
      </c>
      <c r="CH937" s="140" t="n">
        <f aca="false">MIN(IF(DATOS_[[#This Row],[Fecha Fin Contrato]]="",$D$4,DATOS_[[#This Row],[Fecha Fin Contrato]]),$D$4)-MAX(DATOS_[[#This Row],[Fecha de Contratación]],$D$3)+1</f>
        <v>1</v>
      </c>
      <c r="CI937" s="141" t="str">
        <f aca="false">IF(COUNTIFS(DATOS_[id],DATOS_[[#This Row],[id]])&gt;1,DATOS_[[#This Row],[id]],"")</f>
        <v/>
      </c>
      <c r="CJ937" s="141" t="n">
        <f aca="false">(Inicio!$G$10-DATOS_[[#This Row],[Fecha Nacimiento]])/365.25</f>
        <v>0</v>
      </c>
      <c r="CK937" s="141" t="n">
        <f aca="false">(Inicio!$G$10-DATOS_[[#This Row],[Fecha de Antigüedad]])/365.25</f>
        <v>0</v>
      </c>
      <c r="CL937" s="141" t="e">
        <f aca="false">+VLOOKUP(DATOS_[[#This Row],[Clave de Contrato]],TblTiposContrato13[],3,0)</f>
        <v>#N/A</v>
      </c>
      <c r="CM937" s="141" t="e">
        <f aca="false">+VLOOKUP(DATOS_[[#This Row],[Clave de Contrato]],TblTiposContrato13[],4,0)</f>
        <v>#N/A</v>
      </c>
      <c r="CN937" s="141" t="str">
        <f aca="false">VLOOKUP(DATOS_[[#This Row],[Edad]],CONTRATOS!TblRngEdad,2,1)</f>
        <v>20  o menos</v>
      </c>
      <c r="CO937" s="141" t="str">
        <f aca="false">VLOOKUP(DATOS_[[#This Row],[Antigüedad]],TblRngAntg14[],2,1)</f>
        <v>0 a 1 años</v>
      </c>
    </row>
    <row r="938" customFormat="false" ht="13.8" hidden="false" customHeight="false" outlineLevel="0" collapsed="false">
      <c r="D938" s="128"/>
      <c r="E938" s="129"/>
      <c r="F938" s="129"/>
      <c r="G938" s="129"/>
      <c r="H938" s="130"/>
      <c r="I938" s="131"/>
      <c r="J938" s="128"/>
      <c r="K938" s="132"/>
      <c r="L938" s="132"/>
      <c r="M938" s="133"/>
      <c r="N938" s="133"/>
      <c r="O938" s="133"/>
      <c r="P938" s="129"/>
      <c r="Z938" s="75"/>
      <c r="AA938" s="76"/>
      <c r="AB938" s="76"/>
      <c r="AC938" s="129"/>
      <c r="AD938" s="134"/>
      <c r="AE938" s="134"/>
      <c r="AF938" s="134"/>
      <c r="AG938" s="134"/>
      <c r="AH938" s="134"/>
      <c r="AI938" s="134"/>
      <c r="AJ938" s="134"/>
      <c r="AK938" s="134"/>
      <c r="AL938" s="134"/>
      <c r="AM938" s="134"/>
      <c r="AN938" s="134"/>
      <c r="AO938" s="134"/>
      <c r="AP938" s="134"/>
      <c r="AQ938" s="134"/>
      <c r="AR938" s="134"/>
      <c r="AS938" s="134"/>
      <c r="AT938" s="134"/>
      <c r="AU938" s="134"/>
      <c r="AV938" s="134"/>
      <c r="AW938" s="134"/>
      <c r="AX938" s="134"/>
      <c r="AY938" s="134"/>
      <c r="AZ938" s="134"/>
      <c r="BA938" s="134"/>
      <c r="BB938" s="134"/>
      <c r="BC938" s="134"/>
      <c r="BD938" s="134"/>
      <c r="BE938" s="134"/>
      <c r="BF938" s="134"/>
      <c r="BG938" s="134"/>
      <c r="BH938" s="134"/>
      <c r="BI938" s="134"/>
      <c r="BJ938" s="134"/>
      <c r="BK938" s="134"/>
      <c r="BL938" s="134"/>
      <c r="BM938" s="135"/>
      <c r="BN938" s="136" t="n">
        <f aca="false">+MAX($D$3,DATOS_[[#This Row],[Fecha Inicio Sit. Contract.]])</f>
        <v>0</v>
      </c>
      <c r="BO938" s="136" t="n">
        <f aca="false">+MIN($D$4,DATOS_[[#This Row],[Fecha Fin Sit. Contract.]])</f>
        <v>0</v>
      </c>
      <c r="BP938" s="137" t="n">
        <f aca="false">+DATOS_[[#This Row],[% de jornada]]*IF(DATOS_[[#This Row],[% jornada reducida]]="",1,DATOS_[[#This Row],[% jornada reducida]])</f>
        <v>0</v>
      </c>
      <c r="BQ938" s="137" t="n">
        <f aca="false">+(DATOS_[[#This Row],[F.fin.cal]]-DATOS_[[#This Row],[F.ini.cal]]+1)/($D$4-$D$3+1)</f>
        <v>1</v>
      </c>
      <c r="BR938" s="137" t="str">
        <f aca="false">IF(OR(AND(DATOS_[[#This Row],[Fecha Fin Contrato]]&lt;$D$3,DATOS_[[#This Row],[Fecha Fin Contrato]]&lt;&gt;""),DATOS_[[#This Row],[Fecha de Contratación]]&gt;$D$4),"Fuera","Dentro")</f>
        <v>Dentro</v>
      </c>
      <c r="BS938" s="137" t="str">
        <f aca="false" t="array" ref="BS938:BS938">IF(MAX(IF(DATOS_[id]=DATOS_[[#This Row],[id]],DATOS_[F.fin.cal]))=DATOS_[[#This Row],[F.fin.cal]],"Sí","NO")</f>
        <v>Sí</v>
      </c>
      <c r="BT938" s="137" t="str">
        <f aca="false">IF(AND(DATOS_[[#This Row],[% normaliz]]&lt;&gt;1,DATOS_[[#This Row],[% anualiz]]=1),"Sí","NO")</f>
        <v>Sí</v>
      </c>
      <c r="BU938" s="137" t="str">
        <f aca="false">IF(AND(DATOS_[[#This Row],[% normaliz]]=1,DATOS_[[#This Row],[% anualiz]]&lt;&gt;1),"Sí","NO")</f>
        <v>NO</v>
      </c>
      <c r="BV938" s="137" t="str">
        <f aca="false">IF(AND(DATOS_[[#This Row],[% normaliz]]&lt;&gt;1,DATOS_[[#This Row],[% anualiz]]&lt;&gt;1),"Sí","NO")</f>
        <v>NO</v>
      </c>
      <c r="BW938" s="137" t="str">
        <f aca="false">+IF(DATOS_[[#This Row],[% normaliz]]*DATOS_[[#This Row],[% anualiz]]=1,"NO","Sí")</f>
        <v>Sí</v>
      </c>
      <c r="BX938" s="138" t="e">
        <f aca="false">(DATOS_[[#This Row],[S.BASE]]*(1/DATOS_[[#This Row],[% normaliz]])*(1/DATOS_[[#This Row],[% anualiz]]))*IF(DATOS_[[#This Row],[Check Equiparado]]="Sí",1,0)</f>
        <v>#DIV/0!</v>
      </c>
      <c r="BY93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8" s="138" t="e">
        <f aca="false">+DATOS_[[#This Row],[SALARIO BASE Eq]]+DATOS_[[#This Row],[Tot COMPL.SAL Eq]]</f>
        <v>#DIV/0!</v>
      </c>
      <c r="CA938" s="138" t="e">
        <f aca="false" t="array" ref="CA938:CA9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8" s="138" t="e">
        <f aca="false">+DATOS_[[#This Row],[TOTAL SALARIO Eq]]+DATOS_[[#This Row],[Tot Extrasalarial Eq]]</f>
        <v>#DIV/0!</v>
      </c>
      <c r="CC938" s="139" t="n">
        <f aca="false">DATOS_[[#This Row],[S.BASE]]</f>
        <v>0</v>
      </c>
      <c r="CD938" s="139" t="n">
        <f aca="false">+SUM(DATOS_[[#This Row],[Conc.Sal.01]:[Conc.Sal.30]])</f>
        <v>0</v>
      </c>
      <c r="CE938" s="139" t="n">
        <f aca="false">+DATOS_[[#This Row],[SALARIO BASE Ef]]+DATOS_[[#This Row],[Tot COMPL.SAL Ef]]</f>
        <v>0</v>
      </c>
      <c r="CF938" s="139" t="n">
        <f aca="false">+SUM(DATOS_[[#This Row],[C.Extra.01]:[C.Extra.05]])</f>
        <v>0</v>
      </c>
      <c r="CG938" s="139" t="n">
        <f aca="false">+DATOS_[[#This Row],[TOTAL SALARIO Ef]]+DATOS_[[#This Row],[Tot Extrasalarial Ef]]</f>
        <v>0</v>
      </c>
      <c r="CH938" s="140" t="n">
        <f aca="false">MIN(IF(DATOS_[[#This Row],[Fecha Fin Contrato]]="",$D$4,DATOS_[[#This Row],[Fecha Fin Contrato]]),$D$4)-MAX(DATOS_[[#This Row],[Fecha de Contratación]],$D$3)+1</f>
        <v>1</v>
      </c>
      <c r="CI938" s="141" t="str">
        <f aca="false">IF(COUNTIFS(DATOS_[id],DATOS_[[#This Row],[id]])&gt;1,DATOS_[[#This Row],[id]],"")</f>
        <v/>
      </c>
      <c r="CJ938" s="141" t="n">
        <f aca="false">(Inicio!$G$10-DATOS_[[#This Row],[Fecha Nacimiento]])/365.25</f>
        <v>0</v>
      </c>
      <c r="CK938" s="141" t="n">
        <f aca="false">(Inicio!$G$10-DATOS_[[#This Row],[Fecha de Antigüedad]])/365.25</f>
        <v>0</v>
      </c>
      <c r="CL938" s="141" t="e">
        <f aca="false">+VLOOKUP(DATOS_[[#This Row],[Clave de Contrato]],TblTiposContrato13[],3,0)</f>
        <v>#N/A</v>
      </c>
      <c r="CM938" s="141" t="e">
        <f aca="false">+VLOOKUP(DATOS_[[#This Row],[Clave de Contrato]],TblTiposContrato13[],4,0)</f>
        <v>#N/A</v>
      </c>
      <c r="CN938" s="141" t="str">
        <f aca="false">VLOOKUP(DATOS_[[#This Row],[Edad]],CONTRATOS!TblRngEdad,2,1)</f>
        <v>20  o menos</v>
      </c>
      <c r="CO938" s="141" t="str">
        <f aca="false">VLOOKUP(DATOS_[[#This Row],[Antigüedad]],TblRngAntg14[],2,1)</f>
        <v>0 a 1 años</v>
      </c>
    </row>
    <row r="939" customFormat="false" ht="13.8" hidden="false" customHeight="false" outlineLevel="0" collapsed="false">
      <c r="D939" s="128"/>
      <c r="E939" s="129"/>
      <c r="F939" s="129"/>
      <c r="G939" s="129"/>
      <c r="H939" s="130"/>
      <c r="I939" s="131"/>
      <c r="J939" s="128"/>
      <c r="K939" s="132"/>
      <c r="L939" s="132"/>
      <c r="M939" s="133"/>
      <c r="N939" s="133"/>
      <c r="O939" s="133"/>
      <c r="P939" s="129"/>
      <c r="Z939" s="75"/>
      <c r="AA939" s="76"/>
      <c r="AB939" s="76"/>
      <c r="AC939" s="129"/>
      <c r="AD939" s="134"/>
      <c r="AE939" s="134"/>
      <c r="AF939" s="134"/>
      <c r="AG939" s="134"/>
      <c r="AH939" s="134"/>
      <c r="AI939" s="134"/>
      <c r="AJ939" s="134"/>
      <c r="AK939" s="134"/>
      <c r="AL939" s="134"/>
      <c r="AM939" s="134"/>
      <c r="AN939" s="134"/>
      <c r="AO939" s="134"/>
      <c r="AP939" s="134"/>
      <c r="AQ939" s="134"/>
      <c r="AR939" s="134"/>
      <c r="AS939" s="134"/>
      <c r="AT939" s="134"/>
      <c r="AU939" s="134"/>
      <c r="AV939" s="134"/>
      <c r="AW939" s="134"/>
      <c r="AX939" s="134"/>
      <c r="AY939" s="134"/>
      <c r="AZ939" s="134"/>
      <c r="BA939" s="134"/>
      <c r="BB939" s="134"/>
      <c r="BC939" s="134"/>
      <c r="BD939" s="134"/>
      <c r="BE939" s="134"/>
      <c r="BF939" s="134"/>
      <c r="BG939" s="134"/>
      <c r="BH939" s="134"/>
      <c r="BI939" s="134"/>
      <c r="BJ939" s="134"/>
      <c r="BK939" s="134"/>
      <c r="BL939" s="134"/>
      <c r="BM939" s="135"/>
      <c r="BN939" s="136" t="n">
        <f aca="false">+MAX($D$3,DATOS_[[#This Row],[Fecha Inicio Sit. Contract.]])</f>
        <v>0</v>
      </c>
      <c r="BO939" s="136" t="n">
        <f aca="false">+MIN($D$4,DATOS_[[#This Row],[Fecha Fin Sit. Contract.]])</f>
        <v>0</v>
      </c>
      <c r="BP939" s="137" t="n">
        <f aca="false">+DATOS_[[#This Row],[% de jornada]]*IF(DATOS_[[#This Row],[% jornada reducida]]="",1,DATOS_[[#This Row],[% jornada reducida]])</f>
        <v>0</v>
      </c>
      <c r="BQ939" s="137" t="n">
        <f aca="false">+(DATOS_[[#This Row],[F.fin.cal]]-DATOS_[[#This Row],[F.ini.cal]]+1)/($D$4-$D$3+1)</f>
        <v>1</v>
      </c>
      <c r="BR939" s="137" t="str">
        <f aca="false">IF(OR(AND(DATOS_[[#This Row],[Fecha Fin Contrato]]&lt;$D$3,DATOS_[[#This Row],[Fecha Fin Contrato]]&lt;&gt;""),DATOS_[[#This Row],[Fecha de Contratación]]&gt;$D$4),"Fuera","Dentro")</f>
        <v>Dentro</v>
      </c>
      <c r="BS939" s="137" t="str">
        <f aca="false" t="array" ref="BS939:BS939">IF(MAX(IF(DATOS_[id]=DATOS_[[#This Row],[id]],DATOS_[F.fin.cal]))=DATOS_[[#This Row],[F.fin.cal]],"Sí","NO")</f>
        <v>Sí</v>
      </c>
      <c r="BT939" s="137" t="str">
        <f aca="false">IF(AND(DATOS_[[#This Row],[% normaliz]]&lt;&gt;1,DATOS_[[#This Row],[% anualiz]]=1),"Sí","NO")</f>
        <v>Sí</v>
      </c>
      <c r="BU939" s="137" t="str">
        <f aca="false">IF(AND(DATOS_[[#This Row],[% normaliz]]=1,DATOS_[[#This Row],[% anualiz]]&lt;&gt;1),"Sí","NO")</f>
        <v>NO</v>
      </c>
      <c r="BV939" s="137" t="str">
        <f aca="false">IF(AND(DATOS_[[#This Row],[% normaliz]]&lt;&gt;1,DATOS_[[#This Row],[% anualiz]]&lt;&gt;1),"Sí","NO")</f>
        <v>NO</v>
      </c>
      <c r="BW939" s="137" t="str">
        <f aca="false">+IF(DATOS_[[#This Row],[% normaliz]]*DATOS_[[#This Row],[% anualiz]]=1,"NO","Sí")</f>
        <v>Sí</v>
      </c>
      <c r="BX939" s="138" t="e">
        <f aca="false">(DATOS_[[#This Row],[S.BASE]]*(1/DATOS_[[#This Row],[% normaliz]])*(1/DATOS_[[#This Row],[% anualiz]]))*IF(DATOS_[[#This Row],[Check Equiparado]]="Sí",1,0)</f>
        <v>#DIV/0!</v>
      </c>
      <c r="BY93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9" s="138" t="e">
        <f aca="false">+DATOS_[[#This Row],[SALARIO BASE Eq]]+DATOS_[[#This Row],[Tot COMPL.SAL Eq]]</f>
        <v>#DIV/0!</v>
      </c>
      <c r="CA939" s="138" t="e">
        <f aca="false" t="array" ref="CA939:CA9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9" s="138" t="e">
        <f aca="false">+DATOS_[[#This Row],[TOTAL SALARIO Eq]]+DATOS_[[#This Row],[Tot Extrasalarial Eq]]</f>
        <v>#DIV/0!</v>
      </c>
      <c r="CC939" s="139" t="n">
        <f aca="false">DATOS_[[#This Row],[S.BASE]]</f>
        <v>0</v>
      </c>
      <c r="CD939" s="139" t="n">
        <f aca="false">+SUM(DATOS_[[#This Row],[Conc.Sal.01]:[Conc.Sal.30]])</f>
        <v>0</v>
      </c>
      <c r="CE939" s="139" t="n">
        <f aca="false">+DATOS_[[#This Row],[SALARIO BASE Ef]]+DATOS_[[#This Row],[Tot COMPL.SAL Ef]]</f>
        <v>0</v>
      </c>
      <c r="CF939" s="139" t="n">
        <f aca="false">+SUM(DATOS_[[#This Row],[C.Extra.01]:[C.Extra.05]])</f>
        <v>0</v>
      </c>
      <c r="CG939" s="139" t="n">
        <f aca="false">+DATOS_[[#This Row],[TOTAL SALARIO Ef]]+DATOS_[[#This Row],[Tot Extrasalarial Ef]]</f>
        <v>0</v>
      </c>
      <c r="CH939" s="140" t="n">
        <f aca="false">MIN(IF(DATOS_[[#This Row],[Fecha Fin Contrato]]="",$D$4,DATOS_[[#This Row],[Fecha Fin Contrato]]),$D$4)-MAX(DATOS_[[#This Row],[Fecha de Contratación]],$D$3)+1</f>
        <v>1</v>
      </c>
      <c r="CI939" s="141" t="str">
        <f aca="false">IF(COUNTIFS(DATOS_[id],DATOS_[[#This Row],[id]])&gt;1,DATOS_[[#This Row],[id]],"")</f>
        <v/>
      </c>
      <c r="CJ939" s="141" t="n">
        <f aca="false">(Inicio!$G$10-DATOS_[[#This Row],[Fecha Nacimiento]])/365.25</f>
        <v>0</v>
      </c>
      <c r="CK939" s="141" t="n">
        <f aca="false">(Inicio!$G$10-DATOS_[[#This Row],[Fecha de Antigüedad]])/365.25</f>
        <v>0</v>
      </c>
      <c r="CL939" s="141" t="e">
        <f aca="false">+VLOOKUP(DATOS_[[#This Row],[Clave de Contrato]],TblTiposContrato13[],3,0)</f>
        <v>#N/A</v>
      </c>
      <c r="CM939" s="141" t="e">
        <f aca="false">+VLOOKUP(DATOS_[[#This Row],[Clave de Contrato]],TblTiposContrato13[],4,0)</f>
        <v>#N/A</v>
      </c>
      <c r="CN939" s="141" t="str">
        <f aca="false">VLOOKUP(DATOS_[[#This Row],[Edad]],CONTRATOS!TblRngEdad,2,1)</f>
        <v>20  o menos</v>
      </c>
      <c r="CO939" s="141" t="str">
        <f aca="false">VLOOKUP(DATOS_[[#This Row],[Antigüedad]],TblRngAntg14[],2,1)</f>
        <v>0 a 1 años</v>
      </c>
    </row>
    <row r="940" customFormat="false" ht="13.8" hidden="false" customHeight="false" outlineLevel="0" collapsed="false">
      <c r="D940" s="128"/>
      <c r="E940" s="129"/>
      <c r="F940" s="129"/>
      <c r="G940" s="129"/>
      <c r="H940" s="130"/>
      <c r="I940" s="131"/>
      <c r="J940" s="128"/>
      <c r="K940" s="132"/>
      <c r="L940" s="132"/>
      <c r="M940" s="133"/>
      <c r="N940" s="133"/>
      <c r="O940" s="133"/>
      <c r="P940" s="129"/>
      <c r="Z940" s="75"/>
      <c r="AA940" s="76"/>
      <c r="AB940" s="76"/>
      <c r="AC940" s="129"/>
      <c r="AD940" s="134"/>
      <c r="AE940" s="134"/>
      <c r="AF940" s="134"/>
      <c r="AG940" s="134"/>
      <c r="AH940" s="134"/>
      <c r="AI940" s="134"/>
      <c r="AJ940" s="134"/>
      <c r="AK940" s="134"/>
      <c r="AL940" s="134"/>
      <c r="AM940" s="134"/>
      <c r="AN940" s="134"/>
      <c r="AO940" s="134"/>
      <c r="AP940" s="134"/>
      <c r="AQ940" s="134"/>
      <c r="AR940" s="134"/>
      <c r="AS940" s="134"/>
      <c r="AT940" s="134"/>
      <c r="AU940" s="134"/>
      <c r="AV940" s="134"/>
      <c r="AW940" s="134"/>
      <c r="AX940" s="134"/>
      <c r="AY940" s="134"/>
      <c r="AZ940" s="134"/>
      <c r="BA940" s="134"/>
      <c r="BB940" s="134"/>
      <c r="BC940" s="134"/>
      <c r="BD940" s="134"/>
      <c r="BE940" s="134"/>
      <c r="BF940" s="134"/>
      <c r="BG940" s="134"/>
      <c r="BH940" s="134"/>
      <c r="BI940" s="134"/>
      <c r="BJ940" s="134"/>
      <c r="BK940" s="134"/>
      <c r="BL940" s="134"/>
      <c r="BM940" s="135"/>
      <c r="BN940" s="136" t="n">
        <f aca="false">+MAX($D$3,DATOS_[[#This Row],[Fecha Inicio Sit. Contract.]])</f>
        <v>0</v>
      </c>
      <c r="BO940" s="136" t="n">
        <f aca="false">+MIN($D$4,DATOS_[[#This Row],[Fecha Fin Sit. Contract.]])</f>
        <v>0</v>
      </c>
      <c r="BP940" s="137" t="n">
        <f aca="false">+DATOS_[[#This Row],[% de jornada]]*IF(DATOS_[[#This Row],[% jornada reducida]]="",1,DATOS_[[#This Row],[% jornada reducida]])</f>
        <v>0</v>
      </c>
      <c r="BQ940" s="137" t="n">
        <f aca="false">+(DATOS_[[#This Row],[F.fin.cal]]-DATOS_[[#This Row],[F.ini.cal]]+1)/($D$4-$D$3+1)</f>
        <v>1</v>
      </c>
      <c r="BR940" s="137" t="str">
        <f aca="false">IF(OR(AND(DATOS_[[#This Row],[Fecha Fin Contrato]]&lt;$D$3,DATOS_[[#This Row],[Fecha Fin Contrato]]&lt;&gt;""),DATOS_[[#This Row],[Fecha de Contratación]]&gt;$D$4),"Fuera","Dentro")</f>
        <v>Dentro</v>
      </c>
      <c r="BS940" s="137" t="str">
        <f aca="false" t="array" ref="BS940:BS940">IF(MAX(IF(DATOS_[id]=DATOS_[[#This Row],[id]],DATOS_[F.fin.cal]))=DATOS_[[#This Row],[F.fin.cal]],"Sí","NO")</f>
        <v>Sí</v>
      </c>
      <c r="BT940" s="137" t="str">
        <f aca="false">IF(AND(DATOS_[[#This Row],[% normaliz]]&lt;&gt;1,DATOS_[[#This Row],[% anualiz]]=1),"Sí","NO")</f>
        <v>Sí</v>
      </c>
      <c r="BU940" s="137" t="str">
        <f aca="false">IF(AND(DATOS_[[#This Row],[% normaliz]]=1,DATOS_[[#This Row],[% anualiz]]&lt;&gt;1),"Sí","NO")</f>
        <v>NO</v>
      </c>
      <c r="BV940" s="137" t="str">
        <f aca="false">IF(AND(DATOS_[[#This Row],[% normaliz]]&lt;&gt;1,DATOS_[[#This Row],[% anualiz]]&lt;&gt;1),"Sí","NO")</f>
        <v>NO</v>
      </c>
      <c r="BW940" s="137" t="str">
        <f aca="false">+IF(DATOS_[[#This Row],[% normaliz]]*DATOS_[[#This Row],[% anualiz]]=1,"NO","Sí")</f>
        <v>Sí</v>
      </c>
      <c r="BX940" s="138" t="e">
        <f aca="false">(DATOS_[[#This Row],[S.BASE]]*(1/DATOS_[[#This Row],[% normaliz]])*(1/DATOS_[[#This Row],[% anualiz]]))*IF(DATOS_[[#This Row],[Check Equiparado]]="Sí",1,0)</f>
        <v>#DIV/0!</v>
      </c>
      <c r="BY94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0" s="138" t="e">
        <f aca="false">+DATOS_[[#This Row],[SALARIO BASE Eq]]+DATOS_[[#This Row],[Tot COMPL.SAL Eq]]</f>
        <v>#DIV/0!</v>
      </c>
      <c r="CA940" s="138" t="e">
        <f aca="false" t="array" ref="CA940:CA9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0" s="138" t="e">
        <f aca="false">+DATOS_[[#This Row],[TOTAL SALARIO Eq]]+DATOS_[[#This Row],[Tot Extrasalarial Eq]]</f>
        <v>#DIV/0!</v>
      </c>
      <c r="CC940" s="139" t="n">
        <f aca="false">DATOS_[[#This Row],[S.BASE]]</f>
        <v>0</v>
      </c>
      <c r="CD940" s="139" t="n">
        <f aca="false">+SUM(DATOS_[[#This Row],[Conc.Sal.01]:[Conc.Sal.30]])</f>
        <v>0</v>
      </c>
      <c r="CE940" s="139" t="n">
        <f aca="false">+DATOS_[[#This Row],[SALARIO BASE Ef]]+DATOS_[[#This Row],[Tot COMPL.SAL Ef]]</f>
        <v>0</v>
      </c>
      <c r="CF940" s="139" t="n">
        <f aca="false">+SUM(DATOS_[[#This Row],[C.Extra.01]:[C.Extra.05]])</f>
        <v>0</v>
      </c>
      <c r="CG940" s="139" t="n">
        <f aca="false">+DATOS_[[#This Row],[TOTAL SALARIO Ef]]+DATOS_[[#This Row],[Tot Extrasalarial Ef]]</f>
        <v>0</v>
      </c>
      <c r="CH940" s="140" t="n">
        <f aca="false">MIN(IF(DATOS_[[#This Row],[Fecha Fin Contrato]]="",$D$4,DATOS_[[#This Row],[Fecha Fin Contrato]]),$D$4)-MAX(DATOS_[[#This Row],[Fecha de Contratación]],$D$3)+1</f>
        <v>1</v>
      </c>
      <c r="CI940" s="141" t="str">
        <f aca="false">IF(COUNTIFS(DATOS_[id],DATOS_[[#This Row],[id]])&gt;1,DATOS_[[#This Row],[id]],"")</f>
        <v/>
      </c>
      <c r="CJ940" s="141" t="n">
        <f aca="false">(Inicio!$G$10-DATOS_[[#This Row],[Fecha Nacimiento]])/365.25</f>
        <v>0</v>
      </c>
      <c r="CK940" s="141" t="n">
        <f aca="false">(Inicio!$G$10-DATOS_[[#This Row],[Fecha de Antigüedad]])/365.25</f>
        <v>0</v>
      </c>
      <c r="CL940" s="141" t="e">
        <f aca="false">+VLOOKUP(DATOS_[[#This Row],[Clave de Contrato]],TblTiposContrato13[],3,0)</f>
        <v>#N/A</v>
      </c>
      <c r="CM940" s="141" t="e">
        <f aca="false">+VLOOKUP(DATOS_[[#This Row],[Clave de Contrato]],TblTiposContrato13[],4,0)</f>
        <v>#N/A</v>
      </c>
      <c r="CN940" s="141" t="str">
        <f aca="false">VLOOKUP(DATOS_[[#This Row],[Edad]],CONTRATOS!TblRngEdad,2,1)</f>
        <v>20  o menos</v>
      </c>
      <c r="CO940" s="141" t="str">
        <f aca="false">VLOOKUP(DATOS_[[#This Row],[Antigüedad]],TblRngAntg14[],2,1)</f>
        <v>0 a 1 años</v>
      </c>
    </row>
    <row r="941" customFormat="false" ht="13.8" hidden="false" customHeight="false" outlineLevel="0" collapsed="false">
      <c r="D941" s="128"/>
      <c r="E941" s="129"/>
      <c r="F941" s="129"/>
      <c r="G941" s="129"/>
      <c r="H941" s="130"/>
      <c r="I941" s="131"/>
      <c r="J941" s="128"/>
      <c r="K941" s="132"/>
      <c r="L941" s="132"/>
      <c r="M941" s="133"/>
      <c r="N941" s="133"/>
      <c r="O941" s="133"/>
      <c r="P941" s="129"/>
      <c r="Z941" s="75"/>
      <c r="AA941" s="76"/>
      <c r="AB941" s="76"/>
      <c r="AC941" s="129"/>
      <c r="AD941" s="134"/>
      <c r="AE941" s="134"/>
      <c r="AF941" s="134"/>
      <c r="AG941" s="134"/>
      <c r="AH941" s="134"/>
      <c r="AI941" s="134"/>
      <c r="AJ941" s="134"/>
      <c r="AK941" s="134"/>
      <c r="AL941" s="134"/>
      <c r="AM941" s="134"/>
      <c r="AN941" s="134"/>
      <c r="AO941" s="134"/>
      <c r="AP941" s="134"/>
      <c r="AQ941" s="134"/>
      <c r="AR941" s="134"/>
      <c r="AS941" s="134"/>
      <c r="AT941" s="134"/>
      <c r="AU941" s="134"/>
      <c r="AV941" s="134"/>
      <c r="AW941" s="134"/>
      <c r="AX941" s="134"/>
      <c r="AY941" s="134"/>
      <c r="AZ941" s="134"/>
      <c r="BA941" s="134"/>
      <c r="BB941" s="134"/>
      <c r="BC941" s="134"/>
      <c r="BD941" s="134"/>
      <c r="BE941" s="134"/>
      <c r="BF941" s="134"/>
      <c r="BG941" s="134"/>
      <c r="BH941" s="134"/>
      <c r="BI941" s="134"/>
      <c r="BJ941" s="134"/>
      <c r="BK941" s="134"/>
      <c r="BL941" s="134"/>
      <c r="BM941" s="135"/>
      <c r="BN941" s="136" t="n">
        <f aca="false">+MAX($D$3,DATOS_[[#This Row],[Fecha Inicio Sit. Contract.]])</f>
        <v>0</v>
      </c>
      <c r="BO941" s="136" t="n">
        <f aca="false">+MIN($D$4,DATOS_[[#This Row],[Fecha Fin Sit. Contract.]])</f>
        <v>0</v>
      </c>
      <c r="BP941" s="137" t="n">
        <f aca="false">+DATOS_[[#This Row],[% de jornada]]*IF(DATOS_[[#This Row],[% jornada reducida]]="",1,DATOS_[[#This Row],[% jornada reducida]])</f>
        <v>0</v>
      </c>
      <c r="BQ941" s="137" t="n">
        <f aca="false">+(DATOS_[[#This Row],[F.fin.cal]]-DATOS_[[#This Row],[F.ini.cal]]+1)/($D$4-$D$3+1)</f>
        <v>1</v>
      </c>
      <c r="BR941" s="137" t="str">
        <f aca="false">IF(OR(AND(DATOS_[[#This Row],[Fecha Fin Contrato]]&lt;$D$3,DATOS_[[#This Row],[Fecha Fin Contrato]]&lt;&gt;""),DATOS_[[#This Row],[Fecha de Contratación]]&gt;$D$4),"Fuera","Dentro")</f>
        <v>Dentro</v>
      </c>
      <c r="BS941" s="137" t="str">
        <f aca="false" t="array" ref="BS941:BS941">IF(MAX(IF(DATOS_[id]=DATOS_[[#This Row],[id]],DATOS_[F.fin.cal]))=DATOS_[[#This Row],[F.fin.cal]],"Sí","NO")</f>
        <v>Sí</v>
      </c>
      <c r="BT941" s="137" t="str">
        <f aca="false">IF(AND(DATOS_[[#This Row],[% normaliz]]&lt;&gt;1,DATOS_[[#This Row],[% anualiz]]=1),"Sí","NO")</f>
        <v>Sí</v>
      </c>
      <c r="BU941" s="137" t="str">
        <f aca="false">IF(AND(DATOS_[[#This Row],[% normaliz]]=1,DATOS_[[#This Row],[% anualiz]]&lt;&gt;1),"Sí","NO")</f>
        <v>NO</v>
      </c>
      <c r="BV941" s="137" t="str">
        <f aca="false">IF(AND(DATOS_[[#This Row],[% normaliz]]&lt;&gt;1,DATOS_[[#This Row],[% anualiz]]&lt;&gt;1),"Sí","NO")</f>
        <v>NO</v>
      </c>
      <c r="BW941" s="137" t="str">
        <f aca="false">+IF(DATOS_[[#This Row],[% normaliz]]*DATOS_[[#This Row],[% anualiz]]=1,"NO","Sí")</f>
        <v>Sí</v>
      </c>
      <c r="BX941" s="138" t="e">
        <f aca="false">(DATOS_[[#This Row],[S.BASE]]*(1/DATOS_[[#This Row],[% normaliz]])*(1/DATOS_[[#This Row],[% anualiz]]))*IF(DATOS_[[#This Row],[Check Equiparado]]="Sí",1,0)</f>
        <v>#DIV/0!</v>
      </c>
      <c r="BY94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1" s="138" t="e">
        <f aca="false">+DATOS_[[#This Row],[SALARIO BASE Eq]]+DATOS_[[#This Row],[Tot COMPL.SAL Eq]]</f>
        <v>#DIV/0!</v>
      </c>
      <c r="CA941" s="138" t="e">
        <f aca="false" t="array" ref="CA941:CA9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1" s="138" t="e">
        <f aca="false">+DATOS_[[#This Row],[TOTAL SALARIO Eq]]+DATOS_[[#This Row],[Tot Extrasalarial Eq]]</f>
        <v>#DIV/0!</v>
      </c>
      <c r="CC941" s="139" t="n">
        <f aca="false">DATOS_[[#This Row],[S.BASE]]</f>
        <v>0</v>
      </c>
      <c r="CD941" s="139" t="n">
        <f aca="false">+SUM(DATOS_[[#This Row],[Conc.Sal.01]:[Conc.Sal.30]])</f>
        <v>0</v>
      </c>
      <c r="CE941" s="139" t="n">
        <f aca="false">+DATOS_[[#This Row],[SALARIO BASE Ef]]+DATOS_[[#This Row],[Tot COMPL.SAL Ef]]</f>
        <v>0</v>
      </c>
      <c r="CF941" s="139" t="n">
        <f aca="false">+SUM(DATOS_[[#This Row],[C.Extra.01]:[C.Extra.05]])</f>
        <v>0</v>
      </c>
      <c r="CG941" s="139" t="n">
        <f aca="false">+DATOS_[[#This Row],[TOTAL SALARIO Ef]]+DATOS_[[#This Row],[Tot Extrasalarial Ef]]</f>
        <v>0</v>
      </c>
      <c r="CH941" s="140" t="n">
        <f aca="false">MIN(IF(DATOS_[[#This Row],[Fecha Fin Contrato]]="",$D$4,DATOS_[[#This Row],[Fecha Fin Contrato]]),$D$4)-MAX(DATOS_[[#This Row],[Fecha de Contratación]],$D$3)+1</f>
        <v>1</v>
      </c>
      <c r="CI941" s="141" t="str">
        <f aca="false">IF(COUNTIFS(DATOS_[id],DATOS_[[#This Row],[id]])&gt;1,DATOS_[[#This Row],[id]],"")</f>
        <v/>
      </c>
      <c r="CJ941" s="141" t="n">
        <f aca="false">(Inicio!$G$10-DATOS_[[#This Row],[Fecha Nacimiento]])/365.25</f>
        <v>0</v>
      </c>
      <c r="CK941" s="141" t="n">
        <f aca="false">(Inicio!$G$10-DATOS_[[#This Row],[Fecha de Antigüedad]])/365.25</f>
        <v>0</v>
      </c>
      <c r="CL941" s="141" t="e">
        <f aca="false">+VLOOKUP(DATOS_[[#This Row],[Clave de Contrato]],TblTiposContrato13[],3,0)</f>
        <v>#N/A</v>
      </c>
      <c r="CM941" s="141" t="e">
        <f aca="false">+VLOOKUP(DATOS_[[#This Row],[Clave de Contrato]],TblTiposContrato13[],4,0)</f>
        <v>#N/A</v>
      </c>
      <c r="CN941" s="141" t="str">
        <f aca="false">VLOOKUP(DATOS_[[#This Row],[Edad]],CONTRATOS!TblRngEdad,2,1)</f>
        <v>20  o menos</v>
      </c>
      <c r="CO941" s="141" t="str">
        <f aca="false">VLOOKUP(DATOS_[[#This Row],[Antigüedad]],TblRngAntg14[],2,1)</f>
        <v>0 a 1 años</v>
      </c>
    </row>
    <row r="942" customFormat="false" ht="13.8" hidden="false" customHeight="false" outlineLevel="0" collapsed="false">
      <c r="D942" s="128"/>
      <c r="E942" s="129"/>
      <c r="F942" s="129"/>
      <c r="G942" s="129"/>
      <c r="H942" s="130"/>
      <c r="I942" s="131"/>
      <c r="J942" s="128"/>
      <c r="K942" s="132"/>
      <c r="L942" s="132"/>
      <c r="M942" s="133"/>
      <c r="N942" s="133"/>
      <c r="O942" s="133"/>
      <c r="P942" s="129"/>
      <c r="Z942" s="75"/>
      <c r="AA942" s="76"/>
      <c r="AB942" s="76"/>
      <c r="AC942" s="129"/>
      <c r="AD942" s="134"/>
      <c r="AE942" s="134"/>
      <c r="AF942" s="134"/>
      <c r="AG942" s="134"/>
      <c r="AH942" s="134"/>
      <c r="AI942" s="134"/>
      <c r="AJ942" s="134"/>
      <c r="AK942" s="134"/>
      <c r="AL942" s="134"/>
      <c r="AM942" s="134"/>
      <c r="AN942" s="134"/>
      <c r="AO942" s="134"/>
      <c r="AP942" s="134"/>
      <c r="AQ942" s="134"/>
      <c r="AR942" s="134"/>
      <c r="AS942" s="134"/>
      <c r="AT942" s="134"/>
      <c r="AU942" s="134"/>
      <c r="AV942" s="134"/>
      <c r="AW942" s="134"/>
      <c r="AX942" s="134"/>
      <c r="AY942" s="134"/>
      <c r="AZ942" s="134"/>
      <c r="BA942" s="134"/>
      <c r="BB942" s="134"/>
      <c r="BC942" s="134"/>
      <c r="BD942" s="134"/>
      <c r="BE942" s="134"/>
      <c r="BF942" s="134"/>
      <c r="BG942" s="134"/>
      <c r="BH942" s="134"/>
      <c r="BI942" s="134"/>
      <c r="BJ942" s="134"/>
      <c r="BK942" s="134"/>
      <c r="BL942" s="134"/>
      <c r="BM942" s="135"/>
      <c r="BN942" s="136" t="n">
        <f aca="false">+MAX($D$3,DATOS_[[#This Row],[Fecha Inicio Sit. Contract.]])</f>
        <v>0</v>
      </c>
      <c r="BO942" s="136" t="n">
        <f aca="false">+MIN($D$4,DATOS_[[#This Row],[Fecha Fin Sit. Contract.]])</f>
        <v>0</v>
      </c>
      <c r="BP942" s="137" t="n">
        <f aca="false">+DATOS_[[#This Row],[% de jornada]]*IF(DATOS_[[#This Row],[% jornada reducida]]="",1,DATOS_[[#This Row],[% jornada reducida]])</f>
        <v>0</v>
      </c>
      <c r="BQ942" s="137" t="n">
        <f aca="false">+(DATOS_[[#This Row],[F.fin.cal]]-DATOS_[[#This Row],[F.ini.cal]]+1)/($D$4-$D$3+1)</f>
        <v>1</v>
      </c>
      <c r="BR942" s="137" t="str">
        <f aca="false">IF(OR(AND(DATOS_[[#This Row],[Fecha Fin Contrato]]&lt;$D$3,DATOS_[[#This Row],[Fecha Fin Contrato]]&lt;&gt;""),DATOS_[[#This Row],[Fecha de Contratación]]&gt;$D$4),"Fuera","Dentro")</f>
        <v>Dentro</v>
      </c>
      <c r="BS942" s="137" t="str">
        <f aca="false" t="array" ref="BS942:BS942">IF(MAX(IF(DATOS_[id]=DATOS_[[#This Row],[id]],DATOS_[F.fin.cal]))=DATOS_[[#This Row],[F.fin.cal]],"Sí","NO")</f>
        <v>Sí</v>
      </c>
      <c r="BT942" s="137" t="str">
        <f aca="false">IF(AND(DATOS_[[#This Row],[% normaliz]]&lt;&gt;1,DATOS_[[#This Row],[% anualiz]]=1),"Sí","NO")</f>
        <v>Sí</v>
      </c>
      <c r="BU942" s="137" t="str">
        <f aca="false">IF(AND(DATOS_[[#This Row],[% normaliz]]=1,DATOS_[[#This Row],[% anualiz]]&lt;&gt;1),"Sí","NO")</f>
        <v>NO</v>
      </c>
      <c r="BV942" s="137" t="str">
        <f aca="false">IF(AND(DATOS_[[#This Row],[% normaliz]]&lt;&gt;1,DATOS_[[#This Row],[% anualiz]]&lt;&gt;1),"Sí","NO")</f>
        <v>NO</v>
      </c>
      <c r="BW942" s="137" t="str">
        <f aca="false">+IF(DATOS_[[#This Row],[% normaliz]]*DATOS_[[#This Row],[% anualiz]]=1,"NO","Sí")</f>
        <v>Sí</v>
      </c>
      <c r="BX942" s="138" t="e">
        <f aca="false">(DATOS_[[#This Row],[S.BASE]]*(1/DATOS_[[#This Row],[% normaliz]])*(1/DATOS_[[#This Row],[% anualiz]]))*IF(DATOS_[[#This Row],[Check Equiparado]]="Sí",1,0)</f>
        <v>#DIV/0!</v>
      </c>
      <c r="BY94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2" s="138" t="e">
        <f aca="false">+DATOS_[[#This Row],[SALARIO BASE Eq]]+DATOS_[[#This Row],[Tot COMPL.SAL Eq]]</f>
        <v>#DIV/0!</v>
      </c>
      <c r="CA942" s="138" t="e">
        <f aca="false" t="array" ref="CA942:CA9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2" s="138" t="e">
        <f aca="false">+DATOS_[[#This Row],[TOTAL SALARIO Eq]]+DATOS_[[#This Row],[Tot Extrasalarial Eq]]</f>
        <v>#DIV/0!</v>
      </c>
      <c r="CC942" s="139" t="n">
        <f aca="false">DATOS_[[#This Row],[S.BASE]]</f>
        <v>0</v>
      </c>
      <c r="CD942" s="139" t="n">
        <f aca="false">+SUM(DATOS_[[#This Row],[Conc.Sal.01]:[Conc.Sal.30]])</f>
        <v>0</v>
      </c>
      <c r="CE942" s="139" t="n">
        <f aca="false">+DATOS_[[#This Row],[SALARIO BASE Ef]]+DATOS_[[#This Row],[Tot COMPL.SAL Ef]]</f>
        <v>0</v>
      </c>
      <c r="CF942" s="139" t="n">
        <f aca="false">+SUM(DATOS_[[#This Row],[C.Extra.01]:[C.Extra.05]])</f>
        <v>0</v>
      </c>
      <c r="CG942" s="139" t="n">
        <f aca="false">+DATOS_[[#This Row],[TOTAL SALARIO Ef]]+DATOS_[[#This Row],[Tot Extrasalarial Ef]]</f>
        <v>0</v>
      </c>
      <c r="CH942" s="140" t="n">
        <f aca="false">MIN(IF(DATOS_[[#This Row],[Fecha Fin Contrato]]="",$D$4,DATOS_[[#This Row],[Fecha Fin Contrato]]),$D$4)-MAX(DATOS_[[#This Row],[Fecha de Contratación]],$D$3)+1</f>
        <v>1</v>
      </c>
      <c r="CI942" s="141" t="str">
        <f aca="false">IF(COUNTIFS(DATOS_[id],DATOS_[[#This Row],[id]])&gt;1,DATOS_[[#This Row],[id]],"")</f>
        <v/>
      </c>
      <c r="CJ942" s="141" t="n">
        <f aca="false">(Inicio!$G$10-DATOS_[[#This Row],[Fecha Nacimiento]])/365.25</f>
        <v>0</v>
      </c>
      <c r="CK942" s="141" t="n">
        <f aca="false">(Inicio!$G$10-DATOS_[[#This Row],[Fecha de Antigüedad]])/365.25</f>
        <v>0</v>
      </c>
      <c r="CL942" s="141" t="e">
        <f aca="false">+VLOOKUP(DATOS_[[#This Row],[Clave de Contrato]],TblTiposContrato13[],3,0)</f>
        <v>#N/A</v>
      </c>
      <c r="CM942" s="141" t="e">
        <f aca="false">+VLOOKUP(DATOS_[[#This Row],[Clave de Contrato]],TblTiposContrato13[],4,0)</f>
        <v>#N/A</v>
      </c>
      <c r="CN942" s="141" t="str">
        <f aca="false">VLOOKUP(DATOS_[[#This Row],[Edad]],CONTRATOS!TblRngEdad,2,1)</f>
        <v>20  o menos</v>
      </c>
      <c r="CO942" s="141" t="str">
        <f aca="false">VLOOKUP(DATOS_[[#This Row],[Antigüedad]],TblRngAntg14[],2,1)</f>
        <v>0 a 1 años</v>
      </c>
    </row>
    <row r="943" customFormat="false" ht="13.8" hidden="false" customHeight="false" outlineLevel="0" collapsed="false">
      <c r="D943" s="128"/>
      <c r="E943" s="129"/>
      <c r="F943" s="129"/>
      <c r="G943" s="129"/>
      <c r="H943" s="130"/>
      <c r="I943" s="131"/>
      <c r="J943" s="128"/>
      <c r="K943" s="132"/>
      <c r="L943" s="132"/>
      <c r="M943" s="133"/>
      <c r="N943" s="133"/>
      <c r="O943" s="133"/>
      <c r="P943" s="129"/>
      <c r="Z943" s="75"/>
      <c r="AA943" s="76"/>
      <c r="AB943" s="76"/>
      <c r="AC943" s="129"/>
      <c r="AD943" s="134"/>
      <c r="AE943" s="134"/>
      <c r="AF943" s="134"/>
      <c r="AG943" s="134"/>
      <c r="AH943" s="134"/>
      <c r="AI943" s="134"/>
      <c r="AJ943" s="134"/>
      <c r="AK943" s="134"/>
      <c r="AL943" s="134"/>
      <c r="AM943" s="134"/>
      <c r="AN943" s="134"/>
      <c r="AO943" s="134"/>
      <c r="AP943" s="134"/>
      <c r="AQ943" s="134"/>
      <c r="AR943" s="134"/>
      <c r="AS943" s="134"/>
      <c r="AT943" s="134"/>
      <c r="AU943" s="134"/>
      <c r="AV943" s="134"/>
      <c r="AW943" s="134"/>
      <c r="AX943" s="134"/>
      <c r="AY943" s="134"/>
      <c r="AZ943" s="134"/>
      <c r="BA943" s="134"/>
      <c r="BB943" s="134"/>
      <c r="BC943" s="134"/>
      <c r="BD943" s="134"/>
      <c r="BE943" s="134"/>
      <c r="BF943" s="134"/>
      <c r="BG943" s="134"/>
      <c r="BH943" s="134"/>
      <c r="BI943" s="134"/>
      <c r="BJ943" s="134"/>
      <c r="BK943" s="134"/>
      <c r="BL943" s="134"/>
      <c r="BM943" s="135"/>
      <c r="BN943" s="136" t="n">
        <f aca="false">+MAX($D$3,DATOS_[[#This Row],[Fecha Inicio Sit. Contract.]])</f>
        <v>0</v>
      </c>
      <c r="BO943" s="136" t="n">
        <f aca="false">+MIN($D$4,DATOS_[[#This Row],[Fecha Fin Sit. Contract.]])</f>
        <v>0</v>
      </c>
      <c r="BP943" s="137" t="n">
        <f aca="false">+DATOS_[[#This Row],[% de jornada]]*IF(DATOS_[[#This Row],[% jornada reducida]]="",1,DATOS_[[#This Row],[% jornada reducida]])</f>
        <v>0</v>
      </c>
      <c r="BQ943" s="137" t="n">
        <f aca="false">+(DATOS_[[#This Row],[F.fin.cal]]-DATOS_[[#This Row],[F.ini.cal]]+1)/($D$4-$D$3+1)</f>
        <v>1</v>
      </c>
      <c r="BR943" s="137" t="str">
        <f aca="false">IF(OR(AND(DATOS_[[#This Row],[Fecha Fin Contrato]]&lt;$D$3,DATOS_[[#This Row],[Fecha Fin Contrato]]&lt;&gt;""),DATOS_[[#This Row],[Fecha de Contratación]]&gt;$D$4),"Fuera","Dentro")</f>
        <v>Dentro</v>
      </c>
      <c r="BS943" s="137" t="str">
        <f aca="false" t="array" ref="BS943:BS943">IF(MAX(IF(DATOS_[id]=DATOS_[[#This Row],[id]],DATOS_[F.fin.cal]))=DATOS_[[#This Row],[F.fin.cal]],"Sí","NO")</f>
        <v>Sí</v>
      </c>
      <c r="BT943" s="137" t="str">
        <f aca="false">IF(AND(DATOS_[[#This Row],[% normaliz]]&lt;&gt;1,DATOS_[[#This Row],[% anualiz]]=1),"Sí","NO")</f>
        <v>Sí</v>
      </c>
      <c r="BU943" s="137" t="str">
        <f aca="false">IF(AND(DATOS_[[#This Row],[% normaliz]]=1,DATOS_[[#This Row],[% anualiz]]&lt;&gt;1),"Sí","NO")</f>
        <v>NO</v>
      </c>
      <c r="BV943" s="137" t="str">
        <f aca="false">IF(AND(DATOS_[[#This Row],[% normaliz]]&lt;&gt;1,DATOS_[[#This Row],[% anualiz]]&lt;&gt;1),"Sí","NO")</f>
        <v>NO</v>
      </c>
      <c r="BW943" s="137" t="str">
        <f aca="false">+IF(DATOS_[[#This Row],[% normaliz]]*DATOS_[[#This Row],[% anualiz]]=1,"NO","Sí")</f>
        <v>Sí</v>
      </c>
      <c r="BX943" s="138" t="e">
        <f aca="false">(DATOS_[[#This Row],[S.BASE]]*(1/DATOS_[[#This Row],[% normaliz]])*(1/DATOS_[[#This Row],[% anualiz]]))*IF(DATOS_[[#This Row],[Check Equiparado]]="Sí",1,0)</f>
        <v>#DIV/0!</v>
      </c>
      <c r="BY94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3" s="138" t="e">
        <f aca="false">+DATOS_[[#This Row],[SALARIO BASE Eq]]+DATOS_[[#This Row],[Tot COMPL.SAL Eq]]</f>
        <v>#DIV/0!</v>
      </c>
      <c r="CA943" s="138" t="e">
        <f aca="false" t="array" ref="CA943:CA9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3" s="138" t="e">
        <f aca="false">+DATOS_[[#This Row],[TOTAL SALARIO Eq]]+DATOS_[[#This Row],[Tot Extrasalarial Eq]]</f>
        <v>#DIV/0!</v>
      </c>
      <c r="CC943" s="139" t="n">
        <f aca="false">DATOS_[[#This Row],[S.BASE]]</f>
        <v>0</v>
      </c>
      <c r="CD943" s="139" t="n">
        <f aca="false">+SUM(DATOS_[[#This Row],[Conc.Sal.01]:[Conc.Sal.30]])</f>
        <v>0</v>
      </c>
      <c r="CE943" s="139" t="n">
        <f aca="false">+DATOS_[[#This Row],[SALARIO BASE Ef]]+DATOS_[[#This Row],[Tot COMPL.SAL Ef]]</f>
        <v>0</v>
      </c>
      <c r="CF943" s="139" t="n">
        <f aca="false">+SUM(DATOS_[[#This Row],[C.Extra.01]:[C.Extra.05]])</f>
        <v>0</v>
      </c>
      <c r="CG943" s="139" t="n">
        <f aca="false">+DATOS_[[#This Row],[TOTAL SALARIO Ef]]+DATOS_[[#This Row],[Tot Extrasalarial Ef]]</f>
        <v>0</v>
      </c>
      <c r="CH943" s="140" t="n">
        <f aca="false">MIN(IF(DATOS_[[#This Row],[Fecha Fin Contrato]]="",$D$4,DATOS_[[#This Row],[Fecha Fin Contrato]]),$D$4)-MAX(DATOS_[[#This Row],[Fecha de Contratación]],$D$3)+1</f>
        <v>1</v>
      </c>
      <c r="CI943" s="141" t="str">
        <f aca="false">IF(COUNTIFS(DATOS_[id],DATOS_[[#This Row],[id]])&gt;1,DATOS_[[#This Row],[id]],"")</f>
        <v/>
      </c>
      <c r="CJ943" s="141" t="n">
        <f aca="false">(Inicio!$G$10-DATOS_[[#This Row],[Fecha Nacimiento]])/365.25</f>
        <v>0</v>
      </c>
      <c r="CK943" s="141" t="n">
        <f aca="false">(Inicio!$G$10-DATOS_[[#This Row],[Fecha de Antigüedad]])/365.25</f>
        <v>0</v>
      </c>
      <c r="CL943" s="141" t="e">
        <f aca="false">+VLOOKUP(DATOS_[[#This Row],[Clave de Contrato]],TblTiposContrato13[],3,0)</f>
        <v>#N/A</v>
      </c>
      <c r="CM943" s="141" t="e">
        <f aca="false">+VLOOKUP(DATOS_[[#This Row],[Clave de Contrato]],TblTiposContrato13[],4,0)</f>
        <v>#N/A</v>
      </c>
      <c r="CN943" s="141" t="str">
        <f aca="false">VLOOKUP(DATOS_[[#This Row],[Edad]],CONTRATOS!TblRngEdad,2,1)</f>
        <v>20  o menos</v>
      </c>
      <c r="CO943" s="141" t="str">
        <f aca="false">VLOOKUP(DATOS_[[#This Row],[Antigüedad]],TblRngAntg14[],2,1)</f>
        <v>0 a 1 años</v>
      </c>
    </row>
    <row r="944" customFormat="false" ht="13.8" hidden="false" customHeight="false" outlineLevel="0" collapsed="false">
      <c r="D944" s="128"/>
      <c r="E944" s="129"/>
      <c r="F944" s="129"/>
      <c r="G944" s="129"/>
      <c r="H944" s="130"/>
      <c r="I944" s="131"/>
      <c r="J944" s="128"/>
      <c r="K944" s="132"/>
      <c r="L944" s="132"/>
      <c r="M944" s="133"/>
      <c r="N944" s="133"/>
      <c r="O944" s="133"/>
      <c r="P944" s="129"/>
      <c r="Z944" s="75"/>
      <c r="AA944" s="76"/>
      <c r="AB944" s="76"/>
      <c r="AC944" s="129"/>
      <c r="AD944" s="134"/>
      <c r="AE944" s="134"/>
      <c r="AF944" s="134"/>
      <c r="AG944" s="134"/>
      <c r="AH944" s="134"/>
      <c r="AI944" s="134"/>
      <c r="AJ944" s="134"/>
      <c r="AK944" s="134"/>
      <c r="AL944" s="134"/>
      <c r="AM944" s="134"/>
      <c r="AN944" s="134"/>
      <c r="AO944" s="134"/>
      <c r="AP944" s="134"/>
      <c r="AQ944" s="134"/>
      <c r="AR944" s="134"/>
      <c r="AS944" s="134"/>
      <c r="AT944" s="134"/>
      <c r="AU944" s="134"/>
      <c r="AV944" s="134"/>
      <c r="AW944" s="134"/>
      <c r="AX944" s="134"/>
      <c r="AY944" s="134"/>
      <c r="AZ944" s="134"/>
      <c r="BA944" s="134"/>
      <c r="BB944" s="134"/>
      <c r="BC944" s="134"/>
      <c r="BD944" s="134"/>
      <c r="BE944" s="134"/>
      <c r="BF944" s="134"/>
      <c r="BG944" s="134"/>
      <c r="BH944" s="134"/>
      <c r="BI944" s="134"/>
      <c r="BJ944" s="134"/>
      <c r="BK944" s="134"/>
      <c r="BL944" s="134"/>
      <c r="BM944" s="135"/>
      <c r="BN944" s="136" t="n">
        <f aca="false">+MAX($D$3,DATOS_[[#This Row],[Fecha Inicio Sit. Contract.]])</f>
        <v>0</v>
      </c>
      <c r="BO944" s="136" t="n">
        <f aca="false">+MIN($D$4,DATOS_[[#This Row],[Fecha Fin Sit. Contract.]])</f>
        <v>0</v>
      </c>
      <c r="BP944" s="137" t="n">
        <f aca="false">+DATOS_[[#This Row],[% de jornada]]*IF(DATOS_[[#This Row],[% jornada reducida]]="",1,DATOS_[[#This Row],[% jornada reducida]])</f>
        <v>0</v>
      </c>
      <c r="BQ944" s="137" t="n">
        <f aca="false">+(DATOS_[[#This Row],[F.fin.cal]]-DATOS_[[#This Row],[F.ini.cal]]+1)/($D$4-$D$3+1)</f>
        <v>1</v>
      </c>
      <c r="BR944" s="137" t="str">
        <f aca="false">IF(OR(AND(DATOS_[[#This Row],[Fecha Fin Contrato]]&lt;$D$3,DATOS_[[#This Row],[Fecha Fin Contrato]]&lt;&gt;""),DATOS_[[#This Row],[Fecha de Contratación]]&gt;$D$4),"Fuera","Dentro")</f>
        <v>Dentro</v>
      </c>
      <c r="BS944" s="137" t="str">
        <f aca="false" t="array" ref="BS944:BS944">IF(MAX(IF(DATOS_[id]=DATOS_[[#This Row],[id]],DATOS_[F.fin.cal]))=DATOS_[[#This Row],[F.fin.cal]],"Sí","NO")</f>
        <v>Sí</v>
      </c>
      <c r="BT944" s="137" t="str">
        <f aca="false">IF(AND(DATOS_[[#This Row],[% normaliz]]&lt;&gt;1,DATOS_[[#This Row],[% anualiz]]=1),"Sí","NO")</f>
        <v>Sí</v>
      </c>
      <c r="BU944" s="137" t="str">
        <f aca="false">IF(AND(DATOS_[[#This Row],[% normaliz]]=1,DATOS_[[#This Row],[% anualiz]]&lt;&gt;1),"Sí","NO")</f>
        <v>NO</v>
      </c>
      <c r="BV944" s="137" t="str">
        <f aca="false">IF(AND(DATOS_[[#This Row],[% normaliz]]&lt;&gt;1,DATOS_[[#This Row],[% anualiz]]&lt;&gt;1),"Sí","NO")</f>
        <v>NO</v>
      </c>
      <c r="BW944" s="137" t="str">
        <f aca="false">+IF(DATOS_[[#This Row],[% normaliz]]*DATOS_[[#This Row],[% anualiz]]=1,"NO","Sí")</f>
        <v>Sí</v>
      </c>
      <c r="BX944" s="138" t="e">
        <f aca="false">(DATOS_[[#This Row],[S.BASE]]*(1/DATOS_[[#This Row],[% normaliz]])*(1/DATOS_[[#This Row],[% anualiz]]))*IF(DATOS_[[#This Row],[Check Equiparado]]="Sí",1,0)</f>
        <v>#DIV/0!</v>
      </c>
      <c r="BY94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4" s="138" t="e">
        <f aca="false">+DATOS_[[#This Row],[SALARIO BASE Eq]]+DATOS_[[#This Row],[Tot COMPL.SAL Eq]]</f>
        <v>#DIV/0!</v>
      </c>
      <c r="CA944" s="138" t="e">
        <f aca="false" t="array" ref="CA944:CA9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4" s="138" t="e">
        <f aca="false">+DATOS_[[#This Row],[TOTAL SALARIO Eq]]+DATOS_[[#This Row],[Tot Extrasalarial Eq]]</f>
        <v>#DIV/0!</v>
      </c>
      <c r="CC944" s="139" t="n">
        <f aca="false">DATOS_[[#This Row],[S.BASE]]</f>
        <v>0</v>
      </c>
      <c r="CD944" s="139" t="n">
        <f aca="false">+SUM(DATOS_[[#This Row],[Conc.Sal.01]:[Conc.Sal.30]])</f>
        <v>0</v>
      </c>
      <c r="CE944" s="139" t="n">
        <f aca="false">+DATOS_[[#This Row],[SALARIO BASE Ef]]+DATOS_[[#This Row],[Tot COMPL.SAL Ef]]</f>
        <v>0</v>
      </c>
      <c r="CF944" s="139" t="n">
        <f aca="false">+SUM(DATOS_[[#This Row],[C.Extra.01]:[C.Extra.05]])</f>
        <v>0</v>
      </c>
      <c r="CG944" s="139" t="n">
        <f aca="false">+DATOS_[[#This Row],[TOTAL SALARIO Ef]]+DATOS_[[#This Row],[Tot Extrasalarial Ef]]</f>
        <v>0</v>
      </c>
      <c r="CH944" s="140" t="n">
        <f aca="false">MIN(IF(DATOS_[[#This Row],[Fecha Fin Contrato]]="",$D$4,DATOS_[[#This Row],[Fecha Fin Contrato]]),$D$4)-MAX(DATOS_[[#This Row],[Fecha de Contratación]],$D$3)+1</f>
        <v>1</v>
      </c>
      <c r="CI944" s="141" t="str">
        <f aca="false">IF(COUNTIFS(DATOS_[id],DATOS_[[#This Row],[id]])&gt;1,DATOS_[[#This Row],[id]],"")</f>
        <v/>
      </c>
      <c r="CJ944" s="141" t="n">
        <f aca="false">(Inicio!$G$10-DATOS_[[#This Row],[Fecha Nacimiento]])/365.25</f>
        <v>0</v>
      </c>
      <c r="CK944" s="141" t="n">
        <f aca="false">(Inicio!$G$10-DATOS_[[#This Row],[Fecha de Antigüedad]])/365.25</f>
        <v>0</v>
      </c>
      <c r="CL944" s="141" t="e">
        <f aca="false">+VLOOKUP(DATOS_[[#This Row],[Clave de Contrato]],TblTiposContrato13[],3,0)</f>
        <v>#N/A</v>
      </c>
      <c r="CM944" s="141" t="e">
        <f aca="false">+VLOOKUP(DATOS_[[#This Row],[Clave de Contrato]],TblTiposContrato13[],4,0)</f>
        <v>#N/A</v>
      </c>
      <c r="CN944" s="141" t="str">
        <f aca="false">VLOOKUP(DATOS_[[#This Row],[Edad]],CONTRATOS!TblRngEdad,2,1)</f>
        <v>20  o menos</v>
      </c>
      <c r="CO944" s="141" t="str">
        <f aca="false">VLOOKUP(DATOS_[[#This Row],[Antigüedad]],TblRngAntg14[],2,1)</f>
        <v>0 a 1 años</v>
      </c>
    </row>
    <row r="945" customFormat="false" ht="13.8" hidden="false" customHeight="false" outlineLevel="0" collapsed="false">
      <c r="D945" s="128"/>
      <c r="E945" s="129"/>
      <c r="F945" s="129"/>
      <c r="G945" s="129"/>
      <c r="H945" s="130"/>
      <c r="I945" s="131"/>
      <c r="J945" s="128"/>
      <c r="K945" s="132"/>
      <c r="L945" s="132"/>
      <c r="M945" s="133"/>
      <c r="N945" s="133"/>
      <c r="O945" s="133"/>
      <c r="P945" s="129"/>
      <c r="Z945" s="75"/>
      <c r="AA945" s="76"/>
      <c r="AB945" s="76"/>
      <c r="AC945" s="129"/>
      <c r="AD945" s="134"/>
      <c r="AE945" s="134"/>
      <c r="AF945" s="134"/>
      <c r="AG945" s="134"/>
      <c r="AH945" s="134"/>
      <c r="AI945" s="134"/>
      <c r="AJ945" s="134"/>
      <c r="AK945" s="134"/>
      <c r="AL945" s="134"/>
      <c r="AM945" s="134"/>
      <c r="AN945" s="134"/>
      <c r="AO945" s="134"/>
      <c r="AP945" s="134"/>
      <c r="AQ945" s="134"/>
      <c r="AR945" s="134"/>
      <c r="AS945" s="134"/>
      <c r="AT945" s="134"/>
      <c r="AU945" s="134"/>
      <c r="AV945" s="134"/>
      <c r="AW945" s="134"/>
      <c r="AX945" s="134"/>
      <c r="AY945" s="134"/>
      <c r="AZ945" s="134"/>
      <c r="BA945" s="134"/>
      <c r="BB945" s="134"/>
      <c r="BC945" s="134"/>
      <c r="BD945" s="134"/>
      <c r="BE945" s="134"/>
      <c r="BF945" s="134"/>
      <c r="BG945" s="134"/>
      <c r="BH945" s="134"/>
      <c r="BI945" s="134"/>
      <c r="BJ945" s="134"/>
      <c r="BK945" s="134"/>
      <c r="BL945" s="134"/>
      <c r="BM945" s="135"/>
      <c r="BN945" s="136" t="n">
        <f aca="false">+MAX($D$3,DATOS_[[#This Row],[Fecha Inicio Sit. Contract.]])</f>
        <v>0</v>
      </c>
      <c r="BO945" s="136" t="n">
        <f aca="false">+MIN($D$4,DATOS_[[#This Row],[Fecha Fin Sit. Contract.]])</f>
        <v>0</v>
      </c>
      <c r="BP945" s="137" t="n">
        <f aca="false">+DATOS_[[#This Row],[% de jornada]]*IF(DATOS_[[#This Row],[% jornada reducida]]="",1,DATOS_[[#This Row],[% jornada reducida]])</f>
        <v>0</v>
      </c>
      <c r="BQ945" s="137" t="n">
        <f aca="false">+(DATOS_[[#This Row],[F.fin.cal]]-DATOS_[[#This Row],[F.ini.cal]]+1)/($D$4-$D$3+1)</f>
        <v>1</v>
      </c>
      <c r="BR945" s="137" t="str">
        <f aca="false">IF(OR(AND(DATOS_[[#This Row],[Fecha Fin Contrato]]&lt;$D$3,DATOS_[[#This Row],[Fecha Fin Contrato]]&lt;&gt;""),DATOS_[[#This Row],[Fecha de Contratación]]&gt;$D$4),"Fuera","Dentro")</f>
        <v>Dentro</v>
      </c>
      <c r="BS945" s="137" t="str">
        <f aca="false" t="array" ref="BS945:BS945">IF(MAX(IF(DATOS_[id]=DATOS_[[#This Row],[id]],DATOS_[F.fin.cal]))=DATOS_[[#This Row],[F.fin.cal]],"Sí","NO")</f>
        <v>Sí</v>
      </c>
      <c r="BT945" s="137" t="str">
        <f aca="false">IF(AND(DATOS_[[#This Row],[% normaliz]]&lt;&gt;1,DATOS_[[#This Row],[% anualiz]]=1),"Sí","NO")</f>
        <v>Sí</v>
      </c>
      <c r="BU945" s="137" t="str">
        <f aca="false">IF(AND(DATOS_[[#This Row],[% normaliz]]=1,DATOS_[[#This Row],[% anualiz]]&lt;&gt;1),"Sí","NO")</f>
        <v>NO</v>
      </c>
      <c r="BV945" s="137" t="str">
        <f aca="false">IF(AND(DATOS_[[#This Row],[% normaliz]]&lt;&gt;1,DATOS_[[#This Row],[% anualiz]]&lt;&gt;1),"Sí","NO")</f>
        <v>NO</v>
      </c>
      <c r="BW945" s="137" t="str">
        <f aca="false">+IF(DATOS_[[#This Row],[% normaliz]]*DATOS_[[#This Row],[% anualiz]]=1,"NO","Sí")</f>
        <v>Sí</v>
      </c>
      <c r="BX945" s="138" t="e">
        <f aca="false">(DATOS_[[#This Row],[S.BASE]]*(1/DATOS_[[#This Row],[% normaliz]])*(1/DATOS_[[#This Row],[% anualiz]]))*IF(DATOS_[[#This Row],[Check Equiparado]]="Sí",1,0)</f>
        <v>#DIV/0!</v>
      </c>
      <c r="BY94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5" s="138" t="e">
        <f aca="false">+DATOS_[[#This Row],[SALARIO BASE Eq]]+DATOS_[[#This Row],[Tot COMPL.SAL Eq]]</f>
        <v>#DIV/0!</v>
      </c>
      <c r="CA945" s="138" t="e">
        <f aca="false" t="array" ref="CA945:CA9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5" s="138" t="e">
        <f aca="false">+DATOS_[[#This Row],[TOTAL SALARIO Eq]]+DATOS_[[#This Row],[Tot Extrasalarial Eq]]</f>
        <v>#DIV/0!</v>
      </c>
      <c r="CC945" s="139" t="n">
        <f aca="false">DATOS_[[#This Row],[S.BASE]]</f>
        <v>0</v>
      </c>
      <c r="CD945" s="139" t="n">
        <f aca="false">+SUM(DATOS_[[#This Row],[Conc.Sal.01]:[Conc.Sal.30]])</f>
        <v>0</v>
      </c>
      <c r="CE945" s="139" t="n">
        <f aca="false">+DATOS_[[#This Row],[SALARIO BASE Ef]]+DATOS_[[#This Row],[Tot COMPL.SAL Ef]]</f>
        <v>0</v>
      </c>
      <c r="CF945" s="139" t="n">
        <f aca="false">+SUM(DATOS_[[#This Row],[C.Extra.01]:[C.Extra.05]])</f>
        <v>0</v>
      </c>
      <c r="CG945" s="139" t="n">
        <f aca="false">+DATOS_[[#This Row],[TOTAL SALARIO Ef]]+DATOS_[[#This Row],[Tot Extrasalarial Ef]]</f>
        <v>0</v>
      </c>
      <c r="CH945" s="140" t="n">
        <f aca="false">MIN(IF(DATOS_[[#This Row],[Fecha Fin Contrato]]="",$D$4,DATOS_[[#This Row],[Fecha Fin Contrato]]),$D$4)-MAX(DATOS_[[#This Row],[Fecha de Contratación]],$D$3)+1</f>
        <v>1</v>
      </c>
      <c r="CI945" s="141" t="str">
        <f aca="false">IF(COUNTIFS(DATOS_[id],DATOS_[[#This Row],[id]])&gt;1,DATOS_[[#This Row],[id]],"")</f>
        <v/>
      </c>
      <c r="CJ945" s="141" t="n">
        <f aca="false">(Inicio!$G$10-DATOS_[[#This Row],[Fecha Nacimiento]])/365.25</f>
        <v>0</v>
      </c>
      <c r="CK945" s="141" t="n">
        <f aca="false">(Inicio!$G$10-DATOS_[[#This Row],[Fecha de Antigüedad]])/365.25</f>
        <v>0</v>
      </c>
      <c r="CL945" s="141" t="e">
        <f aca="false">+VLOOKUP(DATOS_[[#This Row],[Clave de Contrato]],TblTiposContrato13[],3,0)</f>
        <v>#N/A</v>
      </c>
      <c r="CM945" s="141" t="e">
        <f aca="false">+VLOOKUP(DATOS_[[#This Row],[Clave de Contrato]],TblTiposContrato13[],4,0)</f>
        <v>#N/A</v>
      </c>
      <c r="CN945" s="141" t="str">
        <f aca="false">VLOOKUP(DATOS_[[#This Row],[Edad]],CONTRATOS!TblRngEdad,2,1)</f>
        <v>20  o menos</v>
      </c>
      <c r="CO945" s="141" t="str">
        <f aca="false">VLOOKUP(DATOS_[[#This Row],[Antigüedad]],TblRngAntg14[],2,1)</f>
        <v>0 a 1 años</v>
      </c>
    </row>
    <row r="946" customFormat="false" ht="13.8" hidden="false" customHeight="false" outlineLevel="0" collapsed="false">
      <c r="D946" s="128"/>
      <c r="E946" s="129"/>
      <c r="F946" s="129"/>
      <c r="G946" s="129"/>
      <c r="H946" s="130"/>
      <c r="I946" s="131"/>
      <c r="J946" s="128"/>
      <c r="K946" s="132"/>
      <c r="L946" s="132"/>
      <c r="M946" s="133"/>
      <c r="N946" s="133"/>
      <c r="O946" s="133"/>
      <c r="P946" s="129"/>
      <c r="Z946" s="75"/>
      <c r="AA946" s="76"/>
      <c r="AB946" s="76"/>
      <c r="AC946" s="129"/>
      <c r="AD946" s="134"/>
      <c r="AE946" s="134"/>
      <c r="AF946" s="134"/>
      <c r="AG946" s="134"/>
      <c r="AH946" s="134"/>
      <c r="AI946" s="134"/>
      <c r="AJ946" s="134"/>
      <c r="AK946" s="134"/>
      <c r="AL946" s="134"/>
      <c r="AM946" s="134"/>
      <c r="AN946" s="134"/>
      <c r="AO946" s="134"/>
      <c r="AP946" s="134"/>
      <c r="AQ946" s="134"/>
      <c r="AR946" s="134"/>
      <c r="AS946" s="134"/>
      <c r="AT946" s="134"/>
      <c r="AU946" s="134"/>
      <c r="AV946" s="134"/>
      <c r="AW946" s="134"/>
      <c r="AX946" s="134"/>
      <c r="AY946" s="134"/>
      <c r="AZ946" s="134"/>
      <c r="BA946" s="134"/>
      <c r="BB946" s="134"/>
      <c r="BC946" s="134"/>
      <c r="BD946" s="134"/>
      <c r="BE946" s="134"/>
      <c r="BF946" s="134"/>
      <c r="BG946" s="134"/>
      <c r="BH946" s="134"/>
      <c r="BI946" s="134"/>
      <c r="BJ946" s="134"/>
      <c r="BK946" s="134"/>
      <c r="BL946" s="134"/>
      <c r="BM946" s="135"/>
      <c r="BN946" s="136" t="n">
        <f aca="false">+MAX($D$3,DATOS_[[#This Row],[Fecha Inicio Sit. Contract.]])</f>
        <v>0</v>
      </c>
      <c r="BO946" s="136" t="n">
        <f aca="false">+MIN($D$4,DATOS_[[#This Row],[Fecha Fin Sit. Contract.]])</f>
        <v>0</v>
      </c>
      <c r="BP946" s="137" t="n">
        <f aca="false">+DATOS_[[#This Row],[% de jornada]]*IF(DATOS_[[#This Row],[% jornada reducida]]="",1,DATOS_[[#This Row],[% jornada reducida]])</f>
        <v>0</v>
      </c>
      <c r="BQ946" s="137" t="n">
        <f aca="false">+(DATOS_[[#This Row],[F.fin.cal]]-DATOS_[[#This Row],[F.ini.cal]]+1)/($D$4-$D$3+1)</f>
        <v>1</v>
      </c>
      <c r="BR946" s="137" t="str">
        <f aca="false">IF(OR(AND(DATOS_[[#This Row],[Fecha Fin Contrato]]&lt;$D$3,DATOS_[[#This Row],[Fecha Fin Contrato]]&lt;&gt;""),DATOS_[[#This Row],[Fecha de Contratación]]&gt;$D$4),"Fuera","Dentro")</f>
        <v>Dentro</v>
      </c>
      <c r="BS946" s="137" t="str">
        <f aca="false" t="array" ref="BS946:BS946">IF(MAX(IF(DATOS_[id]=DATOS_[[#This Row],[id]],DATOS_[F.fin.cal]))=DATOS_[[#This Row],[F.fin.cal]],"Sí","NO")</f>
        <v>Sí</v>
      </c>
      <c r="BT946" s="137" t="str">
        <f aca="false">IF(AND(DATOS_[[#This Row],[% normaliz]]&lt;&gt;1,DATOS_[[#This Row],[% anualiz]]=1),"Sí","NO")</f>
        <v>Sí</v>
      </c>
      <c r="BU946" s="137" t="str">
        <f aca="false">IF(AND(DATOS_[[#This Row],[% normaliz]]=1,DATOS_[[#This Row],[% anualiz]]&lt;&gt;1),"Sí","NO")</f>
        <v>NO</v>
      </c>
      <c r="BV946" s="137" t="str">
        <f aca="false">IF(AND(DATOS_[[#This Row],[% normaliz]]&lt;&gt;1,DATOS_[[#This Row],[% anualiz]]&lt;&gt;1),"Sí","NO")</f>
        <v>NO</v>
      </c>
      <c r="BW946" s="137" t="str">
        <f aca="false">+IF(DATOS_[[#This Row],[% normaliz]]*DATOS_[[#This Row],[% anualiz]]=1,"NO","Sí")</f>
        <v>Sí</v>
      </c>
      <c r="BX946" s="138" t="e">
        <f aca="false">(DATOS_[[#This Row],[S.BASE]]*(1/DATOS_[[#This Row],[% normaliz]])*(1/DATOS_[[#This Row],[% anualiz]]))*IF(DATOS_[[#This Row],[Check Equiparado]]="Sí",1,0)</f>
        <v>#DIV/0!</v>
      </c>
      <c r="BY94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6" s="138" t="e">
        <f aca="false">+DATOS_[[#This Row],[SALARIO BASE Eq]]+DATOS_[[#This Row],[Tot COMPL.SAL Eq]]</f>
        <v>#DIV/0!</v>
      </c>
      <c r="CA946" s="138" t="e">
        <f aca="false" t="array" ref="CA946:CA9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6" s="138" t="e">
        <f aca="false">+DATOS_[[#This Row],[TOTAL SALARIO Eq]]+DATOS_[[#This Row],[Tot Extrasalarial Eq]]</f>
        <v>#DIV/0!</v>
      </c>
      <c r="CC946" s="139" t="n">
        <f aca="false">DATOS_[[#This Row],[S.BASE]]</f>
        <v>0</v>
      </c>
      <c r="CD946" s="139" t="n">
        <f aca="false">+SUM(DATOS_[[#This Row],[Conc.Sal.01]:[Conc.Sal.30]])</f>
        <v>0</v>
      </c>
      <c r="CE946" s="139" t="n">
        <f aca="false">+DATOS_[[#This Row],[SALARIO BASE Ef]]+DATOS_[[#This Row],[Tot COMPL.SAL Ef]]</f>
        <v>0</v>
      </c>
      <c r="CF946" s="139" t="n">
        <f aca="false">+SUM(DATOS_[[#This Row],[C.Extra.01]:[C.Extra.05]])</f>
        <v>0</v>
      </c>
      <c r="CG946" s="139" t="n">
        <f aca="false">+DATOS_[[#This Row],[TOTAL SALARIO Ef]]+DATOS_[[#This Row],[Tot Extrasalarial Ef]]</f>
        <v>0</v>
      </c>
      <c r="CH946" s="140" t="n">
        <f aca="false">MIN(IF(DATOS_[[#This Row],[Fecha Fin Contrato]]="",$D$4,DATOS_[[#This Row],[Fecha Fin Contrato]]),$D$4)-MAX(DATOS_[[#This Row],[Fecha de Contratación]],$D$3)+1</f>
        <v>1</v>
      </c>
      <c r="CI946" s="141" t="str">
        <f aca="false">IF(COUNTIFS(DATOS_[id],DATOS_[[#This Row],[id]])&gt;1,DATOS_[[#This Row],[id]],"")</f>
        <v/>
      </c>
      <c r="CJ946" s="141" t="n">
        <f aca="false">(Inicio!$G$10-DATOS_[[#This Row],[Fecha Nacimiento]])/365.25</f>
        <v>0</v>
      </c>
      <c r="CK946" s="141" t="n">
        <f aca="false">(Inicio!$G$10-DATOS_[[#This Row],[Fecha de Antigüedad]])/365.25</f>
        <v>0</v>
      </c>
      <c r="CL946" s="141" t="e">
        <f aca="false">+VLOOKUP(DATOS_[[#This Row],[Clave de Contrato]],TblTiposContrato13[],3,0)</f>
        <v>#N/A</v>
      </c>
      <c r="CM946" s="141" t="e">
        <f aca="false">+VLOOKUP(DATOS_[[#This Row],[Clave de Contrato]],TblTiposContrato13[],4,0)</f>
        <v>#N/A</v>
      </c>
      <c r="CN946" s="141" t="str">
        <f aca="false">VLOOKUP(DATOS_[[#This Row],[Edad]],CONTRATOS!TblRngEdad,2,1)</f>
        <v>20  o menos</v>
      </c>
      <c r="CO946" s="141" t="str">
        <f aca="false">VLOOKUP(DATOS_[[#This Row],[Antigüedad]],TblRngAntg14[],2,1)</f>
        <v>0 a 1 años</v>
      </c>
    </row>
    <row r="947" customFormat="false" ht="13.8" hidden="false" customHeight="false" outlineLevel="0" collapsed="false">
      <c r="D947" s="128"/>
      <c r="E947" s="129"/>
      <c r="F947" s="129"/>
      <c r="G947" s="129"/>
      <c r="H947" s="130"/>
      <c r="I947" s="131"/>
      <c r="J947" s="128"/>
      <c r="K947" s="132"/>
      <c r="L947" s="132"/>
      <c r="M947" s="133"/>
      <c r="N947" s="133"/>
      <c r="O947" s="133"/>
      <c r="P947" s="129"/>
      <c r="Z947" s="75"/>
      <c r="AA947" s="76"/>
      <c r="AB947" s="76"/>
      <c r="AC947" s="129"/>
      <c r="AD947" s="134"/>
      <c r="AE947" s="134"/>
      <c r="AF947" s="134"/>
      <c r="AG947" s="134"/>
      <c r="AH947" s="134"/>
      <c r="AI947" s="134"/>
      <c r="AJ947" s="134"/>
      <c r="AK947" s="134"/>
      <c r="AL947" s="134"/>
      <c r="AM947" s="134"/>
      <c r="AN947" s="134"/>
      <c r="AO947" s="134"/>
      <c r="AP947" s="134"/>
      <c r="AQ947" s="134"/>
      <c r="AR947" s="134"/>
      <c r="AS947" s="134"/>
      <c r="AT947" s="134"/>
      <c r="AU947" s="134"/>
      <c r="AV947" s="134"/>
      <c r="AW947" s="134"/>
      <c r="AX947" s="134"/>
      <c r="AY947" s="134"/>
      <c r="AZ947" s="134"/>
      <c r="BA947" s="134"/>
      <c r="BB947" s="134"/>
      <c r="BC947" s="134"/>
      <c r="BD947" s="134"/>
      <c r="BE947" s="134"/>
      <c r="BF947" s="134"/>
      <c r="BG947" s="134"/>
      <c r="BH947" s="134"/>
      <c r="BI947" s="134"/>
      <c r="BJ947" s="134"/>
      <c r="BK947" s="134"/>
      <c r="BL947" s="134"/>
      <c r="BM947" s="135"/>
      <c r="BN947" s="136" t="n">
        <f aca="false">+MAX($D$3,DATOS_[[#This Row],[Fecha Inicio Sit. Contract.]])</f>
        <v>0</v>
      </c>
      <c r="BO947" s="136" t="n">
        <f aca="false">+MIN($D$4,DATOS_[[#This Row],[Fecha Fin Sit. Contract.]])</f>
        <v>0</v>
      </c>
      <c r="BP947" s="137" t="n">
        <f aca="false">+DATOS_[[#This Row],[% de jornada]]*IF(DATOS_[[#This Row],[% jornada reducida]]="",1,DATOS_[[#This Row],[% jornada reducida]])</f>
        <v>0</v>
      </c>
      <c r="BQ947" s="137" t="n">
        <f aca="false">+(DATOS_[[#This Row],[F.fin.cal]]-DATOS_[[#This Row],[F.ini.cal]]+1)/($D$4-$D$3+1)</f>
        <v>1</v>
      </c>
      <c r="BR947" s="137" t="str">
        <f aca="false">IF(OR(AND(DATOS_[[#This Row],[Fecha Fin Contrato]]&lt;$D$3,DATOS_[[#This Row],[Fecha Fin Contrato]]&lt;&gt;""),DATOS_[[#This Row],[Fecha de Contratación]]&gt;$D$4),"Fuera","Dentro")</f>
        <v>Dentro</v>
      </c>
      <c r="BS947" s="137" t="str">
        <f aca="false" t="array" ref="BS947:BS947">IF(MAX(IF(DATOS_[id]=DATOS_[[#This Row],[id]],DATOS_[F.fin.cal]))=DATOS_[[#This Row],[F.fin.cal]],"Sí","NO")</f>
        <v>Sí</v>
      </c>
      <c r="BT947" s="137" t="str">
        <f aca="false">IF(AND(DATOS_[[#This Row],[% normaliz]]&lt;&gt;1,DATOS_[[#This Row],[% anualiz]]=1),"Sí","NO")</f>
        <v>Sí</v>
      </c>
      <c r="BU947" s="137" t="str">
        <f aca="false">IF(AND(DATOS_[[#This Row],[% normaliz]]=1,DATOS_[[#This Row],[% anualiz]]&lt;&gt;1),"Sí","NO")</f>
        <v>NO</v>
      </c>
      <c r="BV947" s="137" t="str">
        <f aca="false">IF(AND(DATOS_[[#This Row],[% normaliz]]&lt;&gt;1,DATOS_[[#This Row],[% anualiz]]&lt;&gt;1),"Sí","NO")</f>
        <v>NO</v>
      </c>
      <c r="BW947" s="137" t="str">
        <f aca="false">+IF(DATOS_[[#This Row],[% normaliz]]*DATOS_[[#This Row],[% anualiz]]=1,"NO","Sí")</f>
        <v>Sí</v>
      </c>
      <c r="BX947" s="138" t="e">
        <f aca="false">(DATOS_[[#This Row],[S.BASE]]*(1/DATOS_[[#This Row],[% normaliz]])*(1/DATOS_[[#This Row],[% anualiz]]))*IF(DATOS_[[#This Row],[Check Equiparado]]="Sí",1,0)</f>
        <v>#DIV/0!</v>
      </c>
      <c r="BY94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7" s="138" t="e">
        <f aca="false">+DATOS_[[#This Row],[SALARIO BASE Eq]]+DATOS_[[#This Row],[Tot COMPL.SAL Eq]]</f>
        <v>#DIV/0!</v>
      </c>
      <c r="CA947" s="138" t="e">
        <f aca="false" t="array" ref="CA947:CA9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7" s="138" t="e">
        <f aca="false">+DATOS_[[#This Row],[TOTAL SALARIO Eq]]+DATOS_[[#This Row],[Tot Extrasalarial Eq]]</f>
        <v>#DIV/0!</v>
      </c>
      <c r="CC947" s="139" t="n">
        <f aca="false">DATOS_[[#This Row],[S.BASE]]</f>
        <v>0</v>
      </c>
      <c r="CD947" s="139" t="n">
        <f aca="false">+SUM(DATOS_[[#This Row],[Conc.Sal.01]:[Conc.Sal.30]])</f>
        <v>0</v>
      </c>
      <c r="CE947" s="139" t="n">
        <f aca="false">+DATOS_[[#This Row],[SALARIO BASE Ef]]+DATOS_[[#This Row],[Tot COMPL.SAL Ef]]</f>
        <v>0</v>
      </c>
      <c r="CF947" s="139" t="n">
        <f aca="false">+SUM(DATOS_[[#This Row],[C.Extra.01]:[C.Extra.05]])</f>
        <v>0</v>
      </c>
      <c r="CG947" s="139" t="n">
        <f aca="false">+DATOS_[[#This Row],[TOTAL SALARIO Ef]]+DATOS_[[#This Row],[Tot Extrasalarial Ef]]</f>
        <v>0</v>
      </c>
      <c r="CH947" s="140" t="n">
        <f aca="false">MIN(IF(DATOS_[[#This Row],[Fecha Fin Contrato]]="",$D$4,DATOS_[[#This Row],[Fecha Fin Contrato]]),$D$4)-MAX(DATOS_[[#This Row],[Fecha de Contratación]],$D$3)+1</f>
        <v>1</v>
      </c>
      <c r="CI947" s="141" t="str">
        <f aca="false">IF(COUNTIFS(DATOS_[id],DATOS_[[#This Row],[id]])&gt;1,DATOS_[[#This Row],[id]],"")</f>
        <v/>
      </c>
      <c r="CJ947" s="141" t="n">
        <f aca="false">(Inicio!$G$10-DATOS_[[#This Row],[Fecha Nacimiento]])/365.25</f>
        <v>0</v>
      </c>
      <c r="CK947" s="141" t="n">
        <f aca="false">(Inicio!$G$10-DATOS_[[#This Row],[Fecha de Antigüedad]])/365.25</f>
        <v>0</v>
      </c>
      <c r="CL947" s="141" t="e">
        <f aca="false">+VLOOKUP(DATOS_[[#This Row],[Clave de Contrato]],TblTiposContrato13[],3,0)</f>
        <v>#N/A</v>
      </c>
      <c r="CM947" s="141" t="e">
        <f aca="false">+VLOOKUP(DATOS_[[#This Row],[Clave de Contrato]],TblTiposContrato13[],4,0)</f>
        <v>#N/A</v>
      </c>
      <c r="CN947" s="141" t="str">
        <f aca="false">VLOOKUP(DATOS_[[#This Row],[Edad]],CONTRATOS!TblRngEdad,2,1)</f>
        <v>20  o menos</v>
      </c>
      <c r="CO947" s="141" t="str">
        <f aca="false">VLOOKUP(DATOS_[[#This Row],[Antigüedad]],TblRngAntg14[],2,1)</f>
        <v>0 a 1 años</v>
      </c>
    </row>
    <row r="948" customFormat="false" ht="13.8" hidden="false" customHeight="false" outlineLevel="0" collapsed="false">
      <c r="D948" s="128"/>
      <c r="E948" s="129"/>
      <c r="F948" s="129"/>
      <c r="G948" s="129"/>
      <c r="H948" s="130"/>
      <c r="I948" s="131"/>
      <c r="J948" s="128"/>
      <c r="K948" s="132"/>
      <c r="L948" s="132"/>
      <c r="M948" s="133"/>
      <c r="N948" s="133"/>
      <c r="O948" s="133"/>
      <c r="P948" s="129"/>
      <c r="Z948" s="75"/>
      <c r="AA948" s="76"/>
      <c r="AB948" s="76"/>
      <c r="AC948" s="129"/>
      <c r="AD948" s="134"/>
      <c r="AE948" s="134"/>
      <c r="AF948" s="134"/>
      <c r="AG948" s="134"/>
      <c r="AH948" s="134"/>
      <c r="AI948" s="134"/>
      <c r="AJ948" s="134"/>
      <c r="AK948" s="134"/>
      <c r="AL948" s="134"/>
      <c r="AM948" s="134"/>
      <c r="AN948" s="134"/>
      <c r="AO948" s="134"/>
      <c r="AP948" s="134"/>
      <c r="AQ948" s="134"/>
      <c r="AR948" s="134"/>
      <c r="AS948" s="134"/>
      <c r="AT948" s="134"/>
      <c r="AU948" s="134"/>
      <c r="AV948" s="134"/>
      <c r="AW948" s="134"/>
      <c r="AX948" s="134"/>
      <c r="AY948" s="134"/>
      <c r="AZ948" s="134"/>
      <c r="BA948" s="134"/>
      <c r="BB948" s="134"/>
      <c r="BC948" s="134"/>
      <c r="BD948" s="134"/>
      <c r="BE948" s="134"/>
      <c r="BF948" s="134"/>
      <c r="BG948" s="134"/>
      <c r="BH948" s="134"/>
      <c r="BI948" s="134"/>
      <c r="BJ948" s="134"/>
      <c r="BK948" s="134"/>
      <c r="BL948" s="134"/>
      <c r="BM948" s="135"/>
      <c r="BN948" s="136" t="n">
        <f aca="false">+MAX($D$3,DATOS_[[#This Row],[Fecha Inicio Sit. Contract.]])</f>
        <v>0</v>
      </c>
      <c r="BO948" s="136" t="n">
        <f aca="false">+MIN($D$4,DATOS_[[#This Row],[Fecha Fin Sit. Contract.]])</f>
        <v>0</v>
      </c>
      <c r="BP948" s="137" t="n">
        <f aca="false">+DATOS_[[#This Row],[% de jornada]]*IF(DATOS_[[#This Row],[% jornada reducida]]="",1,DATOS_[[#This Row],[% jornada reducida]])</f>
        <v>0</v>
      </c>
      <c r="BQ948" s="137" t="n">
        <f aca="false">+(DATOS_[[#This Row],[F.fin.cal]]-DATOS_[[#This Row],[F.ini.cal]]+1)/($D$4-$D$3+1)</f>
        <v>1</v>
      </c>
      <c r="BR948" s="137" t="str">
        <f aca="false">IF(OR(AND(DATOS_[[#This Row],[Fecha Fin Contrato]]&lt;$D$3,DATOS_[[#This Row],[Fecha Fin Contrato]]&lt;&gt;""),DATOS_[[#This Row],[Fecha de Contratación]]&gt;$D$4),"Fuera","Dentro")</f>
        <v>Dentro</v>
      </c>
      <c r="BS948" s="137" t="str">
        <f aca="false" t="array" ref="BS948:BS948">IF(MAX(IF(DATOS_[id]=DATOS_[[#This Row],[id]],DATOS_[F.fin.cal]))=DATOS_[[#This Row],[F.fin.cal]],"Sí","NO")</f>
        <v>Sí</v>
      </c>
      <c r="BT948" s="137" t="str">
        <f aca="false">IF(AND(DATOS_[[#This Row],[% normaliz]]&lt;&gt;1,DATOS_[[#This Row],[% anualiz]]=1),"Sí","NO")</f>
        <v>Sí</v>
      </c>
      <c r="BU948" s="137" t="str">
        <f aca="false">IF(AND(DATOS_[[#This Row],[% normaliz]]=1,DATOS_[[#This Row],[% anualiz]]&lt;&gt;1),"Sí","NO")</f>
        <v>NO</v>
      </c>
      <c r="BV948" s="137" t="str">
        <f aca="false">IF(AND(DATOS_[[#This Row],[% normaliz]]&lt;&gt;1,DATOS_[[#This Row],[% anualiz]]&lt;&gt;1),"Sí","NO")</f>
        <v>NO</v>
      </c>
      <c r="BW948" s="137" t="str">
        <f aca="false">+IF(DATOS_[[#This Row],[% normaliz]]*DATOS_[[#This Row],[% anualiz]]=1,"NO","Sí")</f>
        <v>Sí</v>
      </c>
      <c r="BX948" s="138" t="e">
        <f aca="false">(DATOS_[[#This Row],[S.BASE]]*(1/DATOS_[[#This Row],[% normaliz]])*(1/DATOS_[[#This Row],[% anualiz]]))*IF(DATOS_[[#This Row],[Check Equiparado]]="Sí",1,0)</f>
        <v>#DIV/0!</v>
      </c>
      <c r="BY94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8" s="138" t="e">
        <f aca="false">+DATOS_[[#This Row],[SALARIO BASE Eq]]+DATOS_[[#This Row],[Tot COMPL.SAL Eq]]</f>
        <v>#DIV/0!</v>
      </c>
      <c r="CA948" s="138" t="e">
        <f aca="false" t="array" ref="CA948:CA9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8" s="138" t="e">
        <f aca="false">+DATOS_[[#This Row],[TOTAL SALARIO Eq]]+DATOS_[[#This Row],[Tot Extrasalarial Eq]]</f>
        <v>#DIV/0!</v>
      </c>
      <c r="CC948" s="139" t="n">
        <f aca="false">DATOS_[[#This Row],[S.BASE]]</f>
        <v>0</v>
      </c>
      <c r="CD948" s="139" t="n">
        <f aca="false">+SUM(DATOS_[[#This Row],[Conc.Sal.01]:[Conc.Sal.30]])</f>
        <v>0</v>
      </c>
      <c r="CE948" s="139" t="n">
        <f aca="false">+DATOS_[[#This Row],[SALARIO BASE Ef]]+DATOS_[[#This Row],[Tot COMPL.SAL Ef]]</f>
        <v>0</v>
      </c>
      <c r="CF948" s="139" t="n">
        <f aca="false">+SUM(DATOS_[[#This Row],[C.Extra.01]:[C.Extra.05]])</f>
        <v>0</v>
      </c>
      <c r="CG948" s="139" t="n">
        <f aca="false">+DATOS_[[#This Row],[TOTAL SALARIO Ef]]+DATOS_[[#This Row],[Tot Extrasalarial Ef]]</f>
        <v>0</v>
      </c>
      <c r="CH948" s="140" t="n">
        <f aca="false">MIN(IF(DATOS_[[#This Row],[Fecha Fin Contrato]]="",$D$4,DATOS_[[#This Row],[Fecha Fin Contrato]]),$D$4)-MAX(DATOS_[[#This Row],[Fecha de Contratación]],$D$3)+1</f>
        <v>1</v>
      </c>
      <c r="CI948" s="141" t="str">
        <f aca="false">IF(COUNTIFS(DATOS_[id],DATOS_[[#This Row],[id]])&gt;1,DATOS_[[#This Row],[id]],"")</f>
        <v/>
      </c>
      <c r="CJ948" s="141" t="n">
        <f aca="false">(Inicio!$G$10-DATOS_[[#This Row],[Fecha Nacimiento]])/365.25</f>
        <v>0</v>
      </c>
      <c r="CK948" s="141" t="n">
        <f aca="false">(Inicio!$G$10-DATOS_[[#This Row],[Fecha de Antigüedad]])/365.25</f>
        <v>0</v>
      </c>
      <c r="CL948" s="141" t="e">
        <f aca="false">+VLOOKUP(DATOS_[[#This Row],[Clave de Contrato]],TblTiposContrato13[],3,0)</f>
        <v>#N/A</v>
      </c>
      <c r="CM948" s="141" t="e">
        <f aca="false">+VLOOKUP(DATOS_[[#This Row],[Clave de Contrato]],TblTiposContrato13[],4,0)</f>
        <v>#N/A</v>
      </c>
      <c r="CN948" s="141" t="str">
        <f aca="false">VLOOKUP(DATOS_[[#This Row],[Edad]],CONTRATOS!TblRngEdad,2,1)</f>
        <v>20  o menos</v>
      </c>
      <c r="CO948" s="141" t="str">
        <f aca="false">VLOOKUP(DATOS_[[#This Row],[Antigüedad]],TblRngAntg14[],2,1)</f>
        <v>0 a 1 años</v>
      </c>
    </row>
    <row r="949" customFormat="false" ht="13.8" hidden="false" customHeight="false" outlineLevel="0" collapsed="false">
      <c r="D949" s="128"/>
      <c r="E949" s="129"/>
      <c r="F949" s="129"/>
      <c r="G949" s="129"/>
      <c r="H949" s="130"/>
      <c r="I949" s="131"/>
      <c r="J949" s="128"/>
      <c r="K949" s="132"/>
      <c r="L949" s="132"/>
      <c r="M949" s="133"/>
      <c r="N949" s="133"/>
      <c r="O949" s="133"/>
      <c r="P949" s="129"/>
      <c r="Z949" s="75"/>
      <c r="AA949" s="76"/>
      <c r="AB949" s="76"/>
      <c r="AC949" s="129"/>
      <c r="AD949" s="134"/>
      <c r="AE949" s="134"/>
      <c r="AF949" s="134"/>
      <c r="AG949" s="134"/>
      <c r="AH949" s="134"/>
      <c r="AI949" s="134"/>
      <c r="AJ949" s="134"/>
      <c r="AK949" s="134"/>
      <c r="AL949" s="134"/>
      <c r="AM949" s="134"/>
      <c r="AN949" s="134"/>
      <c r="AO949" s="134"/>
      <c r="AP949" s="134"/>
      <c r="AQ949" s="134"/>
      <c r="AR949" s="134"/>
      <c r="AS949" s="134"/>
      <c r="AT949" s="134"/>
      <c r="AU949" s="134"/>
      <c r="AV949" s="134"/>
      <c r="AW949" s="134"/>
      <c r="AX949" s="134"/>
      <c r="AY949" s="134"/>
      <c r="AZ949" s="134"/>
      <c r="BA949" s="134"/>
      <c r="BB949" s="134"/>
      <c r="BC949" s="134"/>
      <c r="BD949" s="134"/>
      <c r="BE949" s="134"/>
      <c r="BF949" s="134"/>
      <c r="BG949" s="134"/>
      <c r="BH949" s="134"/>
      <c r="BI949" s="134"/>
      <c r="BJ949" s="134"/>
      <c r="BK949" s="134"/>
      <c r="BL949" s="134"/>
      <c r="BM949" s="135"/>
      <c r="BN949" s="136" t="n">
        <f aca="false">+MAX($D$3,DATOS_[[#This Row],[Fecha Inicio Sit. Contract.]])</f>
        <v>0</v>
      </c>
      <c r="BO949" s="136" t="n">
        <f aca="false">+MIN($D$4,DATOS_[[#This Row],[Fecha Fin Sit. Contract.]])</f>
        <v>0</v>
      </c>
      <c r="BP949" s="137" t="n">
        <f aca="false">+DATOS_[[#This Row],[% de jornada]]*IF(DATOS_[[#This Row],[% jornada reducida]]="",1,DATOS_[[#This Row],[% jornada reducida]])</f>
        <v>0</v>
      </c>
      <c r="BQ949" s="137" t="n">
        <f aca="false">+(DATOS_[[#This Row],[F.fin.cal]]-DATOS_[[#This Row],[F.ini.cal]]+1)/($D$4-$D$3+1)</f>
        <v>1</v>
      </c>
      <c r="BR949" s="137" t="str">
        <f aca="false">IF(OR(AND(DATOS_[[#This Row],[Fecha Fin Contrato]]&lt;$D$3,DATOS_[[#This Row],[Fecha Fin Contrato]]&lt;&gt;""),DATOS_[[#This Row],[Fecha de Contratación]]&gt;$D$4),"Fuera","Dentro")</f>
        <v>Dentro</v>
      </c>
      <c r="BS949" s="137" t="str">
        <f aca="false" t="array" ref="BS949:BS949">IF(MAX(IF(DATOS_[id]=DATOS_[[#This Row],[id]],DATOS_[F.fin.cal]))=DATOS_[[#This Row],[F.fin.cal]],"Sí","NO")</f>
        <v>Sí</v>
      </c>
      <c r="BT949" s="137" t="str">
        <f aca="false">IF(AND(DATOS_[[#This Row],[% normaliz]]&lt;&gt;1,DATOS_[[#This Row],[% anualiz]]=1),"Sí","NO")</f>
        <v>Sí</v>
      </c>
      <c r="BU949" s="137" t="str">
        <f aca="false">IF(AND(DATOS_[[#This Row],[% normaliz]]=1,DATOS_[[#This Row],[% anualiz]]&lt;&gt;1),"Sí","NO")</f>
        <v>NO</v>
      </c>
      <c r="BV949" s="137" t="str">
        <f aca="false">IF(AND(DATOS_[[#This Row],[% normaliz]]&lt;&gt;1,DATOS_[[#This Row],[% anualiz]]&lt;&gt;1),"Sí","NO")</f>
        <v>NO</v>
      </c>
      <c r="BW949" s="137" t="str">
        <f aca="false">+IF(DATOS_[[#This Row],[% normaliz]]*DATOS_[[#This Row],[% anualiz]]=1,"NO","Sí")</f>
        <v>Sí</v>
      </c>
      <c r="BX949" s="138" t="e">
        <f aca="false">(DATOS_[[#This Row],[S.BASE]]*(1/DATOS_[[#This Row],[% normaliz]])*(1/DATOS_[[#This Row],[% anualiz]]))*IF(DATOS_[[#This Row],[Check Equiparado]]="Sí",1,0)</f>
        <v>#DIV/0!</v>
      </c>
      <c r="BY94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9" s="138" t="e">
        <f aca="false">+DATOS_[[#This Row],[SALARIO BASE Eq]]+DATOS_[[#This Row],[Tot COMPL.SAL Eq]]</f>
        <v>#DIV/0!</v>
      </c>
      <c r="CA949" s="138" t="e">
        <f aca="false" t="array" ref="CA949:CA9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9" s="138" t="e">
        <f aca="false">+DATOS_[[#This Row],[TOTAL SALARIO Eq]]+DATOS_[[#This Row],[Tot Extrasalarial Eq]]</f>
        <v>#DIV/0!</v>
      </c>
      <c r="CC949" s="139" t="n">
        <f aca="false">DATOS_[[#This Row],[S.BASE]]</f>
        <v>0</v>
      </c>
      <c r="CD949" s="139" t="n">
        <f aca="false">+SUM(DATOS_[[#This Row],[Conc.Sal.01]:[Conc.Sal.30]])</f>
        <v>0</v>
      </c>
      <c r="CE949" s="139" t="n">
        <f aca="false">+DATOS_[[#This Row],[SALARIO BASE Ef]]+DATOS_[[#This Row],[Tot COMPL.SAL Ef]]</f>
        <v>0</v>
      </c>
      <c r="CF949" s="139" t="n">
        <f aca="false">+SUM(DATOS_[[#This Row],[C.Extra.01]:[C.Extra.05]])</f>
        <v>0</v>
      </c>
      <c r="CG949" s="139" t="n">
        <f aca="false">+DATOS_[[#This Row],[TOTAL SALARIO Ef]]+DATOS_[[#This Row],[Tot Extrasalarial Ef]]</f>
        <v>0</v>
      </c>
      <c r="CH949" s="140" t="n">
        <f aca="false">MIN(IF(DATOS_[[#This Row],[Fecha Fin Contrato]]="",$D$4,DATOS_[[#This Row],[Fecha Fin Contrato]]),$D$4)-MAX(DATOS_[[#This Row],[Fecha de Contratación]],$D$3)+1</f>
        <v>1</v>
      </c>
      <c r="CI949" s="141" t="str">
        <f aca="false">IF(COUNTIFS(DATOS_[id],DATOS_[[#This Row],[id]])&gt;1,DATOS_[[#This Row],[id]],"")</f>
        <v/>
      </c>
      <c r="CJ949" s="141" t="n">
        <f aca="false">(Inicio!$G$10-DATOS_[[#This Row],[Fecha Nacimiento]])/365.25</f>
        <v>0</v>
      </c>
      <c r="CK949" s="141" t="n">
        <f aca="false">(Inicio!$G$10-DATOS_[[#This Row],[Fecha de Antigüedad]])/365.25</f>
        <v>0</v>
      </c>
      <c r="CL949" s="141" t="e">
        <f aca="false">+VLOOKUP(DATOS_[[#This Row],[Clave de Contrato]],TblTiposContrato13[],3,0)</f>
        <v>#N/A</v>
      </c>
      <c r="CM949" s="141" t="e">
        <f aca="false">+VLOOKUP(DATOS_[[#This Row],[Clave de Contrato]],TblTiposContrato13[],4,0)</f>
        <v>#N/A</v>
      </c>
      <c r="CN949" s="141" t="str">
        <f aca="false">VLOOKUP(DATOS_[[#This Row],[Edad]],CONTRATOS!TblRngEdad,2,1)</f>
        <v>20  o menos</v>
      </c>
      <c r="CO949" s="141" t="str">
        <f aca="false">VLOOKUP(DATOS_[[#This Row],[Antigüedad]],TblRngAntg14[],2,1)</f>
        <v>0 a 1 años</v>
      </c>
    </row>
    <row r="950" customFormat="false" ht="13.8" hidden="false" customHeight="false" outlineLevel="0" collapsed="false">
      <c r="D950" s="128"/>
      <c r="E950" s="129"/>
      <c r="F950" s="129"/>
      <c r="G950" s="129"/>
      <c r="H950" s="130"/>
      <c r="I950" s="131"/>
      <c r="J950" s="128"/>
      <c r="K950" s="132"/>
      <c r="L950" s="132"/>
      <c r="M950" s="133"/>
      <c r="N950" s="133"/>
      <c r="O950" s="133"/>
      <c r="P950" s="129"/>
      <c r="Z950" s="75"/>
      <c r="AA950" s="76"/>
      <c r="AB950" s="76"/>
      <c r="AC950" s="129"/>
      <c r="AD950" s="134"/>
      <c r="AE950" s="134"/>
      <c r="AF950" s="134"/>
      <c r="AG950" s="134"/>
      <c r="AH950" s="134"/>
      <c r="AI950" s="134"/>
      <c r="AJ950" s="134"/>
      <c r="AK950" s="134"/>
      <c r="AL950" s="134"/>
      <c r="AM950" s="134"/>
      <c r="AN950" s="134"/>
      <c r="AO950" s="134"/>
      <c r="AP950" s="134"/>
      <c r="AQ950" s="134"/>
      <c r="AR950" s="134"/>
      <c r="AS950" s="134"/>
      <c r="AT950" s="134"/>
      <c r="AU950" s="134"/>
      <c r="AV950" s="134"/>
      <c r="AW950" s="134"/>
      <c r="AX950" s="134"/>
      <c r="AY950" s="134"/>
      <c r="AZ950" s="134"/>
      <c r="BA950" s="134"/>
      <c r="BB950" s="134"/>
      <c r="BC950" s="134"/>
      <c r="BD950" s="134"/>
      <c r="BE950" s="134"/>
      <c r="BF950" s="134"/>
      <c r="BG950" s="134"/>
      <c r="BH950" s="134"/>
      <c r="BI950" s="134"/>
      <c r="BJ950" s="134"/>
      <c r="BK950" s="134"/>
      <c r="BL950" s="134"/>
      <c r="BM950" s="135"/>
      <c r="BN950" s="136" t="n">
        <f aca="false">+MAX($D$3,DATOS_[[#This Row],[Fecha Inicio Sit. Contract.]])</f>
        <v>0</v>
      </c>
      <c r="BO950" s="136" t="n">
        <f aca="false">+MIN($D$4,DATOS_[[#This Row],[Fecha Fin Sit. Contract.]])</f>
        <v>0</v>
      </c>
      <c r="BP950" s="137" t="n">
        <f aca="false">+DATOS_[[#This Row],[% de jornada]]*IF(DATOS_[[#This Row],[% jornada reducida]]="",1,DATOS_[[#This Row],[% jornada reducida]])</f>
        <v>0</v>
      </c>
      <c r="BQ950" s="137" t="n">
        <f aca="false">+(DATOS_[[#This Row],[F.fin.cal]]-DATOS_[[#This Row],[F.ini.cal]]+1)/($D$4-$D$3+1)</f>
        <v>1</v>
      </c>
      <c r="BR950" s="137" t="str">
        <f aca="false">IF(OR(AND(DATOS_[[#This Row],[Fecha Fin Contrato]]&lt;$D$3,DATOS_[[#This Row],[Fecha Fin Contrato]]&lt;&gt;""),DATOS_[[#This Row],[Fecha de Contratación]]&gt;$D$4),"Fuera","Dentro")</f>
        <v>Dentro</v>
      </c>
      <c r="BS950" s="137" t="str">
        <f aca="false" t="array" ref="BS950:BS950">IF(MAX(IF(DATOS_[id]=DATOS_[[#This Row],[id]],DATOS_[F.fin.cal]))=DATOS_[[#This Row],[F.fin.cal]],"Sí","NO")</f>
        <v>Sí</v>
      </c>
      <c r="BT950" s="137" t="str">
        <f aca="false">IF(AND(DATOS_[[#This Row],[% normaliz]]&lt;&gt;1,DATOS_[[#This Row],[% anualiz]]=1),"Sí","NO")</f>
        <v>Sí</v>
      </c>
      <c r="BU950" s="137" t="str">
        <f aca="false">IF(AND(DATOS_[[#This Row],[% normaliz]]=1,DATOS_[[#This Row],[% anualiz]]&lt;&gt;1),"Sí","NO")</f>
        <v>NO</v>
      </c>
      <c r="BV950" s="137" t="str">
        <f aca="false">IF(AND(DATOS_[[#This Row],[% normaliz]]&lt;&gt;1,DATOS_[[#This Row],[% anualiz]]&lt;&gt;1),"Sí","NO")</f>
        <v>NO</v>
      </c>
      <c r="BW950" s="137" t="str">
        <f aca="false">+IF(DATOS_[[#This Row],[% normaliz]]*DATOS_[[#This Row],[% anualiz]]=1,"NO","Sí")</f>
        <v>Sí</v>
      </c>
      <c r="BX950" s="138" t="e">
        <f aca="false">(DATOS_[[#This Row],[S.BASE]]*(1/DATOS_[[#This Row],[% normaliz]])*(1/DATOS_[[#This Row],[% anualiz]]))*IF(DATOS_[[#This Row],[Check Equiparado]]="Sí",1,0)</f>
        <v>#DIV/0!</v>
      </c>
      <c r="BY95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0" s="138" t="e">
        <f aca="false">+DATOS_[[#This Row],[SALARIO BASE Eq]]+DATOS_[[#This Row],[Tot COMPL.SAL Eq]]</f>
        <v>#DIV/0!</v>
      </c>
      <c r="CA950" s="138" t="e">
        <f aca="false" t="array" ref="CA950:CA9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0" s="138" t="e">
        <f aca="false">+DATOS_[[#This Row],[TOTAL SALARIO Eq]]+DATOS_[[#This Row],[Tot Extrasalarial Eq]]</f>
        <v>#DIV/0!</v>
      </c>
      <c r="CC950" s="139" t="n">
        <f aca="false">DATOS_[[#This Row],[S.BASE]]</f>
        <v>0</v>
      </c>
      <c r="CD950" s="139" t="n">
        <f aca="false">+SUM(DATOS_[[#This Row],[Conc.Sal.01]:[Conc.Sal.30]])</f>
        <v>0</v>
      </c>
      <c r="CE950" s="139" t="n">
        <f aca="false">+DATOS_[[#This Row],[SALARIO BASE Ef]]+DATOS_[[#This Row],[Tot COMPL.SAL Ef]]</f>
        <v>0</v>
      </c>
      <c r="CF950" s="139" t="n">
        <f aca="false">+SUM(DATOS_[[#This Row],[C.Extra.01]:[C.Extra.05]])</f>
        <v>0</v>
      </c>
      <c r="CG950" s="139" t="n">
        <f aca="false">+DATOS_[[#This Row],[TOTAL SALARIO Ef]]+DATOS_[[#This Row],[Tot Extrasalarial Ef]]</f>
        <v>0</v>
      </c>
      <c r="CH950" s="140" t="n">
        <f aca="false">MIN(IF(DATOS_[[#This Row],[Fecha Fin Contrato]]="",$D$4,DATOS_[[#This Row],[Fecha Fin Contrato]]),$D$4)-MAX(DATOS_[[#This Row],[Fecha de Contratación]],$D$3)+1</f>
        <v>1</v>
      </c>
      <c r="CI950" s="141" t="str">
        <f aca="false">IF(COUNTIFS(DATOS_[id],DATOS_[[#This Row],[id]])&gt;1,DATOS_[[#This Row],[id]],"")</f>
        <v/>
      </c>
      <c r="CJ950" s="141" t="n">
        <f aca="false">(Inicio!$G$10-DATOS_[[#This Row],[Fecha Nacimiento]])/365.25</f>
        <v>0</v>
      </c>
      <c r="CK950" s="141" t="n">
        <f aca="false">(Inicio!$G$10-DATOS_[[#This Row],[Fecha de Antigüedad]])/365.25</f>
        <v>0</v>
      </c>
      <c r="CL950" s="141" t="e">
        <f aca="false">+VLOOKUP(DATOS_[[#This Row],[Clave de Contrato]],TblTiposContrato13[],3,0)</f>
        <v>#N/A</v>
      </c>
      <c r="CM950" s="141" t="e">
        <f aca="false">+VLOOKUP(DATOS_[[#This Row],[Clave de Contrato]],TblTiposContrato13[],4,0)</f>
        <v>#N/A</v>
      </c>
      <c r="CN950" s="141" t="str">
        <f aca="false">VLOOKUP(DATOS_[[#This Row],[Edad]],CONTRATOS!TblRngEdad,2,1)</f>
        <v>20  o menos</v>
      </c>
      <c r="CO950" s="141" t="str">
        <f aca="false">VLOOKUP(DATOS_[[#This Row],[Antigüedad]],TblRngAntg14[],2,1)</f>
        <v>0 a 1 años</v>
      </c>
    </row>
    <row r="951" customFormat="false" ht="13.8" hidden="false" customHeight="false" outlineLevel="0" collapsed="false">
      <c r="D951" s="128"/>
      <c r="E951" s="129"/>
      <c r="F951" s="129"/>
      <c r="G951" s="129"/>
      <c r="H951" s="130"/>
      <c r="I951" s="131"/>
      <c r="J951" s="128"/>
      <c r="K951" s="132"/>
      <c r="L951" s="132"/>
      <c r="M951" s="133"/>
      <c r="N951" s="133"/>
      <c r="O951" s="133"/>
      <c r="P951" s="129"/>
      <c r="Z951" s="75"/>
      <c r="AA951" s="76"/>
      <c r="AB951" s="76"/>
      <c r="AC951" s="129"/>
      <c r="AD951" s="134"/>
      <c r="AE951" s="134"/>
      <c r="AF951" s="134"/>
      <c r="AG951" s="134"/>
      <c r="AH951" s="134"/>
      <c r="AI951" s="134"/>
      <c r="AJ951" s="134"/>
      <c r="AK951" s="134"/>
      <c r="AL951" s="134"/>
      <c r="AM951" s="134"/>
      <c r="AN951" s="134"/>
      <c r="AO951" s="134"/>
      <c r="AP951" s="134"/>
      <c r="AQ951" s="134"/>
      <c r="AR951" s="134"/>
      <c r="AS951" s="134"/>
      <c r="AT951" s="134"/>
      <c r="AU951" s="134"/>
      <c r="AV951" s="134"/>
      <c r="AW951" s="134"/>
      <c r="AX951" s="134"/>
      <c r="AY951" s="134"/>
      <c r="AZ951" s="134"/>
      <c r="BA951" s="134"/>
      <c r="BB951" s="134"/>
      <c r="BC951" s="134"/>
      <c r="BD951" s="134"/>
      <c r="BE951" s="134"/>
      <c r="BF951" s="134"/>
      <c r="BG951" s="134"/>
      <c r="BH951" s="134"/>
      <c r="BI951" s="134"/>
      <c r="BJ951" s="134"/>
      <c r="BK951" s="134"/>
      <c r="BL951" s="134"/>
      <c r="BM951" s="135"/>
      <c r="BN951" s="136" t="n">
        <f aca="false">+MAX($D$3,DATOS_[[#This Row],[Fecha Inicio Sit. Contract.]])</f>
        <v>0</v>
      </c>
      <c r="BO951" s="136" t="n">
        <f aca="false">+MIN($D$4,DATOS_[[#This Row],[Fecha Fin Sit. Contract.]])</f>
        <v>0</v>
      </c>
      <c r="BP951" s="137" t="n">
        <f aca="false">+DATOS_[[#This Row],[% de jornada]]*IF(DATOS_[[#This Row],[% jornada reducida]]="",1,DATOS_[[#This Row],[% jornada reducida]])</f>
        <v>0</v>
      </c>
      <c r="BQ951" s="137" t="n">
        <f aca="false">+(DATOS_[[#This Row],[F.fin.cal]]-DATOS_[[#This Row],[F.ini.cal]]+1)/($D$4-$D$3+1)</f>
        <v>1</v>
      </c>
      <c r="BR951" s="137" t="str">
        <f aca="false">IF(OR(AND(DATOS_[[#This Row],[Fecha Fin Contrato]]&lt;$D$3,DATOS_[[#This Row],[Fecha Fin Contrato]]&lt;&gt;""),DATOS_[[#This Row],[Fecha de Contratación]]&gt;$D$4),"Fuera","Dentro")</f>
        <v>Dentro</v>
      </c>
      <c r="BS951" s="137" t="str">
        <f aca="false" t="array" ref="BS951:BS951">IF(MAX(IF(DATOS_[id]=DATOS_[[#This Row],[id]],DATOS_[F.fin.cal]))=DATOS_[[#This Row],[F.fin.cal]],"Sí","NO")</f>
        <v>Sí</v>
      </c>
      <c r="BT951" s="137" t="str">
        <f aca="false">IF(AND(DATOS_[[#This Row],[% normaliz]]&lt;&gt;1,DATOS_[[#This Row],[% anualiz]]=1),"Sí","NO")</f>
        <v>Sí</v>
      </c>
      <c r="BU951" s="137" t="str">
        <f aca="false">IF(AND(DATOS_[[#This Row],[% normaliz]]=1,DATOS_[[#This Row],[% anualiz]]&lt;&gt;1),"Sí","NO")</f>
        <v>NO</v>
      </c>
      <c r="BV951" s="137" t="str">
        <f aca="false">IF(AND(DATOS_[[#This Row],[% normaliz]]&lt;&gt;1,DATOS_[[#This Row],[% anualiz]]&lt;&gt;1),"Sí","NO")</f>
        <v>NO</v>
      </c>
      <c r="BW951" s="137" t="str">
        <f aca="false">+IF(DATOS_[[#This Row],[% normaliz]]*DATOS_[[#This Row],[% anualiz]]=1,"NO","Sí")</f>
        <v>Sí</v>
      </c>
      <c r="BX951" s="138" t="e">
        <f aca="false">(DATOS_[[#This Row],[S.BASE]]*(1/DATOS_[[#This Row],[% normaliz]])*(1/DATOS_[[#This Row],[% anualiz]]))*IF(DATOS_[[#This Row],[Check Equiparado]]="Sí",1,0)</f>
        <v>#DIV/0!</v>
      </c>
      <c r="BY95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1" s="138" t="e">
        <f aca="false">+DATOS_[[#This Row],[SALARIO BASE Eq]]+DATOS_[[#This Row],[Tot COMPL.SAL Eq]]</f>
        <v>#DIV/0!</v>
      </c>
      <c r="CA951" s="138" t="e">
        <f aca="false" t="array" ref="CA951:CA9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1" s="138" t="e">
        <f aca="false">+DATOS_[[#This Row],[TOTAL SALARIO Eq]]+DATOS_[[#This Row],[Tot Extrasalarial Eq]]</f>
        <v>#DIV/0!</v>
      </c>
      <c r="CC951" s="139" t="n">
        <f aca="false">DATOS_[[#This Row],[S.BASE]]</f>
        <v>0</v>
      </c>
      <c r="CD951" s="139" t="n">
        <f aca="false">+SUM(DATOS_[[#This Row],[Conc.Sal.01]:[Conc.Sal.30]])</f>
        <v>0</v>
      </c>
      <c r="CE951" s="139" t="n">
        <f aca="false">+DATOS_[[#This Row],[SALARIO BASE Ef]]+DATOS_[[#This Row],[Tot COMPL.SAL Ef]]</f>
        <v>0</v>
      </c>
      <c r="CF951" s="139" t="n">
        <f aca="false">+SUM(DATOS_[[#This Row],[C.Extra.01]:[C.Extra.05]])</f>
        <v>0</v>
      </c>
      <c r="CG951" s="139" t="n">
        <f aca="false">+DATOS_[[#This Row],[TOTAL SALARIO Ef]]+DATOS_[[#This Row],[Tot Extrasalarial Ef]]</f>
        <v>0</v>
      </c>
      <c r="CH951" s="140" t="n">
        <f aca="false">MIN(IF(DATOS_[[#This Row],[Fecha Fin Contrato]]="",$D$4,DATOS_[[#This Row],[Fecha Fin Contrato]]),$D$4)-MAX(DATOS_[[#This Row],[Fecha de Contratación]],$D$3)+1</f>
        <v>1</v>
      </c>
      <c r="CI951" s="141" t="str">
        <f aca="false">IF(COUNTIFS(DATOS_[id],DATOS_[[#This Row],[id]])&gt;1,DATOS_[[#This Row],[id]],"")</f>
        <v/>
      </c>
      <c r="CJ951" s="141" t="n">
        <f aca="false">(Inicio!$G$10-DATOS_[[#This Row],[Fecha Nacimiento]])/365.25</f>
        <v>0</v>
      </c>
      <c r="CK951" s="141" t="n">
        <f aca="false">(Inicio!$G$10-DATOS_[[#This Row],[Fecha de Antigüedad]])/365.25</f>
        <v>0</v>
      </c>
      <c r="CL951" s="141" t="e">
        <f aca="false">+VLOOKUP(DATOS_[[#This Row],[Clave de Contrato]],TblTiposContrato13[],3,0)</f>
        <v>#N/A</v>
      </c>
      <c r="CM951" s="141" t="e">
        <f aca="false">+VLOOKUP(DATOS_[[#This Row],[Clave de Contrato]],TblTiposContrato13[],4,0)</f>
        <v>#N/A</v>
      </c>
      <c r="CN951" s="141" t="str">
        <f aca="false">VLOOKUP(DATOS_[[#This Row],[Edad]],CONTRATOS!TblRngEdad,2,1)</f>
        <v>20  o menos</v>
      </c>
      <c r="CO951" s="141" t="str">
        <f aca="false">VLOOKUP(DATOS_[[#This Row],[Antigüedad]],TblRngAntg14[],2,1)</f>
        <v>0 a 1 años</v>
      </c>
    </row>
    <row r="952" customFormat="false" ht="13.8" hidden="false" customHeight="false" outlineLevel="0" collapsed="false">
      <c r="D952" s="128"/>
      <c r="E952" s="129"/>
      <c r="F952" s="129"/>
      <c r="G952" s="129"/>
      <c r="H952" s="130"/>
      <c r="I952" s="131"/>
      <c r="J952" s="128"/>
      <c r="K952" s="132"/>
      <c r="L952" s="132"/>
      <c r="M952" s="133"/>
      <c r="N952" s="133"/>
      <c r="O952" s="133"/>
      <c r="P952" s="129"/>
      <c r="Z952" s="75"/>
      <c r="AA952" s="76"/>
      <c r="AB952" s="76"/>
      <c r="AC952" s="129"/>
      <c r="AD952" s="134"/>
      <c r="AE952" s="134"/>
      <c r="AF952" s="134"/>
      <c r="AG952" s="134"/>
      <c r="AH952" s="134"/>
      <c r="AI952" s="134"/>
      <c r="AJ952" s="134"/>
      <c r="AK952" s="134"/>
      <c r="AL952" s="134"/>
      <c r="AM952" s="134"/>
      <c r="AN952" s="134"/>
      <c r="AO952" s="134"/>
      <c r="AP952" s="134"/>
      <c r="AQ952" s="134"/>
      <c r="AR952" s="134"/>
      <c r="AS952" s="134"/>
      <c r="AT952" s="134"/>
      <c r="AU952" s="134"/>
      <c r="AV952" s="134"/>
      <c r="AW952" s="134"/>
      <c r="AX952" s="134"/>
      <c r="AY952" s="134"/>
      <c r="AZ952" s="134"/>
      <c r="BA952" s="134"/>
      <c r="BB952" s="134"/>
      <c r="BC952" s="134"/>
      <c r="BD952" s="134"/>
      <c r="BE952" s="134"/>
      <c r="BF952" s="134"/>
      <c r="BG952" s="134"/>
      <c r="BH952" s="134"/>
      <c r="BI952" s="134"/>
      <c r="BJ952" s="134"/>
      <c r="BK952" s="134"/>
      <c r="BL952" s="134"/>
      <c r="BM952" s="135"/>
      <c r="BN952" s="136" t="n">
        <f aca="false">+MAX($D$3,DATOS_[[#This Row],[Fecha Inicio Sit. Contract.]])</f>
        <v>0</v>
      </c>
      <c r="BO952" s="136" t="n">
        <f aca="false">+MIN($D$4,DATOS_[[#This Row],[Fecha Fin Sit. Contract.]])</f>
        <v>0</v>
      </c>
      <c r="BP952" s="137" t="n">
        <f aca="false">+DATOS_[[#This Row],[% de jornada]]*IF(DATOS_[[#This Row],[% jornada reducida]]="",1,DATOS_[[#This Row],[% jornada reducida]])</f>
        <v>0</v>
      </c>
      <c r="BQ952" s="137" t="n">
        <f aca="false">+(DATOS_[[#This Row],[F.fin.cal]]-DATOS_[[#This Row],[F.ini.cal]]+1)/($D$4-$D$3+1)</f>
        <v>1</v>
      </c>
      <c r="BR952" s="137" t="str">
        <f aca="false">IF(OR(AND(DATOS_[[#This Row],[Fecha Fin Contrato]]&lt;$D$3,DATOS_[[#This Row],[Fecha Fin Contrato]]&lt;&gt;""),DATOS_[[#This Row],[Fecha de Contratación]]&gt;$D$4),"Fuera","Dentro")</f>
        <v>Dentro</v>
      </c>
      <c r="BS952" s="137" t="str">
        <f aca="false" t="array" ref="BS952:BS952">IF(MAX(IF(DATOS_[id]=DATOS_[[#This Row],[id]],DATOS_[F.fin.cal]))=DATOS_[[#This Row],[F.fin.cal]],"Sí","NO")</f>
        <v>Sí</v>
      </c>
      <c r="BT952" s="137" t="str">
        <f aca="false">IF(AND(DATOS_[[#This Row],[% normaliz]]&lt;&gt;1,DATOS_[[#This Row],[% anualiz]]=1),"Sí","NO")</f>
        <v>Sí</v>
      </c>
      <c r="BU952" s="137" t="str">
        <f aca="false">IF(AND(DATOS_[[#This Row],[% normaliz]]=1,DATOS_[[#This Row],[% anualiz]]&lt;&gt;1),"Sí","NO")</f>
        <v>NO</v>
      </c>
      <c r="BV952" s="137" t="str">
        <f aca="false">IF(AND(DATOS_[[#This Row],[% normaliz]]&lt;&gt;1,DATOS_[[#This Row],[% anualiz]]&lt;&gt;1),"Sí","NO")</f>
        <v>NO</v>
      </c>
      <c r="BW952" s="137" t="str">
        <f aca="false">+IF(DATOS_[[#This Row],[% normaliz]]*DATOS_[[#This Row],[% anualiz]]=1,"NO","Sí")</f>
        <v>Sí</v>
      </c>
      <c r="BX952" s="138" t="e">
        <f aca="false">(DATOS_[[#This Row],[S.BASE]]*(1/DATOS_[[#This Row],[% normaliz]])*(1/DATOS_[[#This Row],[% anualiz]]))*IF(DATOS_[[#This Row],[Check Equiparado]]="Sí",1,0)</f>
        <v>#DIV/0!</v>
      </c>
      <c r="BY95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2" s="138" t="e">
        <f aca="false">+DATOS_[[#This Row],[SALARIO BASE Eq]]+DATOS_[[#This Row],[Tot COMPL.SAL Eq]]</f>
        <v>#DIV/0!</v>
      </c>
      <c r="CA952" s="138" t="e">
        <f aca="false" t="array" ref="CA952:CA9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2" s="138" t="e">
        <f aca="false">+DATOS_[[#This Row],[TOTAL SALARIO Eq]]+DATOS_[[#This Row],[Tot Extrasalarial Eq]]</f>
        <v>#DIV/0!</v>
      </c>
      <c r="CC952" s="139" t="n">
        <f aca="false">DATOS_[[#This Row],[S.BASE]]</f>
        <v>0</v>
      </c>
      <c r="CD952" s="139" t="n">
        <f aca="false">+SUM(DATOS_[[#This Row],[Conc.Sal.01]:[Conc.Sal.30]])</f>
        <v>0</v>
      </c>
      <c r="CE952" s="139" t="n">
        <f aca="false">+DATOS_[[#This Row],[SALARIO BASE Ef]]+DATOS_[[#This Row],[Tot COMPL.SAL Ef]]</f>
        <v>0</v>
      </c>
      <c r="CF952" s="139" t="n">
        <f aca="false">+SUM(DATOS_[[#This Row],[C.Extra.01]:[C.Extra.05]])</f>
        <v>0</v>
      </c>
      <c r="CG952" s="139" t="n">
        <f aca="false">+DATOS_[[#This Row],[TOTAL SALARIO Ef]]+DATOS_[[#This Row],[Tot Extrasalarial Ef]]</f>
        <v>0</v>
      </c>
      <c r="CH952" s="140" t="n">
        <f aca="false">MIN(IF(DATOS_[[#This Row],[Fecha Fin Contrato]]="",$D$4,DATOS_[[#This Row],[Fecha Fin Contrato]]),$D$4)-MAX(DATOS_[[#This Row],[Fecha de Contratación]],$D$3)+1</f>
        <v>1</v>
      </c>
      <c r="CI952" s="141" t="str">
        <f aca="false">IF(COUNTIFS(DATOS_[id],DATOS_[[#This Row],[id]])&gt;1,DATOS_[[#This Row],[id]],"")</f>
        <v/>
      </c>
      <c r="CJ952" s="141" t="n">
        <f aca="false">(Inicio!$G$10-DATOS_[[#This Row],[Fecha Nacimiento]])/365.25</f>
        <v>0</v>
      </c>
      <c r="CK952" s="141" t="n">
        <f aca="false">(Inicio!$G$10-DATOS_[[#This Row],[Fecha de Antigüedad]])/365.25</f>
        <v>0</v>
      </c>
      <c r="CL952" s="141" t="e">
        <f aca="false">+VLOOKUP(DATOS_[[#This Row],[Clave de Contrato]],TblTiposContrato13[],3,0)</f>
        <v>#N/A</v>
      </c>
      <c r="CM952" s="141" t="e">
        <f aca="false">+VLOOKUP(DATOS_[[#This Row],[Clave de Contrato]],TblTiposContrato13[],4,0)</f>
        <v>#N/A</v>
      </c>
      <c r="CN952" s="141" t="str">
        <f aca="false">VLOOKUP(DATOS_[[#This Row],[Edad]],CONTRATOS!TblRngEdad,2,1)</f>
        <v>20  o menos</v>
      </c>
      <c r="CO952" s="141" t="str">
        <f aca="false">VLOOKUP(DATOS_[[#This Row],[Antigüedad]],TblRngAntg14[],2,1)</f>
        <v>0 a 1 años</v>
      </c>
    </row>
    <row r="953" customFormat="false" ht="13.8" hidden="false" customHeight="false" outlineLevel="0" collapsed="false">
      <c r="D953" s="128"/>
      <c r="E953" s="129"/>
      <c r="F953" s="129"/>
      <c r="G953" s="129"/>
      <c r="H953" s="130"/>
      <c r="I953" s="131"/>
      <c r="J953" s="128"/>
      <c r="K953" s="132"/>
      <c r="L953" s="132"/>
      <c r="M953" s="133"/>
      <c r="N953" s="133"/>
      <c r="O953" s="133"/>
      <c r="P953" s="129"/>
      <c r="Z953" s="75"/>
      <c r="AA953" s="76"/>
      <c r="AB953" s="76"/>
      <c r="AC953" s="129"/>
      <c r="AD953" s="134"/>
      <c r="AE953" s="134"/>
      <c r="AF953" s="134"/>
      <c r="AG953" s="134"/>
      <c r="AH953" s="134"/>
      <c r="AI953" s="134"/>
      <c r="AJ953" s="134"/>
      <c r="AK953" s="134"/>
      <c r="AL953" s="134"/>
      <c r="AM953" s="134"/>
      <c r="AN953" s="134"/>
      <c r="AO953" s="134"/>
      <c r="AP953" s="134"/>
      <c r="AQ953" s="134"/>
      <c r="AR953" s="134"/>
      <c r="AS953" s="134"/>
      <c r="AT953" s="134"/>
      <c r="AU953" s="134"/>
      <c r="AV953" s="134"/>
      <c r="AW953" s="134"/>
      <c r="AX953" s="134"/>
      <c r="AY953" s="134"/>
      <c r="AZ953" s="134"/>
      <c r="BA953" s="134"/>
      <c r="BB953" s="134"/>
      <c r="BC953" s="134"/>
      <c r="BD953" s="134"/>
      <c r="BE953" s="134"/>
      <c r="BF953" s="134"/>
      <c r="BG953" s="134"/>
      <c r="BH953" s="134"/>
      <c r="BI953" s="134"/>
      <c r="BJ953" s="134"/>
      <c r="BK953" s="134"/>
      <c r="BL953" s="134"/>
      <c r="BM953" s="135"/>
      <c r="BN953" s="136" t="n">
        <f aca="false">+MAX($D$3,DATOS_[[#This Row],[Fecha Inicio Sit. Contract.]])</f>
        <v>0</v>
      </c>
      <c r="BO953" s="136" t="n">
        <f aca="false">+MIN($D$4,DATOS_[[#This Row],[Fecha Fin Sit. Contract.]])</f>
        <v>0</v>
      </c>
      <c r="BP953" s="137" t="n">
        <f aca="false">+DATOS_[[#This Row],[% de jornada]]*IF(DATOS_[[#This Row],[% jornada reducida]]="",1,DATOS_[[#This Row],[% jornada reducida]])</f>
        <v>0</v>
      </c>
      <c r="BQ953" s="137" t="n">
        <f aca="false">+(DATOS_[[#This Row],[F.fin.cal]]-DATOS_[[#This Row],[F.ini.cal]]+1)/($D$4-$D$3+1)</f>
        <v>1</v>
      </c>
      <c r="BR953" s="137" t="str">
        <f aca="false">IF(OR(AND(DATOS_[[#This Row],[Fecha Fin Contrato]]&lt;$D$3,DATOS_[[#This Row],[Fecha Fin Contrato]]&lt;&gt;""),DATOS_[[#This Row],[Fecha de Contratación]]&gt;$D$4),"Fuera","Dentro")</f>
        <v>Dentro</v>
      </c>
      <c r="BS953" s="137" t="str">
        <f aca="false" t="array" ref="BS953:BS953">IF(MAX(IF(DATOS_[id]=DATOS_[[#This Row],[id]],DATOS_[F.fin.cal]))=DATOS_[[#This Row],[F.fin.cal]],"Sí","NO")</f>
        <v>Sí</v>
      </c>
      <c r="BT953" s="137" t="str">
        <f aca="false">IF(AND(DATOS_[[#This Row],[% normaliz]]&lt;&gt;1,DATOS_[[#This Row],[% anualiz]]=1),"Sí","NO")</f>
        <v>Sí</v>
      </c>
      <c r="BU953" s="137" t="str">
        <f aca="false">IF(AND(DATOS_[[#This Row],[% normaliz]]=1,DATOS_[[#This Row],[% anualiz]]&lt;&gt;1),"Sí","NO")</f>
        <v>NO</v>
      </c>
      <c r="BV953" s="137" t="str">
        <f aca="false">IF(AND(DATOS_[[#This Row],[% normaliz]]&lt;&gt;1,DATOS_[[#This Row],[% anualiz]]&lt;&gt;1),"Sí","NO")</f>
        <v>NO</v>
      </c>
      <c r="BW953" s="137" t="str">
        <f aca="false">+IF(DATOS_[[#This Row],[% normaliz]]*DATOS_[[#This Row],[% anualiz]]=1,"NO","Sí")</f>
        <v>Sí</v>
      </c>
      <c r="BX953" s="138" t="e">
        <f aca="false">(DATOS_[[#This Row],[S.BASE]]*(1/DATOS_[[#This Row],[% normaliz]])*(1/DATOS_[[#This Row],[% anualiz]]))*IF(DATOS_[[#This Row],[Check Equiparado]]="Sí",1,0)</f>
        <v>#DIV/0!</v>
      </c>
      <c r="BY95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3" s="138" t="e">
        <f aca="false">+DATOS_[[#This Row],[SALARIO BASE Eq]]+DATOS_[[#This Row],[Tot COMPL.SAL Eq]]</f>
        <v>#DIV/0!</v>
      </c>
      <c r="CA953" s="138" t="e">
        <f aca="false" t="array" ref="CA953:CA9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3" s="138" t="e">
        <f aca="false">+DATOS_[[#This Row],[TOTAL SALARIO Eq]]+DATOS_[[#This Row],[Tot Extrasalarial Eq]]</f>
        <v>#DIV/0!</v>
      </c>
      <c r="CC953" s="139" t="n">
        <f aca="false">DATOS_[[#This Row],[S.BASE]]</f>
        <v>0</v>
      </c>
      <c r="CD953" s="139" t="n">
        <f aca="false">+SUM(DATOS_[[#This Row],[Conc.Sal.01]:[Conc.Sal.30]])</f>
        <v>0</v>
      </c>
      <c r="CE953" s="139" t="n">
        <f aca="false">+DATOS_[[#This Row],[SALARIO BASE Ef]]+DATOS_[[#This Row],[Tot COMPL.SAL Ef]]</f>
        <v>0</v>
      </c>
      <c r="CF953" s="139" t="n">
        <f aca="false">+SUM(DATOS_[[#This Row],[C.Extra.01]:[C.Extra.05]])</f>
        <v>0</v>
      </c>
      <c r="CG953" s="139" t="n">
        <f aca="false">+DATOS_[[#This Row],[TOTAL SALARIO Ef]]+DATOS_[[#This Row],[Tot Extrasalarial Ef]]</f>
        <v>0</v>
      </c>
      <c r="CH953" s="140" t="n">
        <f aca="false">MIN(IF(DATOS_[[#This Row],[Fecha Fin Contrato]]="",$D$4,DATOS_[[#This Row],[Fecha Fin Contrato]]),$D$4)-MAX(DATOS_[[#This Row],[Fecha de Contratación]],$D$3)+1</f>
        <v>1</v>
      </c>
      <c r="CI953" s="141" t="str">
        <f aca="false">IF(COUNTIFS(DATOS_[id],DATOS_[[#This Row],[id]])&gt;1,DATOS_[[#This Row],[id]],"")</f>
        <v/>
      </c>
      <c r="CJ953" s="141" t="n">
        <f aca="false">(Inicio!$G$10-DATOS_[[#This Row],[Fecha Nacimiento]])/365.25</f>
        <v>0</v>
      </c>
      <c r="CK953" s="141" t="n">
        <f aca="false">(Inicio!$G$10-DATOS_[[#This Row],[Fecha de Antigüedad]])/365.25</f>
        <v>0</v>
      </c>
      <c r="CL953" s="141" t="e">
        <f aca="false">+VLOOKUP(DATOS_[[#This Row],[Clave de Contrato]],TblTiposContrato13[],3,0)</f>
        <v>#N/A</v>
      </c>
      <c r="CM953" s="141" t="e">
        <f aca="false">+VLOOKUP(DATOS_[[#This Row],[Clave de Contrato]],TblTiposContrato13[],4,0)</f>
        <v>#N/A</v>
      </c>
      <c r="CN953" s="141" t="str">
        <f aca="false">VLOOKUP(DATOS_[[#This Row],[Edad]],CONTRATOS!TblRngEdad,2,1)</f>
        <v>20  o menos</v>
      </c>
      <c r="CO953" s="141" t="str">
        <f aca="false">VLOOKUP(DATOS_[[#This Row],[Antigüedad]],TblRngAntg14[],2,1)</f>
        <v>0 a 1 años</v>
      </c>
    </row>
    <row r="954" customFormat="false" ht="13.8" hidden="false" customHeight="false" outlineLevel="0" collapsed="false">
      <c r="D954" s="128"/>
      <c r="E954" s="129"/>
      <c r="F954" s="129"/>
      <c r="G954" s="129"/>
      <c r="H954" s="130"/>
      <c r="I954" s="131"/>
      <c r="J954" s="128"/>
      <c r="K954" s="132"/>
      <c r="L954" s="132"/>
      <c r="M954" s="133"/>
      <c r="N954" s="133"/>
      <c r="O954" s="133"/>
      <c r="P954" s="129"/>
      <c r="Z954" s="75"/>
      <c r="AA954" s="76"/>
      <c r="AB954" s="76"/>
      <c r="AC954" s="129"/>
      <c r="AD954" s="134"/>
      <c r="AE954" s="134"/>
      <c r="AF954" s="134"/>
      <c r="AG954" s="134"/>
      <c r="AH954" s="134"/>
      <c r="AI954" s="134"/>
      <c r="AJ954" s="134"/>
      <c r="AK954" s="134"/>
      <c r="AL954" s="134"/>
      <c r="AM954" s="134"/>
      <c r="AN954" s="134"/>
      <c r="AO954" s="134"/>
      <c r="AP954" s="134"/>
      <c r="AQ954" s="134"/>
      <c r="AR954" s="134"/>
      <c r="AS954" s="134"/>
      <c r="AT954" s="134"/>
      <c r="AU954" s="134"/>
      <c r="AV954" s="134"/>
      <c r="AW954" s="134"/>
      <c r="AX954" s="134"/>
      <c r="AY954" s="134"/>
      <c r="AZ954" s="134"/>
      <c r="BA954" s="134"/>
      <c r="BB954" s="134"/>
      <c r="BC954" s="134"/>
      <c r="BD954" s="134"/>
      <c r="BE954" s="134"/>
      <c r="BF954" s="134"/>
      <c r="BG954" s="134"/>
      <c r="BH954" s="134"/>
      <c r="BI954" s="134"/>
      <c r="BJ954" s="134"/>
      <c r="BK954" s="134"/>
      <c r="BL954" s="134"/>
      <c r="BM954" s="135"/>
      <c r="BN954" s="136" t="n">
        <f aca="false">+MAX($D$3,DATOS_[[#This Row],[Fecha Inicio Sit. Contract.]])</f>
        <v>0</v>
      </c>
      <c r="BO954" s="136" t="n">
        <f aca="false">+MIN($D$4,DATOS_[[#This Row],[Fecha Fin Sit. Contract.]])</f>
        <v>0</v>
      </c>
      <c r="BP954" s="137" t="n">
        <f aca="false">+DATOS_[[#This Row],[% de jornada]]*IF(DATOS_[[#This Row],[% jornada reducida]]="",1,DATOS_[[#This Row],[% jornada reducida]])</f>
        <v>0</v>
      </c>
      <c r="BQ954" s="137" t="n">
        <f aca="false">+(DATOS_[[#This Row],[F.fin.cal]]-DATOS_[[#This Row],[F.ini.cal]]+1)/($D$4-$D$3+1)</f>
        <v>1</v>
      </c>
      <c r="BR954" s="137" t="str">
        <f aca="false">IF(OR(AND(DATOS_[[#This Row],[Fecha Fin Contrato]]&lt;$D$3,DATOS_[[#This Row],[Fecha Fin Contrato]]&lt;&gt;""),DATOS_[[#This Row],[Fecha de Contratación]]&gt;$D$4),"Fuera","Dentro")</f>
        <v>Dentro</v>
      </c>
      <c r="BS954" s="137" t="str">
        <f aca="false" t="array" ref="BS954:BS954">IF(MAX(IF(DATOS_[id]=DATOS_[[#This Row],[id]],DATOS_[F.fin.cal]))=DATOS_[[#This Row],[F.fin.cal]],"Sí","NO")</f>
        <v>Sí</v>
      </c>
      <c r="BT954" s="137" t="str">
        <f aca="false">IF(AND(DATOS_[[#This Row],[% normaliz]]&lt;&gt;1,DATOS_[[#This Row],[% anualiz]]=1),"Sí","NO")</f>
        <v>Sí</v>
      </c>
      <c r="BU954" s="137" t="str">
        <f aca="false">IF(AND(DATOS_[[#This Row],[% normaliz]]=1,DATOS_[[#This Row],[% anualiz]]&lt;&gt;1),"Sí","NO")</f>
        <v>NO</v>
      </c>
      <c r="BV954" s="137" t="str">
        <f aca="false">IF(AND(DATOS_[[#This Row],[% normaliz]]&lt;&gt;1,DATOS_[[#This Row],[% anualiz]]&lt;&gt;1),"Sí","NO")</f>
        <v>NO</v>
      </c>
      <c r="BW954" s="137" t="str">
        <f aca="false">+IF(DATOS_[[#This Row],[% normaliz]]*DATOS_[[#This Row],[% anualiz]]=1,"NO","Sí")</f>
        <v>Sí</v>
      </c>
      <c r="BX954" s="138" t="e">
        <f aca="false">(DATOS_[[#This Row],[S.BASE]]*(1/DATOS_[[#This Row],[% normaliz]])*(1/DATOS_[[#This Row],[% anualiz]]))*IF(DATOS_[[#This Row],[Check Equiparado]]="Sí",1,0)</f>
        <v>#DIV/0!</v>
      </c>
      <c r="BY95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4" s="138" t="e">
        <f aca="false">+DATOS_[[#This Row],[SALARIO BASE Eq]]+DATOS_[[#This Row],[Tot COMPL.SAL Eq]]</f>
        <v>#DIV/0!</v>
      </c>
      <c r="CA954" s="138" t="e">
        <f aca="false" t="array" ref="CA954:CA9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4" s="138" t="e">
        <f aca="false">+DATOS_[[#This Row],[TOTAL SALARIO Eq]]+DATOS_[[#This Row],[Tot Extrasalarial Eq]]</f>
        <v>#DIV/0!</v>
      </c>
      <c r="CC954" s="139" t="n">
        <f aca="false">DATOS_[[#This Row],[S.BASE]]</f>
        <v>0</v>
      </c>
      <c r="CD954" s="139" t="n">
        <f aca="false">+SUM(DATOS_[[#This Row],[Conc.Sal.01]:[Conc.Sal.30]])</f>
        <v>0</v>
      </c>
      <c r="CE954" s="139" t="n">
        <f aca="false">+DATOS_[[#This Row],[SALARIO BASE Ef]]+DATOS_[[#This Row],[Tot COMPL.SAL Ef]]</f>
        <v>0</v>
      </c>
      <c r="CF954" s="139" t="n">
        <f aca="false">+SUM(DATOS_[[#This Row],[C.Extra.01]:[C.Extra.05]])</f>
        <v>0</v>
      </c>
      <c r="CG954" s="139" t="n">
        <f aca="false">+DATOS_[[#This Row],[TOTAL SALARIO Ef]]+DATOS_[[#This Row],[Tot Extrasalarial Ef]]</f>
        <v>0</v>
      </c>
      <c r="CH954" s="140" t="n">
        <f aca="false">MIN(IF(DATOS_[[#This Row],[Fecha Fin Contrato]]="",$D$4,DATOS_[[#This Row],[Fecha Fin Contrato]]),$D$4)-MAX(DATOS_[[#This Row],[Fecha de Contratación]],$D$3)+1</f>
        <v>1</v>
      </c>
      <c r="CI954" s="141" t="str">
        <f aca="false">IF(COUNTIFS(DATOS_[id],DATOS_[[#This Row],[id]])&gt;1,DATOS_[[#This Row],[id]],"")</f>
        <v/>
      </c>
      <c r="CJ954" s="141" t="n">
        <f aca="false">(Inicio!$G$10-DATOS_[[#This Row],[Fecha Nacimiento]])/365.25</f>
        <v>0</v>
      </c>
      <c r="CK954" s="141" t="n">
        <f aca="false">(Inicio!$G$10-DATOS_[[#This Row],[Fecha de Antigüedad]])/365.25</f>
        <v>0</v>
      </c>
      <c r="CL954" s="141" t="e">
        <f aca="false">+VLOOKUP(DATOS_[[#This Row],[Clave de Contrato]],TblTiposContrato13[],3,0)</f>
        <v>#N/A</v>
      </c>
      <c r="CM954" s="141" t="e">
        <f aca="false">+VLOOKUP(DATOS_[[#This Row],[Clave de Contrato]],TblTiposContrato13[],4,0)</f>
        <v>#N/A</v>
      </c>
      <c r="CN954" s="141" t="str">
        <f aca="false">VLOOKUP(DATOS_[[#This Row],[Edad]],CONTRATOS!TblRngEdad,2,1)</f>
        <v>20  o menos</v>
      </c>
      <c r="CO954" s="141" t="str">
        <f aca="false">VLOOKUP(DATOS_[[#This Row],[Antigüedad]],TblRngAntg14[],2,1)</f>
        <v>0 a 1 años</v>
      </c>
    </row>
    <row r="955" customFormat="false" ht="13.8" hidden="false" customHeight="false" outlineLevel="0" collapsed="false">
      <c r="D955" s="128"/>
      <c r="E955" s="129"/>
      <c r="F955" s="129"/>
      <c r="G955" s="129"/>
      <c r="H955" s="130"/>
      <c r="I955" s="131"/>
      <c r="J955" s="128"/>
      <c r="K955" s="132"/>
      <c r="L955" s="132"/>
      <c r="M955" s="133"/>
      <c r="N955" s="133"/>
      <c r="O955" s="133"/>
      <c r="P955" s="129"/>
      <c r="Z955" s="75"/>
      <c r="AA955" s="76"/>
      <c r="AB955" s="76"/>
      <c r="AC955" s="129"/>
      <c r="AD955" s="134"/>
      <c r="AE955" s="134"/>
      <c r="AF955" s="134"/>
      <c r="AG955" s="134"/>
      <c r="AH955" s="134"/>
      <c r="AI955" s="134"/>
      <c r="AJ955" s="134"/>
      <c r="AK955" s="134"/>
      <c r="AL955" s="134"/>
      <c r="AM955" s="134"/>
      <c r="AN955" s="134"/>
      <c r="AO955" s="134"/>
      <c r="AP955" s="134"/>
      <c r="AQ955" s="134"/>
      <c r="AR955" s="134"/>
      <c r="AS955" s="134"/>
      <c r="AT955" s="134"/>
      <c r="AU955" s="134"/>
      <c r="AV955" s="134"/>
      <c r="AW955" s="134"/>
      <c r="AX955" s="134"/>
      <c r="AY955" s="134"/>
      <c r="AZ955" s="134"/>
      <c r="BA955" s="134"/>
      <c r="BB955" s="134"/>
      <c r="BC955" s="134"/>
      <c r="BD955" s="134"/>
      <c r="BE955" s="134"/>
      <c r="BF955" s="134"/>
      <c r="BG955" s="134"/>
      <c r="BH955" s="134"/>
      <c r="BI955" s="134"/>
      <c r="BJ955" s="134"/>
      <c r="BK955" s="134"/>
      <c r="BL955" s="134"/>
      <c r="BM955" s="135"/>
      <c r="BN955" s="136" t="n">
        <f aca="false">+MAX($D$3,DATOS_[[#This Row],[Fecha Inicio Sit. Contract.]])</f>
        <v>0</v>
      </c>
      <c r="BO955" s="136" t="n">
        <f aca="false">+MIN($D$4,DATOS_[[#This Row],[Fecha Fin Sit. Contract.]])</f>
        <v>0</v>
      </c>
      <c r="BP955" s="137" t="n">
        <f aca="false">+DATOS_[[#This Row],[% de jornada]]*IF(DATOS_[[#This Row],[% jornada reducida]]="",1,DATOS_[[#This Row],[% jornada reducida]])</f>
        <v>0</v>
      </c>
      <c r="BQ955" s="137" t="n">
        <f aca="false">+(DATOS_[[#This Row],[F.fin.cal]]-DATOS_[[#This Row],[F.ini.cal]]+1)/($D$4-$D$3+1)</f>
        <v>1</v>
      </c>
      <c r="BR955" s="137" t="str">
        <f aca="false">IF(OR(AND(DATOS_[[#This Row],[Fecha Fin Contrato]]&lt;$D$3,DATOS_[[#This Row],[Fecha Fin Contrato]]&lt;&gt;""),DATOS_[[#This Row],[Fecha de Contratación]]&gt;$D$4),"Fuera","Dentro")</f>
        <v>Dentro</v>
      </c>
      <c r="BS955" s="137" t="str">
        <f aca="false" t="array" ref="BS955:BS955">IF(MAX(IF(DATOS_[id]=DATOS_[[#This Row],[id]],DATOS_[F.fin.cal]))=DATOS_[[#This Row],[F.fin.cal]],"Sí","NO")</f>
        <v>Sí</v>
      </c>
      <c r="BT955" s="137" t="str">
        <f aca="false">IF(AND(DATOS_[[#This Row],[% normaliz]]&lt;&gt;1,DATOS_[[#This Row],[% anualiz]]=1),"Sí","NO")</f>
        <v>Sí</v>
      </c>
      <c r="BU955" s="137" t="str">
        <f aca="false">IF(AND(DATOS_[[#This Row],[% normaliz]]=1,DATOS_[[#This Row],[% anualiz]]&lt;&gt;1),"Sí","NO")</f>
        <v>NO</v>
      </c>
      <c r="BV955" s="137" t="str">
        <f aca="false">IF(AND(DATOS_[[#This Row],[% normaliz]]&lt;&gt;1,DATOS_[[#This Row],[% anualiz]]&lt;&gt;1),"Sí","NO")</f>
        <v>NO</v>
      </c>
      <c r="BW955" s="137" t="str">
        <f aca="false">+IF(DATOS_[[#This Row],[% normaliz]]*DATOS_[[#This Row],[% anualiz]]=1,"NO","Sí")</f>
        <v>Sí</v>
      </c>
      <c r="BX955" s="138" t="e">
        <f aca="false">(DATOS_[[#This Row],[S.BASE]]*(1/DATOS_[[#This Row],[% normaliz]])*(1/DATOS_[[#This Row],[% anualiz]]))*IF(DATOS_[[#This Row],[Check Equiparado]]="Sí",1,0)</f>
        <v>#DIV/0!</v>
      </c>
      <c r="BY95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5" s="138" t="e">
        <f aca="false">+DATOS_[[#This Row],[SALARIO BASE Eq]]+DATOS_[[#This Row],[Tot COMPL.SAL Eq]]</f>
        <v>#DIV/0!</v>
      </c>
      <c r="CA955" s="138" t="e">
        <f aca="false" t="array" ref="CA955:CA9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5" s="138" t="e">
        <f aca="false">+DATOS_[[#This Row],[TOTAL SALARIO Eq]]+DATOS_[[#This Row],[Tot Extrasalarial Eq]]</f>
        <v>#DIV/0!</v>
      </c>
      <c r="CC955" s="139" t="n">
        <f aca="false">DATOS_[[#This Row],[S.BASE]]</f>
        <v>0</v>
      </c>
      <c r="CD955" s="139" t="n">
        <f aca="false">+SUM(DATOS_[[#This Row],[Conc.Sal.01]:[Conc.Sal.30]])</f>
        <v>0</v>
      </c>
      <c r="CE955" s="139" t="n">
        <f aca="false">+DATOS_[[#This Row],[SALARIO BASE Ef]]+DATOS_[[#This Row],[Tot COMPL.SAL Ef]]</f>
        <v>0</v>
      </c>
      <c r="CF955" s="139" t="n">
        <f aca="false">+SUM(DATOS_[[#This Row],[C.Extra.01]:[C.Extra.05]])</f>
        <v>0</v>
      </c>
      <c r="CG955" s="139" t="n">
        <f aca="false">+DATOS_[[#This Row],[TOTAL SALARIO Ef]]+DATOS_[[#This Row],[Tot Extrasalarial Ef]]</f>
        <v>0</v>
      </c>
      <c r="CH955" s="140" t="n">
        <f aca="false">MIN(IF(DATOS_[[#This Row],[Fecha Fin Contrato]]="",$D$4,DATOS_[[#This Row],[Fecha Fin Contrato]]),$D$4)-MAX(DATOS_[[#This Row],[Fecha de Contratación]],$D$3)+1</f>
        <v>1</v>
      </c>
      <c r="CI955" s="141" t="str">
        <f aca="false">IF(COUNTIFS(DATOS_[id],DATOS_[[#This Row],[id]])&gt;1,DATOS_[[#This Row],[id]],"")</f>
        <v/>
      </c>
      <c r="CJ955" s="141" t="n">
        <f aca="false">(Inicio!$G$10-DATOS_[[#This Row],[Fecha Nacimiento]])/365.25</f>
        <v>0</v>
      </c>
      <c r="CK955" s="141" t="n">
        <f aca="false">(Inicio!$G$10-DATOS_[[#This Row],[Fecha de Antigüedad]])/365.25</f>
        <v>0</v>
      </c>
      <c r="CL955" s="141" t="e">
        <f aca="false">+VLOOKUP(DATOS_[[#This Row],[Clave de Contrato]],TblTiposContrato13[],3,0)</f>
        <v>#N/A</v>
      </c>
      <c r="CM955" s="141" t="e">
        <f aca="false">+VLOOKUP(DATOS_[[#This Row],[Clave de Contrato]],TblTiposContrato13[],4,0)</f>
        <v>#N/A</v>
      </c>
      <c r="CN955" s="141" t="str">
        <f aca="false">VLOOKUP(DATOS_[[#This Row],[Edad]],CONTRATOS!TblRngEdad,2,1)</f>
        <v>20  o menos</v>
      </c>
      <c r="CO955" s="141" t="str">
        <f aca="false">VLOOKUP(DATOS_[[#This Row],[Antigüedad]],TblRngAntg14[],2,1)</f>
        <v>0 a 1 años</v>
      </c>
    </row>
    <row r="956" customFormat="false" ht="13.8" hidden="false" customHeight="false" outlineLevel="0" collapsed="false">
      <c r="D956" s="128"/>
      <c r="E956" s="129"/>
      <c r="F956" s="129"/>
      <c r="G956" s="129"/>
      <c r="H956" s="130"/>
      <c r="I956" s="131"/>
      <c r="J956" s="128"/>
      <c r="K956" s="132"/>
      <c r="L956" s="132"/>
      <c r="M956" s="133"/>
      <c r="N956" s="133"/>
      <c r="O956" s="133"/>
      <c r="P956" s="129"/>
      <c r="Z956" s="75"/>
      <c r="AA956" s="76"/>
      <c r="AB956" s="76"/>
      <c r="AC956" s="129"/>
      <c r="AD956" s="134"/>
      <c r="AE956" s="134"/>
      <c r="AF956" s="134"/>
      <c r="AG956" s="134"/>
      <c r="AH956" s="134"/>
      <c r="AI956" s="134"/>
      <c r="AJ956" s="134"/>
      <c r="AK956" s="134"/>
      <c r="AL956" s="134"/>
      <c r="AM956" s="134"/>
      <c r="AN956" s="134"/>
      <c r="AO956" s="134"/>
      <c r="AP956" s="134"/>
      <c r="AQ956" s="134"/>
      <c r="AR956" s="134"/>
      <c r="AS956" s="134"/>
      <c r="AT956" s="134"/>
      <c r="AU956" s="134"/>
      <c r="AV956" s="134"/>
      <c r="AW956" s="134"/>
      <c r="AX956" s="134"/>
      <c r="AY956" s="134"/>
      <c r="AZ956" s="134"/>
      <c r="BA956" s="134"/>
      <c r="BB956" s="134"/>
      <c r="BC956" s="134"/>
      <c r="BD956" s="134"/>
      <c r="BE956" s="134"/>
      <c r="BF956" s="134"/>
      <c r="BG956" s="134"/>
      <c r="BH956" s="134"/>
      <c r="BI956" s="134"/>
      <c r="BJ956" s="134"/>
      <c r="BK956" s="134"/>
      <c r="BL956" s="134"/>
      <c r="BM956" s="135"/>
      <c r="BN956" s="136" t="n">
        <f aca="false">+MAX($D$3,DATOS_[[#This Row],[Fecha Inicio Sit. Contract.]])</f>
        <v>0</v>
      </c>
      <c r="BO956" s="136" t="n">
        <f aca="false">+MIN($D$4,DATOS_[[#This Row],[Fecha Fin Sit. Contract.]])</f>
        <v>0</v>
      </c>
      <c r="BP956" s="137" t="n">
        <f aca="false">+DATOS_[[#This Row],[% de jornada]]*IF(DATOS_[[#This Row],[% jornada reducida]]="",1,DATOS_[[#This Row],[% jornada reducida]])</f>
        <v>0</v>
      </c>
      <c r="BQ956" s="137" t="n">
        <f aca="false">+(DATOS_[[#This Row],[F.fin.cal]]-DATOS_[[#This Row],[F.ini.cal]]+1)/($D$4-$D$3+1)</f>
        <v>1</v>
      </c>
      <c r="BR956" s="137" t="str">
        <f aca="false">IF(OR(AND(DATOS_[[#This Row],[Fecha Fin Contrato]]&lt;$D$3,DATOS_[[#This Row],[Fecha Fin Contrato]]&lt;&gt;""),DATOS_[[#This Row],[Fecha de Contratación]]&gt;$D$4),"Fuera","Dentro")</f>
        <v>Dentro</v>
      </c>
      <c r="BS956" s="137" t="str">
        <f aca="false" t="array" ref="BS956:BS956">IF(MAX(IF(DATOS_[id]=DATOS_[[#This Row],[id]],DATOS_[F.fin.cal]))=DATOS_[[#This Row],[F.fin.cal]],"Sí","NO")</f>
        <v>Sí</v>
      </c>
      <c r="BT956" s="137" t="str">
        <f aca="false">IF(AND(DATOS_[[#This Row],[% normaliz]]&lt;&gt;1,DATOS_[[#This Row],[% anualiz]]=1),"Sí","NO")</f>
        <v>Sí</v>
      </c>
      <c r="BU956" s="137" t="str">
        <f aca="false">IF(AND(DATOS_[[#This Row],[% normaliz]]=1,DATOS_[[#This Row],[% anualiz]]&lt;&gt;1),"Sí","NO")</f>
        <v>NO</v>
      </c>
      <c r="BV956" s="137" t="str">
        <f aca="false">IF(AND(DATOS_[[#This Row],[% normaliz]]&lt;&gt;1,DATOS_[[#This Row],[% anualiz]]&lt;&gt;1),"Sí","NO")</f>
        <v>NO</v>
      </c>
      <c r="BW956" s="137" t="str">
        <f aca="false">+IF(DATOS_[[#This Row],[% normaliz]]*DATOS_[[#This Row],[% anualiz]]=1,"NO","Sí")</f>
        <v>Sí</v>
      </c>
      <c r="BX956" s="138" t="e">
        <f aca="false">(DATOS_[[#This Row],[S.BASE]]*(1/DATOS_[[#This Row],[% normaliz]])*(1/DATOS_[[#This Row],[% anualiz]]))*IF(DATOS_[[#This Row],[Check Equiparado]]="Sí",1,0)</f>
        <v>#DIV/0!</v>
      </c>
      <c r="BY95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6" s="138" t="e">
        <f aca="false">+DATOS_[[#This Row],[SALARIO BASE Eq]]+DATOS_[[#This Row],[Tot COMPL.SAL Eq]]</f>
        <v>#DIV/0!</v>
      </c>
      <c r="CA956" s="138" t="e">
        <f aca="false" t="array" ref="CA956:CA9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6" s="138" t="e">
        <f aca="false">+DATOS_[[#This Row],[TOTAL SALARIO Eq]]+DATOS_[[#This Row],[Tot Extrasalarial Eq]]</f>
        <v>#DIV/0!</v>
      </c>
      <c r="CC956" s="139" t="n">
        <f aca="false">DATOS_[[#This Row],[S.BASE]]</f>
        <v>0</v>
      </c>
      <c r="CD956" s="139" t="n">
        <f aca="false">+SUM(DATOS_[[#This Row],[Conc.Sal.01]:[Conc.Sal.30]])</f>
        <v>0</v>
      </c>
      <c r="CE956" s="139" t="n">
        <f aca="false">+DATOS_[[#This Row],[SALARIO BASE Ef]]+DATOS_[[#This Row],[Tot COMPL.SAL Ef]]</f>
        <v>0</v>
      </c>
      <c r="CF956" s="139" t="n">
        <f aca="false">+SUM(DATOS_[[#This Row],[C.Extra.01]:[C.Extra.05]])</f>
        <v>0</v>
      </c>
      <c r="CG956" s="139" t="n">
        <f aca="false">+DATOS_[[#This Row],[TOTAL SALARIO Ef]]+DATOS_[[#This Row],[Tot Extrasalarial Ef]]</f>
        <v>0</v>
      </c>
      <c r="CH956" s="140" t="n">
        <f aca="false">MIN(IF(DATOS_[[#This Row],[Fecha Fin Contrato]]="",$D$4,DATOS_[[#This Row],[Fecha Fin Contrato]]),$D$4)-MAX(DATOS_[[#This Row],[Fecha de Contratación]],$D$3)+1</f>
        <v>1</v>
      </c>
      <c r="CI956" s="141" t="str">
        <f aca="false">IF(COUNTIFS(DATOS_[id],DATOS_[[#This Row],[id]])&gt;1,DATOS_[[#This Row],[id]],"")</f>
        <v/>
      </c>
      <c r="CJ956" s="141" t="n">
        <f aca="false">(Inicio!$G$10-DATOS_[[#This Row],[Fecha Nacimiento]])/365.25</f>
        <v>0</v>
      </c>
      <c r="CK956" s="141" t="n">
        <f aca="false">(Inicio!$G$10-DATOS_[[#This Row],[Fecha de Antigüedad]])/365.25</f>
        <v>0</v>
      </c>
      <c r="CL956" s="141" t="e">
        <f aca="false">+VLOOKUP(DATOS_[[#This Row],[Clave de Contrato]],TblTiposContrato13[],3,0)</f>
        <v>#N/A</v>
      </c>
      <c r="CM956" s="141" t="e">
        <f aca="false">+VLOOKUP(DATOS_[[#This Row],[Clave de Contrato]],TblTiposContrato13[],4,0)</f>
        <v>#N/A</v>
      </c>
      <c r="CN956" s="141" t="str">
        <f aca="false">VLOOKUP(DATOS_[[#This Row],[Edad]],CONTRATOS!TblRngEdad,2,1)</f>
        <v>20  o menos</v>
      </c>
      <c r="CO956" s="141" t="str">
        <f aca="false">VLOOKUP(DATOS_[[#This Row],[Antigüedad]],TblRngAntg14[],2,1)</f>
        <v>0 a 1 años</v>
      </c>
    </row>
    <row r="957" customFormat="false" ht="13.8" hidden="false" customHeight="false" outlineLevel="0" collapsed="false">
      <c r="D957" s="128"/>
      <c r="E957" s="129"/>
      <c r="F957" s="129"/>
      <c r="G957" s="129"/>
      <c r="H957" s="130"/>
      <c r="I957" s="131"/>
      <c r="J957" s="128"/>
      <c r="K957" s="132"/>
      <c r="L957" s="132"/>
      <c r="M957" s="133"/>
      <c r="N957" s="133"/>
      <c r="O957" s="133"/>
      <c r="P957" s="129"/>
      <c r="Z957" s="75"/>
      <c r="AA957" s="76"/>
      <c r="AB957" s="76"/>
      <c r="AC957" s="129"/>
      <c r="AD957" s="134"/>
      <c r="AE957" s="134"/>
      <c r="AF957" s="134"/>
      <c r="AG957" s="134"/>
      <c r="AH957" s="134"/>
      <c r="AI957" s="134"/>
      <c r="AJ957" s="134"/>
      <c r="AK957" s="134"/>
      <c r="AL957" s="134"/>
      <c r="AM957" s="134"/>
      <c r="AN957" s="134"/>
      <c r="AO957" s="134"/>
      <c r="AP957" s="134"/>
      <c r="AQ957" s="134"/>
      <c r="AR957" s="134"/>
      <c r="AS957" s="134"/>
      <c r="AT957" s="134"/>
      <c r="AU957" s="134"/>
      <c r="AV957" s="134"/>
      <c r="AW957" s="134"/>
      <c r="AX957" s="134"/>
      <c r="AY957" s="134"/>
      <c r="AZ957" s="134"/>
      <c r="BA957" s="134"/>
      <c r="BB957" s="134"/>
      <c r="BC957" s="134"/>
      <c r="BD957" s="134"/>
      <c r="BE957" s="134"/>
      <c r="BF957" s="134"/>
      <c r="BG957" s="134"/>
      <c r="BH957" s="134"/>
      <c r="BI957" s="134"/>
      <c r="BJ957" s="134"/>
      <c r="BK957" s="134"/>
      <c r="BL957" s="134"/>
      <c r="BM957" s="135"/>
      <c r="BN957" s="136" t="n">
        <f aca="false">+MAX($D$3,DATOS_[[#This Row],[Fecha Inicio Sit. Contract.]])</f>
        <v>0</v>
      </c>
      <c r="BO957" s="136" t="n">
        <f aca="false">+MIN($D$4,DATOS_[[#This Row],[Fecha Fin Sit. Contract.]])</f>
        <v>0</v>
      </c>
      <c r="BP957" s="137" t="n">
        <f aca="false">+DATOS_[[#This Row],[% de jornada]]*IF(DATOS_[[#This Row],[% jornada reducida]]="",1,DATOS_[[#This Row],[% jornada reducida]])</f>
        <v>0</v>
      </c>
      <c r="BQ957" s="137" t="n">
        <f aca="false">+(DATOS_[[#This Row],[F.fin.cal]]-DATOS_[[#This Row],[F.ini.cal]]+1)/($D$4-$D$3+1)</f>
        <v>1</v>
      </c>
      <c r="BR957" s="137" t="str">
        <f aca="false">IF(OR(AND(DATOS_[[#This Row],[Fecha Fin Contrato]]&lt;$D$3,DATOS_[[#This Row],[Fecha Fin Contrato]]&lt;&gt;""),DATOS_[[#This Row],[Fecha de Contratación]]&gt;$D$4),"Fuera","Dentro")</f>
        <v>Dentro</v>
      </c>
      <c r="BS957" s="137" t="str">
        <f aca="false" t="array" ref="BS957:BS957">IF(MAX(IF(DATOS_[id]=DATOS_[[#This Row],[id]],DATOS_[F.fin.cal]))=DATOS_[[#This Row],[F.fin.cal]],"Sí","NO")</f>
        <v>Sí</v>
      </c>
      <c r="BT957" s="137" t="str">
        <f aca="false">IF(AND(DATOS_[[#This Row],[% normaliz]]&lt;&gt;1,DATOS_[[#This Row],[% anualiz]]=1),"Sí","NO")</f>
        <v>Sí</v>
      </c>
      <c r="BU957" s="137" t="str">
        <f aca="false">IF(AND(DATOS_[[#This Row],[% normaliz]]=1,DATOS_[[#This Row],[% anualiz]]&lt;&gt;1),"Sí","NO")</f>
        <v>NO</v>
      </c>
      <c r="BV957" s="137" t="str">
        <f aca="false">IF(AND(DATOS_[[#This Row],[% normaliz]]&lt;&gt;1,DATOS_[[#This Row],[% anualiz]]&lt;&gt;1),"Sí","NO")</f>
        <v>NO</v>
      </c>
      <c r="BW957" s="137" t="str">
        <f aca="false">+IF(DATOS_[[#This Row],[% normaliz]]*DATOS_[[#This Row],[% anualiz]]=1,"NO","Sí")</f>
        <v>Sí</v>
      </c>
      <c r="BX957" s="138" t="e">
        <f aca="false">(DATOS_[[#This Row],[S.BASE]]*(1/DATOS_[[#This Row],[% normaliz]])*(1/DATOS_[[#This Row],[% anualiz]]))*IF(DATOS_[[#This Row],[Check Equiparado]]="Sí",1,0)</f>
        <v>#DIV/0!</v>
      </c>
      <c r="BY95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7" s="138" t="e">
        <f aca="false">+DATOS_[[#This Row],[SALARIO BASE Eq]]+DATOS_[[#This Row],[Tot COMPL.SAL Eq]]</f>
        <v>#DIV/0!</v>
      </c>
      <c r="CA957" s="138" t="e">
        <f aca="false" t="array" ref="CA957:CA9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7" s="138" t="e">
        <f aca="false">+DATOS_[[#This Row],[TOTAL SALARIO Eq]]+DATOS_[[#This Row],[Tot Extrasalarial Eq]]</f>
        <v>#DIV/0!</v>
      </c>
      <c r="CC957" s="139" t="n">
        <f aca="false">DATOS_[[#This Row],[S.BASE]]</f>
        <v>0</v>
      </c>
      <c r="CD957" s="139" t="n">
        <f aca="false">+SUM(DATOS_[[#This Row],[Conc.Sal.01]:[Conc.Sal.30]])</f>
        <v>0</v>
      </c>
      <c r="CE957" s="139" t="n">
        <f aca="false">+DATOS_[[#This Row],[SALARIO BASE Ef]]+DATOS_[[#This Row],[Tot COMPL.SAL Ef]]</f>
        <v>0</v>
      </c>
      <c r="CF957" s="139" t="n">
        <f aca="false">+SUM(DATOS_[[#This Row],[C.Extra.01]:[C.Extra.05]])</f>
        <v>0</v>
      </c>
      <c r="CG957" s="139" t="n">
        <f aca="false">+DATOS_[[#This Row],[TOTAL SALARIO Ef]]+DATOS_[[#This Row],[Tot Extrasalarial Ef]]</f>
        <v>0</v>
      </c>
      <c r="CH957" s="140" t="n">
        <f aca="false">MIN(IF(DATOS_[[#This Row],[Fecha Fin Contrato]]="",$D$4,DATOS_[[#This Row],[Fecha Fin Contrato]]),$D$4)-MAX(DATOS_[[#This Row],[Fecha de Contratación]],$D$3)+1</f>
        <v>1</v>
      </c>
      <c r="CI957" s="141" t="str">
        <f aca="false">IF(COUNTIFS(DATOS_[id],DATOS_[[#This Row],[id]])&gt;1,DATOS_[[#This Row],[id]],"")</f>
        <v/>
      </c>
      <c r="CJ957" s="141" t="n">
        <f aca="false">(Inicio!$G$10-DATOS_[[#This Row],[Fecha Nacimiento]])/365.25</f>
        <v>0</v>
      </c>
      <c r="CK957" s="141" t="n">
        <f aca="false">(Inicio!$G$10-DATOS_[[#This Row],[Fecha de Antigüedad]])/365.25</f>
        <v>0</v>
      </c>
      <c r="CL957" s="141" t="e">
        <f aca="false">+VLOOKUP(DATOS_[[#This Row],[Clave de Contrato]],TblTiposContrato13[],3,0)</f>
        <v>#N/A</v>
      </c>
      <c r="CM957" s="141" t="e">
        <f aca="false">+VLOOKUP(DATOS_[[#This Row],[Clave de Contrato]],TblTiposContrato13[],4,0)</f>
        <v>#N/A</v>
      </c>
      <c r="CN957" s="141" t="str">
        <f aca="false">VLOOKUP(DATOS_[[#This Row],[Edad]],CONTRATOS!TblRngEdad,2,1)</f>
        <v>20  o menos</v>
      </c>
      <c r="CO957" s="141" t="str">
        <f aca="false">VLOOKUP(DATOS_[[#This Row],[Antigüedad]],TblRngAntg14[],2,1)</f>
        <v>0 a 1 años</v>
      </c>
    </row>
    <row r="958" customFormat="false" ht="13.8" hidden="false" customHeight="false" outlineLevel="0" collapsed="false">
      <c r="D958" s="128"/>
      <c r="E958" s="129"/>
      <c r="F958" s="129"/>
      <c r="G958" s="129"/>
      <c r="H958" s="130"/>
      <c r="I958" s="131"/>
      <c r="J958" s="128"/>
      <c r="K958" s="132"/>
      <c r="L958" s="132"/>
      <c r="M958" s="133"/>
      <c r="N958" s="133"/>
      <c r="O958" s="133"/>
      <c r="P958" s="129"/>
      <c r="Z958" s="75"/>
      <c r="AA958" s="76"/>
      <c r="AB958" s="76"/>
      <c r="AC958" s="129"/>
      <c r="AD958" s="134"/>
      <c r="AE958" s="134"/>
      <c r="AF958" s="134"/>
      <c r="AG958" s="134"/>
      <c r="AH958" s="134"/>
      <c r="AI958" s="134"/>
      <c r="AJ958" s="134"/>
      <c r="AK958" s="134"/>
      <c r="AL958" s="134"/>
      <c r="AM958" s="134"/>
      <c r="AN958" s="134"/>
      <c r="AO958" s="134"/>
      <c r="AP958" s="134"/>
      <c r="AQ958" s="134"/>
      <c r="AR958" s="134"/>
      <c r="AS958" s="134"/>
      <c r="AT958" s="134"/>
      <c r="AU958" s="134"/>
      <c r="AV958" s="134"/>
      <c r="AW958" s="134"/>
      <c r="AX958" s="134"/>
      <c r="AY958" s="134"/>
      <c r="AZ958" s="134"/>
      <c r="BA958" s="134"/>
      <c r="BB958" s="134"/>
      <c r="BC958" s="134"/>
      <c r="BD958" s="134"/>
      <c r="BE958" s="134"/>
      <c r="BF958" s="134"/>
      <c r="BG958" s="134"/>
      <c r="BH958" s="134"/>
      <c r="BI958" s="134"/>
      <c r="BJ958" s="134"/>
      <c r="BK958" s="134"/>
      <c r="BL958" s="134"/>
      <c r="BM958" s="135"/>
      <c r="BN958" s="136" t="n">
        <f aca="false">+MAX($D$3,DATOS_[[#This Row],[Fecha Inicio Sit. Contract.]])</f>
        <v>0</v>
      </c>
      <c r="BO958" s="136" t="n">
        <f aca="false">+MIN($D$4,DATOS_[[#This Row],[Fecha Fin Sit. Contract.]])</f>
        <v>0</v>
      </c>
      <c r="BP958" s="137" t="n">
        <f aca="false">+DATOS_[[#This Row],[% de jornada]]*IF(DATOS_[[#This Row],[% jornada reducida]]="",1,DATOS_[[#This Row],[% jornada reducida]])</f>
        <v>0</v>
      </c>
      <c r="BQ958" s="137" t="n">
        <f aca="false">+(DATOS_[[#This Row],[F.fin.cal]]-DATOS_[[#This Row],[F.ini.cal]]+1)/($D$4-$D$3+1)</f>
        <v>1</v>
      </c>
      <c r="BR958" s="137" t="str">
        <f aca="false">IF(OR(AND(DATOS_[[#This Row],[Fecha Fin Contrato]]&lt;$D$3,DATOS_[[#This Row],[Fecha Fin Contrato]]&lt;&gt;""),DATOS_[[#This Row],[Fecha de Contratación]]&gt;$D$4),"Fuera","Dentro")</f>
        <v>Dentro</v>
      </c>
      <c r="BS958" s="137" t="str">
        <f aca="false" t="array" ref="BS958:BS958">IF(MAX(IF(DATOS_[id]=DATOS_[[#This Row],[id]],DATOS_[F.fin.cal]))=DATOS_[[#This Row],[F.fin.cal]],"Sí","NO")</f>
        <v>Sí</v>
      </c>
      <c r="BT958" s="137" t="str">
        <f aca="false">IF(AND(DATOS_[[#This Row],[% normaliz]]&lt;&gt;1,DATOS_[[#This Row],[% anualiz]]=1),"Sí","NO")</f>
        <v>Sí</v>
      </c>
      <c r="BU958" s="137" t="str">
        <f aca="false">IF(AND(DATOS_[[#This Row],[% normaliz]]=1,DATOS_[[#This Row],[% anualiz]]&lt;&gt;1),"Sí","NO")</f>
        <v>NO</v>
      </c>
      <c r="BV958" s="137" t="str">
        <f aca="false">IF(AND(DATOS_[[#This Row],[% normaliz]]&lt;&gt;1,DATOS_[[#This Row],[% anualiz]]&lt;&gt;1),"Sí","NO")</f>
        <v>NO</v>
      </c>
      <c r="BW958" s="137" t="str">
        <f aca="false">+IF(DATOS_[[#This Row],[% normaliz]]*DATOS_[[#This Row],[% anualiz]]=1,"NO","Sí")</f>
        <v>Sí</v>
      </c>
      <c r="BX958" s="138" t="e">
        <f aca="false">(DATOS_[[#This Row],[S.BASE]]*(1/DATOS_[[#This Row],[% normaliz]])*(1/DATOS_[[#This Row],[% anualiz]]))*IF(DATOS_[[#This Row],[Check Equiparado]]="Sí",1,0)</f>
        <v>#DIV/0!</v>
      </c>
      <c r="BY95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8" s="138" t="e">
        <f aca="false">+DATOS_[[#This Row],[SALARIO BASE Eq]]+DATOS_[[#This Row],[Tot COMPL.SAL Eq]]</f>
        <v>#DIV/0!</v>
      </c>
      <c r="CA958" s="138" t="e">
        <f aca="false" t="array" ref="CA958:CA9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8" s="138" t="e">
        <f aca="false">+DATOS_[[#This Row],[TOTAL SALARIO Eq]]+DATOS_[[#This Row],[Tot Extrasalarial Eq]]</f>
        <v>#DIV/0!</v>
      </c>
      <c r="CC958" s="139" t="n">
        <f aca="false">DATOS_[[#This Row],[S.BASE]]</f>
        <v>0</v>
      </c>
      <c r="CD958" s="139" t="n">
        <f aca="false">+SUM(DATOS_[[#This Row],[Conc.Sal.01]:[Conc.Sal.30]])</f>
        <v>0</v>
      </c>
      <c r="CE958" s="139" t="n">
        <f aca="false">+DATOS_[[#This Row],[SALARIO BASE Ef]]+DATOS_[[#This Row],[Tot COMPL.SAL Ef]]</f>
        <v>0</v>
      </c>
      <c r="CF958" s="139" t="n">
        <f aca="false">+SUM(DATOS_[[#This Row],[C.Extra.01]:[C.Extra.05]])</f>
        <v>0</v>
      </c>
      <c r="CG958" s="139" t="n">
        <f aca="false">+DATOS_[[#This Row],[TOTAL SALARIO Ef]]+DATOS_[[#This Row],[Tot Extrasalarial Ef]]</f>
        <v>0</v>
      </c>
      <c r="CH958" s="140" t="n">
        <f aca="false">MIN(IF(DATOS_[[#This Row],[Fecha Fin Contrato]]="",$D$4,DATOS_[[#This Row],[Fecha Fin Contrato]]),$D$4)-MAX(DATOS_[[#This Row],[Fecha de Contratación]],$D$3)+1</f>
        <v>1</v>
      </c>
      <c r="CI958" s="141" t="str">
        <f aca="false">IF(COUNTIFS(DATOS_[id],DATOS_[[#This Row],[id]])&gt;1,DATOS_[[#This Row],[id]],"")</f>
        <v/>
      </c>
      <c r="CJ958" s="141" t="n">
        <f aca="false">(Inicio!$G$10-DATOS_[[#This Row],[Fecha Nacimiento]])/365.25</f>
        <v>0</v>
      </c>
      <c r="CK958" s="141" t="n">
        <f aca="false">(Inicio!$G$10-DATOS_[[#This Row],[Fecha de Antigüedad]])/365.25</f>
        <v>0</v>
      </c>
      <c r="CL958" s="141" t="e">
        <f aca="false">+VLOOKUP(DATOS_[[#This Row],[Clave de Contrato]],TblTiposContrato13[],3,0)</f>
        <v>#N/A</v>
      </c>
      <c r="CM958" s="141" t="e">
        <f aca="false">+VLOOKUP(DATOS_[[#This Row],[Clave de Contrato]],TblTiposContrato13[],4,0)</f>
        <v>#N/A</v>
      </c>
      <c r="CN958" s="141" t="str">
        <f aca="false">VLOOKUP(DATOS_[[#This Row],[Edad]],CONTRATOS!TblRngEdad,2,1)</f>
        <v>20  o menos</v>
      </c>
      <c r="CO958" s="141" t="str">
        <f aca="false">VLOOKUP(DATOS_[[#This Row],[Antigüedad]],TblRngAntg14[],2,1)</f>
        <v>0 a 1 años</v>
      </c>
    </row>
    <row r="959" customFormat="false" ht="13.8" hidden="false" customHeight="false" outlineLevel="0" collapsed="false">
      <c r="D959" s="128"/>
      <c r="E959" s="129"/>
      <c r="F959" s="129"/>
      <c r="G959" s="129"/>
      <c r="H959" s="130"/>
      <c r="I959" s="131"/>
      <c r="J959" s="128"/>
      <c r="K959" s="132"/>
      <c r="L959" s="132"/>
      <c r="M959" s="133"/>
      <c r="N959" s="133"/>
      <c r="O959" s="133"/>
      <c r="P959" s="129"/>
      <c r="Z959" s="75"/>
      <c r="AA959" s="76"/>
      <c r="AB959" s="76"/>
      <c r="AC959" s="129"/>
      <c r="AD959" s="134"/>
      <c r="AE959" s="134"/>
      <c r="AF959" s="134"/>
      <c r="AG959" s="134"/>
      <c r="AH959" s="134"/>
      <c r="AI959" s="134"/>
      <c r="AJ959" s="134"/>
      <c r="AK959" s="134"/>
      <c r="AL959" s="134"/>
      <c r="AM959" s="134"/>
      <c r="AN959" s="134"/>
      <c r="AO959" s="134"/>
      <c r="AP959" s="134"/>
      <c r="AQ959" s="134"/>
      <c r="AR959" s="134"/>
      <c r="AS959" s="134"/>
      <c r="AT959" s="134"/>
      <c r="AU959" s="134"/>
      <c r="AV959" s="134"/>
      <c r="AW959" s="134"/>
      <c r="AX959" s="134"/>
      <c r="AY959" s="134"/>
      <c r="AZ959" s="134"/>
      <c r="BA959" s="134"/>
      <c r="BB959" s="134"/>
      <c r="BC959" s="134"/>
      <c r="BD959" s="134"/>
      <c r="BE959" s="134"/>
      <c r="BF959" s="134"/>
      <c r="BG959" s="134"/>
      <c r="BH959" s="134"/>
      <c r="BI959" s="134"/>
      <c r="BJ959" s="134"/>
      <c r="BK959" s="134"/>
      <c r="BL959" s="134"/>
      <c r="BM959" s="135"/>
      <c r="BN959" s="136" t="n">
        <f aca="false">+MAX($D$3,DATOS_[[#This Row],[Fecha Inicio Sit. Contract.]])</f>
        <v>0</v>
      </c>
      <c r="BO959" s="136" t="n">
        <f aca="false">+MIN($D$4,DATOS_[[#This Row],[Fecha Fin Sit. Contract.]])</f>
        <v>0</v>
      </c>
      <c r="BP959" s="137" t="n">
        <f aca="false">+DATOS_[[#This Row],[% de jornada]]*IF(DATOS_[[#This Row],[% jornada reducida]]="",1,DATOS_[[#This Row],[% jornada reducida]])</f>
        <v>0</v>
      </c>
      <c r="BQ959" s="137" t="n">
        <f aca="false">+(DATOS_[[#This Row],[F.fin.cal]]-DATOS_[[#This Row],[F.ini.cal]]+1)/($D$4-$D$3+1)</f>
        <v>1</v>
      </c>
      <c r="BR959" s="137" t="str">
        <f aca="false">IF(OR(AND(DATOS_[[#This Row],[Fecha Fin Contrato]]&lt;$D$3,DATOS_[[#This Row],[Fecha Fin Contrato]]&lt;&gt;""),DATOS_[[#This Row],[Fecha de Contratación]]&gt;$D$4),"Fuera","Dentro")</f>
        <v>Dentro</v>
      </c>
      <c r="BS959" s="137" t="str">
        <f aca="false" t="array" ref="BS959:BS959">IF(MAX(IF(DATOS_[id]=DATOS_[[#This Row],[id]],DATOS_[F.fin.cal]))=DATOS_[[#This Row],[F.fin.cal]],"Sí","NO")</f>
        <v>Sí</v>
      </c>
      <c r="BT959" s="137" t="str">
        <f aca="false">IF(AND(DATOS_[[#This Row],[% normaliz]]&lt;&gt;1,DATOS_[[#This Row],[% anualiz]]=1),"Sí","NO")</f>
        <v>Sí</v>
      </c>
      <c r="BU959" s="137" t="str">
        <f aca="false">IF(AND(DATOS_[[#This Row],[% normaliz]]=1,DATOS_[[#This Row],[% anualiz]]&lt;&gt;1),"Sí","NO")</f>
        <v>NO</v>
      </c>
      <c r="BV959" s="137" t="str">
        <f aca="false">IF(AND(DATOS_[[#This Row],[% normaliz]]&lt;&gt;1,DATOS_[[#This Row],[% anualiz]]&lt;&gt;1),"Sí","NO")</f>
        <v>NO</v>
      </c>
      <c r="BW959" s="137" t="str">
        <f aca="false">+IF(DATOS_[[#This Row],[% normaliz]]*DATOS_[[#This Row],[% anualiz]]=1,"NO","Sí")</f>
        <v>Sí</v>
      </c>
      <c r="BX959" s="138" t="e">
        <f aca="false">(DATOS_[[#This Row],[S.BASE]]*(1/DATOS_[[#This Row],[% normaliz]])*(1/DATOS_[[#This Row],[% anualiz]]))*IF(DATOS_[[#This Row],[Check Equiparado]]="Sí",1,0)</f>
        <v>#DIV/0!</v>
      </c>
      <c r="BY95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9" s="138" t="e">
        <f aca="false">+DATOS_[[#This Row],[SALARIO BASE Eq]]+DATOS_[[#This Row],[Tot COMPL.SAL Eq]]</f>
        <v>#DIV/0!</v>
      </c>
      <c r="CA959" s="138" t="e">
        <f aca="false" t="array" ref="CA959:CA9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9" s="138" t="e">
        <f aca="false">+DATOS_[[#This Row],[TOTAL SALARIO Eq]]+DATOS_[[#This Row],[Tot Extrasalarial Eq]]</f>
        <v>#DIV/0!</v>
      </c>
      <c r="CC959" s="139" t="n">
        <f aca="false">DATOS_[[#This Row],[S.BASE]]</f>
        <v>0</v>
      </c>
      <c r="CD959" s="139" t="n">
        <f aca="false">+SUM(DATOS_[[#This Row],[Conc.Sal.01]:[Conc.Sal.30]])</f>
        <v>0</v>
      </c>
      <c r="CE959" s="139" t="n">
        <f aca="false">+DATOS_[[#This Row],[SALARIO BASE Ef]]+DATOS_[[#This Row],[Tot COMPL.SAL Ef]]</f>
        <v>0</v>
      </c>
      <c r="CF959" s="139" t="n">
        <f aca="false">+SUM(DATOS_[[#This Row],[C.Extra.01]:[C.Extra.05]])</f>
        <v>0</v>
      </c>
      <c r="CG959" s="139" t="n">
        <f aca="false">+DATOS_[[#This Row],[TOTAL SALARIO Ef]]+DATOS_[[#This Row],[Tot Extrasalarial Ef]]</f>
        <v>0</v>
      </c>
      <c r="CH959" s="140" t="n">
        <f aca="false">MIN(IF(DATOS_[[#This Row],[Fecha Fin Contrato]]="",$D$4,DATOS_[[#This Row],[Fecha Fin Contrato]]),$D$4)-MAX(DATOS_[[#This Row],[Fecha de Contratación]],$D$3)+1</f>
        <v>1</v>
      </c>
      <c r="CI959" s="141" t="str">
        <f aca="false">IF(COUNTIFS(DATOS_[id],DATOS_[[#This Row],[id]])&gt;1,DATOS_[[#This Row],[id]],"")</f>
        <v/>
      </c>
      <c r="CJ959" s="141" t="n">
        <f aca="false">(Inicio!$G$10-DATOS_[[#This Row],[Fecha Nacimiento]])/365.25</f>
        <v>0</v>
      </c>
      <c r="CK959" s="141" t="n">
        <f aca="false">(Inicio!$G$10-DATOS_[[#This Row],[Fecha de Antigüedad]])/365.25</f>
        <v>0</v>
      </c>
      <c r="CL959" s="141" t="e">
        <f aca="false">+VLOOKUP(DATOS_[[#This Row],[Clave de Contrato]],TblTiposContrato13[],3,0)</f>
        <v>#N/A</v>
      </c>
      <c r="CM959" s="141" t="e">
        <f aca="false">+VLOOKUP(DATOS_[[#This Row],[Clave de Contrato]],TblTiposContrato13[],4,0)</f>
        <v>#N/A</v>
      </c>
      <c r="CN959" s="141" t="str">
        <f aca="false">VLOOKUP(DATOS_[[#This Row],[Edad]],CONTRATOS!TblRngEdad,2,1)</f>
        <v>20  o menos</v>
      </c>
      <c r="CO959" s="141" t="str">
        <f aca="false">VLOOKUP(DATOS_[[#This Row],[Antigüedad]],TblRngAntg14[],2,1)</f>
        <v>0 a 1 años</v>
      </c>
    </row>
    <row r="960" customFormat="false" ht="13.8" hidden="false" customHeight="false" outlineLevel="0" collapsed="false">
      <c r="D960" s="128"/>
      <c r="E960" s="129"/>
      <c r="F960" s="129"/>
      <c r="G960" s="129"/>
      <c r="H960" s="130"/>
      <c r="I960" s="131"/>
      <c r="J960" s="128"/>
      <c r="K960" s="132"/>
      <c r="L960" s="132"/>
      <c r="M960" s="133"/>
      <c r="N960" s="133"/>
      <c r="O960" s="133"/>
      <c r="P960" s="129"/>
      <c r="Z960" s="75"/>
      <c r="AA960" s="76"/>
      <c r="AB960" s="76"/>
      <c r="AC960" s="129"/>
      <c r="AD960" s="134"/>
      <c r="AE960" s="134"/>
      <c r="AF960" s="134"/>
      <c r="AG960" s="134"/>
      <c r="AH960" s="134"/>
      <c r="AI960" s="134"/>
      <c r="AJ960" s="134"/>
      <c r="AK960" s="134"/>
      <c r="AL960" s="134"/>
      <c r="AM960" s="134"/>
      <c r="AN960" s="134"/>
      <c r="AO960" s="134"/>
      <c r="AP960" s="134"/>
      <c r="AQ960" s="134"/>
      <c r="AR960" s="134"/>
      <c r="AS960" s="134"/>
      <c r="AT960" s="134"/>
      <c r="AU960" s="134"/>
      <c r="AV960" s="134"/>
      <c r="AW960" s="134"/>
      <c r="AX960" s="134"/>
      <c r="AY960" s="134"/>
      <c r="AZ960" s="134"/>
      <c r="BA960" s="134"/>
      <c r="BB960" s="134"/>
      <c r="BC960" s="134"/>
      <c r="BD960" s="134"/>
      <c r="BE960" s="134"/>
      <c r="BF960" s="134"/>
      <c r="BG960" s="134"/>
      <c r="BH960" s="134"/>
      <c r="BI960" s="134"/>
      <c r="BJ960" s="134"/>
      <c r="BK960" s="134"/>
      <c r="BL960" s="134"/>
      <c r="BM960" s="135"/>
      <c r="BN960" s="136" t="n">
        <f aca="false">+MAX($D$3,DATOS_[[#This Row],[Fecha Inicio Sit. Contract.]])</f>
        <v>0</v>
      </c>
      <c r="BO960" s="136" t="n">
        <f aca="false">+MIN($D$4,DATOS_[[#This Row],[Fecha Fin Sit. Contract.]])</f>
        <v>0</v>
      </c>
      <c r="BP960" s="137" t="n">
        <f aca="false">+DATOS_[[#This Row],[% de jornada]]*IF(DATOS_[[#This Row],[% jornada reducida]]="",1,DATOS_[[#This Row],[% jornada reducida]])</f>
        <v>0</v>
      </c>
      <c r="BQ960" s="137" t="n">
        <f aca="false">+(DATOS_[[#This Row],[F.fin.cal]]-DATOS_[[#This Row],[F.ini.cal]]+1)/($D$4-$D$3+1)</f>
        <v>1</v>
      </c>
      <c r="BR960" s="137" t="str">
        <f aca="false">IF(OR(AND(DATOS_[[#This Row],[Fecha Fin Contrato]]&lt;$D$3,DATOS_[[#This Row],[Fecha Fin Contrato]]&lt;&gt;""),DATOS_[[#This Row],[Fecha de Contratación]]&gt;$D$4),"Fuera","Dentro")</f>
        <v>Dentro</v>
      </c>
      <c r="BS960" s="137" t="str">
        <f aca="false" t="array" ref="BS960:BS960">IF(MAX(IF(DATOS_[id]=DATOS_[[#This Row],[id]],DATOS_[F.fin.cal]))=DATOS_[[#This Row],[F.fin.cal]],"Sí","NO")</f>
        <v>Sí</v>
      </c>
      <c r="BT960" s="137" t="str">
        <f aca="false">IF(AND(DATOS_[[#This Row],[% normaliz]]&lt;&gt;1,DATOS_[[#This Row],[% anualiz]]=1),"Sí","NO")</f>
        <v>Sí</v>
      </c>
      <c r="BU960" s="137" t="str">
        <f aca="false">IF(AND(DATOS_[[#This Row],[% normaliz]]=1,DATOS_[[#This Row],[% anualiz]]&lt;&gt;1),"Sí","NO")</f>
        <v>NO</v>
      </c>
      <c r="BV960" s="137" t="str">
        <f aca="false">IF(AND(DATOS_[[#This Row],[% normaliz]]&lt;&gt;1,DATOS_[[#This Row],[% anualiz]]&lt;&gt;1),"Sí","NO")</f>
        <v>NO</v>
      </c>
      <c r="BW960" s="137" t="str">
        <f aca="false">+IF(DATOS_[[#This Row],[% normaliz]]*DATOS_[[#This Row],[% anualiz]]=1,"NO","Sí")</f>
        <v>Sí</v>
      </c>
      <c r="BX960" s="138" t="e">
        <f aca="false">(DATOS_[[#This Row],[S.BASE]]*(1/DATOS_[[#This Row],[% normaliz]])*(1/DATOS_[[#This Row],[% anualiz]]))*IF(DATOS_[[#This Row],[Check Equiparado]]="Sí",1,0)</f>
        <v>#DIV/0!</v>
      </c>
      <c r="BY96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0" s="138" t="e">
        <f aca="false">+DATOS_[[#This Row],[SALARIO BASE Eq]]+DATOS_[[#This Row],[Tot COMPL.SAL Eq]]</f>
        <v>#DIV/0!</v>
      </c>
      <c r="CA960" s="138" t="e">
        <f aca="false" t="array" ref="CA960:CA9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0" s="138" t="e">
        <f aca="false">+DATOS_[[#This Row],[TOTAL SALARIO Eq]]+DATOS_[[#This Row],[Tot Extrasalarial Eq]]</f>
        <v>#DIV/0!</v>
      </c>
      <c r="CC960" s="139" t="n">
        <f aca="false">DATOS_[[#This Row],[S.BASE]]</f>
        <v>0</v>
      </c>
      <c r="CD960" s="139" t="n">
        <f aca="false">+SUM(DATOS_[[#This Row],[Conc.Sal.01]:[Conc.Sal.30]])</f>
        <v>0</v>
      </c>
      <c r="CE960" s="139" t="n">
        <f aca="false">+DATOS_[[#This Row],[SALARIO BASE Ef]]+DATOS_[[#This Row],[Tot COMPL.SAL Ef]]</f>
        <v>0</v>
      </c>
      <c r="CF960" s="139" t="n">
        <f aca="false">+SUM(DATOS_[[#This Row],[C.Extra.01]:[C.Extra.05]])</f>
        <v>0</v>
      </c>
      <c r="CG960" s="139" t="n">
        <f aca="false">+DATOS_[[#This Row],[TOTAL SALARIO Ef]]+DATOS_[[#This Row],[Tot Extrasalarial Ef]]</f>
        <v>0</v>
      </c>
      <c r="CH960" s="140" t="n">
        <f aca="false">MIN(IF(DATOS_[[#This Row],[Fecha Fin Contrato]]="",$D$4,DATOS_[[#This Row],[Fecha Fin Contrato]]),$D$4)-MAX(DATOS_[[#This Row],[Fecha de Contratación]],$D$3)+1</f>
        <v>1</v>
      </c>
      <c r="CI960" s="141" t="str">
        <f aca="false">IF(COUNTIFS(DATOS_[id],DATOS_[[#This Row],[id]])&gt;1,DATOS_[[#This Row],[id]],"")</f>
        <v/>
      </c>
      <c r="CJ960" s="141" t="n">
        <f aca="false">(Inicio!$G$10-DATOS_[[#This Row],[Fecha Nacimiento]])/365.25</f>
        <v>0</v>
      </c>
      <c r="CK960" s="141" t="n">
        <f aca="false">(Inicio!$G$10-DATOS_[[#This Row],[Fecha de Antigüedad]])/365.25</f>
        <v>0</v>
      </c>
      <c r="CL960" s="141" t="e">
        <f aca="false">+VLOOKUP(DATOS_[[#This Row],[Clave de Contrato]],TblTiposContrato13[],3,0)</f>
        <v>#N/A</v>
      </c>
      <c r="CM960" s="141" t="e">
        <f aca="false">+VLOOKUP(DATOS_[[#This Row],[Clave de Contrato]],TblTiposContrato13[],4,0)</f>
        <v>#N/A</v>
      </c>
      <c r="CN960" s="141" t="str">
        <f aca="false">VLOOKUP(DATOS_[[#This Row],[Edad]],CONTRATOS!TblRngEdad,2,1)</f>
        <v>20  o menos</v>
      </c>
      <c r="CO960" s="141" t="str">
        <f aca="false">VLOOKUP(DATOS_[[#This Row],[Antigüedad]],TblRngAntg14[],2,1)</f>
        <v>0 a 1 años</v>
      </c>
    </row>
    <row r="961" customFormat="false" ht="13.8" hidden="false" customHeight="false" outlineLevel="0" collapsed="false">
      <c r="D961" s="128"/>
      <c r="E961" s="129"/>
      <c r="F961" s="129"/>
      <c r="G961" s="129"/>
      <c r="H961" s="130"/>
      <c r="I961" s="131"/>
      <c r="J961" s="128"/>
      <c r="K961" s="132"/>
      <c r="L961" s="132"/>
      <c r="M961" s="133"/>
      <c r="N961" s="133"/>
      <c r="O961" s="133"/>
      <c r="P961" s="129"/>
      <c r="Z961" s="75"/>
      <c r="AA961" s="76"/>
      <c r="AB961" s="76"/>
      <c r="AC961" s="129"/>
      <c r="AD961" s="134"/>
      <c r="AE961" s="134"/>
      <c r="AF961" s="134"/>
      <c r="AG961" s="134"/>
      <c r="AH961" s="134"/>
      <c r="AI961" s="134"/>
      <c r="AJ961" s="134"/>
      <c r="AK961" s="134"/>
      <c r="AL961" s="134"/>
      <c r="AM961" s="134"/>
      <c r="AN961" s="134"/>
      <c r="AO961" s="134"/>
      <c r="AP961" s="134"/>
      <c r="AQ961" s="134"/>
      <c r="AR961" s="134"/>
      <c r="AS961" s="134"/>
      <c r="AT961" s="134"/>
      <c r="AU961" s="134"/>
      <c r="AV961" s="134"/>
      <c r="AW961" s="134"/>
      <c r="AX961" s="134"/>
      <c r="AY961" s="134"/>
      <c r="AZ961" s="134"/>
      <c r="BA961" s="134"/>
      <c r="BB961" s="134"/>
      <c r="BC961" s="134"/>
      <c r="BD961" s="134"/>
      <c r="BE961" s="134"/>
      <c r="BF961" s="134"/>
      <c r="BG961" s="134"/>
      <c r="BH961" s="134"/>
      <c r="BI961" s="134"/>
      <c r="BJ961" s="134"/>
      <c r="BK961" s="134"/>
      <c r="BL961" s="134"/>
      <c r="BM961" s="135"/>
      <c r="BN961" s="136" t="n">
        <f aca="false">+MAX($D$3,DATOS_[[#This Row],[Fecha Inicio Sit. Contract.]])</f>
        <v>0</v>
      </c>
      <c r="BO961" s="136" t="n">
        <f aca="false">+MIN($D$4,DATOS_[[#This Row],[Fecha Fin Sit. Contract.]])</f>
        <v>0</v>
      </c>
      <c r="BP961" s="137" t="n">
        <f aca="false">+DATOS_[[#This Row],[% de jornada]]*IF(DATOS_[[#This Row],[% jornada reducida]]="",1,DATOS_[[#This Row],[% jornada reducida]])</f>
        <v>0</v>
      </c>
      <c r="BQ961" s="137" t="n">
        <f aca="false">+(DATOS_[[#This Row],[F.fin.cal]]-DATOS_[[#This Row],[F.ini.cal]]+1)/($D$4-$D$3+1)</f>
        <v>1</v>
      </c>
      <c r="BR961" s="137" t="str">
        <f aca="false">IF(OR(AND(DATOS_[[#This Row],[Fecha Fin Contrato]]&lt;$D$3,DATOS_[[#This Row],[Fecha Fin Contrato]]&lt;&gt;""),DATOS_[[#This Row],[Fecha de Contratación]]&gt;$D$4),"Fuera","Dentro")</f>
        <v>Dentro</v>
      </c>
      <c r="BS961" s="137" t="str">
        <f aca="false" t="array" ref="BS961:BS961">IF(MAX(IF(DATOS_[id]=DATOS_[[#This Row],[id]],DATOS_[F.fin.cal]))=DATOS_[[#This Row],[F.fin.cal]],"Sí","NO")</f>
        <v>Sí</v>
      </c>
      <c r="BT961" s="137" t="str">
        <f aca="false">IF(AND(DATOS_[[#This Row],[% normaliz]]&lt;&gt;1,DATOS_[[#This Row],[% anualiz]]=1),"Sí","NO")</f>
        <v>Sí</v>
      </c>
      <c r="BU961" s="137" t="str">
        <f aca="false">IF(AND(DATOS_[[#This Row],[% normaliz]]=1,DATOS_[[#This Row],[% anualiz]]&lt;&gt;1),"Sí","NO")</f>
        <v>NO</v>
      </c>
      <c r="BV961" s="137" t="str">
        <f aca="false">IF(AND(DATOS_[[#This Row],[% normaliz]]&lt;&gt;1,DATOS_[[#This Row],[% anualiz]]&lt;&gt;1),"Sí","NO")</f>
        <v>NO</v>
      </c>
      <c r="BW961" s="137" t="str">
        <f aca="false">+IF(DATOS_[[#This Row],[% normaliz]]*DATOS_[[#This Row],[% anualiz]]=1,"NO","Sí")</f>
        <v>Sí</v>
      </c>
      <c r="BX961" s="138" t="e">
        <f aca="false">(DATOS_[[#This Row],[S.BASE]]*(1/DATOS_[[#This Row],[% normaliz]])*(1/DATOS_[[#This Row],[% anualiz]]))*IF(DATOS_[[#This Row],[Check Equiparado]]="Sí",1,0)</f>
        <v>#DIV/0!</v>
      </c>
      <c r="BY96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1" s="138" t="e">
        <f aca="false">+DATOS_[[#This Row],[SALARIO BASE Eq]]+DATOS_[[#This Row],[Tot COMPL.SAL Eq]]</f>
        <v>#DIV/0!</v>
      </c>
      <c r="CA961" s="138" t="e">
        <f aca="false" t="array" ref="CA961:CA9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1" s="138" t="e">
        <f aca="false">+DATOS_[[#This Row],[TOTAL SALARIO Eq]]+DATOS_[[#This Row],[Tot Extrasalarial Eq]]</f>
        <v>#DIV/0!</v>
      </c>
      <c r="CC961" s="139" t="n">
        <f aca="false">DATOS_[[#This Row],[S.BASE]]</f>
        <v>0</v>
      </c>
      <c r="CD961" s="139" t="n">
        <f aca="false">+SUM(DATOS_[[#This Row],[Conc.Sal.01]:[Conc.Sal.30]])</f>
        <v>0</v>
      </c>
      <c r="CE961" s="139" t="n">
        <f aca="false">+DATOS_[[#This Row],[SALARIO BASE Ef]]+DATOS_[[#This Row],[Tot COMPL.SAL Ef]]</f>
        <v>0</v>
      </c>
      <c r="CF961" s="139" t="n">
        <f aca="false">+SUM(DATOS_[[#This Row],[C.Extra.01]:[C.Extra.05]])</f>
        <v>0</v>
      </c>
      <c r="CG961" s="139" t="n">
        <f aca="false">+DATOS_[[#This Row],[TOTAL SALARIO Ef]]+DATOS_[[#This Row],[Tot Extrasalarial Ef]]</f>
        <v>0</v>
      </c>
      <c r="CH961" s="140" t="n">
        <f aca="false">MIN(IF(DATOS_[[#This Row],[Fecha Fin Contrato]]="",$D$4,DATOS_[[#This Row],[Fecha Fin Contrato]]),$D$4)-MAX(DATOS_[[#This Row],[Fecha de Contratación]],$D$3)+1</f>
        <v>1</v>
      </c>
      <c r="CI961" s="141" t="str">
        <f aca="false">IF(COUNTIFS(DATOS_[id],DATOS_[[#This Row],[id]])&gt;1,DATOS_[[#This Row],[id]],"")</f>
        <v/>
      </c>
      <c r="CJ961" s="141" t="n">
        <f aca="false">(Inicio!$G$10-DATOS_[[#This Row],[Fecha Nacimiento]])/365.25</f>
        <v>0</v>
      </c>
      <c r="CK961" s="141" t="n">
        <f aca="false">(Inicio!$G$10-DATOS_[[#This Row],[Fecha de Antigüedad]])/365.25</f>
        <v>0</v>
      </c>
      <c r="CL961" s="141" t="e">
        <f aca="false">+VLOOKUP(DATOS_[[#This Row],[Clave de Contrato]],TblTiposContrato13[],3,0)</f>
        <v>#N/A</v>
      </c>
      <c r="CM961" s="141" t="e">
        <f aca="false">+VLOOKUP(DATOS_[[#This Row],[Clave de Contrato]],TblTiposContrato13[],4,0)</f>
        <v>#N/A</v>
      </c>
      <c r="CN961" s="141" t="str">
        <f aca="false">VLOOKUP(DATOS_[[#This Row],[Edad]],CONTRATOS!TblRngEdad,2,1)</f>
        <v>20  o menos</v>
      </c>
      <c r="CO961" s="141" t="str">
        <f aca="false">VLOOKUP(DATOS_[[#This Row],[Antigüedad]],TblRngAntg14[],2,1)</f>
        <v>0 a 1 años</v>
      </c>
    </row>
    <row r="962" customFormat="false" ht="13.8" hidden="false" customHeight="false" outlineLevel="0" collapsed="false">
      <c r="D962" s="128"/>
      <c r="E962" s="129"/>
      <c r="F962" s="129"/>
      <c r="G962" s="129"/>
      <c r="H962" s="130"/>
      <c r="I962" s="131"/>
      <c r="J962" s="128"/>
      <c r="K962" s="132"/>
      <c r="L962" s="132"/>
      <c r="M962" s="133"/>
      <c r="N962" s="133"/>
      <c r="O962" s="133"/>
      <c r="P962" s="129"/>
      <c r="Z962" s="75"/>
      <c r="AA962" s="76"/>
      <c r="AB962" s="76"/>
      <c r="AC962" s="129"/>
      <c r="AD962" s="134"/>
      <c r="AE962" s="134"/>
      <c r="AF962" s="134"/>
      <c r="AG962" s="134"/>
      <c r="AH962" s="134"/>
      <c r="AI962" s="134"/>
      <c r="AJ962" s="134"/>
      <c r="AK962" s="134"/>
      <c r="AL962" s="134"/>
      <c r="AM962" s="134"/>
      <c r="AN962" s="134"/>
      <c r="AO962" s="134"/>
      <c r="AP962" s="134"/>
      <c r="AQ962" s="134"/>
      <c r="AR962" s="134"/>
      <c r="AS962" s="134"/>
      <c r="AT962" s="134"/>
      <c r="AU962" s="134"/>
      <c r="AV962" s="134"/>
      <c r="AW962" s="134"/>
      <c r="AX962" s="134"/>
      <c r="AY962" s="134"/>
      <c r="AZ962" s="134"/>
      <c r="BA962" s="134"/>
      <c r="BB962" s="134"/>
      <c r="BC962" s="134"/>
      <c r="BD962" s="134"/>
      <c r="BE962" s="134"/>
      <c r="BF962" s="134"/>
      <c r="BG962" s="134"/>
      <c r="BH962" s="134"/>
      <c r="BI962" s="134"/>
      <c r="BJ962" s="134"/>
      <c r="BK962" s="134"/>
      <c r="BL962" s="134"/>
      <c r="BM962" s="135"/>
      <c r="BN962" s="136" t="n">
        <f aca="false">+MAX($D$3,DATOS_[[#This Row],[Fecha Inicio Sit. Contract.]])</f>
        <v>0</v>
      </c>
      <c r="BO962" s="136" t="n">
        <f aca="false">+MIN($D$4,DATOS_[[#This Row],[Fecha Fin Sit. Contract.]])</f>
        <v>0</v>
      </c>
      <c r="BP962" s="137" t="n">
        <f aca="false">+DATOS_[[#This Row],[% de jornada]]*IF(DATOS_[[#This Row],[% jornada reducida]]="",1,DATOS_[[#This Row],[% jornada reducida]])</f>
        <v>0</v>
      </c>
      <c r="BQ962" s="137" t="n">
        <f aca="false">+(DATOS_[[#This Row],[F.fin.cal]]-DATOS_[[#This Row],[F.ini.cal]]+1)/($D$4-$D$3+1)</f>
        <v>1</v>
      </c>
      <c r="BR962" s="137" t="str">
        <f aca="false">IF(OR(AND(DATOS_[[#This Row],[Fecha Fin Contrato]]&lt;$D$3,DATOS_[[#This Row],[Fecha Fin Contrato]]&lt;&gt;""),DATOS_[[#This Row],[Fecha de Contratación]]&gt;$D$4),"Fuera","Dentro")</f>
        <v>Dentro</v>
      </c>
      <c r="BS962" s="137" t="str">
        <f aca="false" t="array" ref="BS962:BS962">IF(MAX(IF(DATOS_[id]=DATOS_[[#This Row],[id]],DATOS_[F.fin.cal]))=DATOS_[[#This Row],[F.fin.cal]],"Sí","NO")</f>
        <v>Sí</v>
      </c>
      <c r="BT962" s="137" t="str">
        <f aca="false">IF(AND(DATOS_[[#This Row],[% normaliz]]&lt;&gt;1,DATOS_[[#This Row],[% anualiz]]=1),"Sí","NO")</f>
        <v>Sí</v>
      </c>
      <c r="BU962" s="137" t="str">
        <f aca="false">IF(AND(DATOS_[[#This Row],[% normaliz]]=1,DATOS_[[#This Row],[% anualiz]]&lt;&gt;1),"Sí","NO")</f>
        <v>NO</v>
      </c>
      <c r="BV962" s="137" t="str">
        <f aca="false">IF(AND(DATOS_[[#This Row],[% normaliz]]&lt;&gt;1,DATOS_[[#This Row],[% anualiz]]&lt;&gt;1),"Sí","NO")</f>
        <v>NO</v>
      </c>
      <c r="BW962" s="137" t="str">
        <f aca="false">+IF(DATOS_[[#This Row],[% normaliz]]*DATOS_[[#This Row],[% anualiz]]=1,"NO","Sí")</f>
        <v>Sí</v>
      </c>
      <c r="BX962" s="138" t="e">
        <f aca="false">(DATOS_[[#This Row],[S.BASE]]*(1/DATOS_[[#This Row],[% normaliz]])*(1/DATOS_[[#This Row],[% anualiz]]))*IF(DATOS_[[#This Row],[Check Equiparado]]="Sí",1,0)</f>
        <v>#DIV/0!</v>
      </c>
      <c r="BY96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2" s="138" t="e">
        <f aca="false">+DATOS_[[#This Row],[SALARIO BASE Eq]]+DATOS_[[#This Row],[Tot COMPL.SAL Eq]]</f>
        <v>#DIV/0!</v>
      </c>
      <c r="CA962" s="138" t="e">
        <f aca="false" t="array" ref="CA962:CA9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2" s="138" t="e">
        <f aca="false">+DATOS_[[#This Row],[TOTAL SALARIO Eq]]+DATOS_[[#This Row],[Tot Extrasalarial Eq]]</f>
        <v>#DIV/0!</v>
      </c>
      <c r="CC962" s="139" t="n">
        <f aca="false">DATOS_[[#This Row],[S.BASE]]</f>
        <v>0</v>
      </c>
      <c r="CD962" s="139" t="n">
        <f aca="false">+SUM(DATOS_[[#This Row],[Conc.Sal.01]:[Conc.Sal.30]])</f>
        <v>0</v>
      </c>
      <c r="CE962" s="139" t="n">
        <f aca="false">+DATOS_[[#This Row],[SALARIO BASE Ef]]+DATOS_[[#This Row],[Tot COMPL.SAL Ef]]</f>
        <v>0</v>
      </c>
      <c r="CF962" s="139" t="n">
        <f aca="false">+SUM(DATOS_[[#This Row],[C.Extra.01]:[C.Extra.05]])</f>
        <v>0</v>
      </c>
      <c r="CG962" s="139" t="n">
        <f aca="false">+DATOS_[[#This Row],[TOTAL SALARIO Ef]]+DATOS_[[#This Row],[Tot Extrasalarial Ef]]</f>
        <v>0</v>
      </c>
      <c r="CH962" s="140" t="n">
        <f aca="false">MIN(IF(DATOS_[[#This Row],[Fecha Fin Contrato]]="",$D$4,DATOS_[[#This Row],[Fecha Fin Contrato]]),$D$4)-MAX(DATOS_[[#This Row],[Fecha de Contratación]],$D$3)+1</f>
        <v>1</v>
      </c>
      <c r="CI962" s="141" t="str">
        <f aca="false">IF(COUNTIFS(DATOS_[id],DATOS_[[#This Row],[id]])&gt;1,DATOS_[[#This Row],[id]],"")</f>
        <v/>
      </c>
      <c r="CJ962" s="141" t="n">
        <f aca="false">(Inicio!$G$10-DATOS_[[#This Row],[Fecha Nacimiento]])/365.25</f>
        <v>0</v>
      </c>
      <c r="CK962" s="141" t="n">
        <f aca="false">(Inicio!$G$10-DATOS_[[#This Row],[Fecha de Antigüedad]])/365.25</f>
        <v>0</v>
      </c>
      <c r="CL962" s="141" t="e">
        <f aca="false">+VLOOKUP(DATOS_[[#This Row],[Clave de Contrato]],TblTiposContrato13[],3,0)</f>
        <v>#N/A</v>
      </c>
      <c r="CM962" s="141" t="e">
        <f aca="false">+VLOOKUP(DATOS_[[#This Row],[Clave de Contrato]],TblTiposContrato13[],4,0)</f>
        <v>#N/A</v>
      </c>
      <c r="CN962" s="141" t="str">
        <f aca="false">VLOOKUP(DATOS_[[#This Row],[Edad]],CONTRATOS!TblRngEdad,2,1)</f>
        <v>20  o menos</v>
      </c>
      <c r="CO962" s="141" t="str">
        <f aca="false">VLOOKUP(DATOS_[[#This Row],[Antigüedad]],TblRngAntg14[],2,1)</f>
        <v>0 a 1 años</v>
      </c>
    </row>
    <row r="963" customFormat="false" ht="13.8" hidden="false" customHeight="false" outlineLevel="0" collapsed="false">
      <c r="D963" s="128"/>
      <c r="E963" s="129"/>
      <c r="F963" s="129"/>
      <c r="G963" s="129"/>
      <c r="H963" s="130"/>
      <c r="I963" s="131"/>
      <c r="J963" s="128"/>
      <c r="K963" s="132"/>
      <c r="L963" s="132"/>
      <c r="M963" s="133"/>
      <c r="N963" s="133"/>
      <c r="O963" s="133"/>
      <c r="P963" s="129"/>
      <c r="Z963" s="75"/>
      <c r="AA963" s="76"/>
      <c r="AB963" s="76"/>
      <c r="AC963" s="129"/>
      <c r="AD963" s="134"/>
      <c r="AE963" s="134"/>
      <c r="AF963" s="134"/>
      <c r="AG963" s="134"/>
      <c r="AH963" s="134"/>
      <c r="AI963" s="134"/>
      <c r="AJ963" s="134"/>
      <c r="AK963" s="134"/>
      <c r="AL963" s="134"/>
      <c r="AM963" s="134"/>
      <c r="AN963" s="134"/>
      <c r="AO963" s="134"/>
      <c r="AP963" s="134"/>
      <c r="AQ963" s="134"/>
      <c r="AR963" s="134"/>
      <c r="AS963" s="134"/>
      <c r="AT963" s="134"/>
      <c r="AU963" s="134"/>
      <c r="AV963" s="134"/>
      <c r="AW963" s="134"/>
      <c r="AX963" s="134"/>
      <c r="AY963" s="134"/>
      <c r="AZ963" s="134"/>
      <c r="BA963" s="134"/>
      <c r="BB963" s="134"/>
      <c r="BC963" s="134"/>
      <c r="BD963" s="134"/>
      <c r="BE963" s="134"/>
      <c r="BF963" s="134"/>
      <c r="BG963" s="134"/>
      <c r="BH963" s="134"/>
      <c r="BI963" s="134"/>
      <c r="BJ963" s="134"/>
      <c r="BK963" s="134"/>
      <c r="BL963" s="134"/>
      <c r="BM963" s="135"/>
      <c r="BN963" s="136" t="n">
        <f aca="false">+MAX($D$3,DATOS_[[#This Row],[Fecha Inicio Sit. Contract.]])</f>
        <v>0</v>
      </c>
      <c r="BO963" s="136" t="n">
        <f aca="false">+MIN($D$4,DATOS_[[#This Row],[Fecha Fin Sit. Contract.]])</f>
        <v>0</v>
      </c>
      <c r="BP963" s="137" t="n">
        <f aca="false">+DATOS_[[#This Row],[% de jornada]]*IF(DATOS_[[#This Row],[% jornada reducida]]="",1,DATOS_[[#This Row],[% jornada reducida]])</f>
        <v>0</v>
      </c>
      <c r="BQ963" s="137" t="n">
        <f aca="false">+(DATOS_[[#This Row],[F.fin.cal]]-DATOS_[[#This Row],[F.ini.cal]]+1)/($D$4-$D$3+1)</f>
        <v>1</v>
      </c>
      <c r="BR963" s="137" t="str">
        <f aca="false">IF(OR(AND(DATOS_[[#This Row],[Fecha Fin Contrato]]&lt;$D$3,DATOS_[[#This Row],[Fecha Fin Contrato]]&lt;&gt;""),DATOS_[[#This Row],[Fecha de Contratación]]&gt;$D$4),"Fuera","Dentro")</f>
        <v>Dentro</v>
      </c>
      <c r="BS963" s="137" t="str">
        <f aca="false" t="array" ref="BS963:BS963">IF(MAX(IF(DATOS_[id]=DATOS_[[#This Row],[id]],DATOS_[F.fin.cal]))=DATOS_[[#This Row],[F.fin.cal]],"Sí","NO")</f>
        <v>Sí</v>
      </c>
      <c r="BT963" s="137" t="str">
        <f aca="false">IF(AND(DATOS_[[#This Row],[% normaliz]]&lt;&gt;1,DATOS_[[#This Row],[% anualiz]]=1),"Sí","NO")</f>
        <v>Sí</v>
      </c>
      <c r="BU963" s="137" t="str">
        <f aca="false">IF(AND(DATOS_[[#This Row],[% normaliz]]=1,DATOS_[[#This Row],[% anualiz]]&lt;&gt;1),"Sí","NO")</f>
        <v>NO</v>
      </c>
      <c r="BV963" s="137" t="str">
        <f aca="false">IF(AND(DATOS_[[#This Row],[% normaliz]]&lt;&gt;1,DATOS_[[#This Row],[% anualiz]]&lt;&gt;1),"Sí","NO")</f>
        <v>NO</v>
      </c>
      <c r="BW963" s="137" t="str">
        <f aca="false">+IF(DATOS_[[#This Row],[% normaliz]]*DATOS_[[#This Row],[% anualiz]]=1,"NO","Sí")</f>
        <v>Sí</v>
      </c>
      <c r="BX963" s="138" t="e">
        <f aca="false">(DATOS_[[#This Row],[S.BASE]]*(1/DATOS_[[#This Row],[% normaliz]])*(1/DATOS_[[#This Row],[% anualiz]]))*IF(DATOS_[[#This Row],[Check Equiparado]]="Sí",1,0)</f>
        <v>#DIV/0!</v>
      </c>
      <c r="BY96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3" s="138" t="e">
        <f aca="false">+DATOS_[[#This Row],[SALARIO BASE Eq]]+DATOS_[[#This Row],[Tot COMPL.SAL Eq]]</f>
        <v>#DIV/0!</v>
      </c>
      <c r="CA963" s="138" t="e">
        <f aca="false" t="array" ref="CA963:CA9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3" s="138" t="e">
        <f aca="false">+DATOS_[[#This Row],[TOTAL SALARIO Eq]]+DATOS_[[#This Row],[Tot Extrasalarial Eq]]</f>
        <v>#DIV/0!</v>
      </c>
      <c r="CC963" s="139" t="n">
        <f aca="false">DATOS_[[#This Row],[S.BASE]]</f>
        <v>0</v>
      </c>
      <c r="CD963" s="139" t="n">
        <f aca="false">+SUM(DATOS_[[#This Row],[Conc.Sal.01]:[Conc.Sal.30]])</f>
        <v>0</v>
      </c>
      <c r="CE963" s="139" t="n">
        <f aca="false">+DATOS_[[#This Row],[SALARIO BASE Ef]]+DATOS_[[#This Row],[Tot COMPL.SAL Ef]]</f>
        <v>0</v>
      </c>
      <c r="CF963" s="139" t="n">
        <f aca="false">+SUM(DATOS_[[#This Row],[C.Extra.01]:[C.Extra.05]])</f>
        <v>0</v>
      </c>
      <c r="CG963" s="139" t="n">
        <f aca="false">+DATOS_[[#This Row],[TOTAL SALARIO Ef]]+DATOS_[[#This Row],[Tot Extrasalarial Ef]]</f>
        <v>0</v>
      </c>
      <c r="CH963" s="140" t="n">
        <f aca="false">MIN(IF(DATOS_[[#This Row],[Fecha Fin Contrato]]="",$D$4,DATOS_[[#This Row],[Fecha Fin Contrato]]),$D$4)-MAX(DATOS_[[#This Row],[Fecha de Contratación]],$D$3)+1</f>
        <v>1</v>
      </c>
      <c r="CI963" s="141" t="str">
        <f aca="false">IF(COUNTIFS(DATOS_[id],DATOS_[[#This Row],[id]])&gt;1,DATOS_[[#This Row],[id]],"")</f>
        <v/>
      </c>
      <c r="CJ963" s="141" t="n">
        <f aca="false">(Inicio!$G$10-DATOS_[[#This Row],[Fecha Nacimiento]])/365.25</f>
        <v>0</v>
      </c>
      <c r="CK963" s="141" t="n">
        <f aca="false">(Inicio!$G$10-DATOS_[[#This Row],[Fecha de Antigüedad]])/365.25</f>
        <v>0</v>
      </c>
      <c r="CL963" s="141" t="e">
        <f aca="false">+VLOOKUP(DATOS_[[#This Row],[Clave de Contrato]],TblTiposContrato13[],3,0)</f>
        <v>#N/A</v>
      </c>
      <c r="CM963" s="141" t="e">
        <f aca="false">+VLOOKUP(DATOS_[[#This Row],[Clave de Contrato]],TblTiposContrato13[],4,0)</f>
        <v>#N/A</v>
      </c>
      <c r="CN963" s="141" t="str">
        <f aca="false">VLOOKUP(DATOS_[[#This Row],[Edad]],CONTRATOS!TblRngEdad,2,1)</f>
        <v>20  o menos</v>
      </c>
      <c r="CO963" s="141" t="str">
        <f aca="false">VLOOKUP(DATOS_[[#This Row],[Antigüedad]],TblRngAntg14[],2,1)</f>
        <v>0 a 1 años</v>
      </c>
    </row>
    <row r="964" customFormat="false" ht="13.8" hidden="false" customHeight="false" outlineLevel="0" collapsed="false">
      <c r="D964" s="128"/>
      <c r="E964" s="129"/>
      <c r="F964" s="129"/>
      <c r="G964" s="129"/>
      <c r="H964" s="130"/>
      <c r="I964" s="131"/>
      <c r="J964" s="128"/>
      <c r="K964" s="132"/>
      <c r="L964" s="132"/>
      <c r="M964" s="133"/>
      <c r="N964" s="133"/>
      <c r="O964" s="133"/>
      <c r="P964" s="129"/>
      <c r="Z964" s="75"/>
      <c r="AA964" s="76"/>
      <c r="AB964" s="76"/>
      <c r="AC964" s="129"/>
      <c r="AD964" s="134"/>
      <c r="AE964" s="134"/>
      <c r="AF964" s="134"/>
      <c r="AG964" s="134"/>
      <c r="AH964" s="134"/>
      <c r="AI964" s="134"/>
      <c r="AJ964" s="134"/>
      <c r="AK964" s="134"/>
      <c r="AL964" s="134"/>
      <c r="AM964" s="134"/>
      <c r="AN964" s="134"/>
      <c r="AO964" s="134"/>
      <c r="AP964" s="134"/>
      <c r="AQ964" s="134"/>
      <c r="AR964" s="134"/>
      <c r="AS964" s="134"/>
      <c r="AT964" s="134"/>
      <c r="AU964" s="134"/>
      <c r="AV964" s="134"/>
      <c r="AW964" s="134"/>
      <c r="AX964" s="134"/>
      <c r="AY964" s="134"/>
      <c r="AZ964" s="134"/>
      <c r="BA964" s="134"/>
      <c r="BB964" s="134"/>
      <c r="BC964" s="134"/>
      <c r="BD964" s="134"/>
      <c r="BE964" s="134"/>
      <c r="BF964" s="134"/>
      <c r="BG964" s="134"/>
      <c r="BH964" s="134"/>
      <c r="BI964" s="134"/>
      <c r="BJ964" s="134"/>
      <c r="BK964" s="134"/>
      <c r="BL964" s="134"/>
      <c r="BM964" s="135"/>
      <c r="BN964" s="136" t="n">
        <f aca="false">+MAX($D$3,DATOS_[[#This Row],[Fecha Inicio Sit. Contract.]])</f>
        <v>0</v>
      </c>
      <c r="BO964" s="136" t="n">
        <f aca="false">+MIN($D$4,DATOS_[[#This Row],[Fecha Fin Sit. Contract.]])</f>
        <v>0</v>
      </c>
      <c r="BP964" s="137" t="n">
        <f aca="false">+DATOS_[[#This Row],[% de jornada]]*IF(DATOS_[[#This Row],[% jornada reducida]]="",1,DATOS_[[#This Row],[% jornada reducida]])</f>
        <v>0</v>
      </c>
      <c r="BQ964" s="137" t="n">
        <f aca="false">+(DATOS_[[#This Row],[F.fin.cal]]-DATOS_[[#This Row],[F.ini.cal]]+1)/($D$4-$D$3+1)</f>
        <v>1</v>
      </c>
      <c r="BR964" s="137" t="str">
        <f aca="false">IF(OR(AND(DATOS_[[#This Row],[Fecha Fin Contrato]]&lt;$D$3,DATOS_[[#This Row],[Fecha Fin Contrato]]&lt;&gt;""),DATOS_[[#This Row],[Fecha de Contratación]]&gt;$D$4),"Fuera","Dentro")</f>
        <v>Dentro</v>
      </c>
      <c r="BS964" s="137" t="str">
        <f aca="false" t="array" ref="BS964:BS964">IF(MAX(IF(DATOS_[id]=DATOS_[[#This Row],[id]],DATOS_[F.fin.cal]))=DATOS_[[#This Row],[F.fin.cal]],"Sí","NO")</f>
        <v>Sí</v>
      </c>
      <c r="BT964" s="137" t="str">
        <f aca="false">IF(AND(DATOS_[[#This Row],[% normaliz]]&lt;&gt;1,DATOS_[[#This Row],[% anualiz]]=1),"Sí","NO")</f>
        <v>Sí</v>
      </c>
      <c r="BU964" s="137" t="str">
        <f aca="false">IF(AND(DATOS_[[#This Row],[% normaliz]]=1,DATOS_[[#This Row],[% anualiz]]&lt;&gt;1),"Sí","NO")</f>
        <v>NO</v>
      </c>
      <c r="BV964" s="137" t="str">
        <f aca="false">IF(AND(DATOS_[[#This Row],[% normaliz]]&lt;&gt;1,DATOS_[[#This Row],[% anualiz]]&lt;&gt;1),"Sí","NO")</f>
        <v>NO</v>
      </c>
      <c r="BW964" s="137" t="str">
        <f aca="false">+IF(DATOS_[[#This Row],[% normaliz]]*DATOS_[[#This Row],[% anualiz]]=1,"NO","Sí")</f>
        <v>Sí</v>
      </c>
      <c r="BX964" s="138" t="e">
        <f aca="false">(DATOS_[[#This Row],[S.BASE]]*(1/DATOS_[[#This Row],[% normaliz]])*(1/DATOS_[[#This Row],[% anualiz]]))*IF(DATOS_[[#This Row],[Check Equiparado]]="Sí",1,0)</f>
        <v>#DIV/0!</v>
      </c>
      <c r="BY96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4" s="138" t="e">
        <f aca="false">+DATOS_[[#This Row],[SALARIO BASE Eq]]+DATOS_[[#This Row],[Tot COMPL.SAL Eq]]</f>
        <v>#DIV/0!</v>
      </c>
      <c r="CA964" s="138" t="e">
        <f aca="false" t="array" ref="CA964:CA9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4" s="138" t="e">
        <f aca="false">+DATOS_[[#This Row],[TOTAL SALARIO Eq]]+DATOS_[[#This Row],[Tot Extrasalarial Eq]]</f>
        <v>#DIV/0!</v>
      </c>
      <c r="CC964" s="139" t="n">
        <f aca="false">DATOS_[[#This Row],[S.BASE]]</f>
        <v>0</v>
      </c>
      <c r="CD964" s="139" t="n">
        <f aca="false">+SUM(DATOS_[[#This Row],[Conc.Sal.01]:[Conc.Sal.30]])</f>
        <v>0</v>
      </c>
      <c r="CE964" s="139" t="n">
        <f aca="false">+DATOS_[[#This Row],[SALARIO BASE Ef]]+DATOS_[[#This Row],[Tot COMPL.SAL Ef]]</f>
        <v>0</v>
      </c>
      <c r="CF964" s="139" t="n">
        <f aca="false">+SUM(DATOS_[[#This Row],[C.Extra.01]:[C.Extra.05]])</f>
        <v>0</v>
      </c>
      <c r="CG964" s="139" t="n">
        <f aca="false">+DATOS_[[#This Row],[TOTAL SALARIO Ef]]+DATOS_[[#This Row],[Tot Extrasalarial Ef]]</f>
        <v>0</v>
      </c>
      <c r="CH964" s="140" t="n">
        <f aca="false">MIN(IF(DATOS_[[#This Row],[Fecha Fin Contrato]]="",$D$4,DATOS_[[#This Row],[Fecha Fin Contrato]]),$D$4)-MAX(DATOS_[[#This Row],[Fecha de Contratación]],$D$3)+1</f>
        <v>1</v>
      </c>
      <c r="CI964" s="141" t="str">
        <f aca="false">IF(COUNTIFS(DATOS_[id],DATOS_[[#This Row],[id]])&gt;1,DATOS_[[#This Row],[id]],"")</f>
        <v/>
      </c>
      <c r="CJ964" s="141" t="n">
        <f aca="false">(Inicio!$G$10-DATOS_[[#This Row],[Fecha Nacimiento]])/365.25</f>
        <v>0</v>
      </c>
      <c r="CK964" s="141" t="n">
        <f aca="false">(Inicio!$G$10-DATOS_[[#This Row],[Fecha de Antigüedad]])/365.25</f>
        <v>0</v>
      </c>
      <c r="CL964" s="141" t="e">
        <f aca="false">+VLOOKUP(DATOS_[[#This Row],[Clave de Contrato]],TblTiposContrato13[],3,0)</f>
        <v>#N/A</v>
      </c>
      <c r="CM964" s="141" t="e">
        <f aca="false">+VLOOKUP(DATOS_[[#This Row],[Clave de Contrato]],TblTiposContrato13[],4,0)</f>
        <v>#N/A</v>
      </c>
      <c r="CN964" s="141" t="str">
        <f aca="false">VLOOKUP(DATOS_[[#This Row],[Edad]],CONTRATOS!TblRngEdad,2,1)</f>
        <v>20  o menos</v>
      </c>
      <c r="CO964" s="141" t="str">
        <f aca="false">VLOOKUP(DATOS_[[#This Row],[Antigüedad]],TblRngAntg14[],2,1)</f>
        <v>0 a 1 años</v>
      </c>
    </row>
    <row r="965" customFormat="false" ht="13.8" hidden="false" customHeight="false" outlineLevel="0" collapsed="false">
      <c r="D965" s="128"/>
      <c r="E965" s="129"/>
      <c r="F965" s="129"/>
      <c r="G965" s="129"/>
      <c r="H965" s="130"/>
      <c r="I965" s="131"/>
      <c r="J965" s="128"/>
      <c r="K965" s="132"/>
      <c r="L965" s="132"/>
      <c r="M965" s="133"/>
      <c r="N965" s="133"/>
      <c r="O965" s="133"/>
      <c r="P965" s="129"/>
      <c r="Z965" s="75"/>
      <c r="AA965" s="76"/>
      <c r="AB965" s="76"/>
      <c r="AC965" s="129"/>
      <c r="AD965" s="134"/>
      <c r="AE965" s="134"/>
      <c r="AF965" s="134"/>
      <c r="AG965" s="134"/>
      <c r="AH965" s="134"/>
      <c r="AI965" s="134"/>
      <c r="AJ965" s="134"/>
      <c r="AK965" s="134"/>
      <c r="AL965" s="134"/>
      <c r="AM965" s="134"/>
      <c r="AN965" s="134"/>
      <c r="AO965" s="134"/>
      <c r="AP965" s="134"/>
      <c r="AQ965" s="134"/>
      <c r="AR965" s="134"/>
      <c r="AS965" s="134"/>
      <c r="AT965" s="134"/>
      <c r="AU965" s="134"/>
      <c r="AV965" s="134"/>
      <c r="AW965" s="134"/>
      <c r="AX965" s="134"/>
      <c r="AY965" s="134"/>
      <c r="AZ965" s="134"/>
      <c r="BA965" s="134"/>
      <c r="BB965" s="134"/>
      <c r="BC965" s="134"/>
      <c r="BD965" s="134"/>
      <c r="BE965" s="134"/>
      <c r="BF965" s="134"/>
      <c r="BG965" s="134"/>
      <c r="BH965" s="134"/>
      <c r="BI965" s="134"/>
      <c r="BJ965" s="134"/>
      <c r="BK965" s="134"/>
      <c r="BL965" s="134"/>
      <c r="BM965" s="135"/>
      <c r="BN965" s="136" t="n">
        <f aca="false">+MAX($D$3,DATOS_[[#This Row],[Fecha Inicio Sit. Contract.]])</f>
        <v>0</v>
      </c>
      <c r="BO965" s="136" t="n">
        <f aca="false">+MIN($D$4,DATOS_[[#This Row],[Fecha Fin Sit. Contract.]])</f>
        <v>0</v>
      </c>
      <c r="BP965" s="137" t="n">
        <f aca="false">+DATOS_[[#This Row],[% de jornada]]*IF(DATOS_[[#This Row],[% jornada reducida]]="",1,DATOS_[[#This Row],[% jornada reducida]])</f>
        <v>0</v>
      </c>
      <c r="BQ965" s="137" t="n">
        <f aca="false">+(DATOS_[[#This Row],[F.fin.cal]]-DATOS_[[#This Row],[F.ini.cal]]+1)/($D$4-$D$3+1)</f>
        <v>1</v>
      </c>
      <c r="BR965" s="137" t="str">
        <f aca="false">IF(OR(AND(DATOS_[[#This Row],[Fecha Fin Contrato]]&lt;$D$3,DATOS_[[#This Row],[Fecha Fin Contrato]]&lt;&gt;""),DATOS_[[#This Row],[Fecha de Contratación]]&gt;$D$4),"Fuera","Dentro")</f>
        <v>Dentro</v>
      </c>
      <c r="BS965" s="137" t="str">
        <f aca="false" t="array" ref="BS965:BS965">IF(MAX(IF(DATOS_[id]=DATOS_[[#This Row],[id]],DATOS_[F.fin.cal]))=DATOS_[[#This Row],[F.fin.cal]],"Sí","NO")</f>
        <v>Sí</v>
      </c>
      <c r="BT965" s="137" t="str">
        <f aca="false">IF(AND(DATOS_[[#This Row],[% normaliz]]&lt;&gt;1,DATOS_[[#This Row],[% anualiz]]=1),"Sí","NO")</f>
        <v>Sí</v>
      </c>
      <c r="BU965" s="137" t="str">
        <f aca="false">IF(AND(DATOS_[[#This Row],[% normaliz]]=1,DATOS_[[#This Row],[% anualiz]]&lt;&gt;1),"Sí","NO")</f>
        <v>NO</v>
      </c>
      <c r="BV965" s="137" t="str">
        <f aca="false">IF(AND(DATOS_[[#This Row],[% normaliz]]&lt;&gt;1,DATOS_[[#This Row],[% anualiz]]&lt;&gt;1),"Sí","NO")</f>
        <v>NO</v>
      </c>
      <c r="BW965" s="137" t="str">
        <f aca="false">+IF(DATOS_[[#This Row],[% normaliz]]*DATOS_[[#This Row],[% anualiz]]=1,"NO","Sí")</f>
        <v>Sí</v>
      </c>
      <c r="BX965" s="138" t="e">
        <f aca="false">(DATOS_[[#This Row],[S.BASE]]*(1/DATOS_[[#This Row],[% normaliz]])*(1/DATOS_[[#This Row],[% anualiz]]))*IF(DATOS_[[#This Row],[Check Equiparado]]="Sí",1,0)</f>
        <v>#DIV/0!</v>
      </c>
      <c r="BY96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5" s="138" t="e">
        <f aca="false">+DATOS_[[#This Row],[SALARIO BASE Eq]]+DATOS_[[#This Row],[Tot COMPL.SAL Eq]]</f>
        <v>#DIV/0!</v>
      </c>
      <c r="CA965" s="138" t="e">
        <f aca="false" t="array" ref="CA965:CA9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5" s="138" t="e">
        <f aca="false">+DATOS_[[#This Row],[TOTAL SALARIO Eq]]+DATOS_[[#This Row],[Tot Extrasalarial Eq]]</f>
        <v>#DIV/0!</v>
      </c>
      <c r="CC965" s="139" t="n">
        <f aca="false">DATOS_[[#This Row],[S.BASE]]</f>
        <v>0</v>
      </c>
      <c r="CD965" s="139" t="n">
        <f aca="false">+SUM(DATOS_[[#This Row],[Conc.Sal.01]:[Conc.Sal.30]])</f>
        <v>0</v>
      </c>
      <c r="CE965" s="139" t="n">
        <f aca="false">+DATOS_[[#This Row],[SALARIO BASE Ef]]+DATOS_[[#This Row],[Tot COMPL.SAL Ef]]</f>
        <v>0</v>
      </c>
      <c r="CF965" s="139" t="n">
        <f aca="false">+SUM(DATOS_[[#This Row],[C.Extra.01]:[C.Extra.05]])</f>
        <v>0</v>
      </c>
      <c r="CG965" s="139" t="n">
        <f aca="false">+DATOS_[[#This Row],[TOTAL SALARIO Ef]]+DATOS_[[#This Row],[Tot Extrasalarial Ef]]</f>
        <v>0</v>
      </c>
      <c r="CH965" s="140" t="n">
        <f aca="false">MIN(IF(DATOS_[[#This Row],[Fecha Fin Contrato]]="",$D$4,DATOS_[[#This Row],[Fecha Fin Contrato]]),$D$4)-MAX(DATOS_[[#This Row],[Fecha de Contratación]],$D$3)+1</f>
        <v>1</v>
      </c>
      <c r="CI965" s="141" t="str">
        <f aca="false">IF(COUNTIFS(DATOS_[id],DATOS_[[#This Row],[id]])&gt;1,DATOS_[[#This Row],[id]],"")</f>
        <v/>
      </c>
      <c r="CJ965" s="141" t="n">
        <f aca="false">(Inicio!$G$10-DATOS_[[#This Row],[Fecha Nacimiento]])/365.25</f>
        <v>0</v>
      </c>
      <c r="CK965" s="141" t="n">
        <f aca="false">(Inicio!$G$10-DATOS_[[#This Row],[Fecha de Antigüedad]])/365.25</f>
        <v>0</v>
      </c>
      <c r="CL965" s="141" t="e">
        <f aca="false">+VLOOKUP(DATOS_[[#This Row],[Clave de Contrato]],TblTiposContrato13[],3,0)</f>
        <v>#N/A</v>
      </c>
      <c r="CM965" s="141" t="e">
        <f aca="false">+VLOOKUP(DATOS_[[#This Row],[Clave de Contrato]],TblTiposContrato13[],4,0)</f>
        <v>#N/A</v>
      </c>
      <c r="CN965" s="141" t="str">
        <f aca="false">VLOOKUP(DATOS_[[#This Row],[Edad]],CONTRATOS!TblRngEdad,2,1)</f>
        <v>20  o menos</v>
      </c>
      <c r="CO965" s="141" t="str">
        <f aca="false">VLOOKUP(DATOS_[[#This Row],[Antigüedad]],TblRngAntg14[],2,1)</f>
        <v>0 a 1 años</v>
      </c>
    </row>
    <row r="966" customFormat="false" ht="13.8" hidden="false" customHeight="false" outlineLevel="0" collapsed="false">
      <c r="D966" s="128"/>
      <c r="E966" s="129"/>
      <c r="F966" s="129"/>
      <c r="G966" s="129"/>
      <c r="H966" s="130"/>
      <c r="I966" s="131"/>
      <c r="J966" s="128"/>
      <c r="K966" s="132"/>
      <c r="L966" s="132"/>
      <c r="M966" s="133"/>
      <c r="N966" s="133"/>
      <c r="O966" s="133"/>
      <c r="P966" s="129"/>
      <c r="Z966" s="75"/>
      <c r="AA966" s="76"/>
      <c r="AB966" s="76"/>
      <c r="AC966" s="129"/>
      <c r="AD966" s="134"/>
      <c r="AE966" s="134"/>
      <c r="AF966" s="134"/>
      <c r="AG966" s="134"/>
      <c r="AH966" s="134"/>
      <c r="AI966" s="134"/>
      <c r="AJ966" s="134"/>
      <c r="AK966" s="134"/>
      <c r="AL966" s="134"/>
      <c r="AM966" s="134"/>
      <c r="AN966" s="134"/>
      <c r="AO966" s="134"/>
      <c r="AP966" s="134"/>
      <c r="AQ966" s="134"/>
      <c r="AR966" s="134"/>
      <c r="AS966" s="134"/>
      <c r="AT966" s="134"/>
      <c r="AU966" s="134"/>
      <c r="AV966" s="134"/>
      <c r="AW966" s="134"/>
      <c r="AX966" s="134"/>
      <c r="AY966" s="134"/>
      <c r="AZ966" s="134"/>
      <c r="BA966" s="134"/>
      <c r="BB966" s="134"/>
      <c r="BC966" s="134"/>
      <c r="BD966" s="134"/>
      <c r="BE966" s="134"/>
      <c r="BF966" s="134"/>
      <c r="BG966" s="134"/>
      <c r="BH966" s="134"/>
      <c r="BI966" s="134"/>
      <c r="BJ966" s="134"/>
      <c r="BK966" s="134"/>
      <c r="BL966" s="134"/>
      <c r="BM966" s="135"/>
      <c r="BN966" s="136" t="n">
        <f aca="false">+MAX($D$3,DATOS_[[#This Row],[Fecha Inicio Sit. Contract.]])</f>
        <v>0</v>
      </c>
      <c r="BO966" s="136" t="n">
        <f aca="false">+MIN($D$4,DATOS_[[#This Row],[Fecha Fin Sit. Contract.]])</f>
        <v>0</v>
      </c>
      <c r="BP966" s="137" t="n">
        <f aca="false">+DATOS_[[#This Row],[% de jornada]]*IF(DATOS_[[#This Row],[% jornada reducida]]="",1,DATOS_[[#This Row],[% jornada reducida]])</f>
        <v>0</v>
      </c>
      <c r="BQ966" s="137" t="n">
        <f aca="false">+(DATOS_[[#This Row],[F.fin.cal]]-DATOS_[[#This Row],[F.ini.cal]]+1)/($D$4-$D$3+1)</f>
        <v>1</v>
      </c>
      <c r="BR966" s="137" t="str">
        <f aca="false">IF(OR(AND(DATOS_[[#This Row],[Fecha Fin Contrato]]&lt;$D$3,DATOS_[[#This Row],[Fecha Fin Contrato]]&lt;&gt;""),DATOS_[[#This Row],[Fecha de Contratación]]&gt;$D$4),"Fuera","Dentro")</f>
        <v>Dentro</v>
      </c>
      <c r="BS966" s="137" t="str">
        <f aca="false" t="array" ref="BS966:BS966">IF(MAX(IF(DATOS_[id]=DATOS_[[#This Row],[id]],DATOS_[F.fin.cal]))=DATOS_[[#This Row],[F.fin.cal]],"Sí","NO")</f>
        <v>Sí</v>
      </c>
      <c r="BT966" s="137" t="str">
        <f aca="false">IF(AND(DATOS_[[#This Row],[% normaliz]]&lt;&gt;1,DATOS_[[#This Row],[% anualiz]]=1),"Sí","NO")</f>
        <v>Sí</v>
      </c>
      <c r="BU966" s="137" t="str">
        <f aca="false">IF(AND(DATOS_[[#This Row],[% normaliz]]=1,DATOS_[[#This Row],[% anualiz]]&lt;&gt;1),"Sí","NO")</f>
        <v>NO</v>
      </c>
      <c r="BV966" s="137" t="str">
        <f aca="false">IF(AND(DATOS_[[#This Row],[% normaliz]]&lt;&gt;1,DATOS_[[#This Row],[% anualiz]]&lt;&gt;1),"Sí","NO")</f>
        <v>NO</v>
      </c>
      <c r="BW966" s="137" t="str">
        <f aca="false">+IF(DATOS_[[#This Row],[% normaliz]]*DATOS_[[#This Row],[% anualiz]]=1,"NO","Sí")</f>
        <v>Sí</v>
      </c>
      <c r="BX966" s="138" t="e">
        <f aca="false">(DATOS_[[#This Row],[S.BASE]]*(1/DATOS_[[#This Row],[% normaliz]])*(1/DATOS_[[#This Row],[% anualiz]]))*IF(DATOS_[[#This Row],[Check Equiparado]]="Sí",1,0)</f>
        <v>#DIV/0!</v>
      </c>
      <c r="BY96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6" s="138" t="e">
        <f aca="false">+DATOS_[[#This Row],[SALARIO BASE Eq]]+DATOS_[[#This Row],[Tot COMPL.SAL Eq]]</f>
        <v>#DIV/0!</v>
      </c>
      <c r="CA966" s="138" t="e">
        <f aca="false" t="array" ref="CA966:CA9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6" s="138" t="e">
        <f aca="false">+DATOS_[[#This Row],[TOTAL SALARIO Eq]]+DATOS_[[#This Row],[Tot Extrasalarial Eq]]</f>
        <v>#DIV/0!</v>
      </c>
      <c r="CC966" s="139" t="n">
        <f aca="false">DATOS_[[#This Row],[S.BASE]]</f>
        <v>0</v>
      </c>
      <c r="CD966" s="139" t="n">
        <f aca="false">+SUM(DATOS_[[#This Row],[Conc.Sal.01]:[Conc.Sal.30]])</f>
        <v>0</v>
      </c>
      <c r="CE966" s="139" t="n">
        <f aca="false">+DATOS_[[#This Row],[SALARIO BASE Ef]]+DATOS_[[#This Row],[Tot COMPL.SAL Ef]]</f>
        <v>0</v>
      </c>
      <c r="CF966" s="139" t="n">
        <f aca="false">+SUM(DATOS_[[#This Row],[C.Extra.01]:[C.Extra.05]])</f>
        <v>0</v>
      </c>
      <c r="CG966" s="139" t="n">
        <f aca="false">+DATOS_[[#This Row],[TOTAL SALARIO Ef]]+DATOS_[[#This Row],[Tot Extrasalarial Ef]]</f>
        <v>0</v>
      </c>
      <c r="CH966" s="140" t="n">
        <f aca="false">MIN(IF(DATOS_[[#This Row],[Fecha Fin Contrato]]="",$D$4,DATOS_[[#This Row],[Fecha Fin Contrato]]),$D$4)-MAX(DATOS_[[#This Row],[Fecha de Contratación]],$D$3)+1</f>
        <v>1</v>
      </c>
      <c r="CI966" s="141" t="str">
        <f aca="false">IF(COUNTIFS(DATOS_[id],DATOS_[[#This Row],[id]])&gt;1,DATOS_[[#This Row],[id]],"")</f>
        <v/>
      </c>
      <c r="CJ966" s="141" t="n">
        <f aca="false">(Inicio!$G$10-DATOS_[[#This Row],[Fecha Nacimiento]])/365.25</f>
        <v>0</v>
      </c>
      <c r="CK966" s="141" t="n">
        <f aca="false">(Inicio!$G$10-DATOS_[[#This Row],[Fecha de Antigüedad]])/365.25</f>
        <v>0</v>
      </c>
      <c r="CL966" s="141" t="e">
        <f aca="false">+VLOOKUP(DATOS_[[#This Row],[Clave de Contrato]],TblTiposContrato13[],3,0)</f>
        <v>#N/A</v>
      </c>
      <c r="CM966" s="141" t="e">
        <f aca="false">+VLOOKUP(DATOS_[[#This Row],[Clave de Contrato]],TblTiposContrato13[],4,0)</f>
        <v>#N/A</v>
      </c>
      <c r="CN966" s="141" t="str">
        <f aca="false">VLOOKUP(DATOS_[[#This Row],[Edad]],CONTRATOS!TblRngEdad,2,1)</f>
        <v>20  o menos</v>
      </c>
      <c r="CO966" s="141" t="str">
        <f aca="false">VLOOKUP(DATOS_[[#This Row],[Antigüedad]],TblRngAntg14[],2,1)</f>
        <v>0 a 1 años</v>
      </c>
    </row>
    <row r="967" customFormat="false" ht="13.8" hidden="false" customHeight="false" outlineLevel="0" collapsed="false">
      <c r="D967" s="128"/>
      <c r="E967" s="129"/>
      <c r="F967" s="129"/>
      <c r="G967" s="129"/>
      <c r="H967" s="130"/>
      <c r="I967" s="131"/>
      <c r="J967" s="128"/>
      <c r="K967" s="132"/>
      <c r="L967" s="132"/>
      <c r="M967" s="133"/>
      <c r="N967" s="133"/>
      <c r="O967" s="133"/>
      <c r="P967" s="129"/>
      <c r="Z967" s="75"/>
      <c r="AA967" s="76"/>
      <c r="AB967" s="76"/>
      <c r="AC967" s="129"/>
      <c r="AD967" s="134"/>
      <c r="AE967" s="134"/>
      <c r="AF967" s="134"/>
      <c r="AG967" s="134"/>
      <c r="AH967" s="134"/>
      <c r="AI967" s="134"/>
      <c r="AJ967" s="134"/>
      <c r="AK967" s="134"/>
      <c r="AL967" s="134"/>
      <c r="AM967" s="134"/>
      <c r="AN967" s="134"/>
      <c r="AO967" s="134"/>
      <c r="AP967" s="134"/>
      <c r="AQ967" s="134"/>
      <c r="AR967" s="134"/>
      <c r="AS967" s="134"/>
      <c r="AT967" s="134"/>
      <c r="AU967" s="134"/>
      <c r="AV967" s="134"/>
      <c r="AW967" s="134"/>
      <c r="AX967" s="134"/>
      <c r="AY967" s="134"/>
      <c r="AZ967" s="134"/>
      <c r="BA967" s="134"/>
      <c r="BB967" s="134"/>
      <c r="BC967" s="134"/>
      <c r="BD967" s="134"/>
      <c r="BE967" s="134"/>
      <c r="BF967" s="134"/>
      <c r="BG967" s="134"/>
      <c r="BH967" s="134"/>
      <c r="BI967" s="134"/>
      <c r="BJ967" s="134"/>
      <c r="BK967" s="134"/>
      <c r="BL967" s="134"/>
      <c r="BM967" s="135"/>
      <c r="BN967" s="136" t="n">
        <f aca="false">+MAX($D$3,DATOS_[[#This Row],[Fecha Inicio Sit. Contract.]])</f>
        <v>0</v>
      </c>
      <c r="BO967" s="136" t="n">
        <f aca="false">+MIN($D$4,DATOS_[[#This Row],[Fecha Fin Sit. Contract.]])</f>
        <v>0</v>
      </c>
      <c r="BP967" s="137" t="n">
        <f aca="false">+DATOS_[[#This Row],[% de jornada]]*IF(DATOS_[[#This Row],[% jornada reducida]]="",1,DATOS_[[#This Row],[% jornada reducida]])</f>
        <v>0</v>
      </c>
      <c r="BQ967" s="137" t="n">
        <f aca="false">+(DATOS_[[#This Row],[F.fin.cal]]-DATOS_[[#This Row],[F.ini.cal]]+1)/($D$4-$D$3+1)</f>
        <v>1</v>
      </c>
      <c r="BR967" s="137" t="str">
        <f aca="false">IF(OR(AND(DATOS_[[#This Row],[Fecha Fin Contrato]]&lt;$D$3,DATOS_[[#This Row],[Fecha Fin Contrato]]&lt;&gt;""),DATOS_[[#This Row],[Fecha de Contratación]]&gt;$D$4),"Fuera","Dentro")</f>
        <v>Dentro</v>
      </c>
      <c r="BS967" s="137" t="str">
        <f aca="false" t="array" ref="BS967:BS967">IF(MAX(IF(DATOS_[id]=DATOS_[[#This Row],[id]],DATOS_[F.fin.cal]))=DATOS_[[#This Row],[F.fin.cal]],"Sí","NO")</f>
        <v>Sí</v>
      </c>
      <c r="BT967" s="137" t="str">
        <f aca="false">IF(AND(DATOS_[[#This Row],[% normaliz]]&lt;&gt;1,DATOS_[[#This Row],[% anualiz]]=1),"Sí","NO")</f>
        <v>Sí</v>
      </c>
      <c r="BU967" s="137" t="str">
        <f aca="false">IF(AND(DATOS_[[#This Row],[% normaliz]]=1,DATOS_[[#This Row],[% anualiz]]&lt;&gt;1),"Sí","NO")</f>
        <v>NO</v>
      </c>
      <c r="BV967" s="137" t="str">
        <f aca="false">IF(AND(DATOS_[[#This Row],[% normaliz]]&lt;&gt;1,DATOS_[[#This Row],[% anualiz]]&lt;&gt;1),"Sí","NO")</f>
        <v>NO</v>
      </c>
      <c r="BW967" s="137" t="str">
        <f aca="false">+IF(DATOS_[[#This Row],[% normaliz]]*DATOS_[[#This Row],[% anualiz]]=1,"NO","Sí")</f>
        <v>Sí</v>
      </c>
      <c r="BX967" s="138" t="e">
        <f aca="false">(DATOS_[[#This Row],[S.BASE]]*(1/DATOS_[[#This Row],[% normaliz]])*(1/DATOS_[[#This Row],[% anualiz]]))*IF(DATOS_[[#This Row],[Check Equiparado]]="Sí",1,0)</f>
        <v>#DIV/0!</v>
      </c>
      <c r="BY96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7" s="138" t="e">
        <f aca="false">+DATOS_[[#This Row],[SALARIO BASE Eq]]+DATOS_[[#This Row],[Tot COMPL.SAL Eq]]</f>
        <v>#DIV/0!</v>
      </c>
      <c r="CA967" s="138" t="e">
        <f aca="false" t="array" ref="CA967:CA9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7" s="138" t="e">
        <f aca="false">+DATOS_[[#This Row],[TOTAL SALARIO Eq]]+DATOS_[[#This Row],[Tot Extrasalarial Eq]]</f>
        <v>#DIV/0!</v>
      </c>
      <c r="CC967" s="139" t="n">
        <f aca="false">DATOS_[[#This Row],[S.BASE]]</f>
        <v>0</v>
      </c>
      <c r="CD967" s="139" t="n">
        <f aca="false">+SUM(DATOS_[[#This Row],[Conc.Sal.01]:[Conc.Sal.30]])</f>
        <v>0</v>
      </c>
      <c r="CE967" s="139" t="n">
        <f aca="false">+DATOS_[[#This Row],[SALARIO BASE Ef]]+DATOS_[[#This Row],[Tot COMPL.SAL Ef]]</f>
        <v>0</v>
      </c>
      <c r="CF967" s="139" t="n">
        <f aca="false">+SUM(DATOS_[[#This Row],[C.Extra.01]:[C.Extra.05]])</f>
        <v>0</v>
      </c>
      <c r="CG967" s="139" t="n">
        <f aca="false">+DATOS_[[#This Row],[TOTAL SALARIO Ef]]+DATOS_[[#This Row],[Tot Extrasalarial Ef]]</f>
        <v>0</v>
      </c>
      <c r="CH967" s="140" t="n">
        <f aca="false">MIN(IF(DATOS_[[#This Row],[Fecha Fin Contrato]]="",$D$4,DATOS_[[#This Row],[Fecha Fin Contrato]]),$D$4)-MAX(DATOS_[[#This Row],[Fecha de Contratación]],$D$3)+1</f>
        <v>1</v>
      </c>
      <c r="CI967" s="141" t="str">
        <f aca="false">IF(COUNTIFS(DATOS_[id],DATOS_[[#This Row],[id]])&gt;1,DATOS_[[#This Row],[id]],"")</f>
        <v/>
      </c>
      <c r="CJ967" s="141" t="n">
        <f aca="false">(Inicio!$G$10-DATOS_[[#This Row],[Fecha Nacimiento]])/365.25</f>
        <v>0</v>
      </c>
      <c r="CK967" s="141" t="n">
        <f aca="false">(Inicio!$G$10-DATOS_[[#This Row],[Fecha de Antigüedad]])/365.25</f>
        <v>0</v>
      </c>
      <c r="CL967" s="141" t="e">
        <f aca="false">+VLOOKUP(DATOS_[[#This Row],[Clave de Contrato]],TblTiposContrato13[],3,0)</f>
        <v>#N/A</v>
      </c>
      <c r="CM967" s="141" t="e">
        <f aca="false">+VLOOKUP(DATOS_[[#This Row],[Clave de Contrato]],TblTiposContrato13[],4,0)</f>
        <v>#N/A</v>
      </c>
      <c r="CN967" s="141" t="str">
        <f aca="false">VLOOKUP(DATOS_[[#This Row],[Edad]],CONTRATOS!TblRngEdad,2,1)</f>
        <v>20  o menos</v>
      </c>
      <c r="CO967" s="141" t="str">
        <f aca="false">VLOOKUP(DATOS_[[#This Row],[Antigüedad]],TblRngAntg14[],2,1)</f>
        <v>0 a 1 años</v>
      </c>
    </row>
    <row r="968" customFormat="false" ht="13.8" hidden="false" customHeight="false" outlineLevel="0" collapsed="false">
      <c r="D968" s="128"/>
      <c r="E968" s="129"/>
      <c r="F968" s="129"/>
      <c r="G968" s="129"/>
      <c r="H968" s="130"/>
      <c r="I968" s="131"/>
      <c r="J968" s="128"/>
      <c r="K968" s="132"/>
      <c r="L968" s="132"/>
      <c r="M968" s="133"/>
      <c r="N968" s="133"/>
      <c r="O968" s="133"/>
      <c r="P968" s="129"/>
      <c r="Z968" s="75"/>
      <c r="AA968" s="76"/>
      <c r="AB968" s="76"/>
      <c r="AC968" s="129"/>
      <c r="AD968" s="134"/>
      <c r="AE968" s="134"/>
      <c r="AF968" s="134"/>
      <c r="AG968" s="134"/>
      <c r="AH968" s="134"/>
      <c r="AI968" s="134"/>
      <c r="AJ968" s="134"/>
      <c r="AK968" s="134"/>
      <c r="AL968" s="134"/>
      <c r="AM968" s="134"/>
      <c r="AN968" s="134"/>
      <c r="AO968" s="134"/>
      <c r="AP968" s="134"/>
      <c r="AQ968" s="134"/>
      <c r="AR968" s="134"/>
      <c r="AS968" s="134"/>
      <c r="AT968" s="134"/>
      <c r="AU968" s="134"/>
      <c r="AV968" s="134"/>
      <c r="AW968" s="134"/>
      <c r="AX968" s="134"/>
      <c r="AY968" s="134"/>
      <c r="AZ968" s="134"/>
      <c r="BA968" s="134"/>
      <c r="BB968" s="134"/>
      <c r="BC968" s="134"/>
      <c r="BD968" s="134"/>
      <c r="BE968" s="134"/>
      <c r="BF968" s="134"/>
      <c r="BG968" s="134"/>
      <c r="BH968" s="134"/>
      <c r="BI968" s="134"/>
      <c r="BJ968" s="134"/>
      <c r="BK968" s="134"/>
      <c r="BL968" s="134"/>
      <c r="BM968" s="135"/>
      <c r="BN968" s="136" t="n">
        <f aca="false">+MAX($D$3,DATOS_[[#This Row],[Fecha Inicio Sit. Contract.]])</f>
        <v>0</v>
      </c>
      <c r="BO968" s="136" t="n">
        <f aca="false">+MIN($D$4,DATOS_[[#This Row],[Fecha Fin Sit. Contract.]])</f>
        <v>0</v>
      </c>
      <c r="BP968" s="137" t="n">
        <f aca="false">+DATOS_[[#This Row],[% de jornada]]*IF(DATOS_[[#This Row],[% jornada reducida]]="",1,DATOS_[[#This Row],[% jornada reducida]])</f>
        <v>0</v>
      </c>
      <c r="BQ968" s="137" t="n">
        <f aca="false">+(DATOS_[[#This Row],[F.fin.cal]]-DATOS_[[#This Row],[F.ini.cal]]+1)/($D$4-$D$3+1)</f>
        <v>1</v>
      </c>
      <c r="BR968" s="137" t="str">
        <f aca="false">IF(OR(AND(DATOS_[[#This Row],[Fecha Fin Contrato]]&lt;$D$3,DATOS_[[#This Row],[Fecha Fin Contrato]]&lt;&gt;""),DATOS_[[#This Row],[Fecha de Contratación]]&gt;$D$4),"Fuera","Dentro")</f>
        <v>Dentro</v>
      </c>
      <c r="BS968" s="137" t="str">
        <f aca="false" t="array" ref="BS968:BS968">IF(MAX(IF(DATOS_[id]=DATOS_[[#This Row],[id]],DATOS_[F.fin.cal]))=DATOS_[[#This Row],[F.fin.cal]],"Sí","NO")</f>
        <v>Sí</v>
      </c>
      <c r="BT968" s="137" t="str">
        <f aca="false">IF(AND(DATOS_[[#This Row],[% normaliz]]&lt;&gt;1,DATOS_[[#This Row],[% anualiz]]=1),"Sí","NO")</f>
        <v>Sí</v>
      </c>
      <c r="BU968" s="137" t="str">
        <f aca="false">IF(AND(DATOS_[[#This Row],[% normaliz]]=1,DATOS_[[#This Row],[% anualiz]]&lt;&gt;1),"Sí","NO")</f>
        <v>NO</v>
      </c>
      <c r="BV968" s="137" t="str">
        <f aca="false">IF(AND(DATOS_[[#This Row],[% normaliz]]&lt;&gt;1,DATOS_[[#This Row],[% anualiz]]&lt;&gt;1),"Sí","NO")</f>
        <v>NO</v>
      </c>
      <c r="BW968" s="137" t="str">
        <f aca="false">+IF(DATOS_[[#This Row],[% normaliz]]*DATOS_[[#This Row],[% anualiz]]=1,"NO","Sí")</f>
        <v>Sí</v>
      </c>
      <c r="BX968" s="138" t="e">
        <f aca="false">(DATOS_[[#This Row],[S.BASE]]*(1/DATOS_[[#This Row],[% normaliz]])*(1/DATOS_[[#This Row],[% anualiz]]))*IF(DATOS_[[#This Row],[Check Equiparado]]="Sí",1,0)</f>
        <v>#DIV/0!</v>
      </c>
      <c r="BY96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8" s="138" t="e">
        <f aca="false">+DATOS_[[#This Row],[SALARIO BASE Eq]]+DATOS_[[#This Row],[Tot COMPL.SAL Eq]]</f>
        <v>#DIV/0!</v>
      </c>
      <c r="CA968" s="138" t="e">
        <f aca="false" t="array" ref="CA968:CA9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8" s="138" t="e">
        <f aca="false">+DATOS_[[#This Row],[TOTAL SALARIO Eq]]+DATOS_[[#This Row],[Tot Extrasalarial Eq]]</f>
        <v>#DIV/0!</v>
      </c>
      <c r="CC968" s="139" t="n">
        <f aca="false">DATOS_[[#This Row],[S.BASE]]</f>
        <v>0</v>
      </c>
      <c r="CD968" s="139" t="n">
        <f aca="false">+SUM(DATOS_[[#This Row],[Conc.Sal.01]:[Conc.Sal.30]])</f>
        <v>0</v>
      </c>
      <c r="CE968" s="139" t="n">
        <f aca="false">+DATOS_[[#This Row],[SALARIO BASE Ef]]+DATOS_[[#This Row],[Tot COMPL.SAL Ef]]</f>
        <v>0</v>
      </c>
      <c r="CF968" s="139" t="n">
        <f aca="false">+SUM(DATOS_[[#This Row],[C.Extra.01]:[C.Extra.05]])</f>
        <v>0</v>
      </c>
      <c r="CG968" s="139" t="n">
        <f aca="false">+DATOS_[[#This Row],[TOTAL SALARIO Ef]]+DATOS_[[#This Row],[Tot Extrasalarial Ef]]</f>
        <v>0</v>
      </c>
      <c r="CH968" s="140" t="n">
        <f aca="false">MIN(IF(DATOS_[[#This Row],[Fecha Fin Contrato]]="",$D$4,DATOS_[[#This Row],[Fecha Fin Contrato]]),$D$4)-MAX(DATOS_[[#This Row],[Fecha de Contratación]],$D$3)+1</f>
        <v>1</v>
      </c>
      <c r="CI968" s="141" t="str">
        <f aca="false">IF(COUNTIFS(DATOS_[id],DATOS_[[#This Row],[id]])&gt;1,DATOS_[[#This Row],[id]],"")</f>
        <v/>
      </c>
      <c r="CJ968" s="141" t="n">
        <f aca="false">(Inicio!$G$10-DATOS_[[#This Row],[Fecha Nacimiento]])/365.25</f>
        <v>0</v>
      </c>
      <c r="CK968" s="141" t="n">
        <f aca="false">(Inicio!$G$10-DATOS_[[#This Row],[Fecha de Antigüedad]])/365.25</f>
        <v>0</v>
      </c>
      <c r="CL968" s="141" t="e">
        <f aca="false">+VLOOKUP(DATOS_[[#This Row],[Clave de Contrato]],TblTiposContrato13[],3,0)</f>
        <v>#N/A</v>
      </c>
      <c r="CM968" s="141" t="e">
        <f aca="false">+VLOOKUP(DATOS_[[#This Row],[Clave de Contrato]],TblTiposContrato13[],4,0)</f>
        <v>#N/A</v>
      </c>
      <c r="CN968" s="141" t="str">
        <f aca="false">VLOOKUP(DATOS_[[#This Row],[Edad]],CONTRATOS!TblRngEdad,2,1)</f>
        <v>20  o menos</v>
      </c>
      <c r="CO968" s="141" t="str">
        <f aca="false">VLOOKUP(DATOS_[[#This Row],[Antigüedad]],TblRngAntg14[],2,1)</f>
        <v>0 a 1 años</v>
      </c>
    </row>
    <row r="969" customFormat="false" ht="13.8" hidden="false" customHeight="false" outlineLevel="0" collapsed="false">
      <c r="D969" s="128"/>
      <c r="E969" s="129"/>
      <c r="F969" s="129"/>
      <c r="G969" s="129"/>
      <c r="H969" s="130"/>
      <c r="I969" s="131"/>
      <c r="J969" s="128"/>
      <c r="K969" s="132"/>
      <c r="L969" s="132"/>
      <c r="M969" s="133"/>
      <c r="N969" s="133"/>
      <c r="O969" s="133"/>
      <c r="P969" s="129"/>
      <c r="Z969" s="75"/>
      <c r="AA969" s="76"/>
      <c r="AB969" s="76"/>
      <c r="AC969" s="129"/>
      <c r="AD969" s="134"/>
      <c r="AE969" s="134"/>
      <c r="AF969" s="134"/>
      <c r="AG969" s="134"/>
      <c r="AH969" s="134"/>
      <c r="AI969" s="134"/>
      <c r="AJ969" s="134"/>
      <c r="AK969" s="134"/>
      <c r="AL969" s="134"/>
      <c r="AM969" s="134"/>
      <c r="AN969" s="134"/>
      <c r="AO969" s="134"/>
      <c r="AP969" s="134"/>
      <c r="AQ969" s="134"/>
      <c r="AR969" s="134"/>
      <c r="AS969" s="134"/>
      <c r="AT969" s="134"/>
      <c r="AU969" s="134"/>
      <c r="AV969" s="134"/>
      <c r="AW969" s="134"/>
      <c r="AX969" s="134"/>
      <c r="AY969" s="134"/>
      <c r="AZ969" s="134"/>
      <c r="BA969" s="134"/>
      <c r="BB969" s="134"/>
      <c r="BC969" s="134"/>
      <c r="BD969" s="134"/>
      <c r="BE969" s="134"/>
      <c r="BF969" s="134"/>
      <c r="BG969" s="134"/>
      <c r="BH969" s="134"/>
      <c r="BI969" s="134"/>
      <c r="BJ969" s="134"/>
      <c r="BK969" s="134"/>
      <c r="BL969" s="134"/>
      <c r="BM969" s="135"/>
      <c r="BN969" s="136" t="n">
        <f aca="false">+MAX($D$3,DATOS_[[#This Row],[Fecha Inicio Sit. Contract.]])</f>
        <v>0</v>
      </c>
      <c r="BO969" s="136" t="n">
        <f aca="false">+MIN($D$4,DATOS_[[#This Row],[Fecha Fin Sit. Contract.]])</f>
        <v>0</v>
      </c>
      <c r="BP969" s="137" t="n">
        <f aca="false">+DATOS_[[#This Row],[% de jornada]]*IF(DATOS_[[#This Row],[% jornada reducida]]="",1,DATOS_[[#This Row],[% jornada reducida]])</f>
        <v>0</v>
      </c>
      <c r="BQ969" s="137" t="n">
        <f aca="false">+(DATOS_[[#This Row],[F.fin.cal]]-DATOS_[[#This Row],[F.ini.cal]]+1)/($D$4-$D$3+1)</f>
        <v>1</v>
      </c>
      <c r="BR969" s="137" t="str">
        <f aca="false">IF(OR(AND(DATOS_[[#This Row],[Fecha Fin Contrato]]&lt;$D$3,DATOS_[[#This Row],[Fecha Fin Contrato]]&lt;&gt;""),DATOS_[[#This Row],[Fecha de Contratación]]&gt;$D$4),"Fuera","Dentro")</f>
        <v>Dentro</v>
      </c>
      <c r="BS969" s="137" t="str">
        <f aca="false" t="array" ref="BS969:BS969">IF(MAX(IF(DATOS_[id]=DATOS_[[#This Row],[id]],DATOS_[F.fin.cal]))=DATOS_[[#This Row],[F.fin.cal]],"Sí","NO")</f>
        <v>Sí</v>
      </c>
      <c r="BT969" s="137" t="str">
        <f aca="false">IF(AND(DATOS_[[#This Row],[% normaliz]]&lt;&gt;1,DATOS_[[#This Row],[% anualiz]]=1),"Sí","NO")</f>
        <v>Sí</v>
      </c>
      <c r="BU969" s="137" t="str">
        <f aca="false">IF(AND(DATOS_[[#This Row],[% normaliz]]=1,DATOS_[[#This Row],[% anualiz]]&lt;&gt;1),"Sí","NO")</f>
        <v>NO</v>
      </c>
      <c r="BV969" s="137" t="str">
        <f aca="false">IF(AND(DATOS_[[#This Row],[% normaliz]]&lt;&gt;1,DATOS_[[#This Row],[% anualiz]]&lt;&gt;1),"Sí","NO")</f>
        <v>NO</v>
      </c>
      <c r="BW969" s="137" t="str">
        <f aca="false">+IF(DATOS_[[#This Row],[% normaliz]]*DATOS_[[#This Row],[% anualiz]]=1,"NO","Sí")</f>
        <v>Sí</v>
      </c>
      <c r="BX969" s="138" t="e">
        <f aca="false">(DATOS_[[#This Row],[S.BASE]]*(1/DATOS_[[#This Row],[% normaliz]])*(1/DATOS_[[#This Row],[% anualiz]]))*IF(DATOS_[[#This Row],[Check Equiparado]]="Sí",1,0)</f>
        <v>#DIV/0!</v>
      </c>
      <c r="BY96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9" s="138" t="e">
        <f aca="false">+DATOS_[[#This Row],[SALARIO BASE Eq]]+DATOS_[[#This Row],[Tot COMPL.SAL Eq]]</f>
        <v>#DIV/0!</v>
      </c>
      <c r="CA969" s="138" t="e">
        <f aca="false" t="array" ref="CA969:CA9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9" s="138" t="e">
        <f aca="false">+DATOS_[[#This Row],[TOTAL SALARIO Eq]]+DATOS_[[#This Row],[Tot Extrasalarial Eq]]</f>
        <v>#DIV/0!</v>
      </c>
      <c r="CC969" s="139" t="n">
        <f aca="false">DATOS_[[#This Row],[S.BASE]]</f>
        <v>0</v>
      </c>
      <c r="CD969" s="139" t="n">
        <f aca="false">+SUM(DATOS_[[#This Row],[Conc.Sal.01]:[Conc.Sal.30]])</f>
        <v>0</v>
      </c>
      <c r="CE969" s="139" t="n">
        <f aca="false">+DATOS_[[#This Row],[SALARIO BASE Ef]]+DATOS_[[#This Row],[Tot COMPL.SAL Ef]]</f>
        <v>0</v>
      </c>
      <c r="CF969" s="139" t="n">
        <f aca="false">+SUM(DATOS_[[#This Row],[C.Extra.01]:[C.Extra.05]])</f>
        <v>0</v>
      </c>
      <c r="CG969" s="139" t="n">
        <f aca="false">+DATOS_[[#This Row],[TOTAL SALARIO Ef]]+DATOS_[[#This Row],[Tot Extrasalarial Ef]]</f>
        <v>0</v>
      </c>
      <c r="CH969" s="140" t="n">
        <f aca="false">MIN(IF(DATOS_[[#This Row],[Fecha Fin Contrato]]="",$D$4,DATOS_[[#This Row],[Fecha Fin Contrato]]),$D$4)-MAX(DATOS_[[#This Row],[Fecha de Contratación]],$D$3)+1</f>
        <v>1</v>
      </c>
      <c r="CI969" s="141" t="str">
        <f aca="false">IF(COUNTIFS(DATOS_[id],DATOS_[[#This Row],[id]])&gt;1,DATOS_[[#This Row],[id]],"")</f>
        <v/>
      </c>
      <c r="CJ969" s="141" t="n">
        <f aca="false">(Inicio!$G$10-DATOS_[[#This Row],[Fecha Nacimiento]])/365.25</f>
        <v>0</v>
      </c>
      <c r="CK969" s="141" t="n">
        <f aca="false">(Inicio!$G$10-DATOS_[[#This Row],[Fecha de Antigüedad]])/365.25</f>
        <v>0</v>
      </c>
      <c r="CL969" s="141" t="e">
        <f aca="false">+VLOOKUP(DATOS_[[#This Row],[Clave de Contrato]],TblTiposContrato13[],3,0)</f>
        <v>#N/A</v>
      </c>
      <c r="CM969" s="141" t="e">
        <f aca="false">+VLOOKUP(DATOS_[[#This Row],[Clave de Contrato]],TblTiposContrato13[],4,0)</f>
        <v>#N/A</v>
      </c>
      <c r="CN969" s="141" t="str">
        <f aca="false">VLOOKUP(DATOS_[[#This Row],[Edad]],CONTRATOS!TblRngEdad,2,1)</f>
        <v>20  o menos</v>
      </c>
      <c r="CO969" s="141" t="str">
        <f aca="false">VLOOKUP(DATOS_[[#This Row],[Antigüedad]],TblRngAntg14[],2,1)</f>
        <v>0 a 1 años</v>
      </c>
    </row>
    <row r="970" customFormat="false" ht="13.8" hidden="false" customHeight="false" outlineLevel="0" collapsed="false">
      <c r="D970" s="128"/>
      <c r="E970" s="129"/>
      <c r="F970" s="129"/>
      <c r="G970" s="129"/>
      <c r="H970" s="130"/>
      <c r="I970" s="131"/>
      <c r="J970" s="128"/>
      <c r="K970" s="132"/>
      <c r="L970" s="132"/>
      <c r="M970" s="133"/>
      <c r="N970" s="133"/>
      <c r="O970" s="133"/>
      <c r="P970" s="129"/>
      <c r="Z970" s="75"/>
      <c r="AA970" s="76"/>
      <c r="AB970" s="76"/>
      <c r="AC970" s="129"/>
      <c r="AD970" s="134"/>
      <c r="AE970" s="134"/>
      <c r="AF970" s="134"/>
      <c r="AG970" s="134"/>
      <c r="AH970" s="134"/>
      <c r="AI970" s="134"/>
      <c r="AJ970" s="134"/>
      <c r="AK970" s="134"/>
      <c r="AL970" s="134"/>
      <c r="AM970" s="134"/>
      <c r="AN970" s="134"/>
      <c r="AO970" s="134"/>
      <c r="AP970" s="134"/>
      <c r="AQ970" s="134"/>
      <c r="AR970" s="134"/>
      <c r="AS970" s="134"/>
      <c r="AT970" s="134"/>
      <c r="AU970" s="134"/>
      <c r="AV970" s="134"/>
      <c r="AW970" s="134"/>
      <c r="AX970" s="134"/>
      <c r="AY970" s="134"/>
      <c r="AZ970" s="134"/>
      <c r="BA970" s="134"/>
      <c r="BB970" s="134"/>
      <c r="BC970" s="134"/>
      <c r="BD970" s="134"/>
      <c r="BE970" s="134"/>
      <c r="BF970" s="134"/>
      <c r="BG970" s="134"/>
      <c r="BH970" s="134"/>
      <c r="BI970" s="134"/>
      <c r="BJ970" s="134"/>
      <c r="BK970" s="134"/>
      <c r="BL970" s="134"/>
      <c r="BM970" s="135"/>
      <c r="BN970" s="136" t="n">
        <f aca="false">+MAX($D$3,DATOS_[[#This Row],[Fecha Inicio Sit. Contract.]])</f>
        <v>0</v>
      </c>
      <c r="BO970" s="136" t="n">
        <f aca="false">+MIN($D$4,DATOS_[[#This Row],[Fecha Fin Sit. Contract.]])</f>
        <v>0</v>
      </c>
      <c r="BP970" s="137" t="n">
        <f aca="false">+DATOS_[[#This Row],[% de jornada]]*IF(DATOS_[[#This Row],[% jornada reducida]]="",1,DATOS_[[#This Row],[% jornada reducida]])</f>
        <v>0</v>
      </c>
      <c r="BQ970" s="137" t="n">
        <f aca="false">+(DATOS_[[#This Row],[F.fin.cal]]-DATOS_[[#This Row],[F.ini.cal]]+1)/($D$4-$D$3+1)</f>
        <v>1</v>
      </c>
      <c r="BR970" s="137" t="str">
        <f aca="false">IF(OR(AND(DATOS_[[#This Row],[Fecha Fin Contrato]]&lt;$D$3,DATOS_[[#This Row],[Fecha Fin Contrato]]&lt;&gt;""),DATOS_[[#This Row],[Fecha de Contratación]]&gt;$D$4),"Fuera","Dentro")</f>
        <v>Dentro</v>
      </c>
      <c r="BS970" s="137" t="str">
        <f aca="false" t="array" ref="BS970:BS970">IF(MAX(IF(DATOS_[id]=DATOS_[[#This Row],[id]],DATOS_[F.fin.cal]))=DATOS_[[#This Row],[F.fin.cal]],"Sí","NO")</f>
        <v>Sí</v>
      </c>
      <c r="BT970" s="137" t="str">
        <f aca="false">IF(AND(DATOS_[[#This Row],[% normaliz]]&lt;&gt;1,DATOS_[[#This Row],[% anualiz]]=1),"Sí","NO")</f>
        <v>Sí</v>
      </c>
      <c r="BU970" s="137" t="str">
        <f aca="false">IF(AND(DATOS_[[#This Row],[% normaliz]]=1,DATOS_[[#This Row],[% anualiz]]&lt;&gt;1),"Sí","NO")</f>
        <v>NO</v>
      </c>
      <c r="BV970" s="137" t="str">
        <f aca="false">IF(AND(DATOS_[[#This Row],[% normaliz]]&lt;&gt;1,DATOS_[[#This Row],[% anualiz]]&lt;&gt;1),"Sí","NO")</f>
        <v>NO</v>
      </c>
      <c r="BW970" s="137" t="str">
        <f aca="false">+IF(DATOS_[[#This Row],[% normaliz]]*DATOS_[[#This Row],[% anualiz]]=1,"NO","Sí")</f>
        <v>Sí</v>
      </c>
      <c r="BX970" s="138" t="e">
        <f aca="false">(DATOS_[[#This Row],[S.BASE]]*(1/DATOS_[[#This Row],[% normaliz]])*(1/DATOS_[[#This Row],[% anualiz]]))*IF(DATOS_[[#This Row],[Check Equiparado]]="Sí",1,0)</f>
        <v>#DIV/0!</v>
      </c>
      <c r="BY97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0" s="138" t="e">
        <f aca="false">+DATOS_[[#This Row],[SALARIO BASE Eq]]+DATOS_[[#This Row],[Tot COMPL.SAL Eq]]</f>
        <v>#DIV/0!</v>
      </c>
      <c r="CA970" s="138" t="e">
        <f aca="false" t="array" ref="CA970:CA9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0" s="138" t="e">
        <f aca="false">+DATOS_[[#This Row],[TOTAL SALARIO Eq]]+DATOS_[[#This Row],[Tot Extrasalarial Eq]]</f>
        <v>#DIV/0!</v>
      </c>
      <c r="CC970" s="139" t="n">
        <f aca="false">DATOS_[[#This Row],[S.BASE]]</f>
        <v>0</v>
      </c>
      <c r="CD970" s="139" t="n">
        <f aca="false">+SUM(DATOS_[[#This Row],[Conc.Sal.01]:[Conc.Sal.30]])</f>
        <v>0</v>
      </c>
      <c r="CE970" s="139" t="n">
        <f aca="false">+DATOS_[[#This Row],[SALARIO BASE Ef]]+DATOS_[[#This Row],[Tot COMPL.SAL Ef]]</f>
        <v>0</v>
      </c>
      <c r="CF970" s="139" t="n">
        <f aca="false">+SUM(DATOS_[[#This Row],[C.Extra.01]:[C.Extra.05]])</f>
        <v>0</v>
      </c>
      <c r="CG970" s="139" t="n">
        <f aca="false">+DATOS_[[#This Row],[TOTAL SALARIO Ef]]+DATOS_[[#This Row],[Tot Extrasalarial Ef]]</f>
        <v>0</v>
      </c>
      <c r="CH970" s="140" t="n">
        <f aca="false">MIN(IF(DATOS_[[#This Row],[Fecha Fin Contrato]]="",$D$4,DATOS_[[#This Row],[Fecha Fin Contrato]]),$D$4)-MAX(DATOS_[[#This Row],[Fecha de Contratación]],$D$3)+1</f>
        <v>1</v>
      </c>
      <c r="CI970" s="141" t="str">
        <f aca="false">IF(COUNTIFS(DATOS_[id],DATOS_[[#This Row],[id]])&gt;1,DATOS_[[#This Row],[id]],"")</f>
        <v/>
      </c>
      <c r="CJ970" s="141" t="n">
        <f aca="false">(Inicio!$G$10-DATOS_[[#This Row],[Fecha Nacimiento]])/365.25</f>
        <v>0</v>
      </c>
      <c r="CK970" s="141" t="n">
        <f aca="false">(Inicio!$G$10-DATOS_[[#This Row],[Fecha de Antigüedad]])/365.25</f>
        <v>0</v>
      </c>
      <c r="CL970" s="141" t="e">
        <f aca="false">+VLOOKUP(DATOS_[[#This Row],[Clave de Contrato]],TblTiposContrato13[],3,0)</f>
        <v>#N/A</v>
      </c>
      <c r="CM970" s="141" t="e">
        <f aca="false">+VLOOKUP(DATOS_[[#This Row],[Clave de Contrato]],TblTiposContrato13[],4,0)</f>
        <v>#N/A</v>
      </c>
      <c r="CN970" s="141" t="str">
        <f aca="false">VLOOKUP(DATOS_[[#This Row],[Edad]],CONTRATOS!TblRngEdad,2,1)</f>
        <v>20  o menos</v>
      </c>
      <c r="CO970" s="141" t="str">
        <f aca="false">VLOOKUP(DATOS_[[#This Row],[Antigüedad]],TblRngAntg14[],2,1)</f>
        <v>0 a 1 años</v>
      </c>
    </row>
    <row r="971" customFormat="false" ht="13.8" hidden="false" customHeight="false" outlineLevel="0" collapsed="false">
      <c r="D971" s="128"/>
      <c r="E971" s="129"/>
      <c r="F971" s="129"/>
      <c r="G971" s="129"/>
      <c r="H971" s="130"/>
      <c r="I971" s="131"/>
      <c r="J971" s="128"/>
      <c r="K971" s="132"/>
      <c r="L971" s="132"/>
      <c r="M971" s="133"/>
      <c r="N971" s="133"/>
      <c r="O971" s="133"/>
      <c r="P971" s="129"/>
      <c r="Z971" s="75"/>
      <c r="AA971" s="76"/>
      <c r="AB971" s="76"/>
      <c r="AC971" s="129"/>
      <c r="AD971" s="134"/>
      <c r="AE971" s="134"/>
      <c r="AF971" s="134"/>
      <c r="AG971" s="134"/>
      <c r="AH971" s="134"/>
      <c r="AI971" s="134"/>
      <c r="AJ971" s="134"/>
      <c r="AK971" s="134"/>
      <c r="AL971" s="134"/>
      <c r="AM971" s="134"/>
      <c r="AN971" s="134"/>
      <c r="AO971" s="134"/>
      <c r="AP971" s="134"/>
      <c r="AQ971" s="134"/>
      <c r="AR971" s="134"/>
      <c r="AS971" s="134"/>
      <c r="AT971" s="134"/>
      <c r="AU971" s="134"/>
      <c r="AV971" s="134"/>
      <c r="AW971" s="134"/>
      <c r="AX971" s="134"/>
      <c r="AY971" s="134"/>
      <c r="AZ971" s="134"/>
      <c r="BA971" s="134"/>
      <c r="BB971" s="134"/>
      <c r="BC971" s="134"/>
      <c r="BD971" s="134"/>
      <c r="BE971" s="134"/>
      <c r="BF971" s="134"/>
      <c r="BG971" s="134"/>
      <c r="BH971" s="134"/>
      <c r="BI971" s="134"/>
      <c r="BJ971" s="134"/>
      <c r="BK971" s="134"/>
      <c r="BL971" s="134"/>
      <c r="BM971" s="135"/>
      <c r="BN971" s="136" t="n">
        <f aca="false">+MAX($D$3,DATOS_[[#This Row],[Fecha Inicio Sit. Contract.]])</f>
        <v>0</v>
      </c>
      <c r="BO971" s="136" t="n">
        <f aca="false">+MIN($D$4,DATOS_[[#This Row],[Fecha Fin Sit. Contract.]])</f>
        <v>0</v>
      </c>
      <c r="BP971" s="137" t="n">
        <f aca="false">+DATOS_[[#This Row],[% de jornada]]*IF(DATOS_[[#This Row],[% jornada reducida]]="",1,DATOS_[[#This Row],[% jornada reducida]])</f>
        <v>0</v>
      </c>
      <c r="BQ971" s="137" t="n">
        <f aca="false">+(DATOS_[[#This Row],[F.fin.cal]]-DATOS_[[#This Row],[F.ini.cal]]+1)/($D$4-$D$3+1)</f>
        <v>1</v>
      </c>
      <c r="BR971" s="137" t="str">
        <f aca="false">IF(OR(AND(DATOS_[[#This Row],[Fecha Fin Contrato]]&lt;$D$3,DATOS_[[#This Row],[Fecha Fin Contrato]]&lt;&gt;""),DATOS_[[#This Row],[Fecha de Contratación]]&gt;$D$4),"Fuera","Dentro")</f>
        <v>Dentro</v>
      </c>
      <c r="BS971" s="137" t="str">
        <f aca="false" t="array" ref="BS971:BS971">IF(MAX(IF(DATOS_[id]=DATOS_[[#This Row],[id]],DATOS_[F.fin.cal]))=DATOS_[[#This Row],[F.fin.cal]],"Sí","NO")</f>
        <v>Sí</v>
      </c>
      <c r="BT971" s="137" t="str">
        <f aca="false">IF(AND(DATOS_[[#This Row],[% normaliz]]&lt;&gt;1,DATOS_[[#This Row],[% anualiz]]=1),"Sí","NO")</f>
        <v>Sí</v>
      </c>
      <c r="BU971" s="137" t="str">
        <f aca="false">IF(AND(DATOS_[[#This Row],[% normaliz]]=1,DATOS_[[#This Row],[% anualiz]]&lt;&gt;1),"Sí","NO")</f>
        <v>NO</v>
      </c>
      <c r="BV971" s="137" t="str">
        <f aca="false">IF(AND(DATOS_[[#This Row],[% normaliz]]&lt;&gt;1,DATOS_[[#This Row],[% anualiz]]&lt;&gt;1),"Sí","NO")</f>
        <v>NO</v>
      </c>
      <c r="BW971" s="137" t="str">
        <f aca="false">+IF(DATOS_[[#This Row],[% normaliz]]*DATOS_[[#This Row],[% anualiz]]=1,"NO","Sí")</f>
        <v>Sí</v>
      </c>
      <c r="BX971" s="138" t="e">
        <f aca="false">(DATOS_[[#This Row],[S.BASE]]*(1/DATOS_[[#This Row],[% normaliz]])*(1/DATOS_[[#This Row],[% anualiz]]))*IF(DATOS_[[#This Row],[Check Equiparado]]="Sí",1,0)</f>
        <v>#DIV/0!</v>
      </c>
      <c r="BY97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1" s="138" t="e">
        <f aca="false">+DATOS_[[#This Row],[SALARIO BASE Eq]]+DATOS_[[#This Row],[Tot COMPL.SAL Eq]]</f>
        <v>#DIV/0!</v>
      </c>
      <c r="CA971" s="138" t="e">
        <f aca="false" t="array" ref="CA971:CA9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1" s="138" t="e">
        <f aca="false">+DATOS_[[#This Row],[TOTAL SALARIO Eq]]+DATOS_[[#This Row],[Tot Extrasalarial Eq]]</f>
        <v>#DIV/0!</v>
      </c>
      <c r="CC971" s="139" t="n">
        <f aca="false">DATOS_[[#This Row],[S.BASE]]</f>
        <v>0</v>
      </c>
      <c r="CD971" s="139" t="n">
        <f aca="false">+SUM(DATOS_[[#This Row],[Conc.Sal.01]:[Conc.Sal.30]])</f>
        <v>0</v>
      </c>
      <c r="CE971" s="139" t="n">
        <f aca="false">+DATOS_[[#This Row],[SALARIO BASE Ef]]+DATOS_[[#This Row],[Tot COMPL.SAL Ef]]</f>
        <v>0</v>
      </c>
      <c r="CF971" s="139" t="n">
        <f aca="false">+SUM(DATOS_[[#This Row],[C.Extra.01]:[C.Extra.05]])</f>
        <v>0</v>
      </c>
      <c r="CG971" s="139" t="n">
        <f aca="false">+DATOS_[[#This Row],[TOTAL SALARIO Ef]]+DATOS_[[#This Row],[Tot Extrasalarial Ef]]</f>
        <v>0</v>
      </c>
      <c r="CH971" s="140" t="n">
        <f aca="false">MIN(IF(DATOS_[[#This Row],[Fecha Fin Contrato]]="",$D$4,DATOS_[[#This Row],[Fecha Fin Contrato]]),$D$4)-MAX(DATOS_[[#This Row],[Fecha de Contratación]],$D$3)+1</f>
        <v>1</v>
      </c>
      <c r="CI971" s="141" t="str">
        <f aca="false">IF(COUNTIFS(DATOS_[id],DATOS_[[#This Row],[id]])&gt;1,DATOS_[[#This Row],[id]],"")</f>
        <v/>
      </c>
      <c r="CJ971" s="141" t="n">
        <f aca="false">(Inicio!$G$10-DATOS_[[#This Row],[Fecha Nacimiento]])/365.25</f>
        <v>0</v>
      </c>
      <c r="CK971" s="141" t="n">
        <f aca="false">(Inicio!$G$10-DATOS_[[#This Row],[Fecha de Antigüedad]])/365.25</f>
        <v>0</v>
      </c>
      <c r="CL971" s="141" t="e">
        <f aca="false">+VLOOKUP(DATOS_[[#This Row],[Clave de Contrato]],TblTiposContrato13[],3,0)</f>
        <v>#N/A</v>
      </c>
      <c r="CM971" s="141" t="e">
        <f aca="false">+VLOOKUP(DATOS_[[#This Row],[Clave de Contrato]],TblTiposContrato13[],4,0)</f>
        <v>#N/A</v>
      </c>
      <c r="CN971" s="141" t="str">
        <f aca="false">VLOOKUP(DATOS_[[#This Row],[Edad]],CONTRATOS!TblRngEdad,2,1)</f>
        <v>20  o menos</v>
      </c>
      <c r="CO971" s="141" t="str">
        <f aca="false">VLOOKUP(DATOS_[[#This Row],[Antigüedad]],TblRngAntg14[],2,1)</f>
        <v>0 a 1 años</v>
      </c>
    </row>
    <row r="972" customFormat="false" ht="13.8" hidden="false" customHeight="false" outlineLevel="0" collapsed="false">
      <c r="D972" s="128"/>
      <c r="E972" s="129"/>
      <c r="F972" s="129"/>
      <c r="G972" s="129"/>
      <c r="H972" s="130"/>
      <c r="I972" s="131"/>
      <c r="J972" s="128"/>
      <c r="K972" s="132"/>
      <c r="L972" s="132"/>
      <c r="M972" s="133"/>
      <c r="N972" s="133"/>
      <c r="O972" s="133"/>
      <c r="P972" s="129"/>
      <c r="Z972" s="75"/>
      <c r="AA972" s="76"/>
      <c r="AB972" s="76"/>
      <c r="AC972" s="129"/>
      <c r="AD972" s="134"/>
      <c r="AE972" s="134"/>
      <c r="AF972" s="134"/>
      <c r="AG972" s="134"/>
      <c r="AH972" s="134"/>
      <c r="AI972" s="134"/>
      <c r="AJ972" s="134"/>
      <c r="AK972" s="134"/>
      <c r="AL972" s="134"/>
      <c r="AM972" s="134"/>
      <c r="AN972" s="134"/>
      <c r="AO972" s="134"/>
      <c r="AP972" s="134"/>
      <c r="AQ972" s="134"/>
      <c r="AR972" s="134"/>
      <c r="AS972" s="134"/>
      <c r="AT972" s="134"/>
      <c r="AU972" s="134"/>
      <c r="AV972" s="134"/>
      <c r="AW972" s="134"/>
      <c r="AX972" s="134"/>
      <c r="AY972" s="134"/>
      <c r="AZ972" s="134"/>
      <c r="BA972" s="134"/>
      <c r="BB972" s="134"/>
      <c r="BC972" s="134"/>
      <c r="BD972" s="134"/>
      <c r="BE972" s="134"/>
      <c r="BF972" s="134"/>
      <c r="BG972" s="134"/>
      <c r="BH972" s="134"/>
      <c r="BI972" s="134"/>
      <c r="BJ972" s="134"/>
      <c r="BK972" s="134"/>
      <c r="BL972" s="134"/>
      <c r="BM972" s="135"/>
      <c r="BN972" s="136" t="n">
        <f aca="false">+MAX($D$3,DATOS_[[#This Row],[Fecha Inicio Sit. Contract.]])</f>
        <v>0</v>
      </c>
      <c r="BO972" s="136" t="n">
        <f aca="false">+MIN($D$4,DATOS_[[#This Row],[Fecha Fin Sit. Contract.]])</f>
        <v>0</v>
      </c>
      <c r="BP972" s="137" t="n">
        <f aca="false">+DATOS_[[#This Row],[% de jornada]]*IF(DATOS_[[#This Row],[% jornada reducida]]="",1,DATOS_[[#This Row],[% jornada reducida]])</f>
        <v>0</v>
      </c>
      <c r="BQ972" s="137" t="n">
        <f aca="false">+(DATOS_[[#This Row],[F.fin.cal]]-DATOS_[[#This Row],[F.ini.cal]]+1)/($D$4-$D$3+1)</f>
        <v>1</v>
      </c>
      <c r="BR972" s="137" t="str">
        <f aca="false">IF(OR(AND(DATOS_[[#This Row],[Fecha Fin Contrato]]&lt;$D$3,DATOS_[[#This Row],[Fecha Fin Contrato]]&lt;&gt;""),DATOS_[[#This Row],[Fecha de Contratación]]&gt;$D$4),"Fuera","Dentro")</f>
        <v>Dentro</v>
      </c>
      <c r="BS972" s="137" t="str">
        <f aca="false" t="array" ref="BS972:BS972">IF(MAX(IF(DATOS_[id]=DATOS_[[#This Row],[id]],DATOS_[F.fin.cal]))=DATOS_[[#This Row],[F.fin.cal]],"Sí","NO")</f>
        <v>Sí</v>
      </c>
      <c r="BT972" s="137" t="str">
        <f aca="false">IF(AND(DATOS_[[#This Row],[% normaliz]]&lt;&gt;1,DATOS_[[#This Row],[% anualiz]]=1),"Sí","NO")</f>
        <v>Sí</v>
      </c>
      <c r="BU972" s="137" t="str">
        <f aca="false">IF(AND(DATOS_[[#This Row],[% normaliz]]=1,DATOS_[[#This Row],[% anualiz]]&lt;&gt;1),"Sí","NO")</f>
        <v>NO</v>
      </c>
      <c r="BV972" s="137" t="str">
        <f aca="false">IF(AND(DATOS_[[#This Row],[% normaliz]]&lt;&gt;1,DATOS_[[#This Row],[% anualiz]]&lt;&gt;1),"Sí","NO")</f>
        <v>NO</v>
      </c>
      <c r="BW972" s="137" t="str">
        <f aca="false">+IF(DATOS_[[#This Row],[% normaliz]]*DATOS_[[#This Row],[% anualiz]]=1,"NO","Sí")</f>
        <v>Sí</v>
      </c>
      <c r="BX972" s="138" t="e">
        <f aca="false">(DATOS_[[#This Row],[S.BASE]]*(1/DATOS_[[#This Row],[% normaliz]])*(1/DATOS_[[#This Row],[% anualiz]]))*IF(DATOS_[[#This Row],[Check Equiparado]]="Sí",1,0)</f>
        <v>#DIV/0!</v>
      </c>
      <c r="BY97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2" s="138" t="e">
        <f aca="false">+DATOS_[[#This Row],[SALARIO BASE Eq]]+DATOS_[[#This Row],[Tot COMPL.SAL Eq]]</f>
        <v>#DIV/0!</v>
      </c>
      <c r="CA972" s="138" t="e">
        <f aca="false" t="array" ref="CA972:CA9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2" s="138" t="e">
        <f aca="false">+DATOS_[[#This Row],[TOTAL SALARIO Eq]]+DATOS_[[#This Row],[Tot Extrasalarial Eq]]</f>
        <v>#DIV/0!</v>
      </c>
      <c r="CC972" s="139" t="n">
        <f aca="false">DATOS_[[#This Row],[S.BASE]]</f>
        <v>0</v>
      </c>
      <c r="CD972" s="139" t="n">
        <f aca="false">+SUM(DATOS_[[#This Row],[Conc.Sal.01]:[Conc.Sal.30]])</f>
        <v>0</v>
      </c>
      <c r="CE972" s="139" t="n">
        <f aca="false">+DATOS_[[#This Row],[SALARIO BASE Ef]]+DATOS_[[#This Row],[Tot COMPL.SAL Ef]]</f>
        <v>0</v>
      </c>
      <c r="CF972" s="139" t="n">
        <f aca="false">+SUM(DATOS_[[#This Row],[C.Extra.01]:[C.Extra.05]])</f>
        <v>0</v>
      </c>
      <c r="CG972" s="139" t="n">
        <f aca="false">+DATOS_[[#This Row],[TOTAL SALARIO Ef]]+DATOS_[[#This Row],[Tot Extrasalarial Ef]]</f>
        <v>0</v>
      </c>
      <c r="CH972" s="140" t="n">
        <f aca="false">MIN(IF(DATOS_[[#This Row],[Fecha Fin Contrato]]="",$D$4,DATOS_[[#This Row],[Fecha Fin Contrato]]),$D$4)-MAX(DATOS_[[#This Row],[Fecha de Contratación]],$D$3)+1</f>
        <v>1</v>
      </c>
      <c r="CI972" s="141" t="str">
        <f aca="false">IF(COUNTIFS(DATOS_[id],DATOS_[[#This Row],[id]])&gt;1,DATOS_[[#This Row],[id]],"")</f>
        <v/>
      </c>
      <c r="CJ972" s="141" t="n">
        <f aca="false">(Inicio!$G$10-DATOS_[[#This Row],[Fecha Nacimiento]])/365.25</f>
        <v>0</v>
      </c>
      <c r="CK972" s="141" t="n">
        <f aca="false">(Inicio!$G$10-DATOS_[[#This Row],[Fecha de Antigüedad]])/365.25</f>
        <v>0</v>
      </c>
      <c r="CL972" s="141" t="e">
        <f aca="false">+VLOOKUP(DATOS_[[#This Row],[Clave de Contrato]],TblTiposContrato13[],3,0)</f>
        <v>#N/A</v>
      </c>
      <c r="CM972" s="141" t="e">
        <f aca="false">+VLOOKUP(DATOS_[[#This Row],[Clave de Contrato]],TblTiposContrato13[],4,0)</f>
        <v>#N/A</v>
      </c>
      <c r="CN972" s="141" t="str">
        <f aca="false">VLOOKUP(DATOS_[[#This Row],[Edad]],CONTRATOS!TblRngEdad,2,1)</f>
        <v>20  o menos</v>
      </c>
      <c r="CO972" s="141" t="str">
        <f aca="false">VLOOKUP(DATOS_[[#This Row],[Antigüedad]],TblRngAntg14[],2,1)</f>
        <v>0 a 1 años</v>
      </c>
    </row>
    <row r="973" customFormat="false" ht="13.8" hidden="false" customHeight="false" outlineLevel="0" collapsed="false">
      <c r="D973" s="128"/>
      <c r="E973" s="129"/>
      <c r="F973" s="129"/>
      <c r="G973" s="129"/>
      <c r="H973" s="130"/>
      <c r="I973" s="131"/>
      <c r="J973" s="128"/>
      <c r="K973" s="132"/>
      <c r="L973" s="132"/>
      <c r="M973" s="133"/>
      <c r="N973" s="133"/>
      <c r="O973" s="133"/>
      <c r="P973" s="129"/>
      <c r="Z973" s="75"/>
      <c r="AA973" s="76"/>
      <c r="AB973" s="76"/>
      <c r="AC973" s="129"/>
      <c r="AD973" s="134"/>
      <c r="AE973" s="134"/>
      <c r="AF973" s="134"/>
      <c r="AG973" s="134"/>
      <c r="AH973" s="134"/>
      <c r="AI973" s="134"/>
      <c r="AJ973" s="134"/>
      <c r="AK973" s="134"/>
      <c r="AL973" s="134"/>
      <c r="AM973" s="134"/>
      <c r="AN973" s="134"/>
      <c r="AO973" s="134"/>
      <c r="AP973" s="134"/>
      <c r="AQ973" s="134"/>
      <c r="AR973" s="134"/>
      <c r="AS973" s="134"/>
      <c r="AT973" s="134"/>
      <c r="AU973" s="134"/>
      <c r="AV973" s="134"/>
      <c r="AW973" s="134"/>
      <c r="AX973" s="134"/>
      <c r="AY973" s="134"/>
      <c r="AZ973" s="134"/>
      <c r="BA973" s="134"/>
      <c r="BB973" s="134"/>
      <c r="BC973" s="134"/>
      <c r="BD973" s="134"/>
      <c r="BE973" s="134"/>
      <c r="BF973" s="134"/>
      <c r="BG973" s="134"/>
      <c r="BH973" s="134"/>
      <c r="BI973" s="134"/>
      <c r="BJ973" s="134"/>
      <c r="BK973" s="134"/>
      <c r="BL973" s="134"/>
      <c r="BM973" s="135"/>
      <c r="BN973" s="136" t="n">
        <f aca="false">+MAX($D$3,DATOS_[[#This Row],[Fecha Inicio Sit. Contract.]])</f>
        <v>0</v>
      </c>
      <c r="BO973" s="136" t="n">
        <f aca="false">+MIN($D$4,DATOS_[[#This Row],[Fecha Fin Sit. Contract.]])</f>
        <v>0</v>
      </c>
      <c r="BP973" s="137" t="n">
        <f aca="false">+DATOS_[[#This Row],[% de jornada]]*IF(DATOS_[[#This Row],[% jornada reducida]]="",1,DATOS_[[#This Row],[% jornada reducida]])</f>
        <v>0</v>
      </c>
      <c r="BQ973" s="137" t="n">
        <f aca="false">+(DATOS_[[#This Row],[F.fin.cal]]-DATOS_[[#This Row],[F.ini.cal]]+1)/($D$4-$D$3+1)</f>
        <v>1</v>
      </c>
      <c r="BR973" s="137" t="str">
        <f aca="false">IF(OR(AND(DATOS_[[#This Row],[Fecha Fin Contrato]]&lt;$D$3,DATOS_[[#This Row],[Fecha Fin Contrato]]&lt;&gt;""),DATOS_[[#This Row],[Fecha de Contratación]]&gt;$D$4),"Fuera","Dentro")</f>
        <v>Dentro</v>
      </c>
      <c r="BS973" s="137" t="str">
        <f aca="false" t="array" ref="BS973:BS973">IF(MAX(IF(DATOS_[id]=DATOS_[[#This Row],[id]],DATOS_[F.fin.cal]))=DATOS_[[#This Row],[F.fin.cal]],"Sí","NO")</f>
        <v>Sí</v>
      </c>
      <c r="BT973" s="137" t="str">
        <f aca="false">IF(AND(DATOS_[[#This Row],[% normaliz]]&lt;&gt;1,DATOS_[[#This Row],[% anualiz]]=1),"Sí","NO")</f>
        <v>Sí</v>
      </c>
      <c r="BU973" s="137" t="str">
        <f aca="false">IF(AND(DATOS_[[#This Row],[% normaliz]]=1,DATOS_[[#This Row],[% anualiz]]&lt;&gt;1),"Sí","NO")</f>
        <v>NO</v>
      </c>
      <c r="BV973" s="137" t="str">
        <f aca="false">IF(AND(DATOS_[[#This Row],[% normaliz]]&lt;&gt;1,DATOS_[[#This Row],[% anualiz]]&lt;&gt;1),"Sí","NO")</f>
        <v>NO</v>
      </c>
      <c r="BW973" s="137" t="str">
        <f aca="false">+IF(DATOS_[[#This Row],[% normaliz]]*DATOS_[[#This Row],[% anualiz]]=1,"NO","Sí")</f>
        <v>Sí</v>
      </c>
      <c r="BX973" s="138" t="e">
        <f aca="false">(DATOS_[[#This Row],[S.BASE]]*(1/DATOS_[[#This Row],[% normaliz]])*(1/DATOS_[[#This Row],[% anualiz]]))*IF(DATOS_[[#This Row],[Check Equiparado]]="Sí",1,0)</f>
        <v>#DIV/0!</v>
      </c>
      <c r="BY97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3" s="138" t="e">
        <f aca="false">+DATOS_[[#This Row],[SALARIO BASE Eq]]+DATOS_[[#This Row],[Tot COMPL.SAL Eq]]</f>
        <v>#DIV/0!</v>
      </c>
      <c r="CA973" s="138" t="e">
        <f aca="false" t="array" ref="CA973:CA9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3" s="138" t="e">
        <f aca="false">+DATOS_[[#This Row],[TOTAL SALARIO Eq]]+DATOS_[[#This Row],[Tot Extrasalarial Eq]]</f>
        <v>#DIV/0!</v>
      </c>
      <c r="CC973" s="139" t="n">
        <f aca="false">DATOS_[[#This Row],[S.BASE]]</f>
        <v>0</v>
      </c>
      <c r="CD973" s="139" t="n">
        <f aca="false">+SUM(DATOS_[[#This Row],[Conc.Sal.01]:[Conc.Sal.30]])</f>
        <v>0</v>
      </c>
      <c r="CE973" s="139" t="n">
        <f aca="false">+DATOS_[[#This Row],[SALARIO BASE Ef]]+DATOS_[[#This Row],[Tot COMPL.SAL Ef]]</f>
        <v>0</v>
      </c>
      <c r="CF973" s="139" t="n">
        <f aca="false">+SUM(DATOS_[[#This Row],[C.Extra.01]:[C.Extra.05]])</f>
        <v>0</v>
      </c>
      <c r="CG973" s="139" t="n">
        <f aca="false">+DATOS_[[#This Row],[TOTAL SALARIO Ef]]+DATOS_[[#This Row],[Tot Extrasalarial Ef]]</f>
        <v>0</v>
      </c>
      <c r="CH973" s="140" t="n">
        <f aca="false">MIN(IF(DATOS_[[#This Row],[Fecha Fin Contrato]]="",$D$4,DATOS_[[#This Row],[Fecha Fin Contrato]]),$D$4)-MAX(DATOS_[[#This Row],[Fecha de Contratación]],$D$3)+1</f>
        <v>1</v>
      </c>
      <c r="CI973" s="141" t="str">
        <f aca="false">IF(COUNTIFS(DATOS_[id],DATOS_[[#This Row],[id]])&gt;1,DATOS_[[#This Row],[id]],"")</f>
        <v/>
      </c>
      <c r="CJ973" s="141" t="n">
        <f aca="false">(Inicio!$G$10-DATOS_[[#This Row],[Fecha Nacimiento]])/365.25</f>
        <v>0</v>
      </c>
      <c r="CK973" s="141" t="n">
        <f aca="false">(Inicio!$G$10-DATOS_[[#This Row],[Fecha de Antigüedad]])/365.25</f>
        <v>0</v>
      </c>
      <c r="CL973" s="141" t="e">
        <f aca="false">+VLOOKUP(DATOS_[[#This Row],[Clave de Contrato]],TblTiposContrato13[],3,0)</f>
        <v>#N/A</v>
      </c>
      <c r="CM973" s="141" t="e">
        <f aca="false">+VLOOKUP(DATOS_[[#This Row],[Clave de Contrato]],TblTiposContrato13[],4,0)</f>
        <v>#N/A</v>
      </c>
      <c r="CN973" s="141" t="str">
        <f aca="false">VLOOKUP(DATOS_[[#This Row],[Edad]],CONTRATOS!TblRngEdad,2,1)</f>
        <v>20  o menos</v>
      </c>
      <c r="CO973" s="141" t="str">
        <f aca="false">VLOOKUP(DATOS_[[#This Row],[Antigüedad]],TblRngAntg14[],2,1)</f>
        <v>0 a 1 años</v>
      </c>
    </row>
    <row r="974" customFormat="false" ht="13.8" hidden="false" customHeight="false" outlineLevel="0" collapsed="false">
      <c r="D974" s="128"/>
      <c r="E974" s="129"/>
      <c r="F974" s="129"/>
      <c r="G974" s="129"/>
      <c r="H974" s="130"/>
      <c r="I974" s="131"/>
      <c r="J974" s="128"/>
      <c r="K974" s="132"/>
      <c r="L974" s="132"/>
      <c r="M974" s="133"/>
      <c r="N974" s="133"/>
      <c r="O974" s="133"/>
      <c r="P974" s="129"/>
      <c r="Z974" s="75"/>
      <c r="AA974" s="76"/>
      <c r="AB974" s="76"/>
      <c r="AC974" s="129"/>
      <c r="AD974" s="134"/>
      <c r="AE974" s="134"/>
      <c r="AF974" s="134"/>
      <c r="AG974" s="134"/>
      <c r="AH974" s="134"/>
      <c r="AI974" s="134"/>
      <c r="AJ974" s="134"/>
      <c r="AK974" s="134"/>
      <c r="AL974" s="134"/>
      <c r="AM974" s="134"/>
      <c r="AN974" s="134"/>
      <c r="AO974" s="134"/>
      <c r="AP974" s="134"/>
      <c r="AQ974" s="134"/>
      <c r="AR974" s="134"/>
      <c r="AS974" s="134"/>
      <c r="AT974" s="134"/>
      <c r="AU974" s="134"/>
      <c r="AV974" s="134"/>
      <c r="AW974" s="134"/>
      <c r="AX974" s="134"/>
      <c r="AY974" s="134"/>
      <c r="AZ974" s="134"/>
      <c r="BA974" s="134"/>
      <c r="BB974" s="134"/>
      <c r="BC974" s="134"/>
      <c r="BD974" s="134"/>
      <c r="BE974" s="134"/>
      <c r="BF974" s="134"/>
      <c r="BG974" s="134"/>
      <c r="BH974" s="134"/>
      <c r="BI974" s="134"/>
      <c r="BJ974" s="134"/>
      <c r="BK974" s="134"/>
      <c r="BL974" s="134"/>
      <c r="BM974" s="135"/>
      <c r="BN974" s="136" t="n">
        <f aca="false">+MAX($D$3,DATOS_[[#This Row],[Fecha Inicio Sit. Contract.]])</f>
        <v>0</v>
      </c>
      <c r="BO974" s="136" t="n">
        <f aca="false">+MIN($D$4,DATOS_[[#This Row],[Fecha Fin Sit. Contract.]])</f>
        <v>0</v>
      </c>
      <c r="BP974" s="137" t="n">
        <f aca="false">+DATOS_[[#This Row],[% de jornada]]*IF(DATOS_[[#This Row],[% jornada reducida]]="",1,DATOS_[[#This Row],[% jornada reducida]])</f>
        <v>0</v>
      </c>
      <c r="BQ974" s="137" t="n">
        <f aca="false">+(DATOS_[[#This Row],[F.fin.cal]]-DATOS_[[#This Row],[F.ini.cal]]+1)/($D$4-$D$3+1)</f>
        <v>1</v>
      </c>
      <c r="BR974" s="137" t="str">
        <f aca="false">IF(OR(AND(DATOS_[[#This Row],[Fecha Fin Contrato]]&lt;$D$3,DATOS_[[#This Row],[Fecha Fin Contrato]]&lt;&gt;""),DATOS_[[#This Row],[Fecha de Contratación]]&gt;$D$4),"Fuera","Dentro")</f>
        <v>Dentro</v>
      </c>
      <c r="BS974" s="137" t="str">
        <f aca="false" t="array" ref="BS974:BS974">IF(MAX(IF(DATOS_[id]=DATOS_[[#This Row],[id]],DATOS_[F.fin.cal]))=DATOS_[[#This Row],[F.fin.cal]],"Sí","NO")</f>
        <v>Sí</v>
      </c>
      <c r="BT974" s="137" t="str">
        <f aca="false">IF(AND(DATOS_[[#This Row],[% normaliz]]&lt;&gt;1,DATOS_[[#This Row],[% anualiz]]=1),"Sí","NO")</f>
        <v>Sí</v>
      </c>
      <c r="BU974" s="137" t="str">
        <f aca="false">IF(AND(DATOS_[[#This Row],[% normaliz]]=1,DATOS_[[#This Row],[% anualiz]]&lt;&gt;1),"Sí","NO")</f>
        <v>NO</v>
      </c>
      <c r="BV974" s="137" t="str">
        <f aca="false">IF(AND(DATOS_[[#This Row],[% normaliz]]&lt;&gt;1,DATOS_[[#This Row],[% anualiz]]&lt;&gt;1),"Sí","NO")</f>
        <v>NO</v>
      </c>
      <c r="BW974" s="137" t="str">
        <f aca="false">+IF(DATOS_[[#This Row],[% normaliz]]*DATOS_[[#This Row],[% anualiz]]=1,"NO","Sí")</f>
        <v>Sí</v>
      </c>
      <c r="BX974" s="138" t="e">
        <f aca="false">(DATOS_[[#This Row],[S.BASE]]*(1/DATOS_[[#This Row],[% normaliz]])*(1/DATOS_[[#This Row],[% anualiz]]))*IF(DATOS_[[#This Row],[Check Equiparado]]="Sí",1,0)</f>
        <v>#DIV/0!</v>
      </c>
      <c r="BY97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4" s="138" t="e">
        <f aca="false">+DATOS_[[#This Row],[SALARIO BASE Eq]]+DATOS_[[#This Row],[Tot COMPL.SAL Eq]]</f>
        <v>#DIV/0!</v>
      </c>
      <c r="CA974" s="138" t="e">
        <f aca="false" t="array" ref="CA974:CA9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4" s="138" t="e">
        <f aca="false">+DATOS_[[#This Row],[TOTAL SALARIO Eq]]+DATOS_[[#This Row],[Tot Extrasalarial Eq]]</f>
        <v>#DIV/0!</v>
      </c>
      <c r="CC974" s="139" t="n">
        <f aca="false">DATOS_[[#This Row],[S.BASE]]</f>
        <v>0</v>
      </c>
      <c r="CD974" s="139" t="n">
        <f aca="false">+SUM(DATOS_[[#This Row],[Conc.Sal.01]:[Conc.Sal.30]])</f>
        <v>0</v>
      </c>
      <c r="CE974" s="139" t="n">
        <f aca="false">+DATOS_[[#This Row],[SALARIO BASE Ef]]+DATOS_[[#This Row],[Tot COMPL.SAL Ef]]</f>
        <v>0</v>
      </c>
      <c r="CF974" s="139" t="n">
        <f aca="false">+SUM(DATOS_[[#This Row],[C.Extra.01]:[C.Extra.05]])</f>
        <v>0</v>
      </c>
      <c r="CG974" s="139" t="n">
        <f aca="false">+DATOS_[[#This Row],[TOTAL SALARIO Ef]]+DATOS_[[#This Row],[Tot Extrasalarial Ef]]</f>
        <v>0</v>
      </c>
      <c r="CH974" s="140" t="n">
        <f aca="false">MIN(IF(DATOS_[[#This Row],[Fecha Fin Contrato]]="",$D$4,DATOS_[[#This Row],[Fecha Fin Contrato]]),$D$4)-MAX(DATOS_[[#This Row],[Fecha de Contratación]],$D$3)+1</f>
        <v>1</v>
      </c>
      <c r="CI974" s="141" t="str">
        <f aca="false">IF(COUNTIFS(DATOS_[id],DATOS_[[#This Row],[id]])&gt;1,DATOS_[[#This Row],[id]],"")</f>
        <v/>
      </c>
      <c r="CJ974" s="141" t="n">
        <f aca="false">(Inicio!$G$10-DATOS_[[#This Row],[Fecha Nacimiento]])/365.25</f>
        <v>0</v>
      </c>
      <c r="CK974" s="141" t="n">
        <f aca="false">(Inicio!$G$10-DATOS_[[#This Row],[Fecha de Antigüedad]])/365.25</f>
        <v>0</v>
      </c>
      <c r="CL974" s="141" t="e">
        <f aca="false">+VLOOKUP(DATOS_[[#This Row],[Clave de Contrato]],TblTiposContrato13[],3,0)</f>
        <v>#N/A</v>
      </c>
      <c r="CM974" s="141" t="e">
        <f aca="false">+VLOOKUP(DATOS_[[#This Row],[Clave de Contrato]],TblTiposContrato13[],4,0)</f>
        <v>#N/A</v>
      </c>
      <c r="CN974" s="141" t="str">
        <f aca="false">VLOOKUP(DATOS_[[#This Row],[Edad]],CONTRATOS!TblRngEdad,2,1)</f>
        <v>20  o menos</v>
      </c>
      <c r="CO974" s="141" t="str">
        <f aca="false">VLOOKUP(DATOS_[[#This Row],[Antigüedad]],TblRngAntg14[],2,1)</f>
        <v>0 a 1 años</v>
      </c>
    </row>
    <row r="975" customFormat="false" ht="13.8" hidden="false" customHeight="false" outlineLevel="0" collapsed="false">
      <c r="D975" s="128"/>
      <c r="E975" s="129"/>
      <c r="F975" s="129"/>
      <c r="G975" s="129"/>
      <c r="H975" s="130"/>
      <c r="I975" s="131"/>
      <c r="J975" s="128"/>
      <c r="K975" s="132"/>
      <c r="L975" s="132"/>
      <c r="M975" s="133"/>
      <c r="N975" s="133"/>
      <c r="O975" s="133"/>
      <c r="P975" s="129"/>
      <c r="Z975" s="75"/>
      <c r="AA975" s="76"/>
      <c r="AB975" s="76"/>
      <c r="AC975" s="129"/>
      <c r="AD975" s="134"/>
      <c r="AE975" s="134"/>
      <c r="AF975" s="134"/>
      <c r="AG975" s="134"/>
      <c r="AH975" s="134"/>
      <c r="AI975" s="134"/>
      <c r="AJ975" s="134"/>
      <c r="AK975" s="134"/>
      <c r="AL975" s="134"/>
      <c r="AM975" s="134"/>
      <c r="AN975" s="134"/>
      <c r="AO975" s="134"/>
      <c r="AP975" s="134"/>
      <c r="AQ975" s="134"/>
      <c r="AR975" s="134"/>
      <c r="AS975" s="134"/>
      <c r="AT975" s="134"/>
      <c r="AU975" s="134"/>
      <c r="AV975" s="134"/>
      <c r="AW975" s="134"/>
      <c r="AX975" s="134"/>
      <c r="AY975" s="134"/>
      <c r="AZ975" s="134"/>
      <c r="BA975" s="134"/>
      <c r="BB975" s="134"/>
      <c r="BC975" s="134"/>
      <c r="BD975" s="134"/>
      <c r="BE975" s="134"/>
      <c r="BF975" s="134"/>
      <c r="BG975" s="134"/>
      <c r="BH975" s="134"/>
      <c r="BI975" s="134"/>
      <c r="BJ975" s="134"/>
      <c r="BK975" s="134"/>
      <c r="BL975" s="134"/>
      <c r="BM975" s="135"/>
      <c r="BN975" s="136" t="n">
        <f aca="false">+MAX($D$3,DATOS_[[#This Row],[Fecha Inicio Sit. Contract.]])</f>
        <v>0</v>
      </c>
      <c r="BO975" s="136" t="n">
        <f aca="false">+MIN($D$4,DATOS_[[#This Row],[Fecha Fin Sit. Contract.]])</f>
        <v>0</v>
      </c>
      <c r="BP975" s="137" t="n">
        <f aca="false">+DATOS_[[#This Row],[% de jornada]]*IF(DATOS_[[#This Row],[% jornada reducida]]="",1,DATOS_[[#This Row],[% jornada reducida]])</f>
        <v>0</v>
      </c>
      <c r="BQ975" s="137" t="n">
        <f aca="false">+(DATOS_[[#This Row],[F.fin.cal]]-DATOS_[[#This Row],[F.ini.cal]]+1)/($D$4-$D$3+1)</f>
        <v>1</v>
      </c>
      <c r="BR975" s="137" t="str">
        <f aca="false">IF(OR(AND(DATOS_[[#This Row],[Fecha Fin Contrato]]&lt;$D$3,DATOS_[[#This Row],[Fecha Fin Contrato]]&lt;&gt;""),DATOS_[[#This Row],[Fecha de Contratación]]&gt;$D$4),"Fuera","Dentro")</f>
        <v>Dentro</v>
      </c>
      <c r="BS975" s="137" t="str">
        <f aca="false" t="array" ref="BS975:BS975">IF(MAX(IF(DATOS_[id]=DATOS_[[#This Row],[id]],DATOS_[F.fin.cal]))=DATOS_[[#This Row],[F.fin.cal]],"Sí","NO")</f>
        <v>Sí</v>
      </c>
      <c r="BT975" s="137" t="str">
        <f aca="false">IF(AND(DATOS_[[#This Row],[% normaliz]]&lt;&gt;1,DATOS_[[#This Row],[% anualiz]]=1),"Sí","NO")</f>
        <v>Sí</v>
      </c>
      <c r="BU975" s="137" t="str">
        <f aca="false">IF(AND(DATOS_[[#This Row],[% normaliz]]=1,DATOS_[[#This Row],[% anualiz]]&lt;&gt;1),"Sí","NO")</f>
        <v>NO</v>
      </c>
      <c r="BV975" s="137" t="str">
        <f aca="false">IF(AND(DATOS_[[#This Row],[% normaliz]]&lt;&gt;1,DATOS_[[#This Row],[% anualiz]]&lt;&gt;1),"Sí","NO")</f>
        <v>NO</v>
      </c>
      <c r="BW975" s="137" t="str">
        <f aca="false">+IF(DATOS_[[#This Row],[% normaliz]]*DATOS_[[#This Row],[% anualiz]]=1,"NO","Sí")</f>
        <v>Sí</v>
      </c>
      <c r="BX975" s="138" t="e">
        <f aca="false">(DATOS_[[#This Row],[S.BASE]]*(1/DATOS_[[#This Row],[% normaliz]])*(1/DATOS_[[#This Row],[% anualiz]]))*IF(DATOS_[[#This Row],[Check Equiparado]]="Sí",1,0)</f>
        <v>#DIV/0!</v>
      </c>
      <c r="BY97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5" s="138" t="e">
        <f aca="false">+DATOS_[[#This Row],[SALARIO BASE Eq]]+DATOS_[[#This Row],[Tot COMPL.SAL Eq]]</f>
        <v>#DIV/0!</v>
      </c>
      <c r="CA975" s="138" t="e">
        <f aca="false" t="array" ref="CA975:CA9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5" s="138" t="e">
        <f aca="false">+DATOS_[[#This Row],[TOTAL SALARIO Eq]]+DATOS_[[#This Row],[Tot Extrasalarial Eq]]</f>
        <v>#DIV/0!</v>
      </c>
      <c r="CC975" s="139" t="n">
        <f aca="false">DATOS_[[#This Row],[S.BASE]]</f>
        <v>0</v>
      </c>
      <c r="CD975" s="139" t="n">
        <f aca="false">+SUM(DATOS_[[#This Row],[Conc.Sal.01]:[Conc.Sal.30]])</f>
        <v>0</v>
      </c>
      <c r="CE975" s="139" t="n">
        <f aca="false">+DATOS_[[#This Row],[SALARIO BASE Ef]]+DATOS_[[#This Row],[Tot COMPL.SAL Ef]]</f>
        <v>0</v>
      </c>
      <c r="CF975" s="139" t="n">
        <f aca="false">+SUM(DATOS_[[#This Row],[C.Extra.01]:[C.Extra.05]])</f>
        <v>0</v>
      </c>
      <c r="CG975" s="139" t="n">
        <f aca="false">+DATOS_[[#This Row],[TOTAL SALARIO Ef]]+DATOS_[[#This Row],[Tot Extrasalarial Ef]]</f>
        <v>0</v>
      </c>
      <c r="CH975" s="140" t="n">
        <f aca="false">MIN(IF(DATOS_[[#This Row],[Fecha Fin Contrato]]="",$D$4,DATOS_[[#This Row],[Fecha Fin Contrato]]),$D$4)-MAX(DATOS_[[#This Row],[Fecha de Contratación]],$D$3)+1</f>
        <v>1</v>
      </c>
      <c r="CI975" s="141" t="str">
        <f aca="false">IF(COUNTIFS(DATOS_[id],DATOS_[[#This Row],[id]])&gt;1,DATOS_[[#This Row],[id]],"")</f>
        <v/>
      </c>
      <c r="CJ975" s="141" t="n">
        <f aca="false">(Inicio!$G$10-DATOS_[[#This Row],[Fecha Nacimiento]])/365.25</f>
        <v>0</v>
      </c>
      <c r="CK975" s="141" t="n">
        <f aca="false">(Inicio!$G$10-DATOS_[[#This Row],[Fecha de Antigüedad]])/365.25</f>
        <v>0</v>
      </c>
      <c r="CL975" s="141" t="e">
        <f aca="false">+VLOOKUP(DATOS_[[#This Row],[Clave de Contrato]],TblTiposContrato13[],3,0)</f>
        <v>#N/A</v>
      </c>
      <c r="CM975" s="141" t="e">
        <f aca="false">+VLOOKUP(DATOS_[[#This Row],[Clave de Contrato]],TblTiposContrato13[],4,0)</f>
        <v>#N/A</v>
      </c>
      <c r="CN975" s="141" t="str">
        <f aca="false">VLOOKUP(DATOS_[[#This Row],[Edad]],CONTRATOS!TblRngEdad,2,1)</f>
        <v>20  o menos</v>
      </c>
      <c r="CO975" s="141" t="str">
        <f aca="false">VLOOKUP(DATOS_[[#This Row],[Antigüedad]],TblRngAntg14[],2,1)</f>
        <v>0 a 1 años</v>
      </c>
    </row>
    <row r="976" customFormat="false" ht="13.8" hidden="false" customHeight="false" outlineLevel="0" collapsed="false">
      <c r="D976" s="128"/>
      <c r="E976" s="129"/>
      <c r="F976" s="129"/>
      <c r="G976" s="129"/>
      <c r="H976" s="130"/>
      <c r="I976" s="131"/>
      <c r="J976" s="128"/>
      <c r="K976" s="132"/>
      <c r="L976" s="132"/>
      <c r="M976" s="133"/>
      <c r="N976" s="133"/>
      <c r="O976" s="133"/>
      <c r="P976" s="129"/>
      <c r="Z976" s="75"/>
      <c r="AA976" s="76"/>
      <c r="AB976" s="76"/>
      <c r="AC976" s="129"/>
      <c r="AD976" s="134"/>
      <c r="AE976" s="134"/>
      <c r="AF976" s="134"/>
      <c r="AG976" s="134"/>
      <c r="AH976" s="134"/>
      <c r="AI976" s="134"/>
      <c r="AJ976" s="134"/>
      <c r="AK976" s="134"/>
      <c r="AL976" s="134"/>
      <c r="AM976" s="134"/>
      <c r="AN976" s="134"/>
      <c r="AO976" s="134"/>
      <c r="AP976" s="134"/>
      <c r="AQ976" s="134"/>
      <c r="AR976" s="134"/>
      <c r="AS976" s="134"/>
      <c r="AT976" s="134"/>
      <c r="AU976" s="134"/>
      <c r="AV976" s="134"/>
      <c r="AW976" s="134"/>
      <c r="AX976" s="134"/>
      <c r="AY976" s="134"/>
      <c r="AZ976" s="134"/>
      <c r="BA976" s="134"/>
      <c r="BB976" s="134"/>
      <c r="BC976" s="134"/>
      <c r="BD976" s="134"/>
      <c r="BE976" s="134"/>
      <c r="BF976" s="134"/>
      <c r="BG976" s="134"/>
      <c r="BH976" s="134"/>
      <c r="BI976" s="134"/>
      <c r="BJ976" s="134"/>
      <c r="BK976" s="134"/>
      <c r="BL976" s="134"/>
      <c r="BM976" s="135"/>
      <c r="BN976" s="136" t="n">
        <f aca="false">+MAX($D$3,DATOS_[[#This Row],[Fecha Inicio Sit. Contract.]])</f>
        <v>0</v>
      </c>
      <c r="BO976" s="136" t="n">
        <f aca="false">+MIN($D$4,DATOS_[[#This Row],[Fecha Fin Sit. Contract.]])</f>
        <v>0</v>
      </c>
      <c r="BP976" s="137" t="n">
        <f aca="false">+DATOS_[[#This Row],[% de jornada]]*IF(DATOS_[[#This Row],[% jornada reducida]]="",1,DATOS_[[#This Row],[% jornada reducida]])</f>
        <v>0</v>
      </c>
      <c r="BQ976" s="137" t="n">
        <f aca="false">+(DATOS_[[#This Row],[F.fin.cal]]-DATOS_[[#This Row],[F.ini.cal]]+1)/($D$4-$D$3+1)</f>
        <v>1</v>
      </c>
      <c r="BR976" s="137" t="str">
        <f aca="false">IF(OR(AND(DATOS_[[#This Row],[Fecha Fin Contrato]]&lt;$D$3,DATOS_[[#This Row],[Fecha Fin Contrato]]&lt;&gt;""),DATOS_[[#This Row],[Fecha de Contratación]]&gt;$D$4),"Fuera","Dentro")</f>
        <v>Dentro</v>
      </c>
      <c r="BS976" s="137" t="str">
        <f aca="false" t="array" ref="BS976:BS976">IF(MAX(IF(DATOS_[id]=DATOS_[[#This Row],[id]],DATOS_[F.fin.cal]))=DATOS_[[#This Row],[F.fin.cal]],"Sí","NO")</f>
        <v>Sí</v>
      </c>
      <c r="BT976" s="137" t="str">
        <f aca="false">IF(AND(DATOS_[[#This Row],[% normaliz]]&lt;&gt;1,DATOS_[[#This Row],[% anualiz]]=1),"Sí","NO")</f>
        <v>Sí</v>
      </c>
      <c r="BU976" s="137" t="str">
        <f aca="false">IF(AND(DATOS_[[#This Row],[% normaliz]]=1,DATOS_[[#This Row],[% anualiz]]&lt;&gt;1),"Sí","NO")</f>
        <v>NO</v>
      </c>
      <c r="BV976" s="137" t="str">
        <f aca="false">IF(AND(DATOS_[[#This Row],[% normaliz]]&lt;&gt;1,DATOS_[[#This Row],[% anualiz]]&lt;&gt;1),"Sí","NO")</f>
        <v>NO</v>
      </c>
      <c r="BW976" s="137" t="str">
        <f aca="false">+IF(DATOS_[[#This Row],[% normaliz]]*DATOS_[[#This Row],[% anualiz]]=1,"NO","Sí")</f>
        <v>Sí</v>
      </c>
      <c r="BX976" s="138" t="e">
        <f aca="false">(DATOS_[[#This Row],[S.BASE]]*(1/DATOS_[[#This Row],[% normaliz]])*(1/DATOS_[[#This Row],[% anualiz]]))*IF(DATOS_[[#This Row],[Check Equiparado]]="Sí",1,0)</f>
        <v>#DIV/0!</v>
      </c>
      <c r="BY97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6" s="138" t="e">
        <f aca="false">+DATOS_[[#This Row],[SALARIO BASE Eq]]+DATOS_[[#This Row],[Tot COMPL.SAL Eq]]</f>
        <v>#DIV/0!</v>
      </c>
      <c r="CA976" s="138" t="e">
        <f aca="false" t="array" ref="CA976:CA9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6" s="138" t="e">
        <f aca="false">+DATOS_[[#This Row],[TOTAL SALARIO Eq]]+DATOS_[[#This Row],[Tot Extrasalarial Eq]]</f>
        <v>#DIV/0!</v>
      </c>
      <c r="CC976" s="139" t="n">
        <f aca="false">DATOS_[[#This Row],[S.BASE]]</f>
        <v>0</v>
      </c>
      <c r="CD976" s="139" t="n">
        <f aca="false">+SUM(DATOS_[[#This Row],[Conc.Sal.01]:[Conc.Sal.30]])</f>
        <v>0</v>
      </c>
      <c r="CE976" s="139" t="n">
        <f aca="false">+DATOS_[[#This Row],[SALARIO BASE Ef]]+DATOS_[[#This Row],[Tot COMPL.SAL Ef]]</f>
        <v>0</v>
      </c>
      <c r="CF976" s="139" t="n">
        <f aca="false">+SUM(DATOS_[[#This Row],[C.Extra.01]:[C.Extra.05]])</f>
        <v>0</v>
      </c>
      <c r="CG976" s="139" t="n">
        <f aca="false">+DATOS_[[#This Row],[TOTAL SALARIO Ef]]+DATOS_[[#This Row],[Tot Extrasalarial Ef]]</f>
        <v>0</v>
      </c>
      <c r="CH976" s="140" t="n">
        <f aca="false">MIN(IF(DATOS_[[#This Row],[Fecha Fin Contrato]]="",$D$4,DATOS_[[#This Row],[Fecha Fin Contrato]]),$D$4)-MAX(DATOS_[[#This Row],[Fecha de Contratación]],$D$3)+1</f>
        <v>1</v>
      </c>
      <c r="CI976" s="141" t="str">
        <f aca="false">IF(COUNTIFS(DATOS_[id],DATOS_[[#This Row],[id]])&gt;1,DATOS_[[#This Row],[id]],"")</f>
        <v/>
      </c>
      <c r="CJ976" s="141" t="n">
        <f aca="false">(Inicio!$G$10-DATOS_[[#This Row],[Fecha Nacimiento]])/365.25</f>
        <v>0</v>
      </c>
      <c r="CK976" s="141" t="n">
        <f aca="false">(Inicio!$G$10-DATOS_[[#This Row],[Fecha de Antigüedad]])/365.25</f>
        <v>0</v>
      </c>
      <c r="CL976" s="141" t="e">
        <f aca="false">+VLOOKUP(DATOS_[[#This Row],[Clave de Contrato]],TblTiposContrato13[],3,0)</f>
        <v>#N/A</v>
      </c>
      <c r="CM976" s="141" t="e">
        <f aca="false">+VLOOKUP(DATOS_[[#This Row],[Clave de Contrato]],TblTiposContrato13[],4,0)</f>
        <v>#N/A</v>
      </c>
      <c r="CN976" s="141" t="str">
        <f aca="false">VLOOKUP(DATOS_[[#This Row],[Edad]],CONTRATOS!TblRngEdad,2,1)</f>
        <v>20  o menos</v>
      </c>
      <c r="CO976" s="141" t="str">
        <f aca="false">VLOOKUP(DATOS_[[#This Row],[Antigüedad]],TblRngAntg14[],2,1)</f>
        <v>0 a 1 años</v>
      </c>
    </row>
    <row r="977" customFormat="false" ht="13.8" hidden="false" customHeight="false" outlineLevel="0" collapsed="false">
      <c r="D977" s="128"/>
      <c r="E977" s="129"/>
      <c r="F977" s="129"/>
      <c r="G977" s="129"/>
      <c r="H977" s="130"/>
      <c r="I977" s="131"/>
      <c r="J977" s="128"/>
      <c r="K977" s="132"/>
      <c r="L977" s="132"/>
      <c r="M977" s="133"/>
      <c r="N977" s="133"/>
      <c r="O977" s="133"/>
      <c r="P977" s="129"/>
      <c r="Z977" s="75"/>
      <c r="AA977" s="76"/>
      <c r="AB977" s="76"/>
      <c r="AC977" s="129"/>
      <c r="AD977" s="134"/>
      <c r="AE977" s="134"/>
      <c r="AF977" s="134"/>
      <c r="AG977" s="134"/>
      <c r="AH977" s="134"/>
      <c r="AI977" s="134"/>
      <c r="AJ977" s="134"/>
      <c r="AK977" s="134"/>
      <c r="AL977" s="134"/>
      <c r="AM977" s="134"/>
      <c r="AN977" s="134"/>
      <c r="AO977" s="134"/>
      <c r="AP977" s="134"/>
      <c r="AQ977" s="134"/>
      <c r="AR977" s="134"/>
      <c r="AS977" s="134"/>
      <c r="AT977" s="134"/>
      <c r="AU977" s="134"/>
      <c r="AV977" s="134"/>
      <c r="AW977" s="134"/>
      <c r="AX977" s="134"/>
      <c r="AY977" s="134"/>
      <c r="AZ977" s="134"/>
      <c r="BA977" s="134"/>
      <c r="BB977" s="134"/>
      <c r="BC977" s="134"/>
      <c r="BD977" s="134"/>
      <c r="BE977" s="134"/>
      <c r="BF977" s="134"/>
      <c r="BG977" s="134"/>
      <c r="BH977" s="134"/>
      <c r="BI977" s="134"/>
      <c r="BJ977" s="134"/>
      <c r="BK977" s="134"/>
      <c r="BL977" s="134"/>
      <c r="BM977" s="135"/>
      <c r="BN977" s="136" t="n">
        <f aca="false">+MAX($D$3,DATOS_[[#This Row],[Fecha Inicio Sit. Contract.]])</f>
        <v>0</v>
      </c>
      <c r="BO977" s="136" t="n">
        <f aca="false">+MIN($D$4,DATOS_[[#This Row],[Fecha Fin Sit. Contract.]])</f>
        <v>0</v>
      </c>
      <c r="BP977" s="137" t="n">
        <f aca="false">+DATOS_[[#This Row],[% de jornada]]*IF(DATOS_[[#This Row],[% jornada reducida]]="",1,DATOS_[[#This Row],[% jornada reducida]])</f>
        <v>0</v>
      </c>
      <c r="BQ977" s="137" t="n">
        <f aca="false">+(DATOS_[[#This Row],[F.fin.cal]]-DATOS_[[#This Row],[F.ini.cal]]+1)/($D$4-$D$3+1)</f>
        <v>1</v>
      </c>
      <c r="BR977" s="137" t="str">
        <f aca="false">IF(OR(AND(DATOS_[[#This Row],[Fecha Fin Contrato]]&lt;$D$3,DATOS_[[#This Row],[Fecha Fin Contrato]]&lt;&gt;""),DATOS_[[#This Row],[Fecha de Contratación]]&gt;$D$4),"Fuera","Dentro")</f>
        <v>Dentro</v>
      </c>
      <c r="BS977" s="137" t="str">
        <f aca="false" t="array" ref="BS977:BS977">IF(MAX(IF(DATOS_[id]=DATOS_[[#This Row],[id]],DATOS_[F.fin.cal]))=DATOS_[[#This Row],[F.fin.cal]],"Sí","NO")</f>
        <v>Sí</v>
      </c>
      <c r="BT977" s="137" t="str">
        <f aca="false">IF(AND(DATOS_[[#This Row],[% normaliz]]&lt;&gt;1,DATOS_[[#This Row],[% anualiz]]=1),"Sí","NO")</f>
        <v>Sí</v>
      </c>
      <c r="BU977" s="137" t="str">
        <f aca="false">IF(AND(DATOS_[[#This Row],[% normaliz]]=1,DATOS_[[#This Row],[% anualiz]]&lt;&gt;1),"Sí","NO")</f>
        <v>NO</v>
      </c>
      <c r="BV977" s="137" t="str">
        <f aca="false">IF(AND(DATOS_[[#This Row],[% normaliz]]&lt;&gt;1,DATOS_[[#This Row],[% anualiz]]&lt;&gt;1),"Sí","NO")</f>
        <v>NO</v>
      </c>
      <c r="BW977" s="137" t="str">
        <f aca="false">+IF(DATOS_[[#This Row],[% normaliz]]*DATOS_[[#This Row],[% anualiz]]=1,"NO","Sí")</f>
        <v>Sí</v>
      </c>
      <c r="BX977" s="138" t="e">
        <f aca="false">(DATOS_[[#This Row],[S.BASE]]*(1/DATOS_[[#This Row],[% normaliz]])*(1/DATOS_[[#This Row],[% anualiz]]))*IF(DATOS_[[#This Row],[Check Equiparado]]="Sí",1,0)</f>
        <v>#DIV/0!</v>
      </c>
      <c r="BY97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7" s="138" t="e">
        <f aca="false">+DATOS_[[#This Row],[SALARIO BASE Eq]]+DATOS_[[#This Row],[Tot COMPL.SAL Eq]]</f>
        <v>#DIV/0!</v>
      </c>
      <c r="CA977" s="138" t="e">
        <f aca="false" t="array" ref="CA977:CA9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7" s="138" t="e">
        <f aca="false">+DATOS_[[#This Row],[TOTAL SALARIO Eq]]+DATOS_[[#This Row],[Tot Extrasalarial Eq]]</f>
        <v>#DIV/0!</v>
      </c>
      <c r="CC977" s="139" t="n">
        <f aca="false">DATOS_[[#This Row],[S.BASE]]</f>
        <v>0</v>
      </c>
      <c r="CD977" s="139" t="n">
        <f aca="false">+SUM(DATOS_[[#This Row],[Conc.Sal.01]:[Conc.Sal.30]])</f>
        <v>0</v>
      </c>
      <c r="CE977" s="139" t="n">
        <f aca="false">+DATOS_[[#This Row],[SALARIO BASE Ef]]+DATOS_[[#This Row],[Tot COMPL.SAL Ef]]</f>
        <v>0</v>
      </c>
      <c r="CF977" s="139" t="n">
        <f aca="false">+SUM(DATOS_[[#This Row],[C.Extra.01]:[C.Extra.05]])</f>
        <v>0</v>
      </c>
      <c r="CG977" s="139" t="n">
        <f aca="false">+DATOS_[[#This Row],[TOTAL SALARIO Ef]]+DATOS_[[#This Row],[Tot Extrasalarial Ef]]</f>
        <v>0</v>
      </c>
      <c r="CH977" s="140" t="n">
        <f aca="false">MIN(IF(DATOS_[[#This Row],[Fecha Fin Contrato]]="",$D$4,DATOS_[[#This Row],[Fecha Fin Contrato]]),$D$4)-MAX(DATOS_[[#This Row],[Fecha de Contratación]],$D$3)+1</f>
        <v>1</v>
      </c>
      <c r="CI977" s="141" t="str">
        <f aca="false">IF(COUNTIFS(DATOS_[id],DATOS_[[#This Row],[id]])&gt;1,DATOS_[[#This Row],[id]],"")</f>
        <v/>
      </c>
      <c r="CJ977" s="141" t="n">
        <f aca="false">(Inicio!$G$10-DATOS_[[#This Row],[Fecha Nacimiento]])/365.25</f>
        <v>0</v>
      </c>
      <c r="CK977" s="141" t="n">
        <f aca="false">(Inicio!$G$10-DATOS_[[#This Row],[Fecha de Antigüedad]])/365.25</f>
        <v>0</v>
      </c>
      <c r="CL977" s="141" t="e">
        <f aca="false">+VLOOKUP(DATOS_[[#This Row],[Clave de Contrato]],TblTiposContrato13[],3,0)</f>
        <v>#N/A</v>
      </c>
      <c r="CM977" s="141" t="e">
        <f aca="false">+VLOOKUP(DATOS_[[#This Row],[Clave de Contrato]],TblTiposContrato13[],4,0)</f>
        <v>#N/A</v>
      </c>
      <c r="CN977" s="141" t="str">
        <f aca="false">VLOOKUP(DATOS_[[#This Row],[Edad]],CONTRATOS!TblRngEdad,2,1)</f>
        <v>20  o menos</v>
      </c>
      <c r="CO977" s="141" t="str">
        <f aca="false">VLOOKUP(DATOS_[[#This Row],[Antigüedad]],TblRngAntg14[],2,1)</f>
        <v>0 a 1 años</v>
      </c>
    </row>
    <row r="978" customFormat="false" ht="13.8" hidden="false" customHeight="false" outlineLevel="0" collapsed="false">
      <c r="D978" s="128"/>
      <c r="E978" s="129"/>
      <c r="F978" s="129"/>
      <c r="G978" s="129"/>
      <c r="H978" s="130"/>
      <c r="I978" s="131"/>
      <c r="J978" s="128"/>
      <c r="K978" s="132"/>
      <c r="L978" s="132"/>
      <c r="M978" s="133"/>
      <c r="N978" s="133"/>
      <c r="O978" s="133"/>
      <c r="P978" s="129"/>
      <c r="Z978" s="75"/>
      <c r="AA978" s="76"/>
      <c r="AB978" s="76"/>
      <c r="AC978" s="129"/>
      <c r="AD978" s="134"/>
      <c r="AE978" s="134"/>
      <c r="AF978" s="134"/>
      <c r="AG978" s="134"/>
      <c r="AH978" s="134"/>
      <c r="AI978" s="134"/>
      <c r="AJ978" s="134"/>
      <c r="AK978" s="134"/>
      <c r="AL978" s="134"/>
      <c r="AM978" s="134"/>
      <c r="AN978" s="134"/>
      <c r="AO978" s="134"/>
      <c r="AP978" s="134"/>
      <c r="AQ978" s="134"/>
      <c r="AR978" s="134"/>
      <c r="AS978" s="134"/>
      <c r="AT978" s="134"/>
      <c r="AU978" s="134"/>
      <c r="AV978" s="134"/>
      <c r="AW978" s="134"/>
      <c r="AX978" s="134"/>
      <c r="AY978" s="134"/>
      <c r="AZ978" s="134"/>
      <c r="BA978" s="134"/>
      <c r="BB978" s="134"/>
      <c r="BC978" s="134"/>
      <c r="BD978" s="134"/>
      <c r="BE978" s="134"/>
      <c r="BF978" s="134"/>
      <c r="BG978" s="134"/>
      <c r="BH978" s="134"/>
      <c r="BI978" s="134"/>
      <c r="BJ978" s="134"/>
      <c r="BK978" s="134"/>
      <c r="BL978" s="134"/>
      <c r="BM978" s="135"/>
      <c r="BN978" s="136" t="n">
        <f aca="false">+MAX($D$3,DATOS_[[#This Row],[Fecha Inicio Sit. Contract.]])</f>
        <v>0</v>
      </c>
      <c r="BO978" s="136" t="n">
        <f aca="false">+MIN($D$4,DATOS_[[#This Row],[Fecha Fin Sit. Contract.]])</f>
        <v>0</v>
      </c>
      <c r="BP978" s="137" t="n">
        <f aca="false">+DATOS_[[#This Row],[% de jornada]]*IF(DATOS_[[#This Row],[% jornada reducida]]="",1,DATOS_[[#This Row],[% jornada reducida]])</f>
        <v>0</v>
      </c>
      <c r="BQ978" s="137" t="n">
        <f aca="false">+(DATOS_[[#This Row],[F.fin.cal]]-DATOS_[[#This Row],[F.ini.cal]]+1)/($D$4-$D$3+1)</f>
        <v>1</v>
      </c>
      <c r="BR978" s="137" t="str">
        <f aca="false">IF(OR(AND(DATOS_[[#This Row],[Fecha Fin Contrato]]&lt;$D$3,DATOS_[[#This Row],[Fecha Fin Contrato]]&lt;&gt;""),DATOS_[[#This Row],[Fecha de Contratación]]&gt;$D$4),"Fuera","Dentro")</f>
        <v>Dentro</v>
      </c>
      <c r="BS978" s="137" t="str">
        <f aca="false" t="array" ref="BS978:BS978">IF(MAX(IF(DATOS_[id]=DATOS_[[#This Row],[id]],DATOS_[F.fin.cal]))=DATOS_[[#This Row],[F.fin.cal]],"Sí","NO")</f>
        <v>Sí</v>
      </c>
      <c r="BT978" s="137" t="str">
        <f aca="false">IF(AND(DATOS_[[#This Row],[% normaliz]]&lt;&gt;1,DATOS_[[#This Row],[% anualiz]]=1),"Sí","NO")</f>
        <v>Sí</v>
      </c>
      <c r="BU978" s="137" t="str">
        <f aca="false">IF(AND(DATOS_[[#This Row],[% normaliz]]=1,DATOS_[[#This Row],[% anualiz]]&lt;&gt;1),"Sí","NO")</f>
        <v>NO</v>
      </c>
      <c r="BV978" s="137" t="str">
        <f aca="false">IF(AND(DATOS_[[#This Row],[% normaliz]]&lt;&gt;1,DATOS_[[#This Row],[% anualiz]]&lt;&gt;1),"Sí","NO")</f>
        <v>NO</v>
      </c>
      <c r="BW978" s="137" t="str">
        <f aca="false">+IF(DATOS_[[#This Row],[% normaliz]]*DATOS_[[#This Row],[% anualiz]]=1,"NO","Sí")</f>
        <v>Sí</v>
      </c>
      <c r="BX978" s="138" t="e">
        <f aca="false">(DATOS_[[#This Row],[S.BASE]]*(1/DATOS_[[#This Row],[% normaliz]])*(1/DATOS_[[#This Row],[% anualiz]]))*IF(DATOS_[[#This Row],[Check Equiparado]]="Sí",1,0)</f>
        <v>#DIV/0!</v>
      </c>
      <c r="BY97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8" s="138" t="e">
        <f aca="false">+DATOS_[[#This Row],[SALARIO BASE Eq]]+DATOS_[[#This Row],[Tot COMPL.SAL Eq]]</f>
        <v>#DIV/0!</v>
      </c>
      <c r="CA978" s="138" t="e">
        <f aca="false" t="array" ref="CA978:CA9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8" s="138" t="e">
        <f aca="false">+DATOS_[[#This Row],[TOTAL SALARIO Eq]]+DATOS_[[#This Row],[Tot Extrasalarial Eq]]</f>
        <v>#DIV/0!</v>
      </c>
      <c r="CC978" s="139" t="n">
        <f aca="false">DATOS_[[#This Row],[S.BASE]]</f>
        <v>0</v>
      </c>
      <c r="CD978" s="139" t="n">
        <f aca="false">+SUM(DATOS_[[#This Row],[Conc.Sal.01]:[Conc.Sal.30]])</f>
        <v>0</v>
      </c>
      <c r="CE978" s="139" t="n">
        <f aca="false">+DATOS_[[#This Row],[SALARIO BASE Ef]]+DATOS_[[#This Row],[Tot COMPL.SAL Ef]]</f>
        <v>0</v>
      </c>
      <c r="CF978" s="139" t="n">
        <f aca="false">+SUM(DATOS_[[#This Row],[C.Extra.01]:[C.Extra.05]])</f>
        <v>0</v>
      </c>
      <c r="CG978" s="139" t="n">
        <f aca="false">+DATOS_[[#This Row],[TOTAL SALARIO Ef]]+DATOS_[[#This Row],[Tot Extrasalarial Ef]]</f>
        <v>0</v>
      </c>
      <c r="CH978" s="140" t="n">
        <f aca="false">MIN(IF(DATOS_[[#This Row],[Fecha Fin Contrato]]="",$D$4,DATOS_[[#This Row],[Fecha Fin Contrato]]),$D$4)-MAX(DATOS_[[#This Row],[Fecha de Contratación]],$D$3)+1</f>
        <v>1</v>
      </c>
      <c r="CI978" s="141" t="str">
        <f aca="false">IF(COUNTIFS(DATOS_[id],DATOS_[[#This Row],[id]])&gt;1,DATOS_[[#This Row],[id]],"")</f>
        <v/>
      </c>
      <c r="CJ978" s="141" t="n">
        <f aca="false">(Inicio!$G$10-DATOS_[[#This Row],[Fecha Nacimiento]])/365.25</f>
        <v>0</v>
      </c>
      <c r="CK978" s="141" t="n">
        <f aca="false">(Inicio!$G$10-DATOS_[[#This Row],[Fecha de Antigüedad]])/365.25</f>
        <v>0</v>
      </c>
      <c r="CL978" s="141" t="e">
        <f aca="false">+VLOOKUP(DATOS_[[#This Row],[Clave de Contrato]],TblTiposContrato13[],3,0)</f>
        <v>#N/A</v>
      </c>
      <c r="CM978" s="141" t="e">
        <f aca="false">+VLOOKUP(DATOS_[[#This Row],[Clave de Contrato]],TblTiposContrato13[],4,0)</f>
        <v>#N/A</v>
      </c>
      <c r="CN978" s="141" t="str">
        <f aca="false">VLOOKUP(DATOS_[[#This Row],[Edad]],CONTRATOS!TblRngEdad,2,1)</f>
        <v>20  o menos</v>
      </c>
      <c r="CO978" s="141" t="str">
        <f aca="false">VLOOKUP(DATOS_[[#This Row],[Antigüedad]],TblRngAntg14[],2,1)</f>
        <v>0 a 1 años</v>
      </c>
    </row>
    <row r="979" customFormat="false" ht="13.8" hidden="false" customHeight="false" outlineLevel="0" collapsed="false">
      <c r="D979" s="128"/>
      <c r="E979" s="129"/>
      <c r="F979" s="129"/>
      <c r="G979" s="129"/>
      <c r="H979" s="130"/>
      <c r="I979" s="131"/>
      <c r="J979" s="128"/>
      <c r="K979" s="132"/>
      <c r="L979" s="132"/>
      <c r="M979" s="133"/>
      <c r="N979" s="133"/>
      <c r="O979" s="133"/>
      <c r="P979" s="129"/>
      <c r="Z979" s="75"/>
      <c r="AA979" s="76"/>
      <c r="AB979" s="76"/>
      <c r="AC979" s="129"/>
      <c r="AD979" s="134"/>
      <c r="AE979" s="134"/>
      <c r="AF979" s="134"/>
      <c r="AG979" s="134"/>
      <c r="AH979" s="134"/>
      <c r="AI979" s="134"/>
      <c r="AJ979" s="134"/>
      <c r="AK979" s="134"/>
      <c r="AL979" s="134"/>
      <c r="AM979" s="134"/>
      <c r="AN979" s="134"/>
      <c r="AO979" s="134"/>
      <c r="AP979" s="134"/>
      <c r="AQ979" s="134"/>
      <c r="AR979" s="134"/>
      <c r="AS979" s="134"/>
      <c r="AT979" s="134"/>
      <c r="AU979" s="134"/>
      <c r="AV979" s="134"/>
      <c r="AW979" s="134"/>
      <c r="AX979" s="134"/>
      <c r="AY979" s="134"/>
      <c r="AZ979" s="134"/>
      <c r="BA979" s="134"/>
      <c r="BB979" s="134"/>
      <c r="BC979" s="134"/>
      <c r="BD979" s="134"/>
      <c r="BE979" s="134"/>
      <c r="BF979" s="134"/>
      <c r="BG979" s="134"/>
      <c r="BH979" s="134"/>
      <c r="BI979" s="134"/>
      <c r="BJ979" s="134"/>
      <c r="BK979" s="134"/>
      <c r="BL979" s="134"/>
      <c r="BM979" s="135"/>
      <c r="BN979" s="136" t="n">
        <f aca="false">+MAX($D$3,DATOS_[[#This Row],[Fecha Inicio Sit. Contract.]])</f>
        <v>0</v>
      </c>
      <c r="BO979" s="136" t="n">
        <f aca="false">+MIN($D$4,DATOS_[[#This Row],[Fecha Fin Sit. Contract.]])</f>
        <v>0</v>
      </c>
      <c r="BP979" s="137" t="n">
        <f aca="false">+DATOS_[[#This Row],[% de jornada]]*IF(DATOS_[[#This Row],[% jornada reducida]]="",1,DATOS_[[#This Row],[% jornada reducida]])</f>
        <v>0</v>
      </c>
      <c r="BQ979" s="137" t="n">
        <f aca="false">+(DATOS_[[#This Row],[F.fin.cal]]-DATOS_[[#This Row],[F.ini.cal]]+1)/($D$4-$D$3+1)</f>
        <v>1</v>
      </c>
      <c r="BR979" s="137" t="str">
        <f aca="false">IF(OR(AND(DATOS_[[#This Row],[Fecha Fin Contrato]]&lt;$D$3,DATOS_[[#This Row],[Fecha Fin Contrato]]&lt;&gt;""),DATOS_[[#This Row],[Fecha de Contratación]]&gt;$D$4),"Fuera","Dentro")</f>
        <v>Dentro</v>
      </c>
      <c r="BS979" s="137" t="str">
        <f aca="false" t="array" ref="BS979:BS979">IF(MAX(IF(DATOS_[id]=DATOS_[[#This Row],[id]],DATOS_[F.fin.cal]))=DATOS_[[#This Row],[F.fin.cal]],"Sí","NO")</f>
        <v>Sí</v>
      </c>
      <c r="BT979" s="137" t="str">
        <f aca="false">IF(AND(DATOS_[[#This Row],[% normaliz]]&lt;&gt;1,DATOS_[[#This Row],[% anualiz]]=1),"Sí","NO")</f>
        <v>Sí</v>
      </c>
      <c r="BU979" s="137" t="str">
        <f aca="false">IF(AND(DATOS_[[#This Row],[% normaliz]]=1,DATOS_[[#This Row],[% anualiz]]&lt;&gt;1),"Sí","NO")</f>
        <v>NO</v>
      </c>
      <c r="BV979" s="137" t="str">
        <f aca="false">IF(AND(DATOS_[[#This Row],[% normaliz]]&lt;&gt;1,DATOS_[[#This Row],[% anualiz]]&lt;&gt;1),"Sí","NO")</f>
        <v>NO</v>
      </c>
      <c r="BW979" s="137" t="str">
        <f aca="false">+IF(DATOS_[[#This Row],[% normaliz]]*DATOS_[[#This Row],[% anualiz]]=1,"NO","Sí")</f>
        <v>Sí</v>
      </c>
      <c r="BX979" s="138" t="e">
        <f aca="false">(DATOS_[[#This Row],[S.BASE]]*(1/DATOS_[[#This Row],[% normaliz]])*(1/DATOS_[[#This Row],[% anualiz]]))*IF(DATOS_[[#This Row],[Check Equiparado]]="Sí",1,0)</f>
        <v>#DIV/0!</v>
      </c>
      <c r="BY97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9" s="138" t="e">
        <f aca="false">+DATOS_[[#This Row],[SALARIO BASE Eq]]+DATOS_[[#This Row],[Tot COMPL.SAL Eq]]</f>
        <v>#DIV/0!</v>
      </c>
      <c r="CA979" s="138" t="e">
        <f aca="false" t="array" ref="CA979:CA9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9" s="138" t="e">
        <f aca="false">+DATOS_[[#This Row],[TOTAL SALARIO Eq]]+DATOS_[[#This Row],[Tot Extrasalarial Eq]]</f>
        <v>#DIV/0!</v>
      </c>
      <c r="CC979" s="139" t="n">
        <f aca="false">DATOS_[[#This Row],[S.BASE]]</f>
        <v>0</v>
      </c>
      <c r="CD979" s="139" t="n">
        <f aca="false">+SUM(DATOS_[[#This Row],[Conc.Sal.01]:[Conc.Sal.30]])</f>
        <v>0</v>
      </c>
      <c r="CE979" s="139" t="n">
        <f aca="false">+DATOS_[[#This Row],[SALARIO BASE Ef]]+DATOS_[[#This Row],[Tot COMPL.SAL Ef]]</f>
        <v>0</v>
      </c>
      <c r="CF979" s="139" t="n">
        <f aca="false">+SUM(DATOS_[[#This Row],[C.Extra.01]:[C.Extra.05]])</f>
        <v>0</v>
      </c>
      <c r="CG979" s="139" t="n">
        <f aca="false">+DATOS_[[#This Row],[TOTAL SALARIO Ef]]+DATOS_[[#This Row],[Tot Extrasalarial Ef]]</f>
        <v>0</v>
      </c>
      <c r="CH979" s="140" t="n">
        <f aca="false">MIN(IF(DATOS_[[#This Row],[Fecha Fin Contrato]]="",$D$4,DATOS_[[#This Row],[Fecha Fin Contrato]]),$D$4)-MAX(DATOS_[[#This Row],[Fecha de Contratación]],$D$3)+1</f>
        <v>1</v>
      </c>
      <c r="CI979" s="141" t="str">
        <f aca="false">IF(COUNTIFS(DATOS_[id],DATOS_[[#This Row],[id]])&gt;1,DATOS_[[#This Row],[id]],"")</f>
        <v/>
      </c>
      <c r="CJ979" s="141" t="n">
        <f aca="false">(Inicio!$G$10-DATOS_[[#This Row],[Fecha Nacimiento]])/365.25</f>
        <v>0</v>
      </c>
      <c r="CK979" s="141" t="n">
        <f aca="false">(Inicio!$G$10-DATOS_[[#This Row],[Fecha de Antigüedad]])/365.25</f>
        <v>0</v>
      </c>
      <c r="CL979" s="141" t="e">
        <f aca="false">+VLOOKUP(DATOS_[[#This Row],[Clave de Contrato]],TblTiposContrato13[],3,0)</f>
        <v>#N/A</v>
      </c>
      <c r="CM979" s="141" t="e">
        <f aca="false">+VLOOKUP(DATOS_[[#This Row],[Clave de Contrato]],TblTiposContrato13[],4,0)</f>
        <v>#N/A</v>
      </c>
      <c r="CN979" s="141" t="str">
        <f aca="false">VLOOKUP(DATOS_[[#This Row],[Edad]],CONTRATOS!TblRngEdad,2,1)</f>
        <v>20  o menos</v>
      </c>
      <c r="CO979" s="141" t="str">
        <f aca="false">VLOOKUP(DATOS_[[#This Row],[Antigüedad]],TblRngAntg14[],2,1)</f>
        <v>0 a 1 años</v>
      </c>
    </row>
    <row r="980" customFormat="false" ht="13.8" hidden="false" customHeight="false" outlineLevel="0" collapsed="false">
      <c r="D980" s="128"/>
      <c r="E980" s="129"/>
      <c r="F980" s="129"/>
      <c r="G980" s="129"/>
      <c r="H980" s="130"/>
      <c r="I980" s="131"/>
      <c r="J980" s="128"/>
      <c r="K980" s="132"/>
      <c r="L980" s="132"/>
      <c r="M980" s="133"/>
      <c r="N980" s="133"/>
      <c r="O980" s="133"/>
      <c r="P980" s="129"/>
      <c r="Z980" s="75"/>
      <c r="AA980" s="76"/>
      <c r="AB980" s="76"/>
      <c r="AC980" s="129"/>
      <c r="AD980" s="134"/>
      <c r="AE980" s="134"/>
      <c r="AF980" s="134"/>
      <c r="AG980" s="134"/>
      <c r="AH980" s="134"/>
      <c r="AI980" s="134"/>
      <c r="AJ980" s="134"/>
      <c r="AK980" s="134"/>
      <c r="AL980" s="134"/>
      <c r="AM980" s="134"/>
      <c r="AN980" s="134"/>
      <c r="AO980" s="134"/>
      <c r="AP980" s="134"/>
      <c r="AQ980" s="134"/>
      <c r="AR980" s="134"/>
      <c r="AS980" s="134"/>
      <c r="AT980" s="134"/>
      <c r="AU980" s="134"/>
      <c r="AV980" s="134"/>
      <c r="AW980" s="134"/>
      <c r="AX980" s="134"/>
      <c r="AY980" s="134"/>
      <c r="AZ980" s="134"/>
      <c r="BA980" s="134"/>
      <c r="BB980" s="134"/>
      <c r="BC980" s="134"/>
      <c r="BD980" s="134"/>
      <c r="BE980" s="134"/>
      <c r="BF980" s="134"/>
      <c r="BG980" s="134"/>
      <c r="BH980" s="134"/>
      <c r="BI980" s="134"/>
      <c r="BJ980" s="134"/>
      <c r="BK980" s="134"/>
      <c r="BL980" s="134"/>
      <c r="BM980" s="135"/>
      <c r="BN980" s="136" t="n">
        <f aca="false">+MAX($D$3,DATOS_[[#This Row],[Fecha Inicio Sit. Contract.]])</f>
        <v>0</v>
      </c>
      <c r="BO980" s="136" t="n">
        <f aca="false">+MIN($D$4,DATOS_[[#This Row],[Fecha Fin Sit. Contract.]])</f>
        <v>0</v>
      </c>
      <c r="BP980" s="137" t="n">
        <f aca="false">+DATOS_[[#This Row],[% de jornada]]*IF(DATOS_[[#This Row],[% jornada reducida]]="",1,DATOS_[[#This Row],[% jornada reducida]])</f>
        <v>0</v>
      </c>
      <c r="BQ980" s="137" t="n">
        <f aca="false">+(DATOS_[[#This Row],[F.fin.cal]]-DATOS_[[#This Row],[F.ini.cal]]+1)/($D$4-$D$3+1)</f>
        <v>1</v>
      </c>
      <c r="BR980" s="137" t="str">
        <f aca="false">IF(OR(AND(DATOS_[[#This Row],[Fecha Fin Contrato]]&lt;$D$3,DATOS_[[#This Row],[Fecha Fin Contrato]]&lt;&gt;""),DATOS_[[#This Row],[Fecha de Contratación]]&gt;$D$4),"Fuera","Dentro")</f>
        <v>Dentro</v>
      </c>
      <c r="BS980" s="137" t="str">
        <f aca="false" t="array" ref="BS980:BS980">IF(MAX(IF(DATOS_[id]=DATOS_[[#This Row],[id]],DATOS_[F.fin.cal]))=DATOS_[[#This Row],[F.fin.cal]],"Sí","NO")</f>
        <v>Sí</v>
      </c>
      <c r="BT980" s="137" t="str">
        <f aca="false">IF(AND(DATOS_[[#This Row],[% normaliz]]&lt;&gt;1,DATOS_[[#This Row],[% anualiz]]=1),"Sí","NO")</f>
        <v>Sí</v>
      </c>
      <c r="BU980" s="137" t="str">
        <f aca="false">IF(AND(DATOS_[[#This Row],[% normaliz]]=1,DATOS_[[#This Row],[% anualiz]]&lt;&gt;1),"Sí","NO")</f>
        <v>NO</v>
      </c>
      <c r="BV980" s="137" t="str">
        <f aca="false">IF(AND(DATOS_[[#This Row],[% normaliz]]&lt;&gt;1,DATOS_[[#This Row],[% anualiz]]&lt;&gt;1),"Sí","NO")</f>
        <v>NO</v>
      </c>
      <c r="BW980" s="137" t="str">
        <f aca="false">+IF(DATOS_[[#This Row],[% normaliz]]*DATOS_[[#This Row],[% anualiz]]=1,"NO","Sí")</f>
        <v>Sí</v>
      </c>
      <c r="BX980" s="138" t="e">
        <f aca="false">(DATOS_[[#This Row],[S.BASE]]*(1/DATOS_[[#This Row],[% normaliz]])*(1/DATOS_[[#This Row],[% anualiz]]))*IF(DATOS_[[#This Row],[Check Equiparado]]="Sí",1,0)</f>
        <v>#DIV/0!</v>
      </c>
      <c r="BY98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0" s="138" t="e">
        <f aca="false">+DATOS_[[#This Row],[SALARIO BASE Eq]]+DATOS_[[#This Row],[Tot COMPL.SAL Eq]]</f>
        <v>#DIV/0!</v>
      </c>
      <c r="CA980" s="138" t="e">
        <f aca="false" t="array" ref="CA980:CA9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0" s="138" t="e">
        <f aca="false">+DATOS_[[#This Row],[TOTAL SALARIO Eq]]+DATOS_[[#This Row],[Tot Extrasalarial Eq]]</f>
        <v>#DIV/0!</v>
      </c>
      <c r="CC980" s="139" t="n">
        <f aca="false">DATOS_[[#This Row],[S.BASE]]</f>
        <v>0</v>
      </c>
      <c r="CD980" s="139" t="n">
        <f aca="false">+SUM(DATOS_[[#This Row],[Conc.Sal.01]:[Conc.Sal.30]])</f>
        <v>0</v>
      </c>
      <c r="CE980" s="139" t="n">
        <f aca="false">+DATOS_[[#This Row],[SALARIO BASE Ef]]+DATOS_[[#This Row],[Tot COMPL.SAL Ef]]</f>
        <v>0</v>
      </c>
      <c r="CF980" s="139" t="n">
        <f aca="false">+SUM(DATOS_[[#This Row],[C.Extra.01]:[C.Extra.05]])</f>
        <v>0</v>
      </c>
      <c r="CG980" s="139" t="n">
        <f aca="false">+DATOS_[[#This Row],[TOTAL SALARIO Ef]]+DATOS_[[#This Row],[Tot Extrasalarial Ef]]</f>
        <v>0</v>
      </c>
      <c r="CH980" s="140" t="n">
        <f aca="false">MIN(IF(DATOS_[[#This Row],[Fecha Fin Contrato]]="",$D$4,DATOS_[[#This Row],[Fecha Fin Contrato]]),$D$4)-MAX(DATOS_[[#This Row],[Fecha de Contratación]],$D$3)+1</f>
        <v>1</v>
      </c>
      <c r="CI980" s="141" t="str">
        <f aca="false">IF(COUNTIFS(DATOS_[id],DATOS_[[#This Row],[id]])&gt;1,DATOS_[[#This Row],[id]],"")</f>
        <v/>
      </c>
      <c r="CJ980" s="141" t="n">
        <f aca="false">(Inicio!$G$10-DATOS_[[#This Row],[Fecha Nacimiento]])/365.25</f>
        <v>0</v>
      </c>
      <c r="CK980" s="141" t="n">
        <f aca="false">(Inicio!$G$10-DATOS_[[#This Row],[Fecha de Antigüedad]])/365.25</f>
        <v>0</v>
      </c>
      <c r="CL980" s="141" t="e">
        <f aca="false">+VLOOKUP(DATOS_[[#This Row],[Clave de Contrato]],TblTiposContrato13[],3,0)</f>
        <v>#N/A</v>
      </c>
      <c r="CM980" s="141" t="e">
        <f aca="false">+VLOOKUP(DATOS_[[#This Row],[Clave de Contrato]],TblTiposContrato13[],4,0)</f>
        <v>#N/A</v>
      </c>
      <c r="CN980" s="141" t="str">
        <f aca="false">VLOOKUP(DATOS_[[#This Row],[Edad]],CONTRATOS!TblRngEdad,2,1)</f>
        <v>20  o menos</v>
      </c>
      <c r="CO980" s="141" t="str">
        <f aca="false">VLOOKUP(DATOS_[[#This Row],[Antigüedad]],TblRngAntg14[],2,1)</f>
        <v>0 a 1 años</v>
      </c>
    </row>
    <row r="981" customFormat="false" ht="13.8" hidden="false" customHeight="false" outlineLevel="0" collapsed="false">
      <c r="D981" s="128"/>
      <c r="E981" s="129"/>
      <c r="F981" s="129"/>
      <c r="G981" s="129"/>
      <c r="H981" s="130"/>
      <c r="I981" s="131"/>
      <c r="J981" s="128"/>
      <c r="K981" s="132"/>
      <c r="L981" s="132"/>
      <c r="M981" s="133"/>
      <c r="N981" s="133"/>
      <c r="O981" s="133"/>
      <c r="P981" s="129"/>
      <c r="Z981" s="75"/>
      <c r="AA981" s="76"/>
      <c r="AB981" s="76"/>
      <c r="AC981" s="129"/>
      <c r="AD981" s="134"/>
      <c r="AE981" s="134"/>
      <c r="AF981" s="134"/>
      <c r="AG981" s="134"/>
      <c r="AH981" s="134"/>
      <c r="AI981" s="134"/>
      <c r="AJ981" s="134"/>
      <c r="AK981" s="134"/>
      <c r="AL981" s="134"/>
      <c r="AM981" s="134"/>
      <c r="AN981" s="134"/>
      <c r="AO981" s="134"/>
      <c r="AP981" s="134"/>
      <c r="AQ981" s="134"/>
      <c r="AR981" s="134"/>
      <c r="AS981" s="134"/>
      <c r="AT981" s="134"/>
      <c r="AU981" s="134"/>
      <c r="AV981" s="134"/>
      <c r="AW981" s="134"/>
      <c r="AX981" s="134"/>
      <c r="AY981" s="134"/>
      <c r="AZ981" s="134"/>
      <c r="BA981" s="134"/>
      <c r="BB981" s="134"/>
      <c r="BC981" s="134"/>
      <c r="BD981" s="134"/>
      <c r="BE981" s="134"/>
      <c r="BF981" s="134"/>
      <c r="BG981" s="134"/>
      <c r="BH981" s="134"/>
      <c r="BI981" s="134"/>
      <c r="BJ981" s="134"/>
      <c r="BK981" s="134"/>
      <c r="BL981" s="134"/>
      <c r="BM981" s="135"/>
      <c r="BN981" s="136" t="n">
        <f aca="false">+MAX($D$3,DATOS_[[#This Row],[Fecha Inicio Sit. Contract.]])</f>
        <v>0</v>
      </c>
      <c r="BO981" s="136" t="n">
        <f aca="false">+MIN($D$4,DATOS_[[#This Row],[Fecha Fin Sit. Contract.]])</f>
        <v>0</v>
      </c>
      <c r="BP981" s="137" t="n">
        <f aca="false">+DATOS_[[#This Row],[% de jornada]]*IF(DATOS_[[#This Row],[% jornada reducida]]="",1,DATOS_[[#This Row],[% jornada reducida]])</f>
        <v>0</v>
      </c>
      <c r="BQ981" s="137" t="n">
        <f aca="false">+(DATOS_[[#This Row],[F.fin.cal]]-DATOS_[[#This Row],[F.ini.cal]]+1)/($D$4-$D$3+1)</f>
        <v>1</v>
      </c>
      <c r="BR981" s="137" t="str">
        <f aca="false">IF(OR(AND(DATOS_[[#This Row],[Fecha Fin Contrato]]&lt;$D$3,DATOS_[[#This Row],[Fecha Fin Contrato]]&lt;&gt;""),DATOS_[[#This Row],[Fecha de Contratación]]&gt;$D$4),"Fuera","Dentro")</f>
        <v>Dentro</v>
      </c>
      <c r="BS981" s="137" t="str">
        <f aca="false" t="array" ref="BS981:BS981">IF(MAX(IF(DATOS_[id]=DATOS_[[#This Row],[id]],DATOS_[F.fin.cal]))=DATOS_[[#This Row],[F.fin.cal]],"Sí","NO")</f>
        <v>Sí</v>
      </c>
      <c r="BT981" s="137" t="str">
        <f aca="false">IF(AND(DATOS_[[#This Row],[% normaliz]]&lt;&gt;1,DATOS_[[#This Row],[% anualiz]]=1),"Sí","NO")</f>
        <v>Sí</v>
      </c>
      <c r="BU981" s="137" t="str">
        <f aca="false">IF(AND(DATOS_[[#This Row],[% normaliz]]=1,DATOS_[[#This Row],[% anualiz]]&lt;&gt;1),"Sí","NO")</f>
        <v>NO</v>
      </c>
      <c r="BV981" s="137" t="str">
        <f aca="false">IF(AND(DATOS_[[#This Row],[% normaliz]]&lt;&gt;1,DATOS_[[#This Row],[% anualiz]]&lt;&gt;1),"Sí","NO")</f>
        <v>NO</v>
      </c>
      <c r="BW981" s="137" t="str">
        <f aca="false">+IF(DATOS_[[#This Row],[% normaliz]]*DATOS_[[#This Row],[% anualiz]]=1,"NO","Sí")</f>
        <v>Sí</v>
      </c>
      <c r="BX981" s="138" t="e">
        <f aca="false">(DATOS_[[#This Row],[S.BASE]]*(1/DATOS_[[#This Row],[% normaliz]])*(1/DATOS_[[#This Row],[% anualiz]]))*IF(DATOS_[[#This Row],[Check Equiparado]]="Sí",1,0)</f>
        <v>#DIV/0!</v>
      </c>
      <c r="BY98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1" s="138" t="e">
        <f aca="false">+DATOS_[[#This Row],[SALARIO BASE Eq]]+DATOS_[[#This Row],[Tot COMPL.SAL Eq]]</f>
        <v>#DIV/0!</v>
      </c>
      <c r="CA981" s="138" t="e">
        <f aca="false" t="array" ref="CA981:CA9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1" s="138" t="e">
        <f aca="false">+DATOS_[[#This Row],[TOTAL SALARIO Eq]]+DATOS_[[#This Row],[Tot Extrasalarial Eq]]</f>
        <v>#DIV/0!</v>
      </c>
      <c r="CC981" s="139" t="n">
        <f aca="false">DATOS_[[#This Row],[S.BASE]]</f>
        <v>0</v>
      </c>
      <c r="CD981" s="139" t="n">
        <f aca="false">+SUM(DATOS_[[#This Row],[Conc.Sal.01]:[Conc.Sal.30]])</f>
        <v>0</v>
      </c>
      <c r="CE981" s="139" t="n">
        <f aca="false">+DATOS_[[#This Row],[SALARIO BASE Ef]]+DATOS_[[#This Row],[Tot COMPL.SAL Ef]]</f>
        <v>0</v>
      </c>
      <c r="CF981" s="139" t="n">
        <f aca="false">+SUM(DATOS_[[#This Row],[C.Extra.01]:[C.Extra.05]])</f>
        <v>0</v>
      </c>
      <c r="CG981" s="139" t="n">
        <f aca="false">+DATOS_[[#This Row],[TOTAL SALARIO Ef]]+DATOS_[[#This Row],[Tot Extrasalarial Ef]]</f>
        <v>0</v>
      </c>
      <c r="CH981" s="140" t="n">
        <f aca="false">MIN(IF(DATOS_[[#This Row],[Fecha Fin Contrato]]="",$D$4,DATOS_[[#This Row],[Fecha Fin Contrato]]),$D$4)-MAX(DATOS_[[#This Row],[Fecha de Contratación]],$D$3)+1</f>
        <v>1</v>
      </c>
      <c r="CI981" s="141" t="str">
        <f aca="false">IF(COUNTIFS(DATOS_[id],DATOS_[[#This Row],[id]])&gt;1,DATOS_[[#This Row],[id]],"")</f>
        <v/>
      </c>
      <c r="CJ981" s="141" t="n">
        <f aca="false">(Inicio!$G$10-DATOS_[[#This Row],[Fecha Nacimiento]])/365.25</f>
        <v>0</v>
      </c>
      <c r="CK981" s="141" t="n">
        <f aca="false">(Inicio!$G$10-DATOS_[[#This Row],[Fecha de Antigüedad]])/365.25</f>
        <v>0</v>
      </c>
      <c r="CL981" s="141" t="e">
        <f aca="false">+VLOOKUP(DATOS_[[#This Row],[Clave de Contrato]],TblTiposContrato13[],3,0)</f>
        <v>#N/A</v>
      </c>
      <c r="CM981" s="141" t="e">
        <f aca="false">+VLOOKUP(DATOS_[[#This Row],[Clave de Contrato]],TblTiposContrato13[],4,0)</f>
        <v>#N/A</v>
      </c>
      <c r="CN981" s="141" t="str">
        <f aca="false">VLOOKUP(DATOS_[[#This Row],[Edad]],CONTRATOS!TblRngEdad,2,1)</f>
        <v>20  o menos</v>
      </c>
      <c r="CO981" s="141" t="str">
        <f aca="false">VLOOKUP(DATOS_[[#This Row],[Antigüedad]],TblRngAntg14[],2,1)</f>
        <v>0 a 1 años</v>
      </c>
    </row>
    <row r="982" customFormat="false" ht="13.8" hidden="false" customHeight="false" outlineLevel="0" collapsed="false">
      <c r="D982" s="128"/>
      <c r="E982" s="129"/>
      <c r="F982" s="129"/>
      <c r="G982" s="129"/>
      <c r="H982" s="130"/>
      <c r="I982" s="131"/>
      <c r="J982" s="128"/>
      <c r="K982" s="132"/>
      <c r="L982" s="132"/>
      <c r="M982" s="133"/>
      <c r="N982" s="133"/>
      <c r="O982" s="133"/>
      <c r="P982" s="129"/>
      <c r="Z982" s="75"/>
      <c r="AA982" s="76"/>
      <c r="AB982" s="76"/>
      <c r="AC982" s="129"/>
      <c r="AD982" s="134"/>
      <c r="AE982" s="134"/>
      <c r="AF982" s="134"/>
      <c r="AG982" s="134"/>
      <c r="AH982" s="134"/>
      <c r="AI982" s="134"/>
      <c r="AJ982" s="134"/>
      <c r="AK982" s="134"/>
      <c r="AL982" s="134"/>
      <c r="AM982" s="134"/>
      <c r="AN982" s="134"/>
      <c r="AO982" s="134"/>
      <c r="AP982" s="134"/>
      <c r="AQ982" s="134"/>
      <c r="AR982" s="134"/>
      <c r="AS982" s="134"/>
      <c r="AT982" s="134"/>
      <c r="AU982" s="134"/>
      <c r="AV982" s="134"/>
      <c r="AW982" s="134"/>
      <c r="AX982" s="134"/>
      <c r="AY982" s="134"/>
      <c r="AZ982" s="134"/>
      <c r="BA982" s="134"/>
      <c r="BB982" s="134"/>
      <c r="BC982" s="134"/>
      <c r="BD982" s="134"/>
      <c r="BE982" s="134"/>
      <c r="BF982" s="134"/>
      <c r="BG982" s="134"/>
      <c r="BH982" s="134"/>
      <c r="BI982" s="134"/>
      <c r="BJ982" s="134"/>
      <c r="BK982" s="134"/>
      <c r="BL982" s="134"/>
      <c r="BM982" s="135"/>
      <c r="BN982" s="136" t="n">
        <f aca="false">+MAX($D$3,DATOS_[[#This Row],[Fecha Inicio Sit. Contract.]])</f>
        <v>0</v>
      </c>
      <c r="BO982" s="136" t="n">
        <f aca="false">+MIN($D$4,DATOS_[[#This Row],[Fecha Fin Sit. Contract.]])</f>
        <v>0</v>
      </c>
      <c r="BP982" s="137" t="n">
        <f aca="false">+DATOS_[[#This Row],[% de jornada]]*IF(DATOS_[[#This Row],[% jornada reducida]]="",1,DATOS_[[#This Row],[% jornada reducida]])</f>
        <v>0</v>
      </c>
      <c r="BQ982" s="137" t="n">
        <f aca="false">+(DATOS_[[#This Row],[F.fin.cal]]-DATOS_[[#This Row],[F.ini.cal]]+1)/($D$4-$D$3+1)</f>
        <v>1</v>
      </c>
      <c r="BR982" s="137" t="str">
        <f aca="false">IF(OR(AND(DATOS_[[#This Row],[Fecha Fin Contrato]]&lt;$D$3,DATOS_[[#This Row],[Fecha Fin Contrato]]&lt;&gt;""),DATOS_[[#This Row],[Fecha de Contratación]]&gt;$D$4),"Fuera","Dentro")</f>
        <v>Dentro</v>
      </c>
      <c r="BS982" s="137" t="str">
        <f aca="false" t="array" ref="BS982:BS982">IF(MAX(IF(DATOS_[id]=DATOS_[[#This Row],[id]],DATOS_[F.fin.cal]))=DATOS_[[#This Row],[F.fin.cal]],"Sí","NO")</f>
        <v>Sí</v>
      </c>
      <c r="BT982" s="137" t="str">
        <f aca="false">IF(AND(DATOS_[[#This Row],[% normaliz]]&lt;&gt;1,DATOS_[[#This Row],[% anualiz]]=1),"Sí","NO")</f>
        <v>Sí</v>
      </c>
      <c r="BU982" s="137" t="str">
        <f aca="false">IF(AND(DATOS_[[#This Row],[% normaliz]]=1,DATOS_[[#This Row],[% anualiz]]&lt;&gt;1),"Sí","NO")</f>
        <v>NO</v>
      </c>
      <c r="BV982" s="137" t="str">
        <f aca="false">IF(AND(DATOS_[[#This Row],[% normaliz]]&lt;&gt;1,DATOS_[[#This Row],[% anualiz]]&lt;&gt;1),"Sí","NO")</f>
        <v>NO</v>
      </c>
      <c r="BW982" s="137" t="str">
        <f aca="false">+IF(DATOS_[[#This Row],[% normaliz]]*DATOS_[[#This Row],[% anualiz]]=1,"NO","Sí")</f>
        <v>Sí</v>
      </c>
      <c r="BX982" s="138" t="e">
        <f aca="false">(DATOS_[[#This Row],[S.BASE]]*(1/DATOS_[[#This Row],[% normaliz]])*(1/DATOS_[[#This Row],[% anualiz]]))*IF(DATOS_[[#This Row],[Check Equiparado]]="Sí",1,0)</f>
        <v>#DIV/0!</v>
      </c>
      <c r="BY98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2" s="138" t="e">
        <f aca="false">+DATOS_[[#This Row],[SALARIO BASE Eq]]+DATOS_[[#This Row],[Tot COMPL.SAL Eq]]</f>
        <v>#DIV/0!</v>
      </c>
      <c r="CA982" s="138" t="e">
        <f aca="false" t="array" ref="CA982:CA9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2" s="138" t="e">
        <f aca="false">+DATOS_[[#This Row],[TOTAL SALARIO Eq]]+DATOS_[[#This Row],[Tot Extrasalarial Eq]]</f>
        <v>#DIV/0!</v>
      </c>
      <c r="CC982" s="139" t="n">
        <f aca="false">DATOS_[[#This Row],[S.BASE]]</f>
        <v>0</v>
      </c>
      <c r="CD982" s="139" t="n">
        <f aca="false">+SUM(DATOS_[[#This Row],[Conc.Sal.01]:[Conc.Sal.30]])</f>
        <v>0</v>
      </c>
      <c r="CE982" s="139" t="n">
        <f aca="false">+DATOS_[[#This Row],[SALARIO BASE Ef]]+DATOS_[[#This Row],[Tot COMPL.SAL Ef]]</f>
        <v>0</v>
      </c>
      <c r="CF982" s="139" t="n">
        <f aca="false">+SUM(DATOS_[[#This Row],[C.Extra.01]:[C.Extra.05]])</f>
        <v>0</v>
      </c>
      <c r="CG982" s="139" t="n">
        <f aca="false">+DATOS_[[#This Row],[TOTAL SALARIO Ef]]+DATOS_[[#This Row],[Tot Extrasalarial Ef]]</f>
        <v>0</v>
      </c>
      <c r="CH982" s="140" t="n">
        <f aca="false">MIN(IF(DATOS_[[#This Row],[Fecha Fin Contrato]]="",$D$4,DATOS_[[#This Row],[Fecha Fin Contrato]]),$D$4)-MAX(DATOS_[[#This Row],[Fecha de Contratación]],$D$3)+1</f>
        <v>1</v>
      </c>
      <c r="CI982" s="141" t="str">
        <f aca="false">IF(COUNTIFS(DATOS_[id],DATOS_[[#This Row],[id]])&gt;1,DATOS_[[#This Row],[id]],"")</f>
        <v/>
      </c>
      <c r="CJ982" s="141" t="n">
        <f aca="false">(Inicio!$G$10-DATOS_[[#This Row],[Fecha Nacimiento]])/365.25</f>
        <v>0</v>
      </c>
      <c r="CK982" s="141" t="n">
        <f aca="false">(Inicio!$G$10-DATOS_[[#This Row],[Fecha de Antigüedad]])/365.25</f>
        <v>0</v>
      </c>
      <c r="CL982" s="141" t="e">
        <f aca="false">+VLOOKUP(DATOS_[[#This Row],[Clave de Contrato]],TblTiposContrato13[],3,0)</f>
        <v>#N/A</v>
      </c>
      <c r="CM982" s="141" t="e">
        <f aca="false">+VLOOKUP(DATOS_[[#This Row],[Clave de Contrato]],TblTiposContrato13[],4,0)</f>
        <v>#N/A</v>
      </c>
      <c r="CN982" s="141" t="str">
        <f aca="false">VLOOKUP(DATOS_[[#This Row],[Edad]],CONTRATOS!TblRngEdad,2,1)</f>
        <v>20  o menos</v>
      </c>
      <c r="CO982" s="141" t="str">
        <f aca="false">VLOOKUP(DATOS_[[#This Row],[Antigüedad]],TblRngAntg14[],2,1)</f>
        <v>0 a 1 años</v>
      </c>
    </row>
    <row r="983" customFormat="false" ht="13.8" hidden="false" customHeight="false" outlineLevel="0" collapsed="false">
      <c r="D983" s="128"/>
      <c r="E983" s="129"/>
      <c r="F983" s="129"/>
      <c r="G983" s="129"/>
      <c r="H983" s="130"/>
      <c r="I983" s="131"/>
      <c r="J983" s="128"/>
      <c r="K983" s="132"/>
      <c r="L983" s="132"/>
      <c r="M983" s="133"/>
      <c r="N983" s="133"/>
      <c r="O983" s="133"/>
      <c r="P983" s="129"/>
      <c r="Z983" s="75"/>
      <c r="AA983" s="76"/>
      <c r="AB983" s="76"/>
      <c r="AC983" s="129"/>
      <c r="AD983" s="134"/>
      <c r="AE983" s="134"/>
      <c r="AF983" s="134"/>
      <c r="AG983" s="134"/>
      <c r="AH983" s="134"/>
      <c r="AI983" s="134"/>
      <c r="AJ983" s="134"/>
      <c r="AK983" s="134"/>
      <c r="AL983" s="134"/>
      <c r="AM983" s="134"/>
      <c r="AN983" s="134"/>
      <c r="AO983" s="134"/>
      <c r="AP983" s="134"/>
      <c r="AQ983" s="134"/>
      <c r="AR983" s="134"/>
      <c r="AS983" s="134"/>
      <c r="AT983" s="134"/>
      <c r="AU983" s="134"/>
      <c r="AV983" s="134"/>
      <c r="AW983" s="134"/>
      <c r="AX983" s="134"/>
      <c r="AY983" s="134"/>
      <c r="AZ983" s="134"/>
      <c r="BA983" s="134"/>
      <c r="BB983" s="134"/>
      <c r="BC983" s="134"/>
      <c r="BD983" s="134"/>
      <c r="BE983" s="134"/>
      <c r="BF983" s="134"/>
      <c r="BG983" s="134"/>
      <c r="BH983" s="134"/>
      <c r="BI983" s="134"/>
      <c r="BJ983" s="134"/>
      <c r="BK983" s="134"/>
      <c r="BL983" s="134"/>
      <c r="BM983" s="135"/>
      <c r="BN983" s="136" t="n">
        <f aca="false">+MAX($D$3,DATOS_[[#This Row],[Fecha Inicio Sit. Contract.]])</f>
        <v>0</v>
      </c>
      <c r="BO983" s="136" t="n">
        <f aca="false">+MIN($D$4,DATOS_[[#This Row],[Fecha Fin Sit. Contract.]])</f>
        <v>0</v>
      </c>
      <c r="BP983" s="137" t="n">
        <f aca="false">+DATOS_[[#This Row],[% de jornada]]*IF(DATOS_[[#This Row],[% jornada reducida]]="",1,DATOS_[[#This Row],[% jornada reducida]])</f>
        <v>0</v>
      </c>
      <c r="BQ983" s="137" t="n">
        <f aca="false">+(DATOS_[[#This Row],[F.fin.cal]]-DATOS_[[#This Row],[F.ini.cal]]+1)/($D$4-$D$3+1)</f>
        <v>1</v>
      </c>
      <c r="BR983" s="137" t="str">
        <f aca="false">IF(OR(AND(DATOS_[[#This Row],[Fecha Fin Contrato]]&lt;$D$3,DATOS_[[#This Row],[Fecha Fin Contrato]]&lt;&gt;""),DATOS_[[#This Row],[Fecha de Contratación]]&gt;$D$4),"Fuera","Dentro")</f>
        <v>Dentro</v>
      </c>
      <c r="BS983" s="137" t="str">
        <f aca="false" t="array" ref="BS983:BS983">IF(MAX(IF(DATOS_[id]=DATOS_[[#This Row],[id]],DATOS_[F.fin.cal]))=DATOS_[[#This Row],[F.fin.cal]],"Sí","NO")</f>
        <v>Sí</v>
      </c>
      <c r="BT983" s="137" t="str">
        <f aca="false">IF(AND(DATOS_[[#This Row],[% normaliz]]&lt;&gt;1,DATOS_[[#This Row],[% anualiz]]=1),"Sí","NO")</f>
        <v>Sí</v>
      </c>
      <c r="BU983" s="137" t="str">
        <f aca="false">IF(AND(DATOS_[[#This Row],[% normaliz]]=1,DATOS_[[#This Row],[% anualiz]]&lt;&gt;1),"Sí","NO")</f>
        <v>NO</v>
      </c>
      <c r="BV983" s="137" t="str">
        <f aca="false">IF(AND(DATOS_[[#This Row],[% normaliz]]&lt;&gt;1,DATOS_[[#This Row],[% anualiz]]&lt;&gt;1),"Sí","NO")</f>
        <v>NO</v>
      </c>
      <c r="BW983" s="137" t="str">
        <f aca="false">+IF(DATOS_[[#This Row],[% normaliz]]*DATOS_[[#This Row],[% anualiz]]=1,"NO","Sí")</f>
        <v>Sí</v>
      </c>
      <c r="BX983" s="138" t="e">
        <f aca="false">(DATOS_[[#This Row],[S.BASE]]*(1/DATOS_[[#This Row],[% normaliz]])*(1/DATOS_[[#This Row],[% anualiz]]))*IF(DATOS_[[#This Row],[Check Equiparado]]="Sí",1,0)</f>
        <v>#DIV/0!</v>
      </c>
      <c r="BY98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3" s="138" t="e">
        <f aca="false">+DATOS_[[#This Row],[SALARIO BASE Eq]]+DATOS_[[#This Row],[Tot COMPL.SAL Eq]]</f>
        <v>#DIV/0!</v>
      </c>
      <c r="CA983" s="138" t="e">
        <f aca="false" t="array" ref="CA983:CA9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3" s="138" t="e">
        <f aca="false">+DATOS_[[#This Row],[TOTAL SALARIO Eq]]+DATOS_[[#This Row],[Tot Extrasalarial Eq]]</f>
        <v>#DIV/0!</v>
      </c>
      <c r="CC983" s="139" t="n">
        <f aca="false">DATOS_[[#This Row],[S.BASE]]</f>
        <v>0</v>
      </c>
      <c r="CD983" s="139" t="n">
        <f aca="false">+SUM(DATOS_[[#This Row],[Conc.Sal.01]:[Conc.Sal.30]])</f>
        <v>0</v>
      </c>
      <c r="CE983" s="139" t="n">
        <f aca="false">+DATOS_[[#This Row],[SALARIO BASE Ef]]+DATOS_[[#This Row],[Tot COMPL.SAL Ef]]</f>
        <v>0</v>
      </c>
      <c r="CF983" s="139" t="n">
        <f aca="false">+SUM(DATOS_[[#This Row],[C.Extra.01]:[C.Extra.05]])</f>
        <v>0</v>
      </c>
      <c r="CG983" s="139" t="n">
        <f aca="false">+DATOS_[[#This Row],[TOTAL SALARIO Ef]]+DATOS_[[#This Row],[Tot Extrasalarial Ef]]</f>
        <v>0</v>
      </c>
      <c r="CH983" s="140" t="n">
        <f aca="false">MIN(IF(DATOS_[[#This Row],[Fecha Fin Contrato]]="",$D$4,DATOS_[[#This Row],[Fecha Fin Contrato]]),$D$4)-MAX(DATOS_[[#This Row],[Fecha de Contratación]],$D$3)+1</f>
        <v>1</v>
      </c>
      <c r="CI983" s="141" t="str">
        <f aca="false">IF(COUNTIFS(DATOS_[id],DATOS_[[#This Row],[id]])&gt;1,DATOS_[[#This Row],[id]],"")</f>
        <v/>
      </c>
      <c r="CJ983" s="141" t="n">
        <f aca="false">(Inicio!$G$10-DATOS_[[#This Row],[Fecha Nacimiento]])/365.25</f>
        <v>0</v>
      </c>
      <c r="CK983" s="141" t="n">
        <f aca="false">(Inicio!$G$10-DATOS_[[#This Row],[Fecha de Antigüedad]])/365.25</f>
        <v>0</v>
      </c>
      <c r="CL983" s="141" t="e">
        <f aca="false">+VLOOKUP(DATOS_[[#This Row],[Clave de Contrato]],TblTiposContrato13[],3,0)</f>
        <v>#N/A</v>
      </c>
      <c r="CM983" s="141" t="e">
        <f aca="false">+VLOOKUP(DATOS_[[#This Row],[Clave de Contrato]],TblTiposContrato13[],4,0)</f>
        <v>#N/A</v>
      </c>
      <c r="CN983" s="141" t="str">
        <f aca="false">VLOOKUP(DATOS_[[#This Row],[Edad]],CONTRATOS!TblRngEdad,2,1)</f>
        <v>20  o menos</v>
      </c>
      <c r="CO983" s="141" t="str">
        <f aca="false">VLOOKUP(DATOS_[[#This Row],[Antigüedad]],TblRngAntg14[],2,1)</f>
        <v>0 a 1 años</v>
      </c>
    </row>
    <row r="984" customFormat="false" ht="13.8" hidden="false" customHeight="false" outlineLevel="0" collapsed="false">
      <c r="D984" s="128"/>
      <c r="E984" s="129"/>
      <c r="F984" s="129"/>
      <c r="G984" s="129"/>
      <c r="H984" s="130"/>
      <c r="I984" s="131"/>
      <c r="J984" s="128"/>
      <c r="K984" s="132"/>
      <c r="L984" s="132"/>
      <c r="M984" s="133"/>
      <c r="N984" s="133"/>
      <c r="O984" s="133"/>
      <c r="P984" s="129"/>
      <c r="Z984" s="75"/>
      <c r="AA984" s="76"/>
      <c r="AB984" s="76"/>
      <c r="AC984" s="129"/>
      <c r="AD984" s="134"/>
      <c r="AE984" s="134"/>
      <c r="AF984" s="134"/>
      <c r="AG984" s="134"/>
      <c r="AH984" s="134"/>
      <c r="AI984" s="134"/>
      <c r="AJ984" s="134"/>
      <c r="AK984" s="134"/>
      <c r="AL984" s="134"/>
      <c r="AM984" s="134"/>
      <c r="AN984" s="134"/>
      <c r="AO984" s="134"/>
      <c r="AP984" s="134"/>
      <c r="AQ984" s="134"/>
      <c r="AR984" s="134"/>
      <c r="AS984" s="134"/>
      <c r="AT984" s="134"/>
      <c r="AU984" s="134"/>
      <c r="AV984" s="134"/>
      <c r="AW984" s="134"/>
      <c r="AX984" s="134"/>
      <c r="AY984" s="134"/>
      <c r="AZ984" s="134"/>
      <c r="BA984" s="134"/>
      <c r="BB984" s="134"/>
      <c r="BC984" s="134"/>
      <c r="BD984" s="134"/>
      <c r="BE984" s="134"/>
      <c r="BF984" s="134"/>
      <c r="BG984" s="134"/>
      <c r="BH984" s="134"/>
      <c r="BI984" s="134"/>
      <c r="BJ984" s="134"/>
      <c r="BK984" s="134"/>
      <c r="BL984" s="134"/>
      <c r="BM984" s="135"/>
      <c r="BN984" s="136" t="n">
        <f aca="false">+MAX($D$3,DATOS_[[#This Row],[Fecha Inicio Sit. Contract.]])</f>
        <v>0</v>
      </c>
      <c r="BO984" s="136" t="n">
        <f aca="false">+MIN($D$4,DATOS_[[#This Row],[Fecha Fin Sit. Contract.]])</f>
        <v>0</v>
      </c>
      <c r="BP984" s="137" t="n">
        <f aca="false">+DATOS_[[#This Row],[% de jornada]]*IF(DATOS_[[#This Row],[% jornada reducida]]="",1,DATOS_[[#This Row],[% jornada reducida]])</f>
        <v>0</v>
      </c>
      <c r="BQ984" s="137" t="n">
        <f aca="false">+(DATOS_[[#This Row],[F.fin.cal]]-DATOS_[[#This Row],[F.ini.cal]]+1)/($D$4-$D$3+1)</f>
        <v>1</v>
      </c>
      <c r="BR984" s="137" t="str">
        <f aca="false">IF(OR(AND(DATOS_[[#This Row],[Fecha Fin Contrato]]&lt;$D$3,DATOS_[[#This Row],[Fecha Fin Contrato]]&lt;&gt;""),DATOS_[[#This Row],[Fecha de Contratación]]&gt;$D$4),"Fuera","Dentro")</f>
        <v>Dentro</v>
      </c>
      <c r="BS984" s="137" t="str">
        <f aca="false" t="array" ref="BS984:BS984">IF(MAX(IF(DATOS_[id]=DATOS_[[#This Row],[id]],DATOS_[F.fin.cal]))=DATOS_[[#This Row],[F.fin.cal]],"Sí","NO")</f>
        <v>Sí</v>
      </c>
      <c r="BT984" s="137" t="str">
        <f aca="false">IF(AND(DATOS_[[#This Row],[% normaliz]]&lt;&gt;1,DATOS_[[#This Row],[% anualiz]]=1),"Sí","NO")</f>
        <v>Sí</v>
      </c>
      <c r="BU984" s="137" t="str">
        <f aca="false">IF(AND(DATOS_[[#This Row],[% normaliz]]=1,DATOS_[[#This Row],[% anualiz]]&lt;&gt;1),"Sí","NO")</f>
        <v>NO</v>
      </c>
      <c r="BV984" s="137" t="str">
        <f aca="false">IF(AND(DATOS_[[#This Row],[% normaliz]]&lt;&gt;1,DATOS_[[#This Row],[% anualiz]]&lt;&gt;1),"Sí","NO")</f>
        <v>NO</v>
      </c>
      <c r="BW984" s="137" t="str">
        <f aca="false">+IF(DATOS_[[#This Row],[% normaliz]]*DATOS_[[#This Row],[% anualiz]]=1,"NO","Sí")</f>
        <v>Sí</v>
      </c>
      <c r="BX984" s="138" t="e">
        <f aca="false">(DATOS_[[#This Row],[S.BASE]]*(1/DATOS_[[#This Row],[% normaliz]])*(1/DATOS_[[#This Row],[% anualiz]]))*IF(DATOS_[[#This Row],[Check Equiparado]]="Sí",1,0)</f>
        <v>#DIV/0!</v>
      </c>
      <c r="BY98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4" s="138" t="e">
        <f aca="false">+DATOS_[[#This Row],[SALARIO BASE Eq]]+DATOS_[[#This Row],[Tot COMPL.SAL Eq]]</f>
        <v>#DIV/0!</v>
      </c>
      <c r="CA984" s="138" t="e">
        <f aca="false" t="array" ref="CA984:CA9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4" s="138" t="e">
        <f aca="false">+DATOS_[[#This Row],[TOTAL SALARIO Eq]]+DATOS_[[#This Row],[Tot Extrasalarial Eq]]</f>
        <v>#DIV/0!</v>
      </c>
      <c r="CC984" s="139" t="n">
        <f aca="false">DATOS_[[#This Row],[S.BASE]]</f>
        <v>0</v>
      </c>
      <c r="CD984" s="139" t="n">
        <f aca="false">+SUM(DATOS_[[#This Row],[Conc.Sal.01]:[Conc.Sal.30]])</f>
        <v>0</v>
      </c>
      <c r="CE984" s="139" t="n">
        <f aca="false">+DATOS_[[#This Row],[SALARIO BASE Ef]]+DATOS_[[#This Row],[Tot COMPL.SAL Ef]]</f>
        <v>0</v>
      </c>
      <c r="CF984" s="139" t="n">
        <f aca="false">+SUM(DATOS_[[#This Row],[C.Extra.01]:[C.Extra.05]])</f>
        <v>0</v>
      </c>
      <c r="CG984" s="139" t="n">
        <f aca="false">+DATOS_[[#This Row],[TOTAL SALARIO Ef]]+DATOS_[[#This Row],[Tot Extrasalarial Ef]]</f>
        <v>0</v>
      </c>
      <c r="CH984" s="140" t="n">
        <f aca="false">MIN(IF(DATOS_[[#This Row],[Fecha Fin Contrato]]="",$D$4,DATOS_[[#This Row],[Fecha Fin Contrato]]),$D$4)-MAX(DATOS_[[#This Row],[Fecha de Contratación]],$D$3)+1</f>
        <v>1</v>
      </c>
      <c r="CI984" s="141" t="str">
        <f aca="false">IF(COUNTIFS(DATOS_[id],DATOS_[[#This Row],[id]])&gt;1,DATOS_[[#This Row],[id]],"")</f>
        <v/>
      </c>
      <c r="CJ984" s="141" t="n">
        <f aca="false">(Inicio!$G$10-DATOS_[[#This Row],[Fecha Nacimiento]])/365.25</f>
        <v>0</v>
      </c>
      <c r="CK984" s="141" t="n">
        <f aca="false">(Inicio!$G$10-DATOS_[[#This Row],[Fecha de Antigüedad]])/365.25</f>
        <v>0</v>
      </c>
      <c r="CL984" s="141" t="e">
        <f aca="false">+VLOOKUP(DATOS_[[#This Row],[Clave de Contrato]],TblTiposContrato13[],3,0)</f>
        <v>#N/A</v>
      </c>
      <c r="CM984" s="141" t="e">
        <f aca="false">+VLOOKUP(DATOS_[[#This Row],[Clave de Contrato]],TblTiposContrato13[],4,0)</f>
        <v>#N/A</v>
      </c>
      <c r="CN984" s="141" t="str">
        <f aca="false">VLOOKUP(DATOS_[[#This Row],[Edad]],CONTRATOS!TblRngEdad,2,1)</f>
        <v>20  o menos</v>
      </c>
      <c r="CO984" s="141" t="str">
        <f aca="false">VLOOKUP(DATOS_[[#This Row],[Antigüedad]],TblRngAntg14[],2,1)</f>
        <v>0 a 1 años</v>
      </c>
    </row>
    <row r="985" customFormat="false" ht="13.8" hidden="false" customHeight="false" outlineLevel="0" collapsed="false">
      <c r="D985" s="128"/>
      <c r="E985" s="129"/>
      <c r="F985" s="129"/>
      <c r="G985" s="129"/>
      <c r="H985" s="130"/>
      <c r="I985" s="131"/>
      <c r="J985" s="128"/>
      <c r="K985" s="132"/>
      <c r="L985" s="132"/>
      <c r="M985" s="133"/>
      <c r="N985" s="133"/>
      <c r="O985" s="133"/>
      <c r="P985" s="129"/>
      <c r="Z985" s="75"/>
      <c r="AA985" s="76"/>
      <c r="AB985" s="76"/>
      <c r="AC985" s="129"/>
      <c r="AD985" s="134"/>
      <c r="AE985" s="134"/>
      <c r="AF985" s="134"/>
      <c r="AG985" s="134"/>
      <c r="AH985" s="134"/>
      <c r="AI985" s="134"/>
      <c r="AJ985" s="134"/>
      <c r="AK985" s="134"/>
      <c r="AL985" s="134"/>
      <c r="AM985" s="134"/>
      <c r="AN985" s="134"/>
      <c r="AO985" s="134"/>
      <c r="AP985" s="134"/>
      <c r="AQ985" s="134"/>
      <c r="AR985" s="134"/>
      <c r="AS985" s="134"/>
      <c r="AT985" s="134"/>
      <c r="AU985" s="134"/>
      <c r="AV985" s="134"/>
      <c r="AW985" s="134"/>
      <c r="AX985" s="134"/>
      <c r="AY985" s="134"/>
      <c r="AZ985" s="134"/>
      <c r="BA985" s="134"/>
      <c r="BB985" s="134"/>
      <c r="BC985" s="134"/>
      <c r="BD985" s="134"/>
      <c r="BE985" s="134"/>
      <c r="BF985" s="134"/>
      <c r="BG985" s="134"/>
      <c r="BH985" s="134"/>
      <c r="BI985" s="134"/>
      <c r="BJ985" s="134"/>
      <c r="BK985" s="134"/>
      <c r="BL985" s="134"/>
      <c r="BM985" s="135"/>
      <c r="BN985" s="136" t="n">
        <f aca="false">+MAX($D$3,DATOS_[[#This Row],[Fecha Inicio Sit. Contract.]])</f>
        <v>0</v>
      </c>
      <c r="BO985" s="136" t="n">
        <f aca="false">+MIN($D$4,DATOS_[[#This Row],[Fecha Fin Sit. Contract.]])</f>
        <v>0</v>
      </c>
      <c r="BP985" s="137" t="n">
        <f aca="false">+DATOS_[[#This Row],[% de jornada]]*IF(DATOS_[[#This Row],[% jornada reducida]]="",1,DATOS_[[#This Row],[% jornada reducida]])</f>
        <v>0</v>
      </c>
      <c r="BQ985" s="137" t="n">
        <f aca="false">+(DATOS_[[#This Row],[F.fin.cal]]-DATOS_[[#This Row],[F.ini.cal]]+1)/($D$4-$D$3+1)</f>
        <v>1</v>
      </c>
      <c r="BR985" s="137" t="str">
        <f aca="false">IF(OR(AND(DATOS_[[#This Row],[Fecha Fin Contrato]]&lt;$D$3,DATOS_[[#This Row],[Fecha Fin Contrato]]&lt;&gt;""),DATOS_[[#This Row],[Fecha de Contratación]]&gt;$D$4),"Fuera","Dentro")</f>
        <v>Dentro</v>
      </c>
      <c r="BS985" s="137" t="str">
        <f aca="false" t="array" ref="BS985:BS985">IF(MAX(IF(DATOS_[id]=DATOS_[[#This Row],[id]],DATOS_[F.fin.cal]))=DATOS_[[#This Row],[F.fin.cal]],"Sí","NO")</f>
        <v>Sí</v>
      </c>
      <c r="BT985" s="137" t="str">
        <f aca="false">IF(AND(DATOS_[[#This Row],[% normaliz]]&lt;&gt;1,DATOS_[[#This Row],[% anualiz]]=1),"Sí","NO")</f>
        <v>Sí</v>
      </c>
      <c r="BU985" s="137" t="str">
        <f aca="false">IF(AND(DATOS_[[#This Row],[% normaliz]]=1,DATOS_[[#This Row],[% anualiz]]&lt;&gt;1),"Sí","NO")</f>
        <v>NO</v>
      </c>
      <c r="BV985" s="137" t="str">
        <f aca="false">IF(AND(DATOS_[[#This Row],[% normaliz]]&lt;&gt;1,DATOS_[[#This Row],[% anualiz]]&lt;&gt;1),"Sí","NO")</f>
        <v>NO</v>
      </c>
      <c r="BW985" s="137" t="str">
        <f aca="false">+IF(DATOS_[[#This Row],[% normaliz]]*DATOS_[[#This Row],[% anualiz]]=1,"NO","Sí")</f>
        <v>Sí</v>
      </c>
      <c r="BX985" s="138" t="e">
        <f aca="false">(DATOS_[[#This Row],[S.BASE]]*(1/DATOS_[[#This Row],[% normaliz]])*(1/DATOS_[[#This Row],[% anualiz]]))*IF(DATOS_[[#This Row],[Check Equiparado]]="Sí",1,0)</f>
        <v>#DIV/0!</v>
      </c>
      <c r="BY98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5" s="138" t="e">
        <f aca="false">+DATOS_[[#This Row],[SALARIO BASE Eq]]+DATOS_[[#This Row],[Tot COMPL.SAL Eq]]</f>
        <v>#DIV/0!</v>
      </c>
      <c r="CA985" s="138" t="e">
        <f aca="false" t="array" ref="CA985:CA9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5" s="138" t="e">
        <f aca="false">+DATOS_[[#This Row],[TOTAL SALARIO Eq]]+DATOS_[[#This Row],[Tot Extrasalarial Eq]]</f>
        <v>#DIV/0!</v>
      </c>
      <c r="CC985" s="139" t="n">
        <f aca="false">DATOS_[[#This Row],[S.BASE]]</f>
        <v>0</v>
      </c>
      <c r="CD985" s="139" t="n">
        <f aca="false">+SUM(DATOS_[[#This Row],[Conc.Sal.01]:[Conc.Sal.30]])</f>
        <v>0</v>
      </c>
      <c r="CE985" s="139" t="n">
        <f aca="false">+DATOS_[[#This Row],[SALARIO BASE Ef]]+DATOS_[[#This Row],[Tot COMPL.SAL Ef]]</f>
        <v>0</v>
      </c>
      <c r="CF985" s="139" t="n">
        <f aca="false">+SUM(DATOS_[[#This Row],[C.Extra.01]:[C.Extra.05]])</f>
        <v>0</v>
      </c>
      <c r="CG985" s="139" t="n">
        <f aca="false">+DATOS_[[#This Row],[TOTAL SALARIO Ef]]+DATOS_[[#This Row],[Tot Extrasalarial Ef]]</f>
        <v>0</v>
      </c>
      <c r="CH985" s="140" t="n">
        <f aca="false">MIN(IF(DATOS_[[#This Row],[Fecha Fin Contrato]]="",$D$4,DATOS_[[#This Row],[Fecha Fin Contrato]]),$D$4)-MAX(DATOS_[[#This Row],[Fecha de Contratación]],$D$3)+1</f>
        <v>1</v>
      </c>
      <c r="CI985" s="141" t="str">
        <f aca="false">IF(COUNTIFS(DATOS_[id],DATOS_[[#This Row],[id]])&gt;1,DATOS_[[#This Row],[id]],"")</f>
        <v/>
      </c>
      <c r="CJ985" s="141" t="n">
        <f aca="false">(Inicio!$G$10-DATOS_[[#This Row],[Fecha Nacimiento]])/365.25</f>
        <v>0</v>
      </c>
      <c r="CK985" s="141" t="n">
        <f aca="false">(Inicio!$G$10-DATOS_[[#This Row],[Fecha de Antigüedad]])/365.25</f>
        <v>0</v>
      </c>
      <c r="CL985" s="141" t="e">
        <f aca="false">+VLOOKUP(DATOS_[[#This Row],[Clave de Contrato]],TblTiposContrato13[],3,0)</f>
        <v>#N/A</v>
      </c>
      <c r="CM985" s="141" t="e">
        <f aca="false">+VLOOKUP(DATOS_[[#This Row],[Clave de Contrato]],TblTiposContrato13[],4,0)</f>
        <v>#N/A</v>
      </c>
      <c r="CN985" s="141" t="str">
        <f aca="false">VLOOKUP(DATOS_[[#This Row],[Edad]],CONTRATOS!TblRngEdad,2,1)</f>
        <v>20  o menos</v>
      </c>
      <c r="CO985" s="141" t="str">
        <f aca="false">VLOOKUP(DATOS_[[#This Row],[Antigüedad]],TblRngAntg14[],2,1)</f>
        <v>0 a 1 años</v>
      </c>
    </row>
    <row r="986" customFormat="false" ht="13.8" hidden="false" customHeight="false" outlineLevel="0" collapsed="false">
      <c r="D986" s="128"/>
      <c r="E986" s="129"/>
      <c r="F986" s="129"/>
      <c r="G986" s="129"/>
      <c r="H986" s="130"/>
      <c r="I986" s="131"/>
      <c r="J986" s="128"/>
      <c r="K986" s="132"/>
      <c r="L986" s="132"/>
      <c r="M986" s="133"/>
      <c r="N986" s="133"/>
      <c r="O986" s="133"/>
      <c r="P986" s="129"/>
      <c r="Z986" s="75"/>
      <c r="AA986" s="76"/>
      <c r="AB986" s="76"/>
      <c r="AC986" s="129"/>
      <c r="AD986" s="134"/>
      <c r="AE986" s="134"/>
      <c r="AF986" s="134"/>
      <c r="AG986" s="134"/>
      <c r="AH986" s="134"/>
      <c r="AI986" s="134"/>
      <c r="AJ986" s="134"/>
      <c r="AK986" s="134"/>
      <c r="AL986" s="134"/>
      <c r="AM986" s="134"/>
      <c r="AN986" s="134"/>
      <c r="AO986" s="134"/>
      <c r="AP986" s="134"/>
      <c r="AQ986" s="134"/>
      <c r="AR986" s="134"/>
      <c r="AS986" s="134"/>
      <c r="AT986" s="134"/>
      <c r="AU986" s="134"/>
      <c r="AV986" s="134"/>
      <c r="AW986" s="134"/>
      <c r="AX986" s="134"/>
      <c r="AY986" s="134"/>
      <c r="AZ986" s="134"/>
      <c r="BA986" s="134"/>
      <c r="BB986" s="134"/>
      <c r="BC986" s="134"/>
      <c r="BD986" s="134"/>
      <c r="BE986" s="134"/>
      <c r="BF986" s="134"/>
      <c r="BG986" s="134"/>
      <c r="BH986" s="134"/>
      <c r="BI986" s="134"/>
      <c r="BJ986" s="134"/>
      <c r="BK986" s="134"/>
      <c r="BL986" s="134"/>
      <c r="BM986" s="135"/>
      <c r="BN986" s="136" t="n">
        <f aca="false">+MAX($D$3,DATOS_[[#This Row],[Fecha Inicio Sit. Contract.]])</f>
        <v>0</v>
      </c>
      <c r="BO986" s="136" t="n">
        <f aca="false">+MIN($D$4,DATOS_[[#This Row],[Fecha Fin Sit. Contract.]])</f>
        <v>0</v>
      </c>
      <c r="BP986" s="137" t="n">
        <f aca="false">+DATOS_[[#This Row],[% de jornada]]*IF(DATOS_[[#This Row],[% jornada reducida]]="",1,DATOS_[[#This Row],[% jornada reducida]])</f>
        <v>0</v>
      </c>
      <c r="BQ986" s="137" t="n">
        <f aca="false">+(DATOS_[[#This Row],[F.fin.cal]]-DATOS_[[#This Row],[F.ini.cal]]+1)/($D$4-$D$3+1)</f>
        <v>1</v>
      </c>
      <c r="BR986" s="137" t="str">
        <f aca="false">IF(OR(AND(DATOS_[[#This Row],[Fecha Fin Contrato]]&lt;$D$3,DATOS_[[#This Row],[Fecha Fin Contrato]]&lt;&gt;""),DATOS_[[#This Row],[Fecha de Contratación]]&gt;$D$4),"Fuera","Dentro")</f>
        <v>Dentro</v>
      </c>
      <c r="BS986" s="137" t="str">
        <f aca="false" t="array" ref="BS986:BS986">IF(MAX(IF(DATOS_[id]=DATOS_[[#This Row],[id]],DATOS_[F.fin.cal]))=DATOS_[[#This Row],[F.fin.cal]],"Sí","NO")</f>
        <v>Sí</v>
      </c>
      <c r="BT986" s="137" t="str">
        <f aca="false">IF(AND(DATOS_[[#This Row],[% normaliz]]&lt;&gt;1,DATOS_[[#This Row],[% anualiz]]=1),"Sí","NO")</f>
        <v>Sí</v>
      </c>
      <c r="BU986" s="137" t="str">
        <f aca="false">IF(AND(DATOS_[[#This Row],[% normaliz]]=1,DATOS_[[#This Row],[% anualiz]]&lt;&gt;1),"Sí","NO")</f>
        <v>NO</v>
      </c>
      <c r="BV986" s="137" t="str">
        <f aca="false">IF(AND(DATOS_[[#This Row],[% normaliz]]&lt;&gt;1,DATOS_[[#This Row],[% anualiz]]&lt;&gt;1),"Sí","NO")</f>
        <v>NO</v>
      </c>
      <c r="BW986" s="137" t="str">
        <f aca="false">+IF(DATOS_[[#This Row],[% normaliz]]*DATOS_[[#This Row],[% anualiz]]=1,"NO","Sí")</f>
        <v>Sí</v>
      </c>
      <c r="BX986" s="138" t="e">
        <f aca="false">(DATOS_[[#This Row],[S.BASE]]*(1/DATOS_[[#This Row],[% normaliz]])*(1/DATOS_[[#This Row],[% anualiz]]))*IF(DATOS_[[#This Row],[Check Equiparado]]="Sí",1,0)</f>
        <v>#DIV/0!</v>
      </c>
      <c r="BY98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6" s="138" t="e">
        <f aca="false">+DATOS_[[#This Row],[SALARIO BASE Eq]]+DATOS_[[#This Row],[Tot COMPL.SAL Eq]]</f>
        <v>#DIV/0!</v>
      </c>
      <c r="CA986" s="138" t="e">
        <f aca="false" t="array" ref="CA986:CA9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6" s="138" t="e">
        <f aca="false">+DATOS_[[#This Row],[TOTAL SALARIO Eq]]+DATOS_[[#This Row],[Tot Extrasalarial Eq]]</f>
        <v>#DIV/0!</v>
      </c>
      <c r="CC986" s="139" t="n">
        <f aca="false">DATOS_[[#This Row],[S.BASE]]</f>
        <v>0</v>
      </c>
      <c r="CD986" s="139" t="n">
        <f aca="false">+SUM(DATOS_[[#This Row],[Conc.Sal.01]:[Conc.Sal.30]])</f>
        <v>0</v>
      </c>
      <c r="CE986" s="139" t="n">
        <f aca="false">+DATOS_[[#This Row],[SALARIO BASE Ef]]+DATOS_[[#This Row],[Tot COMPL.SAL Ef]]</f>
        <v>0</v>
      </c>
      <c r="CF986" s="139" t="n">
        <f aca="false">+SUM(DATOS_[[#This Row],[C.Extra.01]:[C.Extra.05]])</f>
        <v>0</v>
      </c>
      <c r="CG986" s="139" t="n">
        <f aca="false">+DATOS_[[#This Row],[TOTAL SALARIO Ef]]+DATOS_[[#This Row],[Tot Extrasalarial Ef]]</f>
        <v>0</v>
      </c>
      <c r="CH986" s="140" t="n">
        <f aca="false">MIN(IF(DATOS_[[#This Row],[Fecha Fin Contrato]]="",$D$4,DATOS_[[#This Row],[Fecha Fin Contrato]]),$D$4)-MAX(DATOS_[[#This Row],[Fecha de Contratación]],$D$3)+1</f>
        <v>1</v>
      </c>
      <c r="CI986" s="141" t="str">
        <f aca="false">IF(COUNTIFS(DATOS_[id],DATOS_[[#This Row],[id]])&gt;1,DATOS_[[#This Row],[id]],"")</f>
        <v/>
      </c>
      <c r="CJ986" s="141" t="n">
        <f aca="false">(Inicio!$G$10-DATOS_[[#This Row],[Fecha Nacimiento]])/365.25</f>
        <v>0</v>
      </c>
      <c r="CK986" s="141" t="n">
        <f aca="false">(Inicio!$G$10-DATOS_[[#This Row],[Fecha de Antigüedad]])/365.25</f>
        <v>0</v>
      </c>
      <c r="CL986" s="141" t="e">
        <f aca="false">+VLOOKUP(DATOS_[[#This Row],[Clave de Contrato]],TblTiposContrato13[],3,0)</f>
        <v>#N/A</v>
      </c>
      <c r="CM986" s="141" t="e">
        <f aca="false">+VLOOKUP(DATOS_[[#This Row],[Clave de Contrato]],TblTiposContrato13[],4,0)</f>
        <v>#N/A</v>
      </c>
      <c r="CN986" s="141" t="str">
        <f aca="false">VLOOKUP(DATOS_[[#This Row],[Edad]],CONTRATOS!TblRngEdad,2,1)</f>
        <v>20  o menos</v>
      </c>
      <c r="CO986" s="141" t="str">
        <f aca="false">VLOOKUP(DATOS_[[#This Row],[Antigüedad]],TblRngAntg14[],2,1)</f>
        <v>0 a 1 años</v>
      </c>
    </row>
    <row r="987" customFormat="false" ht="13.8" hidden="false" customHeight="false" outlineLevel="0" collapsed="false">
      <c r="D987" s="128"/>
      <c r="E987" s="129"/>
      <c r="F987" s="129"/>
      <c r="G987" s="129"/>
      <c r="H987" s="130"/>
      <c r="I987" s="131"/>
      <c r="J987" s="128"/>
      <c r="K987" s="132"/>
      <c r="L987" s="132"/>
      <c r="M987" s="133"/>
      <c r="N987" s="133"/>
      <c r="O987" s="133"/>
      <c r="P987" s="129"/>
      <c r="Z987" s="75"/>
      <c r="AA987" s="76"/>
      <c r="AB987" s="76"/>
      <c r="AC987" s="129"/>
      <c r="AD987" s="134"/>
      <c r="AE987" s="134"/>
      <c r="AF987" s="134"/>
      <c r="AG987" s="134"/>
      <c r="AH987" s="134"/>
      <c r="AI987" s="134"/>
      <c r="AJ987" s="134"/>
      <c r="AK987" s="134"/>
      <c r="AL987" s="134"/>
      <c r="AM987" s="134"/>
      <c r="AN987" s="134"/>
      <c r="AO987" s="134"/>
      <c r="AP987" s="134"/>
      <c r="AQ987" s="134"/>
      <c r="AR987" s="134"/>
      <c r="AS987" s="134"/>
      <c r="AT987" s="134"/>
      <c r="AU987" s="134"/>
      <c r="AV987" s="134"/>
      <c r="AW987" s="134"/>
      <c r="AX987" s="134"/>
      <c r="AY987" s="134"/>
      <c r="AZ987" s="134"/>
      <c r="BA987" s="134"/>
      <c r="BB987" s="134"/>
      <c r="BC987" s="134"/>
      <c r="BD987" s="134"/>
      <c r="BE987" s="134"/>
      <c r="BF987" s="134"/>
      <c r="BG987" s="134"/>
      <c r="BH987" s="134"/>
      <c r="BI987" s="134"/>
      <c r="BJ987" s="134"/>
      <c r="BK987" s="134"/>
      <c r="BL987" s="134"/>
      <c r="BM987" s="135"/>
      <c r="BN987" s="136" t="n">
        <f aca="false">+MAX($D$3,DATOS_[[#This Row],[Fecha Inicio Sit. Contract.]])</f>
        <v>0</v>
      </c>
      <c r="BO987" s="136" t="n">
        <f aca="false">+MIN($D$4,DATOS_[[#This Row],[Fecha Fin Sit. Contract.]])</f>
        <v>0</v>
      </c>
      <c r="BP987" s="137" t="n">
        <f aca="false">+DATOS_[[#This Row],[% de jornada]]*IF(DATOS_[[#This Row],[% jornada reducida]]="",1,DATOS_[[#This Row],[% jornada reducida]])</f>
        <v>0</v>
      </c>
      <c r="BQ987" s="137" t="n">
        <f aca="false">+(DATOS_[[#This Row],[F.fin.cal]]-DATOS_[[#This Row],[F.ini.cal]]+1)/($D$4-$D$3+1)</f>
        <v>1</v>
      </c>
      <c r="BR987" s="137" t="str">
        <f aca="false">IF(OR(AND(DATOS_[[#This Row],[Fecha Fin Contrato]]&lt;$D$3,DATOS_[[#This Row],[Fecha Fin Contrato]]&lt;&gt;""),DATOS_[[#This Row],[Fecha de Contratación]]&gt;$D$4),"Fuera","Dentro")</f>
        <v>Dentro</v>
      </c>
      <c r="BS987" s="137" t="str">
        <f aca="false" t="array" ref="BS987:BS987">IF(MAX(IF(DATOS_[id]=DATOS_[[#This Row],[id]],DATOS_[F.fin.cal]))=DATOS_[[#This Row],[F.fin.cal]],"Sí","NO")</f>
        <v>Sí</v>
      </c>
      <c r="BT987" s="137" t="str">
        <f aca="false">IF(AND(DATOS_[[#This Row],[% normaliz]]&lt;&gt;1,DATOS_[[#This Row],[% anualiz]]=1),"Sí","NO")</f>
        <v>Sí</v>
      </c>
      <c r="BU987" s="137" t="str">
        <f aca="false">IF(AND(DATOS_[[#This Row],[% normaliz]]=1,DATOS_[[#This Row],[% anualiz]]&lt;&gt;1),"Sí","NO")</f>
        <v>NO</v>
      </c>
      <c r="BV987" s="137" t="str">
        <f aca="false">IF(AND(DATOS_[[#This Row],[% normaliz]]&lt;&gt;1,DATOS_[[#This Row],[% anualiz]]&lt;&gt;1),"Sí","NO")</f>
        <v>NO</v>
      </c>
      <c r="BW987" s="137" t="str">
        <f aca="false">+IF(DATOS_[[#This Row],[% normaliz]]*DATOS_[[#This Row],[% anualiz]]=1,"NO","Sí")</f>
        <v>Sí</v>
      </c>
      <c r="BX987" s="138" t="e">
        <f aca="false">(DATOS_[[#This Row],[S.BASE]]*(1/DATOS_[[#This Row],[% normaliz]])*(1/DATOS_[[#This Row],[% anualiz]]))*IF(DATOS_[[#This Row],[Check Equiparado]]="Sí",1,0)</f>
        <v>#DIV/0!</v>
      </c>
      <c r="BY98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7" s="138" t="e">
        <f aca="false">+DATOS_[[#This Row],[SALARIO BASE Eq]]+DATOS_[[#This Row],[Tot COMPL.SAL Eq]]</f>
        <v>#DIV/0!</v>
      </c>
      <c r="CA987" s="138" t="e">
        <f aca="false" t="array" ref="CA987:CA9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7" s="138" t="e">
        <f aca="false">+DATOS_[[#This Row],[TOTAL SALARIO Eq]]+DATOS_[[#This Row],[Tot Extrasalarial Eq]]</f>
        <v>#DIV/0!</v>
      </c>
      <c r="CC987" s="139" t="n">
        <f aca="false">DATOS_[[#This Row],[S.BASE]]</f>
        <v>0</v>
      </c>
      <c r="CD987" s="139" t="n">
        <f aca="false">+SUM(DATOS_[[#This Row],[Conc.Sal.01]:[Conc.Sal.30]])</f>
        <v>0</v>
      </c>
      <c r="CE987" s="139" t="n">
        <f aca="false">+DATOS_[[#This Row],[SALARIO BASE Ef]]+DATOS_[[#This Row],[Tot COMPL.SAL Ef]]</f>
        <v>0</v>
      </c>
      <c r="CF987" s="139" t="n">
        <f aca="false">+SUM(DATOS_[[#This Row],[C.Extra.01]:[C.Extra.05]])</f>
        <v>0</v>
      </c>
      <c r="CG987" s="139" t="n">
        <f aca="false">+DATOS_[[#This Row],[TOTAL SALARIO Ef]]+DATOS_[[#This Row],[Tot Extrasalarial Ef]]</f>
        <v>0</v>
      </c>
      <c r="CH987" s="140" t="n">
        <f aca="false">MIN(IF(DATOS_[[#This Row],[Fecha Fin Contrato]]="",$D$4,DATOS_[[#This Row],[Fecha Fin Contrato]]),$D$4)-MAX(DATOS_[[#This Row],[Fecha de Contratación]],$D$3)+1</f>
        <v>1</v>
      </c>
      <c r="CI987" s="141" t="str">
        <f aca="false">IF(COUNTIFS(DATOS_[id],DATOS_[[#This Row],[id]])&gt;1,DATOS_[[#This Row],[id]],"")</f>
        <v/>
      </c>
      <c r="CJ987" s="141" t="n">
        <f aca="false">(Inicio!$G$10-DATOS_[[#This Row],[Fecha Nacimiento]])/365.25</f>
        <v>0</v>
      </c>
      <c r="CK987" s="141" t="n">
        <f aca="false">(Inicio!$G$10-DATOS_[[#This Row],[Fecha de Antigüedad]])/365.25</f>
        <v>0</v>
      </c>
      <c r="CL987" s="141" t="e">
        <f aca="false">+VLOOKUP(DATOS_[[#This Row],[Clave de Contrato]],TblTiposContrato13[],3,0)</f>
        <v>#N/A</v>
      </c>
      <c r="CM987" s="141" t="e">
        <f aca="false">+VLOOKUP(DATOS_[[#This Row],[Clave de Contrato]],TblTiposContrato13[],4,0)</f>
        <v>#N/A</v>
      </c>
      <c r="CN987" s="141" t="str">
        <f aca="false">VLOOKUP(DATOS_[[#This Row],[Edad]],CONTRATOS!TblRngEdad,2,1)</f>
        <v>20  o menos</v>
      </c>
      <c r="CO987" s="141" t="str">
        <f aca="false">VLOOKUP(DATOS_[[#This Row],[Antigüedad]],TblRngAntg14[],2,1)</f>
        <v>0 a 1 años</v>
      </c>
    </row>
    <row r="988" customFormat="false" ht="13.8" hidden="false" customHeight="false" outlineLevel="0" collapsed="false">
      <c r="D988" s="128"/>
      <c r="E988" s="129"/>
      <c r="F988" s="129"/>
      <c r="G988" s="129"/>
      <c r="H988" s="130"/>
      <c r="I988" s="131"/>
      <c r="J988" s="128"/>
      <c r="K988" s="132"/>
      <c r="L988" s="132"/>
      <c r="M988" s="133"/>
      <c r="N988" s="133"/>
      <c r="O988" s="133"/>
      <c r="P988" s="129"/>
      <c r="Z988" s="75"/>
      <c r="AA988" s="76"/>
      <c r="AB988" s="76"/>
      <c r="AC988" s="129"/>
      <c r="AD988" s="134"/>
      <c r="AE988" s="134"/>
      <c r="AF988" s="134"/>
      <c r="AG988" s="134"/>
      <c r="AH988" s="134"/>
      <c r="AI988" s="134"/>
      <c r="AJ988" s="134"/>
      <c r="AK988" s="134"/>
      <c r="AL988" s="134"/>
      <c r="AM988" s="134"/>
      <c r="AN988" s="134"/>
      <c r="AO988" s="134"/>
      <c r="AP988" s="134"/>
      <c r="AQ988" s="134"/>
      <c r="AR988" s="134"/>
      <c r="AS988" s="134"/>
      <c r="AT988" s="134"/>
      <c r="AU988" s="134"/>
      <c r="AV988" s="134"/>
      <c r="AW988" s="134"/>
      <c r="AX988" s="134"/>
      <c r="AY988" s="134"/>
      <c r="AZ988" s="134"/>
      <c r="BA988" s="134"/>
      <c r="BB988" s="134"/>
      <c r="BC988" s="134"/>
      <c r="BD988" s="134"/>
      <c r="BE988" s="134"/>
      <c r="BF988" s="134"/>
      <c r="BG988" s="134"/>
      <c r="BH988" s="134"/>
      <c r="BI988" s="134"/>
      <c r="BJ988" s="134"/>
      <c r="BK988" s="134"/>
      <c r="BL988" s="134"/>
      <c r="BM988" s="135"/>
      <c r="BN988" s="136" t="n">
        <f aca="false">+MAX($D$3,DATOS_[[#This Row],[Fecha Inicio Sit. Contract.]])</f>
        <v>0</v>
      </c>
      <c r="BO988" s="136" t="n">
        <f aca="false">+MIN($D$4,DATOS_[[#This Row],[Fecha Fin Sit. Contract.]])</f>
        <v>0</v>
      </c>
      <c r="BP988" s="137" t="n">
        <f aca="false">+DATOS_[[#This Row],[% de jornada]]*IF(DATOS_[[#This Row],[% jornada reducida]]="",1,DATOS_[[#This Row],[% jornada reducida]])</f>
        <v>0</v>
      </c>
      <c r="BQ988" s="137" t="n">
        <f aca="false">+(DATOS_[[#This Row],[F.fin.cal]]-DATOS_[[#This Row],[F.ini.cal]]+1)/($D$4-$D$3+1)</f>
        <v>1</v>
      </c>
      <c r="BR988" s="137" t="str">
        <f aca="false">IF(OR(AND(DATOS_[[#This Row],[Fecha Fin Contrato]]&lt;$D$3,DATOS_[[#This Row],[Fecha Fin Contrato]]&lt;&gt;""),DATOS_[[#This Row],[Fecha de Contratación]]&gt;$D$4),"Fuera","Dentro")</f>
        <v>Dentro</v>
      </c>
      <c r="BS988" s="137" t="str">
        <f aca="false" t="array" ref="BS988:BS988">IF(MAX(IF(DATOS_[id]=DATOS_[[#This Row],[id]],DATOS_[F.fin.cal]))=DATOS_[[#This Row],[F.fin.cal]],"Sí","NO")</f>
        <v>Sí</v>
      </c>
      <c r="BT988" s="137" t="str">
        <f aca="false">IF(AND(DATOS_[[#This Row],[% normaliz]]&lt;&gt;1,DATOS_[[#This Row],[% anualiz]]=1),"Sí","NO")</f>
        <v>Sí</v>
      </c>
      <c r="BU988" s="137" t="str">
        <f aca="false">IF(AND(DATOS_[[#This Row],[% normaliz]]=1,DATOS_[[#This Row],[% anualiz]]&lt;&gt;1),"Sí","NO")</f>
        <v>NO</v>
      </c>
      <c r="BV988" s="137" t="str">
        <f aca="false">IF(AND(DATOS_[[#This Row],[% normaliz]]&lt;&gt;1,DATOS_[[#This Row],[% anualiz]]&lt;&gt;1),"Sí","NO")</f>
        <v>NO</v>
      </c>
      <c r="BW988" s="137" t="str">
        <f aca="false">+IF(DATOS_[[#This Row],[% normaliz]]*DATOS_[[#This Row],[% anualiz]]=1,"NO","Sí")</f>
        <v>Sí</v>
      </c>
      <c r="BX988" s="138" t="e">
        <f aca="false">(DATOS_[[#This Row],[S.BASE]]*(1/DATOS_[[#This Row],[% normaliz]])*(1/DATOS_[[#This Row],[% anualiz]]))*IF(DATOS_[[#This Row],[Check Equiparado]]="Sí",1,0)</f>
        <v>#DIV/0!</v>
      </c>
      <c r="BY98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8" s="138" t="e">
        <f aca="false">+DATOS_[[#This Row],[SALARIO BASE Eq]]+DATOS_[[#This Row],[Tot COMPL.SAL Eq]]</f>
        <v>#DIV/0!</v>
      </c>
      <c r="CA988" s="138" t="e">
        <f aca="false" t="array" ref="CA988:CA9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8" s="138" t="e">
        <f aca="false">+DATOS_[[#This Row],[TOTAL SALARIO Eq]]+DATOS_[[#This Row],[Tot Extrasalarial Eq]]</f>
        <v>#DIV/0!</v>
      </c>
      <c r="CC988" s="139" t="n">
        <f aca="false">DATOS_[[#This Row],[S.BASE]]</f>
        <v>0</v>
      </c>
      <c r="CD988" s="139" t="n">
        <f aca="false">+SUM(DATOS_[[#This Row],[Conc.Sal.01]:[Conc.Sal.30]])</f>
        <v>0</v>
      </c>
      <c r="CE988" s="139" t="n">
        <f aca="false">+DATOS_[[#This Row],[SALARIO BASE Ef]]+DATOS_[[#This Row],[Tot COMPL.SAL Ef]]</f>
        <v>0</v>
      </c>
      <c r="CF988" s="139" t="n">
        <f aca="false">+SUM(DATOS_[[#This Row],[C.Extra.01]:[C.Extra.05]])</f>
        <v>0</v>
      </c>
      <c r="CG988" s="139" t="n">
        <f aca="false">+DATOS_[[#This Row],[TOTAL SALARIO Ef]]+DATOS_[[#This Row],[Tot Extrasalarial Ef]]</f>
        <v>0</v>
      </c>
      <c r="CH988" s="140" t="n">
        <f aca="false">MIN(IF(DATOS_[[#This Row],[Fecha Fin Contrato]]="",$D$4,DATOS_[[#This Row],[Fecha Fin Contrato]]),$D$4)-MAX(DATOS_[[#This Row],[Fecha de Contratación]],$D$3)+1</f>
        <v>1</v>
      </c>
      <c r="CI988" s="141" t="str">
        <f aca="false">IF(COUNTIFS(DATOS_[id],DATOS_[[#This Row],[id]])&gt;1,DATOS_[[#This Row],[id]],"")</f>
        <v/>
      </c>
      <c r="CJ988" s="141" t="n">
        <f aca="false">(Inicio!$G$10-DATOS_[[#This Row],[Fecha Nacimiento]])/365.25</f>
        <v>0</v>
      </c>
      <c r="CK988" s="141" t="n">
        <f aca="false">(Inicio!$G$10-DATOS_[[#This Row],[Fecha de Antigüedad]])/365.25</f>
        <v>0</v>
      </c>
      <c r="CL988" s="141" t="e">
        <f aca="false">+VLOOKUP(DATOS_[[#This Row],[Clave de Contrato]],TblTiposContrato13[],3,0)</f>
        <v>#N/A</v>
      </c>
      <c r="CM988" s="141" t="e">
        <f aca="false">+VLOOKUP(DATOS_[[#This Row],[Clave de Contrato]],TblTiposContrato13[],4,0)</f>
        <v>#N/A</v>
      </c>
      <c r="CN988" s="141" t="str">
        <f aca="false">VLOOKUP(DATOS_[[#This Row],[Edad]],CONTRATOS!TblRngEdad,2,1)</f>
        <v>20  o menos</v>
      </c>
      <c r="CO988" s="141" t="str">
        <f aca="false">VLOOKUP(DATOS_[[#This Row],[Antigüedad]],TblRngAntg14[],2,1)</f>
        <v>0 a 1 años</v>
      </c>
    </row>
    <row r="989" customFormat="false" ht="13.8" hidden="false" customHeight="false" outlineLevel="0" collapsed="false">
      <c r="D989" s="128"/>
      <c r="E989" s="129"/>
      <c r="F989" s="129"/>
      <c r="G989" s="129"/>
      <c r="H989" s="130"/>
      <c r="I989" s="131"/>
      <c r="J989" s="128"/>
      <c r="K989" s="132"/>
      <c r="L989" s="132"/>
      <c r="M989" s="133"/>
      <c r="N989" s="133"/>
      <c r="O989" s="133"/>
      <c r="P989" s="129"/>
      <c r="Z989" s="75"/>
      <c r="AA989" s="76"/>
      <c r="AB989" s="76"/>
      <c r="AC989" s="129"/>
      <c r="AD989" s="134"/>
      <c r="AE989" s="134"/>
      <c r="AF989" s="134"/>
      <c r="AG989" s="134"/>
      <c r="AH989" s="134"/>
      <c r="AI989" s="134"/>
      <c r="AJ989" s="134"/>
      <c r="AK989" s="134"/>
      <c r="AL989" s="134"/>
      <c r="AM989" s="134"/>
      <c r="AN989" s="134"/>
      <c r="AO989" s="134"/>
      <c r="AP989" s="134"/>
      <c r="AQ989" s="134"/>
      <c r="AR989" s="134"/>
      <c r="AS989" s="134"/>
      <c r="AT989" s="134"/>
      <c r="AU989" s="134"/>
      <c r="AV989" s="134"/>
      <c r="AW989" s="134"/>
      <c r="AX989" s="134"/>
      <c r="AY989" s="134"/>
      <c r="AZ989" s="134"/>
      <c r="BA989" s="134"/>
      <c r="BB989" s="134"/>
      <c r="BC989" s="134"/>
      <c r="BD989" s="134"/>
      <c r="BE989" s="134"/>
      <c r="BF989" s="134"/>
      <c r="BG989" s="134"/>
      <c r="BH989" s="134"/>
      <c r="BI989" s="134"/>
      <c r="BJ989" s="134"/>
      <c r="BK989" s="134"/>
      <c r="BL989" s="134"/>
      <c r="BM989" s="135"/>
      <c r="BN989" s="136" t="n">
        <f aca="false">+MAX($D$3,DATOS_[[#This Row],[Fecha Inicio Sit. Contract.]])</f>
        <v>0</v>
      </c>
      <c r="BO989" s="136" t="n">
        <f aca="false">+MIN($D$4,DATOS_[[#This Row],[Fecha Fin Sit. Contract.]])</f>
        <v>0</v>
      </c>
      <c r="BP989" s="137" t="n">
        <f aca="false">+DATOS_[[#This Row],[% de jornada]]*IF(DATOS_[[#This Row],[% jornada reducida]]="",1,DATOS_[[#This Row],[% jornada reducida]])</f>
        <v>0</v>
      </c>
      <c r="BQ989" s="137" t="n">
        <f aca="false">+(DATOS_[[#This Row],[F.fin.cal]]-DATOS_[[#This Row],[F.ini.cal]]+1)/($D$4-$D$3+1)</f>
        <v>1</v>
      </c>
      <c r="BR989" s="137" t="str">
        <f aca="false">IF(OR(AND(DATOS_[[#This Row],[Fecha Fin Contrato]]&lt;$D$3,DATOS_[[#This Row],[Fecha Fin Contrato]]&lt;&gt;""),DATOS_[[#This Row],[Fecha de Contratación]]&gt;$D$4),"Fuera","Dentro")</f>
        <v>Dentro</v>
      </c>
      <c r="BS989" s="137" t="str">
        <f aca="false" t="array" ref="BS989:BS989">IF(MAX(IF(DATOS_[id]=DATOS_[[#This Row],[id]],DATOS_[F.fin.cal]))=DATOS_[[#This Row],[F.fin.cal]],"Sí","NO")</f>
        <v>Sí</v>
      </c>
      <c r="BT989" s="137" t="str">
        <f aca="false">IF(AND(DATOS_[[#This Row],[% normaliz]]&lt;&gt;1,DATOS_[[#This Row],[% anualiz]]=1),"Sí","NO")</f>
        <v>Sí</v>
      </c>
      <c r="BU989" s="137" t="str">
        <f aca="false">IF(AND(DATOS_[[#This Row],[% normaliz]]=1,DATOS_[[#This Row],[% anualiz]]&lt;&gt;1),"Sí","NO")</f>
        <v>NO</v>
      </c>
      <c r="BV989" s="137" t="str">
        <f aca="false">IF(AND(DATOS_[[#This Row],[% normaliz]]&lt;&gt;1,DATOS_[[#This Row],[% anualiz]]&lt;&gt;1),"Sí","NO")</f>
        <v>NO</v>
      </c>
      <c r="BW989" s="137" t="str">
        <f aca="false">+IF(DATOS_[[#This Row],[% normaliz]]*DATOS_[[#This Row],[% anualiz]]=1,"NO","Sí")</f>
        <v>Sí</v>
      </c>
      <c r="BX989" s="138" t="e">
        <f aca="false">(DATOS_[[#This Row],[S.BASE]]*(1/DATOS_[[#This Row],[% normaliz]])*(1/DATOS_[[#This Row],[% anualiz]]))*IF(DATOS_[[#This Row],[Check Equiparado]]="Sí",1,0)</f>
        <v>#DIV/0!</v>
      </c>
      <c r="BY98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9" s="138" t="e">
        <f aca="false">+DATOS_[[#This Row],[SALARIO BASE Eq]]+DATOS_[[#This Row],[Tot COMPL.SAL Eq]]</f>
        <v>#DIV/0!</v>
      </c>
      <c r="CA989" s="138" t="e">
        <f aca="false" t="array" ref="CA989:CA9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9" s="138" t="e">
        <f aca="false">+DATOS_[[#This Row],[TOTAL SALARIO Eq]]+DATOS_[[#This Row],[Tot Extrasalarial Eq]]</f>
        <v>#DIV/0!</v>
      </c>
      <c r="CC989" s="139" t="n">
        <f aca="false">DATOS_[[#This Row],[S.BASE]]</f>
        <v>0</v>
      </c>
      <c r="CD989" s="139" t="n">
        <f aca="false">+SUM(DATOS_[[#This Row],[Conc.Sal.01]:[Conc.Sal.30]])</f>
        <v>0</v>
      </c>
      <c r="CE989" s="139" t="n">
        <f aca="false">+DATOS_[[#This Row],[SALARIO BASE Ef]]+DATOS_[[#This Row],[Tot COMPL.SAL Ef]]</f>
        <v>0</v>
      </c>
      <c r="CF989" s="139" t="n">
        <f aca="false">+SUM(DATOS_[[#This Row],[C.Extra.01]:[C.Extra.05]])</f>
        <v>0</v>
      </c>
      <c r="CG989" s="139" t="n">
        <f aca="false">+DATOS_[[#This Row],[TOTAL SALARIO Ef]]+DATOS_[[#This Row],[Tot Extrasalarial Ef]]</f>
        <v>0</v>
      </c>
      <c r="CH989" s="140" t="n">
        <f aca="false">MIN(IF(DATOS_[[#This Row],[Fecha Fin Contrato]]="",$D$4,DATOS_[[#This Row],[Fecha Fin Contrato]]),$D$4)-MAX(DATOS_[[#This Row],[Fecha de Contratación]],$D$3)+1</f>
        <v>1</v>
      </c>
      <c r="CI989" s="141" t="str">
        <f aca="false">IF(COUNTIFS(DATOS_[id],DATOS_[[#This Row],[id]])&gt;1,DATOS_[[#This Row],[id]],"")</f>
        <v/>
      </c>
      <c r="CJ989" s="141" t="n">
        <f aca="false">(Inicio!$G$10-DATOS_[[#This Row],[Fecha Nacimiento]])/365.25</f>
        <v>0</v>
      </c>
      <c r="CK989" s="141" t="n">
        <f aca="false">(Inicio!$G$10-DATOS_[[#This Row],[Fecha de Antigüedad]])/365.25</f>
        <v>0</v>
      </c>
      <c r="CL989" s="141" t="e">
        <f aca="false">+VLOOKUP(DATOS_[[#This Row],[Clave de Contrato]],TblTiposContrato13[],3,0)</f>
        <v>#N/A</v>
      </c>
      <c r="CM989" s="141" t="e">
        <f aca="false">+VLOOKUP(DATOS_[[#This Row],[Clave de Contrato]],TblTiposContrato13[],4,0)</f>
        <v>#N/A</v>
      </c>
      <c r="CN989" s="141" t="str">
        <f aca="false">VLOOKUP(DATOS_[[#This Row],[Edad]],CONTRATOS!TblRngEdad,2,1)</f>
        <v>20  o menos</v>
      </c>
      <c r="CO989" s="141" t="str">
        <f aca="false">VLOOKUP(DATOS_[[#This Row],[Antigüedad]],TblRngAntg14[],2,1)</f>
        <v>0 a 1 años</v>
      </c>
    </row>
    <row r="990" customFormat="false" ht="13.8" hidden="false" customHeight="false" outlineLevel="0" collapsed="false">
      <c r="D990" s="128"/>
      <c r="E990" s="129"/>
      <c r="F990" s="129"/>
      <c r="G990" s="129"/>
      <c r="H990" s="130"/>
      <c r="I990" s="131"/>
      <c r="J990" s="128"/>
      <c r="K990" s="132"/>
      <c r="L990" s="132"/>
      <c r="M990" s="133"/>
      <c r="N990" s="133"/>
      <c r="O990" s="133"/>
      <c r="P990" s="129"/>
      <c r="Z990" s="75"/>
      <c r="AA990" s="76"/>
      <c r="AB990" s="76"/>
      <c r="AC990" s="129"/>
      <c r="AD990" s="134"/>
      <c r="AE990" s="134"/>
      <c r="AF990" s="134"/>
      <c r="AG990" s="134"/>
      <c r="AH990" s="134"/>
      <c r="AI990" s="134"/>
      <c r="AJ990" s="134"/>
      <c r="AK990" s="134"/>
      <c r="AL990" s="134"/>
      <c r="AM990" s="134"/>
      <c r="AN990" s="134"/>
      <c r="AO990" s="134"/>
      <c r="AP990" s="134"/>
      <c r="AQ990" s="134"/>
      <c r="AR990" s="134"/>
      <c r="AS990" s="134"/>
      <c r="AT990" s="134"/>
      <c r="AU990" s="134"/>
      <c r="AV990" s="134"/>
      <c r="AW990" s="134"/>
      <c r="AX990" s="134"/>
      <c r="AY990" s="134"/>
      <c r="AZ990" s="134"/>
      <c r="BA990" s="134"/>
      <c r="BB990" s="134"/>
      <c r="BC990" s="134"/>
      <c r="BD990" s="134"/>
      <c r="BE990" s="134"/>
      <c r="BF990" s="134"/>
      <c r="BG990" s="134"/>
      <c r="BH990" s="134"/>
      <c r="BI990" s="134"/>
      <c r="BJ990" s="134"/>
      <c r="BK990" s="134"/>
      <c r="BL990" s="134"/>
      <c r="BM990" s="135"/>
      <c r="BN990" s="136" t="n">
        <f aca="false">+MAX($D$3,DATOS_[[#This Row],[Fecha Inicio Sit. Contract.]])</f>
        <v>0</v>
      </c>
      <c r="BO990" s="136" t="n">
        <f aca="false">+MIN($D$4,DATOS_[[#This Row],[Fecha Fin Sit. Contract.]])</f>
        <v>0</v>
      </c>
      <c r="BP990" s="137" t="n">
        <f aca="false">+DATOS_[[#This Row],[% de jornada]]*IF(DATOS_[[#This Row],[% jornada reducida]]="",1,DATOS_[[#This Row],[% jornada reducida]])</f>
        <v>0</v>
      </c>
      <c r="BQ990" s="137" t="n">
        <f aca="false">+(DATOS_[[#This Row],[F.fin.cal]]-DATOS_[[#This Row],[F.ini.cal]]+1)/($D$4-$D$3+1)</f>
        <v>1</v>
      </c>
      <c r="BR990" s="137" t="str">
        <f aca="false">IF(OR(AND(DATOS_[[#This Row],[Fecha Fin Contrato]]&lt;$D$3,DATOS_[[#This Row],[Fecha Fin Contrato]]&lt;&gt;""),DATOS_[[#This Row],[Fecha de Contratación]]&gt;$D$4),"Fuera","Dentro")</f>
        <v>Dentro</v>
      </c>
      <c r="BS990" s="137" t="str">
        <f aca="false" t="array" ref="BS990:BS990">IF(MAX(IF(DATOS_[id]=DATOS_[[#This Row],[id]],DATOS_[F.fin.cal]))=DATOS_[[#This Row],[F.fin.cal]],"Sí","NO")</f>
        <v>Sí</v>
      </c>
      <c r="BT990" s="137" t="str">
        <f aca="false">IF(AND(DATOS_[[#This Row],[% normaliz]]&lt;&gt;1,DATOS_[[#This Row],[% anualiz]]=1),"Sí","NO")</f>
        <v>Sí</v>
      </c>
      <c r="BU990" s="137" t="str">
        <f aca="false">IF(AND(DATOS_[[#This Row],[% normaliz]]=1,DATOS_[[#This Row],[% anualiz]]&lt;&gt;1),"Sí","NO")</f>
        <v>NO</v>
      </c>
      <c r="BV990" s="137" t="str">
        <f aca="false">IF(AND(DATOS_[[#This Row],[% normaliz]]&lt;&gt;1,DATOS_[[#This Row],[% anualiz]]&lt;&gt;1),"Sí","NO")</f>
        <v>NO</v>
      </c>
      <c r="BW990" s="137" t="str">
        <f aca="false">+IF(DATOS_[[#This Row],[% normaliz]]*DATOS_[[#This Row],[% anualiz]]=1,"NO","Sí")</f>
        <v>Sí</v>
      </c>
      <c r="BX990" s="138" t="e">
        <f aca="false">(DATOS_[[#This Row],[S.BASE]]*(1/DATOS_[[#This Row],[% normaliz]])*(1/DATOS_[[#This Row],[% anualiz]]))*IF(DATOS_[[#This Row],[Check Equiparado]]="Sí",1,0)</f>
        <v>#DIV/0!</v>
      </c>
      <c r="BY99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0" s="138" t="e">
        <f aca="false">+DATOS_[[#This Row],[SALARIO BASE Eq]]+DATOS_[[#This Row],[Tot COMPL.SAL Eq]]</f>
        <v>#DIV/0!</v>
      </c>
      <c r="CA990" s="138" t="e">
        <f aca="false" t="array" ref="CA990:CA9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0" s="138" t="e">
        <f aca="false">+DATOS_[[#This Row],[TOTAL SALARIO Eq]]+DATOS_[[#This Row],[Tot Extrasalarial Eq]]</f>
        <v>#DIV/0!</v>
      </c>
      <c r="CC990" s="139" t="n">
        <f aca="false">DATOS_[[#This Row],[S.BASE]]</f>
        <v>0</v>
      </c>
      <c r="CD990" s="139" t="n">
        <f aca="false">+SUM(DATOS_[[#This Row],[Conc.Sal.01]:[Conc.Sal.30]])</f>
        <v>0</v>
      </c>
      <c r="CE990" s="139" t="n">
        <f aca="false">+DATOS_[[#This Row],[SALARIO BASE Ef]]+DATOS_[[#This Row],[Tot COMPL.SAL Ef]]</f>
        <v>0</v>
      </c>
      <c r="CF990" s="139" t="n">
        <f aca="false">+SUM(DATOS_[[#This Row],[C.Extra.01]:[C.Extra.05]])</f>
        <v>0</v>
      </c>
      <c r="CG990" s="139" t="n">
        <f aca="false">+DATOS_[[#This Row],[TOTAL SALARIO Ef]]+DATOS_[[#This Row],[Tot Extrasalarial Ef]]</f>
        <v>0</v>
      </c>
      <c r="CH990" s="140" t="n">
        <f aca="false">MIN(IF(DATOS_[[#This Row],[Fecha Fin Contrato]]="",$D$4,DATOS_[[#This Row],[Fecha Fin Contrato]]),$D$4)-MAX(DATOS_[[#This Row],[Fecha de Contratación]],$D$3)+1</f>
        <v>1</v>
      </c>
      <c r="CI990" s="141" t="str">
        <f aca="false">IF(COUNTIFS(DATOS_[id],DATOS_[[#This Row],[id]])&gt;1,DATOS_[[#This Row],[id]],"")</f>
        <v/>
      </c>
      <c r="CJ990" s="141" t="n">
        <f aca="false">(Inicio!$G$10-DATOS_[[#This Row],[Fecha Nacimiento]])/365.25</f>
        <v>0</v>
      </c>
      <c r="CK990" s="141" t="n">
        <f aca="false">(Inicio!$G$10-DATOS_[[#This Row],[Fecha de Antigüedad]])/365.25</f>
        <v>0</v>
      </c>
      <c r="CL990" s="141" t="e">
        <f aca="false">+VLOOKUP(DATOS_[[#This Row],[Clave de Contrato]],TblTiposContrato13[],3,0)</f>
        <v>#N/A</v>
      </c>
      <c r="CM990" s="141" t="e">
        <f aca="false">+VLOOKUP(DATOS_[[#This Row],[Clave de Contrato]],TblTiposContrato13[],4,0)</f>
        <v>#N/A</v>
      </c>
      <c r="CN990" s="141" t="str">
        <f aca="false">VLOOKUP(DATOS_[[#This Row],[Edad]],CONTRATOS!TblRngEdad,2,1)</f>
        <v>20  o menos</v>
      </c>
      <c r="CO990" s="141" t="str">
        <f aca="false">VLOOKUP(DATOS_[[#This Row],[Antigüedad]],TblRngAntg14[],2,1)</f>
        <v>0 a 1 años</v>
      </c>
    </row>
    <row r="991" customFormat="false" ht="13.8" hidden="false" customHeight="false" outlineLevel="0" collapsed="false">
      <c r="D991" s="128"/>
      <c r="E991" s="129"/>
      <c r="F991" s="129"/>
      <c r="G991" s="129"/>
      <c r="H991" s="130"/>
      <c r="I991" s="131"/>
      <c r="J991" s="128"/>
      <c r="K991" s="132"/>
      <c r="L991" s="132"/>
      <c r="M991" s="133"/>
      <c r="N991" s="133"/>
      <c r="O991" s="133"/>
      <c r="P991" s="129"/>
      <c r="Z991" s="75"/>
      <c r="AA991" s="76"/>
      <c r="AB991" s="76"/>
      <c r="AC991" s="129"/>
      <c r="AD991" s="134"/>
      <c r="AE991" s="134"/>
      <c r="AF991" s="134"/>
      <c r="AG991" s="134"/>
      <c r="AH991" s="134"/>
      <c r="AI991" s="134"/>
      <c r="AJ991" s="134"/>
      <c r="AK991" s="134"/>
      <c r="AL991" s="134"/>
      <c r="AM991" s="134"/>
      <c r="AN991" s="134"/>
      <c r="AO991" s="134"/>
      <c r="AP991" s="134"/>
      <c r="AQ991" s="134"/>
      <c r="AR991" s="134"/>
      <c r="AS991" s="134"/>
      <c r="AT991" s="134"/>
      <c r="AU991" s="134"/>
      <c r="AV991" s="134"/>
      <c r="AW991" s="134"/>
      <c r="AX991" s="134"/>
      <c r="AY991" s="134"/>
      <c r="AZ991" s="134"/>
      <c r="BA991" s="134"/>
      <c r="BB991" s="134"/>
      <c r="BC991" s="134"/>
      <c r="BD991" s="134"/>
      <c r="BE991" s="134"/>
      <c r="BF991" s="134"/>
      <c r="BG991" s="134"/>
      <c r="BH991" s="134"/>
      <c r="BI991" s="134"/>
      <c r="BJ991" s="134"/>
      <c r="BK991" s="134"/>
      <c r="BL991" s="134"/>
      <c r="BM991" s="135"/>
      <c r="BN991" s="136" t="n">
        <f aca="false">+MAX($D$3,DATOS_[[#This Row],[Fecha Inicio Sit. Contract.]])</f>
        <v>0</v>
      </c>
      <c r="BO991" s="136" t="n">
        <f aca="false">+MIN($D$4,DATOS_[[#This Row],[Fecha Fin Sit. Contract.]])</f>
        <v>0</v>
      </c>
      <c r="BP991" s="137" t="n">
        <f aca="false">+DATOS_[[#This Row],[% de jornada]]*IF(DATOS_[[#This Row],[% jornada reducida]]="",1,DATOS_[[#This Row],[% jornada reducida]])</f>
        <v>0</v>
      </c>
      <c r="BQ991" s="137" t="n">
        <f aca="false">+(DATOS_[[#This Row],[F.fin.cal]]-DATOS_[[#This Row],[F.ini.cal]]+1)/($D$4-$D$3+1)</f>
        <v>1</v>
      </c>
      <c r="BR991" s="137" t="str">
        <f aca="false">IF(OR(AND(DATOS_[[#This Row],[Fecha Fin Contrato]]&lt;$D$3,DATOS_[[#This Row],[Fecha Fin Contrato]]&lt;&gt;""),DATOS_[[#This Row],[Fecha de Contratación]]&gt;$D$4),"Fuera","Dentro")</f>
        <v>Dentro</v>
      </c>
      <c r="BS991" s="137" t="str">
        <f aca="false" t="array" ref="BS991:BS991">IF(MAX(IF(DATOS_[id]=DATOS_[[#This Row],[id]],DATOS_[F.fin.cal]))=DATOS_[[#This Row],[F.fin.cal]],"Sí","NO")</f>
        <v>Sí</v>
      </c>
      <c r="BT991" s="137" t="str">
        <f aca="false">IF(AND(DATOS_[[#This Row],[% normaliz]]&lt;&gt;1,DATOS_[[#This Row],[% anualiz]]=1),"Sí","NO")</f>
        <v>Sí</v>
      </c>
      <c r="BU991" s="137" t="str">
        <f aca="false">IF(AND(DATOS_[[#This Row],[% normaliz]]=1,DATOS_[[#This Row],[% anualiz]]&lt;&gt;1),"Sí","NO")</f>
        <v>NO</v>
      </c>
      <c r="BV991" s="137" t="str">
        <f aca="false">IF(AND(DATOS_[[#This Row],[% normaliz]]&lt;&gt;1,DATOS_[[#This Row],[% anualiz]]&lt;&gt;1),"Sí","NO")</f>
        <v>NO</v>
      </c>
      <c r="BW991" s="137" t="str">
        <f aca="false">+IF(DATOS_[[#This Row],[% normaliz]]*DATOS_[[#This Row],[% anualiz]]=1,"NO","Sí")</f>
        <v>Sí</v>
      </c>
      <c r="BX991" s="138" t="e">
        <f aca="false">(DATOS_[[#This Row],[S.BASE]]*(1/DATOS_[[#This Row],[% normaliz]])*(1/DATOS_[[#This Row],[% anualiz]]))*IF(DATOS_[[#This Row],[Check Equiparado]]="Sí",1,0)</f>
        <v>#DIV/0!</v>
      </c>
      <c r="BY99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1" s="138" t="e">
        <f aca="false">+DATOS_[[#This Row],[SALARIO BASE Eq]]+DATOS_[[#This Row],[Tot COMPL.SAL Eq]]</f>
        <v>#DIV/0!</v>
      </c>
      <c r="CA991" s="138" t="e">
        <f aca="false" t="array" ref="CA991:CA9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1" s="138" t="e">
        <f aca="false">+DATOS_[[#This Row],[TOTAL SALARIO Eq]]+DATOS_[[#This Row],[Tot Extrasalarial Eq]]</f>
        <v>#DIV/0!</v>
      </c>
      <c r="CC991" s="139" t="n">
        <f aca="false">DATOS_[[#This Row],[S.BASE]]</f>
        <v>0</v>
      </c>
      <c r="CD991" s="139" t="n">
        <f aca="false">+SUM(DATOS_[[#This Row],[Conc.Sal.01]:[Conc.Sal.30]])</f>
        <v>0</v>
      </c>
      <c r="CE991" s="139" t="n">
        <f aca="false">+DATOS_[[#This Row],[SALARIO BASE Ef]]+DATOS_[[#This Row],[Tot COMPL.SAL Ef]]</f>
        <v>0</v>
      </c>
      <c r="CF991" s="139" t="n">
        <f aca="false">+SUM(DATOS_[[#This Row],[C.Extra.01]:[C.Extra.05]])</f>
        <v>0</v>
      </c>
      <c r="CG991" s="139" t="n">
        <f aca="false">+DATOS_[[#This Row],[TOTAL SALARIO Ef]]+DATOS_[[#This Row],[Tot Extrasalarial Ef]]</f>
        <v>0</v>
      </c>
      <c r="CH991" s="140" t="n">
        <f aca="false">MIN(IF(DATOS_[[#This Row],[Fecha Fin Contrato]]="",$D$4,DATOS_[[#This Row],[Fecha Fin Contrato]]),$D$4)-MAX(DATOS_[[#This Row],[Fecha de Contratación]],$D$3)+1</f>
        <v>1</v>
      </c>
      <c r="CI991" s="141" t="str">
        <f aca="false">IF(COUNTIFS(DATOS_[id],DATOS_[[#This Row],[id]])&gt;1,DATOS_[[#This Row],[id]],"")</f>
        <v/>
      </c>
      <c r="CJ991" s="141" t="n">
        <f aca="false">(Inicio!$G$10-DATOS_[[#This Row],[Fecha Nacimiento]])/365.25</f>
        <v>0</v>
      </c>
      <c r="CK991" s="141" t="n">
        <f aca="false">(Inicio!$G$10-DATOS_[[#This Row],[Fecha de Antigüedad]])/365.25</f>
        <v>0</v>
      </c>
      <c r="CL991" s="141" t="e">
        <f aca="false">+VLOOKUP(DATOS_[[#This Row],[Clave de Contrato]],TblTiposContrato13[],3,0)</f>
        <v>#N/A</v>
      </c>
      <c r="CM991" s="141" t="e">
        <f aca="false">+VLOOKUP(DATOS_[[#This Row],[Clave de Contrato]],TblTiposContrato13[],4,0)</f>
        <v>#N/A</v>
      </c>
      <c r="CN991" s="141" t="str">
        <f aca="false">VLOOKUP(DATOS_[[#This Row],[Edad]],CONTRATOS!TblRngEdad,2,1)</f>
        <v>20  o menos</v>
      </c>
      <c r="CO991" s="141" t="str">
        <f aca="false">VLOOKUP(DATOS_[[#This Row],[Antigüedad]],TblRngAntg14[],2,1)</f>
        <v>0 a 1 años</v>
      </c>
    </row>
    <row r="992" customFormat="false" ht="13.8" hidden="false" customHeight="false" outlineLevel="0" collapsed="false">
      <c r="D992" s="128"/>
      <c r="E992" s="129"/>
      <c r="F992" s="129"/>
      <c r="G992" s="129"/>
      <c r="H992" s="130"/>
      <c r="I992" s="131"/>
      <c r="J992" s="128"/>
      <c r="K992" s="132"/>
      <c r="L992" s="132"/>
      <c r="M992" s="133"/>
      <c r="N992" s="133"/>
      <c r="O992" s="133"/>
      <c r="P992" s="129"/>
      <c r="Z992" s="75"/>
      <c r="AA992" s="76"/>
      <c r="AB992" s="76"/>
      <c r="AC992" s="129"/>
      <c r="AD992" s="134"/>
      <c r="AE992" s="134"/>
      <c r="AF992" s="134"/>
      <c r="AG992" s="134"/>
      <c r="AH992" s="134"/>
      <c r="AI992" s="134"/>
      <c r="AJ992" s="134"/>
      <c r="AK992" s="134"/>
      <c r="AL992" s="134"/>
      <c r="AM992" s="134"/>
      <c r="AN992" s="134"/>
      <c r="AO992" s="134"/>
      <c r="AP992" s="134"/>
      <c r="AQ992" s="134"/>
      <c r="AR992" s="134"/>
      <c r="AS992" s="134"/>
      <c r="AT992" s="134"/>
      <c r="AU992" s="134"/>
      <c r="AV992" s="134"/>
      <c r="AW992" s="134"/>
      <c r="AX992" s="134"/>
      <c r="AY992" s="134"/>
      <c r="AZ992" s="134"/>
      <c r="BA992" s="134"/>
      <c r="BB992" s="134"/>
      <c r="BC992" s="134"/>
      <c r="BD992" s="134"/>
      <c r="BE992" s="134"/>
      <c r="BF992" s="134"/>
      <c r="BG992" s="134"/>
      <c r="BH992" s="134"/>
      <c r="BI992" s="134"/>
      <c r="BJ992" s="134"/>
      <c r="BK992" s="134"/>
      <c r="BL992" s="134"/>
      <c r="BM992" s="135"/>
      <c r="BN992" s="136" t="n">
        <f aca="false">+MAX($D$3,DATOS_[[#This Row],[Fecha Inicio Sit. Contract.]])</f>
        <v>0</v>
      </c>
      <c r="BO992" s="136" t="n">
        <f aca="false">+MIN($D$4,DATOS_[[#This Row],[Fecha Fin Sit. Contract.]])</f>
        <v>0</v>
      </c>
      <c r="BP992" s="137" t="n">
        <f aca="false">+DATOS_[[#This Row],[% de jornada]]*IF(DATOS_[[#This Row],[% jornada reducida]]="",1,DATOS_[[#This Row],[% jornada reducida]])</f>
        <v>0</v>
      </c>
      <c r="BQ992" s="137" t="n">
        <f aca="false">+(DATOS_[[#This Row],[F.fin.cal]]-DATOS_[[#This Row],[F.ini.cal]]+1)/($D$4-$D$3+1)</f>
        <v>1</v>
      </c>
      <c r="BR992" s="137" t="str">
        <f aca="false">IF(OR(AND(DATOS_[[#This Row],[Fecha Fin Contrato]]&lt;$D$3,DATOS_[[#This Row],[Fecha Fin Contrato]]&lt;&gt;""),DATOS_[[#This Row],[Fecha de Contratación]]&gt;$D$4),"Fuera","Dentro")</f>
        <v>Dentro</v>
      </c>
      <c r="BS992" s="137" t="str">
        <f aca="false" t="array" ref="BS992:BS992">IF(MAX(IF(DATOS_[id]=DATOS_[[#This Row],[id]],DATOS_[F.fin.cal]))=DATOS_[[#This Row],[F.fin.cal]],"Sí","NO")</f>
        <v>Sí</v>
      </c>
      <c r="BT992" s="137" t="str">
        <f aca="false">IF(AND(DATOS_[[#This Row],[% normaliz]]&lt;&gt;1,DATOS_[[#This Row],[% anualiz]]=1),"Sí","NO")</f>
        <v>Sí</v>
      </c>
      <c r="BU992" s="137" t="str">
        <f aca="false">IF(AND(DATOS_[[#This Row],[% normaliz]]=1,DATOS_[[#This Row],[% anualiz]]&lt;&gt;1),"Sí","NO")</f>
        <v>NO</v>
      </c>
      <c r="BV992" s="137" t="str">
        <f aca="false">IF(AND(DATOS_[[#This Row],[% normaliz]]&lt;&gt;1,DATOS_[[#This Row],[% anualiz]]&lt;&gt;1),"Sí","NO")</f>
        <v>NO</v>
      </c>
      <c r="BW992" s="137" t="str">
        <f aca="false">+IF(DATOS_[[#This Row],[% normaliz]]*DATOS_[[#This Row],[% anualiz]]=1,"NO","Sí")</f>
        <v>Sí</v>
      </c>
      <c r="BX992" s="138" t="e">
        <f aca="false">(DATOS_[[#This Row],[S.BASE]]*(1/DATOS_[[#This Row],[% normaliz]])*(1/DATOS_[[#This Row],[% anualiz]]))*IF(DATOS_[[#This Row],[Check Equiparado]]="Sí",1,0)</f>
        <v>#DIV/0!</v>
      </c>
      <c r="BY99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2" s="138" t="e">
        <f aca="false">+DATOS_[[#This Row],[SALARIO BASE Eq]]+DATOS_[[#This Row],[Tot COMPL.SAL Eq]]</f>
        <v>#DIV/0!</v>
      </c>
      <c r="CA992" s="138" t="e">
        <f aca="false" t="array" ref="CA992:CA9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2" s="138" t="e">
        <f aca="false">+DATOS_[[#This Row],[TOTAL SALARIO Eq]]+DATOS_[[#This Row],[Tot Extrasalarial Eq]]</f>
        <v>#DIV/0!</v>
      </c>
      <c r="CC992" s="139" t="n">
        <f aca="false">DATOS_[[#This Row],[S.BASE]]</f>
        <v>0</v>
      </c>
      <c r="CD992" s="139" t="n">
        <f aca="false">+SUM(DATOS_[[#This Row],[Conc.Sal.01]:[Conc.Sal.30]])</f>
        <v>0</v>
      </c>
      <c r="CE992" s="139" t="n">
        <f aca="false">+DATOS_[[#This Row],[SALARIO BASE Ef]]+DATOS_[[#This Row],[Tot COMPL.SAL Ef]]</f>
        <v>0</v>
      </c>
      <c r="CF992" s="139" t="n">
        <f aca="false">+SUM(DATOS_[[#This Row],[C.Extra.01]:[C.Extra.05]])</f>
        <v>0</v>
      </c>
      <c r="CG992" s="139" t="n">
        <f aca="false">+DATOS_[[#This Row],[TOTAL SALARIO Ef]]+DATOS_[[#This Row],[Tot Extrasalarial Ef]]</f>
        <v>0</v>
      </c>
      <c r="CH992" s="140" t="n">
        <f aca="false">MIN(IF(DATOS_[[#This Row],[Fecha Fin Contrato]]="",$D$4,DATOS_[[#This Row],[Fecha Fin Contrato]]),$D$4)-MAX(DATOS_[[#This Row],[Fecha de Contratación]],$D$3)+1</f>
        <v>1</v>
      </c>
      <c r="CI992" s="141" t="str">
        <f aca="false">IF(COUNTIFS(DATOS_[id],DATOS_[[#This Row],[id]])&gt;1,DATOS_[[#This Row],[id]],"")</f>
        <v/>
      </c>
      <c r="CJ992" s="141" t="n">
        <f aca="false">(Inicio!$G$10-DATOS_[[#This Row],[Fecha Nacimiento]])/365.25</f>
        <v>0</v>
      </c>
      <c r="CK992" s="141" t="n">
        <f aca="false">(Inicio!$G$10-DATOS_[[#This Row],[Fecha de Antigüedad]])/365.25</f>
        <v>0</v>
      </c>
      <c r="CL992" s="141" t="e">
        <f aca="false">+VLOOKUP(DATOS_[[#This Row],[Clave de Contrato]],TblTiposContrato13[],3,0)</f>
        <v>#N/A</v>
      </c>
      <c r="CM992" s="141" t="e">
        <f aca="false">+VLOOKUP(DATOS_[[#This Row],[Clave de Contrato]],TblTiposContrato13[],4,0)</f>
        <v>#N/A</v>
      </c>
      <c r="CN992" s="141" t="str">
        <f aca="false">VLOOKUP(DATOS_[[#This Row],[Edad]],CONTRATOS!TblRngEdad,2,1)</f>
        <v>20  o menos</v>
      </c>
      <c r="CO992" s="141" t="str">
        <f aca="false">VLOOKUP(DATOS_[[#This Row],[Antigüedad]],TblRngAntg14[],2,1)</f>
        <v>0 a 1 años</v>
      </c>
    </row>
    <row r="993" customFormat="false" ht="13.8" hidden="false" customHeight="false" outlineLevel="0" collapsed="false">
      <c r="D993" s="128"/>
      <c r="E993" s="129"/>
      <c r="F993" s="129"/>
      <c r="G993" s="129"/>
      <c r="H993" s="130"/>
      <c r="I993" s="131"/>
      <c r="J993" s="128"/>
      <c r="K993" s="132"/>
      <c r="L993" s="132"/>
      <c r="M993" s="133"/>
      <c r="N993" s="133"/>
      <c r="O993" s="133"/>
      <c r="P993" s="129"/>
      <c r="Z993" s="75"/>
      <c r="AA993" s="76"/>
      <c r="AB993" s="76"/>
      <c r="AC993" s="129"/>
      <c r="AD993" s="134"/>
      <c r="AE993" s="134"/>
      <c r="AF993" s="134"/>
      <c r="AG993" s="134"/>
      <c r="AH993" s="134"/>
      <c r="AI993" s="134"/>
      <c r="AJ993" s="134"/>
      <c r="AK993" s="134"/>
      <c r="AL993" s="134"/>
      <c r="AM993" s="134"/>
      <c r="AN993" s="134"/>
      <c r="AO993" s="134"/>
      <c r="AP993" s="134"/>
      <c r="AQ993" s="134"/>
      <c r="AR993" s="134"/>
      <c r="AS993" s="134"/>
      <c r="AT993" s="134"/>
      <c r="AU993" s="134"/>
      <c r="AV993" s="134"/>
      <c r="AW993" s="134"/>
      <c r="AX993" s="134"/>
      <c r="AY993" s="134"/>
      <c r="AZ993" s="134"/>
      <c r="BA993" s="134"/>
      <c r="BB993" s="134"/>
      <c r="BC993" s="134"/>
      <c r="BD993" s="134"/>
      <c r="BE993" s="134"/>
      <c r="BF993" s="134"/>
      <c r="BG993" s="134"/>
      <c r="BH993" s="134"/>
      <c r="BI993" s="134"/>
      <c r="BJ993" s="134"/>
      <c r="BK993" s="134"/>
      <c r="BL993" s="134"/>
      <c r="BM993" s="135"/>
      <c r="BN993" s="136" t="n">
        <f aca="false">+MAX($D$3,DATOS_[[#This Row],[Fecha Inicio Sit. Contract.]])</f>
        <v>0</v>
      </c>
      <c r="BO993" s="136" t="n">
        <f aca="false">+MIN($D$4,DATOS_[[#This Row],[Fecha Fin Sit. Contract.]])</f>
        <v>0</v>
      </c>
      <c r="BP993" s="137" t="n">
        <f aca="false">+DATOS_[[#This Row],[% de jornada]]*IF(DATOS_[[#This Row],[% jornada reducida]]="",1,DATOS_[[#This Row],[% jornada reducida]])</f>
        <v>0</v>
      </c>
      <c r="BQ993" s="137" t="n">
        <f aca="false">+(DATOS_[[#This Row],[F.fin.cal]]-DATOS_[[#This Row],[F.ini.cal]]+1)/($D$4-$D$3+1)</f>
        <v>1</v>
      </c>
      <c r="BR993" s="137" t="str">
        <f aca="false">IF(OR(AND(DATOS_[[#This Row],[Fecha Fin Contrato]]&lt;$D$3,DATOS_[[#This Row],[Fecha Fin Contrato]]&lt;&gt;""),DATOS_[[#This Row],[Fecha de Contratación]]&gt;$D$4),"Fuera","Dentro")</f>
        <v>Dentro</v>
      </c>
      <c r="BS993" s="137" t="str">
        <f aca="false" t="array" ref="BS993:BS993">IF(MAX(IF(DATOS_[id]=DATOS_[[#This Row],[id]],DATOS_[F.fin.cal]))=DATOS_[[#This Row],[F.fin.cal]],"Sí","NO")</f>
        <v>Sí</v>
      </c>
      <c r="BT993" s="137" t="str">
        <f aca="false">IF(AND(DATOS_[[#This Row],[% normaliz]]&lt;&gt;1,DATOS_[[#This Row],[% anualiz]]=1),"Sí","NO")</f>
        <v>Sí</v>
      </c>
      <c r="BU993" s="137" t="str">
        <f aca="false">IF(AND(DATOS_[[#This Row],[% normaliz]]=1,DATOS_[[#This Row],[% anualiz]]&lt;&gt;1),"Sí","NO")</f>
        <v>NO</v>
      </c>
      <c r="BV993" s="137" t="str">
        <f aca="false">IF(AND(DATOS_[[#This Row],[% normaliz]]&lt;&gt;1,DATOS_[[#This Row],[% anualiz]]&lt;&gt;1),"Sí","NO")</f>
        <v>NO</v>
      </c>
      <c r="BW993" s="137" t="str">
        <f aca="false">+IF(DATOS_[[#This Row],[% normaliz]]*DATOS_[[#This Row],[% anualiz]]=1,"NO","Sí")</f>
        <v>Sí</v>
      </c>
      <c r="BX993" s="138" t="e">
        <f aca="false">(DATOS_[[#This Row],[S.BASE]]*(1/DATOS_[[#This Row],[% normaliz]])*(1/DATOS_[[#This Row],[% anualiz]]))*IF(DATOS_[[#This Row],[Check Equiparado]]="Sí",1,0)</f>
        <v>#DIV/0!</v>
      </c>
      <c r="BY99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3" s="138" t="e">
        <f aca="false">+DATOS_[[#This Row],[SALARIO BASE Eq]]+DATOS_[[#This Row],[Tot COMPL.SAL Eq]]</f>
        <v>#DIV/0!</v>
      </c>
      <c r="CA993" s="138" t="e">
        <f aca="false" t="array" ref="CA993:CA9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3" s="138" t="e">
        <f aca="false">+DATOS_[[#This Row],[TOTAL SALARIO Eq]]+DATOS_[[#This Row],[Tot Extrasalarial Eq]]</f>
        <v>#DIV/0!</v>
      </c>
      <c r="CC993" s="139" t="n">
        <f aca="false">DATOS_[[#This Row],[S.BASE]]</f>
        <v>0</v>
      </c>
      <c r="CD993" s="139" t="n">
        <f aca="false">+SUM(DATOS_[[#This Row],[Conc.Sal.01]:[Conc.Sal.30]])</f>
        <v>0</v>
      </c>
      <c r="CE993" s="139" t="n">
        <f aca="false">+DATOS_[[#This Row],[SALARIO BASE Ef]]+DATOS_[[#This Row],[Tot COMPL.SAL Ef]]</f>
        <v>0</v>
      </c>
      <c r="CF993" s="139" t="n">
        <f aca="false">+SUM(DATOS_[[#This Row],[C.Extra.01]:[C.Extra.05]])</f>
        <v>0</v>
      </c>
      <c r="CG993" s="139" t="n">
        <f aca="false">+DATOS_[[#This Row],[TOTAL SALARIO Ef]]+DATOS_[[#This Row],[Tot Extrasalarial Ef]]</f>
        <v>0</v>
      </c>
      <c r="CH993" s="140" t="n">
        <f aca="false">MIN(IF(DATOS_[[#This Row],[Fecha Fin Contrato]]="",$D$4,DATOS_[[#This Row],[Fecha Fin Contrato]]),$D$4)-MAX(DATOS_[[#This Row],[Fecha de Contratación]],$D$3)+1</f>
        <v>1</v>
      </c>
      <c r="CI993" s="141" t="str">
        <f aca="false">IF(COUNTIFS(DATOS_[id],DATOS_[[#This Row],[id]])&gt;1,DATOS_[[#This Row],[id]],"")</f>
        <v/>
      </c>
      <c r="CJ993" s="141" t="n">
        <f aca="false">(Inicio!$G$10-DATOS_[[#This Row],[Fecha Nacimiento]])/365.25</f>
        <v>0</v>
      </c>
      <c r="CK993" s="141" t="n">
        <f aca="false">(Inicio!$G$10-DATOS_[[#This Row],[Fecha de Antigüedad]])/365.25</f>
        <v>0</v>
      </c>
      <c r="CL993" s="141" t="e">
        <f aca="false">+VLOOKUP(DATOS_[[#This Row],[Clave de Contrato]],TblTiposContrato13[],3,0)</f>
        <v>#N/A</v>
      </c>
      <c r="CM993" s="141" t="e">
        <f aca="false">+VLOOKUP(DATOS_[[#This Row],[Clave de Contrato]],TblTiposContrato13[],4,0)</f>
        <v>#N/A</v>
      </c>
      <c r="CN993" s="141" t="str">
        <f aca="false">VLOOKUP(DATOS_[[#This Row],[Edad]],CONTRATOS!TblRngEdad,2,1)</f>
        <v>20  o menos</v>
      </c>
      <c r="CO993" s="141" t="str">
        <f aca="false">VLOOKUP(DATOS_[[#This Row],[Antigüedad]],TblRngAntg14[],2,1)</f>
        <v>0 a 1 años</v>
      </c>
    </row>
    <row r="994" customFormat="false" ht="13.8" hidden="false" customHeight="false" outlineLevel="0" collapsed="false">
      <c r="D994" s="128"/>
      <c r="E994" s="129"/>
      <c r="F994" s="129"/>
      <c r="G994" s="129"/>
      <c r="H994" s="130"/>
      <c r="I994" s="131"/>
      <c r="J994" s="128"/>
      <c r="K994" s="132"/>
      <c r="L994" s="132"/>
      <c r="M994" s="133"/>
      <c r="N994" s="133"/>
      <c r="O994" s="133"/>
      <c r="P994" s="129"/>
      <c r="Z994" s="75"/>
      <c r="AA994" s="76"/>
      <c r="AB994" s="76"/>
      <c r="AC994" s="129"/>
      <c r="AD994" s="134"/>
      <c r="AE994" s="134"/>
      <c r="AF994" s="134"/>
      <c r="AG994" s="134"/>
      <c r="AH994" s="134"/>
      <c r="AI994" s="134"/>
      <c r="AJ994" s="134"/>
      <c r="AK994" s="134"/>
      <c r="AL994" s="134"/>
      <c r="AM994" s="134"/>
      <c r="AN994" s="134"/>
      <c r="AO994" s="134"/>
      <c r="AP994" s="134"/>
      <c r="AQ994" s="134"/>
      <c r="AR994" s="134"/>
      <c r="AS994" s="134"/>
      <c r="AT994" s="134"/>
      <c r="AU994" s="134"/>
      <c r="AV994" s="134"/>
      <c r="AW994" s="134"/>
      <c r="AX994" s="134"/>
      <c r="AY994" s="134"/>
      <c r="AZ994" s="134"/>
      <c r="BA994" s="134"/>
      <c r="BB994" s="134"/>
      <c r="BC994" s="134"/>
      <c r="BD994" s="134"/>
      <c r="BE994" s="134"/>
      <c r="BF994" s="134"/>
      <c r="BG994" s="134"/>
      <c r="BH994" s="134"/>
      <c r="BI994" s="134"/>
      <c r="BJ994" s="134"/>
      <c r="BK994" s="134"/>
      <c r="BL994" s="134"/>
      <c r="BM994" s="135"/>
      <c r="BN994" s="136" t="n">
        <f aca="false">+MAX($D$3,DATOS_[[#This Row],[Fecha Inicio Sit. Contract.]])</f>
        <v>0</v>
      </c>
      <c r="BO994" s="136" t="n">
        <f aca="false">+MIN($D$4,DATOS_[[#This Row],[Fecha Fin Sit. Contract.]])</f>
        <v>0</v>
      </c>
      <c r="BP994" s="137" t="n">
        <f aca="false">+DATOS_[[#This Row],[% de jornada]]*IF(DATOS_[[#This Row],[% jornada reducida]]="",1,DATOS_[[#This Row],[% jornada reducida]])</f>
        <v>0</v>
      </c>
      <c r="BQ994" s="137" t="n">
        <f aca="false">+(DATOS_[[#This Row],[F.fin.cal]]-DATOS_[[#This Row],[F.ini.cal]]+1)/($D$4-$D$3+1)</f>
        <v>1</v>
      </c>
      <c r="BR994" s="137" t="str">
        <f aca="false">IF(OR(AND(DATOS_[[#This Row],[Fecha Fin Contrato]]&lt;$D$3,DATOS_[[#This Row],[Fecha Fin Contrato]]&lt;&gt;""),DATOS_[[#This Row],[Fecha de Contratación]]&gt;$D$4),"Fuera","Dentro")</f>
        <v>Dentro</v>
      </c>
      <c r="BS994" s="137" t="str">
        <f aca="false" t="array" ref="BS994:BS994">IF(MAX(IF(DATOS_[id]=DATOS_[[#This Row],[id]],DATOS_[F.fin.cal]))=DATOS_[[#This Row],[F.fin.cal]],"Sí","NO")</f>
        <v>Sí</v>
      </c>
      <c r="BT994" s="137" t="str">
        <f aca="false">IF(AND(DATOS_[[#This Row],[% normaliz]]&lt;&gt;1,DATOS_[[#This Row],[% anualiz]]=1),"Sí","NO")</f>
        <v>Sí</v>
      </c>
      <c r="BU994" s="137" t="str">
        <f aca="false">IF(AND(DATOS_[[#This Row],[% normaliz]]=1,DATOS_[[#This Row],[% anualiz]]&lt;&gt;1),"Sí","NO")</f>
        <v>NO</v>
      </c>
      <c r="BV994" s="137" t="str">
        <f aca="false">IF(AND(DATOS_[[#This Row],[% normaliz]]&lt;&gt;1,DATOS_[[#This Row],[% anualiz]]&lt;&gt;1),"Sí","NO")</f>
        <v>NO</v>
      </c>
      <c r="BW994" s="137" t="str">
        <f aca="false">+IF(DATOS_[[#This Row],[% normaliz]]*DATOS_[[#This Row],[% anualiz]]=1,"NO","Sí")</f>
        <v>Sí</v>
      </c>
      <c r="BX994" s="138" t="e">
        <f aca="false">(DATOS_[[#This Row],[S.BASE]]*(1/DATOS_[[#This Row],[% normaliz]])*(1/DATOS_[[#This Row],[% anualiz]]))*IF(DATOS_[[#This Row],[Check Equiparado]]="Sí",1,0)</f>
        <v>#DIV/0!</v>
      </c>
      <c r="BY99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4" s="138" t="e">
        <f aca="false">+DATOS_[[#This Row],[SALARIO BASE Eq]]+DATOS_[[#This Row],[Tot COMPL.SAL Eq]]</f>
        <v>#DIV/0!</v>
      </c>
      <c r="CA994" s="138" t="e">
        <f aca="false" t="array" ref="CA994:CA9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4" s="138" t="e">
        <f aca="false">+DATOS_[[#This Row],[TOTAL SALARIO Eq]]+DATOS_[[#This Row],[Tot Extrasalarial Eq]]</f>
        <v>#DIV/0!</v>
      </c>
      <c r="CC994" s="139" t="n">
        <f aca="false">DATOS_[[#This Row],[S.BASE]]</f>
        <v>0</v>
      </c>
      <c r="CD994" s="139" t="n">
        <f aca="false">+SUM(DATOS_[[#This Row],[Conc.Sal.01]:[Conc.Sal.30]])</f>
        <v>0</v>
      </c>
      <c r="CE994" s="139" t="n">
        <f aca="false">+DATOS_[[#This Row],[SALARIO BASE Ef]]+DATOS_[[#This Row],[Tot COMPL.SAL Ef]]</f>
        <v>0</v>
      </c>
      <c r="CF994" s="139" t="n">
        <f aca="false">+SUM(DATOS_[[#This Row],[C.Extra.01]:[C.Extra.05]])</f>
        <v>0</v>
      </c>
      <c r="CG994" s="139" t="n">
        <f aca="false">+DATOS_[[#This Row],[TOTAL SALARIO Ef]]+DATOS_[[#This Row],[Tot Extrasalarial Ef]]</f>
        <v>0</v>
      </c>
      <c r="CH994" s="140" t="n">
        <f aca="false">MIN(IF(DATOS_[[#This Row],[Fecha Fin Contrato]]="",$D$4,DATOS_[[#This Row],[Fecha Fin Contrato]]),$D$4)-MAX(DATOS_[[#This Row],[Fecha de Contratación]],$D$3)+1</f>
        <v>1</v>
      </c>
      <c r="CI994" s="141" t="str">
        <f aca="false">IF(COUNTIFS(DATOS_[id],DATOS_[[#This Row],[id]])&gt;1,DATOS_[[#This Row],[id]],"")</f>
        <v/>
      </c>
      <c r="CJ994" s="141" t="n">
        <f aca="false">(Inicio!$G$10-DATOS_[[#This Row],[Fecha Nacimiento]])/365.25</f>
        <v>0</v>
      </c>
      <c r="CK994" s="141" t="n">
        <f aca="false">(Inicio!$G$10-DATOS_[[#This Row],[Fecha de Antigüedad]])/365.25</f>
        <v>0</v>
      </c>
      <c r="CL994" s="141" t="e">
        <f aca="false">+VLOOKUP(DATOS_[[#This Row],[Clave de Contrato]],TblTiposContrato13[],3,0)</f>
        <v>#N/A</v>
      </c>
      <c r="CM994" s="141" t="e">
        <f aca="false">+VLOOKUP(DATOS_[[#This Row],[Clave de Contrato]],TblTiposContrato13[],4,0)</f>
        <v>#N/A</v>
      </c>
      <c r="CN994" s="141" t="str">
        <f aca="false">VLOOKUP(DATOS_[[#This Row],[Edad]],CONTRATOS!TblRngEdad,2,1)</f>
        <v>20  o menos</v>
      </c>
      <c r="CO994" s="141" t="str">
        <f aca="false">VLOOKUP(DATOS_[[#This Row],[Antigüedad]],TblRngAntg14[],2,1)</f>
        <v>0 a 1 años</v>
      </c>
    </row>
    <row r="995" customFormat="false" ht="13.8" hidden="false" customHeight="false" outlineLevel="0" collapsed="false">
      <c r="D995" s="128"/>
      <c r="E995" s="129"/>
      <c r="F995" s="129"/>
      <c r="G995" s="129"/>
      <c r="H995" s="130"/>
      <c r="I995" s="131"/>
      <c r="J995" s="128"/>
      <c r="K995" s="132"/>
      <c r="L995" s="132"/>
      <c r="M995" s="133"/>
      <c r="N995" s="133"/>
      <c r="O995" s="133"/>
      <c r="P995" s="129"/>
      <c r="Z995" s="75"/>
      <c r="AA995" s="76"/>
      <c r="AB995" s="76"/>
      <c r="AC995" s="129"/>
      <c r="AD995" s="134"/>
      <c r="AE995" s="134"/>
      <c r="AF995" s="134"/>
      <c r="AG995" s="134"/>
      <c r="AH995" s="134"/>
      <c r="AI995" s="134"/>
      <c r="AJ995" s="134"/>
      <c r="AK995" s="134"/>
      <c r="AL995" s="134"/>
      <c r="AM995" s="134"/>
      <c r="AN995" s="134"/>
      <c r="AO995" s="134"/>
      <c r="AP995" s="134"/>
      <c r="AQ995" s="134"/>
      <c r="AR995" s="134"/>
      <c r="AS995" s="134"/>
      <c r="AT995" s="134"/>
      <c r="AU995" s="134"/>
      <c r="AV995" s="134"/>
      <c r="AW995" s="134"/>
      <c r="AX995" s="134"/>
      <c r="AY995" s="134"/>
      <c r="AZ995" s="134"/>
      <c r="BA995" s="134"/>
      <c r="BB995" s="134"/>
      <c r="BC995" s="134"/>
      <c r="BD995" s="134"/>
      <c r="BE995" s="134"/>
      <c r="BF995" s="134"/>
      <c r="BG995" s="134"/>
      <c r="BH995" s="134"/>
      <c r="BI995" s="134"/>
      <c r="BJ995" s="134"/>
      <c r="BK995" s="134"/>
      <c r="BL995" s="134"/>
      <c r="BM995" s="135"/>
      <c r="BN995" s="136" t="n">
        <f aca="false">+MAX($D$3,DATOS_[[#This Row],[Fecha Inicio Sit. Contract.]])</f>
        <v>0</v>
      </c>
      <c r="BO995" s="136" t="n">
        <f aca="false">+MIN($D$4,DATOS_[[#This Row],[Fecha Fin Sit. Contract.]])</f>
        <v>0</v>
      </c>
      <c r="BP995" s="137" t="n">
        <f aca="false">+DATOS_[[#This Row],[% de jornada]]*IF(DATOS_[[#This Row],[% jornada reducida]]="",1,DATOS_[[#This Row],[% jornada reducida]])</f>
        <v>0</v>
      </c>
      <c r="BQ995" s="137" t="n">
        <f aca="false">+(DATOS_[[#This Row],[F.fin.cal]]-DATOS_[[#This Row],[F.ini.cal]]+1)/($D$4-$D$3+1)</f>
        <v>1</v>
      </c>
      <c r="BR995" s="137" t="str">
        <f aca="false">IF(OR(AND(DATOS_[[#This Row],[Fecha Fin Contrato]]&lt;$D$3,DATOS_[[#This Row],[Fecha Fin Contrato]]&lt;&gt;""),DATOS_[[#This Row],[Fecha de Contratación]]&gt;$D$4),"Fuera","Dentro")</f>
        <v>Dentro</v>
      </c>
      <c r="BS995" s="137" t="str">
        <f aca="false" t="array" ref="BS995:BS995">IF(MAX(IF(DATOS_[id]=DATOS_[[#This Row],[id]],DATOS_[F.fin.cal]))=DATOS_[[#This Row],[F.fin.cal]],"Sí","NO")</f>
        <v>Sí</v>
      </c>
      <c r="BT995" s="137" t="str">
        <f aca="false">IF(AND(DATOS_[[#This Row],[% normaliz]]&lt;&gt;1,DATOS_[[#This Row],[% anualiz]]=1),"Sí","NO")</f>
        <v>Sí</v>
      </c>
      <c r="BU995" s="137" t="str">
        <f aca="false">IF(AND(DATOS_[[#This Row],[% normaliz]]=1,DATOS_[[#This Row],[% anualiz]]&lt;&gt;1),"Sí","NO")</f>
        <v>NO</v>
      </c>
      <c r="BV995" s="137" t="str">
        <f aca="false">IF(AND(DATOS_[[#This Row],[% normaliz]]&lt;&gt;1,DATOS_[[#This Row],[% anualiz]]&lt;&gt;1),"Sí","NO")</f>
        <v>NO</v>
      </c>
      <c r="BW995" s="137" t="str">
        <f aca="false">+IF(DATOS_[[#This Row],[% normaliz]]*DATOS_[[#This Row],[% anualiz]]=1,"NO","Sí")</f>
        <v>Sí</v>
      </c>
      <c r="BX995" s="138" t="e">
        <f aca="false">(DATOS_[[#This Row],[S.BASE]]*(1/DATOS_[[#This Row],[% normaliz]])*(1/DATOS_[[#This Row],[% anualiz]]))*IF(DATOS_[[#This Row],[Check Equiparado]]="Sí",1,0)</f>
        <v>#DIV/0!</v>
      </c>
      <c r="BY99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5" s="138" t="e">
        <f aca="false">+DATOS_[[#This Row],[SALARIO BASE Eq]]+DATOS_[[#This Row],[Tot COMPL.SAL Eq]]</f>
        <v>#DIV/0!</v>
      </c>
      <c r="CA995" s="138" t="e">
        <f aca="false" t="array" ref="CA995:CA9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5" s="138" t="e">
        <f aca="false">+DATOS_[[#This Row],[TOTAL SALARIO Eq]]+DATOS_[[#This Row],[Tot Extrasalarial Eq]]</f>
        <v>#DIV/0!</v>
      </c>
      <c r="CC995" s="139" t="n">
        <f aca="false">DATOS_[[#This Row],[S.BASE]]</f>
        <v>0</v>
      </c>
      <c r="CD995" s="139" t="n">
        <f aca="false">+SUM(DATOS_[[#This Row],[Conc.Sal.01]:[Conc.Sal.30]])</f>
        <v>0</v>
      </c>
      <c r="CE995" s="139" t="n">
        <f aca="false">+DATOS_[[#This Row],[SALARIO BASE Ef]]+DATOS_[[#This Row],[Tot COMPL.SAL Ef]]</f>
        <v>0</v>
      </c>
      <c r="CF995" s="139" t="n">
        <f aca="false">+SUM(DATOS_[[#This Row],[C.Extra.01]:[C.Extra.05]])</f>
        <v>0</v>
      </c>
      <c r="CG995" s="139" t="n">
        <f aca="false">+DATOS_[[#This Row],[TOTAL SALARIO Ef]]+DATOS_[[#This Row],[Tot Extrasalarial Ef]]</f>
        <v>0</v>
      </c>
      <c r="CH995" s="140" t="n">
        <f aca="false">MIN(IF(DATOS_[[#This Row],[Fecha Fin Contrato]]="",$D$4,DATOS_[[#This Row],[Fecha Fin Contrato]]),$D$4)-MAX(DATOS_[[#This Row],[Fecha de Contratación]],$D$3)+1</f>
        <v>1</v>
      </c>
      <c r="CI995" s="141" t="str">
        <f aca="false">IF(COUNTIFS(DATOS_[id],DATOS_[[#This Row],[id]])&gt;1,DATOS_[[#This Row],[id]],"")</f>
        <v/>
      </c>
      <c r="CJ995" s="141" t="n">
        <f aca="false">(Inicio!$G$10-DATOS_[[#This Row],[Fecha Nacimiento]])/365.25</f>
        <v>0</v>
      </c>
      <c r="CK995" s="141" t="n">
        <f aca="false">(Inicio!$G$10-DATOS_[[#This Row],[Fecha de Antigüedad]])/365.25</f>
        <v>0</v>
      </c>
      <c r="CL995" s="141" t="e">
        <f aca="false">+VLOOKUP(DATOS_[[#This Row],[Clave de Contrato]],TblTiposContrato13[],3,0)</f>
        <v>#N/A</v>
      </c>
      <c r="CM995" s="141" t="e">
        <f aca="false">+VLOOKUP(DATOS_[[#This Row],[Clave de Contrato]],TblTiposContrato13[],4,0)</f>
        <v>#N/A</v>
      </c>
      <c r="CN995" s="141" t="str">
        <f aca="false">VLOOKUP(DATOS_[[#This Row],[Edad]],CONTRATOS!TblRngEdad,2,1)</f>
        <v>20  o menos</v>
      </c>
      <c r="CO995" s="141" t="str">
        <f aca="false">VLOOKUP(DATOS_[[#This Row],[Antigüedad]],TblRngAntg14[],2,1)</f>
        <v>0 a 1 años</v>
      </c>
    </row>
    <row r="996" customFormat="false" ht="13.8" hidden="false" customHeight="false" outlineLevel="0" collapsed="false">
      <c r="D996" s="128"/>
      <c r="E996" s="129"/>
      <c r="F996" s="129"/>
      <c r="G996" s="129"/>
      <c r="H996" s="130"/>
      <c r="I996" s="131"/>
      <c r="J996" s="128"/>
      <c r="K996" s="132"/>
      <c r="L996" s="132"/>
      <c r="M996" s="133"/>
      <c r="N996" s="133"/>
      <c r="O996" s="133"/>
      <c r="P996" s="129"/>
      <c r="Z996" s="75"/>
      <c r="AA996" s="76"/>
      <c r="AB996" s="76"/>
      <c r="AC996" s="129"/>
      <c r="AD996" s="134"/>
      <c r="AE996" s="134"/>
      <c r="AF996" s="134"/>
      <c r="AG996" s="134"/>
      <c r="AH996" s="134"/>
      <c r="AI996" s="134"/>
      <c r="AJ996" s="134"/>
      <c r="AK996" s="134"/>
      <c r="AL996" s="134"/>
      <c r="AM996" s="134"/>
      <c r="AN996" s="134"/>
      <c r="AO996" s="134"/>
      <c r="AP996" s="134"/>
      <c r="AQ996" s="134"/>
      <c r="AR996" s="134"/>
      <c r="AS996" s="134"/>
      <c r="AT996" s="134"/>
      <c r="AU996" s="134"/>
      <c r="AV996" s="134"/>
      <c r="AW996" s="134"/>
      <c r="AX996" s="134"/>
      <c r="AY996" s="134"/>
      <c r="AZ996" s="134"/>
      <c r="BA996" s="134"/>
      <c r="BB996" s="134"/>
      <c r="BC996" s="134"/>
      <c r="BD996" s="134"/>
      <c r="BE996" s="134"/>
      <c r="BF996" s="134"/>
      <c r="BG996" s="134"/>
      <c r="BH996" s="134"/>
      <c r="BI996" s="134"/>
      <c r="BJ996" s="134"/>
      <c r="BK996" s="134"/>
      <c r="BL996" s="134"/>
      <c r="BM996" s="135"/>
      <c r="BN996" s="136" t="n">
        <f aca="false">+MAX($D$3,DATOS_[[#This Row],[Fecha Inicio Sit. Contract.]])</f>
        <v>0</v>
      </c>
      <c r="BO996" s="136" t="n">
        <f aca="false">+MIN($D$4,DATOS_[[#This Row],[Fecha Fin Sit. Contract.]])</f>
        <v>0</v>
      </c>
      <c r="BP996" s="137" t="n">
        <f aca="false">+DATOS_[[#This Row],[% de jornada]]*IF(DATOS_[[#This Row],[% jornada reducida]]="",1,DATOS_[[#This Row],[% jornada reducida]])</f>
        <v>0</v>
      </c>
      <c r="BQ996" s="137" t="n">
        <f aca="false">+(DATOS_[[#This Row],[F.fin.cal]]-DATOS_[[#This Row],[F.ini.cal]]+1)/($D$4-$D$3+1)</f>
        <v>1</v>
      </c>
      <c r="BR996" s="137" t="str">
        <f aca="false">IF(OR(AND(DATOS_[[#This Row],[Fecha Fin Contrato]]&lt;$D$3,DATOS_[[#This Row],[Fecha Fin Contrato]]&lt;&gt;""),DATOS_[[#This Row],[Fecha de Contratación]]&gt;$D$4),"Fuera","Dentro")</f>
        <v>Dentro</v>
      </c>
      <c r="BS996" s="137" t="str">
        <f aca="false" t="array" ref="BS996:BS996">IF(MAX(IF(DATOS_[id]=DATOS_[[#This Row],[id]],DATOS_[F.fin.cal]))=DATOS_[[#This Row],[F.fin.cal]],"Sí","NO")</f>
        <v>Sí</v>
      </c>
      <c r="BT996" s="137" t="str">
        <f aca="false">IF(AND(DATOS_[[#This Row],[% normaliz]]&lt;&gt;1,DATOS_[[#This Row],[% anualiz]]=1),"Sí","NO")</f>
        <v>Sí</v>
      </c>
      <c r="BU996" s="137" t="str">
        <f aca="false">IF(AND(DATOS_[[#This Row],[% normaliz]]=1,DATOS_[[#This Row],[% anualiz]]&lt;&gt;1),"Sí","NO")</f>
        <v>NO</v>
      </c>
      <c r="BV996" s="137" t="str">
        <f aca="false">IF(AND(DATOS_[[#This Row],[% normaliz]]&lt;&gt;1,DATOS_[[#This Row],[% anualiz]]&lt;&gt;1),"Sí","NO")</f>
        <v>NO</v>
      </c>
      <c r="BW996" s="137" t="str">
        <f aca="false">+IF(DATOS_[[#This Row],[% normaliz]]*DATOS_[[#This Row],[% anualiz]]=1,"NO","Sí")</f>
        <v>Sí</v>
      </c>
      <c r="BX996" s="138" t="e">
        <f aca="false">(DATOS_[[#This Row],[S.BASE]]*(1/DATOS_[[#This Row],[% normaliz]])*(1/DATOS_[[#This Row],[% anualiz]]))*IF(DATOS_[[#This Row],[Check Equiparado]]="Sí",1,0)</f>
        <v>#DIV/0!</v>
      </c>
      <c r="BY99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6" s="138" t="e">
        <f aca="false">+DATOS_[[#This Row],[SALARIO BASE Eq]]+DATOS_[[#This Row],[Tot COMPL.SAL Eq]]</f>
        <v>#DIV/0!</v>
      </c>
      <c r="CA996" s="138" t="e">
        <f aca="false" t="array" ref="CA996:CA9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6" s="138" t="e">
        <f aca="false">+DATOS_[[#This Row],[TOTAL SALARIO Eq]]+DATOS_[[#This Row],[Tot Extrasalarial Eq]]</f>
        <v>#DIV/0!</v>
      </c>
      <c r="CC996" s="139" t="n">
        <f aca="false">DATOS_[[#This Row],[S.BASE]]</f>
        <v>0</v>
      </c>
      <c r="CD996" s="139" t="n">
        <f aca="false">+SUM(DATOS_[[#This Row],[Conc.Sal.01]:[Conc.Sal.30]])</f>
        <v>0</v>
      </c>
      <c r="CE996" s="139" t="n">
        <f aca="false">+DATOS_[[#This Row],[SALARIO BASE Ef]]+DATOS_[[#This Row],[Tot COMPL.SAL Ef]]</f>
        <v>0</v>
      </c>
      <c r="CF996" s="139" t="n">
        <f aca="false">+SUM(DATOS_[[#This Row],[C.Extra.01]:[C.Extra.05]])</f>
        <v>0</v>
      </c>
      <c r="CG996" s="139" t="n">
        <f aca="false">+DATOS_[[#This Row],[TOTAL SALARIO Ef]]+DATOS_[[#This Row],[Tot Extrasalarial Ef]]</f>
        <v>0</v>
      </c>
      <c r="CH996" s="140" t="n">
        <f aca="false">MIN(IF(DATOS_[[#This Row],[Fecha Fin Contrato]]="",$D$4,DATOS_[[#This Row],[Fecha Fin Contrato]]),$D$4)-MAX(DATOS_[[#This Row],[Fecha de Contratación]],$D$3)+1</f>
        <v>1</v>
      </c>
      <c r="CI996" s="141" t="str">
        <f aca="false">IF(COUNTIFS(DATOS_[id],DATOS_[[#This Row],[id]])&gt;1,DATOS_[[#This Row],[id]],"")</f>
        <v/>
      </c>
      <c r="CJ996" s="141" t="n">
        <f aca="false">(Inicio!$G$10-DATOS_[[#This Row],[Fecha Nacimiento]])/365.25</f>
        <v>0</v>
      </c>
      <c r="CK996" s="141" t="n">
        <f aca="false">(Inicio!$G$10-DATOS_[[#This Row],[Fecha de Antigüedad]])/365.25</f>
        <v>0</v>
      </c>
      <c r="CL996" s="141" t="e">
        <f aca="false">+VLOOKUP(DATOS_[[#This Row],[Clave de Contrato]],TblTiposContrato13[],3,0)</f>
        <v>#N/A</v>
      </c>
      <c r="CM996" s="141" t="e">
        <f aca="false">+VLOOKUP(DATOS_[[#This Row],[Clave de Contrato]],TblTiposContrato13[],4,0)</f>
        <v>#N/A</v>
      </c>
      <c r="CN996" s="141" t="str">
        <f aca="false">VLOOKUP(DATOS_[[#This Row],[Edad]],CONTRATOS!TblRngEdad,2,1)</f>
        <v>20  o menos</v>
      </c>
      <c r="CO996" s="141" t="str">
        <f aca="false">VLOOKUP(DATOS_[[#This Row],[Antigüedad]],TblRngAntg14[],2,1)</f>
        <v>0 a 1 años</v>
      </c>
    </row>
    <row r="997" customFormat="false" ht="13.8" hidden="false" customHeight="false" outlineLevel="0" collapsed="false">
      <c r="D997" s="128"/>
      <c r="E997" s="129"/>
      <c r="F997" s="129"/>
      <c r="G997" s="129"/>
      <c r="H997" s="130"/>
      <c r="I997" s="131"/>
      <c r="J997" s="128"/>
      <c r="K997" s="132"/>
      <c r="L997" s="132"/>
      <c r="M997" s="133"/>
      <c r="N997" s="133"/>
      <c r="O997" s="133"/>
      <c r="P997" s="129"/>
      <c r="Z997" s="75"/>
      <c r="AA997" s="76"/>
      <c r="AB997" s="76"/>
      <c r="AC997" s="129"/>
      <c r="AD997" s="134"/>
      <c r="AE997" s="134"/>
      <c r="AF997" s="134"/>
      <c r="AG997" s="134"/>
      <c r="AH997" s="134"/>
      <c r="AI997" s="134"/>
      <c r="AJ997" s="134"/>
      <c r="AK997" s="134"/>
      <c r="AL997" s="134"/>
      <c r="AM997" s="134"/>
      <c r="AN997" s="134"/>
      <c r="AO997" s="134"/>
      <c r="AP997" s="134"/>
      <c r="AQ997" s="134"/>
      <c r="AR997" s="134"/>
      <c r="AS997" s="134"/>
      <c r="AT997" s="134"/>
      <c r="AU997" s="134"/>
      <c r="AV997" s="134"/>
      <c r="AW997" s="134"/>
      <c r="AX997" s="134"/>
      <c r="AY997" s="134"/>
      <c r="AZ997" s="134"/>
      <c r="BA997" s="134"/>
      <c r="BB997" s="134"/>
      <c r="BC997" s="134"/>
      <c r="BD997" s="134"/>
      <c r="BE997" s="134"/>
      <c r="BF997" s="134"/>
      <c r="BG997" s="134"/>
      <c r="BH997" s="134"/>
      <c r="BI997" s="134"/>
      <c r="BJ997" s="134"/>
      <c r="BK997" s="134"/>
      <c r="BL997" s="134"/>
      <c r="BM997" s="135"/>
      <c r="BN997" s="136" t="n">
        <f aca="false">+MAX($D$3,DATOS_[[#This Row],[Fecha Inicio Sit. Contract.]])</f>
        <v>0</v>
      </c>
      <c r="BO997" s="136" t="n">
        <f aca="false">+MIN($D$4,DATOS_[[#This Row],[Fecha Fin Sit. Contract.]])</f>
        <v>0</v>
      </c>
      <c r="BP997" s="137" t="n">
        <f aca="false">+DATOS_[[#This Row],[% de jornada]]*IF(DATOS_[[#This Row],[% jornada reducida]]="",1,DATOS_[[#This Row],[% jornada reducida]])</f>
        <v>0</v>
      </c>
      <c r="BQ997" s="137" t="n">
        <f aca="false">+(DATOS_[[#This Row],[F.fin.cal]]-DATOS_[[#This Row],[F.ini.cal]]+1)/($D$4-$D$3+1)</f>
        <v>1</v>
      </c>
      <c r="BR997" s="137" t="str">
        <f aca="false">IF(OR(AND(DATOS_[[#This Row],[Fecha Fin Contrato]]&lt;$D$3,DATOS_[[#This Row],[Fecha Fin Contrato]]&lt;&gt;""),DATOS_[[#This Row],[Fecha de Contratación]]&gt;$D$4),"Fuera","Dentro")</f>
        <v>Dentro</v>
      </c>
      <c r="BS997" s="137" t="str">
        <f aca="false" t="array" ref="BS997:BS997">IF(MAX(IF(DATOS_[id]=DATOS_[[#This Row],[id]],DATOS_[F.fin.cal]))=DATOS_[[#This Row],[F.fin.cal]],"Sí","NO")</f>
        <v>Sí</v>
      </c>
      <c r="BT997" s="137" t="str">
        <f aca="false">IF(AND(DATOS_[[#This Row],[% normaliz]]&lt;&gt;1,DATOS_[[#This Row],[% anualiz]]=1),"Sí","NO")</f>
        <v>Sí</v>
      </c>
      <c r="BU997" s="137" t="str">
        <f aca="false">IF(AND(DATOS_[[#This Row],[% normaliz]]=1,DATOS_[[#This Row],[% anualiz]]&lt;&gt;1),"Sí","NO")</f>
        <v>NO</v>
      </c>
      <c r="BV997" s="137" t="str">
        <f aca="false">IF(AND(DATOS_[[#This Row],[% normaliz]]&lt;&gt;1,DATOS_[[#This Row],[% anualiz]]&lt;&gt;1),"Sí","NO")</f>
        <v>NO</v>
      </c>
      <c r="BW997" s="137" t="str">
        <f aca="false">+IF(DATOS_[[#This Row],[% normaliz]]*DATOS_[[#This Row],[% anualiz]]=1,"NO","Sí")</f>
        <v>Sí</v>
      </c>
      <c r="BX997" s="138" t="e">
        <f aca="false">(DATOS_[[#This Row],[S.BASE]]*(1/DATOS_[[#This Row],[% normaliz]])*(1/DATOS_[[#This Row],[% anualiz]]))*IF(DATOS_[[#This Row],[Check Equiparado]]="Sí",1,0)</f>
        <v>#DIV/0!</v>
      </c>
      <c r="BY99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7" s="138" t="e">
        <f aca="false">+DATOS_[[#This Row],[SALARIO BASE Eq]]+DATOS_[[#This Row],[Tot COMPL.SAL Eq]]</f>
        <v>#DIV/0!</v>
      </c>
      <c r="CA997" s="138" t="e">
        <f aca="false" t="array" ref="CA997:CA9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7" s="138" t="e">
        <f aca="false">+DATOS_[[#This Row],[TOTAL SALARIO Eq]]+DATOS_[[#This Row],[Tot Extrasalarial Eq]]</f>
        <v>#DIV/0!</v>
      </c>
      <c r="CC997" s="139" t="n">
        <f aca="false">DATOS_[[#This Row],[S.BASE]]</f>
        <v>0</v>
      </c>
      <c r="CD997" s="139" t="n">
        <f aca="false">+SUM(DATOS_[[#This Row],[Conc.Sal.01]:[Conc.Sal.30]])</f>
        <v>0</v>
      </c>
      <c r="CE997" s="139" t="n">
        <f aca="false">+DATOS_[[#This Row],[SALARIO BASE Ef]]+DATOS_[[#This Row],[Tot COMPL.SAL Ef]]</f>
        <v>0</v>
      </c>
      <c r="CF997" s="139" t="n">
        <f aca="false">+SUM(DATOS_[[#This Row],[C.Extra.01]:[C.Extra.05]])</f>
        <v>0</v>
      </c>
      <c r="CG997" s="139" t="n">
        <f aca="false">+DATOS_[[#This Row],[TOTAL SALARIO Ef]]+DATOS_[[#This Row],[Tot Extrasalarial Ef]]</f>
        <v>0</v>
      </c>
      <c r="CH997" s="140" t="n">
        <f aca="false">MIN(IF(DATOS_[[#This Row],[Fecha Fin Contrato]]="",$D$4,DATOS_[[#This Row],[Fecha Fin Contrato]]),$D$4)-MAX(DATOS_[[#This Row],[Fecha de Contratación]],$D$3)+1</f>
        <v>1</v>
      </c>
      <c r="CI997" s="141" t="str">
        <f aca="false">IF(COUNTIFS(DATOS_[id],DATOS_[[#This Row],[id]])&gt;1,DATOS_[[#This Row],[id]],"")</f>
        <v/>
      </c>
      <c r="CJ997" s="141" t="n">
        <f aca="false">(Inicio!$G$10-DATOS_[[#This Row],[Fecha Nacimiento]])/365.25</f>
        <v>0</v>
      </c>
      <c r="CK997" s="141" t="n">
        <f aca="false">(Inicio!$G$10-DATOS_[[#This Row],[Fecha de Antigüedad]])/365.25</f>
        <v>0</v>
      </c>
      <c r="CL997" s="141" t="e">
        <f aca="false">+VLOOKUP(DATOS_[[#This Row],[Clave de Contrato]],TblTiposContrato13[],3,0)</f>
        <v>#N/A</v>
      </c>
      <c r="CM997" s="141" t="e">
        <f aca="false">+VLOOKUP(DATOS_[[#This Row],[Clave de Contrato]],TblTiposContrato13[],4,0)</f>
        <v>#N/A</v>
      </c>
      <c r="CN997" s="141" t="str">
        <f aca="false">VLOOKUP(DATOS_[[#This Row],[Edad]],CONTRATOS!TblRngEdad,2,1)</f>
        <v>20  o menos</v>
      </c>
      <c r="CO997" s="141" t="str">
        <f aca="false">VLOOKUP(DATOS_[[#This Row],[Antigüedad]],TblRngAntg14[],2,1)</f>
        <v>0 a 1 años</v>
      </c>
    </row>
    <row r="998" customFormat="false" ht="13.8" hidden="false" customHeight="false" outlineLevel="0" collapsed="false">
      <c r="D998" s="128"/>
      <c r="E998" s="129"/>
      <c r="F998" s="129"/>
      <c r="G998" s="129"/>
      <c r="H998" s="130"/>
      <c r="I998" s="131"/>
      <c r="J998" s="128"/>
      <c r="K998" s="132"/>
      <c r="L998" s="132"/>
      <c r="M998" s="133"/>
      <c r="N998" s="133"/>
      <c r="O998" s="133"/>
      <c r="P998" s="129"/>
      <c r="Z998" s="75"/>
      <c r="AA998" s="76"/>
      <c r="AB998" s="76"/>
      <c r="AC998" s="129"/>
      <c r="AD998" s="134"/>
      <c r="AE998" s="134"/>
      <c r="AF998" s="134"/>
      <c r="AG998" s="134"/>
      <c r="AH998" s="134"/>
      <c r="AI998" s="134"/>
      <c r="AJ998" s="134"/>
      <c r="AK998" s="134"/>
      <c r="AL998" s="134"/>
      <c r="AM998" s="134"/>
      <c r="AN998" s="134"/>
      <c r="AO998" s="134"/>
      <c r="AP998" s="134"/>
      <c r="AQ998" s="134"/>
      <c r="AR998" s="134"/>
      <c r="AS998" s="134"/>
      <c r="AT998" s="134"/>
      <c r="AU998" s="134"/>
      <c r="AV998" s="134"/>
      <c r="AW998" s="134"/>
      <c r="AX998" s="134"/>
      <c r="AY998" s="134"/>
      <c r="AZ998" s="134"/>
      <c r="BA998" s="134"/>
      <c r="BB998" s="134"/>
      <c r="BC998" s="134"/>
      <c r="BD998" s="134"/>
      <c r="BE998" s="134"/>
      <c r="BF998" s="134"/>
      <c r="BG998" s="134"/>
      <c r="BH998" s="134"/>
      <c r="BI998" s="134"/>
      <c r="BJ998" s="134"/>
      <c r="BK998" s="134"/>
      <c r="BL998" s="134"/>
      <c r="BM998" s="135"/>
      <c r="BN998" s="136" t="n">
        <f aca="false">+MAX($D$3,DATOS_[[#This Row],[Fecha Inicio Sit. Contract.]])</f>
        <v>0</v>
      </c>
      <c r="BO998" s="136" t="n">
        <f aca="false">+MIN($D$4,DATOS_[[#This Row],[Fecha Fin Sit. Contract.]])</f>
        <v>0</v>
      </c>
      <c r="BP998" s="137" t="n">
        <f aca="false">+DATOS_[[#This Row],[% de jornada]]*IF(DATOS_[[#This Row],[% jornada reducida]]="",1,DATOS_[[#This Row],[% jornada reducida]])</f>
        <v>0</v>
      </c>
      <c r="BQ998" s="137" t="n">
        <f aca="false">+(DATOS_[[#This Row],[F.fin.cal]]-DATOS_[[#This Row],[F.ini.cal]]+1)/($D$4-$D$3+1)</f>
        <v>1</v>
      </c>
      <c r="BR998" s="137" t="str">
        <f aca="false">IF(OR(AND(DATOS_[[#This Row],[Fecha Fin Contrato]]&lt;$D$3,DATOS_[[#This Row],[Fecha Fin Contrato]]&lt;&gt;""),DATOS_[[#This Row],[Fecha de Contratación]]&gt;$D$4),"Fuera","Dentro")</f>
        <v>Dentro</v>
      </c>
      <c r="BS998" s="137" t="str">
        <f aca="false" t="array" ref="BS998:BS998">IF(MAX(IF(DATOS_[id]=DATOS_[[#This Row],[id]],DATOS_[F.fin.cal]))=DATOS_[[#This Row],[F.fin.cal]],"Sí","NO")</f>
        <v>Sí</v>
      </c>
      <c r="BT998" s="137" t="str">
        <f aca="false">IF(AND(DATOS_[[#This Row],[% normaliz]]&lt;&gt;1,DATOS_[[#This Row],[% anualiz]]=1),"Sí","NO")</f>
        <v>Sí</v>
      </c>
      <c r="BU998" s="137" t="str">
        <f aca="false">IF(AND(DATOS_[[#This Row],[% normaliz]]=1,DATOS_[[#This Row],[% anualiz]]&lt;&gt;1),"Sí","NO")</f>
        <v>NO</v>
      </c>
      <c r="BV998" s="137" t="str">
        <f aca="false">IF(AND(DATOS_[[#This Row],[% normaliz]]&lt;&gt;1,DATOS_[[#This Row],[% anualiz]]&lt;&gt;1),"Sí","NO")</f>
        <v>NO</v>
      </c>
      <c r="BW998" s="137" t="str">
        <f aca="false">+IF(DATOS_[[#This Row],[% normaliz]]*DATOS_[[#This Row],[% anualiz]]=1,"NO","Sí")</f>
        <v>Sí</v>
      </c>
      <c r="BX998" s="138" t="e">
        <f aca="false">(DATOS_[[#This Row],[S.BASE]]*(1/DATOS_[[#This Row],[% normaliz]])*(1/DATOS_[[#This Row],[% anualiz]]))*IF(DATOS_[[#This Row],[Check Equiparado]]="Sí",1,0)</f>
        <v>#DIV/0!</v>
      </c>
      <c r="BY99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8" s="138" t="e">
        <f aca="false">+DATOS_[[#This Row],[SALARIO BASE Eq]]+DATOS_[[#This Row],[Tot COMPL.SAL Eq]]</f>
        <v>#DIV/0!</v>
      </c>
      <c r="CA998" s="138" t="e">
        <f aca="false" t="array" ref="CA998:CA9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8" s="138" t="e">
        <f aca="false">+DATOS_[[#This Row],[TOTAL SALARIO Eq]]+DATOS_[[#This Row],[Tot Extrasalarial Eq]]</f>
        <v>#DIV/0!</v>
      </c>
      <c r="CC998" s="139" t="n">
        <f aca="false">DATOS_[[#This Row],[S.BASE]]</f>
        <v>0</v>
      </c>
      <c r="CD998" s="139" t="n">
        <f aca="false">+SUM(DATOS_[[#This Row],[Conc.Sal.01]:[Conc.Sal.30]])</f>
        <v>0</v>
      </c>
      <c r="CE998" s="139" t="n">
        <f aca="false">+DATOS_[[#This Row],[SALARIO BASE Ef]]+DATOS_[[#This Row],[Tot COMPL.SAL Ef]]</f>
        <v>0</v>
      </c>
      <c r="CF998" s="139" t="n">
        <f aca="false">+SUM(DATOS_[[#This Row],[C.Extra.01]:[C.Extra.05]])</f>
        <v>0</v>
      </c>
      <c r="CG998" s="139" t="n">
        <f aca="false">+DATOS_[[#This Row],[TOTAL SALARIO Ef]]+DATOS_[[#This Row],[Tot Extrasalarial Ef]]</f>
        <v>0</v>
      </c>
      <c r="CH998" s="140" t="n">
        <f aca="false">MIN(IF(DATOS_[[#This Row],[Fecha Fin Contrato]]="",$D$4,DATOS_[[#This Row],[Fecha Fin Contrato]]),$D$4)-MAX(DATOS_[[#This Row],[Fecha de Contratación]],$D$3)+1</f>
        <v>1</v>
      </c>
      <c r="CI998" s="141" t="str">
        <f aca="false">IF(COUNTIFS(DATOS_[id],DATOS_[[#This Row],[id]])&gt;1,DATOS_[[#This Row],[id]],"")</f>
        <v/>
      </c>
      <c r="CJ998" s="141" t="n">
        <f aca="false">(Inicio!$G$10-DATOS_[[#This Row],[Fecha Nacimiento]])/365.25</f>
        <v>0</v>
      </c>
      <c r="CK998" s="141" t="n">
        <f aca="false">(Inicio!$G$10-DATOS_[[#This Row],[Fecha de Antigüedad]])/365.25</f>
        <v>0</v>
      </c>
      <c r="CL998" s="141" t="e">
        <f aca="false">+VLOOKUP(DATOS_[[#This Row],[Clave de Contrato]],TblTiposContrato13[],3,0)</f>
        <v>#N/A</v>
      </c>
      <c r="CM998" s="141" t="e">
        <f aca="false">+VLOOKUP(DATOS_[[#This Row],[Clave de Contrato]],TblTiposContrato13[],4,0)</f>
        <v>#N/A</v>
      </c>
      <c r="CN998" s="141" t="str">
        <f aca="false">VLOOKUP(DATOS_[[#This Row],[Edad]],CONTRATOS!TblRngEdad,2,1)</f>
        <v>20  o menos</v>
      </c>
      <c r="CO998" s="141" t="str">
        <f aca="false">VLOOKUP(DATOS_[[#This Row],[Antigüedad]],TblRngAntg14[],2,1)</f>
        <v>0 a 1 años</v>
      </c>
    </row>
    <row r="999" customFormat="false" ht="13.8" hidden="false" customHeight="false" outlineLevel="0" collapsed="false">
      <c r="D999" s="128"/>
      <c r="E999" s="129"/>
      <c r="F999" s="129"/>
      <c r="G999" s="129"/>
      <c r="H999" s="130"/>
      <c r="I999" s="131"/>
      <c r="J999" s="128"/>
      <c r="K999" s="132"/>
      <c r="L999" s="132"/>
      <c r="M999" s="133"/>
      <c r="N999" s="133"/>
      <c r="O999" s="133"/>
      <c r="P999" s="129"/>
      <c r="Z999" s="75"/>
      <c r="AA999" s="76"/>
      <c r="AB999" s="76"/>
      <c r="AC999" s="129"/>
      <c r="AD999" s="134"/>
      <c r="AE999" s="134"/>
      <c r="AF999" s="134"/>
      <c r="AG999" s="134"/>
      <c r="AH999" s="134"/>
      <c r="AI999" s="134"/>
      <c r="AJ999" s="134"/>
      <c r="AK999" s="134"/>
      <c r="AL999" s="134"/>
      <c r="AM999" s="134"/>
      <c r="AN999" s="134"/>
      <c r="AO999" s="134"/>
      <c r="AP999" s="134"/>
      <c r="AQ999" s="134"/>
      <c r="AR999" s="134"/>
      <c r="AS999" s="134"/>
      <c r="AT999" s="134"/>
      <c r="AU999" s="134"/>
      <c r="AV999" s="134"/>
      <c r="AW999" s="134"/>
      <c r="AX999" s="134"/>
      <c r="AY999" s="134"/>
      <c r="AZ999" s="134"/>
      <c r="BA999" s="134"/>
      <c r="BB999" s="134"/>
      <c r="BC999" s="134"/>
      <c r="BD999" s="134"/>
      <c r="BE999" s="134"/>
      <c r="BF999" s="134"/>
      <c r="BG999" s="134"/>
      <c r="BH999" s="134"/>
      <c r="BI999" s="134"/>
      <c r="BJ999" s="134"/>
      <c r="BK999" s="134"/>
      <c r="BL999" s="134"/>
      <c r="BM999" s="135"/>
      <c r="BN999" s="136" t="n">
        <f aca="false">+MAX($D$3,DATOS_[[#This Row],[Fecha Inicio Sit. Contract.]])</f>
        <v>0</v>
      </c>
      <c r="BO999" s="136" t="n">
        <f aca="false">+MIN($D$4,DATOS_[[#This Row],[Fecha Fin Sit. Contract.]])</f>
        <v>0</v>
      </c>
      <c r="BP999" s="137" t="n">
        <f aca="false">+DATOS_[[#This Row],[% de jornada]]*IF(DATOS_[[#This Row],[% jornada reducida]]="",1,DATOS_[[#This Row],[% jornada reducida]])</f>
        <v>0</v>
      </c>
      <c r="BQ999" s="137" t="n">
        <f aca="false">+(DATOS_[[#This Row],[F.fin.cal]]-DATOS_[[#This Row],[F.ini.cal]]+1)/($D$4-$D$3+1)</f>
        <v>1</v>
      </c>
      <c r="BR999" s="137" t="str">
        <f aca="false">IF(OR(AND(DATOS_[[#This Row],[Fecha Fin Contrato]]&lt;$D$3,DATOS_[[#This Row],[Fecha Fin Contrato]]&lt;&gt;""),DATOS_[[#This Row],[Fecha de Contratación]]&gt;$D$4),"Fuera","Dentro")</f>
        <v>Dentro</v>
      </c>
      <c r="BS999" s="137" t="str">
        <f aca="false" t="array" ref="BS999:BS999">IF(MAX(IF(DATOS_[id]=DATOS_[[#This Row],[id]],DATOS_[F.fin.cal]))=DATOS_[[#This Row],[F.fin.cal]],"Sí","NO")</f>
        <v>Sí</v>
      </c>
      <c r="BT999" s="137" t="str">
        <f aca="false">IF(AND(DATOS_[[#This Row],[% normaliz]]&lt;&gt;1,DATOS_[[#This Row],[% anualiz]]=1),"Sí","NO")</f>
        <v>Sí</v>
      </c>
      <c r="BU999" s="137" t="str">
        <f aca="false">IF(AND(DATOS_[[#This Row],[% normaliz]]=1,DATOS_[[#This Row],[% anualiz]]&lt;&gt;1),"Sí","NO")</f>
        <v>NO</v>
      </c>
      <c r="BV999" s="137" t="str">
        <f aca="false">IF(AND(DATOS_[[#This Row],[% normaliz]]&lt;&gt;1,DATOS_[[#This Row],[% anualiz]]&lt;&gt;1),"Sí","NO")</f>
        <v>NO</v>
      </c>
      <c r="BW999" s="137" t="str">
        <f aca="false">+IF(DATOS_[[#This Row],[% normaliz]]*DATOS_[[#This Row],[% anualiz]]=1,"NO","Sí")</f>
        <v>Sí</v>
      </c>
      <c r="BX999" s="138" t="e">
        <f aca="false">(DATOS_[[#This Row],[S.BASE]]*(1/DATOS_[[#This Row],[% normaliz]])*(1/DATOS_[[#This Row],[% anualiz]]))*IF(DATOS_[[#This Row],[Check Equiparado]]="Sí",1,0)</f>
        <v>#DIV/0!</v>
      </c>
      <c r="BY999"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9" s="138" t="e">
        <f aca="false">+DATOS_[[#This Row],[SALARIO BASE Eq]]+DATOS_[[#This Row],[Tot COMPL.SAL Eq]]</f>
        <v>#DIV/0!</v>
      </c>
      <c r="CA999" s="138" t="e">
        <f aca="false" t="array" ref="CA999:CA9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9" s="138" t="e">
        <f aca="false">+DATOS_[[#This Row],[TOTAL SALARIO Eq]]+DATOS_[[#This Row],[Tot Extrasalarial Eq]]</f>
        <v>#DIV/0!</v>
      </c>
      <c r="CC999" s="139" t="n">
        <f aca="false">DATOS_[[#This Row],[S.BASE]]</f>
        <v>0</v>
      </c>
      <c r="CD999" s="139" t="n">
        <f aca="false">+SUM(DATOS_[[#This Row],[Conc.Sal.01]:[Conc.Sal.30]])</f>
        <v>0</v>
      </c>
      <c r="CE999" s="139" t="n">
        <f aca="false">+DATOS_[[#This Row],[SALARIO BASE Ef]]+DATOS_[[#This Row],[Tot COMPL.SAL Ef]]</f>
        <v>0</v>
      </c>
      <c r="CF999" s="139" t="n">
        <f aca="false">+SUM(DATOS_[[#This Row],[C.Extra.01]:[C.Extra.05]])</f>
        <v>0</v>
      </c>
      <c r="CG999" s="139" t="n">
        <f aca="false">+DATOS_[[#This Row],[TOTAL SALARIO Ef]]+DATOS_[[#This Row],[Tot Extrasalarial Ef]]</f>
        <v>0</v>
      </c>
      <c r="CH999" s="140" t="n">
        <f aca="false">MIN(IF(DATOS_[[#This Row],[Fecha Fin Contrato]]="",$D$4,DATOS_[[#This Row],[Fecha Fin Contrato]]),$D$4)-MAX(DATOS_[[#This Row],[Fecha de Contratación]],$D$3)+1</f>
        <v>1</v>
      </c>
      <c r="CI999" s="141" t="str">
        <f aca="false">IF(COUNTIFS(DATOS_[id],DATOS_[[#This Row],[id]])&gt;1,DATOS_[[#This Row],[id]],"")</f>
        <v/>
      </c>
      <c r="CJ999" s="141" t="n">
        <f aca="false">(Inicio!$G$10-DATOS_[[#This Row],[Fecha Nacimiento]])/365.25</f>
        <v>0</v>
      </c>
      <c r="CK999" s="141" t="n">
        <f aca="false">(Inicio!$G$10-DATOS_[[#This Row],[Fecha de Antigüedad]])/365.25</f>
        <v>0</v>
      </c>
      <c r="CL999" s="141" t="e">
        <f aca="false">+VLOOKUP(DATOS_[[#This Row],[Clave de Contrato]],TblTiposContrato13[],3,0)</f>
        <v>#N/A</v>
      </c>
      <c r="CM999" s="141" t="e">
        <f aca="false">+VLOOKUP(DATOS_[[#This Row],[Clave de Contrato]],TblTiposContrato13[],4,0)</f>
        <v>#N/A</v>
      </c>
      <c r="CN999" s="141" t="str">
        <f aca="false">VLOOKUP(DATOS_[[#This Row],[Edad]],CONTRATOS!TblRngEdad,2,1)</f>
        <v>20  o menos</v>
      </c>
      <c r="CO999" s="141" t="str">
        <f aca="false">VLOOKUP(DATOS_[[#This Row],[Antigüedad]],TblRngAntg14[],2,1)</f>
        <v>0 a 1 años</v>
      </c>
    </row>
    <row r="1000" customFormat="false" ht="13.8" hidden="false" customHeight="false" outlineLevel="0" collapsed="false">
      <c r="D1000" s="128"/>
      <c r="E1000" s="129"/>
      <c r="F1000" s="129"/>
      <c r="G1000" s="129"/>
      <c r="H1000" s="130"/>
      <c r="I1000" s="131"/>
      <c r="J1000" s="128"/>
      <c r="K1000" s="132"/>
      <c r="L1000" s="132"/>
      <c r="M1000" s="133"/>
      <c r="N1000" s="133"/>
      <c r="O1000" s="133"/>
      <c r="P1000" s="129"/>
      <c r="Z1000" s="75"/>
      <c r="AA1000" s="76"/>
      <c r="AB1000" s="76"/>
      <c r="AC1000" s="129"/>
      <c r="AD1000" s="134"/>
      <c r="AE1000" s="134"/>
      <c r="AF1000" s="134"/>
      <c r="AG1000" s="134"/>
      <c r="AH1000" s="134"/>
      <c r="AI1000" s="134"/>
      <c r="AJ1000" s="134"/>
      <c r="AK1000" s="134"/>
      <c r="AL1000" s="134"/>
      <c r="AM1000" s="134"/>
      <c r="AN1000" s="134"/>
      <c r="AO1000" s="134"/>
      <c r="AP1000" s="134"/>
      <c r="AQ1000" s="134"/>
      <c r="AR1000" s="134"/>
      <c r="AS1000" s="134"/>
      <c r="AT1000" s="134"/>
      <c r="AU1000" s="134"/>
      <c r="AV1000" s="134"/>
      <c r="AW1000" s="134"/>
      <c r="AX1000" s="134"/>
      <c r="AY1000" s="134"/>
      <c r="AZ1000" s="134"/>
      <c r="BA1000" s="134"/>
      <c r="BB1000" s="134"/>
      <c r="BC1000" s="134"/>
      <c r="BD1000" s="134"/>
      <c r="BE1000" s="134"/>
      <c r="BF1000" s="134"/>
      <c r="BG1000" s="134"/>
      <c r="BH1000" s="134"/>
      <c r="BI1000" s="134"/>
      <c r="BJ1000" s="134"/>
      <c r="BK1000" s="134"/>
      <c r="BL1000" s="134"/>
      <c r="BM1000" s="135"/>
      <c r="BN1000" s="136" t="n">
        <f aca="false">+MAX($D$3,DATOS_[[#This Row],[Fecha Inicio Sit. Contract.]])</f>
        <v>0</v>
      </c>
      <c r="BO1000" s="136" t="n">
        <f aca="false">+MIN($D$4,DATOS_[[#This Row],[Fecha Fin Sit. Contract.]])</f>
        <v>0</v>
      </c>
      <c r="BP1000" s="137" t="n">
        <f aca="false">+DATOS_[[#This Row],[% de jornada]]*IF(DATOS_[[#This Row],[% jornada reducida]]="",1,DATOS_[[#This Row],[% jornada reducida]])</f>
        <v>0</v>
      </c>
      <c r="BQ1000" s="137" t="n">
        <f aca="false">+(DATOS_[[#This Row],[F.fin.cal]]-DATOS_[[#This Row],[F.ini.cal]]+1)/($D$4-$D$3+1)</f>
        <v>1</v>
      </c>
      <c r="BR1000" s="137" t="str">
        <f aca="false">IF(OR(AND(DATOS_[[#This Row],[Fecha Fin Contrato]]&lt;$D$3,DATOS_[[#This Row],[Fecha Fin Contrato]]&lt;&gt;""),DATOS_[[#This Row],[Fecha de Contratación]]&gt;$D$4),"Fuera","Dentro")</f>
        <v>Dentro</v>
      </c>
      <c r="BS1000" s="137" t="str">
        <f aca="false" t="array" ref="BS1000:BS1000">IF(MAX(IF(DATOS_[id]=DATOS_[[#This Row],[id]],DATOS_[F.fin.cal]))=DATOS_[[#This Row],[F.fin.cal]],"Sí","NO")</f>
        <v>Sí</v>
      </c>
      <c r="BT1000" s="137" t="str">
        <f aca="false">IF(AND(DATOS_[[#This Row],[% normaliz]]&lt;&gt;1,DATOS_[[#This Row],[% anualiz]]=1),"Sí","NO")</f>
        <v>Sí</v>
      </c>
      <c r="BU1000" s="137" t="str">
        <f aca="false">IF(AND(DATOS_[[#This Row],[% normaliz]]=1,DATOS_[[#This Row],[% anualiz]]&lt;&gt;1),"Sí","NO")</f>
        <v>NO</v>
      </c>
      <c r="BV1000" s="137" t="str">
        <f aca="false">IF(AND(DATOS_[[#This Row],[% normaliz]]&lt;&gt;1,DATOS_[[#This Row],[% anualiz]]&lt;&gt;1),"Sí","NO")</f>
        <v>NO</v>
      </c>
      <c r="BW1000" s="137" t="str">
        <f aca="false">+IF(DATOS_[[#This Row],[% normaliz]]*DATOS_[[#This Row],[% anualiz]]=1,"NO","Sí")</f>
        <v>Sí</v>
      </c>
      <c r="BX1000" s="138" t="e">
        <f aca="false">(DATOS_[[#This Row],[S.BASE]]*(1/DATOS_[[#This Row],[% normaliz]])*(1/DATOS_[[#This Row],[% anualiz]]))*IF(DATOS_[[#This Row],[Check Equiparado]]="Sí",1,0)</f>
        <v>#DIV/0!</v>
      </c>
      <c r="BY1000"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0" s="138" t="e">
        <f aca="false">+DATOS_[[#This Row],[SALARIO BASE Eq]]+DATOS_[[#This Row],[Tot COMPL.SAL Eq]]</f>
        <v>#DIV/0!</v>
      </c>
      <c r="CA1000" s="138" t="e">
        <f aca="false" t="array" ref="CA1000:CA10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0" s="138" t="e">
        <f aca="false">+DATOS_[[#This Row],[TOTAL SALARIO Eq]]+DATOS_[[#This Row],[Tot Extrasalarial Eq]]</f>
        <v>#DIV/0!</v>
      </c>
      <c r="CC1000" s="139" t="n">
        <f aca="false">DATOS_[[#This Row],[S.BASE]]</f>
        <v>0</v>
      </c>
      <c r="CD1000" s="139" t="n">
        <f aca="false">+SUM(DATOS_[[#This Row],[Conc.Sal.01]:[Conc.Sal.30]])</f>
        <v>0</v>
      </c>
      <c r="CE1000" s="139" t="n">
        <f aca="false">+DATOS_[[#This Row],[SALARIO BASE Ef]]+DATOS_[[#This Row],[Tot COMPL.SAL Ef]]</f>
        <v>0</v>
      </c>
      <c r="CF1000" s="139" t="n">
        <f aca="false">+SUM(DATOS_[[#This Row],[C.Extra.01]:[C.Extra.05]])</f>
        <v>0</v>
      </c>
      <c r="CG1000" s="139" t="n">
        <f aca="false">+DATOS_[[#This Row],[TOTAL SALARIO Ef]]+DATOS_[[#This Row],[Tot Extrasalarial Ef]]</f>
        <v>0</v>
      </c>
      <c r="CH1000" s="140" t="n">
        <f aca="false">MIN(IF(DATOS_[[#This Row],[Fecha Fin Contrato]]="",$D$4,DATOS_[[#This Row],[Fecha Fin Contrato]]),$D$4)-MAX(DATOS_[[#This Row],[Fecha de Contratación]],$D$3)+1</f>
        <v>1</v>
      </c>
      <c r="CI1000" s="141" t="str">
        <f aca="false">IF(COUNTIFS(DATOS_[id],DATOS_[[#This Row],[id]])&gt;1,DATOS_[[#This Row],[id]],"")</f>
        <v/>
      </c>
      <c r="CJ1000" s="141" t="n">
        <f aca="false">(Inicio!$G$10-DATOS_[[#This Row],[Fecha Nacimiento]])/365.25</f>
        <v>0</v>
      </c>
      <c r="CK1000" s="141" t="n">
        <f aca="false">(Inicio!$G$10-DATOS_[[#This Row],[Fecha de Antigüedad]])/365.25</f>
        <v>0</v>
      </c>
      <c r="CL1000" s="141" t="e">
        <f aca="false">+VLOOKUP(DATOS_[[#This Row],[Clave de Contrato]],TblTiposContrato13[],3,0)</f>
        <v>#N/A</v>
      </c>
      <c r="CM1000" s="141" t="e">
        <f aca="false">+VLOOKUP(DATOS_[[#This Row],[Clave de Contrato]],TblTiposContrato13[],4,0)</f>
        <v>#N/A</v>
      </c>
      <c r="CN1000" s="141" t="str">
        <f aca="false">VLOOKUP(DATOS_[[#This Row],[Edad]],CONTRATOS!TblRngEdad,2,1)</f>
        <v>20  o menos</v>
      </c>
      <c r="CO1000" s="141" t="str">
        <f aca="false">VLOOKUP(DATOS_[[#This Row],[Antigüedad]],TblRngAntg14[],2,1)</f>
        <v>0 a 1 años</v>
      </c>
    </row>
    <row r="1001" customFormat="false" ht="13.8" hidden="false" customHeight="false" outlineLevel="0" collapsed="false">
      <c r="D1001" s="128"/>
      <c r="E1001" s="129"/>
      <c r="F1001" s="129"/>
      <c r="G1001" s="129"/>
      <c r="H1001" s="130"/>
      <c r="I1001" s="131"/>
      <c r="J1001" s="128"/>
      <c r="K1001" s="132"/>
      <c r="L1001" s="132"/>
      <c r="M1001" s="133"/>
      <c r="N1001" s="133"/>
      <c r="O1001" s="133"/>
      <c r="P1001" s="129"/>
      <c r="Z1001" s="75"/>
      <c r="AA1001" s="76"/>
      <c r="AB1001" s="76"/>
      <c r="AC1001" s="129"/>
      <c r="AD1001" s="134"/>
      <c r="AE1001" s="134"/>
      <c r="AF1001" s="134"/>
      <c r="AG1001" s="134"/>
      <c r="AH1001" s="134"/>
      <c r="AI1001" s="134"/>
      <c r="AJ1001" s="134"/>
      <c r="AK1001" s="134"/>
      <c r="AL1001" s="134"/>
      <c r="AM1001" s="134"/>
      <c r="AN1001" s="134"/>
      <c r="AO1001" s="134"/>
      <c r="AP1001" s="134"/>
      <c r="AQ1001" s="134"/>
      <c r="AR1001" s="134"/>
      <c r="AS1001" s="134"/>
      <c r="AT1001" s="134"/>
      <c r="AU1001" s="134"/>
      <c r="AV1001" s="134"/>
      <c r="AW1001" s="134"/>
      <c r="AX1001" s="134"/>
      <c r="AY1001" s="134"/>
      <c r="AZ1001" s="134"/>
      <c r="BA1001" s="134"/>
      <c r="BB1001" s="134"/>
      <c r="BC1001" s="134"/>
      <c r="BD1001" s="134"/>
      <c r="BE1001" s="134"/>
      <c r="BF1001" s="134"/>
      <c r="BG1001" s="134"/>
      <c r="BH1001" s="134"/>
      <c r="BI1001" s="134"/>
      <c r="BJ1001" s="134"/>
      <c r="BK1001" s="134"/>
      <c r="BL1001" s="134"/>
      <c r="BM1001" s="135"/>
      <c r="BN1001" s="136" t="n">
        <f aca="false">+MAX($D$3,DATOS_[[#This Row],[Fecha Inicio Sit. Contract.]])</f>
        <v>0</v>
      </c>
      <c r="BO1001" s="136" t="n">
        <f aca="false">+MIN($D$4,DATOS_[[#This Row],[Fecha Fin Sit. Contract.]])</f>
        <v>0</v>
      </c>
      <c r="BP1001" s="137" t="n">
        <f aca="false">+DATOS_[[#This Row],[% de jornada]]*IF(DATOS_[[#This Row],[% jornada reducida]]="",1,DATOS_[[#This Row],[% jornada reducida]])</f>
        <v>0</v>
      </c>
      <c r="BQ1001" s="137" t="n">
        <f aca="false">+(DATOS_[[#This Row],[F.fin.cal]]-DATOS_[[#This Row],[F.ini.cal]]+1)/($D$4-$D$3+1)</f>
        <v>1</v>
      </c>
      <c r="BR1001" s="137" t="str">
        <f aca="false">IF(OR(AND(DATOS_[[#This Row],[Fecha Fin Contrato]]&lt;$D$3,DATOS_[[#This Row],[Fecha Fin Contrato]]&lt;&gt;""),DATOS_[[#This Row],[Fecha de Contratación]]&gt;$D$4),"Fuera","Dentro")</f>
        <v>Dentro</v>
      </c>
      <c r="BS1001" s="137" t="str">
        <f aca="false" t="array" ref="BS1001:BS1001">IF(MAX(IF(DATOS_[id]=DATOS_[[#This Row],[id]],DATOS_[F.fin.cal]))=DATOS_[[#This Row],[F.fin.cal]],"Sí","NO")</f>
        <v>Sí</v>
      </c>
      <c r="BT1001" s="137" t="str">
        <f aca="false">IF(AND(DATOS_[[#This Row],[% normaliz]]&lt;&gt;1,DATOS_[[#This Row],[% anualiz]]=1),"Sí","NO")</f>
        <v>Sí</v>
      </c>
      <c r="BU1001" s="137" t="str">
        <f aca="false">IF(AND(DATOS_[[#This Row],[% normaliz]]=1,DATOS_[[#This Row],[% anualiz]]&lt;&gt;1),"Sí","NO")</f>
        <v>NO</v>
      </c>
      <c r="BV1001" s="137" t="str">
        <f aca="false">IF(AND(DATOS_[[#This Row],[% normaliz]]&lt;&gt;1,DATOS_[[#This Row],[% anualiz]]&lt;&gt;1),"Sí","NO")</f>
        <v>NO</v>
      </c>
      <c r="BW1001" s="137" t="str">
        <f aca="false">+IF(DATOS_[[#This Row],[% normaliz]]*DATOS_[[#This Row],[% anualiz]]=1,"NO","Sí")</f>
        <v>Sí</v>
      </c>
      <c r="BX1001" s="138" t="e">
        <f aca="false">(DATOS_[[#This Row],[S.BASE]]*(1/DATOS_[[#This Row],[% normaliz]])*(1/DATOS_[[#This Row],[% anualiz]]))*IF(DATOS_[[#This Row],[Check Equiparado]]="Sí",1,0)</f>
        <v>#DIV/0!</v>
      </c>
      <c r="BY1001"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1" s="138" t="e">
        <f aca="false">+DATOS_[[#This Row],[SALARIO BASE Eq]]+DATOS_[[#This Row],[Tot COMPL.SAL Eq]]</f>
        <v>#DIV/0!</v>
      </c>
      <c r="CA1001" s="138" t="e">
        <f aca="false" t="array" ref="CA1001:CA10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1" s="138" t="e">
        <f aca="false">+DATOS_[[#This Row],[TOTAL SALARIO Eq]]+DATOS_[[#This Row],[Tot Extrasalarial Eq]]</f>
        <v>#DIV/0!</v>
      </c>
      <c r="CC1001" s="139" t="n">
        <f aca="false">DATOS_[[#This Row],[S.BASE]]</f>
        <v>0</v>
      </c>
      <c r="CD1001" s="139" t="n">
        <f aca="false">+SUM(DATOS_[[#This Row],[Conc.Sal.01]:[Conc.Sal.30]])</f>
        <v>0</v>
      </c>
      <c r="CE1001" s="139" t="n">
        <f aca="false">+DATOS_[[#This Row],[SALARIO BASE Ef]]+DATOS_[[#This Row],[Tot COMPL.SAL Ef]]</f>
        <v>0</v>
      </c>
      <c r="CF1001" s="139" t="n">
        <f aca="false">+SUM(DATOS_[[#This Row],[C.Extra.01]:[C.Extra.05]])</f>
        <v>0</v>
      </c>
      <c r="CG1001" s="139" t="n">
        <f aca="false">+DATOS_[[#This Row],[TOTAL SALARIO Ef]]+DATOS_[[#This Row],[Tot Extrasalarial Ef]]</f>
        <v>0</v>
      </c>
      <c r="CH1001" s="140" t="n">
        <f aca="false">MIN(IF(DATOS_[[#This Row],[Fecha Fin Contrato]]="",$D$4,DATOS_[[#This Row],[Fecha Fin Contrato]]),$D$4)-MAX(DATOS_[[#This Row],[Fecha de Contratación]],$D$3)+1</f>
        <v>1</v>
      </c>
      <c r="CI1001" s="141" t="str">
        <f aca="false">IF(COUNTIFS(DATOS_[id],DATOS_[[#This Row],[id]])&gt;1,DATOS_[[#This Row],[id]],"")</f>
        <v/>
      </c>
      <c r="CJ1001" s="141" t="n">
        <f aca="false">(Inicio!$G$10-DATOS_[[#This Row],[Fecha Nacimiento]])/365.25</f>
        <v>0</v>
      </c>
      <c r="CK1001" s="141" t="n">
        <f aca="false">(Inicio!$G$10-DATOS_[[#This Row],[Fecha de Antigüedad]])/365.25</f>
        <v>0</v>
      </c>
      <c r="CL1001" s="141" t="e">
        <f aca="false">+VLOOKUP(DATOS_[[#This Row],[Clave de Contrato]],TblTiposContrato13[],3,0)</f>
        <v>#N/A</v>
      </c>
      <c r="CM1001" s="141" t="e">
        <f aca="false">+VLOOKUP(DATOS_[[#This Row],[Clave de Contrato]],TblTiposContrato13[],4,0)</f>
        <v>#N/A</v>
      </c>
      <c r="CN1001" s="141" t="str">
        <f aca="false">VLOOKUP(DATOS_[[#This Row],[Edad]],CONTRATOS!TblRngEdad,2,1)</f>
        <v>20  o menos</v>
      </c>
      <c r="CO1001" s="141" t="str">
        <f aca="false">VLOOKUP(DATOS_[[#This Row],[Antigüedad]],TblRngAntg14[],2,1)</f>
        <v>0 a 1 años</v>
      </c>
    </row>
    <row r="1002" customFormat="false" ht="13.8" hidden="false" customHeight="false" outlineLevel="0" collapsed="false">
      <c r="D1002" s="128"/>
      <c r="E1002" s="129"/>
      <c r="F1002" s="129"/>
      <c r="G1002" s="129"/>
      <c r="H1002" s="130"/>
      <c r="I1002" s="131"/>
      <c r="J1002" s="128"/>
      <c r="K1002" s="132"/>
      <c r="L1002" s="132"/>
      <c r="M1002" s="133"/>
      <c r="N1002" s="133"/>
      <c r="O1002" s="133"/>
      <c r="P1002" s="129"/>
      <c r="Z1002" s="75"/>
      <c r="AA1002" s="76"/>
      <c r="AB1002" s="76"/>
      <c r="AC1002" s="129"/>
      <c r="AD1002" s="134"/>
      <c r="AE1002" s="134"/>
      <c r="AF1002" s="134"/>
      <c r="AG1002" s="134"/>
      <c r="AH1002" s="134"/>
      <c r="AI1002" s="134"/>
      <c r="AJ1002" s="134"/>
      <c r="AK1002" s="134"/>
      <c r="AL1002" s="134"/>
      <c r="AM1002" s="134"/>
      <c r="AN1002" s="134"/>
      <c r="AO1002" s="134"/>
      <c r="AP1002" s="134"/>
      <c r="AQ1002" s="134"/>
      <c r="AR1002" s="134"/>
      <c r="AS1002" s="134"/>
      <c r="AT1002" s="134"/>
      <c r="AU1002" s="134"/>
      <c r="AV1002" s="134"/>
      <c r="AW1002" s="134"/>
      <c r="AX1002" s="134"/>
      <c r="AY1002" s="134"/>
      <c r="AZ1002" s="134"/>
      <c r="BA1002" s="134"/>
      <c r="BB1002" s="134"/>
      <c r="BC1002" s="134"/>
      <c r="BD1002" s="134"/>
      <c r="BE1002" s="134"/>
      <c r="BF1002" s="134"/>
      <c r="BG1002" s="134"/>
      <c r="BH1002" s="134"/>
      <c r="BI1002" s="134"/>
      <c r="BJ1002" s="134"/>
      <c r="BK1002" s="134"/>
      <c r="BL1002" s="134"/>
      <c r="BM1002" s="135"/>
      <c r="BN1002" s="136" t="n">
        <f aca="false">+MAX($D$3,DATOS_[[#This Row],[Fecha Inicio Sit. Contract.]])</f>
        <v>0</v>
      </c>
      <c r="BO1002" s="136" t="n">
        <f aca="false">+MIN($D$4,DATOS_[[#This Row],[Fecha Fin Sit. Contract.]])</f>
        <v>0</v>
      </c>
      <c r="BP1002" s="137" t="n">
        <f aca="false">+DATOS_[[#This Row],[% de jornada]]*IF(DATOS_[[#This Row],[% jornada reducida]]="",1,DATOS_[[#This Row],[% jornada reducida]])</f>
        <v>0</v>
      </c>
      <c r="BQ1002" s="137" t="n">
        <f aca="false">+(DATOS_[[#This Row],[F.fin.cal]]-DATOS_[[#This Row],[F.ini.cal]]+1)/($D$4-$D$3+1)</f>
        <v>1</v>
      </c>
      <c r="BR1002" s="137" t="str">
        <f aca="false">IF(OR(AND(DATOS_[[#This Row],[Fecha Fin Contrato]]&lt;$D$3,DATOS_[[#This Row],[Fecha Fin Contrato]]&lt;&gt;""),DATOS_[[#This Row],[Fecha de Contratación]]&gt;$D$4),"Fuera","Dentro")</f>
        <v>Dentro</v>
      </c>
      <c r="BS1002" s="137" t="str">
        <f aca="false" t="array" ref="BS1002:BS1002">IF(MAX(IF(DATOS_[id]=DATOS_[[#This Row],[id]],DATOS_[F.fin.cal]))=DATOS_[[#This Row],[F.fin.cal]],"Sí","NO")</f>
        <v>Sí</v>
      </c>
      <c r="BT1002" s="137" t="str">
        <f aca="false">IF(AND(DATOS_[[#This Row],[% normaliz]]&lt;&gt;1,DATOS_[[#This Row],[% anualiz]]=1),"Sí","NO")</f>
        <v>Sí</v>
      </c>
      <c r="BU1002" s="137" t="str">
        <f aca="false">IF(AND(DATOS_[[#This Row],[% normaliz]]=1,DATOS_[[#This Row],[% anualiz]]&lt;&gt;1),"Sí","NO")</f>
        <v>NO</v>
      </c>
      <c r="BV1002" s="137" t="str">
        <f aca="false">IF(AND(DATOS_[[#This Row],[% normaliz]]&lt;&gt;1,DATOS_[[#This Row],[% anualiz]]&lt;&gt;1),"Sí","NO")</f>
        <v>NO</v>
      </c>
      <c r="BW1002" s="137" t="str">
        <f aca="false">+IF(DATOS_[[#This Row],[% normaliz]]*DATOS_[[#This Row],[% anualiz]]=1,"NO","Sí")</f>
        <v>Sí</v>
      </c>
      <c r="BX1002" s="138" t="e">
        <f aca="false">(DATOS_[[#This Row],[S.BASE]]*(1/DATOS_[[#This Row],[% normaliz]])*(1/DATOS_[[#This Row],[% anualiz]]))*IF(DATOS_[[#This Row],[Check Equiparado]]="Sí",1,0)</f>
        <v>#DIV/0!</v>
      </c>
      <c r="BY1002"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2" s="138" t="e">
        <f aca="false">+DATOS_[[#This Row],[SALARIO BASE Eq]]+DATOS_[[#This Row],[Tot COMPL.SAL Eq]]</f>
        <v>#DIV/0!</v>
      </c>
      <c r="CA1002" s="138" t="e">
        <f aca="false" t="array" ref="CA1002:CA10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2" s="138" t="e">
        <f aca="false">+DATOS_[[#This Row],[TOTAL SALARIO Eq]]+DATOS_[[#This Row],[Tot Extrasalarial Eq]]</f>
        <v>#DIV/0!</v>
      </c>
      <c r="CC1002" s="139" t="n">
        <f aca="false">DATOS_[[#This Row],[S.BASE]]</f>
        <v>0</v>
      </c>
      <c r="CD1002" s="139" t="n">
        <f aca="false">+SUM(DATOS_[[#This Row],[Conc.Sal.01]:[Conc.Sal.30]])</f>
        <v>0</v>
      </c>
      <c r="CE1002" s="139" t="n">
        <f aca="false">+DATOS_[[#This Row],[SALARIO BASE Ef]]+DATOS_[[#This Row],[Tot COMPL.SAL Ef]]</f>
        <v>0</v>
      </c>
      <c r="CF1002" s="139" t="n">
        <f aca="false">+SUM(DATOS_[[#This Row],[C.Extra.01]:[C.Extra.05]])</f>
        <v>0</v>
      </c>
      <c r="CG1002" s="139" t="n">
        <f aca="false">+DATOS_[[#This Row],[TOTAL SALARIO Ef]]+DATOS_[[#This Row],[Tot Extrasalarial Ef]]</f>
        <v>0</v>
      </c>
      <c r="CH1002" s="140" t="n">
        <f aca="false">MIN(IF(DATOS_[[#This Row],[Fecha Fin Contrato]]="",$D$4,DATOS_[[#This Row],[Fecha Fin Contrato]]),$D$4)-MAX(DATOS_[[#This Row],[Fecha de Contratación]],$D$3)+1</f>
        <v>1</v>
      </c>
      <c r="CI1002" s="141" t="str">
        <f aca="false">IF(COUNTIFS(DATOS_[id],DATOS_[[#This Row],[id]])&gt;1,DATOS_[[#This Row],[id]],"")</f>
        <v/>
      </c>
      <c r="CJ1002" s="141" t="n">
        <f aca="false">(Inicio!$G$10-DATOS_[[#This Row],[Fecha Nacimiento]])/365.25</f>
        <v>0</v>
      </c>
      <c r="CK1002" s="141" t="n">
        <f aca="false">(Inicio!$G$10-DATOS_[[#This Row],[Fecha de Antigüedad]])/365.25</f>
        <v>0</v>
      </c>
      <c r="CL1002" s="141" t="e">
        <f aca="false">+VLOOKUP(DATOS_[[#This Row],[Clave de Contrato]],TblTiposContrato13[],3,0)</f>
        <v>#N/A</v>
      </c>
      <c r="CM1002" s="141" t="e">
        <f aca="false">+VLOOKUP(DATOS_[[#This Row],[Clave de Contrato]],TblTiposContrato13[],4,0)</f>
        <v>#N/A</v>
      </c>
      <c r="CN1002" s="141" t="str">
        <f aca="false">VLOOKUP(DATOS_[[#This Row],[Edad]],CONTRATOS!TblRngEdad,2,1)</f>
        <v>20  o menos</v>
      </c>
      <c r="CO1002" s="141" t="str">
        <f aca="false">VLOOKUP(DATOS_[[#This Row],[Antigüedad]],TblRngAntg14[],2,1)</f>
        <v>0 a 1 años</v>
      </c>
    </row>
    <row r="1003" customFormat="false" ht="13.8" hidden="false" customHeight="false" outlineLevel="0" collapsed="false">
      <c r="D1003" s="128"/>
      <c r="E1003" s="129"/>
      <c r="F1003" s="129"/>
      <c r="G1003" s="129"/>
      <c r="H1003" s="130"/>
      <c r="I1003" s="131"/>
      <c r="J1003" s="128"/>
      <c r="K1003" s="132"/>
      <c r="L1003" s="132"/>
      <c r="M1003" s="133"/>
      <c r="N1003" s="133"/>
      <c r="O1003" s="133"/>
      <c r="P1003" s="129"/>
      <c r="Z1003" s="75"/>
      <c r="AA1003" s="76"/>
      <c r="AB1003" s="76"/>
      <c r="AC1003" s="129"/>
      <c r="AD1003" s="134"/>
      <c r="AE1003" s="134"/>
      <c r="AF1003" s="134"/>
      <c r="AG1003" s="134"/>
      <c r="AH1003" s="134"/>
      <c r="AI1003" s="134"/>
      <c r="AJ1003" s="134"/>
      <c r="AK1003" s="134"/>
      <c r="AL1003" s="134"/>
      <c r="AM1003" s="134"/>
      <c r="AN1003" s="134"/>
      <c r="AO1003" s="134"/>
      <c r="AP1003" s="134"/>
      <c r="AQ1003" s="134"/>
      <c r="AR1003" s="134"/>
      <c r="AS1003" s="134"/>
      <c r="AT1003" s="134"/>
      <c r="AU1003" s="134"/>
      <c r="AV1003" s="134"/>
      <c r="AW1003" s="134"/>
      <c r="AX1003" s="134"/>
      <c r="AY1003" s="134"/>
      <c r="AZ1003" s="134"/>
      <c r="BA1003" s="134"/>
      <c r="BB1003" s="134"/>
      <c r="BC1003" s="134"/>
      <c r="BD1003" s="134"/>
      <c r="BE1003" s="134"/>
      <c r="BF1003" s="134"/>
      <c r="BG1003" s="134"/>
      <c r="BH1003" s="134"/>
      <c r="BI1003" s="134"/>
      <c r="BJ1003" s="134"/>
      <c r="BK1003" s="134"/>
      <c r="BL1003" s="134"/>
      <c r="BM1003" s="135"/>
      <c r="BN1003" s="136" t="n">
        <f aca="false">+MAX($D$3,DATOS_[[#This Row],[Fecha Inicio Sit. Contract.]])</f>
        <v>0</v>
      </c>
      <c r="BO1003" s="136" t="n">
        <f aca="false">+MIN($D$4,DATOS_[[#This Row],[Fecha Fin Sit. Contract.]])</f>
        <v>0</v>
      </c>
      <c r="BP1003" s="137" t="n">
        <f aca="false">+DATOS_[[#This Row],[% de jornada]]*IF(DATOS_[[#This Row],[% jornada reducida]]="",1,DATOS_[[#This Row],[% jornada reducida]])</f>
        <v>0</v>
      </c>
      <c r="BQ1003" s="137" t="n">
        <f aca="false">+(DATOS_[[#This Row],[F.fin.cal]]-DATOS_[[#This Row],[F.ini.cal]]+1)/($D$4-$D$3+1)</f>
        <v>1</v>
      </c>
      <c r="BR1003" s="137" t="str">
        <f aca="false">IF(OR(AND(DATOS_[[#This Row],[Fecha Fin Contrato]]&lt;$D$3,DATOS_[[#This Row],[Fecha Fin Contrato]]&lt;&gt;""),DATOS_[[#This Row],[Fecha de Contratación]]&gt;$D$4),"Fuera","Dentro")</f>
        <v>Dentro</v>
      </c>
      <c r="BS1003" s="137" t="str">
        <f aca="false" t="array" ref="BS1003:BS1003">IF(MAX(IF(DATOS_[id]=DATOS_[[#This Row],[id]],DATOS_[F.fin.cal]))=DATOS_[[#This Row],[F.fin.cal]],"Sí","NO")</f>
        <v>Sí</v>
      </c>
      <c r="BT1003" s="137" t="str">
        <f aca="false">IF(AND(DATOS_[[#This Row],[% normaliz]]&lt;&gt;1,DATOS_[[#This Row],[% anualiz]]=1),"Sí","NO")</f>
        <v>Sí</v>
      </c>
      <c r="BU1003" s="137" t="str">
        <f aca="false">IF(AND(DATOS_[[#This Row],[% normaliz]]=1,DATOS_[[#This Row],[% anualiz]]&lt;&gt;1),"Sí","NO")</f>
        <v>NO</v>
      </c>
      <c r="BV1003" s="137" t="str">
        <f aca="false">IF(AND(DATOS_[[#This Row],[% normaliz]]&lt;&gt;1,DATOS_[[#This Row],[% anualiz]]&lt;&gt;1),"Sí","NO")</f>
        <v>NO</v>
      </c>
      <c r="BW1003" s="137" t="str">
        <f aca="false">+IF(DATOS_[[#This Row],[% normaliz]]*DATOS_[[#This Row],[% anualiz]]=1,"NO","Sí")</f>
        <v>Sí</v>
      </c>
      <c r="BX1003" s="138" t="e">
        <f aca="false">(DATOS_[[#This Row],[S.BASE]]*(1/DATOS_[[#This Row],[% normaliz]])*(1/DATOS_[[#This Row],[% anualiz]]))*IF(DATOS_[[#This Row],[Check Equiparado]]="Sí",1,0)</f>
        <v>#DIV/0!</v>
      </c>
      <c r="BY1003"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3" s="138" t="e">
        <f aca="false">+DATOS_[[#This Row],[SALARIO BASE Eq]]+DATOS_[[#This Row],[Tot COMPL.SAL Eq]]</f>
        <v>#DIV/0!</v>
      </c>
      <c r="CA1003" s="138" t="e">
        <f aca="false" t="array" ref="CA1003:CA10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3" s="138" t="e">
        <f aca="false">+DATOS_[[#This Row],[TOTAL SALARIO Eq]]+DATOS_[[#This Row],[Tot Extrasalarial Eq]]</f>
        <v>#DIV/0!</v>
      </c>
      <c r="CC1003" s="139" t="n">
        <f aca="false">DATOS_[[#This Row],[S.BASE]]</f>
        <v>0</v>
      </c>
      <c r="CD1003" s="139" t="n">
        <f aca="false">+SUM(DATOS_[[#This Row],[Conc.Sal.01]:[Conc.Sal.30]])</f>
        <v>0</v>
      </c>
      <c r="CE1003" s="139" t="n">
        <f aca="false">+DATOS_[[#This Row],[SALARIO BASE Ef]]+DATOS_[[#This Row],[Tot COMPL.SAL Ef]]</f>
        <v>0</v>
      </c>
      <c r="CF1003" s="139" t="n">
        <f aca="false">+SUM(DATOS_[[#This Row],[C.Extra.01]:[C.Extra.05]])</f>
        <v>0</v>
      </c>
      <c r="CG1003" s="139" t="n">
        <f aca="false">+DATOS_[[#This Row],[TOTAL SALARIO Ef]]+DATOS_[[#This Row],[Tot Extrasalarial Ef]]</f>
        <v>0</v>
      </c>
      <c r="CH1003" s="140" t="n">
        <f aca="false">MIN(IF(DATOS_[[#This Row],[Fecha Fin Contrato]]="",$D$4,DATOS_[[#This Row],[Fecha Fin Contrato]]),$D$4)-MAX(DATOS_[[#This Row],[Fecha de Contratación]],$D$3)+1</f>
        <v>1</v>
      </c>
      <c r="CI1003" s="141" t="str">
        <f aca="false">IF(COUNTIFS(DATOS_[id],DATOS_[[#This Row],[id]])&gt;1,DATOS_[[#This Row],[id]],"")</f>
        <v/>
      </c>
      <c r="CJ1003" s="141" t="n">
        <f aca="false">(Inicio!$G$10-DATOS_[[#This Row],[Fecha Nacimiento]])/365.25</f>
        <v>0</v>
      </c>
      <c r="CK1003" s="141" t="n">
        <f aca="false">(Inicio!$G$10-DATOS_[[#This Row],[Fecha de Antigüedad]])/365.25</f>
        <v>0</v>
      </c>
      <c r="CL1003" s="141" t="e">
        <f aca="false">+VLOOKUP(DATOS_[[#This Row],[Clave de Contrato]],TblTiposContrato13[],3,0)</f>
        <v>#N/A</v>
      </c>
      <c r="CM1003" s="141" t="e">
        <f aca="false">+VLOOKUP(DATOS_[[#This Row],[Clave de Contrato]],TblTiposContrato13[],4,0)</f>
        <v>#N/A</v>
      </c>
      <c r="CN1003" s="141" t="str">
        <f aca="false">VLOOKUP(DATOS_[[#This Row],[Edad]],CONTRATOS!TblRngEdad,2,1)</f>
        <v>20  o menos</v>
      </c>
      <c r="CO1003" s="141" t="str">
        <f aca="false">VLOOKUP(DATOS_[[#This Row],[Antigüedad]],TblRngAntg14[],2,1)</f>
        <v>0 a 1 años</v>
      </c>
    </row>
    <row r="1004" customFormat="false" ht="13.8" hidden="false" customHeight="false" outlineLevel="0" collapsed="false">
      <c r="D1004" s="128"/>
      <c r="E1004" s="129"/>
      <c r="F1004" s="129"/>
      <c r="G1004" s="129"/>
      <c r="H1004" s="130"/>
      <c r="I1004" s="131"/>
      <c r="J1004" s="128"/>
      <c r="K1004" s="132"/>
      <c r="L1004" s="132"/>
      <c r="M1004" s="133"/>
      <c r="N1004" s="133"/>
      <c r="O1004" s="133"/>
      <c r="P1004" s="129"/>
      <c r="Z1004" s="75"/>
      <c r="AA1004" s="76"/>
      <c r="AB1004" s="76"/>
      <c r="AC1004" s="129"/>
      <c r="AD1004" s="134"/>
      <c r="AE1004" s="134"/>
      <c r="AF1004" s="134"/>
      <c r="AG1004" s="134"/>
      <c r="AH1004" s="134"/>
      <c r="AI1004" s="134"/>
      <c r="AJ1004" s="134"/>
      <c r="AK1004" s="134"/>
      <c r="AL1004" s="134"/>
      <c r="AM1004" s="134"/>
      <c r="AN1004" s="134"/>
      <c r="AO1004" s="134"/>
      <c r="AP1004" s="134"/>
      <c r="AQ1004" s="134"/>
      <c r="AR1004" s="134"/>
      <c r="AS1004" s="134"/>
      <c r="AT1004" s="134"/>
      <c r="AU1004" s="134"/>
      <c r="AV1004" s="134"/>
      <c r="AW1004" s="134"/>
      <c r="AX1004" s="134"/>
      <c r="AY1004" s="134"/>
      <c r="AZ1004" s="134"/>
      <c r="BA1004" s="134"/>
      <c r="BB1004" s="134"/>
      <c r="BC1004" s="134"/>
      <c r="BD1004" s="134"/>
      <c r="BE1004" s="134"/>
      <c r="BF1004" s="134"/>
      <c r="BG1004" s="134"/>
      <c r="BH1004" s="134"/>
      <c r="BI1004" s="134"/>
      <c r="BJ1004" s="134"/>
      <c r="BK1004" s="134"/>
      <c r="BL1004" s="134"/>
      <c r="BM1004" s="135"/>
      <c r="BN1004" s="136" t="n">
        <f aca="false">+MAX($D$3,DATOS_[[#This Row],[Fecha Inicio Sit. Contract.]])</f>
        <v>0</v>
      </c>
      <c r="BO1004" s="136" t="n">
        <f aca="false">+MIN($D$4,DATOS_[[#This Row],[Fecha Fin Sit. Contract.]])</f>
        <v>0</v>
      </c>
      <c r="BP1004" s="137" t="n">
        <f aca="false">+DATOS_[[#This Row],[% de jornada]]*IF(DATOS_[[#This Row],[% jornada reducida]]="",1,DATOS_[[#This Row],[% jornada reducida]])</f>
        <v>0</v>
      </c>
      <c r="BQ1004" s="137" t="n">
        <f aca="false">+(DATOS_[[#This Row],[F.fin.cal]]-DATOS_[[#This Row],[F.ini.cal]]+1)/($D$4-$D$3+1)</f>
        <v>1</v>
      </c>
      <c r="BR1004" s="137" t="str">
        <f aca="false">IF(OR(AND(DATOS_[[#This Row],[Fecha Fin Contrato]]&lt;$D$3,DATOS_[[#This Row],[Fecha Fin Contrato]]&lt;&gt;""),DATOS_[[#This Row],[Fecha de Contratación]]&gt;$D$4),"Fuera","Dentro")</f>
        <v>Dentro</v>
      </c>
      <c r="BS1004" s="137" t="str">
        <f aca="false" t="array" ref="BS1004:BS1004">IF(MAX(IF(DATOS_[id]=DATOS_[[#This Row],[id]],DATOS_[F.fin.cal]))=DATOS_[[#This Row],[F.fin.cal]],"Sí","NO")</f>
        <v>Sí</v>
      </c>
      <c r="BT1004" s="137" t="str">
        <f aca="false">IF(AND(DATOS_[[#This Row],[% normaliz]]&lt;&gt;1,DATOS_[[#This Row],[% anualiz]]=1),"Sí","NO")</f>
        <v>Sí</v>
      </c>
      <c r="BU1004" s="137" t="str">
        <f aca="false">IF(AND(DATOS_[[#This Row],[% normaliz]]=1,DATOS_[[#This Row],[% anualiz]]&lt;&gt;1),"Sí","NO")</f>
        <v>NO</v>
      </c>
      <c r="BV1004" s="137" t="str">
        <f aca="false">IF(AND(DATOS_[[#This Row],[% normaliz]]&lt;&gt;1,DATOS_[[#This Row],[% anualiz]]&lt;&gt;1),"Sí","NO")</f>
        <v>NO</v>
      </c>
      <c r="BW1004" s="137" t="str">
        <f aca="false">+IF(DATOS_[[#This Row],[% normaliz]]*DATOS_[[#This Row],[% anualiz]]=1,"NO","Sí")</f>
        <v>Sí</v>
      </c>
      <c r="BX1004" s="138" t="e">
        <f aca="false">(DATOS_[[#This Row],[S.BASE]]*(1/DATOS_[[#This Row],[% normaliz]])*(1/DATOS_[[#This Row],[% anualiz]]))*IF(DATOS_[[#This Row],[Check Equiparado]]="Sí",1,0)</f>
        <v>#DIV/0!</v>
      </c>
      <c r="BY1004"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4" s="138" t="e">
        <f aca="false">+DATOS_[[#This Row],[SALARIO BASE Eq]]+DATOS_[[#This Row],[Tot COMPL.SAL Eq]]</f>
        <v>#DIV/0!</v>
      </c>
      <c r="CA1004" s="138" t="e">
        <f aca="false" t="array" ref="CA1004:CA10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4" s="138" t="e">
        <f aca="false">+DATOS_[[#This Row],[TOTAL SALARIO Eq]]+DATOS_[[#This Row],[Tot Extrasalarial Eq]]</f>
        <v>#DIV/0!</v>
      </c>
      <c r="CC1004" s="139" t="n">
        <f aca="false">DATOS_[[#This Row],[S.BASE]]</f>
        <v>0</v>
      </c>
      <c r="CD1004" s="139" t="n">
        <f aca="false">+SUM(DATOS_[[#This Row],[Conc.Sal.01]:[Conc.Sal.30]])</f>
        <v>0</v>
      </c>
      <c r="CE1004" s="139" t="n">
        <f aca="false">+DATOS_[[#This Row],[SALARIO BASE Ef]]+DATOS_[[#This Row],[Tot COMPL.SAL Ef]]</f>
        <v>0</v>
      </c>
      <c r="CF1004" s="139" t="n">
        <f aca="false">+SUM(DATOS_[[#This Row],[C.Extra.01]:[C.Extra.05]])</f>
        <v>0</v>
      </c>
      <c r="CG1004" s="139" t="n">
        <f aca="false">+DATOS_[[#This Row],[TOTAL SALARIO Ef]]+DATOS_[[#This Row],[Tot Extrasalarial Ef]]</f>
        <v>0</v>
      </c>
      <c r="CH1004" s="140" t="n">
        <f aca="false">MIN(IF(DATOS_[[#This Row],[Fecha Fin Contrato]]="",$D$4,DATOS_[[#This Row],[Fecha Fin Contrato]]),$D$4)-MAX(DATOS_[[#This Row],[Fecha de Contratación]],$D$3)+1</f>
        <v>1</v>
      </c>
      <c r="CI1004" s="141" t="str">
        <f aca="false">IF(COUNTIFS(DATOS_[id],DATOS_[[#This Row],[id]])&gt;1,DATOS_[[#This Row],[id]],"")</f>
        <v/>
      </c>
      <c r="CJ1004" s="141" t="n">
        <f aca="false">(Inicio!$G$10-DATOS_[[#This Row],[Fecha Nacimiento]])/365.25</f>
        <v>0</v>
      </c>
      <c r="CK1004" s="141" t="n">
        <f aca="false">(Inicio!$G$10-DATOS_[[#This Row],[Fecha de Antigüedad]])/365.25</f>
        <v>0</v>
      </c>
      <c r="CL1004" s="141" t="e">
        <f aca="false">+VLOOKUP(DATOS_[[#This Row],[Clave de Contrato]],TblTiposContrato13[],3,0)</f>
        <v>#N/A</v>
      </c>
      <c r="CM1004" s="141" t="e">
        <f aca="false">+VLOOKUP(DATOS_[[#This Row],[Clave de Contrato]],TblTiposContrato13[],4,0)</f>
        <v>#N/A</v>
      </c>
      <c r="CN1004" s="141" t="str">
        <f aca="false">VLOOKUP(DATOS_[[#This Row],[Edad]],CONTRATOS!TblRngEdad,2,1)</f>
        <v>20  o menos</v>
      </c>
      <c r="CO1004" s="141" t="str">
        <f aca="false">VLOOKUP(DATOS_[[#This Row],[Antigüedad]],TblRngAntg14[],2,1)</f>
        <v>0 a 1 años</v>
      </c>
    </row>
    <row r="1005" customFormat="false" ht="13.8" hidden="false" customHeight="false" outlineLevel="0" collapsed="false">
      <c r="D1005" s="128"/>
      <c r="E1005" s="129"/>
      <c r="F1005" s="129"/>
      <c r="G1005" s="129"/>
      <c r="H1005" s="130"/>
      <c r="I1005" s="131"/>
      <c r="J1005" s="128"/>
      <c r="K1005" s="132"/>
      <c r="L1005" s="132"/>
      <c r="M1005" s="133"/>
      <c r="N1005" s="133"/>
      <c r="O1005" s="133"/>
      <c r="P1005" s="129"/>
      <c r="Z1005" s="75"/>
      <c r="AA1005" s="76"/>
      <c r="AB1005" s="76"/>
      <c r="AC1005" s="129"/>
      <c r="AD1005" s="134"/>
      <c r="AE1005" s="134"/>
      <c r="AF1005" s="134"/>
      <c r="AG1005" s="134"/>
      <c r="AH1005" s="134"/>
      <c r="AI1005" s="134"/>
      <c r="AJ1005" s="134"/>
      <c r="AK1005" s="134"/>
      <c r="AL1005" s="134"/>
      <c r="AM1005" s="134"/>
      <c r="AN1005" s="134"/>
      <c r="AO1005" s="134"/>
      <c r="AP1005" s="134"/>
      <c r="AQ1005" s="134"/>
      <c r="AR1005" s="134"/>
      <c r="AS1005" s="134"/>
      <c r="AT1005" s="134"/>
      <c r="AU1005" s="134"/>
      <c r="AV1005" s="134"/>
      <c r="AW1005" s="134"/>
      <c r="AX1005" s="134"/>
      <c r="AY1005" s="134"/>
      <c r="AZ1005" s="134"/>
      <c r="BA1005" s="134"/>
      <c r="BB1005" s="134"/>
      <c r="BC1005" s="134"/>
      <c r="BD1005" s="134"/>
      <c r="BE1005" s="134"/>
      <c r="BF1005" s="134"/>
      <c r="BG1005" s="134"/>
      <c r="BH1005" s="134"/>
      <c r="BI1005" s="134"/>
      <c r="BJ1005" s="134"/>
      <c r="BK1005" s="134"/>
      <c r="BL1005" s="134"/>
      <c r="BM1005" s="135"/>
      <c r="BN1005" s="136" t="n">
        <f aca="false">+MAX($D$3,DATOS_[[#This Row],[Fecha Inicio Sit. Contract.]])</f>
        <v>0</v>
      </c>
      <c r="BO1005" s="136" t="n">
        <f aca="false">+MIN($D$4,DATOS_[[#This Row],[Fecha Fin Sit. Contract.]])</f>
        <v>0</v>
      </c>
      <c r="BP1005" s="137" t="n">
        <f aca="false">+DATOS_[[#This Row],[% de jornada]]*IF(DATOS_[[#This Row],[% jornada reducida]]="",1,DATOS_[[#This Row],[% jornada reducida]])</f>
        <v>0</v>
      </c>
      <c r="BQ1005" s="137" t="n">
        <f aca="false">+(DATOS_[[#This Row],[F.fin.cal]]-DATOS_[[#This Row],[F.ini.cal]]+1)/($D$4-$D$3+1)</f>
        <v>1</v>
      </c>
      <c r="BR1005" s="137" t="str">
        <f aca="false">IF(OR(AND(DATOS_[[#This Row],[Fecha Fin Contrato]]&lt;$D$3,DATOS_[[#This Row],[Fecha Fin Contrato]]&lt;&gt;""),DATOS_[[#This Row],[Fecha de Contratación]]&gt;$D$4),"Fuera","Dentro")</f>
        <v>Dentro</v>
      </c>
      <c r="BS1005" s="137" t="str">
        <f aca="false" t="array" ref="BS1005:BS1005">IF(MAX(IF(DATOS_[id]=DATOS_[[#This Row],[id]],DATOS_[F.fin.cal]))=DATOS_[[#This Row],[F.fin.cal]],"Sí","NO")</f>
        <v>Sí</v>
      </c>
      <c r="BT1005" s="137" t="str">
        <f aca="false">IF(AND(DATOS_[[#This Row],[% normaliz]]&lt;&gt;1,DATOS_[[#This Row],[% anualiz]]=1),"Sí","NO")</f>
        <v>Sí</v>
      </c>
      <c r="BU1005" s="137" t="str">
        <f aca="false">IF(AND(DATOS_[[#This Row],[% normaliz]]=1,DATOS_[[#This Row],[% anualiz]]&lt;&gt;1),"Sí","NO")</f>
        <v>NO</v>
      </c>
      <c r="BV1005" s="137" t="str">
        <f aca="false">IF(AND(DATOS_[[#This Row],[% normaliz]]&lt;&gt;1,DATOS_[[#This Row],[% anualiz]]&lt;&gt;1),"Sí","NO")</f>
        <v>NO</v>
      </c>
      <c r="BW1005" s="137" t="str">
        <f aca="false">+IF(DATOS_[[#This Row],[% normaliz]]*DATOS_[[#This Row],[% anualiz]]=1,"NO","Sí")</f>
        <v>Sí</v>
      </c>
      <c r="BX1005" s="138" t="e">
        <f aca="false">(DATOS_[[#This Row],[S.BASE]]*(1/DATOS_[[#This Row],[% normaliz]])*(1/DATOS_[[#This Row],[% anualiz]]))*IF(DATOS_[[#This Row],[Check Equiparado]]="Sí",1,0)</f>
        <v>#DIV/0!</v>
      </c>
      <c r="BY1005"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5" s="138" t="e">
        <f aca="false">+DATOS_[[#This Row],[SALARIO BASE Eq]]+DATOS_[[#This Row],[Tot COMPL.SAL Eq]]</f>
        <v>#DIV/0!</v>
      </c>
      <c r="CA1005" s="138" t="e">
        <f aca="false" t="array" ref="CA1005:CA10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5" s="138" t="e">
        <f aca="false">+DATOS_[[#This Row],[TOTAL SALARIO Eq]]+DATOS_[[#This Row],[Tot Extrasalarial Eq]]</f>
        <v>#DIV/0!</v>
      </c>
      <c r="CC1005" s="139" t="n">
        <f aca="false">DATOS_[[#This Row],[S.BASE]]</f>
        <v>0</v>
      </c>
      <c r="CD1005" s="139" t="n">
        <f aca="false">+SUM(DATOS_[[#This Row],[Conc.Sal.01]:[Conc.Sal.30]])</f>
        <v>0</v>
      </c>
      <c r="CE1005" s="139" t="n">
        <f aca="false">+DATOS_[[#This Row],[SALARIO BASE Ef]]+DATOS_[[#This Row],[Tot COMPL.SAL Ef]]</f>
        <v>0</v>
      </c>
      <c r="CF1005" s="139" t="n">
        <f aca="false">+SUM(DATOS_[[#This Row],[C.Extra.01]:[C.Extra.05]])</f>
        <v>0</v>
      </c>
      <c r="CG1005" s="139" t="n">
        <f aca="false">+DATOS_[[#This Row],[TOTAL SALARIO Ef]]+DATOS_[[#This Row],[Tot Extrasalarial Ef]]</f>
        <v>0</v>
      </c>
      <c r="CH1005" s="140" t="n">
        <f aca="false">MIN(IF(DATOS_[[#This Row],[Fecha Fin Contrato]]="",$D$4,DATOS_[[#This Row],[Fecha Fin Contrato]]),$D$4)-MAX(DATOS_[[#This Row],[Fecha de Contratación]],$D$3)+1</f>
        <v>1</v>
      </c>
      <c r="CI1005" s="141" t="str">
        <f aca="false">IF(COUNTIFS(DATOS_[id],DATOS_[[#This Row],[id]])&gt;1,DATOS_[[#This Row],[id]],"")</f>
        <v/>
      </c>
      <c r="CJ1005" s="141" t="n">
        <f aca="false">(Inicio!$G$10-DATOS_[[#This Row],[Fecha Nacimiento]])/365.25</f>
        <v>0</v>
      </c>
      <c r="CK1005" s="141" t="n">
        <f aca="false">(Inicio!$G$10-DATOS_[[#This Row],[Fecha de Antigüedad]])/365.25</f>
        <v>0</v>
      </c>
      <c r="CL1005" s="141" t="e">
        <f aca="false">+VLOOKUP(DATOS_[[#This Row],[Clave de Contrato]],TblTiposContrato13[],3,0)</f>
        <v>#N/A</v>
      </c>
      <c r="CM1005" s="141" t="e">
        <f aca="false">+VLOOKUP(DATOS_[[#This Row],[Clave de Contrato]],TblTiposContrato13[],4,0)</f>
        <v>#N/A</v>
      </c>
      <c r="CN1005" s="141" t="str">
        <f aca="false">VLOOKUP(DATOS_[[#This Row],[Edad]],CONTRATOS!TblRngEdad,2,1)</f>
        <v>20  o menos</v>
      </c>
      <c r="CO1005" s="141" t="str">
        <f aca="false">VLOOKUP(DATOS_[[#This Row],[Antigüedad]],TblRngAntg14[],2,1)</f>
        <v>0 a 1 años</v>
      </c>
    </row>
    <row r="1006" customFormat="false" ht="13.8" hidden="false" customHeight="false" outlineLevel="0" collapsed="false">
      <c r="D1006" s="128"/>
      <c r="E1006" s="129"/>
      <c r="F1006" s="129"/>
      <c r="G1006" s="129"/>
      <c r="H1006" s="130"/>
      <c r="I1006" s="131"/>
      <c r="J1006" s="128"/>
      <c r="K1006" s="132"/>
      <c r="L1006" s="132"/>
      <c r="M1006" s="133"/>
      <c r="N1006" s="133"/>
      <c r="O1006" s="133"/>
      <c r="P1006" s="129"/>
      <c r="Z1006" s="75"/>
      <c r="AA1006" s="76"/>
      <c r="AB1006" s="76"/>
      <c r="AC1006" s="129"/>
      <c r="AD1006" s="134"/>
      <c r="AE1006" s="134"/>
      <c r="AF1006" s="134"/>
      <c r="AG1006" s="134"/>
      <c r="AH1006" s="134"/>
      <c r="AI1006" s="134"/>
      <c r="AJ1006" s="134"/>
      <c r="AK1006" s="134"/>
      <c r="AL1006" s="134"/>
      <c r="AM1006" s="134"/>
      <c r="AN1006" s="134"/>
      <c r="AO1006" s="134"/>
      <c r="AP1006" s="134"/>
      <c r="AQ1006" s="134"/>
      <c r="AR1006" s="134"/>
      <c r="AS1006" s="134"/>
      <c r="AT1006" s="134"/>
      <c r="AU1006" s="134"/>
      <c r="AV1006" s="134"/>
      <c r="AW1006" s="134"/>
      <c r="AX1006" s="134"/>
      <c r="AY1006" s="134"/>
      <c r="AZ1006" s="134"/>
      <c r="BA1006" s="134"/>
      <c r="BB1006" s="134"/>
      <c r="BC1006" s="134"/>
      <c r="BD1006" s="134"/>
      <c r="BE1006" s="134"/>
      <c r="BF1006" s="134"/>
      <c r="BG1006" s="134"/>
      <c r="BH1006" s="134"/>
      <c r="BI1006" s="134"/>
      <c r="BJ1006" s="134"/>
      <c r="BK1006" s="134"/>
      <c r="BL1006" s="134"/>
      <c r="BM1006" s="135"/>
      <c r="BN1006" s="136" t="n">
        <f aca="false">+MAX($D$3,DATOS_[[#This Row],[Fecha Inicio Sit. Contract.]])</f>
        <v>0</v>
      </c>
      <c r="BO1006" s="136" t="n">
        <f aca="false">+MIN($D$4,DATOS_[[#This Row],[Fecha Fin Sit. Contract.]])</f>
        <v>0</v>
      </c>
      <c r="BP1006" s="137" t="n">
        <f aca="false">+DATOS_[[#This Row],[% de jornada]]*IF(DATOS_[[#This Row],[% jornada reducida]]="",1,DATOS_[[#This Row],[% jornada reducida]])</f>
        <v>0</v>
      </c>
      <c r="BQ1006" s="137" t="n">
        <f aca="false">+(DATOS_[[#This Row],[F.fin.cal]]-DATOS_[[#This Row],[F.ini.cal]]+1)/($D$4-$D$3+1)</f>
        <v>1</v>
      </c>
      <c r="BR1006" s="137" t="str">
        <f aca="false">IF(OR(AND(DATOS_[[#This Row],[Fecha Fin Contrato]]&lt;$D$3,DATOS_[[#This Row],[Fecha Fin Contrato]]&lt;&gt;""),DATOS_[[#This Row],[Fecha de Contratación]]&gt;$D$4),"Fuera","Dentro")</f>
        <v>Dentro</v>
      </c>
      <c r="BS1006" s="137" t="str">
        <f aca="false" t="array" ref="BS1006:BS1006">IF(MAX(IF(DATOS_[id]=DATOS_[[#This Row],[id]],DATOS_[F.fin.cal]))=DATOS_[[#This Row],[F.fin.cal]],"Sí","NO")</f>
        <v>Sí</v>
      </c>
      <c r="BT1006" s="137" t="str">
        <f aca="false">IF(AND(DATOS_[[#This Row],[% normaliz]]&lt;&gt;1,DATOS_[[#This Row],[% anualiz]]=1),"Sí","NO")</f>
        <v>Sí</v>
      </c>
      <c r="BU1006" s="137" t="str">
        <f aca="false">IF(AND(DATOS_[[#This Row],[% normaliz]]=1,DATOS_[[#This Row],[% anualiz]]&lt;&gt;1),"Sí","NO")</f>
        <v>NO</v>
      </c>
      <c r="BV1006" s="137" t="str">
        <f aca="false">IF(AND(DATOS_[[#This Row],[% normaliz]]&lt;&gt;1,DATOS_[[#This Row],[% anualiz]]&lt;&gt;1),"Sí","NO")</f>
        <v>NO</v>
      </c>
      <c r="BW1006" s="137" t="str">
        <f aca="false">+IF(DATOS_[[#This Row],[% normaliz]]*DATOS_[[#This Row],[% anualiz]]=1,"NO","Sí")</f>
        <v>Sí</v>
      </c>
      <c r="BX1006" s="138" t="e">
        <f aca="false">(DATOS_[[#This Row],[S.BASE]]*(1/DATOS_[[#This Row],[% normaliz]])*(1/DATOS_[[#This Row],[% anualiz]]))*IF(DATOS_[[#This Row],[Check Equiparado]]="Sí",1,0)</f>
        <v>#DIV/0!</v>
      </c>
      <c r="BY1006"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6" s="138" t="e">
        <f aca="false">+DATOS_[[#This Row],[SALARIO BASE Eq]]+DATOS_[[#This Row],[Tot COMPL.SAL Eq]]</f>
        <v>#DIV/0!</v>
      </c>
      <c r="CA1006" s="138" t="e">
        <f aca="false" t="array" ref="CA1006:CA10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6" s="138" t="e">
        <f aca="false">+DATOS_[[#This Row],[TOTAL SALARIO Eq]]+DATOS_[[#This Row],[Tot Extrasalarial Eq]]</f>
        <v>#DIV/0!</v>
      </c>
      <c r="CC1006" s="139" t="n">
        <f aca="false">DATOS_[[#This Row],[S.BASE]]</f>
        <v>0</v>
      </c>
      <c r="CD1006" s="139" t="n">
        <f aca="false">+SUM(DATOS_[[#This Row],[Conc.Sal.01]:[Conc.Sal.30]])</f>
        <v>0</v>
      </c>
      <c r="CE1006" s="139" t="n">
        <f aca="false">+DATOS_[[#This Row],[SALARIO BASE Ef]]+DATOS_[[#This Row],[Tot COMPL.SAL Ef]]</f>
        <v>0</v>
      </c>
      <c r="CF1006" s="139" t="n">
        <f aca="false">+SUM(DATOS_[[#This Row],[C.Extra.01]:[C.Extra.05]])</f>
        <v>0</v>
      </c>
      <c r="CG1006" s="139" t="n">
        <f aca="false">+DATOS_[[#This Row],[TOTAL SALARIO Ef]]+DATOS_[[#This Row],[Tot Extrasalarial Ef]]</f>
        <v>0</v>
      </c>
      <c r="CH1006" s="140" t="n">
        <f aca="false">MIN(IF(DATOS_[[#This Row],[Fecha Fin Contrato]]="",$D$4,DATOS_[[#This Row],[Fecha Fin Contrato]]),$D$4)-MAX(DATOS_[[#This Row],[Fecha de Contratación]],$D$3)+1</f>
        <v>1</v>
      </c>
      <c r="CI1006" s="141" t="str">
        <f aca="false">IF(COUNTIFS(DATOS_[id],DATOS_[[#This Row],[id]])&gt;1,DATOS_[[#This Row],[id]],"")</f>
        <v/>
      </c>
      <c r="CJ1006" s="141" t="n">
        <f aca="false">(Inicio!$G$10-DATOS_[[#This Row],[Fecha Nacimiento]])/365.25</f>
        <v>0</v>
      </c>
      <c r="CK1006" s="141" t="n">
        <f aca="false">(Inicio!$G$10-DATOS_[[#This Row],[Fecha de Antigüedad]])/365.25</f>
        <v>0</v>
      </c>
      <c r="CL1006" s="141" t="e">
        <f aca="false">+VLOOKUP(DATOS_[[#This Row],[Clave de Contrato]],TblTiposContrato13[],3,0)</f>
        <v>#N/A</v>
      </c>
      <c r="CM1006" s="141" t="e">
        <f aca="false">+VLOOKUP(DATOS_[[#This Row],[Clave de Contrato]],TblTiposContrato13[],4,0)</f>
        <v>#N/A</v>
      </c>
      <c r="CN1006" s="141" t="str">
        <f aca="false">VLOOKUP(DATOS_[[#This Row],[Edad]],CONTRATOS!TblRngEdad,2,1)</f>
        <v>20  o menos</v>
      </c>
      <c r="CO1006" s="141" t="str">
        <f aca="false">VLOOKUP(DATOS_[[#This Row],[Antigüedad]],TblRngAntg14[],2,1)</f>
        <v>0 a 1 años</v>
      </c>
    </row>
    <row r="1007" customFormat="false" ht="13.8" hidden="false" customHeight="false" outlineLevel="0" collapsed="false">
      <c r="D1007" s="128"/>
      <c r="E1007" s="129"/>
      <c r="F1007" s="129"/>
      <c r="G1007" s="129"/>
      <c r="H1007" s="130"/>
      <c r="I1007" s="131"/>
      <c r="J1007" s="128"/>
      <c r="K1007" s="132"/>
      <c r="L1007" s="132"/>
      <c r="M1007" s="133"/>
      <c r="N1007" s="133"/>
      <c r="O1007" s="133"/>
      <c r="P1007" s="129"/>
      <c r="Z1007" s="75"/>
      <c r="AA1007" s="76"/>
      <c r="AB1007" s="76"/>
      <c r="AC1007" s="129"/>
      <c r="AD1007" s="134"/>
      <c r="AE1007" s="134"/>
      <c r="AF1007" s="134"/>
      <c r="AG1007" s="134"/>
      <c r="AH1007" s="134"/>
      <c r="AI1007" s="134"/>
      <c r="AJ1007" s="134"/>
      <c r="AK1007" s="134"/>
      <c r="AL1007" s="134"/>
      <c r="AM1007" s="134"/>
      <c r="AN1007" s="134"/>
      <c r="AO1007" s="134"/>
      <c r="AP1007" s="134"/>
      <c r="AQ1007" s="134"/>
      <c r="AR1007" s="134"/>
      <c r="AS1007" s="134"/>
      <c r="AT1007" s="134"/>
      <c r="AU1007" s="134"/>
      <c r="AV1007" s="134"/>
      <c r="AW1007" s="134"/>
      <c r="AX1007" s="134"/>
      <c r="AY1007" s="134"/>
      <c r="AZ1007" s="134"/>
      <c r="BA1007" s="134"/>
      <c r="BB1007" s="134"/>
      <c r="BC1007" s="134"/>
      <c r="BD1007" s="134"/>
      <c r="BE1007" s="134"/>
      <c r="BF1007" s="134"/>
      <c r="BG1007" s="134"/>
      <c r="BH1007" s="134"/>
      <c r="BI1007" s="134"/>
      <c r="BJ1007" s="134"/>
      <c r="BK1007" s="134"/>
      <c r="BL1007" s="134"/>
      <c r="BM1007" s="135"/>
      <c r="BN1007" s="136" t="n">
        <f aca="false">+MAX($D$3,DATOS_[[#This Row],[Fecha Inicio Sit. Contract.]])</f>
        <v>0</v>
      </c>
      <c r="BO1007" s="136" t="n">
        <f aca="false">+MIN($D$4,DATOS_[[#This Row],[Fecha Fin Sit. Contract.]])</f>
        <v>0</v>
      </c>
      <c r="BP1007" s="137" t="n">
        <f aca="false">+DATOS_[[#This Row],[% de jornada]]*IF(DATOS_[[#This Row],[% jornada reducida]]="",1,DATOS_[[#This Row],[% jornada reducida]])</f>
        <v>0</v>
      </c>
      <c r="BQ1007" s="137" t="n">
        <f aca="false">+(DATOS_[[#This Row],[F.fin.cal]]-DATOS_[[#This Row],[F.ini.cal]]+1)/($D$4-$D$3+1)</f>
        <v>1</v>
      </c>
      <c r="BR1007" s="137" t="str">
        <f aca="false">IF(OR(AND(DATOS_[[#This Row],[Fecha Fin Contrato]]&lt;$D$3,DATOS_[[#This Row],[Fecha Fin Contrato]]&lt;&gt;""),DATOS_[[#This Row],[Fecha de Contratación]]&gt;$D$4),"Fuera","Dentro")</f>
        <v>Dentro</v>
      </c>
      <c r="BS1007" s="137" t="str">
        <f aca="false" t="array" ref="BS1007:BS1007">IF(MAX(IF(DATOS_[id]=DATOS_[[#This Row],[id]],DATOS_[F.fin.cal]))=DATOS_[[#This Row],[F.fin.cal]],"Sí","NO")</f>
        <v>Sí</v>
      </c>
      <c r="BT1007" s="137" t="str">
        <f aca="false">IF(AND(DATOS_[[#This Row],[% normaliz]]&lt;&gt;1,DATOS_[[#This Row],[% anualiz]]=1),"Sí","NO")</f>
        <v>Sí</v>
      </c>
      <c r="BU1007" s="137" t="str">
        <f aca="false">IF(AND(DATOS_[[#This Row],[% normaliz]]=1,DATOS_[[#This Row],[% anualiz]]&lt;&gt;1),"Sí","NO")</f>
        <v>NO</v>
      </c>
      <c r="BV1007" s="137" t="str">
        <f aca="false">IF(AND(DATOS_[[#This Row],[% normaliz]]&lt;&gt;1,DATOS_[[#This Row],[% anualiz]]&lt;&gt;1),"Sí","NO")</f>
        <v>NO</v>
      </c>
      <c r="BW1007" s="137" t="str">
        <f aca="false">+IF(DATOS_[[#This Row],[% normaliz]]*DATOS_[[#This Row],[% anualiz]]=1,"NO","Sí")</f>
        <v>Sí</v>
      </c>
      <c r="BX1007" s="138" t="e">
        <f aca="false">(DATOS_[[#This Row],[S.BASE]]*(1/DATOS_[[#This Row],[% normaliz]])*(1/DATOS_[[#This Row],[% anualiz]]))*IF(DATOS_[[#This Row],[Check Equiparado]]="Sí",1,0)</f>
        <v>#DIV/0!</v>
      </c>
      <c r="BY1007"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7" s="138" t="e">
        <f aca="false">+DATOS_[[#This Row],[SALARIO BASE Eq]]+DATOS_[[#This Row],[Tot COMPL.SAL Eq]]</f>
        <v>#DIV/0!</v>
      </c>
      <c r="CA1007" s="138" t="e">
        <f aca="false" t="array" ref="CA1007:CA10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7" s="138" t="e">
        <f aca="false">+DATOS_[[#This Row],[TOTAL SALARIO Eq]]+DATOS_[[#This Row],[Tot Extrasalarial Eq]]</f>
        <v>#DIV/0!</v>
      </c>
      <c r="CC1007" s="139" t="n">
        <f aca="false">DATOS_[[#This Row],[S.BASE]]</f>
        <v>0</v>
      </c>
      <c r="CD1007" s="139" t="n">
        <f aca="false">+SUM(DATOS_[[#This Row],[Conc.Sal.01]:[Conc.Sal.30]])</f>
        <v>0</v>
      </c>
      <c r="CE1007" s="139" t="n">
        <f aca="false">+DATOS_[[#This Row],[SALARIO BASE Ef]]+DATOS_[[#This Row],[Tot COMPL.SAL Ef]]</f>
        <v>0</v>
      </c>
      <c r="CF1007" s="139" t="n">
        <f aca="false">+SUM(DATOS_[[#This Row],[C.Extra.01]:[C.Extra.05]])</f>
        <v>0</v>
      </c>
      <c r="CG1007" s="139" t="n">
        <f aca="false">+DATOS_[[#This Row],[TOTAL SALARIO Ef]]+DATOS_[[#This Row],[Tot Extrasalarial Ef]]</f>
        <v>0</v>
      </c>
      <c r="CH1007" s="140" t="n">
        <f aca="false">MIN(IF(DATOS_[[#This Row],[Fecha Fin Contrato]]="",$D$4,DATOS_[[#This Row],[Fecha Fin Contrato]]),$D$4)-MAX(DATOS_[[#This Row],[Fecha de Contratación]],$D$3)+1</f>
        <v>1</v>
      </c>
      <c r="CI1007" s="141" t="str">
        <f aca="false">IF(COUNTIFS(DATOS_[id],DATOS_[[#This Row],[id]])&gt;1,DATOS_[[#This Row],[id]],"")</f>
        <v/>
      </c>
      <c r="CJ1007" s="141" t="n">
        <f aca="false">(Inicio!$G$10-DATOS_[[#This Row],[Fecha Nacimiento]])/365.25</f>
        <v>0</v>
      </c>
      <c r="CK1007" s="141" t="n">
        <f aca="false">(Inicio!$G$10-DATOS_[[#This Row],[Fecha de Antigüedad]])/365.25</f>
        <v>0</v>
      </c>
      <c r="CL1007" s="141" t="e">
        <f aca="false">+VLOOKUP(DATOS_[[#This Row],[Clave de Contrato]],TblTiposContrato13[],3,0)</f>
        <v>#N/A</v>
      </c>
      <c r="CM1007" s="141" t="e">
        <f aca="false">+VLOOKUP(DATOS_[[#This Row],[Clave de Contrato]],TblTiposContrato13[],4,0)</f>
        <v>#N/A</v>
      </c>
      <c r="CN1007" s="141" t="str">
        <f aca="false">VLOOKUP(DATOS_[[#This Row],[Edad]],CONTRATOS!TblRngEdad,2,1)</f>
        <v>20  o menos</v>
      </c>
      <c r="CO1007" s="141" t="str">
        <f aca="false">VLOOKUP(DATOS_[[#This Row],[Antigüedad]],TblRngAntg14[],2,1)</f>
        <v>0 a 1 años</v>
      </c>
    </row>
    <row r="1008" customFormat="false" ht="13.8" hidden="false" customHeight="false" outlineLevel="0" collapsed="false">
      <c r="D1008" s="128"/>
      <c r="E1008" s="129"/>
      <c r="F1008" s="129"/>
      <c r="G1008" s="129"/>
      <c r="H1008" s="130"/>
      <c r="I1008" s="131"/>
      <c r="J1008" s="128"/>
      <c r="K1008" s="132"/>
      <c r="L1008" s="132"/>
      <c r="M1008" s="133"/>
      <c r="N1008" s="133"/>
      <c r="O1008" s="133"/>
      <c r="P1008" s="129"/>
      <c r="Z1008" s="75"/>
      <c r="AA1008" s="76"/>
      <c r="AB1008" s="76"/>
      <c r="AC1008" s="129"/>
      <c r="AD1008" s="134"/>
      <c r="AE1008" s="134"/>
      <c r="AF1008" s="134"/>
      <c r="AG1008" s="134"/>
      <c r="AH1008" s="134"/>
      <c r="AI1008" s="134"/>
      <c r="AJ1008" s="134"/>
      <c r="AK1008" s="134"/>
      <c r="AL1008" s="134"/>
      <c r="AM1008" s="134"/>
      <c r="AN1008" s="134"/>
      <c r="AO1008" s="134"/>
      <c r="AP1008" s="134"/>
      <c r="AQ1008" s="134"/>
      <c r="AR1008" s="134"/>
      <c r="AS1008" s="134"/>
      <c r="AT1008" s="134"/>
      <c r="AU1008" s="134"/>
      <c r="AV1008" s="134"/>
      <c r="AW1008" s="134"/>
      <c r="AX1008" s="134"/>
      <c r="AY1008" s="134"/>
      <c r="AZ1008" s="134"/>
      <c r="BA1008" s="134"/>
      <c r="BB1008" s="134"/>
      <c r="BC1008" s="134"/>
      <c r="BD1008" s="134"/>
      <c r="BE1008" s="134"/>
      <c r="BF1008" s="134"/>
      <c r="BG1008" s="134"/>
      <c r="BH1008" s="134"/>
      <c r="BI1008" s="134"/>
      <c r="BJ1008" s="134"/>
      <c r="BK1008" s="134"/>
      <c r="BL1008" s="134"/>
      <c r="BM1008" s="135"/>
      <c r="BN1008" s="136" t="n">
        <f aca="false">+MAX($D$3,DATOS_[[#This Row],[Fecha Inicio Sit. Contract.]])</f>
        <v>0</v>
      </c>
      <c r="BO1008" s="136" t="n">
        <f aca="false">+MIN($D$4,DATOS_[[#This Row],[Fecha Fin Sit. Contract.]])</f>
        <v>0</v>
      </c>
      <c r="BP1008" s="137" t="n">
        <f aca="false">+DATOS_[[#This Row],[% de jornada]]*IF(DATOS_[[#This Row],[% jornada reducida]]="",1,DATOS_[[#This Row],[% jornada reducida]])</f>
        <v>0</v>
      </c>
      <c r="BQ1008" s="137" t="n">
        <f aca="false">+(DATOS_[[#This Row],[F.fin.cal]]-DATOS_[[#This Row],[F.ini.cal]]+1)/($D$4-$D$3+1)</f>
        <v>1</v>
      </c>
      <c r="BR1008" s="137" t="str">
        <f aca="false">IF(OR(AND(DATOS_[[#This Row],[Fecha Fin Contrato]]&lt;$D$3,DATOS_[[#This Row],[Fecha Fin Contrato]]&lt;&gt;""),DATOS_[[#This Row],[Fecha de Contratación]]&gt;$D$4),"Fuera","Dentro")</f>
        <v>Dentro</v>
      </c>
      <c r="BS1008" s="137" t="str">
        <f aca="false" t="array" ref="BS1008:BS1008">IF(MAX(IF(DATOS_[id]=DATOS_[[#This Row],[id]],DATOS_[F.fin.cal]))=DATOS_[[#This Row],[F.fin.cal]],"Sí","NO")</f>
        <v>Sí</v>
      </c>
      <c r="BT1008" s="137" t="str">
        <f aca="false">IF(AND(DATOS_[[#This Row],[% normaliz]]&lt;&gt;1,DATOS_[[#This Row],[% anualiz]]=1),"Sí","NO")</f>
        <v>Sí</v>
      </c>
      <c r="BU1008" s="137" t="str">
        <f aca="false">IF(AND(DATOS_[[#This Row],[% normaliz]]=1,DATOS_[[#This Row],[% anualiz]]&lt;&gt;1),"Sí","NO")</f>
        <v>NO</v>
      </c>
      <c r="BV1008" s="137" t="str">
        <f aca="false">IF(AND(DATOS_[[#This Row],[% normaliz]]&lt;&gt;1,DATOS_[[#This Row],[% anualiz]]&lt;&gt;1),"Sí","NO")</f>
        <v>NO</v>
      </c>
      <c r="BW1008" s="137" t="str">
        <f aca="false">+IF(DATOS_[[#This Row],[% normaliz]]*DATOS_[[#This Row],[% anualiz]]=1,"NO","Sí")</f>
        <v>Sí</v>
      </c>
      <c r="BX1008" s="138" t="e">
        <f aca="false">(DATOS_[[#This Row],[S.BASE]]*(1/DATOS_[[#This Row],[% normaliz]])*(1/DATOS_[[#This Row],[% anualiz]]))*IF(DATOS_[[#This Row],[Check Equiparado]]="Sí",1,0)</f>
        <v>#DIV/0!</v>
      </c>
      <c r="BY1008" s="138" t="e">
        <f aca="false">(SUMPRODUCT((RngTipo=$BY$7)*(rngAnualizable="Sí")*(rngNormalizable="Sí")*(DATOS_[[#This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8" s="138" t="e">
        <f aca="false">+DATOS_[[#This Row],[SALARIO BASE Eq]]+DATOS_[[#This Row],[Tot COMPL.SAL Eq]]</f>
        <v>#DIV/0!</v>
      </c>
      <c r="CA1008" s="138" t="e">
        <f aca="false" t="array" ref="CA1008:CA10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8" s="138" t="e">
        <f aca="false">+DATOS_[[#This Row],[TOTAL SALARIO Eq]]+DATOS_[[#This Row],[Tot Extrasalarial Eq]]</f>
        <v>#DIV/0!</v>
      </c>
      <c r="CC1008" s="139" t="n">
        <f aca="false">DATOS_[[#This Row],[S.BASE]]</f>
        <v>0</v>
      </c>
      <c r="CD1008" s="139" t="n">
        <f aca="false">+SUM(DATOS_[[#This Row],[Conc.Sal.01]:[Conc.Sal.30]])</f>
        <v>0</v>
      </c>
      <c r="CE1008" s="139" t="n">
        <f aca="false">+DATOS_[[#This Row],[SALARIO BASE Ef]]+DATOS_[[#This Row],[Tot COMPL.SAL Ef]]</f>
        <v>0</v>
      </c>
      <c r="CF1008" s="139" t="n">
        <f aca="false">+SUM(DATOS_[[#This Row],[C.Extra.01]:[C.Extra.05]])</f>
        <v>0</v>
      </c>
      <c r="CG1008" s="139" t="n">
        <f aca="false">+DATOS_[[#This Row],[TOTAL SALARIO Ef]]+DATOS_[[#This Row],[Tot Extrasalarial Ef]]</f>
        <v>0</v>
      </c>
      <c r="CH1008" s="140" t="n">
        <f aca="false">MIN(IF(DATOS_[[#This Row],[Fecha Fin Contrato]]="",$D$4,DATOS_[[#This Row],[Fecha Fin Contrato]]),$D$4)-MAX(DATOS_[[#This Row],[Fecha de Contratación]],$D$3)+1</f>
        <v>1</v>
      </c>
      <c r="CI1008" s="141" t="str">
        <f aca="false">IF(COUNTIFS(DATOS_[id],DATOS_[[#This Row],[id]])&gt;1,DATOS_[[#This Row],[id]],"")</f>
        <v/>
      </c>
      <c r="CJ1008" s="141" t="n">
        <f aca="false">(Inicio!$G$10-DATOS_[[#This Row],[Fecha Nacimiento]])/365.25</f>
        <v>0</v>
      </c>
      <c r="CK1008" s="141" t="n">
        <f aca="false">(Inicio!$G$10-DATOS_[[#This Row],[Fecha de Antigüedad]])/365.25</f>
        <v>0</v>
      </c>
      <c r="CL1008" s="141" t="e">
        <f aca="false">+VLOOKUP(DATOS_[[#This Row],[Clave de Contrato]],TblTiposContrato13[],3,0)</f>
        <v>#N/A</v>
      </c>
      <c r="CM1008" s="141" t="e">
        <f aca="false">+VLOOKUP(DATOS_[[#This Row],[Clave de Contrato]],TblTiposContrato13[],4,0)</f>
        <v>#N/A</v>
      </c>
      <c r="CN1008" s="141" t="str">
        <f aca="false">VLOOKUP(DATOS_[[#This Row],[Edad]],CONTRATOS!TblRngEdad,2,1)</f>
        <v>20  o menos</v>
      </c>
      <c r="CO1008" s="141" t="str">
        <f aca="false">VLOOKUP(DATOS_[[#This Row],[Antigüedad]],TblRngAntg14[],2,1)</f>
        <v>0 a 1 años</v>
      </c>
    </row>
  </sheetData>
  <conditionalFormatting sqref="B9:B1008">
    <cfRule type="duplicateValues" priority="2" aboveAverage="0" equalAverage="0" bottom="0" percent="0" rank="0" text="" dxfId="0"/>
  </conditionalFormatting>
  <dataValidations count="3">
    <dataValidation allowBlank="true" operator="between" showDropDown="false" showErrorMessage="true" showInputMessage="true" sqref="W9:W1008" type="list">
      <formula1>AGR_CL_EMP</formula1>
      <formula2>0</formula2>
    </dataValidation>
    <dataValidation allowBlank="true" operator="between" showDropDown="false" showErrorMessage="true" showInputMessage="true" sqref="C9:C1008" type="list">
      <formula1>"Mujer,Hombre"</formula1>
      <formula2>0</formula2>
    </dataValidation>
    <dataValidation allowBlank="true" operator="between" showDropDown="false" showErrorMessage="true" showInputMessage="true" sqref="X9:X1008" type="list">
      <formula1>AGR_VAL_PTO</formula1>
      <formula2>0</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C000"/>
    <pageSetUpPr fitToPage="true"/>
  </sheetPr>
  <dimension ref="B2:L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16" activeCellId="0" sqref="D16"/>
    </sheetView>
  </sheetViews>
  <sheetFormatPr defaultColWidth="9.20703125" defaultRowHeight="15" zeroHeight="false" outlineLevelRow="0" outlineLevelCol="0"/>
  <cols>
    <col collapsed="false" customWidth="true" hidden="false" outlineLevel="0" max="4" min="4" style="0" width="16.28"/>
    <col collapsed="false" customWidth="true" hidden="false" outlineLevel="0" max="21" min="5" style="0" width="9.41"/>
  </cols>
  <sheetData>
    <row r="2" customFormat="false" ht="21.6" hidden="false" customHeight="true" outlineLevel="0" collapsed="false"/>
    <row r="8" customFormat="false" ht="18.75" hidden="false" customHeight="false" outlineLevel="0" collapsed="false">
      <c r="C8" s="142" t="s">
        <v>281</v>
      </c>
      <c r="D8" s="143"/>
      <c r="E8" s="143"/>
      <c r="F8" s="143"/>
      <c r="G8" s="143"/>
      <c r="H8" s="143"/>
      <c r="I8" s="143"/>
      <c r="J8" s="143"/>
    </row>
    <row r="10" customFormat="false" ht="15" hidden="false" customHeight="false" outlineLevel="0" collapsed="false">
      <c r="C10" s="12" t="s">
        <v>282</v>
      </c>
      <c r="E10" s="12" t="s">
        <v>267</v>
      </c>
    </row>
    <row r="11" s="144" customFormat="true" ht="31.9" hidden="false" customHeight="true" outlineLevel="0" collapsed="false">
      <c r="C11" s="12" t="s">
        <v>71</v>
      </c>
      <c r="D11" s="144" t="s">
        <v>63</v>
      </c>
      <c r="E11" s="144" t="s">
        <v>283</v>
      </c>
    </row>
    <row r="12" customFormat="false" ht="15" hidden="false" customHeight="false" outlineLevel="0" collapsed="false">
      <c r="C12" s="0" t="s">
        <v>283</v>
      </c>
      <c r="D12" s="0" t="s">
        <v>283</v>
      </c>
    </row>
    <row r="99" customFormat="false" ht="18.75" hidden="false" customHeight="false" outlineLevel="0" collapsed="false">
      <c r="B99" s="145" t="s">
        <v>284</v>
      </c>
      <c r="C99" s="146"/>
      <c r="D99" s="146"/>
      <c r="E99" s="146"/>
      <c r="F99" s="146"/>
      <c r="G99" s="146"/>
      <c r="H99" s="146"/>
      <c r="I99" s="146"/>
      <c r="J99" s="146"/>
      <c r="K99" s="146"/>
      <c r="L99" s="146"/>
    </row>
    <row r="101" customFormat="false" ht="41.25" hidden="false" customHeight="false" outlineLevel="0" collapsed="false">
      <c r="C101" s="12" t="s">
        <v>285</v>
      </c>
      <c r="E101" s="77" t="s">
        <v>76</v>
      </c>
    </row>
    <row r="102" customFormat="false" ht="15" hidden="false" customHeight="false" outlineLevel="0" collapsed="false">
      <c r="C102" s="12" t="s">
        <v>71</v>
      </c>
      <c r="D102" s="12" t="s">
        <v>63</v>
      </c>
      <c r="E102" s="0" t="s">
        <v>283</v>
      </c>
    </row>
    <row r="103" customFormat="false" ht="15" hidden="false" customHeight="false" outlineLevel="0" collapsed="false">
      <c r="C103" s="0" t="s">
        <v>283</v>
      </c>
      <c r="D103" s="0" t="s">
        <v>283</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0" pageOrder="downThenOver" orientation="portrait" blackAndWhite="false" draft="false" cellComments="none" useFirstPageNumber="false" horizontalDpi="300" verticalDpi="300" copies="1"/>
  <headerFooter differentFirst="false" differentOddEven="false">
    <oddHeader/>
    <oddFooter/>
  </headerFooter>
  <rowBreaks count="1" manualBreakCount="1">
    <brk id="97"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0070C0"/>
    <pageSetUpPr fitToPage="true"/>
  </sheetPr>
  <dimension ref="A2:Q4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0.66796875" defaultRowHeight="15" zeroHeight="false" outlineLevelRow="0" outlineLevelCol="0"/>
  <cols>
    <col collapsed="false" customWidth="true" hidden="false" outlineLevel="0" max="1" min="1" style="0" width="8.74"/>
    <col collapsed="false" customWidth="true" hidden="true" outlineLevel="0" max="2" min="2" style="0" width="4.32"/>
    <col collapsed="false" customWidth="true" hidden="true" outlineLevel="0" max="3" min="3" style="0" width="3.89"/>
    <col collapsed="false" customWidth="true" hidden="false" outlineLevel="0" max="4" min="4" style="0" width="5.11"/>
    <col collapsed="false" customWidth="true" hidden="false" outlineLevel="0" max="5" min="5" style="0" width="102.24"/>
    <col collapsed="false" customWidth="true" hidden="false" outlineLevel="0" max="7" min="7" style="0" width="11.69"/>
    <col collapsed="false" customWidth="true" hidden="false" outlineLevel="0" max="8" min="8" style="0" width="5.11"/>
    <col collapsed="false" customWidth="true" hidden="false" outlineLevel="0" max="9" min="9" style="0" width="4.05"/>
    <col collapsed="false" customWidth="true" hidden="true" outlineLevel="0" max="10" min="10" style="0" width="7.8"/>
    <col collapsed="false" customWidth="true" hidden="true" outlineLevel="0" max="11" min="11" style="0" width="14.93"/>
    <col collapsed="false" customWidth="true" hidden="true" outlineLevel="0" max="12" min="12" style="0" width="10.17"/>
    <col collapsed="false" customWidth="true" hidden="true" outlineLevel="0" max="13" min="13" style="0" width="12.5"/>
    <col collapsed="false" customWidth="true" hidden="true" outlineLevel="0" max="14" min="14" style="0" width="13.18"/>
    <col collapsed="false" customWidth="true" hidden="true" outlineLevel="0" max="15" min="15" style="0" width="10.17"/>
    <col collapsed="false" customWidth="true" hidden="false" outlineLevel="0" max="17" min="17" style="0" width="44.12"/>
  </cols>
  <sheetData>
    <row r="2" customFormat="false" ht="15" hidden="false" customHeight="false" outlineLevel="0" collapsed="false">
      <c r="D2" s="147" t="s">
        <v>286</v>
      </c>
      <c r="E2" s="148"/>
      <c r="F2" s="148"/>
      <c r="G2" s="148"/>
      <c r="J2" s="149" t="s">
        <v>287</v>
      </c>
      <c r="K2" s="149"/>
      <c r="M2" s="149" t="s">
        <v>288</v>
      </c>
      <c r="N2" s="149"/>
      <c r="P2" s="150" t="s">
        <v>289</v>
      </c>
      <c r="Q2" s="150"/>
    </row>
    <row r="3" customFormat="false" ht="15" hidden="false" customHeight="false" outlineLevel="0" collapsed="false">
      <c r="J3" s="12"/>
      <c r="K3" s="12"/>
      <c r="M3" s="12"/>
      <c r="N3" s="12"/>
      <c r="P3" s="151"/>
      <c r="Q3" s="151"/>
    </row>
    <row r="4" s="152" customFormat="true" ht="34.5" hidden="false" customHeight="false" outlineLevel="0" collapsed="false">
      <c r="D4" s="153" t="s">
        <v>168</v>
      </c>
      <c r="E4" s="154" t="s">
        <v>10</v>
      </c>
      <c r="F4" s="154" t="s">
        <v>277</v>
      </c>
      <c r="G4" s="154" t="s">
        <v>278</v>
      </c>
      <c r="J4" s="155" t="s">
        <v>290</v>
      </c>
      <c r="K4" s="156" t="s">
        <v>291</v>
      </c>
      <c r="M4" s="157" t="s">
        <v>290</v>
      </c>
      <c r="N4" s="158" t="s">
        <v>291</v>
      </c>
      <c r="P4" s="159" t="s">
        <v>168</v>
      </c>
      <c r="Q4" s="159" t="s">
        <v>10</v>
      </c>
    </row>
    <row r="5" customFormat="false" ht="15" hidden="false" customHeight="false" outlineLevel="0" collapsed="false">
      <c r="D5" s="160" t="n">
        <v>100</v>
      </c>
      <c r="E5" s="161" t="s">
        <v>292</v>
      </c>
      <c r="F5" s="161" t="s">
        <v>293</v>
      </c>
      <c r="G5" s="161" t="s">
        <v>294</v>
      </c>
      <c r="J5" s="162" t="n">
        <v>0</v>
      </c>
      <c r="K5" s="163" t="s">
        <v>295</v>
      </c>
      <c r="M5" s="164" t="n">
        <v>0</v>
      </c>
      <c r="N5" s="165" t="s">
        <v>296</v>
      </c>
      <c r="P5" s="163"/>
      <c r="Q5" s="163" t="s">
        <v>297</v>
      </c>
    </row>
    <row r="6" customFormat="false" ht="15" hidden="false" customHeight="false" outlineLevel="0" collapsed="false">
      <c r="D6" s="160" t="n">
        <v>109</v>
      </c>
      <c r="E6" s="161" t="s">
        <v>298</v>
      </c>
      <c r="F6" s="161" t="s">
        <v>293</v>
      </c>
      <c r="G6" s="161" t="s">
        <v>294</v>
      </c>
      <c r="J6" s="162" t="n">
        <v>1</v>
      </c>
      <c r="K6" s="163" t="s">
        <v>299</v>
      </c>
      <c r="M6" s="164" t="n">
        <v>20</v>
      </c>
      <c r="N6" s="165" t="s">
        <v>300</v>
      </c>
      <c r="P6" s="163" t="s">
        <v>301</v>
      </c>
      <c r="Q6" s="163" t="s">
        <v>302</v>
      </c>
    </row>
    <row r="7" customFormat="false" ht="15" hidden="false" customHeight="false" outlineLevel="0" collapsed="false">
      <c r="D7" s="160" t="n">
        <v>130</v>
      </c>
      <c r="E7" s="161" t="s">
        <v>303</v>
      </c>
      <c r="F7" s="161" t="s">
        <v>293</v>
      </c>
      <c r="G7" s="161" t="s">
        <v>294</v>
      </c>
      <c r="J7" s="162" t="n">
        <v>3</v>
      </c>
      <c r="K7" s="163" t="s">
        <v>304</v>
      </c>
      <c r="M7" s="164" t="n">
        <v>25</v>
      </c>
      <c r="N7" s="165" t="s">
        <v>305</v>
      </c>
      <c r="P7" s="163" t="s">
        <v>306</v>
      </c>
      <c r="Q7" s="163" t="s">
        <v>307</v>
      </c>
    </row>
    <row r="8" customFormat="false" ht="15" hidden="false" customHeight="false" outlineLevel="0" collapsed="false">
      <c r="D8" s="160" t="n">
        <v>139</v>
      </c>
      <c r="E8" s="161" t="s">
        <v>308</v>
      </c>
      <c r="F8" s="161" t="s">
        <v>293</v>
      </c>
      <c r="G8" s="161" t="s">
        <v>294</v>
      </c>
      <c r="J8" s="162" t="n">
        <v>5</v>
      </c>
      <c r="K8" s="163" t="s">
        <v>309</v>
      </c>
      <c r="M8" s="164" t="n">
        <v>30</v>
      </c>
      <c r="N8" s="165" t="s">
        <v>310</v>
      </c>
      <c r="P8" s="163" t="s">
        <v>311</v>
      </c>
      <c r="Q8" s="163" t="s">
        <v>312</v>
      </c>
    </row>
    <row r="9" customFormat="false" ht="15" hidden="false" customHeight="false" outlineLevel="0" collapsed="false">
      <c r="D9" s="160" t="n">
        <v>150</v>
      </c>
      <c r="E9" s="161" t="s">
        <v>313</v>
      </c>
      <c r="F9" s="161" t="s">
        <v>293</v>
      </c>
      <c r="G9" s="161" t="s">
        <v>294</v>
      </c>
      <c r="J9" s="162" t="n">
        <v>10</v>
      </c>
      <c r="K9" s="163" t="s">
        <v>314</v>
      </c>
      <c r="M9" s="164" t="n">
        <v>35</v>
      </c>
      <c r="N9" s="165" t="s">
        <v>315</v>
      </c>
      <c r="P9" s="163" t="s">
        <v>316</v>
      </c>
      <c r="Q9" s="163" t="s">
        <v>317</v>
      </c>
    </row>
    <row r="10" customFormat="false" ht="15" hidden="false" customHeight="false" outlineLevel="0" collapsed="false">
      <c r="D10" s="160" t="n">
        <v>189</v>
      </c>
      <c r="E10" s="161" t="s">
        <v>318</v>
      </c>
      <c r="F10" s="161" t="s">
        <v>293</v>
      </c>
      <c r="G10" s="161" t="s">
        <v>294</v>
      </c>
      <c r="J10" s="162" t="n">
        <v>15</v>
      </c>
      <c r="K10" s="163" t="s">
        <v>319</v>
      </c>
      <c r="M10" s="164" t="n">
        <v>40</v>
      </c>
      <c r="N10" s="165" t="s">
        <v>320</v>
      </c>
    </row>
    <row r="11" customFormat="false" ht="15" hidden="false" customHeight="false" outlineLevel="0" collapsed="false">
      <c r="D11" s="160" t="n">
        <v>200</v>
      </c>
      <c r="E11" s="161" t="s">
        <v>321</v>
      </c>
      <c r="F11" s="161" t="s">
        <v>322</v>
      </c>
      <c r="G11" s="161" t="s">
        <v>294</v>
      </c>
      <c r="M11" s="164" t="n">
        <v>45</v>
      </c>
      <c r="N11" s="165" t="s">
        <v>323</v>
      </c>
    </row>
    <row r="12" customFormat="false" ht="15" hidden="false" customHeight="false" outlineLevel="0" collapsed="false">
      <c r="D12" s="160" t="n">
        <v>209</v>
      </c>
      <c r="E12" s="161" t="s">
        <v>324</v>
      </c>
      <c r="F12" s="161" t="s">
        <v>322</v>
      </c>
      <c r="G12" s="161" t="s">
        <v>294</v>
      </c>
      <c r="M12" s="164" t="n">
        <v>50</v>
      </c>
      <c r="N12" s="165" t="s">
        <v>325</v>
      </c>
    </row>
    <row r="13" customFormat="false" ht="15" hidden="false" customHeight="false" outlineLevel="0" collapsed="false">
      <c r="D13" s="160" t="n">
        <v>230</v>
      </c>
      <c r="E13" s="161" t="s">
        <v>326</v>
      </c>
      <c r="F13" s="161" t="s">
        <v>322</v>
      </c>
      <c r="G13" s="161" t="s">
        <v>294</v>
      </c>
      <c r="M13" s="164" t="n">
        <v>55</v>
      </c>
      <c r="N13" s="165" t="s">
        <v>327</v>
      </c>
    </row>
    <row r="14" customFormat="false" ht="15" hidden="false" customHeight="false" outlineLevel="0" collapsed="false">
      <c r="D14" s="160" t="n">
        <v>239</v>
      </c>
      <c r="E14" s="161" t="s">
        <v>328</v>
      </c>
      <c r="F14" s="161" t="s">
        <v>322</v>
      </c>
      <c r="G14" s="161" t="s">
        <v>294</v>
      </c>
      <c r="M14" s="164" t="n">
        <v>60</v>
      </c>
      <c r="N14" s="165" t="s">
        <v>329</v>
      </c>
    </row>
    <row r="15" customFormat="false" ht="15" hidden="false" customHeight="false" outlineLevel="0" collapsed="false">
      <c r="D15" s="160" t="n">
        <v>250</v>
      </c>
      <c r="E15" s="161" t="s">
        <v>330</v>
      </c>
      <c r="F15" s="161" t="s">
        <v>322</v>
      </c>
      <c r="G15" s="161" t="s">
        <v>294</v>
      </c>
    </row>
    <row r="16" customFormat="false" ht="15" hidden="false" customHeight="false" outlineLevel="0" collapsed="false">
      <c r="D16" s="160" t="n">
        <v>289</v>
      </c>
      <c r="E16" s="161" t="s">
        <v>331</v>
      </c>
      <c r="F16" s="161" t="s">
        <v>322</v>
      </c>
      <c r="G16" s="161" t="s">
        <v>294</v>
      </c>
    </row>
    <row r="17" customFormat="false" ht="15" hidden="false" customHeight="false" outlineLevel="0" collapsed="false">
      <c r="D17" s="160" t="n">
        <v>300</v>
      </c>
      <c r="E17" s="161" t="s">
        <v>332</v>
      </c>
      <c r="F17" s="161" t="s">
        <v>333</v>
      </c>
      <c r="G17" s="161" t="s">
        <v>334</v>
      </c>
    </row>
    <row r="18" customFormat="false" ht="15" hidden="false" customHeight="false" outlineLevel="0" collapsed="false">
      <c r="D18" s="160" t="n">
        <v>309</v>
      </c>
      <c r="E18" s="161" t="s">
        <v>335</v>
      </c>
      <c r="F18" s="161" t="s">
        <v>333</v>
      </c>
      <c r="G18" s="161" t="s">
        <v>334</v>
      </c>
    </row>
    <row r="19" customFormat="false" ht="15" hidden="false" customHeight="false" outlineLevel="0" collapsed="false">
      <c r="D19" s="160" t="n">
        <v>330</v>
      </c>
      <c r="E19" s="161" t="s">
        <v>336</v>
      </c>
      <c r="F19" s="161" t="s">
        <v>333</v>
      </c>
      <c r="G19" s="161" t="s">
        <v>334</v>
      </c>
    </row>
    <row r="20" customFormat="false" ht="15" hidden="false" customHeight="false" outlineLevel="0" collapsed="false">
      <c r="D20" s="160" t="n">
        <v>339</v>
      </c>
      <c r="E20" s="161" t="s">
        <v>337</v>
      </c>
      <c r="F20" s="161" t="s">
        <v>333</v>
      </c>
      <c r="G20" s="161" t="s">
        <v>334</v>
      </c>
    </row>
    <row r="21" customFormat="false" ht="15" hidden="false" customHeight="false" outlineLevel="0" collapsed="false">
      <c r="D21" s="160" t="n">
        <v>350</v>
      </c>
      <c r="E21" s="161" t="s">
        <v>338</v>
      </c>
      <c r="F21" s="161" t="s">
        <v>333</v>
      </c>
      <c r="G21" s="161" t="s">
        <v>334</v>
      </c>
    </row>
    <row r="22" customFormat="false" ht="15" hidden="false" customHeight="false" outlineLevel="0" collapsed="false">
      <c r="D22" s="160" t="n">
        <v>389</v>
      </c>
      <c r="E22" s="161" t="s">
        <v>339</v>
      </c>
      <c r="F22" s="161" t="s">
        <v>333</v>
      </c>
      <c r="G22" s="161" t="s">
        <v>334</v>
      </c>
    </row>
    <row r="23" customFormat="false" ht="15" hidden="false" customHeight="false" outlineLevel="0" collapsed="false">
      <c r="D23" s="160" t="n">
        <v>401</v>
      </c>
      <c r="E23" s="161" t="s">
        <v>340</v>
      </c>
      <c r="F23" s="161" t="s">
        <v>293</v>
      </c>
      <c r="G23" s="161" t="s">
        <v>341</v>
      </c>
    </row>
    <row r="24" customFormat="false" ht="15" hidden="false" customHeight="false" outlineLevel="0" collapsed="false">
      <c r="D24" s="160" t="n">
        <v>402</v>
      </c>
      <c r="E24" s="161" t="s">
        <v>342</v>
      </c>
      <c r="F24" s="161" t="s">
        <v>293</v>
      </c>
      <c r="G24" s="161" t="s">
        <v>341</v>
      </c>
    </row>
    <row r="25" customFormat="false" ht="15" hidden="false" customHeight="false" outlineLevel="0" collapsed="false">
      <c r="D25" s="160" t="n">
        <v>403</v>
      </c>
      <c r="E25" s="161" t="s">
        <v>343</v>
      </c>
      <c r="F25" s="161" t="s">
        <v>293</v>
      </c>
      <c r="G25" s="161" t="s">
        <v>341</v>
      </c>
    </row>
    <row r="26" customFormat="false" ht="15" hidden="false" customHeight="false" outlineLevel="0" collapsed="false">
      <c r="A26" s="152"/>
      <c r="B26" s="152"/>
      <c r="D26" s="160" t="n">
        <v>408</v>
      </c>
      <c r="E26" s="161" t="s">
        <v>344</v>
      </c>
      <c r="F26" s="161" t="s">
        <v>293</v>
      </c>
      <c r="G26" s="161" t="s">
        <v>341</v>
      </c>
    </row>
    <row r="27" customFormat="false" ht="15" hidden="false" customHeight="false" outlineLevel="0" collapsed="false">
      <c r="D27" s="160" t="n">
        <v>410</v>
      </c>
      <c r="E27" s="161" t="s">
        <v>345</v>
      </c>
      <c r="F27" s="161" t="s">
        <v>293</v>
      </c>
      <c r="G27" s="161" t="s">
        <v>341</v>
      </c>
    </row>
    <row r="28" customFormat="false" ht="15" hidden="false" customHeight="false" outlineLevel="0" collapsed="false">
      <c r="D28" s="160" t="n">
        <v>418</v>
      </c>
      <c r="E28" s="161" t="s">
        <v>346</v>
      </c>
      <c r="F28" s="161" t="s">
        <v>293</v>
      </c>
      <c r="G28" s="161" t="s">
        <v>341</v>
      </c>
    </row>
    <row r="29" customFormat="false" ht="15" hidden="false" customHeight="false" outlineLevel="0" collapsed="false">
      <c r="D29" s="160" t="n">
        <v>420</v>
      </c>
      <c r="E29" s="161" t="s">
        <v>347</v>
      </c>
      <c r="F29" s="161" t="s">
        <v>293</v>
      </c>
      <c r="G29" s="161" t="s">
        <v>341</v>
      </c>
    </row>
    <row r="30" customFormat="false" ht="15" hidden="false" customHeight="false" outlineLevel="0" collapsed="false">
      <c r="D30" s="160" t="n">
        <v>421</v>
      </c>
      <c r="E30" s="161" t="s">
        <v>348</v>
      </c>
      <c r="F30" s="161" t="s">
        <v>293</v>
      </c>
      <c r="G30" s="161" t="s">
        <v>341</v>
      </c>
    </row>
    <row r="31" customFormat="false" ht="15" hidden="false" customHeight="false" outlineLevel="0" collapsed="false">
      <c r="D31" s="160" t="n">
        <v>430</v>
      </c>
      <c r="E31" s="161" t="s">
        <v>349</v>
      </c>
      <c r="F31" s="161" t="s">
        <v>293</v>
      </c>
      <c r="G31" s="161" t="s">
        <v>341</v>
      </c>
    </row>
    <row r="32" customFormat="false" ht="15" hidden="false" customHeight="false" outlineLevel="0" collapsed="false">
      <c r="D32" s="160" t="n">
        <v>441</v>
      </c>
      <c r="E32" s="161" t="s">
        <v>350</v>
      </c>
      <c r="F32" s="161" t="s">
        <v>293</v>
      </c>
      <c r="G32" s="161" t="s">
        <v>341</v>
      </c>
    </row>
    <row r="33" customFormat="false" ht="15" hidden="false" customHeight="false" outlineLevel="0" collapsed="false">
      <c r="D33" s="160" t="n">
        <v>450</v>
      </c>
      <c r="E33" s="161" t="s">
        <v>351</v>
      </c>
      <c r="F33" s="161" t="s">
        <v>293</v>
      </c>
      <c r="G33" s="161" t="s">
        <v>341</v>
      </c>
    </row>
    <row r="34" customFormat="false" ht="15" hidden="false" customHeight="false" outlineLevel="0" collapsed="false">
      <c r="D34" s="160" t="n">
        <v>452</v>
      </c>
      <c r="E34" s="161" t="s">
        <v>352</v>
      </c>
      <c r="F34" s="161" t="s">
        <v>293</v>
      </c>
      <c r="G34" s="161" t="s">
        <v>341</v>
      </c>
    </row>
    <row r="35" customFormat="false" ht="15" hidden="false" customHeight="false" outlineLevel="0" collapsed="false">
      <c r="D35" s="160" t="n">
        <v>501</v>
      </c>
      <c r="E35" s="161" t="s">
        <v>353</v>
      </c>
      <c r="F35" s="161" t="s">
        <v>322</v>
      </c>
      <c r="G35" s="161" t="s">
        <v>341</v>
      </c>
    </row>
    <row r="36" customFormat="false" ht="15" hidden="false" customHeight="false" outlineLevel="0" collapsed="false">
      <c r="D36" s="160" t="n">
        <v>502</v>
      </c>
      <c r="E36" s="161" t="s">
        <v>354</v>
      </c>
      <c r="F36" s="161" t="s">
        <v>322</v>
      </c>
      <c r="G36" s="161" t="s">
        <v>341</v>
      </c>
    </row>
    <row r="37" customFormat="false" ht="15" hidden="false" customHeight="false" outlineLevel="0" collapsed="false">
      <c r="D37" s="160" t="n">
        <v>503</v>
      </c>
      <c r="E37" s="161" t="s">
        <v>355</v>
      </c>
      <c r="F37" s="161" t="s">
        <v>322</v>
      </c>
      <c r="G37" s="161" t="s">
        <v>341</v>
      </c>
    </row>
    <row r="38" customFormat="false" ht="15" hidden="false" customHeight="false" outlineLevel="0" collapsed="false">
      <c r="D38" s="160" t="n">
        <v>508</v>
      </c>
      <c r="E38" s="161" t="s">
        <v>356</v>
      </c>
      <c r="F38" s="161" t="s">
        <v>322</v>
      </c>
      <c r="G38" s="161" t="s">
        <v>341</v>
      </c>
    </row>
    <row r="39" customFormat="false" ht="15" hidden="false" customHeight="false" outlineLevel="0" collapsed="false">
      <c r="D39" s="160" t="n">
        <v>510</v>
      </c>
      <c r="E39" s="161" t="s">
        <v>357</v>
      </c>
      <c r="F39" s="161" t="s">
        <v>322</v>
      </c>
      <c r="G39" s="161" t="s">
        <v>341</v>
      </c>
    </row>
    <row r="40" customFormat="false" ht="15" hidden="false" customHeight="false" outlineLevel="0" collapsed="false">
      <c r="D40" s="160" t="n">
        <v>518</v>
      </c>
      <c r="E40" s="161" t="s">
        <v>358</v>
      </c>
      <c r="F40" s="161" t="s">
        <v>322</v>
      </c>
      <c r="G40" s="161" t="s">
        <v>341</v>
      </c>
    </row>
    <row r="41" customFormat="false" ht="15" hidden="false" customHeight="false" outlineLevel="0" collapsed="false">
      <c r="D41" s="160" t="n">
        <v>520</v>
      </c>
      <c r="E41" s="161" t="s">
        <v>359</v>
      </c>
      <c r="F41" s="161" t="s">
        <v>322</v>
      </c>
      <c r="G41" s="161" t="s">
        <v>341</v>
      </c>
    </row>
    <row r="42" customFormat="false" ht="15" hidden="false" customHeight="false" outlineLevel="0" collapsed="false">
      <c r="D42" s="160" t="n">
        <v>530</v>
      </c>
      <c r="E42" s="161" t="s">
        <v>360</v>
      </c>
      <c r="F42" s="161" t="s">
        <v>322</v>
      </c>
      <c r="G42" s="161" t="s">
        <v>341</v>
      </c>
    </row>
    <row r="43" customFormat="false" ht="15" hidden="false" customHeight="false" outlineLevel="0" collapsed="false">
      <c r="D43" s="160" t="n">
        <v>540</v>
      </c>
      <c r="E43" s="161" t="s">
        <v>361</v>
      </c>
      <c r="F43" s="161" t="s">
        <v>322</v>
      </c>
      <c r="G43" s="161" t="s">
        <v>341</v>
      </c>
    </row>
    <row r="44" customFormat="false" ht="15" hidden="false" customHeight="false" outlineLevel="0" collapsed="false">
      <c r="D44" s="160" t="n">
        <v>541</v>
      </c>
      <c r="E44" s="161" t="s">
        <v>362</v>
      </c>
      <c r="F44" s="161" t="s">
        <v>322</v>
      </c>
      <c r="G44" s="161" t="s">
        <v>341</v>
      </c>
    </row>
    <row r="45" customFormat="false" ht="15" hidden="false" customHeight="false" outlineLevel="0" collapsed="false">
      <c r="D45" s="160" t="n">
        <v>550</v>
      </c>
      <c r="E45" s="161" t="s">
        <v>363</v>
      </c>
      <c r="F45" s="161" t="s">
        <v>322</v>
      </c>
      <c r="G45" s="161" t="s">
        <v>341</v>
      </c>
    </row>
    <row r="46" customFormat="false" ht="15" hidden="false" customHeight="false" outlineLevel="0" collapsed="false">
      <c r="D46" s="160" t="n">
        <v>552</v>
      </c>
      <c r="E46" s="161" t="s">
        <v>364</v>
      </c>
      <c r="F46" s="161" t="s">
        <v>322</v>
      </c>
      <c r="G46" s="161" t="s">
        <v>341</v>
      </c>
    </row>
    <row r="47" customFormat="false" ht="15" hidden="false" customHeight="false" outlineLevel="0" collapsed="false">
      <c r="D47" s="160" t="s">
        <v>365</v>
      </c>
      <c r="E47" s="161" t="s">
        <v>366</v>
      </c>
      <c r="F47" s="161"/>
      <c r="G47" s="161"/>
    </row>
  </sheetData>
  <mergeCells count="3">
    <mergeCell ref="J2:K2"/>
    <mergeCell ref="M2:N2"/>
    <mergeCell ref="P2:Q2"/>
  </mergeCells>
  <dataValidations count="1">
    <dataValidation allowBlank="true" operator="between" showDropDown="false" showErrorMessage="false" showInputMessage="false" sqref="D2" type="none">
      <formula1>0</formula1>
      <formula2>0</formula2>
    </dataValidation>
  </dataValidations>
  <printOptions headings="false" gridLines="false" gridLinesSet="true" horizontalCentered="false" verticalCentered="true"/>
  <pageMargins left="0.236111111111111" right="0.236111111111111" top="0.747916666666667" bottom="0.747916666666667" header="0.511805555555555" footer="0.511805555555555"/>
  <pageSetup paperSize="9" scale="100" firstPageNumber="0" fitToWidth="0" fitToHeight="1" pageOrder="downThenOver" orientation="landscape" blackAndWhite="false" draft="false" cellComments="none" useFirstPageNumber="false" horizontalDpi="300" verticalDpi="300" copies="1"/>
  <headerFooter differentFirst="false" differentOddEven="false">
    <oddHeader/>
    <oddFooter/>
  </headerFooter>
  <drawing r:id="rId1"/>
  <tableParts>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166" width="8.87"/>
    <col collapsed="false" customWidth="false" hidden="false" outlineLevel="0" max="4" min="3" style="166" width="7.26"/>
    <col collapsed="false" customWidth="true" hidden="false" outlineLevel="0" max="5" min="5" style="166" width="10.35"/>
    <col collapsed="false" customWidth="false" hidden="false" outlineLevel="0" max="14" min="6" style="166" width="7.26"/>
    <col collapsed="false" customWidth="false" hidden="true" outlineLevel="0" max="15" min="15" style="166" width="7.26"/>
    <col collapsed="false" customWidth="false" hidden="true" outlineLevel="1" max="35" min="16" style="166" width="7.26"/>
    <col collapsed="false" customWidth="true" hidden="false" outlineLevel="0" max="37" min="36" style="166" width="8.87"/>
    <col collapsed="false" customWidth="false" hidden="false" outlineLevel="0" max="38" min="38" style="166" width="7.26"/>
    <col collapsed="false" customWidth="false" hidden="true" outlineLevel="0" max="42" min="39" style="166" width="7.26"/>
    <col collapsed="false" customWidth="true" hidden="false" outlineLevel="0" max="44" min="43" style="166" width="8.87"/>
    <col collapsed="false" customWidth="false" hidden="false" outlineLevel="0" max="1024" min="45" style="166" width="7.26"/>
  </cols>
  <sheetData>
    <row r="1" customFormat="false" ht="42.6" hidden="false" customHeight="true" outlineLevel="0" collapsed="false">
      <c r="E1" s="167" t="s">
        <v>367</v>
      </c>
    </row>
    <row r="2" customFormat="false" ht="13.9" hidden="false" customHeight="true" outlineLevel="0" collapsed="false">
      <c r="G2" s="166" t="str">
        <f aca="false">+IF(G8="[ocultar]",G8,"")</f>
        <v>[ocultar]</v>
      </c>
      <c r="H2" s="166" t="str">
        <f aca="false">+IF(H8="[ocultar]",H8,"")</f>
        <v>[ocultar]</v>
      </c>
      <c r="I2" s="166" t="str">
        <f aca="false">+IF(I8="[ocultar]",I8,"")</f>
        <v>[ocultar]</v>
      </c>
      <c r="J2" s="166" t="str">
        <f aca="false">+IF(J8="[ocultar]",J8,"")</f>
        <v>[ocultar]</v>
      </c>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
      </c>
      <c r="AK2" s="166" t="str">
        <f aca="false">+IF(AK8="[ocultar]",AK8,"")</f>
        <v/>
      </c>
      <c r="AL2" s="166" t="str">
        <f aca="false">+IF(AL8="[ocultar]",AL8,"")</f>
        <v>[ocultar]</v>
      </c>
      <c r="AM2" s="166" t="str">
        <f aca="false">+IF(AM8="[ocultar]",AM8,"")</f>
        <v>[ocultar]</v>
      </c>
      <c r="AN2" s="166" t="str">
        <f aca="false">+IF(AN8="[ocultar]",AN8,"")</f>
        <v>[ocultar]</v>
      </c>
      <c r="AO2" s="166" t="str">
        <f aca="false">+IF(AO8="[ocultar]",AO8,"")</f>
        <v>[ocultar]</v>
      </c>
      <c r="AP2" s="166" t="str">
        <f aca="false">+IF(AP8="[ocultar]",AP8,"")</f>
        <v>[ocultar]</v>
      </c>
    </row>
    <row r="3" customFormat="false" ht="13.9" hidden="false" customHeight="true" outlineLevel="0" collapsed="false">
      <c r="E3" s="168" t="str">
        <f aca="false">+"Razón Social: "&amp;Inicio!C6&amp;"  -  NIF: "&amp;Inicio!C8</f>
        <v>Razón Social:   -  NIF:</v>
      </c>
      <c r="F3" s="169"/>
      <c r="G3" s="170"/>
      <c r="H3" s="170"/>
    </row>
    <row r="4" customFormat="false" ht="13.9" hidden="false" customHeight="true" outlineLevel="0" collapsed="false">
      <c r="E4" s="171" t="s">
        <v>2</v>
      </c>
      <c r="F4" s="172"/>
      <c r="G4" s="173"/>
      <c r="H4" s="173"/>
      <c r="I4" s="173"/>
      <c r="J4" s="173"/>
      <c r="K4" s="173"/>
    </row>
    <row r="5" customFormat="false" ht="13.9" hidden="false" customHeight="true" outlineLevel="0" collapsed="false">
      <c r="E5" s="174" t="n">
        <f aca="false">+Inicio!E10</f>
        <v>0</v>
      </c>
      <c r="F5" s="175" t="str">
        <f aca="false">+Inicio!D10</f>
        <v>fecha inicio</v>
      </c>
      <c r="H5" s="170"/>
      <c r="L5" s="170"/>
    </row>
    <row r="6" customFormat="false" ht="13.9" hidden="false" customHeight="true" outlineLevel="0" collapsed="false">
      <c r="E6" s="174" t="n">
        <f aca="false">+Inicio!G10</f>
        <v>0</v>
      </c>
      <c r="F6" s="176" t="s">
        <v>4</v>
      </c>
      <c r="G6" s="177"/>
      <c r="H6" s="177"/>
      <c r="I6" s="170"/>
      <c r="J6" s="170"/>
      <c r="K6" s="178"/>
      <c r="L6" s="170"/>
    </row>
    <row r="7" s="179" customFormat="true" ht="13.9" hidden="false" customHeight="true" outlineLevel="0" collapsed="false">
      <c r="G7" s="180"/>
      <c r="H7" s="180"/>
      <c r="I7" s="180"/>
      <c r="J7" s="180"/>
      <c r="K7" s="181"/>
      <c r="L7" s="180"/>
    </row>
    <row r="8" s="182" customFormat="true" ht="46.15" hidden="false" customHeight="true" outlineLevel="0" collapsed="false">
      <c r="B8" s="183"/>
      <c r="C8" s="183" t="s">
        <v>368</v>
      </c>
      <c r="D8" s="183" t="s">
        <v>369</v>
      </c>
      <c r="E8" s="184" t="s">
        <v>148</v>
      </c>
      <c r="F8" s="185" t="str">
        <f aca="false">+IF(DATOS!AE6="","[ocultar]",DATOS!AE6)</f>
        <v>[ocultar]</v>
      </c>
      <c r="G8" s="185" t="str">
        <f aca="false">+IF(DATOS!AF6="","[ocultar]",DATOS!AF6)</f>
        <v>[ocultar]</v>
      </c>
      <c r="H8" s="185" t="str">
        <f aca="false">+IF(DATOS!AG6="","[ocultar]",DATOS!AG6)</f>
        <v>[ocultar]</v>
      </c>
      <c r="I8" s="185" t="str">
        <f aca="false">+IF(DATOS!AH6="","[ocultar]",DATOS!AH6)</f>
        <v>[ocultar]</v>
      </c>
      <c r="J8" s="185" t="str">
        <f aca="false">+IF(DATOS!AI6="","[ocultar]",DATOS!AI6)</f>
        <v>[ocultar]</v>
      </c>
      <c r="K8" s="185" t="str">
        <f aca="false">+IF(DATOS!AJ6="","[ocultar]",DATOS!AJ6)</f>
        <v>[ocultar]</v>
      </c>
      <c r="L8" s="185" t="str">
        <f aca="false">+IF(DATOS!AK6="","[ocultar]",DATOS!AK6)</f>
        <v>[ocultar]</v>
      </c>
      <c r="M8" s="185" t="str">
        <f aca="false">+IF(DATOS!AL6="","[ocultar]",DATOS!AL6)</f>
        <v>[ocultar]</v>
      </c>
      <c r="N8" s="185" t="str">
        <f aca="false">+IF(DATOS!AM6="","[ocultar]",DATOS!AM6)</f>
        <v>[ocultar]</v>
      </c>
      <c r="O8" s="185" t="str">
        <f aca="false">+IF(DATOS!AN6="","[ocultar]",DATOS!AN6)</f>
        <v>[ocultar]</v>
      </c>
      <c r="P8" s="185" t="str">
        <f aca="false">+IF(DATOS!AO6="","[ocultar]",DATOS!AO6)</f>
        <v>[ocultar]</v>
      </c>
      <c r="Q8" s="185" t="str">
        <f aca="false">+IF(DATOS!AP6="","[ocultar]",DATOS!AP6)</f>
        <v>[ocultar]</v>
      </c>
      <c r="R8" s="185" t="str">
        <f aca="false">+IF(DATOS!AQ6="","[ocultar]",DATOS!AQ6)</f>
        <v>[ocultar]</v>
      </c>
      <c r="S8" s="185" t="str">
        <f aca="false">+IF(DATOS!AR6="","[ocultar]",DATOS!AR6)</f>
        <v>[ocultar]</v>
      </c>
      <c r="T8" s="185" t="str">
        <f aca="false">+IF(DATOS!AS6="","[ocultar]",DATOS!AS6)</f>
        <v>[ocultar]</v>
      </c>
      <c r="U8" s="185" t="str">
        <f aca="false">+IF(DATOS!AT6="","[ocultar]",DATOS!AT6)</f>
        <v>[ocultar]</v>
      </c>
      <c r="V8" s="185" t="str">
        <f aca="false">+IF(DATOS!AU6="","[ocultar]",DATOS!AU6)</f>
        <v>[ocultar]</v>
      </c>
      <c r="W8" s="185" t="str">
        <f aca="false">+IF(DATOS!AV6="","[ocultar]",DATOS!AV6)</f>
        <v>[ocultar]</v>
      </c>
      <c r="X8" s="185" t="str">
        <f aca="false">+IF(DATOS!AW6="","[ocultar]",DATOS!AW6)</f>
        <v>[ocultar]</v>
      </c>
      <c r="Y8" s="185" t="str">
        <f aca="false">+IF(DATOS!AX6="","[ocultar]",DATOS!AX6)</f>
        <v>[ocultar]</v>
      </c>
      <c r="Z8" s="185" t="str">
        <f aca="false">+IF(DATOS!AY6="","[ocultar]",DATOS!AY6)</f>
        <v>[ocultar]</v>
      </c>
      <c r="AA8" s="185" t="str">
        <f aca="false">+IF(DATOS!AZ6="","[ocultar]",DATOS!AZ6)</f>
        <v>[ocultar]</v>
      </c>
      <c r="AB8" s="185" t="str">
        <f aca="false">+IF(DATOS!BA6="","[ocultar]",DATOS!BA6)</f>
        <v>[ocultar]</v>
      </c>
      <c r="AC8" s="185" t="str">
        <f aca="false">+IF(DATOS!BB6="","[ocultar]",DATOS!BB6)</f>
        <v>[ocultar]</v>
      </c>
      <c r="AD8" s="185" t="str">
        <f aca="false">+IF(DATOS!BC6="","[ocultar]",DATOS!BC6)</f>
        <v>[ocultar]</v>
      </c>
      <c r="AE8" s="185" t="str">
        <f aca="false">+IF(DATOS!BD6="","[ocultar]",DATOS!BD6)</f>
        <v>[ocultar]</v>
      </c>
      <c r="AF8" s="185" t="str">
        <f aca="false">+IF(DATOS!BE6="","[ocultar]",DATOS!BE6)</f>
        <v>[ocultar]</v>
      </c>
      <c r="AG8" s="185" t="str">
        <f aca="false">+IF(DATOS!BF6="","[ocultar]",DATOS!BF6)</f>
        <v>[ocultar]</v>
      </c>
      <c r="AH8" s="185" t="str">
        <f aca="false">+IF(DATOS!BG6="","[ocultar]",DATOS!BG6)</f>
        <v>[ocultar]</v>
      </c>
      <c r="AI8" s="185" t="str">
        <f aca="false">+IF(DATOS!BH6="","[ocultar]",DATOS!BH6)</f>
        <v>[ocultar]</v>
      </c>
      <c r="AJ8" s="186" t="s">
        <v>150</v>
      </c>
      <c r="AK8" s="187" t="s">
        <v>152</v>
      </c>
      <c r="AL8" s="188" t="str">
        <f aca="false">+IF(DATOS!BI6="","[ocultar]",DATOS!BI6)</f>
        <v>[ocultar]</v>
      </c>
      <c r="AM8" s="188" t="str">
        <f aca="false">+IF(DATOS!BJ6="","[ocultar]",DATOS!BJ6)</f>
        <v>[ocultar]</v>
      </c>
      <c r="AN8" s="188" t="str">
        <f aca="false">+IF(DATOS!BK6="","[ocultar]",DATOS!BK6)</f>
        <v>[ocultar]</v>
      </c>
      <c r="AO8" s="188" t="str">
        <f aca="false">+IF(DATOS!BL6="","[ocultar]",DATOS!BL6)</f>
        <v>[ocultar]</v>
      </c>
      <c r="AP8" s="188" t="str">
        <f aca="false">+IF(DATOS!BM6="","[ocultar]",DATOS!BM6)</f>
        <v>[ocultar]</v>
      </c>
      <c r="AQ8" s="189" t="s">
        <v>154</v>
      </c>
      <c r="AR8" s="190" t="s">
        <v>156</v>
      </c>
    </row>
    <row r="9" s="191" customFormat="true" ht="15.75" hidden="false" customHeight="false" outlineLevel="0" collapsed="false">
      <c r="B9" s="192" t="s">
        <v>370</v>
      </c>
      <c r="C9" s="193"/>
      <c r="D9" s="194"/>
      <c r="E9" s="195" t="str">
        <f aca="false">IFERROR((E10-E11)/E10,"")</f>
        <v/>
      </c>
      <c r="F9" s="196" t="str">
        <f aca="false">IFERROR((F10-F11)/F10,"")</f>
        <v/>
      </c>
      <c r="G9" s="197" t="str">
        <f aca="false">IFERROR((G10-G11)/G10,"")</f>
        <v/>
      </c>
      <c r="H9" s="197" t="str">
        <f aca="false">IFERROR((H10-H11)/H10,"")</f>
        <v/>
      </c>
      <c r="I9" s="197" t="str">
        <f aca="false">IFERROR((I10-I11)/I10,"")</f>
        <v/>
      </c>
      <c r="J9" s="198" t="str">
        <f aca="false">IFERROR((J10-J11)/J10,"")</f>
        <v/>
      </c>
      <c r="K9" s="199" t="str">
        <f aca="false">IFERROR((K10-K11)/K10,"")</f>
        <v/>
      </c>
      <c r="L9" s="199" t="str">
        <f aca="false">IFERROR((L10-L11)/L10,"")</f>
        <v/>
      </c>
      <c r="M9" s="199" t="str">
        <f aca="false">IFERROR((M10-M11)/M10,"")</f>
        <v/>
      </c>
      <c r="N9" s="199" t="str">
        <f aca="false">IFERROR((N10-N11)/N10,"")</f>
        <v/>
      </c>
      <c r="O9" s="199" t="str">
        <f aca="false">IFERROR((O10-O11)/O10,"")</f>
        <v/>
      </c>
      <c r="P9" s="199" t="str">
        <f aca="false">IFERROR((P10-P11)/P10,"")</f>
        <v/>
      </c>
      <c r="Q9" s="199" t="str">
        <f aca="false">IFERROR((Q10-Q11)/Q10,"")</f>
        <v/>
      </c>
      <c r="R9" s="199" t="str">
        <f aca="false">IFERROR((R10-R11)/R10,"")</f>
        <v/>
      </c>
      <c r="S9" s="199" t="str">
        <f aca="false">IFERROR((S10-S11)/S10,"")</f>
        <v/>
      </c>
      <c r="T9" s="199" t="str">
        <f aca="false">IFERROR((T10-T11)/T10,"")</f>
        <v/>
      </c>
      <c r="U9" s="199" t="str">
        <f aca="false">IFERROR((U10-U11)/U10,"")</f>
        <v/>
      </c>
      <c r="V9" s="198" t="str">
        <f aca="false">IFERROR((V10-V11)/V10,"")</f>
        <v/>
      </c>
      <c r="W9" s="198" t="str">
        <f aca="false">IFERROR((W10-W11)/W10,"")</f>
        <v/>
      </c>
      <c r="X9" s="198" t="str">
        <f aca="false">IFERROR((X10-X11)/X10,"")</f>
        <v/>
      </c>
      <c r="Y9" s="198" t="str">
        <f aca="false">IFERROR((Y10-Y11)/Y10,"")</f>
        <v/>
      </c>
      <c r="Z9" s="198" t="str">
        <f aca="false">IFERROR((Z10-Z11)/Z10,"")</f>
        <v/>
      </c>
      <c r="AA9" s="198" t="str">
        <f aca="false">IFERROR((AA10-AA11)/AA10,"")</f>
        <v/>
      </c>
      <c r="AB9" s="198" t="str">
        <f aca="false">IFERROR((AB10-AB11)/AB10,"")</f>
        <v/>
      </c>
      <c r="AC9" s="198" t="str">
        <f aca="false">IFERROR((AC10-AC11)/AC10,"")</f>
        <v/>
      </c>
      <c r="AD9" s="198" t="str">
        <f aca="false">IFERROR((AD10-AD11)/AD10,"")</f>
        <v/>
      </c>
      <c r="AE9" s="198" t="str">
        <f aca="false">IFERROR((AE10-AE11)/AE10,"")</f>
        <v/>
      </c>
      <c r="AF9" s="198" t="str">
        <f aca="false">IFERROR((AF10-AF11)/AF10,"")</f>
        <v/>
      </c>
      <c r="AG9" s="198" t="str">
        <f aca="false">IFERROR((AG10-AG11)/AG10,"")</f>
        <v/>
      </c>
      <c r="AH9" s="198" t="str">
        <f aca="false">IFERROR((AH10-AH11)/AH10,"")</f>
        <v/>
      </c>
      <c r="AI9" s="198" t="str">
        <f aca="false">IFERROR((AI10-AI11)/AI10,"")</f>
        <v/>
      </c>
      <c r="AJ9" s="200" t="str">
        <f aca="false">IFERROR((AJ10-AJ11)/AJ10,"")</f>
        <v/>
      </c>
      <c r="AK9" s="201" t="str">
        <f aca="false">IFERROR((AK10-AK11)/AK10,"")</f>
        <v/>
      </c>
      <c r="AL9" s="202" t="str">
        <f aca="false">IFERROR((AL10-AL11)/AL10,"")</f>
        <v/>
      </c>
      <c r="AM9" s="202" t="str">
        <f aca="false">IFERROR((AM10-AM11)/AM10,"")</f>
        <v/>
      </c>
      <c r="AN9" s="202" t="str">
        <f aca="false">IFERROR((AN10-AN11)/AN10,"")</f>
        <v/>
      </c>
      <c r="AO9" s="202" t="str">
        <f aca="false">IFERROR((AO10-AO11)/AO10,"")</f>
        <v/>
      </c>
      <c r="AP9" s="202" t="str">
        <f aca="false">IFERROR((AP10-AP11)/AP10,"")</f>
        <v/>
      </c>
      <c r="AQ9" s="203" t="str">
        <f aca="false">IFERROR((AQ10-AQ11)/AQ10,"")</f>
        <v/>
      </c>
      <c r="AR9" s="204" t="str">
        <f aca="false">IFERROR((AR10-AR11)/AR10,"")</f>
        <v/>
      </c>
    </row>
    <row r="10" s="191" customFormat="true" ht="14.25" hidden="false" customHeight="false" outlineLevel="0" collapsed="false">
      <c r="B10" s="205" t="s">
        <v>371</v>
      </c>
      <c r="C10" s="206" t="n">
        <f aca="false" t="array" ref="C10:C10">SUM(IF($B10=DATOS_[Sexo], IF("Dentro"=DATOS_[Check Periodo Ref.], 1/(COUNTIFS(DATOS_[Sexo],$B10,DATOS_[Check Periodo Ref.],"Dentro",DATOS_[id],DATOS_[id])))))</f>
        <v>0</v>
      </c>
      <c r="D10" s="207" t="n">
        <f aca="false">COUNTIFS(DATOS_[AGRUP. CLAS. PROF.],"&lt;&gt;",DATOS_[Sexo],$B10,DATOS_[Check Periodo Ref.],"Dentro")</f>
        <v>0</v>
      </c>
      <c r="E10" s="208" t="n">
        <f aca="false" t="array" ref="E10:E10">IFERROR( AVERAGE(IF(DATOS_[Sexo]=$B10,IF(DATOS_[Check Periodo Ref.]="Dentro",DATOS_[SALARIO BASE Ef],0))), 0)</f>
        <v>0</v>
      </c>
      <c r="F10" s="209" t="n">
        <f aca="false" t="array" ref="F10:F10">IFERROR( (AVERAGE((IF(DATOS_[[Sexo]:[Sexo]]=$B10,IF(DATOS_[[Check Periodo Ref.]:[Check Periodo Ref.]]="Dentro",DATOS_[Conc.Sal.01]))))), 0)</f>
        <v>0</v>
      </c>
      <c r="G10" s="209" t="n">
        <f aca="false" t="array" ref="G10:G10">IFERROR( (AVERAGE((IF(DATOS_[[Sexo]:[Sexo]]=$B10,IF(DATOS_[[Check Periodo Ref.]:[Check Periodo Ref.]]="Dentro",DATOS_[Conc.Sal.02]))))), 0)</f>
        <v>0</v>
      </c>
      <c r="H10" s="209" t="n">
        <f aca="false" t="array" ref="H10:H10">IFERROR( (AVERAGE((IF(DATOS_[[Sexo]:[Sexo]]=$B10,IF(DATOS_[[Check Periodo Ref.]:[Check Periodo Ref.]]="Dentro",DATOS_[Conc.Sal.03]))))), 0)</f>
        <v>0</v>
      </c>
      <c r="I10" s="209" t="n">
        <f aca="false" t="array" ref="I10:I10">IFERROR( (AVERAGE((IF(DATOS_[[Sexo]:[Sexo]]=$B10,IF(DATOS_[[Check Periodo Ref.]:[Check Periodo Ref.]]="Dentro",DATOS_[Conc.Sal.04]))))), 0)</f>
        <v>0</v>
      </c>
      <c r="J10" s="209" t="n">
        <f aca="false" t="array" ref="J10:J10">IFERROR( (AVERAGE((IF(DATOS_[[Sexo]:[Sexo]]=$B10,IF(DATOS_[[Check Periodo Ref.]:[Check Periodo Ref.]]="Dentro",DATOS_[Conc.Sal.05]))))), 0)</f>
        <v>0</v>
      </c>
      <c r="K10" s="209" t="n">
        <f aca="false" t="array" ref="K10:K10">IFERROR( (AVERAGE((IF(DATOS_[[Sexo]:[Sexo]]=$B10,IF(DATOS_[[Check Periodo Ref.]:[Check Periodo Ref.]]="Dentro",DATOS_[Conc.Sal.06]))))), 0)</f>
        <v>0</v>
      </c>
      <c r="L10" s="209" t="n">
        <f aca="false" t="array" ref="L10:L10">IFERROR( (AVERAGE((IF(DATOS_[[Sexo]:[Sexo]]=$B10,IF(DATOS_[[Check Periodo Ref.]:[Check Periodo Ref.]]="Dentro",DATOS_[Conc.Sal.07]))))), 0)</f>
        <v>0</v>
      </c>
      <c r="M10" s="209" t="n">
        <f aca="false" t="array" ref="M10:M10">IFERROR( (AVERAGE((IF(DATOS_[[Sexo]:[Sexo]]=$B10,IF(DATOS_[[Check Periodo Ref.]:[Check Periodo Ref.]]="Dentro",DATOS_[Conc.Sal.08]))))), 0)</f>
        <v>0</v>
      </c>
      <c r="N10" s="209" t="n">
        <f aca="false" t="array" ref="N10:N10">IFERROR( (AVERAGE((IF(DATOS_[[Sexo]:[Sexo]]=$B10,IF(DATOS_[[Check Periodo Ref.]:[Check Periodo Ref.]]="Dentro",DATOS_[Conc.Sal.09]))))), 0)</f>
        <v>0</v>
      </c>
      <c r="O10" s="209" t="n">
        <f aca="false" t="array" ref="O10:O10">IFERROR( (AVERAGE((IF(DATOS_[[Sexo]:[Sexo]]=$B10,IF(DATOS_[[Check Periodo Ref.]:[Check Periodo Ref.]]="Dentro",DATOS_[Conc.Sal.10]))))), 0)</f>
        <v>0</v>
      </c>
      <c r="P10" s="209" t="n">
        <f aca="false" t="array" ref="P10:P10">IFERROR( (AVERAGE((IF(DATOS_[[Sexo]:[Sexo]]=$B10,IF(DATOS_[[Check Periodo Ref.]:[Check Periodo Ref.]]="Dentro",DATOS_[Conc.Sal.11]))))), 0)</f>
        <v>0</v>
      </c>
      <c r="Q10" s="209" t="n">
        <f aca="false" t="array" ref="Q10:Q10">IFERROR( (AVERAGE((IF(DATOS_[[Sexo]:[Sexo]]=$B10,IF(DATOS_[[Check Periodo Ref.]:[Check Periodo Ref.]]="Dentro",DATOS_[Conc.Sal.12]))))), 0)</f>
        <v>0</v>
      </c>
      <c r="R10" s="209" t="n">
        <f aca="false" t="array" ref="R10:R10">IFERROR( (AVERAGE((IF(DATOS_[[Sexo]:[Sexo]]=$B10,IF(DATOS_[[Check Periodo Ref.]:[Check Periodo Ref.]]="Dentro",DATOS_[Conc.Sal.13]))))), 0)</f>
        <v>0</v>
      </c>
      <c r="S10" s="209" t="n">
        <f aca="false" t="array" ref="S10:S10">IFERROR( (AVERAGE((IF(DATOS_[[Sexo]:[Sexo]]=$B10,IF(DATOS_[[Check Periodo Ref.]:[Check Periodo Ref.]]="Dentro",DATOS_[Conc.Sal.14]))))), 0)</f>
        <v>0</v>
      </c>
      <c r="T10" s="209" t="n">
        <f aca="false" t="array" ref="T10:T10">IFERROR( (AVERAGE((IF(DATOS_[[Sexo]:[Sexo]]=$B10,IF(DATOS_[[Check Periodo Ref.]:[Check Periodo Ref.]]="Dentro",DATOS_[Conc.Sal.15]))))), 0)</f>
        <v>0</v>
      </c>
      <c r="U10" s="209" t="n">
        <f aca="false" t="array" ref="U10:U10">IFERROR( (AVERAGE((IF(DATOS_[[Sexo]:[Sexo]]=$B10,IF(DATOS_[[Check Periodo Ref.]:[Check Periodo Ref.]]="Dentro",DATOS_[Conc.Sal.16]))))), 0)</f>
        <v>0</v>
      </c>
      <c r="V10" s="209" t="n">
        <f aca="false" t="array" ref="V10:V10">IFERROR( (AVERAGE((IF(DATOS_[[Sexo]:[Sexo]]=$B10,IF(DATOS_[[Check Periodo Ref.]:[Check Periodo Ref.]]="Dentro",DATOS_[Conc.Sal.17]))))), 0)</f>
        <v>0</v>
      </c>
      <c r="W10" s="209" t="n">
        <f aca="false" t="array" ref="W10:W10">IFERROR( (AVERAGE((IF(DATOS_[[Sexo]:[Sexo]]=$B10,IF(DATOS_[[Check Periodo Ref.]:[Check Periodo Ref.]]="Dentro",DATOS_[Conc.Sal.18]))))), 0)</f>
        <v>0</v>
      </c>
      <c r="X10" s="209" t="n">
        <f aca="false" t="array" ref="X10:X10">IFERROR( (AVERAGE((IF(DATOS_[[Sexo]:[Sexo]]=$B10,IF(DATOS_[[Check Periodo Ref.]:[Check Periodo Ref.]]="Dentro",DATOS_[Conc.Sal.19]))))), 0)</f>
        <v>0</v>
      </c>
      <c r="Y10" s="209" t="n">
        <f aca="false" t="array" ref="Y10:Y10">IFERROR( (AVERAGE((IF(DATOS_[[Sexo]:[Sexo]]=$B10,IF(DATOS_[[Check Periodo Ref.]:[Check Periodo Ref.]]="Dentro",DATOS_[Conc.Sal.20]))))), 0)</f>
        <v>0</v>
      </c>
      <c r="Z10" s="209" t="n">
        <f aca="false" t="array" ref="Z10:Z10">IFERROR( (AVERAGE((IF(DATOS_[[Sexo]:[Sexo]]=$B10,IF(DATOS_[[Check Periodo Ref.]:[Check Periodo Ref.]]="Dentro",DATOS_[Conc.Sal.21]))))), 0)</f>
        <v>0</v>
      </c>
      <c r="AA10" s="209" t="n">
        <f aca="false" t="array" ref="AA10:AA10">IFERROR( (AVERAGE((IF(DATOS_[[Sexo]:[Sexo]]=$B10,IF(DATOS_[[Check Periodo Ref.]:[Check Periodo Ref.]]="Dentro",DATOS_[Conc.Sal.22]))))), 0)</f>
        <v>0</v>
      </c>
      <c r="AB10" s="209" t="n">
        <f aca="false" t="array" ref="AB10:AB10">IFERROR( (AVERAGE((IF(DATOS_[[Sexo]:[Sexo]]=$B10,IF(DATOS_[[Check Periodo Ref.]:[Check Periodo Ref.]]="Dentro",DATOS_[Conc.Sal.23]))))), 0)</f>
        <v>0</v>
      </c>
      <c r="AC10" s="209" t="n">
        <f aca="false" t="array" ref="AC10:AC10">IFERROR( (AVERAGE((IF(DATOS_[[Sexo]:[Sexo]]=$B10,IF(DATOS_[[Check Periodo Ref.]:[Check Periodo Ref.]]="Dentro",DATOS_[Conc.Sal.24]))))), 0)</f>
        <v>0</v>
      </c>
      <c r="AD10" s="209" t="n">
        <f aca="false" t="array" ref="AD10:AD10">IFERROR( (AVERAGE((IF(DATOS_[[Sexo]:[Sexo]]=$B10,IF(DATOS_[[Check Periodo Ref.]:[Check Periodo Ref.]]="Dentro",DATOS_[Conc.Sal.25]))))), 0)</f>
        <v>0</v>
      </c>
      <c r="AE10" s="209" t="n">
        <f aca="false" t="array" ref="AE10:AE10">IFERROR( (AVERAGE((IF(DATOS_[[Sexo]:[Sexo]]=$B10,IF(DATOS_[[Check Periodo Ref.]:[Check Periodo Ref.]]="Dentro",DATOS_[Conc.Sal.26]))))), 0)</f>
        <v>0</v>
      </c>
      <c r="AF10" s="209" t="n">
        <f aca="false" t="array" ref="AF10:AF10">IFERROR( (AVERAGE((IF(DATOS_[[Sexo]:[Sexo]]=$B10,IF(DATOS_[[Check Periodo Ref.]:[Check Periodo Ref.]]="Dentro",DATOS_[Conc.Sal.27]))))), 0)</f>
        <v>0</v>
      </c>
      <c r="AG10" s="209" t="n">
        <f aca="false" t="array" ref="AG10:AG10">IFERROR( (AVERAGE((IF(DATOS_[[Sexo]:[Sexo]]=$B10,IF(DATOS_[[Check Periodo Ref.]:[Check Periodo Ref.]]="Dentro",DATOS_[Conc.Sal.28]))))), 0)</f>
        <v>0</v>
      </c>
      <c r="AH10" s="209" t="n">
        <f aca="false" t="array" ref="AH10:AH10">IFERROR( (AVERAGE((IF(DATOS_[[Sexo]:[Sexo]]=$B10,IF(DATOS_[[Check Periodo Ref.]:[Check Periodo Ref.]]="Dentro",DATOS_[Conc.Sal.29]))))), 0)</f>
        <v>0</v>
      </c>
      <c r="AI10" s="209" t="n">
        <f aca="false" t="array" ref="AI10:AI10">IFERROR( (AVERAGE((IF(DATOS_[[Sexo]:[Sexo]]=$B10,IF(DATOS_[[Check Periodo Ref.]:[Check Periodo Ref.]]="Dentro",DATOS_[Conc.Sal.30]))))), 0)</f>
        <v>0</v>
      </c>
      <c r="AJ10" s="210" t="n">
        <f aca="false" t="array" ref="AJ10:AJ10">IFERROR( AVERAGE(IF(DATOS_[Sexo]=$B10,IF(DATOS_[Check Periodo Ref.]="Dentro",DATOS_[Tot COMPL.SAL Ef],0))), 0)</f>
        <v>0</v>
      </c>
      <c r="AK10" s="211" t="n">
        <f aca="false" t="array" ref="AK10:AK10">IFERROR( AVERAGE(IF(DATOS_[Sexo]=$B10,IF(DATOS_[Check Periodo Ref.]="Dentro",DATOS_[TOTAL SALARIO Ef],0))), 0)</f>
        <v>0</v>
      </c>
      <c r="AL10" s="212" t="n">
        <f aca="false" t="array" ref="AL10:AL10">IFERROR( (AVERAGE((IF(DATOS_[[Sexo]:[Sexo]]=$B10,IF(DATOS_[[Check Periodo Ref.]:[Check Periodo Ref.]]="Dentro",DATOS_[C.Extra.01]))))), 0)</f>
        <v>0</v>
      </c>
      <c r="AM10" s="212" t="n">
        <f aca="false" t="array" ref="AM10:AM10">IFERROR( (AVERAGE((IF(DATOS_[[Sexo]:[Sexo]]=$B10,IF(DATOS_[[Check Periodo Ref.]:[Check Periodo Ref.]]="Dentro",DATOS_[C.Extra.02]))))), 0)</f>
        <v>0</v>
      </c>
      <c r="AN10" s="212" t="n">
        <f aca="false" t="array" ref="AN10:AN10">IFERROR( (AVERAGE((IF(DATOS_[[Sexo]:[Sexo]]=$B10,IF(DATOS_[[Check Periodo Ref.]:[Check Periodo Ref.]]="Dentro",DATOS_[C.Extra.03]))))), 0)</f>
        <v>0</v>
      </c>
      <c r="AO10" s="212" t="n">
        <f aca="false" t="array" ref="AO10:AO10">IFERROR( (AVERAGE((IF(DATOS_[[Sexo]:[Sexo]]=$B10,IF(DATOS_[[Check Periodo Ref.]:[Check Periodo Ref.]]="Dentro",DATOS_[C.Extra.04]))))), 0)</f>
        <v>0</v>
      </c>
      <c r="AP10" s="212" t="n">
        <f aca="false" t="array" ref="AP10:AP10">IFERROR( (AVERAGE((IF(DATOS_[[Sexo]:[Sexo]]=$B10,IF(DATOS_[[Check Periodo Ref.]:[Check Periodo Ref.]]="Dentro",DATOS_[C.Extra.05]))))), 0)</f>
        <v>0</v>
      </c>
      <c r="AQ10" s="213" t="n">
        <f aca="false" t="array" ref="AQ10:AQ10">IFERROR( AVERAGE(IF(DATOS_[Sexo]=$B10,IF(DATOS_[Check Periodo Ref.]="Dentro",DATOS_[Tot Extrasalarial Ef],0))), 0)</f>
        <v>0</v>
      </c>
      <c r="AR10" s="214" t="n">
        <f aca="false" t="array" ref="AR10:AR10">IFERROR( AVERAGE(IF(DATOS_[Sexo]=$B10,IF(DATOS_[Check Periodo Ref.]="Dentro",DATOS_[TOTAL Retrib Ef],0))), 0)</f>
        <v>0</v>
      </c>
    </row>
    <row r="11" s="191" customFormat="true" ht="14.25" hidden="false" customHeight="false" outlineLevel="0" collapsed="false">
      <c r="B11" s="205" t="s">
        <v>372</v>
      </c>
      <c r="C11" s="206" t="n">
        <f aca="false" t="array" ref="C11:C11">SUM(IF($B11=DATOS_[Sexo], IF("Dentro"=DATOS_[Check Periodo Ref.], 1/(COUNTIFS(DATOS_[Sexo],$B11,DATOS_[Check Periodo Ref.],"Dentro",DATOS_[id],DATOS_[id])))))</f>
        <v>0</v>
      </c>
      <c r="D11" s="207" t="n">
        <f aca="false">COUNTIFS(DATOS_[AGRUP. CLAS. PROF.],"&lt;&gt;",DATOS_[Sexo],$B11,DATOS_[Check Periodo Ref.],"Dentro")</f>
        <v>0</v>
      </c>
      <c r="E11" s="208" t="n">
        <f aca="false" t="array" ref="E11:E11">IFERROR( AVERAGE(IF(DATOS_[Sexo]=$B11,IF(DATOS_[Check Periodo Ref.]="Dentro",DATOS_[SALARIO BASE Ef],0))), 0)</f>
        <v>0</v>
      </c>
      <c r="F11" s="209" t="n">
        <f aca="false" t="array" ref="F11:F11">IFERROR( (AVERAGE((IF(DATOS_[[Sexo]:[Sexo]]=$B11,IF(DATOS_[[Check Periodo Ref.]:[Check Periodo Ref.]]="Dentro",DATOS_[Conc.Sal.01]))))), 0)</f>
        <v>0</v>
      </c>
      <c r="G11" s="209" t="n">
        <f aca="false" t="array" ref="G11:G11">IFERROR( (AVERAGE((IF(DATOS_[[Sexo]:[Sexo]]=$B11,IF(DATOS_[[Check Periodo Ref.]:[Check Periodo Ref.]]="Dentro",DATOS_[Conc.Sal.02]))))), 0)</f>
        <v>0</v>
      </c>
      <c r="H11" s="209" t="n">
        <f aca="false" t="array" ref="H11:H11">IFERROR( (AVERAGE((IF(DATOS_[[Sexo]:[Sexo]]=$B11,IF(DATOS_[[Check Periodo Ref.]:[Check Periodo Ref.]]="Dentro",DATOS_[Conc.Sal.03]))))), 0)</f>
        <v>0</v>
      </c>
      <c r="I11" s="209" t="n">
        <f aca="false" t="array" ref="I11:I11">IFERROR( (AVERAGE((IF(DATOS_[[Sexo]:[Sexo]]=$B11,IF(DATOS_[[Check Periodo Ref.]:[Check Periodo Ref.]]="Dentro",DATOS_[Conc.Sal.04]))))), 0)</f>
        <v>0</v>
      </c>
      <c r="J11" s="209" t="n">
        <f aca="false" t="array" ref="J11:J11">IFERROR( (AVERAGE((IF(DATOS_[[Sexo]:[Sexo]]=$B11,IF(DATOS_[[Check Periodo Ref.]:[Check Periodo Ref.]]="Dentro",DATOS_[Conc.Sal.05]))))), 0)</f>
        <v>0</v>
      </c>
      <c r="K11" s="209" t="n">
        <f aca="false" t="array" ref="K11:K11">IFERROR( (AVERAGE((IF(DATOS_[[Sexo]:[Sexo]]=$B11,IF(DATOS_[[Check Periodo Ref.]:[Check Periodo Ref.]]="Dentro",DATOS_[Conc.Sal.06]))))), 0)</f>
        <v>0</v>
      </c>
      <c r="L11" s="209" t="n">
        <f aca="false" t="array" ref="L11:L11">IFERROR( (AVERAGE((IF(DATOS_[[Sexo]:[Sexo]]=$B11,IF(DATOS_[[Check Periodo Ref.]:[Check Periodo Ref.]]="Dentro",DATOS_[Conc.Sal.07]))))), 0)</f>
        <v>0</v>
      </c>
      <c r="M11" s="209" t="n">
        <f aca="false" t="array" ref="M11:M11">IFERROR( (AVERAGE((IF(DATOS_[[Sexo]:[Sexo]]=$B11,IF(DATOS_[[Check Periodo Ref.]:[Check Periodo Ref.]]="Dentro",DATOS_[Conc.Sal.08]))))), 0)</f>
        <v>0</v>
      </c>
      <c r="N11" s="209" t="n">
        <f aca="false" t="array" ref="N11:N11">IFERROR( (AVERAGE((IF(DATOS_[[Sexo]:[Sexo]]=$B11,IF(DATOS_[[Check Periodo Ref.]:[Check Periodo Ref.]]="Dentro",DATOS_[Conc.Sal.09]))))), 0)</f>
        <v>0</v>
      </c>
      <c r="O11" s="209" t="n">
        <f aca="false" t="array" ref="O11:O11">IFERROR( (AVERAGE((IF(DATOS_[[Sexo]:[Sexo]]=$B11,IF(DATOS_[[Check Periodo Ref.]:[Check Periodo Ref.]]="Dentro",DATOS_[Conc.Sal.10]))))), 0)</f>
        <v>0</v>
      </c>
      <c r="P11" s="209" t="n">
        <f aca="false" t="array" ref="P11:P11">IFERROR( (AVERAGE((IF(DATOS_[[Sexo]:[Sexo]]=$B11,IF(DATOS_[[Check Periodo Ref.]:[Check Periodo Ref.]]="Dentro",DATOS_[Conc.Sal.11]))))), 0)</f>
        <v>0</v>
      </c>
      <c r="Q11" s="209" t="n">
        <f aca="false" t="array" ref="Q11:Q11">IFERROR( (AVERAGE((IF(DATOS_[[Sexo]:[Sexo]]=$B11,IF(DATOS_[[Check Periodo Ref.]:[Check Periodo Ref.]]="Dentro",DATOS_[Conc.Sal.12]))))), 0)</f>
        <v>0</v>
      </c>
      <c r="R11" s="209" t="n">
        <f aca="false" t="array" ref="R11:R11">IFERROR( (AVERAGE((IF(DATOS_[[Sexo]:[Sexo]]=$B11,IF(DATOS_[[Check Periodo Ref.]:[Check Periodo Ref.]]="Dentro",DATOS_[Conc.Sal.13]))))), 0)</f>
        <v>0</v>
      </c>
      <c r="S11" s="209" t="n">
        <f aca="false" t="array" ref="S11:S11">IFERROR( (AVERAGE((IF(DATOS_[[Sexo]:[Sexo]]=$B11,IF(DATOS_[[Check Periodo Ref.]:[Check Periodo Ref.]]="Dentro",DATOS_[Conc.Sal.14]))))), 0)</f>
        <v>0</v>
      </c>
      <c r="T11" s="209" t="n">
        <f aca="false" t="array" ref="T11:T11">IFERROR( (AVERAGE((IF(DATOS_[[Sexo]:[Sexo]]=$B11,IF(DATOS_[[Check Periodo Ref.]:[Check Periodo Ref.]]="Dentro",DATOS_[Conc.Sal.15]))))), 0)</f>
        <v>0</v>
      </c>
      <c r="U11" s="209" t="n">
        <f aca="false" t="array" ref="U11:U11">IFERROR( (AVERAGE((IF(DATOS_[[Sexo]:[Sexo]]=$B11,IF(DATOS_[[Check Periodo Ref.]:[Check Periodo Ref.]]="Dentro",DATOS_[Conc.Sal.16]))))), 0)</f>
        <v>0</v>
      </c>
      <c r="V11" s="209" t="n">
        <f aca="false" t="array" ref="V11:V11">IFERROR( (AVERAGE((IF(DATOS_[[Sexo]:[Sexo]]=$B11,IF(DATOS_[[Check Periodo Ref.]:[Check Periodo Ref.]]="Dentro",DATOS_[Conc.Sal.17]))))), 0)</f>
        <v>0</v>
      </c>
      <c r="W11" s="209" t="n">
        <f aca="false" t="array" ref="W11:W11">IFERROR( (AVERAGE((IF(DATOS_[[Sexo]:[Sexo]]=$B11,IF(DATOS_[[Check Periodo Ref.]:[Check Periodo Ref.]]="Dentro",DATOS_[Conc.Sal.18]))))), 0)</f>
        <v>0</v>
      </c>
      <c r="X11" s="209" t="n">
        <f aca="false" t="array" ref="X11:X11">IFERROR( (AVERAGE((IF(DATOS_[[Sexo]:[Sexo]]=$B11,IF(DATOS_[[Check Periodo Ref.]:[Check Periodo Ref.]]="Dentro",DATOS_[Conc.Sal.19]))))), 0)</f>
        <v>0</v>
      </c>
      <c r="Y11" s="209" t="n">
        <f aca="false" t="array" ref="Y11:Y11">IFERROR( (AVERAGE((IF(DATOS_[[Sexo]:[Sexo]]=$B11,IF(DATOS_[[Check Periodo Ref.]:[Check Periodo Ref.]]="Dentro",DATOS_[Conc.Sal.20]))))), 0)</f>
        <v>0</v>
      </c>
      <c r="Z11" s="209" t="n">
        <f aca="false" t="array" ref="Z11:Z11">IFERROR( (AVERAGE((IF(DATOS_[[Sexo]:[Sexo]]=$B11,IF(DATOS_[[Check Periodo Ref.]:[Check Periodo Ref.]]="Dentro",DATOS_[Conc.Sal.21]))))), 0)</f>
        <v>0</v>
      </c>
      <c r="AA11" s="209" t="n">
        <f aca="false" t="array" ref="AA11:AA11">IFERROR( (AVERAGE((IF(DATOS_[[Sexo]:[Sexo]]=$B11,IF(DATOS_[[Check Periodo Ref.]:[Check Periodo Ref.]]="Dentro",DATOS_[Conc.Sal.22]))))), 0)</f>
        <v>0</v>
      </c>
      <c r="AB11" s="209" t="n">
        <f aca="false" t="array" ref="AB11:AB11">IFERROR( (AVERAGE((IF(DATOS_[[Sexo]:[Sexo]]=$B11,IF(DATOS_[[Check Periodo Ref.]:[Check Periodo Ref.]]="Dentro",DATOS_[Conc.Sal.23]))))), 0)</f>
        <v>0</v>
      </c>
      <c r="AC11" s="209" t="n">
        <f aca="false" t="array" ref="AC11:AC11">IFERROR( (AVERAGE((IF(DATOS_[[Sexo]:[Sexo]]=$B11,IF(DATOS_[[Check Periodo Ref.]:[Check Periodo Ref.]]="Dentro",DATOS_[Conc.Sal.24]))))), 0)</f>
        <v>0</v>
      </c>
      <c r="AD11" s="209" t="n">
        <f aca="false" t="array" ref="AD11:AD11">IFERROR( (AVERAGE((IF(DATOS_[[Sexo]:[Sexo]]=$B11,IF(DATOS_[[Check Periodo Ref.]:[Check Periodo Ref.]]="Dentro",DATOS_[Conc.Sal.25]))))), 0)</f>
        <v>0</v>
      </c>
      <c r="AE11" s="209" t="n">
        <f aca="false" t="array" ref="AE11:AE11">IFERROR( (AVERAGE((IF(DATOS_[[Sexo]:[Sexo]]=$B11,IF(DATOS_[[Check Periodo Ref.]:[Check Periodo Ref.]]="Dentro",DATOS_[Conc.Sal.26]))))), 0)</f>
        <v>0</v>
      </c>
      <c r="AF11" s="209" t="n">
        <f aca="false" t="array" ref="AF11:AF11">IFERROR( (AVERAGE((IF(DATOS_[[Sexo]:[Sexo]]=$B11,IF(DATOS_[[Check Periodo Ref.]:[Check Periodo Ref.]]="Dentro",DATOS_[Conc.Sal.27]))))), 0)</f>
        <v>0</v>
      </c>
      <c r="AG11" s="209" t="n">
        <f aca="false" t="array" ref="AG11:AG11">IFERROR( (AVERAGE((IF(DATOS_[[Sexo]:[Sexo]]=$B11,IF(DATOS_[[Check Periodo Ref.]:[Check Periodo Ref.]]="Dentro",DATOS_[Conc.Sal.28]))))), 0)</f>
        <v>0</v>
      </c>
      <c r="AH11" s="209" t="n">
        <f aca="false" t="array" ref="AH11:AH11">IFERROR( (AVERAGE((IF(DATOS_[[Sexo]:[Sexo]]=$B11,IF(DATOS_[[Check Periodo Ref.]:[Check Periodo Ref.]]="Dentro",DATOS_[Conc.Sal.29]))))), 0)</f>
        <v>0</v>
      </c>
      <c r="AI11" s="209" t="n">
        <f aca="false" t="array" ref="AI11:AI11">IFERROR( (AVERAGE((IF(DATOS_[[Sexo]:[Sexo]]=$B11,IF(DATOS_[[Check Periodo Ref.]:[Check Periodo Ref.]]="Dentro",DATOS_[Conc.Sal.30]))))), 0)</f>
        <v>0</v>
      </c>
      <c r="AJ11" s="210" t="n">
        <f aca="false" t="array" ref="AJ11:AJ11">IFERROR( AVERAGE(IF(DATOS_[Sexo]=$B11,IF(DATOS_[Check Periodo Ref.]="Dentro",DATOS_[Tot COMPL.SAL Ef],0))), 0)</f>
        <v>0</v>
      </c>
      <c r="AK11" s="211" t="n">
        <f aca="false" t="array" ref="AK11:AK11">IFERROR( AVERAGE(IF(DATOS_[Sexo]=$B11,IF(DATOS_[Check Periodo Ref.]="Dentro",DATOS_[TOTAL SALARIO Ef],0))), 0)</f>
        <v>0</v>
      </c>
      <c r="AL11" s="212" t="n">
        <f aca="false" t="array" ref="AL11:AL11">IFERROR( (AVERAGE((IF(DATOS_[[Sexo]:[Sexo]]=$B11,IF(DATOS_[[Check Periodo Ref.]:[Check Periodo Ref.]]="Dentro",DATOS_[C.Extra.01]))))), 0)</f>
        <v>0</v>
      </c>
      <c r="AM11" s="212" t="n">
        <f aca="false" t="array" ref="AM11:AM11">IFERROR( (AVERAGE((IF(DATOS_[[Sexo]:[Sexo]]=$B11,IF(DATOS_[[Check Periodo Ref.]:[Check Periodo Ref.]]="Dentro",DATOS_[C.Extra.02]))))), 0)</f>
        <v>0</v>
      </c>
      <c r="AN11" s="212" t="n">
        <f aca="false" t="array" ref="AN11:AN11">IFERROR( (AVERAGE((IF(DATOS_[[Sexo]:[Sexo]]=$B11,IF(DATOS_[[Check Periodo Ref.]:[Check Periodo Ref.]]="Dentro",DATOS_[C.Extra.03]))))), 0)</f>
        <v>0</v>
      </c>
      <c r="AO11" s="212" t="n">
        <f aca="false" t="array" ref="AO11:AO11">IFERROR( (AVERAGE((IF(DATOS_[[Sexo]:[Sexo]]=$B11,IF(DATOS_[[Check Periodo Ref.]:[Check Periodo Ref.]]="Dentro",DATOS_[C.Extra.04]))))), 0)</f>
        <v>0</v>
      </c>
      <c r="AP11" s="212" t="n">
        <f aca="false" t="array" ref="AP11:AP11">IFERROR( (AVERAGE((IF(DATOS_[[Sexo]:[Sexo]]=$B11,IF(DATOS_[[Check Periodo Ref.]:[Check Periodo Ref.]]="Dentro",DATOS_[C.Extra.05]))))), 0)</f>
        <v>0</v>
      </c>
      <c r="AQ11" s="213" t="n">
        <f aca="false" t="array" ref="AQ11:AQ11">IFERROR( AVERAGE(IF(DATOS_[Sexo]=$B11,IF(DATOS_[Check Periodo Ref.]="Dentro",DATOS_[Tot Extrasalarial Ef],0))), 0)</f>
        <v>0</v>
      </c>
      <c r="AR11" s="214" t="n">
        <f aca="false" t="array" ref="AR11:AR11">IFERROR( AVERAGE(IF(DATOS_[Sexo]=$B11,IF(DATOS_[Check Periodo Ref.]="Dentro",DATOS_[TOTAL Retrib Ef],0))), 0)</f>
        <v>0</v>
      </c>
    </row>
    <row r="12" s="191" customFormat="true" ht="13.5" hidden="false" customHeight="false" outlineLevel="0" collapsed="false">
      <c r="D12" s="215"/>
      <c r="J12" s="215"/>
      <c r="K12" s="216"/>
      <c r="L12" s="216"/>
      <c r="M12" s="216"/>
      <c r="N12" s="216"/>
      <c r="O12" s="216"/>
      <c r="P12" s="216"/>
      <c r="Q12" s="216"/>
      <c r="R12" s="216"/>
      <c r="S12" s="216"/>
      <c r="T12" s="216"/>
      <c r="U12" s="216"/>
      <c r="V12" s="215"/>
      <c r="W12" s="215"/>
      <c r="X12" s="215"/>
      <c r="Y12" s="215"/>
      <c r="Z12" s="215"/>
      <c r="AA12" s="215"/>
      <c r="AB12" s="215"/>
      <c r="AC12" s="215"/>
      <c r="AD12" s="215"/>
      <c r="AE12" s="215"/>
      <c r="AF12" s="215"/>
      <c r="AG12" s="215"/>
      <c r="AH12" s="215"/>
      <c r="AI12" s="215"/>
      <c r="AL12" s="216"/>
      <c r="AM12" s="216"/>
      <c r="AN12" s="216"/>
      <c r="AO12" s="216"/>
      <c r="AP12" s="216"/>
    </row>
    <row r="13" s="191" customFormat="true" ht="13.5" hidden="false" customHeight="false" outlineLevel="0" collapsed="false">
      <c r="D13" s="215"/>
      <c r="J13" s="215"/>
      <c r="K13" s="216"/>
      <c r="L13" s="216"/>
      <c r="M13" s="216"/>
      <c r="N13" s="216"/>
      <c r="O13" s="216"/>
      <c r="P13" s="216"/>
      <c r="Q13" s="216"/>
      <c r="R13" s="216"/>
      <c r="S13" s="216"/>
      <c r="T13" s="216"/>
      <c r="U13" s="216"/>
      <c r="V13" s="215"/>
      <c r="W13" s="215"/>
      <c r="X13" s="215"/>
      <c r="Y13" s="215"/>
      <c r="Z13" s="215"/>
      <c r="AA13" s="215"/>
      <c r="AB13" s="215"/>
      <c r="AC13" s="215"/>
      <c r="AD13" s="215"/>
      <c r="AE13" s="215"/>
      <c r="AF13" s="215"/>
      <c r="AG13" s="215"/>
      <c r="AH13" s="215"/>
      <c r="AI13" s="215"/>
      <c r="AL13" s="216"/>
      <c r="AM13" s="216"/>
      <c r="AN13" s="216"/>
      <c r="AO13" s="216"/>
      <c r="AP13" s="216"/>
    </row>
    <row r="14" s="182" customFormat="true" ht="46.15" hidden="false" customHeight="true" outlineLevel="0" collapsed="false">
      <c r="B14" s="183"/>
      <c r="C14" s="183" t="s">
        <v>368</v>
      </c>
      <c r="D14" s="183" t="s">
        <v>369</v>
      </c>
      <c r="E14" s="184" t="s">
        <v>148</v>
      </c>
      <c r="F14" s="185" t="str">
        <f aca="false">+F8</f>
        <v>[ocultar]</v>
      </c>
      <c r="G14" s="185" t="str">
        <f aca="false">+G8</f>
        <v>[ocultar]</v>
      </c>
      <c r="H14" s="185" t="str">
        <f aca="false">+H8</f>
        <v>[ocultar]</v>
      </c>
      <c r="I14" s="185" t="str">
        <f aca="false">+I8</f>
        <v>[ocultar]</v>
      </c>
      <c r="J14" s="185" t="str">
        <f aca="false">+J8</f>
        <v>[ocultar]</v>
      </c>
      <c r="K14" s="185" t="str">
        <f aca="false">+K8</f>
        <v>[ocultar]</v>
      </c>
      <c r="L14" s="185" t="str">
        <f aca="false">+L8</f>
        <v>[ocultar]</v>
      </c>
      <c r="M14" s="185" t="str">
        <f aca="false">+M8</f>
        <v>[ocultar]</v>
      </c>
      <c r="N14" s="185" t="str">
        <f aca="false">+N8</f>
        <v>[ocultar]</v>
      </c>
      <c r="O14" s="185" t="str">
        <f aca="false">+O8</f>
        <v>[ocultar]</v>
      </c>
      <c r="P14" s="185" t="str">
        <f aca="false">+P8</f>
        <v>[ocultar]</v>
      </c>
      <c r="Q14" s="185" t="str">
        <f aca="false">+Q8</f>
        <v>[ocultar]</v>
      </c>
      <c r="R14" s="185" t="str">
        <f aca="false">+R8</f>
        <v>[ocultar]</v>
      </c>
      <c r="S14" s="185" t="str">
        <f aca="false">+S8</f>
        <v>[ocultar]</v>
      </c>
      <c r="T14" s="185" t="str">
        <f aca="false">+T8</f>
        <v>[ocultar]</v>
      </c>
      <c r="U14" s="185" t="str">
        <f aca="false">+U8</f>
        <v>[ocultar]</v>
      </c>
      <c r="V14" s="185" t="str">
        <f aca="false">+V8</f>
        <v>[ocultar]</v>
      </c>
      <c r="W14" s="185" t="str">
        <f aca="false">+W8</f>
        <v>[ocultar]</v>
      </c>
      <c r="X14" s="185" t="str">
        <f aca="false">+X8</f>
        <v>[ocultar]</v>
      </c>
      <c r="Y14" s="185" t="str">
        <f aca="false">+Y8</f>
        <v>[ocultar]</v>
      </c>
      <c r="Z14" s="185" t="str">
        <f aca="false">+Z8</f>
        <v>[ocultar]</v>
      </c>
      <c r="AA14" s="185" t="str">
        <f aca="false">+AA8</f>
        <v>[ocultar]</v>
      </c>
      <c r="AB14" s="185" t="str">
        <f aca="false">+AB8</f>
        <v>[ocultar]</v>
      </c>
      <c r="AC14" s="185" t="str">
        <f aca="false">+AC8</f>
        <v>[ocultar]</v>
      </c>
      <c r="AD14" s="185" t="str">
        <f aca="false">+AD8</f>
        <v>[ocultar]</v>
      </c>
      <c r="AE14" s="185" t="str">
        <f aca="false">+AE8</f>
        <v>[ocultar]</v>
      </c>
      <c r="AF14" s="185" t="str">
        <f aca="false">+AF8</f>
        <v>[ocultar]</v>
      </c>
      <c r="AG14" s="185" t="str">
        <f aca="false">+AG8</f>
        <v>[ocultar]</v>
      </c>
      <c r="AH14" s="185" t="str">
        <f aca="false">+AH8</f>
        <v>[ocultar]</v>
      </c>
      <c r="AI14" s="185" t="str">
        <f aca="false">+AI8</f>
        <v>[ocultar]</v>
      </c>
      <c r="AJ14" s="186" t="s">
        <v>150</v>
      </c>
      <c r="AK14" s="187" t="s">
        <v>152</v>
      </c>
      <c r="AL14" s="188" t="str">
        <f aca="false">+AL8</f>
        <v>[ocultar]</v>
      </c>
      <c r="AM14" s="188" t="str">
        <f aca="false">+AM8</f>
        <v>[ocultar]</v>
      </c>
      <c r="AN14" s="188" t="str">
        <f aca="false">+AN8</f>
        <v>[ocultar]</v>
      </c>
      <c r="AO14" s="188" t="str">
        <f aca="false">+AO8</f>
        <v>[ocultar]</v>
      </c>
      <c r="AP14" s="188" t="str">
        <f aca="false">+AP8</f>
        <v>[ocultar]</v>
      </c>
      <c r="AQ14" s="189" t="s">
        <v>154</v>
      </c>
      <c r="AR14" s="190" t="s">
        <v>156</v>
      </c>
    </row>
    <row r="15" s="191" customFormat="true" ht="15.75" hidden="false" customHeight="false" outlineLevel="0" collapsed="false">
      <c r="A15" s="191" t="str">
        <f aca="false">+A16</f>
        <v>[ocultar]</v>
      </c>
      <c r="B15" s="192" t="s">
        <v>173</v>
      </c>
      <c r="C15" s="193"/>
      <c r="D15" s="194"/>
      <c r="E15" s="195" t="str">
        <f aca="false">IFERROR((E16-E17)/E16,"")</f>
        <v/>
      </c>
      <c r="F15" s="196" t="str">
        <f aca="false">IFERROR((F16-F17)/F16,"")</f>
        <v/>
      </c>
      <c r="G15" s="197" t="str">
        <f aca="false">IFERROR((G16-G17)/G16,"")</f>
        <v/>
      </c>
      <c r="H15" s="197" t="str">
        <f aca="false">IFERROR((H16-H17)/H16,"")</f>
        <v/>
      </c>
      <c r="I15" s="197" t="str">
        <f aca="false">IFERROR((I16-I17)/I16,"")</f>
        <v/>
      </c>
      <c r="J15" s="198" t="str">
        <f aca="false">IFERROR((J16-J17)/J16,"")</f>
        <v/>
      </c>
      <c r="K15" s="199" t="str">
        <f aca="false">IFERROR((K16-K17)/K16,"")</f>
        <v/>
      </c>
      <c r="L15" s="199" t="str">
        <f aca="false">IFERROR((L16-L17)/L16,"")</f>
        <v/>
      </c>
      <c r="M15" s="199" t="str">
        <f aca="false">IFERROR((M16-M17)/M16,"")</f>
        <v/>
      </c>
      <c r="N15" s="199" t="str">
        <f aca="false">IFERROR((N16-N17)/N16,"")</f>
        <v/>
      </c>
      <c r="O15" s="199" t="str">
        <f aca="false">IFERROR((O16-O17)/O16,"")</f>
        <v/>
      </c>
      <c r="P15" s="199" t="str">
        <f aca="false">IFERROR((P16-P17)/P16,"")</f>
        <v/>
      </c>
      <c r="Q15" s="199" t="str">
        <f aca="false">IFERROR((Q16-Q17)/Q16,"")</f>
        <v/>
      </c>
      <c r="R15" s="199" t="str">
        <f aca="false">IFERROR((R16-R17)/R16,"")</f>
        <v/>
      </c>
      <c r="S15" s="199" t="str">
        <f aca="false">IFERROR((S16-S17)/S16,"")</f>
        <v/>
      </c>
      <c r="T15" s="199" t="str">
        <f aca="false">IFERROR((T16-T17)/T16,"")</f>
        <v/>
      </c>
      <c r="U15" s="199" t="str">
        <f aca="false">IFERROR((U16-U17)/U16,"")</f>
        <v/>
      </c>
      <c r="V15" s="198" t="str">
        <f aca="false">IFERROR((V16-V17)/V16,"")</f>
        <v/>
      </c>
      <c r="W15" s="198" t="str">
        <f aca="false">IFERROR((W16-W17)/W16,"")</f>
        <v/>
      </c>
      <c r="X15" s="198" t="str">
        <f aca="false">IFERROR((X16-X17)/X16,"")</f>
        <v/>
      </c>
      <c r="Y15" s="198" t="str">
        <f aca="false">IFERROR((Y16-Y17)/Y16,"")</f>
        <v/>
      </c>
      <c r="Z15" s="198" t="str">
        <f aca="false">IFERROR((Z16-Z17)/Z16,"")</f>
        <v/>
      </c>
      <c r="AA15" s="198" t="str">
        <f aca="false">IFERROR((AA16-AA17)/AA16,"")</f>
        <v/>
      </c>
      <c r="AB15" s="198" t="str">
        <f aca="false">IFERROR((AB16-AB17)/AB16,"")</f>
        <v/>
      </c>
      <c r="AC15" s="198" t="str">
        <f aca="false">IFERROR((AC16-AC17)/AC16,"")</f>
        <v/>
      </c>
      <c r="AD15" s="198" t="str">
        <f aca="false">IFERROR((AD16-AD17)/AD16,"")</f>
        <v/>
      </c>
      <c r="AE15" s="198" t="str">
        <f aca="false">IFERROR((AE16-AE17)/AE16,"")</f>
        <v/>
      </c>
      <c r="AF15" s="198" t="str">
        <f aca="false">IFERROR((AF16-AF17)/AF16,"")</f>
        <v/>
      </c>
      <c r="AG15" s="198" t="str">
        <f aca="false">IFERROR((AG16-AG17)/AG16,"")</f>
        <v/>
      </c>
      <c r="AH15" s="198" t="str">
        <f aca="false">IFERROR((AH16-AH17)/AH16,"")</f>
        <v/>
      </c>
      <c r="AI15" s="198" t="str">
        <f aca="false">IFERROR((AI16-AI17)/AI16,"")</f>
        <v/>
      </c>
      <c r="AJ15" s="200" t="str">
        <f aca="false">IFERROR((AJ16-AJ17)/AJ16,"")</f>
        <v/>
      </c>
      <c r="AK15" s="201" t="str">
        <f aca="false">IFERROR((AK16-AK17)/AK16,"")</f>
        <v/>
      </c>
      <c r="AL15" s="202" t="str">
        <f aca="false">IFERROR((AL16-AL17)/AL16,"")</f>
        <v/>
      </c>
      <c r="AM15" s="202" t="str">
        <f aca="false">IFERROR((AM16-AM17)/AM16,"")</f>
        <v/>
      </c>
      <c r="AN15" s="202" t="str">
        <f aca="false">IFERROR((AN16-AN17)/AN16,"")</f>
        <v/>
      </c>
      <c r="AO15" s="202" t="str">
        <f aca="false">IFERROR((AO16-AO17)/AO16,"")</f>
        <v/>
      </c>
      <c r="AP15" s="202" t="str">
        <f aca="false">IFERROR((AP16-AP17)/AP16,"")</f>
        <v/>
      </c>
      <c r="AQ15" s="203" t="str">
        <f aca="false">IFERROR((AQ16-AQ17)/AQ16,"")</f>
        <v/>
      </c>
      <c r="AR15" s="204" t="str">
        <f aca="false">IFERROR((AR16-AR17)/AR16,"")</f>
        <v/>
      </c>
    </row>
    <row r="16" s="191" customFormat="true" ht="14.25" hidden="false" customHeight="false" outlineLevel="0" collapsed="false">
      <c r="A16" s="191" t="str">
        <f aca="false">+IF(C16+C17=0,"[ocultar]","")</f>
        <v>[ocultar]</v>
      </c>
      <c r="B16" s="205" t="s">
        <v>371</v>
      </c>
      <c r="C16" s="206" t="n">
        <f aca="false" t="array" ref="C16:C16">SUM(IF($B16=DATOS_[Sexo], IF($B15=DATOS_[AGRUP. CLAS. PROF.], IF("Dentro"=DATOS_[Check Periodo Ref.], 1/(COUNTIFS(DATOS_[Sexo],$B16,DATOS_[AGRUP. CLAS. PROF.],$B15,DATOS_[Check Periodo Ref.],"Dentro",DATOS_[id],DATOS_[id]))))))</f>
        <v>0</v>
      </c>
      <c r="D16" s="207" t="n">
        <f aca="false">COUNTIFS(DATOS_[AGRUP. CLAS. PROF.],$B15,DATOS_[Sexo],$B16,DATOS_[Check Periodo Ref.],"Dentro")</f>
        <v>0</v>
      </c>
      <c r="E16" s="208" t="n">
        <f aca="false" t="array" ref="E16:E16">IFERROR( AVERAGE(IF(DATOS_[Sexo]=$B16,IF(DATOS_[AGRUP. CLAS. PROF.]=$B15,IF(DATOS_[Check Periodo Ref.]="Dentro",DATOS_[SALARIO BASE Ef],0)))), 0)</f>
        <v>0</v>
      </c>
      <c r="F16" s="209" t="n">
        <f aca="false" t="array" ref="F16:F16">IFERROR( AVERAGE((IF(DATOS_[[Sexo]:[Sexo]]=$B16,IF(DATOS_[[AGRUP. CLAS. PROF.]:[AGRUP. CLAS. PROF.]]=$B15,IF(DATOS_[[Check Periodo Ref.]:[Check Periodo Ref.]]="Dentro",DATOS_[Conc.Sal.01]))))), 0)</f>
        <v>0</v>
      </c>
      <c r="G16" s="209" t="n">
        <f aca="false" t="array" ref="G16:G16">IFERROR( AVERAGE((IF(DATOS_[[Sexo]:[Sexo]]=$B16,IF(DATOS_[[AGRUP. CLAS. PROF.]:[AGRUP. CLAS. PROF.]]=$B15,IF(DATOS_[[Check Periodo Ref.]:[Check Periodo Ref.]]="Dentro",DATOS_[Conc.Sal.02]))))), 0)</f>
        <v>0</v>
      </c>
      <c r="H16" s="209" t="n">
        <f aca="false" t="array" ref="H16:H16">IFERROR( AVERAGE((IF(DATOS_[[Sexo]:[Sexo]]=$B16,IF(DATOS_[[AGRUP. CLAS. PROF.]:[AGRUP. CLAS. PROF.]]=$B15,IF(DATOS_[[Check Periodo Ref.]:[Check Periodo Ref.]]="Dentro",DATOS_[Conc.Sal.03]))))), 0)</f>
        <v>0</v>
      </c>
      <c r="I16" s="209" t="n">
        <f aca="false" t="array" ref="I16:I16">IFERROR( AVERAGE((IF(DATOS_[[Sexo]:[Sexo]]=$B16,IF(DATOS_[[AGRUP. CLAS. PROF.]:[AGRUP. CLAS. PROF.]]=$B15,IF(DATOS_[[Check Periodo Ref.]:[Check Periodo Ref.]]="Dentro",DATOS_[Conc.Sal.04]))))), 0)</f>
        <v>0</v>
      </c>
      <c r="J16" s="209" t="n">
        <f aca="false" t="array" ref="J16:J16">IFERROR( AVERAGE((IF(DATOS_[[Sexo]:[Sexo]]=$B16,IF(DATOS_[[AGRUP. CLAS. PROF.]:[AGRUP. CLAS. PROF.]]=$B15,IF(DATOS_[[Check Periodo Ref.]:[Check Periodo Ref.]]="Dentro",DATOS_[Conc.Sal.05]))))), 0)</f>
        <v>0</v>
      </c>
      <c r="K16" s="209" t="n">
        <f aca="false" t="array" ref="K16:K16">IFERROR( AVERAGE((IF(DATOS_[[Sexo]:[Sexo]]=$B16,IF(DATOS_[[AGRUP. CLAS. PROF.]:[AGRUP. CLAS. PROF.]]=$B15,IF(DATOS_[[Check Periodo Ref.]:[Check Periodo Ref.]]="Dentro",DATOS_[Conc.Sal.06]))))), 0)</f>
        <v>0</v>
      </c>
      <c r="L16" s="209" t="n">
        <f aca="false" t="array" ref="L16:L16">IFERROR( AVERAGE((IF(DATOS_[[Sexo]:[Sexo]]=$B16,IF(DATOS_[[AGRUP. CLAS. PROF.]:[AGRUP. CLAS. PROF.]]=$B15,IF(DATOS_[[Check Periodo Ref.]:[Check Periodo Ref.]]="Dentro",DATOS_[Conc.Sal.07]))))), 0)</f>
        <v>0</v>
      </c>
      <c r="M16" s="209" t="n">
        <f aca="false" t="array" ref="M16:M16">IFERROR( AVERAGE((IF(DATOS_[[Sexo]:[Sexo]]=$B16,IF(DATOS_[[AGRUP. CLAS. PROF.]:[AGRUP. CLAS. PROF.]]=$B15,IF(DATOS_[[Check Periodo Ref.]:[Check Periodo Ref.]]="Dentro",DATOS_[Conc.Sal.08]))))), 0)</f>
        <v>0</v>
      </c>
      <c r="N16" s="209" t="n">
        <f aca="false" t="array" ref="N16:N16">IFERROR( AVERAGE((IF(DATOS_[[Sexo]:[Sexo]]=$B16,IF(DATOS_[[AGRUP. CLAS. PROF.]:[AGRUP. CLAS. PROF.]]=$B15,IF(DATOS_[[Check Periodo Ref.]:[Check Periodo Ref.]]="Dentro",DATOS_[Conc.Sal.09]))))), 0)</f>
        <v>0</v>
      </c>
      <c r="O16" s="209" t="n">
        <f aca="false" t="array" ref="O16:O16">IFERROR( AVERAGE((IF(DATOS_[[Sexo]:[Sexo]]=$B16,IF(DATOS_[[AGRUP. CLAS. PROF.]:[AGRUP. CLAS. PROF.]]=$B15,IF(DATOS_[[Check Periodo Ref.]:[Check Periodo Ref.]]="Dentro",DATOS_[Conc.Sal.10]))))), 0)</f>
        <v>0</v>
      </c>
      <c r="P16" s="209" t="n">
        <f aca="false" t="array" ref="P16:P16">IFERROR( AVERAGE((IF(DATOS_[[Sexo]:[Sexo]]=$B16,IF(DATOS_[[AGRUP. CLAS. PROF.]:[AGRUP. CLAS. PROF.]]=$B15,IF(DATOS_[[Check Periodo Ref.]:[Check Periodo Ref.]]="Dentro",DATOS_[Conc.Sal.11]))))), 0)</f>
        <v>0</v>
      </c>
      <c r="Q16" s="209" t="n">
        <f aca="false" t="array" ref="Q16:Q16">IFERROR( AVERAGE((IF(DATOS_[[Sexo]:[Sexo]]=$B16,IF(DATOS_[[AGRUP. CLAS. PROF.]:[AGRUP. CLAS. PROF.]]=$B15,IF(DATOS_[[Check Periodo Ref.]:[Check Periodo Ref.]]="Dentro",DATOS_[Conc.Sal.12]))))), 0)</f>
        <v>0</v>
      </c>
      <c r="R16" s="209" t="n">
        <f aca="false" t="array" ref="R16:R16">IFERROR( AVERAGE((IF(DATOS_[[Sexo]:[Sexo]]=$B16,IF(DATOS_[[AGRUP. CLAS. PROF.]:[AGRUP. CLAS. PROF.]]=$B15,IF(DATOS_[[Check Periodo Ref.]:[Check Periodo Ref.]]="Dentro",DATOS_[Conc.Sal.13]))))), 0)</f>
        <v>0</v>
      </c>
      <c r="S16" s="209" t="n">
        <f aca="false" t="array" ref="S16:S16">IFERROR( AVERAGE((IF(DATOS_[[Sexo]:[Sexo]]=$B16,IF(DATOS_[[AGRUP. CLAS. PROF.]:[AGRUP. CLAS. PROF.]]=$B15,IF(DATOS_[[Check Periodo Ref.]:[Check Periodo Ref.]]="Dentro",DATOS_[Conc.Sal.14]))))), 0)</f>
        <v>0</v>
      </c>
      <c r="T16" s="209" t="n">
        <f aca="false" t="array" ref="T16:T16">IFERROR( AVERAGE((IF(DATOS_[[Sexo]:[Sexo]]=$B16,IF(DATOS_[[AGRUP. CLAS. PROF.]:[AGRUP. CLAS. PROF.]]=$B15,IF(DATOS_[[Check Periodo Ref.]:[Check Periodo Ref.]]="Dentro",DATOS_[Conc.Sal.15]))))), 0)</f>
        <v>0</v>
      </c>
      <c r="U16" s="209" t="n">
        <f aca="false" t="array" ref="U16:U16">IFERROR( AVERAGE((IF(DATOS_[[Sexo]:[Sexo]]=$B16,IF(DATOS_[[AGRUP. CLAS. PROF.]:[AGRUP. CLAS. PROF.]]=$B15,IF(DATOS_[[Check Periodo Ref.]:[Check Periodo Ref.]]="Dentro",DATOS_[Conc.Sal.16]))))), 0)</f>
        <v>0</v>
      </c>
      <c r="V16" s="209" t="n">
        <f aca="false" t="array" ref="V16:V16">IFERROR( AVERAGE((IF(DATOS_[[Sexo]:[Sexo]]=$B16,IF(DATOS_[[AGRUP. CLAS. PROF.]:[AGRUP. CLAS. PROF.]]=$B15,IF(DATOS_[[Check Periodo Ref.]:[Check Periodo Ref.]]="Dentro",DATOS_[Conc.Sal.17]))))), 0)</f>
        <v>0</v>
      </c>
      <c r="W16" s="209" t="n">
        <f aca="false" t="array" ref="W16:W16">IFERROR( AVERAGE((IF(DATOS_[[Sexo]:[Sexo]]=$B16,IF(DATOS_[[AGRUP. CLAS. PROF.]:[AGRUP. CLAS. PROF.]]=$B15,IF(DATOS_[[Check Periodo Ref.]:[Check Periodo Ref.]]="Dentro",DATOS_[Conc.Sal.18]))))), 0)</f>
        <v>0</v>
      </c>
      <c r="X16" s="209" t="n">
        <f aca="false" t="array" ref="X16:X16">IFERROR( AVERAGE((IF(DATOS_[[Sexo]:[Sexo]]=$B16,IF(DATOS_[[AGRUP. CLAS. PROF.]:[AGRUP. CLAS. PROF.]]=$B15,IF(DATOS_[[Check Periodo Ref.]:[Check Periodo Ref.]]="Dentro",DATOS_[Conc.Sal.19]))))), 0)</f>
        <v>0</v>
      </c>
      <c r="Y16" s="209" t="n">
        <f aca="false" t="array" ref="Y16:Y16">IFERROR( AVERAGE((IF(DATOS_[[Sexo]:[Sexo]]=$B16,IF(DATOS_[[AGRUP. CLAS. PROF.]:[AGRUP. CLAS. PROF.]]=$B15,IF(DATOS_[[Check Periodo Ref.]:[Check Periodo Ref.]]="Dentro",DATOS_[Conc.Sal.20]))))), 0)</f>
        <v>0</v>
      </c>
      <c r="Z16" s="209" t="n">
        <f aca="false" t="array" ref="Z16:Z16">IFERROR( AVERAGE((IF(DATOS_[[Sexo]:[Sexo]]=$B16,IF(DATOS_[[AGRUP. CLAS. PROF.]:[AGRUP. CLAS. PROF.]]=$B15,IF(DATOS_[[Check Periodo Ref.]:[Check Periodo Ref.]]="Dentro",DATOS_[Conc.Sal.21]))))), 0)</f>
        <v>0</v>
      </c>
      <c r="AA16" s="209" t="n">
        <f aca="false" t="array" ref="AA16:AA16">IFERROR( AVERAGE((IF(DATOS_[[Sexo]:[Sexo]]=$B16,IF(DATOS_[[AGRUP. CLAS. PROF.]:[AGRUP. CLAS. PROF.]]=$B15,IF(DATOS_[[Check Periodo Ref.]:[Check Periodo Ref.]]="Dentro",DATOS_[Conc.Sal.22]))))), 0)</f>
        <v>0</v>
      </c>
      <c r="AB16" s="209" t="n">
        <f aca="false" t="array" ref="AB16:AB16">IFERROR( AVERAGE((IF(DATOS_[[Sexo]:[Sexo]]=$B16,IF(DATOS_[[AGRUP. CLAS. PROF.]:[AGRUP. CLAS. PROF.]]=$B15,IF(DATOS_[[Check Periodo Ref.]:[Check Periodo Ref.]]="Dentro",DATOS_[Conc.Sal.23]))))), 0)</f>
        <v>0</v>
      </c>
      <c r="AC16" s="209" t="n">
        <f aca="false" t="array" ref="AC16:AC16">IFERROR( AVERAGE((IF(DATOS_[[Sexo]:[Sexo]]=$B16,IF(DATOS_[[AGRUP. CLAS. PROF.]:[AGRUP. CLAS. PROF.]]=$B15,IF(DATOS_[[Check Periodo Ref.]:[Check Periodo Ref.]]="Dentro",DATOS_[Conc.Sal.24]))))), 0)</f>
        <v>0</v>
      </c>
      <c r="AD16" s="209" t="n">
        <f aca="false" t="array" ref="AD16:AD16">IFERROR( AVERAGE((IF(DATOS_[[Sexo]:[Sexo]]=$B16,IF(DATOS_[[AGRUP. CLAS. PROF.]:[AGRUP. CLAS. PROF.]]=$B15,IF(DATOS_[[Check Periodo Ref.]:[Check Periodo Ref.]]="Dentro",DATOS_[Conc.Sal.25]))))), 0)</f>
        <v>0</v>
      </c>
      <c r="AE16" s="209" t="n">
        <f aca="false" t="array" ref="AE16:AE16">IFERROR( AVERAGE((IF(DATOS_[[Sexo]:[Sexo]]=$B16,IF(DATOS_[[AGRUP. CLAS. PROF.]:[AGRUP. CLAS. PROF.]]=$B15,IF(DATOS_[[Check Periodo Ref.]:[Check Periodo Ref.]]="Dentro",DATOS_[Conc.Sal.26]))))), 0)</f>
        <v>0</v>
      </c>
      <c r="AF16" s="209" t="n">
        <f aca="false" t="array" ref="AF16:AF16">IFERROR( AVERAGE((IF(DATOS_[[Sexo]:[Sexo]]=$B16,IF(DATOS_[[AGRUP. CLAS. PROF.]:[AGRUP. CLAS. PROF.]]=$B15,IF(DATOS_[[Check Periodo Ref.]:[Check Periodo Ref.]]="Dentro",DATOS_[Conc.Sal.27]))))), 0)</f>
        <v>0</v>
      </c>
      <c r="AG16" s="209" t="n">
        <f aca="false" t="array" ref="AG16:AG16">IFERROR( AVERAGE((IF(DATOS_[[Sexo]:[Sexo]]=$B16,IF(DATOS_[[AGRUP. CLAS. PROF.]:[AGRUP. CLAS. PROF.]]=$B15,IF(DATOS_[[Check Periodo Ref.]:[Check Periodo Ref.]]="Dentro",DATOS_[Conc.Sal.28]))))), 0)</f>
        <v>0</v>
      </c>
      <c r="AH16" s="209" t="n">
        <f aca="false" t="array" ref="AH16:AH16">IFERROR( AVERAGE((IF(DATOS_[[Sexo]:[Sexo]]=$B16,IF(DATOS_[[AGRUP. CLAS. PROF.]:[AGRUP. CLAS. PROF.]]=$B15,IF(DATOS_[[Check Periodo Ref.]:[Check Periodo Ref.]]="Dentro",DATOS_[Conc.Sal.29]))))), 0)</f>
        <v>0</v>
      </c>
      <c r="AI16" s="209" t="n">
        <f aca="false" t="array" ref="AI16:AI16">IFERROR( AVERAGE((IF(DATOS_[[Sexo]:[Sexo]]=$B16,IF(DATOS_[[AGRUP. CLAS. PROF.]:[AGRUP. CLAS. PROF.]]=$B15,IF(DATOS_[[Check Periodo Ref.]:[Check Periodo Ref.]]="Dentro",DATOS_[Conc.Sal.30]))))), 0)</f>
        <v>0</v>
      </c>
      <c r="AJ16" s="210" t="n">
        <f aca="false" t="array" ref="AJ16:AJ16">IFERROR( AVERAGE(IF(DATOS_[Sexo]=$B16,IF(DATOS_[AGRUP. CLAS. PROF.]=$B15,IF(DATOS_[Check Periodo Ref.]="Dentro",DATOS_[Tot COMPL.SAL Ef],0)))), 0)</f>
        <v>0</v>
      </c>
      <c r="AK16" s="211" t="n">
        <f aca="false" t="array" ref="AK16:AK16">IFERROR( AVERAGE(IF(DATOS_[Sexo]=$B16,IF(DATOS_[AGRUP. CLAS. PROF.]=$B15,IF(DATOS_[Check Periodo Ref.]="Dentro",DATOS_[TOTAL SALARIO Ef],0)))), 0)</f>
        <v>0</v>
      </c>
      <c r="AL16" s="212" t="n">
        <f aca="false" t="array" ref="AL16:AL16">IFERROR( AVERAGE((IF(DATOS_[[Sexo]:[Sexo]]=$B16,IF(DATOS_[[AGRUP. CLAS. PROF.]:[AGRUP. CLAS. PROF.]]=$B15,IF(DATOS_[[Check Periodo Ref.]:[Check Periodo Ref.]]="Dentro",DATOS_[C.Extra.01]))))), 0)</f>
        <v>0</v>
      </c>
      <c r="AM16" s="212" t="n">
        <f aca="false" t="array" ref="AM16:AM16">IFERROR( AVERAGE((IF(DATOS_[[Sexo]:[Sexo]]=$B16,IF(DATOS_[[AGRUP. CLAS. PROF.]:[AGRUP. CLAS. PROF.]]=$B15,IF(DATOS_[[Check Periodo Ref.]:[Check Periodo Ref.]]="Dentro",DATOS_[C.Extra.02]))))), 0)</f>
        <v>0</v>
      </c>
      <c r="AN16" s="212" t="n">
        <f aca="false" t="array" ref="AN16:AN16">IFERROR( AVERAGE((IF(DATOS_[[Sexo]:[Sexo]]=$B16,IF(DATOS_[[AGRUP. CLAS. PROF.]:[AGRUP. CLAS. PROF.]]=$B15,IF(DATOS_[[Check Periodo Ref.]:[Check Periodo Ref.]]="Dentro",DATOS_[C.Extra.03]))))), 0)</f>
        <v>0</v>
      </c>
      <c r="AO16" s="212" t="n">
        <f aca="false" t="array" ref="AO16:AO16">IFERROR( AVERAGE((IF(DATOS_[[Sexo]:[Sexo]]=$B16,IF(DATOS_[[AGRUP. CLAS. PROF.]:[AGRUP. CLAS. PROF.]]=$B15,IF(DATOS_[[Check Periodo Ref.]:[Check Periodo Ref.]]="Dentro",DATOS_[C.Extra.04]))))), 0)</f>
        <v>0</v>
      </c>
      <c r="AP16" s="212" t="n">
        <f aca="false" t="array" ref="AP16:AP16">IFERROR( AVERAGE((IF(DATOS_[[Sexo]:[Sexo]]=$B16,IF(DATOS_[[AGRUP. CLAS. PROF.]:[AGRUP. CLAS. PROF.]]=$B15,IF(DATOS_[[Check Periodo Ref.]:[Check Periodo Ref.]]="Dentro",DATOS_[C.Extra.05]))))), 0)</f>
        <v>0</v>
      </c>
      <c r="AQ16" s="213" t="n">
        <f aca="false" t="array" ref="AQ16:AQ16">IFERROR( AVERAGE(IF(DATOS_[Sexo]=$B16,IF(DATOS_[AGRUP. CLAS. PROF.]=$B15,IF(DATOS_[Check Periodo Ref.]="Dentro",DATOS_[Tot Extrasalarial Ef],0)))), 0)</f>
        <v>0</v>
      </c>
      <c r="AR16" s="214" t="n">
        <f aca="false" t="array" ref="AR16:AR16">IFERROR( AVERAGE(IF(DATOS_[Sexo]=$B16,IF(DATOS_[AGRUP. CLAS. PROF.]=$B15,IF(DATOS_[Check Periodo Ref.]="Dentro",DATOS_[TOTAL Retrib Ef],0)))), 0)</f>
        <v>0</v>
      </c>
    </row>
    <row r="17" s="191" customFormat="true" ht="14.25" hidden="false" customHeight="false" outlineLevel="0" collapsed="false">
      <c r="A17" s="191" t="str">
        <f aca="false">+A16</f>
        <v>[ocultar]</v>
      </c>
      <c r="B17" s="205" t="s">
        <v>372</v>
      </c>
      <c r="C17" s="206" t="n">
        <f aca="false" t="array" ref="C17:C17">SUM(IF($B17=DATOS_[Sexo], IF($B15=DATOS_[AGRUP. CLAS. PROF.], IF("Dentro"=DATOS_[Check Periodo Ref.], 1/(COUNTIFS(DATOS_[Sexo],$B17,DATOS_[AGRUP. CLAS. PROF.],$B15,DATOS_[Check Periodo Ref.],"Dentro",DATOS_[id],DATOS_[id]))))))</f>
        <v>0</v>
      </c>
      <c r="D17" s="207" t="n">
        <f aca="false">COUNTIFS(DATOS_[AGRUP. CLAS. PROF.],$B15,DATOS_[Sexo],$B17,DATOS_[Check Periodo Ref.],"Dentro")</f>
        <v>0</v>
      </c>
      <c r="E17" s="208" t="n">
        <f aca="false" t="array" ref="E17:E17">IFERROR( AVERAGE(IF(DATOS_[Sexo]=$B17,IF(DATOS_[AGRUP. CLAS. PROF.]=$B15,IF(DATOS_[Check Periodo Ref.]="Dentro",DATOS_[SALARIO BASE Ef],0)))), 0)</f>
        <v>0</v>
      </c>
      <c r="F17" s="209" t="n">
        <f aca="false" t="array" ref="F17:F17">IFERROR( AVERAGE((IF(DATOS_[[Sexo]:[Sexo]]=$B17,IF(DATOS_[[AGRUP. CLAS. PROF.]:[AGRUP. CLAS. PROF.]]=$B15,IF(DATOS_[[Check Periodo Ref.]:[Check Periodo Ref.]]="Dentro",DATOS_[Conc.Sal.01]))))), 0)</f>
        <v>0</v>
      </c>
      <c r="G17" s="209" t="n">
        <f aca="false" t="array" ref="G17:G17">IFERROR( AVERAGE((IF(DATOS_[[Sexo]:[Sexo]]=$B17,IF(DATOS_[[AGRUP. CLAS. PROF.]:[AGRUP. CLAS. PROF.]]=$B15,IF(DATOS_[[Check Periodo Ref.]:[Check Periodo Ref.]]="Dentro",DATOS_[Conc.Sal.02]))))), 0)</f>
        <v>0</v>
      </c>
      <c r="H17" s="209" t="n">
        <f aca="false" t="array" ref="H17:H17">IFERROR( AVERAGE((IF(DATOS_[[Sexo]:[Sexo]]=$B17,IF(DATOS_[[AGRUP. CLAS. PROF.]:[AGRUP. CLAS. PROF.]]=$B15,IF(DATOS_[[Check Periodo Ref.]:[Check Periodo Ref.]]="Dentro",DATOS_[Conc.Sal.03]))))), 0)</f>
        <v>0</v>
      </c>
      <c r="I17" s="209" t="n">
        <f aca="false" t="array" ref="I17:I17">IFERROR( AVERAGE((IF(DATOS_[[Sexo]:[Sexo]]=$B17,IF(DATOS_[[AGRUP. CLAS. PROF.]:[AGRUP. CLAS. PROF.]]=$B15,IF(DATOS_[[Check Periodo Ref.]:[Check Periodo Ref.]]="Dentro",DATOS_[Conc.Sal.04]))))), 0)</f>
        <v>0</v>
      </c>
      <c r="J17" s="209" t="n">
        <f aca="false" t="array" ref="J17:J17">IFERROR( AVERAGE((IF(DATOS_[[Sexo]:[Sexo]]=$B17,IF(DATOS_[[AGRUP. CLAS. PROF.]:[AGRUP. CLAS. PROF.]]=$B15,IF(DATOS_[[Check Periodo Ref.]:[Check Periodo Ref.]]="Dentro",DATOS_[Conc.Sal.05]))))), 0)</f>
        <v>0</v>
      </c>
      <c r="K17" s="209" t="n">
        <f aca="false" t="array" ref="K17:K17">IFERROR( AVERAGE((IF(DATOS_[[Sexo]:[Sexo]]=$B17,IF(DATOS_[[AGRUP. CLAS. PROF.]:[AGRUP. CLAS. PROF.]]=$B15,IF(DATOS_[[Check Periodo Ref.]:[Check Periodo Ref.]]="Dentro",DATOS_[Conc.Sal.06]))))), 0)</f>
        <v>0</v>
      </c>
      <c r="L17" s="209" t="n">
        <f aca="false" t="array" ref="L17:L17">IFERROR( AVERAGE((IF(DATOS_[[Sexo]:[Sexo]]=$B17,IF(DATOS_[[AGRUP. CLAS. PROF.]:[AGRUP. CLAS. PROF.]]=$B15,IF(DATOS_[[Check Periodo Ref.]:[Check Periodo Ref.]]="Dentro",DATOS_[Conc.Sal.07]))))), 0)</f>
        <v>0</v>
      </c>
      <c r="M17" s="209" t="n">
        <f aca="false" t="array" ref="M17:M17">IFERROR( AVERAGE((IF(DATOS_[[Sexo]:[Sexo]]=$B17,IF(DATOS_[[AGRUP. CLAS. PROF.]:[AGRUP. CLAS. PROF.]]=$B15,IF(DATOS_[[Check Periodo Ref.]:[Check Periodo Ref.]]="Dentro",DATOS_[Conc.Sal.08]))))), 0)</f>
        <v>0</v>
      </c>
      <c r="N17" s="209" t="n">
        <f aca="false" t="array" ref="N17:N17">IFERROR( AVERAGE((IF(DATOS_[[Sexo]:[Sexo]]=$B17,IF(DATOS_[[AGRUP. CLAS. PROF.]:[AGRUP. CLAS. PROF.]]=$B15,IF(DATOS_[[Check Periodo Ref.]:[Check Periodo Ref.]]="Dentro",DATOS_[Conc.Sal.09]))))), 0)</f>
        <v>0</v>
      </c>
      <c r="O17" s="209" t="n">
        <f aca="false" t="array" ref="O17:O17">IFERROR( AVERAGE((IF(DATOS_[[Sexo]:[Sexo]]=$B17,IF(DATOS_[[AGRUP. CLAS. PROF.]:[AGRUP. CLAS. PROF.]]=$B15,IF(DATOS_[[Check Periodo Ref.]:[Check Periodo Ref.]]="Dentro",DATOS_[Conc.Sal.10]))))), 0)</f>
        <v>0</v>
      </c>
      <c r="P17" s="209" t="n">
        <f aca="false" t="array" ref="P17:P17">IFERROR( AVERAGE((IF(DATOS_[[Sexo]:[Sexo]]=$B17,IF(DATOS_[[AGRUP. CLAS. PROF.]:[AGRUP. CLAS. PROF.]]=$B15,IF(DATOS_[[Check Periodo Ref.]:[Check Periodo Ref.]]="Dentro",DATOS_[Conc.Sal.11]))))), 0)</f>
        <v>0</v>
      </c>
      <c r="Q17" s="209" t="n">
        <f aca="false" t="array" ref="Q17:Q17">IFERROR( AVERAGE((IF(DATOS_[[Sexo]:[Sexo]]=$B17,IF(DATOS_[[AGRUP. CLAS. PROF.]:[AGRUP. CLAS. PROF.]]=$B15,IF(DATOS_[[Check Periodo Ref.]:[Check Periodo Ref.]]="Dentro",DATOS_[Conc.Sal.12]))))), 0)</f>
        <v>0</v>
      </c>
      <c r="R17" s="209" t="n">
        <f aca="false" t="array" ref="R17:R17">IFERROR( AVERAGE((IF(DATOS_[[Sexo]:[Sexo]]=$B17,IF(DATOS_[[AGRUP. CLAS. PROF.]:[AGRUP. CLAS. PROF.]]=$B15,IF(DATOS_[[Check Periodo Ref.]:[Check Periodo Ref.]]="Dentro",DATOS_[Conc.Sal.13]))))), 0)</f>
        <v>0</v>
      </c>
      <c r="S17" s="209" t="n">
        <f aca="false" t="array" ref="S17:S17">IFERROR( AVERAGE((IF(DATOS_[[Sexo]:[Sexo]]=$B17,IF(DATOS_[[AGRUP. CLAS. PROF.]:[AGRUP. CLAS. PROF.]]=$B15,IF(DATOS_[[Check Periodo Ref.]:[Check Periodo Ref.]]="Dentro",DATOS_[Conc.Sal.14]))))), 0)</f>
        <v>0</v>
      </c>
      <c r="T17" s="209" t="n">
        <f aca="false" t="array" ref="T17:T17">IFERROR( AVERAGE((IF(DATOS_[[Sexo]:[Sexo]]=$B17,IF(DATOS_[[AGRUP. CLAS. PROF.]:[AGRUP. CLAS. PROF.]]=$B15,IF(DATOS_[[Check Periodo Ref.]:[Check Periodo Ref.]]="Dentro",DATOS_[Conc.Sal.15]))))), 0)</f>
        <v>0</v>
      </c>
      <c r="U17" s="209" t="n">
        <f aca="false" t="array" ref="U17:U17">IFERROR( AVERAGE((IF(DATOS_[[Sexo]:[Sexo]]=$B17,IF(DATOS_[[AGRUP. CLAS. PROF.]:[AGRUP. CLAS. PROF.]]=$B15,IF(DATOS_[[Check Periodo Ref.]:[Check Periodo Ref.]]="Dentro",DATOS_[Conc.Sal.16]))))), 0)</f>
        <v>0</v>
      </c>
      <c r="V17" s="209" t="n">
        <f aca="false" t="array" ref="V17:V17">IFERROR( AVERAGE((IF(DATOS_[[Sexo]:[Sexo]]=$B17,IF(DATOS_[[AGRUP. CLAS. PROF.]:[AGRUP. CLAS. PROF.]]=$B15,IF(DATOS_[[Check Periodo Ref.]:[Check Periodo Ref.]]="Dentro",DATOS_[Conc.Sal.17]))))), 0)</f>
        <v>0</v>
      </c>
      <c r="W17" s="209" t="n">
        <f aca="false" t="array" ref="W17:W17">IFERROR( AVERAGE((IF(DATOS_[[Sexo]:[Sexo]]=$B17,IF(DATOS_[[AGRUP. CLAS. PROF.]:[AGRUP. CLAS. PROF.]]=$B15,IF(DATOS_[[Check Periodo Ref.]:[Check Periodo Ref.]]="Dentro",DATOS_[Conc.Sal.18]))))), 0)</f>
        <v>0</v>
      </c>
      <c r="X17" s="209" t="n">
        <f aca="false" t="array" ref="X17:X17">IFERROR( AVERAGE((IF(DATOS_[[Sexo]:[Sexo]]=$B17,IF(DATOS_[[AGRUP. CLAS. PROF.]:[AGRUP. CLAS. PROF.]]=$B15,IF(DATOS_[[Check Periodo Ref.]:[Check Periodo Ref.]]="Dentro",DATOS_[Conc.Sal.19]))))), 0)</f>
        <v>0</v>
      </c>
      <c r="Y17" s="209" t="n">
        <f aca="false" t="array" ref="Y17:Y17">IFERROR( AVERAGE((IF(DATOS_[[Sexo]:[Sexo]]=$B17,IF(DATOS_[[AGRUP. CLAS. PROF.]:[AGRUP. CLAS. PROF.]]=$B15,IF(DATOS_[[Check Periodo Ref.]:[Check Periodo Ref.]]="Dentro",DATOS_[Conc.Sal.20]))))), 0)</f>
        <v>0</v>
      </c>
      <c r="Z17" s="209" t="n">
        <f aca="false" t="array" ref="Z17:Z17">IFERROR( AVERAGE((IF(DATOS_[[Sexo]:[Sexo]]=$B17,IF(DATOS_[[AGRUP. CLAS. PROF.]:[AGRUP. CLAS. PROF.]]=$B15,IF(DATOS_[[Check Periodo Ref.]:[Check Periodo Ref.]]="Dentro",DATOS_[Conc.Sal.21]))))), 0)</f>
        <v>0</v>
      </c>
      <c r="AA17" s="209" t="n">
        <f aca="false" t="array" ref="AA17:AA17">IFERROR( AVERAGE((IF(DATOS_[[Sexo]:[Sexo]]=$B17,IF(DATOS_[[AGRUP. CLAS. PROF.]:[AGRUP. CLAS. PROF.]]=$B15,IF(DATOS_[[Check Periodo Ref.]:[Check Periodo Ref.]]="Dentro",DATOS_[Conc.Sal.22]))))), 0)</f>
        <v>0</v>
      </c>
      <c r="AB17" s="209" t="n">
        <f aca="false" t="array" ref="AB17:AB17">IFERROR( AVERAGE((IF(DATOS_[[Sexo]:[Sexo]]=$B17,IF(DATOS_[[AGRUP. CLAS. PROF.]:[AGRUP. CLAS. PROF.]]=$B15,IF(DATOS_[[Check Periodo Ref.]:[Check Periodo Ref.]]="Dentro",DATOS_[Conc.Sal.23]))))), 0)</f>
        <v>0</v>
      </c>
      <c r="AC17" s="209" t="n">
        <f aca="false" t="array" ref="AC17:AC17">IFERROR( AVERAGE((IF(DATOS_[[Sexo]:[Sexo]]=$B17,IF(DATOS_[[AGRUP. CLAS. PROF.]:[AGRUP. CLAS. PROF.]]=$B15,IF(DATOS_[[Check Periodo Ref.]:[Check Periodo Ref.]]="Dentro",DATOS_[Conc.Sal.24]))))), 0)</f>
        <v>0</v>
      </c>
      <c r="AD17" s="209" t="n">
        <f aca="false" t="array" ref="AD17:AD17">IFERROR( AVERAGE((IF(DATOS_[[Sexo]:[Sexo]]=$B17,IF(DATOS_[[AGRUP. CLAS. PROF.]:[AGRUP. CLAS. PROF.]]=$B15,IF(DATOS_[[Check Periodo Ref.]:[Check Periodo Ref.]]="Dentro",DATOS_[Conc.Sal.25]))))), 0)</f>
        <v>0</v>
      </c>
      <c r="AE17" s="209" t="n">
        <f aca="false" t="array" ref="AE17:AE17">IFERROR( AVERAGE((IF(DATOS_[[Sexo]:[Sexo]]=$B17,IF(DATOS_[[AGRUP. CLAS. PROF.]:[AGRUP. CLAS. PROF.]]=$B15,IF(DATOS_[[Check Periodo Ref.]:[Check Periodo Ref.]]="Dentro",DATOS_[Conc.Sal.26]))))), 0)</f>
        <v>0</v>
      </c>
      <c r="AF17" s="209" t="n">
        <f aca="false" t="array" ref="AF17:AF17">IFERROR( AVERAGE((IF(DATOS_[[Sexo]:[Sexo]]=$B17,IF(DATOS_[[AGRUP. CLAS. PROF.]:[AGRUP. CLAS. PROF.]]=$B15,IF(DATOS_[[Check Periodo Ref.]:[Check Periodo Ref.]]="Dentro",DATOS_[Conc.Sal.27]))))), 0)</f>
        <v>0</v>
      </c>
      <c r="AG17" s="209" t="n">
        <f aca="false" t="array" ref="AG17:AG17">IFERROR( AVERAGE((IF(DATOS_[[Sexo]:[Sexo]]=$B17,IF(DATOS_[[AGRUP. CLAS. PROF.]:[AGRUP. CLAS. PROF.]]=$B15,IF(DATOS_[[Check Periodo Ref.]:[Check Periodo Ref.]]="Dentro",DATOS_[Conc.Sal.28]))))), 0)</f>
        <v>0</v>
      </c>
      <c r="AH17" s="209" t="n">
        <f aca="false" t="array" ref="AH17:AH17">IFERROR( AVERAGE((IF(DATOS_[[Sexo]:[Sexo]]=$B17,IF(DATOS_[[AGRUP. CLAS. PROF.]:[AGRUP. CLAS. PROF.]]=$B15,IF(DATOS_[[Check Periodo Ref.]:[Check Periodo Ref.]]="Dentro",DATOS_[Conc.Sal.29]))))), 0)</f>
        <v>0</v>
      </c>
      <c r="AI17" s="209" t="n">
        <f aca="false" t="array" ref="AI17:AI17">IFERROR( AVERAGE((IF(DATOS_[[Sexo]:[Sexo]]=$B17,IF(DATOS_[[AGRUP. CLAS. PROF.]:[AGRUP. CLAS. PROF.]]=$B15,IF(DATOS_[[Check Periodo Ref.]:[Check Periodo Ref.]]="Dentro",DATOS_[Conc.Sal.30]))))), 0)</f>
        <v>0</v>
      </c>
      <c r="AJ17" s="210" t="n">
        <f aca="false" t="array" ref="AJ17:AJ17">IFERROR( AVERAGE(IF(DATOS_[Sexo]=$B17,IF(DATOS_[AGRUP. CLAS. PROF.]=$B15,IF(DATOS_[Check Periodo Ref.]="Dentro",DATOS_[Tot COMPL.SAL Ef],0)))), 0)</f>
        <v>0</v>
      </c>
      <c r="AK17" s="211" t="n">
        <f aca="false" t="array" ref="AK17:AK17">IFERROR( AVERAGE(IF(DATOS_[Sexo]=$B17,IF(DATOS_[AGRUP. CLAS. PROF.]=$B15,IF(DATOS_[Check Periodo Ref.]="Dentro",DATOS_[TOTAL SALARIO Ef],0)))), 0)</f>
        <v>0</v>
      </c>
      <c r="AL17" s="212" t="n">
        <f aca="false" t="array" ref="AL17:AL17">IFERROR( AVERAGE((IF(DATOS_[[Sexo]:[Sexo]]=$B17,IF(DATOS_[[AGRUP. CLAS. PROF.]:[AGRUP. CLAS. PROF.]]=$B15,IF(DATOS_[[Check Periodo Ref.]:[Check Periodo Ref.]]="Dentro",DATOS_[C.Extra.01]))))), 0)</f>
        <v>0</v>
      </c>
      <c r="AM17" s="212" t="n">
        <f aca="false" t="array" ref="AM17:AM17">IFERROR( AVERAGE((IF(DATOS_[[Sexo]:[Sexo]]=$B17,IF(DATOS_[[AGRUP. CLAS. PROF.]:[AGRUP. CLAS. PROF.]]=$B15,IF(DATOS_[[Check Periodo Ref.]:[Check Periodo Ref.]]="Dentro",DATOS_[C.Extra.02]))))), 0)</f>
        <v>0</v>
      </c>
      <c r="AN17" s="212" t="n">
        <f aca="false" t="array" ref="AN17:AN17">IFERROR( AVERAGE((IF(DATOS_[[Sexo]:[Sexo]]=$B17,IF(DATOS_[[AGRUP. CLAS. PROF.]:[AGRUP. CLAS. PROF.]]=$B15,IF(DATOS_[[Check Periodo Ref.]:[Check Periodo Ref.]]="Dentro",DATOS_[C.Extra.03]))))), 0)</f>
        <v>0</v>
      </c>
      <c r="AO17" s="212" t="n">
        <f aca="false" t="array" ref="AO17:AO17">IFERROR( AVERAGE((IF(DATOS_[[Sexo]:[Sexo]]=$B17,IF(DATOS_[[AGRUP. CLAS. PROF.]:[AGRUP. CLAS. PROF.]]=$B15,IF(DATOS_[[Check Periodo Ref.]:[Check Periodo Ref.]]="Dentro",DATOS_[C.Extra.04]))))), 0)</f>
        <v>0</v>
      </c>
      <c r="AP17" s="212" t="n">
        <f aca="false" t="array" ref="AP17:AP17">IFERROR( AVERAGE((IF(DATOS_[[Sexo]:[Sexo]]=$B17,IF(DATOS_[[AGRUP. CLAS. PROF.]:[AGRUP. CLAS. PROF.]]=$B15,IF(DATOS_[[Check Periodo Ref.]:[Check Periodo Ref.]]="Dentro",DATOS_[C.Extra.05]))))), 0)</f>
        <v>0</v>
      </c>
      <c r="AQ17" s="213" t="n">
        <f aca="false" t="array" ref="AQ17:AQ17">IFERROR( AVERAGE(IF(DATOS_[Sexo]=$B17,IF(DATOS_[AGRUP. CLAS. PROF.]=$B15,IF(DATOS_[Check Periodo Ref.]="Dentro",DATOS_[Tot Extrasalarial Ef],0)))), 0)</f>
        <v>0</v>
      </c>
      <c r="AR17" s="214" t="n">
        <f aca="false" t="array" ref="AR17:AR17">IFERROR( AVERAGE(IF(DATOS_[Sexo]=$B17,IF(DATOS_[AGRUP. CLAS. PROF.]=$B15,IF(DATOS_[Check Periodo Ref.]="Dentro",DATOS_[TOTAL Retrib Ef],0)))), 0)</f>
        <v>0</v>
      </c>
    </row>
    <row r="18" s="191" customFormat="true" ht="15.75" hidden="false" customHeight="false" outlineLevel="0" collapsed="false">
      <c r="A18" s="191" t="str">
        <f aca="false">+A19</f>
        <v>[ocultar]</v>
      </c>
      <c r="B18" s="192" t="s">
        <v>175</v>
      </c>
      <c r="C18" s="193"/>
      <c r="D18" s="194"/>
      <c r="E18" s="195" t="str">
        <f aca="false">IFERROR((E19-E20)/E19,"")</f>
        <v/>
      </c>
      <c r="F18" s="196" t="str">
        <f aca="false">IFERROR((F19-F20)/F19,"")</f>
        <v/>
      </c>
      <c r="G18" s="197" t="str">
        <f aca="false">IFERROR((G19-G20)/G19,"")</f>
        <v/>
      </c>
      <c r="H18" s="197" t="str">
        <f aca="false">IFERROR((H19-H20)/H19,"")</f>
        <v/>
      </c>
      <c r="I18" s="197" t="str">
        <f aca="false">IFERROR((I19-I20)/I19,"")</f>
        <v/>
      </c>
      <c r="J18" s="198" t="str">
        <f aca="false">IFERROR((J19-J20)/J19,"")</f>
        <v/>
      </c>
      <c r="K18" s="199" t="str">
        <f aca="false">IFERROR((K19-K20)/K19,"")</f>
        <v/>
      </c>
      <c r="L18" s="199" t="str">
        <f aca="false">IFERROR((L19-L20)/L19,"")</f>
        <v/>
      </c>
      <c r="M18" s="199" t="str">
        <f aca="false">IFERROR((M19-M20)/M19,"")</f>
        <v/>
      </c>
      <c r="N18" s="199" t="str">
        <f aca="false">IFERROR((N19-N20)/N19,"")</f>
        <v/>
      </c>
      <c r="O18" s="199" t="str">
        <f aca="false">IFERROR((O19-O20)/O19,"")</f>
        <v/>
      </c>
      <c r="P18" s="199" t="str">
        <f aca="false">IFERROR((P19-P20)/P19,"")</f>
        <v/>
      </c>
      <c r="Q18" s="199" t="str">
        <f aca="false">IFERROR((Q19-Q20)/Q19,"")</f>
        <v/>
      </c>
      <c r="R18" s="199" t="str">
        <f aca="false">IFERROR((R19-R20)/R19,"")</f>
        <v/>
      </c>
      <c r="S18" s="199" t="str">
        <f aca="false">IFERROR((S19-S20)/S19,"")</f>
        <v/>
      </c>
      <c r="T18" s="199" t="str">
        <f aca="false">IFERROR((T19-T20)/T19,"")</f>
        <v/>
      </c>
      <c r="U18" s="199" t="str">
        <f aca="false">IFERROR((U19-U20)/U19,"")</f>
        <v/>
      </c>
      <c r="V18" s="198" t="str">
        <f aca="false">IFERROR((V19-V20)/V19,"")</f>
        <v/>
      </c>
      <c r="W18" s="198" t="str">
        <f aca="false">IFERROR((W19-W20)/W19,"")</f>
        <v/>
      </c>
      <c r="X18" s="198" t="str">
        <f aca="false">IFERROR((X19-X20)/X19,"")</f>
        <v/>
      </c>
      <c r="Y18" s="198" t="str">
        <f aca="false">IFERROR((Y19-Y20)/Y19,"")</f>
        <v/>
      </c>
      <c r="Z18" s="198" t="str">
        <f aca="false">IFERROR((Z19-Z20)/Z19,"")</f>
        <v/>
      </c>
      <c r="AA18" s="198" t="str">
        <f aca="false">IFERROR((AA19-AA20)/AA19,"")</f>
        <v/>
      </c>
      <c r="AB18" s="198" t="str">
        <f aca="false">IFERROR((AB19-AB20)/AB19,"")</f>
        <v/>
      </c>
      <c r="AC18" s="198" t="str">
        <f aca="false">IFERROR((AC19-AC20)/AC19,"")</f>
        <v/>
      </c>
      <c r="AD18" s="198" t="str">
        <f aca="false">IFERROR((AD19-AD20)/AD19,"")</f>
        <v/>
      </c>
      <c r="AE18" s="198" t="str">
        <f aca="false">IFERROR((AE19-AE20)/AE19,"")</f>
        <v/>
      </c>
      <c r="AF18" s="198" t="str">
        <f aca="false">IFERROR((AF19-AF20)/AF19,"")</f>
        <v/>
      </c>
      <c r="AG18" s="198" t="str">
        <f aca="false">IFERROR((AG19-AG20)/AG19,"")</f>
        <v/>
      </c>
      <c r="AH18" s="198" t="str">
        <f aca="false">IFERROR((AH19-AH20)/AH19,"")</f>
        <v/>
      </c>
      <c r="AI18" s="198" t="str">
        <f aca="false">IFERROR((AI19-AI20)/AI19,"")</f>
        <v/>
      </c>
      <c r="AJ18" s="200" t="str">
        <f aca="false">IFERROR((AJ19-AJ20)/AJ19,"")</f>
        <v/>
      </c>
      <c r="AK18" s="201" t="str">
        <f aca="false">IFERROR((AK19-AK20)/AK19,"")</f>
        <v/>
      </c>
      <c r="AL18" s="202" t="str">
        <f aca="false">IFERROR((AL19-AL20)/AL19,"")</f>
        <v/>
      </c>
      <c r="AM18" s="202" t="str">
        <f aca="false">IFERROR((AM19-AM20)/AM19,"")</f>
        <v/>
      </c>
      <c r="AN18" s="202" t="str">
        <f aca="false">IFERROR((AN19-AN20)/AN19,"")</f>
        <v/>
      </c>
      <c r="AO18" s="202" t="str">
        <f aca="false">IFERROR((AO19-AO20)/AO19,"")</f>
        <v/>
      </c>
      <c r="AP18" s="202" t="str">
        <f aca="false">IFERROR((AP19-AP20)/AP19,"")</f>
        <v/>
      </c>
      <c r="AQ18" s="203" t="str">
        <f aca="false">IFERROR((AQ19-AQ20)/AQ19,"")</f>
        <v/>
      </c>
      <c r="AR18" s="204" t="str">
        <f aca="false">IFERROR((AR19-AR20)/AR19,"")</f>
        <v/>
      </c>
    </row>
    <row r="19" s="191" customFormat="true" ht="14.25" hidden="false" customHeight="false" outlineLevel="0" collapsed="false">
      <c r="A19" s="191" t="str">
        <f aca="false">+IF(C19+C20=0,"[ocultar]","")</f>
        <v>[ocultar]</v>
      </c>
      <c r="B19" s="205" t="s">
        <v>371</v>
      </c>
      <c r="C19" s="206" t="n">
        <f aca="false" t="array" ref="C19:C19">SUM(IF($B19=DATOS_[Sexo], IF($B18=DATOS_[AGRUP. CLAS. PROF.], IF("Dentro"=DATOS_[Check Periodo Ref.], 1/(COUNTIFS(DATOS_[Sexo],$B19,DATOS_[AGRUP. CLAS. PROF.],$B18,DATOS_[Check Periodo Ref.],"Dentro",DATOS_[id],DATOS_[id]))))))</f>
        <v>0</v>
      </c>
      <c r="D19" s="207" t="n">
        <f aca="false">COUNTIFS(DATOS_[AGRUP. CLAS. PROF.],$B18,DATOS_[Sexo],$B19,DATOS_[Check Periodo Ref.],"Dentro")</f>
        <v>0</v>
      </c>
      <c r="E19" s="208" t="n">
        <f aca="false" t="array" ref="E19:E19">IFERROR( AVERAGE(IF(DATOS_[Sexo]=$B19,IF(DATOS_[AGRUP. CLAS. PROF.]=$B18,IF(DATOS_[Check Periodo Ref.]="Dentro",DATOS_[SALARIO BASE Ef],0)))), 0)</f>
        <v>0</v>
      </c>
      <c r="F19" s="209" t="n">
        <f aca="false" t="array" ref="F19:F19">IFERROR( AVERAGE((IF(DATOS_[[Sexo]:[Sexo]]=$B19,IF(DATOS_[[AGRUP. CLAS. PROF.]:[AGRUP. CLAS. PROF.]]=$B18,IF(DATOS_[[Check Periodo Ref.]:[Check Periodo Ref.]]="Dentro",DATOS_[Conc.Sal.01]))))), 0)</f>
        <v>0</v>
      </c>
      <c r="G19" s="209" t="n">
        <f aca="false" t="array" ref="G19:G19">IFERROR( AVERAGE((IF(DATOS_[[Sexo]:[Sexo]]=$B19,IF(DATOS_[[AGRUP. CLAS. PROF.]:[AGRUP. CLAS. PROF.]]=$B18,IF(DATOS_[[Check Periodo Ref.]:[Check Periodo Ref.]]="Dentro",DATOS_[Conc.Sal.02]))))), 0)</f>
        <v>0</v>
      </c>
      <c r="H19" s="209" t="n">
        <f aca="false" t="array" ref="H19:H19">IFERROR( AVERAGE((IF(DATOS_[[Sexo]:[Sexo]]=$B19,IF(DATOS_[[AGRUP. CLAS. PROF.]:[AGRUP. CLAS. PROF.]]=$B18,IF(DATOS_[[Check Periodo Ref.]:[Check Periodo Ref.]]="Dentro",DATOS_[Conc.Sal.03]))))), 0)</f>
        <v>0</v>
      </c>
      <c r="I19" s="209" t="n">
        <f aca="false" t="array" ref="I19:I19">IFERROR( AVERAGE((IF(DATOS_[[Sexo]:[Sexo]]=$B19,IF(DATOS_[[AGRUP. CLAS. PROF.]:[AGRUP. CLAS. PROF.]]=$B18,IF(DATOS_[[Check Periodo Ref.]:[Check Periodo Ref.]]="Dentro",DATOS_[Conc.Sal.04]))))), 0)</f>
        <v>0</v>
      </c>
      <c r="J19" s="209" t="n">
        <f aca="false" t="array" ref="J19:J19">IFERROR( AVERAGE((IF(DATOS_[[Sexo]:[Sexo]]=$B19,IF(DATOS_[[AGRUP. CLAS. PROF.]:[AGRUP. CLAS. PROF.]]=$B18,IF(DATOS_[[Check Periodo Ref.]:[Check Periodo Ref.]]="Dentro",DATOS_[Conc.Sal.05]))))), 0)</f>
        <v>0</v>
      </c>
      <c r="K19" s="209" t="n">
        <f aca="false" t="array" ref="K19:K19">IFERROR( AVERAGE((IF(DATOS_[[Sexo]:[Sexo]]=$B19,IF(DATOS_[[AGRUP. CLAS. PROF.]:[AGRUP. CLAS. PROF.]]=$B18,IF(DATOS_[[Check Periodo Ref.]:[Check Periodo Ref.]]="Dentro",DATOS_[Conc.Sal.06]))))), 0)</f>
        <v>0</v>
      </c>
      <c r="L19" s="209" t="n">
        <f aca="false" t="array" ref="L19:L19">IFERROR( AVERAGE((IF(DATOS_[[Sexo]:[Sexo]]=$B19,IF(DATOS_[[AGRUP. CLAS. PROF.]:[AGRUP. CLAS. PROF.]]=$B18,IF(DATOS_[[Check Periodo Ref.]:[Check Periodo Ref.]]="Dentro",DATOS_[Conc.Sal.07]))))), 0)</f>
        <v>0</v>
      </c>
      <c r="M19" s="209" t="n">
        <f aca="false" t="array" ref="M19:M19">IFERROR( AVERAGE((IF(DATOS_[[Sexo]:[Sexo]]=$B19,IF(DATOS_[[AGRUP. CLAS. PROF.]:[AGRUP. CLAS. PROF.]]=$B18,IF(DATOS_[[Check Periodo Ref.]:[Check Periodo Ref.]]="Dentro",DATOS_[Conc.Sal.08]))))), 0)</f>
        <v>0</v>
      </c>
      <c r="N19" s="209" t="n">
        <f aca="false" t="array" ref="N19:N19">IFERROR( AVERAGE((IF(DATOS_[[Sexo]:[Sexo]]=$B19,IF(DATOS_[[AGRUP. CLAS. PROF.]:[AGRUP. CLAS. PROF.]]=$B18,IF(DATOS_[[Check Periodo Ref.]:[Check Periodo Ref.]]="Dentro",DATOS_[Conc.Sal.09]))))), 0)</f>
        <v>0</v>
      </c>
      <c r="O19" s="209" t="n">
        <f aca="false" t="array" ref="O19:O19">IFERROR( AVERAGE((IF(DATOS_[[Sexo]:[Sexo]]=$B19,IF(DATOS_[[AGRUP. CLAS. PROF.]:[AGRUP. CLAS. PROF.]]=$B18,IF(DATOS_[[Check Periodo Ref.]:[Check Periodo Ref.]]="Dentro",DATOS_[Conc.Sal.10]))))), 0)</f>
        <v>0</v>
      </c>
      <c r="P19" s="209" t="n">
        <f aca="false" t="array" ref="P19:P19">IFERROR( AVERAGE((IF(DATOS_[[Sexo]:[Sexo]]=$B19,IF(DATOS_[[AGRUP. CLAS. PROF.]:[AGRUP. CLAS. PROF.]]=$B18,IF(DATOS_[[Check Periodo Ref.]:[Check Periodo Ref.]]="Dentro",DATOS_[Conc.Sal.11]))))), 0)</f>
        <v>0</v>
      </c>
      <c r="Q19" s="209" t="n">
        <f aca="false" t="array" ref="Q19:Q19">IFERROR( AVERAGE((IF(DATOS_[[Sexo]:[Sexo]]=$B19,IF(DATOS_[[AGRUP. CLAS. PROF.]:[AGRUP. CLAS. PROF.]]=$B18,IF(DATOS_[[Check Periodo Ref.]:[Check Periodo Ref.]]="Dentro",DATOS_[Conc.Sal.12]))))), 0)</f>
        <v>0</v>
      </c>
      <c r="R19" s="209" t="n">
        <f aca="false" t="array" ref="R19:R19">IFERROR( AVERAGE((IF(DATOS_[[Sexo]:[Sexo]]=$B19,IF(DATOS_[[AGRUP. CLAS. PROF.]:[AGRUP. CLAS. PROF.]]=$B18,IF(DATOS_[[Check Periodo Ref.]:[Check Periodo Ref.]]="Dentro",DATOS_[Conc.Sal.13]))))), 0)</f>
        <v>0</v>
      </c>
      <c r="S19" s="209" t="n">
        <f aca="false" t="array" ref="S19:S19">IFERROR( AVERAGE((IF(DATOS_[[Sexo]:[Sexo]]=$B19,IF(DATOS_[[AGRUP. CLAS. PROF.]:[AGRUP. CLAS. PROF.]]=$B18,IF(DATOS_[[Check Periodo Ref.]:[Check Periodo Ref.]]="Dentro",DATOS_[Conc.Sal.14]))))), 0)</f>
        <v>0</v>
      </c>
      <c r="T19" s="209" t="n">
        <f aca="false" t="array" ref="T19:T19">IFERROR( AVERAGE((IF(DATOS_[[Sexo]:[Sexo]]=$B19,IF(DATOS_[[AGRUP. CLAS. PROF.]:[AGRUP. CLAS. PROF.]]=$B18,IF(DATOS_[[Check Periodo Ref.]:[Check Periodo Ref.]]="Dentro",DATOS_[Conc.Sal.15]))))), 0)</f>
        <v>0</v>
      </c>
      <c r="U19" s="209" t="n">
        <f aca="false" t="array" ref="U19:U19">IFERROR( AVERAGE((IF(DATOS_[[Sexo]:[Sexo]]=$B19,IF(DATOS_[[AGRUP. CLAS. PROF.]:[AGRUP. CLAS. PROF.]]=$B18,IF(DATOS_[[Check Periodo Ref.]:[Check Periodo Ref.]]="Dentro",DATOS_[Conc.Sal.16]))))), 0)</f>
        <v>0</v>
      </c>
      <c r="V19" s="209" t="n">
        <f aca="false" t="array" ref="V19:V19">IFERROR( AVERAGE((IF(DATOS_[[Sexo]:[Sexo]]=$B19,IF(DATOS_[[AGRUP. CLAS. PROF.]:[AGRUP. CLAS. PROF.]]=$B18,IF(DATOS_[[Check Periodo Ref.]:[Check Periodo Ref.]]="Dentro",DATOS_[Conc.Sal.17]))))), 0)</f>
        <v>0</v>
      </c>
      <c r="W19" s="209" t="n">
        <f aca="false" t="array" ref="W19:W19">IFERROR( AVERAGE((IF(DATOS_[[Sexo]:[Sexo]]=$B19,IF(DATOS_[[AGRUP. CLAS. PROF.]:[AGRUP. CLAS. PROF.]]=$B18,IF(DATOS_[[Check Periodo Ref.]:[Check Periodo Ref.]]="Dentro",DATOS_[Conc.Sal.18]))))), 0)</f>
        <v>0</v>
      </c>
      <c r="X19" s="209" t="n">
        <f aca="false" t="array" ref="X19:X19">IFERROR( AVERAGE((IF(DATOS_[[Sexo]:[Sexo]]=$B19,IF(DATOS_[[AGRUP. CLAS. PROF.]:[AGRUP. CLAS. PROF.]]=$B18,IF(DATOS_[[Check Periodo Ref.]:[Check Periodo Ref.]]="Dentro",DATOS_[Conc.Sal.19]))))), 0)</f>
        <v>0</v>
      </c>
      <c r="Y19" s="209" t="n">
        <f aca="false" t="array" ref="Y19:Y19">IFERROR( AVERAGE((IF(DATOS_[[Sexo]:[Sexo]]=$B19,IF(DATOS_[[AGRUP. CLAS. PROF.]:[AGRUP. CLAS. PROF.]]=$B18,IF(DATOS_[[Check Periodo Ref.]:[Check Periodo Ref.]]="Dentro",DATOS_[Conc.Sal.20]))))), 0)</f>
        <v>0</v>
      </c>
      <c r="Z19" s="209" t="n">
        <f aca="false" t="array" ref="Z19:Z19">IFERROR( AVERAGE((IF(DATOS_[[Sexo]:[Sexo]]=$B19,IF(DATOS_[[AGRUP. CLAS. PROF.]:[AGRUP. CLAS. PROF.]]=$B18,IF(DATOS_[[Check Periodo Ref.]:[Check Periodo Ref.]]="Dentro",DATOS_[Conc.Sal.21]))))), 0)</f>
        <v>0</v>
      </c>
      <c r="AA19" s="209" t="n">
        <f aca="false" t="array" ref="AA19:AA19">IFERROR( AVERAGE((IF(DATOS_[[Sexo]:[Sexo]]=$B19,IF(DATOS_[[AGRUP. CLAS. PROF.]:[AGRUP. CLAS. PROF.]]=$B18,IF(DATOS_[[Check Periodo Ref.]:[Check Periodo Ref.]]="Dentro",DATOS_[Conc.Sal.22]))))), 0)</f>
        <v>0</v>
      </c>
      <c r="AB19" s="209" t="n">
        <f aca="false" t="array" ref="AB19:AB19">IFERROR( AVERAGE((IF(DATOS_[[Sexo]:[Sexo]]=$B19,IF(DATOS_[[AGRUP. CLAS. PROF.]:[AGRUP. CLAS. PROF.]]=$B18,IF(DATOS_[[Check Periodo Ref.]:[Check Periodo Ref.]]="Dentro",DATOS_[Conc.Sal.23]))))), 0)</f>
        <v>0</v>
      </c>
      <c r="AC19" s="209" t="n">
        <f aca="false" t="array" ref="AC19:AC19">IFERROR( AVERAGE((IF(DATOS_[[Sexo]:[Sexo]]=$B19,IF(DATOS_[[AGRUP. CLAS. PROF.]:[AGRUP. CLAS. PROF.]]=$B18,IF(DATOS_[[Check Periodo Ref.]:[Check Periodo Ref.]]="Dentro",DATOS_[Conc.Sal.24]))))), 0)</f>
        <v>0</v>
      </c>
      <c r="AD19" s="209" t="n">
        <f aca="false" t="array" ref="AD19:AD19">IFERROR( AVERAGE((IF(DATOS_[[Sexo]:[Sexo]]=$B19,IF(DATOS_[[AGRUP. CLAS. PROF.]:[AGRUP. CLAS. PROF.]]=$B18,IF(DATOS_[[Check Periodo Ref.]:[Check Periodo Ref.]]="Dentro",DATOS_[Conc.Sal.25]))))), 0)</f>
        <v>0</v>
      </c>
      <c r="AE19" s="209" t="n">
        <f aca="false" t="array" ref="AE19:AE19">IFERROR( AVERAGE((IF(DATOS_[[Sexo]:[Sexo]]=$B19,IF(DATOS_[[AGRUP. CLAS. PROF.]:[AGRUP. CLAS. PROF.]]=$B18,IF(DATOS_[[Check Periodo Ref.]:[Check Periodo Ref.]]="Dentro",DATOS_[Conc.Sal.26]))))), 0)</f>
        <v>0</v>
      </c>
      <c r="AF19" s="209" t="n">
        <f aca="false" t="array" ref="AF19:AF19">IFERROR( AVERAGE((IF(DATOS_[[Sexo]:[Sexo]]=$B19,IF(DATOS_[[AGRUP. CLAS. PROF.]:[AGRUP. CLAS. PROF.]]=$B18,IF(DATOS_[[Check Periodo Ref.]:[Check Periodo Ref.]]="Dentro",DATOS_[Conc.Sal.27]))))), 0)</f>
        <v>0</v>
      </c>
      <c r="AG19" s="209" t="n">
        <f aca="false" t="array" ref="AG19:AG19">IFERROR( AVERAGE((IF(DATOS_[[Sexo]:[Sexo]]=$B19,IF(DATOS_[[AGRUP. CLAS. PROF.]:[AGRUP. CLAS. PROF.]]=$B18,IF(DATOS_[[Check Periodo Ref.]:[Check Periodo Ref.]]="Dentro",DATOS_[Conc.Sal.28]))))), 0)</f>
        <v>0</v>
      </c>
      <c r="AH19" s="209" t="n">
        <f aca="false" t="array" ref="AH19:AH19">IFERROR( AVERAGE((IF(DATOS_[[Sexo]:[Sexo]]=$B19,IF(DATOS_[[AGRUP. CLAS. PROF.]:[AGRUP. CLAS. PROF.]]=$B18,IF(DATOS_[[Check Periodo Ref.]:[Check Periodo Ref.]]="Dentro",DATOS_[Conc.Sal.29]))))), 0)</f>
        <v>0</v>
      </c>
      <c r="AI19" s="209" t="n">
        <f aca="false" t="array" ref="AI19:AI19">IFERROR( AVERAGE((IF(DATOS_[[Sexo]:[Sexo]]=$B19,IF(DATOS_[[AGRUP. CLAS. PROF.]:[AGRUP. CLAS. PROF.]]=$B18,IF(DATOS_[[Check Periodo Ref.]:[Check Periodo Ref.]]="Dentro",DATOS_[Conc.Sal.30]))))), 0)</f>
        <v>0</v>
      </c>
      <c r="AJ19" s="210" t="n">
        <f aca="false" t="array" ref="AJ19:AJ19">IFERROR( AVERAGE(IF(DATOS_[Sexo]=$B19,IF(DATOS_[AGRUP. CLAS. PROF.]=$B18,IF(DATOS_[Check Periodo Ref.]="Dentro",DATOS_[Tot COMPL.SAL Ef],0)))), 0)</f>
        <v>0</v>
      </c>
      <c r="AK19" s="211" t="n">
        <f aca="false" t="array" ref="AK19:AK19">IFERROR( AVERAGE(IF(DATOS_[Sexo]=$B19,IF(DATOS_[AGRUP. CLAS. PROF.]=$B18,IF(DATOS_[Check Periodo Ref.]="Dentro",DATOS_[TOTAL SALARIO Ef],0)))), 0)</f>
        <v>0</v>
      </c>
      <c r="AL19" s="212" t="n">
        <f aca="false" t="array" ref="AL19:AL19">IFERROR( AVERAGE((IF(DATOS_[[Sexo]:[Sexo]]=$B19,IF(DATOS_[[AGRUP. CLAS. PROF.]:[AGRUP. CLAS. PROF.]]=$B18,IF(DATOS_[[Check Periodo Ref.]:[Check Periodo Ref.]]="Dentro",DATOS_[C.Extra.01]))))), 0)</f>
        <v>0</v>
      </c>
      <c r="AM19" s="212" t="n">
        <f aca="false" t="array" ref="AM19:AM19">IFERROR( AVERAGE((IF(DATOS_[[Sexo]:[Sexo]]=$B19,IF(DATOS_[[AGRUP. CLAS. PROF.]:[AGRUP. CLAS. PROF.]]=$B18,IF(DATOS_[[Check Periodo Ref.]:[Check Periodo Ref.]]="Dentro",DATOS_[C.Extra.02]))))), 0)</f>
        <v>0</v>
      </c>
      <c r="AN19" s="212" t="n">
        <f aca="false" t="array" ref="AN19:AN19">IFERROR( AVERAGE((IF(DATOS_[[Sexo]:[Sexo]]=$B19,IF(DATOS_[[AGRUP. CLAS. PROF.]:[AGRUP. CLAS. PROF.]]=$B18,IF(DATOS_[[Check Periodo Ref.]:[Check Periodo Ref.]]="Dentro",DATOS_[C.Extra.03]))))), 0)</f>
        <v>0</v>
      </c>
      <c r="AO19" s="212" t="n">
        <f aca="false" t="array" ref="AO19:AO19">IFERROR( AVERAGE((IF(DATOS_[[Sexo]:[Sexo]]=$B19,IF(DATOS_[[AGRUP. CLAS. PROF.]:[AGRUP. CLAS. PROF.]]=$B18,IF(DATOS_[[Check Periodo Ref.]:[Check Periodo Ref.]]="Dentro",DATOS_[C.Extra.04]))))), 0)</f>
        <v>0</v>
      </c>
      <c r="AP19" s="212" t="n">
        <f aca="false" t="array" ref="AP19:AP19">IFERROR( AVERAGE((IF(DATOS_[[Sexo]:[Sexo]]=$B19,IF(DATOS_[[AGRUP. CLAS. PROF.]:[AGRUP. CLAS. PROF.]]=$B18,IF(DATOS_[[Check Periodo Ref.]:[Check Periodo Ref.]]="Dentro",DATOS_[C.Extra.05]))))), 0)</f>
        <v>0</v>
      </c>
      <c r="AQ19" s="213" t="n">
        <f aca="false" t="array" ref="AQ19:AQ19">IFERROR( AVERAGE(IF(DATOS_[Sexo]=$B19,IF(DATOS_[AGRUP. CLAS. PROF.]=$B18,IF(DATOS_[Check Periodo Ref.]="Dentro",DATOS_[Tot Extrasalarial Ef],0)))), 0)</f>
        <v>0</v>
      </c>
      <c r="AR19" s="214" t="n">
        <f aca="false" t="array" ref="AR19:AR19">IFERROR( AVERAGE(IF(DATOS_[Sexo]=$B19,IF(DATOS_[AGRUP. CLAS. PROF.]=$B18,IF(DATOS_[Check Periodo Ref.]="Dentro",DATOS_[TOTAL Retrib Ef],0)))), 0)</f>
        <v>0</v>
      </c>
    </row>
    <row r="20" s="191" customFormat="true" ht="14.25" hidden="false" customHeight="false" outlineLevel="0" collapsed="false">
      <c r="A20" s="191" t="str">
        <f aca="false">+A19</f>
        <v>[ocultar]</v>
      </c>
      <c r="B20" s="205" t="s">
        <v>372</v>
      </c>
      <c r="C20" s="206" t="n">
        <f aca="false" t="array" ref="C20:C20">SUM(IF($B20=DATOS_[Sexo], IF($B18=DATOS_[AGRUP. CLAS. PROF.], IF("Dentro"=DATOS_[Check Periodo Ref.], 1/(COUNTIFS(DATOS_[Sexo],$B20,DATOS_[AGRUP. CLAS. PROF.],$B18,DATOS_[Check Periodo Ref.],"Dentro",DATOS_[id],DATOS_[id]))))))</f>
        <v>0</v>
      </c>
      <c r="D20" s="207" t="n">
        <f aca="false">COUNTIFS(DATOS_[AGRUP. CLAS. PROF.],$B18,DATOS_[Sexo],$B20,DATOS_[Check Periodo Ref.],"Dentro")</f>
        <v>0</v>
      </c>
      <c r="E20" s="208" t="n">
        <f aca="false" t="array" ref="E20:E20">IFERROR( AVERAGE(IF(DATOS_[Sexo]=$B20,IF(DATOS_[AGRUP. CLAS. PROF.]=$B18,IF(DATOS_[Check Periodo Ref.]="Dentro",DATOS_[SALARIO BASE Ef],0)))), 0)</f>
        <v>0</v>
      </c>
      <c r="F20" s="209" t="n">
        <f aca="false" t="array" ref="F20:F20">IFERROR( AVERAGE((IF(DATOS_[[Sexo]:[Sexo]]=$B20,IF(DATOS_[[AGRUP. CLAS. PROF.]:[AGRUP. CLAS. PROF.]]=$B18,IF(DATOS_[[Check Periodo Ref.]:[Check Periodo Ref.]]="Dentro",DATOS_[Conc.Sal.01]))))), 0)</f>
        <v>0</v>
      </c>
      <c r="G20" s="209" t="n">
        <f aca="false" t="array" ref="G20:G20">IFERROR( AVERAGE((IF(DATOS_[[Sexo]:[Sexo]]=$B20,IF(DATOS_[[AGRUP. CLAS. PROF.]:[AGRUP. CLAS. PROF.]]=$B18,IF(DATOS_[[Check Periodo Ref.]:[Check Periodo Ref.]]="Dentro",DATOS_[Conc.Sal.02]))))), 0)</f>
        <v>0</v>
      </c>
      <c r="H20" s="209" t="n">
        <f aca="false" t="array" ref="H20:H20">IFERROR( AVERAGE((IF(DATOS_[[Sexo]:[Sexo]]=$B20,IF(DATOS_[[AGRUP. CLAS. PROF.]:[AGRUP. CLAS. PROF.]]=$B18,IF(DATOS_[[Check Periodo Ref.]:[Check Periodo Ref.]]="Dentro",DATOS_[Conc.Sal.03]))))), 0)</f>
        <v>0</v>
      </c>
      <c r="I20" s="209" t="n">
        <f aca="false" t="array" ref="I20:I20">IFERROR( AVERAGE((IF(DATOS_[[Sexo]:[Sexo]]=$B20,IF(DATOS_[[AGRUP. CLAS. PROF.]:[AGRUP. CLAS. PROF.]]=$B18,IF(DATOS_[[Check Periodo Ref.]:[Check Periodo Ref.]]="Dentro",DATOS_[Conc.Sal.04]))))), 0)</f>
        <v>0</v>
      </c>
      <c r="J20" s="209" t="n">
        <f aca="false" t="array" ref="J20:J20">IFERROR( AVERAGE((IF(DATOS_[[Sexo]:[Sexo]]=$B20,IF(DATOS_[[AGRUP. CLAS. PROF.]:[AGRUP. CLAS. PROF.]]=$B18,IF(DATOS_[[Check Periodo Ref.]:[Check Periodo Ref.]]="Dentro",DATOS_[Conc.Sal.05]))))), 0)</f>
        <v>0</v>
      </c>
      <c r="K20" s="209" t="n">
        <f aca="false" t="array" ref="K20:K20">IFERROR( AVERAGE((IF(DATOS_[[Sexo]:[Sexo]]=$B20,IF(DATOS_[[AGRUP. CLAS. PROF.]:[AGRUP. CLAS. PROF.]]=$B18,IF(DATOS_[[Check Periodo Ref.]:[Check Periodo Ref.]]="Dentro",DATOS_[Conc.Sal.06]))))), 0)</f>
        <v>0</v>
      </c>
      <c r="L20" s="209" t="n">
        <f aca="false" t="array" ref="L20:L20">IFERROR( AVERAGE((IF(DATOS_[[Sexo]:[Sexo]]=$B20,IF(DATOS_[[AGRUP. CLAS. PROF.]:[AGRUP. CLAS. PROF.]]=$B18,IF(DATOS_[[Check Periodo Ref.]:[Check Periodo Ref.]]="Dentro",DATOS_[Conc.Sal.07]))))), 0)</f>
        <v>0</v>
      </c>
      <c r="M20" s="209" t="n">
        <f aca="false" t="array" ref="M20:M20">IFERROR( AVERAGE((IF(DATOS_[[Sexo]:[Sexo]]=$B20,IF(DATOS_[[AGRUP. CLAS. PROF.]:[AGRUP. CLAS. PROF.]]=$B18,IF(DATOS_[[Check Periodo Ref.]:[Check Periodo Ref.]]="Dentro",DATOS_[Conc.Sal.08]))))), 0)</f>
        <v>0</v>
      </c>
      <c r="N20" s="209" t="n">
        <f aca="false" t="array" ref="N20:N20">IFERROR( AVERAGE((IF(DATOS_[[Sexo]:[Sexo]]=$B20,IF(DATOS_[[AGRUP. CLAS. PROF.]:[AGRUP. CLAS. PROF.]]=$B18,IF(DATOS_[[Check Periodo Ref.]:[Check Periodo Ref.]]="Dentro",DATOS_[Conc.Sal.09]))))), 0)</f>
        <v>0</v>
      </c>
      <c r="O20" s="209" t="n">
        <f aca="false" t="array" ref="O20:O20">IFERROR( AVERAGE((IF(DATOS_[[Sexo]:[Sexo]]=$B20,IF(DATOS_[[AGRUP. CLAS. PROF.]:[AGRUP. CLAS. PROF.]]=$B18,IF(DATOS_[[Check Periodo Ref.]:[Check Periodo Ref.]]="Dentro",DATOS_[Conc.Sal.10]))))), 0)</f>
        <v>0</v>
      </c>
      <c r="P20" s="209" t="n">
        <f aca="false" t="array" ref="P20:P20">IFERROR( AVERAGE((IF(DATOS_[[Sexo]:[Sexo]]=$B20,IF(DATOS_[[AGRUP. CLAS. PROF.]:[AGRUP. CLAS. PROF.]]=$B18,IF(DATOS_[[Check Periodo Ref.]:[Check Periodo Ref.]]="Dentro",DATOS_[Conc.Sal.11]))))), 0)</f>
        <v>0</v>
      </c>
      <c r="Q20" s="209" t="n">
        <f aca="false" t="array" ref="Q20:Q20">IFERROR( AVERAGE((IF(DATOS_[[Sexo]:[Sexo]]=$B20,IF(DATOS_[[AGRUP. CLAS. PROF.]:[AGRUP. CLAS. PROF.]]=$B18,IF(DATOS_[[Check Periodo Ref.]:[Check Periodo Ref.]]="Dentro",DATOS_[Conc.Sal.12]))))), 0)</f>
        <v>0</v>
      </c>
      <c r="R20" s="209" t="n">
        <f aca="false" t="array" ref="R20:R20">IFERROR( AVERAGE((IF(DATOS_[[Sexo]:[Sexo]]=$B20,IF(DATOS_[[AGRUP. CLAS. PROF.]:[AGRUP. CLAS. PROF.]]=$B18,IF(DATOS_[[Check Periodo Ref.]:[Check Periodo Ref.]]="Dentro",DATOS_[Conc.Sal.13]))))), 0)</f>
        <v>0</v>
      </c>
      <c r="S20" s="209" t="n">
        <f aca="false" t="array" ref="S20:S20">IFERROR( AVERAGE((IF(DATOS_[[Sexo]:[Sexo]]=$B20,IF(DATOS_[[AGRUP. CLAS. PROF.]:[AGRUP. CLAS. PROF.]]=$B18,IF(DATOS_[[Check Periodo Ref.]:[Check Periodo Ref.]]="Dentro",DATOS_[Conc.Sal.14]))))), 0)</f>
        <v>0</v>
      </c>
      <c r="T20" s="209" t="n">
        <f aca="false" t="array" ref="T20:T20">IFERROR( AVERAGE((IF(DATOS_[[Sexo]:[Sexo]]=$B20,IF(DATOS_[[AGRUP. CLAS. PROF.]:[AGRUP. CLAS. PROF.]]=$B18,IF(DATOS_[[Check Periodo Ref.]:[Check Periodo Ref.]]="Dentro",DATOS_[Conc.Sal.15]))))), 0)</f>
        <v>0</v>
      </c>
      <c r="U20" s="209" t="n">
        <f aca="false" t="array" ref="U20:U20">IFERROR( AVERAGE((IF(DATOS_[[Sexo]:[Sexo]]=$B20,IF(DATOS_[[AGRUP. CLAS. PROF.]:[AGRUP. CLAS. PROF.]]=$B18,IF(DATOS_[[Check Periodo Ref.]:[Check Periodo Ref.]]="Dentro",DATOS_[Conc.Sal.16]))))), 0)</f>
        <v>0</v>
      </c>
      <c r="V20" s="209" t="n">
        <f aca="false" t="array" ref="V20:V20">IFERROR( AVERAGE((IF(DATOS_[[Sexo]:[Sexo]]=$B20,IF(DATOS_[[AGRUP. CLAS. PROF.]:[AGRUP. CLAS. PROF.]]=$B18,IF(DATOS_[[Check Periodo Ref.]:[Check Periodo Ref.]]="Dentro",DATOS_[Conc.Sal.17]))))), 0)</f>
        <v>0</v>
      </c>
      <c r="W20" s="209" t="n">
        <f aca="false" t="array" ref="W20:W20">IFERROR( AVERAGE((IF(DATOS_[[Sexo]:[Sexo]]=$B20,IF(DATOS_[[AGRUP. CLAS. PROF.]:[AGRUP. CLAS. PROF.]]=$B18,IF(DATOS_[[Check Periodo Ref.]:[Check Periodo Ref.]]="Dentro",DATOS_[Conc.Sal.18]))))), 0)</f>
        <v>0</v>
      </c>
      <c r="X20" s="209" t="n">
        <f aca="false" t="array" ref="X20:X20">IFERROR( AVERAGE((IF(DATOS_[[Sexo]:[Sexo]]=$B20,IF(DATOS_[[AGRUP. CLAS. PROF.]:[AGRUP. CLAS. PROF.]]=$B18,IF(DATOS_[[Check Periodo Ref.]:[Check Periodo Ref.]]="Dentro",DATOS_[Conc.Sal.19]))))), 0)</f>
        <v>0</v>
      </c>
      <c r="Y20" s="209" t="n">
        <f aca="false" t="array" ref="Y20:Y20">IFERROR( AVERAGE((IF(DATOS_[[Sexo]:[Sexo]]=$B20,IF(DATOS_[[AGRUP. CLAS. PROF.]:[AGRUP. CLAS. PROF.]]=$B18,IF(DATOS_[[Check Periodo Ref.]:[Check Periodo Ref.]]="Dentro",DATOS_[Conc.Sal.20]))))), 0)</f>
        <v>0</v>
      </c>
      <c r="Z20" s="209" t="n">
        <f aca="false" t="array" ref="Z20:Z20">IFERROR( AVERAGE((IF(DATOS_[[Sexo]:[Sexo]]=$B20,IF(DATOS_[[AGRUP. CLAS. PROF.]:[AGRUP. CLAS. PROF.]]=$B18,IF(DATOS_[[Check Periodo Ref.]:[Check Periodo Ref.]]="Dentro",DATOS_[Conc.Sal.21]))))), 0)</f>
        <v>0</v>
      </c>
      <c r="AA20" s="209" t="n">
        <f aca="false" t="array" ref="AA20:AA20">IFERROR( AVERAGE((IF(DATOS_[[Sexo]:[Sexo]]=$B20,IF(DATOS_[[AGRUP. CLAS. PROF.]:[AGRUP. CLAS. PROF.]]=$B18,IF(DATOS_[[Check Periodo Ref.]:[Check Periodo Ref.]]="Dentro",DATOS_[Conc.Sal.22]))))), 0)</f>
        <v>0</v>
      </c>
      <c r="AB20" s="209" t="n">
        <f aca="false" t="array" ref="AB20:AB20">IFERROR( AVERAGE((IF(DATOS_[[Sexo]:[Sexo]]=$B20,IF(DATOS_[[AGRUP. CLAS. PROF.]:[AGRUP. CLAS. PROF.]]=$B18,IF(DATOS_[[Check Periodo Ref.]:[Check Periodo Ref.]]="Dentro",DATOS_[Conc.Sal.23]))))), 0)</f>
        <v>0</v>
      </c>
      <c r="AC20" s="209" t="n">
        <f aca="false" t="array" ref="AC20:AC20">IFERROR( AVERAGE((IF(DATOS_[[Sexo]:[Sexo]]=$B20,IF(DATOS_[[AGRUP. CLAS. PROF.]:[AGRUP. CLAS. PROF.]]=$B18,IF(DATOS_[[Check Periodo Ref.]:[Check Periodo Ref.]]="Dentro",DATOS_[Conc.Sal.24]))))), 0)</f>
        <v>0</v>
      </c>
      <c r="AD20" s="209" t="n">
        <f aca="false" t="array" ref="AD20:AD20">IFERROR( AVERAGE((IF(DATOS_[[Sexo]:[Sexo]]=$B20,IF(DATOS_[[AGRUP. CLAS. PROF.]:[AGRUP. CLAS. PROF.]]=$B18,IF(DATOS_[[Check Periodo Ref.]:[Check Periodo Ref.]]="Dentro",DATOS_[Conc.Sal.25]))))), 0)</f>
        <v>0</v>
      </c>
      <c r="AE20" s="209" t="n">
        <f aca="false" t="array" ref="AE20:AE20">IFERROR( AVERAGE((IF(DATOS_[[Sexo]:[Sexo]]=$B20,IF(DATOS_[[AGRUP. CLAS. PROF.]:[AGRUP. CLAS. PROF.]]=$B18,IF(DATOS_[[Check Periodo Ref.]:[Check Periodo Ref.]]="Dentro",DATOS_[Conc.Sal.26]))))), 0)</f>
        <v>0</v>
      </c>
      <c r="AF20" s="209" t="n">
        <f aca="false" t="array" ref="AF20:AF20">IFERROR( AVERAGE((IF(DATOS_[[Sexo]:[Sexo]]=$B20,IF(DATOS_[[AGRUP. CLAS. PROF.]:[AGRUP. CLAS. PROF.]]=$B18,IF(DATOS_[[Check Periodo Ref.]:[Check Periodo Ref.]]="Dentro",DATOS_[Conc.Sal.27]))))), 0)</f>
        <v>0</v>
      </c>
      <c r="AG20" s="209" t="n">
        <f aca="false" t="array" ref="AG20:AG20">IFERROR( AVERAGE((IF(DATOS_[[Sexo]:[Sexo]]=$B20,IF(DATOS_[[AGRUP. CLAS. PROF.]:[AGRUP. CLAS. PROF.]]=$B18,IF(DATOS_[[Check Periodo Ref.]:[Check Periodo Ref.]]="Dentro",DATOS_[Conc.Sal.28]))))), 0)</f>
        <v>0</v>
      </c>
      <c r="AH20" s="209" t="n">
        <f aca="false" t="array" ref="AH20:AH20">IFERROR( AVERAGE((IF(DATOS_[[Sexo]:[Sexo]]=$B20,IF(DATOS_[[AGRUP. CLAS. PROF.]:[AGRUP. CLAS. PROF.]]=$B18,IF(DATOS_[[Check Periodo Ref.]:[Check Periodo Ref.]]="Dentro",DATOS_[Conc.Sal.29]))))), 0)</f>
        <v>0</v>
      </c>
      <c r="AI20" s="209" t="n">
        <f aca="false" t="array" ref="AI20:AI20">IFERROR( AVERAGE((IF(DATOS_[[Sexo]:[Sexo]]=$B20,IF(DATOS_[[AGRUP. CLAS. PROF.]:[AGRUP. CLAS. PROF.]]=$B18,IF(DATOS_[[Check Periodo Ref.]:[Check Periodo Ref.]]="Dentro",DATOS_[Conc.Sal.30]))))), 0)</f>
        <v>0</v>
      </c>
      <c r="AJ20" s="210" t="n">
        <f aca="false" t="array" ref="AJ20:AJ20">IFERROR( AVERAGE(IF(DATOS_[Sexo]=$B20,IF(DATOS_[AGRUP. CLAS. PROF.]=$B18,IF(DATOS_[Check Periodo Ref.]="Dentro",DATOS_[Tot COMPL.SAL Ef],0)))), 0)</f>
        <v>0</v>
      </c>
      <c r="AK20" s="211" t="n">
        <f aca="false" t="array" ref="AK20:AK20">IFERROR( AVERAGE(IF(DATOS_[Sexo]=$B20,IF(DATOS_[AGRUP. CLAS. PROF.]=$B18,IF(DATOS_[Check Periodo Ref.]="Dentro",DATOS_[TOTAL SALARIO Ef],0)))), 0)</f>
        <v>0</v>
      </c>
      <c r="AL20" s="212" t="n">
        <f aca="false" t="array" ref="AL20:AL20">IFERROR( AVERAGE((IF(DATOS_[[Sexo]:[Sexo]]=$B20,IF(DATOS_[[AGRUP. CLAS. PROF.]:[AGRUP. CLAS. PROF.]]=$B18,IF(DATOS_[[Check Periodo Ref.]:[Check Periodo Ref.]]="Dentro",DATOS_[C.Extra.01]))))), 0)</f>
        <v>0</v>
      </c>
      <c r="AM20" s="212" t="n">
        <f aca="false" t="array" ref="AM20:AM20">IFERROR( AVERAGE((IF(DATOS_[[Sexo]:[Sexo]]=$B20,IF(DATOS_[[AGRUP. CLAS. PROF.]:[AGRUP. CLAS. PROF.]]=$B18,IF(DATOS_[[Check Periodo Ref.]:[Check Periodo Ref.]]="Dentro",DATOS_[C.Extra.02]))))), 0)</f>
        <v>0</v>
      </c>
      <c r="AN20" s="212" t="n">
        <f aca="false" t="array" ref="AN20:AN20">IFERROR( AVERAGE((IF(DATOS_[[Sexo]:[Sexo]]=$B20,IF(DATOS_[[AGRUP. CLAS. PROF.]:[AGRUP. CLAS. PROF.]]=$B18,IF(DATOS_[[Check Periodo Ref.]:[Check Periodo Ref.]]="Dentro",DATOS_[C.Extra.03]))))), 0)</f>
        <v>0</v>
      </c>
      <c r="AO20" s="212" t="n">
        <f aca="false" t="array" ref="AO20:AO20">IFERROR( AVERAGE((IF(DATOS_[[Sexo]:[Sexo]]=$B20,IF(DATOS_[[AGRUP. CLAS. PROF.]:[AGRUP. CLAS. PROF.]]=$B18,IF(DATOS_[[Check Periodo Ref.]:[Check Periodo Ref.]]="Dentro",DATOS_[C.Extra.04]))))), 0)</f>
        <v>0</v>
      </c>
      <c r="AP20" s="212" t="n">
        <f aca="false" t="array" ref="AP20:AP20">IFERROR( AVERAGE((IF(DATOS_[[Sexo]:[Sexo]]=$B20,IF(DATOS_[[AGRUP. CLAS. PROF.]:[AGRUP. CLAS. PROF.]]=$B18,IF(DATOS_[[Check Periodo Ref.]:[Check Periodo Ref.]]="Dentro",DATOS_[C.Extra.05]))))), 0)</f>
        <v>0</v>
      </c>
      <c r="AQ20" s="213" t="n">
        <f aca="false" t="array" ref="AQ20:AQ20">IFERROR( AVERAGE(IF(DATOS_[Sexo]=$B20,IF(DATOS_[AGRUP. CLAS. PROF.]=$B18,IF(DATOS_[Check Periodo Ref.]="Dentro",DATOS_[Tot Extrasalarial Ef],0)))), 0)</f>
        <v>0</v>
      </c>
      <c r="AR20" s="214" t="n">
        <f aca="false" t="array" ref="AR20:AR20">IFERROR( AVERAGE(IF(DATOS_[Sexo]=$B20,IF(DATOS_[AGRUP. CLAS. PROF.]=$B18,IF(DATOS_[Check Periodo Ref.]="Dentro",DATOS_[TOTAL Retrib Ef],0)))), 0)</f>
        <v>0</v>
      </c>
    </row>
    <row r="21" customFormat="false" ht="15.75" hidden="false" customHeight="false" outlineLevel="0" collapsed="false">
      <c r="A21" s="191" t="str">
        <f aca="false">+A22</f>
        <v>[ocultar]</v>
      </c>
      <c r="B21" s="192" t="s">
        <v>177</v>
      </c>
      <c r="C21" s="193"/>
      <c r="D21" s="194"/>
      <c r="E21" s="195" t="str">
        <f aca="false">IFERROR((E22-E23)/E22,"")</f>
        <v/>
      </c>
      <c r="F21" s="196" t="str">
        <f aca="false">IFERROR((F22-F23)/F22,"")</f>
        <v/>
      </c>
      <c r="G21" s="197" t="str">
        <f aca="false">IFERROR((G22-G23)/G22,"")</f>
        <v/>
      </c>
      <c r="H21" s="197" t="str">
        <f aca="false">IFERROR((H22-H23)/H22,"")</f>
        <v/>
      </c>
      <c r="I21" s="197" t="str">
        <f aca="false">IFERROR((I22-I23)/I22,"")</f>
        <v/>
      </c>
      <c r="J21" s="198" t="str">
        <f aca="false">IFERROR((J22-J23)/J22,"")</f>
        <v/>
      </c>
      <c r="K21" s="199" t="str">
        <f aca="false">IFERROR((K22-K23)/K22,"")</f>
        <v/>
      </c>
      <c r="L21" s="199" t="str">
        <f aca="false">IFERROR((L22-L23)/L22,"")</f>
        <v/>
      </c>
      <c r="M21" s="199" t="str">
        <f aca="false">IFERROR((M22-M23)/M22,"")</f>
        <v/>
      </c>
      <c r="N21" s="199" t="str">
        <f aca="false">IFERROR((N22-N23)/N22,"")</f>
        <v/>
      </c>
      <c r="O21" s="199" t="str">
        <f aca="false">IFERROR((O22-O23)/O22,"")</f>
        <v/>
      </c>
      <c r="P21" s="199" t="str">
        <f aca="false">IFERROR((P22-P23)/P22,"")</f>
        <v/>
      </c>
      <c r="Q21" s="199" t="str">
        <f aca="false">IFERROR((Q22-Q23)/Q22,"")</f>
        <v/>
      </c>
      <c r="R21" s="199" t="str">
        <f aca="false">IFERROR((R22-R23)/R22,"")</f>
        <v/>
      </c>
      <c r="S21" s="199" t="str">
        <f aca="false">IFERROR((S22-S23)/S22,"")</f>
        <v/>
      </c>
      <c r="T21" s="199" t="str">
        <f aca="false">IFERROR((T22-T23)/T22,"")</f>
        <v/>
      </c>
      <c r="U21" s="199" t="str">
        <f aca="false">IFERROR((U22-U23)/U22,"")</f>
        <v/>
      </c>
      <c r="V21" s="198" t="str">
        <f aca="false">IFERROR((V22-V23)/V22,"")</f>
        <v/>
      </c>
      <c r="W21" s="198" t="str">
        <f aca="false">IFERROR((W22-W23)/W22,"")</f>
        <v/>
      </c>
      <c r="X21" s="198" t="str">
        <f aca="false">IFERROR((X22-X23)/X22,"")</f>
        <v/>
      </c>
      <c r="Y21" s="198" t="str">
        <f aca="false">IFERROR((Y22-Y23)/Y22,"")</f>
        <v/>
      </c>
      <c r="Z21" s="198" t="str">
        <f aca="false">IFERROR((Z22-Z23)/Z22,"")</f>
        <v/>
      </c>
      <c r="AA21" s="198" t="str">
        <f aca="false">IFERROR((AA22-AA23)/AA22,"")</f>
        <v/>
      </c>
      <c r="AB21" s="198" t="str">
        <f aca="false">IFERROR((AB22-AB23)/AB22,"")</f>
        <v/>
      </c>
      <c r="AC21" s="198" t="str">
        <f aca="false">IFERROR((AC22-AC23)/AC22,"")</f>
        <v/>
      </c>
      <c r="AD21" s="198" t="str">
        <f aca="false">IFERROR((AD22-AD23)/AD22,"")</f>
        <v/>
      </c>
      <c r="AE21" s="198" t="str">
        <f aca="false">IFERROR((AE22-AE23)/AE22,"")</f>
        <v/>
      </c>
      <c r="AF21" s="198" t="str">
        <f aca="false">IFERROR((AF22-AF23)/AF22,"")</f>
        <v/>
      </c>
      <c r="AG21" s="198" t="str">
        <f aca="false">IFERROR((AG22-AG23)/AG22,"")</f>
        <v/>
      </c>
      <c r="AH21" s="198" t="str">
        <f aca="false">IFERROR((AH22-AH23)/AH22,"")</f>
        <v/>
      </c>
      <c r="AI21" s="198" t="str">
        <f aca="false">IFERROR((AI22-AI23)/AI22,"")</f>
        <v/>
      </c>
      <c r="AJ21" s="200" t="str">
        <f aca="false">IFERROR((AJ22-AJ23)/AJ22,"")</f>
        <v/>
      </c>
      <c r="AK21" s="201" t="str">
        <f aca="false">IFERROR((AK22-AK23)/AK22,"")</f>
        <v/>
      </c>
      <c r="AL21" s="202" t="str">
        <f aca="false">IFERROR((AL22-AL23)/AL22,"")</f>
        <v/>
      </c>
      <c r="AM21" s="202" t="str">
        <f aca="false">IFERROR((AM22-AM23)/AM22,"")</f>
        <v/>
      </c>
      <c r="AN21" s="202" t="str">
        <f aca="false">IFERROR((AN22-AN23)/AN22,"")</f>
        <v/>
      </c>
      <c r="AO21" s="202" t="str">
        <f aca="false">IFERROR((AO22-AO23)/AO22,"")</f>
        <v/>
      </c>
      <c r="AP21" s="202" t="str">
        <f aca="false">IFERROR((AP22-AP23)/AP22,"")</f>
        <v/>
      </c>
      <c r="AQ21" s="203" t="str">
        <f aca="false">IFERROR((AQ22-AQ23)/AQ22,"")</f>
        <v/>
      </c>
      <c r="AR21" s="204" t="str">
        <f aca="false">IFERROR((AR22-AR23)/AR22,"")</f>
        <v/>
      </c>
    </row>
    <row r="22" customFormat="false" ht="14.25" hidden="false" customHeight="false" outlineLevel="0" collapsed="false">
      <c r="A22" s="191" t="str">
        <f aca="false">+IF(C22+C23=0,"[ocultar]","")</f>
        <v>[ocultar]</v>
      </c>
      <c r="B22" s="205" t="s">
        <v>371</v>
      </c>
      <c r="C22" s="206" t="n">
        <f aca="false" t="array" ref="C22:C22">SUM(IF($B22=DATOS_[Sexo], IF($B21=DATOS_[AGRUP. CLAS. PROF.], IF("Dentro"=DATOS_[Check Periodo Ref.], 1/(COUNTIFS(DATOS_[Sexo],$B22,DATOS_[AGRUP. CLAS. PROF.],$B21,DATOS_[Check Periodo Ref.],"Dentro",DATOS_[id],DATOS_[id]))))))</f>
        <v>0</v>
      </c>
      <c r="D22" s="207" t="n">
        <f aca="false">COUNTIFS(DATOS_[AGRUP. CLAS. PROF.],$B21,DATOS_[Sexo],$B22,DATOS_[Check Periodo Ref.],"Dentro")</f>
        <v>0</v>
      </c>
      <c r="E22" s="208" t="n">
        <f aca="false" t="array" ref="E22:E22">IFERROR( AVERAGE(IF(DATOS_[Sexo]=$B22,IF(DATOS_[AGRUP. CLAS. PROF.]=$B21,IF(DATOS_[Check Periodo Ref.]="Dentro",DATOS_[SALARIO BASE Ef],0)))), 0)</f>
        <v>0</v>
      </c>
      <c r="F22" s="209" t="n">
        <f aca="false" t="array" ref="F22:F22">IFERROR( AVERAGE((IF(DATOS_[[Sexo]:[Sexo]]=$B22,IF(DATOS_[[AGRUP. CLAS. PROF.]:[AGRUP. CLAS. PROF.]]=$B21,IF(DATOS_[[Check Periodo Ref.]:[Check Periodo Ref.]]="Dentro",DATOS_[Conc.Sal.01]))))), 0)</f>
        <v>0</v>
      </c>
      <c r="G22" s="209" t="n">
        <f aca="false" t="array" ref="G22:G22">IFERROR( AVERAGE((IF(DATOS_[[Sexo]:[Sexo]]=$B22,IF(DATOS_[[AGRUP. CLAS. PROF.]:[AGRUP. CLAS. PROF.]]=$B21,IF(DATOS_[[Check Periodo Ref.]:[Check Periodo Ref.]]="Dentro",DATOS_[Conc.Sal.02]))))), 0)</f>
        <v>0</v>
      </c>
      <c r="H22" s="209" t="n">
        <f aca="false" t="array" ref="H22:H22">IFERROR( AVERAGE((IF(DATOS_[[Sexo]:[Sexo]]=$B22,IF(DATOS_[[AGRUP. CLAS. PROF.]:[AGRUP. CLAS. PROF.]]=$B21,IF(DATOS_[[Check Periodo Ref.]:[Check Periodo Ref.]]="Dentro",DATOS_[Conc.Sal.03]))))), 0)</f>
        <v>0</v>
      </c>
      <c r="I22" s="209" t="n">
        <f aca="false" t="array" ref="I22:I22">IFERROR( AVERAGE((IF(DATOS_[[Sexo]:[Sexo]]=$B22,IF(DATOS_[[AGRUP. CLAS. PROF.]:[AGRUP. CLAS. PROF.]]=$B21,IF(DATOS_[[Check Periodo Ref.]:[Check Periodo Ref.]]="Dentro",DATOS_[Conc.Sal.04]))))), 0)</f>
        <v>0</v>
      </c>
      <c r="J22" s="209" t="n">
        <f aca="false" t="array" ref="J22:J22">IFERROR( AVERAGE((IF(DATOS_[[Sexo]:[Sexo]]=$B22,IF(DATOS_[[AGRUP. CLAS. PROF.]:[AGRUP. CLAS. PROF.]]=$B21,IF(DATOS_[[Check Periodo Ref.]:[Check Periodo Ref.]]="Dentro",DATOS_[Conc.Sal.05]))))), 0)</f>
        <v>0</v>
      </c>
      <c r="K22" s="209" t="n">
        <f aca="false" t="array" ref="K22:K22">IFERROR( AVERAGE((IF(DATOS_[[Sexo]:[Sexo]]=$B22,IF(DATOS_[[AGRUP. CLAS. PROF.]:[AGRUP. CLAS. PROF.]]=$B21,IF(DATOS_[[Check Periodo Ref.]:[Check Periodo Ref.]]="Dentro",DATOS_[Conc.Sal.06]))))), 0)</f>
        <v>0</v>
      </c>
      <c r="L22" s="209" t="n">
        <f aca="false" t="array" ref="L22:L22">IFERROR( AVERAGE((IF(DATOS_[[Sexo]:[Sexo]]=$B22,IF(DATOS_[[AGRUP. CLAS. PROF.]:[AGRUP. CLAS. PROF.]]=$B21,IF(DATOS_[[Check Periodo Ref.]:[Check Periodo Ref.]]="Dentro",DATOS_[Conc.Sal.07]))))), 0)</f>
        <v>0</v>
      </c>
      <c r="M22" s="209" t="n">
        <f aca="false" t="array" ref="M22:M22">IFERROR( AVERAGE((IF(DATOS_[[Sexo]:[Sexo]]=$B22,IF(DATOS_[[AGRUP. CLAS. PROF.]:[AGRUP. CLAS. PROF.]]=$B21,IF(DATOS_[[Check Periodo Ref.]:[Check Periodo Ref.]]="Dentro",DATOS_[Conc.Sal.08]))))), 0)</f>
        <v>0</v>
      </c>
      <c r="N22" s="209" t="n">
        <f aca="false" t="array" ref="N22:N22">IFERROR( AVERAGE((IF(DATOS_[[Sexo]:[Sexo]]=$B22,IF(DATOS_[[AGRUP. CLAS. PROF.]:[AGRUP. CLAS. PROF.]]=$B21,IF(DATOS_[[Check Periodo Ref.]:[Check Periodo Ref.]]="Dentro",DATOS_[Conc.Sal.09]))))), 0)</f>
        <v>0</v>
      </c>
      <c r="O22" s="209" t="n">
        <f aca="false" t="array" ref="O22:O22">IFERROR( AVERAGE((IF(DATOS_[[Sexo]:[Sexo]]=$B22,IF(DATOS_[[AGRUP. CLAS. PROF.]:[AGRUP. CLAS. PROF.]]=$B21,IF(DATOS_[[Check Periodo Ref.]:[Check Periodo Ref.]]="Dentro",DATOS_[Conc.Sal.10]))))), 0)</f>
        <v>0</v>
      </c>
      <c r="P22" s="209" t="n">
        <f aca="false" t="array" ref="P22:P22">IFERROR( AVERAGE((IF(DATOS_[[Sexo]:[Sexo]]=$B22,IF(DATOS_[[AGRUP. CLAS. PROF.]:[AGRUP. CLAS. PROF.]]=$B21,IF(DATOS_[[Check Periodo Ref.]:[Check Periodo Ref.]]="Dentro",DATOS_[Conc.Sal.11]))))), 0)</f>
        <v>0</v>
      </c>
      <c r="Q22" s="209" t="n">
        <f aca="false" t="array" ref="Q22:Q22">IFERROR( AVERAGE((IF(DATOS_[[Sexo]:[Sexo]]=$B22,IF(DATOS_[[AGRUP. CLAS. PROF.]:[AGRUP. CLAS. PROF.]]=$B21,IF(DATOS_[[Check Periodo Ref.]:[Check Periodo Ref.]]="Dentro",DATOS_[Conc.Sal.12]))))), 0)</f>
        <v>0</v>
      </c>
      <c r="R22" s="209" t="n">
        <f aca="false" t="array" ref="R22:R22">IFERROR( AVERAGE((IF(DATOS_[[Sexo]:[Sexo]]=$B22,IF(DATOS_[[AGRUP. CLAS. PROF.]:[AGRUP. CLAS. PROF.]]=$B21,IF(DATOS_[[Check Periodo Ref.]:[Check Periodo Ref.]]="Dentro",DATOS_[Conc.Sal.13]))))), 0)</f>
        <v>0</v>
      </c>
      <c r="S22" s="209" t="n">
        <f aca="false" t="array" ref="S22:S22">IFERROR( AVERAGE((IF(DATOS_[[Sexo]:[Sexo]]=$B22,IF(DATOS_[[AGRUP. CLAS. PROF.]:[AGRUP. CLAS. PROF.]]=$B21,IF(DATOS_[[Check Periodo Ref.]:[Check Periodo Ref.]]="Dentro",DATOS_[Conc.Sal.14]))))), 0)</f>
        <v>0</v>
      </c>
      <c r="T22" s="209" t="n">
        <f aca="false" t="array" ref="T22:T22">IFERROR( AVERAGE((IF(DATOS_[[Sexo]:[Sexo]]=$B22,IF(DATOS_[[AGRUP. CLAS. PROF.]:[AGRUP. CLAS. PROF.]]=$B21,IF(DATOS_[[Check Periodo Ref.]:[Check Periodo Ref.]]="Dentro",DATOS_[Conc.Sal.15]))))), 0)</f>
        <v>0</v>
      </c>
      <c r="U22" s="209" t="n">
        <f aca="false" t="array" ref="U22:U22">IFERROR( AVERAGE((IF(DATOS_[[Sexo]:[Sexo]]=$B22,IF(DATOS_[[AGRUP. CLAS. PROF.]:[AGRUP. CLAS. PROF.]]=$B21,IF(DATOS_[[Check Periodo Ref.]:[Check Periodo Ref.]]="Dentro",DATOS_[Conc.Sal.16]))))), 0)</f>
        <v>0</v>
      </c>
      <c r="V22" s="209" t="n">
        <f aca="false" t="array" ref="V22:V22">IFERROR( AVERAGE((IF(DATOS_[[Sexo]:[Sexo]]=$B22,IF(DATOS_[[AGRUP. CLAS. PROF.]:[AGRUP. CLAS. PROF.]]=$B21,IF(DATOS_[[Check Periodo Ref.]:[Check Periodo Ref.]]="Dentro",DATOS_[Conc.Sal.17]))))), 0)</f>
        <v>0</v>
      </c>
      <c r="W22" s="209" t="n">
        <f aca="false" t="array" ref="W22:W22">IFERROR( AVERAGE((IF(DATOS_[[Sexo]:[Sexo]]=$B22,IF(DATOS_[[AGRUP. CLAS. PROF.]:[AGRUP. CLAS. PROF.]]=$B21,IF(DATOS_[[Check Periodo Ref.]:[Check Periodo Ref.]]="Dentro",DATOS_[Conc.Sal.18]))))), 0)</f>
        <v>0</v>
      </c>
      <c r="X22" s="209" t="n">
        <f aca="false" t="array" ref="X22:X22">IFERROR( AVERAGE((IF(DATOS_[[Sexo]:[Sexo]]=$B22,IF(DATOS_[[AGRUP. CLAS. PROF.]:[AGRUP. CLAS. PROF.]]=$B21,IF(DATOS_[[Check Periodo Ref.]:[Check Periodo Ref.]]="Dentro",DATOS_[Conc.Sal.19]))))), 0)</f>
        <v>0</v>
      </c>
      <c r="Y22" s="209" t="n">
        <f aca="false" t="array" ref="Y22:Y22">IFERROR( AVERAGE((IF(DATOS_[[Sexo]:[Sexo]]=$B22,IF(DATOS_[[AGRUP. CLAS. PROF.]:[AGRUP. CLAS. PROF.]]=$B21,IF(DATOS_[[Check Periodo Ref.]:[Check Periodo Ref.]]="Dentro",DATOS_[Conc.Sal.20]))))), 0)</f>
        <v>0</v>
      </c>
      <c r="Z22" s="209" t="n">
        <f aca="false" t="array" ref="Z22:Z22">IFERROR( AVERAGE((IF(DATOS_[[Sexo]:[Sexo]]=$B22,IF(DATOS_[[AGRUP. CLAS. PROF.]:[AGRUP. CLAS. PROF.]]=$B21,IF(DATOS_[[Check Periodo Ref.]:[Check Periodo Ref.]]="Dentro",DATOS_[Conc.Sal.21]))))), 0)</f>
        <v>0</v>
      </c>
      <c r="AA22" s="209" t="n">
        <f aca="false" t="array" ref="AA22:AA22">IFERROR( AVERAGE((IF(DATOS_[[Sexo]:[Sexo]]=$B22,IF(DATOS_[[AGRUP. CLAS. PROF.]:[AGRUP. CLAS. PROF.]]=$B21,IF(DATOS_[[Check Periodo Ref.]:[Check Periodo Ref.]]="Dentro",DATOS_[Conc.Sal.22]))))), 0)</f>
        <v>0</v>
      </c>
      <c r="AB22" s="209" t="n">
        <f aca="false" t="array" ref="AB22:AB22">IFERROR( AVERAGE((IF(DATOS_[[Sexo]:[Sexo]]=$B22,IF(DATOS_[[AGRUP. CLAS. PROF.]:[AGRUP. CLAS. PROF.]]=$B21,IF(DATOS_[[Check Periodo Ref.]:[Check Periodo Ref.]]="Dentro",DATOS_[Conc.Sal.23]))))), 0)</f>
        <v>0</v>
      </c>
      <c r="AC22" s="209" t="n">
        <f aca="false" t="array" ref="AC22:AC22">IFERROR( AVERAGE((IF(DATOS_[[Sexo]:[Sexo]]=$B22,IF(DATOS_[[AGRUP. CLAS. PROF.]:[AGRUP. CLAS. PROF.]]=$B21,IF(DATOS_[[Check Periodo Ref.]:[Check Periodo Ref.]]="Dentro",DATOS_[Conc.Sal.24]))))), 0)</f>
        <v>0</v>
      </c>
      <c r="AD22" s="209" t="n">
        <f aca="false" t="array" ref="AD22:AD22">IFERROR( AVERAGE((IF(DATOS_[[Sexo]:[Sexo]]=$B22,IF(DATOS_[[AGRUP. CLAS. PROF.]:[AGRUP. CLAS. PROF.]]=$B21,IF(DATOS_[[Check Periodo Ref.]:[Check Periodo Ref.]]="Dentro",DATOS_[Conc.Sal.25]))))), 0)</f>
        <v>0</v>
      </c>
      <c r="AE22" s="209" t="n">
        <f aca="false" t="array" ref="AE22:AE22">IFERROR( AVERAGE((IF(DATOS_[[Sexo]:[Sexo]]=$B22,IF(DATOS_[[AGRUP. CLAS. PROF.]:[AGRUP. CLAS. PROF.]]=$B21,IF(DATOS_[[Check Periodo Ref.]:[Check Periodo Ref.]]="Dentro",DATOS_[Conc.Sal.26]))))), 0)</f>
        <v>0</v>
      </c>
      <c r="AF22" s="209" t="n">
        <f aca="false" t="array" ref="AF22:AF22">IFERROR( AVERAGE((IF(DATOS_[[Sexo]:[Sexo]]=$B22,IF(DATOS_[[AGRUP. CLAS. PROF.]:[AGRUP. CLAS. PROF.]]=$B21,IF(DATOS_[[Check Periodo Ref.]:[Check Periodo Ref.]]="Dentro",DATOS_[Conc.Sal.27]))))), 0)</f>
        <v>0</v>
      </c>
      <c r="AG22" s="209" t="n">
        <f aca="false" t="array" ref="AG22:AG22">IFERROR( AVERAGE((IF(DATOS_[[Sexo]:[Sexo]]=$B22,IF(DATOS_[[AGRUP. CLAS. PROF.]:[AGRUP. CLAS. PROF.]]=$B21,IF(DATOS_[[Check Periodo Ref.]:[Check Periodo Ref.]]="Dentro",DATOS_[Conc.Sal.28]))))), 0)</f>
        <v>0</v>
      </c>
      <c r="AH22" s="209" t="n">
        <f aca="false" t="array" ref="AH22:AH22">IFERROR( AVERAGE((IF(DATOS_[[Sexo]:[Sexo]]=$B22,IF(DATOS_[[AGRUP. CLAS. PROF.]:[AGRUP. CLAS. PROF.]]=$B21,IF(DATOS_[[Check Periodo Ref.]:[Check Periodo Ref.]]="Dentro",DATOS_[Conc.Sal.29]))))), 0)</f>
        <v>0</v>
      </c>
      <c r="AI22" s="209" t="n">
        <f aca="false" t="array" ref="AI22:AI22">IFERROR( AVERAGE((IF(DATOS_[[Sexo]:[Sexo]]=$B22,IF(DATOS_[[AGRUP. CLAS. PROF.]:[AGRUP. CLAS. PROF.]]=$B21,IF(DATOS_[[Check Periodo Ref.]:[Check Periodo Ref.]]="Dentro",DATOS_[Conc.Sal.30]))))), 0)</f>
        <v>0</v>
      </c>
      <c r="AJ22" s="210" t="n">
        <f aca="false" t="array" ref="AJ22:AJ22">IFERROR( AVERAGE(IF(DATOS_[Sexo]=$B22,IF(DATOS_[AGRUP. CLAS. PROF.]=$B21,IF(DATOS_[Check Periodo Ref.]="Dentro",DATOS_[Tot COMPL.SAL Ef],0)))), 0)</f>
        <v>0</v>
      </c>
      <c r="AK22" s="211" t="n">
        <f aca="false" t="array" ref="AK22:AK22">IFERROR( AVERAGE(IF(DATOS_[Sexo]=$B22,IF(DATOS_[AGRUP. CLAS. PROF.]=$B21,IF(DATOS_[Check Periodo Ref.]="Dentro",DATOS_[TOTAL SALARIO Ef],0)))), 0)</f>
        <v>0</v>
      </c>
      <c r="AL22" s="212" t="n">
        <f aca="false" t="array" ref="AL22:AL22">IFERROR( AVERAGE((IF(DATOS_[[Sexo]:[Sexo]]=$B22,IF(DATOS_[[AGRUP. CLAS. PROF.]:[AGRUP. CLAS. PROF.]]=$B21,IF(DATOS_[[Check Periodo Ref.]:[Check Periodo Ref.]]="Dentro",DATOS_[C.Extra.01]))))), 0)</f>
        <v>0</v>
      </c>
      <c r="AM22" s="212" t="n">
        <f aca="false" t="array" ref="AM22:AM22">IFERROR( AVERAGE((IF(DATOS_[[Sexo]:[Sexo]]=$B22,IF(DATOS_[[AGRUP. CLAS. PROF.]:[AGRUP. CLAS. PROF.]]=$B21,IF(DATOS_[[Check Periodo Ref.]:[Check Periodo Ref.]]="Dentro",DATOS_[C.Extra.02]))))), 0)</f>
        <v>0</v>
      </c>
      <c r="AN22" s="212" t="n">
        <f aca="false" t="array" ref="AN22:AN22">IFERROR( AVERAGE((IF(DATOS_[[Sexo]:[Sexo]]=$B22,IF(DATOS_[[AGRUP. CLAS. PROF.]:[AGRUP. CLAS. PROF.]]=$B21,IF(DATOS_[[Check Periodo Ref.]:[Check Periodo Ref.]]="Dentro",DATOS_[C.Extra.03]))))), 0)</f>
        <v>0</v>
      </c>
      <c r="AO22" s="212" t="n">
        <f aca="false" t="array" ref="AO22:AO22">IFERROR( AVERAGE((IF(DATOS_[[Sexo]:[Sexo]]=$B22,IF(DATOS_[[AGRUP. CLAS. PROF.]:[AGRUP. CLAS. PROF.]]=$B21,IF(DATOS_[[Check Periodo Ref.]:[Check Periodo Ref.]]="Dentro",DATOS_[C.Extra.04]))))), 0)</f>
        <v>0</v>
      </c>
      <c r="AP22" s="212" t="n">
        <f aca="false" t="array" ref="AP22:AP22">IFERROR( AVERAGE((IF(DATOS_[[Sexo]:[Sexo]]=$B22,IF(DATOS_[[AGRUP. CLAS. PROF.]:[AGRUP. CLAS. PROF.]]=$B21,IF(DATOS_[[Check Periodo Ref.]:[Check Periodo Ref.]]="Dentro",DATOS_[C.Extra.05]))))), 0)</f>
        <v>0</v>
      </c>
      <c r="AQ22" s="213" t="n">
        <f aca="false" t="array" ref="AQ22:AQ22">IFERROR( AVERAGE(IF(DATOS_[Sexo]=$B22,IF(DATOS_[AGRUP. CLAS. PROF.]=$B21,IF(DATOS_[Check Periodo Ref.]="Dentro",DATOS_[Tot Extrasalarial Ef],0)))), 0)</f>
        <v>0</v>
      </c>
      <c r="AR22" s="214" t="n">
        <f aca="false" t="array" ref="AR22:AR22">IFERROR( AVERAGE(IF(DATOS_[Sexo]=$B22,IF(DATOS_[AGRUP. CLAS. PROF.]=$B21,IF(DATOS_[Check Periodo Ref.]="Dentro",DATOS_[TOTAL Retrib Ef],0)))), 0)</f>
        <v>0</v>
      </c>
    </row>
    <row r="23" customFormat="false" ht="14.25" hidden="false" customHeight="false" outlineLevel="0" collapsed="false">
      <c r="A23" s="191" t="str">
        <f aca="false">+A22</f>
        <v>[ocultar]</v>
      </c>
      <c r="B23" s="205" t="s">
        <v>372</v>
      </c>
      <c r="C23" s="206" t="n">
        <f aca="false" t="array" ref="C23:C23">SUM(IF($B23=DATOS_[Sexo], IF($B21=DATOS_[AGRUP. CLAS. PROF.], IF("Dentro"=DATOS_[Check Periodo Ref.], 1/(COUNTIFS(DATOS_[Sexo],$B23,DATOS_[AGRUP. CLAS. PROF.],$B21,DATOS_[Check Periodo Ref.],"Dentro",DATOS_[id],DATOS_[id]))))))</f>
        <v>0</v>
      </c>
      <c r="D23" s="207" t="n">
        <f aca="false">COUNTIFS(DATOS_[AGRUP. CLAS. PROF.],$B21,DATOS_[Sexo],$B23,DATOS_[Check Periodo Ref.],"Dentro")</f>
        <v>0</v>
      </c>
      <c r="E23" s="208" t="n">
        <f aca="false" t="array" ref="E23:E23">IFERROR( AVERAGE(IF(DATOS_[Sexo]=$B23,IF(DATOS_[AGRUP. CLAS. PROF.]=$B21,IF(DATOS_[Check Periodo Ref.]="Dentro",DATOS_[SALARIO BASE Ef],0)))), 0)</f>
        <v>0</v>
      </c>
      <c r="F23" s="209" t="n">
        <f aca="false" t="array" ref="F23:F23">IFERROR( AVERAGE((IF(DATOS_[[Sexo]:[Sexo]]=$B23,IF(DATOS_[[AGRUP. CLAS. PROF.]:[AGRUP. CLAS. PROF.]]=$B21,IF(DATOS_[[Check Periodo Ref.]:[Check Periodo Ref.]]="Dentro",DATOS_[Conc.Sal.01]))))), 0)</f>
        <v>0</v>
      </c>
      <c r="G23" s="209" t="n">
        <f aca="false" t="array" ref="G23:G23">IFERROR( AVERAGE((IF(DATOS_[[Sexo]:[Sexo]]=$B23,IF(DATOS_[[AGRUP. CLAS. PROF.]:[AGRUP. CLAS. PROF.]]=$B21,IF(DATOS_[[Check Periodo Ref.]:[Check Periodo Ref.]]="Dentro",DATOS_[Conc.Sal.02]))))), 0)</f>
        <v>0</v>
      </c>
      <c r="H23" s="209" t="n">
        <f aca="false" t="array" ref="H23:H23">IFERROR( AVERAGE((IF(DATOS_[[Sexo]:[Sexo]]=$B23,IF(DATOS_[[AGRUP. CLAS. PROF.]:[AGRUP. CLAS. PROF.]]=$B21,IF(DATOS_[[Check Periodo Ref.]:[Check Periodo Ref.]]="Dentro",DATOS_[Conc.Sal.03]))))), 0)</f>
        <v>0</v>
      </c>
      <c r="I23" s="209" t="n">
        <f aca="false" t="array" ref="I23:I23">IFERROR( AVERAGE((IF(DATOS_[[Sexo]:[Sexo]]=$B23,IF(DATOS_[[AGRUP. CLAS. PROF.]:[AGRUP. CLAS. PROF.]]=$B21,IF(DATOS_[[Check Periodo Ref.]:[Check Periodo Ref.]]="Dentro",DATOS_[Conc.Sal.04]))))), 0)</f>
        <v>0</v>
      </c>
      <c r="J23" s="209" t="n">
        <f aca="false" t="array" ref="J23:J23">IFERROR( AVERAGE((IF(DATOS_[[Sexo]:[Sexo]]=$B23,IF(DATOS_[[AGRUP. CLAS. PROF.]:[AGRUP. CLAS. PROF.]]=$B21,IF(DATOS_[[Check Periodo Ref.]:[Check Periodo Ref.]]="Dentro",DATOS_[Conc.Sal.05]))))), 0)</f>
        <v>0</v>
      </c>
      <c r="K23" s="209" t="n">
        <f aca="false" t="array" ref="K23:K23">IFERROR( AVERAGE((IF(DATOS_[[Sexo]:[Sexo]]=$B23,IF(DATOS_[[AGRUP. CLAS. PROF.]:[AGRUP. CLAS. PROF.]]=$B21,IF(DATOS_[[Check Periodo Ref.]:[Check Periodo Ref.]]="Dentro",DATOS_[Conc.Sal.06]))))), 0)</f>
        <v>0</v>
      </c>
      <c r="L23" s="209" t="n">
        <f aca="false" t="array" ref="L23:L23">IFERROR( AVERAGE((IF(DATOS_[[Sexo]:[Sexo]]=$B23,IF(DATOS_[[AGRUP. CLAS. PROF.]:[AGRUP. CLAS. PROF.]]=$B21,IF(DATOS_[[Check Periodo Ref.]:[Check Periodo Ref.]]="Dentro",DATOS_[Conc.Sal.07]))))), 0)</f>
        <v>0</v>
      </c>
      <c r="M23" s="209" t="n">
        <f aca="false" t="array" ref="M23:M23">IFERROR( AVERAGE((IF(DATOS_[[Sexo]:[Sexo]]=$B23,IF(DATOS_[[AGRUP. CLAS. PROF.]:[AGRUP. CLAS. PROF.]]=$B21,IF(DATOS_[[Check Periodo Ref.]:[Check Periodo Ref.]]="Dentro",DATOS_[Conc.Sal.08]))))), 0)</f>
        <v>0</v>
      </c>
      <c r="N23" s="209" t="n">
        <f aca="false" t="array" ref="N23:N23">IFERROR( AVERAGE((IF(DATOS_[[Sexo]:[Sexo]]=$B23,IF(DATOS_[[AGRUP. CLAS. PROF.]:[AGRUP. CLAS. PROF.]]=$B21,IF(DATOS_[[Check Periodo Ref.]:[Check Periodo Ref.]]="Dentro",DATOS_[Conc.Sal.09]))))), 0)</f>
        <v>0</v>
      </c>
      <c r="O23" s="209" t="n">
        <f aca="false" t="array" ref="O23:O23">IFERROR( AVERAGE((IF(DATOS_[[Sexo]:[Sexo]]=$B23,IF(DATOS_[[AGRUP. CLAS. PROF.]:[AGRUP. CLAS. PROF.]]=$B21,IF(DATOS_[[Check Periodo Ref.]:[Check Periodo Ref.]]="Dentro",DATOS_[Conc.Sal.10]))))), 0)</f>
        <v>0</v>
      </c>
      <c r="P23" s="209" t="n">
        <f aca="false" t="array" ref="P23:P23">IFERROR( AVERAGE((IF(DATOS_[[Sexo]:[Sexo]]=$B23,IF(DATOS_[[AGRUP. CLAS. PROF.]:[AGRUP. CLAS. PROF.]]=$B21,IF(DATOS_[[Check Periodo Ref.]:[Check Periodo Ref.]]="Dentro",DATOS_[Conc.Sal.11]))))), 0)</f>
        <v>0</v>
      </c>
      <c r="Q23" s="209" t="n">
        <f aca="false" t="array" ref="Q23:Q23">IFERROR( AVERAGE((IF(DATOS_[[Sexo]:[Sexo]]=$B23,IF(DATOS_[[AGRUP. CLAS. PROF.]:[AGRUP. CLAS. PROF.]]=$B21,IF(DATOS_[[Check Periodo Ref.]:[Check Periodo Ref.]]="Dentro",DATOS_[Conc.Sal.12]))))), 0)</f>
        <v>0</v>
      </c>
      <c r="R23" s="209" t="n">
        <f aca="false" t="array" ref="R23:R23">IFERROR( AVERAGE((IF(DATOS_[[Sexo]:[Sexo]]=$B23,IF(DATOS_[[AGRUP. CLAS. PROF.]:[AGRUP. CLAS. PROF.]]=$B21,IF(DATOS_[[Check Periodo Ref.]:[Check Periodo Ref.]]="Dentro",DATOS_[Conc.Sal.13]))))), 0)</f>
        <v>0</v>
      </c>
      <c r="S23" s="209" t="n">
        <f aca="false" t="array" ref="S23:S23">IFERROR( AVERAGE((IF(DATOS_[[Sexo]:[Sexo]]=$B23,IF(DATOS_[[AGRUP. CLAS. PROF.]:[AGRUP. CLAS. PROF.]]=$B21,IF(DATOS_[[Check Periodo Ref.]:[Check Periodo Ref.]]="Dentro",DATOS_[Conc.Sal.14]))))), 0)</f>
        <v>0</v>
      </c>
      <c r="T23" s="209" t="n">
        <f aca="false" t="array" ref="T23:T23">IFERROR( AVERAGE((IF(DATOS_[[Sexo]:[Sexo]]=$B23,IF(DATOS_[[AGRUP. CLAS. PROF.]:[AGRUP. CLAS. PROF.]]=$B21,IF(DATOS_[[Check Periodo Ref.]:[Check Periodo Ref.]]="Dentro",DATOS_[Conc.Sal.15]))))), 0)</f>
        <v>0</v>
      </c>
      <c r="U23" s="209" t="n">
        <f aca="false" t="array" ref="U23:U23">IFERROR( AVERAGE((IF(DATOS_[[Sexo]:[Sexo]]=$B23,IF(DATOS_[[AGRUP. CLAS. PROF.]:[AGRUP. CLAS. PROF.]]=$B21,IF(DATOS_[[Check Periodo Ref.]:[Check Periodo Ref.]]="Dentro",DATOS_[Conc.Sal.16]))))), 0)</f>
        <v>0</v>
      </c>
      <c r="V23" s="209" t="n">
        <f aca="false" t="array" ref="V23:V23">IFERROR( AVERAGE((IF(DATOS_[[Sexo]:[Sexo]]=$B23,IF(DATOS_[[AGRUP. CLAS. PROF.]:[AGRUP. CLAS. PROF.]]=$B21,IF(DATOS_[[Check Periodo Ref.]:[Check Periodo Ref.]]="Dentro",DATOS_[Conc.Sal.17]))))), 0)</f>
        <v>0</v>
      </c>
      <c r="W23" s="209" t="n">
        <f aca="false" t="array" ref="W23:W23">IFERROR( AVERAGE((IF(DATOS_[[Sexo]:[Sexo]]=$B23,IF(DATOS_[[AGRUP. CLAS. PROF.]:[AGRUP. CLAS. PROF.]]=$B21,IF(DATOS_[[Check Periodo Ref.]:[Check Periodo Ref.]]="Dentro",DATOS_[Conc.Sal.18]))))), 0)</f>
        <v>0</v>
      </c>
      <c r="X23" s="209" t="n">
        <f aca="false" t="array" ref="X23:X23">IFERROR( AVERAGE((IF(DATOS_[[Sexo]:[Sexo]]=$B23,IF(DATOS_[[AGRUP. CLAS. PROF.]:[AGRUP. CLAS. PROF.]]=$B21,IF(DATOS_[[Check Periodo Ref.]:[Check Periodo Ref.]]="Dentro",DATOS_[Conc.Sal.19]))))), 0)</f>
        <v>0</v>
      </c>
      <c r="Y23" s="209" t="n">
        <f aca="false" t="array" ref="Y23:Y23">IFERROR( AVERAGE((IF(DATOS_[[Sexo]:[Sexo]]=$B23,IF(DATOS_[[AGRUP. CLAS. PROF.]:[AGRUP. CLAS. PROF.]]=$B21,IF(DATOS_[[Check Periodo Ref.]:[Check Periodo Ref.]]="Dentro",DATOS_[Conc.Sal.20]))))), 0)</f>
        <v>0</v>
      </c>
      <c r="Z23" s="209" t="n">
        <f aca="false" t="array" ref="Z23:Z23">IFERROR( AVERAGE((IF(DATOS_[[Sexo]:[Sexo]]=$B23,IF(DATOS_[[AGRUP. CLAS. PROF.]:[AGRUP. CLAS. PROF.]]=$B21,IF(DATOS_[[Check Periodo Ref.]:[Check Periodo Ref.]]="Dentro",DATOS_[Conc.Sal.21]))))), 0)</f>
        <v>0</v>
      </c>
      <c r="AA23" s="209" t="n">
        <f aca="false" t="array" ref="AA23:AA23">IFERROR( AVERAGE((IF(DATOS_[[Sexo]:[Sexo]]=$B23,IF(DATOS_[[AGRUP. CLAS. PROF.]:[AGRUP. CLAS. PROF.]]=$B21,IF(DATOS_[[Check Periodo Ref.]:[Check Periodo Ref.]]="Dentro",DATOS_[Conc.Sal.22]))))), 0)</f>
        <v>0</v>
      </c>
      <c r="AB23" s="209" t="n">
        <f aca="false" t="array" ref="AB23:AB23">IFERROR( AVERAGE((IF(DATOS_[[Sexo]:[Sexo]]=$B23,IF(DATOS_[[AGRUP. CLAS. PROF.]:[AGRUP. CLAS. PROF.]]=$B21,IF(DATOS_[[Check Periodo Ref.]:[Check Periodo Ref.]]="Dentro",DATOS_[Conc.Sal.23]))))), 0)</f>
        <v>0</v>
      </c>
      <c r="AC23" s="209" t="n">
        <f aca="false" t="array" ref="AC23:AC23">IFERROR( AVERAGE((IF(DATOS_[[Sexo]:[Sexo]]=$B23,IF(DATOS_[[AGRUP. CLAS. PROF.]:[AGRUP. CLAS. PROF.]]=$B21,IF(DATOS_[[Check Periodo Ref.]:[Check Periodo Ref.]]="Dentro",DATOS_[Conc.Sal.24]))))), 0)</f>
        <v>0</v>
      </c>
      <c r="AD23" s="209" t="n">
        <f aca="false" t="array" ref="AD23:AD23">IFERROR( AVERAGE((IF(DATOS_[[Sexo]:[Sexo]]=$B23,IF(DATOS_[[AGRUP. CLAS. PROF.]:[AGRUP. CLAS. PROF.]]=$B21,IF(DATOS_[[Check Periodo Ref.]:[Check Periodo Ref.]]="Dentro",DATOS_[Conc.Sal.25]))))), 0)</f>
        <v>0</v>
      </c>
      <c r="AE23" s="209" t="n">
        <f aca="false" t="array" ref="AE23:AE23">IFERROR( AVERAGE((IF(DATOS_[[Sexo]:[Sexo]]=$B23,IF(DATOS_[[AGRUP. CLAS. PROF.]:[AGRUP. CLAS. PROF.]]=$B21,IF(DATOS_[[Check Periodo Ref.]:[Check Periodo Ref.]]="Dentro",DATOS_[Conc.Sal.26]))))), 0)</f>
        <v>0</v>
      </c>
      <c r="AF23" s="209" t="n">
        <f aca="false" t="array" ref="AF23:AF23">IFERROR( AVERAGE((IF(DATOS_[[Sexo]:[Sexo]]=$B23,IF(DATOS_[[AGRUP. CLAS. PROF.]:[AGRUP. CLAS. PROF.]]=$B21,IF(DATOS_[[Check Periodo Ref.]:[Check Periodo Ref.]]="Dentro",DATOS_[Conc.Sal.27]))))), 0)</f>
        <v>0</v>
      </c>
      <c r="AG23" s="209" t="n">
        <f aca="false" t="array" ref="AG23:AG23">IFERROR( AVERAGE((IF(DATOS_[[Sexo]:[Sexo]]=$B23,IF(DATOS_[[AGRUP. CLAS. PROF.]:[AGRUP. CLAS. PROF.]]=$B21,IF(DATOS_[[Check Periodo Ref.]:[Check Periodo Ref.]]="Dentro",DATOS_[Conc.Sal.28]))))), 0)</f>
        <v>0</v>
      </c>
      <c r="AH23" s="209" t="n">
        <f aca="false" t="array" ref="AH23:AH23">IFERROR( AVERAGE((IF(DATOS_[[Sexo]:[Sexo]]=$B23,IF(DATOS_[[AGRUP. CLAS. PROF.]:[AGRUP. CLAS. PROF.]]=$B21,IF(DATOS_[[Check Periodo Ref.]:[Check Periodo Ref.]]="Dentro",DATOS_[Conc.Sal.29]))))), 0)</f>
        <v>0</v>
      </c>
      <c r="AI23" s="209" t="n">
        <f aca="false" t="array" ref="AI23:AI23">IFERROR( AVERAGE((IF(DATOS_[[Sexo]:[Sexo]]=$B23,IF(DATOS_[[AGRUP. CLAS. PROF.]:[AGRUP. CLAS. PROF.]]=$B21,IF(DATOS_[[Check Periodo Ref.]:[Check Periodo Ref.]]="Dentro",DATOS_[Conc.Sal.30]))))), 0)</f>
        <v>0</v>
      </c>
      <c r="AJ23" s="210" t="n">
        <f aca="false" t="array" ref="AJ23:AJ23">IFERROR( AVERAGE(IF(DATOS_[Sexo]=$B23,IF(DATOS_[AGRUP. CLAS. PROF.]=$B21,IF(DATOS_[Check Periodo Ref.]="Dentro",DATOS_[Tot COMPL.SAL Ef],0)))), 0)</f>
        <v>0</v>
      </c>
      <c r="AK23" s="211" t="n">
        <f aca="false" t="array" ref="AK23:AK23">IFERROR( AVERAGE(IF(DATOS_[Sexo]=$B23,IF(DATOS_[AGRUP. CLAS. PROF.]=$B21,IF(DATOS_[Check Periodo Ref.]="Dentro",DATOS_[TOTAL SALARIO Ef],0)))), 0)</f>
        <v>0</v>
      </c>
      <c r="AL23" s="212" t="n">
        <f aca="false" t="array" ref="AL23:AL23">IFERROR( AVERAGE((IF(DATOS_[[Sexo]:[Sexo]]=$B23,IF(DATOS_[[AGRUP. CLAS. PROF.]:[AGRUP. CLAS. PROF.]]=$B21,IF(DATOS_[[Check Periodo Ref.]:[Check Periodo Ref.]]="Dentro",DATOS_[C.Extra.01]))))), 0)</f>
        <v>0</v>
      </c>
      <c r="AM23" s="212" t="n">
        <f aca="false" t="array" ref="AM23:AM23">IFERROR( AVERAGE((IF(DATOS_[[Sexo]:[Sexo]]=$B23,IF(DATOS_[[AGRUP. CLAS. PROF.]:[AGRUP. CLAS. PROF.]]=$B21,IF(DATOS_[[Check Periodo Ref.]:[Check Periodo Ref.]]="Dentro",DATOS_[C.Extra.02]))))), 0)</f>
        <v>0</v>
      </c>
      <c r="AN23" s="212" t="n">
        <f aca="false" t="array" ref="AN23:AN23">IFERROR( AVERAGE((IF(DATOS_[[Sexo]:[Sexo]]=$B23,IF(DATOS_[[AGRUP. CLAS. PROF.]:[AGRUP. CLAS. PROF.]]=$B21,IF(DATOS_[[Check Periodo Ref.]:[Check Periodo Ref.]]="Dentro",DATOS_[C.Extra.03]))))), 0)</f>
        <v>0</v>
      </c>
      <c r="AO23" s="212" t="n">
        <f aca="false" t="array" ref="AO23:AO23">IFERROR( AVERAGE((IF(DATOS_[[Sexo]:[Sexo]]=$B23,IF(DATOS_[[AGRUP. CLAS. PROF.]:[AGRUP. CLAS. PROF.]]=$B21,IF(DATOS_[[Check Periodo Ref.]:[Check Periodo Ref.]]="Dentro",DATOS_[C.Extra.04]))))), 0)</f>
        <v>0</v>
      </c>
      <c r="AP23" s="212" t="n">
        <f aca="false" t="array" ref="AP23:AP23">IFERROR( AVERAGE((IF(DATOS_[[Sexo]:[Sexo]]=$B23,IF(DATOS_[[AGRUP. CLAS. PROF.]:[AGRUP. CLAS. PROF.]]=$B21,IF(DATOS_[[Check Periodo Ref.]:[Check Periodo Ref.]]="Dentro",DATOS_[C.Extra.05]))))), 0)</f>
        <v>0</v>
      </c>
      <c r="AQ23" s="213" t="n">
        <f aca="false" t="array" ref="AQ23:AQ23">IFERROR( AVERAGE(IF(DATOS_[Sexo]=$B23,IF(DATOS_[AGRUP. CLAS. PROF.]=$B21,IF(DATOS_[Check Periodo Ref.]="Dentro",DATOS_[Tot Extrasalarial Ef],0)))), 0)</f>
        <v>0</v>
      </c>
      <c r="AR23" s="214" t="n">
        <f aca="false" t="array" ref="AR23:AR23">IFERROR( AVERAGE(IF(DATOS_[Sexo]=$B23,IF(DATOS_[AGRUP. CLAS. PROF.]=$B21,IF(DATOS_[Check Periodo Ref.]="Dentro",DATOS_[TOTAL Retrib Ef],0)))), 0)</f>
        <v>0</v>
      </c>
    </row>
    <row r="24" customFormat="false" ht="15.75" hidden="false" customHeight="false" outlineLevel="0" collapsed="false">
      <c r="A24" s="191" t="str">
        <f aca="false">+A25</f>
        <v>[ocultar]</v>
      </c>
      <c r="B24" s="192" t="s">
        <v>179</v>
      </c>
      <c r="C24" s="193"/>
      <c r="D24" s="194"/>
      <c r="E24" s="195" t="str">
        <f aca="false">IFERROR((E25-E26)/E25,"")</f>
        <v/>
      </c>
      <c r="F24" s="196" t="str">
        <f aca="false">IFERROR((F25-F26)/F25,"")</f>
        <v/>
      </c>
      <c r="G24" s="197" t="str">
        <f aca="false">IFERROR((G25-G26)/G25,"")</f>
        <v/>
      </c>
      <c r="H24" s="197" t="str">
        <f aca="false">IFERROR((H25-H26)/H25,"")</f>
        <v/>
      </c>
      <c r="I24" s="197" t="str">
        <f aca="false">IFERROR((I25-I26)/I25,"")</f>
        <v/>
      </c>
      <c r="J24" s="198" t="str">
        <f aca="false">IFERROR((J25-J26)/J25,"")</f>
        <v/>
      </c>
      <c r="K24" s="199" t="str">
        <f aca="false">IFERROR((K25-K26)/K25,"")</f>
        <v/>
      </c>
      <c r="L24" s="199" t="str">
        <f aca="false">IFERROR((L25-L26)/L25,"")</f>
        <v/>
      </c>
      <c r="M24" s="199" t="str">
        <f aca="false">IFERROR((M25-M26)/M25,"")</f>
        <v/>
      </c>
      <c r="N24" s="199" t="str">
        <f aca="false">IFERROR((N25-N26)/N25,"")</f>
        <v/>
      </c>
      <c r="O24" s="199" t="str">
        <f aca="false">IFERROR((O25-O26)/O25,"")</f>
        <v/>
      </c>
      <c r="P24" s="199" t="str">
        <f aca="false">IFERROR((P25-P26)/P25,"")</f>
        <v/>
      </c>
      <c r="Q24" s="199" t="str">
        <f aca="false">IFERROR((Q25-Q26)/Q25,"")</f>
        <v/>
      </c>
      <c r="R24" s="199" t="str">
        <f aca="false">IFERROR((R25-R26)/R25,"")</f>
        <v/>
      </c>
      <c r="S24" s="199" t="str">
        <f aca="false">IFERROR((S25-S26)/S25,"")</f>
        <v/>
      </c>
      <c r="T24" s="199" t="str">
        <f aca="false">IFERROR((T25-T26)/T25,"")</f>
        <v/>
      </c>
      <c r="U24" s="199" t="str">
        <f aca="false">IFERROR((U25-U26)/U25,"")</f>
        <v/>
      </c>
      <c r="V24" s="198" t="str">
        <f aca="false">IFERROR((V25-V26)/V25,"")</f>
        <v/>
      </c>
      <c r="W24" s="198" t="str">
        <f aca="false">IFERROR((W25-W26)/W25,"")</f>
        <v/>
      </c>
      <c r="X24" s="198" t="str">
        <f aca="false">IFERROR((X25-X26)/X25,"")</f>
        <v/>
      </c>
      <c r="Y24" s="198" t="str">
        <f aca="false">IFERROR((Y25-Y26)/Y25,"")</f>
        <v/>
      </c>
      <c r="Z24" s="198" t="str">
        <f aca="false">IFERROR((Z25-Z26)/Z25,"")</f>
        <v/>
      </c>
      <c r="AA24" s="198" t="str">
        <f aca="false">IFERROR((AA25-AA26)/AA25,"")</f>
        <v/>
      </c>
      <c r="AB24" s="198" t="str">
        <f aca="false">IFERROR((AB25-AB26)/AB25,"")</f>
        <v/>
      </c>
      <c r="AC24" s="198" t="str">
        <f aca="false">IFERROR((AC25-AC26)/AC25,"")</f>
        <v/>
      </c>
      <c r="AD24" s="198" t="str">
        <f aca="false">IFERROR((AD25-AD26)/AD25,"")</f>
        <v/>
      </c>
      <c r="AE24" s="198" t="str">
        <f aca="false">IFERROR((AE25-AE26)/AE25,"")</f>
        <v/>
      </c>
      <c r="AF24" s="198" t="str">
        <f aca="false">IFERROR((AF25-AF26)/AF25,"")</f>
        <v/>
      </c>
      <c r="AG24" s="198" t="str">
        <f aca="false">IFERROR((AG25-AG26)/AG25,"")</f>
        <v/>
      </c>
      <c r="AH24" s="198" t="str">
        <f aca="false">IFERROR((AH25-AH26)/AH25,"")</f>
        <v/>
      </c>
      <c r="AI24" s="198" t="str">
        <f aca="false">IFERROR((AI25-AI26)/AI25,"")</f>
        <v/>
      </c>
      <c r="AJ24" s="200" t="str">
        <f aca="false">IFERROR((AJ25-AJ26)/AJ25,"")</f>
        <v/>
      </c>
      <c r="AK24" s="201" t="str">
        <f aca="false">IFERROR((AK25-AK26)/AK25,"")</f>
        <v/>
      </c>
      <c r="AL24" s="202" t="str">
        <f aca="false">IFERROR((AL25-AL26)/AL25,"")</f>
        <v/>
      </c>
      <c r="AM24" s="202" t="str">
        <f aca="false">IFERROR((AM25-AM26)/AM25,"")</f>
        <v/>
      </c>
      <c r="AN24" s="202" t="str">
        <f aca="false">IFERROR((AN25-AN26)/AN25,"")</f>
        <v/>
      </c>
      <c r="AO24" s="202" t="str">
        <f aca="false">IFERROR((AO25-AO26)/AO25,"")</f>
        <v/>
      </c>
      <c r="AP24" s="202" t="str">
        <f aca="false">IFERROR((AP25-AP26)/AP25,"")</f>
        <v/>
      </c>
      <c r="AQ24" s="203" t="str">
        <f aca="false">IFERROR((AQ25-AQ26)/AQ25,"")</f>
        <v/>
      </c>
      <c r="AR24" s="204" t="str">
        <f aca="false">IFERROR((AR25-AR26)/AR25,"")</f>
        <v/>
      </c>
    </row>
    <row r="25" customFormat="false" ht="14.25" hidden="false" customHeight="false" outlineLevel="0" collapsed="false">
      <c r="A25" s="191" t="str">
        <f aca="false">+IF(C25+C26=0,"[ocultar]","")</f>
        <v>[ocultar]</v>
      </c>
      <c r="B25" s="205" t="s">
        <v>371</v>
      </c>
      <c r="C25" s="206" t="n">
        <f aca="false" t="array" ref="C25:C25">SUM(IF($B25=DATOS_[Sexo], IF($B24=DATOS_[AGRUP. CLAS. PROF.], IF("Dentro"=DATOS_[Check Periodo Ref.], 1/(COUNTIFS(DATOS_[Sexo],$B25,DATOS_[AGRUP. CLAS. PROF.],$B24,DATOS_[Check Periodo Ref.],"Dentro",DATOS_[id],DATOS_[id]))))))</f>
        <v>0</v>
      </c>
      <c r="D25" s="207" t="n">
        <f aca="false">COUNTIFS(DATOS_[AGRUP. CLAS. PROF.],$B24,DATOS_[Sexo],$B25,DATOS_[Check Periodo Ref.],"Dentro")</f>
        <v>0</v>
      </c>
      <c r="E25" s="208" t="n">
        <f aca="false" t="array" ref="E25:E25">IFERROR( AVERAGE(IF(DATOS_[Sexo]=$B25,IF(DATOS_[AGRUP. CLAS. PROF.]=$B24,IF(DATOS_[Check Periodo Ref.]="Dentro",DATOS_[SALARIO BASE Ef],0)))), 0)</f>
        <v>0</v>
      </c>
      <c r="F25" s="209" t="n">
        <f aca="false" t="array" ref="F25:F25">IFERROR( AVERAGE((IF(DATOS_[[Sexo]:[Sexo]]=$B25,IF(DATOS_[[AGRUP. CLAS. PROF.]:[AGRUP. CLAS. PROF.]]=$B24,IF(DATOS_[[Check Periodo Ref.]:[Check Periodo Ref.]]="Dentro",DATOS_[Conc.Sal.01]))))), 0)</f>
        <v>0</v>
      </c>
      <c r="G25" s="209" t="n">
        <f aca="false" t="array" ref="G25:G25">IFERROR( AVERAGE((IF(DATOS_[[Sexo]:[Sexo]]=$B25,IF(DATOS_[[AGRUP. CLAS. PROF.]:[AGRUP. CLAS. PROF.]]=$B24,IF(DATOS_[[Check Periodo Ref.]:[Check Periodo Ref.]]="Dentro",DATOS_[Conc.Sal.02]))))), 0)</f>
        <v>0</v>
      </c>
      <c r="H25" s="209" t="n">
        <f aca="false" t="array" ref="H25:H25">IFERROR( AVERAGE((IF(DATOS_[[Sexo]:[Sexo]]=$B25,IF(DATOS_[[AGRUP. CLAS. PROF.]:[AGRUP. CLAS. PROF.]]=$B24,IF(DATOS_[[Check Periodo Ref.]:[Check Periodo Ref.]]="Dentro",DATOS_[Conc.Sal.03]))))), 0)</f>
        <v>0</v>
      </c>
      <c r="I25" s="209" t="n">
        <f aca="false" t="array" ref="I25:I25">IFERROR( AVERAGE((IF(DATOS_[[Sexo]:[Sexo]]=$B25,IF(DATOS_[[AGRUP. CLAS. PROF.]:[AGRUP. CLAS. PROF.]]=$B24,IF(DATOS_[[Check Periodo Ref.]:[Check Periodo Ref.]]="Dentro",DATOS_[Conc.Sal.04]))))), 0)</f>
        <v>0</v>
      </c>
      <c r="J25" s="209" t="n">
        <f aca="false" t="array" ref="J25:J25">IFERROR( AVERAGE((IF(DATOS_[[Sexo]:[Sexo]]=$B25,IF(DATOS_[[AGRUP. CLAS. PROF.]:[AGRUP. CLAS. PROF.]]=$B24,IF(DATOS_[[Check Periodo Ref.]:[Check Periodo Ref.]]="Dentro",DATOS_[Conc.Sal.05]))))), 0)</f>
        <v>0</v>
      </c>
      <c r="K25" s="209" t="n">
        <f aca="false" t="array" ref="K25:K25">IFERROR( AVERAGE((IF(DATOS_[[Sexo]:[Sexo]]=$B25,IF(DATOS_[[AGRUP. CLAS. PROF.]:[AGRUP. CLAS. PROF.]]=$B24,IF(DATOS_[[Check Periodo Ref.]:[Check Periodo Ref.]]="Dentro",DATOS_[Conc.Sal.06]))))), 0)</f>
        <v>0</v>
      </c>
      <c r="L25" s="209" t="n">
        <f aca="false" t="array" ref="L25:L25">IFERROR( AVERAGE((IF(DATOS_[[Sexo]:[Sexo]]=$B25,IF(DATOS_[[AGRUP. CLAS. PROF.]:[AGRUP. CLAS. PROF.]]=$B24,IF(DATOS_[[Check Periodo Ref.]:[Check Periodo Ref.]]="Dentro",DATOS_[Conc.Sal.07]))))), 0)</f>
        <v>0</v>
      </c>
      <c r="M25" s="209" t="n">
        <f aca="false" t="array" ref="M25:M25">IFERROR( AVERAGE((IF(DATOS_[[Sexo]:[Sexo]]=$B25,IF(DATOS_[[AGRUP. CLAS. PROF.]:[AGRUP. CLAS. PROF.]]=$B24,IF(DATOS_[[Check Periodo Ref.]:[Check Periodo Ref.]]="Dentro",DATOS_[Conc.Sal.08]))))), 0)</f>
        <v>0</v>
      </c>
      <c r="N25" s="209" t="n">
        <f aca="false" t="array" ref="N25:N25">IFERROR( AVERAGE((IF(DATOS_[[Sexo]:[Sexo]]=$B25,IF(DATOS_[[AGRUP. CLAS. PROF.]:[AGRUP. CLAS. PROF.]]=$B24,IF(DATOS_[[Check Periodo Ref.]:[Check Periodo Ref.]]="Dentro",DATOS_[Conc.Sal.09]))))), 0)</f>
        <v>0</v>
      </c>
      <c r="O25" s="209" t="n">
        <f aca="false" t="array" ref="O25:O25">IFERROR( AVERAGE((IF(DATOS_[[Sexo]:[Sexo]]=$B25,IF(DATOS_[[AGRUP. CLAS. PROF.]:[AGRUP. CLAS. PROF.]]=$B24,IF(DATOS_[[Check Periodo Ref.]:[Check Periodo Ref.]]="Dentro",DATOS_[Conc.Sal.10]))))), 0)</f>
        <v>0</v>
      </c>
      <c r="P25" s="209" t="n">
        <f aca="false" t="array" ref="P25:P25">IFERROR( AVERAGE((IF(DATOS_[[Sexo]:[Sexo]]=$B25,IF(DATOS_[[AGRUP. CLAS. PROF.]:[AGRUP. CLAS. PROF.]]=$B24,IF(DATOS_[[Check Periodo Ref.]:[Check Periodo Ref.]]="Dentro",DATOS_[Conc.Sal.11]))))), 0)</f>
        <v>0</v>
      </c>
      <c r="Q25" s="209" t="n">
        <f aca="false" t="array" ref="Q25:Q25">IFERROR( AVERAGE((IF(DATOS_[[Sexo]:[Sexo]]=$B25,IF(DATOS_[[AGRUP. CLAS. PROF.]:[AGRUP. CLAS. PROF.]]=$B24,IF(DATOS_[[Check Periodo Ref.]:[Check Periodo Ref.]]="Dentro",DATOS_[Conc.Sal.12]))))), 0)</f>
        <v>0</v>
      </c>
      <c r="R25" s="209" t="n">
        <f aca="false" t="array" ref="R25:R25">IFERROR( AVERAGE((IF(DATOS_[[Sexo]:[Sexo]]=$B25,IF(DATOS_[[AGRUP. CLAS. PROF.]:[AGRUP. CLAS. PROF.]]=$B24,IF(DATOS_[[Check Periodo Ref.]:[Check Periodo Ref.]]="Dentro",DATOS_[Conc.Sal.13]))))), 0)</f>
        <v>0</v>
      </c>
      <c r="S25" s="209" t="n">
        <f aca="false" t="array" ref="S25:S25">IFERROR( AVERAGE((IF(DATOS_[[Sexo]:[Sexo]]=$B25,IF(DATOS_[[AGRUP. CLAS. PROF.]:[AGRUP. CLAS. PROF.]]=$B24,IF(DATOS_[[Check Periodo Ref.]:[Check Periodo Ref.]]="Dentro",DATOS_[Conc.Sal.14]))))), 0)</f>
        <v>0</v>
      </c>
      <c r="T25" s="209" t="n">
        <f aca="false" t="array" ref="T25:T25">IFERROR( AVERAGE((IF(DATOS_[[Sexo]:[Sexo]]=$B25,IF(DATOS_[[AGRUP. CLAS. PROF.]:[AGRUP. CLAS. PROF.]]=$B24,IF(DATOS_[[Check Periodo Ref.]:[Check Periodo Ref.]]="Dentro",DATOS_[Conc.Sal.15]))))), 0)</f>
        <v>0</v>
      </c>
      <c r="U25" s="209" t="n">
        <f aca="false" t="array" ref="U25:U25">IFERROR( AVERAGE((IF(DATOS_[[Sexo]:[Sexo]]=$B25,IF(DATOS_[[AGRUP. CLAS. PROF.]:[AGRUP. CLAS. PROF.]]=$B24,IF(DATOS_[[Check Periodo Ref.]:[Check Periodo Ref.]]="Dentro",DATOS_[Conc.Sal.16]))))), 0)</f>
        <v>0</v>
      </c>
      <c r="V25" s="209" t="n">
        <f aca="false" t="array" ref="V25:V25">IFERROR( AVERAGE((IF(DATOS_[[Sexo]:[Sexo]]=$B25,IF(DATOS_[[AGRUP. CLAS. PROF.]:[AGRUP. CLAS. PROF.]]=$B24,IF(DATOS_[[Check Periodo Ref.]:[Check Periodo Ref.]]="Dentro",DATOS_[Conc.Sal.17]))))), 0)</f>
        <v>0</v>
      </c>
      <c r="W25" s="209" t="n">
        <f aca="false" t="array" ref="W25:W25">IFERROR( AVERAGE((IF(DATOS_[[Sexo]:[Sexo]]=$B25,IF(DATOS_[[AGRUP. CLAS. PROF.]:[AGRUP. CLAS. PROF.]]=$B24,IF(DATOS_[[Check Periodo Ref.]:[Check Periodo Ref.]]="Dentro",DATOS_[Conc.Sal.18]))))), 0)</f>
        <v>0</v>
      </c>
      <c r="X25" s="209" t="n">
        <f aca="false" t="array" ref="X25:X25">IFERROR( AVERAGE((IF(DATOS_[[Sexo]:[Sexo]]=$B25,IF(DATOS_[[AGRUP. CLAS. PROF.]:[AGRUP. CLAS. PROF.]]=$B24,IF(DATOS_[[Check Periodo Ref.]:[Check Periodo Ref.]]="Dentro",DATOS_[Conc.Sal.19]))))), 0)</f>
        <v>0</v>
      </c>
      <c r="Y25" s="209" t="n">
        <f aca="false" t="array" ref="Y25:Y25">IFERROR( AVERAGE((IF(DATOS_[[Sexo]:[Sexo]]=$B25,IF(DATOS_[[AGRUP. CLAS. PROF.]:[AGRUP. CLAS. PROF.]]=$B24,IF(DATOS_[[Check Periodo Ref.]:[Check Periodo Ref.]]="Dentro",DATOS_[Conc.Sal.20]))))), 0)</f>
        <v>0</v>
      </c>
      <c r="Z25" s="209" t="n">
        <f aca="false" t="array" ref="Z25:Z25">IFERROR( AVERAGE((IF(DATOS_[[Sexo]:[Sexo]]=$B25,IF(DATOS_[[AGRUP. CLAS. PROF.]:[AGRUP. CLAS. PROF.]]=$B24,IF(DATOS_[[Check Periodo Ref.]:[Check Periodo Ref.]]="Dentro",DATOS_[Conc.Sal.21]))))), 0)</f>
        <v>0</v>
      </c>
      <c r="AA25" s="209" t="n">
        <f aca="false" t="array" ref="AA25:AA25">IFERROR( AVERAGE((IF(DATOS_[[Sexo]:[Sexo]]=$B25,IF(DATOS_[[AGRUP. CLAS. PROF.]:[AGRUP. CLAS. PROF.]]=$B24,IF(DATOS_[[Check Periodo Ref.]:[Check Periodo Ref.]]="Dentro",DATOS_[Conc.Sal.22]))))), 0)</f>
        <v>0</v>
      </c>
      <c r="AB25" s="209" t="n">
        <f aca="false" t="array" ref="AB25:AB25">IFERROR( AVERAGE((IF(DATOS_[[Sexo]:[Sexo]]=$B25,IF(DATOS_[[AGRUP. CLAS. PROF.]:[AGRUP. CLAS. PROF.]]=$B24,IF(DATOS_[[Check Periodo Ref.]:[Check Periodo Ref.]]="Dentro",DATOS_[Conc.Sal.23]))))), 0)</f>
        <v>0</v>
      </c>
      <c r="AC25" s="209" t="n">
        <f aca="false" t="array" ref="AC25:AC25">IFERROR( AVERAGE((IF(DATOS_[[Sexo]:[Sexo]]=$B25,IF(DATOS_[[AGRUP. CLAS. PROF.]:[AGRUP. CLAS. PROF.]]=$B24,IF(DATOS_[[Check Periodo Ref.]:[Check Periodo Ref.]]="Dentro",DATOS_[Conc.Sal.24]))))), 0)</f>
        <v>0</v>
      </c>
      <c r="AD25" s="209" t="n">
        <f aca="false" t="array" ref="AD25:AD25">IFERROR( AVERAGE((IF(DATOS_[[Sexo]:[Sexo]]=$B25,IF(DATOS_[[AGRUP. CLAS. PROF.]:[AGRUP. CLAS. PROF.]]=$B24,IF(DATOS_[[Check Periodo Ref.]:[Check Periodo Ref.]]="Dentro",DATOS_[Conc.Sal.25]))))), 0)</f>
        <v>0</v>
      </c>
      <c r="AE25" s="209" t="n">
        <f aca="false" t="array" ref="AE25:AE25">IFERROR( AVERAGE((IF(DATOS_[[Sexo]:[Sexo]]=$B25,IF(DATOS_[[AGRUP. CLAS. PROF.]:[AGRUP. CLAS. PROF.]]=$B24,IF(DATOS_[[Check Periodo Ref.]:[Check Periodo Ref.]]="Dentro",DATOS_[Conc.Sal.26]))))), 0)</f>
        <v>0</v>
      </c>
      <c r="AF25" s="209" t="n">
        <f aca="false" t="array" ref="AF25:AF25">IFERROR( AVERAGE((IF(DATOS_[[Sexo]:[Sexo]]=$B25,IF(DATOS_[[AGRUP. CLAS. PROF.]:[AGRUP. CLAS. PROF.]]=$B24,IF(DATOS_[[Check Periodo Ref.]:[Check Periodo Ref.]]="Dentro",DATOS_[Conc.Sal.27]))))), 0)</f>
        <v>0</v>
      </c>
      <c r="AG25" s="209" t="n">
        <f aca="false" t="array" ref="AG25:AG25">IFERROR( AVERAGE((IF(DATOS_[[Sexo]:[Sexo]]=$B25,IF(DATOS_[[AGRUP. CLAS. PROF.]:[AGRUP. CLAS. PROF.]]=$B24,IF(DATOS_[[Check Periodo Ref.]:[Check Periodo Ref.]]="Dentro",DATOS_[Conc.Sal.28]))))), 0)</f>
        <v>0</v>
      </c>
      <c r="AH25" s="209" t="n">
        <f aca="false" t="array" ref="AH25:AH25">IFERROR( AVERAGE((IF(DATOS_[[Sexo]:[Sexo]]=$B25,IF(DATOS_[[AGRUP. CLAS. PROF.]:[AGRUP. CLAS. PROF.]]=$B24,IF(DATOS_[[Check Periodo Ref.]:[Check Periodo Ref.]]="Dentro",DATOS_[Conc.Sal.29]))))), 0)</f>
        <v>0</v>
      </c>
      <c r="AI25" s="209" t="n">
        <f aca="false" t="array" ref="AI25:AI25">IFERROR( AVERAGE((IF(DATOS_[[Sexo]:[Sexo]]=$B25,IF(DATOS_[[AGRUP. CLAS. PROF.]:[AGRUP. CLAS. PROF.]]=$B24,IF(DATOS_[[Check Periodo Ref.]:[Check Periodo Ref.]]="Dentro",DATOS_[Conc.Sal.30]))))), 0)</f>
        <v>0</v>
      </c>
      <c r="AJ25" s="210" t="n">
        <f aca="false" t="array" ref="AJ25:AJ25">IFERROR( AVERAGE(IF(DATOS_[Sexo]=$B25,IF(DATOS_[AGRUP. CLAS. PROF.]=$B24,IF(DATOS_[Check Periodo Ref.]="Dentro",DATOS_[Tot COMPL.SAL Ef],0)))), 0)</f>
        <v>0</v>
      </c>
      <c r="AK25" s="211" t="n">
        <f aca="false" t="array" ref="AK25:AK25">IFERROR( AVERAGE(IF(DATOS_[Sexo]=$B25,IF(DATOS_[AGRUP. CLAS. PROF.]=$B24,IF(DATOS_[Check Periodo Ref.]="Dentro",DATOS_[TOTAL SALARIO Ef],0)))), 0)</f>
        <v>0</v>
      </c>
      <c r="AL25" s="212" t="n">
        <f aca="false" t="array" ref="AL25:AL25">IFERROR( AVERAGE((IF(DATOS_[[Sexo]:[Sexo]]=$B25,IF(DATOS_[[AGRUP. CLAS. PROF.]:[AGRUP. CLAS. PROF.]]=$B24,IF(DATOS_[[Check Periodo Ref.]:[Check Periodo Ref.]]="Dentro",DATOS_[C.Extra.01]))))), 0)</f>
        <v>0</v>
      </c>
      <c r="AM25" s="212" t="n">
        <f aca="false" t="array" ref="AM25:AM25">IFERROR( AVERAGE((IF(DATOS_[[Sexo]:[Sexo]]=$B25,IF(DATOS_[[AGRUP. CLAS. PROF.]:[AGRUP. CLAS. PROF.]]=$B24,IF(DATOS_[[Check Periodo Ref.]:[Check Periodo Ref.]]="Dentro",DATOS_[C.Extra.02]))))), 0)</f>
        <v>0</v>
      </c>
      <c r="AN25" s="212" t="n">
        <f aca="false" t="array" ref="AN25:AN25">IFERROR( AVERAGE((IF(DATOS_[[Sexo]:[Sexo]]=$B25,IF(DATOS_[[AGRUP. CLAS. PROF.]:[AGRUP. CLAS. PROF.]]=$B24,IF(DATOS_[[Check Periodo Ref.]:[Check Periodo Ref.]]="Dentro",DATOS_[C.Extra.03]))))), 0)</f>
        <v>0</v>
      </c>
      <c r="AO25" s="212" t="n">
        <f aca="false" t="array" ref="AO25:AO25">IFERROR( AVERAGE((IF(DATOS_[[Sexo]:[Sexo]]=$B25,IF(DATOS_[[AGRUP. CLAS. PROF.]:[AGRUP. CLAS. PROF.]]=$B24,IF(DATOS_[[Check Periodo Ref.]:[Check Periodo Ref.]]="Dentro",DATOS_[C.Extra.04]))))), 0)</f>
        <v>0</v>
      </c>
      <c r="AP25" s="212" t="n">
        <f aca="false" t="array" ref="AP25:AP25">IFERROR( AVERAGE((IF(DATOS_[[Sexo]:[Sexo]]=$B25,IF(DATOS_[[AGRUP. CLAS. PROF.]:[AGRUP. CLAS. PROF.]]=$B24,IF(DATOS_[[Check Periodo Ref.]:[Check Periodo Ref.]]="Dentro",DATOS_[C.Extra.05]))))), 0)</f>
        <v>0</v>
      </c>
      <c r="AQ25" s="213" t="n">
        <f aca="false" t="array" ref="AQ25:AQ25">IFERROR( AVERAGE(IF(DATOS_[Sexo]=$B25,IF(DATOS_[AGRUP. CLAS. PROF.]=$B24,IF(DATOS_[Check Periodo Ref.]="Dentro",DATOS_[Tot Extrasalarial Ef],0)))), 0)</f>
        <v>0</v>
      </c>
      <c r="AR25" s="214" t="n">
        <f aca="false" t="array" ref="AR25:AR25">IFERROR( AVERAGE(IF(DATOS_[Sexo]=$B25,IF(DATOS_[AGRUP. CLAS. PROF.]=$B24,IF(DATOS_[Check Periodo Ref.]="Dentro",DATOS_[TOTAL Retrib Ef],0)))), 0)</f>
        <v>0</v>
      </c>
    </row>
    <row r="26" customFormat="false" ht="14.25" hidden="false" customHeight="false" outlineLevel="0" collapsed="false">
      <c r="A26" s="191" t="str">
        <f aca="false">+A25</f>
        <v>[ocultar]</v>
      </c>
      <c r="B26" s="205" t="s">
        <v>372</v>
      </c>
      <c r="C26" s="206" t="n">
        <f aca="false" t="array" ref="C26:C26">SUM(IF($B26=DATOS_[Sexo], IF($B24=DATOS_[AGRUP. CLAS. PROF.], IF("Dentro"=DATOS_[Check Periodo Ref.], 1/(COUNTIFS(DATOS_[Sexo],$B26,DATOS_[AGRUP. CLAS. PROF.],$B24,DATOS_[Check Periodo Ref.],"Dentro",DATOS_[id],DATOS_[id]))))))</f>
        <v>0</v>
      </c>
      <c r="D26" s="207" t="n">
        <f aca="false">COUNTIFS(DATOS_[AGRUP. CLAS. PROF.],$B24,DATOS_[Sexo],$B26,DATOS_[Check Periodo Ref.],"Dentro")</f>
        <v>0</v>
      </c>
      <c r="E26" s="208" t="n">
        <f aca="false" t="array" ref="E26:E26">IFERROR( AVERAGE(IF(DATOS_[Sexo]=$B26,IF(DATOS_[AGRUP. CLAS. PROF.]=$B24,IF(DATOS_[Check Periodo Ref.]="Dentro",DATOS_[SALARIO BASE Ef],0)))), 0)</f>
        <v>0</v>
      </c>
      <c r="F26" s="209" t="n">
        <f aca="false" t="array" ref="F26:F26">IFERROR( AVERAGE((IF(DATOS_[[Sexo]:[Sexo]]=$B26,IF(DATOS_[[AGRUP. CLAS. PROF.]:[AGRUP. CLAS. PROF.]]=$B24,IF(DATOS_[[Check Periodo Ref.]:[Check Periodo Ref.]]="Dentro",DATOS_[Conc.Sal.01]))))), 0)</f>
        <v>0</v>
      </c>
      <c r="G26" s="209" t="n">
        <f aca="false" t="array" ref="G26:G26">IFERROR( AVERAGE((IF(DATOS_[[Sexo]:[Sexo]]=$B26,IF(DATOS_[[AGRUP. CLAS. PROF.]:[AGRUP. CLAS. PROF.]]=$B24,IF(DATOS_[[Check Periodo Ref.]:[Check Periodo Ref.]]="Dentro",DATOS_[Conc.Sal.02]))))), 0)</f>
        <v>0</v>
      </c>
      <c r="H26" s="209" t="n">
        <f aca="false" t="array" ref="H26:H26">IFERROR( AVERAGE((IF(DATOS_[[Sexo]:[Sexo]]=$B26,IF(DATOS_[[AGRUP. CLAS. PROF.]:[AGRUP. CLAS. PROF.]]=$B24,IF(DATOS_[[Check Periodo Ref.]:[Check Periodo Ref.]]="Dentro",DATOS_[Conc.Sal.03]))))), 0)</f>
        <v>0</v>
      </c>
      <c r="I26" s="209" t="n">
        <f aca="false" t="array" ref="I26:I26">IFERROR( AVERAGE((IF(DATOS_[[Sexo]:[Sexo]]=$B26,IF(DATOS_[[AGRUP. CLAS. PROF.]:[AGRUP. CLAS. PROF.]]=$B24,IF(DATOS_[[Check Periodo Ref.]:[Check Periodo Ref.]]="Dentro",DATOS_[Conc.Sal.04]))))), 0)</f>
        <v>0</v>
      </c>
      <c r="J26" s="209" t="n">
        <f aca="false" t="array" ref="J26:J26">IFERROR( AVERAGE((IF(DATOS_[[Sexo]:[Sexo]]=$B26,IF(DATOS_[[AGRUP. CLAS. PROF.]:[AGRUP. CLAS. PROF.]]=$B24,IF(DATOS_[[Check Periodo Ref.]:[Check Periodo Ref.]]="Dentro",DATOS_[Conc.Sal.05]))))), 0)</f>
        <v>0</v>
      </c>
      <c r="K26" s="209" t="n">
        <f aca="false" t="array" ref="K26:K26">IFERROR( AVERAGE((IF(DATOS_[[Sexo]:[Sexo]]=$B26,IF(DATOS_[[AGRUP. CLAS. PROF.]:[AGRUP. CLAS. PROF.]]=$B24,IF(DATOS_[[Check Periodo Ref.]:[Check Periodo Ref.]]="Dentro",DATOS_[Conc.Sal.06]))))), 0)</f>
        <v>0</v>
      </c>
      <c r="L26" s="209" t="n">
        <f aca="false" t="array" ref="L26:L26">IFERROR( AVERAGE((IF(DATOS_[[Sexo]:[Sexo]]=$B26,IF(DATOS_[[AGRUP. CLAS. PROF.]:[AGRUP. CLAS. PROF.]]=$B24,IF(DATOS_[[Check Periodo Ref.]:[Check Periodo Ref.]]="Dentro",DATOS_[Conc.Sal.07]))))), 0)</f>
        <v>0</v>
      </c>
      <c r="M26" s="209" t="n">
        <f aca="false" t="array" ref="M26:M26">IFERROR( AVERAGE((IF(DATOS_[[Sexo]:[Sexo]]=$B26,IF(DATOS_[[AGRUP. CLAS. PROF.]:[AGRUP. CLAS. PROF.]]=$B24,IF(DATOS_[[Check Periodo Ref.]:[Check Periodo Ref.]]="Dentro",DATOS_[Conc.Sal.08]))))), 0)</f>
        <v>0</v>
      </c>
      <c r="N26" s="209" t="n">
        <f aca="false" t="array" ref="N26:N26">IFERROR( AVERAGE((IF(DATOS_[[Sexo]:[Sexo]]=$B26,IF(DATOS_[[AGRUP. CLAS. PROF.]:[AGRUP. CLAS. PROF.]]=$B24,IF(DATOS_[[Check Periodo Ref.]:[Check Periodo Ref.]]="Dentro",DATOS_[Conc.Sal.09]))))), 0)</f>
        <v>0</v>
      </c>
      <c r="O26" s="209" t="n">
        <f aca="false" t="array" ref="O26:O26">IFERROR( AVERAGE((IF(DATOS_[[Sexo]:[Sexo]]=$B26,IF(DATOS_[[AGRUP. CLAS. PROF.]:[AGRUP. CLAS. PROF.]]=$B24,IF(DATOS_[[Check Periodo Ref.]:[Check Periodo Ref.]]="Dentro",DATOS_[Conc.Sal.10]))))), 0)</f>
        <v>0</v>
      </c>
      <c r="P26" s="209" t="n">
        <f aca="false" t="array" ref="P26:P26">IFERROR( AVERAGE((IF(DATOS_[[Sexo]:[Sexo]]=$B26,IF(DATOS_[[AGRUP. CLAS. PROF.]:[AGRUP. CLAS. PROF.]]=$B24,IF(DATOS_[[Check Periodo Ref.]:[Check Periodo Ref.]]="Dentro",DATOS_[Conc.Sal.11]))))), 0)</f>
        <v>0</v>
      </c>
      <c r="Q26" s="209" t="n">
        <f aca="false" t="array" ref="Q26:Q26">IFERROR( AVERAGE((IF(DATOS_[[Sexo]:[Sexo]]=$B26,IF(DATOS_[[AGRUP. CLAS. PROF.]:[AGRUP. CLAS. PROF.]]=$B24,IF(DATOS_[[Check Periodo Ref.]:[Check Periodo Ref.]]="Dentro",DATOS_[Conc.Sal.12]))))), 0)</f>
        <v>0</v>
      </c>
      <c r="R26" s="209" t="n">
        <f aca="false" t="array" ref="R26:R26">IFERROR( AVERAGE((IF(DATOS_[[Sexo]:[Sexo]]=$B26,IF(DATOS_[[AGRUP. CLAS. PROF.]:[AGRUP. CLAS. PROF.]]=$B24,IF(DATOS_[[Check Periodo Ref.]:[Check Periodo Ref.]]="Dentro",DATOS_[Conc.Sal.13]))))), 0)</f>
        <v>0</v>
      </c>
      <c r="S26" s="209" t="n">
        <f aca="false" t="array" ref="S26:S26">IFERROR( AVERAGE((IF(DATOS_[[Sexo]:[Sexo]]=$B26,IF(DATOS_[[AGRUP. CLAS. PROF.]:[AGRUP. CLAS. PROF.]]=$B24,IF(DATOS_[[Check Periodo Ref.]:[Check Periodo Ref.]]="Dentro",DATOS_[Conc.Sal.14]))))), 0)</f>
        <v>0</v>
      </c>
      <c r="T26" s="209" t="n">
        <f aca="false" t="array" ref="T26:T26">IFERROR( AVERAGE((IF(DATOS_[[Sexo]:[Sexo]]=$B26,IF(DATOS_[[AGRUP. CLAS. PROF.]:[AGRUP. CLAS. PROF.]]=$B24,IF(DATOS_[[Check Periodo Ref.]:[Check Periodo Ref.]]="Dentro",DATOS_[Conc.Sal.15]))))), 0)</f>
        <v>0</v>
      </c>
      <c r="U26" s="209" t="n">
        <f aca="false" t="array" ref="U26:U26">IFERROR( AVERAGE((IF(DATOS_[[Sexo]:[Sexo]]=$B26,IF(DATOS_[[AGRUP. CLAS. PROF.]:[AGRUP. CLAS. PROF.]]=$B24,IF(DATOS_[[Check Periodo Ref.]:[Check Periodo Ref.]]="Dentro",DATOS_[Conc.Sal.16]))))), 0)</f>
        <v>0</v>
      </c>
      <c r="V26" s="209" t="n">
        <f aca="false" t="array" ref="V26:V26">IFERROR( AVERAGE((IF(DATOS_[[Sexo]:[Sexo]]=$B26,IF(DATOS_[[AGRUP. CLAS. PROF.]:[AGRUP. CLAS. PROF.]]=$B24,IF(DATOS_[[Check Periodo Ref.]:[Check Periodo Ref.]]="Dentro",DATOS_[Conc.Sal.17]))))), 0)</f>
        <v>0</v>
      </c>
      <c r="W26" s="209" t="n">
        <f aca="false" t="array" ref="W26:W26">IFERROR( AVERAGE((IF(DATOS_[[Sexo]:[Sexo]]=$B26,IF(DATOS_[[AGRUP. CLAS. PROF.]:[AGRUP. CLAS. PROF.]]=$B24,IF(DATOS_[[Check Periodo Ref.]:[Check Periodo Ref.]]="Dentro",DATOS_[Conc.Sal.18]))))), 0)</f>
        <v>0</v>
      </c>
      <c r="X26" s="209" t="n">
        <f aca="false" t="array" ref="X26:X26">IFERROR( AVERAGE((IF(DATOS_[[Sexo]:[Sexo]]=$B26,IF(DATOS_[[AGRUP. CLAS. PROF.]:[AGRUP. CLAS. PROF.]]=$B24,IF(DATOS_[[Check Periodo Ref.]:[Check Periodo Ref.]]="Dentro",DATOS_[Conc.Sal.19]))))), 0)</f>
        <v>0</v>
      </c>
      <c r="Y26" s="209" t="n">
        <f aca="false" t="array" ref="Y26:Y26">IFERROR( AVERAGE((IF(DATOS_[[Sexo]:[Sexo]]=$B26,IF(DATOS_[[AGRUP. CLAS. PROF.]:[AGRUP. CLAS. PROF.]]=$B24,IF(DATOS_[[Check Periodo Ref.]:[Check Periodo Ref.]]="Dentro",DATOS_[Conc.Sal.20]))))), 0)</f>
        <v>0</v>
      </c>
      <c r="Z26" s="209" t="n">
        <f aca="false" t="array" ref="Z26:Z26">IFERROR( AVERAGE((IF(DATOS_[[Sexo]:[Sexo]]=$B26,IF(DATOS_[[AGRUP. CLAS. PROF.]:[AGRUP. CLAS. PROF.]]=$B24,IF(DATOS_[[Check Periodo Ref.]:[Check Periodo Ref.]]="Dentro",DATOS_[Conc.Sal.21]))))), 0)</f>
        <v>0</v>
      </c>
      <c r="AA26" s="209" t="n">
        <f aca="false" t="array" ref="AA26:AA26">IFERROR( AVERAGE((IF(DATOS_[[Sexo]:[Sexo]]=$B26,IF(DATOS_[[AGRUP. CLAS. PROF.]:[AGRUP. CLAS. PROF.]]=$B24,IF(DATOS_[[Check Periodo Ref.]:[Check Periodo Ref.]]="Dentro",DATOS_[Conc.Sal.22]))))), 0)</f>
        <v>0</v>
      </c>
      <c r="AB26" s="209" t="n">
        <f aca="false" t="array" ref="AB26:AB26">IFERROR( AVERAGE((IF(DATOS_[[Sexo]:[Sexo]]=$B26,IF(DATOS_[[AGRUP. CLAS. PROF.]:[AGRUP. CLAS. PROF.]]=$B24,IF(DATOS_[[Check Periodo Ref.]:[Check Periodo Ref.]]="Dentro",DATOS_[Conc.Sal.23]))))), 0)</f>
        <v>0</v>
      </c>
      <c r="AC26" s="209" t="n">
        <f aca="false" t="array" ref="AC26:AC26">IFERROR( AVERAGE((IF(DATOS_[[Sexo]:[Sexo]]=$B26,IF(DATOS_[[AGRUP. CLAS. PROF.]:[AGRUP. CLAS. PROF.]]=$B24,IF(DATOS_[[Check Periodo Ref.]:[Check Periodo Ref.]]="Dentro",DATOS_[Conc.Sal.24]))))), 0)</f>
        <v>0</v>
      </c>
      <c r="AD26" s="209" t="n">
        <f aca="false" t="array" ref="AD26:AD26">IFERROR( AVERAGE((IF(DATOS_[[Sexo]:[Sexo]]=$B26,IF(DATOS_[[AGRUP. CLAS. PROF.]:[AGRUP. CLAS. PROF.]]=$B24,IF(DATOS_[[Check Periodo Ref.]:[Check Periodo Ref.]]="Dentro",DATOS_[Conc.Sal.25]))))), 0)</f>
        <v>0</v>
      </c>
      <c r="AE26" s="209" t="n">
        <f aca="false" t="array" ref="AE26:AE26">IFERROR( AVERAGE((IF(DATOS_[[Sexo]:[Sexo]]=$B26,IF(DATOS_[[AGRUP. CLAS. PROF.]:[AGRUP. CLAS. PROF.]]=$B24,IF(DATOS_[[Check Periodo Ref.]:[Check Periodo Ref.]]="Dentro",DATOS_[Conc.Sal.26]))))), 0)</f>
        <v>0</v>
      </c>
      <c r="AF26" s="209" t="n">
        <f aca="false" t="array" ref="AF26:AF26">IFERROR( AVERAGE((IF(DATOS_[[Sexo]:[Sexo]]=$B26,IF(DATOS_[[AGRUP. CLAS. PROF.]:[AGRUP. CLAS. PROF.]]=$B24,IF(DATOS_[[Check Periodo Ref.]:[Check Periodo Ref.]]="Dentro",DATOS_[Conc.Sal.27]))))), 0)</f>
        <v>0</v>
      </c>
      <c r="AG26" s="209" t="n">
        <f aca="false" t="array" ref="AG26:AG26">IFERROR( AVERAGE((IF(DATOS_[[Sexo]:[Sexo]]=$B26,IF(DATOS_[[AGRUP. CLAS. PROF.]:[AGRUP. CLAS. PROF.]]=$B24,IF(DATOS_[[Check Periodo Ref.]:[Check Periodo Ref.]]="Dentro",DATOS_[Conc.Sal.28]))))), 0)</f>
        <v>0</v>
      </c>
      <c r="AH26" s="209" t="n">
        <f aca="false" t="array" ref="AH26:AH26">IFERROR( AVERAGE((IF(DATOS_[[Sexo]:[Sexo]]=$B26,IF(DATOS_[[AGRUP. CLAS. PROF.]:[AGRUP. CLAS. PROF.]]=$B24,IF(DATOS_[[Check Periodo Ref.]:[Check Periodo Ref.]]="Dentro",DATOS_[Conc.Sal.29]))))), 0)</f>
        <v>0</v>
      </c>
      <c r="AI26" s="209" t="n">
        <f aca="false" t="array" ref="AI26:AI26">IFERROR( AVERAGE((IF(DATOS_[[Sexo]:[Sexo]]=$B26,IF(DATOS_[[AGRUP. CLAS. PROF.]:[AGRUP. CLAS. PROF.]]=$B24,IF(DATOS_[[Check Periodo Ref.]:[Check Periodo Ref.]]="Dentro",DATOS_[Conc.Sal.30]))))), 0)</f>
        <v>0</v>
      </c>
      <c r="AJ26" s="210" t="n">
        <f aca="false" t="array" ref="AJ26:AJ26">IFERROR( AVERAGE(IF(DATOS_[Sexo]=$B26,IF(DATOS_[AGRUP. CLAS. PROF.]=$B24,IF(DATOS_[Check Periodo Ref.]="Dentro",DATOS_[Tot COMPL.SAL Ef],0)))), 0)</f>
        <v>0</v>
      </c>
      <c r="AK26" s="211" t="n">
        <f aca="false" t="array" ref="AK26:AK26">IFERROR( AVERAGE(IF(DATOS_[Sexo]=$B26,IF(DATOS_[AGRUP. CLAS. PROF.]=$B24,IF(DATOS_[Check Periodo Ref.]="Dentro",DATOS_[TOTAL SALARIO Ef],0)))), 0)</f>
        <v>0</v>
      </c>
      <c r="AL26" s="212" t="n">
        <f aca="false" t="array" ref="AL26:AL26">IFERROR( AVERAGE((IF(DATOS_[[Sexo]:[Sexo]]=$B26,IF(DATOS_[[AGRUP. CLAS. PROF.]:[AGRUP. CLAS. PROF.]]=$B24,IF(DATOS_[[Check Periodo Ref.]:[Check Periodo Ref.]]="Dentro",DATOS_[C.Extra.01]))))), 0)</f>
        <v>0</v>
      </c>
      <c r="AM26" s="212" t="n">
        <f aca="false" t="array" ref="AM26:AM26">IFERROR( AVERAGE((IF(DATOS_[[Sexo]:[Sexo]]=$B26,IF(DATOS_[[AGRUP. CLAS. PROF.]:[AGRUP. CLAS. PROF.]]=$B24,IF(DATOS_[[Check Periodo Ref.]:[Check Periodo Ref.]]="Dentro",DATOS_[C.Extra.02]))))), 0)</f>
        <v>0</v>
      </c>
      <c r="AN26" s="212" t="n">
        <f aca="false" t="array" ref="AN26:AN26">IFERROR( AVERAGE((IF(DATOS_[[Sexo]:[Sexo]]=$B26,IF(DATOS_[[AGRUP. CLAS. PROF.]:[AGRUP. CLAS. PROF.]]=$B24,IF(DATOS_[[Check Periodo Ref.]:[Check Periodo Ref.]]="Dentro",DATOS_[C.Extra.03]))))), 0)</f>
        <v>0</v>
      </c>
      <c r="AO26" s="212" t="n">
        <f aca="false" t="array" ref="AO26:AO26">IFERROR( AVERAGE((IF(DATOS_[[Sexo]:[Sexo]]=$B26,IF(DATOS_[[AGRUP. CLAS. PROF.]:[AGRUP. CLAS. PROF.]]=$B24,IF(DATOS_[[Check Periodo Ref.]:[Check Periodo Ref.]]="Dentro",DATOS_[C.Extra.04]))))), 0)</f>
        <v>0</v>
      </c>
      <c r="AP26" s="212" t="n">
        <f aca="false" t="array" ref="AP26:AP26">IFERROR( AVERAGE((IF(DATOS_[[Sexo]:[Sexo]]=$B26,IF(DATOS_[[AGRUP. CLAS. PROF.]:[AGRUP. CLAS. PROF.]]=$B24,IF(DATOS_[[Check Periodo Ref.]:[Check Periodo Ref.]]="Dentro",DATOS_[C.Extra.05]))))), 0)</f>
        <v>0</v>
      </c>
      <c r="AQ26" s="213" t="n">
        <f aca="false" t="array" ref="AQ26:AQ26">IFERROR( AVERAGE(IF(DATOS_[Sexo]=$B26,IF(DATOS_[AGRUP. CLAS. PROF.]=$B24,IF(DATOS_[Check Periodo Ref.]="Dentro",DATOS_[Tot Extrasalarial Ef],0)))), 0)</f>
        <v>0</v>
      </c>
      <c r="AR26" s="214" t="n">
        <f aca="false" t="array" ref="AR26:AR26">IFERROR( AVERAGE(IF(DATOS_[Sexo]=$B26,IF(DATOS_[AGRUP. CLAS. PROF.]=$B24,IF(DATOS_[Check Periodo Ref.]="Dentro",DATOS_[TOTAL Retrib Ef],0)))), 0)</f>
        <v>0</v>
      </c>
    </row>
    <row r="27" customFormat="false" ht="15.75" hidden="false" customHeight="false" outlineLevel="0" collapsed="false">
      <c r="A27" s="191" t="str">
        <f aca="false">+A28</f>
        <v>[ocultar]</v>
      </c>
      <c r="B27" s="192" t="s">
        <v>181</v>
      </c>
      <c r="C27" s="193"/>
      <c r="D27" s="194"/>
      <c r="E27" s="195" t="str">
        <f aca="false">IFERROR((E28-E29)/E28,"")</f>
        <v/>
      </c>
      <c r="F27" s="196" t="str">
        <f aca="false">IFERROR((F28-F29)/F28,"")</f>
        <v/>
      </c>
      <c r="G27" s="197" t="str">
        <f aca="false">IFERROR((G28-G29)/G28,"")</f>
        <v/>
      </c>
      <c r="H27" s="197" t="str">
        <f aca="false">IFERROR((H28-H29)/H28,"")</f>
        <v/>
      </c>
      <c r="I27" s="197" t="str">
        <f aca="false">IFERROR((I28-I29)/I28,"")</f>
        <v/>
      </c>
      <c r="J27" s="198" t="str">
        <f aca="false">IFERROR((J28-J29)/J28,"")</f>
        <v/>
      </c>
      <c r="K27" s="199" t="str">
        <f aca="false">IFERROR((K28-K29)/K28,"")</f>
        <v/>
      </c>
      <c r="L27" s="199" t="str">
        <f aca="false">IFERROR((L28-L29)/L28,"")</f>
        <v/>
      </c>
      <c r="M27" s="199" t="str">
        <f aca="false">IFERROR((M28-M29)/M28,"")</f>
        <v/>
      </c>
      <c r="N27" s="199" t="str">
        <f aca="false">IFERROR((N28-N29)/N28,"")</f>
        <v/>
      </c>
      <c r="O27" s="199" t="str">
        <f aca="false">IFERROR((O28-O29)/O28,"")</f>
        <v/>
      </c>
      <c r="P27" s="199" t="str">
        <f aca="false">IFERROR((P28-P29)/P28,"")</f>
        <v/>
      </c>
      <c r="Q27" s="199" t="str">
        <f aca="false">IFERROR((Q28-Q29)/Q28,"")</f>
        <v/>
      </c>
      <c r="R27" s="199" t="str">
        <f aca="false">IFERROR((R28-R29)/R28,"")</f>
        <v/>
      </c>
      <c r="S27" s="199" t="str">
        <f aca="false">IFERROR((S28-S29)/S28,"")</f>
        <v/>
      </c>
      <c r="T27" s="199" t="str">
        <f aca="false">IFERROR((T28-T29)/T28,"")</f>
        <v/>
      </c>
      <c r="U27" s="199" t="str">
        <f aca="false">IFERROR((U28-U29)/U28,"")</f>
        <v/>
      </c>
      <c r="V27" s="198" t="str">
        <f aca="false">IFERROR((V28-V29)/V28,"")</f>
        <v/>
      </c>
      <c r="W27" s="198" t="str">
        <f aca="false">IFERROR((W28-W29)/W28,"")</f>
        <v/>
      </c>
      <c r="X27" s="198" t="str">
        <f aca="false">IFERROR((X28-X29)/X28,"")</f>
        <v/>
      </c>
      <c r="Y27" s="198" t="str">
        <f aca="false">IFERROR((Y28-Y29)/Y28,"")</f>
        <v/>
      </c>
      <c r="Z27" s="198" t="str">
        <f aca="false">IFERROR((Z28-Z29)/Z28,"")</f>
        <v/>
      </c>
      <c r="AA27" s="198" t="str">
        <f aca="false">IFERROR((AA28-AA29)/AA28,"")</f>
        <v/>
      </c>
      <c r="AB27" s="198" t="str">
        <f aca="false">IFERROR((AB28-AB29)/AB28,"")</f>
        <v/>
      </c>
      <c r="AC27" s="198" t="str">
        <f aca="false">IFERROR((AC28-AC29)/AC28,"")</f>
        <v/>
      </c>
      <c r="AD27" s="198" t="str">
        <f aca="false">IFERROR((AD28-AD29)/AD28,"")</f>
        <v/>
      </c>
      <c r="AE27" s="198" t="str">
        <f aca="false">IFERROR((AE28-AE29)/AE28,"")</f>
        <v/>
      </c>
      <c r="AF27" s="198" t="str">
        <f aca="false">IFERROR((AF28-AF29)/AF28,"")</f>
        <v/>
      </c>
      <c r="AG27" s="198" t="str">
        <f aca="false">IFERROR((AG28-AG29)/AG28,"")</f>
        <v/>
      </c>
      <c r="AH27" s="198" t="str">
        <f aca="false">IFERROR((AH28-AH29)/AH28,"")</f>
        <v/>
      </c>
      <c r="AI27" s="198" t="str">
        <f aca="false">IFERROR((AI28-AI29)/AI28,"")</f>
        <v/>
      </c>
      <c r="AJ27" s="200" t="str">
        <f aca="false">IFERROR((AJ28-AJ29)/AJ28,"")</f>
        <v/>
      </c>
      <c r="AK27" s="201" t="str">
        <f aca="false">IFERROR((AK28-AK29)/AK28,"")</f>
        <v/>
      </c>
      <c r="AL27" s="202" t="str">
        <f aca="false">IFERROR((AL28-AL29)/AL28,"")</f>
        <v/>
      </c>
      <c r="AM27" s="202" t="str">
        <f aca="false">IFERROR((AM28-AM29)/AM28,"")</f>
        <v/>
      </c>
      <c r="AN27" s="202" t="str">
        <f aca="false">IFERROR((AN28-AN29)/AN28,"")</f>
        <v/>
      </c>
      <c r="AO27" s="202" t="str">
        <f aca="false">IFERROR((AO28-AO29)/AO28,"")</f>
        <v/>
      </c>
      <c r="AP27" s="202" t="str">
        <f aca="false">IFERROR((AP28-AP29)/AP28,"")</f>
        <v/>
      </c>
      <c r="AQ27" s="203" t="str">
        <f aca="false">IFERROR((AQ28-AQ29)/AQ28,"")</f>
        <v/>
      </c>
      <c r="AR27" s="204" t="str">
        <f aca="false">IFERROR((AR28-AR29)/AR28,"")</f>
        <v/>
      </c>
    </row>
    <row r="28" customFormat="false" ht="14.25" hidden="false" customHeight="false" outlineLevel="0" collapsed="false">
      <c r="A28" s="191" t="str">
        <f aca="false">+IF(C28+C29=0,"[ocultar]","")</f>
        <v>[ocultar]</v>
      </c>
      <c r="B28" s="205" t="s">
        <v>371</v>
      </c>
      <c r="C28" s="206" t="n">
        <f aca="false" t="array" ref="C28:C28">SUM(IF($B28=DATOS_[Sexo], IF($B27=DATOS_[AGRUP. CLAS. PROF.], IF("Dentro"=DATOS_[Check Periodo Ref.], 1/(COUNTIFS(DATOS_[Sexo],$B28,DATOS_[AGRUP. CLAS. PROF.],$B27,DATOS_[Check Periodo Ref.],"Dentro",DATOS_[id],DATOS_[id]))))))</f>
        <v>0</v>
      </c>
      <c r="D28" s="207" t="n">
        <f aca="false">COUNTIFS(DATOS_[AGRUP. CLAS. PROF.],$B27,DATOS_[Sexo],$B28,DATOS_[Check Periodo Ref.],"Dentro")</f>
        <v>0</v>
      </c>
      <c r="E28" s="208" t="n">
        <f aca="false" t="array" ref="E28:E28">IFERROR( AVERAGE(IF(DATOS_[Sexo]=$B28,IF(DATOS_[AGRUP. CLAS. PROF.]=$B27,IF(DATOS_[Check Periodo Ref.]="Dentro",DATOS_[SALARIO BASE Ef],0)))), 0)</f>
        <v>0</v>
      </c>
      <c r="F28" s="209" t="n">
        <f aca="false" t="array" ref="F28:F28">IFERROR( AVERAGE((IF(DATOS_[[Sexo]:[Sexo]]=$B28,IF(DATOS_[[AGRUP. CLAS. PROF.]:[AGRUP. CLAS. PROF.]]=$B27,IF(DATOS_[[Check Periodo Ref.]:[Check Periodo Ref.]]="Dentro",DATOS_[Conc.Sal.01]))))), 0)</f>
        <v>0</v>
      </c>
      <c r="G28" s="209" t="n">
        <f aca="false" t="array" ref="G28:G28">IFERROR( AVERAGE((IF(DATOS_[[Sexo]:[Sexo]]=$B28,IF(DATOS_[[AGRUP. CLAS. PROF.]:[AGRUP. CLAS. PROF.]]=$B27,IF(DATOS_[[Check Periodo Ref.]:[Check Periodo Ref.]]="Dentro",DATOS_[Conc.Sal.02]))))), 0)</f>
        <v>0</v>
      </c>
      <c r="H28" s="209" t="n">
        <f aca="false" t="array" ref="H28:H28">IFERROR( AVERAGE((IF(DATOS_[[Sexo]:[Sexo]]=$B28,IF(DATOS_[[AGRUP. CLAS. PROF.]:[AGRUP. CLAS. PROF.]]=$B27,IF(DATOS_[[Check Periodo Ref.]:[Check Periodo Ref.]]="Dentro",DATOS_[Conc.Sal.03]))))), 0)</f>
        <v>0</v>
      </c>
      <c r="I28" s="209" t="n">
        <f aca="false" t="array" ref="I28:I28">IFERROR( AVERAGE((IF(DATOS_[[Sexo]:[Sexo]]=$B28,IF(DATOS_[[AGRUP. CLAS. PROF.]:[AGRUP. CLAS. PROF.]]=$B27,IF(DATOS_[[Check Periodo Ref.]:[Check Periodo Ref.]]="Dentro",DATOS_[Conc.Sal.04]))))), 0)</f>
        <v>0</v>
      </c>
      <c r="J28" s="209" t="n">
        <f aca="false" t="array" ref="J28:J28">IFERROR( AVERAGE((IF(DATOS_[[Sexo]:[Sexo]]=$B28,IF(DATOS_[[AGRUP. CLAS. PROF.]:[AGRUP. CLAS. PROF.]]=$B27,IF(DATOS_[[Check Periodo Ref.]:[Check Periodo Ref.]]="Dentro",DATOS_[Conc.Sal.05]))))), 0)</f>
        <v>0</v>
      </c>
      <c r="K28" s="209" t="n">
        <f aca="false" t="array" ref="K28:K28">IFERROR( AVERAGE((IF(DATOS_[[Sexo]:[Sexo]]=$B28,IF(DATOS_[[AGRUP. CLAS. PROF.]:[AGRUP. CLAS. PROF.]]=$B27,IF(DATOS_[[Check Periodo Ref.]:[Check Periodo Ref.]]="Dentro",DATOS_[Conc.Sal.06]))))), 0)</f>
        <v>0</v>
      </c>
      <c r="L28" s="209" t="n">
        <f aca="false" t="array" ref="L28:L28">IFERROR( AVERAGE((IF(DATOS_[[Sexo]:[Sexo]]=$B28,IF(DATOS_[[AGRUP. CLAS. PROF.]:[AGRUP. CLAS. PROF.]]=$B27,IF(DATOS_[[Check Periodo Ref.]:[Check Periodo Ref.]]="Dentro",DATOS_[Conc.Sal.07]))))), 0)</f>
        <v>0</v>
      </c>
      <c r="M28" s="209" t="n">
        <f aca="false" t="array" ref="M28:M28">IFERROR( AVERAGE((IF(DATOS_[[Sexo]:[Sexo]]=$B28,IF(DATOS_[[AGRUP. CLAS. PROF.]:[AGRUP. CLAS. PROF.]]=$B27,IF(DATOS_[[Check Periodo Ref.]:[Check Periodo Ref.]]="Dentro",DATOS_[Conc.Sal.08]))))), 0)</f>
        <v>0</v>
      </c>
      <c r="N28" s="209" t="n">
        <f aca="false" t="array" ref="N28:N28">IFERROR( AVERAGE((IF(DATOS_[[Sexo]:[Sexo]]=$B28,IF(DATOS_[[AGRUP. CLAS. PROF.]:[AGRUP. CLAS. PROF.]]=$B27,IF(DATOS_[[Check Periodo Ref.]:[Check Periodo Ref.]]="Dentro",DATOS_[Conc.Sal.09]))))), 0)</f>
        <v>0</v>
      </c>
      <c r="O28" s="209" t="n">
        <f aca="false" t="array" ref="O28:O28">IFERROR( AVERAGE((IF(DATOS_[[Sexo]:[Sexo]]=$B28,IF(DATOS_[[AGRUP. CLAS. PROF.]:[AGRUP. CLAS. PROF.]]=$B27,IF(DATOS_[[Check Periodo Ref.]:[Check Periodo Ref.]]="Dentro",DATOS_[Conc.Sal.10]))))), 0)</f>
        <v>0</v>
      </c>
      <c r="P28" s="209" t="n">
        <f aca="false" t="array" ref="P28:P28">IFERROR( AVERAGE((IF(DATOS_[[Sexo]:[Sexo]]=$B28,IF(DATOS_[[AGRUP. CLAS. PROF.]:[AGRUP. CLAS. PROF.]]=$B27,IF(DATOS_[[Check Periodo Ref.]:[Check Periodo Ref.]]="Dentro",DATOS_[Conc.Sal.11]))))), 0)</f>
        <v>0</v>
      </c>
      <c r="Q28" s="209" t="n">
        <f aca="false" t="array" ref="Q28:Q28">IFERROR( AVERAGE((IF(DATOS_[[Sexo]:[Sexo]]=$B28,IF(DATOS_[[AGRUP. CLAS. PROF.]:[AGRUP. CLAS. PROF.]]=$B27,IF(DATOS_[[Check Periodo Ref.]:[Check Periodo Ref.]]="Dentro",DATOS_[Conc.Sal.12]))))), 0)</f>
        <v>0</v>
      </c>
      <c r="R28" s="209" t="n">
        <f aca="false" t="array" ref="R28:R28">IFERROR( AVERAGE((IF(DATOS_[[Sexo]:[Sexo]]=$B28,IF(DATOS_[[AGRUP. CLAS. PROF.]:[AGRUP. CLAS. PROF.]]=$B27,IF(DATOS_[[Check Periodo Ref.]:[Check Periodo Ref.]]="Dentro",DATOS_[Conc.Sal.13]))))), 0)</f>
        <v>0</v>
      </c>
      <c r="S28" s="209" t="n">
        <f aca="false" t="array" ref="S28:S28">IFERROR( AVERAGE((IF(DATOS_[[Sexo]:[Sexo]]=$B28,IF(DATOS_[[AGRUP. CLAS. PROF.]:[AGRUP. CLAS. PROF.]]=$B27,IF(DATOS_[[Check Periodo Ref.]:[Check Periodo Ref.]]="Dentro",DATOS_[Conc.Sal.14]))))), 0)</f>
        <v>0</v>
      </c>
      <c r="T28" s="209" t="n">
        <f aca="false" t="array" ref="T28:T28">IFERROR( AVERAGE((IF(DATOS_[[Sexo]:[Sexo]]=$B28,IF(DATOS_[[AGRUP. CLAS. PROF.]:[AGRUP. CLAS. PROF.]]=$B27,IF(DATOS_[[Check Periodo Ref.]:[Check Periodo Ref.]]="Dentro",DATOS_[Conc.Sal.15]))))), 0)</f>
        <v>0</v>
      </c>
      <c r="U28" s="209" t="n">
        <f aca="false" t="array" ref="U28:U28">IFERROR( AVERAGE((IF(DATOS_[[Sexo]:[Sexo]]=$B28,IF(DATOS_[[AGRUP. CLAS. PROF.]:[AGRUP. CLAS. PROF.]]=$B27,IF(DATOS_[[Check Periodo Ref.]:[Check Periodo Ref.]]="Dentro",DATOS_[Conc.Sal.16]))))), 0)</f>
        <v>0</v>
      </c>
      <c r="V28" s="209" t="n">
        <f aca="false" t="array" ref="V28:V28">IFERROR( AVERAGE((IF(DATOS_[[Sexo]:[Sexo]]=$B28,IF(DATOS_[[AGRUP. CLAS. PROF.]:[AGRUP. CLAS. PROF.]]=$B27,IF(DATOS_[[Check Periodo Ref.]:[Check Periodo Ref.]]="Dentro",DATOS_[Conc.Sal.17]))))), 0)</f>
        <v>0</v>
      </c>
      <c r="W28" s="209" t="n">
        <f aca="false" t="array" ref="W28:W28">IFERROR( AVERAGE((IF(DATOS_[[Sexo]:[Sexo]]=$B28,IF(DATOS_[[AGRUP. CLAS. PROF.]:[AGRUP. CLAS. PROF.]]=$B27,IF(DATOS_[[Check Periodo Ref.]:[Check Periodo Ref.]]="Dentro",DATOS_[Conc.Sal.18]))))), 0)</f>
        <v>0</v>
      </c>
      <c r="X28" s="209" t="n">
        <f aca="false" t="array" ref="X28:X28">IFERROR( AVERAGE((IF(DATOS_[[Sexo]:[Sexo]]=$B28,IF(DATOS_[[AGRUP. CLAS. PROF.]:[AGRUP. CLAS. PROF.]]=$B27,IF(DATOS_[[Check Periodo Ref.]:[Check Periodo Ref.]]="Dentro",DATOS_[Conc.Sal.19]))))), 0)</f>
        <v>0</v>
      </c>
      <c r="Y28" s="209" t="n">
        <f aca="false" t="array" ref="Y28:Y28">IFERROR( AVERAGE((IF(DATOS_[[Sexo]:[Sexo]]=$B28,IF(DATOS_[[AGRUP. CLAS. PROF.]:[AGRUP. CLAS. PROF.]]=$B27,IF(DATOS_[[Check Periodo Ref.]:[Check Periodo Ref.]]="Dentro",DATOS_[Conc.Sal.20]))))), 0)</f>
        <v>0</v>
      </c>
      <c r="Z28" s="209" t="n">
        <f aca="false" t="array" ref="Z28:Z28">IFERROR( AVERAGE((IF(DATOS_[[Sexo]:[Sexo]]=$B28,IF(DATOS_[[AGRUP. CLAS. PROF.]:[AGRUP. CLAS. PROF.]]=$B27,IF(DATOS_[[Check Periodo Ref.]:[Check Periodo Ref.]]="Dentro",DATOS_[Conc.Sal.21]))))), 0)</f>
        <v>0</v>
      </c>
      <c r="AA28" s="209" t="n">
        <f aca="false" t="array" ref="AA28:AA28">IFERROR( AVERAGE((IF(DATOS_[[Sexo]:[Sexo]]=$B28,IF(DATOS_[[AGRUP. CLAS. PROF.]:[AGRUP. CLAS. PROF.]]=$B27,IF(DATOS_[[Check Periodo Ref.]:[Check Periodo Ref.]]="Dentro",DATOS_[Conc.Sal.22]))))), 0)</f>
        <v>0</v>
      </c>
      <c r="AB28" s="209" t="n">
        <f aca="false" t="array" ref="AB28:AB28">IFERROR( AVERAGE((IF(DATOS_[[Sexo]:[Sexo]]=$B28,IF(DATOS_[[AGRUP. CLAS. PROF.]:[AGRUP. CLAS. PROF.]]=$B27,IF(DATOS_[[Check Periodo Ref.]:[Check Periodo Ref.]]="Dentro",DATOS_[Conc.Sal.23]))))), 0)</f>
        <v>0</v>
      </c>
      <c r="AC28" s="209" t="n">
        <f aca="false" t="array" ref="AC28:AC28">IFERROR( AVERAGE((IF(DATOS_[[Sexo]:[Sexo]]=$B28,IF(DATOS_[[AGRUP. CLAS. PROF.]:[AGRUP. CLAS. PROF.]]=$B27,IF(DATOS_[[Check Periodo Ref.]:[Check Periodo Ref.]]="Dentro",DATOS_[Conc.Sal.24]))))), 0)</f>
        <v>0</v>
      </c>
      <c r="AD28" s="209" t="n">
        <f aca="false" t="array" ref="AD28:AD28">IFERROR( AVERAGE((IF(DATOS_[[Sexo]:[Sexo]]=$B28,IF(DATOS_[[AGRUP. CLAS. PROF.]:[AGRUP. CLAS. PROF.]]=$B27,IF(DATOS_[[Check Periodo Ref.]:[Check Periodo Ref.]]="Dentro",DATOS_[Conc.Sal.25]))))), 0)</f>
        <v>0</v>
      </c>
      <c r="AE28" s="209" t="n">
        <f aca="false" t="array" ref="AE28:AE28">IFERROR( AVERAGE((IF(DATOS_[[Sexo]:[Sexo]]=$B28,IF(DATOS_[[AGRUP. CLAS. PROF.]:[AGRUP. CLAS. PROF.]]=$B27,IF(DATOS_[[Check Periodo Ref.]:[Check Periodo Ref.]]="Dentro",DATOS_[Conc.Sal.26]))))), 0)</f>
        <v>0</v>
      </c>
      <c r="AF28" s="209" t="n">
        <f aca="false" t="array" ref="AF28:AF28">IFERROR( AVERAGE((IF(DATOS_[[Sexo]:[Sexo]]=$B28,IF(DATOS_[[AGRUP. CLAS. PROF.]:[AGRUP. CLAS. PROF.]]=$B27,IF(DATOS_[[Check Periodo Ref.]:[Check Periodo Ref.]]="Dentro",DATOS_[Conc.Sal.27]))))), 0)</f>
        <v>0</v>
      </c>
      <c r="AG28" s="209" t="n">
        <f aca="false" t="array" ref="AG28:AG28">IFERROR( AVERAGE((IF(DATOS_[[Sexo]:[Sexo]]=$B28,IF(DATOS_[[AGRUP. CLAS. PROF.]:[AGRUP. CLAS. PROF.]]=$B27,IF(DATOS_[[Check Periodo Ref.]:[Check Periodo Ref.]]="Dentro",DATOS_[Conc.Sal.28]))))), 0)</f>
        <v>0</v>
      </c>
      <c r="AH28" s="209" t="n">
        <f aca="false" t="array" ref="AH28:AH28">IFERROR( AVERAGE((IF(DATOS_[[Sexo]:[Sexo]]=$B28,IF(DATOS_[[AGRUP. CLAS. PROF.]:[AGRUP. CLAS. PROF.]]=$B27,IF(DATOS_[[Check Periodo Ref.]:[Check Periodo Ref.]]="Dentro",DATOS_[Conc.Sal.29]))))), 0)</f>
        <v>0</v>
      </c>
      <c r="AI28" s="209" t="n">
        <f aca="false" t="array" ref="AI28:AI28">IFERROR( AVERAGE((IF(DATOS_[[Sexo]:[Sexo]]=$B28,IF(DATOS_[[AGRUP. CLAS. PROF.]:[AGRUP. CLAS. PROF.]]=$B27,IF(DATOS_[[Check Periodo Ref.]:[Check Periodo Ref.]]="Dentro",DATOS_[Conc.Sal.30]))))), 0)</f>
        <v>0</v>
      </c>
      <c r="AJ28" s="210" t="n">
        <f aca="false" t="array" ref="AJ28:AJ28">IFERROR( AVERAGE(IF(DATOS_[Sexo]=$B28,IF(DATOS_[AGRUP. CLAS. PROF.]=$B27,IF(DATOS_[Check Periodo Ref.]="Dentro",DATOS_[Tot COMPL.SAL Ef],0)))), 0)</f>
        <v>0</v>
      </c>
      <c r="AK28" s="211" t="n">
        <f aca="false" t="array" ref="AK28:AK28">IFERROR( AVERAGE(IF(DATOS_[Sexo]=$B28,IF(DATOS_[AGRUP. CLAS. PROF.]=$B27,IF(DATOS_[Check Periodo Ref.]="Dentro",DATOS_[TOTAL SALARIO Ef],0)))), 0)</f>
        <v>0</v>
      </c>
      <c r="AL28" s="212" t="n">
        <f aca="false" t="array" ref="AL28:AL28">IFERROR( AVERAGE((IF(DATOS_[[Sexo]:[Sexo]]=$B28,IF(DATOS_[[AGRUP. CLAS. PROF.]:[AGRUP. CLAS. PROF.]]=$B27,IF(DATOS_[[Check Periodo Ref.]:[Check Periodo Ref.]]="Dentro",DATOS_[C.Extra.01]))))), 0)</f>
        <v>0</v>
      </c>
      <c r="AM28" s="212" t="n">
        <f aca="false" t="array" ref="AM28:AM28">IFERROR( AVERAGE((IF(DATOS_[[Sexo]:[Sexo]]=$B28,IF(DATOS_[[AGRUP. CLAS. PROF.]:[AGRUP. CLAS. PROF.]]=$B27,IF(DATOS_[[Check Periodo Ref.]:[Check Periodo Ref.]]="Dentro",DATOS_[C.Extra.02]))))), 0)</f>
        <v>0</v>
      </c>
      <c r="AN28" s="212" t="n">
        <f aca="false" t="array" ref="AN28:AN28">IFERROR( AVERAGE((IF(DATOS_[[Sexo]:[Sexo]]=$B28,IF(DATOS_[[AGRUP. CLAS. PROF.]:[AGRUP. CLAS. PROF.]]=$B27,IF(DATOS_[[Check Periodo Ref.]:[Check Periodo Ref.]]="Dentro",DATOS_[C.Extra.03]))))), 0)</f>
        <v>0</v>
      </c>
      <c r="AO28" s="212" t="n">
        <f aca="false" t="array" ref="AO28:AO28">IFERROR( AVERAGE((IF(DATOS_[[Sexo]:[Sexo]]=$B28,IF(DATOS_[[AGRUP. CLAS. PROF.]:[AGRUP. CLAS. PROF.]]=$B27,IF(DATOS_[[Check Periodo Ref.]:[Check Periodo Ref.]]="Dentro",DATOS_[C.Extra.04]))))), 0)</f>
        <v>0</v>
      </c>
      <c r="AP28" s="212" t="n">
        <f aca="false" t="array" ref="AP28:AP28">IFERROR( AVERAGE((IF(DATOS_[[Sexo]:[Sexo]]=$B28,IF(DATOS_[[AGRUP. CLAS. PROF.]:[AGRUP. CLAS. PROF.]]=$B27,IF(DATOS_[[Check Periodo Ref.]:[Check Periodo Ref.]]="Dentro",DATOS_[C.Extra.05]))))), 0)</f>
        <v>0</v>
      </c>
      <c r="AQ28" s="213" t="n">
        <f aca="false" t="array" ref="AQ28:AQ28">IFERROR( AVERAGE(IF(DATOS_[Sexo]=$B28,IF(DATOS_[AGRUP. CLAS. PROF.]=$B27,IF(DATOS_[Check Periodo Ref.]="Dentro",DATOS_[Tot Extrasalarial Ef],0)))), 0)</f>
        <v>0</v>
      </c>
      <c r="AR28" s="214" t="n">
        <f aca="false" t="array" ref="AR28:AR28">IFERROR( AVERAGE(IF(DATOS_[Sexo]=$B28,IF(DATOS_[AGRUP. CLAS. PROF.]=$B27,IF(DATOS_[Check Periodo Ref.]="Dentro",DATOS_[TOTAL Retrib Ef],0)))), 0)</f>
        <v>0</v>
      </c>
    </row>
    <row r="29" customFormat="false" ht="14.25" hidden="false" customHeight="false" outlineLevel="0" collapsed="false">
      <c r="A29" s="191" t="str">
        <f aca="false">+A28</f>
        <v>[ocultar]</v>
      </c>
      <c r="B29" s="205" t="s">
        <v>372</v>
      </c>
      <c r="C29" s="206" t="n">
        <f aca="false" t="array" ref="C29:C29">SUM(IF($B29=DATOS_[Sexo], IF($B27=DATOS_[AGRUP. CLAS. PROF.], IF("Dentro"=DATOS_[Check Periodo Ref.], 1/(COUNTIFS(DATOS_[Sexo],$B29,DATOS_[AGRUP. CLAS. PROF.],$B27,DATOS_[Check Periodo Ref.],"Dentro",DATOS_[id],DATOS_[id]))))))</f>
        <v>0</v>
      </c>
      <c r="D29" s="207" t="n">
        <f aca="false">COUNTIFS(DATOS_[AGRUP. CLAS. PROF.],$B27,DATOS_[Sexo],$B29,DATOS_[Check Periodo Ref.],"Dentro")</f>
        <v>0</v>
      </c>
      <c r="E29" s="208" t="n">
        <f aca="false" t="array" ref="E29:E29">IFERROR( AVERAGE(IF(DATOS_[Sexo]=$B29,IF(DATOS_[AGRUP. CLAS. PROF.]=$B27,IF(DATOS_[Check Periodo Ref.]="Dentro",DATOS_[SALARIO BASE Ef],0)))), 0)</f>
        <v>0</v>
      </c>
      <c r="F29" s="209" t="n">
        <f aca="false" t="array" ref="F29:F29">IFERROR( AVERAGE((IF(DATOS_[[Sexo]:[Sexo]]=$B29,IF(DATOS_[[AGRUP. CLAS. PROF.]:[AGRUP. CLAS. PROF.]]=$B27,IF(DATOS_[[Check Periodo Ref.]:[Check Periodo Ref.]]="Dentro",DATOS_[Conc.Sal.01]))))), 0)</f>
        <v>0</v>
      </c>
      <c r="G29" s="209" t="n">
        <f aca="false" t="array" ref="G29:G29">IFERROR( AVERAGE((IF(DATOS_[[Sexo]:[Sexo]]=$B29,IF(DATOS_[[AGRUP. CLAS. PROF.]:[AGRUP. CLAS. PROF.]]=$B27,IF(DATOS_[[Check Periodo Ref.]:[Check Periodo Ref.]]="Dentro",DATOS_[Conc.Sal.02]))))), 0)</f>
        <v>0</v>
      </c>
      <c r="H29" s="209" t="n">
        <f aca="false" t="array" ref="H29:H29">IFERROR( AVERAGE((IF(DATOS_[[Sexo]:[Sexo]]=$B29,IF(DATOS_[[AGRUP. CLAS. PROF.]:[AGRUP. CLAS. PROF.]]=$B27,IF(DATOS_[[Check Periodo Ref.]:[Check Periodo Ref.]]="Dentro",DATOS_[Conc.Sal.03]))))), 0)</f>
        <v>0</v>
      </c>
      <c r="I29" s="209" t="n">
        <f aca="false" t="array" ref="I29:I29">IFERROR( AVERAGE((IF(DATOS_[[Sexo]:[Sexo]]=$B29,IF(DATOS_[[AGRUP. CLAS. PROF.]:[AGRUP. CLAS. PROF.]]=$B27,IF(DATOS_[[Check Periodo Ref.]:[Check Periodo Ref.]]="Dentro",DATOS_[Conc.Sal.04]))))), 0)</f>
        <v>0</v>
      </c>
      <c r="J29" s="209" t="n">
        <f aca="false" t="array" ref="J29:J29">IFERROR( AVERAGE((IF(DATOS_[[Sexo]:[Sexo]]=$B29,IF(DATOS_[[AGRUP. CLAS. PROF.]:[AGRUP. CLAS. PROF.]]=$B27,IF(DATOS_[[Check Periodo Ref.]:[Check Periodo Ref.]]="Dentro",DATOS_[Conc.Sal.05]))))), 0)</f>
        <v>0</v>
      </c>
      <c r="K29" s="209" t="n">
        <f aca="false" t="array" ref="K29:K29">IFERROR( AVERAGE((IF(DATOS_[[Sexo]:[Sexo]]=$B29,IF(DATOS_[[AGRUP. CLAS. PROF.]:[AGRUP. CLAS. PROF.]]=$B27,IF(DATOS_[[Check Periodo Ref.]:[Check Periodo Ref.]]="Dentro",DATOS_[Conc.Sal.06]))))), 0)</f>
        <v>0</v>
      </c>
      <c r="L29" s="209" t="n">
        <f aca="false" t="array" ref="L29:L29">IFERROR( AVERAGE((IF(DATOS_[[Sexo]:[Sexo]]=$B29,IF(DATOS_[[AGRUP. CLAS. PROF.]:[AGRUP. CLAS. PROF.]]=$B27,IF(DATOS_[[Check Periodo Ref.]:[Check Periodo Ref.]]="Dentro",DATOS_[Conc.Sal.07]))))), 0)</f>
        <v>0</v>
      </c>
      <c r="M29" s="209" t="n">
        <f aca="false" t="array" ref="M29:M29">IFERROR( AVERAGE((IF(DATOS_[[Sexo]:[Sexo]]=$B29,IF(DATOS_[[AGRUP. CLAS. PROF.]:[AGRUP. CLAS. PROF.]]=$B27,IF(DATOS_[[Check Periodo Ref.]:[Check Periodo Ref.]]="Dentro",DATOS_[Conc.Sal.08]))))), 0)</f>
        <v>0</v>
      </c>
      <c r="N29" s="209" t="n">
        <f aca="false" t="array" ref="N29:N29">IFERROR( AVERAGE((IF(DATOS_[[Sexo]:[Sexo]]=$B29,IF(DATOS_[[AGRUP. CLAS. PROF.]:[AGRUP. CLAS. PROF.]]=$B27,IF(DATOS_[[Check Periodo Ref.]:[Check Periodo Ref.]]="Dentro",DATOS_[Conc.Sal.09]))))), 0)</f>
        <v>0</v>
      </c>
      <c r="O29" s="209" t="n">
        <f aca="false" t="array" ref="O29:O29">IFERROR( AVERAGE((IF(DATOS_[[Sexo]:[Sexo]]=$B29,IF(DATOS_[[AGRUP. CLAS. PROF.]:[AGRUP. CLAS. PROF.]]=$B27,IF(DATOS_[[Check Periodo Ref.]:[Check Periodo Ref.]]="Dentro",DATOS_[Conc.Sal.10]))))), 0)</f>
        <v>0</v>
      </c>
      <c r="P29" s="209" t="n">
        <f aca="false" t="array" ref="P29:P29">IFERROR( AVERAGE((IF(DATOS_[[Sexo]:[Sexo]]=$B29,IF(DATOS_[[AGRUP. CLAS. PROF.]:[AGRUP. CLAS. PROF.]]=$B27,IF(DATOS_[[Check Periodo Ref.]:[Check Periodo Ref.]]="Dentro",DATOS_[Conc.Sal.11]))))), 0)</f>
        <v>0</v>
      </c>
      <c r="Q29" s="209" t="n">
        <f aca="false" t="array" ref="Q29:Q29">IFERROR( AVERAGE((IF(DATOS_[[Sexo]:[Sexo]]=$B29,IF(DATOS_[[AGRUP. CLAS. PROF.]:[AGRUP. CLAS. PROF.]]=$B27,IF(DATOS_[[Check Periodo Ref.]:[Check Periodo Ref.]]="Dentro",DATOS_[Conc.Sal.12]))))), 0)</f>
        <v>0</v>
      </c>
      <c r="R29" s="209" t="n">
        <f aca="false" t="array" ref="R29:R29">IFERROR( AVERAGE((IF(DATOS_[[Sexo]:[Sexo]]=$B29,IF(DATOS_[[AGRUP. CLAS. PROF.]:[AGRUP. CLAS. PROF.]]=$B27,IF(DATOS_[[Check Periodo Ref.]:[Check Periodo Ref.]]="Dentro",DATOS_[Conc.Sal.13]))))), 0)</f>
        <v>0</v>
      </c>
      <c r="S29" s="209" t="n">
        <f aca="false" t="array" ref="S29:S29">IFERROR( AVERAGE((IF(DATOS_[[Sexo]:[Sexo]]=$B29,IF(DATOS_[[AGRUP. CLAS. PROF.]:[AGRUP. CLAS. PROF.]]=$B27,IF(DATOS_[[Check Periodo Ref.]:[Check Periodo Ref.]]="Dentro",DATOS_[Conc.Sal.14]))))), 0)</f>
        <v>0</v>
      </c>
      <c r="T29" s="209" t="n">
        <f aca="false" t="array" ref="T29:T29">IFERROR( AVERAGE((IF(DATOS_[[Sexo]:[Sexo]]=$B29,IF(DATOS_[[AGRUP. CLAS. PROF.]:[AGRUP. CLAS. PROF.]]=$B27,IF(DATOS_[[Check Periodo Ref.]:[Check Periodo Ref.]]="Dentro",DATOS_[Conc.Sal.15]))))), 0)</f>
        <v>0</v>
      </c>
      <c r="U29" s="209" t="n">
        <f aca="false" t="array" ref="U29:U29">IFERROR( AVERAGE((IF(DATOS_[[Sexo]:[Sexo]]=$B29,IF(DATOS_[[AGRUP. CLAS. PROF.]:[AGRUP. CLAS. PROF.]]=$B27,IF(DATOS_[[Check Periodo Ref.]:[Check Periodo Ref.]]="Dentro",DATOS_[Conc.Sal.16]))))), 0)</f>
        <v>0</v>
      </c>
      <c r="V29" s="209" t="n">
        <f aca="false" t="array" ref="V29:V29">IFERROR( AVERAGE((IF(DATOS_[[Sexo]:[Sexo]]=$B29,IF(DATOS_[[AGRUP. CLAS. PROF.]:[AGRUP. CLAS. PROF.]]=$B27,IF(DATOS_[[Check Periodo Ref.]:[Check Periodo Ref.]]="Dentro",DATOS_[Conc.Sal.17]))))), 0)</f>
        <v>0</v>
      </c>
      <c r="W29" s="209" t="n">
        <f aca="false" t="array" ref="W29:W29">IFERROR( AVERAGE((IF(DATOS_[[Sexo]:[Sexo]]=$B29,IF(DATOS_[[AGRUP. CLAS. PROF.]:[AGRUP. CLAS. PROF.]]=$B27,IF(DATOS_[[Check Periodo Ref.]:[Check Periodo Ref.]]="Dentro",DATOS_[Conc.Sal.18]))))), 0)</f>
        <v>0</v>
      </c>
      <c r="X29" s="209" t="n">
        <f aca="false" t="array" ref="X29:X29">IFERROR( AVERAGE((IF(DATOS_[[Sexo]:[Sexo]]=$B29,IF(DATOS_[[AGRUP. CLAS. PROF.]:[AGRUP. CLAS. PROF.]]=$B27,IF(DATOS_[[Check Periodo Ref.]:[Check Periodo Ref.]]="Dentro",DATOS_[Conc.Sal.19]))))), 0)</f>
        <v>0</v>
      </c>
      <c r="Y29" s="209" t="n">
        <f aca="false" t="array" ref="Y29:Y29">IFERROR( AVERAGE((IF(DATOS_[[Sexo]:[Sexo]]=$B29,IF(DATOS_[[AGRUP. CLAS. PROF.]:[AGRUP. CLAS. PROF.]]=$B27,IF(DATOS_[[Check Periodo Ref.]:[Check Periodo Ref.]]="Dentro",DATOS_[Conc.Sal.20]))))), 0)</f>
        <v>0</v>
      </c>
      <c r="Z29" s="209" t="n">
        <f aca="false" t="array" ref="Z29:Z29">IFERROR( AVERAGE((IF(DATOS_[[Sexo]:[Sexo]]=$B29,IF(DATOS_[[AGRUP. CLAS. PROF.]:[AGRUP. CLAS. PROF.]]=$B27,IF(DATOS_[[Check Periodo Ref.]:[Check Periodo Ref.]]="Dentro",DATOS_[Conc.Sal.21]))))), 0)</f>
        <v>0</v>
      </c>
      <c r="AA29" s="209" t="n">
        <f aca="false" t="array" ref="AA29:AA29">IFERROR( AVERAGE((IF(DATOS_[[Sexo]:[Sexo]]=$B29,IF(DATOS_[[AGRUP. CLAS. PROF.]:[AGRUP. CLAS. PROF.]]=$B27,IF(DATOS_[[Check Periodo Ref.]:[Check Periodo Ref.]]="Dentro",DATOS_[Conc.Sal.22]))))), 0)</f>
        <v>0</v>
      </c>
      <c r="AB29" s="209" t="n">
        <f aca="false" t="array" ref="AB29:AB29">IFERROR( AVERAGE((IF(DATOS_[[Sexo]:[Sexo]]=$B29,IF(DATOS_[[AGRUP. CLAS. PROF.]:[AGRUP. CLAS. PROF.]]=$B27,IF(DATOS_[[Check Periodo Ref.]:[Check Periodo Ref.]]="Dentro",DATOS_[Conc.Sal.23]))))), 0)</f>
        <v>0</v>
      </c>
      <c r="AC29" s="209" t="n">
        <f aca="false" t="array" ref="AC29:AC29">IFERROR( AVERAGE((IF(DATOS_[[Sexo]:[Sexo]]=$B29,IF(DATOS_[[AGRUP. CLAS. PROF.]:[AGRUP. CLAS. PROF.]]=$B27,IF(DATOS_[[Check Periodo Ref.]:[Check Periodo Ref.]]="Dentro",DATOS_[Conc.Sal.24]))))), 0)</f>
        <v>0</v>
      </c>
      <c r="AD29" s="209" t="n">
        <f aca="false" t="array" ref="AD29:AD29">IFERROR( AVERAGE((IF(DATOS_[[Sexo]:[Sexo]]=$B29,IF(DATOS_[[AGRUP. CLAS. PROF.]:[AGRUP. CLAS. PROF.]]=$B27,IF(DATOS_[[Check Periodo Ref.]:[Check Periodo Ref.]]="Dentro",DATOS_[Conc.Sal.25]))))), 0)</f>
        <v>0</v>
      </c>
      <c r="AE29" s="209" t="n">
        <f aca="false" t="array" ref="AE29:AE29">IFERROR( AVERAGE((IF(DATOS_[[Sexo]:[Sexo]]=$B29,IF(DATOS_[[AGRUP. CLAS. PROF.]:[AGRUP. CLAS. PROF.]]=$B27,IF(DATOS_[[Check Periodo Ref.]:[Check Periodo Ref.]]="Dentro",DATOS_[Conc.Sal.26]))))), 0)</f>
        <v>0</v>
      </c>
      <c r="AF29" s="209" t="n">
        <f aca="false" t="array" ref="AF29:AF29">IFERROR( AVERAGE((IF(DATOS_[[Sexo]:[Sexo]]=$B29,IF(DATOS_[[AGRUP. CLAS. PROF.]:[AGRUP. CLAS. PROF.]]=$B27,IF(DATOS_[[Check Periodo Ref.]:[Check Periodo Ref.]]="Dentro",DATOS_[Conc.Sal.27]))))), 0)</f>
        <v>0</v>
      </c>
      <c r="AG29" s="209" t="n">
        <f aca="false" t="array" ref="AG29:AG29">IFERROR( AVERAGE((IF(DATOS_[[Sexo]:[Sexo]]=$B29,IF(DATOS_[[AGRUP. CLAS. PROF.]:[AGRUP. CLAS. PROF.]]=$B27,IF(DATOS_[[Check Periodo Ref.]:[Check Periodo Ref.]]="Dentro",DATOS_[Conc.Sal.28]))))), 0)</f>
        <v>0</v>
      </c>
      <c r="AH29" s="209" t="n">
        <f aca="false" t="array" ref="AH29:AH29">IFERROR( AVERAGE((IF(DATOS_[[Sexo]:[Sexo]]=$B29,IF(DATOS_[[AGRUP. CLAS. PROF.]:[AGRUP. CLAS. PROF.]]=$B27,IF(DATOS_[[Check Periodo Ref.]:[Check Periodo Ref.]]="Dentro",DATOS_[Conc.Sal.29]))))), 0)</f>
        <v>0</v>
      </c>
      <c r="AI29" s="209" t="n">
        <f aca="false" t="array" ref="AI29:AI29">IFERROR( AVERAGE((IF(DATOS_[[Sexo]:[Sexo]]=$B29,IF(DATOS_[[AGRUP. CLAS. PROF.]:[AGRUP. CLAS. PROF.]]=$B27,IF(DATOS_[[Check Periodo Ref.]:[Check Periodo Ref.]]="Dentro",DATOS_[Conc.Sal.30]))))), 0)</f>
        <v>0</v>
      </c>
      <c r="AJ29" s="210" t="n">
        <f aca="false" t="array" ref="AJ29:AJ29">IFERROR( AVERAGE(IF(DATOS_[Sexo]=$B29,IF(DATOS_[AGRUP. CLAS. PROF.]=$B27,IF(DATOS_[Check Periodo Ref.]="Dentro",DATOS_[Tot COMPL.SAL Ef],0)))), 0)</f>
        <v>0</v>
      </c>
      <c r="AK29" s="211" t="n">
        <f aca="false" t="array" ref="AK29:AK29">IFERROR( AVERAGE(IF(DATOS_[Sexo]=$B29,IF(DATOS_[AGRUP. CLAS. PROF.]=$B27,IF(DATOS_[Check Periodo Ref.]="Dentro",DATOS_[TOTAL SALARIO Ef],0)))), 0)</f>
        <v>0</v>
      </c>
      <c r="AL29" s="212" t="n">
        <f aca="false" t="array" ref="AL29:AL29">IFERROR( AVERAGE((IF(DATOS_[[Sexo]:[Sexo]]=$B29,IF(DATOS_[[AGRUP. CLAS. PROF.]:[AGRUP. CLAS. PROF.]]=$B27,IF(DATOS_[[Check Periodo Ref.]:[Check Periodo Ref.]]="Dentro",DATOS_[C.Extra.01]))))), 0)</f>
        <v>0</v>
      </c>
      <c r="AM29" s="212" t="n">
        <f aca="false" t="array" ref="AM29:AM29">IFERROR( AVERAGE((IF(DATOS_[[Sexo]:[Sexo]]=$B29,IF(DATOS_[[AGRUP. CLAS. PROF.]:[AGRUP. CLAS. PROF.]]=$B27,IF(DATOS_[[Check Periodo Ref.]:[Check Periodo Ref.]]="Dentro",DATOS_[C.Extra.02]))))), 0)</f>
        <v>0</v>
      </c>
      <c r="AN29" s="212" t="n">
        <f aca="false" t="array" ref="AN29:AN29">IFERROR( AVERAGE((IF(DATOS_[[Sexo]:[Sexo]]=$B29,IF(DATOS_[[AGRUP. CLAS. PROF.]:[AGRUP. CLAS. PROF.]]=$B27,IF(DATOS_[[Check Periodo Ref.]:[Check Periodo Ref.]]="Dentro",DATOS_[C.Extra.03]))))), 0)</f>
        <v>0</v>
      </c>
      <c r="AO29" s="212" t="n">
        <f aca="false" t="array" ref="AO29:AO29">IFERROR( AVERAGE((IF(DATOS_[[Sexo]:[Sexo]]=$B29,IF(DATOS_[[AGRUP. CLAS. PROF.]:[AGRUP. CLAS. PROF.]]=$B27,IF(DATOS_[[Check Periodo Ref.]:[Check Periodo Ref.]]="Dentro",DATOS_[C.Extra.04]))))), 0)</f>
        <v>0</v>
      </c>
      <c r="AP29" s="212" t="n">
        <f aca="false" t="array" ref="AP29:AP29">IFERROR( AVERAGE((IF(DATOS_[[Sexo]:[Sexo]]=$B29,IF(DATOS_[[AGRUP. CLAS. PROF.]:[AGRUP. CLAS. PROF.]]=$B27,IF(DATOS_[[Check Periodo Ref.]:[Check Periodo Ref.]]="Dentro",DATOS_[C.Extra.05]))))), 0)</f>
        <v>0</v>
      </c>
      <c r="AQ29" s="213" t="n">
        <f aca="false" t="array" ref="AQ29:AQ29">IFERROR( AVERAGE(IF(DATOS_[Sexo]=$B29,IF(DATOS_[AGRUP. CLAS. PROF.]=$B27,IF(DATOS_[Check Periodo Ref.]="Dentro",DATOS_[Tot Extrasalarial Ef],0)))), 0)</f>
        <v>0</v>
      </c>
      <c r="AR29" s="214" t="n">
        <f aca="false" t="array" ref="AR29:AR29">IFERROR( AVERAGE(IF(DATOS_[Sexo]=$B29,IF(DATOS_[AGRUP. CLAS. PROF.]=$B27,IF(DATOS_[Check Periodo Ref.]="Dentro",DATOS_[TOTAL Retrib Ef],0)))), 0)</f>
        <v>0</v>
      </c>
    </row>
    <row r="30" customFormat="false" ht="15.75" hidden="false" customHeight="false" outlineLevel="0" collapsed="false">
      <c r="A30" s="191" t="str">
        <f aca="false">+A31</f>
        <v>[ocultar]</v>
      </c>
      <c r="B30" s="192" t="s">
        <v>183</v>
      </c>
      <c r="C30" s="193"/>
      <c r="D30" s="194"/>
      <c r="E30" s="195" t="str">
        <f aca="false">IFERROR((E31-E32)/E31,"")</f>
        <v/>
      </c>
      <c r="F30" s="196" t="str">
        <f aca="false">IFERROR((F31-F32)/F31,"")</f>
        <v/>
      </c>
      <c r="G30" s="197" t="str">
        <f aca="false">IFERROR((G31-G32)/G31,"")</f>
        <v/>
      </c>
      <c r="H30" s="197" t="str">
        <f aca="false">IFERROR((H31-H32)/H31,"")</f>
        <v/>
      </c>
      <c r="I30" s="197" t="str">
        <f aca="false">IFERROR((I31-I32)/I31,"")</f>
        <v/>
      </c>
      <c r="J30" s="198" t="str">
        <f aca="false">IFERROR((J31-J32)/J31,"")</f>
        <v/>
      </c>
      <c r="K30" s="199" t="str">
        <f aca="false">IFERROR((K31-K32)/K31,"")</f>
        <v/>
      </c>
      <c r="L30" s="199" t="str">
        <f aca="false">IFERROR((L31-L32)/L31,"")</f>
        <v/>
      </c>
      <c r="M30" s="199" t="str">
        <f aca="false">IFERROR((M31-M32)/M31,"")</f>
        <v/>
      </c>
      <c r="N30" s="199" t="str">
        <f aca="false">IFERROR((N31-N32)/N31,"")</f>
        <v/>
      </c>
      <c r="O30" s="199" t="str">
        <f aca="false">IFERROR((O31-O32)/O31,"")</f>
        <v/>
      </c>
      <c r="P30" s="199" t="str">
        <f aca="false">IFERROR((P31-P32)/P31,"")</f>
        <v/>
      </c>
      <c r="Q30" s="199" t="str">
        <f aca="false">IFERROR((Q31-Q32)/Q31,"")</f>
        <v/>
      </c>
      <c r="R30" s="199" t="str">
        <f aca="false">IFERROR((R31-R32)/R31,"")</f>
        <v/>
      </c>
      <c r="S30" s="199" t="str">
        <f aca="false">IFERROR((S31-S32)/S31,"")</f>
        <v/>
      </c>
      <c r="T30" s="199" t="str">
        <f aca="false">IFERROR((T31-T32)/T31,"")</f>
        <v/>
      </c>
      <c r="U30" s="199" t="str">
        <f aca="false">IFERROR((U31-U32)/U31,"")</f>
        <v/>
      </c>
      <c r="V30" s="198" t="str">
        <f aca="false">IFERROR((V31-V32)/V31,"")</f>
        <v/>
      </c>
      <c r="W30" s="198" t="str">
        <f aca="false">IFERROR((W31-W32)/W31,"")</f>
        <v/>
      </c>
      <c r="X30" s="198" t="str">
        <f aca="false">IFERROR((X31-X32)/X31,"")</f>
        <v/>
      </c>
      <c r="Y30" s="198" t="str">
        <f aca="false">IFERROR((Y31-Y32)/Y31,"")</f>
        <v/>
      </c>
      <c r="Z30" s="198" t="str">
        <f aca="false">IFERROR((Z31-Z32)/Z31,"")</f>
        <v/>
      </c>
      <c r="AA30" s="198" t="str">
        <f aca="false">IFERROR((AA31-AA32)/AA31,"")</f>
        <v/>
      </c>
      <c r="AB30" s="198" t="str">
        <f aca="false">IFERROR((AB31-AB32)/AB31,"")</f>
        <v/>
      </c>
      <c r="AC30" s="198" t="str">
        <f aca="false">IFERROR((AC31-AC32)/AC31,"")</f>
        <v/>
      </c>
      <c r="AD30" s="198" t="str">
        <f aca="false">IFERROR((AD31-AD32)/AD31,"")</f>
        <v/>
      </c>
      <c r="AE30" s="198" t="str">
        <f aca="false">IFERROR((AE31-AE32)/AE31,"")</f>
        <v/>
      </c>
      <c r="AF30" s="198" t="str">
        <f aca="false">IFERROR((AF31-AF32)/AF31,"")</f>
        <v/>
      </c>
      <c r="AG30" s="198" t="str">
        <f aca="false">IFERROR((AG31-AG32)/AG31,"")</f>
        <v/>
      </c>
      <c r="AH30" s="198" t="str">
        <f aca="false">IFERROR((AH31-AH32)/AH31,"")</f>
        <v/>
      </c>
      <c r="AI30" s="198" t="str">
        <f aca="false">IFERROR((AI31-AI32)/AI31,"")</f>
        <v/>
      </c>
      <c r="AJ30" s="200" t="str">
        <f aca="false">IFERROR((AJ31-AJ32)/AJ31,"")</f>
        <v/>
      </c>
      <c r="AK30" s="201" t="str">
        <f aca="false">IFERROR((AK31-AK32)/AK31,"")</f>
        <v/>
      </c>
      <c r="AL30" s="202" t="str">
        <f aca="false">IFERROR((AL31-AL32)/AL31,"")</f>
        <v/>
      </c>
      <c r="AM30" s="202" t="str">
        <f aca="false">IFERROR((AM31-AM32)/AM31,"")</f>
        <v/>
      </c>
      <c r="AN30" s="202" t="str">
        <f aca="false">IFERROR((AN31-AN32)/AN31,"")</f>
        <v/>
      </c>
      <c r="AO30" s="202" t="str">
        <f aca="false">IFERROR((AO31-AO32)/AO31,"")</f>
        <v/>
      </c>
      <c r="AP30" s="202" t="str">
        <f aca="false">IFERROR((AP31-AP32)/AP31,"")</f>
        <v/>
      </c>
      <c r="AQ30" s="203" t="str">
        <f aca="false">IFERROR((AQ31-AQ32)/AQ31,"")</f>
        <v/>
      </c>
      <c r="AR30" s="204" t="str">
        <f aca="false">IFERROR((AR31-AR32)/AR31,"")</f>
        <v/>
      </c>
    </row>
    <row r="31" customFormat="false" ht="14.25" hidden="false" customHeight="false" outlineLevel="0" collapsed="false">
      <c r="A31" s="191" t="str">
        <f aca="false">+IF(C31+C32=0,"[ocultar]","")</f>
        <v>[ocultar]</v>
      </c>
      <c r="B31" s="205" t="s">
        <v>371</v>
      </c>
      <c r="C31" s="206" t="n">
        <f aca="false" t="array" ref="C31:C31">SUM(IF($B31=DATOS_[Sexo], IF($B30=DATOS_[AGRUP. CLAS. PROF.], IF("Dentro"=DATOS_[Check Periodo Ref.], 1/(COUNTIFS(DATOS_[Sexo],$B31,DATOS_[AGRUP. CLAS. PROF.],$B30,DATOS_[Check Periodo Ref.],"Dentro",DATOS_[id],DATOS_[id]))))))</f>
        <v>0</v>
      </c>
      <c r="D31" s="207" t="n">
        <f aca="false">COUNTIFS(DATOS_[AGRUP. CLAS. PROF.],$B30,DATOS_[Sexo],$B31,DATOS_[Check Periodo Ref.],"Dentro")</f>
        <v>0</v>
      </c>
      <c r="E31" s="208" t="n">
        <f aca="false" t="array" ref="E31:E31">IFERROR( AVERAGE(IF(DATOS_[Sexo]=$B31,IF(DATOS_[AGRUP. CLAS. PROF.]=$B30,IF(DATOS_[Check Periodo Ref.]="Dentro",DATOS_[SALARIO BASE Ef],0)))), 0)</f>
        <v>0</v>
      </c>
      <c r="F31" s="209" t="n">
        <f aca="false" t="array" ref="F31:F31">IFERROR( AVERAGE((IF(DATOS_[[Sexo]:[Sexo]]=$B31,IF(DATOS_[[AGRUP. CLAS. PROF.]:[AGRUP. CLAS. PROF.]]=$B30,IF(DATOS_[[Check Periodo Ref.]:[Check Periodo Ref.]]="Dentro",DATOS_[Conc.Sal.01]))))), 0)</f>
        <v>0</v>
      </c>
      <c r="G31" s="209" t="n">
        <f aca="false" t="array" ref="G31:G31">IFERROR( AVERAGE((IF(DATOS_[[Sexo]:[Sexo]]=$B31,IF(DATOS_[[AGRUP. CLAS. PROF.]:[AGRUP. CLAS. PROF.]]=$B30,IF(DATOS_[[Check Periodo Ref.]:[Check Periodo Ref.]]="Dentro",DATOS_[Conc.Sal.02]))))), 0)</f>
        <v>0</v>
      </c>
      <c r="H31" s="209" t="n">
        <f aca="false" t="array" ref="H31:H31">IFERROR( AVERAGE((IF(DATOS_[[Sexo]:[Sexo]]=$B31,IF(DATOS_[[AGRUP. CLAS. PROF.]:[AGRUP. CLAS. PROF.]]=$B30,IF(DATOS_[[Check Periodo Ref.]:[Check Periodo Ref.]]="Dentro",DATOS_[Conc.Sal.03]))))), 0)</f>
        <v>0</v>
      </c>
      <c r="I31" s="209" t="n">
        <f aca="false" t="array" ref="I31:I31">IFERROR( AVERAGE((IF(DATOS_[[Sexo]:[Sexo]]=$B31,IF(DATOS_[[AGRUP. CLAS. PROF.]:[AGRUP. CLAS. PROF.]]=$B30,IF(DATOS_[[Check Periodo Ref.]:[Check Periodo Ref.]]="Dentro",DATOS_[Conc.Sal.04]))))), 0)</f>
        <v>0</v>
      </c>
      <c r="J31" s="209" t="n">
        <f aca="false" t="array" ref="J31:J31">IFERROR( AVERAGE((IF(DATOS_[[Sexo]:[Sexo]]=$B31,IF(DATOS_[[AGRUP. CLAS. PROF.]:[AGRUP. CLAS. PROF.]]=$B30,IF(DATOS_[[Check Periodo Ref.]:[Check Periodo Ref.]]="Dentro",DATOS_[Conc.Sal.05]))))), 0)</f>
        <v>0</v>
      </c>
      <c r="K31" s="209" t="n">
        <f aca="false" t="array" ref="K31:K31">IFERROR( AVERAGE((IF(DATOS_[[Sexo]:[Sexo]]=$B31,IF(DATOS_[[AGRUP. CLAS. PROF.]:[AGRUP. CLAS. PROF.]]=$B30,IF(DATOS_[[Check Periodo Ref.]:[Check Periodo Ref.]]="Dentro",DATOS_[Conc.Sal.06]))))), 0)</f>
        <v>0</v>
      </c>
      <c r="L31" s="209" t="n">
        <f aca="false" t="array" ref="L31:L31">IFERROR( AVERAGE((IF(DATOS_[[Sexo]:[Sexo]]=$B31,IF(DATOS_[[AGRUP. CLAS. PROF.]:[AGRUP. CLAS. PROF.]]=$B30,IF(DATOS_[[Check Periodo Ref.]:[Check Periodo Ref.]]="Dentro",DATOS_[Conc.Sal.07]))))), 0)</f>
        <v>0</v>
      </c>
      <c r="M31" s="209" t="n">
        <f aca="false" t="array" ref="M31:M31">IFERROR( AVERAGE((IF(DATOS_[[Sexo]:[Sexo]]=$B31,IF(DATOS_[[AGRUP. CLAS. PROF.]:[AGRUP. CLAS. PROF.]]=$B30,IF(DATOS_[[Check Periodo Ref.]:[Check Periodo Ref.]]="Dentro",DATOS_[Conc.Sal.08]))))), 0)</f>
        <v>0</v>
      </c>
      <c r="N31" s="209" t="n">
        <f aca="false" t="array" ref="N31:N31">IFERROR( AVERAGE((IF(DATOS_[[Sexo]:[Sexo]]=$B31,IF(DATOS_[[AGRUP. CLAS. PROF.]:[AGRUP. CLAS. PROF.]]=$B30,IF(DATOS_[[Check Periodo Ref.]:[Check Periodo Ref.]]="Dentro",DATOS_[Conc.Sal.09]))))), 0)</f>
        <v>0</v>
      </c>
      <c r="O31" s="209" t="n">
        <f aca="false" t="array" ref="O31:O31">IFERROR( AVERAGE((IF(DATOS_[[Sexo]:[Sexo]]=$B31,IF(DATOS_[[AGRUP. CLAS. PROF.]:[AGRUP. CLAS. PROF.]]=$B30,IF(DATOS_[[Check Periodo Ref.]:[Check Periodo Ref.]]="Dentro",DATOS_[Conc.Sal.10]))))), 0)</f>
        <v>0</v>
      </c>
      <c r="P31" s="209" t="n">
        <f aca="false" t="array" ref="P31:P31">IFERROR( AVERAGE((IF(DATOS_[[Sexo]:[Sexo]]=$B31,IF(DATOS_[[AGRUP. CLAS. PROF.]:[AGRUP. CLAS. PROF.]]=$B30,IF(DATOS_[[Check Periodo Ref.]:[Check Periodo Ref.]]="Dentro",DATOS_[Conc.Sal.11]))))), 0)</f>
        <v>0</v>
      </c>
      <c r="Q31" s="209" t="n">
        <f aca="false" t="array" ref="Q31:Q31">IFERROR( AVERAGE((IF(DATOS_[[Sexo]:[Sexo]]=$B31,IF(DATOS_[[AGRUP. CLAS. PROF.]:[AGRUP. CLAS. PROF.]]=$B30,IF(DATOS_[[Check Periodo Ref.]:[Check Periodo Ref.]]="Dentro",DATOS_[Conc.Sal.12]))))), 0)</f>
        <v>0</v>
      </c>
      <c r="R31" s="209" t="n">
        <f aca="false" t="array" ref="R31:R31">IFERROR( AVERAGE((IF(DATOS_[[Sexo]:[Sexo]]=$B31,IF(DATOS_[[AGRUP. CLAS. PROF.]:[AGRUP. CLAS. PROF.]]=$B30,IF(DATOS_[[Check Periodo Ref.]:[Check Periodo Ref.]]="Dentro",DATOS_[Conc.Sal.13]))))), 0)</f>
        <v>0</v>
      </c>
      <c r="S31" s="209" t="n">
        <f aca="false" t="array" ref="S31:S31">IFERROR( AVERAGE((IF(DATOS_[[Sexo]:[Sexo]]=$B31,IF(DATOS_[[AGRUP. CLAS. PROF.]:[AGRUP. CLAS. PROF.]]=$B30,IF(DATOS_[[Check Periodo Ref.]:[Check Periodo Ref.]]="Dentro",DATOS_[Conc.Sal.14]))))), 0)</f>
        <v>0</v>
      </c>
      <c r="T31" s="209" t="n">
        <f aca="false" t="array" ref="T31:T31">IFERROR( AVERAGE((IF(DATOS_[[Sexo]:[Sexo]]=$B31,IF(DATOS_[[AGRUP. CLAS. PROF.]:[AGRUP. CLAS. PROF.]]=$B30,IF(DATOS_[[Check Periodo Ref.]:[Check Periodo Ref.]]="Dentro",DATOS_[Conc.Sal.15]))))), 0)</f>
        <v>0</v>
      </c>
      <c r="U31" s="209" t="n">
        <f aca="false" t="array" ref="U31:U31">IFERROR( AVERAGE((IF(DATOS_[[Sexo]:[Sexo]]=$B31,IF(DATOS_[[AGRUP. CLAS. PROF.]:[AGRUP. CLAS. PROF.]]=$B30,IF(DATOS_[[Check Periodo Ref.]:[Check Periodo Ref.]]="Dentro",DATOS_[Conc.Sal.16]))))), 0)</f>
        <v>0</v>
      </c>
      <c r="V31" s="209" t="n">
        <f aca="false" t="array" ref="V31:V31">IFERROR( AVERAGE((IF(DATOS_[[Sexo]:[Sexo]]=$B31,IF(DATOS_[[AGRUP. CLAS. PROF.]:[AGRUP. CLAS. PROF.]]=$B30,IF(DATOS_[[Check Periodo Ref.]:[Check Periodo Ref.]]="Dentro",DATOS_[Conc.Sal.17]))))), 0)</f>
        <v>0</v>
      </c>
      <c r="W31" s="209" t="n">
        <f aca="false" t="array" ref="W31:W31">IFERROR( AVERAGE((IF(DATOS_[[Sexo]:[Sexo]]=$B31,IF(DATOS_[[AGRUP. CLAS. PROF.]:[AGRUP. CLAS. PROF.]]=$B30,IF(DATOS_[[Check Periodo Ref.]:[Check Periodo Ref.]]="Dentro",DATOS_[Conc.Sal.18]))))), 0)</f>
        <v>0</v>
      </c>
      <c r="X31" s="209" t="n">
        <f aca="false" t="array" ref="X31:X31">IFERROR( AVERAGE((IF(DATOS_[[Sexo]:[Sexo]]=$B31,IF(DATOS_[[AGRUP. CLAS. PROF.]:[AGRUP. CLAS. PROF.]]=$B30,IF(DATOS_[[Check Periodo Ref.]:[Check Periodo Ref.]]="Dentro",DATOS_[Conc.Sal.19]))))), 0)</f>
        <v>0</v>
      </c>
      <c r="Y31" s="209" t="n">
        <f aca="false" t="array" ref="Y31:Y31">IFERROR( AVERAGE((IF(DATOS_[[Sexo]:[Sexo]]=$B31,IF(DATOS_[[AGRUP. CLAS. PROF.]:[AGRUP. CLAS. PROF.]]=$B30,IF(DATOS_[[Check Periodo Ref.]:[Check Periodo Ref.]]="Dentro",DATOS_[Conc.Sal.20]))))), 0)</f>
        <v>0</v>
      </c>
      <c r="Z31" s="209" t="n">
        <f aca="false" t="array" ref="Z31:Z31">IFERROR( AVERAGE((IF(DATOS_[[Sexo]:[Sexo]]=$B31,IF(DATOS_[[AGRUP. CLAS. PROF.]:[AGRUP. CLAS. PROF.]]=$B30,IF(DATOS_[[Check Periodo Ref.]:[Check Periodo Ref.]]="Dentro",DATOS_[Conc.Sal.21]))))), 0)</f>
        <v>0</v>
      </c>
      <c r="AA31" s="209" t="n">
        <f aca="false" t="array" ref="AA31:AA31">IFERROR( AVERAGE((IF(DATOS_[[Sexo]:[Sexo]]=$B31,IF(DATOS_[[AGRUP. CLAS. PROF.]:[AGRUP. CLAS. PROF.]]=$B30,IF(DATOS_[[Check Periodo Ref.]:[Check Periodo Ref.]]="Dentro",DATOS_[Conc.Sal.22]))))), 0)</f>
        <v>0</v>
      </c>
      <c r="AB31" s="209" t="n">
        <f aca="false" t="array" ref="AB31:AB31">IFERROR( AVERAGE((IF(DATOS_[[Sexo]:[Sexo]]=$B31,IF(DATOS_[[AGRUP. CLAS. PROF.]:[AGRUP. CLAS. PROF.]]=$B30,IF(DATOS_[[Check Periodo Ref.]:[Check Periodo Ref.]]="Dentro",DATOS_[Conc.Sal.23]))))), 0)</f>
        <v>0</v>
      </c>
      <c r="AC31" s="209" t="n">
        <f aca="false" t="array" ref="AC31:AC31">IFERROR( AVERAGE((IF(DATOS_[[Sexo]:[Sexo]]=$B31,IF(DATOS_[[AGRUP. CLAS. PROF.]:[AGRUP. CLAS. PROF.]]=$B30,IF(DATOS_[[Check Periodo Ref.]:[Check Periodo Ref.]]="Dentro",DATOS_[Conc.Sal.24]))))), 0)</f>
        <v>0</v>
      </c>
      <c r="AD31" s="209" t="n">
        <f aca="false" t="array" ref="AD31:AD31">IFERROR( AVERAGE((IF(DATOS_[[Sexo]:[Sexo]]=$B31,IF(DATOS_[[AGRUP. CLAS. PROF.]:[AGRUP. CLAS. PROF.]]=$B30,IF(DATOS_[[Check Periodo Ref.]:[Check Periodo Ref.]]="Dentro",DATOS_[Conc.Sal.25]))))), 0)</f>
        <v>0</v>
      </c>
      <c r="AE31" s="209" t="n">
        <f aca="false" t="array" ref="AE31:AE31">IFERROR( AVERAGE((IF(DATOS_[[Sexo]:[Sexo]]=$B31,IF(DATOS_[[AGRUP. CLAS. PROF.]:[AGRUP. CLAS. PROF.]]=$B30,IF(DATOS_[[Check Periodo Ref.]:[Check Periodo Ref.]]="Dentro",DATOS_[Conc.Sal.26]))))), 0)</f>
        <v>0</v>
      </c>
      <c r="AF31" s="209" t="n">
        <f aca="false" t="array" ref="AF31:AF31">IFERROR( AVERAGE((IF(DATOS_[[Sexo]:[Sexo]]=$B31,IF(DATOS_[[AGRUP. CLAS. PROF.]:[AGRUP. CLAS. PROF.]]=$B30,IF(DATOS_[[Check Periodo Ref.]:[Check Periodo Ref.]]="Dentro",DATOS_[Conc.Sal.27]))))), 0)</f>
        <v>0</v>
      </c>
      <c r="AG31" s="209" t="n">
        <f aca="false" t="array" ref="AG31:AG31">IFERROR( AVERAGE((IF(DATOS_[[Sexo]:[Sexo]]=$B31,IF(DATOS_[[AGRUP. CLAS. PROF.]:[AGRUP. CLAS. PROF.]]=$B30,IF(DATOS_[[Check Periodo Ref.]:[Check Periodo Ref.]]="Dentro",DATOS_[Conc.Sal.28]))))), 0)</f>
        <v>0</v>
      </c>
      <c r="AH31" s="209" t="n">
        <f aca="false" t="array" ref="AH31:AH31">IFERROR( AVERAGE((IF(DATOS_[[Sexo]:[Sexo]]=$B31,IF(DATOS_[[AGRUP. CLAS. PROF.]:[AGRUP. CLAS. PROF.]]=$B30,IF(DATOS_[[Check Periodo Ref.]:[Check Periodo Ref.]]="Dentro",DATOS_[Conc.Sal.29]))))), 0)</f>
        <v>0</v>
      </c>
      <c r="AI31" s="209" t="n">
        <f aca="false" t="array" ref="AI31:AI31">IFERROR( AVERAGE((IF(DATOS_[[Sexo]:[Sexo]]=$B31,IF(DATOS_[[AGRUP. CLAS. PROF.]:[AGRUP. CLAS. PROF.]]=$B30,IF(DATOS_[[Check Periodo Ref.]:[Check Periodo Ref.]]="Dentro",DATOS_[Conc.Sal.30]))))), 0)</f>
        <v>0</v>
      </c>
      <c r="AJ31" s="210" t="n">
        <f aca="false" t="array" ref="AJ31:AJ31">IFERROR( AVERAGE(IF(DATOS_[Sexo]=$B31,IF(DATOS_[AGRUP. CLAS. PROF.]=$B30,IF(DATOS_[Check Periodo Ref.]="Dentro",DATOS_[Tot COMPL.SAL Ef],0)))), 0)</f>
        <v>0</v>
      </c>
      <c r="AK31" s="211" t="n">
        <f aca="false" t="array" ref="AK31:AK31">IFERROR( AVERAGE(IF(DATOS_[Sexo]=$B31,IF(DATOS_[AGRUP. CLAS. PROF.]=$B30,IF(DATOS_[Check Periodo Ref.]="Dentro",DATOS_[TOTAL SALARIO Ef],0)))), 0)</f>
        <v>0</v>
      </c>
      <c r="AL31" s="212" t="n">
        <f aca="false" t="array" ref="AL31:AL31">IFERROR( AVERAGE((IF(DATOS_[[Sexo]:[Sexo]]=$B31,IF(DATOS_[[AGRUP. CLAS. PROF.]:[AGRUP. CLAS. PROF.]]=$B30,IF(DATOS_[[Check Periodo Ref.]:[Check Periodo Ref.]]="Dentro",DATOS_[C.Extra.01]))))), 0)</f>
        <v>0</v>
      </c>
      <c r="AM31" s="212" t="n">
        <f aca="false" t="array" ref="AM31:AM31">IFERROR( AVERAGE((IF(DATOS_[[Sexo]:[Sexo]]=$B31,IF(DATOS_[[AGRUP. CLAS. PROF.]:[AGRUP. CLAS. PROF.]]=$B30,IF(DATOS_[[Check Periodo Ref.]:[Check Periodo Ref.]]="Dentro",DATOS_[C.Extra.02]))))), 0)</f>
        <v>0</v>
      </c>
      <c r="AN31" s="212" t="n">
        <f aca="false" t="array" ref="AN31:AN31">IFERROR( AVERAGE((IF(DATOS_[[Sexo]:[Sexo]]=$B31,IF(DATOS_[[AGRUP. CLAS. PROF.]:[AGRUP. CLAS. PROF.]]=$B30,IF(DATOS_[[Check Periodo Ref.]:[Check Periodo Ref.]]="Dentro",DATOS_[C.Extra.03]))))), 0)</f>
        <v>0</v>
      </c>
      <c r="AO31" s="212" t="n">
        <f aca="false" t="array" ref="AO31:AO31">IFERROR( AVERAGE((IF(DATOS_[[Sexo]:[Sexo]]=$B31,IF(DATOS_[[AGRUP. CLAS. PROF.]:[AGRUP. CLAS. PROF.]]=$B30,IF(DATOS_[[Check Periodo Ref.]:[Check Periodo Ref.]]="Dentro",DATOS_[C.Extra.04]))))), 0)</f>
        <v>0</v>
      </c>
      <c r="AP31" s="212" t="n">
        <f aca="false" t="array" ref="AP31:AP31">IFERROR( AVERAGE((IF(DATOS_[[Sexo]:[Sexo]]=$B31,IF(DATOS_[[AGRUP. CLAS. PROF.]:[AGRUP. CLAS. PROF.]]=$B30,IF(DATOS_[[Check Periodo Ref.]:[Check Periodo Ref.]]="Dentro",DATOS_[C.Extra.05]))))), 0)</f>
        <v>0</v>
      </c>
      <c r="AQ31" s="213" t="n">
        <f aca="false" t="array" ref="AQ31:AQ31">IFERROR( AVERAGE(IF(DATOS_[Sexo]=$B31,IF(DATOS_[AGRUP. CLAS. PROF.]=$B30,IF(DATOS_[Check Periodo Ref.]="Dentro",DATOS_[Tot Extrasalarial Ef],0)))), 0)</f>
        <v>0</v>
      </c>
      <c r="AR31" s="214" t="n">
        <f aca="false" t="array" ref="AR31:AR31">IFERROR( AVERAGE(IF(DATOS_[Sexo]=$B31,IF(DATOS_[AGRUP. CLAS. PROF.]=$B30,IF(DATOS_[Check Periodo Ref.]="Dentro",DATOS_[TOTAL Retrib Ef],0)))), 0)</f>
        <v>0</v>
      </c>
    </row>
    <row r="32" customFormat="false" ht="14.25" hidden="false" customHeight="false" outlineLevel="0" collapsed="false">
      <c r="A32" s="191" t="str">
        <f aca="false">+A31</f>
        <v>[ocultar]</v>
      </c>
      <c r="B32" s="205" t="s">
        <v>372</v>
      </c>
      <c r="C32" s="206" t="n">
        <f aca="false" t="array" ref="C32:C32">SUM(IF($B32=DATOS_[Sexo], IF($B30=DATOS_[AGRUP. CLAS. PROF.], IF("Dentro"=DATOS_[Check Periodo Ref.], 1/(COUNTIFS(DATOS_[Sexo],$B32,DATOS_[AGRUP. CLAS. PROF.],$B30,DATOS_[Check Periodo Ref.],"Dentro",DATOS_[id],DATOS_[id]))))))</f>
        <v>0</v>
      </c>
      <c r="D32" s="207" t="n">
        <f aca="false">COUNTIFS(DATOS_[AGRUP. CLAS. PROF.],$B30,DATOS_[Sexo],$B32,DATOS_[Check Periodo Ref.],"Dentro")</f>
        <v>0</v>
      </c>
      <c r="E32" s="208" t="n">
        <f aca="false" t="array" ref="E32:E32">IFERROR( AVERAGE(IF(DATOS_[Sexo]=$B32,IF(DATOS_[AGRUP. CLAS. PROF.]=$B30,IF(DATOS_[Check Periodo Ref.]="Dentro",DATOS_[SALARIO BASE Ef],0)))), 0)</f>
        <v>0</v>
      </c>
      <c r="F32" s="209" t="n">
        <f aca="false" t="array" ref="F32:F32">IFERROR( AVERAGE((IF(DATOS_[[Sexo]:[Sexo]]=$B32,IF(DATOS_[[AGRUP. CLAS. PROF.]:[AGRUP. CLAS. PROF.]]=$B30,IF(DATOS_[[Check Periodo Ref.]:[Check Periodo Ref.]]="Dentro",DATOS_[Conc.Sal.01]))))), 0)</f>
        <v>0</v>
      </c>
      <c r="G32" s="209" t="n">
        <f aca="false" t="array" ref="G32:G32">IFERROR( AVERAGE((IF(DATOS_[[Sexo]:[Sexo]]=$B32,IF(DATOS_[[AGRUP. CLAS. PROF.]:[AGRUP. CLAS. PROF.]]=$B30,IF(DATOS_[[Check Periodo Ref.]:[Check Periodo Ref.]]="Dentro",DATOS_[Conc.Sal.02]))))), 0)</f>
        <v>0</v>
      </c>
      <c r="H32" s="209" t="n">
        <f aca="false" t="array" ref="H32:H32">IFERROR( AVERAGE((IF(DATOS_[[Sexo]:[Sexo]]=$B32,IF(DATOS_[[AGRUP. CLAS. PROF.]:[AGRUP. CLAS. PROF.]]=$B30,IF(DATOS_[[Check Periodo Ref.]:[Check Periodo Ref.]]="Dentro",DATOS_[Conc.Sal.03]))))), 0)</f>
        <v>0</v>
      </c>
      <c r="I32" s="209" t="n">
        <f aca="false" t="array" ref="I32:I32">IFERROR( AVERAGE((IF(DATOS_[[Sexo]:[Sexo]]=$B32,IF(DATOS_[[AGRUP. CLAS. PROF.]:[AGRUP. CLAS. PROF.]]=$B30,IF(DATOS_[[Check Periodo Ref.]:[Check Periodo Ref.]]="Dentro",DATOS_[Conc.Sal.04]))))), 0)</f>
        <v>0</v>
      </c>
      <c r="J32" s="209" t="n">
        <f aca="false" t="array" ref="J32:J32">IFERROR( AVERAGE((IF(DATOS_[[Sexo]:[Sexo]]=$B32,IF(DATOS_[[AGRUP. CLAS. PROF.]:[AGRUP. CLAS. PROF.]]=$B30,IF(DATOS_[[Check Periodo Ref.]:[Check Periodo Ref.]]="Dentro",DATOS_[Conc.Sal.05]))))), 0)</f>
        <v>0</v>
      </c>
      <c r="K32" s="209" t="n">
        <f aca="false" t="array" ref="K32:K32">IFERROR( AVERAGE((IF(DATOS_[[Sexo]:[Sexo]]=$B32,IF(DATOS_[[AGRUP. CLAS. PROF.]:[AGRUP. CLAS. PROF.]]=$B30,IF(DATOS_[[Check Periodo Ref.]:[Check Periodo Ref.]]="Dentro",DATOS_[Conc.Sal.06]))))), 0)</f>
        <v>0</v>
      </c>
      <c r="L32" s="209" t="n">
        <f aca="false" t="array" ref="L32:L32">IFERROR( AVERAGE((IF(DATOS_[[Sexo]:[Sexo]]=$B32,IF(DATOS_[[AGRUP. CLAS. PROF.]:[AGRUP. CLAS. PROF.]]=$B30,IF(DATOS_[[Check Periodo Ref.]:[Check Periodo Ref.]]="Dentro",DATOS_[Conc.Sal.07]))))), 0)</f>
        <v>0</v>
      </c>
      <c r="M32" s="209" t="n">
        <f aca="false" t="array" ref="M32:M32">IFERROR( AVERAGE((IF(DATOS_[[Sexo]:[Sexo]]=$B32,IF(DATOS_[[AGRUP. CLAS. PROF.]:[AGRUP. CLAS. PROF.]]=$B30,IF(DATOS_[[Check Periodo Ref.]:[Check Periodo Ref.]]="Dentro",DATOS_[Conc.Sal.08]))))), 0)</f>
        <v>0</v>
      </c>
      <c r="N32" s="209" t="n">
        <f aca="false" t="array" ref="N32:N32">IFERROR( AVERAGE((IF(DATOS_[[Sexo]:[Sexo]]=$B32,IF(DATOS_[[AGRUP. CLAS. PROF.]:[AGRUP. CLAS. PROF.]]=$B30,IF(DATOS_[[Check Periodo Ref.]:[Check Periodo Ref.]]="Dentro",DATOS_[Conc.Sal.09]))))), 0)</f>
        <v>0</v>
      </c>
      <c r="O32" s="209" t="n">
        <f aca="false" t="array" ref="O32:O32">IFERROR( AVERAGE((IF(DATOS_[[Sexo]:[Sexo]]=$B32,IF(DATOS_[[AGRUP. CLAS. PROF.]:[AGRUP. CLAS. PROF.]]=$B30,IF(DATOS_[[Check Periodo Ref.]:[Check Periodo Ref.]]="Dentro",DATOS_[Conc.Sal.10]))))), 0)</f>
        <v>0</v>
      </c>
      <c r="P32" s="209" t="n">
        <f aca="false" t="array" ref="P32:P32">IFERROR( AVERAGE((IF(DATOS_[[Sexo]:[Sexo]]=$B32,IF(DATOS_[[AGRUP. CLAS. PROF.]:[AGRUP. CLAS. PROF.]]=$B30,IF(DATOS_[[Check Periodo Ref.]:[Check Periodo Ref.]]="Dentro",DATOS_[Conc.Sal.11]))))), 0)</f>
        <v>0</v>
      </c>
      <c r="Q32" s="209" t="n">
        <f aca="false" t="array" ref="Q32:Q32">IFERROR( AVERAGE((IF(DATOS_[[Sexo]:[Sexo]]=$B32,IF(DATOS_[[AGRUP. CLAS. PROF.]:[AGRUP. CLAS. PROF.]]=$B30,IF(DATOS_[[Check Periodo Ref.]:[Check Periodo Ref.]]="Dentro",DATOS_[Conc.Sal.12]))))), 0)</f>
        <v>0</v>
      </c>
      <c r="R32" s="209" t="n">
        <f aca="false" t="array" ref="R32:R32">IFERROR( AVERAGE((IF(DATOS_[[Sexo]:[Sexo]]=$B32,IF(DATOS_[[AGRUP. CLAS. PROF.]:[AGRUP. CLAS. PROF.]]=$B30,IF(DATOS_[[Check Periodo Ref.]:[Check Periodo Ref.]]="Dentro",DATOS_[Conc.Sal.13]))))), 0)</f>
        <v>0</v>
      </c>
      <c r="S32" s="209" t="n">
        <f aca="false" t="array" ref="S32:S32">IFERROR( AVERAGE((IF(DATOS_[[Sexo]:[Sexo]]=$B32,IF(DATOS_[[AGRUP. CLAS. PROF.]:[AGRUP. CLAS. PROF.]]=$B30,IF(DATOS_[[Check Periodo Ref.]:[Check Periodo Ref.]]="Dentro",DATOS_[Conc.Sal.14]))))), 0)</f>
        <v>0</v>
      </c>
      <c r="T32" s="209" t="n">
        <f aca="false" t="array" ref="T32:T32">IFERROR( AVERAGE((IF(DATOS_[[Sexo]:[Sexo]]=$B32,IF(DATOS_[[AGRUP. CLAS. PROF.]:[AGRUP. CLAS. PROF.]]=$B30,IF(DATOS_[[Check Periodo Ref.]:[Check Periodo Ref.]]="Dentro",DATOS_[Conc.Sal.15]))))), 0)</f>
        <v>0</v>
      </c>
      <c r="U32" s="209" t="n">
        <f aca="false" t="array" ref="U32:U32">IFERROR( AVERAGE((IF(DATOS_[[Sexo]:[Sexo]]=$B32,IF(DATOS_[[AGRUP. CLAS. PROF.]:[AGRUP. CLAS. PROF.]]=$B30,IF(DATOS_[[Check Periodo Ref.]:[Check Periodo Ref.]]="Dentro",DATOS_[Conc.Sal.16]))))), 0)</f>
        <v>0</v>
      </c>
      <c r="V32" s="209" t="n">
        <f aca="false" t="array" ref="V32:V32">IFERROR( AVERAGE((IF(DATOS_[[Sexo]:[Sexo]]=$B32,IF(DATOS_[[AGRUP. CLAS. PROF.]:[AGRUP. CLAS. PROF.]]=$B30,IF(DATOS_[[Check Periodo Ref.]:[Check Periodo Ref.]]="Dentro",DATOS_[Conc.Sal.17]))))), 0)</f>
        <v>0</v>
      </c>
      <c r="W32" s="209" t="n">
        <f aca="false" t="array" ref="W32:W32">IFERROR( AVERAGE((IF(DATOS_[[Sexo]:[Sexo]]=$B32,IF(DATOS_[[AGRUP. CLAS. PROF.]:[AGRUP. CLAS. PROF.]]=$B30,IF(DATOS_[[Check Periodo Ref.]:[Check Periodo Ref.]]="Dentro",DATOS_[Conc.Sal.18]))))), 0)</f>
        <v>0</v>
      </c>
      <c r="X32" s="209" t="n">
        <f aca="false" t="array" ref="X32:X32">IFERROR( AVERAGE((IF(DATOS_[[Sexo]:[Sexo]]=$B32,IF(DATOS_[[AGRUP. CLAS. PROF.]:[AGRUP. CLAS. PROF.]]=$B30,IF(DATOS_[[Check Periodo Ref.]:[Check Periodo Ref.]]="Dentro",DATOS_[Conc.Sal.19]))))), 0)</f>
        <v>0</v>
      </c>
      <c r="Y32" s="209" t="n">
        <f aca="false" t="array" ref="Y32:Y32">IFERROR( AVERAGE((IF(DATOS_[[Sexo]:[Sexo]]=$B32,IF(DATOS_[[AGRUP. CLAS. PROF.]:[AGRUP. CLAS. PROF.]]=$B30,IF(DATOS_[[Check Periodo Ref.]:[Check Periodo Ref.]]="Dentro",DATOS_[Conc.Sal.20]))))), 0)</f>
        <v>0</v>
      </c>
      <c r="Z32" s="209" t="n">
        <f aca="false" t="array" ref="Z32:Z32">IFERROR( AVERAGE((IF(DATOS_[[Sexo]:[Sexo]]=$B32,IF(DATOS_[[AGRUP. CLAS. PROF.]:[AGRUP. CLAS. PROF.]]=$B30,IF(DATOS_[[Check Periodo Ref.]:[Check Periodo Ref.]]="Dentro",DATOS_[Conc.Sal.21]))))), 0)</f>
        <v>0</v>
      </c>
      <c r="AA32" s="209" t="n">
        <f aca="false" t="array" ref="AA32:AA32">IFERROR( AVERAGE((IF(DATOS_[[Sexo]:[Sexo]]=$B32,IF(DATOS_[[AGRUP. CLAS. PROF.]:[AGRUP. CLAS. PROF.]]=$B30,IF(DATOS_[[Check Periodo Ref.]:[Check Periodo Ref.]]="Dentro",DATOS_[Conc.Sal.22]))))), 0)</f>
        <v>0</v>
      </c>
      <c r="AB32" s="209" t="n">
        <f aca="false" t="array" ref="AB32:AB32">IFERROR( AVERAGE((IF(DATOS_[[Sexo]:[Sexo]]=$B32,IF(DATOS_[[AGRUP. CLAS. PROF.]:[AGRUP. CLAS. PROF.]]=$B30,IF(DATOS_[[Check Periodo Ref.]:[Check Periodo Ref.]]="Dentro",DATOS_[Conc.Sal.23]))))), 0)</f>
        <v>0</v>
      </c>
      <c r="AC32" s="209" t="n">
        <f aca="false" t="array" ref="AC32:AC32">IFERROR( AVERAGE((IF(DATOS_[[Sexo]:[Sexo]]=$B32,IF(DATOS_[[AGRUP. CLAS. PROF.]:[AGRUP. CLAS. PROF.]]=$B30,IF(DATOS_[[Check Periodo Ref.]:[Check Periodo Ref.]]="Dentro",DATOS_[Conc.Sal.24]))))), 0)</f>
        <v>0</v>
      </c>
      <c r="AD32" s="209" t="n">
        <f aca="false" t="array" ref="AD32:AD32">IFERROR( AVERAGE((IF(DATOS_[[Sexo]:[Sexo]]=$B32,IF(DATOS_[[AGRUP. CLAS. PROF.]:[AGRUP. CLAS. PROF.]]=$B30,IF(DATOS_[[Check Periodo Ref.]:[Check Periodo Ref.]]="Dentro",DATOS_[Conc.Sal.25]))))), 0)</f>
        <v>0</v>
      </c>
      <c r="AE32" s="209" t="n">
        <f aca="false" t="array" ref="AE32:AE32">IFERROR( AVERAGE((IF(DATOS_[[Sexo]:[Sexo]]=$B32,IF(DATOS_[[AGRUP. CLAS. PROF.]:[AGRUP. CLAS. PROF.]]=$B30,IF(DATOS_[[Check Periodo Ref.]:[Check Periodo Ref.]]="Dentro",DATOS_[Conc.Sal.26]))))), 0)</f>
        <v>0</v>
      </c>
      <c r="AF32" s="209" t="n">
        <f aca="false" t="array" ref="AF32:AF32">IFERROR( AVERAGE((IF(DATOS_[[Sexo]:[Sexo]]=$B32,IF(DATOS_[[AGRUP. CLAS. PROF.]:[AGRUP. CLAS. PROF.]]=$B30,IF(DATOS_[[Check Periodo Ref.]:[Check Periodo Ref.]]="Dentro",DATOS_[Conc.Sal.27]))))), 0)</f>
        <v>0</v>
      </c>
      <c r="AG32" s="209" t="n">
        <f aca="false" t="array" ref="AG32:AG32">IFERROR( AVERAGE((IF(DATOS_[[Sexo]:[Sexo]]=$B32,IF(DATOS_[[AGRUP. CLAS. PROF.]:[AGRUP. CLAS. PROF.]]=$B30,IF(DATOS_[[Check Periodo Ref.]:[Check Periodo Ref.]]="Dentro",DATOS_[Conc.Sal.28]))))), 0)</f>
        <v>0</v>
      </c>
      <c r="AH32" s="209" t="n">
        <f aca="false" t="array" ref="AH32:AH32">IFERROR( AVERAGE((IF(DATOS_[[Sexo]:[Sexo]]=$B32,IF(DATOS_[[AGRUP. CLAS. PROF.]:[AGRUP. CLAS. PROF.]]=$B30,IF(DATOS_[[Check Periodo Ref.]:[Check Periodo Ref.]]="Dentro",DATOS_[Conc.Sal.29]))))), 0)</f>
        <v>0</v>
      </c>
      <c r="AI32" s="209" t="n">
        <f aca="false" t="array" ref="AI32:AI32">IFERROR( AVERAGE((IF(DATOS_[[Sexo]:[Sexo]]=$B32,IF(DATOS_[[AGRUP. CLAS. PROF.]:[AGRUP. CLAS. PROF.]]=$B30,IF(DATOS_[[Check Periodo Ref.]:[Check Periodo Ref.]]="Dentro",DATOS_[Conc.Sal.30]))))), 0)</f>
        <v>0</v>
      </c>
      <c r="AJ32" s="210" t="n">
        <f aca="false" t="array" ref="AJ32:AJ32">IFERROR( AVERAGE(IF(DATOS_[Sexo]=$B32,IF(DATOS_[AGRUP. CLAS. PROF.]=$B30,IF(DATOS_[Check Periodo Ref.]="Dentro",DATOS_[Tot COMPL.SAL Ef],0)))), 0)</f>
        <v>0</v>
      </c>
      <c r="AK32" s="211" t="n">
        <f aca="false" t="array" ref="AK32:AK32">IFERROR( AVERAGE(IF(DATOS_[Sexo]=$B32,IF(DATOS_[AGRUP. CLAS. PROF.]=$B30,IF(DATOS_[Check Periodo Ref.]="Dentro",DATOS_[TOTAL SALARIO Ef],0)))), 0)</f>
        <v>0</v>
      </c>
      <c r="AL32" s="212" t="n">
        <f aca="false" t="array" ref="AL32:AL32">IFERROR( AVERAGE((IF(DATOS_[[Sexo]:[Sexo]]=$B32,IF(DATOS_[[AGRUP. CLAS. PROF.]:[AGRUP. CLAS. PROF.]]=$B30,IF(DATOS_[[Check Periodo Ref.]:[Check Periodo Ref.]]="Dentro",DATOS_[C.Extra.01]))))), 0)</f>
        <v>0</v>
      </c>
      <c r="AM32" s="212" t="n">
        <f aca="false" t="array" ref="AM32:AM32">IFERROR( AVERAGE((IF(DATOS_[[Sexo]:[Sexo]]=$B32,IF(DATOS_[[AGRUP. CLAS. PROF.]:[AGRUP. CLAS. PROF.]]=$B30,IF(DATOS_[[Check Periodo Ref.]:[Check Periodo Ref.]]="Dentro",DATOS_[C.Extra.02]))))), 0)</f>
        <v>0</v>
      </c>
      <c r="AN32" s="212" t="n">
        <f aca="false" t="array" ref="AN32:AN32">IFERROR( AVERAGE((IF(DATOS_[[Sexo]:[Sexo]]=$B32,IF(DATOS_[[AGRUP. CLAS. PROF.]:[AGRUP. CLAS. PROF.]]=$B30,IF(DATOS_[[Check Periodo Ref.]:[Check Periodo Ref.]]="Dentro",DATOS_[C.Extra.03]))))), 0)</f>
        <v>0</v>
      </c>
      <c r="AO32" s="212" t="n">
        <f aca="false" t="array" ref="AO32:AO32">IFERROR( AVERAGE((IF(DATOS_[[Sexo]:[Sexo]]=$B32,IF(DATOS_[[AGRUP. CLAS. PROF.]:[AGRUP. CLAS. PROF.]]=$B30,IF(DATOS_[[Check Periodo Ref.]:[Check Periodo Ref.]]="Dentro",DATOS_[C.Extra.04]))))), 0)</f>
        <v>0</v>
      </c>
      <c r="AP32" s="212" t="n">
        <f aca="false" t="array" ref="AP32:AP32">IFERROR( AVERAGE((IF(DATOS_[[Sexo]:[Sexo]]=$B32,IF(DATOS_[[AGRUP. CLAS. PROF.]:[AGRUP. CLAS. PROF.]]=$B30,IF(DATOS_[[Check Periodo Ref.]:[Check Periodo Ref.]]="Dentro",DATOS_[C.Extra.05]))))), 0)</f>
        <v>0</v>
      </c>
      <c r="AQ32" s="213" t="n">
        <f aca="false" t="array" ref="AQ32:AQ32">IFERROR( AVERAGE(IF(DATOS_[Sexo]=$B32,IF(DATOS_[AGRUP. CLAS. PROF.]=$B30,IF(DATOS_[Check Periodo Ref.]="Dentro",DATOS_[Tot Extrasalarial Ef],0)))), 0)</f>
        <v>0</v>
      </c>
      <c r="AR32" s="214" t="n">
        <f aca="false" t="array" ref="AR32:AR32">IFERROR( AVERAGE(IF(DATOS_[Sexo]=$B32,IF(DATOS_[AGRUP. CLAS. PROF.]=$B30,IF(DATOS_[Check Periodo Ref.]="Dentro",DATOS_[TOTAL Retrib Ef],0)))), 0)</f>
        <v>0</v>
      </c>
    </row>
    <row r="33" customFormat="false" ht="15.75" hidden="false" customHeight="false" outlineLevel="0" collapsed="false">
      <c r="A33" s="191" t="str">
        <f aca="false">+A34</f>
        <v>[ocultar]</v>
      </c>
      <c r="B33" s="192" t="s">
        <v>186</v>
      </c>
      <c r="C33" s="193"/>
      <c r="D33" s="194"/>
      <c r="E33" s="195" t="str">
        <f aca="false">IFERROR((E34-E35)/E34,"")</f>
        <v/>
      </c>
      <c r="F33" s="196" t="str">
        <f aca="false">IFERROR((F34-F35)/F34,"")</f>
        <v/>
      </c>
      <c r="G33" s="197" t="str">
        <f aca="false">IFERROR((G34-G35)/G34,"")</f>
        <v/>
      </c>
      <c r="H33" s="197" t="str">
        <f aca="false">IFERROR((H34-H35)/H34,"")</f>
        <v/>
      </c>
      <c r="I33" s="197" t="str">
        <f aca="false">IFERROR((I34-I35)/I34,"")</f>
        <v/>
      </c>
      <c r="J33" s="198" t="str">
        <f aca="false">IFERROR((J34-J35)/J34,"")</f>
        <v/>
      </c>
      <c r="K33" s="199" t="str">
        <f aca="false">IFERROR((K34-K35)/K34,"")</f>
        <v/>
      </c>
      <c r="L33" s="199" t="str">
        <f aca="false">IFERROR((L34-L35)/L34,"")</f>
        <v/>
      </c>
      <c r="M33" s="199" t="str">
        <f aca="false">IFERROR((M34-M35)/M34,"")</f>
        <v/>
      </c>
      <c r="N33" s="199" t="str">
        <f aca="false">IFERROR((N34-N35)/N34,"")</f>
        <v/>
      </c>
      <c r="O33" s="199" t="str">
        <f aca="false">IFERROR((O34-O35)/O34,"")</f>
        <v/>
      </c>
      <c r="P33" s="199" t="str">
        <f aca="false">IFERROR((P34-P35)/P34,"")</f>
        <v/>
      </c>
      <c r="Q33" s="199" t="str">
        <f aca="false">IFERROR((Q34-Q35)/Q34,"")</f>
        <v/>
      </c>
      <c r="R33" s="199" t="str">
        <f aca="false">IFERROR((R34-R35)/R34,"")</f>
        <v/>
      </c>
      <c r="S33" s="199" t="str">
        <f aca="false">IFERROR((S34-S35)/S34,"")</f>
        <v/>
      </c>
      <c r="T33" s="199" t="str">
        <f aca="false">IFERROR((T34-T35)/T34,"")</f>
        <v/>
      </c>
      <c r="U33" s="199" t="str">
        <f aca="false">IFERROR((U34-U35)/U34,"")</f>
        <v/>
      </c>
      <c r="V33" s="198" t="str">
        <f aca="false">IFERROR((V34-V35)/V34,"")</f>
        <v/>
      </c>
      <c r="W33" s="198" t="str">
        <f aca="false">IFERROR((W34-W35)/W34,"")</f>
        <v/>
      </c>
      <c r="X33" s="198" t="str">
        <f aca="false">IFERROR((X34-X35)/X34,"")</f>
        <v/>
      </c>
      <c r="Y33" s="198" t="str">
        <f aca="false">IFERROR((Y34-Y35)/Y34,"")</f>
        <v/>
      </c>
      <c r="Z33" s="198" t="str">
        <f aca="false">IFERROR((Z34-Z35)/Z34,"")</f>
        <v/>
      </c>
      <c r="AA33" s="198" t="str">
        <f aca="false">IFERROR((AA34-AA35)/AA34,"")</f>
        <v/>
      </c>
      <c r="AB33" s="198" t="str">
        <f aca="false">IFERROR((AB34-AB35)/AB34,"")</f>
        <v/>
      </c>
      <c r="AC33" s="198" t="str">
        <f aca="false">IFERROR((AC34-AC35)/AC34,"")</f>
        <v/>
      </c>
      <c r="AD33" s="198" t="str">
        <f aca="false">IFERROR((AD34-AD35)/AD34,"")</f>
        <v/>
      </c>
      <c r="AE33" s="198" t="str">
        <f aca="false">IFERROR((AE34-AE35)/AE34,"")</f>
        <v/>
      </c>
      <c r="AF33" s="198" t="str">
        <f aca="false">IFERROR((AF34-AF35)/AF34,"")</f>
        <v/>
      </c>
      <c r="AG33" s="198" t="str">
        <f aca="false">IFERROR((AG34-AG35)/AG34,"")</f>
        <v/>
      </c>
      <c r="AH33" s="198" t="str">
        <f aca="false">IFERROR((AH34-AH35)/AH34,"")</f>
        <v/>
      </c>
      <c r="AI33" s="198" t="str">
        <f aca="false">IFERROR((AI34-AI35)/AI34,"")</f>
        <v/>
      </c>
      <c r="AJ33" s="200" t="str">
        <f aca="false">IFERROR((AJ34-AJ35)/AJ34,"")</f>
        <v/>
      </c>
      <c r="AK33" s="201" t="str">
        <f aca="false">IFERROR((AK34-AK35)/AK34,"")</f>
        <v/>
      </c>
      <c r="AL33" s="202" t="str">
        <f aca="false">IFERROR((AL34-AL35)/AL34,"")</f>
        <v/>
      </c>
      <c r="AM33" s="202" t="str">
        <f aca="false">IFERROR((AM34-AM35)/AM34,"")</f>
        <v/>
      </c>
      <c r="AN33" s="202" t="str">
        <f aca="false">IFERROR((AN34-AN35)/AN34,"")</f>
        <v/>
      </c>
      <c r="AO33" s="202" t="str">
        <f aca="false">IFERROR((AO34-AO35)/AO34,"")</f>
        <v/>
      </c>
      <c r="AP33" s="202" t="str">
        <f aca="false">IFERROR((AP34-AP35)/AP34,"")</f>
        <v/>
      </c>
      <c r="AQ33" s="203" t="str">
        <f aca="false">IFERROR((AQ34-AQ35)/AQ34,"")</f>
        <v/>
      </c>
      <c r="AR33" s="204" t="str">
        <f aca="false">IFERROR((AR34-AR35)/AR34,"")</f>
        <v/>
      </c>
    </row>
    <row r="34" customFormat="false" ht="14.25" hidden="false" customHeight="false" outlineLevel="0" collapsed="false">
      <c r="A34" s="191" t="str">
        <f aca="false">+IF(C34+C35=0,"[ocultar]","")</f>
        <v>[ocultar]</v>
      </c>
      <c r="B34" s="205" t="s">
        <v>371</v>
      </c>
      <c r="C34" s="206" t="n">
        <f aca="false" t="array" ref="C34:C34">SUM(IF($B34=DATOS_[Sexo], IF($B33=DATOS_[AGRUP. CLAS. PROF.], IF("Dentro"=DATOS_[Check Periodo Ref.], 1/(COUNTIFS(DATOS_[Sexo],$B34,DATOS_[AGRUP. CLAS. PROF.],$B33,DATOS_[Check Periodo Ref.],"Dentro",DATOS_[id],DATOS_[id]))))))</f>
        <v>0</v>
      </c>
      <c r="D34" s="207" t="n">
        <f aca="false">COUNTIFS(DATOS_[AGRUP. CLAS. PROF.],$B33,DATOS_[Sexo],$B34,DATOS_[Check Periodo Ref.],"Dentro")</f>
        <v>0</v>
      </c>
      <c r="E34" s="208" t="n">
        <f aca="false" t="array" ref="E34:E34">IFERROR( AVERAGE(IF(DATOS_[Sexo]=$B34,IF(DATOS_[AGRUP. CLAS. PROF.]=$B33,IF(DATOS_[Check Periodo Ref.]="Dentro",DATOS_[SALARIO BASE Ef],0)))), 0)</f>
        <v>0</v>
      </c>
      <c r="F34" s="209" t="n">
        <f aca="false" t="array" ref="F34:F34">IFERROR( AVERAGE((IF(DATOS_[[Sexo]:[Sexo]]=$B34,IF(DATOS_[[AGRUP. CLAS. PROF.]:[AGRUP. CLAS. PROF.]]=$B33,IF(DATOS_[[Check Periodo Ref.]:[Check Periodo Ref.]]="Dentro",DATOS_[Conc.Sal.01]))))), 0)</f>
        <v>0</v>
      </c>
      <c r="G34" s="209" t="n">
        <f aca="false" t="array" ref="G34:G34">IFERROR( AVERAGE((IF(DATOS_[[Sexo]:[Sexo]]=$B34,IF(DATOS_[[AGRUP. CLAS. PROF.]:[AGRUP. CLAS. PROF.]]=$B33,IF(DATOS_[[Check Periodo Ref.]:[Check Periodo Ref.]]="Dentro",DATOS_[Conc.Sal.02]))))), 0)</f>
        <v>0</v>
      </c>
      <c r="H34" s="209" t="n">
        <f aca="false" t="array" ref="H34:H34">IFERROR( AVERAGE((IF(DATOS_[[Sexo]:[Sexo]]=$B34,IF(DATOS_[[AGRUP. CLAS. PROF.]:[AGRUP. CLAS. PROF.]]=$B33,IF(DATOS_[[Check Periodo Ref.]:[Check Periodo Ref.]]="Dentro",DATOS_[Conc.Sal.03]))))), 0)</f>
        <v>0</v>
      </c>
      <c r="I34" s="209" t="n">
        <f aca="false" t="array" ref="I34:I34">IFERROR( AVERAGE((IF(DATOS_[[Sexo]:[Sexo]]=$B34,IF(DATOS_[[AGRUP. CLAS. PROF.]:[AGRUP. CLAS. PROF.]]=$B33,IF(DATOS_[[Check Periodo Ref.]:[Check Periodo Ref.]]="Dentro",DATOS_[Conc.Sal.04]))))), 0)</f>
        <v>0</v>
      </c>
      <c r="J34" s="209" t="n">
        <f aca="false" t="array" ref="J34:J34">IFERROR( AVERAGE((IF(DATOS_[[Sexo]:[Sexo]]=$B34,IF(DATOS_[[AGRUP. CLAS. PROF.]:[AGRUP. CLAS. PROF.]]=$B33,IF(DATOS_[[Check Periodo Ref.]:[Check Periodo Ref.]]="Dentro",DATOS_[Conc.Sal.05]))))), 0)</f>
        <v>0</v>
      </c>
      <c r="K34" s="209" t="n">
        <f aca="false" t="array" ref="K34:K34">IFERROR( AVERAGE((IF(DATOS_[[Sexo]:[Sexo]]=$B34,IF(DATOS_[[AGRUP. CLAS. PROF.]:[AGRUP. CLAS. PROF.]]=$B33,IF(DATOS_[[Check Periodo Ref.]:[Check Periodo Ref.]]="Dentro",DATOS_[Conc.Sal.06]))))), 0)</f>
        <v>0</v>
      </c>
      <c r="L34" s="209" t="n">
        <f aca="false" t="array" ref="L34:L34">IFERROR( AVERAGE((IF(DATOS_[[Sexo]:[Sexo]]=$B34,IF(DATOS_[[AGRUP. CLAS. PROF.]:[AGRUP. CLAS. PROF.]]=$B33,IF(DATOS_[[Check Periodo Ref.]:[Check Periodo Ref.]]="Dentro",DATOS_[Conc.Sal.07]))))), 0)</f>
        <v>0</v>
      </c>
      <c r="M34" s="209" t="n">
        <f aca="false" t="array" ref="M34:M34">IFERROR( AVERAGE((IF(DATOS_[[Sexo]:[Sexo]]=$B34,IF(DATOS_[[AGRUP. CLAS. PROF.]:[AGRUP. CLAS. PROF.]]=$B33,IF(DATOS_[[Check Periodo Ref.]:[Check Periodo Ref.]]="Dentro",DATOS_[Conc.Sal.08]))))), 0)</f>
        <v>0</v>
      </c>
      <c r="N34" s="209" t="n">
        <f aca="false" t="array" ref="N34:N34">IFERROR( AVERAGE((IF(DATOS_[[Sexo]:[Sexo]]=$B34,IF(DATOS_[[AGRUP. CLAS. PROF.]:[AGRUP. CLAS. PROF.]]=$B33,IF(DATOS_[[Check Periodo Ref.]:[Check Periodo Ref.]]="Dentro",DATOS_[Conc.Sal.09]))))), 0)</f>
        <v>0</v>
      </c>
      <c r="O34" s="209" t="n">
        <f aca="false" t="array" ref="O34:O34">IFERROR( AVERAGE((IF(DATOS_[[Sexo]:[Sexo]]=$B34,IF(DATOS_[[AGRUP. CLAS. PROF.]:[AGRUP. CLAS. PROF.]]=$B33,IF(DATOS_[[Check Periodo Ref.]:[Check Periodo Ref.]]="Dentro",DATOS_[Conc.Sal.10]))))), 0)</f>
        <v>0</v>
      </c>
      <c r="P34" s="209" t="n">
        <f aca="false" t="array" ref="P34:P34">IFERROR( AVERAGE((IF(DATOS_[[Sexo]:[Sexo]]=$B34,IF(DATOS_[[AGRUP. CLAS. PROF.]:[AGRUP. CLAS. PROF.]]=$B33,IF(DATOS_[[Check Periodo Ref.]:[Check Periodo Ref.]]="Dentro",DATOS_[Conc.Sal.11]))))), 0)</f>
        <v>0</v>
      </c>
      <c r="Q34" s="209" t="n">
        <f aca="false" t="array" ref="Q34:Q34">IFERROR( AVERAGE((IF(DATOS_[[Sexo]:[Sexo]]=$B34,IF(DATOS_[[AGRUP. CLAS. PROF.]:[AGRUP. CLAS. PROF.]]=$B33,IF(DATOS_[[Check Periodo Ref.]:[Check Periodo Ref.]]="Dentro",DATOS_[Conc.Sal.12]))))), 0)</f>
        <v>0</v>
      </c>
      <c r="R34" s="209" t="n">
        <f aca="false" t="array" ref="R34:R34">IFERROR( AVERAGE((IF(DATOS_[[Sexo]:[Sexo]]=$B34,IF(DATOS_[[AGRUP. CLAS. PROF.]:[AGRUP. CLAS. PROF.]]=$B33,IF(DATOS_[[Check Periodo Ref.]:[Check Periodo Ref.]]="Dentro",DATOS_[Conc.Sal.13]))))), 0)</f>
        <v>0</v>
      </c>
      <c r="S34" s="209" t="n">
        <f aca="false" t="array" ref="S34:S34">IFERROR( AVERAGE((IF(DATOS_[[Sexo]:[Sexo]]=$B34,IF(DATOS_[[AGRUP. CLAS. PROF.]:[AGRUP. CLAS. PROF.]]=$B33,IF(DATOS_[[Check Periodo Ref.]:[Check Periodo Ref.]]="Dentro",DATOS_[Conc.Sal.14]))))), 0)</f>
        <v>0</v>
      </c>
      <c r="T34" s="209" t="n">
        <f aca="false" t="array" ref="T34:T34">IFERROR( AVERAGE((IF(DATOS_[[Sexo]:[Sexo]]=$B34,IF(DATOS_[[AGRUP. CLAS. PROF.]:[AGRUP. CLAS. PROF.]]=$B33,IF(DATOS_[[Check Periodo Ref.]:[Check Periodo Ref.]]="Dentro",DATOS_[Conc.Sal.15]))))), 0)</f>
        <v>0</v>
      </c>
      <c r="U34" s="209" t="n">
        <f aca="false" t="array" ref="U34:U34">IFERROR( AVERAGE((IF(DATOS_[[Sexo]:[Sexo]]=$B34,IF(DATOS_[[AGRUP. CLAS. PROF.]:[AGRUP. CLAS. PROF.]]=$B33,IF(DATOS_[[Check Periodo Ref.]:[Check Periodo Ref.]]="Dentro",DATOS_[Conc.Sal.16]))))), 0)</f>
        <v>0</v>
      </c>
      <c r="V34" s="209" t="n">
        <f aca="false" t="array" ref="V34:V34">IFERROR( AVERAGE((IF(DATOS_[[Sexo]:[Sexo]]=$B34,IF(DATOS_[[AGRUP. CLAS. PROF.]:[AGRUP. CLAS. PROF.]]=$B33,IF(DATOS_[[Check Periodo Ref.]:[Check Periodo Ref.]]="Dentro",DATOS_[Conc.Sal.17]))))), 0)</f>
        <v>0</v>
      </c>
      <c r="W34" s="209" t="n">
        <f aca="false" t="array" ref="W34:W34">IFERROR( AVERAGE((IF(DATOS_[[Sexo]:[Sexo]]=$B34,IF(DATOS_[[AGRUP. CLAS. PROF.]:[AGRUP. CLAS. PROF.]]=$B33,IF(DATOS_[[Check Periodo Ref.]:[Check Periodo Ref.]]="Dentro",DATOS_[Conc.Sal.18]))))), 0)</f>
        <v>0</v>
      </c>
      <c r="X34" s="209" t="n">
        <f aca="false" t="array" ref="X34:X34">IFERROR( AVERAGE((IF(DATOS_[[Sexo]:[Sexo]]=$B34,IF(DATOS_[[AGRUP. CLAS. PROF.]:[AGRUP. CLAS. PROF.]]=$B33,IF(DATOS_[[Check Periodo Ref.]:[Check Periodo Ref.]]="Dentro",DATOS_[Conc.Sal.19]))))), 0)</f>
        <v>0</v>
      </c>
      <c r="Y34" s="209" t="n">
        <f aca="false" t="array" ref="Y34:Y34">IFERROR( AVERAGE((IF(DATOS_[[Sexo]:[Sexo]]=$B34,IF(DATOS_[[AGRUP. CLAS. PROF.]:[AGRUP. CLAS. PROF.]]=$B33,IF(DATOS_[[Check Periodo Ref.]:[Check Periodo Ref.]]="Dentro",DATOS_[Conc.Sal.20]))))), 0)</f>
        <v>0</v>
      </c>
      <c r="Z34" s="209" t="n">
        <f aca="false" t="array" ref="Z34:Z34">IFERROR( AVERAGE((IF(DATOS_[[Sexo]:[Sexo]]=$B34,IF(DATOS_[[AGRUP. CLAS. PROF.]:[AGRUP. CLAS. PROF.]]=$B33,IF(DATOS_[[Check Periodo Ref.]:[Check Periodo Ref.]]="Dentro",DATOS_[Conc.Sal.21]))))), 0)</f>
        <v>0</v>
      </c>
      <c r="AA34" s="209" t="n">
        <f aca="false" t="array" ref="AA34:AA34">IFERROR( AVERAGE((IF(DATOS_[[Sexo]:[Sexo]]=$B34,IF(DATOS_[[AGRUP. CLAS. PROF.]:[AGRUP. CLAS. PROF.]]=$B33,IF(DATOS_[[Check Periodo Ref.]:[Check Periodo Ref.]]="Dentro",DATOS_[Conc.Sal.22]))))), 0)</f>
        <v>0</v>
      </c>
      <c r="AB34" s="209" t="n">
        <f aca="false" t="array" ref="AB34:AB34">IFERROR( AVERAGE((IF(DATOS_[[Sexo]:[Sexo]]=$B34,IF(DATOS_[[AGRUP. CLAS. PROF.]:[AGRUP. CLAS. PROF.]]=$B33,IF(DATOS_[[Check Periodo Ref.]:[Check Periodo Ref.]]="Dentro",DATOS_[Conc.Sal.23]))))), 0)</f>
        <v>0</v>
      </c>
      <c r="AC34" s="209" t="n">
        <f aca="false" t="array" ref="AC34:AC34">IFERROR( AVERAGE((IF(DATOS_[[Sexo]:[Sexo]]=$B34,IF(DATOS_[[AGRUP. CLAS. PROF.]:[AGRUP. CLAS. PROF.]]=$B33,IF(DATOS_[[Check Periodo Ref.]:[Check Periodo Ref.]]="Dentro",DATOS_[Conc.Sal.24]))))), 0)</f>
        <v>0</v>
      </c>
      <c r="AD34" s="209" t="n">
        <f aca="false" t="array" ref="AD34:AD34">IFERROR( AVERAGE((IF(DATOS_[[Sexo]:[Sexo]]=$B34,IF(DATOS_[[AGRUP. CLAS. PROF.]:[AGRUP. CLAS. PROF.]]=$B33,IF(DATOS_[[Check Periodo Ref.]:[Check Periodo Ref.]]="Dentro",DATOS_[Conc.Sal.25]))))), 0)</f>
        <v>0</v>
      </c>
      <c r="AE34" s="209" t="n">
        <f aca="false" t="array" ref="AE34:AE34">IFERROR( AVERAGE((IF(DATOS_[[Sexo]:[Sexo]]=$B34,IF(DATOS_[[AGRUP. CLAS. PROF.]:[AGRUP. CLAS. PROF.]]=$B33,IF(DATOS_[[Check Periodo Ref.]:[Check Periodo Ref.]]="Dentro",DATOS_[Conc.Sal.26]))))), 0)</f>
        <v>0</v>
      </c>
      <c r="AF34" s="209" t="n">
        <f aca="false" t="array" ref="AF34:AF34">IFERROR( AVERAGE((IF(DATOS_[[Sexo]:[Sexo]]=$B34,IF(DATOS_[[AGRUP. CLAS. PROF.]:[AGRUP. CLAS. PROF.]]=$B33,IF(DATOS_[[Check Periodo Ref.]:[Check Periodo Ref.]]="Dentro",DATOS_[Conc.Sal.27]))))), 0)</f>
        <v>0</v>
      </c>
      <c r="AG34" s="209" t="n">
        <f aca="false" t="array" ref="AG34:AG34">IFERROR( AVERAGE((IF(DATOS_[[Sexo]:[Sexo]]=$B34,IF(DATOS_[[AGRUP. CLAS. PROF.]:[AGRUP. CLAS. PROF.]]=$B33,IF(DATOS_[[Check Periodo Ref.]:[Check Periodo Ref.]]="Dentro",DATOS_[Conc.Sal.28]))))), 0)</f>
        <v>0</v>
      </c>
      <c r="AH34" s="209" t="n">
        <f aca="false" t="array" ref="AH34:AH34">IFERROR( AVERAGE((IF(DATOS_[[Sexo]:[Sexo]]=$B34,IF(DATOS_[[AGRUP. CLAS. PROF.]:[AGRUP. CLAS. PROF.]]=$B33,IF(DATOS_[[Check Periodo Ref.]:[Check Periodo Ref.]]="Dentro",DATOS_[Conc.Sal.29]))))), 0)</f>
        <v>0</v>
      </c>
      <c r="AI34" s="209" t="n">
        <f aca="false" t="array" ref="AI34:AI34">IFERROR( AVERAGE((IF(DATOS_[[Sexo]:[Sexo]]=$B34,IF(DATOS_[[AGRUP. CLAS. PROF.]:[AGRUP. CLAS. PROF.]]=$B33,IF(DATOS_[[Check Periodo Ref.]:[Check Periodo Ref.]]="Dentro",DATOS_[Conc.Sal.30]))))), 0)</f>
        <v>0</v>
      </c>
      <c r="AJ34" s="210" t="n">
        <f aca="false" t="array" ref="AJ34:AJ34">IFERROR( AVERAGE(IF(DATOS_[Sexo]=$B34,IF(DATOS_[AGRUP. CLAS. PROF.]=$B33,IF(DATOS_[Check Periodo Ref.]="Dentro",DATOS_[Tot COMPL.SAL Ef],0)))), 0)</f>
        <v>0</v>
      </c>
      <c r="AK34" s="211" t="n">
        <f aca="false" t="array" ref="AK34:AK34">IFERROR( AVERAGE(IF(DATOS_[Sexo]=$B34,IF(DATOS_[AGRUP. CLAS. PROF.]=$B33,IF(DATOS_[Check Periodo Ref.]="Dentro",DATOS_[TOTAL SALARIO Ef],0)))), 0)</f>
        <v>0</v>
      </c>
      <c r="AL34" s="212" t="n">
        <f aca="false" t="array" ref="AL34:AL34">IFERROR( AVERAGE((IF(DATOS_[[Sexo]:[Sexo]]=$B34,IF(DATOS_[[AGRUP. CLAS. PROF.]:[AGRUP. CLAS. PROF.]]=$B33,IF(DATOS_[[Check Periodo Ref.]:[Check Periodo Ref.]]="Dentro",DATOS_[C.Extra.01]))))), 0)</f>
        <v>0</v>
      </c>
      <c r="AM34" s="212" t="n">
        <f aca="false" t="array" ref="AM34:AM34">IFERROR( AVERAGE((IF(DATOS_[[Sexo]:[Sexo]]=$B34,IF(DATOS_[[AGRUP. CLAS. PROF.]:[AGRUP. CLAS. PROF.]]=$B33,IF(DATOS_[[Check Periodo Ref.]:[Check Periodo Ref.]]="Dentro",DATOS_[C.Extra.02]))))), 0)</f>
        <v>0</v>
      </c>
      <c r="AN34" s="212" t="n">
        <f aca="false" t="array" ref="AN34:AN34">IFERROR( AVERAGE((IF(DATOS_[[Sexo]:[Sexo]]=$B34,IF(DATOS_[[AGRUP. CLAS. PROF.]:[AGRUP. CLAS. PROF.]]=$B33,IF(DATOS_[[Check Periodo Ref.]:[Check Periodo Ref.]]="Dentro",DATOS_[C.Extra.03]))))), 0)</f>
        <v>0</v>
      </c>
      <c r="AO34" s="212" t="n">
        <f aca="false" t="array" ref="AO34:AO34">IFERROR( AVERAGE((IF(DATOS_[[Sexo]:[Sexo]]=$B34,IF(DATOS_[[AGRUP. CLAS. PROF.]:[AGRUP. CLAS. PROF.]]=$B33,IF(DATOS_[[Check Periodo Ref.]:[Check Periodo Ref.]]="Dentro",DATOS_[C.Extra.04]))))), 0)</f>
        <v>0</v>
      </c>
      <c r="AP34" s="212" t="n">
        <f aca="false" t="array" ref="AP34:AP34">IFERROR( AVERAGE((IF(DATOS_[[Sexo]:[Sexo]]=$B34,IF(DATOS_[[AGRUP. CLAS. PROF.]:[AGRUP. CLAS. PROF.]]=$B33,IF(DATOS_[[Check Periodo Ref.]:[Check Periodo Ref.]]="Dentro",DATOS_[C.Extra.05]))))), 0)</f>
        <v>0</v>
      </c>
      <c r="AQ34" s="213" t="n">
        <f aca="false" t="array" ref="AQ34:AQ34">IFERROR( AVERAGE(IF(DATOS_[Sexo]=$B34,IF(DATOS_[AGRUP. CLAS. PROF.]=$B33,IF(DATOS_[Check Periodo Ref.]="Dentro",DATOS_[Tot Extrasalarial Ef],0)))), 0)</f>
        <v>0</v>
      </c>
      <c r="AR34" s="214" t="n">
        <f aca="false" t="array" ref="AR34:AR34">IFERROR( AVERAGE(IF(DATOS_[Sexo]=$B34,IF(DATOS_[AGRUP. CLAS. PROF.]=$B33,IF(DATOS_[Check Periodo Ref.]="Dentro",DATOS_[TOTAL Retrib Ef],0)))), 0)</f>
        <v>0</v>
      </c>
    </row>
    <row r="35" customFormat="false" ht="14.25" hidden="false" customHeight="false" outlineLevel="0" collapsed="false">
      <c r="A35" s="191" t="str">
        <f aca="false">+A34</f>
        <v>[ocultar]</v>
      </c>
      <c r="B35" s="205" t="s">
        <v>372</v>
      </c>
      <c r="C35" s="206" t="n">
        <f aca="false" t="array" ref="C35:C35">SUM(IF($B35=DATOS_[Sexo], IF($B33=DATOS_[AGRUP. CLAS. PROF.], IF("Dentro"=DATOS_[Check Periodo Ref.], 1/(COUNTIFS(DATOS_[Sexo],$B35,DATOS_[AGRUP. CLAS. PROF.],$B33,DATOS_[Check Periodo Ref.],"Dentro",DATOS_[id],DATOS_[id]))))))</f>
        <v>0</v>
      </c>
      <c r="D35" s="207" t="n">
        <f aca="false">COUNTIFS(DATOS_[AGRUP. CLAS. PROF.],$B33,DATOS_[Sexo],$B35,DATOS_[Check Periodo Ref.],"Dentro")</f>
        <v>0</v>
      </c>
      <c r="E35" s="208" t="n">
        <f aca="false" t="array" ref="E35:E35">IFERROR( AVERAGE(IF(DATOS_[Sexo]=$B35,IF(DATOS_[AGRUP. CLAS. PROF.]=$B33,IF(DATOS_[Check Periodo Ref.]="Dentro",DATOS_[SALARIO BASE Ef],0)))), 0)</f>
        <v>0</v>
      </c>
      <c r="F35" s="209" t="n">
        <f aca="false" t="array" ref="F35:F35">IFERROR( AVERAGE((IF(DATOS_[[Sexo]:[Sexo]]=$B35,IF(DATOS_[[AGRUP. CLAS. PROF.]:[AGRUP. CLAS. PROF.]]=$B33,IF(DATOS_[[Check Periodo Ref.]:[Check Periodo Ref.]]="Dentro",DATOS_[Conc.Sal.01]))))), 0)</f>
        <v>0</v>
      </c>
      <c r="G35" s="209" t="n">
        <f aca="false" t="array" ref="G35:G35">IFERROR( AVERAGE((IF(DATOS_[[Sexo]:[Sexo]]=$B35,IF(DATOS_[[AGRUP. CLAS. PROF.]:[AGRUP. CLAS. PROF.]]=$B33,IF(DATOS_[[Check Periodo Ref.]:[Check Periodo Ref.]]="Dentro",DATOS_[Conc.Sal.02]))))), 0)</f>
        <v>0</v>
      </c>
      <c r="H35" s="209" t="n">
        <f aca="false" t="array" ref="H35:H35">IFERROR( AVERAGE((IF(DATOS_[[Sexo]:[Sexo]]=$B35,IF(DATOS_[[AGRUP. CLAS. PROF.]:[AGRUP. CLAS. PROF.]]=$B33,IF(DATOS_[[Check Periodo Ref.]:[Check Periodo Ref.]]="Dentro",DATOS_[Conc.Sal.03]))))), 0)</f>
        <v>0</v>
      </c>
      <c r="I35" s="209" t="n">
        <f aca="false" t="array" ref="I35:I35">IFERROR( AVERAGE((IF(DATOS_[[Sexo]:[Sexo]]=$B35,IF(DATOS_[[AGRUP. CLAS. PROF.]:[AGRUP. CLAS. PROF.]]=$B33,IF(DATOS_[[Check Periodo Ref.]:[Check Periodo Ref.]]="Dentro",DATOS_[Conc.Sal.04]))))), 0)</f>
        <v>0</v>
      </c>
      <c r="J35" s="209" t="n">
        <f aca="false" t="array" ref="J35:J35">IFERROR( AVERAGE((IF(DATOS_[[Sexo]:[Sexo]]=$B35,IF(DATOS_[[AGRUP. CLAS. PROF.]:[AGRUP. CLAS. PROF.]]=$B33,IF(DATOS_[[Check Periodo Ref.]:[Check Periodo Ref.]]="Dentro",DATOS_[Conc.Sal.05]))))), 0)</f>
        <v>0</v>
      </c>
      <c r="K35" s="209" t="n">
        <f aca="false" t="array" ref="K35:K35">IFERROR( AVERAGE((IF(DATOS_[[Sexo]:[Sexo]]=$B35,IF(DATOS_[[AGRUP. CLAS. PROF.]:[AGRUP. CLAS. PROF.]]=$B33,IF(DATOS_[[Check Periodo Ref.]:[Check Periodo Ref.]]="Dentro",DATOS_[Conc.Sal.06]))))), 0)</f>
        <v>0</v>
      </c>
      <c r="L35" s="209" t="n">
        <f aca="false" t="array" ref="L35:L35">IFERROR( AVERAGE((IF(DATOS_[[Sexo]:[Sexo]]=$B35,IF(DATOS_[[AGRUP. CLAS. PROF.]:[AGRUP. CLAS. PROF.]]=$B33,IF(DATOS_[[Check Periodo Ref.]:[Check Periodo Ref.]]="Dentro",DATOS_[Conc.Sal.07]))))), 0)</f>
        <v>0</v>
      </c>
      <c r="M35" s="209" t="n">
        <f aca="false" t="array" ref="M35:M35">IFERROR( AVERAGE((IF(DATOS_[[Sexo]:[Sexo]]=$B35,IF(DATOS_[[AGRUP. CLAS. PROF.]:[AGRUP. CLAS. PROF.]]=$B33,IF(DATOS_[[Check Periodo Ref.]:[Check Periodo Ref.]]="Dentro",DATOS_[Conc.Sal.08]))))), 0)</f>
        <v>0</v>
      </c>
      <c r="N35" s="209" t="n">
        <f aca="false" t="array" ref="N35:N35">IFERROR( AVERAGE((IF(DATOS_[[Sexo]:[Sexo]]=$B35,IF(DATOS_[[AGRUP. CLAS. PROF.]:[AGRUP. CLAS. PROF.]]=$B33,IF(DATOS_[[Check Periodo Ref.]:[Check Periodo Ref.]]="Dentro",DATOS_[Conc.Sal.09]))))), 0)</f>
        <v>0</v>
      </c>
      <c r="O35" s="209" t="n">
        <f aca="false" t="array" ref="O35:O35">IFERROR( AVERAGE((IF(DATOS_[[Sexo]:[Sexo]]=$B35,IF(DATOS_[[AGRUP. CLAS. PROF.]:[AGRUP. CLAS. PROF.]]=$B33,IF(DATOS_[[Check Periodo Ref.]:[Check Periodo Ref.]]="Dentro",DATOS_[Conc.Sal.10]))))), 0)</f>
        <v>0</v>
      </c>
      <c r="P35" s="209" t="n">
        <f aca="false" t="array" ref="P35:P35">IFERROR( AVERAGE((IF(DATOS_[[Sexo]:[Sexo]]=$B35,IF(DATOS_[[AGRUP. CLAS. PROF.]:[AGRUP. CLAS. PROF.]]=$B33,IF(DATOS_[[Check Periodo Ref.]:[Check Periodo Ref.]]="Dentro",DATOS_[Conc.Sal.11]))))), 0)</f>
        <v>0</v>
      </c>
      <c r="Q35" s="209" t="n">
        <f aca="false" t="array" ref="Q35:Q35">IFERROR( AVERAGE((IF(DATOS_[[Sexo]:[Sexo]]=$B35,IF(DATOS_[[AGRUP. CLAS. PROF.]:[AGRUP. CLAS. PROF.]]=$B33,IF(DATOS_[[Check Periodo Ref.]:[Check Periodo Ref.]]="Dentro",DATOS_[Conc.Sal.12]))))), 0)</f>
        <v>0</v>
      </c>
      <c r="R35" s="209" t="n">
        <f aca="false" t="array" ref="R35:R35">IFERROR( AVERAGE((IF(DATOS_[[Sexo]:[Sexo]]=$B35,IF(DATOS_[[AGRUP. CLAS. PROF.]:[AGRUP. CLAS. PROF.]]=$B33,IF(DATOS_[[Check Periodo Ref.]:[Check Periodo Ref.]]="Dentro",DATOS_[Conc.Sal.13]))))), 0)</f>
        <v>0</v>
      </c>
      <c r="S35" s="209" t="n">
        <f aca="false" t="array" ref="S35:S35">IFERROR( AVERAGE((IF(DATOS_[[Sexo]:[Sexo]]=$B35,IF(DATOS_[[AGRUP. CLAS. PROF.]:[AGRUP. CLAS. PROF.]]=$B33,IF(DATOS_[[Check Periodo Ref.]:[Check Periodo Ref.]]="Dentro",DATOS_[Conc.Sal.14]))))), 0)</f>
        <v>0</v>
      </c>
      <c r="T35" s="209" t="n">
        <f aca="false" t="array" ref="T35:T35">IFERROR( AVERAGE((IF(DATOS_[[Sexo]:[Sexo]]=$B35,IF(DATOS_[[AGRUP. CLAS. PROF.]:[AGRUP. CLAS. PROF.]]=$B33,IF(DATOS_[[Check Periodo Ref.]:[Check Periodo Ref.]]="Dentro",DATOS_[Conc.Sal.15]))))), 0)</f>
        <v>0</v>
      </c>
      <c r="U35" s="209" t="n">
        <f aca="false" t="array" ref="U35:U35">IFERROR( AVERAGE((IF(DATOS_[[Sexo]:[Sexo]]=$B35,IF(DATOS_[[AGRUP. CLAS. PROF.]:[AGRUP. CLAS. PROF.]]=$B33,IF(DATOS_[[Check Periodo Ref.]:[Check Periodo Ref.]]="Dentro",DATOS_[Conc.Sal.16]))))), 0)</f>
        <v>0</v>
      </c>
      <c r="V35" s="209" t="n">
        <f aca="false" t="array" ref="V35:V35">IFERROR( AVERAGE((IF(DATOS_[[Sexo]:[Sexo]]=$B35,IF(DATOS_[[AGRUP. CLAS. PROF.]:[AGRUP. CLAS. PROF.]]=$B33,IF(DATOS_[[Check Periodo Ref.]:[Check Periodo Ref.]]="Dentro",DATOS_[Conc.Sal.17]))))), 0)</f>
        <v>0</v>
      </c>
      <c r="W35" s="209" t="n">
        <f aca="false" t="array" ref="W35:W35">IFERROR( AVERAGE((IF(DATOS_[[Sexo]:[Sexo]]=$B35,IF(DATOS_[[AGRUP. CLAS. PROF.]:[AGRUP. CLAS. PROF.]]=$B33,IF(DATOS_[[Check Periodo Ref.]:[Check Periodo Ref.]]="Dentro",DATOS_[Conc.Sal.18]))))), 0)</f>
        <v>0</v>
      </c>
      <c r="X35" s="209" t="n">
        <f aca="false" t="array" ref="X35:X35">IFERROR( AVERAGE((IF(DATOS_[[Sexo]:[Sexo]]=$B35,IF(DATOS_[[AGRUP. CLAS. PROF.]:[AGRUP. CLAS. PROF.]]=$B33,IF(DATOS_[[Check Periodo Ref.]:[Check Periodo Ref.]]="Dentro",DATOS_[Conc.Sal.19]))))), 0)</f>
        <v>0</v>
      </c>
      <c r="Y35" s="209" t="n">
        <f aca="false" t="array" ref="Y35:Y35">IFERROR( AVERAGE((IF(DATOS_[[Sexo]:[Sexo]]=$B35,IF(DATOS_[[AGRUP. CLAS. PROF.]:[AGRUP. CLAS. PROF.]]=$B33,IF(DATOS_[[Check Periodo Ref.]:[Check Periodo Ref.]]="Dentro",DATOS_[Conc.Sal.20]))))), 0)</f>
        <v>0</v>
      </c>
      <c r="Z35" s="209" t="n">
        <f aca="false" t="array" ref="Z35:Z35">IFERROR( AVERAGE((IF(DATOS_[[Sexo]:[Sexo]]=$B35,IF(DATOS_[[AGRUP. CLAS. PROF.]:[AGRUP. CLAS. PROF.]]=$B33,IF(DATOS_[[Check Periodo Ref.]:[Check Periodo Ref.]]="Dentro",DATOS_[Conc.Sal.21]))))), 0)</f>
        <v>0</v>
      </c>
      <c r="AA35" s="209" t="n">
        <f aca="false" t="array" ref="AA35:AA35">IFERROR( AVERAGE((IF(DATOS_[[Sexo]:[Sexo]]=$B35,IF(DATOS_[[AGRUP. CLAS. PROF.]:[AGRUP. CLAS. PROF.]]=$B33,IF(DATOS_[[Check Periodo Ref.]:[Check Periodo Ref.]]="Dentro",DATOS_[Conc.Sal.22]))))), 0)</f>
        <v>0</v>
      </c>
      <c r="AB35" s="209" t="n">
        <f aca="false" t="array" ref="AB35:AB35">IFERROR( AVERAGE((IF(DATOS_[[Sexo]:[Sexo]]=$B35,IF(DATOS_[[AGRUP. CLAS. PROF.]:[AGRUP. CLAS. PROF.]]=$B33,IF(DATOS_[[Check Periodo Ref.]:[Check Periodo Ref.]]="Dentro",DATOS_[Conc.Sal.23]))))), 0)</f>
        <v>0</v>
      </c>
      <c r="AC35" s="209" t="n">
        <f aca="false" t="array" ref="AC35:AC35">IFERROR( AVERAGE((IF(DATOS_[[Sexo]:[Sexo]]=$B35,IF(DATOS_[[AGRUP. CLAS. PROF.]:[AGRUP. CLAS. PROF.]]=$B33,IF(DATOS_[[Check Periodo Ref.]:[Check Periodo Ref.]]="Dentro",DATOS_[Conc.Sal.24]))))), 0)</f>
        <v>0</v>
      </c>
      <c r="AD35" s="209" t="n">
        <f aca="false" t="array" ref="AD35:AD35">IFERROR( AVERAGE((IF(DATOS_[[Sexo]:[Sexo]]=$B35,IF(DATOS_[[AGRUP. CLAS. PROF.]:[AGRUP. CLAS. PROF.]]=$B33,IF(DATOS_[[Check Periodo Ref.]:[Check Periodo Ref.]]="Dentro",DATOS_[Conc.Sal.25]))))), 0)</f>
        <v>0</v>
      </c>
      <c r="AE35" s="209" t="n">
        <f aca="false" t="array" ref="AE35:AE35">IFERROR( AVERAGE((IF(DATOS_[[Sexo]:[Sexo]]=$B35,IF(DATOS_[[AGRUP. CLAS. PROF.]:[AGRUP. CLAS. PROF.]]=$B33,IF(DATOS_[[Check Periodo Ref.]:[Check Periodo Ref.]]="Dentro",DATOS_[Conc.Sal.26]))))), 0)</f>
        <v>0</v>
      </c>
      <c r="AF35" s="209" t="n">
        <f aca="false" t="array" ref="AF35:AF35">IFERROR( AVERAGE((IF(DATOS_[[Sexo]:[Sexo]]=$B35,IF(DATOS_[[AGRUP. CLAS. PROF.]:[AGRUP. CLAS. PROF.]]=$B33,IF(DATOS_[[Check Periodo Ref.]:[Check Periodo Ref.]]="Dentro",DATOS_[Conc.Sal.27]))))), 0)</f>
        <v>0</v>
      </c>
      <c r="AG35" s="209" t="n">
        <f aca="false" t="array" ref="AG35:AG35">IFERROR( AVERAGE((IF(DATOS_[[Sexo]:[Sexo]]=$B35,IF(DATOS_[[AGRUP. CLAS. PROF.]:[AGRUP. CLAS. PROF.]]=$B33,IF(DATOS_[[Check Periodo Ref.]:[Check Periodo Ref.]]="Dentro",DATOS_[Conc.Sal.28]))))), 0)</f>
        <v>0</v>
      </c>
      <c r="AH35" s="209" t="n">
        <f aca="false" t="array" ref="AH35:AH35">IFERROR( AVERAGE((IF(DATOS_[[Sexo]:[Sexo]]=$B35,IF(DATOS_[[AGRUP. CLAS. PROF.]:[AGRUP. CLAS. PROF.]]=$B33,IF(DATOS_[[Check Periodo Ref.]:[Check Periodo Ref.]]="Dentro",DATOS_[Conc.Sal.29]))))), 0)</f>
        <v>0</v>
      </c>
      <c r="AI35" s="209" t="n">
        <f aca="false" t="array" ref="AI35:AI35">IFERROR( AVERAGE((IF(DATOS_[[Sexo]:[Sexo]]=$B35,IF(DATOS_[[AGRUP. CLAS. PROF.]:[AGRUP. CLAS. PROF.]]=$B33,IF(DATOS_[[Check Periodo Ref.]:[Check Periodo Ref.]]="Dentro",DATOS_[Conc.Sal.30]))))), 0)</f>
        <v>0</v>
      </c>
      <c r="AJ35" s="210" t="n">
        <f aca="false" t="array" ref="AJ35:AJ35">IFERROR( AVERAGE(IF(DATOS_[Sexo]=$B35,IF(DATOS_[AGRUP. CLAS. PROF.]=$B33,IF(DATOS_[Check Periodo Ref.]="Dentro",DATOS_[Tot COMPL.SAL Ef],0)))), 0)</f>
        <v>0</v>
      </c>
      <c r="AK35" s="211" t="n">
        <f aca="false" t="array" ref="AK35:AK35">IFERROR( AVERAGE(IF(DATOS_[Sexo]=$B35,IF(DATOS_[AGRUP. CLAS. PROF.]=$B33,IF(DATOS_[Check Periodo Ref.]="Dentro",DATOS_[TOTAL SALARIO Ef],0)))), 0)</f>
        <v>0</v>
      </c>
      <c r="AL35" s="212" t="n">
        <f aca="false" t="array" ref="AL35:AL35">IFERROR( AVERAGE((IF(DATOS_[[Sexo]:[Sexo]]=$B35,IF(DATOS_[[AGRUP. CLAS. PROF.]:[AGRUP. CLAS. PROF.]]=$B33,IF(DATOS_[[Check Periodo Ref.]:[Check Periodo Ref.]]="Dentro",DATOS_[C.Extra.01]))))), 0)</f>
        <v>0</v>
      </c>
      <c r="AM35" s="212" t="n">
        <f aca="false" t="array" ref="AM35:AM35">IFERROR( AVERAGE((IF(DATOS_[[Sexo]:[Sexo]]=$B35,IF(DATOS_[[AGRUP. CLAS. PROF.]:[AGRUP. CLAS. PROF.]]=$B33,IF(DATOS_[[Check Periodo Ref.]:[Check Periodo Ref.]]="Dentro",DATOS_[C.Extra.02]))))), 0)</f>
        <v>0</v>
      </c>
      <c r="AN35" s="212" t="n">
        <f aca="false" t="array" ref="AN35:AN35">IFERROR( AVERAGE((IF(DATOS_[[Sexo]:[Sexo]]=$B35,IF(DATOS_[[AGRUP. CLAS. PROF.]:[AGRUP. CLAS. PROF.]]=$B33,IF(DATOS_[[Check Periodo Ref.]:[Check Periodo Ref.]]="Dentro",DATOS_[C.Extra.03]))))), 0)</f>
        <v>0</v>
      </c>
      <c r="AO35" s="212" t="n">
        <f aca="false" t="array" ref="AO35:AO35">IFERROR( AVERAGE((IF(DATOS_[[Sexo]:[Sexo]]=$B35,IF(DATOS_[[AGRUP. CLAS. PROF.]:[AGRUP. CLAS. PROF.]]=$B33,IF(DATOS_[[Check Periodo Ref.]:[Check Periodo Ref.]]="Dentro",DATOS_[C.Extra.04]))))), 0)</f>
        <v>0</v>
      </c>
      <c r="AP35" s="212" t="n">
        <f aca="false" t="array" ref="AP35:AP35">IFERROR( AVERAGE((IF(DATOS_[[Sexo]:[Sexo]]=$B35,IF(DATOS_[[AGRUP. CLAS. PROF.]:[AGRUP. CLAS. PROF.]]=$B33,IF(DATOS_[[Check Periodo Ref.]:[Check Periodo Ref.]]="Dentro",DATOS_[C.Extra.05]))))), 0)</f>
        <v>0</v>
      </c>
      <c r="AQ35" s="213" t="n">
        <f aca="false" t="array" ref="AQ35:AQ35">IFERROR( AVERAGE(IF(DATOS_[Sexo]=$B35,IF(DATOS_[AGRUP. CLAS. PROF.]=$B33,IF(DATOS_[Check Periodo Ref.]="Dentro",DATOS_[Tot Extrasalarial Ef],0)))), 0)</f>
        <v>0</v>
      </c>
      <c r="AR35" s="214" t="n">
        <f aca="false" t="array" ref="AR35:AR35">IFERROR( AVERAGE(IF(DATOS_[Sexo]=$B35,IF(DATOS_[AGRUP. CLAS. PROF.]=$B33,IF(DATOS_[Check Periodo Ref.]="Dentro",DATOS_[TOTAL Retrib Ef],0)))), 0)</f>
        <v>0</v>
      </c>
    </row>
    <row r="36" customFormat="false" ht="15.75" hidden="false" customHeight="false" outlineLevel="0" collapsed="false">
      <c r="A36" s="191" t="str">
        <f aca="false">+A37</f>
        <v>[ocultar]</v>
      </c>
      <c r="B36" s="192" t="s">
        <v>189</v>
      </c>
      <c r="C36" s="193"/>
      <c r="D36" s="194"/>
      <c r="E36" s="195" t="str">
        <f aca="false">IFERROR((E37-E38)/E37,"")</f>
        <v/>
      </c>
      <c r="F36" s="196" t="str">
        <f aca="false">IFERROR((F37-F38)/F37,"")</f>
        <v/>
      </c>
      <c r="G36" s="197" t="str">
        <f aca="false">IFERROR((G37-G38)/G37,"")</f>
        <v/>
      </c>
      <c r="H36" s="197" t="str">
        <f aca="false">IFERROR((H37-H38)/H37,"")</f>
        <v/>
      </c>
      <c r="I36" s="197" t="str">
        <f aca="false">IFERROR((I37-I38)/I37,"")</f>
        <v/>
      </c>
      <c r="J36" s="198" t="str">
        <f aca="false">IFERROR((J37-J38)/J37,"")</f>
        <v/>
      </c>
      <c r="K36" s="199" t="str">
        <f aca="false">IFERROR((K37-K38)/K37,"")</f>
        <v/>
      </c>
      <c r="L36" s="199" t="str">
        <f aca="false">IFERROR((L37-L38)/L37,"")</f>
        <v/>
      </c>
      <c r="M36" s="199" t="str">
        <f aca="false">IFERROR((M37-M38)/M37,"")</f>
        <v/>
      </c>
      <c r="N36" s="199" t="str">
        <f aca="false">IFERROR((N37-N38)/N37,"")</f>
        <v/>
      </c>
      <c r="O36" s="199" t="str">
        <f aca="false">IFERROR((O37-O38)/O37,"")</f>
        <v/>
      </c>
      <c r="P36" s="199" t="str">
        <f aca="false">IFERROR((P37-P38)/P37,"")</f>
        <v/>
      </c>
      <c r="Q36" s="199" t="str">
        <f aca="false">IFERROR((Q37-Q38)/Q37,"")</f>
        <v/>
      </c>
      <c r="R36" s="199" t="str">
        <f aca="false">IFERROR((R37-R38)/R37,"")</f>
        <v/>
      </c>
      <c r="S36" s="199" t="str">
        <f aca="false">IFERROR((S37-S38)/S37,"")</f>
        <v/>
      </c>
      <c r="T36" s="199" t="str">
        <f aca="false">IFERROR((T37-T38)/T37,"")</f>
        <v/>
      </c>
      <c r="U36" s="199" t="str">
        <f aca="false">IFERROR((U37-U38)/U37,"")</f>
        <v/>
      </c>
      <c r="V36" s="198" t="str">
        <f aca="false">IFERROR((V37-V38)/V37,"")</f>
        <v/>
      </c>
      <c r="W36" s="198" t="str">
        <f aca="false">IFERROR((W37-W38)/W37,"")</f>
        <v/>
      </c>
      <c r="X36" s="198" t="str">
        <f aca="false">IFERROR((X37-X38)/X37,"")</f>
        <v/>
      </c>
      <c r="Y36" s="198" t="str">
        <f aca="false">IFERROR((Y37-Y38)/Y37,"")</f>
        <v/>
      </c>
      <c r="Z36" s="198" t="str">
        <f aca="false">IFERROR((Z37-Z38)/Z37,"")</f>
        <v/>
      </c>
      <c r="AA36" s="198" t="str">
        <f aca="false">IFERROR((AA37-AA38)/AA37,"")</f>
        <v/>
      </c>
      <c r="AB36" s="198" t="str">
        <f aca="false">IFERROR((AB37-AB38)/AB37,"")</f>
        <v/>
      </c>
      <c r="AC36" s="198" t="str">
        <f aca="false">IFERROR((AC37-AC38)/AC37,"")</f>
        <v/>
      </c>
      <c r="AD36" s="198" t="str">
        <f aca="false">IFERROR((AD37-AD38)/AD37,"")</f>
        <v/>
      </c>
      <c r="AE36" s="198" t="str">
        <f aca="false">IFERROR((AE37-AE38)/AE37,"")</f>
        <v/>
      </c>
      <c r="AF36" s="198" t="str">
        <f aca="false">IFERROR((AF37-AF38)/AF37,"")</f>
        <v/>
      </c>
      <c r="AG36" s="198" t="str">
        <f aca="false">IFERROR((AG37-AG38)/AG37,"")</f>
        <v/>
      </c>
      <c r="AH36" s="198" t="str">
        <f aca="false">IFERROR((AH37-AH38)/AH37,"")</f>
        <v/>
      </c>
      <c r="AI36" s="198" t="str">
        <f aca="false">IFERROR((AI37-AI38)/AI37,"")</f>
        <v/>
      </c>
      <c r="AJ36" s="200" t="str">
        <f aca="false">IFERROR((AJ37-AJ38)/AJ37,"")</f>
        <v/>
      </c>
      <c r="AK36" s="201" t="str">
        <f aca="false">IFERROR((AK37-AK38)/AK37,"")</f>
        <v/>
      </c>
      <c r="AL36" s="202" t="str">
        <f aca="false">IFERROR((AL37-AL38)/AL37,"")</f>
        <v/>
      </c>
      <c r="AM36" s="202" t="str">
        <f aca="false">IFERROR((AM37-AM38)/AM37,"")</f>
        <v/>
      </c>
      <c r="AN36" s="202" t="str">
        <f aca="false">IFERROR((AN37-AN38)/AN37,"")</f>
        <v/>
      </c>
      <c r="AO36" s="202" t="str">
        <f aca="false">IFERROR((AO37-AO38)/AO37,"")</f>
        <v/>
      </c>
      <c r="AP36" s="202" t="str">
        <f aca="false">IFERROR((AP37-AP38)/AP37,"")</f>
        <v/>
      </c>
      <c r="AQ36" s="203" t="str">
        <f aca="false">IFERROR((AQ37-AQ38)/AQ37,"")</f>
        <v/>
      </c>
      <c r="AR36" s="204" t="str">
        <f aca="false">IFERROR((AR37-AR38)/AR37,"")</f>
        <v/>
      </c>
    </row>
    <row r="37" customFormat="false" ht="14.25" hidden="false" customHeight="false" outlineLevel="0" collapsed="false">
      <c r="A37" s="191" t="str">
        <f aca="false">+IF(C37+C38=0,"[ocultar]","")</f>
        <v>[ocultar]</v>
      </c>
      <c r="B37" s="205" t="s">
        <v>371</v>
      </c>
      <c r="C37" s="206" t="n">
        <f aca="false" t="array" ref="C37:C37">SUM(IF($B37=DATOS_[Sexo], IF($B36=DATOS_[AGRUP. CLAS. PROF.], IF("Dentro"=DATOS_[Check Periodo Ref.], 1/(COUNTIFS(DATOS_[Sexo],$B37,DATOS_[AGRUP. CLAS. PROF.],$B36,DATOS_[Check Periodo Ref.],"Dentro",DATOS_[id],DATOS_[id]))))))</f>
        <v>0</v>
      </c>
      <c r="D37" s="207" t="n">
        <f aca="false">COUNTIFS(DATOS_[AGRUP. CLAS. PROF.],$B36,DATOS_[Sexo],$B37,DATOS_[Check Periodo Ref.],"Dentro")</f>
        <v>0</v>
      </c>
      <c r="E37" s="208" t="n">
        <f aca="false" t="array" ref="E37:E37">IFERROR( AVERAGE(IF(DATOS_[Sexo]=$B37,IF(DATOS_[AGRUP. CLAS. PROF.]=$B36,IF(DATOS_[Check Periodo Ref.]="Dentro",DATOS_[SALARIO BASE Ef],0)))), 0)</f>
        <v>0</v>
      </c>
      <c r="F37" s="209" t="n">
        <f aca="false" t="array" ref="F37:F37">IFERROR( AVERAGE((IF(DATOS_[[Sexo]:[Sexo]]=$B37,IF(DATOS_[[AGRUP. CLAS. PROF.]:[AGRUP. CLAS. PROF.]]=$B36,IF(DATOS_[[Check Periodo Ref.]:[Check Periodo Ref.]]="Dentro",DATOS_[Conc.Sal.01]))))), 0)</f>
        <v>0</v>
      </c>
      <c r="G37" s="209" t="n">
        <f aca="false" t="array" ref="G37:G37">IFERROR( AVERAGE((IF(DATOS_[[Sexo]:[Sexo]]=$B37,IF(DATOS_[[AGRUP. CLAS. PROF.]:[AGRUP. CLAS. PROF.]]=$B36,IF(DATOS_[[Check Periodo Ref.]:[Check Periodo Ref.]]="Dentro",DATOS_[Conc.Sal.02]))))), 0)</f>
        <v>0</v>
      </c>
      <c r="H37" s="209" t="n">
        <f aca="false" t="array" ref="H37:H37">IFERROR( AVERAGE((IF(DATOS_[[Sexo]:[Sexo]]=$B37,IF(DATOS_[[AGRUP. CLAS. PROF.]:[AGRUP. CLAS. PROF.]]=$B36,IF(DATOS_[[Check Periodo Ref.]:[Check Periodo Ref.]]="Dentro",DATOS_[Conc.Sal.03]))))), 0)</f>
        <v>0</v>
      </c>
      <c r="I37" s="209" t="n">
        <f aca="false" t="array" ref="I37:I37">IFERROR( AVERAGE((IF(DATOS_[[Sexo]:[Sexo]]=$B37,IF(DATOS_[[AGRUP. CLAS. PROF.]:[AGRUP. CLAS. PROF.]]=$B36,IF(DATOS_[[Check Periodo Ref.]:[Check Periodo Ref.]]="Dentro",DATOS_[Conc.Sal.04]))))), 0)</f>
        <v>0</v>
      </c>
      <c r="J37" s="209" t="n">
        <f aca="false" t="array" ref="J37:J37">IFERROR( AVERAGE((IF(DATOS_[[Sexo]:[Sexo]]=$B37,IF(DATOS_[[AGRUP. CLAS. PROF.]:[AGRUP. CLAS. PROF.]]=$B36,IF(DATOS_[[Check Periodo Ref.]:[Check Periodo Ref.]]="Dentro",DATOS_[Conc.Sal.05]))))), 0)</f>
        <v>0</v>
      </c>
      <c r="K37" s="209" t="n">
        <f aca="false" t="array" ref="K37:K37">IFERROR( AVERAGE((IF(DATOS_[[Sexo]:[Sexo]]=$B37,IF(DATOS_[[AGRUP. CLAS. PROF.]:[AGRUP. CLAS. PROF.]]=$B36,IF(DATOS_[[Check Periodo Ref.]:[Check Periodo Ref.]]="Dentro",DATOS_[Conc.Sal.06]))))), 0)</f>
        <v>0</v>
      </c>
      <c r="L37" s="209" t="n">
        <f aca="false" t="array" ref="L37:L37">IFERROR( AVERAGE((IF(DATOS_[[Sexo]:[Sexo]]=$B37,IF(DATOS_[[AGRUP. CLAS. PROF.]:[AGRUP. CLAS. PROF.]]=$B36,IF(DATOS_[[Check Periodo Ref.]:[Check Periodo Ref.]]="Dentro",DATOS_[Conc.Sal.07]))))), 0)</f>
        <v>0</v>
      </c>
      <c r="M37" s="209" t="n">
        <f aca="false" t="array" ref="M37:M37">IFERROR( AVERAGE((IF(DATOS_[[Sexo]:[Sexo]]=$B37,IF(DATOS_[[AGRUP. CLAS. PROF.]:[AGRUP. CLAS. PROF.]]=$B36,IF(DATOS_[[Check Periodo Ref.]:[Check Periodo Ref.]]="Dentro",DATOS_[Conc.Sal.08]))))), 0)</f>
        <v>0</v>
      </c>
      <c r="N37" s="209" t="n">
        <f aca="false" t="array" ref="N37:N37">IFERROR( AVERAGE((IF(DATOS_[[Sexo]:[Sexo]]=$B37,IF(DATOS_[[AGRUP. CLAS. PROF.]:[AGRUP. CLAS. PROF.]]=$B36,IF(DATOS_[[Check Periodo Ref.]:[Check Periodo Ref.]]="Dentro",DATOS_[Conc.Sal.09]))))), 0)</f>
        <v>0</v>
      </c>
      <c r="O37" s="209" t="n">
        <f aca="false" t="array" ref="O37:O37">IFERROR( AVERAGE((IF(DATOS_[[Sexo]:[Sexo]]=$B37,IF(DATOS_[[AGRUP. CLAS. PROF.]:[AGRUP. CLAS. PROF.]]=$B36,IF(DATOS_[[Check Periodo Ref.]:[Check Periodo Ref.]]="Dentro",DATOS_[Conc.Sal.10]))))), 0)</f>
        <v>0</v>
      </c>
      <c r="P37" s="209" t="n">
        <f aca="false" t="array" ref="P37:P37">IFERROR( AVERAGE((IF(DATOS_[[Sexo]:[Sexo]]=$B37,IF(DATOS_[[AGRUP. CLAS. PROF.]:[AGRUP. CLAS. PROF.]]=$B36,IF(DATOS_[[Check Periodo Ref.]:[Check Periodo Ref.]]="Dentro",DATOS_[Conc.Sal.11]))))), 0)</f>
        <v>0</v>
      </c>
      <c r="Q37" s="209" t="n">
        <f aca="false" t="array" ref="Q37:Q37">IFERROR( AVERAGE((IF(DATOS_[[Sexo]:[Sexo]]=$B37,IF(DATOS_[[AGRUP. CLAS. PROF.]:[AGRUP. CLAS. PROF.]]=$B36,IF(DATOS_[[Check Periodo Ref.]:[Check Periodo Ref.]]="Dentro",DATOS_[Conc.Sal.12]))))), 0)</f>
        <v>0</v>
      </c>
      <c r="R37" s="209" t="n">
        <f aca="false" t="array" ref="R37:R37">IFERROR( AVERAGE((IF(DATOS_[[Sexo]:[Sexo]]=$B37,IF(DATOS_[[AGRUP. CLAS. PROF.]:[AGRUP. CLAS. PROF.]]=$B36,IF(DATOS_[[Check Periodo Ref.]:[Check Periodo Ref.]]="Dentro",DATOS_[Conc.Sal.13]))))), 0)</f>
        <v>0</v>
      </c>
      <c r="S37" s="209" t="n">
        <f aca="false" t="array" ref="S37:S37">IFERROR( AVERAGE((IF(DATOS_[[Sexo]:[Sexo]]=$B37,IF(DATOS_[[AGRUP. CLAS. PROF.]:[AGRUP. CLAS. PROF.]]=$B36,IF(DATOS_[[Check Periodo Ref.]:[Check Periodo Ref.]]="Dentro",DATOS_[Conc.Sal.14]))))), 0)</f>
        <v>0</v>
      </c>
      <c r="T37" s="209" t="n">
        <f aca="false" t="array" ref="T37:T37">IFERROR( AVERAGE((IF(DATOS_[[Sexo]:[Sexo]]=$B37,IF(DATOS_[[AGRUP. CLAS. PROF.]:[AGRUP. CLAS. PROF.]]=$B36,IF(DATOS_[[Check Periodo Ref.]:[Check Periodo Ref.]]="Dentro",DATOS_[Conc.Sal.15]))))), 0)</f>
        <v>0</v>
      </c>
      <c r="U37" s="209" t="n">
        <f aca="false" t="array" ref="U37:U37">IFERROR( AVERAGE((IF(DATOS_[[Sexo]:[Sexo]]=$B37,IF(DATOS_[[AGRUP. CLAS. PROF.]:[AGRUP. CLAS. PROF.]]=$B36,IF(DATOS_[[Check Periodo Ref.]:[Check Periodo Ref.]]="Dentro",DATOS_[Conc.Sal.16]))))), 0)</f>
        <v>0</v>
      </c>
      <c r="V37" s="209" t="n">
        <f aca="false" t="array" ref="V37:V37">IFERROR( AVERAGE((IF(DATOS_[[Sexo]:[Sexo]]=$B37,IF(DATOS_[[AGRUP. CLAS. PROF.]:[AGRUP. CLAS. PROF.]]=$B36,IF(DATOS_[[Check Periodo Ref.]:[Check Periodo Ref.]]="Dentro",DATOS_[Conc.Sal.17]))))), 0)</f>
        <v>0</v>
      </c>
      <c r="W37" s="209" t="n">
        <f aca="false" t="array" ref="W37:W37">IFERROR( AVERAGE((IF(DATOS_[[Sexo]:[Sexo]]=$B37,IF(DATOS_[[AGRUP. CLAS. PROF.]:[AGRUP. CLAS. PROF.]]=$B36,IF(DATOS_[[Check Periodo Ref.]:[Check Periodo Ref.]]="Dentro",DATOS_[Conc.Sal.18]))))), 0)</f>
        <v>0</v>
      </c>
      <c r="X37" s="209" t="n">
        <f aca="false" t="array" ref="X37:X37">IFERROR( AVERAGE((IF(DATOS_[[Sexo]:[Sexo]]=$B37,IF(DATOS_[[AGRUP. CLAS. PROF.]:[AGRUP. CLAS. PROF.]]=$B36,IF(DATOS_[[Check Periodo Ref.]:[Check Periodo Ref.]]="Dentro",DATOS_[Conc.Sal.19]))))), 0)</f>
        <v>0</v>
      </c>
      <c r="Y37" s="209" t="n">
        <f aca="false" t="array" ref="Y37:Y37">IFERROR( AVERAGE((IF(DATOS_[[Sexo]:[Sexo]]=$B37,IF(DATOS_[[AGRUP. CLAS. PROF.]:[AGRUP. CLAS. PROF.]]=$B36,IF(DATOS_[[Check Periodo Ref.]:[Check Periodo Ref.]]="Dentro",DATOS_[Conc.Sal.20]))))), 0)</f>
        <v>0</v>
      </c>
      <c r="Z37" s="209" t="n">
        <f aca="false" t="array" ref="Z37:Z37">IFERROR( AVERAGE((IF(DATOS_[[Sexo]:[Sexo]]=$B37,IF(DATOS_[[AGRUP. CLAS. PROF.]:[AGRUP. CLAS. PROF.]]=$B36,IF(DATOS_[[Check Periodo Ref.]:[Check Periodo Ref.]]="Dentro",DATOS_[Conc.Sal.21]))))), 0)</f>
        <v>0</v>
      </c>
      <c r="AA37" s="209" t="n">
        <f aca="false" t="array" ref="AA37:AA37">IFERROR( AVERAGE((IF(DATOS_[[Sexo]:[Sexo]]=$B37,IF(DATOS_[[AGRUP. CLAS. PROF.]:[AGRUP. CLAS. PROF.]]=$B36,IF(DATOS_[[Check Periodo Ref.]:[Check Periodo Ref.]]="Dentro",DATOS_[Conc.Sal.22]))))), 0)</f>
        <v>0</v>
      </c>
      <c r="AB37" s="209" t="n">
        <f aca="false" t="array" ref="AB37:AB37">IFERROR( AVERAGE((IF(DATOS_[[Sexo]:[Sexo]]=$B37,IF(DATOS_[[AGRUP. CLAS. PROF.]:[AGRUP. CLAS. PROF.]]=$B36,IF(DATOS_[[Check Periodo Ref.]:[Check Periodo Ref.]]="Dentro",DATOS_[Conc.Sal.23]))))), 0)</f>
        <v>0</v>
      </c>
      <c r="AC37" s="209" t="n">
        <f aca="false" t="array" ref="AC37:AC37">IFERROR( AVERAGE((IF(DATOS_[[Sexo]:[Sexo]]=$B37,IF(DATOS_[[AGRUP. CLAS. PROF.]:[AGRUP. CLAS. PROF.]]=$B36,IF(DATOS_[[Check Periodo Ref.]:[Check Periodo Ref.]]="Dentro",DATOS_[Conc.Sal.24]))))), 0)</f>
        <v>0</v>
      </c>
      <c r="AD37" s="209" t="n">
        <f aca="false" t="array" ref="AD37:AD37">IFERROR( AVERAGE((IF(DATOS_[[Sexo]:[Sexo]]=$B37,IF(DATOS_[[AGRUP. CLAS. PROF.]:[AGRUP. CLAS. PROF.]]=$B36,IF(DATOS_[[Check Periodo Ref.]:[Check Periodo Ref.]]="Dentro",DATOS_[Conc.Sal.25]))))), 0)</f>
        <v>0</v>
      </c>
      <c r="AE37" s="209" t="n">
        <f aca="false" t="array" ref="AE37:AE37">IFERROR( AVERAGE((IF(DATOS_[[Sexo]:[Sexo]]=$B37,IF(DATOS_[[AGRUP. CLAS. PROF.]:[AGRUP. CLAS. PROF.]]=$B36,IF(DATOS_[[Check Periodo Ref.]:[Check Periodo Ref.]]="Dentro",DATOS_[Conc.Sal.26]))))), 0)</f>
        <v>0</v>
      </c>
      <c r="AF37" s="209" t="n">
        <f aca="false" t="array" ref="AF37:AF37">IFERROR( AVERAGE((IF(DATOS_[[Sexo]:[Sexo]]=$B37,IF(DATOS_[[AGRUP. CLAS. PROF.]:[AGRUP. CLAS. PROF.]]=$B36,IF(DATOS_[[Check Periodo Ref.]:[Check Periodo Ref.]]="Dentro",DATOS_[Conc.Sal.27]))))), 0)</f>
        <v>0</v>
      </c>
      <c r="AG37" s="209" t="n">
        <f aca="false" t="array" ref="AG37:AG37">IFERROR( AVERAGE((IF(DATOS_[[Sexo]:[Sexo]]=$B37,IF(DATOS_[[AGRUP. CLAS. PROF.]:[AGRUP. CLAS. PROF.]]=$B36,IF(DATOS_[[Check Periodo Ref.]:[Check Periodo Ref.]]="Dentro",DATOS_[Conc.Sal.28]))))), 0)</f>
        <v>0</v>
      </c>
      <c r="AH37" s="209" t="n">
        <f aca="false" t="array" ref="AH37:AH37">IFERROR( AVERAGE((IF(DATOS_[[Sexo]:[Sexo]]=$B37,IF(DATOS_[[AGRUP. CLAS. PROF.]:[AGRUP. CLAS. PROF.]]=$B36,IF(DATOS_[[Check Periodo Ref.]:[Check Periodo Ref.]]="Dentro",DATOS_[Conc.Sal.29]))))), 0)</f>
        <v>0</v>
      </c>
      <c r="AI37" s="209" t="n">
        <f aca="false" t="array" ref="AI37:AI37">IFERROR( AVERAGE((IF(DATOS_[[Sexo]:[Sexo]]=$B37,IF(DATOS_[[AGRUP. CLAS. PROF.]:[AGRUP. CLAS. PROF.]]=$B36,IF(DATOS_[[Check Periodo Ref.]:[Check Periodo Ref.]]="Dentro",DATOS_[Conc.Sal.30]))))), 0)</f>
        <v>0</v>
      </c>
      <c r="AJ37" s="210" t="n">
        <f aca="false" t="array" ref="AJ37:AJ37">IFERROR( AVERAGE(IF(DATOS_[Sexo]=$B37,IF(DATOS_[AGRUP. CLAS. PROF.]=$B36,IF(DATOS_[Check Periodo Ref.]="Dentro",DATOS_[Tot COMPL.SAL Ef],0)))), 0)</f>
        <v>0</v>
      </c>
      <c r="AK37" s="211" t="n">
        <f aca="false" t="array" ref="AK37:AK37">IFERROR( AVERAGE(IF(DATOS_[Sexo]=$B37,IF(DATOS_[AGRUP. CLAS. PROF.]=$B36,IF(DATOS_[Check Periodo Ref.]="Dentro",DATOS_[TOTAL SALARIO Ef],0)))), 0)</f>
        <v>0</v>
      </c>
      <c r="AL37" s="212" t="n">
        <f aca="false" t="array" ref="AL37:AL37">IFERROR( AVERAGE((IF(DATOS_[[Sexo]:[Sexo]]=$B37,IF(DATOS_[[AGRUP. CLAS. PROF.]:[AGRUP. CLAS. PROF.]]=$B36,IF(DATOS_[[Check Periodo Ref.]:[Check Periodo Ref.]]="Dentro",DATOS_[C.Extra.01]))))), 0)</f>
        <v>0</v>
      </c>
      <c r="AM37" s="212" t="n">
        <f aca="false" t="array" ref="AM37:AM37">IFERROR( AVERAGE((IF(DATOS_[[Sexo]:[Sexo]]=$B37,IF(DATOS_[[AGRUP. CLAS. PROF.]:[AGRUP. CLAS. PROF.]]=$B36,IF(DATOS_[[Check Periodo Ref.]:[Check Periodo Ref.]]="Dentro",DATOS_[C.Extra.02]))))), 0)</f>
        <v>0</v>
      </c>
      <c r="AN37" s="212" t="n">
        <f aca="false" t="array" ref="AN37:AN37">IFERROR( AVERAGE((IF(DATOS_[[Sexo]:[Sexo]]=$B37,IF(DATOS_[[AGRUP. CLAS. PROF.]:[AGRUP. CLAS. PROF.]]=$B36,IF(DATOS_[[Check Periodo Ref.]:[Check Periodo Ref.]]="Dentro",DATOS_[C.Extra.03]))))), 0)</f>
        <v>0</v>
      </c>
      <c r="AO37" s="212" t="n">
        <f aca="false" t="array" ref="AO37:AO37">IFERROR( AVERAGE((IF(DATOS_[[Sexo]:[Sexo]]=$B37,IF(DATOS_[[AGRUP. CLAS. PROF.]:[AGRUP. CLAS. PROF.]]=$B36,IF(DATOS_[[Check Periodo Ref.]:[Check Periodo Ref.]]="Dentro",DATOS_[C.Extra.04]))))), 0)</f>
        <v>0</v>
      </c>
      <c r="AP37" s="212" t="n">
        <f aca="false" t="array" ref="AP37:AP37">IFERROR( AVERAGE((IF(DATOS_[[Sexo]:[Sexo]]=$B37,IF(DATOS_[[AGRUP. CLAS. PROF.]:[AGRUP. CLAS. PROF.]]=$B36,IF(DATOS_[[Check Periodo Ref.]:[Check Periodo Ref.]]="Dentro",DATOS_[C.Extra.05]))))), 0)</f>
        <v>0</v>
      </c>
      <c r="AQ37" s="213" t="n">
        <f aca="false" t="array" ref="AQ37:AQ37">IFERROR( AVERAGE(IF(DATOS_[Sexo]=$B37,IF(DATOS_[AGRUP. CLAS. PROF.]=$B36,IF(DATOS_[Check Periodo Ref.]="Dentro",DATOS_[Tot Extrasalarial Ef],0)))), 0)</f>
        <v>0</v>
      </c>
      <c r="AR37" s="214" t="n">
        <f aca="false" t="array" ref="AR37:AR37">IFERROR( AVERAGE(IF(DATOS_[Sexo]=$B37,IF(DATOS_[AGRUP. CLAS. PROF.]=$B36,IF(DATOS_[Check Periodo Ref.]="Dentro",DATOS_[TOTAL Retrib Ef],0)))), 0)</f>
        <v>0</v>
      </c>
    </row>
    <row r="38" customFormat="false" ht="14.25" hidden="false" customHeight="false" outlineLevel="0" collapsed="false">
      <c r="A38" s="191" t="str">
        <f aca="false">+A37</f>
        <v>[ocultar]</v>
      </c>
      <c r="B38" s="205" t="s">
        <v>372</v>
      </c>
      <c r="C38" s="206" t="n">
        <f aca="false" t="array" ref="C38:C38">SUM(IF($B38=DATOS_[Sexo], IF($B36=DATOS_[AGRUP. CLAS. PROF.], IF("Dentro"=DATOS_[Check Periodo Ref.], 1/(COUNTIFS(DATOS_[Sexo],$B38,DATOS_[AGRUP. CLAS. PROF.],$B36,DATOS_[Check Periodo Ref.],"Dentro",DATOS_[id],DATOS_[id]))))))</f>
        <v>0</v>
      </c>
      <c r="D38" s="207" t="n">
        <f aca="false">COUNTIFS(DATOS_[AGRUP. CLAS. PROF.],$B36,DATOS_[Sexo],$B38,DATOS_[Check Periodo Ref.],"Dentro")</f>
        <v>0</v>
      </c>
      <c r="E38" s="208" t="n">
        <f aca="false" t="array" ref="E38:E38">IFERROR( AVERAGE(IF(DATOS_[Sexo]=$B38,IF(DATOS_[AGRUP. CLAS. PROF.]=$B36,IF(DATOS_[Check Periodo Ref.]="Dentro",DATOS_[SALARIO BASE Ef],0)))), 0)</f>
        <v>0</v>
      </c>
      <c r="F38" s="209" t="n">
        <f aca="false" t="array" ref="F38:F38">IFERROR( AVERAGE((IF(DATOS_[[Sexo]:[Sexo]]=$B38,IF(DATOS_[[AGRUP. CLAS. PROF.]:[AGRUP. CLAS. PROF.]]=$B36,IF(DATOS_[[Check Periodo Ref.]:[Check Periodo Ref.]]="Dentro",DATOS_[Conc.Sal.01]))))), 0)</f>
        <v>0</v>
      </c>
      <c r="G38" s="209" t="n">
        <f aca="false" t="array" ref="G38:G38">IFERROR( AVERAGE((IF(DATOS_[[Sexo]:[Sexo]]=$B38,IF(DATOS_[[AGRUP. CLAS. PROF.]:[AGRUP. CLAS. PROF.]]=$B36,IF(DATOS_[[Check Periodo Ref.]:[Check Periodo Ref.]]="Dentro",DATOS_[Conc.Sal.02]))))), 0)</f>
        <v>0</v>
      </c>
      <c r="H38" s="209" t="n">
        <f aca="false" t="array" ref="H38:H38">IFERROR( AVERAGE((IF(DATOS_[[Sexo]:[Sexo]]=$B38,IF(DATOS_[[AGRUP. CLAS. PROF.]:[AGRUP. CLAS. PROF.]]=$B36,IF(DATOS_[[Check Periodo Ref.]:[Check Periodo Ref.]]="Dentro",DATOS_[Conc.Sal.03]))))), 0)</f>
        <v>0</v>
      </c>
      <c r="I38" s="209" t="n">
        <f aca="false" t="array" ref="I38:I38">IFERROR( AVERAGE((IF(DATOS_[[Sexo]:[Sexo]]=$B38,IF(DATOS_[[AGRUP. CLAS. PROF.]:[AGRUP. CLAS. PROF.]]=$B36,IF(DATOS_[[Check Periodo Ref.]:[Check Periodo Ref.]]="Dentro",DATOS_[Conc.Sal.04]))))), 0)</f>
        <v>0</v>
      </c>
      <c r="J38" s="209" t="n">
        <f aca="false" t="array" ref="J38:J38">IFERROR( AVERAGE((IF(DATOS_[[Sexo]:[Sexo]]=$B38,IF(DATOS_[[AGRUP. CLAS. PROF.]:[AGRUP. CLAS. PROF.]]=$B36,IF(DATOS_[[Check Periodo Ref.]:[Check Periodo Ref.]]="Dentro",DATOS_[Conc.Sal.05]))))), 0)</f>
        <v>0</v>
      </c>
      <c r="K38" s="209" t="n">
        <f aca="false" t="array" ref="K38:K38">IFERROR( AVERAGE((IF(DATOS_[[Sexo]:[Sexo]]=$B38,IF(DATOS_[[AGRUP. CLAS. PROF.]:[AGRUP. CLAS. PROF.]]=$B36,IF(DATOS_[[Check Periodo Ref.]:[Check Periodo Ref.]]="Dentro",DATOS_[Conc.Sal.06]))))), 0)</f>
        <v>0</v>
      </c>
      <c r="L38" s="209" t="n">
        <f aca="false" t="array" ref="L38:L38">IFERROR( AVERAGE((IF(DATOS_[[Sexo]:[Sexo]]=$B38,IF(DATOS_[[AGRUP. CLAS. PROF.]:[AGRUP. CLAS. PROF.]]=$B36,IF(DATOS_[[Check Periodo Ref.]:[Check Periodo Ref.]]="Dentro",DATOS_[Conc.Sal.07]))))), 0)</f>
        <v>0</v>
      </c>
      <c r="M38" s="209" t="n">
        <f aca="false" t="array" ref="M38:M38">IFERROR( AVERAGE((IF(DATOS_[[Sexo]:[Sexo]]=$B38,IF(DATOS_[[AGRUP. CLAS. PROF.]:[AGRUP. CLAS. PROF.]]=$B36,IF(DATOS_[[Check Periodo Ref.]:[Check Periodo Ref.]]="Dentro",DATOS_[Conc.Sal.08]))))), 0)</f>
        <v>0</v>
      </c>
      <c r="N38" s="209" t="n">
        <f aca="false" t="array" ref="N38:N38">IFERROR( AVERAGE((IF(DATOS_[[Sexo]:[Sexo]]=$B38,IF(DATOS_[[AGRUP. CLAS. PROF.]:[AGRUP. CLAS. PROF.]]=$B36,IF(DATOS_[[Check Periodo Ref.]:[Check Periodo Ref.]]="Dentro",DATOS_[Conc.Sal.09]))))), 0)</f>
        <v>0</v>
      </c>
      <c r="O38" s="209" t="n">
        <f aca="false" t="array" ref="O38:O38">IFERROR( AVERAGE((IF(DATOS_[[Sexo]:[Sexo]]=$B38,IF(DATOS_[[AGRUP. CLAS. PROF.]:[AGRUP. CLAS. PROF.]]=$B36,IF(DATOS_[[Check Periodo Ref.]:[Check Periodo Ref.]]="Dentro",DATOS_[Conc.Sal.10]))))), 0)</f>
        <v>0</v>
      </c>
      <c r="P38" s="209" t="n">
        <f aca="false" t="array" ref="P38:P38">IFERROR( AVERAGE((IF(DATOS_[[Sexo]:[Sexo]]=$B38,IF(DATOS_[[AGRUP. CLAS. PROF.]:[AGRUP. CLAS. PROF.]]=$B36,IF(DATOS_[[Check Periodo Ref.]:[Check Periodo Ref.]]="Dentro",DATOS_[Conc.Sal.11]))))), 0)</f>
        <v>0</v>
      </c>
      <c r="Q38" s="209" t="n">
        <f aca="false" t="array" ref="Q38:Q38">IFERROR( AVERAGE((IF(DATOS_[[Sexo]:[Sexo]]=$B38,IF(DATOS_[[AGRUP. CLAS. PROF.]:[AGRUP. CLAS. PROF.]]=$B36,IF(DATOS_[[Check Periodo Ref.]:[Check Periodo Ref.]]="Dentro",DATOS_[Conc.Sal.12]))))), 0)</f>
        <v>0</v>
      </c>
      <c r="R38" s="209" t="n">
        <f aca="false" t="array" ref="R38:R38">IFERROR( AVERAGE((IF(DATOS_[[Sexo]:[Sexo]]=$B38,IF(DATOS_[[AGRUP. CLAS. PROF.]:[AGRUP. CLAS. PROF.]]=$B36,IF(DATOS_[[Check Periodo Ref.]:[Check Periodo Ref.]]="Dentro",DATOS_[Conc.Sal.13]))))), 0)</f>
        <v>0</v>
      </c>
      <c r="S38" s="209" t="n">
        <f aca="false" t="array" ref="S38:S38">IFERROR( AVERAGE((IF(DATOS_[[Sexo]:[Sexo]]=$B38,IF(DATOS_[[AGRUP. CLAS. PROF.]:[AGRUP. CLAS. PROF.]]=$B36,IF(DATOS_[[Check Periodo Ref.]:[Check Periodo Ref.]]="Dentro",DATOS_[Conc.Sal.14]))))), 0)</f>
        <v>0</v>
      </c>
      <c r="T38" s="209" t="n">
        <f aca="false" t="array" ref="T38:T38">IFERROR( AVERAGE((IF(DATOS_[[Sexo]:[Sexo]]=$B38,IF(DATOS_[[AGRUP. CLAS. PROF.]:[AGRUP. CLAS. PROF.]]=$B36,IF(DATOS_[[Check Periodo Ref.]:[Check Periodo Ref.]]="Dentro",DATOS_[Conc.Sal.15]))))), 0)</f>
        <v>0</v>
      </c>
      <c r="U38" s="209" t="n">
        <f aca="false" t="array" ref="U38:U38">IFERROR( AVERAGE((IF(DATOS_[[Sexo]:[Sexo]]=$B38,IF(DATOS_[[AGRUP. CLAS. PROF.]:[AGRUP. CLAS. PROF.]]=$B36,IF(DATOS_[[Check Periodo Ref.]:[Check Periodo Ref.]]="Dentro",DATOS_[Conc.Sal.16]))))), 0)</f>
        <v>0</v>
      </c>
      <c r="V38" s="209" t="n">
        <f aca="false" t="array" ref="V38:V38">IFERROR( AVERAGE((IF(DATOS_[[Sexo]:[Sexo]]=$B38,IF(DATOS_[[AGRUP. CLAS. PROF.]:[AGRUP. CLAS. PROF.]]=$B36,IF(DATOS_[[Check Periodo Ref.]:[Check Periodo Ref.]]="Dentro",DATOS_[Conc.Sal.17]))))), 0)</f>
        <v>0</v>
      </c>
      <c r="W38" s="209" t="n">
        <f aca="false" t="array" ref="W38:W38">IFERROR( AVERAGE((IF(DATOS_[[Sexo]:[Sexo]]=$B38,IF(DATOS_[[AGRUP. CLAS. PROF.]:[AGRUP. CLAS. PROF.]]=$B36,IF(DATOS_[[Check Periodo Ref.]:[Check Periodo Ref.]]="Dentro",DATOS_[Conc.Sal.18]))))), 0)</f>
        <v>0</v>
      </c>
      <c r="X38" s="209" t="n">
        <f aca="false" t="array" ref="X38:X38">IFERROR( AVERAGE((IF(DATOS_[[Sexo]:[Sexo]]=$B38,IF(DATOS_[[AGRUP. CLAS. PROF.]:[AGRUP. CLAS. PROF.]]=$B36,IF(DATOS_[[Check Periodo Ref.]:[Check Periodo Ref.]]="Dentro",DATOS_[Conc.Sal.19]))))), 0)</f>
        <v>0</v>
      </c>
      <c r="Y38" s="209" t="n">
        <f aca="false" t="array" ref="Y38:Y38">IFERROR( AVERAGE((IF(DATOS_[[Sexo]:[Sexo]]=$B38,IF(DATOS_[[AGRUP. CLAS. PROF.]:[AGRUP. CLAS. PROF.]]=$B36,IF(DATOS_[[Check Periodo Ref.]:[Check Periodo Ref.]]="Dentro",DATOS_[Conc.Sal.20]))))), 0)</f>
        <v>0</v>
      </c>
      <c r="Z38" s="209" t="n">
        <f aca="false" t="array" ref="Z38:Z38">IFERROR( AVERAGE((IF(DATOS_[[Sexo]:[Sexo]]=$B38,IF(DATOS_[[AGRUP. CLAS. PROF.]:[AGRUP. CLAS. PROF.]]=$B36,IF(DATOS_[[Check Periodo Ref.]:[Check Periodo Ref.]]="Dentro",DATOS_[Conc.Sal.21]))))), 0)</f>
        <v>0</v>
      </c>
      <c r="AA38" s="209" t="n">
        <f aca="false" t="array" ref="AA38:AA38">IFERROR( AVERAGE((IF(DATOS_[[Sexo]:[Sexo]]=$B38,IF(DATOS_[[AGRUP. CLAS. PROF.]:[AGRUP. CLAS. PROF.]]=$B36,IF(DATOS_[[Check Periodo Ref.]:[Check Periodo Ref.]]="Dentro",DATOS_[Conc.Sal.22]))))), 0)</f>
        <v>0</v>
      </c>
      <c r="AB38" s="209" t="n">
        <f aca="false" t="array" ref="AB38:AB38">IFERROR( AVERAGE((IF(DATOS_[[Sexo]:[Sexo]]=$B38,IF(DATOS_[[AGRUP. CLAS. PROF.]:[AGRUP. CLAS. PROF.]]=$B36,IF(DATOS_[[Check Periodo Ref.]:[Check Periodo Ref.]]="Dentro",DATOS_[Conc.Sal.23]))))), 0)</f>
        <v>0</v>
      </c>
      <c r="AC38" s="209" t="n">
        <f aca="false" t="array" ref="AC38:AC38">IFERROR( AVERAGE((IF(DATOS_[[Sexo]:[Sexo]]=$B38,IF(DATOS_[[AGRUP. CLAS. PROF.]:[AGRUP. CLAS. PROF.]]=$B36,IF(DATOS_[[Check Periodo Ref.]:[Check Periodo Ref.]]="Dentro",DATOS_[Conc.Sal.24]))))), 0)</f>
        <v>0</v>
      </c>
      <c r="AD38" s="209" t="n">
        <f aca="false" t="array" ref="AD38:AD38">IFERROR( AVERAGE((IF(DATOS_[[Sexo]:[Sexo]]=$B38,IF(DATOS_[[AGRUP. CLAS. PROF.]:[AGRUP. CLAS. PROF.]]=$B36,IF(DATOS_[[Check Periodo Ref.]:[Check Periodo Ref.]]="Dentro",DATOS_[Conc.Sal.25]))))), 0)</f>
        <v>0</v>
      </c>
      <c r="AE38" s="209" t="n">
        <f aca="false" t="array" ref="AE38:AE38">IFERROR( AVERAGE((IF(DATOS_[[Sexo]:[Sexo]]=$B38,IF(DATOS_[[AGRUP. CLAS. PROF.]:[AGRUP. CLAS. PROF.]]=$B36,IF(DATOS_[[Check Periodo Ref.]:[Check Periodo Ref.]]="Dentro",DATOS_[Conc.Sal.26]))))), 0)</f>
        <v>0</v>
      </c>
      <c r="AF38" s="209" t="n">
        <f aca="false" t="array" ref="AF38:AF38">IFERROR( AVERAGE((IF(DATOS_[[Sexo]:[Sexo]]=$B38,IF(DATOS_[[AGRUP. CLAS. PROF.]:[AGRUP. CLAS. PROF.]]=$B36,IF(DATOS_[[Check Periodo Ref.]:[Check Periodo Ref.]]="Dentro",DATOS_[Conc.Sal.27]))))), 0)</f>
        <v>0</v>
      </c>
      <c r="AG38" s="209" t="n">
        <f aca="false" t="array" ref="AG38:AG38">IFERROR( AVERAGE((IF(DATOS_[[Sexo]:[Sexo]]=$B38,IF(DATOS_[[AGRUP. CLAS. PROF.]:[AGRUP. CLAS. PROF.]]=$B36,IF(DATOS_[[Check Periodo Ref.]:[Check Periodo Ref.]]="Dentro",DATOS_[Conc.Sal.28]))))), 0)</f>
        <v>0</v>
      </c>
      <c r="AH38" s="209" t="n">
        <f aca="false" t="array" ref="AH38:AH38">IFERROR( AVERAGE((IF(DATOS_[[Sexo]:[Sexo]]=$B38,IF(DATOS_[[AGRUP. CLAS. PROF.]:[AGRUP. CLAS. PROF.]]=$B36,IF(DATOS_[[Check Periodo Ref.]:[Check Periodo Ref.]]="Dentro",DATOS_[Conc.Sal.29]))))), 0)</f>
        <v>0</v>
      </c>
      <c r="AI38" s="209" t="n">
        <f aca="false" t="array" ref="AI38:AI38">IFERROR( AVERAGE((IF(DATOS_[[Sexo]:[Sexo]]=$B38,IF(DATOS_[[AGRUP. CLAS. PROF.]:[AGRUP. CLAS. PROF.]]=$B36,IF(DATOS_[[Check Periodo Ref.]:[Check Periodo Ref.]]="Dentro",DATOS_[Conc.Sal.30]))))), 0)</f>
        <v>0</v>
      </c>
      <c r="AJ38" s="210" t="n">
        <f aca="false" t="array" ref="AJ38:AJ38">IFERROR( AVERAGE(IF(DATOS_[Sexo]=$B38,IF(DATOS_[AGRUP. CLAS. PROF.]=$B36,IF(DATOS_[Check Periodo Ref.]="Dentro",DATOS_[Tot COMPL.SAL Ef],0)))), 0)</f>
        <v>0</v>
      </c>
      <c r="AK38" s="211" t="n">
        <f aca="false" t="array" ref="AK38:AK38">IFERROR( AVERAGE(IF(DATOS_[Sexo]=$B38,IF(DATOS_[AGRUP. CLAS. PROF.]=$B36,IF(DATOS_[Check Periodo Ref.]="Dentro",DATOS_[TOTAL SALARIO Ef],0)))), 0)</f>
        <v>0</v>
      </c>
      <c r="AL38" s="212" t="n">
        <f aca="false" t="array" ref="AL38:AL38">IFERROR( AVERAGE((IF(DATOS_[[Sexo]:[Sexo]]=$B38,IF(DATOS_[[AGRUP. CLAS. PROF.]:[AGRUP. CLAS. PROF.]]=$B36,IF(DATOS_[[Check Periodo Ref.]:[Check Periodo Ref.]]="Dentro",DATOS_[C.Extra.01]))))), 0)</f>
        <v>0</v>
      </c>
      <c r="AM38" s="212" t="n">
        <f aca="false" t="array" ref="AM38:AM38">IFERROR( AVERAGE((IF(DATOS_[[Sexo]:[Sexo]]=$B38,IF(DATOS_[[AGRUP. CLAS. PROF.]:[AGRUP. CLAS. PROF.]]=$B36,IF(DATOS_[[Check Periodo Ref.]:[Check Periodo Ref.]]="Dentro",DATOS_[C.Extra.02]))))), 0)</f>
        <v>0</v>
      </c>
      <c r="AN38" s="212" t="n">
        <f aca="false" t="array" ref="AN38:AN38">IFERROR( AVERAGE((IF(DATOS_[[Sexo]:[Sexo]]=$B38,IF(DATOS_[[AGRUP. CLAS. PROF.]:[AGRUP. CLAS. PROF.]]=$B36,IF(DATOS_[[Check Periodo Ref.]:[Check Periodo Ref.]]="Dentro",DATOS_[C.Extra.03]))))), 0)</f>
        <v>0</v>
      </c>
      <c r="AO38" s="212" t="n">
        <f aca="false" t="array" ref="AO38:AO38">IFERROR( AVERAGE((IF(DATOS_[[Sexo]:[Sexo]]=$B38,IF(DATOS_[[AGRUP. CLAS. PROF.]:[AGRUP. CLAS. PROF.]]=$B36,IF(DATOS_[[Check Periodo Ref.]:[Check Periodo Ref.]]="Dentro",DATOS_[C.Extra.04]))))), 0)</f>
        <v>0</v>
      </c>
      <c r="AP38" s="212" t="n">
        <f aca="false" t="array" ref="AP38:AP38">IFERROR( AVERAGE((IF(DATOS_[[Sexo]:[Sexo]]=$B38,IF(DATOS_[[AGRUP. CLAS. PROF.]:[AGRUP. CLAS. PROF.]]=$B36,IF(DATOS_[[Check Periodo Ref.]:[Check Periodo Ref.]]="Dentro",DATOS_[C.Extra.05]))))), 0)</f>
        <v>0</v>
      </c>
      <c r="AQ38" s="213" t="n">
        <f aca="false" t="array" ref="AQ38:AQ38">IFERROR( AVERAGE(IF(DATOS_[Sexo]=$B38,IF(DATOS_[AGRUP. CLAS. PROF.]=$B36,IF(DATOS_[Check Periodo Ref.]="Dentro",DATOS_[Tot Extrasalarial Ef],0)))), 0)</f>
        <v>0</v>
      </c>
      <c r="AR38" s="214" t="n">
        <f aca="false" t="array" ref="AR38:AR38">IFERROR( AVERAGE(IF(DATOS_[Sexo]=$B38,IF(DATOS_[AGRUP. CLAS. PROF.]=$B36,IF(DATOS_[Check Periodo Ref.]="Dentro",DATOS_[TOTAL Retrib Ef],0)))), 0)</f>
        <v>0</v>
      </c>
    </row>
    <row r="39" customFormat="false" ht="15.75" hidden="false" customHeight="false" outlineLevel="0" collapsed="false">
      <c r="A39" s="191" t="str">
        <f aca="false">+A40</f>
        <v>[ocultar]</v>
      </c>
      <c r="B39" s="192" t="s">
        <v>192</v>
      </c>
      <c r="C39" s="193"/>
      <c r="D39" s="194"/>
      <c r="E39" s="195" t="str">
        <f aca="false">IFERROR((E40-E41)/E40,"")</f>
        <v/>
      </c>
      <c r="F39" s="196" t="str">
        <f aca="false">IFERROR((F40-F41)/F40,"")</f>
        <v/>
      </c>
      <c r="G39" s="197" t="str">
        <f aca="false">IFERROR((G40-G41)/G40,"")</f>
        <v/>
      </c>
      <c r="H39" s="197" t="str">
        <f aca="false">IFERROR((H40-H41)/H40,"")</f>
        <v/>
      </c>
      <c r="I39" s="197" t="str">
        <f aca="false">IFERROR((I40-I41)/I40,"")</f>
        <v/>
      </c>
      <c r="J39" s="198" t="str">
        <f aca="false">IFERROR((J40-J41)/J40,"")</f>
        <v/>
      </c>
      <c r="K39" s="199" t="str">
        <f aca="false">IFERROR((K40-K41)/K40,"")</f>
        <v/>
      </c>
      <c r="L39" s="199" t="str">
        <f aca="false">IFERROR((L40-L41)/L40,"")</f>
        <v/>
      </c>
      <c r="M39" s="199" t="str">
        <f aca="false">IFERROR((M40-M41)/M40,"")</f>
        <v/>
      </c>
      <c r="N39" s="199" t="str">
        <f aca="false">IFERROR((N40-N41)/N40,"")</f>
        <v/>
      </c>
      <c r="O39" s="199" t="str">
        <f aca="false">IFERROR((O40-O41)/O40,"")</f>
        <v/>
      </c>
      <c r="P39" s="199" t="str">
        <f aca="false">IFERROR((P40-P41)/P40,"")</f>
        <v/>
      </c>
      <c r="Q39" s="199" t="str">
        <f aca="false">IFERROR((Q40-Q41)/Q40,"")</f>
        <v/>
      </c>
      <c r="R39" s="199" t="str">
        <f aca="false">IFERROR((R40-R41)/R40,"")</f>
        <v/>
      </c>
      <c r="S39" s="199" t="str">
        <f aca="false">IFERROR((S40-S41)/S40,"")</f>
        <v/>
      </c>
      <c r="T39" s="199" t="str">
        <f aca="false">IFERROR((T40-T41)/T40,"")</f>
        <v/>
      </c>
      <c r="U39" s="199" t="str">
        <f aca="false">IFERROR((U40-U41)/U40,"")</f>
        <v/>
      </c>
      <c r="V39" s="198" t="str">
        <f aca="false">IFERROR((V40-V41)/V40,"")</f>
        <v/>
      </c>
      <c r="W39" s="198" t="str">
        <f aca="false">IFERROR((W40-W41)/W40,"")</f>
        <v/>
      </c>
      <c r="X39" s="198" t="str">
        <f aca="false">IFERROR((X40-X41)/X40,"")</f>
        <v/>
      </c>
      <c r="Y39" s="198" t="str">
        <f aca="false">IFERROR((Y40-Y41)/Y40,"")</f>
        <v/>
      </c>
      <c r="Z39" s="198" t="str">
        <f aca="false">IFERROR((Z40-Z41)/Z40,"")</f>
        <v/>
      </c>
      <c r="AA39" s="198" t="str">
        <f aca="false">IFERROR((AA40-AA41)/AA40,"")</f>
        <v/>
      </c>
      <c r="AB39" s="198" t="str">
        <f aca="false">IFERROR((AB40-AB41)/AB40,"")</f>
        <v/>
      </c>
      <c r="AC39" s="198" t="str">
        <f aca="false">IFERROR((AC40-AC41)/AC40,"")</f>
        <v/>
      </c>
      <c r="AD39" s="198" t="str">
        <f aca="false">IFERROR((AD40-AD41)/AD40,"")</f>
        <v/>
      </c>
      <c r="AE39" s="198" t="str">
        <f aca="false">IFERROR((AE40-AE41)/AE40,"")</f>
        <v/>
      </c>
      <c r="AF39" s="198" t="str">
        <f aca="false">IFERROR((AF40-AF41)/AF40,"")</f>
        <v/>
      </c>
      <c r="AG39" s="198" t="str">
        <f aca="false">IFERROR((AG40-AG41)/AG40,"")</f>
        <v/>
      </c>
      <c r="AH39" s="198" t="str">
        <f aca="false">IFERROR((AH40-AH41)/AH40,"")</f>
        <v/>
      </c>
      <c r="AI39" s="198" t="str">
        <f aca="false">IFERROR((AI40-AI41)/AI40,"")</f>
        <v/>
      </c>
      <c r="AJ39" s="200" t="str">
        <f aca="false">IFERROR((AJ40-AJ41)/AJ40,"")</f>
        <v/>
      </c>
      <c r="AK39" s="201" t="str">
        <f aca="false">IFERROR((AK40-AK41)/AK40,"")</f>
        <v/>
      </c>
      <c r="AL39" s="202" t="str">
        <f aca="false">IFERROR((AL40-AL41)/AL40,"")</f>
        <v/>
      </c>
      <c r="AM39" s="202" t="str">
        <f aca="false">IFERROR((AM40-AM41)/AM40,"")</f>
        <v/>
      </c>
      <c r="AN39" s="202" t="str">
        <f aca="false">IFERROR((AN40-AN41)/AN40,"")</f>
        <v/>
      </c>
      <c r="AO39" s="202" t="str">
        <f aca="false">IFERROR((AO40-AO41)/AO40,"")</f>
        <v/>
      </c>
      <c r="AP39" s="202" t="str">
        <f aca="false">IFERROR((AP40-AP41)/AP40,"")</f>
        <v/>
      </c>
      <c r="AQ39" s="203" t="str">
        <f aca="false">IFERROR((AQ40-AQ41)/AQ40,"")</f>
        <v/>
      </c>
      <c r="AR39" s="204" t="str">
        <f aca="false">IFERROR((AR40-AR41)/AR40,"")</f>
        <v/>
      </c>
    </row>
    <row r="40" customFormat="false" ht="14.25" hidden="false" customHeight="false" outlineLevel="0" collapsed="false">
      <c r="A40" s="191" t="str">
        <f aca="false">+IF(C40+C41=0,"[ocultar]","")</f>
        <v>[ocultar]</v>
      </c>
      <c r="B40" s="205" t="s">
        <v>371</v>
      </c>
      <c r="C40" s="206" t="n">
        <f aca="false" t="array" ref="C40:C40">SUM(IF($B40=DATOS_[Sexo], IF($B39=DATOS_[AGRUP. CLAS. PROF.], IF("Dentro"=DATOS_[Check Periodo Ref.], 1/(COUNTIFS(DATOS_[Sexo],$B40,DATOS_[AGRUP. CLAS. PROF.],$B39,DATOS_[Check Periodo Ref.],"Dentro",DATOS_[id],DATOS_[id]))))))</f>
        <v>0</v>
      </c>
      <c r="D40" s="207" t="n">
        <f aca="false">COUNTIFS(DATOS_[AGRUP. CLAS. PROF.],$B39,DATOS_[Sexo],$B40,DATOS_[Check Periodo Ref.],"Dentro")</f>
        <v>0</v>
      </c>
      <c r="E40" s="208" t="n">
        <f aca="false" t="array" ref="E40:E40">IFERROR( AVERAGE(IF(DATOS_[Sexo]=$B40,IF(DATOS_[AGRUP. CLAS. PROF.]=$B39,IF(DATOS_[Check Periodo Ref.]="Dentro",DATOS_[SALARIO BASE Ef],0)))), 0)</f>
        <v>0</v>
      </c>
      <c r="F40" s="209" t="n">
        <f aca="false" t="array" ref="F40:F40">IFERROR( AVERAGE((IF(DATOS_[[Sexo]:[Sexo]]=$B40,IF(DATOS_[[AGRUP. CLAS. PROF.]:[AGRUP. CLAS. PROF.]]=$B39,IF(DATOS_[[Check Periodo Ref.]:[Check Periodo Ref.]]="Dentro",DATOS_[Conc.Sal.01]))))), 0)</f>
        <v>0</v>
      </c>
      <c r="G40" s="209" t="n">
        <f aca="false" t="array" ref="G40:G40">IFERROR( AVERAGE((IF(DATOS_[[Sexo]:[Sexo]]=$B40,IF(DATOS_[[AGRUP. CLAS. PROF.]:[AGRUP. CLAS. PROF.]]=$B39,IF(DATOS_[[Check Periodo Ref.]:[Check Periodo Ref.]]="Dentro",DATOS_[Conc.Sal.02]))))), 0)</f>
        <v>0</v>
      </c>
      <c r="H40" s="209" t="n">
        <f aca="false" t="array" ref="H40:H40">IFERROR( AVERAGE((IF(DATOS_[[Sexo]:[Sexo]]=$B40,IF(DATOS_[[AGRUP. CLAS. PROF.]:[AGRUP. CLAS. PROF.]]=$B39,IF(DATOS_[[Check Periodo Ref.]:[Check Periodo Ref.]]="Dentro",DATOS_[Conc.Sal.03]))))), 0)</f>
        <v>0</v>
      </c>
      <c r="I40" s="209" t="n">
        <f aca="false" t="array" ref="I40:I40">IFERROR( AVERAGE((IF(DATOS_[[Sexo]:[Sexo]]=$B40,IF(DATOS_[[AGRUP. CLAS. PROF.]:[AGRUP. CLAS. PROF.]]=$B39,IF(DATOS_[[Check Periodo Ref.]:[Check Periodo Ref.]]="Dentro",DATOS_[Conc.Sal.04]))))), 0)</f>
        <v>0</v>
      </c>
      <c r="J40" s="209" t="n">
        <f aca="false" t="array" ref="J40:J40">IFERROR( AVERAGE((IF(DATOS_[[Sexo]:[Sexo]]=$B40,IF(DATOS_[[AGRUP. CLAS. PROF.]:[AGRUP. CLAS. PROF.]]=$B39,IF(DATOS_[[Check Periodo Ref.]:[Check Periodo Ref.]]="Dentro",DATOS_[Conc.Sal.05]))))), 0)</f>
        <v>0</v>
      </c>
      <c r="K40" s="209" t="n">
        <f aca="false" t="array" ref="K40:K40">IFERROR( AVERAGE((IF(DATOS_[[Sexo]:[Sexo]]=$B40,IF(DATOS_[[AGRUP. CLAS. PROF.]:[AGRUP. CLAS. PROF.]]=$B39,IF(DATOS_[[Check Periodo Ref.]:[Check Periodo Ref.]]="Dentro",DATOS_[Conc.Sal.06]))))), 0)</f>
        <v>0</v>
      </c>
      <c r="L40" s="209" t="n">
        <f aca="false" t="array" ref="L40:L40">IFERROR( AVERAGE((IF(DATOS_[[Sexo]:[Sexo]]=$B40,IF(DATOS_[[AGRUP. CLAS. PROF.]:[AGRUP. CLAS. PROF.]]=$B39,IF(DATOS_[[Check Periodo Ref.]:[Check Periodo Ref.]]="Dentro",DATOS_[Conc.Sal.07]))))), 0)</f>
        <v>0</v>
      </c>
      <c r="M40" s="209" t="n">
        <f aca="false" t="array" ref="M40:M40">IFERROR( AVERAGE((IF(DATOS_[[Sexo]:[Sexo]]=$B40,IF(DATOS_[[AGRUP. CLAS. PROF.]:[AGRUP. CLAS. PROF.]]=$B39,IF(DATOS_[[Check Periodo Ref.]:[Check Periodo Ref.]]="Dentro",DATOS_[Conc.Sal.08]))))), 0)</f>
        <v>0</v>
      </c>
      <c r="N40" s="209" t="n">
        <f aca="false" t="array" ref="N40:N40">IFERROR( AVERAGE((IF(DATOS_[[Sexo]:[Sexo]]=$B40,IF(DATOS_[[AGRUP. CLAS. PROF.]:[AGRUP. CLAS. PROF.]]=$B39,IF(DATOS_[[Check Periodo Ref.]:[Check Periodo Ref.]]="Dentro",DATOS_[Conc.Sal.09]))))), 0)</f>
        <v>0</v>
      </c>
      <c r="O40" s="209" t="n">
        <f aca="false" t="array" ref="O40:O40">IFERROR( AVERAGE((IF(DATOS_[[Sexo]:[Sexo]]=$B40,IF(DATOS_[[AGRUP. CLAS. PROF.]:[AGRUP. CLAS. PROF.]]=$B39,IF(DATOS_[[Check Periodo Ref.]:[Check Periodo Ref.]]="Dentro",DATOS_[Conc.Sal.10]))))), 0)</f>
        <v>0</v>
      </c>
      <c r="P40" s="209" t="n">
        <f aca="false" t="array" ref="P40:P40">IFERROR( AVERAGE((IF(DATOS_[[Sexo]:[Sexo]]=$B40,IF(DATOS_[[AGRUP. CLAS. PROF.]:[AGRUP. CLAS. PROF.]]=$B39,IF(DATOS_[[Check Periodo Ref.]:[Check Periodo Ref.]]="Dentro",DATOS_[Conc.Sal.11]))))), 0)</f>
        <v>0</v>
      </c>
      <c r="Q40" s="209" t="n">
        <f aca="false" t="array" ref="Q40:Q40">IFERROR( AVERAGE((IF(DATOS_[[Sexo]:[Sexo]]=$B40,IF(DATOS_[[AGRUP. CLAS. PROF.]:[AGRUP. CLAS. PROF.]]=$B39,IF(DATOS_[[Check Periodo Ref.]:[Check Periodo Ref.]]="Dentro",DATOS_[Conc.Sal.12]))))), 0)</f>
        <v>0</v>
      </c>
      <c r="R40" s="209" t="n">
        <f aca="false" t="array" ref="R40:R40">IFERROR( AVERAGE((IF(DATOS_[[Sexo]:[Sexo]]=$B40,IF(DATOS_[[AGRUP. CLAS. PROF.]:[AGRUP. CLAS. PROF.]]=$B39,IF(DATOS_[[Check Periodo Ref.]:[Check Periodo Ref.]]="Dentro",DATOS_[Conc.Sal.13]))))), 0)</f>
        <v>0</v>
      </c>
      <c r="S40" s="209" t="n">
        <f aca="false" t="array" ref="S40:S40">IFERROR( AVERAGE((IF(DATOS_[[Sexo]:[Sexo]]=$B40,IF(DATOS_[[AGRUP. CLAS. PROF.]:[AGRUP. CLAS. PROF.]]=$B39,IF(DATOS_[[Check Periodo Ref.]:[Check Periodo Ref.]]="Dentro",DATOS_[Conc.Sal.14]))))), 0)</f>
        <v>0</v>
      </c>
      <c r="T40" s="209" t="n">
        <f aca="false" t="array" ref="T40:T40">IFERROR( AVERAGE((IF(DATOS_[[Sexo]:[Sexo]]=$B40,IF(DATOS_[[AGRUP. CLAS. PROF.]:[AGRUP. CLAS. PROF.]]=$B39,IF(DATOS_[[Check Periodo Ref.]:[Check Periodo Ref.]]="Dentro",DATOS_[Conc.Sal.15]))))), 0)</f>
        <v>0</v>
      </c>
      <c r="U40" s="209" t="n">
        <f aca="false" t="array" ref="U40:U40">IFERROR( AVERAGE((IF(DATOS_[[Sexo]:[Sexo]]=$B40,IF(DATOS_[[AGRUP. CLAS. PROF.]:[AGRUP. CLAS. PROF.]]=$B39,IF(DATOS_[[Check Periodo Ref.]:[Check Periodo Ref.]]="Dentro",DATOS_[Conc.Sal.16]))))), 0)</f>
        <v>0</v>
      </c>
      <c r="V40" s="209" t="n">
        <f aca="false" t="array" ref="V40:V40">IFERROR( AVERAGE((IF(DATOS_[[Sexo]:[Sexo]]=$B40,IF(DATOS_[[AGRUP. CLAS. PROF.]:[AGRUP. CLAS. PROF.]]=$B39,IF(DATOS_[[Check Periodo Ref.]:[Check Periodo Ref.]]="Dentro",DATOS_[Conc.Sal.17]))))), 0)</f>
        <v>0</v>
      </c>
      <c r="W40" s="209" t="n">
        <f aca="false" t="array" ref="W40:W40">IFERROR( AVERAGE((IF(DATOS_[[Sexo]:[Sexo]]=$B40,IF(DATOS_[[AGRUP. CLAS. PROF.]:[AGRUP. CLAS. PROF.]]=$B39,IF(DATOS_[[Check Periodo Ref.]:[Check Periodo Ref.]]="Dentro",DATOS_[Conc.Sal.18]))))), 0)</f>
        <v>0</v>
      </c>
      <c r="X40" s="209" t="n">
        <f aca="false" t="array" ref="X40:X40">IFERROR( AVERAGE((IF(DATOS_[[Sexo]:[Sexo]]=$B40,IF(DATOS_[[AGRUP. CLAS. PROF.]:[AGRUP. CLAS. PROF.]]=$B39,IF(DATOS_[[Check Periodo Ref.]:[Check Periodo Ref.]]="Dentro",DATOS_[Conc.Sal.19]))))), 0)</f>
        <v>0</v>
      </c>
      <c r="Y40" s="209" t="n">
        <f aca="false" t="array" ref="Y40:Y40">IFERROR( AVERAGE((IF(DATOS_[[Sexo]:[Sexo]]=$B40,IF(DATOS_[[AGRUP. CLAS. PROF.]:[AGRUP. CLAS. PROF.]]=$B39,IF(DATOS_[[Check Periodo Ref.]:[Check Periodo Ref.]]="Dentro",DATOS_[Conc.Sal.20]))))), 0)</f>
        <v>0</v>
      </c>
      <c r="Z40" s="209" t="n">
        <f aca="false" t="array" ref="Z40:Z40">IFERROR( AVERAGE((IF(DATOS_[[Sexo]:[Sexo]]=$B40,IF(DATOS_[[AGRUP. CLAS. PROF.]:[AGRUP. CLAS. PROF.]]=$B39,IF(DATOS_[[Check Periodo Ref.]:[Check Periodo Ref.]]="Dentro",DATOS_[Conc.Sal.21]))))), 0)</f>
        <v>0</v>
      </c>
      <c r="AA40" s="209" t="n">
        <f aca="false" t="array" ref="AA40:AA40">IFERROR( AVERAGE((IF(DATOS_[[Sexo]:[Sexo]]=$B40,IF(DATOS_[[AGRUP. CLAS. PROF.]:[AGRUP. CLAS. PROF.]]=$B39,IF(DATOS_[[Check Periodo Ref.]:[Check Periodo Ref.]]="Dentro",DATOS_[Conc.Sal.22]))))), 0)</f>
        <v>0</v>
      </c>
      <c r="AB40" s="209" t="n">
        <f aca="false" t="array" ref="AB40:AB40">IFERROR( AVERAGE((IF(DATOS_[[Sexo]:[Sexo]]=$B40,IF(DATOS_[[AGRUP. CLAS. PROF.]:[AGRUP. CLAS. PROF.]]=$B39,IF(DATOS_[[Check Periodo Ref.]:[Check Periodo Ref.]]="Dentro",DATOS_[Conc.Sal.23]))))), 0)</f>
        <v>0</v>
      </c>
      <c r="AC40" s="209" t="n">
        <f aca="false" t="array" ref="AC40:AC40">IFERROR( AVERAGE((IF(DATOS_[[Sexo]:[Sexo]]=$B40,IF(DATOS_[[AGRUP. CLAS. PROF.]:[AGRUP. CLAS. PROF.]]=$B39,IF(DATOS_[[Check Periodo Ref.]:[Check Periodo Ref.]]="Dentro",DATOS_[Conc.Sal.24]))))), 0)</f>
        <v>0</v>
      </c>
      <c r="AD40" s="209" t="n">
        <f aca="false" t="array" ref="AD40:AD40">IFERROR( AVERAGE((IF(DATOS_[[Sexo]:[Sexo]]=$B40,IF(DATOS_[[AGRUP. CLAS. PROF.]:[AGRUP. CLAS. PROF.]]=$B39,IF(DATOS_[[Check Periodo Ref.]:[Check Periodo Ref.]]="Dentro",DATOS_[Conc.Sal.25]))))), 0)</f>
        <v>0</v>
      </c>
      <c r="AE40" s="209" t="n">
        <f aca="false" t="array" ref="AE40:AE40">IFERROR( AVERAGE((IF(DATOS_[[Sexo]:[Sexo]]=$B40,IF(DATOS_[[AGRUP. CLAS. PROF.]:[AGRUP. CLAS. PROF.]]=$B39,IF(DATOS_[[Check Periodo Ref.]:[Check Periodo Ref.]]="Dentro",DATOS_[Conc.Sal.26]))))), 0)</f>
        <v>0</v>
      </c>
      <c r="AF40" s="209" t="n">
        <f aca="false" t="array" ref="AF40:AF40">IFERROR( AVERAGE((IF(DATOS_[[Sexo]:[Sexo]]=$B40,IF(DATOS_[[AGRUP. CLAS. PROF.]:[AGRUP. CLAS. PROF.]]=$B39,IF(DATOS_[[Check Periodo Ref.]:[Check Periodo Ref.]]="Dentro",DATOS_[Conc.Sal.27]))))), 0)</f>
        <v>0</v>
      </c>
      <c r="AG40" s="209" t="n">
        <f aca="false" t="array" ref="AG40:AG40">IFERROR( AVERAGE((IF(DATOS_[[Sexo]:[Sexo]]=$B40,IF(DATOS_[[AGRUP. CLAS. PROF.]:[AGRUP. CLAS. PROF.]]=$B39,IF(DATOS_[[Check Periodo Ref.]:[Check Periodo Ref.]]="Dentro",DATOS_[Conc.Sal.28]))))), 0)</f>
        <v>0</v>
      </c>
      <c r="AH40" s="209" t="n">
        <f aca="false" t="array" ref="AH40:AH40">IFERROR( AVERAGE((IF(DATOS_[[Sexo]:[Sexo]]=$B40,IF(DATOS_[[AGRUP. CLAS. PROF.]:[AGRUP. CLAS. PROF.]]=$B39,IF(DATOS_[[Check Periodo Ref.]:[Check Periodo Ref.]]="Dentro",DATOS_[Conc.Sal.29]))))), 0)</f>
        <v>0</v>
      </c>
      <c r="AI40" s="209" t="n">
        <f aca="false" t="array" ref="AI40:AI40">IFERROR( AVERAGE((IF(DATOS_[[Sexo]:[Sexo]]=$B40,IF(DATOS_[[AGRUP. CLAS. PROF.]:[AGRUP. CLAS. PROF.]]=$B39,IF(DATOS_[[Check Periodo Ref.]:[Check Periodo Ref.]]="Dentro",DATOS_[Conc.Sal.30]))))), 0)</f>
        <v>0</v>
      </c>
      <c r="AJ40" s="210" t="n">
        <f aca="false" t="array" ref="AJ40:AJ40">IFERROR( AVERAGE(IF(DATOS_[Sexo]=$B40,IF(DATOS_[AGRUP. CLAS. PROF.]=$B39,IF(DATOS_[Check Periodo Ref.]="Dentro",DATOS_[Tot COMPL.SAL Ef],0)))), 0)</f>
        <v>0</v>
      </c>
      <c r="AK40" s="211" t="n">
        <f aca="false" t="array" ref="AK40:AK40">IFERROR( AVERAGE(IF(DATOS_[Sexo]=$B40,IF(DATOS_[AGRUP. CLAS. PROF.]=$B39,IF(DATOS_[Check Periodo Ref.]="Dentro",DATOS_[TOTAL SALARIO Ef],0)))), 0)</f>
        <v>0</v>
      </c>
      <c r="AL40" s="212" t="n">
        <f aca="false" t="array" ref="AL40:AL40">IFERROR( AVERAGE((IF(DATOS_[[Sexo]:[Sexo]]=$B40,IF(DATOS_[[AGRUP. CLAS. PROF.]:[AGRUP. CLAS. PROF.]]=$B39,IF(DATOS_[[Check Periodo Ref.]:[Check Periodo Ref.]]="Dentro",DATOS_[C.Extra.01]))))), 0)</f>
        <v>0</v>
      </c>
      <c r="AM40" s="212" t="n">
        <f aca="false" t="array" ref="AM40:AM40">IFERROR( AVERAGE((IF(DATOS_[[Sexo]:[Sexo]]=$B40,IF(DATOS_[[AGRUP. CLAS. PROF.]:[AGRUP. CLAS. PROF.]]=$B39,IF(DATOS_[[Check Periodo Ref.]:[Check Periodo Ref.]]="Dentro",DATOS_[C.Extra.02]))))), 0)</f>
        <v>0</v>
      </c>
      <c r="AN40" s="212" t="n">
        <f aca="false" t="array" ref="AN40:AN40">IFERROR( AVERAGE((IF(DATOS_[[Sexo]:[Sexo]]=$B40,IF(DATOS_[[AGRUP. CLAS. PROF.]:[AGRUP. CLAS. PROF.]]=$B39,IF(DATOS_[[Check Periodo Ref.]:[Check Periodo Ref.]]="Dentro",DATOS_[C.Extra.03]))))), 0)</f>
        <v>0</v>
      </c>
      <c r="AO40" s="212" t="n">
        <f aca="false" t="array" ref="AO40:AO40">IFERROR( AVERAGE((IF(DATOS_[[Sexo]:[Sexo]]=$B40,IF(DATOS_[[AGRUP. CLAS. PROF.]:[AGRUP. CLAS. PROF.]]=$B39,IF(DATOS_[[Check Periodo Ref.]:[Check Periodo Ref.]]="Dentro",DATOS_[C.Extra.04]))))), 0)</f>
        <v>0</v>
      </c>
      <c r="AP40" s="212" t="n">
        <f aca="false" t="array" ref="AP40:AP40">IFERROR( AVERAGE((IF(DATOS_[[Sexo]:[Sexo]]=$B40,IF(DATOS_[[AGRUP. CLAS. PROF.]:[AGRUP. CLAS. PROF.]]=$B39,IF(DATOS_[[Check Periodo Ref.]:[Check Periodo Ref.]]="Dentro",DATOS_[C.Extra.05]))))), 0)</f>
        <v>0</v>
      </c>
      <c r="AQ40" s="213" t="n">
        <f aca="false" t="array" ref="AQ40:AQ40">IFERROR( AVERAGE(IF(DATOS_[Sexo]=$B40,IF(DATOS_[AGRUP. CLAS. PROF.]=$B39,IF(DATOS_[Check Periodo Ref.]="Dentro",DATOS_[Tot Extrasalarial Ef],0)))), 0)</f>
        <v>0</v>
      </c>
      <c r="AR40" s="214" t="n">
        <f aca="false" t="array" ref="AR40:AR40">IFERROR( AVERAGE(IF(DATOS_[Sexo]=$B40,IF(DATOS_[AGRUP. CLAS. PROF.]=$B39,IF(DATOS_[Check Periodo Ref.]="Dentro",DATOS_[TOTAL Retrib Ef],0)))), 0)</f>
        <v>0</v>
      </c>
    </row>
    <row r="41" customFormat="false" ht="14.25" hidden="false" customHeight="false" outlineLevel="0" collapsed="false">
      <c r="A41" s="191" t="str">
        <f aca="false">+A40</f>
        <v>[ocultar]</v>
      </c>
      <c r="B41" s="205" t="s">
        <v>372</v>
      </c>
      <c r="C41" s="206" t="n">
        <f aca="false" t="array" ref="C41:C41">SUM(IF($B41=DATOS_[Sexo], IF($B39=DATOS_[AGRUP. CLAS. PROF.], IF("Dentro"=DATOS_[Check Periodo Ref.], 1/(COUNTIFS(DATOS_[Sexo],$B41,DATOS_[AGRUP. CLAS. PROF.],$B39,DATOS_[Check Periodo Ref.],"Dentro",DATOS_[id],DATOS_[id]))))))</f>
        <v>0</v>
      </c>
      <c r="D41" s="207" t="n">
        <f aca="false">COUNTIFS(DATOS_[AGRUP. CLAS. PROF.],$B39,DATOS_[Sexo],$B41,DATOS_[Check Periodo Ref.],"Dentro")</f>
        <v>0</v>
      </c>
      <c r="E41" s="208" t="n">
        <f aca="false" t="array" ref="E41:E41">IFERROR( AVERAGE(IF(DATOS_[Sexo]=$B41,IF(DATOS_[AGRUP. CLAS. PROF.]=$B39,IF(DATOS_[Check Periodo Ref.]="Dentro",DATOS_[SALARIO BASE Ef],0)))), 0)</f>
        <v>0</v>
      </c>
      <c r="F41" s="209" t="n">
        <f aca="false" t="array" ref="F41:F41">IFERROR( AVERAGE((IF(DATOS_[[Sexo]:[Sexo]]=$B41,IF(DATOS_[[AGRUP. CLAS. PROF.]:[AGRUP. CLAS. PROF.]]=$B39,IF(DATOS_[[Check Periodo Ref.]:[Check Periodo Ref.]]="Dentro",DATOS_[Conc.Sal.01]))))), 0)</f>
        <v>0</v>
      </c>
      <c r="G41" s="209" t="n">
        <f aca="false" t="array" ref="G41:G41">IFERROR( AVERAGE((IF(DATOS_[[Sexo]:[Sexo]]=$B41,IF(DATOS_[[AGRUP. CLAS. PROF.]:[AGRUP. CLAS. PROF.]]=$B39,IF(DATOS_[[Check Periodo Ref.]:[Check Periodo Ref.]]="Dentro",DATOS_[Conc.Sal.02]))))), 0)</f>
        <v>0</v>
      </c>
      <c r="H41" s="209" t="n">
        <f aca="false" t="array" ref="H41:H41">IFERROR( AVERAGE((IF(DATOS_[[Sexo]:[Sexo]]=$B41,IF(DATOS_[[AGRUP. CLAS. PROF.]:[AGRUP. CLAS. PROF.]]=$B39,IF(DATOS_[[Check Periodo Ref.]:[Check Periodo Ref.]]="Dentro",DATOS_[Conc.Sal.03]))))), 0)</f>
        <v>0</v>
      </c>
      <c r="I41" s="209" t="n">
        <f aca="false" t="array" ref="I41:I41">IFERROR( AVERAGE((IF(DATOS_[[Sexo]:[Sexo]]=$B41,IF(DATOS_[[AGRUP. CLAS. PROF.]:[AGRUP. CLAS. PROF.]]=$B39,IF(DATOS_[[Check Periodo Ref.]:[Check Periodo Ref.]]="Dentro",DATOS_[Conc.Sal.04]))))), 0)</f>
        <v>0</v>
      </c>
      <c r="J41" s="209" t="n">
        <f aca="false" t="array" ref="J41:J41">IFERROR( AVERAGE((IF(DATOS_[[Sexo]:[Sexo]]=$B41,IF(DATOS_[[AGRUP. CLAS. PROF.]:[AGRUP. CLAS. PROF.]]=$B39,IF(DATOS_[[Check Periodo Ref.]:[Check Periodo Ref.]]="Dentro",DATOS_[Conc.Sal.05]))))), 0)</f>
        <v>0</v>
      </c>
      <c r="K41" s="209" t="n">
        <f aca="false" t="array" ref="K41:K41">IFERROR( AVERAGE((IF(DATOS_[[Sexo]:[Sexo]]=$B41,IF(DATOS_[[AGRUP. CLAS. PROF.]:[AGRUP. CLAS. PROF.]]=$B39,IF(DATOS_[[Check Periodo Ref.]:[Check Periodo Ref.]]="Dentro",DATOS_[Conc.Sal.06]))))), 0)</f>
        <v>0</v>
      </c>
      <c r="L41" s="209" t="n">
        <f aca="false" t="array" ref="L41:L41">IFERROR( AVERAGE((IF(DATOS_[[Sexo]:[Sexo]]=$B41,IF(DATOS_[[AGRUP. CLAS. PROF.]:[AGRUP. CLAS. PROF.]]=$B39,IF(DATOS_[[Check Periodo Ref.]:[Check Periodo Ref.]]="Dentro",DATOS_[Conc.Sal.07]))))), 0)</f>
        <v>0</v>
      </c>
      <c r="M41" s="209" t="n">
        <f aca="false" t="array" ref="M41:M41">IFERROR( AVERAGE((IF(DATOS_[[Sexo]:[Sexo]]=$B41,IF(DATOS_[[AGRUP. CLAS. PROF.]:[AGRUP. CLAS. PROF.]]=$B39,IF(DATOS_[[Check Periodo Ref.]:[Check Periodo Ref.]]="Dentro",DATOS_[Conc.Sal.08]))))), 0)</f>
        <v>0</v>
      </c>
      <c r="N41" s="209" t="n">
        <f aca="false" t="array" ref="N41:N41">IFERROR( AVERAGE((IF(DATOS_[[Sexo]:[Sexo]]=$B41,IF(DATOS_[[AGRUP. CLAS. PROF.]:[AGRUP. CLAS. PROF.]]=$B39,IF(DATOS_[[Check Periodo Ref.]:[Check Periodo Ref.]]="Dentro",DATOS_[Conc.Sal.09]))))), 0)</f>
        <v>0</v>
      </c>
      <c r="O41" s="209" t="n">
        <f aca="false" t="array" ref="O41:O41">IFERROR( AVERAGE((IF(DATOS_[[Sexo]:[Sexo]]=$B41,IF(DATOS_[[AGRUP. CLAS. PROF.]:[AGRUP. CLAS. PROF.]]=$B39,IF(DATOS_[[Check Periodo Ref.]:[Check Periodo Ref.]]="Dentro",DATOS_[Conc.Sal.10]))))), 0)</f>
        <v>0</v>
      </c>
      <c r="P41" s="209" t="n">
        <f aca="false" t="array" ref="P41:P41">IFERROR( AVERAGE((IF(DATOS_[[Sexo]:[Sexo]]=$B41,IF(DATOS_[[AGRUP. CLAS. PROF.]:[AGRUP. CLAS. PROF.]]=$B39,IF(DATOS_[[Check Periodo Ref.]:[Check Periodo Ref.]]="Dentro",DATOS_[Conc.Sal.11]))))), 0)</f>
        <v>0</v>
      </c>
      <c r="Q41" s="209" t="n">
        <f aca="false" t="array" ref="Q41:Q41">IFERROR( AVERAGE((IF(DATOS_[[Sexo]:[Sexo]]=$B41,IF(DATOS_[[AGRUP. CLAS. PROF.]:[AGRUP. CLAS. PROF.]]=$B39,IF(DATOS_[[Check Periodo Ref.]:[Check Periodo Ref.]]="Dentro",DATOS_[Conc.Sal.12]))))), 0)</f>
        <v>0</v>
      </c>
      <c r="R41" s="209" t="n">
        <f aca="false" t="array" ref="R41:R41">IFERROR( AVERAGE((IF(DATOS_[[Sexo]:[Sexo]]=$B41,IF(DATOS_[[AGRUP. CLAS. PROF.]:[AGRUP. CLAS. PROF.]]=$B39,IF(DATOS_[[Check Periodo Ref.]:[Check Periodo Ref.]]="Dentro",DATOS_[Conc.Sal.13]))))), 0)</f>
        <v>0</v>
      </c>
      <c r="S41" s="209" t="n">
        <f aca="false" t="array" ref="S41:S41">IFERROR( AVERAGE((IF(DATOS_[[Sexo]:[Sexo]]=$B41,IF(DATOS_[[AGRUP. CLAS. PROF.]:[AGRUP. CLAS. PROF.]]=$B39,IF(DATOS_[[Check Periodo Ref.]:[Check Periodo Ref.]]="Dentro",DATOS_[Conc.Sal.14]))))), 0)</f>
        <v>0</v>
      </c>
      <c r="T41" s="209" t="n">
        <f aca="false" t="array" ref="T41:T41">IFERROR( AVERAGE((IF(DATOS_[[Sexo]:[Sexo]]=$B41,IF(DATOS_[[AGRUP. CLAS. PROF.]:[AGRUP. CLAS. PROF.]]=$B39,IF(DATOS_[[Check Periodo Ref.]:[Check Periodo Ref.]]="Dentro",DATOS_[Conc.Sal.15]))))), 0)</f>
        <v>0</v>
      </c>
      <c r="U41" s="209" t="n">
        <f aca="false" t="array" ref="U41:U41">IFERROR( AVERAGE((IF(DATOS_[[Sexo]:[Sexo]]=$B41,IF(DATOS_[[AGRUP. CLAS. PROF.]:[AGRUP. CLAS. PROF.]]=$B39,IF(DATOS_[[Check Periodo Ref.]:[Check Periodo Ref.]]="Dentro",DATOS_[Conc.Sal.16]))))), 0)</f>
        <v>0</v>
      </c>
      <c r="V41" s="209" t="n">
        <f aca="false" t="array" ref="V41:V41">IFERROR( AVERAGE((IF(DATOS_[[Sexo]:[Sexo]]=$B41,IF(DATOS_[[AGRUP. CLAS. PROF.]:[AGRUP. CLAS. PROF.]]=$B39,IF(DATOS_[[Check Periodo Ref.]:[Check Periodo Ref.]]="Dentro",DATOS_[Conc.Sal.17]))))), 0)</f>
        <v>0</v>
      </c>
      <c r="W41" s="209" t="n">
        <f aca="false" t="array" ref="W41:W41">IFERROR( AVERAGE((IF(DATOS_[[Sexo]:[Sexo]]=$B41,IF(DATOS_[[AGRUP. CLAS. PROF.]:[AGRUP. CLAS. PROF.]]=$B39,IF(DATOS_[[Check Periodo Ref.]:[Check Periodo Ref.]]="Dentro",DATOS_[Conc.Sal.18]))))), 0)</f>
        <v>0</v>
      </c>
      <c r="X41" s="209" t="n">
        <f aca="false" t="array" ref="X41:X41">IFERROR( AVERAGE((IF(DATOS_[[Sexo]:[Sexo]]=$B41,IF(DATOS_[[AGRUP. CLAS. PROF.]:[AGRUP. CLAS. PROF.]]=$B39,IF(DATOS_[[Check Periodo Ref.]:[Check Periodo Ref.]]="Dentro",DATOS_[Conc.Sal.19]))))), 0)</f>
        <v>0</v>
      </c>
      <c r="Y41" s="209" t="n">
        <f aca="false" t="array" ref="Y41:Y41">IFERROR( AVERAGE((IF(DATOS_[[Sexo]:[Sexo]]=$B41,IF(DATOS_[[AGRUP. CLAS. PROF.]:[AGRUP. CLAS. PROF.]]=$B39,IF(DATOS_[[Check Periodo Ref.]:[Check Periodo Ref.]]="Dentro",DATOS_[Conc.Sal.20]))))), 0)</f>
        <v>0</v>
      </c>
      <c r="Z41" s="209" t="n">
        <f aca="false" t="array" ref="Z41:Z41">IFERROR( AVERAGE((IF(DATOS_[[Sexo]:[Sexo]]=$B41,IF(DATOS_[[AGRUP. CLAS. PROF.]:[AGRUP. CLAS. PROF.]]=$B39,IF(DATOS_[[Check Periodo Ref.]:[Check Periodo Ref.]]="Dentro",DATOS_[Conc.Sal.21]))))), 0)</f>
        <v>0</v>
      </c>
      <c r="AA41" s="209" t="n">
        <f aca="false" t="array" ref="AA41:AA41">IFERROR( AVERAGE((IF(DATOS_[[Sexo]:[Sexo]]=$B41,IF(DATOS_[[AGRUP. CLAS. PROF.]:[AGRUP. CLAS. PROF.]]=$B39,IF(DATOS_[[Check Periodo Ref.]:[Check Periodo Ref.]]="Dentro",DATOS_[Conc.Sal.22]))))), 0)</f>
        <v>0</v>
      </c>
      <c r="AB41" s="209" t="n">
        <f aca="false" t="array" ref="AB41:AB41">IFERROR( AVERAGE((IF(DATOS_[[Sexo]:[Sexo]]=$B41,IF(DATOS_[[AGRUP. CLAS. PROF.]:[AGRUP. CLAS. PROF.]]=$B39,IF(DATOS_[[Check Periodo Ref.]:[Check Periodo Ref.]]="Dentro",DATOS_[Conc.Sal.23]))))), 0)</f>
        <v>0</v>
      </c>
      <c r="AC41" s="209" t="n">
        <f aca="false" t="array" ref="AC41:AC41">IFERROR( AVERAGE((IF(DATOS_[[Sexo]:[Sexo]]=$B41,IF(DATOS_[[AGRUP. CLAS. PROF.]:[AGRUP. CLAS. PROF.]]=$B39,IF(DATOS_[[Check Periodo Ref.]:[Check Periodo Ref.]]="Dentro",DATOS_[Conc.Sal.24]))))), 0)</f>
        <v>0</v>
      </c>
      <c r="AD41" s="209" t="n">
        <f aca="false" t="array" ref="AD41:AD41">IFERROR( AVERAGE((IF(DATOS_[[Sexo]:[Sexo]]=$B41,IF(DATOS_[[AGRUP. CLAS. PROF.]:[AGRUP. CLAS. PROF.]]=$B39,IF(DATOS_[[Check Periodo Ref.]:[Check Periodo Ref.]]="Dentro",DATOS_[Conc.Sal.25]))))), 0)</f>
        <v>0</v>
      </c>
      <c r="AE41" s="209" t="n">
        <f aca="false" t="array" ref="AE41:AE41">IFERROR( AVERAGE((IF(DATOS_[[Sexo]:[Sexo]]=$B41,IF(DATOS_[[AGRUP. CLAS. PROF.]:[AGRUP. CLAS. PROF.]]=$B39,IF(DATOS_[[Check Periodo Ref.]:[Check Periodo Ref.]]="Dentro",DATOS_[Conc.Sal.26]))))), 0)</f>
        <v>0</v>
      </c>
      <c r="AF41" s="209" t="n">
        <f aca="false" t="array" ref="AF41:AF41">IFERROR( AVERAGE((IF(DATOS_[[Sexo]:[Sexo]]=$B41,IF(DATOS_[[AGRUP. CLAS. PROF.]:[AGRUP. CLAS. PROF.]]=$B39,IF(DATOS_[[Check Periodo Ref.]:[Check Periodo Ref.]]="Dentro",DATOS_[Conc.Sal.27]))))), 0)</f>
        <v>0</v>
      </c>
      <c r="AG41" s="209" t="n">
        <f aca="false" t="array" ref="AG41:AG41">IFERROR( AVERAGE((IF(DATOS_[[Sexo]:[Sexo]]=$B41,IF(DATOS_[[AGRUP. CLAS. PROF.]:[AGRUP. CLAS. PROF.]]=$B39,IF(DATOS_[[Check Periodo Ref.]:[Check Periodo Ref.]]="Dentro",DATOS_[Conc.Sal.28]))))), 0)</f>
        <v>0</v>
      </c>
      <c r="AH41" s="209" t="n">
        <f aca="false" t="array" ref="AH41:AH41">IFERROR( AVERAGE((IF(DATOS_[[Sexo]:[Sexo]]=$B41,IF(DATOS_[[AGRUP. CLAS. PROF.]:[AGRUP. CLAS. PROF.]]=$B39,IF(DATOS_[[Check Periodo Ref.]:[Check Periodo Ref.]]="Dentro",DATOS_[Conc.Sal.29]))))), 0)</f>
        <v>0</v>
      </c>
      <c r="AI41" s="209" t="n">
        <f aca="false" t="array" ref="AI41:AI41">IFERROR( AVERAGE((IF(DATOS_[[Sexo]:[Sexo]]=$B41,IF(DATOS_[[AGRUP. CLAS. PROF.]:[AGRUP. CLAS. PROF.]]=$B39,IF(DATOS_[[Check Periodo Ref.]:[Check Periodo Ref.]]="Dentro",DATOS_[Conc.Sal.30]))))), 0)</f>
        <v>0</v>
      </c>
      <c r="AJ41" s="210" t="n">
        <f aca="false" t="array" ref="AJ41:AJ41">IFERROR( AVERAGE(IF(DATOS_[Sexo]=$B41,IF(DATOS_[AGRUP. CLAS. PROF.]=$B39,IF(DATOS_[Check Periodo Ref.]="Dentro",DATOS_[Tot COMPL.SAL Ef],0)))), 0)</f>
        <v>0</v>
      </c>
      <c r="AK41" s="211" t="n">
        <f aca="false" t="array" ref="AK41:AK41">IFERROR( AVERAGE(IF(DATOS_[Sexo]=$B41,IF(DATOS_[AGRUP. CLAS. PROF.]=$B39,IF(DATOS_[Check Periodo Ref.]="Dentro",DATOS_[TOTAL SALARIO Ef],0)))), 0)</f>
        <v>0</v>
      </c>
      <c r="AL41" s="212" t="n">
        <f aca="false" t="array" ref="AL41:AL41">IFERROR( AVERAGE((IF(DATOS_[[Sexo]:[Sexo]]=$B41,IF(DATOS_[[AGRUP. CLAS. PROF.]:[AGRUP. CLAS. PROF.]]=$B39,IF(DATOS_[[Check Periodo Ref.]:[Check Periodo Ref.]]="Dentro",DATOS_[C.Extra.01]))))), 0)</f>
        <v>0</v>
      </c>
      <c r="AM41" s="212" t="n">
        <f aca="false" t="array" ref="AM41:AM41">IFERROR( AVERAGE((IF(DATOS_[[Sexo]:[Sexo]]=$B41,IF(DATOS_[[AGRUP. CLAS. PROF.]:[AGRUP. CLAS. PROF.]]=$B39,IF(DATOS_[[Check Periodo Ref.]:[Check Periodo Ref.]]="Dentro",DATOS_[C.Extra.02]))))), 0)</f>
        <v>0</v>
      </c>
      <c r="AN41" s="212" t="n">
        <f aca="false" t="array" ref="AN41:AN41">IFERROR( AVERAGE((IF(DATOS_[[Sexo]:[Sexo]]=$B41,IF(DATOS_[[AGRUP. CLAS. PROF.]:[AGRUP. CLAS. PROF.]]=$B39,IF(DATOS_[[Check Periodo Ref.]:[Check Periodo Ref.]]="Dentro",DATOS_[C.Extra.03]))))), 0)</f>
        <v>0</v>
      </c>
      <c r="AO41" s="212" t="n">
        <f aca="false" t="array" ref="AO41:AO41">IFERROR( AVERAGE((IF(DATOS_[[Sexo]:[Sexo]]=$B41,IF(DATOS_[[AGRUP. CLAS. PROF.]:[AGRUP. CLAS. PROF.]]=$B39,IF(DATOS_[[Check Periodo Ref.]:[Check Periodo Ref.]]="Dentro",DATOS_[C.Extra.04]))))), 0)</f>
        <v>0</v>
      </c>
      <c r="AP41" s="212" t="n">
        <f aca="false" t="array" ref="AP41:AP41">IFERROR( AVERAGE((IF(DATOS_[[Sexo]:[Sexo]]=$B41,IF(DATOS_[[AGRUP. CLAS. PROF.]:[AGRUP. CLAS. PROF.]]=$B39,IF(DATOS_[[Check Periodo Ref.]:[Check Periodo Ref.]]="Dentro",DATOS_[C.Extra.05]))))), 0)</f>
        <v>0</v>
      </c>
      <c r="AQ41" s="213" t="n">
        <f aca="false" t="array" ref="AQ41:AQ41">IFERROR( AVERAGE(IF(DATOS_[Sexo]=$B41,IF(DATOS_[AGRUP. CLAS. PROF.]=$B39,IF(DATOS_[Check Periodo Ref.]="Dentro",DATOS_[Tot Extrasalarial Ef],0)))), 0)</f>
        <v>0</v>
      </c>
      <c r="AR41" s="214" t="n">
        <f aca="false" t="array" ref="AR41:AR41">IFERROR( AVERAGE(IF(DATOS_[Sexo]=$B41,IF(DATOS_[AGRUP. CLAS. PROF.]=$B39,IF(DATOS_[Check Periodo Ref.]="Dentro",DATOS_[TOTAL Retrib Ef],0)))), 0)</f>
        <v>0</v>
      </c>
    </row>
    <row r="42" customFormat="false" ht="15.75" hidden="false" customHeight="false" outlineLevel="0" collapsed="false">
      <c r="A42" s="191" t="str">
        <f aca="false">+A43</f>
        <v>[ocultar]</v>
      </c>
      <c r="B42" s="192" t="s">
        <v>195</v>
      </c>
      <c r="C42" s="193"/>
      <c r="D42" s="194"/>
      <c r="E42" s="195" t="str">
        <f aca="false">IFERROR((E43-E44)/E43,"")</f>
        <v/>
      </c>
      <c r="F42" s="196" t="str">
        <f aca="false">IFERROR((F43-F44)/F43,"")</f>
        <v/>
      </c>
      <c r="G42" s="197" t="str">
        <f aca="false">IFERROR((G43-G44)/G43,"")</f>
        <v/>
      </c>
      <c r="H42" s="197" t="str">
        <f aca="false">IFERROR((H43-H44)/H43,"")</f>
        <v/>
      </c>
      <c r="I42" s="197" t="str">
        <f aca="false">IFERROR((I43-I44)/I43,"")</f>
        <v/>
      </c>
      <c r="J42" s="198" t="str">
        <f aca="false">IFERROR((J43-J44)/J43,"")</f>
        <v/>
      </c>
      <c r="K42" s="199" t="str">
        <f aca="false">IFERROR((K43-K44)/K43,"")</f>
        <v/>
      </c>
      <c r="L42" s="199" t="str">
        <f aca="false">IFERROR((L43-L44)/L43,"")</f>
        <v/>
      </c>
      <c r="M42" s="199" t="str">
        <f aca="false">IFERROR((M43-M44)/M43,"")</f>
        <v/>
      </c>
      <c r="N42" s="199" t="str">
        <f aca="false">IFERROR((N43-N44)/N43,"")</f>
        <v/>
      </c>
      <c r="O42" s="199" t="str">
        <f aca="false">IFERROR((O43-O44)/O43,"")</f>
        <v/>
      </c>
      <c r="P42" s="199" t="str">
        <f aca="false">IFERROR((P43-P44)/P43,"")</f>
        <v/>
      </c>
      <c r="Q42" s="199" t="str">
        <f aca="false">IFERROR((Q43-Q44)/Q43,"")</f>
        <v/>
      </c>
      <c r="R42" s="199" t="str">
        <f aca="false">IFERROR((R43-R44)/R43,"")</f>
        <v/>
      </c>
      <c r="S42" s="199" t="str">
        <f aca="false">IFERROR((S43-S44)/S43,"")</f>
        <v/>
      </c>
      <c r="T42" s="199" t="str">
        <f aca="false">IFERROR((T43-T44)/T43,"")</f>
        <v/>
      </c>
      <c r="U42" s="199" t="str">
        <f aca="false">IFERROR((U43-U44)/U43,"")</f>
        <v/>
      </c>
      <c r="V42" s="198" t="str">
        <f aca="false">IFERROR((V43-V44)/V43,"")</f>
        <v/>
      </c>
      <c r="W42" s="198" t="str">
        <f aca="false">IFERROR((W43-W44)/W43,"")</f>
        <v/>
      </c>
      <c r="X42" s="198" t="str">
        <f aca="false">IFERROR((X43-X44)/X43,"")</f>
        <v/>
      </c>
      <c r="Y42" s="198" t="str">
        <f aca="false">IFERROR((Y43-Y44)/Y43,"")</f>
        <v/>
      </c>
      <c r="Z42" s="198" t="str">
        <f aca="false">IFERROR((Z43-Z44)/Z43,"")</f>
        <v/>
      </c>
      <c r="AA42" s="198" t="str">
        <f aca="false">IFERROR((AA43-AA44)/AA43,"")</f>
        <v/>
      </c>
      <c r="AB42" s="198" t="str">
        <f aca="false">IFERROR((AB43-AB44)/AB43,"")</f>
        <v/>
      </c>
      <c r="AC42" s="198" t="str">
        <f aca="false">IFERROR((AC43-AC44)/AC43,"")</f>
        <v/>
      </c>
      <c r="AD42" s="198" t="str">
        <f aca="false">IFERROR((AD43-AD44)/AD43,"")</f>
        <v/>
      </c>
      <c r="AE42" s="198" t="str">
        <f aca="false">IFERROR((AE43-AE44)/AE43,"")</f>
        <v/>
      </c>
      <c r="AF42" s="198" t="str">
        <f aca="false">IFERROR((AF43-AF44)/AF43,"")</f>
        <v/>
      </c>
      <c r="AG42" s="198" t="str">
        <f aca="false">IFERROR((AG43-AG44)/AG43,"")</f>
        <v/>
      </c>
      <c r="AH42" s="198" t="str">
        <f aca="false">IFERROR((AH43-AH44)/AH43,"")</f>
        <v/>
      </c>
      <c r="AI42" s="198" t="str">
        <f aca="false">IFERROR((AI43-AI44)/AI43,"")</f>
        <v/>
      </c>
      <c r="AJ42" s="200" t="str">
        <f aca="false">IFERROR((AJ43-AJ44)/AJ43,"")</f>
        <v/>
      </c>
      <c r="AK42" s="201" t="str">
        <f aca="false">IFERROR((AK43-AK44)/AK43,"")</f>
        <v/>
      </c>
      <c r="AL42" s="202" t="str">
        <f aca="false">IFERROR((AL43-AL44)/AL43,"")</f>
        <v/>
      </c>
      <c r="AM42" s="202" t="str">
        <f aca="false">IFERROR((AM43-AM44)/AM43,"")</f>
        <v/>
      </c>
      <c r="AN42" s="202" t="str">
        <f aca="false">IFERROR((AN43-AN44)/AN43,"")</f>
        <v/>
      </c>
      <c r="AO42" s="202" t="str">
        <f aca="false">IFERROR((AO43-AO44)/AO43,"")</f>
        <v/>
      </c>
      <c r="AP42" s="202" t="str">
        <f aca="false">IFERROR((AP43-AP44)/AP43,"")</f>
        <v/>
      </c>
      <c r="AQ42" s="203" t="str">
        <f aca="false">IFERROR((AQ43-AQ44)/AQ43,"")</f>
        <v/>
      </c>
      <c r="AR42" s="204" t="str">
        <f aca="false">IFERROR((AR43-AR44)/AR43,"")</f>
        <v/>
      </c>
    </row>
    <row r="43" customFormat="false" ht="14.25" hidden="false" customHeight="false" outlineLevel="0" collapsed="false">
      <c r="A43" s="191" t="str">
        <f aca="false">+IF(C43+C44=0,"[ocultar]","")</f>
        <v>[ocultar]</v>
      </c>
      <c r="B43" s="205" t="s">
        <v>371</v>
      </c>
      <c r="C43" s="206" t="n">
        <f aca="false" t="array" ref="C43:C43">SUM(IF($B43=DATOS_[Sexo], IF($B42=DATOS_[AGRUP. CLAS. PROF.], IF("Dentro"=DATOS_[Check Periodo Ref.], 1/(COUNTIFS(DATOS_[Sexo],$B43,DATOS_[AGRUP. CLAS. PROF.],$B42,DATOS_[Check Periodo Ref.],"Dentro",DATOS_[id],DATOS_[id]))))))</f>
        <v>0</v>
      </c>
      <c r="D43" s="207" t="n">
        <f aca="false">COUNTIFS(DATOS_[AGRUP. CLAS. PROF.],$B42,DATOS_[Sexo],$B43,DATOS_[Check Periodo Ref.],"Dentro")</f>
        <v>0</v>
      </c>
      <c r="E43" s="208" t="n">
        <f aca="false" t="array" ref="E43:E43">IFERROR( AVERAGE(IF(DATOS_[Sexo]=$B43,IF(DATOS_[AGRUP. CLAS. PROF.]=$B42,IF(DATOS_[Check Periodo Ref.]="Dentro",DATOS_[SALARIO BASE Ef],0)))), 0)</f>
        <v>0</v>
      </c>
      <c r="F43" s="209" t="n">
        <f aca="false" t="array" ref="F43:F43">IFERROR( AVERAGE((IF(DATOS_[[Sexo]:[Sexo]]=$B43,IF(DATOS_[[AGRUP. CLAS. PROF.]:[AGRUP. CLAS. PROF.]]=$B42,IF(DATOS_[[Check Periodo Ref.]:[Check Periodo Ref.]]="Dentro",DATOS_[Conc.Sal.01]))))), 0)</f>
        <v>0</v>
      </c>
      <c r="G43" s="209" t="n">
        <f aca="false" t="array" ref="G43:G43">IFERROR( AVERAGE((IF(DATOS_[[Sexo]:[Sexo]]=$B43,IF(DATOS_[[AGRUP. CLAS. PROF.]:[AGRUP. CLAS. PROF.]]=$B42,IF(DATOS_[[Check Periodo Ref.]:[Check Periodo Ref.]]="Dentro",DATOS_[Conc.Sal.02]))))), 0)</f>
        <v>0</v>
      </c>
      <c r="H43" s="209" t="n">
        <f aca="false" t="array" ref="H43:H43">IFERROR( AVERAGE((IF(DATOS_[[Sexo]:[Sexo]]=$B43,IF(DATOS_[[AGRUP. CLAS. PROF.]:[AGRUP. CLAS. PROF.]]=$B42,IF(DATOS_[[Check Periodo Ref.]:[Check Periodo Ref.]]="Dentro",DATOS_[Conc.Sal.03]))))), 0)</f>
        <v>0</v>
      </c>
      <c r="I43" s="209" t="n">
        <f aca="false" t="array" ref="I43:I43">IFERROR( AVERAGE((IF(DATOS_[[Sexo]:[Sexo]]=$B43,IF(DATOS_[[AGRUP. CLAS. PROF.]:[AGRUP. CLAS. PROF.]]=$B42,IF(DATOS_[[Check Periodo Ref.]:[Check Periodo Ref.]]="Dentro",DATOS_[Conc.Sal.04]))))), 0)</f>
        <v>0</v>
      </c>
      <c r="J43" s="209" t="n">
        <f aca="false" t="array" ref="J43:J43">IFERROR( AVERAGE((IF(DATOS_[[Sexo]:[Sexo]]=$B43,IF(DATOS_[[AGRUP. CLAS. PROF.]:[AGRUP. CLAS. PROF.]]=$B42,IF(DATOS_[[Check Periodo Ref.]:[Check Periodo Ref.]]="Dentro",DATOS_[Conc.Sal.05]))))), 0)</f>
        <v>0</v>
      </c>
      <c r="K43" s="209" t="n">
        <f aca="false" t="array" ref="K43:K43">IFERROR( AVERAGE((IF(DATOS_[[Sexo]:[Sexo]]=$B43,IF(DATOS_[[AGRUP. CLAS. PROF.]:[AGRUP. CLAS. PROF.]]=$B42,IF(DATOS_[[Check Periodo Ref.]:[Check Periodo Ref.]]="Dentro",DATOS_[Conc.Sal.06]))))), 0)</f>
        <v>0</v>
      </c>
      <c r="L43" s="209" t="n">
        <f aca="false" t="array" ref="L43:L43">IFERROR( AVERAGE((IF(DATOS_[[Sexo]:[Sexo]]=$B43,IF(DATOS_[[AGRUP. CLAS. PROF.]:[AGRUP. CLAS. PROF.]]=$B42,IF(DATOS_[[Check Periodo Ref.]:[Check Periodo Ref.]]="Dentro",DATOS_[Conc.Sal.07]))))), 0)</f>
        <v>0</v>
      </c>
      <c r="M43" s="209" t="n">
        <f aca="false" t="array" ref="M43:M43">IFERROR( AVERAGE((IF(DATOS_[[Sexo]:[Sexo]]=$B43,IF(DATOS_[[AGRUP. CLAS. PROF.]:[AGRUP. CLAS. PROF.]]=$B42,IF(DATOS_[[Check Periodo Ref.]:[Check Periodo Ref.]]="Dentro",DATOS_[Conc.Sal.08]))))), 0)</f>
        <v>0</v>
      </c>
      <c r="N43" s="209" t="n">
        <f aca="false" t="array" ref="N43:N43">IFERROR( AVERAGE((IF(DATOS_[[Sexo]:[Sexo]]=$B43,IF(DATOS_[[AGRUP. CLAS. PROF.]:[AGRUP. CLAS. PROF.]]=$B42,IF(DATOS_[[Check Periodo Ref.]:[Check Periodo Ref.]]="Dentro",DATOS_[Conc.Sal.09]))))), 0)</f>
        <v>0</v>
      </c>
      <c r="O43" s="209" t="n">
        <f aca="false" t="array" ref="O43:O43">IFERROR( AVERAGE((IF(DATOS_[[Sexo]:[Sexo]]=$B43,IF(DATOS_[[AGRUP. CLAS. PROF.]:[AGRUP. CLAS. PROF.]]=$B42,IF(DATOS_[[Check Periodo Ref.]:[Check Periodo Ref.]]="Dentro",DATOS_[Conc.Sal.10]))))), 0)</f>
        <v>0</v>
      </c>
      <c r="P43" s="209" t="n">
        <f aca="false" t="array" ref="P43:P43">IFERROR( AVERAGE((IF(DATOS_[[Sexo]:[Sexo]]=$B43,IF(DATOS_[[AGRUP. CLAS. PROF.]:[AGRUP. CLAS. PROF.]]=$B42,IF(DATOS_[[Check Periodo Ref.]:[Check Periodo Ref.]]="Dentro",DATOS_[Conc.Sal.11]))))), 0)</f>
        <v>0</v>
      </c>
      <c r="Q43" s="209" t="n">
        <f aca="false" t="array" ref="Q43:Q43">IFERROR( AVERAGE((IF(DATOS_[[Sexo]:[Sexo]]=$B43,IF(DATOS_[[AGRUP. CLAS. PROF.]:[AGRUP. CLAS. PROF.]]=$B42,IF(DATOS_[[Check Periodo Ref.]:[Check Periodo Ref.]]="Dentro",DATOS_[Conc.Sal.12]))))), 0)</f>
        <v>0</v>
      </c>
      <c r="R43" s="209" t="n">
        <f aca="false" t="array" ref="R43:R43">IFERROR( AVERAGE((IF(DATOS_[[Sexo]:[Sexo]]=$B43,IF(DATOS_[[AGRUP. CLAS. PROF.]:[AGRUP. CLAS. PROF.]]=$B42,IF(DATOS_[[Check Periodo Ref.]:[Check Periodo Ref.]]="Dentro",DATOS_[Conc.Sal.13]))))), 0)</f>
        <v>0</v>
      </c>
      <c r="S43" s="209" t="n">
        <f aca="false" t="array" ref="S43:S43">IFERROR( AVERAGE((IF(DATOS_[[Sexo]:[Sexo]]=$B43,IF(DATOS_[[AGRUP. CLAS. PROF.]:[AGRUP. CLAS. PROF.]]=$B42,IF(DATOS_[[Check Periodo Ref.]:[Check Periodo Ref.]]="Dentro",DATOS_[Conc.Sal.14]))))), 0)</f>
        <v>0</v>
      </c>
      <c r="T43" s="209" t="n">
        <f aca="false" t="array" ref="T43:T43">IFERROR( AVERAGE((IF(DATOS_[[Sexo]:[Sexo]]=$B43,IF(DATOS_[[AGRUP. CLAS. PROF.]:[AGRUP. CLAS. PROF.]]=$B42,IF(DATOS_[[Check Periodo Ref.]:[Check Periodo Ref.]]="Dentro",DATOS_[Conc.Sal.15]))))), 0)</f>
        <v>0</v>
      </c>
      <c r="U43" s="209" t="n">
        <f aca="false" t="array" ref="U43:U43">IFERROR( AVERAGE((IF(DATOS_[[Sexo]:[Sexo]]=$B43,IF(DATOS_[[AGRUP. CLAS. PROF.]:[AGRUP. CLAS. PROF.]]=$B42,IF(DATOS_[[Check Periodo Ref.]:[Check Periodo Ref.]]="Dentro",DATOS_[Conc.Sal.16]))))), 0)</f>
        <v>0</v>
      </c>
      <c r="V43" s="209" t="n">
        <f aca="false" t="array" ref="V43:V43">IFERROR( AVERAGE((IF(DATOS_[[Sexo]:[Sexo]]=$B43,IF(DATOS_[[AGRUP. CLAS. PROF.]:[AGRUP. CLAS. PROF.]]=$B42,IF(DATOS_[[Check Periodo Ref.]:[Check Periodo Ref.]]="Dentro",DATOS_[Conc.Sal.17]))))), 0)</f>
        <v>0</v>
      </c>
      <c r="W43" s="209" t="n">
        <f aca="false" t="array" ref="W43:W43">IFERROR( AVERAGE((IF(DATOS_[[Sexo]:[Sexo]]=$B43,IF(DATOS_[[AGRUP. CLAS. PROF.]:[AGRUP. CLAS. PROF.]]=$B42,IF(DATOS_[[Check Periodo Ref.]:[Check Periodo Ref.]]="Dentro",DATOS_[Conc.Sal.18]))))), 0)</f>
        <v>0</v>
      </c>
      <c r="X43" s="209" t="n">
        <f aca="false" t="array" ref="X43:X43">IFERROR( AVERAGE((IF(DATOS_[[Sexo]:[Sexo]]=$B43,IF(DATOS_[[AGRUP. CLAS. PROF.]:[AGRUP. CLAS. PROF.]]=$B42,IF(DATOS_[[Check Periodo Ref.]:[Check Periodo Ref.]]="Dentro",DATOS_[Conc.Sal.19]))))), 0)</f>
        <v>0</v>
      </c>
      <c r="Y43" s="209" t="n">
        <f aca="false" t="array" ref="Y43:Y43">IFERROR( AVERAGE((IF(DATOS_[[Sexo]:[Sexo]]=$B43,IF(DATOS_[[AGRUP. CLAS. PROF.]:[AGRUP. CLAS. PROF.]]=$B42,IF(DATOS_[[Check Periodo Ref.]:[Check Periodo Ref.]]="Dentro",DATOS_[Conc.Sal.20]))))), 0)</f>
        <v>0</v>
      </c>
      <c r="Z43" s="209" t="n">
        <f aca="false" t="array" ref="Z43:Z43">IFERROR( AVERAGE((IF(DATOS_[[Sexo]:[Sexo]]=$B43,IF(DATOS_[[AGRUP. CLAS. PROF.]:[AGRUP. CLAS. PROF.]]=$B42,IF(DATOS_[[Check Periodo Ref.]:[Check Periodo Ref.]]="Dentro",DATOS_[Conc.Sal.21]))))), 0)</f>
        <v>0</v>
      </c>
      <c r="AA43" s="209" t="n">
        <f aca="false" t="array" ref="AA43:AA43">IFERROR( AVERAGE((IF(DATOS_[[Sexo]:[Sexo]]=$B43,IF(DATOS_[[AGRUP. CLAS. PROF.]:[AGRUP. CLAS. PROF.]]=$B42,IF(DATOS_[[Check Periodo Ref.]:[Check Periodo Ref.]]="Dentro",DATOS_[Conc.Sal.22]))))), 0)</f>
        <v>0</v>
      </c>
      <c r="AB43" s="209" t="n">
        <f aca="false" t="array" ref="AB43:AB43">IFERROR( AVERAGE((IF(DATOS_[[Sexo]:[Sexo]]=$B43,IF(DATOS_[[AGRUP. CLAS. PROF.]:[AGRUP. CLAS. PROF.]]=$B42,IF(DATOS_[[Check Periodo Ref.]:[Check Periodo Ref.]]="Dentro",DATOS_[Conc.Sal.23]))))), 0)</f>
        <v>0</v>
      </c>
      <c r="AC43" s="209" t="n">
        <f aca="false" t="array" ref="AC43:AC43">IFERROR( AVERAGE((IF(DATOS_[[Sexo]:[Sexo]]=$B43,IF(DATOS_[[AGRUP. CLAS. PROF.]:[AGRUP. CLAS. PROF.]]=$B42,IF(DATOS_[[Check Periodo Ref.]:[Check Periodo Ref.]]="Dentro",DATOS_[Conc.Sal.24]))))), 0)</f>
        <v>0</v>
      </c>
      <c r="AD43" s="209" t="n">
        <f aca="false" t="array" ref="AD43:AD43">IFERROR( AVERAGE((IF(DATOS_[[Sexo]:[Sexo]]=$B43,IF(DATOS_[[AGRUP. CLAS. PROF.]:[AGRUP. CLAS. PROF.]]=$B42,IF(DATOS_[[Check Periodo Ref.]:[Check Periodo Ref.]]="Dentro",DATOS_[Conc.Sal.25]))))), 0)</f>
        <v>0</v>
      </c>
      <c r="AE43" s="209" t="n">
        <f aca="false" t="array" ref="AE43:AE43">IFERROR( AVERAGE((IF(DATOS_[[Sexo]:[Sexo]]=$B43,IF(DATOS_[[AGRUP. CLAS. PROF.]:[AGRUP. CLAS. PROF.]]=$B42,IF(DATOS_[[Check Periodo Ref.]:[Check Periodo Ref.]]="Dentro",DATOS_[Conc.Sal.26]))))), 0)</f>
        <v>0</v>
      </c>
      <c r="AF43" s="209" t="n">
        <f aca="false" t="array" ref="AF43:AF43">IFERROR( AVERAGE((IF(DATOS_[[Sexo]:[Sexo]]=$B43,IF(DATOS_[[AGRUP. CLAS. PROF.]:[AGRUP. CLAS. PROF.]]=$B42,IF(DATOS_[[Check Periodo Ref.]:[Check Periodo Ref.]]="Dentro",DATOS_[Conc.Sal.27]))))), 0)</f>
        <v>0</v>
      </c>
      <c r="AG43" s="209" t="n">
        <f aca="false" t="array" ref="AG43:AG43">IFERROR( AVERAGE((IF(DATOS_[[Sexo]:[Sexo]]=$B43,IF(DATOS_[[AGRUP. CLAS. PROF.]:[AGRUP. CLAS. PROF.]]=$B42,IF(DATOS_[[Check Periodo Ref.]:[Check Periodo Ref.]]="Dentro",DATOS_[Conc.Sal.28]))))), 0)</f>
        <v>0</v>
      </c>
      <c r="AH43" s="209" t="n">
        <f aca="false" t="array" ref="AH43:AH43">IFERROR( AVERAGE((IF(DATOS_[[Sexo]:[Sexo]]=$B43,IF(DATOS_[[AGRUP. CLAS. PROF.]:[AGRUP. CLAS. PROF.]]=$B42,IF(DATOS_[[Check Periodo Ref.]:[Check Periodo Ref.]]="Dentro",DATOS_[Conc.Sal.29]))))), 0)</f>
        <v>0</v>
      </c>
      <c r="AI43" s="209" t="n">
        <f aca="false" t="array" ref="AI43:AI43">IFERROR( AVERAGE((IF(DATOS_[[Sexo]:[Sexo]]=$B43,IF(DATOS_[[AGRUP. CLAS. PROF.]:[AGRUP. CLAS. PROF.]]=$B42,IF(DATOS_[[Check Periodo Ref.]:[Check Periodo Ref.]]="Dentro",DATOS_[Conc.Sal.30]))))), 0)</f>
        <v>0</v>
      </c>
      <c r="AJ43" s="210" t="n">
        <f aca="false" t="array" ref="AJ43:AJ43">IFERROR( AVERAGE(IF(DATOS_[Sexo]=$B43,IF(DATOS_[AGRUP. CLAS. PROF.]=$B42,IF(DATOS_[Check Periodo Ref.]="Dentro",DATOS_[Tot COMPL.SAL Ef],0)))), 0)</f>
        <v>0</v>
      </c>
      <c r="AK43" s="211" t="n">
        <f aca="false" t="array" ref="AK43:AK43">IFERROR( AVERAGE(IF(DATOS_[Sexo]=$B43,IF(DATOS_[AGRUP. CLAS. PROF.]=$B42,IF(DATOS_[Check Periodo Ref.]="Dentro",DATOS_[TOTAL SALARIO Ef],0)))), 0)</f>
        <v>0</v>
      </c>
      <c r="AL43" s="212" t="n">
        <f aca="false" t="array" ref="AL43:AL43">IFERROR( AVERAGE((IF(DATOS_[[Sexo]:[Sexo]]=$B43,IF(DATOS_[[AGRUP. CLAS. PROF.]:[AGRUP. CLAS. PROF.]]=$B42,IF(DATOS_[[Check Periodo Ref.]:[Check Periodo Ref.]]="Dentro",DATOS_[C.Extra.01]))))), 0)</f>
        <v>0</v>
      </c>
      <c r="AM43" s="212" t="n">
        <f aca="false" t="array" ref="AM43:AM43">IFERROR( AVERAGE((IF(DATOS_[[Sexo]:[Sexo]]=$B43,IF(DATOS_[[AGRUP. CLAS. PROF.]:[AGRUP. CLAS. PROF.]]=$B42,IF(DATOS_[[Check Periodo Ref.]:[Check Periodo Ref.]]="Dentro",DATOS_[C.Extra.02]))))), 0)</f>
        <v>0</v>
      </c>
      <c r="AN43" s="212" t="n">
        <f aca="false" t="array" ref="AN43:AN43">IFERROR( AVERAGE((IF(DATOS_[[Sexo]:[Sexo]]=$B43,IF(DATOS_[[AGRUP. CLAS. PROF.]:[AGRUP. CLAS. PROF.]]=$B42,IF(DATOS_[[Check Periodo Ref.]:[Check Periodo Ref.]]="Dentro",DATOS_[C.Extra.03]))))), 0)</f>
        <v>0</v>
      </c>
      <c r="AO43" s="212" t="n">
        <f aca="false" t="array" ref="AO43:AO43">IFERROR( AVERAGE((IF(DATOS_[[Sexo]:[Sexo]]=$B43,IF(DATOS_[[AGRUP. CLAS. PROF.]:[AGRUP. CLAS. PROF.]]=$B42,IF(DATOS_[[Check Periodo Ref.]:[Check Periodo Ref.]]="Dentro",DATOS_[C.Extra.04]))))), 0)</f>
        <v>0</v>
      </c>
      <c r="AP43" s="212" t="n">
        <f aca="false" t="array" ref="AP43:AP43">IFERROR( AVERAGE((IF(DATOS_[[Sexo]:[Sexo]]=$B43,IF(DATOS_[[AGRUP. CLAS. PROF.]:[AGRUP. CLAS. PROF.]]=$B42,IF(DATOS_[[Check Periodo Ref.]:[Check Periodo Ref.]]="Dentro",DATOS_[C.Extra.05]))))), 0)</f>
        <v>0</v>
      </c>
      <c r="AQ43" s="213" t="n">
        <f aca="false" t="array" ref="AQ43:AQ43">IFERROR( AVERAGE(IF(DATOS_[Sexo]=$B43,IF(DATOS_[AGRUP. CLAS. PROF.]=$B42,IF(DATOS_[Check Periodo Ref.]="Dentro",DATOS_[Tot Extrasalarial Ef],0)))), 0)</f>
        <v>0</v>
      </c>
      <c r="AR43" s="214" t="n">
        <f aca="false" t="array" ref="AR43:AR43">IFERROR( AVERAGE(IF(DATOS_[Sexo]=$B43,IF(DATOS_[AGRUP. CLAS. PROF.]=$B42,IF(DATOS_[Check Periodo Ref.]="Dentro",DATOS_[TOTAL Retrib Ef],0)))), 0)</f>
        <v>0</v>
      </c>
    </row>
    <row r="44" customFormat="false" ht="14.25" hidden="false" customHeight="false" outlineLevel="0" collapsed="false">
      <c r="A44" s="191" t="str">
        <f aca="false">+A43</f>
        <v>[ocultar]</v>
      </c>
      <c r="B44" s="205" t="s">
        <v>372</v>
      </c>
      <c r="C44" s="206" t="n">
        <f aca="false" t="array" ref="C44:C44">SUM(IF($B44=DATOS_[Sexo], IF($B42=DATOS_[AGRUP. CLAS. PROF.], IF("Dentro"=DATOS_[Check Periodo Ref.], 1/(COUNTIFS(DATOS_[Sexo],$B44,DATOS_[AGRUP. CLAS. PROF.],$B42,DATOS_[Check Periodo Ref.],"Dentro",DATOS_[id],DATOS_[id]))))))</f>
        <v>0</v>
      </c>
      <c r="D44" s="207" t="n">
        <f aca="false">COUNTIFS(DATOS_[AGRUP. CLAS. PROF.],$B42,DATOS_[Sexo],$B44,DATOS_[Check Periodo Ref.],"Dentro")</f>
        <v>0</v>
      </c>
      <c r="E44" s="208" t="n">
        <f aca="false" t="array" ref="E44:E44">IFERROR( AVERAGE(IF(DATOS_[Sexo]=$B44,IF(DATOS_[AGRUP. CLAS. PROF.]=$B42,IF(DATOS_[Check Periodo Ref.]="Dentro",DATOS_[SALARIO BASE Ef],0)))), 0)</f>
        <v>0</v>
      </c>
      <c r="F44" s="209" t="n">
        <f aca="false" t="array" ref="F44:F44">IFERROR( AVERAGE((IF(DATOS_[[Sexo]:[Sexo]]=$B44,IF(DATOS_[[AGRUP. CLAS. PROF.]:[AGRUP. CLAS. PROF.]]=$B42,IF(DATOS_[[Check Periodo Ref.]:[Check Periodo Ref.]]="Dentro",DATOS_[Conc.Sal.01]))))), 0)</f>
        <v>0</v>
      </c>
      <c r="G44" s="209" t="n">
        <f aca="false" t="array" ref="G44:G44">IFERROR( AVERAGE((IF(DATOS_[[Sexo]:[Sexo]]=$B44,IF(DATOS_[[AGRUP. CLAS. PROF.]:[AGRUP. CLAS. PROF.]]=$B42,IF(DATOS_[[Check Periodo Ref.]:[Check Periodo Ref.]]="Dentro",DATOS_[Conc.Sal.02]))))), 0)</f>
        <v>0</v>
      </c>
      <c r="H44" s="209" t="n">
        <f aca="false" t="array" ref="H44:H44">IFERROR( AVERAGE((IF(DATOS_[[Sexo]:[Sexo]]=$B44,IF(DATOS_[[AGRUP. CLAS. PROF.]:[AGRUP. CLAS. PROF.]]=$B42,IF(DATOS_[[Check Periodo Ref.]:[Check Periodo Ref.]]="Dentro",DATOS_[Conc.Sal.03]))))), 0)</f>
        <v>0</v>
      </c>
      <c r="I44" s="209" t="n">
        <f aca="false" t="array" ref="I44:I44">IFERROR( AVERAGE((IF(DATOS_[[Sexo]:[Sexo]]=$B44,IF(DATOS_[[AGRUP. CLAS. PROF.]:[AGRUP. CLAS. PROF.]]=$B42,IF(DATOS_[[Check Periodo Ref.]:[Check Periodo Ref.]]="Dentro",DATOS_[Conc.Sal.04]))))), 0)</f>
        <v>0</v>
      </c>
      <c r="J44" s="209" t="n">
        <f aca="false" t="array" ref="J44:J44">IFERROR( AVERAGE((IF(DATOS_[[Sexo]:[Sexo]]=$B44,IF(DATOS_[[AGRUP. CLAS. PROF.]:[AGRUP. CLAS. PROF.]]=$B42,IF(DATOS_[[Check Periodo Ref.]:[Check Periodo Ref.]]="Dentro",DATOS_[Conc.Sal.05]))))), 0)</f>
        <v>0</v>
      </c>
      <c r="K44" s="209" t="n">
        <f aca="false" t="array" ref="K44:K44">IFERROR( AVERAGE((IF(DATOS_[[Sexo]:[Sexo]]=$B44,IF(DATOS_[[AGRUP. CLAS. PROF.]:[AGRUP. CLAS. PROF.]]=$B42,IF(DATOS_[[Check Periodo Ref.]:[Check Periodo Ref.]]="Dentro",DATOS_[Conc.Sal.06]))))), 0)</f>
        <v>0</v>
      </c>
      <c r="L44" s="209" t="n">
        <f aca="false" t="array" ref="L44:L44">IFERROR( AVERAGE((IF(DATOS_[[Sexo]:[Sexo]]=$B44,IF(DATOS_[[AGRUP. CLAS. PROF.]:[AGRUP. CLAS. PROF.]]=$B42,IF(DATOS_[[Check Periodo Ref.]:[Check Periodo Ref.]]="Dentro",DATOS_[Conc.Sal.07]))))), 0)</f>
        <v>0</v>
      </c>
      <c r="M44" s="209" t="n">
        <f aca="false" t="array" ref="M44:M44">IFERROR( AVERAGE((IF(DATOS_[[Sexo]:[Sexo]]=$B44,IF(DATOS_[[AGRUP. CLAS. PROF.]:[AGRUP. CLAS. PROF.]]=$B42,IF(DATOS_[[Check Periodo Ref.]:[Check Periodo Ref.]]="Dentro",DATOS_[Conc.Sal.08]))))), 0)</f>
        <v>0</v>
      </c>
      <c r="N44" s="209" t="n">
        <f aca="false" t="array" ref="N44:N44">IFERROR( AVERAGE((IF(DATOS_[[Sexo]:[Sexo]]=$B44,IF(DATOS_[[AGRUP. CLAS. PROF.]:[AGRUP. CLAS. PROF.]]=$B42,IF(DATOS_[[Check Periodo Ref.]:[Check Periodo Ref.]]="Dentro",DATOS_[Conc.Sal.09]))))), 0)</f>
        <v>0</v>
      </c>
      <c r="O44" s="209" t="n">
        <f aca="false" t="array" ref="O44:O44">IFERROR( AVERAGE((IF(DATOS_[[Sexo]:[Sexo]]=$B44,IF(DATOS_[[AGRUP. CLAS. PROF.]:[AGRUP. CLAS. PROF.]]=$B42,IF(DATOS_[[Check Periodo Ref.]:[Check Periodo Ref.]]="Dentro",DATOS_[Conc.Sal.10]))))), 0)</f>
        <v>0</v>
      </c>
      <c r="P44" s="209" t="n">
        <f aca="false" t="array" ref="P44:P44">IFERROR( AVERAGE((IF(DATOS_[[Sexo]:[Sexo]]=$B44,IF(DATOS_[[AGRUP. CLAS. PROF.]:[AGRUP. CLAS. PROF.]]=$B42,IF(DATOS_[[Check Periodo Ref.]:[Check Periodo Ref.]]="Dentro",DATOS_[Conc.Sal.11]))))), 0)</f>
        <v>0</v>
      </c>
      <c r="Q44" s="209" t="n">
        <f aca="false" t="array" ref="Q44:Q44">IFERROR( AVERAGE((IF(DATOS_[[Sexo]:[Sexo]]=$B44,IF(DATOS_[[AGRUP. CLAS. PROF.]:[AGRUP. CLAS. PROF.]]=$B42,IF(DATOS_[[Check Periodo Ref.]:[Check Periodo Ref.]]="Dentro",DATOS_[Conc.Sal.12]))))), 0)</f>
        <v>0</v>
      </c>
      <c r="R44" s="209" t="n">
        <f aca="false" t="array" ref="R44:R44">IFERROR( AVERAGE((IF(DATOS_[[Sexo]:[Sexo]]=$B44,IF(DATOS_[[AGRUP. CLAS. PROF.]:[AGRUP. CLAS. PROF.]]=$B42,IF(DATOS_[[Check Periodo Ref.]:[Check Periodo Ref.]]="Dentro",DATOS_[Conc.Sal.13]))))), 0)</f>
        <v>0</v>
      </c>
      <c r="S44" s="209" t="n">
        <f aca="false" t="array" ref="S44:S44">IFERROR( AVERAGE((IF(DATOS_[[Sexo]:[Sexo]]=$B44,IF(DATOS_[[AGRUP. CLAS. PROF.]:[AGRUP. CLAS. PROF.]]=$B42,IF(DATOS_[[Check Periodo Ref.]:[Check Periodo Ref.]]="Dentro",DATOS_[Conc.Sal.14]))))), 0)</f>
        <v>0</v>
      </c>
      <c r="T44" s="209" t="n">
        <f aca="false" t="array" ref="T44:T44">IFERROR( AVERAGE((IF(DATOS_[[Sexo]:[Sexo]]=$B44,IF(DATOS_[[AGRUP. CLAS. PROF.]:[AGRUP. CLAS. PROF.]]=$B42,IF(DATOS_[[Check Periodo Ref.]:[Check Periodo Ref.]]="Dentro",DATOS_[Conc.Sal.15]))))), 0)</f>
        <v>0</v>
      </c>
      <c r="U44" s="209" t="n">
        <f aca="false" t="array" ref="U44:U44">IFERROR( AVERAGE((IF(DATOS_[[Sexo]:[Sexo]]=$B44,IF(DATOS_[[AGRUP. CLAS. PROF.]:[AGRUP. CLAS. PROF.]]=$B42,IF(DATOS_[[Check Periodo Ref.]:[Check Periodo Ref.]]="Dentro",DATOS_[Conc.Sal.16]))))), 0)</f>
        <v>0</v>
      </c>
      <c r="V44" s="209" t="n">
        <f aca="false" t="array" ref="V44:V44">IFERROR( AVERAGE((IF(DATOS_[[Sexo]:[Sexo]]=$B44,IF(DATOS_[[AGRUP. CLAS. PROF.]:[AGRUP. CLAS. PROF.]]=$B42,IF(DATOS_[[Check Periodo Ref.]:[Check Periodo Ref.]]="Dentro",DATOS_[Conc.Sal.17]))))), 0)</f>
        <v>0</v>
      </c>
      <c r="W44" s="209" t="n">
        <f aca="false" t="array" ref="W44:W44">IFERROR( AVERAGE((IF(DATOS_[[Sexo]:[Sexo]]=$B44,IF(DATOS_[[AGRUP. CLAS. PROF.]:[AGRUP. CLAS. PROF.]]=$B42,IF(DATOS_[[Check Periodo Ref.]:[Check Periodo Ref.]]="Dentro",DATOS_[Conc.Sal.18]))))), 0)</f>
        <v>0</v>
      </c>
      <c r="X44" s="209" t="n">
        <f aca="false" t="array" ref="X44:X44">IFERROR( AVERAGE((IF(DATOS_[[Sexo]:[Sexo]]=$B44,IF(DATOS_[[AGRUP. CLAS. PROF.]:[AGRUP. CLAS. PROF.]]=$B42,IF(DATOS_[[Check Periodo Ref.]:[Check Periodo Ref.]]="Dentro",DATOS_[Conc.Sal.19]))))), 0)</f>
        <v>0</v>
      </c>
      <c r="Y44" s="209" t="n">
        <f aca="false" t="array" ref="Y44:Y44">IFERROR( AVERAGE((IF(DATOS_[[Sexo]:[Sexo]]=$B44,IF(DATOS_[[AGRUP. CLAS. PROF.]:[AGRUP. CLAS. PROF.]]=$B42,IF(DATOS_[[Check Periodo Ref.]:[Check Periodo Ref.]]="Dentro",DATOS_[Conc.Sal.20]))))), 0)</f>
        <v>0</v>
      </c>
      <c r="Z44" s="209" t="n">
        <f aca="false" t="array" ref="Z44:Z44">IFERROR( AVERAGE((IF(DATOS_[[Sexo]:[Sexo]]=$B44,IF(DATOS_[[AGRUP. CLAS. PROF.]:[AGRUP. CLAS. PROF.]]=$B42,IF(DATOS_[[Check Periodo Ref.]:[Check Periodo Ref.]]="Dentro",DATOS_[Conc.Sal.21]))))), 0)</f>
        <v>0</v>
      </c>
      <c r="AA44" s="209" t="n">
        <f aca="false" t="array" ref="AA44:AA44">IFERROR( AVERAGE((IF(DATOS_[[Sexo]:[Sexo]]=$B44,IF(DATOS_[[AGRUP. CLAS. PROF.]:[AGRUP. CLAS. PROF.]]=$B42,IF(DATOS_[[Check Periodo Ref.]:[Check Periodo Ref.]]="Dentro",DATOS_[Conc.Sal.22]))))), 0)</f>
        <v>0</v>
      </c>
      <c r="AB44" s="209" t="n">
        <f aca="false" t="array" ref="AB44:AB44">IFERROR( AVERAGE((IF(DATOS_[[Sexo]:[Sexo]]=$B44,IF(DATOS_[[AGRUP. CLAS. PROF.]:[AGRUP. CLAS. PROF.]]=$B42,IF(DATOS_[[Check Periodo Ref.]:[Check Periodo Ref.]]="Dentro",DATOS_[Conc.Sal.23]))))), 0)</f>
        <v>0</v>
      </c>
      <c r="AC44" s="209" t="n">
        <f aca="false" t="array" ref="AC44:AC44">IFERROR( AVERAGE((IF(DATOS_[[Sexo]:[Sexo]]=$B44,IF(DATOS_[[AGRUP. CLAS. PROF.]:[AGRUP. CLAS. PROF.]]=$B42,IF(DATOS_[[Check Periodo Ref.]:[Check Periodo Ref.]]="Dentro",DATOS_[Conc.Sal.24]))))), 0)</f>
        <v>0</v>
      </c>
      <c r="AD44" s="209" t="n">
        <f aca="false" t="array" ref="AD44:AD44">IFERROR( AVERAGE((IF(DATOS_[[Sexo]:[Sexo]]=$B44,IF(DATOS_[[AGRUP. CLAS. PROF.]:[AGRUP. CLAS. PROF.]]=$B42,IF(DATOS_[[Check Periodo Ref.]:[Check Periodo Ref.]]="Dentro",DATOS_[Conc.Sal.25]))))), 0)</f>
        <v>0</v>
      </c>
      <c r="AE44" s="209" t="n">
        <f aca="false" t="array" ref="AE44:AE44">IFERROR( AVERAGE((IF(DATOS_[[Sexo]:[Sexo]]=$B44,IF(DATOS_[[AGRUP. CLAS. PROF.]:[AGRUP. CLAS. PROF.]]=$B42,IF(DATOS_[[Check Periodo Ref.]:[Check Periodo Ref.]]="Dentro",DATOS_[Conc.Sal.26]))))), 0)</f>
        <v>0</v>
      </c>
      <c r="AF44" s="209" t="n">
        <f aca="false" t="array" ref="AF44:AF44">IFERROR( AVERAGE((IF(DATOS_[[Sexo]:[Sexo]]=$B44,IF(DATOS_[[AGRUP. CLAS. PROF.]:[AGRUP. CLAS. PROF.]]=$B42,IF(DATOS_[[Check Periodo Ref.]:[Check Periodo Ref.]]="Dentro",DATOS_[Conc.Sal.27]))))), 0)</f>
        <v>0</v>
      </c>
      <c r="AG44" s="209" t="n">
        <f aca="false" t="array" ref="AG44:AG44">IFERROR( AVERAGE((IF(DATOS_[[Sexo]:[Sexo]]=$B44,IF(DATOS_[[AGRUP. CLAS. PROF.]:[AGRUP. CLAS. PROF.]]=$B42,IF(DATOS_[[Check Periodo Ref.]:[Check Periodo Ref.]]="Dentro",DATOS_[Conc.Sal.28]))))), 0)</f>
        <v>0</v>
      </c>
      <c r="AH44" s="209" t="n">
        <f aca="false" t="array" ref="AH44:AH44">IFERROR( AVERAGE((IF(DATOS_[[Sexo]:[Sexo]]=$B44,IF(DATOS_[[AGRUP. CLAS. PROF.]:[AGRUP. CLAS. PROF.]]=$B42,IF(DATOS_[[Check Periodo Ref.]:[Check Periodo Ref.]]="Dentro",DATOS_[Conc.Sal.29]))))), 0)</f>
        <v>0</v>
      </c>
      <c r="AI44" s="209" t="n">
        <f aca="false" t="array" ref="AI44:AI44">IFERROR( AVERAGE((IF(DATOS_[[Sexo]:[Sexo]]=$B44,IF(DATOS_[[AGRUP. CLAS. PROF.]:[AGRUP. CLAS. PROF.]]=$B42,IF(DATOS_[[Check Periodo Ref.]:[Check Periodo Ref.]]="Dentro",DATOS_[Conc.Sal.30]))))), 0)</f>
        <v>0</v>
      </c>
      <c r="AJ44" s="210" t="n">
        <f aca="false" t="array" ref="AJ44:AJ44">IFERROR( AVERAGE(IF(DATOS_[Sexo]=$B44,IF(DATOS_[AGRUP. CLAS. PROF.]=$B42,IF(DATOS_[Check Periodo Ref.]="Dentro",DATOS_[Tot COMPL.SAL Ef],0)))), 0)</f>
        <v>0</v>
      </c>
      <c r="AK44" s="211" t="n">
        <f aca="false" t="array" ref="AK44:AK44">IFERROR( AVERAGE(IF(DATOS_[Sexo]=$B44,IF(DATOS_[AGRUP. CLAS. PROF.]=$B42,IF(DATOS_[Check Periodo Ref.]="Dentro",DATOS_[TOTAL SALARIO Ef],0)))), 0)</f>
        <v>0</v>
      </c>
      <c r="AL44" s="212" t="n">
        <f aca="false" t="array" ref="AL44:AL44">IFERROR( AVERAGE((IF(DATOS_[[Sexo]:[Sexo]]=$B44,IF(DATOS_[[AGRUP. CLAS. PROF.]:[AGRUP. CLAS. PROF.]]=$B42,IF(DATOS_[[Check Periodo Ref.]:[Check Periodo Ref.]]="Dentro",DATOS_[C.Extra.01]))))), 0)</f>
        <v>0</v>
      </c>
      <c r="AM44" s="212" t="n">
        <f aca="false" t="array" ref="AM44:AM44">IFERROR( AVERAGE((IF(DATOS_[[Sexo]:[Sexo]]=$B44,IF(DATOS_[[AGRUP. CLAS. PROF.]:[AGRUP. CLAS. PROF.]]=$B42,IF(DATOS_[[Check Periodo Ref.]:[Check Periodo Ref.]]="Dentro",DATOS_[C.Extra.02]))))), 0)</f>
        <v>0</v>
      </c>
      <c r="AN44" s="212" t="n">
        <f aca="false" t="array" ref="AN44:AN44">IFERROR( AVERAGE((IF(DATOS_[[Sexo]:[Sexo]]=$B44,IF(DATOS_[[AGRUP. CLAS. PROF.]:[AGRUP. CLAS. PROF.]]=$B42,IF(DATOS_[[Check Periodo Ref.]:[Check Periodo Ref.]]="Dentro",DATOS_[C.Extra.03]))))), 0)</f>
        <v>0</v>
      </c>
      <c r="AO44" s="212" t="n">
        <f aca="false" t="array" ref="AO44:AO44">IFERROR( AVERAGE((IF(DATOS_[[Sexo]:[Sexo]]=$B44,IF(DATOS_[[AGRUP. CLAS. PROF.]:[AGRUP. CLAS. PROF.]]=$B42,IF(DATOS_[[Check Periodo Ref.]:[Check Periodo Ref.]]="Dentro",DATOS_[C.Extra.04]))))), 0)</f>
        <v>0</v>
      </c>
      <c r="AP44" s="212" t="n">
        <f aca="false" t="array" ref="AP44:AP44">IFERROR( AVERAGE((IF(DATOS_[[Sexo]:[Sexo]]=$B44,IF(DATOS_[[AGRUP. CLAS. PROF.]:[AGRUP. CLAS. PROF.]]=$B42,IF(DATOS_[[Check Periodo Ref.]:[Check Periodo Ref.]]="Dentro",DATOS_[C.Extra.05]))))), 0)</f>
        <v>0</v>
      </c>
      <c r="AQ44" s="213" t="n">
        <f aca="false" t="array" ref="AQ44:AQ44">IFERROR( AVERAGE(IF(DATOS_[Sexo]=$B44,IF(DATOS_[AGRUP. CLAS. PROF.]=$B42,IF(DATOS_[Check Periodo Ref.]="Dentro",DATOS_[Tot Extrasalarial Ef],0)))), 0)</f>
        <v>0</v>
      </c>
      <c r="AR44" s="214" t="n">
        <f aca="false" t="array" ref="AR44:AR44">IFERROR( AVERAGE(IF(DATOS_[Sexo]=$B44,IF(DATOS_[AGRUP. CLAS. PROF.]=$B42,IF(DATOS_[Check Periodo Ref.]="Dentro",DATOS_[TOTAL Retrib Ef],0)))), 0)</f>
        <v>0</v>
      </c>
    </row>
    <row r="45" customFormat="false" ht="15.75" hidden="false" customHeight="false" outlineLevel="0" collapsed="false">
      <c r="A45" s="191" t="str">
        <f aca="false">+A46</f>
        <v>[ocultar]</v>
      </c>
      <c r="B45" s="192" t="s">
        <v>198</v>
      </c>
      <c r="C45" s="193"/>
      <c r="D45" s="194"/>
      <c r="E45" s="195" t="str">
        <f aca="false">IFERROR((E46-E47)/E46,"")</f>
        <v/>
      </c>
      <c r="F45" s="196" t="str">
        <f aca="false">IFERROR((F46-F47)/F46,"")</f>
        <v/>
      </c>
      <c r="G45" s="197" t="str">
        <f aca="false">IFERROR((G46-G47)/G46,"")</f>
        <v/>
      </c>
      <c r="H45" s="197" t="str">
        <f aca="false">IFERROR((H46-H47)/H46,"")</f>
        <v/>
      </c>
      <c r="I45" s="197" t="str">
        <f aca="false">IFERROR((I46-I47)/I46,"")</f>
        <v/>
      </c>
      <c r="J45" s="198" t="str">
        <f aca="false">IFERROR((J46-J47)/J46,"")</f>
        <v/>
      </c>
      <c r="K45" s="199" t="str">
        <f aca="false">IFERROR((K46-K47)/K46,"")</f>
        <v/>
      </c>
      <c r="L45" s="199" t="str">
        <f aca="false">IFERROR((L46-L47)/L46,"")</f>
        <v/>
      </c>
      <c r="M45" s="199" t="str">
        <f aca="false">IFERROR((M46-M47)/M46,"")</f>
        <v/>
      </c>
      <c r="N45" s="199" t="str">
        <f aca="false">IFERROR((N46-N47)/N46,"")</f>
        <v/>
      </c>
      <c r="O45" s="199" t="str">
        <f aca="false">IFERROR((O46-O47)/O46,"")</f>
        <v/>
      </c>
      <c r="P45" s="199" t="str">
        <f aca="false">IFERROR((P46-P47)/P46,"")</f>
        <v/>
      </c>
      <c r="Q45" s="199" t="str">
        <f aca="false">IFERROR((Q46-Q47)/Q46,"")</f>
        <v/>
      </c>
      <c r="R45" s="199" t="str">
        <f aca="false">IFERROR((R46-R47)/R46,"")</f>
        <v/>
      </c>
      <c r="S45" s="199" t="str">
        <f aca="false">IFERROR((S46-S47)/S46,"")</f>
        <v/>
      </c>
      <c r="T45" s="199" t="str">
        <f aca="false">IFERROR((T46-T47)/T46,"")</f>
        <v/>
      </c>
      <c r="U45" s="199" t="str">
        <f aca="false">IFERROR((U46-U47)/U46,"")</f>
        <v/>
      </c>
      <c r="V45" s="198" t="str">
        <f aca="false">IFERROR((V46-V47)/V46,"")</f>
        <v/>
      </c>
      <c r="W45" s="198" t="str">
        <f aca="false">IFERROR((W46-W47)/W46,"")</f>
        <v/>
      </c>
      <c r="X45" s="198" t="str">
        <f aca="false">IFERROR((X46-X47)/X46,"")</f>
        <v/>
      </c>
      <c r="Y45" s="198" t="str">
        <f aca="false">IFERROR((Y46-Y47)/Y46,"")</f>
        <v/>
      </c>
      <c r="Z45" s="198" t="str">
        <f aca="false">IFERROR((Z46-Z47)/Z46,"")</f>
        <v/>
      </c>
      <c r="AA45" s="198" t="str">
        <f aca="false">IFERROR((AA46-AA47)/AA46,"")</f>
        <v/>
      </c>
      <c r="AB45" s="198" t="str">
        <f aca="false">IFERROR((AB46-AB47)/AB46,"")</f>
        <v/>
      </c>
      <c r="AC45" s="198" t="str">
        <f aca="false">IFERROR((AC46-AC47)/AC46,"")</f>
        <v/>
      </c>
      <c r="AD45" s="198" t="str">
        <f aca="false">IFERROR((AD46-AD47)/AD46,"")</f>
        <v/>
      </c>
      <c r="AE45" s="198" t="str">
        <f aca="false">IFERROR((AE46-AE47)/AE46,"")</f>
        <v/>
      </c>
      <c r="AF45" s="198" t="str">
        <f aca="false">IFERROR((AF46-AF47)/AF46,"")</f>
        <v/>
      </c>
      <c r="AG45" s="198" t="str">
        <f aca="false">IFERROR((AG46-AG47)/AG46,"")</f>
        <v/>
      </c>
      <c r="AH45" s="198" t="str">
        <f aca="false">IFERROR((AH46-AH47)/AH46,"")</f>
        <v/>
      </c>
      <c r="AI45" s="198" t="str">
        <f aca="false">IFERROR((AI46-AI47)/AI46,"")</f>
        <v/>
      </c>
      <c r="AJ45" s="200" t="str">
        <f aca="false">IFERROR((AJ46-AJ47)/AJ46,"")</f>
        <v/>
      </c>
      <c r="AK45" s="201" t="str">
        <f aca="false">IFERROR((AK46-AK47)/AK46,"")</f>
        <v/>
      </c>
      <c r="AL45" s="202" t="str">
        <f aca="false">IFERROR((AL46-AL47)/AL46,"")</f>
        <v/>
      </c>
      <c r="AM45" s="202" t="str">
        <f aca="false">IFERROR((AM46-AM47)/AM46,"")</f>
        <v/>
      </c>
      <c r="AN45" s="202" t="str">
        <f aca="false">IFERROR((AN46-AN47)/AN46,"")</f>
        <v/>
      </c>
      <c r="AO45" s="202" t="str">
        <f aca="false">IFERROR((AO46-AO47)/AO46,"")</f>
        <v/>
      </c>
      <c r="AP45" s="202" t="str">
        <f aca="false">IFERROR((AP46-AP47)/AP46,"")</f>
        <v/>
      </c>
      <c r="AQ45" s="203" t="str">
        <f aca="false">IFERROR((AQ46-AQ47)/AQ46,"")</f>
        <v/>
      </c>
      <c r="AR45" s="204" t="str">
        <f aca="false">IFERROR((AR46-AR47)/AR46,"")</f>
        <v/>
      </c>
    </row>
    <row r="46" customFormat="false" ht="14.25" hidden="false" customHeight="false" outlineLevel="0" collapsed="false">
      <c r="A46" s="191" t="str">
        <f aca="false">+IF(C46+C47=0,"[ocultar]","")</f>
        <v>[ocultar]</v>
      </c>
      <c r="B46" s="205" t="s">
        <v>371</v>
      </c>
      <c r="C46" s="206" t="n">
        <f aca="false" t="array" ref="C46:C46">SUM(IF($B46=DATOS_[Sexo], IF($B45=DATOS_[AGRUP. CLAS. PROF.], IF("Dentro"=DATOS_[Check Periodo Ref.], 1/(COUNTIFS(DATOS_[Sexo],$B46,DATOS_[AGRUP. CLAS. PROF.],$B45,DATOS_[Check Periodo Ref.],"Dentro",DATOS_[id],DATOS_[id]))))))</f>
        <v>0</v>
      </c>
      <c r="D46" s="207" t="n">
        <f aca="false">COUNTIFS(DATOS_[AGRUP. CLAS. PROF.],$B45,DATOS_[Sexo],$B46,DATOS_[Check Periodo Ref.],"Dentro")</f>
        <v>0</v>
      </c>
      <c r="E46" s="208" t="n">
        <f aca="false" t="array" ref="E46:E46">IFERROR( AVERAGE(IF(DATOS_[Sexo]=$B46,IF(DATOS_[AGRUP. CLAS. PROF.]=$B45,IF(DATOS_[Check Periodo Ref.]="Dentro",DATOS_[SALARIO BASE Ef],0)))), 0)</f>
        <v>0</v>
      </c>
      <c r="F46" s="209" t="n">
        <f aca="false" t="array" ref="F46:F46">IFERROR( AVERAGE((IF(DATOS_[[Sexo]:[Sexo]]=$B46,IF(DATOS_[[AGRUP. CLAS. PROF.]:[AGRUP. CLAS. PROF.]]=$B45,IF(DATOS_[[Check Periodo Ref.]:[Check Periodo Ref.]]="Dentro",DATOS_[Conc.Sal.01]))))), 0)</f>
        <v>0</v>
      </c>
      <c r="G46" s="209" t="n">
        <f aca="false" t="array" ref="G46:G46">IFERROR( AVERAGE((IF(DATOS_[[Sexo]:[Sexo]]=$B46,IF(DATOS_[[AGRUP. CLAS. PROF.]:[AGRUP. CLAS. PROF.]]=$B45,IF(DATOS_[[Check Periodo Ref.]:[Check Periodo Ref.]]="Dentro",DATOS_[Conc.Sal.02]))))), 0)</f>
        <v>0</v>
      </c>
      <c r="H46" s="209" t="n">
        <f aca="false" t="array" ref="H46:H46">IFERROR( AVERAGE((IF(DATOS_[[Sexo]:[Sexo]]=$B46,IF(DATOS_[[AGRUP. CLAS. PROF.]:[AGRUP. CLAS. PROF.]]=$B45,IF(DATOS_[[Check Periodo Ref.]:[Check Periodo Ref.]]="Dentro",DATOS_[Conc.Sal.03]))))), 0)</f>
        <v>0</v>
      </c>
      <c r="I46" s="209" t="n">
        <f aca="false" t="array" ref="I46:I46">IFERROR( AVERAGE((IF(DATOS_[[Sexo]:[Sexo]]=$B46,IF(DATOS_[[AGRUP. CLAS. PROF.]:[AGRUP. CLAS. PROF.]]=$B45,IF(DATOS_[[Check Periodo Ref.]:[Check Periodo Ref.]]="Dentro",DATOS_[Conc.Sal.04]))))), 0)</f>
        <v>0</v>
      </c>
      <c r="J46" s="209" t="n">
        <f aca="false" t="array" ref="J46:J46">IFERROR( AVERAGE((IF(DATOS_[[Sexo]:[Sexo]]=$B46,IF(DATOS_[[AGRUP. CLAS. PROF.]:[AGRUP. CLAS. PROF.]]=$B45,IF(DATOS_[[Check Periodo Ref.]:[Check Periodo Ref.]]="Dentro",DATOS_[Conc.Sal.05]))))), 0)</f>
        <v>0</v>
      </c>
      <c r="K46" s="209" t="n">
        <f aca="false" t="array" ref="K46:K46">IFERROR( AVERAGE((IF(DATOS_[[Sexo]:[Sexo]]=$B46,IF(DATOS_[[AGRUP. CLAS. PROF.]:[AGRUP. CLAS. PROF.]]=$B45,IF(DATOS_[[Check Periodo Ref.]:[Check Periodo Ref.]]="Dentro",DATOS_[Conc.Sal.06]))))), 0)</f>
        <v>0</v>
      </c>
      <c r="L46" s="209" t="n">
        <f aca="false" t="array" ref="L46:L46">IFERROR( AVERAGE((IF(DATOS_[[Sexo]:[Sexo]]=$B46,IF(DATOS_[[AGRUP. CLAS. PROF.]:[AGRUP. CLAS. PROF.]]=$B45,IF(DATOS_[[Check Periodo Ref.]:[Check Periodo Ref.]]="Dentro",DATOS_[Conc.Sal.07]))))), 0)</f>
        <v>0</v>
      </c>
      <c r="M46" s="209" t="n">
        <f aca="false" t="array" ref="M46:M46">IFERROR( AVERAGE((IF(DATOS_[[Sexo]:[Sexo]]=$B46,IF(DATOS_[[AGRUP. CLAS. PROF.]:[AGRUP. CLAS. PROF.]]=$B45,IF(DATOS_[[Check Periodo Ref.]:[Check Periodo Ref.]]="Dentro",DATOS_[Conc.Sal.08]))))), 0)</f>
        <v>0</v>
      </c>
      <c r="N46" s="209" t="n">
        <f aca="false" t="array" ref="N46:N46">IFERROR( AVERAGE((IF(DATOS_[[Sexo]:[Sexo]]=$B46,IF(DATOS_[[AGRUP. CLAS. PROF.]:[AGRUP. CLAS. PROF.]]=$B45,IF(DATOS_[[Check Periodo Ref.]:[Check Periodo Ref.]]="Dentro",DATOS_[Conc.Sal.09]))))), 0)</f>
        <v>0</v>
      </c>
      <c r="O46" s="209" t="n">
        <f aca="false" t="array" ref="O46:O46">IFERROR( AVERAGE((IF(DATOS_[[Sexo]:[Sexo]]=$B46,IF(DATOS_[[AGRUP. CLAS. PROF.]:[AGRUP. CLAS. PROF.]]=$B45,IF(DATOS_[[Check Periodo Ref.]:[Check Periodo Ref.]]="Dentro",DATOS_[Conc.Sal.10]))))), 0)</f>
        <v>0</v>
      </c>
      <c r="P46" s="209" t="n">
        <f aca="false" t="array" ref="P46:P46">IFERROR( AVERAGE((IF(DATOS_[[Sexo]:[Sexo]]=$B46,IF(DATOS_[[AGRUP. CLAS. PROF.]:[AGRUP. CLAS. PROF.]]=$B45,IF(DATOS_[[Check Periodo Ref.]:[Check Periodo Ref.]]="Dentro",DATOS_[Conc.Sal.11]))))), 0)</f>
        <v>0</v>
      </c>
      <c r="Q46" s="209" t="n">
        <f aca="false" t="array" ref="Q46:Q46">IFERROR( AVERAGE((IF(DATOS_[[Sexo]:[Sexo]]=$B46,IF(DATOS_[[AGRUP. CLAS. PROF.]:[AGRUP. CLAS. PROF.]]=$B45,IF(DATOS_[[Check Periodo Ref.]:[Check Periodo Ref.]]="Dentro",DATOS_[Conc.Sal.12]))))), 0)</f>
        <v>0</v>
      </c>
      <c r="R46" s="209" t="n">
        <f aca="false" t="array" ref="R46:R46">IFERROR( AVERAGE((IF(DATOS_[[Sexo]:[Sexo]]=$B46,IF(DATOS_[[AGRUP. CLAS. PROF.]:[AGRUP. CLAS. PROF.]]=$B45,IF(DATOS_[[Check Periodo Ref.]:[Check Periodo Ref.]]="Dentro",DATOS_[Conc.Sal.13]))))), 0)</f>
        <v>0</v>
      </c>
      <c r="S46" s="209" t="n">
        <f aca="false" t="array" ref="S46:S46">IFERROR( AVERAGE((IF(DATOS_[[Sexo]:[Sexo]]=$B46,IF(DATOS_[[AGRUP. CLAS. PROF.]:[AGRUP. CLAS. PROF.]]=$B45,IF(DATOS_[[Check Periodo Ref.]:[Check Periodo Ref.]]="Dentro",DATOS_[Conc.Sal.14]))))), 0)</f>
        <v>0</v>
      </c>
      <c r="T46" s="209" t="n">
        <f aca="false" t="array" ref="T46:T46">IFERROR( AVERAGE((IF(DATOS_[[Sexo]:[Sexo]]=$B46,IF(DATOS_[[AGRUP. CLAS. PROF.]:[AGRUP. CLAS. PROF.]]=$B45,IF(DATOS_[[Check Periodo Ref.]:[Check Periodo Ref.]]="Dentro",DATOS_[Conc.Sal.15]))))), 0)</f>
        <v>0</v>
      </c>
      <c r="U46" s="209" t="n">
        <f aca="false" t="array" ref="U46:U46">IFERROR( AVERAGE((IF(DATOS_[[Sexo]:[Sexo]]=$B46,IF(DATOS_[[AGRUP. CLAS. PROF.]:[AGRUP. CLAS. PROF.]]=$B45,IF(DATOS_[[Check Periodo Ref.]:[Check Periodo Ref.]]="Dentro",DATOS_[Conc.Sal.16]))))), 0)</f>
        <v>0</v>
      </c>
      <c r="V46" s="209" t="n">
        <f aca="false" t="array" ref="V46:V46">IFERROR( AVERAGE((IF(DATOS_[[Sexo]:[Sexo]]=$B46,IF(DATOS_[[AGRUP. CLAS. PROF.]:[AGRUP. CLAS. PROF.]]=$B45,IF(DATOS_[[Check Periodo Ref.]:[Check Periodo Ref.]]="Dentro",DATOS_[Conc.Sal.17]))))), 0)</f>
        <v>0</v>
      </c>
      <c r="W46" s="209" t="n">
        <f aca="false" t="array" ref="W46:W46">IFERROR( AVERAGE((IF(DATOS_[[Sexo]:[Sexo]]=$B46,IF(DATOS_[[AGRUP. CLAS. PROF.]:[AGRUP. CLAS. PROF.]]=$B45,IF(DATOS_[[Check Periodo Ref.]:[Check Periodo Ref.]]="Dentro",DATOS_[Conc.Sal.18]))))), 0)</f>
        <v>0</v>
      </c>
      <c r="X46" s="209" t="n">
        <f aca="false" t="array" ref="X46:X46">IFERROR( AVERAGE((IF(DATOS_[[Sexo]:[Sexo]]=$B46,IF(DATOS_[[AGRUP. CLAS. PROF.]:[AGRUP. CLAS. PROF.]]=$B45,IF(DATOS_[[Check Periodo Ref.]:[Check Periodo Ref.]]="Dentro",DATOS_[Conc.Sal.19]))))), 0)</f>
        <v>0</v>
      </c>
      <c r="Y46" s="209" t="n">
        <f aca="false" t="array" ref="Y46:Y46">IFERROR( AVERAGE((IF(DATOS_[[Sexo]:[Sexo]]=$B46,IF(DATOS_[[AGRUP. CLAS. PROF.]:[AGRUP. CLAS. PROF.]]=$B45,IF(DATOS_[[Check Periodo Ref.]:[Check Periodo Ref.]]="Dentro",DATOS_[Conc.Sal.20]))))), 0)</f>
        <v>0</v>
      </c>
      <c r="Z46" s="209" t="n">
        <f aca="false" t="array" ref="Z46:Z46">IFERROR( AVERAGE((IF(DATOS_[[Sexo]:[Sexo]]=$B46,IF(DATOS_[[AGRUP. CLAS. PROF.]:[AGRUP. CLAS. PROF.]]=$B45,IF(DATOS_[[Check Periodo Ref.]:[Check Periodo Ref.]]="Dentro",DATOS_[Conc.Sal.21]))))), 0)</f>
        <v>0</v>
      </c>
      <c r="AA46" s="209" t="n">
        <f aca="false" t="array" ref="AA46:AA46">IFERROR( AVERAGE((IF(DATOS_[[Sexo]:[Sexo]]=$B46,IF(DATOS_[[AGRUP. CLAS. PROF.]:[AGRUP. CLAS. PROF.]]=$B45,IF(DATOS_[[Check Periodo Ref.]:[Check Periodo Ref.]]="Dentro",DATOS_[Conc.Sal.22]))))), 0)</f>
        <v>0</v>
      </c>
      <c r="AB46" s="209" t="n">
        <f aca="false" t="array" ref="AB46:AB46">IFERROR( AVERAGE((IF(DATOS_[[Sexo]:[Sexo]]=$B46,IF(DATOS_[[AGRUP. CLAS. PROF.]:[AGRUP. CLAS. PROF.]]=$B45,IF(DATOS_[[Check Periodo Ref.]:[Check Periodo Ref.]]="Dentro",DATOS_[Conc.Sal.23]))))), 0)</f>
        <v>0</v>
      </c>
      <c r="AC46" s="209" t="n">
        <f aca="false" t="array" ref="AC46:AC46">IFERROR( AVERAGE((IF(DATOS_[[Sexo]:[Sexo]]=$B46,IF(DATOS_[[AGRUP. CLAS. PROF.]:[AGRUP. CLAS. PROF.]]=$B45,IF(DATOS_[[Check Periodo Ref.]:[Check Periodo Ref.]]="Dentro",DATOS_[Conc.Sal.24]))))), 0)</f>
        <v>0</v>
      </c>
      <c r="AD46" s="209" t="n">
        <f aca="false" t="array" ref="AD46:AD46">IFERROR( AVERAGE((IF(DATOS_[[Sexo]:[Sexo]]=$B46,IF(DATOS_[[AGRUP. CLAS. PROF.]:[AGRUP. CLAS. PROF.]]=$B45,IF(DATOS_[[Check Periodo Ref.]:[Check Periodo Ref.]]="Dentro",DATOS_[Conc.Sal.25]))))), 0)</f>
        <v>0</v>
      </c>
      <c r="AE46" s="209" t="n">
        <f aca="false" t="array" ref="AE46:AE46">IFERROR( AVERAGE((IF(DATOS_[[Sexo]:[Sexo]]=$B46,IF(DATOS_[[AGRUP. CLAS. PROF.]:[AGRUP. CLAS. PROF.]]=$B45,IF(DATOS_[[Check Periodo Ref.]:[Check Periodo Ref.]]="Dentro",DATOS_[Conc.Sal.26]))))), 0)</f>
        <v>0</v>
      </c>
      <c r="AF46" s="209" t="n">
        <f aca="false" t="array" ref="AF46:AF46">IFERROR( AVERAGE((IF(DATOS_[[Sexo]:[Sexo]]=$B46,IF(DATOS_[[AGRUP. CLAS. PROF.]:[AGRUP. CLAS. PROF.]]=$B45,IF(DATOS_[[Check Periodo Ref.]:[Check Periodo Ref.]]="Dentro",DATOS_[Conc.Sal.27]))))), 0)</f>
        <v>0</v>
      </c>
      <c r="AG46" s="209" t="n">
        <f aca="false" t="array" ref="AG46:AG46">IFERROR( AVERAGE((IF(DATOS_[[Sexo]:[Sexo]]=$B46,IF(DATOS_[[AGRUP. CLAS. PROF.]:[AGRUP. CLAS. PROF.]]=$B45,IF(DATOS_[[Check Periodo Ref.]:[Check Periodo Ref.]]="Dentro",DATOS_[Conc.Sal.28]))))), 0)</f>
        <v>0</v>
      </c>
      <c r="AH46" s="209" t="n">
        <f aca="false" t="array" ref="AH46:AH46">IFERROR( AVERAGE((IF(DATOS_[[Sexo]:[Sexo]]=$B46,IF(DATOS_[[AGRUP. CLAS. PROF.]:[AGRUP. CLAS. PROF.]]=$B45,IF(DATOS_[[Check Periodo Ref.]:[Check Periodo Ref.]]="Dentro",DATOS_[Conc.Sal.29]))))), 0)</f>
        <v>0</v>
      </c>
      <c r="AI46" s="209" t="n">
        <f aca="false" t="array" ref="AI46:AI46">IFERROR( AVERAGE((IF(DATOS_[[Sexo]:[Sexo]]=$B46,IF(DATOS_[[AGRUP. CLAS. PROF.]:[AGRUP. CLAS. PROF.]]=$B45,IF(DATOS_[[Check Periodo Ref.]:[Check Periodo Ref.]]="Dentro",DATOS_[Conc.Sal.30]))))), 0)</f>
        <v>0</v>
      </c>
      <c r="AJ46" s="210" t="n">
        <f aca="false" t="array" ref="AJ46:AJ46">IFERROR( AVERAGE(IF(DATOS_[Sexo]=$B46,IF(DATOS_[AGRUP. CLAS. PROF.]=$B45,IF(DATOS_[Check Periodo Ref.]="Dentro",DATOS_[Tot COMPL.SAL Ef],0)))), 0)</f>
        <v>0</v>
      </c>
      <c r="AK46" s="211" t="n">
        <f aca="false" t="array" ref="AK46:AK46">IFERROR( AVERAGE(IF(DATOS_[Sexo]=$B46,IF(DATOS_[AGRUP. CLAS. PROF.]=$B45,IF(DATOS_[Check Periodo Ref.]="Dentro",DATOS_[TOTAL SALARIO Ef],0)))), 0)</f>
        <v>0</v>
      </c>
      <c r="AL46" s="212" t="n">
        <f aca="false" t="array" ref="AL46:AL46">IFERROR( AVERAGE((IF(DATOS_[[Sexo]:[Sexo]]=$B46,IF(DATOS_[[AGRUP. CLAS. PROF.]:[AGRUP. CLAS. PROF.]]=$B45,IF(DATOS_[[Check Periodo Ref.]:[Check Periodo Ref.]]="Dentro",DATOS_[C.Extra.01]))))), 0)</f>
        <v>0</v>
      </c>
      <c r="AM46" s="212" t="n">
        <f aca="false" t="array" ref="AM46:AM46">IFERROR( AVERAGE((IF(DATOS_[[Sexo]:[Sexo]]=$B46,IF(DATOS_[[AGRUP. CLAS. PROF.]:[AGRUP. CLAS. PROF.]]=$B45,IF(DATOS_[[Check Periodo Ref.]:[Check Periodo Ref.]]="Dentro",DATOS_[C.Extra.02]))))), 0)</f>
        <v>0</v>
      </c>
      <c r="AN46" s="212" t="n">
        <f aca="false" t="array" ref="AN46:AN46">IFERROR( AVERAGE((IF(DATOS_[[Sexo]:[Sexo]]=$B46,IF(DATOS_[[AGRUP. CLAS. PROF.]:[AGRUP. CLAS. PROF.]]=$B45,IF(DATOS_[[Check Periodo Ref.]:[Check Periodo Ref.]]="Dentro",DATOS_[C.Extra.03]))))), 0)</f>
        <v>0</v>
      </c>
      <c r="AO46" s="212" t="n">
        <f aca="false" t="array" ref="AO46:AO46">IFERROR( AVERAGE((IF(DATOS_[[Sexo]:[Sexo]]=$B46,IF(DATOS_[[AGRUP. CLAS. PROF.]:[AGRUP. CLAS. PROF.]]=$B45,IF(DATOS_[[Check Periodo Ref.]:[Check Periodo Ref.]]="Dentro",DATOS_[C.Extra.04]))))), 0)</f>
        <v>0</v>
      </c>
      <c r="AP46" s="212" t="n">
        <f aca="false" t="array" ref="AP46:AP46">IFERROR( AVERAGE((IF(DATOS_[[Sexo]:[Sexo]]=$B46,IF(DATOS_[[AGRUP. CLAS. PROF.]:[AGRUP. CLAS. PROF.]]=$B45,IF(DATOS_[[Check Periodo Ref.]:[Check Periodo Ref.]]="Dentro",DATOS_[C.Extra.05]))))), 0)</f>
        <v>0</v>
      </c>
      <c r="AQ46" s="213" t="n">
        <f aca="false" t="array" ref="AQ46:AQ46">IFERROR( AVERAGE(IF(DATOS_[Sexo]=$B46,IF(DATOS_[AGRUP. CLAS. PROF.]=$B45,IF(DATOS_[Check Periodo Ref.]="Dentro",DATOS_[Tot Extrasalarial Ef],0)))), 0)</f>
        <v>0</v>
      </c>
      <c r="AR46" s="214" t="n">
        <f aca="false" t="array" ref="AR46:AR46">IFERROR( AVERAGE(IF(DATOS_[Sexo]=$B46,IF(DATOS_[AGRUP. CLAS. PROF.]=$B45,IF(DATOS_[Check Periodo Ref.]="Dentro",DATOS_[TOTAL Retrib Ef],0)))), 0)</f>
        <v>0</v>
      </c>
    </row>
    <row r="47" customFormat="false" ht="14.25" hidden="false" customHeight="false" outlineLevel="0" collapsed="false">
      <c r="A47" s="191" t="str">
        <f aca="false">+A46</f>
        <v>[ocultar]</v>
      </c>
      <c r="B47" s="205" t="s">
        <v>372</v>
      </c>
      <c r="C47" s="206" t="n">
        <f aca="false" t="array" ref="C47:C47">SUM(IF($B47=DATOS_[Sexo], IF($B45=DATOS_[AGRUP. CLAS. PROF.], IF("Dentro"=DATOS_[Check Periodo Ref.], 1/(COUNTIFS(DATOS_[Sexo],$B47,DATOS_[AGRUP. CLAS. PROF.],$B45,DATOS_[Check Periodo Ref.],"Dentro",DATOS_[id],DATOS_[id]))))))</f>
        <v>0</v>
      </c>
      <c r="D47" s="207" t="n">
        <f aca="false">COUNTIFS(DATOS_[AGRUP. CLAS. PROF.],$B45,DATOS_[Sexo],$B47,DATOS_[Check Periodo Ref.],"Dentro")</f>
        <v>0</v>
      </c>
      <c r="E47" s="208" t="n">
        <f aca="false" t="array" ref="E47:E47">IFERROR( AVERAGE(IF(DATOS_[Sexo]=$B47,IF(DATOS_[AGRUP. CLAS. PROF.]=$B45,IF(DATOS_[Check Periodo Ref.]="Dentro",DATOS_[SALARIO BASE Ef],0)))), 0)</f>
        <v>0</v>
      </c>
      <c r="F47" s="209" t="n">
        <f aca="false" t="array" ref="F47:F47">IFERROR( AVERAGE((IF(DATOS_[[Sexo]:[Sexo]]=$B47,IF(DATOS_[[AGRUP. CLAS. PROF.]:[AGRUP. CLAS. PROF.]]=$B45,IF(DATOS_[[Check Periodo Ref.]:[Check Periodo Ref.]]="Dentro",DATOS_[Conc.Sal.01]))))), 0)</f>
        <v>0</v>
      </c>
      <c r="G47" s="209" t="n">
        <f aca="false" t="array" ref="G47:G47">IFERROR( AVERAGE((IF(DATOS_[[Sexo]:[Sexo]]=$B47,IF(DATOS_[[AGRUP. CLAS. PROF.]:[AGRUP. CLAS. PROF.]]=$B45,IF(DATOS_[[Check Periodo Ref.]:[Check Periodo Ref.]]="Dentro",DATOS_[Conc.Sal.02]))))), 0)</f>
        <v>0</v>
      </c>
      <c r="H47" s="209" t="n">
        <f aca="false" t="array" ref="H47:H47">IFERROR( AVERAGE((IF(DATOS_[[Sexo]:[Sexo]]=$B47,IF(DATOS_[[AGRUP. CLAS. PROF.]:[AGRUP. CLAS. PROF.]]=$B45,IF(DATOS_[[Check Periodo Ref.]:[Check Periodo Ref.]]="Dentro",DATOS_[Conc.Sal.03]))))), 0)</f>
        <v>0</v>
      </c>
      <c r="I47" s="209" t="n">
        <f aca="false" t="array" ref="I47:I47">IFERROR( AVERAGE((IF(DATOS_[[Sexo]:[Sexo]]=$B47,IF(DATOS_[[AGRUP. CLAS. PROF.]:[AGRUP. CLAS. PROF.]]=$B45,IF(DATOS_[[Check Periodo Ref.]:[Check Periodo Ref.]]="Dentro",DATOS_[Conc.Sal.04]))))), 0)</f>
        <v>0</v>
      </c>
      <c r="J47" s="209" t="n">
        <f aca="false" t="array" ref="J47:J47">IFERROR( AVERAGE((IF(DATOS_[[Sexo]:[Sexo]]=$B47,IF(DATOS_[[AGRUP. CLAS. PROF.]:[AGRUP. CLAS. PROF.]]=$B45,IF(DATOS_[[Check Periodo Ref.]:[Check Periodo Ref.]]="Dentro",DATOS_[Conc.Sal.05]))))), 0)</f>
        <v>0</v>
      </c>
      <c r="K47" s="209" t="n">
        <f aca="false" t="array" ref="K47:K47">IFERROR( AVERAGE((IF(DATOS_[[Sexo]:[Sexo]]=$B47,IF(DATOS_[[AGRUP. CLAS. PROF.]:[AGRUP. CLAS. PROF.]]=$B45,IF(DATOS_[[Check Periodo Ref.]:[Check Periodo Ref.]]="Dentro",DATOS_[Conc.Sal.06]))))), 0)</f>
        <v>0</v>
      </c>
      <c r="L47" s="209" t="n">
        <f aca="false" t="array" ref="L47:L47">IFERROR( AVERAGE((IF(DATOS_[[Sexo]:[Sexo]]=$B47,IF(DATOS_[[AGRUP. CLAS. PROF.]:[AGRUP. CLAS. PROF.]]=$B45,IF(DATOS_[[Check Periodo Ref.]:[Check Periodo Ref.]]="Dentro",DATOS_[Conc.Sal.07]))))), 0)</f>
        <v>0</v>
      </c>
      <c r="M47" s="209" t="n">
        <f aca="false" t="array" ref="M47:M47">IFERROR( AVERAGE((IF(DATOS_[[Sexo]:[Sexo]]=$B47,IF(DATOS_[[AGRUP. CLAS. PROF.]:[AGRUP. CLAS. PROF.]]=$B45,IF(DATOS_[[Check Periodo Ref.]:[Check Periodo Ref.]]="Dentro",DATOS_[Conc.Sal.08]))))), 0)</f>
        <v>0</v>
      </c>
      <c r="N47" s="209" t="n">
        <f aca="false" t="array" ref="N47:N47">IFERROR( AVERAGE((IF(DATOS_[[Sexo]:[Sexo]]=$B47,IF(DATOS_[[AGRUP. CLAS. PROF.]:[AGRUP. CLAS. PROF.]]=$B45,IF(DATOS_[[Check Periodo Ref.]:[Check Periodo Ref.]]="Dentro",DATOS_[Conc.Sal.09]))))), 0)</f>
        <v>0</v>
      </c>
      <c r="O47" s="209" t="n">
        <f aca="false" t="array" ref="O47:O47">IFERROR( AVERAGE((IF(DATOS_[[Sexo]:[Sexo]]=$B47,IF(DATOS_[[AGRUP. CLAS. PROF.]:[AGRUP. CLAS. PROF.]]=$B45,IF(DATOS_[[Check Periodo Ref.]:[Check Periodo Ref.]]="Dentro",DATOS_[Conc.Sal.10]))))), 0)</f>
        <v>0</v>
      </c>
      <c r="P47" s="209" t="n">
        <f aca="false" t="array" ref="P47:P47">IFERROR( AVERAGE((IF(DATOS_[[Sexo]:[Sexo]]=$B47,IF(DATOS_[[AGRUP. CLAS. PROF.]:[AGRUP. CLAS. PROF.]]=$B45,IF(DATOS_[[Check Periodo Ref.]:[Check Periodo Ref.]]="Dentro",DATOS_[Conc.Sal.11]))))), 0)</f>
        <v>0</v>
      </c>
      <c r="Q47" s="209" t="n">
        <f aca="false" t="array" ref="Q47:Q47">IFERROR( AVERAGE((IF(DATOS_[[Sexo]:[Sexo]]=$B47,IF(DATOS_[[AGRUP. CLAS. PROF.]:[AGRUP. CLAS. PROF.]]=$B45,IF(DATOS_[[Check Periodo Ref.]:[Check Periodo Ref.]]="Dentro",DATOS_[Conc.Sal.12]))))), 0)</f>
        <v>0</v>
      </c>
      <c r="R47" s="209" t="n">
        <f aca="false" t="array" ref="R47:R47">IFERROR( AVERAGE((IF(DATOS_[[Sexo]:[Sexo]]=$B47,IF(DATOS_[[AGRUP. CLAS. PROF.]:[AGRUP. CLAS. PROF.]]=$B45,IF(DATOS_[[Check Periodo Ref.]:[Check Periodo Ref.]]="Dentro",DATOS_[Conc.Sal.13]))))), 0)</f>
        <v>0</v>
      </c>
      <c r="S47" s="209" t="n">
        <f aca="false" t="array" ref="S47:S47">IFERROR( AVERAGE((IF(DATOS_[[Sexo]:[Sexo]]=$B47,IF(DATOS_[[AGRUP. CLAS. PROF.]:[AGRUP. CLAS. PROF.]]=$B45,IF(DATOS_[[Check Periodo Ref.]:[Check Periodo Ref.]]="Dentro",DATOS_[Conc.Sal.14]))))), 0)</f>
        <v>0</v>
      </c>
      <c r="T47" s="209" t="n">
        <f aca="false" t="array" ref="T47:T47">IFERROR( AVERAGE((IF(DATOS_[[Sexo]:[Sexo]]=$B47,IF(DATOS_[[AGRUP. CLAS. PROF.]:[AGRUP. CLAS. PROF.]]=$B45,IF(DATOS_[[Check Periodo Ref.]:[Check Periodo Ref.]]="Dentro",DATOS_[Conc.Sal.15]))))), 0)</f>
        <v>0</v>
      </c>
      <c r="U47" s="209" t="n">
        <f aca="false" t="array" ref="U47:U47">IFERROR( AVERAGE((IF(DATOS_[[Sexo]:[Sexo]]=$B47,IF(DATOS_[[AGRUP. CLAS. PROF.]:[AGRUP. CLAS. PROF.]]=$B45,IF(DATOS_[[Check Periodo Ref.]:[Check Periodo Ref.]]="Dentro",DATOS_[Conc.Sal.16]))))), 0)</f>
        <v>0</v>
      </c>
      <c r="V47" s="209" t="n">
        <f aca="false" t="array" ref="V47:V47">IFERROR( AVERAGE((IF(DATOS_[[Sexo]:[Sexo]]=$B47,IF(DATOS_[[AGRUP. CLAS. PROF.]:[AGRUP. CLAS. PROF.]]=$B45,IF(DATOS_[[Check Periodo Ref.]:[Check Periodo Ref.]]="Dentro",DATOS_[Conc.Sal.17]))))), 0)</f>
        <v>0</v>
      </c>
      <c r="W47" s="209" t="n">
        <f aca="false" t="array" ref="W47:W47">IFERROR( AVERAGE((IF(DATOS_[[Sexo]:[Sexo]]=$B47,IF(DATOS_[[AGRUP. CLAS. PROF.]:[AGRUP. CLAS. PROF.]]=$B45,IF(DATOS_[[Check Periodo Ref.]:[Check Periodo Ref.]]="Dentro",DATOS_[Conc.Sal.18]))))), 0)</f>
        <v>0</v>
      </c>
      <c r="X47" s="209" t="n">
        <f aca="false" t="array" ref="X47:X47">IFERROR( AVERAGE((IF(DATOS_[[Sexo]:[Sexo]]=$B47,IF(DATOS_[[AGRUP. CLAS. PROF.]:[AGRUP. CLAS. PROF.]]=$B45,IF(DATOS_[[Check Periodo Ref.]:[Check Periodo Ref.]]="Dentro",DATOS_[Conc.Sal.19]))))), 0)</f>
        <v>0</v>
      </c>
      <c r="Y47" s="209" t="n">
        <f aca="false" t="array" ref="Y47:Y47">IFERROR( AVERAGE((IF(DATOS_[[Sexo]:[Sexo]]=$B47,IF(DATOS_[[AGRUP. CLAS. PROF.]:[AGRUP. CLAS. PROF.]]=$B45,IF(DATOS_[[Check Periodo Ref.]:[Check Periodo Ref.]]="Dentro",DATOS_[Conc.Sal.20]))))), 0)</f>
        <v>0</v>
      </c>
      <c r="Z47" s="209" t="n">
        <f aca="false" t="array" ref="Z47:Z47">IFERROR( AVERAGE((IF(DATOS_[[Sexo]:[Sexo]]=$B47,IF(DATOS_[[AGRUP. CLAS. PROF.]:[AGRUP. CLAS. PROF.]]=$B45,IF(DATOS_[[Check Periodo Ref.]:[Check Periodo Ref.]]="Dentro",DATOS_[Conc.Sal.21]))))), 0)</f>
        <v>0</v>
      </c>
      <c r="AA47" s="209" t="n">
        <f aca="false" t="array" ref="AA47:AA47">IFERROR( AVERAGE((IF(DATOS_[[Sexo]:[Sexo]]=$B47,IF(DATOS_[[AGRUP. CLAS. PROF.]:[AGRUP. CLAS. PROF.]]=$B45,IF(DATOS_[[Check Periodo Ref.]:[Check Periodo Ref.]]="Dentro",DATOS_[Conc.Sal.22]))))), 0)</f>
        <v>0</v>
      </c>
      <c r="AB47" s="209" t="n">
        <f aca="false" t="array" ref="AB47:AB47">IFERROR( AVERAGE((IF(DATOS_[[Sexo]:[Sexo]]=$B47,IF(DATOS_[[AGRUP. CLAS. PROF.]:[AGRUP. CLAS. PROF.]]=$B45,IF(DATOS_[[Check Periodo Ref.]:[Check Periodo Ref.]]="Dentro",DATOS_[Conc.Sal.23]))))), 0)</f>
        <v>0</v>
      </c>
      <c r="AC47" s="209" t="n">
        <f aca="false" t="array" ref="AC47:AC47">IFERROR( AVERAGE((IF(DATOS_[[Sexo]:[Sexo]]=$B47,IF(DATOS_[[AGRUP. CLAS. PROF.]:[AGRUP. CLAS. PROF.]]=$B45,IF(DATOS_[[Check Periodo Ref.]:[Check Periodo Ref.]]="Dentro",DATOS_[Conc.Sal.24]))))), 0)</f>
        <v>0</v>
      </c>
      <c r="AD47" s="209" t="n">
        <f aca="false" t="array" ref="AD47:AD47">IFERROR( AVERAGE((IF(DATOS_[[Sexo]:[Sexo]]=$B47,IF(DATOS_[[AGRUP. CLAS. PROF.]:[AGRUP. CLAS. PROF.]]=$B45,IF(DATOS_[[Check Periodo Ref.]:[Check Periodo Ref.]]="Dentro",DATOS_[Conc.Sal.25]))))), 0)</f>
        <v>0</v>
      </c>
      <c r="AE47" s="209" t="n">
        <f aca="false" t="array" ref="AE47:AE47">IFERROR( AVERAGE((IF(DATOS_[[Sexo]:[Sexo]]=$B47,IF(DATOS_[[AGRUP. CLAS. PROF.]:[AGRUP. CLAS. PROF.]]=$B45,IF(DATOS_[[Check Periodo Ref.]:[Check Periodo Ref.]]="Dentro",DATOS_[Conc.Sal.26]))))), 0)</f>
        <v>0</v>
      </c>
      <c r="AF47" s="209" t="n">
        <f aca="false" t="array" ref="AF47:AF47">IFERROR( AVERAGE((IF(DATOS_[[Sexo]:[Sexo]]=$B47,IF(DATOS_[[AGRUP. CLAS. PROF.]:[AGRUP. CLAS. PROF.]]=$B45,IF(DATOS_[[Check Periodo Ref.]:[Check Periodo Ref.]]="Dentro",DATOS_[Conc.Sal.27]))))), 0)</f>
        <v>0</v>
      </c>
      <c r="AG47" s="209" t="n">
        <f aca="false" t="array" ref="AG47:AG47">IFERROR( AVERAGE((IF(DATOS_[[Sexo]:[Sexo]]=$B47,IF(DATOS_[[AGRUP. CLAS. PROF.]:[AGRUP. CLAS. PROF.]]=$B45,IF(DATOS_[[Check Periodo Ref.]:[Check Periodo Ref.]]="Dentro",DATOS_[Conc.Sal.28]))))), 0)</f>
        <v>0</v>
      </c>
      <c r="AH47" s="209" t="n">
        <f aca="false" t="array" ref="AH47:AH47">IFERROR( AVERAGE((IF(DATOS_[[Sexo]:[Sexo]]=$B47,IF(DATOS_[[AGRUP. CLAS. PROF.]:[AGRUP. CLAS. PROF.]]=$B45,IF(DATOS_[[Check Periodo Ref.]:[Check Periodo Ref.]]="Dentro",DATOS_[Conc.Sal.29]))))), 0)</f>
        <v>0</v>
      </c>
      <c r="AI47" s="209" t="n">
        <f aca="false" t="array" ref="AI47:AI47">IFERROR( AVERAGE((IF(DATOS_[[Sexo]:[Sexo]]=$B47,IF(DATOS_[[AGRUP. CLAS. PROF.]:[AGRUP. CLAS. PROF.]]=$B45,IF(DATOS_[[Check Periodo Ref.]:[Check Periodo Ref.]]="Dentro",DATOS_[Conc.Sal.30]))))), 0)</f>
        <v>0</v>
      </c>
      <c r="AJ47" s="210" t="n">
        <f aca="false" t="array" ref="AJ47:AJ47">IFERROR( AVERAGE(IF(DATOS_[Sexo]=$B47,IF(DATOS_[AGRUP. CLAS. PROF.]=$B45,IF(DATOS_[Check Periodo Ref.]="Dentro",DATOS_[Tot COMPL.SAL Ef],0)))), 0)</f>
        <v>0</v>
      </c>
      <c r="AK47" s="211" t="n">
        <f aca="false" t="array" ref="AK47:AK47">IFERROR( AVERAGE(IF(DATOS_[Sexo]=$B47,IF(DATOS_[AGRUP. CLAS. PROF.]=$B45,IF(DATOS_[Check Periodo Ref.]="Dentro",DATOS_[TOTAL SALARIO Ef],0)))), 0)</f>
        <v>0</v>
      </c>
      <c r="AL47" s="212" t="n">
        <f aca="false" t="array" ref="AL47:AL47">IFERROR( AVERAGE((IF(DATOS_[[Sexo]:[Sexo]]=$B47,IF(DATOS_[[AGRUP. CLAS. PROF.]:[AGRUP. CLAS. PROF.]]=$B45,IF(DATOS_[[Check Periodo Ref.]:[Check Periodo Ref.]]="Dentro",DATOS_[C.Extra.01]))))), 0)</f>
        <v>0</v>
      </c>
      <c r="AM47" s="212" t="n">
        <f aca="false" t="array" ref="AM47:AM47">IFERROR( AVERAGE((IF(DATOS_[[Sexo]:[Sexo]]=$B47,IF(DATOS_[[AGRUP. CLAS. PROF.]:[AGRUP. CLAS. PROF.]]=$B45,IF(DATOS_[[Check Periodo Ref.]:[Check Periodo Ref.]]="Dentro",DATOS_[C.Extra.02]))))), 0)</f>
        <v>0</v>
      </c>
      <c r="AN47" s="212" t="n">
        <f aca="false" t="array" ref="AN47:AN47">IFERROR( AVERAGE((IF(DATOS_[[Sexo]:[Sexo]]=$B47,IF(DATOS_[[AGRUP. CLAS. PROF.]:[AGRUP. CLAS. PROF.]]=$B45,IF(DATOS_[[Check Periodo Ref.]:[Check Periodo Ref.]]="Dentro",DATOS_[C.Extra.03]))))), 0)</f>
        <v>0</v>
      </c>
      <c r="AO47" s="212" t="n">
        <f aca="false" t="array" ref="AO47:AO47">IFERROR( AVERAGE((IF(DATOS_[[Sexo]:[Sexo]]=$B47,IF(DATOS_[[AGRUP. CLAS. PROF.]:[AGRUP. CLAS. PROF.]]=$B45,IF(DATOS_[[Check Periodo Ref.]:[Check Periodo Ref.]]="Dentro",DATOS_[C.Extra.04]))))), 0)</f>
        <v>0</v>
      </c>
      <c r="AP47" s="212" t="n">
        <f aca="false" t="array" ref="AP47:AP47">IFERROR( AVERAGE((IF(DATOS_[[Sexo]:[Sexo]]=$B47,IF(DATOS_[[AGRUP. CLAS. PROF.]:[AGRUP. CLAS. PROF.]]=$B45,IF(DATOS_[[Check Periodo Ref.]:[Check Periodo Ref.]]="Dentro",DATOS_[C.Extra.05]))))), 0)</f>
        <v>0</v>
      </c>
      <c r="AQ47" s="213" t="n">
        <f aca="false" t="array" ref="AQ47:AQ47">IFERROR( AVERAGE(IF(DATOS_[Sexo]=$B47,IF(DATOS_[AGRUP. CLAS. PROF.]=$B45,IF(DATOS_[Check Periodo Ref.]="Dentro",DATOS_[Tot Extrasalarial Ef],0)))), 0)</f>
        <v>0</v>
      </c>
      <c r="AR47" s="214" t="n">
        <f aca="false" t="array" ref="AR47:AR47">IFERROR( AVERAGE(IF(DATOS_[Sexo]=$B47,IF(DATOS_[AGRUP. CLAS. PROF.]=$B45,IF(DATOS_[Check Periodo Ref.]="Dentro",DATOS_[TOTAL Retrib Ef],0)))), 0)</f>
        <v>0</v>
      </c>
    </row>
    <row r="48" customFormat="false" ht="15.75" hidden="false" customHeight="false" outlineLevel="0" collapsed="false">
      <c r="A48" s="191" t="str">
        <f aca="false">+A49</f>
        <v>[ocultar]</v>
      </c>
      <c r="B48" s="192" t="s">
        <v>201</v>
      </c>
      <c r="C48" s="193"/>
      <c r="D48" s="194"/>
      <c r="E48" s="195" t="str">
        <f aca="false">IFERROR((E49-E50)/E49,"")</f>
        <v/>
      </c>
      <c r="F48" s="196" t="str">
        <f aca="false">IFERROR((F49-F50)/F49,"")</f>
        <v/>
      </c>
      <c r="G48" s="197" t="str">
        <f aca="false">IFERROR((G49-G50)/G49,"")</f>
        <v/>
      </c>
      <c r="H48" s="197" t="str">
        <f aca="false">IFERROR((H49-H50)/H49,"")</f>
        <v/>
      </c>
      <c r="I48" s="197" t="str">
        <f aca="false">IFERROR((I49-I50)/I49,"")</f>
        <v/>
      </c>
      <c r="J48" s="198" t="str">
        <f aca="false">IFERROR((J49-J50)/J49,"")</f>
        <v/>
      </c>
      <c r="K48" s="199" t="str">
        <f aca="false">IFERROR((K49-K50)/K49,"")</f>
        <v/>
      </c>
      <c r="L48" s="199" t="str">
        <f aca="false">IFERROR((L49-L50)/L49,"")</f>
        <v/>
      </c>
      <c r="M48" s="199" t="str">
        <f aca="false">IFERROR((M49-M50)/M49,"")</f>
        <v/>
      </c>
      <c r="N48" s="199" t="str">
        <f aca="false">IFERROR((N49-N50)/N49,"")</f>
        <v/>
      </c>
      <c r="O48" s="199" t="str">
        <f aca="false">IFERROR((O49-O50)/O49,"")</f>
        <v/>
      </c>
      <c r="P48" s="199" t="str">
        <f aca="false">IFERROR((P49-P50)/P49,"")</f>
        <v/>
      </c>
      <c r="Q48" s="199" t="str">
        <f aca="false">IFERROR((Q49-Q50)/Q49,"")</f>
        <v/>
      </c>
      <c r="R48" s="199" t="str">
        <f aca="false">IFERROR((R49-R50)/R49,"")</f>
        <v/>
      </c>
      <c r="S48" s="199" t="str">
        <f aca="false">IFERROR((S49-S50)/S49,"")</f>
        <v/>
      </c>
      <c r="T48" s="199" t="str">
        <f aca="false">IFERROR((T49-T50)/T49,"")</f>
        <v/>
      </c>
      <c r="U48" s="199" t="str">
        <f aca="false">IFERROR((U49-U50)/U49,"")</f>
        <v/>
      </c>
      <c r="V48" s="198" t="str">
        <f aca="false">IFERROR((V49-V50)/V49,"")</f>
        <v/>
      </c>
      <c r="W48" s="198" t="str">
        <f aca="false">IFERROR((W49-W50)/W49,"")</f>
        <v/>
      </c>
      <c r="X48" s="198" t="str">
        <f aca="false">IFERROR((X49-X50)/X49,"")</f>
        <v/>
      </c>
      <c r="Y48" s="198" t="str">
        <f aca="false">IFERROR((Y49-Y50)/Y49,"")</f>
        <v/>
      </c>
      <c r="Z48" s="198" t="str">
        <f aca="false">IFERROR((Z49-Z50)/Z49,"")</f>
        <v/>
      </c>
      <c r="AA48" s="198" t="str">
        <f aca="false">IFERROR((AA49-AA50)/AA49,"")</f>
        <v/>
      </c>
      <c r="AB48" s="198" t="str">
        <f aca="false">IFERROR((AB49-AB50)/AB49,"")</f>
        <v/>
      </c>
      <c r="AC48" s="198" t="str">
        <f aca="false">IFERROR((AC49-AC50)/AC49,"")</f>
        <v/>
      </c>
      <c r="AD48" s="198" t="str">
        <f aca="false">IFERROR((AD49-AD50)/AD49,"")</f>
        <v/>
      </c>
      <c r="AE48" s="198" t="str">
        <f aca="false">IFERROR((AE49-AE50)/AE49,"")</f>
        <v/>
      </c>
      <c r="AF48" s="198" t="str">
        <f aca="false">IFERROR((AF49-AF50)/AF49,"")</f>
        <v/>
      </c>
      <c r="AG48" s="198" t="str">
        <f aca="false">IFERROR((AG49-AG50)/AG49,"")</f>
        <v/>
      </c>
      <c r="AH48" s="198" t="str">
        <f aca="false">IFERROR((AH49-AH50)/AH49,"")</f>
        <v/>
      </c>
      <c r="AI48" s="198" t="str">
        <f aca="false">IFERROR((AI49-AI50)/AI49,"")</f>
        <v/>
      </c>
      <c r="AJ48" s="200" t="str">
        <f aca="false">IFERROR((AJ49-AJ50)/AJ49,"")</f>
        <v/>
      </c>
      <c r="AK48" s="201" t="str">
        <f aca="false">IFERROR((AK49-AK50)/AK49,"")</f>
        <v/>
      </c>
      <c r="AL48" s="202" t="str">
        <f aca="false">IFERROR((AL49-AL50)/AL49,"")</f>
        <v/>
      </c>
      <c r="AM48" s="202" t="str">
        <f aca="false">IFERROR((AM49-AM50)/AM49,"")</f>
        <v/>
      </c>
      <c r="AN48" s="202" t="str">
        <f aca="false">IFERROR((AN49-AN50)/AN49,"")</f>
        <v/>
      </c>
      <c r="AO48" s="202" t="str">
        <f aca="false">IFERROR((AO49-AO50)/AO49,"")</f>
        <v/>
      </c>
      <c r="AP48" s="202" t="str">
        <f aca="false">IFERROR((AP49-AP50)/AP49,"")</f>
        <v/>
      </c>
      <c r="AQ48" s="203" t="str">
        <f aca="false">IFERROR((AQ49-AQ50)/AQ49,"")</f>
        <v/>
      </c>
      <c r="AR48" s="204" t="str">
        <f aca="false">IFERROR((AR49-AR50)/AR49,"")</f>
        <v/>
      </c>
    </row>
    <row r="49" customFormat="false" ht="14.25" hidden="false" customHeight="false" outlineLevel="0" collapsed="false">
      <c r="A49" s="191" t="str">
        <f aca="false">+IF(C49+C50=0,"[ocultar]","")</f>
        <v>[ocultar]</v>
      </c>
      <c r="B49" s="205" t="s">
        <v>371</v>
      </c>
      <c r="C49" s="206" t="n">
        <f aca="false" t="array" ref="C49:C49">SUM(IF($B49=DATOS_[Sexo], IF($B48=DATOS_[AGRUP. CLAS. PROF.], IF("Dentro"=DATOS_[Check Periodo Ref.], 1/(COUNTIFS(DATOS_[Sexo],$B49,DATOS_[AGRUP. CLAS. PROF.],$B48,DATOS_[Check Periodo Ref.],"Dentro",DATOS_[id],DATOS_[id]))))))</f>
        <v>0</v>
      </c>
      <c r="D49" s="207" t="n">
        <f aca="false">COUNTIFS(DATOS_[AGRUP. CLAS. PROF.],$B48,DATOS_[Sexo],$B49,DATOS_[Check Periodo Ref.],"Dentro")</f>
        <v>0</v>
      </c>
      <c r="E49" s="208" t="n">
        <f aca="false" t="array" ref="E49:E49">IFERROR( AVERAGE(IF(DATOS_[Sexo]=$B49,IF(DATOS_[AGRUP. CLAS. PROF.]=$B48,IF(DATOS_[Check Periodo Ref.]="Dentro",DATOS_[SALARIO BASE Ef],0)))), 0)</f>
        <v>0</v>
      </c>
      <c r="F49" s="209" t="n">
        <f aca="false" t="array" ref="F49:F49">IFERROR( AVERAGE((IF(DATOS_[[Sexo]:[Sexo]]=$B49,IF(DATOS_[[AGRUP. CLAS. PROF.]:[AGRUP. CLAS. PROF.]]=$B48,IF(DATOS_[[Check Periodo Ref.]:[Check Periodo Ref.]]="Dentro",DATOS_[Conc.Sal.01]))))), 0)</f>
        <v>0</v>
      </c>
      <c r="G49" s="209" t="n">
        <f aca="false" t="array" ref="G49:G49">IFERROR( AVERAGE((IF(DATOS_[[Sexo]:[Sexo]]=$B49,IF(DATOS_[[AGRUP. CLAS. PROF.]:[AGRUP. CLAS. PROF.]]=$B48,IF(DATOS_[[Check Periodo Ref.]:[Check Periodo Ref.]]="Dentro",DATOS_[Conc.Sal.02]))))), 0)</f>
        <v>0</v>
      </c>
      <c r="H49" s="209" t="n">
        <f aca="false" t="array" ref="H49:H49">IFERROR( AVERAGE((IF(DATOS_[[Sexo]:[Sexo]]=$B49,IF(DATOS_[[AGRUP. CLAS. PROF.]:[AGRUP. CLAS. PROF.]]=$B48,IF(DATOS_[[Check Periodo Ref.]:[Check Periodo Ref.]]="Dentro",DATOS_[Conc.Sal.03]))))), 0)</f>
        <v>0</v>
      </c>
      <c r="I49" s="209" t="n">
        <f aca="false" t="array" ref="I49:I49">IFERROR( AVERAGE((IF(DATOS_[[Sexo]:[Sexo]]=$B49,IF(DATOS_[[AGRUP. CLAS. PROF.]:[AGRUP. CLAS. PROF.]]=$B48,IF(DATOS_[[Check Periodo Ref.]:[Check Periodo Ref.]]="Dentro",DATOS_[Conc.Sal.04]))))), 0)</f>
        <v>0</v>
      </c>
      <c r="J49" s="209" t="n">
        <f aca="false" t="array" ref="J49:J49">IFERROR( AVERAGE((IF(DATOS_[[Sexo]:[Sexo]]=$B49,IF(DATOS_[[AGRUP. CLAS. PROF.]:[AGRUP. CLAS. PROF.]]=$B48,IF(DATOS_[[Check Periodo Ref.]:[Check Periodo Ref.]]="Dentro",DATOS_[Conc.Sal.05]))))), 0)</f>
        <v>0</v>
      </c>
      <c r="K49" s="209" t="n">
        <f aca="false" t="array" ref="K49:K49">IFERROR( AVERAGE((IF(DATOS_[[Sexo]:[Sexo]]=$B49,IF(DATOS_[[AGRUP. CLAS. PROF.]:[AGRUP. CLAS. PROF.]]=$B48,IF(DATOS_[[Check Periodo Ref.]:[Check Periodo Ref.]]="Dentro",DATOS_[Conc.Sal.06]))))), 0)</f>
        <v>0</v>
      </c>
      <c r="L49" s="209" t="n">
        <f aca="false" t="array" ref="L49:L49">IFERROR( AVERAGE((IF(DATOS_[[Sexo]:[Sexo]]=$B49,IF(DATOS_[[AGRUP. CLAS. PROF.]:[AGRUP. CLAS. PROF.]]=$B48,IF(DATOS_[[Check Periodo Ref.]:[Check Periodo Ref.]]="Dentro",DATOS_[Conc.Sal.07]))))), 0)</f>
        <v>0</v>
      </c>
      <c r="M49" s="209" t="n">
        <f aca="false" t="array" ref="M49:M49">IFERROR( AVERAGE((IF(DATOS_[[Sexo]:[Sexo]]=$B49,IF(DATOS_[[AGRUP. CLAS. PROF.]:[AGRUP. CLAS. PROF.]]=$B48,IF(DATOS_[[Check Periodo Ref.]:[Check Periodo Ref.]]="Dentro",DATOS_[Conc.Sal.08]))))), 0)</f>
        <v>0</v>
      </c>
      <c r="N49" s="209" t="n">
        <f aca="false" t="array" ref="N49:N49">IFERROR( AVERAGE((IF(DATOS_[[Sexo]:[Sexo]]=$B49,IF(DATOS_[[AGRUP. CLAS. PROF.]:[AGRUP. CLAS. PROF.]]=$B48,IF(DATOS_[[Check Periodo Ref.]:[Check Periodo Ref.]]="Dentro",DATOS_[Conc.Sal.09]))))), 0)</f>
        <v>0</v>
      </c>
      <c r="O49" s="209" t="n">
        <f aca="false" t="array" ref="O49:O49">IFERROR( AVERAGE((IF(DATOS_[[Sexo]:[Sexo]]=$B49,IF(DATOS_[[AGRUP. CLAS. PROF.]:[AGRUP. CLAS. PROF.]]=$B48,IF(DATOS_[[Check Periodo Ref.]:[Check Periodo Ref.]]="Dentro",DATOS_[Conc.Sal.10]))))), 0)</f>
        <v>0</v>
      </c>
      <c r="P49" s="209" t="n">
        <f aca="false" t="array" ref="P49:P49">IFERROR( AVERAGE((IF(DATOS_[[Sexo]:[Sexo]]=$B49,IF(DATOS_[[AGRUP. CLAS. PROF.]:[AGRUP. CLAS. PROF.]]=$B48,IF(DATOS_[[Check Periodo Ref.]:[Check Periodo Ref.]]="Dentro",DATOS_[Conc.Sal.11]))))), 0)</f>
        <v>0</v>
      </c>
      <c r="Q49" s="209" t="n">
        <f aca="false" t="array" ref="Q49:Q49">IFERROR( AVERAGE((IF(DATOS_[[Sexo]:[Sexo]]=$B49,IF(DATOS_[[AGRUP. CLAS. PROF.]:[AGRUP. CLAS. PROF.]]=$B48,IF(DATOS_[[Check Periodo Ref.]:[Check Periodo Ref.]]="Dentro",DATOS_[Conc.Sal.12]))))), 0)</f>
        <v>0</v>
      </c>
      <c r="R49" s="209" t="n">
        <f aca="false" t="array" ref="R49:R49">IFERROR( AVERAGE((IF(DATOS_[[Sexo]:[Sexo]]=$B49,IF(DATOS_[[AGRUP. CLAS. PROF.]:[AGRUP. CLAS. PROF.]]=$B48,IF(DATOS_[[Check Periodo Ref.]:[Check Periodo Ref.]]="Dentro",DATOS_[Conc.Sal.13]))))), 0)</f>
        <v>0</v>
      </c>
      <c r="S49" s="209" t="n">
        <f aca="false" t="array" ref="S49:S49">IFERROR( AVERAGE((IF(DATOS_[[Sexo]:[Sexo]]=$B49,IF(DATOS_[[AGRUP. CLAS. PROF.]:[AGRUP. CLAS. PROF.]]=$B48,IF(DATOS_[[Check Periodo Ref.]:[Check Periodo Ref.]]="Dentro",DATOS_[Conc.Sal.14]))))), 0)</f>
        <v>0</v>
      </c>
      <c r="T49" s="209" t="n">
        <f aca="false" t="array" ref="T49:T49">IFERROR( AVERAGE((IF(DATOS_[[Sexo]:[Sexo]]=$B49,IF(DATOS_[[AGRUP. CLAS. PROF.]:[AGRUP. CLAS. PROF.]]=$B48,IF(DATOS_[[Check Periodo Ref.]:[Check Periodo Ref.]]="Dentro",DATOS_[Conc.Sal.15]))))), 0)</f>
        <v>0</v>
      </c>
      <c r="U49" s="209" t="n">
        <f aca="false" t="array" ref="U49:U49">IFERROR( AVERAGE((IF(DATOS_[[Sexo]:[Sexo]]=$B49,IF(DATOS_[[AGRUP. CLAS. PROF.]:[AGRUP. CLAS. PROF.]]=$B48,IF(DATOS_[[Check Periodo Ref.]:[Check Periodo Ref.]]="Dentro",DATOS_[Conc.Sal.16]))))), 0)</f>
        <v>0</v>
      </c>
      <c r="V49" s="209" t="n">
        <f aca="false" t="array" ref="V49:V49">IFERROR( AVERAGE((IF(DATOS_[[Sexo]:[Sexo]]=$B49,IF(DATOS_[[AGRUP. CLAS. PROF.]:[AGRUP. CLAS. PROF.]]=$B48,IF(DATOS_[[Check Periodo Ref.]:[Check Periodo Ref.]]="Dentro",DATOS_[Conc.Sal.17]))))), 0)</f>
        <v>0</v>
      </c>
      <c r="W49" s="209" t="n">
        <f aca="false" t="array" ref="W49:W49">IFERROR( AVERAGE((IF(DATOS_[[Sexo]:[Sexo]]=$B49,IF(DATOS_[[AGRUP. CLAS. PROF.]:[AGRUP. CLAS. PROF.]]=$B48,IF(DATOS_[[Check Periodo Ref.]:[Check Periodo Ref.]]="Dentro",DATOS_[Conc.Sal.18]))))), 0)</f>
        <v>0</v>
      </c>
      <c r="X49" s="209" t="n">
        <f aca="false" t="array" ref="X49:X49">IFERROR( AVERAGE((IF(DATOS_[[Sexo]:[Sexo]]=$B49,IF(DATOS_[[AGRUP. CLAS. PROF.]:[AGRUP. CLAS. PROF.]]=$B48,IF(DATOS_[[Check Periodo Ref.]:[Check Periodo Ref.]]="Dentro",DATOS_[Conc.Sal.19]))))), 0)</f>
        <v>0</v>
      </c>
      <c r="Y49" s="209" t="n">
        <f aca="false" t="array" ref="Y49:Y49">IFERROR( AVERAGE((IF(DATOS_[[Sexo]:[Sexo]]=$B49,IF(DATOS_[[AGRUP. CLAS. PROF.]:[AGRUP. CLAS. PROF.]]=$B48,IF(DATOS_[[Check Periodo Ref.]:[Check Periodo Ref.]]="Dentro",DATOS_[Conc.Sal.20]))))), 0)</f>
        <v>0</v>
      </c>
      <c r="Z49" s="209" t="n">
        <f aca="false" t="array" ref="Z49:Z49">IFERROR( AVERAGE((IF(DATOS_[[Sexo]:[Sexo]]=$B49,IF(DATOS_[[AGRUP. CLAS. PROF.]:[AGRUP. CLAS. PROF.]]=$B48,IF(DATOS_[[Check Periodo Ref.]:[Check Periodo Ref.]]="Dentro",DATOS_[Conc.Sal.21]))))), 0)</f>
        <v>0</v>
      </c>
      <c r="AA49" s="209" t="n">
        <f aca="false" t="array" ref="AA49:AA49">IFERROR( AVERAGE((IF(DATOS_[[Sexo]:[Sexo]]=$B49,IF(DATOS_[[AGRUP. CLAS. PROF.]:[AGRUP. CLAS. PROF.]]=$B48,IF(DATOS_[[Check Periodo Ref.]:[Check Periodo Ref.]]="Dentro",DATOS_[Conc.Sal.22]))))), 0)</f>
        <v>0</v>
      </c>
      <c r="AB49" s="209" t="n">
        <f aca="false" t="array" ref="AB49:AB49">IFERROR( AVERAGE((IF(DATOS_[[Sexo]:[Sexo]]=$B49,IF(DATOS_[[AGRUP. CLAS. PROF.]:[AGRUP. CLAS. PROF.]]=$B48,IF(DATOS_[[Check Periodo Ref.]:[Check Periodo Ref.]]="Dentro",DATOS_[Conc.Sal.23]))))), 0)</f>
        <v>0</v>
      </c>
      <c r="AC49" s="209" t="n">
        <f aca="false" t="array" ref="AC49:AC49">IFERROR( AVERAGE((IF(DATOS_[[Sexo]:[Sexo]]=$B49,IF(DATOS_[[AGRUP. CLAS. PROF.]:[AGRUP. CLAS. PROF.]]=$B48,IF(DATOS_[[Check Periodo Ref.]:[Check Periodo Ref.]]="Dentro",DATOS_[Conc.Sal.24]))))), 0)</f>
        <v>0</v>
      </c>
      <c r="AD49" s="209" t="n">
        <f aca="false" t="array" ref="AD49:AD49">IFERROR( AVERAGE((IF(DATOS_[[Sexo]:[Sexo]]=$B49,IF(DATOS_[[AGRUP. CLAS. PROF.]:[AGRUP. CLAS. PROF.]]=$B48,IF(DATOS_[[Check Periodo Ref.]:[Check Periodo Ref.]]="Dentro",DATOS_[Conc.Sal.25]))))), 0)</f>
        <v>0</v>
      </c>
      <c r="AE49" s="209" t="n">
        <f aca="false" t="array" ref="AE49:AE49">IFERROR( AVERAGE((IF(DATOS_[[Sexo]:[Sexo]]=$B49,IF(DATOS_[[AGRUP. CLAS. PROF.]:[AGRUP. CLAS. PROF.]]=$B48,IF(DATOS_[[Check Periodo Ref.]:[Check Periodo Ref.]]="Dentro",DATOS_[Conc.Sal.26]))))), 0)</f>
        <v>0</v>
      </c>
      <c r="AF49" s="209" t="n">
        <f aca="false" t="array" ref="AF49:AF49">IFERROR( AVERAGE((IF(DATOS_[[Sexo]:[Sexo]]=$B49,IF(DATOS_[[AGRUP. CLAS. PROF.]:[AGRUP. CLAS. PROF.]]=$B48,IF(DATOS_[[Check Periodo Ref.]:[Check Periodo Ref.]]="Dentro",DATOS_[Conc.Sal.27]))))), 0)</f>
        <v>0</v>
      </c>
      <c r="AG49" s="209" t="n">
        <f aca="false" t="array" ref="AG49:AG49">IFERROR( AVERAGE((IF(DATOS_[[Sexo]:[Sexo]]=$B49,IF(DATOS_[[AGRUP. CLAS. PROF.]:[AGRUP. CLAS. PROF.]]=$B48,IF(DATOS_[[Check Periodo Ref.]:[Check Periodo Ref.]]="Dentro",DATOS_[Conc.Sal.28]))))), 0)</f>
        <v>0</v>
      </c>
      <c r="AH49" s="209" t="n">
        <f aca="false" t="array" ref="AH49:AH49">IFERROR( AVERAGE((IF(DATOS_[[Sexo]:[Sexo]]=$B49,IF(DATOS_[[AGRUP. CLAS. PROF.]:[AGRUP. CLAS. PROF.]]=$B48,IF(DATOS_[[Check Periodo Ref.]:[Check Periodo Ref.]]="Dentro",DATOS_[Conc.Sal.29]))))), 0)</f>
        <v>0</v>
      </c>
      <c r="AI49" s="209" t="n">
        <f aca="false" t="array" ref="AI49:AI49">IFERROR( AVERAGE((IF(DATOS_[[Sexo]:[Sexo]]=$B49,IF(DATOS_[[AGRUP. CLAS. PROF.]:[AGRUP. CLAS. PROF.]]=$B48,IF(DATOS_[[Check Periodo Ref.]:[Check Periodo Ref.]]="Dentro",DATOS_[Conc.Sal.30]))))), 0)</f>
        <v>0</v>
      </c>
      <c r="AJ49" s="210" t="n">
        <f aca="false" t="array" ref="AJ49:AJ49">IFERROR( AVERAGE(IF(DATOS_[Sexo]=$B49,IF(DATOS_[AGRUP. CLAS. PROF.]=$B48,IF(DATOS_[Check Periodo Ref.]="Dentro",DATOS_[Tot COMPL.SAL Ef],0)))), 0)</f>
        <v>0</v>
      </c>
      <c r="AK49" s="211" t="n">
        <f aca="false" t="array" ref="AK49:AK49">IFERROR( AVERAGE(IF(DATOS_[Sexo]=$B49,IF(DATOS_[AGRUP. CLAS. PROF.]=$B48,IF(DATOS_[Check Periodo Ref.]="Dentro",DATOS_[TOTAL SALARIO Ef],0)))), 0)</f>
        <v>0</v>
      </c>
      <c r="AL49" s="212" t="n">
        <f aca="false" t="array" ref="AL49:AL49">IFERROR( AVERAGE((IF(DATOS_[[Sexo]:[Sexo]]=$B49,IF(DATOS_[[AGRUP. CLAS. PROF.]:[AGRUP. CLAS. PROF.]]=$B48,IF(DATOS_[[Check Periodo Ref.]:[Check Periodo Ref.]]="Dentro",DATOS_[C.Extra.01]))))), 0)</f>
        <v>0</v>
      </c>
      <c r="AM49" s="212" t="n">
        <f aca="false" t="array" ref="AM49:AM49">IFERROR( AVERAGE((IF(DATOS_[[Sexo]:[Sexo]]=$B49,IF(DATOS_[[AGRUP. CLAS. PROF.]:[AGRUP. CLAS. PROF.]]=$B48,IF(DATOS_[[Check Periodo Ref.]:[Check Periodo Ref.]]="Dentro",DATOS_[C.Extra.02]))))), 0)</f>
        <v>0</v>
      </c>
      <c r="AN49" s="212" t="n">
        <f aca="false" t="array" ref="AN49:AN49">IFERROR( AVERAGE((IF(DATOS_[[Sexo]:[Sexo]]=$B49,IF(DATOS_[[AGRUP. CLAS. PROF.]:[AGRUP. CLAS. PROF.]]=$B48,IF(DATOS_[[Check Periodo Ref.]:[Check Periodo Ref.]]="Dentro",DATOS_[C.Extra.03]))))), 0)</f>
        <v>0</v>
      </c>
      <c r="AO49" s="212" t="n">
        <f aca="false" t="array" ref="AO49:AO49">IFERROR( AVERAGE((IF(DATOS_[[Sexo]:[Sexo]]=$B49,IF(DATOS_[[AGRUP. CLAS. PROF.]:[AGRUP. CLAS. PROF.]]=$B48,IF(DATOS_[[Check Periodo Ref.]:[Check Periodo Ref.]]="Dentro",DATOS_[C.Extra.04]))))), 0)</f>
        <v>0</v>
      </c>
      <c r="AP49" s="212" t="n">
        <f aca="false" t="array" ref="AP49:AP49">IFERROR( AVERAGE((IF(DATOS_[[Sexo]:[Sexo]]=$B49,IF(DATOS_[[AGRUP. CLAS. PROF.]:[AGRUP. CLAS. PROF.]]=$B48,IF(DATOS_[[Check Periodo Ref.]:[Check Periodo Ref.]]="Dentro",DATOS_[C.Extra.05]))))), 0)</f>
        <v>0</v>
      </c>
      <c r="AQ49" s="213" t="n">
        <f aca="false" t="array" ref="AQ49:AQ49">IFERROR( AVERAGE(IF(DATOS_[Sexo]=$B49,IF(DATOS_[AGRUP. CLAS. PROF.]=$B48,IF(DATOS_[Check Periodo Ref.]="Dentro",DATOS_[Tot Extrasalarial Ef],0)))), 0)</f>
        <v>0</v>
      </c>
      <c r="AR49" s="214" t="n">
        <f aca="false" t="array" ref="AR49:AR49">IFERROR( AVERAGE(IF(DATOS_[Sexo]=$B49,IF(DATOS_[AGRUP. CLAS. PROF.]=$B48,IF(DATOS_[Check Periodo Ref.]="Dentro",DATOS_[TOTAL Retrib Ef],0)))), 0)</f>
        <v>0</v>
      </c>
    </row>
    <row r="50" customFormat="false" ht="14.25" hidden="false" customHeight="false" outlineLevel="0" collapsed="false">
      <c r="A50" s="191" t="str">
        <f aca="false">+A49</f>
        <v>[ocultar]</v>
      </c>
      <c r="B50" s="205" t="s">
        <v>372</v>
      </c>
      <c r="C50" s="206" t="n">
        <f aca="false" t="array" ref="C50:C50">SUM(IF($B50=DATOS_[Sexo], IF($B48=DATOS_[AGRUP. CLAS. PROF.], IF("Dentro"=DATOS_[Check Periodo Ref.], 1/(COUNTIFS(DATOS_[Sexo],$B50,DATOS_[AGRUP. CLAS. PROF.],$B48,DATOS_[Check Periodo Ref.],"Dentro",DATOS_[id],DATOS_[id]))))))</f>
        <v>0</v>
      </c>
      <c r="D50" s="207" t="n">
        <f aca="false">COUNTIFS(DATOS_[AGRUP. CLAS. PROF.],$B48,DATOS_[Sexo],$B50,DATOS_[Check Periodo Ref.],"Dentro")</f>
        <v>0</v>
      </c>
      <c r="E50" s="208" t="n">
        <f aca="false" t="array" ref="E50:E50">IFERROR( AVERAGE(IF(DATOS_[Sexo]=$B50,IF(DATOS_[AGRUP. CLAS. PROF.]=$B48,IF(DATOS_[Check Periodo Ref.]="Dentro",DATOS_[SALARIO BASE Ef],0)))), 0)</f>
        <v>0</v>
      </c>
      <c r="F50" s="209" t="n">
        <f aca="false" t="array" ref="F50:F50">IFERROR( AVERAGE((IF(DATOS_[[Sexo]:[Sexo]]=$B50,IF(DATOS_[[AGRUP. CLAS. PROF.]:[AGRUP. CLAS. PROF.]]=$B48,IF(DATOS_[[Check Periodo Ref.]:[Check Periodo Ref.]]="Dentro",DATOS_[Conc.Sal.01]))))), 0)</f>
        <v>0</v>
      </c>
      <c r="G50" s="209" t="n">
        <f aca="false" t="array" ref="G50:G50">IFERROR( AVERAGE((IF(DATOS_[[Sexo]:[Sexo]]=$B50,IF(DATOS_[[AGRUP. CLAS. PROF.]:[AGRUP. CLAS. PROF.]]=$B48,IF(DATOS_[[Check Periodo Ref.]:[Check Periodo Ref.]]="Dentro",DATOS_[Conc.Sal.02]))))), 0)</f>
        <v>0</v>
      </c>
      <c r="H50" s="209" t="n">
        <f aca="false" t="array" ref="H50:H50">IFERROR( AVERAGE((IF(DATOS_[[Sexo]:[Sexo]]=$B50,IF(DATOS_[[AGRUP. CLAS. PROF.]:[AGRUP. CLAS. PROF.]]=$B48,IF(DATOS_[[Check Periodo Ref.]:[Check Periodo Ref.]]="Dentro",DATOS_[Conc.Sal.03]))))), 0)</f>
        <v>0</v>
      </c>
      <c r="I50" s="209" t="n">
        <f aca="false" t="array" ref="I50:I50">IFERROR( AVERAGE((IF(DATOS_[[Sexo]:[Sexo]]=$B50,IF(DATOS_[[AGRUP. CLAS. PROF.]:[AGRUP. CLAS. PROF.]]=$B48,IF(DATOS_[[Check Periodo Ref.]:[Check Periodo Ref.]]="Dentro",DATOS_[Conc.Sal.04]))))), 0)</f>
        <v>0</v>
      </c>
      <c r="J50" s="209" t="n">
        <f aca="false" t="array" ref="J50:J50">IFERROR( AVERAGE((IF(DATOS_[[Sexo]:[Sexo]]=$B50,IF(DATOS_[[AGRUP. CLAS. PROF.]:[AGRUP. CLAS. PROF.]]=$B48,IF(DATOS_[[Check Periodo Ref.]:[Check Periodo Ref.]]="Dentro",DATOS_[Conc.Sal.05]))))), 0)</f>
        <v>0</v>
      </c>
      <c r="K50" s="209" t="n">
        <f aca="false" t="array" ref="K50:K50">IFERROR( AVERAGE((IF(DATOS_[[Sexo]:[Sexo]]=$B50,IF(DATOS_[[AGRUP. CLAS. PROF.]:[AGRUP. CLAS. PROF.]]=$B48,IF(DATOS_[[Check Periodo Ref.]:[Check Periodo Ref.]]="Dentro",DATOS_[Conc.Sal.06]))))), 0)</f>
        <v>0</v>
      </c>
      <c r="L50" s="209" t="n">
        <f aca="false" t="array" ref="L50:L50">IFERROR( AVERAGE((IF(DATOS_[[Sexo]:[Sexo]]=$B50,IF(DATOS_[[AGRUP. CLAS. PROF.]:[AGRUP. CLAS. PROF.]]=$B48,IF(DATOS_[[Check Periodo Ref.]:[Check Periodo Ref.]]="Dentro",DATOS_[Conc.Sal.07]))))), 0)</f>
        <v>0</v>
      </c>
      <c r="M50" s="209" t="n">
        <f aca="false" t="array" ref="M50:M50">IFERROR( AVERAGE((IF(DATOS_[[Sexo]:[Sexo]]=$B50,IF(DATOS_[[AGRUP. CLAS. PROF.]:[AGRUP. CLAS. PROF.]]=$B48,IF(DATOS_[[Check Periodo Ref.]:[Check Periodo Ref.]]="Dentro",DATOS_[Conc.Sal.08]))))), 0)</f>
        <v>0</v>
      </c>
      <c r="N50" s="209" t="n">
        <f aca="false" t="array" ref="N50:N50">IFERROR( AVERAGE((IF(DATOS_[[Sexo]:[Sexo]]=$B50,IF(DATOS_[[AGRUP. CLAS. PROF.]:[AGRUP. CLAS. PROF.]]=$B48,IF(DATOS_[[Check Periodo Ref.]:[Check Periodo Ref.]]="Dentro",DATOS_[Conc.Sal.09]))))), 0)</f>
        <v>0</v>
      </c>
      <c r="O50" s="209" t="n">
        <f aca="false" t="array" ref="O50:O50">IFERROR( AVERAGE((IF(DATOS_[[Sexo]:[Sexo]]=$B50,IF(DATOS_[[AGRUP. CLAS. PROF.]:[AGRUP. CLAS. PROF.]]=$B48,IF(DATOS_[[Check Periodo Ref.]:[Check Periodo Ref.]]="Dentro",DATOS_[Conc.Sal.10]))))), 0)</f>
        <v>0</v>
      </c>
      <c r="P50" s="209" t="n">
        <f aca="false" t="array" ref="P50:P50">IFERROR( AVERAGE((IF(DATOS_[[Sexo]:[Sexo]]=$B50,IF(DATOS_[[AGRUP. CLAS. PROF.]:[AGRUP. CLAS. PROF.]]=$B48,IF(DATOS_[[Check Periodo Ref.]:[Check Periodo Ref.]]="Dentro",DATOS_[Conc.Sal.11]))))), 0)</f>
        <v>0</v>
      </c>
      <c r="Q50" s="209" t="n">
        <f aca="false" t="array" ref="Q50:Q50">IFERROR( AVERAGE((IF(DATOS_[[Sexo]:[Sexo]]=$B50,IF(DATOS_[[AGRUP. CLAS. PROF.]:[AGRUP. CLAS. PROF.]]=$B48,IF(DATOS_[[Check Periodo Ref.]:[Check Periodo Ref.]]="Dentro",DATOS_[Conc.Sal.12]))))), 0)</f>
        <v>0</v>
      </c>
      <c r="R50" s="209" t="n">
        <f aca="false" t="array" ref="R50:R50">IFERROR( AVERAGE((IF(DATOS_[[Sexo]:[Sexo]]=$B50,IF(DATOS_[[AGRUP. CLAS. PROF.]:[AGRUP. CLAS. PROF.]]=$B48,IF(DATOS_[[Check Periodo Ref.]:[Check Periodo Ref.]]="Dentro",DATOS_[Conc.Sal.13]))))), 0)</f>
        <v>0</v>
      </c>
      <c r="S50" s="209" t="n">
        <f aca="false" t="array" ref="S50:S50">IFERROR( AVERAGE((IF(DATOS_[[Sexo]:[Sexo]]=$B50,IF(DATOS_[[AGRUP. CLAS. PROF.]:[AGRUP. CLAS. PROF.]]=$B48,IF(DATOS_[[Check Periodo Ref.]:[Check Periodo Ref.]]="Dentro",DATOS_[Conc.Sal.14]))))), 0)</f>
        <v>0</v>
      </c>
      <c r="T50" s="209" t="n">
        <f aca="false" t="array" ref="T50:T50">IFERROR( AVERAGE((IF(DATOS_[[Sexo]:[Sexo]]=$B50,IF(DATOS_[[AGRUP. CLAS. PROF.]:[AGRUP. CLAS. PROF.]]=$B48,IF(DATOS_[[Check Periodo Ref.]:[Check Periodo Ref.]]="Dentro",DATOS_[Conc.Sal.15]))))), 0)</f>
        <v>0</v>
      </c>
      <c r="U50" s="209" t="n">
        <f aca="false" t="array" ref="U50:U50">IFERROR( AVERAGE((IF(DATOS_[[Sexo]:[Sexo]]=$B50,IF(DATOS_[[AGRUP. CLAS. PROF.]:[AGRUP. CLAS. PROF.]]=$B48,IF(DATOS_[[Check Periodo Ref.]:[Check Periodo Ref.]]="Dentro",DATOS_[Conc.Sal.16]))))), 0)</f>
        <v>0</v>
      </c>
      <c r="V50" s="209" t="n">
        <f aca="false" t="array" ref="V50:V50">IFERROR( AVERAGE((IF(DATOS_[[Sexo]:[Sexo]]=$B50,IF(DATOS_[[AGRUP. CLAS. PROF.]:[AGRUP. CLAS. PROF.]]=$B48,IF(DATOS_[[Check Periodo Ref.]:[Check Periodo Ref.]]="Dentro",DATOS_[Conc.Sal.17]))))), 0)</f>
        <v>0</v>
      </c>
      <c r="W50" s="209" t="n">
        <f aca="false" t="array" ref="W50:W50">IFERROR( AVERAGE((IF(DATOS_[[Sexo]:[Sexo]]=$B50,IF(DATOS_[[AGRUP. CLAS. PROF.]:[AGRUP. CLAS. PROF.]]=$B48,IF(DATOS_[[Check Periodo Ref.]:[Check Periodo Ref.]]="Dentro",DATOS_[Conc.Sal.18]))))), 0)</f>
        <v>0</v>
      </c>
      <c r="X50" s="209" t="n">
        <f aca="false" t="array" ref="X50:X50">IFERROR( AVERAGE((IF(DATOS_[[Sexo]:[Sexo]]=$B50,IF(DATOS_[[AGRUP. CLAS. PROF.]:[AGRUP. CLAS. PROF.]]=$B48,IF(DATOS_[[Check Periodo Ref.]:[Check Periodo Ref.]]="Dentro",DATOS_[Conc.Sal.19]))))), 0)</f>
        <v>0</v>
      </c>
      <c r="Y50" s="209" t="n">
        <f aca="false" t="array" ref="Y50:Y50">IFERROR( AVERAGE((IF(DATOS_[[Sexo]:[Sexo]]=$B50,IF(DATOS_[[AGRUP. CLAS. PROF.]:[AGRUP. CLAS. PROF.]]=$B48,IF(DATOS_[[Check Periodo Ref.]:[Check Periodo Ref.]]="Dentro",DATOS_[Conc.Sal.20]))))), 0)</f>
        <v>0</v>
      </c>
      <c r="Z50" s="209" t="n">
        <f aca="false" t="array" ref="Z50:Z50">IFERROR( AVERAGE((IF(DATOS_[[Sexo]:[Sexo]]=$B50,IF(DATOS_[[AGRUP. CLAS. PROF.]:[AGRUP. CLAS. PROF.]]=$B48,IF(DATOS_[[Check Periodo Ref.]:[Check Periodo Ref.]]="Dentro",DATOS_[Conc.Sal.21]))))), 0)</f>
        <v>0</v>
      </c>
      <c r="AA50" s="209" t="n">
        <f aca="false" t="array" ref="AA50:AA50">IFERROR( AVERAGE((IF(DATOS_[[Sexo]:[Sexo]]=$B50,IF(DATOS_[[AGRUP. CLAS. PROF.]:[AGRUP. CLAS. PROF.]]=$B48,IF(DATOS_[[Check Periodo Ref.]:[Check Periodo Ref.]]="Dentro",DATOS_[Conc.Sal.22]))))), 0)</f>
        <v>0</v>
      </c>
      <c r="AB50" s="209" t="n">
        <f aca="false" t="array" ref="AB50:AB50">IFERROR( AVERAGE((IF(DATOS_[[Sexo]:[Sexo]]=$B50,IF(DATOS_[[AGRUP. CLAS. PROF.]:[AGRUP. CLAS. PROF.]]=$B48,IF(DATOS_[[Check Periodo Ref.]:[Check Periodo Ref.]]="Dentro",DATOS_[Conc.Sal.23]))))), 0)</f>
        <v>0</v>
      </c>
      <c r="AC50" s="209" t="n">
        <f aca="false" t="array" ref="AC50:AC50">IFERROR( AVERAGE((IF(DATOS_[[Sexo]:[Sexo]]=$B50,IF(DATOS_[[AGRUP. CLAS. PROF.]:[AGRUP. CLAS. PROF.]]=$B48,IF(DATOS_[[Check Periodo Ref.]:[Check Periodo Ref.]]="Dentro",DATOS_[Conc.Sal.24]))))), 0)</f>
        <v>0</v>
      </c>
      <c r="AD50" s="209" t="n">
        <f aca="false" t="array" ref="AD50:AD50">IFERROR( AVERAGE((IF(DATOS_[[Sexo]:[Sexo]]=$B50,IF(DATOS_[[AGRUP. CLAS. PROF.]:[AGRUP. CLAS. PROF.]]=$B48,IF(DATOS_[[Check Periodo Ref.]:[Check Periodo Ref.]]="Dentro",DATOS_[Conc.Sal.25]))))), 0)</f>
        <v>0</v>
      </c>
      <c r="AE50" s="209" t="n">
        <f aca="false" t="array" ref="AE50:AE50">IFERROR( AVERAGE((IF(DATOS_[[Sexo]:[Sexo]]=$B50,IF(DATOS_[[AGRUP. CLAS. PROF.]:[AGRUP. CLAS. PROF.]]=$B48,IF(DATOS_[[Check Periodo Ref.]:[Check Periodo Ref.]]="Dentro",DATOS_[Conc.Sal.26]))))), 0)</f>
        <v>0</v>
      </c>
      <c r="AF50" s="209" t="n">
        <f aca="false" t="array" ref="AF50:AF50">IFERROR( AVERAGE((IF(DATOS_[[Sexo]:[Sexo]]=$B50,IF(DATOS_[[AGRUP. CLAS. PROF.]:[AGRUP. CLAS. PROF.]]=$B48,IF(DATOS_[[Check Periodo Ref.]:[Check Periodo Ref.]]="Dentro",DATOS_[Conc.Sal.27]))))), 0)</f>
        <v>0</v>
      </c>
      <c r="AG50" s="209" t="n">
        <f aca="false" t="array" ref="AG50:AG50">IFERROR( AVERAGE((IF(DATOS_[[Sexo]:[Sexo]]=$B50,IF(DATOS_[[AGRUP. CLAS. PROF.]:[AGRUP. CLAS. PROF.]]=$B48,IF(DATOS_[[Check Periodo Ref.]:[Check Periodo Ref.]]="Dentro",DATOS_[Conc.Sal.28]))))), 0)</f>
        <v>0</v>
      </c>
      <c r="AH50" s="209" t="n">
        <f aca="false" t="array" ref="AH50:AH50">IFERROR( AVERAGE((IF(DATOS_[[Sexo]:[Sexo]]=$B50,IF(DATOS_[[AGRUP. CLAS. PROF.]:[AGRUP. CLAS. PROF.]]=$B48,IF(DATOS_[[Check Periodo Ref.]:[Check Periodo Ref.]]="Dentro",DATOS_[Conc.Sal.29]))))), 0)</f>
        <v>0</v>
      </c>
      <c r="AI50" s="209" t="n">
        <f aca="false" t="array" ref="AI50:AI50">IFERROR( AVERAGE((IF(DATOS_[[Sexo]:[Sexo]]=$B50,IF(DATOS_[[AGRUP. CLAS. PROF.]:[AGRUP. CLAS. PROF.]]=$B48,IF(DATOS_[[Check Periodo Ref.]:[Check Periodo Ref.]]="Dentro",DATOS_[Conc.Sal.30]))))), 0)</f>
        <v>0</v>
      </c>
      <c r="AJ50" s="210" t="n">
        <f aca="false" t="array" ref="AJ50:AJ50">IFERROR( AVERAGE(IF(DATOS_[Sexo]=$B50,IF(DATOS_[AGRUP. CLAS. PROF.]=$B48,IF(DATOS_[Check Periodo Ref.]="Dentro",DATOS_[Tot COMPL.SAL Ef],0)))), 0)</f>
        <v>0</v>
      </c>
      <c r="AK50" s="211" t="n">
        <f aca="false" t="array" ref="AK50:AK50">IFERROR( AVERAGE(IF(DATOS_[Sexo]=$B50,IF(DATOS_[AGRUP. CLAS. PROF.]=$B48,IF(DATOS_[Check Periodo Ref.]="Dentro",DATOS_[TOTAL SALARIO Ef],0)))), 0)</f>
        <v>0</v>
      </c>
      <c r="AL50" s="212" t="n">
        <f aca="false" t="array" ref="AL50:AL50">IFERROR( AVERAGE((IF(DATOS_[[Sexo]:[Sexo]]=$B50,IF(DATOS_[[AGRUP. CLAS. PROF.]:[AGRUP. CLAS. PROF.]]=$B48,IF(DATOS_[[Check Periodo Ref.]:[Check Periodo Ref.]]="Dentro",DATOS_[C.Extra.01]))))), 0)</f>
        <v>0</v>
      </c>
      <c r="AM50" s="212" t="n">
        <f aca="false" t="array" ref="AM50:AM50">IFERROR( AVERAGE((IF(DATOS_[[Sexo]:[Sexo]]=$B50,IF(DATOS_[[AGRUP. CLAS. PROF.]:[AGRUP. CLAS. PROF.]]=$B48,IF(DATOS_[[Check Periodo Ref.]:[Check Periodo Ref.]]="Dentro",DATOS_[C.Extra.02]))))), 0)</f>
        <v>0</v>
      </c>
      <c r="AN50" s="212" t="n">
        <f aca="false" t="array" ref="AN50:AN50">IFERROR( AVERAGE((IF(DATOS_[[Sexo]:[Sexo]]=$B50,IF(DATOS_[[AGRUP. CLAS. PROF.]:[AGRUP. CLAS. PROF.]]=$B48,IF(DATOS_[[Check Periodo Ref.]:[Check Periodo Ref.]]="Dentro",DATOS_[C.Extra.03]))))), 0)</f>
        <v>0</v>
      </c>
      <c r="AO50" s="212" t="n">
        <f aca="false" t="array" ref="AO50:AO50">IFERROR( AVERAGE((IF(DATOS_[[Sexo]:[Sexo]]=$B50,IF(DATOS_[[AGRUP. CLAS. PROF.]:[AGRUP. CLAS. PROF.]]=$B48,IF(DATOS_[[Check Periodo Ref.]:[Check Periodo Ref.]]="Dentro",DATOS_[C.Extra.04]))))), 0)</f>
        <v>0</v>
      </c>
      <c r="AP50" s="212" t="n">
        <f aca="false" t="array" ref="AP50:AP50">IFERROR( AVERAGE((IF(DATOS_[[Sexo]:[Sexo]]=$B50,IF(DATOS_[[AGRUP. CLAS. PROF.]:[AGRUP. CLAS. PROF.]]=$B48,IF(DATOS_[[Check Periodo Ref.]:[Check Periodo Ref.]]="Dentro",DATOS_[C.Extra.05]))))), 0)</f>
        <v>0</v>
      </c>
      <c r="AQ50" s="213" t="n">
        <f aca="false" t="array" ref="AQ50:AQ50">IFERROR( AVERAGE(IF(DATOS_[Sexo]=$B50,IF(DATOS_[AGRUP. CLAS. PROF.]=$B48,IF(DATOS_[Check Periodo Ref.]="Dentro",DATOS_[Tot Extrasalarial Ef],0)))), 0)</f>
        <v>0</v>
      </c>
      <c r="AR50" s="214" t="n">
        <f aca="false" t="array" ref="AR50:AR50">IFERROR( AVERAGE(IF(DATOS_[Sexo]=$B50,IF(DATOS_[AGRUP. CLAS. PROF.]=$B48,IF(DATOS_[Check Periodo Ref.]="Dentro",DATOS_[TOTAL Retrib Ef],0)))), 0)</f>
        <v>0</v>
      </c>
    </row>
    <row r="51" customFormat="false" ht="15.75" hidden="false" customHeight="false" outlineLevel="0" collapsed="false">
      <c r="A51" s="191" t="str">
        <f aca="false">+A52</f>
        <v>[ocultar]</v>
      </c>
      <c r="B51" s="192" t="s">
        <v>204</v>
      </c>
      <c r="C51" s="193"/>
      <c r="D51" s="194"/>
      <c r="E51" s="195" t="str">
        <f aca="false">IFERROR((E52-E53)/E52,"")</f>
        <v/>
      </c>
      <c r="F51" s="196" t="str">
        <f aca="false">IFERROR((F52-F53)/F52,"")</f>
        <v/>
      </c>
      <c r="G51" s="197" t="str">
        <f aca="false">IFERROR((G52-G53)/G52,"")</f>
        <v/>
      </c>
      <c r="H51" s="197" t="str">
        <f aca="false">IFERROR((H52-H53)/H52,"")</f>
        <v/>
      </c>
      <c r="I51" s="197" t="str">
        <f aca="false">IFERROR((I52-I53)/I52,"")</f>
        <v/>
      </c>
      <c r="J51" s="198" t="str">
        <f aca="false">IFERROR((J52-J53)/J52,"")</f>
        <v/>
      </c>
      <c r="K51" s="199" t="str">
        <f aca="false">IFERROR((K52-K53)/K52,"")</f>
        <v/>
      </c>
      <c r="L51" s="199" t="str">
        <f aca="false">IFERROR((L52-L53)/L52,"")</f>
        <v/>
      </c>
      <c r="M51" s="199" t="str">
        <f aca="false">IFERROR((M52-M53)/M52,"")</f>
        <v/>
      </c>
      <c r="N51" s="199" t="str">
        <f aca="false">IFERROR((N52-N53)/N52,"")</f>
        <v/>
      </c>
      <c r="O51" s="199" t="str">
        <f aca="false">IFERROR((O52-O53)/O52,"")</f>
        <v/>
      </c>
      <c r="P51" s="199" t="str">
        <f aca="false">IFERROR((P52-P53)/P52,"")</f>
        <v/>
      </c>
      <c r="Q51" s="199" t="str">
        <f aca="false">IFERROR((Q52-Q53)/Q52,"")</f>
        <v/>
      </c>
      <c r="R51" s="199" t="str">
        <f aca="false">IFERROR((R52-R53)/R52,"")</f>
        <v/>
      </c>
      <c r="S51" s="199" t="str">
        <f aca="false">IFERROR((S52-S53)/S52,"")</f>
        <v/>
      </c>
      <c r="T51" s="199" t="str">
        <f aca="false">IFERROR((T52-T53)/T52,"")</f>
        <v/>
      </c>
      <c r="U51" s="199" t="str">
        <f aca="false">IFERROR((U52-U53)/U52,"")</f>
        <v/>
      </c>
      <c r="V51" s="198" t="str">
        <f aca="false">IFERROR((V52-V53)/V52,"")</f>
        <v/>
      </c>
      <c r="W51" s="198" t="str">
        <f aca="false">IFERROR((W52-W53)/W52,"")</f>
        <v/>
      </c>
      <c r="X51" s="198" t="str">
        <f aca="false">IFERROR((X52-X53)/X52,"")</f>
        <v/>
      </c>
      <c r="Y51" s="198" t="str">
        <f aca="false">IFERROR((Y52-Y53)/Y52,"")</f>
        <v/>
      </c>
      <c r="Z51" s="198" t="str">
        <f aca="false">IFERROR((Z52-Z53)/Z52,"")</f>
        <v/>
      </c>
      <c r="AA51" s="198" t="str">
        <f aca="false">IFERROR((AA52-AA53)/AA52,"")</f>
        <v/>
      </c>
      <c r="AB51" s="198" t="str">
        <f aca="false">IFERROR((AB52-AB53)/AB52,"")</f>
        <v/>
      </c>
      <c r="AC51" s="198" t="str">
        <f aca="false">IFERROR((AC52-AC53)/AC52,"")</f>
        <v/>
      </c>
      <c r="AD51" s="198" t="str">
        <f aca="false">IFERROR((AD52-AD53)/AD52,"")</f>
        <v/>
      </c>
      <c r="AE51" s="198" t="str">
        <f aca="false">IFERROR((AE52-AE53)/AE52,"")</f>
        <v/>
      </c>
      <c r="AF51" s="198" t="str">
        <f aca="false">IFERROR((AF52-AF53)/AF52,"")</f>
        <v/>
      </c>
      <c r="AG51" s="198" t="str">
        <f aca="false">IFERROR((AG52-AG53)/AG52,"")</f>
        <v/>
      </c>
      <c r="AH51" s="198" t="str">
        <f aca="false">IFERROR((AH52-AH53)/AH52,"")</f>
        <v/>
      </c>
      <c r="AI51" s="198" t="str">
        <f aca="false">IFERROR((AI52-AI53)/AI52,"")</f>
        <v/>
      </c>
      <c r="AJ51" s="200" t="str">
        <f aca="false">IFERROR((AJ52-AJ53)/AJ52,"")</f>
        <v/>
      </c>
      <c r="AK51" s="201" t="str">
        <f aca="false">IFERROR((AK52-AK53)/AK52,"")</f>
        <v/>
      </c>
      <c r="AL51" s="202" t="str">
        <f aca="false">IFERROR((AL52-AL53)/AL52,"")</f>
        <v/>
      </c>
      <c r="AM51" s="202" t="str">
        <f aca="false">IFERROR((AM52-AM53)/AM52,"")</f>
        <v/>
      </c>
      <c r="AN51" s="202" t="str">
        <f aca="false">IFERROR((AN52-AN53)/AN52,"")</f>
        <v/>
      </c>
      <c r="AO51" s="202" t="str">
        <f aca="false">IFERROR((AO52-AO53)/AO52,"")</f>
        <v/>
      </c>
      <c r="AP51" s="202" t="str">
        <f aca="false">IFERROR((AP52-AP53)/AP52,"")</f>
        <v/>
      </c>
      <c r="AQ51" s="203" t="str">
        <f aca="false">IFERROR((AQ52-AQ53)/AQ52,"")</f>
        <v/>
      </c>
      <c r="AR51" s="204" t="str">
        <f aca="false">IFERROR((AR52-AR53)/AR52,"")</f>
        <v/>
      </c>
    </row>
    <row r="52" customFormat="false" ht="14.25" hidden="false" customHeight="false" outlineLevel="0" collapsed="false">
      <c r="A52" s="191" t="str">
        <f aca="false">+IF(C52+C53=0,"[ocultar]","")</f>
        <v>[ocultar]</v>
      </c>
      <c r="B52" s="205" t="s">
        <v>371</v>
      </c>
      <c r="C52" s="206" t="n">
        <f aca="false" t="array" ref="C52:C52">SUM(IF($B52=DATOS_[Sexo], IF($B51=DATOS_[AGRUP. CLAS. PROF.], IF("Dentro"=DATOS_[Check Periodo Ref.], 1/(COUNTIFS(DATOS_[Sexo],$B52,DATOS_[AGRUP. CLAS. PROF.],$B51,DATOS_[Check Periodo Ref.],"Dentro",DATOS_[id],DATOS_[id]))))))</f>
        <v>0</v>
      </c>
      <c r="D52" s="207" t="n">
        <f aca="false">COUNTIFS(DATOS_[AGRUP. CLAS. PROF.],$B51,DATOS_[Sexo],$B52,DATOS_[Check Periodo Ref.],"Dentro")</f>
        <v>0</v>
      </c>
      <c r="E52" s="208" t="n">
        <f aca="false" t="array" ref="E52:E52">IFERROR( AVERAGE(IF(DATOS_[Sexo]=$B52,IF(DATOS_[AGRUP. CLAS. PROF.]=$B51,IF(DATOS_[Check Periodo Ref.]="Dentro",DATOS_[SALARIO BASE Ef],0)))), 0)</f>
        <v>0</v>
      </c>
      <c r="F52" s="209" t="n">
        <f aca="false" t="array" ref="F52:F52">IFERROR( AVERAGE((IF(DATOS_[[Sexo]:[Sexo]]=$B52,IF(DATOS_[[AGRUP. CLAS. PROF.]:[AGRUP. CLAS. PROF.]]=$B51,IF(DATOS_[[Check Periodo Ref.]:[Check Periodo Ref.]]="Dentro",DATOS_[Conc.Sal.01]))))), 0)</f>
        <v>0</v>
      </c>
      <c r="G52" s="209" t="n">
        <f aca="false" t="array" ref="G52:G52">IFERROR( AVERAGE((IF(DATOS_[[Sexo]:[Sexo]]=$B52,IF(DATOS_[[AGRUP. CLAS. PROF.]:[AGRUP. CLAS. PROF.]]=$B51,IF(DATOS_[[Check Periodo Ref.]:[Check Periodo Ref.]]="Dentro",DATOS_[Conc.Sal.02]))))), 0)</f>
        <v>0</v>
      </c>
      <c r="H52" s="209" t="n">
        <f aca="false" t="array" ref="H52:H52">IFERROR( AVERAGE((IF(DATOS_[[Sexo]:[Sexo]]=$B52,IF(DATOS_[[AGRUP. CLAS. PROF.]:[AGRUP. CLAS. PROF.]]=$B51,IF(DATOS_[[Check Periodo Ref.]:[Check Periodo Ref.]]="Dentro",DATOS_[Conc.Sal.03]))))), 0)</f>
        <v>0</v>
      </c>
      <c r="I52" s="209" t="n">
        <f aca="false" t="array" ref="I52:I52">IFERROR( AVERAGE((IF(DATOS_[[Sexo]:[Sexo]]=$B52,IF(DATOS_[[AGRUP. CLAS. PROF.]:[AGRUP. CLAS. PROF.]]=$B51,IF(DATOS_[[Check Periodo Ref.]:[Check Periodo Ref.]]="Dentro",DATOS_[Conc.Sal.04]))))), 0)</f>
        <v>0</v>
      </c>
      <c r="J52" s="209" t="n">
        <f aca="false" t="array" ref="J52:J52">IFERROR( AVERAGE((IF(DATOS_[[Sexo]:[Sexo]]=$B52,IF(DATOS_[[AGRUP. CLAS. PROF.]:[AGRUP. CLAS. PROF.]]=$B51,IF(DATOS_[[Check Periodo Ref.]:[Check Periodo Ref.]]="Dentro",DATOS_[Conc.Sal.05]))))), 0)</f>
        <v>0</v>
      </c>
      <c r="K52" s="209" t="n">
        <f aca="false" t="array" ref="K52:K52">IFERROR( AVERAGE((IF(DATOS_[[Sexo]:[Sexo]]=$B52,IF(DATOS_[[AGRUP. CLAS. PROF.]:[AGRUP. CLAS. PROF.]]=$B51,IF(DATOS_[[Check Periodo Ref.]:[Check Periodo Ref.]]="Dentro",DATOS_[Conc.Sal.06]))))), 0)</f>
        <v>0</v>
      </c>
      <c r="L52" s="209" t="n">
        <f aca="false" t="array" ref="L52:L52">IFERROR( AVERAGE((IF(DATOS_[[Sexo]:[Sexo]]=$B52,IF(DATOS_[[AGRUP. CLAS. PROF.]:[AGRUP. CLAS. PROF.]]=$B51,IF(DATOS_[[Check Periodo Ref.]:[Check Periodo Ref.]]="Dentro",DATOS_[Conc.Sal.07]))))), 0)</f>
        <v>0</v>
      </c>
      <c r="M52" s="209" t="n">
        <f aca="false" t="array" ref="M52:M52">IFERROR( AVERAGE((IF(DATOS_[[Sexo]:[Sexo]]=$B52,IF(DATOS_[[AGRUP. CLAS. PROF.]:[AGRUP. CLAS. PROF.]]=$B51,IF(DATOS_[[Check Periodo Ref.]:[Check Periodo Ref.]]="Dentro",DATOS_[Conc.Sal.08]))))), 0)</f>
        <v>0</v>
      </c>
      <c r="N52" s="209" t="n">
        <f aca="false" t="array" ref="N52:N52">IFERROR( AVERAGE((IF(DATOS_[[Sexo]:[Sexo]]=$B52,IF(DATOS_[[AGRUP. CLAS. PROF.]:[AGRUP. CLAS. PROF.]]=$B51,IF(DATOS_[[Check Periodo Ref.]:[Check Periodo Ref.]]="Dentro",DATOS_[Conc.Sal.09]))))), 0)</f>
        <v>0</v>
      </c>
      <c r="O52" s="209" t="n">
        <f aca="false" t="array" ref="O52:O52">IFERROR( AVERAGE((IF(DATOS_[[Sexo]:[Sexo]]=$B52,IF(DATOS_[[AGRUP. CLAS. PROF.]:[AGRUP. CLAS. PROF.]]=$B51,IF(DATOS_[[Check Periodo Ref.]:[Check Periodo Ref.]]="Dentro",DATOS_[Conc.Sal.10]))))), 0)</f>
        <v>0</v>
      </c>
      <c r="P52" s="209" t="n">
        <f aca="false" t="array" ref="P52:P52">IFERROR( AVERAGE((IF(DATOS_[[Sexo]:[Sexo]]=$B52,IF(DATOS_[[AGRUP. CLAS. PROF.]:[AGRUP. CLAS. PROF.]]=$B51,IF(DATOS_[[Check Periodo Ref.]:[Check Periodo Ref.]]="Dentro",DATOS_[Conc.Sal.11]))))), 0)</f>
        <v>0</v>
      </c>
      <c r="Q52" s="209" t="n">
        <f aca="false" t="array" ref="Q52:Q52">IFERROR( AVERAGE((IF(DATOS_[[Sexo]:[Sexo]]=$B52,IF(DATOS_[[AGRUP. CLAS. PROF.]:[AGRUP. CLAS. PROF.]]=$B51,IF(DATOS_[[Check Periodo Ref.]:[Check Periodo Ref.]]="Dentro",DATOS_[Conc.Sal.12]))))), 0)</f>
        <v>0</v>
      </c>
      <c r="R52" s="209" t="n">
        <f aca="false" t="array" ref="R52:R52">IFERROR( AVERAGE((IF(DATOS_[[Sexo]:[Sexo]]=$B52,IF(DATOS_[[AGRUP. CLAS. PROF.]:[AGRUP. CLAS. PROF.]]=$B51,IF(DATOS_[[Check Periodo Ref.]:[Check Periodo Ref.]]="Dentro",DATOS_[Conc.Sal.13]))))), 0)</f>
        <v>0</v>
      </c>
      <c r="S52" s="209" t="n">
        <f aca="false" t="array" ref="S52:S52">IFERROR( AVERAGE((IF(DATOS_[[Sexo]:[Sexo]]=$B52,IF(DATOS_[[AGRUP. CLAS. PROF.]:[AGRUP. CLAS. PROF.]]=$B51,IF(DATOS_[[Check Periodo Ref.]:[Check Periodo Ref.]]="Dentro",DATOS_[Conc.Sal.14]))))), 0)</f>
        <v>0</v>
      </c>
      <c r="T52" s="209" t="n">
        <f aca="false" t="array" ref="T52:T52">IFERROR( AVERAGE((IF(DATOS_[[Sexo]:[Sexo]]=$B52,IF(DATOS_[[AGRUP. CLAS. PROF.]:[AGRUP. CLAS. PROF.]]=$B51,IF(DATOS_[[Check Periodo Ref.]:[Check Periodo Ref.]]="Dentro",DATOS_[Conc.Sal.15]))))), 0)</f>
        <v>0</v>
      </c>
      <c r="U52" s="209" t="n">
        <f aca="false" t="array" ref="U52:U52">IFERROR( AVERAGE((IF(DATOS_[[Sexo]:[Sexo]]=$B52,IF(DATOS_[[AGRUP. CLAS. PROF.]:[AGRUP. CLAS. PROF.]]=$B51,IF(DATOS_[[Check Periodo Ref.]:[Check Periodo Ref.]]="Dentro",DATOS_[Conc.Sal.16]))))), 0)</f>
        <v>0</v>
      </c>
      <c r="V52" s="209" t="n">
        <f aca="false" t="array" ref="V52:V52">IFERROR( AVERAGE((IF(DATOS_[[Sexo]:[Sexo]]=$B52,IF(DATOS_[[AGRUP. CLAS. PROF.]:[AGRUP. CLAS. PROF.]]=$B51,IF(DATOS_[[Check Periodo Ref.]:[Check Periodo Ref.]]="Dentro",DATOS_[Conc.Sal.17]))))), 0)</f>
        <v>0</v>
      </c>
      <c r="W52" s="209" t="n">
        <f aca="false" t="array" ref="W52:W52">IFERROR( AVERAGE((IF(DATOS_[[Sexo]:[Sexo]]=$B52,IF(DATOS_[[AGRUP. CLAS. PROF.]:[AGRUP. CLAS. PROF.]]=$B51,IF(DATOS_[[Check Periodo Ref.]:[Check Periodo Ref.]]="Dentro",DATOS_[Conc.Sal.18]))))), 0)</f>
        <v>0</v>
      </c>
      <c r="X52" s="209" t="n">
        <f aca="false" t="array" ref="X52:X52">IFERROR( AVERAGE((IF(DATOS_[[Sexo]:[Sexo]]=$B52,IF(DATOS_[[AGRUP. CLAS. PROF.]:[AGRUP. CLAS. PROF.]]=$B51,IF(DATOS_[[Check Periodo Ref.]:[Check Periodo Ref.]]="Dentro",DATOS_[Conc.Sal.19]))))), 0)</f>
        <v>0</v>
      </c>
      <c r="Y52" s="209" t="n">
        <f aca="false" t="array" ref="Y52:Y52">IFERROR( AVERAGE((IF(DATOS_[[Sexo]:[Sexo]]=$B52,IF(DATOS_[[AGRUP. CLAS. PROF.]:[AGRUP. CLAS. PROF.]]=$B51,IF(DATOS_[[Check Periodo Ref.]:[Check Periodo Ref.]]="Dentro",DATOS_[Conc.Sal.20]))))), 0)</f>
        <v>0</v>
      </c>
      <c r="Z52" s="209" t="n">
        <f aca="false" t="array" ref="Z52:Z52">IFERROR( AVERAGE((IF(DATOS_[[Sexo]:[Sexo]]=$B52,IF(DATOS_[[AGRUP. CLAS. PROF.]:[AGRUP. CLAS. PROF.]]=$B51,IF(DATOS_[[Check Periodo Ref.]:[Check Periodo Ref.]]="Dentro",DATOS_[Conc.Sal.21]))))), 0)</f>
        <v>0</v>
      </c>
      <c r="AA52" s="209" t="n">
        <f aca="false" t="array" ref="AA52:AA52">IFERROR( AVERAGE((IF(DATOS_[[Sexo]:[Sexo]]=$B52,IF(DATOS_[[AGRUP. CLAS. PROF.]:[AGRUP. CLAS. PROF.]]=$B51,IF(DATOS_[[Check Periodo Ref.]:[Check Periodo Ref.]]="Dentro",DATOS_[Conc.Sal.22]))))), 0)</f>
        <v>0</v>
      </c>
      <c r="AB52" s="209" t="n">
        <f aca="false" t="array" ref="AB52:AB52">IFERROR( AVERAGE((IF(DATOS_[[Sexo]:[Sexo]]=$B52,IF(DATOS_[[AGRUP. CLAS. PROF.]:[AGRUP. CLAS. PROF.]]=$B51,IF(DATOS_[[Check Periodo Ref.]:[Check Periodo Ref.]]="Dentro",DATOS_[Conc.Sal.23]))))), 0)</f>
        <v>0</v>
      </c>
      <c r="AC52" s="209" t="n">
        <f aca="false" t="array" ref="AC52:AC52">IFERROR( AVERAGE((IF(DATOS_[[Sexo]:[Sexo]]=$B52,IF(DATOS_[[AGRUP. CLAS. PROF.]:[AGRUP. CLAS. PROF.]]=$B51,IF(DATOS_[[Check Periodo Ref.]:[Check Periodo Ref.]]="Dentro",DATOS_[Conc.Sal.24]))))), 0)</f>
        <v>0</v>
      </c>
      <c r="AD52" s="209" t="n">
        <f aca="false" t="array" ref="AD52:AD52">IFERROR( AVERAGE((IF(DATOS_[[Sexo]:[Sexo]]=$B52,IF(DATOS_[[AGRUP. CLAS. PROF.]:[AGRUP. CLAS. PROF.]]=$B51,IF(DATOS_[[Check Periodo Ref.]:[Check Periodo Ref.]]="Dentro",DATOS_[Conc.Sal.25]))))), 0)</f>
        <v>0</v>
      </c>
      <c r="AE52" s="209" t="n">
        <f aca="false" t="array" ref="AE52:AE52">IFERROR( AVERAGE((IF(DATOS_[[Sexo]:[Sexo]]=$B52,IF(DATOS_[[AGRUP. CLAS. PROF.]:[AGRUP. CLAS. PROF.]]=$B51,IF(DATOS_[[Check Periodo Ref.]:[Check Periodo Ref.]]="Dentro",DATOS_[Conc.Sal.26]))))), 0)</f>
        <v>0</v>
      </c>
      <c r="AF52" s="209" t="n">
        <f aca="false" t="array" ref="AF52:AF52">IFERROR( AVERAGE((IF(DATOS_[[Sexo]:[Sexo]]=$B52,IF(DATOS_[[AGRUP. CLAS. PROF.]:[AGRUP. CLAS. PROF.]]=$B51,IF(DATOS_[[Check Periodo Ref.]:[Check Periodo Ref.]]="Dentro",DATOS_[Conc.Sal.27]))))), 0)</f>
        <v>0</v>
      </c>
      <c r="AG52" s="209" t="n">
        <f aca="false" t="array" ref="AG52:AG52">IFERROR( AVERAGE((IF(DATOS_[[Sexo]:[Sexo]]=$B52,IF(DATOS_[[AGRUP. CLAS. PROF.]:[AGRUP. CLAS. PROF.]]=$B51,IF(DATOS_[[Check Periodo Ref.]:[Check Periodo Ref.]]="Dentro",DATOS_[Conc.Sal.28]))))), 0)</f>
        <v>0</v>
      </c>
      <c r="AH52" s="209" t="n">
        <f aca="false" t="array" ref="AH52:AH52">IFERROR( AVERAGE((IF(DATOS_[[Sexo]:[Sexo]]=$B52,IF(DATOS_[[AGRUP. CLAS. PROF.]:[AGRUP. CLAS. PROF.]]=$B51,IF(DATOS_[[Check Periodo Ref.]:[Check Periodo Ref.]]="Dentro",DATOS_[Conc.Sal.29]))))), 0)</f>
        <v>0</v>
      </c>
      <c r="AI52" s="209" t="n">
        <f aca="false" t="array" ref="AI52:AI52">IFERROR( AVERAGE((IF(DATOS_[[Sexo]:[Sexo]]=$B52,IF(DATOS_[[AGRUP. CLAS. PROF.]:[AGRUP. CLAS. PROF.]]=$B51,IF(DATOS_[[Check Periodo Ref.]:[Check Periodo Ref.]]="Dentro",DATOS_[Conc.Sal.30]))))), 0)</f>
        <v>0</v>
      </c>
      <c r="AJ52" s="210" t="n">
        <f aca="false" t="array" ref="AJ52:AJ52">IFERROR( AVERAGE(IF(DATOS_[Sexo]=$B52,IF(DATOS_[AGRUP. CLAS. PROF.]=$B51,IF(DATOS_[Check Periodo Ref.]="Dentro",DATOS_[Tot COMPL.SAL Ef],0)))), 0)</f>
        <v>0</v>
      </c>
      <c r="AK52" s="211" t="n">
        <f aca="false" t="array" ref="AK52:AK52">IFERROR( AVERAGE(IF(DATOS_[Sexo]=$B52,IF(DATOS_[AGRUP. CLAS. PROF.]=$B51,IF(DATOS_[Check Periodo Ref.]="Dentro",DATOS_[TOTAL SALARIO Ef],0)))), 0)</f>
        <v>0</v>
      </c>
      <c r="AL52" s="212" t="n">
        <f aca="false" t="array" ref="AL52:AL52">IFERROR( AVERAGE((IF(DATOS_[[Sexo]:[Sexo]]=$B52,IF(DATOS_[[AGRUP. CLAS. PROF.]:[AGRUP. CLAS. PROF.]]=$B51,IF(DATOS_[[Check Periodo Ref.]:[Check Periodo Ref.]]="Dentro",DATOS_[C.Extra.01]))))), 0)</f>
        <v>0</v>
      </c>
      <c r="AM52" s="212" t="n">
        <f aca="false" t="array" ref="AM52:AM52">IFERROR( AVERAGE((IF(DATOS_[[Sexo]:[Sexo]]=$B52,IF(DATOS_[[AGRUP. CLAS. PROF.]:[AGRUP. CLAS. PROF.]]=$B51,IF(DATOS_[[Check Periodo Ref.]:[Check Periodo Ref.]]="Dentro",DATOS_[C.Extra.02]))))), 0)</f>
        <v>0</v>
      </c>
      <c r="AN52" s="212" t="n">
        <f aca="false" t="array" ref="AN52:AN52">IFERROR( AVERAGE((IF(DATOS_[[Sexo]:[Sexo]]=$B52,IF(DATOS_[[AGRUP. CLAS. PROF.]:[AGRUP. CLAS. PROF.]]=$B51,IF(DATOS_[[Check Periodo Ref.]:[Check Periodo Ref.]]="Dentro",DATOS_[C.Extra.03]))))), 0)</f>
        <v>0</v>
      </c>
      <c r="AO52" s="212" t="n">
        <f aca="false" t="array" ref="AO52:AO52">IFERROR( AVERAGE((IF(DATOS_[[Sexo]:[Sexo]]=$B52,IF(DATOS_[[AGRUP. CLAS. PROF.]:[AGRUP. CLAS. PROF.]]=$B51,IF(DATOS_[[Check Periodo Ref.]:[Check Periodo Ref.]]="Dentro",DATOS_[C.Extra.04]))))), 0)</f>
        <v>0</v>
      </c>
      <c r="AP52" s="212" t="n">
        <f aca="false" t="array" ref="AP52:AP52">IFERROR( AVERAGE((IF(DATOS_[[Sexo]:[Sexo]]=$B52,IF(DATOS_[[AGRUP. CLAS. PROF.]:[AGRUP. CLAS. PROF.]]=$B51,IF(DATOS_[[Check Periodo Ref.]:[Check Periodo Ref.]]="Dentro",DATOS_[C.Extra.05]))))), 0)</f>
        <v>0</v>
      </c>
      <c r="AQ52" s="213" t="n">
        <f aca="false" t="array" ref="AQ52:AQ52">IFERROR( AVERAGE(IF(DATOS_[Sexo]=$B52,IF(DATOS_[AGRUP. CLAS. PROF.]=$B51,IF(DATOS_[Check Periodo Ref.]="Dentro",DATOS_[Tot Extrasalarial Ef],0)))), 0)</f>
        <v>0</v>
      </c>
      <c r="AR52" s="214" t="n">
        <f aca="false" t="array" ref="AR52:AR52">IFERROR( AVERAGE(IF(DATOS_[Sexo]=$B52,IF(DATOS_[AGRUP. CLAS. PROF.]=$B51,IF(DATOS_[Check Periodo Ref.]="Dentro",DATOS_[TOTAL Retrib Ef],0)))), 0)</f>
        <v>0</v>
      </c>
    </row>
    <row r="53" customFormat="false" ht="14.25" hidden="false" customHeight="false" outlineLevel="0" collapsed="false">
      <c r="A53" s="191" t="str">
        <f aca="false">+A52</f>
        <v>[ocultar]</v>
      </c>
      <c r="B53" s="205" t="s">
        <v>372</v>
      </c>
      <c r="C53" s="206" t="n">
        <f aca="false" t="array" ref="C53:C53">SUM(IF($B53=DATOS_[Sexo], IF($B51=DATOS_[AGRUP. CLAS. PROF.], IF("Dentro"=DATOS_[Check Periodo Ref.], 1/(COUNTIFS(DATOS_[Sexo],$B53,DATOS_[AGRUP. CLAS. PROF.],$B51,DATOS_[Check Periodo Ref.],"Dentro",DATOS_[id],DATOS_[id]))))))</f>
        <v>0</v>
      </c>
      <c r="D53" s="207" t="n">
        <f aca="false">COUNTIFS(DATOS_[AGRUP. CLAS. PROF.],$B51,DATOS_[Sexo],$B53,DATOS_[Check Periodo Ref.],"Dentro")</f>
        <v>0</v>
      </c>
      <c r="E53" s="208" t="n">
        <f aca="false" t="array" ref="E53:E53">IFERROR( AVERAGE(IF(DATOS_[Sexo]=$B53,IF(DATOS_[AGRUP. CLAS. PROF.]=$B51,IF(DATOS_[Check Periodo Ref.]="Dentro",DATOS_[SALARIO BASE Ef],0)))), 0)</f>
        <v>0</v>
      </c>
      <c r="F53" s="209" t="n">
        <f aca="false" t="array" ref="F53:F53">IFERROR( AVERAGE((IF(DATOS_[[Sexo]:[Sexo]]=$B53,IF(DATOS_[[AGRUP. CLAS. PROF.]:[AGRUP. CLAS. PROF.]]=$B51,IF(DATOS_[[Check Periodo Ref.]:[Check Periodo Ref.]]="Dentro",DATOS_[Conc.Sal.01]))))), 0)</f>
        <v>0</v>
      </c>
      <c r="G53" s="209" t="n">
        <f aca="false" t="array" ref="G53:G53">IFERROR( AVERAGE((IF(DATOS_[[Sexo]:[Sexo]]=$B53,IF(DATOS_[[AGRUP. CLAS. PROF.]:[AGRUP. CLAS. PROF.]]=$B51,IF(DATOS_[[Check Periodo Ref.]:[Check Periodo Ref.]]="Dentro",DATOS_[Conc.Sal.02]))))), 0)</f>
        <v>0</v>
      </c>
      <c r="H53" s="209" t="n">
        <f aca="false" t="array" ref="H53:H53">IFERROR( AVERAGE((IF(DATOS_[[Sexo]:[Sexo]]=$B53,IF(DATOS_[[AGRUP. CLAS. PROF.]:[AGRUP. CLAS. PROF.]]=$B51,IF(DATOS_[[Check Periodo Ref.]:[Check Periodo Ref.]]="Dentro",DATOS_[Conc.Sal.03]))))), 0)</f>
        <v>0</v>
      </c>
      <c r="I53" s="209" t="n">
        <f aca="false" t="array" ref="I53:I53">IFERROR( AVERAGE((IF(DATOS_[[Sexo]:[Sexo]]=$B53,IF(DATOS_[[AGRUP. CLAS. PROF.]:[AGRUP. CLAS. PROF.]]=$B51,IF(DATOS_[[Check Periodo Ref.]:[Check Periodo Ref.]]="Dentro",DATOS_[Conc.Sal.04]))))), 0)</f>
        <v>0</v>
      </c>
      <c r="J53" s="209" t="n">
        <f aca="false" t="array" ref="J53:J53">IFERROR( AVERAGE((IF(DATOS_[[Sexo]:[Sexo]]=$B53,IF(DATOS_[[AGRUP. CLAS. PROF.]:[AGRUP. CLAS. PROF.]]=$B51,IF(DATOS_[[Check Periodo Ref.]:[Check Periodo Ref.]]="Dentro",DATOS_[Conc.Sal.05]))))), 0)</f>
        <v>0</v>
      </c>
      <c r="K53" s="209" t="n">
        <f aca="false" t="array" ref="K53:K53">IFERROR( AVERAGE((IF(DATOS_[[Sexo]:[Sexo]]=$B53,IF(DATOS_[[AGRUP. CLAS. PROF.]:[AGRUP. CLAS. PROF.]]=$B51,IF(DATOS_[[Check Periodo Ref.]:[Check Periodo Ref.]]="Dentro",DATOS_[Conc.Sal.06]))))), 0)</f>
        <v>0</v>
      </c>
      <c r="L53" s="209" t="n">
        <f aca="false" t="array" ref="L53:L53">IFERROR( AVERAGE((IF(DATOS_[[Sexo]:[Sexo]]=$B53,IF(DATOS_[[AGRUP. CLAS. PROF.]:[AGRUP. CLAS. PROF.]]=$B51,IF(DATOS_[[Check Periodo Ref.]:[Check Periodo Ref.]]="Dentro",DATOS_[Conc.Sal.07]))))), 0)</f>
        <v>0</v>
      </c>
      <c r="M53" s="209" t="n">
        <f aca="false" t="array" ref="M53:M53">IFERROR( AVERAGE((IF(DATOS_[[Sexo]:[Sexo]]=$B53,IF(DATOS_[[AGRUP. CLAS. PROF.]:[AGRUP. CLAS. PROF.]]=$B51,IF(DATOS_[[Check Periodo Ref.]:[Check Periodo Ref.]]="Dentro",DATOS_[Conc.Sal.08]))))), 0)</f>
        <v>0</v>
      </c>
      <c r="N53" s="209" t="n">
        <f aca="false" t="array" ref="N53:N53">IFERROR( AVERAGE((IF(DATOS_[[Sexo]:[Sexo]]=$B53,IF(DATOS_[[AGRUP. CLAS. PROF.]:[AGRUP. CLAS. PROF.]]=$B51,IF(DATOS_[[Check Periodo Ref.]:[Check Periodo Ref.]]="Dentro",DATOS_[Conc.Sal.09]))))), 0)</f>
        <v>0</v>
      </c>
      <c r="O53" s="209" t="n">
        <f aca="false" t="array" ref="O53:O53">IFERROR( AVERAGE((IF(DATOS_[[Sexo]:[Sexo]]=$B53,IF(DATOS_[[AGRUP. CLAS. PROF.]:[AGRUP. CLAS. PROF.]]=$B51,IF(DATOS_[[Check Periodo Ref.]:[Check Periodo Ref.]]="Dentro",DATOS_[Conc.Sal.10]))))), 0)</f>
        <v>0</v>
      </c>
      <c r="P53" s="209" t="n">
        <f aca="false" t="array" ref="P53:P53">IFERROR( AVERAGE((IF(DATOS_[[Sexo]:[Sexo]]=$B53,IF(DATOS_[[AGRUP. CLAS. PROF.]:[AGRUP. CLAS. PROF.]]=$B51,IF(DATOS_[[Check Periodo Ref.]:[Check Periodo Ref.]]="Dentro",DATOS_[Conc.Sal.11]))))), 0)</f>
        <v>0</v>
      </c>
      <c r="Q53" s="209" t="n">
        <f aca="false" t="array" ref="Q53:Q53">IFERROR( AVERAGE((IF(DATOS_[[Sexo]:[Sexo]]=$B53,IF(DATOS_[[AGRUP. CLAS. PROF.]:[AGRUP. CLAS. PROF.]]=$B51,IF(DATOS_[[Check Periodo Ref.]:[Check Periodo Ref.]]="Dentro",DATOS_[Conc.Sal.12]))))), 0)</f>
        <v>0</v>
      </c>
      <c r="R53" s="209" t="n">
        <f aca="false" t="array" ref="R53:R53">IFERROR( AVERAGE((IF(DATOS_[[Sexo]:[Sexo]]=$B53,IF(DATOS_[[AGRUP. CLAS. PROF.]:[AGRUP. CLAS. PROF.]]=$B51,IF(DATOS_[[Check Periodo Ref.]:[Check Periodo Ref.]]="Dentro",DATOS_[Conc.Sal.13]))))), 0)</f>
        <v>0</v>
      </c>
      <c r="S53" s="209" t="n">
        <f aca="false" t="array" ref="S53:S53">IFERROR( AVERAGE((IF(DATOS_[[Sexo]:[Sexo]]=$B53,IF(DATOS_[[AGRUP. CLAS. PROF.]:[AGRUP. CLAS. PROF.]]=$B51,IF(DATOS_[[Check Periodo Ref.]:[Check Periodo Ref.]]="Dentro",DATOS_[Conc.Sal.14]))))), 0)</f>
        <v>0</v>
      </c>
      <c r="T53" s="209" t="n">
        <f aca="false" t="array" ref="T53:T53">IFERROR( AVERAGE((IF(DATOS_[[Sexo]:[Sexo]]=$B53,IF(DATOS_[[AGRUP. CLAS. PROF.]:[AGRUP. CLAS. PROF.]]=$B51,IF(DATOS_[[Check Periodo Ref.]:[Check Periodo Ref.]]="Dentro",DATOS_[Conc.Sal.15]))))), 0)</f>
        <v>0</v>
      </c>
      <c r="U53" s="209" t="n">
        <f aca="false" t="array" ref="U53:U53">IFERROR( AVERAGE((IF(DATOS_[[Sexo]:[Sexo]]=$B53,IF(DATOS_[[AGRUP. CLAS. PROF.]:[AGRUP. CLAS. PROF.]]=$B51,IF(DATOS_[[Check Periodo Ref.]:[Check Periodo Ref.]]="Dentro",DATOS_[Conc.Sal.16]))))), 0)</f>
        <v>0</v>
      </c>
      <c r="V53" s="209" t="n">
        <f aca="false" t="array" ref="V53:V53">IFERROR( AVERAGE((IF(DATOS_[[Sexo]:[Sexo]]=$B53,IF(DATOS_[[AGRUP. CLAS. PROF.]:[AGRUP. CLAS. PROF.]]=$B51,IF(DATOS_[[Check Periodo Ref.]:[Check Periodo Ref.]]="Dentro",DATOS_[Conc.Sal.17]))))), 0)</f>
        <v>0</v>
      </c>
      <c r="W53" s="209" t="n">
        <f aca="false" t="array" ref="W53:W53">IFERROR( AVERAGE((IF(DATOS_[[Sexo]:[Sexo]]=$B53,IF(DATOS_[[AGRUP. CLAS. PROF.]:[AGRUP. CLAS. PROF.]]=$B51,IF(DATOS_[[Check Periodo Ref.]:[Check Periodo Ref.]]="Dentro",DATOS_[Conc.Sal.18]))))), 0)</f>
        <v>0</v>
      </c>
      <c r="X53" s="209" t="n">
        <f aca="false" t="array" ref="X53:X53">IFERROR( AVERAGE((IF(DATOS_[[Sexo]:[Sexo]]=$B53,IF(DATOS_[[AGRUP. CLAS. PROF.]:[AGRUP. CLAS. PROF.]]=$B51,IF(DATOS_[[Check Periodo Ref.]:[Check Periodo Ref.]]="Dentro",DATOS_[Conc.Sal.19]))))), 0)</f>
        <v>0</v>
      </c>
      <c r="Y53" s="209" t="n">
        <f aca="false" t="array" ref="Y53:Y53">IFERROR( AVERAGE((IF(DATOS_[[Sexo]:[Sexo]]=$B53,IF(DATOS_[[AGRUP. CLAS. PROF.]:[AGRUP. CLAS. PROF.]]=$B51,IF(DATOS_[[Check Periodo Ref.]:[Check Periodo Ref.]]="Dentro",DATOS_[Conc.Sal.20]))))), 0)</f>
        <v>0</v>
      </c>
      <c r="Z53" s="209" t="n">
        <f aca="false" t="array" ref="Z53:Z53">IFERROR( AVERAGE((IF(DATOS_[[Sexo]:[Sexo]]=$B53,IF(DATOS_[[AGRUP. CLAS. PROF.]:[AGRUP. CLAS. PROF.]]=$B51,IF(DATOS_[[Check Periodo Ref.]:[Check Periodo Ref.]]="Dentro",DATOS_[Conc.Sal.21]))))), 0)</f>
        <v>0</v>
      </c>
      <c r="AA53" s="209" t="n">
        <f aca="false" t="array" ref="AA53:AA53">IFERROR( AVERAGE((IF(DATOS_[[Sexo]:[Sexo]]=$B53,IF(DATOS_[[AGRUP. CLAS. PROF.]:[AGRUP. CLAS. PROF.]]=$B51,IF(DATOS_[[Check Periodo Ref.]:[Check Periodo Ref.]]="Dentro",DATOS_[Conc.Sal.22]))))), 0)</f>
        <v>0</v>
      </c>
      <c r="AB53" s="209" t="n">
        <f aca="false" t="array" ref="AB53:AB53">IFERROR( AVERAGE((IF(DATOS_[[Sexo]:[Sexo]]=$B53,IF(DATOS_[[AGRUP. CLAS. PROF.]:[AGRUP. CLAS. PROF.]]=$B51,IF(DATOS_[[Check Periodo Ref.]:[Check Periodo Ref.]]="Dentro",DATOS_[Conc.Sal.23]))))), 0)</f>
        <v>0</v>
      </c>
      <c r="AC53" s="209" t="n">
        <f aca="false" t="array" ref="AC53:AC53">IFERROR( AVERAGE((IF(DATOS_[[Sexo]:[Sexo]]=$B53,IF(DATOS_[[AGRUP. CLAS. PROF.]:[AGRUP. CLAS. PROF.]]=$B51,IF(DATOS_[[Check Periodo Ref.]:[Check Periodo Ref.]]="Dentro",DATOS_[Conc.Sal.24]))))), 0)</f>
        <v>0</v>
      </c>
      <c r="AD53" s="209" t="n">
        <f aca="false" t="array" ref="AD53:AD53">IFERROR( AVERAGE((IF(DATOS_[[Sexo]:[Sexo]]=$B53,IF(DATOS_[[AGRUP. CLAS. PROF.]:[AGRUP. CLAS. PROF.]]=$B51,IF(DATOS_[[Check Periodo Ref.]:[Check Periodo Ref.]]="Dentro",DATOS_[Conc.Sal.25]))))), 0)</f>
        <v>0</v>
      </c>
      <c r="AE53" s="209" t="n">
        <f aca="false" t="array" ref="AE53:AE53">IFERROR( AVERAGE((IF(DATOS_[[Sexo]:[Sexo]]=$B53,IF(DATOS_[[AGRUP. CLAS. PROF.]:[AGRUP. CLAS. PROF.]]=$B51,IF(DATOS_[[Check Periodo Ref.]:[Check Periodo Ref.]]="Dentro",DATOS_[Conc.Sal.26]))))), 0)</f>
        <v>0</v>
      </c>
      <c r="AF53" s="209" t="n">
        <f aca="false" t="array" ref="AF53:AF53">IFERROR( AVERAGE((IF(DATOS_[[Sexo]:[Sexo]]=$B53,IF(DATOS_[[AGRUP. CLAS. PROF.]:[AGRUP. CLAS. PROF.]]=$B51,IF(DATOS_[[Check Periodo Ref.]:[Check Periodo Ref.]]="Dentro",DATOS_[Conc.Sal.27]))))), 0)</f>
        <v>0</v>
      </c>
      <c r="AG53" s="209" t="n">
        <f aca="false" t="array" ref="AG53:AG53">IFERROR( AVERAGE((IF(DATOS_[[Sexo]:[Sexo]]=$B53,IF(DATOS_[[AGRUP. CLAS. PROF.]:[AGRUP. CLAS. PROF.]]=$B51,IF(DATOS_[[Check Periodo Ref.]:[Check Periodo Ref.]]="Dentro",DATOS_[Conc.Sal.28]))))), 0)</f>
        <v>0</v>
      </c>
      <c r="AH53" s="209" t="n">
        <f aca="false" t="array" ref="AH53:AH53">IFERROR( AVERAGE((IF(DATOS_[[Sexo]:[Sexo]]=$B53,IF(DATOS_[[AGRUP. CLAS. PROF.]:[AGRUP. CLAS. PROF.]]=$B51,IF(DATOS_[[Check Periodo Ref.]:[Check Periodo Ref.]]="Dentro",DATOS_[Conc.Sal.29]))))), 0)</f>
        <v>0</v>
      </c>
      <c r="AI53" s="209" t="n">
        <f aca="false" t="array" ref="AI53:AI53">IFERROR( AVERAGE((IF(DATOS_[[Sexo]:[Sexo]]=$B53,IF(DATOS_[[AGRUP. CLAS. PROF.]:[AGRUP. CLAS. PROF.]]=$B51,IF(DATOS_[[Check Periodo Ref.]:[Check Periodo Ref.]]="Dentro",DATOS_[Conc.Sal.30]))))), 0)</f>
        <v>0</v>
      </c>
      <c r="AJ53" s="210" t="n">
        <f aca="false" t="array" ref="AJ53:AJ53">IFERROR( AVERAGE(IF(DATOS_[Sexo]=$B53,IF(DATOS_[AGRUP. CLAS. PROF.]=$B51,IF(DATOS_[Check Periodo Ref.]="Dentro",DATOS_[Tot COMPL.SAL Ef],0)))), 0)</f>
        <v>0</v>
      </c>
      <c r="AK53" s="211" t="n">
        <f aca="false" t="array" ref="AK53:AK53">IFERROR( AVERAGE(IF(DATOS_[Sexo]=$B53,IF(DATOS_[AGRUP. CLAS. PROF.]=$B51,IF(DATOS_[Check Periodo Ref.]="Dentro",DATOS_[TOTAL SALARIO Ef],0)))), 0)</f>
        <v>0</v>
      </c>
      <c r="AL53" s="212" t="n">
        <f aca="false" t="array" ref="AL53:AL53">IFERROR( AVERAGE((IF(DATOS_[[Sexo]:[Sexo]]=$B53,IF(DATOS_[[AGRUP. CLAS. PROF.]:[AGRUP. CLAS. PROF.]]=$B51,IF(DATOS_[[Check Periodo Ref.]:[Check Periodo Ref.]]="Dentro",DATOS_[C.Extra.01]))))), 0)</f>
        <v>0</v>
      </c>
      <c r="AM53" s="212" t="n">
        <f aca="false" t="array" ref="AM53:AM53">IFERROR( AVERAGE((IF(DATOS_[[Sexo]:[Sexo]]=$B53,IF(DATOS_[[AGRUP. CLAS. PROF.]:[AGRUP. CLAS. PROF.]]=$B51,IF(DATOS_[[Check Periodo Ref.]:[Check Periodo Ref.]]="Dentro",DATOS_[C.Extra.02]))))), 0)</f>
        <v>0</v>
      </c>
      <c r="AN53" s="212" t="n">
        <f aca="false" t="array" ref="AN53:AN53">IFERROR( AVERAGE((IF(DATOS_[[Sexo]:[Sexo]]=$B53,IF(DATOS_[[AGRUP. CLAS. PROF.]:[AGRUP. CLAS. PROF.]]=$B51,IF(DATOS_[[Check Periodo Ref.]:[Check Periodo Ref.]]="Dentro",DATOS_[C.Extra.03]))))), 0)</f>
        <v>0</v>
      </c>
      <c r="AO53" s="212" t="n">
        <f aca="false" t="array" ref="AO53:AO53">IFERROR( AVERAGE((IF(DATOS_[[Sexo]:[Sexo]]=$B53,IF(DATOS_[[AGRUP. CLAS. PROF.]:[AGRUP. CLAS. PROF.]]=$B51,IF(DATOS_[[Check Periodo Ref.]:[Check Periodo Ref.]]="Dentro",DATOS_[C.Extra.04]))))), 0)</f>
        <v>0</v>
      </c>
      <c r="AP53" s="212" t="n">
        <f aca="false" t="array" ref="AP53:AP53">IFERROR( AVERAGE((IF(DATOS_[[Sexo]:[Sexo]]=$B53,IF(DATOS_[[AGRUP. CLAS. PROF.]:[AGRUP. CLAS. PROF.]]=$B51,IF(DATOS_[[Check Periodo Ref.]:[Check Periodo Ref.]]="Dentro",DATOS_[C.Extra.05]))))), 0)</f>
        <v>0</v>
      </c>
      <c r="AQ53" s="213" t="n">
        <f aca="false" t="array" ref="AQ53:AQ53">IFERROR( AVERAGE(IF(DATOS_[Sexo]=$B53,IF(DATOS_[AGRUP. CLAS. PROF.]=$B51,IF(DATOS_[Check Periodo Ref.]="Dentro",DATOS_[Tot Extrasalarial Ef],0)))), 0)</f>
        <v>0</v>
      </c>
      <c r="AR53" s="214" t="n">
        <f aca="false" t="array" ref="AR53:AR53">IFERROR( AVERAGE(IF(DATOS_[Sexo]=$B53,IF(DATOS_[AGRUP. CLAS. PROF.]=$B51,IF(DATOS_[Check Periodo Ref.]="Dentro",DATOS_[TOTAL Retrib Ef],0)))), 0)</f>
        <v>0</v>
      </c>
    </row>
    <row r="54" customFormat="false" ht="15.75" hidden="false" customHeight="false" outlineLevel="0" collapsed="false">
      <c r="A54" s="191" t="str">
        <f aca="false">+A55</f>
        <v>[ocultar]</v>
      </c>
      <c r="B54" s="192" t="s">
        <v>207</v>
      </c>
      <c r="C54" s="193"/>
      <c r="D54" s="194"/>
      <c r="E54" s="195" t="str">
        <f aca="false">IFERROR((E55-E56)/E55,"")</f>
        <v/>
      </c>
      <c r="F54" s="196" t="str">
        <f aca="false">IFERROR((F55-F56)/F55,"")</f>
        <v/>
      </c>
      <c r="G54" s="197" t="str">
        <f aca="false">IFERROR((G55-G56)/G55,"")</f>
        <v/>
      </c>
      <c r="H54" s="197" t="str">
        <f aca="false">IFERROR((H55-H56)/H55,"")</f>
        <v/>
      </c>
      <c r="I54" s="197" t="str">
        <f aca="false">IFERROR((I55-I56)/I55,"")</f>
        <v/>
      </c>
      <c r="J54" s="198" t="str">
        <f aca="false">IFERROR((J55-J56)/J55,"")</f>
        <v/>
      </c>
      <c r="K54" s="199" t="str">
        <f aca="false">IFERROR((K55-K56)/K55,"")</f>
        <v/>
      </c>
      <c r="L54" s="199" t="str">
        <f aca="false">IFERROR((L55-L56)/L55,"")</f>
        <v/>
      </c>
      <c r="M54" s="199" t="str">
        <f aca="false">IFERROR((M55-M56)/M55,"")</f>
        <v/>
      </c>
      <c r="N54" s="199" t="str">
        <f aca="false">IFERROR((N55-N56)/N55,"")</f>
        <v/>
      </c>
      <c r="O54" s="199" t="str">
        <f aca="false">IFERROR((O55-O56)/O55,"")</f>
        <v/>
      </c>
      <c r="P54" s="199" t="str">
        <f aca="false">IFERROR((P55-P56)/P55,"")</f>
        <v/>
      </c>
      <c r="Q54" s="199" t="str">
        <f aca="false">IFERROR((Q55-Q56)/Q55,"")</f>
        <v/>
      </c>
      <c r="R54" s="199" t="str">
        <f aca="false">IFERROR((R55-R56)/R55,"")</f>
        <v/>
      </c>
      <c r="S54" s="199" t="str">
        <f aca="false">IFERROR((S55-S56)/S55,"")</f>
        <v/>
      </c>
      <c r="T54" s="199" t="str">
        <f aca="false">IFERROR((T55-T56)/T55,"")</f>
        <v/>
      </c>
      <c r="U54" s="199" t="str">
        <f aca="false">IFERROR((U55-U56)/U55,"")</f>
        <v/>
      </c>
      <c r="V54" s="198" t="str">
        <f aca="false">IFERROR((V55-V56)/V55,"")</f>
        <v/>
      </c>
      <c r="W54" s="198" t="str">
        <f aca="false">IFERROR((W55-W56)/W55,"")</f>
        <v/>
      </c>
      <c r="X54" s="198" t="str">
        <f aca="false">IFERROR((X55-X56)/X55,"")</f>
        <v/>
      </c>
      <c r="Y54" s="198" t="str">
        <f aca="false">IFERROR((Y55-Y56)/Y55,"")</f>
        <v/>
      </c>
      <c r="Z54" s="198" t="str">
        <f aca="false">IFERROR((Z55-Z56)/Z55,"")</f>
        <v/>
      </c>
      <c r="AA54" s="198" t="str">
        <f aca="false">IFERROR((AA55-AA56)/AA55,"")</f>
        <v/>
      </c>
      <c r="AB54" s="198" t="str">
        <f aca="false">IFERROR((AB55-AB56)/AB55,"")</f>
        <v/>
      </c>
      <c r="AC54" s="198" t="str">
        <f aca="false">IFERROR((AC55-AC56)/AC55,"")</f>
        <v/>
      </c>
      <c r="AD54" s="198" t="str">
        <f aca="false">IFERROR((AD55-AD56)/AD55,"")</f>
        <v/>
      </c>
      <c r="AE54" s="198" t="str">
        <f aca="false">IFERROR((AE55-AE56)/AE55,"")</f>
        <v/>
      </c>
      <c r="AF54" s="198" t="str">
        <f aca="false">IFERROR((AF55-AF56)/AF55,"")</f>
        <v/>
      </c>
      <c r="AG54" s="198" t="str">
        <f aca="false">IFERROR((AG55-AG56)/AG55,"")</f>
        <v/>
      </c>
      <c r="AH54" s="198" t="str">
        <f aca="false">IFERROR((AH55-AH56)/AH55,"")</f>
        <v/>
      </c>
      <c r="AI54" s="198" t="str">
        <f aca="false">IFERROR((AI55-AI56)/AI55,"")</f>
        <v/>
      </c>
      <c r="AJ54" s="200" t="str">
        <f aca="false">IFERROR((AJ55-AJ56)/AJ55,"")</f>
        <v/>
      </c>
      <c r="AK54" s="201" t="str">
        <f aca="false">IFERROR((AK55-AK56)/AK55,"")</f>
        <v/>
      </c>
      <c r="AL54" s="202" t="str">
        <f aca="false">IFERROR((AL55-AL56)/AL55,"")</f>
        <v/>
      </c>
      <c r="AM54" s="202" t="str">
        <f aca="false">IFERROR((AM55-AM56)/AM55,"")</f>
        <v/>
      </c>
      <c r="AN54" s="202" t="str">
        <f aca="false">IFERROR((AN55-AN56)/AN55,"")</f>
        <v/>
      </c>
      <c r="AO54" s="202" t="str">
        <f aca="false">IFERROR((AO55-AO56)/AO55,"")</f>
        <v/>
      </c>
      <c r="AP54" s="202" t="str">
        <f aca="false">IFERROR((AP55-AP56)/AP55,"")</f>
        <v/>
      </c>
      <c r="AQ54" s="203" t="str">
        <f aca="false">IFERROR((AQ55-AQ56)/AQ55,"")</f>
        <v/>
      </c>
      <c r="AR54" s="204" t="str">
        <f aca="false">IFERROR((AR55-AR56)/AR55,"")</f>
        <v/>
      </c>
    </row>
    <row r="55" customFormat="false" ht="14.25" hidden="false" customHeight="false" outlineLevel="0" collapsed="false">
      <c r="A55" s="191" t="str">
        <f aca="false">+IF(C55+C56=0,"[ocultar]","")</f>
        <v>[ocultar]</v>
      </c>
      <c r="B55" s="205" t="s">
        <v>371</v>
      </c>
      <c r="C55" s="206" t="n">
        <f aca="false" t="array" ref="C55:C55">SUM(IF($B55=DATOS_[Sexo], IF($B54=DATOS_[AGRUP. CLAS. PROF.], IF("Dentro"=DATOS_[Check Periodo Ref.], 1/(COUNTIFS(DATOS_[Sexo],$B55,DATOS_[AGRUP. CLAS. PROF.],$B54,DATOS_[Check Periodo Ref.],"Dentro",DATOS_[id],DATOS_[id]))))))</f>
        <v>0</v>
      </c>
      <c r="D55" s="207" t="n">
        <f aca="false">COUNTIFS(DATOS_[AGRUP. CLAS. PROF.],$B54,DATOS_[Sexo],$B55,DATOS_[Check Periodo Ref.],"Dentro")</f>
        <v>0</v>
      </c>
      <c r="E55" s="208" t="n">
        <f aca="false" t="array" ref="E55:E55">IFERROR( AVERAGE(IF(DATOS_[Sexo]=$B55,IF(DATOS_[AGRUP. CLAS. PROF.]=$B54,IF(DATOS_[Check Periodo Ref.]="Dentro",DATOS_[SALARIO BASE Ef],0)))), 0)</f>
        <v>0</v>
      </c>
      <c r="F55" s="209" t="n">
        <f aca="false" t="array" ref="F55:F55">IFERROR( AVERAGE((IF(DATOS_[[Sexo]:[Sexo]]=$B55,IF(DATOS_[[AGRUP. CLAS. PROF.]:[AGRUP. CLAS. PROF.]]=$B54,IF(DATOS_[[Check Periodo Ref.]:[Check Periodo Ref.]]="Dentro",DATOS_[Conc.Sal.01]))))), 0)</f>
        <v>0</v>
      </c>
      <c r="G55" s="209" t="n">
        <f aca="false" t="array" ref="G55:G55">IFERROR( AVERAGE((IF(DATOS_[[Sexo]:[Sexo]]=$B55,IF(DATOS_[[AGRUP. CLAS. PROF.]:[AGRUP. CLAS. PROF.]]=$B54,IF(DATOS_[[Check Periodo Ref.]:[Check Periodo Ref.]]="Dentro",DATOS_[Conc.Sal.02]))))), 0)</f>
        <v>0</v>
      </c>
      <c r="H55" s="209" t="n">
        <f aca="false" t="array" ref="H55:H55">IFERROR( AVERAGE((IF(DATOS_[[Sexo]:[Sexo]]=$B55,IF(DATOS_[[AGRUP. CLAS. PROF.]:[AGRUP. CLAS. PROF.]]=$B54,IF(DATOS_[[Check Periodo Ref.]:[Check Periodo Ref.]]="Dentro",DATOS_[Conc.Sal.03]))))), 0)</f>
        <v>0</v>
      </c>
      <c r="I55" s="209" t="n">
        <f aca="false" t="array" ref="I55:I55">IFERROR( AVERAGE((IF(DATOS_[[Sexo]:[Sexo]]=$B55,IF(DATOS_[[AGRUP. CLAS. PROF.]:[AGRUP. CLAS. PROF.]]=$B54,IF(DATOS_[[Check Periodo Ref.]:[Check Periodo Ref.]]="Dentro",DATOS_[Conc.Sal.04]))))), 0)</f>
        <v>0</v>
      </c>
      <c r="J55" s="209" t="n">
        <f aca="false" t="array" ref="J55:J55">IFERROR( AVERAGE((IF(DATOS_[[Sexo]:[Sexo]]=$B55,IF(DATOS_[[AGRUP. CLAS. PROF.]:[AGRUP. CLAS. PROF.]]=$B54,IF(DATOS_[[Check Periodo Ref.]:[Check Periodo Ref.]]="Dentro",DATOS_[Conc.Sal.05]))))), 0)</f>
        <v>0</v>
      </c>
      <c r="K55" s="209" t="n">
        <f aca="false" t="array" ref="K55:K55">IFERROR( AVERAGE((IF(DATOS_[[Sexo]:[Sexo]]=$B55,IF(DATOS_[[AGRUP. CLAS. PROF.]:[AGRUP. CLAS. PROF.]]=$B54,IF(DATOS_[[Check Periodo Ref.]:[Check Periodo Ref.]]="Dentro",DATOS_[Conc.Sal.06]))))), 0)</f>
        <v>0</v>
      </c>
      <c r="L55" s="209" t="n">
        <f aca="false" t="array" ref="L55:L55">IFERROR( AVERAGE((IF(DATOS_[[Sexo]:[Sexo]]=$B55,IF(DATOS_[[AGRUP. CLAS. PROF.]:[AGRUP. CLAS. PROF.]]=$B54,IF(DATOS_[[Check Periodo Ref.]:[Check Periodo Ref.]]="Dentro",DATOS_[Conc.Sal.07]))))), 0)</f>
        <v>0</v>
      </c>
      <c r="M55" s="209" t="n">
        <f aca="false" t="array" ref="M55:M55">IFERROR( AVERAGE((IF(DATOS_[[Sexo]:[Sexo]]=$B55,IF(DATOS_[[AGRUP. CLAS. PROF.]:[AGRUP. CLAS. PROF.]]=$B54,IF(DATOS_[[Check Periodo Ref.]:[Check Periodo Ref.]]="Dentro",DATOS_[Conc.Sal.08]))))), 0)</f>
        <v>0</v>
      </c>
      <c r="N55" s="209" t="n">
        <f aca="false" t="array" ref="N55:N55">IFERROR( AVERAGE((IF(DATOS_[[Sexo]:[Sexo]]=$B55,IF(DATOS_[[AGRUP. CLAS. PROF.]:[AGRUP. CLAS. PROF.]]=$B54,IF(DATOS_[[Check Periodo Ref.]:[Check Periodo Ref.]]="Dentro",DATOS_[Conc.Sal.09]))))), 0)</f>
        <v>0</v>
      </c>
      <c r="O55" s="209" t="n">
        <f aca="false" t="array" ref="O55:O55">IFERROR( AVERAGE((IF(DATOS_[[Sexo]:[Sexo]]=$B55,IF(DATOS_[[AGRUP. CLAS. PROF.]:[AGRUP. CLAS. PROF.]]=$B54,IF(DATOS_[[Check Periodo Ref.]:[Check Periodo Ref.]]="Dentro",DATOS_[Conc.Sal.10]))))), 0)</f>
        <v>0</v>
      </c>
      <c r="P55" s="209" t="n">
        <f aca="false" t="array" ref="P55:P55">IFERROR( AVERAGE((IF(DATOS_[[Sexo]:[Sexo]]=$B55,IF(DATOS_[[AGRUP. CLAS. PROF.]:[AGRUP. CLAS. PROF.]]=$B54,IF(DATOS_[[Check Periodo Ref.]:[Check Periodo Ref.]]="Dentro",DATOS_[Conc.Sal.11]))))), 0)</f>
        <v>0</v>
      </c>
      <c r="Q55" s="209" t="n">
        <f aca="false" t="array" ref="Q55:Q55">IFERROR( AVERAGE((IF(DATOS_[[Sexo]:[Sexo]]=$B55,IF(DATOS_[[AGRUP. CLAS. PROF.]:[AGRUP. CLAS. PROF.]]=$B54,IF(DATOS_[[Check Periodo Ref.]:[Check Periodo Ref.]]="Dentro",DATOS_[Conc.Sal.12]))))), 0)</f>
        <v>0</v>
      </c>
      <c r="R55" s="209" t="n">
        <f aca="false" t="array" ref="R55:R55">IFERROR( AVERAGE((IF(DATOS_[[Sexo]:[Sexo]]=$B55,IF(DATOS_[[AGRUP. CLAS. PROF.]:[AGRUP. CLAS. PROF.]]=$B54,IF(DATOS_[[Check Periodo Ref.]:[Check Periodo Ref.]]="Dentro",DATOS_[Conc.Sal.13]))))), 0)</f>
        <v>0</v>
      </c>
      <c r="S55" s="209" t="n">
        <f aca="false" t="array" ref="S55:S55">IFERROR( AVERAGE((IF(DATOS_[[Sexo]:[Sexo]]=$B55,IF(DATOS_[[AGRUP. CLAS. PROF.]:[AGRUP. CLAS. PROF.]]=$B54,IF(DATOS_[[Check Periodo Ref.]:[Check Periodo Ref.]]="Dentro",DATOS_[Conc.Sal.14]))))), 0)</f>
        <v>0</v>
      </c>
      <c r="T55" s="209" t="n">
        <f aca="false" t="array" ref="T55:T55">IFERROR( AVERAGE((IF(DATOS_[[Sexo]:[Sexo]]=$B55,IF(DATOS_[[AGRUP. CLAS. PROF.]:[AGRUP. CLAS. PROF.]]=$B54,IF(DATOS_[[Check Periodo Ref.]:[Check Periodo Ref.]]="Dentro",DATOS_[Conc.Sal.15]))))), 0)</f>
        <v>0</v>
      </c>
      <c r="U55" s="209" t="n">
        <f aca="false" t="array" ref="U55:U55">IFERROR( AVERAGE((IF(DATOS_[[Sexo]:[Sexo]]=$B55,IF(DATOS_[[AGRUP. CLAS. PROF.]:[AGRUP. CLAS. PROF.]]=$B54,IF(DATOS_[[Check Periodo Ref.]:[Check Periodo Ref.]]="Dentro",DATOS_[Conc.Sal.16]))))), 0)</f>
        <v>0</v>
      </c>
      <c r="V55" s="209" t="n">
        <f aca="false" t="array" ref="V55:V55">IFERROR( AVERAGE((IF(DATOS_[[Sexo]:[Sexo]]=$B55,IF(DATOS_[[AGRUP. CLAS. PROF.]:[AGRUP. CLAS. PROF.]]=$B54,IF(DATOS_[[Check Periodo Ref.]:[Check Periodo Ref.]]="Dentro",DATOS_[Conc.Sal.17]))))), 0)</f>
        <v>0</v>
      </c>
      <c r="W55" s="209" t="n">
        <f aca="false" t="array" ref="W55:W55">IFERROR( AVERAGE((IF(DATOS_[[Sexo]:[Sexo]]=$B55,IF(DATOS_[[AGRUP. CLAS. PROF.]:[AGRUP. CLAS. PROF.]]=$B54,IF(DATOS_[[Check Periodo Ref.]:[Check Periodo Ref.]]="Dentro",DATOS_[Conc.Sal.18]))))), 0)</f>
        <v>0</v>
      </c>
      <c r="X55" s="209" t="n">
        <f aca="false" t="array" ref="X55:X55">IFERROR( AVERAGE((IF(DATOS_[[Sexo]:[Sexo]]=$B55,IF(DATOS_[[AGRUP. CLAS. PROF.]:[AGRUP. CLAS. PROF.]]=$B54,IF(DATOS_[[Check Periodo Ref.]:[Check Periodo Ref.]]="Dentro",DATOS_[Conc.Sal.19]))))), 0)</f>
        <v>0</v>
      </c>
      <c r="Y55" s="209" t="n">
        <f aca="false" t="array" ref="Y55:Y55">IFERROR( AVERAGE((IF(DATOS_[[Sexo]:[Sexo]]=$B55,IF(DATOS_[[AGRUP. CLAS. PROF.]:[AGRUP. CLAS. PROF.]]=$B54,IF(DATOS_[[Check Periodo Ref.]:[Check Periodo Ref.]]="Dentro",DATOS_[Conc.Sal.20]))))), 0)</f>
        <v>0</v>
      </c>
      <c r="Z55" s="209" t="n">
        <f aca="false" t="array" ref="Z55:Z55">IFERROR( AVERAGE((IF(DATOS_[[Sexo]:[Sexo]]=$B55,IF(DATOS_[[AGRUP. CLAS. PROF.]:[AGRUP. CLAS. PROF.]]=$B54,IF(DATOS_[[Check Periodo Ref.]:[Check Periodo Ref.]]="Dentro",DATOS_[Conc.Sal.21]))))), 0)</f>
        <v>0</v>
      </c>
      <c r="AA55" s="209" t="n">
        <f aca="false" t="array" ref="AA55:AA55">IFERROR( AVERAGE((IF(DATOS_[[Sexo]:[Sexo]]=$B55,IF(DATOS_[[AGRUP. CLAS. PROF.]:[AGRUP. CLAS. PROF.]]=$B54,IF(DATOS_[[Check Periodo Ref.]:[Check Periodo Ref.]]="Dentro",DATOS_[Conc.Sal.22]))))), 0)</f>
        <v>0</v>
      </c>
      <c r="AB55" s="209" t="n">
        <f aca="false" t="array" ref="AB55:AB55">IFERROR( AVERAGE((IF(DATOS_[[Sexo]:[Sexo]]=$B55,IF(DATOS_[[AGRUP. CLAS. PROF.]:[AGRUP. CLAS. PROF.]]=$B54,IF(DATOS_[[Check Periodo Ref.]:[Check Periodo Ref.]]="Dentro",DATOS_[Conc.Sal.23]))))), 0)</f>
        <v>0</v>
      </c>
      <c r="AC55" s="209" t="n">
        <f aca="false" t="array" ref="AC55:AC55">IFERROR( AVERAGE((IF(DATOS_[[Sexo]:[Sexo]]=$B55,IF(DATOS_[[AGRUP. CLAS. PROF.]:[AGRUP. CLAS. PROF.]]=$B54,IF(DATOS_[[Check Periodo Ref.]:[Check Periodo Ref.]]="Dentro",DATOS_[Conc.Sal.24]))))), 0)</f>
        <v>0</v>
      </c>
      <c r="AD55" s="209" t="n">
        <f aca="false" t="array" ref="AD55:AD55">IFERROR( AVERAGE((IF(DATOS_[[Sexo]:[Sexo]]=$B55,IF(DATOS_[[AGRUP. CLAS. PROF.]:[AGRUP. CLAS. PROF.]]=$B54,IF(DATOS_[[Check Periodo Ref.]:[Check Periodo Ref.]]="Dentro",DATOS_[Conc.Sal.25]))))), 0)</f>
        <v>0</v>
      </c>
      <c r="AE55" s="209" t="n">
        <f aca="false" t="array" ref="AE55:AE55">IFERROR( AVERAGE((IF(DATOS_[[Sexo]:[Sexo]]=$B55,IF(DATOS_[[AGRUP. CLAS. PROF.]:[AGRUP. CLAS. PROF.]]=$B54,IF(DATOS_[[Check Periodo Ref.]:[Check Periodo Ref.]]="Dentro",DATOS_[Conc.Sal.26]))))), 0)</f>
        <v>0</v>
      </c>
      <c r="AF55" s="209" t="n">
        <f aca="false" t="array" ref="AF55:AF55">IFERROR( AVERAGE((IF(DATOS_[[Sexo]:[Sexo]]=$B55,IF(DATOS_[[AGRUP. CLAS. PROF.]:[AGRUP. CLAS. PROF.]]=$B54,IF(DATOS_[[Check Periodo Ref.]:[Check Periodo Ref.]]="Dentro",DATOS_[Conc.Sal.27]))))), 0)</f>
        <v>0</v>
      </c>
      <c r="AG55" s="209" t="n">
        <f aca="false" t="array" ref="AG55:AG55">IFERROR( AVERAGE((IF(DATOS_[[Sexo]:[Sexo]]=$B55,IF(DATOS_[[AGRUP. CLAS. PROF.]:[AGRUP. CLAS. PROF.]]=$B54,IF(DATOS_[[Check Periodo Ref.]:[Check Periodo Ref.]]="Dentro",DATOS_[Conc.Sal.28]))))), 0)</f>
        <v>0</v>
      </c>
      <c r="AH55" s="209" t="n">
        <f aca="false" t="array" ref="AH55:AH55">IFERROR( AVERAGE((IF(DATOS_[[Sexo]:[Sexo]]=$B55,IF(DATOS_[[AGRUP. CLAS. PROF.]:[AGRUP. CLAS. PROF.]]=$B54,IF(DATOS_[[Check Periodo Ref.]:[Check Periodo Ref.]]="Dentro",DATOS_[Conc.Sal.29]))))), 0)</f>
        <v>0</v>
      </c>
      <c r="AI55" s="209" t="n">
        <f aca="false" t="array" ref="AI55:AI55">IFERROR( AVERAGE((IF(DATOS_[[Sexo]:[Sexo]]=$B55,IF(DATOS_[[AGRUP. CLAS. PROF.]:[AGRUP. CLAS. PROF.]]=$B54,IF(DATOS_[[Check Periodo Ref.]:[Check Periodo Ref.]]="Dentro",DATOS_[Conc.Sal.30]))))), 0)</f>
        <v>0</v>
      </c>
      <c r="AJ55" s="210" t="n">
        <f aca="false" t="array" ref="AJ55:AJ55">IFERROR( AVERAGE(IF(DATOS_[Sexo]=$B55,IF(DATOS_[AGRUP. CLAS. PROF.]=$B54,IF(DATOS_[Check Periodo Ref.]="Dentro",DATOS_[Tot COMPL.SAL Ef],0)))), 0)</f>
        <v>0</v>
      </c>
      <c r="AK55" s="211" t="n">
        <f aca="false" t="array" ref="AK55:AK55">IFERROR( AVERAGE(IF(DATOS_[Sexo]=$B55,IF(DATOS_[AGRUP. CLAS. PROF.]=$B54,IF(DATOS_[Check Periodo Ref.]="Dentro",DATOS_[TOTAL SALARIO Ef],0)))), 0)</f>
        <v>0</v>
      </c>
      <c r="AL55" s="212" t="n">
        <f aca="false" t="array" ref="AL55:AL55">IFERROR( AVERAGE((IF(DATOS_[[Sexo]:[Sexo]]=$B55,IF(DATOS_[[AGRUP. CLAS. PROF.]:[AGRUP. CLAS. PROF.]]=$B54,IF(DATOS_[[Check Periodo Ref.]:[Check Periodo Ref.]]="Dentro",DATOS_[C.Extra.01]))))), 0)</f>
        <v>0</v>
      </c>
      <c r="AM55" s="212" t="n">
        <f aca="false" t="array" ref="AM55:AM55">IFERROR( AVERAGE((IF(DATOS_[[Sexo]:[Sexo]]=$B55,IF(DATOS_[[AGRUP. CLAS. PROF.]:[AGRUP. CLAS. PROF.]]=$B54,IF(DATOS_[[Check Periodo Ref.]:[Check Periodo Ref.]]="Dentro",DATOS_[C.Extra.02]))))), 0)</f>
        <v>0</v>
      </c>
      <c r="AN55" s="212" t="n">
        <f aca="false" t="array" ref="AN55:AN55">IFERROR( AVERAGE((IF(DATOS_[[Sexo]:[Sexo]]=$B55,IF(DATOS_[[AGRUP. CLAS. PROF.]:[AGRUP. CLAS. PROF.]]=$B54,IF(DATOS_[[Check Periodo Ref.]:[Check Periodo Ref.]]="Dentro",DATOS_[C.Extra.03]))))), 0)</f>
        <v>0</v>
      </c>
      <c r="AO55" s="212" t="n">
        <f aca="false" t="array" ref="AO55:AO55">IFERROR( AVERAGE((IF(DATOS_[[Sexo]:[Sexo]]=$B55,IF(DATOS_[[AGRUP. CLAS. PROF.]:[AGRUP. CLAS. PROF.]]=$B54,IF(DATOS_[[Check Periodo Ref.]:[Check Periodo Ref.]]="Dentro",DATOS_[C.Extra.04]))))), 0)</f>
        <v>0</v>
      </c>
      <c r="AP55" s="212" t="n">
        <f aca="false" t="array" ref="AP55:AP55">IFERROR( AVERAGE((IF(DATOS_[[Sexo]:[Sexo]]=$B55,IF(DATOS_[[AGRUP. CLAS. PROF.]:[AGRUP. CLAS. PROF.]]=$B54,IF(DATOS_[[Check Periodo Ref.]:[Check Periodo Ref.]]="Dentro",DATOS_[C.Extra.05]))))), 0)</f>
        <v>0</v>
      </c>
      <c r="AQ55" s="213" t="n">
        <f aca="false" t="array" ref="AQ55:AQ55">IFERROR( AVERAGE(IF(DATOS_[Sexo]=$B55,IF(DATOS_[AGRUP. CLAS. PROF.]=$B54,IF(DATOS_[Check Periodo Ref.]="Dentro",DATOS_[Tot Extrasalarial Ef],0)))), 0)</f>
        <v>0</v>
      </c>
      <c r="AR55" s="214" t="n">
        <f aca="false" t="array" ref="AR55:AR55">IFERROR( AVERAGE(IF(DATOS_[Sexo]=$B55,IF(DATOS_[AGRUP. CLAS. PROF.]=$B54,IF(DATOS_[Check Periodo Ref.]="Dentro",DATOS_[TOTAL Retrib Ef],0)))), 0)</f>
        <v>0</v>
      </c>
    </row>
    <row r="56" customFormat="false" ht="14.25" hidden="false" customHeight="false" outlineLevel="0" collapsed="false">
      <c r="A56" s="191" t="str">
        <f aca="false">+A55</f>
        <v>[ocultar]</v>
      </c>
      <c r="B56" s="205" t="s">
        <v>372</v>
      </c>
      <c r="C56" s="206" t="n">
        <f aca="false" t="array" ref="C56:C56">SUM(IF($B56=DATOS_[Sexo], IF($B54=DATOS_[AGRUP. CLAS. PROF.], IF("Dentro"=DATOS_[Check Periodo Ref.], 1/(COUNTIFS(DATOS_[Sexo],$B56,DATOS_[AGRUP. CLAS. PROF.],$B54,DATOS_[Check Periodo Ref.],"Dentro",DATOS_[id],DATOS_[id]))))))</f>
        <v>0</v>
      </c>
      <c r="D56" s="207" t="n">
        <f aca="false">COUNTIFS(DATOS_[AGRUP. CLAS. PROF.],$B54,DATOS_[Sexo],$B56,DATOS_[Check Periodo Ref.],"Dentro")</f>
        <v>0</v>
      </c>
      <c r="E56" s="208" t="n">
        <f aca="false" t="array" ref="E56:E56">IFERROR( AVERAGE(IF(DATOS_[Sexo]=$B56,IF(DATOS_[AGRUP. CLAS. PROF.]=$B54,IF(DATOS_[Check Periodo Ref.]="Dentro",DATOS_[SALARIO BASE Ef],0)))), 0)</f>
        <v>0</v>
      </c>
      <c r="F56" s="209" t="n">
        <f aca="false" t="array" ref="F56:F56">IFERROR( AVERAGE((IF(DATOS_[[Sexo]:[Sexo]]=$B56,IF(DATOS_[[AGRUP. CLAS. PROF.]:[AGRUP. CLAS. PROF.]]=$B54,IF(DATOS_[[Check Periodo Ref.]:[Check Periodo Ref.]]="Dentro",DATOS_[Conc.Sal.01]))))), 0)</f>
        <v>0</v>
      </c>
      <c r="G56" s="209" t="n">
        <f aca="false" t="array" ref="G56:G56">IFERROR( AVERAGE((IF(DATOS_[[Sexo]:[Sexo]]=$B56,IF(DATOS_[[AGRUP. CLAS. PROF.]:[AGRUP. CLAS. PROF.]]=$B54,IF(DATOS_[[Check Periodo Ref.]:[Check Periodo Ref.]]="Dentro",DATOS_[Conc.Sal.02]))))), 0)</f>
        <v>0</v>
      </c>
      <c r="H56" s="209" t="n">
        <f aca="false" t="array" ref="H56:H56">IFERROR( AVERAGE((IF(DATOS_[[Sexo]:[Sexo]]=$B56,IF(DATOS_[[AGRUP. CLAS. PROF.]:[AGRUP. CLAS. PROF.]]=$B54,IF(DATOS_[[Check Periodo Ref.]:[Check Periodo Ref.]]="Dentro",DATOS_[Conc.Sal.03]))))), 0)</f>
        <v>0</v>
      </c>
      <c r="I56" s="209" t="n">
        <f aca="false" t="array" ref="I56:I56">IFERROR( AVERAGE((IF(DATOS_[[Sexo]:[Sexo]]=$B56,IF(DATOS_[[AGRUP. CLAS. PROF.]:[AGRUP. CLAS. PROF.]]=$B54,IF(DATOS_[[Check Periodo Ref.]:[Check Periodo Ref.]]="Dentro",DATOS_[Conc.Sal.04]))))), 0)</f>
        <v>0</v>
      </c>
      <c r="J56" s="209" t="n">
        <f aca="false" t="array" ref="J56:J56">IFERROR( AVERAGE((IF(DATOS_[[Sexo]:[Sexo]]=$B56,IF(DATOS_[[AGRUP. CLAS. PROF.]:[AGRUP. CLAS. PROF.]]=$B54,IF(DATOS_[[Check Periodo Ref.]:[Check Periodo Ref.]]="Dentro",DATOS_[Conc.Sal.05]))))), 0)</f>
        <v>0</v>
      </c>
      <c r="K56" s="209" t="n">
        <f aca="false" t="array" ref="K56:K56">IFERROR( AVERAGE((IF(DATOS_[[Sexo]:[Sexo]]=$B56,IF(DATOS_[[AGRUP. CLAS. PROF.]:[AGRUP. CLAS. PROF.]]=$B54,IF(DATOS_[[Check Periodo Ref.]:[Check Periodo Ref.]]="Dentro",DATOS_[Conc.Sal.06]))))), 0)</f>
        <v>0</v>
      </c>
      <c r="L56" s="209" t="n">
        <f aca="false" t="array" ref="L56:L56">IFERROR( AVERAGE((IF(DATOS_[[Sexo]:[Sexo]]=$B56,IF(DATOS_[[AGRUP. CLAS. PROF.]:[AGRUP. CLAS. PROF.]]=$B54,IF(DATOS_[[Check Periodo Ref.]:[Check Periodo Ref.]]="Dentro",DATOS_[Conc.Sal.07]))))), 0)</f>
        <v>0</v>
      </c>
      <c r="M56" s="209" t="n">
        <f aca="false" t="array" ref="M56:M56">IFERROR( AVERAGE((IF(DATOS_[[Sexo]:[Sexo]]=$B56,IF(DATOS_[[AGRUP. CLAS. PROF.]:[AGRUP. CLAS. PROF.]]=$B54,IF(DATOS_[[Check Periodo Ref.]:[Check Periodo Ref.]]="Dentro",DATOS_[Conc.Sal.08]))))), 0)</f>
        <v>0</v>
      </c>
      <c r="N56" s="209" t="n">
        <f aca="false" t="array" ref="N56:N56">IFERROR( AVERAGE((IF(DATOS_[[Sexo]:[Sexo]]=$B56,IF(DATOS_[[AGRUP. CLAS. PROF.]:[AGRUP. CLAS. PROF.]]=$B54,IF(DATOS_[[Check Periodo Ref.]:[Check Periodo Ref.]]="Dentro",DATOS_[Conc.Sal.09]))))), 0)</f>
        <v>0</v>
      </c>
      <c r="O56" s="209" t="n">
        <f aca="false" t="array" ref="O56:O56">IFERROR( AVERAGE((IF(DATOS_[[Sexo]:[Sexo]]=$B56,IF(DATOS_[[AGRUP. CLAS. PROF.]:[AGRUP. CLAS. PROF.]]=$B54,IF(DATOS_[[Check Periodo Ref.]:[Check Periodo Ref.]]="Dentro",DATOS_[Conc.Sal.10]))))), 0)</f>
        <v>0</v>
      </c>
      <c r="P56" s="209" t="n">
        <f aca="false" t="array" ref="P56:P56">IFERROR( AVERAGE((IF(DATOS_[[Sexo]:[Sexo]]=$B56,IF(DATOS_[[AGRUP. CLAS. PROF.]:[AGRUP. CLAS. PROF.]]=$B54,IF(DATOS_[[Check Periodo Ref.]:[Check Periodo Ref.]]="Dentro",DATOS_[Conc.Sal.11]))))), 0)</f>
        <v>0</v>
      </c>
      <c r="Q56" s="209" t="n">
        <f aca="false" t="array" ref="Q56:Q56">IFERROR( AVERAGE((IF(DATOS_[[Sexo]:[Sexo]]=$B56,IF(DATOS_[[AGRUP. CLAS. PROF.]:[AGRUP. CLAS. PROF.]]=$B54,IF(DATOS_[[Check Periodo Ref.]:[Check Periodo Ref.]]="Dentro",DATOS_[Conc.Sal.12]))))), 0)</f>
        <v>0</v>
      </c>
      <c r="R56" s="209" t="n">
        <f aca="false" t="array" ref="R56:R56">IFERROR( AVERAGE((IF(DATOS_[[Sexo]:[Sexo]]=$B56,IF(DATOS_[[AGRUP. CLAS. PROF.]:[AGRUP. CLAS. PROF.]]=$B54,IF(DATOS_[[Check Periodo Ref.]:[Check Periodo Ref.]]="Dentro",DATOS_[Conc.Sal.13]))))), 0)</f>
        <v>0</v>
      </c>
      <c r="S56" s="209" t="n">
        <f aca="false" t="array" ref="S56:S56">IFERROR( AVERAGE((IF(DATOS_[[Sexo]:[Sexo]]=$B56,IF(DATOS_[[AGRUP. CLAS. PROF.]:[AGRUP. CLAS. PROF.]]=$B54,IF(DATOS_[[Check Periodo Ref.]:[Check Periodo Ref.]]="Dentro",DATOS_[Conc.Sal.14]))))), 0)</f>
        <v>0</v>
      </c>
      <c r="T56" s="209" t="n">
        <f aca="false" t="array" ref="T56:T56">IFERROR( AVERAGE((IF(DATOS_[[Sexo]:[Sexo]]=$B56,IF(DATOS_[[AGRUP. CLAS. PROF.]:[AGRUP. CLAS. PROF.]]=$B54,IF(DATOS_[[Check Periodo Ref.]:[Check Periodo Ref.]]="Dentro",DATOS_[Conc.Sal.15]))))), 0)</f>
        <v>0</v>
      </c>
      <c r="U56" s="209" t="n">
        <f aca="false" t="array" ref="U56:U56">IFERROR( AVERAGE((IF(DATOS_[[Sexo]:[Sexo]]=$B56,IF(DATOS_[[AGRUP. CLAS. PROF.]:[AGRUP. CLAS. PROF.]]=$B54,IF(DATOS_[[Check Periodo Ref.]:[Check Periodo Ref.]]="Dentro",DATOS_[Conc.Sal.16]))))), 0)</f>
        <v>0</v>
      </c>
      <c r="V56" s="209" t="n">
        <f aca="false" t="array" ref="V56:V56">IFERROR( AVERAGE((IF(DATOS_[[Sexo]:[Sexo]]=$B56,IF(DATOS_[[AGRUP. CLAS. PROF.]:[AGRUP. CLAS. PROF.]]=$B54,IF(DATOS_[[Check Periodo Ref.]:[Check Periodo Ref.]]="Dentro",DATOS_[Conc.Sal.17]))))), 0)</f>
        <v>0</v>
      </c>
      <c r="W56" s="209" t="n">
        <f aca="false" t="array" ref="W56:W56">IFERROR( AVERAGE((IF(DATOS_[[Sexo]:[Sexo]]=$B56,IF(DATOS_[[AGRUP. CLAS. PROF.]:[AGRUP. CLAS. PROF.]]=$B54,IF(DATOS_[[Check Periodo Ref.]:[Check Periodo Ref.]]="Dentro",DATOS_[Conc.Sal.18]))))), 0)</f>
        <v>0</v>
      </c>
      <c r="X56" s="209" t="n">
        <f aca="false" t="array" ref="X56:X56">IFERROR( AVERAGE((IF(DATOS_[[Sexo]:[Sexo]]=$B56,IF(DATOS_[[AGRUP. CLAS. PROF.]:[AGRUP. CLAS. PROF.]]=$B54,IF(DATOS_[[Check Periodo Ref.]:[Check Periodo Ref.]]="Dentro",DATOS_[Conc.Sal.19]))))), 0)</f>
        <v>0</v>
      </c>
      <c r="Y56" s="209" t="n">
        <f aca="false" t="array" ref="Y56:Y56">IFERROR( AVERAGE((IF(DATOS_[[Sexo]:[Sexo]]=$B56,IF(DATOS_[[AGRUP. CLAS. PROF.]:[AGRUP. CLAS. PROF.]]=$B54,IF(DATOS_[[Check Periodo Ref.]:[Check Periodo Ref.]]="Dentro",DATOS_[Conc.Sal.20]))))), 0)</f>
        <v>0</v>
      </c>
      <c r="Z56" s="209" t="n">
        <f aca="false" t="array" ref="Z56:Z56">IFERROR( AVERAGE((IF(DATOS_[[Sexo]:[Sexo]]=$B56,IF(DATOS_[[AGRUP. CLAS. PROF.]:[AGRUP. CLAS. PROF.]]=$B54,IF(DATOS_[[Check Periodo Ref.]:[Check Periodo Ref.]]="Dentro",DATOS_[Conc.Sal.21]))))), 0)</f>
        <v>0</v>
      </c>
      <c r="AA56" s="209" t="n">
        <f aca="false" t="array" ref="AA56:AA56">IFERROR( AVERAGE((IF(DATOS_[[Sexo]:[Sexo]]=$B56,IF(DATOS_[[AGRUP. CLAS. PROF.]:[AGRUP. CLAS. PROF.]]=$B54,IF(DATOS_[[Check Periodo Ref.]:[Check Periodo Ref.]]="Dentro",DATOS_[Conc.Sal.22]))))), 0)</f>
        <v>0</v>
      </c>
      <c r="AB56" s="209" t="n">
        <f aca="false" t="array" ref="AB56:AB56">IFERROR( AVERAGE((IF(DATOS_[[Sexo]:[Sexo]]=$B56,IF(DATOS_[[AGRUP. CLAS. PROF.]:[AGRUP. CLAS. PROF.]]=$B54,IF(DATOS_[[Check Periodo Ref.]:[Check Periodo Ref.]]="Dentro",DATOS_[Conc.Sal.23]))))), 0)</f>
        <v>0</v>
      </c>
      <c r="AC56" s="209" t="n">
        <f aca="false" t="array" ref="AC56:AC56">IFERROR( AVERAGE((IF(DATOS_[[Sexo]:[Sexo]]=$B56,IF(DATOS_[[AGRUP. CLAS. PROF.]:[AGRUP. CLAS. PROF.]]=$B54,IF(DATOS_[[Check Periodo Ref.]:[Check Periodo Ref.]]="Dentro",DATOS_[Conc.Sal.24]))))), 0)</f>
        <v>0</v>
      </c>
      <c r="AD56" s="209" t="n">
        <f aca="false" t="array" ref="AD56:AD56">IFERROR( AVERAGE((IF(DATOS_[[Sexo]:[Sexo]]=$B56,IF(DATOS_[[AGRUP. CLAS. PROF.]:[AGRUP. CLAS. PROF.]]=$B54,IF(DATOS_[[Check Periodo Ref.]:[Check Periodo Ref.]]="Dentro",DATOS_[Conc.Sal.25]))))), 0)</f>
        <v>0</v>
      </c>
      <c r="AE56" s="209" t="n">
        <f aca="false" t="array" ref="AE56:AE56">IFERROR( AVERAGE((IF(DATOS_[[Sexo]:[Sexo]]=$B56,IF(DATOS_[[AGRUP. CLAS. PROF.]:[AGRUP. CLAS. PROF.]]=$B54,IF(DATOS_[[Check Periodo Ref.]:[Check Periodo Ref.]]="Dentro",DATOS_[Conc.Sal.26]))))), 0)</f>
        <v>0</v>
      </c>
      <c r="AF56" s="209" t="n">
        <f aca="false" t="array" ref="AF56:AF56">IFERROR( AVERAGE((IF(DATOS_[[Sexo]:[Sexo]]=$B56,IF(DATOS_[[AGRUP. CLAS. PROF.]:[AGRUP. CLAS. PROF.]]=$B54,IF(DATOS_[[Check Periodo Ref.]:[Check Periodo Ref.]]="Dentro",DATOS_[Conc.Sal.27]))))), 0)</f>
        <v>0</v>
      </c>
      <c r="AG56" s="209" t="n">
        <f aca="false" t="array" ref="AG56:AG56">IFERROR( AVERAGE((IF(DATOS_[[Sexo]:[Sexo]]=$B56,IF(DATOS_[[AGRUP. CLAS. PROF.]:[AGRUP. CLAS. PROF.]]=$B54,IF(DATOS_[[Check Periodo Ref.]:[Check Periodo Ref.]]="Dentro",DATOS_[Conc.Sal.28]))))), 0)</f>
        <v>0</v>
      </c>
      <c r="AH56" s="209" t="n">
        <f aca="false" t="array" ref="AH56:AH56">IFERROR( AVERAGE((IF(DATOS_[[Sexo]:[Sexo]]=$B56,IF(DATOS_[[AGRUP. CLAS. PROF.]:[AGRUP. CLAS. PROF.]]=$B54,IF(DATOS_[[Check Periodo Ref.]:[Check Periodo Ref.]]="Dentro",DATOS_[Conc.Sal.29]))))), 0)</f>
        <v>0</v>
      </c>
      <c r="AI56" s="209" t="n">
        <f aca="false" t="array" ref="AI56:AI56">IFERROR( AVERAGE((IF(DATOS_[[Sexo]:[Sexo]]=$B56,IF(DATOS_[[AGRUP. CLAS. PROF.]:[AGRUP. CLAS. PROF.]]=$B54,IF(DATOS_[[Check Periodo Ref.]:[Check Periodo Ref.]]="Dentro",DATOS_[Conc.Sal.30]))))), 0)</f>
        <v>0</v>
      </c>
      <c r="AJ56" s="210" t="n">
        <f aca="false" t="array" ref="AJ56:AJ56">IFERROR( AVERAGE(IF(DATOS_[Sexo]=$B56,IF(DATOS_[AGRUP. CLAS. PROF.]=$B54,IF(DATOS_[Check Periodo Ref.]="Dentro",DATOS_[Tot COMPL.SAL Ef],0)))), 0)</f>
        <v>0</v>
      </c>
      <c r="AK56" s="211" t="n">
        <f aca="false" t="array" ref="AK56:AK56">IFERROR( AVERAGE(IF(DATOS_[Sexo]=$B56,IF(DATOS_[AGRUP. CLAS. PROF.]=$B54,IF(DATOS_[Check Periodo Ref.]="Dentro",DATOS_[TOTAL SALARIO Ef],0)))), 0)</f>
        <v>0</v>
      </c>
      <c r="AL56" s="212" t="n">
        <f aca="false" t="array" ref="AL56:AL56">IFERROR( AVERAGE((IF(DATOS_[[Sexo]:[Sexo]]=$B56,IF(DATOS_[[AGRUP. CLAS. PROF.]:[AGRUP. CLAS. PROF.]]=$B54,IF(DATOS_[[Check Periodo Ref.]:[Check Periodo Ref.]]="Dentro",DATOS_[C.Extra.01]))))), 0)</f>
        <v>0</v>
      </c>
      <c r="AM56" s="212" t="n">
        <f aca="false" t="array" ref="AM56:AM56">IFERROR( AVERAGE((IF(DATOS_[[Sexo]:[Sexo]]=$B56,IF(DATOS_[[AGRUP. CLAS. PROF.]:[AGRUP. CLAS. PROF.]]=$B54,IF(DATOS_[[Check Periodo Ref.]:[Check Periodo Ref.]]="Dentro",DATOS_[C.Extra.02]))))), 0)</f>
        <v>0</v>
      </c>
      <c r="AN56" s="212" t="n">
        <f aca="false" t="array" ref="AN56:AN56">IFERROR( AVERAGE((IF(DATOS_[[Sexo]:[Sexo]]=$B56,IF(DATOS_[[AGRUP. CLAS. PROF.]:[AGRUP. CLAS. PROF.]]=$B54,IF(DATOS_[[Check Periodo Ref.]:[Check Periodo Ref.]]="Dentro",DATOS_[C.Extra.03]))))), 0)</f>
        <v>0</v>
      </c>
      <c r="AO56" s="212" t="n">
        <f aca="false" t="array" ref="AO56:AO56">IFERROR( AVERAGE((IF(DATOS_[[Sexo]:[Sexo]]=$B56,IF(DATOS_[[AGRUP. CLAS. PROF.]:[AGRUP. CLAS. PROF.]]=$B54,IF(DATOS_[[Check Periodo Ref.]:[Check Periodo Ref.]]="Dentro",DATOS_[C.Extra.04]))))), 0)</f>
        <v>0</v>
      </c>
      <c r="AP56" s="212" t="n">
        <f aca="false" t="array" ref="AP56:AP56">IFERROR( AVERAGE((IF(DATOS_[[Sexo]:[Sexo]]=$B56,IF(DATOS_[[AGRUP. CLAS. PROF.]:[AGRUP. CLAS. PROF.]]=$B54,IF(DATOS_[[Check Periodo Ref.]:[Check Periodo Ref.]]="Dentro",DATOS_[C.Extra.05]))))), 0)</f>
        <v>0</v>
      </c>
      <c r="AQ56" s="213" t="n">
        <f aca="false" t="array" ref="AQ56:AQ56">IFERROR( AVERAGE(IF(DATOS_[Sexo]=$B56,IF(DATOS_[AGRUP. CLAS. PROF.]=$B54,IF(DATOS_[Check Periodo Ref.]="Dentro",DATOS_[Tot Extrasalarial Ef],0)))), 0)</f>
        <v>0</v>
      </c>
      <c r="AR56" s="214" t="n">
        <f aca="false" t="array" ref="AR56:AR56">IFERROR( AVERAGE(IF(DATOS_[Sexo]=$B56,IF(DATOS_[AGRUP. CLAS. PROF.]=$B54,IF(DATOS_[Check Periodo Ref.]="Dentro",DATOS_[TOTAL Retrib Ef],0)))), 0)</f>
        <v>0</v>
      </c>
    </row>
    <row r="57" customFormat="false" ht="15.75" hidden="false" customHeight="false" outlineLevel="0" collapsed="false">
      <c r="A57" s="191" t="str">
        <f aca="false">+A58</f>
        <v>[ocultar]</v>
      </c>
      <c r="B57" s="192" t="s">
        <v>210</v>
      </c>
      <c r="C57" s="193"/>
      <c r="D57" s="194"/>
      <c r="E57" s="195" t="str">
        <f aca="false">IFERROR((E58-E59)/E58,"")</f>
        <v/>
      </c>
      <c r="F57" s="196" t="str">
        <f aca="false">IFERROR((F58-F59)/F58,"")</f>
        <v/>
      </c>
      <c r="G57" s="197" t="str">
        <f aca="false">IFERROR((G58-G59)/G58,"")</f>
        <v/>
      </c>
      <c r="H57" s="197" t="str">
        <f aca="false">IFERROR((H58-H59)/H58,"")</f>
        <v/>
      </c>
      <c r="I57" s="197" t="str">
        <f aca="false">IFERROR((I58-I59)/I58,"")</f>
        <v/>
      </c>
      <c r="J57" s="198" t="str">
        <f aca="false">IFERROR((J58-J59)/J58,"")</f>
        <v/>
      </c>
      <c r="K57" s="199" t="str">
        <f aca="false">IFERROR((K58-K59)/K58,"")</f>
        <v/>
      </c>
      <c r="L57" s="199" t="str">
        <f aca="false">IFERROR((L58-L59)/L58,"")</f>
        <v/>
      </c>
      <c r="M57" s="199" t="str">
        <f aca="false">IFERROR((M58-M59)/M58,"")</f>
        <v/>
      </c>
      <c r="N57" s="199" t="str">
        <f aca="false">IFERROR((N58-N59)/N58,"")</f>
        <v/>
      </c>
      <c r="O57" s="199" t="str">
        <f aca="false">IFERROR((O58-O59)/O58,"")</f>
        <v/>
      </c>
      <c r="P57" s="199" t="str">
        <f aca="false">IFERROR((P58-P59)/P58,"")</f>
        <v/>
      </c>
      <c r="Q57" s="199" t="str">
        <f aca="false">IFERROR((Q58-Q59)/Q58,"")</f>
        <v/>
      </c>
      <c r="R57" s="199" t="str">
        <f aca="false">IFERROR((R58-R59)/R58,"")</f>
        <v/>
      </c>
      <c r="S57" s="199" t="str">
        <f aca="false">IFERROR((S58-S59)/S58,"")</f>
        <v/>
      </c>
      <c r="T57" s="199" t="str">
        <f aca="false">IFERROR((T58-T59)/T58,"")</f>
        <v/>
      </c>
      <c r="U57" s="199" t="str">
        <f aca="false">IFERROR((U58-U59)/U58,"")</f>
        <v/>
      </c>
      <c r="V57" s="198" t="str">
        <f aca="false">IFERROR((V58-V59)/V58,"")</f>
        <v/>
      </c>
      <c r="W57" s="198" t="str">
        <f aca="false">IFERROR((W58-W59)/W58,"")</f>
        <v/>
      </c>
      <c r="X57" s="198" t="str">
        <f aca="false">IFERROR((X58-X59)/X58,"")</f>
        <v/>
      </c>
      <c r="Y57" s="198" t="str">
        <f aca="false">IFERROR((Y58-Y59)/Y58,"")</f>
        <v/>
      </c>
      <c r="Z57" s="198" t="str">
        <f aca="false">IFERROR((Z58-Z59)/Z58,"")</f>
        <v/>
      </c>
      <c r="AA57" s="198" t="str">
        <f aca="false">IFERROR((AA58-AA59)/AA58,"")</f>
        <v/>
      </c>
      <c r="AB57" s="198" t="str">
        <f aca="false">IFERROR((AB58-AB59)/AB58,"")</f>
        <v/>
      </c>
      <c r="AC57" s="198" t="str">
        <f aca="false">IFERROR((AC58-AC59)/AC58,"")</f>
        <v/>
      </c>
      <c r="AD57" s="198" t="str">
        <f aca="false">IFERROR((AD58-AD59)/AD58,"")</f>
        <v/>
      </c>
      <c r="AE57" s="198" t="str">
        <f aca="false">IFERROR((AE58-AE59)/AE58,"")</f>
        <v/>
      </c>
      <c r="AF57" s="198" t="str">
        <f aca="false">IFERROR((AF58-AF59)/AF58,"")</f>
        <v/>
      </c>
      <c r="AG57" s="198" t="str">
        <f aca="false">IFERROR((AG58-AG59)/AG58,"")</f>
        <v/>
      </c>
      <c r="AH57" s="198" t="str">
        <f aca="false">IFERROR((AH58-AH59)/AH58,"")</f>
        <v/>
      </c>
      <c r="AI57" s="198" t="str">
        <f aca="false">IFERROR((AI58-AI59)/AI58,"")</f>
        <v/>
      </c>
      <c r="AJ57" s="200" t="str">
        <f aca="false">IFERROR((AJ58-AJ59)/AJ58,"")</f>
        <v/>
      </c>
      <c r="AK57" s="201" t="str">
        <f aca="false">IFERROR((AK58-AK59)/AK58,"")</f>
        <v/>
      </c>
      <c r="AL57" s="202" t="str">
        <f aca="false">IFERROR((AL58-AL59)/AL58,"")</f>
        <v/>
      </c>
      <c r="AM57" s="202" t="str">
        <f aca="false">IFERROR((AM58-AM59)/AM58,"")</f>
        <v/>
      </c>
      <c r="AN57" s="202" t="str">
        <f aca="false">IFERROR((AN58-AN59)/AN58,"")</f>
        <v/>
      </c>
      <c r="AO57" s="202" t="str">
        <f aca="false">IFERROR((AO58-AO59)/AO58,"")</f>
        <v/>
      </c>
      <c r="AP57" s="202" t="str">
        <f aca="false">IFERROR((AP58-AP59)/AP58,"")</f>
        <v/>
      </c>
      <c r="AQ57" s="203" t="str">
        <f aca="false">IFERROR((AQ58-AQ59)/AQ58,"")</f>
        <v/>
      </c>
      <c r="AR57" s="204" t="str">
        <f aca="false">IFERROR((AR58-AR59)/AR58,"")</f>
        <v/>
      </c>
    </row>
    <row r="58" customFormat="false" ht="14.25" hidden="false" customHeight="false" outlineLevel="0" collapsed="false">
      <c r="A58" s="191" t="str">
        <f aca="false">+IF(C58+C59=0,"[ocultar]","")</f>
        <v>[ocultar]</v>
      </c>
      <c r="B58" s="205" t="s">
        <v>371</v>
      </c>
      <c r="C58" s="206" t="n">
        <f aca="false" t="array" ref="C58:C58">SUM(IF($B58=DATOS_[Sexo], IF($B57=DATOS_[AGRUP. CLAS. PROF.], IF("Dentro"=DATOS_[Check Periodo Ref.], 1/(COUNTIFS(DATOS_[Sexo],$B58,DATOS_[AGRUP. CLAS. PROF.],$B57,DATOS_[Check Periodo Ref.],"Dentro",DATOS_[id],DATOS_[id]))))))</f>
        <v>0</v>
      </c>
      <c r="D58" s="207" t="n">
        <f aca="false">COUNTIFS(DATOS_[AGRUP. CLAS. PROF.],$B57,DATOS_[Sexo],$B58,DATOS_[Check Periodo Ref.],"Dentro")</f>
        <v>0</v>
      </c>
      <c r="E58" s="208" t="n">
        <f aca="false" t="array" ref="E58:E58">IFERROR( AVERAGE(IF(DATOS_[Sexo]=$B58,IF(DATOS_[AGRUP. CLAS. PROF.]=$B57,IF(DATOS_[Check Periodo Ref.]="Dentro",DATOS_[SALARIO BASE Ef],0)))), 0)</f>
        <v>0</v>
      </c>
      <c r="F58" s="209" t="n">
        <f aca="false" t="array" ref="F58:F58">IFERROR( AVERAGE((IF(DATOS_[[Sexo]:[Sexo]]=$B58,IF(DATOS_[[AGRUP. CLAS. PROF.]:[AGRUP. CLAS. PROF.]]=$B57,IF(DATOS_[[Check Periodo Ref.]:[Check Periodo Ref.]]="Dentro",DATOS_[Conc.Sal.01]))))), 0)</f>
        <v>0</v>
      </c>
      <c r="G58" s="209" t="n">
        <f aca="false" t="array" ref="G58:G58">IFERROR( AVERAGE((IF(DATOS_[[Sexo]:[Sexo]]=$B58,IF(DATOS_[[AGRUP. CLAS. PROF.]:[AGRUP. CLAS. PROF.]]=$B57,IF(DATOS_[[Check Periodo Ref.]:[Check Periodo Ref.]]="Dentro",DATOS_[Conc.Sal.02]))))), 0)</f>
        <v>0</v>
      </c>
      <c r="H58" s="209" t="n">
        <f aca="false" t="array" ref="H58:H58">IFERROR( AVERAGE((IF(DATOS_[[Sexo]:[Sexo]]=$B58,IF(DATOS_[[AGRUP. CLAS. PROF.]:[AGRUP. CLAS. PROF.]]=$B57,IF(DATOS_[[Check Periodo Ref.]:[Check Periodo Ref.]]="Dentro",DATOS_[Conc.Sal.03]))))), 0)</f>
        <v>0</v>
      </c>
      <c r="I58" s="209" t="n">
        <f aca="false" t="array" ref="I58:I58">IFERROR( AVERAGE((IF(DATOS_[[Sexo]:[Sexo]]=$B58,IF(DATOS_[[AGRUP. CLAS. PROF.]:[AGRUP. CLAS. PROF.]]=$B57,IF(DATOS_[[Check Periodo Ref.]:[Check Periodo Ref.]]="Dentro",DATOS_[Conc.Sal.04]))))), 0)</f>
        <v>0</v>
      </c>
      <c r="J58" s="209" t="n">
        <f aca="false" t="array" ref="J58:J58">IFERROR( AVERAGE((IF(DATOS_[[Sexo]:[Sexo]]=$B58,IF(DATOS_[[AGRUP. CLAS. PROF.]:[AGRUP. CLAS. PROF.]]=$B57,IF(DATOS_[[Check Periodo Ref.]:[Check Periodo Ref.]]="Dentro",DATOS_[Conc.Sal.05]))))), 0)</f>
        <v>0</v>
      </c>
      <c r="K58" s="209" t="n">
        <f aca="false" t="array" ref="K58:K58">IFERROR( AVERAGE((IF(DATOS_[[Sexo]:[Sexo]]=$B58,IF(DATOS_[[AGRUP. CLAS. PROF.]:[AGRUP. CLAS. PROF.]]=$B57,IF(DATOS_[[Check Periodo Ref.]:[Check Periodo Ref.]]="Dentro",DATOS_[Conc.Sal.06]))))), 0)</f>
        <v>0</v>
      </c>
      <c r="L58" s="209" t="n">
        <f aca="false" t="array" ref="L58:L58">IFERROR( AVERAGE((IF(DATOS_[[Sexo]:[Sexo]]=$B58,IF(DATOS_[[AGRUP. CLAS. PROF.]:[AGRUP. CLAS. PROF.]]=$B57,IF(DATOS_[[Check Periodo Ref.]:[Check Periodo Ref.]]="Dentro",DATOS_[Conc.Sal.07]))))), 0)</f>
        <v>0</v>
      </c>
      <c r="M58" s="209" t="n">
        <f aca="false" t="array" ref="M58:M58">IFERROR( AVERAGE((IF(DATOS_[[Sexo]:[Sexo]]=$B58,IF(DATOS_[[AGRUP. CLAS. PROF.]:[AGRUP. CLAS. PROF.]]=$B57,IF(DATOS_[[Check Periodo Ref.]:[Check Periodo Ref.]]="Dentro",DATOS_[Conc.Sal.08]))))), 0)</f>
        <v>0</v>
      </c>
      <c r="N58" s="209" t="n">
        <f aca="false" t="array" ref="N58:N58">IFERROR( AVERAGE((IF(DATOS_[[Sexo]:[Sexo]]=$B58,IF(DATOS_[[AGRUP. CLAS. PROF.]:[AGRUP. CLAS. PROF.]]=$B57,IF(DATOS_[[Check Periodo Ref.]:[Check Periodo Ref.]]="Dentro",DATOS_[Conc.Sal.09]))))), 0)</f>
        <v>0</v>
      </c>
      <c r="O58" s="209" t="n">
        <f aca="false" t="array" ref="O58:O58">IFERROR( AVERAGE((IF(DATOS_[[Sexo]:[Sexo]]=$B58,IF(DATOS_[[AGRUP. CLAS. PROF.]:[AGRUP. CLAS. PROF.]]=$B57,IF(DATOS_[[Check Periodo Ref.]:[Check Periodo Ref.]]="Dentro",DATOS_[Conc.Sal.10]))))), 0)</f>
        <v>0</v>
      </c>
      <c r="P58" s="209" t="n">
        <f aca="false" t="array" ref="P58:P58">IFERROR( AVERAGE((IF(DATOS_[[Sexo]:[Sexo]]=$B58,IF(DATOS_[[AGRUP. CLAS. PROF.]:[AGRUP. CLAS. PROF.]]=$B57,IF(DATOS_[[Check Periodo Ref.]:[Check Periodo Ref.]]="Dentro",DATOS_[Conc.Sal.11]))))), 0)</f>
        <v>0</v>
      </c>
      <c r="Q58" s="209" t="n">
        <f aca="false" t="array" ref="Q58:Q58">IFERROR( AVERAGE((IF(DATOS_[[Sexo]:[Sexo]]=$B58,IF(DATOS_[[AGRUP. CLAS. PROF.]:[AGRUP. CLAS. PROF.]]=$B57,IF(DATOS_[[Check Periodo Ref.]:[Check Periodo Ref.]]="Dentro",DATOS_[Conc.Sal.12]))))), 0)</f>
        <v>0</v>
      </c>
      <c r="R58" s="209" t="n">
        <f aca="false" t="array" ref="R58:R58">IFERROR( AVERAGE((IF(DATOS_[[Sexo]:[Sexo]]=$B58,IF(DATOS_[[AGRUP. CLAS. PROF.]:[AGRUP. CLAS. PROF.]]=$B57,IF(DATOS_[[Check Periodo Ref.]:[Check Periodo Ref.]]="Dentro",DATOS_[Conc.Sal.13]))))), 0)</f>
        <v>0</v>
      </c>
      <c r="S58" s="209" t="n">
        <f aca="false" t="array" ref="S58:S58">IFERROR( AVERAGE((IF(DATOS_[[Sexo]:[Sexo]]=$B58,IF(DATOS_[[AGRUP. CLAS. PROF.]:[AGRUP. CLAS. PROF.]]=$B57,IF(DATOS_[[Check Periodo Ref.]:[Check Periodo Ref.]]="Dentro",DATOS_[Conc.Sal.14]))))), 0)</f>
        <v>0</v>
      </c>
      <c r="T58" s="209" t="n">
        <f aca="false" t="array" ref="T58:T58">IFERROR( AVERAGE((IF(DATOS_[[Sexo]:[Sexo]]=$B58,IF(DATOS_[[AGRUP. CLAS. PROF.]:[AGRUP. CLAS. PROF.]]=$B57,IF(DATOS_[[Check Periodo Ref.]:[Check Periodo Ref.]]="Dentro",DATOS_[Conc.Sal.15]))))), 0)</f>
        <v>0</v>
      </c>
      <c r="U58" s="209" t="n">
        <f aca="false" t="array" ref="U58:U58">IFERROR( AVERAGE((IF(DATOS_[[Sexo]:[Sexo]]=$B58,IF(DATOS_[[AGRUP. CLAS. PROF.]:[AGRUP. CLAS. PROF.]]=$B57,IF(DATOS_[[Check Periodo Ref.]:[Check Periodo Ref.]]="Dentro",DATOS_[Conc.Sal.16]))))), 0)</f>
        <v>0</v>
      </c>
      <c r="V58" s="209" t="n">
        <f aca="false" t="array" ref="V58:V58">IFERROR( AVERAGE((IF(DATOS_[[Sexo]:[Sexo]]=$B58,IF(DATOS_[[AGRUP. CLAS. PROF.]:[AGRUP. CLAS. PROF.]]=$B57,IF(DATOS_[[Check Periodo Ref.]:[Check Periodo Ref.]]="Dentro",DATOS_[Conc.Sal.17]))))), 0)</f>
        <v>0</v>
      </c>
      <c r="W58" s="209" t="n">
        <f aca="false" t="array" ref="W58:W58">IFERROR( AVERAGE((IF(DATOS_[[Sexo]:[Sexo]]=$B58,IF(DATOS_[[AGRUP. CLAS. PROF.]:[AGRUP. CLAS. PROF.]]=$B57,IF(DATOS_[[Check Periodo Ref.]:[Check Periodo Ref.]]="Dentro",DATOS_[Conc.Sal.18]))))), 0)</f>
        <v>0</v>
      </c>
      <c r="X58" s="209" t="n">
        <f aca="false" t="array" ref="X58:X58">IFERROR( AVERAGE((IF(DATOS_[[Sexo]:[Sexo]]=$B58,IF(DATOS_[[AGRUP. CLAS. PROF.]:[AGRUP. CLAS. PROF.]]=$B57,IF(DATOS_[[Check Periodo Ref.]:[Check Periodo Ref.]]="Dentro",DATOS_[Conc.Sal.19]))))), 0)</f>
        <v>0</v>
      </c>
      <c r="Y58" s="209" t="n">
        <f aca="false" t="array" ref="Y58:Y58">IFERROR( AVERAGE((IF(DATOS_[[Sexo]:[Sexo]]=$B58,IF(DATOS_[[AGRUP. CLAS. PROF.]:[AGRUP. CLAS. PROF.]]=$B57,IF(DATOS_[[Check Periodo Ref.]:[Check Periodo Ref.]]="Dentro",DATOS_[Conc.Sal.20]))))), 0)</f>
        <v>0</v>
      </c>
      <c r="Z58" s="209" t="n">
        <f aca="false" t="array" ref="Z58:Z58">IFERROR( AVERAGE((IF(DATOS_[[Sexo]:[Sexo]]=$B58,IF(DATOS_[[AGRUP. CLAS. PROF.]:[AGRUP. CLAS. PROF.]]=$B57,IF(DATOS_[[Check Periodo Ref.]:[Check Periodo Ref.]]="Dentro",DATOS_[Conc.Sal.21]))))), 0)</f>
        <v>0</v>
      </c>
      <c r="AA58" s="209" t="n">
        <f aca="false" t="array" ref="AA58:AA58">IFERROR( AVERAGE((IF(DATOS_[[Sexo]:[Sexo]]=$B58,IF(DATOS_[[AGRUP. CLAS. PROF.]:[AGRUP. CLAS. PROF.]]=$B57,IF(DATOS_[[Check Periodo Ref.]:[Check Periodo Ref.]]="Dentro",DATOS_[Conc.Sal.22]))))), 0)</f>
        <v>0</v>
      </c>
      <c r="AB58" s="209" t="n">
        <f aca="false" t="array" ref="AB58:AB58">IFERROR( AVERAGE((IF(DATOS_[[Sexo]:[Sexo]]=$B58,IF(DATOS_[[AGRUP. CLAS. PROF.]:[AGRUP. CLAS. PROF.]]=$B57,IF(DATOS_[[Check Periodo Ref.]:[Check Periodo Ref.]]="Dentro",DATOS_[Conc.Sal.23]))))), 0)</f>
        <v>0</v>
      </c>
      <c r="AC58" s="209" t="n">
        <f aca="false" t="array" ref="AC58:AC58">IFERROR( AVERAGE((IF(DATOS_[[Sexo]:[Sexo]]=$B58,IF(DATOS_[[AGRUP. CLAS. PROF.]:[AGRUP. CLAS. PROF.]]=$B57,IF(DATOS_[[Check Periodo Ref.]:[Check Periodo Ref.]]="Dentro",DATOS_[Conc.Sal.24]))))), 0)</f>
        <v>0</v>
      </c>
      <c r="AD58" s="209" t="n">
        <f aca="false" t="array" ref="AD58:AD58">IFERROR( AVERAGE((IF(DATOS_[[Sexo]:[Sexo]]=$B58,IF(DATOS_[[AGRUP. CLAS. PROF.]:[AGRUP. CLAS. PROF.]]=$B57,IF(DATOS_[[Check Periodo Ref.]:[Check Periodo Ref.]]="Dentro",DATOS_[Conc.Sal.25]))))), 0)</f>
        <v>0</v>
      </c>
      <c r="AE58" s="209" t="n">
        <f aca="false" t="array" ref="AE58:AE58">IFERROR( AVERAGE((IF(DATOS_[[Sexo]:[Sexo]]=$B58,IF(DATOS_[[AGRUP. CLAS. PROF.]:[AGRUP. CLAS. PROF.]]=$B57,IF(DATOS_[[Check Periodo Ref.]:[Check Periodo Ref.]]="Dentro",DATOS_[Conc.Sal.26]))))), 0)</f>
        <v>0</v>
      </c>
      <c r="AF58" s="209" t="n">
        <f aca="false" t="array" ref="AF58:AF58">IFERROR( AVERAGE((IF(DATOS_[[Sexo]:[Sexo]]=$B58,IF(DATOS_[[AGRUP. CLAS. PROF.]:[AGRUP. CLAS. PROF.]]=$B57,IF(DATOS_[[Check Periodo Ref.]:[Check Periodo Ref.]]="Dentro",DATOS_[Conc.Sal.27]))))), 0)</f>
        <v>0</v>
      </c>
      <c r="AG58" s="209" t="n">
        <f aca="false" t="array" ref="AG58:AG58">IFERROR( AVERAGE((IF(DATOS_[[Sexo]:[Sexo]]=$B58,IF(DATOS_[[AGRUP. CLAS. PROF.]:[AGRUP. CLAS. PROF.]]=$B57,IF(DATOS_[[Check Periodo Ref.]:[Check Periodo Ref.]]="Dentro",DATOS_[Conc.Sal.28]))))), 0)</f>
        <v>0</v>
      </c>
      <c r="AH58" s="209" t="n">
        <f aca="false" t="array" ref="AH58:AH58">IFERROR( AVERAGE((IF(DATOS_[[Sexo]:[Sexo]]=$B58,IF(DATOS_[[AGRUP. CLAS. PROF.]:[AGRUP. CLAS. PROF.]]=$B57,IF(DATOS_[[Check Periodo Ref.]:[Check Periodo Ref.]]="Dentro",DATOS_[Conc.Sal.29]))))), 0)</f>
        <v>0</v>
      </c>
      <c r="AI58" s="209" t="n">
        <f aca="false" t="array" ref="AI58:AI58">IFERROR( AVERAGE((IF(DATOS_[[Sexo]:[Sexo]]=$B58,IF(DATOS_[[AGRUP. CLAS. PROF.]:[AGRUP. CLAS. PROF.]]=$B57,IF(DATOS_[[Check Periodo Ref.]:[Check Periodo Ref.]]="Dentro",DATOS_[Conc.Sal.30]))))), 0)</f>
        <v>0</v>
      </c>
      <c r="AJ58" s="210" t="n">
        <f aca="false" t="array" ref="AJ58:AJ58">IFERROR( AVERAGE(IF(DATOS_[Sexo]=$B58,IF(DATOS_[AGRUP. CLAS. PROF.]=$B57,IF(DATOS_[Check Periodo Ref.]="Dentro",DATOS_[Tot COMPL.SAL Ef],0)))), 0)</f>
        <v>0</v>
      </c>
      <c r="AK58" s="211" t="n">
        <f aca="false" t="array" ref="AK58:AK58">IFERROR( AVERAGE(IF(DATOS_[Sexo]=$B58,IF(DATOS_[AGRUP. CLAS. PROF.]=$B57,IF(DATOS_[Check Periodo Ref.]="Dentro",DATOS_[TOTAL SALARIO Ef],0)))), 0)</f>
        <v>0</v>
      </c>
      <c r="AL58" s="212" t="n">
        <f aca="false" t="array" ref="AL58:AL58">IFERROR( AVERAGE((IF(DATOS_[[Sexo]:[Sexo]]=$B58,IF(DATOS_[[AGRUP. CLAS. PROF.]:[AGRUP. CLAS. PROF.]]=$B57,IF(DATOS_[[Check Periodo Ref.]:[Check Periodo Ref.]]="Dentro",DATOS_[C.Extra.01]))))), 0)</f>
        <v>0</v>
      </c>
      <c r="AM58" s="212" t="n">
        <f aca="false" t="array" ref="AM58:AM58">IFERROR( AVERAGE((IF(DATOS_[[Sexo]:[Sexo]]=$B58,IF(DATOS_[[AGRUP. CLAS. PROF.]:[AGRUP. CLAS. PROF.]]=$B57,IF(DATOS_[[Check Periodo Ref.]:[Check Periodo Ref.]]="Dentro",DATOS_[C.Extra.02]))))), 0)</f>
        <v>0</v>
      </c>
      <c r="AN58" s="212" t="n">
        <f aca="false" t="array" ref="AN58:AN58">IFERROR( AVERAGE((IF(DATOS_[[Sexo]:[Sexo]]=$B58,IF(DATOS_[[AGRUP. CLAS. PROF.]:[AGRUP. CLAS. PROF.]]=$B57,IF(DATOS_[[Check Periodo Ref.]:[Check Periodo Ref.]]="Dentro",DATOS_[C.Extra.03]))))), 0)</f>
        <v>0</v>
      </c>
      <c r="AO58" s="212" t="n">
        <f aca="false" t="array" ref="AO58:AO58">IFERROR( AVERAGE((IF(DATOS_[[Sexo]:[Sexo]]=$B58,IF(DATOS_[[AGRUP. CLAS. PROF.]:[AGRUP. CLAS. PROF.]]=$B57,IF(DATOS_[[Check Periodo Ref.]:[Check Periodo Ref.]]="Dentro",DATOS_[C.Extra.04]))))), 0)</f>
        <v>0</v>
      </c>
      <c r="AP58" s="212" t="n">
        <f aca="false" t="array" ref="AP58:AP58">IFERROR( AVERAGE((IF(DATOS_[[Sexo]:[Sexo]]=$B58,IF(DATOS_[[AGRUP. CLAS. PROF.]:[AGRUP. CLAS. PROF.]]=$B57,IF(DATOS_[[Check Periodo Ref.]:[Check Periodo Ref.]]="Dentro",DATOS_[C.Extra.05]))))), 0)</f>
        <v>0</v>
      </c>
      <c r="AQ58" s="213" t="n">
        <f aca="false" t="array" ref="AQ58:AQ58">IFERROR( AVERAGE(IF(DATOS_[Sexo]=$B58,IF(DATOS_[AGRUP. CLAS. PROF.]=$B57,IF(DATOS_[Check Periodo Ref.]="Dentro",DATOS_[Tot Extrasalarial Ef],0)))), 0)</f>
        <v>0</v>
      </c>
      <c r="AR58" s="214" t="n">
        <f aca="false" t="array" ref="AR58:AR58">IFERROR( AVERAGE(IF(DATOS_[Sexo]=$B58,IF(DATOS_[AGRUP. CLAS. PROF.]=$B57,IF(DATOS_[Check Periodo Ref.]="Dentro",DATOS_[TOTAL Retrib Ef],0)))), 0)</f>
        <v>0</v>
      </c>
    </row>
    <row r="59" customFormat="false" ht="14.25" hidden="false" customHeight="false" outlineLevel="0" collapsed="false">
      <c r="A59" s="191" t="str">
        <f aca="false">+A58</f>
        <v>[ocultar]</v>
      </c>
      <c r="B59" s="205" t="s">
        <v>372</v>
      </c>
      <c r="C59" s="206" t="n">
        <f aca="false" t="array" ref="C59:C59">SUM(IF($B59=DATOS_[Sexo], IF($B57=DATOS_[AGRUP. CLAS. PROF.], IF("Dentro"=DATOS_[Check Periodo Ref.], 1/(COUNTIFS(DATOS_[Sexo],$B59,DATOS_[AGRUP. CLAS. PROF.],$B57,DATOS_[Check Periodo Ref.],"Dentro",DATOS_[id],DATOS_[id]))))))</f>
        <v>0</v>
      </c>
      <c r="D59" s="207" t="n">
        <f aca="false">COUNTIFS(DATOS_[AGRUP. CLAS. PROF.],$B57,DATOS_[Sexo],$B59,DATOS_[Check Periodo Ref.],"Dentro")</f>
        <v>0</v>
      </c>
      <c r="E59" s="208" t="n">
        <f aca="false" t="array" ref="E59:E59">IFERROR( AVERAGE(IF(DATOS_[Sexo]=$B59,IF(DATOS_[AGRUP. CLAS. PROF.]=$B57,IF(DATOS_[Check Periodo Ref.]="Dentro",DATOS_[SALARIO BASE Ef],0)))), 0)</f>
        <v>0</v>
      </c>
      <c r="F59" s="209" t="n">
        <f aca="false" t="array" ref="F59:F59">IFERROR( AVERAGE((IF(DATOS_[[Sexo]:[Sexo]]=$B59,IF(DATOS_[[AGRUP. CLAS. PROF.]:[AGRUP. CLAS. PROF.]]=$B57,IF(DATOS_[[Check Periodo Ref.]:[Check Periodo Ref.]]="Dentro",DATOS_[Conc.Sal.01]))))), 0)</f>
        <v>0</v>
      </c>
      <c r="G59" s="209" t="n">
        <f aca="false" t="array" ref="G59:G59">IFERROR( AVERAGE((IF(DATOS_[[Sexo]:[Sexo]]=$B59,IF(DATOS_[[AGRUP. CLAS. PROF.]:[AGRUP. CLAS. PROF.]]=$B57,IF(DATOS_[[Check Periodo Ref.]:[Check Periodo Ref.]]="Dentro",DATOS_[Conc.Sal.02]))))), 0)</f>
        <v>0</v>
      </c>
      <c r="H59" s="209" t="n">
        <f aca="false" t="array" ref="H59:H59">IFERROR( AVERAGE((IF(DATOS_[[Sexo]:[Sexo]]=$B59,IF(DATOS_[[AGRUP. CLAS. PROF.]:[AGRUP. CLAS. PROF.]]=$B57,IF(DATOS_[[Check Periodo Ref.]:[Check Periodo Ref.]]="Dentro",DATOS_[Conc.Sal.03]))))), 0)</f>
        <v>0</v>
      </c>
      <c r="I59" s="209" t="n">
        <f aca="false" t="array" ref="I59:I59">IFERROR( AVERAGE((IF(DATOS_[[Sexo]:[Sexo]]=$B59,IF(DATOS_[[AGRUP. CLAS. PROF.]:[AGRUP. CLAS. PROF.]]=$B57,IF(DATOS_[[Check Periodo Ref.]:[Check Periodo Ref.]]="Dentro",DATOS_[Conc.Sal.04]))))), 0)</f>
        <v>0</v>
      </c>
      <c r="J59" s="209" t="n">
        <f aca="false" t="array" ref="J59:J59">IFERROR( AVERAGE((IF(DATOS_[[Sexo]:[Sexo]]=$B59,IF(DATOS_[[AGRUP. CLAS. PROF.]:[AGRUP. CLAS. PROF.]]=$B57,IF(DATOS_[[Check Periodo Ref.]:[Check Periodo Ref.]]="Dentro",DATOS_[Conc.Sal.05]))))), 0)</f>
        <v>0</v>
      </c>
      <c r="K59" s="209" t="n">
        <f aca="false" t="array" ref="K59:K59">IFERROR( AVERAGE((IF(DATOS_[[Sexo]:[Sexo]]=$B59,IF(DATOS_[[AGRUP. CLAS. PROF.]:[AGRUP. CLAS. PROF.]]=$B57,IF(DATOS_[[Check Periodo Ref.]:[Check Periodo Ref.]]="Dentro",DATOS_[Conc.Sal.06]))))), 0)</f>
        <v>0</v>
      </c>
      <c r="L59" s="209" t="n">
        <f aca="false" t="array" ref="L59:L59">IFERROR( AVERAGE((IF(DATOS_[[Sexo]:[Sexo]]=$B59,IF(DATOS_[[AGRUP. CLAS. PROF.]:[AGRUP. CLAS. PROF.]]=$B57,IF(DATOS_[[Check Periodo Ref.]:[Check Periodo Ref.]]="Dentro",DATOS_[Conc.Sal.07]))))), 0)</f>
        <v>0</v>
      </c>
      <c r="M59" s="209" t="n">
        <f aca="false" t="array" ref="M59:M59">IFERROR( AVERAGE((IF(DATOS_[[Sexo]:[Sexo]]=$B59,IF(DATOS_[[AGRUP. CLAS. PROF.]:[AGRUP. CLAS. PROF.]]=$B57,IF(DATOS_[[Check Periodo Ref.]:[Check Periodo Ref.]]="Dentro",DATOS_[Conc.Sal.08]))))), 0)</f>
        <v>0</v>
      </c>
      <c r="N59" s="209" t="n">
        <f aca="false" t="array" ref="N59:N59">IFERROR( AVERAGE((IF(DATOS_[[Sexo]:[Sexo]]=$B59,IF(DATOS_[[AGRUP. CLAS. PROF.]:[AGRUP. CLAS. PROF.]]=$B57,IF(DATOS_[[Check Periodo Ref.]:[Check Periodo Ref.]]="Dentro",DATOS_[Conc.Sal.09]))))), 0)</f>
        <v>0</v>
      </c>
      <c r="O59" s="209" t="n">
        <f aca="false" t="array" ref="O59:O59">IFERROR( AVERAGE((IF(DATOS_[[Sexo]:[Sexo]]=$B59,IF(DATOS_[[AGRUP. CLAS. PROF.]:[AGRUP. CLAS. PROF.]]=$B57,IF(DATOS_[[Check Periodo Ref.]:[Check Periodo Ref.]]="Dentro",DATOS_[Conc.Sal.10]))))), 0)</f>
        <v>0</v>
      </c>
      <c r="P59" s="209" t="n">
        <f aca="false" t="array" ref="P59:P59">IFERROR( AVERAGE((IF(DATOS_[[Sexo]:[Sexo]]=$B59,IF(DATOS_[[AGRUP. CLAS. PROF.]:[AGRUP. CLAS. PROF.]]=$B57,IF(DATOS_[[Check Periodo Ref.]:[Check Periodo Ref.]]="Dentro",DATOS_[Conc.Sal.11]))))), 0)</f>
        <v>0</v>
      </c>
      <c r="Q59" s="209" t="n">
        <f aca="false" t="array" ref="Q59:Q59">IFERROR( AVERAGE((IF(DATOS_[[Sexo]:[Sexo]]=$B59,IF(DATOS_[[AGRUP. CLAS. PROF.]:[AGRUP. CLAS. PROF.]]=$B57,IF(DATOS_[[Check Periodo Ref.]:[Check Periodo Ref.]]="Dentro",DATOS_[Conc.Sal.12]))))), 0)</f>
        <v>0</v>
      </c>
      <c r="R59" s="209" t="n">
        <f aca="false" t="array" ref="R59:R59">IFERROR( AVERAGE((IF(DATOS_[[Sexo]:[Sexo]]=$B59,IF(DATOS_[[AGRUP. CLAS. PROF.]:[AGRUP. CLAS. PROF.]]=$B57,IF(DATOS_[[Check Periodo Ref.]:[Check Periodo Ref.]]="Dentro",DATOS_[Conc.Sal.13]))))), 0)</f>
        <v>0</v>
      </c>
      <c r="S59" s="209" t="n">
        <f aca="false" t="array" ref="S59:S59">IFERROR( AVERAGE((IF(DATOS_[[Sexo]:[Sexo]]=$B59,IF(DATOS_[[AGRUP. CLAS. PROF.]:[AGRUP. CLAS. PROF.]]=$B57,IF(DATOS_[[Check Periodo Ref.]:[Check Periodo Ref.]]="Dentro",DATOS_[Conc.Sal.14]))))), 0)</f>
        <v>0</v>
      </c>
      <c r="T59" s="209" t="n">
        <f aca="false" t="array" ref="T59:T59">IFERROR( AVERAGE((IF(DATOS_[[Sexo]:[Sexo]]=$B59,IF(DATOS_[[AGRUP. CLAS. PROF.]:[AGRUP. CLAS. PROF.]]=$B57,IF(DATOS_[[Check Periodo Ref.]:[Check Periodo Ref.]]="Dentro",DATOS_[Conc.Sal.15]))))), 0)</f>
        <v>0</v>
      </c>
      <c r="U59" s="209" t="n">
        <f aca="false" t="array" ref="U59:U59">IFERROR( AVERAGE((IF(DATOS_[[Sexo]:[Sexo]]=$B59,IF(DATOS_[[AGRUP. CLAS. PROF.]:[AGRUP. CLAS. PROF.]]=$B57,IF(DATOS_[[Check Periodo Ref.]:[Check Periodo Ref.]]="Dentro",DATOS_[Conc.Sal.16]))))), 0)</f>
        <v>0</v>
      </c>
      <c r="V59" s="209" t="n">
        <f aca="false" t="array" ref="V59:V59">IFERROR( AVERAGE((IF(DATOS_[[Sexo]:[Sexo]]=$B59,IF(DATOS_[[AGRUP. CLAS. PROF.]:[AGRUP. CLAS. PROF.]]=$B57,IF(DATOS_[[Check Periodo Ref.]:[Check Periodo Ref.]]="Dentro",DATOS_[Conc.Sal.17]))))), 0)</f>
        <v>0</v>
      </c>
      <c r="W59" s="209" t="n">
        <f aca="false" t="array" ref="W59:W59">IFERROR( AVERAGE((IF(DATOS_[[Sexo]:[Sexo]]=$B59,IF(DATOS_[[AGRUP. CLAS. PROF.]:[AGRUP. CLAS. PROF.]]=$B57,IF(DATOS_[[Check Periodo Ref.]:[Check Periodo Ref.]]="Dentro",DATOS_[Conc.Sal.18]))))), 0)</f>
        <v>0</v>
      </c>
      <c r="X59" s="209" t="n">
        <f aca="false" t="array" ref="X59:X59">IFERROR( AVERAGE((IF(DATOS_[[Sexo]:[Sexo]]=$B59,IF(DATOS_[[AGRUP. CLAS. PROF.]:[AGRUP. CLAS. PROF.]]=$B57,IF(DATOS_[[Check Periodo Ref.]:[Check Periodo Ref.]]="Dentro",DATOS_[Conc.Sal.19]))))), 0)</f>
        <v>0</v>
      </c>
      <c r="Y59" s="209" t="n">
        <f aca="false" t="array" ref="Y59:Y59">IFERROR( AVERAGE((IF(DATOS_[[Sexo]:[Sexo]]=$B59,IF(DATOS_[[AGRUP. CLAS. PROF.]:[AGRUP. CLAS. PROF.]]=$B57,IF(DATOS_[[Check Periodo Ref.]:[Check Periodo Ref.]]="Dentro",DATOS_[Conc.Sal.20]))))), 0)</f>
        <v>0</v>
      </c>
      <c r="Z59" s="209" t="n">
        <f aca="false" t="array" ref="Z59:Z59">IFERROR( AVERAGE((IF(DATOS_[[Sexo]:[Sexo]]=$B59,IF(DATOS_[[AGRUP. CLAS. PROF.]:[AGRUP. CLAS. PROF.]]=$B57,IF(DATOS_[[Check Periodo Ref.]:[Check Periodo Ref.]]="Dentro",DATOS_[Conc.Sal.21]))))), 0)</f>
        <v>0</v>
      </c>
      <c r="AA59" s="209" t="n">
        <f aca="false" t="array" ref="AA59:AA59">IFERROR( AVERAGE((IF(DATOS_[[Sexo]:[Sexo]]=$B59,IF(DATOS_[[AGRUP. CLAS. PROF.]:[AGRUP. CLAS. PROF.]]=$B57,IF(DATOS_[[Check Periodo Ref.]:[Check Periodo Ref.]]="Dentro",DATOS_[Conc.Sal.22]))))), 0)</f>
        <v>0</v>
      </c>
      <c r="AB59" s="209" t="n">
        <f aca="false" t="array" ref="AB59:AB59">IFERROR( AVERAGE((IF(DATOS_[[Sexo]:[Sexo]]=$B59,IF(DATOS_[[AGRUP. CLAS. PROF.]:[AGRUP. CLAS. PROF.]]=$B57,IF(DATOS_[[Check Periodo Ref.]:[Check Periodo Ref.]]="Dentro",DATOS_[Conc.Sal.23]))))), 0)</f>
        <v>0</v>
      </c>
      <c r="AC59" s="209" t="n">
        <f aca="false" t="array" ref="AC59:AC59">IFERROR( AVERAGE((IF(DATOS_[[Sexo]:[Sexo]]=$B59,IF(DATOS_[[AGRUP. CLAS. PROF.]:[AGRUP. CLAS. PROF.]]=$B57,IF(DATOS_[[Check Periodo Ref.]:[Check Periodo Ref.]]="Dentro",DATOS_[Conc.Sal.24]))))), 0)</f>
        <v>0</v>
      </c>
      <c r="AD59" s="209" t="n">
        <f aca="false" t="array" ref="AD59:AD59">IFERROR( AVERAGE((IF(DATOS_[[Sexo]:[Sexo]]=$B59,IF(DATOS_[[AGRUP. CLAS. PROF.]:[AGRUP. CLAS. PROF.]]=$B57,IF(DATOS_[[Check Periodo Ref.]:[Check Periodo Ref.]]="Dentro",DATOS_[Conc.Sal.25]))))), 0)</f>
        <v>0</v>
      </c>
      <c r="AE59" s="209" t="n">
        <f aca="false" t="array" ref="AE59:AE59">IFERROR( AVERAGE((IF(DATOS_[[Sexo]:[Sexo]]=$B59,IF(DATOS_[[AGRUP. CLAS. PROF.]:[AGRUP. CLAS. PROF.]]=$B57,IF(DATOS_[[Check Periodo Ref.]:[Check Periodo Ref.]]="Dentro",DATOS_[Conc.Sal.26]))))), 0)</f>
        <v>0</v>
      </c>
      <c r="AF59" s="209" t="n">
        <f aca="false" t="array" ref="AF59:AF59">IFERROR( AVERAGE((IF(DATOS_[[Sexo]:[Sexo]]=$B59,IF(DATOS_[[AGRUP. CLAS. PROF.]:[AGRUP. CLAS. PROF.]]=$B57,IF(DATOS_[[Check Periodo Ref.]:[Check Periodo Ref.]]="Dentro",DATOS_[Conc.Sal.27]))))), 0)</f>
        <v>0</v>
      </c>
      <c r="AG59" s="209" t="n">
        <f aca="false" t="array" ref="AG59:AG59">IFERROR( AVERAGE((IF(DATOS_[[Sexo]:[Sexo]]=$B59,IF(DATOS_[[AGRUP. CLAS. PROF.]:[AGRUP. CLAS. PROF.]]=$B57,IF(DATOS_[[Check Periodo Ref.]:[Check Periodo Ref.]]="Dentro",DATOS_[Conc.Sal.28]))))), 0)</f>
        <v>0</v>
      </c>
      <c r="AH59" s="209" t="n">
        <f aca="false" t="array" ref="AH59:AH59">IFERROR( AVERAGE((IF(DATOS_[[Sexo]:[Sexo]]=$B59,IF(DATOS_[[AGRUP. CLAS. PROF.]:[AGRUP. CLAS. PROF.]]=$B57,IF(DATOS_[[Check Periodo Ref.]:[Check Periodo Ref.]]="Dentro",DATOS_[Conc.Sal.29]))))), 0)</f>
        <v>0</v>
      </c>
      <c r="AI59" s="209" t="n">
        <f aca="false" t="array" ref="AI59:AI59">IFERROR( AVERAGE((IF(DATOS_[[Sexo]:[Sexo]]=$B59,IF(DATOS_[[AGRUP. CLAS. PROF.]:[AGRUP. CLAS. PROF.]]=$B57,IF(DATOS_[[Check Periodo Ref.]:[Check Periodo Ref.]]="Dentro",DATOS_[Conc.Sal.30]))))), 0)</f>
        <v>0</v>
      </c>
      <c r="AJ59" s="210" t="n">
        <f aca="false" t="array" ref="AJ59:AJ59">IFERROR( AVERAGE(IF(DATOS_[Sexo]=$B59,IF(DATOS_[AGRUP. CLAS. PROF.]=$B57,IF(DATOS_[Check Periodo Ref.]="Dentro",DATOS_[Tot COMPL.SAL Ef],0)))), 0)</f>
        <v>0</v>
      </c>
      <c r="AK59" s="211" t="n">
        <f aca="false" t="array" ref="AK59:AK59">IFERROR( AVERAGE(IF(DATOS_[Sexo]=$B59,IF(DATOS_[AGRUP. CLAS. PROF.]=$B57,IF(DATOS_[Check Periodo Ref.]="Dentro",DATOS_[TOTAL SALARIO Ef],0)))), 0)</f>
        <v>0</v>
      </c>
      <c r="AL59" s="212" t="n">
        <f aca="false" t="array" ref="AL59:AL59">IFERROR( AVERAGE((IF(DATOS_[[Sexo]:[Sexo]]=$B59,IF(DATOS_[[AGRUP. CLAS. PROF.]:[AGRUP. CLAS. PROF.]]=$B57,IF(DATOS_[[Check Periodo Ref.]:[Check Periodo Ref.]]="Dentro",DATOS_[C.Extra.01]))))), 0)</f>
        <v>0</v>
      </c>
      <c r="AM59" s="212" t="n">
        <f aca="false" t="array" ref="AM59:AM59">IFERROR( AVERAGE((IF(DATOS_[[Sexo]:[Sexo]]=$B59,IF(DATOS_[[AGRUP. CLAS. PROF.]:[AGRUP. CLAS. PROF.]]=$B57,IF(DATOS_[[Check Periodo Ref.]:[Check Periodo Ref.]]="Dentro",DATOS_[C.Extra.02]))))), 0)</f>
        <v>0</v>
      </c>
      <c r="AN59" s="212" t="n">
        <f aca="false" t="array" ref="AN59:AN59">IFERROR( AVERAGE((IF(DATOS_[[Sexo]:[Sexo]]=$B59,IF(DATOS_[[AGRUP. CLAS. PROF.]:[AGRUP. CLAS. PROF.]]=$B57,IF(DATOS_[[Check Periodo Ref.]:[Check Periodo Ref.]]="Dentro",DATOS_[C.Extra.03]))))), 0)</f>
        <v>0</v>
      </c>
      <c r="AO59" s="212" t="n">
        <f aca="false" t="array" ref="AO59:AO59">IFERROR( AVERAGE((IF(DATOS_[[Sexo]:[Sexo]]=$B59,IF(DATOS_[[AGRUP. CLAS. PROF.]:[AGRUP. CLAS. PROF.]]=$B57,IF(DATOS_[[Check Periodo Ref.]:[Check Periodo Ref.]]="Dentro",DATOS_[C.Extra.04]))))), 0)</f>
        <v>0</v>
      </c>
      <c r="AP59" s="212" t="n">
        <f aca="false" t="array" ref="AP59:AP59">IFERROR( AVERAGE((IF(DATOS_[[Sexo]:[Sexo]]=$B59,IF(DATOS_[[AGRUP. CLAS. PROF.]:[AGRUP. CLAS. PROF.]]=$B57,IF(DATOS_[[Check Periodo Ref.]:[Check Periodo Ref.]]="Dentro",DATOS_[C.Extra.05]))))), 0)</f>
        <v>0</v>
      </c>
      <c r="AQ59" s="213" t="n">
        <f aca="false" t="array" ref="AQ59:AQ59">IFERROR( AVERAGE(IF(DATOS_[Sexo]=$B59,IF(DATOS_[AGRUP. CLAS. PROF.]=$B57,IF(DATOS_[Check Periodo Ref.]="Dentro",DATOS_[Tot Extrasalarial Ef],0)))), 0)</f>
        <v>0</v>
      </c>
      <c r="AR59" s="214" t="n">
        <f aca="false" t="array" ref="AR59:AR59">IFERROR( AVERAGE(IF(DATOS_[Sexo]=$B59,IF(DATOS_[AGRUP. CLAS. PROF.]=$B57,IF(DATOS_[Check Periodo Ref.]="Dentro",DATOS_[TOTAL Retrib Ef],0)))), 0)</f>
        <v>0</v>
      </c>
    </row>
    <row r="60" customFormat="false" ht="15.75" hidden="false" customHeight="false" outlineLevel="0" collapsed="false">
      <c r="A60" s="191" t="str">
        <f aca="false">+A61</f>
        <v>[ocultar]</v>
      </c>
      <c r="B60" s="192" t="s">
        <v>213</v>
      </c>
      <c r="C60" s="193"/>
      <c r="D60" s="194"/>
      <c r="E60" s="195" t="str">
        <f aca="false">IFERROR((E61-E62)/E61,"")</f>
        <v/>
      </c>
      <c r="F60" s="196" t="str">
        <f aca="false">IFERROR((F61-F62)/F61,"")</f>
        <v/>
      </c>
      <c r="G60" s="197" t="str">
        <f aca="false">IFERROR((G61-G62)/G61,"")</f>
        <v/>
      </c>
      <c r="H60" s="197" t="str">
        <f aca="false">IFERROR((H61-H62)/H61,"")</f>
        <v/>
      </c>
      <c r="I60" s="197" t="str">
        <f aca="false">IFERROR((I61-I62)/I61,"")</f>
        <v/>
      </c>
      <c r="J60" s="198" t="str">
        <f aca="false">IFERROR((J61-J62)/J61,"")</f>
        <v/>
      </c>
      <c r="K60" s="199" t="str">
        <f aca="false">IFERROR((K61-K62)/K61,"")</f>
        <v/>
      </c>
      <c r="L60" s="199" t="str">
        <f aca="false">IFERROR((L61-L62)/L61,"")</f>
        <v/>
      </c>
      <c r="M60" s="199" t="str">
        <f aca="false">IFERROR((M61-M62)/M61,"")</f>
        <v/>
      </c>
      <c r="N60" s="199" t="str">
        <f aca="false">IFERROR((N61-N62)/N61,"")</f>
        <v/>
      </c>
      <c r="O60" s="199" t="str">
        <f aca="false">IFERROR((O61-O62)/O61,"")</f>
        <v/>
      </c>
      <c r="P60" s="199" t="str">
        <f aca="false">IFERROR((P61-P62)/P61,"")</f>
        <v/>
      </c>
      <c r="Q60" s="199" t="str">
        <f aca="false">IFERROR((Q61-Q62)/Q61,"")</f>
        <v/>
      </c>
      <c r="R60" s="199" t="str">
        <f aca="false">IFERROR((R61-R62)/R61,"")</f>
        <v/>
      </c>
      <c r="S60" s="199" t="str">
        <f aca="false">IFERROR((S61-S62)/S61,"")</f>
        <v/>
      </c>
      <c r="T60" s="199" t="str">
        <f aca="false">IFERROR((T61-T62)/T61,"")</f>
        <v/>
      </c>
      <c r="U60" s="199" t="str">
        <f aca="false">IFERROR((U61-U62)/U61,"")</f>
        <v/>
      </c>
      <c r="V60" s="198" t="str">
        <f aca="false">IFERROR((V61-V62)/V61,"")</f>
        <v/>
      </c>
      <c r="W60" s="198" t="str">
        <f aca="false">IFERROR((W61-W62)/W61,"")</f>
        <v/>
      </c>
      <c r="X60" s="198" t="str">
        <f aca="false">IFERROR((X61-X62)/X61,"")</f>
        <v/>
      </c>
      <c r="Y60" s="198" t="str">
        <f aca="false">IFERROR((Y61-Y62)/Y61,"")</f>
        <v/>
      </c>
      <c r="Z60" s="198" t="str">
        <f aca="false">IFERROR((Z61-Z62)/Z61,"")</f>
        <v/>
      </c>
      <c r="AA60" s="198" t="str">
        <f aca="false">IFERROR((AA61-AA62)/AA61,"")</f>
        <v/>
      </c>
      <c r="AB60" s="198" t="str">
        <f aca="false">IFERROR((AB61-AB62)/AB61,"")</f>
        <v/>
      </c>
      <c r="AC60" s="198" t="str">
        <f aca="false">IFERROR((AC61-AC62)/AC61,"")</f>
        <v/>
      </c>
      <c r="AD60" s="198" t="str">
        <f aca="false">IFERROR((AD61-AD62)/AD61,"")</f>
        <v/>
      </c>
      <c r="AE60" s="198" t="str">
        <f aca="false">IFERROR((AE61-AE62)/AE61,"")</f>
        <v/>
      </c>
      <c r="AF60" s="198" t="str">
        <f aca="false">IFERROR((AF61-AF62)/AF61,"")</f>
        <v/>
      </c>
      <c r="AG60" s="198" t="str">
        <f aca="false">IFERROR((AG61-AG62)/AG61,"")</f>
        <v/>
      </c>
      <c r="AH60" s="198" t="str">
        <f aca="false">IFERROR((AH61-AH62)/AH61,"")</f>
        <v/>
      </c>
      <c r="AI60" s="198" t="str">
        <f aca="false">IFERROR((AI61-AI62)/AI61,"")</f>
        <v/>
      </c>
      <c r="AJ60" s="200" t="str">
        <f aca="false">IFERROR((AJ61-AJ62)/AJ61,"")</f>
        <v/>
      </c>
      <c r="AK60" s="201" t="str">
        <f aca="false">IFERROR((AK61-AK62)/AK61,"")</f>
        <v/>
      </c>
      <c r="AL60" s="202" t="str">
        <f aca="false">IFERROR((AL61-AL62)/AL61,"")</f>
        <v/>
      </c>
      <c r="AM60" s="202" t="str">
        <f aca="false">IFERROR((AM61-AM62)/AM61,"")</f>
        <v/>
      </c>
      <c r="AN60" s="202" t="str">
        <f aca="false">IFERROR((AN61-AN62)/AN61,"")</f>
        <v/>
      </c>
      <c r="AO60" s="202" t="str">
        <f aca="false">IFERROR((AO61-AO62)/AO61,"")</f>
        <v/>
      </c>
      <c r="AP60" s="202" t="str">
        <f aca="false">IFERROR((AP61-AP62)/AP61,"")</f>
        <v/>
      </c>
      <c r="AQ60" s="203" t="str">
        <f aca="false">IFERROR((AQ61-AQ62)/AQ61,"")</f>
        <v/>
      </c>
      <c r="AR60" s="204" t="str">
        <f aca="false">IFERROR((AR61-AR62)/AR61,"")</f>
        <v/>
      </c>
    </row>
    <row r="61" customFormat="false" ht="14.25" hidden="false" customHeight="false" outlineLevel="0" collapsed="false">
      <c r="A61" s="191" t="str">
        <f aca="false">+IF(C61+C62=0,"[ocultar]","")</f>
        <v>[ocultar]</v>
      </c>
      <c r="B61" s="205" t="s">
        <v>371</v>
      </c>
      <c r="C61" s="206" t="n">
        <f aca="false" t="array" ref="C61:C61">SUM(IF($B61=DATOS_[Sexo], IF($B60=DATOS_[AGRUP. CLAS. PROF.], IF("Dentro"=DATOS_[Check Periodo Ref.], 1/(COUNTIFS(DATOS_[Sexo],$B61,DATOS_[AGRUP. CLAS. PROF.],$B60,DATOS_[Check Periodo Ref.],"Dentro",DATOS_[id],DATOS_[id]))))))</f>
        <v>0</v>
      </c>
      <c r="D61" s="207" t="n">
        <f aca="false">COUNTIFS(DATOS_[AGRUP. CLAS. PROF.],$B60,DATOS_[Sexo],$B61,DATOS_[Check Periodo Ref.],"Dentro")</f>
        <v>0</v>
      </c>
      <c r="E61" s="208" t="n">
        <f aca="false" t="array" ref="E61:E61">IFERROR( AVERAGE(IF(DATOS_[Sexo]=$B61,IF(DATOS_[AGRUP. CLAS. PROF.]=$B60,IF(DATOS_[Check Periodo Ref.]="Dentro",DATOS_[SALARIO BASE Ef],0)))), 0)</f>
        <v>0</v>
      </c>
      <c r="F61" s="209" t="n">
        <f aca="false" t="array" ref="F61:F61">IFERROR( AVERAGE((IF(DATOS_[[Sexo]:[Sexo]]=$B61,IF(DATOS_[[AGRUP. CLAS. PROF.]:[AGRUP. CLAS. PROF.]]=$B60,IF(DATOS_[[Check Periodo Ref.]:[Check Periodo Ref.]]="Dentro",DATOS_[Conc.Sal.01]))))), 0)</f>
        <v>0</v>
      </c>
      <c r="G61" s="209" t="n">
        <f aca="false" t="array" ref="G61:G61">IFERROR( AVERAGE((IF(DATOS_[[Sexo]:[Sexo]]=$B61,IF(DATOS_[[AGRUP. CLAS. PROF.]:[AGRUP. CLAS. PROF.]]=$B60,IF(DATOS_[[Check Periodo Ref.]:[Check Periodo Ref.]]="Dentro",DATOS_[Conc.Sal.02]))))), 0)</f>
        <v>0</v>
      </c>
      <c r="H61" s="209" t="n">
        <f aca="false" t="array" ref="H61:H61">IFERROR( AVERAGE((IF(DATOS_[[Sexo]:[Sexo]]=$B61,IF(DATOS_[[AGRUP. CLAS. PROF.]:[AGRUP. CLAS. PROF.]]=$B60,IF(DATOS_[[Check Periodo Ref.]:[Check Periodo Ref.]]="Dentro",DATOS_[Conc.Sal.03]))))), 0)</f>
        <v>0</v>
      </c>
      <c r="I61" s="209" t="n">
        <f aca="false" t="array" ref="I61:I61">IFERROR( AVERAGE((IF(DATOS_[[Sexo]:[Sexo]]=$B61,IF(DATOS_[[AGRUP. CLAS. PROF.]:[AGRUP. CLAS. PROF.]]=$B60,IF(DATOS_[[Check Periodo Ref.]:[Check Periodo Ref.]]="Dentro",DATOS_[Conc.Sal.04]))))), 0)</f>
        <v>0</v>
      </c>
      <c r="J61" s="209" t="n">
        <f aca="false" t="array" ref="J61:J61">IFERROR( AVERAGE((IF(DATOS_[[Sexo]:[Sexo]]=$B61,IF(DATOS_[[AGRUP. CLAS. PROF.]:[AGRUP. CLAS. PROF.]]=$B60,IF(DATOS_[[Check Periodo Ref.]:[Check Periodo Ref.]]="Dentro",DATOS_[Conc.Sal.05]))))), 0)</f>
        <v>0</v>
      </c>
      <c r="K61" s="209" t="n">
        <f aca="false" t="array" ref="K61:K61">IFERROR( AVERAGE((IF(DATOS_[[Sexo]:[Sexo]]=$B61,IF(DATOS_[[AGRUP. CLAS. PROF.]:[AGRUP. CLAS. PROF.]]=$B60,IF(DATOS_[[Check Periodo Ref.]:[Check Periodo Ref.]]="Dentro",DATOS_[Conc.Sal.06]))))), 0)</f>
        <v>0</v>
      </c>
      <c r="L61" s="209" t="n">
        <f aca="false" t="array" ref="L61:L61">IFERROR( AVERAGE((IF(DATOS_[[Sexo]:[Sexo]]=$B61,IF(DATOS_[[AGRUP. CLAS. PROF.]:[AGRUP. CLAS. PROF.]]=$B60,IF(DATOS_[[Check Periodo Ref.]:[Check Periodo Ref.]]="Dentro",DATOS_[Conc.Sal.07]))))), 0)</f>
        <v>0</v>
      </c>
      <c r="M61" s="209" t="n">
        <f aca="false" t="array" ref="M61:M61">IFERROR( AVERAGE((IF(DATOS_[[Sexo]:[Sexo]]=$B61,IF(DATOS_[[AGRUP. CLAS. PROF.]:[AGRUP. CLAS. PROF.]]=$B60,IF(DATOS_[[Check Periodo Ref.]:[Check Periodo Ref.]]="Dentro",DATOS_[Conc.Sal.08]))))), 0)</f>
        <v>0</v>
      </c>
      <c r="N61" s="209" t="n">
        <f aca="false" t="array" ref="N61:N61">IFERROR( AVERAGE((IF(DATOS_[[Sexo]:[Sexo]]=$B61,IF(DATOS_[[AGRUP. CLAS. PROF.]:[AGRUP. CLAS. PROF.]]=$B60,IF(DATOS_[[Check Periodo Ref.]:[Check Periodo Ref.]]="Dentro",DATOS_[Conc.Sal.09]))))), 0)</f>
        <v>0</v>
      </c>
      <c r="O61" s="209" t="n">
        <f aca="false" t="array" ref="O61:O61">IFERROR( AVERAGE((IF(DATOS_[[Sexo]:[Sexo]]=$B61,IF(DATOS_[[AGRUP. CLAS. PROF.]:[AGRUP. CLAS. PROF.]]=$B60,IF(DATOS_[[Check Periodo Ref.]:[Check Periodo Ref.]]="Dentro",DATOS_[Conc.Sal.10]))))), 0)</f>
        <v>0</v>
      </c>
      <c r="P61" s="209" t="n">
        <f aca="false" t="array" ref="P61:P61">IFERROR( AVERAGE((IF(DATOS_[[Sexo]:[Sexo]]=$B61,IF(DATOS_[[AGRUP. CLAS. PROF.]:[AGRUP. CLAS. PROF.]]=$B60,IF(DATOS_[[Check Periodo Ref.]:[Check Periodo Ref.]]="Dentro",DATOS_[Conc.Sal.11]))))), 0)</f>
        <v>0</v>
      </c>
      <c r="Q61" s="209" t="n">
        <f aca="false" t="array" ref="Q61:Q61">IFERROR( AVERAGE((IF(DATOS_[[Sexo]:[Sexo]]=$B61,IF(DATOS_[[AGRUP. CLAS. PROF.]:[AGRUP. CLAS. PROF.]]=$B60,IF(DATOS_[[Check Periodo Ref.]:[Check Periodo Ref.]]="Dentro",DATOS_[Conc.Sal.12]))))), 0)</f>
        <v>0</v>
      </c>
      <c r="R61" s="209" t="n">
        <f aca="false" t="array" ref="R61:R61">IFERROR( AVERAGE((IF(DATOS_[[Sexo]:[Sexo]]=$B61,IF(DATOS_[[AGRUP. CLAS. PROF.]:[AGRUP. CLAS. PROF.]]=$B60,IF(DATOS_[[Check Periodo Ref.]:[Check Periodo Ref.]]="Dentro",DATOS_[Conc.Sal.13]))))), 0)</f>
        <v>0</v>
      </c>
      <c r="S61" s="209" t="n">
        <f aca="false" t="array" ref="S61:S61">IFERROR( AVERAGE((IF(DATOS_[[Sexo]:[Sexo]]=$B61,IF(DATOS_[[AGRUP. CLAS. PROF.]:[AGRUP. CLAS. PROF.]]=$B60,IF(DATOS_[[Check Periodo Ref.]:[Check Periodo Ref.]]="Dentro",DATOS_[Conc.Sal.14]))))), 0)</f>
        <v>0</v>
      </c>
      <c r="T61" s="209" t="n">
        <f aca="false" t="array" ref="T61:T61">IFERROR( AVERAGE((IF(DATOS_[[Sexo]:[Sexo]]=$B61,IF(DATOS_[[AGRUP. CLAS. PROF.]:[AGRUP. CLAS. PROF.]]=$B60,IF(DATOS_[[Check Periodo Ref.]:[Check Periodo Ref.]]="Dentro",DATOS_[Conc.Sal.15]))))), 0)</f>
        <v>0</v>
      </c>
      <c r="U61" s="209" t="n">
        <f aca="false" t="array" ref="U61:U61">IFERROR( AVERAGE((IF(DATOS_[[Sexo]:[Sexo]]=$B61,IF(DATOS_[[AGRUP. CLAS. PROF.]:[AGRUP. CLAS. PROF.]]=$B60,IF(DATOS_[[Check Periodo Ref.]:[Check Periodo Ref.]]="Dentro",DATOS_[Conc.Sal.16]))))), 0)</f>
        <v>0</v>
      </c>
      <c r="V61" s="209" t="n">
        <f aca="false" t="array" ref="V61:V61">IFERROR( AVERAGE((IF(DATOS_[[Sexo]:[Sexo]]=$B61,IF(DATOS_[[AGRUP. CLAS. PROF.]:[AGRUP. CLAS. PROF.]]=$B60,IF(DATOS_[[Check Periodo Ref.]:[Check Periodo Ref.]]="Dentro",DATOS_[Conc.Sal.17]))))), 0)</f>
        <v>0</v>
      </c>
      <c r="W61" s="209" t="n">
        <f aca="false" t="array" ref="W61:W61">IFERROR( AVERAGE((IF(DATOS_[[Sexo]:[Sexo]]=$B61,IF(DATOS_[[AGRUP. CLAS. PROF.]:[AGRUP. CLAS. PROF.]]=$B60,IF(DATOS_[[Check Periodo Ref.]:[Check Periodo Ref.]]="Dentro",DATOS_[Conc.Sal.18]))))), 0)</f>
        <v>0</v>
      </c>
      <c r="X61" s="209" t="n">
        <f aca="false" t="array" ref="X61:X61">IFERROR( AVERAGE((IF(DATOS_[[Sexo]:[Sexo]]=$B61,IF(DATOS_[[AGRUP. CLAS. PROF.]:[AGRUP. CLAS. PROF.]]=$B60,IF(DATOS_[[Check Periodo Ref.]:[Check Periodo Ref.]]="Dentro",DATOS_[Conc.Sal.19]))))), 0)</f>
        <v>0</v>
      </c>
      <c r="Y61" s="209" t="n">
        <f aca="false" t="array" ref="Y61:Y61">IFERROR( AVERAGE((IF(DATOS_[[Sexo]:[Sexo]]=$B61,IF(DATOS_[[AGRUP. CLAS. PROF.]:[AGRUP. CLAS. PROF.]]=$B60,IF(DATOS_[[Check Periodo Ref.]:[Check Periodo Ref.]]="Dentro",DATOS_[Conc.Sal.20]))))), 0)</f>
        <v>0</v>
      </c>
      <c r="Z61" s="209" t="n">
        <f aca="false" t="array" ref="Z61:Z61">IFERROR( AVERAGE((IF(DATOS_[[Sexo]:[Sexo]]=$B61,IF(DATOS_[[AGRUP. CLAS. PROF.]:[AGRUP. CLAS. PROF.]]=$B60,IF(DATOS_[[Check Periodo Ref.]:[Check Periodo Ref.]]="Dentro",DATOS_[Conc.Sal.21]))))), 0)</f>
        <v>0</v>
      </c>
      <c r="AA61" s="209" t="n">
        <f aca="false" t="array" ref="AA61:AA61">IFERROR( AVERAGE((IF(DATOS_[[Sexo]:[Sexo]]=$B61,IF(DATOS_[[AGRUP. CLAS. PROF.]:[AGRUP. CLAS. PROF.]]=$B60,IF(DATOS_[[Check Periodo Ref.]:[Check Periodo Ref.]]="Dentro",DATOS_[Conc.Sal.22]))))), 0)</f>
        <v>0</v>
      </c>
      <c r="AB61" s="209" t="n">
        <f aca="false" t="array" ref="AB61:AB61">IFERROR( AVERAGE((IF(DATOS_[[Sexo]:[Sexo]]=$B61,IF(DATOS_[[AGRUP. CLAS. PROF.]:[AGRUP. CLAS. PROF.]]=$B60,IF(DATOS_[[Check Periodo Ref.]:[Check Periodo Ref.]]="Dentro",DATOS_[Conc.Sal.23]))))), 0)</f>
        <v>0</v>
      </c>
      <c r="AC61" s="209" t="n">
        <f aca="false" t="array" ref="AC61:AC61">IFERROR( AVERAGE((IF(DATOS_[[Sexo]:[Sexo]]=$B61,IF(DATOS_[[AGRUP. CLAS. PROF.]:[AGRUP. CLAS. PROF.]]=$B60,IF(DATOS_[[Check Periodo Ref.]:[Check Periodo Ref.]]="Dentro",DATOS_[Conc.Sal.24]))))), 0)</f>
        <v>0</v>
      </c>
      <c r="AD61" s="209" t="n">
        <f aca="false" t="array" ref="AD61:AD61">IFERROR( AVERAGE((IF(DATOS_[[Sexo]:[Sexo]]=$B61,IF(DATOS_[[AGRUP. CLAS. PROF.]:[AGRUP. CLAS. PROF.]]=$B60,IF(DATOS_[[Check Periodo Ref.]:[Check Periodo Ref.]]="Dentro",DATOS_[Conc.Sal.25]))))), 0)</f>
        <v>0</v>
      </c>
      <c r="AE61" s="209" t="n">
        <f aca="false" t="array" ref="AE61:AE61">IFERROR( AVERAGE((IF(DATOS_[[Sexo]:[Sexo]]=$B61,IF(DATOS_[[AGRUP. CLAS. PROF.]:[AGRUP. CLAS. PROF.]]=$B60,IF(DATOS_[[Check Periodo Ref.]:[Check Periodo Ref.]]="Dentro",DATOS_[Conc.Sal.26]))))), 0)</f>
        <v>0</v>
      </c>
      <c r="AF61" s="209" t="n">
        <f aca="false" t="array" ref="AF61:AF61">IFERROR( AVERAGE((IF(DATOS_[[Sexo]:[Sexo]]=$B61,IF(DATOS_[[AGRUP. CLAS. PROF.]:[AGRUP. CLAS. PROF.]]=$B60,IF(DATOS_[[Check Periodo Ref.]:[Check Periodo Ref.]]="Dentro",DATOS_[Conc.Sal.27]))))), 0)</f>
        <v>0</v>
      </c>
      <c r="AG61" s="209" t="n">
        <f aca="false" t="array" ref="AG61:AG61">IFERROR( AVERAGE((IF(DATOS_[[Sexo]:[Sexo]]=$B61,IF(DATOS_[[AGRUP. CLAS. PROF.]:[AGRUP. CLAS. PROF.]]=$B60,IF(DATOS_[[Check Periodo Ref.]:[Check Periodo Ref.]]="Dentro",DATOS_[Conc.Sal.28]))))), 0)</f>
        <v>0</v>
      </c>
      <c r="AH61" s="209" t="n">
        <f aca="false" t="array" ref="AH61:AH61">IFERROR( AVERAGE((IF(DATOS_[[Sexo]:[Sexo]]=$B61,IF(DATOS_[[AGRUP. CLAS. PROF.]:[AGRUP. CLAS. PROF.]]=$B60,IF(DATOS_[[Check Periodo Ref.]:[Check Periodo Ref.]]="Dentro",DATOS_[Conc.Sal.29]))))), 0)</f>
        <v>0</v>
      </c>
      <c r="AI61" s="209" t="n">
        <f aca="false" t="array" ref="AI61:AI61">IFERROR( AVERAGE((IF(DATOS_[[Sexo]:[Sexo]]=$B61,IF(DATOS_[[AGRUP. CLAS. PROF.]:[AGRUP. CLAS. PROF.]]=$B60,IF(DATOS_[[Check Periodo Ref.]:[Check Periodo Ref.]]="Dentro",DATOS_[Conc.Sal.30]))))), 0)</f>
        <v>0</v>
      </c>
      <c r="AJ61" s="210" t="n">
        <f aca="false" t="array" ref="AJ61:AJ61">IFERROR( AVERAGE(IF(DATOS_[Sexo]=$B61,IF(DATOS_[AGRUP. CLAS. PROF.]=$B60,IF(DATOS_[Check Periodo Ref.]="Dentro",DATOS_[Tot COMPL.SAL Ef],0)))), 0)</f>
        <v>0</v>
      </c>
      <c r="AK61" s="211" t="n">
        <f aca="false" t="array" ref="AK61:AK61">IFERROR( AVERAGE(IF(DATOS_[Sexo]=$B61,IF(DATOS_[AGRUP. CLAS. PROF.]=$B60,IF(DATOS_[Check Periodo Ref.]="Dentro",DATOS_[TOTAL SALARIO Ef],0)))), 0)</f>
        <v>0</v>
      </c>
      <c r="AL61" s="212" t="n">
        <f aca="false" t="array" ref="AL61:AL61">IFERROR( AVERAGE((IF(DATOS_[[Sexo]:[Sexo]]=$B61,IF(DATOS_[[AGRUP. CLAS. PROF.]:[AGRUP. CLAS. PROF.]]=$B60,IF(DATOS_[[Check Periodo Ref.]:[Check Periodo Ref.]]="Dentro",DATOS_[C.Extra.01]))))), 0)</f>
        <v>0</v>
      </c>
      <c r="AM61" s="212" t="n">
        <f aca="false" t="array" ref="AM61:AM61">IFERROR( AVERAGE((IF(DATOS_[[Sexo]:[Sexo]]=$B61,IF(DATOS_[[AGRUP. CLAS. PROF.]:[AGRUP. CLAS. PROF.]]=$B60,IF(DATOS_[[Check Periodo Ref.]:[Check Periodo Ref.]]="Dentro",DATOS_[C.Extra.02]))))), 0)</f>
        <v>0</v>
      </c>
      <c r="AN61" s="212" t="n">
        <f aca="false" t="array" ref="AN61:AN61">IFERROR( AVERAGE((IF(DATOS_[[Sexo]:[Sexo]]=$B61,IF(DATOS_[[AGRUP. CLAS. PROF.]:[AGRUP. CLAS. PROF.]]=$B60,IF(DATOS_[[Check Periodo Ref.]:[Check Periodo Ref.]]="Dentro",DATOS_[C.Extra.03]))))), 0)</f>
        <v>0</v>
      </c>
      <c r="AO61" s="212" t="n">
        <f aca="false" t="array" ref="AO61:AO61">IFERROR( AVERAGE((IF(DATOS_[[Sexo]:[Sexo]]=$B61,IF(DATOS_[[AGRUP. CLAS. PROF.]:[AGRUP. CLAS. PROF.]]=$B60,IF(DATOS_[[Check Periodo Ref.]:[Check Periodo Ref.]]="Dentro",DATOS_[C.Extra.04]))))), 0)</f>
        <v>0</v>
      </c>
      <c r="AP61" s="212" t="n">
        <f aca="false" t="array" ref="AP61:AP61">IFERROR( AVERAGE((IF(DATOS_[[Sexo]:[Sexo]]=$B61,IF(DATOS_[[AGRUP. CLAS. PROF.]:[AGRUP. CLAS. PROF.]]=$B60,IF(DATOS_[[Check Periodo Ref.]:[Check Periodo Ref.]]="Dentro",DATOS_[C.Extra.05]))))), 0)</f>
        <v>0</v>
      </c>
      <c r="AQ61" s="213" t="n">
        <f aca="false" t="array" ref="AQ61:AQ61">IFERROR( AVERAGE(IF(DATOS_[Sexo]=$B61,IF(DATOS_[AGRUP. CLAS. PROF.]=$B60,IF(DATOS_[Check Periodo Ref.]="Dentro",DATOS_[Tot Extrasalarial Ef],0)))), 0)</f>
        <v>0</v>
      </c>
      <c r="AR61" s="214" t="n">
        <f aca="false" t="array" ref="AR61:AR61">IFERROR( AVERAGE(IF(DATOS_[Sexo]=$B61,IF(DATOS_[AGRUP. CLAS. PROF.]=$B60,IF(DATOS_[Check Periodo Ref.]="Dentro",DATOS_[TOTAL Retrib Ef],0)))), 0)</f>
        <v>0</v>
      </c>
    </row>
    <row r="62" customFormat="false" ht="14.25" hidden="false" customHeight="false" outlineLevel="0" collapsed="false">
      <c r="A62" s="191" t="str">
        <f aca="false">+A61</f>
        <v>[ocultar]</v>
      </c>
      <c r="B62" s="205" t="s">
        <v>372</v>
      </c>
      <c r="C62" s="206" t="n">
        <f aca="false" t="array" ref="C62:C62">SUM(IF($B62=DATOS_[Sexo], IF($B60=DATOS_[AGRUP. CLAS. PROF.], IF("Dentro"=DATOS_[Check Periodo Ref.], 1/(COUNTIFS(DATOS_[Sexo],$B62,DATOS_[AGRUP. CLAS. PROF.],$B60,DATOS_[Check Periodo Ref.],"Dentro",DATOS_[id],DATOS_[id]))))))</f>
        <v>0</v>
      </c>
      <c r="D62" s="207" t="n">
        <f aca="false">COUNTIFS(DATOS_[AGRUP. CLAS. PROF.],$B60,DATOS_[Sexo],$B62,DATOS_[Check Periodo Ref.],"Dentro")</f>
        <v>0</v>
      </c>
      <c r="E62" s="208" t="n">
        <f aca="false" t="array" ref="E62:E62">IFERROR( AVERAGE(IF(DATOS_[Sexo]=$B62,IF(DATOS_[AGRUP. CLAS. PROF.]=$B60,IF(DATOS_[Check Periodo Ref.]="Dentro",DATOS_[SALARIO BASE Ef],0)))), 0)</f>
        <v>0</v>
      </c>
      <c r="F62" s="209" t="n">
        <f aca="false" t="array" ref="F62:F62">IFERROR( AVERAGE((IF(DATOS_[[Sexo]:[Sexo]]=$B62,IF(DATOS_[[AGRUP. CLAS. PROF.]:[AGRUP. CLAS. PROF.]]=$B60,IF(DATOS_[[Check Periodo Ref.]:[Check Periodo Ref.]]="Dentro",DATOS_[Conc.Sal.01]))))), 0)</f>
        <v>0</v>
      </c>
      <c r="G62" s="209" t="n">
        <f aca="false" t="array" ref="G62:G62">IFERROR( AVERAGE((IF(DATOS_[[Sexo]:[Sexo]]=$B62,IF(DATOS_[[AGRUP. CLAS. PROF.]:[AGRUP. CLAS. PROF.]]=$B60,IF(DATOS_[[Check Periodo Ref.]:[Check Periodo Ref.]]="Dentro",DATOS_[Conc.Sal.02]))))), 0)</f>
        <v>0</v>
      </c>
      <c r="H62" s="209" t="n">
        <f aca="false" t="array" ref="H62:H62">IFERROR( AVERAGE((IF(DATOS_[[Sexo]:[Sexo]]=$B62,IF(DATOS_[[AGRUP. CLAS. PROF.]:[AGRUP. CLAS. PROF.]]=$B60,IF(DATOS_[[Check Periodo Ref.]:[Check Periodo Ref.]]="Dentro",DATOS_[Conc.Sal.03]))))), 0)</f>
        <v>0</v>
      </c>
      <c r="I62" s="209" t="n">
        <f aca="false" t="array" ref="I62:I62">IFERROR( AVERAGE((IF(DATOS_[[Sexo]:[Sexo]]=$B62,IF(DATOS_[[AGRUP. CLAS. PROF.]:[AGRUP. CLAS. PROF.]]=$B60,IF(DATOS_[[Check Periodo Ref.]:[Check Periodo Ref.]]="Dentro",DATOS_[Conc.Sal.04]))))), 0)</f>
        <v>0</v>
      </c>
      <c r="J62" s="209" t="n">
        <f aca="false" t="array" ref="J62:J62">IFERROR( AVERAGE((IF(DATOS_[[Sexo]:[Sexo]]=$B62,IF(DATOS_[[AGRUP. CLAS. PROF.]:[AGRUP. CLAS. PROF.]]=$B60,IF(DATOS_[[Check Periodo Ref.]:[Check Periodo Ref.]]="Dentro",DATOS_[Conc.Sal.05]))))), 0)</f>
        <v>0</v>
      </c>
      <c r="K62" s="209" t="n">
        <f aca="false" t="array" ref="K62:K62">IFERROR( AVERAGE((IF(DATOS_[[Sexo]:[Sexo]]=$B62,IF(DATOS_[[AGRUP. CLAS. PROF.]:[AGRUP. CLAS. PROF.]]=$B60,IF(DATOS_[[Check Periodo Ref.]:[Check Periodo Ref.]]="Dentro",DATOS_[Conc.Sal.06]))))), 0)</f>
        <v>0</v>
      </c>
      <c r="L62" s="209" t="n">
        <f aca="false" t="array" ref="L62:L62">IFERROR( AVERAGE((IF(DATOS_[[Sexo]:[Sexo]]=$B62,IF(DATOS_[[AGRUP. CLAS. PROF.]:[AGRUP. CLAS. PROF.]]=$B60,IF(DATOS_[[Check Periodo Ref.]:[Check Periodo Ref.]]="Dentro",DATOS_[Conc.Sal.07]))))), 0)</f>
        <v>0</v>
      </c>
      <c r="M62" s="209" t="n">
        <f aca="false" t="array" ref="M62:M62">IFERROR( AVERAGE((IF(DATOS_[[Sexo]:[Sexo]]=$B62,IF(DATOS_[[AGRUP. CLAS. PROF.]:[AGRUP. CLAS. PROF.]]=$B60,IF(DATOS_[[Check Periodo Ref.]:[Check Periodo Ref.]]="Dentro",DATOS_[Conc.Sal.08]))))), 0)</f>
        <v>0</v>
      </c>
      <c r="N62" s="209" t="n">
        <f aca="false" t="array" ref="N62:N62">IFERROR( AVERAGE((IF(DATOS_[[Sexo]:[Sexo]]=$B62,IF(DATOS_[[AGRUP. CLAS. PROF.]:[AGRUP. CLAS. PROF.]]=$B60,IF(DATOS_[[Check Periodo Ref.]:[Check Periodo Ref.]]="Dentro",DATOS_[Conc.Sal.09]))))), 0)</f>
        <v>0</v>
      </c>
      <c r="O62" s="209" t="n">
        <f aca="false" t="array" ref="O62:O62">IFERROR( AVERAGE((IF(DATOS_[[Sexo]:[Sexo]]=$B62,IF(DATOS_[[AGRUP. CLAS. PROF.]:[AGRUP. CLAS. PROF.]]=$B60,IF(DATOS_[[Check Periodo Ref.]:[Check Periodo Ref.]]="Dentro",DATOS_[Conc.Sal.10]))))), 0)</f>
        <v>0</v>
      </c>
      <c r="P62" s="209" t="n">
        <f aca="false" t="array" ref="P62:P62">IFERROR( AVERAGE((IF(DATOS_[[Sexo]:[Sexo]]=$B62,IF(DATOS_[[AGRUP. CLAS. PROF.]:[AGRUP. CLAS. PROF.]]=$B60,IF(DATOS_[[Check Periodo Ref.]:[Check Periodo Ref.]]="Dentro",DATOS_[Conc.Sal.11]))))), 0)</f>
        <v>0</v>
      </c>
      <c r="Q62" s="209" t="n">
        <f aca="false" t="array" ref="Q62:Q62">IFERROR( AVERAGE((IF(DATOS_[[Sexo]:[Sexo]]=$B62,IF(DATOS_[[AGRUP. CLAS. PROF.]:[AGRUP. CLAS. PROF.]]=$B60,IF(DATOS_[[Check Periodo Ref.]:[Check Periodo Ref.]]="Dentro",DATOS_[Conc.Sal.12]))))), 0)</f>
        <v>0</v>
      </c>
      <c r="R62" s="209" t="n">
        <f aca="false" t="array" ref="R62:R62">IFERROR( AVERAGE((IF(DATOS_[[Sexo]:[Sexo]]=$B62,IF(DATOS_[[AGRUP. CLAS. PROF.]:[AGRUP. CLAS. PROF.]]=$B60,IF(DATOS_[[Check Periodo Ref.]:[Check Periodo Ref.]]="Dentro",DATOS_[Conc.Sal.13]))))), 0)</f>
        <v>0</v>
      </c>
      <c r="S62" s="209" t="n">
        <f aca="false" t="array" ref="S62:S62">IFERROR( AVERAGE((IF(DATOS_[[Sexo]:[Sexo]]=$B62,IF(DATOS_[[AGRUP. CLAS. PROF.]:[AGRUP. CLAS. PROF.]]=$B60,IF(DATOS_[[Check Periodo Ref.]:[Check Periodo Ref.]]="Dentro",DATOS_[Conc.Sal.14]))))), 0)</f>
        <v>0</v>
      </c>
      <c r="T62" s="209" t="n">
        <f aca="false" t="array" ref="T62:T62">IFERROR( AVERAGE((IF(DATOS_[[Sexo]:[Sexo]]=$B62,IF(DATOS_[[AGRUP. CLAS. PROF.]:[AGRUP. CLAS. PROF.]]=$B60,IF(DATOS_[[Check Periodo Ref.]:[Check Periodo Ref.]]="Dentro",DATOS_[Conc.Sal.15]))))), 0)</f>
        <v>0</v>
      </c>
      <c r="U62" s="209" t="n">
        <f aca="false" t="array" ref="U62:U62">IFERROR( AVERAGE((IF(DATOS_[[Sexo]:[Sexo]]=$B62,IF(DATOS_[[AGRUP. CLAS. PROF.]:[AGRUP. CLAS. PROF.]]=$B60,IF(DATOS_[[Check Periodo Ref.]:[Check Periodo Ref.]]="Dentro",DATOS_[Conc.Sal.16]))))), 0)</f>
        <v>0</v>
      </c>
      <c r="V62" s="209" t="n">
        <f aca="false" t="array" ref="V62:V62">IFERROR( AVERAGE((IF(DATOS_[[Sexo]:[Sexo]]=$B62,IF(DATOS_[[AGRUP. CLAS. PROF.]:[AGRUP. CLAS. PROF.]]=$B60,IF(DATOS_[[Check Periodo Ref.]:[Check Periodo Ref.]]="Dentro",DATOS_[Conc.Sal.17]))))), 0)</f>
        <v>0</v>
      </c>
      <c r="W62" s="209" t="n">
        <f aca="false" t="array" ref="W62:W62">IFERROR( AVERAGE((IF(DATOS_[[Sexo]:[Sexo]]=$B62,IF(DATOS_[[AGRUP. CLAS. PROF.]:[AGRUP. CLAS. PROF.]]=$B60,IF(DATOS_[[Check Periodo Ref.]:[Check Periodo Ref.]]="Dentro",DATOS_[Conc.Sal.18]))))), 0)</f>
        <v>0</v>
      </c>
      <c r="X62" s="209" t="n">
        <f aca="false" t="array" ref="X62:X62">IFERROR( AVERAGE((IF(DATOS_[[Sexo]:[Sexo]]=$B62,IF(DATOS_[[AGRUP. CLAS. PROF.]:[AGRUP. CLAS. PROF.]]=$B60,IF(DATOS_[[Check Periodo Ref.]:[Check Periodo Ref.]]="Dentro",DATOS_[Conc.Sal.19]))))), 0)</f>
        <v>0</v>
      </c>
      <c r="Y62" s="209" t="n">
        <f aca="false" t="array" ref="Y62:Y62">IFERROR( AVERAGE((IF(DATOS_[[Sexo]:[Sexo]]=$B62,IF(DATOS_[[AGRUP. CLAS. PROF.]:[AGRUP. CLAS. PROF.]]=$B60,IF(DATOS_[[Check Periodo Ref.]:[Check Periodo Ref.]]="Dentro",DATOS_[Conc.Sal.20]))))), 0)</f>
        <v>0</v>
      </c>
      <c r="Z62" s="209" t="n">
        <f aca="false" t="array" ref="Z62:Z62">IFERROR( AVERAGE((IF(DATOS_[[Sexo]:[Sexo]]=$B62,IF(DATOS_[[AGRUP. CLAS. PROF.]:[AGRUP. CLAS. PROF.]]=$B60,IF(DATOS_[[Check Periodo Ref.]:[Check Periodo Ref.]]="Dentro",DATOS_[Conc.Sal.21]))))), 0)</f>
        <v>0</v>
      </c>
      <c r="AA62" s="209" t="n">
        <f aca="false" t="array" ref="AA62:AA62">IFERROR( AVERAGE((IF(DATOS_[[Sexo]:[Sexo]]=$B62,IF(DATOS_[[AGRUP. CLAS. PROF.]:[AGRUP. CLAS. PROF.]]=$B60,IF(DATOS_[[Check Periodo Ref.]:[Check Periodo Ref.]]="Dentro",DATOS_[Conc.Sal.22]))))), 0)</f>
        <v>0</v>
      </c>
      <c r="AB62" s="209" t="n">
        <f aca="false" t="array" ref="AB62:AB62">IFERROR( AVERAGE((IF(DATOS_[[Sexo]:[Sexo]]=$B62,IF(DATOS_[[AGRUP. CLAS. PROF.]:[AGRUP. CLAS. PROF.]]=$B60,IF(DATOS_[[Check Periodo Ref.]:[Check Periodo Ref.]]="Dentro",DATOS_[Conc.Sal.23]))))), 0)</f>
        <v>0</v>
      </c>
      <c r="AC62" s="209" t="n">
        <f aca="false" t="array" ref="AC62:AC62">IFERROR( AVERAGE((IF(DATOS_[[Sexo]:[Sexo]]=$B62,IF(DATOS_[[AGRUP. CLAS. PROF.]:[AGRUP. CLAS. PROF.]]=$B60,IF(DATOS_[[Check Periodo Ref.]:[Check Periodo Ref.]]="Dentro",DATOS_[Conc.Sal.24]))))), 0)</f>
        <v>0</v>
      </c>
      <c r="AD62" s="209" t="n">
        <f aca="false" t="array" ref="AD62:AD62">IFERROR( AVERAGE((IF(DATOS_[[Sexo]:[Sexo]]=$B62,IF(DATOS_[[AGRUP. CLAS. PROF.]:[AGRUP. CLAS. PROF.]]=$B60,IF(DATOS_[[Check Periodo Ref.]:[Check Periodo Ref.]]="Dentro",DATOS_[Conc.Sal.25]))))), 0)</f>
        <v>0</v>
      </c>
      <c r="AE62" s="209" t="n">
        <f aca="false" t="array" ref="AE62:AE62">IFERROR( AVERAGE((IF(DATOS_[[Sexo]:[Sexo]]=$B62,IF(DATOS_[[AGRUP. CLAS. PROF.]:[AGRUP. CLAS. PROF.]]=$B60,IF(DATOS_[[Check Periodo Ref.]:[Check Periodo Ref.]]="Dentro",DATOS_[Conc.Sal.26]))))), 0)</f>
        <v>0</v>
      </c>
      <c r="AF62" s="209" t="n">
        <f aca="false" t="array" ref="AF62:AF62">IFERROR( AVERAGE((IF(DATOS_[[Sexo]:[Sexo]]=$B62,IF(DATOS_[[AGRUP. CLAS. PROF.]:[AGRUP. CLAS. PROF.]]=$B60,IF(DATOS_[[Check Periodo Ref.]:[Check Periodo Ref.]]="Dentro",DATOS_[Conc.Sal.27]))))), 0)</f>
        <v>0</v>
      </c>
      <c r="AG62" s="209" t="n">
        <f aca="false" t="array" ref="AG62:AG62">IFERROR( AVERAGE((IF(DATOS_[[Sexo]:[Sexo]]=$B62,IF(DATOS_[[AGRUP. CLAS. PROF.]:[AGRUP. CLAS. PROF.]]=$B60,IF(DATOS_[[Check Periodo Ref.]:[Check Periodo Ref.]]="Dentro",DATOS_[Conc.Sal.28]))))), 0)</f>
        <v>0</v>
      </c>
      <c r="AH62" s="209" t="n">
        <f aca="false" t="array" ref="AH62:AH62">IFERROR( AVERAGE((IF(DATOS_[[Sexo]:[Sexo]]=$B62,IF(DATOS_[[AGRUP. CLAS. PROF.]:[AGRUP. CLAS. PROF.]]=$B60,IF(DATOS_[[Check Periodo Ref.]:[Check Periodo Ref.]]="Dentro",DATOS_[Conc.Sal.29]))))), 0)</f>
        <v>0</v>
      </c>
      <c r="AI62" s="209" t="n">
        <f aca="false" t="array" ref="AI62:AI62">IFERROR( AVERAGE((IF(DATOS_[[Sexo]:[Sexo]]=$B62,IF(DATOS_[[AGRUP. CLAS. PROF.]:[AGRUP. CLAS. PROF.]]=$B60,IF(DATOS_[[Check Periodo Ref.]:[Check Periodo Ref.]]="Dentro",DATOS_[Conc.Sal.30]))))), 0)</f>
        <v>0</v>
      </c>
      <c r="AJ62" s="210" t="n">
        <f aca="false" t="array" ref="AJ62:AJ62">IFERROR( AVERAGE(IF(DATOS_[Sexo]=$B62,IF(DATOS_[AGRUP. CLAS. PROF.]=$B60,IF(DATOS_[Check Periodo Ref.]="Dentro",DATOS_[Tot COMPL.SAL Ef],0)))), 0)</f>
        <v>0</v>
      </c>
      <c r="AK62" s="211" t="n">
        <f aca="false" t="array" ref="AK62:AK62">IFERROR( AVERAGE(IF(DATOS_[Sexo]=$B62,IF(DATOS_[AGRUP. CLAS. PROF.]=$B60,IF(DATOS_[Check Periodo Ref.]="Dentro",DATOS_[TOTAL SALARIO Ef],0)))), 0)</f>
        <v>0</v>
      </c>
      <c r="AL62" s="212" t="n">
        <f aca="false" t="array" ref="AL62:AL62">IFERROR( AVERAGE((IF(DATOS_[[Sexo]:[Sexo]]=$B62,IF(DATOS_[[AGRUP. CLAS. PROF.]:[AGRUP. CLAS. PROF.]]=$B60,IF(DATOS_[[Check Periodo Ref.]:[Check Periodo Ref.]]="Dentro",DATOS_[C.Extra.01]))))), 0)</f>
        <v>0</v>
      </c>
      <c r="AM62" s="212" t="n">
        <f aca="false" t="array" ref="AM62:AM62">IFERROR( AVERAGE((IF(DATOS_[[Sexo]:[Sexo]]=$B62,IF(DATOS_[[AGRUP. CLAS. PROF.]:[AGRUP. CLAS. PROF.]]=$B60,IF(DATOS_[[Check Periodo Ref.]:[Check Periodo Ref.]]="Dentro",DATOS_[C.Extra.02]))))), 0)</f>
        <v>0</v>
      </c>
      <c r="AN62" s="212" t="n">
        <f aca="false" t="array" ref="AN62:AN62">IFERROR( AVERAGE((IF(DATOS_[[Sexo]:[Sexo]]=$B62,IF(DATOS_[[AGRUP. CLAS. PROF.]:[AGRUP. CLAS. PROF.]]=$B60,IF(DATOS_[[Check Periodo Ref.]:[Check Periodo Ref.]]="Dentro",DATOS_[C.Extra.03]))))), 0)</f>
        <v>0</v>
      </c>
      <c r="AO62" s="212" t="n">
        <f aca="false" t="array" ref="AO62:AO62">IFERROR( AVERAGE((IF(DATOS_[[Sexo]:[Sexo]]=$B62,IF(DATOS_[[AGRUP. CLAS. PROF.]:[AGRUP. CLAS. PROF.]]=$B60,IF(DATOS_[[Check Periodo Ref.]:[Check Periodo Ref.]]="Dentro",DATOS_[C.Extra.04]))))), 0)</f>
        <v>0</v>
      </c>
      <c r="AP62" s="212" t="n">
        <f aca="false" t="array" ref="AP62:AP62">IFERROR( AVERAGE((IF(DATOS_[[Sexo]:[Sexo]]=$B62,IF(DATOS_[[AGRUP. CLAS. PROF.]:[AGRUP. CLAS. PROF.]]=$B60,IF(DATOS_[[Check Periodo Ref.]:[Check Periodo Ref.]]="Dentro",DATOS_[C.Extra.05]))))), 0)</f>
        <v>0</v>
      </c>
      <c r="AQ62" s="213" t="n">
        <f aca="false" t="array" ref="AQ62:AQ62">IFERROR( AVERAGE(IF(DATOS_[Sexo]=$B62,IF(DATOS_[AGRUP. CLAS. PROF.]=$B60,IF(DATOS_[Check Periodo Ref.]="Dentro",DATOS_[Tot Extrasalarial Ef],0)))), 0)</f>
        <v>0</v>
      </c>
      <c r="AR62" s="214" t="n">
        <f aca="false" t="array" ref="AR62:AR62">IFERROR( AVERAGE(IF(DATOS_[Sexo]=$B62,IF(DATOS_[AGRUP. CLAS. PROF.]=$B60,IF(DATOS_[Check Periodo Ref.]="Dentro",DATOS_[TOTAL Retrib Ef],0)))), 0)</f>
        <v>0</v>
      </c>
    </row>
    <row r="63" customFormat="false" ht="15.75" hidden="false" customHeight="false" outlineLevel="0" collapsed="false">
      <c r="A63" s="191" t="str">
        <f aca="false">+A64</f>
        <v>[ocultar]</v>
      </c>
      <c r="B63" s="192" t="s">
        <v>216</v>
      </c>
      <c r="C63" s="193"/>
      <c r="D63" s="194"/>
      <c r="E63" s="195" t="str">
        <f aca="false">IFERROR((E64-E65)/E64,"")</f>
        <v/>
      </c>
      <c r="F63" s="196" t="str">
        <f aca="false">IFERROR((F64-F65)/F64,"")</f>
        <v/>
      </c>
      <c r="G63" s="197" t="str">
        <f aca="false">IFERROR((G64-G65)/G64,"")</f>
        <v/>
      </c>
      <c r="H63" s="197" t="str">
        <f aca="false">IFERROR((H64-H65)/H64,"")</f>
        <v/>
      </c>
      <c r="I63" s="197" t="str">
        <f aca="false">IFERROR((I64-I65)/I64,"")</f>
        <v/>
      </c>
      <c r="J63" s="198" t="str">
        <f aca="false">IFERROR((J64-J65)/J64,"")</f>
        <v/>
      </c>
      <c r="K63" s="199" t="str">
        <f aca="false">IFERROR((K64-K65)/K64,"")</f>
        <v/>
      </c>
      <c r="L63" s="199" t="str">
        <f aca="false">IFERROR((L64-L65)/L64,"")</f>
        <v/>
      </c>
      <c r="M63" s="199" t="str">
        <f aca="false">IFERROR((M64-M65)/M64,"")</f>
        <v/>
      </c>
      <c r="N63" s="199" t="str">
        <f aca="false">IFERROR((N64-N65)/N64,"")</f>
        <v/>
      </c>
      <c r="O63" s="199" t="str">
        <f aca="false">IFERROR((O64-O65)/O64,"")</f>
        <v/>
      </c>
      <c r="P63" s="199" t="str">
        <f aca="false">IFERROR((P64-P65)/P64,"")</f>
        <v/>
      </c>
      <c r="Q63" s="199" t="str">
        <f aca="false">IFERROR((Q64-Q65)/Q64,"")</f>
        <v/>
      </c>
      <c r="R63" s="199" t="str">
        <f aca="false">IFERROR((R64-R65)/R64,"")</f>
        <v/>
      </c>
      <c r="S63" s="199" t="str">
        <f aca="false">IFERROR((S64-S65)/S64,"")</f>
        <v/>
      </c>
      <c r="T63" s="199" t="str">
        <f aca="false">IFERROR((T64-T65)/T64,"")</f>
        <v/>
      </c>
      <c r="U63" s="199" t="str">
        <f aca="false">IFERROR((U64-U65)/U64,"")</f>
        <v/>
      </c>
      <c r="V63" s="198" t="str">
        <f aca="false">IFERROR((V64-V65)/V64,"")</f>
        <v/>
      </c>
      <c r="W63" s="198" t="str">
        <f aca="false">IFERROR((W64-W65)/W64,"")</f>
        <v/>
      </c>
      <c r="X63" s="198" t="str">
        <f aca="false">IFERROR((X64-X65)/X64,"")</f>
        <v/>
      </c>
      <c r="Y63" s="198" t="str">
        <f aca="false">IFERROR((Y64-Y65)/Y64,"")</f>
        <v/>
      </c>
      <c r="Z63" s="198" t="str">
        <f aca="false">IFERROR((Z64-Z65)/Z64,"")</f>
        <v/>
      </c>
      <c r="AA63" s="198" t="str">
        <f aca="false">IFERROR((AA64-AA65)/AA64,"")</f>
        <v/>
      </c>
      <c r="AB63" s="198" t="str">
        <f aca="false">IFERROR((AB64-AB65)/AB64,"")</f>
        <v/>
      </c>
      <c r="AC63" s="198" t="str">
        <f aca="false">IFERROR((AC64-AC65)/AC64,"")</f>
        <v/>
      </c>
      <c r="AD63" s="198" t="str">
        <f aca="false">IFERROR((AD64-AD65)/AD64,"")</f>
        <v/>
      </c>
      <c r="AE63" s="198" t="str">
        <f aca="false">IFERROR((AE64-AE65)/AE64,"")</f>
        <v/>
      </c>
      <c r="AF63" s="198" t="str">
        <f aca="false">IFERROR((AF64-AF65)/AF64,"")</f>
        <v/>
      </c>
      <c r="AG63" s="198" t="str">
        <f aca="false">IFERROR((AG64-AG65)/AG64,"")</f>
        <v/>
      </c>
      <c r="AH63" s="198" t="str">
        <f aca="false">IFERROR((AH64-AH65)/AH64,"")</f>
        <v/>
      </c>
      <c r="AI63" s="198" t="str">
        <f aca="false">IFERROR((AI64-AI65)/AI64,"")</f>
        <v/>
      </c>
      <c r="AJ63" s="200" t="str">
        <f aca="false">IFERROR((AJ64-AJ65)/AJ64,"")</f>
        <v/>
      </c>
      <c r="AK63" s="201" t="str">
        <f aca="false">IFERROR((AK64-AK65)/AK64,"")</f>
        <v/>
      </c>
      <c r="AL63" s="202" t="str">
        <f aca="false">IFERROR((AL64-AL65)/AL64,"")</f>
        <v/>
      </c>
      <c r="AM63" s="202" t="str">
        <f aca="false">IFERROR((AM64-AM65)/AM64,"")</f>
        <v/>
      </c>
      <c r="AN63" s="202" t="str">
        <f aca="false">IFERROR((AN64-AN65)/AN64,"")</f>
        <v/>
      </c>
      <c r="AO63" s="202" t="str">
        <f aca="false">IFERROR((AO64-AO65)/AO64,"")</f>
        <v/>
      </c>
      <c r="AP63" s="202" t="str">
        <f aca="false">IFERROR((AP64-AP65)/AP64,"")</f>
        <v/>
      </c>
      <c r="AQ63" s="203" t="str">
        <f aca="false">IFERROR((AQ64-AQ65)/AQ64,"")</f>
        <v/>
      </c>
      <c r="AR63" s="204" t="str">
        <f aca="false">IFERROR((AR64-AR65)/AR64,"")</f>
        <v/>
      </c>
    </row>
    <row r="64" customFormat="false" ht="14.25" hidden="false" customHeight="false" outlineLevel="0" collapsed="false">
      <c r="A64" s="191" t="str">
        <f aca="false">+IF(C64+C65=0,"[ocultar]","")</f>
        <v>[ocultar]</v>
      </c>
      <c r="B64" s="205" t="s">
        <v>371</v>
      </c>
      <c r="C64" s="206" t="n">
        <f aca="false" t="array" ref="C64:C64">SUM(IF($B64=DATOS_[Sexo], IF($B63=DATOS_[AGRUP. CLAS. PROF.], IF("Dentro"=DATOS_[Check Periodo Ref.], 1/(COUNTIFS(DATOS_[Sexo],$B64,DATOS_[AGRUP. CLAS. PROF.],$B63,DATOS_[Check Periodo Ref.],"Dentro",DATOS_[id],DATOS_[id]))))))</f>
        <v>0</v>
      </c>
      <c r="D64" s="207" t="n">
        <f aca="false">COUNTIFS(DATOS_[AGRUP. CLAS. PROF.],$B63,DATOS_[Sexo],$B64,DATOS_[Check Periodo Ref.],"Dentro")</f>
        <v>0</v>
      </c>
      <c r="E64" s="208" t="n">
        <f aca="false" t="array" ref="E64:E64">IFERROR( AVERAGE(IF(DATOS_[Sexo]=$B64,IF(DATOS_[AGRUP. CLAS. PROF.]=$B63,IF(DATOS_[Check Periodo Ref.]="Dentro",DATOS_[SALARIO BASE Ef],0)))), 0)</f>
        <v>0</v>
      </c>
      <c r="F64" s="209" t="n">
        <f aca="false" t="array" ref="F64:F64">IFERROR( AVERAGE((IF(DATOS_[[Sexo]:[Sexo]]=$B64,IF(DATOS_[[AGRUP. CLAS. PROF.]:[AGRUP. CLAS. PROF.]]=$B63,IF(DATOS_[[Check Periodo Ref.]:[Check Periodo Ref.]]="Dentro",DATOS_[Conc.Sal.01]))))), 0)</f>
        <v>0</v>
      </c>
      <c r="G64" s="209" t="n">
        <f aca="false" t="array" ref="G64:G64">IFERROR( AVERAGE((IF(DATOS_[[Sexo]:[Sexo]]=$B64,IF(DATOS_[[AGRUP. CLAS. PROF.]:[AGRUP. CLAS. PROF.]]=$B63,IF(DATOS_[[Check Periodo Ref.]:[Check Periodo Ref.]]="Dentro",DATOS_[Conc.Sal.02]))))), 0)</f>
        <v>0</v>
      </c>
      <c r="H64" s="209" t="n">
        <f aca="false" t="array" ref="H64:H64">IFERROR( AVERAGE((IF(DATOS_[[Sexo]:[Sexo]]=$B64,IF(DATOS_[[AGRUP. CLAS. PROF.]:[AGRUP. CLAS. PROF.]]=$B63,IF(DATOS_[[Check Periodo Ref.]:[Check Periodo Ref.]]="Dentro",DATOS_[Conc.Sal.03]))))), 0)</f>
        <v>0</v>
      </c>
      <c r="I64" s="209" t="n">
        <f aca="false" t="array" ref="I64:I64">IFERROR( AVERAGE((IF(DATOS_[[Sexo]:[Sexo]]=$B64,IF(DATOS_[[AGRUP. CLAS. PROF.]:[AGRUP. CLAS. PROF.]]=$B63,IF(DATOS_[[Check Periodo Ref.]:[Check Periodo Ref.]]="Dentro",DATOS_[Conc.Sal.04]))))), 0)</f>
        <v>0</v>
      </c>
      <c r="J64" s="209" t="n">
        <f aca="false" t="array" ref="J64:J64">IFERROR( AVERAGE((IF(DATOS_[[Sexo]:[Sexo]]=$B64,IF(DATOS_[[AGRUP. CLAS. PROF.]:[AGRUP. CLAS. PROF.]]=$B63,IF(DATOS_[[Check Periodo Ref.]:[Check Periodo Ref.]]="Dentro",DATOS_[Conc.Sal.05]))))), 0)</f>
        <v>0</v>
      </c>
      <c r="K64" s="209" t="n">
        <f aca="false" t="array" ref="K64:K64">IFERROR( AVERAGE((IF(DATOS_[[Sexo]:[Sexo]]=$B64,IF(DATOS_[[AGRUP. CLAS. PROF.]:[AGRUP. CLAS. PROF.]]=$B63,IF(DATOS_[[Check Periodo Ref.]:[Check Periodo Ref.]]="Dentro",DATOS_[Conc.Sal.06]))))), 0)</f>
        <v>0</v>
      </c>
      <c r="L64" s="209" t="n">
        <f aca="false" t="array" ref="L64:L64">IFERROR( AVERAGE((IF(DATOS_[[Sexo]:[Sexo]]=$B64,IF(DATOS_[[AGRUP. CLAS. PROF.]:[AGRUP. CLAS. PROF.]]=$B63,IF(DATOS_[[Check Periodo Ref.]:[Check Periodo Ref.]]="Dentro",DATOS_[Conc.Sal.07]))))), 0)</f>
        <v>0</v>
      </c>
      <c r="M64" s="209" t="n">
        <f aca="false" t="array" ref="M64:M64">IFERROR( AVERAGE((IF(DATOS_[[Sexo]:[Sexo]]=$B64,IF(DATOS_[[AGRUP. CLAS. PROF.]:[AGRUP. CLAS. PROF.]]=$B63,IF(DATOS_[[Check Periodo Ref.]:[Check Periodo Ref.]]="Dentro",DATOS_[Conc.Sal.08]))))), 0)</f>
        <v>0</v>
      </c>
      <c r="N64" s="209" t="n">
        <f aca="false" t="array" ref="N64:N64">IFERROR( AVERAGE((IF(DATOS_[[Sexo]:[Sexo]]=$B64,IF(DATOS_[[AGRUP. CLAS. PROF.]:[AGRUP. CLAS. PROF.]]=$B63,IF(DATOS_[[Check Periodo Ref.]:[Check Periodo Ref.]]="Dentro",DATOS_[Conc.Sal.09]))))), 0)</f>
        <v>0</v>
      </c>
      <c r="O64" s="209" t="n">
        <f aca="false" t="array" ref="O64:O64">IFERROR( AVERAGE((IF(DATOS_[[Sexo]:[Sexo]]=$B64,IF(DATOS_[[AGRUP. CLAS. PROF.]:[AGRUP. CLAS. PROF.]]=$B63,IF(DATOS_[[Check Periodo Ref.]:[Check Periodo Ref.]]="Dentro",DATOS_[Conc.Sal.10]))))), 0)</f>
        <v>0</v>
      </c>
      <c r="P64" s="209" t="n">
        <f aca="false" t="array" ref="P64:P64">IFERROR( AVERAGE((IF(DATOS_[[Sexo]:[Sexo]]=$B64,IF(DATOS_[[AGRUP. CLAS. PROF.]:[AGRUP. CLAS. PROF.]]=$B63,IF(DATOS_[[Check Periodo Ref.]:[Check Periodo Ref.]]="Dentro",DATOS_[Conc.Sal.11]))))), 0)</f>
        <v>0</v>
      </c>
      <c r="Q64" s="209" t="n">
        <f aca="false" t="array" ref="Q64:Q64">IFERROR( AVERAGE((IF(DATOS_[[Sexo]:[Sexo]]=$B64,IF(DATOS_[[AGRUP. CLAS. PROF.]:[AGRUP. CLAS. PROF.]]=$B63,IF(DATOS_[[Check Periodo Ref.]:[Check Periodo Ref.]]="Dentro",DATOS_[Conc.Sal.12]))))), 0)</f>
        <v>0</v>
      </c>
      <c r="R64" s="209" t="n">
        <f aca="false" t="array" ref="R64:R64">IFERROR( AVERAGE((IF(DATOS_[[Sexo]:[Sexo]]=$B64,IF(DATOS_[[AGRUP. CLAS. PROF.]:[AGRUP. CLAS. PROF.]]=$B63,IF(DATOS_[[Check Periodo Ref.]:[Check Periodo Ref.]]="Dentro",DATOS_[Conc.Sal.13]))))), 0)</f>
        <v>0</v>
      </c>
      <c r="S64" s="209" t="n">
        <f aca="false" t="array" ref="S64:S64">IFERROR( AVERAGE((IF(DATOS_[[Sexo]:[Sexo]]=$B64,IF(DATOS_[[AGRUP. CLAS. PROF.]:[AGRUP. CLAS. PROF.]]=$B63,IF(DATOS_[[Check Periodo Ref.]:[Check Periodo Ref.]]="Dentro",DATOS_[Conc.Sal.14]))))), 0)</f>
        <v>0</v>
      </c>
      <c r="T64" s="209" t="n">
        <f aca="false" t="array" ref="T64:T64">IFERROR( AVERAGE((IF(DATOS_[[Sexo]:[Sexo]]=$B64,IF(DATOS_[[AGRUP. CLAS. PROF.]:[AGRUP. CLAS. PROF.]]=$B63,IF(DATOS_[[Check Periodo Ref.]:[Check Periodo Ref.]]="Dentro",DATOS_[Conc.Sal.15]))))), 0)</f>
        <v>0</v>
      </c>
      <c r="U64" s="209" t="n">
        <f aca="false" t="array" ref="U64:U64">IFERROR( AVERAGE((IF(DATOS_[[Sexo]:[Sexo]]=$B64,IF(DATOS_[[AGRUP. CLAS. PROF.]:[AGRUP. CLAS. PROF.]]=$B63,IF(DATOS_[[Check Periodo Ref.]:[Check Periodo Ref.]]="Dentro",DATOS_[Conc.Sal.16]))))), 0)</f>
        <v>0</v>
      </c>
      <c r="V64" s="209" t="n">
        <f aca="false" t="array" ref="V64:V64">IFERROR( AVERAGE((IF(DATOS_[[Sexo]:[Sexo]]=$B64,IF(DATOS_[[AGRUP. CLAS. PROF.]:[AGRUP. CLAS. PROF.]]=$B63,IF(DATOS_[[Check Periodo Ref.]:[Check Periodo Ref.]]="Dentro",DATOS_[Conc.Sal.17]))))), 0)</f>
        <v>0</v>
      </c>
      <c r="W64" s="209" t="n">
        <f aca="false" t="array" ref="W64:W64">IFERROR( AVERAGE((IF(DATOS_[[Sexo]:[Sexo]]=$B64,IF(DATOS_[[AGRUP. CLAS. PROF.]:[AGRUP. CLAS. PROF.]]=$B63,IF(DATOS_[[Check Periodo Ref.]:[Check Periodo Ref.]]="Dentro",DATOS_[Conc.Sal.18]))))), 0)</f>
        <v>0</v>
      </c>
      <c r="X64" s="209" t="n">
        <f aca="false" t="array" ref="X64:X64">IFERROR( AVERAGE((IF(DATOS_[[Sexo]:[Sexo]]=$B64,IF(DATOS_[[AGRUP. CLAS. PROF.]:[AGRUP. CLAS. PROF.]]=$B63,IF(DATOS_[[Check Periodo Ref.]:[Check Periodo Ref.]]="Dentro",DATOS_[Conc.Sal.19]))))), 0)</f>
        <v>0</v>
      </c>
      <c r="Y64" s="209" t="n">
        <f aca="false" t="array" ref="Y64:Y64">IFERROR( AVERAGE((IF(DATOS_[[Sexo]:[Sexo]]=$B64,IF(DATOS_[[AGRUP. CLAS. PROF.]:[AGRUP. CLAS. PROF.]]=$B63,IF(DATOS_[[Check Periodo Ref.]:[Check Periodo Ref.]]="Dentro",DATOS_[Conc.Sal.20]))))), 0)</f>
        <v>0</v>
      </c>
      <c r="Z64" s="209" t="n">
        <f aca="false" t="array" ref="Z64:Z64">IFERROR( AVERAGE((IF(DATOS_[[Sexo]:[Sexo]]=$B64,IF(DATOS_[[AGRUP. CLAS. PROF.]:[AGRUP. CLAS. PROF.]]=$B63,IF(DATOS_[[Check Periodo Ref.]:[Check Periodo Ref.]]="Dentro",DATOS_[Conc.Sal.21]))))), 0)</f>
        <v>0</v>
      </c>
      <c r="AA64" s="209" t="n">
        <f aca="false" t="array" ref="AA64:AA64">IFERROR( AVERAGE((IF(DATOS_[[Sexo]:[Sexo]]=$B64,IF(DATOS_[[AGRUP. CLAS. PROF.]:[AGRUP. CLAS. PROF.]]=$B63,IF(DATOS_[[Check Periodo Ref.]:[Check Periodo Ref.]]="Dentro",DATOS_[Conc.Sal.22]))))), 0)</f>
        <v>0</v>
      </c>
      <c r="AB64" s="209" t="n">
        <f aca="false" t="array" ref="AB64:AB64">IFERROR( AVERAGE((IF(DATOS_[[Sexo]:[Sexo]]=$B64,IF(DATOS_[[AGRUP. CLAS. PROF.]:[AGRUP. CLAS. PROF.]]=$B63,IF(DATOS_[[Check Periodo Ref.]:[Check Periodo Ref.]]="Dentro",DATOS_[Conc.Sal.23]))))), 0)</f>
        <v>0</v>
      </c>
      <c r="AC64" s="209" t="n">
        <f aca="false" t="array" ref="AC64:AC64">IFERROR( AVERAGE((IF(DATOS_[[Sexo]:[Sexo]]=$B64,IF(DATOS_[[AGRUP. CLAS. PROF.]:[AGRUP. CLAS. PROF.]]=$B63,IF(DATOS_[[Check Periodo Ref.]:[Check Periodo Ref.]]="Dentro",DATOS_[Conc.Sal.24]))))), 0)</f>
        <v>0</v>
      </c>
      <c r="AD64" s="209" t="n">
        <f aca="false" t="array" ref="AD64:AD64">IFERROR( AVERAGE((IF(DATOS_[[Sexo]:[Sexo]]=$B64,IF(DATOS_[[AGRUP. CLAS. PROF.]:[AGRUP. CLAS. PROF.]]=$B63,IF(DATOS_[[Check Periodo Ref.]:[Check Periodo Ref.]]="Dentro",DATOS_[Conc.Sal.25]))))), 0)</f>
        <v>0</v>
      </c>
      <c r="AE64" s="209" t="n">
        <f aca="false" t="array" ref="AE64:AE64">IFERROR( AVERAGE((IF(DATOS_[[Sexo]:[Sexo]]=$B64,IF(DATOS_[[AGRUP. CLAS. PROF.]:[AGRUP. CLAS. PROF.]]=$B63,IF(DATOS_[[Check Periodo Ref.]:[Check Periodo Ref.]]="Dentro",DATOS_[Conc.Sal.26]))))), 0)</f>
        <v>0</v>
      </c>
      <c r="AF64" s="209" t="n">
        <f aca="false" t="array" ref="AF64:AF64">IFERROR( AVERAGE((IF(DATOS_[[Sexo]:[Sexo]]=$B64,IF(DATOS_[[AGRUP. CLAS. PROF.]:[AGRUP. CLAS. PROF.]]=$B63,IF(DATOS_[[Check Periodo Ref.]:[Check Periodo Ref.]]="Dentro",DATOS_[Conc.Sal.27]))))), 0)</f>
        <v>0</v>
      </c>
      <c r="AG64" s="209" t="n">
        <f aca="false" t="array" ref="AG64:AG64">IFERROR( AVERAGE((IF(DATOS_[[Sexo]:[Sexo]]=$B64,IF(DATOS_[[AGRUP. CLAS. PROF.]:[AGRUP. CLAS. PROF.]]=$B63,IF(DATOS_[[Check Periodo Ref.]:[Check Periodo Ref.]]="Dentro",DATOS_[Conc.Sal.28]))))), 0)</f>
        <v>0</v>
      </c>
      <c r="AH64" s="209" t="n">
        <f aca="false" t="array" ref="AH64:AH64">IFERROR( AVERAGE((IF(DATOS_[[Sexo]:[Sexo]]=$B64,IF(DATOS_[[AGRUP. CLAS. PROF.]:[AGRUP. CLAS. PROF.]]=$B63,IF(DATOS_[[Check Periodo Ref.]:[Check Periodo Ref.]]="Dentro",DATOS_[Conc.Sal.29]))))), 0)</f>
        <v>0</v>
      </c>
      <c r="AI64" s="209" t="n">
        <f aca="false" t="array" ref="AI64:AI64">IFERROR( AVERAGE((IF(DATOS_[[Sexo]:[Sexo]]=$B64,IF(DATOS_[[AGRUP. CLAS. PROF.]:[AGRUP. CLAS. PROF.]]=$B63,IF(DATOS_[[Check Periodo Ref.]:[Check Periodo Ref.]]="Dentro",DATOS_[Conc.Sal.30]))))), 0)</f>
        <v>0</v>
      </c>
      <c r="AJ64" s="210" t="n">
        <f aca="false" t="array" ref="AJ64:AJ64">IFERROR( AVERAGE(IF(DATOS_[Sexo]=$B64,IF(DATOS_[AGRUP. CLAS. PROF.]=$B63,IF(DATOS_[Check Periodo Ref.]="Dentro",DATOS_[Tot COMPL.SAL Ef],0)))), 0)</f>
        <v>0</v>
      </c>
      <c r="AK64" s="211" t="n">
        <f aca="false" t="array" ref="AK64:AK64">IFERROR( AVERAGE(IF(DATOS_[Sexo]=$B64,IF(DATOS_[AGRUP. CLAS. PROF.]=$B63,IF(DATOS_[Check Periodo Ref.]="Dentro",DATOS_[TOTAL SALARIO Ef],0)))), 0)</f>
        <v>0</v>
      </c>
      <c r="AL64" s="212" t="n">
        <f aca="false" t="array" ref="AL64:AL64">IFERROR( AVERAGE((IF(DATOS_[[Sexo]:[Sexo]]=$B64,IF(DATOS_[[AGRUP. CLAS. PROF.]:[AGRUP. CLAS. PROF.]]=$B63,IF(DATOS_[[Check Periodo Ref.]:[Check Periodo Ref.]]="Dentro",DATOS_[C.Extra.01]))))), 0)</f>
        <v>0</v>
      </c>
      <c r="AM64" s="212" t="n">
        <f aca="false" t="array" ref="AM64:AM64">IFERROR( AVERAGE((IF(DATOS_[[Sexo]:[Sexo]]=$B64,IF(DATOS_[[AGRUP. CLAS. PROF.]:[AGRUP. CLAS. PROF.]]=$B63,IF(DATOS_[[Check Periodo Ref.]:[Check Periodo Ref.]]="Dentro",DATOS_[C.Extra.02]))))), 0)</f>
        <v>0</v>
      </c>
      <c r="AN64" s="212" t="n">
        <f aca="false" t="array" ref="AN64:AN64">IFERROR( AVERAGE((IF(DATOS_[[Sexo]:[Sexo]]=$B64,IF(DATOS_[[AGRUP. CLAS. PROF.]:[AGRUP. CLAS. PROF.]]=$B63,IF(DATOS_[[Check Periodo Ref.]:[Check Periodo Ref.]]="Dentro",DATOS_[C.Extra.03]))))), 0)</f>
        <v>0</v>
      </c>
      <c r="AO64" s="212" t="n">
        <f aca="false" t="array" ref="AO64:AO64">IFERROR( AVERAGE((IF(DATOS_[[Sexo]:[Sexo]]=$B64,IF(DATOS_[[AGRUP. CLAS. PROF.]:[AGRUP. CLAS. PROF.]]=$B63,IF(DATOS_[[Check Periodo Ref.]:[Check Periodo Ref.]]="Dentro",DATOS_[C.Extra.04]))))), 0)</f>
        <v>0</v>
      </c>
      <c r="AP64" s="212" t="n">
        <f aca="false" t="array" ref="AP64:AP64">IFERROR( AVERAGE((IF(DATOS_[[Sexo]:[Sexo]]=$B64,IF(DATOS_[[AGRUP. CLAS. PROF.]:[AGRUP. CLAS. PROF.]]=$B63,IF(DATOS_[[Check Periodo Ref.]:[Check Periodo Ref.]]="Dentro",DATOS_[C.Extra.05]))))), 0)</f>
        <v>0</v>
      </c>
      <c r="AQ64" s="213" t="n">
        <f aca="false" t="array" ref="AQ64:AQ64">IFERROR( AVERAGE(IF(DATOS_[Sexo]=$B64,IF(DATOS_[AGRUP. CLAS. PROF.]=$B63,IF(DATOS_[Check Periodo Ref.]="Dentro",DATOS_[Tot Extrasalarial Ef],0)))), 0)</f>
        <v>0</v>
      </c>
      <c r="AR64" s="214" t="n">
        <f aca="false" t="array" ref="AR64:AR64">IFERROR( AVERAGE(IF(DATOS_[Sexo]=$B64,IF(DATOS_[AGRUP. CLAS. PROF.]=$B63,IF(DATOS_[Check Periodo Ref.]="Dentro",DATOS_[TOTAL Retrib Ef],0)))), 0)</f>
        <v>0</v>
      </c>
    </row>
    <row r="65" customFormat="false" ht="14.25" hidden="false" customHeight="false" outlineLevel="0" collapsed="false">
      <c r="A65" s="191" t="str">
        <f aca="false">+A64</f>
        <v>[ocultar]</v>
      </c>
      <c r="B65" s="205" t="s">
        <v>372</v>
      </c>
      <c r="C65" s="206" t="n">
        <f aca="false" t="array" ref="C65:C65">SUM(IF($B65=DATOS_[Sexo], IF($B63=DATOS_[AGRUP. CLAS. PROF.], IF("Dentro"=DATOS_[Check Periodo Ref.], 1/(COUNTIFS(DATOS_[Sexo],$B65,DATOS_[AGRUP. CLAS. PROF.],$B63,DATOS_[Check Periodo Ref.],"Dentro",DATOS_[id],DATOS_[id]))))))</f>
        <v>0</v>
      </c>
      <c r="D65" s="207" t="n">
        <f aca="false">COUNTIFS(DATOS_[AGRUP. CLAS. PROF.],$B63,DATOS_[Sexo],$B65,DATOS_[Check Periodo Ref.],"Dentro")</f>
        <v>0</v>
      </c>
      <c r="E65" s="208" t="n">
        <f aca="false" t="array" ref="E65:E65">IFERROR( AVERAGE(IF(DATOS_[Sexo]=$B65,IF(DATOS_[AGRUP. CLAS. PROF.]=$B63,IF(DATOS_[Check Periodo Ref.]="Dentro",DATOS_[SALARIO BASE Ef],0)))), 0)</f>
        <v>0</v>
      </c>
      <c r="F65" s="209" t="n">
        <f aca="false" t="array" ref="F65:F65">IFERROR( AVERAGE((IF(DATOS_[[Sexo]:[Sexo]]=$B65,IF(DATOS_[[AGRUP. CLAS. PROF.]:[AGRUP. CLAS. PROF.]]=$B63,IF(DATOS_[[Check Periodo Ref.]:[Check Periodo Ref.]]="Dentro",DATOS_[Conc.Sal.01]))))), 0)</f>
        <v>0</v>
      </c>
      <c r="G65" s="209" t="n">
        <f aca="false" t="array" ref="G65:G65">IFERROR( AVERAGE((IF(DATOS_[[Sexo]:[Sexo]]=$B65,IF(DATOS_[[AGRUP. CLAS. PROF.]:[AGRUP. CLAS. PROF.]]=$B63,IF(DATOS_[[Check Periodo Ref.]:[Check Periodo Ref.]]="Dentro",DATOS_[Conc.Sal.02]))))), 0)</f>
        <v>0</v>
      </c>
      <c r="H65" s="209" t="n">
        <f aca="false" t="array" ref="H65:H65">IFERROR( AVERAGE((IF(DATOS_[[Sexo]:[Sexo]]=$B65,IF(DATOS_[[AGRUP. CLAS. PROF.]:[AGRUP. CLAS. PROF.]]=$B63,IF(DATOS_[[Check Periodo Ref.]:[Check Periodo Ref.]]="Dentro",DATOS_[Conc.Sal.03]))))), 0)</f>
        <v>0</v>
      </c>
      <c r="I65" s="209" t="n">
        <f aca="false" t="array" ref="I65:I65">IFERROR( AVERAGE((IF(DATOS_[[Sexo]:[Sexo]]=$B65,IF(DATOS_[[AGRUP. CLAS. PROF.]:[AGRUP. CLAS. PROF.]]=$B63,IF(DATOS_[[Check Periodo Ref.]:[Check Periodo Ref.]]="Dentro",DATOS_[Conc.Sal.04]))))), 0)</f>
        <v>0</v>
      </c>
      <c r="J65" s="209" t="n">
        <f aca="false" t="array" ref="J65:J65">IFERROR( AVERAGE((IF(DATOS_[[Sexo]:[Sexo]]=$B65,IF(DATOS_[[AGRUP. CLAS. PROF.]:[AGRUP. CLAS. PROF.]]=$B63,IF(DATOS_[[Check Periodo Ref.]:[Check Periodo Ref.]]="Dentro",DATOS_[Conc.Sal.05]))))), 0)</f>
        <v>0</v>
      </c>
      <c r="K65" s="209" t="n">
        <f aca="false" t="array" ref="K65:K65">IFERROR( AVERAGE((IF(DATOS_[[Sexo]:[Sexo]]=$B65,IF(DATOS_[[AGRUP. CLAS. PROF.]:[AGRUP. CLAS. PROF.]]=$B63,IF(DATOS_[[Check Periodo Ref.]:[Check Periodo Ref.]]="Dentro",DATOS_[Conc.Sal.06]))))), 0)</f>
        <v>0</v>
      </c>
      <c r="L65" s="209" t="n">
        <f aca="false" t="array" ref="L65:L65">IFERROR( AVERAGE((IF(DATOS_[[Sexo]:[Sexo]]=$B65,IF(DATOS_[[AGRUP. CLAS. PROF.]:[AGRUP. CLAS. PROF.]]=$B63,IF(DATOS_[[Check Periodo Ref.]:[Check Periodo Ref.]]="Dentro",DATOS_[Conc.Sal.07]))))), 0)</f>
        <v>0</v>
      </c>
      <c r="M65" s="209" t="n">
        <f aca="false" t="array" ref="M65:M65">IFERROR( AVERAGE((IF(DATOS_[[Sexo]:[Sexo]]=$B65,IF(DATOS_[[AGRUP. CLAS. PROF.]:[AGRUP. CLAS. PROF.]]=$B63,IF(DATOS_[[Check Periodo Ref.]:[Check Periodo Ref.]]="Dentro",DATOS_[Conc.Sal.08]))))), 0)</f>
        <v>0</v>
      </c>
      <c r="N65" s="209" t="n">
        <f aca="false" t="array" ref="N65:N65">IFERROR( AVERAGE((IF(DATOS_[[Sexo]:[Sexo]]=$B65,IF(DATOS_[[AGRUP. CLAS. PROF.]:[AGRUP. CLAS. PROF.]]=$B63,IF(DATOS_[[Check Periodo Ref.]:[Check Periodo Ref.]]="Dentro",DATOS_[Conc.Sal.09]))))), 0)</f>
        <v>0</v>
      </c>
      <c r="O65" s="209" t="n">
        <f aca="false" t="array" ref="O65:O65">IFERROR( AVERAGE((IF(DATOS_[[Sexo]:[Sexo]]=$B65,IF(DATOS_[[AGRUP. CLAS. PROF.]:[AGRUP. CLAS. PROF.]]=$B63,IF(DATOS_[[Check Periodo Ref.]:[Check Periodo Ref.]]="Dentro",DATOS_[Conc.Sal.10]))))), 0)</f>
        <v>0</v>
      </c>
      <c r="P65" s="209" t="n">
        <f aca="false" t="array" ref="P65:P65">IFERROR( AVERAGE((IF(DATOS_[[Sexo]:[Sexo]]=$B65,IF(DATOS_[[AGRUP. CLAS. PROF.]:[AGRUP. CLAS. PROF.]]=$B63,IF(DATOS_[[Check Periodo Ref.]:[Check Periodo Ref.]]="Dentro",DATOS_[Conc.Sal.11]))))), 0)</f>
        <v>0</v>
      </c>
      <c r="Q65" s="209" t="n">
        <f aca="false" t="array" ref="Q65:Q65">IFERROR( AVERAGE((IF(DATOS_[[Sexo]:[Sexo]]=$B65,IF(DATOS_[[AGRUP. CLAS. PROF.]:[AGRUP. CLAS. PROF.]]=$B63,IF(DATOS_[[Check Periodo Ref.]:[Check Periodo Ref.]]="Dentro",DATOS_[Conc.Sal.12]))))), 0)</f>
        <v>0</v>
      </c>
      <c r="R65" s="209" t="n">
        <f aca="false" t="array" ref="R65:R65">IFERROR( AVERAGE((IF(DATOS_[[Sexo]:[Sexo]]=$B65,IF(DATOS_[[AGRUP. CLAS. PROF.]:[AGRUP. CLAS. PROF.]]=$B63,IF(DATOS_[[Check Periodo Ref.]:[Check Periodo Ref.]]="Dentro",DATOS_[Conc.Sal.13]))))), 0)</f>
        <v>0</v>
      </c>
      <c r="S65" s="209" t="n">
        <f aca="false" t="array" ref="S65:S65">IFERROR( AVERAGE((IF(DATOS_[[Sexo]:[Sexo]]=$B65,IF(DATOS_[[AGRUP. CLAS. PROF.]:[AGRUP. CLAS. PROF.]]=$B63,IF(DATOS_[[Check Periodo Ref.]:[Check Periodo Ref.]]="Dentro",DATOS_[Conc.Sal.14]))))), 0)</f>
        <v>0</v>
      </c>
      <c r="T65" s="209" t="n">
        <f aca="false" t="array" ref="T65:T65">IFERROR( AVERAGE((IF(DATOS_[[Sexo]:[Sexo]]=$B65,IF(DATOS_[[AGRUP. CLAS. PROF.]:[AGRUP. CLAS. PROF.]]=$B63,IF(DATOS_[[Check Periodo Ref.]:[Check Periodo Ref.]]="Dentro",DATOS_[Conc.Sal.15]))))), 0)</f>
        <v>0</v>
      </c>
      <c r="U65" s="209" t="n">
        <f aca="false" t="array" ref="U65:U65">IFERROR( AVERAGE((IF(DATOS_[[Sexo]:[Sexo]]=$B65,IF(DATOS_[[AGRUP. CLAS. PROF.]:[AGRUP. CLAS. PROF.]]=$B63,IF(DATOS_[[Check Periodo Ref.]:[Check Periodo Ref.]]="Dentro",DATOS_[Conc.Sal.16]))))), 0)</f>
        <v>0</v>
      </c>
      <c r="V65" s="209" t="n">
        <f aca="false" t="array" ref="V65:V65">IFERROR( AVERAGE((IF(DATOS_[[Sexo]:[Sexo]]=$B65,IF(DATOS_[[AGRUP. CLAS. PROF.]:[AGRUP. CLAS. PROF.]]=$B63,IF(DATOS_[[Check Periodo Ref.]:[Check Periodo Ref.]]="Dentro",DATOS_[Conc.Sal.17]))))), 0)</f>
        <v>0</v>
      </c>
      <c r="W65" s="209" t="n">
        <f aca="false" t="array" ref="W65:W65">IFERROR( AVERAGE((IF(DATOS_[[Sexo]:[Sexo]]=$B65,IF(DATOS_[[AGRUP. CLAS. PROF.]:[AGRUP. CLAS. PROF.]]=$B63,IF(DATOS_[[Check Periodo Ref.]:[Check Periodo Ref.]]="Dentro",DATOS_[Conc.Sal.18]))))), 0)</f>
        <v>0</v>
      </c>
      <c r="X65" s="209" t="n">
        <f aca="false" t="array" ref="X65:X65">IFERROR( AVERAGE((IF(DATOS_[[Sexo]:[Sexo]]=$B65,IF(DATOS_[[AGRUP. CLAS. PROF.]:[AGRUP. CLAS. PROF.]]=$B63,IF(DATOS_[[Check Periodo Ref.]:[Check Periodo Ref.]]="Dentro",DATOS_[Conc.Sal.19]))))), 0)</f>
        <v>0</v>
      </c>
      <c r="Y65" s="209" t="n">
        <f aca="false" t="array" ref="Y65:Y65">IFERROR( AVERAGE((IF(DATOS_[[Sexo]:[Sexo]]=$B65,IF(DATOS_[[AGRUP. CLAS. PROF.]:[AGRUP. CLAS. PROF.]]=$B63,IF(DATOS_[[Check Periodo Ref.]:[Check Periodo Ref.]]="Dentro",DATOS_[Conc.Sal.20]))))), 0)</f>
        <v>0</v>
      </c>
      <c r="Z65" s="209" t="n">
        <f aca="false" t="array" ref="Z65:Z65">IFERROR( AVERAGE((IF(DATOS_[[Sexo]:[Sexo]]=$B65,IF(DATOS_[[AGRUP. CLAS. PROF.]:[AGRUP. CLAS. PROF.]]=$B63,IF(DATOS_[[Check Periodo Ref.]:[Check Periodo Ref.]]="Dentro",DATOS_[Conc.Sal.21]))))), 0)</f>
        <v>0</v>
      </c>
      <c r="AA65" s="209" t="n">
        <f aca="false" t="array" ref="AA65:AA65">IFERROR( AVERAGE((IF(DATOS_[[Sexo]:[Sexo]]=$B65,IF(DATOS_[[AGRUP. CLAS. PROF.]:[AGRUP. CLAS. PROF.]]=$B63,IF(DATOS_[[Check Periodo Ref.]:[Check Periodo Ref.]]="Dentro",DATOS_[Conc.Sal.22]))))), 0)</f>
        <v>0</v>
      </c>
      <c r="AB65" s="209" t="n">
        <f aca="false" t="array" ref="AB65:AB65">IFERROR( AVERAGE((IF(DATOS_[[Sexo]:[Sexo]]=$B65,IF(DATOS_[[AGRUP. CLAS. PROF.]:[AGRUP. CLAS. PROF.]]=$B63,IF(DATOS_[[Check Periodo Ref.]:[Check Periodo Ref.]]="Dentro",DATOS_[Conc.Sal.23]))))), 0)</f>
        <v>0</v>
      </c>
      <c r="AC65" s="209" t="n">
        <f aca="false" t="array" ref="AC65:AC65">IFERROR( AVERAGE((IF(DATOS_[[Sexo]:[Sexo]]=$B65,IF(DATOS_[[AGRUP. CLAS. PROF.]:[AGRUP. CLAS. PROF.]]=$B63,IF(DATOS_[[Check Periodo Ref.]:[Check Periodo Ref.]]="Dentro",DATOS_[Conc.Sal.24]))))), 0)</f>
        <v>0</v>
      </c>
      <c r="AD65" s="209" t="n">
        <f aca="false" t="array" ref="AD65:AD65">IFERROR( AVERAGE((IF(DATOS_[[Sexo]:[Sexo]]=$B65,IF(DATOS_[[AGRUP. CLAS. PROF.]:[AGRUP. CLAS. PROF.]]=$B63,IF(DATOS_[[Check Periodo Ref.]:[Check Periodo Ref.]]="Dentro",DATOS_[Conc.Sal.25]))))), 0)</f>
        <v>0</v>
      </c>
      <c r="AE65" s="209" t="n">
        <f aca="false" t="array" ref="AE65:AE65">IFERROR( AVERAGE((IF(DATOS_[[Sexo]:[Sexo]]=$B65,IF(DATOS_[[AGRUP. CLAS. PROF.]:[AGRUP. CLAS. PROF.]]=$B63,IF(DATOS_[[Check Periodo Ref.]:[Check Periodo Ref.]]="Dentro",DATOS_[Conc.Sal.26]))))), 0)</f>
        <v>0</v>
      </c>
      <c r="AF65" s="209" t="n">
        <f aca="false" t="array" ref="AF65:AF65">IFERROR( AVERAGE((IF(DATOS_[[Sexo]:[Sexo]]=$B65,IF(DATOS_[[AGRUP. CLAS. PROF.]:[AGRUP. CLAS. PROF.]]=$B63,IF(DATOS_[[Check Periodo Ref.]:[Check Periodo Ref.]]="Dentro",DATOS_[Conc.Sal.27]))))), 0)</f>
        <v>0</v>
      </c>
      <c r="AG65" s="209" t="n">
        <f aca="false" t="array" ref="AG65:AG65">IFERROR( AVERAGE((IF(DATOS_[[Sexo]:[Sexo]]=$B65,IF(DATOS_[[AGRUP. CLAS. PROF.]:[AGRUP. CLAS. PROF.]]=$B63,IF(DATOS_[[Check Periodo Ref.]:[Check Periodo Ref.]]="Dentro",DATOS_[Conc.Sal.28]))))), 0)</f>
        <v>0</v>
      </c>
      <c r="AH65" s="209" t="n">
        <f aca="false" t="array" ref="AH65:AH65">IFERROR( AVERAGE((IF(DATOS_[[Sexo]:[Sexo]]=$B65,IF(DATOS_[[AGRUP. CLAS. PROF.]:[AGRUP. CLAS. PROF.]]=$B63,IF(DATOS_[[Check Periodo Ref.]:[Check Periodo Ref.]]="Dentro",DATOS_[Conc.Sal.29]))))), 0)</f>
        <v>0</v>
      </c>
      <c r="AI65" s="209" t="n">
        <f aca="false" t="array" ref="AI65:AI65">IFERROR( AVERAGE((IF(DATOS_[[Sexo]:[Sexo]]=$B65,IF(DATOS_[[AGRUP. CLAS. PROF.]:[AGRUP. CLAS. PROF.]]=$B63,IF(DATOS_[[Check Periodo Ref.]:[Check Periodo Ref.]]="Dentro",DATOS_[Conc.Sal.30]))))), 0)</f>
        <v>0</v>
      </c>
      <c r="AJ65" s="210" t="n">
        <f aca="false" t="array" ref="AJ65:AJ65">IFERROR( AVERAGE(IF(DATOS_[Sexo]=$B65,IF(DATOS_[AGRUP. CLAS. PROF.]=$B63,IF(DATOS_[Check Periodo Ref.]="Dentro",DATOS_[Tot COMPL.SAL Ef],0)))), 0)</f>
        <v>0</v>
      </c>
      <c r="AK65" s="211" t="n">
        <f aca="false" t="array" ref="AK65:AK65">IFERROR( AVERAGE(IF(DATOS_[Sexo]=$B65,IF(DATOS_[AGRUP. CLAS. PROF.]=$B63,IF(DATOS_[Check Periodo Ref.]="Dentro",DATOS_[TOTAL SALARIO Ef],0)))), 0)</f>
        <v>0</v>
      </c>
      <c r="AL65" s="212" t="n">
        <f aca="false" t="array" ref="AL65:AL65">IFERROR( AVERAGE((IF(DATOS_[[Sexo]:[Sexo]]=$B65,IF(DATOS_[[AGRUP. CLAS. PROF.]:[AGRUP. CLAS. PROF.]]=$B63,IF(DATOS_[[Check Periodo Ref.]:[Check Periodo Ref.]]="Dentro",DATOS_[C.Extra.01]))))), 0)</f>
        <v>0</v>
      </c>
      <c r="AM65" s="212" t="n">
        <f aca="false" t="array" ref="AM65:AM65">IFERROR( AVERAGE((IF(DATOS_[[Sexo]:[Sexo]]=$B65,IF(DATOS_[[AGRUP. CLAS. PROF.]:[AGRUP. CLAS. PROF.]]=$B63,IF(DATOS_[[Check Periodo Ref.]:[Check Periodo Ref.]]="Dentro",DATOS_[C.Extra.02]))))), 0)</f>
        <v>0</v>
      </c>
      <c r="AN65" s="212" t="n">
        <f aca="false" t="array" ref="AN65:AN65">IFERROR( AVERAGE((IF(DATOS_[[Sexo]:[Sexo]]=$B65,IF(DATOS_[[AGRUP. CLAS. PROF.]:[AGRUP. CLAS. PROF.]]=$B63,IF(DATOS_[[Check Periodo Ref.]:[Check Periodo Ref.]]="Dentro",DATOS_[C.Extra.03]))))), 0)</f>
        <v>0</v>
      </c>
      <c r="AO65" s="212" t="n">
        <f aca="false" t="array" ref="AO65:AO65">IFERROR( AVERAGE((IF(DATOS_[[Sexo]:[Sexo]]=$B65,IF(DATOS_[[AGRUP. CLAS. PROF.]:[AGRUP. CLAS. PROF.]]=$B63,IF(DATOS_[[Check Periodo Ref.]:[Check Periodo Ref.]]="Dentro",DATOS_[C.Extra.04]))))), 0)</f>
        <v>0</v>
      </c>
      <c r="AP65" s="212" t="n">
        <f aca="false" t="array" ref="AP65:AP65">IFERROR( AVERAGE((IF(DATOS_[[Sexo]:[Sexo]]=$B65,IF(DATOS_[[AGRUP. CLAS. PROF.]:[AGRUP. CLAS. PROF.]]=$B63,IF(DATOS_[[Check Periodo Ref.]:[Check Periodo Ref.]]="Dentro",DATOS_[C.Extra.05]))))), 0)</f>
        <v>0</v>
      </c>
      <c r="AQ65" s="213" t="n">
        <f aca="false" t="array" ref="AQ65:AQ65">IFERROR( AVERAGE(IF(DATOS_[Sexo]=$B65,IF(DATOS_[AGRUP. CLAS. PROF.]=$B63,IF(DATOS_[Check Periodo Ref.]="Dentro",DATOS_[Tot Extrasalarial Ef],0)))), 0)</f>
        <v>0</v>
      </c>
      <c r="AR65" s="214" t="n">
        <f aca="false" t="array" ref="AR65:AR65">IFERROR( AVERAGE(IF(DATOS_[Sexo]=$B65,IF(DATOS_[AGRUP. CLAS. PROF.]=$B63,IF(DATOS_[Check Periodo Ref.]="Dentro",DATOS_[TOTAL Retrib Ef],0)))), 0)</f>
        <v>0</v>
      </c>
    </row>
    <row r="66" customFormat="false" ht="15.75" hidden="false" customHeight="false" outlineLevel="0" collapsed="false">
      <c r="A66" s="191" t="str">
        <f aca="false">+A67</f>
        <v>[ocultar]</v>
      </c>
      <c r="B66" s="192" t="s">
        <v>219</v>
      </c>
      <c r="C66" s="193"/>
      <c r="D66" s="194"/>
      <c r="E66" s="195" t="str">
        <f aca="false">IFERROR((E67-E68)/E67,"")</f>
        <v/>
      </c>
      <c r="F66" s="196" t="str">
        <f aca="false">IFERROR((F67-F68)/F67,"")</f>
        <v/>
      </c>
      <c r="G66" s="197" t="str">
        <f aca="false">IFERROR((G67-G68)/G67,"")</f>
        <v/>
      </c>
      <c r="H66" s="197" t="str">
        <f aca="false">IFERROR((H67-H68)/H67,"")</f>
        <v/>
      </c>
      <c r="I66" s="197" t="str">
        <f aca="false">IFERROR((I67-I68)/I67,"")</f>
        <v/>
      </c>
      <c r="J66" s="198" t="str">
        <f aca="false">IFERROR((J67-J68)/J67,"")</f>
        <v/>
      </c>
      <c r="K66" s="199" t="str">
        <f aca="false">IFERROR((K67-K68)/K67,"")</f>
        <v/>
      </c>
      <c r="L66" s="199" t="str">
        <f aca="false">IFERROR((L67-L68)/L67,"")</f>
        <v/>
      </c>
      <c r="M66" s="199" t="str">
        <f aca="false">IFERROR((M67-M68)/M67,"")</f>
        <v/>
      </c>
      <c r="N66" s="199" t="str">
        <f aca="false">IFERROR((N67-N68)/N67,"")</f>
        <v/>
      </c>
      <c r="O66" s="199" t="str">
        <f aca="false">IFERROR((O67-O68)/O67,"")</f>
        <v/>
      </c>
      <c r="P66" s="199" t="str">
        <f aca="false">IFERROR((P67-P68)/P67,"")</f>
        <v/>
      </c>
      <c r="Q66" s="199" t="str">
        <f aca="false">IFERROR((Q67-Q68)/Q67,"")</f>
        <v/>
      </c>
      <c r="R66" s="199" t="str">
        <f aca="false">IFERROR((R67-R68)/R67,"")</f>
        <v/>
      </c>
      <c r="S66" s="199" t="str">
        <f aca="false">IFERROR((S67-S68)/S67,"")</f>
        <v/>
      </c>
      <c r="T66" s="199" t="str">
        <f aca="false">IFERROR((T67-T68)/T67,"")</f>
        <v/>
      </c>
      <c r="U66" s="199" t="str">
        <f aca="false">IFERROR((U67-U68)/U67,"")</f>
        <v/>
      </c>
      <c r="V66" s="198" t="str">
        <f aca="false">IFERROR((V67-V68)/V67,"")</f>
        <v/>
      </c>
      <c r="W66" s="198" t="str">
        <f aca="false">IFERROR((W67-W68)/W67,"")</f>
        <v/>
      </c>
      <c r="X66" s="198" t="str">
        <f aca="false">IFERROR((X67-X68)/X67,"")</f>
        <v/>
      </c>
      <c r="Y66" s="198" t="str">
        <f aca="false">IFERROR((Y67-Y68)/Y67,"")</f>
        <v/>
      </c>
      <c r="Z66" s="198" t="str">
        <f aca="false">IFERROR((Z67-Z68)/Z67,"")</f>
        <v/>
      </c>
      <c r="AA66" s="198" t="str">
        <f aca="false">IFERROR((AA67-AA68)/AA67,"")</f>
        <v/>
      </c>
      <c r="AB66" s="198" t="str">
        <f aca="false">IFERROR((AB67-AB68)/AB67,"")</f>
        <v/>
      </c>
      <c r="AC66" s="198" t="str">
        <f aca="false">IFERROR((AC67-AC68)/AC67,"")</f>
        <v/>
      </c>
      <c r="AD66" s="198" t="str">
        <f aca="false">IFERROR((AD67-AD68)/AD67,"")</f>
        <v/>
      </c>
      <c r="AE66" s="198" t="str">
        <f aca="false">IFERROR((AE67-AE68)/AE67,"")</f>
        <v/>
      </c>
      <c r="AF66" s="198" t="str">
        <f aca="false">IFERROR((AF67-AF68)/AF67,"")</f>
        <v/>
      </c>
      <c r="AG66" s="198" t="str">
        <f aca="false">IFERROR((AG67-AG68)/AG67,"")</f>
        <v/>
      </c>
      <c r="AH66" s="198" t="str">
        <f aca="false">IFERROR((AH67-AH68)/AH67,"")</f>
        <v/>
      </c>
      <c r="AI66" s="198" t="str">
        <f aca="false">IFERROR((AI67-AI68)/AI67,"")</f>
        <v/>
      </c>
      <c r="AJ66" s="200" t="str">
        <f aca="false">IFERROR((AJ67-AJ68)/AJ67,"")</f>
        <v/>
      </c>
      <c r="AK66" s="201" t="str">
        <f aca="false">IFERROR((AK67-AK68)/AK67,"")</f>
        <v/>
      </c>
      <c r="AL66" s="202" t="str">
        <f aca="false">IFERROR((AL67-AL68)/AL67,"")</f>
        <v/>
      </c>
      <c r="AM66" s="202" t="str">
        <f aca="false">IFERROR((AM67-AM68)/AM67,"")</f>
        <v/>
      </c>
      <c r="AN66" s="202" t="str">
        <f aca="false">IFERROR((AN67-AN68)/AN67,"")</f>
        <v/>
      </c>
      <c r="AO66" s="202" t="str">
        <f aca="false">IFERROR((AO67-AO68)/AO67,"")</f>
        <v/>
      </c>
      <c r="AP66" s="202" t="str">
        <f aca="false">IFERROR((AP67-AP68)/AP67,"")</f>
        <v/>
      </c>
      <c r="AQ66" s="203" t="str">
        <f aca="false">IFERROR((AQ67-AQ68)/AQ67,"")</f>
        <v/>
      </c>
      <c r="AR66" s="204" t="str">
        <f aca="false">IFERROR((AR67-AR68)/AR67,"")</f>
        <v/>
      </c>
    </row>
    <row r="67" customFormat="false" ht="14.25" hidden="false" customHeight="false" outlineLevel="0" collapsed="false">
      <c r="A67" s="191" t="str">
        <f aca="false">+IF(C67+C68=0,"[ocultar]","")</f>
        <v>[ocultar]</v>
      </c>
      <c r="B67" s="205" t="s">
        <v>371</v>
      </c>
      <c r="C67" s="206" t="n">
        <f aca="false" t="array" ref="C67:C67">SUM(IF($B67=DATOS_[Sexo], IF($B66=DATOS_[AGRUP. CLAS. PROF.], IF("Dentro"=DATOS_[Check Periodo Ref.], 1/(COUNTIFS(DATOS_[Sexo],$B67,DATOS_[AGRUP. CLAS. PROF.],$B66,DATOS_[Check Periodo Ref.],"Dentro",DATOS_[id],DATOS_[id]))))))</f>
        <v>0</v>
      </c>
      <c r="D67" s="207" t="n">
        <f aca="false">COUNTIFS(DATOS_[AGRUP. CLAS. PROF.],$B66,DATOS_[Sexo],$B67,DATOS_[Check Periodo Ref.],"Dentro")</f>
        <v>0</v>
      </c>
      <c r="E67" s="208" t="n">
        <f aca="false" t="array" ref="E67:E67">IFERROR( AVERAGE(IF(DATOS_[Sexo]=$B67,IF(DATOS_[AGRUP. CLAS. PROF.]=$B66,IF(DATOS_[Check Periodo Ref.]="Dentro",DATOS_[SALARIO BASE Ef],0)))), 0)</f>
        <v>0</v>
      </c>
      <c r="F67" s="209" t="n">
        <f aca="false" t="array" ref="F67:F67">IFERROR( AVERAGE((IF(DATOS_[[Sexo]:[Sexo]]=$B67,IF(DATOS_[[AGRUP. CLAS. PROF.]:[AGRUP. CLAS. PROF.]]=$B66,IF(DATOS_[[Check Periodo Ref.]:[Check Periodo Ref.]]="Dentro",DATOS_[Conc.Sal.01]))))), 0)</f>
        <v>0</v>
      </c>
      <c r="G67" s="209" t="n">
        <f aca="false" t="array" ref="G67:G67">IFERROR( AVERAGE((IF(DATOS_[[Sexo]:[Sexo]]=$B67,IF(DATOS_[[AGRUP. CLAS. PROF.]:[AGRUP. CLAS. PROF.]]=$B66,IF(DATOS_[[Check Periodo Ref.]:[Check Periodo Ref.]]="Dentro",DATOS_[Conc.Sal.02]))))), 0)</f>
        <v>0</v>
      </c>
      <c r="H67" s="209" t="n">
        <f aca="false" t="array" ref="H67:H67">IFERROR( AVERAGE((IF(DATOS_[[Sexo]:[Sexo]]=$B67,IF(DATOS_[[AGRUP. CLAS. PROF.]:[AGRUP. CLAS. PROF.]]=$B66,IF(DATOS_[[Check Periodo Ref.]:[Check Periodo Ref.]]="Dentro",DATOS_[Conc.Sal.03]))))), 0)</f>
        <v>0</v>
      </c>
      <c r="I67" s="209" t="n">
        <f aca="false" t="array" ref="I67:I67">IFERROR( AVERAGE((IF(DATOS_[[Sexo]:[Sexo]]=$B67,IF(DATOS_[[AGRUP. CLAS. PROF.]:[AGRUP. CLAS. PROF.]]=$B66,IF(DATOS_[[Check Periodo Ref.]:[Check Periodo Ref.]]="Dentro",DATOS_[Conc.Sal.04]))))), 0)</f>
        <v>0</v>
      </c>
      <c r="J67" s="209" t="n">
        <f aca="false" t="array" ref="J67:J67">IFERROR( AVERAGE((IF(DATOS_[[Sexo]:[Sexo]]=$B67,IF(DATOS_[[AGRUP. CLAS. PROF.]:[AGRUP. CLAS. PROF.]]=$B66,IF(DATOS_[[Check Periodo Ref.]:[Check Periodo Ref.]]="Dentro",DATOS_[Conc.Sal.05]))))), 0)</f>
        <v>0</v>
      </c>
      <c r="K67" s="209" t="n">
        <f aca="false" t="array" ref="K67:K67">IFERROR( AVERAGE((IF(DATOS_[[Sexo]:[Sexo]]=$B67,IF(DATOS_[[AGRUP. CLAS. PROF.]:[AGRUP. CLAS. PROF.]]=$B66,IF(DATOS_[[Check Periodo Ref.]:[Check Periodo Ref.]]="Dentro",DATOS_[Conc.Sal.06]))))), 0)</f>
        <v>0</v>
      </c>
      <c r="L67" s="209" t="n">
        <f aca="false" t="array" ref="L67:L67">IFERROR( AVERAGE((IF(DATOS_[[Sexo]:[Sexo]]=$B67,IF(DATOS_[[AGRUP. CLAS. PROF.]:[AGRUP. CLAS. PROF.]]=$B66,IF(DATOS_[[Check Periodo Ref.]:[Check Periodo Ref.]]="Dentro",DATOS_[Conc.Sal.07]))))), 0)</f>
        <v>0</v>
      </c>
      <c r="M67" s="209" t="n">
        <f aca="false" t="array" ref="M67:M67">IFERROR( AVERAGE((IF(DATOS_[[Sexo]:[Sexo]]=$B67,IF(DATOS_[[AGRUP. CLAS. PROF.]:[AGRUP. CLAS. PROF.]]=$B66,IF(DATOS_[[Check Periodo Ref.]:[Check Periodo Ref.]]="Dentro",DATOS_[Conc.Sal.08]))))), 0)</f>
        <v>0</v>
      </c>
      <c r="N67" s="209" t="n">
        <f aca="false" t="array" ref="N67:N67">IFERROR( AVERAGE((IF(DATOS_[[Sexo]:[Sexo]]=$B67,IF(DATOS_[[AGRUP. CLAS. PROF.]:[AGRUP. CLAS. PROF.]]=$B66,IF(DATOS_[[Check Periodo Ref.]:[Check Periodo Ref.]]="Dentro",DATOS_[Conc.Sal.09]))))), 0)</f>
        <v>0</v>
      </c>
      <c r="O67" s="209" t="n">
        <f aca="false" t="array" ref="O67:O67">IFERROR( AVERAGE((IF(DATOS_[[Sexo]:[Sexo]]=$B67,IF(DATOS_[[AGRUP. CLAS. PROF.]:[AGRUP. CLAS. PROF.]]=$B66,IF(DATOS_[[Check Periodo Ref.]:[Check Periodo Ref.]]="Dentro",DATOS_[Conc.Sal.10]))))), 0)</f>
        <v>0</v>
      </c>
      <c r="P67" s="209" t="n">
        <f aca="false" t="array" ref="P67:P67">IFERROR( AVERAGE((IF(DATOS_[[Sexo]:[Sexo]]=$B67,IF(DATOS_[[AGRUP. CLAS. PROF.]:[AGRUP. CLAS. PROF.]]=$B66,IF(DATOS_[[Check Periodo Ref.]:[Check Periodo Ref.]]="Dentro",DATOS_[Conc.Sal.11]))))), 0)</f>
        <v>0</v>
      </c>
      <c r="Q67" s="209" t="n">
        <f aca="false" t="array" ref="Q67:Q67">IFERROR( AVERAGE((IF(DATOS_[[Sexo]:[Sexo]]=$B67,IF(DATOS_[[AGRUP. CLAS. PROF.]:[AGRUP. CLAS. PROF.]]=$B66,IF(DATOS_[[Check Periodo Ref.]:[Check Periodo Ref.]]="Dentro",DATOS_[Conc.Sal.12]))))), 0)</f>
        <v>0</v>
      </c>
      <c r="R67" s="209" t="n">
        <f aca="false" t="array" ref="R67:R67">IFERROR( AVERAGE((IF(DATOS_[[Sexo]:[Sexo]]=$B67,IF(DATOS_[[AGRUP. CLAS. PROF.]:[AGRUP. CLAS. PROF.]]=$B66,IF(DATOS_[[Check Periodo Ref.]:[Check Periodo Ref.]]="Dentro",DATOS_[Conc.Sal.13]))))), 0)</f>
        <v>0</v>
      </c>
      <c r="S67" s="209" t="n">
        <f aca="false" t="array" ref="S67:S67">IFERROR( AVERAGE((IF(DATOS_[[Sexo]:[Sexo]]=$B67,IF(DATOS_[[AGRUP. CLAS. PROF.]:[AGRUP. CLAS. PROF.]]=$B66,IF(DATOS_[[Check Periodo Ref.]:[Check Periodo Ref.]]="Dentro",DATOS_[Conc.Sal.14]))))), 0)</f>
        <v>0</v>
      </c>
      <c r="T67" s="209" t="n">
        <f aca="false" t="array" ref="T67:T67">IFERROR( AVERAGE((IF(DATOS_[[Sexo]:[Sexo]]=$B67,IF(DATOS_[[AGRUP. CLAS. PROF.]:[AGRUP. CLAS. PROF.]]=$B66,IF(DATOS_[[Check Periodo Ref.]:[Check Periodo Ref.]]="Dentro",DATOS_[Conc.Sal.15]))))), 0)</f>
        <v>0</v>
      </c>
      <c r="U67" s="209" t="n">
        <f aca="false" t="array" ref="U67:U67">IFERROR( AVERAGE((IF(DATOS_[[Sexo]:[Sexo]]=$B67,IF(DATOS_[[AGRUP. CLAS. PROF.]:[AGRUP. CLAS. PROF.]]=$B66,IF(DATOS_[[Check Periodo Ref.]:[Check Periodo Ref.]]="Dentro",DATOS_[Conc.Sal.16]))))), 0)</f>
        <v>0</v>
      </c>
      <c r="V67" s="209" t="n">
        <f aca="false" t="array" ref="V67:V67">IFERROR( AVERAGE((IF(DATOS_[[Sexo]:[Sexo]]=$B67,IF(DATOS_[[AGRUP. CLAS. PROF.]:[AGRUP. CLAS. PROF.]]=$B66,IF(DATOS_[[Check Periodo Ref.]:[Check Periodo Ref.]]="Dentro",DATOS_[Conc.Sal.17]))))), 0)</f>
        <v>0</v>
      </c>
      <c r="W67" s="209" t="n">
        <f aca="false" t="array" ref="W67:W67">IFERROR( AVERAGE((IF(DATOS_[[Sexo]:[Sexo]]=$B67,IF(DATOS_[[AGRUP. CLAS. PROF.]:[AGRUP. CLAS. PROF.]]=$B66,IF(DATOS_[[Check Periodo Ref.]:[Check Periodo Ref.]]="Dentro",DATOS_[Conc.Sal.18]))))), 0)</f>
        <v>0</v>
      </c>
      <c r="X67" s="209" t="n">
        <f aca="false" t="array" ref="X67:X67">IFERROR( AVERAGE((IF(DATOS_[[Sexo]:[Sexo]]=$B67,IF(DATOS_[[AGRUP. CLAS. PROF.]:[AGRUP. CLAS. PROF.]]=$B66,IF(DATOS_[[Check Periodo Ref.]:[Check Periodo Ref.]]="Dentro",DATOS_[Conc.Sal.19]))))), 0)</f>
        <v>0</v>
      </c>
      <c r="Y67" s="209" t="n">
        <f aca="false" t="array" ref="Y67:Y67">IFERROR( AVERAGE((IF(DATOS_[[Sexo]:[Sexo]]=$B67,IF(DATOS_[[AGRUP. CLAS. PROF.]:[AGRUP. CLAS. PROF.]]=$B66,IF(DATOS_[[Check Periodo Ref.]:[Check Periodo Ref.]]="Dentro",DATOS_[Conc.Sal.20]))))), 0)</f>
        <v>0</v>
      </c>
      <c r="Z67" s="209" t="n">
        <f aca="false" t="array" ref="Z67:Z67">IFERROR( AVERAGE((IF(DATOS_[[Sexo]:[Sexo]]=$B67,IF(DATOS_[[AGRUP. CLAS. PROF.]:[AGRUP. CLAS. PROF.]]=$B66,IF(DATOS_[[Check Periodo Ref.]:[Check Periodo Ref.]]="Dentro",DATOS_[Conc.Sal.21]))))), 0)</f>
        <v>0</v>
      </c>
      <c r="AA67" s="209" t="n">
        <f aca="false" t="array" ref="AA67:AA67">IFERROR( AVERAGE((IF(DATOS_[[Sexo]:[Sexo]]=$B67,IF(DATOS_[[AGRUP. CLAS. PROF.]:[AGRUP. CLAS. PROF.]]=$B66,IF(DATOS_[[Check Periodo Ref.]:[Check Periodo Ref.]]="Dentro",DATOS_[Conc.Sal.22]))))), 0)</f>
        <v>0</v>
      </c>
      <c r="AB67" s="209" t="n">
        <f aca="false" t="array" ref="AB67:AB67">IFERROR( AVERAGE((IF(DATOS_[[Sexo]:[Sexo]]=$B67,IF(DATOS_[[AGRUP. CLAS. PROF.]:[AGRUP. CLAS. PROF.]]=$B66,IF(DATOS_[[Check Periodo Ref.]:[Check Periodo Ref.]]="Dentro",DATOS_[Conc.Sal.23]))))), 0)</f>
        <v>0</v>
      </c>
      <c r="AC67" s="209" t="n">
        <f aca="false" t="array" ref="AC67:AC67">IFERROR( AVERAGE((IF(DATOS_[[Sexo]:[Sexo]]=$B67,IF(DATOS_[[AGRUP. CLAS. PROF.]:[AGRUP. CLAS. PROF.]]=$B66,IF(DATOS_[[Check Periodo Ref.]:[Check Periodo Ref.]]="Dentro",DATOS_[Conc.Sal.24]))))), 0)</f>
        <v>0</v>
      </c>
      <c r="AD67" s="209" t="n">
        <f aca="false" t="array" ref="AD67:AD67">IFERROR( AVERAGE((IF(DATOS_[[Sexo]:[Sexo]]=$B67,IF(DATOS_[[AGRUP. CLAS. PROF.]:[AGRUP. CLAS. PROF.]]=$B66,IF(DATOS_[[Check Periodo Ref.]:[Check Periodo Ref.]]="Dentro",DATOS_[Conc.Sal.25]))))), 0)</f>
        <v>0</v>
      </c>
      <c r="AE67" s="209" t="n">
        <f aca="false" t="array" ref="AE67:AE67">IFERROR( AVERAGE((IF(DATOS_[[Sexo]:[Sexo]]=$B67,IF(DATOS_[[AGRUP. CLAS. PROF.]:[AGRUP. CLAS. PROF.]]=$B66,IF(DATOS_[[Check Periodo Ref.]:[Check Periodo Ref.]]="Dentro",DATOS_[Conc.Sal.26]))))), 0)</f>
        <v>0</v>
      </c>
      <c r="AF67" s="209" t="n">
        <f aca="false" t="array" ref="AF67:AF67">IFERROR( AVERAGE((IF(DATOS_[[Sexo]:[Sexo]]=$B67,IF(DATOS_[[AGRUP. CLAS. PROF.]:[AGRUP. CLAS. PROF.]]=$B66,IF(DATOS_[[Check Periodo Ref.]:[Check Periodo Ref.]]="Dentro",DATOS_[Conc.Sal.27]))))), 0)</f>
        <v>0</v>
      </c>
      <c r="AG67" s="209" t="n">
        <f aca="false" t="array" ref="AG67:AG67">IFERROR( AVERAGE((IF(DATOS_[[Sexo]:[Sexo]]=$B67,IF(DATOS_[[AGRUP. CLAS. PROF.]:[AGRUP. CLAS. PROF.]]=$B66,IF(DATOS_[[Check Periodo Ref.]:[Check Periodo Ref.]]="Dentro",DATOS_[Conc.Sal.28]))))), 0)</f>
        <v>0</v>
      </c>
      <c r="AH67" s="209" t="n">
        <f aca="false" t="array" ref="AH67:AH67">IFERROR( AVERAGE((IF(DATOS_[[Sexo]:[Sexo]]=$B67,IF(DATOS_[[AGRUP. CLAS. PROF.]:[AGRUP. CLAS. PROF.]]=$B66,IF(DATOS_[[Check Periodo Ref.]:[Check Periodo Ref.]]="Dentro",DATOS_[Conc.Sal.29]))))), 0)</f>
        <v>0</v>
      </c>
      <c r="AI67" s="209" t="n">
        <f aca="false" t="array" ref="AI67:AI67">IFERROR( AVERAGE((IF(DATOS_[[Sexo]:[Sexo]]=$B67,IF(DATOS_[[AGRUP. CLAS. PROF.]:[AGRUP. CLAS. PROF.]]=$B66,IF(DATOS_[[Check Periodo Ref.]:[Check Periodo Ref.]]="Dentro",DATOS_[Conc.Sal.30]))))), 0)</f>
        <v>0</v>
      </c>
      <c r="AJ67" s="210" t="n">
        <f aca="false" t="array" ref="AJ67:AJ67">IFERROR( AVERAGE(IF(DATOS_[Sexo]=$B67,IF(DATOS_[AGRUP. CLAS. PROF.]=$B66,IF(DATOS_[Check Periodo Ref.]="Dentro",DATOS_[Tot COMPL.SAL Ef],0)))), 0)</f>
        <v>0</v>
      </c>
      <c r="AK67" s="211" t="n">
        <f aca="false" t="array" ref="AK67:AK67">IFERROR( AVERAGE(IF(DATOS_[Sexo]=$B67,IF(DATOS_[AGRUP. CLAS. PROF.]=$B66,IF(DATOS_[Check Periodo Ref.]="Dentro",DATOS_[TOTAL SALARIO Ef],0)))), 0)</f>
        <v>0</v>
      </c>
      <c r="AL67" s="212" t="n">
        <f aca="false" t="array" ref="AL67:AL67">IFERROR( AVERAGE((IF(DATOS_[[Sexo]:[Sexo]]=$B67,IF(DATOS_[[AGRUP. CLAS. PROF.]:[AGRUP. CLAS. PROF.]]=$B66,IF(DATOS_[[Check Periodo Ref.]:[Check Periodo Ref.]]="Dentro",DATOS_[C.Extra.01]))))), 0)</f>
        <v>0</v>
      </c>
      <c r="AM67" s="212" t="n">
        <f aca="false" t="array" ref="AM67:AM67">IFERROR( AVERAGE((IF(DATOS_[[Sexo]:[Sexo]]=$B67,IF(DATOS_[[AGRUP. CLAS. PROF.]:[AGRUP. CLAS. PROF.]]=$B66,IF(DATOS_[[Check Periodo Ref.]:[Check Periodo Ref.]]="Dentro",DATOS_[C.Extra.02]))))), 0)</f>
        <v>0</v>
      </c>
      <c r="AN67" s="212" t="n">
        <f aca="false" t="array" ref="AN67:AN67">IFERROR( AVERAGE((IF(DATOS_[[Sexo]:[Sexo]]=$B67,IF(DATOS_[[AGRUP. CLAS. PROF.]:[AGRUP. CLAS. PROF.]]=$B66,IF(DATOS_[[Check Periodo Ref.]:[Check Periodo Ref.]]="Dentro",DATOS_[C.Extra.03]))))), 0)</f>
        <v>0</v>
      </c>
      <c r="AO67" s="212" t="n">
        <f aca="false" t="array" ref="AO67:AO67">IFERROR( AVERAGE((IF(DATOS_[[Sexo]:[Sexo]]=$B67,IF(DATOS_[[AGRUP. CLAS. PROF.]:[AGRUP. CLAS. PROF.]]=$B66,IF(DATOS_[[Check Periodo Ref.]:[Check Periodo Ref.]]="Dentro",DATOS_[C.Extra.04]))))), 0)</f>
        <v>0</v>
      </c>
      <c r="AP67" s="212" t="n">
        <f aca="false" t="array" ref="AP67:AP67">IFERROR( AVERAGE((IF(DATOS_[[Sexo]:[Sexo]]=$B67,IF(DATOS_[[AGRUP. CLAS. PROF.]:[AGRUP. CLAS. PROF.]]=$B66,IF(DATOS_[[Check Periodo Ref.]:[Check Periodo Ref.]]="Dentro",DATOS_[C.Extra.05]))))), 0)</f>
        <v>0</v>
      </c>
      <c r="AQ67" s="213" t="n">
        <f aca="false" t="array" ref="AQ67:AQ67">IFERROR( AVERAGE(IF(DATOS_[Sexo]=$B67,IF(DATOS_[AGRUP. CLAS. PROF.]=$B66,IF(DATOS_[Check Periodo Ref.]="Dentro",DATOS_[Tot Extrasalarial Ef],0)))), 0)</f>
        <v>0</v>
      </c>
      <c r="AR67" s="214" t="n">
        <f aca="false" t="array" ref="AR67:AR67">IFERROR( AVERAGE(IF(DATOS_[Sexo]=$B67,IF(DATOS_[AGRUP. CLAS. PROF.]=$B66,IF(DATOS_[Check Periodo Ref.]="Dentro",DATOS_[TOTAL Retrib Ef],0)))), 0)</f>
        <v>0</v>
      </c>
    </row>
    <row r="68" customFormat="false" ht="14.25" hidden="false" customHeight="false" outlineLevel="0" collapsed="false">
      <c r="A68" s="191" t="str">
        <f aca="false">+A67</f>
        <v>[ocultar]</v>
      </c>
      <c r="B68" s="205" t="s">
        <v>372</v>
      </c>
      <c r="C68" s="206" t="n">
        <f aca="false" t="array" ref="C68:C68">SUM(IF($B68=DATOS_[Sexo], IF($B66=DATOS_[AGRUP. CLAS. PROF.], IF("Dentro"=DATOS_[Check Periodo Ref.], 1/(COUNTIFS(DATOS_[Sexo],$B68,DATOS_[AGRUP. CLAS. PROF.],$B66,DATOS_[Check Periodo Ref.],"Dentro",DATOS_[id],DATOS_[id]))))))</f>
        <v>0</v>
      </c>
      <c r="D68" s="207" t="n">
        <f aca="false">COUNTIFS(DATOS_[AGRUP. CLAS. PROF.],$B66,DATOS_[Sexo],$B68,DATOS_[Check Periodo Ref.],"Dentro")</f>
        <v>0</v>
      </c>
      <c r="E68" s="208" t="n">
        <f aca="false" t="array" ref="E68:E68">IFERROR( AVERAGE(IF(DATOS_[Sexo]=$B68,IF(DATOS_[AGRUP. CLAS. PROF.]=$B66,IF(DATOS_[Check Periodo Ref.]="Dentro",DATOS_[SALARIO BASE Ef],0)))), 0)</f>
        <v>0</v>
      </c>
      <c r="F68" s="209" t="n">
        <f aca="false" t="array" ref="F68:F68">IFERROR( AVERAGE((IF(DATOS_[[Sexo]:[Sexo]]=$B68,IF(DATOS_[[AGRUP. CLAS. PROF.]:[AGRUP. CLAS. PROF.]]=$B66,IF(DATOS_[[Check Periodo Ref.]:[Check Periodo Ref.]]="Dentro",DATOS_[Conc.Sal.01]))))), 0)</f>
        <v>0</v>
      </c>
      <c r="G68" s="209" t="n">
        <f aca="false" t="array" ref="G68:G68">IFERROR( AVERAGE((IF(DATOS_[[Sexo]:[Sexo]]=$B68,IF(DATOS_[[AGRUP. CLAS. PROF.]:[AGRUP. CLAS. PROF.]]=$B66,IF(DATOS_[[Check Periodo Ref.]:[Check Periodo Ref.]]="Dentro",DATOS_[Conc.Sal.02]))))), 0)</f>
        <v>0</v>
      </c>
      <c r="H68" s="209" t="n">
        <f aca="false" t="array" ref="H68:H68">IFERROR( AVERAGE((IF(DATOS_[[Sexo]:[Sexo]]=$B68,IF(DATOS_[[AGRUP. CLAS. PROF.]:[AGRUP. CLAS. PROF.]]=$B66,IF(DATOS_[[Check Periodo Ref.]:[Check Periodo Ref.]]="Dentro",DATOS_[Conc.Sal.03]))))), 0)</f>
        <v>0</v>
      </c>
      <c r="I68" s="209" t="n">
        <f aca="false" t="array" ref="I68:I68">IFERROR( AVERAGE((IF(DATOS_[[Sexo]:[Sexo]]=$B68,IF(DATOS_[[AGRUP. CLAS. PROF.]:[AGRUP. CLAS. PROF.]]=$B66,IF(DATOS_[[Check Periodo Ref.]:[Check Periodo Ref.]]="Dentro",DATOS_[Conc.Sal.04]))))), 0)</f>
        <v>0</v>
      </c>
      <c r="J68" s="209" t="n">
        <f aca="false" t="array" ref="J68:J68">IFERROR( AVERAGE((IF(DATOS_[[Sexo]:[Sexo]]=$B68,IF(DATOS_[[AGRUP. CLAS. PROF.]:[AGRUP. CLAS. PROF.]]=$B66,IF(DATOS_[[Check Periodo Ref.]:[Check Periodo Ref.]]="Dentro",DATOS_[Conc.Sal.05]))))), 0)</f>
        <v>0</v>
      </c>
      <c r="K68" s="209" t="n">
        <f aca="false" t="array" ref="K68:K68">IFERROR( AVERAGE((IF(DATOS_[[Sexo]:[Sexo]]=$B68,IF(DATOS_[[AGRUP. CLAS. PROF.]:[AGRUP. CLAS. PROF.]]=$B66,IF(DATOS_[[Check Periodo Ref.]:[Check Periodo Ref.]]="Dentro",DATOS_[Conc.Sal.06]))))), 0)</f>
        <v>0</v>
      </c>
      <c r="L68" s="209" t="n">
        <f aca="false" t="array" ref="L68:L68">IFERROR( AVERAGE((IF(DATOS_[[Sexo]:[Sexo]]=$B68,IF(DATOS_[[AGRUP. CLAS. PROF.]:[AGRUP. CLAS. PROF.]]=$B66,IF(DATOS_[[Check Periodo Ref.]:[Check Periodo Ref.]]="Dentro",DATOS_[Conc.Sal.07]))))), 0)</f>
        <v>0</v>
      </c>
      <c r="M68" s="209" t="n">
        <f aca="false" t="array" ref="M68:M68">IFERROR( AVERAGE((IF(DATOS_[[Sexo]:[Sexo]]=$B68,IF(DATOS_[[AGRUP. CLAS. PROF.]:[AGRUP. CLAS. PROF.]]=$B66,IF(DATOS_[[Check Periodo Ref.]:[Check Periodo Ref.]]="Dentro",DATOS_[Conc.Sal.08]))))), 0)</f>
        <v>0</v>
      </c>
      <c r="N68" s="209" t="n">
        <f aca="false" t="array" ref="N68:N68">IFERROR( AVERAGE((IF(DATOS_[[Sexo]:[Sexo]]=$B68,IF(DATOS_[[AGRUP. CLAS. PROF.]:[AGRUP. CLAS. PROF.]]=$B66,IF(DATOS_[[Check Periodo Ref.]:[Check Periodo Ref.]]="Dentro",DATOS_[Conc.Sal.09]))))), 0)</f>
        <v>0</v>
      </c>
      <c r="O68" s="209" t="n">
        <f aca="false" t="array" ref="O68:O68">IFERROR( AVERAGE((IF(DATOS_[[Sexo]:[Sexo]]=$B68,IF(DATOS_[[AGRUP. CLAS. PROF.]:[AGRUP. CLAS. PROF.]]=$B66,IF(DATOS_[[Check Periodo Ref.]:[Check Periodo Ref.]]="Dentro",DATOS_[Conc.Sal.10]))))), 0)</f>
        <v>0</v>
      </c>
      <c r="P68" s="209" t="n">
        <f aca="false" t="array" ref="P68:P68">IFERROR( AVERAGE((IF(DATOS_[[Sexo]:[Sexo]]=$B68,IF(DATOS_[[AGRUP. CLAS. PROF.]:[AGRUP. CLAS. PROF.]]=$B66,IF(DATOS_[[Check Periodo Ref.]:[Check Periodo Ref.]]="Dentro",DATOS_[Conc.Sal.11]))))), 0)</f>
        <v>0</v>
      </c>
      <c r="Q68" s="209" t="n">
        <f aca="false" t="array" ref="Q68:Q68">IFERROR( AVERAGE((IF(DATOS_[[Sexo]:[Sexo]]=$B68,IF(DATOS_[[AGRUP. CLAS. PROF.]:[AGRUP. CLAS. PROF.]]=$B66,IF(DATOS_[[Check Periodo Ref.]:[Check Periodo Ref.]]="Dentro",DATOS_[Conc.Sal.12]))))), 0)</f>
        <v>0</v>
      </c>
      <c r="R68" s="209" t="n">
        <f aca="false" t="array" ref="R68:R68">IFERROR( AVERAGE((IF(DATOS_[[Sexo]:[Sexo]]=$B68,IF(DATOS_[[AGRUP. CLAS. PROF.]:[AGRUP. CLAS. PROF.]]=$B66,IF(DATOS_[[Check Periodo Ref.]:[Check Periodo Ref.]]="Dentro",DATOS_[Conc.Sal.13]))))), 0)</f>
        <v>0</v>
      </c>
      <c r="S68" s="209" t="n">
        <f aca="false" t="array" ref="S68:S68">IFERROR( AVERAGE((IF(DATOS_[[Sexo]:[Sexo]]=$B68,IF(DATOS_[[AGRUP. CLAS. PROF.]:[AGRUP. CLAS. PROF.]]=$B66,IF(DATOS_[[Check Periodo Ref.]:[Check Periodo Ref.]]="Dentro",DATOS_[Conc.Sal.14]))))), 0)</f>
        <v>0</v>
      </c>
      <c r="T68" s="209" t="n">
        <f aca="false" t="array" ref="T68:T68">IFERROR( AVERAGE((IF(DATOS_[[Sexo]:[Sexo]]=$B68,IF(DATOS_[[AGRUP. CLAS. PROF.]:[AGRUP. CLAS. PROF.]]=$B66,IF(DATOS_[[Check Periodo Ref.]:[Check Periodo Ref.]]="Dentro",DATOS_[Conc.Sal.15]))))), 0)</f>
        <v>0</v>
      </c>
      <c r="U68" s="209" t="n">
        <f aca="false" t="array" ref="U68:U68">IFERROR( AVERAGE((IF(DATOS_[[Sexo]:[Sexo]]=$B68,IF(DATOS_[[AGRUP. CLAS. PROF.]:[AGRUP. CLAS. PROF.]]=$B66,IF(DATOS_[[Check Periodo Ref.]:[Check Periodo Ref.]]="Dentro",DATOS_[Conc.Sal.16]))))), 0)</f>
        <v>0</v>
      </c>
      <c r="V68" s="209" t="n">
        <f aca="false" t="array" ref="V68:V68">IFERROR( AVERAGE((IF(DATOS_[[Sexo]:[Sexo]]=$B68,IF(DATOS_[[AGRUP. CLAS. PROF.]:[AGRUP. CLAS. PROF.]]=$B66,IF(DATOS_[[Check Periodo Ref.]:[Check Periodo Ref.]]="Dentro",DATOS_[Conc.Sal.17]))))), 0)</f>
        <v>0</v>
      </c>
      <c r="W68" s="209" t="n">
        <f aca="false" t="array" ref="W68:W68">IFERROR( AVERAGE((IF(DATOS_[[Sexo]:[Sexo]]=$B68,IF(DATOS_[[AGRUP. CLAS. PROF.]:[AGRUP. CLAS. PROF.]]=$B66,IF(DATOS_[[Check Periodo Ref.]:[Check Periodo Ref.]]="Dentro",DATOS_[Conc.Sal.18]))))), 0)</f>
        <v>0</v>
      </c>
      <c r="X68" s="209" t="n">
        <f aca="false" t="array" ref="X68:X68">IFERROR( AVERAGE((IF(DATOS_[[Sexo]:[Sexo]]=$B68,IF(DATOS_[[AGRUP. CLAS. PROF.]:[AGRUP. CLAS. PROF.]]=$B66,IF(DATOS_[[Check Periodo Ref.]:[Check Periodo Ref.]]="Dentro",DATOS_[Conc.Sal.19]))))), 0)</f>
        <v>0</v>
      </c>
      <c r="Y68" s="209" t="n">
        <f aca="false" t="array" ref="Y68:Y68">IFERROR( AVERAGE((IF(DATOS_[[Sexo]:[Sexo]]=$B68,IF(DATOS_[[AGRUP. CLAS. PROF.]:[AGRUP. CLAS. PROF.]]=$B66,IF(DATOS_[[Check Periodo Ref.]:[Check Periodo Ref.]]="Dentro",DATOS_[Conc.Sal.20]))))), 0)</f>
        <v>0</v>
      </c>
      <c r="Z68" s="209" t="n">
        <f aca="false" t="array" ref="Z68:Z68">IFERROR( AVERAGE((IF(DATOS_[[Sexo]:[Sexo]]=$B68,IF(DATOS_[[AGRUP. CLAS. PROF.]:[AGRUP. CLAS. PROF.]]=$B66,IF(DATOS_[[Check Periodo Ref.]:[Check Periodo Ref.]]="Dentro",DATOS_[Conc.Sal.21]))))), 0)</f>
        <v>0</v>
      </c>
      <c r="AA68" s="209" t="n">
        <f aca="false" t="array" ref="AA68:AA68">IFERROR( AVERAGE((IF(DATOS_[[Sexo]:[Sexo]]=$B68,IF(DATOS_[[AGRUP. CLAS. PROF.]:[AGRUP. CLAS. PROF.]]=$B66,IF(DATOS_[[Check Periodo Ref.]:[Check Periodo Ref.]]="Dentro",DATOS_[Conc.Sal.22]))))), 0)</f>
        <v>0</v>
      </c>
      <c r="AB68" s="209" t="n">
        <f aca="false" t="array" ref="AB68:AB68">IFERROR( AVERAGE((IF(DATOS_[[Sexo]:[Sexo]]=$B68,IF(DATOS_[[AGRUP. CLAS. PROF.]:[AGRUP. CLAS. PROF.]]=$B66,IF(DATOS_[[Check Periodo Ref.]:[Check Periodo Ref.]]="Dentro",DATOS_[Conc.Sal.23]))))), 0)</f>
        <v>0</v>
      </c>
      <c r="AC68" s="209" t="n">
        <f aca="false" t="array" ref="AC68:AC68">IFERROR( AVERAGE((IF(DATOS_[[Sexo]:[Sexo]]=$B68,IF(DATOS_[[AGRUP. CLAS. PROF.]:[AGRUP. CLAS. PROF.]]=$B66,IF(DATOS_[[Check Periodo Ref.]:[Check Periodo Ref.]]="Dentro",DATOS_[Conc.Sal.24]))))), 0)</f>
        <v>0</v>
      </c>
      <c r="AD68" s="209" t="n">
        <f aca="false" t="array" ref="AD68:AD68">IFERROR( AVERAGE((IF(DATOS_[[Sexo]:[Sexo]]=$B68,IF(DATOS_[[AGRUP. CLAS. PROF.]:[AGRUP. CLAS. PROF.]]=$B66,IF(DATOS_[[Check Periodo Ref.]:[Check Periodo Ref.]]="Dentro",DATOS_[Conc.Sal.25]))))), 0)</f>
        <v>0</v>
      </c>
      <c r="AE68" s="209" t="n">
        <f aca="false" t="array" ref="AE68:AE68">IFERROR( AVERAGE((IF(DATOS_[[Sexo]:[Sexo]]=$B68,IF(DATOS_[[AGRUP. CLAS. PROF.]:[AGRUP. CLAS. PROF.]]=$B66,IF(DATOS_[[Check Periodo Ref.]:[Check Periodo Ref.]]="Dentro",DATOS_[Conc.Sal.26]))))), 0)</f>
        <v>0</v>
      </c>
      <c r="AF68" s="209" t="n">
        <f aca="false" t="array" ref="AF68:AF68">IFERROR( AVERAGE((IF(DATOS_[[Sexo]:[Sexo]]=$B68,IF(DATOS_[[AGRUP. CLAS. PROF.]:[AGRUP. CLAS. PROF.]]=$B66,IF(DATOS_[[Check Periodo Ref.]:[Check Periodo Ref.]]="Dentro",DATOS_[Conc.Sal.27]))))), 0)</f>
        <v>0</v>
      </c>
      <c r="AG68" s="209" t="n">
        <f aca="false" t="array" ref="AG68:AG68">IFERROR( AVERAGE((IF(DATOS_[[Sexo]:[Sexo]]=$B68,IF(DATOS_[[AGRUP. CLAS. PROF.]:[AGRUP. CLAS. PROF.]]=$B66,IF(DATOS_[[Check Periodo Ref.]:[Check Periodo Ref.]]="Dentro",DATOS_[Conc.Sal.28]))))), 0)</f>
        <v>0</v>
      </c>
      <c r="AH68" s="209" t="n">
        <f aca="false" t="array" ref="AH68:AH68">IFERROR( AVERAGE((IF(DATOS_[[Sexo]:[Sexo]]=$B68,IF(DATOS_[[AGRUP. CLAS. PROF.]:[AGRUP. CLAS. PROF.]]=$B66,IF(DATOS_[[Check Periodo Ref.]:[Check Periodo Ref.]]="Dentro",DATOS_[Conc.Sal.29]))))), 0)</f>
        <v>0</v>
      </c>
      <c r="AI68" s="209" t="n">
        <f aca="false" t="array" ref="AI68:AI68">IFERROR( AVERAGE((IF(DATOS_[[Sexo]:[Sexo]]=$B68,IF(DATOS_[[AGRUP. CLAS. PROF.]:[AGRUP. CLAS. PROF.]]=$B66,IF(DATOS_[[Check Periodo Ref.]:[Check Periodo Ref.]]="Dentro",DATOS_[Conc.Sal.30]))))), 0)</f>
        <v>0</v>
      </c>
      <c r="AJ68" s="210" t="n">
        <f aca="false" t="array" ref="AJ68:AJ68">IFERROR( AVERAGE(IF(DATOS_[Sexo]=$B68,IF(DATOS_[AGRUP. CLAS. PROF.]=$B66,IF(DATOS_[Check Periodo Ref.]="Dentro",DATOS_[Tot COMPL.SAL Ef],0)))), 0)</f>
        <v>0</v>
      </c>
      <c r="AK68" s="211" t="n">
        <f aca="false" t="array" ref="AK68:AK68">IFERROR( AVERAGE(IF(DATOS_[Sexo]=$B68,IF(DATOS_[AGRUP. CLAS. PROF.]=$B66,IF(DATOS_[Check Periodo Ref.]="Dentro",DATOS_[TOTAL SALARIO Ef],0)))), 0)</f>
        <v>0</v>
      </c>
      <c r="AL68" s="212" t="n">
        <f aca="false" t="array" ref="AL68:AL68">IFERROR( AVERAGE((IF(DATOS_[[Sexo]:[Sexo]]=$B68,IF(DATOS_[[AGRUP. CLAS. PROF.]:[AGRUP. CLAS. PROF.]]=$B66,IF(DATOS_[[Check Periodo Ref.]:[Check Periodo Ref.]]="Dentro",DATOS_[C.Extra.01]))))), 0)</f>
        <v>0</v>
      </c>
      <c r="AM68" s="212" t="n">
        <f aca="false" t="array" ref="AM68:AM68">IFERROR( AVERAGE((IF(DATOS_[[Sexo]:[Sexo]]=$B68,IF(DATOS_[[AGRUP. CLAS. PROF.]:[AGRUP. CLAS. PROF.]]=$B66,IF(DATOS_[[Check Periodo Ref.]:[Check Periodo Ref.]]="Dentro",DATOS_[C.Extra.02]))))), 0)</f>
        <v>0</v>
      </c>
      <c r="AN68" s="212" t="n">
        <f aca="false" t="array" ref="AN68:AN68">IFERROR( AVERAGE((IF(DATOS_[[Sexo]:[Sexo]]=$B68,IF(DATOS_[[AGRUP. CLAS. PROF.]:[AGRUP. CLAS. PROF.]]=$B66,IF(DATOS_[[Check Periodo Ref.]:[Check Periodo Ref.]]="Dentro",DATOS_[C.Extra.03]))))), 0)</f>
        <v>0</v>
      </c>
      <c r="AO68" s="212" t="n">
        <f aca="false" t="array" ref="AO68:AO68">IFERROR( AVERAGE((IF(DATOS_[[Sexo]:[Sexo]]=$B68,IF(DATOS_[[AGRUP. CLAS. PROF.]:[AGRUP. CLAS. PROF.]]=$B66,IF(DATOS_[[Check Periodo Ref.]:[Check Periodo Ref.]]="Dentro",DATOS_[C.Extra.04]))))), 0)</f>
        <v>0</v>
      </c>
      <c r="AP68" s="212" t="n">
        <f aca="false" t="array" ref="AP68:AP68">IFERROR( AVERAGE((IF(DATOS_[[Sexo]:[Sexo]]=$B68,IF(DATOS_[[AGRUP. CLAS. PROF.]:[AGRUP. CLAS. PROF.]]=$B66,IF(DATOS_[[Check Periodo Ref.]:[Check Periodo Ref.]]="Dentro",DATOS_[C.Extra.05]))))), 0)</f>
        <v>0</v>
      </c>
      <c r="AQ68" s="213" t="n">
        <f aca="false" t="array" ref="AQ68:AQ68">IFERROR( AVERAGE(IF(DATOS_[Sexo]=$B68,IF(DATOS_[AGRUP. CLAS. PROF.]=$B66,IF(DATOS_[Check Periodo Ref.]="Dentro",DATOS_[Tot Extrasalarial Ef],0)))), 0)</f>
        <v>0</v>
      </c>
      <c r="AR68" s="214" t="n">
        <f aca="false" t="array" ref="AR68:AR68">IFERROR( AVERAGE(IF(DATOS_[Sexo]=$B68,IF(DATOS_[AGRUP. CLAS. PROF.]=$B66,IF(DATOS_[Check Periodo Ref.]="Dentro",DATOS_[TOTAL Retrib Ef],0)))), 0)</f>
        <v>0</v>
      </c>
    </row>
    <row r="69" customFormat="false" ht="15.75" hidden="false" customHeight="false" outlineLevel="0" collapsed="false">
      <c r="A69" s="191" t="str">
        <f aca="false">+A70</f>
        <v>[ocultar]</v>
      </c>
      <c r="B69" s="192" t="s">
        <v>222</v>
      </c>
      <c r="C69" s="193"/>
      <c r="D69" s="194"/>
      <c r="E69" s="195" t="str">
        <f aca="false">IFERROR((E70-E71)/E70,"")</f>
        <v/>
      </c>
      <c r="F69" s="196" t="str">
        <f aca="false">IFERROR((F70-F71)/F70,"")</f>
        <v/>
      </c>
      <c r="G69" s="197" t="str">
        <f aca="false">IFERROR((G70-G71)/G70,"")</f>
        <v/>
      </c>
      <c r="H69" s="197" t="str">
        <f aca="false">IFERROR((H70-H71)/H70,"")</f>
        <v/>
      </c>
      <c r="I69" s="197" t="str">
        <f aca="false">IFERROR((I70-I71)/I70,"")</f>
        <v/>
      </c>
      <c r="J69" s="198" t="str">
        <f aca="false">IFERROR((J70-J71)/J70,"")</f>
        <v/>
      </c>
      <c r="K69" s="199" t="str">
        <f aca="false">IFERROR((K70-K71)/K70,"")</f>
        <v/>
      </c>
      <c r="L69" s="199" t="str">
        <f aca="false">IFERROR((L70-L71)/L70,"")</f>
        <v/>
      </c>
      <c r="M69" s="199" t="str">
        <f aca="false">IFERROR((M70-M71)/M70,"")</f>
        <v/>
      </c>
      <c r="N69" s="199" t="str">
        <f aca="false">IFERROR((N70-N71)/N70,"")</f>
        <v/>
      </c>
      <c r="O69" s="199" t="str">
        <f aca="false">IFERROR((O70-O71)/O70,"")</f>
        <v/>
      </c>
      <c r="P69" s="199" t="str">
        <f aca="false">IFERROR((P70-P71)/P70,"")</f>
        <v/>
      </c>
      <c r="Q69" s="199" t="str">
        <f aca="false">IFERROR((Q70-Q71)/Q70,"")</f>
        <v/>
      </c>
      <c r="R69" s="199" t="str">
        <f aca="false">IFERROR((R70-R71)/R70,"")</f>
        <v/>
      </c>
      <c r="S69" s="199" t="str">
        <f aca="false">IFERROR((S70-S71)/S70,"")</f>
        <v/>
      </c>
      <c r="T69" s="199" t="str">
        <f aca="false">IFERROR((T70-T71)/T70,"")</f>
        <v/>
      </c>
      <c r="U69" s="199" t="str">
        <f aca="false">IFERROR((U70-U71)/U70,"")</f>
        <v/>
      </c>
      <c r="V69" s="198" t="str">
        <f aca="false">IFERROR((V70-V71)/V70,"")</f>
        <v/>
      </c>
      <c r="W69" s="198" t="str">
        <f aca="false">IFERROR((W70-W71)/W70,"")</f>
        <v/>
      </c>
      <c r="X69" s="198" t="str">
        <f aca="false">IFERROR((X70-X71)/X70,"")</f>
        <v/>
      </c>
      <c r="Y69" s="198" t="str">
        <f aca="false">IFERROR((Y70-Y71)/Y70,"")</f>
        <v/>
      </c>
      <c r="Z69" s="198" t="str">
        <f aca="false">IFERROR((Z70-Z71)/Z70,"")</f>
        <v/>
      </c>
      <c r="AA69" s="198" t="str">
        <f aca="false">IFERROR((AA70-AA71)/AA70,"")</f>
        <v/>
      </c>
      <c r="AB69" s="198" t="str">
        <f aca="false">IFERROR((AB70-AB71)/AB70,"")</f>
        <v/>
      </c>
      <c r="AC69" s="198" t="str">
        <f aca="false">IFERROR((AC70-AC71)/AC70,"")</f>
        <v/>
      </c>
      <c r="AD69" s="198" t="str">
        <f aca="false">IFERROR((AD70-AD71)/AD70,"")</f>
        <v/>
      </c>
      <c r="AE69" s="198" t="str">
        <f aca="false">IFERROR((AE70-AE71)/AE70,"")</f>
        <v/>
      </c>
      <c r="AF69" s="198" t="str">
        <f aca="false">IFERROR((AF70-AF71)/AF70,"")</f>
        <v/>
      </c>
      <c r="AG69" s="198" t="str">
        <f aca="false">IFERROR((AG70-AG71)/AG70,"")</f>
        <v/>
      </c>
      <c r="AH69" s="198" t="str">
        <f aca="false">IFERROR((AH70-AH71)/AH70,"")</f>
        <v/>
      </c>
      <c r="AI69" s="198" t="str">
        <f aca="false">IFERROR((AI70-AI71)/AI70,"")</f>
        <v/>
      </c>
      <c r="AJ69" s="200" t="str">
        <f aca="false">IFERROR((AJ70-AJ71)/AJ70,"")</f>
        <v/>
      </c>
      <c r="AK69" s="201" t="str">
        <f aca="false">IFERROR((AK70-AK71)/AK70,"")</f>
        <v/>
      </c>
      <c r="AL69" s="202" t="str">
        <f aca="false">IFERROR((AL70-AL71)/AL70,"")</f>
        <v/>
      </c>
      <c r="AM69" s="202" t="str">
        <f aca="false">IFERROR((AM70-AM71)/AM70,"")</f>
        <v/>
      </c>
      <c r="AN69" s="202" t="str">
        <f aca="false">IFERROR((AN70-AN71)/AN70,"")</f>
        <v/>
      </c>
      <c r="AO69" s="202" t="str">
        <f aca="false">IFERROR((AO70-AO71)/AO70,"")</f>
        <v/>
      </c>
      <c r="AP69" s="202" t="str">
        <f aca="false">IFERROR((AP70-AP71)/AP70,"")</f>
        <v/>
      </c>
      <c r="AQ69" s="203" t="str">
        <f aca="false">IFERROR((AQ70-AQ71)/AQ70,"")</f>
        <v/>
      </c>
      <c r="AR69" s="204" t="str">
        <f aca="false">IFERROR((AR70-AR71)/AR70,"")</f>
        <v/>
      </c>
    </row>
    <row r="70" customFormat="false" ht="14.25" hidden="false" customHeight="false" outlineLevel="0" collapsed="false">
      <c r="A70" s="191" t="str">
        <f aca="false">+IF(C70+C71=0,"[ocultar]","")</f>
        <v>[ocultar]</v>
      </c>
      <c r="B70" s="205" t="s">
        <v>371</v>
      </c>
      <c r="C70" s="206" t="n">
        <f aca="false" t="array" ref="C70:C70">SUM(IF($B70=DATOS_[Sexo], IF($B69=DATOS_[AGRUP. CLAS. PROF.], IF("Dentro"=DATOS_[Check Periodo Ref.], 1/(COUNTIFS(DATOS_[Sexo],$B70,DATOS_[AGRUP. CLAS. PROF.],$B69,DATOS_[Check Periodo Ref.],"Dentro",DATOS_[id],DATOS_[id]))))))</f>
        <v>0</v>
      </c>
      <c r="D70" s="207" t="n">
        <f aca="false">COUNTIFS(DATOS_[AGRUP. CLAS. PROF.],$B69,DATOS_[Sexo],$B70,DATOS_[Check Periodo Ref.],"Dentro")</f>
        <v>0</v>
      </c>
      <c r="E70" s="208" t="n">
        <f aca="false" t="array" ref="E70:E70">IFERROR( AVERAGE(IF(DATOS_[Sexo]=$B70,IF(DATOS_[AGRUP. CLAS. PROF.]=$B69,IF(DATOS_[Check Periodo Ref.]="Dentro",DATOS_[SALARIO BASE Ef],0)))), 0)</f>
        <v>0</v>
      </c>
      <c r="F70" s="209" t="n">
        <f aca="false" t="array" ref="F70:F70">IFERROR( AVERAGE((IF(DATOS_[[Sexo]:[Sexo]]=$B70,IF(DATOS_[[AGRUP. CLAS. PROF.]:[AGRUP. CLAS. PROF.]]=$B69,IF(DATOS_[[Check Periodo Ref.]:[Check Periodo Ref.]]="Dentro",DATOS_[Conc.Sal.01]))))), 0)</f>
        <v>0</v>
      </c>
      <c r="G70" s="209" t="n">
        <f aca="false" t="array" ref="G70:G70">IFERROR( AVERAGE((IF(DATOS_[[Sexo]:[Sexo]]=$B70,IF(DATOS_[[AGRUP. CLAS. PROF.]:[AGRUP. CLAS. PROF.]]=$B69,IF(DATOS_[[Check Periodo Ref.]:[Check Periodo Ref.]]="Dentro",DATOS_[Conc.Sal.02]))))), 0)</f>
        <v>0</v>
      </c>
      <c r="H70" s="209" t="n">
        <f aca="false" t="array" ref="H70:H70">IFERROR( AVERAGE((IF(DATOS_[[Sexo]:[Sexo]]=$B70,IF(DATOS_[[AGRUP. CLAS. PROF.]:[AGRUP. CLAS. PROF.]]=$B69,IF(DATOS_[[Check Periodo Ref.]:[Check Periodo Ref.]]="Dentro",DATOS_[Conc.Sal.03]))))), 0)</f>
        <v>0</v>
      </c>
      <c r="I70" s="209" t="n">
        <f aca="false" t="array" ref="I70:I70">IFERROR( AVERAGE((IF(DATOS_[[Sexo]:[Sexo]]=$B70,IF(DATOS_[[AGRUP. CLAS. PROF.]:[AGRUP. CLAS. PROF.]]=$B69,IF(DATOS_[[Check Periodo Ref.]:[Check Periodo Ref.]]="Dentro",DATOS_[Conc.Sal.04]))))), 0)</f>
        <v>0</v>
      </c>
      <c r="J70" s="209" t="n">
        <f aca="false" t="array" ref="J70:J70">IFERROR( AVERAGE((IF(DATOS_[[Sexo]:[Sexo]]=$B70,IF(DATOS_[[AGRUP. CLAS. PROF.]:[AGRUP. CLAS. PROF.]]=$B69,IF(DATOS_[[Check Periodo Ref.]:[Check Periodo Ref.]]="Dentro",DATOS_[Conc.Sal.05]))))), 0)</f>
        <v>0</v>
      </c>
      <c r="K70" s="209" t="n">
        <f aca="false" t="array" ref="K70:K70">IFERROR( AVERAGE((IF(DATOS_[[Sexo]:[Sexo]]=$B70,IF(DATOS_[[AGRUP. CLAS. PROF.]:[AGRUP. CLAS. PROF.]]=$B69,IF(DATOS_[[Check Periodo Ref.]:[Check Periodo Ref.]]="Dentro",DATOS_[Conc.Sal.06]))))), 0)</f>
        <v>0</v>
      </c>
      <c r="L70" s="209" t="n">
        <f aca="false" t="array" ref="L70:L70">IFERROR( AVERAGE((IF(DATOS_[[Sexo]:[Sexo]]=$B70,IF(DATOS_[[AGRUP. CLAS. PROF.]:[AGRUP. CLAS. PROF.]]=$B69,IF(DATOS_[[Check Periodo Ref.]:[Check Periodo Ref.]]="Dentro",DATOS_[Conc.Sal.07]))))), 0)</f>
        <v>0</v>
      </c>
      <c r="M70" s="209" t="n">
        <f aca="false" t="array" ref="M70:M70">IFERROR( AVERAGE((IF(DATOS_[[Sexo]:[Sexo]]=$B70,IF(DATOS_[[AGRUP. CLAS. PROF.]:[AGRUP. CLAS. PROF.]]=$B69,IF(DATOS_[[Check Periodo Ref.]:[Check Periodo Ref.]]="Dentro",DATOS_[Conc.Sal.08]))))), 0)</f>
        <v>0</v>
      </c>
      <c r="N70" s="209" t="n">
        <f aca="false" t="array" ref="N70:N70">IFERROR( AVERAGE((IF(DATOS_[[Sexo]:[Sexo]]=$B70,IF(DATOS_[[AGRUP. CLAS. PROF.]:[AGRUP. CLAS. PROF.]]=$B69,IF(DATOS_[[Check Periodo Ref.]:[Check Periodo Ref.]]="Dentro",DATOS_[Conc.Sal.09]))))), 0)</f>
        <v>0</v>
      </c>
      <c r="O70" s="209" t="n">
        <f aca="false" t="array" ref="O70:O70">IFERROR( AVERAGE((IF(DATOS_[[Sexo]:[Sexo]]=$B70,IF(DATOS_[[AGRUP. CLAS. PROF.]:[AGRUP. CLAS. PROF.]]=$B69,IF(DATOS_[[Check Periodo Ref.]:[Check Periodo Ref.]]="Dentro",DATOS_[Conc.Sal.10]))))), 0)</f>
        <v>0</v>
      </c>
      <c r="P70" s="209" t="n">
        <f aca="false" t="array" ref="P70:P70">IFERROR( AVERAGE((IF(DATOS_[[Sexo]:[Sexo]]=$B70,IF(DATOS_[[AGRUP. CLAS. PROF.]:[AGRUP. CLAS. PROF.]]=$B69,IF(DATOS_[[Check Periodo Ref.]:[Check Periodo Ref.]]="Dentro",DATOS_[Conc.Sal.11]))))), 0)</f>
        <v>0</v>
      </c>
      <c r="Q70" s="209" t="n">
        <f aca="false" t="array" ref="Q70:Q70">IFERROR( AVERAGE((IF(DATOS_[[Sexo]:[Sexo]]=$B70,IF(DATOS_[[AGRUP. CLAS. PROF.]:[AGRUP. CLAS. PROF.]]=$B69,IF(DATOS_[[Check Periodo Ref.]:[Check Periodo Ref.]]="Dentro",DATOS_[Conc.Sal.12]))))), 0)</f>
        <v>0</v>
      </c>
      <c r="R70" s="209" t="n">
        <f aca="false" t="array" ref="R70:R70">IFERROR( AVERAGE((IF(DATOS_[[Sexo]:[Sexo]]=$B70,IF(DATOS_[[AGRUP. CLAS. PROF.]:[AGRUP. CLAS. PROF.]]=$B69,IF(DATOS_[[Check Periodo Ref.]:[Check Periodo Ref.]]="Dentro",DATOS_[Conc.Sal.13]))))), 0)</f>
        <v>0</v>
      </c>
      <c r="S70" s="209" t="n">
        <f aca="false" t="array" ref="S70:S70">IFERROR( AVERAGE((IF(DATOS_[[Sexo]:[Sexo]]=$B70,IF(DATOS_[[AGRUP. CLAS. PROF.]:[AGRUP. CLAS. PROF.]]=$B69,IF(DATOS_[[Check Periodo Ref.]:[Check Periodo Ref.]]="Dentro",DATOS_[Conc.Sal.14]))))), 0)</f>
        <v>0</v>
      </c>
      <c r="T70" s="209" t="n">
        <f aca="false" t="array" ref="T70:T70">IFERROR( AVERAGE((IF(DATOS_[[Sexo]:[Sexo]]=$B70,IF(DATOS_[[AGRUP. CLAS. PROF.]:[AGRUP. CLAS. PROF.]]=$B69,IF(DATOS_[[Check Periodo Ref.]:[Check Periodo Ref.]]="Dentro",DATOS_[Conc.Sal.15]))))), 0)</f>
        <v>0</v>
      </c>
      <c r="U70" s="209" t="n">
        <f aca="false" t="array" ref="U70:U70">IFERROR( AVERAGE((IF(DATOS_[[Sexo]:[Sexo]]=$B70,IF(DATOS_[[AGRUP. CLAS. PROF.]:[AGRUP. CLAS. PROF.]]=$B69,IF(DATOS_[[Check Periodo Ref.]:[Check Periodo Ref.]]="Dentro",DATOS_[Conc.Sal.16]))))), 0)</f>
        <v>0</v>
      </c>
      <c r="V70" s="209" t="n">
        <f aca="false" t="array" ref="V70:V70">IFERROR( AVERAGE((IF(DATOS_[[Sexo]:[Sexo]]=$B70,IF(DATOS_[[AGRUP. CLAS. PROF.]:[AGRUP. CLAS. PROF.]]=$B69,IF(DATOS_[[Check Periodo Ref.]:[Check Periodo Ref.]]="Dentro",DATOS_[Conc.Sal.17]))))), 0)</f>
        <v>0</v>
      </c>
      <c r="W70" s="209" t="n">
        <f aca="false" t="array" ref="W70:W70">IFERROR( AVERAGE((IF(DATOS_[[Sexo]:[Sexo]]=$B70,IF(DATOS_[[AGRUP. CLAS. PROF.]:[AGRUP. CLAS. PROF.]]=$B69,IF(DATOS_[[Check Periodo Ref.]:[Check Periodo Ref.]]="Dentro",DATOS_[Conc.Sal.18]))))), 0)</f>
        <v>0</v>
      </c>
      <c r="X70" s="209" t="n">
        <f aca="false" t="array" ref="X70:X70">IFERROR( AVERAGE((IF(DATOS_[[Sexo]:[Sexo]]=$B70,IF(DATOS_[[AGRUP. CLAS. PROF.]:[AGRUP. CLAS. PROF.]]=$B69,IF(DATOS_[[Check Periodo Ref.]:[Check Periodo Ref.]]="Dentro",DATOS_[Conc.Sal.19]))))), 0)</f>
        <v>0</v>
      </c>
      <c r="Y70" s="209" t="n">
        <f aca="false" t="array" ref="Y70:Y70">IFERROR( AVERAGE((IF(DATOS_[[Sexo]:[Sexo]]=$B70,IF(DATOS_[[AGRUP. CLAS. PROF.]:[AGRUP. CLAS. PROF.]]=$B69,IF(DATOS_[[Check Periodo Ref.]:[Check Periodo Ref.]]="Dentro",DATOS_[Conc.Sal.20]))))), 0)</f>
        <v>0</v>
      </c>
      <c r="Z70" s="209" t="n">
        <f aca="false" t="array" ref="Z70:Z70">IFERROR( AVERAGE((IF(DATOS_[[Sexo]:[Sexo]]=$B70,IF(DATOS_[[AGRUP. CLAS. PROF.]:[AGRUP. CLAS. PROF.]]=$B69,IF(DATOS_[[Check Periodo Ref.]:[Check Periodo Ref.]]="Dentro",DATOS_[Conc.Sal.21]))))), 0)</f>
        <v>0</v>
      </c>
      <c r="AA70" s="209" t="n">
        <f aca="false" t="array" ref="AA70:AA70">IFERROR( AVERAGE((IF(DATOS_[[Sexo]:[Sexo]]=$B70,IF(DATOS_[[AGRUP. CLAS. PROF.]:[AGRUP. CLAS. PROF.]]=$B69,IF(DATOS_[[Check Periodo Ref.]:[Check Periodo Ref.]]="Dentro",DATOS_[Conc.Sal.22]))))), 0)</f>
        <v>0</v>
      </c>
      <c r="AB70" s="209" t="n">
        <f aca="false" t="array" ref="AB70:AB70">IFERROR( AVERAGE((IF(DATOS_[[Sexo]:[Sexo]]=$B70,IF(DATOS_[[AGRUP. CLAS. PROF.]:[AGRUP. CLAS. PROF.]]=$B69,IF(DATOS_[[Check Periodo Ref.]:[Check Periodo Ref.]]="Dentro",DATOS_[Conc.Sal.23]))))), 0)</f>
        <v>0</v>
      </c>
      <c r="AC70" s="209" t="n">
        <f aca="false" t="array" ref="AC70:AC70">IFERROR( AVERAGE((IF(DATOS_[[Sexo]:[Sexo]]=$B70,IF(DATOS_[[AGRUP. CLAS. PROF.]:[AGRUP. CLAS. PROF.]]=$B69,IF(DATOS_[[Check Periodo Ref.]:[Check Periodo Ref.]]="Dentro",DATOS_[Conc.Sal.24]))))), 0)</f>
        <v>0</v>
      </c>
      <c r="AD70" s="209" t="n">
        <f aca="false" t="array" ref="AD70:AD70">IFERROR( AVERAGE((IF(DATOS_[[Sexo]:[Sexo]]=$B70,IF(DATOS_[[AGRUP. CLAS. PROF.]:[AGRUP. CLAS. PROF.]]=$B69,IF(DATOS_[[Check Periodo Ref.]:[Check Periodo Ref.]]="Dentro",DATOS_[Conc.Sal.25]))))), 0)</f>
        <v>0</v>
      </c>
      <c r="AE70" s="209" t="n">
        <f aca="false" t="array" ref="AE70:AE70">IFERROR( AVERAGE((IF(DATOS_[[Sexo]:[Sexo]]=$B70,IF(DATOS_[[AGRUP. CLAS. PROF.]:[AGRUP. CLAS. PROF.]]=$B69,IF(DATOS_[[Check Periodo Ref.]:[Check Periodo Ref.]]="Dentro",DATOS_[Conc.Sal.26]))))), 0)</f>
        <v>0</v>
      </c>
      <c r="AF70" s="209" t="n">
        <f aca="false" t="array" ref="AF70:AF70">IFERROR( AVERAGE((IF(DATOS_[[Sexo]:[Sexo]]=$B70,IF(DATOS_[[AGRUP. CLAS. PROF.]:[AGRUP. CLAS. PROF.]]=$B69,IF(DATOS_[[Check Periodo Ref.]:[Check Periodo Ref.]]="Dentro",DATOS_[Conc.Sal.27]))))), 0)</f>
        <v>0</v>
      </c>
      <c r="AG70" s="209" t="n">
        <f aca="false" t="array" ref="AG70:AG70">IFERROR( AVERAGE((IF(DATOS_[[Sexo]:[Sexo]]=$B70,IF(DATOS_[[AGRUP. CLAS. PROF.]:[AGRUP. CLAS. PROF.]]=$B69,IF(DATOS_[[Check Periodo Ref.]:[Check Periodo Ref.]]="Dentro",DATOS_[Conc.Sal.28]))))), 0)</f>
        <v>0</v>
      </c>
      <c r="AH70" s="209" t="n">
        <f aca="false" t="array" ref="AH70:AH70">IFERROR( AVERAGE((IF(DATOS_[[Sexo]:[Sexo]]=$B70,IF(DATOS_[[AGRUP. CLAS. PROF.]:[AGRUP. CLAS. PROF.]]=$B69,IF(DATOS_[[Check Periodo Ref.]:[Check Periodo Ref.]]="Dentro",DATOS_[Conc.Sal.29]))))), 0)</f>
        <v>0</v>
      </c>
      <c r="AI70" s="209" t="n">
        <f aca="false" t="array" ref="AI70:AI70">IFERROR( AVERAGE((IF(DATOS_[[Sexo]:[Sexo]]=$B70,IF(DATOS_[[AGRUP. CLAS. PROF.]:[AGRUP. CLAS. PROF.]]=$B69,IF(DATOS_[[Check Periodo Ref.]:[Check Periodo Ref.]]="Dentro",DATOS_[Conc.Sal.30]))))), 0)</f>
        <v>0</v>
      </c>
      <c r="AJ70" s="210" t="n">
        <f aca="false" t="array" ref="AJ70:AJ70">IFERROR( AVERAGE(IF(DATOS_[Sexo]=$B70,IF(DATOS_[AGRUP. CLAS. PROF.]=$B69,IF(DATOS_[Check Periodo Ref.]="Dentro",DATOS_[Tot COMPL.SAL Ef],0)))), 0)</f>
        <v>0</v>
      </c>
      <c r="AK70" s="211" t="n">
        <f aca="false" t="array" ref="AK70:AK70">IFERROR( AVERAGE(IF(DATOS_[Sexo]=$B70,IF(DATOS_[AGRUP. CLAS. PROF.]=$B69,IF(DATOS_[Check Periodo Ref.]="Dentro",DATOS_[TOTAL SALARIO Ef],0)))), 0)</f>
        <v>0</v>
      </c>
      <c r="AL70" s="212" t="n">
        <f aca="false" t="array" ref="AL70:AL70">IFERROR( AVERAGE((IF(DATOS_[[Sexo]:[Sexo]]=$B70,IF(DATOS_[[AGRUP. CLAS. PROF.]:[AGRUP. CLAS. PROF.]]=$B69,IF(DATOS_[[Check Periodo Ref.]:[Check Periodo Ref.]]="Dentro",DATOS_[C.Extra.01]))))), 0)</f>
        <v>0</v>
      </c>
      <c r="AM70" s="212" t="n">
        <f aca="false" t="array" ref="AM70:AM70">IFERROR( AVERAGE((IF(DATOS_[[Sexo]:[Sexo]]=$B70,IF(DATOS_[[AGRUP. CLAS. PROF.]:[AGRUP. CLAS. PROF.]]=$B69,IF(DATOS_[[Check Periodo Ref.]:[Check Periodo Ref.]]="Dentro",DATOS_[C.Extra.02]))))), 0)</f>
        <v>0</v>
      </c>
      <c r="AN70" s="212" t="n">
        <f aca="false" t="array" ref="AN70:AN70">IFERROR( AVERAGE((IF(DATOS_[[Sexo]:[Sexo]]=$B70,IF(DATOS_[[AGRUP. CLAS. PROF.]:[AGRUP. CLAS. PROF.]]=$B69,IF(DATOS_[[Check Periodo Ref.]:[Check Periodo Ref.]]="Dentro",DATOS_[C.Extra.03]))))), 0)</f>
        <v>0</v>
      </c>
      <c r="AO70" s="212" t="n">
        <f aca="false" t="array" ref="AO70:AO70">IFERROR( AVERAGE((IF(DATOS_[[Sexo]:[Sexo]]=$B70,IF(DATOS_[[AGRUP. CLAS. PROF.]:[AGRUP. CLAS. PROF.]]=$B69,IF(DATOS_[[Check Periodo Ref.]:[Check Periodo Ref.]]="Dentro",DATOS_[C.Extra.04]))))), 0)</f>
        <v>0</v>
      </c>
      <c r="AP70" s="212" t="n">
        <f aca="false" t="array" ref="AP70:AP70">IFERROR( AVERAGE((IF(DATOS_[[Sexo]:[Sexo]]=$B70,IF(DATOS_[[AGRUP. CLAS. PROF.]:[AGRUP. CLAS. PROF.]]=$B69,IF(DATOS_[[Check Periodo Ref.]:[Check Periodo Ref.]]="Dentro",DATOS_[C.Extra.05]))))), 0)</f>
        <v>0</v>
      </c>
      <c r="AQ70" s="213" t="n">
        <f aca="false" t="array" ref="AQ70:AQ70">IFERROR( AVERAGE(IF(DATOS_[Sexo]=$B70,IF(DATOS_[AGRUP. CLAS. PROF.]=$B69,IF(DATOS_[Check Periodo Ref.]="Dentro",DATOS_[Tot Extrasalarial Ef],0)))), 0)</f>
        <v>0</v>
      </c>
      <c r="AR70" s="214" t="n">
        <f aca="false" t="array" ref="AR70:AR70">IFERROR( AVERAGE(IF(DATOS_[Sexo]=$B70,IF(DATOS_[AGRUP. CLAS. PROF.]=$B69,IF(DATOS_[Check Periodo Ref.]="Dentro",DATOS_[TOTAL Retrib Ef],0)))), 0)</f>
        <v>0</v>
      </c>
    </row>
    <row r="71" customFormat="false" ht="14.25" hidden="false" customHeight="false" outlineLevel="0" collapsed="false">
      <c r="A71" s="191" t="str">
        <f aca="false">+A70</f>
        <v>[ocultar]</v>
      </c>
      <c r="B71" s="205" t="s">
        <v>372</v>
      </c>
      <c r="C71" s="206" t="n">
        <f aca="false" t="array" ref="C71:C71">SUM(IF($B71=DATOS_[Sexo], IF($B69=DATOS_[AGRUP. CLAS. PROF.], IF("Dentro"=DATOS_[Check Periodo Ref.], 1/(COUNTIFS(DATOS_[Sexo],$B71,DATOS_[AGRUP. CLAS. PROF.],$B69,DATOS_[Check Periodo Ref.],"Dentro",DATOS_[id],DATOS_[id]))))))</f>
        <v>0</v>
      </c>
      <c r="D71" s="207" t="n">
        <f aca="false">COUNTIFS(DATOS_[AGRUP. CLAS. PROF.],$B69,DATOS_[Sexo],$B71,DATOS_[Check Periodo Ref.],"Dentro")</f>
        <v>0</v>
      </c>
      <c r="E71" s="208" t="n">
        <f aca="false" t="array" ref="E71:E71">IFERROR( AVERAGE(IF(DATOS_[Sexo]=$B71,IF(DATOS_[AGRUP. CLAS. PROF.]=$B69,IF(DATOS_[Check Periodo Ref.]="Dentro",DATOS_[SALARIO BASE Ef],0)))), 0)</f>
        <v>0</v>
      </c>
      <c r="F71" s="209" t="n">
        <f aca="false" t="array" ref="F71:F71">IFERROR( AVERAGE((IF(DATOS_[[Sexo]:[Sexo]]=$B71,IF(DATOS_[[AGRUP. CLAS. PROF.]:[AGRUP. CLAS. PROF.]]=$B69,IF(DATOS_[[Check Periodo Ref.]:[Check Periodo Ref.]]="Dentro",DATOS_[Conc.Sal.01]))))), 0)</f>
        <v>0</v>
      </c>
      <c r="G71" s="209" t="n">
        <f aca="false" t="array" ref="G71:G71">IFERROR( AVERAGE((IF(DATOS_[[Sexo]:[Sexo]]=$B71,IF(DATOS_[[AGRUP. CLAS. PROF.]:[AGRUP. CLAS. PROF.]]=$B69,IF(DATOS_[[Check Periodo Ref.]:[Check Periodo Ref.]]="Dentro",DATOS_[Conc.Sal.02]))))), 0)</f>
        <v>0</v>
      </c>
      <c r="H71" s="209" t="n">
        <f aca="false" t="array" ref="H71:H71">IFERROR( AVERAGE((IF(DATOS_[[Sexo]:[Sexo]]=$B71,IF(DATOS_[[AGRUP. CLAS. PROF.]:[AGRUP. CLAS. PROF.]]=$B69,IF(DATOS_[[Check Periodo Ref.]:[Check Periodo Ref.]]="Dentro",DATOS_[Conc.Sal.03]))))), 0)</f>
        <v>0</v>
      </c>
      <c r="I71" s="209" t="n">
        <f aca="false" t="array" ref="I71:I71">IFERROR( AVERAGE((IF(DATOS_[[Sexo]:[Sexo]]=$B71,IF(DATOS_[[AGRUP. CLAS. PROF.]:[AGRUP. CLAS. PROF.]]=$B69,IF(DATOS_[[Check Periodo Ref.]:[Check Periodo Ref.]]="Dentro",DATOS_[Conc.Sal.04]))))), 0)</f>
        <v>0</v>
      </c>
      <c r="J71" s="209" t="n">
        <f aca="false" t="array" ref="J71:J71">IFERROR( AVERAGE((IF(DATOS_[[Sexo]:[Sexo]]=$B71,IF(DATOS_[[AGRUP. CLAS. PROF.]:[AGRUP. CLAS. PROF.]]=$B69,IF(DATOS_[[Check Periodo Ref.]:[Check Periodo Ref.]]="Dentro",DATOS_[Conc.Sal.05]))))), 0)</f>
        <v>0</v>
      </c>
      <c r="K71" s="209" t="n">
        <f aca="false" t="array" ref="K71:K71">IFERROR( AVERAGE((IF(DATOS_[[Sexo]:[Sexo]]=$B71,IF(DATOS_[[AGRUP. CLAS. PROF.]:[AGRUP. CLAS. PROF.]]=$B69,IF(DATOS_[[Check Periodo Ref.]:[Check Periodo Ref.]]="Dentro",DATOS_[Conc.Sal.06]))))), 0)</f>
        <v>0</v>
      </c>
      <c r="L71" s="209" t="n">
        <f aca="false" t="array" ref="L71:L71">IFERROR( AVERAGE((IF(DATOS_[[Sexo]:[Sexo]]=$B71,IF(DATOS_[[AGRUP. CLAS. PROF.]:[AGRUP. CLAS. PROF.]]=$B69,IF(DATOS_[[Check Periodo Ref.]:[Check Periodo Ref.]]="Dentro",DATOS_[Conc.Sal.07]))))), 0)</f>
        <v>0</v>
      </c>
      <c r="M71" s="209" t="n">
        <f aca="false" t="array" ref="M71:M71">IFERROR( AVERAGE((IF(DATOS_[[Sexo]:[Sexo]]=$B71,IF(DATOS_[[AGRUP. CLAS. PROF.]:[AGRUP. CLAS. PROF.]]=$B69,IF(DATOS_[[Check Periodo Ref.]:[Check Periodo Ref.]]="Dentro",DATOS_[Conc.Sal.08]))))), 0)</f>
        <v>0</v>
      </c>
      <c r="N71" s="209" t="n">
        <f aca="false" t="array" ref="N71:N71">IFERROR( AVERAGE((IF(DATOS_[[Sexo]:[Sexo]]=$B71,IF(DATOS_[[AGRUP. CLAS. PROF.]:[AGRUP. CLAS. PROF.]]=$B69,IF(DATOS_[[Check Periodo Ref.]:[Check Periodo Ref.]]="Dentro",DATOS_[Conc.Sal.09]))))), 0)</f>
        <v>0</v>
      </c>
      <c r="O71" s="209" t="n">
        <f aca="false" t="array" ref="O71:O71">IFERROR( AVERAGE((IF(DATOS_[[Sexo]:[Sexo]]=$B71,IF(DATOS_[[AGRUP. CLAS. PROF.]:[AGRUP. CLAS. PROF.]]=$B69,IF(DATOS_[[Check Periodo Ref.]:[Check Periodo Ref.]]="Dentro",DATOS_[Conc.Sal.10]))))), 0)</f>
        <v>0</v>
      </c>
      <c r="P71" s="209" t="n">
        <f aca="false" t="array" ref="P71:P71">IFERROR( AVERAGE((IF(DATOS_[[Sexo]:[Sexo]]=$B71,IF(DATOS_[[AGRUP. CLAS. PROF.]:[AGRUP. CLAS. PROF.]]=$B69,IF(DATOS_[[Check Periodo Ref.]:[Check Periodo Ref.]]="Dentro",DATOS_[Conc.Sal.11]))))), 0)</f>
        <v>0</v>
      </c>
      <c r="Q71" s="209" t="n">
        <f aca="false" t="array" ref="Q71:Q71">IFERROR( AVERAGE((IF(DATOS_[[Sexo]:[Sexo]]=$B71,IF(DATOS_[[AGRUP. CLAS. PROF.]:[AGRUP. CLAS. PROF.]]=$B69,IF(DATOS_[[Check Periodo Ref.]:[Check Periodo Ref.]]="Dentro",DATOS_[Conc.Sal.12]))))), 0)</f>
        <v>0</v>
      </c>
      <c r="R71" s="209" t="n">
        <f aca="false" t="array" ref="R71:R71">IFERROR( AVERAGE((IF(DATOS_[[Sexo]:[Sexo]]=$B71,IF(DATOS_[[AGRUP. CLAS. PROF.]:[AGRUP. CLAS. PROF.]]=$B69,IF(DATOS_[[Check Periodo Ref.]:[Check Periodo Ref.]]="Dentro",DATOS_[Conc.Sal.13]))))), 0)</f>
        <v>0</v>
      </c>
      <c r="S71" s="209" t="n">
        <f aca="false" t="array" ref="S71:S71">IFERROR( AVERAGE((IF(DATOS_[[Sexo]:[Sexo]]=$B71,IF(DATOS_[[AGRUP. CLAS. PROF.]:[AGRUP. CLAS. PROF.]]=$B69,IF(DATOS_[[Check Periodo Ref.]:[Check Periodo Ref.]]="Dentro",DATOS_[Conc.Sal.14]))))), 0)</f>
        <v>0</v>
      </c>
      <c r="T71" s="209" t="n">
        <f aca="false" t="array" ref="T71:T71">IFERROR( AVERAGE((IF(DATOS_[[Sexo]:[Sexo]]=$B71,IF(DATOS_[[AGRUP. CLAS. PROF.]:[AGRUP. CLAS. PROF.]]=$B69,IF(DATOS_[[Check Periodo Ref.]:[Check Periodo Ref.]]="Dentro",DATOS_[Conc.Sal.15]))))), 0)</f>
        <v>0</v>
      </c>
      <c r="U71" s="209" t="n">
        <f aca="false" t="array" ref="U71:U71">IFERROR( AVERAGE((IF(DATOS_[[Sexo]:[Sexo]]=$B71,IF(DATOS_[[AGRUP. CLAS. PROF.]:[AGRUP. CLAS. PROF.]]=$B69,IF(DATOS_[[Check Periodo Ref.]:[Check Periodo Ref.]]="Dentro",DATOS_[Conc.Sal.16]))))), 0)</f>
        <v>0</v>
      </c>
      <c r="V71" s="209" t="n">
        <f aca="false" t="array" ref="V71:V71">IFERROR( AVERAGE((IF(DATOS_[[Sexo]:[Sexo]]=$B71,IF(DATOS_[[AGRUP. CLAS. PROF.]:[AGRUP. CLAS. PROF.]]=$B69,IF(DATOS_[[Check Periodo Ref.]:[Check Periodo Ref.]]="Dentro",DATOS_[Conc.Sal.17]))))), 0)</f>
        <v>0</v>
      </c>
      <c r="W71" s="209" t="n">
        <f aca="false" t="array" ref="W71:W71">IFERROR( AVERAGE((IF(DATOS_[[Sexo]:[Sexo]]=$B71,IF(DATOS_[[AGRUP. CLAS. PROF.]:[AGRUP. CLAS. PROF.]]=$B69,IF(DATOS_[[Check Periodo Ref.]:[Check Periodo Ref.]]="Dentro",DATOS_[Conc.Sal.18]))))), 0)</f>
        <v>0</v>
      </c>
      <c r="X71" s="209" t="n">
        <f aca="false" t="array" ref="X71:X71">IFERROR( AVERAGE((IF(DATOS_[[Sexo]:[Sexo]]=$B71,IF(DATOS_[[AGRUP. CLAS. PROF.]:[AGRUP. CLAS. PROF.]]=$B69,IF(DATOS_[[Check Periodo Ref.]:[Check Periodo Ref.]]="Dentro",DATOS_[Conc.Sal.19]))))), 0)</f>
        <v>0</v>
      </c>
      <c r="Y71" s="209" t="n">
        <f aca="false" t="array" ref="Y71:Y71">IFERROR( AVERAGE((IF(DATOS_[[Sexo]:[Sexo]]=$B71,IF(DATOS_[[AGRUP. CLAS. PROF.]:[AGRUP. CLAS. PROF.]]=$B69,IF(DATOS_[[Check Periodo Ref.]:[Check Periodo Ref.]]="Dentro",DATOS_[Conc.Sal.20]))))), 0)</f>
        <v>0</v>
      </c>
      <c r="Z71" s="209" t="n">
        <f aca="false" t="array" ref="Z71:Z71">IFERROR( AVERAGE((IF(DATOS_[[Sexo]:[Sexo]]=$B71,IF(DATOS_[[AGRUP. CLAS. PROF.]:[AGRUP. CLAS. PROF.]]=$B69,IF(DATOS_[[Check Periodo Ref.]:[Check Periodo Ref.]]="Dentro",DATOS_[Conc.Sal.21]))))), 0)</f>
        <v>0</v>
      </c>
      <c r="AA71" s="209" t="n">
        <f aca="false" t="array" ref="AA71:AA71">IFERROR( AVERAGE((IF(DATOS_[[Sexo]:[Sexo]]=$B71,IF(DATOS_[[AGRUP. CLAS. PROF.]:[AGRUP. CLAS. PROF.]]=$B69,IF(DATOS_[[Check Periodo Ref.]:[Check Periodo Ref.]]="Dentro",DATOS_[Conc.Sal.22]))))), 0)</f>
        <v>0</v>
      </c>
      <c r="AB71" s="209" t="n">
        <f aca="false" t="array" ref="AB71:AB71">IFERROR( AVERAGE((IF(DATOS_[[Sexo]:[Sexo]]=$B71,IF(DATOS_[[AGRUP. CLAS. PROF.]:[AGRUP. CLAS. PROF.]]=$B69,IF(DATOS_[[Check Periodo Ref.]:[Check Periodo Ref.]]="Dentro",DATOS_[Conc.Sal.23]))))), 0)</f>
        <v>0</v>
      </c>
      <c r="AC71" s="209" t="n">
        <f aca="false" t="array" ref="AC71:AC71">IFERROR( AVERAGE((IF(DATOS_[[Sexo]:[Sexo]]=$B71,IF(DATOS_[[AGRUP. CLAS. PROF.]:[AGRUP. CLAS. PROF.]]=$B69,IF(DATOS_[[Check Periodo Ref.]:[Check Periodo Ref.]]="Dentro",DATOS_[Conc.Sal.24]))))), 0)</f>
        <v>0</v>
      </c>
      <c r="AD71" s="209" t="n">
        <f aca="false" t="array" ref="AD71:AD71">IFERROR( AVERAGE((IF(DATOS_[[Sexo]:[Sexo]]=$B71,IF(DATOS_[[AGRUP. CLAS. PROF.]:[AGRUP. CLAS. PROF.]]=$B69,IF(DATOS_[[Check Periodo Ref.]:[Check Periodo Ref.]]="Dentro",DATOS_[Conc.Sal.25]))))), 0)</f>
        <v>0</v>
      </c>
      <c r="AE71" s="209" t="n">
        <f aca="false" t="array" ref="AE71:AE71">IFERROR( AVERAGE((IF(DATOS_[[Sexo]:[Sexo]]=$B71,IF(DATOS_[[AGRUP. CLAS. PROF.]:[AGRUP. CLAS. PROF.]]=$B69,IF(DATOS_[[Check Periodo Ref.]:[Check Periodo Ref.]]="Dentro",DATOS_[Conc.Sal.26]))))), 0)</f>
        <v>0</v>
      </c>
      <c r="AF71" s="209" t="n">
        <f aca="false" t="array" ref="AF71:AF71">IFERROR( AVERAGE((IF(DATOS_[[Sexo]:[Sexo]]=$B71,IF(DATOS_[[AGRUP. CLAS. PROF.]:[AGRUP. CLAS. PROF.]]=$B69,IF(DATOS_[[Check Periodo Ref.]:[Check Periodo Ref.]]="Dentro",DATOS_[Conc.Sal.27]))))), 0)</f>
        <v>0</v>
      </c>
      <c r="AG71" s="209" t="n">
        <f aca="false" t="array" ref="AG71:AG71">IFERROR( AVERAGE((IF(DATOS_[[Sexo]:[Sexo]]=$B71,IF(DATOS_[[AGRUP. CLAS. PROF.]:[AGRUP. CLAS. PROF.]]=$B69,IF(DATOS_[[Check Periodo Ref.]:[Check Periodo Ref.]]="Dentro",DATOS_[Conc.Sal.28]))))), 0)</f>
        <v>0</v>
      </c>
      <c r="AH71" s="209" t="n">
        <f aca="false" t="array" ref="AH71:AH71">IFERROR( AVERAGE((IF(DATOS_[[Sexo]:[Sexo]]=$B71,IF(DATOS_[[AGRUP. CLAS. PROF.]:[AGRUP. CLAS. PROF.]]=$B69,IF(DATOS_[[Check Periodo Ref.]:[Check Periodo Ref.]]="Dentro",DATOS_[Conc.Sal.29]))))), 0)</f>
        <v>0</v>
      </c>
      <c r="AI71" s="209" t="n">
        <f aca="false" t="array" ref="AI71:AI71">IFERROR( AVERAGE((IF(DATOS_[[Sexo]:[Sexo]]=$B71,IF(DATOS_[[AGRUP. CLAS. PROF.]:[AGRUP. CLAS. PROF.]]=$B69,IF(DATOS_[[Check Periodo Ref.]:[Check Periodo Ref.]]="Dentro",DATOS_[Conc.Sal.30]))))), 0)</f>
        <v>0</v>
      </c>
      <c r="AJ71" s="210" t="n">
        <f aca="false" t="array" ref="AJ71:AJ71">IFERROR( AVERAGE(IF(DATOS_[Sexo]=$B71,IF(DATOS_[AGRUP. CLAS. PROF.]=$B69,IF(DATOS_[Check Periodo Ref.]="Dentro",DATOS_[Tot COMPL.SAL Ef],0)))), 0)</f>
        <v>0</v>
      </c>
      <c r="AK71" s="211" t="n">
        <f aca="false" t="array" ref="AK71:AK71">IFERROR( AVERAGE(IF(DATOS_[Sexo]=$B71,IF(DATOS_[AGRUP. CLAS. PROF.]=$B69,IF(DATOS_[Check Periodo Ref.]="Dentro",DATOS_[TOTAL SALARIO Ef],0)))), 0)</f>
        <v>0</v>
      </c>
      <c r="AL71" s="212" t="n">
        <f aca="false" t="array" ref="AL71:AL71">IFERROR( AVERAGE((IF(DATOS_[[Sexo]:[Sexo]]=$B71,IF(DATOS_[[AGRUP. CLAS. PROF.]:[AGRUP. CLAS. PROF.]]=$B69,IF(DATOS_[[Check Periodo Ref.]:[Check Periodo Ref.]]="Dentro",DATOS_[C.Extra.01]))))), 0)</f>
        <v>0</v>
      </c>
      <c r="AM71" s="212" t="n">
        <f aca="false" t="array" ref="AM71:AM71">IFERROR( AVERAGE((IF(DATOS_[[Sexo]:[Sexo]]=$B71,IF(DATOS_[[AGRUP. CLAS. PROF.]:[AGRUP. CLAS. PROF.]]=$B69,IF(DATOS_[[Check Periodo Ref.]:[Check Periodo Ref.]]="Dentro",DATOS_[C.Extra.02]))))), 0)</f>
        <v>0</v>
      </c>
      <c r="AN71" s="212" t="n">
        <f aca="false" t="array" ref="AN71:AN71">IFERROR( AVERAGE((IF(DATOS_[[Sexo]:[Sexo]]=$B71,IF(DATOS_[[AGRUP. CLAS. PROF.]:[AGRUP. CLAS. PROF.]]=$B69,IF(DATOS_[[Check Periodo Ref.]:[Check Periodo Ref.]]="Dentro",DATOS_[C.Extra.03]))))), 0)</f>
        <v>0</v>
      </c>
      <c r="AO71" s="212" t="n">
        <f aca="false" t="array" ref="AO71:AO71">IFERROR( AVERAGE((IF(DATOS_[[Sexo]:[Sexo]]=$B71,IF(DATOS_[[AGRUP. CLAS. PROF.]:[AGRUP. CLAS. PROF.]]=$B69,IF(DATOS_[[Check Periodo Ref.]:[Check Periodo Ref.]]="Dentro",DATOS_[C.Extra.04]))))), 0)</f>
        <v>0</v>
      </c>
      <c r="AP71" s="212" t="n">
        <f aca="false" t="array" ref="AP71:AP71">IFERROR( AVERAGE((IF(DATOS_[[Sexo]:[Sexo]]=$B71,IF(DATOS_[[AGRUP. CLAS. PROF.]:[AGRUP. CLAS. PROF.]]=$B69,IF(DATOS_[[Check Periodo Ref.]:[Check Periodo Ref.]]="Dentro",DATOS_[C.Extra.05]))))), 0)</f>
        <v>0</v>
      </c>
      <c r="AQ71" s="213" t="n">
        <f aca="false" t="array" ref="AQ71:AQ71">IFERROR( AVERAGE(IF(DATOS_[Sexo]=$B71,IF(DATOS_[AGRUP. CLAS. PROF.]=$B69,IF(DATOS_[Check Periodo Ref.]="Dentro",DATOS_[Tot Extrasalarial Ef],0)))), 0)</f>
        <v>0</v>
      </c>
      <c r="AR71" s="214" t="n">
        <f aca="false" t="array" ref="AR71:AR71">IFERROR( AVERAGE(IF(DATOS_[Sexo]=$B71,IF(DATOS_[AGRUP. CLAS. PROF.]=$B69,IF(DATOS_[Check Periodo Ref.]="Dentro",DATOS_[TOTAL Retrib Ef],0)))), 0)</f>
        <v>0</v>
      </c>
    </row>
    <row r="72" customFormat="false" ht="15.75" hidden="false" customHeight="false" outlineLevel="0" collapsed="false">
      <c r="A72" s="191" t="str">
        <f aca="false">+A73</f>
        <v>[ocultar]</v>
      </c>
      <c r="B72" s="192" t="s">
        <v>225</v>
      </c>
      <c r="C72" s="193"/>
      <c r="D72" s="194"/>
      <c r="E72" s="195" t="str">
        <f aca="false">IFERROR((E73-E74)/E73,"")</f>
        <v/>
      </c>
      <c r="F72" s="196" t="str">
        <f aca="false">IFERROR((F73-F74)/F73,"")</f>
        <v/>
      </c>
      <c r="G72" s="197" t="str">
        <f aca="false">IFERROR((G73-G74)/G73,"")</f>
        <v/>
      </c>
      <c r="H72" s="197" t="str">
        <f aca="false">IFERROR((H73-H74)/H73,"")</f>
        <v/>
      </c>
      <c r="I72" s="197" t="str">
        <f aca="false">IFERROR((I73-I74)/I73,"")</f>
        <v/>
      </c>
      <c r="J72" s="198" t="str">
        <f aca="false">IFERROR((J73-J74)/J73,"")</f>
        <v/>
      </c>
      <c r="K72" s="199" t="str">
        <f aca="false">IFERROR((K73-K74)/K73,"")</f>
        <v/>
      </c>
      <c r="L72" s="199" t="str">
        <f aca="false">IFERROR((L73-L74)/L73,"")</f>
        <v/>
      </c>
      <c r="M72" s="199" t="str">
        <f aca="false">IFERROR((M73-M74)/M73,"")</f>
        <v/>
      </c>
      <c r="N72" s="199" t="str">
        <f aca="false">IFERROR((N73-N74)/N73,"")</f>
        <v/>
      </c>
      <c r="O72" s="199" t="str">
        <f aca="false">IFERROR((O73-O74)/O73,"")</f>
        <v/>
      </c>
      <c r="P72" s="199" t="str">
        <f aca="false">IFERROR((P73-P74)/P73,"")</f>
        <v/>
      </c>
      <c r="Q72" s="199" t="str">
        <f aca="false">IFERROR((Q73-Q74)/Q73,"")</f>
        <v/>
      </c>
      <c r="R72" s="199" t="str">
        <f aca="false">IFERROR((R73-R74)/R73,"")</f>
        <v/>
      </c>
      <c r="S72" s="199" t="str">
        <f aca="false">IFERROR((S73-S74)/S73,"")</f>
        <v/>
      </c>
      <c r="T72" s="199" t="str">
        <f aca="false">IFERROR((T73-T74)/T73,"")</f>
        <v/>
      </c>
      <c r="U72" s="199" t="str">
        <f aca="false">IFERROR((U73-U74)/U73,"")</f>
        <v/>
      </c>
      <c r="V72" s="198" t="str">
        <f aca="false">IFERROR((V73-V74)/V73,"")</f>
        <v/>
      </c>
      <c r="W72" s="198" t="str">
        <f aca="false">IFERROR((W73-W74)/W73,"")</f>
        <v/>
      </c>
      <c r="X72" s="198" t="str">
        <f aca="false">IFERROR((X73-X74)/X73,"")</f>
        <v/>
      </c>
      <c r="Y72" s="198" t="str">
        <f aca="false">IFERROR((Y73-Y74)/Y73,"")</f>
        <v/>
      </c>
      <c r="Z72" s="198" t="str">
        <f aca="false">IFERROR((Z73-Z74)/Z73,"")</f>
        <v/>
      </c>
      <c r="AA72" s="198" t="str">
        <f aca="false">IFERROR((AA73-AA74)/AA73,"")</f>
        <v/>
      </c>
      <c r="AB72" s="198" t="str">
        <f aca="false">IFERROR((AB73-AB74)/AB73,"")</f>
        <v/>
      </c>
      <c r="AC72" s="198" t="str">
        <f aca="false">IFERROR((AC73-AC74)/AC73,"")</f>
        <v/>
      </c>
      <c r="AD72" s="198" t="str">
        <f aca="false">IFERROR((AD73-AD74)/AD73,"")</f>
        <v/>
      </c>
      <c r="AE72" s="198" t="str">
        <f aca="false">IFERROR((AE73-AE74)/AE73,"")</f>
        <v/>
      </c>
      <c r="AF72" s="198" t="str">
        <f aca="false">IFERROR((AF73-AF74)/AF73,"")</f>
        <v/>
      </c>
      <c r="AG72" s="198" t="str">
        <f aca="false">IFERROR((AG73-AG74)/AG73,"")</f>
        <v/>
      </c>
      <c r="AH72" s="198" t="str">
        <f aca="false">IFERROR((AH73-AH74)/AH73,"")</f>
        <v/>
      </c>
      <c r="AI72" s="198" t="str">
        <f aca="false">IFERROR((AI73-AI74)/AI73,"")</f>
        <v/>
      </c>
      <c r="AJ72" s="200" t="str">
        <f aca="false">IFERROR((AJ73-AJ74)/AJ73,"")</f>
        <v/>
      </c>
      <c r="AK72" s="201" t="str">
        <f aca="false">IFERROR((AK73-AK74)/AK73,"")</f>
        <v/>
      </c>
      <c r="AL72" s="202" t="str">
        <f aca="false">IFERROR((AL73-AL74)/AL73,"")</f>
        <v/>
      </c>
      <c r="AM72" s="202" t="str">
        <f aca="false">IFERROR((AM73-AM74)/AM73,"")</f>
        <v/>
      </c>
      <c r="AN72" s="202" t="str">
        <f aca="false">IFERROR((AN73-AN74)/AN73,"")</f>
        <v/>
      </c>
      <c r="AO72" s="202" t="str">
        <f aca="false">IFERROR((AO73-AO74)/AO73,"")</f>
        <v/>
      </c>
      <c r="AP72" s="202" t="str">
        <f aca="false">IFERROR((AP73-AP74)/AP73,"")</f>
        <v/>
      </c>
      <c r="AQ72" s="203" t="str">
        <f aca="false">IFERROR((AQ73-AQ74)/AQ73,"")</f>
        <v/>
      </c>
      <c r="AR72" s="204" t="str">
        <f aca="false">IFERROR((AR73-AR74)/AR73,"")</f>
        <v/>
      </c>
    </row>
    <row r="73" customFormat="false" ht="14.25" hidden="false" customHeight="false" outlineLevel="0" collapsed="false">
      <c r="A73" s="191" t="str">
        <f aca="false">+IF(C73+C74=0,"[ocultar]","")</f>
        <v>[ocultar]</v>
      </c>
      <c r="B73" s="205" t="s">
        <v>371</v>
      </c>
      <c r="C73" s="206" t="n">
        <f aca="false" t="array" ref="C73:C73">SUM(IF($B73=DATOS_[Sexo], IF($B72=DATOS_[AGRUP. CLAS. PROF.], IF("Dentro"=DATOS_[Check Periodo Ref.], 1/(COUNTIFS(DATOS_[Sexo],$B73,DATOS_[AGRUP. CLAS. PROF.],$B72,DATOS_[Check Periodo Ref.],"Dentro",DATOS_[id],DATOS_[id]))))))</f>
        <v>0</v>
      </c>
      <c r="D73" s="207" t="n">
        <f aca="false">COUNTIFS(DATOS_[AGRUP. CLAS. PROF.],$B72,DATOS_[Sexo],$B73,DATOS_[Check Periodo Ref.],"Dentro")</f>
        <v>0</v>
      </c>
      <c r="E73" s="208" t="n">
        <f aca="false" t="array" ref="E73:E73">IFERROR( AVERAGE(IF(DATOS_[Sexo]=$B73,IF(DATOS_[AGRUP. CLAS. PROF.]=$B72,IF(DATOS_[Check Periodo Ref.]="Dentro",DATOS_[SALARIO BASE Ef],0)))), 0)</f>
        <v>0</v>
      </c>
      <c r="F73" s="209" t="n">
        <f aca="false" t="array" ref="F73:F73">IFERROR( AVERAGE((IF(DATOS_[[Sexo]:[Sexo]]=$B73,IF(DATOS_[[AGRUP. CLAS. PROF.]:[AGRUP. CLAS. PROF.]]=$B72,IF(DATOS_[[Check Periodo Ref.]:[Check Periodo Ref.]]="Dentro",DATOS_[Conc.Sal.01]))))), 0)</f>
        <v>0</v>
      </c>
      <c r="G73" s="209" t="n">
        <f aca="false" t="array" ref="G73:G73">IFERROR( AVERAGE((IF(DATOS_[[Sexo]:[Sexo]]=$B73,IF(DATOS_[[AGRUP. CLAS. PROF.]:[AGRUP. CLAS. PROF.]]=$B72,IF(DATOS_[[Check Periodo Ref.]:[Check Periodo Ref.]]="Dentro",DATOS_[Conc.Sal.02]))))), 0)</f>
        <v>0</v>
      </c>
      <c r="H73" s="209" t="n">
        <f aca="false" t="array" ref="H73:H73">IFERROR( AVERAGE((IF(DATOS_[[Sexo]:[Sexo]]=$B73,IF(DATOS_[[AGRUP. CLAS. PROF.]:[AGRUP. CLAS. PROF.]]=$B72,IF(DATOS_[[Check Periodo Ref.]:[Check Periodo Ref.]]="Dentro",DATOS_[Conc.Sal.03]))))), 0)</f>
        <v>0</v>
      </c>
      <c r="I73" s="209" t="n">
        <f aca="false" t="array" ref="I73:I73">IFERROR( AVERAGE((IF(DATOS_[[Sexo]:[Sexo]]=$B73,IF(DATOS_[[AGRUP. CLAS. PROF.]:[AGRUP. CLAS. PROF.]]=$B72,IF(DATOS_[[Check Periodo Ref.]:[Check Periodo Ref.]]="Dentro",DATOS_[Conc.Sal.04]))))), 0)</f>
        <v>0</v>
      </c>
      <c r="J73" s="209" t="n">
        <f aca="false" t="array" ref="J73:J73">IFERROR( AVERAGE((IF(DATOS_[[Sexo]:[Sexo]]=$B73,IF(DATOS_[[AGRUP. CLAS. PROF.]:[AGRUP. CLAS. PROF.]]=$B72,IF(DATOS_[[Check Periodo Ref.]:[Check Periodo Ref.]]="Dentro",DATOS_[Conc.Sal.05]))))), 0)</f>
        <v>0</v>
      </c>
      <c r="K73" s="209" t="n">
        <f aca="false" t="array" ref="K73:K73">IFERROR( AVERAGE((IF(DATOS_[[Sexo]:[Sexo]]=$B73,IF(DATOS_[[AGRUP. CLAS. PROF.]:[AGRUP. CLAS. PROF.]]=$B72,IF(DATOS_[[Check Periodo Ref.]:[Check Periodo Ref.]]="Dentro",DATOS_[Conc.Sal.06]))))), 0)</f>
        <v>0</v>
      </c>
      <c r="L73" s="209" t="n">
        <f aca="false" t="array" ref="L73:L73">IFERROR( AVERAGE((IF(DATOS_[[Sexo]:[Sexo]]=$B73,IF(DATOS_[[AGRUP. CLAS. PROF.]:[AGRUP. CLAS. PROF.]]=$B72,IF(DATOS_[[Check Periodo Ref.]:[Check Periodo Ref.]]="Dentro",DATOS_[Conc.Sal.07]))))), 0)</f>
        <v>0</v>
      </c>
      <c r="M73" s="209" t="n">
        <f aca="false" t="array" ref="M73:M73">IFERROR( AVERAGE((IF(DATOS_[[Sexo]:[Sexo]]=$B73,IF(DATOS_[[AGRUP. CLAS. PROF.]:[AGRUP. CLAS. PROF.]]=$B72,IF(DATOS_[[Check Periodo Ref.]:[Check Periodo Ref.]]="Dentro",DATOS_[Conc.Sal.08]))))), 0)</f>
        <v>0</v>
      </c>
      <c r="N73" s="209" t="n">
        <f aca="false" t="array" ref="N73:N73">IFERROR( AVERAGE((IF(DATOS_[[Sexo]:[Sexo]]=$B73,IF(DATOS_[[AGRUP. CLAS. PROF.]:[AGRUP. CLAS. PROF.]]=$B72,IF(DATOS_[[Check Periodo Ref.]:[Check Periodo Ref.]]="Dentro",DATOS_[Conc.Sal.09]))))), 0)</f>
        <v>0</v>
      </c>
      <c r="O73" s="209" t="n">
        <f aca="false" t="array" ref="O73:O73">IFERROR( AVERAGE((IF(DATOS_[[Sexo]:[Sexo]]=$B73,IF(DATOS_[[AGRUP. CLAS. PROF.]:[AGRUP. CLAS. PROF.]]=$B72,IF(DATOS_[[Check Periodo Ref.]:[Check Periodo Ref.]]="Dentro",DATOS_[Conc.Sal.10]))))), 0)</f>
        <v>0</v>
      </c>
      <c r="P73" s="209" t="n">
        <f aca="false" t="array" ref="P73:P73">IFERROR( AVERAGE((IF(DATOS_[[Sexo]:[Sexo]]=$B73,IF(DATOS_[[AGRUP. CLAS. PROF.]:[AGRUP. CLAS. PROF.]]=$B72,IF(DATOS_[[Check Periodo Ref.]:[Check Periodo Ref.]]="Dentro",DATOS_[Conc.Sal.11]))))), 0)</f>
        <v>0</v>
      </c>
      <c r="Q73" s="209" t="n">
        <f aca="false" t="array" ref="Q73:Q73">IFERROR( AVERAGE((IF(DATOS_[[Sexo]:[Sexo]]=$B73,IF(DATOS_[[AGRUP. CLAS. PROF.]:[AGRUP. CLAS. PROF.]]=$B72,IF(DATOS_[[Check Periodo Ref.]:[Check Periodo Ref.]]="Dentro",DATOS_[Conc.Sal.12]))))), 0)</f>
        <v>0</v>
      </c>
      <c r="R73" s="209" t="n">
        <f aca="false" t="array" ref="R73:R73">IFERROR( AVERAGE((IF(DATOS_[[Sexo]:[Sexo]]=$B73,IF(DATOS_[[AGRUP. CLAS. PROF.]:[AGRUP. CLAS. PROF.]]=$B72,IF(DATOS_[[Check Periodo Ref.]:[Check Periodo Ref.]]="Dentro",DATOS_[Conc.Sal.13]))))), 0)</f>
        <v>0</v>
      </c>
      <c r="S73" s="209" t="n">
        <f aca="false" t="array" ref="S73:S73">IFERROR( AVERAGE((IF(DATOS_[[Sexo]:[Sexo]]=$B73,IF(DATOS_[[AGRUP. CLAS. PROF.]:[AGRUP. CLAS. PROF.]]=$B72,IF(DATOS_[[Check Periodo Ref.]:[Check Periodo Ref.]]="Dentro",DATOS_[Conc.Sal.14]))))), 0)</f>
        <v>0</v>
      </c>
      <c r="T73" s="209" t="n">
        <f aca="false" t="array" ref="T73:T73">IFERROR( AVERAGE((IF(DATOS_[[Sexo]:[Sexo]]=$B73,IF(DATOS_[[AGRUP. CLAS. PROF.]:[AGRUP. CLAS. PROF.]]=$B72,IF(DATOS_[[Check Periodo Ref.]:[Check Periodo Ref.]]="Dentro",DATOS_[Conc.Sal.15]))))), 0)</f>
        <v>0</v>
      </c>
      <c r="U73" s="209" t="n">
        <f aca="false" t="array" ref="U73:U73">IFERROR( AVERAGE((IF(DATOS_[[Sexo]:[Sexo]]=$B73,IF(DATOS_[[AGRUP. CLAS. PROF.]:[AGRUP. CLAS. PROF.]]=$B72,IF(DATOS_[[Check Periodo Ref.]:[Check Periodo Ref.]]="Dentro",DATOS_[Conc.Sal.16]))))), 0)</f>
        <v>0</v>
      </c>
      <c r="V73" s="209" t="n">
        <f aca="false" t="array" ref="V73:V73">IFERROR( AVERAGE((IF(DATOS_[[Sexo]:[Sexo]]=$B73,IF(DATOS_[[AGRUP. CLAS. PROF.]:[AGRUP. CLAS. PROF.]]=$B72,IF(DATOS_[[Check Periodo Ref.]:[Check Periodo Ref.]]="Dentro",DATOS_[Conc.Sal.17]))))), 0)</f>
        <v>0</v>
      </c>
      <c r="W73" s="209" t="n">
        <f aca="false" t="array" ref="W73:W73">IFERROR( AVERAGE((IF(DATOS_[[Sexo]:[Sexo]]=$B73,IF(DATOS_[[AGRUP. CLAS. PROF.]:[AGRUP. CLAS. PROF.]]=$B72,IF(DATOS_[[Check Periodo Ref.]:[Check Periodo Ref.]]="Dentro",DATOS_[Conc.Sal.18]))))), 0)</f>
        <v>0</v>
      </c>
      <c r="X73" s="209" t="n">
        <f aca="false" t="array" ref="X73:X73">IFERROR( AVERAGE((IF(DATOS_[[Sexo]:[Sexo]]=$B73,IF(DATOS_[[AGRUP. CLAS. PROF.]:[AGRUP. CLAS. PROF.]]=$B72,IF(DATOS_[[Check Periodo Ref.]:[Check Periodo Ref.]]="Dentro",DATOS_[Conc.Sal.19]))))), 0)</f>
        <v>0</v>
      </c>
      <c r="Y73" s="209" t="n">
        <f aca="false" t="array" ref="Y73:Y73">IFERROR( AVERAGE((IF(DATOS_[[Sexo]:[Sexo]]=$B73,IF(DATOS_[[AGRUP. CLAS. PROF.]:[AGRUP. CLAS. PROF.]]=$B72,IF(DATOS_[[Check Periodo Ref.]:[Check Periodo Ref.]]="Dentro",DATOS_[Conc.Sal.20]))))), 0)</f>
        <v>0</v>
      </c>
      <c r="Z73" s="209" t="n">
        <f aca="false" t="array" ref="Z73:Z73">IFERROR( AVERAGE((IF(DATOS_[[Sexo]:[Sexo]]=$B73,IF(DATOS_[[AGRUP. CLAS. PROF.]:[AGRUP. CLAS. PROF.]]=$B72,IF(DATOS_[[Check Periodo Ref.]:[Check Periodo Ref.]]="Dentro",DATOS_[Conc.Sal.21]))))), 0)</f>
        <v>0</v>
      </c>
      <c r="AA73" s="209" t="n">
        <f aca="false" t="array" ref="AA73:AA73">IFERROR( AVERAGE((IF(DATOS_[[Sexo]:[Sexo]]=$B73,IF(DATOS_[[AGRUP. CLAS. PROF.]:[AGRUP. CLAS. PROF.]]=$B72,IF(DATOS_[[Check Periodo Ref.]:[Check Periodo Ref.]]="Dentro",DATOS_[Conc.Sal.22]))))), 0)</f>
        <v>0</v>
      </c>
      <c r="AB73" s="209" t="n">
        <f aca="false" t="array" ref="AB73:AB73">IFERROR( AVERAGE((IF(DATOS_[[Sexo]:[Sexo]]=$B73,IF(DATOS_[[AGRUP. CLAS. PROF.]:[AGRUP. CLAS. PROF.]]=$B72,IF(DATOS_[[Check Periodo Ref.]:[Check Periodo Ref.]]="Dentro",DATOS_[Conc.Sal.23]))))), 0)</f>
        <v>0</v>
      </c>
      <c r="AC73" s="209" t="n">
        <f aca="false" t="array" ref="AC73:AC73">IFERROR( AVERAGE((IF(DATOS_[[Sexo]:[Sexo]]=$B73,IF(DATOS_[[AGRUP. CLAS. PROF.]:[AGRUP. CLAS. PROF.]]=$B72,IF(DATOS_[[Check Periodo Ref.]:[Check Periodo Ref.]]="Dentro",DATOS_[Conc.Sal.24]))))), 0)</f>
        <v>0</v>
      </c>
      <c r="AD73" s="209" t="n">
        <f aca="false" t="array" ref="AD73:AD73">IFERROR( AVERAGE((IF(DATOS_[[Sexo]:[Sexo]]=$B73,IF(DATOS_[[AGRUP. CLAS. PROF.]:[AGRUP. CLAS. PROF.]]=$B72,IF(DATOS_[[Check Periodo Ref.]:[Check Periodo Ref.]]="Dentro",DATOS_[Conc.Sal.25]))))), 0)</f>
        <v>0</v>
      </c>
      <c r="AE73" s="209" t="n">
        <f aca="false" t="array" ref="AE73:AE73">IFERROR( AVERAGE((IF(DATOS_[[Sexo]:[Sexo]]=$B73,IF(DATOS_[[AGRUP. CLAS. PROF.]:[AGRUP. CLAS. PROF.]]=$B72,IF(DATOS_[[Check Periodo Ref.]:[Check Periodo Ref.]]="Dentro",DATOS_[Conc.Sal.26]))))), 0)</f>
        <v>0</v>
      </c>
      <c r="AF73" s="209" t="n">
        <f aca="false" t="array" ref="AF73:AF73">IFERROR( AVERAGE((IF(DATOS_[[Sexo]:[Sexo]]=$B73,IF(DATOS_[[AGRUP. CLAS. PROF.]:[AGRUP. CLAS. PROF.]]=$B72,IF(DATOS_[[Check Periodo Ref.]:[Check Periodo Ref.]]="Dentro",DATOS_[Conc.Sal.27]))))), 0)</f>
        <v>0</v>
      </c>
      <c r="AG73" s="209" t="n">
        <f aca="false" t="array" ref="AG73:AG73">IFERROR( AVERAGE((IF(DATOS_[[Sexo]:[Sexo]]=$B73,IF(DATOS_[[AGRUP. CLAS. PROF.]:[AGRUP. CLAS. PROF.]]=$B72,IF(DATOS_[[Check Periodo Ref.]:[Check Periodo Ref.]]="Dentro",DATOS_[Conc.Sal.28]))))), 0)</f>
        <v>0</v>
      </c>
      <c r="AH73" s="209" t="n">
        <f aca="false" t="array" ref="AH73:AH73">IFERROR( AVERAGE((IF(DATOS_[[Sexo]:[Sexo]]=$B73,IF(DATOS_[[AGRUP. CLAS. PROF.]:[AGRUP. CLAS. PROF.]]=$B72,IF(DATOS_[[Check Periodo Ref.]:[Check Periodo Ref.]]="Dentro",DATOS_[Conc.Sal.29]))))), 0)</f>
        <v>0</v>
      </c>
      <c r="AI73" s="209" t="n">
        <f aca="false" t="array" ref="AI73:AI73">IFERROR( AVERAGE((IF(DATOS_[[Sexo]:[Sexo]]=$B73,IF(DATOS_[[AGRUP. CLAS. PROF.]:[AGRUP. CLAS. PROF.]]=$B72,IF(DATOS_[[Check Periodo Ref.]:[Check Periodo Ref.]]="Dentro",DATOS_[Conc.Sal.30]))))), 0)</f>
        <v>0</v>
      </c>
      <c r="AJ73" s="210" t="n">
        <f aca="false" t="array" ref="AJ73:AJ73">IFERROR( AVERAGE(IF(DATOS_[Sexo]=$B73,IF(DATOS_[AGRUP. CLAS. PROF.]=$B72,IF(DATOS_[Check Periodo Ref.]="Dentro",DATOS_[Tot COMPL.SAL Ef],0)))), 0)</f>
        <v>0</v>
      </c>
      <c r="AK73" s="211" t="n">
        <f aca="false" t="array" ref="AK73:AK73">IFERROR( AVERAGE(IF(DATOS_[Sexo]=$B73,IF(DATOS_[AGRUP. CLAS. PROF.]=$B72,IF(DATOS_[Check Periodo Ref.]="Dentro",DATOS_[TOTAL SALARIO Ef],0)))), 0)</f>
        <v>0</v>
      </c>
      <c r="AL73" s="212" t="n">
        <f aca="false" t="array" ref="AL73:AL73">IFERROR( AVERAGE((IF(DATOS_[[Sexo]:[Sexo]]=$B73,IF(DATOS_[[AGRUP. CLAS. PROF.]:[AGRUP. CLAS. PROF.]]=$B72,IF(DATOS_[[Check Periodo Ref.]:[Check Periodo Ref.]]="Dentro",DATOS_[C.Extra.01]))))), 0)</f>
        <v>0</v>
      </c>
      <c r="AM73" s="212" t="n">
        <f aca="false" t="array" ref="AM73:AM73">IFERROR( AVERAGE((IF(DATOS_[[Sexo]:[Sexo]]=$B73,IF(DATOS_[[AGRUP. CLAS. PROF.]:[AGRUP. CLAS. PROF.]]=$B72,IF(DATOS_[[Check Periodo Ref.]:[Check Periodo Ref.]]="Dentro",DATOS_[C.Extra.02]))))), 0)</f>
        <v>0</v>
      </c>
      <c r="AN73" s="212" t="n">
        <f aca="false" t="array" ref="AN73:AN73">IFERROR( AVERAGE((IF(DATOS_[[Sexo]:[Sexo]]=$B73,IF(DATOS_[[AGRUP. CLAS. PROF.]:[AGRUP. CLAS. PROF.]]=$B72,IF(DATOS_[[Check Periodo Ref.]:[Check Periodo Ref.]]="Dentro",DATOS_[C.Extra.03]))))), 0)</f>
        <v>0</v>
      </c>
      <c r="AO73" s="212" t="n">
        <f aca="false" t="array" ref="AO73:AO73">IFERROR( AVERAGE((IF(DATOS_[[Sexo]:[Sexo]]=$B73,IF(DATOS_[[AGRUP. CLAS. PROF.]:[AGRUP. CLAS. PROF.]]=$B72,IF(DATOS_[[Check Periodo Ref.]:[Check Periodo Ref.]]="Dentro",DATOS_[C.Extra.04]))))), 0)</f>
        <v>0</v>
      </c>
      <c r="AP73" s="212" t="n">
        <f aca="false" t="array" ref="AP73:AP73">IFERROR( AVERAGE((IF(DATOS_[[Sexo]:[Sexo]]=$B73,IF(DATOS_[[AGRUP. CLAS. PROF.]:[AGRUP. CLAS. PROF.]]=$B72,IF(DATOS_[[Check Periodo Ref.]:[Check Periodo Ref.]]="Dentro",DATOS_[C.Extra.05]))))), 0)</f>
        <v>0</v>
      </c>
      <c r="AQ73" s="213" t="n">
        <f aca="false" t="array" ref="AQ73:AQ73">IFERROR( AVERAGE(IF(DATOS_[Sexo]=$B73,IF(DATOS_[AGRUP. CLAS. PROF.]=$B72,IF(DATOS_[Check Periodo Ref.]="Dentro",DATOS_[Tot Extrasalarial Ef],0)))), 0)</f>
        <v>0</v>
      </c>
      <c r="AR73" s="214" t="n">
        <f aca="false" t="array" ref="AR73:AR73">IFERROR( AVERAGE(IF(DATOS_[Sexo]=$B73,IF(DATOS_[AGRUP. CLAS. PROF.]=$B72,IF(DATOS_[Check Periodo Ref.]="Dentro",DATOS_[TOTAL Retrib Ef],0)))), 0)</f>
        <v>0</v>
      </c>
    </row>
    <row r="74" customFormat="false" ht="14.25" hidden="false" customHeight="false" outlineLevel="0" collapsed="false">
      <c r="A74" s="191" t="str">
        <f aca="false">+A73</f>
        <v>[ocultar]</v>
      </c>
      <c r="B74" s="205" t="s">
        <v>372</v>
      </c>
      <c r="C74" s="206" t="n">
        <f aca="false" t="array" ref="C74:C74">SUM(IF($B74=DATOS_[Sexo], IF($B72=DATOS_[AGRUP. CLAS. PROF.], IF("Dentro"=DATOS_[Check Periodo Ref.], 1/(COUNTIFS(DATOS_[Sexo],$B74,DATOS_[AGRUP. CLAS. PROF.],$B72,DATOS_[Check Periodo Ref.],"Dentro",DATOS_[id],DATOS_[id]))))))</f>
        <v>0</v>
      </c>
      <c r="D74" s="207" t="n">
        <f aca="false">COUNTIFS(DATOS_[AGRUP. CLAS. PROF.],$B72,DATOS_[Sexo],$B74,DATOS_[Check Periodo Ref.],"Dentro")</f>
        <v>0</v>
      </c>
      <c r="E74" s="208" t="n">
        <f aca="false" t="array" ref="E74:E74">IFERROR( AVERAGE(IF(DATOS_[Sexo]=$B74,IF(DATOS_[AGRUP. CLAS. PROF.]=$B72,IF(DATOS_[Check Periodo Ref.]="Dentro",DATOS_[SALARIO BASE Ef],0)))), 0)</f>
        <v>0</v>
      </c>
      <c r="F74" s="209" t="n">
        <f aca="false" t="array" ref="F74:F74">IFERROR( AVERAGE((IF(DATOS_[[Sexo]:[Sexo]]=$B74,IF(DATOS_[[AGRUP. CLAS. PROF.]:[AGRUP. CLAS. PROF.]]=$B72,IF(DATOS_[[Check Periodo Ref.]:[Check Periodo Ref.]]="Dentro",DATOS_[Conc.Sal.01]))))), 0)</f>
        <v>0</v>
      </c>
      <c r="G74" s="209" t="n">
        <f aca="false" t="array" ref="G74:G74">IFERROR( AVERAGE((IF(DATOS_[[Sexo]:[Sexo]]=$B74,IF(DATOS_[[AGRUP. CLAS. PROF.]:[AGRUP. CLAS. PROF.]]=$B72,IF(DATOS_[[Check Periodo Ref.]:[Check Periodo Ref.]]="Dentro",DATOS_[Conc.Sal.02]))))), 0)</f>
        <v>0</v>
      </c>
      <c r="H74" s="209" t="n">
        <f aca="false" t="array" ref="H74:H74">IFERROR( AVERAGE((IF(DATOS_[[Sexo]:[Sexo]]=$B74,IF(DATOS_[[AGRUP. CLAS. PROF.]:[AGRUP. CLAS. PROF.]]=$B72,IF(DATOS_[[Check Periodo Ref.]:[Check Periodo Ref.]]="Dentro",DATOS_[Conc.Sal.03]))))), 0)</f>
        <v>0</v>
      </c>
      <c r="I74" s="209" t="n">
        <f aca="false" t="array" ref="I74:I74">IFERROR( AVERAGE((IF(DATOS_[[Sexo]:[Sexo]]=$B74,IF(DATOS_[[AGRUP. CLAS. PROF.]:[AGRUP. CLAS. PROF.]]=$B72,IF(DATOS_[[Check Periodo Ref.]:[Check Periodo Ref.]]="Dentro",DATOS_[Conc.Sal.04]))))), 0)</f>
        <v>0</v>
      </c>
      <c r="J74" s="209" t="n">
        <f aca="false" t="array" ref="J74:J74">IFERROR( AVERAGE((IF(DATOS_[[Sexo]:[Sexo]]=$B74,IF(DATOS_[[AGRUP. CLAS. PROF.]:[AGRUP. CLAS. PROF.]]=$B72,IF(DATOS_[[Check Periodo Ref.]:[Check Periodo Ref.]]="Dentro",DATOS_[Conc.Sal.05]))))), 0)</f>
        <v>0</v>
      </c>
      <c r="K74" s="209" t="n">
        <f aca="false" t="array" ref="K74:K74">IFERROR( AVERAGE((IF(DATOS_[[Sexo]:[Sexo]]=$B74,IF(DATOS_[[AGRUP. CLAS. PROF.]:[AGRUP. CLAS. PROF.]]=$B72,IF(DATOS_[[Check Periodo Ref.]:[Check Periodo Ref.]]="Dentro",DATOS_[Conc.Sal.06]))))), 0)</f>
        <v>0</v>
      </c>
      <c r="L74" s="209" t="n">
        <f aca="false" t="array" ref="L74:L74">IFERROR( AVERAGE((IF(DATOS_[[Sexo]:[Sexo]]=$B74,IF(DATOS_[[AGRUP. CLAS. PROF.]:[AGRUP. CLAS. PROF.]]=$B72,IF(DATOS_[[Check Periodo Ref.]:[Check Periodo Ref.]]="Dentro",DATOS_[Conc.Sal.07]))))), 0)</f>
        <v>0</v>
      </c>
      <c r="M74" s="209" t="n">
        <f aca="false" t="array" ref="M74:M74">IFERROR( AVERAGE((IF(DATOS_[[Sexo]:[Sexo]]=$B74,IF(DATOS_[[AGRUP. CLAS. PROF.]:[AGRUP. CLAS. PROF.]]=$B72,IF(DATOS_[[Check Periodo Ref.]:[Check Periodo Ref.]]="Dentro",DATOS_[Conc.Sal.08]))))), 0)</f>
        <v>0</v>
      </c>
      <c r="N74" s="209" t="n">
        <f aca="false" t="array" ref="N74:N74">IFERROR( AVERAGE((IF(DATOS_[[Sexo]:[Sexo]]=$B74,IF(DATOS_[[AGRUP. CLAS. PROF.]:[AGRUP. CLAS. PROF.]]=$B72,IF(DATOS_[[Check Periodo Ref.]:[Check Periodo Ref.]]="Dentro",DATOS_[Conc.Sal.09]))))), 0)</f>
        <v>0</v>
      </c>
      <c r="O74" s="209" t="n">
        <f aca="false" t="array" ref="O74:O74">IFERROR( AVERAGE((IF(DATOS_[[Sexo]:[Sexo]]=$B74,IF(DATOS_[[AGRUP. CLAS. PROF.]:[AGRUP. CLAS. PROF.]]=$B72,IF(DATOS_[[Check Periodo Ref.]:[Check Periodo Ref.]]="Dentro",DATOS_[Conc.Sal.10]))))), 0)</f>
        <v>0</v>
      </c>
      <c r="P74" s="209" t="n">
        <f aca="false" t="array" ref="P74:P74">IFERROR( AVERAGE((IF(DATOS_[[Sexo]:[Sexo]]=$B74,IF(DATOS_[[AGRUP. CLAS. PROF.]:[AGRUP. CLAS. PROF.]]=$B72,IF(DATOS_[[Check Periodo Ref.]:[Check Periodo Ref.]]="Dentro",DATOS_[Conc.Sal.11]))))), 0)</f>
        <v>0</v>
      </c>
      <c r="Q74" s="209" t="n">
        <f aca="false" t="array" ref="Q74:Q74">IFERROR( AVERAGE((IF(DATOS_[[Sexo]:[Sexo]]=$B74,IF(DATOS_[[AGRUP. CLAS. PROF.]:[AGRUP. CLAS. PROF.]]=$B72,IF(DATOS_[[Check Periodo Ref.]:[Check Periodo Ref.]]="Dentro",DATOS_[Conc.Sal.12]))))), 0)</f>
        <v>0</v>
      </c>
      <c r="R74" s="209" t="n">
        <f aca="false" t="array" ref="R74:R74">IFERROR( AVERAGE((IF(DATOS_[[Sexo]:[Sexo]]=$B74,IF(DATOS_[[AGRUP. CLAS. PROF.]:[AGRUP. CLAS. PROF.]]=$B72,IF(DATOS_[[Check Periodo Ref.]:[Check Periodo Ref.]]="Dentro",DATOS_[Conc.Sal.13]))))), 0)</f>
        <v>0</v>
      </c>
      <c r="S74" s="209" t="n">
        <f aca="false" t="array" ref="S74:S74">IFERROR( AVERAGE((IF(DATOS_[[Sexo]:[Sexo]]=$B74,IF(DATOS_[[AGRUP. CLAS. PROF.]:[AGRUP. CLAS. PROF.]]=$B72,IF(DATOS_[[Check Periodo Ref.]:[Check Periodo Ref.]]="Dentro",DATOS_[Conc.Sal.14]))))), 0)</f>
        <v>0</v>
      </c>
      <c r="T74" s="209" t="n">
        <f aca="false" t="array" ref="T74:T74">IFERROR( AVERAGE((IF(DATOS_[[Sexo]:[Sexo]]=$B74,IF(DATOS_[[AGRUP. CLAS. PROF.]:[AGRUP. CLAS. PROF.]]=$B72,IF(DATOS_[[Check Periodo Ref.]:[Check Periodo Ref.]]="Dentro",DATOS_[Conc.Sal.15]))))), 0)</f>
        <v>0</v>
      </c>
      <c r="U74" s="209" t="n">
        <f aca="false" t="array" ref="U74:U74">IFERROR( AVERAGE((IF(DATOS_[[Sexo]:[Sexo]]=$B74,IF(DATOS_[[AGRUP. CLAS. PROF.]:[AGRUP. CLAS. PROF.]]=$B72,IF(DATOS_[[Check Periodo Ref.]:[Check Periodo Ref.]]="Dentro",DATOS_[Conc.Sal.16]))))), 0)</f>
        <v>0</v>
      </c>
      <c r="V74" s="209" t="n">
        <f aca="false" t="array" ref="V74:V74">IFERROR( AVERAGE((IF(DATOS_[[Sexo]:[Sexo]]=$B74,IF(DATOS_[[AGRUP. CLAS. PROF.]:[AGRUP. CLAS. PROF.]]=$B72,IF(DATOS_[[Check Periodo Ref.]:[Check Periodo Ref.]]="Dentro",DATOS_[Conc.Sal.17]))))), 0)</f>
        <v>0</v>
      </c>
      <c r="W74" s="209" t="n">
        <f aca="false" t="array" ref="W74:W74">IFERROR( AVERAGE((IF(DATOS_[[Sexo]:[Sexo]]=$B74,IF(DATOS_[[AGRUP. CLAS. PROF.]:[AGRUP. CLAS. PROF.]]=$B72,IF(DATOS_[[Check Periodo Ref.]:[Check Periodo Ref.]]="Dentro",DATOS_[Conc.Sal.18]))))), 0)</f>
        <v>0</v>
      </c>
      <c r="X74" s="209" t="n">
        <f aca="false" t="array" ref="X74:X74">IFERROR( AVERAGE((IF(DATOS_[[Sexo]:[Sexo]]=$B74,IF(DATOS_[[AGRUP. CLAS. PROF.]:[AGRUP. CLAS. PROF.]]=$B72,IF(DATOS_[[Check Periodo Ref.]:[Check Periodo Ref.]]="Dentro",DATOS_[Conc.Sal.19]))))), 0)</f>
        <v>0</v>
      </c>
      <c r="Y74" s="209" t="n">
        <f aca="false" t="array" ref="Y74:Y74">IFERROR( AVERAGE((IF(DATOS_[[Sexo]:[Sexo]]=$B74,IF(DATOS_[[AGRUP. CLAS. PROF.]:[AGRUP. CLAS. PROF.]]=$B72,IF(DATOS_[[Check Periodo Ref.]:[Check Periodo Ref.]]="Dentro",DATOS_[Conc.Sal.20]))))), 0)</f>
        <v>0</v>
      </c>
      <c r="Z74" s="209" t="n">
        <f aca="false" t="array" ref="Z74:Z74">IFERROR( AVERAGE((IF(DATOS_[[Sexo]:[Sexo]]=$B74,IF(DATOS_[[AGRUP. CLAS. PROF.]:[AGRUP. CLAS. PROF.]]=$B72,IF(DATOS_[[Check Periodo Ref.]:[Check Periodo Ref.]]="Dentro",DATOS_[Conc.Sal.21]))))), 0)</f>
        <v>0</v>
      </c>
      <c r="AA74" s="209" t="n">
        <f aca="false" t="array" ref="AA74:AA74">IFERROR( AVERAGE((IF(DATOS_[[Sexo]:[Sexo]]=$B74,IF(DATOS_[[AGRUP. CLAS. PROF.]:[AGRUP. CLAS. PROF.]]=$B72,IF(DATOS_[[Check Periodo Ref.]:[Check Periodo Ref.]]="Dentro",DATOS_[Conc.Sal.22]))))), 0)</f>
        <v>0</v>
      </c>
      <c r="AB74" s="209" t="n">
        <f aca="false" t="array" ref="AB74:AB74">IFERROR( AVERAGE((IF(DATOS_[[Sexo]:[Sexo]]=$B74,IF(DATOS_[[AGRUP. CLAS. PROF.]:[AGRUP. CLAS. PROF.]]=$B72,IF(DATOS_[[Check Periodo Ref.]:[Check Periodo Ref.]]="Dentro",DATOS_[Conc.Sal.23]))))), 0)</f>
        <v>0</v>
      </c>
      <c r="AC74" s="209" t="n">
        <f aca="false" t="array" ref="AC74:AC74">IFERROR( AVERAGE((IF(DATOS_[[Sexo]:[Sexo]]=$B74,IF(DATOS_[[AGRUP. CLAS. PROF.]:[AGRUP. CLAS. PROF.]]=$B72,IF(DATOS_[[Check Periodo Ref.]:[Check Periodo Ref.]]="Dentro",DATOS_[Conc.Sal.24]))))), 0)</f>
        <v>0</v>
      </c>
      <c r="AD74" s="209" t="n">
        <f aca="false" t="array" ref="AD74:AD74">IFERROR( AVERAGE((IF(DATOS_[[Sexo]:[Sexo]]=$B74,IF(DATOS_[[AGRUP. CLAS. PROF.]:[AGRUP. CLAS. PROF.]]=$B72,IF(DATOS_[[Check Periodo Ref.]:[Check Periodo Ref.]]="Dentro",DATOS_[Conc.Sal.25]))))), 0)</f>
        <v>0</v>
      </c>
      <c r="AE74" s="209" t="n">
        <f aca="false" t="array" ref="AE74:AE74">IFERROR( AVERAGE((IF(DATOS_[[Sexo]:[Sexo]]=$B74,IF(DATOS_[[AGRUP. CLAS. PROF.]:[AGRUP. CLAS. PROF.]]=$B72,IF(DATOS_[[Check Periodo Ref.]:[Check Periodo Ref.]]="Dentro",DATOS_[Conc.Sal.26]))))), 0)</f>
        <v>0</v>
      </c>
      <c r="AF74" s="209" t="n">
        <f aca="false" t="array" ref="AF74:AF74">IFERROR( AVERAGE((IF(DATOS_[[Sexo]:[Sexo]]=$B74,IF(DATOS_[[AGRUP. CLAS. PROF.]:[AGRUP. CLAS. PROF.]]=$B72,IF(DATOS_[[Check Periodo Ref.]:[Check Periodo Ref.]]="Dentro",DATOS_[Conc.Sal.27]))))), 0)</f>
        <v>0</v>
      </c>
      <c r="AG74" s="209" t="n">
        <f aca="false" t="array" ref="AG74:AG74">IFERROR( AVERAGE((IF(DATOS_[[Sexo]:[Sexo]]=$B74,IF(DATOS_[[AGRUP. CLAS. PROF.]:[AGRUP. CLAS. PROF.]]=$B72,IF(DATOS_[[Check Periodo Ref.]:[Check Periodo Ref.]]="Dentro",DATOS_[Conc.Sal.28]))))), 0)</f>
        <v>0</v>
      </c>
      <c r="AH74" s="209" t="n">
        <f aca="false" t="array" ref="AH74:AH74">IFERROR( AVERAGE((IF(DATOS_[[Sexo]:[Sexo]]=$B74,IF(DATOS_[[AGRUP. CLAS. PROF.]:[AGRUP. CLAS. PROF.]]=$B72,IF(DATOS_[[Check Periodo Ref.]:[Check Periodo Ref.]]="Dentro",DATOS_[Conc.Sal.29]))))), 0)</f>
        <v>0</v>
      </c>
      <c r="AI74" s="209" t="n">
        <f aca="false" t="array" ref="AI74:AI74">IFERROR( AVERAGE((IF(DATOS_[[Sexo]:[Sexo]]=$B74,IF(DATOS_[[AGRUP. CLAS. PROF.]:[AGRUP. CLAS. PROF.]]=$B72,IF(DATOS_[[Check Periodo Ref.]:[Check Periodo Ref.]]="Dentro",DATOS_[Conc.Sal.30]))))), 0)</f>
        <v>0</v>
      </c>
      <c r="AJ74" s="210" t="n">
        <f aca="false" t="array" ref="AJ74:AJ74">IFERROR( AVERAGE(IF(DATOS_[Sexo]=$B74,IF(DATOS_[AGRUP. CLAS. PROF.]=$B72,IF(DATOS_[Check Periodo Ref.]="Dentro",DATOS_[Tot COMPL.SAL Ef],0)))), 0)</f>
        <v>0</v>
      </c>
      <c r="AK74" s="211" t="n">
        <f aca="false" t="array" ref="AK74:AK74">IFERROR( AVERAGE(IF(DATOS_[Sexo]=$B74,IF(DATOS_[AGRUP. CLAS. PROF.]=$B72,IF(DATOS_[Check Periodo Ref.]="Dentro",DATOS_[TOTAL SALARIO Ef],0)))), 0)</f>
        <v>0</v>
      </c>
      <c r="AL74" s="212" t="n">
        <f aca="false" t="array" ref="AL74:AL74">IFERROR( AVERAGE((IF(DATOS_[[Sexo]:[Sexo]]=$B74,IF(DATOS_[[AGRUP. CLAS. PROF.]:[AGRUP. CLAS. PROF.]]=$B72,IF(DATOS_[[Check Periodo Ref.]:[Check Periodo Ref.]]="Dentro",DATOS_[C.Extra.01]))))), 0)</f>
        <v>0</v>
      </c>
      <c r="AM74" s="212" t="n">
        <f aca="false" t="array" ref="AM74:AM74">IFERROR( AVERAGE((IF(DATOS_[[Sexo]:[Sexo]]=$B74,IF(DATOS_[[AGRUP. CLAS. PROF.]:[AGRUP. CLAS. PROF.]]=$B72,IF(DATOS_[[Check Periodo Ref.]:[Check Periodo Ref.]]="Dentro",DATOS_[C.Extra.02]))))), 0)</f>
        <v>0</v>
      </c>
      <c r="AN74" s="212" t="n">
        <f aca="false" t="array" ref="AN74:AN74">IFERROR( AVERAGE((IF(DATOS_[[Sexo]:[Sexo]]=$B74,IF(DATOS_[[AGRUP. CLAS. PROF.]:[AGRUP. CLAS. PROF.]]=$B72,IF(DATOS_[[Check Periodo Ref.]:[Check Periodo Ref.]]="Dentro",DATOS_[C.Extra.03]))))), 0)</f>
        <v>0</v>
      </c>
      <c r="AO74" s="212" t="n">
        <f aca="false" t="array" ref="AO74:AO74">IFERROR( AVERAGE((IF(DATOS_[[Sexo]:[Sexo]]=$B74,IF(DATOS_[[AGRUP. CLAS. PROF.]:[AGRUP. CLAS. PROF.]]=$B72,IF(DATOS_[[Check Periodo Ref.]:[Check Periodo Ref.]]="Dentro",DATOS_[C.Extra.04]))))), 0)</f>
        <v>0</v>
      </c>
      <c r="AP74" s="212" t="n">
        <f aca="false" t="array" ref="AP74:AP74">IFERROR( AVERAGE((IF(DATOS_[[Sexo]:[Sexo]]=$B74,IF(DATOS_[[AGRUP. CLAS. PROF.]:[AGRUP. CLAS. PROF.]]=$B72,IF(DATOS_[[Check Periodo Ref.]:[Check Periodo Ref.]]="Dentro",DATOS_[C.Extra.05]))))), 0)</f>
        <v>0</v>
      </c>
      <c r="AQ74" s="213" t="n">
        <f aca="false" t="array" ref="AQ74:AQ74">IFERROR( AVERAGE(IF(DATOS_[Sexo]=$B74,IF(DATOS_[AGRUP. CLAS. PROF.]=$B72,IF(DATOS_[Check Periodo Ref.]="Dentro",DATOS_[Tot Extrasalarial Ef],0)))), 0)</f>
        <v>0</v>
      </c>
      <c r="AR74" s="214" t="n">
        <f aca="false" t="array" ref="AR74:AR74">IFERROR( AVERAGE(IF(DATOS_[Sexo]=$B74,IF(DATOS_[AGRUP. CLAS. PROF.]=$B72,IF(DATOS_[Check Periodo Ref.]="Dentro",DATOS_[TOTAL Retrib Ef],0)))), 0)</f>
        <v>0</v>
      </c>
    </row>
    <row r="75" customFormat="false" ht="15.75" hidden="false" customHeight="false" outlineLevel="0" collapsed="false">
      <c r="A75" s="191" t="str">
        <f aca="false">+A76</f>
        <v>[ocultar]</v>
      </c>
      <c r="B75" s="192" t="s">
        <v>228</v>
      </c>
      <c r="C75" s="193"/>
      <c r="D75" s="194"/>
      <c r="E75" s="195" t="str">
        <f aca="false">IFERROR((E76-E77)/E76,"")</f>
        <v/>
      </c>
      <c r="F75" s="196" t="str">
        <f aca="false">IFERROR((F76-F77)/F76,"")</f>
        <v/>
      </c>
      <c r="G75" s="197" t="str">
        <f aca="false">IFERROR((G76-G77)/G76,"")</f>
        <v/>
      </c>
      <c r="H75" s="197" t="str">
        <f aca="false">IFERROR((H76-H77)/H76,"")</f>
        <v/>
      </c>
      <c r="I75" s="197" t="str">
        <f aca="false">IFERROR((I76-I77)/I76,"")</f>
        <v/>
      </c>
      <c r="J75" s="198" t="str">
        <f aca="false">IFERROR((J76-J77)/J76,"")</f>
        <v/>
      </c>
      <c r="K75" s="199" t="str">
        <f aca="false">IFERROR((K76-K77)/K76,"")</f>
        <v/>
      </c>
      <c r="L75" s="199" t="str">
        <f aca="false">IFERROR((L76-L77)/L76,"")</f>
        <v/>
      </c>
      <c r="M75" s="199" t="str">
        <f aca="false">IFERROR((M76-M77)/M76,"")</f>
        <v/>
      </c>
      <c r="N75" s="199" t="str">
        <f aca="false">IFERROR((N76-N77)/N76,"")</f>
        <v/>
      </c>
      <c r="O75" s="199" t="str">
        <f aca="false">IFERROR((O76-O77)/O76,"")</f>
        <v/>
      </c>
      <c r="P75" s="199" t="str">
        <f aca="false">IFERROR((P76-P77)/P76,"")</f>
        <v/>
      </c>
      <c r="Q75" s="199" t="str">
        <f aca="false">IFERROR((Q76-Q77)/Q76,"")</f>
        <v/>
      </c>
      <c r="R75" s="199" t="str">
        <f aca="false">IFERROR((R76-R77)/R76,"")</f>
        <v/>
      </c>
      <c r="S75" s="199" t="str">
        <f aca="false">IFERROR((S76-S77)/S76,"")</f>
        <v/>
      </c>
      <c r="T75" s="199" t="str">
        <f aca="false">IFERROR((T76-T77)/T76,"")</f>
        <v/>
      </c>
      <c r="U75" s="199" t="str">
        <f aca="false">IFERROR((U76-U77)/U76,"")</f>
        <v/>
      </c>
      <c r="V75" s="198" t="str">
        <f aca="false">IFERROR((V76-V77)/V76,"")</f>
        <v/>
      </c>
      <c r="W75" s="198" t="str">
        <f aca="false">IFERROR((W76-W77)/W76,"")</f>
        <v/>
      </c>
      <c r="X75" s="198" t="str">
        <f aca="false">IFERROR((X76-X77)/X76,"")</f>
        <v/>
      </c>
      <c r="Y75" s="198" t="str">
        <f aca="false">IFERROR((Y76-Y77)/Y76,"")</f>
        <v/>
      </c>
      <c r="Z75" s="198" t="str">
        <f aca="false">IFERROR((Z76-Z77)/Z76,"")</f>
        <v/>
      </c>
      <c r="AA75" s="198" t="str">
        <f aca="false">IFERROR((AA76-AA77)/AA76,"")</f>
        <v/>
      </c>
      <c r="AB75" s="198" t="str">
        <f aca="false">IFERROR((AB76-AB77)/AB76,"")</f>
        <v/>
      </c>
      <c r="AC75" s="198" t="str">
        <f aca="false">IFERROR((AC76-AC77)/AC76,"")</f>
        <v/>
      </c>
      <c r="AD75" s="198" t="str">
        <f aca="false">IFERROR((AD76-AD77)/AD76,"")</f>
        <v/>
      </c>
      <c r="AE75" s="198" t="str">
        <f aca="false">IFERROR((AE76-AE77)/AE76,"")</f>
        <v/>
      </c>
      <c r="AF75" s="198" t="str">
        <f aca="false">IFERROR((AF76-AF77)/AF76,"")</f>
        <v/>
      </c>
      <c r="AG75" s="198" t="str">
        <f aca="false">IFERROR((AG76-AG77)/AG76,"")</f>
        <v/>
      </c>
      <c r="AH75" s="198" t="str">
        <f aca="false">IFERROR((AH76-AH77)/AH76,"")</f>
        <v/>
      </c>
      <c r="AI75" s="198" t="str">
        <f aca="false">IFERROR((AI76-AI77)/AI76,"")</f>
        <v/>
      </c>
      <c r="AJ75" s="200" t="str">
        <f aca="false">IFERROR((AJ76-AJ77)/AJ76,"")</f>
        <v/>
      </c>
      <c r="AK75" s="201" t="str">
        <f aca="false">IFERROR((AK76-AK77)/AK76,"")</f>
        <v/>
      </c>
      <c r="AL75" s="202" t="str">
        <f aca="false">IFERROR((AL76-AL77)/AL76,"")</f>
        <v/>
      </c>
      <c r="AM75" s="202" t="str">
        <f aca="false">IFERROR((AM76-AM77)/AM76,"")</f>
        <v/>
      </c>
      <c r="AN75" s="202" t="str">
        <f aca="false">IFERROR((AN76-AN77)/AN76,"")</f>
        <v/>
      </c>
      <c r="AO75" s="202" t="str">
        <f aca="false">IFERROR((AO76-AO77)/AO76,"")</f>
        <v/>
      </c>
      <c r="AP75" s="202" t="str">
        <f aca="false">IFERROR((AP76-AP77)/AP76,"")</f>
        <v/>
      </c>
      <c r="AQ75" s="203" t="str">
        <f aca="false">IFERROR((AQ76-AQ77)/AQ76,"")</f>
        <v/>
      </c>
      <c r="AR75" s="204" t="str">
        <f aca="false">IFERROR((AR76-AR77)/AR76,"")</f>
        <v/>
      </c>
    </row>
    <row r="76" customFormat="false" ht="14.25" hidden="false" customHeight="false" outlineLevel="0" collapsed="false">
      <c r="A76" s="191" t="str">
        <f aca="false">+IF(C76+C77=0,"[ocultar]","")</f>
        <v>[ocultar]</v>
      </c>
      <c r="B76" s="205" t="s">
        <v>371</v>
      </c>
      <c r="C76" s="206" t="n">
        <f aca="false" t="array" ref="C76:C76">SUM(IF($B76=DATOS_[Sexo], IF($B75=DATOS_[AGRUP. CLAS. PROF.], IF("Dentro"=DATOS_[Check Periodo Ref.], 1/(COUNTIFS(DATOS_[Sexo],$B76,DATOS_[AGRUP. CLAS. PROF.],$B75,DATOS_[Check Periodo Ref.],"Dentro",DATOS_[id],DATOS_[id]))))))</f>
        <v>0</v>
      </c>
      <c r="D76" s="207" t="n">
        <f aca="false">COUNTIFS(DATOS_[AGRUP. CLAS. PROF.],$B75,DATOS_[Sexo],$B76,DATOS_[Check Periodo Ref.],"Dentro")</f>
        <v>0</v>
      </c>
      <c r="E76" s="208" t="n">
        <f aca="false" t="array" ref="E76:E76">IFERROR( AVERAGE(IF(DATOS_[Sexo]=$B76,IF(DATOS_[AGRUP. CLAS. PROF.]=$B75,IF(DATOS_[Check Periodo Ref.]="Dentro",DATOS_[SALARIO BASE Ef],0)))), 0)</f>
        <v>0</v>
      </c>
      <c r="F76" s="209" t="n">
        <f aca="false" t="array" ref="F76:F76">IFERROR( AVERAGE((IF(DATOS_[[Sexo]:[Sexo]]=$B76,IF(DATOS_[[AGRUP. CLAS. PROF.]:[AGRUP. CLAS. PROF.]]=$B75,IF(DATOS_[[Check Periodo Ref.]:[Check Periodo Ref.]]="Dentro",DATOS_[Conc.Sal.01]))))), 0)</f>
        <v>0</v>
      </c>
      <c r="G76" s="209" t="n">
        <f aca="false" t="array" ref="G76:G76">IFERROR( AVERAGE((IF(DATOS_[[Sexo]:[Sexo]]=$B76,IF(DATOS_[[AGRUP. CLAS. PROF.]:[AGRUP. CLAS. PROF.]]=$B75,IF(DATOS_[[Check Periodo Ref.]:[Check Periodo Ref.]]="Dentro",DATOS_[Conc.Sal.02]))))), 0)</f>
        <v>0</v>
      </c>
      <c r="H76" s="209" t="n">
        <f aca="false" t="array" ref="H76:H76">IFERROR( AVERAGE((IF(DATOS_[[Sexo]:[Sexo]]=$B76,IF(DATOS_[[AGRUP. CLAS. PROF.]:[AGRUP. CLAS. PROF.]]=$B75,IF(DATOS_[[Check Periodo Ref.]:[Check Periodo Ref.]]="Dentro",DATOS_[Conc.Sal.03]))))), 0)</f>
        <v>0</v>
      </c>
      <c r="I76" s="209" t="n">
        <f aca="false" t="array" ref="I76:I76">IFERROR( AVERAGE((IF(DATOS_[[Sexo]:[Sexo]]=$B76,IF(DATOS_[[AGRUP. CLAS. PROF.]:[AGRUP. CLAS. PROF.]]=$B75,IF(DATOS_[[Check Periodo Ref.]:[Check Periodo Ref.]]="Dentro",DATOS_[Conc.Sal.04]))))), 0)</f>
        <v>0</v>
      </c>
      <c r="J76" s="209" t="n">
        <f aca="false" t="array" ref="J76:J76">IFERROR( AVERAGE((IF(DATOS_[[Sexo]:[Sexo]]=$B76,IF(DATOS_[[AGRUP. CLAS. PROF.]:[AGRUP. CLAS. PROF.]]=$B75,IF(DATOS_[[Check Periodo Ref.]:[Check Periodo Ref.]]="Dentro",DATOS_[Conc.Sal.05]))))), 0)</f>
        <v>0</v>
      </c>
      <c r="K76" s="209" t="n">
        <f aca="false" t="array" ref="K76:K76">IFERROR( AVERAGE((IF(DATOS_[[Sexo]:[Sexo]]=$B76,IF(DATOS_[[AGRUP. CLAS. PROF.]:[AGRUP. CLAS. PROF.]]=$B75,IF(DATOS_[[Check Periodo Ref.]:[Check Periodo Ref.]]="Dentro",DATOS_[Conc.Sal.06]))))), 0)</f>
        <v>0</v>
      </c>
      <c r="L76" s="209" t="n">
        <f aca="false" t="array" ref="L76:L76">IFERROR( AVERAGE((IF(DATOS_[[Sexo]:[Sexo]]=$B76,IF(DATOS_[[AGRUP. CLAS. PROF.]:[AGRUP. CLAS. PROF.]]=$B75,IF(DATOS_[[Check Periodo Ref.]:[Check Periodo Ref.]]="Dentro",DATOS_[Conc.Sal.07]))))), 0)</f>
        <v>0</v>
      </c>
      <c r="M76" s="209" t="n">
        <f aca="false" t="array" ref="M76:M76">IFERROR( AVERAGE((IF(DATOS_[[Sexo]:[Sexo]]=$B76,IF(DATOS_[[AGRUP. CLAS. PROF.]:[AGRUP. CLAS. PROF.]]=$B75,IF(DATOS_[[Check Periodo Ref.]:[Check Periodo Ref.]]="Dentro",DATOS_[Conc.Sal.08]))))), 0)</f>
        <v>0</v>
      </c>
      <c r="N76" s="209" t="n">
        <f aca="false" t="array" ref="N76:N76">IFERROR( AVERAGE((IF(DATOS_[[Sexo]:[Sexo]]=$B76,IF(DATOS_[[AGRUP. CLAS. PROF.]:[AGRUP. CLAS. PROF.]]=$B75,IF(DATOS_[[Check Periodo Ref.]:[Check Periodo Ref.]]="Dentro",DATOS_[Conc.Sal.09]))))), 0)</f>
        <v>0</v>
      </c>
      <c r="O76" s="209" t="n">
        <f aca="false" t="array" ref="O76:O76">IFERROR( AVERAGE((IF(DATOS_[[Sexo]:[Sexo]]=$B76,IF(DATOS_[[AGRUP. CLAS. PROF.]:[AGRUP. CLAS. PROF.]]=$B75,IF(DATOS_[[Check Periodo Ref.]:[Check Periodo Ref.]]="Dentro",DATOS_[Conc.Sal.10]))))), 0)</f>
        <v>0</v>
      </c>
      <c r="P76" s="209" t="n">
        <f aca="false" t="array" ref="P76:P76">IFERROR( AVERAGE((IF(DATOS_[[Sexo]:[Sexo]]=$B76,IF(DATOS_[[AGRUP. CLAS. PROF.]:[AGRUP. CLAS. PROF.]]=$B75,IF(DATOS_[[Check Periodo Ref.]:[Check Periodo Ref.]]="Dentro",DATOS_[Conc.Sal.11]))))), 0)</f>
        <v>0</v>
      </c>
      <c r="Q76" s="209" t="n">
        <f aca="false" t="array" ref="Q76:Q76">IFERROR( AVERAGE((IF(DATOS_[[Sexo]:[Sexo]]=$B76,IF(DATOS_[[AGRUP. CLAS. PROF.]:[AGRUP. CLAS. PROF.]]=$B75,IF(DATOS_[[Check Periodo Ref.]:[Check Periodo Ref.]]="Dentro",DATOS_[Conc.Sal.12]))))), 0)</f>
        <v>0</v>
      </c>
      <c r="R76" s="209" t="n">
        <f aca="false" t="array" ref="R76:R76">IFERROR( AVERAGE((IF(DATOS_[[Sexo]:[Sexo]]=$B76,IF(DATOS_[[AGRUP. CLAS. PROF.]:[AGRUP. CLAS. PROF.]]=$B75,IF(DATOS_[[Check Periodo Ref.]:[Check Periodo Ref.]]="Dentro",DATOS_[Conc.Sal.13]))))), 0)</f>
        <v>0</v>
      </c>
      <c r="S76" s="209" t="n">
        <f aca="false" t="array" ref="S76:S76">IFERROR( AVERAGE((IF(DATOS_[[Sexo]:[Sexo]]=$B76,IF(DATOS_[[AGRUP. CLAS. PROF.]:[AGRUP. CLAS. PROF.]]=$B75,IF(DATOS_[[Check Periodo Ref.]:[Check Periodo Ref.]]="Dentro",DATOS_[Conc.Sal.14]))))), 0)</f>
        <v>0</v>
      </c>
      <c r="T76" s="209" t="n">
        <f aca="false" t="array" ref="T76:T76">IFERROR( AVERAGE((IF(DATOS_[[Sexo]:[Sexo]]=$B76,IF(DATOS_[[AGRUP. CLAS. PROF.]:[AGRUP. CLAS. PROF.]]=$B75,IF(DATOS_[[Check Periodo Ref.]:[Check Periodo Ref.]]="Dentro",DATOS_[Conc.Sal.15]))))), 0)</f>
        <v>0</v>
      </c>
      <c r="U76" s="209" t="n">
        <f aca="false" t="array" ref="U76:U76">IFERROR( AVERAGE((IF(DATOS_[[Sexo]:[Sexo]]=$B76,IF(DATOS_[[AGRUP. CLAS. PROF.]:[AGRUP. CLAS. PROF.]]=$B75,IF(DATOS_[[Check Periodo Ref.]:[Check Periodo Ref.]]="Dentro",DATOS_[Conc.Sal.16]))))), 0)</f>
        <v>0</v>
      </c>
      <c r="V76" s="209" t="n">
        <f aca="false" t="array" ref="V76:V76">IFERROR( AVERAGE((IF(DATOS_[[Sexo]:[Sexo]]=$B76,IF(DATOS_[[AGRUP. CLAS. PROF.]:[AGRUP. CLAS. PROF.]]=$B75,IF(DATOS_[[Check Periodo Ref.]:[Check Periodo Ref.]]="Dentro",DATOS_[Conc.Sal.17]))))), 0)</f>
        <v>0</v>
      </c>
      <c r="W76" s="209" t="n">
        <f aca="false" t="array" ref="W76:W76">IFERROR( AVERAGE((IF(DATOS_[[Sexo]:[Sexo]]=$B76,IF(DATOS_[[AGRUP. CLAS. PROF.]:[AGRUP. CLAS. PROF.]]=$B75,IF(DATOS_[[Check Periodo Ref.]:[Check Periodo Ref.]]="Dentro",DATOS_[Conc.Sal.18]))))), 0)</f>
        <v>0</v>
      </c>
      <c r="X76" s="209" t="n">
        <f aca="false" t="array" ref="X76:X76">IFERROR( AVERAGE((IF(DATOS_[[Sexo]:[Sexo]]=$B76,IF(DATOS_[[AGRUP. CLAS. PROF.]:[AGRUP. CLAS. PROF.]]=$B75,IF(DATOS_[[Check Periodo Ref.]:[Check Periodo Ref.]]="Dentro",DATOS_[Conc.Sal.19]))))), 0)</f>
        <v>0</v>
      </c>
      <c r="Y76" s="209" t="n">
        <f aca="false" t="array" ref="Y76:Y76">IFERROR( AVERAGE((IF(DATOS_[[Sexo]:[Sexo]]=$B76,IF(DATOS_[[AGRUP. CLAS. PROF.]:[AGRUP. CLAS. PROF.]]=$B75,IF(DATOS_[[Check Periodo Ref.]:[Check Periodo Ref.]]="Dentro",DATOS_[Conc.Sal.20]))))), 0)</f>
        <v>0</v>
      </c>
      <c r="Z76" s="209" t="n">
        <f aca="false" t="array" ref="Z76:Z76">IFERROR( AVERAGE((IF(DATOS_[[Sexo]:[Sexo]]=$B76,IF(DATOS_[[AGRUP. CLAS. PROF.]:[AGRUP. CLAS. PROF.]]=$B75,IF(DATOS_[[Check Periodo Ref.]:[Check Periodo Ref.]]="Dentro",DATOS_[Conc.Sal.21]))))), 0)</f>
        <v>0</v>
      </c>
      <c r="AA76" s="209" t="n">
        <f aca="false" t="array" ref="AA76:AA76">IFERROR( AVERAGE((IF(DATOS_[[Sexo]:[Sexo]]=$B76,IF(DATOS_[[AGRUP. CLAS. PROF.]:[AGRUP. CLAS. PROF.]]=$B75,IF(DATOS_[[Check Periodo Ref.]:[Check Periodo Ref.]]="Dentro",DATOS_[Conc.Sal.22]))))), 0)</f>
        <v>0</v>
      </c>
      <c r="AB76" s="209" t="n">
        <f aca="false" t="array" ref="AB76:AB76">IFERROR( AVERAGE((IF(DATOS_[[Sexo]:[Sexo]]=$B76,IF(DATOS_[[AGRUP. CLAS. PROF.]:[AGRUP. CLAS. PROF.]]=$B75,IF(DATOS_[[Check Periodo Ref.]:[Check Periodo Ref.]]="Dentro",DATOS_[Conc.Sal.23]))))), 0)</f>
        <v>0</v>
      </c>
      <c r="AC76" s="209" t="n">
        <f aca="false" t="array" ref="AC76:AC76">IFERROR( AVERAGE((IF(DATOS_[[Sexo]:[Sexo]]=$B76,IF(DATOS_[[AGRUP. CLAS. PROF.]:[AGRUP. CLAS. PROF.]]=$B75,IF(DATOS_[[Check Periodo Ref.]:[Check Periodo Ref.]]="Dentro",DATOS_[Conc.Sal.24]))))), 0)</f>
        <v>0</v>
      </c>
      <c r="AD76" s="209" t="n">
        <f aca="false" t="array" ref="AD76:AD76">IFERROR( AVERAGE((IF(DATOS_[[Sexo]:[Sexo]]=$B76,IF(DATOS_[[AGRUP. CLAS. PROF.]:[AGRUP. CLAS. PROF.]]=$B75,IF(DATOS_[[Check Periodo Ref.]:[Check Periodo Ref.]]="Dentro",DATOS_[Conc.Sal.25]))))), 0)</f>
        <v>0</v>
      </c>
      <c r="AE76" s="209" t="n">
        <f aca="false" t="array" ref="AE76:AE76">IFERROR( AVERAGE((IF(DATOS_[[Sexo]:[Sexo]]=$B76,IF(DATOS_[[AGRUP. CLAS. PROF.]:[AGRUP. CLAS. PROF.]]=$B75,IF(DATOS_[[Check Periodo Ref.]:[Check Periodo Ref.]]="Dentro",DATOS_[Conc.Sal.26]))))), 0)</f>
        <v>0</v>
      </c>
      <c r="AF76" s="209" t="n">
        <f aca="false" t="array" ref="AF76:AF76">IFERROR( AVERAGE((IF(DATOS_[[Sexo]:[Sexo]]=$B76,IF(DATOS_[[AGRUP. CLAS. PROF.]:[AGRUP. CLAS. PROF.]]=$B75,IF(DATOS_[[Check Periodo Ref.]:[Check Periodo Ref.]]="Dentro",DATOS_[Conc.Sal.27]))))), 0)</f>
        <v>0</v>
      </c>
      <c r="AG76" s="209" t="n">
        <f aca="false" t="array" ref="AG76:AG76">IFERROR( AVERAGE((IF(DATOS_[[Sexo]:[Sexo]]=$B76,IF(DATOS_[[AGRUP. CLAS. PROF.]:[AGRUP. CLAS. PROF.]]=$B75,IF(DATOS_[[Check Periodo Ref.]:[Check Periodo Ref.]]="Dentro",DATOS_[Conc.Sal.28]))))), 0)</f>
        <v>0</v>
      </c>
      <c r="AH76" s="209" t="n">
        <f aca="false" t="array" ref="AH76:AH76">IFERROR( AVERAGE((IF(DATOS_[[Sexo]:[Sexo]]=$B76,IF(DATOS_[[AGRUP. CLAS. PROF.]:[AGRUP. CLAS. PROF.]]=$B75,IF(DATOS_[[Check Periodo Ref.]:[Check Periodo Ref.]]="Dentro",DATOS_[Conc.Sal.29]))))), 0)</f>
        <v>0</v>
      </c>
      <c r="AI76" s="209" t="n">
        <f aca="false" t="array" ref="AI76:AI76">IFERROR( AVERAGE((IF(DATOS_[[Sexo]:[Sexo]]=$B76,IF(DATOS_[[AGRUP. CLAS. PROF.]:[AGRUP. CLAS. PROF.]]=$B75,IF(DATOS_[[Check Periodo Ref.]:[Check Periodo Ref.]]="Dentro",DATOS_[Conc.Sal.30]))))), 0)</f>
        <v>0</v>
      </c>
      <c r="AJ76" s="210" t="n">
        <f aca="false" t="array" ref="AJ76:AJ76">IFERROR( AVERAGE(IF(DATOS_[Sexo]=$B76,IF(DATOS_[AGRUP. CLAS. PROF.]=$B75,IF(DATOS_[Check Periodo Ref.]="Dentro",DATOS_[Tot COMPL.SAL Ef],0)))), 0)</f>
        <v>0</v>
      </c>
      <c r="AK76" s="211" t="n">
        <f aca="false" t="array" ref="AK76:AK76">IFERROR( AVERAGE(IF(DATOS_[Sexo]=$B76,IF(DATOS_[AGRUP. CLAS. PROF.]=$B75,IF(DATOS_[Check Periodo Ref.]="Dentro",DATOS_[TOTAL SALARIO Ef],0)))), 0)</f>
        <v>0</v>
      </c>
      <c r="AL76" s="212" t="n">
        <f aca="false" t="array" ref="AL76:AL76">IFERROR( AVERAGE((IF(DATOS_[[Sexo]:[Sexo]]=$B76,IF(DATOS_[[AGRUP. CLAS. PROF.]:[AGRUP. CLAS. PROF.]]=$B75,IF(DATOS_[[Check Periodo Ref.]:[Check Periodo Ref.]]="Dentro",DATOS_[C.Extra.01]))))), 0)</f>
        <v>0</v>
      </c>
      <c r="AM76" s="212" t="n">
        <f aca="false" t="array" ref="AM76:AM76">IFERROR( AVERAGE((IF(DATOS_[[Sexo]:[Sexo]]=$B76,IF(DATOS_[[AGRUP. CLAS. PROF.]:[AGRUP. CLAS. PROF.]]=$B75,IF(DATOS_[[Check Periodo Ref.]:[Check Periodo Ref.]]="Dentro",DATOS_[C.Extra.02]))))), 0)</f>
        <v>0</v>
      </c>
      <c r="AN76" s="212" t="n">
        <f aca="false" t="array" ref="AN76:AN76">IFERROR( AVERAGE((IF(DATOS_[[Sexo]:[Sexo]]=$B76,IF(DATOS_[[AGRUP. CLAS. PROF.]:[AGRUP. CLAS. PROF.]]=$B75,IF(DATOS_[[Check Periodo Ref.]:[Check Periodo Ref.]]="Dentro",DATOS_[C.Extra.03]))))), 0)</f>
        <v>0</v>
      </c>
      <c r="AO76" s="212" t="n">
        <f aca="false" t="array" ref="AO76:AO76">IFERROR( AVERAGE((IF(DATOS_[[Sexo]:[Sexo]]=$B76,IF(DATOS_[[AGRUP. CLAS. PROF.]:[AGRUP. CLAS. PROF.]]=$B75,IF(DATOS_[[Check Periodo Ref.]:[Check Periodo Ref.]]="Dentro",DATOS_[C.Extra.04]))))), 0)</f>
        <v>0</v>
      </c>
      <c r="AP76" s="212" t="n">
        <f aca="false" t="array" ref="AP76:AP76">IFERROR( AVERAGE((IF(DATOS_[[Sexo]:[Sexo]]=$B76,IF(DATOS_[[AGRUP. CLAS. PROF.]:[AGRUP. CLAS. PROF.]]=$B75,IF(DATOS_[[Check Periodo Ref.]:[Check Periodo Ref.]]="Dentro",DATOS_[C.Extra.05]))))), 0)</f>
        <v>0</v>
      </c>
      <c r="AQ76" s="213" t="n">
        <f aca="false" t="array" ref="AQ76:AQ76">IFERROR( AVERAGE(IF(DATOS_[Sexo]=$B76,IF(DATOS_[AGRUP. CLAS. PROF.]=$B75,IF(DATOS_[Check Periodo Ref.]="Dentro",DATOS_[Tot Extrasalarial Ef],0)))), 0)</f>
        <v>0</v>
      </c>
      <c r="AR76" s="214" t="n">
        <f aca="false" t="array" ref="AR76:AR76">IFERROR( AVERAGE(IF(DATOS_[Sexo]=$B76,IF(DATOS_[AGRUP. CLAS. PROF.]=$B75,IF(DATOS_[Check Periodo Ref.]="Dentro",DATOS_[TOTAL Retrib Ef],0)))), 0)</f>
        <v>0</v>
      </c>
    </row>
    <row r="77" customFormat="false" ht="14.25" hidden="false" customHeight="false" outlineLevel="0" collapsed="false">
      <c r="A77" s="191" t="str">
        <f aca="false">+A76</f>
        <v>[ocultar]</v>
      </c>
      <c r="B77" s="205" t="s">
        <v>372</v>
      </c>
      <c r="C77" s="206" t="n">
        <f aca="false" t="array" ref="C77:C77">SUM(IF($B77=DATOS_[Sexo], IF($B75=DATOS_[AGRUP. CLAS. PROF.], IF("Dentro"=DATOS_[Check Periodo Ref.], 1/(COUNTIFS(DATOS_[Sexo],$B77,DATOS_[AGRUP. CLAS. PROF.],$B75,DATOS_[Check Periodo Ref.],"Dentro",DATOS_[id],DATOS_[id]))))))</f>
        <v>0</v>
      </c>
      <c r="D77" s="207" t="n">
        <f aca="false">COUNTIFS(DATOS_[AGRUP. CLAS. PROF.],$B75,DATOS_[Sexo],$B77,DATOS_[Check Periodo Ref.],"Dentro")</f>
        <v>0</v>
      </c>
      <c r="E77" s="208" t="n">
        <f aca="false" t="array" ref="E77:E77">IFERROR( AVERAGE(IF(DATOS_[Sexo]=$B77,IF(DATOS_[AGRUP. CLAS. PROF.]=$B75,IF(DATOS_[Check Periodo Ref.]="Dentro",DATOS_[SALARIO BASE Ef],0)))), 0)</f>
        <v>0</v>
      </c>
      <c r="F77" s="209" t="n">
        <f aca="false" t="array" ref="F77:F77">IFERROR( AVERAGE((IF(DATOS_[[Sexo]:[Sexo]]=$B77,IF(DATOS_[[AGRUP. CLAS. PROF.]:[AGRUP. CLAS. PROF.]]=$B75,IF(DATOS_[[Check Periodo Ref.]:[Check Periodo Ref.]]="Dentro",DATOS_[Conc.Sal.01]))))), 0)</f>
        <v>0</v>
      </c>
      <c r="G77" s="209" t="n">
        <f aca="false" t="array" ref="G77:G77">IFERROR( AVERAGE((IF(DATOS_[[Sexo]:[Sexo]]=$B77,IF(DATOS_[[AGRUP. CLAS. PROF.]:[AGRUP. CLAS. PROF.]]=$B75,IF(DATOS_[[Check Periodo Ref.]:[Check Periodo Ref.]]="Dentro",DATOS_[Conc.Sal.02]))))), 0)</f>
        <v>0</v>
      </c>
      <c r="H77" s="209" t="n">
        <f aca="false" t="array" ref="H77:H77">IFERROR( AVERAGE((IF(DATOS_[[Sexo]:[Sexo]]=$B77,IF(DATOS_[[AGRUP. CLAS. PROF.]:[AGRUP. CLAS. PROF.]]=$B75,IF(DATOS_[[Check Periodo Ref.]:[Check Periodo Ref.]]="Dentro",DATOS_[Conc.Sal.03]))))), 0)</f>
        <v>0</v>
      </c>
      <c r="I77" s="209" t="n">
        <f aca="false" t="array" ref="I77:I77">IFERROR( AVERAGE((IF(DATOS_[[Sexo]:[Sexo]]=$B77,IF(DATOS_[[AGRUP. CLAS. PROF.]:[AGRUP. CLAS. PROF.]]=$B75,IF(DATOS_[[Check Periodo Ref.]:[Check Periodo Ref.]]="Dentro",DATOS_[Conc.Sal.04]))))), 0)</f>
        <v>0</v>
      </c>
      <c r="J77" s="209" t="n">
        <f aca="false" t="array" ref="J77:J77">IFERROR( AVERAGE((IF(DATOS_[[Sexo]:[Sexo]]=$B77,IF(DATOS_[[AGRUP. CLAS. PROF.]:[AGRUP. CLAS. PROF.]]=$B75,IF(DATOS_[[Check Periodo Ref.]:[Check Periodo Ref.]]="Dentro",DATOS_[Conc.Sal.05]))))), 0)</f>
        <v>0</v>
      </c>
      <c r="K77" s="209" t="n">
        <f aca="false" t="array" ref="K77:K77">IFERROR( AVERAGE((IF(DATOS_[[Sexo]:[Sexo]]=$B77,IF(DATOS_[[AGRUP. CLAS. PROF.]:[AGRUP. CLAS. PROF.]]=$B75,IF(DATOS_[[Check Periodo Ref.]:[Check Periodo Ref.]]="Dentro",DATOS_[Conc.Sal.06]))))), 0)</f>
        <v>0</v>
      </c>
      <c r="L77" s="209" t="n">
        <f aca="false" t="array" ref="L77:L77">IFERROR( AVERAGE((IF(DATOS_[[Sexo]:[Sexo]]=$B77,IF(DATOS_[[AGRUP. CLAS. PROF.]:[AGRUP. CLAS. PROF.]]=$B75,IF(DATOS_[[Check Periodo Ref.]:[Check Periodo Ref.]]="Dentro",DATOS_[Conc.Sal.07]))))), 0)</f>
        <v>0</v>
      </c>
      <c r="M77" s="209" t="n">
        <f aca="false" t="array" ref="M77:M77">IFERROR( AVERAGE((IF(DATOS_[[Sexo]:[Sexo]]=$B77,IF(DATOS_[[AGRUP. CLAS. PROF.]:[AGRUP. CLAS. PROF.]]=$B75,IF(DATOS_[[Check Periodo Ref.]:[Check Periodo Ref.]]="Dentro",DATOS_[Conc.Sal.08]))))), 0)</f>
        <v>0</v>
      </c>
      <c r="N77" s="209" t="n">
        <f aca="false" t="array" ref="N77:N77">IFERROR( AVERAGE((IF(DATOS_[[Sexo]:[Sexo]]=$B77,IF(DATOS_[[AGRUP. CLAS. PROF.]:[AGRUP. CLAS. PROF.]]=$B75,IF(DATOS_[[Check Periodo Ref.]:[Check Periodo Ref.]]="Dentro",DATOS_[Conc.Sal.09]))))), 0)</f>
        <v>0</v>
      </c>
      <c r="O77" s="209" t="n">
        <f aca="false" t="array" ref="O77:O77">IFERROR( AVERAGE((IF(DATOS_[[Sexo]:[Sexo]]=$B77,IF(DATOS_[[AGRUP. CLAS. PROF.]:[AGRUP. CLAS. PROF.]]=$B75,IF(DATOS_[[Check Periodo Ref.]:[Check Periodo Ref.]]="Dentro",DATOS_[Conc.Sal.10]))))), 0)</f>
        <v>0</v>
      </c>
      <c r="P77" s="209" t="n">
        <f aca="false" t="array" ref="P77:P77">IFERROR( AVERAGE((IF(DATOS_[[Sexo]:[Sexo]]=$B77,IF(DATOS_[[AGRUP. CLAS. PROF.]:[AGRUP. CLAS. PROF.]]=$B75,IF(DATOS_[[Check Periodo Ref.]:[Check Periodo Ref.]]="Dentro",DATOS_[Conc.Sal.11]))))), 0)</f>
        <v>0</v>
      </c>
      <c r="Q77" s="209" t="n">
        <f aca="false" t="array" ref="Q77:Q77">IFERROR( AVERAGE((IF(DATOS_[[Sexo]:[Sexo]]=$B77,IF(DATOS_[[AGRUP. CLAS. PROF.]:[AGRUP. CLAS. PROF.]]=$B75,IF(DATOS_[[Check Periodo Ref.]:[Check Periodo Ref.]]="Dentro",DATOS_[Conc.Sal.12]))))), 0)</f>
        <v>0</v>
      </c>
      <c r="R77" s="209" t="n">
        <f aca="false" t="array" ref="R77:R77">IFERROR( AVERAGE((IF(DATOS_[[Sexo]:[Sexo]]=$B77,IF(DATOS_[[AGRUP. CLAS. PROF.]:[AGRUP. CLAS. PROF.]]=$B75,IF(DATOS_[[Check Periodo Ref.]:[Check Periodo Ref.]]="Dentro",DATOS_[Conc.Sal.13]))))), 0)</f>
        <v>0</v>
      </c>
      <c r="S77" s="209" t="n">
        <f aca="false" t="array" ref="S77:S77">IFERROR( AVERAGE((IF(DATOS_[[Sexo]:[Sexo]]=$B77,IF(DATOS_[[AGRUP. CLAS. PROF.]:[AGRUP. CLAS. PROF.]]=$B75,IF(DATOS_[[Check Periodo Ref.]:[Check Periodo Ref.]]="Dentro",DATOS_[Conc.Sal.14]))))), 0)</f>
        <v>0</v>
      </c>
      <c r="T77" s="209" t="n">
        <f aca="false" t="array" ref="T77:T77">IFERROR( AVERAGE((IF(DATOS_[[Sexo]:[Sexo]]=$B77,IF(DATOS_[[AGRUP. CLAS. PROF.]:[AGRUP. CLAS. PROF.]]=$B75,IF(DATOS_[[Check Periodo Ref.]:[Check Periodo Ref.]]="Dentro",DATOS_[Conc.Sal.15]))))), 0)</f>
        <v>0</v>
      </c>
      <c r="U77" s="209" t="n">
        <f aca="false" t="array" ref="U77:U77">IFERROR( AVERAGE((IF(DATOS_[[Sexo]:[Sexo]]=$B77,IF(DATOS_[[AGRUP. CLAS. PROF.]:[AGRUP. CLAS. PROF.]]=$B75,IF(DATOS_[[Check Periodo Ref.]:[Check Periodo Ref.]]="Dentro",DATOS_[Conc.Sal.16]))))), 0)</f>
        <v>0</v>
      </c>
      <c r="V77" s="209" t="n">
        <f aca="false" t="array" ref="V77:V77">IFERROR( AVERAGE((IF(DATOS_[[Sexo]:[Sexo]]=$B77,IF(DATOS_[[AGRUP. CLAS. PROF.]:[AGRUP. CLAS. PROF.]]=$B75,IF(DATOS_[[Check Periodo Ref.]:[Check Periodo Ref.]]="Dentro",DATOS_[Conc.Sal.17]))))), 0)</f>
        <v>0</v>
      </c>
      <c r="W77" s="209" t="n">
        <f aca="false" t="array" ref="W77:W77">IFERROR( AVERAGE((IF(DATOS_[[Sexo]:[Sexo]]=$B77,IF(DATOS_[[AGRUP. CLAS. PROF.]:[AGRUP. CLAS. PROF.]]=$B75,IF(DATOS_[[Check Periodo Ref.]:[Check Periodo Ref.]]="Dentro",DATOS_[Conc.Sal.18]))))), 0)</f>
        <v>0</v>
      </c>
      <c r="X77" s="209" t="n">
        <f aca="false" t="array" ref="X77:X77">IFERROR( AVERAGE((IF(DATOS_[[Sexo]:[Sexo]]=$B77,IF(DATOS_[[AGRUP. CLAS. PROF.]:[AGRUP. CLAS. PROF.]]=$B75,IF(DATOS_[[Check Periodo Ref.]:[Check Periodo Ref.]]="Dentro",DATOS_[Conc.Sal.19]))))), 0)</f>
        <v>0</v>
      </c>
      <c r="Y77" s="209" t="n">
        <f aca="false" t="array" ref="Y77:Y77">IFERROR( AVERAGE((IF(DATOS_[[Sexo]:[Sexo]]=$B77,IF(DATOS_[[AGRUP. CLAS. PROF.]:[AGRUP. CLAS. PROF.]]=$B75,IF(DATOS_[[Check Periodo Ref.]:[Check Periodo Ref.]]="Dentro",DATOS_[Conc.Sal.20]))))), 0)</f>
        <v>0</v>
      </c>
      <c r="Z77" s="209" t="n">
        <f aca="false" t="array" ref="Z77:Z77">IFERROR( AVERAGE((IF(DATOS_[[Sexo]:[Sexo]]=$B77,IF(DATOS_[[AGRUP. CLAS. PROF.]:[AGRUP. CLAS. PROF.]]=$B75,IF(DATOS_[[Check Periodo Ref.]:[Check Periodo Ref.]]="Dentro",DATOS_[Conc.Sal.21]))))), 0)</f>
        <v>0</v>
      </c>
      <c r="AA77" s="209" t="n">
        <f aca="false" t="array" ref="AA77:AA77">IFERROR( AVERAGE((IF(DATOS_[[Sexo]:[Sexo]]=$B77,IF(DATOS_[[AGRUP. CLAS. PROF.]:[AGRUP. CLAS. PROF.]]=$B75,IF(DATOS_[[Check Periodo Ref.]:[Check Periodo Ref.]]="Dentro",DATOS_[Conc.Sal.22]))))), 0)</f>
        <v>0</v>
      </c>
      <c r="AB77" s="209" t="n">
        <f aca="false" t="array" ref="AB77:AB77">IFERROR( AVERAGE((IF(DATOS_[[Sexo]:[Sexo]]=$B77,IF(DATOS_[[AGRUP. CLAS. PROF.]:[AGRUP. CLAS. PROF.]]=$B75,IF(DATOS_[[Check Periodo Ref.]:[Check Periodo Ref.]]="Dentro",DATOS_[Conc.Sal.23]))))), 0)</f>
        <v>0</v>
      </c>
      <c r="AC77" s="209" t="n">
        <f aca="false" t="array" ref="AC77:AC77">IFERROR( AVERAGE((IF(DATOS_[[Sexo]:[Sexo]]=$B77,IF(DATOS_[[AGRUP. CLAS. PROF.]:[AGRUP. CLAS. PROF.]]=$B75,IF(DATOS_[[Check Periodo Ref.]:[Check Periodo Ref.]]="Dentro",DATOS_[Conc.Sal.24]))))), 0)</f>
        <v>0</v>
      </c>
      <c r="AD77" s="209" t="n">
        <f aca="false" t="array" ref="AD77:AD77">IFERROR( AVERAGE((IF(DATOS_[[Sexo]:[Sexo]]=$B77,IF(DATOS_[[AGRUP. CLAS. PROF.]:[AGRUP. CLAS. PROF.]]=$B75,IF(DATOS_[[Check Periodo Ref.]:[Check Periodo Ref.]]="Dentro",DATOS_[Conc.Sal.25]))))), 0)</f>
        <v>0</v>
      </c>
      <c r="AE77" s="209" t="n">
        <f aca="false" t="array" ref="AE77:AE77">IFERROR( AVERAGE((IF(DATOS_[[Sexo]:[Sexo]]=$B77,IF(DATOS_[[AGRUP. CLAS. PROF.]:[AGRUP. CLAS. PROF.]]=$B75,IF(DATOS_[[Check Periodo Ref.]:[Check Periodo Ref.]]="Dentro",DATOS_[Conc.Sal.26]))))), 0)</f>
        <v>0</v>
      </c>
      <c r="AF77" s="209" t="n">
        <f aca="false" t="array" ref="AF77:AF77">IFERROR( AVERAGE((IF(DATOS_[[Sexo]:[Sexo]]=$B77,IF(DATOS_[[AGRUP. CLAS. PROF.]:[AGRUP. CLAS. PROF.]]=$B75,IF(DATOS_[[Check Periodo Ref.]:[Check Periodo Ref.]]="Dentro",DATOS_[Conc.Sal.27]))))), 0)</f>
        <v>0</v>
      </c>
      <c r="AG77" s="209" t="n">
        <f aca="false" t="array" ref="AG77:AG77">IFERROR( AVERAGE((IF(DATOS_[[Sexo]:[Sexo]]=$B77,IF(DATOS_[[AGRUP. CLAS. PROF.]:[AGRUP. CLAS. PROF.]]=$B75,IF(DATOS_[[Check Periodo Ref.]:[Check Periodo Ref.]]="Dentro",DATOS_[Conc.Sal.28]))))), 0)</f>
        <v>0</v>
      </c>
      <c r="AH77" s="209" t="n">
        <f aca="false" t="array" ref="AH77:AH77">IFERROR( AVERAGE((IF(DATOS_[[Sexo]:[Sexo]]=$B77,IF(DATOS_[[AGRUP. CLAS. PROF.]:[AGRUP. CLAS. PROF.]]=$B75,IF(DATOS_[[Check Periodo Ref.]:[Check Periodo Ref.]]="Dentro",DATOS_[Conc.Sal.29]))))), 0)</f>
        <v>0</v>
      </c>
      <c r="AI77" s="209" t="n">
        <f aca="false" t="array" ref="AI77:AI77">IFERROR( AVERAGE((IF(DATOS_[[Sexo]:[Sexo]]=$B77,IF(DATOS_[[AGRUP. CLAS. PROF.]:[AGRUP. CLAS. PROF.]]=$B75,IF(DATOS_[[Check Periodo Ref.]:[Check Periodo Ref.]]="Dentro",DATOS_[Conc.Sal.30]))))), 0)</f>
        <v>0</v>
      </c>
      <c r="AJ77" s="210" t="n">
        <f aca="false" t="array" ref="AJ77:AJ77">IFERROR( AVERAGE(IF(DATOS_[Sexo]=$B77,IF(DATOS_[AGRUP. CLAS. PROF.]=$B75,IF(DATOS_[Check Periodo Ref.]="Dentro",DATOS_[Tot COMPL.SAL Ef],0)))), 0)</f>
        <v>0</v>
      </c>
      <c r="AK77" s="211" t="n">
        <f aca="false" t="array" ref="AK77:AK77">IFERROR( AVERAGE(IF(DATOS_[Sexo]=$B77,IF(DATOS_[AGRUP. CLAS. PROF.]=$B75,IF(DATOS_[Check Periodo Ref.]="Dentro",DATOS_[TOTAL SALARIO Ef],0)))), 0)</f>
        <v>0</v>
      </c>
      <c r="AL77" s="212" t="n">
        <f aca="false" t="array" ref="AL77:AL77">IFERROR( AVERAGE((IF(DATOS_[[Sexo]:[Sexo]]=$B77,IF(DATOS_[[AGRUP. CLAS. PROF.]:[AGRUP. CLAS. PROF.]]=$B75,IF(DATOS_[[Check Periodo Ref.]:[Check Periodo Ref.]]="Dentro",DATOS_[C.Extra.01]))))), 0)</f>
        <v>0</v>
      </c>
      <c r="AM77" s="212" t="n">
        <f aca="false" t="array" ref="AM77:AM77">IFERROR( AVERAGE((IF(DATOS_[[Sexo]:[Sexo]]=$B77,IF(DATOS_[[AGRUP. CLAS. PROF.]:[AGRUP. CLAS. PROF.]]=$B75,IF(DATOS_[[Check Periodo Ref.]:[Check Periodo Ref.]]="Dentro",DATOS_[C.Extra.02]))))), 0)</f>
        <v>0</v>
      </c>
      <c r="AN77" s="212" t="n">
        <f aca="false" t="array" ref="AN77:AN77">IFERROR( AVERAGE((IF(DATOS_[[Sexo]:[Sexo]]=$B77,IF(DATOS_[[AGRUP. CLAS. PROF.]:[AGRUP. CLAS. PROF.]]=$B75,IF(DATOS_[[Check Periodo Ref.]:[Check Periodo Ref.]]="Dentro",DATOS_[C.Extra.03]))))), 0)</f>
        <v>0</v>
      </c>
      <c r="AO77" s="212" t="n">
        <f aca="false" t="array" ref="AO77:AO77">IFERROR( AVERAGE((IF(DATOS_[[Sexo]:[Sexo]]=$B77,IF(DATOS_[[AGRUP. CLAS. PROF.]:[AGRUP. CLAS. PROF.]]=$B75,IF(DATOS_[[Check Periodo Ref.]:[Check Periodo Ref.]]="Dentro",DATOS_[C.Extra.04]))))), 0)</f>
        <v>0</v>
      </c>
      <c r="AP77" s="212" t="n">
        <f aca="false" t="array" ref="AP77:AP77">IFERROR( AVERAGE((IF(DATOS_[[Sexo]:[Sexo]]=$B77,IF(DATOS_[[AGRUP. CLAS. PROF.]:[AGRUP. CLAS. PROF.]]=$B75,IF(DATOS_[[Check Periodo Ref.]:[Check Periodo Ref.]]="Dentro",DATOS_[C.Extra.05]))))), 0)</f>
        <v>0</v>
      </c>
      <c r="AQ77" s="213" t="n">
        <f aca="false" t="array" ref="AQ77:AQ77">IFERROR( AVERAGE(IF(DATOS_[Sexo]=$B77,IF(DATOS_[AGRUP. CLAS. PROF.]=$B75,IF(DATOS_[Check Periodo Ref.]="Dentro",DATOS_[Tot Extrasalarial Ef],0)))), 0)</f>
        <v>0</v>
      </c>
      <c r="AR77" s="214" t="n">
        <f aca="false" t="array" ref="AR77:AR77">IFERROR( AVERAGE(IF(DATOS_[Sexo]=$B77,IF(DATOS_[AGRUP. CLAS. PROF.]=$B75,IF(DATOS_[Check Periodo Ref.]="Dentro",DATOS_[TOTAL Retrib Ef],0)))), 0)</f>
        <v>0</v>
      </c>
    </row>
    <row r="78" customFormat="false" ht="15.75" hidden="false" customHeight="false" outlineLevel="0" collapsed="false">
      <c r="A78" s="191" t="str">
        <f aca="false">+A79</f>
        <v>[ocultar]</v>
      </c>
      <c r="B78" s="192" t="s">
        <v>231</v>
      </c>
      <c r="C78" s="193"/>
      <c r="D78" s="194"/>
      <c r="E78" s="195" t="str">
        <f aca="false">IFERROR((E79-E80)/E79,"")</f>
        <v/>
      </c>
      <c r="F78" s="196" t="str">
        <f aca="false">IFERROR((F79-F80)/F79,"")</f>
        <v/>
      </c>
      <c r="G78" s="197" t="str">
        <f aca="false">IFERROR((G79-G80)/G79,"")</f>
        <v/>
      </c>
      <c r="H78" s="197" t="str">
        <f aca="false">IFERROR((H79-H80)/H79,"")</f>
        <v/>
      </c>
      <c r="I78" s="197" t="str">
        <f aca="false">IFERROR((I79-I80)/I79,"")</f>
        <v/>
      </c>
      <c r="J78" s="198" t="str">
        <f aca="false">IFERROR((J79-J80)/J79,"")</f>
        <v/>
      </c>
      <c r="K78" s="199" t="str">
        <f aca="false">IFERROR((K79-K80)/K79,"")</f>
        <v/>
      </c>
      <c r="L78" s="199" t="str">
        <f aca="false">IFERROR((L79-L80)/L79,"")</f>
        <v/>
      </c>
      <c r="M78" s="199" t="str">
        <f aca="false">IFERROR((M79-M80)/M79,"")</f>
        <v/>
      </c>
      <c r="N78" s="199" t="str">
        <f aca="false">IFERROR((N79-N80)/N79,"")</f>
        <v/>
      </c>
      <c r="O78" s="199" t="str">
        <f aca="false">IFERROR((O79-O80)/O79,"")</f>
        <v/>
      </c>
      <c r="P78" s="199" t="str">
        <f aca="false">IFERROR((P79-P80)/P79,"")</f>
        <v/>
      </c>
      <c r="Q78" s="199" t="str">
        <f aca="false">IFERROR((Q79-Q80)/Q79,"")</f>
        <v/>
      </c>
      <c r="R78" s="199" t="str">
        <f aca="false">IFERROR((R79-R80)/R79,"")</f>
        <v/>
      </c>
      <c r="S78" s="199" t="str">
        <f aca="false">IFERROR((S79-S80)/S79,"")</f>
        <v/>
      </c>
      <c r="T78" s="199" t="str">
        <f aca="false">IFERROR((T79-T80)/T79,"")</f>
        <v/>
      </c>
      <c r="U78" s="199" t="str">
        <f aca="false">IFERROR((U79-U80)/U79,"")</f>
        <v/>
      </c>
      <c r="V78" s="198" t="str">
        <f aca="false">IFERROR((V79-V80)/V79,"")</f>
        <v/>
      </c>
      <c r="W78" s="198" t="str">
        <f aca="false">IFERROR((W79-W80)/W79,"")</f>
        <v/>
      </c>
      <c r="X78" s="198" t="str">
        <f aca="false">IFERROR((X79-X80)/X79,"")</f>
        <v/>
      </c>
      <c r="Y78" s="198" t="str">
        <f aca="false">IFERROR((Y79-Y80)/Y79,"")</f>
        <v/>
      </c>
      <c r="Z78" s="198" t="str">
        <f aca="false">IFERROR((Z79-Z80)/Z79,"")</f>
        <v/>
      </c>
      <c r="AA78" s="198" t="str">
        <f aca="false">IFERROR((AA79-AA80)/AA79,"")</f>
        <v/>
      </c>
      <c r="AB78" s="198" t="str">
        <f aca="false">IFERROR((AB79-AB80)/AB79,"")</f>
        <v/>
      </c>
      <c r="AC78" s="198" t="str">
        <f aca="false">IFERROR((AC79-AC80)/AC79,"")</f>
        <v/>
      </c>
      <c r="AD78" s="198" t="str">
        <f aca="false">IFERROR((AD79-AD80)/AD79,"")</f>
        <v/>
      </c>
      <c r="AE78" s="198" t="str">
        <f aca="false">IFERROR((AE79-AE80)/AE79,"")</f>
        <v/>
      </c>
      <c r="AF78" s="198" t="str">
        <f aca="false">IFERROR((AF79-AF80)/AF79,"")</f>
        <v/>
      </c>
      <c r="AG78" s="198" t="str">
        <f aca="false">IFERROR((AG79-AG80)/AG79,"")</f>
        <v/>
      </c>
      <c r="AH78" s="198" t="str">
        <f aca="false">IFERROR((AH79-AH80)/AH79,"")</f>
        <v/>
      </c>
      <c r="AI78" s="198" t="str">
        <f aca="false">IFERROR((AI79-AI80)/AI79,"")</f>
        <v/>
      </c>
      <c r="AJ78" s="200" t="str">
        <f aca="false">IFERROR((AJ79-AJ80)/AJ79,"")</f>
        <v/>
      </c>
      <c r="AK78" s="201" t="str">
        <f aca="false">IFERROR((AK79-AK80)/AK79,"")</f>
        <v/>
      </c>
      <c r="AL78" s="202" t="str">
        <f aca="false">IFERROR((AL79-AL80)/AL79,"")</f>
        <v/>
      </c>
      <c r="AM78" s="202" t="str">
        <f aca="false">IFERROR((AM79-AM80)/AM79,"")</f>
        <v/>
      </c>
      <c r="AN78" s="202" t="str">
        <f aca="false">IFERROR((AN79-AN80)/AN79,"")</f>
        <v/>
      </c>
      <c r="AO78" s="202" t="str">
        <f aca="false">IFERROR((AO79-AO80)/AO79,"")</f>
        <v/>
      </c>
      <c r="AP78" s="202" t="str">
        <f aca="false">IFERROR((AP79-AP80)/AP79,"")</f>
        <v/>
      </c>
      <c r="AQ78" s="203" t="str">
        <f aca="false">IFERROR((AQ79-AQ80)/AQ79,"")</f>
        <v/>
      </c>
      <c r="AR78" s="204" t="str">
        <f aca="false">IFERROR((AR79-AR80)/AR79,"")</f>
        <v/>
      </c>
    </row>
    <row r="79" customFormat="false" ht="14.25" hidden="false" customHeight="false" outlineLevel="0" collapsed="false">
      <c r="A79" s="191" t="str">
        <f aca="false">+IF(C79+C80=0,"[ocultar]","")</f>
        <v>[ocultar]</v>
      </c>
      <c r="B79" s="205" t="s">
        <v>371</v>
      </c>
      <c r="C79" s="206" t="n">
        <f aca="false" t="array" ref="C79:C79">SUM(IF($B79=DATOS_[Sexo], IF($B78=DATOS_[AGRUP. CLAS. PROF.], IF("Dentro"=DATOS_[Check Periodo Ref.], 1/(COUNTIFS(DATOS_[Sexo],$B79,DATOS_[AGRUP. CLAS. PROF.],$B78,DATOS_[Check Periodo Ref.],"Dentro",DATOS_[id],DATOS_[id]))))))</f>
        <v>0</v>
      </c>
      <c r="D79" s="207" t="n">
        <f aca="false">COUNTIFS(DATOS_[AGRUP. CLAS. PROF.],$B78,DATOS_[Sexo],$B79,DATOS_[Check Periodo Ref.],"Dentro")</f>
        <v>0</v>
      </c>
      <c r="E79" s="208" t="n">
        <f aca="false" t="array" ref="E79:E79">IFERROR( AVERAGE(IF(DATOS_[Sexo]=$B79,IF(DATOS_[AGRUP. CLAS. PROF.]=$B78,IF(DATOS_[Check Periodo Ref.]="Dentro",DATOS_[SALARIO BASE Ef],0)))), 0)</f>
        <v>0</v>
      </c>
      <c r="F79" s="209" t="n">
        <f aca="false" t="array" ref="F79:F79">IFERROR( AVERAGE((IF(DATOS_[[Sexo]:[Sexo]]=$B79,IF(DATOS_[[AGRUP. CLAS. PROF.]:[AGRUP. CLAS. PROF.]]=$B78,IF(DATOS_[[Check Periodo Ref.]:[Check Periodo Ref.]]="Dentro",DATOS_[Conc.Sal.01]))))), 0)</f>
        <v>0</v>
      </c>
      <c r="G79" s="209" t="n">
        <f aca="false" t="array" ref="G79:G79">IFERROR( AVERAGE((IF(DATOS_[[Sexo]:[Sexo]]=$B79,IF(DATOS_[[AGRUP. CLAS. PROF.]:[AGRUP. CLAS. PROF.]]=$B78,IF(DATOS_[[Check Periodo Ref.]:[Check Periodo Ref.]]="Dentro",DATOS_[Conc.Sal.02]))))), 0)</f>
        <v>0</v>
      </c>
      <c r="H79" s="209" t="n">
        <f aca="false" t="array" ref="H79:H79">IFERROR( AVERAGE((IF(DATOS_[[Sexo]:[Sexo]]=$B79,IF(DATOS_[[AGRUP. CLAS. PROF.]:[AGRUP. CLAS. PROF.]]=$B78,IF(DATOS_[[Check Periodo Ref.]:[Check Periodo Ref.]]="Dentro",DATOS_[Conc.Sal.03]))))), 0)</f>
        <v>0</v>
      </c>
      <c r="I79" s="209" t="n">
        <f aca="false" t="array" ref="I79:I79">IFERROR( AVERAGE((IF(DATOS_[[Sexo]:[Sexo]]=$B79,IF(DATOS_[[AGRUP. CLAS. PROF.]:[AGRUP. CLAS. PROF.]]=$B78,IF(DATOS_[[Check Periodo Ref.]:[Check Periodo Ref.]]="Dentro",DATOS_[Conc.Sal.04]))))), 0)</f>
        <v>0</v>
      </c>
      <c r="J79" s="209" t="n">
        <f aca="false" t="array" ref="J79:J79">IFERROR( AVERAGE((IF(DATOS_[[Sexo]:[Sexo]]=$B79,IF(DATOS_[[AGRUP. CLAS. PROF.]:[AGRUP. CLAS. PROF.]]=$B78,IF(DATOS_[[Check Periodo Ref.]:[Check Periodo Ref.]]="Dentro",DATOS_[Conc.Sal.05]))))), 0)</f>
        <v>0</v>
      </c>
      <c r="K79" s="209" t="n">
        <f aca="false" t="array" ref="K79:K79">IFERROR( AVERAGE((IF(DATOS_[[Sexo]:[Sexo]]=$B79,IF(DATOS_[[AGRUP. CLAS. PROF.]:[AGRUP. CLAS. PROF.]]=$B78,IF(DATOS_[[Check Periodo Ref.]:[Check Periodo Ref.]]="Dentro",DATOS_[Conc.Sal.06]))))), 0)</f>
        <v>0</v>
      </c>
      <c r="L79" s="209" t="n">
        <f aca="false" t="array" ref="L79:L79">IFERROR( AVERAGE((IF(DATOS_[[Sexo]:[Sexo]]=$B79,IF(DATOS_[[AGRUP. CLAS. PROF.]:[AGRUP. CLAS. PROF.]]=$B78,IF(DATOS_[[Check Periodo Ref.]:[Check Periodo Ref.]]="Dentro",DATOS_[Conc.Sal.07]))))), 0)</f>
        <v>0</v>
      </c>
      <c r="M79" s="209" t="n">
        <f aca="false" t="array" ref="M79:M79">IFERROR( AVERAGE((IF(DATOS_[[Sexo]:[Sexo]]=$B79,IF(DATOS_[[AGRUP. CLAS. PROF.]:[AGRUP. CLAS. PROF.]]=$B78,IF(DATOS_[[Check Periodo Ref.]:[Check Periodo Ref.]]="Dentro",DATOS_[Conc.Sal.08]))))), 0)</f>
        <v>0</v>
      </c>
      <c r="N79" s="209" t="n">
        <f aca="false" t="array" ref="N79:N79">IFERROR( AVERAGE((IF(DATOS_[[Sexo]:[Sexo]]=$B79,IF(DATOS_[[AGRUP. CLAS. PROF.]:[AGRUP. CLAS. PROF.]]=$B78,IF(DATOS_[[Check Periodo Ref.]:[Check Periodo Ref.]]="Dentro",DATOS_[Conc.Sal.09]))))), 0)</f>
        <v>0</v>
      </c>
      <c r="O79" s="209" t="n">
        <f aca="false" t="array" ref="O79:O79">IFERROR( AVERAGE((IF(DATOS_[[Sexo]:[Sexo]]=$B79,IF(DATOS_[[AGRUP. CLAS. PROF.]:[AGRUP. CLAS. PROF.]]=$B78,IF(DATOS_[[Check Periodo Ref.]:[Check Periodo Ref.]]="Dentro",DATOS_[Conc.Sal.10]))))), 0)</f>
        <v>0</v>
      </c>
      <c r="P79" s="209" t="n">
        <f aca="false" t="array" ref="P79:P79">IFERROR( AVERAGE((IF(DATOS_[[Sexo]:[Sexo]]=$B79,IF(DATOS_[[AGRUP. CLAS. PROF.]:[AGRUP. CLAS. PROF.]]=$B78,IF(DATOS_[[Check Periodo Ref.]:[Check Periodo Ref.]]="Dentro",DATOS_[Conc.Sal.11]))))), 0)</f>
        <v>0</v>
      </c>
      <c r="Q79" s="209" t="n">
        <f aca="false" t="array" ref="Q79:Q79">IFERROR( AVERAGE((IF(DATOS_[[Sexo]:[Sexo]]=$B79,IF(DATOS_[[AGRUP. CLAS. PROF.]:[AGRUP. CLAS. PROF.]]=$B78,IF(DATOS_[[Check Periodo Ref.]:[Check Periodo Ref.]]="Dentro",DATOS_[Conc.Sal.12]))))), 0)</f>
        <v>0</v>
      </c>
      <c r="R79" s="209" t="n">
        <f aca="false" t="array" ref="R79:R79">IFERROR( AVERAGE((IF(DATOS_[[Sexo]:[Sexo]]=$B79,IF(DATOS_[[AGRUP. CLAS. PROF.]:[AGRUP. CLAS. PROF.]]=$B78,IF(DATOS_[[Check Periodo Ref.]:[Check Periodo Ref.]]="Dentro",DATOS_[Conc.Sal.13]))))), 0)</f>
        <v>0</v>
      </c>
      <c r="S79" s="209" t="n">
        <f aca="false" t="array" ref="S79:S79">IFERROR( AVERAGE((IF(DATOS_[[Sexo]:[Sexo]]=$B79,IF(DATOS_[[AGRUP. CLAS. PROF.]:[AGRUP. CLAS. PROF.]]=$B78,IF(DATOS_[[Check Periodo Ref.]:[Check Periodo Ref.]]="Dentro",DATOS_[Conc.Sal.14]))))), 0)</f>
        <v>0</v>
      </c>
      <c r="T79" s="209" t="n">
        <f aca="false" t="array" ref="T79:T79">IFERROR( AVERAGE((IF(DATOS_[[Sexo]:[Sexo]]=$B79,IF(DATOS_[[AGRUP. CLAS. PROF.]:[AGRUP. CLAS. PROF.]]=$B78,IF(DATOS_[[Check Periodo Ref.]:[Check Periodo Ref.]]="Dentro",DATOS_[Conc.Sal.15]))))), 0)</f>
        <v>0</v>
      </c>
      <c r="U79" s="209" t="n">
        <f aca="false" t="array" ref="U79:U79">IFERROR( AVERAGE((IF(DATOS_[[Sexo]:[Sexo]]=$B79,IF(DATOS_[[AGRUP. CLAS. PROF.]:[AGRUP. CLAS. PROF.]]=$B78,IF(DATOS_[[Check Periodo Ref.]:[Check Periodo Ref.]]="Dentro",DATOS_[Conc.Sal.16]))))), 0)</f>
        <v>0</v>
      </c>
      <c r="V79" s="209" t="n">
        <f aca="false" t="array" ref="V79:V79">IFERROR( AVERAGE((IF(DATOS_[[Sexo]:[Sexo]]=$B79,IF(DATOS_[[AGRUP. CLAS. PROF.]:[AGRUP. CLAS. PROF.]]=$B78,IF(DATOS_[[Check Periodo Ref.]:[Check Periodo Ref.]]="Dentro",DATOS_[Conc.Sal.17]))))), 0)</f>
        <v>0</v>
      </c>
      <c r="W79" s="209" t="n">
        <f aca="false" t="array" ref="W79:W79">IFERROR( AVERAGE((IF(DATOS_[[Sexo]:[Sexo]]=$B79,IF(DATOS_[[AGRUP. CLAS. PROF.]:[AGRUP. CLAS. PROF.]]=$B78,IF(DATOS_[[Check Periodo Ref.]:[Check Periodo Ref.]]="Dentro",DATOS_[Conc.Sal.18]))))), 0)</f>
        <v>0</v>
      </c>
      <c r="X79" s="209" t="n">
        <f aca="false" t="array" ref="X79:X79">IFERROR( AVERAGE((IF(DATOS_[[Sexo]:[Sexo]]=$B79,IF(DATOS_[[AGRUP. CLAS. PROF.]:[AGRUP. CLAS. PROF.]]=$B78,IF(DATOS_[[Check Periodo Ref.]:[Check Periodo Ref.]]="Dentro",DATOS_[Conc.Sal.19]))))), 0)</f>
        <v>0</v>
      </c>
      <c r="Y79" s="209" t="n">
        <f aca="false" t="array" ref="Y79:Y79">IFERROR( AVERAGE((IF(DATOS_[[Sexo]:[Sexo]]=$B79,IF(DATOS_[[AGRUP. CLAS. PROF.]:[AGRUP. CLAS. PROF.]]=$B78,IF(DATOS_[[Check Periodo Ref.]:[Check Periodo Ref.]]="Dentro",DATOS_[Conc.Sal.20]))))), 0)</f>
        <v>0</v>
      </c>
      <c r="Z79" s="209" t="n">
        <f aca="false" t="array" ref="Z79:Z79">IFERROR( AVERAGE((IF(DATOS_[[Sexo]:[Sexo]]=$B79,IF(DATOS_[[AGRUP. CLAS. PROF.]:[AGRUP. CLAS. PROF.]]=$B78,IF(DATOS_[[Check Periodo Ref.]:[Check Periodo Ref.]]="Dentro",DATOS_[Conc.Sal.21]))))), 0)</f>
        <v>0</v>
      </c>
      <c r="AA79" s="209" t="n">
        <f aca="false" t="array" ref="AA79:AA79">IFERROR( AVERAGE((IF(DATOS_[[Sexo]:[Sexo]]=$B79,IF(DATOS_[[AGRUP. CLAS. PROF.]:[AGRUP. CLAS. PROF.]]=$B78,IF(DATOS_[[Check Periodo Ref.]:[Check Periodo Ref.]]="Dentro",DATOS_[Conc.Sal.22]))))), 0)</f>
        <v>0</v>
      </c>
      <c r="AB79" s="209" t="n">
        <f aca="false" t="array" ref="AB79:AB79">IFERROR( AVERAGE((IF(DATOS_[[Sexo]:[Sexo]]=$B79,IF(DATOS_[[AGRUP. CLAS. PROF.]:[AGRUP. CLAS. PROF.]]=$B78,IF(DATOS_[[Check Periodo Ref.]:[Check Periodo Ref.]]="Dentro",DATOS_[Conc.Sal.23]))))), 0)</f>
        <v>0</v>
      </c>
      <c r="AC79" s="209" t="n">
        <f aca="false" t="array" ref="AC79:AC79">IFERROR( AVERAGE((IF(DATOS_[[Sexo]:[Sexo]]=$B79,IF(DATOS_[[AGRUP. CLAS. PROF.]:[AGRUP. CLAS. PROF.]]=$B78,IF(DATOS_[[Check Periodo Ref.]:[Check Periodo Ref.]]="Dentro",DATOS_[Conc.Sal.24]))))), 0)</f>
        <v>0</v>
      </c>
      <c r="AD79" s="209" t="n">
        <f aca="false" t="array" ref="AD79:AD79">IFERROR( AVERAGE((IF(DATOS_[[Sexo]:[Sexo]]=$B79,IF(DATOS_[[AGRUP. CLAS. PROF.]:[AGRUP. CLAS. PROF.]]=$B78,IF(DATOS_[[Check Periodo Ref.]:[Check Periodo Ref.]]="Dentro",DATOS_[Conc.Sal.25]))))), 0)</f>
        <v>0</v>
      </c>
      <c r="AE79" s="209" t="n">
        <f aca="false" t="array" ref="AE79:AE79">IFERROR( AVERAGE((IF(DATOS_[[Sexo]:[Sexo]]=$B79,IF(DATOS_[[AGRUP. CLAS. PROF.]:[AGRUP. CLAS. PROF.]]=$B78,IF(DATOS_[[Check Periodo Ref.]:[Check Periodo Ref.]]="Dentro",DATOS_[Conc.Sal.26]))))), 0)</f>
        <v>0</v>
      </c>
      <c r="AF79" s="209" t="n">
        <f aca="false" t="array" ref="AF79:AF79">IFERROR( AVERAGE((IF(DATOS_[[Sexo]:[Sexo]]=$B79,IF(DATOS_[[AGRUP. CLAS. PROF.]:[AGRUP. CLAS. PROF.]]=$B78,IF(DATOS_[[Check Periodo Ref.]:[Check Periodo Ref.]]="Dentro",DATOS_[Conc.Sal.27]))))), 0)</f>
        <v>0</v>
      </c>
      <c r="AG79" s="209" t="n">
        <f aca="false" t="array" ref="AG79:AG79">IFERROR( AVERAGE((IF(DATOS_[[Sexo]:[Sexo]]=$B79,IF(DATOS_[[AGRUP. CLAS. PROF.]:[AGRUP. CLAS. PROF.]]=$B78,IF(DATOS_[[Check Periodo Ref.]:[Check Periodo Ref.]]="Dentro",DATOS_[Conc.Sal.28]))))), 0)</f>
        <v>0</v>
      </c>
      <c r="AH79" s="209" t="n">
        <f aca="false" t="array" ref="AH79:AH79">IFERROR( AVERAGE((IF(DATOS_[[Sexo]:[Sexo]]=$B79,IF(DATOS_[[AGRUP. CLAS. PROF.]:[AGRUP. CLAS. PROF.]]=$B78,IF(DATOS_[[Check Periodo Ref.]:[Check Periodo Ref.]]="Dentro",DATOS_[Conc.Sal.29]))))), 0)</f>
        <v>0</v>
      </c>
      <c r="AI79" s="209" t="n">
        <f aca="false" t="array" ref="AI79:AI79">IFERROR( AVERAGE((IF(DATOS_[[Sexo]:[Sexo]]=$B79,IF(DATOS_[[AGRUP. CLAS. PROF.]:[AGRUP. CLAS. PROF.]]=$B78,IF(DATOS_[[Check Periodo Ref.]:[Check Periodo Ref.]]="Dentro",DATOS_[Conc.Sal.30]))))), 0)</f>
        <v>0</v>
      </c>
      <c r="AJ79" s="210" t="n">
        <f aca="false" t="array" ref="AJ79:AJ79">IFERROR( AVERAGE(IF(DATOS_[Sexo]=$B79,IF(DATOS_[AGRUP. CLAS. PROF.]=$B78,IF(DATOS_[Check Periodo Ref.]="Dentro",DATOS_[Tot COMPL.SAL Ef],0)))), 0)</f>
        <v>0</v>
      </c>
      <c r="AK79" s="211" t="n">
        <f aca="false" t="array" ref="AK79:AK79">IFERROR( AVERAGE(IF(DATOS_[Sexo]=$B79,IF(DATOS_[AGRUP. CLAS. PROF.]=$B78,IF(DATOS_[Check Periodo Ref.]="Dentro",DATOS_[TOTAL SALARIO Ef],0)))), 0)</f>
        <v>0</v>
      </c>
      <c r="AL79" s="212" t="n">
        <f aca="false" t="array" ref="AL79:AL79">IFERROR( AVERAGE((IF(DATOS_[[Sexo]:[Sexo]]=$B79,IF(DATOS_[[AGRUP. CLAS. PROF.]:[AGRUP. CLAS. PROF.]]=$B78,IF(DATOS_[[Check Periodo Ref.]:[Check Periodo Ref.]]="Dentro",DATOS_[C.Extra.01]))))), 0)</f>
        <v>0</v>
      </c>
      <c r="AM79" s="212" t="n">
        <f aca="false" t="array" ref="AM79:AM79">IFERROR( AVERAGE((IF(DATOS_[[Sexo]:[Sexo]]=$B79,IF(DATOS_[[AGRUP. CLAS. PROF.]:[AGRUP. CLAS. PROF.]]=$B78,IF(DATOS_[[Check Periodo Ref.]:[Check Periodo Ref.]]="Dentro",DATOS_[C.Extra.02]))))), 0)</f>
        <v>0</v>
      </c>
      <c r="AN79" s="212" t="n">
        <f aca="false" t="array" ref="AN79:AN79">IFERROR( AVERAGE((IF(DATOS_[[Sexo]:[Sexo]]=$B79,IF(DATOS_[[AGRUP. CLAS. PROF.]:[AGRUP. CLAS. PROF.]]=$B78,IF(DATOS_[[Check Periodo Ref.]:[Check Periodo Ref.]]="Dentro",DATOS_[C.Extra.03]))))), 0)</f>
        <v>0</v>
      </c>
      <c r="AO79" s="212" t="n">
        <f aca="false" t="array" ref="AO79:AO79">IFERROR( AVERAGE((IF(DATOS_[[Sexo]:[Sexo]]=$B79,IF(DATOS_[[AGRUP. CLAS. PROF.]:[AGRUP. CLAS. PROF.]]=$B78,IF(DATOS_[[Check Periodo Ref.]:[Check Periodo Ref.]]="Dentro",DATOS_[C.Extra.04]))))), 0)</f>
        <v>0</v>
      </c>
      <c r="AP79" s="212" t="n">
        <f aca="false" t="array" ref="AP79:AP79">IFERROR( AVERAGE((IF(DATOS_[[Sexo]:[Sexo]]=$B79,IF(DATOS_[[AGRUP. CLAS. PROF.]:[AGRUP. CLAS. PROF.]]=$B78,IF(DATOS_[[Check Periodo Ref.]:[Check Periodo Ref.]]="Dentro",DATOS_[C.Extra.05]))))), 0)</f>
        <v>0</v>
      </c>
      <c r="AQ79" s="213" t="n">
        <f aca="false" t="array" ref="AQ79:AQ79">IFERROR( AVERAGE(IF(DATOS_[Sexo]=$B79,IF(DATOS_[AGRUP. CLAS. PROF.]=$B78,IF(DATOS_[Check Periodo Ref.]="Dentro",DATOS_[Tot Extrasalarial Ef],0)))), 0)</f>
        <v>0</v>
      </c>
      <c r="AR79" s="214" t="n">
        <f aca="false" t="array" ref="AR79:AR79">IFERROR( AVERAGE(IF(DATOS_[Sexo]=$B79,IF(DATOS_[AGRUP. CLAS. PROF.]=$B78,IF(DATOS_[Check Periodo Ref.]="Dentro",DATOS_[TOTAL Retrib Ef],0)))), 0)</f>
        <v>0</v>
      </c>
    </row>
    <row r="80" customFormat="false" ht="14.25" hidden="false" customHeight="false" outlineLevel="0" collapsed="false">
      <c r="A80" s="191" t="str">
        <f aca="false">+A79</f>
        <v>[ocultar]</v>
      </c>
      <c r="B80" s="205" t="s">
        <v>372</v>
      </c>
      <c r="C80" s="206" t="n">
        <f aca="false" t="array" ref="C80:C80">SUM(IF($B80=DATOS_[Sexo], IF($B78=DATOS_[AGRUP. CLAS. PROF.], IF("Dentro"=DATOS_[Check Periodo Ref.], 1/(COUNTIFS(DATOS_[Sexo],$B80,DATOS_[AGRUP. CLAS. PROF.],$B78,DATOS_[Check Periodo Ref.],"Dentro",DATOS_[id],DATOS_[id]))))))</f>
        <v>0</v>
      </c>
      <c r="D80" s="207" t="n">
        <f aca="false">COUNTIFS(DATOS_[AGRUP. CLAS. PROF.],$B78,DATOS_[Sexo],$B80,DATOS_[Check Periodo Ref.],"Dentro")</f>
        <v>0</v>
      </c>
      <c r="E80" s="208" t="n">
        <f aca="false" t="array" ref="E80:E80">IFERROR( AVERAGE(IF(DATOS_[Sexo]=$B80,IF(DATOS_[AGRUP. CLAS. PROF.]=$B78,IF(DATOS_[Check Periodo Ref.]="Dentro",DATOS_[SALARIO BASE Ef],0)))), 0)</f>
        <v>0</v>
      </c>
      <c r="F80" s="209" t="n">
        <f aca="false" t="array" ref="F80:F80">IFERROR( AVERAGE((IF(DATOS_[[Sexo]:[Sexo]]=$B80,IF(DATOS_[[AGRUP. CLAS. PROF.]:[AGRUP. CLAS. PROF.]]=$B78,IF(DATOS_[[Check Periodo Ref.]:[Check Periodo Ref.]]="Dentro",DATOS_[Conc.Sal.01]))))), 0)</f>
        <v>0</v>
      </c>
      <c r="G80" s="209" t="n">
        <f aca="false" t="array" ref="G80:G80">IFERROR( AVERAGE((IF(DATOS_[[Sexo]:[Sexo]]=$B80,IF(DATOS_[[AGRUP. CLAS. PROF.]:[AGRUP. CLAS. PROF.]]=$B78,IF(DATOS_[[Check Periodo Ref.]:[Check Periodo Ref.]]="Dentro",DATOS_[Conc.Sal.02]))))), 0)</f>
        <v>0</v>
      </c>
      <c r="H80" s="209" t="n">
        <f aca="false" t="array" ref="H80:H80">IFERROR( AVERAGE((IF(DATOS_[[Sexo]:[Sexo]]=$B80,IF(DATOS_[[AGRUP. CLAS. PROF.]:[AGRUP. CLAS. PROF.]]=$B78,IF(DATOS_[[Check Periodo Ref.]:[Check Periodo Ref.]]="Dentro",DATOS_[Conc.Sal.03]))))), 0)</f>
        <v>0</v>
      </c>
      <c r="I80" s="209" t="n">
        <f aca="false" t="array" ref="I80:I80">IFERROR( AVERAGE((IF(DATOS_[[Sexo]:[Sexo]]=$B80,IF(DATOS_[[AGRUP. CLAS. PROF.]:[AGRUP. CLAS. PROF.]]=$B78,IF(DATOS_[[Check Periodo Ref.]:[Check Periodo Ref.]]="Dentro",DATOS_[Conc.Sal.04]))))), 0)</f>
        <v>0</v>
      </c>
      <c r="J80" s="209" t="n">
        <f aca="false" t="array" ref="J80:J80">IFERROR( AVERAGE((IF(DATOS_[[Sexo]:[Sexo]]=$B80,IF(DATOS_[[AGRUP. CLAS. PROF.]:[AGRUP. CLAS. PROF.]]=$B78,IF(DATOS_[[Check Periodo Ref.]:[Check Periodo Ref.]]="Dentro",DATOS_[Conc.Sal.05]))))), 0)</f>
        <v>0</v>
      </c>
      <c r="K80" s="209" t="n">
        <f aca="false" t="array" ref="K80:K80">IFERROR( AVERAGE((IF(DATOS_[[Sexo]:[Sexo]]=$B80,IF(DATOS_[[AGRUP. CLAS. PROF.]:[AGRUP. CLAS. PROF.]]=$B78,IF(DATOS_[[Check Periodo Ref.]:[Check Periodo Ref.]]="Dentro",DATOS_[Conc.Sal.06]))))), 0)</f>
        <v>0</v>
      </c>
      <c r="L80" s="209" t="n">
        <f aca="false" t="array" ref="L80:L80">IFERROR( AVERAGE((IF(DATOS_[[Sexo]:[Sexo]]=$B80,IF(DATOS_[[AGRUP. CLAS. PROF.]:[AGRUP. CLAS. PROF.]]=$B78,IF(DATOS_[[Check Periodo Ref.]:[Check Periodo Ref.]]="Dentro",DATOS_[Conc.Sal.07]))))), 0)</f>
        <v>0</v>
      </c>
      <c r="M80" s="209" t="n">
        <f aca="false" t="array" ref="M80:M80">IFERROR( AVERAGE((IF(DATOS_[[Sexo]:[Sexo]]=$B80,IF(DATOS_[[AGRUP. CLAS. PROF.]:[AGRUP. CLAS. PROF.]]=$B78,IF(DATOS_[[Check Periodo Ref.]:[Check Periodo Ref.]]="Dentro",DATOS_[Conc.Sal.08]))))), 0)</f>
        <v>0</v>
      </c>
      <c r="N80" s="209" t="n">
        <f aca="false" t="array" ref="N80:N80">IFERROR( AVERAGE((IF(DATOS_[[Sexo]:[Sexo]]=$B80,IF(DATOS_[[AGRUP. CLAS. PROF.]:[AGRUP. CLAS. PROF.]]=$B78,IF(DATOS_[[Check Periodo Ref.]:[Check Periodo Ref.]]="Dentro",DATOS_[Conc.Sal.09]))))), 0)</f>
        <v>0</v>
      </c>
      <c r="O80" s="209" t="n">
        <f aca="false" t="array" ref="O80:O80">IFERROR( AVERAGE((IF(DATOS_[[Sexo]:[Sexo]]=$B80,IF(DATOS_[[AGRUP. CLAS. PROF.]:[AGRUP. CLAS. PROF.]]=$B78,IF(DATOS_[[Check Periodo Ref.]:[Check Periodo Ref.]]="Dentro",DATOS_[Conc.Sal.10]))))), 0)</f>
        <v>0</v>
      </c>
      <c r="P80" s="209" t="n">
        <f aca="false" t="array" ref="P80:P80">IFERROR( AVERAGE((IF(DATOS_[[Sexo]:[Sexo]]=$B80,IF(DATOS_[[AGRUP. CLAS. PROF.]:[AGRUP. CLAS. PROF.]]=$B78,IF(DATOS_[[Check Periodo Ref.]:[Check Periodo Ref.]]="Dentro",DATOS_[Conc.Sal.11]))))), 0)</f>
        <v>0</v>
      </c>
      <c r="Q80" s="209" t="n">
        <f aca="false" t="array" ref="Q80:Q80">IFERROR( AVERAGE((IF(DATOS_[[Sexo]:[Sexo]]=$B80,IF(DATOS_[[AGRUP. CLAS. PROF.]:[AGRUP. CLAS. PROF.]]=$B78,IF(DATOS_[[Check Periodo Ref.]:[Check Periodo Ref.]]="Dentro",DATOS_[Conc.Sal.12]))))), 0)</f>
        <v>0</v>
      </c>
      <c r="R80" s="209" t="n">
        <f aca="false" t="array" ref="R80:R80">IFERROR( AVERAGE((IF(DATOS_[[Sexo]:[Sexo]]=$B80,IF(DATOS_[[AGRUP. CLAS. PROF.]:[AGRUP. CLAS. PROF.]]=$B78,IF(DATOS_[[Check Periodo Ref.]:[Check Periodo Ref.]]="Dentro",DATOS_[Conc.Sal.13]))))), 0)</f>
        <v>0</v>
      </c>
      <c r="S80" s="209" t="n">
        <f aca="false" t="array" ref="S80:S80">IFERROR( AVERAGE((IF(DATOS_[[Sexo]:[Sexo]]=$B80,IF(DATOS_[[AGRUP. CLAS. PROF.]:[AGRUP. CLAS. PROF.]]=$B78,IF(DATOS_[[Check Periodo Ref.]:[Check Periodo Ref.]]="Dentro",DATOS_[Conc.Sal.14]))))), 0)</f>
        <v>0</v>
      </c>
      <c r="T80" s="209" t="n">
        <f aca="false" t="array" ref="T80:T80">IFERROR( AVERAGE((IF(DATOS_[[Sexo]:[Sexo]]=$B80,IF(DATOS_[[AGRUP. CLAS. PROF.]:[AGRUP. CLAS. PROF.]]=$B78,IF(DATOS_[[Check Periodo Ref.]:[Check Periodo Ref.]]="Dentro",DATOS_[Conc.Sal.15]))))), 0)</f>
        <v>0</v>
      </c>
      <c r="U80" s="209" t="n">
        <f aca="false" t="array" ref="U80:U80">IFERROR( AVERAGE((IF(DATOS_[[Sexo]:[Sexo]]=$B80,IF(DATOS_[[AGRUP. CLAS. PROF.]:[AGRUP. CLAS. PROF.]]=$B78,IF(DATOS_[[Check Periodo Ref.]:[Check Periodo Ref.]]="Dentro",DATOS_[Conc.Sal.16]))))), 0)</f>
        <v>0</v>
      </c>
      <c r="V80" s="209" t="n">
        <f aca="false" t="array" ref="V80:V80">IFERROR( AVERAGE((IF(DATOS_[[Sexo]:[Sexo]]=$B80,IF(DATOS_[[AGRUP. CLAS. PROF.]:[AGRUP. CLAS. PROF.]]=$B78,IF(DATOS_[[Check Periodo Ref.]:[Check Periodo Ref.]]="Dentro",DATOS_[Conc.Sal.17]))))), 0)</f>
        <v>0</v>
      </c>
      <c r="W80" s="209" t="n">
        <f aca="false" t="array" ref="W80:W80">IFERROR( AVERAGE((IF(DATOS_[[Sexo]:[Sexo]]=$B80,IF(DATOS_[[AGRUP. CLAS. PROF.]:[AGRUP. CLAS. PROF.]]=$B78,IF(DATOS_[[Check Periodo Ref.]:[Check Periodo Ref.]]="Dentro",DATOS_[Conc.Sal.18]))))), 0)</f>
        <v>0</v>
      </c>
      <c r="X80" s="209" t="n">
        <f aca="false" t="array" ref="X80:X80">IFERROR( AVERAGE((IF(DATOS_[[Sexo]:[Sexo]]=$B80,IF(DATOS_[[AGRUP. CLAS. PROF.]:[AGRUP. CLAS. PROF.]]=$B78,IF(DATOS_[[Check Periodo Ref.]:[Check Periodo Ref.]]="Dentro",DATOS_[Conc.Sal.19]))))), 0)</f>
        <v>0</v>
      </c>
      <c r="Y80" s="209" t="n">
        <f aca="false" t="array" ref="Y80:Y80">IFERROR( AVERAGE((IF(DATOS_[[Sexo]:[Sexo]]=$B80,IF(DATOS_[[AGRUP. CLAS. PROF.]:[AGRUP. CLAS. PROF.]]=$B78,IF(DATOS_[[Check Periodo Ref.]:[Check Periodo Ref.]]="Dentro",DATOS_[Conc.Sal.20]))))), 0)</f>
        <v>0</v>
      </c>
      <c r="Z80" s="209" t="n">
        <f aca="false" t="array" ref="Z80:Z80">IFERROR( AVERAGE((IF(DATOS_[[Sexo]:[Sexo]]=$B80,IF(DATOS_[[AGRUP. CLAS. PROF.]:[AGRUP. CLAS. PROF.]]=$B78,IF(DATOS_[[Check Periodo Ref.]:[Check Periodo Ref.]]="Dentro",DATOS_[Conc.Sal.21]))))), 0)</f>
        <v>0</v>
      </c>
      <c r="AA80" s="209" t="n">
        <f aca="false" t="array" ref="AA80:AA80">IFERROR( AVERAGE((IF(DATOS_[[Sexo]:[Sexo]]=$B80,IF(DATOS_[[AGRUP. CLAS. PROF.]:[AGRUP. CLAS. PROF.]]=$B78,IF(DATOS_[[Check Periodo Ref.]:[Check Periodo Ref.]]="Dentro",DATOS_[Conc.Sal.22]))))), 0)</f>
        <v>0</v>
      </c>
      <c r="AB80" s="209" t="n">
        <f aca="false" t="array" ref="AB80:AB80">IFERROR( AVERAGE((IF(DATOS_[[Sexo]:[Sexo]]=$B80,IF(DATOS_[[AGRUP. CLAS. PROF.]:[AGRUP. CLAS. PROF.]]=$B78,IF(DATOS_[[Check Periodo Ref.]:[Check Periodo Ref.]]="Dentro",DATOS_[Conc.Sal.23]))))), 0)</f>
        <v>0</v>
      </c>
      <c r="AC80" s="209" t="n">
        <f aca="false" t="array" ref="AC80:AC80">IFERROR( AVERAGE((IF(DATOS_[[Sexo]:[Sexo]]=$B80,IF(DATOS_[[AGRUP. CLAS. PROF.]:[AGRUP. CLAS. PROF.]]=$B78,IF(DATOS_[[Check Periodo Ref.]:[Check Periodo Ref.]]="Dentro",DATOS_[Conc.Sal.24]))))), 0)</f>
        <v>0</v>
      </c>
      <c r="AD80" s="209" t="n">
        <f aca="false" t="array" ref="AD80:AD80">IFERROR( AVERAGE((IF(DATOS_[[Sexo]:[Sexo]]=$B80,IF(DATOS_[[AGRUP. CLAS. PROF.]:[AGRUP. CLAS. PROF.]]=$B78,IF(DATOS_[[Check Periodo Ref.]:[Check Periodo Ref.]]="Dentro",DATOS_[Conc.Sal.25]))))), 0)</f>
        <v>0</v>
      </c>
      <c r="AE80" s="209" t="n">
        <f aca="false" t="array" ref="AE80:AE80">IFERROR( AVERAGE((IF(DATOS_[[Sexo]:[Sexo]]=$B80,IF(DATOS_[[AGRUP. CLAS. PROF.]:[AGRUP. CLAS. PROF.]]=$B78,IF(DATOS_[[Check Periodo Ref.]:[Check Periodo Ref.]]="Dentro",DATOS_[Conc.Sal.26]))))), 0)</f>
        <v>0</v>
      </c>
      <c r="AF80" s="209" t="n">
        <f aca="false" t="array" ref="AF80:AF80">IFERROR( AVERAGE((IF(DATOS_[[Sexo]:[Sexo]]=$B80,IF(DATOS_[[AGRUP. CLAS. PROF.]:[AGRUP. CLAS. PROF.]]=$B78,IF(DATOS_[[Check Periodo Ref.]:[Check Periodo Ref.]]="Dentro",DATOS_[Conc.Sal.27]))))), 0)</f>
        <v>0</v>
      </c>
      <c r="AG80" s="209" t="n">
        <f aca="false" t="array" ref="AG80:AG80">IFERROR( AVERAGE((IF(DATOS_[[Sexo]:[Sexo]]=$B80,IF(DATOS_[[AGRUP. CLAS. PROF.]:[AGRUP. CLAS. PROF.]]=$B78,IF(DATOS_[[Check Periodo Ref.]:[Check Periodo Ref.]]="Dentro",DATOS_[Conc.Sal.28]))))), 0)</f>
        <v>0</v>
      </c>
      <c r="AH80" s="209" t="n">
        <f aca="false" t="array" ref="AH80:AH80">IFERROR( AVERAGE((IF(DATOS_[[Sexo]:[Sexo]]=$B80,IF(DATOS_[[AGRUP. CLAS. PROF.]:[AGRUP. CLAS. PROF.]]=$B78,IF(DATOS_[[Check Periodo Ref.]:[Check Periodo Ref.]]="Dentro",DATOS_[Conc.Sal.29]))))), 0)</f>
        <v>0</v>
      </c>
      <c r="AI80" s="209" t="n">
        <f aca="false" t="array" ref="AI80:AI80">IFERROR( AVERAGE((IF(DATOS_[[Sexo]:[Sexo]]=$B80,IF(DATOS_[[AGRUP. CLAS. PROF.]:[AGRUP. CLAS. PROF.]]=$B78,IF(DATOS_[[Check Periodo Ref.]:[Check Periodo Ref.]]="Dentro",DATOS_[Conc.Sal.30]))))), 0)</f>
        <v>0</v>
      </c>
      <c r="AJ80" s="210" t="n">
        <f aca="false" t="array" ref="AJ80:AJ80">IFERROR( AVERAGE(IF(DATOS_[Sexo]=$B80,IF(DATOS_[AGRUP. CLAS. PROF.]=$B78,IF(DATOS_[Check Periodo Ref.]="Dentro",DATOS_[Tot COMPL.SAL Ef],0)))), 0)</f>
        <v>0</v>
      </c>
      <c r="AK80" s="211" t="n">
        <f aca="false" t="array" ref="AK80:AK80">IFERROR( AVERAGE(IF(DATOS_[Sexo]=$B80,IF(DATOS_[AGRUP. CLAS. PROF.]=$B78,IF(DATOS_[Check Periodo Ref.]="Dentro",DATOS_[TOTAL SALARIO Ef],0)))), 0)</f>
        <v>0</v>
      </c>
      <c r="AL80" s="212" t="n">
        <f aca="false" t="array" ref="AL80:AL80">IFERROR( AVERAGE((IF(DATOS_[[Sexo]:[Sexo]]=$B80,IF(DATOS_[[AGRUP. CLAS. PROF.]:[AGRUP. CLAS. PROF.]]=$B78,IF(DATOS_[[Check Periodo Ref.]:[Check Periodo Ref.]]="Dentro",DATOS_[C.Extra.01]))))), 0)</f>
        <v>0</v>
      </c>
      <c r="AM80" s="212" t="n">
        <f aca="false" t="array" ref="AM80:AM80">IFERROR( AVERAGE((IF(DATOS_[[Sexo]:[Sexo]]=$B80,IF(DATOS_[[AGRUP. CLAS. PROF.]:[AGRUP. CLAS. PROF.]]=$B78,IF(DATOS_[[Check Periodo Ref.]:[Check Periodo Ref.]]="Dentro",DATOS_[C.Extra.02]))))), 0)</f>
        <v>0</v>
      </c>
      <c r="AN80" s="212" t="n">
        <f aca="false" t="array" ref="AN80:AN80">IFERROR( AVERAGE((IF(DATOS_[[Sexo]:[Sexo]]=$B80,IF(DATOS_[[AGRUP. CLAS. PROF.]:[AGRUP. CLAS. PROF.]]=$B78,IF(DATOS_[[Check Periodo Ref.]:[Check Periodo Ref.]]="Dentro",DATOS_[C.Extra.03]))))), 0)</f>
        <v>0</v>
      </c>
      <c r="AO80" s="212" t="n">
        <f aca="false" t="array" ref="AO80:AO80">IFERROR( AVERAGE((IF(DATOS_[[Sexo]:[Sexo]]=$B80,IF(DATOS_[[AGRUP. CLAS. PROF.]:[AGRUP. CLAS. PROF.]]=$B78,IF(DATOS_[[Check Periodo Ref.]:[Check Periodo Ref.]]="Dentro",DATOS_[C.Extra.04]))))), 0)</f>
        <v>0</v>
      </c>
      <c r="AP80" s="212" t="n">
        <f aca="false" t="array" ref="AP80:AP80">IFERROR( AVERAGE((IF(DATOS_[[Sexo]:[Sexo]]=$B80,IF(DATOS_[[AGRUP. CLAS. PROF.]:[AGRUP. CLAS. PROF.]]=$B78,IF(DATOS_[[Check Periodo Ref.]:[Check Periodo Ref.]]="Dentro",DATOS_[C.Extra.05]))))), 0)</f>
        <v>0</v>
      </c>
      <c r="AQ80" s="213" t="n">
        <f aca="false" t="array" ref="AQ80:AQ80">IFERROR( AVERAGE(IF(DATOS_[Sexo]=$B80,IF(DATOS_[AGRUP. CLAS. PROF.]=$B78,IF(DATOS_[Check Periodo Ref.]="Dentro",DATOS_[Tot Extrasalarial Ef],0)))), 0)</f>
        <v>0</v>
      </c>
      <c r="AR80" s="214" t="n">
        <f aca="false" t="array" ref="AR80:AR80">IFERROR( AVERAGE(IF(DATOS_[Sexo]=$B80,IF(DATOS_[AGRUP. CLAS. PROF.]=$B78,IF(DATOS_[Check Periodo Ref.]="Dentro",DATOS_[TOTAL Retrib Ef],0)))), 0)</f>
        <v>0</v>
      </c>
    </row>
    <row r="81" customFormat="false" ht="15.75" hidden="false" customHeight="false" outlineLevel="0" collapsed="false">
      <c r="A81" s="191" t="str">
        <f aca="false">+A82</f>
        <v>[ocultar]</v>
      </c>
      <c r="B81" s="192" t="s">
        <v>234</v>
      </c>
      <c r="C81" s="193"/>
      <c r="D81" s="194"/>
      <c r="E81" s="195" t="str">
        <f aca="false">IFERROR((E82-E83)/E82,"")</f>
        <v/>
      </c>
      <c r="F81" s="196" t="str">
        <f aca="false">IFERROR((F82-F83)/F82,"")</f>
        <v/>
      </c>
      <c r="G81" s="197" t="str">
        <f aca="false">IFERROR((G82-G83)/G82,"")</f>
        <v/>
      </c>
      <c r="H81" s="197" t="str">
        <f aca="false">IFERROR((H82-H83)/H82,"")</f>
        <v/>
      </c>
      <c r="I81" s="197" t="str">
        <f aca="false">IFERROR((I82-I83)/I82,"")</f>
        <v/>
      </c>
      <c r="J81" s="198" t="str">
        <f aca="false">IFERROR((J82-J83)/J82,"")</f>
        <v/>
      </c>
      <c r="K81" s="199" t="str">
        <f aca="false">IFERROR((K82-K83)/K82,"")</f>
        <v/>
      </c>
      <c r="L81" s="199" t="str">
        <f aca="false">IFERROR((L82-L83)/L82,"")</f>
        <v/>
      </c>
      <c r="M81" s="199" t="str">
        <f aca="false">IFERROR((M82-M83)/M82,"")</f>
        <v/>
      </c>
      <c r="N81" s="199" t="str">
        <f aca="false">IFERROR((N82-N83)/N82,"")</f>
        <v/>
      </c>
      <c r="O81" s="199" t="str">
        <f aca="false">IFERROR((O82-O83)/O82,"")</f>
        <v/>
      </c>
      <c r="P81" s="199" t="str">
        <f aca="false">IFERROR((P82-P83)/P82,"")</f>
        <v/>
      </c>
      <c r="Q81" s="199" t="str">
        <f aca="false">IFERROR((Q82-Q83)/Q82,"")</f>
        <v/>
      </c>
      <c r="R81" s="199" t="str">
        <f aca="false">IFERROR((R82-R83)/R82,"")</f>
        <v/>
      </c>
      <c r="S81" s="199" t="str">
        <f aca="false">IFERROR((S82-S83)/S82,"")</f>
        <v/>
      </c>
      <c r="T81" s="199" t="str">
        <f aca="false">IFERROR((T82-T83)/T82,"")</f>
        <v/>
      </c>
      <c r="U81" s="199" t="str">
        <f aca="false">IFERROR((U82-U83)/U82,"")</f>
        <v/>
      </c>
      <c r="V81" s="198" t="str">
        <f aca="false">IFERROR((V82-V83)/V82,"")</f>
        <v/>
      </c>
      <c r="W81" s="198" t="str">
        <f aca="false">IFERROR((W82-W83)/W82,"")</f>
        <v/>
      </c>
      <c r="X81" s="198" t="str">
        <f aca="false">IFERROR((X82-X83)/X82,"")</f>
        <v/>
      </c>
      <c r="Y81" s="198" t="str">
        <f aca="false">IFERROR((Y82-Y83)/Y82,"")</f>
        <v/>
      </c>
      <c r="Z81" s="198" t="str">
        <f aca="false">IFERROR((Z82-Z83)/Z82,"")</f>
        <v/>
      </c>
      <c r="AA81" s="198" t="str">
        <f aca="false">IFERROR((AA82-AA83)/AA82,"")</f>
        <v/>
      </c>
      <c r="AB81" s="198" t="str">
        <f aca="false">IFERROR((AB82-AB83)/AB82,"")</f>
        <v/>
      </c>
      <c r="AC81" s="198" t="str">
        <f aca="false">IFERROR((AC82-AC83)/AC82,"")</f>
        <v/>
      </c>
      <c r="AD81" s="198" t="str">
        <f aca="false">IFERROR((AD82-AD83)/AD82,"")</f>
        <v/>
      </c>
      <c r="AE81" s="198" t="str">
        <f aca="false">IFERROR((AE82-AE83)/AE82,"")</f>
        <v/>
      </c>
      <c r="AF81" s="198" t="str">
        <f aca="false">IFERROR((AF82-AF83)/AF82,"")</f>
        <v/>
      </c>
      <c r="AG81" s="198" t="str">
        <f aca="false">IFERROR((AG82-AG83)/AG82,"")</f>
        <v/>
      </c>
      <c r="AH81" s="198" t="str">
        <f aca="false">IFERROR((AH82-AH83)/AH82,"")</f>
        <v/>
      </c>
      <c r="AI81" s="198" t="str">
        <f aca="false">IFERROR((AI82-AI83)/AI82,"")</f>
        <v/>
      </c>
      <c r="AJ81" s="200" t="str">
        <f aca="false">IFERROR((AJ82-AJ83)/AJ82,"")</f>
        <v/>
      </c>
      <c r="AK81" s="201" t="str">
        <f aca="false">IFERROR((AK82-AK83)/AK82,"")</f>
        <v/>
      </c>
      <c r="AL81" s="202" t="str">
        <f aca="false">IFERROR((AL82-AL83)/AL82,"")</f>
        <v/>
      </c>
      <c r="AM81" s="202" t="str">
        <f aca="false">IFERROR((AM82-AM83)/AM82,"")</f>
        <v/>
      </c>
      <c r="AN81" s="202" t="str">
        <f aca="false">IFERROR((AN82-AN83)/AN82,"")</f>
        <v/>
      </c>
      <c r="AO81" s="202" t="str">
        <f aca="false">IFERROR((AO82-AO83)/AO82,"")</f>
        <v/>
      </c>
      <c r="AP81" s="202" t="str">
        <f aca="false">IFERROR((AP82-AP83)/AP82,"")</f>
        <v/>
      </c>
      <c r="AQ81" s="203" t="str">
        <f aca="false">IFERROR((AQ82-AQ83)/AQ82,"")</f>
        <v/>
      </c>
      <c r="AR81" s="204" t="str">
        <f aca="false">IFERROR((AR82-AR83)/AR82,"")</f>
        <v/>
      </c>
    </row>
    <row r="82" customFormat="false" ht="14.25" hidden="false" customHeight="false" outlineLevel="0" collapsed="false">
      <c r="A82" s="191" t="str">
        <f aca="false">+IF(C82+C83=0,"[ocultar]","")</f>
        <v>[ocultar]</v>
      </c>
      <c r="B82" s="205" t="s">
        <v>371</v>
      </c>
      <c r="C82" s="206" t="n">
        <f aca="false" t="array" ref="C82:C82">SUM(IF($B82=DATOS_[Sexo], IF($B81=DATOS_[AGRUP. CLAS. PROF.], IF("Dentro"=DATOS_[Check Periodo Ref.], 1/(COUNTIFS(DATOS_[Sexo],$B82,DATOS_[AGRUP. CLAS. PROF.],$B81,DATOS_[Check Periodo Ref.],"Dentro",DATOS_[id],DATOS_[id]))))))</f>
        <v>0</v>
      </c>
      <c r="D82" s="207" t="n">
        <f aca="false">COUNTIFS(DATOS_[AGRUP. CLAS. PROF.],$B81,DATOS_[Sexo],$B82,DATOS_[Check Periodo Ref.],"Dentro")</f>
        <v>0</v>
      </c>
      <c r="E82" s="208" t="n">
        <f aca="false" t="array" ref="E82:E82">IFERROR( AVERAGE(IF(DATOS_[Sexo]=$B82,IF(DATOS_[AGRUP. CLAS. PROF.]=$B81,IF(DATOS_[Check Periodo Ref.]="Dentro",DATOS_[SALARIO BASE Ef],0)))), 0)</f>
        <v>0</v>
      </c>
      <c r="F82" s="209" t="n">
        <f aca="false" t="array" ref="F82:F82">IFERROR( AVERAGE((IF(DATOS_[[Sexo]:[Sexo]]=$B82,IF(DATOS_[[AGRUP. CLAS. PROF.]:[AGRUP. CLAS. PROF.]]=$B81,IF(DATOS_[[Check Periodo Ref.]:[Check Periodo Ref.]]="Dentro",DATOS_[Conc.Sal.01]))))), 0)</f>
        <v>0</v>
      </c>
      <c r="G82" s="209" t="n">
        <f aca="false" t="array" ref="G82:G82">IFERROR( AVERAGE((IF(DATOS_[[Sexo]:[Sexo]]=$B82,IF(DATOS_[[AGRUP. CLAS. PROF.]:[AGRUP. CLAS. PROF.]]=$B81,IF(DATOS_[[Check Periodo Ref.]:[Check Periodo Ref.]]="Dentro",DATOS_[Conc.Sal.02]))))), 0)</f>
        <v>0</v>
      </c>
      <c r="H82" s="209" t="n">
        <f aca="false" t="array" ref="H82:H82">IFERROR( AVERAGE((IF(DATOS_[[Sexo]:[Sexo]]=$B82,IF(DATOS_[[AGRUP. CLAS. PROF.]:[AGRUP. CLAS. PROF.]]=$B81,IF(DATOS_[[Check Periodo Ref.]:[Check Periodo Ref.]]="Dentro",DATOS_[Conc.Sal.03]))))), 0)</f>
        <v>0</v>
      </c>
      <c r="I82" s="209" t="n">
        <f aca="false" t="array" ref="I82:I82">IFERROR( AVERAGE((IF(DATOS_[[Sexo]:[Sexo]]=$B82,IF(DATOS_[[AGRUP. CLAS. PROF.]:[AGRUP. CLAS. PROF.]]=$B81,IF(DATOS_[[Check Periodo Ref.]:[Check Periodo Ref.]]="Dentro",DATOS_[Conc.Sal.04]))))), 0)</f>
        <v>0</v>
      </c>
      <c r="J82" s="209" t="n">
        <f aca="false" t="array" ref="J82:J82">IFERROR( AVERAGE((IF(DATOS_[[Sexo]:[Sexo]]=$B82,IF(DATOS_[[AGRUP. CLAS. PROF.]:[AGRUP. CLAS. PROF.]]=$B81,IF(DATOS_[[Check Periodo Ref.]:[Check Periodo Ref.]]="Dentro",DATOS_[Conc.Sal.05]))))), 0)</f>
        <v>0</v>
      </c>
      <c r="K82" s="209" t="n">
        <f aca="false" t="array" ref="K82:K82">IFERROR( AVERAGE((IF(DATOS_[[Sexo]:[Sexo]]=$B82,IF(DATOS_[[AGRUP. CLAS. PROF.]:[AGRUP. CLAS. PROF.]]=$B81,IF(DATOS_[[Check Periodo Ref.]:[Check Periodo Ref.]]="Dentro",DATOS_[Conc.Sal.06]))))), 0)</f>
        <v>0</v>
      </c>
      <c r="L82" s="209" t="n">
        <f aca="false" t="array" ref="L82:L82">IFERROR( AVERAGE((IF(DATOS_[[Sexo]:[Sexo]]=$B82,IF(DATOS_[[AGRUP. CLAS. PROF.]:[AGRUP. CLAS. PROF.]]=$B81,IF(DATOS_[[Check Periodo Ref.]:[Check Periodo Ref.]]="Dentro",DATOS_[Conc.Sal.07]))))), 0)</f>
        <v>0</v>
      </c>
      <c r="M82" s="209" t="n">
        <f aca="false" t="array" ref="M82:M82">IFERROR( AVERAGE((IF(DATOS_[[Sexo]:[Sexo]]=$B82,IF(DATOS_[[AGRUP. CLAS. PROF.]:[AGRUP. CLAS. PROF.]]=$B81,IF(DATOS_[[Check Periodo Ref.]:[Check Periodo Ref.]]="Dentro",DATOS_[Conc.Sal.08]))))), 0)</f>
        <v>0</v>
      </c>
      <c r="N82" s="209" t="n">
        <f aca="false" t="array" ref="N82:N82">IFERROR( AVERAGE((IF(DATOS_[[Sexo]:[Sexo]]=$B82,IF(DATOS_[[AGRUP. CLAS. PROF.]:[AGRUP. CLAS. PROF.]]=$B81,IF(DATOS_[[Check Periodo Ref.]:[Check Periodo Ref.]]="Dentro",DATOS_[Conc.Sal.09]))))), 0)</f>
        <v>0</v>
      </c>
      <c r="O82" s="209" t="n">
        <f aca="false" t="array" ref="O82:O82">IFERROR( AVERAGE((IF(DATOS_[[Sexo]:[Sexo]]=$B82,IF(DATOS_[[AGRUP. CLAS. PROF.]:[AGRUP. CLAS. PROF.]]=$B81,IF(DATOS_[[Check Periodo Ref.]:[Check Periodo Ref.]]="Dentro",DATOS_[Conc.Sal.10]))))), 0)</f>
        <v>0</v>
      </c>
      <c r="P82" s="209" t="n">
        <f aca="false" t="array" ref="P82:P82">IFERROR( AVERAGE((IF(DATOS_[[Sexo]:[Sexo]]=$B82,IF(DATOS_[[AGRUP. CLAS. PROF.]:[AGRUP. CLAS. PROF.]]=$B81,IF(DATOS_[[Check Periodo Ref.]:[Check Periodo Ref.]]="Dentro",DATOS_[Conc.Sal.11]))))), 0)</f>
        <v>0</v>
      </c>
      <c r="Q82" s="209" t="n">
        <f aca="false" t="array" ref="Q82:Q82">IFERROR( AVERAGE((IF(DATOS_[[Sexo]:[Sexo]]=$B82,IF(DATOS_[[AGRUP. CLAS. PROF.]:[AGRUP. CLAS. PROF.]]=$B81,IF(DATOS_[[Check Periodo Ref.]:[Check Periodo Ref.]]="Dentro",DATOS_[Conc.Sal.12]))))), 0)</f>
        <v>0</v>
      </c>
      <c r="R82" s="209" t="n">
        <f aca="false" t="array" ref="R82:R82">IFERROR( AVERAGE((IF(DATOS_[[Sexo]:[Sexo]]=$B82,IF(DATOS_[[AGRUP. CLAS. PROF.]:[AGRUP. CLAS. PROF.]]=$B81,IF(DATOS_[[Check Periodo Ref.]:[Check Periodo Ref.]]="Dentro",DATOS_[Conc.Sal.13]))))), 0)</f>
        <v>0</v>
      </c>
      <c r="S82" s="209" t="n">
        <f aca="false" t="array" ref="S82:S82">IFERROR( AVERAGE((IF(DATOS_[[Sexo]:[Sexo]]=$B82,IF(DATOS_[[AGRUP. CLAS. PROF.]:[AGRUP. CLAS. PROF.]]=$B81,IF(DATOS_[[Check Periodo Ref.]:[Check Periodo Ref.]]="Dentro",DATOS_[Conc.Sal.14]))))), 0)</f>
        <v>0</v>
      </c>
      <c r="T82" s="209" t="n">
        <f aca="false" t="array" ref="T82:T82">IFERROR( AVERAGE((IF(DATOS_[[Sexo]:[Sexo]]=$B82,IF(DATOS_[[AGRUP. CLAS. PROF.]:[AGRUP. CLAS. PROF.]]=$B81,IF(DATOS_[[Check Periodo Ref.]:[Check Periodo Ref.]]="Dentro",DATOS_[Conc.Sal.15]))))), 0)</f>
        <v>0</v>
      </c>
      <c r="U82" s="209" t="n">
        <f aca="false" t="array" ref="U82:U82">IFERROR( AVERAGE((IF(DATOS_[[Sexo]:[Sexo]]=$B82,IF(DATOS_[[AGRUP. CLAS. PROF.]:[AGRUP. CLAS. PROF.]]=$B81,IF(DATOS_[[Check Periodo Ref.]:[Check Periodo Ref.]]="Dentro",DATOS_[Conc.Sal.16]))))), 0)</f>
        <v>0</v>
      </c>
      <c r="V82" s="209" t="n">
        <f aca="false" t="array" ref="V82:V82">IFERROR( AVERAGE((IF(DATOS_[[Sexo]:[Sexo]]=$B82,IF(DATOS_[[AGRUP. CLAS. PROF.]:[AGRUP. CLAS. PROF.]]=$B81,IF(DATOS_[[Check Periodo Ref.]:[Check Periodo Ref.]]="Dentro",DATOS_[Conc.Sal.17]))))), 0)</f>
        <v>0</v>
      </c>
      <c r="W82" s="209" t="n">
        <f aca="false" t="array" ref="W82:W82">IFERROR( AVERAGE((IF(DATOS_[[Sexo]:[Sexo]]=$B82,IF(DATOS_[[AGRUP. CLAS. PROF.]:[AGRUP. CLAS. PROF.]]=$B81,IF(DATOS_[[Check Periodo Ref.]:[Check Periodo Ref.]]="Dentro",DATOS_[Conc.Sal.18]))))), 0)</f>
        <v>0</v>
      </c>
      <c r="X82" s="209" t="n">
        <f aca="false" t="array" ref="X82:X82">IFERROR( AVERAGE((IF(DATOS_[[Sexo]:[Sexo]]=$B82,IF(DATOS_[[AGRUP. CLAS. PROF.]:[AGRUP. CLAS. PROF.]]=$B81,IF(DATOS_[[Check Periodo Ref.]:[Check Periodo Ref.]]="Dentro",DATOS_[Conc.Sal.19]))))), 0)</f>
        <v>0</v>
      </c>
      <c r="Y82" s="209" t="n">
        <f aca="false" t="array" ref="Y82:Y82">IFERROR( AVERAGE((IF(DATOS_[[Sexo]:[Sexo]]=$B82,IF(DATOS_[[AGRUP. CLAS. PROF.]:[AGRUP. CLAS. PROF.]]=$B81,IF(DATOS_[[Check Periodo Ref.]:[Check Periodo Ref.]]="Dentro",DATOS_[Conc.Sal.20]))))), 0)</f>
        <v>0</v>
      </c>
      <c r="Z82" s="209" t="n">
        <f aca="false" t="array" ref="Z82:Z82">IFERROR( AVERAGE((IF(DATOS_[[Sexo]:[Sexo]]=$B82,IF(DATOS_[[AGRUP. CLAS. PROF.]:[AGRUP. CLAS. PROF.]]=$B81,IF(DATOS_[[Check Periodo Ref.]:[Check Periodo Ref.]]="Dentro",DATOS_[Conc.Sal.21]))))), 0)</f>
        <v>0</v>
      </c>
      <c r="AA82" s="209" t="n">
        <f aca="false" t="array" ref="AA82:AA82">IFERROR( AVERAGE((IF(DATOS_[[Sexo]:[Sexo]]=$B82,IF(DATOS_[[AGRUP. CLAS. PROF.]:[AGRUP. CLAS. PROF.]]=$B81,IF(DATOS_[[Check Periodo Ref.]:[Check Periodo Ref.]]="Dentro",DATOS_[Conc.Sal.22]))))), 0)</f>
        <v>0</v>
      </c>
      <c r="AB82" s="209" t="n">
        <f aca="false" t="array" ref="AB82:AB82">IFERROR( AVERAGE((IF(DATOS_[[Sexo]:[Sexo]]=$B82,IF(DATOS_[[AGRUP. CLAS. PROF.]:[AGRUP. CLAS. PROF.]]=$B81,IF(DATOS_[[Check Periodo Ref.]:[Check Periodo Ref.]]="Dentro",DATOS_[Conc.Sal.23]))))), 0)</f>
        <v>0</v>
      </c>
      <c r="AC82" s="209" t="n">
        <f aca="false" t="array" ref="AC82:AC82">IFERROR( AVERAGE((IF(DATOS_[[Sexo]:[Sexo]]=$B82,IF(DATOS_[[AGRUP. CLAS. PROF.]:[AGRUP. CLAS. PROF.]]=$B81,IF(DATOS_[[Check Periodo Ref.]:[Check Periodo Ref.]]="Dentro",DATOS_[Conc.Sal.24]))))), 0)</f>
        <v>0</v>
      </c>
      <c r="AD82" s="209" t="n">
        <f aca="false" t="array" ref="AD82:AD82">IFERROR( AVERAGE((IF(DATOS_[[Sexo]:[Sexo]]=$B82,IF(DATOS_[[AGRUP. CLAS. PROF.]:[AGRUP. CLAS. PROF.]]=$B81,IF(DATOS_[[Check Periodo Ref.]:[Check Periodo Ref.]]="Dentro",DATOS_[Conc.Sal.25]))))), 0)</f>
        <v>0</v>
      </c>
      <c r="AE82" s="209" t="n">
        <f aca="false" t="array" ref="AE82:AE82">IFERROR( AVERAGE((IF(DATOS_[[Sexo]:[Sexo]]=$B82,IF(DATOS_[[AGRUP. CLAS. PROF.]:[AGRUP. CLAS. PROF.]]=$B81,IF(DATOS_[[Check Periodo Ref.]:[Check Periodo Ref.]]="Dentro",DATOS_[Conc.Sal.26]))))), 0)</f>
        <v>0</v>
      </c>
      <c r="AF82" s="209" t="n">
        <f aca="false" t="array" ref="AF82:AF82">IFERROR( AVERAGE((IF(DATOS_[[Sexo]:[Sexo]]=$B82,IF(DATOS_[[AGRUP. CLAS. PROF.]:[AGRUP. CLAS. PROF.]]=$B81,IF(DATOS_[[Check Periodo Ref.]:[Check Periodo Ref.]]="Dentro",DATOS_[Conc.Sal.27]))))), 0)</f>
        <v>0</v>
      </c>
      <c r="AG82" s="209" t="n">
        <f aca="false" t="array" ref="AG82:AG82">IFERROR( AVERAGE((IF(DATOS_[[Sexo]:[Sexo]]=$B82,IF(DATOS_[[AGRUP. CLAS. PROF.]:[AGRUP. CLAS. PROF.]]=$B81,IF(DATOS_[[Check Periodo Ref.]:[Check Periodo Ref.]]="Dentro",DATOS_[Conc.Sal.28]))))), 0)</f>
        <v>0</v>
      </c>
      <c r="AH82" s="209" t="n">
        <f aca="false" t="array" ref="AH82:AH82">IFERROR( AVERAGE((IF(DATOS_[[Sexo]:[Sexo]]=$B82,IF(DATOS_[[AGRUP. CLAS. PROF.]:[AGRUP. CLAS. PROF.]]=$B81,IF(DATOS_[[Check Periodo Ref.]:[Check Periodo Ref.]]="Dentro",DATOS_[Conc.Sal.29]))))), 0)</f>
        <v>0</v>
      </c>
      <c r="AI82" s="209" t="n">
        <f aca="false" t="array" ref="AI82:AI82">IFERROR( AVERAGE((IF(DATOS_[[Sexo]:[Sexo]]=$B82,IF(DATOS_[[AGRUP. CLAS. PROF.]:[AGRUP. CLAS. PROF.]]=$B81,IF(DATOS_[[Check Periodo Ref.]:[Check Periodo Ref.]]="Dentro",DATOS_[Conc.Sal.30]))))), 0)</f>
        <v>0</v>
      </c>
      <c r="AJ82" s="210" t="n">
        <f aca="false" t="array" ref="AJ82:AJ82">IFERROR( AVERAGE(IF(DATOS_[Sexo]=$B82,IF(DATOS_[AGRUP. CLAS. PROF.]=$B81,IF(DATOS_[Check Periodo Ref.]="Dentro",DATOS_[Tot COMPL.SAL Ef],0)))), 0)</f>
        <v>0</v>
      </c>
      <c r="AK82" s="211" t="n">
        <f aca="false" t="array" ref="AK82:AK82">IFERROR( AVERAGE(IF(DATOS_[Sexo]=$B82,IF(DATOS_[AGRUP. CLAS. PROF.]=$B81,IF(DATOS_[Check Periodo Ref.]="Dentro",DATOS_[TOTAL SALARIO Ef],0)))), 0)</f>
        <v>0</v>
      </c>
      <c r="AL82" s="212" t="n">
        <f aca="false" t="array" ref="AL82:AL82">IFERROR( AVERAGE((IF(DATOS_[[Sexo]:[Sexo]]=$B82,IF(DATOS_[[AGRUP. CLAS. PROF.]:[AGRUP. CLAS. PROF.]]=$B81,IF(DATOS_[[Check Periodo Ref.]:[Check Periodo Ref.]]="Dentro",DATOS_[C.Extra.01]))))), 0)</f>
        <v>0</v>
      </c>
      <c r="AM82" s="212" t="n">
        <f aca="false" t="array" ref="AM82:AM82">IFERROR( AVERAGE((IF(DATOS_[[Sexo]:[Sexo]]=$B82,IF(DATOS_[[AGRUP. CLAS. PROF.]:[AGRUP. CLAS. PROF.]]=$B81,IF(DATOS_[[Check Periodo Ref.]:[Check Periodo Ref.]]="Dentro",DATOS_[C.Extra.02]))))), 0)</f>
        <v>0</v>
      </c>
      <c r="AN82" s="212" t="n">
        <f aca="false" t="array" ref="AN82:AN82">IFERROR( AVERAGE((IF(DATOS_[[Sexo]:[Sexo]]=$B82,IF(DATOS_[[AGRUP. CLAS. PROF.]:[AGRUP. CLAS. PROF.]]=$B81,IF(DATOS_[[Check Periodo Ref.]:[Check Periodo Ref.]]="Dentro",DATOS_[C.Extra.03]))))), 0)</f>
        <v>0</v>
      </c>
      <c r="AO82" s="212" t="n">
        <f aca="false" t="array" ref="AO82:AO82">IFERROR( AVERAGE((IF(DATOS_[[Sexo]:[Sexo]]=$B82,IF(DATOS_[[AGRUP. CLAS. PROF.]:[AGRUP. CLAS. PROF.]]=$B81,IF(DATOS_[[Check Periodo Ref.]:[Check Periodo Ref.]]="Dentro",DATOS_[C.Extra.04]))))), 0)</f>
        <v>0</v>
      </c>
      <c r="AP82" s="212" t="n">
        <f aca="false" t="array" ref="AP82:AP82">IFERROR( AVERAGE((IF(DATOS_[[Sexo]:[Sexo]]=$B82,IF(DATOS_[[AGRUP. CLAS. PROF.]:[AGRUP. CLAS. PROF.]]=$B81,IF(DATOS_[[Check Periodo Ref.]:[Check Periodo Ref.]]="Dentro",DATOS_[C.Extra.05]))))), 0)</f>
        <v>0</v>
      </c>
      <c r="AQ82" s="213" t="n">
        <f aca="false" t="array" ref="AQ82:AQ82">IFERROR( AVERAGE(IF(DATOS_[Sexo]=$B82,IF(DATOS_[AGRUP. CLAS. PROF.]=$B81,IF(DATOS_[Check Periodo Ref.]="Dentro",DATOS_[Tot Extrasalarial Ef],0)))), 0)</f>
        <v>0</v>
      </c>
      <c r="AR82" s="214" t="n">
        <f aca="false" t="array" ref="AR82:AR82">IFERROR( AVERAGE(IF(DATOS_[Sexo]=$B82,IF(DATOS_[AGRUP. CLAS. PROF.]=$B81,IF(DATOS_[Check Periodo Ref.]="Dentro",DATOS_[TOTAL Retrib Ef],0)))), 0)</f>
        <v>0</v>
      </c>
    </row>
    <row r="83" customFormat="false" ht="14.25" hidden="false" customHeight="false" outlineLevel="0" collapsed="false">
      <c r="A83" s="191" t="str">
        <f aca="false">+A82</f>
        <v>[ocultar]</v>
      </c>
      <c r="B83" s="205" t="s">
        <v>372</v>
      </c>
      <c r="C83" s="206" t="n">
        <f aca="false" t="array" ref="C83:C83">SUM(IF($B83=DATOS_[Sexo], IF($B81=DATOS_[AGRUP. CLAS. PROF.], IF("Dentro"=DATOS_[Check Periodo Ref.], 1/(COUNTIFS(DATOS_[Sexo],$B83,DATOS_[AGRUP. CLAS. PROF.],$B81,DATOS_[Check Periodo Ref.],"Dentro",DATOS_[id],DATOS_[id]))))))</f>
        <v>0</v>
      </c>
      <c r="D83" s="207" t="n">
        <f aca="false">COUNTIFS(DATOS_[AGRUP. CLAS. PROF.],$B81,DATOS_[Sexo],$B83,DATOS_[Check Periodo Ref.],"Dentro")</f>
        <v>0</v>
      </c>
      <c r="E83" s="208" t="n">
        <f aca="false" t="array" ref="E83:E83">IFERROR( AVERAGE(IF(DATOS_[Sexo]=$B83,IF(DATOS_[AGRUP. CLAS. PROF.]=$B81,IF(DATOS_[Check Periodo Ref.]="Dentro",DATOS_[SALARIO BASE Ef],0)))), 0)</f>
        <v>0</v>
      </c>
      <c r="F83" s="209" t="n">
        <f aca="false" t="array" ref="F83:F83">IFERROR( AVERAGE((IF(DATOS_[[Sexo]:[Sexo]]=$B83,IF(DATOS_[[AGRUP. CLAS. PROF.]:[AGRUP. CLAS. PROF.]]=$B81,IF(DATOS_[[Check Periodo Ref.]:[Check Periodo Ref.]]="Dentro",DATOS_[Conc.Sal.01]))))), 0)</f>
        <v>0</v>
      </c>
      <c r="G83" s="209" t="n">
        <f aca="false" t="array" ref="G83:G83">IFERROR( AVERAGE((IF(DATOS_[[Sexo]:[Sexo]]=$B83,IF(DATOS_[[AGRUP. CLAS. PROF.]:[AGRUP. CLAS. PROF.]]=$B81,IF(DATOS_[[Check Periodo Ref.]:[Check Periodo Ref.]]="Dentro",DATOS_[Conc.Sal.02]))))), 0)</f>
        <v>0</v>
      </c>
      <c r="H83" s="209" t="n">
        <f aca="false" t="array" ref="H83:H83">IFERROR( AVERAGE((IF(DATOS_[[Sexo]:[Sexo]]=$B83,IF(DATOS_[[AGRUP. CLAS. PROF.]:[AGRUP. CLAS. PROF.]]=$B81,IF(DATOS_[[Check Periodo Ref.]:[Check Periodo Ref.]]="Dentro",DATOS_[Conc.Sal.03]))))), 0)</f>
        <v>0</v>
      </c>
      <c r="I83" s="209" t="n">
        <f aca="false" t="array" ref="I83:I83">IFERROR( AVERAGE((IF(DATOS_[[Sexo]:[Sexo]]=$B83,IF(DATOS_[[AGRUP. CLAS. PROF.]:[AGRUP. CLAS. PROF.]]=$B81,IF(DATOS_[[Check Periodo Ref.]:[Check Periodo Ref.]]="Dentro",DATOS_[Conc.Sal.04]))))), 0)</f>
        <v>0</v>
      </c>
      <c r="J83" s="209" t="n">
        <f aca="false" t="array" ref="J83:J83">IFERROR( AVERAGE((IF(DATOS_[[Sexo]:[Sexo]]=$B83,IF(DATOS_[[AGRUP. CLAS. PROF.]:[AGRUP. CLAS. PROF.]]=$B81,IF(DATOS_[[Check Periodo Ref.]:[Check Periodo Ref.]]="Dentro",DATOS_[Conc.Sal.05]))))), 0)</f>
        <v>0</v>
      </c>
      <c r="K83" s="209" t="n">
        <f aca="false" t="array" ref="K83:K83">IFERROR( AVERAGE((IF(DATOS_[[Sexo]:[Sexo]]=$B83,IF(DATOS_[[AGRUP. CLAS. PROF.]:[AGRUP. CLAS. PROF.]]=$B81,IF(DATOS_[[Check Periodo Ref.]:[Check Periodo Ref.]]="Dentro",DATOS_[Conc.Sal.06]))))), 0)</f>
        <v>0</v>
      </c>
      <c r="L83" s="209" t="n">
        <f aca="false" t="array" ref="L83:L83">IFERROR( AVERAGE((IF(DATOS_[[Sexo]:[Sexo]]=$B83,IF(DATOS_[[AGRUP. CLAS. PROF.]:[AGRUP. CLAS. PROF.]]=$B81,IF(DATOS_[[Check Periodo Ref.]:[Check Periodo Ref.]]="Dentro",DATOS_[Conc.Sal.07]))))), 0)</f>
        <v>0</v>
      </c>
      <c r="M83" s="209" t="n">
        <f aca="false" t="array" ref="M83:M83">IFERROR( AVERAGE((IF(DATOS_[[Sexo]:[Sexo]]=$B83,IF(DATOS_[[AGRUP. CLAS. PROF.]:[AGRUP. CLAS. PROF.]]=$B81,IF(DATOS_[[Check Periodo Ref.]:[Check Periodo Ref.]]="Dentro",DATOS_[Conc.Sal.08]))))), 0)</f>
        <v>0</v>
      </c>
      <c r="N83" s="209" t="n">
        <f aca="false" t="array" ref="N83:N83">IFERROR( AVERAGE((IF(DATOS_[[Sexo]:[Sexo]]=$B83,IF(DATOS_[[AGRUP. CLAS. PROF.]:[AGRUP. CLAS. PROF.]]=$B81,IF(DATOS_[[Check Periodo Ref.]:[Check Periodo Ref.]]="Dentro",DATOS_[Conc.Sal.09]))))), 0)</f>
        <v>0</v>
      </c>
      <c r="O83" s="209" t="n">
        <f aca="false" t="array" ref="O83:O83">IFERROR( AVERAGE((IF(DATOS_[[Sexo]:[Sexo]]=$B83,IF(DATOS_[[AGRUP. CLAS. PROF.]:[AGRUP. CLAS. PROF.]]=$B81,IF(DATOS_[[Check Periodo Ref.]:[Check Periodo Ref.]]="Dentro",DATOS_[Conc.Sal.10]))))), 0)</f>
        <v>0</v>
      </c>
      <c r="P83" s="209" t="n">
        <f aca="false" t="array" ref="P83:P83">IFERROR( AVERAGE((IF(DATOS_[[Sexo]:[Sexo]]=$B83,IF(DATOS_[[AGRUP. CLAS. PROF.]:[AGRUP. CLAS. PROF.]]=$B81,IF(DATOS_[[Check Periodo Ref.]:[Check Periodo Ref.]]="Dentro",DATOS_[Conc.Sal.11]))))), 0)</f>
        <v>0</v>
      </c>
      <c r="Q83" s="209" t="n">
        <f aca="false" t="array" ref="Q83:Q83">IFERROR( AVERAGE((IF(DATOS_[[Sexo]:[Sexo]]=$B83,IF(DATOS_[[AGRUP. CLAS. PROF.]:[AGRUP. CLAS. PROF.]]=$B81,IF(DATOS_[[Check Periodo Ref.]:[Check Periodo Ref.]]="Dentro",DATOS_[Conc.Sal.12]))))), 0)</f>
        <v>0</v>
      </c>
      <c r="R83" s="209" t="n">
        <f aca="false" t="array" ref="R83:R83">IFERROR( AVERAGE((IF(DATOS_[[Sexo]:[Sexo]]=$B83,IF(DATOS_[[AGRUP. CLAS. PROF.]:[AGRUP. CLAS. PROF.]]=$B81,IF(DATOS_[[Check Periodo Ref.]:[Check Periodo Ref.]]="Dentro",DATOS_[Conc.Sal.13]))))), 0)</f>
        <v>0</v>
      </c>
      <c r="S83" s="209" t="n">
        <f aca="false" t="array" ref="S83:S83">IFERROR( AVERAGE((IF(DATOS_[[Sexo]:[Sexo]]=$B83,IF(DATOS_[[AGRUP. CLAS. PROF.]:[AGRUP. CLAS. PROF.]]=$B81,IF(DATOS_[[Check Periodo Ref.]:[Check Periodo Ref.]]="Dentro",DATOS_[Conc.Sal.14]))))), 0)</f>
        <v>0</v>
      </c>
      <c r="T83" s="209" t="n">
        <f aca="false" t="array" ref="T83:T83">IFERROR( AVERAGE((IF(DATOS_[[Sexo]:[Sexo]]=$B83,IF(DATOS_[[AGRUP. CLAS. PROF.]:[AGRUP. CLAS. PROF.]]=$B81,IF(DATOS_[[Check Periodo Ref.]:[Check Periodo Ref.]]="Dentro",DATOS_[Conc.Sal.15]))))), 0)</f>
        <v>0</v>
      </c>
      <c r="U83" s="209" t="n">
        <f aca="false" t="array" ref="U83:U83">IFERROR( AVERAGE((IF(DATOS_[[Sexo]:[Sexo]]=$B83,IF(DATOS_[[AGRUP. CLAS. PROF.]:[AGRUP. CLAS. PROF.]]=$B81,IF(DATOS_[[Check Periodo Ref.]:[Check Periodo Ref.]]="Dentro",DATOS_[Conc.Sal.16]))))), 0)</f>
        <v>0</v>
      </c>
      <c r="V83" s="209" t="n">
        <f aca="false" t="array" ref="V83:V83">IFERROR( AVERAGE((IF(DATOS_[[Sexo]:[Sexo]]=$B83,IF(DATOS_[[AGRUP. CLAS. PROF.]:[AGRUP. CLAS. PROF.]]=$B81,IF(DATOS_[[Check Periodo Ref.]:[Check Periodo Ref.]]="Dentro",DATOS_[Conc.Sal.17]))))), 0)</f>
        <v>0</v>
      </c>
      <c r="W83" s="209" t="n">
        <f aca="false" t="array" ref="W83:W83">IFERROR( AVERAGE((IF(DATOS_[[Sexo]:[Sexo]]=$B83,IF(DATOS_[[AGRUP. CLAS. PROF.]:[AGRUP. CLAS. PROF.]]=$B81,IF(DATOS_[[Check Periodo Ref.]:[Check Periodo Ref.]]="Dentro",DATOS_[Conc.Sal.18]))))), 0)</f>
        <v>0</v>
      </c>
      <c r="X83" s="209" t="n">
        <f aca="false" t="array" ref="X83:X83">IFERROR( AVERAGE((IF(DATOS_[[Sexo]:[Sexo]]=$B83,IF(DATOS_[[AGRUP. CLAS. PROF.]:[AGRUP. CLAS. PROF.]]=$B81,IF(DATOS_[[Check Periodo Ref.]:[Check Periodo Ref.]]="Dentro",DATOS_[Conc.Sal.19]))))), 0)</f>
        <v>0</v>
      </c>
      <c r="Y83" s="209" t="n">
        <f aca="false" t="array" ref="Y83:Y83">IFERROR( AVERAGE((IF(DATOS_[[Sexo]:[Sexo]]=$B83,IF(DATOS_[[AGRUP. CLAS. PROF.]:[AGRUP. CLAS. PROF.]]=$B81,IF(DATOS_[[Check Periodo Ref.]:[Check Periodo Ref.]]="Dentro",DATOS_[Conc.Sal.20]))))), 0)</f>
        <v>0</v>
      </c>
      <c r="Z83" s="209" t="n">
        <f aca="false" t="array" ref="Z83:Z83">IFERROR( AVERAGE((IF(DATOS_[[Sexo]:[Sexo]]=$B83,IF(DATOS_[[AGRUP. CLAS. PROF.]:[AGRUP. CLAS. PROF.]]=$B81,IF(DATOS_[[Check Periodo Ref.]:[Check Periodo Ref.]]="Dentro",DATOS_[Conc.Sal.21]))))), 0)</f>
        <v>0</v>
      </c>
      <c r="AA83" s="209" t="n">
        <f aca="false" t="array" ref="AA83:AA83">IFERROR( AVERAGE((IF(DATOS_[[Sexo]:[Sexo]]=$B83,IF(DATOS_[[AGRUP. CLAS. PROF.]:[AGRUP. CLAS. PROF.]]=$B81,IF(DATOS_[[Check Periodo Ref.]:[Check Periodo Ref.]]="Dentro",DATOS_[Conc.Sal.22]))))), 0)</f>
        <v>0</v>
      </c>
      <c r="AB83" s="209" t="n">
        <f aca="false" t="array" ref="AB83:AB83">IFERROR( AVERAGE((IF(DATOS_[[Sexo]:[Sexo]]=$B83,IF(DATOS_[[AGRUP. CLAS. PROF.]:[AGRUP. CLAS. PROF.]]=$B81,IF(DATOS_[[Check Periodo Ref.]:[Check Periodo Ref.]]="Dentro",DATOS_[Conc.Sal.23]))))), 0)</f>
        <v>0</v>
      </c>
      <c r="AC83" s="209" t="n">
        <f aca="false" t="array" ref="AC83:AC83">IFERROR( AVERAGE((IF(DATOS_[[Sexo]:[Sexo]]=$B83,IF(DATOS_[[AGRUP. CLAS. PROF.]:[AGRUP. CLAS. PROF.]]=$B81,IF(DATOS_[[Check Periodo Ref.]:[Check Periodo Ref.]]="Dentro",DATOS_[Conc.Sal.24]))))), 0)</f>
        <v>0</v>
      </c>
      <c r="AD83" s="209" t="n">
        <f aca="false" t="array" ref="AD83:AD83">IFERROR( AVERAGE((IF(DATOS_[[Sexo]:[Sexo]]=$B83,IF(DATOS_[[AGRUP. CLAS. PROF.]:[AGRUP. CLAS. PROF.]]=$B81,IF(DATOS_[[Check Periodo Ref.]:[Check Periodo Ref.]]="Dentro",DATOS_[Conc.Sal.25]))))), 0)</f>
        <v>0</v>
      </c>
      <c r="AE83" s="209" t="n">
        <f aca="false" t="array" ref="AE83:AE83">IFERROR( AVERAGE((IF(DATOS_[[Sexo]:[Sexo]]=$B83,IF(DATOS_[[AGRUP. CLAS. PROF.]:[AGRUP. CLAS. PROF.]]=$B81,IF(DATOS_[[Check Periodo Ref.]:[Check Periodo Ref.]]="Dentro",DATOS_[Conc.Sal.26]))))), 0)</f>
        <v>0</v>
      </c>
      <c r="AF83" s="209" t="n">
        <f aca="false" t="array" ref="AF83:AF83">IFERROR( AVERAGE((IF(DATOS_[[Sexo]:[Sexo]]=$B83,IF(DATOS_[[AGRUP. CLAS. PROF.]:[AGRUP. CLAS. PROF.]]=$B81,IF(DATOS_[[Check Periodo Ref.]:[Check Periodo Ref.]]="Dentro",DATOS_[Conc.Sal.27]))))), 0)</f>
        <v>0</v>
      </c>
      <c r="AG83" s="209" t="n">
        <f aca="false" t="array" ref="AG83:AG83">IFERROR( AVERAGE((IF(DATOS_[[Sexo]:[Sexo]]=$B83,IF(DATOS_[[AGRUP. CLAS. PROF.]:[AGRUP. CLAS. PROF.]]=$B81,IF(DATOS_[[Check Periodo Ref.]:[Check Periodo Ref.]]="Dentro",DATOS_[Conc.Sal.28]))))), 0)</f>
        <v>0</v>
      </c>
      <c r="AH83" s="209" t="n">
        <f aca="false" t="array" ref="AH83:AH83">IFERROR( AVERAGE((IF(DATOS_[[Sexo]:[Sexo]]=$B83,IF(DATOS_[[AGRUP. CLAS. PROF.]:[AGRUP. CLAS. PROF.]]=$B81,IF(DATOS_[[Check Periodo Ref.]:[Check Periodo Ref.]]="Dentro",DATOS_[Conc.Sal.29]))))), 0)</f>
        <v>0</v>
      </c>
      <c r="AI83" s="209" t="n">
        <f aca="false" t="array" ref="AI83:AI83">IFERROR( AVERAGE((IF(DATOS_[[Sexo]:[Sexo]]=$B83,IF(DATOS_[[AGRUP. CLAS. PROF.]:[AGRUP. CLAS. PROF.]]=$B81,IF(DATOS_[[Check Periodo Ref.]:[Check Periodo Ref.]]="Dentro",DATOS_[Conc.Sal.30]))))), 0)</f>
        <v>0</v>
      </c>
      <c r="AJ83" s="210" t="n">
        <f aca="false" t="array" ref="AJ83:AJ83">IFERROR( AVERAGE(IF(DATOS_[Sexo]=$B83,IF(DATOS_[AGRUP. CLAS. PROF.]=$B81,IF(DATOS_[Check Periodo Ref.]="Dentro",DATOS_[Tot COMPL.SAL Ef],0)))), 0)</f>
        <v>0</v>
      </c>
      <c r="AK83" s="211" t="n">
        <f aca="false" t="array" ref="AK83:AK83">IFERROR( AVERAGE(IF(DATOS_[Sexo]=$B83,IF(DATOS_[AGRUP. CLAS. PROF.]=$B81,IF(DATOS_[Check Periodo Ref.]="Dentro",DATOS_[TOTAL SALARIO Ef],0)))), 0)</f>
        <v>0</v>
      </c>
      <c r="AL83" s="212" t="n">
        <f aca="false" t="array" ref="AL83:AL83">IFERROR( AVERAGE((IF(DATOS_[[Sexo]:[Sexo]]=$B83,IF(DATOS_[[AGRUP. CLAS. PROF.]:[AGRUP. CLAS. PROF.]]=$B81,IF(DATOS_[[Check Periodo Ref.]:[Check Periodo Ref.]]="Dentro",DATOS_[C.Extra.01]))))), 0)</f>
        <v>0</v>
      </c>
      <c r="AM83" s="212" t="n">
        <f aca="false" t="array" ref="AM83:AM83">IFERROR( AVERAGE((IF(DATOS_[[Sexo]:[Sexo]]=$B83,IF(DATOS_[[AGRUP. CLAS. PROF.]:[AGRUP. CLAS. PROF.]]=$B81,IF(DATOS_[[Check Periodo Ref.]:[Check Periodo Ref.]]="Dentro",DATOS_[C.Extra.02]))))), 0)</f>
        <v>0</v>
      </c>
      <c r="AN83" s="212" t="n">
        <f aca="false" t="array" ref="AN83:AN83">IFERROR( AVERAGE((IF(DATOS_[[Sexo]:[Sexo]]=$B83,IF(DATOS_[[AGRUP. CLAS. PROF.]:[AGRUP. CLAS. PROF.]]=$B81,IF(DATOS_[[Check Periodo Ref.]:[Check Periodo Ref.]]="Dentro",DATOS_[C.Extra.03]))))), 0)</f>
        <v>0</v>
      </c>
      <c r="AO83" s="212" t="n">
        <f aca="false" t="array" ref="AO83:AO83">IFERROR( AVERAGE((IF(DATOS_[[Sexo]:[Sexo]]=$B83,IF(DATOS_[[AGRUP. CLAS. PROF.]:[AGRUP. CLAS. PROF.]]=$B81,IF(DATOS_[[Check Periodo Ref.]:[Check Periodo Ref.]]="Dentro",DATOS_[C.Extra.04]))))), 0)</f>
        <v>0</v>
      </c>
      <c r="AP83" s="212" t="n">
        <f aca="false" t="array" ref="AP83:AP83">IFERROR( AVERAGE((IF(DATOS_[[Sexo]:[Sexo]]=$B83,IF(DATOS_[[AGRUP. CLAS. PROF.]:[AGRUP. CLAS. PROF.]]=$B81,IF(DATOS_[[Check Periodo Ref.]:[Check Periodo Ref.]]="Dentro",DATOS_[C.Extra.05]))))), 0)</f>
        <v>0</v>
      </c>
      <c r="AQ83" s="213" t="n">
        <f aca="false" t="array" ref="AQ83:AQ83">IFERROR( AVERAGE(IF(DATOS_[Sexo]=$B83,IF(DATOS_[AGRUP. CLAS. PROF.]=$B81,IF(DATOS_[Check Periodo Ref.]="Dentro",DATOS_[Tot Extrasalarial Ef],0)))), 0)</f>
        <v>0</v>
      </c>
      <c r="AR83" s="214" t="n">
        <f aca="false" t="array" ref="AR83:AR83">IFERROR( AVERAGE(IF(DATOS_[Sexo]=$B83,IF(DATOS_[AGRUP. CLAS. PROF.]=$B81,IF(DATOS_[Check Periodo Ref.]="Dentro",DATOS_[TOTAL Retrib Ef],0)))), 0)</f>
        <v>0</v>
      </c>
    </row>
    <row r="84" customFormat="false" ht="15.75" hidden="false" customHeight="false" outlineLevel="0" collapsed="false">
      <c r="A84" s="191" t="str">
        <f aca="false">+A85</f>
        <v>[ocultar]</v>
      </c>
      <c r="B84" s="192" t="s">
        <v>237</v>
      </c>
      <c r="C84" s="193"/>
      <c r="D84" s="194"/>
      <c r="E84" s="195" t="str">
        <f aca="false">IFERROR((E85-E86)/E85,"")</f>
        <v/>
      </c>
      <c r="F84" s="196" t="str">
        <f aca="false">IFERROR((F85-F86)/F85,"")</f>
        <v/>
      </c>
      <c r="G84" s="197" t="str">
        <f aca="false">IFERROR((G85-G86)/G85,"")</f>
        <v/>
      </c>
      <c r="H84" s="197" t="str">
        <f aca="false">IFERROR((H85-H86)/H85,"")</f>
        <v/>
      </c>
      <c r="I84" s="197" t="str">
        <f aca="false">IFERROR((I85-I86)/I85,"")</f>
        <v/>
      </c>
      <c r="J84" s="198" t="str">
        <f aca="false">IFERROR((J85-J86)/J85,"")</f>
        <v/>
      </c>
      <c r="K84" s="199" t="str">
        <f aca="false">IFERROR((K85-K86)/K85,"")</f>
        <v/>
      </c>
      <c r="L84" s="199" t="str">
        <f aca="false">IFERROR((L85-L86)/L85,"")</f>
        <v/>
      </c>
      <c r="M84" s="199" t="str">
        <f aca="false">IFERROR((M85-M86)/M85,"")</f>
        <v/>
      </c>
      <c r="N84" s="199" t="str">
        <f aca="false">IFERROR((N85-N86)/N85,"")</f>
        <v/>
      </c>
      <c r="O84" s="199" t="str">
        <f aca="false">IFERROR((O85-O86)/O85,"")</f>
        <v/>
      </c>
      <c r="P84" s="199" t="str">
        <f aca="false">IFERROR((P85-P86)/P85,"")</f>
        <v/>
      </c>
      <c r="Q84" s="199" t="str">
        <f aca="false">IFERROR((Q85-Q86)/Q85,"")</f>
        <v/>
      </c>
      <c r="R84" s="199" t="str">
        <f aca="false">IFERROR((R85-R86)/R85,"")</f>
        <v/>
      </c>
      <c r="S84" s="199" t="str">
        <f aca="false">IFERROR((S85-S86)/S85,"")</f>
        <v/>
      </c>
      <c r="T84" s="199" t="str">
        <f aca="false">IFERROR((T85-T86)/T85,"")</f>
        <v/>
      </c>
      <c r="U84" s="199" t="str">
        <f aca="false">IFERROR((U85-U86)/U85,"")</f>
        <v/>
      </c>
      <c r="V84" s="198" t="str">
        <f aca="false">IFERROR((V85-V86)/V85,"")</f>
        <v/>
      </c>
      <c r="W84" s="198" t="str">
        <f aca="false">IFERROR((W85-W86)/W85,"")</f>
        <v/>
      </c>
      <c r="X84" s="198" t="str">
        <f aca="false">IFERROR((X85-X86)/X85,"")</f>
        <v/>
      </c>
      <c r="Y84" s="198" t="str">
        <f aca="false">IFERROR((Y85-Y86)/Y85,"")</f>
        <v/>
      </c>
      <c r="Z84" s="198" t="str">
        <f aca="false">IFERROR((Z85-Z86)/Z85,"")</f>
        <v/>
      </c>
      <c r="AA84" s="198" t="str">
        <f aca="false">IFERROR((AA85-AA86)/AA85,"")</f>
        <v/>
      </c>
      <c r="AB84" s="198" t="str">
        <f aca="false">IFERROR((AB85-AB86)/AB85,"")</f>
        <v/>
      </c>
      <c r="AC84" s="198" t="str">
        <f aca="false">IFERROR((AC85-AC86)/AC85,"")</f>
        <v/>
      </c>
      <c r="AD84" s="198" t="str">
        <f aca="false">IFERROR((AD85-AD86)/AD85,"")</f>
        <v/>
      </c>
      <c r="AE84" s="198" t="str">
        <f aca="false">IFERROR((AE85-AE86)/AE85,"")</f>
        <v/>
      </c>
      <c r="AF84" s="198" t="str">
        <f aca="false">IFERROR((AF85-AF86)/AF85,"")</f>
        <v/>
      </c>
      <c r="AG84" s="198" t="str">
        <f aca="false">IFERROR((AG85-AG86)/AG85,"")</f>
        <v/>
      </c>
      <c r="AH84" s="198" t="str">
        <f aca="false">IFERROR((AH85-AH86)/AH85,"")</f>
        <v/>
      </c>
      <c r="AI84" s="198" t="str">
        <f aca="false">IFERROR((AI85-AI86)/AI85,"")</f>
        <v/>
      </c>
      <c r="AJ84" s="200" t="str">
        <f aca="false">IFERROR((AJ85-AJ86)/AJ85,"")</f>
        <v/>
      </c>
      <c r="AK84" s="201" t="str">
        <f aca="false">IFERROR((AK85-AK86)/AK85,"")</f>
        <v/>
      </c>
      <c r="AL84" s="202" t="str">
        <f aca="false">IFERROR((AL85-AL86)/AL85,"")</f>
        <v/>
      </c>
      <c r="AM84" s="202" t="str">
        <f aca="false">IFERROR((AM85-AM86)/AM85,"")</f>
        <v/>
      </c>
      <c r="AN84" s="202" t="str">
        <f aca="false">IFERROR((AN85-AN86)/AN85,"")</f>
        <v/>
      </c>
      <c r="AO84" s="202" t="str">
        <f aca="false">IFERROR((AO85-AO86)/AO85,"")</f>
        <v/>
      </c>
      <c r="AP84" s="202" t="str">
        <f aca="false">IFERROR((AP85-AP86)/AP85,"")</f>
        <v/>
      </c>
      <c r="AQ84" s="203" t="str">
        <f aca="false">IFERROR((AQ85-AQ86)/AQ85,"")</f>
        <v/>
      </c>
      <c r="AR84" s="204" t="str">
        <f aca="false">IFERROR((AR85-AR86)/AR85,"")</f>
        <v/>
      </c>
    </row>
    <row r="85" customFormat="false" ht="14.25" hidden="false" customHeight="false" outlineLevel="0" collapsed="false">
      <c r="A85" s="191" t="str">
        <f aca="false">+IF(C85+C86=0,"[ocultar]","")</f>
        <v>[ocultar]</v>
      </c>
      <c r="B85" s="205" t="s">
        <v>371</v>
      </c>
      <c r="C85" s="206" t="n">
        <f aca="false" t="array" ref="C85:C85">SUM(IF($B85=DATOS_[Sexo], IF($B84=DATOS_[AGRUP. CLAS. PROF.], IF("Dentro"=DATOS_[Check Periodo Ref.], 1/(COUNTIFS(DATOS_[Sexo],$B85,DATOS_[AGRUP. CLAS. PROF.],$B84,DATOS_[Check Periodo Ref.],"Dentro",DATOS_[id],DATOS_[id]))))))</f>
        <v>0</v>
      </c>
      <c r="D85" s="207" t="n">
        <f aca="false">COUNTIFS(DATOS_[AGRUP. CLAS. PROF.],$B84,DATOS_[Sexo],$B85,DATOS_[Check Periodo Ref.],"Dentro")</f>
        <v>0</v>
      </c>
      <c r="E85" s="208" t="n">
        <f aca="false" t="array" ref="E85:E85">IFERROR( AVERAGE(IF(DATOS_[Sexo]=$B85,IF(DATOS_[AGRUP. CLAS. PROF.]=$B84,IF(DATOS_[Check Periodo Ref.]="Dentro",DATOS_[SALARIO BASE Ef],0)))), 0)</f>
        <v>0</v>
      </c>
      <c r="F85" s="209" t="n">
        <f aca="false" t="array" ref="F85:F85">IFERROR( AVERAGE((IF(DATOS_[[Sexo]:[Sexo]]=$B85,IF(DATOS_[[AGRUP. CLAS. PROF.]:[AGRUP. CLAS. PROF.]]=$B84,IF(DATOS_[[Check Periodo Ref.]:[Check Periodo Ref.]]="Dentro",DATOS_[Conc.Sal.01]))))), 0)</f>
        <v>0</v>
      </c>
      <c r="G85" s="209" t="n">
        <f aca="false" t="array" ref="G85:G85">IFERROR( AVERAGE((IF(DATOS_[[Sexo]:[Sexo]]=$B85,IF(DATOS_[[AGRUP. CLAS. PROF.]:[AGRUP. CLAS. PROF.]]=$B84,IF(DATOS_[[Check Periodo Ref.]:[Check Periodo Ref.]]="Dentro",DATOS_[Conc.Sal.02]))))), 0)</f>
        <v>0</v>
      </c>
      <c r="H85" s="209" t="n">
        <f aca="false" t="array" ref="H85:H85">IFERROR( AVERAGE((IF(DATOS_[[Sexo]:[Sexo]]=$B85,IF(DATOS_[[AGRUP. CLAS. PROF.]:[AGRUP. CLAS. PROF.]]=$B84,IF(DATOS_[[Check Periodo Ref.]:[Check Periodo Ref.]]="Dentro",DATOS_[Conc.Sal.03]))))), 0)</f>
        <v>0</v>
      </c>
      <c r="I85" s="209" t="n">
        <f aca="false" t="array" ref="I85:I85">IFERROR( AVERAGE((IF(DATOS_[[Sexo]:[Sexo]]=$B85,IF(DATOS_[[AGRUP. CLAS. PROF.]:[AGRUP. CLAS. PROF.]]=$B84,IF(DATOS_[[Check Periodo Ref.]:[Check Periodo Ref.]]="Dentro",DATOS_[Conc.Sal.04]))))), 0)</f>
        <v>0</v>
      </c>
      <c r="J85" s="209" t="n">
        <f aca="false" t="array" ref="J85:J85">IFERROR( AVERAGE((IF(DATOS_[[Sexo]:[Sexo]]=$B85,IF(DATOS_[[AGRUP. CLAS. PROF.]:[AGRUP. CLAS. PROF.]]=$B84,IF(DATOS_[[Check Periodo Ref.]:[Check Periodo Ref.]]="Dentro",DATOS_[Conc.Sal.05]))))), 0)</f>
        <v>0</v>
      </c>
      <c r="K85" s="209" t="n">
        <f aca="false" t="array" ref="K85:K85">IFERROR( AVERAGE((IF(DATOS_[[Sexo]:[Sexo]]=$B85,IF(DATOS_[[AGRUP. CLAS. PROF.]:[AGRUP. CLAS. PROF.]]=$B84,IF(DATOS_[[Check Periodo Ref.]:[Check Periodo Ref.]]="Dentro",DATOS_[Conc.Sal.06]))))), 0)</f>
        <v>0</v>
      </c>
      <c r="L85" s="209" t="n">
        <f aca="false" t="array" ref="L85:L85">IFERROR( AVERAGE((IF(DATOS_[[Sexo]:[Sexo]]=$B85,IF(DATOS_[[AGRUP. CLAS. PROF.]:[AGRUP. CLAS. PROF.]]=$B84,IF(DATOS_[[Check Periodo Ref.]:[Check Periodo Ref.]]="Dentro",DATOS_[Conc.Sal.07]))))), 0)</f>
        <v>0</v>
      </c>
      <c r="M85" s="209" t="n">
        <f aca="false" t="array" ref="M85:M85">IFERROR( AVERAGE((IF(DATOS_[[Sexo]:[Sexo]]=$B85,IF(DATOS_[[AGRUP. CLAS. PROF.]:[AGRUP. CLAS. PROF.]]=$B84,IF(DATOS_[[Check Periodo Ref.]:[Check Periodo Ref.]]="Dentro",DATOS_[Conc.Sal.08]))))), 0)</f>
        <v>0</v>
      </c>
      <c r="N85" s="209" t="n">
        <f aca="false" t="array" ref="N85:N85">IFERROR( AVERAGE((IF(DATOS_[[Sexo]:[Sexo]]=$B85,IF(DATOS_[[AGRUP. CLAS. PROF.]:[AGRUP. CLAS. PROF.]]=$B84,IF(DATOS_[[Check Periodo Ref.]:[Check Periodo Ref.]]="Dentro",DATOS_[Conc.Sal.09]))))), 0)</f>
        <v>0</v>
      </c>
      <c r="O85" s="209" t="n">
        <f aca="false" t="array" ref="O85:O85">IFERROR( AVERAGE((IF(DATOS_[[Sexo]:[Sexo]]=$B85,IF(DATOS_[[AGRUP. CLAS. PROF.]:[AGRUP. CLAS. PROF.]]=$B84,IF(DATOS_[[Check Periodo Ref.]:[Check Periodo Ref.]]="Dentro",DATOS_[Conc.Sal.10]))))), 0)</f>
        <v>0</v>
      </c>
      <c r="P85" s="209" t="n">
        <f aca="false" t="array" ref="P85:P85">IFERROR( AVERAGE((IF(DATOS_[[Sexo]:[Sexo]]=$B85,IF(DATOS_[[AGRUP. CLAS. PROF.]:[AGRUP. CLAS. PROF.]]=$B84,IF(DATOS_[[Check Periodo Ref.]:[Check Periodo Ref.]]="Dentro",DATOS_[Conc.Sal.11]))))), 0)</f>
        <v>0</v>
      </c>
      <c r="Q85" s="209" t="n">
        <f aca="false" t="array" ref="Q85:Q85">IFERROR( AVERAGE((IF(DATOS_[[Sexo]:[Sexo]]=$B85,IF(DATOS_[[AGRUP. CLAS. PROF.]:[AGRUP. CLAS. PROF.]]=$B84,IF(DATOS_[[Check Periodo Ref.]:[Check Periodo Ref.]]="Dentro",DATOS_[Conc.Sal.12]))))), 0)</f>
        <v>0</v>
      </c>
      <c r="R85" s="209" t="n">
        <f aca="false" t="array" ref="R85:R85">IFERROR( AVERAGE((IF(DATOS_[[Sexo]:[Sexo]]=$B85,IF(DATOS_[[AGRUP. CLAS. PROF.]:[AGRUP. CLAS. PROF.]]=$B84,IF(DATOS_[[Check Periodo Ref.]:[Check Periodo Ref.]]="Dentro",DATOS_[Conc.Sal.13]))))), 0)</f>
        <v>0</v>
      </c>
      <c r="S85" s="209" t="n">
        <f aca="false" t="array" ref="S85:S85">IFERROR( AVERAGE((IF(DATOS_[[Sexo]:[Sexo]]=$B85,IF(DATOS_[[AGRUP. CLAS. PROF.]:[AGRUP. CLAS. PROF.]]=$B84,IF(DATOS_[[Check Periodo Ref.]:[Check Periodo Ref.]]="Dentro",DATOS_[Conc.Sal.14]))))), 0)</f>
        <v>0</v>
      </c>
      <c r="T85" s="209" t="n">
        <f aca="false" t="array" ref="T85:T85">IFERROR( AVERAGE((IF(DATOS_[[Sexo]:[Sexo]]=$B85,IF(DATOS_[[AGRUP. CLAS. PROF.]:[AGRUP. CLAS. PROF.]]=$B84,IF(DATOS_[[Check Periodo Ref.]:[Check Periodo Ref.]]="Dentro",DATOS_[Conc.Sal.15]))))), 0)</f>
        <v>0</v>
      </c>
      <c r="U85" s="209" t="n">
        <f aca="false" t="array" ref="U85:U85">IFERROR( AVERAGE((IF(DATOS_[[Sexo]:[Sexo]]=$B85,IF(DATOS_[[AGRUP. CLAS. PROF.]:[AGRUP. CLAS. PROF.]]=$B84,IF(DATOS_[[Check Periodo Ref.]:[Check Periodo Ref.]]="Dentro",DATOS_[Conc.Sal.16]))))), 0)</f>
        <v>0</v>
      </c>
      <c r="V85" s="209" t="n">
        <f aca="false" t="array" ref="V85:V85">IFERROR( AVERAGE((IF(DATOS_[[Sexo]:[Sexo]]=$B85,IF(DATOS_[[AGRUP. CLAS. PROF.]:[AGRUP. CLAS. PROF.]]=$B84,IF(DATOS_[[Check Periodo Ref.]:[Check Periodo Ref.]]="Dentro",DATOS_[Conc.Sal.17]))))), 0)</f>
        <v>0</v>
      </c>
      <c r="W85" s="209" t="n">
        <f aca="false" t="array" ref="W85:W85">IFERROR( AVERAGE((IF(DATOS_[[Sexo]:[Sexo]]=$B85,IF(DATOS_[[AGRUP. CLAS. PROF.]:[AGRUP. CLAS. PROF.]]=$B84,IF(DATOS_[[Check Periodo Ref.]:[Check Periodo Ref.]]="Dentro",DATOS_[Conc.Sal.18]))))), 0)</f>
        <v>0</v>
      </c>
      <c r="X85" s="209" t="n">
        <f aca="false" t="array" ref="X85:X85">IFERROR( AVERAGE((IF(DATOS_[[Sexo]:[Sexo]]=$B85,IF(DATOS_[[AGRUP. CLAS. PROF.]:[AGRUP. CLAS. PROF.]]=$B84,IF(DATOS_[[Check Periodo Ref.]:[Check Periodo Ref.]]="Dentro",DATOS_[Conc.Sal.19]))))), 0)</f>
        <v>0</v>
      </c>
      <c r="Y85" s="209" t="n">
        <f aca="false" t="array" ref="Y85:Y85">IFERROR( AVERAGE((IF(DATOS_[[Sexo]:[Sexo]]=$B85,IF(DATOS_[[AGRUP. CLAS. PROF.]:[AGRUP. CLAS. PROF.]]=$B84,IF(DATOS_[[Check Periodo Ref.]:[Check Periodo Ref.]]="Dentro",DATOS_[Conc.Sal.20]))))), 0)</f>
        <v>0</v>
      </c>
      <c r="Z85" s="209" t="n">
        <f aca="false" t="array" ref="Z85:Z85">IFERROR( AVERAGE((IF(DATOS_[[Sexo]:[Sexo]]=$B85,IF(DATOS_[[AGRUP. CLAS. PROF.]:[AGRUP. CLAS. PROF.]]=$B84,IF(DATOS_[[Check Periodo Ref.]:[Check Periodo Ref.]]="Dentro",DATOS_[Conc.Sal.21]))))), 0)</f>
        <v>0</v>
      </c>
      <c r="AA85" s="209" t="n">
        <f aca="false" t="array" ref="AA85:AA85">IFERROR( AVERAGE((IF(DATOS_[[Sexo]:[Sexo]]=$B85,IF(DATOS_[[AGRUP. CLAS. PROF.]:[AGRUP. CLAS. PROF.]]=$B84,IF(DATOS_[[Check Periodo Ref.]:[Check Periodo Ref.]]="Dentro",DATOS_[Conc.Sal.22]))))), 0)</f>
        <v>0</v>
      </c>
      <c r="AB85" s="209" t="n">
        <f aca="false" t="array" ref="AB85:AB85">IFERROR( AVERAGE((IF(DATOS_[[Sexo]:[Sexo]]=$B85,IF(DATOS_[[AGRUP. CLAS. PROF.]:[AGRUP. CLAS. PROF.]]=$B84,IF(DATOS_[[Check Periodo Ref.]:[Check Periodo Ref.]]="Dentro",DATOS_[Conc.Sal.23]))))), 0)</f>
        <v>0</v>
      </c>
      <c r="AC85" s="209" t="n">
        <f aca="false" t="array" ref="AC85:AC85">IFERROR( AVERAGE((IF(DATOS_[[Sexo]:[Sexo]]=$B85,IF(DATOS_[[AGRUP. CLAS. PROF.]:[AGRUP. CLAS. PROF.]]=$B84,IF(DATOS_[[Check Periodo Ref.]:[Check Periodo Ref.]]="Dentro",DATOS_[Conc.Sal.24]))))), 0)</f>
        <v>0</v>
      </c>
      <c r="AD85" s="209" t="n">
        <f aca="false" t="array" ref="AD85:AD85">IFERROR( AVERAGE((IF(DATOS_[[Sexo]:[Sexo]]=$B85,IF(DATOS_[[AGRUP. CLAS. PROF.]:[AGRUP. CLAS. PROF.]]=$B84,IF(DATOS_[[Check Periodo Ref.]:[Check Periodo Ref.]]="Dentro",DATOS_[Conc.Sal.25]))))), 0)</f>
        <v>0</v>
      </c>
      <c r="AE85" s="209" t="n">
        <f aca="false" t="array" ref="AE85:AE85">IFERROR( AVERAGE((IF(DATOS_[[Sexo]:[Sexo]]=$B85,IF(DATOS_[[AGRUP. CLAS. PROF.]:[AGRUP. CLAS. PROF.]]=$B84,IF(DATOS_[[Check Periodo Ref.]:[Check Periodo Ref.]]="Dentro",DATOS_[Conc.Sal.26]))))), 0)</f>
        <v>0</v>
      </c>
      <c r="AF85" s="209" t="n">
        <f aca="false" t="array" ref="AF85:AF85">IFERROR( AVERAGE((IF(DATOS_[[Sexo]:[Sexo]]=$B85,IF(DATOS_[[AGRUP. CLAS. PROF.]:[AGRUP. CLAS. PROF.]]=$B84,IF(DATOS_[[Check Periodo Ref.]:[Check Periodo Ref.]]="Dentro",DATOS_[Conc.Sal.27]))))), 0)</f>
        <v>0</v>
      </c>
      <c r="AG85" s="209" t="n">
        <f aca="false" t="array" ref="AG85:AG85">IFERROR( AVERAGE((IF(DATOS_[[Sexo]:[Sexo]]=$B85,IF(DATOS_[[AGRUP. CLAS. PROF.]:[AGRUP. CLAS. PROF.]]=$B84,IF(DATOS_[[Check Periodo Ref.]:[Check Periodo Ref.]]="Dentro",DATOS_[Conc.Sal.28]))))), 0)</f>
        <v>0</v>
      </c>
      <c r="AH85" s="209" t="n">
        <f aca="false" t="array" ref="AH85:AH85">IFERROR( AVERAGE((IF(DATOS_[[Sexo]:[Sexo]]=$B85,IF(DATOS_[[AGRUP. CLAS. PROF.]:[AGRUP. CLAS. PROF.]]=$B84,IF(DATOS_[[Check Periodo Ref.]:[Check Periodo Ref.]]="Dentro",DATOS_[Conc.Sal.29]))))), 0)</f>
        <v>0</v>
      </c>
      <c r="AI85" s="209" t="n">
        <f aca="false" t="array" ref="AI85:AI85">IFERROR( AVERAGE((IF(DATOS_[[Sexo]:[Sexo]]=$B85,IF(DATOS_[[AGRUP. CLAS. PROF.]:[AGRUP. CLAS. PROF.]]=$B84,IF(DATOS_[[Check Periodo Ref.]:[Check Periodo Ref.]]="Dentro",DATOS_[Conc.Sal.30]))))), 0)</f>
        <v>0</v>
      </c>
      <c r="AJ85" s="210" t="n">
        <f aca="false" t="array" ref="AJ85:AJ85">IFERROR( AVERAGE(IF(DATOS_[Sexo]=$B85,IF(DATOS_[AGRUP. CLAS. PROF.]=$B84,IF(DATOS_[Check Periodo Ref.]="Dentro",DATOS_[Tot COMPL.SAL Ef],0)))), 0)</f>
        <v>0</v>
      </c>
      <c r="AK85" s="211" t="n">
        <f aca="false" t="array" ref="AK85:AK85">IFERROR( AVERAGE(IF(DATOS_[Sexo]=$B85,IF(DATOS_[AGRUP. CLAS. PROF.]=$B84,IF(DATOS_[Check Periodo Ref.]="Dentro",DATOS_[TOTAL SALARIO Ef],0)))), 0)</f>
        <v>0</v>
      </c>
      <c r="AL85" s="212" t="n">
        <f aca="false" t="array" ref="AL85:AL85">IFERROR( AVERAGE((IF(DATOS_[[Sexo]:[Sexo]]=$B85,IF(DATOS_[[AGRUP. CLAS. PROF.]:[AGRUP. CLAS. PROF.]]=$B84,IF(DATOS_[[Check Periodo Ref.]:[Check Periodo Ref.]]="Dentro",DATOS_[C.Extra.01]))))), 0)</f>
        <v>0</v>
      </c>
      <c r="AM85" s="212" t="n">
        <f aca="false" t="array" ref="AM85:AM85">IFERROR( AVERAGE((IF(DATOS_[[Sexo]:[Sexo]]=$B85,IF(DATOS_[[AGRUP. CLAS. PROF.]:[AGRUP. CLAS. PROF.]]=$B84,IF(DATOS_[[Check Periodo Ref.]:[Check Periodo Ref.]]="Dentro",DATOS_[C.Extra.02]))))), 0)</f>
        <v>0</v>
      </c>
      <c r="AN85" s="212" t="n">
        <f aca="false" t="array" ref="AN85:AN85">IFERROR( AVERAGE((IF(DATOS_[[Sexo]:[Sexo]]=$B85,IF(DATOS_[[AGRUP. CLAS. PROF.]:[AGRUP. CLAS. PROF.]]=$B84,IF(DATOS_[[Check Periodo Ref.]:[Check Periodo Ref.]]="Dentro",DATOS_[C.Extra.03]))))), 0)</f>
        <v>0</v>
      </c>
      <c r="AO85" s="212" t="n">
        <f aca="false" t="array" ref="AO85:AO85">IFERROR( AVERAGE((IF(DATOS_[[Sexo]:[Sexo]]=$B85,IF(DATOS_[[AGRUP. CLAS. PROF.]:[AGRUP. CLAS. PROF.]]=$B84,IF(DATOS_[[Check Periodo Ref.]:[Check Periodo Ref.]]="Dentro",DATOS_[C.Extra.04]))))), 0)</f>
        <v>0</v>
      </c>
      <c r="AP85" s="212" t="n">
        <f aca="false" t="array" ref="AP85:AP85">IFERROR( AVERAGE((IF(DATOS_[[Sexo]:[Sexo]]=$B85,IF(DATOS_[[AGRUP. CLAS. PROF.]:[AGRUP. CLAS. PROF.]]=$B84,IF(DATOS_[[Check Periodo Ref.]:[Check Periodo Ref.]]="Dentro",DATOS_[C.Extra.05]))))), 0)</f>
        <v>0</v>
      </c>
      <c r="AQ85" s="213" t="n">
        <f aca="false" t="array" ref="AQ85:AQ85">IFERROR( AVERAGE(IF(DATOS_[Sexo]=$B85,IF(DATOS_[AGRUP. CLAS. PROF.]=$B84,IF(DATOS_[Check Periodo Ref.]="Dentro",DATOS_[Tot Extrasalarial Ef],0)))), 0)</f>
        <v>0</v>
      </c>
      <c r="AR85" s="214" t="n">
        <f aca="false" t="array" ref="AR85:AR85">IFERROR( AVERAGE(IF(DATOS_[Sexo]=$B85,IF(DATOS_[AGRUP. CLAS. PROF.]=$B84,IF(DATOS_[Check Periodo Ref.]="Dentro",DATOS_[TOTAL Retrib Ef],0)))), 0)</f>
        <v>0</v>
      </c>
    </row>
    <row r="86" customFormat="false" ht="14.25" hidden="false" customHeight="false" outlineLevel="0" collapsed="false">
      <c r="A86" s="191" t="str">
        <f aca="false">+A85</f>
        <v>[ocultar]</v>
      </c>
      <c r="B86" s="205" t="s">
        <v>372</v>
      </c>
      <c r="C86" s="206" t="n">
        <f aca="false" t="array" ref="C86:C86">SUM(IF($B86=DATOS_[Sexo], IF($B84=DATOS_[AGRUP. CLAS. PROF.], IF("Dentro"=DATOS_[Check Periodo Ref.], 1/(COUNTIFS(DATOS_[Sexo],$B86,DATOS_[AGRUP. CLAS. PROF.],$B84,DATOS_[Check Periodo Ref.],"Dentro",DATOS_[id],DATOS_[id]))))))</f>
        <v>0</v>
      </c>
      <c r="D86" s="207" t="n">
        <f aca="false">COUNTIFS(DATOS_[AGRUP. CLAS. PROF.],$B84,DATOS_[Sexo],$B86,DATOS_[Check Periodo Ref.],"Dentro")</f>
        <v>0</v>
      </c>
      <c r="E86" s="208" t="n">
        <f aca="false" t="array" ref="E86:E86">IFERROR( AVERAGE(IF(DATOS_[Sexo]=$B86,IF(DATOS_[AGRUP. CLAS. PROF.]=$B84,IF(DATOS_[Check Periodo Ref.]="Dentro",DATOS_[SALARIO BASE Ef],0)))), 0)</f>
        <v>0</v>
      </c>
      <c r="F86" s="209" t="n">
        <f aca="false" t="array" ref="F86:F86">IFERROR( AVERAGE((IF(DATOS_[[Sexo]:[Sexo]]=$B86,IF(DATOS_[[AGRUP. CLAS. PROF.]:[AGRUP. CLAS. PROF.]]=$B84,IF(DATOS_[[Check Periodo Ref.]:[Check Periodo Ref.]]="Dentro",DATOS_[Conc.Sal.01]))))), 0)</f>
        <v>0</v>
      </c>
      <c r="G86" s="209" t="n">
        <f aca="false" t="array" ref="G86:G86">IFERROR( AVERAGE((IF(DATOS_[[Sexo]:[Sexo]]=$B86,IF(DATOS_[[AGRUP. CLAS. PROF.]:[AGRUP. CLAS. PROF.]]=$B84,IF(DATOS_[[Check Periodo Ref.]:[Check Periodo Ref.]]="Dentro",DATOS_[Conc.Sal.02]))))), 0)</f>
        <v>0</v>
      </c>
      <c r="H86" s="209" t="n">
        <f aca="false" t="array" ref="H86:H86">IFERROR( AVERAGE((IF(DATOS_[[Sexo]:[Sexo]]=$B86,IF(DATOS_[[AGRUP. CLAS. PROF.]:[AGRUP. CLAS. PROF.]]=$B84,IF(DATOS_[[Check Periodo Ref.]:[Check Periodo Ref.]]="Dentro",DATOS_[Conc.Sal.03]))))), 0)</f>
        <v>0</v>
      </c>
      <c r="I86" s="209" t="n">
        <f aca="false" t="array" ref="I86:I86">IFERROR( AVERAGE((IF(DATOS_[[Sexo]:[Sexo]]=$B86,IF(DATOS_[[AGRUP. CLAS. PROF.]:[AGRUP. CLAS. PROF.]]=$B84,IF(DATOS_[[Check Periodo Ref.]:[Check Periodo Ref.]]="Dentro",DATOS_[Conc.Sal.04]))))), 0)</f>
        <v>0</v>
      </c>
      <c r="J86" s="209" t="n">
        <f aca="false" t="array" ref="J86:J86">IFERROR( AVERAGE((IF(DATOS_[[Sexo]:[Sexo]]=$B86,IF(DATOS_[[AGRUP. CLAS. PROF.]:[AGRUP. CLAS. PROF.]]=$B84,IF(DATOS_[[Check Periodo Ref.]:[Check Periodo Ref.]]="Dentro",DATOS_[Conc.Sal.05]))))), 0)</f>
        <v>0</v>
      </c>
      <c r="K86" s="209" t="n">
        <f aca="false" t="array" ref="K86:K86">IFERROR( AVERAGE((IF(DATOS_[[Sexo]:[Sexo]]=$B86,IF(DATOS_[[AGRUP. CLAS. PROF.]:[AGRUP. CLAS. PROF.]]=$B84,IF(DATOS_[[Check Periodo Ref.]:[Check Periodo Ref.]]="Dentro",DATOS_[Conc.Sal.06]))))), 0)</f>
        <v>0</v>
      </c>
      <c r="L86" s="209" t="n">
        <f aca="false" t="array" ref="L86:L86">IFERROR( AVERAGE((IF(DATOS_[[Sexo]:[Sexo]]=$B86,IF(DATOS_[[AGRUP. CLAS. PROF.]:[AGRUP. CLAS. PROF.]]=$B84,IF(DATOS_[[Check Periodo Ref.]:[Check Periodo Ref.]]="Dentro",DATOS_[Conc.Sal.07]))))), 0)</f>
        <v>0</v>
      </c>
      <c r="M86" s="209" t="n">
        <f aca="false" t="array" ref="M86:M86">IFERROR( AVERAGE((IF(DATOS_[[Sexo]:[Sexo]]=$B86,IF(DATOS_[[AGRUP. CLAS. PROF.]:[AGRUP. CLAS. PROF.]]=$B84,IF(DATOS_[[Check Periodo Ref.]:[Check Periodo Ref.]]="Dentro",DATOS_[Conc.Sal.08]))))), 0)</f>
        <v>0</v>
      </c>
      <c r="N86" s="209" t="n">
        <f aca="false" t="array" ref="N86:N86">IFERROR( AVERAGE((IF(DATOS_[[Sexo]:[Sexo]]=$B86,IF(DATOS_[[AGRUP. CLAS. PROF.]:[AGRUP. CLAS. PROF.]]=$B84,IF(DATOS_[[Check Periodo Ref.]:[Check Periodo Ref.]]="Dentro",DATOS_[Conc.Sal.09]))))), 0)</f>
        <v>0</v>
      </c>
      <c r="O86" s="209" t="n">
        <f aca="false" t="array" ref="O86:O86">IFERROR( AVERAGE((IF(DATOS_[[Sexo]:[Sexo]]=$B86,IF(DATOS_[[AGRUP. CLAS. PROF.]:[AGRUP. CLAS. PROF.]]=$B84,IF(DATOS_[[Check Periodo Ref.]:[Check Periodo Ref.]]="Dentro",DATOS_[Conc.Sal.10]))))), 0)</f>
        <v>0</v>
      </c>
      <c r="P86" s="209" t="n">
        <f aca="false" t="array" ref="P86:P86">IFERROR( AVERAGE((IF(DATOS_[[Sexo]:[Sexo]]=$B86,IF(DATOS_[[AGRUP. CLAS. PROF.]:[AGRUP. CLAS. PROF.]]=$B84,IF(DATOS_[[Check Periodo Ref.]:[Check Periodo Ref.]]="Dentro",DATOS_[Conc.Sal.11]))))), 0)</f>
        <v>0</v>
      </c>
      <c r="Q86" s="209" t="n">
        <f aca="false" t="array" ref="Q86:Q86">IFERROR( AVERAGE((IF(DATOS_[[Sexo]:[Sexo]]=$B86,IF(DATOS_[[AGRUP. CLAS. PROF.]:[AGRUP. CLAS. PROF.]]=$B84,IF(DATOS_[[Check Periodo Ref.]:[Check Periodo Ref.]]="Dentro",DATOS_[Conc.Sal.12]))))), 0)</f>
        <v>0</v>
      </c>
      <c r="R86" s="209" t="n">
        <f aca="false" t="array" ref="R86:R86">IFERROR( AVERAGE((IF(DATOS_[[Sexo]:[Sexo]]=$B86,IF(DATOS_[[AGRUP. CLAS. PROF.]:[AGRUP. CLAS. PROF.]]=$B84,IF(DATOS_[[Check Periodo Ref.]:[Check Periodo Ref.]]="Dentro",DATOS_[Conc.Sal.13]))))), 0)</f>
        <v>0</v>
      </c>
      <c r="S86" s="209" t="n">
        <f aca="false" t="array" ref="S86:S86">IFERROR( AVERAGE((IF(DATOS_[[Sexo]:[Sexo]]=$B86,IF(DATOS_[[AGRUP. CLAS. PROF.]:[AGRUP. CLAS. PROF.]]=$B84,IF(DATOS_[[Check Periodo Ref.]:[Check Periodo Ref.]]="Dentro",DATOS_[Conc.Sal.14]))))), 0)</f>
        <v>0</v>
      </c>
      <c r="T86" s="209" t="n">
        <f aca="false" t="array" ref="T86:T86">IFERROR( AVERAGE((IF(DATOS_[[Sexo]:[Sexo]]=$B86,IF(DATOS_[[AGRUP. CLAS. PROF.]:[AGRUP. CLAS. PROF.]]=$B84,IF(DATOS_[[Check Periodo Ref.]:[Check Periodo Ref.]]="Dentro",DATOS_[Conc.Sal.15]))))), 0)</f>
        <v>0</v>
      </c>
      <c r="U86" s="209" t="n">
        <f aca="false" t="array" ref="U86:U86">IFERROR( AVERAGE((IF(DATOS_[[Sexo]:[Sexo]]=$B86,IF(DATOS_[[AGRUP. CLAS. PROF.]:[AGRUP. CLAS. PROF.]]=$B84,IF(DATOS_[[Check Periodo Ref.]:[Check Periodo Ref.]]="Dentro",DATOS_[Conc.Sal.16]))))), 0)</f>
        <v>0</v>
      </c>
      <c r="V86" s="209" t="n">
        <f aca="false" t="array" ref="V86:V86">IFERROR( AVERAGE((IF(DATOS_[[Sexo]:[Sexo]]=$B86,IF(DATOS_[[AGRUP. CLAS. PROF.]:[AGRUP. CLAS. PROF.]]=$B84,IF(DATOS_[[Check Periodo Ref.]:[Check Periodo Ref.]]="Dentro",DATOS_[Conc.Sal.17]))))), 0)</f>
        <v>0</v>
      </c>
      <c r="W86" s="209" t="n">
        <f aca="false" t="array" ref="W86:W86">IFERROR( AVERAGE((IF(DATOS_[[Sexo]:[Sexo]]=$B86,IF(DATOS_[[AGRUP. CLAS. PROF.]:[AGRUP. CLAS. PROF.]]=$B84,IF(DATOS_[[Check Periodo Ref.]:[Check Periodo Ref.]]="Dentro",DATOS_[Conc.Sal.18]))))), 0)</f>
        <v>0</v>
      </c>
      <c r="X86" s="209" t="n">
        <f aca="false" t="array" ref="X86:X86">IFERROR( AVERAGE((IF(DATOS_[[Sexo]:[Sexo]]=$B86,IF(DATOS_[[AGRUP. CLAS. PROF.]:[AGRUP. CLAS. PROF.]]=$B84,IF(DATOS_[[Check Periodo Ref.]:[Check Periodo Ref.]]="Dentro",DATOS_[Conc.Sal.19]))))), 0)</f>
        <v>0</v>
      </c>
      <c r="Y86" s="209" t="n">
        <f aca="false" t="array" ref="Y86:Y86">IFERROR( AVERAGE((IF(DATOS_[[Sexo]:[Sexo]]=$B86,IF(DATOS_[[AGRUP. CLAS. PROF.]:[AGRUP. CLAS. PROF.]]=$B84,IF(DATOS_[[Check Periodo Ref.]:[Check Periodo Ref.]]="Dentro",DATOS_[Conc.Sal.20]))))), 0)</f>
        <v>0</v>
      </c>
      <c r="Z86" s="209" t="n">
        <f aca="false" t="array" ref="Z86:Z86">IFERROR( AVERAGE((IF(DATOS_[[Sexo]:[Sexo]]=$B86,IF(DATOS_[[AGRUP. CLAS. PROF.]:[AGRUP. CLAS. PROF.]]=$B84,IF(DATOS_[[Check Periodo Ref.]:[Check Periodo Ref.]]="Dentro",DATOS_[Conc.Sal.21]))))), 0)</f>
        <v>0</v>
      </c>
      <c r="AA86" s="209" t="n">
        <f aca="false" t="array" ref="AA86:AA86">IFERROR( AVERAGE((IF(DATOS_[[Sexo]:[Sexo]]=$B86,IF(DATOS_[[AGRUP. CLAS. PROF.]:[AGRUP. CLAS. PROF.]]=$B84,IF(DATOS_[[Check Periodo Ref.]:[Check Periodo Ref.]]="Dentro",DATOS_[Conc.Sal.22]))))), 0)</f>
        <v>0</v>
      </c>
      <c r="AB86" s="209" t="n">
        <f aca="false" t="array" ref="AB86:AB86">IFERROR( AVERAGE((IF(DATOS_[[Sexo]:[Sexo]]=$B86,IF(DATOS_[[AGRUP. CLAS. PROF.]:[AGRUP. CLAS. PROF.]]=$B84,IF(DATOS_[[Check Periodo Ref.]:[Check Periodo Ref.]]="Dentro",DATOS_[Conc.Sal.23]))))), 0)</f>
        <v>0</v>
      </c>
      <c r="AC86" s="209" t="n">
        <f aca="false" t="array" ref="AC86:AC86">IFERROR( AVERAGE((IF(DATOS_[[Sexo]:[Sexo]]=$B86,IF(DATOS_[[AGRUP. CLAS. PROF.]:[AGRUP. CLAS. PROF.]]=$B84,IF(DATOS_[[Check Periodo Ref.]:[Check Periodo Ref.]]="Dentro",DATOS_[Conc.Sal.24]))))), 0)</f>
        <v>0</v>
      </c>
      <c r="AD86" s="209" t="n">
        <f aca="false" t="array" ref="AD86:AD86">IFERROR( AVERAGE((IF(DATOS_[[Sexo]:[Sexo]]=$B86,IF(DATOS_[[AGRUP. CLAS. PROF.]:[AGRUP. CLAS. PROF.]]=$B84,IF(DATOS_[[Check Periodo Ref.]:[Check Periodo Ref.]]="Dentro",DATOS_[Conc.Sal.25]))))), 0)</f>
        <v>0</v>
      </c>
      <c r="AE86" s="209" t="n">
        <f aca="false" t="array" ref="AE86:AE86">IFERROR( AVERAGE((IF(DATOS_[[Sexo]:[Sexo]]=$B86,IF(DATOS_[[AGRUP. CLAS. PROF.]:[AGRUP. CLAS. PROF.]]=$B84,IF(DATOS_[[Check Periodo Ref.]:[Check Periodo Ref.]]="Dentro",DATOS_[Conc.Sal.26]))))), 0)</f>
        <v>0</v>
      </c>
      <c r="AF86" s="209" t="n">
        <f aca="false" t="array" ref="AF86:AF86">IFERROR( AVERAGE((IF(DATOS_[[Sexo]:[Sexo]]=$B86,IF(DATOS_[[AGRUP. CLAS. PROF.]:[AGRUP. CLAS. PROF.]]=$B84,IF(DATOS_[[Check Periodo Ref.]:[Check Periodo Ref.]]="Dentro",DATOS_[Conc.Sal.27]))))), 0)</f>
        <v>0</v>
      </c>
      <c r="AG86" s="209" t="n">
        <f aca="false" t="array" ref="AG86:AG86">IFERROR( AVERAGE((IF(DATOS_[[Sexo]:[Sexo]]=$B86,IF(DATOS_[[AGRUP. CLAS. PROF.]:[AGRUP. CLAS. PROF.]]=$B84,IF(DATOS_[[Check Periodo Ref.]:[Check Periodo Ref.]]="Dentro",DATOS_[Conc.Sal.28]))))), 0)</f>
        <v>0</v>
      </c>
      <c r="AH86" s="209" t="n">
        <f aca="false" t="array" ref="AH86:AH86">IFERROR( AVERAGE((IF(DATOS_[[Sexo]:[Sexo]]=$B86,IF(DATOS_[[AGRUP. CLAS. PROF.]:[AGRUP. CLAS. PROF.]]=$B84,IF(DATOS_[[Check Periodo Ref.]:[Check Periodo Ref.]]="Dentro",DATOS_[Conc.Sal.29]))))), 0)</f>
        <v>0</v>
      </c>
      <c r="AI86" s="209" t="n">
        <f aca="false" t="array" ref="AI86:AI86">IFERROR( AVERAGE((IF(DATOS_[[Sexo]:[Sexo]]=$B86,IF(DATOS_[[AGRUP. CLAS. PROF.]:[AGRUP. CLAS. PROF.]]=$B84,IF(DATOS_[[Check Periodo Ref.]:[Check Periodo Ref.]]="Dentro",DATOS_[Conc.Sal.30]))))), 0)</f>
        <v>0</v>
      </c>
      <c r="AJ86" s="210" t="n">
        <f aca="false" t="array" ref="AJ86:AJ86">IFERROR( AVERAGE(IF(DATOS_[Sexo]=$B86,IF(DATOS_[AGRUP. CLAS. PROF.]=$B84,IF(DATOS_[Check Periodo Ref.]="Dentro",DATOS_[Tot COMPL.SAL Ef],0)))), 0)</f>
        <v>0</v>
      </c>
      <c r="AK86" s="211" t="n">
        <f aca="false" t="array" ref="AK86:AK86">IFERROR( AVERAGE(IF(DATOS_[Sexo]=$B86,IF(DATOS_[AGRUP. CLAS. PROF.]=$B84,IF(DATOS_[Check Periodo Ref.]="Dentro",DATOS_[TOTAL SALARIO Ef],0)))), 0)</f>
        <v>0</v>
      </c>
      <c r="AL86" s="212" t="n">
        <f aca="false" t="array" ref="AL86:AL86">IFERROR( AVERAGE((IF(DATOS_[[Sexo]:[Sexo]]=$B86,IF(DATOS_[[AGRUP. CLAS. PROF.]:[AGRUP. CLAS. PROF.]]=$B84,IF(DATOS_[[Check Periodo Ref.]:[Check Periodo Ref.]]="Dentro",DATOS_[C.Extra.01]))))), 0)</f>
        <v>0</v>
      </c>
      <c r="AM86" s="212" t="n">
        <f aca="false" t="array" ref="AM86:AM86">IFERROR( AVERAGE((IF(DATOS_[[Sexo]:[Sexo]]=$B86,IF(DATOS_[[AGRUP. CLAS. PROF.]:[AGRUP. CLAS. PROF.]]=$B84,IF(DATOS_[[Check Periodo Ref.]:[Check Periodo Ref.]]="Dentro",DATOS_[C.Extra.02]))))), 0)</f>
        <v>0</v>
      </c>
      <c r="AN86" s="212" t="n">
        <f aca="false" t="array" ref="AN86:AN86">IFERROR( AVERAGE((IF(DATOS_[[Sexo]:[Sexo]]=$B86,IF(DATOS_[[AGRUP. CLAS. PROF.]:[AGRUP. CLAS. PROF.]]=$B84,IF(DATOS_[[Check Periodo Ref.]:[Check Periodo Ref.]]="Dentro",DATOS_[C.Extra.03]))))), 0)</f>
        <v>0</v>
      </c>
      <c r="AO86" s="212" t="n">
        <f aca="false" t="array" ref="AO86:AO86">IFERROR( AVERAGE((IF(DATOS_[[Sexo]:[Sexo]]=$B86,IF(DATOS_[[AGRUP. CLAS. PROF.]:[AGRUP. CLAS. PROF.]]=$B84,IF(DATOS_[[Check Periodo Ref.]:[Check Periodo Ref.]]="Dentro",DATOS_[C.Extra.04]))))), 0)</f>
        <v>0</v>
      </c>
      <c r="AP86" s="212" t="n">
        <f aca="false" t="array" ref="AP86:AP86">IFERROR( AVERAGE((IF(DATOS_[[Sexo]:[Sexo]]=$B86,IF(DATOS_[[AGRUP. CLAS. PROF.]:[AGRUP. CLAS. PROF.]]=$B84,IF(DATOS_[[Check Periodo Ref.]:[Check Periodo Ref.]]="Dentro",DATOS_[C.Extra.05]))))), 0)</f>
        <v>0</v>
      </c>
      <c r="AQ86" s="213" t="n">
        <f aca="false" t="array" ref="AQ86:AQ86">IFERROR( AVERAGE(IF(DATOS_[Sexo]=$B86,IF(DATOS_[AGRUP. CLAS. PROF.]=$B84,IF(DATOS_[Check Periodo Ref.]="Dentro",DATOS_[Tot Extrasalarial Ef],0)))), 0)</f>
        <v>0</v>
      </c>
      <c r="AR86" s="214" t="n">
        <f aca="false" t="array" ref="AR86:AR86">IFERROR( AVERAGE(IF(DATOS_[Sexo]=$B86,IF(DATOS_[AGRUP. CLAS. PROF.]=$B84,IF(DATOS_[Check Periodo Ref.]="Dentro",DATOS_[TOTAL Retrib Ef],0)))), 0)</f>
        <v>0</v>
      </c>
    </row>
    <row r="87" customFormat="false" ht="15.75" hidden="false" customHeight="false" outlineLevel="0" collapsed="false">
      <c r="A87" s="191" t="str">
        <f aca="false">+A88</f>
        <v>[ocultar]</v>
      </c>
      <c r="B87" s="192" t="s">
        <v>240</v>
      </c>
      <c r="C87" s="193"/>
      <c r="D87" s="194"/>
      <c r="E87" s="195" t="str">
        <f aca="false">IFERROR((E88-E89)/E88,"")</f>
        <v/>
      </c>
      <c r="F87" s="196" t="str">
        <f aca="false">IFERROR((F88-F89)/F88,"")</f>
        <v/>
      </c>
      <c r="G87" s="197" t="str">
        <f aca="false">IFERROR((G88-G89)/G88,"")</f>
        <v/>
      </c>
      <c r="H87" s="197" t="str">
        <f aca="false">IFERROR((H88-H89)/H88,"")</f>
        <v/>
      </c>
      <c r="I87" s="197" t="str">
        <f aca="false">IFERROR((I88-I89)/I88,"")</f>
        <v/>
      </c>
      <c r="J87" s="198" t="str">
        <f aca="false">IFERROR((J88-J89)/J88,"")</f>
        <v/>
      </c>
      <c r="K87" s="199" t="str">
        <f aca="false">IFERROR((K88-K89)/K88,"")</f>
        <v/>
      </c>
      <c r="L87" s="199" t="str">
        <f aca="false">IFERROR((L88-L89)/L88,"")</f>
        <v/>
      </c>
      <c r="M87" s="199" t="str">
        <f aca="false">IFERROR((M88-M89)/M88,"")</f>
        <v/>
      </c>
      <c r="N87" s="199" t="str">
        <f aca="false">IFERROR((N88-N89)/N88,"")</f>
        <v/>
      </c>
      <c r="O87" s="199" t="str">
        <f aca="false">IFERROR((O88-O89)/O88,"")</f>
        <v/>
      </c>
      <c r="P87" s="199" t="str">
        <f aca="false">IFERROR((P88-P89)/P88,"")</f>
        <v/>
      </c>
      <c r="Q87" s="199" t="str">
        <f aca="false">IFERROR((Q88-Q89)/Q88,"")</f>
        <v/>
      </c>
      <c r="R87" s="199" t="str">
        <f aca="false">IFERROR((R88-R89)/R88,"")</f>
        <v/>
      </c>
      <c r="S87" s="199" t="str">
        <f aca="false">IFERROR((S88-S89)/S88,"")</f>
        <v/>
      </c>
      <c r="T87" s="199" t="str">
        <f aca="false">IFERROR((T88-T89)/T88,"")</f>
        <v/>
      </c>
      <c r="U87" s="199" t="str">
        <f aca="false">IFERROR((U88-U89)/U88,"")</f>
        <v/>
      </c>
      <c r="V87" s="198" t="str">
        <f aca="false">IFERROR((V88-V89)/V88,"")</f>
        <v/>
      </c>
      <c r="W87" s="198" t="str">
        <f aca="false">IFERROR((W88-W89)/W88,"")</f>
        <v/>
      </c>
      <c r="X87" s="198" t="str">
        <f aca="false">IFERROR((X88-X89)/X88,"")</f>
        <v/>
      </c>
      <c r="Y87" s="198" t="str">
        <f aca="false">IFERROR((Y88-Y89)/Y88,"")</f>
        <v/>
      </c>
      <c r="Z87" s="198" t="str">
        <f aca="false">IFERROR((Z88-Z89)/Z88,"")</f>
        <v/>
      </c>
      <c r="AA87" s="198" t="str">
        <f aca="false">IFERROR((AA88-AA89)/AA88,"")</f>
        <v/>
      </c>
      <c r="AB87" s="198" t="str">
        <f aca="false">IFERROR((AB88-AB89)/AB88,"")</f>
        <v/>
      </c>
      <c r="AC87" s="198" t="str">
        <f aca="false">IFERROR((AC88-AC89)/AC88,"")</f>
        <v/>
      </c>
      <c r="AD87" s="198" t="str">
        <f aca="false">IFERROR((AD88-AD89)/AD88,"")</f>
        <v/>
      </c>
      <c r="AE87" s="198" t="str">
        <f aca="false">IFERROR((AE88-AE89)/AE88,"")</f>
        <v/>
      </c>
      <c r="AF87" s="198" t="str">
        <f aca="false">IFERROR((AF88-AF89)/AF88,"")</f>
        <v/>
      </c>
      <c r="AG87" s="198" t="str">
        <f aca="false">IFERROR((AG88-AG89)/AG88,"")</f>
        <v/>
      </c>
      <c r="AH87" s="198" t="str">
        <f aca="false">IFERROR((AH88-AH89)/AH88,"")</f>
        <v/>
      </c>
      <c r="AI87" s="198" t="str">
        <f aca="false">IFERROR((AI88-AI89)/AI88,"")</f>
        <v/>
      </c>
      <c r="AJ87" s="200" t="str">
        <f aca="false">IFERROR((AJ88-AJ89)/AJ88,"")</f>
        <v/>
      </c>
      <c r="AK87" s="201" t="str">
        <f aca="false">IFERROR((AK88-AK89)/AK88,"")</f>
        <v/>
      </c>
      <c r="AL87" s="202" t="str">
        <f aca="false">IFERROR((AL88-AL89)/AL88,"")</f>
        <v/>
      </c>
      <c r="AM87" s="202" t="str">
        <f aca="false">IFERROR((AM88-AM89)/AM88,"")</f>
        <v/>
      </c>
      <c r="AN87" s="202" t="str">
        <f aca="false">IFERROR((AN88-AN89)/AN88,"")</f>
        <v/>
      </c>
      <c r="AO87" s="202" t="str">
        <f aca="false">IFERROR((AO88-AO89)/AO88,"")</f>
        <v/>
      </c>
      <c r="AP87" s="202" t="str">
        <f aca="false">IFERROR((AP88-AP89)/AP88,"")</f>
        <v/>
      </c>
      <c r="AQ87" s="203" t="str">
        <f aca="false">IFERROR((AQ88-AQ89)/AQ88,"")</f>
        <v/>
      </c>
      <c r="AR87" s="204" t="str">
        <f aca="false">IFERROR((AR88-AR89)/AR88,"")</f>
        <v/>
      </c>
    </row>
    <row r="88" customFormat="false" ht="14.25" hidden="false" customHeight="false" outlineLevel="0" collapsed="false">
      <c r="A88" s="191" t="str">
        <f aca="false">+IF(C88+C89=0,"[ocultar]","")</f>
        <v>[ocultar]</v>
      </c>
      <c r="B88" s="205" t="s">
        <v>371</v>
      </c>
      <c r="C88" s="206" t="n">
        <f aca="false" t="array" ref="C88:C88">SUM(IF($B88=DATOS_[Sexo], IF($B87=DATOS_[AGRUP. CLAS. PROF.], IF("Dentro"=DATOS_[Check Periodo Ref.], 1/(COUNTIFS(DATOS_[Sexo],$B88,DATOS_[AGRUP. CLAS. PROF.],$B87,DATOS_[Check Periodo Ref.],"Dentro",DATOS_[id],DATOS_[id]))))))</f>
        <v>0</v>
      </c>
      <c r="D88" s="207" t="n">
        <f aca="false">COUNTIFS(DATOS_[AGRUP. CLAS. PROF.],$B87,DATOS_[Sexo],$B88,DATOS_[Check Periodo Ref.],"Dentro")</f>
        <v>0</v>
      </c>
      <c r="E88" s="208" t="n">
        <f aca="false" t="array" ref="E88:E88">IFERROR( AVERAGE(IF(DATOS_[Sexo]=$B88,IF(DATOS_[AGRUP. CLAS. PROF.]=$B87,IF(DATOS_[Check Periodo Ref.]="Dentro",DATOS_[SALARIO BASE Ef],0)))), 0)</f>
        <v>0</v>
      </c>
      <c r="F88" s="209" t="n">
        <f aca="false" t="array" ref="F88:F88">IFERROR( AVERAGE((IF(DATOS_[[Sexo]:[Sexo]]=$B88,IF(DATOS_[[AGRUP. CLAS. PROF.]:[AGRUP. CLAS. PROF.]]=$B87,IF(DATOS_[[Check Periodo Ref.]:[Check Periodo Ref.]]="Dentro",DATOS_[Conc.Sal.01]))))), 0)</f>
        <v>0</v>
      </c>
      <c r="G88" s="209" t="n">
        <f aca="false" t="array" ref="G88:G88">IFERROR( AVERAGE((IF(DATOS_[[Sexo]:[Sexo]]=$B88,IF(DATOS_[[AGRUP. CLAS. PROF.]:[AGRUP. CLAS. PROF.]]=$B87,IF(DATOS_[[Check Periodo Ref.]:[Check Periodo Ref.]]="Dentro",DATOS_[Conc.Sal.02]))))), 0)</f>
        <v>0</v>
      </c>
      <c r="H88" s="209" t="n">
        <f aca="false" t="array" ref="H88:H88">IFERROR( AVERAGE((IF(DATOS_[[Sexo]:[Sexo]]=$B88,IF(DATOS_[[AGRUP. CLAS. PROF.]:[AGRUP. CLAS. PROF.]]=$B87,IF(DATOS_[[Check Periodo Ref.]:[Check Periodo Ref.]]="Dentro",DATOS_[Conc.Sal.03]))))), 0)</f>
        <v>0</v>
      </c>
      <c r="I88" s="209" t="n">
        <f aca="false" t="array" ref="I88:I88">IFERROR( AVERAGE((IF(DATOS_[[Sexo]:[Sexo]]=$B88,IF(DATOS_[[AGRUP. CLAS. PROF.]:[AGRUP. CLAS. PROF.]]=$B87,IF(DATOS_[[Check Periodo Ref.]:[Check Periodo Ref.]]="Dentro",DATOS_[Conc.Sal.04]))))), 0)</f>
        <v>0</v>
      </c>
      <c r="J88" s="209" t="n">
        <f aca="false" t="array" ref="J88:J88">IFERROR( AVERAGE((IF(DATOS_[[Sexo]:[Sexo]]=$B88,IF(DATOS_[[AGRUP. CLAS. PROF.]:[AGRUP. CLAS. PROF.]]=$B87,IF(DATOS_[[Check Periodo Ref.]:[Check Periodo Ref.]]="Dentro",DATOS_[Conc.Sal.05]))))), 0)</f>
        <v>0</v>
      </c>
      <c r="K88" s="209" t="n">
        <f aca="false" t="array" ref="K88:K88">IFERROR( AVERAGE((IF(DATOS_[[Sexo]:[Sexo]]=$B88,IF(DATOS_[[AGRUP. CLAS. PROF.]:[AGRUP. CLAS. PROF.]]=$B87,IF(DATOS_[[Check Periodo Ref.]:[Check Periodo Ref.]]="Dentro",DATOS_[Conc.Sal.06]))))), 0)</f>
        <v>0</v>
      </c>
      <c r="L88" s="209" t="n">
        <f aca="false" t="array" ref="L88:L88">IFERROR( AVERAGE((IF(DATOS_[[Sexo]:[Sexo]]=$B88,IF(DATOS_[[AGRUP. CLAS. PROF.]:[AGRUP. CLAS. PROF.]]=$B87,IF(DATOS_[[Check Periodo Ref.]:[Check Periodo Ref.]]="Dentro",DATOS_[Conc.Sal.07]))))), 0)</f>
        <v>0</v>
      </c>
      <c r="M88" s="209" t="n">
        <f aca="false" t="array" ref="M88:M88">IFERROR( AVERAGE((IF(DATOS_[[Sexo]:[Sexo]]=$B88,IF(DATOS_[[AGRUP. CLAS. PROF.]:[AGRUP. CLAS. PROF.]]=$B87,IF(DATOS_[[Check Periodo Ref.]:[Check Periodo Ref.]]="Dentro",DATOS_[Conc.Sal.08]))))), 0)</f>
        <v>0</v>
      </c>
      <c r="N88" s="209" t="n">
        <f aca="false" t="array" ref="N88:N88">IFERROR( AVERAGE((IF(DATOS_[[Sexo]:[Sexo]]=$B88,IF(DATOS_[[AGRUP. CLAS. PROF.]:[AGRUP. CLAS. PROF.]]=$B87,IF(DATOS_[[Check Periodo Ref.]:[Check Periodo Ref.]]="Dentro",DATOS_[Conc.Sal.09]))))), 0)</f>
        <v>0</v>
      </c>
      <c r="O88" s="209" t="n">
        <f aca="false" t="array" ref="O88:O88">IFERROR( AVERAGE((IF(DATOS_[[Sexo]:[Sexo]]=$B88,IF(DATOS_[[AGRUP. CLAS. PROF.]:[AGRUP. CLAS. PROF.]]=$B87,IF(DATOS_[[Check Periodo Ref.]:[Check Periodo Ref.]]="Dentro",DATOS_[Conc.Sal.10]))))), 0)</f>
        <v>0</v>
      </c>
      <c r="P88" s="209" t="n">
        <f aca="false" t="array" ref="P88:P88">IFERROR( AVERAGE((IF(DATOS_[[Sexo]:[Sexo]]=$B88,IF(DATOS_[[AGRUP. CLAS. PROF.]:[AGRUP. CLAS. PROF.]]=$B87,IF(DATOS_[[Check Periodo Ref.]:[Check Periodo Ref.]]="Dentro",DATOS_[Conc.Sal.11]))))), 0)</f>
        <v>0</v>
      </c>
      <c r="Q88" s="209" t="n">
        <f aca="false" t="array" ref="Q88:Q88">IFERROR( AVERAGE((IF(DATOS_[[Sexo]:[Sexo]]=$B88,IF(DATOS_[[AGRUP. CLAS. PROF.]:[AGRUP. CLAS. PROF.]]=$B87,IF(DATOS_[[Check Periodo Ref.]:[Check Periodo Ref.]]="Dentro",DATOS_[Conc.Sal.12]))))), 0)</f>
        <v>0</v>
      </c>
      <c r="R88" s="209" t="n">
        <f aca="false" t="array" ref="R88:R88">IFERROR( AVERAGE((IF(DATOS_[[Sexo]:[Sexo]]=$B88,IF(DATOS_[[AGRUP. CLAS. PROF.]:[AGRUP. CLAS. PROF.]]=$B87,IF(DATOS_[[Check Periodo Ref.]:[Check Periodo Ref.]]="Dentro",DATOS_[Conc.Sal.13]))))), 0)</f>
        <v>0</v>
      </c>
      <c r="S88" s="209" t="n">
        <f aca="false" t="array" ref="S88:S88">IFERROR( AVERAGE((IF(DATOS_[[Sexo]:[Sexo]]=$B88,IF(DATOS_[[AGRUP. CLAS. PROF.]:[AGRUP. CLAS. PROF.]]=$B87,IF(DATOS_[[Check Periodo Ref.]:[Check Periodo Ref.]]="Dentro",DATOS_[Conc.Sal.14]))))), 0)</f>
        <v>0</v>
      </c>
      <c r="T88" s="209" t="n">
        <f aca="false" t="array" ref="T88:T88">IFERROR( AVERAGE((IF(DATOS_[[Sexo]:[Sexo]]=$B88,IF(DATOS_[[AGRUP. CLAS. PROF.]:[AGRUP. CLAS. PROF.]]=$B87,IF(DATOS_[[Check Periodo Ref.]:[Check Periodo Ref.]]="Dentro",DATOS_[Conc.Sal.15]))))), 0)</f>
        <v>0</v>
      </c>
      <c r="U88" s="209" t="n">
        <f aca="false" t="array" ref="U88:U88">IFERROR( AVERAGE((IF(DATOS_[[Sexo]:[Sexo]]=$B88,IF(DATOS_[[AGRUP. CLAS. PROF.]:[AGRUP. CLAS. PROF.]]=$B87,IF(DATOS_[[Check Periodo Ref.]:[Check Periodo Ref.]]="Dentro",DATOS_[Conc.Sal.16]))))), 0)</f>
        <v>0</v>
      </c>
      <c r="V88" s="209" t="n">
        <f aca="false" t="array" ref="V88:V88">IFERROR( AVERAGE((IF(DATOS_[[Sexo]:[Sexo]]=$B88,IF(DATOS_[[AGRUP. CLAS. PROF.]:[AGRUP. CLAS. PROF.]]=$B87,IF(DATOS_[[Check Periodo Ref.]:[Check Periodo Ref.]]="Dentro",DATOS_[Conc.Sal.17]))))), 0)</f>
        <v>0</v>
      </c>
      <c r="W88" s="209" t="n">
        <f aca="false" t="array" ref="W88:W88">IFERROR( AVERAGE((IF(DATOS_[[Sexo]:[Sexo]]=$B88,IF(DATOS_[[AGRUP. CLAS. PROF.]:[AGRUP. CLAS. PROF.]]=$B87,IF(DATOS_[[Check Periodo Ref.]:[Check Periodo Ref.]]="Dentro",DATOS_[Conc.Sal.18]))))), 0)</f>
        <v>0</v>
      </c>
      <c r="X88" s="209" t="n">
        <f aca="false" t="array" ref="X88:X88">IFERROR( AVERAGE((IF(DATOS_[[Sexo]:[Sexo]]=$B88,IF(DATOS_[[AGRUP. CLAS. PROF.]:[AGRUP. CLAS. PROF.]]=$B87,IF(DATOS_[[Check Periodo Ref.]:[Check Periodo Ref.]]="Dentro",DATOS_[Conc.Sal.19]))))), 0)</f>
        <v>0</v>
      </c>
      <c r="Y88" s="209" t="n">
        <f aca="false" t="array" ref="Y88:Y88">IFERROR( AVERAGE((IF(DATOS_[[Sexo]:[Sexo]]=$B88,IF(DATOS_[[AGRUP. CLAS. PROF.]:[AGRUP. CLAS. PROF.]]=$B87,IF(DATOS_[[Check Periodo Ref.]:[Check Periodo Ref.]]="Dentro",DATOS_[Conc.Sal.20]))))), 0)</f>
        <v>0</v>
      </c>
      <c r="Z88" s="209" t="n">
        <f aca="false" t="array" ref="Z88:Z88">IFERROR( AVERAGE((IF(DATOS_[[Sexo]:[Sexo]]=$B88,IF(DATOS_[[AGRUP. CLAS. PROF.]:[AGRUP. CLAS. PROF.]]=$B87,IF(DATOS_[[Check Periodo Ref.]:[Check Periodo Ref.]]="Dentro",DATOS_[Conc.Sal.21]))))), 0)</f>
        <v>0</v>
      </c>
      <c r="AA88" s="209" t="n">
        <f aca="false" t="array" ref="AA88:AA88">IFERROR( AVERAGE((IF(DATOS_[[Sexo]:[Sexo]]=$B88,IF(DATOS_[[AGRUP. CLAS. PROF.]:[AGRUP. CLAS. PROF.]]=$B87,IF(DATOS_[[Check Periodo Ref.]:[Check Periodo Ref.]]="Dentro",DATOS_[Conc.Sal.22]))))), 0)</f>
        <v>0</v>
      </c>
      <c r="AB88" s="209" t="n">
        <f aca="false" t="array" ref="AB88:AB88">IFERROR( AVERAGE((IF(DATOS_[[Sexo]:[Sexo]]=$B88,IF(DATOS_[[AGRUP. CLAS. PROF.]:[AGRUP. CLAS. PROF.]]=$B87,IF(DATOS_[[Check Periodo Ref.]:[Check Periodo Ref.]]="Dentro",DATOS_[Conc.Sal.23]))))), 0)</f>
        <v>0</v>
      </c>
      <c r="AC88" s="209" t="n">
        <f aca="false" t="array" ref="AC88:AC88">IFERROR( AVERAGE((IF(DATOS_[[Sexo]:[Sexo]]=$B88,IF(DATOS_[[AGRUP. CLAS. PROF.]:[AGRUP. CLAS. PROF.]]=$B87,IF(DATOS_[[Check Periodo Ref.]:[Check Periodo Ref.]]="Dentro",DATOS_[Conc.Sal.24]))))), 0)</f>
        <v>0</v>
      </c>
      <c r="AD88" s="209" t="n">
        <f aca="false" t="array" ref="AD88:AD88">IFERROR( AVERAGE((IF(DATOS_[[Sexo]:[Sexo]]=$B88,IF(DATOS_[[AGRUP. CLAS. PROF.]:[AGRUP. CLAS. PROF.]]=$B87,IF(DATOS_[[Check Periodo Ref.]:[Check Periodo Ref.]]="Dentro",DATOS_[Conc.Sal.25]))))), 0)</f>
        <v>0</v>
      </c>
      <c r="AE88" s="209" t="n">
        <f aca="false" t="array" ref="AE88:AE88">IFERROR( AVERAGE((IF(DATOS_[[Sexo]:[Sexo]]=$B88,IF(DATOS_[[AGRUP. CLAS. PROF.]:[AGRUP. CLAS. PROF.]]=$B87,IF(DATOS_[[Check Periodo Ref.]:[Check Periodo Ref.]]="Dentro",DATOS_[Conc.Sal.26]))))), 0)</f>
        <v>0</v>
      </c>
      <c r="AF88" s="209" t="n">
        <f aca="false" t="array" ref="AF88:AF88">IFERROR( AVERAGE((IF(DATOS_[[Sexo]:[Sexo]]=$B88,IF(DATOS_[[AGRUP. CLAS. PROF.]:[AGRUP. CLAS. PROF.]]=$B87,IF(DATOS_[[Check Periodo Ref.]:[Check Periodo Ref.]]="Dentro",DATOS_[Conc.Sal.27]))))), 0)</f>
        <v>0</v>
      </c>
      <c r="AG88" s="209" t="n">
        <f aca="false" t="array" ref="AG88:AG88">IFERROR( AVERAGE((IF(DATOS_[[Sexo]:[Sexo]]=$B88,IF(DATOS_[[AGRUP. CLAS. PROF.]:[AGRUP. CLAS. PROF.]]=$B87,IF(DATOS_[[Check Periodo Ref.]:[Check Periodo Ref.]]="Dentro",DATOS_[Conc.Sal.28]))))), 0)</f>
        <v>0</v>
      </c>
      <c r="AH88" s="209" t="n">
        <f aca="false" t="array" ref="AH88:AH88">IFERROR( AVERAGE((IF(DATOS_[[Sexo]:[Sexo]]=$B88,IF(DATOS_[[AGRUP. CLAS. PROF.]:[AGRUP. CLAS. PROF.]]=$B87,IF(DATOS_[[Check Periodo Ref.]:[Check Periodo Ref.]]="Dentro",DATOS_[Conc.Sal.29]))))), 0)</f>
        <v>0</v>
      </c>
      <c r="AI88" s="209" t="n">
        <f aca="false" t="array" ref="AI88:AI88">IFERROR( AVERAGE((IF(DATOS_[[Sexo]:[Sexo]]=$B88,IF(DATOS_[[AGRUP. CLAS. PROF.]:[AGRUP. CLAS. PROF.]]=$B87,IF(DATOS_[[Check Periodo Ref.]:[Check Periodo Ref.]]="Dentro",DATOS_[Conc.Sal.30]))))), 0)</f>
        <v>0</v>
      </c>
      <c r="AJ88" s="210" t="n">
        <f aca="false" t="array" ref="AJ88:AJ88">IFERROR( AVERAGE(IF(DATOS_[Sexo]=$B88,IF(DATOS_[AGRUP. CLAS. PROF.]=$B87,IF(DATOS_[Check Periodo Ref.]="Dentro",DATOS_[Tot COMPL.SAL Ef],0)))), 0)</f>
        <v>0</v>
      </c>
      <c r="AK88" s="211" t="n">
        <f aca="false" t="array" ref="AK88:AK88">IFERROR( AVERAGE(IF(DATOS_[Sexo]=$B88,IF(DATOS_[AGRUP. CLAS. PROF.]=$B87,IF(DATOS_[Check Periodo Ref.]="Dentro",DATOS_[TOTAL SALARIO Ef],0)))), 0)</f>
        <v>0</v>
      </c>
      <c r="AL88" s="212" t="n">
        <f aca="false" t="array" ref="AL88:AL88">IFERROR( AVERAGE((IF(DATOS_[[Sexo]:[Sexo]]=$B88,IF(DATOS_[[AGRUP. CLAS. PROF.]:[AGRUP. CLAS. PROF.]]=$B87,IF(DATOS_[[Check Periodo Ref.]:[Check Periodo Ref.]]="Dentro",DATOS_[C.Extra.01]))))), 0)</f>
        <v>0</v>
      </c>
      <c r="AM88" s="212" t="n">
        <f aca="false" t="array" ref="AM88:AM88">IFERROR( AVERAGE((IF(DATOS_[[Sexo]:[Sexo]]=$B88,IF(DATOS_[[AGRUP. CLAS. PROF.]:[AGRUP. CLAS. PROF.]]=$B87,IF(DATOS_[[Check Periodo Ref.]:[Check Periodo Ref.]]="Dentro",DATOS_[C.Extra.02]))))), 0)</f>
        <v>0</v>
      </c>
      <c r="AN88" s="212" t="n">
        <f aca="false" t="array" ref="AN88:AN88">IFERROR( AVERAGE((IF(DATOS_[[Sexo]:[Sexo]]=$B88,IF(DATOS_[[AGRUP. CLAS. PROF.]:[AGRUP. CLAS. PROF.]]=$B87,IF(DATOS_[[Check Periodo Ref.]:[Check Periodo Ref.]]="Dentro",DATOS_[C.Extra.03]))))), 0)</f>
        <v>0</v>
      </c>
      <c r="AO88" s="212" t="n">
        <f aca="false" t="array" ref="AO88:AO88">IFERROR( AVERAGE((IF(DATOS_[[Sexo]:[Sexo]]=$B88,IF(DATOS_[[AGRUP. CLAS. PROF.]:[AGRUP. CLAS. PROF.]]=$B87,IF(DATOS_[[Check Periodo Ref.]:[Check Periodo Ref.]]="Dentro",DATOS_[C.Extra.04]))))), 0)</f>
        <v>0</v>
      </c>
      <c r="AP88" s="212" t="n">
        <f aca="false" t="array" ref="AP88:AP88">IFERROR( AVERAGE((IF(DATOS_[[Sexo]:[Sexo]]=$B88,IF(DATOS_[[AGRUP. CLAS. PROF.]:[AGRUP. CLAS. PROF.]]=$B87,IF(DATOS_[[Check Periodo Ref.]:[Check Periodo Ref.]]="Dentro",DATOS_[C.Extra.05]))))), 0)</f>
        <v>0</v>
      </c>
      <c r="AQ88" s="213" t="n">
        <f aca="false" t="array" ref="AQ88:AQ88">IFERROR( AVERAGE(IF(DATOS_[Sexo]=$B88,IF(DATOS_[AGRUP. CLAS. PROF.]=$B87,IF(DATOS_[Check Periodo Ref.]="Dentro",DATOS_[Tot Extrasalarial Ef],0)))), 0)</f>
        <v>0</v>
      </c>
      <c r="AR88" s="214" t="n">
        <f aca="false" t="array" ref="AR88:AR88">IFERROR( AVERAGE(IF(DATOS_[Sexo]=$B88,IF(DATOS_[AGRUP. CLAS. PROF.]=$B87,IF(DATOS_[Check Periodo Ref.]="Dentro",DATOS_[TOTAL Retrib Ef],0)))), 0)</f>
        <v>0</v>
      </c>
    </row>
    <row r="89" customFormat="false" ht="14.25" hidden="false" customHeight="false" outlineLevel="0" collapsed="false">
      <c r="A89" s="191" t="str">
        <f aca="false">+A88</f>
        <v>[ocultar]</v>
      </c>
      <c r="B89" s="205" t="s">
        <v>372</v>
      </c>
      <c r="C89" s="206" t="n">
        <f aca="false" t="array" ref="C89:C89">SUM(IF($B89=DATOS_[Sexo], IF($B87=DATOS_[AGRUP. CLAS. PROF.], IF("Dentro"=DATOS_[Check Periodo Ref.], 1/(COUNTIFS(DATOS_[Sexo],$B89,DATOS_[AGRUP. CLAS. PROF.],$B87,DATOS_[Check Periodo Ref.],"Dentro",DATOS_[id],DATOS_[id]))))))</f>
        <v>0</v>
      </c>
      <c r="D89" s="207" t="n">
        <f aca="false">COUNTIFS(DATOS_[AGRUP. CLAS. PROF.],$B87,DATOS_[Sexo],$B89,DATOS_[Check Periodo Ref.],"Dentro")</f>
        <v>0</v>
      </c>
      <c r="E89" s="208" t="n">
        <f aca="false" t="array" ref="E89:E89">IFERROR( AVERAGE(IF(DATOS_[Sexo]=$B89,IF(DATOS_[AGRUP. CLAS. PROF.]=$B87,IF(DATOS_[Check Periodo Ref.]="Dentro",DATOS_[SALARIO BASE Ef],0)))), 0)</f>
        <v>0</v>
      </c>
      <c r="F89" s="209" t="n">
        <f aca="false" t="array" ref="F89:F89">IFERROR( AVERAGE((IF(DATOS_[[Sexo]:[Sexo]]=$B89,IF(DATOS_[[AGRUP. CLAS. PROF.]:[AGRUP. CLAS. PROF.]]=$B87,IF(DATOS_[[Check Periodo Ref.]:[Check Periodo Ref.]]="Dentro",DATOS_[Conc.Sal.01]))))), 0)</f>
        <v>0</v>
      </c>
      <c r="G89" s="209" t="n">
        <f aca="false" t="array" ref="G89:G89">IFERROR( AVERAGE((IF(DATOS_[[Sexo]:[Sexo]]=$B89,IF(DATOS_[[AGRUP. CLAS. PROF.]:[AGRUP. CLAS. PROF.]]=$B87,IF(DATOS_[[Check Periodo Ref.]:[Check Periodo Ref.]]="Dentro",DATOS_[Conc.Sal.02]))))), 0)</f>
        <v>0</v>
      </c>
      <c r="H89" s="209" t="n">
        <f aca="false" t="array" ref="H89:H89">IFERROR( AVERAGE((IF(DATOS_[[Sexo]:[Sexo]]=$B89,IF(DATOS_[[AGRUP. CLAS. PROF.]:[AGRUP. CLAS. PROF.]]=$B87,IF(DATOS_[[Check Periodo Ref.]:[Check Periodo Ref.]]="Dentro",DATOS_[Conc.Sal.03]))))), 0)</f>
        <v>0</v>
      </c>
      <c r="I89" s="209" t="n">
        <f aca="false" t="array" ref="I89:I89">IFERROR( AVERAGE((IF(DATOS_[[Sexo]:[Sexo]]=$B89,IF(DATOS_[[AGRUP. CLAS. PROF.]:[AGRUP. CLAS. PROF.]]=$B87,IF(DATOS_[[Check Periodo Ref.]:[Check Periodo Ref.]]="Dentro",DATOS_[Conc.Sal.04]))))), 0)</f>
        <v>0</v>
      </c>
      <c r="J89" s="209" t="n">
        <f aca="false" t="array" ref="J89:J89">IFERROR( AVERAGE((IF(DATOS_[[Sexo]:[Sexo]]=$B89,IF(DATOS_[[AGRUP. CLAS. PROF.]:[AGRUP. CLAS. PROF.]]=$B87,IF(DATOS_[[Check Periodo Ref.]:[Check Periodo Ref.]]="Dentro",DATOS_[Conc.Sal.05]))))), 0)</f>
        <v>0</v>
      </c>
      <c r="K89" s="209" t="n">
        <f aca="false" t="array" ref="K89:K89">IFERROR( AVERAGE((IF(DATOS_[[Sexo]:[Sexo]]=$B89,IF(DATOS_[[AGRUP. CLAS. PROF.]:[AGRUP. CLAS. PROF.]]=$B87,IF(DATOS_[[Check Periodo Ref.]:[Check Periodo Ref.]]="Dentro",DATOS_[Conc.Sal.06]))))), 0)</f>
        <v>0</v>
      </c>
      <c r="L89" s="209" t="n">
        <f aca="false" t="array" ref="L89:L89">IFERROR( AVERAGE((IF(DATOS_[[Sexo]:[Sexo]]=$B89,IF(DATOS_[[AGRUP. CLAS. PROF.]:[AGRUP. CLAS. PROF.]]=$B87,IF(DATOS_[[Check Periodo Ref.]:[Check Periodo Ref.]]="Dentro",DATOS_[Conc.Sal.07]))))), 0)</f>
        <v>0</v>
      </c>
      <c r="M89" s="209" t="n">
        <f aca="false" t="array" ref="M89:M89">IFERROR( AVERAGE((IF(DATOS_[[Sexo]:[Sexo]]=$B89,IF(DATOS_[[AGRUP. CLAS. PROF.]:[AGRUP. CLAS. PROF.]]=$B87,IF(DATOS_[[Check Periodo Ref.]:[Check Periodo Ref.]]="Dentro",DATOS_[Conc.Sal.08]))))), 0)</f>
        <v>0</v>
      </c>
      <c r="N89" s="209" t="n">
        <f aca="false" t="array" ref="N89:N89">IFERROR( AVERAGE((IF(DATOS_[[Sexo]:[Sexo]]=$B89,IF(DATOS_[[AGRUP. CLAS. PROF.]:[AGRUP. CLAS. PROF.]]=$B87,IF(DATOS_[[Check Periodo Ref.]:[Check Periodo Ref.]]="Dentro",DATOS_[Conc.Sal.09]))))), 0)</f>
        <v>0</v>
      </c>
      <c r="O89" s="209" t="n">
        <f aca="false" t="array" ref="O89:O89">IFERROR( AVERAGE((IF(DATOS_[[Sexo]:[Sexo]]=$B89,IF(DATOS_[[AGRUP. CLAS. PROF.]:[AGRUP. CLAS. PROF.]]=$B87,IF(DATOS_[[Check Periodo Ref.]:[Check Periodo Ref.]]="Dentro",DATOS_[Conc.Sal.10]))))), 0)</f>
        <v>0</v>
      </c>
      <c r="P89" s="209" t="n">
        <f aca="false" t="array" ref="P89:P89">IFERROR( AVERAGE((IF(DATOS_[[Sexo]:[Sexo]]=$B89,IF(DATOS_[[AGRUP. CLAS. PROF.]:[AGRUP. CLAS. PROF.]]=$B87,IF(DATOS_[[Check Periodo Ref.]:[Check Periodo Ref.]]="Dentro",DATOS_[Conc.Sal.11]))))), 0)</f>
        <v>0</v>
      </c>
      <c r="Q89" s="209" t="n">
        <f aca="false" t="array" ref="Q89:Q89">IFERROR( AVERAGE((IF(DATOS_[[Sexo]:[Sexo]]=$B89,IF(DATOS_[[AGRUP. CLAS. PROF.]:[AGRUP. CLAS. PROF.]]=$B87,IF(DATOS_[[Check Periodo Ref.]:[Check Periodo Ref.]]="Dentro",DATOS_[Conc.Sal.12]))))), 0)</f>
        <v>0</v>
      </c>
      <c r="R89" s="209" t="n">
        <f aca="false" t="array" ref="R89:R89">IFERROR( AVERAGE((IF(DATOS_[[Sexo]:[Sexo]]=$B89,IF(DATOS_[[AGRUP. CLAS. PROF.]:[AGRUP. CLAS. PROF.]]=$B87,IF(DATOS_[[Check Periodo Ref.]:[Check Periodo Ref.]]="Dentro",DATOS_[Conc.Sal.13]))))), 0)</f>
        <v>0</v>
      </c>
      <c r="S89" s="209" t="n">
        <f aca="false" t="array" ref="S89:S89">IFERROR( AVERAGE((IF(DATOS_[[Sexo]:[Sexo]]=$B89,IF(DATOS_[[AGRUP. CLAS. PROF.]:[AGRUP. CLAS. PROF.]]=$B87,IF(DATOS_[[Check Periodo Ref.]:[Check Periodo Ref.]]="Dentro",DATOS_[Conc.Sal.14]))))), 0)</f>
        <v>0</v>
      </c>
      <c r="T89" s="209" t="n">
        <f aca="false" t="array" ref="T89:T89">IFERROR( AVERAGE((IF(DATOS_[[Sexo]:[Sexo]]=$B89,IF(DATOS_[[AGRUP. CLAS. PROF.]:[AGRUP. CLAS. PROF.]]=$B87,IF(DATOS_[[Check Periodo Ref.]:[Check Periodo Ref.]]="Dentro",DATOS_[Conc.Sal.15]))))), 0)</f>
        <v>0</v>
      </c>
      <c r="U89" s="209" t="n">
        <f aca="false" t="array" ref="U89:U89">IFERROR( AVERAGE((IF(DATOS_[[Sexo]:[Sexo]]=$B89,IF(DATOS_[[AGRUP. CLAS. PROF.]:[AGRUP. CLAS. PROF.]]=$B87,IF(DATOS_[[Check Periodo Ref.]:[Check Periodo Ref.]]="Dentro",DATOS_[Conc.Sal.16]))))), 0)</f>
        <v>0</v>
      </c>
      <c r="V89" s="209" t="n">
        <f aca="false" t="array" ref="V89:V89">IFERROR( AVERAGE((IF(DATOS_[[Sexo]:[Sexo]]=$B89,IF(DATOS_[[AGRUP. CLAS. PROF.]:[AGRUP. CLAS. PROF.]]=$B87,IF(DATOS_[[Check Periodo Ref.]:[Check Periodo Ref.]]="Dentro",DATOS_[Conc.Sal.17]))))), 0)</f>
        <v>0</v>
      </c>
      <c r="W89" s="209" t="n">
        <f aca="false" t="array" ref="W89:W89">IFERROR( AVERAGE((IF(DATOS_[[Sexo]:[Sexo]]=$B89,IF(DATOS_[[AGRUP. CLAS. PROF.]:[AGRUP. CLAS. PROF.]]=$B87,IF(DATOS_[[Check Periodo Ref.]:[Check Periodo Ref.]]="Dentro",DATOS_[Conc.Sal.18]))))), 0)</f>
        <v>0</v>
      </c>
      <c r="X89" s="209" t="n">
        <f aca="false" t="array" ref="X89:X89">IFERROR( AVERAGE((IF(DATOS_[[Sexo]:[Sexo]]=$B89,IF(DATOS_[[AGRUP. CLAS. PROF.]:[AGRUP. CLAS. PROF.]]=$B87,IF(DATOS_[[Check Periodo Ref.]:[Check Periodo Ref.]]="Dentro",DATOS_[Conc.Sal.19]))))), 0)</f>
        <v>0</v>
      </c>
      <c r="Y89" s="209" t="n">
        <f aca="false" t="array" ref="Y89:Y89">IFERROR( AVERAGE((IF(DATOS_[[Sexo]:[Sexo]]=$B89,IF(DATOS_[[AGRUP. CLAS. PROF.]:[AGRUP. CLAS. PROF.]]=$B87,IF(DATOS_[[Check Periodo Ref.]:[Check Periodo Ref.]]="Dentro",DATOS_[Conc.Sal.20]))))), 0)</f>
        <v>0</v>
      </c>
      <c r="Z89" s="209" t="n">
        <f aca="false" t="array" ref="Z89:Z89">IFERROR( AVERAGE((IF(DATOS_[[Sexo]:[Sexo]]=$B89,IF(DATOS_[[AGRUP. CLAS. PROF.]:[AGRUP. CLAS. PROF.]]=$B87,IF(DATOS_[[Check Periodo Ref.]:[Check Periodo Ref.]]="Dentro",DATOS_[Conc.Sal.21]))))), 0)</f>
        <v>0</v>
      </c>
      <c r="AA89" s="209" t="n">
        <f aca="false" t="array" ref="AA89:AA89">IFERROR( AVERAGE((IF(DATOS_[[Sexo]:[Sexo]]=$B89,IF(DATOS_[[AGRUP. CLAS. PROF.]:[AGRUP. CLAS. PROF.]]=$B87,IF(DATOS_[[Check Periodo Ref.]:[Check Periodo Ref.]]="Dentro",DATOS_[Conc.Sal.22]))))), 0)</f>
        <v>0</v>
      </c>
      <c r="AB89" s="209" t="n">
        <f aca="false" t="array" ref="AB89:AB89">IFERROR( AVERAGE((IF(DATOS_[[Sexo]:[Sexo]]=$B89,IF(DATOS_[[AGRUP. CLAS. PROF.]:[AGRUP. CLAS. PROF.]]=$B87,IF(DATOS_[[Check Periodo Ref.]:[Check Periodo Ref.]]="Dentro",DATOS_[Conc.Sal.23]))))), 0)</f>
        <v>0</v>
      </c>
      <c r="AC89" s="209" t="n">
        <f aca="false" t="array" ref="AC89:AC89">IFERROR( AVERAGE((IF(DATOS_[[Sexo]:[Sexo]]=$B89,IF(DATOS_[[AGRUP. CLAS. PROF.]:[AGRUP. CLAS. PROF.]]=$B87,IF(DATOS_[[Check Periodo Ref.]:[Check Periodo Ref.]]="Dentro",DATOS_[Conc.Sal.24]))))), 0)</f>
        <v>0</v>
      </c>
      <c r="AD89" s="209" t="n">
        <f aca="false" t="array" ref="AD89:AD89">IFERROR( AVERAGE((IF(DATOS_[[Sexo]:[Sexo]]=$B89,IF(DATOS_[[AGRUP. CLAS. PROF.]:[AGRUP. CLAS. PROF.]]=$B87,IF(DATOS_[[Check Periodo Ref.]:[Check Periodo Ref.]]="Dentro",DATOS_[Conc.Sal.25]))))), 0)</f>
        <v>0</v>
      </c>
      <c r="AE89" s="209" t="n">
        <f aca="false" t="array" ref="AE89:AE89">IFERROR( AVERAGE((IF(DATOS_[[Sexo]:[Sexo]]=$B89,IF(DATOS_[[AGRUP. CLAS. PROF.]:[AGRUP. CLAS. PROF.]]=$B87,IF(DATOS_[[Check Periodo Ref.]:[Check Periodo Ref.]]="Dentro",DATOS_[Conc.Sal.26]))))), 0)</f>
        <v>0</v>
      </c>
      <c r="AF89" s="209" t="n">
        <f aca="false" t="array" ref="AF89:AF89">IFERROR( AVERAGE((IF(DATOS_[[Sexo]:[Sexo]]=$B89,IF(DATOS_[[AGRUP. CLAS. PROF.]:[AGRUP. CLAS. PROF.]]=$B87,IF(DATOS_[[Check Periodo Ref.]:[Check Periodo Ref.]]="Dentro",DATOS_[Conc.Sal.27]))))), 0)</f>
        <v>0</v>
      </c>
      <c r="AG89" s="209" t="n">
        <f aca="false" t="array" ref="AG89:AG89">IFERROR( AVERAGE((IF(DATOS_[[Sexo]:[Sexo]]=$B89,IF(DATOS_[[AGRUP. CLAS. PROF.]:[AGRUP. CLAS. PROF.]]=$B87,IF(DATOS_[[Check Periodo Ref.]:[Check Periodo Ref.]]="Dentro",DATOS_[Conc.Sal.28]))))), 0)</f>
        <v>0</v>
      </c>
      <c r="AH89" s="209" t="n">
        <f aca="false" t="array" ref="AH89:AH89">IFERROR( AVERAGE((IF(DATOS_[[Sexo]:[Sexo]]=$B89,IF(DATOS_[[AGRUP. CLAS. PROF.]:[AGRUP. CLAS. PROF.]]=$B87,IF(DATOS_[[Check Periodo Ref.]:[Check Periodo Ref.]]="Dentro",DATOS_[Conc.Sal.29]))))), 0)</f>
        <v>0</v>
      </c>
      <c r="AI89" s="209" t="n">
        <f aca="false" t="array" ref="AI89:AI89">IFERROR( AVERAGE((IF(DATOS_[[Sexo]:[Sexo]]=$B89,IF(DATOS_[[AGRUP. CLAS. PROF.]:[AGRUP. CLAS. PROF.]]=$B87,IF(DATOS_[[Check Periodo Ref.]:[Check Periodo Ref.]]="Dentro",DATOS_[Conc.Sal.30]))))), 0)</f>
        <v>0</v>
      </c>
      <c r="AJ89" s="210" t="n">
        <f aca="false" t="array" ref="AJ89:AJ89">IFERROR( AVERAGE(IF(DATOS_[Sexo]=$B89,IF(DATOS_[AGRUP. CLAS. PROF.]=$B87,IF(DATOS_[Check Periodo Ref.]="Dentro",DATOS_[Tot COMPL.SAL Ef],0)))), 0)</f>
        <v>0</v>
      </c>
      <c r="AK89" s="211" t="n">
        <f aca="false" t="array" ref="AK89:AK89">IFERROR( AVERAGE(IF(DATOS_[Sexo]=$B89,IF(DATOS_[AGRUP. CLAS. PROF.]=$B87,IF(DATOS_[Check Periodo Ref.]="Dentro",DATOS_[TOTAL SALARIO Ef],0)))), 0)</f>
        <v>0</v>
      </c>
      <c r="AL89" s="212" t="n">
        <f aca="false" t="array" ref="AL89:AL89">IFERROR( AVERAGE((IF(DATOS_[[Sexo]:[Sexo]]=$B89,IF(DATOS_[[AGRUP. CLAS. PROF.]:[AGRUP. CLAS. PROF.]]=$B87,IF(DATOS_[[Check Periodo Ref.]:[Check Periodo Ref.]]="Dentro",DATOS_[C.Extra.01]))))), 0)</f>
        <v>0</v>
      </c>
      <c r="AM89" s="212" t="n">
        <f aca="false" t="array" ref="AM89:AM89">IFERROR( AVERAGE((IF(DATOS_[[Sexo]:[Sexo]]=$B89,IF(DATOS_[[AGRUP. CLAS. PROF.]:[AGRUP. CLAS. PROF.]]=$B87,IF(DATOS_[[Check Periodo Ref.]:[Check Periodo Ref.]]="Dentro",DATOS_[C.Extra.02]))))), 0)</f>
        <v>0</v>
      </c>
      <c r="AN89" s="212" t="n">
        <f aca="false" t="array" ref="AN89:AN89">IFERROR( AVERAGE((IF(DATOS_[[Sexo]:[Sexo]]=$B89,IF(DATOS_[[AGRUP. CLAS. PROF.]:[AGRUP. CLAS. PROF.]]=$B87,IF(DATOS_[[Check Periodo Ref.]:[Check Periodo Ref.]]="Dentro",DATOS_[C.Extra.03]))))), 0)</f>
        <v>0</v>
      </c>
      <c r="AO89" s="212" t="n">
        <f aca="false" t="array" ref="AO89:AO89">IFERROR( AVERAGE((IF(DATOS_[[Sexo]:[Sexo]]=$B89,IF(DATOS_[[AGRUP. CLAS. PROF.]:[AGRUP. CLAS. PROF.]]=$B87,IF(DATOS_[[Check Periodo Ref.]:[Check Periodo Ref.]]="Dentro",DATOS_[C.Extra.04]))))), 0)</f>
        <v>0</v>
      </c>
      <c r="AP89" s="212" t="n">
        <f aca="false" t="array" ref="AP89:AP89">IFERROR( AVERAGE((IF(DATOS_[[Sexo]:[Sexo]]=$B89,IF(DATOS_[[AGRUP. CLAS. PROF.]:[AGRUP. CLAS. PROF.]]=$B87,IF(DATOS_[[Check Periodo Ref.]:[Check Periodo Ref.]]="Dentro",DATOS_[C.Extra.05]))))), 0)</f>
        <v>0</v>
      </c>
      <c r="AQ89" s="213" t="n">
        <f aca="false" t="array" ref="AQ89:AQ89">IFERROR( AVERAGE(IF(DATOS_[Sexo]=$B89,IF(DATOS_[AGRUP. CLAS. PROF.]=$B87,IF(DATOS_[Check Periodo Ref.]="Dentro",DATOS_[Tot Extrasalarial Ef],0)))), 0)</f>
        <v>0</v>
      </c>
      <c r="AR89" s="214" t="n">
        <f aca="false" t="array" ref="AR89:AR89">IFERROR( AVERAGE(IF(DATOS_[Sexo]=$B89,IF(DATOS_[AGRUP. CLAS. PROF.]=$B87,IF(DATOS_[Check Periodo Ref.]="Dentro",DATOS_[TOTAL Retrib Ef],0)))), 0)</f>
        <v>0</v>
      </c>
    </row>
    <row r="90" customFormat="false" ht="15.75" hidden="false" customHeight="false" outlineLevel="0" collapsed="false">
      <c r="A90" s="191" t="str">
        <f aca="false">+A91</f>
        <v>[ocultar]</v>
      </c>
      <c r="B90" s="192" t="s">
        <v>243</v>
      </c>
      <c r="C90" s="193"/>
      <c r="D90" s="194"/>
      <c r="E90" s="195" t="str">
        <f aca="false">IFERROR((E91-E92)/E91,"")</f>
        <v/>
      </c>
      <c r="F90" s="196" t="str">
        <f aca="false">IFERROR((F91-F92)/F91,"")</f>
        <v/>
      </c>
      <c r="G90" s="197" t="str">
        <f aca="false">IFERROR((G91-G92)/G91,"")</f>
        <v/>
      </c>
      <c r="H90" s="197" t="str">
        <f aca="false">IFERROR((H91-H92)/H91,"")</f>
        <v/>
      </c>
      <c r="I90" s="197" t="str">
        <f aca="false">IFERROR((I91-I92)/I91,"")</f>
        <v/>
      </c>
      <c r="J90" s="198" t="str">
        <f aca="false">IFERROR((J91-J92)/J91,"")</f>
        <v/>
      </c>
      <c r="K90" s="199" t="str">
        <f aca="false">IFERROR((K91-K92)/K91,"")</f>
        <v/>
      </c>
      <c r="L90" s="199" t="str">
        <f aca="false">IFERROR((L91-L92)/L91,"")</f>
        <v/>
      </c>
      <c r="M90" s="199" t="str">
        <f aca="false">IFERROR((M91-M92)/M91,"")</f>
        <v/>
      </c>
      <c r="N90" s="199" t="str">
        <f aca="false">IFERROR((N91-N92)/N91,"")</f>
        <v/>
      </c>
      <c r="O90" s="199" t="str">
        <f aca="false">IFERROR((O91-O92)/O91,"")</f>
        <v/>
      </c>
      <c r="P90" s="199" t="str">
        <f aca="false">IFERROR((P91-P92)/P91,"")</f>
        <v/>
      </c>
      <c r="Q90" s="199" t="str">
        <f aca="false">IFERROR((Q91-Q92)/Q91,"")</f>
        <v/>
      </c>
      <c r="R90" s="199" t="str">
        <f aca="false">IFERROR((R91-R92)/R91,"")</f>
        <v/>
      </c>
      <c r="S90" s="199" t="str">
        <f aca="false">IFERROR((S91-S92)/S91,"")</f>
        <v/>
      </c>
      <c r="T90" s="199" t="str">
        <f aca="false">IFERROR((T91-T92)/T91,"")</f>
        <v/>
      </c>
      <c r="U90" s="199" t="str">
        <f aca="false">IFERROR((U91-U92)/U91,"")</f>
        <v/>
      </c>
      <c r="V90" s="198" t="str">
        <f aca="false">IFERROR((V91-V92)/V91,"")</f>
        <v/>
      </c>
      <c r="W90" s="198" t="str">
        <f aca="false">IFERROR((W91-W92)/W91,"")</f>
        <v/>
      </c>
      <c r="X90" s="198" t="str">
        <f aca="false">IFERROR((X91-X92)/X91,"")</f>
        <v/>
      </c>
      <c r="Y90" s="198" t="str">
        <f aca="false">IFERROR((Y91-Y92)/Y91,"")</f>
        <v/>
      </c>
      <c r="Z90" s="198" t="str">
        <f aca="false">IFERROR((Z91-Z92)/Z91,"")</f>
        <v/>
      </c>
      <c r="AA90" s="198" t="str">
        <f aca="false">IFERROR((AA91-AA92)/AA91,"")</f>
        <v/>
      </c>
      <c r="AB90" s="198" t="str">
        <f aca="false">IFERROR((AB91-AB92)/AB91,"")</f>
        <v/>
      </c>
      <c r="AC90" s="198" t="str">
        <f aca="false">IFERROR((AC91-AC92)/AC91,"")</f>
        <v/>
      </c>
      <c r="AD90" s="198" t="str">
        <f aca="false">IFERROR((AD91-AD92)/AD91,"")</f>
        <v/>
      </c>
      <c r="AE90" s="198" t="str">
        <f aca="false">IFERROR((AE91-AE92)/AE91,"")</f>
        <v/>
      </c>
      <c r="AF90" s="198" t="str">
        <f aca="false">IFERROR((AF91-AF92)/AF91,"")</f>
        <v/>
      </c>
      <c r="AG90" s="198" t="str">
        <f aca="false">IFERROR((AG91-AG92)/AG91,"")</f>
        <v/>
      </c>
      <c r="AH90" s="198" t="str">
        <f aca="false">IFERROR((AH91-AH92)/AH91,"")</f>
        <v/>
      </c>
      <c r="AI90" s="198" t="str">
        <f aca="false">IFERROR((AI91-AI92)/AI91,"")</f>
        <v/>
      </c>
      <c r="AJ90" s="200" t="str">
        <f aca="false">IFERROR((AJ91-AJ92)/AJ91,"")</f>
        <v/>
      </c>
      <c r="AK90" s="201" t="str">
        <f aca="false">IFERROR((AK91-AK92)/AK91,"")</f>
        <v/>
      </c>
      <c r="AL90" s="202" t="str">
        <f aca="false">IFERROR((AL91-AL92)/AL91,"")</f>
        <v/>
      </c>
      <c r="AM90" s="202" t="str">
        <f aca="false">IFERROR((AM91-AM92)/AM91,"")</f>
        <v/>
      </c>
      <c r="AN90" s="202" t="str">
        <f aca="false">IFERROR((AN91-AN92)/AN91,"")</f>
        <v/>
      </c>
      <c r="AO90" s="202" t="str">
        <f aca="false">IFERROR((AO91-AO92)/AO91,"")</f>
        <v/>
      </c>
      <c r="AP90" s="202" t="str">
        <f aca="false">IFERROR((AP91-AP92)/AP91,"")</f>
        <v/>
      </c>
      <c r="AQ90" s="203" t="str">
        <f aca="false">IFERROR((AQ91-AQ92)/AQ91,"")</f>
        <v/>
      </c>
      <c r="AR90" s="204" t="str">
        <f aca="false">IFERROR((AR91-AR92)/AR91,"")</f>
        <v/>
      </c>
    </row>
    <row r="91" customFormat="false" ht="14.25" hidden="false" customHeight="false" outlineLevel="0" collapsed="false">
      <c r="A91" s="191" t="str">
        <f aca="false">+IF(C91+C92=0,"[ocultar]","")</f>
        <v>[ocultar]</v>
      </c>
      <c r="B91" s="205" t="s">
        <v>371</v>
      </c>
      <c r="C91" s="206" t="n">
        <f aca="false" t="array" ref="C91:C91">SUM(IF($B91=DATOS_[Sexo], IF($B90=DATOS_[AGRUP. CLAS. PROF.], IF("Dentro"=DATOS_[Check Periodo Ref.], 1/(COUNTIFS(DATOS_[Sexo],$B91,DATOS_[AGRUP. CLAS. PROF.],$B90,DATOS_[Check Periodo Ref.],"Dentro",DATOS_[id],DATOS_[id]))))))</f>
        <v>0</v>
      </c>
      <c r="D91" s="207" t="n">
        <f aca="false">COUNTIFS(DATOS_[AGRUP. CLAS. PROF.],$B90,DATOS_[Sexo],$B91,DATOS_[Check Periodo Ref.],"Dentro")</f>
        <v>0</v>
      </c>
      <c r="E91" s="208" t="n">
        <f aca="false" t="array" ref="E91:E91">IFERROR( AVERAGE(IF(DATOS_[Sexo]=$B91,IF(DATOS_[AGRUP. CLAS. PROF.]=$B90,IF(DATOS_[Check Periodo Ref.]="Dentro",DATOS_[SALARIO BASE Ef],0)))), 0)</f>
        <v>0</v>
      </c>
      <c r="F91" s="209" t="n">
        <f aca="false" t="array" ref="F91:F91">IFERROR( AVERAGE((IF(DATOS_[[Sexo]:[Sexo]]=$B91,IF(DATOS_[[AGRUP. CLAS. PROF.]:[AGRUP. CLAS. PROF.]]=$B90,IF(DATOS_[[Check Periodo Ref.]:[Check Periodo Ref.]]="Dentro",DATOS_[Conc.Sal.01]))))), 0)</f>
        <v>0</v>
      </c>
      <c r="G91" s="209" t="n">
        <f aca="false" t="array" ref="G91:G91">IFERROR( AVERAGE((IF(DATOS_[[Sexo]:[Sexo]]=$B91,IF(DATOS_[[AGRUP. CLAS. PROF.]:[AGRUP. CLAS. PROF.]]=$B90,IF(DATOS_[[Check Periodo Ref.]:[Check Periodo Ref.]]="Dentro",DATOS_[Conc.Sal.02]))))), 0)</f>
        <v>0</v>
      </c>
      <c r="H91" s="209" t="n">
        <f aca="false" t="array" ref="H91:H91">IFERROR( AVERAGE((IF(DATOS_[[Sexo]:[Sexo]]=$B91,IF(DATOS_[[AGRUP. CLAS. PROF.]:[AGRUP. CLAS. PROF.]]=$B90,IF(DATOS_[[Check Periodo Ref.]:[Check Periodo Ref.]]="Dentro",DATOS_[Conc.Sal.03]))))), 0)</f>
        <v>0</v>
      </c>
      <c r="I91" s="209" t="n">
        <f aca="false" t="array" ref="I91:I91">IFERROR( AVERAGE((IF(DATOS_[[Sexo]:[Sexo]]=$B91,IF(DATOS_[[AGRUP. CLAS. PROF.]:[AGRUP. CLAS. PROF.]]=$B90,IF(DATOS_[[Check Periodo Ref.]:[Check Periodo Ref.]]="Dentro",DATOS_[Conc.Sal.04]))))), 0)</f>
        <v>0</v>
      </c>
      <c r="J91" s="209" t="n">
        <f aca="false" t="array" ref="J91:J91">IFERROR( AVERAGE((IF(DATOS_[[Sexo]:[Sexo]]=$B91,IF(DATOS_[[AGRUP. CLAS. PROF.]:[AGRUP. CLAS. PROF.]]=$B90,IF(DATOS_[[Check Periodo Ref.]:[Check Periodo Ref.]]="Dentro",DATOS_[Conc.Sal.05]))))), 0)</f>
        <v>0</v>
      </c>
      <c r="K91" s="209" t="n">
        <f aca="false" t="array" ref="K91:K91">IFERROR( AVERAGE((IF(DATOS_[[Sexo]:[Sexo]]=$B91,IF(DATOS_[[AGRUP. CLAS. PROF.]:[AGRUP. CLAS. PROF.]]=$B90,IF(DATOS_[[Check Periodo Ref.]:[Check Periodo Ref.]]="Dentro",DATOS_[Conc.Sal.06]))))), 0)</f>
        <v>0</v>
      </c>
      <c r="L91" s="209" t="n">
        <f aca="false" t="array" ref="L91:L91">IFERROR( AVERAGE((IF(DATOS_[[Sexo]:[Sexo]]=$B91,IF(DATOS_[[AGRUP. CLAS. PROF.]:[AGRUP. CLAS. PROF.]]=$B90,IF(DATOS_[[Check Periodo Ref.]:[Check Periodo Ref.]]="Dentro",DATOS_[Conc.Sal.07]))))), 0)</f>
        <v>0</v>
      </c>
      <c r="M91" s="209" t="n">
        <f aca="false" t="array" ref="M91:M91">IFERROR( AVERAGE((IF(DATOS_[[Sexo]:[Sexo]]=$B91,IF(DATOS_[[AGRUP. CLAS. PROF.]:[AGRUP. CLAS. PROF.]]=$B90,IF(DATOS_[[Check Periodo Ref.]:[Check Periodo Ref.]]="Dentro",DATOS_[Conc.Sal.08]))))), 0)</f>
        <v>0</v>
      </c>
      <c r="N91" s="209" t="n">
        <f aca="false" t="array" ref="N91:N91">IFERROR( AVERAGE((IF(DATOS_[[Sexo]:[Sexo]]=$B91,IF(DATOS_[[AGRUP. CLAS. PROF.]:[AGRUP. CLAS. PROF.]]=$B90,IF(DATOS_[[Check Periodo Ref.]:[Check Periodo Ref.]]="Dentro",DATOS_[Conc.Sal.09]))))), 0)</f>
        <v>0</v>
      </c>
      <c r="O91" s="209" t="n">
        <f aca="false" t="array" ref="O91:O91">IFERROR( AVERAGE((IF(DATOS_[[Sexo]:[Sexo]]=$B91,IF(DATOS_[[AGRUP. CLAS. PROF.]:[AGRUP. CLAS. PROF.]]=$B90,IF(DATOS_[[Check Periodo Ref.]:[Check Periodo Ref.]]="Dentro",DATOS_[Conc.Sal.10]))))), 0)</f>
        <v>0</v>
      </c>
      <c r="P91" s="209" t="n">
        <f aca="false" t="array" ref="P91:P91">IFERROR( AVERAGE((IF(DATOS_[[Sexo]:[Sexo]]=$B91,IF(DATOS_[[AGRUP. CLAS. PROF.]:[AGRUP. CLAS. PROF.]]=$B90,IF(DATOS_[[Check Periodo Ref.]:[Check Periodo Ref.]]="Dentro",DATOS_[Conc.Sal.11]))))), 0)</f>
        <v>0</v>
      </c>
      <c r="Q91" s="209" t="n">
        <f aca="false" t="array" ref="Q91:Q91">IFERROR( AVERAGE((IF(DATOS_[[Sexo]:[Sexo]]=$B91,IF(DATOS_[[AGRUP. CLAS. PROF.]:[AGRUP. CLAS. PROF.]]=$B90,IF(DATOS_[[Check Periodo Ref.]:[Check Periodo Ref.]]="Dentro",DATOS_[Conc.Sal.12]))))), 0)</f>
        <v>0</v>
      </c>
      <c r="R91" s="209" t="n">
        <f aca="false" t="array" ref="R91:R91">IFERROR( AVERAGE((IF(DATOS_[[Sexo]:[Sexo]]=$B91,IF(DATOS_[[AGRUP. CLAS. PROF.]:[AGRUP. CLAS. PROF.]]=$B90,IF(DATOS_[[Check Periodo Ref.]:[Check Periodo Ref.]]="Dentro",DATOS_[Conc.Sal.13]))))), 0)</f>
        <v>0</v>
      </c>
      <c r="S91" s="209" t="n">
        <f aca="false" t="array" ref="S91:S91">IFERROR( AVERAGE((IF(DATOS_[[Sexo]:[Sexo]]=$B91,IF(DATOS_[[AGRUP. CLAS. PROF.]:[AGRUP. CLAS. PROF.]]=$B90,IF(DATOS_[[Check Periodo Ref.]:[Check Periodo Ref.]]="Dentro",DATOS_[Conc.Sal.14]))))), 0)</f>
        <v>0</v>
      </c>
      <c r="T91" s="209" t="n">
        <f aca="false" t="array" ref="T91:T91">IFERROR( AVERAGE((IF(DATOS_[[Sexo]:[Sexo]]=$B91,IF(DATOS_[[AGRUP. CLAS. PROF.]:[AGRUP. CLAS. PROF.]]=$B90,IF(DATOS_[[Check Periodo Ref.]:[Check Periodo Ref.]]="Dentro",DATOS_[Conc.Sal.15]))))), 0)</f>
        <v>0</v>
      </c>
      <c r="U91" s="209" t="n">
        <f aca="false" t="array" ref="U91:U91">IFERROR( AVERAGE((IF(DATOS_[[Sexo]:[Sexo]]=$B91,IF(DATOS_[[AGRUP. CLAS. PROF.]:[AGRUP. CLAS. PROF.]]=$B90,IF(DATOS_[[Check Periodo Ref.]:[Check Periodo Ref.]]="Dentro",DATOS_[Conc.Sal.16]))))), 0)</f>
        <v>0</v>
      </c>
      <c r="V91" s="209" t="n">
        <f aca="false" t="array" ref="V91:V91">IFERROR( AVERAGE((IF(DATOS_[[Sexo]:[Sexo]]=$B91,IF(DATOS_[[AGRUP. CLAS. PROF.]:[AGRUP. CLAS. PROF.]]=$B90,IF(DATOS_[[Check Periodo Ref.]:[Check Periodo Ref.]]="Dentro",DATOS_[Conc.Sal.17]))))), 0)</f>
        <v>0</v>
      </c>
      <c r="W91" s="209" t="n">
        <f aca="false" t="array" ref="W91:W91">IFERROR( AVERAGE((IF(DATOS_[[Sexo]:[Sexo]]=$B91,IF(DATOS_[[AGRUP. CLAS. PROF.]:[AGRUP. CLAS. PROF.]]=$B90,IF(DATOS_[[Check Periodo Ref.]:[Check Periodo Ref.]]="Dentro",DATOS_[Conc.Sal.18]))))), 0)</f>
        <v>0</v>
      </c>
      <c r="X91" s="209" t="n">
        <f aca="false" t="array" ref="X91:X91">IFERROR( AVERAGE((IF(DATOS_[[Sexo]:[Sexo]]=$B91,IF(DATOS_[[AGRUP. CLAS. PROF.]:[AGRUP. CLAS. PROF.]]=$B90,IF(DATOS_[[Check Periodo Ref.]:[Check Periodo Ref.]]="Dentro",DATOS_[Conc.Sal.19]))))), 0)</f>
        <v>0</v>
      </c>
      <c r="Y91" s="209" t="n">
        <f aca="false" t="array" ref="Y91:Y91">IFERROR( AVERAGE((IF(DATOS_[[Sexo]:[Sexo]]=$B91,IF(DATOS_[[AGRUP. CLAS. PROF.]:[AGRUP. CLAS. PROF.]]=$B90,IF(DATOS_[[Check Periodo Ref.]:[Check Periodo Ref.]]="Dentro",DATOS_[Conc.Sal.20]))))), 0)</f>
        <v>0</v>
      </c>
      <c r="Z91" s="209" t="n">
        <f aca="false" t="array" ref="Z91:Z91">IFERROR( AVERAGE((IF(DATOS_[[Sexo]:[Sexo]]=$B91,IF(DATOS_[[AGRUP. CLAS. PROF.]:[AGRUP. CLAS. PROF.]]=$B90,IF(DATOS_[[Check Periodo Ref.]:[Check Periodo Ref.]]="Dentro",DATOS_[Conc.Sal.21]))))), 0)</f>
        <v>0</v>
      </c>
      <c r="AA91" s="209" t="n">
        <f aca="false" t="array" ref="AA91:AA91">IFERROR( AVERAGE((IF(DATOS_[[Sexo]:[Sexo]]=$B91,IF(DATOS_[[AGRUP. CLAS. PROF.]:[AGRUP. CLAS. PROF.]]=$B90,IF(DATOS_[[Check Periodo Ref.]:[Check Periodo Ref.]]="Dentro",DATOS_[Conc.Sal.22]))))), 0)</f>
        <v>0</v>
      </c>
      <c r="AB91" s="209" t="n">
        <f aca="false" t="array" ref="AB91:AB91">IFERROR( AVERAGE((IF(DATOS_[[Sexo]:[Sexo]]=$B91,IF(DATOS_[[AGRUP. CLAS. PROF.]:[AGRUP. CLAS. PROF.]]=$B90,IF(DATOS_[[Check Periodo Ref.]:[Check Periodo Ref.]]="Dentro",DATOS_[Conc.Sal.23]))))), 0)</f>
        <v>0</v>
      </c>
      <c r="AC91" s="209" t="n">
        <f aca="false" t="array" ref="AC91:AC91">IFERROR( AVERAGE((IF(DATOS_[[Sexo]:[Sexo]]=$B91,IF(DATOS_[[AGRUP. CLAS. PROF.]:[AGRUP. CLAS. PROF.]]=$B90,IF(DATOS_[[Check Periodo Ref.]:[Check Periodo Ref.]]="Dentro",DATOS_[Conc.Sal.24]))))), 0)</f>
        <v>0</v>
      </c>
      <c r="AD91" s="209" t="n">
        <f aca="false" t="array" ref="AD91:AD91">IFERROR( AVERAGE((IF(DATOS_[[Sexo]:[Sexo]]=$B91,IF(DATOS_[[AGRUP. CLAS. PROF.]:[AGRUP. CLAS. PROF.]]=$B90,IF(DATOS_[[Check Periodo Ref.]:[Check Periodo Ref.]]="Dentro",DATOS_[Conc.Sal.25]))))), 0)</f>
        <v>0</v>
      </c>
      <c r="AE91" s="209" t="n">
        <f aca="false" t="array" ref="AE91:AE91">IFERROR( AVERAGE((IF(DATOS_[[Sexo]:[Sexo]]=$B91,IF(DATOS_[[AGRUP. CLAS. PROF.]:[AGRUP. CLAS. PROF.]]=$B90,IF(DATOS_[[Check Periodo Ref.]:[Check Periodo Ref.]]="Dentro",DATOS_[Conc.Sal.26]))))), 0)</f>
        <v>0</v>
      </c>
      <c r="AF91" s="209" t="n">
        <f aca="false" t="array" ref="AF91:AF91">IFERROR( AVERAGE((IF(DATOS_[[Sexo]:[Sexo]]=$B91,IF(DATOS_[[AGRUP. CLAS. PROF.]:[AGRUP. CLAS. PROF.]]=$B90,IF(DATOS_[[Check Periodo Ref.]:[Check Periodo Ref.]]="Dentro",DATOS_[Conc.Sal.27]))))), 0)</f>
        <v>0</v>
      </c>
      <c r="AG91" s="209" t="n">
        <f aca="false" t="array" ref="AG91:AG91">IFERROR( AVERAGE((IF(DATOS_[[Sexo]:[Sexo]]=$B91,IF(DATOS_[[AGRUP. CLAS. PROF.]:[AGRUP. CLAS. PROF.]]=$B90,IF(DATOS_[[Check Periodo Ref.]:[Check Periodo Ref.]]="Dentro",DATOS_[Conc.Sal.28]))))), 0)</f>
        <v>0</v>
      </c>
      <c r="AH91" s="209" t="n">
        <f aca="false" t="array" ref="AH91:AH91">IFERROR( AVERAGE((IF(DATOS_[[Sexo]:[Sexo]]=$B91,IF(DATOS_[[AGRUP. CLAS. PROF.]:[AGRUP. CLAS. PROF.]]=$B90,IF(DATOS_[[Check Periodo Ref.]:[Check Periodo Ref.]]="Dentro",DATOS_[Conc.Sal.29]))))), 0)</f>
        <v>0</v>
      </c>
      <c r="AI91" s="209" t="n">
        <f aca="false" t="array" ref="AI91:AI91">IFERROR( AVERAGE((IF(DATOS_[[Sexo]:[Sexo]]=$B91,IF(DATOS_[[AGRUP. CLAS. PROF.]:[AGRUP. CLAS. PROF.]]=$B90,IF(DATOS_[[Check Periodo Ref.]:[Check Periodo Ref.]]="Dentro",DATOS_[Conc.Sal.30]))))), 0)</f>
        <v>0</v>
      </c>
      <c r="AJ91" s="210" t="n">
        <f aca="false" t="array" ref="AJ91:AJ91">IFERROR( AVERAGE(IF(DATOS_[Sexo]=$B91,IF(DATOS_[AGRUP. CLAS. PROF.]=$B90,IF(DATOS_[Check Periodo Ref.]="Dentro",DATOS_[Tot COMPL.SAL Ef],0)))), 0)</f>
        <v>0</v>
      </c>
      <c r="AK91" s="211" t="n">
        <f aca="false" t="array" ref="AK91:AK91">IFERROR( AVERAGE(IF(DATOS_[Sexo]=$B91,IF(DATOS_[AGRUP. CLAS. PROF.]=$B90,IF(DATOS_[Check Periodo Ref.]="Dentro",DATOS_[TOTAL SALARIO Ef],0)))), 0)</f>
        <v>0</v>
      </c>
      <c r="AL91" s="212" t="n">
        <f aca="false" t="array" ref="AL91:AL91">IFERROR( AVERAGE((IF(DATOS_[[Sexo]:[Sexo]]=$B91,IF(DATOS_[[AGRUP. CLAS. PROF.]:[AGRUP. CLAS. PROF.]]=$B90,IF(DATOS_[[Check Periodo Ref.]:[Check Periodo Ref.]]="Dentro",DATOS_[C.Extra.01]))))), 0)</f>
        <v>0</v>
      </c>
      <c r="AM91" s="212" t="n">
        <f aca="false" t="array" ref="AM91:AM91">IFERROR( AVERAGE((IF(DATOS_[[Sexo]:[Sexo]]=$B91,IF(DATOS_[[AGRUP. CLAS. PROF.]:[AGRUP. CLAS. PROF.]]=$B90,IF(DATOS_[[Check Periodo Ref.]:[Check Periodo Ref.]]="Dentro",DATOS_[C.Extra.02]))))), 0)</f>
        <v>0</v>
      </c>
      <c r="AN91" s="212" t="n">
        <f aca="false" t="array" ref="AN91:AN91">IFERROR( AVERAGE((IF(DATOS_[[Sexo]:[Sexo]]=$B91,IF(DATOS_[[AGRUP. CLAS. PROF.]:[AGRUP. CLAS. PROF.]]=$B90,IF(DATOS_[[Check Periodo Ref.]:[Check Periodo Ref.]]="Dentro",DATOS_[C.Extra.03]))))), 0)</f>
        <v>0</v>
      </c>
      <c r="AO91" s="212" t="n">
        <f aca="false" t="array" ref="AO91:AO91">IFERROR( AVERAGE((IF(DATOS_[[Sexo]:[Sexo]]=$B91,IF(DATOS_[[AGRUP. CLAS. PROF.]:[AGRUP. CLAS. PROF.]]=$B90,IF(DATOS_[[Check Periodo Ref.]:[Check Periodo Ref.]]="Dentro",DATOS_[C.Extra.04]))))), 0)</f>
        <v>0</v>
      </c>
      <c r="AP91" s="212" t="n">
        <f aca="false" t="array" ref="AP91:AP91">IFERROR( AVERAGE((IF(DATOS_[[Sexo]:[Sexo]]=$B91,IF(DATOS_[[AGRUP. CLAS. PROF.]:[AGRUP. CLAS. PROF.]]=$B90,IF(DATOS_[[Check Periodo Ref.]:[Check Periodo Ref.]]="Dentro",DATOS_[C.Extra.05]))))), 0)</f>
        <v>0</v>
      </c>
      <c r="AQ91" s="213" t="n">
        <f aca="false" t="array" ref="AQ91:AQ91">IFERROR( AVERAGE(IF(DATOS_[Sexo]=$B91,IF(DATOS_[AGRUP. CLAS. PROF.]=$B90,IF(DATOS_[Check Periodo Ref.]="Dentro",DATOS_[Tot Extrasalarial Ef],0)))), 0)</f>
        <v>0</v>
      </c>
      <c r="AR91" s="214" t="n">
        <f aca="false" t="array" ref="AR91:AR91">IFERROR( AVERAGE(IF(DATOS_[Sexo]=$B91,IF(DATOS_[AGRUP. CLAS. PROF.]=$B90,IF(DATOS_[Check Periodo Ref.]="Dentro",DATOS_[TOTAL Retrib Ef],0)))), 0)</f>
        <v>0</v>
      </c>
    </row>
    <row r="92" customFormat="false" ht="14.25" hidden="false" customHeight="false" outlineLevel="0" collapsed="false">
      <c r="A92" s="191" t="str">
        <f aca="false">+A91</f>
        <v>[ocultar]</v>
      </c>
      <c r="B92" s="205" t="s">
        <v>372</v>
      </c>
      <c r="C92" s="206" t="n">
        <f aca="false" t="array" ref="C92:C92">SUM(IF($B92=DATOS_[Sexo], IF($B90=DATOS_[AGRUP. CLAS. PROF.], IF("Dentro"=DATOS_[Check Periodo Ref.], 1/(COUNTIFS(DATOS_[Sexo],$B92,DATOS_[AGRUP. CLAS. PROF.],$B90,DATOS_[Check Periodo Ref.],"Dentro",DATOS_[id],DATOS_[id]))))))</f>
        <v>0</v>
      </c>
      <c r="D92" s="207" t="n">
        <f aca="false">COUNTIFS(DATOS_[AGRUP. CLAS. PROF.],$B90,DATOS_[Sexo],$B92,DATOS_[Check Periodo Ref.],"Dentro")</f>
        <v>0</v>
      </c>
      <c r="E92" s="208" t="n">
        <f aca="false" t="array" ref="E92:E92">IFERROR( AVERAGE(IF(DATOS_[Sexo]=$B92,IF(DATOS_[AGRUP. CLAS. PROF.]=$B90,IF(DATOS_[Check Periodo Ref.]="Dentro",DATOS_[SALARIO BASE Ef],0)))), 0)</f>
        <v>0</v>
      </c>
      <c r="F92" s="209" t="n">
        <f aca="false" t="array" ref="F92:F92">IFERROR( AVERAGE((IF(DATOS_[[Sexo]:[Sexo]]=$B92,IF(DATOS_[[AGRUP. CLAS. PROF.]:[AGRUP. CLAS. PROF.]]=$B90,IF(DATOS_[[Check Periodo Ref.]:[Check Periodo Ref.]]="Dentro",DATOS_[Conc.Sal.01]))))), 0)</f>
        <v>0</v>
      </c>
      <c r="G92" s="209" t="n">
        <f aca="false" t="array" ref="G92:G92">IFERROR( AVERAGE((IF(DATOS_[[Sexo]:[Sexo]]=$B92,IF(DATOS_[[AGRUP. CLAS. PROF.]:[AGRUP. CLAS. PROF.]]=$B90,IF(DATOS_[[Check Periodo Ref.]:[Check Periodo Ref.]]="Dentro",DATOS_[Conc.Sal.02]))))), 0)</f>
        <v>0</v>
      </c>
      <c r="H92" s="209" t="n">
        <f aca="false" t="array" ref="H92:H92">IFERROR( AVERAGE((IF(DATOS_[[Sexo]:[Sexo]]=$B92,IF(DATOS_[[AGRUP. CLAS. PROF.]:[AGRUP. CLAS. PROF.]]=$B90,IF(DATOS_[[Check Periodo Ref.]:[Check Periodo Ref.]]="Dentro",DATOS_[Conc.Sal.03]))))), 0)</f>
        <v>0</v>
      </c>
      <c r="I92" s="209" t="n">
        <f aca="false" t="array" ref="I92:I92">IFERROR( AVERAGE((IF(DATOS_[[Sexo]:[Sexo]]=$B92,IF(DATOS_[[AGRUP. CLAS. PROF.]:[AGRUP. CLAS. PROF.]]=$B90,IF(DATOS_[[Check Periodo Ref.]:[Check Periodo Ref.]]="Dentro",DATOS_[Conc.Sal.04]))))), 0)</f>
        <v>0</v>
      </c>
      <c r="J92" s="209" t="n">
        <f aca="false" t="array" ref="J92:J92">IFERROR( AVERAGE((IF(DATOS_[[Sexo]:[Sexo]]=$B92,IF(DATOS_[[AGRUP. CLAS. PROF.]:[AGRUP. CLAS. PROF.]]=$B90,IF(DATOS_[[Check Periodo Ref.]:[Check Periodo Ref.]]="Dentro",DATOS_[Conc.Sal.05]))))), 0)</f>
        <v>0</v>
      </c>
      <c r="K92" s="209" t="n">
        <f aca="false" t="array" ref="K92:K92">IFERROR( AVERAGE((IF(DATOS_[[Sexo]:[Sexo]]=$B92,IF(DATOS_[[AGRUP. CLAS. PROF.]:[AGRUP. CLAS. PROF.]]=$B90,IF(DATOS_[[Check Periodo Ref.]:[Check Periodo Ref.]]="Dentro",DATOS_[Conc.Sal.06]))))), 0)</f>
        <v>0</v>
      </c>
      <c r="L92" s="209" t="n">
        <f aca="false" t="array" ref="L92:L92">IFERROR( AVERAGE((IF(DATOS_[[Sexo]:[Sexo]]=$B92,IF(DATOS_[[AGRUP. CLAS. PROF.]:[AGRUP. CLAS. PROF.]]=$B90,IF(DATOS_[[Check Periodo Ref.]:[Check Periodo Ref.]]="Dentro",DATOS_[Conc.Sal.07]))))), 0)</f>
        <v>0</v>
      </c>
      <c r="M92" s="209" t="n">
        <f aca="false" t="array" ref="M92:M92">IFERROR( AVERAGE((IF(DATOS_[[Sexo]:[Sexo]]=$B92,IF(DATOS_[[AGRUP. CLAS. PROF.]:[AGRUP. CLAS. PROF.]]=$B90,IF(DATOS_[[Check Periodo Ref.]:[Check Periodo Ref.]]="Dentro",DATOS_[Conc.Sal.08]))))), 0)</f>
        <v>0</v>
      </c>
      <c r="N92" s="209" t="n">
        <f aca="false" t="array" ref="N92:N92">IFERROR( AVERAGE((IF(DATOS_[[Sexo]:[Sexo]]=$B92,IF(DATOS_[[AGRUP. CLAS. PROF.]:[AGRUP. CLAS. PROF.]]=$B90,IF(DATOS_[[Check Periodo Ref.]:[Check Periodo Ref.]]="Dentro",DATOS_[Conc.Sal.09]))))), 0)</f>
        <v>0</v>
      </c>
      <c r="O92" s="209" t="n">
        <f aca="false" t="array" ref="O92:O92">IFERROR( AVERAGE((IF(DATOS_[[Sexo]:[Sexo]]=$B92,IF(DATOS_[[AGRUP. CLAS. PROF.]:[AGRUP. CLAS. PROF.]]=$B90,IF(DATOS_[[Check Periodo Ref.]:[Check Periodo Ref.]]="Dentro",DATOS_[Conc.Sal.10]))))), 0)</f>
        <v>0</v>
      </c>
      <c r="P92" s="209" t="n">
        <f aca="false" t="array" ref="P92:P92">IFERROR( AVERAGE((IF(DATOS_[[Sexo]:[Sexo]]=$B92,IF(DATOS_[[AGRUP. CLAS. PROF.]:[AGRUP. CLAS. PROF.]]=$B90,IF(DATOS_[[Check Periodo Ref.]:[Check Periodo Ref.]]="Dentro",DATOS_[Conc.Sal.11]))))), 0)</f>
        <v>0</v>
      </c>
      <c r="Q92" s="209" t="n">
        <f aca="false" t="array" ref="Q92:Q92">IFERROR( AVERAGE((IF(DATOS_[[Sexo]:[Sexo]]=$B92,IF(DATOS_[[AGRUP. CLAS. PROF.]:[AGRUP. CLAS. PROF.]]=$B90,IF(DATOS_[[Check Periodo Ref.]:[Check Periodo Ref.]]="Dentro",DATOS_[Conc.Sal.12]))))), 0)</f>
        <v>0</v>
      </c>
      <c r="R92" s="209" t="n">
        <f aca="false" t="array" ref="R92:R92">IFERROR( AVERAGE((IF(DATOS_[[Sexo]:[Sexo]]=$B92,IF(DATOS_[[AGRUP. CLAS. PROF.]:[AGRUP. CLAS. PROF.]]=$B90,IF(DATOS_[[Check Periodo Ref.]:[Check Periodo Ref.]]="Dentro",DATOS_[Conc.Sal.13]))))), 0)</f>
        <v>0</v>
      </c>
      <c r="S92" s="209" t="n">
        <f aca="false" t="array" ref="S92:S92">IFERROR( AVERAGE((IF(DATOS_[[Sexo]:[Sexo]]=$B92,IF(DATOS_[[AGRUP. CLAS. PROF.]:[AGRUP. CLAS. PROF.]]=$B90,IF(DATOS_[[Check Periodo Ref.]:[Check Periodo Ref.]]="Dentro",DATOS_[Conc.Sal.14]))))), 0)</f>
        <v>0</v>
      </c>
      <c r="T92" s="209" t="n">
        <f aca="false" t="array" ref="T92:T92">IFERROR( AVERAGE((IF(DATOS_[[Sexo]:[Sexo]]=$B92,IF(DATOS_[[AGRUP. CLAS. PROF.]:[AGRUP. CLAS. PROF.]]=$B90,IF(DATOS_[[Check Periodo Ref.]:[Check Periodo Ref.]]="Dentro",DATOS_[Conc.Sal.15]))))), 0)</f>
        <v>0</v>
      </c>
      <c r="U92" s="209" t="n">
        <f aca="false" t="array" ref="U92:U92">IFERROR( AVERAGE((IF(DATOS_[[Sexo]:[Sexo]]=$B92,IF(DATOS_[[AGRUP. CLAS. PROF.]:[AGRUP. CLAS. PROF.]]=$B90,IF(DATOS_[[Check Periodo Ref.]:[Check Periodo Ref.]]="Dentro",DATOS_[Conc.Sal.16]))))), 0)</f>
        <v>0</v>
      </c>
      <c r="V92" s="209" t="n">
        <f aca="false" t="array" ref="V92:V92">IFERROR( AVERAGE((IF(DATOS_[[Sexo]:[Sexo]]=$B92,IF(DATOS_[[AGRUP. CLAS. PROF.]:[AGRUP. CLAS. PROF.]]=$B90,IF(DATOS_[[Check Periodo Ref.]:[Check Periodo Ref.]]="Dentro",DATOS_[Conc.Sal.17]))))), 0)</f>
        <v>0</v>
      </c>
      <c r="W92" s="209" t="n">
        <f aca="false" t="array" ref="W92:W92">IFERROR( AVERAGE((IF(DATOS_[[Sexo]:[Sexo]]=$B92,IF(DATOS_[[AGRUP. CLAS. PROF.]:[AGRUP. CLAS. PROF.]]=$B90,IF(DATOS_[[Check Periodo Ref.]:[Check Periodo Ref.]]="Dentro",DATOS_[Conc.Sal.18]))))), 0)</f>
        <v>0</v>
      </c>
      <c r="X92" s="209" t="n">
        <f aca="false" t="array" ref="X92:X92">IFERROR( AVERAGE((IF(DATOS_[[Sexo]:[Sexo]]=$B92,IF(DATOS_[[AGRUP. CLAS. PROF.]:[AGRUP. CLAS. PROF.]]=$B90,IF(DATOS_[[Check Periodo Ref.]:[Check Periodo Ref.]]="Dentro",DATOS_[Conc.Sal.19]))))), 0)</f>
        <v>0</v>
      </c>
      <c r="Y92" s="209" t="n">
        <f aca="false" t="array" ref="Y92:Y92">IFERROR( AVERAGE((IF(DATOS_[[Sexo]:[Sexo]]=$B92,IF(DATOS_[[AGRUP. CLAS. PROF.]:[AGRUP. CLAS. PROF.]]=$B90,IF(DATOS_[[Check Periodo Ref.]:[Check Periodo Ref.]]="Dentro",DATOS_[Conc.Sal.20]))))), 0)</f>
        <v>0</v>
      </c>
      <c r="Z92" s="209" t="n">
        <f aca="false" t="array" ref="Z92:Z92">IFERROR( AVERAGE((IF(DATOS_[[Sexo]:[Sexo]]=$B92,IF(DATOS_[[AGRUP. CLAS. PROF.]:[AGRUP. CLAS. PROF.]]=$B90,IF(DATOS_[[Check Periodo Ref.]:[Check Periodo Ref.]]="Dentro",DATOS_[Conc.Sal.21]))))), 0)</f>
        <v>0</v>
      </c>
      <c r="AA92" s="209" t="n">
        <f aca="false" t="array" ref="AA92:AA92">IFERROR( AVERAGE((IF(DATOS_[[Sexo]:[Sexo]]=$B92,IF(DATOS_[[AGRUP. CLAS. PROF.]:[AGRUP. CLAS. PROF.]]=$B90,IF(DATOS_[[Check Periodo Ref.]:[Check Periodo Ref.]]="Dentro",DATOS_[Conc.Sal.22]))))), 0)</f>
        <v>0</v>
      </c>
      <c r="AB92" s="209" t="n">
        <f aca="false" t="array" ref="AB92:AB92">IFERROR( AVERAGE((IF(DATOS_[[Sexo]:[Sexo]]=$B92,IF(DATOS_[[AGRUP. CLAS. PROF.]:[AGRUP. CLAS. PROF.]]=$B90,IF(DATOS_[[Check Periodo Ref.]:[Check Periodo Ref.]]="Dentro",DATOS_[Conc.Sal.23]))))), 0)</f>
        <v>0</v>
      </c>
      <c r="AC92" s="209" t="n">
        <f aca="false" t="array" ref="AC92:AC92">IFERROR( AVERAGE((IF(DATOS_[[Sexo]:[Sexo]]=$B92,IF(DATOS_[[AGRUP. CLAS. PROF.]:[AGRUP. CLAS. PROF.]]=$B90,IF(DATOS_[[Check Periodo Ref.]:[Check Periodo Ref.]]="Dentro",DATOS_[Conc.Sal.24]))))), 0)</f>
        <v>0</v>
      </c>
      <c r="AD92" s="209" t="n">
        <f aca="false" t="array" ref="AD92:AD92">IFERROR( AVERAGE((IF(DATOS_[[Sexo]:[Sexo]]=$B92,IF(DATOS_[[AGRUP. CLAS. PROF.]:[AGRUP. CLAS. PROF.]]=$B90,IF(DATOS_[[Check Periodo Ref.]:[Check Periodo Ref.]]="Dentro",DATOS_[Conc.Sal.25]))))), 0)</f>
        <v>0</v>
      </c>
      <c r="AE92" s="209" t="n">
        <f aca="false" t="array" ref="AE92:AE92">IFERROR( AVERAGE((IF(DATOS_[[Sexo]:[Sexo]]=$B92,IF(DATOS_[[AGRUP. CLAS. PROF.]:[AGRUP. CLAS. PROF.]]=$B90,IF(DATOS_[[Check Periodo Ref.]:[Check Periodo Ref.]]="Dentro",DATOS_[Conc.Sal.26]))))), 0)</f>
        <v>0</v>
      </c>
      <c r="AF92" s="209" t="n">
        <f aca="false" t="array" ref="AF92:AF92">IFERROR( AVERAGE((IF(DATOS_[[Sexo]:[Sexo]]=$B92,IF(DATOS_[[AGRUP. CLAS. PROF.]:[AGRUP. CLAS. PROF.]]=$B90,IF(DATOS_[[Check Periodo Ref.]:[Check Periodo Ref.]]="Dentro",DATOS_[Conc.Sal.27]))))), 0)</f>
        <v>0</v>
      </c>
      <c r="AG92" s="209" t="n">
        <f aca="false" t="array" ref="AG92:AG92">IFERROR( AVERAGE((IF(DATOS_[[Sexo]:[Sexo]]=$B92,IF(DATOS_[[AGRUP. CLAS. PROF.]:[AGRUP. CLAS. PROF.]]=$B90,IF(DATOS_[[Check Periodo Ref.]:[Check Periodo Ref.]]="Dentro",DATOS_[Conc.Sal.28]))))), 0)</f>
        <v>0</v>
      </c>
      <c r="AH92" s="209" t="n">
        <f aca="false" t="array" ref="AH92:AH92">IFERROR( AVERAGE((IF(DATOS_[[Sexo]:[Sexo]]=$B92,IF(DATOS_[[AGRUP. CLAS. PROF.]:[AGRUP. CLAS. PROF.]]=$B90,IF(DATOS_[[Check Periodo Ref.]:[Check Periodo Ref.]]="Dentro",DATOS_[Conc.Sal.29]))))), 0)</f>
        <v>0</v>
      </c>
      <c r="AI92" s="209" t="n">
        <f aca="false" t="array" ref="AI92:AI92">IFERROR( AVERAGE((IF(DATOS_[[Sexo]:[Sexo]]=$B92,IF(DATOS_[[AGRUP. CLAS. PROF.]:[AGRUP. CLAS. PROF.]]=$B90,IF(DATOS_[[Check Periodo Ref.]:[Check Periodo Ref.]]="Dentro",DATOS_[Conc.Sal.30]))))), 0)</f>
        <v>0</v>
      </c>
      <c r="AJ92" s="210" t="n">
        <f aca="false" t="array" ref="AJ92:AJ92">IFERROR( AVERAGE(IF(DATOS_[Sexo]=$B92,IF(DATOS_[AGRUP. CLAS. PROF.]=$B90,IF(DATOS_[Check Periodo Ref.]="Dentro",DATOS_[Tot COMPL.SAL Ef],0)))), 0)</f>
        <v>0</v>
      </c>
      <c r="AK92" s="211" t="n">
        <f aca="false" t="array" ref="AK92:AK92">IFERROR( AVERAGE(IF(DATOS_[Sexo]=$B92,IF(DATOS_[AGRUP. CLAS. PROF.]=$B90,IF(DATOS_[Check Periodo Ref.]="Dentro",DATOS_[TOTAL SALARIO Ef],0)))), 0)</f>
        <v>0</v>
      </c>
      <c r="AL92" s="212" t="n">
        <f aca="false" t="array" ref="AL92:AL92">IFERROR( AVERAGE((IF(DATOS_[[Sexo]:[Sexo]]=$B92,IF(DATOS_[[AGRUP. CLAS. PROF.]:[AGRUP. CLAS. PROF.]]=$B90,IF(DATOS_[[Check Periodo Ref.]:[Check Periodo Ref.]]="Dentro",DATOS_[C.Extra.01]))))), 0)</f>
        <v>0</v>
      </c>
      <c r="AM92" s="212" t="n">
        <f aca="false" t="array" ref="AM92:AM92">IFERROR( AVERAGE((IF(DATOS_[[Sexo]:[Sexo]]=$B92,IF(DATOS_[[AGRUP. CLAS. PROF.]:[AGRUP. CLAS. PROF.]]=$B90,IF(DATOS_[[Check Periodo Ref.]:[Check Periodo Ref.]]="Dentro",DATOS_[C.Extra.02]))))), 0)</f>
        <v>0</v>
      </c>
      <c r="AN92" s="212" t="n">
        <f aca="false" t="array" ref="AN92:AN92">IFERROR( AVERAGE((IF(DATOS_[[Sexo]:[Sexo]]=$B92,IF(DATOS_[[AGRUP. CLAS. PROF.]:[AGRUP. CLAS. PROF.]]=$B90,IF(DATOS_[[Check Periodo Ref.]:[Check Periodo Ref.]]="Dentro",DATOS_[C.Extra.03]))))), 0)</f>
        <v>0</v>
      </c>
      <c r="AO92" s="212" t="n">
        <f aca="false" t="array" ref="AO92:AO92">IFERROR( AVERAGE((IF(DATOS_[[Sexo]:[Sexo]]=$B92,IF(DATOS_[[AGRUP. CLAS. PROF.]:[AGRUP. CLAS. PROF.]]=$B90,IF(DATOS_[[Check Periodo Ref.]:[Check Periodo Ref.]]="Dentro",DATOS_[C.Extra.04]))))), 0)</f>
        <v>0</v>
      </c>
      <c r="AP92" s="212" t="n">
        <f aca="false" t="array" ref="AP92:AP92">IFERROR( AVERAGE((IF(DATOS_[[Sexo]:[Sexo]]=$B92,IF(DATOS_[[AGRUP. CLAS. PROF.]:[AGRUP. CLAS. PROF.]]=$B90,IF(DATOS_[[Check Periodo Ref.]:[Check Periodo Ref.]]="Dentro",DATOS_[C.Extra.05]))))), 0)</f>
        <v>0</v>
      </c>
      <c r="AQ92" s="213" t="n">
        <f aca="false" t="array" ref="AQ92:AQ92">IFERROR( AVERAGE(IF(DATOS_[Sexo]=$B92,IF(DATOS_[AGRUP. CLAS. PROF.]=$B90,IF(DATOS_[Check Periodo Ref.]="Dentro",DATOS_[Tot Extrasalarial Ef],0)))), 0)</f>
        <v>0</v>
      </c>
      <c r="AR92" s="214" t="n">
        <f aca="false" t="array" ref="AR92:AR92">IFERROR( AVERAGE(IF(DATOS_[Sexo]=$B92,IF(DATOS_[AGRUP. CLAS. PROF.]=$B90,IF(DATOS_[Check Periodo Ref.]="Dentro",DATOS_[TOTAL Retrib Ef],0)))), 0)</f>
        <v>0</v>
      </c>
    </row>
    <row r="93" customFormat="false" ht="15.75" hidden="false" customHeight="false" outlineLevel="0" collapsed="false">
      <c r="A93" s="191" t="str">
        <f aca="false">+A94</f>
        <v>[ocultar]</v>
      </c>
      <c r="B93" s="192" t="s">
        <v>246</v>
      </c>
      <c r="C93" s="193"/>
      <c r="D93" s="194"/>
      <c r="E93" s="195" t="str">
        <f aca="false">IFERROR((E94-E95)/E94,"")</f>
        <v/>
      </c>
      <c r="F93" s="196" t="str">
        <f aca="false">IFERROR((F94-F95)/F94,"")</f>
        <v/>
      </c>
      <c r="G93" s="197" t="str">
        <f aca="false">IFERROR((G94-G95)/G94,"")</f>
        <v/>
      </c>
      <c r="H93" s="197" t="str">
        <f aca="false">IFERROR((H94-H95)/H94,"")</f>
        <v/>
      </c>
      <c r="I93" s="197" t="str">
        <f aca="false">IFERROR((I94-I95)/I94,"")</f>
        <v/>
      </c>
      <c r="J93" s="198" t="str">
        <f aca="false">IFERROR((J94-J95)/J94,"")</f>
        <v/>
      </c>
      <c r="K93" s="199" t="str">
        <f aca="false">IFERROR((K94-K95)/K94,"")</f>
        <v/>
      </c>
      <c r="L93" s="199" t="str">
        <f aca="false">IFERROR((L94-L95)/L94,"")</f>
        <v/>
      </c>
      <c r="M93" s="199" t="str">
        <f aca="false">IFERROR((M94-M95)/M94,"")</f>
        <v/>
      </c>
      <c r="N93" s="199" t="str">
        <f aca="false">IFERROR((N94-N95)/N94,"")</f>
        <v/>
      </c>
      <c r="O93" s="199" t="str">
        <f aca="false">IFERROR((O94-O95)/O94,"")</f>
        <v/>
      </c>
      <c r="P93" s="199" t="str">
        <f aca="false">IFERROR((P94-P95)/P94,"")</f>
        <v/>
      </c>
      <c r="Q93" s="199" t="str">
        <f aca="false">IFERROR((Q94-Q95)/Q94,"")</f>
        <v/>
      </c>
      <c r="R93" s="199" t="str">
        <f aca="false">IFERROR((R94-R95)/R94,"")</f>
        <v/>
      </c>
      <c r="S93" s="199" t="str">
        <f aca="false">IFERROR((S94-S95)/S94,"")</f>
        <v/>
      </c>
      <c r="T93" s="199" t="str">
        <f aca="false">IFERROR((T94-T95)/T94,"")</f>
        <v/>
      </c>
      <c r="U93" s="199" t="str">
        <f aca="false">IFERROR((U94-U95)/U94,"")</f>
        <v/>
      </c>
      <c r="V93" s="198" t="str">
        <f aca="false">IFERROR((V94-V95)/V94,"")</f>
        <v/>
      </c>
      <c r="W93" s="198" t="str">
        <f aca="false">IFERROR((W94-W95)/W94,"")</f>
        <v/>
      </c>
      <c r="X93" s="198" t="str">
        <f aca="false">IFERROR((X94-X95)/X94,"")</f>
        <v/>
      </c>
      <c r="Y93" s="198" t="str">
        <f aca="false">IFERROR((Y94-Y95)/Y94,"")</f>
        <v/>
      </c>
      <c r="Z93" s="198" t="str">
        <f aca="false">IFERROR((Z94-Z95)/Z94,"")</f>
        <v/>
      </c>
      <c r="AA93" s="198" t="str">
        <f aca="false">IFERROR((AA94-AA95)/AA94,"")</f>
        <v/>
      </c>
      <c r="AB93" s="198" t="str">
        <f aca="false">IFERROR((AB94-AB95)/AB94,"")</f>
        <v/>
      </c>
      <c r="AC93" s="198" t="str">
        <f aca="false">IFERROR((AC94-AC95)/AC94,"")</f>
        <v/>
      </c>
      <c r="AD93" s="198" t="str">
        <f aca="false">IFERROR((AD94-AD95)/AD94,"")</f>
        <v/>
      </c>
      <c r="AE93" s="198" t="str">
        <f aca="false">IFERROR((AE94-AE95)/AE94,"")</f>
        <v/>
      </c>
      <c r="AF93" s="198" t="str">
        <f aca="false">IFERROR((AF94-AF95)/AF94,"")</f>
        <v/>
      </c>
      <c r="AG93" s="198" t="str">
        <f aca="false">IFERROR((AG94-AG95)/AG94,"")</f>
        <v/>
      </c>
      <c r="AH93" s="198" t="str">
        <f aca="false">IFERROR((AH94-AH95)/AH94,"")</f>
        <v/>
      </c>
      <c r="AI93" s="198" t="str">
        <f aca="false">IFERROR((AI94-AI95)/AI94,"")</f>
        <v/>
      </c>
      <c r="AJ93" s="200" t="str">
        <f aca="false">IFERROR((AJ94-AJ95)/AJ94,"")</f>
        <v/>
      </c>
      <c r="AK93" s="201" t="str">
        <f aca="false">IFERROR((AK94-AK95)/AK94,"")</f>
        <v/>
      </c>
      <c r="AL93" s="202" t="str">
        <f aca="false">IFERROR((AL94-AL95)/AL94,"")</f>
        <v/>
      </c>
      <c r="AM93" s="202" t="str">
        <f aca="false">IFERROR((AM94-AM95)/AM94,"")</f>
        <v/>
      </c>
      <c r="AN93" s="202" t="str">
        <f aca="false">IFERROR((AN94-AN95)/AN94,"")</f>
        <v/>
      </c>
      <c r="AO93" s="202" t="str">
        <f aca="false">IFERROR((AO94-AO95)/AO94,"")</f>
        <v/>
      </c>
      <c r="AP93" s="202" t="str">
        <f aca="false">IFERROR((AP94-AP95)/AP94,"")</f>
        <v/>
      </c>
      <c r="AQ93" s="203" t="str">
        <f aca="false">IFERROR((AQ94-AQ95)/AQ94,"")</f>
        <v/>
      </c>
      <c r="AR93" s="204" t="str">
        <f aca="false">IFERROR((AR94-AR95)/AR94,"")</f>
        <v/>
      </c>
    </row>
    <row r="94" customFormat="false" ht="14.25" hidden="false" customHeight="false" outlineLevel="0" collapsed="false">
      <c r="A94" s="191" t="str">
        <f aca="false">+IF(C94+C95=0,"[ocultar]","")</f>
        <v>[ocultar]</v>
      </c>
      <c r="B94" s="205" t="s">
        <v>371</v>
      </c>
      <c r="C94" s="206" t="n">
        <f aca="false" t="array" ref="C94:C94">SUM(IF($B94=DATOS_[Sexo], IF($B93=DATOS_[AGRUP. CLAS. PROF.], IF("Dentro"=DATOS_[Check Periodo Ref.], 1/(COUNTIFS(DATOS_[Sexo],$B94,DATOS_[AGRUP. CLAS. PROF.],$B93,DATOS_[Check Periodo Ref.],"Dentro",DATOS_[id],DATOS_[id]))))))</f>
        <v>0</v>
      </c>
      <c r="D94" s="207" t="n">
        <f aca="false">COUNTIFS(DATOS_[AGRUP. CLAS. PROF.],$B93,DATOS_[Sexo],$B94,DATOS_[Check Periodo Ref.],"Dentro")</f>
        <v>0</v>
      </c>
      <c r="E94" s="208" t="n">
        <f aca="false" t="array" ref="E94:E94">IFERROR( AVERAGE(IF(DATOS_[Sexo]=$B94,IF(DATOS_[AGRUP. CLAS. PROF.]=$B93,IF(DATOS_[Check Periodo Ref.]="Dentro",DATOS_[SALARIO BASE Ef],0)))), 0)</f>
        <v>0</v>
      </c>
      <c r="F94" s="209" t="n">
        <f aca="false" t="array" ref="F94:F94">IFERROR( AVERAGE((IF(DATOS_[[Sexo]:[Sexo]]=$B94,IF(DATOS_[[AGRUP. CLAS. PROF.]:[AGRUP. CLAS. PROF.]]=$B93,IF(DATOS_[[Check Periodo Ref.]:[Check Periodo Ref.]]="Dentro",DATOS_[Conc.Sal.01]))))), 0)</f>
        <v>0</v>
      </c>
      <c r="G94" s="209" t="n">
        <f aca="false" t="array" ref="G94:G94">IFERROR( AVERAGE((IF(DATOS_[[Sexo]:[Sexo]]=$B94,IF(DATOS_[[AGRUP. CLAS. PROF.]:[AGRUP. CLAS. PROF.]]=$B93,IF(DATOS_[[Check Periodo Ref.]:[Check Periodo Ref.]]="Dentro",DATOS_[Conc.Sal.02]))))), 0)</f>
        <v>0</v>
      </c>
      <c r="H94" s="209" t="n">
        <f aca="false" t="array" ref="H94:H94">IFERROR( AVERAGE((IF(DATOS_[[Sexo]:[Sexo]]=$B94,IF(DATOS_[[AGRUP. CLAS. PROF.]:[AGRUP. CLAS. PROF.]]=$B93,IF(DATOS_[[Check Periodo Ref.]:[Check Periodo Ref.]]="Dentro",DATOS_[Conc.Sal.03]))))), 0)</f>
        <v>0</v>
      </c>
      <c r="I94" s="209" t="n">
        <f aca="false" t="array" ref="I94:I94">IFERROR( AVERAGE((IF(DATOS_[[Sexo]:[Sexo]]=$B94,IF(DATOS_[[AGRUP. CLAS. PROF.]:[AGRUP. CLAS. PROF.]]=$B93,IF(DATOS_[[Check Periodo Ref.]:[Check Periodo Ref.]]="Dentro",DATOS_[Conc.Sal.04]))))), 0)</f>
        <v>0</v>
      </c>
      <c r="J94" s="209" t="n">
        <f aca="false" t="array" ref="J94:J94">IFERROR( AVERAGE((IF(DATOS_[[Sexo]:[Sexo]]=$B94,IF(DATOS_[[AGRUP. CLAS. PROF.]:[AGRUP. CLAS. PROF.]]=$B93,IF(DATOS_[[Check Periodo Ref.]:[Check Periodo Ref.]]="Dentro",DATOS_[Conc.Sal.05]))))), 0)</f>
        <v>0</v>
      </c>
      <c r="K94" s="209" t="n">
        <f aca="false" t="array" ref="K94:K94">IFERROR( AVERAGE((IF(DATOS_[[Sexo]:[Sexo]]=$B94,IF(DATOS_[[AGRUP. CLAS. PROF.]:[AGRUP. CLAS. PROF.]]=$B93,IF(DATOS_[[Check Periodo Ref.]:[Check Periodo Ref.]]="Dentro",DATOS_[Conc.Sal.06]))))), 0)</f>
        <v>0</v>
      </c>
      <c r="L94" s="209" t="n">
        <f aca="false" t="array" ref="L94:L94">IFERROR( AVERAGE((IF(DATOS_[[Sexo]:[Sexo]]=$B94,IF(DATOS_[[AGRUP. CLAS. PROF.]:[AGRUP. CLAS. PROF.]]=$B93,IF(DATOS_[[Check Periodo Ref.]:[Check Periodo Ref.]]="Dentro",DATOS_[Conc.Sal.07]))))), 0)</f>
        <v>0</v>
      </c>
      <c r="M94" s="209" t="n">
        <f aca="false" t="array" ref="M94:M94">IFERROR( AVERAGE((IF(DATOS_[[Sexo]:[Sexo]]=$B94,IF(DATOS_[[AGRUP. CLAS. PROF.]:[AGRUP. CLAS. PROF.]]=$B93,IF(DATOS_[[Check Periodo Ref.]:[Check Periodo Ref.]]="Dentro",DATOS_[Conc.Sal.08]))))), 0)</f>
        <v>0</v>
      </c>
      <c r="N94" s="209" t="n">
        <f aca="false" t="array" ref="N94:N94">IFERROR( AVERAGE((IF(DATOS_[[Sexo]:[Sexo]]=$B94,IF(DATOS_[[AGRUP. CLAS. PROF.]:[AGRUP. CLAS. PROF.]]=$B93,IF(DATOS_[[Check Periodo Ref.]:[Check Periodo Ref.]]="Dentro",DATOS_[Conc.Sal.09]))))), 0)</f>
        <v>0</v>
      </c>
      <c r="O94" s="209" t="n">
        <f aca="false" t="array" ref="O94:O94">IFERROR( AVERAGE((IF(DATOS_[[Sexo]:[Sexo]]=$B94,IF(DATOS_[[AGRUP. CLAS. PROF.]:[AGRUP. CLAS. PROF.]]=$B93,IF(DATOS_[[Check Periodo Ref.]:[Check Periodo Ref.]]="Dentro",DATOS_[Conc.Sal.10]))))), 0)</f>
        <v>0</v>
      </c>
      <c r="P94" s="209" t="n">
        <f aca="false" t="array" ref="P94:P94">IFERROR( AVERAGE((IF(DATOS_[[Sexo]:[Sexo]]=$B94,IF(DATOS_[[AGRUP. CLAS. PROF.]:[AGRUP. CLAS. PROF.]]=$B93,IF(DATOS_[[Check Periodo Ref.]:[Check Periodo Ref.]]="Dentro",DATOS_[Conc.Sal.11]))))), 0)</f>
        <v>0</v>
      </c>
      <c r="Q94" s="209" t="n">
        <f aca="false" t="array" ref="Q94:Q94">IFERROR( AVERAGE((IF(DATOS_[[Sexo]:[Sexo]]=$B94,IF(DATOS_[[AGRUP. CLAS. PROF.]:[AGRUP. CLAS. PROF.]]=$B93,IF(DATOS_[[Check Periodo Ref.]:[Check Periodo Ref.]]="Dentro",DATOS_[Conc.Sal.12]))))), 0)</f>
        <v>0</v>
      </c>
      <c r="R94" s="209" t="n">
        <f aca="false" t="array" ref="R94:R94">IFERROR( AVERAGE((IF(DATOS_[[Sexo]:[Sexo]]=$B94,IF(DATOS_[[AGRUP. CLAS. PROF.]:[AGRUP. CLAS. PROF.]]=$B93,IF(DATOS_[[Check Periodo Ref.]:[Check Periodo Ref.]]="Dentro",DATOS_[Conc.Sal.13]))))), 0)</f>
        <v>0</v>
      </c>
      <c r="S94" s="209" t="n">
        <f aca="false" t="array" ref="S94:S94">IFERROR( AVERAGE((IF(DATOS_[[Sexo]:[Sexo]]=$B94,IF(DATOS_[[AGRUP. CLAS. PROF.]:[AGRUP. CLAS. PROF.]]=$B93,IF(DATOS_[[Check Periodo Ref.]:[Check Periodo Ref.]]="Dentro",DATOS_[Conc.Sal.14]))))), 0)</f>
        <v>0</v>
      </c>
      <c r="T94" s="209" t="n">
        <f aca="false" t="array" ref="T94:T94">IFERROR( AVERAGE((IF(DATOS_[[Sexo]:[Sexo]]=$B94,IF(DATOS_[[AGRUP. CLAS. PROF.]:[AGRUP. CLAS. PROF.]]=$B93,IF(DATOS_[[Check Periodo Ref.]:[Check Periodo Ref.]]="Dentro",DATOS_[Conc.Sal.15]))))), 0)</f>
        <v>0</v>
      </c>
      <c r="U94" s="209" t="n">
        <f aca="false" t="array" ref="U94:U94">IFERROR( AVERAGE((IF(DATOS_[[Sexo]:[Sexo]]=$B94,IF(DATOS_[[AGRUP. CLAS. PROF.]:[AGRUP. CLAS. PROF.]]=$B93,IF(DATOS_[[Check Periodo Ref.]:[Check Periodo Ref.]]="Dentro",DATOS_[Conc.Sal.16]))))), 0)</f>
        <v>0</v>
      </c>
      <c r="V94" s="209" t="n">
        <f aca="false" t="array" ref="V94:V94">IFERROR( AVERAGE((IF(DATOS_[[Sexo]:[Sexo]]=$B94,IF(DATOS_[[AGRUP. CLAS. PROF.]:[AGRUP. CLAS. PROF.]]=$B93,IF(DATOS_[[Check Periodo Ref.]:[Check Periodo Ref.]]="Dentro",DATOS_[Conc.Sal.17]))))), 0)</f>
        <v>0</v>
      </c>
      <c r="W94" s="209" t="n">
        <f aca="false" t="array" ref="W94:W94">IFERROR( AVERAGE((IF(DATOS_[[Sexo]:[Sexo]]=$B94,IF(DATOS_[[AGRUP. CLAS. PROF.]:[AGRUP. CLAS. PROF.]]=$B93,IF(DATOS_[[Check Periodo Ref.]:[Check Periodo Ref.]]="Dentro",DATOS_[Conc.Sal.18]))))), 0)</f>
        <v>0</v>
      </c>
      <c r="X94" s="209" t="n">
        <f aca="false" t="array" ref="X94:X94">IFERROR( AVERAGE((IF(DATOS_[[Sexo]:[Sexo]]=$B94,IF(DATOS_[[AGRUP. CLAS. PROF.]:[AGRUP. CLAS. PROF.]]=$B93,IF(DATOS_[[Check Periodo Ref.]:[Check Periodo Ref.]]="Dentro",DATOS_[Conc.Sal.19]))))), 0)</f>
        <v>0</v>
      </c>
      <c r="Y94" s="209" t="n">
        <f aca="false" t="array" ref="Y94:Y94">IFERROR( AVERAGE((IF(DATOS_[[Sexo]:[Sexo]]=$B94,IF(DATOS_[[AGRUP. CLAS. PROF.]:[AGRUP. CLAS. PROF.]]=$B93,IF(DATOS_[[Check Periodo Ref.]:[Check Periodo Ref.]]="Dentro",DATOS_[Conc.Sal.20]))))), 0)</f>
        <v>0</v>
      </c>
      <c r="Z94" s="209" t="n">
        <f aca="false" t="array" ref="Z94:Z94">IFERROR( AVERAGE((IF(DATOS_[[Sexo]:[Sexo]]=$B94,IF(DATOS_[[AGRUP. CLAS. PROF.]:[AGRUP. CLAS. PROF.]]=$B93,IF(DATOS_[[Check Periodo Ref.]:[Check Periodo Ref.]]="Dentro",DATOS_[Conc.Sal.21]))))), 0)</f>
        <v>0</v>
      </c>
      <c r="AA94" s="209" t="n">
        <f aca="false" t="array" ref="AA94:AA94">IFERROR( AVERAGE((IF(DATOS_[[Sexo]:[Sexo]]=$B94,IF(DATOS_[[AGRUP. CLAS. PROF.]:[AGRUP. CLAS. PROF.]]=$B93,IF(DATOS_[[Check Periodo Ref.]:[Check Periodo Ref.]]="Dentro",DATOS_[Conc.Sal.22]))))), 0)</f>
        <v>0</v>
      </c>
      <c r="AB94" s="209" t="n">
        <f aca="false" t="array" ref="AB94:AB94">IFERROR( AVERAGE((IF(DATOS_[[Sexo]:[Sexo]]=$B94,IF(DATOS_[[AGRUP. CLAS. PROF.]:[AGRUP. CLAS. PROF.]]=$B93,IF(DATOS_[[Check Periodo Ref.]:[Check Periodo Ref.]]="Dentro",DATOS_[Conc.Sal.23]))))), 0)</f>
        <v>0</v>
      </c>
      <c r="AC94" s="209" t="n">
        <f aca="false" t="array" ref="AC94:AC94">IFERROR( AVERAGE((IF(DATOS_[[Sexo]:[Sexo]]=$B94,IF(DATOS_[[AGRUP. CLAS. PROF.]:[AGRUP. CLAS. PROF.]]=$B93,IF(DATOS_[[Check Periodo Ref.]:[Check Periodo Ref.]]="Dentro",DATOS_[Conc.Sal.24]))))), 0)</f>
        <v>0</v>
      </c>
      <c r="AD94" s="209" t="n">
        <f aca="false" t="array" ref="AD94:AD94">IFERROR( AVERAGE((IF(DATOS_[[Sexo]:[Sexo]]=$B94,IF(DATOS_[[AGRUP. CLAS. PROF.]:[AGRUP. CLAS. PROF.]]=$B93,IF(DATOS_[[Check Periodo Ref.]:[Check Periodo Ref.]]="Dentro",DATOS_[Conc.Sal.25]))))), 0)</f>
        <v>0</v>
      </c>
      <c r="AE94" s="209" t="n">
        <f aca="false" t="array" ref="AE94:AE94">IFERROR( AVERAGE((IF(DATOS_[[Sexo]:[Sexo]]=$B94,IF(DATOS_[[AGRUP. CLAS. PROF.]:[AGRUP. CLAS. PROF.]]=$B93,IF(DATOS_[[Check Periodo Ref.]:[Check Periodo Ref.]]="Dentro",DATOS_[Conc.Sal.26]))))), 0)</f>
        <v>0</v>
      </c>
      <c r="AF94" s="209" t="n">
        <f aca="false" t="array" ref="AF94:AF94">IFERROR( AVERAGE((IF(DATOS_[[Sexo]:[Sexo]]=$B94,IF(DATOS_[[AGRUP. CLAS. PROF.]:[AGRUP. CLAS. PROF.]]=$B93,IF(DATOS_[[Check Periodo Ref.]:[Check Periodo Ref.]]="Dentro",DATOS_[Conc.Sal.27]))))), 0)</f>
        <v>0</v>
      </c>
      <c r="AG94" s="209" t="n">
        <f aca="false" t="array" ref="AG94:AG94">IFERROR( AVERAGE((IF(DATOS_[[Sexo]:[Sexo]]=$B94,IF(DATOS_[[AGRUP. CLAS. PROF.]:[AGRUP. CLAS. PROF.]]=$B93,IF(DATOS_[[Check Periodo Ref.]:[Check Periodo Ref.]]="Dentro",DATOS_[Conc.Sal.28]))))), 0)</f>
        <v>0</v>
      </c>
      <c r="AH94" s="209" t="n">
        <f aca="false" t="array" ref="AH94:AH94">IFERROR( AVERAGE((IF(DATOS_[[Sexo]:[Sexo]]=$B94,IF(DATOS_[[AGRUP. CLAS. PROF.]:[AGRUP. CLAS. PROF.]]=$B93,IF(DATOS_[[Check Periodo Ref.]:[Check Periodo Ref.]]="Dentro",DATOS_[Conc.Sal.29]))))), 0)</f>
        <v>0</v>
      </c>
      <c r="AI94" s="209" t="n">
        <f aca="false" t="array" ref="AI94:AI94">IFERROR( AVERAGE((IF(DATOS_[[Sexo]:[Sexo]]=$B94,IF(DATOS_[[AGRUP. CLAS. PROF.]:[AGRUP. CLAS. PROF.]]=$B93,IF(DATOS_[[Check Periodo Ref.]:[Check Periodo Ref.]]="Dentro",DATOS_[Conc.Sal.30]))))), 0)</f>
        <v>0</v>
      </c>
      <c r="AJ94" s="210" t="n">
        <f aca="false" t="array" ref="AJ94:AJ94">IFERROR( AVERAGE(IF(DATOS_[Sexo]=$B94,IF(DATOS_[AGRUP. CLAS. PROF.]=$B93,IF(DATOS_[Check Periodo Ref.]="Dentro",DATOS_[Tot COMPL.SAL Ef],0)))), 0)</f>
        <v>0</v>
      </c>
      <c r="AK94" s="211" t="n">
        <f aca="false" t="array" ref="AK94:AK94">IFERROR( AVERAGE(IF(DATOS_[Sexo]=$B94,IF(DATOS_[AGRUP. CLAS. PROF.]=$B93,IF(DATOS_[Check Periodo Ref.]="Dentro",DATOS_[TOTAL SALARIO Ef],0)))), 0)</f>
        <v>0</v>
      </c>
      <c r="AL94" s="212" t="n">
        <f aca="false" t="array" ref="AL94:AL94">IFERROR( AVERAGE((IF(DATOS_[[Sexo]:[Sexo]]=$B94,IF(DATOS_[[AGRUP. CLAS. PROF.]:[AGRUP. CLAS. PROF.]]=$B93,IF(DATOS_[[Check Periodo Ref.]:[Check Periodo Ref.]]="Dentro",DATOS_[C.Extra.01]))))), 0)</f>
        <v>0</v>
      </c>
      <c r="AM94" s="212" t="n">
        <f aca="false" t="array" ref="AM94:AM94">IFERROR( AVERAGE((IF(DATOS_[[Sexo]:[Sexo]]=$B94,IF(DATOS_[[AGRUP. CLAS. PROF.]:[AGRUP. CLAS. PROF.]]=$B93,IF(DATOS_[[Check Periodo Ref.]:[Check Periodo Ref.]]="Dentro",DATOS_[C.Extra.02]))))), 0)</f>
        <v>0</v>
      </c>
      <c r="AN94" s="212" t="n">
        <f aca="false" t="array" ref="AN94:AN94">IFERROR( AVERAGE((IF(DATOS_[[Sexo]:[Sexo]]=$B94,IF(DATOS_[[AGRUP. CLAS. PROF.]:[AGRUP. CLAS. PROF.]]=$B93,IF(DATOS_[[Check Periodo Ref.]:[Check Periodo Ref.]]="Dentro",DATOS_[C.Extra.03]))))), 0)</f>
        <v>0</v>
      </c>
      <c r="AO94" s="212" t="n">
        <f aca="false" t="array" ref="AO94:AO94">IFERROR( AVERAGE((IF(DATOS_[[Sexo]:[Sexo]]=$B94,IF(DATOS_[[AGRUP. CLAS. PROF.]:[AGRUP. CLAS. PROF.]]=$B93,IF(DATOS_[[Check Periodo Ref.]:[Check Periodo Ref.]]="Dentro",DATOS_[C.Extra.04]))))), 0)</f>
        <v>0</v>
      </c>
      <c r="AP94" s="212" t="n">
        <f aca="false" t="array" ref="AP94:AP94">IFERROR( AVERAGE((IF(DATOS_[[Sexo]:[Sexo]]=$B94,IF(DATOS_[[AGRUP. CLAS. PROF.]:[AGRUP. CLAS. PROF.]]=$B93,IF(DATOS_[[Check Periodo Ref.]:[Check Periodo Ref.]]="Dentro",DATOS_[C.Extra.05]))))), 0)</f>
        <v>0</v>
      </c>
      <c r="AQ94" s="213" t="n">
        <f aca="false" t="array" ref="AQ94:AQ94">IFERROR( AVERAGE(IF(DATOS_[Sexo]=$B94,IF(DATOS_[AGRUP. CLAS. PROF.]=$B93,IF(DATOS_[Check Periodo Ref.]="Dentro",DATOS_[Tot Extrasalarial Ef],0)))), 0)</f>
        <v>0</v>
      </c>
      <c r="AR94" s="214" t="n">
        <f aca="false" t="array" ref="AR94:AR94">IFERROR( AVERAGE(IF(DATOS_[Sexo]=$B94,IF(DATOS_[AGRUP. CLAS. PROF.]=$B93,IF(DATOS_[Check Periodo Ref.]="Dentro",DATOS_[TOTAL Retrib Ef],0)))), 0)</f>
        <v>0</v>
      </c>
    </row>
    <row r="95" customFormat="false" ht="14.25" hidden="false" customHeight="false" outlineLevel="0" collapsed="false">
      <c r="A95" s="191" t="str">
        <f aca="false">+A94</f>
        <v>[ocultar]</v>
      </c>
      <c r="B95" s="205" t="s">
        <v>372</v>
      </c>
      <c r="C95" s="206" t="n">
        <f aca="false" t="array" ref="C95:C95">SUM(IF($B95=DATOS_[Sexo], IF($B93=DATOS_[AGRUP. CLAS. PROF.], IF("Dentro"=DATOS_[Check Periodo Ref.], 1/(COUNTIFS(DATOS_[Sexo],$B95,DATOS_[AGRUP. CLAS. PROF.],$B93,DATOS_[Check Periodo Ref.],"Dentro",DATOS_[id],DATOS_[id]))))))</f>
        <v>0</v>
      </c>
      <c r="D95" s="207" t="n">
        <f aca="false">COUNTIFS(DATOS_[AGRUP. CLAS. PROF.],$B93,DATOS_[Sexo],$B95,DATOS_[Check Periodo Ref.],"Dentro")</f>
        <v>0</v>
      </c>
      <c r="E95" s="208" t="n">
        <f aca="false" t="array" ref="E95:E95">IFERROR( AVERAGE(IF(DATOS_[Sexo]=$B95,IF(DATOS_[AGRUP. CLAS. PROF.]=$B93,IF(DATOS_[Check Periodo Ref.]="Dentro",DATOS_[SALARIO BASE Ef],0)))), 0)</f>
        <v>0</v>
      </c>
      <c r="F95" s="209" t="n">
        <f aca="false" t="array" ref="F95:F95">IFERROR( AVERAGE((IF(DATOS_[[Sexo]:[Sexo]]=$B95,IF(DATOS_[[AGRUP. CLAS. PROF.]:[AGRUP. CLAS. PROF.]]=$B93,IF(DATOS_[[Check Periodo Ref.]:[Check Periodo Ref.]]="Dentro",DATOS_[Conc.Sal.01]))))), 0)</f>
        <v>0</v>
      </c>
      <c r="G95" s="209" t="n">
        <f aca="false" t="array" ref="G95:G95">IFERROR( AVERAGE((IF(DATOS_[[Sexo]:[Sexo]]=$B95,IF(DATOS_[[AGRUP. CLAS. PROF.]:[AGRUP. CLAS. PROF.]]=$B93,IF(DATOS_[[Check Periodo Ref.]:[Check Periodo Ref.]]="Dentro",DATOS_[Conc.Sal.02]))))), 0)</f>
        <v>0</v>
      </c>
      <c r="H95" s="209" t="n">
        <f aca="false" t="array" ref="H95:H95">IFERROR( AVERAGE((IF(DATOS_[[Sexo]:[Sexo]]=$B95,IF(DATOS_[[AGRUP. CLAS. PROF.]:[AGRUP. CLAS. PROF.]]=$B93,IF(DATOS_[[Check Periodo Ref.]:[Check Periodo Ref.]]="Dentro",DATOS_[Conc.Sal.03]))))), 0)</f>
        <v>0</v>
      </c>
      <c r="I95" s="209" t="n">
        <f aca="false" t="array" ref="I95:I95">IFERROR( AVERAGE((IF(DATOS_[[Sexo]:[Sexo]]=$B95,IF(DATOS_[[AGRUP. CLAS. PROF.]:[AGRUP. CLAS. PROF.]]=$B93,IF(DATOS_[[Check Periodo Ref.]:[Check Periodo Ref.]]="Dentro",DATOS_[Conc.Sal.04]))))), 0)</f>
        <v>0</v>
      </c>
      <c r="J95" s="209" t="n">
        <f aca="false" t="array" ref="J95:J95">IFERROR( AVERAGE((IF(DATOS_[[Sexo]:[Sexo]]=$B95,IF(DATOS_[[AGRUP. CLAS. PROF.]:[AGRUP. CLAS. PROF.]]=$B93,IF(DATOS_[[Check Periodo Ref.]:[Check Periodo Ref.]]="Dentro",DATOS_[Conc.Sal.05]))))), 0)</f>
        <v>0</v>
      </c>
      <c r="K95" s="209" t="n">
        <f aca="false" t="array" ref="K95:K95">IFERROR( AVERAGE((IF(DATOS_[[Sexo]:[Sexo]]=$B95,IF(DATOS_[[AGRUP. CLAS. PROF.]:[AGRUP. CLAS. PROF.]]=$B93,IF(DATOS_[[Check Periodo Ref.]:[Check Periodo Ref.]]="Dentro",DATOS_[Conc.Sal.06]))))), 0)</f>
        <v>0</v>
      </c>
      <c r="L95" s="209" t="n">
        <f aca="false" t="array" ref="L95:L95">IFERROR( AVERAGE((IF(DATOS_[[Sexo]:[Sexo]]=$B95,IF(DATOS_[[AGRUP. CLAS. PROF.]:[AGRUP. CLAS. PROF.]]=$B93,IF(DATOS_[[Check Periodo Ref.]:[Check Periodo Ref.]]="Dentro",DATOS_[Conc.Sal.07]))))), 0)</f>
        <v>0</v>
      </c>
      <c r="M95" s="209" t="n">
        <f aca="false" t="array" ref="M95:M95">IFERROR( AVERAGE((IF(DATOS_[[Sexo]:[Sexo]]=$B95,IF(DATOS_[[AGRUP. CLAS. PROF.]:[AGRUP. CLAS. PROF.]]=$B93,IF(DATOS_[[Check Periodo Ref.]:[Check Periodo Ref.]]="Dentro",DATOS_[Conc.Sal.08]))))), 0)</f>
        <v>0</v>
      </c>
      <c r="N95" s="209" t="n">
        <f aca="false" t="array" ref="N95:N95">IFERROR( AVERAGE((IF(DATOS_[[Sexo]:[Sexo]]=$B95,IF(DATOS_[[AGRUP. CLAS. PROF.]:[AGRUP. CLAS. PROF.]]=$B93,IF(DATOS_[[Check Periodo Ref.]:[Check Periodo Ref.]]="Dentro",DATOS_[Conc.Sal.09]))))), 0)</f>
        <v>0</v>
      </c>
      <c r="O95" s="209" t="n">
        <f aca="false" t="array" ref="O95:O95">IFERROR( AVERAGE((IF(DATOS_[[Sexo]:[Sexo]]=$B95,IF(DATOS_[[AGRUP. CLAS. PROF.]:[AGRUP. CLAS. PROF.]]=$B93,IF(DATOS_[[Check Periodo Ref.]:[Check Periodo Ref.]]="Dentro",DATOS_[Conc.Sal.10]))))), 0)</f>
        <v>0</v>
      </c>
      <c r="P95" s="209" t="n">
        <f aca="false" t="array" ref="P95:P95">IFERROR( AVERAGE((IF(DATOS_[[Sexo]:[Sexo]]=$B95,IF(DATOS_[[AGRUP. CLAS. PROF.]:[AGRUP. CLAS. PROF.]]=$B93,IF(DATOS_[[Check Periodo Ref.]:[Check Periodo Ref.]]="Dentro",DATOS_[Conc.Sal.11]))))), 0)</f>
        <v>0</v>
      </c>
      <c r="Q95" s="209" t="n">
        <f aca="false" t="array" ref="Q95:Q95">IFERROR( AVERAGE((IF(DATOS_[[Sexo]:[Sexo]]=$B95,IF(DATOS_[[AGRUP. CLAS. PROF.]:[AGRUP. CLAS. PROF.]]=$B93,IF(DATOS_[[Check Periodo Ref.]:[Check Periodo Ref.]]="Dentro",DATOS_[Conc.Sal.12]))))), 0)</f>
        <v>0</v>
      </c>
      <c r="R95" s="209" t="n">
        <f aca="false" t="array" ref="R95:R95">IFERROR( AVERAGE((IF(DATOS_[[Sexo]:[Sexo]]=$B95,IF(DATOS_[[AGRUP. CLAS. PROF.]:[AGRUP. CLAS. PROF.]]=$B93,IF(DATOS_[[Check Periodo Ref.]:[Check Periodo Ref.]]="Dentro",DATOS_[Conc.Sal.13]))))), 0)</f>
        <v>0</v>
      </c>
      <c r="S95" s="209" t="n">
        <f aca="false" t="array" ref="S95:S95">IFERROR( AVERAGE((IF(DATOS_[[Sexo]:[Sexo]]=$B95,IF(DATOS_[[AGRUP. CLAS. PROF.]:[AGRUP. CLAS. PROF.]]=$B93,IF(DATOS_[[Check Periodo Ref.]:[Check Periodo Ref.]]="Dentro",DATOS_[Conc.Sal.14]))))), 0)</f>
        <v>0</v>
      </c>
      <c r="T95" s="209" t="n">
        <f aca="false" t="array" ref="T95:T95">IFERROR( AVERAGE((IF(DATOS_[[Sexo]:[Sexo]]=$B95,IF(DATOS_[[AGRUP. CLAS. PROF.]:[AGRUP. CLAS. PROF.]]=$B93,IF(DATOS_[[Check Periodo Ref.]:[Check Periodo Ref.]]="Dentro",DATOS_[Conc.Sal.15]))))), 0)</f>
        <v>0</v>
      </c>
      <c r="U95" s="209" t="n">
        <f aca="false" t="array" ref="U95:U95">IFERROR( AVERAGE((IF(DATOS_[[Sexo]:[Sexo]]=$B95,IF(DATOS_[[AGRUP. CLAS. PROF.]:[AGRUP. CLAS. PROF.]]=$B93,IF(DATOS_[[Check Periodo Ref.]:[Check Periodo Ref.]]="Dentro",DATOS_[Conc.Sal.16]))))), 0)</f>
        <v>0</v>
      </c>
      <c r="V95" s="209" t="n">
        <f aca="false" t="array" ref="V95:V95">IFERROR( AVERAGE((IF(DATOS_[[Sexo]:[Sexo]]=$B95,IF(DATOS_[[AGRUP. CLAS. PROF.]:[AGRUP. CLAS. PROF.]]=$B93,IF(DATOS_[[Check Periodo Ref.]:[Check Periodo Ref.]]="Dentro",DATOS_[Conc.Sal.17]))))), 0)</f>
        <v>0</v>
      </c>
      <c r="W95" s="209" t="n">
        <f aca="false" t="array" ref="W95:W95">IFERROR( AVERAGE((IF(DATOS_[[Sexo]:[Sexo]]=$B95,IF(DATOS_[[AGRUP. CLAS. PROF.]:[AGRUP. CLAS. PROF.]]=$B93,IF(DATOS_[[Check Periodo Ref.]:[Check Periodo Ref.]]="Dentro",DATOS_[Conc.Sal.18]))))), 0)</f>
        <v>0</v>
      </c>
      <c r="X95" s="209" t="n">
        <f aca="false" t="array" ref="X95:X95">IFERROR( AVERAGE((IF(DATOS_[[Sexo]:[Sexo]]=$B95,IF(DATOS_[[AGRUP. CLAS. PROF.]:[AGRUP. CLAS. PROF.]]=$B93,IF(DATOS_[[Check Periodo Ref.]:[Check Periodo Ref.]]="Dentro",DATOS_[Conc.Sal.19]))))), 0)</f>
        <v>0</v>
      </c>
      <c r="Y95" s="209" t="n">
        <f aca="false" t="array" ref="Y95:Y95">IFERROR( AVERAGE((IF(DATOS_[[Sexo]:[Sexo]]=$B95,IF(DATOS_[[AGRUP. CLAS. PROF.]:[AGRUP. CLAS. PROF.]]=$B93,IF(DATOS_[[Check Periodo Ref.]:[Check Periodo Ref.]]="Dentro",DATOS_[Conc.Sal.20]))))), 0)</f>
        <v>0</v>
      </c>
      <c r="Z95" s="209" t="n">
        <f aca="false" t="array" ref="Z95:Z95">IFERROR( AVERAGE((IF(DATOS_[[Sexo]:[Sexo]]=$B95,IF(DATOS_[[AGRUP. CLAS. PROF.]:[AGRUP. CLAS. PROF.]]=$B93,IF(DATOS_[[Check Periodo Ref.]:[Check Periodo Ref.]]="Dentro",DATOS_[Conc.Sal.21]))))), 0)</f>
        <v>0</v>
      </c>
      <c r="AA95" s="209" t="n">
        <f aca="false" t="array" ref="AA95:AA95">IFERROR( AVERAGE((IF(DATOS_[[Sexo]:[Sexo]]=$B95,IF(DATOS_[[AGRUP. CLAS. PROF.]:[AGRUP. CLAS. PROF.]]=$B93,IF(DATOS_[[Check Periodo Ref.]:[Check Periodo Ref.]]="Dentro",DATOS_[Conc.Sal.22]))))), 0)</f>
        <v>0</v>
      </c>
      <c r="AB95" s="209" t="n">
        <f aca="false" t="array" ref="AB95:AB95">IFERROR( AVERAGE((IF(DATOS_[[Sexo]:[Sexo]]=$B95,IF(DATOS_[[AGRUP. CLAS. PROF.]:[AGRUP. CLAS. PROF.]]=$B93,IF(DATOS_[[Check Periodo Ref.]:[Check Periodo Ref.]]="Dentro",DATOS_[Conc.Sal.23]))))), 0)</f>
        <v>0</v>
      </c>
      <c r="AC95" s="209" t="n">
        <f aca="false" t="array" ref="AC95:AC95">IFERROR( AVERAGE((IF(DATOS_[[Sexo]:[Sexo]]=$B95,IF(DATOS_[[AGRUP. CLAS. PROF.]:[AGRUP. CLAS. PROF.]]=$B93,IF(DATOS_[[Check Periodo Ref.]:[Check Periodo Ref.]]="Dentro",DATOS_[Conc.Sal.24]))))), 0)</f>
        <v>0</v>
      </c>
      <c r="AD95" s="209" t="n">
        <f aca="false" t="array" ref="AD95:AD95">IFERROR( AVERAGE((IF(DATOS_[[Sexo]:[Sexo]]=$B95,IF(DATOS_[[AGRUP. CLAS. PROF.]:[AGRUP. CLAS. PROF.]]=$B93,IF(DATOS_[[Check Periodo Ref.]:[Check Periodo Ref.]]="Dentro",DATOS_[Conc.Sal.25]))))), 0)</f>
        <v>0</v>
      </c>
      <c r="AE95" s="209" t="n">
        <f aca="false" t="array" ref="AE95:AE95">IFERROR( AVERAGE((IF(DATOS_[[Sexo]:[Sexo]]=$B95,IF(DATOS_[[AGRUP. CLAS. PROF.]:[AGRUP. CLAS. PROF.]]=$B93,IF(DATOS_[[Check Periodo Ref.]:[Check Periodo Ref.]]="Dentro",DATOS_[Conc.Sal.26]))))), 0)</f>
        <v>0</v>
      </c>
      <c r="AF95" s="209" t="n">
        <f aca="false" t="array" ref="AF95:AF95">IFERROR( AVERAGE((IF(DATOS_[[Sexo]:[Sexo]]=$B95,IF(DATOS_[[AGRUP. CLAS. PROF.]:[AGRUP. CLAS. PROF.]]=$B93,IF(DATOS_[[Check Periodo Ref.]:[Check Periodo Ref.]]="Dentro",DATOS_[Conc.Sal.27]))))), 0)</f>
        <v>0</v>
      </c>
      <c r="AG95" s="209" t="n">
        <f aca="false" t="array" ref="AG95:AG95">IFERROR( AVERAGE((IF(DATOS_[[Sexo]:[Sexo]]=$B95,IF(DATOS_[[AGRUP. CLAS. PROF.]:[AGRUP. CLAS. PROF.]]=$B93,IF(DATOS_[[Check Periodo Ref.]:[Check Periodo Ref.]]="Dentro",DATOS_[Conc.Sal.28]))))), 0)</f>
        <v>0</v>
      </c>
      <c r="AH95" s="209" t="n">
        <f aca="false" t="array" ref="AH95:AH95">IFERROR( AVERAGE((IF(DATOS_[[Sexo]:[Sexo]]=$B95,IF(DATOS_[[AGRUP. CLAS. PROF.]:[AGRUP. CLAS. PROF.]]=$B93,IF(DATOS_[[Check Periodo Ref.]:[Check Periodo Ref.]]="Dentro",DATOS_[Conc.Sal.29]))))), 0)</f>
        <v>0</v>
      </c>
      <c r="AI95" s="209" t="n">
        <f aca="false" t="array" ref="AI95:AI95">IFERROR( AVERAGE((IF(DATOS_[[Sexo]:[Sexo]]=$B95,IF(DATOS_[[AGRUP. CLAS. PROF.]:[AGRUP. CLAS. PROF.]]=$B93,IF(DATOS_[[Check Periodo Ref.]:[Check Periodo Ref.]]="Dentro",DATOS_[Conc.Sal.30]))))), 0)</f>
        <v>0</v>
      </c>
      <c r="AJ95" s="210" t="n">
        <f aca="false" t="array" ref="AJ95:AJ95">IFERROR( AVERAGE(IF(DATOS_[Sexo]=$B95,IF(DATOS_[AGRUP. CLAS. PROF.]=$B93,IF(DATOS_[Check Periodo Ref.]="Dentro",DATOS_[Tot COMPL.SAL Ef],0)))), 0)</f>
        <v>0</v>
      </c>
      <c r="AK95" s="211" t="n">
        <f aca="false" t="array" ref="AK95:AK95">IFERROR( AVERAGE(IF(DATOS_[Sexo]=$B95,IF(DATOS_[AGRUP. CLAS. PROF.]=$B93,IF(DATOS_[Check Periodo Ref.]="Dentro",DATOS_[TOTAL SALARIO Ef],0)))), 0)</f>
        <v>0</v>
      </c>
      <c r="AL95" s="212" t="n">
        <f aca="false" t="array" ref="AL95:AL95">IFERROR( AVERAGE((IF(DATOS_[[Sexo]:[Sexo]]=$B95,IF(DATOS_[[AGRUP. CLAS. PROF.]:[AGRUP. CLAS. PROF.]]=$B93,IF(DATOS_[[Check Periodo Ref.]:[Check Periodo Ref.]]="Dentro",DATOS_[C.Extra.01]))))), 0)</f>
        <v>0</v>
      </c>
      <c r="AM95" s="212" t="n">
        <f aca="false" t="array" ref="AM95:AM95">IFERROR( AVERAGE((IF(DATOS_[[Sexo]:[Sexo]]=$B95,IF(DATOS_[[AGRUP. CLAS. PROF.]:[AGRUP. CLAS. PROF.]]=$B93,IF(DATOS_[[Check Periodo Ref.]:[Check Periodo Ref.]]="Dentro",DATOS_[C.Extra.02]))))), 0)</f>
        <v>0</v>
      </c>
      <c r="AN95" s="212" t="n">
        <f aca="false" t="array" ref="AN95:AN95">IFERROR( AVERAGE((IF(DATOS_[[Sexo]:[Sexo]]=$B95,IF(DATOS_[[AGRUP. CLAS. PROF.]:[AGRUP. CLAS. PROF.]]=$B93,IF(DATOS_[[Check Periodo Ref.]:[Check Periodo Ref.]]="Dentro",DATOS_[C.Extra.03]))))), 0)</f>
        <v>0</v>
      </c>
      <c r="AO95" s="212" t="n">
        <f aca="false" t="array" ref="AO95:AO95">IFERROR( AVERAGE((IF(DATOS_[[Sexo]:[Sexo]]=$B95,IF(DATOS_[[AGRUP. CLAS. PROF.]:[AGRUP. CLAS. PROF.]]=$B93,IF(DATOS_[[Check Periodo Ref.]:[Check Periodo Ref.]]="Dentro",DATOS_[C.Extra.04]))))), 0)</f>
        <v>0</v>
      </c>
      <c r="AP95" s="212" t="n">
        <f aca="false" t="array" ref="AP95:AP95">IFERROR( AVERAGE((IF(DATOS_[[Sexo]:[Sexo]]=$B95,IF(DATOS_[[AGRUP. CLAS. PROF.]:[AGRUP. CLAS. PROF.]]=$B93,IF(DATOS_[[Check Periodo Ref.]:[Check Periodo Ref.]]="Dentro",DATOS_[C.Extra.05]))))), 0)</f>
        <v>0</v>
      </c>
      <c r="AQ95" s="213" t="n">
        <f aca="false" t="array" ref="AQ95:AQ95">IFERROR( AVERAGE(IF(DATOS_[Sexo]=$B95,IF(DATOS_[AGRUP. CLAS. PROF.]=$B93,IF(DATOS_[Check Periodo Ref.]="Dentro",DATOS_[Tot Extrasalarial Ef],0)))), 0)</f>
        <v>0</v>
      </c>
      <c r="AR95" s="214" t="n">
        <f aca="false" t="array" ref="AR95:AR95">IFERROR( AVERAGE(IF(DATOS_[Sexo]=$B95,IF(DATOS_[AGRUP. CLAS. PROF.]=$B93,IF(DATOS_[Check Periodo Ref.]="Dentro",DATOS_[TOTAL Retrib Ef],0)))), 0)</f>
        <v>0</v>
      </c>
    </row>
    <row r="96" customFormat="false" ht="15.75" hidden="false" customHeight="false" outlineLevel="0" collapsed="false">
      <c r="A96" s="191" t="str">
        <f aca="false">+A97</f>
        <v>[ocultar]</v>
      </c>
      <c r="B96" s="192" t="s">
        <v>249</v>
      </c>
      <c r="C96" s="193"/>
      <c r="D96" s="194"/>
      <c r="E96" s="195" t="str">
        <f aca="false">IFERROR((E97-E98)/E97,"")</f>
        <v/>
      </c>
      <c r="F96" s="196" t="str">
        <f aca="false">IFERROR((F97-F98)/F97,"")</f>
        <v/>
      </c>
      <c r="G96" s="197" t="str">
        <f aca="false">IFERROR((G97-G98)/G97,"")</f>
        <v/>
      </c>
      <c r="H96" s="197" t="str">
        <f aca="false">IFERROR((H97-H98)/H97,"")</f>
        <v/>
      </c>
      <c r="I96" s="197" t="str">
        <f aca="false">IFERROR((I97-I98)/I97,"")</f>
        <v/>
      </c>
      <c r="J96" s="198" t="str">
        <f aca="false">IFERROR((J97-J98)/J97,"")</f>
        <v/>
      </c>
      <c r="K96" s="199" t="str">
        <f aca="false">IFERROR((K97-K98)/K97,"")</f>
        <v/>
      </c>
      <c r="L96" s="199" t="str">
        <f aca="false">IFERROR((L97-L98)/L97,"")</f>
        <v/>
      </c>
      <c r="M96" s="199" t="str">
        <f aca="false">IFERROR((M97-M98)/M97,"")</f>
        <v/>
      </c>
      <c r="N96" s="199" t="str">
        <f aca="false">IFERROR((N97-N98)/N97,"")</f>
        <v/>
      </c>
      <c r="O96" s="199" t="str">
        <f aca="false">IFERROR((O97-O98)/O97,"")</f>
        <v/>
      </c>
      <c r="P96" s="199" t="str">
        <f aca="false">IFERROR((P97-P98)/P97,"")</f>
        <v/>
      </c>
      <c r="Q96" s="199" t="str">
        <f aca="false">IFERROR((Q97-Q98)/Q97,"")</f>
        <v/>
      </c>
      <c r="R96" s="199" t="str">
        <f aca="false">IFERROR((R97-R98)/R97,"")</f>
        <v/>
      </c>
      <c r="S96" s="199" t="str">
        <f aca="false">IFERROR((S97-S98)/S97,"")</f>
        <v/>
      </c>
      <c r="T96" s="199" t="str">
        <f aca="false">IFERROR((T97-T98)/T97,"")</f>
        <v/>
      </c>
      <c r="U96" s="199" t="str">
        <f aca="false">IFERROR((U97-U98)/U97,"")</f>
        <v/>
      </c>
      <c r="V96" s="198" t="str">
        <f aca="false">IFERROR((V97-V98)/V97,"")</f>
        <v/>
      </c>
      <c r="W96" s="198" t="str">
        <f aca="false">IFERROR((W97-W98)/W97,"")</f>
        <v/>
      </c>
      <c r="X96" s="198" t="str">
        <f aca="false">IFERROR((X97-X98)/X97,"")</f>
        <v/>
      </c>
      <c r="Y96" s="198" t="str">
        <f aca="false">IFERROR((Y97-Y98)/Y97,"")</f>
        <v/>
      </c>
      <c r="Z96" s="198" t="str">
        <f aca="false">IFERROR((Z97-Z98)/Z97,"")</f>
        <v/>
      </c>
      <c r="AA96" s="198" t="str">
        <f aca="false">IFERROR((AA97-AA98)/AA97,"")</f>
        <v/>
      </c>
      <c r="AB96" s="198" t="str">
        <f aca="false">IFERROR((AB97-AB98)/AB97,"")</f>
        <v/>
      </c>
      <c r="AC96" s="198" t="str">
        <f aca="false">IFERROR((AC97-AC98)/AC97,"")</f>
        <v/>
      </c>
      <c r="AD96" s="198" t="str">
        <f aca="false">IFERROR((AD97-AD98)/AD97,"")</f>
        <v/>
      </c>
      <c r="AE96" s="198" t="str">
        <f aca="false">IFERROR((AE97-AE98)/AE97,"")</f>
        <v/>
      </c>
      <c r="AF96" s="198" t="str">
        <f aca="false">IFERROR((AF97-AF98)/AF97,"")</f>
        <v/>
      </c>
      <c r="AG96" s="198" t="str">
        <f aca="false">IFERROR((AG97-AG98)/AG97,"")</f>
        <v/>
      </c>
      <c r="AH96" s="198" t="str">
        <f aca="false">IFERROR((AH97-AH98)/AH97,"")</f>
        <v/>
      </c>
      <c r="AI96" s="198" t="str">
        <f aca="false">IFERROR((AI97-AI98)/AI97,"")</f>
        <v/>
      </c>
      <c r="AJ96" s="200" t="str">
        <f aca="false">IFERROR((AJ97-AJ98)/AJ97,"")</f>
        <v/>
      </c>
      <c r="AK96" s="201" t="str">
        <f aca="false">IFERROR((AK97-AK98)/AK97,"")</f>
        <v/>
      </c>
      <c r="AL96" s="202" t="str">
        <f aca="false">IFERROR((AL97-AL98)/AL97,"")</f>
        <v/>
      </c>
      <c r="AM96" s="202" t="str">
        <f aca="false">IFERROR((AM97-AM98)/AM97,"")</f>
        <v/>
      </c>
      <c r="AN96" s="202" t="str">
        <f aca="false">IFERROR((AN97-AN98)/AN97,"")</f>
        <v/>
      </c>
      <c r="AO96" s="202" t="str">
        <f aca="false">IFERROR((AO97-AO98)/AO97,"")</f>
        <v/>
      </c>
      <c r="AP96" s="202" t="str">
        <f aca="false">IFERROR((AP97-AP98)/AP97,"")</f>
        <v/>
      </c>
      <c r="AQ96" s="203" t="str">
        <f aca="false">IFERROR((AQ97-AQ98)/AQ97,"")</f>
        <v/>
      </c>
      <c r="AR96" s="204" t="str">
        <f aca="false">IFERROR((AR97-AR98)/AR97,"")</f>
        <v/>
      </c>
    </row>
    <row r="97" customFormat="false" ht="14.25" hidden="false" customHeight="false" outlineLevel="0" collapsed="false">
      <c r="A97" s="191" t="str">
        <f aca="false">+IF(C97+C98=0,"[ocultar]","")</f>
        <v>[ocultar]</v>
      </c>
      <c r="B97" s="205" t="s">
        <v>371</v>
      </c>
      <c r="C97" s="206" t="n">
        <f aca="false" t="array" ref="C97:C97">SUM(IF($B97=DATOS_[Sexo], IF($B96=DATOS_[AGRUP. CLAS. PROF.], IF("Dentro"=DATOS_[Check Periodo Ref.], 1/(COUNTIFS(DATOS_[Sexo],$B97,DATOS_[AGRUP. CLAS. PROF.],$B96,DATOS_[Check Periodo Ref.],"Dentro",DATOS_[id],DATOS_[id]))))))</f>
        <v>0</v>
      </c>
      <c r="D97" s="207" t="n">
        <f aca="false">COUNTIFS(DATOS_[AGRUP. CLAS. PROF.],$B96,DATOS_[Sexo],$B97,DATOS_[Check Periodo Ref.],"Dentro")</f>
        <v>0</v>
      </c>
      <c r="E97" s="208" t="n">
        <f aca="false" t="array" ref="E97:E97">IFERROR( AVERAGE(IF(DATOS_[Sexo]=$B97,IF(DATOS_[AGRUP. CLAS. PROF.]=$B96,IF(DATOS_[Check Periodo Ref.]="Dentro",DATOS_[SALARIO BASE Ef],0)))), 0)</f>
        <v>0</v>
      </c>
      <c r="F97" s="209" t="n">
        <f aca="false" t="array" ref="F97:F97">IFERROR( AVERAGE((IF(DATOS_[[Sexo]:[Sexo]]=$B97,IF(DATOS_[[AGRUP. CLAS. PROF.]:[AGRUP. CLAS. PROF.]]=$B96,IF(DATOS_[[Check Periodo Ref.]:[Check Periodo Ref.]]="Dentro",DATOS_[Conc.Sal.01]))))), 0)</f>
        <v>0</v>
      </c>
      <c r="G97" s="209" t="n">
        <f aca="false" t="array" ref="G97:G97">IFERROR( AVERAGE((IF(DATOS_[[Sexo]:[Sexo]]=$B97,IF(DATOS_[[AGRUP. CLAS. PROF.]:[AGRUP. CLAS. PROF.]]=$B96,IF(DATOS_[[Check Periodo Ref.]:[Check Periodo Ref.]]="Dentro",DATOS_[Conc.Sal.02]))))), 0)</f>
        <v>0</v>
      </c>
      <c r="H97" s="209" t="n">
        <f aca="false" t="array" ref="H97:H97">IFERROR( AVERAGE((IF(DATOS_[[Sexo]:[Sexo]]=$B97,IF(DATOS_[[AGRUP. CLAS. PROF.]:[AGRUP. CLAS. PROF.]]=$B96,IF(DATOS_[[Check Periodo Ref.]:[Check Periodo Ref.]]="Dentro",DATOS_[Conc.Sal.03]))))), 0)</f>
        <v>0</v>
      </c>
      <c r="I97" s="209" t="n">
        <f aca="false" t="array" ref="I97:I97">IFERROR( AVERAGE((IF(DATOS_[[Sexo]:[Sexo]]=$B97,IF(DATOS_[[AGRUP. CLAS. PROF.]:[AGRUP. CLAS. PROF.]]=$B96,IF(DATOS_[[Check Periodo Ref.]:[Check Periodo Ref.]]="Dentro",DATOS_[Conc.Sal.04]))))), 0)</f>
        <v>0</v>
      </c>
      <c r="J97" s="209" t="n">
        <f aca="false" t="array" ref="J97:J97">IFERROR( AVERAGE((IF(DATOS_[[Sexo]:[Sexo]]=$B97,IF(DATOS_[[AGRUP. CLAS. PROF.]:[AGRUP. CLAS. PROF.]]=$B96,IF(DATOS_[[Check Periodo Ref.]:[Check Periodo Ref.]]="Dentro",DATOS_[Conc.Sal.05]))))), 0)</f>
        <v>0</v>
      </c>
      <c r="K97" s="209" t="n">
        <f aca="false" t="array" ref="K97:K97">IFERROR( AVERAGE((IF(DATOS_[[Sexo]:[Sexo]]=$B97,IF(DATOS_[[AGRUP. CLAS. PROF.]:[AGRUP. CLAS. PROF.]]=$B96,IF(DATOS_[[Check Periodo Ref.]:[Check Periodo Ref.]]="Dentro",DATOS_[Conc.Sal.06]))))), 0)</f>
        <v>0</v>
      </c>
      <c r="L97" s="209" t="n">
        <f aca="false" t="array" ref="L97:L97">IFERROR( AVERAGE((IF(DATOS_[[Sexo]:[Sexo]]=$B97,IF(DATOS_[[AGRUP. CLAS. PROF.]:[AGRUP. CLAS. PROF.]]=$B96,IF(DATOS_[[Check Periodo Ref.]:[Check Periodo Ref.]]="Dentro",DATOS_[Conc.Sal.07]))))), 0)</f>
        <v>0</v>
      </c>
      <c r="M97" s="209" t="n">
        <f aca="false" t="array" ref="M97:M97">IFERROR( AVERAGE((IF(DATOS_[[Sexo]:[Sexo]]=$B97,IF(DATOS_[[AGRUP. CLAS. PROF.]:[AGRUP. CLAS. PROF.]]=$B96,IF(DATOS_[[Check Periodo Ref.]:[Check Periodo Ref.]]="Dentro",DATOS_[Conc.Sal.08]))))), 0)</f>
        <v>0</v>
      </c>
      <c r="N97" s="209" t="n">
        <f aca="false" t="array" ref="N97:N97">IFERROR( AVERAGE((IF(DATOS_[[Sexo]:[Sexo]]=$B97,IF(DATOS_[[AGRUP. CLAS. PROF.]:[AGRUP. CLAS. PROF.]]=$B96,IF(DATOS_[[Check Periodo Ref.]:[Check Periodo Ref.]]="Dentro",DATOS_[Conc.Sal.09]))))), 0)</f>
        <v>0</v>
      </c>
      <c r="O97" s="209" t="n">
        <f aca="false" t="array" ref="O97:O97">IFERROR( AVERAGE((IF(DATOS_[[Sexo]:[Sexo]]=$B97,IF(DATOS_[[AGRUP. CLAS. PROF.]:[AGRUP. CLAS. PROF.]]=$B96,IF(DATOS_[[Check Periodo Ref.]:[Check Periodo Ref.]]="Dentro",DATOS_[Conc.Sal.10]))))), 0)</f>
        <v>0</v>
      </c>
      <c r="P97" s="209" t="n">
        <f aca="false" t="array" ref="P97:P97">IFERROR( AVERAGE((IF(DATOS_[[Sexo]:[Sexo]]=$B97,IF(DATOS_[[AGRUP. CLAS. PROF.]:[AGRUP. CLAS. PROF.]]=$B96,IF(DATOS_[[Check Periodo Ref.]:[Check Periodo Ref.]]="Dentro",DATOS_[Conc.Sal.11]))))), 0)</f>
        <v>0</v>
      </c>
      <c r="Q97" s="209" t="n">
        <f aca="false" t="array" ref="Q97:Q97">IFERROR( AVERAGE((IF(DATOS_[[Sexo]:[Sexo]]=$B97,IF(DATOS_[[AGRUP. CLAS. PROF.]:[AGRUP. CLAS. PROF.]]=$B96,IF(DATOS_[[Check Periodo Ref.]:[Check Periodo Ref.]]="Dentro",DATOS_[Conc.Sal.12]))))), 0)</f>
        <v>0</v>
      </c>
      <c r="R97" s="209" t="n">
        <f aca="false" t="array" ref="R97:R97">IFERROR( AVERAGE((IF(DATOS_[[Sexo]:[Sexo]]=$B97,IF(DATOS_[[AGRUP. CLAS. PROF.]:[AGRUP. CLAS. PROF.]]=$B96,IF(DATOS_[[Check Periodo Ref.]:[Check Periodo Ref.]]="Dentro",DATOS_[Conc.Sal.13]))))), 0)</f>
        <v>0</v>
      </c>
      <c r="S97" s="209" t="n">
        <f aca="false" t="array" ref="S97:S97">IFERROR( AVERAGE((IF(DATOS_[[Sexo]:[Sexo]]=$B97,IF(DATOS_[[AGRUP. CLAS. PROF.]:[AGRUP. CLAS. PROF.]]=$B96,IF(DATOS_[[Check Periodo Ref.]:[Check Periodo Ref.]]="Dentro",DATOS_[Conc.Sal.14]))))), 0)</f>
        <v>0</v>
      </c>
      <c r="T97" s="209" t="n">
        <f aca="false" t="array" ref="T97:T97">IFERROR( AVERAGE((IF(DATOS_[[Sexo]:[Sexo]]=$B97,IF(DATOS_[[AGRUP. CLAS. PROF.]:[AGRUP. CLAS. PROF.]]=$B96,IF(DATOS_[[Check Periodo Ref.]:[Check Periodo Ref.]]="Dentro",DATOS_[Conc.Sal.15]))))), 0)</f>
        <v>0</v>
      </c>
      <c r="U97" s="209" t="n">
        <f aca="false" t="array" ref="U97:U97">IFERROR( AVERAGE((IF(DATOS_[[Sexo]:[Sexo]]=$B97,IF(DATOS_[[AGRUP. CLAS. PROF.]:[AGRUP. CLAS. PROF.]]=$B96,IF(DATOS_[[Check Periodo Ref.]:[Check Periodo Ref.]]="Dentro",DATOS_[Conc.Sal.16]))))), 0)</f>
        <v>0</v>
      </c>
      <c r="V97" s="209" t="n">
        <f aca="false" t="array" ref="V97:V97">IFERROR( AVERAGE((IF(DATOS_[[Sexo]:[Sexo]]=$B97,IF(DATOS_[[AGRUP. CLAS. PROF.]:[AGRUP. CLAS. PROF.]]=$B96,IF(DATOS_[[Check Periodo Ref.]:[Check Periodo Ref.]]="Dentro",DATOS_[Conc.Sal.17]))))), 0)</f>
        <v>0</v>
      </c>
      <c r="W97" s="209" t="n">
        <f aca="false" t="array" ref="W97:W97">IFERROR( AVERAGE((IF(DATOS_[[Sexo]:[Sexo]]=$B97,IF(DATOS_[[AGRUP. CLAS. PROF.]:[AGRUP. CLAS. PROF.]]=$B96,IF(DATOS_[[Check Periodo Ref.]:[Check Periodo Ref.]]="Dentro",DATOS_[Conc.Sal.18]))))), 0)</f>
        <v>0</v>
      </c>
      <c r="X97" s="209" t="n">
        <f aca="false" t="array" ref="X97:X97">IFERROR( AVERAGE((IF(DATOS_[[Sexo]:[Sexo]]=$B97,IF(DATOS_[[AGRUP. CLAS. PROF.]:[AGRUP. CLAS. PROF.]]=$B96,IF(DATOS_[[Check Periodo Ref.]:[Check Periodo Ref.]]="Dentro",DATOS_[Conc.Sal.19]))))), 0)</f>
        <v>0</v>
      </c>
      <c r="Y97" s="209" t="n">
        <f aca="false" t="array" ref="Y97:Y97">IFERROR( AVERAGE((IF(DATOS_[[Sexo]:[Sexo]]=$B97,IF(DATOS_[[AGRUP. CLAS. PROF.]:[AGRUP. CLAS. PROF.]]=$B96,IF(DATOS_[[Check Periodo Ref.]:[Check Periodo Ref.]]="Dentro",DATOS_[Conc.Sal.20]))))), 0)</f>
        <v>0</v>
      </c>
      <c r="Z97" s="209" t="n">
        <f aca="false" t="array" ref="Z97:Z97">IFERROR( AVERAGE((IF(DATOS_[[Sexo]:[Sexo]]=$B97,IF(DATOS_[[AGRUP. CLAS. PROF.]:[AGRUP. CLAS. PROF.]]=$B96,IF(DATOS_[[Check Periodo Ref.]:[Check Periodo Ref.]]="Dentro",DATOS_[Conc.Sal.21]))))), 0)</f>
        <v>0</v>
      </c>
      <c r="AA97" s="209" t="n">
        <f aca="false" t="array" ref="AA97:AA97">IFERROR( AVERAGE((IF(DATOS_[[Sexo]:[Sexo]]=$B97,IF(DATOS_[[AGRUP. CLAS. PROF.]:[AGRUP. CLAS. PROF.]]=$B96,IF(DATOS_[[Check Periodo Ref.]:[Check Periodo Ref.]]="Dentro",DATOS_[Conc.Sal.22]))))), 0)</f>
        <v>0</v>
      </c>
      <c r="AB97" s="209" t="n">
        <f aca="false" t="array" ref="AB97:AB97">IFERROR( AVERAGE((IF(DATOS_[[Sexo]:[Sexo]]=$B97,IF(DATOS_[[AGRUP. CLAS. PROF.]:[AGRUP. CLAS. PROF.]]=$B96,IF(DATOS_[[Check Periodo Ref.]:[Check Periodo Ref.]]="Dentro",DATOS_[Conc.Sal.23]))))), 0)</f>
        <v>0</v>
      </c>
      <c r="AC97" s="209" t="n">
        <f aca="false" t="array" ref="AC97:AC97">IFERROR( AVERAGE((IF(DATOS_[[Sexo]:[Sexo]]=$B97,IF(DATOS_[[AGRUP. CLAS. PROF.]:[AGRUP. CLAS. PROF.]]=$B96,IF(DATOS_[[Check Periodo Ref.]:[Check Periodo Ref.]]="Dentro",DATOS_[Conc.Sal.24]))))), 0)</f>
        <v>0</v>
      </c>
      <c r="AD97" s="209" t="n">
        <f aca="false" t="array" ref="AD97:AD97">IFERROR( AVERAGE((IF(DATOS_[[Sexo]:[Sexo]]=$B97,IF(DATOS_[[AGRUP. CLAS. PROF.]:[AGRUP. CLAS. PROF.]]=$B96,IF(DATOS_[[Check Periodo Ref.]:[Check Periodo Ref.]]="Dentro",DATOS_[Conc.Sal.25]))))), 0)</f>
        <v>0</v>
      </c>
      <c r="AE97" s="209" t="n">
        <f aca="false" t="array" ref="AE97:AE97">IFERROR( AVERAGE((IF(DATOS_[[Sexo]:[Sexo]]=$B97,IF(DATOS_[[AGRUP. CLAS. PROF.]:[AGRUP. CLAS. PROF.]]=$B96,IF(DATOS_[[Check Periodo Ref.]:[Check Periodo Ref.]]="Dentro",DATOS_[Conc.Sal.26]))))), 0)</f>
        <v>0</v>
      </c>
      <c r="AF97" s="209" t="n">
        <f aca="false" t="array" ref="AF97:AF97">IFERROR( AVERAGE((IF(DATOS_[[Sexo]:[Sexo]]=$B97,IF(DATOS_[[AGRUP. CLAS. PROF.]:[AGRUP. CLAS. PROF.]]=$B96,IF(DATOS_[[Check Periodo Ref.]:[Check Periodo Ref.]]="Dentro",DATOS_[Conc.Sal.27]))))), 0)</f>
        <v>0</v>
      </c>
      <c r="AG97" s="209" t="n">
        <f aca="false" t="array" ref="AG97:AG97">IFERROR( AVERAGE((IF(DATOS_[[Sexo]:[Sexo]]=$B97,IF(DATOS_[[AGRUP. CLAS. PROF.]:[AGRUP. CLAS. PROF.]]=$B96,IF(DATOS_[[Check Periodo Ref.]:[Check Periodo Ref.]]="Dentro",DATOS_[Conc.Sal.28]))))), 0)</f>
        <v>0</v>
      </c>
      <c r="AH97" s="209" t="n">
        <f aca="false" t="array" ref="AH97:AH97">IFERROR( AVERAGE((IF(DATOS_[[Sexo]:[Sexo]]=$B97,IF(DATOS_[[AGRUP. CLAS. PROF.]:[AGRUP. CLAS. PROF.]]=$B96,IF(DATOS_[[Check Periodo Ref.]:[Check Periodo Ref.]]="Dentro",DATOS_[Conc.Sal.29]))))), 0)</f>
        <v>0</v>
      </c>
      <c r="AI97" s="209" t="n">
        <f aca="false" t="array" ref="AI97:AI97">IFERROR( AVERAGE((IF(DATOS_[[Sexo]:[Sexo]]=$B97,IF(DATOS_[[AGRUP. CLAS. PROF.]:[AGRUP. CLAS. PROF.]]=$B96,IF(DATOS_[[Check Periodo Ref.]:[Check Periodo Ref.]]="Dentro",DATOS_[Conc.Sal.30]))))), 0)</f>
        <v>0</v>
      </c>
      <c r="AJ97" s="210" t="n">
        <f aca="false" t="array" ref="AJ97:AJ97">IFERROR( AVERAGE(IF(DATOS_[Sexo]=$B97,IF(DATOS_[AGRUP. CLAS. PROF.]=$B96,IF(DATOS_[Check Periodo Ref.]="Dentro",DATOS_[Tot COMPL.SAL Ef],0)))), 0)</f>
        <v>0</v>
      </c>
      <c r="AK97" s="211" t="n">
        <f aca="false" t="array" ref="AK97:AK97">IFERROR( AVERAGE(IF(DATOS_[Sexo]=$B97,IF(DATOS_[AGRUP. CLAS. PROF.]=$B96,IF(DATOS_[Check Periodo Ref.]="Dentro",DATOS_[TOTAL SALARIO Ef],0)))), 0)</f>
        <v>0</v>
      </c>
      <c r="AL97" s="212" t="n">
        <f aca="false" t="array" ref="AL97:AL97">IFERROR( AVERAGE((IF(DATOS_[[Sexo]:[Sexo]]=$B97,IF(DATOS_[[AGRUP. CLAS. PROF.]:[AGRUP. CLAS. PROF.]]=$B96,IF(DATOS_[[Check Periodo Ref.]:[Check Periodo Ref.]]="Dentro",DATOS_[C.Extra.01]))))), 0)</f>
        <v>0</v>
      </c>
      <c r="AM97" s="212" t="n">
        <f aca="false" t="array" ref="AM97:AM97">IFERROR( AVERAGE((IF(DATOS_[[Sexo]:[Sexo]]=$B97,IF(DATOS_[[AGRUP. CLAS. PROF.]:[AGRUP. CLAS. PROF.]]=$B96,IF(DATOS_[[Check Periodo Ref.]:[Check Periodo Ref.]]="Dentro",DATOS_[C.Extra.02]))))), 0)</f>
        <v>0</v>
      </c>
      <c r="AN97" s="212" t="n">
        <f aca="false" t="array" ref="AN97:AN97">IFERROR( AVERAGE((IF(DATOS_[[Sexo]:[Sexo]]=$B97,IF(DATOS_[[AGRUP. CLAS. PROF.]:[AGRUP. CLAS. PROF.]]=$B96,IF(DATOS_[[Check Periodo Ref.]:[Check Periodo Ref.]]="Dentro",DATOS_[C.Extra.03]))))), 0)</f>
        <v>0</v>
      </c>
      <c r="AO97" s="212" t="n">
        <f aca="false" t="array" ref="AO97:AO97">IFERROR( AVERAGE((IF(DATOS_[[Sexo]:[Sexo]]=$B97,IF(DATOS_[[AGRUP. CLAS. PROF.]:[AGRUP. CLAS. PROF.]]=$B96,IF(DATOS_[[Check Periodo Ref.]:[Check Periodo Ref.]]="Dentro",DATOS_[C.Extra.04]))))), 0)</f>
        <v>0</v>
      </c>
      <c r="AP97" s="212" t="n">
        <f aca="false" t="array" ref="AP97:AP97">IFERROR( AVERAGE((IF(DATOS_[[Sexo]:[Sexo]]=$B97,IF(DATOS_[[AGRUP. CLAS. PROF.]:[AGRUP. CLAS. PROF.]]=$B96,IF(DATOS_[[Check Periodo Ref.]:[Check Periodo Ref.]]="Dentro",DATOS_[C.Extra.05]))))), 0)</f>
        <v>0</v>
      </c>
      <c r="AQ97" s="213" t="n">
        <f aca="false" t="array" ref="AQ97:AQ97">IFERROR( AVERAGE(IF(DATOS_[Sexo]=$B97,IF(DATOS_[AGRUP. CLAS. PROF.]=$B96,IF(DATOS_[Check Periodo Ref.]="Dentro",DATOS_[Tot Extrasalarial Ef],0)))), 0)</f>
        <v>0</v>
      </c>
      <c r="AR97" s="214" t="n">
        <f aca="false" t="array" ref="AR97:AR97">IFERROR( AVERAGE(IF(DATOS_[Sexo]=$B97,IF(DATOS_[AGRUP. CLAS. PROF.]=$B96,IF(DATOS_[Check Periodo Ref.]="Dentro",DATOS_[TOTAL Retrib Ef],0)))), 0)</f>
        <v>0</v>
      </c>
    </row>
    <row r="98" customFormat="false" ht="14.25" hidden="false" customHeight="false" outlineLevel="0" collapsed="false">
      <c r="A98" s="191" t="str">
        <f aca="false">+A97</f>
        <v>[ocultar]</v>
      </c>
      <c r="B98" s="205" t="s">
        <v>372</v>
      </c>
      <c r="C98" s="206" t="n">
        <f aca="false" t="array" ref="C98:C98">SUM(IF($B98=DATOS_[Sexo], IF($B96=DATOS_[AGRUP. CLAS. PROF.], IF("Dentro"=DATOS_[Check Periodo Ref.], 1/(COUNTIFS(DATOS_[Sexo],$B98,DATOS_[AGRUP. CLAS. PROF.],$B96,DATOS_[Check Periodo Ref.],"Dentro",DATOS_[id],DATOS_[id]))))))</f>
        <v>0</v>
      </c>
      <c r="D98" s="207" t="n">
        <f aca="false">COUNTIFS(DATOS_[AGRUP. CLAS. PROF.],$B96,DATOS_[Sexo],$B98,DATOS_[Check Periodo Ref.],"Dentro")</f>
        <v>0</v>
      </c>
      <c r="E98" s="208" t="n">
        <f aca="false" t="array" ref="E98:E98">IFERROR( AVERAGE(IF(DATOS_[Sexo]=$B98,IF(DATOS_[AGRUP. CLAS. PROF.]=$B96,IF(DATOS_[Check Periodo Ref.]="Dentro",DATOS_[SALARIO BASE Ef],0)))), 0)</f>
        <v>0</v>
      </c>
      <c r="F98" s="209" t="n">
        <f aca="false" t="array" ref="F98:F98">IFERROR( AVERAGE((IF(DATOS_[[Sexo]:[Sexo]]=$B98,IF(DATOS_[[AGRUP. CLAS. PROF.]:[AGRUP. CLAS. PROF.]]=$B96,IF(DATOS_[[Check Periodo Ref.]:[Check Periodo Ref.]]="Dentro",DATOS_[Conc.Sal.01]))))), 0)</f>
        <v>0</v>
      </c>
      <c r="G98" s="209" t="n">
        <f aca="false" t="array" ref="G98:G98">IFERROR( AVERAGE((IF(DATOS_[[Sexo]:[Sexo]]=$B98,IF(DATOS_[[AGRUP. CLAS. PROF.]:[AGRUP. CLAS. PROF.]]=$B96,IF(DATOS_[[Check Periodo Ref.]:[Check Periodo Ref.]]="Dentro",DATOS_[Conc.Sal.02]))))), 0)</f>
        <v>0</v>
      </c>
      <c r="H98" s="209" t="n">
        <f aca="false" t="array" ref="H98:H98">IFERROR( AVERAGE((IF(DATOS_[[Sexo]:[Sexo]]=$B98,IF(DATOS_[[AGRUP. CLAS. PROF.]:[AGRUP. CLAS. PROF.]]=$B96,IF(DATOS_[[Check Periodo Ref.]:[Check Periodo Ref.]]="Dentro",DATOS_[Conc.Sal.03]))))), 0)</f>
        <v>0</v>
      </c>
      <c r="I98" s="209" t="n">
        <f aca="false" t="array" ref="I98:I98">IFERROR( AVERAGE((IF(DATOS_[[Sexo]:[Sexo]]=$B98,IF(DATOS_[[AGRUP. CLAS. PROF.]:[AGRUP. CLAS. PROF.]]=$B96,IF(DATOS_[[Check Periodo Ref.]:[Check Periodo Ref.]]="Dentro",DATOS_[Conc.Sal.04]))))), 0)</f>
        <v>0</v>
      </c>
      <c r="J98" s="209" t="n">
        <f aca="false" t="array" ref="J98:J98">IFERROR( AVERAGE((IF(DATOS_[[Sexo]:[Sexo]]=$B98,IF(DATOS_[[AGRUP. CLAS. PROF.]:[AGRUP. CLAS. PROF.]]=$B96,IF(DATOS_[[Check Periodo Ref.]:[Check Periodo Ref.]]="Dentro",DATOS_[Conc.Sal.05]))))), 0)</f>
        <v>0</v>
      </c>
      <c r="K98" s="209" t="n">
        <f aca="false" t="array" ref="K98:K98">IFERROR( AVERAGE((IF(DATOS_[[Sexo]:[Sexo]]=$B98,IF(DATOS_[[AGRUP. CLAS. PROF.]:[AGRUP. CLAS. PROF.]]=$B96,IF(DATOS_[[Check Periodo Ref.]:[Check Periodo Ref.]]="Dentro",DATOS_[Conc.Sal.06]))))), 0)</f>
        <v>0</v>
      </c>
      <c r="L98" s="209" t="n">
        <f aca="false" t="array" ref="L98:L98">IFERROR( AVERAGE((IF(DATOS_[[Sexo]:[Sexo]]=$B98,IF(DATOS_[[AGRUP. CLAS. PROF.]:[AGRUP. CLAS. PROF.]]=$B96,IF(DATOS_[[Check Periodo Ref.]:[Check Periodo Ref.]]="Dentro",DATOS_[Conc.Sal.07]))))), 0)</f>
        <v>0</v>
      </c>
      <c r="M98" s="209" t="n">
        <f aca="false" t="array" ref="M98:M98">IFERROR( AVERAGE((IF(DATOS_[[Sexo]:[Sexo]]=$B98,IF(DATOS_[[AGRUP. CLAS. PROF.]:[AGRUP. CLAS. PROF.]]=$B96,IF(DATOS_[[Check Periodo Ref.]:[Check Periodo Ref.]]="Dentro",DATOS_[Conc.Sal.08]))))), 0)</f>
        <v>0</v>
      </c>
      <c r="N98" s="209" t="n">
        <f aca="false" t="array" ref="N98:N98">IFERROR( AVERAGE((IF(DATOS_[[Sexo]:[Sexo]]=$B98,IF(DATOS_[[AGRUP. CLAS. PROF.]:[AGRUP. CLAS. PROF.]]=$B96,IF(DATOS_[[Check Periodo Ref.]:[Check Periodo Ref.]]="Dentro",DATOS_[Conc.Sal.09]))))), 0)</f>
        <v>0</v>
      </c>
      <c r="O98" s="209" t="n">
        <f aca="false" t="array" ref="O98:O98">IFERROR( AVERAGE((IF(DATOS_[[Sexo]:[Sexo]]=$B98,IF(DATOS_[[AGRUP. CLAS. PROF.]:[AGRUP. CLAS. PROF.]]=$B96,IF(DATOS_[[Check Periodo Ref.]:[Check Periodo Ref.]]="Dentro",DATOS_[Conc.Sal.10]))))), 0)</f>
        <v>0</v>
      </c>
      <c r="P98" s="209" t="n">
        <f aca="false" t="array" ref="P98:P98">IFERROR( AVERAGE((IF(DATOS_[[Sexo]:[Sexo]]=$B98,IF(DATOS_[[AGRUP. CLAS. PROF.]:[AGRUP. CLAS. PROF.]]=$B96,IF(DATOS_[[Check Periodo Ref.]:[Check Periodo Ref.]]="Dentro",DATOS_[Conc.Sal.11]))))), 0)</f>
        <v>0</v>
      </c>
      <c r="Q98" s="209" t="n">
        <f aca="false" t="array" ref="Q98:Q98">IFERROR( AVERAGE((IF(DATOS_[[Sexo]:[Sexo]]=$B98,IF(DATOS_[[AGRUP. CLAS. PROF.]:[AGRUP. CLAS. PROF.]]=$B96,IF(DATOS_[[Check Periodo Ref.]:[Check Periodo Ref.]]="Dentro",DATOS_[Conc.Sal.12]))))), 0)</f>
        <v>0</v>
      </c>
      <c r="R98" s="209" t="n">
        <f aca="false" t="array" ref="R98:R98">IFERROR( AVERAGE((IF(DATOS_[[Sexo]:[Sexo]]=$B98,IF(DATOS_[[AGRUP. CLAS. PROF.]:[AGRUP. CLAS. PROF.]]=$B96,IF(DATOS_[[Check Periodo Ref.]:[Check Periodo Ref.]]="Dentro",DATOS_[Conc.Sal.13]))))), 0)</f>
        <v>0</v>
      </c>
      <c r="S98" s="209" t="n">
        <f aca="false" t="array" ref="S98:S98">IFERROR( AVERAGE((IF(DATOS_[[Sexo]:[Sexo]]=$B98,IF(DATOS_[[AGRUP. CLAS. PROF.]:[AGRUP. CLAS. PROF.]]=$B96,IF(DATOS_[[Check Periodo Ref.]:[Check Periodo Ref.]]="Dentro",DATOS_[Conc.Sal.14]))))), 0)</f>
        <v>0</v>
      </c>
      <c r="T98" s="209" t="n">
        <f aca="false" t="array" ref="T98:T98">IFERROR( AVERAGE((IF(DATOS_[[Sexo]:[Sexo]]=$B98,IF(DATOS_[[AGRUP. CLAS. PROF.]:[AGRUP. CLAS. PROF.]]=$B96,IF(DATOS_[[Check Periodo Ref.]:[Check Periodo Ref.]]="Dentro",DATOS_[Conc.Sal.15]))))), 0)</f>
        <v>0</v>
      </c>
      <c r="U98" s="209" t="n">
        <f aca="false" t="array" ref="U98:U98">IFERROR( AVERAGE((IF(DATOS_[[Sexo]:[Sexo]]=$B98,IF(DATOS_[[AGRUP. CLAS. PROF.]:[AGRUP. CLAS. PROF.]]=$B96,IF(DATOS_[[Check Periodo Ref.]:[Check Periodo Ref.]]="Dentro",DATOS_[Conc.Sal.16]))))), 0)</f>
        <v>0</v>
      </c>
      <c r="V98" s="209" t="n">
        <f aca="false" t="array" ref="V98:V98">IFERROR( AVERAGE((IF(DATOS_[[Sexo]:[Sexo]]=$B98,IF(DATOS_[[AGRUP. CLAS. PROF.]:[AGRUP. CLAS. PROF.]]=$B96,IF(DATOS_[[Check Periodo Ref.]:[Check Periodo Ref.]]="Dentro",DATOS_[Conc.Sal.17]))))), 0)</f>
        <v>0</v>
      </c>
      <c r="W98" s="209" t="n">
        <f aca="false" t="array" ref="W98:W98">IFERROR( AVERAGE((IF(DATOS_[[Sexo]:[Sexo]]=$B98,IF(DATOS_[[AGRUP. CLAS. PROF.]:[AGRUP. CLAS. PROF.]]=$B96,IF(DATOS_[[Check Periodo Ref.]:[Check Periodo Ref.]]="Dentro",DATOS_[Conc.Sal.18]))))), 0)</f>
        <v>0</v>
      </c>
      <c r="X98" s="209" t="n">
        <f aca="false" t="array" ref="X98:X98">IFERROR( AVERAGE((IF(DATOS_[[Sexo]:[Sexo]]=$B98,IF(DATOS_[[AGRUP. CLAS. PROF.]:[AGRUP. CLAS. PROF.]]=$B96,IF(DATOS_[[Check Periodo Ref.]:[Check Periodo Ref.]]="Dentro",DATOS_[Conc.Sal.19]))))), 0)</f>
        <v>0</v>
      </c>
      <c r="Y98" s="209" t="n">
        <f aca="false" t="array" ref="Y98:Y98">IFERROR( AVERAGE((IF(DATOS_[[Sexo]:[Sexo]]=$B98,IF(DATOS_[[AGRUP. CLAS. PROF.]:[AGRUP. CLAS. PROF.]]=$B96,IF(DATOS_[[Check Periodo Ref.]:[Check Periodo Ref.]]="Dentro",DATOS_[Conc.Sal.20]))))), 0)</f>
        <v>0</v>
      </c>
      <c r="Z98" s="209" t="n">
        <f aca="false" t="array" ref="Z98:Z98">IFERROR( AVERAGE((IF(DATOS_[[Sexo]:[Sexo]]=$B98,IF(DATOS_[[AGRUP. CLAS. PROF.]:[AGRUP. CLAS. PROF.]]=$B96,IF(DATOS_[[Check Periodo Ref.]:[Check Periodo Ref.]]="Dentro",DATOS_[Conc.Sal.21]))))), 0)</f>
        <v>0</v>
      </c>
      <c r="AA98" s="209" t="n">
        <f aca="false" t="array" ref="AA98:AA98">IFERROR( AVERAGE((IF(DATOS_[[Sexo]:[Sexo]]=$B98,IF(DATOS_[[AGRUP. CLAS. PROF.]:[AGRUP. CLAS. PROF.]]=$B96,IF(DATOS_[[Check Periodo Ref.]:[Check Periodo Ref.]]="Dentro",DATOS_[Conc.Sal.22]))))), 0)</f>
        <v>0</v>
      </c>
      <c r="AB98" s="209" t="n">
        <f aca="false" t="array" ref="AB98:AB98">IFERROR( AVERAGE((IF(DATOS_[[Sexo]:[Sexo]]=$B98,IF(DATOS_[[AGRUP. CLAS. PROF.]:[AGRUP. CLAS. PROF.]]=$B96,IF(DATOS_[[Check Periodo Ref.]:[Check Periodo Ref.]]="Dentro",DATOS_[Conc.Sal.23]))))), 0)</f>
        <v>0</v>
      </c>
      <c r="AC98" s="209" t="n">
        <f aca="false" t="array" ref="AC98:AC98">IFERROR( AVERAGE((IF(DATOS_[[Sexo]:[Sexo]]=$B98,IF(DATOS_[[AGRUP. CLAS. PROF.]:[AGRUP. CLAS. PROF.]]=$B96,IF(DATOS_[[Check Periodo Ref.]:[Check Periodo Ref.]]="Dentro",DATOS_[Conc.Sal.24]))))), 0)</f>
        <v>0</v>
      </c>
      <c r="AD98" s="209" t="n">
        <f aca="false" t="array" ref="AD98:AD98">IFERROR( AVERAGE((IF(DATOS_[[Sexo]:[Sexo]]=$B98,IF(DATOS_[[AGRUP. CLAS. PROF.]:[AGRUP. CLAS. PROF.]]=$B96,IF(DATOS_[[Check Periodo Ref.]:[Check Periodo Ref.]]="Dentro",DATOS_[Conc.Sal.25]))))), 0)</f>
        <v>0</v>
      </c>
      <c r="AE98" s="209" t="n">
        <f aca="false" t="array" ref="AE98:AE98">IFERROR( AVERAGE((IF(DATOS_[[Sexo]:[Sexo]]=$B98,IF(DATOS_[[AGRUP. CLAS. PROF.]:[AGRUP. CLAS. PROF.]]=$B96,IF(DATOS_[[Check Periodo Ref.]:[Check Periodo Ref.]]="Dentro",DATOS_[Conc.Sal.26]))))), 0)</f>
        <v>0</v>
      </c>
      <c r="AF98" s="209" t="n">
        <f aca="false" t="array" ref="AF98:AF98">IFERROR( AVERAGE((IF(DATOS_[[Sexo]:[Sexo]]=$B98,IF(DATOS_[[AGRUP. CLAS. PROF.]:[AGRUP. CLAS. PROF.]]=$B96,IF(DATOS_[[Check Periodo Ref.]:[Check Periodo Ref.]]="Dentro",DATOS_[Conc.Sal.27]))))), 0)</f>
        <v>0</v>
      </c>
      <c r="AG98" s="209" t="n">
        <f aca="false" t="array" ref="AG98:AG98">IFERROR( AVERAGE((IF(DATOS_[[Sexo]:[Sexo]]=$B98,IF(DATOS_[[AGRUP. CLAS. PROF.]:[AGRUP. CLAS. PROF.]]=$B96,IF(DATOS_[[Check Periodo Ref.]:[Check Periodo Ref.]]="Dentro",DATOS_[Conc.Sal.28]))))), 0)</f>
        <v>0</v>
      </c>
      <c r="AH98" s="209" t="n">
        <f aca="false" t="array" ref="AH98:AH98">IFERROR( AVERAGE((IF(DATOS_[[Sexo]:[Sexo]]=$B98,IF(DATOS_[[AGRUP. CLAS. PROF.]:[AGRUP. CLAS. PROF.]]=$B96,IF(DATOS_[[Check Periodo Ref.]:[Check Periodo Ref.]]="Dentro",DATOS_[Conc.Sal.29]))))), 0)</f>
        <v>0</v>
      </c>
      <c r="AI98" s="209" t="n">
        <f aca="false" t="array" ref="AI98:AI98">IFERROR( AVERAGE((IF(DATOS_[[Sexo]:[Sexo]]=$B98,IF(DATOS_[[AGRUP. CLAS. PROF.]:[AGRUP. CLAS. PROF.]]=$B96,IF(DATOS_[[Check Periodo Ref.]:[Check Periodo Ref.]]="Dentro",DATOS_[Conc.Sal.30]))))), 0)</f>
        <v>0</v>
      </c>
      <c r="AJ98" s="210" t="n">
        <f aca="false" t="array" ref="AJ98:AJ98">IFERROR( AVERAGE(IF(DATOS_[Sexo]=$B98,IF(DATOS_[AGRUP. CLAS. PROF.]=$B96,IF(DATOS_[Check Periodo Ref.]="Dentro",DATOS_[Tot COMPL.SAL Ef],0)))), 0)</f>
        <v>0</v>
      </c>
      <c r="AK98" s="211" t="n">
        <f aca="false" t="array" ref="AK98:AK98">IFERROR( AVERAGE(IF(DATOS_[Sexo]=$B98,IF(DATOS_[AGRUP. CLAS. PROF.]=$B96,IF(DATOS_[Check Periodo Ref.]="Dentro",DATOS_[TOTAL SALARIO Ef],0)))), 0)</f>
        <v>0</v>
      </c>
      <c r="AL98" s="212" t="n">
        <f aca="false" t="array" ref="AL98:AL98">IFERROR( AVERAGE((IF(DATOS_[[Sexo]:[Sexo]]=$B98,IF(DATOS_[[AGRUP. CLAS. PROF.]:[AGRUP. CLAS. PROF.]]=$B96,IF(DATOS_[[Check Periodo Ref.]:[Check Periodo Ref.]]="Dentro",DATOS_[C.Extra.01]))))), 0)</f>
        <v>0</v>
      </c>
      <c r="AM98" s="212" t="n">
        <f aca="false" t="array" ref="AM98:AM98">IFERROR( AVERAGE((IF(DATOS_[[Sexo]:[Sexo]]=$B98,IF(DATOS_[[AGRUP. CLAS. PROF.]:[AGRUP. CLAS. PROF.]]=$B96,IF(DATOS_[[Check Periodo Ref.]:[Check Periodo Ref.]]="Dentro",DATOS_[C.Extra.02]))))), 0)</f>
        <v>0</v>
      </c>
      <c r="AN98" s="212" t="n">
        <f aca="false" t="array" ref="AN98:AN98">IFERROR( AVERAGE((IF(DATOS_[[Sexo]:[Sexo]]=$B98,IF(DATOS_[[AGRUP. CLAS. PROF.]:[AGRUP. CLAS. PROF.]]=$B96,IF(DATOS_[[Check Periodo Ref.]:[Check Periodo Ref.]]="Dentro",DATOS_[C.Extra.03]))))), 0)</f>
        <v>0</v>
      </c>
      <c r="AO98" s="212" t="n">
        <f aca="false" t="array" ref="AO98:AO98">IFERROR( AVERAGE((IF(DATOS_[[Sexo]:[Sexo]]=$B98,IF(DATOS_[[AGRUP. CLAS. PROF.]:[AGRUP. CLAS. PROF.]]=$B96,IF(DATOS_[[Check Periodo Ref.]:[Check Periodo Ref.]]="Dentro",DATOS_[C.Extra.04]))))), 0)</f>
        <v>0</v>
      </c>
      <c r="AP98" s="212" t="n">
        <f aca="false" t="array" ref="AP98:AP98">IFERROR( AVERAGE((IF(DATOS_[[Sexo]:[Sexo]]=$B98,IF(DATOS_[[AGRUP. CLAS. PROF.]:[AGRUP. CLAS. PROF.]]=$B96,IF(DATOS_[[Check Periodo Ref.]:[Check Periodo Ref.]]="Dentro",DATOS_[C.Extra.05]))))), 0)</f>
        <v>0</v>
      </c>
      <c r="AQ98" s="213" t="n">
        <f aca="false" t="array" ref="AQ98:AQ98">IFERROR( AVERAGE(IF(DATOS_[Sexo]=$B98,IF(DATOS_[AGRUP. CLAS. PROF.]=$B96,IF(DATOS_[Check Periodo Ref.]="Dentro",DATOS_[Tot Extrasalarial Ef],0)))), 0)</f>
        <v>0</v>
      </c>
      <c r="AR98" s="214" t="n">
        <f aca="false" t="array" ref="AR98:AR98">IFERROR( AVERAGE(IF(DATOS_[Sexo]=$B98,IF(DATOS_[AGRUP. CLAS. PROF.]=$B96,IF(DATOS_[Check Periodo Ref.]="Dentro",DATOS_[TOTAL Retrib Ef],0)))), 0)</f>
        <v>0</v>
      </c>
    </row>
    <row r="99" customFormat="false" ht="15.75" hidden="false" customHeight="false" outlineLevel="0" collapsed="false">
      <c r="A99" s="191" t="str">
        <f aca="false">+A100</f>
        <v>[ocultar]</v>
      </c>
      <c r="B99" s="192" t="s">
        <v>252</v>
      </c>
      <c r="C99" s="193"/>
      <c r="D99" s="194"/>
      <c r="E99" s="195" t="str">
        <f aca="false">IFERROR((E100-E101)/E100,"")</f>
        <v/>
      </c>
      <c r="F99" s="196" t="str">
        <f aca="false">IFERROR((F100-F101)/F100,"")</f>
        <v/>
      </c>
      <c r="G99" s="197" t="str">
        <f aca="false">IFERROR((G100-G101)/G100,"")</f>
        <v/>
      </c>
      <c r="H99" s="197" t="str">
        <f aca="false">IFERROR((H100-H101)/H100,"")</f>
        <v/>
      </c>
      <c r="I99" s="197" t="str">
        <f aca="false">IFERROR((I100-I101)/I100,"")</f>
        <v/>
      </c>
      <c r="J99" s="198" t="str">
        <f aca="false">IFERROR((J100-J101)/J100,"")</f>
        <v/>
      </c>
      <c r="K99" s="199" t="str">
        <f aca="false">IFERROR((K100-K101)/K100,"")</f>
        <v/>
      </c>
      <c r="L99" s="199" t="str">
        <f aca="false">IFERROR((L100-L101)/L100,"")</f>
        <v/>
      </c>
      <c r="M99" s="199" t="str">
        <f aca="false">IFERROR((M100-M101)/M100,"")</f>
        <v/>
      </c>
      <c r="N99" s="199" t="str">
        <f aca="false">IFERROR((N100-N101)/N100,"")</f>
        <v/>
      </c>
      <c r="O99" s="199" t="str">
        <f aca="false">IFERROR((O100-O101)/O100,"")</f>
        <v/>
      </c>
      <c r="P99" s="199" t="str">
        <f aca="false">IFERROR((P100-P101)/P100,"")</f>
        <v/>
      </c>
      <c r="Q99" s="199" t="str">
        <f aca="false">IFERROR((Q100-Q101)/Q100,"")</f>
        <v/>
      </c>
      <c r="R99" s="199" t="str">
        <f aca="false">IFERROR((R100-R101)/R100,"")</f>
        <v/>
      </c>
      <c r="S99" s="199" t="str">
        <f aca="false">IFERROR((S100-S101)/S100,"")</f>
        <v/>
      </c>
      <c r="T99" s="199" t="str">
        <f aca="false">IFERROR((T100-T101)/T100,"")</f>
        <v/>
      </c>
      <c r="U99" s="199" t="str">
        <f aca="false">IFERROR((U100-U101)/U100,"")</f>
        <v/>
      </c>
      <c r="V99" s="198" t="str">
        <f aca="false">IFERROR((V100-V101)/V100,"")</f>
        <v/>
      </c>
      <c r="W99" s="198" t="str">
        <f aca="false">IFERROR((W100-W101)/W100,"")</f>
        <v/>
      </c>
      <c r="X99" s="198" t="str">
        <f aca="false">IFERROR((X100-X101)/X100,"")</f>
        <v/>
      </c>
      <c r="Y99" s="198" t="str">
        <f aca="false">IFERROR((Y100-Y101)/Y100,"")</f>
        <v/>
      </c>
      <c r="Z99" s="198" t="str">
        <f aca="false">IFERROR((Z100-Z101)/Z100,"")</f>
        <v/>
      </c>
      <c r="AA99" s="198" t="str">
        <f aca="false">IFERROR((AA100-AA101)/AA100,"")</f>
        <v/>
      </c>
      <c r="AB99" s="198" t="str">
        <f aca="false">IFERROR((AB100-AB101)/AB100,"")</f>
        <v/>
      </c>
      <c r="AC99" s="198" t="str">
        <f aca="false">IFERROR((AC100-AC101)/AC100,"")</f>
        <v/>
      </c>
      <c r="AD99" s="198" t="str">
        <f aca="false">IFERROR((AD100-AD101)/AD100,"")</f>
        <v/>
      </c>
      <c r="AE99" s="198" t="str">
        <f aca="false">IFERROR((AE100-AE101)/AE100,"")</f>
        <v/>
      </c>
      <c r="AF99" s="198" t="str">
        <f aca="false">IFERROR((AF100-AF101)/AF100,"")</f>
        <v/>
      </c>
      <c r="AG99" s="198" t="str">
        <f aca="false">IFERROR((AG100-AG101)/AG100,"")</f>
        <v/>
      </c>
      <c r="AH99" s="198" t="str">
        <f aca="false">IFERROR((AH100-AH101)/AH100,"")</f>
        <v/>
      </c>
      <c r="AI99" s="198" t="str">
        <f aca="false">IFERROR((AI100-AI101)/AI100,"")</f>
        <v/>
      </c>
      <c r="AJ99" s="200" t="str">
        <f aca="false">IFERROR((AJ100-AJ101)/AJ100,"")</f>
        <v/>
      </c>
      <c r="AK99" s="201" t="str">
        <f aca="false">IFERROR((AK100-AK101)/AK100,"")</f>
        <v/>
      </c>
      <c r="AL99" s="202" t="str">
        <f aca="false">IFERROR((AL100-AL101)/AL100,"")</f>
        <v/>
      </c>
      <c r="AM99" s="202" t="str">
        <f aca="false">IFERROR((AM100-AM101)/AM100,"")</f>
        <v/>
      </c>
      <c r="AN99" s="202" t="str">
        <f aca="false">IFERROR((AN100-AN101)/AN100,"")</f>
        <v/>
      </c>
      <c r="AO99" s="202" t="str">
        <f aca="false">IFERROR((AO100-AO101)/AO100,"")</f>
        <v/>
      </c>
      <c r="AP99" s="202" t="str">
        <f aca="false">IFERROR((AP100-AP101)/AP100,"")</f>
        <v/>
      </c>
      <c r="AQ99" s="203" t="str">
        <f aca="false">IFERROR((AQ100-AQ101)/AQ100,"")</f>
        <v/>
      </c>
      <c r="AR99" s="204" t="str">
        <f aca="false">IFERROR((AR100-AR101)/AR100,"")</f>
        <v/>
      </c>
    </row>
    <row r="100" customFormat="false" ht="14.25" hidden="false" customHeight="false" outlineLevel="0" collapsed="false">
      <c r="A100" s="191" t="str">
        <f aca="false">+IF(C100+C101=0,"[ocultar]","")</f>
        <v>[ocultar]</v>
      </c>
      <c r="B100" s="205" t="s">
        <v>371</v>
      </c>
      <c r="C100" s="206" t="n">
        <f aca="false" t="array" ref="C100:C100">SUM(IF($B100=DATOS_[Sexo], IF($B99=DATOS_[AGRUP. CLAS. PROF.], IF("Dentro"=DATOS_[Check Periodo Ref.], 1/(COUNTIFS(DATOS_[Sexo],$B100,DATOS_[AGRUP. CLAS. PROF.],$B99,DATOS_[Check Periodo Ref.],"Dentro",DATOS_[id],DATOS_[id]))))))</f>
        <v>0</v>
      </c>
      <c r="D100" s="207" t="n">
        <f aca="false">COUNTIFS(DATOS_[AGRUP. CLAS. PROF.],$B99,DATOS_[Sexo],$B100,DATOS_[Check Periodo Ref.],"Dentro")</f>
        <v>0</v>
      </c>
      <c r="E100" s="208" t="n">
        <f aca="false" t="array" ref="E100:E100">IFERROR( AVERAGE(IF(DATOS_[Sexo]=$B100,IF(DATOS_[AGRUP. CLAS. PROF.]=$B99,IF(DATOS_[Check Periodo Ref.]="Dentro",DATOS_[SALARIO BASE Ef],0)))), 0)</f>
        <v>0</v>
      </c>
      <c r="F100" s="209" t="n">
        <f aca="false" t="array" ref="F100:F100">IFERROR( AVERAGE((IF(DATOS_[[Sexo]:[Sexo]]=$B100,IF(DATOS_[[AGRUP. CLAS. PROF.]:[AGRUP. CLAS. PROF.]]=$B99,IF(DATOS_[[Check Periodo Ref.]:[Check Periodo Ref.]]="Dentro",DATOS_[Conc.Sal.01]))))), 0)</f>
        <v>0</v>
      </c>
      <c r="G100" s="209" t="n">
        <f aca="false" t="array" ref="G100:G100">IFERROR( AVERAGE((IF(DATOS_[[Sexo]:[Sexo]]=$B100,IF(DATOS_[[AGRUP. CLAS. PROF.]:[AGRUP. CLAS. PROF.]]=$B99,IF(DATOS_[[Check Periodo Ref.]:[Check Periodo Ref.]]="Dentro",DATOS_[Conc.Sal.02]))))), 0)</f>
        <v>0</v>
      </c>
      <c r="H100" s="209" t="n">
        <f aca="false" t="array" ref="H100:H100">IFERROR( AVERAGE((IF(DATOS_[[Sexo]:[Sexo]]=$B100,IF(DATOS_[[AGRUP. CLAS. PROF.]:[AGRUP. CLAS. PROF.]]=$B99,IF(DATOS_[[Check Periodo Ref.]:[Check Periodo Ref.]]="Dentro",DATOS_[Conc.Sal.03]))))), 0)</f>
        <v>0</v>
      </c>
      <c r="I100" s="209" t="n">
        <f aca="false" t="array" ref="I100:I100">IFERROR( AVERAGE((IF(DATOS_[[Sexo]:[Sexo]]=$B100,IF(DATOS_[[AGRUP. CLAS. PROF.]:[AGRUP. CLAS. PROF.]]=$B99,IF(DATOS_[[Check Periodo Ref.]:[Check Periodo Ref.]]="Dentro",DATOS_[Conc.Sal.04]))))), 0)</f>
        <v>0</v>
      </c>
      <c r="J100" s="209" t="n">
        <f aca="false" t="array" ref="J100:J100">IFERROR( AVERAGE((IF(DATOS_[[Sexo]:[Sexo]]=$B100,IF(DATOS_[[AGRUP. CLAS. PROF.]:[AGRUP. CLAS. PROF.]]=$B99,IF(DATOS_[[Check Periodo Ref.]:[Check Periodo Ref.]]="Dentro",DATOS_[Conc.Sal.05]))))), 0)</f>
        <v>0</v>
      </c>
      <c r="K100" s="209" t="n">
        <f aca="false" t="array" ref="K100:K100">IFERROR( AVERAGE((IF(DATOS_[[Sexo]:[Sexo]]=$B100,IF(DATOS_[[AGRUP. CLAS. PROF.]:[AGRUP. CLAS. PROF.]]=$B99,IF(DATOS_[[Check Periodo Ref.]:[Check Periodo Ref.]]="Dentro",DATOS_[Conc.Sal.06]))))), 0)</f>
        <v>0</v>
      </c>
      <c r="L100" s="209" t="n">
        <f aca="false" t="array" ref="L100:L100">IFERROR( AVERAGE((IF(DATOS_[[Sexo]:[Sexo]]=$B100,IF(DATOS_[[AGRUP. CLAS. PROF.]:[AGRUP. CLAS. PROF.]]=$B99,IF(DATOS_[[Check Periodo Ref.]:[Check Periodo Ref.]]="Dentro",DATOS_[Conc.Sal.07]))))), 0)</f>
        <v>0</v>
      </c>
      <c r="M100" s="209" t="n">
        <f aca="false" t="array" ref="M100:M100">IFERROR( AVERAGE((IF(DATOS_[[Sexo]:[Sexo]]=$B100,IF(DATOS_[[AGRUP. CLAS. PROF.]:[AGRUP. CLAS. PROF.]]=$B99,IF(DATOS_[[Check Periodo Ref.]:[Check Periodo Ref.]]="Dentro",DATOS_[Conc.Sal.08]))))), 0)</f>
        <v>0</v>
      </c>
      <c r="N100" s="209" t="n">
        <f aca="false" t="array" ref="N100:N100">IFERROR( AVERAGE((IF(DATOS_[[Sexo]:[Sexo]]=$B100,IF(DATOS_[[AGRUP. CLAS. PROF.]:[AGRUP. CLAS. PROF.]]=$B99,IF(DATOS_[[Check Periodo Ref.]:[Check Periodo Ref.]]="Dentro",DATOS_[Conc.Sal.09]))))), 0)</f>
        <v>0</v>
      </c>
      <c r="O100" s="209" t="n">
        <f aca="false" t="array" ref="O100:O100">IFERROR( AVERAGE((IF(DATOS_[[Sexo]:[Sexo]]=$B100,IF(DATOS_[[AGRUP. CLAS. PROF.]:[AGRUP. CLAS. PROF.]]=$B99,IF(DATOS_[[Check Periodo Ref.]:[Check Periodo Ref.]]="Dentro",DATOS_[Conc.Sal.10]))))), 0)</f>
        <v>0</v>
      </c>
      <c r="P100" s="209" t="n">
        <f aca="false" t="array" ref="P100:P100">IFERROR( AVERAGE((IF(DATOS_[[Sexo]:[Sexo]]=$B100,IF(DATOS_[[AGRUP. CLAS. PROF.]:[AGRUP. CLAS. PROF.]]=$B99,IF(DATOS_[[Check Periodo Ref.]:[Check Periodo Ref.]]="Dentro",DATOS_[Conc.Sal.11]))))), 0)</f>
        <v>0</v>
      </c>
      <c r="Q100" s="209" t="n">
        <f aca="false" t="array" ref="Q100:Q100">IFERROR( AVERAGE((IF(DATOS_[[Sexo]:[Sexo]]=$B100,IF(DATOS_[[AGRUP. CLAS. PROF.]:[AGRUP. CLAS. PROF.]]=$B99,IF(DATOS_[[Check Periodo Ref.]:[Check Periodo Ref.]]="Dentro",DATOS_[Conc.Sal.12]))))), 0)</f>
        <v>0</v>
      </c>
      <c r="R100" s="209" t="n">
        <f aca="false" t="array" ref="R100:R100">IFERROR( AVERAGE((IF(DATOS_[[Sexo]:[Sexo]]=$B100,IF(DATOS_[[AGRUP. CLAS. PROF.]:[AGRUP. CLAS. PROF.]]=$B99,IF(DATOS_[[Check Periodo Ref.]:[Check Periodo Ref.]]="Dentro",DATOS_[Conc.Sal.13]))))), 0)</f>
        <v>0</v>
      </c>
      <c r="S100" s="209" t="n">
        <f aca="false" t="array" ref="S100:S100">IFERROR( AVERAGE((IF(DATOS_[[Sexo]:[Sexo]]=$B100,IF(DATOS_[[AGRUP. CLAS. PROF.]:[AGRUP. CLAS. PROF.]]=$B99,IF(DATOS_[[Check Periodo Ref.]:[Check Periodo Ref.]]="Dentro",DATOS_[Conc.Sal.14]))))), 0)</f>
        <v>0</v>
      </c>
      <c r="T100" s="209" t="n">
        <f aca="false" t="array" ref="T100:T100">IFERROR( AVERAGE((IF(DATOS_[[Sexo]:[Sexo]]=$B100,IF(DATOS_[[AGRUP. CLAS. PROF.]:[AGRUP. CLAS. PROF.]]=$B99,IF(DATOS_[[Check Periodo Ref.]:[Check Periodo Ref.]]="Dentro",DATOS_[Conc.Sal.15]))))), 0)</f>
        <v>0</v>
      </c>
      <c r="U100" s="209" t="n">
        <f aca="false" t="array" ref="U100:U100">IFERROR( AVERAGE((IF(DATOS_[[Sexo]:[Sexo]]=$B100,IF(DATOS_[[AGRUP. CLAS. PROF.]:[AGRUP. CLAS. PROF.]]=$B99,IF(DATOS_[[Check Periodo Ref.]:[Check Periodo Ref.]]="Dentro",DATOS_[Conc.Sal.16]))))), 0)</f>
        <v>0</v>
      </c>
      <c r="V100" s="209" t="n">
        <f aca="false" t="array" ref="V100:V100">IFERROR( AVERAGE((IF(DATOS_[[Sexo]:[Sexo]]=$B100,IF(DATOS_[[AGRUP. CLAS. PROF.]:[AGRUP. CLAS. PROF.]]=$B99,IF(DATOS_[[Check Periodo Ref.]:[Check Periodo Ref.]]="Dentro",DATOS_[Conc.Sal.17]))))), 0)</f>
        <v>0</v>
      </c>
      <c r="W100" s="209" t="n">
        <f aca="false" t="array" ref="W100:W100">IFERROR( AVERAGE((IF(DATOS_[[Sexo]:[Sexo]]=$B100,IF(DATOS_[[AGRUP. CLAS. PROF.]:[AGRUP. CLAS. PROF.]]=$B99,IF(DATOS_[[Check Periodo Ref.]:[Check Periodo Ref.]]="Dentro",DATOS_[Conc.Sal.18]))))), 0)</f>
        <v>0</v>
      </c>
      <c r="X100" s="209" t="n">
        <f aca="false" t="array" ref="X100:X100">IFERROR( AVERAGE((IF(DATOS_[[Sexo]:[Sexo]]=$B100,IF(DATOS_[[AGRUP. CLAS. PROF.]:[AGRUP. CLAS. PROF.]]=$B99,IF(DATOS_[[Check Periodo Ref.]:[Check Periodo Ref.]]="Dentro",DATOS_[Conc.Sal.19]))))), 0)</f>
        <v>0</v>
      </c>
      <c r="Y100" s="209" t="n">
        <f aca="false" t="array" ref="Y100:Y100">IFERROR( AVERAGE((IF(DATOS_[[Sexo]:[Sexo]]=$B100,IF(DATOS_[[AGRUP. CLAS. PROF.]:[AGRUP. CLAS. PROF.]]=$B99,IF(DATOS_[[Check Periodo Ref.]:[Check Periodo Ref.]]="Dentro",DATOS_[Conc.Sal.20]))))), 0)</f>
        <v>0</v>
      </c>
      <c r="Z100" s="209" t="n">
        <f aca="false" t="array" ref="Z100:Z100">IFERROR( AVERAGE((IF(DATOS_[[Sexo]:[Sexo]]=$B100,IF(DATOS_[[AGRUP. CLAS. PROF.]:[AGRUP. CLAS. PROF.]]=$B99,IF(DATOS_[[Check Periodo Ref.]:[Check Periodo Ref.]]="Dentro",DATOS_[Conc.Sal.21]))))), 0)</f>
        <v>0</v>
      </c>
      <c r="AA100" s="209" t="n">
        <f aca="false" t="array" ref="AA100:AA100">IFERROR( AVERAGE((IF(DATOS_[[Sexo]:[Sexo]]=$B100,IF(DATOS_[[AGRUP. CLAS. PROF.]:[AGRUP. CLAS. PROF.]]=$B99,IF(DATOS_[[Check Periodo Ref.]:[Check Periodo Ref.]]="Dentro",DATOS_[Conc.Sal.22]))))), 0)</f>
        <v>0</v>
      </c>
      <c r="AB100" s="209" t="n">
        <f aca="false" t="array" ref="AB100:AB100">IFERROR( AVERAGE((IF(DATOS_[[Sexo]:[Sexo]]=$B100,IF(DATOS_[[AGRUP. CLAS. PROF.]:[AGRUP. CLAS. PROF.]]=$B99,IF(DATOS_[[Check Periodo Ref.]:[Check Periodo Ref.]]="Dentro",DATOS_[Conc.Sal.23]))))), 0)</f>
        <v>0</v>
      </c>
      <c r="AC100" s="209" t="n">
        <f aca="false" t="array" ref="AC100:AC100">IFERROR( AVERAGE((IF(DATOS_[[Sexo]:[Sexo]]=$B100,IF(DATOS_[[AGRUP. CLAS. PROF.]:[AGRUP. CLAS. PROF.]]=$B99,IF(DATOS_[[Check Periodo Ref.]:[Check Periodo Ref.]]="Dentro",DATOS_[Conc.Sal.24]))))), 0)</f>
        <v>0</v>
      </c>
      <c r="AD100" s="209" t="n">
        <f aca="false" t="array" ref="AD100:AD100">IFERROR( AVERAGE((IF(DATOS_[[Sexo]:[Sexo]]=$B100,IF(DATOS_[[AGRUP. CLAS. PROF.]:[AGRUP. CLAS. PROF.]]=$B99,IF(DATOS_[[Check Periodo Ref.]:[Check Periodo Ref.]]="Dentro",DATOS_[Conc.Sal.25]))))), 0)</f>
        <v>0</v>
      </c>
      <c r="AE100" s="209" t="n">
        <f aca="false" t="array" ref="AE100:AE100">IFERROR( AVERAGE((IF(DATOS_[[Sexo]:[Sexo]]=$B100,IF(DATOS_[[AGRUP. CLAS. PROF.]:[AGRUP. CLAS. PROF.]]=$B99,IF(DATOS_[[Check Periodo Ref.]:[Check Periodo Ref.]]="Dentro",DATOS_[Conc.Sal.26]))))), 0)</f>
        <v>0</v>
      </c>
      <c r="AF100" s="209" t="n">
        <f aca="false" t="array" ref="AF100:AF100">IFERROR( AVERAGE((IF(DATOS_[[Sexo]:[Sexo]]=$B100,IF(DATOS_[[AGRUP. CLAS. PROF.]:[AGRUP. CLAS. PROF.]]=$B99,IF(DATOS_[[Check Periodo Ref.]:[Check Periodo Ref.]]="Dentro",DATOS_[Conc.Sal.27]))))), 0)</f>
        <v>0</v>
      </c>
      <c r="AG100" s="209" t="n">
        <f aca="false" t="array" ref="AG100:AG100">IFERROR( AVERAGE((IF(DATOS_[[Sexo]:[Sexo]]=$B100,IF(DATOS_[[AGRUP. CLAS. PROF.]:[AGRUP. CLAS. PROF.]]=$B99,IF(DATOS_[[Check Periodo Ref.]:[Check Periodo Ref.]]="Dentro",DATOS_[Conc.Sal.28]))))), 0)</f>
        <v>0</v>
      </c>
      <c r="AH100" s="209" t="n">
        <f aca="false" t="array" ref="AH100:AH100">IFERROR( AVERAGE((IF(DATOS_[[Sexo]:[Sexo]]=$B100,IF(DATOS_[[AGRUP. CLAS. PROF.]:[AGRUP. CLAS. PROF.]]=$B99,IF(DATOS_[[Check Periodo Ref.]:[Check Periodo Ref.]]="Dentro",DATOS_[Conc.Sal.29]))))), 0)</f>
        <v>0</v>
      </c>
      <c r="AI100" s="209" t="n">
        <f aca="false" t="array" ref="AI100:AI100">IFERROR( AVERAGE((IF(DATOS_[[Sexo]:[Sexo]]=$B100,IF(DATOS_[[AGRUP. CLAS. PROF.]:[AGRUP. CLAS. PROF.]]=$B99,IF(DATOS_[[Check Periodo Ref.]:[Check Periodo Ref.]]="Dentro",DATOS_[Conc.Sal.30]))))), 0)</f>
        <v>0</v>
      </c>
      <c r="AJ100" s="210" t="n">
        <f aca="false" t="array" ref="AJ100:AJ100">IFERROR( AVERAGE(IF(DATOS_[Sexo]=$B100,IF(DATOS_[AGRUP. CLAS. PROF.]=$B99,IF(DATOS_[Check Periodo Ref.]="Dentro",DATOS_[Tot COMPL.SAL Ef],0)))), 0)</f>
        <v>0</v>
      </c>
      <c r="AK100" s="211" t="n">
        <f aca="false" t="array" ref="AK100:AK100">IFERROR( AVERAGE(IF(DATOS_[Sexo]=$B100,IF(DATOS_[AGRUP. CLAS. PROF.]=$B99,IF(DATOS_[Check Periodo Ref.]="Dentro",DATOS_[TOTAL SALARIO Ef],0)))), 0)</f>
        <v>0</v>
      </c>
      <c r="AL100" s="212" t="n">
        <f aca="false" t="array" ref="AL100:AL100">IFERROR( AVERAGE((IF(DATOS_[[Sexo]:[Sexo]]=$B100,IF(DATOS_[[AGRUP. CLAS. PROF.]:[AGRUP. CLAS. PROF.]]=$B99,IF(DATOS_[[Check Periodo Ref.]:[Check Periodo Ref.]]="Dentro",DATOS_[C.Extra.01]))))), 0)</f>
        <v>0</v>
      </c>
      <c r="AM100" s="212" t="n">
        <f aca="false" t="array" ref="AM100:AM100">IFERROR( AVERAGE((IF(DATOS_[[Sexo]:[Sexo]]=$B100,IF(DATOS_[[AGRUP. CLAS. PROF.]:[AGRUP. CLAS. PROF.]]=$B99,IF(DATOS_[[Check Periodo Ref.]:[Check Periodo Ref.]]="Dentro",DATOS_[C.Extra.02]))))), 0)</f>
        <v>0</v>
      </c>
      <c r="AN100" s="212" t="n">
        <f aca="false" t="array" ref="AN100:AN100">IFERROR( AVERAGE((IF(DATOS_[[Sexo]:[Sexo]]=$B100,IF(DATOS_[[AGRUP. CLAS. PROF.]:[AGRUP. CLAS. PROF.]]=$B99,IF(DATOS_[[Check Periodo Ref.]:[Check Periodo Ref.]]="Dentro",DATOS_[C.Extra.03]))))), 0)</f>
        <v>0</v>
      </c>
      <c r="AO100" s="212" t="n">
        <f aca="false" t="array" ref="AO100:AO100">IFERROR( AVERAGE((IF(DATOS_[[Sexo]:[Sexo]]=$B100,IF(DATOS_[[AGRUP. CLAS. PROF.]:[AGRUP. CLAS. PROF.]]=$B99,IF(DATOS_[[Check Periodo Ref.]:[Check Periodo Ref.]]="Dentro",DATOS_[C.Extra.04]))))), 0)</f>
        <v>0</v>
      </c>
      <c r="AP100" s="212" t="n">
        <f aca="false" t="array" ref="AP100:AP100">IFERROR( AVERAGE((IF(DATOS_[[Sexo]:[Sexo]]=$B100,IF(DATOS_[[AGRUP. CLAS. PROF.]:[AGRUP. CLAS. PROF.]]=$B99,IF(DATOS_[[Check Periodo Ref.]:[Check Periodo Ref.]]="Dentro",DATOS_[C.Extra.05]))))), 0)</f>
        <v>0</v>
      </c>
      <c r="AQ100" s="213" t="n">
        <f aca="false" t="array" ref="AQ100:AQ100">IFERROR( AVERAGE(IF(DATOS_[Sexo]=$B100,IF(DATOS_[AGRUP. CLAS. PROF.]=$B99,IF(DATOS_[Check Periodo Ref.]="Dentro",DATOS_[Tot Extrasalarial Ef],0)))), 0)</f>
        <v>0</v>
      </c>
      <c r="AR100" s="214" t="n">
        <f aca="false" t="array" ref="AR100:AR100">IFERROR( AVERAGE(IF(DATOS_[Sexo]=$B100,IF(DATOS_[AGRUP. CLAS. PROF.]=$B99,IF(DATOS_[Check Periodo Ref.]="Dentro",DATOS_[TOTAL Retrib Ef],0)))), 0)</f>
        <v>0</v>
      </c>
    </row>
    <row r="101" customFormat="false" ht="14.25" hidden="false" customHeight="false" outlineLevel="0" collapsed="false">
      <c r="A101" s="191" t="str">
        <f aca="false">+A100</f>
        <v>[ocultar]</v>
      </c>
      <c r="B101" s="205" t="s">
        <v>372</v>
      </c>
      <c r="C101" s="206" t="n">
        <f aca="false" t="array" ref="C101:C101">SUM(IF($B101=DATOS_[Sexo], IF($B99=DATOS_[AGRUP. CLAS. PROF.], IF("Dentro"=DATOS_[Check Periodo Ref.], 1/(COUNTIFS(DATOS_[Sexo],$B101,DATOS_[AGRUP. CLAS. PROF.],$B99,DATOS_[Check Periodo Ref.],"Dentro",DATOS_[id],DATOS_[id]))))))</f>
        <v>0</v>
      </c>
      <c r="D101" s="207" t="n">
        <f aca="false">COUNTIFS(DATOS_[AGRUP. CLAS. PROF.],$B99,DATOS_[Sexo],$B101,DATOS_[Check Periodo Ref.],"Dentro")</f>
        <v>0</v>
      </c>
      <c r="E101" s="208" t="n">
        <f aca="false" t="array" ref="E101:E101">IFERROR( AVERAGE(IF(DATOS_[Sexo]=$B101,IF(DATOS_[AGRUP. CLAS. PROF.]=$B99,IF(DATOS_[Check Periodo Ref.]="Dentro",DATOS_[SALARIO BASE Ef],0)))), 0)</f>
        <v>0</v>
      </c>
      <c r="F101" s="209" t="n">
        <f aca="false" t="array" ref="F101:F101">IFERROR( AVERAGE((IF(DATOS_[[Sexo]:[Sexo]]=$B101,IF(DATOS_[[AGRUP. CLAS. PROF.]:[AGRUP. CLAS. PROF.]]=$B99,IF(DATOS_[[Check Periodo Ref.]:[Check Periodo Ref.]]="Dentro",DATOS_[Conc.Sal.01]))))), 0)</f>
        <v>0</v>
      </c>
      <c r="G101" s="209" t="n">
        <f aca="false" t="array" ref="G101:G101">IFERROR( AVERAGE((IF(DATOS_[[Sexo]:[Sexo]]=$B101,IF(DATOS_[[AGRUP. CLAS. PROF.]:[AGRUP. CLAS. PROF.]]=$B99,IF(DATOS_[[Check Periodo Ref.]:[Check Periodo Ref.]]="Dentro",DATOS_[Conc.Sal.02]))))), 0)</f>
        <v>0</v>
      </c>
      <c r="H101" s="209" t="n">
        <f aca="false" t="array" ref="H101:H101">IFERROR( AVERAGE((IF(DATOS_[[Sexo]:[Sexo]]=$B101,IF(DATOS_[[AGRUP. CLAS. PROF.]:[AGRUP. CLAS. PROF.]]=$B99,IF(DATOS_[[Check Periodo Ref.]:[Check Periodo Ref.]]="Dentro",DATOS_[Conc.Sal.03]))))), 0)</f>
        <v>0</v>
      </c>
      <c r="I101" s="209" t="n">
        <f aca="false" t="array" ref="I101:I101">IFERROR( AVERAGE((IF(DATOS_[[Sexo]:[Sexo]]=$B101,IF(DATOS_[[AGRUP. CLAS. PROF.]:[AGRUP. CLAS. PROF.]]=$B99,IF(DATOS_[[Check Periodo Ref.]:[Check Periodo Ref.]]="Dentro",DATOS_[Conc.Sal.04]))))), 0)</f>
        <v>0</v>
      </c>
      <c r="J101" s="209" t="n">
        <f aca="false" t="array" ref="J101:J101">IFERROR( AVERAGE((IF(DATOS_[[Sexo]:[Sexo]]=$B101,IF(DATOS_[[AGRUP. CLAS. PROF.]:[AGRUP. CLAS. PROF.]]=$B99,IF(DATOS_[[Check Periodo Ref.]:[Check Periodo Ref.]]="Dentro",DATOS_[Conc.Sal.05]))))), 0)</f>
        <v>0</v>
      </c>
      <c r="K101" s="209" t="n">
        <f aca="false" t="array" ref="K101:K101">IFERROR( AVERAGE((IF(DATOS_[[Sexo]:[Sexo]]=$B101,IF(DATOS_[[AGRUP. CLAS. PROF.]:[AGRUP. CLAS. PROF.]]=$B99,IF(DATOS_[[Check Periodo Ref.]:[Check Periodo Ref.]]="Dentro",DATOS_[Conc.Sal.06]))))), 0)</f>
        <v>0</v>
      </c>
      <c r="L101" s="209" t="n">
        <f aca="false" t="array" ref="L101:L101">IFERROR( AVERAGE((IF(DATOS_[[Sexo]:[Sexo]]=$B101,IF(DATOS_[[AGRUP. CLAS. PROF.]:[AGRUP. CLAS. PROF.]]=$B99,IF(DATOS_[[Check Periodo Ref.]:[Check Periodo Ref.]]="Dentro",DATOS_[Conc.Sal.07]))))), 0)</f>
        <v>0</v>
      </c>
      <c r="M101" s="209" t="n">
        <f aca="false" t="array" ref="M101:M101">IFERROR( AVERAGE((IF(DATOS_[[Sexo]:[Sexo]]=$B101,IF(DATOS_[[AGRUP. CLAS. PROF.]:[AGRUP. CLAS. PROF.]]=$B99,IF(DATOS_[[Check Periodo Ref.]:[Check Periodo Ref.]]="Dentro",DATOS_[Conc.Sal.08]))))), 0)</f>
        <v>0</v>
      </c>
      <c r="N101" s="209" t="n">
        <f aca="false" t="array" ref="N101:N101">IFERROR( AVERAGE((IF(DATOS_[[Sexo]:[Sexo]]=$B101,IF(DATOS_[[AGRUP. CLAS. PROF.]:[AGRUP. CLAS. PROF.]]=$B99,IF(DATOS_[[Check Periodo Ref.]:[Check Periodo Ref.]]="Dentro",DATOS_[Conc.Sal.09]))))), 0)</f>
        <v>0</v>
      </c>
      <c r="O101" s="209" t="n">
        <f aca="false" t="array" ref="O101:O101">IFERROR( AVERAGE((IF(DATOS_[[Sexo]:[Sexo]]=$B101,IF(DATOS_[[AGRUP. CLAS. PROF.]:[AGRUP. CLAS. PROF.]]=$B99,IF(DATOS_[[Check Periodo Ref.]:[Check Periodo Ref.]]="Dentro",DATOS_[Conc.Sal.10]))))), 0)</f>
        <v>0</v>
      </c>
      <c r="P101" s="209" t="n">
        <f aca="false" t="array" ref="P101:P101">IFERROR( AVERAGE((IF(DATOS_[[Sexo]:[Sexo]]=$B101,IF(DATOS_[[AGRUP. CLAS. PROF.]:[AGRUP. CLAS. PROF.]]=$B99,IF(DATOS_[[Check Periodo Ref.]:[Check Periodo Ref.]]="Dentro",DATOS_[Conc.Sal.11]))))), 0)</f>
        <v>0</v>
      </c>
      <c r="Q101" s="209" t="n">
        <f aca="false" t="array" ref="Q101:Q101">IFERROR( AVERAGE((IF(DATOS_[[Sexo]:[Sexo]]=$B101,IF(DATOS_[[AGRUP. CLAS. PROF.]:[AGRUP. CLAS. PROF.]]=$B99,IF(DATOS_[[Check Periodo Ref.]:[Check Periodo Ref.]]="Dentro",DATOS_[Conc.Sal.12]))))), 0)</f>
        <v>0</v>
      </c>
      <c r="R101" s="209" t="n">
        <f aca="false" t="array" ref="R101:R101">IFERROR( AVERAGE((IF(DATOS_[[Sexo]:[Sexo]]=$B101,IF(DATOS_[[AGRUP. CLAS. PROF.]:[AGRUP. CLAS. PROF.]]=$B99,IF(DATOS_[[Check Periodo Ref.]:[Check Periodo Ref.]]="Dentro",DATOS_[Conc.Sal.13]))))), 0)</f>
        <v>0</v>
      </c>
      <c r="S101" s="209" t="n">
        <f aca="false" t="array" ref="S101:S101">IFERROR( AVERAGE((IF(DATOS_[[Sexo]:[Sexo]]=$B101,IF(DATOS_[[AGRUP. CLAS. PROF.]:[AGRUP. CLAS. PROF.]]=$B99,IF(DATOS_[[Check Periodo Ref.]:[Check Periodo Ref.]]="Dentro",DATOS_[Conc.Sal.14]))))), 0)</f>
        <v>0</v>
      </c>
      <c r="T101" s="209" t="n">
        <f aca="false" t="array" ref="T101:T101">IFERROR( AVERAGE((IF(DATOS_[[Sexo]:[Sexo]]=$B101,IF(DATOS_[[AGRUP. CLAS. PROF.]:[AGRUP. CLAS. PROF.]]=$B99,IF(DATOS_[[Check Periodo Ref.]:[Check Periodo Ref.]]="Dentro",DATOS_[Conc.Sal.15]))))), 0)</f>
        <v>0</v>
      </c>
      <c r="U101" s="209" t="n">
        <f aca="false" t="array" ref="U101:U101">IFERROR( AVERAGE((IF(DATOS_[[Sexo]:[Sexo]]=$B101,IF(DATOS_[[AGRUP. CLAS. PROF.]:[AGRUP. CLAS. PROF.]]=$B99,IF(DATOS_[[Check Periodo Ref.]:[Check Periodo Ref.]]="Dentro",DATOS_[Conc.Sal.16]))))), 0)</f>
        <v>0</v>
      </c>
      <c r="V101" s="209" t="n">
        <f aca="false" t="array" ref="V101:V101">IFERROR( AVERAGE((IF(DATOS_[[Sexo]:[Sexo]]=$B101,IF(DATOS_[[AGRUP. CLAS. PROF.]:[AGRUP. CLAS. PROF.]]=$B99,IF(DATOS_[[Check Periodo Ref.]:[Check Periodo Ref.]]="Dentro",DATOS_[Conc.Sal.17]))))), 0)</f>
        <v>0</v>
      </c>
      <c r="W101" s="209" t="n">
        <f aca="false" t="array" ref="W101:W101">IFERROR( AVERAGE((IF(DATOS_[[Sexo]:[Sexo]]=$B101,IF(DATOS_[[AGRUP. CLAS. PROF.]:[AGRUP. CLAS. PROF.]]=$B99,IF(DATOS_[[Check Periodo Ref.]:[Check Periodo Ref.]]="Dentro",DATOS_[Conc.Sal.18]))))), 0)</f>
        <v>0</v>
      </c>
      <c r="X101" s="209" t="n">
        <f aca="false" t="array" ref="X101:X101">IFERROR( AVERAGE((IF(DATOS_[[Sexo]:[Sexo]]=$B101,IF(DATOS_[[AGRUP. CLAS. PROF.]:[AGRUP. CLAS. PROF.]]=$B99,IF(DATOS_[[Check Periodo Ref.]:[Check Periodo Ref.]]="Dentro",DATOS_[Conc.Sal.19]))))), 0)</f>
        <v>0</v>
      </c>
      <c r="Y101" s="209" t="n">
        <f aca="false" t="array" ref="Y101:Y101">IFERROR( AVERAGE((IF(DATOS_[[Sexo]:[Sexo]]=$B101,IF(DATOS_[[AGRUP. CLAS. PROF.]:[AGRUP. CLAS. PROF.]]=$B99,IF(DATOS_[[Check Periodo Ref.]:[Check Periodo Ref.]]="Dentro",DATOS_[Conc.Sal.20]))))), 0)</f>
        <v>0</v>
      </c>
      <c r="Z101" s="209" t="n">
        <f aca="false" t="array" ref="Z101:Z101">IFERROR( AVERAGE((IF(DATOS_[[Sexo]:[Sexo]]=$B101,IF(DATOS_[[AGRUP. CLAS. PROF.]:[AGRUP. CLAS. PROF.]]=$B99,IF(DATOS_[[Check Periodo Ref.]:[Check Periodo Ref.]]="Dentro",DATOS_[Conc.Sal.21]))))), 0)</f>
        <v>0</v>
      </c>
      <c r="AA101" s="209" t="n">
        <f aca="false" t="array" ref="AA101:AA101">IFERROR( AVERAGE((IF(DATOS_[[Sexo]:[Sexo]]=$B101,IF(DATOS_[[AGRUP. CLAS. PROF.]:[AGRUP. CLAS. PROF.]]=$B99,IF(DATOS_[[Check Periodo Ref.]:[Check Periodo Ref.]]="Dentro",DATOS_[Conc.Sal.22]))))), 0)</f>
        <v>0</v>
      </c>
      <c r="AB101" s="209" t="n">
        <f aca="false" t="array" ref="AB101:AB101">IFERROR( AVERAGE((IF(DATOS_[[Sexo]:[Sexo]]=$B101,IF(DATOS_[[AGRUP. CLAS. PROF.]:[AGRUP. CLAS. PROF.]]=$B99,IF(DATOS_[[Check Periodo Ref.]:[Check Periodo Ref.]]="Dentro",DATOS_[Conc.Sal.23]))))), 0)</f>
        <v>0</v>
      </c>
      <c r="AC101" s="209" t="n">
        <f aca="false" t="array" ref="AC101:AC101">IFERROR( AVERAGE((IF(DATOS_[[Sexo]:[Sexo]]=$B101,IF(DATOS_[[AGRUP. CLAS. PROF.]:[AGRUP. CLAS. PROF.]]=$B99,IF(DATOS_[[Check Periodo Ref.]:[Check Periodo Ref.]]="Dentro",DATOS_[Conc.Sal.24]))))), 0)</f>
        <v>0</v>
      </c>
      <c r="AD101" s="209" t="n">
        <f aca="false" t="array" ref="AD101:AD101">IFERROR( AVERAGE((IF(DATOS_[[Sexo]:[Sexo]]=$B101,IF(DATOS_[[AGRUP. CLAS. PROF.]:[AGRUP. CLAS. PROF.]]=$B99,IF(DATOS_[[Check Periodo Ref.]:[Check Periodo Ref.]]="Dentro",DATOS_[Conc.Sal.25]))))), 0)</f>
        <v>0</v>
      </c>
      <c r="AE101" s="209" t="n">
        <f aca="false" t="array" ref="AE101:AE101">IFERROR( AVERAGE((IF(DATOS_[[Sexo]:[Sexo]]=$B101,IF(DATOS_[[AGRUP. CLAS. PROF.]:[AGRUP. CLAS. PROF.]]=$B99,IF(DATOS_[[Check Periodo Ref.]:[Check Periodo Ref.]]="Dentro",DATOS_[Conc.Sal.26]))))), 0)</f>
        <v>0</v>
      </c>
      <c r="AF101" s="209" t="n">
        <f aca="false" t="array" ref="AF101:AF101">IFERROR( AVERAGE((IF(DATOS_[[Sexo]:[Sexo]]=$B101,IF(DATOS_[[AGRUP. CLAS. PROF.]:[AGRUP. CLAS. PROF.]]=$B99,IF(DATOS_[[Check Periodo Ref.]:[Check Periodo Ref.]]="Dentro",DATOS_[Conc.Sal.27]))))), 0)</f>
        <v>0</v>
      </c>
      <c r="AG101" s="209" t="n">
        <f aca="false" t="array" ref="AG101:AG101">IFERROR( AVERAGE((IF(DATOS_[[Sexo]:[Sexo]]=$B101,IF(DATOS_[[AGRUP. CLAS. PROF.]:[AGRUP. CLAS. PROF.]]=$B99,IF(DATOS_[[Check Periodo Ref.]:[Check Periodo Ref.]]="Dentro",DATOS_[Conc.Sal.28]))))), 0)</f>
        <v>0</v>
      </c>
      <c r="AH101" s="209" t="n">
        <f aca="false" t="array" ref="AH101:AH101">IFERROR( AVERAGE((IF(DATOS_[[Sexo]:[Sexo]]=$B101,IF(DATOS_[[AGRUP. CLAS. PROF.]:[AGRUP. CLAS. PROF.]]=$B99,IF(DATOS_[[Check Periodo Ref.]:[Check Periodo Ref.]]="Dentro",DATOS_[Conc.Sal.29]))))), 0)</f>
        <v>0</v>
      </c>
      <c r="AI101" s="209" t="n">
        <f aca="false" t="array" ref="AI101:AI101">IFERROR( AVERAGE((IF(DATOS_[[Sexo]:[Sexo]]=$B101,IF(DATOS_[[AGRUP. CLAS. PROF.]:[AGRUP. CLAS. PROF.]]=$B99,IF(DATOS_[[Check Periodo Ref.]:[Check Periodo Ref.]]="Dentro",DATOS_[Conc.Sal.30]))))), 0)</f>
        <v>0</v>
      </c>
      <c r="AJ101" s="210" t="n">
        <f aca="false" t="array" ref="AJ101:AJ101">IFERROR( AVERAGE(IF(DATOS_[Sexo]=$B101,IF(DATOS_[AGRUP. CLAS. PROF.]=$B99,IF(DATOS_[Check Periodo Ref.]="Dentro",DATOS_[Tot COMPL.SAL Ef],0)))), 0)</f>
        <v>0</v>
      </c>
      <c r="AK101" s="211" t="n">
        <f aca="false" t="array" ref="AK101:AK101">IFERROR( AVERAGE(IF(DATOS_[Sexo]=$B101,IF(DATOS_[AGRUP. CLAS. PROF.]=$B99,IF(DATOS_[Check Periodo Ref.]="Dentro",DATOS_[TOTAL SALARIO Ef],0)))), 0)</f>
        <v>0</v>
      </c>
      <c r="AL101" s="212" t="n">
        <f aca="false" t="array" ref="AL101:AL101">IFERROR( AVERAGE((IF(DATOS_[[Sexo]:[Sexo]]=$B101,IF(DATOS_[[AGRUP. CLAS. PROF.]:[AGRUP. CLAS. PROF.]]=$B99,IF(DATOS_[[Check Periodo Ref.]:[Check Periodo Ref.]]="Dentro",DATOS_[C.Extra.01]))))), 0)</f>
        <v>0</v>
      </c>
      <c r="AM101" s="212" t="n">
        <f aca="false" t="array" ref="AM101:AM101">IFERROR( AVERAGE((IF(DATOS_[[Sexo]:[Sexo]]=$B101,IF(DATOS_[[AGRUP. CLAS. PROF.]:[AGRUP. CLAS. PROF.]]=$B99,IF(DATOS_[[Check Periodo Ref.]:[Check Periodo Ref.]]="Dentro",DATOS_[C.Extra.02]))))), 0)</f>
        <v>0</v>
      </c>
      <c r="AN101" s="212" t="n">
        <f aca="false" t="array" ref="AN101:AN101">IFERROR( AVERAGE((IF(DATOS_[[Sexo]:[Sexo]]=$B101,IF(DATOS_[[AGRUP. CLAS. PROF.]:[AGRUP. CLAS. PROF.]]=$B99,IF(DATOS_[[Check Periodo Ref.]:[Check Periodo Ref.]]="Dentro",DATOS_[C.Extra.03]))))), 0)</f>
        <v>0</v>
      </c>
      <c r="AO101" s="212" t="n">
        <f aca="false" t="array" ref="AO101:AO101">IFERROR( AVERAGE((IF(DATOS_[[Sexo]:[Sexo]]=$B101,IF(DATOS_[[AGRUP. CLAS. PROF.]:[AGRUP. CLAS. PROF.]]=$B99,IF(DATOS_[[Check Periodo Ref.]:[Check Periodo Ref.]]="Dentro",DATOS_[C.Extra.04]))))), 0)</f>
        <v>0</v>
      </c>
      <c r="AP101" s="212" t="n">
        <f aca="false" t="array" ref="AP101:AP101">IFERROR( AVERAGE((IF(DATOS_[[Sexo]:[Sexo]]=$B101,IF(DATOS_[[AGRUP. CLAS. PROF.]:[AGRUP. CLAS. PROF.]]=$B99,IF(DATOS_[[Check Periodo Ref.]:[Check Periodo Ref.]]="Dentro",DATOS_[C.Extra.05]))))), 0)</f>
        <v>0</v>
      </c>
      <c r="AQ101" s="213" t="n">
        <f aca="false" t="array" ref="AQ101:AQ101">IFERROR( AVERAGE(IF(DATOS_[Sexo]=$B101,IF(DATOS_[AGRUP. CLAS. PROF.]=$B99,IF(DATOS_[Check Periodo Ref.]="Dentro",DATOS_[Tot Extrasalarial Ef],0)))), 0)</f>
        <v>0</v>
      </c>
      <c r="AR101" s="214" t="n">
        <f aca="false" t="array" ref="AR101:AR101">IFERROR( AVERAGE(IF(DATOS_[Sexo]=$B101,IF(DATOS_[AGRUP. CLAS. PROF.]=$B99,IF(DATOS_[Check Periodo Ref.]="Dentro",DATOS_[TOTAL Retrib Ef],0)))), 0)</f>
        <v>0</v>
      </c>
    </row>
    <row r="102" customFormat="false" ht="15.75" hidden="false" customHeight="false" outlineLevel="0" collapsed="false">
      <c r="A102" s="191" t="str">
        <f aca="false">+A103</f>
        <v>[ocultar]</v>
      </c>
      <c r="B102" s="192" t="s">
        <v>255</v>
      </c>
      <c r="C102" s="193"/>
      <c r="D102" s="194"/>
      <c r="E102" s="195" t="str">
        <f aca="false">IFERROR((E103-E104)/E103,"")</f>
        <v/>
      </c>
      <c r="F102" s="196" t="str">
        <f aca="false">IFERROR((F103-F104)/F103,"")</f>
        <v/>
      </c>
      <c r="G102" s="197" t="str">
        <f aca="false">IFERROR((G103-G104)/G103,"")</f>
        <v/>
      </c>
      <c r="H102" s="197" t="str">
        <f aca="false">IFERROR((H103-H104)/H103,"")</f>
        <v/>
      </c>
      <c r="I102" s="197" t="str">
        <f aca="false">IFERROR((I103-I104)/I103,"")</f>
        <v/>
      </c>
      <c r="J102" s="198" t="str">
        <f aca="false">IFERROR((J103-J104)/J103,"")</f>
        <v/>
      </c>
      <c r="K102" s="199" t="str">
        <f aca="false">IFERROR((K103-K104)/K103,"")</f>
        <v/>
      </c>
      <c r="L102" s="199" t="str">
        <f aca="false">IFERROR((L103-L104)/L103,"")</f>
        <v/>
      </c>
      <c r="M102" s="199" t="str">
        <f aca="false">IFERROR((M103-M104)/M103,"")</f>
        <v/>
      </c>
      <c r="N102" s="199" t="str">
        <f aca="false">IFERROR((N103-N104)/N103,"")</f>
        <v/>
      </c>
      <c r="O102" s="199" t="str">
        <f aca="false">IFERROR((O103-O104)/O103,"")</f>
        <v/>
      </c>
      <c r="P102" s="199" t="str">
        <f aca="false">IFERROR((P103-P104)/P103,"")</f>
        <v/>
      </c>
      <c r="Q102" s="199" t="str">
        <f aca="false">IFERROR((Q103-Q104)/Q103,"")</f>
        <v/>
      </c>
      <c r="R102" s="199" t="str">
        <f aca="false">IFERROR((R103-R104)/R103,"")</f>
        <v/>
      </c>
      <c r="S102" s="199" t="str">
        <f aca="false">IFERROR((S103-S104)/S103,"")</f>
        <v/>
      </c>
      <c r="T102" s="199" t="str">
        <f aca="false">IFERROR((T103-T104)/T103,"")</f>
        <v/>
      </c>
      <c r="U102" s="199" t="str">
        <f aca="false">IFERROR((U103-U104)/U103,"")</f>
        <v/>
      </c>
      <c r="V102" s="198" t="str">
        <f aca="false">IFERROR((V103-V104)/V103,"")</f>
        <v/>
      </c>
      <c r="W102" s="198" t="str">
        <f aca="false">IFERROR((W103-W104)/W103,"")</f>
        <v/>
      </c>
      <c r="X102" s="198" t="str">
        <f aca="false">IFERROR((X103-X104)/X103,"")</f>
        <v/>
      </c>
      <c r="Y102" s="198" t="str">
        <f aca="false">IFERROR((Y103-Y104)/Y103,"")</f>
        <v/>
      </c>
      <c r="Z102" s="198" t="str">
        <f aca="false">IFERROR((Z103-Z104)/Z103,"")</f>
        <v/>
      </c>
      <c r="AA102" s="198" t="str">
        <f aca="false">IFERROR((AA103-AA104)/AA103,"")</f>
        <v/>
      </c>
      <c r="AB102" s="198" t="str">
        <f aca="false">IFERROR((AB103-AB104)/AB103,"")</f>
        <v/>
      </c>
      <c r="AC102" s="198" t="str">
        <f aca="false">IFERROR((AC103-AC104)/AC103,"")</f>
        <v/>
      </c>
      <c r="AD102" s="198" t="str">
        <f aca="false">IFERROR((AD103-AD104)/AD103,"")</f>
        <v/>
      </c>
      <c r="AE102" s="198" t="str">
        <f aca="false">IFERROR((AE103-AE104)/AE103,"")</f>
        <v/>
      </c>
      <c r="AF102" s="198" t="str">
        <f aca="false">IFERROR((AF103-AF104)/AF103,"")</f>
        <v/>
      </c>
      <c r="AG102" s="198" t="str">
        <f aca="false">IFERROR((AG103-AG104)/AG103,"")</f>
        <v/>
      </c>
      <c r="AH102" s="198" t="str">
        <f aca="false">IFERROR((AH103-AH104)/AH103,"")</f>
        <v/>
      </c>
      <c r="AI102" s="198" t="str">
        <f aca="false">IFERROR((AI103-AI104)/AI103,"")</f>
        <v/>
      </c>
      <c r="AJ102" s="200" t="str">
        <f aca="false">IFERROR((AJ103-AJ104)/AJ103,"")</f>
        <v/>
      </c>
      <c r="AK102" s="201" t="str">
        <f aca="false">IFERROR((AK103-AK104)/AK103,"")</f>
        <v/>
      </c>
      <c r="AL102" s="202" t="str">
        <f aca="false">IFERROR((AL103-AL104)/AL103,"")</f>
        <v/>
      </c>
      <c r="AM102" s="202" t="str">
        <f aca="false">IFERROR((AM103-AM104)/AM103,"")</f>
        <v/>
      </c>
      <c r="AN102" s="202" t="str">
        <f aca="false">IFERROR((AN103-AN104)/AN103,"")</f>
        <v/>
      </c>
      <c r="AO102" s="202" t="str">
        <f aca="false">IFERROR((AO103-AO104)/AO103,"")</f>
        <v/>
      </c>
      <c r="AP102" s="202" t="str">
        <f aca="false">IFERROR((AP103-AP104)/AP103,"")</f>
        <v/>
      </c>
      <c r="AQ102" s="203" t="str">
        <f aca="false">IFERROR((AQ103-AQ104)/AQ103,"")</f>
        <v/>
      </c>
      <c r="AR102" s="204" t="str">
        <f aca="false">IFERROR((AR103-AR104)/AR103,"")</f>
        <v/>
      </c>
    </row>
    <row r="103" customFormat="false" ht="14.25" hidden="false" customHeight="false" outlineLevel="0" collapsed="false">
      <c r="A103" s="191" t="str">
        <f aca="false">+IF(C103+C104=0,"[ocultar]","")</f>
        <v>[ocultar]</v>
      </c>
      <c r="B103" s="205" t="s">
        <v>371</v>
      </c>
      <c r="C103" s="206" t="n">
        <f aca="false" t="array" ref="C103:C103">SUM(IF($B103=DATOS_[Sexo], IF($B102=DATOS_[AGRUP. CLAS. PROF.], IF("Dentro"=DATOS_[Check Periodo Ref.], 1/(COUNTIFS(DATOS_[Sexo],$B103,DATOS_[AGRUP. CLAS. PROF.],$B102,DATOS_[Check Periodo Ref.],"Dentro",DATOS_[id],DATOS_[id]))))))</f>
        <v>0</v>
      </c>
      <c r="D103" s="207" t="n">
        <f aca="false">COUNTIFS(DATOS_[AGRUP. CLAS. PROF.],$B102,DATOS_[Sexo],$B103,DATOS_[Check Periodo Ref.],"Dentro")</f>
        <v>0</v>
      </c>
      <c r="E103" s="208" t="n">
        <f aca="false" t="array" ref="E103:E103">IFERROR( AVERAGE(IF(DATOS_[Sexo]=$B103,IF(DATOS_[AGRUP. CLAS. PROF.]=$B102,IF(DATOS_[Check Periodo Ref.]="Dentro",DATOS_[SALARIO BASE Ef],0)))), 0)</f>
        <v>0</v>
      </c>
      <c r="F103" s="209" t="n">
        <f aca="false" t="array" ref="F103:F103">IFERROR( AVERAGE((IF(DATOS_[[Sexo]:[Sexo]]=$B103,IF(DATOS_[[AGRUP. CLAS. PROF.]:[AGRUP. CLAS. PROF.]]=$B102,IF(DATOS_[[Check Periodo Ref.]:[Check Periodo Ref.]]="Dentro",DATOS_[Conc.Sal.01]))))), 0)</f>
        <v>0</v>
      </c>
      <c r="G103" s="209" t="n">
        <f aca="false" t="array" ref="G103:G103">IFERROR( AVERAGE((IF(DATOS_[[Sexo]:[Sexo]]=$B103,IF(DATOS_[[AGRUP. CLAS. PROF.]:[AGRUP. CLAS. PROF.]]=$B102,IF(DATOS_[[Check Periodo Ref.]:[Check Periodo Ref.]]="Dentro",DATOS_[Conc.Sal.02]))))), 0)</f>
        <v>0</v>
      </c>
      <c r="H103" s="209" t="n">
        <f aca="false" t="array" ref="H103:H103">IFERROR( AVERAGE((IF(DATOS_[[Sexo]:[Sexo]]=$B103,IF(DATOS_[[AGRUP. CLAS. PROF.]:[AGRUP. CLAS. PROF.]]=$B102,IF(DATOS_[[Check Periodo Ref.]:[Check Periodo Ref.]]="Dentro",DATOS_[Conc.Sal.03]))))), 0)</f>
        <v>0</v>
      </c>
      <c r="I103" s="209" t="n">
        <f aca="false" t="array" ref="I103:I103">IFERROR( AVERAGE((IF(DATOS_[[Sexo]:[Sexo]]=$B103,IF(DATOS_[[AGRUP. CLAS. PROF.]:[AGRUP. CLAS. PROF.]]=$B102,IF(DATOS_[[Check Periodo Ref.]:[Check Periodo Ref.]]="Dentro",DATOS_[Conc.Sal.04]))))), 0)</f>
        <v>0</v>
      </c>
      <c r="J103" s="209" t="n">
        <f aca="false" t="array" ref="J103:J103">IFERROR( AVERAGE((IF(DATOS_[[Sexo]:[Sexo]]=$B103,IF(DATOS_[[AGRUP. CLAS. PROF.]:[AGRUP. CLAS. PROF.]]=$B102,IF(DATOS_[[Check Periodo Ref.]:[Check Periodo Ref.]]="Dentro",DATOS_[Conc.Sal.05]))))), 0)</f>
        <v>0</v>
      </c>
      <c r="K103" s="209" t="n">
        <f aca="false" t="array" ref="K103:K103">IFERROR( AVERAGE((IF(DATOS_[[Sexo]:[Sexo]]=$B103,IF(DATOS_[[AGRUP. CLAS. PROF.]:[AGRUP. CLAS. PROF.]]=$B102,IF(DATOS_[[Check Periodo Ref.]:[Check Periodo Ref.]]="Dentro",DATOS_[Conc.Sal.06]))))), 0)</f>
        <v>0</v>
      </c>
      <c r="L103" s="209" t="n">
        <f aca="false" t="array" ref="L103:L103">IFERROR( AVERAGE((IF(DATOS_[[Sexo]:[Sexo]]=$B103,IF(DATOS_[[AGRUP. CLAS. PROF.]:[AGRUP. CLAS. PROF.]]=$B102,IF(DATOS_[[Check Periodo Ref.]:[Check Periodo Ref.]]="Dentro",DATOS_[Conc.Sal.07]))))), 0)</f>
        <v>0</v>
      </c>
      <c r="M103" s="209" t="n">
        <f aca="false" t="array" ref="M103:M103">IFERROR( AVERAGE((IF(DATOS_[[Sexo]:[Sexo]]=$B103,IF(DATOS_[[AGRUP. CLAS. PROF.]:[AGRUP. CLAS. PROF.]]=$B102,IF(DATOS_[[Check Periodo Ref.]:[Check Periodo Ref.]]="Dentro",DATOS_[Conc.Sal.08]))))), 0)</f>
        <v>0</v>
      </c>
      <c r="N103" s="209" t="n">
        <f aca="false" t="array" ref="N103:N103">IFERROR( AVERAGE((IF(DATOS_[[Sexo]:[Sexo]]=$B103,IF(DATOS_[[AGRUP. CLAS. PROF.]:[AGRUP. CLAS. PROF.]]=$B102,IF(DATOS_[[Check Periodo Ref.]:[Check Periodo Ref.]]="Dentro",DATOS_[Conc.Sal.09]))))), 0)</f>
        <v>0</v>
      </c>
      <c r="O103" s="209" t="n">
        <f aca="false" t="array" ref="O103:O103">IFERROR( AVERAGE((IF(DATOS_[[Sexo]:[Sexo]]=$B103,IF(DATOS_[[AGRUP. CLAS. PROF.]:[AGRUP. CLAS. PROF.]]=$B102,IF(DATOS_[[Check Periodo Ref.]:[Check Periodo Ref.]]="Dentro",DATOS_[Conc.Sal.10]))))), 0)</f>
        <v>0</v>
      </c>
      <c r="P103" s="209" t="n">
        <f aca="false" t="array" ref="P103:P103">IFERROR( AVERAGE((IF(DATOS_[[Sexo]:[Sexo]]=$B103,IF(DATOS_[[AGRUP. CLAS. PROF.]:[AGRUP. CLAS. PROF.]]=$B102,IF(DATOS_[[Check Periodo Ref.]:[Check Periodo Ref.]]="Dentro",DATOS_[Conc.Sal.11]))))), 0)</f>
        <v>0</v>
      </c>
      <c r="Q103" s="209" t="n">
        <f aca="false" t="array" ref="Q103:Q103">IFERROR( AVERAGE((IF(DATOS_[[Sexo]:[Sexo]]=$B103,IF(DATOS_[[AGRUP. CLAS. PROF.]:[AGRUP. CLAS. PROF.]]=$B102,IF(DATOS_[[Check Periodo Ref.]:[Check Periodo Ref.]]="Dentro",DATOS_[Conc.Sal.12]))))), 0)</f>
        <v>0</v>
      </c>
      <c r="R103" s="209" t="n">
        <f aca="false" t="array" ref="R103:R103">IFERROR( AVERAGE((IF(DATOS_[[Sexo]:[Sexo]]=$B103,IF(DATOS_[[AGRUP. CLAS. PROF.]:[AGRUP. CLAS. PROF.]]=$B102,IF(DATOS_[[Check Periodo Ref.]:[Check Periodo Ref.]]="Dentro",DATOS_[Conc.Sal.13]))))), 0)</f>
        <v>0</v>
      </c>
      <c r="S103" s="209" t="n">
        <f aca="false" t="array" ref="S103:S103">IFERROR( AVERAGE((IF(DATOS_[[Sexo]:[Sexo]]=$B103,IF(DATOS_[[AGRUP. CLAS. PROF.]:[AGRUP. CLAS. PROF.]]=$B102,IF(DATOS_[[Check Periodo Ref.]:[Check Periodo Ref.]]="Dentro",DATOS_[Conc.Sal.14]))))), 0)</f>
        <v>0</v>
      </c>
      <c r="T103" s="209" t="n">
        <f aca="false" t="array" ref="T103:T103">IFERROR( AVERAGE((IF(DATOS_[[Sexo]:[Sexo]]=$B103,IF(DATOS_[[AGRUP. CLAS. PROF.]:[AGRUP. CLAS. PROF.]]=$B102,IF(DATOS_[[Check Periodo Ref.]:[Check Periodo Ref.]]="Dentro",DATOS_[Conc.Sal.15]))))), 0)</f>
        <v>0</v>
      </c>
      <c r="U103" s="209" t="n">
        <f aca="false" t="array" ref="U103:U103">IFERROR( AVERAGE((IF(DATOS_[[Sexo]:[Sexo]]=$B103,IF(DATOS_[[AGRUP. CLAS. PROF.]:[AGRUP. CLAS. PROF.]]=$B102,IF(DATOS_[[Check Periodo Ref.]:[Check Periodo Ref.]]="Dentro",DATOS_[Conc.Sal.16]))))), 0)</f>
        <v>0</v>
      </c>
      <c r="V103" s="209" t="n">
        <f aca="false" t="array" ref="V103:V103">IFERROR( AVERAGE((IF(DATOS_[[Sexo]:[Sexo]]=$B103,IF(DATOS_[[AGRUP. CLAS. PROF.]:[AGRUP. CLAS. PROF.]]=$B102,IF(DATOS_[[Check Periodo Ref.]:[Check Periodo Ref.]]="Dentro",DATOS_[Conc.Sal.17]))))), 0)</f>
        <v>0</v>
      </c>
      <c r="W103" s="209" t="n">
        <f aca="false" t="array" ref="W103:W103">IFERROR( AVERAGE((IF(DATOS_[[Sexo]:[Sexo]]=$B103,IF(DATOS_[[AGRUP. CLAS. PROF.]:[AGRUP. CLAS. PROF.]]=$B102,IF(DATOS_[[Check Periodo Ref.]:[Check Periodo Ref.]]="Dentro",DATOS_[Conc.Sal.18]))))), 0)</f>
        <v>0</v>
      </c>
      <c r="X103" s="209" t="n">
        <f aca="false" t="array" ref="X103:X103">IFERROR( AVERAGE((IF(DATOS_[[Sexo]:[Sexo]]=$B103,IF(DATOS_[[AGRUP. CLAS. PROF.]:[AGRUP. CLAS. PROF.]]=$B102,IF(DATOS_[[Check Periodo Ref.]:[Check Periodo Ref.]]="Dentro",DATOS_[Conc.Sal.19]))))), 0)</f>
        <v>0</v>
      </c>
      <c r="Y103" s="209" t="n">
        <f aca="false" t="array" ref="Y103:Y103">IFERROR( AVERAGE((IF(DATOS_[[Sexo]:[Sexo]]=$B103,IF(DATOS_[[AGRUP. CLAS. PROF.]:[AGRUP. CLAS. PROF.]]=$B102,IF(DATOS_[[Check Periodo Ref.]:[Check Periodo Ref.]]="Dentro",DATOS_[Conc.Sal.20]))))), 0)</f>
        <v>0</v>
      </c>
      <c r="Z103" s="209" t="n">
        <f aca="false" t="array" ref="Z103:Z103">IFERROR( AVERAGE((IF(DATOS_[[Sexo]:[Sexo]]=$B103,IF(DATOS_[[AGRUP. CLAS. PROF.]:[AGRUP. CLAS. PROF.]]=$B102,IF(DATOS_[[Check Periodo Ref.]:[Check Periodo Ref.]]="Dentro",DATOS_[Conc.Sal.21]))))), 0)</f>
        <v>0</v>
      </c>
      <c r="AA103" s="209" t="n">
        <f aca="false" t="array" ref="AA103:AA103">IFERROR( AVERAGE((IF(DATOS_[[Sexo]:[Sexo]]=$B103,IF(DATOS_[[AGRUP. CLAS. PROF.]:[AGRUP. CLAS. PROF.]]=$B102,IF(DATOS_[[Check Periodo Ref.]:[Check Periodo Ref.]]="Dentro",DATOS_[Conc.Sal.22]))))), 0)</f>
        <v>0</v>
      </c>
      <c r="AB103" s="209" t="n">
        <f aca="false" t="array" ref="AB103:AB103">IFERROR( AVERAGE((IF(DATOS_[[Sexo]:[Sexo]]=$B103,IF(DATOS_[[AGRUP. CLAS. PROF.]:[AGRUP. CLAS. PROF.]]=$B102,IF(DATOS_[[Check Periodo Ref.]:[Check Periodo Ref.]]="Dentro",DATOS_[Conc.Sal.23]))))), 0)</f>
        <v>0</v>
      </c>
      <c r="AC103" s="209" t="n">
        <f aca="false" t="array" ref="AC103:AC103">IFERROR( AVERAGE((IF(DATOS_[[Sexo]:[Sexo]]=$B103,IF(DATOS_[[AGRUP. CLAS. PROF.]:[AGRUP. CLAS. PROF.]]=$B102,IF(DATOS_[[Check Periodo Ref.]:[Check Periodo Ref.]]="Dentro",DATOS_[Conc.Sal.24]))))), 0)</f>
        <v>0</v>
      </c>
      <c r="AD103" s="209" t="n">
        <f aca="false" t="array" ref="AD103:AD103">IFERROR( AVERAGE((IF(DATOS_[[Sexo]:[Sexo]]=$B103,IF(DATOS_[[AGRUP. CLAS. PROF.]:[AGRUP. CLAS. PROF.]]=$B102,IF(DATOS_[[Check Periodo Ref.]:[Check Periodo Ref.]]="Dentro",DATOS_[Conc.Sal.25]))))), 0)</f>
        <v>0</v>
      </c>
      <c r="AE103" s="209" t="n">
        <f aca="false" t="array" ref="AE103:AE103">IFERROR( AVERAGE((IF(DATOS_[[Sexo]:[Sexo]]=$B103,IF(DATOS_[[AGRUP. CLAS. PROF.]:[AGRUP. CLAS. PROF.]]=$B102,IF(DATOS_[[Check Periodo Ref.]:[Check Periodo Ref.]]="Dentro",DATOS_[Conc.Sal.26]))))), 0)</f>
        <v>0</v>
      </c>
      <c r="AF103" s="209" t="n">
        <f aca="false" t="array" ref="AF103:AF103">IFERROR( AVERAGE((IF(DATOS_[[Sexo]:[Sexo]]=$B103,IF(DATOS_[[AGRUP. CLAS. PROF.]:[AGRUP. CLAS. PROF.]]=$B102,IF(DATOS_[[Check Periodo Ref.]:[Check Periodo Ref.]]="Dentro",DATOS_[Conc.Sal.27]))))), 0)</f>
        <v>0</v>
      </c>
      <c r="AG103" s="209" t="n">
        <f aca="false" t="array" ref="AG103:AG103">IFERROR( AVERAGE((IF(DATOS_[[Sexo]:[Sexo]]=$B103,IF(DATOS_[[AGRUP. CLAS. PROF.]:[AGRUP. CLAS. PROF.]]=$B102,IF(DATOS_[[Check Periodo Ref.]:[Check Periodo Ref.]]="Dentro",DATOS_[Conc.Sal.28]))))), 0)</f>
        <v>0</v>
      </c>
      <c r="AH103" s="209" t="n">
        <f aca="false" t="array" ref="AH103:AH103">IFERROR( AVERAGE((IF(DATOS_[[Sexo]:[Sexo]]=$B103,IF(DATOS_[[AGRUP. CLAS. PROF.]:[AGRUP. CLAS. PROF.]]=$B102,IF(DATOS_[[Check Periodo Ref.]:[Check Periodo Ref.]]="Dentro",DATOS_[Conc.Sal.29]))))), 0)</f>
        <v>0</v>
      </c>
      <c r="AI103" s="209" t="n">
        <f aca="false" t="array" ref="AI103:AI103">IFERROR( AVERAGE((IF(DATOS_[[Sexo]:[Sexo]]=$B103,IF(DATOS_[[AGRUP. CLAS. PROF.]:[AGRUP. CLAS. PROF.]]=$B102,IF(DATOS_[[Check Periodo Ref.]:[Check Periodo Ref.]]="Dentro",DATOS_[Conc.Sal.30]))))), 0)</f>
        <v>0</v>
      </c>
      <c r="AJ103" s="210" t="n">
        <f aca="false" t="array" ref="AJ103:AJ103">IFERROR( AVERAGE(IF(DATOS_[Sexo]=$B103,IF(DATOS_[AGRUP. CLAS. PROF.]=$B102,IF(DATOS_[Check Periodo Ref.]="Dentro",DATOS_[Tot COMPL.SAL Ef],0)))), 0)</f>
        <v>0</v>
      </c>
      <c r="AK103" s="211" t="n">
        <f aca="false" t="array" ref="AK103:AK103">IFERROR( AVERAGE(IF(DATOS_[Sexo]=$B103,IF(DATOS_[AGRUP. CLAS. PROF.]=$B102,IF(DATOS_[Check Periodo Ref.]="Dentro",DATOS_[TOTAL SALARIO Ef],0)))), 0)</f>
        <v>0</v>
      </c>
      <c r="AL103" s="212" t="n">
        <f aca="false" t="array" ref="AL103:AL103">IFERROR( AVERAGE((IF(DATOS_[[Sexo]:[Sexo]]=$B103,IF(DATOS_[[AGRUP. CLAS. PROF.]:[AGRUP. CLAS. PROF.]]=$B102,IF(DATOS_[[Check Periodo Ref.]:[Check Periodo Ref.]]="Dentro",DATOS_[C.Extra.01]))))), 0)</f>
        <v>0</v>
      </c>
      <c r="AM103" s="212" t="n">
        <f aca="false" t="array" ref="AM103:AM103">IFERROR( AVERAGE((IF(DATOS_[[Sexo]:[Sexo]]=$B103,IF(DATOS_[[AGRUP. CLAS. PROF.]:[AGRUP. CLAS. PROF.]]=$B102,IF(DATOS_[[Check Periodo Ref.]:[Check Periodo Ref.]]="Dentro",DATOS_[C.Extra.02]))))), 0)</f>
        <v>0</v>
      </c>
      <c r="AN103" s="212" t="n">
        <f aca="false" t="array" ref="AN103:AN103">IFERROR( AVERAGE((IF(DATOS_[[Sexo]:[Sexo]]=$B103,IF(DATOS_[[AGRUP. CLAS. PROF.]:[AGRUP. CLAS. PROF.]]=$B102,IF(DATOS_[[Check Periodo Ref.]:[Check Periodo Ref.]]="Dentro",DATOS_[C.Extra.03]))))), 0)</f>
        <v>0</v>
      </c>
      <c r="AO103" s="212" t="n">
        <f aca="false" t="array" ref="AO103:AO103">IFERROR( AVERAGE((IF(DATOS_[[Sexo]:[Sexo]]=$B103,IF(DATOS_[[AGRUP. CLAS. PROF.]:[AGRUP. CLAS. PROF.]]=$B102,IF(DATOS_[[Check Periodo Ref.]:[Check Periodo Ref.]]="Dentro",DATOS_[C.Extra.04]))))), 0)</f>
        <v>0</v>
      </c>
      <c r="AP103" s="212" t="n">
        <f aca="false" t="array" ref="AP103:AP103">IFERROR( AVERAGE((IF(DATOS_[[Sexo]:[Sexo]]=$B103,IF(DATOS_[[AGRUP. CLAS. PROF.]:[AGRUP. CLAS. PROF.]]=$B102,IF(DATOS_[[Check Periodo Ref.]:[Check Periodo Ref.]]="Dentro",DATOS_[C.Extra.05]))))), 0)</f>
        <v>0</v>
      </c>
      <c r="AQ103" s="213" t="n">
        <f aca="false" t="array" ref="AQ103:AQ103">IFERROR( AVERAGE(IF(DATOS_[Sexo]=$B103,IF(DATOS_[AGRUP. CLAS. PROF.]=$B102,IF(DATOS_[Check Periodo Ref.]="Dentro",DATOS_[Tot Extrasalarial Ef],0)))), 0)</f>
        <v>0</v>
      </c>
      <c r="AR103" s="214" t="n">
        <f aca="false" t="array" ref="AR103:AR103">IFERROR( AVERAGE(IF(DATOS_[Sexo]=$B103,IF(DATOS_[AGRUP. CLAS. PROF.]=$B102,IF(DATOS_[Check Periodo Ref.]="Dentro",DATOS_[TOTAL Retrib Ef],0)))), 0)</f>
        <v>0</v>
      </c>
    </row>
    <row r="104" customFormat="false" ht="14.25" hidden="false" customHeight="false" outlineLevel="0" collapsed="false">
      <c r="A104" s="191" t="str">
        <f aca="false">+A103</f>
        <v>[ocultar]</v>
      </c>
      <c r="B104" s="205" t="s">
        <v>372</v>
      </c>
      <c r="C104" s="206" t="n">
        <f aca="false" t="array" ref="C104:C104">SUM(IF($B104=DATOS_[Sexo], IF($B102=DATOS_[AGRUP. CLAS. PROF.], IF("Dentro"=DATOS_[Check Periodo Ref.], 1/(COUNTIFS(DATOS_[Sexo],$B104,DATOS_[AGRUP. CLAS. PROF.],$B102,DATOS_[Check Periodo Ref.],"Dentro",DATOS_[id],DATOS_[id]))))))</f>
        <v>0</v>
      </c>
      <c r="D104" s="207" t="n">
        <f aca="false">COUNTIFS(DATOS_[AGRUP. CLAS. PROF.],$B102,DATOS_[Sexo],$B104,DATOS_[Check Periodo Ref.],"Dentro")</f>
        <v>0</v>
      </c>
      <c r="E104" s="208" t="n">
        <f aca="false" t="array" ref="E104:E104">IFERROR( AVERAGE(IF(DATOS_[Sexo]=$B104,IF(DATOS_[AGRUP. CLAS. PROF.]=$B102,IF(DATOS_[Check Periodo Ref.]="Dentro",DATOS_[SALARIO BASE Ef],0)))), 0)</f>
        <v>0</v>
      </c>
      <c r="F104" s="209" t="n">
        <f aca="false" t="array" ref="F104:F104">IFERROR( AVERAGE((IF(DATOS_[[Sexo]:[Sexo]]=$B104,IF(DATOS_[[AGRUP. CLAS. PROF.]:[AGRUP. CLAS. PROF.]]=$B102,IF(DATOS_[[Check Periodo Ref.]:[Check Periodo Ref.]]="Dentro",DATOS_[Conc.Sal.01]))))), 0)</f>
        <v>0</v>
      </c>
      <c r="G104" s="209" t="n">
        <f aca="false" t="array" ref="G104:G104">IFERROR( AVERAGE((IF(DATOS_[[Sexo]:[Sexo]]=$B104,IF(DATOS_[[AGRUP. CLAS. PROF.]:[AGRUP. CLAS. PROF.]]=$B102,IF(DATOS_[[Check Periodo Ref.]:[Check Periodo Ref.]]="Dentro",DATOS_[Conc.Sal.02]))))), 0)</f>
        <v>0</v>
      </c>
      <c r="H104" s="209" t="n">
        <f aca="false" t="array" ref="H104:H104">IFERROR( AVERAGE((IF(DATOS_[[Sexo]:[Sexo]]=$B104,IF(DATOS_[[AGRUP. CLAS. PROF.]:[AGRUP. CLAS. PROF.]]=$B102,IF(DATOS_[[Check Periodo Ref.]:[Check Periodo Ref.]]="Dentro",DATOS_[Conc.Sal.03]))))), 0)</f>
        <v>0</v>
      </c>
      <c r="I104" s="209" t="n">
        <f aca="false" t="array" ref="I104:I104">IFERROR( AVERAGE((IF(DATOS_[[Sexo]:[Sexo]]=$B104,IF(DATOS_[[AGRUP. CLAS. PROF.]:[AGRUP. CLAS. PROF.]]=$B102,IF(DATOS_[[Check Periodo Ref.]:[Check Periodo Ref.]]="Dentro",DATOS_[Conc.Sal.04]))))), 0)</f>
        <v>0</v>
      </c>
      <c r="J104" s="209" t="n">
        <f aca="false" t="array" ref="J104:J104">IFERROR( AVERAGE((IF(DATOS_[[Sexo]:[Sexo]]=$B104,IF(DATOS_[[AGRUP. CLAS. PROF.]:[AGRUP. CLAS. PROF.]]=$B102,IF(DATOS_[[Check Periodo Ref.]:[Check Periodo Ref.]]="Dentro",DATOS_[Conc.Sal.05]))))), 0)</f>
        <v>0</v>
      </c>
      <c r="K104" s="209" t="n">
        <f aca="false" t="array" ref="K104:K104">IFERROR( AVERAGE((IF(DATOS_[[Sexo]:[Sexo]]=$B104,IF(DATOS_[[AGRUP. CLAS. PROF.]:[AGRUP. CLAS. PROF.]]=$B102,IF(DATOS_[[Check Periodo Ref.]:[Check Periodo Ref.]]="Dentro",DATOS_[Conc.Sal.06]))))), 0)</f>
        <v>0</v>
      </c>
      <c r="L104" s="209" t="n">
        <f aca="false" t="array" ref="L104:L104">IFERROR( AVERAGE((IF(DATOS_[[Sexo]:[Sexo]]=$B104,IF(DATOS_[[AGRUP. CLAS. PROF.]:[AGRUP. CLAS. PROF.]]=$B102,IF(DATOS_[[Check Periodo Ref.]:[Check Periodo Ref.]]="Dentro",DATOS_[Conc.Sal.07]))))), 0)</f>
        <v>0</v>
      </c>
      <c r="M104" s="209" t="n">
        <f aca="false" t="array" ref="M104:M104">IFERROR( AVERAGE((IF(DATOS_[[Sexo]:[Sexo]]=$B104,IF(DATOS_[[AGRUP. CLAS. PROF.]:[AGRUP. CLAS. PROF.]]=$B102,IF(DATOS_[[Check Periodo Ref.]:[Check Periodo Ref.]]="Dentro",DATOS_[Conc.Sal.08]))))), 0)</f>
        <v>0</v>
      </c>
      <c r="N104" s="209" t="n">
        <f aca="false" t="array" ref="N104:N104">IFERROR( AVERAGE((IF(DATOS_[[Sexo]:[Sexo]]=$B104,IF(DATOS_[[AGRUP. CLAS. PROF.]:[AGRUP. CLAS. PROF.]]=$B102,IF(DATOS_[[Check Periodo Ref.]:[Check Periodo Ref.]]="Dentro",DATOS_[Conc.Sal.09]))))), 0)</f>
        <v>0</v>
      </c>
      <c r="O104" s="209" t="n">
        <f aca="false" t="array" ref="O104:O104">IFERROR( AVERAGE((IF(DATOS_[[Sexo]:[Sexo]]=$B104,IF(DATOS_[[AGRUP. CLAS. PROF.]:[AGRUP. CLAS. PROF.]]=$B102,IF(DATOS_[[Check Periodo Ref.]:[Check Periodo Ref.]]="Dentro",DATOS_[Conc.Sal.10]))))), 0)</f>
        <v>0</v>
      </c>
      <c r="P104" s="209" t="n">
        <f aca="false" t="array" ref="P104:P104">IFERROR( AVERAGE((IF(DATOS_[[Sexo]:[Sexo]]=$B104,IF(DATOS_[[AGRUP. CLAS. PROF.]:[AGRUP. CLAS. PROF.]]=$B102,IF(DATOS_[[Check Periodo Ref.]:[Check Periodo Ref.]]="Dentro",DATOS_[Conc.Sal.11]))))), 0)</f>
        <v>0</v>
      </c>
      <c r="Q104" s="209" t="n">
        <f aca="false" t="array" ref="Q104:Q104">IFERROR( AVERAGE((IF(DATOS_[[Sexo]:[Sexo]]=$B104,IF(DATOS_[[AGRUP. CLAS. PROF.]:[AGRUP. CLAS. PROF.]]=$B102,IF(DATOS_[[Check Periodo Ref.]:[Check Periodo Ref.]]="Dentro",DATOS_[Conc.Sal.12]))))), 0)</f>
        <v>0</v>
      </c>
      <c r="R104" s="209" t="n">
        <f aca="false" t="array" ref="R104:R104">IFERROR( AVERAGE((IF(DATOS_[[Sexo]:[Sexo]]=$B104,IF(DATOS_[[AGRUP. CLAS. PROF.]:[AGRUP. CLAS. PROF.]]=$B102,IF(DATOS_[[Check Periodo Ref.]:[Check Periodo Ref.]]="Dentro",DATOS_[Conc.Sal.13]))))), 0)</f>
        <v>0</v>
      </c>
      <c r="S104" s="209" t="n">
        <f aca="false" t="array" ref="S104:S104">IFERROR( AVERAGE((IF(DATOS_[[Sexo]:[Sexo]]=$B104,IF(DATOS_[[AGRUP. CLAS. PROF.]:[AGRUP. CLAS. PROF.]]=$B102,IF(DATOS_[[Check Periodo Ref.]:[Check Periodo Ref.]]="Dentro",DATOS_[Conc.Sal.14]))))), 0)</f>
        <v>0</v>
      </c>
      <c r="T104" s="209" t="n">
        <f aca="false" t="array" ref="T104:T104">IFERROR( AVERAGE((IF(DATOS_[[Sexo]:[Sexo]]=$B104,IF(DATOS_[[AGRUP. CLAS. PROF.]:[AGRUP. CLAS. PROF.]]=$B102,IF(DATOS_[[Check Periodo Ref.]:[Check Periodo Ref.]]="Dentro",DATOS_[Conc.Sal.15]))))), 0)</f>
        <v>0</v>
      </c>
      <c r="U104" s="209" t="n">
        <f aca="false" t="array" ref="U104:U104">IFERROR( AVERAGE((IF(DATOS_[[Sexo]:[Sexo]]=$B104,IF(DATOS_[[AGRUP. CLAS. PROF.]:[AGRUP. CLAS. PROF.]]=$B102,IF(DATOS_[[Check Periodo Ref.]:[Check Periodo Ref.]]="Dentro",DATOS_[Conc.Sal.16]))))), 0)</f>
        <v>0</v>
      </c>
      <c r="V104" s="209" t="n">
        <f aca="false" t="array" ref="V104:V104">IFERROR( AVERAGE((IF(DATOS_[[Sexo]:[Sexo]]=$B104,IF(DATOS_[[AGRUP. CLAS. PROF.]:[AGRUP. CLAS. PROF.]]=$B102,IF(DATOS_[[Check Periodo Ref.]:[Check Periodo Ref.]]="Dentro",DATOS_[Conc.Sal.17]))))), 0)</f>
        <v>0</v>
      </c>
      <c r="W104" s="209" t="n">
        <f aca="false" t="array" ref="W104:W104">IFERROR( AVERAGE((IF(DATOS_[[Sexo]:[Sexo]]=$B104,IF(DATOS_[[AGRUP. CLAS. PROF.]:[AGRUP. CLAS. PROF.]]=$B102,IF(DATOS_[[Check Periodo Ref.]:[Check Periodo Ref.]]="Dentro",DATOS_[Conc.Sal.18]))))), 0)</f>
        <v>0</v>
      </c>
      <c r="X104" s="209" t="n">
        <f aca="false" t="array" ref="X104:X104">IFERROR( AVERAGE((IF(DATOS_[[Sexo]:[Sexo]]=$B104,IF(DATOS_[[AGRUP. CLAS. PROF.]:[AGRUP. CLAS. PROF.]]=$B102,IF(DATOS_[[Check Periodo Ref.]:[Check Periodo Ref.]]="Dentro",DATOS_[Conc.Sal.19]))))), 0)</f>
        <v>0</v>
      </c>
      <c r="Y104" s="209" t="n">
        <f aca="false" t="array" ref="Y104:Y104">IFERROR( AVERAGE((IF(DATOS_[[Sexo]:[Sexo]]=$B104,IF(DATOS_[[AGRUP. CLAS. PROF.]:[AGRUP. CLAS. PROF.]]=$B102,IF(DATOS_[[Check Periodo Ref.]:[Check Periodo Ref.]]="Dentro",DATOS_[Conc.Sal.20]))))), 0)</f>
        <v>0</v>
      </c>
      <c r="Z104" s="209" t="n">
        <f aca="false" t="array" ref="Z104:Z104">IFERROR( AVERAGE((IF(DATOS_[[Sexo]:[Sexo]]=$B104,IF(DATOS_[[AGRUP. CLAS. PROF.]:[AGRUP. CLAS. PROF.]]=$B102,IF(DATOS_[[Check Periodo Ref.]:[Check Periodo Ref.]]="Dentro",DATOS_[Conc.Sal.21]))))), 0)</f>
        <v>0</v>
      </c>
      <c r="AA104" s="209" t="n">
        <f aca="false" t="array" ref="AA104:AA104">IFERROR( AVERAGE((IF(DATOS_[[Sexo]:[Sexo]]=$B104,IF(DATOS_[[AGRUP. CLAS. PROF.]:[AGRUP. CLAS. PROF.]]=$B102,IF(DATOS_[[Check Periodo Ref.]:[Check Periodo Ref.]]="Dentro",DATOS_[Conc.Sal.22]))))), 0)</f>
        <v>0</v>
      </c>
      <c r="AB104" s="209" t="n">
        <f aca="false" t="array" ref="AB104:AB104">IFERROR( AVERAGE((IF(DATOS_[[Sexo]:[Sexo]]=$B104,IF(DATOS_[[AGRUP. CLAS. PROF.]:[AGRUP. CLAS. PROF.]]=$B102,IF(DATOS_[[Check Periodo Ref.]:[Check Periodo Ref.]]="Dentro",DATOS_[Conc.Sal.23]))))), 0)</f>
        <v>0</v>
      </c>
      <c r="AC104" s="209" t="n">
        <f aca="false" t="array" ref="AC104:AC104">IFERROR( AVERAGE((IF(DATOS_[[Sexo]:[Sexo]]=$B104,IF(DATOS_[[AGRUP. CLAS. PROF.]:[AGRUP. CLAS. PROF.]]=$B102,IF(DATOS_[[Check Periodo Ref.]:[Check Periodo Ref.]]="Dentro",DATOS_[Conc.Sal.24]))))), 0)</f>
        <v>0</v>
      </c>
      <c r="AD104" s="209" t="n">
        <f aca="false" t="array" ref="AD104:AD104">IFERROR( AVERAGE((IF(DATOS_[[Sexo]:[Sexo]]=$B104,IF(DATOS_[[AGRUP. CLAS. PROF.]:[AGRUP. CLAS. PROF.]]=$B102,IF(DATOS_[[Check Periodo Ref.]:[Check Periodo Ref.]]="Dentro",DATOS_[Conc.Sal.25]))))), 0)</f>
        <v>0</v>
      </c>
      <c r="AE104" s="209" t="n">
        <f aca="false" t="array" ref="AE104:AE104">IFERROR( AVERAGE((IF(DATOS_[[Sexo]:[Sexo]]=$B104,IF(DATOS_[[AGRUP. CLAS. PROF.]:[AGRUP. CLAS. PROF.]]=$B102,IF(DATOS_[[Check Periodo Ref.]:[Check Periodo Ref.]]="Dentro",DATOS_[Conc.Sal.26]))))), 0)</f>
        <v>0</v>
      </c>
      <c r="AF104" s="209" t="n">
        <f aca="false" t="array" ref="AF104:AF104">IFERROR( AVERAGE((IF(DATOS_[[Sexo]:[Sexo]]=$B104,IF(DATOS_[[AGRUP. CLAS. PROF.]:[AGRUP. CLAS. PROF.]]=$B102,IF(DATOS_[[Check Periodo Ref.]:[Check Periodo Ref.]]="Dentro",DATOS_[Conc.Sal.27]))))), 0)</f>
        <v>0</v>
      </c>
      <c r="AG104" s="209" t="n">
        <f aca="false" t="array" ref="AG104:AG104">IFERROR( AVERAGE((IF(DATOS_[[Sexo]:[Sexo]]=$B104,IF(DATOS_[[AGRUP. CLAS. PROF.]:[AGRUP. CLAS. PROF.]]=$B102,IF(DATOS_[[Check Periodo Ref.]:[Check Periodo Ref.]]="Dentro",DATOS_[Conc.Sal.28]))))), 0)</f>
        <v>0</v>
      </c>
      <c r="AH104" s="209" t="n">
        <f aca="false" t="array" ref="AH104:AH104">IFERROR( AVERAGE((IF(DATOS_[[Sexo]:[Sexo]]=$B104,IF(DATOS_[[AGRUP. CLAS. PROF.]:[AGRUP. CLAS. PROF.]]=$B102,IF(DATOS_[[Check Periodo Ref.]:[Check Periodo Ref.]]="Dentro",DATOS_[Conc.Sal.29]))))), 0)</f>
        <v>0</v>
      </c>
      <c r="AI104" s="209" t="n">
        <f aca="false" t="array" ref="AI104:AI104">IFERROR( AVERAGE((IF(DATOS_[[Sexo]:[Sexo]]=$B104,IF(DATOS_[[AGRUP. CLAS. PROF.]:[AGRUP. CLAS. PROF.]]=$B102,IF(DATOS_[[Check Periodo Ref.]:[Check Periodo Ref.]]="Dentro",DATOS_[Conc.Sal.30]))))), 0)</f>
        <v>0</v>
      </c>
      <c r="AJ104" s="210" t="n">
        <f aca="false" t="array" ref="AJ104:AJ104">IFERROR( AVERAGE(IF(DATOS_[Sexo]=$B104,IF(DATOS_[AGRUP. CLAS. PROF.]=$B102,IF(DATOS_[Check Periodo Ref.]="Dentro",DATOS_[Tot COMPL.SAL Ef],0)))), 0)</f>
        <v>0</v>
      </c>
      <c r="AK104" s="211" t="n">
        <f aca="false" t="array" ref="AK104:AK104">IFERROR( AVERAGE(IF(DATOS_[Sexo]=$B104,IF(DATOS_[AGRUP. CLAS. PROF.]=$B102,IF(DATOS_[Check Periodo Ref.]="Dentro",DATOS_[TOTAL SALARIO Ef],0)))), 0)</f>
        <v>0</v>
      </c>
      <c r="AL104" s="212" t="n">
        <f aca="false" t="array" ref="AL104:AL104">IFERROR( AVERAGE((IF(DATOS_[[Sexo]:[Sexo]]=$B104,IF(DATOS_[[AGRUP. CLAS. PROF.]:[AGRUP. CLAS. PROF.]]=$B102,IF(DATOS_[[Check Periodo Ref.]:[Check Periodo Ref.]]="Dentro",DATOS_[C.Extra.01]))))), 0)</f>
        <v>0</v>
      </c>
      <c r="AM104" s="212" t="n">
        <f aca="false" t="array" ref="AM104:AM104">IFERROR( AVERAGE((IF(DATOS_[[Sexo]:[Sexo]]=$B104,IF(DATOS_[[AGRUP. CLAS. PROF.]:[AGRUP. CLAS. PROF.]]=$B102,IF(DATOS_[[Check Periodo Ref.]:[Check Periodo Ref.]]="Dentro",DATOS_[C.Extra.02]))))), 0)</f>
        <v>0</v>
      </c>
      <c r="AN104" s="212" t="n">
        <f aca="false" t="array" ref="AN104:AN104">IFERROR( AVERAGE((IF(DATOS_[[Sexo]:[Sexo]]=$B104,IF(DATOS_[[AGRUP. CLAS. PROF.]:[AGRUP. CLAS. PROF.]]=$B102,IF(DATOS_[[Check Periodo Ref.]:[Check Periodo Ref.]]="Dentro",DATOS_[C.Extra.03]))))), 0)</f>
        <v>0</v>
      </c>
      <c r="AO104" s="212" t="n">
        <f aca="false" t="array" ref="AO104:AO104">IFERROR( AVERAGE((IF(DATOS_[[Sexo]:[Sexo]]=$B104,IF(DATOS_[[AGRUP. CLAS. PROF.]:[AGRUP. CLAS. PROF.]]=$B102,IF(DATOS_[[Check Periodo Ref.]:[Check Periodo Ref.]]="Dentro",DATOS_[C.Extra.04]))))), 0)</f>
        <v>0</v>
      </c>
      <c r="AP104" s="212" t="n">
        <f aca="false" t="array" ref="AP104:AP104">IFERROR( AVERAGE((IF(DATOS_[[Sexo]:[Sexo]]=$B104,IF(DATOS_[[AGRUP. CLAS. PROF.]:[AGRUP. CLAS. PROF.]]=$B102,IF(DATOS_[[Check Periodo Ref.]:[Check Periodo Ref.]]="Dentro",DATOS_[C.Extra.05]))))), 0)</f>
        <v>0</v>
      </c>
      <c r="AQ104" s="213" t="n">
        <f aca="false" t="array" ref="AQ104:AQ104">IFERROR( AVERAGE(IF(DATOS_[Sexo]=$B104,IF(DATOS_[AGRUP. CLAS. PROF.]=$B102,IF(DATOS_[Check Periodo Ref.]="Dentro",DATOS_[Tot Extrasalarial Ef],0)))), 0)</f>
        <v>0</v>
      </c>
      <c r="AR104" s="214" t="n">
        <f aca="false" t="array" ref="AR104:AR104">IFERROR( AVERAGE(IF(DATOS_[Sexo]=$B104,IF(DATOS_[AGRUP. CLAS. PROF.]=$B102,IF(DATOS_[Check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217" width="8.87"/>
    <col collapsed="false" customWidth="false" hidden="false" outlineLevel="0" max="4" min="3" style="217" width="7.26"/>
    <col collapsed="false" customWidth="true" hidden="false" outlineLevel="0" max="5" min="5" style="217" width="10.35"/>
    <col collapsed="false" customWidth="false" hidden="false" outlineLevel="0" max="14" min="6" style="217" width="7.26"/>
    <col collapsed="false" customWidth="false" hidden="true" outlineLevel="0" max="15" min="15" style="217" width="7.26"/>
    <col collapsed="false" customWidth="false" hidden="true" outlineLevel="1" max="35" min="16" style="217" width="7.26"/>
    <col collapsed="false" customWidth="true" hidden="false" outlineLevel="0" max="37" min="36" style="217" width="8.87"/>
    <col collapsed="false" customWidth="false" hidden="false" outlineLevel="0" max="38" min="38" style="217" width="7.26"/>
    <col collapsed="false" customWidth="false" hidden="true" outlineLevel="0" max="42" min="39" style="217" width="7.26"/>
    <col collapsed="false" customWidth="true" hidden="false" outlineLevel="0" max="44" min="43" style="217" width="8.87"/>
    <col collapsed="false" customWidth="false" hidden="false" outlineLevel="0" max="1024" min="45" style="217" width="7.26"/>
  </cols>
  <sheetData>
    <row r="1" s="166" customFormat="true" ht="42.6" hidden="false" customHeight="true" outlineLevel="0" collapsed="false">
      <c r="E1" s="167" t="s">
        <v>367</v>
      </c>
    </row>
    <row r="2" customFormat="false" ht="13.9" hidden="false" customHeight="true" outlineLevel="0" collapsed="false">
      <c r="G2" s="217" t="str">
        <f aca="false">+IF(G8="[ocultar]",G8,"")</f>
        <v>[ocultar]</v>
      </c>
      <c r="H2" s="217" t="str">
        <f aca="false">+IF(H8="[ocultar]",H8,"")</f>
        <v>[ocultar]</v>
      </c>
      <c r="I2" s="217" t="str">
        <f aca="false">+IF(I8="[ocultar]",I8,"")</f>
        <v>[ocultar]</v>
      </c>
      <c r="J2" s="217" t="str">
        <f aca="false">+IF(J8="[ocultar]",J8,"")</f>
        <v>[ocultar]</v>
      </c>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
      </c>
      <c r="AK2" s="217" t="str">
        <f aca="false">+IF(AK8="[ocultar]",AK8,"")</f>
        <v/>
      </c>
      <c r="AL2" s="217" t="str">
        <f aca="false">+IF(AL8="[ocultar]",AL8,"")</f>
        <v>[ocultar]</v>
      </c>
      <c r="AM2" s="217" t="str">
        <f aca="false">+IF(AM8="[ocultar]",AM8,"")</f>
        <v>[ocultar]</v>
      </c>
      <c r="AN2" s="217" t="str">
        <f aca="false">+IF(AN8="[ocultar]",AN8,"")</f>
        <v>[ocultar]</v>
      </c>
      <c r="AO2" s="217" t="str">
        <f aca="false">+IF(AO8="[ocultar]",AO8,"")</f>
        <v>[ocultar]</v>
      </c>
      <c r="AP2" s="217" t="str">
        <f aca="false">+IF(AP8="[ocultar]",AP8,"")</f>
        <v>[ocultar]</v>
      </c>
    </row>
    <row r="3" customFormat="false" ht="13.9" hidden="false" customHeight="true" outlineLevel="0" collapsed="false">
      <c r="E3" s="218" t="str">
        <f aca="false">+"Razón Social: "&amp;Inicio!C6&amp;"  -  NIF: "&amp;Inicio!C8</f>
        <v>Razón Social:   -  NIF:</v>
      </c>
      <c r="F3" s="219"/>
    </row>
    <row r="4" customFormat="false" ht="13.9" hidden="false" customHeight="true" outlineLevel="0" collapsed="false">
      <c r="E4" s="220" t="s">
        <v>2</v>
      </c>
      <c r="F4" s="221"/>
    </row>
    <row r="5" customFormat="false" ht="13.9" hidden="false" customHeight="true" outlineLevel="0" collapsed="false">
      <c r="E5" s="222" t="n">
        <f aca="false">+Inicio!E10</f>
        <v>0</v>
      </c>
      <c r="F5" s="223" t="str">
        <f aca="false">+Inicio!D10</f>
        <v>fecha inicio</v>
      </c>
    </row>
    <row r="6" customFormat="false" ht="13.9" hidden="false" customHeight="true" outlineLevel="0" collapsed="false">
      <c r="E6" s="222" t="n">
        <f aca="false">+Inicio!G10</f>
        <v>0</v>
      </c>
      <c r="F6" s="224" t="s">
        <v>4</v>
      </c>
    </row>
    <row r="7" s="179" customFormat="true" ht="13.9" hidden="false" customHeight="true" outlineLevel="0" collapsed="false"/>
    <row r="8" s="225" customFormat="true" ht="46.15" hidden="false" customHeight="true" outlineLevel="0" collapsed="false">
      <c r="B8" s="226"/>
      <c r="C8" s="226" t="s">
        <v>368</v>
      </c>
      <c r="D8" s="226" t="s">
        <v>369</v>
      </c>
      <c r="E8" s="227" t="s">
        <v>148</v>
      </c>
      <c r="F8" s="228" t="str">
        <f aca="false">+IF(DATOS!AE6="","[ocultar]",DATOS!AE6)</f>
        <v>[ocultar]</v>
      </c>
      <c r="G8" s="228" t="str">
        <f aca="false">+IF(DATOS!AF6="","[ocultar]",DATOS!AF6)</f>
        <v>[ocultar]</v>
      </c>
      <c r="H8" s="228" t="str">
        <f aca="false">+IF(DATOS!AG6="","[ocultar]",DATOS!AG6)</f>
        <v>[ocultar]</v>
      </c>
      <c r="I8" s="228" t="str">
        <f aca="false">+IF(DATOS!AH6="","[ocultar]",DATOS!AH6)</f>
        <v>[ocultar]</v>
      </c>
      <c r="J8" s="228" t="str">
        <f aca="false">+IF(DATOS!AI6="","[ocultar]",DATOS!AI6)</f>
        <v>[ocultar]</v>
      </c>
      <c r="K8" s="228" t="str">
        <f aca="false">+IF(DATOS!AJ6="","[ocultar]",DATOS!AJ6)</f>
        <v>[ocultar]</v>
      </c>
      <c r="L8" s="228" t="str">
        <f aca="false">+IF(DATOS!AK6="","[ocultar]",DATOS!AK6)</f>
        <v>[ocultar]</v>
      </c>
      <c r="M8" s="228" t="str">
        <f aca="false">+IF(DATOS!AL6="","[ocultar]",DATOS!AL6)</f>
        <v>[ocultar]</v>
      </c>
      <c r="N8" s="228" t="str">
        <f aca="false">+IF(DATOS!AM6="","[ocultar]",DATOS!AM6)</f>
        <v>[ocultar]</v>
      </c>
      <c r="O8" s="228" t="str">
        <f aca="false">+IF(DATOS!AN6="","[ocultar]",DATOS!AN6)</f>
        <v>[ocultar]</v>
      </c>
      <c r="P8" s="228" t="str">
        <f aca="false">+IF(DATOS!AO6="","[ocultar]",DATOS!AO6)</f>
        <v>[ocultar]</v>
      </c>
      <c r="Q8" s="228" t="str">
        <f aca="false">+IF(DATOS!AP6="","[ocultar]",DATOS!AP6)</f>
        <v>[ocultar]</v>
      </c>
      <c r="R8" s="228" t="str">
        <f aca="false">+IF(DATOS!AQ6="","[ocultar]",DATOS!AQ6)</f>
        <v>[ocultar]</v>
      </c>
      <c r="S8" s="228" t="str">
        <f aca="false">+IF(DATOS!AR6="","[ocultar]",DATOS!AR6)</f>
        <v>[ocultar]</v>
      </c>
      <c r="T8" s="228" t="str">
        <f aca="false">+IF(DATOS!AS6="","[ocultar]",DATOS!AS6)</f>
        <v>[ocultar]</v>
      </c>
      <c r="U8" s="228" t="str">
        <f aca="false">+IF(DATOS!AT6="","[ocultar]",DATOS!AT6)</f>
        <v>[ocultar]</v>
      </c>
      <c r="V8" s="228" t="str">
        <f aca="false">+IF(DATOS!AU6="","[ocultar]",DATOS!AU6)</f>
        <v>[ocultar]</v>
      </c>
      <c r="W8" s="228" t="str">
        <f aca="false">+IF(DATOS!AV6="","[ocultar]",DATOS!AV6)</f>
        <v>[ocultar]</v>
      </c>
      <c r="X8" s="228" t="str">
        <f aca="false">+IF(DATOS!AW6="","[ocultar]",DATOS!AW6)</f>
        <v>[ocultar]</v>
      </c>
      <c r="Y8" s="228" t="str">
        <f aca="false">+IF(DATOS!AX6="","[ocultar]",DATOS!AX6)</f>
        <v>[ocultar]</v>
      </c>
      <c r="Z8" s="228" t="str">
        <f aca="false">+IF(DATOS!AY6="","[ocultar]",DATOS!AY6)</f>
        <v>[ocultar]</v>
      </c>
      <c r="AA8" s="228" t="str">
        <f aca="false">+IF(DATOS!AZ6="","[ocultar]",DATOS!AZ6)</f>
        <v>[ocultar]</v>
      </c>
      <c r="AB8" s="228" t="str">
        <f aca="false">+IF(DATOS!BA6="","[ocultar]",DATOS!BA6)</f>
        <v>[ocultar]</v>
      </c>
      <c r="AC8" s="228" t="str">
        <f aca="false">+IF(DATOS!BB6="","[ocultar]",DATOS!BB6)</f>
        <v>[ocultar]</v>
      </c>
      <c r="AD8" s="228" t="str">
        <f aca="false">+IF(DATOS!BC6="","[ocultar]",DATOS!BC6)</f>
        <v>[ocultar]</v>
      </c>
      <c r="AE8" s="228" t="str">
        <f aca="false">+IF(DATOS!BD6="","[ocultar]",DATOS!BD6)</f>
        <v>[ocultar]</v>
      </c>
      <c r="AF8" s="228" t="str">
        <f aca="false">+IF(DATOS!BE6="","[ocultar]",DATOS!BE6)</f>
        <v>[ocultar]</v>
      </c>
      <c r="AG8" s="228" t="str">
        <f aca="false">+IF(DATOS!BF6="","[ocultar]",DATOS!BF6)</f>
        <v>[ocultar]</v>
      </c>
      <c r="AH8" s="228" t="str">
        <f aca="false">+IF(DATOS!BG6="","[ocultar]",DATOS!BG6)</f>
        <v>[ocultar]</v>
      </c>
      <c r="AI8" s="228" t="str">
        <f aca="false">+IF(DATOS!BH6="","[ocultar]",DATOS!BH6)</f>
        <v>[ocultar]</v>
      </c>
      <c r="AJ8" s="229" t="s">
        <v>150</v>
      </c>
      <c r="AK8" s="230" t="s">
        <v>152</v>
      </c>
      <c r="AL8" s="231" t="str">
        <f aca="false">+IF(DATOS!BI6="","[ocultar]",DATOS!BI6)</f>
        <v>[ocultar]</v>
      </c>
      <c r="AM8" s="231" t="str">
        <f aca="false">+IF(DATOS!BJ6="","[ocultar]",DATOS!BJ6)</f>
        <v>[ocultar]</v>
      </c>
      <c r="AN8" s="231" t="str">
        <f aca="false">+IF(DATOS!BK6="","[ocultar]",DATOS!BK6)</f>
        <v>[ocultar]</v>
      </c>
      <c r="AO8" s="231" t="str">
        <f aca="false">+IF(DATOS!BL6="","[ocultar]",DATOS!BL6)</f>
        <v>[ocultar]</v>
      </c>
      <c r="AP8" s="231" t="str">
        <f aca="false">+IF(DATOS!BM6="","[ocultar]",DATOS!BM6)</f>
        <v>[ocultar]</v>
      </c>
      <c r="AQ8" s="232" t="s">
        <v>154</v>
      </c>
      <c r="AR8" s="233" t="s">
        <v>156</v>
      </c>
    </row>
    <row r="9" s="234" customFormat="true" ht="15.75" hidden="false" customHeight="false" outlineLevel="0" collapsed="false">
      <c r="B9" s="235" t="s">
        <v>370</v>
      </c>
      <c r="C9" s="236"/>
      <c r="D9" s="237"/>
      <c r="E9" s="238" t="str">
        <f aca="false">IFERROR((E10-E11)/E10,"")</f>
        <v/>
      </c>
      <c r="F9" s="239" t="str">
        <f aca="false">IFERROR((F10-F11)/F10,"")</f>
        <v/>
      </c>
      <c r="G9" s="239" t="str">
        <f aca="false">IFERROR((G10-G11)/G10,"")</f>
        <v/>
      </c>
      <c r="H9" s="239" t="str">
        <f aca="false">IFERROR((H10-H11)/H10,"")</f>
        <v/>
      </c>
      <c r="I9" s="239" t="str">
        <f aca="false">IFERROR((I10-I11)/I10,"")</f>
        <v/>
      </c>
      <c r="J9" s="239" t="str">
        <f aca="false">IFERROR((J10-J11)/J10,"")</f>
        <v/>
      </c>
      <c r="K9" s="239" t="str">
        <f aca="false">IFERROR((K10-K11)/K10,"")</f>
        <v/>
      </c>
      <c r="L9" s="239" t="str">
        <f aca="false">IFERROR((L10-L11)/L10,"")</f>
        <v/>
      </c>
      <c r="M9" s="239" t="str">
        <f aca="false">IFERROR((M10-M11)/M10,"")</f>
        <v/>
      </c>
      <c r="N9" s="239"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40" t="str">
        <f aca="false">IFERROR((V10-V11)/V10,"")</f>
        <v/>
      </c>
      <c r="W9" s="240" t="str">
        <f aca="false">IFERROR((W10-W11)/W10,"")</f>
        <v/>
      </c>
      <c r="X9" s="240" t="str">
        <f aca="false">IFERROR((X10-X11)/X10,"")</f>
        <v/>
      </c>
      <c r="Y9" s="240"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1" t="str">
        <f aca="false">IFERROR((AJ10-AJ11)/AJ10,"")</f>
        <v/>
      </c>
      <c r="AK9" s="242" t="str">
        <f aca="false">IFERROR((AK10-AK11)/AK10,"")</f>
        <v/>
      </c>
      <c r="AL9" s="243" t="str">
        <f aca="false">IFERROR((AL10-AL11)/AL10,"")</f>
        <v/>
      </c>
      <c r="AM9" s="243" t="str">
        <f aca="false">IFERROR((AM10-AM11)/AM10,"")</f>
        <v/>
      </c>
      <c r="AN9" s="243" t="str">
        <f aca="false">IFERROR((AN10-AN11)/AN10,"")</f>
        <v/>
      </c>
      <c r="AO9" s="243" t="str">
        <f aca="false">IFERROR((AO10-AO11)/AO10,"")</f>
        <v/>
      </c>
      <c r="AP9" s="243" t="str">
        <f aca="false">IFERROR((AP10-AP11)/AP10,"")</f>
        <v/>
      </c>
      <c r="AQ9" s="244" t="str">
        <f aca="false">IFERROR((AQ10-AQ11)/AQ10,"")</f>
        <v/>
      </c>
      <c r="AR9" s="245" t="str">
        <f aca="false">IFERROR((AR10-AR11)/AR10,"")</f>
        <v/>
      </c>
    </row>
    <row r="10" s="234" customFormat="true" ht="14.25" hidden="false" customHeight="false" outlineLevel="0" collapsed="false">
      <c r="B10" s="246" t="s">
        <v>371</v>
      </c>
      <c r="C10" s="247" t="n">
        <f aca="false" t="array" ref="C10:C10">SUM(IF($B10=DATOS_[Sexo], IF("Dentro"=DATOS_[Check Periodo Ref.], 1/(COUNTIFS(DATOS_[Sexo],$B10,DATOS_[Check Periodo Ref.],"Dentro",DATOS_[id],DATOS_[id])))))</f>
        <v>0</v>
      </c>
      <c r="D10" s="248" t="n">
        <f aca="false">COUNTIFS(DATOS_[AGRUP. CLAS. PROF.],"&lt;&gt;",DATOS_[Sexo],$B10,DATOS_[Check Periodo Ref.],"Dentro")</f>
        <v>0</v>
      </c>
      <c r="E10" s="249" t="n">
        <f aca="false" t="array" ref="E10:E10">IFERROR( MEDIAN(IF(DATOS_[Sexo]=$B10,IF(DATOS_[Check Periodo Ref.]="Dentro",DATOS_[SALARIO BASE Ef],0))), 0)</f>
        <v>0</v>
      </c>
      <c r="F10" s="250" t="n">
        <f aca="false" t="array" ref="F10:F10">IFERROR( (MEDIAN((IF(DATOS_[[Sexo]:[Sexo]]=$B10,IF(DATOS_[[Check Periodo Ref.]:[Check Periodo Ref.]]="Dentro",DATOS_[Conc.Sal.01]))))), 0)</f>
        <v>0</v>
      </c>
      <c r="G10" s="250" t="n">
        <f aca="false" t="array" ref="G10:G10">IFERROR( (MEDIAN((IF(DATOS_[[Sexo]:[Sexo]]=$B10,IF(DATOS_[[Check Periodo Ref.]:[Check Periodo Ref.]]="Dentro",DATOS_[Conc.Sal.02]))))), 0)</f>
        <v>0</v>
      </c>
      <c r="H10" s="250" t="n">
        <f aca="false" t="array" ref="H10:H10">IFERROR( (MEDIAN((IF(DATOS_[[Sexo]:[Sexo]]=$B10,IF(DATOS_[[Check Periodo Ref.]:[Check Periodo Ref.]]="Dentro",DATOS_[Conc.Sal.03]))))), 0)</f>
        <v>0</v>
      </c>
      <c r="I10" s="250" t="n">
        <f aca="false" t="array" ref="I10:I10">IFERROR( (MEDIAN((IF(DATOS_[[Sexo]:[Sexo]]=$B10,IF(DATOS_[[Check Periodo Ref.]:[Check Periodo Ref.]]="Dentro",DATOS_[Conc.Sal.04]))))), 0)</f>
        <v>0</v>
      </c>
      <c r="J10" s="250" t="n">
        <f aca="false" t="array" ref="J10:J10">IFERROR( (MEDIAN((IF(DATOS_[[Sexo]:[Sexo]]=$B10,IF(DATOS_[[Check Periodo Ref.]:[Check Periodo Ref.]]="Dentro",DATOS_[Conc.Sal.05]))))), 0)</f>
        <v>0</v>
      </c>
      <c r="K10" s="250" t="n">
        <f aca="false" t="array" ref="K10:K10">IFERROR( (MEDIAN((IF(DATOS_[[Sexo]:[Sexo]]=$B10,IF(DATOS_[[Check Periodo Ref.]:[Check Periodo Ref.]]="Dentro",DATOS_[Conc.Sal.06]))))), 0)</f>
        <v>0</v>
      </c>
      <c r="L10" s="250" t="n">
        <f aca="false" t="array" ref="L10:L10">IFERROR( (MEDIAN((IF(DATOS_[[Sexo]:[Sexo]]=$B10,IF(DATOS_[[Check Periodo Ref.]:[Check Periodo Ref.]]="Dentro",DATOS_[Conc.Sal.07]))))), 0)</f>
        <v>0</v>
      </c>
      <c r="M10" s="250" t="n">
        <f aca="false" t="array" ref="M10:M10">IFERROR( (MEDIAN((IF(DATOS_[[Sexo]:[Sexo]]=$B10,IF(DATOS_[[Check Periodo Ref.]:[Check Periodo Ref.]]="Dentro",DATOS_[Conc.Sal.08]))))), 0)</f>
        <v>0</v>
      </c>
      <c r="N10" s="250" t="n">
        <f aca="false" t="array" ref="N10:N10">IFERROR( (MEDIAN((IF(DATOS_[[Sexo]:[Sexo]]=$B10,IF(DATOS_[[Check Periodo Ref.]:[Check Periodo Ref.]]="Dentro",DATOS_[Conc.Sal.09]))))), 0)</f>
        <v>0</v>
      </c>
      <c r="O10" s="250" t="n">
        <f aca="false" t="array" ref="O10:O10">IFERROR( (MEDIAN((IF(DATOS_[[Sexo]:[Sexo]]=$B10,IF(DATOS_[[Check Periodo Ref.]:[Check Periodo Ref.]]="Dentro",DATOS_[Conc.Sal.10]))))), 0)</f>
        <v>0</v>
      </c>
      <c r="P10" s="250" t="n">
        <f aca="false" t="array" ref="P10:P10">IFERROR( (MEDIAN((IF(DATOS_[[Sexo]:[Sexo]]=$B10,IF(DATOS_[[Check Periodo Ref.]:[Check Periodo Ref.]]="Dentro",DATOS_[Conc.Sal.11]))))), 0)</f>
        <v>0</v>
      </c>
      <c r="Q10" s="250" t="n">
        <f aca="false" t="array" ref="Q10:Q10">IFERROR( (MEDIAN((IF(DATOS_[[Sexo]:[Sexo]]=$B10,IF(DATOS_[[Check Periodo Ref.]:[Check Periodo Ref.]]="Dentro",DATOS_[Conc.Sal.12]))))), 0)</f>
        <v>0</v>
      </c>
      <c r="R10" s="250" t="n">
        <f aca="false" t="array" ref="R10:R10">IFERROR( (MEDIAN((IF(DATOS_[[Sexo]:[Sexo]]=$B10,IF(DATOS_[[Check Periodo Ref.]:[Check Periodo Ref.]]="Dentro",DATOS_[Conc.Sal.13]))))), 0)</f>
        <v>0</v>
      </c>
      <c r="S10" s="250" t="n">
        <f aca="false" t="array" ref="S10:S10">IFERROR( (MEDIAN((IF(DATOS_[[Sexo]:[Sexo]]=$B10,IF(DATOS_[[Check Periodo Ref.]:[Check Periodo Ref.]]="Dentro",DATOS_[Conc.Sal.14]))))), 0)</f>
        <v>0</v>
      </c>
      <c r="T10" s="250" t="n">
        <f aca="false" t="array" ref="T10:T10">IFERROR( (MEDIAN((IF(DATOS_[[Sexo]:[Sexo]]=$B10,IF(DATOS_[[Check Periodo Ref.]:[Check Periodo Ref.]]="Dentro",DATOS_[Conc.Sal.15]))))), 0)</f>
        <v>0</v>
      </c>
      <c r="U10" s="250" t="n">
        <f aca="false" t="array" ref="U10:U10">IFERROR( (MEDIAN((IF(DATOS_[[Sexo]:[Sexo]]=$B10,IF(DATOS_[[Check Periodo Ref.]:[Check Periodo Ref.]]="Dentro",DATOS_[Conc.Sal.16]))))), 0)</f>
        <v>0</v>
      </c>
      <c r="V10" s="250" t="n">
        <f aca="false" t="array" ref="V10:V10">IFERROR( (MEDIAN((IF(DATOS_[[Sexo]:[Sexo]]=$B10,IF(DATOS_[[Check Periodo Ref.]:[Check Periodo Ref.]]="Dentro",DATOS_[Conc.Sal.17]))))), 0)</f>
        <v>0</v>
      </c>
      <c r="W10" s="250" t="n">
        <f aca="false" t="array" ref="W10:W10">IFERROR( (MEDIAN((IF(DATOS_[[Sexo]:[Sexo]]=$B10,IF(DATOS_[[Check Periodo Ref.]:[Check Periodo Ref.]]="Dentro",DATOS_[Conc.Sal.18]))))), 0)</f>
        <v>0</v>
      </c>
      <c r="X10" s="250" t="n">
        <f aca="false" t="array" ref="X10:X10">IFERROR( (MEDIAN((IF(DATOS_[[Sexo]:[Sexo]]=$B10,IF(DATOS_[[Check Periodo Ref.]:[Check Periodo Ref.]]="Dentro",DATOS_[Conc.Sal.19]))))), 0)</f>
        <v>0</v>
      </c>
      <c r="Y10" s="250" t="n">
        <f aca="false" t="array" ref="Y10:Y10">IFERROR( (MEDIAN((IF(DATOS_[[Sexo]:[Sexo]]=$B10,IF(DATOS_[[Check Periodo Ref.]:[Check Periodo Ref.]]="Dentro",DATOS_[Conc.Sal.20]))))), 0)</f>
        <v>0</v>
      </c>
      <c r="Z10" s="250" t="n">
        <f aca="false" t="array" ref="Z10:Z10">IFERROR( (MEDIAN((IF(DATOS_[[Sexo]:[Sexo]]=$B10,IF(DATOS_[[Check Periodo Ref.]:[Check Periodo Ref.]]="Dentro",DATOS_[Conc.Sal.21]))))), 0)</f>
        <v>0</v>
      </c>
      <c r="AA10" s="250" t="n">
        <f aca="false" t="array" ref="AA10:AA10">IFERROR( (MEDIAN((IF(DATOS_[[Sexo]:[Sexo]]=$B10,IF(DATOS_[[Check Periodo Ref.]:[Check Periodo Ref.]]="Dentro",DATOS_[Conc.Sal.22]))))), 0)</f>
        <v>0</v>
      </c>
      <c r="AB10" s="250" t="n">
        <f aca="false" t="array" ref="AB10:AB10">IFERROR( (MEDIAN((IF(DATOS_[[Sexo]:[Sexo]]=$B10,IF(DATOS_[[Check Periodo Ref.]:[Check Periodo Ref.]]="Dentro",DATOS_[Conc.Sal.23]))))), 0)</f>
        <v>0</v>
      </c>
      <c r="AC10" s="250" t="n">
        <f aca="false" t="array" ref="AC10:AC10">IFERROR( (MEDIAN((IF(DATOS_[[Sexo]:[Sexo]]=$B10,IF(DATOS_[[Check Periodo Ref.]:[Check Periodo Ref.]]="Dentro",DATOS_[Conc.Sal.24]))))), 0)</f>
        <v>0</v>
      </c>
      <c r="AD10" s="250" t="n">
        <f aca="false" t="array" ref="AD10:AD10">IFERROR( (MEDIAN((IF(DATOS_[[Sexo]:[Sexo]]=$B10,IF(DATOS_[[Check Periodo Ref.]:[Check Periodo Ref.]]="Dentro",DATOS_[Conc.Sal.25]))))), 0)</f>
        <v>0</v>
      </c>
      <c r="AE10" s="250" t="n">
        <f aca="false" t="array" ref="AE10:AE10">IFERROR( (MEDIAN((IF(DATOS_[[Sexo]:[Sexo]]=$B10,IF(DATOS_[[Check Periodo Ref.]:[Check Periodo Ref.]]="Dentro",DATOS_[Conc.Sal.26]))))), 0)</f>
        <v>0</v>
      </c>
      <c r="AF10" s="250" t="n">
        <f aca="false" t="array" ref="AF10:AF10">IFERROR( (MEDIAN((IF(DATOS_[[Sexo]:[Sexo]]=$B10,IF(DATOS_[[Check Periodo Ref.]:[Check Periodo Ref.]]="Dentro",DATOS_[Conc.Sal.27]))))), 0)</f>
        <v>0</v>
      </c>
      <c r="AG10" s="250" t="n">
        <f aca="false" t="array" ref="AG10:AG10">IFERROR( (MEDIAN((IF(DATOS_[[Sexo]:[Sexo]]=$B10,IF(DATOS_[[Check Periodo Ref.]:[Check Periodo Ref.]]="Dentro",DATOS_[Conc.Sal.28]))))), 0)</f>
        <v>0</v>
      </c>
      <c r="AH10" s="250" t="n">
        <f aca="false" t="array" ref="AH10:AH10">IFERROR( (MEDIAN((IF(DATOS_[[Sexo]:[Sexo]]=$B10,IF(DATOS_[[Check Periodo Ref.]:[Check Periodo Ref.]]="Dentro",DATOS_[Conc.Sal.29]))))), 0)</f>
        <v>0</v>
      </c>
      <c r="AI10" s="250" t="n">
        <f aca="false" t="array" ref="AI10:AI10">IFERROR( (MEDIAN((IF(DATOS_[[Sexo]:[Sexo]]=$B10,IF(DATOS_[[Check Periodo Ref.]:[Check Periodo Ref.]]="Dentro",DATOS_[Conc.Sal.30]))))), 0)</f>
        <v>0</v>
      </c>
      <c r="AJ10" s="251" t="n">
        <f aca="false" t="array" ref="AJ10:AJ10">IFERROR( MEDIAN(IF(DATOS_[Sexo]=$B10,IF(DATOS_[Check Periodo Ref.]="Dentro",DATOS_[Tot COMPL.SAL Ef],0))), 0)</f>
        <v>0</v>
      </c>
      <c r="AK10" s="252" t="n">
        <f aca="false" t="array" ref="AK10:AK10">IFERROR( MEDIAN(IF(DATOS_[Sexo]=$B10,IF(DATOS_[Check Periodo Ref.]="Dentro",DATOS_[TOTAL SALARIO Ef],0))), 0)</f>
        <v>0</v>
      </c>
      <c r="AL10" s="253" t="n">
        <f aca="false" t="array" ref="AL10:AL10">IFERROR( (MEDIAN((IF(DATOS_[[Sexo]:[Sexo]]=$B10,IF(DATOS_[[Check Periodo Ref.]:[Check Periodo Ref.]]="Dentro",DATOS_[C.Extra.01]))))), 0)</f>
        <v>0</v>
      </c>
      <c r="AM10" s="253" t="n">
        <f aca="false" t="array" ref="AM10:AM10">IFERROR( (MEDIAN((IF(DATOS_[[Sexo]:[Sexo]]=$B10,IF(DATOS_[[Check Periodo Ref.]:[Check Periodo Ref.]]="Dentro",DATOS_[C.Extra.02]))))), 0)</f>
        <v>0</v>
      </c>
      <c r="AN10" s="253" t="n">
        <f aca="false" t="array" ref="AN10:AN10">IFERROR( (MEDIAN((IF(DATOS_[[Sexo]:[Sexo]]=$B10,IF(DATOS_[[Check Periodo Ref.]:[Check Periodo Ref.]]="Dentro",DATOS_[C.Extra.03]))))), 0)</f>
        <v>0</v>
      </c>
      <c r="AO10" s="253" t="n">
        <f aca="false" t="array" ref="AO10:AO10">IFERROR( (MEDIAN((IF(DATOS_[[Sexo]:[Sexo]]=$B10,IF(DATOS_[[Check Periodo Ref.]:[Check Periodo Ref.]]="Dentro",DATOS_[C.Extra.04]))))), 0)</f>
        <v>0</v>
      </c>
      <c r="AP10" s="253" t="n">
        <f aca="false" t="array" ref="AP10:AP10">IFERROR( (MEDIAN((IF(DATOS_[[Sexo]:[Sexo]]=$B10,IF(DATOS_[[Check Periodo Ref.]:[Check Periodo Ref.]]="Dentro",DATOS_[C.Extra.05]))))), 0)</f>
        <v>0</v>
      </c>
      <c r="AQ10" s="254" t="n">
        <f aca="false" t="array" ref="AQ10:AQ10">IFERROR( MEDIAN(IF(DATOS_[Sexo]=$B10,IF(DATOS_[Check Periodo Ref.]="Dentro",DATOS_[Tot Extrasalarial Ef],0))), 0)</f>
        <v>0</v>
      </c>
      <c r="AR10" s="255" t="n">
        <f aca="false" t="array" ref="AR10:AR10">IFERROR( MEDIAN(IF(DATOS_[Sexo]=$B10,IF(DATOS_[Check Periodo Ref.]="Dentro",DATOS_[TOTAL Retrib Ef],0))), 0)</f>
        <v>0</v>
      </c>
    </row>
    <row r="11" s="234" customFormat="true" ht="14.25" hidden="false" customHeight="false" outlineLevel="0" collapsed="false">
      <c r="B11" s="246" t="s">
        <v>372</v>
      </c>
      <c r="C11" s="247" t="n">
        <f aca="false" t="array" ref="C11:C11">SUM(IF($B11=DATOS_[Sexo], IF("Dentro"=DATOS_[Check Periodo Ref.], 1/(COUNTIFS(DATOS_[Sexo],$B11,DATOS_[Check Periodo Ref.],"Dentro",DATOS_[id],DATOS_[id])))))</f>
        <v>0</v>
      </c>
      <c r="D11" s="248" t="n">
        <f aca="false">COUNTIFS(DATOS_[AGRUP. CLAS. PROF.],"&lt;&gt;",DATOS_[Sexo],$B11,DATOS_[Check Periodo Ref.],"Dentro")</f>
        <v>0</v>
      </c>
      <c r="E11" s="249" t="n">
        <f aca="false" t="array" ref="E11:E11">IFERROR( MEDIAN(IF(DATOS_[Sexo]=$B11,IF(DATOS_[Check Periodo Ref.]="Dentro",DATOS_[SALARIO BASE Ef],0))), 0)</f>
        <v>0</v>
      </c>
      <c r="F11" s="250" t="n">
        <f aca="false" t="array" ref="F11:F11">IFERROR( (MEDIAN((IF(DATOS_[[Sexo]:[Sexo]]=$B11,IF(DATOS_[[Check Periodo Ref.]:[Check Periodo Ref.]]="Dentro",DATOS_[Conc.Sal.01]))))), 0)</f>
        <v>0</v>
      </c>
      <c r="G11" s="250" t="n">
        <f aca="false" t="array" ref="G11:G11">IFERROR( (MEDIAN((IF(DATOS_[[Sexo]:[Sexo]]=$B11,IF(DATOS_[[Check Periodo Ref.]:[Check Periodo Ref.]]="Dentro",DATOS_[Conc.Sal.02]))))), 0)</f>
        <v>0</v>
      </c>
      <c r="H11" s="250" t="n">
        <f aca="false" t="array" ref="H11:H11">IFERROR( (MEDIAN((IF(DATOS_[[Sexo]:[Sexo]]=$B11,IF(DATOS_[[Check Periodo Ref.]:[Check Periodo Ref.]]="Dentro",DATOS_[Conc.Sal.03]))))), 0)</f>
        <v>0</v>
      </c>
      <c r="I11" s="250" t="n">
        <f aca="false" t="array" ref="I11:I11">IFERROR( (MEDIAN((IF(DATOS_[[Sexo]:[Sexo]]=$B11,IF(DATOS_[[Check Periodo Ref.]:[Check Periodo Ref.]]="Dentro",DATOS_[Conc.Sal.04]))))), 0)</f>
        <v>0</v>
      </c>
      <c r="J11" s="250" t="n">
        <f aca="false" t="array" ref="J11:J11">IFERROR( (MEDIAN((IF(DATOS_[[Sexo]:[Sexo]]=$B11,IF(DATOS_[[Check Periodo Ref.]:[Check Periodo Ref.]]="Dentro",DATOS_[Conc.Sal.05]))))), 0)</f>
        <v>0</v>
      </c>
      <c r="K11" s="250" t="n">
        <f aca="false" t="array" ref="K11:K11">IFERROR( (MEDIAN((IF(DATOS_[[Sexo]:[Sexo]]=$B11,IF(DATOS_[[Check Periodo Ref.]:[Check Periodo Ref.]]="Dentro",DATOS_[Conc.Sal.06]))))), 0)</f>
        <v>0</v>
      </c>
      <c r="L11" s="250" t="n">
        <f aca="false" t="array" ref="L11:L11">IFERROR( (MEDIAN((IF(DATOS_[[Sexo]:[Sexo]]=$B11,IF(DATOS_[[Check Periodo Ref.]:[Check Periodo Ref.]]="Dentro",DATOS_[Conc.Sal.07]))))), 0)</f>
        <v>0</v>
      </c>
      <c r="M11" s="250" t="n">
        <f aca="false" t="array" ref="M11:M11">IFERROR( (MEDIAN((IF(DATOS_[[Sexo]:[Sexo]]=$B11,IF(DATOS_[[Check Periodo Ref.]:[Check Periodo Ref.]]="Dentro",DATOS_[Conc.Sal.08]))))), 0)</f>
        <v>0</v>
      </c>
      <c r="N11" s="250" t="n">
        <f aca="false" t="array" ref="N11:N11">IFERROR( (MEDIAN((IF(DATOS_[[Sexo]:[Sexo]]=$B11,IF(DATOS_[[Check Periodo Ref.]:[Check Periodo Ref.]]="Dentro",DATOS_[Conc.Sal.09]))))), 0)</f>
        <v>0</v>
      </c>
      <c r="O11" s="250" t="n">
        <f aca="false" t="array" ref="O11:O11">IFERROR( (MEDIAN((IF(DATOS_[[Sexo]:[Sexo]]=$B11,IF(DATOS_[[Check Periodo Ref.]:[Check Periodo Ref.]]="Dentro",DATOS_[Conc.Sal.10]))))), 0)</f>
        <v>0</v>
      </c>
      <c r="P11" s="250" t="n">
        <f aca="false" t="array" ref="P11:P11">IFERROR( (MEDIAN((IF(DATOS_[[Sexo]:[Sexo]]=$B11,IF(DATOS_[[Check Periodo Ref.]:[Check Periodo Ref.]]="Dentro",DATOS_[Conc.Sal.11]))))), 0)</f>
        <v>0</v>
      </c>
      <c r="Q11" s="250" t="n">
        <f aca="false" t="array" ref="Q11:Q11">IFERROR( (MEDIAN((IF(DATOS_[[Sexo]:[Sexo]]=$B11,IF(DATOS_[[Check Periodo Ref.]:[Check Periodo Ref.]]="Dentro",DATOS_[Conc.Sal.12]))))), 0)</f>
        <v>0</v>
      </c>
      <c r="R11" s="250" t="n">
        <f aca="false" t="array" ref="R11:R11">IFERROR( (MEDIAN((IF(DATOS_[[Sexo]:[Sexo]]=$B11,IF(DATOS_[[Check Periodo Ref.]:[Check Periodo Ref.]]="Dentro",DATOS_[Conc.Sal.13]))))), 0)</f>
        <v>0</v>
      </c>
      <c r="S11" s="250" t="n">
        <f aca="false" t="array" ref="S11:S11">IFERROR( (MEDIAN((IF(DATOS_[[Sexo]:[Sexo]]=$B11,IF(DATOS_[[Check Periodo Ref.]:[Check Periodo Ref.]]="Dentro",DATOS_[Conc.Sal.14]))))), 0)</f>
        <v>0</v>
      </c>
      <c r="T11" s="250" t="n">
        <f aca="false" t="array" ref="T11:T11">IFERROR( (MEDIAN((IF(DATOS_[[Sexo]:[Sexo]]=$B11,IF(DATOS_[[Check Periodo Ref.]:[Check Periodo Ref.]]="Dentro",DATOS_[Conc.Sal.15]))))), 0)</f>
        <v>0</v>
      </c>
      <c r="U11" s="250" t="n">
        <f aca="false" t="array" ref="U11:U11">IFERROR( (MEDIAN((IF(DATOS_[[Sexo]:[Sexo]]=$B11,IF(DATOS_[[Check Periodo Ref.]:[Check Periodo Ref.]]="Dentro",DATOS_[Conc.Sal.16]))))), 0)</f>
        <v>0</v>
      </c>
      <c r="V11" s="250" t="n">
        <f aca="false" t="array" ref="V11:V11">IFERROR( (MEDIAN((IF(DATOS_[[Sexo]:[Sexo]]=$B11,IF(DATOS_[[Check Periodo Ref.]:[Check Periodo Ref.]]="Dentro",DATOS_[Conc.Sal.17]))))), 0)</f>
        <v>0</v>
      </c>
      <c r="W11" s="250" t="n">
        <f aca="false" t="array" ref="W11:W11">IFERROR( (MEDIAN((IF(DATOS_[[Sexo]:[Sexo]]=$B11,IF(DATOS_[[Check Periodo Ref.]:[Check Periodo Ref.]]="Dentro",DATOS_[Conc.Sal.18]))))), 0)</f>
        <v>0</v>
      </c>
      <c r="X11" s="250" t="n">
        <f aca="false" t="array" ref="X11:X11">IFERROR( (MEDIAN((IF(DATOS_[[Sexo]:[Sexo]]=$B11,IF(DATOS_[[Check Periodo Ref.]:[Check Periodo Ref.]]="Dentro",DATOS_[Conc.Sal.19]))))), 0)</f>
        <v>0</v>
      </c>
      <c r="Y11" s="250" t="n">
        <f aca="false" t="array" ref="Y11:Y11">IFERROR( (MEDIAN((IF(DATOS_[[Sexo]:[Sexo]]=$B11,IF(DATOS_[[Check Periodo Ref.]:[Check Periodo Ref.]]="Dentro",DATOS_[Conc.Sal.20]))))), 0)</f>
        <v>0</v>
      </c>
      <c r="Z11" s="250" t="n">
        <f aca="false" t="array" ref="Z11:Z11">IFERROR( (MEDIAN((IF(DATOS_[[Sexo]:[Sexo]]=$B11,IF(DATOS_[[Check Periodo Ref.]:[Check Periodo Ref.]]="Dentro",DATOS_[Conc.Sal.21]))))), 0)</f>
        <v>0</v>
      </c>
      <c r="AA11" s="250" t="n">
        <f aca="false" t="array" ref="AA11:AA11">IFERROR( (MEDIAN((IF(DATOS_[[Sexo]:[Sexo]]=$B11,IF(DATOS_[[Check Periodo Ref.]:[Check Periodo Ref.]]="Dentro",DATOS_[Conc.Sal.22]))))), 0)</f>
        <v>0</v>
      </c>
      <c r="AB11" s="250" t="n">
        <f aca="false" t="array" ref="AB11:AB11">IFERROR( (MEDIAN((IF(DATOS_[[Sexo]:[Sexo]]=$B11,IF(DATOS_[[Check Periodo Ref.]:[Check Periodo Ref.]]="Dentro",DATOS_[Conc.Sal.23]))))), 0)</f>
        <v>0</v>
      </c>
      <c r="AC11" s="250" t="n">
        <f aca="false" t="array" ref="AC11:AC11">IFERROR( (MEDIAN((IF(DATOS_[[Sexo]:[Sexo]]=$B11,IF(DATOS_[[Check Periodo Ref.]:[Check Periodo Ref.]]="Dentro",DATOS_[Conc.Sal.24]))))), 0)</f>
        <v>0</v>
      </c>
      <c r="AD11" s="250" t="n">
        <f aca="false" t="array" ref="AD11:AD11">IFERROR( (MEDIAN((IF(DATOS_[[Sexo]:[Sexo]]=$B11,IF(DATOS_[[Check Periodo Ref.]:[Check Periodo Ref.]]="Dentro",DATOS_[Conc.Sal.25]))))), 0)</f>
        <v>0</v>
      </c>
      <c r="AE11" s="250" t="n">
        <f aca="false" t="array" ref="AE11:AE11">IFERROR( (MEDIAN((IF(DATOS_[[Sexo]:[Sexo]]=$B11,IF(DATOS_[[Check Periodo Ref.]:[Check Periodo Ref.]]="Dentro",DATOS_[Conc.Sal.26]))))), 0)</f>
        <v>0</v>
      </c>
      <c r="AF11" s="250" t="n">
        <f aca="false" t="array" ref="AF11:AF11">IFERROR( (MEDIAN((IF(DATOS_[[Sexo]:[Sexo]]=$B11,IF(DATOS_[[Check Periodo Ref.]:[Check Periodo Ref.]]="Dentro",DATOS_[Conc.Sal.27]))))), 0)</f>
        <v>0</v>
      </c>
      <c r="AG11" s="250" t="n">
        <f aca="false" t="array" ref="AG11:AG11">IFERROR( (MEDIAN((IF(DATOS_[[Sexo]:[Sexo]]=$B11,IF(DATOS_[[Check Periodo Ref.]:[Check Periodo Ref.]]="Dentro",DATOS_[Conc.Sal.28]))))), 0)</f>
        <v>0</v>
      </c>
      <c r="AH11" s="250" t="n">
        <f aca="false" t="array" ref="AH11:AH11">IFERROR( (MEDIAN((IF(DATOS_[[Sexo]:[Sexo]]=$B11,IF(DATOS_[[Check Periodo Ref.]:[Check Periodo Ref.]]="Dentro",DATOS_[Conc.Sal.29]))))), 0)</f>
        <v>0</v>
      </c>
      <c r="AI11" s="250" t="n">
        <f aca="false" t="array" ref="AI11:AI11">IFERROR( (MEDIAN((IF(DATOS_[[Sexo]:[Sexo]]=$B11,IF(DATOS_[[Check Periodo Ref.]:[Check Periodo Ref.]]="Dentro",DATOS_[Conc.Sal.30]))))), 0)</f>
        <v>0</v>
      </c>
      <c r="AJ11" s="251" t="n">
        <f aca="false" t="array" ref="AJ11:AJ11">IFERROR( MEDIAN(IF(DATOS_[Sexo]=$B11,IF(DATOS_[Check Periodo Ref.]="Dentro",DATOS_[Tot COMPL.SAL Ef],0))), 0)</f>
        <v>0</v>
      </c>
      <c r="AK11" s="252" t="n">
        <f aca="false" t="array" ref="AK11:AK11">IFERROR( MEDIAN(IF(DATOS_[Sexo]=$B11,IF(DATOS_[Check Periodo Ref.]="Dentro",DATOS_[TOTAL SALARIO Ef],0))), 0)</f>
        <v>0</v>
      </c>
      <c r="AL11" s="253" t="n">
        <f aca="false" t="array" ref="AL11:AL11">IFERROR( (MEDIAN((IF(DATOS_[[Sexo]:[Sexo]]=$B11,IF(DATOS_[[Check Periodo Ref.]:[Check Periodo Ref.]]="Dentro",DATOS_[C.Extra.01]))))), 0)</f>
        <v>0</v>
      </c>
      <c r="AM11" s="253" t="n">
        <f aca="false" t="array" ref="AM11:AM11">IFERROR( (MEDIAN((IF(DATOS_[[Sexo]:[Sexo]]=$B11,IF(DATOS_[[Check Periodo Ref.]:[Check Periodo Ref.]]="Dentro",DATOS_[C.Extra.02]))))), 0)</f>
        <v>0</v>
      </c>
      <c r="AN11" s="253" t="n">
        <f aca="false" t="array" ref="AN11:AN11">IFERROR( (MEDIAN((IF(DATOS_[[Sexo]:[Sexo]]=$B11,IF(DATOS_[[Check Periodo Ref.]:[Check Periodo Ref.]]="Dentro",DATOS_[C.Extra.03]))))), 0)</f>
        <v>0</v>
      </c>
      <c r="AO11" s="253" t="n">
        <f aca="false" t="array" ref="AO11:AO11">IFERROR( (MEDIAN((IF(DATOS_[[Sexo]:[Sexo]]=$B11,IF(DATOS_[[Check Periodo Ref.]:[Check Periodo Ref.]]="Dentro",DATOS_[C.Extra.04]))))), 0)</f>
        <v>0</v>
      </c>
      <c r="AP11" s="253" t="n">
        <f aca="false" t="array" ref="AP11:AP11">IFERROR( (MEDIAN((IF(DATOS_[[Sexo]:[Sexo]]=$B11,IF(DATOS_[[Check Periodo Ref.]:[Check Periodo Ref.]]="Dentro",DATOS_[C.Extra.05]))))), 0)</f>
        <v>0</v>
      </c>
      <c r="AQ11" s="254" t="n">
        <f aca="false" t="array" ref="AQ11:AQ11">IFERROR( MEDIAN(IF(DATOS_[Sexo]=$B11,IF(DATOS_[Check Periodo Ref.]="Dentro",DATOS_[Tot Extrasalarial Ef],0))), 0)</f>
        <v>0</v>
      </c>
      <c r="AR11" s="255" t="n">
        <f aca="false" t="array" ref="AR11:AR11">IFERROR( MEDIAN(IF(DATOS_[Sexo]=$B11,IF(DATOS_[Check Periodo Ref.]="Dentro",DATOS_[TOTAL Retrib Ef],0))), 0)</f>
        <v>0</v>
      </c>
    </row>
    <row r="12" s="234" customFormat="true" ht="13.5" hidden="false" customHeight="false" outlineLevel="0" collapsed="false">
      <c r="D12" s="256"/>
      <c r="J12" s="257"/>
      <c r="K12" s="258"/>
      <c r="L12" s="258"/>
      <c r="M12" s="258"/>
      <c r="N12" s="258"/>
      <c r="O12" s="258"/>
      <c r="P12" s="258"/>
      <c r="Q12" s="258"/>
      <c r="R12" s="258"/>
      <c r="S12" s="258"/>
      <c r="T12" s="258"/>
      <c r="U12" s="258"/>
      <c r="V12" s="257"/>
      <c r="W12" s="257"/>
      <c r="X12" s="257"/>
      <c r="Y12" s="257"/>
      <c r="Z12" s="257"/>
      <c r="AA12" s="257"/>
      <c r="AB12" s="257"/>
      <c r="AC12" s="257"/>
      <c r="AD12" s="257"/>
      <c r="AE12" s="257"/>
      <c r="AF12" s="257"/>
      <c r="AG12" s="257"/>
      <c r="AH12" s="257"/>
      <c r="AI12" s="257"/>
      <c r="AL12" s="258"/>
      <c r="AM12" s="258"/>
      <c r="AN12" s="258"/>
      <c r="AO12" s="258"/>
      <c r="AP12" s="258"/>
    </row>
    <row r="13" s="234" customFormat="true" ht="13.5" hidden="false" customHeight="false" outlineLevel="0" collapsed="false">
      <c r="D13" s="256"/>
      <c r="J13" s="257"/>
      <c r="K13" s="258"/>
      <c r="L13" s="258"/>
      <c r="M13" s="258"/>
      <c r="N13" s="258"/>
      <c r="O13" s="258"/>
      <c r="P13" s="258"/>
      <c r="Q13" s="258"/>
      <c r="R13" s="258"/>
      <c r="S13" s="258"/>
      <c r="T13" s="258"/>
      <c r="U13" s="258"/>
      <c r="V13" s="257"/>
      <c r="W13" s="257"/>
      <c r="X13" s="257"/>
      <c r="Y13" s="257"/>
      <c r="Z13" s="257"/>
      <c r="AA13" s="257"/>
      <c r="AB13" s="257"/>
      <c r="AC13" s="257"/>
      <c r="AD13" s="257"/>
      <c r="AE13" s="257"/>
      <c r="AF13" s="257"/>
      <c r="AG13" s="257"/>
      <c r="AH13" s="257"/>
      <c r="AI13" s="257"/>
      <c r="AL13" s="258"/>
      <c r="AM13" s="258"/>
      <c r="AN13" s="258"/>
      <c r="AO13" s="258"/>
      <c r="AP13" s="258"/>
    </row>
    <row r="14" s="225" customFormat="true" ht="46.15" hidden="false" customHeight="true" outlineLevel="0" collapsed="false">
      <c r="B14" s="226"/>
      <c r="C14" s="226" t="s">
        <v>368</v>
      </c>
      <c r="D14" s="226" t="s">
        <v>369</v>
      </c>
      <c r="E14" s="227" t="s">
        <v>148</v>
      </c>
      <c r="F14" s="228" t="str">
        <f aca="false">+F8</f>
        <v>[ocultar]</v>
      </c>
      <c r="G14" s="228" t="str">
        <f aca="false">+G8</f>
        <v>[ocultar]</v>
      </c>
      <c r="H14" s="228" t="str">
        <f aca="false">+H8</f>
        <v>[ocultar]</v>
      </c>
      <c r="I14" s="228" t="str">
        <f aca="false">+I8</f>
        <v>[ocultar]</v>
      </c>
      <c r="J14" s="228" t="str">
        <f aca="false">+J8</f>
        <v>[ocultar]</v>
      </c>
      <c r="K14" s="228" t="str">
        <f aca="false">+K8</f>
        <v>[ocultar]</v>
      </c>
      <c r="L14" s="228" t="str">
        <f aca="false">+L8</f>
        <v>[ocultar]</v>
      </c>
      <c r="M14" s="228" t="str">
        <f aca="false">+M8</f>
        <v>[ocultar]</v>
      </c>
      <c r="N14" s="228" t="str">
        <f aca="false">+N8</f>
        <v>[ocultar]</v>
      </c>
      <c r="O14" s="228" t="str">
        <f aca="false">+O8</f>
        <v>[ocultar]</v>
      </c>
      <c r="P14" s="228" t="str">
        <f aca="false">+P8</f>
        <v>[ocultar]</v>
      </c>
      <c r="Q14" s="228" t="str">
        <f aca="false">+Q8</f>
        <v>[ocultar]</v>
      </c>
      <c r="R14" s="228" t="str">
        <f aca="false">+R8</f>
        <v>[ocultar]</v>
      </c>
      <c r="S14" s="228" t="str">
        <f aca="false">+S8</f>
        <v>[ocultar]</v>
      </c>
      <c r="T14" s="228" t="str">
        <f aca="false">+T8</f>
        <v>[ocultar]</v>
      </c>
      <c r="U14" s="228" t="str">
        <f aca="false">+U8</f>
        <v>[ocultar]</v>
      </c>
      <c r="V14" s="228" t="str">
        <f aca="false">+V8</f>
        <v>[ocultar]</v>
      </c>
      <c r="W14" s="228" t="str">
        <f aca="false">+W8</f>
        <v>[ocultar]</v>
      </c>
      <c r="X14" s="228" t="str">
        <f aca="false">+X8</f>
        <v>[ocultar]</v>
      </c>
      <c r="Y14" s="228" t="str">
        <f aca="false">+Y8</f>
        <v>[ocultar]</v>
      </c>
      <c r="Z14" s="228" t="str">
        <f aca="false">+Z8</f>
        <v>[ocultar]</v>
      </c>
      <c r="AA14" s="228" t="str">
        <f aca="false">+AA8</f>
        <v>[ocultar]</v>
      </c>
      <c r="AB14" s="228" t="str">
        <f aca="false">+AB8</f>
        <v>[ocultar]</v>
      </c>
      <c r="AC14" s="228" t="str">
        <f aca="false">+AC8</f>
        <v>[ocultar]</v>
      </c>
      <c r="AD14" s="228" t="str">
        <f aca="false">+AD8</f>
        <v>[ocultar]</v>
      </c>
      <c r="AE14" s="228" t="str">
        <f aca="false">+AE8</f>
        <v>[ocultar]</v>
      </c>
      <c r="AF14" s="228" t="str">
        <f aca="false">+AF8</f>
        <v>[ocultar]</v>
      </c>
      <c r="AG14" s="228" t="str">
        <f aca="false">+AG8</f>
        <v>[ocultar]</v>
      </c>
      <c r="AH14" s="228" t="str">
        <f aca="false">+AH8</f>
        <v>[ocultar]</v>
      </c>
      <c r="AI14" s="228" t="str">
        <f aca="false">+AI8</f>
        <v>[ocultar]</v>
      </c>
      <c r="AJ14" s="229" t="s">
        <v>150</v>
      </c>
      <c r="AK14" s="230" t="s">
        <v>152</v>
      </c>
      <c r="AL14" s="231" t="str">
        <f aca="false">+AL8</f>
        <v>[ocultar]</v>
      </c>
      <c r="AM14" s="231" t="str">
        <f aca="false">+AM8</f>
        <v>[ocultar]</v>
      </c>
      <c r="AN14" s="231" t="str">
        <f aca="false">+AN8</f>
        <v>[ocultar]</v>
      </c>
      <c r="AO14" s="231" t="str">
        <f aca="false">+AO8</f>
        <v>[ocultar]</v>
      </c>
      <c r="AP14" s="231" t="str">
        <f aca="false">+AP8</f>
        <v>[ocultar]</v>
      </c>
      <c r="AQ14" s="232" t="s">
        <v>154</v>
      </c>
      <c r="AR14" s="233" t="s">
        <v>156</v>
      </c>
    </row>
    <row r="15" s="234" customFormat="true" ht="15.75" hidden="false" customHeight="false" outlineLevel="0" collapsed="false">
      <c r="A15" s="234" t="str">
        <f aca="false">+A16</f>
        <v>[ocultar]</v>
      </c>
      <c r="B15" s="235" t="s">
        <v>173</v>
      </c>
      <c r="C15" s="236"/>
      <c r="D15" s="237"/>
      <c r="E15" s="238" t="str">
        <f aca="false">IFERROR((E16-E17)/E16,"")</f>
        <v/>
      </c>
      <c r="F15" s="239" t="str">
        <f aca="false">IFERROR((F16-F17)/F16,"")</f>
        <v/>
      </c>
      <c r="G15" s="239" t="str">
        <f aca="false">IFERROR((G16-G17)/G16,"")</f>
        <v/>
      </c>
      <c r="H15" s="239" t="str">
        <f aca="false">IFERROR((H16-H17)/H16,"")</f>
        <v/>
      </c>
      <c r="I15" s="239"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40" t="str">
        <f aca="false">IFERROR((V16-V17)/V16,"")</f>
        <v/>
      </c>
      <c r="W15" s="240" t="str">
        <f aca="false">IFERROR((W16-W17)/W16,"")</f>
        <v/>
      </c>
      <c r="X15" s="240" t="str">
        <f aca="false">IFERROR((X16-X17)/X16,"")</f>
        <v/>
      </c>
      <c r="Y15" s="240"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1" t="str">
        <f aca="false">IFERROR((AJ16-AJ17)/AJ16,"")</f>
        <v/>
      </c>
      <c r="AK15" s="242" t="str">
        <f aca="false">IFERROR((AK16-AK17)/AK16,"")</f>
        <v/>
      </c>
      <c r="AL15" s="243" t="str">
        <f aca="false">IFERROR((AL16-AL17)/AL16,"")</f>
        <v/>
      </c>
      <c r="AM15" s="243" t="str">
        <f aca="false">IFERROR((AM16-AM17)/AM16,"")</f>
        <v/>
      </c>
      <c r="AN15" s="243" t="str">
        <f aca="false">IFERROR((AN16-AN17)/AN16,"")</f>
        <v/>
      </c>
      <c r="AO15" s="243" t="str">
        <f aca="false">IFERROR((AO16-AO17)/AO16,"")</f>
        <v/>
      </c>
      <c r="AP15" s="243" t="str">
        <f aca="false">IFERROR((AP16-AP17)/AP16,"")</f>
        <v/>
      </c>
      <c r="AQ15" s="244" t="str">
        <f aca="false">IFERROR((AQ16-AQ17)/AQ16,"")</f>
        <v/>
      </c>
      <c r="AR15" s="245" t="str">
        <f aca="false">IFERROR((AR16-AR17)/AR16,"")</f>
        <v/>
      </c>
    </row>
    <row r="16" s="234" customFormat="true" ht="14.25" hidden="false" customHeight="false" outlineLevel="0" collapsed="false">
      <c r="A16" s="234" t="str">
        <f aca="false">+IF(C16+C17=0,"[ocultar]","")</f>
        <v>[ocultar]</v>
      </c>
      <c r="B16" s="246" t="s">
        <v>371</v>
      </c>
      <c r="C16" s="247" t="n">
        <f aca="false" t="array" ref="C16:C16">SUM(IF($B16=DATOS_[Sexo], IF($B15=DATOS_[AGRUP. CLAS. PROF.], IF("Dentro"=DATOS_[Check Periodo Ref.], 1/(COUNTIFS(DATOS_[Sexo],$B16,DATOS_[AGRUP. CLAS. PROF.],$B15,DATOS_[Check Periodo Ref.],"Dentro",DATOS_[id],DATOS_[id]))))))</f>
        <v>0</v>
      </c>
      <c r="D16" s="248" t="n">
        <f aca="false">COUNTIFS(DATOS_[AGRUP. CLAS. PROF.],$B15,DATOS_[Sexo],$B16,DATOS_[Check Periodo Ref.],"Dentro")</f>
        <v>0</v>
      </c>
      <c r="E16" s="249" t="n">
        <f aca="false" t="array" ref="E16:E16">IFERROR( MEDIAN(IF(DATOS_[Sexo]=$B16,IF(DATOS_[AGRUP. CLAS. PROF.]=$B15,IF(DATOS_[Check Periodo Ref.]="Dentro",DATOS_[SALARIO BASE Ef],0)))), 0)</f>
        <v>0</v>
      </c>
      <c r="F16" s="250" t="n">
        <f aca="false" t="array" ref="F16:F16">IFERROR( MEDIAN((IF(DATOS_[[Sexo]:[Sexo]]=$B16,IF(DATOS_[[AGRUP. CLAS. PROF.]:[AGRUP. CLAS. PROF.]]=$B15,IF(DATOS_[[Check Periodo Ref.]:[Check Periodo Ref.]]="Dentro",DATOS_[Conc.Sal.01]))))), 0)</f>
        <v>0</v>
      </c>
      <c r="G16" s="250" t="n">
        <f aca="false" t="array" ref="G16:G16">IFERROR( MEDIAN((IF(DATOS_[[Sexo]:[Sexo]]=$B16,IF(DATOS_[[AGRUP. CLAS. PROF.]:[AGRUP. CLAS. PROF.]]=$B15,IF(DATOS_[[Check Periodo Ref.]:[Check Periodo Ref.]]="Dentro",DATOS_[Conc.Sal.02]))))), 0)</f>
        <v>0</v>
      </c>
      <c r="H16" s="250" t="n">
        <f aca="false" t="array" ref="H16:H16">IFERROR( MEDIAN((IF(DATOS_[[Sexo]:[Sexo]]=$B16,IF(DATOS_[[AGRUP. CLAS. PROF.]:[AGRUP. CLAS. PROF.]]=$B15,IF(DATOS_[[Check Periodo Ref.]:[Check Periodo Ref.]]="Dentro",DATOS_[Conc.Sal.03]))))), 0)</f>
        <v>0</v>
      </c>
      <c r="I16" s="250" t="n">
        <f aca="false" t="array" ref="I16:I16">IFERROR( MEDIAN((IF(DATOS_[[Sexo]:[Sexo]]=$B16,IF(DATOS_[[AGRUP. CLAS. PROF.]:[AGRUP. CLAS. PROF.]]=$B15,IF(DATOS_[[Check Periodo Ref.]:[Check Periodo Ref.]]="Dentro",DATOS_[Conc.Sal.04]))))), 0)</f>
        <v>0</v>
      </c>
      <c r="J16" s="250" t="n">
        <f aca="false" t="array" ref="J16:J16">IFERROR( MEDIAN((IF(DATOS_[[Sexo]:[Sexo]]=$B16,IF(DATOS_[[AGRUP. CLAS. PROF.]:[AGRUP. CLAS. PROF.]]=$B15,IF(DATOS_[[Check Periodo Ref.]:[Check Periodo Ref.]]="Dentro",DATOS_[Conc.Sal.05]))))), 0)</f>
        <v>0</v>
      </c>
      <c r="K16" s="250" t="n">
        <f aca="false" t="array" ref="K16:K16">IFERROR( MEDIAN((IF(DATOS_[[Sexo]:[Sexo]]=$B16,IF(DATOS_[[AGRUP. CLAS. PROF.]:[AGRUP. CLAS. PROF.]]=$B15,IF(DATOS_[[Check Periodo Ref.]:[Check Periodo Ref.]]="Dentro",DATOS_[Conc.Sal.06]))))), 0)</f>
        <v>0</v>
      </c>
      <c r="L16" s="250" t="n">
        <f aca="false" t="array" ref="L16:L16">IFERROR( MEDIAN((IF(DATOS_[[Sexo]:[Sexo]]=$B16,IF(DATOS_[[AGRUP. CLAS. PROF.]:[AGRUP. CLAS. PROF.]]=$B15,IF(DATOS_[[Check Periodo Ref.]:[Check Periodo Ref.]]="Dentro",DATOS_[Conc.Sal.07]))))), 0)</f>
        <v>0</v>
      </c>
      <c r="M16" s="250" t="n">
        <f aca="false" t="array" ref="M16:M16">IFERROR( MEDIAN((IF(DATOS_[[Sexo]:[Sexo]]=$B16,IF(DATOS_[[AGRUP. CLAS. PROF.]:[AGRUP. CLAS. PROF.]]=$B15,IF(DATOS_[[Check Periodo Ref.]:[Check Periodo Ref.]]="Dentro",DATOS_[Conc.Sal.08]))))), 0)</f>
        <v>0</v>
      </c>
      <c r="N16" s="250" t="n">
        <f aca="false" t="array" ref="N16:N16">IFERROR( MEDIAN((IF(DATOS_[[Sexo]:[Sexo]]=$B16,IF(DATOS_[[AGRUP. CLAS. PROF.]:[AGRUP. CLAS. PROF.]]=$B15,IF(DATOS_[[Check Periodo Ref.]:[Check Periodo Ref.]]="Dentro",DATOS_[Conc.Sal.09]))))), 0)</f>
        <v>0</v>
      </c>
      <c r="O16" s="250" t="n">
        <f aca="false" t="array" ref="O16:O16">IFERROR( MEDIAN((IF(DATOS_[[Sexo]:[Sexo]]=$B16,IF(DATOS_[[AGRUP. CLAS. PROF.]:[AGRUP. CLAS. PROF.]]=$B15,IF(DATOS_[[Check Periodo Ref.]:[Check Periodo Ref.]]="Dentro",DATOS_[Conc.Sal.10]))))), 0)</f>
        <v>0</v>
      </c>
      <c r="P16" s="250" t="n">
        <f aca="false" t="array" ref="P16:P16">IFERROR( MEDIAN((IF(DATOS_[[Sexo]:[Sexo]]=$B16,IF(DATOS_[[AGRUP. CLAS. PROF.]:[AGRUP. CLAS. PROF.]]=$B15,IF(DATOS_[[Check Periodo Ref.]:[Check Periodo Ref.]]="Dentro",DATOS_[Conc.Sal.11]))))), 0)</f>
        <v>0</v>
      </c>
      <c r="Q16" s="250" t="n">
        <f aca="false" t="array" ref="Q16:Q16">IFERROR( MEDIAN((IF(DATOS_[[Sexo]:[Sexo]]=$B16,IF(DATOS_[[AGRUP. CLAS. PROF.]:[AGRUP. CLAS. PROF.]]=$B15,IF(DATOS_[[Check Periodo Ref.]:[Check Periodo Ref.]]="Dentro",DATOS_[Conc.Sal.12]))))), 0)</f>
        <v>0</v>
      </c>
      <c r="R16" s="250" t="n">
        <f aca="false" t="array" ref="R16:R16">IFERROR( MEDIAN((IF(DATOS_[[Sexo]:[Sexo]]=$B16,IF(DATOS_[[AGRUP. CLAS. PROF.]:[AGRUP. CLAS. PROF.]]=$B15,IF(DATOS_[[Check Periodo Ref.]:[Check Periodo Ref.]]="Dentro",DATOS_[Conc.Sal.13]))))), 0)</f>
        <v>0</v>
      </c>
      <c r="S16" s="250" t="n">
        <f aca="false" t="array" ref="S16:S16">IFERROR( MEDIAN((IF(DATOS_[[Sexo]:[Sexo]]=$B16,IF(DATOS_[[AGRUP. CLAS. PROF.]:[AGRUP. CLAS. PROF.]]=$B15,IF(DATOS_[[Check Periodo Ref.]:[Check Periodo Ref.]]="Dentro",DATOS_[Conc.Sal.14]))))), 0)</f>
        <v>0</v>
      </c>
      <c r="T16" s="250" t="n">
        <f aca="false" t="array" ref="T16:T16">IFERROR( MEDIAN((IF(DATOS_[[Sexo]:[Sexo]]=$B16,IF(DATOS_[[AGRUP. CLAS. PROF.]:[AGRUP. CLAS. PROF.]]=$B15,IF(DATOS_[[Check Periodo Ref.]:[Check Periodo Ref.]]="Dentro",DATOS_[Conc.Sal.15]))))), 0)</f>
        <v>0</v>
      </c>
      <c r="U16" s="250" t="n">
        <f aca="false" t="array" ref="U16:U16">IFERROR( MEDIAN((IF(DATOS_[[Sexo]:[Sexo]]=$B16,IF(DATOS_[[AGRUP. CLAS. PROF.]:[AGRUP. CLAS. PROF.]]=$B15,IF(DATOS_[[Check Periodo Ref.]:[Check Periodo Ref.]]="Dentro",DATOS_[Conc.Sal.16]))))), 0)</f>
        <v>0</v>
      </c>
      <c r="V16" s="250" t="n">
        <f aca="false" t="array" ref="V16:V16">IFERROR( MEDIAN((IF(DATOS_[[Sexo]:[Sexo]]=$B16,IF(DATOS_[[AGRUP. CLAS. PROF.]:[AGRUP. CLAS. PROF.]]=$B15,IF(DATOS_[[Check Periodo Ref.]:[Check Periodo Ref.]]="Dentro",DATOS_[Conc.Sal.17]))))), 0)</f>
        <v>0</v>
      </c>
      <c r="W16" s="250" t="n">
        <f aca="false" t="array" ref="W16:W16">IFERROR( MEDIAN((IF(DATOS_[[Sexo]:[Sexo]]=$B16,IF(DATOS_[[AGRUP. CLAS. PROF.]:[AGRUP. CLAS. PROF.]]=$B15,IF(DATOS_[[Check Periodo Ref.]:[Check Periodo Ref.]]="Dentro",DATOS_[Conc.Sal.18]))))), 0)</f>
        <v>0</v>
      </c>
      <c r="X16" s="250" t="n">
        <f aca="false" t="array" ref="X16:X16">IFERROR( MEDIAN((IF(DATOS_[[Sexo]:[Sexo]]=$B16,IF(DATOS_[[AGRUP. CLAS. PROF.]:[AGRUP. CLAS. PROF.]]=$B15,IF(DATOS_[[Check Periodo Ref.]:[Check Periodo Ref.]]="Dentro",DATOS_[Conc.Sal.19]))))), 0)</f>
        <v>0</v>
      </c>
      <c r="Y16" s="250" t="n">
        <f aca="false" t="array" ref="Y16:Y16">IFERROR( MEDIAN((IF(DATOS_[[Sexo]:[Sexo]]=$B16,IF(DATOS_[[AGRUP. CLAS. PROF.]:[AGRUP. CLAS. PROF.]]=$B15,IF(DATOS_[[Check Periodo Ref.]:[Check Periodo Ref.]]="Dentro",DATOS_[Conc.Sal.20]))))), 0)</f>
        <v>0</v>
      </c>
      <c r="Z16" s="250" t="n">
        <f aca="false" t="array" ref="Z16:Z16">IFERROR( MEDIAN((IF(DATOS_[[Sexo]:[Sexo]]=$B16,IF(DATOS_[[AGRUP. CLAS. PROF.]:[AGRUP. CLAS. PROF.]]=$B15,IF(DATOS_[[Check Periodo Ref.]:[Check Periodo Ref.]]="Dentro",DATOS_[Conc.Sal.21]))))), 0)</f>
        <v>0</v>
      </c>
      <c r="AA16" s="250" t="n">
        <f aca="false" t="array" ref="AA16:AA16">IFERROR( MEDIAN((IF(DATOS_[[Sexo]:[Sexo]]=$B16,IF(DATOS_[[AGRUP. CLAS. PROF.]:[AGRUP. CLAS. PROF.]]=$B15,IF(DATOS_[[Check Periodo Ref.]:[Check Periodo Ref.]]="Dentro",DATOS_[Conc.Sal.22]))))), 0)</f>
        <v>0</v>
      </c>
      <c r="AB16" s="250" t="n">
        <f aca="false" t="array" ref="AB16:AB16">IFERROR( MEDIAN((IF(DATOS_[[Sexo]:[Sexo]]=$B16,IF(DATOS_[[AGRUP. CLAS. PROF.]:[AGRUP. CLAS. PROF.]]=$B15,IF(DATOS_[[Check Periodo Ref.]:[Check Periodo Ref.]]="Dentro",DATOS_[Conc.Sal.23]))))), 0)</f>
        <v>0</v>
      </c>
      <c r="AC16" s="250" t="n">
        <f aca="false" t="array" ref="AC16:AC16">IFERROR( MEDIAN((IF(DATOS_[[Sexo]:[Sexo]]=$B16,IF(DATOS_[[AGRUP. CLAS. PROF.]:[AGRUP. CLAS. PROF.]]=$B15,IF(DATOS_[[Check Periodo Ref.]:[Check Periodo Ref.]]="Dentro",DATOS_[Conc.Sal.24]))))), 0)</f>
        <v>0</v>
      </c>
      <c r="AD16" s="250" t="n">
        <f aca="false" t="array" ref="AD16:AD16">IFERROR( MEDIAN((IF(DATOS_[[Sexo]:[Sexo]]=$B16,IF(DATOS_[[AGRUP. CLAS. PROF.]:[AGRUP. CLAS. PROF.]]=$B15,IF(DATOS_[[Check Periodo Ref.]:[Check Periodo Ref.]]="Dentro",DATOS_[Conc.Sal.25]))))), 0)</f>
        <v>0</v>
      </c>
      <c r="AE16" s="250" t="n">
        <f aca="false" t="array" ref="AE16:AE16">IFERROR( MEDIAN((IF(DATOS_[[Sexo]:[Sexo]]=$B16,IF(DATOS_[[AGRUP. CLAS. PROF.]:[AGRUP. CLAS. PROF.]]=$B15,IF(DATOS_[[Check Periodo Ref.]:[Check Periodo Ref.]]="Dentro",DATOS_[Conc.Sal.26]))))), 0)</f>
        <v>0</v>
      </c>
      <c r="AF16" s="250" t="n">
        <f aca="false" t="array" ref="AF16:AF16">IFERROR( MEDIAN((IF(DATOS_[[Sexo]:[Sexo]]=$B16,IF(DATOS_[[AGRUP. CLAS. PROF.]:[AGRUP. CLAS. PROF.]]=$B15,IF(DATOS_[[Check Periodo Ref.]:[Check Periodo Ref.]]="Dentro",DATOS_[Conc.Sal.27]))))), 0)</f>
        <v>0</v>
      </c>
      <c r="AG16" s="250" t="n">
        <f aca="false" t="array" ref="AG16:AG16">IFERROR( MEDIAN((IF(DATOS_[[Sexo]:[Sexo]]=$B16,IF(DATOS_[[AGRUP. CLAS. PROF.]:[AGRUP. CLAS. PROF.]]=$B15,IF(DATOS_[[Check Periodo Ref.]:[Check Periodo Ref.]]="Dentro",DATOS_[Conc.Sal.28]))))), 0)</f>
        <v>0</v>
      </c>
      <c r="AH16" s="250" t="n">
        <f aca="false" t="array" ref="AH16:AH16">IFERROR( MEDIAN((IF(DATOS_[[Sexo]:[Sexo]]=$B16,IF(DATOS_[[AGRUP. CLAS. PROF.]:[AGRUP. CLAS. PROF.]]=$B15,IF(DATOS_[[Check Periodo Ref.]:[Check Periodo Ref.]]="Dentro",DATOS_[Conc.Sal.29]))))), 0)</f>
        <v>0</v>
      </c>
      <c r="AI16" s="250" t="n">
        <f aca="false" t="array" ref="AI16:AI16">IFERROR( MEDIAN((IF(DATOS_[[Sexo]:[Sexo]]=$B16,IF(DATOS_[[AGRUP. CLAS. PROF.]:[AGRUP. CLAS. PROF.]]=$B15,IF(DATOS_[[Check Periodo Ref.]:[Check Periodo Ref.]]="Dentro",DATOS_[Conc.Sal.30]))))), 0)</f>
        <v>0</v>
      </c>
      <c r="AJ16" s="251" t="n">
        <f aca="false" t="array" ref="AJ16:AJ16">IFERROR( MEDIAN(IF(DATOS_[Sexo]=$B16,IF(DATOS_[AGRUP. CLAS. PROF.]=$B15,IF(DATOS_[Check Periodo Ref.]="Dentro",DATOS_[Tot COMPL.SAL Ef],0)))), 0)</f>
        <v>0</v>
      </c>
      <c r="AK16" s="252" t="n">
        <f aca="false" t="array" ref="AK16:AK16">IFERROR( MEDIAN(IF(DATOS_[Sexo]=$B16,IF(DATOS_[AGRUP. CLAS. PROF.]=$B15,IF(DATOS_[Check Periodo Ref.]="Dentro",DATOS_[TOTAL SALARIO Ef],0)))), 0)</f>
        <v>0</v>
      </c>
      <c r="AL16" s="259" t="n">
        <f aca="false" t="array" ref="AL16:AL16">IFERROR( MEDIAN((IF(DATOS_[[Sexo]:[Sexo]]=$B16,IF(DATOS_[[AGRUP. CLAS. PROF.]:[AGRUP. CLAS. PROF.]]=$B15,IF(DATOS_[[Check Periodo Ref.]:[Check Periodo Ref.]]="Dentro",DATOS_[C.Extra.01]))))), 0)</f>
        <v>0</v>
      </c>
      <c r="AM16" s="259" t="n">
        <f aca="false" t="array" ref="AM16:AM16">IFERROR( MEDIAN((IF(DATOS_[[Sexo]:[Sexo]]=$B16,IF(DATOS_[[AGRUP. CLAS. PROF.]:[AGRUP. CLAS. PROF.]]=$B15,IF(DATOS_[[Check Periodo Ref.]:[Check Periodo Ref.]]="Dentro",DATOS_[C.Extra.02]))))), 0)</f>
        <v>0</v>
      </c>
      <c r="AN16" s="259" t="n">
        <f aca="false" t="array" ref="AN16:AN16">IFERROR( MEDIAN((IF(DATOS_[[Sexo]:[Sexo]]=$B16,IF(DATOS_[[AGRUP. CLAS. PROF.]:[AGRUP. CLAS. PROF.]]=$B15,IF(DATOS_[[Check Periodo Ref.]:[Check Periodo Ref.]]="Dentro",DATOS_[C.Extra.03]))))), 0)</f>
        <v>0</v>
      </c>
      <c r="AO16" s="259" t="n">
        <f aca="false" t="array" ref="AO16:AO16">IFERROR( MEDIAN((IF(DATOS_[[Sexo]:[Sexo]]=$B16,IF(DATOS_[[AGRUP. CLAS. PROF.]:[AGRUP. CLAS. PROF.]]=$B15,IF(DATOS_[[Check Periodo Ref.]:[Check Periodo Ref.]]="Dentro",DATOS_[C.Extra.04]))))), 0)</f>
        <v>0</v>
      </c>
      <c r="AP16" s="259" t="n">
        <f aca="false" t="array" ref="AP16:AP16">IFERROR( MEDIAN((IF(DATOS_[[Sexo]:[Sexo]]=$B16,IF(DATOS_[[AGRUP. CLAS. PROF.]:[AGRUP. CLAS. PROF.]]=$B15,IF(DATOS_[[Check Periodo Ref.]:[Check Periodo Ref.]]="Dentro",DATOS_[C.Extra.05]))))), 0)</f>
        <v>0</v>
      </c>
      <c r="AQ16" s="254" t="n">
        <f aca="false" t="array" ref="AQ16:AQ16">IFERROR( MEDIAN(IF(DATOS_[Sexo]=$B16,IF(DATOS_[AGRUP. CLAS. PROF.]=$B15,IF(DATOS_[Check Periodo Ref.]="Dentro",DATOS_[Tot Extrasalarial Ef],0)))), 0)</f>
        <v>0</v>
      </c>
      <c r="AR16" s="255" t="n">
        <f aca="false" t="array" ref="AR16:AR16">IFERROR( MEDIAN(IF(DATOS_[Sexo]=$B16,IF(DATOS_[AGRUP. CLAS. PROF.]=$B15,IF(DATOS_[Check Periodo Ref.]="Dentro",DATOS_[TOTAL Retrib Ef],0)))), 0)</f>
        <v>0</v>
      </c>
    </row>
    <row r="17" s="234" customFormat="true" ht="14.25" hidden="false" customHeight="false" outlineLevel="0" collapsed="false">
      <c r="A17" s="234" t="str">
        <f aca="false">+A16</f>
        <v>[ocultar]</v>
      </c>
      <c r="B17" s="246" t="s">
        <v>372</v>
      </c>
      <c r="C17" s="247" t="n">
        <f aca="false" t="array" ref="C17:C17">SUM(IF($B17=DATOS_[Sexo], IF($B15=DATOS_[AGRUP. CLAS. PROF.], IF("Dentro"=DATOS_[Check Periodo Ref.], 1/(COUNTIFS(DATOS_[Sexo],$B17,DATOS_[AGRUP. CLAS. PROF.],$B15,DATOS_[Check Periodo Ref.],"Dentro",DATOS_[id],DATOS_[id]))))))</f>
        <v>0</v>
      </c>
      <c r="D17" s="248" t="n">
        <f aca="false">COUNTIFS(DATOS_[AGRUP. CLAS. PROF.],$B15,DATOS_[Sexo],$B17,DATOS_[Check Periodo Ref.],"Dentro")</f>
        <v>0</v>
      </c>
      <c r="E17" s="249" t="n">
        <f aca="false" t="array" ref="E17:E17">IFERROR( MEDIAN(IF(DATOS_[Sexo]=$B17,IF(DATOS_[AGRUP. CLAS. PROF.]=$B15,IF(DATOS_[Check Periodo Ref.]="Dentro",DATOS_[SALARIO BASE Ef],0)))), 0)</f>
        <v>0</v>
      </c>
      <c r="F17" s="250" t="n">
        <f aca="false" t="array" ref="F17:F17">IFERROR( MEDIAN((IF(DATOS_[[Sexo]:[Sexo]]=$B17,IF(DATOS_[[AGRUP. CLAS. PROF.]:[AGRUP. CLAS. PROF.]]=$B15,IF(DATOS_[[Check Periodo Ref.]:[Check Periodo Ref.]]="Dentro",DATOS_[Conc.Sal.01]))))), 0)</f>
        <v>0</v>
      </c>
      <c r="G17" s="250" t="n">
        <f aca="false" t="array" ref="G17:G17">IFERROR( MEDIAN((IF(DATOS_[[Sexo]:[Sexo]]=$B17,IF(DATOS_[[AGRUP. CLAS. PROF.]:[AGRUP. CLAS. PROF.]]=$B15,IF(DATOS_[[Check Periodo Ref.]:[Check Periodo Ref.]]="Dentro",DATOS_[Conc.Sal.02]))))), 0)</f>
        <v>0</v>
      </c>
      <c r="H17" s="250" t="n">
        <f aca="false" t="array" ref="H17:H17">IFERROR( MEDIAN((IF(DATOS_[[Sexo]:[Sexo]]=$B17,IF(DATOS_[[AGRUP. CLAS. PROF.]:[AGRUP. CLAS. PROF.]]=$B15,IF(DATOS_[[Check Periodo Ref.]:[Check Periodo Ref.]]="Dentro",DATOS_[Conc.Sal.03]))))), 0)</f>
        <v>0</v>
      </c>
      <c r="I17" s="250" t="n">
        <f aca="false" t="array" ref="I17:I17">IFERROR( MEDIAN((IF(DATOS_[[Sexo]:[Sexo]]=$B17,IF(DATOS_[[AGRUP. CLAS. PROF.]:[AGRUP. CLAS. PROF.]]=$B15,IF(DATOS_[[Check Periodo Ref.]:[Check Periodo Ref.]]="Dentro",DATOS_[Conc.Sal.04]))))), 0)</f>
        <v>0</v>
      </c>
      <c r="J17" s="250" t="n">
        <f aca="false" t="array" ref="J17:J17">IFERROR( MEDIAN((IF(DATOS_[[Sexo]:[Sexo]]=$B17,IF(DATOS_[[AGRUP. CLAS. PROF.]:[AGRUP. CLAS. PROF.]]=$B15,IF(DATOS_[[Check Periodo Ref.]:[Check Periodo Ref.]]="Dentro",DATOS_[Conc.Sal.05]))))), 0)</f>
        <v>0</v>
      </c>
      <c r="K17" s="250" t="n">
        <f aca="false" t="array" ref="K17:K17">IFERROR( MEDIAN((IF(DATOS_[[Sexo]:[Sexo]]=$B17,IF(DATOS_[[AGRUP. CLAS. PROF.]:[AGRUP. CLAS. PROF.]]=$B15,IF(DATOS_[[Check Periodo Ref.]:[Check Periodo Ref.]]="Dentro",DATOS_[Conc.Sal.06]))))), 0)</f>
        <v>0</v>
      </c>
      <c r="L17" s="250" t="n">
        <f aca="false" t="array" ref="L17:L17">IFERROR( MEDIAN((IF(DATOS_[[Sexo]:[Sexo]]=$B17,IF(DATOS_[[AGRUP. CLAS. PROF.]:[AGRUP. CLAS. PROF.]]=$B15,IF(DATOS_[[Check Periodo Ref.]:[Check Periodo Ref.]]="Dentro",DATOS_[Conc.Sal.07]))))), 0)</f>
        <v>0</v>
      </c>
      <c r="M17" s="250" t="n">
        <f aca="false" t="array" ref="M17:M17">IFERROR( MEDIAN((IF(DATOS_[[Sexo]:[Sexo]]=$B17,IF(DATOS_[[AGRUP. CLAS. PROF.]:[AGRUP. CLAS. PROF.]]=$B15,IF(DATOS_[[Check Periodo Ref.]:[Check Periodo Ref.]]="Dentro",DATOS_[Conc.Sal.08]))))), 0)</f>
        <v>0</v>
      </c>
      <c r="N17" s="250" t="n">
        <f aca="false" t="array" ref="N17:N17">IFERROR( MEDIAN((IF(DATOS_[[Sexo]:[Sexo]]=$B17,IF(DATOS_[[AGRUP. CLAS. PROF.]:[AGRUP. CLAS. PROF.]]=$B15,IF(DATOS_[[Check Periodo Ref.]:[Check Periodo Ref.]]="Dentro",DATOS_[Conc.Sal.09]))))), 0)</f>
        <v>0</v>
      </c>
      <c r="O17" s="250" t="n">
        <f aca="false" t="array" ref="O17:O17">IFERROR( MEDIAN((IF(DATOS_[[Sexo]:[Sexo]]=$B17,IF(DATOS_[[AGRUP. CLAS. PROF.]:[AGRUP. CLAS. PROF.]]=$B15,IF(DATOS_[[Check Periodo Ref.]:[Check Periodo Ref.]]="Dentro",DATOS_[Conc.Sal.10]))))), 0)</f>
        <v>0</v>
      </c>
      <c r="P17" s="250" t="n">
        <f aca="false" t="array" ref="P17:P17">IFERROR( MEDIAN((IF(DATOS_[[Sexo]:[Sexo]]=$B17,IF(DATOS_[[AGRUP. CLAS. PROF.]:[AGRUP. CLAS. PROF.]]=$B15,IF(DATOS_[[Check Periodo Ref.]:[Check Periodo Ref.]]="Dentro",DATOS_[Conc.Sal.11]))))), 0)</f>
        <v>0</v>
      </c>
      <c r="Q17" s="250" t="n">
        <f aca="false" t="array" ref="Q17:Q17">IFERROR( MEDIAN((IF(DATOS_[[Sexo]:[Sexo]]=$B17,IF(DATOS_[[AGRUP. CLAS. PROF.]:[AGRUP. CLAS. PROF.]]=$B15,IF(DATOS_[[Check Periodo Ref.]:[Check Periodo Ref.]]="Dentro",DATOS_[Conc.Sal.12]))))), 0)</f>
        <v>0</v>
      </c>
      <c r="R17" s="250" t="n">
        <f aca="false" t="array" ref="R17:R17">IFERROR( MEDIAN((IF(DATOS_[[Sexo]:[Sexo]]=$B17,IF(DATOS_[[AGRUP. CLAS. PROF.]:[AGRUP. CLAS. PROF.]]=$B15,IF(DATOS_[[Check Periodo Ref.]:[Check Periodo Ref.]]="Dentro",DATOS_[Conc.Sal.13]))))), 0)</f>
        <v>0</v>
      </c>
      <c r="S17" s="250" t="n">
        <f aca="false" t="array" ref="S17:S17">IFERROR( MEDIAN((IF(DATOS_[[Sexo]:[Sexo]]=$B17,IF(DATOS_[[AGRUP. CLAS. PROF.]:[AGRUP. CLAS. PROF.]]=$B15,IF(DATOS_[[Check Periodo Ref.]:[Check Periodo Ref.]]="Dentro",DATOS_[Conc.Sal.14]))))), 0)</f>
        <v>0</v>
      </c>
      <c r="T17" s="250" t="n">
        <f aca="false" t="array" ref="T17:T17">IFERROR( MEDIAN((IF(DATOS_[[Sexo]:[Sexo]]=$B17,IF(DATOS_[[AGRUP. CLAS. PROF.]:[AGRUP. CLAS. PROF.]]=$B15,IF(DATOS_[[Check Periodo Ref.]:[Check Periodo Ref.]]="Dentro",DATOS_[Conc.Sal.15]))))), 0)</f>
        <v>0</v>
      </c>
      <c r="U17" s="250" t="n">
        <f aca="false" t="array" ref="U17:U17">IFERROR( MEDIAN((IF(DATOS_[[Sexo]:[Sexo]]=$B17,IF(DATOS_[[AGRUP. CLAS. PROF.]:[AGRUP. CLAS. PROF.]]=$B15,IF(DATOS_[[Check Periodo Ref.]:[Check Periodo Ref.]]="Dentro",DATOS_[Conc.Sal.16]))))), 0)</f>
        <v>0</v>
      </c>
      <c r="V17" s="250" t="n">
        <f aca="false" t="array" ref="V17:V17">IFERROR( MEDIAN((IF(DATOS_[[Sexo]:[Sexo]]=$B17,IF(DATOS_[[AGRUP. CLAS. PROF.]:[AGRUP. CLAS. PROF.]]=$B15,IF(DATOS_[[Check Periodo Ref.]:[Check Periodo Ref.]]="Dentro",DATOS_[Conc.Sal.17]))))), 0)</f>
        <v>0</v>
      </c>
      <c r="W17" s="250" t="n">
        <f aca="false" t="array" ref="W17:W17">IFERROR( MEDIAN((IF(DATOS_[[Sexo]:[Sexo]]=$B17,IF(DATOS_[[AGRUP. CLAS. PROF.]:[AGRUP. CLAS. PROF.]]=$B15,IF(DATOS_[[Check Periodo Ref.]:[Check Periodo Ref.]]="Dentro",DATOS_[Conc.Sal.18]))))), 0)</f>
        <v>0</v>
      </c>
      <c r="X17" s="250" t="n">
        <f aca="false" t="array" ref="X17:X17">IFERROR( MEDIAN((IF(DATOS_[[Sexo]:[Sexo]]=$B17,IF(DATOS_[[AGRUP. CLAS. PROF.]:[AGRUP. CLAS. PROF.]]=$B15,IF(DATOS_[[Check Periodo Ref.]:[Check Periodo Ref.]]="Dentro",DATOS_[Conc.Sal.19]))))), 0)</f>
        <v>0</v>
      </c>
      <c r="Y17" s="250" t="n">
        <f aca="false" t="array" ref="Y17:Y17">IFERROR( MEDIAN((IF(DATOS_[[Sexo]:[Sexo]]=$B17,IF(DATOS_[[AGRUP. CLAS. PROF.]:[AGRUP. CLAS. PROF.]]=$B15,IF(DATOS_[[Check Periodo Ref.]:[Check Periodo Ref.]]="Dentro",DATOS_[Conc.Sal.20]))))), 0)</f>
        <v>0</v>
      </c>
      <c r="Z17" s="250" t="n">
        <f aca="false" t="array" ref="Z17:Z17">IFERROR( MEDIAN((IF(DATOS_[[Sexo]:[Sexo]]=$B17,IF(DATOS_[[AGRUP. CLAS. PROF.]:[AGRUP. CLAS. PROF.]]=$B15,IF(DATOS_[[Check Periodo Ref.]:[Check Periodo Ref.]]="Dentro",DATOS_[Conc.Sal.21]))))), 0)</f>
        <v>0</v>
      </c>
      <c r="AA17" s="250" t="n">
        <f aca="false" t="array" ref="AA17:AA17">IFERROR( MEDIAN((IF(DATOS_[[Sexo]:[Sexo]]=$B17,IF(DATOS_[[AGRUP. CLAS. PROF.]:[AGRUP. CLAS. PROF.]]=$B15,IF(DATOS_[[Check Periodo Ref.]:[Check Periodo Ref.]]="Dentro",DATOS_[Conc.Sal.22]))))), 0)</f>
        <v>0</v>
      </c>
      <c r="AB17" s="250" t="n">
        <f aca="false" t="array" ref="AB17:AB17">IFERROR( MEDIAN((IF(DATOS_[[Sexo]:[Sexo]]=$B17,IF(DATOS_[[AGRUP. CLAS. PROF.]:[AGRUP. CLAS. PROF.]]=$B15,IF(DATOS_[[Check Periodo Ref.]:[Check Periodo Ref.]]="Dentro",DATOS_[Conc.Sal.23]))))), 0)</f>
        <v>0</v>
      </c>
      <c r="AC17" s="250" t="n">
        <f aca="false" t="array" ref="AC17:AC17">IFERROR( MEDIAN((IF(DATOS_[[Sexo]:[Sexo]]=$B17,IF(DATOS_[[AGRUP. CLAS. PROF.]:[AGRUP. CLAS. PROF.]]=$B15,IF(DATOS_[[Check Periodo Ref.]:[Check Periodo Ref.]]="Dentro",DATOS_[Conc.Sal.24]))))), 0)</f>
        <v>0</v>
      </c>
      <c r="AD17" s="250" t="n">
        <f aca="false" t="array" ref="AD17:AD17">IFERROR( MEDIAN((IF(DATOS_[[Sexo]:[Sexo]]=$B17,IF(DATOS_[[AGRUP. CLAS. PROF.]:[AGRUP. CLAS. PROF.]]=$B15,IF(DATOS_[[Check Periodo Ref.]:[Check Periodo Ref.]]="Dentro",DATOS_[Conc.Sal.25]))))), 0)</f>
        <v>0</v>
      </c>
      <c r="AE17" s="250" t="n">
        <f aca="false" t="array" ref="AE17:AE17">IFERROR( MEDIAN((IF(DATOS_[[Sexo]:[Sexo]]=$B17,IF(DATOS_[[AGRUP. CLAS. PROF.]:[AGRUP. CLAS. PROF.]]=$B15,IF(DATOS_[[Check Periodo Ref.]:[Check Periodo Ref.]]="Dentro",DATOS_[Conc.Sal.26]))))), 0)</f>
        <v>0</v>
      </c>
      <c r="AF17" s="250" t="n">
        <f aca="false" t="array" ref="AF17:AF17">IFERROR( MEDIAN((IF(DATOS_[[Sexo]:[Sexo]]=$B17,IF(DATOS_[[AGRUP. CLAS. PROF.]:[AGRUP. CLAS. PROF.]]=$B15,IF(DATOS_[[Check Periodo Ref.]:[Check Periodo Ref.]]="Dentro",DATOS_[Conc.Sal.27]))))), 0)</f>
        <v>0</v>
      </c>
      <c r="AG17" s="250" t="n">
        <f aca="false" t="array" ref="AG17:AG17">IFERROR( MEDIAN((IF(DATOS_[[Sexo]:[Sexo]]=$B17,IF(DATOS_[[AGRUP. CLAS. PROF.]:[AGRUP. CLAS. PROF.]]=$B15,IF(DATOS_[[Check Periodo Ref.]:[Check Periodo Ref.]]="Dentro",DATOS_[Conc.Sal.28]))))), 0)</f>
        <v>0</v>
      </c>
      <c r="AH17" s="250" t="n">
        <f aca="false" t="array" ref="AH17:AH17">IFERROR( MEDIAN((IF(DATOS_[[Sexo]:[Sexo]]=$B17,IF(DATOS_[[AGRUP. CLAS. PROF.]:[AGRUP. CLAS. PROF.]]=$B15,IF(DATOS_[[Check Periodo Ref.]:[Check Periodo Ref.]]="Dentro",DATOS_[Conc.Sal.29]))))), 0)</f>
        <v>0</v>
      </c>
      <c r="AI17" s="250" t="n">
        <f aca="false" t="array" ref="AI17:AI17">IFERROR( MEDIAN((IF(DATOS_[[Sexo]:[Sexo]]=$B17,IF(DATOS_[[AGRUP. CLAS. PROF.]:[AGRUP. CLAS. PROF.]]=$B15,IF(DATOS_[[Check Periodo Ref.]:[Check Periodo Ref.]]="Dentro",DATOS_[Conc.Sal.30]))))), 0)</f>
        <v>0</v>
      </c>
      <c r="AJ17" s="251" t="n">
        <f aca="false" t="array" ref="AJ17:AJ17">IFERROR( MEDIAN(IF(DATOS_[Sexo]=$B17,IF(DATOS_[AGRUP. CLAS. PROF.]=$B15,IF(DATOS_[Check Periodo Ref.]="Dentro",DATOS_[Tot COMPL.SAL Ef],0)))), 0)</f>
        <v>0</v>
      </c>
      <c r="AK17" s="252" t="n">
        <f aca="false" t="array" ref="AK17:AK17">IFERROR( MEDIAN(IF(DATOS_[Sexo]=$B17,IF(DATOS_[AGRUP. CLAS. PROF.]=$B15,IF(DATOS_[Check Periodo Ref.]="Dentro",DATOS_[TOTAL SALARIO Ef],0)))), 0)</f>
        <v>0</v>
      </c>
      <c r="AL17" s="259" t="n">
        <f aca="false" t="array" ref="AL17:AL17">IFERROR( MEDIAN((IF(DATOS_[[Sexo]:[Sexo]]=$B17,IF(DATOS_[[AGRUP. CLAS. PROF.]:[AGRUP. CLAS. PROF.]]=$B15,IF(DATOS_[[Check Periodo Ref.]:[Check Periodo Ref.]]="Dentro",DATOS_[C.Extra.01]))))), 0)</f>
        <v>0</v>
      </c>
      <c r="AM17" s="259" t="n">
        <f aca="false" t="array" ref="AM17:AM17">IFERROR( MEDIAN((IF(DATOS_[[Sexo]:[Sexo]]=$B17,IF(DATOS_[[AGRUP. CLAS. PROF.]:[AGRUP. CLAS. PROF.]]=$B15,IF(DATOS_[[Check Periodo Ref.]:[Check Periodo Ref.]]="Dentro",DATOS_[C.Extra.02]))))), 0)</f>
        <v>0</v>
      </c>
      <c r="AN17" s="259" t="n">
        <f aca="false" t="array" ref="AN17:AN17">IFERROR( MEDIAN((IF(DATOS_[[Sexo]:[Sexo]]=$B17,IF(DATOS_[[AGRUP. CLAS. PROF.]:[AGRUP. CLAS. PROF.]]=$B15,IF(DATOS_[[Check Periodo Ref.]:[Check Periodo Ref.]]="Dentro",DATOS_[C.Extra.03]))))), 0)</f>
        <v>0</v>
      </c>
      <c r="AO17" s="259" t="n">
        <f aca="false" t="array" ref="AO17:AO17">IFERROR( MEDIAN((IF(DATOS_[[Sexo]:[Sexo]]=$B17,IF(DATOS_[[AGRUP. CLAS. PROF.]:[AGRUP. CLAS. PROF.]]=$B15,IF(DATOS_[[Check Periodo Ref.]:[Check Periodo Ref.]]="Dentro",DATOS_[C.Extra.04]))))), 0)</f>
        <v>0</v>
      </c>
      <c r="AP17" s="259" t="n">
        <f aca="false" t="array" ref="AP17:AP17">IFERROR( MEDIAN((IF(DATOS_[[Sexo]:[Sexo]]=$B17,IF(DATOS_[[AGRUP. CLAS. PROF.]:[AGRUP. CLAS. PROF.]]=$B15,IF(DATOS_[[Check Periodo Ref.]:[Check Periodo Ref.]]="Dentro",DATOS_[C.Extra.05]))))), 0)</f>
        <v>0</v>
      </c>
      <c r="AQ17" s="254" t="n">
        <f aca="false" t="array" ref="AQ17:AQ17">IFERROR( MEDIAN(IF(DATOS_[Sexo]=$B17,IF(DATOS_[AGRUP. CLAS. PROF.]=$B15,IF(DATOS_[Check Periodo Ref.]="Dentro",DATOS_[Tot Extrasalarial Ef],0)))), 0)</f>
        <v>0</v>
      </c>
      <c r="AR17" s="255" t="n">
        <f aca="false" t="array" ref="AR17:AR17">IFERROR( MEDIAN(IF(DATOS_[Sexo]=$B17,IF(DATOS_[AGRUP. CLAS. PROF.]=$B15,IF(DATOS_[Check Periodo Ref.]="Dentro",DATOS_[TOTAL Retrib Ef],0)))), 0)</f>
        <v>0</v>
      </c>
    </row>
    <row r="18" s="234" customFormat="true" ht="15.75" hidden="false" customHeight="false" outlineLevel="0" collapsed="false">
      <c r="A18" s="234" t="str">
        <f aca="false">+A19</f>
        <v>[ocultar]</v>
      </c>
      <c r="B18" s="235" t="s">
        <v>175</v>
      </c>
      <c r="C18" s="236"/>
      <c r="D18" s="237"/>
      <c r="E18" s="238" t="str">
        <f aca="false">IFERROR((E19-E20)/E19,"")</f>
        <v/>
      </c>
      <c r="F18" s="239" t="str">
        <f aca="false">IFERROR((F19-F20)/F19,"")</f>
        <v/>
      </c>
      <c r="G18" s="239" t="str">
        <f aca="false">IFERROR((G19-G20)/G19,"")</f>
        <v/>
      </c>
      <c r="H18" s="239" t="str">
        <f aca="false">IFERROR((H19-H20)/H19,"")</f>
        <v/>
      </c>
      <c r="I18" s="239"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40" t="str">
        <f aca="false">IFERROR((V19-V20)/V19,"")</f>
        <v/>
      </c>
      <c r="W18" s="240" t="str">
        <f aca="false">IFERROR((W19-W20)/W19,"")</f>
        <v/>
      </c>
      <c r="X18" s="240" t="str">
        <f aca="false">IFERROR((X19-X20)/X19,"")</f>
        <v/>
      </c>
      <c r="Y18" s="240"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1" t="str">
        <f aca="false">IFERROR((AJ19-AJ20)/AJ19,"")</f>
        <v/>
      </c>
      <c r="AK18" s="242" t="str">
        <f aca="false">IFERROR((AK19-AK20)/AK19,"")</f>
        <v/>
      </c>
      <c r="AL18" s="243" t="str">
        <f aca="false">IFERROR((AL19-AL20)/AL19,"")</f>
        <v/>
      </c>
      <c r="AM18" s="243" t="str">
        <f aca="false">IFERROR((AM19-AM20)/AM19,"")</f>
        <v/>
      </c>
      <c r="AN18" s="243" t="str">
        <f aca="false">IFERROR((AN19-AN20)/AN19,"")</f>
        <v/>
      </c>
      <c r="AO18" s="243" t="str">
        <f aca="false">IFERROR((AO19-AO20)/AO19,"")</f>
        <v/>
      </c>
      <c r="AP18" s="243" t="str">
        <f aca="false">IFERROR((AP19-AP20)/AP19,"")</f>
        <v/>
      </c>
      <c r="AQ18" s="244" t="str">
        <f aca="false">IFERROR((AQ19-AQ20)/AQ19,"")</f>
        <v/>
      </c>
      <c r="AR18" s="245" t="str">
        <f aca="false">IFERROR((AR19-AR20)/AR19,"")</f>
        <v/>
      </c>
    </row>
    <row r="19" s="234" customFormat="true" ht="14.25" hidden="false" customHeight="false" outlineLevel="0" collapsed="false">
      <c r="A19" s="234" t="str">
        <f aca="false">+IF(C19+C20=0,"[ocultar]","")</f>
        <v>[ocultar]</v>
      </c>
      <c r="B19" s="246" t="s">
        <v>371</v>
      </c>
      <c r="C19" s="247" t="n">
        <f aca="false" t="array" ref="C19:C19">SUM(IF($B19=DATOS_[Sexo], IF($B18=DATOS_[AGRUP. CLAS. PROF.], IF("Dentro"=DATOS_[Check Periodo Ref.], 1/(COUNTIFS(DATOS_[Sexo],$B19,DATOS_[AGRUP. CLAS. PROF.],$B18,DATOS_[Check Periodo Ref.],"Dentro",DATOS_[id],DATOS_[id]))))))</f>
        <v>0</v>
      </c>
      <c r="D19" s="248" t="n">
        <f aca="false">COUNTIFS(DATOS_[AGRUP. CLAS. PROF.],$B18,DATOS_[Sexo],$B19,DATOS_[Check Periodo Ref.],"Dentro")</f>
        <v>0</v>
      </c>
      <c r="E19" s="249" t="n">
        <f aca="false" t="array" ref="E19:E19">IFERROR( MEDIAN(IF(DATOS_[Sexo]=$B19,IF(DATOS_[AGRUP. CLAS. PROF.]=$B18,IF(DATOS_[Check Periodo Ref.]="Dentro",DATOS_[SALARIO BASE Ef],0)))), 0)</f>
        <v>0</v>
      </c>
      <c r="F19" s="250" t="n">
        <f aca="false" t="array" ref="F19:F19">IFERROR( MEDIAN((IF(DATOS_[[Sexo]:[Sexo]]=$B19,IF(DATOS_[[AGRUP. CLAS. PROF.]:[AGRUP. CLAS. PROF.]]=$B18,IF(DATOS_[[Check Periodo Ref.]:[Check Periodo Ref.]]="Dentro",DATOS_[Conc.Sal.01]))))), 0)</f>
        <v>0</v>
      </c>
      <c r="G19" s="250" t="n">
        <f aca="false" t="array" ref="G19:G19">IFERROR( MEDIAN((IF(DATOS_[[Sexo]:[Sexo]]=$B19,IF(DATOS_[[AGRUP. CLAS. PROF.]:[AGRUP. CLAS. PROF.]]=$B18,IF(DATOS_[[Check Periodo Ref.]:[Check Periodo Ref.]]="Dentro",DATOS_[Conc.Sal.02]))))), 0)</f>
        <v>0</v>
      </c>
      <c r="H19" s="250" t="n">
        <f aca="false" t="array" ref="H19:H19">IFERROR( MEDIAN((IF(DATOS_[[Sexo]:[Sexo]]=$B19,IF(DATOS_[[AGRUP. CLAS. PROF.]:[AGRUP. CLAS. PROF.]]=$B18,IF(DATOS_[[Check Periodo Ref.]:[Check Periodo Ref.]]="Dentro",DATOS_[Conc.Sal.03]))))), 0)</f>
        <v>0</v>
      </c>
      <c r="I19" s="250" t="n">
        <f aca="false" t="array" ref="I19:I19">IFERROR( MEDIAN((IF(DATOS_[[Sexo]:[Sexo]]=$B19,IF(DATOS_[[AGRUP. CLAS. PROF.]:[AGRUP. CLAS. PROF.]]=$B18,IF(DATOS_[[Check Periodo Ref.]:[Check Periodo Ref.]]="Dentro",DATOS_[Conc.Sal.04]))))), 0)</f>
        <v>0</v>
      </c>
      <c r="J19" s="250" t="n">
        <f aca="false" t="array" ref="J19:J19">IFERROR( MEDIAN((IF(DATOS_[[Sexo]:[Sexo]]=$B19,IF(DATOS_[[AGRUP. CLAS. PROF.]:[AGRUP. CLAS. PROF.]]=$B18,IF(DATOS_[[Check Periodo Ref.]:[Check Periodo Ref.]]="Dentro",DATOS_[Conc.Sal.05]))))), 0)</f>
        <v>0</v>
      </c>
      <c r="K19" s="250" t="n">
        <f aca="false" t="array" ref="K19:K19">IFERROR( MEDIAN((IF(DATOS_[[Sexo]:[Sexo]]=$B19,IF(DATOS_[[AGRUP. CLAS. PROF.]:[AGRUP. CLAS. PROF.]]=$B18,IF(DATOS_[[Check Periodo Ref.]:[Check Periodo Ref.]]="Dentro",DATOS_[Conc.Sal.06]))))), 0)</f>
        <v>0</v>
      </c>
      <c r="L19" s="250" t="n">
        <f aca="false" t="array" ref="L19:L19">IFERROR( MEDIAN((IF(DATOS_[[Sexo]:[Sexo]]=$B19,IF(DATOS_[[AGRUP. CLAS. PROF.]:[AGRUP. CLAS. PROF.]]=$B18,IF(DATOS_[[Check Periodo Ref.]:[Check Periodo Ref.]]="Dentro",DATOS_[Conc.Sal.07]))))), 0)</f>
        <v>0</v>
      </c>
      <c r="M19" s="250" t="n">
        <f aca="false" t="array" ref="M19:M19">IFERROR( MEDIAN((IF(DATOS_[[Sexo]:[Sexo]]=$B19,IF(DATOS_[[AGRUP. CLAS. PROF.]:[AGRUP. CLAS. PROF.]]=$B18,IF(DATOS_[[Check Periodo Ref.]:[Check Periodo Ref.]]="Dentro",DATOS_[Conc.Sal.08]))))), 0)</f>
        <v>0</v>
      </c>
      <c r="N19" s="250" t="n">
        <f aca="false" t="array" ref="N19:N19">IFERROR( MEDIAN((IF(DATOS_[[Sexo]:[Sexo]]=$B19,IF(DATOS_[[AGRUP. CLAS. PROF.]:[AGRUP. CLAS. PROF.]]=$B18,IF(DATOS_[[Check Periodo Ref.]:[Check Periodo Ref.]]="Dentro",DATOS_[Conc.Sal.09]))))), 0)</f>
        <v>0</v>
      </c>
      <c r="O19" s="250" t="n">
        <f aca="false" t="array" ref="O19:O19">IFERROR( MEDIAN((IF(DATOS_[[Sexo]:[Sexo]]=$B19,IF(DATOS_[[AGRUP. CLAS. PROF.]:[AGRUP. CLAS. PROF.]]=$B18,IF(DATOS_[[Check Periodo Ref.]:[Check Periodo Ref.]]="Dentro",DATOS_[Conc.Sal.10]))))), 0)</f>
        <v>0</v>
      </c>
      <c r="P19" s="250" t="n">
        <f aca="false" t="array" ref="P19:P19">IFERROR( MEDIAN((IF(DATOS_[[Sexo]:[Sexo]]=$B19,IF(DATOS_[[AGRUP. CLAS. PROF.]:[AGRUP. CLAS. PROF.]]=$B18,IF(DATOS_[[Check Periodo Ref.]:[Check Periodo Ref.]]="Dentro",DATOS_[Conc.Sal.11]))))), 0)</f>
        <v>0</v>
      </c>
      <c r="Q19" s="250" t="n">
        <f aca="false" t="array" ref="Q19:Q19">IFERROR( MEDIAN((IF(DATOS_[[Sexo]:[Sexo]]=$B19,IF(DATOS_[[AGRUP. CLAS. PROF.]:[AGRUP. CLAS. PROF.]]=$B18,IF(DATOS_[[Check Periodo Ref.]:[Check Periodo Ref.]]="Dentro",DATOS_[Conc.Sal.12]))))), 0)</f>
        <v>0</v>
      </c>
      <c r="R19" s="250" t="n">
        <f aca="false" t="array" ref="R19:R19">IFERROR( MEDIAN((IF(DATOS_[[Sexo]:[Sexo]]=$B19,IF(DATOS_[[AGRUP. CLAS. PROF.]:[AGRUP. CLAS. PROF.]]=$B18,IF(DATOS_[[Check Periodo Ref.]:[Check Periodo Ref.]]="Dentro",DATOS_[Conc.Sal.13]))))), 0)</f>
        <v>0</v>
      </c>
      <c r="S19" s="250" t="n">
        <f aca="false" t="array" ref="S19:S19">IFERROR( MEDIAN((IF(DATOS_[[Sexo]:[Sexo]]=$B19,IF(DATOS_[[AGRUP. CLAS. PROF.]:[AGRUP. CLAS. PROF.]]=$B18,IF(DATOS_[[Check Periodo Ref.]:[Check Periodo Ref.]]="Dentro",DATOS_[Conc.Sal.14]))))), 0)</f>
        <v>0</v>
      </c>
      <c r="T19" s="250" t="n">
        <f aca="false" t="array" ref="T19:T19">IFERROR( MEDIAN((IF(DATOS_[[Sexo]:[Sexo]]=$B19,IF(DATOS_[[AGRUP. CLAS. PROF.]:[AGRUP. CLAS. PROF.]]=$B18,IF(DATOS_[[Check Periodo Ref.]:[Check Periodo Ref.]]="Dentro",DATOS_[Conc.Sal.15]))))), 0)</f>
        <v>0</v>
      </c>
      <c r="U19" s="250" t="n">
        <f aca="false" t="array" ref="U19:U19">IFERROR( MEDIAN((IF(DATOS_[[Sexo]:[Sexo]]=$B19,IF(DATOS_[[AGRUP. CLAS. PROF.]:[AGRUP. CLAS. PROF.]]=$B18,IF(DATOS_[[Check Periodo Ref.]:[Check Periodo Ref.]]="Dentro",DATOS_[Conc.Sal.16]))))), 0)</f>
        <v>0</v>
      </c>
      <c r="V19" s="250" t="n">
        <f aca="false" t="array" ref="V19:V19">IFERROR( MEDIAN((IF(DATOS_[[Sexo]:[Sexo]]=$B19,IF(DATOS_[[AGRUP. CLAS. PROF.]:[AGRUP. CLAS. PROF.]]=$B18,IF(DATOS_[[Check Periodo Ref.]:[Check Periodo Ref.]]="Dentro",DATOS_[Conc.Sal.17]))))), 0)</f>
        <v>0</v>
      </c>
      <c r="W19" s="250" t="n">
        <f aca="false" t="array" ref="W19:W19">IFERROR( MEDIAN((IF(DATOS_[[Sexo]:[Sexo]]=$B19,IF(DATOS_[[AGRUP. CLAS. PROF.]:[AGRUP. CLAS. PROF.]]=$B18,IF(DATOS_[[Check Periodo Ref.]:[Check Periodo Ref.]]="Dentro",DATOS_[Conc.Sal.18]))))), 0)</f>
        <v>0</v>
      </c>
      <c r="X19" s="250" t="n">
        <f aca="false" t="array" ref="X19:X19">IFERROR( MEDIAN((IF(DATOS_[[Sexo]:[Sexo]]=$B19,IF(DATOS_[[AGRUP. CLAS. PROF.]:[AGRUP. CLAS. PROF.]]=$B18,IF(DATOS_[[Check Periodo Ref.]:[Check Periodo Ref.]]="Dentro",DATOS_[Conc.Sal.19]))))), 0)</f>
        <v>0</v>
      </c>
      <c r="Y19" s="250" t="n">
        <f aca="false" t="array" ref="Y19:Y19">IFERROR( MEDIAN((IF(DATOS_[[Sexo]:[Sexo]]=$B19,IF(DATOS_[[AGRUP. CLAS. PROF.]:[AGRUP. CLAS. PROF.]]=$B18,IF(DATOS_[[Check Periodo Ref.]:[Check Periodo Ref.]]="Dentro",DATOS_[Conc.Sal.20]))))), 0)</f>
        <v>0</v>
      </c>
      <c r="Z19" s="250" t="n">
        <f aca="false" t="array" ref="Z19:Z19">IFERROR( MEDIAN((IF(DATOS_[[Sexo]:[Sexo]]=$B19,IF(DATOS_[[AGRUP. CLAS. PROF.]:[AGRUP. CLAS. PROF.]]=$B18,IF(DATOS_[[Check Periodo Ref.]:[Check Periodo Ref.]]="Dentro",DATOS_[Conc.Sal.21]))))), 0)</f>
        <v>0</v>
      </c>
      <c r="AA19" s="250" t="n">
        <f aca="false" t="array" ref="AA19:AA19">IFERROR( MEDIAN((IF(DATOS_[[Sexo]:[Sexo]]=$B19,IF(DATOS_[[AGRUP. CLAS. PROF.]:[AGRUP. CLAS. PROF.]]=$B18,IF(DATOS_[[Check Periodo Ref.]:[Check Periodo Ref.]]="Dentro",DATOS_[Conc.Sal.22]))))), 0)</f>
        <v>0</v>
      </c>
      <c r="AB19" s="250" t="n">
        <f aca="false" t="array" ref="AB19:AB19">IFERROR( MEDIAN((IF(DATOS_[[Sexo]:[Sexo]]=$B19,IF(DATOS_[[AGRUP. CLAS. PROF.]:[AGRUP. CLAS. PROF.]]=$B18,IF(DATOS_[[Check Periodo Ref.]:[Check Periodo Ref.]]="Dentro",DATOS_[Conc.Sal.23]))))), 0)</f>
        <v>0</v>
      </c>
      <c r="AC19" s="250" t="n">
        <f aca="false" t="array" ref="AC19:AC19">IFERROR( MEDIAN((IF(DATOS_[[Sexo]:[Sexo]]=$B19,IF(DATOS_[[AGRUP. CLAS. PROF.]:[AGRUP. CLAS. PROF.]]=$B18,IF(DATOS_[[Check Periodo Ref.]:[Check Periodo Ref.]]="Dentro",DATOS_[Conc.Sal.24]))))), 0)</f>
        <v>0</v>
      </c>
      <c r="AD19" s="250" t="n">
        <f aca="false" t="array" ref="AD19:AD19">IFERROR( MEDIAN((IF(DATOS_[[Sexo]:[Sexo]]=$B19,IF(DATOS_[[AGRUP. CLAS. PROF.]:[AGRUP. CLAS. PROF.]]=$B18,IF(DATOS_[[Check Periodo Ref.]:[Check Periodo Ref.]]="Dentro",DATOS_[Conc.Sal.25]))))), 0)</f>
        <v>0</v>
      </c>
      <c r="AE19" s="250" t="n">
        <f aca="false" t="array" ref="AE19:AE19">IFERROR( MEDIAN((IF(DATOS_[[Sexo]:[Sexo]]=$B19,IF(DATOS_[[AGRUP. CLAS. PROF.]:[AGRUP. CLAS. PROF.]]=$B18,IF(DATOS_[[Check Periodo Ref.]:[Check Periodo Ref.]]="Dentro",DATOS_[Conc.Sal.26]))))), 0)</f>
        <v>0</v>
      </c>
      <c r="AF19" s="250" t="n">
        <f aca="false" t="array" ref="AF19:AF19">IFERROR( MEDIAN((IF(DATOS_[[Sexo]:[Sexo]]=$B19,IF(DATOS_[[AGRUP. CLAS. PROF.]:[AGRUP. CLAS. PROF.]]=$B18,IF(DATOS_[[Check Periodo Ref.]:[Check Periodo Ref.]]="Dentro",DATOS_[Conc.Sal.27]))))), 0)</f>
        <v>0</v>
      </c>
      <c r="AG19" s="250" t="n">
        <f aca="false" t="array" ref="AG19:AG19">IFERROR( MEDIAN((IF(DATOS_[[Sexo]:[Sexo]]=$B19,IF(DATOS_[[AGRUP. CLAS. PROF.]:[AGRUP. CLAS. PROF.]]=$B18,IF(DATOS_[[Check Periodo Ref.]:[Check Periodo Ref.]]="Dentro",DATOS_[Conc.Sal.28]))))), 0)</f>
        <v>0</v>
      </c>
      <c r="AH19" s="250" t="n">
        <f aca="false" t="array" ref="AH19:AH19">IFERROR( MEDIAN((IF(DATOS_[[Sexo]:[Sexo]]=$B19,IF(DATOS_[[AGRUP. CLAS. PROF.]:[AGRUP. CLAS. PROF.]]=$B18,IF(DATOS_[[Check Periodo Ref.]:[Check Periodo Ref.]]="Dentro",DATOS_[Conc.Sal.29]))))), 0)</f>
        <v>0</v>
      </c>
      <c r="AI19" s="250" t="n">
        <f aca="false" t="array" ref="AI19:AI19">IFERROR( MEDIAN((IF(DATOS_[[Sexo]:[Sexo]]=$B19,IF(DATOS_[[AGRUP. CLAS. PROF.]:[AGRUP. CLAS. PROF.]]=$B18,IF(DATOS_[[Check Periodo Ref.]:[Check Periodo Ref.]]="Dentro",DATOS_[Conc.Sal.30]))))), 0)</f>
        <v>0</v>
      </c>
      <c r="AJ19" s="251" t="n">
        <f aca="false" t="array" ref="AJ19:AJ19">IFERROR( MEDIAN(IF(DATOS_[Sexo]=$B19,IF(DATOS_[AGRUP. CLAS. PROF.]=$B18,IF(DATOS_[Check Periodo Ref.]="Dentro",DATOS_[Tot COMPL.SAL Ef],0)))), 0)</f>
        <v>0</v>
      </c>
      <c r="AK19" s="252" t="n">
        <f aca="false" t="array" ref="AK19:AK19">IFERROR( MEDIAN(IF(DATOS_[Sexo]=$B19,IF(DATOS_[AGRUP. CLAS. PROF.]=$B18,IF(DATOS_[Check Periodo Ref.]="Dentro",DATOS_[TOTAL SALARIO Ef],0)))), 0)</f>
        <v>0</v>
      </c>
      <c r="AL19" s="259" t="n">
        <f aca="false" t="array" ref="AL19:AL19">IFERROR( MEDIAN((IF(DATOS_[[Sexo]:[Sexo]]=$B19,IF(DATOS_[[AGRUP. CLAS. PROF.]:[AGRUP. CLAS. PROF.]]=$B18,IF(DATOS_[[Check Periodo Ref.]:[Check Periodo Ref.]]="Dentro",DATOS_[C.Extra.01]))))), 0)</f>
        <v>0</v>
      </c>
      <c r="AM19" s="259" t="n">
        <f aca="false" t="array" ref="AM19:AM19">IFERROR( MEDIAN((IF(DATOS_[[Sexo]:[Sexo]]=$B19,IF(DATOS_[[AGRUP. CLAS. PROF.]:[AGRUP. CLAS. PROF.]]=$B18,IF(DATOS_[[Check Periodo Ref.]:[Check Periodo Ref.]]="Dentro",DATOS_[C.Extra.02]))))), 0)</f>
        <v>0</v>
      </c>
      <c r="AN19" s="259" t="n">
        <f aca="false" t="array" ref="AN19:AN19">IFERROR( MEDIAN((IF(DATOS_[[Sexo]:[Sexo]]=$B19,IF(DATOS_[[AGRUP. CLAS. PROF.]:[AGRUP. CLAS. PROF.]]=$B18,IF(DATOS_[[Check Periodo Ref.]:[Check Periodo Ref.]]="Dentro",DATOS_[C.Extra.03]))))), 0)</f>
        <v>0</v>
      </c>
      <c r="AO19" s="259" t="n">
        <f aca="false" t="array" ref="AO19:AO19">IFERROR( MEDIAN((IF(DATOS_[[Sexo]:[Sexo]]=$B19,IF(DATOS_[[AGRUP. CLAS. PROF.]:[AGRUP. CLAS. PROF.]]=$B18,IF(DATOS_[[Check Periodo Ref.]:[Check Periodo Ref.]]="Dentro",DATOS_[C.Extra.04]))))), 0)</f>
        <v>0</v>
      </c>
      <c r="AP19" s="259" t="n">
        <f aca="false" t="array" ref="AP19:AP19">IFERROR( MEDIAN((IF(DATOS_[[Sexo]:[Sexo]]=$B19,IF(DATOS_[[AGRUP. CLAS. PROF.]:[AGRUP. CLAS. PROF.]]=$B18,IF(DATOS_[[Check Periodo Ref.]:[Check Periodo Ref.]]="Dentro",DATOS_[C.Extra.05]))))), 0)</f>
        <v>0</v>
      </c>
      <c r="AQ19" s="254" t="n">
        <f aca="false" t="array" ref="AQ19:AQ19">IFERROR( MEDIAN(IF(DATOS_[Sexo]=$B19,IF(DATOS_[AGRUP. CLAS. PROF.]=$B18,IF(DATOS_[Check Periodo Ref.]="Dentro",DATOS_[Tot Extrasalarial Ef],0)))), 0)</f>
        <v>0</v>
      </c>
      <c r="AR19" s="255" t="n">
        <f aca="false" t="array" ref="AR19:AR19">IFERROR( MEDIAN(IF(DATOS_[Sexo]=$B19,IF(DATOS_[AGRUP. CLAS. PROF.]=$B18,IF(DATOS_[Check Periodo Ref.]="Dentro",DATOS_[TOTAL Retrib Ef],0)))), 0)</f>
        <v>0</v>
      </c>
    </row>
    <row r="20" s="234" customFormat="true" ht="14.25" hidden="false" customHeight="false" outlineLevel="0" collapsed="false">
      <c r="A20" s="234" t="str">
        <f aca="false">+A19</f>
        <v>[ocultar]</v>
      </c>
      <c r="B20" s="246" t="s">
        <v>372</v>
      </c>
      <c r="C20" s="247" t="n">
        <f aca="false" t="array" ref="C20:C20">SUM(IF($B20=DATOS_[Sexo], IF($B18=DATOS_[AGRUP. CLAS. PROF.], IF("Dentro"=DATOS_[Check Periodo Ref.], 1/(COUNTIFS(DATOS_[Sexo],$B20,DATOS_[AGRUP. CLAS. PROF.],$B18,DATOS_[Check Periodo Ref.],"Dentro",DATOS_[id],DATOS_[id]))))))</f>
        <v>0</v>
      </c>
      <c r="D20" s="248" t="n">
        <f aca="false">COUNTIFS(DATOS_[AGRUP. CLAS. PROF.],$B18,DATOS_[Sexo],$B20,DATOS_[Check Periodo Ref.],"Dentro")</f>
        <v>0</v>
      </c>
      <c r="E20" s="249" t="n">
        <f aca="false" t="array" ref="E20:E20">IFERROR( MEDIAN(IF(DATOS_[Sexo]=$B20,IF(DATOS_[AGRUP. CLAS. PROF.]=$B18,IF(DATOS_[Check Periodo Ref.]="Dentro",DATOS_[SALARIO BASE Ef],0)))), 0)</f>
        <v>0</v>
      </c>
      <c r="F20" s="250" t="n">
        <f aca="false" t="array" ref="F20:F20">IFERROR( MEDIAN((IF(DATOS_[[Sexo]:[Sexo]]=$B20,IF(DATOS_[[AGRUP. CLAS. PROF.]:[AGRUP. CLAS. PROF.]]=$B18,IF(DATOS_[[Check Periodo Ref.]:[Check Periodo Ref.]]="Dentro",DATOS_[Conc.Sal.01]))))), 0)</f>
        <v>0</v>
      </c>
      <c r="G20" s="250" t="n">
        <f aca="false" t="array" ref="G20:G20">IFERROR( MEDIAN((IF(DATOS_[[Sexo]:[Sexo]]=$B20,IF(DATOS_[[AGRUP. CLAS. PROF.]:[AGRUP. CLAS. PROF.]]=$B18,IF(DATOS_[[Check Periodo Ref.]:[Check Periodo Ref.]]="Dentro",DATOS_[Conc.Sal.02]))))), 0)</f>
        <v>0</v>
      </c>
      <c r="H20" s="250" t="n">
        <f aca="false" t="array" ref="H20:H20">IFERROR( MEDIAN((IF(DATOS_[[Sexo]:[Sexo]]=$B20,IF(DATOS_[[AGRUP. CLAS. PROF.]:[AGRUP. CLAS. PROF.]]=$B18,IF(DATOS_[[Check Periodo Ref.]:[Check Periodo Ref.]]="Dentro",DATOS_[Conc.Sal.03]))))), 0)</f>
        <v>0</v>
      </c>
      <c r="I20" s="250" t="n">
        <f aca="false" t="array" ref="I20:I20">IFERROR( MEDIAN((IF(DATOS_[[Sexo]:[Sexo]]=$B20,IF(DATOS_[[AGRUP. CLAS. PROF.]:[AGRUP. CLAS. PROF.]]=$B18,IF(DATOS_[[Check Periodo Ref.]:[Check Periodo Ref.]]="Dentro",DATOS_[Conc.Sal.04]))))), 0)</f>
        <v>0</v>
      </c>
      <c r="J20" s="250" t="n">
        <f aca="false" t="array" ref="J20:J20">IFERROR( MEDIAN((IF(DATOS_[[Sexo]:[Sexo]]=$B20,IF(DATOS_[[AGRUP. CLAS. PROF.]:[AGRUP. CLAS. PROF.]]=$B18,IF(DATOS_[[Check Periodo Ref.]:[Check Periodo Ref.]]="Dentro",DATOS_[Conc.Sal.05]))))), 0)</f>
        <v>0</v>
      </c>
      <c r="K20" s="250" t="n">
        <f aca="false" t="array" ref="K20:K20">IFERROR( MEDIAN((IF(DATOS_[[Sexo]:[Sexo]]=$B20,IF(DATOS_[[AGRUP. CLAS. PROF.]:[AGRUP. CLAS. PROF.]]=$B18,IF(DATOS_[[Check Periodo Ref.]:[Check Periodo Ref.]]="Dentro",DATOS_[Conc.Sal.06]))))), 0)</f>
        <v>0</v>
      </c>
      <c r="L20" s="250" t="n">
        <f aca="false" t="array" ref="L20:L20">IFERROR( MEDIAN((IF(DATOS_[[Sexo]:[Sexo]]=$B20,IF(DATOS_[[AGRUP. CLAS. PROF.]:[AGRUP. CLAS. PROF.]]=$B18,IF(DATOS_[[Check Periodo Ref.]:[Check Periodo Ref.]]="Dentro",DATOS_[Conc.Sal.07]))))), 0)</f>
        <v>0</v>
      </c>
      <c r="M20" s="250" t="n">
        <f aca="false" t="array" ref="M20:M20">IFERROR( MEDIAN((IF(DATOS_[[Sexo]:[Sexo]]=$B20,IF(DATOS_[[AGRUP. CLAS. PROF.]:[AGRUP. CLAS. PROF.]]=$B18,IF(DATOS_[[Check Periodo Ref.]:[Check Periodo Ref.]]="Dentro",DATOS_[Conc.Sal.08]))))), 0)</f>
        <v>0</v>
      </c>
      <c r="N20" s="250" t="n">
        <f aca="false" t="array" ref="N20:N20">IFERROR( MEDIAN((IF(DATOS_[[Sexo]:[Sexo]]=$B20,IF(DATOS_[[AGRUP. CLAS. PROF.]:[AGRUP. CLAS. PROF.]]=$B18,IF(DATOS_[[Check Periodo Ref.]:[Check Periodo Ref.]]="Dentro",DATOS_[Conc.Sal.09]))))), 0)</f>
        <v>0</v>
      </c>
      <c r="O20" s="250" t="n">
        <f aca="false" t="array" ref="O20:O20">IFERROR( MEDIAN((IF(DATOS_[[Sexo]:[Sexo]]=$B20,IF(DATOS_[[AGRUP. CLAS. PROF.]:[AGRUP. CLAS. PROF.]]=$B18,IF(DATOS_[[Check Periodo Ref.]:[Check Periodo Ref.]]="Dentro",DATOS_[Conc.Sal.10]))))), 0)</f>
        <v>0</v>
      </c>
      <c r="P20" s="250" t="n">
        <f aca="false" t="array" ref="P20:P20">IFERROR( MEDIAN((IF(DATOS_[[Sexo]:[Sexo]]=$B20,IF(DATOS_[[AGRUP. CLAS. PROF.]:[AGRUP. CLAS. PROF.]]=$B18,IF(DATOS_[[Check Periodo Ref.]:[Check Periodo Ref.]]="Dentro",DATOS_[Conc.Sal.11]))))), 0)</f>
        <v>0</v>
      </c>
      <c r="Q20" s="250" t="n">
        <f aca="false" t="array" ref="Q20:Q20">IFERROR( MEDIAN((IF(DATOS_[[Sexo]:[Sexo]]=$B20,IF(DATOS_[[AGRUP. CLAS. PROF.]:[AGRUP. CLAS. PROF.]]=$B18,IF(DATOS_[[Check Periodo Ref.]:[Check Periodo Ref.]]="Dentro",DATOS_[Conc.Sal.12]))))), 0)</f>
        <v>0</v>
      </c>
      <c r="R20" s="250" t="n">
        <f aca="false" t="array" ref="R20:R20">IFERROR( MEDIAN((IF(DATOS_[[Sexo]:[Sexo]]=$B20,IF(DATOS_[[AGRUP. CLAS. PROF.]:[AGRUP. CLAS. PROF.]]=$B18,IF(DATOS_[[Check Periodo Ref.]:[Check Periodo Ref.]]="Dentro",DATOS_[Conc.Sal.13]))))), 0)</f>
        <v>0</v>
      </c>
      <c r="S20" s="250" t="n">
        <f aca="false" t="array" ref="S20:S20">IFERROR( MEDIAN((IF(DATOS_[[Sexo]:[Sexo]]=$B20,IF(DATOS_[[AGRUP. CLAS. PROF.]:[AGRUP. CLAS. PROF.]]=$B18,IF(DATOS_[[Check Periodo Ref.]:[Check Periodo Ref.]]="Dentro",DATOS_[Conc.Sal.14]))))), 0)</f>
        <v>0</v>
      </c>
      <c r="T20" s="250" t="n">
        <f aca="false" t="array" ref="T20:T20">IFERROR( MEDIAN((IF(DATOS_[[Sexo]:[Sexo]]=$B20,IF(DATOS_[[AGRUP. CLAS. PROF.]:[AGRUP. CLAS. PROF.]]=$B18,IF(DATOS_[[Check Periodo Ref.]:[Check Periodo Ref.]]="Dentro",DATOS_[Conc.Sal.15]))))), 0)</f>
        <v>0</v>
      </c>
      <c r="U20" s="250" t="n">
        <f aca="false" t="array" ref="U20:U20">IFERROR( MEDIAN((IF(DATOS_[[Sexo]:[Sexo]]=$B20,IF(DATOS_[[AGRUP. CLAS. PROF.]:[AGRUP. CLAS. PROF.]]=$B18,IF(DATOS_[[Check Periodo Ref.]:[Check Periodo Ref.]]="Dentro",DATOS_[Conc.Sal.16]))))), 0)</f>
        <v>0</v>
      </c>
      <c r="V20" s="250" t="n">
        <f aca="false" t="array" ref="V20:V20">IFERROR( MEDIAN((IF(DATOS_[[Sexo]:[Sexo]]=$B20,IF(DATOS_[[AGRUP. CLAS. PROF.]:[AGRUP. CLAS. PROF.]]=$B18,IF(DATOS_[[Check Periodo Ref.]:[Check Periodo Ref.]]="Dentro",DATOS_[Conc.Sal.17]))))), 0)</f>
        <v>0</v>
      </c>
      <c r="W20" s="250" t="n">
        <f aca="false" t="array" ref="W20:W20">IFERROR( MEDIAN((IF(DATOS_[[Sexo]:[Sexo]]=$B20,IF(DATOS_[[AGRUP. CLAS. PROF.]:[AGRUP. CLAS. PROF.]]=$B18,IF(DATOS_[[Check Periodo Ref.]:[Check Periodo Ref.]]="Dentro",DATOS_[Conc.Sal.18]))))), 0)</f>
        <v>0</v>
      </c>
      <c r="X20" s="250" t="n">
        <f aca="false" t="array" ref="X20:X20">IFERROR( MEDIAN((IF(DATOS_[[Sexo]:[Sexo]]=$B20,IF(DATOS_[[AGRUP. CLAS. PROF.]:[AGRUP. CLAS. PROF.]]=$B18,IF(DATOS_[[Check Periodo Ref.]:[Check Periodo Ref.]]="Dentro",DATOS_[Conc.Sal.19]))))), 0)</f>
        <v>0</v>
      </c>
      <c r="Y20" s="250" t="n">
        <f aca="false" t="array" ref="Y20:Y20">IFERROR( MEDIAN((IF(DATOS_[[Sexo]:[Sexo]]=$B20,IF(DATOS_[[AGRUP. CLAS. PROF.]:[AGRUP. CLAS. PROF.]]=$B18,IF(DATOS_[[Check Periodo Ref.]:[Check Periodo Ref.]]="Dentro",DATOS_[Conc.Sal.20]))))), 0)</f>
        <v>0</v>
      </c>
      <c r="Z20" s="250" t="n">
        <f aca="false" t="array" ref="Z20:Z20">IFERROR( MEDIAN((IF(DATOS_[[Sexo]:[Sexo]]=$B20,IF(DATOS_[[AGRUP. CLAS. PROF.]:[AGRUP. CLAS. PROF.]]=$B18,IF(DATOS_[[Check Periodo Ref.]:[Check Periodo Ref.]]="Dentro",DATOS_[Conc.Sal.21]))))), 0)</f>
        <v>0</v>
      </c>
      <c r="AA20" s="250" t="n">
        <f aca="false" t="array" ref="AA20:AA20">IFERROR( MEDIAN((IF(DATOS_[[Sexo]:[Sexo]]=$B20,IF(DATOS_[[AGRUP. CLAS. PROF.]:[AGRUP. CLAS. PROF.]]=$B18,IF(DATOS_[[Check Periodo Ref.]:[Check Periodo Ref.]]="Dentro",DATOS_[Conc.Sal.22]))))), 0)</f>
        <v>0</v>
      </c>
      <c r="AB20" s="250" t="n">
        <f aca="false" t="array" ref="AB20:AB20">IFERROR( MEDIAN((IF(DATOS_[[Sexo]:[Sexo]]=$B20,IF(DATOS_[[AGRUP. CLAS. PROF.]:[AGRUP. CLAS. PROF.]]=$B18,IF(DATOS_[[Check Periodo Ref.]:[Check Periodo Ref.]]="Dentro",DATOS_[Conc.Sal.23]))))), 0)</f>
        <v>0</v>
      </c>
      <c r="AC20" s="250" t="n">
        <f aca="false" t="array" ref="AC20:AC20">IFERROR( MEDIAN((IF(DATOS_[[Sexo]:[Sexo]]=$B20,IF(DATOS_[[AGRUP. CLAS. PROF.]:[AGRUP. CLAS. PROF.]]=$B18,IF(DATOS_[[Check Periodo Ref.]:[Check Periodo Ref.]]="Dentro",DATOS_[Conc.Sal.24]))))), 0)</f>
        <v>0</v>
      </c>
      <c r="AD20" s="250" t="n">
        <f aca="false" t="array" ref="AD20:AD20">IFERROR( MEDIAN((IF(DATOS_[[Sexo]:[Sexo]]=$B20,IF(DATOS_[[AGRUP. CLAS. PROF.]:[AGRUP. CLAS. PROF.]]=$B18,IF(DATOS_[[Check Periodo Ref.]:[Check Periodo Ref.]]="Dentro",DATOS_[Conc.Sal.25]))))), 0)</f>
        <v>0</v>
      </c>
      <c r="AE20" s="250" t="n">
        <f aca="false" t="array" ref="AE20:AE20">IFERROR( MEDIAN((IF(DATOS_[[Sexo]:[Sexo]]=$B20,IF(DATOS_[[AGRUP. CLAS. PROF.]:[AGRUP. CLAS. PROF.]]=$B18,IF(DATOS_[[Check Periodo Ref.]:[Check Periodo Ref.]]="Dentro",DATOS_[Conc.Sal.26]))))), 0)</f>
        <v>0</v>
      </c>
      <c r="AF20" s="250" t="n">
        <f aca="false" t="array" ref="AF20:AF20">IFERROR( MEDIAN((IF(DATOS_[[Sexo]:[Sexo]]=$B20,IF(DATOS_[[AGRUP. CLAS. PROF.]:[AGRUP. CLAS. PROF.]]=$B18,IF(DATOS_[[Check Periodo Ref.]:[Check Periodo Ref.]]="Dentro",DATOS_[Conc.Sal.27]))))), 0)</f>
        <v>0</v>
      </c>
      <c r="AG20" s="250" t="n">
        <f aca="false" t="array" ref="AG20:AG20">IFERROR( MEDIAN((IF(DATOS_[[Sexo]:[Sexo]]=$B20,IF(DATOS_[[AGRUP. CLAS. PROF.]:[AGRUP. CLAS. PROF.]]=$B18,IF(DATOS_[[Check Periodo Ref.]:[Check Periodo Ref.]]="Dentro",DATOS_[Conc.Sal.28]))))), 0)</f>
        <v>0</v>
      </c>
      <c r="AH20" s="250" t="n">
        <f aca="false" t="array" ref="AH20:AH20">IFERROR( MEDIAN((IF(DATOS_[[Sexo]:[Sexo]]=$B20,IF(DATOS_[[AGRUP. CLAS. PROF.]:[AGRUP. CLAS. PROF.]]=$B18,IF(DATOS_[[Check Periodo Ref.]:[Check Periodo Ref.]]="Dentro",DATOS_[Conc.Sal.29]))))), 0)</f>
        <v>0</v>
      </c>
      <c r="AI20" s="250" t="n">
        <f aca="false" t="array" ref="AI20:AI20">IFERROR( MEDIAN((IF(DATOS_[[Sexo]:[Sexo]]=$B20,IF(DATOS_[[AGRUP. CLAS. PROF.]:[AGRUP. CLAS. PROF.]]=$B18,IF(DATOS_[[Check Periodo Ref.]:[Check Periodo Ref.]]="Dentro",DATOS_[Conc.Sal.30]))))), 0)</f>
        <v>0</v>
      </c>
      <c r="AJ20" s="251" t="n">
        <f aca="false" t="array" ref="AJ20:AJ20">IFERROR( MEDIAN(IF(DATOS_[Sexo]=$B20,IF(DATOS_[AGRUP. CLAS. PROF.]=$B18,IF(DATOS_[Check Periodo Ref.]="Dentro",DATOS_[Tot COMPL.SAL Ef],0)))), 0)</f>
        <v>0</v>
      </c>
      <c r="AK20" s="252" t="n">
        <f aca="false" t="array" ref="AK20:AK20">IFERROR( MEDIAN(IF(DATOS_[Sexo]=$B20,IF(DATOS_[AGRUP. CLAS. PROF.]=$B18,IF(DATOS_[Check Periodo Ref.]="Dentro",DATOS_[TOTAL SALARIO Ef],0)))), 0)</f>
        <v>0</v>
      </c>
      <c r="AL20" s="259" t="n">
        <f aca="false" t="array" ref="AL20:AL20">IFERROR( MEDIAN((IF(DATOS_[[Sexo]:[Sexo]]=$B20,IF(DATOS_[[AGRUP. CLAS. PROF.]:[AGRUP. CLAS. PROF.]]=$B18,IF(DATOS_[[Check Periodo Ref.]:[Check Periodo Ref.]]="Dentro",DATOS_[C.Extra.01]))))), 0)</f>
        <v>0</v>
      </c>
      <c r="AM20" s="259" t="n">
        <f aca="false" t="array" ref="AM20:AM20">IFERROR( MEDIAN((IF(DATOS_[[Sexo]:[Sexo]]=$B20,IF(DATOS_[[AGRUP. CLAS. PROF.]:[AGRUP. CLAS. PROF.]]=$B18,IF(DATOS_[[Check Periodo Ref.]:[Check Periodo Ref.]]="Dentro",DATOS_[C.Extra.02]))))), 0)</f>
        <v>0</v>
      </c>
      <c r="AN20" s="259" t="n">
        <f aca="false" t="array" ref="AN20:AN20">IFERROR( MEDIAN((IF(DATOS_[[Sexo]:[Sexo]]=$B20,IF(DATOS_[[AGRUP. CLAS. PROF.]:[AGRUP. CLAS. PROF.]]=$B18,IF(DATOS_[[Check Periodo Ref.]:[Check Periodo Ref.]]="Dentro",DATOS_[C.Extra.03]))))), 0)</f>
        <v>0</v>
      </c>
      <c r="AO20" s="259" t="n">
        <f aca="false" t="array" ref="AO20:AO20">IFERROR( MEDIAN((IF(DATOS_[[Sexo]:[Sexo]]=$B20,IF(DATOS_[[AGRUP. CLAS. PROF.]:[AGRUP. CLAS. PROF.]]=$B18,IF(DATOS_[[Check Periodo Ref.]:[Check Periodo Ref.]]="Dentro",DATOS_[C.Extra.04]))))), 0)</f>
        <v>0</v>
      </c>
      <c r="AP20" s="259" t="n">
        <f aca="false" t="array" ref="AP20:AP20">IFERROR( MEDIAN((IF(DATOS_[[Sexo]:[Sexo]]=$B20,IF(DATOS_[[AGRUP. CLAS. PROF.]:[AGRUP. CLAS. PROF.]]=$B18,IF(DATOS_[[Check Periodo Ref.]:[Check Periodo Ref.]]="Dentro",DATOS_[C.Extra.05]))))), 0)</f>
        <v>0</v>
      </c>
      <c r="AQ20" s="254" t="n">
        <f aca="false" t="array" ref="AQ20:AQ20">IFERROR( MEDIAN(IF(DATOS_[Sexo]=$B20,IF(DATOS_[AGRUP. CLAS. PROF.]=$B18,IF(DATOS_[Check Periodo Ref.]="Dentro",DATOS_[Tot Extrasalarial Ef],0)))), 0)</f>
        <v>0</v>
      </c>
      <c r="AR20" s="255" t="n">
        <f aca="false" t="array" ref="AR20:AR20">IFERROR( MEDIAN(IF(DATOS_[Sexo]=$B20,IF(DATOS_[AGRUP. CLAS. PROF.]=$B18,IF(DATOS_[Check Periodo Ref.]="Dentro",DATOS_[TOTAL Retrib Ef],0)))), 0)</f>
        <v>0</v>
      </c>
    </row>
    <row r="21" customFormat="false" ht="15.75" hidden="false" customHeight="false" outlineLevel="0" collapsed="false">
      <c r="A21" s="217" t="str">
        <f aca="false">+A22</f>
        <v>[ocultar]</v>
      </c>
      <c r="B21" s="235" t="s">
        <v>177</v>
      </c>
      <c r="C21" s="236"/>
      <c r="D21" s="237"/>
      <c r="E21" s="238" t="str">
        <f aca="false">IFERROR((E22-E23)/E22,"")</f>
        <v/>
      </c>
      <c r="F21" s="239" t="str">
        <f aca="false">IFERROR((F22-F23)/F22,"")</f>
        <v/>
      </c>
      <c r="G21" s="239" t="str">
        <f aca="false">IFERROR((G22-G23)/G22,"")</f>
        <v/>
      </c>
      <c r="H21" s="239" t="str">
        <f aca="false">IFERROR((H22-H23)/H22,"")</f>
        <v/>
      </c>
      <c r="I21" s="239"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40" t="str">
        <f aca="false">IFERROR((V22-V23)/V22,"")</f>
        <v/>
      </c>
      <c r="W21" s="240" t="str">
        <f aca="false">IFERROR((W22-W23)/W22,"")</f>
        <v/>
      </c>
      <c r="X21" s="240" t="str">
        <f aca="false">IFERROR((X22-X23)/X22,"")</f>
        <v/>
      </c>
      <c r="Y21" s="240"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1" t="str">
        <f aca="false">IFERROR((AJ22-AJ23)/AJ22,"")</f>
        <v/>
      </c>
      <c r="AK21" s="242" t="str">
        <f aca="false">IFERROR((AK22-AK23)/AK22,"")</f>
        <v/>
      </c>
      <c r="AL21" s="243" t="str">
        <f aca="false">IFERROR((AL22-AL23)/AL22,"")</f>
        <v/>
      </c>
      <c r="AM21" s="243" t="str">
        <f aca="false">IFERROR((AM22-AM23)/AM22,"")</f>
        <v/>
      </c>
      <c r="AN21" s="243" t="str">
        <f aca="false">IFERROR((AN22-AN23)/AN22,"")</f>
        <v/>
      </c>
      <c r="AO21" s="243" t="str">
        <f aca="false">IFERROR((AO22-AO23)/AO22,"")</f>
        <v/>
      </c>
      <c r="AP21" s="243" t="str">
        <f aca="false">IFERROR((AP22-AP23)/AP22,"")</f>
        <v/>
      </c>
      <c r="AQ21" s="244" t="str">
        <f aca="false">IFERROR((AQ22-AQ23)/AQ22,"")</f>
        <v/>
      </c>
      <c r="AR21" s="245" t="str">
        <f aca="false">IFERROR((AR22-AR23)/AR22,"")</f>
        <v/>
      </c>
    </row>
    <row r="22" customFormat="false" ht="14.25" hidden="false" customHeight="false" outlineLevel="0" collapsed="false">
      <c r="A22" s="217" t="str">
        <f aca="false">+IF(C22+C23=0,"[ocultar]","")</f>
        <v>[ocultar]</v>
      </c>
      <c r="B22" s="246" t="s">
        <v>371</v>
      </c>
      <c r="C22" s="247" t="n">
        <f aca="false" t="array" ref="C22:C22">SUM(IF($B22=DATOS_[Sexo], IF($B21=DATOS_[AGRUP. CLAS. PROF.], IF("Dentro"=DATOS_[Check Periodo Ref.], 1/(COUNTIFS(DATOS_[Sexo],$B22,DATOS_[AGRUP. CLAS. PROF.],$B21,DATOS_[Check Periodo Ref.],"Dentro",DATOS_[id],DATOS_[id]))))))</f>
        <v>0</v>
      </c>
      <c r="D22" s="248" t="n">
        <f aca="false">COUNTIFS(DATOS_[AGRUP. CLAS. PROF.],$B21,DATOS_[Sexo],$B22,DATOS_[Check Periodo Ref.],"Dentro")</f>
        <v>0</v>
      </c>
      <c r="E22" s="249" t="n">
        <f aca="false" t="array" ref="E22:E22">IFERROR( MEDIAN(IF(DATOS_[Sexo]=$B22,IF(DATOS_[AGRUP. CLAS. PROF.]=$B21,IF(DATOS_[Check Periodo Ref.]="Dentro",DATOS_[SALARIO BASE Ef],0)))), 0)</f>
        <v>0</v>
      </c>
      <c r="F22" s="250" t="n">
        <f aca="false" t="array" ref="F22:F22">IFERROR( MEDIAN((IF(DATOS_[[Sexo]:[Sexo]]=$B22,IF(DATOS_[[AGRUP. CLAS. PROF.]:[AGRUP. CLAS. PROF.]]=$B21,IF(DATOS_[[Check Periodo Ref.]:[Check Periodo Ref.]]="Dentro",DATOS_[Conc.Sal.01]))))), 0)</f>
        <v>0</v>
      </c>
      <c r="G22" s="250" t="n">
        <f aca="false" t="array" ref="G22:G22">IFERROR( MEDIAN((IF(DATOS_[[Sexo]:[Sexo]]=$B22,IF(DATOS_[[AGRUP. CLAS. PROF.]:[AGRUP. CLAS. PROF.]]=$B21,IF(DATOS_[[Check Periodo Ref.]:[Check Periodo Ref.]]="Dentro",DATOS_[Conc.Sal.02]))))), 0)</f>
        <v>0</v>
      </c>
      <c r="H22" s="250" t="n">
        <f aca="false" t="array" ref="H22:H22">IFERROR( MEDIAN((IF(DATOS_[[Sexo]:[Sexo]]=$B22,IF(DATOS_[[AGRUP. CLAS. PROF.]:[AGRUP. CLAS. PROF.]]=$B21,IF(DATOS_[[Check Periodo Ref.]:[Check Periodo Ref.]]="Dentro",DATOS_[Conc.Sal.03]))))), 0)</f>
        <v>0</v>
      </c>
      <c r="I22" s="250" t="n">
        <f aca="false" t="array" ref="I22:I22">IFERROR( MEDIAN((IF(DATOS_[[Sexo]:[Sexo]]=$B22,IF(DATOS_[[AGRUP. CLAS. PROF.]:[AGRUP. CLAS. PROF.]]=$B21,IF(DATOS_[[Check Periodo Ref.]:[Check Periodo Ref.]]="Dentro",DATOS_[Conc.Sal.04]))))), 0)</f>
        <v>0</v>
      </c>
      <c r="J22" s="250" t="n">
        <f aca="false" t="array" ref="J22:J22">IFERROR( MEDIAN((IF(DATOS_[[Sexo]:[Sexo]]=$B22,IF(DATOS_[[AGRUP. CLAS. PROF.]:[AGRUP. CLAS. PROF.]]=$B21,IF(DATOS_[[Check Periodo Ref.]:[Check Periodo Ref.]]="Dentro",DATOS_[Conc.Sal.05]))))), 0)</f>
        <v>0</v>
      </c>
      <c r="K22" s="250" t="n">
        <f aca="false" t="array" ref="K22:K22">IFERROR( MEDIAN((IF(DATOS_[[Sexo]:[Sexo]]=$B22,IF(DATOS_[[AGRUP. CLAS. PROF.]:[AGRUP. CLAS. PROF.]]=$B21,IF(DATOS_[[Check Periodo Ref.]:[Check Periodo Ref.]]="Dentro",DATOS_[Conc.Sal.06]))))), 0)</f>
        <v>0</v>
      </c>
      <c r="L22" s="250" t="n">
        <f aca="false" t="array" ref="L22:L22">IFERROR( MEDIAN((IF(DATOS_[[Sexo]:[Sexo]]=$B22,IF(DATOS_[[AGRUP. CLAS. PROF.]:[AGRUP. CLAS. PROF.]]=$B21,IF(DATOS_[[Check Periodo Ref.]:[Check Periodo Ref.]]="Dentro",DATOS_[Conc.Sal.07]))))), 0)</f>
        <v>0</v>
      </c>
      <c r="M22" s="250" t="n">
        <f aca="false" t="array" ref="M22:M22">IFERROR( MEDIAN((IF(DATOS_[[Sexo]:[Sexo]]=$B22,IF(DATOS_[[AGRUP. CLAS. PROF.]:[AGRUP. CLAS. PROF.]]=$B21,IF(DATOS_[[Check Periodo Ref.]:[Check Periodo Ref.]]="Dentro",DATOS_[Conc.Sal.08]))))), 0)</f>
        <v>0</v>
      </c>
      <c r="N22" s="250" t="n">
        <f aca="false" t="array" ref="N22:N22">IFERROR( MEDIAN((IF(DATOS_[[Sexo]:[Sexo]]=$B22,IF(DATOS_[[AGRUP. CLAS. PROF.]:[AGRUP. CLAS. PROF.]]=$B21,IF(DATOS_[[Check Periodo Ref.]:[Check Periodo Ref.]]="Dentro",DATOS_[Conc.Sal.09]))))), 0)</f>
        <v>0</v>
      </c>
      <c r="O22" s="250" t="n">
        <f aca="false" t="array" ref="O22:O22">IFERROR( MEDIAN((IF(DATOS_[[Sexo]:[Sexo]]=$B22,IF(DATOS_[[AGRUP. CLAS. PROF.]:[AGRUP. CLAS. PROF.]]=$B21,IF(DATOS_[[Check Periodo Ref.]:[Check Periodo Ref.]]="Dentro",DATOS_[Conc.Sal.10]))))), 0)</f>
        <v>0</v>
      </c>
      <c r="P22" s="250" t="n">
        <f aca="false" t="array" ref="P22:P22">IFERROR( MEDIAN((IF(DATOS_[[Sexo]:[Sexo]]=$B22,IF(DATOS_[[AGRUP. CLAS. PROF.]:[AGRUP. CLAS. PROF.]]=$B21,IF(DATOS_[[Check Periodo Ref.]:[Check Periodo Ref.]]="Dentro",DATOS_[Conc.Sal.11]))))), 0)</f>
        <v>0</v>
      </c>
      <c r="Q22" s="250" t="n">
        <f aca="false" t="array" ref="Q22:Q22">IFERROR( MEDIAN((IF(DATOS_[[Sexo]:[Sexo]]=$B22,IF(DATOS_[[AGRUP. CLAS. PROF.]:[AGRUP. CLAS. PROF.]]=$B21,IF(DATOS_[[Check Periodo Ref.]:[Check Periodo Ref.]]="Dentro",DATOS_[Conc.Sal.12]))))), 0)</f>
        <v>0</v>
      </c>
      <c r="R22" s="250" t="n">
        <f aca="false" t="array" ref="R22:R22">IFERROR( MEDIAN((IF(DATOS_[[Sexo]:[Sexo]]=$B22,IF(DATOS_[[AGRUP. CLAS. PROF.]:[AGRUP. CLAS. PROF.]]=$B21,IF(DATOS_[[Check Periodo Ref.]:[Check Periodo Ref.]]="Dentro",DATOS_[Conc.Sal.13]))))), 0)</f>
        <v>0</v>
      </c>
      <c r="S22" s="250" t="n">
        <f aca="false" t="array" ref="S22:S22">IFERROR( MEDIAN((IF(DATOS_[[Sexo]:[Sexo]]=$B22,IF(DATOS_[[AGRUP. CLAS. PROF.]:[AGRUP. CLAS. PROF.]]=$B21,IF(DATOS_[[Check Periodo Ref.]:[Check Periodo Ref.]]="Dentro",DATOS_[Conc.Sal.14]))))), 0)</f>
        <v>0</v>
      </c>
      <c r="T22" s="250" t="n">
        <f aca="false" t="array" ref="T22:T22">IFERROR( MEDIAN((IF(DATOS_[[Sexo]:[Sexo]]=$B22,IF(DATOS_[[AGRUP. CLAS. PROF.]:[AGRUP. CLAS. PROF.]]=$B21,IF(DATOS_[[Check Periodo Ref.]:[Check Periodo Ref.]]="Dentro",DATOS_[Conc.Sal.15]))))), 0)</f>
        <v>0</v>
      </c>
      <c r="U22" s="250" t="n">
        <f aca="false" t="array" ref="U22:U22">IFERROR( MEDIAN((IF(DATOS_[[Sexo]:[Sexo]]=$B22,IF(DATOS_[[AGRUP. CLAS. PROF.]:[AGRUP. CLAS. PROF.]]=$B21,IF(DATOS_[[Check Periodo Ref.]:[Check Periodo Ref.]]="Dentro",DATOS_[Conc.Sal.16]))))), 0)</f>
        <v>0</v>
      </c>
      <c r="V22" s="250" t="n">
        <f aca="false" t="array" ref="V22:V22">IFERROR( MEDIAN((IF(DATOS_[[Sexo]:[Sexo]]=$B22,IF(DATOS_[[AGRUP. CLAS. PROF.]:[AGRUP. CLAS. PROF.]]=$B21,IF(DATOS_[[Check Periodo Ref.]:[Check Periodo Ref.]]="Dentro",DATOS_[Conc.Sal.17]))))), 0)</f>
        <v>0</v>
      </c>
      <c r="W22" s="250" t="n">
        <f aca="false" t="array" ref="W22:W22">IFERROR( MEDIAN((IF(DATOS_[[Sexo]:[Sexo]]=$B22,IF(DATOS_[[AGRUP. CLAS. PROF.]:[AGRUP. CLAS. PROF.]]=$B21,IF(DATOS_[[Check Periodo Ref.]:[Check Periodo Ref.]]="Dentro",DATOS_[Conc.Sal.18]))))), 0)</f>
        <v>0</v>
      </c>
      <c r="X22" s="250" t="n">
        <f aca="false" t="array" ref="X22:X22">IFERROR( MEDIAN((IF(DATOS_[[Sexo]:[Sexo]]=$B22,IF(DATOS_[[AGRUP. CLAS. PROF.]:[AGRUP. CLAS. PROF.]]=$B21,IF(DATOS_[[Check Periodo Ref.]:[Check Periodo Ref.]]="Dentro",DATOS_[Conc.Sal.19]))))), 0)</f>
        <v>0</v>
      </c>
      <c r="Y22" s="250" t="n">
        <f aca="false" t="array" ref="Y22:Y22">IFERROR( MEDIAN((IF(DATOS_[[Sexo]:[Sexo]]=$B22,IF(DATOS_[[AGRUP. CLAS. PROF.]:[AGRUP. CLAS. PROF.]]=$B21,IF(DATOS_[[Check Periodo Ref.]:[Check Periodo Ref.]]="Dentro",DATOS_[Conc.Sal.20]))))), 0)</f>
        <v>0</v>
      </c>
      <c r="Z22" s="250" t="n">
        <f aca="false" t="array" ref="Z22:Z22">IFERROR( MEDIAN((IF(DATOS_[[Sexo]:[Sexo]]=$B22,IF(DATOS_[[AGRUP. CLAS. PROF.]:[AGRUP. CLAS. PROF.]]=$B21,IF(DATOS_[[Check Periodo Ref.]:[Check Periodo Ref.]]="Dentro",DATOS_[Conc.Sal.21]))))), 0)</f>
        <v>0</v>
      </c>
      <c r="AA22" s="250" t="n">
        <f aca="false" t="array" ref="AA22:AA22">IFERROR( MEDIAN((IF(DATOS_[[Sexo]:[Sexo]]=$B22,IF(DATOS_[[AGRUP. CLAS. PROF.]:[AGRUP. CLAS. PROF.]]=$B21,IF(DATOS_[[Check Periodo Ref.]:[Check Periodo Ref.]]="Dentro",DATOS_[Conc.Sal.22]))))), 0)</f>
        <v>0</v>
      </c>
      <c r="AB22" s="250" t="n">
        <f aca="false" t="array" ref="AB22:AB22">IFERROR( MEDIAN((IF(DATOS_[[Sexo]:[Sexo]]=$B22,IF(DATOS_[[AGRUP. CLAS. PROF.]:[AGRUP. CLAS. PROF.]]=$B21,IF(DATOS_[[Check Periodo Ref.]:[Check Periodo Ref.]]="Dentro",DATOS_[Conc.Sal.23]))))), 0)</f>
        <v>0</v>
      </c>
      <c r="AC22" s="250" t="n">
        <f aca="false" t="array" ref="AC22:AC22">IFERROR( MEDIAN((IF(DATOS_[[Sexo]:[Sexo]]=$B22,IF(DATOS_[[AGRUP. CLAS. PROF.]:[AGRUP. CLAS. PROF.]]=$B21,IF(DATOS_[[Check Periodo Ref.]:[Check Periodo Ref.]]="Dentro",DATOS_[Conc.Sal.24]))))), 0)</f>
        <v>0</v>
      </c>
      <c r="AD22" s="250" t="n">
        <f aca="false" t="array" ref="AD22:AD22">IFERROR( MEDIAN((IF(DATOS_[[Sexo]:[Sexo]]=$B22,IF(DATOS_[[AGRUP. CLAS. PROF.]:[AGRUP. CLAS. PROF.]]=$B21,IF(DATOS_[[Check Periodo Ref.]:[Check Periodo Ref.]]="Dentro",DATOS_[Conc.Sal.25]))))), 0)</f>
        <v>0</v>
      </c>
      <c r="AE22" s="250" t="n">
        <f aca="false" t="array" ref="AE22:AE22">IFERROR( MEDIAN((IF(DATOS_[[Sexo]:[Sexo]]=$B22,IF(DATOS_[[AGRUP. CLAS. PROF.]:[AGRUP. CLAS. PROF.]]=$B21,IF(DATOS_[[Check Periodo Ref.]:[Check Periodo Ref.]]="Dentro",DATOS_[Conc.Sal.26]))))), 0)</f>
        <v>0</v>
      </c>
      <c r="AF22" s="250" t="n">
        <f aca="false" t="array" ref="AF22:AF22">IFERROR( MEDIAN((IF(DATOS_[[Sexo]:[Sexo]]=$B22,IF(DATOS_[[AGRUP. CLAS. PROF.]:[AGRUP. CLAS. PROF.]]=$B21,IF(DATOS_[[Check Periodo Ref.]:[Check Periodo Ref.]]="Dentro",DATOS_[Conc.Sal.27]))))), 0)</f>
        <v>0</v>
      </c>
      <c r="AG22" s="250" t="n">
        <f aca="false" t="array" ref="AG22:AG22">IFERROR( MEDIAN((IF(DATOS_[[Sexo]:[Sexo]]=$B22,IF(DATOS_[[AGRUP. CLAS. PROF.]:[AGRUP. CLAS. PROF.]]=$B21,IF(DATOS_[[Check Periodo Ref.]:[Check Periodo Ref.]]="Dentro",DATOS_[Conc.Sal.28]))))), 0)</f>
        <v>0</v>
      </c>
      <c r="AH22" s="250" t="n">
        <f aca="false" t="array" ref="AH22:AH22">IFERROR( MEDIAN((IF(DATOS_[[Sexo]:[Sexo]]=$B22,IF(DATOS_[[AGRUP. CLAS. PROF.]:[AGRUP. CLAS. PROF.]]=$B21,IF(DATOS_[[Check Periodo Ref.]:[Check Periodo Ref.]]="Dentro",DATOS_[Conc.Sal.29]))))), 0)</f>
        <v>0</v>
      </c>
      <c r="AI22" s="250" t="n">
        <f aca="false" t="array" ref="AI22:AI22">IFERROR( MEDIAN((IF(DATOS_[[Sexo]:[Sexo]]=$B22,IF(DATOS_[[AGRUP. CLAS. PROF.]:[AGRUP. CLAS. PROF.]]=$B21,IF(DATOS_[[Check Periodo Ref.]:[Check Periodo Ref.]]="Dentro",DATOS_[Conc.Sal.30]))))), 0)</f>
        <v>0</v>
      </c>
      <c r="AJ22" s="251" t="n">
        <f aca="false" t="array" ref="AJ22:AJ22">IFERROR( MEDIAN(IF(DATOS_[Sexo]=$B22,IF(DATOS_[AGRUP. CLAS. PROF.]=$B21,IF(DATOS_[Check Periodo Ref.]="Dentro",DATOS_[Tot COMPL.SAL Ef],0)))), 0)</f>
        <v>0</v>
      </c>
      <c r="AK22" s="252" t="n">
        <f aca="false" t="array" ref="AK22:AK22">IFERROR( MEDIAN(IF(DATOS_[Sexo]=$B22,IF(DATOS_[AGRUP. CLAS. PROF.]=$B21,IF(DATOS_[Check Periodo Ref.]="Dentro",DATOS_[TOTAL SALARIO Ef],0)))), 0)</f>
        <v>0</v>
      </c>
      <c r="AL22" s="259" t="n">
        <f aca="false" t="array" ref="AL22:AL22">IFERROR( MEDIAN((IF(DATOS_[[Sexo]:[Sexo]]=$B22,IF(DATOS_[[AGRUP. CLAS. PROF.]:[AGRUP. CLAS. PROF.]]=$B21,IF(DATOS_[[Check Periodo Ref.]:[Check Periodo Ref.]]="Dentro",DATOS_[C.Extra.01]))))), 0)</f>
        <v>0</v>
      </c>
      <c r="AM22" s="259" t="n">
        <f aca="false" t="array" ref="AM22:AM22">IFERROR( MEDIAN((IF(DATOS_[[Sexo]:[Sexo]]=$B22,IF(DATOS_[[AGRUP. CLAS. PROF.]:[AGRUP. CLAS. PROF.]]=$B21,IF(DATOS_[[Check Periodo Ref.]:[Check Periodo Ref.]]="Dentro",DATOS_[C.Extra.02]))))), 0)</f>
        <v>0</v>
      </c>
      <c r="AN22" s="259" t="n">
        <f aca="false" t="array" ref="AN22:AN22">IFERROR( MEDIAN((IF(DATOS_[[Sexo]:[Sexo]]=$B22,IF(DATOS_[[AGRUP. CLAS. PROF.]:[AGRUP. CLAS. PROF.]]=$B21,IF(DATOS_[[Check Periodo Ref.]:[Check Periodo Ref.]]="Dentro",DATOS_[C.Extra.03]))))), 0)</f>
        <v>0</v>
      </c>
      <c r="AO22" s="259" t="n">
        <f aca="false" t="array" ref="AO22:AO22">IFERROR( MEDIAN((IF(DATOS_[[Sexo]:[Sexo]]=$B22,IF(DATOS_[[AGRUP. CLAS. PROF.]:[AGRUP. CLAS. PROF.]]=$B21,IF(DATOS_[[Check Periodo Ref.]:[Check Periodo Ref.]]="Dentro",DATOS_[C.Extra.04]))))), 0)</f>
        <v>0</v>
      </c>
      <c r="AP22" s="259" t="n">
        <f aca="false" t="array" ref="AP22:AP22">IFERROR( MEDIAN((IF(DATOS_[[Sexo]:[Sexo]]=$B22,IF(DATOS_[[AGRUP. CLAS. PROF.]:[AGRUP. CLAS. PROF.]]=$B21,IF(DATOS_[[Check Periodo Ref.]:[Check Periodo Ref.]]="Dentro",DATOS_[C.Extra.05]))))), 0)</f>
        <v>0</v>
      </c>
      <c r="AQ22" s="254" t="n">
        <f aca="false" t="array" ref="AQ22:AQ22">IFERROR( MEDIAN(IF(DATOS_[Sexo]=$B22,IF(DATOS_[AGRUP. CLAS. PROF.]=$B21,IF(DATOS_[Check Periodo Ref.]="Dentro",DATOS_[Tot Extrasalarial Ef],0)))), 0)</f>
        <v>0</v>
      </c>
      <c r="AR22" s="255" t="n">
        <f aca="false" t="array" ref="AR22:AR22">IFERROR( MEDIAN(IF(DATOS_[Sexo]=$B22,IF(DATOS_[AGRUP. CLAS. PROF.]=$B21,IF(DATOS_[Check Periodo Ref.]="Dentro",DATOS_[TOTAL Retrib Ef],0)))), 0)</f>
        <v>0</v>
      </c>
    </row>
    <row r="23" customFormat="false" ht="14.25" hidden="false" customHeight="false" outlineLevel="0" collapsed="false">
      <c r="A23" s="217" t="str">
        <f aca="false">+A22</f>
        <v>[ocultar]</v>
      </c>
      <c r="B23" s="246" t="s">
        <v>372</v>
      </c>
      <c r="C23" s="247" t="n">
        <f aca="false" t="array" ref="C23:C23">SUM(IF($B23=DATOS_[Sexo], IF($B21=DATOS_[AGRUP. CLAS. PROF.], IF("Dentro"=DATOS_[Check Periodo Ref.], 1/(COUNTIFS(DATOS_[Sexo],$B23,DATOS_[AGRUP. CLAS. PROF.],$B21,DATOS_[Check Periodo Ref.],"Dentro",DATOS_[id],DATOS_[id]))))))</f>
        <v>0</v>
      </c>
      <c r="D23" s="248" t="n">
        <f aca="false">COUNTIFS(DATOS_[AGRUP. CLAS. PROF.],$B21,DATOS_[Sexo],$B23,DATOS_[Check Periodo Ref.],"Dentro")</f>
        <v>0</v>
      </c>
      <c r="E23" s="249" t="n">
        <f aca="false" t="array" ref="E23:E23">IFERROR( MEDIAN(IF(DATOS_[Sexo]=$B23,IF(DATOS_[AGRUP. CLAS. PROF.]=$B21,IF(DATOS_[Check Periodo Ref.]="Dentro",DATOS_[SALARIO BASE Ef],0)))), 0)</f>
        <v>0</v>
      </c>
      <c r="F23" s="250" t="n">
        <f aca="false" t="array" ref="F23:F23">IFERROR( MEDIAN((IF(DATOS_[[Sexo]:[Sexo]]=$B23,IF(DATOS_[[AGRUP. CLAS. PROF.]:[AGRUP. CLAS. PROF.]]=$B21,IF(DATOS_[[Check Periodo Ref.]:[Check Periodo Ref.]]="Dentro",DATOS_[Conc.Sal.01]))))), 0)</f>
        <v>0</v>
      </c>
      <c r="G23" s="250" t="n">
        <f aca="false" t="array" ref="G23:G23">IFERROR( MEDIAN((IF(DATOS_[[Sexo]:[Sexo]]=$B23,IF(DATOS_[[AGRUP. CLAS. PROF.]:[AGRUP. CLAS. PROF.]]=$B21,IF(DATOS_[[Check Periodo Ref.]:[Check Periodo Ref.]]="Dentro",DATOS_[Conc.Sal.02]))))), 0)</f>
        <v>0</v>
      </c>
      <c r="H23" s="250" t="n">
        <f aca="false" t="array" ref="H23:H23">IFERROR( MEDIAN((IF(DATOS_[[Sexo]:[Sexo]]=$B23,IF(DATOS_[[AGRUP. CLAS. PROF.]:[AGRUP. CLAS. PROF.]]=$B21,IF(DATOS_[[Check Periodo Ref.]:[Check Periodo Ref.]]="Dentro",DATOS_[Conc.Sal.03]))))), 0)</f>
        <v>0</v>
      </c>
      <c r="I23" s="250" t="n">
        <f aca="false" t="array" ref="I23:I23">IFERROR( MEDIAN((IF(DATOS_[[Sexo]:[Sexo]]=$B23,IF(DATOS_[[AGRUP. CLAS. PROF.]:[AGRUP. CLAS. PROF.]]=$B21,IF(DATOS_[[Check Periodo Ref.]:[Check Periodo Ref.]]="Dentro",DATOS_[Conc.Sal.04]))))), 0)</f>
        <v>0</v>
      </c>
      <c r="J23" s="250" t="n">
        <f aca="false" t="array" ref="J23:J23">IFERROR( MEDIAN((IF(DATOS_[[Sexo]:[Sexo]]=$B23,IF(DATOS_[[AGRUP. CLAS. PROF.]:[AGRUP. CLAS. PROF.]]=$B21,IF(DATOS_[[Check Periodo Ref.]:[Check Periodo Ref.]]="Dentro",DATOS_[Conc.Sal.05]))))), 0)</f>
        <v>0</v>
      </c>
      <c r="K23" s="250" t="n">
        <f aca="false" t="array" ref="K23:K23">IFERROR( MEDIAN((IF(DATOS_[[Sexo]:[Sexo]]=$B23,IF(DATOS_[[AGRUP. CLAS. PROF.]:[AGRUP. CLAS. PROF.]]=$B21,IF(DATOS_[[Check Periodo Ref.]:[Check Periodo Ref.]]="Dentro",DATOS_[Conc.Sal.06]))))), 0)</f>
        <v>0</v>
      </c>
      <c r="L23" s="250" t="n">
        <f aca="false" t="array" ref="L23:L23">IFERROR( MEDIAN((IF(DATOS_[[Sexo]:[Sexo]]=$B23,IF(DATOS_[[AGRUP. CLAS. PROF.]:[AGRUP. CLAS. PROF.]]=$B21,IF(DATOS_[[Check Periodo Ref.]:[Check Periodo Ref.]]="Dentro",DATOS_[Conc.Sal.07]))))), 0)</f>
        <v>0</v>
      </c>
      <c r="M23" s="250" t="n">
        <f aca="false" t="array" ref="M23:M23">IFERROR( MEDIAN((IF(DATOS_[[Sexo]:[Sexo]]=$B23,IF(DATOS_[[AGRUP. CLAS. PROF.]:[AGRUP. CLAS. PROF.]]=$B21,IF(DATOS_[[Check Periodo Ref.]:[Check Periodo Ref.]]="Dentro",DATOS_[Conc.Sal.08]))))), 0)</f>
        <v>0</v>
      </c>
      <c r="N23" s="250" t="n">
        <f aca="false" t="array" ref="N23:N23">IFERROR( MEDIAN((IF(DATOS_[[Sexo]:[Sexo]]=$B23,IF(DATOS_[[AGRUP. CLAS. PROF.]:[AGRUP. CLAS. PROF.]]=$B21,IF(DATOS_[[Check Periodo Ref.]:[Check Periodo Ref.]]="Dentro",DATOS_[Conc.Sal.09]))))), 0)</f>
        <v>0</v>
      </c>
      <c r="O23" s="250" t="n">
        <f aca="false" t="array" ref="O23:O23">IFERROR( MEDIAN((IF(DATOS_[[Sexo]:[Sexo]]=$B23,IF(DATOS_[[AGRUP. CLAS. PROF.]:[AGRUP. CLAS. PROF.]]=$B21,IF(DATOS_[[Check Periodo Ref.]:[Check Periodo Ref.]]="Dentro",DATOS_[Conc.Sal.10]))))), 0)</f>
        <v>0</v>
      </c>
      <c r="P23" s="250" t="n">
        <f aca="false" t="array" ref="P23:P23">IFERROR( MEDIAN((IF(DATOS_[[Sexo]:[Sexo]]=$B23,IF(DATOS_[[AGRUP. CLAS. PROF.]:[AGRUP. CLAS. PROF.]]=$B21,IF(DATOS_[[Check Periodo Ref.]:[Check Periodo Ref.]]="Dentro",DATOS_[Conc.Sal.11]))))), 0)</f>
        <v>0</v>
      </c>
      <c r="Q23" s="250" t="n">
        <f aca="false" t="array" ref="Q23:Q23">IFERROR( MEDIAN((IF(DATOS_[[Sexo]:[Sexo]]=$B23,IF(DATOS_[[AGRUP. CLAS. PROF.]:[AGRUP. CLAS. PROF.]]=$B21,IF(DATOS_[[Check Periodo Ref.]:[Check Periodo Ref.]]="Dentro",DATOS_[Conc.Sal.12]))))), 0)</f>
        <v>0</v>
      </c>
      <c r="R23" s="250" t="n">
        <f aca="false" t="array" ref="R23:R23">IFERROR( MEDIAN((IF(DATOS_[[Sexo]:[Sexo]]=$B23,IF(DATOS_[[AGRUP. CLAS. PROF.]:[AGRUP. CLAS. PROF.]]=$B21,IF(DATOS_[[Check Periodo Ref.]:[Check Periodo Ref.]]="Dentro",DATOS_[Conc.Sal.13]))))), 0)</f>
        <v>0</v>
      </c>
      <c r="S23" s="250" t="n">
        <f aca="false" t="array" ref="S23:S23">IFERROR( MEDIAN((IF(DATOS_[[Sexo]:[Sexo]]=$B23,IF(DATOS_[[AGRUP. CLAS. PROF.]:[AGRUP. CLAS. PROF.]]=$B21,IF(DATOS_[[Check Periodo Ref.]:[Check Periodo Ref.]]="Dentro",DATOS_[Conc.Sal.14]))))), 0)</f>
        <v>0</v>
      </c>
      <c r="T23" s="250" t="n">
        <f aca="false" t="array" ref="T23:T23">IFERROR( MEDIAN((IF(DATOS_[[Sexo]:[Sexo]]=$B23,IF(DATOS_[[AGRUP. CLAS. PROF.]:[AGRUP. CLAS. PROF.]]=$B21,IF(DATOS_[[Check Periodo Ref.]:[Check Periodo Ref.]]="Dentro",DATOS_[Conc.Sal.15]))))), 0)</f>
        <v>0</v>
      </c>
      <c r="U23" s="250" t="n">
        <f aca="false" t="array" ref="U23:U23">IFERROR( MEDIAN((IF(DATOS_[[Sexo]:[Sexo]]=$B23,IF(DATOS_[[AGRUP. CLAS. PROF.]:[AGRUP. CLAS. PROF.]]=$B21,IF(DATOS_[[Check Periodo Ref.]:[Check Periodo Ref.]]="Dentro",DATOS_[Conc.Sal.16]))))), 0)</f>
        <v>0</v>
      </c>
      <c r="V23" s="250" t="n">
        <f aca="false" t="array" ref="V23:V23">IFERROR( MEDIAN((IF(DATOS_[[Sexo]:[Sexo]]=$B23,IF(DATOS_[[AGRUP. CLAS. PROF.]:[AGRUP. CLAS. PROF.]]=$B21,IF(DATOS_[[Check Periodo Ref.]:[Check Periodo Ref.]]="Dentro",DATOS_[Conc.Sal.17]))))), 0)</f>
        <v>0</v>
      </c>
      <c r="W23" s="250" t="n">
        <f aca="false" t="array" ref="W23:W23">IFERROR( MEDIAN((IF(DATOS_[[Sexo]:[Sexo]]=$B23,IF(DATOS_[[AGRUP. CLAS. PROF.]:[AGRUP. CLAS. PROF.]]=$B21,IF(DATOS_[[Check Periodo Ref.]:[Check Periodo Ref.]]="Dentro",DATOS_[Conc.Sal.18]))))), 0)</f>
        <v>0</v>
      </c>
      <c r="X23" s="250" t="n">
        <f aca="false" t="array" ref="X23:X23">IFERROR( MEDIAN((IF(DATOS_[[Sexo]:[Sexo]]=$B23,IF(DATOS_[[AGRUP. CLAS. PROF.]:[AGRUP. CLAS. PROF.]]=$B21,IF(DATOS_[[Check Periodo Ref.]:[Check Periodo Ref.]]="Dentro",DATOS_[Conc.Sal.19]))))), 0)</f>
        <v>0</v>
      </c>
      <c r="Y23" s="250" t="n">
        <f aca="false" t="array" ref="Y23:Y23">IFERROR( MEDIAN((IF(DATOS_[[Sexo]:[Sexo]]=$B23,IF(DATOS_[[AGRUP. CLAS. PROF.]:[AGRUP. CLAS. PROF.]]=$B21,IF(DATOS_[[Check Periodo Ref.]:[Check Periodo Ref.]]="Dentro",DATOS_[Conc.Sal.20]))))), 0)</f>
        <v>0</v>
      </c>
      <c r="Z23" s="250" t="n">
        <f aca="false" t="array" ref="Z23:Z23">IFERROR( MEDIAN((IF(DATOS_[[Sexo]:[Sexo]]=$B23,IF(DATOS_[[AGRUP. CLAS. PROF.]:[AGRUP. CLAS. PROF.]]=$B21,IF(DATOS_[[Check Periodo Ref.]:[Check Periodo Ref.]]="Dentro",DATOS_[Conc.Sal.21]))))), 0)</f>
        <v>0</v>
      </c>
      <c r="AA23" s="250" t="n">
        <f aca="false" t="array" ref="AA23:AA23">IFERROR( MEDIAN((IF(DATOS_[[Sexo]:[Sexo]]=$B23,IF(DATOS_[[AGRUP. CLAS. PROF.]:[AGRUP. CLAS. PROF.]]=$B21,IF(DATOS_[[Check Periodo Ref.]:[Check Periodo Ref.]]="Dentro",DATOS_[Conc.Sal.22]))))), 0)</f>
        <v>0</v>
      </c>
      <c r="AB23" s="250" t="n">
        <f aca="false" t="array" ref="AB23:AB23">IFERROR( MEDIAN((IF(DATOS_[[Sexo]:[Sexo]]=$B23,IF(DATOS_[[AGRUP. CLAS. PROF.]:[AGRUP. CLAS. PROF.]]=$B21,IF(DATOS_[[Check Periodo Ref.]:[Check Periodo Ref.]]="Dentro",DATOS_[Conc.Sal.23]))))), 0)</f>
        <v>0</v>
      </c>
      <c r="AC23" s="250" t="n">
        <f aca="false" t="array" ref="AC23:AC23">IFERROR( MEDIAN((IF(DATOS_[[Sexo]:[Sexo]]=$B23,IF(DATOS_[[AGRUP. CLAS. PROF.]:[AGRUP. CLAS. PROF.]]=$B21,IF(DATOS_[[Check Periodo Ref.]:[Check Periodo Ref.]]="Dentro",DATOS_[Conc.Sal.24]))))), 0)</f>
        <v>0</v>
      </c>
      <c r="AD23" s="250" t="n">
        <f aca="false" t="array" ref="AD23:AD23">IFERROR( MEDIAN((IF(DATOS_[[Sexo]:[Sexo]]=$B23,IF(DATOS_[[AGRUP. CLAS. PROF.]:[AGRUP. CLAS. PROF.]]=$B21,IF(DATOS_[[Check Periodo Ref.]:[Check Periodo Ref.]]="Dentro",DATOS_[Conc.Sal.25]))))), 0)</f>
        <v>0</v>
      </c>
      <c r="AE23" s="250" t="n">
        <f aca="false" t="array" ref="AE23:AE23">IFERROR( MEDIAN((IF(DATOS_[[Sexo]:[Sexo]]=$B23,IF(DATOS_[[AGRUP. CLAS. PROF.]:[AGRUP. CLAS. PROF.]]=$B21,IF(DATOS_[[Check Periodo Ref.]:[Check Periodo Ref.]]="Dentro",DATOS_[Conc.Sal.26]))))), 0)</f>
        <v>0</v>
      </c>
      <c r="AF23" s="250" t="n">
        <f aca="false" t="array" ref="AF23:AF23">IFERROR( MEDIAN((IF(DATOS_[[Sexo]:[Sexo]]=$B23,IF(DATOS_[[AGRUP. CLAS. PROF.]:[AGRUP. CLAS. PROF.]]=$B21,IF(DATOS_[[Check Periodo Ref.]:[Check Periodo Ref.]]="Dentro",DATOS_[Conc.Sal.27]))))), 0)</f>
        <v>0</v>
      </c>
      <c r="AG23" s="250" t="n">
        <f aca="false" t="array" ref="AG23:AG23">IFERROR( MEDIAN((IF(DATOS_[[Sexo]:[Sexo]]=$B23,IF(DATOS_[[AGRUP. CLAS. PROF.]:[AGRUP. CLAS. PROF.]]=$B21,IF(DATOS_[[Check Periodo Ref.]:[Check Periodo Ref.]]="Dentro",DATOS_[Conc.Sal.28]))))), 0)</f>
        <v>0</v>
      </c>
      <c r="AH23" s="250" t="n">
        <f aca="false" t="array" ref="AH23:AH23">IFERROR( MEDIAN((IF(DATOS_[[Sexo]:[Sexo]]=$B23,IF(DATOS_[[AGRUP. CLAS. PROF.]:[AGRUP. CLAS. PROF.]]=$B21,IF(DATOS_[[Check Periodo Ref.]:[Check Periodo Ref.]]="Dentro",DATOS_[Conc.Sal.29]))))), 0)</f>
        <v>0</v>
      </c>
      <c r="AI23" s="250" t="n">
        <f aca="false" t="array" ref="AI23:AI23">IFERROR( MEDIAN((IF(DATOS_[[Sexo]:[Sexo]]=$B23,IF(DATOS_[[AGRUP. CLAS. PROF.]:[AGRUP. CLAS. PROF.]]=$B21,IF(DATOS_[[Check Periodo Ref.]:[Check Periodo Ref.]]="Dentro",DATOS_[Conc.Sal.30]))))), 0)</f>
        <v>0</v>
      </c>
      <c r="AJ23" s="251" t="n">
        <f aca="false" t="array" ref="AJ23:AJ23">IFERROR( MEDIAN(IF(DATOS_[Sexo]=$B23,IF(DATOS_[AGRUP. CLAS. PROF.]=$B21,IF(DATOS_[Check Periodo Ref.]="Dentro",DATOS_[Tot COMPL.SAL Ef],0)))), 0)</f>
        <v>0</v>
      </c>
      <c r="AK23" s="252" t="n">
        <f aca="false" t="array" ref="AK23:AK23">IFERROR( MEDIAN(IF(DATOS_[Sexo]=$B23,IF(DATOS_[AGRUP. CLAS. PROF.]=$B21,IF(DATOS_[Check Periodo Ref.]="Dentro",DATOS_[TOTAL SALARIO Ef],0)))), 0)</f>
        <v>0</v>
      </c>
      <c r="AL23" s="259" t="n">
        <f aca="false" t="array" ref="AL23:AL23">IFERROR( MEDIAN((IF(DATOS_[[Sexo]:[Sexo]]=$B23,IF(DATOS_[[AGRUP. CLAS. PROF.]:[AGRUP. CLAS. PROF.]]=$B21,IF(DATOS_[[Check Periodo Ref.]:[Check Periodo Ref.]]="Dentro",DATOS_[C.Extra.01]))))), 0)</f>
        <v>0</v>
      </c>
      <c r="AM23" s="259" t="n">
        <f aca="false" t="array" ref="AM23:AM23">IFERROR( MEDIAN((IF(DATOS_[[Sexo]:[Sexo]]=$B23,IF(DATOS_[[AGRUP. CLAS. PROF.]:[AGRUP. CLAS. PROF.]]=$B21,IF(DATOS_[[Check Periodo Ref.]:[Check Periodo Ref.]]="Dentro",DATOS_[C.Extra.02]))))), 0)</f>
        <v>0</v>
      </c>
      <c r="AN23" s="259" t="n">
        <f aca="false" t="array" ref="AN23:AN23">IFERROR( MEDIAN((IF(DATOS_[[Sexo]:[Sexo]]=$B23,IF(DATOS_[[AGRUP. CLAS. PROF.]:[AGRUP. CLAS. PROF.]]=$B21,IF(DATOS_[[Check Periodo Ref.]:[Check Periodo Ref.]]="Dentro",DATOS_[C.Extra.03]))))), 0)</f>
        <v>0</v>
      </c>
      <c r="AO23" s="259" t="n">
        <f aca="false" t="array" ref="AO23:AO23">IFERROR( MEDIAN((IF(DATOS_[[Sexo]:[Sexo]]=$B23,IF(DATOS_[[AGRUP. CLAS. PROF.]:[AGRUP. CLAS. PROF.]]=$B21,IF(DATOS_[[Check Periodo Ref.]:[Check Periodo Ref.]]="Dentro",DATOS_[C.Extra.04]))))), 0)</f>
        <v>0</v>
      </c>
      <c r="AP23" s="259" t="n">
        <f aca="false" t="array" ref="AP23:AP23">IFERROR( MEDIAN((IF(DATOS_[[Sexo]:[Sexo]]=$B23,IF(DATOS_[[AGRUP. CLAS. PROF.]:[AGRUP. CLAS. PROF.]]=$B21,IF(DATOS_[[Check Periodo Ref.]:[Check Periodo Ref.]]="Dentro",DATOS_[C.Extra.05]))))), 0)</f>
        <v>0</v>
      </c>
      <c r="AQ23" s="254" t="n">
        <f aca="false" t="array" ref="AQ23:AQ23">IFERROR( MEDIAN(IF(DATOS_[Sexo]=$B23,IF(DATOS_[AGRUP. CLAS. PROF.]=$B21,IF(DATOS_[Check Periodo Ref.]="Dentro",DATOS_[Tot Extrasalarial Ef],0)))), 0)</f>
        <v>0</v>
      </c>
      <c r="AR23" s="255" t="n">
        <f aca="false" t="array" ref="AR23:AR23">IFERROR( MEDIAN(IF(DATOS_[Sexo]=$B23,IF(DATOS_[AGRUP. CLAS. PROF.]=$B21,IF(DATOS_[Check Periodo Ref.]="Dentro",DATOS_[TOTAL Retrib Ef],0)))), 0)</f>
        <v>0</v>
      </c>
    </row>
    <row r="24" customFormat="false" ht="15.75" hidden="false" customHeight="false" outlineLevel="0" collapsed="false">
      <c r="A24" s="217" t="str">
        <f aca="false">+A25</f>
        <v>[ocultar]</v>
      </c>
      <c r="B24" s="235" t="s">
        <v>179</v>
      </c>
      <c r="C24" s="236"/>
      <c r="D24" s="237"/>
      <c r="E24" s="238" t="str">
        <f aca="false">IFERROR((E25-E26)/E25,"")</f>
        <v/>
      </c>
      <c r="F24" s="239" t="str">
        <f aca="false">IFERROR((F25-F26)/F25,"")</f>
        <v/>
      </c>
      <c r="G24" s="239" t="str">
        <f aca="false">IFERROR((G25-G26)/G25,"")</f>
        <v/>
      </c>
      <c r="H24" s="239" t="str">
        <f aca="false">IFERROR((H25-H26)/H25,"")</f>
        <v/>
      </c>
      <c r="I24" s="239"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40" t="str">
        <f aca="false">IFERROR((V25-V26)/V25,"")</f>
        <v/>
      </c>
      <c r="W24" s="240" t="str">
        <f aca="false">IFERROR((W25-W26)/W25,"")</f>
        <v/>
      </c>
      <c r="X24" s="240" t="str">
        <f aca="false">IFERROR((X25-X26)/X25,"")</f>
        <v/>
      </c>
      <c r="Y24" s="240"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1" t="str">
        <f aca="false">IFERROR((AJ25-AJ26)/AJ25,"")</f>
        <v/>
      </c>
      <c r="AK24" s="242" t="str">
        <f aca="false">IFERROR((AK25-AK26)/AK25,"")</f>
        <v/>
      </c>
      <c r="AL24" s="243" t="str">
        <f aca="false">IFERROR((AL25-AL26)/AL25,"")</f>
        <v/>
      </c>
      <c r="AM24" s="243" t="str">
        <f aca="false">IFERROR((AM25-AM26)/AM25,"")</f>
        <v/>
      </c>
      <c r="AN24" s="243" t="str">
        <f aca="false">IFERROR((AN25-AN26)/AN25,"")</f>
        <v/>
      </c>
      <c r="AO24" s="243" t="str">
        <f aca="false">IFERROR((AO25-AO26)/AO25,"")</f>
        <v/>
      </c>
      <c r="AP24" s="243" t="str">
        <f aca="false">IFERROR((AP25-AP26)/AP25,"")</f>
        <v/>
      </c>
      <c r="AQ24" s="244" t="str">
        <f aca="false">IFERROR((AQ25-AQ26)/AQ25,"")</f>
        <v/>
      </c>
      <c r="AR24" s="245" t="str">
        <f aca="false">IFERROR((AR25-AR26)/AR25,"")</f>
        <v/>
      </c>
    </row>
    <row r="25" customFormat="false" ht="14.25" hidden="false" customHeight="false" outlineLevel="0" collapsed="false">
      <c r="A25" s="217" t="str">
        <f aca="false">+IF(C25+C26=0,"[ocultar]","")</f>
        <v>[ocultar]</v>
      </c>
      <c r="B25" s="246" t="s">
        <v>371</v>
      </c>
      <c r="C25" s="247" t="n">
        <f aca="false" t="array" ref="C25:C25">SUM(IF($B25=DATOS_[Sexo], IF($B24=DATOS_[AGRUP. CLAS. PROF.], IF("Dentro"=DATOS_[Check Periodo Ref.], 1/(COUNTIFS(DATOS_[Sexo],$B25,DATOS_[AGRUP. CLAS. PROF.],$B24,DATOS_[Check Periodo Ref.],"Dentro",DATOS_[id],DATOS_[id]))))))</f>
        <v>0</v>
      </c>
      <c r="D25" s="248" t="n">
        <f aca="false">COUNTIFS(DATOS_[AGRUP. CLAS. PROF.],$B24,DATOS_[Sexo],$B25,DATOS_[Check Periodo Ref.],"Dentro")</f>
        <v>0</v>
      </c>
      <c r="E25" s="249" t="n">
        <f aca="false" t="array" ref="E25:E25">IFERROR( MEDIAN(IF(DATOS_[Sexo]=$B25,IF(DATOS_[AGRUP. CLAS. PROF.]=$B24,IF(DATOS_[Check Periodo Ref.]="Dentro",DATOS_[SALARIO BASE Ef],0)))), 0)</f>
        <v>0</v>
      </c>
      <c r="F25" s="250" t="n">
        <f aca="false" t="array" ref="F25:F25">IFERROR( MEDIAN((IF(DATOS_[[Sexo]:[Sexo]]=$B25,IF(DATOS_[[AGRUP. CLAS. PROF.]:[AGRUP. CLAS. PROF.]]=$B24,IF(DATOS_[[Check Periodo Ref.]:[Check Periodo Ref.]]="Dentro",DATOS_[Conc.Sal.01]))))), 0)</f>
        <v>0</v>
      </c>
      <c r="G25" s="250" t="n">
        <f aca="false" t="array" ref="G25:G25">IFERROR( MEDIAN((IF(DATOS_[[Sexo]:[Sexo]]=$B25,IF(DATOS_[[AGRUP. CLAS. PROF.]:[AGRUP. CLAS. PROF.]]=$B24,IF(DATOS_[[Check Periodo Ref.]:[Check Periodo Ref.]]="Dentro",DATOS_[Conc.Sal.02]))))), 0)</f>
        <v>0</v>
      </c>
      <c r="H25" s="250" t="n">
        <f aca="false" t="array" ref="H25:H25">IFERROR( MEDIAN((IF(DATOS_[[Sexo]:[Sexo]]=$B25,IF(DATOS_[[AGRUP. CLAS. PROF.]:[AGRUP. CLAS. PROF.]]=$B24,IF(DATOS_[[Check Periodo Ref.]:[Check Periodo Ref.]]="Dentro",DATOS_[Conc.Sal.03]))))), 0)</f>
        <v>0</v>
      </c>
      <c r="I25" s="250" t="n">
        <f aca="false" t="array" ref="I25:I25">IFERROR( MEDIAN((IF(DATOS_[[Sexo]:[Sexo]]=$B25,IF(DATOS_[[AGRUP. CLAS. PROF.]:[AGRUP. CLAS. PROF.]]=$B24,IF(DATOS_[[Check Periodo Ref.]:[Check Periodo Ref.]]="Dentro",DATOS_[Conc.Sal.04]))))), 0)</f>
        <v>0</v>
      </c>
      <c r="J25" s="250" t="n">
        <f aca="false" t="array" ref="J25:J25">IFERROR( MEDIAN((IF(DATOS_[[Sexo]:[Sexo]]=$B25,IF(DATOS_[[AGRUP. CLAS. PROF.]:[AGRUP. CLAS. PROF.]]=$B24,IF(DATOS_[[Check Periodo Ref.]:[Check Periodo Ref.]]="Dentro",DATOS_[Conc.Sal.05]))))), 0)</f>
        <v>0</v>
      </c>
      <c r="K25" s="250" t="n">
        <f aca="false" t="array" ref="K25:K25">IFERROR( MEDIAN((IF(DATOS_[[Sexo]:[Sexo]]=$B25,IF(DATOS_[[AGRUP. CLAS. PROF.]:[AGRUP. CLAS. PROF.]]=$B24,IF(DATOS_[[Check Periodo Ref.]:[Check Periodo Ref.]]="Dentro",DATOS_[Conc.Sal.06]))))), 0)</f>
        <v>0</v>
      </c>
      <c r="L25" s="250" t="n">
        <f aca="false" t="array" ref="L25:L25">IFERROR( MEDIAN((IF(DATOS_[[Sexo]:[Sexo]]=$B25,IF(DATOS_[[AGRUP. CLAS. PROF.]:[AGRUP. CLAS. PROF.]]=$B24,IF(DATOS_[[Check Periodo Ref.]:[Check Periodo Ref.]]="Dentro",DATOS_[Conc.Sal.07]))))), 0)</f>
        <v>0</v>
      </c>
      <c r="M25" s="250" t="n">
        <f aca="false" t="array" ref="M25:M25">IFERROR( MEDIAN((IF(DATOS_[[Sexo]:[Sexo]]=$B25,IF(DATOS_[[AGRUP. CLAS. PROF.]:[AGRUP. CLAS. PROF.]]=$B24,IF(DATOS_[[Check Periodo Ref.]:[Check Periodo Ref.]]="Dentro",DATOS_[Conc.Sal.08]))))), 0)</f>
        <v>0</v>
      </c>
      <c r="N25" s="250" t="n">
        <f aca="false" t="array" ref="N25:N25">IFERROR( MEDIAN((IF(DATOS_[[Sexo]:[Sexo]]=$B25,IF(DATOS_[[AGRUP. CLAS. PROF.]:[AGRUP. CLAS. PROF.]]=$B24,IF(DATOS_[[Check Periodo Ref.]:[Check Periodo Ref.]]="Dentro",DATOS_[Conc.Sal.09]))))), 0)</f>
        <v>0</v>
      </c>
      <c r="O25" s="250" t="n">
        <f aca="false" t="array" ref="O25:O25">IFERROR( MEDIAN((IF(DATOS_[[Sexo]:[Sexo]]=$B25,IF(DATOS_[[AGRUP. CLAS. PROF.]:[AGRUP. CLAS. PROF.]]=$B24,IF(DATOS_[[Check Periodo Ref.]:[Check Periodo Ref.]]="Dentro",DATOS_[Conc.Sal.10]))))), 0)</f>
        <v>0</v>
      </c>
      <c r="P25" s="250" t="n">
        <f aca="false" t="array" ref="P25:P25">IFERROR( MEDIAN((IF(DATOS_[[Sexo]:[Sexo]]=$B25,IF(DATOS_[[AGRUP. CLAS. PROF.]:[AGRUP. CLAS. PROF.]]=$B24,IF(DATOS_[[Check Periodo Ref.]:[Check Periodo Ref.]]="Dentro",DATOS_[Conc.Sal.11]))))), 0)</f>
        <v>0</v>
      </c>
      <c r="Q25" s="250" t="n">
        <f aca="false" t="array" ref="Q25:Q25">IFERROR( MEDIAN((IF(DATOS_[[Sexo]:[Sexo]]=$B25,IF(DATOS_[[AGRUP. CLAS. PROF.]:[AGRUP. CLAS. PROF.]]=$B24,IF(DATOS_[[Check Periodo Ref.]:[Check Periodo Ref.]]="Dentro",DATOS_[Conc.Sal.12]))))), 0)</f>
        <v>0</v>
      </c>
      <c r="R25" s="250" t="n">
        <f aca="false" t="array" ref="R25:R25">IFERROR( MEDIAN((IF(DATOS_[[Sexo]:[Sexo]]=$B25,IF(DATOS_[[AGRUP. CLAS. PROF.]:[AGRUP. CLAS. PROF.]]=$B24,IF(DATOS_[[Check Periodo Ref.]:[Check Periodo Ref.]]="Dentro",DATOS_[Conc.Sal.13]))))), 0)</f>
        <v>0</v>
      </c>
      <c r="S25" s="250" t="n">
        <f aca="false" t="array" ref="S25:S25">IFERROR( MEDIAN((IF(DATOS_[[Sexo]:[Sexo]]=$B25,IF(DATOS_[[AGRUP. CLAS. PROF.]:[AGRUP. CLAS. PROF.]]=$B24,IF(DATOS_[[Check Periodo Ref.]:[Check Periodo Ref.]]="Dentro",DATOS_[Conc.Sal.14]))))), 0)</f>
        <v>0</v>
      </c>
      <c r="T25" s="250" t="n">
        <f aca="false" t="array" ref="T25:T25">IFERROR( MEDIAN((IF(DATOS_[[Sexo]:[Sexo]]=$B25,IF(DATOS_[[AGRUP. CLAS. PROF.]:[AGRUP. CLAS. PROF.]]=$B24,IF(DATOS_[[Check Periodo Ref.]:[Check Periodo Ref.]]="Dentro",DATOS_[Conc.Sal.15]))))), 0)</f>
        <v>0</v>
      </c>
      <c r="U25" s="250" t="n">
        <f aca="false" t="array" ref="U25:U25">IFERROR( MEDIAN((IF(DATOS_[[Sexo]:[Sexo]]=$B25,IF(DATOS_[[AGRUP. CLAS. PROF.]:[AGRUP. CLAS. PROF.]]=$B24,IF(DATOS_[[Check Periodo Ref.]:[Check Periodo Ref.]]="Dentro",DATOS_[Conc.Sal.16]))))), 0)</f>
        <v>0</v>
      </c>
      <c r="V25" s="250" t="n">
        <f aca="false" t="array" ref="V25:V25">IFERROR( MEDIAN((IF(DATOS_[[Sexo]:[Sexo]]=$B25,IF(DATOS_[[AGRUP. CLAS. PROF.]:[AGRUP. CLAS. PROF.]]=$B24,IF(DATOS_[[Check Periodo Ref.]:[Check Periodo Ref.]]="Dentro",DATOS_[Conc.Sal.17]))))), 0)</f>
        <v>0</v>
      </c>
      <c r="W25" s="250" t="n">
        <f aca="false" t="array" ref="W25:W25">IFERROR( MEDIAN((IF(DATOS_[[Sexo]:[Sexo]]=$B25,IF(DATOS_[[AGRUP. CLAS. PROF.]:[AGRUP. CLAS. PROF.]]=$B24,IF(DATOS_[[Check Periodo Ref.]:[Check Periodo Ref.]]="Dentro",DATOS_[Conc.Sal.18]))))), 0)</f>
        <v>0</v>
      </c>
      <c r="X25" s="250" t="n">
        <f aca="false" t="array" ref="X25:X25">IFERROR( MEDIAN((IF(DATOS_[[Sexo]:[Sexo]]=$B25,IF(DATOS_[[AGRUP. CLAS. PROF.]:[AGRUP. CLAS. PROF.]]=$B24,IF(DATOS_[[Check Periodo Ref.]:[Check Periodo Ref.]]="Dentro",DATOS_[Conc.Sal.19]))))), 0)</f>
        <v>0</v>
      </c>
      <c r="Y25" s="250" t="n">
        <f aca="false" t="array" ref="Y25:Y25">IFERROR( MEDIAN((IF(DATOS_[[Sexo]:[Sexo]]=$B25,IF(DATOS_[[AGRUP. CLAS. PROF.]:[AGRUP. CLAS. PROF.]]=$B24,IF(DATOS_[[Check Periodo Ref.]:[Check Periodo Ref.]]="Dentro",DATOS_[Conc.Sal.20]))))), 0)</f>
        <v>0</v>
      </c>
      <c r="Z25" s="250" t="n">
        <f aca="false" t="array" ref="Z25:Z25">IFERROR( MEDIAN((IF(DATOS_[[Sexo]:[Sexo]]=$B25,IF(DATOS_[[AGRUP. CLAS. PROF.]:[AGRUP. CLAS. PROF.]]=$B24,IF(DATOS_[[Check Periodo Ref.]:[Check Periodo Ref.]]="Dentro",DATOS_[Conc.Sal.21]))))), 0)</f>
        <v>0</v>
      </c>
      <c r="AA25" s="250" t="n">
        <f aca="false" t="array" ref="AA25:AA25">IFERROR( MEDIAN((IF(DATOS_[[Sexo]:[Sexo]]=$B25,IF(DATOS_[[AGRUP. CLAS. PROF.]:[AGRUP. CLAS. PROF.]]=$B24,IF(DATOS_[[Check Periodo Ref.]:[Check Periodo Ref.]]="Dentro",DATOS_[Conc.Sal.22]))))), 0)</f>
        <v>0</v>
      </c>
      <c r="AB25" s="250" t="n">
        <f aca="false" t="array" ref="AB25:AB25">IFERROR( MEDIAN((IF(DATOS_[[Sexo]:[Sexo]]=$B25,IF(DATOS_[[AGRUP. CLAS. PROF.]:[AGRUP. CLAS. PROF.]]=$B24,IF(DATOS_[[Check Periodo Ref.]:[Check Periodo Ref.]]="Dentro",DATOS_[Conc.Sal.23]))))), 0)</f>
        <v>0</v>
      </c>
      <c r="AC25" s="250" t="n">
        <f aca="false" t="array" ref="AC25:AC25">IFERROR( MEDIAN((IF(DATOS_[[Sexo]:[Sexo]]=$B25,IF(DATOS_[[AGRUP. CLAS. PROF.]:[AGRUP. CLAS. PROF.]]=$B24,IF(DATOS_[[Check Periodo Ref.]:[Check Periodo Ref.]]="Dentro",DATOS_[Conc.Sal.24]))))), 0)</f>
        <v>0</v>
      </c>
      <c r="AD25" s="250" t="n">
        <f aca="false" t="array" ref="AD25:AD25">IFERROR( MEDIAN((IF(DATOS_[[Sexo]:[Sexo]]=$B25,IF(DATOS_[[AGRUP. CLAS. PROF.]:[AGRUP. CLAS. PROF.]]=$B24,IF(DATOS_[[Check Periodo Ref.]:[Check Periodo Ref.]]="Dentro",DATOS_[Conc.Sal.25]))))), 0)</f>
        <v>0</v>
      </c>
      <c r="AE25" s="250" t="n">
        <f aca="false" t="array" ref="AE25:AE25">IFERROR( MEDIAN((IF(DATOS_[[Sexo]:[Sexo]]=$B25,IF(DATOS_[[AGRUP. CLAS. PROF.]:[AGRUP. CLAS. PROF.]]=$B24,IF(DATOS_[[Check Periodo Ref.]:[Check Periodo Ref.]]="Dentro",DATOS_[Conc.Sal.26]))))), 0)</f>
        <v>0</v>
      </c>
      <c r="AF25" s="250" t="n">
        <f aca="false" t="array" ref="AF25:AF25">IFERROR( MEDIAN((IF(DATOS_[[Sexo]:[Sexo]]=$B25,IF(DATOS_[[AGRUP. CLAS. PROF.]:[AGRUP. CLAS. PROF.]]=$B24,IF(DATOS_[[Check Periodo Ref.]:[Check Periodo Ref.]]="Dentro",DATOS_[Conc.Sal.27]))))), 0)</f>
        <v>0</v>
      </c>
      <c r="AG25" s="250" t="n">
        <f aca="false" t="array" ref="AG25:AG25">IFERROR( MEDIAN((IF(DATOS_[[Sexo]:[Sexo]]=$B25,IF(DATOS_[[AGRUP. CLAS. PROF.]:[AGRUP. CLAS. PROF.]]=$B24,IF(DATOS_[[Check Periodo Ref.]:[Check Periodo Ref.]]="Dentro",DATOS_[Conc.Sal.28]))))), 0)</f>
        <v>0</v>
      </c>
      <c r="AH25" s="250" t="n">
        <f aca="false" t="array" ref="AH25:AH25">IFERROR( MEDIAN((IF(DATOS_[[Sexo]:[Sexo]]=$B25,IF(DATOS_[[AGRUP. CLAS. PROF.]:[AGRUP. CLAS. PROF.]]=$B24,IF(DATOS_[[Check Periodo Ref.]:[Check Periodo Ref.]]="Dentro",DATOS_[Conc.Sal.29]))))), 0)</f>
        <v>0</v>
      </c>
      <c r="AI25" s="250" t="n">
        <f aca="false" t="array" ref="AI25:AI25">IFERROR( MEDIAN((IF(DATOS_[[Sexo]:[Sexo]]=$B25,IF(DATOS_[[AGRUP. CLAS. PROF.]:[AGRUP. CLAS. PROF.]]=$B24,IF(DATOS_[[Check Periodo Ref.]:[Check Periodo Ref.]]="Dentro",DATOS_[Conc.Sal.30]))))), 0)</f>
        <v>0</v>
      </c>
      <c r="AJ25" s="251" t="n">
        <f aca="false" t="array" ref="AJ25:AJ25">IFERROR( MEDIAN(IF(DATOS_[Sexo]=$B25,IF(DATOS_[AGRUP. CLAS. PROF.]=$B24,IF(DATOS_[Check Periodo Ref.]="Dentro",DATOS_[Tot COMPL.SAL Ef],0)))), 0)</f>
        <v>0</v>
      </c>
      <c r="AK25" s="252" t="n">
        <f aca="false" t="array" ref="AK25:AK25">IFERROR( MEDIAN(IF(DATOS_[Sexo]=$B25,IF(DATOS_[AGRUP. CLAS. PROF.]=$B24,IF(DATOS_[Check Periodo Ref.]="Dentro",DATOS_[TOTAL SALARIO Ef],0)))), 0)</f>
        <v>0</v>
      </c>
      <c r="AL25" s="259" t="n">
        <f aca="false" t="array" ref="AL25:AL25">IFERROR( MEDIAN((IF(DATOS_[[Sexo]:[Sexo]]=$B25,IF(DATOS_[[AGRUP. CLAS. PROF.]:[AGRUP. CLAS. PROF.]]=$B24,IF(DATOS_[[Check Periodo Ref.]:[Check Periodo Ref.]]="Dentro",DATOS_[C.Extra.01]))))), 0)</f>
        <v>0</v>
      </c>
      <c r="AM25" s="259" t="n">
        <f aca="false" t="array" ref="AM25:AM25">IFERROR( MEDIAN((IF(DATOS_[[Sexo]:[Sexo]]=$B25,IF(DATOS_[[AGRUP. CLAS. PROF.]:[AGRUP. CLAS. PROF.]]=$B24,IF(DATOS_[[Check Periodo Ref.]:[Check Periodo Ref.]]="Dentro",DATOS_[C.Extra.02]))))), 0)</f>
        <v>0</v>
      </c>
      <c r="AN25" s="259" t="n">
        <f aca="false" t="array" ref="AN25:AN25">IFERROR( MEDIAN((IF(DATOS_[[Sexo]:[Sexo]]=$B25,IF(DATOS_[[AGRUP. CLAS. PROF.]:[AGRUP. CLAS. PROF.]]=$B24,IF(DATOS_[[Check Periodo Ref.]:[Check Periodo Ref.]]="Dentro",DATOS_[C.Extra.03]))))), 0)</f>
        <v>0</v>
      </c>
      <c r="AO25" s="259" t="n">
        <f aca="false" t="array" ref="AO25:AO25">IFERROR( MEDIAN((IF(DATOS_[[Sexo]:[Sexo]]=$B25,IF(DATOS_[[AGRUP. CLAS. PROF.]:[AGRUP. CLAS. PROF.]]=$B24,IF(DATOS_[[Check Periodo Ref.]:[Check Periodo Ref.]]="Dentro",DATOS_[C.Extra.04]))))), 0)</f>
        <v>0</v>
      </c>
      <c r="AP25" s="259" t="n">
        <f aca="false" t="array" ref="AP25:AP25">IFERROR( MEDIAN((IF(DATOS_[[Sexo]:[Sexo]]=$B25,IF(DATOS_[[AGRUP. CLAS. PROF.]:[AGRUP. CLAS. PROF.]]=$B24,IF(DATOS_[[Check Periodo Ref.]:[Check Periodo Ref.]]="Dentro",DATOS_[C.Extra.05]))))), 0)</f>
        <v>0</v>
      </c>
      <c r="AQ25" s="254" t="n">
        <f aca="false" t="array" ref="AQ25:AQ25">IFERROR( MEDIAN(IF(DATOS_[Sexo]=$B25,IF(DATOS_[AGRUP. CLAS. PROF.]=$B24,IF(DATOS_[Check Periodo Ref.]="Dentro",DATOS_[Tot Extrasalarial Ef],0)))), 0)</f>
        <v>0</v>
      </c>
      <c r="AR25" s="255" t="n">
        <f aca="false" t="array" ref="AR25:AR25">IFERROR( MEDIAN(IF(DATOS_[Sexo]=$B25,IF(DATOS_[AGRUP. CLAS. PROF.]=$B24,IF(DATOS_[Check Periodo Ref.]="Dentro",DATOS_[TOTAL Retrib Ef],0)))), 0)</f>
        <v>0</v>
      </c>
    </row>
    <row r="26" customFormat="false" ht="14.25" hidden="false" customHeight="false" outlineLevel="0" collapsed="false">
      <c r="A26" s="217" t="str">
        <f aca="false">+A25</f>
        <v>[ocultar]</v>
      </c>
      <c r="B26" s="246" t="s">
        <v>372</v>
      </c>
      <c r="C26" s="247" t="n">
        <f aca="false" t="array" ref="C26:C26">SUM(IF($B26=DATOS_[Sexo], IF($B24=DATOS_[AGRUP. CLAS. PROF.], IF("Dentro"=DATOS_[Check Periodo Ref.], 1/(COUNTIFS(DATOS_[Sexo],$B26,DATOS_[AGRUP. CLAS. PROF.],$B24,DATOS_[Check Periodo Ref.],"Dentro",DATOS_[id],DATOS_[id]))))))</f>
        <v>0</v>
      </c>
      <c r="D26" s="248" t="n">
        <f aca="false">COUNTIFS(DATOS_[AGRUP. CLAS. PROF.],$B24,DATOS_[Sexo],$B26,DATOS_[Check Periodo Ref.],"Dentro")</f>
        <v>0</v>
      </c>
      <c r="E26" s="249" t="n">
        <f aca="false" t="array" ref="E26:E26">IFERROR( MEDIAN(IF(DATOS_[Sexo]=$B26,IF(DATOS_[AGRUP. CLAS. PROF.]=$B24,IF(DATOS_[Check Periodo Ref.]="Dentro",DATOS_[SALARIO BASE Ef],0)))), 0)</f>
        <v>0</v>
      </c>
      <c r="F26" s="250" t="n">
        <f aca="false" t="array" ref="F26:F26">IFERROR( MEDIAN((IF(DATOS_[[Sexo]:[Sexo]]=$B26,IF(DATOS_[[AGRUP. CLAS. PROF.]:[AGRUP. CLAS. PROF.]]=$B24,IF(DATOS_[[Check Periodo Ref.]:[Check Periodo Ref.]]="Dentro",DATOS_[Conc.Sal.01]))))), 0)</f>
        <v>0</v>
      </c>
      <c r="G26" s="250" t="n">
        <f aca="false" t="array" ref="G26:G26">IFERROR( MEDIAN((IF(DATOS_[[Sexo]:[Sexo]]=$B26,IF(DATOS_[[AGRUP. CLAS. PROF.]:[AGRUP. CLAS. PROF.]]=$B24,IF(DATOS_[[Check Periodo Ref.]:[Check Periodo Ref.]]="Dentro",DATOS_[Conc.Sal.02]))))), 0)</f>
        <v>0</v>
      </c>
      <c r="H26" s="250" t="n">
        <f aca="false" t="array" ref="H26:H26">IFERROR( MEDIAN((IF(DATOS_[[Sexo]:[Sexo]]=$B26,IF(DATOS_[[AGRUP. CLAS. PROF.]:[AGRUP. CLAS. PROF.]]=$B24,IF(DATOS_[[Check Periodo Ref.]:[Check Periodo Ref.]]="Dentro",DATOS_[Conc.Sal.03]))))), 0)</f>
        <v>0</v>
      </c>
      <c r="I26" s="250" t="n">
        <f aca="false" t="array" ref="I26:I26">IFERROR( MEDIAN((IF(DATOS_[[Sexo]:[Sexo]]=$B26,IF(DATOS_[[AGRUP. CLAS. PROF.]:[AGRUP. CLAS. PROF.]]=$B24,IF(DATOS_[[Check Periodo Ref.]:[Check Periodo Ref.]]="Dentro",DATOS_[Conc.Sal.04]))))), 0)</f>
        <v>0</v>
      </c>
      <c r="J26" s="250" t="n">
        <f aca="false" t="array" ref="J26:J26">IFERROR( MEDIAN((IF(DATOS_[[Sexo]:[Sexo]]=$B26,IF(DATOS_[[AGRUP. CLAS. PROF.]:[AGRUP. CLAS. PROF.]]=$B24,IF(DATOS_[[Check Periodo Ref.]:[Check Periodo Ref.]]="Dentro",DATOS_[Conc.Sal.05]))))), 0)</f>
        <v>0</v>
      </c>
      <c r="K26" s="250" t="n">
        <f aca="false" t="array" ref="K26:K26">IFERROR( MEDIAN((IF(DATOS_[[Sexo]:[Sexo]]=$B26,IF(DATOS_[[AGRUP. CLAS. PROF.]:[AGRUP. CLAS. PROF.]]=$B24,IF(DATOS_[[Check Periodo Ref.]:[Check Periodo Ref.]]="Dentro",DATOS_[Conc.Sal.06]))))), 0)</f>
        <v>0</v>
      </c>
      <c r="L26" s="250" t="n">
        <f aca="false" t="array" ref="L26:L26">IFERROR( MEDIAN((IF(DATOS_[[Sexo]:[Sexo]]=$B26,IF(DATOS_[[AGRUP. CLAS. PROF.]:[AGRUP. CLAS. PROF.]]=$B24,IF(DATOS_[[Check Periodo Ref.]:[Check Periodo Ref.]]="Dentro",DATOS_[Conc.Sal.07]))))), 0)</f>
        <v>0</v>
      </c>
      <c r="M26" s="250" t="n">
        <f aca="false" t="array" ref="M26:M26">IFERROR( MEDIAN((IF(DATOS_[[Sexo]:[Sexo]]=$B26,IF(DATOS_[[AGRUP. CLAS. PROF.]:[AGRUP. CLAS. PROF.]]=$B24,IF(DATOS_[[Check Periodo Ref.]:[Check Periodo Ref.]]="Dentro",DATOS_[Conc.Sal.08]))))), 0)</f>
        <v>0</v>
      </c>
      <c r="N26" s="250" t="n">
        <f aca="false" t="array" ref="N26:N26">IFERROR( MEDIAN((IF(DATOS_[[Sexo]:[Sexo]]=$B26,IF(DATOS_[[AGRUP. CLAS. PROF.]:[AGRUP. CLAS. PROF.]]=$B24,IF(DATOS_[[Check Periodo Ref.]:[Check Periodo Ref.]]="Dentro",DATOS_[Conc.Sal.09]))))), 0)</f>
        <v>0</v>
      </c>
      <c r="O26" s="250" t="n">
        <f aca="false" t="array" ref="O26:O26">IFERROR( MEDIAN((IF(DATOS_[[Sexo]:[Sexo]]=$B26,IF(DATOS_[[AGRUP. CLAS. PROF.]:[AGRUP. CLAS. PROF.]]=$B24,IF(DATOS_[[Check Periodo Ref.]:[Check Periodo Ref.]]="Dentro",DATOS_[Conc.Sal.10]))))), 0)</f>
        <v>0</v>
      </c>
      <c r="P26" s="250" t="n">
        <f aca="false" t="array" ref="P26:P26">IFERROR( MEDIAN((IF(DATOS_[[Sexo]:[Sexo]]=$B26,IF(DATOS_[[AGRUP. CLAS. PROF.]:[AGRUP. CLAS. PROF.]]=$B24,IF(DATOS_[[Check Periodo Ref.]:[Check Periodo Ref.]]="Dentro",DATOS_[Conc.Sal.11]))))), 0)</f>
        <v>0</v>
      </c>
      <c r="Q26" s="250" t="n">
        <f aca="false" t="array" ref="Q26:Q26">IFERROR( MEDIAN((IF(DATOS_[[Sexo]:[Sexo]]=$B26,IF(DATOS_[[AGRUP. CLAS. PROF.]:[AGRUP. CLAS. PROF.]]=$B24,IF(DATOS_[[Check Periodo Ref.]:[Check Periodo Ref.]]="Dentro",DATOS_[Conc.Sal.12]))))), 0)</f>
        <v>0</v>
      </c>
      <c r="R26" s="250" t="n">
        <f aca="false" t="array" ref="R26:R26">IFERROR( MEDIAN((IF(DATOS_[[Sexo]:[Sexo]]=$B26,IF(DATOS_[[AGRUP. CLAS. PROF.]:[AGRUP. CLAS. PROF.]]=$B24,IF(DATOS_[[Check Periodo Ref.]:[Check Periodo Ref.]]="Dentro",DATOS_[Conc.Sal.13]))))), 0)</f>
        <v>0</v>
      </c>
      <c r="S26" s="250" t="n">
        <f aca="false" t="array" ref="S26:S26">IFERROR( MEDIAN((IF(DATOS_[[Sexo]:[Sexo]]=$B26,IF(DATOS_[[AGRUP. CLAS. PROF.]:[AGRUP. CLAS. PROF.]]=$B24,IF(DATOS_[[Check Periodo Ref.]:[Check Periodo Ref.]]="Dentro",DATOS_[Conc.Sal.14]))))), 0)</f>
        <v>0</v>
      </c>
      <c r="T26" s="250" t="n">
        <f aca="false" t="array" ref="T26:T26">IFERROR( MEDIAN((IF(DATOS_[[Sexo]:[Sexo]]=$B26,IF(DATOS_[[AGRUP. CLAS. PROF.]:[AGRUP. CLAS. PROF.]]=$B24,IF(DATOS_[[Check Periodo Ref.]:[Check Periodo Ref.]]="Dentro",DATOS_[Conc.Sal.15]))))), 0)</f>
        <v>0</v>
      </c>
      <c r="U26" s="250" t="n">
        <f aca="false" t="array" ref="U26:U26">IFERROR( MEDIAN((IF(DATOS_[[Sexo]:[Sexo]]=$B26,IF(DATOS_[[AGRUP. CLAS. PROF.]:[AGRUP. CLAS. PROF.]]=$B24,IF(DATOS_[[Check Periodo Ref.]:[Check Periodo Ref.]]="Dentro",DATOS_[Conc.Sal.16]))))), 0)</f>
        <v>0</v>
      </c>
      <c r="V26" s="250" t="n">
        <f aca="false" t="array" ref="V26:V26">IFERROR( MEDIAN((IF(DATOS_[[Sexo]:[Sexo]]=$B26,IF(DATOS_[[AGRUP. CLAS. PROF.]:[AGRUP. CLAS. PROF.]]=$B24,IF(DATOS_[[Check Periodo Ref.]:[Check Periodo Ref.]]="Dentro",DATOS_[Conc.Sal.17]))))), 0)</f>
        <v>0</v>
      </c>
      <c r="W26" s="250" t="n">
        <f aca="false" t="array" ref="W26:W26">IFERROR( MEDIAN((IF(DATOS_[[Sexo]:[Sexo]]=$B26,IF(DATOS_[[AGRUP. CLAS. PROF.]:[AGRUP. CLAS. PROF.]]=$B24,IF(DATOS_[[Check Periodo Ref.]:[Check Periodo Ref.]]="Dentro",DATOS_[Conc.Sal.18]))))), 0)</f>
        <v>0</v>
      </c>
      <c r="X26" s="250" t="n">
        <f aca="false" t="array" ref="X26:X26">IFERROR( MEDIAN((IF(DATOS_[[Sexo]:[Sexo]]=$B26,IF(DATOS_[[AGRUP. CLAS. PROF.]:[AGRUP. CLAS. PROF.]]=$B24,IF(DATOS_[[Check Periodo Ref.]:[Check Periodo Ref.]]="Dentro",DATOS_[Conc.Sal.19]))))), 0)</f>
        <v>0</v>
      </c>
      <c r="Y26" s="250" t="n">
        <f aca="false" t="array" ref="Y26:Y26">IFERROR( MEDIAN((IF(DATOS_[[Sexo]:[Sexo]]=$B26,IF(DATOS_[[AGRUP. CLAS. PROF.]:[AGRUP. CLAS. PROF.]]=$B24,IF(DATOS_[[Check Periodo Ref.]:[Check Periodo Ref.]]="Dentro",DATOS_[Conc.Sal.20]))))), 0)</f>
        <v>0</v>
      </c>
      <c r="Z26" s="250" t="n">
        <f aca="false" t="array" ref="Z26:Z26">IFERROR( MEDIAN((IF(DATOS_[[Sexo]:[Sexo]]=$B26,IF(DATOS_[[AGRUP. CLAS. PROF.]:[AGRUP. CLAS. PROF.]]=$B24,IF(DATOS_[[Check Periodo Ref.]:[Check Periodo Ref.]]="Dentro",DATOS_[Conc.Sal.21]))))), 0)</f>
        <v>0</v>
      </c>
      <c r="AA26" s="250" t="n">
        <f aca="false" t="array" ref="AA26:AA26">IFERROR( MEDIAN((IF(DATOS_[[Sexo]:[Sexo]]=$B26,IF(DATOS_[[AGRUP. CLAS. PROF.]:[AGRUP. CLAS. PROF.]]=$B24,IF(DATOS_[[Check Periodo Ref.]:[Check Periodo Ref.]]="Dentro",DATOS_[Conc.Sal.22]))))), 0)</f>
        <v>0</v>
      </c>
      <c r="AB26" s="250" t="n">
        <f aca="false" t="array" ref="AB26:AB26">IFERROR( MEDIAN((IF(DATOS_[[Sexo]:[Sexo]]=$B26,IF(DATOS_[[AGRUP. CLAS. PROF.]:[AGRUP. CLAS. PROF.]]=$B24,IF(DATOS_[[Check Periodo Ref.]:[Check Periodo Ref.]]="Dentro",DATOS_[Conc.Sal.23]))))), 0)</f>
        <v>0</v>
      </c>
      <c r="AC26" s="250" t="n">
        <f aca="false" t="array" ref="AC26:AC26">IFERROR( MEDIAN((IF(DATOS_[[Sexo]:[Sexo]]=$B26,IF(DATOS_[[AGRUP. CLAS. PROF.]:[AGRUP. CLAS. PROF.]]=$B24,IF(DATOS_[[Check Periodo Ref.]:[Check Periodo Ref.]]="Dentro",DATOS_[Conc.Sal.24]))))), 0)</f>
        <v>0</v>
      </c>
      <c r="AD26" s="250" t="n">
        <f aca="false" t="array" ref="AD26:AD26">IFERROR( MEDIAN((IF(DATOS_[[Sexo]:[Sexo]]=$B26,IF(DATOS_[[AGRUP. CLAS. PROF.]:[AGRUP. CLAS. PROF.]]=$B24,IF(DATOS_[[Check Periodo Ref.]:[Check Periodo Ref.]]="Dentro",DATOS_[Conc.Sal.25]))))), 0)</f>
        <v>0</v>
      </c>
      <c r="AE26" s="250" t="n">
        <f aca="false" t="array" ref="AE26:AE26">IFERROR( MEDIAN((IF(DATOS_[[Sexo]:[Sexo]]=$B26,IF(DATOS_[[AGRUP. CLAS. PROF.]:[AGRUP. CLAS. PROF.]]=$B24,IF(DATOS_[[Check Periodo Ref.]:[Check Periodo Ref.]]="Dentro",DATOS_[Conc.Sal.26]))))), 0)</f>
        <v>0</v>
      </c>
      <c r="AF26" s="250" t="n">
        <f aca="false" t="array" ref="AF26:AF26">IFERROR( MEDIAN((IF(DATOS_[[Sexo]:[Sexo]]=$B26,IF(DATOS_[[AGRUP. CLAS. PROF.]:[AGRUP. CLAS. PROF.]]=$B24,IF(DATOS_[[Check Periodo Ref.]:[Check Periodo Ref.]]="Dentro",DATOS_[Conc.Sal.27]))))), 0)</f>
        <v>0</v>
      </c>
      <c r="AG26" s="250" t="n">
        <f aca="false" t="array" ref="AG26:AG26">IFERROR( MEDIAN((IF(DATOS_[[Sexo]:[Sexo]]=$B26,IF(DATOS_[[AGRUP. CLAS. PROF.]:[AGRUP. CLAS. PROF.]]=$B24,IF(DATOS_[[Check Periodo Ref.]:[Check Periodo Ref.]]="Dentro",DATOS_[Conc.Sal.28]))))), 0)</f>
        <v>0</v>
      </c>
      <c r="AH26" s="250" t="n">
        <f aca="false" t="array" ref="AH26:AH26">IFERROR( MEDIAN((IF(DATOS_[[Sexo]:[Sexo]]=$B26,IF(DATOS_[[AGRUP. CLAS. PROF.]:[AGRUP. CLAS. PROF.]]=$B24,IF(DATOS_[[Check Periodo Ref.]:[Check Periodo Ref.]]="Dentro",DATOS_[Conc.Sal.29]))))), 0)</f>
        <v>0</v>
      </c>
      <c r="AI26" s="250" t="n">
        <f aca="false" t="array" ref="AI26:AI26">IFERROR( MEDIAN((IF(DATOS_[[Sexo]:[Sexo]]=$B26,IF(DATOS_[[AGRUP. CLAS. PROF.]:[AGRUP. CLAS. PROF.]]=$B24,IF(DATOS_[[Check Periodo Ref.]:[Check Periodo Ref.]]="Dentro",DATOS_[Conc.Sal.30]))))), 0)</f>
        <v>0</v>
      </c>
      <c r="AJ26" s="251" t="n">
        <f aca="false" t="array" ref="AJ26:AJ26">IFERROR( MEDIAN(IF(DATOS_[Sexo]=$B26,IF(DATOS_[AGRUP. CLAS. PROF.]=$B24,IF(DATOS_[Check Periodo Ref.]="Dentro",DATOS_[Tot COMPL.SAL Ef],0)))), 0)</f>
        <v>0</v>
      </c>
      <c r="AK26" s="252" t="n">
        <f aca="false" t="array" ref="AK26:AK26">IFERROR( MEDIAN(IF(DATOS_[Sexo]=$B26,IF(DATOS_[AGRUP. CLAS. PROF.]=$B24,IF(DATOS_[Check Periodo Ref.]="Dentro",DATOS_[TOTAL SALARIO Ef],0)))), 0)</f>
        <v>0</v>
      </c>
      <c r="AL26" s="259" t="n">
        <f aca="false" t="array" ref="AL26:AL26">IFERROR( MEDIAN((IF(DATOS_[[Sexo]:[Sexo]]=$B26,IF(DATOS_[[AGRUP. CLAS. PROF.]:[AGRUP. CLAS. PROF.]]=$B24,IF(DATOS_[[Check Periodo Ref.]:[Check Periodo Ref.]]="Dentro",DATOS_[C.Extra.01]))))), 0)</f>
        <v>0</v>
      </c>
      <c r="AM26" s="259" t="n">
        <f aca="false" t="array" ref="AM26:AM26">IFERROR( MEDIAN((IF(DATOS_[[Sexo]:[Sexo]]=$B26,IF(DATOS_[[AGRUP. CLAS. PROF.]:[AGRUP. CLAS. PROF.]]=$B24,IF(DATOS_[[Check Periodo Ref.]:[Check Periodo Ref.]]="Dentro",DATOS_[C.Extra.02]))))), 0)</f>
        <v>0</v>
      </c>
      <c r="AN26" s="259" t="n">
        <f aca="false" t="array" ref="AN26:AN26">IFERROR( MEDIAN((IF(DATOS_[[Sexo]:[Sexo]]=$B26,IF(DATOS_[[AGRUP. CLAS. PROF.]:[AGRUP. CLAS. PROF.]]=$B24,IF(DATOS_[[Check Periodo Ref.]:[Check Periodo Ref.]]="Dentro",DATOS_[C.Extra.03]))))), 0)</f>
        <v>0</v>
      </c>
      <c r="AO26" s="259" t="n">
        <f aca="false" t="array" ref="AO26:AO26">IFERROR( MEDIAN((IF(DATOS_[[Sexo]:[Sexo]]=$B26,IF(DATOS_[[AGRUP. CLAS. PROF.]:[AGRUP. CLAS. PROF.]]=$B24,IF(DATOS_[[Check Periodo Ref.]:[Check Periodo Ref.]]="Dentro",DATOS_[C.Extra.04]))))), 0)</f>
        <v>0</v>
      </c>
      <c r="AP26" s="259" t="n">
        <f aca="false" t="array" ref="AP26:AP26">IFERROR( MEDIAN((IF(DATOS_[[Sexo]:[Sexo]]=$B26,IF(DATOS_[[AGRUP. CLAS. PROF.]:[AGRUP. CLAS. PROF.]]=$B24,IF(DATOS_[[Check Periodo Ref.]:[Check Periodo Ref.]]="Dentro",DATOS_[C.Extra.05]))))), 0)</f>
        <v>0</v>
      </c>
      <c r="AQ26" s="254" t="n">
        <f aca="false" t="array" ref="AQ26:AQ26">IFERROR( MEDIAN(IF(DATOS_[Sexo]=$B26,IF(DATOS_[AGRUP. CLAS. PROF.]=$B24,IF(DATOS_[Check Periodo Ref.]="Dentro",DATOS_[Tot Extrasalarial Ef],0)))), 0)</f>
        <v>0</v>
      </c>
      <c r="AR26" s="255" t="n">
        <f aca="false" t="array" ref="AR26:AR26">IFERROR( MEDIAN(IF(DATOS_[Sexo]=$B26,IF(DATOS_[AGRUP. CLAS. PROF.]=$B24,IF(DATOS_[Check Periodo Ref.]="Dentro",DATOS_[TOTAL Retrib Ef],0)))), 0)</f>
        <v>0</v>
      </c>
    </row>
    <row r="27" customFormat="false" ht="15.75" hidden="false" customHeight="false" outlineLevel="0" collapsed="false">
      <c r="A27" s="217" t="str">
        <f aca="false">+A28</f>
        <v>[ocultar]</v>
      </c>
      <c r="B27" s="235" t="s">
        <v>181</v>
      </c>
      <c r="C27" s="236"/>
      <c r="D27" s="237"/>
      <c r="E27" s="238" t="str">
        <f aca="false">IFERROR((E28-E29)/E28,"")</f>
        <v/>
      </c>
      <c r="F27" s="239" t="str">
        <f aca="false">IFERROR((F28-F29)/F28,"")</f>
        <v/>
      </c>
      <c r="G27" s="239" t="str">
        <f aca="false">IFERROR((G28-G29)/G28,"")</f>
        <v/>
      </c>
      <c r="H27" s="239" t="str">
        <f aca="false">IFERROR((H28-H29)/H28,"")</f>
        <v/>
      </c>
      <c r="I27" s="239"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40" t="str">
        <f aca="false">IFERROR((V28-V29)/V28,"")</f>
        <v/>
      </c>
      <c r="W27" s="240" t="str">
        <f aca="false">IFERROR((W28-W29)/W28,"")</f>
        <v/>
      </c>
      <c r="X27" s="240" t="str">
        <f aca="false">IFERROR((X28-X29)/X28,"")</f>
        <v/>
      </c>
      <c r="Y27" s="240"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1" t="str">
        <f aca="false">IFERROR((AJ28-AJ29)/AJ28,"")</f>
        <v/>
      </c>
      <c r="AK27" s="242" t="str">
        <f aca="false">IFERROR((AK28-AK29)/AK28,"")</f>
        <v/>
      </c>
      <c r="AL27" s="243" t="str">
        <f aca="false">IFERROR((AL28-AL29)/AL28,"")</f>
        <v/>
      </c>
      <c r="AM27" s="243" t="str">
        <f aca="false">IFERROR((AM28-AM29)/AM28,"")</f>
        <v/>
      </c>
      <c r="AN27" s="243" t="str">
        <f aca="false">IFERROR((AN28-AN29)/AN28,"")</f>
        <v/>
      </c>
      <c r="AO27" s="243" t="str">
        <f aca="false">IFERROR((AO28-AO29)/AO28,"")</f>
        <v/>
      </c>
      <c r="AP27" s="243" t="str">
        <f aca="false">IFERROR((AP28-AP29)/AP28,"")</f>
        <v/>
      </c>
      <c r="AQ27" s="244" t="str">
        <f aca="false">IFERROR((AQ28-AQ29)/AQ28,"")</f>
        <v/>
      </c>
      <c r="AR27" s="245" t="str">
        <f aca="false">IFERROR((AR28-AR29)/AR28,"")</f>
        <v/>
      </c>
    </row>
    <row r="28" customFormat="false" ht="14.25" hidden="false" customHeight="false" outlineLevel="0" collapsed="false">
      <c r="A28" s="217" t="str">
        <f aca="false">+IF(C28+C29=0,"[ocultar]","")</f>
        <v>[ocultar]</v>
      </c>
      <c r="B28" s="246" t="s">
        <v>371</v>
      </c>
      <c r="C28" s="247" t="n">
        <f aca="false" t="array" ref="C28:C28">SUM(IF($B28=DATOS_[Sexo], IF($B27=DATOS_[AGRUP. CLAS. PROF.], IF("Dentro"=DATOS_[Check Periodo Ref.], 1/(COUNTIFS(DATOS_[Sexo],$B28,DATOS_[AGRUP. CLAS. PROF.],$B27,DATOS_[Check Periodo Ref.],"Dentro",DATOS_[id],DATOS_[id]))))))</f>
        <v>0</v>
      </c>
      <c r="D28" s="248" t="n">
        <f aca="false">COUNTIFS(DATOS_[AGRUP. CLAS. PROF.],$B27,DATOS_[Sexo],$B28,DATOS_[Check Periodo Ref.],"Dentro")</f>
        <v>0</v>
      </c>
      <c r="E28" s="249" t="n">
        <f aca="false" t="array" ref="E28:E28">IFERROR( MEDIAN(IF(DATOS_[Sexo]=$B28,IF(DATOS_[AGRUP. CLAS. PROF.]=$B27,IF(DATOS_[Check Periodo Ref.]="Dentro",DATOS_[SALARIO BASE Ef],0)))), 0)</f>
        <v>0</v>
      </c>
      <c r="F28" s="250" t="n">
        <f aca="false" t="array" ref="F28:F28">IFERROR( MEDIAN((IF(DATOS_[[Sexo]:[Sexo]]=$B28,IF(DATOS_[[AGRUP. CLAS. PROF.]:[AGRUP. CLAS. PROF.]]=$B27,IF(DATOS_[[Check Periodo Ref.]:[Check Periodo Ref.]]="Dentro",DATOS_[Conc.Sal.01]))))), 0)</f>
        <v>0</v>
      </c>
      <c r="G28" s="250" t="n">
        <f aca="false" t="array" ref="G28:G28">IFERROR( MEDIAN((IF(DATOS_[[Sexo]:[Sexo]]=$B28,IF(DATOS_[[AGRUP. CLAS. PROF.]:[AGRUP. CLAS. PROF.]]=$B27,IF(DATOS_[[Check Periodo Ref.]:[Check Periodo Ref.]]="Dentro",DATOS_[Conc.Sal.02]))))), 0)</f>
        <v>0</v>
      </c>
      <c r="H28" s="250" t="n">
        <f aca="false" t="array" ref="H28:H28">IFERROR( MEDIAN((IF(DATOS_[[Sexo]:[Sexo]]=$B28,IF(DATOS_[[AGRUP. CLAS. PROF.]:[AGRUP. CLAS. PROF.]]=$B27,IF(DATOS_[[Check Periodo Ref.]:[Check Periodo Ref.]]="Dentro",DATOS_[Conc.Sal.03]))))), 0)</f>
        <v>0</v>
      </c>
      <c r="I28" s="250" t="n">
        <f aca="false" t="array" ref="I28:I28">IFERROR( MEDIAN((IF(DATOS_[[Sexo]:[Sexo]]=$B28,IF(DATOS_[[AGRUP. CLAS. PROF.]:[AGRUP. CLAS. PROF.]]=$B27,IF(DATOS_[[Check Periodo Ref.]:[Check Periodo Ref.]]="Dentro",DATOS_[Conc.Sal.04]))))), 0)</f>
        <v>0</v>
      </c>
      <c r="J28" s="250" t="n">
        <f aca="false" t="array" ref="J28:J28">IFERROR( MEDIAN((IF(DATOS_[[Sexo]:[Sexo]]=$B28,IF(DATOS_[[AGRUP. CLAS. PROF.]:[AGRUP. CLAS. PROF.]]=$B27,IF(DATOS_[[Check Periodo Ref.]:[Check Periodo Ref.]]="Dentro",DATOS_[Conc.Sal.05]))))), 0)</f>
        <v>0</v>
      </c>
      <c r="K28" s="250" t="n">
        <f aca="false" t="array" ref="K28:K28">IFERROR( MEDIAN((IF(DATOS_[[Sexo]:[Sexo]]=$B28,IF(DATOS_[[AGRUP. CLAS. PROF.]:[AGRUP. CLAS. PROF.]]=$B27,IF(DATOS_[[Check Periodo Ref.]:[Check Periodo Ref.]]="Dentro",DATOS_[Conc.Sal.06]))))), 0)</f>
        <v>0</v>
      </c>
      <c r="L28" s="250" t="n">
        <f aca="false" t="array" ref="L28:L28">IFERROR( MEDIAN((IF(DATOS_[[Sexo]:[Sexo]]=$B28,IF(DATOS_[[AGRUP. CLAS. PROF.]:[AGRUP. CLAS. PROF.]]=$B27,IF(DATOS_[[Check Periodo Ref.]:[Check Periodo Ref.]]="Dentro",DATOS_[Conc.Sal.07]))))), 0)</f>
        <v>0</v>
      </c>
      <c r="M28" s="250" t="n">
        <f aca="false" t="array" ref="M28:M28">IFERROR( MEDIAN((IF(DATOS_[[Sexo]:[Sexo]]=$B28,IF(DATOS_[[AGRUP. CLAS. PROF.]:[AGRUP. CLAS. PROF.]]=$B27,IF(DATOS_[[Check Periodo Ref.]:[Check Periodo Ref.]]="Dentro",DATOS_[Conc.Sal.08]))))), 0)</f>
        <v>0</v>
      </c>
      <c r="N28" s="250" t="n">
        <f aca="false" t="array" ref="N28:N28">IFERROR( MEDIAN((IF(DATOS_[[Sexo]:[Sexo]]=$B28,IF(DATOS_[[AGRUP. CLAS. PROF.]:[AGRUP. CLAS. PROF.]]=$B27,IF(DATOS_[[Check Periodo Ref.]:[Check Periodo Ref.]]="Dentro",DATOS_[Conc.Sal.09]))))), 0)</f>
        <v>0</v>
      </c>
      <c r="O28" s="250" t="n">
        <f aca="false" t="array" ref="O28:O28">IFERROR( MEDIAN((IF(DATOS_[[Sexo]:[Sexo]]=$B28,IF(DATOS_[[AGRUP. CLAS. PROF.]:[AGRUP. CLAS. PROF.]]=$B27,IF(DATOS_[[Check Periodo Ref.]:[Check Periodo Ref.]]="Dentro",DATOS_[Conc.Sal.10]))))), 0)</f>
        <v>0</v>
      </c>
      <c r="P28" s="250" t="n">
        <f aca="false" t="array" ref="P28:P28">IFERROR( MEDIAN((IF(DATOS_[[Sexo]:[Sexo]]=$B28,IF(DATOS_[[AGRUP. CLAS. PROF.]:[AGRUP. CLAS. PROF.]]=$B27,IF(DATOS_[[Check Periodo Ref.]:[Check Periodo Ref.]]="Dentro",DATOS_[Conc.Sal.11]))))), 0)</f>
        <v>0</v>
      </c>
      <c r="Q28" s="250" t="n">
        <f aca="false" t="array" ref="Q28:Q28">IFERROR( MEDIAN((IF(DATOS_[[Sexo]:[Sexo]]=$B28,IF(DATOS_[[AGRUP. CLAS. PROF.]:[AGRUP. CLAS. PROF.]]=$B27,IF(DATOS_[[Check Periodo Ref.]:[Check Periodo Ref.]]="Dentro",DATOS_[Conc.Sal.12]))))), 0)</f>
        <v>0</v>
      </c>
      <c r="R28" s="250" t="n">
        <f aca="false" t="array" ref="R28:R28">IFERROR( MEDIAN((IF(DATOS_[[Sexo]:[Sexo]]=$B28,IF(DATOS_[[AGRUP. CLAS. PROF.]:[AGRUP. CLAS. PROF.]]=$B27,IF(DATOS_[[Check Periodo Ref.]:[Check Periodo Ref.]]="Dentro",DATOS_[Conc.Sal.13]))))), 0)</f>
        <v>0</v>
      </c>
      <c r="S28" s="250" t="n">
        <f aca="false" t="array" ref="S28:S28">IFERROR( MEDIAN((IF(DATOS_[[Sexo]:[Sexo]]=$B28,IF(DATOS_[[AGRUP. CLAS. PROF.]:[AGRUP. CLAS. PROF.]]=$B27,IF(DATOS_[[Check Periodo Ref.]:[Check Periodo Ref.]]="Dentro",DATOS_[Conc.Sal.14]))))), 0)</f>
        <v>0</v>
      </c>
      <c r="T28" s="250" t="n">
        <f aca="false" t="array" ref="T28:T28">IFERROR( MEDIAN((IF(DATOS_[[Sexo]:[Sexo]]=$B28,IF(DATOS_[[AGRUP. CLAS. PROF.]:[AGRUP. CLAS. PROF.]]=$B27,IF(DATOS_[[Check Periodo Ref.]:[Check Periodo Ref.]]="Dentro",DATOS_[Conc.Sal.15]))))), 0)</f>
        <v>0</v>
      </c>
      <c r="U28" s="250" t="n">
        <f aca="false" t="array" ref="U28:U28">IFERROR( MEDIAN((IF(DATOS_[[Sexo]:[Sexo]]=$B28,IF(DATOS_[[AGRUP. CLAS. PROF.]:[AGRUP. CLAS. PROF.]]=$B27,IF(DATOS_[[Check Periodo Ref.]:[Check Periodo Ref.]]="Dentro",DATOS_[Conc.Sal.16]))))), 0)</f>
        <v>0</v>
      </c>
      <c r="V28" s="250" t="n">
        <f aca="false" t="array" ref="V28:V28">IFERROR( MEDIAN((IF(DATOS_[[Sexo]:[Sexo]]=$B28,IF(DATOS_[[AGRUP. CLAS. PROF.]:[AGRUP. CLAS. PROF.]]=$B27,IF(DATOS_[[Check Periodo Ref.]:[Check Periodo Ref.]]="Dentro",DATOS_[Conc.Sal.17]))))), 0)</f>
        <v>0</v>
      </c>
      <c r="W28" s="250" t="n">
        <f aca="false" t="array" ref="W28:W28">IFERROR( MEDIAN((IF(DATOS_[[Sexo]:[Sexo]]=$B28,IF(DATOS_[[AGRUP. CLAS. PROF.]:[AGRUP. CLAS. PROF.]]=$B27,IF(DATOS_[[Check Periodo Ref.]:[Check Periodo Ref.]]="Dentro",DATOS_[Conc.Sal.18]))))), 0)</f>
        <v>0</v>
      </c>
      <c r="X28" s="250" t="n">
        <f aca="false" t="array" ref="X28:X28">IFERROR( MEDIAN((IF(DATOS_[[Sexo]:[Sexo]]=$B28,IF(DATOS_[[AGRUP. CLAS. PROF.]:[AGRUP. CLAS. PROF.]]=$B27,IF(DATOS_[[Check Periodo Ref.]:[Check Periodo Ref.]]="Dentro",DATOS_[Conc.Sal.19]))))), 0)</f>
        <v>0</v>
      </c>
      <c r="Y28" s="250" t="n">
        <f aca="false" t="array" ref="Y28:Y28">IFERROR( MEDIAN((IF(DATOS_[[Sexo]:[Sexo]]=$B28,IF(DATOS_[[AGRUP. CLAS. PROF.]:[AGRUP. CLAS. PROF.]]=$B27,IF(DATOS_[[Check Periodo Ref.]:[Check Periodo Ref.]]="Dentro",DATOS_[Conc.Sal.20]))))), 0)</f>
        <v>0</v>
      </c>
      <c r="Z28" s="250" t="n">
        <f aca="false" t="array" ref="Z28:Z28">IFERROR( MEDIAN((IF(DATOS_[[Sexo]:[Sexo]]=$B28,IF(DATOS_[[AGRUP. CLAS. PROF.]:[AGRUP. CLAS. PROF.]]=$B27,IF(DATOS_[[Check Periodo Ref.]:[Check Periodo Ref.]]="Dentro",DATOS_[Conc.Sal.21]))))), 0)</f>
        <v>0</v>
      </c>
      <c r="AA28" s="250" t="n">
        <f aca="false" t="array" ref="AA28:AA28">IFERROR( MEDIAN((IF(DATOS_[[Sexo]:[Sexo]]=$B28,IF(DATOS_[[AGRUP. CLAS. PROF.]:[AGRUP. CLAS. PROF.]]=$B27,IF(DATOS_[[Check Periodo Ref.]:[Check Periodo Ref.]]="Dentro",DATOS_[Conc.Sal.22]))))), 0)</f>
        <v>0</v>
      </c>
      <c r="AB28" s="250" t="n">
        <f aca="false" t="array" ref="AB28:AB28">IFERROR( MEDIAN((IF(DATOS_[[Sexo]:[Sexo]]=$B28,IF(DATOS_[[AGRUP. CLAS. PROF.]:[AGRUP. CLAS. PROF.]]=$B27,IF(DATOS_[[Check Periodo Ref.]:[Check Periodo Ref.]]="Dentro",DATOS_[Conc.Sal.23]))))), 0)</f>
        <v>0</v>
      </c>
      <c r="AC28" s="250" t="n">
        <f aca="false" t="array" ref="AC28:AC28">IFERROR( MEDIAN((IF(DATOS_[[Sexo]:[Sexo]]=$B28,IF(DATOS_[[AGRUP. CLAS. PROF.]:[AGRUP. CLAS. PROF.]]=$B27,IF(DATOS_[[Check Periodo Ref.]:[Check Periodo Ref.]]="Dentro",DATOS_[Conc.Sal.24]))))), 0)</f>
        <v>0</v>
      </c>
      <c r="AD28" s="250" t="n">
        <f aca="false" t="array" ref="AD28:AD28">IFERROR( MEDIAN((IF(DATOS_[[Sexo]:[Sexo]]=$B28,IF(DATOS_[[AGRUP. CLAS. PROF.]:[AGRUP. CLAS. PROF.]]=$B27,IF(DATOS_[[Check Periodo Ref.]:[Check Periodo Ref.]]="Dentro",DATOS_[Conc.Sal.25]))))), 0)</f>
        <v>0</v>
      </c>
      <c r="AE28" s="250" t="n">
        <f aca="false" t="array" ref="AE28:AE28">IFERROR( MEDIAN((IF(DATOS_[[Sexo]:[Sexo]]=$B28,IF(DATOS_[[AGRUP. CLAS. PROF.]:[AGRUP. CLAS. PROF.]]=$B27,IF(DATOS_[[Check Periodo Ref.]:[Check Periodo Ref.]]="Dentro",DATOS_[Conc.Sal.26]))))), 0)</f>
        <v>0</v>
      </c>
      <c r="AF28" s="250" t="n">
        <f aca="false" t="array" ref="AF28:AF28">IFERROR( MEDIAN((IF(DATOS_[[Sexo]:[Sexo]]=$B28,IF(DATOS_[[AGRUP. CLAS. PROF.]:[AGRUP. CLAS. PROF.]]=$B27,IF(DATOS_[[Check Periodo Ref.]:[Check Periodo Ref.]]="Dentro",DATOS_[Conc.Sal.27]))))), 0)</f>
        <v>0</v>
      </c>
      <c r="AG28" s="250" t="n">
        <f aca="false" t="array" ref="AG28:AG28">IFERROR( MEDIAN((IF(DATOS_[[Sexo]:[Sexo]]=$B28,IF(DATOS_[[AGRUP. CLAS. PROF.]:[AGRUP. CLAS. PROF.]]=$B27,IF(DATOS_[[Check Periodo Ref.]:[Check Periodo Ref.]]="Dentro",DATOS_[Conc.Sal.28]))))), 0)</f>
        <v>0</v>
      </c>
      <c r="AH28" s="250" t="n">
        <f aca="false" t="array" ref="AH28:AH28">IFERROR( MEDIAN((IF(DATOS_[[Sexo]:[Sexo]]=$B28,IF(DATOS_[[AGRUP. CLAS. PROF.]:[AGRUP. CLAS. PROF.]]=$B27,IF(DATOS_[[Check Periodo Ref.]:[Check Periodo Ref.]]="Dentro",DATOS_[Conc.Sal.29]))))), 0)</f>
        <v>0</v>
      </c>
      <c r="AI28" s="250" t="n">
        <f aca="false" t="array" ref="AI28:AI28">IFERROR( MEDIAN((IF(DATOS_[[Sexo]:[Sexo]]=$B28,IF(DATOS_[[AGRUP. CLAS. PROF.]:[AGRUP. CLAS. PROF.]]=$B27,IF(DATOS_[[Check Periodo Ref.]:[Check Periodo Ref.]]="Dentro",DATOS_[Conc.Sal.30]))))), 0)</f>
        <v>0</v>
      </c>
      <c r="AJ28" s="251" t="n">
        <f aca="false" t="array" ref="AJ28:AJ28">IFERROR( MEDIAN(IF(DATOS_[Sexo]=$B28,IF(DATOS_[AGRUP. CLAS. PROF.]=$B27,IF(DATOS_[Check Periodo Ref.]="Dentro",DATOS_[Tot COMPL.SAL Ef],0)))), 0)</f>
        <v>0</v>
      </c>
      <c r="AK28" s="252" t="n">
        <f aca="false" t="array" ref="AK28:AK28">IFERROR( MEDIAN(IF(DATOS_[Sexo]=$B28,IF(DATOS_[AGRUP. CLAS. PROF.]=$B27,IF(DATOS_[Check Periodo Ref.]="Dentro",DATOS_[TOTAL SALARIO Ef],0)))), 0)</f>
        <v>0</v>
      </c>
      <c r="AL28" s="259" t="n">
        <f aca="false" t="array" ref="AL28:AL28">IFERROR( MEDIAN((IF(DATOS_[[Sexo]:[Sexo]]=$B28,IF(DATOS_[[AGRUP. CLAS. PROF.]:[AGRUP. CLAS. PROF.]]=$B27,IF(DATOS_[[Check Periodo Ref.]:[Check Periodo Ref.]]="Dentro",DATOS_[C.Extra.01]))))), 0)</f>
        <v>0</v>
      </c>
      <c r="AM28" s="259" t="n">
        <f aca="false" t="array" ref="AM28:AM28">IFERROR( MEDIAN((IF(DATOS_[[Sexo]:[Sexo]]=$B28,IF(DATOS_[[AGRUP. CLAS. PROF.]:[AGRUP. CLAS. PROF.]]=$B27,IF(DATOS_[[Check Periodo Ref.]:[Check Periodo Ref.]]="Dentro",DATOS_[C.Extra.02]))))), 0)</f>
        <v>0</v>
      </c>
      <c r="AN28" s="259" t="n">
        <f aca="false" t="array" ref="AN28:AN28">IFERROR( MEDIAN((IF(DATOS_[[Sexo]:[Sexo]]=$B28,IF(DATOS_[[AGRUP. CLAS. PROF.]:[AGRUP. CLAS. PROF.]]=$B27,IF(DATOS_[[Check Periodo Ref.]:[Check Periodo Ref.]]="Dentro",DATOS_[C.Extra.03]))))), 0)</f>
        <v>0</v>
      </c>
      <c r="AO28" s="259" t="n">
        <f aca="false" t="array" ref="AO28:AO28">IFERROR( MEDIAN((IF(DATOS_[[Sexo]:[Sexo]]=$B28,IF(DATOS_[[AGRUP. CLAS. PROF.]:[AGRUP. CLAS. PROF.]]=$B27,IF(DATOS_[[Check Periodo Ref.]:[Check Periodo Ref.]]="Dentro",DATOS_[C.Extra.04]))))), 0)</f>
        <v>0</v>
      </c>
      <c r="AP28" s="259" t="n">
        <f aca="false" t="array" ref="AP28:AP28">IFERROR( MEDIAN((IF(DATOS_[[Sexo]:[Sexo]]=$B28,IF(DATOS_[[AGRUP. CLAS. PROF.]:[AGRUP. CLAS. PROF.]]=$B27,IF(DATOS_[[Check Periodo Ref.]:[Check Periodo Ref.]]="Dentro",DATOS_[C.Extra.05]))))), 0)</f>
        <v>0</v>
      </c>
      <c r="AQ28" s="254" t="n">
        <f aca="false" t="array" ref="AQ28:AQ28">IFERROR( MEDIAN(IF(DATOS_[Sexo]=$B28,IF(DATOS_[AGRUP. CLAS. PROF.]=$B27,IF(DATOS_[Check Periodo Ref.]="Dentro",DATOS_[Tot Extrasalarial Ef],0)))), 0)</f>
        <v>0</v>
      </c>
      <c r="AR28" s="255" t="n">
        <f aca="false" t="array" ref="AR28:AR28">IFERROR( MEDIAN(IF(DATOS_[Sexo]=$B28,IF(DATOS_[AGRUP. CLAS. PROF.]=$B27,IF(DATOS_[Check Periodo Ref.]="Dentro",DATOS_[TOTAL Retrib Ef],0)))), 0)</f>
        <v>0</v>
      </c>
    </row>
    <row r="29" customFormat="false" ht="14.25" hidden="false" customHeight="false" outlineLevel="0" collapsed="false">
      <c r="A29" s="217" t="str">
        <f aca="false">+A28</f>
        <v>[ocultar]</v>
      </c>
      <c r="B29" s="246" t="s">
        <v>372</v>
      </c>
      <c r="C29" s="247" t="n">
        <f aca="false" t="array" ref="C29:C29">SUM(IF($B29=DATOS_[Sexo], IF($B27=DATOS_[AGRUP. CLAS. PROF.], IF("Dentro"=DATOS_[Check Periodo Ref.], 1/(COUNTIFS(DATOS_[Sexo],$B29,DATOS_[AGRUP. CLAS. PROF.],$B27,DATOS_[Check Periodo Ref.],"Dentro",DATOS_[id],DATOS_[id]))))))</f>
        <v>0</v>
      </c>
      <c r="D29" s="248" t="n">
        <f aca="false">COUNTIFS(DATOS_[AGRUP. CLAS. PROF.],$B27,DATOS_[Sexo],$B29,DATOS_[Check Periodo Ref.],"Dentro")</f>
        <v>0</v>
      </c>
      <c r="E29" s="249" t="n">
        <f aca="false" t="array" ref="E29:E29">IFERROR( MEDIAN(IF(DATOS_[Sexo]=$B29,IF(DATOS_[AGRUP. CLAS. PROF.]=$B27,IF(DATOS_[Check Periodo Ref.]="Dentro",DATOS_[SALARIO BASE Ef],0)))), 0)</f>
        <v>0</v>
      </c>
      <c r="F29" s="250" t="n">
        <f aca="false" t="array" ref="F29:F29">IFERROR( MEDIAN((IF(DATOS_[[Sexo]:[Sexo]]=$B29,IF(DATOS_[[AGRUP. CLAS. PROF.]:[AGRUP. CLAS. PROF.]]=$B27,IF(DATOS_[[Check Periodo Ref.]:[Check Periodo Ref.]]="Dentro",DATOS_[Conc.Sal.01]))))), 0)</f>
        <v>0</v>
      </c>
      <c r="G29" s="250" t="n">
        <f aca="false" t="array" ref="G29:G29">IFERROR( MEDIAN((IF(DATOS_[[Sexo]:[Sexo]]=$B29,IF(DATOS_[[AGRUP. CLAS. PROF.]:[AGRUP. CLAS. PROF.]]=$B27,IF(DATOS_[[Check Periodo Ref.]:[Check Periodo Ref.]]="Dentro",DATOS_[Conc.Sal.02]))))), 0)</f>
        <v>0</v>
      </c>
      <c r="H29" s="250" t="n">
        <f aca="false" t="array" ref="H29:H29">IFERROR( MEDIAN((IF(DATOS_[[Sexo]:[Sexo]]=$B29,IF(DATOS_[[AGRUP. CLAS. PROF.]:[AGRUP. CLAS. PROF.]]=$B27,IF(DATOS_[[Check Periodo Ref.]:[Check Periodo Ref.]]="Dentro",DATOS_[Conc.Sal.03]))))), 0)</f>
        <v>0</v>
      </c>
      <c r="I29" s="250" t="n">
        <f aca="false" t="array" ref="I29:I29">IFERROR( MEDIAN((IF(DATOS_[[Sexo]:[Sexo]]=$B29,IF(DATOS_[[AGRUP. CLAS. PROF.]:[AGRUP. CLAS. PROF.]]=$B27,IF(DATOS_[[Check Periodo Ref.]:[Check Periodo Ref.]]="Dentro",DATOS_[Conc.Sal.04]))))), 0)</f>
        <v>0</v>
      </c>
      <c r="J29" s="250" t="n">
        <f aca="false" t="array" ref="J29:J29">IFERROR( MEDIAN((IF(DATOS_[[Sexo]:[Sexo]]=$B29,IF(DATOS_[[AGRUP. CLAS. PROF.]:[AGRUP. CLAS. PROF.]]=$B27,IF(DATOS_[[Check Periodo Ref.]:[Check Periodo Ref.]]="Dentro",DATOS_[Conc.Sal.05]))))), 0)</f>
        <v>0</v>
      </c>
      <c r="K29" s="250" t="n">
        <f aca="false" t="array" ref="K29:K29">IFERROR( MEDIAN((IF(DATOS_[[Sexo]:[Sexo]]=$B29,IF(DATOS_[[AGRUP. CLAS. PROF.]:[AGRUP. CLAS. PROF.]]=$B27,IF(DATOS_[[Check Periodo Ref.]:[Check Periodo Ref.]]="Dentro",DATOS_[Conc.Sal.06]))))), 0)</f>
        <v>0</v>
      </c>
      <c r="L29" s="250" t="n">
        <f aca="false" t="array" ref="L29:L29">IFERROR( MEDIAN((IF(DATOS_[[Sexo]:[Sexo]]=$B29,IF(DATOS_[[AGRUP. CLAS. PROF.]:[AGRUP. CLAS. PROF.]]=$B27,IF(DATOS_[[Check Periodo Ref.]:[Check Periodo Ref.]]="Dentro",DATOS_[Conc.Sal.07]))))), 0)</f>
        <v>0</v>
      </c>
      <c r="M29" s="250" t="n">
        <f aca="false" t="array" ref="M29:M29">IFERROR( MEDIAN((IF(DATOS_[[Sexo]:[Sexo]]=$B29,IF(DATOS_[[AGRUP. CLAS. PROF.]:[AGRUP. CLAS. PROF.]]=$B27,IF(DATOS_[[Check Periodo Ref.]:[Check Periodo Ref.]]="Dentro",DATOS_[Conc.Sal.08]))))), 0)</f>
        <v>0</v>
      </c>
      <c r="N29" s="250" t="n">
        <f aca="false" t="array" ref="N29:N29">IFERROR( MEDIAN((IF(DATOS_[[Sexo]:[Sexo]]=$B29,IF(DATOS_[[AGRUP. CLAS. PROF.]:[AGRUP. CLAS. PROF.]]=$B27,IF(DATOS_[[Check Periodo Ref.]:[Check Periodo Ref.]]="Dentro",DATOS_[Conc.Sal.09]))))), 0)</f>
        <v>0</v>
      </c>
      <c r="O29" s="250" t="n">
        <f aca="false" t="array" ref="O29:O29">IFERROR( MEDIAN((IF(DATOS_[[Sexo]:[Sexo]]=$B29,IF(DATOS_[[AGRUP. CLAS. PROF.]:[AGRUP. CLAS. PROF.]]=$B27,IF(DATOS_[[Check Periodo Ref.]:[Check Periodo Ref.]]="Dentro",DATOS_[Conc.Sal.10]))))), 0)</f>
        <v>0</v>
      </c>
      <c r="P29" s="250" t="n">
        <f aca="false" t="array" ref="P29:P29">IFERROR( MEDIAN((IF(DATOS_[[Sexo]:[Sexo]]=$B29,IF(DATOS_[[AGRUP. CLAS. PROF.]:[AGRUP. CLAS. PROF.]]=$B27,IF(DATOS_[[Check Periodo Ref.]:[Check Periodo Ref.]]="Dentro",DATOS_[Conc.Sal.11]))))), 0)</f>
        <v>0</v>
      </c>
      <c r="Q29" s="250" t="n">
        <f aca="false" t="array" ref="Q29:Q29">IFERROR( MEDIAN((IF(DATOS_[[Sexo]:[Sexo]]=$B29,IF(DATOS_[[AGRUP. CLAS. PROF.]:[AGRUP. CLAS. PROF.]]=$B27,IF(DATOS_[[Check Periodo Ref.]:[Check Periodo Ref.]]="Dentro",DATOS_[Conc.Sal.12]))))), 0)</f>
        <v>0</v>
      </c>
      <c r="R29" s="250" t="n">
        <f aca="false" t="array" ref="R29:R29">IFERROR( MEDIAN((IF(DATOS_[[Sexo]:[Sexo]]=$B29,IF(DATOS_[[AGRUP. CLAS. PROF.]:[AGRUP. CLAS. PROF.]]=$B27,IF(DATOS_[[Check Periodo Ref.]:[Check Periodo Ref.]]="Dentro",DATOS_[Conc.Sal.13]))))), 0)</f>
        <v>0</v>
      </c>
      <c r="S29" s="250" t="n">
        <f aca="false" t="array" ref="S29:S29">IFERROR( MEDIAN((IF(DATOS_[[Sexo]:[Sexo]]=$B29,IF(DATOS_[[AGRUP. CLAS. PROF.]:[AGRUP. CLAS. PROF.]]=$B27,IF(DATOS_[[Check Periodo Ref.]:[Check Periodo Ref.]]="Dentro",DATOS_[Conc.Sal.14]))))), 0)</f>
        <v>0</v>
      </c>
      <c r="T29" s="250" t="n">
        <f aca="false" t="array" ref="T29:T29">IFERROR( MEDIAN((IF(DATOS_[[Sexo]:[Sexo]]=$B29,IF(DATOS_[[AGRUP. CLAS. PROF.]:[AGRUP. CLAS. PROF.]]=$B27,IF(DATOS_[[Check Periodo Ref.]:[Check Periodo Ref.]]="Dentro",DATOS_[Conc.Sal.15]))))), 0)</f>
        <v>0</v>
      </c>
      <c r="U29" s="250" t="n">
        <f aca="false" t="array" ref="U29:U29">IFERROR( MEDIAN((IF(DATOS_[[Sexo]:[Sexo]]=$B29,IF(DATOS_[[AGRUP. CLAS. PROF.]:[AGRUP. CLAS. PROF.]]=$B27,IF(DATOS_[[Check Periodo Ref.]:[Check Periodo Ref.]]="Dentro",DATOS_[Conc.Sal.16]))))), 0)</f>
        <v>0</v>
      </c>
      <c r="V29" s="250" t="n">
        <f aca="false" t="array" ref="V29:V29">IFERROR( MEDIAN((IF(DATOS_[[Sexo]:[Sexo]]=$B29,IF(DATOS_[[AGRUP. CLAS. PROF.]:[AGRUP. CLAS. PROF.]]=$B27,IF(DATOS_[[Check Periodo Ref.]:[Check Periodo Ref.]]="Dentro",DATOS_[Conc.Sal.17]))))), 0)</f>
        <v>0</v>
      </c>
      <c r="W29" s="250" t="n">
        <f aca="false" t="array" ref="W29:W29">IFERROR( MEDIAN((IF(DATOS_[[Sexo]:[Sexo]]=$B29,IF(DATOS_[[AGRUP. CLAS. PROF.]:[AGRUP. CLAS. PROF.]]=$B27,IF(DATOS_[[Check Periodo Ref.]:[Check Periodo Ref.]]="Dentro",DATOS_[Conc.Sal.18]))))), 0)</f>
        <v>0</v>
      </c>
      <c r="X29" s="250" t="n">
        <f aca="false" t="array" ref="X29:X29">IFERROR( MEDIAN((IF(DATOS_[[Sexo]:[Sexo]]=$B29,IF(DATOS_[[AGRUP. CLAS. PROF.]:[AGRUP. CLAS. PROF.]]=$B27,IF(DATOS_[[Check Periodo Ref.]:[Check Periodo Ref.]]="Dentro",DATOS_[Conc.Sal.19]))))), 0)</f>
        <v>0</v>
      </c>
      <c r="Y29" s="250" t="n">
        <f aca="false" t="array" ref="Y29:Y29">IFERROR( MEDIAN((IF(DATOS_[[Sexo]:[Sexo]]=$B29,IF(DATOS_[[AGRUP. CLAS. PROF.]:[AGRUP. CLAS. PROF.]]=$B27,IF(DATOS_[[Check Periodo Ref.]:[Check Periodo Ref.]]="Dentro",DATOS_[Conc.Sal.20]))))), 0)</f>
        <v>0</v>
      </c>
      <c r="Z29" s="250" t="n">
        <f aca="false" t="array" ref="Z29:Z29">IFERROR( MEDIAN((IF(DATOS_[[Sexo]:[Sexo]]=$B29,IF(DATOS_[[AGRUP. CLAS. PROF.]:[AGRUP. CLAS. PROF.]]=$B27,IF(DATOS_[[Check Periodo Ref.]:[Check Periodo Ref.]]="Dentro",DATOS_[Conc.Sal.21]))))), 0)</f>
        <v>0</v>
      </c>
      <c r="AA29" s="250" t="n">
        <f aca="false" t="array" ref="AA29:AA29">IFERROR( MEDIAN((IF(DATOS_[[Sexo]:[Sexo]]=$B29,IF(DATOS_[[AGRUP. CLAS. PROF.]:[AGRUP. CLAS. PROF.]]=$B27,IF(DATOS_[[Check Periodo Ref.]:[Check Periodo Ref.]]="Dentro",DATOS_[Conc.Sal.22]))))), 0)</f>
        <v>0</v>
      </c>
      <c r="AB29" s="250" t="n">
        <f aca="false" t="array" ref="AB29:AB29">IFERROR( MEDIAN((IF(DATOS_[[Sexo]:[Sexo]]=$B29,IF(DATOS_[[AGRUP. CLAS. PROF.]:[AGRUP. CLAS. PROF.]]=$B27,IF(DATOS_[[Check Periodo Ref.]:[Check Periodo Ref.]]="Dentro",DATOS_[Conc.Sal.23]))))), 0)</f>
        <v>0</v>
      </c>
      <c r="AC29" s="250" t="n">
        <f aca="false" t="array" ref="AC29:AC29">IFERROR( MEDIAN((IF(DATOS_[[Sexo]:[Sexo]]=$B29,IF(DATOS_[[AGRUP. CLAS. PROF.]:[AGRUP. CLAS. PROF.]]=$B27,IF(DATOS_[[Check Periodo Ref.]:[Check Periodo Ref.]]="Dentro",DATOS_[Conc.Sal.24]))))), 0)</f>
        <v>0</v>
      </c>
      <c r="AD29" s="250" t="n">
        <f aca="false" t="array" ref="AD29:AD29">IFERROR( MEDIAN((IF(DATOS_[[Sexo]:[Sexo]]=$B29,IF(DATOS_[[AGRUP. CLAS. PROF.]:[AGRUP. CLAS. PROF.]]=$B27,IF(DATOS_[[Check Periodo Ref.]:[Check Periodo Ref.]]="Dentro",DATOS_[Conc.Sal.25]))))), 0)</f>
        <v>0</v>
      </c>
      <c r="AE29" s="250" t="n">
        <f aca="false" t="array" ref="AE29:AE29">IFERROR( MEDIAN((IF(DATOS_[[Sexo]:[Sexo]]=$B29,IF(DATOS_[[AGRUP. CLAS. PROF.]:[AGRUP. CLAS. PROF.]]=$B27,IF(DATOS_[[Check Periodo Ref.]:[Check Periodo Ref.]]="Dentro",DATOS_[Conc.Sal.26]))))), 0)</f>
        <v>0</v>
      </c>
      <c r="AF29" s="250" t="n">
        <f aca="false" t="array" ref="AF29:AF29">IFERROR( MEDIAN((IF(DATOS_[[Sexo]:[Sexo]]=$B29,IF(DATOS_[[AGRUP. CLAS. PROF.]:[AGRUP. CLAS. PROF.]]=$B27,IF(DATOS_[[Check Periodo Ref.]:[Check Periodo Ref.]]="Dentro",DATOS_[Conc.Sal.27]))))), 0)</f>
        <v>0</v>
      </c>
      <c r="AG29" s="250" t="n">
        <f aca="false" t="array" ref="AG29:AG29">IFERROR( MEDIAN((IF(DATOS_[[Sexo]:[Sexo]]=$B29,IF(DATOS_[[AGRUP. CLAS. PROF.]:[AGRUP. CLAS. PROF.]]=$B27,IF(DATOS_[[Check Periodo Ref.]:[Check Periodo Ref.]]="Dentro",DATOS_[Conc.Sal.28]))))), 0)</f>
        <v>0</v>
      </c>
      <c r="AH29" s="250" t="n">
        <f aca="false" t="array" ref="AH29:AH29">IFERROR( MEDIAN((IF(DATOS_[[Sexo]:[Sexo]]=$B29,IF(DATOS_[[AGRUP. CLAS. PROF.]:[AGRUP. CLAS. PROF.]]=$B27,IF(DATOS_[[Check Periodo Ref.]:[Check Periodo Ref.]]="Dentro",DATOS_[Conc.Sal.29]))))), 0)</f>
        <v>0</v>
      </c>
      <c r="AI29" s="250" t="n">
        <f aca="false" t="array" ref="AI29:AI29">IFERROR( MEDIAN((IF(DATOS_[[Sexo]:[Sexo]]=$B29,IF(DATOS_[[AGRUP. CLAS. PROF.]:[AGRUP. CLAS. PROF.]]=$B27,IF(DATOS_[[Check Periodo Ref.]:[Check Periodo Ref.]]="Dentro",DATOS_[Conc.Sal.30]))))), 0)</f>
        <v>0</v>
      </c>
      <c r="AJ29" s="251" t="n">
        <f aca="false" t="array" ref="AJ29:AJ29">IFERROR( MEDIAN(IF(DATOS_[Sexo]=$B29,IF(DATOS_[AGRUP. CLAS. PROF.]=$B27,IF(DATOS_[Check Periodo Ref.]="Dentro",DATOS_[Tot COMPL.SAL Ef],0)))), 0)</f>
        <v>0</v>
      </c>
      <c r="AK29" s="252" t="n">
        <f aca="false" t="array" ref="AK29:AK29">IFERROR( MEDIAN(IF(DATOS_[Sexo]=$B29,IF(DATOS_[AGRUP. CLAS. PROF.]=$B27,IF(DATOS_[Check Periodo Ref.]="Dentro",DATOS_[TOTAL SALARIO Ef],0)))), 0)</f>
        <v>0</v>
      </c>
      <c r="AL29" s="259" t="n">
        <f aca="false" t="array" ref="AL29:AL29">IFERROR( MEDIAN((IF(DATOS_[[Sexo]:[Sexo]]=$B29,IF(DATOS_[[AGRUP. CLAS. PROF.]:[AGRUP. CLAS. PROF.]]=$B27,IF(DATOS_[[Check Periodo Ref.]:[Check Periodo Ref.]]="Dentro",DATOS_[C.Extra.01]))))), 0)</f>
        <v>0</v>
      </c>
      <c r="AM29" s="259" t="n">
        <f aca="false" t="array" ref="AM29:AM29">IFERROR( MEDIAN((IF(DATOS_[[Sexo]:[Sexo]]=$B29,IF(DATOS_[[AGRUP. CLAS. PROF.]:[AGRUP. CLAS. PROF.]]=$B27,IF(DATOS_[[Check Periodo Ref.]:[Check Periodo Ref.]]="Dentro",DATOS_[C.Extra.02]))))), 0)</f>
        <v>0</v>
      </c>
      <c r="AN29" s="259" t="n">
        <f aca="false" t="array" ref="AN29:AN29">IFERROR( MEDIAN((IF(DATOS_[[Sexo]:[Sexo]]=$B29,IF(DATOS_[[AGRUP. CLAS. PROF.]:[AGRUP. CLAS. PROF.]]=$B27,IF(DATOS_[[Check Periodo Ref.]:[Check Periodo Ref.]]="Dentro",DATOS_[C.Extra.03]))))), 0)</f>
        <v>0</v>
      </c>
      <c r="AO29" s="259" t="n">
        <f aca="false" t="array" ref="AO29:AO29">IFERROR( MEDIAN((IF(DATOS_[[Sexo]:[Sexo]]=$B29,IF(DATOS_[[AGRUP. CLAS. PROF.]:[AGRUP. CLAS. PROF.]]=$B27,IF(DATOS_[[Check Periodo Ref.]:[Check Periodo Ref.]]="Dentro",DATOS_[C.Extra.04]))))), 0)</f>
        <v>0</v>
      </c>
      <c r="AP29" s="259" t="n">
        <f aca="false" t="array" ref="AP29:AP29">IFERROR( MEDIAN((IF(DATOS_[[Sexo]:[Sexo]]=$B29,IF(DATOS_[[AGRUP. CLAS. PROF.]:[AGRUP. CLAS. PROF.]]=$B27,IF(DATOS_[[Check Periodo Ref.]:[Check Periodo Ref.]]="Dentro",DATOS_[C.Extra.05]))))), 0)</f>
        <v>0</v>
      </c>
      <c r="AQ29" s="254" t="n">
        <f aca="false" t="array" ref="AQ29:AQ29">IFERROR( MEDIAN(IF(DATOS_[Sexo]=$B29,IF(DATOS_[AGRUP. CLAS. PROF.]=$B27,IF(DATOS_[Check Periodo Ref.]="Dentro",DATOS_[Tot Extrasalarial Ef],0)))), 0)</f>
        <v>0</v>
      </c>
      <c r="AR29" s="255" t="n">
        <f aca="false" t="array" ref="AR29:AR29">IFERROR( MEDIAN(IF(DATOS_[Sexo]=$B29,IF(DATOS_[AGRUP. CLAS. PROF.]=$B27,IF(DATOS_[Check Periodo Ref.]="Dentro",DATOS_[TOTAL Retrib Ef],0)))), 0)</f>
        <v>0</v>
      </c>
    </row>
    <row r="30" customFormat="false" ht="15.75" hidden="false" customHeight="false" outlineLevel="0" collapsed="false">
      <c r="A30" s="217" t="str">
        <f aca="false">+A31</f>
        <v>[ocultar]</v>
      </c>
      <c r="B30" s="235" t="s">
        <v>183</v>
      </c>
      <c r="C30" s="236"/>
      <c r="D30" s="237"/>
      <c r="E30" s="238" t="str">
        <f aca="false">IFERROR((E31-E32)/E31,"")</f>
        <v/>
      </c>
      <c r="F30" s="239" t="str">
        <f aca="false">IFERROR((F31-F32)/F31,"")</f>
        <v/>
      </c>
      <c r="G30" s="239" t="str">
        <f aca="false">IFERROR((G31-G32)/G31,"")</f>
        <v/>
      </c>
      <c r="H30" s="239" t="str">
        <f aca="false">IFERROR((H31-H32)/H31,"")</f>
        <v/>
      </c>
      <c r="I30" s="239"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40" t="str">
        <f aca="false">IFERROR((V31-V32)/V31,"")</f>
        <v/>
      </c>
      <c r="W30" s="240" t="str">
        <f aca="false">IFERROR((W31-W32)/W31,"")</f>
        <v/>
      </c>
      <c r="X30" s="240" t="str">
        <f aca="false">IFERROR((X31-X32)/X31,"")</f>
        <v/>
      </c>
      <c r="Y30" s="240"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1" t="str">
        <f aca="false">IFERROR((AJ31-AJ32)/AJ31,"")</f>
        <v/>
      </c>
      <c r="AK30" s="242" t="str">
        <f aca="false">IFERROR((AK31-AK32)/AK31,"")</f>
        <v/>
      </c>
      <c r="AL30" s="243" t="str">
        <f aca="false">IFERROR((AL31-AL32)/AL31,"")</f>
        <v/>
      </c>
      <c r="AM30" s="243" t="str">
        <f aca="false">IFERROR((AM31-AM32)/AM31,"")</f>
        <v/>
      </c>
      <c r="AN30" s="243" t="str">
        <f aca="false">IFERROR((AN31-AN32)/AN31,"")</f>
        <v/>
      </c>
      <c r="AO30" s="243" t="str">
        <f aca="false">IFERROR((AO31-AO32)/AO31,"")</f>
        <v/>
      </c>
      <c r="AP30" s="243" t="str">
        <f aca="false">IFERROR((AP31-AP32)/AP31,"")</f>
        <v/>
      </c>
      <c r="AQ30" s="244" t="str">
        <f aca="false">IFERROR((AQ31-AQ32)/AQ31,"")</f>
        <v/>
      </c>
      <c r="AR30" s="245" t="str">
        <f aca="false">IFERROR((AR31-AR32)/AR31,"")</f>
        <v/>
      </c>
    </row>
    <row r="31" customFormat="false" ht="14.25" hidden="false" customHeight="false" outlineLevel="0" collapsed="false">
      <c r="A31" s="217" t="str">
        <f aca="false">+IF(C31+C32=0,"[ocultar]","")</f>
        <v>[ocultar]</v>
      </c>
      <c r="B31" s="246" t="s">
        <v>371</v>
      </c>
      <c r="C31" s="247" t="n">
        <f aca="false" t="array" ref="C31:C31">SUM(IF($B31=DATOS_[Sexo], IF($B30=DATOS_[AGRUP. CLAS. PROF.], IF("Dentro"=DATOS_[Check Periodo Ref.], 1/(COUNTIFS(DATOS_[Sexo],$B31,DATOS_[AGRUP. CLAS. PROF.],$B30,DATOS_[Check Periodo Ref.],"Dentro",DATOS_[id],DATOS_[id]))))))</f>
        <v>0</v>
      </c>
      <c r="D31" s="248" t="n">
        <f aca="false">COUNTIFS(DATOS_[AGRUP. CLAS. PROF.],$B30,DATOS_[Sexo],$B31,DATOS_[Check Periodo Ref.],"Dentro")</f>
        <v>0</v>
      </c>
      <c r="E31" s="249" t="n">
        <f aca="false" t="array" ref="E31:E31">IFERROR( MEDIAN(IF(DATOS_[Sexo]=$B31,IF(DATOS_[AGRUP. CLAS. PROF.]=$B30,IF(DATOS_[Check Periodo Ref.]="Dentro",DATOS_[SALARIO BASE Ef],0)))), 0)</f>
        <v>0</v>
      </c>
      <c r="F31" s="250" t="n">
        <f aca="false" t="array" ref="F31:F31">IFERROR( MEDIAN((IF(DATOS_[[Sexo]:[Sexo]]=$B31,IF(DATOS_[[AGRUP. CLAS. PROF.]:[AGRUP. CLAS. PROF.]]=$B30,IF(DATOS_[[Check Periodo Ref.]:[Check Periodo Ref.]]="Dentro",DATOS_[Conc.Sal.01]))))), 0)</f>
        <v>0</v>
      </c>
      <c r="G31" s="250" t="n">
        <f aca="false" t="array" ref="G31:G31">IFERROR( MEDIAN((IF(DATOS_[[Sexo]:[Sexo]]=$B31,IF(DATOS_[[AGRUP. CLAS. PROF.]:[AGRUP. CLAS. PROF.]]=$B30,IF(DATOS_[[Check Periodo Ref.]:[Check Periodo Ref.]]="Dentro",DATOS_[Conc.Sal.02]))))), 0)</f>
        <v>0</v>
      </c>
      <c r="H31" s="250" t="n">
        <f aca="false" t="array" ref="H31:H31">IFERROR( MEDIAN((IF(DATOS_[[Sexo]:[Sexo]]=$B31,IF(DATOS_[[AGRUP. CLAS. PROF.]:[AGRUP. CLAS. PROF.]]=$B30,IF(DATOS_[[Check Periodo Ref.]:[Check Periodo Ref.]]="Dentro",DATOS_[Conc.Sal.03]))))), 0)</f>
        <v>0</v>
      </c>
      <c r="I31" s="250" t="n">
        <f aca="false" t="array" ref="I31:I31">IFERROR( MEDIAN((IF(DATOS_[[Sexo]:[Sexo]]=$B31,IF(DATOS_[[AGRUP. CLAS. PROF.]:[AGRUP. CLAS. PROF.]]=$B30,IF(DATOS_[[Check Periodo Ref.]:[Check Periodo Ref.]]="Dentro",DATOS_[Conc.Sal.04]))))), 0)</f>
        <v>0</v>
      </c>
      <c r="J31" s="250" t="n">
        <f aca="false" t="array" ref="J31:J31">IFERROR( MEDIAN((IF(DATOS_[[Sexo]:[Sexo]]=$B31,IF(DATOS_[[AGRUP. CLAS. PROF.]:[AGRUP. CLAS. PROF.]]=$B30,IF(DATOS_[[Check Periodo Ref.]:[Check Periodo Ref.]]="Dentro",DATOS_[Conc.Sal.05]))))), 0)</f>
        <v>0</v>
      </c>
      <c r="K31" s="250" t="n">
        <f aca="false" t="array" ref="K31:K31">IFERROR( MEDIAN((IF(DATOS_[[Sexo]:[Sexo]]=$B31,IF(DATOS_[[AGRUP. CLAS. PROF.]:[AGRUP. CLAS. PROF.]]=$B30,IF(DATOS_[[Check Periodo Ref.]:[Check Periodo Ref.]]="Dentro",DATOS_[Conc.Sal.06]))))), 0)</f>
        <v>0</v>
      </c>
      <c r="L31" s="250" t="n">
        <f aca="false" t="array" ref="L31:L31">IFERROR( MEDIAN((IF(DATOS_[[Sexo]:[Sexo]]=$B31,IF(DATOS_[[AGRUP. CLAS. PROF.]:[AGRUP. CLAS. PROF.]]=$B30,IF(DATOS_[[Check Periodo Ref.]:[Check Periodo Ref.]]="Dentro",DATOS_[Conc.Sal.07]))))), 0)</f>
        <v>0</v>
      </c>
      <c r="M31" s="250" t="n">
        <f aca="false" t="array" ref="M31:M31">IFERROR( MEDIAN((IF(DATOS_[[Sexo]:[Sexo]]=$B31,IF(DATOS_[[AGRUP. CLAS. PROF.]:[AGRUP. CLAS. PROF.]]=$B30,IF(DATOS_[[Check Periodo Ref.]:[Check Periodo Ref.]]="Dentro",DATOS_[Conc.Sal.08]))))), 0)</f>
        <v>0</v>
      </c>
      <c r="N31" s="250" t="n">
        <f aca="false" t="array" ref="N31:N31">IFERROR( MEDIAN((IF(DATOS_[[Sexo]:[Sexo]]=$B31,IF(DATOS_[[AGRUP. CLAS. PROF.]:[AGRUP. CLAS. PROF.]]=$B30,IF(DATOS_[[Check Periodo Ref.]:[Check Periodo Ref.]]="Dentro",DATOS_[Conc.Sal.09]))))), 0)</f>
        <v>0</v>
      </c>
      <c r="O31" s="250" t="n">
        <f aca="false" t="array" ref="O31:O31">IFERROR( MEDIAN((IF(DATOS_[[Sexo]:[Sexo]]=$B31,IF(DATOS_[[AGRUP. CLAS. PROF.]:[AGRUP. CLAS. PROF.]]=$B30,IF(DATOS_[[Check Periodo Ref.]:[Check Periodo Ref.]]="Dentro",DATOS_[Conc.Sal.10]))))), 0)</f>
        <v>0</v>
      </c>
      <c r="P31" s="250" t="n">
        <f aca="false" t="array" ref="P31:P31">IFERROR( MEDIAN((IF(DATOS_[[Sexo]:[Sexo]]=$B31,IF(DATOS_[[AGRUP. CLAS. PROF.]:[AGRUP. CLAS. PROF.]]=$B30,IF(DATOS_[[Check Periodo Ref.]:[Check Periodo Ref.]]="Dentro",DATOS_[Conc.Sal.11]))))), 0)</f>
        <v>0</v>
      </c>
      <c r="Q31" s="250" t="n">
        <f aca="false" t="array" ref="Q31:Q31">IFERROR( MEDIAN((IF(DATOS_[[Sexo]:[Sexo]]=$B31,IF(DATOS_[[AGRUP. CLAS. PROF.]:[AGRUP. CLAS. PROF.]]=$B30,IF(DATOS_[[Check Periodo Ref.]:[Check Periodo Ref.]]="Dentro",DATOS_[Conc.Sal.12]))))), 0)</f>
        <v>0</v>
      </c>
      <c r="R31" s="250" t="n">
        <f aca="false" t="array" ref="R31:R31">IFERROR( MEDIAN((IF(DATOS_[[Sexo]:[Sexo]]=$B31,IF(DATOS_[[AGRUP. CLAS. PROF.]:[AGRUP. CLAS. PROF.]]=$B30,IF(DATOS_[[Check Periodo Ref.]:[Check Periodo Ref.]]="Dentro",DATOS_[Conc.Sal.13]))))), 0)</f>
        <v>0</v>
      </c>
      <c r="S31" s="250" t="n">
        <f aca="false" t="array" ref="S31:S31">IFERROR( MEDIAN((IF(DATOS_[[Sexo]:[Sexo]]=$B31,IF(DATOS_[[AGRUP. CLAS. PROF.]:[AGRUP. CLAS. PROF.]]=$B30,IF(DATOS_[[Check Periodo Ref.]:[Check Periodo Ref.]]="Dentro",DATOS_[Conc.Sal.14]))))), 0)</f>
        <v>0</v>
      </c>
      <c r="T31" s="250" t="n">
        <f aca="false" t="array" ref="T31:T31">IFERROR( MEDIAN((IF(DATOS_[[Sexo]:[Sexo]]=$B31,IF(DATOS_[[AGRUP. CLAS. PROF.]:[AGRUP. CLAS. PROF.]]=$B30,IF(DATOS_[[Check Periodo Ref.]:[Check Periodo Ref.]]="Dentro",DATOS_[Conc.Sal.15]))))), 0)</f>
        <v>0</v>
      </c>
      <c r="U31" s="250" t="n">
        <f aca="false" t="array" ref="U31:U31">IFERROR( MEDIAN((IF(DATOS_[[Sexo]:[Sexo]]=$B31,IF(DATOS_[[AGRUP. CLAS. PROF.]:[AGRUP. CLAS. PROF.]]=$B30,IF(DATOS_[[Check Periodo Ref.]:[Check Periodo Ref.]]="Dentro",DATOS_[Conc.Sal.16]))))), 0)</f>
        <v>0</v>
      </c>
      <c r="V31" s="250" t="n">
        <f aca="false" t="array" ref="V31:V31">IFERROR( MEDIAN((IF(DATOS_[[Sexo]:[Sexo]]=$B31,IF(DATOS_[[AGRUP. CLAS. PROF.]:[AGRUP. CLAS. PROF.]]=$B30,IF(DATOS_[[Check Periodo Ref.]:[Check Periodo Ref.]]="Dentro",DATOS_[Conc.Sal.17]))))), 0)</f>
        <v>0</v>
      </c>
      <c r="W31" s="250" t="n">
        <f aca="false" t="array" ref="W31:W31">IFERROR( MEDIAN((IF(DATOS_[[Sexo]:[Sexo]]=$B31,IF(DATOS_[[AGRUP. CLAS. PROF.]:[AGRUP. CLAS. PROF.]]=$B30,IF(DATOS_[[Check Periodo Ref.]:[Check Periodo Ref.]]="Dentro",DATOS_[Conc.Sal.18]))))), 0)</f>
        <v>0</v>
      </c>
      <c r="X31" s="250" t="n">
        <f aca="false" t="array" ref="X31:X31">IFERROR( MEDIAN((IF(DATOS_[[Sexo]:[Sexo]]=$B31,IF(DATOS_[[AGRUP. CLAS. PROF.]:[AGRUP. CLAS. PROF.]]=$B30,IF(DATOS_[[Check Periodo Ref.]:[Check Periodo Ref.]]="Dentro",DATOS_[Conc.Sal.19]))))), 0)</f>
        <v>0</v>
      </c>
      <c r="Y31" s="250" t="n">
        <f aca="false" t="array" ref="Y31:Y31">IFERROR( MEDIAN((IF(DATOS_[[Sexo]:[Sexo]]=$B31,IF(DATOS_[[AGRUP. CLAS. PROF.]:[AGRUP. CLAS. PROF.]]=$B30,IF(DATOS_[[Check Periodo Ref.]:[Check Periodo Ref.]]="Dentro",DATOS_[Conc.Sal.20]))))), 0)</f>
        <v>0</v>
      </c>
      <c r="Z31" s="250" t="n">
        <f aca="false" t="array" ref="Z31:Z31">IFERROR( MEDIAN((IF(DATOS_[[Sexo]:[Sexo]]=$B31,IF(DATOS_[[AGRUP. CLAS. PROF.]:[AGRUP. CLAS. PROF.]]=$B30,IF(DATOS_[[Check Periodo Ref.]:[Check Periodo Ref.]]="Dentro",DATOS_[Conc.Sal.21]))))), 0)</f>
        <v>0</v>
      </c>
      <c r="AA31" s="250" t="n">
        <f aca="false" t="array" ref="AA31:AA31">IFERROR( MEDIAN((IF(DATOS_[[Sexo]:[Sexo]]=$B31,IF(DATOS_[[AGRUP. CLAS. PROF.]:[AGRUP. CLAS. PROF.]]=$B30,IF(DATOS_[[Check Periodo Ref.]:[Check Periodo Ref.]]="Dentro",DATOS_[Conc.Sal.22]))))), 0)</f>
        <v>0</v>
      </c>
      <c r="AB31" s="250" t="n">
        <f aca="false" t="array" ref="AB31:AB31">IFERROR( MEDIAN((IF(DATOS_[[Sexo]:[Sexo]]=$B31,IF(DATOS_[[AGRUP. CLAS. PROF.]:[AGRUP. CLAS. PROF.]]=$B30,IF(DATOS_[[Check Periodo Ref.]:[Check Periodo Ref.]]="Dentro",DATOS_[Conc.Sal.23]))))), 0)</f>
        <v>0</v>
      </c>
      <c r="AC31" s="250" t="n">
        <f aca="false" t="array" ref="AC31:AC31">IFERROR( MEDIAN((IF(DATOS_[[Sexo]:[Sexo]]=$B31,IF(DATOS_[[AGRUP. CLAS. PROF.]:[AGRUP. CLAS. PROF.]]=$B30,IF(DATOS_[[Check Periodo Ref.]:[Check Periodo Ref.]]="Dentro",DATOS_[Conc.Sal.24]))))), 0)</f>
        <v>0</v>
      </c>
      <c r="AD31" s="250" t="n">
        <f aca="false" t="array" ref="AD31:AD31">IFERROR( MEDIAN((IF(DATOS_[[Sexo]:[Sexo]]=$B31,IF(DATOS_[[AGRUP. CLAS. PROF.]:[AGRUP. CLAS. PROF.]]=$B30,IF(DATOS_[[Check Periodo Ref.]:[Check Periodo Ref.]]="Dentro",DATOS_[Conc.Sal.25]))))), 0)</f>
        <v>0</v>
      </c>
      <c r="AE31" s="250" t="n">
        <f aca="false" t="array" ref="AE31:AE31">IFERROR( MEDIAN((IF(DATOS_[[Sexo]:[Sexo]]=$B31,IF(DATOS_[[AGRUP. CLAS. PROF.]:[AGRUP. CLAS. PROF.]]=$B30,IF(DATOS_[[Check Periodo Ref.]:[Check Periodo Ref.]]="Dentro",DATOS_[Conc.Sal.26]))))), 0)</f>
        <v>0</v>
      </c>
      <c r="AF31" s="250" t="n">
        <f aca="false" t="array" ref="AF31:AF31">IFERROR( MEDIAN((IF(DATOS_[[Sexo]:[Sexo]]=$B31,IF(DATOS_[[AGRUP. CLAS. PROF.]:[AGRUP. CLAS. PROF.]]=$B30,IF(DATOS_[[Check Periodo Ref.]:[Check Periodo Ref.]]="Dentro",DATOS_[Conc.Sal.27]))))), 0)</f>
        <v>0</v>
      </c>
      <c r="AG31" s="250" t="n">
        <f aca="false" t="array" ref="AG31:AG31">IFERROR( MEDIAN((IF(DATOS_[[Sexo]:[Sexo]]=$B31,IF(DATOS_[[AGRUP. CLAS. PROF.]:[AGRUP. CLAS. PROF.]]=$B30,IF(DATOS_[[Check Periodo Ref.]:[Check Periodo Ref.]]="Dentro",DATOS_[Conc.Sal.28]))))), 0)</f>
        <v>0</v>
      </c>
      <c r="AH31" s="250" t="n">
        <f aca="false" t="array" ref="AH31:AH31">IFERROR( MEDIAN((IF(DATOS_[[Sexo]:[Sexo]]=$B31,IF(DATOS_[[AGRUP. CLAS. PROF.]:[AGRUP. CLAS. PROF.]]=$B30,IF(DATOS_[[Check Periodo Ref.]:[Check Periodo Ref.]]="Dentro",DATOS_[Conc.Sal.29]))))), 0)</f>
        <v>0</v>
      </c>
      <c r="AI31" s="250" t="n">
        <f aca="false" t="array" ref="AI31:AI31">IFERROR( MEDIAN((IF(DATOS_[[Sexo]:[Sexo]]=$B31,IF(DATOS_[[AGRUP. CLAS. PROF.]:[AGRUP. CLAS. PROF.]]=$B30,IF(DATOS_[[Check Periodo Ref.]:[Check Periodo Ref.]]="Dentro",DATOS_[Conc.Sal.30]))))), 0)</f>
        <v>0</v>
      </c>
      <c r="AJ31" s="251" t="n">
        <f aca="false" t="array" ref="AJ31:AJ31">IFERROR( MEDIAN(IF(DATOS_[Sexo]=$B31,IF(DATOS_[AGRUP. CLAS. PROF.]=$B30,IF(DATOS_[Check Periodo Ref.]="Dentro",DATOS_[Tot COMPL.SAL Ef],0)))), 0)</f>
        <v>0</v>
      </c>
      <c r="AK31" s="252" t="n">
        <f aca="false" t="array" ref="AK31:AK31">IFERROR( MEDIAN(IF(DATOS_[Sexo]=$B31,IF(DATOS_[AGRUP. CLAS. PROF.]=$B30,IF(DATOS_[Check Periodo Ref.]="Dentro",DATOS_[TOTAL SALARIO Ef],0)))), 0)</f>
        <v>0</v>
      </c>
      <c r="AL31" s="259" t="n">
        <f aca="false" t="array" ref="AL31:AL31">IFERROR( MEDIAN((IF(DATOS_[[Sexo]:[Sexo]]=$B31,IF(DATOS_[[AGRUP. CLAS. PROF.]:[AGRUP. CLAS. PROF.]]=$B30,IF(DATOS_[[Check Periodo Ref.]:[Check Periodo Ref.]]="Dentro",DATOS_[C.Extra.01]))))), 0)</f>
        <v>0</v>
      </c>
      <c r="AM31" s="259" t="n">
        <f aca="false" t="array" ref="AM31:AM31">IFERROR( MEDIAN((IF(DATOS_[[Sexo]:[Sexo]]=$B31,IF(DATOS_[[AGRUP. CLAS. PROF.]:[AGRUP. CLAS. PROF.]]=$B30,IF(DATOS_[[Check Periodo Ref.]:[Check Periodo Ref.]]="Dentro",DATOS_[C.Extra.02]))))), 0)</f>
        <v>0</v>
      </c>
      <c r="AN31" s="259" t="n">
        <f aca="false" t="array" ref="AN31:AN31">IFERROR( MEDIAN((IF(DATOS_[[Sexo]:[Sexo]]=$B31,IF(DATOS_[[AGRUP. CLAS. PROF.]:[AGRUP. CLAS. PROF.]]=$B30,IF(DATOS_[[Check Periodo Ref.]:[Check Periodo Ref.]]="Dentro",DATOS_[C.Extra.03]))))), 0)</f>
        <v>0</v>
      </c>
      <c r="AO31" s="259" t="n">
        <f aca="false" t="array" ref="AO31:AO31">IFERROR( MEDIAN((IF(DATOS_[[Sexo]:[Sexo]]=$B31,IF(DATOS_[[AGRUP. CLAS. PROF.]:[AGRUP. CLAS. PROF.]]=$B30,IF(DATOS_[[Check Periodo Ref.]:[Check Periodo Ref.]]="Dentro",DATOS_[C.Extra.04]))))), 0)</f>
        <v>0</v>
      </c>
      <c r="AP31" s="259" t="n">
        <f aca="false" t="array" ref="AP31:AP31">IFERROR( MEDIAN((IF(DATOS_[[Sexo]:[Sexo]]=$B31,IF(DATOS_[[AGRUP. CLAS. PROF.]:[AGRUP. CLAS. PROF.]]=$B30,IF(DATOS_[[Check Periodo Ref.]:[Check Periodo Ref.]]="Dentro",DATOS_[C.Extra.05]))))), 0)</f>
        <v>0</v>
      </c>
      <c r="AQ31" s="254" t="n">
        <f aca="false" t="array" ref="AQ31:AQ31">IFERROR( MEDIAN(IF(DATOS_[Sexo]=$B31,IF(DATOS_[AGRUP. CLAS. PROF.]=$B30,IF(DATOS_[Check Periodo Ref.]="Dentro",DATOS_[Tot Extrasalarial Ef],0)))), 0)</f>
        <v>0</v>
      </c>
      <c r="AR31" s="255" t="n">
        <f aca="false" t="array" ref="AR31:AR31">IFERROR( MEDIAN(IF(DATOS_[Sexo]=$B31,IF(DATOS_[AGRUP. CLAS. PROF.]=$B30,IF(DATOS_[Check Periodo Ref.]="Dentro",DATOS_[TOTAL Retrib Ef],0)))), 0)</f>
        <v>0</v>
      </c>
    </row>
    <row r="32" customFormat="false" ht="14.25" hidden="false" customHeight="false" outlineLevel="0" collapsed="false">
      <c r="A32" s="217" t="str">
        <f aca="false">+A31</f>
        <v>[ocultar]</v>
      </c>
      <c r="B32" s="246" t="s">
        <v>372</v>
      </c>
      <c r="C32" s="247" t="n">
        <f aca="false" t="array" ref="C32:C32">SUM(IF($B32=DATOS_[Sexo], IF($B30=DATOS_[AGRUP. CLAS. PROF.], IF("Dentro"=DATOS_[Check Periodo Ref.], 1/(COUNTIFS(DATOS_[Sexo],$B32,DATOS_[AGRUP. CLAS. PROF.],$B30,DATOS_[Check Periodo Ref.],"Dentro",DATOS_[id],DATOS_[id]))))))</f>
        <v>0</v>
      </c>
      <c r="D32" s="248" t="n">
        <f aca="false">COUNTIFS(DATOS_[AGRUP. CLAS. PROF.],$B30,DATOS_[Sexo],$B32,DATOS_[Check Periodo Ref.],"Dentro")</f>
        <v>0</v>
      </c>
      <c r="E32" s="249" t="n">
        <f aca="false" t="array" ref="E32:E32">IFERROR( MEDIAN(IF(DATOS_[Sexo]=$B32,IF(DATOS_[AGRUP. CLAS. PROF.]=$B30,IF(DATOS_[Check Periodo Ref.]="Dentro",DATOS_[SALARIO BASE Ef],0)))), 0)</f>
        <v>0</v>
      </c>
      <c r="F32" s="250" t="n">
        <f aca="false" t="array" ref="F32:F32">IFERROR( MEDIAN((IF(DATOS_[[Sexo]:[Sexo]]=$B32,IF(DATOS_[[AGRUP. CLAS. PROF.]:[AGRUP. CLAS. PROF.]]=$B30,IF(DATOS_[[Check Periodo Ref.]:[Check Periodo Ref.]]="Dentro",DATOS_[Conc.Sal.01]))))), 0)</f>
        <v>0</v>
      </c>
      <c r="G32" s="250" t="n">
        <f aca="false" t="array" ref="G32:G32">IFERROR( MEDIAN((IF(DATOS_[[Sexo]:[Sexo]]=$B32,IF(DATOS_[[AGRUP. CLAS. PROF.]:[AGRUP. CLAS. PROF.]]=$B30,IF(DATOS_[[Check Periodo Ref.]:[Check Periodo Ref.]]="Dentro",DATOS_[Conc.Sal.02]))))), 0)</f>
        <v>0</v>
      </c>
      <c r="H32" s="250" t="n">
        <f aca="false" t="array" ref="H32:H32">IFERROR( MEDIAN((IF(DATOS_[[Sexo]:[Sexo]]=$B32,IF(DATOS_[[AGRUP. CLAS. PROF.]:[AGRUP. CLAS. PROF.]]=$B30,IF(DATOS_[[Check Periodo Ref.]:[Check Periodo Ref.]]="Dentro",DATOS_[Conc.Sal.03]))))), 0)</f>
        <v>0</v>
      </c>
      <c r="I32" s="250" t="n">
        <f aca="false" t="array" ref="I32:I32">IFERROR( MEDIAN((IF(DATOS_[[Sexo]:[Sexo]]=$B32,IF(DATOS_[[AGRUP. CLAS. PROF.]:[AGRUP. CLAS. PROF.]]=$B30,IF(DATOS_[[Check Periodo Ref.]:[Check Periodo Ref.]]="Dentro",DATOS_[Conc.Sal.04]))))), 0)</f>
        <v>0</v>
      </c>
      <c r="J32" s="250" t="n">
        <f aca="false" t="array" ref="J32:J32">IFERROR( MEDIAN((IF(DATOS_[[Sexo]:[Sexo]]=$B32,IF(DATOS_[[AGRUP. CLAS. PROF.]:[AGRUP. CLAS. PROF.]]=$B30,IF(DATOS_[[Check Periodo Ref.]:[Check Periodo Ref.]]="Dentro",DATOS_[Conc.Sal.05]))))), 0)</f>
        <v>0</v>
      </c>
      <c r="K32" s="250" t="n">
        <f aca="false" t="array" ref="K32:K32">IFERROR( MEDIAN((IF(DATOS_[[Sexo]:[Sexo]]=$B32,IF(DATOS_[[AGRUP. CLAS. PROF.]:[AGRUP. CLAS. PROF.]]=$B30,IF(DATOS_[[Check Periodo Ref.]:[Check Periodo Ref.]]="Dentro",DATOS_[Conc.Sal.06]))))), 0)</f>
        <v>0</v>
      </c>
      <c r="L32" s="250" t="n">
        <f aca="false" t="array" ref="L32:L32">IFERROR( MEDIAN((IF(DATOS_[[Sexo]:[Sexo]]=$B32,IF(DATOS_[[AGRUP. CLAS. PROF.]:[AGRUP. CLAS. PROF.]]=$B30,IF(DATOS_[[Check Periodo Ref.]:[Check Periodo Ref.]]="Dentro",DATOS_[Conc.Sal.07]))))), 0)</f>
        <v>0</v>
      </c>
      <c r="M32" s="250" t="n">
        <f aca="false" t="array" ref="M32:M32">IFERROR( MEDIAN((IF(DATOS_[[Sexo]:[Sexo]]=$B32,IF(DATOS_[[AGRUP. CLAS. PROF.]:[AGRUP. CLAS. PROF.]]=$B30,IF(DATOS_[[Check Periodo Ref.]:[Check Periodo Ref.]]="Dentro",DATOS_[Conc.Sal.08]))))), 0)</f>
        <v>0</v>
      </c>
      <c r="N32" s="250" t="n">
        <f aca="false" t="array" ref="N32:N32">IFERROR( MEDIAN((IF(DATOS_[[Sexo]:[Sexo]]=$B32,IF(DATOS_[[AGRUP. CLAS. PROF.]:[AGRUP. CLAS. PROF.]]=$B30,IF(DATOS_[[Check Periodo Ref.]:[Check Periodo Ref.]]="Dentro",DATOS_[Conc.Sal.09]))))), 0)</f>
        <v>0</v>
      </c>
      <c r="O32" s="250" t="n">
        <f aca="false" t="array" ref="O32:O32">IFERROR( MEDIAN((IF(DATOS_[[Sexo]:[Sexo]]=$B32,IF(DATOS_[[AGRUP. CLAS. PROF.]:[AGRUP. CLAS. PROF.]]=$B30,IF(DATOS_[[Check Periodo Ref.]:[Check Periodo Ref.]]="Dentro",DATOS_[Conc.Sal.10]))))), 0)</f>
        <v>0</v>
      </c>
      <c r="P32" s="250" t="n">
        <f aca="false" t="array" ref="P32:P32">IFERROR( MEDIAN((IF(DATOS_[[Sexo]:[Sexo]]=$B32,IF(DATOS_[[AGRUP. CLAS. PROF.]:[AGRUP. CLAS. PROF.]]=$B30,IF(DATOS_[[Check Periodo Ref.]:[Check Periodo Ref.]]="Dentro",DATOS_[Conc.Sal.11]))))), 0)</f>
        <v>0</v>
      </c>
      <c r="Q32" s="250" t="n">
        <f aca="false" t="array" ref="Q32:Q32">IFERROR( MEDIAN((IF(DATOS_[[Sexo]:[Sexo]]=$B32,IF(DATOS_[[AGRUP. CLAS. PROF.]:[AGRUP. CLAS. PROF.]]=$B30,IF(DATOS_[[Check Periodo Ref.]:[Check Periodo Ref.]]="Dentro",DATOS_[Conc.Sal.12]))))), 0)</f>
        <v>0</v>
      </c>
      <c r="R32" s="250" t="n">
        <f aca="false" t="array" ref="R32:R32">IFERROR( MEDIAN((IF(DATOS_[[Sexo]:[Sexo]]=$B32,IF(DATOS_[[AGRUP. CLAS. PROF.]:[AGRUP. CLAS. PROF.]]=$B30,IF(DATOS_[[Check Periodo Ref.]:[Check Periodo Ref.]]="Dentro",DATOS_[Conc.Sal.13]))))), 0)</f>
        <v>0</v>
      </c>
      <c r="S32" s="250" t="n">
        <f aca="false" t="array" ref="S32:S32">IFERROR( MEDIAN((IF(DATOS_[[Sexo]:[Sexo]]=$B32,IF(DATOS_[[AGRUP. CLAS. PROF.]:[AGRUP. CLAS. PROF.]]=$B30,IF(DATOS_[[Check Periodo Ref.]:[Check Periodo Ref.]]="Dentro",DATOS_[Conc.Sal.14]))))), 0)</f>
        <v>0</v>
      </c>
      <c r="T32" s="250" t="n">
        <f aca="false" t="array" ref="T32:T32">IFERROR( MEDIAN((IF(DATOS_[[Sexo]:[Sexo]]=$B32,IF(DATOS_[[AGRUP. CLAS. PROF.]:[AGRUP. CLAS. PROF.]]=$B30,IF(DATOS_[[Check Periodo Ref.]:[Check Periodo Ref.]]="Dentro",DATOS_[Conc.Sal.15]))))), 0)</f>
        <v>0</v>
      </c>
      <c r="U32" s="250" t="n">
        <f aca="false" t="array" ref="U32:U32">IFERROR( MEDIAN((IF(DATOS_[[Sexo]:[Sexo]]=$B32,IF(DATOS_[[AGRUP. CLAS. PROF.]:[AGRUP. CLAS. PROF.]]=$B30,IF(DATOS_[[Check Periodo Ref.]:[Check Periodo Ref.]]="Dentro",DATOS_[Conc.Sal.16]))))), 0)</f>
        <v>0</v>
      </c>
      <c r="V32" s="250" t="n">
        <f aca="false" t="array" ref="V32:V32">IFERROR( MEDIAN((IF(DATOS_[[Sexo]:[Sexo]]=$B32,IF(DATOS_[[AGRUP. CLAS. PROF.]:[AGRUP. CLAS. PROF.]]=$B30,IF(DATOS_[[Check Periodo Ref.]:[Check Periodo Ref.]]="Dentro",DATOS_[Conc.Sal.17]))))), 0)</f>
        <v>0</v>
      </c>
      <c r="W32" s="250" t="n">
        <f aca="false" t="array" ref="W32:W32">IFERROR( MEDIAN((IF(DATOS_[[Sexo]:[Sexo]]=$B32,IF(DATOS_[[AGRUP. CLAS. PROF.]:[AGRUP. CLAS. PROF.]]=$B30,IF(DATOS_[[Check Periodo Ref.]:[Check Periodo Ref.]]="Dentro",DATOS_[Conc.Sal.18]))))), 0)</f>
        <v>0</v>
      </c>
      <c r="X32" s="250" t="n">
        <f aca="false" t="array" ref="X32:X32">IFERROR( MEDIAN((IF(DATOS_[[Sexo]:[Sexo]]=$B32,IF(DATOS_[[AGRUP. CLAS. PROF.]:[AGRUP. CLAS. PROF.]]=$B30,IF(DATOS_[[Check Periodo Ref.]:[Check Periodo Ref.]]="Dentro",DATOS_[Conc.Sal.19]))))), 0)</f>
        <v>0</v>
      </c>
      <c r="Y32" s="250" t="n">
        <f aca="false" t="array" ref="Y32:Y32">IFERROR( MEDIAN((IF(DATOS_[[Sexo]:[Sexo]]=$B32,IF(DATOS_[[AGRUP. CLAS. PROF.]:[AGRUP. CLAS. PROF.]]=$B30,IF(DATOS_[[Check Periodo Ref.]:[Check Periodo Ref.]]="Dentro",DATOS_[Conc.Sal.20]))))), 0)</f>
        <v>0</v>
      </c>
      <c r="Z32" s="250" t="n">
        <f aca="false" t="array" ref="Z32:Z32">IFERROR( MEDIAN((IF(DATOS_[[Sexo]:[Sexo]]=$B32,IF(DATOS_[[AGRUP. CLAS. PROF.]:[AGRUP. CLAS. PROF.]]=$B30,IF(DATOS_[[Check Periodo Ref.]:[Check Periodo Ref.]]="Dentro",DATOS_[Conc.Sal.21]))))), 0)</f>
        <v>0</v>
      </c>
      <c r="AA32" s="250" t="n">
        <f aca="false" t="array" ref="AA32:AA32">IFERROR( MEDIAN((IF(DATOS_[[Sexo]:[Sexo]]=$B32,IF(DATOS_[[AGRUP. CLAS. PROF.]:[AGRUP. CLAS. PROF.]]=$B30,IF(DATOS_[[Check Periodo Ref.]:[Check Periodo Ref.]]="Dentro",DATOS_[Conc.Sal.22]))))), 0)</f>
        <v>0</v>
      </c>
      <c r="AB32" s="250" t="n">
        <f aca="false" t="array" ref="AB32:AB32">IFERROR( MEDIAN((IF(DATOS_[[Sexo]:[Sexo]]=$B32,IF(DATOS_[[AGRUP. CLAS. PROF.]:[AGRUP. CLAS. PROF.]]=$B30,IF(DATOS_[[Check Periodo Ref.]:[Check Periodo Ref.]]="Dentro",DATOS_[Conc.Sal.23]))))), 0)</f>
        <v>0</v>
      </c>
      <c r="AC32" s="250" t="n">
        <f aca="false" t="array" ref="AC32:AC32">IFERROR( MEDIAN((IF(DATOS_[[Sexo]:[Sexo]]=$B32,IF(DATOS_[[AGRUP. CLAS. PROF.]:[AGRUP. CLAS. PROF.]]=$B30,IF(DATOS_[[Check Periodo Ref.]:[Check Periodo Ref.]]="Dentro",DATOS_[Conc.Sal.24]))))), 0)</f>
        <v>0</v>
      </c>
      <c r="AD32" s="250" t="n">
        <f aca="false" t="array" ref="AD32:AD32">IFERROR( MEDIAN((IF(DATOS_[[Sexo]:[Sexo]]=$B32,IF(DATOS_[[AGRUP. CLAS. PROF.]:[AGRUP. CLAS. PROF.]]=$B30,IF(DATOS_[[Check Periodo Ref.]:[Check Periodo Ref.]]="Dentro",DATOS_[Conc.Sal.25]))))), 0)</f>
        <v>0</v>
      </c>
      <c r="AE32" s="250" t="n">
        <f aca="false" t="array" ref="AE32:AE32">IFERROR( MEDIAN((IF(DATOS_[[Sexo]:[Sexo]]=$B32,IF(DATOS_[[AGRUP. CLAS. PROF.]:[AGRUP. CLAS. PROF.]]=$B30,IF(DATOS_[[Check Periodo Ref.]:[Check Periodo Ref.]]="Dentro",DATOS_[Conc.Sal.26]))))), 0)</f>
        <v>0</v>
      </c>
      <c r="AF32" s="250" t="n">
        <f aca="false" t="array" ref="AF32:AF32">IFERROR( MEDIAN((IF(DATOS_[[Sexo]:[Sexo]]=$B32,IF(DATOS_[[AGRUP. CLAS. PROF.]:[AGRUP. CLAS. PROF.]]=$B30,IF(DATOS_[[Check Periodo Ref.]:[Check Periodo Ref.]]="Dentro",DATOS_[Conc.Sal.27]))))), 0)</f>
        <v>0</v>
      </c>
      <c r="AG32" s="250" t="n">
        <f aca="false" t="array" ref="AG32:AG32">IFERROR( MEDIAN((IF(DATOS_[[Sexo]:[Sexo]]=$B32,IF(DATOS_[[AGRUP. CLAS. PROF.]:[AGRUP. CLAS. PROF.]]=$B30,IF(DATOS_[[Check Periodo Ref.]:[Check Periodo Ref.]]="Dentro",DATOS_[Conc.Sal.28]))))), 0)</f>
        <v>0</v>
      </c>
      <c r="AH32" s="250" t="n">
        <f aca="false" t="array" ref="AH32:AH32">IFERROR( MEDIAN((IF(DATOS_[[Sexo]:[Sexo]]=$B32,IF(DATOS_[[AGRUP. CLAS. PROF.]:[AGRUP. CLAS. PROF.]]=$B30,IF(DATOS_[[Check Periodo Ref.]:[Check Periodo Ref.]]="Dentro",DATOS_[Conc.Sal.29]))))), 0)</f>
        <v>0</v>
      </c>
      <c r="AI32" s="250" t="n">
        <f aca="false" t="array" ref="AI32:AI32">IFERROR( MEDIAN((IF(DATOS_[[Sexo]:[Sexo]]=$B32,IF(DATOS_[[AGRUP. CLAS. PROF.]:[AGRUP. CLAS. PROF.]]=$B30,IF(DATOS_[[Check Periodo Ref.]:[Check Periodo Ref.]]="Dentro",DATOS_[Conc.Sal.30]))))), 0)</f>
        <v>0</v>
      </c>
      <c r="AJ32" s="251" t="n">
        <f aca="false" t="array" ref="AJ32:AJ32">IFERROR( MEDIAN(IF(DATOS_[Sexo]=$B32,IF(DATOS_[AGRUP. CLAS. PROF.]=$B30,IF(DATOS_[Check Periodo Ref.]="Dentro",DATOS_[Tot COMPL.SAL Ef],0)))), 0)</f>
        <v>0</v>
      </c>
      <c r="AK32" s="252" t="n">
        <f aca="false" t="array" ref="AK32:AK32">IFERROR( MEDIAN(IF(DATOS_[Sexo]=$B32,IF(DATOS_[AGRUP. CLAS. PROF.]=$B30,IF(DATOS_[Check Periodo Ref.]="Dentro",DATOS_[TOTAL SALARIO Ef],0)))), 0)</f>
        <v>0</v>
      </c>
      <c r="AL32" s="259" t="n">
        <f aca="false" t="array" ref="AL32:AL32">IFERROR( MEDIAN((IF(DATOS_[[Sexo]:[Sexo]]=$B32,IF(DATOS_[[AGRUP. CLAS. PROF.]:[AGRUP. CLAS. PROF.]]=$B30,IF(DATOS_[[Check Periodo Ref.]:[Check Periodo Ref.]]="Dentro",DATOS_[C.Extra.01]))))), 0)</f>
        <v>0</v>
      </c>
      <c r="AM32" s="259" t="n">
        <f aca="false" t="array" ref="AM32:AM32">IFERROR( MEDIAN((IF(DATOS_[[Sexo]:[Sexo]]=$B32,IF(DATOS_[[AGRUP. CLAS. PROF.]:[AGRUP. CLAS. PROF.]]=$B30,IF(DATOS_[[Check Periodo Ref.]:[Check Periodo Ref.]]="Dentro",DATOS_[C.Extra.02]))))), 0)</f>
        <v>0</v>
      </c>
      <c r="AN32" s="259" t="n">
        <f aca="false" t="array" ref="AN32:AN32">IFERROR( MEDIAN((IF(DATOS_[[Sexo]:[Sexo]]=$B32,IF(DATOS_[[AGRUP. CLAS. PROF.]:[AGRUP. CLAS. PROF.]]=$B30,IF(DATOS_[[Check Periodo Ref.]:[Check Periodo Ref.]]="Dentro",DATOS_[C.Extra.03]))))), 0)</f>
        <v>0</v>
      </c>
      <c r="AO32" s="259" t="n">
        <f aca="false" t="array" ref="AO32:AO32">IFERROR( MEDIAN((IF(DATOS_[[Sexo]:[Sexo]]=$B32,IF(DATOS_[[AGRUP. CLAS. PROF.]:[AGRUP. CLAS. PROF.]]=$B30,IF(DATOS_[[Check Periodo Ref.]:[Check Periodo Ref.]]="Dentro",DATOS_[C.Extra.04]))))), 0)</f>
        <v>0</v>
      </c>
      <c r="AP32" s="259" t="n">
        <f aca="false" t="array" ref="AP32:AP32">IFERROR( MEDIAN((IF(DATOS_[[Sexo]:[Sexo]]=$B32,IF(DATOS_[[AGRUP. CLAS. PROF.]:[AGRUP. CLAS. PROF.]]=$B30,IF(DATOS_[[Check Periodo Ref.]:[Check Periodo Ref.]]="Dentro",DATOS_[C.Extra.05]))))), 0)</f>
        <v>0</v>
      </c>
      <c r="AQ32" s="254" t="n">
        <f aca="false" t="array" ref="AQ32:AQ32">IFERROR( MEDIAN(IF(DATOS_[Sexo]=$B32,IF(DATOS_[AGRUP. CLAS. PROF.]=$B30,IF(DATOS_[Check Periodo Ref.]="Dentro",DATOS_[Tot Extrasalarial Ef],0)))), 0)</f>
        <v>0</v>
      </c>
      <c r="AR32" s="255" t="n">
        <f aca="false" t="array" ref="AR32:AR32">IFERROR( MEDIAN(IF(DATOS_[Sexo]=$B32,IF(DATOS_[AGRUP. CLAS. PROF.]=$B30,IF(DATOS_[Check Periodo Ref.]="Dentro",DATOS_[TOTAL Retrib Ef],0)))), 0)</f>
        <v>0</v>
      </c>
    </row>
    <row r="33" customFormat="false" ht="15.75" hidden="false" customHeight="false" outlineLevel="0" collapsed="false">
      <c r="A33" s="217" t="str">
        <f aca="false">+A34</f>
        <v>[ocultar]</v>
      </c>
      <c r="B33" s="235" t="s">
        <v>186</v>
      </c>
      <c r="C33" s="236"/>
      <c r="D33" s="237"/>
      <c r="E33" s="238" t="str">
        <f aca="false">IFERROR((E34-E35)/E34,"")</f>
        <v/>
      </c>
      <c r="F33" s="239" t="str">
        <f aca="false">IFERROR((F34-F35)/F34,"")</f>
        <v/>
      </c>
      <c r="G33" s="239" t="str">
        <f aca="false">IFERROR((G34-G35)/G34,"")</f>
        <v/>
      </c>
      <c r="H33" s="239" t="str">
        <f aca="false">IFERROR((H34-H35)/H34,"")</f>
        <v/>
      </c>
      <c r="I33" s="239"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40" t="str">
        <f aca="false">IFERROR((V34-V35)/V34,"")</f>
        <v/>
      </c>
      <c r="W33" s="240" t="str">
        <f aca="false">IFERROR((W34-W35)/W34,"")</f>
        <v/>
      </c>
      <c r="X33" s="240" t="str">
        <f aca="false">IFERROR((X34-X35)/X34,"")</f>
        <v/>
      </c>
      <c r="Y33" s="240"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1" t="str">
        <f aca="false">IFERROR((AJ34-AJ35)/AJ34,"")</f>
        <v/>
      </c>
      <c r="AK33" s="242" t="str">
        <f aca="false">IFERROR((AK34-AK35)/AK34,"")</f>
        <v/>
      </c>
      <c r="AL33" s="243" t="str">
        <f aca="false">IFERROR((AL34-AL35)/AL34,"")</f>
        <v/>
      </c>
      <c r="AM33" s="243" t="str">
        <f aca="false">IFERROR((AM34-AM35)/AM34,"")</f>
        <v/>
      </c>
      <c r="AN33" s="243" t="str">
        <f aca="false">IFERROR((AN34-AN35)/AN34,"")</f>
        <v/>
      </c>
      <c r="AO33" s="243" t="str">
        <f aca="false">IFERROR((AO34-AO35)/AO34,"")</f>
        <v/>
      </c>
      <c r="AP33" s="243" t="str">
        <f aca="false">IFERROR((AP34-AP35)/AP34,"")</f>
        <v/>
      </c>
      <c r="AQ33" s="244" t="str">
        <f aca="false">IFERROR((AQ34-AQ35)/AQ34,"")</f>
        <v/>
      </c>
      <c r="AR33" s="245" t="str">
        <f aca="false">IFERROR((AR34-AR35)/AR34,"")</f>
        <v/>
      </c>
    </row>
    <row r="34" customFormat="false" ht="14.25" hidden="false" customHeight="false" outlineLevel="0" collapsed="false">
      <c r="A34" s="217" t="str">
        <f aca="false">+IF(C34+C35=0,"[ocultar]","")</f>
        <v>[ocultar]</v>
      </c>
      <c r="B34" s="246" t="s">
        <v>371</v>
      </c>
      <c r="C34" s="247" t="n">
        <f aca="false" t="array" ref="C34:C34">SUM(IF($B34=DATOS_[Sexo], IF($B33=DATOS_[AGRUP. CLAS. PROF.], IF("Dentro"=DATOS_[Check Periodo Ref.], 1/(COUNTIFS(DATOS_[Sexo],$B34,DATOS_[AGRUP. CLAS. PROF.],$B33,DATOS_[Check Periodo Ref.],"Dentro",DATOS_[id],DATOS_[id]))))))</f>
        <v>0</v>
      </c>
      <c r="D34" s="248" t="n">
        <f aca="false">COUNTIFS(DATOS_[AGRUP. CLAS. PROF.],$B33,DATOS_[Sexo],$B34,DATOS_[Check Periodo Ref.],"Dentro")</f>
        <v>0</v>
      </c>
      <c r="E34" s="249" t="n">
        <f aca="false" t="array" ref="E34:E34">IFERROR( MEDIAN(IF(DATOS_[Sexo]=$B34,IF(DATOS_[AGRUP. CLAS. PROF.]=$B33,IF(DATOS_[Check Periodo Ref.]="Dentro",DATOS_[SALARIO BASE Ef],0)))), 0)</f>
        <v>0</v>
      </c>
      <c r="F34" s="250" t="n">
        <f aca="false" t="array" ref="F34:F34">IFERROR( MEDIAN((IF(DATOS_[[Sexo]:[Sexo]]=$B34,IF(DATOS_[[AGRUP. CLAS. PROF.]:[AGRUP. CLAS. PROF.]]=$B33,IF(DATOS_[[Check Periodo Ref.]:[Check Periodo Ref.]]="Dentro",DATOS_[Conc.Sal.01]))))), 0)</f>
        <v>0</v>
      </c>
      <c r="G34" s="250" t="n">
        <f aca="false" t="array" ref="G34:G34">IFERROR( MEDIAN((IF(DATOS_[[Sexo]:[Sexo]]=$B34,IF(DATOS_[[AGRUP. CLAS. PROF.]:[AGRUP. CLAS. PROF.]]=$B33,IF(DATOS_[[Check Periodo Ref.]:[Check Periodo Ref.]]="Dentro",DATOS_[Conc.Sal.02]))))), 0)</f>
        <v>0</v>
      </c>
      <c r="H34" s="250" t="n">
        <f aca="false" t="array" ref="H34:H34">IFERROR( MEDIAN((IF(DATOS_[[Sexo]:[Sexo]]=$B34,IF(DATOS_[[AGRUP. CLAS. PROF.]:[AGRUP. CLAS. PROF.]]=$B33,IF(DATOS_[[Check Periodo Ref.]:[Check Periodo Ref.]]="Dentro",DATOS_[Conc.Sal.03]))))), 0)</f>
        <v>0</v>
      </c>
      <c r="I34" s="250" t="n">
        <f aca="false" t="array" ref="I34:I34">IFERROR( MEDIAN((IF(DATOS_[[Sexo]:[Sexo]]=$B34,IF(DATOS_[[AGRUP. CLAS. PROF.]:[AGRUP. CLAS. PROF.]]=$B33,IF(DATOS_[[Check Periodo Ref.]:[Check Periodo Ref.]]="Dentro",DATOS_[Conc.Sal.04]))))), 0)</f>
        <v>0</v>
      </c>
      <c r="J34" s="250" t="n">
        <f aca="false" t="array" ref="J34:J34">IFERROR( MEDIAN((IF(DATOS_[[Sexo]:[Sexo]]=$B34,IF(DATOS_[[AGRUP. CLAS. PROF.]:[AGRUP. CLAS. PROF.]]=$B33,IF(DATOS_[[Check Periodo Ref.]:[Check Periodo Ref.]]="Dentro",DATOS_[Conc.Sal.05]))))), 0)</f>
        <v>0</v>
      </c>
      <c r="K34" s="250" t="n">
        <f aca="false" t="array" ref="K34:K34">IFERROR( MEDIAN((IF(DATOS_[[Sexo]:[Sexo]]=$B34,IF(DATOS_[[AGRUP. CLAS. PROF.]:[AGRUP. CLAS. PROF.]]=$B33,IF(DATOS_[[Check Periodo Ref.]:[Check Periodo Ref.]]="Dentro",DATOS_[Conc.Sal.06]))))), 0)</f>
        <v>0</v>
      </c>
      <c r="L34" s="250" t="n">
        <f aca="false" t="array" ref="L34:L34">IFERROR( MEDIAN((IF(DATOS_[[Sexo]:[Sexo]]=$B34,IF(DATOS_[[AGRUP. CLAS. PROF.]:[AGRUP. CLAS. PROF.]]=$B33,IF(DATOS_[[Check Periodo Ref.]:[Check Periodo Ref.]]="Dentro",DATOS_[Conc.Sal.07]))))), 0)</f>
        <v>0</v>
      </c>
      <c r="M34" s="250" t="n">
        <f aca="false" t="array" ref="M34:M34">IFERROR( MEDIAN((IF(DATOS_[[Sexo]:[Sexo]]=$B34,IF(DATOS_[[AGRUP. CLAS. PROF.]:[AGRUP. CLAS. PROF.]]=$B33,IF(DATOS_[[Check Periodo Ref.]:[Check Periodo Ref.]]="Dentro",DATOS_[Conc.Sal.08]))))), 0)</f>
        <v>0</v>
      </c>
      <c r="N34" s="250" t="n">
        <f aca="false" t="array" ref="N34:N34">IFERROR( MEDIAN((IF(DATOS_[[Sexo]:[Sexo]]=$B34,IF(DATOS_[[AGRUP. CLAS. PROF.]:[AGRUP. CLAS. PROF.]]=$B33,IF(DATOS_[[Check Periodo Ref.]:[Check Periodo Ref.]]="Dentro",DATOS_[Conc.Sal.09]))))), 0)</f>
        <v>0</v>
      </c>
      <c r="O34" s="250" t="n">
        <f aca="false" t="array" ref="O34:O34">IFERROR( MEDIAN((IF(DATOS_[[Sexo]:[Sexo]]=$B34,IF(DATOS_[[AGRUP. CLAS. PROF.]:[AGRUP. CLAS. PROF.]]=$B33,IF(DATOS_[[Check Periodo Ref.]:[Check Periodo Ref.]]="Dentro",DATOS_[Conc.Sal.10]))))), 0)</f>
        <v>0</v>
      </c>
      <c r="P34" s="250" t="n">
        <f aca="false" t="array" ref="P34:P34">IFERROR( MEDIAN((IF(DATOS_[[Sexo]:[Sexo]]=$B34,IF(DATOS_[[AGRUP. CLAS. PROF.]:[AGRUP. CLAS. PROF.]]=$B33,IF(DATOS_[[Check Periodo Ref.]:[Check Periodo Ref.]]="Dentro",DATOS_[Conc.Sal.11]))))), 0)</f>
        <v>0</v>
      </c>
      <c r="Q34" s="250" t="n">
        <f aca="false" t="array" ref="Q34:Q34">IFERROR( MEDIAN((IF(DATOS_[[Sexo]:[Sexo]]=$B34,IF(DATOS_[[AGRUP. CLAS. PROF.]:[AGRUP. CLAS. PROF.]]=$B33,IF(DATOS_[[Check Periodo Ref.]:[Check Periodo Ref.]]="Dentro",DATOS_[Conc.Sal.12]))))), 0)</f>
        <v>0</v>
      </c>
      <c r="R34" s="250" t="n">
        <f aca="false" t="array" ref="R34:R34">IFERROR( MEDIAN((IF(DATOS_[[Sexo]:[Sexo]]=$B34,IF(DATOS_[[AGRUP. CLAS. PROF.]:[AGRUP. CLAS. PROF.]]=$B33,IF(DATOS_[[Check Periodo Ref.]:[Check Periodo Ref.]]="Dentro",DATOS_[Conc.Sal.13]))))), 0)</f>
        <v>0</v>
      </c>
      <c r="S34" s="250" t="n">
        <f aca="false" t="array" ref="S34:S34">IFERROR( MEDIAN((IF(DATOS_[[Sexo]:[Sexo]]=$B34,IF(DATOS_[[AGRUP. CLAS. PROF.]:[AGRUP. CLAS. PROF.]]=$B33,IF(DATOS_[[Check Periodo Ref.]:[Check Periodo Ref.]]="Dentro",DATOS_[Conc.Sal.14]))))), 0)</f>
        <v>0</v>
      </c>
      <c r="T34" s="250" t="n">
        <f aca="false" t="array" ref="T34:T34">IFERROR( MEDIAN((IF(DATOS_[[Sexo]:[Sexo]]=$B34,IF(DATOS_[[AGRUP. CLAS. PROF.]:[AGRUP. CLAS. PROF.]]=$B33,IF(DATOS_[[Check Periodo Ref.]:[Check Periodo Ref.]]="Dentro",DATOS_[Conc.Sal.15]))))), 0)</f>
        <v>0</v>
      </c>
      <c r="U34" s="250" t="n">
        <f aca="false" t="array" ref="U34:U34">IFERROR( MEDIAN((IF(DATOS_[[Sexo]:[Sexo]]=$B34,IF(DATOS_[[AGRUP. CLAS. PROF.]:[AGRUP. CLAS. PROF.]]=$B33,IF(DATOS_[[Check Periodo Ref.]:[Check Periodo Ref.]]="Dentro",DATOS_[Conc.Sal.16]))))), 0)</f>
        <v>0</v>
      </c>
      <c r="V34" s="250" t="n">
        <f aca="false" t="array" ref="V34:V34">IFERROR( MEDIAN((IF(DATOS_[[Sexo]:[Sexo]]=$B34,IF(DATOS_[[AGRUP. CLAS. PROF.]:[AGRUP. CLAS. PROF.]]=$B33,IF(DATOS_[[Check Periodo Ref.]:[Check Periodo Ref.]]="Dentro",DATOS_[Conc.Sal.17]))))), 0)</f>
        <v>0</v>
      </c>
      <c r="W34" s="250" t="n">
        <f aca="false" t="array" ref="W34:W34">IFERROR( MEDIAN((IF(DATOS_[[Sexo]:[Sexo]]=$B34,IF(DATOS_[[AGRUP. CLAS. PROF.]:[AGRUP. CLAS. PROF.]]=$B33,IF(DATOS_[[Check Periodo Ref.]:[Check Periodo Ref.]]="Dentro",DATOS_[Conc.Sal.18]))))), 0)</f>
        <v>0</v>
      </c>
      <c r="X34" s="250" t="n">
        <f aca="false" t="array" ref="X34:X34">IFERROR( MEDIAN((IF(DATOS_[[Sexo]:[Sexo]]=$B34,IF(DATOS_[[AGRUP. CLAS. PROF.]:[AGRUP. CLAS. PROF.]]=$B33,IF(DATOS_[[Check Periodo Ref.]:[Check Periodo Ref.]]="Dentro",DATOS_[Conc.Sal.19]))))), 0)</f>
        <v>0</v>
      </c>
      <c r="Y34" s="250" t="n">
        <f aca="false" t="array" ref="Y34:Y34">IFERROR( MEDIAN((IF(DATOS_[[Sexo]:[Sexo]]=$B34,IF(DATOS_[[AGRUP. CLAS. PROF.]:[AGRUP. CLAS. PROF.]]=$B33,IF(DATOS_[[Check Periodo Ref.]:[Check Periodo Ref.]]="Dentro",DATOS_[Conc.Sal.20]))))), 0)</f>
        <v>0</v>
      </c>
      <c r="Z34" s="250" t="n">
        <f aca="false" t="array" ref="Z34:Z34">IFERROR( MEDIAN((IF(DATOS_[[Sexo]:[Sexo]]=$B34,IF(DATOS_[[AGRUP. CLAS. PROF.]:[AGRUP. CLAS. PROF.]]=$B33,IF(DATOS_[[Check Periodo Ref.]:[Check Periodo Ref.]]="Dentro",DATOS_[Conc.Sal.21]))))), 0)</f>
        <v>0</v>
      </c>
      <c r="AA34" s="250" t="n">
        <f aca="false" t="array" ref="AA34:AA34">IFERROR( MEDIAN((IF(DATOS_[[Sexo]:[Sexo]]=$B34,IF(DATOS_[[AGRUP. CLAS. PROF.]:[AGRUP. CLAS. PROF.]]=$B33,IF(DATOS_[[Check Periodo Ref.]:[Check Periodo Ref.]]="Dentro",DATOS_[Conc.Sal.22]))))), 0)</f>
        <v>0</v>
      </c>
      <c r="AB34" s="250" t="n">
        <f aca="false" t="array" ref="AB34:AB34">IFERROR( MEDIAN((IF(DATOS_[[Sexo]:[Sexo]]=$B34,IF(DATOS_[[AGRUP. CLAS. PROF.]:[AGRUP. CLAS. PROF.]]=$B33,IF(DATOS_[[Check Periodo Ref.]:[Check Periodo Ref.]]="Dentro",DATOS_[Conc.Sal.23]))))), 0)</f>
        <v>0</v>
      </c>
      <c r="AC34" s="250" t="n">
        <f aca="false" t="array" ref="AC34:AC34">IFERROR( MEDIAN((IF(DATOS_[[Sexo]:[Sexo]]=$B34,IF(DATOS_[[AGRUP. CLAS. PROF.]:[AGRUP. CLAS. PROF.]]=$B33,IF(DATOS_[[Check Periodo Ref.]:[Check Periodo Ref.]]="Dentro",DATOS_[Conc.Sal.24]))))), 0)</f>
        <v>0</v>
      </c>
      <c r="AD34" s="250" t="n">
        <f aca="false" t="array" ref="AD34:AD34">IFERROR( MEDIAN((IF(DATOS_[[Sexo]:[Sexo]]=$B34,IF(DATOS_[[AGRUP. CLAS. PROF.]:[AGRUP. CLAS. PROF.]]=$B33,IF(DATOS_[[Check Periodo Ref.]:[Check Periodo Ref.]]="Dentro",DATOS_[Conc.Sal.25]))))), 0)</f>
        <v>0</v>
      </c>
      <c r="AE34" s="250" t="n">
        <f aca="false" t="array" ref="AE34:AE34">IFERROR( MEDIAN((IF(DATOS_[[Sexo]:[Sexo]]=$B34,IF(DATOS_[[AGRUP. CLAS. PROF.]:[AGRUP. CLAS. PROF.]]=$B33,IF(DATOS_[[Check Periodo Ref.]:[Check Periodo Ref.]]="Dentro",DATOS_[Conc.Sal.26]))))), 0)</f>
        <v>0</v>
      </c>
      <c r="AF34" s="250" t="n">
        <f aca="false" t="array" ref="AF34:AF34">IFERROR( MEDIAN((IF(DATOS_[[Sexo]:[Sexo]]=$B34,IF(DATOS_[[AGRUP. CLAS. PROF.]:[AGRUP. CLAS. PROF.]]=$B33,IF(DATOS_[[Check Periodo Ref.]:[Check Periodo Ref.]]="Dentro",DATOS_[Conc.Sal.27]))))), 0)</f>
        <v>0</v>
      </c>
      <c r="AG34" s="250" t="n">
        <f aca="false" t="array" ref="AG34:AG34">IFERROR( MEDIAN((IF(DATOS_[[Sexo]:[Sexo]]=$B34,IF(DATOS_[[AGRUP. CLAS. PROF.]:[AGRUP. CLAS. PROF.]]=$B33,IF(DATOS_[[Check Periodo Ref.]:[Check Periodo Ref.]]="Dentro",DATOS_[Conc.Sal.28]))))), 0)</f>
        <v>0</v>
      </c>
      <c r="AH34" s="250" t="n">
        <f aca="false" t="array" ref="AH34:AH34">IFERROR( MEDIAN((IF(DATOS_[[Sexo]:[Sexo]]=$B34,IF(DATOS_[[AGRUP. CLAS. PROF.]:[AGRUP. CLAS. PROF.]]=$B33,IF(DATOS_[[Check Periodo Ref.]:[Check Periodo Ref.]]="Dentro",DATOS_[Conc.Sal.29]))))), 0)</f>
        <v>0</v>
      </c>
      <c r="AI34" s="250" t="n">
        <f aca="false" t="array" ref="AI34:AI34">IFERROR( MEDIAN((IF(DATOS_[[Sexo]:[Sexo]]=$B34,IF(DATOS_[[AGRUP. CLAS. PROF.]:[AGRUP. CLAS. PROF.]]=$B33,IF(DATOS_[[Check Periodo Ref.]:[Check Periodo Ref.]]="Dentro",DATOS_[Conc.Sal.30]))))), 0)</f>
        <v>0</v>
      </c>
      <c r="AJ34" s="251" t="n">
        <f aca="false" t="array" ref="AJ34:AJ34">IFERROR( MEDIAN(IF(DATOS_[Sexo]=$B34,IF(DATOS_[AGRUP. CLAS. PROF.]=$B33,IF(DATOS_[Check Periodo Ref.]="Dentro",DATOS_[Tot COMPL.SAL Ef],0)))), 0)</f>
        <v>0</v>
      </c>
      <c r="AK34" s="252" t="n">
        <f aca="false" t="array" ref="AK34:AK34">IFERROR( MEDIAN(IF(DATOS_[Sexo]=$B34,IF(DATOS_[AGRUP. CLAS. PROF.]=$B33,IF(DATOS_[Check Periodo Ref.]="Dentro",DATOS_[TOTAL SALARIO Ef],0)))), 0)</f>
        <v>0</v>
      </c>
      <c r="AL34" s="259" t="n">
        <f aca="false" t="array" ref="AL34:AL34">IFERROR( MEDIAN((IF(DATOS_[[Sexo]:[Sexo]]=$B34,IF(DATOS_[[AGRUP. CLAS. PROF.]:[AGRUP. CLAS. PROF.]]=$B33,IF(DATOS_[[Check Periodo Ref.]:[Check Periodo Ref.]]="Dentro",DATOS_[C.Extra.01]))))), 0)</f>
        <v>0</v>
      </c>
      <c r="AM34" s="259" t="n">
        <f aca="false" t="array" ref="AM34:AM34">IFERROR( MEDIAN((IF(DATOS_[[Sexo]:[Sexo]]=$B34,IF(DATOS_[[AGRUP. CLAS. PROF.]:[AGRUP. CLAS. PROF.]]=$B33,IF(DATOS_[[Check Periodo Ref.]:[Check Periodo Ref.]]="Dentro",DATOS_[C.Extra.02]))))), 0)</f>
        <v>0</v>
      </c>
      <c r="AN34" s="259" t="n">
        <f aca="false" t="array" ref="AN34:AN34">IFERROR( MEDIAN((IF(DATOS_[[Sexo]:[Sexo]]=$B34,IF(DATOS_[[AGRUP. CLAS. PROF.]:[AGRUP. CLAS. PROF.]]=$B33,IF(DATOS_[[Check Periodo Ref.]:[Check Periodo Ref.]]="Dentro",DATOS_[C.Extra.03]))))), 0)</f>
        <v>0</v>
      </c>
      <c r="AO34" s="259" t="n">
        <f aca="false" t="array" ref="AO34:AO34">IFERROR( MEDIAN((IF(DATOS_[[Sexo]:[Sexo]]=$B34,IF(DATOS_[[AGRUP. CLAS. PROF.]:[AGRUP. CLAS. PROF.]]=$B33,IF(DATOS_[[Check Periodo Ref.]:[Check Periodo Ref.]]="Dentro",DATOS_[C.Extra.04]))))), 0)</f>
        <v>0</v>
      </c>
      <c r="AP34" s="259" t="n">
        <f aca="false" t="array" ref="AP34:AP34">IFERROR( MEDIAN((IF(DATOS_[[Sexo]:[Sexo]]=$B34,IF(DATOS_[[AGRUP. CLAS. PROF.]:[AGRUP. CLAS. PROF.]]=$B33,IF(DATOS_[[Check Periodo Ref.]:[Check Periodo Ref.]]="Dentro",DATOS_[C.Extra.05]))))), 0)</f>
        <v>0</v>
      </c>
      <c r="AQ34" s="254" t="n">
        <f aca="false" t="array" ref="AQ34:AQ34">IFERROR( MEDIAN(IF(DATOS_[Sexo]=$B34,IF(DATOS_[AGRUP. CLAS. PROF.]=$B33,IF(DATOS_[Check Periodo Ref.]="Dentro",DATOS_[Tot Extrasalarial Ef],0)))), 0)</f>
        <v>0</v>
      </c>
      <c r="AR34" s="255" t="n">
        <f aca="false" t="array" ref="AR34:AR34">IFERROR( MEDIAN(IF(DATOS_[Sexo]=$B34,IF(DATOS_[AGRUP. CLAS. PROF.]=$B33,IF(DATOS_[Check Periodo Ref.]="Dentro",DATOS_[TOTAL Retrib Ef],0)))), 0)</f>
        <v>0</v>
      </c>
    </row>
    <row r="35" customFormat="false" ht="14.25" hidden="false" customHeight="false" outlineLevel="0" collapsed="false">
      <c r="A35" s="217" t="str">
        <f aca="false">+A34</f>
        <v>[ocultar]</v>
      </c>
      <c r="B35" s="246" t="s">
        <v>372</v>
      </c>
      <c r="C35" s="247" t="n">
        <f aca="false" t="array" ref="C35:C35">SUM(IF($B35=DATOS_[Sexo], IF($B33=DATOS_[AGRUP. CLAS. PROF.], IF("Dentro"=DATOS_[Check Periodo Ref.], 1/(COUNTIFS(DATOS_[Sexo],$B35,DATOS_[AGRUP. CLAS. PROF.],$B33,DATOS_[Check Periodo Ref.],"Dentro",DATOS_[id],DATOS_[id]))))))</f>
        <v>0</v>
      </c>
      <c r="D35" s="248" t="n">
        <f aca="false">COUNTIFS(DATOS_[AGRUP. CLAS. PROF.],$B33,DATOS_[Sexo],$B35,DATOS_[Check Periodo Ref.],"Dentro")</f>
        <v>0</v>
      </c>
      <c r="E35" s="249" t="n">
        <f aca="false" t="array" ref="E35:E35">IFERROR( MEDIAN(IF(DATOS_[Sexo]=$B35,IF(DATOS_[AGRUP. CLAS. PROF.]=$B33,IF(DATOS_[Check Periodo Ref.]="Dentro",DATOS_[SALARIO BASE Ef],0)))), 0)</f>
        <v>0</v>
      </c>
      <c r="F35" s="250" t="n">
        <f aca="false" t="array" ref="F35:F35">IFERROR( MEDIAN((IF(DATOS_[[Sexo]:[Sexo]]=$B35,IF(DATOS_[[AGRUP. CLAS. PROF.]:[AGRUP. CLAS. PROF.]]=$B33,IF(DATOS_[[Check Periodo Ref.]:[Check Periodo Ref.]]="Dentro",DATOS_[Conc.Sal.01]))))), 0)</f>
        <v>0</v>
      </c>
      <c r="G35" s="250" t="n">
        <f aca="false" t="array" ref="G35:G35">IFERROR( MEDIAN((IF(DATOS_[[Sexo]:[Sexo]]=$B35,IF(DATOS_[[AGRUP. CLAS. PROF.]:[AGRUP. CLAS. PROF.]]=$B33,IF(DATOS_[[Check Periodo Ref.]:[Check Periodo Ref.]]="Dentro",DATOS_[Conc.Sal.02]))))), 0)</f>
        <v>0</v>
      </c>
      <c r="H35" s="250" t="n">
        <f aca="false" t="array" ref="H35:H35">IFERROR( MEDIAN((IF(DATOS_[[Sexo]:[Sexo]]=$B35,IF(DATOS_[[AGRUP. CLAS. PROF.]:[AGRUP. CLAS. PROF.]]=$B33,IF(DATOS_[[Check Periodo Ref.]:[Check Periodo Ref.]]="Dentro",DATOS_[Conc.Sal.03]))))), 0)</f>
        <v>0</v>
      </c>
      <c r="I35" s="250" t="n">
        <f aca="false" t="array" ref="I35:I35">IFERROR( MEDIAN((IF(DATOS_[[Sexo]:[Sexo]]=$B35,IF(DATOS_[[AGRUP. CLAS. PROF.]:[AGRUP. CLAS. PROF.]]=$B33,IF(DATOS_[[Check Periodo Ref.]:[Check Periodo Ref.]]="Dentro",DATOS_[Conc.Sal.04]))))), 0)</f>
        <v>0</v>
      </c>
      <c r="J35" s="250" t="n">
        <f aca="false" t="array" ref="J35:J35">IFERROR( MEDIAN((IF(DATOS_[[Sexo]:[Sexo]]=$B35,IF(DATOS_[[AGRUP. CLAS. PROF.]:[AGRUP. CLAS. PROF.]]=$B33,IF(DATOS_[[Check Periodo Ref.]:[Check Periodo Ref.]]="Dentro",DATOS_[Conc.Sal.05]))))), 0)</f>
        <v>0</v>
      </c>
      <c r="K35" s="250" t="n">
        <f aca="false" t="array" ref="K35:K35">IFERROR( MEDIAN((IF(DATOS_[[Sexo]:[Sexo]]=$B35,IF(DATOS_[[AGRUP. CLAS. PROF.]:[AGRUP. CLAS. PROF.]]=$B33,IF(DATOS_[[Check Periodo Ref.]:[Check Periodo Ref.]]="Dentro",DATOS_[Conc.Sal.06]))))), 0)</f>
        <v>0</v>
      </c>
      <c r="L35" s="250" t="n">
        <f aca="false" t="array" ref="L35:L35">IFERROR( MEDIAN((IF(DATOS_[[Sexo]:[Sexo]]=$B35,IF(DATOS_[[AGRUP. CLAS. PROF.]:[AGRUP. CLAS. PROF.]]=$B33,IF(DATOS_[[Check Periodo Ref.]:[Check Periodo Ref.]]="Dentro",DATOS_[Conc.Sal.07]))))), 0)</f>
        <v>0</v>
      </c>
      <c r="M35" s="250" t="n">
        <f aca="false" t="array" ref="M35:M35">IFERROR( MEDIAN((IF(DATOS_[[Sexo]:[Sexo]]=$B35,IF(DATOS_[[AGRUP. CLAS. PROF.]:[AGRUP. CLAS. PROF.]]=$B33,IF(DATOS_[[Check Periodo Ref.]:[Check Periodo Ref.]]="Dentro",DATOS_[Conc.Sal.08]))))), 0)</f>
        <v>0</v>
      </c>
      <c r="N35" s="250" t="n">
        <f aca="false" t="array" ref="N35:N35">IFERROR( MEDIAN((IF(DATOS_[[Sexo]:[Sexo]]=$B35,IF(DATOS_[[AGRUP. CLAS. PROF.]:[AGRUP. CLAS. PROF.]]=$B33,IF(DATOS_[[Check Periodo Ref.]:[Check Periodo Ref.]]="Dentro",DATOS_[Conc.Sal.09]))))), 0)</f>
        <v>0</v>
      </c>
      <c r="O35" s="250" t="n">
        <f aca="false" t="array" ref="O35:O35">IFERROR( MEDIAN((IF(DATOS_[[Sexo]:[Sexo]]=$B35,IF(DATOS_[[AGRUP. CLAS. PROF.]:[AGRUP. CLAS. PROF.]]=$B33,IF(DATOS_[[Check Periodo Ref.]:[Check Periodo Ref.]]="Dentro",DATOS_[Conc.Sal.10]))))), 0)</f>
        <v>0</v>
      </c>
      <c r="P35" s="250" t="n">
        <f aca="false" t="array" ref="P35:P35">IFERROR( MEDIAN((IF(DATOS_[[Sexo]:[Sexo]]=$B35,IF(DATOS_[[AGRUP. CLAS. PROF.]:[AGRUP. CLAS. PROF.]]=$B33,IF(DATOS_[[Check Periodo Ref.]:[Check Periodo Ref.]]="Dentro",DATOS_[Conc.Sal.11]))))), 0)</f>
        <v>0</v>
      </c>
      <c r="Q35" s="250" t="n">
        <f aca="false" t="array" ref="Q35:Q35">IFERROR( MEDIAN((IF(DATOS_[[Sexo]:[Sexo]]=$B35,IF(DATOS_[[AGRUP. CLAS. PROF.]:[AGRUP. CLAS. PROF.]]=$B33,IF(DATOS_[[Check Periodo Ref.]:[Check Periodo Ref.]]="Dentro",DATOS_[Conc.Sal.12]))))), 0)</f>
        <v>0</v>
      </c>
      <c r="R35" s="250" t="n">
        <f aca="false" t="array" ref="R35:R35">IFERROR( MEDIAN((IF(DATOS_[[Sexo]:[Sexo]]=$B35,IF(DATOS_[[AGRUP. CLAS. PROF.]:[AGRUP. CLAS. PROF.]]=$B33,IF(DATOS_[[Check Periodo Ref.]:[Check Periodo Ref.]]="Dentro",DATOS_[Conc.Sal.13]))))), 0)</f>
        <v>0</v>
      </c>
      <c r="S35" s="250" t="n">
        <f aca="false" t="array" ref="S35:S35">IFERROR( MEDIAN((IF(DATOS_[[Sexo]:[Sexo]]=$B35,IF(DATOS_[[AGRUP. CLAS. PROF.]:[AGRUP. CLAS. PROF.]]=$B33,IF(DATOS_[[Check Periodo Ref.]:[Check Periodo Ref.]]="Dentro",DATOS_[Conc.Sal.14]))))), 0)</f>
        <v>0</v>
      </c>
      <c r="T35" s="250" t="n">
        <f aca="false" t="array" ref="T35:T35">IFERROR( MEDIAN((IF(DATOS_[[Sexo]:[Sexo]]=$B35,IF(DATOS_[[AGRUP. CLAS. PROF.]:[AGRUP. CLAS. PROF.]]=$B33,IF(DATOS_[[Check Periodo Ref.]:[Check Periodo Ref.]]="Dentro",DATOS_[Conc.Sal.15]))))), 0)</f>
        <v>0</v>
      </c>
      <c r="U35" s="250" t="n">
        <f aca="false" t="array" ref="U35:U35">IFERROR( MEDIAN((IF(DATOS_[[Sexo]:[Sexo]]=$B35,IF(DATOS_[[AGRUP. CLAS. PROF.]:[AGRUP. CLAS. PROF.]]=$B33,IF(DATOS_[[Check Periodo Ref.]:[Check Periodo Ref.]]="Dentro",DATOS_[Conc.Sal.16]))))), 0)</f>
        <v>0</v>
      </c>
      <c r="V35" s="250" t="n">
        <f aca="false" t="array" ref="V35:V35">IFERROR( MEDIAN((IF(DATOS_[[Sexo]:[Sexo]]=$B35,IF(DATOS_[[AGRUP. CLAS. PROF.]:[AGRUP. CLAS. PROF.]]=$B33,IF(DATOS_[[Check Periodo Ref.]:[Check Periodo Ref.]]="Dentro",DATOS_[Conc.Sal.17]))))), 0)</f>
        <v>0</v>
      </c>
      <c r="W35" s="250" t="n">
        <f aca="false" t="array" ref="W35:W35">IFERROR( MEDIAN((IF(DATOS_[[Sexo]:[Sexo]]=$B35,IF(DATOS_[[AGRUP. CLAS. PROF.]:[AGRUP. CLAS. PROF.]]=$B33,IF(DATOS_[[Check Periodo Ref.]:[Check Periodo Ref.]]="Dentro",DATOS_[Conc.Sal.18]))))), 0)</f>
        <v>0</v>
      </c>
      <c r="X35" s="250" t="n">
        <f aca="false" t="array" ref="X35:X35">IFERROR( MEDIAN((IF(DATOS_[[Sexo]:[Sexo]]=$B35,IF(DATOS_[[AGRUP. CLAS. PROF.]:[AGRUP. CLAS. PROF.]]=$B33,IF(DATOS_[[Check Periodo Ref.]:[Check Periodo Ref.]]="Dentro",DATOS_[Conc.Sal.19]))))), 0)</f>
        <v>0</v>
      </c>
      <c r="Y35" s="250" t="n">
        <f aca="false" t="array" ref="Y35:Y35">IFERROR( MEDIAN((IF(DATOS_[[Sexo]:[Sexo]]=$B35,IF(DATOS_[[AGRUP. CLAS. PROF.]:[AGRUP. CLAS. PROF.]]=$B33,IF(DATOS_[[Check Periodo Ref.]:[Check Periodo Ref.]]="Dentro",DATOS_[Conc.Sal.20]))))), 0)</f>
        <v>0</v>
      </c>
      <c r="Z35" s="250" t="n">
        <f aca="false" t="array" ref="Z35:Z35">IFERROR( MEDIAN((IF(DATOS_[[Sexo]:[Sexo]]=$B35,IF(DATOS_[[AGRUP. CLAS. PROF.]:[AGRUP. CLAS. PROF.]]=$B33,IF(DATOS_[[Check Periodo Ref.]:[Check Periodo Ref.]]="Dentro",DATOS_[Conc.Sal.21]))))), 0)</f>
        <v>0</v>
      </c>
      <c r="AA35" s="250" t="n">
        <f aca="false" t="array" ref="AA35:AA35">IFERROR( MEDIAN((IF(DATOS_[[Sexo]:[Sexo]]=$B35,IF(DATOS_[[AGRUP. CLAS. PROF.]:[AGRUP. CLAS. PROF.]]=$B33,IF(DATOS_[[Check Periodo Ref.]:[Check Periodo Ref.]]="Dentro",DATOS_[Conc.Sal.22]))))), 0)</f>
        <v>0</v>
      </c>
      <c r="AB35" s="250" t="n">
        <f aca="false" t="array" ref="AB35:AB35">IFERROR( MEDIAN((IF(DATOS_[[Sexo]:[Sexo]]=$B35,IF(DATOS_[[AGRUP. CLAS. PROF.]:[AGRUP. CLAS. PROF.]]=$B33,IF(DATOS_[[Check Periodo Ref.]:[Check Periodo Ref.]]="Dentro",DATOS_[Conc.Sal.23]))))), 0)</f>
        <v>0</v>
      </c>
      <c r="AC35" s="250" t="n">
        <f aca="false" t="array" ref="AC35:AC35">IFERROR( MEDIAN((IF(DATOS_[[Sexo]:[Sexo]]=$B35,IF(DATOS_[[AGRUP. CLAS. PROF.]:[AGRUP. CLAS. PROF.]]=$B33,IF(DATOS_[[Check Periodo Ref.]:[Check Periodo Ref.]]="Dentro",DATOS_[Conc.Sal.24]))))), 0)</f>
        <v>0</v>
      </c>
      <c r="AD35" s="250" t="n">
        <f aca="false" t="array" ref="AD35:AD35">IFERROR( MEDIAN((IF(DATOS_[[Sexo]:[Sexo]]=$B35,IF(DATOS_[[AGRUP. CLAS. PROF.]:[AGRUP. CLAS. PROF.]]=$B33,IF(DATOS_[[Check Periodo Ref.]:[Check Periodo Ref.]]="Dentro",DATOS_[Conc.Sal.25]))))), 0)</f>
        <v>0</v>
      </c>
      <c r="AE35" s="250" t="n">
        <f aca="false" t="array" ref="AE35:AE35">IFERROR( MEDIAN((IF(DATOS_[[Sexo]:[Sexo]]=$B35,IF(DATOS_[[AGRUP. CLAS. PROF.]:[AGRUP. CLAS. PROF.]]=$B33,IF(DATOS_[[Check Periodo Ref.]:[Check Periodo Ref.]]="Dentro",DATOS_[Conc.Sal.26]))))), 0)</f>
        <v>0</v>
      </c>
      <c r="AF35" s="250" t="n">
        <f aca="false" t="array" ref="AF35:AF35">IFERROR( MEDIAN((IF(DATOS_[[Sexo]:[Sexo]]=$B35,IF(DATOS_[[AGRUP. CLAS. PROF.]:[AGRUP. CLAS. PROF.]]=$B33,IF(DATOS_[[Check Periodo Ref.]:[Check Periodo Ref.]]="Dentro",DATOS_[Conc.Sal.27]))))), 0)</f>
        <v>0</v>
      </c>
      <c r="AG35" s="250" t="n">
        <f aca="false" t="array" ref="AG35:AG35">IFERROR( MEDIAN((IF(DATOS_[[Sexo]:[Sexo]]=$B35,IF(DATOS_[[AGRUP. CLAS. PROF.]:[AGRUP. CLAS. PROF.]]=$B33,IF(DATOS_[[Check Periodo Ref.]:[Check Periodo Ref.]]="Dentro",DATOS_[Conc.Sal.28]))))), 0)</f>
        <v>0</v>
      </c>
      <c r="AH35" s="250" t="n">
        <f aca="false" t="array" ref="AH35:AH35">IFERROR( MEDIAN((IF(DATOS_[[Sexo]:[Sexo]]=$B35,IF(DATOS_[[AGRUP. CLAS. PROF.]:[AGRUP. CLAS. PROF.]]=$B33,IF(DATOS_[[Check Periodo Ref.]:[Check Periodo Ref.]]="Dentro",DATOS_[Conc.Sal.29]))))), 0)</f>
        <v>0</v>
      </c>
      <c r="AI35" s="250" t="n">
        <f aca="false" t="array" ref="AI35:AI35">IFERROR( MEDIAN((IF(DATOS_[[Sexo]:[Sexo]]=$B35,IF(DATOS_[[AGRUP. CLAS. PROF.]:[AGRUP. CLAS. PROF.]]=$B33,IF(DATOS_[[Check Periodo Ref.]:[Check Periodo Ref.]]="Dentro",DATOS_[Conc.Sal.30]))))), 0)</f>
        <v>0</v>
      </c>
      <c r="AJ35" s="251" t="n">
        <f aca="false" t="array" ref="AJ35:AJ35">IFERROR( MEDIAN(IF(DATOS_[Sexo]=$B35,IF(DATOS_[AGRUP. CLAS. PROF.]=$B33,IF(DATOS_[Check Periodo Ref.]="Dentro",DATOS_[Tot COMPL.SAL Ef],0)))), 0)</f>
        <v>0</v>
      </c>
      <c r="AK35" s="252" t="n">
        <f aca="false" t="array" ref="AK35:AK35">IFERROR( MEDIAN(IF(DATOS_[Sexo]=$B35,IF(DATOS_[AGRUP. CLAS. PROF.]=$B33,IF(DATOS_[Check Periodo Ref.]="Dentro",DATOS_[TOTAL SALARIO Ef],0)))), 0)</f>
        <v>0</v>
      </c>
      <c r="AL35" s="259" t="n">
        <f aca="false" t="array" ref="AL35:AL35">IFERROR( MEDIAN((IF(DATOS_[[Sexo]:[Sexo]]=$B35,IF(DATOS_[[AGRUP. CLAS. PROF.]:[AGRUP. CLAS. PROF.]]=$B33,IF(DATOS_[[Check Periodo Ref.]:[Check Periodo Ref.]]="Dentro",DATOS_[C.Extra.01]))))), 0)</f>
        <v>0</v>
      </c>
      <c r="AM35" s="259" t="n">
        <f aca="false" t="array" ref="AM35:AM35">IFERROR( MEDIAN((IF(DATOS_[[Sexo]:[Sexo]]=$B35,IF(DATOS_[[AGRUP. CLAS. PROF.]:[AGRUP. CLAS. PROF.]]=$B33,IF(DATOS_[[Check Periodo Ref.]:[Check Periodo Ref.]]="Dentro",DATOS_[C.Extra.02]))))), 0)</f>
        <v>0</v>
      </c>
      <c r="AN35" s="259" t="n">
        <f aca="false" t="array" ref="AN35:AN35">IFERROR( MEDIAN((IF(DATOS_[[Sexo]:[Sexo]]=$B35,IF(DATOS_[[AGRUP. CLAS. PROF.]:[AGRUP. CLAS. PROF.]]=$B33,IF(DATOS_[[Check Periodo Ref.]:[Check Periodo Ref.]]="Dentro",DATOS_[C.Extra.03]))))), 0)</f>
        <v>0</v>
      </c>
      <c r="AO35" s="259" t="n">
        <f aca="false" t="array" ref="AO35:AO35">IFERROR( MEDIAN((IF(DATOS_[[Sexo]:[Sexo]]=$B35,IF(DATOS_[[AGRUP. CLAS. PROF.]:[AGRUP. CLAS. PROF.]]=$B33,IF(DATOS_[[Check Periodo Ref.]:[Check Periodo Ref.]]="Dentro",DATOS_[C.Extra.04]))))), 0)</f>
        <v>0</v>
      </c>
      <c r="AP35" s="259" t="n">
        <f aca="false" t="array" ref="AP35:AP35">IFERROR( MEDIAN((IF(DATOS_[[Sexo]:[Sexo]]=$B35,IF(DATOS_[[AGRUP. CLAS. PROF.]:[AGRUP. CLAS. PROF.]]=$B33,IF(DATOS_[[Check Periodo Ref.]:[Check Periodo Ref.]]="Dentro",DATOS_[C.Extra.05]))))), 0)</f>
        <v>0</v>
      </c>
      <c r="AQ35" s="254" t="n">
        <f aca="false" t="array" ref="AQ35:AQ35">IFERROR( MEDIAN(IF(DATOS_[Sexo]=$B35,IF(DATOS_[AGRUP. CLAS. PROF.]=$B33,IF(DATOS_[Check Periodo Ref.]="Dentro",DATOS_[Tot Extrasalarial Ef],0)))), 0)</f>
        <v>0</v>
      </c>
      <c r="AR35" s="255" t="n">
        <f aca="false" t="array" ref="AR35:AR35">IFERROR( MEDIAN(IF(DATOS_[Sexo]=$B35,IF(DATOS_[AGRUP. CLAS. PROF.]=$B33,IF(DATOS_[Check Periodo Ref.]="Dentro",DATOS_[TOTAL Retrib Ef],0)))), 0)</f>
        <v>0</v>
      </c>
    </row>
    <row r="36" customFormat="false" ht="15.75" hidden="false" customHeight="false" outlineLevel="0" collapsed="false">
      <c r="A36" s="217" t="str">
        <f aca="false">+A37</f>
        <v>[ocultar]</v>
      </c>
      <c r="B36" s="235" t="s">
        <v>189</v>
      </c>
      <c r="C36" s="236"/>
      <c r="D36" s="237"/>
      <c r="E36" s="238" t="str">
        <f aca="false">IFERROR((E37-E38)/E37,"")</f>
        <v/>
      </c>
      <c r="F36" s="239" t="str">
        <f aca="false">IFERROR((F37-F38)/F37,"")</f>
        <v/>
      </c>
      <c r="G36" s="239" t="str">
        <f aca="false">IFERROR((G37-G38)/G37,"")</f>
        <v/>
      </c>
      <c r="H36" s="239" t="str">
        <f aca="false">IFERROR((H37-H38)/H37,"")</f>
        <v/>
      </c>
      <c r="I36" s="239"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40" t="str">
        <f aca="false">IFERROR((V37-V38)/V37,"")</f>
        <v/>
      </c>
      <c r="W36" s="240" t="str">
        <f aca="false">IFERROR((W37-W38)/W37,"")</f>
        <v/>
      </c>
      <c r="X36" s="240" t="str">
        <f aca="false">IFERROR((X37-X38)/X37,"")</f>
        <v/>
      </c>
      <c r="Y36" s="240"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1" t="str">
        <f aca="false">IFERROR((AJ37-AJ38)/AJ37,"")</f>
        <v/>
      </c>
      <c r="AK36" s="242" t="str">
        <f aca="false">IFERROR((AK37-AK38)/AK37,"")</f>
        <v/>
      </c>
      <c r="AL36" s="243" t="str">
        <f aca="false">IFERROR((AL37-AL38)/AL37,"")</f>
        <v/>
      </c>
      <c r="AM36" s="243" t="str">
        <f aca="false">IFERROR((AM37-AM38)/AM37,"")</f>
        <v/>
      </c>
      <c r="AN36" s="243" t="str">
        <f aca="false">IFERROR((AN37-AN38)/AN37,"")</f>
        <v/>
      </c>
      <c r="AO36" s="243" t="str">
        <f aca="false">IFERROR((AO37-AO38)/AO37,"")</f>
        <v/>
      </c>
      <c r="AP36" s="243" t="str">
        <f aca="false">IFERROR((AP37-AP38)/AP37,"")</f>
        <v/>
      </c>
      <c r="AQ36" s="244" t="str">
        <f aca="false">IFERROR((AQ37-AQ38)/AQ37,"")</f>
        <v/>
      </c>
      <c r="AR36" s="245" t="str">
        <f aca="false">IFERROR((AR37-AR38)/AR37,"")</f>
        <v/>
      </c>
    </row>
    <row r="37" customFormat="false" ht="14.25" hidden="false" customHeight="false" outlineLevel="0" collapsed="false">
      <c r="A37" s="217" t="str">
        <f aca="false">+IF(C37+C38=0,"[ocultar]","")</f>
        <v>[ocultar]</v>
      </c>
      <c r="B37" s="246" t="s">
        <v>371</v>
      </c>
      <c r="C37" s="247" t="n">
        <f aca="false" t="array" ref="C37:C37">SUM(IF($B37=DATOS_[Sexo], IF($B36=DATOS_[AGRUP. CLAS. PROF.], IF("Dentro"=DATOS_[Check Periodo Ref.], 1/(COUNTIFS(DATOS_[Sexo],$B37,DATOS_[AGRUP. CLAS. PROF.],$B36,DATOS_[Check Periodo Ref.],"Dentro",DATOS_[id],DATOS_[id]))))))</f>
        <v>0</v>
      </c>
      <c r="D37" s="248" t="n">
        <f aca="false">COUNTIFS(DATOS_[AGRUP. CLAS. PROF.],$B36,DATOS_[Sexo],$B37,DATOS_[Check Periodo Ref.],"Dentro")</f>
        <v>0</v>
      </c>
      <c r="E37" s="249" t="n">
        <f aca="false" t="array" ref="E37:E37">IFERROR( MEDIAN(IF(DATOS_[Sexo]=$B37,IF(DATOS_[AGRUP. CLAS. PROF.]=$B36,IF(DATOS_[Check Periodo Ref.]="Dentro",DATOS_[SALARIO BASE Ef],0)))), 0)</f>
        <v>0</v>
      </c>
      <c r="F37" s="250" t="n">
        <f aca="false" t="array" ref="F37:F37">IFERROR( MEDIAN((IF(DATOS_[[Sexo]:[Sexo]]=$B37,IF(DATOS_[[AGRUP. CLAS. PROF.]:[AGRUP. CLAS. PROF.]]=$B36,IF(DATOS_[[Check Periodo Ref.]:[Check Periodo Ref.]]="Dentro",DATOS_[Conc.Sal.01]))))), 0)</f>
        <v>0</v>
      </c>
      <c r="G37" s="250" t="n">
        <f aca="false" t="array" ref="G37:G37">IFERROR( MEDIAN((IF(DATOS_[[Sexo]:[Sexo]]=$B37,IF(DATOS_[[AGRUP. CLAS. PROF.]:[AGRUP. CLAS. PROF.]]=$B36,IF(DATOS_[[Check Periodo Ref.]:[Check Periodo Ref.]]="Dentro",DATOS_[Conc.Sal.02]))))), 0)</f>
        <v>0</v>
      </c>
      <c r="H37" s="250" t="n">
        <f aca="false" t="array" ref="H37:H37">IFERROR( MEDIAN((IF(DATOS_[[Sexo]:[Sexo]]=$B37,IF(DATOS_[[AGRUP. CLAS. PROF.]:[AGRUP. CLAS. PROF.]]=$B36,IF(DATOS_[[Check Periodo Ref.]:[Check Periodo Ref.]]="Dentro",DATOS_[Conc.Sal.03]))))), 0)</f>
        <v>0</v>
      </c>
      <c r="I37" s="250" t="n">
        <f aca="false" t="array" ref="I37:I37">IFERROR( MEDIAN((IF(DATOS_[[Sexo]:[Sexo]]=$B37,IF(DATOS_[[AGRUP. CLAS. PROF.]:[AGRUP. CLAS. PROF.]]=$B36,IF(DATOS_[[Check Periodo Ref.]:[Check Periodo Ref.]]="Dentro",DATOS_[Conc.Sal.04]))))), 0)</f>
        <v>0</v>
      </c>
      <c r="J37" s="250" t="n">
        <f aca="false" t="array" ref="J37:J37">IFERROR( MEDIAN((IF(DATOS_[[Sexo]:[Sexo]]=$B37,IF(DATOS_[[AGRUP. CLAS. PROF.]:[AGRUP. CLAS. PROF.]]=$B36,IF(DATOS_[[Check Periodo Ref.]:[Check Periodo Ref.]]="Dentro",DATOS_[Conc.Sal.05]))))), 0)</f>
        <v>0</v>
      </c>
      <c r="K37" s="250" t="n">
        <f aca="false" t="array" ref="K37:K37">IFERROR( MEDIAN((IF(DATOS_[[Sexo]:[Sexo]]=$B37,IF(DATOS_[[AGRUP. CLAS. PROF.]:[AGRUP. CLAS. PROF.]]=$B36,IF(DATOS_[[Check Periodo Ref.]:[Check Periodo Ref.]]="Dentro",DATOS_[Conc.Sal.06]))))), 0)</f>
        <v>0</v>
      </c>
      <c r="L37" s="250" t="n">
        <f aca="false" t="array" ref="L37:L37">IFERROR( MEDIAN((IF(DATOS_[[Sexo]:[Sexo]]=$B37,IF(DATOS_[[AGRUP. CLAS. PROF.]:[AGRUP. CLAS. PROF.]]=$B36,IF(DATOS_[[Check Periodo Ref.]:[Check Periodo Ref.]]="Dentro",DATOS_[Conc.Sal.07]))))), 0)</f>
        <v>0</v>
      </c>
      <c r="M37" s="250" t="n">
        <f aca="false" t="array" ref="M37:M37">IFERROR( MEDIAN((IF(DATOS_[[Sexo]:[Sexo]]=$B37,IF(DATOS_[[AGRUP. CLAS. PROF.]:[AGRUP. CLAS. PROF.]]=$B36,IF(DATOS_[[Check Periodo Ref.]:[Check Periodo Ref.]]="Dentro",DATOS_[Conc.Sal.08]))))), 0)</f>
        <v>0</v>
      </c>
      <c r="N37" s="250" t="n">
        <f aca="false" t="array" ref="N37:N37">IFERROR( MEDIAN((IF(DATOS_[[Sexo]:[Sexo]]=$B37,IF(DATOS_[[AGRUP. CLAS. PROF.]:[AGRUP. CLAS. PROF.]]=$B36,IF(DATOS_[[Check Periodo Ref.]:[Check Periodo Ref.]]="Dentro",DATOS_[Conc.Sal.09]))))), 0)</f>
        <v>0</v>
      </c>
      <c r="O37" s="250" t="n">
        <f aca="false" t="array" ref="O37:O37">IFERROR( MEDIAN((IF(DATOS_[[Sexo]:[Sexo]]=$B37,IF(DATOS_[[AGRUP. CLAS. PROF.]:[AGRUP. CLAS. PROF.]]=$B36,IF(DATOS_[[Check Periodo Ref.]:[Check Periodo Ref.]]="Dentro",DATOS_[Conc.Sal.10]))))), 0)</f>
        <v>0</v>
      </c>
      <c r="P37" s="250" t="n">
        <f aca="false" t="array" ref="P37:P37">IFERROR( MEDIAN((IF(DATOS_[[Sexo]:[Sexo]]=$B37,IF(DATOS_[[AGRUP. CLAS. PROF.]:[AGRUP. CLAS. PROF.]]=$B36,IF(DATOS_[[Check Periodo Ref.]:[Check Periodo Ref.]]="Dentro",DATOS_[Conc.Sal.11]))))), 0)</f>
        <v>0</v>
      </c>
      <c r="Q37" s="250" t="n">
        <f aca="false" t="array" ref="Q37:Q37">IFERROR( MEDIAN((IF(DATOS_[[Sexo]:[Sexo]]=$B37,IF(DATOS_[[AGRUP. CLAS. PROF.]:[AGRUP. CLAS. PROF.]]=$B36,IF(DATOS_[[Check Periodo Ref.]:[Check Periodo Ref.]]="Dentro",DATOS_[Conc.Sal.12]))))), 0)</f>
        <v>0</v>
      </c>
      <c r="R37" s="250" t="n">
        <f aca="false" t="array" ref="R37:R37">IFERROR( MEDIAN((IF(DATOS_[[Sexo]:[Sexo]]=$B37,IF(DATOS_[[AGRUP. CLAS. PROF.]:[AGRUP. CLAS. PROF.]]=$B36,IF(DATOS_[[Check Periodo Ref.]:[Check Periodo Ref.]]="Dentro",DATOS_[Conc.Sal.13]))))), 0)</f>
        <v>0</v>
      </c>
      <c r="S37" s="250" t="n">
        <f aca="false" t="array" ref="S37:S37">IFERROR( MEDIAN((IF(DATOS_[[Sexo]:[Sexo]]=$B37,IF(DATOS_[[AGRUP. CLAS. PROF.]:[AGRUP. CLAS. PROF.]]=$B36,IF(DATOS_[[Check Periodo Ref.]:[Check Periodo Ref.]]="Dentro",DATOS_[Conc.Sal.14]))))), 0)</f>
        <v>0</v>
      </c>
      <c r="T37" s="250" t="n">
        <f aca="false" t="array" ref="T37:T37">IFERROR( MEDIAN((IF(DATOS_[[Sexo]:[Sexo]]=$B37,IF(DATOS_[[AGRUP. CLAS. PROF.]:[AGRUP. CLAS. PROF.]]=$B36,IF(DATOS_[[Check Periodo Ref.]:[Check Periodo Ref.]]="Dentro",DATOS_[Conc.Sal.15]))))), 0)</f>
        <v>0</v>
      </c>
      <c r="U37" s="250" t="n">
        <f aca="false" t="array" ref="U37:U37">IFERROR( MEDIAN((IF(DATOS_[[Sexo]:[Sexo]]=$B37,IF(DATOS_[[AGRUP. CLAS. PROF.]:[AGRUP. CLAS. PROF.]]=$B36,IF(DATOS_[[Check Periodo Ref.]:[Check Periodo Ref.]]="Dentro",DATOS_[Conc.Sal.16]))))), 0)</f>
        <v>0</v>
      </c>
      <c r="V37" s="250" t="n">
        <f aca="false" t="array" ref="V37:V37">IFERROR( MEDIAN((IF(DATOS_[[Sexo]:[Sexo]]=$B37,IF(DATOS_[[AGRUP. CLAS. PROF.]:[AGRUP. CLAS. PROF.]]=$B36,IF(DATOS_[[Check Periodo Ref.]:[Check Periodo Ref.]]="Dentro",DATOS_[Conc.Sal.17]))))), 0)</f>
        <v>0</v>
      </c>
      <c r="W37" s="250" t="n">
        <f aca="false" t="array" ref="W37:W37">IFERROR( MEDIAN((IF(DATOS_[[Sexo]:[Sexo]]=$B37,IF(DATOS_[[AGRUP. CLAS. PROF.]:[AGRUP. CLAS. PROF.]]=$B36,IF(DATOS_[[Check Periodo Ref.]:[Check Periodo Ref.]]="Dentro",DATOS_[Conc.Sal.18]))))), 0)</f>
        <v>0</v>
      </c>
      <c r="X37" s="250" t="n">
        <f aca="false" t="array" ref="X37:X37">IFERROR( MEDIAN((IF(DATOS_[[Sexo]:[Sexo]]=$B37,IF(DATOS_[[AGRUP. CLAS. PROF.]:[AGRUP. CLAS. PROF.]]=$B36,IF(DATOS_[[Check Periodo Ref.]:[Check Periodo Ref.]]="Dentro",DATOS_[Conc.Sal.19]))))), 0)</f>
        <v>0</v>
      </c>
      <c r="Y37" s="250" t="n">
        <f aca="false" t="array" ref="Y37:Y37">IFERROR( MEDIAN((IF(DATOS_[[Sexo]:[Sexo]]=$B37,IF(DATOS_[[AGRUP. CLAS. PROF.]:[AGRUP. CLAS. PROF.]]=$B36,IF(DATOS_[[Check Periodo Ref.]:[Check Periodo Ref.]]="Dentro",DATOS_[Conc.Sal.20]))))), 0)</f>
        <v>0</v>
      </c>
      <c r="Z37" s="250" t="n">
        <f aca="false" t="array" ref="Z37:Z37">IFERROR( MEDIAN((IF(DATOS_[[Sexo]:[Sexo]]=$B37,IF(DATOS_[[AGRUP. CLAS. PROF.]:[AGRUP. CLAS. PROF.]]=$B36,IF(DATOS_[[Check Periodo Ref.]:[Check Periodo Ref.]]="Dentro",DATOS_[Conc.Sal.21]))))), 0)</f>
        <v>0</v>
      </c>
      <c r="AA37" s="250" t="n">
        <f aca="false" t="array" ref="AA37:AA37">IFERROR( MEDIAN((IF(DATOS_[[Sexo]:[Sexo]]=$B37,IF(DATOS_[[AGRUP. CLAS. PROF.]:[AGRUP. CLAS. PROF.]]=$B36,IF(DATOS_[[Check Periodo Ref.]:[Check Periodo Ref.]]="Dentro",DATOS_[Conc.Sal.22]))))), 0)</f>
        <v>0</v>
      </c>
      <c r="AB37" s="250" t="n">
        <f aca="false" t="array" ref="AB37:AB37">IFERROR( MEDIAN((IF(DATOS_[[Sexo]:[Sexo]]=$B37,IF(DATOS_[[AGRUP. CLAS. PROF.]:[AGRUP. CLAS. PROF.]]=$B36,IF(DATOS_[[Check Periodo Ref.]:[Check Periodo Ref.]]="Dentro",DATOS_[Conc.Sal.23]))))), 0)</f>
        <v>0</v>
      </c>
      <c r="AC37" s="250" t="n">
        <f aca="false" t="array" ref="AC37:AC37">IFERROR( MEDIAN((IF(DATOS_[[Sexo]:[Sexo]]=$B37,IF(DATOS_[[AGRUP. CLAS. PROF.]:[AGRUP. CLAS. PROF.]]=$B36,IF(DATOS_[[Check Periodo Ref.]:[Check Periodo Ref.]]="Dentro",DATOS_[Conc.Sal.24]))))), 0)</f>
        <v>0</v>
      </c>
      <c r="AD37" s="250" t="n">
        <f aca="false" t="array" ref="AD37:AD37">IFERROR( MEDIAN((IF(DATOS_[[Sexo]:[Sexo]]=$B37,IF(DATOS_[[AGRUP. CLAS. PROF.]:[AGRUP. CLAS. PROF.]]=$B36,IF(DATOS_[[Check Periodo Ref.]:[Check Periodo Ref.]]="Dentro",DATOS_[Conc.Sal.25]))))), 0)</f>
        <v>0</v>
      </c>
      <c r="AE37" s="250" t="n">
        <f aca="false" t="array" ref="AE37:AE37">IFERROR( MEDIAN((IF(DATOS_[[Sexo]:[Sexo]]=$B37,IF(DATOS_[[AGRUP. CLAS. PROF.]:[AGRUP. CLAS. PROF.]]=$B36,IF(DATOS_[[Check Periodo Ref.]:[Check Periodo Ref.]]="Dentro",DATOS_[Conc.Sal.26]))))), 0)</f>
        <v>0</v>
      </c>
      <c r="AF37" s="250" t="n">
        <f aca="false" t="array" ref="AF37:AF37">IFERROR( MEDIAN((IF(DATOS_[[Sexo]:[Sexo]]=$B37,IF(DATOS_[[AGRUP. CLAS. PROF.]:[AGRUP. CLAS. PROF.]]=$B36,IF(DATOS_[[Check Periodo Ref.]:[Check Periodo Ref.]]="Dentro",DATOS_[Conc.Sal.27]))))), 0)</f>
        <v>0</v>
      </c>
      <c r="AG37" s="250" t="n">
        <f aca="false" t="array" ref="AG37:AG37">IFERROR( MEDIAN((IF(DATOS_[[Sexo]:[Sexo]]=$B37,IF(DATOS_[[AGRUP. CLAS. PROF.]:[AGRUP. CLAS. PROF.]]=$B36,IF(DATOS_[[Check Periodo Ref.]:[Check Periodo Ref.]]="Dentro",DATOS_[Conc.Sal.28]))))), 0)</f>
        <v>0</v>
      </c>
      <c r="AH37" s="250" t="n">
        <f aca="false" t="array" ref="AH37:AH37">IFERROR( MEDIAN((IF(DATOS_[[Sexo]:[Sexo]]=$B37,IF(DATOS_[[AGRUP. CLAS. PROF.]:[AGRUP. CLAS. PROF.]]=$B36,IF(DATOS_[[Check Periodo Ref.]:[Check Periodo Ref.]]="Dentro",DATOS_[Conc.Sal.29]))))), 0)</f>
        <v>0</v>
      </c>
      <c r="AI37" s="250" t="n">
        <f aca="false" t="array" ref="AI37:AI37">IFERROR( MEDIAN((IF(DATOS_[[Sexo]:[Sexo]]=$B37,IF(DATOS_[[AGRUP. CLAS. PROF.]:[AGRUP. CLAS. PROF.]]=$B36,IF(DATOS_[[Check Periodo Ref.]:[Check Periodo Ref.]]="Dentro",DATOS_[Conc.Sal.30]))))), 0)</f>
        <v>0</v>
      </c>
      <c r="AJ37" s="251" t="n">
        <f aca="false" t="array" ref="AJ37:AJ37">IFERROR( MEDIAN(IF(DATOS_[Sexo]=$B37,IF(DATOS_[AGRUP. CLAS. PROF.]=$B36,IF(DATOS_[Check Periodo Ref.]="Dentro",DATOS_[Tot COMPL.SAL Ef],0)))), 0)</f>
        <v>0</v>
      </c>
      <c r="AK37" s="252" t="n">
        <f aca="false" t="array" ref="AK37:AK37">IFERROR( MEDIAN(IF(DATOS_[Sexo]=$B37,IF(DATOS_[AGRUP. CLAS. PROF.]=$B36,IF(DATOS_[Check Periodo Ref.]="Dentro",DATOS_[TOTAL SALARIO Ef],0)))), 0)</f>
        <v>0</v>
      </c>
      <c r="AL37" s="259" t="n">
        <f aca="false" t="array" ref="AL37:AL37">IFERROR( MEDIAN((IF(DATOS_[[Sexo]:[Sexo]]=$B37,IF(DATOS_[[AGRUP. CLAS. PROF.]:[AGRUP. CLAS. PROF.]]=$B36,IF(DATOS_[[Check Periodo Ref.]:[Check Periodo Ref.]]="Dentro",DATOS_[C.Extra.01]))))), 0)</f>
        <v>0</v>
      </c>
      <c r="AM37" s="259" t="n">
        <f aca="false" t="array" ref="AM37:AM37">IFERROR( MEDIAN((IF(DATOS_[[Sexo]:[Sexo]]=$B37,IF(DATOS_[[AGRUP. CLAS. PROF.]:[AGRUP. CLAS. PROF.]]=$B36,IF(DATOS_[[Check Periodo Ref.]:[Check Periodo Ref.]]="Dentro",DATOS_[C.Extra.02]))))), 0)</f>
        <v>0</v>
      </c>
      <c r="AN37" s="259" t="n">
        <f aca="false" t="array" ref="AN37:AN37">IFERROR( MEDIAN((IF(DATOS_[[Sexo]:[Sexo]]=$B37,IF(DATOS_[[AGRUP. CLAS. PROF.]:[AGRUP. CLAS. PROF.]]=$B36,IF(DATOS_[[Check Periodo Ref.]:[Check Periodo Ref.]]="Dentro",DATOS_[C.Extra.03]))))), 0)</f>
        <v>0</v>
      </c>
      <c r="AO37" s="259" t="n">
        <f aca="false" t="array" ref="AO37:AO37">IFERROR( MEDIAN((IF(DATOS_[[Sexo]:[Sexo]]=$B37,IF(DATOS_[[AGRUP. CLAS. PROF.]:[AGRUP. CLAS. PROF.]]=$B36,IF(DATOS_[[Check Periodo Ref.]:[Check Periodo Ref.]]="Dentro",DATOS_[C.Extra.04]))))), 0)</f>
        <v>0</v>
      </c>
      <c r="AP37" s="259" t="n">
        <f aca="false" t="array" ref="AP37:AP37">IFERROR( MEDIAN((IF(DATOS_[[Sexo]:[Sexo]]=$B37,IF(DATOS_[[AGRUP. CLAS. PROF.]:[AGRUP. CLAS. PROF.]]=$B36,IF(DATOS_[[Check Periodo Ref.]:[Check Periodo Ref.]]="Dentro",DATOS_[C.Extra.05]))))), 0)</f>
        <v>0</v>
      </c>
      <c r="AQ37" s="254" t="n">
        <f aca="false" t="array" ref="AQ37:AQ37">IFERROR( MEDIAN(IF(DATOS_[Sexo]=$B37,IF(DATOS_[AGRUP. CLAS. PROF.]=$B36,IF(DATOS_[Check Periodo Ref.]="Dentro",DATOS_[Tot Extrasalarial Ef],0)))), 0)</f>
        <v>0</v>
      </c>
      <c r="AR37" s="255" t="n">
        <f aca="false" t="array" ref="AR37:AR37">IFERROR( MEDIAN(IF(DATOS_[Sexo]=$B37,IF(DATOS_[AGRUP. CLAS. PROF.]=$B36,IF(DATOS_[Check Periodo Ref.]="Dentro",DATOS_[TOTAL Retrib Ef],0)))), 0)</f>
        <v>0</v>
      </c>
    </row>
    <row r="38" customFormat="false" ht="14.25" hidden="false" customHeight="false" outlineLevel="0" collapsed="false">
      <c r="A38" s="217" t="str">
        <f aca="false">+A37</f>
        <v>[ocultar]</v>
      </c>
      <c r="B38" s="246" t="s">
        <v>372</v>
      </c>
      <c r="C38" s="247" t="n">
        <f aca="false" t="array" ref="C38:C38">SUM(IF($B38=DATOS_[Sexo], IF($B36=DATOS_[AGRUP. CLAS. PROF.], IF("Dentro"=DATOS_[Check Periodo Ref.], 1/(COUNTIFS(DATOS_[Sexo],$B38,DATOS_[AGRUP. CLAS. PROF.],$B36,DATOS_[Check Periodo Ref.],"Dentro",DATOS_[id],DATOS_[id]))))))</f>
        <v>0</v>
      </c>
      <c r="D38" s="248" t="n">
        <f aca="false">COUNTIFS(DATOS_[AGRUP. CLAS. PROF.],$B36,DATOS_[Sexo],$B38,DATOS_[Check Periodo Ref.],"Dentro")</f>
        <v>0</v>
      </c>
      <c r="E38" s="249" t="n">
        <f aca="false" t="array" ref="E38:E38">IFERROR( MEDIAN(IF(DATOS_[Sexo]=$B38,IF(DATOS_[AGRUP. CLAS. PROF.]=$B36,IF(DATOS_[Check Periodo Ref.]="Dentro",DATOS_[SALARIO BASE Ef],0)))), 0)</f>
        <v>0</v>
      </c>
      <c r="F38" s="250" t="n">
        <f aca="false" t="array" ref="F38:F38">IFERROR( MEDIAN((IF(DATOS_[[Sexo]:[Sexo]]=$B38,IF(DATOS_[[AGRUP. CLAS. PROF.]:[AGRUP. CLAS. PROF.]]=$B36,IF(DATOS_[[Check Periodo Ref.]:[Check Periodo Ref.]]="Dentro",DATOS_[Conc.Sal.01]))))), 0)</f>
        <v>0</v>
      </c>
      <c r="G38" s="250" t="n">
        <f aca="false" t="array" ref="G38:G38">IFERROR( MEDIAN((IF(DATOS_[[Sexo]:[Sexo]]=$B38,IF(DATOS_[[AGRUP. CLAS. PROF.]:[AGRUP. CLAS. PROF.]]=$B36,IF(DATOS_[[Check Periodo Ref.]:[Check Periodo Ref.]]="Dentro",DATOS_[Conc.Sal.02]))))), 0)</f>
        <v>0</v>
      </c>
      <c r="H38" s="250" t="n">
        <f aca="false" t="array" ref="H38:H38">IFERROR( MEDIAN((IF(DATOS_[[Sexo]:[Sexo]]=$B38,IF(DATOS_[[AGRUP. CLAS. PROF.]:[AGRUP. CLAS. PROF.]]=$B36,IF(DATOS_[[Check Periodo Ref.]:[Check Periodo Ref.]]="Dentro",DATOS_[Conc.Sal.03]))))), 0)</f>
        <v>0</v>
      </c>
      <c r="I38" s="250" t="n">
        <f aca="false" t="array" ref="I38:I38">IFERROR( MEDIAN((IF(DATOS_[[Sexo]:[Sexo]]=$B38,IF(DATOS_[[AGRUP. CLAS. PROF.]:[AGRUP. CLAS. PROF.]]=$B36,IF(DATOS_[[Check Periodo Ref.]:[Check Periodo Ref.]]="Dentro",DATOS_[Conc.Sal.04]))))), 0)</f>
        <v>0</v>
      </c>
      <c r="J38" s="250" t="n">
        <f aca="false" t="array" ref="J38:J38">IFERROR( MEDIAN((IF(DATOS_[[Sexo]:[Sexo]]=$B38,IF(DATOS_[[AGRUP. CLAS. PROF.]:[AGRUP. CLAS. PROF.]]=$B36,IF(DATOS_[[Check Periodo Ref.]:[Check Periodo Ref.]]="Dentro",DATOS_[Conc.Sal.05]))))), 0)</f>
        <v>0</v>
      </c>
      <c r="K38" s="250" t="n">
        <f aca="false" t="array" ref="K38:K38">IFERROR( MEDIAN((IF(DATOS_[[Sexo]:[Sexo]]=$B38,IF(DATOS_[[AGRUP. CLAS. PROF.]:[AGRUP. CLAS. PROF.]]=$B36,IF(DATOS_[[Check Periodo Ref.]:[Check Periodo Ref.]]="Dentro",DATOS_[Conc.Sal.06]))))), 0)</f>
        <v>0</v>
      </c>
      <c r="L38" s="250" t="n">
        <f aca="false" t="array" ref="L38:L38">IFERROR( MEDIAN((IF(DATOS_[[Sexo]:[Sexo]]=$B38,IF(DATOS_[[AGRUP. CLAS. PROF.]:[AGRUP. CLAS. PROF.]]=$B36,IF(DATOS_[[Check Periodo Ref.]:[Check Periodo Ref.]]="Dentro",DATOS_[Conc.Sal.07]))))), 0)</f>
        <v>0</v>
      </c>
      <c r="M38" s="250" t="n">
        <f aca="false" t="array" ref="M38:M38">IFERROR( MEDIAN((IF(DATOS_[[Sexo]:[Sexo]]=$B38,IF(DATOS_[[AGRUP. CLAS. PROF.]:[AGRUP. CLAS. PROF.]]=$B36,IF(DATOS_[[Check Periodo Ref.]:[Check Periodo Ref.]]="Dentro",DATOS_[Conc.Sal.08]))))), 0)</f>
        <v>0</v>
      </c>
      <c r="N38" s="250" t="n">
        <f aca="false" t="array" ref="N38:N38">IFERROR( MEDIAN((IF(DATOS_[[Sexo]:[Sexo]]=$B38,IF(DATOS_[[AGRUP. CLAS. PROF.]:[AGRUP. CLAS. PROF.]]=$B36,IF(DATOS_[[Check Periodo Ref.]:[Check Periodo Ref.]]="Dentro",DATOS_[Conc.Sal.09]))))), 0)</f>
        <v>0</v>
      </c>
      <c r="O38" s="250" t="n">
        <f aca="false" t="array" ref="O38:O38">IFERROR( MEDIAN((IF(DATOS_[[Sexo]:[Sexo]]=$B38,IF(DATOS_[[AGRUP. CLAS. PROF.]:[AGRUP. CLAS. PROF.]]=$B36,IF(DATOS_[[Check Periodo Ref.]:[Check Periodo Ref.]]="Dentro",DATOS_[Conc.Sal.10]))))), 0)</f>
        <v>0</v>
      </c>
      <c r="P38" s="250" t="n">
        <f aca="false" t="array" ref="P38:P38">IFERROR( MEDIAN((IF(DATOS_[[Sexo]:[Sexo]]=$B38,IF(DATOS_[[AGRUP. CLAS. PROF.]:[AGRUP. CLAS. PROF.]]=$B36,IF(DATOS_[[Check Periodo Ref.]:[Check Periodo Ref.]]="Dentro",DATOS_[Conc.Sal.11]))))), 0)</f>
        <v>0</v>
      </c>
      <c r="Q38" s="250" t="n">
        <f aca="false" t="array" ref="Q38:Q38">IFERROR( MEDIAN((IF(DATOS_[[Sexo]:[Sexo]]=$B38,IF(DATOS_[[AGRUP. CLAS. PROF.]:[AGRUP. CLAS. PROF.]]=$B36,IF(DATOS_[[Check Periodo Ref.]:[Check Periodo Ref.]]="Dentro",DATOS_[Conc.Sal.12]))))), 0)</f>
        <v>0</v>
      </c>
      <c r="R38" s="250" t="n">
        <f aca="false" t="array" ref="R38:R38">IFERROR( MEDIAN((IF(DATOS_[[Sexo]:[Sexo]]=$B38,IF(DATOS_[[AGRUP. CLAS. PROF.]:[AGRUP. CLAS. PROF.]]=$B36,IF(DATOS_[[Check Periodo Ref.]:[Check Periodo Ref.]]="Dentro",DATOS_[Conc.Sal.13]))))), 0)</f>
        <v>0</v>
      </c>
      <c r="S38" s="250" t="n">
        <f aca="false" t="array" ref="S38:S38">IFERROR( MEDIAN((IF(DATOS_[[Sexo]:[Sexo]]=$B38,IF(DATOS_[[AGRUP. CLAS. PROF.]:[AGRUP. CLAS. PROF.]]=$B36,IF(DATOS_[[Check Periodo Ref.]:[Check Periodo Ref.]]="Dentro",DATOS_[Conc.Sal.14]))))), 0)</f>
        <v>0</v>
      </c>
      <c r="T38" s="250" t="n">
        <f aca="false" t="array" ref="T38:T38">IFERROR( MEDIAN((IF(DATOS_[[Sexo]:[Sexo]]=$B38,IF(DATOS_[[AGRUP. CLAS. PROF.]:[AGRUP. CLAS. PROF.]]=$B36,IF(DATOS_[[Check Periodo Ref.]:[Check Periodo Ref.]]="Dentro",DATOS_[Conc.Sal.15]))))), 0)</f>
        <v>0</v>
      </c>
      <c r="U38" s="250" t="n">
        <f aca="false" t="array" ref="U38:U38">IFERROR( MEDIAN((IF(DATOS_[[Sexo]:[Sexo]]=$B38,IF(DATOS_[[AGRUP. CLAS. PROF.]:[AGRUP. CLAS. PROF.]]=$B36,IF(DATOS_[[Check Periodo Ref.]:[Check Periodo Ref.]]="Dentro",DATOS_[Conc.Sal.16]))))), 0)</f>
        <v>0</v>
      </c>
      <c r="V38" s="250" t="n">
        <f aca="false" t="array" ref="V38:V38">IFERROR( MEDIAN((IF(DATOS_[[Sexo]:[Sexo]]=$B38,IF(DATOS_[[AGRUP. CLAS. PROF.]:[AGRUP. CLAS. PROF.]]=$B36,IF(DATOS_[[Check Periodo Ref.]:[Check Periodo Ref.]]="Dentro",DATOS_[Conc.Sal.17]))))), 0)</f>
        <v>0</v>
      </c>
      <c r="W38" s="250" t="n">
        <f aca="false" t="array" ref="W38:W38">IFERROR( MEDIAN((IF(DATOS_[[Sexo]:[Sexo]]=$B38,IF(DATOS_[[AGRUP. CLAS. PROF.]:[AGRUP. CLAS. PROF.]]=$B36,IF(DATOS_[[Check Periodo Ref.]:[Check Periodo Ref.]]="Dentro",DATOS_[Conc.Sal.18]))))), 0)</f>
        <v>0</v>
      </c>
      <c r="X38" s="250" t="n">
        <f aca="false" t="array" ref="X38:X38">IFERROR( MEDIAN((IF(DATOS_[[Sexo]:[Sexo]]=$B38,IF(DATOS_[[AGRUP. CLAS. PROF.]:[AGRUP. CLAS. PROF.]]=$B36,IF(DATOS_[[Check Periodo Ref.]:[Check Periodo Ref.]]="Dentro",DATOS_[Conc.Sal.19]))))), 0)</f>
        <v>0</v>
      </c>
      <c r="Y38" s="250" t="n">
        <f aca="false" t="array" ref="Y38:Y38">IFERROR( MEDIAN((IF(DATOS_[[Sexo]:[Sexo]]=$B38,IF(DATOS_[[AGRUP. CLAS. PROF.]:[AGRUP. CLAS. PROF.]]=$B36,IF(DATOS_[[Check Periodo Ref.]:[Check Periodo Ref.]]="Dentro",DATOS_[Conc.Sal.20]))))), 0)</f>
        <v>0</v>
      </c>
      <c r="Z38" s="250" t="n">
        <f aca="false" t="array" ref="Z38:Z38">IFERROR( MEDIAN((IF(DATOS_[[Sexo]:[Sexo]]=$B38,IF(DATOS_[[AGRUP. CLAS. PROF.]:[AGRUP. CLAS. PROF.]]=$B36,IF(DATOS_[[Check Periodo Ref.]:[Check Periodo Ref.]]="Dentro",DATOS_[Conc.Sal.21]))))), 0)</f>
        <v>0</v>
      </c>
      <c r="AA38" s="250" t="n">
        <f aca="false" t="array" ref="AA38:AA38">IFERROR( MEDIAN((IF(DATOS_[[Sexo]:[Sexo]]=$B38,IF(DATOS_[[AGRUP. CLAS. PROF.]:[AGRUP. CLAS. PROF.]]=$B36,IF(DATOS_[[Check Periodo Ref.]:[Check Periodo Ref.]]="Dentro",DATOS_[Conc.Sal.22]))))), 0)</f>
        <v>0</v>
      </c>
      <c r="AB38" s="250" t="n">
        <f aca="false" t="array" ref="AB38:AB38">IFERROR( MEDIAN((IF(DATOS_[[Sexo]:[Sexo]]=$B38,IF(DATOS_[[AGRUP. CLAS. PROF.]:[AGRUP. CLAS. PROF.]]=$B36,IF(DATOS_[[Check Periodo Ref.]:[Check Periodo Ref.]]="Dentro",DATOS_[Conc.Sal.23]))))), 0)</f>
        <v>0</v>
      </c>
      <c r="AC38" s="250" t="n">
        <f aca="false" t="array" ref="AC38:AC38">IFERROR( MEDIAN((IF(DATOS_[[Sexo]:[Sexo]]=$B38,IF(DATOS_[[AGRUP. CLAS. PROF.]:[AGRUP. CLAS. PROF.]]=$B36,IF(DATOS_[[Check Periodo Ref.]:[Check Periodo Ref.]]="Dentro",DATOS_[Conc.Sal.24]))))), 0)</f>
        <v>0</v>
      </c>
      <c r="AD38" s="250" t="n">
        <f aca="false" t="array" ref="AD38:AD38">IFERROR( MEDIAN((IF(DATOS_[[Sexo]:[Sexo]]=$B38,IF(DATOS_[[AGRUP. CLAS. PROF.]:[AGRUP. CLAS. PROF.]]=$B36,IF(DATOS_[[Check Periodo Ref.]:[Check Periodo Ref.]]="Dentro",DATOS_[Conc.Sal.25]))))), 0)</f>
        <v>0</v>
      </c>
      <c r="AE38" s="250" t="n">
        <f aca="false" t="array" ref="AE38:AE38">IFERROR( MEDIAN((IF(DATOS_[[Sexo]:[Sexo]]=$B38,IF(DATOS_[[AGRUP. CLAS. PROF.]:[AGRUP. CLAS. PROF.]]=$B36,IF(DATOS_[[Check Periodo Ref.]:[Check Periodo Ref.]]="Dentro",DATOS_[Conc.Sal.26]))))), 0)</f>
        <v>0</v>
      </c>
      <c r="AF38" s="250" t="n">
        <f aca="false" t="array" ref="AF38:AF38">IFERROR( MEDIAN((IF(DATOS_[[Sexo]:[Sexo]]=$B38,IF(DATOS_[[AGRUP. CLAS. PROF.]:[AGRUP. CLAS. PROF.]]=$B36,IF(DATOS_[[Check Periodo Ref.]:[Check Periodo Ref.]]="Dentro",DATOS_[Conc.Sal.27]))))), 0)</f>
        <v>0</v>
      </c>
      <c r="AG38" s="250" t="n">
        <f aca="false" t="array" ref="AG38:AG38">IFERROR( MEDIAN((IF(DATOS_[[Sexo]:[Sexo]]=$B38,IF(DATOS_[[AGRUP. CLAS. PROF.]:[AGRUP. CLAS. PROF.]]=$B36,IF(DATOS_[[Check Periodo Ref.]:[Check Periodo Ref.]]="Dentro",DATOS_[Conc.Sal.28]))))), 0)</f>
        <v>0</v>
      </c>
      <c r="AH38" s="250" t="n">
        <f aca="false" t="array" ref="AH38:AH38">IFERROR( MEDIAN((IF(DATOS_[[Sexo]:[Sexo]]=$B38,IF(DATOS_[[AGRUP. CLAS. PROF.]:[AGRUP. CLAS. PROF.]]=$B36,IF(DATOS_[[Check Periodo Ref.]:[Check Periodo Ref.]]="Dentro",DATOS_[Conc.Sal.29]))))), 0)</f>
        <v>0</v>
      </c>
      <c r="AI38" s="250" t="n">
        <f aca="false" t="array" ref="AI38:AI38">IFERROR( MEDIAN((IF(DATOS_[[Sexo]:[Sexo]]=$B38,IF(DATOS_[[AGRUP. CLAS. PROF.]:[AGRUP. CLAS. PROF.]]=$B36,IF(DATOS_[[Check Periodo Ref.]:[Check Periodo Ref.]]="Dentro",DATOS_[Conc.Sal.30]))))), 0)</f>
        <v>0</v>
      </c>
      <c r="AJ38" s="251" t="n">
        <f aca="false" t="array" ref="AJ38:AJ38">IFERROR( MEDIAN(IF(DATOS_[Sexo]=$B38,IF(DATOS_[AGRUP. CLAS. PROF.]=$B36,IF(DATOS_[Check Periodo Ref.]="Dentro",DATOS_[Tot COMPL.SAL Ef],0)))), 0)</f>
        <v>0</v>
      </c>
      <c r="AK38" s="252" t="n">
        <f aca="false" t="array" ref="AK38:AK38">IFERROR( MEDIAN(IF(DATOS_[Sexo]=$B38,IF(DATOS_[AGRUP. CLAS. PROF.]=$B36,IF(DATOS_[Check Periodo Ref.]="Dentro",DATOS_[TOTAL SALARIO Ef],0)))), 0)</f>
        <v>0</v>
      </c>
      <c r="AL38" s="259" t="n">
        <f aca="false" t="array" ref="AL38:AL38">IFERROR( MEDIAN((IF(DATOS_[[Sexo]:[Sexo]]=$B38,IF(DATOS_[[AGRUP. CLAS. PROF.]:[AGRUP. CLAS. PROF.]]=$B36,IF(DATOS_[[Check Periodo Ref.]:[Check Periodo Ref.]]="Dentro",DATOS_[C.Extra.01]))))), 0)</f>
        <v>0</v>
      </c>
      <c r="AM38" s="259" t="n">
        <f aca="false" t="array" ref="AM38:AM38">IFERROR( MEDIAN((IF(DATOS_[[Sexo]:[Sexo]]=$B38,IF(DATOS_[[AGRUP. CLAS. PROF.]:[AGRUP. CLAS. PROF.]]=$B36,IF(DATOS_[[Check Periodo Ref.]:[Check Periodo Ref.]]="Dentro",DATOS_[C.Extra.02]))))), 0)</f>
        <v>0</v>
      </c>
      <c r="AN38" s="259" t="n">
        <f aca="false" t="array" ref="AN38:AN38">IFERROR( MEDIAN((IF(DATOS_[[Sexo]:[Sexo]]=$B38,IF(DATOS_[[AGRUP. CLAS. PROF.]:[AGRUP. CLAS. PROF.]]=$B36,IF(DATOS_[[Check Periodo Ref.]:[Check Periodo Ref.]]="Dentro",DATOS_[C.Extra.03]))))), 0)</f>
        <v>0</v>
      </c>
      <c r="AO38" s="259" t="n">
        <f aca="false" t="array" ref="AO38:AO38">IFERROR( MEDIAN((IF(DATOS_[[Sexo]:[Sexo]]=$B38,IF(DATOS_[[AGRUP. CLAS. PROF.]:[AGRUP. CLAS. PROF.]]=$B36,IF(DATOS_[[Check Periodo Ref.]:[Check Periodo Ref.]]="Dentro",DATOS_[C.Extra.04]))))), 0)</f>
        <v>0</v>
      </c>
      <c r="AP38" s="259" t="n">
        <f aca="false" t="array" ref="AP38:AP38">IFERROR( MEDIAN((IF(DATOS_[[Sexo]:[Sexo]]=$B38,IF(DATOS_[[AGRUP. CLAS. PROF.]:[AGRUP. CLAS. PROF.]]=$B36,IF(DATOS_[[Check Periodo Ref.]:[Check Periodo Ref.]]="Dentro",DATOS_[C.Extra.05]))))), 0)</f>
        <v>0</v>
      </c>
      <c r="AQ38" s="254" t="n">
        <f aca="false" t="array" ref="AQ38:AQ38">IFERROR( MEDIAN(IF(DATOS_[Sexo]=$B38,IF(DATOS_[AGRUP. CLAS. PROF.]=$B36,IF(DATOS_[Check Periodo Ref.]="Dentro",DATOS_[Tot Extrasalarial Ef],0)))), 0)</f>
        <v>0</v>
      </c>
      <c r="AR38" s="255" t="n">
        <f aca="false" t="array" ref="AR38:AR38">IFERROR( MEDIAN(IF(DATOS_[Sexo]=$B38,IF(DATOS_[AGRUP. CLAS. PROF.]=$B36,IF(DATOS_[Check Periodo Ref.]="Dentro",DATOS_[TOTAL Retrib Ef],0)))), 0)</f>
        <v>0</v>
      </c>
    </row>
    <row r="39" customFormat="false" ht="15.75" hidden="false" customHeight="false" outlineLevel="0" collapsed="false">
      <c r="A39" s="217" t="str">
        <f aca="false">+A40</f>
        <v>[ocultar]</v>
      </c>
      <c r="B39" s="235" t="s">
        <v>192</v>
      </c>
      <c r="C39" s="236"/>
      <c r="D39" s="237"/>
      <c r="E39" s="238" t="str">
        <f aca="false">IFERROR((E40-E41)/E40,"")</f>
        <v/>
      </c>
      <c r="F39" s="239" t="str">
        <f aca="false">IFERROR((F40-F41)/F40,"")</f>
        <v/>
      </c>
      <c r="G39" s="239" t="str">
        <f aca="false">IFERROR((G40-G41)/G40,"")</f>
        <v/>
      </c>
      <c r="H39" s="239" t="str">
        <f aca="false">IFERROR((H40-H41)/H40,"")</f>
        <v/>
      </c>
      <c r="I39" s="239"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40" t="str">
        <f aca="false">IFERROR((V40-V41)/V40,"")</f>
        <v/>
      </c>
      <c r="W39" s="240" t="str">
        <f aca="false">IFERROR((W40-W41)/W40,"")</f>
        <v/>
      </c>
      <c r="X39" s="240" t="str">
        <f aca="false">IFERROR((X40-X41)/X40,"")</f>
        <v/>
      </c>
      <c r="Y39" s="240"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1" t="str">
        <f aca="false">IFERROR((AJ40-AJ41)/AJ40,"")</f>
        <v/>
      </c>
      <c r="AK39" s="242" t="str">
        <f aca="false">IFERROR((AK40-AK41)/AK40,"")</f>
        <v/>
      </c>
      <c r="AL39" s="243" t="str">
        <f aca="false">IFERROR((AL40-AL41)/AL40,"")</f>
        <v/>
      </c>
      <c r="AM39" s="243" t="str">
        <f aca="false">IFERROR((AM40-AM41)/AM40,"")</f>
        <v/>
      </c>
      <c r="AN39" s="243" t="str">
        <f aca="false">IFERROR((AN40-AN41)/AN40,"")</f>
        <v/>
      </c>
      <c r="AO39" s="243" t="str">
        <f aca="false">IFERROR((AO40-AO41)/AO40,"")</f>
        <v/>
      </c>
      <c r="AP39" s="243" t="str">
        <f aca="false">IFERROR((AP40-AP41)/AP40,"")</f>
        <v/>
      </c>
      <c r="AQ39" s="244" t="str">
        <f aca="false">IFERROR((AQ40-AQ41)/AQ40,"")</f>
        <v/>
      </c>
      <c r="AR39" s="245" t="str">
        <f aca="false">IFERROR((AR40-AR41)/AR40,"")</f>
        <v/>
      </c>
    </row>
    <row r="40" customFormat="false" ht="14.25" hidden="false" customHeight="false" outlineLevel="0" collapsed="false">
      <c r="A40" s="217" t="str">
        <f aca="false">+IF(C40+C41=0,"[ocultar]","")</f>
        <v>[ocultar]</v>
      </c>
      <c r="B40" s="246" t="s">
        <v>371</v>
      </c>
      <c r="C40" s="247" t="n">
        <f aca="false" t="array" ref="C40:C40">SUM(IF($B40=DATOS_[Sexo], IF($B39=DATOS_[AGRUP. CLAS. PROF.], IF("Dentro"=DATOS_[Check Periodo Ref.], 1/(COUNTIFS(DATOS_[Sexo],$B40,DATOS_[AGRUP. CLAS. PROF.],$B39,DATOS_[Check Periodo Ref.],"Dentro",DATOS_[id],DATOS_[id]))))))</f>
        <v>0</v>
      </c>
      <c r="D40" s="248" t="n">
        <f aca="false">COUNTIFS(DATOS_[AGRUP. CLAS. PROF.],$B39,DATOS_[Sexo],$B40,DATOS_[Check Periodo Ref.],"Dentro")</f>
        <v>0</v>
      </c>
      <c r="E40" s="249" t="n">
        <f aca="false" t="array" ref="E40:E40">IFERROR( MEDIAN(IF(DATOS_[Sexo]=$B40,IF(DATOS_[AGRUP. CLAS. PROF.]=$B39,IF(DATOS_[Check Periodo Ref.]="Dentro",DATOS_[SALARIO BASE Ef],0)))), 0)</f>
        <v>0</v>
      </c>
      <c r="F40" s="250" t="n">
        <f aca="false" t="array" ref="F40:F40">IFERROR( MEDIAN((IF(DATOS_[[Sexo]:[Sexo]]=$B40,IF(DATOS_[[AGRUP. CLAS. PROF.]:[AGRUP. CLAS. PROF.]]=$B39,IF(DATOS_[[Check Periodo Ref.]:[Check Periodo Ref.]]="Dentro",DATOS_[Conc.Sal.01]))))), 0)</f>
        <v>0</v>
      </c>
      <c r="G40" s="250" t="n">
        <f aca="false" t="array" ref="G40:G40">IFERROR( MEDIAN((IF(DATOS_[[Sexo]:[Sexo]]=$B40,IF(DATOS_[[AGRUP. CLAS. PROF.]:[AGRUP. CLAS. PROF.]]=$B39,IF(DATOS_[[Check Periodo Ref.]:[Check Periodo Ref.]]="Dentro",DATOS_[Conc.Sal.02]))))), 0)</f>
        <v>0</v>
      </c>
      <c r="H40" s="250" t="n">
        <f aca="false" t="array" ref="H40:H40">IFERROR( MEDIAN((IF(DATOS_[[Sexo]:[Sexo]]=$B40,IF(DATOS_[[AGRUP. CLAS. PROF.]:[AGRUP. CLAS. PROF.]]=$B39,IF(DATOS_[[Check Periodo Ref.]:[Check Periodo Ref.]]="Dentro",DATOS_[Conc.Sal.03]))))), 0)</f>
        <v>0</v>
      </c>
      <c r="I40" s="250" t="n">
        <f aca="false" t="array" ref="I40:I40">IFERROR( MEDIAN((IF(DATOS_[[Sexo]:[Sexo]]=$B40,IF(DATOS_[[AGRUP. CLAS. PROF.]:[AGRUP. CLAS. PROF.]]=$B39,IF(DATOS_[[Check Periodo Ref.]:[Check Periodo Ref.]]="Dentro",DATOS_[Conc.Sal.04]))))), 0)</f>
        <v>0</v>
      </c>
      <c r="J40" s="250" t="n">
        <f aca="false" t="array" ref="J40:J40">IFERROR( MEDIAN((IF(DATOS_[[Sexo]:[Sexo]]=$B40,IF(DATOS_[[AGRUP. CLAS. PROF.]:[AGRUP. CLAS. PROF.]]=$B39,IF(DATOS_[[Check Periodo Ref.]:[Check Periodo Ref.]]="Dentro",DATOS_[Conc.Sal.05]))))), 0)</f>
        <v>0</v>
      </c>
      <c r="K40" s="250" t="n">
        <f aca="false" t="array" ref="K40:K40">IFERROR( MEDIAN((IF(DATOS_[[Sexo]:[Sexo]]=$B40,IF(DATOS_[[AGRUP. CLAS. PROF.]:[AGRUP. CLAS. PROF.]]=$B39,IF(DATOS_[[Check Periodo Ref.]:[Check Periodo Ref.]]="Dentro",DATOS_[Conc.Sal.06]))))), 0)</f>
        <v>0</v>
      </c>
      <c r="L40" s="250" t="n">
        <f aca="false" t="array" ref="L40:L40">IFERROR( MEDIAN((IF(DATOS_[[Sexo]:[Sexo]]=$B40,IF(DATOS_[[AGRUP. CLAS. PROF.]:[AGRUP. CLAS. PROF.]]=$B39,IF(DATOS_[[Check Periodo Ref.]:[Check Periodo Ref.]]="Dentro",DATOS_[Conc.Sal.07]))))), 0)</f>
        <v>0</v>
      </c>
      <c r="M40" s="250" t="n">
        <f aca="false" t="array" ref="M40:M40">IFERROR( MEDIAN((IF(DATOS_[[Sexo]:[Sexo]]=$B40,IF(DATOS_[[AGRUP. CLAS. PROF.]:[AGRUP. CLAS. PROF.]]=$B39,IF(DATOS_[[Check Periodo Ref.]:[Check Periodo Ref.]]="Dentro",DATOS_[Conc.Sal.08]))))), 0)</f>
        <v>0</v>
      </c>
      <c r="N40" s="250" t="n">
        <f aca="false" t="array" ref="N40:N40">IFERROR( MEDIAN((IF(DATOS_[[Sexo]:[Sexo]]=$B40,IF(DATOS_[[AGRUP. CLAS. PROF.]:[AGRUP. CLAS. PROF.]]=$B39,IF(DATOS_[[Check Periodo Ref.]:[Check Periodo Ref.]]="Dentro",DATOS_[Conc.Sal.09]))))), 0)</f>
        <v>0</v>
      </c>
      <c r="O40" s="250" t="n">
        <f aca="false" t="array" ref="O40:O40">IFERROR( MEDIAN((IF(DATOS_[[Sexo]:[Sexo]]=$B40,IF(DATOS_[[AGRUP. CLAS. PROF.]:[AGRUP. CLAS. PROF.]]=$B39,IF(DATOS_[[Check Periodo Ref.]:[Check Periodo Ref.]]="Dentro",DATOS_[Conc.Sal.10]))))), 0)</f>
        <v>0</v>
      </c>
      <c r="P40" s="250" t="n">
        <f aca="false" t="array" ref="P40:P40">IFERROR( MEDIAN((IF(DATOS_[[Sexo]:[Sexo]]=$B40,IF(DATOS_[[AGRUP. CLAS. PROF.]:[AGRUP. CLAS. PROF.]]=$B39,IF(DATOS_[[Check Periodo Ref.]:[Check Periodo Ref.]]="Dentro",DATOS_[Conc.Sal.11]))))), 0)</f>
        <v>0</v>
      </c>
      <c r="Q40" s="250" t="n">
        <f aca="false" t="array" ref="Q40:Q40">IFERROR( MEDIAN((IF(DATOS_[[Sexo]:[Sexo]]=$B40,IF(DATOS_[[AGRUP. CLAS. PROF.]:[AGRUP. CLAS. PROF.]]=$B39,IF(DATOS_[[Check Periodo Ref.]:[Check Periodo Ref.]]="Dentro",DATOS_[Conc.Sal.12]))))), 0)</f>
        <v>0</v>
      </c>
      <c r="R40" s="250" t="n">
        <f aca="false" t="array" ref="R40:R40">IFERROR( MEDIAN((IF(DATOS_[[Sexo]:[Sexo]]=$B40,IF(DATOS_[[AGRUP. CLAS. PROF.]:[AGRUP. CLAS. PROF.]]=$B39,IF(DATOS_[[Check Periodo Ref.]:[Check Periodo Ref.]]="Dentro",DATOS_[Conc.Sal.13]))))), 0)</f>
        <v>0</v>
      </c>
      <c r="S40" s="250" t="n">
        <f aca="false" t="array" ref="S40:S40">IFERROR( MEDIAN((IF(DATOS_[[Sexo]:[Sexo]]=$B40,IF(DATOS_[[AGRUP. CLAS. PROF.]:[AGRUP. CLAS. PROF.]]=$B39,IF(DATOS_[[Check Periodo Ref.]:[Check Periodo Ref.]]="Dentro",DATOS_[Conc.Sal.14]))))), 0)</f>
        <v>0</v>
      </c>
      <c r="T40" s="250" t="n">
        <f aca="false" t="array" ref="T40:T40">IFERROR( MEDIAN((IF(DATOS_[[Sexo]:[Sexo]]=$B40,IF(DATOS_[[AGRUP. CLAS. PROF.]:[AGRUP. CLAS. PROF.]]=$B39,IF(DATOS_[[Check Periodo Ref.]:[Check Periodo Ref.]]="Dentro",DATOS_[Conc.Sal.15]))))), 0)</f>
        <v>0</v>
      </c>
      <c r="U40" s="250" t="n">
        <f aca="false" t="array" ref="U40:U40">IFERROR( MEDIAN((IF(DATOS_[[Sexo]:[Sexo]]=$B40,IF(DATOS_[[AGRUP. CLAS. PROF.]:[AGRUP. CLAS. PROF.]]=$B39,IF(DATOS_[[Check Periodo Ref.]:[Check Periodo Ref.]]="Dentro",DATOS_[Conc.Sal.16]))))), 0)</f>
        <v>0</v>
      </c>
      <c r="V40" s="250" t="n">
        <f aca="false" t="array" ref="V40:V40">IFERROR( MEDIAN((IF(DATOS_[[Sexo]:[Sexo]]=$B40,IF(DATOS_[[AGRUP. CLAS. PROF.]:[AGRUP. CLAS. PROF.]]=$B39,IF(DATOS_[[Check Periodo Ref.]:[Check Periodo Ref.]]="Dentro",DATOS_[Conc.Sal.17]))))), 0)</f>
        <v>0</v>
      </c>
      <c r="W40" s="250" t="n">
        <f aca="false" t="array" ref="W40:W40">IFERROR( MEDIAN((IF(DATOS_[[Sexo]:[Sexo]]=$B40,IF(DATOS_[[AGRUP. CLAS. PROF.]:[AGRUP. CLAS. PROF.]]=$B39,IF(DATOS_[[Check Periodo Ref.]:[Check Periodo Ref.]]="Dentro",DATOS_[Conc.Sal.18]))))), 0)</f>
        <v>0</v>
      </c>
      <c r="X40" s="250" t="n">
        <f aca="false" t="array" ref="X40:X40">IFERROR( MEDIAN((IF(DATOS_[[Sexo]:[Sexo]]=$B40,IF(DATOS_[[AGRUP. CLAS. PROF.]:[AGRUP. CLAS. PROF.]]=$B39,IF(DATOS_[[Check Periodo Ref.]:[Check Periodo Ref.]]="Dentro",DATOS_[Conc.Sal.19]))))), 0)</f>
        <v>0</v>
      </c>
      <c r="Y40" s="250" t="n">
        <f aca="false" t="array" ref="Y40:Y40">IFERROR( MEDIAN((IF(DATOS_[[Sexo]:[Sexo]]=$B40,IF(DATOS_[[AGRUP. CLAS. PROF.]:[AGRUP. CLAS. PROF.]]=$B39,IF(DATOS_[[Check Periodo Ref.]:[Check Periodo Ref.]]="Dentro",DATOS_[Conc.Sal.20]))))), 0)</f>
        <v>0</v>
      </c>
      <c r="Z40" s="250" t="n">
        <f aca="false" t="array" ref="Z40:Z40">IFERROR( MEDIAN((IF(DATOS_[[Sexo]:[Sexo]]=$B40,IF(DATOS_[[AGRUP. CLAS. PROF.]:[AGRUP. CLAS. PROF.]]=$B39,IF(DATOS_[[Check Periodo Ref.]:[Check Periodo Ref.]]="Dentro",DATOS_[Conc.Sal.21]))))), 0)</f>
        <v>0</v>
      </c>
      <c r="AA40" s="250" t="n">
        <f aca="false" t="array" ref="AA40:AA40">IFERROR( MEDIAN((IF(DATOS_[[Sexo]:[Sexo]]=$B40,IF(DATOS_[[AGRUP. CLAS. PROF.]:[AGRUP. CLAS. PROF.]]=$B39,IF(DATOS_[[Check Periodo Ref.]:[Check Periodo Ref.]]="Dentro",DATOS_[Conc.Sal.22]))))), 0)</f>
        <v>0</v>
      </c>
      <c r="AB40" s="250" t="n">
        <f aca="false" t="array" ref="AB40:AB40">IFERROR( MEDIAN((IF(DATOS_[[Sexo]:[Sexo]]=$B40,IF(DATOS_[[AGRUP. CLAS. PROF.]:[AGRUP. CLAS. PROF.]]=$B39,IF(DATOS_[[Check Periodo Ref.]:[Check Periodo Ref.]]="Dentro",DATOS_[Conc.Sal.23]))))), 0)</f>
        <v>0</v>
      </c>
      <c r="AC40" s="250" t="n">
        <f aca="false" t="array" ref="AC40:AC40">IFERROR( MEDIAN((IF(DATOS_[[Sexo]:[Sexo]]=$B40,IF(DATOS_[[AGRUP. CLAS. PROF.]:[AGRUP. CLAS. PROF.]]=$B39,IF(DATOS_[[Check Periodo Ref.]:[Check Periodo Ref.]]="Dentro",DATOS_[Conc.Sal.24]))))), 0)</f>
        <v>0</v>
      </c>
      <c r="AD40" s="250" t="n">
        <f aca="false" t="array" ref="AD40:AD40">IFERROR( MEDIAN((IF(DATOS_[[Sexo]:[Sexo]]=$B40,IF(DATOS_[[AGRUP. CLAS. PROF.]:[AGRUP. CLAS. PROF.]]=$B39,IF(DATOS_[[Check Periodo Ref.]:[Check Periodo Ref.]]="Dentro",DATOS_[Conc.Sal.25]))))), 0)</f>
        <v>0</v>
      </c>
      <c r="AE40" s="250" t="n">
        <f aca="false" t="array" ref="AE40:AE40">IFERROR( MEDIAN((IF(DATOS_[[Sexo]:[Sexo]]=$B40,IF(DATOS_[[AGRUP. CLAS. PROF.]:[AGRUP. CLAS. PROF.]]=$B39,IF(DATOS_[[Check Periodo Ref.]:[Check Periodo Ref.]]="Dentro",DATOS_[Conc.Sal.26]))))), 0)</f>
        <v>0</v>
      </c>
      <c r="AF40" s="250" t="n">
        <f aca="false" t="array" ref="AF40:AF40">IFERROR( MEDIAN((IF(DATOS_[[Sexo]:[Sexo]]=$B40,IF(DATOS_[[AGRUP. CLAS. PROF.]:[AGRUP. CLAS. PROF.]]=$B39,IF(DATOS_[[Check Periodo Ref.]:[Check Periodo Ref.]]="Dentro",DATOS_[Conc.Sal.27]))))), 0)</f>
        <v>0</v>
      </c>
      <c r="AG40" s="250" t="n">
        <f aca="false" t="array" ref="AG40:AG40">IFERROR( MEDIAN((IF(DATOS_[[Sexo]:[Sexo]]=$B40,IF(DATOS_[[AGRUP. CLAS. PROF.]:[AGRUP. CLAS. PROF.]]=$B39,IF(DATOS_[[Check Periodo Ref.]:[Check Periodo Ref.]]="Dentro",DATOS_[Conc.Sal.28]))))), 0)</f>
        <v>0</v>
      </c>
      <c r="AH40" s="250" t="n">
        <f aca="false" t="array" ref="AH40:AH40">IFERROR( MEDIAN((IF(DATOS_[[Sexo]:[Sexo]]=$B40,IF(DATOS_[[AGRUP. CLAS. PROF.]:[AGRUP. CLAS. PROF.]]=$B39,IF(DATOS_[[Check Periodo Ref.]:[Check Periodo Ref.]]="Dentro",DATOS_[Conc.Sal.29]))))), 0)</f>
        <v>0</v>
      </c>
      <c r="AI40" s="250" t="n">
        <f aca="false" t="array" ref="AI40:AI40">IFERROR( MEDIAN((IF(DATOS_[[Sexo]:[Sexo]]=$B40,IF(DATOS_[[AGRUP. CLAS. PROF.]:[AGRUP. CLAS. PROF.]]=$B39,IF(DATOS_[[Check Periodo Ref.]:[Check Periodo Ref.]]="Dentro",DATOS_[Conc.Sal.30]))))), 0)</f>
        <v>0</v>
      </c>
      <c r="AJ40" s="251" t="n">
        <f aca="false" t="array" ref="AJ40:AJ40">IFERROR( MEDIAN(IF(DATOS_[Sexo]=$B40,IF(DATOS_[AGRUP. CLAS. PROF.]=$B39,IF(DATOS_[Check Periodo Ref.]="Dentro",DATOS_[Tot COMPL.SAL Ef],0)))), 0)</f>
        <v>0</v>
      </c>
      <c r="AK40" s="252" t="n">
        <f aca="false" t="array" ref="AK40:AK40">IFERROR( MEDIAN(IF(DATOS_[Sexo]=$B40,IF(DATOS_[AGRUP. CLAS. PROF.]=$B39,IF(DATOS_[Check Periodo Ref.]="Dentro",DATOS_[TOTAL SALARIO Ef],0)))), 0)</f>
        <v>0</v>
      </c>
      <c r="AL40" s="259" t="n">
        <f aca="false" t="array" ref="AL40:AL40">IFERROR( MEDIAN((IF(DATOS_[[Sexo]:[Sexo]]=$B40,IF(DATOS_[[AGRUP. CLAS. PROF.]:[AGRUP. CLAS. PROF.]]=$B39,IF(DATOS_[[Check Periodo Ref.]:[Check Periodo Ref.]]="Dentro",DATOS_[C.Extra.01]))))), 0)</f>
        <v>0</v>
      </c>
      <c r="AM40" s="259" t="n">
        <f aca="false" t="array" ref="AM40:AM40">IFERROR( MEDIAN((IF(DATOS_[[Sexo]:[Sexo]]=$B40,IF(DATOS_[[AGRUP. CLAS. PROF.]:[AGRUP. CLAS. PROF.]]=$B39,IF(DATOS_[[Check Periodo Ref.]:[Check Periodo Ref.]]="Dentro",DATOS_[C.Extra.02]))))), 0)</f>
        <v>0</v>
      </c>
      <c r="AN40" s="259" t="n">
        <f aca="false" t="array" ref="AN40:AN40">IFERROR( MEDIAN((IF(DATOS_[[Sexo]:[Sexo]]=$B40,IF(DATOS_[[AGRUP. CLAS. PROF.]:[AGRUP. CLAS. PROF.]]=$B39,IF(DATOS_[[Check Periodo Ref.]:[Check Periodo Ref.]]="Dentro",DATOS_[C.Extra.03]))))), 0)</f>
        <v>0</v>
      </c>
      <c r="AO40" s="259" t="n">
        <f aca="false" t="array" ref="AO40:AO40">IFERROR( MEDIAN((IF(DATOS_[[Sexo]:[Sexo]]=$B40,IF(DATOS_[[AGRUP. CLAS. PROF.]:[AGRUP. CLAS. PROF.]]=$B39,IF(DATOS_[[Check Periodo Ref.]:[Check Periodo Ref.]]="Dentro",DATOS_[C.Extra.04]))))), 0)</f>
        <v>0</v>
      </c>
      <c r="AP40" s="259" t="n">
        <f aca="false" t="array" ref="AP40:AP40">IFERROR( MEDIAN((IF(DATOS_[[Sexo]:[Sexo]]=$B40,IF(DATOS_[[AGRUP. CLAS. PROF.]:[AGRUP. CLAS. PROF.]]=$B39,IF(DATOS_[[Check Periodo Ref.]:[Check Periodo Ref.]]="Dentro",DATOS_[C.Extra.05]))))), 0)</f>
        <v>0</v>
      </c>
      <c r="AQ40" s="254" t="n">
        <f aca="false" t="array" ref="AQ40:AQ40">IFERROR( MEDIAN(IF(DATOS_[Sexo]=$B40,IF(DATOS_[AGRUP. CLAS. PROF.]=$B39,IF(DATOS_[Check Periodo Ref.]="Dentro",DATOS_[Tot Extrasalarial Ef],0)))), 0)</f>
        <v>0</v>
      </c>
      <c r="AR40" s="255" t="n">
        <f aca="false" t="array" ref="AR40:AR40">IFERROR( MEDIAN(IF(DATOS_[Sexo]=$B40,IF(DATOS_[AGRUP. CLAS. PROF.]=$B39,IF(DATOS_[Check Periodo Ref.]="Dentro",DATOS_[TOTAL Retrib Ef],0)))), 0)</f>
        <v>0</v>
      </c>
    </row>
    <row r="41" customFormat="false" ht="14.25" hidden="false" customHeight="false" outlineLevel="0" collapsed="false">
      <c r="A41" s="217" t="str">
        <f aca="false">+A40</f>
        <v>[ocultar]</v>
      </c>
      <c r="B41" s="246" t="s">
        <v>372</v>
      </c>
      <c r="C41" s="247" t="n">
        <f aca="false" t="array" ref="C41:C41">SUM(IF($B41=DATOS_[Sexo], IF($B39=DATOS_[AGRUP. CLAS. PROF.], IF("Dentro"=DATOS_[Check Periodo Ref.], 1/(COUNTIFS(DATOS_[Sexo],$B41,DATOS_[AGRUP. CLAS. PROF.],$B39,DATOS_[Check Periodo Ref.],"Dentro",DATOS_[id],DATOS_[id]))))))</f>
        <v>0</v>
      </c>
      <c r="D41" s="248" t="n">
        <f aca="false">COUNTIFS(DATOS_[AGRUP. CLAS. PROF.],$B39,DATOS_[Sexo],$B41,DATOS_[Check Periodo Ref.],"Dentro")</f>
        <v>0</v>
      </c>
      <c r="E41" s="249" t="n">
        <f aca="false" t="array" ref="E41:E41">IFERROR( MEDIAN(IF(DATOS_[Sexo]=$B41,IF(DATOS_[AGRUP. CLAS. PROF.]=$B39,IF(DATOS_[Check Periodo Ref.]="Dentro",DATOS_[SALARIO BASE Ef],0)))), 0)</f>
        <v>0</v>
      </c>
      <c r="F41" s="250" t="n">
        <f aca="false" t="array" ref="F41:F41">IFERROR( MEDIAN((IF(DATOS_[[Sexo]:[Sexo]]=$B41,IF(DATOS_[[AGRUP. CLAS. PROF.]:[AGRUP. CLAS. PROF.]]=$B39,IF(DATOS_[[Check Periodo Ref.]:[Check Periodo Ref.]]="Dentro",DATOS_[Conc.Sal.01]))))), 0)</f>
        <v>0</v>
      </c>
      <c r="G41" s="250" t="n">
        <f aca="false" t="array" ref="G41:G41">IFERROR( MEDIAN((IF(DATOS_[[Sexo]:[Sexo]]=$B41,IF(DATOS_[[AGRUP. CLAS. PROF.]:[AGRUP. CLAS. PROF.]]=$B39,IF(DATOS_[[Check Periodo Ref.]:[Check Periodo Ref.]]="Dentro",DATOS_[Conc.Sal.02]))))), 0)</f>
        <v>0</v>
      </c>
      <c r="H41" s="250" t="n">
        <f aca="false" t="array" ref="H41:H41">IFERROR( MEDIAN((IF(DATOS_[[Sexo]:[Sexo]]=$B41,IF(DATOS_[[AGRUP. CLAS. PROF.]:[AGRUP. CLAS. PROF.]]=$B39,IF(DATOS_[[Check Periodo Ref.]:[Check Periodo Ref.]]="Dentro",DATOS_[Conc.Sal.03]))))), 0)</f>
        <v>0</v>
      </c>
      <c r="I41" s="250" t="n">
        <f aca="false" t="array" ref="I41:I41">IFERROR( MEDIAN((IF(DATOS_[[Sexo]:[Sexo]]=$B41,IF(DATOS_[[AGRUP. CLAS. PROF.]:[AGRUP. CLAS. PROF.]]=$B39,IF(DATOS_[[Check Periodo Ref.]:[Check Periodo Ref.]]="Dentro",DATOS_[Conc.Sal.04]))))), 0)</f>
        <v>0</v>
      </c>
      <c r="J41" s="250" t="n">
        <f aca="false" t="array" ref="J41:J41">IFERROR( MEDIAN((IF(DATOS_[[Sexo]:[Sexo]]=$B41,IF(DATOS_[[AGRUP. CLAS. PROF.]:[AGRUP. CLAS. PROF.]]=$B39,IF(DATOS_[[Check Periodo Ref.]:[Check Periodo Ref.]]="Dentro",DATOS_[Conc.Sal.05]))))), 0)</f>
        <v>0</v>
      </c>
      <c r="K41" s="250" t="n">
        <f aca="false" t="array" ref="K41:K41">IFERROR( MEDIAN((IF(DATOS_[[Sexo]:[Sexo]]=$B41,IF(DATOS_[[AGRUP. CLAS. PROF.]:[AGRUP. CLAS. PROF.]]=$B39,IF(DATOS_[[Check Periodo Ref.]:[Check Periodo Ref.]]="Dentro",DATOS_[Conc.Sal.06]))))), 0)</f>
        <v>0</v>
      </c>
      <c r="L41" s="250" t="n">
        <f aca="false" t="array" ref="L41:L41">IFERROR( MEDIAN((IF(DATOS_[[Sexo]:[Sexo]]=$B41,IF(DATOS_[[AGRUP. CLAS. PROF.]:[AGRUP. CLAS. PROF.]]=$B39,IF(DATOS_[[Check Periodo Ref.]:[Check Periodo Ref.]]="Dentro",DATOS_[Conc.Sal.07]))))), 0)</f>
        <v>0</v>
      </c>
      <c r="M41" s="250" t="n">
        <f aca="false" t="array" ref="M41:M41">IFERROR( MEDIAN((IF(DATOS_[[Sexo]:[Sexo]]=$B41,IF(DATOS_[[AGRUP. CLAS. PROF.]:[AGRUP. CLAS. PROF.]]=$B39,IF(DATOS_[[Check Periodo Ref.]:[Check Periodo Ref.]]="Dentro",DATOS_[Conc.Sal.08]))))), 0)</f>
        <v>0</v>
      </c>
      <c r="N41" s="250" t="n">
        <f aca="false" t="array" ref="N41:N41">IFERROR( MEDIAN((IF(DATOS_[[Sexo]:[Sexo]]=$B41,IF(DATOS_[[AGRUP. CLAS. PROF.]:[AGRUP. CLAS. PROF.]]=$B39,IF(DATOS_[[Check Periodo Ref.]:[Check Periodo Ref.]]="Dentro",DATOS_[Conc.Sal.09]))))), 0)</f>
        <v>0</v>
      </c>
      <c r="O41" s="250" t="n">
        <f aca="false" t="array" ref="O41:O41">IFERROR( MEDIAN((IF(DATOS_[[Sexo]:[Sexo]]=$B41,IF(DATOS_[[AGRUP. CLAS. PROF.]:[AGRUP. CLAS. PROF.]]=$B39,IF(DATOS_[[Check Periodo Ref.]:[Check Periodo Ref.]]="Dentro",DATOS_[Conc.Sal.10]))))), 0)</f>
        <v>0</v>
      </c>
      <c r="P41" s="250" t="n">
        <f aca="false" t="array" ref="P41:P41">IFERROR( MEDIAN((IF(DATOS_[[Sexo]:[Sexo]]=$B41,IF(DATOS_[[AGRUP. CLAS. PROF.]:[AGRUP. CLAS. PROF.]]=$B39,IF(DATOS_[[Check Periodo Ref.]:[Check Periodo Ref.]]="Dentro",DATOS_[Conc.Sal.11]))))), 0)</f>
        <v>0</v>
      </c>
      <c r="Q41" s="250" t="n">
        <f aca="false" t="array" ref="Q41:Q41">IFERROR( MEDIAN((IF(DATOS_[[Sexo]:[Sexo]]=$B41,IF(DATOS_[[AGRUP. CLAS. PROF.]:[AGRUP. CLAS. PROF.]]=$B39,IF(DATOS_[[Check Periodo Ref.]:[Check Periodo Ref.]]="Dentro",DATOS_[Conc.Sal.12]))))), 0)</f>
        <v>0</v>
      </c>
      <c r="R41" s="250" t="n">
        <f aca="false" t="array" ref="R41:R41">IFERROR( MEDIAN((IF(DATOS_[[Sexo]:[Sexo]]=$B41,IF(DATOS_[[AGRUP. CLAS. PROF.]:[AGRUP. CLAS. PROF.]]=$B39,IF(DATOS_[[Check Periodo Ref.]:[Check Periodo Ref.]]="Dentro",DATOS_[Conc.Sal.13]))))), 0)</f>
        <v>0</v>
      </c>
      <c r="S41" s="250" t="n">
        <f aca="false" t="array" ref="S41:S41">IFERROR( MEDIAN((IF(DATOS_[[Sexo]:[Sexo]]=$B41,IF(DATOS_[[AGRUP. CLAS. PROF.]:[AGRUP. CLAS. PROF.]]=$B39,IF(DATOS_[[Check Periodo Ref.]:[Check Periodo Ref.]]="Dentro",DATOS_[Conc.Sal.14]))))), 0)</f>
        <v>0</v>
      </c>
      <c r="T41" s="250" t="n">
        <f aca="false" t="array" ref="T41:T41">IFERROR( MEDIAN((IF(DATOS_[[Sexo]:[Sexo]]=$B41,IF(DATOS_[[AGRUP. CLAS. PROF.]:[AGRUP. CLAS. PROF.]]=$B39,IF(DATOS_[[Check Periodo Ref.]:[Check Periodo Ref.]]="Dentro",DATOS_[Conc.Sal.15]))))), 0)</f>
        <v>0</v>
      </c>
      <c r="U41" s="250" t="n">
        <f aca="false" t="array" ref="U41:U41">IFERROR( MEDIAN((IF(DATOS_[[Sexo]:[Sexo]]=$B41,IF(DATOS_[[AGRUP. CLAS. PROF.]:[AGRUP. CLAS. PROF.]]=$B39,IF(DATOS_[[Check Periodo Ref.]:[Check Periodo Ref.]]="Dentro",DATOS_[Conc.Sal.16]))))), 0)</f>
        <v>0</v>
      </c>
      <c r="V41" s="250" t="n">
        <f aca="false" t="array" ref="V41:V41">IFERROR( MEDIAN((IF(DATOS_[[Sexo]:[Sexo]]=$B41,IF(DATOS_[[AGRUP. CLAS. PROF.]:[AGRUP. CLAS. PROF.]]=$B39,IF(DATOS_[[Check Periodo Ref.]:[Check Periodo Ref.]]="Dentro",DATOS_[Conc.Sal.17]))))), 0)</f>
        <v>0</v>
      </c>
      <c r="W41" s="250" t="n">
        <f aca="false" t="array" ref="W41:W41">IFERROR( MEDIAN((IF(DATOS_[[Sexo]:[Sexo]]=$B41,IF(DATOS_[[AGRUP. CLAS. PROF.]:[AGRUP. CLAS. PROF.]]=$B39,IF(DATOS_[[Check Periodo Ref.]:[Check Periodo Ref.]]="Dentro",DATOS_[Conc.Sal.18]))))), 0)</f>
        <v>0</v>
      </c>
      <c r="X41" s="250" t="n">
        <f aca="false" t="array" ref="X41:X41">IFERROR( MEDIAN((IF(DATOS_[[Sexo]:[Sexo]]=$B41,IF(DATOS_[[AGRUP. CLAS. PROF.]:[AGRUP. CLAS. PROF.]]=$B39,IF(DATOS_[[Check Periodo Ref.]:[Check Periodo Ref.]]="Dentro",DATOS_[Conc.Sal.19]))))), 0)</f>
        <v>0</v>
      </c>
      <c r="Y41" s="250" t="n">
        <f aca="false" t="array" ref="Y41:Y41">IFERROR( MEDIAN((IF(DATOS_[[Sexo]:[Sexo]]=$B41,IF(DATOS_[[AGRUP. CLAS. PROF.]:[AGRUP. CLAS. PROF.]]=$B39,IF(DATOS_[[Check Periodo Ref.]:[Check Periodo Ref.]]="Dentro",DATOS_[Conc.Sal.20]))))), 0)</f>
        <v>0</v>
      </c>
      <c r="Z41" s="250" t="n">
        <f aca="false" t="array" ref="Z41:Z41">IFERROR( MEDIAN((IF(DATOS_[[Sexo]:[Sexo]]=$B41,IF(DATOS_[[AGRUP. CLAS. PROF.]:[AGRUP. CLAS. PROF.]]=$B39,IF(DATOS_[[Check Periodo Ref.]:[Check Periodo Ref.]]="Dentro",DATOS_[Conc.Sal.21]))))), 0)</f>
        <v>0</v>
      </c>
      <c r="AA41" s="250" t="n">
        <f aca="false" t="array" ref="AA41:AA41">IFERROR( MEDIAN((IF(DATOS_[[Sexo]:[Sexo]]=$B41,IF(DATOS_[[AGRUP. CLAS. PROF.]:[AGRUP. CLAS. PROF.]]=$B39,IF(DATOS_[[Check Periodo Ref.]:[Check Periodo Ref.]]="Dentro",DATOS_[Conc.Sal.22]))))), 0)</f>
        <v>0</v>
      </c>
      <c r="AB41" s="250" t="n">
        <f aca="false" t="array" ref="AB41:AB41">IFERROR( MEDIAN((IF(DATOS_[[Sexo]:[Sexo]]=$B41,IF(DATOS_[[AGRUP. CLAS. PROF.]:[AGRUP. CLAS. PROF.]]=$B39,IF(DATOS_[[Check Periodo Ref.]:[Check Periodo Ref.]]="Dentro",DATOS_[Conc.Sal.23]))))), 0)</f>
        <v>0</v>
      </c>
      <c r="AC41" s="250" t="n">
        <f aca="false" t="array" ref="AC41:AC41">IFERROR( MEDIAN((IF(DATOS_[[Sexo]:[Sexo]]=$B41,IF(DATOS_[[AGRUP. CLAS. PROF.]:[AGRUP. CLAS. PROF.]]=$B39,IF(DATOS_[[Check Periodo Ref.]:[Check Periodo Ref.]]="Dentro",DATOS_[Conc.Sal.24]))))), 0)</f>
        <v>0</v>
      </c>
      <c r="AD41" s="250" t="n">
        <f aca="false" t="array" ref="AD41:AD41">IFERROR( MEDIAN((IF(DATOS_[[Sexo]:[Sexo]]=$B41,IF(DATOS_[[AGRUP. CLAS. PROF.]:[AGRUP. CLAS. PROF.]]=$B39,IF(DATOS_[[Check Periodo Ref.]:[Check Periodo Ref.]]="Dentro",DATOS_[Conc.Sal.25]))))), 0)</f>
        <v>0</v>
      </c>
      <c r="AE41" s="250" t="n">
        <f aca="false" t="array" ref="AE41:AE41">IFERROR( MEDIAN((IF(DATOS_[[Sexo]:[Sexo]]=$B41,IF(DATOS_[[AGRUP. CLAS. PROF.]:[AGRUP. CLAS. PROF.]]=$B39,IF(DATOS_[[Check Periodo Ref.]:[Check Periodo Ref.]]="Dentro",DATOS_[Conc.Sal.26]))))), 0)</f>
        <v>0</v>
      </c>
      <c r="AF41" s="250" t="n">
        <f aca="false" t="array" ref="AF41:AF41">IFERROR( MEDIAN((IF(DATOS_[[Sexo]:[Sexo]]=$B41,IF(DATOS_[[AGRUP. CLAS. PROF.]:[AGRUP. CLAS. PROF.]]=$B39,IF(DATOS_[[Check Periodo Ref.]:[Check Periodo Ref.]]="Dentro",DATOS_[Conc.Sal.27]))))), 0)</f>
        <v>0</v>
      </c>
      <c r="AG41" s="250" t="n">
        <f aca="false" t="array" ref="AG41:AG41">IFERROR( MEDIAN((IF(DATOS_[[Sexo]:[Sexo]]=$B41,IF(DATOS_[[AGRUP. CLAS. PROF.]:[AGRUP. CLAS. PROF.]]=$B39,IF(DATOS_[[Check Periodo Ref.]:[Check Periodo Ref.]]="Dentro",DATOS_[Conc.Sal.28]))))), 0)</f>
        <v>0</v>
      </c>
      <c r="AH41" s="250" t="n">
        <f aca="false" t="array" ref="AH41:AH41">IFERROR( MEDIAN((IF(DATOS_[[Sexo]:[Sexo]]=$B41,IF(DATOS_[[AGRUP. CLAS. PROF.]:[AGRUP. CLAS. PROF.]]=$B39,IF(DATOS_[[Check Periodo Ref.]:[Check Periodo Ref.]]="Dentro",DATOS_[Conc.Sal.29]))))), 0)</f>
        <v>0</v>
      </c>
      <c r="AI41" s="250" t="n">
        <f aca="false" t="array" ref="AI41:AI41">IFERROR( MEDIAN((IF(DATOS_[[Sexo]:[Sexo]]=$B41,IF(DATOS_[[AGRUP. CLAS. PROF.]:[AGRUP. CLAS. PROF.]]=$B39,IF(DATOS_[[Check Periodo Ref.]:[Check Periodo Ref.]]="Dentro",DATOS_[Conc.Sal.30]))))), 0)</f>
        <v>0</v>
      </c>
      <c r="AJ41" s="251" t="n">
        <f aca="false" t="array" ref="AJ41:AJ41">IFERROR( MEDIAN(IF(DATOS_[Sexo]=$B41,IF(DATOS_[AGRUP. CLAS. PROF.]=$B39,IF(DATOS_[Check Periodo Ref.]="Dentro",DATOS_[Tot COMPL.SAL Ef],0)))), 0)</f>
        <v>0</v>
      </c>
      <c r="AK41" s="252" t="n">
        <f aca="false" t="array" ref="AK41:AK41">IFERROR( MEDIAN(IF(DATOS_[Sexo]=$B41,IF(DATOS_[AGRUP. CLAS. PROF.]=$B39,IF(DATOS_[Check Periodo Ref.]="Dentro",DATOS_[TOTAL SALARIO Ef],0)))), 0)</f>
        <v>0</v>
      </c>
      <c r="AL41" s="259" t="n">
        <f aca="false" t="array" ref="AL41:AL41">IFERROR( MEDIAN((IF(DATOS_[[Sexo]:[Sexo]]=$B41,IF(DATOS_[[AGRUP. CLAS. PROF.]:[AGRUP. CLAS. PROF.]]=$B39,IF(DATOS_[[Check Periodo Ref.]:[Check Periodo Ref.]]="Dentro",DATOS_[C.Extra.01]))))), 0)</f>
        <v>0</v>
      </c>
      <c r="AM41" s="259" t="n">
        <f aca="false" t="array" ref="AM41:AM41">IFERROR( MEDIAN((IF(DATOS_[[Sexo]:[Sexo]]=$B41,IF(DATOS_[[AGRUP. CLAS. PROF.]:[AGRUP. CLAS. PROF.]]=$B39,IF(DATOS_[[Check Periodo Ref.]:[Check Periodo Ref.]]="Dentro",DATOS_[C.Extra.02]))))), 0)</f>
        <v>0</v>
      </c>
      <c r="AN41" s="259" t="n">
        <f aca="false" t="array" ref="AN41:AN41">IFERROR( MEDIAN((IF(DATOS_[[Sexo]:[Sexo]]=$B41,IF(DATOS_[[AGRUP. CLAS. PROF.]:[AGRUP. CLAS. PROF.]]=$B39,IF(DATOS_[[Check Periodo Ref.]:[Check Periodo Ref.]]="Dentro",DATOS_[C.Extra.03]))))), 0)</f>
        <v>0</v>
      </c>
      <c r="AO41" s="259" t="n">
        <f aca="false" t="array" ref="AO41:AO41">IFERROR( MEDIAN((IF(DATOS_[[Sexo]:[Sexo]]=$B41,IF(DATOS_[[AGRUP. CLAS. PROF.]:[AGRUP. CLAS. PROF.]]=$B39,IF(DATOS_[[Check Periodo Ref.]:[Check Periodo Ref.]]="Dentro",DATOS_[C.Extra.04]))))), 0)</f>
        <v>0</v>
      </c>
      <c r="AP41" s="259" t="n">
        <f aca="false" t="array" ref="AP41:AP41">IFERROR( MEDIAN((IF(DATOS_[[Sexo]:[Sexo]]=$B41,IF(DATOS_[[AGRUP. CLAS. PROF.]:[AGRUP. CLAS. PROF.]]=$B39,IF(DATOS_[[Check Periodo Ref.]:[Check Periodo Ref.]]="Dentro",DATOS_[C.Extra.05]))))), 0)</f>
        <v>0</v>
      </c>
      <c r="AQ41" s="254" t="n">
        <f aca="false" t="array" ref="AQ41:AQ41">IFERROR( MEDIAN(IF(DATOS_[Sexo]=$B41,IF(DATOS_[AGRUP. CLAS. PROF.]=$B39,IF(DATOS_[Check Periodo Ref.]="Dentro",DATOS_[Tot Extrasalarial Ef],0)))), 0)</f>
        <v>0</v>
      </c>
      <c r="AR41" s="255" t="n">
        <f aca="false" t="array" ref="AR41:AR41">IFERROR( MEDIAN(IF(DATOS_[Sexo]=$B41,IF(DATOS_[AGRUP. CLAS. PROF.]=$B39,IF(DATOS_[Check Periodo Ref.]="Dentro",DATOS_[TOTAL Retrib Ef],0)))), 0)</f>
        <v>0</v>
      </c>
    </row>
    <row r="42" customFormat="false" ht="15.75" hidden="false" customHeight="false" outlineLevel="0" collapsed="false">
      <c r="A42" s="217" t="str">
        <f aca="false">+A43</f>
        <v>[ocultar]</v>
      </c>
      <c r="B42" s="235" t="s">
        <v>195</v>
      </c>
      <c r="C42" s="236"/>
      <c r="D42" s="237"/>
      <c r="E42" s="238" t="str">
        <f aca="false">IFERROR((E43-E44)/E43,"")</f>
        <v/>
      </c>
      <c r="F42" s="239" t="str">
        <f aca="false">IFERROR((F43-F44)/F43,"")</f>
        <v/>
      </c>
      <c r="G42" s="239" t="str">
        <f aca="false">IFERROR((G43-G44)/G43,"")</f>
        <v/>
      </c>
      <c r="H42" s="239" t="str">
        <f aca="false">IFERROR((H43-H44)/H43,"")</f>
        <v/>
      </c>
      <c r="I42" s="239"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40" t="str">
        <f aca="false">IFERROR((V43-V44)/V43,"")</f>
        <v/>
      </c>
      <c r="W42" s="240" t="str">
        <f aca="false">IFERROR((W43-W44)/W43,"")</f>
        <v/>
      </c>
      <c r="X42" s="240" t="str">
        <f aca="false">IFERROR((X43-X44)/X43,"")</f>
        <v/>
      </c>
      <c r="Y42" s="240"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1" t="str">
        <f aca="false">IFERROR((AJ43-AJ44)/AJ43,"")</f>
        <v/>
      </c>
      <c r="AK42" s="242" t="str">
        <f aca="false">IFERROR((AK43-AK44)/AK43,"")</f>
        <v/>
      </c>
      <c r="AL42" s="243" t="str">
        <f aca="false">IFERROR((AL43-AL44)/AL43,"")</f>
        <v/>
      </c>
      <c r="AM42" s="243" t="str">
        <f aca="false">IFERROR((AM43-AM44)/AM43,"")</f>
        <v/>
      </c>
      <c r="AN42" s="243" t="str">
        <f aca="false">IFERROR((AN43-AN44)/AN43,"")</f>
        <v/>
      </c>
      <c r="AO42" s="243" t="str">
        <f aca="false">IFERROR((AO43-AO44)/AO43,"")</f>
        <v/>
      </c>
      <c r="AP42" s="243" t="str">
        <f aca="false">IFERROR((AP43-AP44)/AP43,"")</f>
        <v/>
      </c>
      <c r="AQ42" s="244" t="str">
        <f aca="false">IFERROR((AQ43-AQ44)/AQ43,"")</f>
        <v/>
      </c>
      <c r="AR42" s="245" t="str">
        <f aca="false">IFERROR((AR43-AR44)/AR43,"")</f>
        <v/>
      </c>
    </row>
    <row r="43" customFormat="false" ht="14.25" hidden="false" customHeight="false" outlineLevel="0" collapsed="false">
      <c r="A43" s="217" t="str">
        <f aca="false">+IF(C43+C44=0,"[ocultar]","")</f>
        <v>[ocultar]</v>
      </c>
      <c r="B43" s="246" t="s">
        <v>371</v>
      </c>
      <c r="C43" s="247" t="n">
        <f aca="false" t="array" ref="C43:C43">SUM(IF($B43=DATOS_[Sexo], IF($B42=DATOS_[AGRUP. CLAS. PROF.], IF("Dentro"=DATOS_[Check Periodo Ref.], 1/(COUNTIFS(DATOS_[Sexo],$B43,DATOS_[AGRUP. CLAS. PROF.],$B42,DATOS_[Check Periodo Ref.],"Dentro",DATOS_[id],DATOS_[id]))))))</f>
        <v>0</v>
      </c>
      <c r="D43" s="248" t="n">
        <f aca="false">COUNTIFS(DATOS_[AGRUP. CLAS. PROF.],$B42,DATOS_[Sexo],$B43,DATOS_[Check Periodo Ref.],"Dentro")</f>
        <v>0</v>
      </c>
      <c r="E43" s="249" t="n">
        <f aca="false" t="array" ref="E43:E43">IFERROR( MEDIAN(IF(DATOS_[Sexo]=$B43,IF(DATOS_[AGRUP. CLAS. PROF.]=$B42,IF(DATOS_[Check Periodo Ref.]="Dentro",DATOS_[SALARIO BASE Ef],0)))), 0)</f>
        <v>0</v>
      </c>
      <c r="F43" s="250" t="n">
        <f aca="false" t="array" ref="F43:F43">IFERROR( MEDIAN((IF(DATOS_[[Sexo]:[Sexo]]=$B43,IF(DATOS_[[AGRUP. CLAS. PROF.]:[AGRUP. CLAS. PROF.]]=$B42,IF(DATOS_[[Check Periodo Ref.]:[Check Periodo Ref.]]="Dentro",DATOS_[Conc.Sal.01]))))), 0)</f>
        <v>0</v>
      </c>
      <c r="G43" s="250" t="n">
        <f aca="false" t="array" ref="G43:G43">IFERROR( MEDIAN((IF(DATOS_[[Sexo]:[Sexo]]=$B43,IF(DATOS_[[AGRUP. CLAS. PROF.]:[AGRUP. CLAS. PROF.]]=$B42,IF(DATOS_[[Check Periodo Ref.]:[Check Periodo Ref.]]="Dentro",DATOS_[Conc.Sal.02]))))), 0)</f>
        <v>0</v>
      </c>
      <c r="H43" s="250" t="n">
        <f aca="false" t="array" ref="H43:H43">IFERROR( MEDIAN((IF(DATOS_[[Sexo]:[Sexo]]=$B43,IF(DATOS_[[AGRUP. CLAS. PROF.]:[AGRUP. CLAS. PROF.]]=$B42,IF(DATOS_[[Check Periodo Ref.]:[Check Periodo Ref.]]="Dentro",DATOS_[Conc.Sal.03]))))), 0)</f>
        <v>0</v>
      </c>
      <c r="I43" s="250" t="n">
        <f aca="false" t="array" ref="I43:I43">IFERROR( MEDIAN((IF(DATOS_[[Sexo]:[Sexo]]=$B43,IF(DATOS_[[AGRUP. CLAS. PROF.]:[AGRUP. CLAS. PROF.]]=$B42,IF(DATOS_[[Check Periodo Ref.]:[Check Periodo Ref.]]="Dentro",DATOS_[Conc.Sal.04]))))), 0)</f>
        <v>0</v>
      </c>
      <c r="J43" s="250" t="n">
        <f aca="false" t="array" ref="J43:J43">IFERROR( MEDIAN((IF(DATOS_[[Sexo]:[Sexo]]=$B43,IF(DATOS_[[AGRUP. CLAS. PROF.]:[AGRUP. CLAS. PROF.]]=$B42,IF(DATOS_[[Check Periodo Ref.]:[Check Periodo Ref.]]="Dentro",DATOS_[Conc.Sal.05]))))), 0)</f>
        <v>0</v>
      </c>
      <c r="K43" s="250" t="n">
        <f aca="false" t="array" ref="K43:K43">IFERROR( MEDIAN((IF(DATOS_[[Sexo]:[Sexo]]=$B43,IF(DATOS_[[AGRUP. CLAS. PROF.]:[AGRUP. CLAS. PROF.]]=$B42,IF(DATOS_[[Check Periodo Ref.]:[Check Periodo Ref.]]="Dentro",DATOS_[Conc.Sal.06]))))), 0)</f>
        <v>0</v>
      </c>
      <c r="L43" s="250" t="n">
        <f aca="false" t="array" ref="L43:L43">IFERROR( MEDIAN((IF(DATOS_[[Sexo]:[Sexo]]=$B43,IF(DATOS_[[AGRUP. CLAS. PROF.]:[AGRUP. CLAS. PROF.]]=$B42,IF(DATOS_[[Check Periodo Ref.]:[Check Periodo Ref.]]="Dentro",DATOS_[Conc.Sal.07]))))), 0)</f>
        <v>0</v>
      </c>
      <c r="M43" s="250" t="n">
        <f aca="false" t="array" ref="M43:M43">IFERROR( MEDIAN((IF(DATOS_[[Sexo]:[Sexo]]=$B43,IF(DATOS_[[AGRUP. CLAS. PROF.]:[AGRUP. CLAS. PROF.]]=$B42,IF(DATOS_[[Check Periodo Ref.]:[Check Periodo Ref.]]="Dentro",DATOS_[Conc.Sal.08]))))), 0)</f>
        <v>0</v>
      </c>
      <c r="N43" s="250" t="n">
        <f aca="false" t="array" ref="N43:N43">IFERROR( MEDIAN((IF(DATOS_[[Sexo]:[Sexo]]=$B43,IF(DATOS_[[AGRUP. CLAS. PROF.]:[AGRUP. CLAS. PROF.]]=$B42,IF(DATOS_[[Check Periodo Ref.]:[Check Periodo Ref.]]="Dentro",DATOS_[Conc.Sal.09]))))), 0)</f>
        <v>0</v>
      </c>
      <c r="O43" s="250" t="n">
        <f aca="false" t="array" ref="O43:O43">IFERROR( MEDIAN((IF(DATOS_[[Sexo]:[Sexo]]=$B43,IF(DATOS_[[AGRUP. CLAS. PROF.]:[AGRUP. CLAS. PROF.]]=$B42,IF(DATOS_[[Check Periodo Ref.]:[Check Periodo Ref.]]="Dentro",DATOS_[Conc.Sal.10]))))), 0)</f>
        <v>0</v>
      </c>
      <c r="P43" s="250" t="n">
        <f aca="false" t="array" ref="P43:P43">IFERROR( MEDIAN((IF(DATOS_[[Sexo]:[Sexo]]=$B43,IF(DATOS_[[AGRUP. CLAS. PROF.]:[AGRUP. CLAS. PROF.]]=$B42,IF(DATOS_[[Check Periodo Ref.]:[Check Periodo Ref.]]="Dentro",DATOS_[Conc.Sal.11]))))), 0)</f>
        <v>0</v>
      </c>
      <c r="Q43" s="250" t="n">
        <f aca="false" t="array" ref="Q43:Q43">IFERROR( MEDIAN((IF(DATOS_[[Sexo]:[Sexo]]=$B43,IF(DATOS_[[AGRUP. CLAS. PROF.]:[AGRUP. CLAS. PROF.]]=$B42,IF(DATOS_[[Check Periodo Ref.]:[Check Periodo Ref.]]="Dentro",DATOS_[Conc.Sal.12]))))), 0)</f>
        <v>0</v>
      </c>
      <c r="R43" s="250" t="n">
        <f aca="false" t="array" ref="R43:R43">IFERROR( MEDIAN((IF(DATOS_[[Sexo]:[Sexo]]=$B43,IF(DATOS_[[AGRUP. CLAS. PROF.]:[AGRUP. CLAS. PROF.]]=$B42,IF(DATOS_[[Check Periodo Ref.]:[Check Periodo Ref.]]="Dentro",DATOS_[Conc.Sal.13]))))), 0)</f>
        <v>0</v>
      </c>
      <c r="S43" s="250" t="n">
        <f aca="false" t="array" ref="S43:S43">IFERROR( MEDIAN((IF(DATOS_[[Sexo]:[Sexo]]=$B43,IF(DATOS_[[AGRUP. CLAS. PROF.]:[AGRUP. CLAS. PROF.]]=$B42,IF(DATOS_[[Check Periodo Ref.]:[Check Periodo Ref.]]="Dentro",DATOS_[Conc.Sal.14]))))), 0)</f>
        <v>0</v>
      </c>
      <c r="T43" s="250" t="n">
        <f aca="false" t="array" ref="T43:T43">IFERROR( MEDIAN((IF(DATOS_[[Sexo]:[Sexo]]=$B43,IF(DATOS_[[AGRUP. CLAS. PROF.]:[AGRUP. CLAS. PROF.]]=$B42,IF(DATOS_[[Check Periodo Ref.]:[Check Periodo Ref.]]="Dentro",DATOS_[Conc.Sal.15]))))), 0)</f>
        <v>0</v>
      </c>
      <c r="U43" s="250" t="n">
        <f aca="false" t="array" ref="U43:U43">IFERROR( MEDIAN((IF(DATOS_[[Sexo]:[Sexo]]=$B43,IF(DATOS_[[AGRUP. CLAS. PROF.]:[AGRUP. CLAS. PROF.]]=$B42,IF(DATOS_[[Check Periodo Ref.]:[Check Periodo Ref.]]="Dentro",DATOS_[Conc.Sal.16]))))), 0)</f>
        <v>0</v>
      </c>
      <c r="V43" s="250" t="n">
        <f aca="false" t="array" ref="V43:V43">IFERROR( MEDIAN((IF(DATOS_[[Sexo]:[Sexo]]=$B43,IF(DATOS_[[AGRUP. CLAS. PROF.]:[AGRUP. CLAS. PROF.]]=$B42,IF(DATOS_[[Check Periodo Ref.]:[Check Periodo Ref.]]="Dentro",DATOS_[Conc.Sal.17]))))), 0)</f>
        <v>0</v>
      </c>
      <c r="W43" s="250" t="n">
        <f aca="false" t="array" ref="W43:W43">IFERROR( MEDIAN((IF(DATOS_[[Sexo]:[Sexo]]=$B43,IF(DATOS_[[AGRUP. CLAS. PROF.]:[AGRUP. CLAS. PROF.]]=$B42,IF(DATOS_[[Check Periodo Ref.]:[Check Periodo Ref.]]="Dentro",DATOS_[Conc.Sal.18]))))), 0)</f>
        <v>0</v>
      </c>
      <c r="X43" s="250" t="n">
        <f aca="false" t="array" ref="X43:X43">IFERROR( MEDIAN((IF(DATOS_[[Sexo]:[Sexo]]=$B43,IF(DATOS_[[AGRUP. CLAS. PROF.]:[AGRUP. CLAS. PROF.]]=$B42,IF(DATOS_[[Check Periodo Ref.]:[Check Periodo Ref.]]="Dentro",DATOS_[Conc.Sal.19]))))), 0)</f>
        <v>0</v>
      </c>
      <c r="Y43" s="250" t="n">
        <f aca="false" t="array" ref="Y43:Y43">IFERROR( MEDIAN((IF(DATOS_[[Sexo]:[Sexo]]=$B43,IF(DATOS_[[AGRUP. CLAS. PROF.]:[AGRUP. CLAS. PROF.]]=$B42,IF(DATOS_[[Check Periodo Ref.]:[Check Periodo Ref.]]="Dentro",DATOS_[Conc.Sal.20]))))), 0)</f>
        <v>0</v>
      </c>
      <c r="Z43" s="250" t="n">
        <f aca="false" t="array" ref="Z43:Z43">IFERROR( MEDIAN((IF(DATOS_[[Sexo]:[Sexo]]=$B43,IF(DATOS_[[AGRUP. CLAS. PROF.]:[AGRUP. CLAS. PROF.]]=$B42,IF(DATOS_[[Check Periodo Ref.]:[Check Periodo Ref.]]="Dentro",DATOS_[Conc.Sal.21]))))), 0)</f>
        <v>0</v>
      </c>
      <c r="AA43" s="250" t="n">
        <f aca="false" t="array" ref="AA43:AA43">IFERROR( MEDIAN((IF(DATOS_[[Sexo]:[Sexo]]=$B43,IF(DATOS_[[AGRUP. CLAS. PROF.]:[AGRUP. CLAS. PROF.]]=$B42,IF(DATOS_[[Check Periodo Ref.]:[Check Periodo Ref.]]="Dentro",DATOS_[Conc.Sal.22]))))), 0)</f>
        <v>0</v>
      </c>
      <c r="AB43" s="250" t="n">
        <f aca="false" t="array" ref="AB43:AB43">IFERROR( MEDIAN((IF(DATOS_[[Sexo]:[Sexo]]=$B43,IF(DATOS_[[AGRUP. CLAS. PROF.]:[AGRUP. CLAS. PROF.]]=$B42,IF(DATOS_[[Check Periodo Ref.]:[Check Periodo Ref.]]="Dentro",DATOS_[Conc.Sal.23]))))), 0)</f>
        <v>0</v>
      </c>
      <c r="AC43" s="250" t="n">
        <f aca="false" t="array" ref="AC43:AC43">IFERROR( MEDIAN((IF(DATOS_[[Sexo]:[Sexo]]=$B43,IF(DATOS_[[AGRUP. CLAS. PROF.]:[AGRUP. CLAS. PROF.]]=$B42,IF(DATOS_[[Check Periodo Ref.]:[Check Periodo Ref.]]="Dentro",DATOS_[Conc.Sal.24]))))), 0)</f>
        <v>0</v>
      </c>
      <c r="AD43" s="250" t="n">
        <f aca="false" t="array" ref="AD43:AD43">IFERROR( MEDIAN((IF(DATOS_[[Sexo]:[Sexo]]=$B43,IF(DATOS_[[AGRUP. CLAS. PROF.]:[AGRUP. CLAS. PROF.]]=$B42,IF(DATOS_[[Check Periodo Ref.]:[Check Periodo Ref.]]="Dentro",DATOS_[Conc.Sal.25]))))), 0)</f>
        <v>0</v>
      </c>
      <c r="AE43" s="250" t="n">
        <f aca="false" t="array" ref="AE43:AE43">IFERROR( MEDIAN((IF(DATOS_[[Sexo]:[Sexo]]=$B43,IF(DATOS_[[AGRUP. CLAS. PROF.]:[AGRUP. CLAS. PROF.]]=$B42,IF(DATOS_[[Check Periodo Ref.]:[Check Periodo Ref.]]="Dentro",DATOS_[Conc.Sal.26]))))), 0)</f>
        <v>0</v>
      </c>
      <c r="AF43" s="250" t="n">
        <f aca="false" t="array" ref="AF43:AF43">IFERROR( MEDIAN((IF(DATOS_[[Sexo]:[Sexo]]=$B43,IF(DATOS_[[AGRUP. CLAS. PROF.]:[AGRUP. CLAS. PROF.]]=$B42,IF(DATOS_[[Check Periodo Ref.]:[Check Periodo Ref.]]="Dentro",DATOS_[Conc.Sal.27]))))), 0)</f>
        <v>0</v>
      </c>
      <c r="AG43" s="250" t="n">
        <f aca="false" t="array" ref="AG43:AG43">IFERROR( MEDIAN((IF(DATOS_[[Sexo]:[Sexo]]=$B43,IF(DATOS_[[AGRUP. CLAS. PROF.]:[AGRUP. CLAS. PROF.]]=$B42,IF(DATOS_[[Check Periodo Ref.]:[Check Periodo Ref.]]="Dentro",DATOS_[Conc.Sal.28]))))), 0)</f>
        <v>0</v>
      </c>
      <c r="AH43" s="250" t="n">
        <f aca="false" t="array" ref="AH43:AH43">IFERROR( MEDIAN((IF(DATOS_[[Sexo]:[Sexo]]=$B43,IF(DATOS_[[AGRUP. CLAS. PROF.]:[AGRUP. CLAS. PROF.]]=$B42,IF(DATOS_[[Check Periodo Ref.]:[Check Periodo Ref.]]="Dentro",DATOS_[Conc.Sal.29]))))), 0)</f>
        <v>0</v>
      </c>
      <c r="AI43" s="250" t="n">
        <f aca="false" t="array" ref="AI43:AI43">IFERROR( MEDIAN((IF(DATOS_[[Sexo]:[Sexo]]=$B43,IF(DATOS_[[AGRUP. CLAS. PROF.]:[AGRUP. CLAS. PROF.]]=$B42,IF(DATOS_[[Check Periodo Ref.]:[Check Periodo Ref.]]="Dentro",DATOS_[Conc.Sal.30]))))), 0)</f>
        <v>0</v>
      </c>
      <c r="AJ43" s="251" t="n">
        <f aca="false" t="array" ref="AJ43:AJ43">IFERROR( MEDIAN(IF(DATOS_[Sexo]=$B43,IF(DATOS_[AGRUP. CLAS. PROF.]=$B42,IF(DATOS_[Check Periodo Ref.]="Dentro",DATOS_[Tot COMPL.SAL Ef],0)))), 0)</f>
        <v>0</v>
      </c>
      <c r="AK43" s="252" t="n">
        <f aca="false" t="array" ref="AK43:AK43">IFERROR( MEDIAN(IF(DATOS_[Sexo]=$B43,IF(DATOS_[AGRUP. CLAS. PROF.]=$B42,IF(DATOS_[Check Periodo Ref.]="Dentro",DATOS_[TOTAL SALARIO Ef],0)))), 0)</f>
        <v>0</v>
      </c>
      <c r="AL43" s="259" t="n">
        <f aca="false" t="array" ref="AL43:AL43">IFERROR( MEDIAN((IF(DATOS_[[Sexo]:[Sexo]]=$B43,IF(DATOS_[[AGRUP. CLAS. PROF.]:[AGRUP. CLAS. PROF.]]=$B42,IF(DATOS_[[Check Periodo Ref.]:[Check Periodo Ref.]]="Dentro",DATOS_[C.Extra.01]))))), 0)</f>
        <v>0</v>
      </c>
      <c r="AM43" s="259" t="n">
        <f aca="false" t="array" ref="AM43:AM43">IFERROR( MEDIAN((IF(DATOS_[[Sexo]:[Sexo]]=$B43,IF(DATOS_[[AGRUP. CLAS. PROF.]:[AGRUP. CLAS. PROF.]]=$B42,IF(DATOS_[[Check Periodo Ref.]:[Check Periodo Ref.]]="Dentro",DATOS_[C.Extra.02]))))), 0)</f>
        <v>0</v>
      </c>
      <c r="AN43" s="259" t="n">
        <f aca="false" t="array" ref="AN43:AN43">IFERROR( MEDIAN((IF(DATOS_[[Sexo]:[Sexo]]=$B43,IF(DATOS_[[AGRUP. CLAS. PROF.]:[AGRUP. CLAS. PROF.]]=$B42,IF(DATOS_[[Check Periodo Ref.]:[Check Periodo Ref.]]="Dentro",DATOS_[C.Extra.03]))))), 0)</f>
        <v>0</v>
      </c>
      <c r="AO43" s="259" t="n">
        <f aca="false" t="array" ref="AO43:AO43">IFERROR( MEDIAN((IF(DATOS_[[Sexo]:[Sexo]]=$B43,IF(DATOS_[[AGRUP. CLAS. PROF.]:[AGRUP. CLAS. PROF.]]=$B42,IF(DATOS_[[Check Periodo Ref.]:[Check Periodo Ref.]]="Dentro",DATOS_[C.Extra.04]))))), 0)</f>
        <v>0</v>
      </c>
      <c r="AP43" s="259" t="n">
        <f aca="false" t="array" ref="AP43:AP43">IFERROR( MEDIAN((IF(DATOS_[[Sexo]:[Sexo]]=$B43,IF(DATOS_[[AGRUP. CLAS. PROF.]:[AGRUP. CLAS. PROF.]]=$B42,IF(DATOS_[[Check Periodo Ref.]:[Check Periodo Ref.]]="Dentro",DATOS_[C.Extra.05]))))), 0)</f>
        <v>0</v>
      </c>
      <c r="AQ43" s="254" t="n">
        <f aca="false" t="array" ref="AQ43:AQ43">IFERROR( MEDIAN(IF(DATOS_[Sexo]=$B43,IF(DATOS_[AGRUP. CLAS. PROF.]=$B42,IF(DATOS_[Check Periodo Ref.]="Dentro",DATOS_[Tot Extrasalarial Ef],0)))), 0)</f>
        <v>0</v>
      </c>
      <c r="AR43" s="255" t="n">
        <f aca="false" t="array" ref="AR43:AR43">IFERROR( MEDIAN(IF(DATOS_[Sexo]=$B43,IF(DATOS_[AGRUP. CLAS. PROF.]=$B42,IF(DATOS_[Check Periodo Ref.]="Dentro",DATOS_[TOTAL Retrib Ef],0)))), 0)</f>
        <v>0</v>
      </c>
    </row>
    <row r="44" customFormat="false" ht="14.25" hidden="false" customHeight="false" outlineLevel="0" collapsed="false">
      <c r="A44" s="217" t="str">
        <f aca="false">+A43</f>
        <v>[ocultar]</v>
      </c>
      <c r="B44" s="246" t="s">
        <v>372</v>
      </c>
      <c r="C44" s="247" t="n">
        <f aca="false" t="array" ref="C44:C44">SUM(IF($B44=DATOS_[Sexo], IF($B42=DATOS_[AGRUP. CLAS. PROF.], IF("Dentro"=DATOS_[Check Periodo Ref.], 1/(COUNTIFS(DATOS_[Sexo],$B44,DATOS_[AGRUP. CLAS. PROF.],$B42,DATOS_[Check Periodo Ref.],"Dentro",DATOS_[id],DATOS_[id]))))))</f>
        <v>0</v>
      </c>
      <c r="D44" s="248" t="n">
        <f aca="false">COUNTIFS(DATOS_[AGRUP. CLAS. PROF.],$B42,DATOS_[Sexo],$B44,DATOS_[Check Periodo Ref.],"Dentro")</f>
        <v>0</v>
      </c>
      <c r="E44" s="249" t="n">
        <f aca="false" t="array" ref="E44:E44">IFERROR( MEDIAN(IF(DATOS_[Sexo]=$B44,IF(DATOS_[AGRUP. CLAS. PROF.]=$B42,IF(DATOS_[Check Periodo Ref.]="Dentro",DATOS_[SALARIO BASE Ef],0)))), 0)</f>
        <v>0</v>
      </c>
      <c r="F44" s="250" t="n">
        <f aca="false" t="array" ref="F44:F44">IFERROR( MEDIAN((IF(DATOS_[[Sexo]:[Sexo]]=$B44,IF(DATOS_[[AGRUP. CLAS. PROF.]:[AGRUP. CLAS. PROF.]]=$B42,IF(DATOS_[[Check Periodo Ref.]:[Check Periodo Ref.]]="Dentro",DATOS_[Conc.Sal.01]))))), 0)</f>
        <v>0</v>
      </c>
      <c r="G44" s="250" t="n">
        <f aca="false" t="array" ref="G44:G44">IFERROR( MEDIAN((IF(DATOS_[[Sexo]:[Sexo]]=$B44,IF(DATOS_[[AGRUP. CLAS. PROF.]:[AGRUP. CLAS. PROF.]]=$B42,IF(DATOS_[[Check Periodo Ref.]:[Check Periodo Ref.]]="Dentro",DATOS_[Conc.Sal.02]))))), 0)</f>
        <v>0</v>
      </c>
      <c r="H44" s="250" t="n">
        <f aca="false" t="array" ref="H44:H44">IFERROR( MEDIAN((IF(DATOS_[[Sexo]:[Sexo]]=$B44,IF(DATOS_[[AGRUP. CLAS. PROF.]:[AGRUP. CLAS. PROF.]]=$B42,IF(DATOS_[[Check Periodo Ref.]:[Check Periodo Ref.]]="Dentro",DATOS_[Conc.Sal.03]))))), 0)</f>
        <v>0</v>
      </c>
      <c r="I44" s="250" t="n">
        <f aca="false" t="array" ref="I44:I44">IFERROR( MEDIAN((IF(DATOS_[[Sexo]:[Sexo]]=$B44,IF(DATOS_[[AGRUP. CLAS. PROF.]:[AGRUP. CLAS. PROF.]]=$B42,IF(DATOS_[[Check Periodo Ref.]:[Check Periodo Ref.]]="Dentro",DATOS_[Conc.Sal.04]))))), 0)</f>
        <v>0</v>
      </c>
      <c r="J44" s="250" t="n">
        <f aca="false" t="array" ref="J44:J44">IFERROR( MEDIAN((IF(DATOS_[[Sexo]:[Sexo]]=$B44,IF(DATOS_[[AGRUP. CLAS. PROF.]:[AGRUP. CLAS. PROF.]]=$B42,IF(DATOS_[[Check Periodo Ref.]:[Check Periodo Ref.]]="Dentro",DATOS_[Conc.Sal.05]))))), 0)</f>
        <v>0</v>
      </c>
      <c r="K44" s="250" t="n">
        <f aca="false" t="array" ref="K44:K44">IFERROR( MEDIAN((IF(DATOS_[[Sexo]:[Sexo]]=$B44,IF(DATOS_[[AGRUP. CLAS. PROF.]:[AGRUP. CLAS. PROF.]]=$B42,IF(DATOS_[[Check Periodo Ref.]:[Check Periodo Ref.]]="Dentro",DATOS_[Conc.Sal.06]))))), 0)</f>
        <v>0</v>
      </c>
      <c r="L44" s="250" t="n">
        <f aca="false" t="array" ref="L44:L44">IFERROR( MEDIAN((IF(DATOS_[[Sexo]:[Sexo]]=$B44,IF(DATOS_[[AGRUP. CLAS. PROF.]:[AGRUP. CLAS. PROF.]]=$B42,IF(DATOS_[[Check Periodo Ref.]:[Check Periodo Ref.]]="Dentro",DATOS_[Conc.Sal.07]))))), 0)</f>
        <v>0</v>
      </c>
      <c r="M44" s="250" t="n">
        <f aca="false" t="array" ref="M44:M44">IFERROR( MEDIAN((IF(DATOS_[[Sexo]:[Sexo]]=$B44,IF(DATOS_[[AGRUP. CLAS. PROF.]:[AGRUP. CLAS. PROF.]]=$B42,IF(DATOS_[[Check Periodo Ref.]:[Check Periodo Ref.]]="Dentro",DATOS_[Conc.Sal.08]))))), 0)</f>
        <v>0</v>
      </c>
      <c r="N44" s="250" t="n">
        <f aca="false" t="array" ref="N44:N44">IFERROR( MEDIAN((IF(DATOS_[[Sexo]:[Sexo]]=$B44,IF(DATOS_[[AGRUP. CLAS. PROF.]:[AGRUP. CLAS. PROF.]]=$B42,IF(DATOS_[[Check Periodo Ref.]:[Check Periodo Ref.]]="Dentro",DATOS_[Conc.Sal.09]))))), 0)</f>
        <v>0</v>
      </c>
      <c r="O44" s="250" t="n">
        <f aca="false" t="array" ref="O44:O44">IFERROR( MEDIAN((IF(DATOS_[[Sexo]:[Sexo]]=$B44,IF(DATOS_[[AGRUP. CLAS. PROF.]:[AGRUP. CLAS. PROF.]]=$B42,IF(DATOS_[[Check Periodo Ref.]:[Check Periodo Ref.]]="Dentro",DATOS_[Conc.Sal.10]))))), 0)</f>
        <v>0</v>
      </c>
      <c r="P44" s="250" t="n">
        <f aca="false" t="array" ref="P44:P44">IFERROR( MEDIAN((IF(DATOS_[[Sexo]:[Sexo]]=$B44,IF(DATOS_[[AGRUP. CLAS. PROF.]:[AGRUP. CLAS. PROF.]]=$B42,IF(DATOS_[[Check Periodo Ref.]:[Check Periodo Ref.]]="Dentro",DATOS_[Conc.Sal.11]))))), 0)</f>
        <v>0</v>
      </c>
      <c r="Q44" s="250" t="n">
        <f aca="false" t="array" ref="Q44:Q44">IFERROR( MEDIAN((IF(DATOS_[[Sexo]:[Sexo]]=$B44,IF(DATOS_[[AGRUP. CLAS. PROF.]:[AGRUP. CLAS. PROF.]]=$B42,IF(DATOS_[[Check Periodo Ref.]:[Check Periodo Ref.]]="Dentro",DATOS_[Conc.Sal.12]))))), 0)</f>
        <v>0</v>
      </c>
      <c r="R44" s="250" t="n">
        <f aca="false" t="array" ref="R44:R44">IFERROR( MEDIAN((IF(DATOS_[[Sexo]:[Sexo]]=$B44,IF(DATOS_[[AGRUP. CLAS. PROF.]:[AGRUP. CLAS. PROF.]]=$B42,IF(DATOS_[[Check Periodo Ref.]:[Check Periodo Ref.]]="Dentro",DATOS_[Conc.Sal.13]))))), 0)</f>
        <v>0</v>
      </c>
      <c r="S44" s="250" t="n">
        <f aca="false" t="array" ref="S44:S44">IFERROR( MEDIAN((IF(DATOS_[[Sexo]:[Sexo]]=$B44,IF(DATOS_[[AGRUP. CLAS. PROF.]:[AGRUP. CLAS. PROF.]]=$B42,IF(DATOS_[[Check Periodo Ref.]:[Check Periodo Ref.]]="Dentro",DATOS_[Conc.Sal.14]))))), 0)</f>
        <v>0</v>
      </c>
      <c r="T44" s="250" t="n">
        <f aca="false" t="array" ref="T44:T44">IFERROR( MEDIAN((IF(DATOS_[[Sexo]:[Sexo]]=$B44,IF(DATOS_[[AGRUP. CLAS. PROF.]:[AGRUP. CLAS. PROF.]]=$B42,IF(DATOS_[[Check Periodo Ref.]:[Check Periodo Ref.]]="Dentro",DATOS_[Conc.Sal.15]))))), 0)</f>
        <v>0</v>
      </c>
      <c r="U44" s="250" t="n">
        <f aca="false" t="array" ref="U44:U44">IFERROR( MEDIAN((IF(DATOS_[[Sexo]:[Sexo]]=$B44,IF(DATOS_[[AGRUP. CLAS. PROF.]:[AGRUP. CLAS. PROF.]]=$B42,IF(DATOS_[[Check Periodo Ref.]:[Check Periodo Ref.]]="Dentro",DATOS_[Conc.Sal.16]))))), 0)</f>
        <v>0</v>
      </c>
      <c r="V44" s="250" t="n">
        <f aca="false" t="array" ref="V44:V44">IFERROR( MEDIAN((IF(DATOS_[[Sexo]:[Sexo]]=$B44,IF(DATOS_[[AGRUP. CLAS. PROF.]:[AGRUP. CLAS. PROF.]]=$B42,IF(DATOS_[[Check Periodo Ref.]:[Check Periodo Ref.]]="Dentro",DATOS_[Conc.Sal.17]))))), 0)</f>
        <v>0</v>
      </c>
      <c r="W44" s="250" t="n">
        <f aca="false" t="array" ref="W44:W44">IFERROR( MEDIAN((IF(DATOS_[[Sexo]:[Sexo]]=$B44,IF(DATOS_[[AGRUP. CLAS. PROF.]:[AGRUP. CLAS. PROF.]]=$B42,IF(DATOS_[[Check Periodo Ref.]:[Check Periodo Ref.]]="Dentro",DATOS_[Conc.Sal.18]))))), 0)</f>
        <v>0</v>
      </c>
      <c r="X44" s="250" t="n">
        <f aca="false" t="array" ref="X44:X44">IFERROR( MEDIAN((IF(DATOS_[[Sexo]:[Sexo]]=$B44,IF(DATOS_[[AGRUP. CLAS. PROF.]:[AGRUP. CLAS. PROF.]]=$B42,IF(DATOS_[[Check Periodo Ref.]:[Check Periodo Ref.]]="Dentro",DATOS_[Conc.Sal.19]))))), 0)</f>
        <v>0</v>
      </c>
      <c r="Y44" s="250" t="n">
        <f aca="false" t="array" ref="Y44:Y44">IFERROR( MEDIAN((IF(DATOS_[[Sexo]:[Sexo]]=$B44,IF(DATOS_[[AGRUP. CLAS. PROF.]:[AGRUP. CLAS. PROF.]]=$B42,IF(DATOS_[[Check Periodo Ref.]:[Check Periodo Ref.]]="Dentro",DATOS_[Conc.Sal.20]))))), 0)</f>
        <v>0</v>
      </c>
      <c r="Z44" s="250" t="n">
        <f aca="false" t="array" ref="Z44:Z44">IFERROR( MEDIAN((IF(DATOS_[[Sexo]:[Sexo]]=$B44,IF(DATOS_[[AGRUP. CLAS. PROF.]:[AGRUP. CLAS. PROF.]]=$B42,IF(DATOS_[[Check Periodo Ref.]:[Check Periodo Ref.]]="Dentro",DATOS_[Conc.Sal.21]))))), 0)</f>
        <v>0</v>
      </c>
      <c r="AA44" s="250" t="n">
        <f aca="false" t="array" ref="AA44:AA44">IFERROR( MEDIAN((IF(DATOS_[[Sexo]:[Sexo]]=$B44,IF(DATOS_[[AGRUP. CLAS. PROF.]:[AGRUP. CLAS. PROF.]]=$B42,IF(DATOS_[[Check Periodo Ref.]:[Check Periodo Ref.]]="Dentro",DATOS_[Conc.Sal.22]))))), 0)</f>
        <v>0</v>
      </c>
      <c r="AB44" s="250" t="n">
        <f aca="false" t="array" ref="AB44:AB44">IFERROR( MEDIAN((IF(DATOS_[[Sexo]:[Sexo]]=$B44,IF(DATOS_[[AGRUP. CLAS. PROF.]:[AGRUP. CLAS. PROF.]]=$B42,IF(DATOS_[[Check Periodo Ref.]:[Check Periodo Ref.]]="Dentro",DATOS_[Conc.Sal.23]))))), 0)</f>
        <v>0</v>
      </c>
      <c r="AC44" s="250" t="n">
        <f aca="false" t="array" ref="AC44:AC44">IFERROR( MEDIAN((IF(DATOS_[[Sexo]:[Sexo]]=$B44,IF(DATOS_[[AGRUP. CLAS. PROF.]:[AGRUP. CLAS. PROF.]]=$B42,IF(DATOS_[[Check Periodo Ref.]:[Check Periodo Ref.]]="Dentro",DATOS_[Conc.Sal.24]))))), 0)</f>
        <v>0</v>
      </c>
      <c r="AD44" s="250" t="n">
        <f aca="false" t="array" ref="AD44:AD44">IFERROR( MEDIAN((IF(DATOS_[[Sexo]:[Sexo]]=$B44,IF(DATOS_[[AGRUP. CLAS. PROF.]:[AGRUP. CLAS. PROF.]]=$B42,IF(DATOS_[[Check Periodo Ref.]:[Check Periodo Ref.]]="Dentro",DATOS_[Conc.Sal.25]))))), 0)</f>
        <v>0</v>
      </c>
      <c r="AE44" s="250" t="n">
        <f aca="false" t="array" ref="AE44:AE44">IFERROR( MEDIAN((IF(DATOS_[[Sexo]:[Sexo]]=$B44,IF(DATOS_[[AGRUP. CLAS. PROF.]:[AGRUP. CLAS. PROF.]]=$B42,IF(DATOS_[[Check Periodo Ref.]:[Check Periodo Ref.]]="Dentro",DATOS_[Conc.Sal.26]))))), 0)</f>
        <v>0</v>
      </c>
      <c r="AF44" s="250" t="n">
        <f aca="false" t="array" ref="AF44:AF44">IFERROR( MEDIAN((IF(DATOS_[[Sexo]:[Sexo]]=$B44,IF(DATOS_[[AGRUP. CLAS. PROF.]:[AGRUP. CLAS. PROF.]]=$B42,IF(DATOS_[[Check Periodo Ref.]:[Check Periodo Ref.]]="Dentro",DATOS_[Conc.Sal.27]))))), 0)</f>
        <v>0</v>
      </c>
      <c r="AG44" s="250" t="n">
        <f aca="false" t="array" ref="AG44:AG44">IFERROR( MEDIAN((IF(DATOS_[[Sexo]:[Sexo]]=$B44,IF(DATOS_[[AGRUP. CLAS. PROF.]:[AGRUP. CLAS. PROF.]]=$B42,IF(DATOS_[[Check Periodo Ref.]:[Check Periodo Ref.]]="Dentro",DATOS_[Conc.Sal.28]))))), 0)</f>
        <v>0</v>
      </c>
      <c r="AH44" s="250" t="n">
        <f aca="false" t="array" ref="AH44:AH44">IFERROR( MEDIAN((IF(DATOS_[[Sexo]:[Sexo]]=$B44,IF(DATOS_[[AGRUP. CLAS. PROF.]:[AGRUP. CLAS. PROF.]]=$B42,IF(DATOS_[[Check Periodo Ref.]:[Check Periodo Ref.]]="Dentro",DATOS_[Conc.Sal.29]))))), 0)</f>
        <v>0</v>
      </c>
      <c r="AI44" s="250" t="n">
        <f aca="false" t="array" ref="AI44:AI44">IFERROR( MEDIAN((IF(DATOS_[[Sexo]:[Sexo]]=$B44,IF(DATOS_[[AGRUP. CLAS. PROF.]:[AGRUP. CLAS. PROF.]]=$B42,IF(DATOS_[[Check Periodo Ref.]:[Check Periodo Ref.]]="Dentro",DATOS_[Conc.Sal.30]))))), 0)</f>
        <v>0</v>
      </c>
      <c r="AJ44" s="251" t="n">
        <f aca="false" t="array" ref="AJ44:AJ44">IFERROR( MEDIAN(IF(DATOS_[Sexo]=$B44,IF(DATOS_[AGRUP. CLAS. PROF.]=$B42,IF(DATOS_[Check Periodo Ref.]="Dentro",DATOS_[Tot COMPL.SAL Ef],0)))), 0)</f>
        <v>0</v>
      </c>
      <c r="AK44" s="252" t="n">
        <f aca="false" t="array" ref="AK44:AK44">IFERROR( MEDIAN(IF(DATOS_[Sexo]=$B44,IF(DATOS_[AGRUP. CLAS. PROF.]=$B42,IF(DATOS_[Check Periodo Ref.]="Dentro",DATOS_[TOTAL SALARIO Ef],0)))), 0)</f>
        <v>0</v>
      </c>
      <c r="AL44" s="259" t="n">
        <f aca="false" t="array" ref="AL44:AL44">IFERROR( MEDIAN((IF(DATOS_[[Sexo]:[Sexo]]=$B44,IF(DATOS_[[AGRUP. CLAS. PROF.]:[AGRUP. CLAS. PROF.]]=$B42,IF(DATOS_[[Check Periodo Ref.]:[Check Periodo Ref.]]="Dentro",DATOS_[C.Extra.01]))))), 0)</f>
        <v>0</v>
      </c>
      <c r="AM44" s="259" t="n">
        <f aca="false" t="array" ref="AM44:AM44">IFERROR( MEDIAN((IF(DATOS_[[Sexo]:[Sexo]]=$B44,IF(DATOS_[[AGRUP. CLAS. PROF.]:[AGRUP. CLAS. PROF.]]=$B42,IF(DATOS_[[Check Periodo Ref.]:[Check Periodo Ref.]]="Dentro",DATOS_[C.Extra.02]))))), 0)</f>
        <v>0</v>
      </c>
      <c r="AN44" s="259" t="n">
        <f aca="false" t="array" ref="AN44:AN44">IFERROR( MEDIAN((IF(DATOS_[[Sexo]:[Sexo]]=$B44,IF(DATOS_[[AGRUP. CLAS. PROF.]:[AGRUP. CLAS. PROF.]]=$B42,IF(DATOS_[[Check Periodo Ref.]:[Check Periodo Ref.]]="Dentro",DATOS_[C.Extra.03]))))), 0)</f>
        <v>0</v>
      </c>
      <c r="AO44" s="259" t="n">
        <f aca="false" t="array" ref="AO44:AO44">IFERROR( MEDIAN((IF(DATOS_[[Sexo]:[Sexo]]=$B44,IF(DATOS_[[AGRUP. CLAS. PROF.]:[AGRUP. CLAS. PROF.]]=$B42,IF(DATOS_[[Check Periodo Ref.]:[Check Periodo Ref.]]="Dentro",DATOS_[C.Extra.04]))))), 0)</f>
        <v>0</v>
      </c>
      <c r="AP44" s="259" t="n">
        <f aca="false" t="array" ref="AP44:AP44">IFERROR( MEDIAN((IF(DATOS_[[Sexo]:[Sexo]]=$B44,IF(DATOS_[[AGRUP. CLAS. PROF.]:[AGRUP. CLAS. PROF.]]=$B42,IF(DATOS_[[Check Periodo Ref.]:[Check Periodo Ref.]]="Dentro",DATOS_[C.Extra.05]))))), 0)</f>
        <v>0</v>
      </c>
      <c r="AQ44" s="254" t="n">
        <f aca="false" t="array" ref="AQ44:AQ44">IFERROR( MEDIAN(IF(DATOS_[Sexo]=$B44,IF(DATOS_[AGRUP. CLAS. PROF.]=$B42,IF(DATOS_[Check Periodo Ref.]="Dentro",DATOS_[Tot Extrasalarial Ef],0)))), 0)</f>
        <v>0</v>
      </c>
      <c r="AR44" s="255" t="n">
        <f aca="false" t="array" ref="AR44:AR44">IFERROR( MEDIAN(IF(DATOS_[Sexo]=$B44,IF(DATOS_[AGRUP. CLAS. PROF.]=$B42,IF(DATOS_[Check Periodo Ref.]="Dentro",DATOS_[TOTAL Retrib Ef],0)))), 0)</f>
        <v>0</v>
      </c>
    </row>
    <row r="45" customFormat="false" ht="15.75" hidden="false" customHeight="false" outlineLevel="0" collapsed="false">
      <c r="A45" s="217" t="str">
        <f aca="false">+A46</f>
        <v>[ocultar]</v>
      </c>
      <c r="B45" s="235" t="s">
        <v>198</v>
      </c>
      <c r="C45" s="236"/>
      <c r="D45" s="237"/>
      <c r="E45" s="238" t="str">
        <f aca="false">IFERROR((E46-E47)/E46,"")</f>
        <v/>
      </c>
      <c r="F45" s="239" t="str">
        <f aca="false">IFERROR((F46-F47)/F46,"")</f>
        <v/>
      </c>
      <c r="G45" s="239" t="str">
        <f aca="false">IFERROR((G46-G47)/G46,"")</f>
        <v/>
      </c>
      <c r="H45" s="239" t="str">
        <f aca="false">IFERROR((H46-H47)/H46,"")</f>
        <v/>
      </c>
      <c r="I45" s="239"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40" t="str">
        <f aca="false">IFERROR((V46-V47)/V46,"")</f>
        <v/>
      </c>
      <c r="W45" s="240" t="str">
        <f aca="false">IFERROR((W46-W47)/W46,"")</f>
        <v/>
      </c>
      <c r="X45" s="240" t="str">
        <f aca="false">IFERROR((X46-X47)/X46,"")</f>
        <v/>
      </c>
      <c r="Y45" s="240"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1" t="str">
        <f aca="false">IFERROR((AJ46-AJ47)/AJ46,"")</f>
        <v/>
      </c>
      <c r="AK45" s="242" t="str">
        <f aca="false">IFERROR((AK46-AK47)/AK46,"")</f>
        <v/>
      </c>
      <c r="AL45" s="243" t="str">
        <f aca="false">IFERROR((AL46-AL47)/AL46,"")</f>
        <v/>
      </c>
      <c r="AM45" s="243" t="str">
        <f aca="false">IFERROR((AM46-AM47)/AM46,"")</f>
        <v/>
      </c>
      <c r="AN45" s="243" t="str">
        <f aca="false">IFERROR((AN46-AN47)/AN46,"")</f>
        <v/>
      </c>
      <c r="AO45" s="243" t="str">
        <f aca="false">IFERROR((AO46-AO47)/AO46,"")</f>
        <v/>
      </c>
      <c r="AP45" s="243" t="str">
        <f aca="false">IFERROR((AP46-AP47)/AP46,"")</f>
        <v/>
      </c>
      <c r="AQ45" s="244" t="str">
        <f aca="false">IFERROR((AQ46-AQ47)/AQ46,"")</f>
        <v/>
      </c>
      <c r="AR45" s="245" t="str">
        <f aca="false">IFERROR((AR46-AR47)/AR46,"")</f>
        <v/>
      </c>
    </row>
    <row r="46" customFormat="false" ht="14.25" hidden="false" customHeight="false" outlineLevel="0" collapsed="false">
      <c r="A46" s="217" t="str">
        <f aca="false">+IF(C46+C47=0,"[ocultar]","")</f>
        <v>[ocultar]</v>
      </c>
      <c r="B46" s="246" t="s">
        <v>371</v>
      </c>
      <c r="C46" s="247" t="n">
        <f aca="false" t="array" ref="C46:C46">SUM(IF($B46=DATOS_[Sexo], IF($B45=DATOS_[AGRUP. CLAS. PROF.], IF("Dentro"=DATOS_[Check Periodo Ref.], 1/(COUNTIFS(DATOS_[Sexo],$B46,DATOS_[AGRUP. CLAS. PROF.],$B45,DATOS_[Check Periodo Ref.],"Dentro",DATOS_[id],DATOS_[id]))))))</f>
        <v>0</v>
      </c>
      <c r="D46" s="248" t="n">
        <f aca="false">COUNTIFS(DATOS_[AGRUP. CLAS. PROF.],$B45,DATOS_[Sexo],$B46,DATOS_[Check Periodo Ref.],"Dentro")</f>
        <v>0</v>
      </c>
      <c r="E46" s="249" t="n">
        <f aca="false" t="array" ref="E46:E46">IFERROR( MEDIAN(IF(DATOS_[Sexo]=$B46,IF(DATOS_[AGRUP. CLAS. PROF.]=$B45,IF(DATOS_[Check Periodo Ref.]="Dentro",DATOS_[SALARIO BASE Ef],0)))), 0)</f>
        <v>0</v>
      </c>
      <c r="F46" s="250" t="n">
        <f aca="false" t="array" ref="F46:F46">IFERROR( MEDIAN((IF(DATOS_[[Sexo]:[Sexo]]=$B46,IF(DATOS_[[AGRUP. CLAS. PROF.]:[AGRUP. CLAS. PROF.]]=$B45,IF(DATOS_[[Check Periodo Ref.]:[Check Periodo Ref.]]="Dentro",DATOS_[Conc.Sal.01]))))), 0)</f>
        <v>0</v>
      </c>
      <c r="G46" s="250" t="n">
        <f aca="false" t="array" ref="G46:G46">IFERROR( MEDIAN((IF(DATOS_[[Sexo]:[Sexo]]=$B46,IF(DATOS_[[AGRUP. CLAS. PROF.]:[AGRUP. CLAS. PROF.]]=$B45,IF(DATOS_[[Check Periodo Ref.]:[Check Periodo Ref.]]="Dentro",DATOS_[Conc.Sal.02]))))), 0)</f>
        <v>0</v>
      </c>
      <c r="H46" s="250" t="n">
        <f aca="false" t="array" ref="H46:H46">IFERROR( MEDIAN((IF(DATOS_[[Sexo]:[Sexo]]=$B46,IF(DATOS_[[AGRUP. CLAS. PROF.]:[AGRUP. CLAS. PROF.]]=$B45,IF(DATOS_[[Check Periodo Ref.]:[Check Periodo Ref.]]="Dentro",DATOS_[Conc.Sal.03]))))), 0)</f>
        <v>0</v>
      </c>
      <c r="I46" s="250" t="n">
        <f aca="false" t="array" ref="I46:I46">IFERROR( MEDIAN((IF(DATOS_[[Sexo]:[Sexo]]=$B46,IF(DATOS_[[AGRUP. CLAS. PROF.]:[AGRUP. CLAS. PROF.]]=$B45,IF(DATOS_[[Check Periodo Ref.]:[Check Periodo Ref.]]="Dentro",DATOS_[Conc.Sal.04]))))), 0)</f>
        <v>0</v>
      </c>
      <c r="J46" s="250" t="n">
        <f aca="false" t="array" ref="J46:J46">IFERROR( MEDIAN((IF(DATOS_[[Sexo]:[Sexo]]=$B46,IF(DATOS_[[AGRUP. CLAS. PROF.]:[AGRUP. CLAS. PROF.]]=$B45,IF(DATOS_[[Check Periodo Ref.]:[Check Periodo Ref.]]="Dentro",DATOS_[Conc.Sal.05]))))), 0)</f>
        <v>0</v>
      </c>
      <c r="K46" s="250" t="n">
        <f aca="false" t="array" ref="K46:K46">IFERROR( MEDIAN((IF(DATOS_[[Sexo]:[Sexo]]=$B46,IF(DATOS_[[AGRUP. CLAS. PROF.]:[AGRUP. CLAS. PROF.]]=$B45,IF(DATOS_[[Check Periodo Ref.]:[Check Periodo Ref.]]="Dentro",DATOS_[Conc.Sal.06]))))), 0)</f>
        <v>0</v>
      </c>
      <c r="L46" s="250" t="n">
        <f aca="false" t="array" ref="L46:L46">IFERROR( MEDIAN((IF(DATOS_[[Sexo]:[Sexo]]=$B46,IF(DATOS_[[AGRUP. CLAS. PROF.]:[AGRUP. CLAS. PROF.]]=$B45,IF(DATOS_[[Check Periodo Ref.]:[Check Periodo Ref.]]="Dentro",DATOS_[Conc.Sal.07]))))), 0)</f>
        <v>0</v>
      </c>
      <c r="M46" s="250" t="n">
        <f aca="false" t="array" ref="M46:M46">IFERROR( MEDIAN((IF(DATOS_[[Sexo]:[Sexo]]=$B46,IF(DATOS_[[AGRUP. CLAS. PROF.]:[AGRUP. CLAS. PROF.]]=$B45,IF(DATOS_[[Check Periodo Ref.]:[Check Periodo Ref.]]="Dentro",DATOS_[Conc.Sal.08]))))), 0)</f>
        <v>0</v>
      </c>
      <c r="N46" s="250" t="n">
        <f aca="false" t="array" ref="N46:N46">IFERROR( MEDIAN((IF(DATOS_[[Sexo]:[Sexo]]=$B46,IF(DATOS_[[AGRUP. CLAS. PROF.]:[AGRUP. CLAS. PROF.]]=$B45,IF(DATOS_[[Check Periodo Ref.]:[Check Periodo Ref.]]="Dentro",DATOS_[Conc.Sal.09]))))), 0)</f>
        <v>0</v>
      </c>
      <c r="O46" s="250" t="n">
        <f aca="false" t="array" ref="O46:O46">IFERROR( MEDIAN((IF(DATOS_[[Sexo]:[Sexo]]=$B46,IF(DATOS_[[AGRUP. CLAS. PROF.]:[AGRUP. CLAS. PROF.]]=$B45,IF(DATOS_[[Check Periodo Ref.]:[Check Periodo Ref.]]="Dentro",DATOS_[Conc.Sal.10]))))), 0)</f>
        <v>0</v>
      </c>
      <c r="P46" s="250" t="n">
        <f aca="false" t="array" ref="P46:P46">IFERROR( MEDIAN((IF(DATOS_[[Sexo]:[Sexo]]=$B46,IF(DATOS_[[AGRUP. CLAS. PROF.]:[AGRUP. CLAS. PROF.]]=$B45,IF(DATOS_[[Check Periodo Ref.]:[Check Periodo Ref.]]="Dentro",DATOS_[Conc.Sal.11]))))), 0)</f>
        <v>0</v>
      </c>
      <c r="Q46" s="250" t="n">
        <f aca="false" t="array" ref="Q46:Q46">IFERROR( MEDIAN((IF(DATOS_[[Sexo]:[Sexo]]=$B46,IF(DATOS_[[AGRUP. CLAS. PROF.]:[AGRUP. CLAS. PROF.]]=$B45,IF(DATOS_[[Check Periodo Ref.]:[Check Periodo Ref.]]="Dentro",DATOS_[Conc.Sal.12]))))), 0)</f>
        <v>0</v>
      </c>
      <c r="R46" s="250" t="n">
        <f aca="false" t="array" ref="R46:R46">IFERROR( MEDIAN((IF(DATOS_[[Sexo]:[Sexo]]=$B46,IF(DATOS_[[AGRUP. CLAS. PROF.]:[AGRUP. CLAS. PROF.]]=$B45,IF(DATOS_[[Check Periodo Ref.]:[Check Periodo Ref.]]="Dentro",DATOS_[Conc.Sal.13]))))), 0)</f>
        <v>0</v>
      </c>
      <c r="S46" s="250" t="n">
        <f aca="false" t="array" ref="S46:S46">IFERROR( MEDIAN((IF(DATOS_[[Sexo]:[Sexo]]=$B46,IF(DATOS_[[AGRUP. CLAS. PROF.]:[AGRUP. CLAS. PROF.]]=$B45,IF(DATOS_[[Check Periodo Ref.]:[Check Periodo Ref.]]="Dentro",DATOS_[Conc.Sal.14]))))), 0)</f>
        <v>0</v>
      </c>
      <c r="T46" s="250" t="n">
        <f aca="false" t="array" ref="T46:T46">IFERROR( MEDIAN((IF(DATOS_[[Sexo]:[Sexo]]=$B46,IF(DATOS_[[AGRUP. CLAS. PROF.]:[AGRUP. CLAS. PROF.]]=$B45,IF(DATOS_[[Check Periodo Ref.]:[Check Periodo Ref.]]="Dentro",DATOS_[Conc.Sal.15]))))), 0)</f>
        <v>0</v>
      </c>
      <c r="U46" s="250" t="n">
        <f aca="false" t="array" ref="U46:U46">IFERROR( MEDIAN((IF(DATOS_[[Sexo]:[Sexo]]=$B46,IF(DATOS_[[AGRUP. CLAS. PROF.]:[AGRUP. CLAS. PROF.]]=$B45,IF(DATOS_[[Check Periodo Ref.]:[Check Periodo Ref.]]="Dentro",DATOS_[Conc.Sal.16]))))), 0)</f>
        <v>0</v>
      </c>
      <c r="V46" s="250" t="n">
        <f aca="false" t="array" ref="V46:V46">IFERROR( MEDIAN((IF(DATOS_[[Sexo]:[Sexo]]=$B46,IF(DATOS_[[AGRUP. CLAS. PROF.]:[AGRUP. CLAS. PROF.]]=$B45,IF(DATOS_[[Check Periodo Ref.]:[Check Periodo Ref.]]="Dentro",DATOS_[Conc.Sal.17]))))), 0)</f>
        <v>0</v>
      </c>
      <c r="W46" s="250" t="n">
        <f aca="false" t="array" ref="W46:W46">IFERROR( MEDIAN((IF(DATOS_[[Sexo]:[Sexo]]=$B46,IF(DATOS_[[AGRUP. CLAS. PROF.]:[AGRUP. CLAS. PROF.]]=$B45,IF(DATOS_[[Check Periodo Ref.]:[Check Periodo Ref.]]="Dentro",DATOS_[Conc.Sal.18]))))), 0)</f>
        <v>0</v>
      </c>
      <c r="X46" s="250" t="n">
        <f aca="false" t="array" ref="X46:X46">IFERROR( MEDIAN((IF(DATOS_[[Sexo]:[Sexo]]=$B46,IF(DATOS_[[AGRUP. CLAS. PROF.]:[AGRUP. CLAS. PROF.]]=$B45,IF(DATOS_[[Check Periodo Ref.]:[Check Periodo Ref.]]="Dentro",DATOS_[Conc.Sal.19]))))), 0)</f>
        <v>0</v>
      </c>
      <c r="Y46" s="250" t="n">
        <f aca="false" t="array" ref="Y46:Y46">IFERROR( MEDIAN((IF(DATOS_[[Sexo]:[Sexo]]=$B46,IF(DATOS_[[AGRUP. CLAS. PROF.]:[AGRUP. CLAS. PROF.]]=$B45,IF(DATOS_[[Check Periodo Ref.]:[Check Periodo Ref.]]="Dentro",DATOS_[Conc.Sal.20]))))), 0)</f>
        <v>0</v>
      </c>
      <c r="Z46" s="250" t="n">
        <f aca="false" t="array" ref="Z46:Z46">IFERROR( MEDIAN((IF(DATOS_[[Sexo]:[Sexo]]=$B46,IF(DATOS_[[AGRUP. CLAS. PROF.]:[AGRUP. CLAS. PROF.]]=$B45,IF(DATOS_[[Check Periodo Ref.]:[Check Periodo Ref.]]="Dentro",DATOS_[Conc.Sal.21]))))), 0)</f>
        <v>0</v>
      </c>
      <c r="AA46" s="250" t="n">
        <f aca="false" t="array" ref="AA46:AA46">IFERROR( MEDIAN((IF(DATOS_[[Sexo]:[Sexo]]=$B46,IF(DATOS_[[AGRUP. CLAS. PROF.]:[AGRUP. CLAS. PROF.]]=$B45,IF(DATOS_[[Check Periodo Ref.]:[Check Periodo Ref.]]="Dentro",DATOS_[Conc.Sal.22]))))), 0)</f>
        <v>0</v>
      </c>
      <c r="AB46" s="250" t="n">
        <f aca="false" t="array" ref="AB46:AB46">IFERROR( MEDIAN((IF(DATOS_[[Sexo]:[Sexo]]=$B46,IF(DATOS_[[AGRUP. CLAS. PROF.]:[AGRUP. CLAS. PROF.]]=$B45,IF(DATOS_[[Check Periodo Ref.]:[Check Periodo Ref.]]="Dentro",DATOS_[Conc.Sal.23]))))), 0)</f>
        <v>0</v>
      </c>
      <c r="AC46" s="250" t="n">
        <f aca="false" t="array" ref="AC46:AC46">IFERROR( MEDIAN((IF(DATOS_[[Sexo]:[Sexo]]=$B46,IF(DATOS_[[AGRUP. CLAS. PROF.]:[AGRUP. CLAS. PROF.]]=$B45,IF(DATOS_[[Check Periodo Ref.]:[Check Periodo Ref.]]="Dentro",DATOS_[Conc.Sal.24]))))), 0)</f>
        <v>0</v>
      </c>
      <c r="AD46" s="250" t="n">
        <f aca="false" t="array" ref="AD46:AD46">IFERROR( MEDIAN((IF(DATOS_[[Sexo]:[Sexo]]=$B46,IF(DATOS_[[AGRUP. CLAS. PROF.]:[AGRUP. CLAS. PROF.]]=$B45,IF(DATOS_[[Check Periodo Ref.]:[Check Periodo Ref.]]="Dentro",DATOS_[Conc.Sal.25]))))), 0)</f>
        <v>0</v>
      </c>
      <c r="AE46" s="250" t="n">
        <f aca="false" t="array" ref="AE46:AE46">IFERROR( MEDIAN((IF(DATOS_[[Sexo]:[Sexo]]=$B46,IF(DATOS_[[AGRUP. CLAS. PROF.]:[AGRUP. CLAS. PROF.]]=$B45,IF(DATOS_[[Check Periodo Ref.]:[Check Periodo Ref.]]="Dentro",DATOS_[Conc.Sal.26]))))), 0)</f>
        <v>0</v>
      </c>
      <c r="AF46" s="250" t="n">
        <f aca="false" t="array" ref="AF46:AF46">IFERROR( MEDIAN((IF(DATOS_[[Sexo]:[Sexo]]=$B46,IF(DATOS_[[AGRUP. CLAS. PROF.]:[AGRUP. CLAS. PROF.]]=$B45,IF(DATOS_[[Check Periodo Ref.]:[Check Periodo Ref.]]="Dentro",DATOS_[Conc.Sal.27]))))), 0)</f>
        <v>0</v>
      </c>
      <c r="AG46" s="250" t="n">
        <f aca="false" t="array" ref="AG46:AG46">IFERROR( MEDIAN((IF(DATOS_[[Sexo]:[Sexo]]=$B46,IF(DATOS_[[AGRUP. CLAS. PROF.]:[AGRUP. CLAS. PROF.]]=$B45,IF(DATOS_[[Check Periodo Ref.]:[Check Periodo Ref.]]="Dentro",DATOS_[Conc.Sal.28]))))), 0)</f>
        <v>0</v>
      </c>
      <c r="AH46" s="250" t="n">
        <f aca="false" t="array" ref="AH46:AH46">IFERROR( MEDIAN((IF(DATOS_[[Sexo]:[Sexo]]=$B46,IF(DATOS_[[AGRUP. CLAS. PROF.]:[AGRUP. CLAS. PROF.]]=$B45,IF(DATOS_[[Check Periodo Ref.]:[Check Periodo Ref.]]="Dentro",DATOS_[Conc.Sal.29]))))), 0)</f>
        <v>0</v>
      </c>
      <c r="AI46" s="250" t="n">
        <f aca="false" t="array" ref="AI46:AI46">IFERROR( MEDIAN((IF(DATOS_[[Sexo]:[Sexo]]=$B46,IF(DATOS_[[AGRUP. CLAS. PROF.]:[AGRUP. CLAS. PROF.]]=$B45,IF(DATOS_[[Check Periodo Ref.]:[Check Periodo Ref.]]="Dentro",DATOS_[Conc.Sal.30]))))), 0)</f>
        <v>0</v>
      </c>
      <c r="AJ46" s="251" t="n">
        <f aca="false" t="array" ref="AJ46:AJ46">IFERROR( MEDIAN(IF(DATOS_[Sexo]=$B46,IF(DATOS_[AGRUP. CLAS. PROF.]=$B45,IF(DATOS_[Check Periodo Ref.]="Dentro",DATOS_[Tot COMPL.SAL Ef],0)))), 0)</f>
        <v>0</v>
      </c>
      <c r="AK46" s="252" t="n">
        <f aca="false" t="array" ref="AK46:AK46">IFERROR( MEDIAN(IF(DATOS_[Sexo]=$B46,IF(DATOS_[AGRUP. CLAS. PROF.]=$B45,IF(DATOS_[Check Periodo Ref.]="Dentro",DATOS_[TOTAL SALARIO Ef],0)))), 0)</f>
        <v>0</v>
      </c>
      <c r="AL46" s="259" t="n">
        <f aca="false" t="array" ref="AL46:AL46">IFERROR( MEDIAN((IF(DATOS_[[Sexo]:[Sexo]]=$B46,IF(DATOS_[[AGRUP. CLAS. PROF.]:[AGRUP. CLAS. PROF.]]=$B45,IF(DATOS_[[Check Periodo Ref.]:[Check Periodo Ref.]]="Dentro",DATOS_[C.Extra.01]))))), 0)</f>
        <v>0</v>
      </c>
      <c r="AM46" s="259" t="n">
        <f aca="false" t="array" ref="AM46:AM46">IFERROR( MEDIAN((IF(DATOS_[[Sexo]:[Sexo]]=$B46,IF(DATOS_[[AGRUP. CLAS. PROF.]:[AGRUP. CLAS. PROF.]]=$B45,IF(DATOS_[[Check Periodo Ref.]:[Check Periodo Ref.]]="Dentro",DATOS_[C.Extra.02]))))), 0)</f>
        <v>0</v>
      </c>
      <c r="AN46" s="259" t="n">
        <f aca="false" t="array" ref="AN46:AN46">IFERROR( MEDIAN((IF(DATOS_[[Sexo]:[Sexo]]=$B46,IF(DATOS_[[AGRUP. CLAS. PROF.]:[AGRUP. CLAS. PROF.]]=$B45,IF(DATOS_[[Check Periodo Ref.]:[Check Periodo Ref.]]="Dentro",DATOS_[C.Extra.03]))))), 0)</f>
        <v>0</v>
      </c>
      <c r="AO46" s="259" t="n">
        <f aca="false" t="array" ref="AO46:AO46">IFERROR( MEDIAN((IF(DATOS_[[Sexo]:[Sexo]]=$B46,IF(DATOS_[[AGRUP. CLAS. PROF.]:[AGRUP. CLAS. PROF.]]=$B45,IF(DATOS_[[Check Periodo Ref.]:[Check Periodo Ref.]]="Dentro",DATOS_[C.Extra.04]))))), 0)</f>
        <v>0</v>
      </c>
      <c r="AP46" s="259" t="n">
        <f aca="false" t="array" ref="AP46:AP46">IFERROR( MEDIAN((IF(DATOS_[[Sexo]:[Sexo]]=$B46,IF(DATOS_[[AGRUP. CLAS. PROF.]:[AGRUP. CLAS. PROF.]]=$B45,IF(DATOS_[[Check Periodo Ref.]:[Check Periodo Ref.]]="Dentro",DATOS_[C.Extra.05]))))), 0)</f>
        <v>0</v>
      </c>
      <c r="AQ46" s="254" t="n">
        <f aca="false" t="array" ref="AQ46:AQ46">IFERROR( MEDIAN(IF(DATOS_[Sexo]=$B46,IF(DATOS_[AGRUP. CLAS. PROF.]=$B45,IF(DATOS_[Check Periodo Ref.]="Dentro",DATOS_[Tot Extrasalarial Ef],0)))), 0)</f>
        <v>0</v>
      </c>
      <c r="AR46" s="255" t="n">
        <f aca="false" t="array" ref="AR46:AR46">IFERROR( MEDIAN(IF(DATOS_[Sexo]=$B46,IF(DATOS_[AGRUP. CLAS. PROF.]=$B45,IF(DATOS_[Check Periodo Ref.]="Dentro",DATOS_[TOTAL Retrib Ef],0)))), 0)</f>
        <v>0</v>
      </c>
    </row>
    <row r="47" customFormat="false" ht="14.25" hidden="false" customHeight="false" outlineLevel="0" collapsed="false">
      <c r="A47" s="217" t="str">
        <f aca="false">+A46</f>
        <v>[ocultar]</v>
      </c>
      <c r="B47" s="246" t="s">
        <v>372</v>
      </c>
      <c r="C47" s="247" t="n">
        <f aca="false" t="array" ref="C47:C47">SUM(IF($B47=DATOS_[Sexo], IF($B45=DATOS_[AGRUP. CLAS. PROF.], IF("Dentro"=DATOS_[Check Periodo Ref.], 1/(COUNTIFS(DATOS_[Sexo],$B47,DATOS_[AGRUP. CLAS. PROF.],$B45,DATOS_[Check Periodo Ref.],"Dentro",DATOS_[id],DATOS_[id]))))))</f>
        <v>0</v>
      </c>
      <c r="D47" s="248" t="n">
        <f aca="false">COUNTIFS(DATOS_[AGRUP. CLAS. PROF.],$B45,DATOS_[Sexo],$B47,DATOS_[Check Periodo Ref.],"Dentro")</f>
        <v>0</v>
      </c>
      <c r="E47" s="249" t="n">
        <f aca="false" t="array" ref="E47:E47">IFERROR( MEDIAN(IF(DATOS_[Sexo]=$B47,IF(DATOS_[AGRUP. CLAS. PROF.]=$B45,IF(DATOS_[Check Periodo Ref.]="Dentro",DATOS_[SALARIO BASE Ef],0)))), 0)</f>
        <v>0</v>
      </c>
      <c r="F47" s="250" t="n">
        <f aca="false" t="array" ref="F47:F47">IFERROR( MEDIAN((IF(DATOS_[[Sexo]:[Sexo]]=$B47,IF(DATOS_[[AGRUP. CLAS. PROF.]:[AGRUP. CLAS. PROF.]]=$B45,IF(DATOS_[[Check Periodo Ref.]:[Check Periodo Ref.]]="Dentro",DATOS_[Conc.Sal.01]))))), 0)</f>
        <v>0</v>
      </c>
      <c r="G47" s="250" t="n">
        <f aca="false" t="array" ref="G47:G47">IFERROR( MEDIAN((IF(DATOS_[[Sexo]:[Sexo]]=$B47,IF(DATOS_[[AGRUP. CLAS. PROF.]:[AGRUP. CLAS. PROF.]]=$B45,IF(DATOS_[[Check Periodo Ref.]:[Check Periodo Ref.]]="Dentro",DATOS_[Conc.Sal.02]))))), 0)</f>
        <v>0</v>
      </c>
      <c r="H47" s="250" t="n">
        <f aca="false" t="array" ref="H47:H47">IFERROR( MEDIAN((IF(DATOS_[[Sexo]:[Sexo]]=$B47,IF(DATOS_[[AGRUP. CLAS. PROF.]:[AGRUP. CLAS. PROF.]]=$B45,IF(DATOS_[[Check Periodo Ref.]:[Check Periodo Ref.]]="Dentro",DATOS_[Conc.Sal.03]))))), 0)</f>
        <v>0</v>
      </c>
      <c r="I47" s="250" t="n">
        <f aca="false" t="array" ref="I47:I47">IFERROR( MEDIAN((IF(DATOS_[[Sexo]:[Sexo]]=$B47,IF(DATOS_[[AGRUP. CLAS. PROF.]:[AGRUP. CLAS. PROF.]]=$B45,IF(DATOS_[[Check Periodo Ref.]:[Check Periodo Ref.]]="Dentro",DATOS_[Conc.Sal.04]))))), 0)</f>
        <v>0</v>
      </c>
      <c r="J47" s="250" t="n">
        <f aca="false" t="array" ref="J47:J47">IFERROR( MEDIAN((IF(DATOS_[[Sexo]:[Sexo]]=$B47,IF(DATOS_[[AGRUP. CLAS. PROF.]:[AGRUP. CLAS. PROF.]]=$B45,IF(DATOS_[[Check Periodo Ref.]:[Check Periodo Ref.]]="Dentro",DATOS_[Conc.Sal.05]))))), 0)</f>
        <v>0</v>
      </c>
      <c r="K47" s="250" t="n">
        <f aca="false" t="array" ref="K47:K47">IFERROR( MEDIAN((IF(DATOS_[[Sexo]:[Sexo]]=$B47,IF(DATOS_[[AGRUP. CLAS. PROF.]:[AGRUP. CLAS. PROF.]]=$B45,IF(DATOS_[[Check Periodo Ref.]:[Check Periodo Ref.]]="Dentro",DATOS_[Conc.Sal.06]))))), 0)</f>
        <v>0</v>
      </c>
      <c r="L47" s="250" t="n">
        <f aca="false" t="array" ref="L47:L47">IFERROR( MEDIAN((IF(DATOS_[[Sexo]:[Sexo]]=$B47,IF(DATOS_[[AGRUP. CLAS. PROF.]:[AGRUP. CLAS. PROF.]]=$B45,IF(DATOS_[[Check Periodo Ref.]:[Check Periodo Ref.]]="Dentro",DATOS_[Conc.Sal.07]))))), 0)</f>
        <v>0</v>
      </c>
      <c r="M47" s="250" t="n">
        <f aca="false" t="array" ref="M47:M47">IFERROR( MEDIAN((IF(DATOS_[[Sexo]:[Sexo]]=$B47,IF(DATOS_[[AGRUP. CLAS. PROF.]:[AGRUP. CLAS. PROF.]]=$B45,IF(DATOS_[[Check Periodo Ref.]:[Check Periodo Ref.]]="Dentro",DATOS_[Conc.Sal.08]))))), 0)</f>
        <v>0</v>
      </c>
      <c r="N47" s="250" t="n">
        <f aca="false" t="array" ref="N47:N47">IFERROR( MEDIAN((IF(DATOS_[[Sexo]:[Sexo]]=$B47,IF(DATOS_[[AGRUP. CLAS. PROF.]:[AGRUP. CLAS. PROF.]]=$B45,IF(DATOS_[[Check Periodo Ref.]:[Check Periodo Ref.]]="Dentro",DATOS_[Conc.Sal.09]))))), 0)</f>
        <v>0</v>
      </c>
      <c r="O47" s="250" t="n">
        <f aca="false" t="array" ref="O47:O47">IFERROR( MEDIAN((IF(DATOS_[[Sexo]:[Sexo]]=$B47,IF(DATOS_[[AGRUP. CLAS. PROF.]:[AGRUP. CLAS. PROF.]]=$B45,IF(DATOS_[[Check Periodo Ref.]:[Check Periodo Ref.]]="Dentro",DATOS_[Conc.Sal.10]))))), 0)</f>
        <v>0</v>
      </c>
      <c r="P47" s="250" t="n">
        <f aca="false" t="array" ref="P47:P47">IFERROR( MEDIAN((IF(DATOS_[[Sexo]:[Sexo]]=$B47,IF(DATOS_[[AGRUP. CLAS. PROF.]:[AGRUP. CLAS. PROF.]]=$B45,IF(DATOS_[[Check Periodo Ref.]:[Check Periodo Ref.]]="Dentro",DATOS_[Conc.Sal.11]))))), 0)</f>
        <v>0</v>
      </c>
      <c r="Q47" s="250" t="n">
        <f aca="false" t="array" ref="Q47:Q47">IFERROR( MEDIAN((IF(DATOS_[[Sexo]:[Sexo]]=$B47,IF(DATOS_[[AGRUP. CLAS. PROF.]:[AGRUP. CLAS. PROF.]]=$B45,IF(DATOS_[[Check Periodo Ref.]:[Check Periodo Ref.]]="Dentro",DATOS_[Conc.Sal.12]))))), 0)</f>
        <v>0</v>
      </c>
      <c r="R47" s="250" t="n">
        <f aca="false" t="array" ref="R47:R47">IFERROR( MEDIAN((IF(DATOS_[[Sexo]:[Sexo]]=$B47,IF(DATOS_[[AGRUP. CLAS. PROF.]:[AGRUP. CLAS. PROF.]]=$B45,IF(DATOS_[[Check Periodo Ref.]:[Check Periodo Ref.]]="Dentro",DATOS_[Conc.Sal.13]))))), 0)</f>
        <v>0</v>
      </c>
      <c r="S47" s="250" t="n">
        <f aca="false" t="array" ref="S47:S47">IFERROR( MEDIAN((IF(DATOS_[[Sexo]:[Sexo]]=$B47,IF(DATOS_[[AGRUP. CLAS. PROF.]:[AGRUP. CLAS. PROF.]]=$B45,IF(DATOS_[[Check Periodo Ref.]:[Check Periodo Ref.]]="Dentro",DATOS_[Conc.Sal.14]))))), 0)</f>
        <v>0</v>
      </c>
      <c r="T47" s="250" t="n">
        <f aca="false" t="array" ref="T47:T47">IFERROR( MEDIAN((IF(DATOS_[[Sexo]:[Sexo]]=$B47,IF(DATOS_[[AGRUP. CLAS. PROF.]:[AGRUP. CLAS. PROF.]]=$B45,IF(DATOS_[[Check Periodo Ref.]:[Check Periodo Ref.]]="Dentro",DATOS_[Conc.Sal.15]))))), 0)</f>
        <v>0</v>
      </c>
      <c r="U47" s="250" t="n">
        <f aca="false" t="array" ref="U47:U47">IFERROR( MEDIAN((IF(DATOS_[[Sexo]:[Sexo]]=$B47,IF(DATOS_[[AGRUP. CLAS. PROF.]:[AGRUP. CLAS. PROF.]]=$B45,IF(DATOS_[[Check Periodo Ref.]:[Check Periodo Ref.]]="Dentro",DATOS_[Conc.Sal.16]))))), 0)</f>
        <v>0</v>
      </c>
      <c r="V47" s="250" t="n">
        <f aca="false" t="array" ref="V47:V47">IFERROR( MEDIAN((IF(DATOS_[[Sexo]:[Sexo]]=$B47,IF(DATOS_[[AGRUP. CLAS. PROF.]:[AGRUP. CLAS. PROF.]]=$B45,IF(DATOS_[[Check Periodo Ref.]:[Check Periodo Ref.]]="Dentro",DATOS_[Conc.Sal.17]))))), 0)</f>
        <v>0</v>
      </c>
      <c r="W47" s="250" t="n">
        <f aca="false" t="array" ref="W47:W47">IFERROR( MEDIAN((IF(DATOS_[[Sexo]:[Sexo]]=$B47,IF(DATOS_[[AGRUP. CLAS. PROF.]:[AGRUP. CLAS. PROF.]]=$B45,IF(DATOS_[[Check Periodo Ref.]:[Check Periodo Ref.]]="Dentro",DATOS_[Conc.Sal.18]))))), 0)</f>
        <v>0</v>
      </c>
      <c r="X47" s="250" t="n">
        <f aca="false" t="array" ref="X47:X47">IFERROR( MEDIAN((IF(DATOS_[[Sexo]:[Sexo]]=$B47,IF(DATOS_[[AGRUP. CLAS. PROF.]:[AGRUP. CLAS. PROF.]]=$B45,IF(DATOS_[[Check Periodo Ref.]:[Check Periodo Ref.]]="Dentro",DATOS_[Conc.Sal.19]))))), 0)</f>
        <v>0</v>
      </c>
      <c r="Y47" s="250" t="n">
        <f aca="false" t="array" ref="Y47:Y47">IFERROR( MEDIAN((IF(DATOS_[[Sexo]:[Sexo]]=$B47,IF(DATOS_[[AGRUP. CLAS. PROF.]:[AGRUP. CLAS. PROF.]]=$B45,IF(DATOS_[[Check Periodo Ref.]:[Check Periodo Ref.]]="Dentro",DATOS_[Conc.Sal.20]))))), 0)</f>
        <v>0</v>
      </c>
      <c r="Z47" s="250" t="n">
        <f aca="false" t="array" ref="Z47:Z47">IFERROR( MEDIAN((IF(DATOS_[[Sexo]:[Sexo]]=$B47,IF(DATOS_[[AGRUP. CLAS. PROF.]:[AGRUP. CLAS. PROF.]]=$B45,IF(DATOS_[[Check Periodo Ref.]:[Check Periodo Ref.]]="Dentro",DATOS_[Conc.Sal.21]))))), 0)</f>
        <v>0</v>
      </c>
      <c r="AA47" s="250" t="n">
        <f aca="false" t="array" ref="AA47:AA47">IFERROR( MEDIAN((IF(DATOS_[[Sexo]:[Sexo]]=$B47,IF(DATOS_[[AGRUP. CLAS. PROF.]:[AGRUP. CLAS. PROF.]]=$B45,IF(DATOS_[[Check Periodo Ref.]:[Check Periodo Ref.]]="Dentro",DATOS_[Conc.Sal.22]))))), 0)</f>
        <v>0</v>
      </c>
      <c r="AB47" s="250" t="n">
        <f aca="false" t="array" ref="AB47:AB47">IFERROR( MEDIAN((IF(DATOS_[[Sexo]:[Sexo]]=$B47,IF(DATOS_[[AGRUP. CLAS. PROF.]:[AGRUP. CLAS. PROF.]]=$B45,IF(DATOS_[[Check Periodo Ref.]:[Check Periodo Ref.]]="Dentro",DATOS_[Conc.Sal.23]))))), 0)</f>
        <v>0</v>
      </c>
      <c r="AC47" s="250" t="n">
        <f aca="false" t="array" ref="AC47:AC47">IFERROR( MEDIAN((IF(DATOS_[[Sexo]:[Sexo]]=$B47,IF(DATOS_[[AGRUP. CLAS. PROF.]:[AGRUP. CLAS. PROF.]]=$B45,IF(DATOS_[[Check Periodo Ref.]:[Check Periodo Ref.]]="Dentro",DATOS_[Conc.Sal.24]))))), 0)</f>
        <v>0</v>
      </c>
      <c r="AD47" s="250" t="n">
        <f aca="false" t="array" ref="AD47:AD47">IFERROR( MEDIAN((IF(DATOS_[[Sexo]:[Sexo]]=$B47,IF(DATOS_[[AGRUP. CLAS. PROF.]:[AGRUP. CLAS. PROF.]]=$B45,IF(DATOS_[[Check Periodo Ref.]:[Check Periodo Ref.]]="Dentro",DATOS_[Conc.Sal.25]))))), 0)</f>
        <v>0</v>
      </c>
      <c r="AE47" s="250" t="n">
        <f aca="false" t="array" ref="AE47:AE47">IFERROR( MEDIAN((IF(DATOS_[[Sexo]:[Sexo]]=$B47,IF(DATOS_[[AGRUP. CLAS. PROF.]:[AGRUP. CLAS. PROF.]]=$B45,IF(DATOS_[[Check Periodo Ref.]:[Check Periodo Ref.]]="Dentro",DATOS_[Conc.Sal.26]))))), 0)</f>
        <v>0</v>
      </c>
      <c r="AF47" s="250" t="n">
        <f aca="false" t="array" ref="AF47:AF47">IFERROR( MEDIAN((IF(DATOS_[[Sexo]:[Sexo]]=$B47,IF(DATOS_[[AGRUP. CLAS. PROF.]:[AGRUP. CLAS. PROF.]]=$B45,IF(DATOS_[[Check Periodo Ref.]:[Check Periodo Ref.]]="Dentro",DATOS_[Conc.Sal.27]))))), 0)</f>
        <v>0</v>
      </c>
      <c r="AG47" s="250" t="n">
        <f aca="false" t="array" ref="AG47:AG47">IFERROR( MEDIAN((IF(DATOS_[[Sexo]:[Sexo]]=$B47,IF(DATOS_[[AGRUP. CLAS. PROF.]:[AGRUP. CLAS. PROF.]]=$B45,IF(DATOS_[[Check Periodo Ref.]:[Check Periodo Ref.]]="Dentro",DATOS_[Conc.Sal.28]))))), 0)</f>
        <v>0</v>
      </c>
      <c r="AH47" s="250" t="n">
        <f aca="false" t="array" ref="AH47:AH47">IFERROR( MEDIAN((IF(DATOS_[[Sexo]:[Sexo]]=$B47,IF(DATOS_[[AGRUP. CLAS. PROF.]:[AGRUP. CLAS. PROF.]]=$B45,IF(DATOS_[[Check Periodo Ref.]:[Check Periodo Ref.]]="Dentro",DATOS_[Conc.Sal.29]))))), 0)</f>
        <v>0</v>
      </c>
      <c r="AI47" s="250" t="n">
        <f aca="false" t="array" ref="AI47:AI47">IFERROR( MEDIAN((IF(DATOS_[[Sexo]:[Sexo]]=$B47,IF(DATOS_[[AGRUP. CLAS. PROF.]:[AGRUP. CLAS. PROF.]]=$B45,IF(DATOS_[[Check Periodo Ref.]:[Check Periodo Ref.]]="Dentro",DATOS_[Conc.Sal.30]))))), 0)</f>
        <v>0</v>
      </c>
      <c r="AJ47" s="251" t="n">
        <f aca="false" t="array" ref="AJ47:AJ47">IFERROR( MEDIAN(IF(DATOS_[Sexo]=$B47,IF(DATOS_[AGRUP. CLAS. PROF.]=$B45,IF(DATOS_[Check Periodo Ref.]="Dentro",DATOS_[Tot COMPL.SAL Ef],0)))), 0)</f>
        <v>0</v>
      </c>
      <c r="AK47" s="252" t="n">
        <f aca="false" t="array" ref="AK47:AK47">IFERROR( MEDIAN(IF(DATOS_[Sexo]=$B47,IF(DATOS_[AGRUP. CLAS. PROF.]=$B45,IF(DATOS_[Check Periodo Ref.]="Dentro",DATOS_[TOTAL SALARIO Ef],0)))), 0)</f>
        <v>0</v>
      </c>
      <c r="AL47" s="259" t="n">
        <f aca="false" t="array" ref="AL47:AL47">IFERROR( MEDIAN((IF(DATOS_[[Sexo]:[Sexo]]=$B47,IF(DATOS_[[AGRUP. CLAS. PROF.]:[AGRUP. CLAS. PROF.]]=$B45,IF(DATOS_[[Check Periodo Ref.]:[Check Periodo Ref.]]="Dentro",DATOS_[C.Extra.01]))))), 0)</f>
        <v>0</v>
      </c>
      <c r="AM47" s="259" t="n">
        <f aca="false" t="array" ref="AM47:AM47">IFERROR( MEDIAN((IF(DATOS_[[Sexo]:[Sexo]]=$B47,IF(DATOS_[[AGRUP. CLAS. PROF.]:[AGRUP. CLAS. PROF.]]=$B45,IF(DATOS_[[Check Periodo Ref.]:[Check Periodo Ref.]]="Dentro",DATOS_[C.Extra.02]))))), 0)</f>
        <v>0</v>
      </c>
      <c r="AN47" s="259" t="n">
        <f aca="false" t="array" ref="AN47:AN47">IFERROR( MEDIAN((IF(DATOS_[[Sexo]:[Sexo]]=$B47,IF(DATOS_[[AGRUP. CLAS. PROF.]:[AGRUP. CLAS. PROF.]]=$B45,IF(DATOS_[[Check Periodo Ref.]:[Check Periodo Ref.]]="Dentro",DATOS_[C.Extra.03]))))), 0)</f>
        <v>0</v>
      </c>
      <c r="AO47" s="259" t="n">
        <f aca="false" t="array" ref="AO47:AO47">IFERROR( MEDIAN((IF(DATOS_[[Sexo]:[Sexo]]=$B47,IF(DATOS_[[AGRUP. CLAS. PROF.]:[AGRUP. CLAS. PROF.]]=$B45,IF(DATOS_[[Check Periodo Ref.]:[Check Periodo Ref.]]="Dentro",DATOS_[C.Extra.04]))))), 0)</f>
        <v>0</v>
      </c>
      <c r="AP47" s="259" t="n">
        <f aca="false" t="array" ref="AP47:AP47">IFERROR( MEDIAN((IF(DATOS_[[Sexo]:[Sexo]]=$B47,IF(DATOS_[[AGRUP. CLAS. PROF.]:[AGRUP. CLAS. PROF.]]=$B45,IF(DATOS_[[Check Periodo Ref.]:[Check Periodo Ref.]]="Dentro",DATOS_[C.Extra.05]))))), 0)</f>
        <v>0</v>
      </c>
      <c r="AQ47" s="254" t="n">
        <f aca="false" t="array" ref="AQ47:AQ47">IFERROR( MEDIAN(IF(DATOS_[Sexo]=$B47,IF(DATOS_[AGRUP. CLAS. PROF.]=$B45,IF(DATOS_[Check Periodo Ref.]="Dentro",DATOS_[Tot Extrasalarial Ef],0)))), 0)</f>
        <v>0</v>
      </c>
      <c r="AR47" s="255" t="n">
        <f aca="false" t="array" ref="AR47:AR47">IFERROR( MEDIAN(IF(DATOS_[Sexo]=$B47,IF(DATOS_[AGRUP. CLAS. PROF.]=$B45,IF(DATOS_[Check Periodo Ref.]="Dentro",DATOS_[TOTAL Retrib Ef],0)))), 0)</f>
        <v>0</v>
      </c>
    </row>
    <row r="48" customFormat="false" ht="15.75" hidden="false" customHeight="false" outlineLevel="0" collapsed="false">
      <c r="A48" s="217" t="str">
        <f aca="false">+A49</f>
        <v>[ocultar]</v>
      </c>
      <c r="B48" s="235" t="s">
        <v>201</v>
      </c>
      <c r="C48" s="236"/>
      <c r="D48" s="237"/>
      <c r="E48" s="238" t="str">
        <f aca="false">IFERROR((E49-E50)/E49,"")</f>
        <v/>
      </c>
      <c r="F48" s="239" t="str">
        <f aca="false">IFERROR((F49-F50)/F49,"")</f>
        <v/>
      </c>
      <c r="G48" s="239" t="str">
        <f aca="false">IFERROR((G49-G50)/G49,"")</f>
        <v/>
      </c>
      <c r="H48" s="239" t="str">
        <f aca="false">IFERROR((H49-H50)/H49,"")</f>
        <v/>
      </c>
      <c r="I48" s="239"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40" t="str">
        <f aca="false">IFERROR((V49-V50)/V49,"")</f>
        <v/>
      </c>
      <c r="W48" s="240" t="str">
        <f aca="false">IFERROR((W49-W50)/W49,"")</f>
        <v/>
      </c>
      <c r="X48" s="240" t="str">
        <f aca="false">IFERROR((X49-X50)/X49,"")</f>
        <v/>
      </c>
      <c r="Y48" s="240"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1" t="str">
        <f aca="false">IFERROR((AJ49-AJ50)/AJ49,"")</f>
        <v/>
      </c>
      <c r="AK48" s="242" t="str">
        <f aca="false">IFERROR((AK49-AK50)/AK49,"")</f>
        <v/>
      </c>
      <c r="AL48" s="243" t="str">
        <f aca="false">IFERROR((AL49-AL50)/AL49,"")</f>
        <v/>
      </c>
      <c r="AM48" s="243" t="str">
        <f aca="false">IFERROR((AM49-AM50)/AM49,"")</f>
        <v/>
      </c>
      <c r="AN48" s="243" t="str">
        <f aca="false">IFERROR((AN49-AN50)/AN49,"")</f>
        <v/>
      </c>
      <c r="AO48" s="243" t="str">
        <f aca="false">IFERROR((AO49-AO50)/AO49,"")</f>
        <v/>
      </c>
      <c r="AP48" s="243" t="str">
        <f aca="false">IFERROR((AP49-AP50)/AP49,"")</f>
        <v/>
      </c>
      <c r="AQ48" s="244" t="str">
        <f aca="false">IFERROR((AQ49-AQ50)/AQ49,"")</f>
        <v/>
      </c>
      <c r="AR48" s="245" t="str">
        <f aca="false">IFERROR((AR49-AR50)/AR49,"")</f>
        <v/>
      </c>
    </row>
    <row r="49" customFormat="false" ht="14.25" hidden="false" customHeight="false" outlineLevel="0" collapsed="false">
      <c r="A49" s="217" t="str">
        <f aca="false">+IF(C49+C50=0,"[ocultar]","")</f>
        <v>[ocultar]</v>
      </c>
      <c r="B49" s="246" t="s">
        <v>371</v>
      </c>
      <c r="C49" s="247" t="n">
        <f aca="false" t="array" ref="C49:C49">SUM(IF($B49=DATOS_[Sexo], IF($B48=DATOS_[AGRUP. CLAS. PROF.], IF("Dentro"=DATOS_[Check Periodo Ref.], 1/(COUNTIFS(DATOS_[Sexo],$B49,DATOS_[AGRUP. CLAS. PROF.],$B48,DATOS_[Check Periodo Ref.],"Dentro",DATOS_[id],DATOS_[id]))))))</f>
        <v>0</v>
      </c>
      <c r="D49" s="248" t="n">
        <f aca="false">COUNTIFS(DATOS_[AGRUP. CLAS. PROF.],$B48,DATOS_[Sexo],$B49,DATOS_[Check Periodo Ref.],"Dentro")</f>
        <v>0</v>
      </c>
      <c r="E49" s="249" t="n">
        <f aca="false" t="array" ref="E49:E49">IFERROR( MEDIAN(IF(DATOS_[Sexo]=$B49,IF(DATOS_[AGRUP. CLAS. PROF.]=$B48,IF(DATOS_[Check Periodo Ref.]="Dentro",DATOS_[SALARIO BASE Ef],0)))), 0)</f>
        <v>0</v>
      </c>
      <c r="F49" s="250" t="n">
        <f aca="false" t="array" ref="F49:F49">IFERROR( MEDIAN((IF(DATOS_[[Sexo]:[Sexo]]=$B49,IF(DATOS_[[AGRUP. CLAS. PROF.]:[AGRUP. CLAS. PROF.]]=$B48,IF(DATOS_[[Check Periodo Ref.]:[Check Periodo Ref.]]="Dentro",DATOS_[Conc.Sal.01]))))), 0)</f>
        <v>0</v>
      </c>
      <c r="G49" s="250" t="n">
        <f aca="false" t="array" ref="G49:G49">IFERROR( MEDIAN((IF(DATOS_[[Sexo]:[Sexo]]=$B49,IF(DATOS_[[AGRUP. CLAS. PROF.]:[AGRUP. CLAS. PROF.]]=$B48,IF(DATOS_[[Check Periodo Ref.]:[Check Periodo Ref.]]="Dentro",DATOS_[Conc.Sal.02]))))), 0)</f>
        <v>0</v>
      </c>
      <c r="H49" s="250" t="n">
        <f aca="false" t="array" ref="H49:H49">IFERROR( MEDIAN((IF(DATOS_[[Sexo]:[Sexo]]=$B49,IF(DATOS_[[AGRUP. CLAS. PROF.]:[AGRUP. CLAS. PROF.]]=$B48,IF(DATOS_[[Check Periodo Ref.]:[Check Periodo Ref.]]="Dentro",DATOS_[Conc.Sal.03]))))), 0)</f>
        <v>0</v>
      </c>
      <c r="I49" s="250" t="n">
        <f aca="false" t="array" ref="I49:I49">IFERROR( MEDIAN((IF(DATOS_[[Sexo]:[Sexo]]=$B49,IF(DATOS_[[AGRUP. CLAS. PROF.]:[AGRUP. CLAS. PROF.]]=$B48,IF(DATOS_[[Check Periodo Ref.]:[Check Periodo Ref.]]="Dentro",DATOS_[Conc.Sal.04]))))), 0)</f>
        <v>0</v>
      </c>
      <c r="J49" s="250" t="n">
        <f aca="false" t="array" ref="J49:J49">IFERROR( MEDIAN((IF(DATOS_[[Sexo]:[Sexo]]=$B49,IF(DATOS_[[AGRUP. CLAS. PROF.]:[AGRUP. CLAS. PROF.]]=$B48,IF(DATOS_[[Check Periodo Ref.]:[Check Periodo Ref.]]="Dentro",DATOS_[Conc.Sal.05]))))), 0)</f>
        <v>0</v>
      </c>
      <c r="K49" s="250" t="n">
        <f aca="false" t="array" ref="K49:K49">IFERROR( MEDIAN((IF(DATOS_[[Sexo]:[Sexo]]=$B49,IF(DATOS_[[AGRUP. CLAS. PROF.]:[AGRUP. CLAS. PROF.]]=$B48,IF(DATOS_[[Check Periodo Ref.]:[Check Periodo Ref.]]="Dentro",DATOS_[Conc.Sal.06]))))), 0)</f>
        <v>0</v>
      </c>
      <c r="L49" s="250" t="n">
        <f aca="false" t="array" ref="L49:L49">IFERROR( MEDIAN((IF(DATOS_[[Sexo]:[Sexo]]=$B49,IF(DATOS_[[AGRUP. CLAS. PROF.]:[AGRUP. CLAS. PROF.]]=$B48,IF(DATOS_[[Check Periodo Ref.]:[Check Periodo Ref.]]="Dentro",DATOS_[Conc.Sal.07]))))), 0)</f>
        <v>0</v>
      </c>
      <c r="M49" s="250" t="n">
        <f aca="false" t="array" ref="M49:M49">IFERROR( MEDIAN((IF(DATOS_[[Sexo]:[Sexo]]=$B49,IF(DATOS_[[AGRUP. CLAS. PROF.]:[AGRUP. CLAS. PROF.]]=$B48,IF(DATOS_[[Check Periodo Ref.]:[Check Periodo Ref.]]="Dentro",DATOS_[Conc.Sal.08]))))), 0)</f>
        <v>0</v>
      </c>
      <c r="N49" s="250" t="n">
        <f aca="false" t="array" ref="N49:N49">IFERROR( MEDIAN((IF(DATOS_[[Sexo]:[Sexo]]=$B49,IF(DATOS_[[AGRUP. CLAS. PROF.]:[AGRUP. CLAS. PROF.]]=$B48,IF(DATOS_[[Check Periodo Ref.]:[Check Periodo Ref.]]="Dentro",DATOS_[Conc.Sal.09]))))), 0)</f>
        <v>0</v>
      </c>
      <c r="O49" s="250" t="n">
        <f aca="false" t="array" ref="O49:O49">IFERROR( MEDIAN((IF(DATOS_[[Sexo]:[Sexo]]=$B49,IF(DATOS_[[AGRUP. CLAS. PROF.]:[AGRUP. CLAS. PROF.]]=$B48,IF(DATOS_[[Check Periodo Ref.]:[Check Periodo Ref.]]="Dentro",DATOS_[Conc.Sal.10]))))), 0)</f>
        <v>0</v>
      </c>
      <c r="P49" s="250" t="n">
        <f aca="false" t="array" ref="P49:P49">IFERROR( MEDIAN((IF(DATOS_[[Sexo]:[Sexo]]=$B49,IF(DATOS_[[AGRUP. CLAS. PROF.]:[AGRUP. CLAS. PROF.]]=$B48,IF(DATOS_[[Check Periodo Ref.]:[Check Periodo Ref.]]="Dentro",DATOS_[Conc.Sal.11]))))), 0)</f>
        <v>0</v>
      </c>
      <c r="Q49" s="250" t="n">
        <f aca="false" t="array" ref="Q49:Q49">IFERROR( MEDIAN((IF(DATOS_[[Sexo]:[Sexo]]=$B49,IF(DATOS_[[AGRUP. CLAS. PROF.]:[AGRUP. CLAS. PROF.]]=$B48,IF(DATOS_[[Check Periodo Ref.]:[Check Periodo Ref.]]="Dentro",DATOS_[Conc.Sal.12]))))), 0)</f>
        <v>0</v>
      </c>
      <c r="R49" s="250" t="n">
        <f aca="false" t="array" ref="R49:R49">IFERROR( MEDIAN((IF(DATOS_[[Sexo]:[Sexo]]=$B49,IF(DATOS_[[AGRUP. CLAS. PROF.]:[AGRUP. CLAS. PROF.]]=$B48,IF(DATOS_[[Check Periodo Ref.]:[Check Periodo Ref.]]="Dentro",DATOS_[Conc.Sal.13]))))), 0)</f>
        <v>0</v>
      </c>
      <c r="S49" s="250" t="n">
        <f aca="false" t="array" ref="S49:S49">IFERROR( MEDIAN((IF(DATOS_[[Sexo]:[Sexo]]=$B49,IF(DATOS_[[AGRUP. CLAS. PROF.]:[AGRUP. CLAS. PROF.]]=$B48,IF(DATOS_[[Check Periodo Ref.]:[Check Periodo Ref.]]="Dentro",DATOS_[Conc.Sal.14]))))), 0)</f>
        <v>0</v>
      </c>
      <c r="T49" s="250" t="n">
        <f aca="false" t="array" ref="T49:T49">IFERROR( MEDIAN((IF(DATOS_[[Sexo]:[Sexo]]=$B49,IF(DATOS_[[AGRUP. CLAS. PROF.]:[AGRUP. CLAS. PROF.]]=$B48,IF(DATOS_[[Check Periodo Ref.]:[Check Periodo Ref.]]="Dentro",DATOS_[Conc.Sal.15]))))), 0)</f>
        <v>0</v>
      </c>
      <c r="U49" s="250" t="n">
        <f aca="false" t="array" ref="U49:U49">IFERROR( MEDIAN((IF(DATOS_[[Sexo]:[Sexo]]=$B49,IF(DATOS_[[AGRUP. CLAS. PROF.]:[AGRUP. CLAS. PROF.]]=$B48,IF(DATOS_[[Check Periodo Ref.]:[Check Periodo Ref.]]="Dentro",DATOS_[Conc.Sal.16]))))), 0)</f>
        <v>0</v>
      </c>
      <c r="V49" s="250" t="n">
        <f aca="false" t="array" ref="V49:V49">IFERROR( MEDIAN((IF(DATOS_[[Sexo]:[Sexo]]=$B49,IF(DATOS_[[AGRUP. CLAS. PROF.]:[AGRUP. CLAS. PROF.]]=$B48,IF(DATOS_[[Check Periodo Ref.]:[Check Periodo Ref.]]="Dentro",DATOS_[Conc.Sal.17]))))), 0)</f>
        <v>0</v>
      </c>
      <c r="W49" s="250" t="n">
        <f aca="false" t="array" ref="W49:W49">IFERROR( MEDIAN((IF(DATOS_[[Sexo]:[Sexo]]=$B49,IF(DATOS_[[AGRUP. CLAS. PROF.]:[AGRUP. CLAS. PROF.]]=$B48,IF(DATOS_[[Check Periodo Ref.]:[Check Periodo Ref.]]="Dentro",DATOS_[Conc.Sal.18]))))), 0)</f>
        <v>0</v>
      </c>
      <c r="X49" s="250" t="n">
        <f aca="false" t="array" ref="X49:X49">IFERROR( MEDIAN((IF(DATOS_[[Sexo]:[Sexo]]=$B49,IF(DATOS_[[AGRUP. CLAS. PROF.]:[AGRUP. CLAS. PROF.]]=$B48,IF(DATOS_[[Check Periodo Ref.]:[Check Periodo Ref.]]="Dentro",DATOS_[Conc.Sal.19]))))), 0)</f>
        <v>0</v>
      </c>
      <c r="Y49" s="250" t="n">
        <f aca="false" t="array" ref="Y49:Y49">IFERROR( MEDIAN((IF(DATOS_[[Sexo]:[Sexo]]=$B49,IF(DATOS_[[AGRUP. CLAS. PROF.]:[AGRUP. CLAS. PROF.]]=$B48,IF(DATOS_[[Check Periodo Ref.]:[Check Periodo Ref.]]="Dentro",DATOS_[Conc.Sal.20]))))), 0)</f>
        <v>0</v>
      </c>
      <c r="Z49" s="250" t="n">
        <f aca="false" t="array" ref="Z49:Z49">IFERROR( MEDIAN((IF(DATOS_[[Sexo]:[Sexo]]=$B49,IF(DATOS_[[AGRUP. CLAS. PROF.]:[AGRUP. CLAS. PROF.]]=$B48,IF(DATOS_[[Check Periodo Ref.]:[Check Periodo Ref.]]="Dentro",DATOS_[Conc.Sal.21]))))), 0)</f>
        <v>0</v>
      </c>
      <c r="AA49" s="250" t="n">
        <f aca="false" t="array" ref="AA49:AA49">IFERROR( MEDIAN((IF(DATOS_[[Sexo]:[Sexo]]=$B49,IF(DATOS_[[AGRUP. CLAS. PROF.]:[AGRUP. CLAS. PROF.]]=$B48,IF(DATOS_[[Check Periodo Ref.]:[Check Periodo Ref.]]="Dentro",DATOS_[Conc.Sal.22]))))), 0)</f>
        <v>0</v>
      </c>
      <c r="AB49" s="250" t="n">
        <f aca="false" t="array" ref="AB49:AB49">IFERROR( MEDIAN((IF(DATOS_[[Sexo]:[Sexo]]=$B49,IF(DATOS_[[AGRUP. CLAS. PROF.]:[AGRUP. CLAS. PROF.]]=$B48,IF(DATOS_[[Check Periodo Ref.]:[Check Periodo Ref.]]="Dentro",DATOS_[Conc.Sal.23]))))), 0)</f>
        <v>0</v>
      </c>
      <c r="AC49" s="250" t="n">
        <f aca="false" t="array" ref="AC49:AC49">IFERROR( MEDIAN((IF(DATOS_[[Sexo]:[Sexo]]=$B49,IF(DATOS_[[AGRUP. CLAS. PROF.]:[AGRUP. CLAS. PROF.]]=$B48,IF(DATOS_[[Check Periodo Ref.]:[Check Periodo Ref.]]="Dentro",DATOS_[Conc.Sal.24]))))), 0)</f>
        <v>0</v>
      </c>
      <c r="AD49" s="250" t="n">
        <f aca="false" t="array" ref="AD49:AD49">IFERROR( MEDIAN((IF(DATOS_[[Sexo]:[Sexo]]=$B49,IF(DATOS_[[AGRUP. CLAS. PROF.]:[AGRUP. CLAS. PROF.]]=$B48,IF(DATOS_[[Check Periodo Ref.]:[Check Periodo Ref.]]="Dentro",DATOS_[Conc.Sal.25]))))), 0)</f>
        <v>0</v>
      </c>
      <c r="AE49" s="250" t="n">
        <f aca="false" t="array" ref="AE49:AE49">IFERROR( MEDIAN((IF(DATOS_[[Sexo]:[Sexo]]=$B49,IF(DATOS_[[AGRUP. CLAS. PROF.]:[AGRUP. CLAS. PROF.]]=$B48,IF(DATOS_[[Check Periodo Ref.]:[Check Periodo Ref.]]="Dentro",DATOS_[Conc.Sal.26]))))), 0)</f>
        <v>0</v>
      </c>
      <c r="AF49" s="250" t="n">
        <f aca="false" t="array" ref="AF49:AF49">IFERROR( MEDIAN((IF(DATOS_[[Sexo]:[Sexo]]=$B49,IF(DATOS_[[AGRUP. CLAS. PROF.]:[AGRUP. CLAS. PROF.]]=$B48,IF(DATOS_[[Check Periodo Ref.]:[Check Periodo Ref.]]="Dentro",DATOS_[Conc.Sal.27]))))), 0)</f>
        <v>0</v>
      </c>
      <c r="AG49" s="250" t="n">
        <f aca="false" t="array" ref="AG49:AG49">IFERROR( MEDIAN((IF(DATOS_[[Sexo]:[Sexo]]=$B49,IF(DATOS_[[AGRUP. CLAS. PROF.]:[AGRUP. CLAS. PROF.]]=$B48,IF(DATOS_[[Check Periodo Ref.]:[Check Periodo Ref.]]="Dentro",DATOS_[Conc.Sal.28]))))), 0)</f>
        <v>0</v>
      </c>
      <c r="AH49" s="250" t="n">
        <f aca="false" t="array" ref="AH49:AH49">IFERROR( MEDIAN((IF(DATOS_[[Sexo]:[Sexo]]=$B49,IF(DATOS_[[AGRUP. CLAS. PROF.]:[AGRUP. CLAS. PROF.]]=$B48,IF(DATOS_[[Check Periodo Ref.]:[Check Periodo Ref.]]="Dentro",DATOS_[Conc.Sal.29]))))), 0)</f>
        <v>0</v>
      </c>
      <c r="AI49" s="250" t="n">
        <f aca="false" t="array" ref="AI49:AI49">IFERROR( MEDIAN((IF(DATOS_[[Sexo]:[Sexo]]=$B49,IF(DATOS_[[AGRUP. CLAS. PROF.]:[AGRUP. CLAS. PROF.]]=$B48,IF(DATOS_[[Check Periodo Ref.]:[Check Periodo Ref.]]="Dentro",DATOS_[Conc.Sal.30]))))), 0)</f>
        <v>0</v>
      </c>
      <c r="AJ49" s="251" t="n">
        <f aca="false" t="array" ref="AJ49:AJ49">IFERROR( MEDIAN(IF(DATOS_[Sexo]=$B49,IF(DATOS_[AGRUP. CLAS. PROF.]=$B48,IF(DATOS_[Check Periodo Ref.]="Dentro",DATOS_[Tot COMPL.SAL Ef],0)))), 0)</f>
        <v>0</v>
      </c>
      <c r="AK49" s="252" t="n">
        <f aca="false" t="array" ref="AK49:AK49">IFERROR( MEDIAN(IF(DATOS_[Sexo]=$B49,IF(DATOS_[AGRUP. CLAS. PROF.]=$B48,IF(DATOS_[Check Periodo Ref.]="Dentro",DATOS_[TOTAL SALARIO Ef],0)))), 0)</f>
        <v>0</v>
      </c>
      <c r="AL49" s="259" t="n">
        <f aca="false" t="array" ref="AL49:AL49">IFERROR( MEDIAN((IF(DATOS_[[Sexo]:[Sexo]]=$B49,IF(DATOS_[[AGRUP. CLAS. PROF.]:[AGRUP. CLAS. PROF.]]=$B48,IF(DATOS_[[Check Periodo Ref.]:[Check Periodo Ref.]]="Dentro",DATOS_[C.Extra.01]))))), 0)</f>
        <v>0</v>
      </c>
      <c r="AM49" s="259" t="n">
        <f aca="false" t="array" ref="AM49:AM49">IFERROR( MEDIAN((IF(DATOS_[[Sexo]:[Sexo]]=$B49,IF(DATOS_[[AGRUP. CLAS. PROF.]:[AGRUP. CLAS. PROF.]]=$B48,IF(DATOS_[[Check Periodo Ref.]:[Check Periodo Ref.]]="Dentro",DATOS_[C.Extra.02]))))), 0)</f>
        <v>0</v>
      </c>
      <c r="AN49" s="259" t="n">
        <f aca="false" t="array" ref="AN49:AN49">IFERROR( MEDIAN((IF(DATOS_[[Sexo]:[Sexo]]=$B49,IF(DATOS_[[AGRUP. CLAS. PROF.]:[AGRUP. CLAS. PROF.]]=$B48,IF(DATOS_[[Check Periodo Ref.]:[Check Periodo Ref.]]="Dentro",DATOS_[C.Extra.03]))))), 0)</f>
        <v>0</v>
      </c>
      <c r="AO49" s="259" t="n">
        <f aca="false" t="array" ref="AO49:AO49">IFERROR( MEDIAN((IF(DATOS_[[Sexo]:[Sexo]]=$B49,IF(DATOS_[[AGRUP. CLAS. PROF.]:[AGRUP. CLAS. PROF.]]=$B48,IF(DATOS_[[Check Periodo Ref.]:[Check Periodo Ref.]]="Dentro",DATOS_[C.Extra.04]))))), 0)</f>
        <v>0</v>
      </c>
      <c r="AP49" s="259" t="n">
        <f aca="false" t="array" ref="AP49:AP49">IFERROR( MEDIAN((IF(DATOS_[[Sexo]:[Sexo]]=$B49,IF(DATOS_[[AGRUP. CLAS. PROF.]:[AGRUP. CLAS. PROF.]]=$B48,IF(DATOS_[[Check Periodo Ref.]:[Check Periodo Ref.]]="Dentro",DATOS_[C.Extra.05]))))), 0)</f>
        <v>0</v>
      </c>
      <c r="AQ49" s="254" t="n">
        <f aca="false" t="array" ref="AQ49:AQ49">IFERROR( MEDIAN(IF(DATOS_[Sexo]=$B49,IF(DATOS_[AGRUP. CLAS. PROF.]=$B48,IF(DATOS_[Check Periodo Ref.]="Dentro",DATOS_[Tot Extrasalarial Ef],0)))), 0)</f>
        <v>0</v>
      </c>
      <c r="AR49" s="255" t="n">
        <f aca="false" t="array" ref="AR49:AR49">IFERROR( MEDIAN(IF(DATOS_[Sexo]=$B49,IF(DATOS_[AGRUP. CLAS. PROF.]=$B48,IF(DATOS_[Check Periodo Ref.]="Dentro",DATOS_[TOTAL Retrib Ef],0)))), 0)</f>
        <v>0</v>
      </c>
    </row>
    <row r="50" customFormat="false" ht="14.25" hidden="false" customHeight="false" outlineLevel="0" collapsed="false">
      <c r="A50" s="217" t="str">
        <f aca="false">+A49</f>
        <v>[ocultar]</v>
      </c>
      <c r="B50" s="246" t="s">
        <v>372</v>
      </c>
      <c r="C50" s="247" t="n">
        <f aca="false" t="array" ref="C50:C50">SUM(IF($B50=DATOS_[Sexo], IF($B48=DATOS_[AGRUP. CLAS. PROF.], IF("Dentro"=DATOS_[Check Periodo Ref.], 1/(COUNTIFS(DATOS_[Sexo],$B50,DATOS_[AGRUP. CLAS. PROF.],$B48,DATOS_[Check Periodo Ref.],"Dentro",DATOS_[id],DATOS_[id]))))))</f>
        <v>0</v>
      </c>
      <c r="D50" s="248" t="n">
        <f aca="false">COUNTIFS(DATOS_[AGRUP. CLAS. PROF.],$B48,DATOS_[Sexo],$B50,DATOS_[Check Periodo Ref.],"Dentro")</f>
        <v>0</v>
      </c>
      <c r="E50" s="249" t="n">
        <f aca="false" t="array" ref="E50:E50">IFERROR( MEDIAN(IF(DATOS_[Sexo]=$B50,IF(DATOS_[AGRUP. CLAS. PROF.]=$B48,IF(DATOS_[Check Periodo Ref.]="Dentro",DATOS_[SALARIO BASE Ef],0)))), 0)</f>
        <v>0</v>
      </c>
      <c r="F50" s="250" t="n">
        <f aca="false" t="array" ref="F50:F50">IFERROR( MEDIAN((IF(DATOS_[[Sexo]:[Sexo]]=$B50,IF(DATOS_[[AGRUP. CLAS. PROF.]:[AGRUP. CLAS. PROF.]]=$B48,IF(DATOS_[[Check Periodo Ref.]:[Check Periodo Ref.]]="Dentro",DATOS_[Conc.Sal.01]))))), 0)</f>
        <v>0</v>
      </c>
      <c r="G50" s="250" t="n">
        <f aca="false" t="array" ref="G50:G50">IFERROR( MEDIAN((IF(DATOS_[[Sexo]:[Sexo]]=$B50,IF(DATOS_[[AGRUP. CLAS. PROF.]:[AGRUP. CLAS. PROF.]]=$B48,IF(DATOS_[[Check Periodo Ref.]:[Check Periodo Ref.]]="Dentro",DATOS_[Conc.Sal.02]))))), 0)</f>
        <v>0</v>
      </c>
      <c r="H50" s="250" t="n">
        <f aca="false" t="array" ref="H50:H50">IFERROR( MEDIAN((IF(DATOS_[[Sexo]:[Sexo]]=$B50,IF(DATOS_[[AGRUP. CLAS. PROF.]:[AGRUP. CLAS. PROF.]]=$B48,IF(DATOS_[[Check Periodo Ref.]:[Check Periodo Ref.]]="Dentro",DATOS_[Conc.Sal.03]))))), 0)</f>
        <v>0</v>
      </c>
      <c r="I50" s="250" t="n">
        <f aca="false" t="array" ref="I50:I50">IFERROR( MEDIAN((IF(DATOS_[[Sexo]:[Sexo]]=$B50,IF(DATOS_[[AGRUP. CLAS. PROF.]:[AGRUP. CLAS. PROF.]]=$B48,IF(DATOS_[[Check Periodo Ref.]:[Check Periodo Ref.]]="Dentro",DATOS_[Conc.Sal.04]))))), 0)</f>
        <v>0</v>
      </c>
      <c r="J50" s="250" t="n">
        <f aca="false" t="array" ref="J50:J50">IFERROR( MEDIAN((IF(DATOS_[[Sexo]:[Sexo]]=$B50,IF(DATOS_[[AGRUP. CLAS. PROF.]:[AGRUP. CLAS. PROF.]]=$B48,IF(DATOS_[[Check Periodo Ref.]:[Check Periodo Ref.]]="Dentro",DATOS_[Conc.Sal.05]))))), 0)</f>
        <v>0</v>
      </c>
      <c r="K50" s="250" t="n">
        <f aca="false" t="array" ref="K50:K50">IFERROR( MEDIAN((IF(DATOS_[[Sexo]:[Sexo]]=$B50,IF(DATOS_[[AGRUP. CLAS. PROF.]:[AGRUP. CLAS. PROF.]]=$B48,IF(DATOS_[[Check Periodo Ref.]:[Check Periodo Ref.]]="Dentro",DATOS_[Conc.Sal.06]))))), 0)</f>
        <v>0</v>
      </c>
      <c r="L50" s="250" t="n">
        <f aca="false" t="array" ref="L50:L50">IFERROR( MEDIAN((IF(DATOS_[[Sexo]:[Sexo]]=$B50,IF(DATOS_[[AGRUP. CLAS. PROF.]:[AGRUP. CLAS. PROF.]]=$B48,IF(DATOS_[[Check Periodo Ref.]:[Check Periodo Ref.]]="Dentro",DATOS_[Conc.Sal.07]))))), 0)</f>
        <v>0</v>
      </c>
      <c r="M50" s="250" t="n">
        <f aca="false" t="array" ref="M50:M50">IFERROR( MEDIAN((IF(DATOS_[[Sexo]:[Sexo]]=$B50,IF(DATOS_[[AGRUP. CLAS. PROF.]:[AGRUP. CLAS. PROF.]]=$B48,IF(DATOS_[[Check Periodo Ref.]:[Check Periodo Ref.]]="Dentro",DATOS_[Conc.Sal.08]))))), 0)</f>
        <v>0</v>
      </c>
      <c r="N50" s="250" t="n">
        <f aca="false" t="array" ref="N50:N50">IFERROR( MEDIAN((IF(DATOS_[[Sexo]:[Sexo]]=$B50,IF(DATOS_[[AGRUP. CLAS. PROF.]:[AGRUP. CLAS. PROF.]]=$B48,IF(DATOS_[[Check Periodo Ref.]:[Check Periodo Ref.]]="Dentro",DATOS_[Conc.Sal.09]))))), 0)</f>
        <v>0</v>
      </c>
      <c r="O50" s="250" t="n">
        <f aca="false" t="array" ref="O50:O50">IFERROR( MEDIAN((IF(DATOS_[[Sexo]:[Sexo]]=$B50,IF(DATOS_[[AGRUP. CLAS. PROF.]:[AGRUP. CLAS. PROF.]]=$B48,IF(DATOS_[[Check Periodo Ref.]:[Check Periodo Ref.]]="Dentro",DATOS_[Conc.Sal.10]))))), 0)</f>
        <v>0</v>
      </c>
      <c r="P50" s="250" t="n">
        <f aca="false" t="array" ref="P50:P50">IFERROR( MEDIAN((IF(DATOS_[[Sexo]:[Sexo]]=$B50,IF(DATOS_[[AGRUP. CLAS. PROF.]:[AGRUP. CLAS. PROF.]]=$B48,IF(DATOS_[[Check Periodo Ref.]:[Check Periodo Ref.]]="Dentro",DATOS_[Conc.Sal.11]))))), 0)</f>
        <v>0</v>
      </c>
      <c r="Q50" s="250" t="n">
        <f aca="false" t="array" ref="Q50:Q50">IFERROR( MEDIAN((IF(DATOS_[[Sexo]:[Sexo]]=$B50,IF(DATOS_[[AGRUP. CLAS. PROF.]:[AGRUP. CLAS. PROF.]]=$B48,IF(DATOS_[[Check Periodo Ref.]:[Check Periodo Ref.]]="Dentro",DATOS_[Conc.Sal.12]))))), 0)</f>
        <v>0</v>
      </c>
      <c r="R50" s="250" t="n">
        <f aca="false" t="array" ref="R50:R50">IFERROR( MEDIAN((IF(DATOS_[[Sexo]:[Sexo]]=$B50,IF(DATOS_[[AGRUP. CLAS. PROF.]:[AGRUP. CLAS. PROF.]]=$B48,IF(DATOS_[[Check Periodo Ref.]:[Check Periodo Ref.]]="Dentro",DATOS_[Conc.Sal.13]))))), 0)</f>
        <v>0</v>
      </c>
      <c r="S50" s="250" t="n">
        <f aca="false" t="array" ref="S50:S50">IFERROR( MEDIAN((IF(DATOS_[[Sexo]:[Sexo]]=$B50,IF(DATOS_[[AGRUP. CLAS. PROF.]:[AGRUP. CLAS. PROF.]]=$B48,IF(DATOS_[[Check Periodo Ref.]:[Check Periodo Ref.]]="Dentro",DATOS_[Conc.Sal.14]))))), 0)</f>
        <v>0</v>
      </c>
      <c r="T50" s="250" t="n">
        <f aca="false" t="array" ref="T50:T50">IFERROR( MEDIAN((IF(DATOS_[[Sexo]:[Sexo]]=$B50,IF(DATOS_[[AGRUP. CLAS. PROF.]:[AGRUP. CLAS. PROF.]]=$B48,IF(DATOS_[[Check Periodo Ref.]:[Check Periodo Ref.]]="Dentro",DATOS_[Conc.Sal.15]))))), 0)</f>
        <v>0</v>
      </c>
      <c r="U50" s="250" t="n">
        <f aca="false" t="array" ref="U50:U50">IFERROR( MEDIAN((IF(DATOS_[[Sexo]:[Sexo]]=$B50,IF(DATOS_[[AGRUP. CLAS. PROF.]:[AGRUP. CLAS. PROF.]]=$B48,IF(DATOS_[[Check Periodo Ref.]:[Check Periodo Ref.]]="Dentro",DATOS_[Conc.Sal.16]))))), 0)</f>
        <v>0</v>
      </c>
      <c r="V50" s="250" t="n">
        <f aca="false" t="array" ref="V50:V50">IFERROR( MEDIAN((IF(DATOS_[[Sexo]:[Sexo]]=$B50,IF(DATOS_[[AGRUP. CLAS. PROF.]:[AGRUP. CLAS. PROF.]]=$B48,IF(DATOS_[[Check Periodo Ref.]:[Check Periodo Ref.]]="Dentro",DATOS_[Conc.Sal.17]))))), 0)</f>
        <v>0</v>
      </c>
      <c r="W50" s="250" t="n">
        <f aca="false" t="array" ref="W50:W50">IFERROR( MEDIAN((IF(DATOS_[[Sexo]:[Sexo]]=$B50,IF(DATOS_[[AGRUP. CLAS. PROF.]:[AGRUP. CLAS. PROF.]]=$B48,IF(DATOS_[[Check Periodo Ref.]:[Check Periodo Ref.]]="Dentro",DATOS_[Conc.Sal.18]))))), 0)</f>
        <v>0</v>
      </c>
      <c r="X50" s="250" t="n">
        <f aca="false" t="array" ref="X50:X50">IFERROR( MEDIAN((IF(DATOS_[[Sexo]:[Sexo]]=$B50,IF(DATOS_[[AGRUP. CLAS. PROF.]:[AGRUP. CLAS. PROF.]]=$B48,IF(DATOS_[[Check Periodo Ref.]:[Check Periodo Ref.]]="Dentro",DATOS_[Conc.Sal.19]))))), 0)</f>
        <v>0</v>
      </c>
      <c r="Y50" s="250" t="n">
        <f aca="false" t="array" ref="Y50:Y50">IFERROR( MEDIAN((IF(DATOS_[[Sexo]:[Sexo]]=$B50,IF(DATOS_[[AGRUP. CLAS. PROF.]:[AGRUP. CLAS. PROF.]]=$B48,IF(DATOS_[[Check Periodo Ref.]:[Check Periodo Ref.]]="Dentro",DATOS_[Conc.Sal.20]))))), 0)</f>
        <v>0</v>
      </c>
      <c r="Z50" s="250" t="n">
        <f aca="false" t="array" ref="Z50:Z50">IFERROR( MEDIAN((IF(DATOS_[[Sexo]:[Sexo]]=$B50,IF(DATOS_[[AGRUP. CLAS. PROF.]:[AGRUP. CLAS. PROF.]]=$B48,IF(DATOS_[[Check Periodo Ref.]:[Check Periodo Ref.]]="Dentro",DATOS_[Conc.Sal.21]))))), 0)</f>
        <v>0</v>
      </c>
      <c r="AA50" s="250" t="n">
        <f aca="false" t="array" ref="AA50:AA50">IFERROR( MEDIAN((IF(DATOS_[[Sexo]:[Sexo]]=$B50,IF(DATOS_[[AGRUP. CLAS. PROF.]:[AGRUP. CLAS. PROF.]]=$B48,IF(DATOS_[[Check Periodo Ref.]:[Check Periodo Ref.]]="Dentro",DATOS_[Conc.Sal.22]))))), 0)</f>
        <v>0</v>
      </c>
      <c r="AB50" s="250" t="n">
        <f aca="false" t="array" ref="AB50:AB50">IFERROR( MEDIAN((IF(DATOS_[[Sexo]:[Sexo]]=$B50,IF(DATOS_[[AGRUP. CLAS. PROF.]:[AGRUP. CLAS. PROF.]]=$B48,IF(DATOS_[[Check Periodo Ref.]:[Check Periodo Ref.]]="Dentro",DATOS_[Conc.Sal.23]))))), 0)</f>
        <v>0</v>
      </c>
      <c r="AC50" s="250" t="n">
        <f aca="false" t="array" ref="AC50:AC50">IFERROR( MEDIAN((IF(DATOS_[[Sexo]:[Sexo]]=$B50,IF(DATOS_[[AGRUP. CLAS. PROF.]:[AGRUP. CLAS. PROF.]]=$B48,IF(DATOS_[[Check Periodo Ref.]:[Check Periodo Ref.]]="Dentro",DATOS_[Conc.Sal.24]))))), 0)</f>
        <v>0</v>
      </c>
      <c r="AD50" s="250" t="n">
        <f aca="false" t="array" ref="AD50:AD50">IFERROR( MEDIAN((IF(DATOS_[[Sexo]:[Sexo]]=$B50,IF(DATOS_[[AGRUP. CLAS. PROF.]:[AGRUP. CLAS. PROF.]]=$B48,IF(DATOS_[[Check Periodo Ref.]:[Check Periodo Ref.]]="Dentro",DATOS_[Conc.Sal.25]))))), 0)</f>
        <v>0</v>
      </c>
      <c r="AE50" s="250" t="n">
        <f aca="false" t="array" ref="AE50:AE50">IFERROR( MEDIAN((IF(DATOS_[[Sexo]:[Sexo]]=$B50,IF(DATOS_[[AGRUP. CLAS. PROF.]:[AGRUP. CLAS. PROF.]]=$B48,IF(DATOS_[[Check Periodo Ref.]:[Check Periodo Ref.]]="Dentro",DATOS_[Conc.Sal.26]))))), 0)</f>
        <v>0</v>
      </c>
      <c r="AF50" s="250" t="n">
        <f aca="false" t="array" ref="AF50:AF50">IFERROR( MEDIAN((IF(DATOS_[[Sexo]:[Sexo]]=$B50,IF(DATOS_[[AGRUP. CLAS. PROF.]:[AGRUP. CLAS. PROF.]]=$B48,IF(DATOS_[[Check Periodo Ref.]:[Check Periodo Ref.]]="Dentro",DATOS_[Conc.Sal.27]))))), 0)</f>
        <v>0</v>
      </c>
      <c r="AG50" s="250" t="n">
        <f aca="false" t="array" ref="AG50:AG50">IFERROR( MEDIAN((IF(DATOS_[[Sexo]:[Sexo]]=$B50,IF(DATOS_[[AGRUP. CLAS. PROF.]:[AGRUP. CLAS. PROF.]]=$B48,IF(DATOS_[[Check Periodo Ref.]:[Check Periodo Ref.]]="Dentro",DATOS_[Conc.Sal.28]))))), 0)</f>
        <v>0</v>
      </c>
      <c r="AH50" s="250" t="n">
        <f aca="false" t="array" ref="AH50:AH50">IFERROR( MEDIAN((IF(DATOS_[[Sexo]:[Sexo]]=$B50,IF(DATOS_[[AGRUP. CLAS. PROF.]:[AGRUP. CLAS. PROF.]]=$B48,IF(DATOS_[[Check Periodo Ref.]:[Check Periodo Ref.]]="Dentro",DATOS_[Conc.Sal.29]))))), 0)</f>
        <v>0</v>
      </c>
      <c r="AI50" s="250" t="n">
        <f aca="false" t="array" ref="AI50:AI50">IFERROR( MEDIAN((IF(DATOS_[[Sexo]:[Sexo]]=$B50,IF(DATOS_[[AGRUP. CLAS. PROF.]:[AGRUP. CLAS. PROF.]]=$B48,IF(DATOS_[[Check Periodo Ref.]:[Check Periodo Ref.]]="Dentro",DATOS_[Conc.Sal.30]))))), 0)</f>
        <v>0</v>
      </c>
      <c r="AJ50" s="251" t="n">
        <f aca="false" t="array" ref="AJ50:AJ50">IFERROR( MEDIAN(IF(DATOS_[Sexo]=$B50,IF(DATOS_[AGRUP. CLAS. PROF.]=$B48,IF(DATOS_[Check Periodo Ref.]="Dentro",DATOS_[Tot COMPL.SAL Ef],0)))), 0)</f>
        <v>0</v>
      </c>
      <c r="AK50" s="252" t="n">
        <f aca="false" t="array" ref="AK50:AK50">IFERROR( MEDIAN(IF(DATOS_[Sexo]=$B50,IF(DATOS_[AGRUP. CLAS. PROF.]=$B48,IF(DATOS_[Check Periodo Ref.]="Dentro",DATOS_[TOTAL SALARIO Ef],0)))), 0)</f>
        <v>0</v>
      </c>
      <c r="AL50" s="259" t="n">
        <f aca="false" t="array" ref="AL50:AL50">IFERROR( MEDIAN((IF(DATOS_[[Sexo]:[Sexo]]=$B50,IF(DATOS_[[AGRUP. CLAS. PROF.]:[AGRUP. CLAS. PROF.]]=$B48,IF(DATOS_[[Check Periodo Ref.]:[Check Periodo Ref.]]="Dentro",DATOS_[C.Extra.01]))))), 0)</f>
        <v>0</v>
      </c>
      <c r="AM50" s="259" t="n">
        <f aca="false" t="array" ref="AM50:AM50">IFERROR( MEDIAN((IF(DATOS_[[Sexo]:[Sexo]]=$B50,IF(DATOS_[[AGRUP. CLAS. PROF.]:[AGRUP. CLAS. PROF.]]=$B48,IF(DATOS_[[Check Periodo Ref.]:[Check Periodo Ref.]]="Dentro",DATOS_[C.Extra.02]))))), 0)</f>
        <v>0</v>
      </c>
      <c r="AN50" s="259" t="n">
        <f aca="false" t="array" ref="AN50:AN50">IFERROR( MEDIAN((IF(DATOS_[[Sexo]:[Sexo]]=$B50,IF(DATOS_[[AGRUP. CLAS. PROF.]:[AGRUP. CLAS. PROF.]]=$B48,IF(DATOS_[[Check Periodo Ref.]:[Check Periodo Ref.]]="Dentro",DATOS_[C.Extra.03]))))), 0)</f>
        <v>0</v>
      </c>
      <c r="AO50" s="259" t="n">
        <f aca="false" t="array" ref="AO50:AO50">IFERROR( MEDIAN((IF(DATOS_[[Sexo]:[Sexo]]=$B50,IF(DATOS_[[AGRUP. CLAS. PROF.]:[AGRUP. CLAS. PROF.]]=$B48,IF(DATOS_[[Check Periodo Ref.]:[Check Periodo Ref.]]="Dentro",DATOS_[C.Extra.04]))))), 0)</f>
        <v>0</v>
      </c>
      <c r="AP50" s="259" t="n">
        <f aca="false" t="array" ref="AP50:AP50">IFERROR( MEDIAN((IF(DATOS_[[Sexo]:[Sexo]]=$B50,IF(DATOS_[[AGRUP. CLAS. PROF.]:[AGRUP. CLAS. PROF.]]=$B48,IF(DATOS_[[Check Periodo Ref.]:[Check Periodo Ref.]]="Dentro",DATOS_[C.Extra.05]))))), 0)</f>
        <v>0</v>
      </c>
      <c r="AQ50" s="254" t="n">
        <f aca="false" t="array" ref="AQ50:AQ50">IFERROR( MEDIAN(IF(DATOS_[Sexo]=$B50,IF(DATOS_[AGRUP. CLAS. PROF.]=$B48,IF(DATOS_[Check Periodo Ref.]="Dentro",DATOS_[Tot Extrasalarial Ef],0)))), 0)</f>
        <v>0</v>
      </c>
      <c r="AR50" s="255" t="n">
        <f aca="false" t="array" ref="AR50:AR50">IFERROR( MEDIAN(IF(DATOS_[Sexo]=$B50,IF(DATOS_[AGRUP. CLAS. PROF.]=$B48,IF(DATOS_[Check Periodo Ref.]="Dentro",DATOS_[TOTAL Retrib Ef],0)))), 0)</f>
        <v>0</v>
      </c>
    </row>
    <row r="51" customFormat="false" ht="15.75" hidden="false" customHeight="false" outlineLevel="0" collapsed="false">
      <c r="A51" s="217" t="str">
        <f aca="false">+A52</f>
        <v>[ocultar]</v>
      </c>
      <c r="B51" s="235" t="s">
        <v>204</v>
      </c>
      <c r="C51" s="236"/>
      <c r="D51" s="237"/>
      <c r="E51" s="238" t="str">
        <f aca="false">IFERROR((E52-E53)/E52,"")</f>
        <v/>
      </c>
      <c r="F51" s="239" t="str">
        <f aca="false">IFERROR((F52-F53)/F52,"")</f>
        <v/>
      </c>
      <c r="G51" s="239" t="str">
        <f aca="false">IFERROR((G52-G53)/G52,"")</f>
        <v/>
      </c>
      <c r="H51" s="239" t="str">
        <f aca="false">IFERROR((H52-H53)/H52,"")</f>
        <v/>
      </c>
      <c r="I51" s="239"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40" t="str">
        <f aca="false">IFERROR((V52-V53)/V52,"")</f>
        <v/>
      </c>
      <c r="W51" s="240" t="str">
        <f aca="false">IFERROR((W52-W53)/W52,"")</f>
        <v/>
      </c>
      <c r="X51" s="240" t="str">
        <f aca="false">IFERROR((X52-X53)/X52,"")</f>
        <v/>
      </c>
      <c r="Y51" s="240"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1" t="str">
        <f aca="false">IFERROR((AJ52-AJ53)/AJ52,"")</f>
        <v/>
      </c>
      <c r="AK51" s="242" t="str">
        <f aca="false">IFERROR((AK52-AK53)/AK52,"")</f>
        <v/>
      </c>
      <c r="AL51" s="243" t="str">
        <f aca="false">IFERROR((AL52-AL53)/AL52,"")</f>
        <v/>
      </c>
      <c r="AM51" s="243" t="str">
        <f aca="false">IFERROR((AM52-AM53)/AM52,"")</f>
        <v/>
      </c>
      <c r="AN51" s="243" t="str">
        <f aca="false">IFERROR((AN52-AN53)/AN52,"")</f>
        <v/>
      </c>
      <c r="AO51" s="243" t="str">
        <f aca="false">IFERROR((AO52-AO53)/AO52,"")</f>
        <v/>
      </c>
      <c r="AP51" s="243" t="str">
        <f aca="false">IFERROR((AP52-AP53)/AP52,"")</f>
        <v/>
      </c>
      <c r="AQ51" s="244" t="str">
        <f aca="false">IFERROR((AQ52-AQ53)/AQ52,"")</f>
        <v/>
      </c>
      <c r="AR51" s="245" t="str">
        <f aca="false">IFERROR((AR52-AR53)/AR52,"")</f>
        <v/>
      </c>
    </row>
    <row r="52" customFormat="false" ht="14.25" hidden="false" customHeight="false" outlineLevel="0" collapsed="false">
      <c r="A52" s="217" t="str">
        <f aca="false">+IF(C52+C53=0,"[ocultar]","")</f>
        <v>[ocultar]</v>
      </c>
      <c r="B52" s="246" t="s">
        <v>371</v>
      </c>
      <c r="C52" s="247" t="n">
        <f aca="false" t="array" ref="C52:C52">SUM(IF($B52=DATOS_[Sexo], IF($B51=DATOS_[AGRUP. CLAS. PROF.], IF("Dentro"=DATOS_[Check Periodo Ref.], 1/(COUNTIFS(DATOS_[Sexo],$B52,DATOS_[AGRUP. CLAS. PROF.],$B51,DATOS_[Check Periodo Ref.],"Dentro",DATOS_[id],DATOS_[id]))))))</f>
        <v>0</v>
      </c>
      <c r="D52" s="248" t="n">
        <f aca="false">COUNTIFS(DATOS_[AGRUP. CLAS. PROF.],$B51,DATOS_[Sexo],$B52,DATOS_[Check Periodo Ref.],"Dentro")</f>
        <v>0</v>
      </c>
      <c r="E52" s="249" t="n">
        <f aca="false" t="array" ref="E52:E52">IFERROR( MEDIAN(IF(DATOS_[Sexo]=$B52,IF(DATOS_[AGRUP. CLAS. PROF.]=$B51,IF(DATOS_[Check Periodo Ref.]="Dentro",DATOS_[SALARIO BASE Ef],0)))), 0)</f>
        <v>0</v>
      </c>
      <c r="F52" s="250" t="n">
        <f aca="false" t="array" ref="F52:F52">IFERROR( MEDIAN((IF(DATOS_[[Sexo]:[Sexo]]=$B52,IF(DATOS_[[AGRUP. CLAS. PROF.]:[AGRUP. CLAS. PROF.]]=$B51,IF(DATOS_[[Check Periodo Ref.]:[Check Periodo Ref.]]="Dentro",DATOS_[Conc.Sal.01]))))), 0)</f>
        <v>0</v>
      </c>
      <c r="G52" s="250" t="n">
        <f aca="false" t="array" ref="G52:G52">IFERROR( MEDIAN((IF(DATOS_[[Sexo]:[Sexo]]=$B52,IF(DATOS_[[AGRUP. CLAS. PROF.]:[AGRUP. CLAS. PROF.]]=$B51,IF(DATOS_[[Check Periodo Ref.]:[Check Periodo Ref.]]="Dentro",DATOS_[Conc.Sal.02]))))), 0)</f>
        <v>0</v>
      </c>
      <c r="H52" s="250" t="n">
        <f aca="false" t="array" ref="H52:H52">IFERROR( MEDIAN((IF(DATOS_[[Sexo]:[Sexo]]=$B52,IF(DATOS_[[AGRUP. CLAS. PROF.]:[AGRUP. CLAS. PROF.]]=$B51,IF(DATOS_[[Check Periodo Ref.]:[Check Periodo Ref.]]="Dentro",DATOS_[Conc.Sal.03]))))), 0)</f>
        <v>0</v>
      </c>
      <c r="I52" s="250" t="n">
        <f aca="false" t="array" ref="I52:I52">IFERROR( MEDIAN((IF(DATOS_[[Sexo]:[Sexo]]=$B52,IF(DATOS_[[AGRUP. CLAS. PROF.]:[AGRUP. CLAS. PROF.]]=$B51,IF(DATOS_[[Check Periodo Ref.]:[Check Periodo Ref.]]="Dentro",DATOS_[Conc.Sal.04]))))), 0)</f>
        <v>0</v>
      </c>
      <c r="J52" s="250" t="n">
        <f aca="false" t="array" ref="J52:J52">IFERROR( MEDIAN((IF(DATOS_[[Sexo]:[Sexo]]=$B52,IF(DATOS_[[AGRUP. CLAS. PROF.]:[AGRUP. CLAS. PROF.]]=$B51,IF(DATOS_[[Check Periodo Ref.]:[Check Periodo Ref.]]="Dentro",DATOS_[Conc.Sal.05]))))), 0)</f>
        <v>0</v>
      </c>
      <c r="K52" s="250" t="n">
        <f aca="false" t="array" ref="K52:K52">IFERROR( MEDIAN((IF(DATOS_[[Sexo]:[Sexo]]=$B52,IF(DATOS_[[AGRUP. CLAS. PROF.]:[AGRUP. CLAS. PROF.]]=$B51,IF(DATOS_[[Check Periodo Ref.]:[Check Periodo Ref.]]="Dentro",DATOS_[Conc.Sal.06]))))), 0)</f>
        <v>0</v>
      </c>
      <c r="L52" s="250" t="n">
        <f aca="false" t="array" ref="L52:L52">IFERROR( MEDIAN((IF(DATOS_[[Sexo]:[Sexo]]=$B52,IF(DATOS_[[AGRUP. CLAS. PROF.]:[AGRUP. CLAS. PROF.]]=$B51,IF(DATOS_[[Check Periodo Ref.]:[Check Periodo Ref.]]="Dentro",DATOS_[Conc.Sal.07]))))), 0)</f>
        <v>0</v>
      </c>
      <c r="M52" s="250" t="n">
        <f aca="false" t="array" ref="M52:M52">IFERROR( MEDIAN((IF(DATOS_[[Sexo]:[Sexo]]=$B52,IF(DATOS_[[AGRUP. CLAS. PROF.]:[AGRUP. CLAS. PROF.]]=$B51,IF(DATOS_[[Check Periodo Ref.]:[Check Periodo Ref.]]="Dentro",DATOS_[Conc.Sal.08]))))), 0)</f>
        <v>0</v>
      </c>
      <c r="N52" s="250" t="n">
        <f aca="false" t="array" ref="N52:N52">IFERROR( MEDIAN((IF(DATOS_[[Sexo]:[Sexo]]=$B52,IF(DATOS_[[AGRUP. CLAS. PROF.]:[AGRUP. CLAS. PROF.]]=$B51,IF(DATOS_[[Check Periodo Ref.]:[Check Periodo Ref.]]="Dentro",DATOS_[Conc.Sal.09]))))), 0)</f>
        <v>0</v>
      </c>
      <c r="O52" s="250" t="n">
        <f aca="false" t="array" ref="O52:O52">IFERROR( MEDIAN((IF(DATOS_[[Sexo]:[Sexo]]=$B52,IF(DATOS_[[AGRUP. CLAS. PROF.]:[AGRUP. CLAS. PROF.]]=$B51,IF(DATOS_[[Check Periodo Ref.]:[Check Periodo Ref.]]="Dentro",DATOS_[Conc.Sal.10]))))), 0)</f>
        <v>0</v>
      </c>
      <c r="P52" s="250" t="n">
        <f aca="false" t="array" ref="P52:P52">IFERROR( MEDIAN((IF(DATOS_[[Sexo]:[Sexo]]=$B52,IF(DATOS_[[AGRUP. CLAS. PROF.]:[AGRUP. CLAS. PROF.]]=$B51,IF(DATOS_[[Check Periodo Ref.]:[Check Periodo Ref.]]="Dentro",DATOS_[Conc.Sal.11]))))), 0)</f>
        <v>0</v>
      </c>
      <c r="Q52" s="250" t="n">
        <f aca="false" t="array" ref="Q52:Q52">IFERROR( MEDIAN((IF(DATOS_[[Sexo]:[Sexo]]=$B52,IF(DATOS_[[AGRUP. CLAS. PROF.]:[AGRUP. CLAS. PROF.]]=$B51,IF(DATOS_[[Check Periodo Ref.]:[Check Periodo Ref.]]="Dentro",DATOS_[Conc.Sal.12]))))), 0)</f>
        <v>0</v>
      </c>
      <c r="R52" s="250" t="n">
        <f aca="false" t="array" ref="R52:R52">IFERROR( MEDIAN((IF(DATOS_[[Sexo]:[Sexo]]=$B52,IF(DATOS_[[AGRUP. CLAS. PROF.]:[AGRUP. CLAS. PROF.]]=$B51,IF(DATOS_[[Check Periodo Ref.]:[Check Periodo Ref.]]="Dentro",DATOS_[Conc.Sal.13]))))), 0)</f>
        <v>0</v>
      </c>
      <c r="S52" s="250" t="n">
        <f aca="false" t="array" ref="S52:S52">IFERROR( MEDIAN((IF(DATOS_[[Sexo]:[Sexo]]=$B52,IF(DATOS_[[AGRUP. CLAS. PROF.]:[AGRUP. CLAS. PROF.]]=$B51,IF(DATOS_[[Check Periodo Ref.]:[Check Periodo Ref.]]="Dentro",DATOS_[Conc.Sal.14]))))), 0)</f>
        <v>0</v>
      </c>
      <c r="T52" s="250" t="n">
        <f aca="false" t="array" ref="T52:T52">IFERROR( MEDIAN((IF(DATOS_[[Sexo]:[Sexo]]=$B52,IF(DATOS_[[AGRUP. CLAS. PROF.]:[AGRUP. CLAS. PROF.]]=$B51,IF(DATOS_[[Check Periodo Ref.]:[Check Periodo Ref.]]="Dentro",DATOS_[Conc.Sal.15]))))), 0)</f>
        <v>0</v>
      </c>
      <c r="U52" s="250" t="n">
        <f aca="false" t="array" ref="U52:U52">IFERROR( MEDIAN((IF(DATOS_[[Sexo]:[Sexo]]=$B52,IF(DATOS_[[AGRUP. CLAS. PROF.]:[AGRUP. CLAS. PROF.]]=$B51,IF(DATOS_[[Check Periodo Ref.]:[Check Periodo Ref.]]="Dentro",DATOS_[Conc.Sal.16]))))), 0)</f>
        <v>0</v>
      </c>
      <c r="V52" s="250" t="n">
        <f aca="false" t="array" ref="V52:V52">IFERROR( MEDIAN((IF(DATOS_[[Sexo]:[Sexo]]=$B52,IF(DATOS_[[AGRUP. CLAS. PROF.]:[AGRUP. CLAS. PROF.]]=$B51,IF(DATOS_[[Check Periodo Ref.]:[Check Periodo Ref.]]="Dentro",DATOS_[Conc.Sal.17]))))), 0)</f>
        <v>0</v>
      </c>
      <c r="W52" s="250" t="n">
        <f aca="false" t="array" ref="W52:W52">IFERROR( MEDIAN((IF(DATOS_[[Sexo]:[Sexo]]=$B52,IF(DATOS_[[AGRUP. CLAS. PROF.]:[AGRUP. CLAS. PROF.]]=$B51,IF(DATOS_[[Check Periodo Ref.]:[Check Periodo Ref.]]="Dentro",DATOS_[Conc.Sal.18]))))), 0)</f>
        <v>0</v>
      </c>
      <c r="X52" s="250" t="n">
        <f aca="false" t="array" ref="X52:X52">IFERROR( MEDIAN((IF(DATOS_[[Sexo]:[Sexo]]=$B52,IF(DATOS_[[AGRUP. CLAS. PROF.]:[AGRUP. CLAS. PROF.]]=$B51,IF(DATOS_[[Check Periodo Ref.]:[Check Periodo Ref.]]="Dentro",DATOS_[Conc.Sal.19]))))), 0)</f>
        <v>0</v>
      </c>
      <c r="Y52" s="250" t="n">
        <f aca="false" t="array" ref="Y52:Y52">IFERROR( MEDIAN((IF(DATOS_[[Sexo]:[Sexo]]=$B52,IF(DATOS_[[AGRUP. CLAS. PROF.]:[AGRUP. CLAS. PROF.]]=$B51,IF(DATOS_[[Check Periodo Ref.]:[Check Periodo Ref.]]="Dentro",DATOS_[Conc.Sal.20]))))), 0)</f>
        <v>0</v>
      </c>
      <c r="Z52" s="250" t="n">
        <f aca="false" t="array" ref="Z52:Z52">IFERROR( MEDIAN((IF(DATOS_[[Sexo]:[Sexo]]=$B52,IF(DATOS_[[AGRUP. CLAS. PROF.]:[AGRUP. CLAS. PROF.]]=$B51,IF(DATOS_[[Check Periodo Ref.]:[Check Periodo Ref.]]="Dentro",DATOS_[Conc.Sal.21]))))), 0)</f>
        <v>0</v>
      </c>
      <c r="AA52" s="250" t="n">
        <f aca="false" t="array" ref="AA52:AA52">IFERROR( MEDIAN((IF(DATOS_[[Sexo]:[Sexo]]=$B52,IF(DATOS_[[AGRUP. CLAS. PROF.]:[AGRUP. CLAS. PROF.]]=$B51,IF(DATOS_[[Check Periodo Ref.]:[Check Periodo Ref.]]="Dentro",DATOS_[Conc.Sal.22]))))), 0)</f>
        <v>0</v>
      </c>
      <c r="AB52" s="250" t="n">
        <f aca="false" t="array" ref="AB52:AB52">IFERROR( MEDIAN((IF(DATOS_[[Sexo]:[Sexo]]=$B52,IF(DATOS_[[AGRUP. CLAS. PROF.]:[AGRUP. CLAS. PROF.]]=$B51,IF(DATOS_[[Check Periodo Ref.]:[Check Periodo Ref.]]="Dentro",DATOS_[Conc.Sal.23]))))), 0)</f>
        <v>0</v>
      </c>
      <c r="AC52" s="250" t="n">
        <f aca="false" t="array" ref="AC52:AC52">IFERROR( MEDIAN((IF(DATOS_[[Sexo]:[Sexo]]=$B52,IF(DATOS_[[AGRUP. CLAS. PROF.]:[AGRUP. CLAS. PROF.]]=$B51,IF(DATOS_[[Check Periodo Ref.]:[Check Periodo Ref.]]="Dentro",DATOS_[Conc.Sal.24]))))), 0)</f>
        <v>0</v>
      </c>
      <c r="AD52" s="250" t="n">
        <f aca="false" t="array" ref="AD52:AD52">IFERROR( MEDIAN((IF(DATOS_[[Sexo]:[Sexo]]=$B52,IF(DATOS_[[AGRUP. CLAS. PROF.]:[AGRUP. CLAS. PROF.]]=$B51,IF(DATOS_[[Check Periodo Ref.]:[Check Periodo Ref.]]="Dentro",DATOS_[Conc.Sal.25]))))), 0)</f>
        <v>0</v>
      </c>
      <c r="AE52" s="250" t="n">
        <f aca="false" t="array" ref="AE52:AE52">IFERROR( MEDIAN((IF(DATOS_[[Sexo]:[Sexo]]=$B52,IF(DATOS_[[AGRUP. CLAS. PROF.]:[AGRUP. CLAS. PROF.]]=$B51,IF(DATOS_[[Check Periodo Ref.]:[Check Periodo Ref.]]="Dentro",DATOS_[Conc.Sal.26]))))), 0)</f>
        <v>0</v>
      </c>
      <c r="AF52" s="250" t="n">
        <f aca="false" t="array" ref="AF52:AF52">IFERROR( MEDIAN((IF(DATOS_[[Sexo]:[Sexo]]=$B52,IF(DATOS_[[AGRUP. CLAS. PROF.]:[AGRUP. CLAS. PROF.]]=$B51,IF(DATOS_[[Check Periodo Ref.]:[Check Periodo Ref.]]="Dentro",DATOS_[Conc.Sal.27]))))), 0)</f>
        <v>0</v>
      </c>
      <c r="AG52" s="250" t="n">
        <f aca="false" t="array" ref="AG52:AG52">IFERROR( MEDIAN((IF(DATOS_[[Sexo]:[Sexo]]=$B52,IF(DATOS_[[AGRUP. CLAS. PROF.]:[AGRUP. CLAS. PROF.]]=$B51,IF(DATOS_[[Check Periodo Ref.]:[Check Periodo Ref.]]="Dentro",DATOS_[Conc.Sal.28]))))), 0)</f>
        <v>0</v>
      </c>
      <c r="AH52" s="250" t="n">
        <f aca="false" t="array" ref="AH52:AH52">IFERROR( MEDIAN((IF(DATOS_[[Sexo]:[Sexo]]=$B52,IF(DATOS_[[AGRUP. CLAS. PROF.]:[AGRUP. CLAS. PROF.]]=$B51,IF(DATOS_[[Check Periodo Ref.]:[Check Periodo Ref.]]="Dentro",DATOS_[Conc.Sal.29]))))), 0)</f>
        <v>0</v>
      </c>
      <c r="AI52" s="250" t="n">
        <f aca="false" t="array" ref="AI52:AI52">IFERROR( MEDIAN((IF(DATOS_[[Sexo]:[Sexo]]=$B52,IF(DATOS_[[AGRUP. CLAS. PROF.]:[AGRUP. CLAS. PROF.]]=$B51,IF(DATOS_[[Check Periodo Ref.]:[Check Periodo Ref.]]="Dentro",DATOS_[Conc.Sal.30]))))), 0)</f>
        <v>0</v>
      </c>
      <c r="AJ52" s="251" t="n">
        <f aca="false" t="array" ref="AJ52:AJ52">IFERROR( MEDIAN(IF(DATOS_[Sexo]=$B52,IF(DATOS_[AGRUP. CLAS. PROF.]=$B51,IF(DATOS_[Check Periodo Ref.]="Dentro",DATOS_[Tot COMPL.SAL Ef],0)))), 0)</f>
        <v>0</v>
      </c>
      <c r="AK52" s="252" t="n">
        <f aca="false" t="array" ref="AK52:AK52">IFERROR( MEDIAN(IF(DATOS_[Sexo]=$B52,IF(DATOS_[AGRUP. CLAS. PROF.]=$B51,IF(DATOS_[Check Periodo Ref.]="Dentro",DATOS_[TOTAL SALARIO Ef],0)))), 0)</f>
        <v>0</v>
      </c>
      <c r="AL52" s="259" t="n">
        <f aca="false" t="array" ref="AL52:AL52">IFERROR( MEDIAN((IF(DATOS_[[Sexo]:[Sexo]]=$B52,IF(DATOS_[[AGRUP. CLAS. PROF.]:[AGRUP. CLAS. PROF.]]=$B51,IF(DATOS_[[Check Periodo Ref.]:[Check Periodo Ref.]]="Dentro",DATOS_[C.Extra.01]))))), 0)</f>
        <v>0</v>
      </c>
      <c r="AM52" s="259" t="n">
        <f aca="false" t="array" ref="AM52:AM52">IFERROR( MEDIAN((IF(DATOS_[[Sexo]:[Sexo]]=$B52,IF(DATOS_[[AGRUP. CLAS. PROF.]:[AGRUP. CLAS. PROF.]]=$B51,IF(DATOS_[[Check Periodo Ref.]:[Check Periodo Ref.]]="Dentro",DATOS_[C.Extra.02]))))), 0)</f>
        <v>0</v>
      </c>
      <c r="AN52" s="259" t="n">
        <f aca="false" t="array" ref="AN52:AN52">IFERROR( MEDIAN((IF(DATOS_[[Sexo]:[Sexo]]=$B52,IF(DATOS_[[AGRUP. CLAS. PROF.]:[AGRUP. CLAS. PROF.]]=$B51,IF(DATOS_[[Check Periodo Ref.]:[Check Periodo Ref.]]="Dentro",DATOS_[C.Extra.03]))))), 0)</f>
        <v>0</v>
      </c>
      <c r="AO52" s="259" t="n">
        <f aca="false" t="array" ref="AO52:AO52">IFERROR( MEDIAN((IF(DATOS_[[Sexo]:[Sexo]]=$B52,IF(DATOS_[[AGRUP. CLAS. PROF.]:[AGRUP. CLAS. PROF.]]=$B51,IF(DATOS_[[Check Periodo Ref.]:[Check Periodo Ref.]]="Dentro",DATOS_[C.Extra.04]))))), 0)</f>
        <v>0</v>
      </c>
      <c r="AP52" s="259" t="n">
        <f aca="false" t="array" ref="AP52:AP52">IFERROR( MEDIAN((IF(DATOS_[[Sexo]:[Sexo]]=$B52,IF(DATOS_[[AGRUP. CLAS. PROF.]:[AGRUP. CLAS. PROF.]]=$B51,IF(DATOS_[[Check Periodo Ref.]:[Check Periodo Ref.]]="Dentro",DATOS_[C.Extra.05]))))), 0)</f>
        <v>0</v>
      </c>
      <c r="AQ52" s="254" t="n">
        <f aca="false" t="array" ref="AQ52:AQ52">IFERROR( MEDIAN(IF(DATOS_[Sexo]=$B52,IF(DATOS_[AGRUP. CLAS. PROF.]=$B51,IF(DATOS_[Check Periodo Ref.]="Dentro",DATOS_[Tot Extrasalarial Ef],0)))), 0)</f>
        <v>0</v>
      </c>
      <c r="AR52" s="255" t="n">
        <f aca="false" t="array" ref="AR52:AR52">IFERROR( MEDIAN(IF(DATOS_[Sexo]=$B52,IF(DATOS_[AGRUP. CLAS. PROF.]=$B51,IF(DATOS_[Check Periodo Ref.]="Dentro",DATOS_[TOTAL Retrib Ef],0)))), 0)</f>
        <v>0</v>
      </c>
    </row>
    <row r="53" customFormat="false" ht="14.25" hidden="false" customHeight="false" outlineLevel="0" collapsed="false">
      <c r="A53" s="217" t="str">
        <f aca="false">+A52</f>
        <v>[ocultar]</v>
      </c>
      <c r="B53" s="246" t="s">
        <v>372</v>
      </c>
      <c r="C53" s="247" t="n">
        <f aca="false" t="array" ref="C53:C53">SUM(IF($B53=DATOS_[Sexo], IF($B51=DATOS_[AGRUP. CLAS. PROF.], IF("Dentro"=DATOS_[Check Periodo Ref.], 1/(COUNTIFS(DATOS_[Sexo],$B53,DATOS_[AGRUP. CLAS. PROF.],$B51,DATOS_[Check Periodo Ref.],"Dentro",DATOS_[id],DATOS_[id]))))))</f>
        <v>0</v>
      </c>
      <c r="D53" s="248" t="n">
        <f aca="false">COUNTIFS(DATOS_[AGRUP. CLAS. PROF.],$B51,DATOS_[Sexo],$B53,DATOS_[Check Periodo Ref.],"Dentro")</f>
        <v>0</v>
      </c>
      <c r="E53" s="249" t="n">
        <f aca="false" t="array" ref="E53:E53">IFERROR( MEDIAN(IF(DATOS_[Sexo]=$B53,IF(DATOS_[AGRUP. CLAS. PROF.]=$B51,IF(DATOS_[Check Periodo Ref.]="Dentro",DATOS_[SALARIO BASE Ef],0)))), 0)</f>
        <v>0</v>
      </c>
      <c r="F53" s="250" t="n">
        <f aca="false" t="array" ref="F53:F53">IFERROR( MEDIAN((IF(DATOS_[[Sexo]:[Sexo]]=$B53,IF(DATOS_[[AGRUP. CLAS. PROF.]:[AGRUP. CLAS. PROF.]]=$B51,IF(DATOS_[[Check Periodo Ref.]:[Check Periodo Ref.]]="Dentro",DATOS_[Conc.Sal.01]))))), 0)</f>
        <v>0</v>
      </c>
      <c r="G53" s="250" t="n">
        <f aca="false" t="array" ref="G53:G53">IFERROR( MEDIAN((IF(DATOS_[[Sexo]:[Sexo]]=$B53,IF(DATOS_[[AGRUP. CLAS. PROF.]:[AGRUP. CLAS. PROF.]]=$B51,IF(DATOS_[[Check Periodo Ref.]:[Check Periodo Ref.]]="Dentro",DATOS_[Conc.Sal.02]))))), 0)</f>
        <v>0</v>
      </c>
      <c r="H53" s="250" t="n">
        <f aca="false" t="array" ref="H53:H53">IFERROR( MEDIAN((IF(DATOS_[[Sexo]:[Sexo]]=$B53,IF(DATOS_[[AGRUP. CLAS. PROF.]:[AGRUP. CLAS. PROF.]]=$B51,IF(DATOS_[[Check Periodo Ref.]:[Check Periodo Ref.]]="Dentro",DATOS_[Conc.Sal.03]))))), 0)</f>
        <v>0</v>
      </c>
      <c r="I53" s="250" t="n">
        <f aca="false" t="array" ref="I53:I53">IFERROR( MEDIAN((IF(DATOS_[[Sexo]:[Sexo]]=$B53,IF(DATOS_[[AGRUP. CLAS. PROF.]:[AGRUP. CLAS. PROF.]]=$B51,IF(DATOS_[[Check Periodo Ref.]:[Check Periodo Ref.]]="Dentro",DATOS_[Conc.Sal.04]))))), 0)</f>
        <v>0</v>
      </c>
      <c r="J53" s="250" t="n">
        <f aca="false" t="array" ref="J53:J53">IFERROR( MEDIAN((IF(DATOS_[[Sexo]:[Sexo]]=$B53,IF(DATOS_[[AGRUP. CLAS. PROF.]:[AGRUP. CLAS. PROF.]]=$B51,IF(DATOS_[[Check Periodo Ref.]:[Check Periodo Ref.]]="Dentro",DATOS_[Conc.Sal.05]))))), 0)</f>
        <v>0</v>
      </c>
      <c r="K53" s="250" t="n">
        <f aca="false" t="array" ref="K53:K53">IFERROR( MEDIAN((IF(DATOS_[[Sexo]:[Sexo]]=$B53,IF(DATOS_[[AGRUP. CLAS. PROF.]:[AGRUP. CLAS. PROF.]]=$B51,IF(DATOS_[[Check Periodo Ref.]:[Check Periodo Ref.]]="Dentro",DATOS_[Conc.Sal.06]))))), 0)</f>
        <v>0</v>
      </c>
      <c r="L53" s="250" t="n">
        <f aca="false" t="array" ref="L53:L53">IFERROR( MEDIAN((IF(DATOS_[[Sexo]:[Sexo]]=$B53,IF(DATOS_[[AGRUP. CLAS. PROF.]:[AGRUP. CLAS. PROF.]]=$B51,IF(DATOS_[[Check Periodo Ref.]:[Check Periodo Ref.]]="Dentro",DATOS_[Conc.Sal.07]))))), 0)</f>
        <v>0</v>
      </c>
      <c r="M53" s="250" t="n">
        <f aca="false" t="array" ref="M53:M53">IFERROR( MEDIAN((IF(DATOS_[[Sexo]:[Sexo]]=$B53,IF(DATOS_[[AGRUP. CLAS. PROF.]:[AGRUP. CLAS. PROF.]]=$B51,IF(DATOS_[[Check Periodo Ref.]:[Check Periodo Ref.]]="Dentro",DATOS_[Conc.Sal.08]))))), 0)</f>
        <v>0</v>
      </c>
      <c r="N53" s="250" t="n">
        <f aca="false" t="array" ref="N53:N53">IFERROR( MEDIAN((IF(DATOS_[[Sexo]:[Sexo]]=$B53,IF(DATOS_[[AGRUP. CLAS. PROF.]:[AGRUP. CLAS. PROF.]]=$B51,IF(DATOS_[[Check Periodo Ref.]:[Check Periodo Ref.]]="Dentro",DATOS_[Conc.Sal.09]))))), 0)</f>
        <v>0</v>
      </c>
      <c r="O53" s="250" t="n">
        <f aca="false" t="array" ref="O53:O53">IFERROR( MEDIAN((IF(DATOS_[[Sexo]:[Sexo]]=$B53,IF(DATOS_[[AGRUP. CLAS. PROF.]:[AGRUP. CLAS. PROF.]]=$B51,IF(DATOS_[[Check Periodo Ref.]:[Check Periodo Ref.]]="Dentro",DATOS_[Conc.Sal.10]))))), 0)</f>
        <v>0</v>
      </c>
      <c r="P53" s="250" t="n">
        <f aca="false" t="array" ref="P53:P53">IFERROR( MEDIAN((IF(DATOS_[[Sexo]:[Sexo]]=$B53,IF(DATOS_[[AGRUP. CLAS. PROF.]:[AGRUP. CLAS. PROF.]]=$B51,IF(DATOS_[[Check Periodo Ref.]:[Check Periodo Ref.]]="Dentro",DATOS_[Conc.Sal.11]))))), 0)</f>
        <v>0</v>
      </c>
      <c r="Q53" s="250" t="n">
        <f aca="false" t="array" ref="Q53:Q53">IFERROR( MEDIAN((IF(DATOS_[[Sexo]:[Sexo]]=$B53,IF(DATOS_[[AGRUP. CLAS. PROF.]:[AGRUP. CLAS. PROF.]]=$B51,IF(DATOS_[[Check Periodo Ref.]:[Check Periodo Ref.]]="Dentro",DATOS_[Conc.Sal.12]))))), 0)</f>
        <v>0</v>
      </c>
      <c r="R53" s="250" t="n">
        <f aca="false" t="array" ref="R53:R53">IFERROR( MEDIAN((IF(DATOS_[[Sexo]:[Sexo]]=$B53,IF(DATOS_[[AGRUP. CLAS. PROF.]:[AGRUP. CLAS. PROF.]]=$B51,IF(DATOS_[[Check Periodo Ref.]:[Check Periodo Ref.]]="Dentro",DATOS_[Conc.Sal.13]))))), 0)</f>
        <v>0</v>
      </c>
      <c r="S53" s="250" t="n">
        <f aca="false" t="array" ref="S53:S53">IFERROR( MEDIAN((IF(DATOS_[[Sexo]:[Sexo]]=$B53,IF(DATOS_[[AGRUP. CLAS. PROF.]:[AGRUP. CLAS. PROF.]]=$B51,IF(DATOS_[[Check Periodo Ref.]:[Check Periodo Ref.]]="Dentro",DATOS_[Conc.Sal.14]))))), 0)</f>
        <v>0</v>
      </c>
      <c r="T53" s="250" t="n">
        <f aca="false" t="array" ref="T53:T53">IFERROR( MEDIAN((IF(DATOS_[[Sexo]:[Sexo]]=$B53,IF(DATOS_[[AGRUP. CLAS. PROF.]:[AGRUP. CLAS. PROF.]]=$B51,IF(DATOS_[[Check Periodo Ref.]:[Check Periodo Ref.]]="Dentro",DATOS_[Conc.Sal.15]))))), 0)</f>
        <v>0</v>
      </c>
      <c r="U53" s="250" t="n">
        <f aca="false" t="array" ref="U53:U53">IFERROR( MEDIAN((IF(DATOS_[[Sexo]:[Sexo]]=$B53,IF(DATOS_[[AGRUP. CLAS. PROF.]:[AGRUP. CLAS. PROF.]]=$B51,IF(DATOS_[[Check Periodo Ref.]:[Check Periodo Ref.]]="Dentro",DATOS_[Conc.Sal.16]))))), 0)</f>
        <v>0</v>
      </c>
      <c r="V53" s="250" t="n">
        <f aca="false" t="array" ref="V53:V53">IFERROR( MEDIAN((IF(DATOS_[[Sexo]:[Sexo]]=$B53,IF(DATOS_[[AGRUP. CLAS. PROF.]:[AGRUP. CLAS. PROF.]]=$B51,IF(DATOS_[[Check Periodo Ref.]:[Check Periodo Ref.]]="Dentro",DATOS_[Conc.Sal.17]))))), 0)</f>
        <v>0</v>
      </c>
      <c r="W53" s="250" t="n">
        <f aca="false" t="array" ref="W53:W53">IFERROR( MEDIAN((IF(DATOS_[[Sexo]:[Sexo]]=$B53,IF(DATOS_[[AGRUP. CLAS. PROF.]:[AGRUP. CLAS. PROF.]]=$B51,IF(DATOS_[[Check Periodo Ref.]:[Check Periodo Ref.]]="Dentro",DATOS_[Conc.Sal.18]))))), 0)</f>
        <v>0</v>
      </c>
      <c r="X53" s="250" t="n">
        <f aca="false" t="array" ref="X53:X53">IFERROR( MEDIAN((IF(DATOS_[[Sexo]:[Sexo]]=$B53,IF(DATOS_[[AGRUP. CLAS. PROF.]:[AGRUP. CLAS. PROF.]]=$B51,IF(DATOS_[[Check Periodo Ref.]:[Check Periodo Ref.]]="Dentro",DATOS_[Conc.Sal.19]))))), 0)</f>
        <v>0</v>
      </c>
      <c r="Y53" s="250" t="n">
        <f aca="false" t="array" ref="Y53:Y53">IFERROR( MEDIAN((IF(DATOS_[[Sexo]:[Sexo]]=$B53,IF(DATOS_[[AGRUP. CLAS. PROF.]:[AGRUP. CLAS. PROF.]]=$B51,IF(DATOS_[[Check Periodo Ref.]:[Check Periodo Ref.]]="Dentro",DATOS_[Conc.Sal.20]))))), 0)</f>
        <v>0</v>
      </c>
      <c r="Z53" s="250" t="n">
        <f aca="false" t="array" ref="Z53:Z53">IFERROR( MEDIAN((IF(DATOS_[[Sexo]:[Sexo]]=$B53,IF(DATOS_[[AGRUP. CLAS. PROF.]:[AGRUP. CLAS. PROF.]]=$B51,IF(DATOS_[[Check Periodo Ref.]:[Check Periodo Ref.]]="Dentro",DATOS_[Conc.Sal.21]))))), 0)</f>
        <v>0</v>
      </c>
      <c r="AA53" s="250" t="n">
        <f aca="false" t="array" ref="AA53:AA53">IFERROR( MEDIAN((IF(DATOS_[[Sexo]:[Sexo]]=$B53,IF(DATOS_[[AGRUP. CLAS. PROF.]:[AGRUP. CLAS. PROF.]]=$B51,IF(DATOS_[[Check Periodo Ref.]:[Check Periodo Ref.]]="Dentro",DATOS_[Conc.Sal.22]))))), 0)</f>
        <v>0</v>
      </c>
      <c r="AB53" s="250" t="n">
        <f aca="false" t="array" ref="AB53:AB53">IFERROR( MEDIAN((IF(DATOS_[[Sexo]:[Sexo]]=$B53,IF(DATOS_[[AGRUP. CLAS. PROF.]:[AGRUP. CLAS. PROF.]]=$B51,IF(DATOS_[[Check Periodo Ref.]:[Check Periodo Ref.]]="Dentro",DATOS_[Conc.Sal.23]))))), 0)</f>
        <v>0</v>
      </c>
      <c r="AC53" s="250" t="n">
        <f aca="false" t="array" ref="AC53:AC53">IFERROR( MEDIAN((IF(DATOS_[[Sexo]:[Sexo]]=$B53,IF(DATOS_[[AGRUP. CLAS. PROF.]:[AGRUP. CLAS. PROF.]]=$B51,IF(DATOS_[[Check Periodo Ref.]:[Check Periodo Ref.]]="Dentro",DATOS_[Conc.Sal.24]))))), 0)</f>
        <v>0</v>
      </c>
      <c r="AD53" s="250" t="n">
        <f aca="false" t="array" ref="AD53:AD53">IFERROR( MEDIAN((IF(DATOS_[[Sexo]:[Sexo]]=$B53,IF(DATOS_[[AGRUP. CLAS. PROF.]:[AGRUP. CLAS. PROF.]]=$B51,IF(DATOS_[[Check Periodo Ref.]:[Check Periodo Ref.]]="Dentro",DATOS_[Conc.Sal.25]))))), 0)</f>
        <v>0</v>
      </c>
      <c r="AE53" s="250" t="n">
        <f aca="false" t="array" ref="AE53:AE53">IFERROR( MEDIAN((IF(DATOS_[[Sexo]:[Sexo]]=$B53,IF(DATOS_[[AGRUP. CLAS. PROF.]:[AGRUP. CLAS. PROF.]]=$B51,IF(DATOS_[[Check Periodo Ref.]:[Check Periodo Ref.]]="Dentro",DATOS_[Conc.Sal.26]))))), 0)</f>
        <v>0</v>
      </c>
      <c r="AF53" s="250" t="n">
        <f aca="false" t="array" ref="AF53:AF53">IFERROR( MEDIAN((IF(DATOS_[[Sexo]:[Sexo]]=$B53,IF(DATOS_[[AGRUP. CLAS. PROF.]:[AGRUP. CLAS. PROF.]]=$B51,IF(DATOS_[[Check Periodo Ref.]:[Check Periodo Ref.]]="Dentro",DATOS_[Conc.Sal.27]))))), 0)</f>
        <v>0</v>
      </c>
      <c r="AG53" s="250" t="n">
        <f aca="false" t="array" ref="AG53:AG53">IFERROR( MEDIAN((IF(DATOS_[[Sexo]:[Sexo]]=$B53,IF(DATOS_[[AGRUP. CLAS. PROF.]:[AGRUP. CLAS. PROF.]]=$B51,IF(DATOS_[[Check Periodo Ref.]:[Check Periodo Ref.]]="Dentro",DATOS_[Conc.Sal.28]))))), 0)</f>
        <v>0</v>
      </c>
      <c r="AH53" s="250" t="n">
        <f aca="false" t="array" ref="AH53:AH53">IFERROR( MEDIAN((IF(DATOS_[[Sexo]:[Sexo]]=$B53,IF(DATOS_[[AGRUP. CLAS. PROF.]:[AGRUP. CLAS. PROF.]]=$B51,IF(DATOS_[[Check Periodo Ref.]:[Check Periodo Ref.]]="Dentro",DATOS_[Conc.Sal.29]))))), 0)</f>
        <v>0</v>
      </c>
      <c r="AI53" s="250" t="n">
        <f aca="false" t="array" ref="AI53:AI53">IFERROR( MEDIAN((IF(DATOS_[[Sexo]:[Sexo]]=$B53,IF(DATOS_[[AGRUP. CLAS. PROF.]:[AGRUP. CLAS. PROF.]]=$B51,IF(DATOS_[[Check Periodo Ref.]:[Check Periodo Ref.]]="Dentro",DATOS_[Conc.Sal.30]))))), 0)</f>
        <v>0</v>
      </c>
      <c r="AJ53" s="251" t="n">
        <f aca="false" t="array" ref="AJ53:AJ53">IFERROR( MEDIAN(IF(DATOS_[Sexo]=$B53,IF(DATOS_[AGRUP. CLAS. PROF.]=$B51,IF(DATOS_[Check Periodo Ref.]="Dentro",DATOS_[Tot COMPL.SAL Ef],0)))), 0)</f>
        <v>0</v>
      </c>
      <c r="AK53" s="252" t="n">
        <f aca="false" t="array" ref="AK53:AK53">IFERROR( MEDIAN(IF(DATOS_[Sexo]=$B53,IF(DATOS_[AGRUP. CLAS. PROF.]=$B51,IF(DATOS_[Check Periodo Ref.]="Dentro",DATOS_[TOTAL SALARIO Ef],0)))), 0)</f>
        <v>0</v>
      </c>
      <c r="AL53" s="259" t="n">
        <f aca="false" t="array" ref="AL53:AL53">IFERROR( MEDIAN((IF(DATOS_[[Sexo]:[Sexo]]=$B53,IF(DATOS_[[AGRUP. CLAS. PROF.]:[AGRUP. CLAS. PROF.]]=$B51,IF(DATOS_[[Check Periodo Ref.]:[Check Periodo Ref.]]="Dentro",DATOS_[C.Extra.01]))))), 0)</f>
        <v>0</v>
      </c>
      <c r="AM53" s="259" t="n">
        <f aca="false" t="array" ref="AM53:AM53">IFERROR( MEDIAN((IF(DATOS_[[Sexo]:[Sexo]]=$B53,IF(DATOS_[[AGRUP. CLAS. PROF.]:[AGRUP. CLAS. PROF.]]=$B51,IF(DATOS_[[Check Periodo Ref.]:[Check Periodo Ref.]]="Dentro",DATOS_[C.Extra.02]))))), 0)</f>
        <v>0</v>
      </c>
      <c r="AN53" s="259" t="n">
        <f aca="false" t="array" ref="AN53:AN53">IFERROR( MEDIAN((IF(DATOS_[[Sexo]:[Sexo]]=$B53,IF(DATOS_[[AGRUP. CLAS. PROF.]:[AGRUP. CLAS. PROF.]]=$B51,IF(DATOS_[[Check Periodo Ref.]:[Check Periodo Ref.]]="Dentro",DATOS_[C.Extra.03]))))), 0)</f>
        <v>0</v>
      </c>
      <c r="AO53" s="259" t="n">
        <f aca="false" t="array" ref="AO53:AO53">IFERROR( MEDIAN((IF(DATOS_[[Sexo]:[Sexo]]=$B53,IF(DATOS_[[AGRUP. CLAS. PROF.]:[AGRUP. CLAS. PROF.]]=$B51,IF(DATOS_[[Check Periodo Ref.]:[Check Periodo Ref.]]="Dentro",DATOS_[C.Extra.04]))))), 0)</f>
        <v>0</v>
      </c>
      <c r="AP53" s="259" t="n">
        <f aca="false" t="array" ref="AP53:AP53">IFERROR( MEDIAN((IF(DATOS_[[Sexo]:[Sexo]]=$B53,IF(DATOS_[[AGRUP. CLAS. PROF.]:[AGRUP. CLAS. PROF.]]=$B51,IF(DATOS_[[Check Periodo Ref.]:[Check Periodo Ref.]]="Dentro",DATOS_[C.Extra.05]))))), 0)</f>
        <v>0</v>
      </c>
      <c r="AQ53" s="254" t="n">
        <f aca="false" t="array" ref="AQ53:AQ53">IFERROR( MEDIAN(IF(DATOS_[Sexo]=$B53,IF(DATOS_[AGRUP. CLAS. PROF.]=$B51,IF(DATOS_[Check Periodo Ref.]="Dentro",DATOS_[Tot Extrasalarial Ef],0)))), 0)</f>
        <v>0</v>
      </c>
      <c r="AR53" s="255" t="n">
        <f aca="false" t="array" ref="AR53:AR53">IFERROR( MEDIAN(IF(DATOS_[Sexo]=$B53,IF(DATOS_[AGRUP. CLAS. PROF.]=$B51,IF(DATOS_[Check Periodo Ref.]="Dentro",DATOS_[TOTAL Retrib Ef],0)))), 0)</f>
        <v>0</v>
      </c>
    </row>
    <row r="54" customFormat="false" ht="15.75" hidden="false" customHeight="false" outlineLevel="0" collapsed="false">
      <c r="A54" s="217" t="str">
        <f aca="false">+A55</f>
        <v>[ocultar]</v>
      </c>
      <c r="B54" s="235" t="s">
        <v>207</v>
      </c>
      <c r="C54" s="236"/>
      <c r="D54" s="237"/>
      <c r="E54" s="238" t="str">
        <f aca="false">IFERROR((E55-E56)/E55,"")</f>
        <v/>
      </c>
      <c r="F54" s="239" t="str">
        <f aca="false">IFERROR((F55-F56)/F55,"")</f>
        <v/>
      </c>
      <c r="G54" s="239" t="str">
        <f aca="false">IFERROR((G55-G56)/G55,"")</f>
        <v/>
      </c>
      <c r="H54" s="239" t="str">
        <f aca="false">IFERROR((H55-H56)/H55,"")</f>
        <v/>
      </c>
      <c r="I54" s="239"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40" t="str">
        <f aca="false">IFERROR((V55-V56)/V55,"")</f>
        <v/>
      </c>
      <c r="W54" s="240" t="str">
        <f aca="false">IFERROR((W55-W56)/W55,"")</f>
        <v/>
      </c>
      <c r="X54" s="240" t="str">
        <f aca="false">IFERROR((X55-X56)/X55,"")</f>
        <v/>
      </c>
      <c r="Y54" s="240"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1" t="str">
        <f aca="false">IFERROR((AJ55-AJ56)/AJ55,"")</f>
        <v/>
      </c>
      <c r="AK54" s="242" t="str">
        <f aca="false">IFERROR((AK55-AK56)/AK55,"")</f>
        <v/>
      </c>
      <c r="AL54" s="243" t="str">
        <f aca="false">IFERROR((AL55-AL56)/AL55,"")</f>
        <v/>
      </c>
      <c r="AM54" s="243" t="str">
        <f aca="false">IFERROR((AM55-AM56)/AM55,"")</f>
        <v/>
      </c>
      <c r="AN54" s="243" t="str">
        <f aca="false">IFERROR((AN55-AN56)/AN55,"")</f>
        <v/>
      </c>
      <c r="AO54" s="243" t="str">
        <f aca="false">IFERROR((AO55-AO56)/AO55,"")</f>
        <v/>
      </c>
      <c r="AP54" s="243" t="str">
        <f aca="false">IFERROR((AP55-AP56)/AP55,"")</f>
        <v/>
      </c>
      <c r="AQ54" s="244" t="str">
        <f aca="false">IFERROR((AQ55-AQ56)/AQ55,"")</f>
        <v/>
      </c>
      <c r="AR54" s="245" t="str">
        <f aca="false">IFERROR((AR55-AR56)/AR55,"")</f>
        <v/>
      </c>
    </row>
    <row r="55" customFormat="false" ht="14.25" hidden="false" customHeight="false" outlineLevel="0" collapsed="false">
      <c r="A55" s="217" t="str">
        <f aca="false">+IF(C55+C56=0,"[ocultar]","")</f>
        <v>[ocultar]</v>
      </c>
      <c r="B55" s="246" t="s">
        <v>371</v>
      </c>
      <c r="C55" s="247" t="n">
        <f aca="false" t="array" ref="C55:C55">SUM(IF($B55=DATOS_[Sexo], IF($B54=DATOS_[AGRUP. CLAS. PROF.], IF("Dentro"=DATOS_[Check Periodo Ref.], 1/(COUNTIFS(DATOS_[Sexo],$B55,DATOS_[AGRUP. CLAS. PROF.],$B54,DATOS_[Check Periodo Ref.],"Dentro",DATOS_[id],DATOS_[id]))))))</f>
        <v>0</v>
      </c>
      <c r="D55" s="248" t="n">
        <f aca="false">COUNTIFS(DATOS_[AGRUP. CLAS. PROF.],$B54,DATOS_[Sexo],$B55,DATOS_[Check Periodo Ref.],"Dentro")</f>
        <v>0</v>
      </c>
      <c r="E55" s="249" t="n">
        <f aca="false" t="array" ref="E55:E55">IFERROR( MEDIAN(IF(DATOS_[Sexo]=$B55,IF(DATOS_[AGRUP. CLAS. PROF.]=$B54,IF(DATOS_[Check Periodo Ref.]="Dentro",DATOS_[SALARIO BASE Ef],0)))), 0)</f>
        <v>0</v>
      </c>
      <c r="F55" s="250" t="n">
        <f aca="false" t="array" ref="F55:F55">IFERROR( MEDIAN((IF(DATOS_[[Sexo]:[Sexo]]=$B55,IF(DATOS_[[AGRUP. CLAS. PROF.]:[AGRUP. CLAS. PROF.]]=$B54,IF(DATOS_[[Check Periodo Ref.]:[Check Periodo Ref.]]="Dentro",DATOS_[Conc.Sal.01]))))), 0)</f>
        <v>0</v>
      </c>
      <c r="G55" s="250" t="n">
        <f aca="false" t="array" ref="G55:G55">IFERROR( MEDIAN((IF(DATOS_[[Sexo]:[Sexo]]=$B55,IF(DATOS_[[AGRUP. CLAS. PROF.]:[AGRUP. CLAS. PROF.]]=$B54,IF(DATOS_[[Check Periodo Ref.]:[Check Periodo Ref.]]="Dentro",DATOS_[Conc.Sal.02]))))), 0)</f>
        <v>0</v>
      </c>
      <c r="H55" s="250" t="n">
        <f aca="false" t="array" ref="H55:H55">IFERROR( MEDIAN((IF(DATOS_[[Sexo]:[Sexo]]=$B55,IF(DATOS_[[AGRUP. CLAS. PROF.]:[AGRUP. CLAS. PROF.]]=$B54,IF(DATOS_[[Check Periodo Ref.]:[Check Periodo Ref.]]="Dentro",DATOS_[Conc.Sal.03]))))), 0)</f>
        <v>0</v>
      </c>
      <c r="I55" s="250" t="n">
        <f aca="false" t="array" ref="I55:I55">IFERROR( MEDIAN((IF(DATOS_[[Sexo]:[Sexo]]=$B55,IF(DATOS_[[AGRUP. CLAS. PROF.]:[AGRUP. CLAS. PROF.]]=$B54,IF(DATOS_[[Check Periodo Ref.]:[Check Periodo Ref.]]="Dentro",DATOS_[Conc.Sal.04]))))), 0)</f>
        <v>0</v>
      </c>
      <c r="J55" s="250" t="n">
        <f aca="false" t="array" ref="J55:J55">IFERROR( MEDIAN((IF(DATOS_[[Sexo]:[Sexo]]=$B55,IF(DATOS_[[AGRUP. CLAS. PROF.]:[AGRUP. CLAS. PROF.]]=$B54,IF(DATOS_[[Check Periodo Ref.]:[Check Periodo Ref.]]="Dentro",DATOS_[Conc.Sal.05]))))), 0)</f>
        <v>0</v>
      </c>
      <c r="K55" s="250" t="n">
        <f aca="false" t="array" ref="K55:K55">IFERROR( MEDIAN((IF(DATOS_[[Sexo]:[Sexo]]=$B55,IF(DATOS_[[AGRUP. CLAS. PROF.]:[AGRUP. CLAS. PROF.]]=$B54,IF(DATOS_[[Check Periodo Ref.]:[Check Periodo Ref.]]="Dentro",DATOS_[Conc.Sal.06]))))), 0)</f>
        <v>0</v>
      </c>
      <c r="L55" s="250" t="n">
        <f aca="false" t="array" ref="L55:L55">IFERROR( MEDIAN((IF(DATOS_[[Sexo]:[Sexo]]=$B55,IF(DATOS_[[AGRUP. CLAS. PROF.]:[AGRUP. CLAS. PROF.]]=$B54,IF(DATOS_[[Check Periodo Ref.]:[Check Periodo Ref.]]="Dentro",DATOS_[Conc.Sal.07]))))), 0)</f>
        <v>0</v>
      </c>
      <c r="M55" s="250" t="n">
        <f aca="false" t="array" ref="M55:M55">IFERROR( MEDIAN((IF(DATOS_[[Sexo]:[Sexo]]=$B55,IF(DATOS_[[AGRUP. CLAS. PROF.]:[AGRUP. CLAS. PROF.]]=$B54,IF(DATOS_[[Check Periodo Ref.]:[Check Periodo Ref.]]="Dentro",DATOS_[Conc.Sal.08]))))), 0)</f>
        <v>0</v>
      </c>
      <c r="N55" s="250" t="n">
        <f aca="false" t="array" ref="N55:N55">IFERROR( MEDIAN((IF(DATOS_[[Sexo]:[Sexo]]=$B55,IF(DATOS_[[AGRUP. CLAS. PROF.]:[AGRUP. CLAS. PROF.]]=$B54,IF(DATOS_[[Check Periodo Ref.]:[Check Periodo Ref.]]="Dentro",DATOS_[Conc.Sal.09]))))), 0)</f>
        <v>0</v>
      </c>
      <c r="O55" s="250" t="n">
        <f aca="false" t="array" ref="O55:O55">IFERROR( MEDIAN((IF(DATOS_[[Sexo]:[Sexo]]=$B55,IF(DATOS_[[AGRUP. CLAS. PROF.]:[AGRUP. CLAS. PROF.]]=$B54,IF(DATOS_[[Check Periodo Ref.]:[Check Periodo Ref.]]="Dentro",DATOS_[Conc.Sal.10]))))), 0)</f>
        <v>0</v>
      </c>
      <c r="P55" s="250" t="n">
        <f aca="false" t="array" ref="P55:P55">IFERROR( MEDIAN((IF(DATOS_[[Sexo]:[Sexo]]=$B55,IF(DATOS_[[AGRUP. CLAS. PROF.]:[AGRUP. CLAS. PROF.]]=$B54,IF(DATOS_[[Check Periodo Ref.]:[Check Periodo Ref.]]="Dentro",DATOS_[Conc.Sal.11]))))), 0)</f>
        <v>0</v>
      </c>
      <c r="Q55" s="250" t="n">
        <f aca="false" t="array" ref="Q55:Q55">IFERROR( MEDIAN((IF(DATOS_[[Sexo]:[Sexo]]=$B55,IF(DATOS_[[AGRUP. CLAS. PROF.]:[AGRUP. CLAS. PROF.]]=$B54,IF(DATOS_[[Check Periodo Ref.]:[Check Periodo Ref.]]="Dentro",DATOS_[Conc.Sal.12]))))), 0)</f>
        <v>0</v>
      </c>
      <c r="R55" s="250" t="n">
        <f aca="false" t="array" ref="R55:R55">IFERROR( MEDIAN((IF(DATOS_[[Sexo]:[Sexo]]=$B55,IF(DATOS_[[AGRUP. CLAS. PROF.]:[AGRUP. CLAS. PROF.]]=$B54,IF(DATOS_[[Check Periodo Ref.]:[Check Periodo Ref.]]="Dentro",DATOS_[Conc.Sal.13]))))), 0)</f>
        <v>0</v>
      </c>
      <c r="S55" s="250" t="n">
        <f aca="false" t="array" ref="S55:S55">IFERROR( MEDIAN((IF(DATOS_[[Sexo]:[Sexo]]=$B55,IF(DATOS_[[AGRUP. CLAS. PROF.]:[AGRUP. CLAS. PROF.]]=$B54,IF(DATOS_[[Check Periodo Ref.]:[Check Periodo Ref.]]="Dentro",DATOS_[Conc.Sal.14]))))), 0)</f>
        <v>0</v>
      </c>
      <c r="T55" s="250" t="n">
        <f aca="false" t="array" ref="T55:T55">IFERROR( MEDIAN((IF(DATOS_[[Sexo]:[Sexo]]=$B55,IF(DATOS_[[AGRUP. CLAS. PROF.]:[AGRUP. CLAS. PROF.]]=$B54,IF(DATOS_[[Check Periodo Ref.]:[Check Periodo Ref.]]="Dentro",DATOS_[Conc.Sal.15]))))), 0)</f>
        <v>0</v>
      </c>
      <c r="U55" s="250" t="n">
        <f aca="false" t="array" ref="U55:U55">IFERROR( MEDIAN((IF(DATOS_[[Sexo]:[Sexo]]=$B55,IF(DATOS_[[AGRUP. CLAS. PROF.]:[AGRUP. CLAS. PROF.]]=$B54,IF(DATOS_[[Check Periodo Ref.]:[Check Periodo Ref.]]="Dentro",DATOS_[Conc.Sal.16]))))), 0)</f>
        <v>0</v>
      </c>
      <c r="V55" s="250" t="n">
        <f aca="false" t="array" ref="V55:V55">IFERROR( MEDIAN((IF(DATOS_[[Sexo]:[Sexo]]=$B55,IF(DATOS_[[AGRUP. CLAS. PROF.]:[AGRUP. CLAS. PROF.]]=$B54,IF(DATOS_[[Check Periodo Ref.]:[Check Periodo Ref.]]="Dentro",DATOS_[Conc.Sal.17]))))), 0)</f>
        <v>0</v>
      </c>
      <c r="W55" s="250" t="n">
        <f aca="false" t="array" ref="W55:W55">IFERROR( MEDIAN((IF(DATOS_[[Sexo]:[Sexo]]=$B55,IF(DATOS_[[AGRUP. CLAS. PROF.]:[AGRUP. CLAS. PROF.]]=$B54,IF(DATOS_[[Check Periodo Ref.]:[Check Periodo Ref.]]="Dentro",DATOS_[Conc.Sal.18]))))), 0)</f>
        <v>0</v>
      </c>
      <c r="X55" s="250" t="n">
        <f aca="false" t="array" ref="X55:X55">IFERROR( MEDIAN((IF(DATOS_[[Sexo]:[Sexo]]=$B55,IF(DATOS_[[AGRUP. CLAS. PROF.]:[AGRUP. CLAS. PROF.]]=$B54,IF(DATOS_[[Check Periodo Ref.]:[Check Periodo Ref.]]="Dentro",DATOS_[Conc.Sal.19]))))), 0)</f>
        <v>0</v>
      </c>
      <c r="Y55" s="250" t="n">
        <f aca="false" t="array" ref="Y55:Y55">IFERROR( MEDIAN((IF(DATOS_[[Sexo]:[Sexo]]=$B55,IF(DATOS_[[AGRUP. CLAS. PROF.]:[AGRUP. CLAS. PROF.]]=$B54,IF(DATOS_[[Check Periodo Ref.]:[Check Periodo Ref.]]="Dentro",DATOS_[Conc.Sal.20]))))), 0)</f>
        <v>0</v>
      </c>
      <c r="Z55" s="250" t="n">
        <f aca="false" t="array" ref="Z55:Z55">IFERROR( MEDIAN((IF(DATOS_[[Sexo]:[Sexo]]=$B55,IF(DATOS_[[AGRUP. CLAS. PROF.]:[AGRUP. CLAS. PROF.]]=$B54,IF(DATOS_[[Check Periodo Ref.]:[Check Periodo Ref.]]="Dentro",DATOS_[Conc.Sal.21]))))), 0)</f>
        <v>0</v>
      </c>
      <c r="AA55" s="250" t="n">
        <f aca="false" t="array" ref="AA55:AA55">IFERROR( MEDIAN((IF(DATOS_[[Sexo]:[Sexo]]=$B55,IF(DATOS_[[AGRUP. CLAS. PROF.]:[AGRUP. CLAS. PROF.]]=$B54,IF(DATOS_[[Check Periodo Ref.]:[Check Periodo Ref.]]="Dentro",DATOS_[Conc.Sal.22]))))), 0)</f>
        <v>0</v>
      </c>
      <c r="AB55" s="250" t="n">
        <f aca="false" t="array" ref="AB55:AB55">IFERROR( MEDIAN((IF(DATOS_[[Sexo]:[Sexo]]=$B55,IF(DATOS_[[AGRUP. CLAS. PROF.]:[AGRUP. CLAS. PROF.]]=$B54,IF(DATOS_[[Check Periodo Ref.]:[Check Periodo Ref.]]="Dentro",DATOS_[Conc.Sal.23]))))), 0)</f>
        <v>0</v>
      </c>
      <c r="AC55" s="250" t="n">
        <f aca="false" t="array" ref="AC55:AC55">IFERROR( MEDIAN((IF(DATOS_[[Sexo]:[Sexo]]=$B55,IF(DATOS_[[AGRUP. CLAS. PROF.]:[AGRUP. CLAS. PROF.]]=$B54,IF(DATOS_[[Check Periodo Ref.]:[Check Periodo Ref.]]="Dentro",DATOS_[Conc.Sal.24]))))), 0)</f>
        <v>0</v>
      </c>
      <c r="AD55" s="250" t="n">
        <f aca="false" t="array" ref="AD55:AD55">IFERROR( MEDIAN((IF(DATOS_[[Sexo]:[Sexo]]=$B55,IF(DATOS_[[AGRUP. CLAS. PROF.]:[AGRUP. CLAS. PROF.]]=$B54,IF(DATOS_[[Check Periodo Ref.]:[Check Periodo Ref.]]="Dentro",DATOS_[Conc.Sal.25]))))), 0)</f>
        <v>0</v>
      </c>
      <c r="AE55" s="250" t="n">
        <f aca="false" t="array" ref="AE55:AE55">IFERROR( MEDIAN((IF(DATOS_[[Sexo]:[Sexo]]=$B55,IF(DATOS_[[AGRUP. CLAS. PROF.]:[AGRUP. CLAS. PROF.]]=$B54,IF(DATOS_[[Check Periodo Ref.]:[Check Periodo Ref.]]="Dentro",DATOS_[Conc.Sal.26]))))), 0)</f>
        <v>0</v>
      </c>
      <c r="AF55" s="250" t="n">
        <f aca="false" t="array" ref="AF55:AF55">IFERROR( MEDIAN((IF(DATOS_[[Sexo]:[Sexo]]=$B55,IF(DATOS_[[AGRUP. CLAS. PROF.]:[AGRUP. CLAS. PROF.]]=$B54,IF(DATOS_[[Check Periodo Ref.]:[Check Periodo Ref.]]="Dentro",DATOS_[Conc.Sal.27]))))), 0)</f>
        <v>0</v>
      </c>
      <c r="AG55" s="250" t="n">
        <f aca="false" t="array" ref="AG55:AG55">IFERROR( MEDIAN((IF(DATOS_[[Sexo]:[Sexo]]=$B55,IF(DATOS_[[AGRUP. CLAS. PROF.]:[AGRUP. CLAS. PROF.]]=$B54,IF(DATOS_[[Check Periodo Ref.]:[Check Periodo Ref.]]="Dentro",DATOS_[Conc.Sal.28]))))), 0)</f>
        <v>0</v>
      </c>
      <c r="AH55" s="250" t="n">
        <f aca="false" t="array" ref="AH55:AH55">IFERROR( MEDIAN((IF(DATOS_[[Sexo]:[Sexo]]=$B55,IF(DATOS_[[AGRUP. CLAS. PROF.]:[AGRUP. CLAS. PROF.]]=$B54,IF(DATOS_[[Check Periodo Ref.]:[Check Periodo Ref.]]="Dentro",DATOS_[Conc.Sal.29]))))), 0)</f>
        <v>0</v>
      </c>
      <c r="AI55" s="250" t="n">
        <f aca="false" t="array" ref="AI55:AI55">IFERROR( MEDIAN((IF(DATOS_[[Sexo]:[Sexo]]=$B55,IF(DATOS_[[AGRUP. CLAS. PROF.]:[AGRUP. CLAS. PROF.]]=$B54,IF(DATOS_[[Check Periodo Ref.]:[Check Periodo Ref.]]="Dentro",DATOS_[Conc.Sal.30]))))), 0)</f>
        <v>0</v>
      </c>
      <c r="AJ55" s="251" t="n">
        <f aca="false" t="array" ref="AJ55:AJ55">IFERROR( MEDIAN(IF(DATOS_[Sexo]=$B55,IF(DATOS_[AGRUP. CLAS. PROF.]=$B54,IF(DATOS_[Check Periodo Ref.]="Dentro",DATOS_[Tot COMPL.SAL Ef],0)))), 0)</f>
        <v>0</v>
      </c>
      <c r="AK55" s="252" t="n">
        <f aca="false" t="array" ref="AK55:AK55">IFERROR( MEDIAN(IF(DATOS_[Sexo]=$B55,IF(DATOS_[AGRUP. CLAS. PROF.]=$B54,IF(DATOS_[Check Periodo Ref.]="Dentro",DATOS_[TOTAL SALARIO Ef],0)))), 0)</f>
        <v>0</v>
      </c>
      <c r="AL55" s="259" t="n">
        <f aca="false" t="array" ref="AL55:AL55">IFERROR( MEDIAN((IF(DATOS_[[Sexo]:[Sexo]]=$B55,IF(DATOS_[[AGRUP. CLAS. PROF.]:[AGRUP. CLAS. PROF.]]=$B54,IF(DATOS_[[Check Periodo Ref.]:[Check Periodo Ref.]]="Dentro",DATOS_[C.Extra.01]))))), 0)</f>
        <v>0</v>
      </c>
      <c r="AM55" s="259" t="n">
        <f aca="false" t="array" ref="AM55:AM55">IFERROR( MEDIAN((IF(DATOS_[[Sexo]:[Sexo]]=$B55,IF(DATOS_[[AGRUP. CLAS. PROF.]:[AGRUP. CLAS. PROF.]]=$B54,IF(DATOS_[[Check Periodo Ref.]:[Check Periodo Ref.]]="Dentro",DATOS_[C.Extra.02]))))), 0)</f>
        <v>0</v>
      </c>
      <c r="AN55" s="259" t="n">
        <f aca="false" t="array" ref="AN55:AN55">IFERROR( MEDIAN((IF(DATOS_[[Sexo]:[Sexo]]=$B55,IF(DATOS_[[AGRUP. CLAS. PROF.]:[AGRUP. CLAS. PROF.]]=$B54,IF(DATOS_[[Check Periodo Ref.]:[Check Periodo Ref.]]="Dentro",DATOS_[C.Extra.03]))))), 0)</f>
        <v>0</v>
      </c>
      <c r="AO55" s="259" t="n">
        <f aca="false" t="array" ref="AO55:AO55">IFERROR( MEDIAN((IF(DATOS_[[Sexo]:[Sexo]]=$B55,IF(DATOS_[[AGRUP. CLAS. PROF.]:[AGRUP. CLAS. PROF.]]=$B54,IF(DATOS_[[Check Periodo Ref.]:[Check Periodo Ref.]]="Dentro",DATOS_[C.Extra.04]))))), 0)</f>
        <v>0</v>
      </c>
      <c r="AP55" s="259" t="n">
        <f aca="false" t="array" ref="AP55:AP55">IFERROR( MEDIAN((IF(DATOS_[[Sexo]:[Sexo]]=$B55,IF(DATOS_[[AGRUP. CLAS. PROF.]:[AGRUP. CLAS. PROF.]]=$B54,IF(DATOS_[[Check Periodo Ref.]:[Check Periodo Ref.]]="Dentro",DATOS_[C.Extra.05]))))), 0)</f>
        <v>0</v>
      </c>
      <c r="AQ55" s="254" t="n">
        <f aca="false" t="array" ref="AQ55:AQ55">IFERROR( MEDIAN(IF(DATOS_[Sexo]=$B55,IF(DATOS_[AGRUP. CLAS. PROF.]=$B54,IF(DATOS_[Check Periodo Ref.]="Dentro",DATOS_[Tot Extrasalarial Ef],0)))), 0)</f>
        <v>0</v>
      </c>
      <c r="AR55" s="255" t="n">
        <f aca="false" t="array" ref="AR55:AR55">IFERROR( MEDIAN(IF(DATOS_[Sexo]=$B55,IF(DATOS_[AGRUP. CLAS. PROF.]=$B54,IF(DATOS_[Check Periodo Ref.]="Dentro",DATOS_[TOTAL Retrib Ef],0)))), 0)</f>
        <v>0</v>
      </c>
    </row>
    <row r="56" customFormat="false" ht="14.25" hidden="false" customHeight="false" outlineLevel="0" collapsed="false">
      <c r="A56" s="217" t="str">
        <f aca="false">+A55</f>
        <v>[ocultar]</v>
      </c>
      <c r="B56" s="246" t="s">
        <v>372</v>
      </c>
      <c r="C56" s="247" t="n">
        <f aca="false" t="array" ref="C56:C56">SUM(IF($B56=DATOS_[Sexo], IF($B54=DATOS_[AGRUP. CLAS. PROF.], IF("Dentro"=DATOS_[Check Periodo Ref.], 1/(COUNTIFS(DATOS_[Sexo],$B56,DATOS_[AGRUP. CLAS. PROF.],$B54,DATOS_[Check Periodo Ref.],"Dentro",DATOS_[id],DATOS_[id]))))))</f>
        <v>0</v>
      </c>
      <c r="D56" s="248" t="n">
        <f aca="false">COUNTIFS(DATOS_[AGRUP. CLAS. PROF.],$B54,DATOS_[Sexo],$B56,DATOS_[Check Periodo Ref.],"Dentro")</f>
        <v>0</v>
      </c>
      <c r="E56" s="249" t="n">
        <f aca="false" t="array" ref="E56:E56">IFERROR( MEDIAN(IF(DATOS_[Sexo]=$B56,IF(DATOS_[AGRUP. CLAS. PROF.]=$B54,IF(DATOS_[Check Periodo Ref.]="Dentro",DATOS_[SALARIO BASE Ef],0)))), 0)</f>
        <v>0</v>
      </c>
      <c r="F56" s="250" t="n">
        <f aca="false" t="array" ref="F56:F56">IFERROR( MEDIAN((IF(DATOS_[[Sexo]:[Sexo]]=$B56,IF(DATOS_[[AGRUP. CLAS. PROF.]:[AGRUP. CLAS. PROF.]]=$B54,IF(DATOS_[[Check Periodo Ref.]:[Check Periodo Ref.]]="Dentro",DATOS_[Conc.Sal.01]))))), 0)</f>
        <v>0</v>
      </c>
      <c r="G56" s="250" t="n">
        <f aca="false" t="array" ref="G56:G56">IFERROR( MEDIAN((IF(DATOS_[[Sexo]:[Sexo]]=$B56,IF(DATOS_[[AGRUP. CLAS. PROF.]:[AGRUP. CLAS. PROF.]]=$B54,IF(DATOS_[[Check Periodo Ref.]:[Check Periodo Ref.]]="Dentro",DATOS_[Conc.Sal.02]))))), 0)</f>
        <v>0</v>
      </c>
      <c r="H56" s="250" t="n">
        <f aca="false" t="array" ref="H56:H56">IFERROR( MEDIAN((IF(DATOS_[[Sexo]:[Sexo]]=$B56,IF(DATOS_[[AGRUP. CLAS. PROF.]:[AGRUP. CLAS. PROF.]]=$B54,IF(DATOS_[[Check Periodo Ref.]:[Check Periodo Ref.]]="Dentro",DATOS_[Conc.Sal.03]))))), 0)</f>
        <v>0</v>
      </c>
      <c r="I56" s="250" t="n">
        <f aca="false" t="array" ref="I56:I56">IFERROR( MEDIAN((IF(DATOS_[[Sexo]:[Sexo]]=$B56,IF(DATOS_[[AGRUP. CLAS. PROF.]:[AGRUP. CLAS. PROF.]]=$B54,IF(DATOS_[[Check Periodo Ref.]:[Check Periodo Ref.]]="Dentro",DATOS_[Conc.Sal.04]))))), 0)</f>
        <v>0</v>
      </c>
      <c r="J56" s="250" t="n">
        <f aca="false" t="array" ref="J56:J56">IFERROR( MEDIAN((IF(DATOS_[[Sexo]:[Sexo]]=$B56,IF(DATOS_[[AGRUP. CLAS. PROF.]:[AGRUP. CLAS. PROF.]]=$B54,IF(DATOS_[[Check Periodo Ref.]:[Check Periodo Ref.]]="Dentro",DATOS_[Conc.Sal.05]))))), 0)</f>
        <v>0</v>
      </c>
      <c r="K56" s="250" t="n">
        <f aca="false" t="array" ref="K56:K56">IFERROR( MEDIAN((IF(DATOS_[[Sexo]:[Sexo]]=$B56,IF(DATOS_[[AGRUP. CLAS. PROF.]:[AGRUP. CLAS. PROF.]]=$B54,IF(DATOS_[[Check Periodo Ref.]:[Check Periodo Ref.]]="Dentro",DATOS_[Conc.Sal.06]))))), 0)</f>
        <v>0</v>
      </c>
      <c r="L56" s="250" t="n">
        <f aca="false" t="array" ref="L56:L56">IFERROR( MEDIAN((IF(DATOS_[[Sexo]:[Sexo]]=$B56,IF(DATOS_[[AGRUP. CLAS. PROF.]:[AGRUP. CLAS. PROF.]]=$B54,IF(DATOS_[[Check Periodo Ref.]:[Check Periodo Ref.]]="Dentro",DATOS_[Conc.Sal.07]))))), 0)</f>
        <v>0</v>
      </c>
      <c r="M56" s="250" t="n">
        <f aca="false" t="array" ref="M56:M56">IFERROR( MEDIAN((IF(DATOS_[[Sexo]:[Sexo]]=$B56,IF(DATOS_[[AGRUP. CLAS. PROF.]:[AGRUP. CLAS. PROF.]]=$B54,IF(DATOS_[[Check Periodo Ref.]:[Check Periodo Ref.]]="Dentro",DATOS_[Conc.Sal.08]))))), 0)</f>
        <v>0</v>
      </c>
      <c r="N56" s="250" t="n">
        <f aca="false" t="array" ref="N56:N56">IFERROR( MEDIAN((IF(DATOS_[[Sexo]:[Sexo]]=$B56,IF(DATOS_[[AGRUP. CLAS. PROF.]:[AGRUP. CLAS. PROF.]]=$B54,IF(DATOS_[[Check Periodo Ref.]:[Check Periodo Ref.]]="Dentro",DATOS_[Conc.Sal.09]))))), 0)</f>
        <v>0</v>
      </c>
      <c r="O56" s="250" t="n">
        <f aca="false" t="array" ref="O56:O56">IFERROR( MEDIAN((IF(DATOS_[[Sexo]:[Sexo]]=$B56,IF(DATOS_[[AGRUP. CLAS. PROF.]:[AGRUP. CLAS. PROF.]]=$B54,IF(DATOS_[[Check Periodo Ref.]:[Check Periodo Ref.]]="Dentro",DATOS_[Conc.Sal.10]))))), 0)</f>
        <v>0</v>
      </c>
      <c r="P56" s="250" t="n">
        <f aca="false" t="array" ref="P56:P56">IFERROR( MEDIAN((IF(DATOS_[[Sexo]:[Sexo]]=$B56,IF(DATOS_[[AGRUP. CLAS. PROF.]:[AGRUP. CLAS. PROF.]]=$B54,IF(DATOS_[[Check Periodo Ref.]:[Check Periodo Ref.]]="Dentro",DATOS_[Conc.Sal.11]))))), 0)</f>
        <v>0</v>
      </c>
      <c r="Q56" s="250" t="n">
        <f aca="false" t="array" ref="Q56:Q56">IFERROR( MEDIAN((IF(DATOS_[[Sexo]:[Sexo]]=$B56,IF(DATOS_[[AGRUP. CLAS. PROF.]:[AGRUP. CLAS. PROF.]]=$B54,IF(DATOS_[[Check Periodo Ref.]:[Check Periodo Ref.]]="Dentro",DATOS_[Conc.Sal.12]))))), 0)</f>
        <v>0</v>
      </c>
      <c r="R56" s="250" t="n">
        <f aca="false" t="array" ref="R56:R56">IFERROR( MEDIAN((IF(DATOS_[[Sexo]:[Sexo]]=$B56,IF(DATOS_[[AGRUP. CLAS. PROF.]:[AGRUP. CLAS. PROF.]]=$B54,IF(DATOS_[[Check Periodo Ref.]:[Check Periodo Ref.]]="Dentro",DATOS_[Conc.Sal.13]))))), 0)</f>
        <v>0</v>
      </c>
      <c r="S56" s="250" t="n">
        <f aca="false" t="array" ref="S56:S56">IFERROR( MEDIAN((IF(DATOS_[[Sexo]:[Sexo]]=$B56,IF(DATOS_[[AGRUP. CLAS. PROF.]:[AGRUP. CLAS. PROF.]]=$B54,IF(DATOS_[[Check Periodo Ref.]:[Check Periodo Ref.]]="Dentro",DATOS_[Conc.Sal.14]))))), 0)</f>
        <v>0</v>
      </c>
      <c r="T56" s="250" t="n">
        <f aca="false" t="array" ref="T56:T56">IFERROR( MEDIAN((IF(DATOS_[[Sexo]:[Sexo]]=$B56,IF(DATOS_[[AGRUP. CLAS. PROF.]:[AGRUP. CLAS. PROF.]]=$B54,IF(DATOS_[[Check Periodo Ref.]:[Check Periodo Ref.]]="Dentro",DATOS_[Conc.Sal.15]))))), 0)</f>
        <v>0</v>
      </c>
      <c r="U56" s="250" t="n">
        <f aca="false" t="array" ref="U56:U56">IFERROR( MEDIAN((IF(DATOS_[[Sexo]:[Sexo]]=$B56,IF(DATOS_[[AGRUP. CLAS. PROF.]:[AGRUP. CLAS. PROF.]]=$B54,IF(DATOS_[[Check Periodo Ref.]:[Check Periodo Ref.]]="Dentro",DATOS_[Conc.Sal.16]))))), 0)</f>
        <v>0</v>
      </c>
      <c r="V56" s="250" t="n">
        <f aca="false" t="array" ref="V56:V56">IFERROR( MEDIAN((IF(DATOS_[[Sexo]:[Sexo]]=$B56,IF(DATOS_[[AGRUP. CLAS. PROF.]:[AGRUP. CLAS. PROF.]]=$B54,IF(DATOS_[[Check Periodo Ref.]:[Check Periodo Ref.]]="Dentro",DATOS_[Conc.Sal.17]))))), 0)</f>
        <v>0</v>
      </c>
      <c r="W56" s="250" t="n">
        <f aca="false" t="array" ref="W56:W56">IFERROR( MEDIAN((IF(DATOS_[[Sexo]:[Sexo]]=$B56,IF(DATOS_[[AGRUP. CLAS. PROF.]:[AGRUP. CLAS. PROF.]]=$B54,IF(DATOS_[[Check Periodo Ref.]:[Check Periodo Ref.]]="Dentro",DATOS_[Conc.Sal.18]))))), 0)</f>
        <v>0</v>
      </c>
      <c r="X56" s="250" t="n">
        <f aca="false" t="array" ref="X56:X56">IFERROR( MEDIAN((IF(DATOS_[[Sexo]:[Sexo]]=$B56,IF(DATOS_[[AGRUP. CLAS. PROF.]:[AGRUP. CLAS. PROF.]]=$B54,IF(DATOS_[[Check Periodo Ref.]:[Check Periodo Ref.]]="Dentro",DATOS_[Conc.Sal.19]))))), 0)</f>
        <v>0</v>
      </c>
      <c r="Y56" s="250" t="n">
        <f aca="false" t="array" ref="Y56:Y56">IFERROR( MEDIAN((IF(DATOS_[[Sexo]:[Sexo]]=$B56,IF(DATOS_[[AGRUP. CLAS. PROF.]:[AGRUP. CLAS. PROF.]]=$B54,IF(DATOS_[[Check Periodo Ref.]:[Check Periodo Ref.]]="Dentro",DATOS_[Conc.Sal.20]))))), 0)</f>
        <v>0</v>
      </c>
      <c r="Z56" s="250" t="n">
        <f aca="false" t="array" ref="Z56:Z56">IFERROR( MEDIAN((IF(DATOS_[[Sexo]:[Sexo]]=$B56,IF(DATOS_[[AGRUP. CLAS. PROF.]:[AGRUP. CLAS. PROF.]]=$B54,IF(DATOS_[[Check Periodo Ref.]:[Check Periodo Ref.]]="Dentro",DATOS_[Conc.Sal.21]))))), 0)</f>
        <v>0</v>
      </c>
      <c r="AA56" s="250" t="n">
        <f aca="false" t="array" ref="AA56:AA56">IFERROR( MEDIAN((IF(DATOS_[[Sexo]:[Sexo]]=$B56,IF(DATOS_[[AGRUP. CLAS. PROF.]:[AGRUP. CLAS. PROF.]]=$B54,IF(DATOS_[[Check Periodo Ref.]:[Check Periodo Ref.]]="Dentro",DATOS_[Conc.Sal.22]))))), 0)</f>
        <v>0</v>
      </c>
      <c r="AB56" s="250" t="n">
        <f aca="false" t="array" ref="AB56:AB56">IFERROR( MEDIAN((IF(DATOS_[[Sexo]:[Sexo]]=$B56,IF(DATOS_[[AGRUP. CLAS. PROF.]:[AGRUP. CLAS. PROF.]]=$B54,IF(DATOS_[[Check Periodo Ref.]:[Check Periodo Ref.]]="Dentro",DATOS_[Conc.Sal.23]))))), 0)</f>
        <v>0</v>
      </c>
      <c r="AC56" s="250" t="n">
        <f aca="false" t="array" ref="AC56:AC56">IFERROR( MEDIAN((IF(DATOS_[[Sexo]:[Sexo]]=$B56,IF(DATOS_[[AGRUP. CLAS. PROF.]:[AGRUP. CLAS. PROF.]]=$B54,IF(DATOS_[[Check Periodo Ref.]:[Check Periodo Ref.]]="Dentro",DATOS_[Conc.Sal.24]))))), 0)</f>
        <v>0</v>
      </c>
      <c r="AD56" s="250" t="n">
        <f aca="false" t="array" ref="AD56:AD56">IFERROR( MEDIAN((IF(DATOS_[[Sexo]:[Sexo]]=$B56,IF(DATOS_[[AGRUP. CLAS. PROF.]:[AGRUP. CLAS. PROF.]]=$B54,IF(DATOS_[[Check Periodo Ref.]:[Check Periodo Ref.]]="Dentro",DATOS_[Conc.Sal.25]))))), 0)</f>
        <v>0</v>
      </c>
      <c r="AE56" s="250" t="n">
        <f aca="false" t="array" ref="AE56:AE56">IFERROR( MEDIAN((IF(DATOS_[[Sexo]:[Sexo]]=$B56,IF(DATOS_[[AGRUP. CLAS. PROF.]:[AGRUP. CLAS. PROF.]]=$B54,IF(DATOS_[[Check Periodo Ref.]:[Check Periodo Ref.]]="Dentro",DATOS_[Conc.Sal.26]))))), 0)</f>
        <v>0</v>
      </c>
      <c r="AF56" s="250" t="n">
        <f aca="false" t="array" ref="AF56:AF56">IFERROR( MEDIAN((IF(DATOS_[[Sexo]:[Sexo]]=$B56,IF(DATOS_[[AGRUP. CLAS. PROF.]:[AGRUP. CLAS. PROF.]]=$B54,IF(DATOS_[[Check Periodo Ref.]:[Check Periodo Ref.]]="Dentro",DATOS_[Conc.Sal.27]))))), 0)</f>
        <v>0</v>
      </c>
      <c r="AG56" s="250" t="n">
        <f aca="false" t="array" ref="AG56:AG56">IFERROR( MEDIAN((IF(DATOS_[[Sexo]:[Sexo]]=$B56,IF(DATOS_[[AGRUP. CLAS. PROF.]:[AGRUP. CLAS. PROF.]]=$B54,IF(DATOS_[[Check Periodo Ref.]:[Check Periodo Ref.]]="Dentro",DATOS_[Conc.Sal.28]))))), 0)</f>
        <v>0</v>
      </c>
      <c r="AH56" s="250" t="n">
        <f aca="false" t="array" ref="AH56:AH56">IFERROR( MEDIAN((IF(DATOS_[[Sexo]:[Sexo]]=$B56,IF(DATOS_[[AGRUP. CLAS. PROF.]:[AGRUP. CLAS. PROF.]]=$B54,IF(DATOS_[[Check Periodo Ref.]:[Check Periodo Ref.]]="Dentro",DATOS_[Conc.Sal.29]))))), 0)</f>
        <v>0</v>
      </c>
      <c r="AI56" s="250" t="n">
        <f aca="false" t="array" ref="AI56:AI56">IFERROR( MEDIAN((IF(DATOS_[[Sexo]:[Sexo]]=$B56,IF(DATOS_[[AGRUP. CLAS. PROF.]:[AGRUP. CLAS. PROF.]]=$B54,IF(DATOS_[[Check Periodo Ref.]:[Check Periodo Ref.]]="Dentro",DATOS_[Conc.Sal.30]))))), 0)</f>
        <v>0</v>
      </c>
      <c r="AJ56" s="251" t="n">
        <f aca="false" t="array" ref="AJ56:AJ56">IFERROR( MEDIAN(IF(DATOS_[Sexo]=$B56,IF(DATOS_[AGRUP. CLAS. PROF.]=$B54,IF(DATOS_[Check Periodo Ref.]="Dentro",DATOS_[Tot COMPL.SAL Ef],0)))), 0)</f>
        <v>0</v>
      </c>
      <c r="AK56" s="252" t="n">
        <f aca="false" t="array" ref="AK56:AK56">IFERROR( MEDIAN(IF(DATOS_[Sexo]=$B56,IF(DATOS_[AGRUP. CLAS. PROF.]=$B54,IF(DATOS_[Check Periodo Ref.]="Dentro",DATOS_[TOTAL SALARIO Ef],0)))), 0)</f>
        <v>0</v>
      </c>
      <c r="AL56" s="259" t="n">
        <f aca="false" t="array" ref="AL56:AL56">IFERROR( MEDIAN((IF(DATOS_[[Sexo]:[Sexo]]=$B56,IF(DATOS_[[AGRUP. CLAS. PROF.]:[AGRUP. CLAS. PROF.]]=$B54,IF(DATOS_[[Check Periodo Ref.]:[Check Periodo Ref.]]="Dentro",DATOS_[C.Extra.01]))))), 0)</f>
        <v>0</v>
      </c>
      <c r="AM56" s="259" t="n">
        <f aca="false" t="array" ref="AM56:AM56">IFERROR( MEDIAN((IF(DATOS_[[Sexo]:[Sexo]]=$B56,IF(DATOS_[[AGRUP. CLAS. PROF.]:[AGRUP. CLAS. PROF.]]=$B54,IF(DATOS_[[Check Periodo Ref.]:[Check Periodo Ref.]]="Dentro",DATOS_[C.Extra.02]))))), 0)</f>
        <v>0</v>
      </c>
      <c r="AN56" s="259" t="n">
        <f aca="false" t="array" ref="AN56:AN56">IFERROR( MEDIAN((IF(DATOS_[[Sexo]:[Sexo]]=$B56,IF(DATOS_[[AGRUP. CLAS. PROF.]:[AGRUP. CLAS. PROF.]]=$B54,IF(DATOS_[[Check Periodo Ref.]:[Check Periodo Ref.]]="Dentro",DATOS_[C.Extra.03]))))), 0)</f>
        <v>0</v>
      </c>
      <c r="AO56" s="259" t="n">
        <f aca="false" t="array" ref="AO56:AO56">IFERROR( MEDIAN((IF(DATOS_[[Sexo]:[Sexo]]=$B56,IF(DATOS_[[AGRUP. CLAS. PROF.]:[AGRUP. CLAS. PROF.]]=$B54,IF(DATOS_[[Check Periodo Ref.]:[Check Periodo Ref.]]="Dentro",DATOS_[C.Extra.04]))))), 0)</f>
        <v>0</v>
      </c>
      <c r="AP56" s="259" t="n">
        <f aca="false" t="array" ref="AP56:AP56">IFERROR( MEDIAN((IF(DATOS_[[Sexo]:[Sexo]]=$B56,IF(DATOS_[[AGRUP. CLAS. PROF.]:[AGRUP. CLAS. PROF.]]=$B54,IF(DATOS_[[Check Periodo Ref.]:[Check Periodo Ref.]]="Dentro",DATOS_[C.Extra.05]))))), 0)</f>
        <v>0</v>
      </c>
      <c r="AQ56" s="254" t="n">
        <f aca="false" t="array" ref="AQ56:AQ56">IFERROR( MEDIAN(IF(DATOS_[Sexo]=$B56,IF(DATOS_[AGRUP. CLAS. PROF.]=$B54,IF(DATOS_[Check Periodo Ref.]="Dentro",DATOS_[Tot Extrasalarial Ef],0)))), 0)</f>
        <v>0</v>
      </c>
      <c r="AR56" s="255" t="n">
        <f aca="false" t="array" ref="AR56:AR56">IFERROR( MEDIAN(IF(DATOS_[Sexo]=$B56,IF(DATOS_[AGRUP. CLAS. PROF.]=$B54,IF(DATOS_[Check Periodo Ref.]="Dentro",DATOS_[TOTAL Retrib Ef],0)))), 0)</f>
        <v>0</v>
      </c>
    </row>
    <row r="57" customFormat="false" ht="15.75" hidden="false" customHeight="false" outlineLevel="0" collapsed="false">
      <c r="A57" s="217" t="str">
        <f aca="false">+A58</f>
        <v>[ocultar]</v>
      </c>
      <c r="B57" s="235" t="s">
        <v>210</v>
      </c>
      <c r="C57" s="236"/>
      <c r="D57" s="237"/>
      <c r="E57" s="238" t="str">
        <f aca="false">IFERROR((E58-E59)/E58,"")</f>
        <v/>
      </c>
      <c r="F57" s="239" t="str">
        <f aca="false">IFERROR((F58-F59)/F58,"")</f>
        <v/>
      </c>
      <c r="G57" s="239" t="str">
        <f aca="false">IFERROR((G58-G59)/G58,"")</f>
        <v/>
      </c>
      <c r="H57" s="239" t="str">
        <f aca="false">IFERROR((H58-H59)/H58,"")</f>
        <v/>
      </c>
      <c r="I57" s="239"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40" t="str">
        <f aca="false">IFERROR((V58-V59)/V58,"")</f>
        <v/>
      </c>
      <c r="W57" s="240" t="str">
        <f aca="false">IFERROR((W58-W59)/W58,"")</f>
        <v/>
      </c>
      <c r="X57" s="240" t="str">
        <f aca="false">IFERROR((X58-X59)/X58,"")</f>
        <v/>
      </c>
      <c r="Y57" s="240"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1" t="str">
        <f aca="false">IFERROR((AJ58-AJ59)/AJ58,"")</f>
        <v/>
      </c>
      <c r="AK57" s="242" t="str">
        <f aca="false">IFERROR((AK58-AK59)/AK58,"")</f>
        <v/>
      </c>
      <c r="AL57" s="243" t="str">
        <f aca="false">IFERROR((AL58-AL59)/AL58,"")</f>
        <v/>
      </c>
      <c r="AM57" s="243" t="str">
        <f aca="false">IFERROR((AM58-AM59)/AM58,"")</f>
        <v/>
      </c>
      <c r="AN57" s="243" t="str">
        <f aca="false">IFERROR((AN58-AN59)/AN58,"")</f>
        <v/>
      </c>
      <c r="AO57" s="243" t="str">
        <f aca="false">IFERROR((AO58-AO59)/AO58,"")</f>
        <v/>
      </c>
      <c r="AP57" s="243" t="str">
        <f aca="false">IFERROR((AP58-AP59)/AP58,"")</f>
        <v/>
      </c>
      <c r="AQ57" s="244" t="str">
        <f aca="false">IFERROR((AQ58-AQ59)/AQ58,"")</f>
        <v/>
      </c>
      <c r="AR57" s="245" t="str">
        <f aca="false">IFERROR((AR58-AR59)/AR58,"")</f>
        <v/>
      </c>
    </row>
    <row r="58" customFormat="false" ht="14.25" hidden="false" customHeight="false" outlineLevel="0" collapsed="false">
      <c r="A58" s="217" t="str">
        <f aca="false">+IF(C58+C59=0,"[ocultar]","")</f>
        <v>[ocultar]</v>
      </c>
      <c r="B58" s="246" t="s">
        <v>371</v>
      </c>
      <c r="C58" s="247" t="n">
        <f aca="false" t="array" ref="C58:C58">SUM(IF($B58=DATOS_[Sexo], IF($B57=DATOS_[AGRUP. CLAS. PROF.], IF("Dentro"=DATOS_[Check Periodo Ref.], 1/(COUNTIFS(DATOS_[Sexo],$B58,DATOS_[AGRUP. CLAS. PROF.],$B57,DATOS_[Check Periodo Ref.],"Dentro",DATOS_[id],DATOS_[id]))))))</f>
        <v>0</v>
      </c>
      <c r="D58" s="248" t="n">
        <f aca="false">COUNTIFS(DATOS_[AGRUP. CLAS. PROF.],$B57,DATOS_[Sexo],$B58,DATOS_[Check Periodo Ref.],"Dentro")</f>
        <v>0</v>
      </c>
      <c r="E58" s="249" t="n">
        <f aca="false" t="array" ref="E58:E58">IFERROR( MEDIAN(IF(DATOS_[Sexo]=$B58,IF(DATOS_[AGRUP. CLAS. PROF.]=$B57,IF(DATOS_[Check Periodo Ref.]="Dentro",DATOS_[SALARIO BASE Ef],0)))), 0)</f>
        <v>0</v>
      </c>
      <c r="F58" s="250" t="n">
        <f aca="false" t="array" ref="F58:F58">IFERROR( MEDIAN((IF(DATOS_[[Sexo]:[Sexo]]=$B58,IF(DATOS_[[AGRUP. CLAS. PROF.]:[AGRUP. CLAS. PROF.]]=$B57,IF(DATOS_[[Check Periodo Ref.]:[Check Periodo Ref.]]="Dentro",DATOS_[Conc.Sal.01]))))), 0)</f>
        <v>0</v>
      </c>
      <c r="G58" s="250" t="n">
        <f aca="false" t="array" ref="G58:G58">IFERROR( MEDIAN((IF(DATOS_[[Sexo]:[Sexo]]=$B58,IF(DATOS_[[AGRUP. CLAS. PROF.]:[AGRUP. CLAS. PROF.]]=$B57,IF(DATOS_[[Check Periodo Ref.]:[Check Periodo Ref.]]="Dentro",DATOS_[Conc.Sal.02]))))), 0)</f>
        <v>0</v>
      </c>
      <c r="H58" s="250" t="n">
        <f aca="false" t="array" ref="H58:H58">IFERROR( MEDIAN((IF(DATOS_[[Sexo]:[Sexo]]=$B58,IF(DATOS_[[AGRUP. CLAS. PROF.]:[AGRUP. CLAS. PROF.]]=$B57,IF(DATOS_[[Check Periodo Ref.]:[Check Periodo Ref.]]="Dentro",DATOS_[Conc.Sal.03]))))), 0)</f>
        <v>0</v>
      </c>
      <c r="I58" s="250" t="n">
        <f aca="false" t="array" ref="I58:I58">IFERROR( MEDIAN((IF(DATOS_[[Sexo]:[Sexo]]=$B58,IF(DATOS_[[AGRUP. CLAS. PROF.]:[AGRUP. CLAS. PROF.]]=$B57,IF(DATOS_[[Check Periodo Ref.]:[Check Periodo Ref.]]="Dentro",DATOS_[Conc.Sal.04]))))), 0)</f>
        <v>0</v>
      </c>
      <c r="J58" s="250" t="n">
        <f aca="false" t="array" ref="J58:J58">IFERROR( MEDIAN((IF(DATOS_[[Sexo]:[Sexo]]=$B58,IF(DATOS_[[AGRUP. CLAS. PROF.]:[AGRUP. CLAS. PROF.]]=$B57,IF(DATOS_[[Check Periodo Ref.]:[Check Periodo Ref.]]="Dentro",DATOS_[Conc.Sal.05]))))), 0)</f>
        <v>0</v>
      </c>
      <c r="K58" s="250" t="n">
        <f aca="false" t="array" ref="K58:K58">IFERROR( MEDIAN((IF(DATOS_[[Sexo]:[Sexo]]=$B58,IF(DATOS_[[AGRUP. CLAS. PROF.]:[AGRUP. CLAS. PROF.]]=$B57,IF(DATOS_[[Check Periodo Ref.]:[Check Periodo Ref.]]="Dentro",DATOS_[Conc.Sal.06]))))), 0)</f>
        <v>0</v>
      </c>
      <c r="L58" s="250" t="n">
        <f aca="false" t="array" ref="L58:L58">IFERROR( MEDIAN((IF(DATOS_[[Sexo]:[Sexo]]=$B58,IF(DATOS_[[AGRUP. CLAS. PROF.]:[AGRUP. CLAS. PROF.]]=$B57,IF(DATOS_[[Check Periodo Ref.]:[Check Periodo Ref.]]="Dentro",DATOS_[Conc.Sal.07]))))), 0)</f>
        <v>0</v>
      </c>
      <c r="M58" s="250" t="n">
        <f aca="false" t="array" ref="M58:M58">IFERROR( MEDIAN((IF(DATOS_[[Sexo]:[Sexo]]=$B58,IF(DATOS_[[AGRUP. CLAS. PROF.]:[AGRUP. CLAS. PROF.]]=$B57,IF(DATOS_[[Check Periodo Ref.]:[Check Periodo Ref.]]="Dentro",DATOS_[Conc.Sal.08]))))), 0)</f>
        <v>0</v>
      </c>
      <c r="N58" s="250" t="n">
        <f aca="false" t="array" ref="N58:N58">IFERROR( MEDIAN((IF(DATOS_[[Sexo]:[Sexo]]=$B58,IF(DATOS_[[AGRUP. CLAS. PROF.]:[AGRUP. CLAS. PROF.]]=$B57,IF(DATOS_[[Check Periodo Ref.]:[Check Periodo Ref.]]="Dentro",DATOS_[Conc.Sal.09]))))), 0)</f>
        <v>0</v>
      </c>
      <c r="O58" s="250" t="n">
        <f aca="false" t="array" ref="O58:O58">IFERROR( MEDIAN((IF(DATOS_[[Sexo]:[Sexo]]=$B58,IF(DATOS_[[AGRUP. CLAS. PROF.]:[AGRUP. CLAS. PROF.]]=$B57,IF(DATOS_[[Check Periodo Ref.]:[Check Periodo Ref.]]="Dentro",DATOS_[Conc.Sal.10]))))), 0)</f>
        <v>0</v>
      </c>
      <c r="P58" s="250" t="n">
        <f aca="false" t="array" ref="P58:P58">IFERROR( MEDIAN((IF(DATOS_[[Sexo]:[Sexo]]=$B58,IF(DATOS_[[AGRUP. CLAS. PROF.]:[AGRUP. CLAS. PROF.]]=$B57,IF(DATOS_[[Check Periodo Ref.]:[Check Periodo Ref.]]="Dentro",DATOS_[Conc.Sal.11]))))), 0)</f>
        <v>0</v>
      </c>
      <c r="Q58" s="250" t="n">
        <f aca="false" t="array" ref="Q58:Q58">IFERROR( MEDIAN((IF(DATOS_[[Sexo]:[Sexo]]=$B58,IF(DATOS_[[AGRUP. CLAS. PROF.]:[AGRUP. CLAS. PROF.]]=$B57,IF(DATOS_[[Check Periodo Ref.]:[Check Periodo Ref.]]="Dentro",DATOS_[Conc.Sal.12]))))), 0)</f>
        <v>0</v>
      </c>
      <c r="R58" s="250" t="n">
        <f aca="false" t="array" ref="R58:R58">IFERROR( MEDIAN((IF(DATOS_[[Sexo]:[Sexo]]=$B58,IF(DATOS_[[AGRUP. CLAS. PROF.]:[AGRUP. CLAS. PROF.]]=$B57,IF(DATOS_[[Check Periodo Ref.]:[Check Periodo Ref.]]="Dentro",DATOS_[Conc.Sal.13]))))), 0)</f>
        <v>0</v>
      </c>
      <c r="S58" s="250" t="n">
        <f aca="false" t="array" ref="S58:S58">IFERROR( MEDIAN((IF(DATOS_[[Sexo]:[Sexo]]=$B58,IF(DATOS_[[AGRUP. CLAS. PROF.]:[AGRUP. CLAS. PROF.]]=$B57,IF(DATOS_[[Check Periodo Ref.]:[Check Periodo Ref.]]="Dentro",DATOS_[Conc.Sal.14]))))), 0)</f>
        <v>0</v>
      </c>
      <c r="T58" s="250" t="n">
        <f aca="false" t="array" ref="T58:T58">IFERROR( MEDIAN((IF(DATOS_[[Sexo]:[Sexo]]=$B58,IF(DATOS_[[AGRUP. CLAS. PROF.]:[AGRUP. CLAS. PROF.]]=$B57,IF(DATOS_[[Check Periodo Ref.]:[Check Periodo Ref.]]="Dentro",DATOS_[Conc.Sal.15]))))), 0)</f>
        <v>0</v>
      </c>
      <c r="U58" s="250" t="n">
        <f aca="false" t="array" ref="U58:U58">IFERROR( MEDIAN((IF(DATOS_[[Sexo]:[Sexo]]=$B58,IF(DATOS_[[AGRUP. CLAS. PROF.]:[AGRUP. CLAS. PROF.]]=$B57,IF(DATOS_[[Check Periodo Ref.]:[Check Periodo Ref.]]="Dentro",DATOS_[Conc.Sal.16]))))), 0)</f>
        <v>0</v>
      </c>
      <c r="V58" s="250" t="n">
        <f aca="false" t="array" ref="V58:V58">IFERROR( MEDIAN((IF(DATOS_[[Sexo]:[Sexo]]=$B58,IF(DATOS_[[AGRUP. CLAS. PROF.]:[AGRUP. CLAS. PROF.]]=$B57,IF(DATOS_[[Check Periodo Ref.]:[Check Periodo Ref.]]="Dentro",DATOS_[Conc.Sal.17]))))), 0)</f>
        <v>0</v>
      </c>
      <c r="W58" s="250" t="n">
        <f aca="false" t="array" ref="W58:W58">IFERROR( MEDIAN((IF(DATOS_[[Sexo]:[Sexo]]=$B58,IF(DATOS_[[AGRUP. CLAS. PROF.]:[AGRUP. CLAS. PROF.]]=$B57,IF(DATOS_[[Check Periodo Ref.]:[Check Periodo Ref.]]="Dentro",DATOS_[Conc.Sal.18]))))), 0)</f>
        <v>0</v>
      </c>
      <c r="X58" s="250" t="n">
        <f aca="false" t="array" ref="X58:X58">IFERROR( MEDIAN((IF(DATOS_[[Sexo]:[Sexo]]=$B58,IF(DATOS_[[AGRUP. CLAS. PROF.]:[AGRUP. CLAS. PROF.]]=$B57,IF(DATOS_[[Check Periodo Ref.]:[Check Periodo Ref.]]="Dentro",DATOS_[Conc.Sal.19]))))), 0)</f>
        <v>0</v>
      </c>
      <c r="Y58" s="250" t="n">
        <f aca="false" t="array" ref="Y58:Y58">IFERROR( MEDIAN((IF(DATOS_[[Sexo]:[Sexo]]=$B58,IF(DATOS_[[AGRUP. CLAS. PROF.]:[AGRUP. CLAS. PROF.]]=$B57,IF(DATOS_[[Check Periodo Ref.]:[Check Periodo Ref.]]="Dentro",DATOS_[Conc.Sal.20]))))), 0)</f>
        <v>0</v>
      </c>
      <c r="Z58" s="250" t="n">
        <f aca="false" t="array" ref="Z58:Z58">IFERROR( MEDIAN((IF(DATOS_[[Sexo]:[Sexo]]=$B58,IF(DATOS_[[AGRUP. CLAS. PROF.]:[AGRUP. CLAS. PROF.]]=$B57,IF(DATOS_[[Check Periodo Ref.]:[Check Periodo Ref.]]="Dentro",DATOS_[Conc.Sal.21]))))), 0)</f>
        <v>0</v>
      </c>
      <c r="AA58" s="250" t="n">
        <f aca="false" t="array" ref="AA58:AA58">IFERROR( MEDIAN((IF(DATOS_[[Sexo]:[Sexo]]=$B58,IF(DATOS_[[AGRUP. CLAS. PROF.]:[AGRUP. CLAS. PROF.]]=$B57,IF(DATOS_[[Check Periodo Ref.]:[Check Periodo Ref.]]="Dentro",DATOS_[Conc.Sal.22]))))), 0)</f>
        <v>0</v>
      </c>
      <c r="AB58" s="250" t="n">
        <f aca="false" t="array" ref="AB58:AB58">IFERROR( MEDIAN((IF(DATOS_[[Sexo]:[Sexo]]=$B58,IF(DATOS_[[AGRUP. CLAS. PROF.]:[AGRUP. CLAS. PROF.]]=$B57,IF(DATOS_[[Check Periodo Ref.]:[Check Periodo Ref.]]="Dentro",DATOS_[Conc.Sal.23]))))), 0)</f>
        <v>0</v>
      </c>
      <c r="AC58" s="250" t="n">
        <f aca="false" t="array" ref="AC58:AC58">IFERROR( MEDIAN((IF(DATOS_[[Sexo]:[Sexo]]=$B58,IF(DATOS_[[AGRUP. CLAS. PROF.]:[AGRUP. CLAS. PROF.]]=$B57,IF(DATOS_[[Check Periodo Ref.]:[Check Periodo Ref.]]="Dentro",DATOS_[Conc.Sal.24]))))), 0)</f>
        <v>0</v>
      </c>
      <c r="AD58" s="250" t="n">
        <f aca="false" t="array" ref="AD58:AD58">IFERROR( MEDIAN((IF(DATOS_[[Sexo]:[Sexo]]=$B58,IF(DATOS_[[AGRUP. CLAS. PROF.]:[AGRUP. CLAS. PROF.]]=$B57,IF(DATOS_[[Check Periodo Ref.]:[Check Periodo Ref.]]="Dentro",DATOS_[Conc.Sal.25]))))), 0)</f>
        <v>0</v>
      </c>
      <c r="AE58" s="250" t="n">
        <f aca="false" t="array" ref="AE58:AE58">IFERROR( MEDIAN((IF(DATOS_[[Sexo]:[Sexo]]=$B58,IF(DATOS_[[AGRUP. CLAS. PROF.]:[AGRUP. CLAS. PROF.]]=$B57,IF(DATOS_[[Check Periodo Ref.]:[Check Periodo Ref.]]="Dentro",DATOS_[Conc.Sal.26]))))), 0)</f>
        <v>0</v>
      </c>
      <c r="AF58" s="250" t="n">
        <f aca="false" t="array" ref="AF58:AF58">IFERROR( MEDIAN((IF(DATOS_[[Sexo]:[Sexo]]=$B58,IF(DATOS_[[AGRUP. CLAS. PROF.]:[AGRUP. CLAS. PROF.]]=$B57,IF(DATOS_[[Check Periodo Ref.]:[Check Periodo Ref.]]="Dentro",DATOS_[Conc.Sal.27]))))), 0)</f>
        <v>0</v>
      </c>
      <c r="AG58" s="250" t="n">
        <f aca="false" t="array" ref="AG58:AG58">IFERROR( MEDIAN((IF(DATOS_[[Sexo]:[Sexo]]=$B58,IF(DATOS_[[AGRUP. CLAS. PROF.]:[AGRUP. CLAS. PROF.]]=$B57,IF(DATOS_[[Check Periodo Ref.]:[Check Periodo Ref.]]="Dentro",DATOS_[Conc.Sal.28]))))), 0)</f>
        <v>0</v>
      </c>
      <c r="AH58" s="250" t="n">
        <f aca="false" t="array" ref="AH58:AH58">IFERROR( MEDIAN((IF(DATOS_[[Sexo]:[Sexo]]=$B58,IF(DATOS_[[AGRUP. CLAS. PROF.]:[AGRUP. CLAS. PROF.]]=$B57,IF(DATOS_[[Check Periodo Ref.]:[Check Periodo Ref.]]="Dentro",DATOS_[Conc.Sal.29]))))), 0)</f>
        <v>0</v>
      </c>
      <c r="AI58" s="250" t="n">
        <f aca="false" t="array" ref="AI58:AI58">IFERROR( MEDIAN((IF(DATOS_[[Sexo]:[Sexo]]=$B58,IF(DATOS_[[AGRUP. CLAS. PROF.]:[AGRUP. CLAS. PROF.]]=$B57,IF(DATOS_[[Check Periodo Ref.]:[Check Periodo Ref.]]="Dentro",DATOS_[Conc.Sal.30]))))), 0)</f>
        <v>0</v>
      </c>
      <c r="AJ58" s="251" t="n">
        <f aca="false" t="array" ref="AJ58:AJ58">IFERROR( MEDIAN(IF(DATOS_[Sexo]=$B58,IF(DATOS_[AGRUP. CLAS. PROF.]=$B57,IF(DATOS_[Check Periodo Ref.]="Dentro",DATOS_[Tot COMPL.SAL Ef],0)))), 0)</f>
        <v>0</v>
      </c>
      <c r="AK58" s="252" t="n">
        <f aca="false" t="array" ref="AK58:AK58">IFERROR( MEDIAN(IF(DATOS_[Sexo]=$B58,IF(DATOS_[AGRUP. CLAS. PROF.]=$B57,IF(DATOS_[Check Periodo Ref.]="Dentro",DATOS_[TOTAL SALARIO Ef],0)))), 0)</f>
        <v>0</v>
      </c>
      <c r="AL58" s="259" t="n">
        <f aca="false" t="array" ref="AL58:AL58">IFERROR( MEDIAN((IF(DATOS_[[Sexo]:[Sexo]]=$B58,IF(DATOS_[[AGRUP. CLAS. PROF.]:[AGRUP. CLAS. PROF.]]=$B57,IF(DATOS_[[Check Periodo Ref.]:[Check Periodo Ref.]]="Dentro",DATOS_[C.Extra.01]))))), 0)</f>
        <v>0</v>
      </c>
      <c r="AM58" s="259" t="n">
        <f aca="false" t="array" ref="AM58:AM58">IFERROR( MEDIAN((IF(DATOS_[[Sexo]:[Sexo]]=$B58,IF(DATOS_[[AGRUP. CLAS. PROF.]:[AGRUP. CLAS. PROF.]]=$B57,IF(DATOS_[[Check Periodo Ref.]:[Check Periodo Ref.]]="Dentro",DATOS_[C.Extra.02]))))), 0)</f>
        <v>0</v>
      </c>
      <c r="AN58" s="259" t="n">
        <f aca="false" t="array" ref="AN58:AN58">IFERROR( MEDIAN((IF(DATOS_[[Sexo]:[Sexo]]=$B58,IF(DATOS_[[AGRUP. CLAS. PROF.]:[AGRUP. CLAS. PROF.]]=$B57,IF(DATOS_[[Check Periodo Ref.]:[Check Periodo Ref.]]="Dentro",DATOS_[C.Extra.03]))))), 0)</f>
        <v>0</v>
      </c>
      <c r="AO58" s="259" t="n">
        <f aca="false" t="array" ref="AO58:AO58">IFERROR( MEDIAN((IF(DATOS_[[Sexo]:[Sexo]]=$B58,IF(DATOS_[[AGRUP. CLAS. PROF.]:[AGRUP. CLAS. PROF.]]=$B57,IF(DATOS_[[Check Periodo Ref.]:[Check Periodo Ref.]]="Dentro",DATOS_[C.Extra.04]))))), 0)</f>
        <v>0</v>
      </c>
      <c r="AP58" s="259" t="n">
        <f aca="false" t="array" ref="AP58:AP58">IFERROR( MEDIAN((IF(DATOS_[[Sexo]:[Sexo]]=$B58,IF(DATOS_[[AGRUP. CLAS. PROF.]:[AGRUP. CLAS. PROF.]]=$B57,IF(DATOS_[[Check Periodo Ref.]:[Check Periodo Ref.]]="Dentro",DATOS_[C.Extra.05]))))), 0)</f>
        <v>0</v>
      </c>
      <c r="AQ58" s="254" t="n">
        <f aca="false" t="array" ref="AQ58:AQ58">IFERROR( MEDIAN(IF(DATOS_[Sexo]=$B58,IF(DATOS_[AGRUP. CLAS. PROF.]=$B57,IF(DATOS_[Check Periodo Ref.]="Dentro",DATOS_[Tot Extrasalarial Ef],0)))), 0)</f>
        <v>0</v>
      </c>
      <c r="AR58" s="255" t="n">
        <f aca="false" t="array" ref="AR58:AR58">IFERROR( MEDIAN(IF(DATOS_[Sexo]=$B58,IF(DATOS_[AGRUP. CLAS. PROF.]=$B57,IF(DATOS_[Check Periodo Ref.]="Dentro",DATOS_[TOTAL Retrib Ef],0)))), 0)</f>
        <v>0</v>
      </c>
    </row>
    <row r="59" customFormat="false" ht="14.25" hidden="false" customHeight="false" outlineLevel="0" collapsed="false">
      <c r="A59" s="217" t="str">
        <f aca="false">+A58</f>
        <v>[ocultar]</v>
      </c>
      <c r="B59" s="246" t="s">
        <v>372</v>
      </c>
      <c r="C59" s="247" t="n">
        <f aca="false" t="array" ref="C59:C59">SUM(IF($B59=DATOS_[Sexo], IF($B57=DATOS_[AGRUP. CLAS. PROF.], IF("Dentro"=DATOS_[Check Periodo Ref.], 1/(COUNTIFS(DATOS_[Sexo],$B59,DATOS_[AGRUP. CLAS. PROF.],$B57,DATOS_[Check Periodo Ref.],"Dentro",DATOS_[id],DATOS_[id]))))))</f>
        <v>0</v>
      </c>
      <c r="D59" s="248" t="n">
        <f aca="false">COUNTIFS(DATOS_[AGRUP. CLAS. PROF.],$B57,DATOS_[Sexo],$B59,DATOS_[Check Periodo Ref.],"Dentro")</f>
        <v>0</v>
      </c>
      <c r="E59" s="249" t="n">
        <f aca="false" t="array" ref="E59:E59">IFERROR( MEDIAN(IF(DATOS_[Sexo]=$B59,IF(DATOS_[AGRUP. CLAS. PROF.]=$B57,IF(DATOS_[Check Periodo Ref.]="Dentro",DATOS_[SALARIO BASE Ef],0)))), 0)</f>
        <v>0</v>
      </c>
      <c r="F59" s="250" t="n">
        <f aca="false" t="array" ref="F59:F59">IFERROR( MEDIAN((IF(DATOS_[[Sexo]:[Sexo]]=$B59,IF(DATOS_[[AGRUP. CLAS. PROF.]:[AGRUP. CLAS. PROF.]]=$B57,IF(DATOS_[[Check Periodo Ref.]:[Check Periodo Ref.]]="Dentro",DATOS_[Conc.Sal.01]))))), 0)</f>
        <v>0</v>
      </c>
      <c r="G59" s="250" t="n">
        <f aca="false" t="array" ref="G59:G59">IFERROR( MEDIAN((IF(DATOS_[[Sexo]:[Sexo]]=$B59,IF(DATOS_[[AGRUP. CLAS. PROF.]:[AGRUP. CLAS. PROF.]]=$B57,IF(DATOS_[[Check Periodo Ref.]:[Check Periodo Ref.]]="Dentro",DATOS_[Conc.Sal.02]))))), 0)</f>
        <v>0</v>
      </c>
      <c r="H59" s="250" t="n">
        <f aca="false" t="array" ref="H59:H59">IFERROR( MEDIAN((IF(DATOS_[[Sexo]:[Sexo]]=$B59,IF(DATOS_[[AGRUP. CLAS. PROF.]:[AGRUP. CLAS. PROF.]]=$B57,IF(DATOS_[[Check Periodo Ref.]:[Check Periodo Ref.]]="Dentro",DATOS_[Conc.Sal.03]))))), 0)</f>
        <v>0</v>
      </c>
      <c r="I59" s="250" t="n">
        <f aca="false" t="array" ref="I59:I59">IFERROR( MEDIAN((IF(DATOS_[[Sexo]:[Sexo]]=$B59,IF(DATOS_[[AGRUP. CLAS. PROF.]:[AGRUP. CLAS. PROF.]]=$B57,IF(DATOS_[[Check Periodo Ref.]:[Check Periodo Ref.]]="Dentro",DATOS_[Conc.Sal.04]))))), 0)</f>
        <v>0</v>
      </c>
      <c r="J59" s="250" t="n">
        <f aca="false" t="array" ref="J59:J59">IFERROR( MEDIAN((IF(DATOS_[[Sexo]:[Sexo]]=$B59,IF(DATOS_[[AGRUP. CLAS. PROF.]:[AGRUP. CLAS. PROF.]]=$B57,IF(DATOS_[[Check Periodo Ref.]:[Check Periodo Ref.]]="Dentro",DATOS_[Conc.Sal.05]))))), 0)</f>
        <v>0</v>
      </c>
      <c r="K59" s="250" t="n">
        <f aca="false" t="array" ref="K59:K59">IFERROR( MEDIAN((IF(DATOS_[[Sexo]:[Sexo]]=$B59,IF(DATOS_[[AGRUP. CLAS. PROF.]:[AGRUP. CLAS. PROF.]]=$B57,IF(DATOS_[[Check Periodo Ref.]:[Check Periodo Ref.]]="Dentro",DATOS_[Conc.Sal.06]))))), 0)</f>
        <v>0</v>
      </c>
      <c r="L59" s="250" t="n">
        <f aca="false" t="array" ref="L59:L59">IFERROR( MEDIAN((IF(DATOS_[[Sexo]:[Sexo]]=$B59,IF(DATOS_[[AGRUP. CLAS. PROF.]:[AGRUP. CLAS. PROF.]]=$B57,IF(DATOS_[[Check Periodo Ref.]:[Check Periodo Ref.]]="Dentro",DATOS_[Conc.Sal.07]))))), 0)</f>
        <v>0</v>
      </c>
      <c r="M59" s="250" t="n">
        <f aca="false" t="array" ref="M59:M59">IFERROR( MEDIAN((IF(DATOS_[[Sexo]:[Sexo]]=$B59,IF(DATOS_[[AGRUP. CLAS. PROF.]:[AGRUP. CLAS. PROF.]]=$B57,IF(DATOS_[[Check Periodo Ref.]:[Check Periodo Ref.]]="Dentro",DATOS_[Conc.Sal.08]))))), 0)</f>
        <v>0</v>
      </c>
      <c r="N59" s="250" t="n">
        <f aca="false" t="array" ref="N59:N59">IFERROR( MEDIAN((IF(DATOS_[[Sexo]:[Sexo]]=$B59,IF(DATOS_[[AGRUP. CLAS. PROF.]:[AGRUP. CLAS. PROF.]]=$B57,IF(DATOS_[[Check Periodo Ref.]:[Check Periodo Ref.]]="Dentro",DATOS_[Conc.Sal.09]))))), 0)</f>
        <v>0</v>
      </c>
      <c r="O59" s="250" t="n">
        <f aca="false" t="array" ref="O59:O59">IFERROR( MEDIAN((IF(DATOS_[[Sexo]:[Sexo]]=$B59,IF(DATOS_[[AGRUP. CLAS. PROF.]:[AGRUP. CLAS. PROF.]]=$B57,IF(DATOS_[[Check Periodo Ref.]:[Check Periodo Ref.]]="Dentro",DATOS_[Conc.Sal.10]))))), 0)</f>
        <v>0</v>
      </c>
      <c r="P59" s="250" t="n">
        <f aca="false" t="array" ref="P59:P59">IFERROR( MEDIAN((IF(DATOS_[[Sexo]:[Sexo]]=$B59,IF(DATOS_[[AGRUP. CLAS. PROF.]:[AGRUP. CLAS. PROF.]]=$B57,IF(DATOS_[[Check Periodo Ref.]:[Check Periodo Ref.]]="Dentro",DATOS_[Conc.Sal.11]))))), 0)</f>
        <v>0</v>
      </c>
      <c r="Q59" s="250" t="n">
        <f aca="false" t="array" ref="Q59:Q59">IFERROR( MEDIAN((IF(DATOS_[[Sexo]:[Sexo]]=$B59,IF(DATOS_[[AGRUP. CLAS. PROF.]:[AGRUP. CLAS. PROF.]]=$B57,IF(DATOS_[[Check Periodo Ref.]:[Check Periodo Ref.]]="Dentro",DATOS_[Conc.Sal.12]))))), 0)</f>
        <v>0</v>
      </c>
      <c r="R59" s="250" t="n">
        <f aca="false" t="array" ref="R59:R59">IFERROR( MEDIAN((IF(DATOS_[[Sexo]:[Sexo]]=$B59,IF(DATOS_[[AGRUP. CLAS. PROF.]:[AGRUP. CLAS. PROF.]]=$B57,IF(DATOS_[[Check Periodo Ref.]:[Check Periodo Ref.]]="Dentro",DATOS_[Conc.Sal.13]))))), 0)</f>
        <v>0</v>
      </c>
      <c r="S59" s="250" t="n">
        <f aca="false" t="array" ref="S59:S59">IFERROR( MEDIAN((IF(DATOS_[[Sexo]:[Sexo]]=$B59,IF(DATOS_[[AGRUP. CLAS. PROF.]:[AGRUP. CLAS. PROF.]]=$B57,IF(DATOS_[[Check Periodo Ref.]:[Check Periodo Ref.]]="Dentro",DATOS_[Conc.Sal.14]))))), 0)</f>
        <v>0</v>
      </c>
      <c r="T59" s="250" t="n">
        <f aca="false" t="array" ref="T59:T59">IFERROR( MEDIAN((IF(DATOS_[[Sexo]:[Sexo]]=$B59,IF(DATOS_[[AGRUP. CLAS. PROF.]:[AGRUP. CLAS. PROF.]]=$B57,IF(DATOS_[[Check Periodo Ref.]:[Check Periodo Ref.]]="Dentro",DATOS_[Conc.Sal.15]))))), 0)</f>
        <v>0</v>
      </c>
      <c r="U59" s="250" t="n">
        <f aca="false" t="array" ref="U59:U59">IFERROR( MEDIAN((IF(DATOS_[[Sexo]:[Sexo]]=$B59,IF(DATOS_[[AGRUP. CLAS. PROF.]:[AGRUP. CLAS. PROF.]]=$B57,IF(DATOS_[[Check Periodo Ref.]:[Check Periodo Ref.]]="Dentro",DATOS_[Conc.Sal.16]))))), 0)</f>
        <v>0</v>
      </c>
      <c r="V59" s="250" t="n">
        <f aca="false" t="array" ref="V59:V59">IFERROR( MEDIAN((IF(DATOS_[[Sexo]:[Sexo]]=$B59,IF(DATOS_[[AGRUP. CLAS. PROF.]:[AGRUP. CLAS. PROF.]]=$B57,IF(DATOS_[[Check Periodo Ref.]:[Check Periodo Ref.]]="Dentro",DATOS_[Conc.Sal.17]))))), 0)</f>
        <v>0</v>
      </c>
      <c r="W59" s="250" t="n">
        <f aca="false" t="array" ref="W59:W59">IFERROR( MEDIAN((IF(DATOS_[[Sexo]:[Sexo]]=$B59,IF(DATOS_[[AGRUP. CLAS. PROF.]:[AGRUP. CLAS. PROF.]]=$B57,IF(DATOS_[[Check Periodo Ref.]:[Check Periodo Ref.]]="Dentro",DATOS_[Conc.Sal.18]))))), 0)</f>
        <v>0</v>
      </c>
      <c r="X59" s="250" t="n">
        <f aca="false" t="array" ref="X59:X59">IFERROR( MEDIAN((IF(DATOS_[[Sexo]:[Sexo]]=$B59,IF(DATOS_[[AGRUP. CLAS. PROF.]:[AGRUP. CLAS. PROF.]]=$B57,IF(DATOS_[[Check Periodo Ref.]:[Check Periodo Ref.]]="Dentro",DATOS_[Conc.Sal.19]))))), 0)</f>
        <v>0</v>
      </c>
      <c r="Y59" s="250" t="n">
        <f aca="false" t="array" ref="Y59:Y59">IFERROR( MEDIAN((IF(DATOS_[[Sexo]:[Sexo]]=$B59,IF(DATOS_[[AGRUP. CLAS. PROF.]:[AGRUP. CLAS. PROF.]]=$B57,IF(DATOS_[[Check Periodo Ref.]:[Check Periodo Ref.]]="Dentro",DATOS_[Conc.Sal.20]))))), 0)</f>
        <v>0</v>
      </c>
      <c r="Z59" s="250" t="n">
        <f aca="false" t="array" ref="Z59:Z59">IFERROR( MEDIAN((IF(DATOS_[[Sexo]:[Sexo]]=$B59,IF(DATOS_[[AGRUP. CLAS. PROF.]:[AGRUP. CLAS. PROF.]]=$B57,IF(DATOS_[[Check Periodo Ref.]:[Check Periodo Ref.]]="Dentro",DATOS_[Conc.Sal.21]))))), 0)</f>
        <v>0</v>
      </c>
      <c r="AA59" s="250" t="n">
        <f aca="false" t="array" ref="AA59:AA59">IFERROR( MEDIAN((IF(DATOS_[[Sexo]:[Sexo]]=$B59,IF(DATOS_[[AGRUP. CLAS. PROF.]:[AGRUP. CLAS. PROF.]]=$B57,IF(DATOS_[[Check Periodo Ref.]:[Check Periodo Ref.]]="Dentro",DATOS_[Conc.Sal.22]))))), 0)</f>
        <v>0</v>
      </c>
      <c r="AB59" s="250" t="n">
        <f aca="false" t="array" ref="AB59:AB59">IFERROR( MEDIAN((IF(DATOS_[[Sexo]:[Sexo]]=$B59,IF(DATOS_[[AGRUP. CLAS. PROF.]:[AGRUP. CLAS. PROF.]]=$B57,IF(DATOS_[[Check Periodo Ref.]:[Check Periodo Ref.]]="Dentro",DATOS_[Conc.Sal.23]))))), 0)</f>
        <v>0</v>
      </c>
      <c r="AC59" s="250" t="n">
        <f aca="false" t="array" ref="AC59:AC59">IFERROR( MEDIAN((IF(DATOS_[[Sexo]:[Sexo]]=$B59,IF(DATOS_[[AGRUP. CLAS. PROF.]:[AGRUP. CLAS. PROF.]]=$B57,IF(DATOS_[[Check Periodo Ref.]:[Check Periodo Ref.]]="Dentro",DATOS_[Conc.Sal.24]))))), 0)</f>
        <v>0</v>
      </c>
      <c r="AD59" s="250" t="n">
        <f aca="false" t="array" ref="AD59:AD59">IFERROR( MEDIAN((IF(DATOS_[[Sexo]:[Sexo]]=$B59,IF(DATOS_[[AGRUP. CLAS. PROF.]:[AGRUP. CLAS. PROF.]]=$B57,IF(DATOS_[[Check Periodo Ref.]:[Check Periodo Ref.]]="Dentro",DATOS_[Conc.Sal.25]))))), 0)</f>
        <v>0</v>
      </c>
      <c r="AE59" s="250" t="n">
        <f aca="false" t="array" ref="AE59:AE59">IFERROR( MEDIAN((IF(DATOS_[[Sexo]:[Sexo]]=$B59,IF(DATOS_[[AGRUP. CLAS. PROF.]:[AGRUP. CLAS. PROF.]]=$B57,IF(DATOS_[[Check Periodo Ref.]:[Check Periodo Ref.]]="Dentro",DATOS_[Conc.Sal.26]))))), 0)</f>
        <v>0</v>
      </c>
      <c r="AF59" s="250" t="n">
        <f aca="false" t="array" ref="AF59:AF59">IFERROR( MEDIAN((IF(DATOS_[[Sexo]:[Sexo]]=$B59,IF(DATOS_[[AGRUP. CLAS. PROF.]:[AGRUP. CLAS. PROF.]]=$B57,IF(DATOS_[[Check Periodo Ref.]:[Check Periodo Ref.]]="Dentro",DATOS_[Conc.Sal.27]))))), 0)</f>
        <v>0</v>
      </c>
      <c r="AG59" s="250" t="n">
        <f aca="false" t="array" ref="AG59:AG59">IFERROR( MEDIAN((IF(DATOS_[[Sexo]:[Sexo]]=$B59,IF(DATOS_[[AGRUP. CLAS. PROF.]:[AGRUP. CLAS. PROF.]]=$B57,IF(DATOS_[[Check Periodo Ref.]:[Check Periodo Ref.]]="Dentro",DATOS_[Conc.Sal.28]))))), 0)</f>
        <v>0</v>
      </c>
      <c r="AH59" s="250" t="n">
        <f aca="false" t="array" ref="AH59:AH59">IFERROR( MEDIAN((IF(DATOS_[[Sexo]:[Sexo]]=$B59,IF(DATOS_[[AGRUP. CLAS. PROF.]:[AGRUP. CLAS. PROF.]]=$B57,IF(DATOS_[[Check Periodo Ref.]:[Check Periodo Ref.]]="Dentro",DATOS_[Conc.Sal.29]))))), 0)</f>
        <v>0</v>
      </c>
      <c r="AI59" s="250" t="n">
        <f aca="false" t="array" ref="AI59:AI59">IFERROR( MEDIAN((IF(DATOS_[[Sexo]:[Sexo]]=$B59,IF(DATOS_[[AGRUP. CLAS. PROF.]:[AGRUP. CLAS. PROF.]]=$B57,IF(DATOS_[[Check Periodo Ref.]:[Check Periodo Ref.]]="Dentro",DATOS_[Conc.Sal.30]))))), 0)</f>
        <v>0</v>
      </c>
      <c r="AJ59" s="251" t="n">
        <f aca="false" t="array" ref="AJ59:AJ59">IFERROR( MEDIAN(IF(DATOS_[Sexo]=$B59,IF(DATOS_[AGRUP. CLAS. PROF.]=$B57,IF(DATOS_[Check Periodo Ref.]="Dentro",DATOS_[Tot COMPL.SAL Ef],0)))), 0)</f>
        <v>0</v>
      </c>
      <c r="AK59" s="252" t="n">
        <f aca="false" t="array" ref="AK59:AK59">IFERROR( MEDIAN(IF(DATOS_[Sexo]=$B59,IF(DATOS_[AGRUP. CLAS. PROF.]=$B57,IF(DATOS_[Check Periodo Ref.]="Dentro",DATOS_[TOTAL SALARIO Ef],0)))), 0)</f>
        <v>0</v>
      </c>
      <c r="AL59" s="259" t="n">
        <f aca="false" t="array" ref="AL59:AL59">IFERROR( MEDIAN((IF(DATOS_[[Sexo]:[Sexo]]=$B59,IF(DATOS_[[AGRUP. CLAS. PROF.]:[AGRUP. CLAS. PROF.]]=$B57,IF(DATOS_[[Check Periodo Ref.]:[Check Periodo Ref.]]="Dentro",DATOS_[C.Extra.01]))))), 0)</f>
        <v>0</v>
      </c>
      <c r="AM59" s="259" t="n">
        <f aca="false" t="array" ref="AM59:AM59">IFERROR( MEDIAN((IF(DATOS_[[Sexo]:[Sexo]]=$B59,IF(DATOS_[[AGRUP. CLAS. PROF.]:[AGRUP. CLAS. PROF.]]=$B57,IF(DATOS_[[Check Periodo Ref.]:[Check Periodo Ref.]]="Dentro",DATOS_[C.Extra.02]))))), 0)</f>
        <v>0</v>
      </c>
      <c r="AN59" s="259" t="n">
        <f aca="false" t="array" ref="AN59:AN59">IFERROR( MEDIAN((IF(DATOS_[[Sexo]:[Sexo]]=$B59,IF(DATOS_[[AGRUP. CLAS. PROF.]:[AGRUP. CLAS. PROF.]]=$B57,IF(DATOS_[[Check Periodo Ref.]:[Check Periodo Ref.]]="Dentro",DATOS_[C.Extra.03]))))), 0)</f>
        <v>0</v>
      </c>
      <c r="AO59" s="259" t="n">
        <f aca="false" t="array" ref="AO59:AO59">IFERROR( MEDIAN((IF(DATOS_[[Sexo]:[Sexo]]=$B59,IF(DATOS_[[AGRUP. CLAS. PROF.]:[AGRUP. CLAS. PROF.]]=$B57,IF(DATOS_[[Check Periodo Ref.]:[Check Periodo Ref.]]="Dentro",DATOS_[C.Extra.04]))))), 0)</f>
        <v>0</v>
      </c>
      <c r="AP59" s="259" t="n">
        <f aca="false" t="array" ref="AP59:AP59">IFERROR( MEDIAN((IF(DATOS_[[Sexo]:[Sexo]]=$B59,IF(DATOS_[[AGRUP. CLAS. PROF.]:[AGRUP. CLAS. PROF.]]=$B57,IF(DATOS_[[Check Periodo Ref.]:[Check Periodo Ref.]]="Dentro",DATOS_[C.Extra.05]))))), 0)</f>
        <v>0</v>
      </c>
      <c r="AQ59" s="254" t="n">
        <f aca="false" t="array" ref="AQ59:AQ59">IFERROR( MEDIAN(IF(DATOS_[Sexo]=$B59,IF(DATOS_[AGRUP. CLAS. PROF.]=$B57,IF(DATOS_[Check Periodo Ref.]="Dentro",DATOS_[Tot Extrasalarial Ef],0)))), 0)</f>
        <v>0</v>
      </c>
      <c r="AR59" s="255" t="n">
        <f aca="false" t="array" ref="AR59:AR59">IFERROR( MEDIAN(IF(DATOS_[Sexo]=$B59,IF(DATOS_[AGRUP. CLAS. PROF.]=$B57,IF(DATOS_[Check Periodo Ref.]="Dentro",DATOS_[TOTAL Retrib Ef],0)))), 0)</f>
        <v>0</v>
      </c>
    </row>
    <row r="60" customFormat="false" ht="15.75" hidden="false" customHeight="false" outlineLevel="0" collapsed="false">
      <c r="A60" s="217" t="str">
        <f aca="false">+A61</f>
        <v>[ocultar]</v>
      </c>
      <c r="B60" s="235" t="s">
        <v>213</v>
      </c>
      <c r="C60" s="236"/>
      <c r="D60" s="237"/>
      <c r="E60" s="238" t="str">
        <f aca="false">IFERROR((E61-E62)/E61,"")</f>
        <v/>
      </c>
      <c r="F60" s="239" t="str">
        <f aca="false">IFERROR((F61-F62)/F61,"")</f>
        <v/>
      </c>
      <c r="G60" s="239" t="str">
        <f aca="false">IFERROR((G61-G62)/G61,"")</f>
        <v/>
      </c>
      <c r="H60" s="239" t="str">
        <f aca="false">IFERROR((H61-H62)/H61,"")</f>
        <v/>
      </c>
      <c r="I60" s="239"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40" t="str">
        <f aca="false">IFERROR((V61-V62)/V61,"")</f>
        <v/>
      </c>
      <c r="W60" s="240" t="str">
        <f aca="false">IFERROR((W61-W62)/W61,"")</f>
        <v/>
      </c>
      <c r="X60" s="240" t="str">
        <f aca="false">IFERROR((X61-X62)/X61,"")</f>
        <v/>
      </c>
      <c r="Y60" s="240"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1" t="str">
        <f aca="false">IFERROR((AJ61-AJ62)/AJ61,"")</f>
        <v/>
      </c>
      <c r="AK60" s="242" t="str">
        <f aca="false">IFERROR((AK61-AK62)/AK61,"")</f>
        <v/>
      </c>
      <c r="AL60" s="243" t="str">
        <f aca="false">IFERROR((AL61-AL62)/AL61,"")</f>
        <v/>
      </c>
      <c r="AM60" s="243" t="str">
        <f aca="false">IFERROR((AM61-AM62)/AM61,"")</f>
        <v/>
      </c>
      <c r="AN60" s="243" t="str">
        <f aca="false">IFERROR((AN61-AN62)/AN61,"")</f>
        <v/>
      </c>
      <c r="AO60" s="243" t="str">
        <f aca="false">IFERROR((AO61-AO62)/AO61,"")</f>
        <v/>
      </c>
      <c r="AP60" s="243" t="str">
        <f aca="false">IFERROR((AP61-AP62)/AP61,"")</f>
        <v/>
      </c>
      <c r="AQ60" s="244" t="str">
        <f aca="false">IFERROR((AQ61-AQ62)/AQ61,"")</f>
        <v/>
      </c>
      <c r="AR60" s="245" t="str">
        <f aca="false">IFERROR((AR61-AR62)/AR61,"")</f>
        <v/>
      </c>
    </row>
    <row r="61" customFormat="false" ht="14.25" hidden="false" customHeight="false" outlineLevel="0" collapsed="false">
      <c r="A61" s="217" t="str">
        <f aca="false">+IF(C61+C62=0,"[ocultar]","")</f>
        <v>[ocultar]</v>
      </c>
      <c r="B61" s="246" t="s">
        <v>371</v>
      </c>
      <c r="C61" s="247" t="n">
        <f aca="false" t="array" ref="C61:C61">SUM(IF($B61=DATOS_[Sexo], IF($B60=DATOS_[AGRUP. CLAS. PROF.], IF("Dentro"=DATOS_[Check Periodo Ref.], 1/(COUNTIFS(DATOS_[Sexo],$B61,DATOS_[AGRUP. CLAS. PROF.],$B60,DATOS_[Check Periodo Ref.],"Dentro",DATOS_[id],DATOS_[id]))))))</f>
        <v>0</v>
      </c>
      <c r="D61" s="248" t="n">
        <f aca="false">COUNTIFS(DATOS_[AGRUP. CLAS. PROF.],$B60,DATOS_[Sexo],$B61,DATOS_[Check Periodo Ref.],"Dentro")</f>
        <v>0</v>
      </c>
      <c r="E61" s="249" t="n">
        <f aca="false" t="array" ref="E61:E61">IFERROR( MEDIAN(IF(DATOS_[Sexo]=$B61,IF(DATOS_[AGRUP. CLAS. PROF.]=$B60,IF(DATOS_[Check Periodo Ref.]="Dentro",DATOS_[SALARIO BASE Ef],0)))), 0)</f>
        <v>0</v>
      </c>
      <c r="F61" s="250" t="n">
        <f aca="false" t="array" ref="F61:F61">IFERROR( MEDIAN((IF(DATOS_[[Sexo]:[Sexo]]=$B61,IF(DATOS_[[AGRUP. CLAS. PROF.]:[AGRUP. CLAS. PROF.]]=$B60,IF(DATOS_[[Check Periodo Ref.]:[Check Periodo Ref.]]="Dentro",DATOS_[Conc.Sal.01]))))), 0)</f>
        <v>0</v>
      </c>
      <c r="G61" s="250" t="n">
        <f aca="false" t="array" ref="G61:G61">IFERROR( MEDIAN((IF(DATOS_[[Sexo]:[Sexo]]=$B61,IF(DATOS_[[AGRUP. CLAS. PROF.]:[AGRUP. CLAS. PROF.]]=$B60,IF(DATOS_[[Check Periodo Ref.]:[Check Periodo Ref.]]="Dentro",DATOS_[Conc.Sal.02]))))), 0)</f>
        <v>0</v>
      </c>
      <c r="H61" s="250" t="n">
        <f aca="false" t="array" ref="H61:H61">IFERROR( MEDIAN((IF(DATOS_[[Sexo]:[Sexo]]=$B61,IF(DATOS_[[AGRUP. CLAS. PROF.]:[AGRUP. CLAS. PROF.]]=$B60,IF(DATOS_[[Check Periodo Ref.]:[Check Periodo Ref.]]="Dentro",DATOS_[Conc.Sal.03]))))), 0)</f>
        <v>0</v>
      </c>
      <c r="I61" s="250" t="n">
        <f aca="false" t="array" ref="I61:I61">IFERROR( MEDIAN((IF(DATOS_[[Sexo]:[Sexo]]=$B61,IF(DATOS_[[AGRUP. CLAS. PROF.]:[AGRUP. CLAS. PROF.]]=$B60,IF(DATOS_[[Check Periodo Ref.]:[Check Periodo Ref.]]="Dentro",DATOS_[Conc.Sal.04]))))), 0)</f>
        <v>0</v>
      </c>
      <c r="J61" s="250" t="n">
        <f aca="false" t="array" ref="J61:J61">IFERROR( MEDIAN((IF(DATOS_[[Sexo]:[Sexo]]=$B61,IF(DATOS_[[AGRUP. CLAS. PROF.]:[AGRUP. CLAS. PROF.]]=$B60,IF(DATOS_[[Check Periodo Ref.]:[Check Periodo Ref.]]="Dentro",DATOS_[Conc.Sal.05]))))), 0)</f>
        <v>0</v>
      </c>
      <c r="K61" s="250" t="n">
        <f aca="false" t="array" ref="K61:K61">IFERROR( MEDIAN((IF(DATOS_[[Sexo]:[Sexo]]=$B61,IF(DATOS_[[AGRUP. CLAS. PROF.]:[AGRUP. CLAS. PROF.]]=$B60,IF(DATOS_[[Check Periodo Ref.]:[Check Periodo Ref.]]="Dentro",DATOS_[Conc.Sal.06]))))), 0)</f>
        <v>0</v>
      </c>
      <c r="L61" s="250" t="n">
        <f aca="false" t="array" ref="L61:L61">IFERROR( MEDIAN((IF(DATOS_[[Sexo]:[Sexo]]=$B61,IF(DATOS_[[AGRUP. CLAS. PROF.]:[AGRUP. CLAS. PROF.]]=$B60,IF(DATOS_[[Check Periodo Ref.]:[Check Periodo Ref.]]="Dentro",DATOS_[Conc.Sal.07]))))), 0)</f>
        <v>0</v>
      </c>
      <c r="M61" s="250" t="n">
        <f aca="false" t="array" ref="M61:M61">IFERROR( MEDIAN((IF(DATOS_[[Sexo]:[Sexo]]=$B61,IF(DATOS_[[AGRUP. CLAS. PROF.]:[AGRUP. CLAS. PROF.]]=$B60,IF(DATOS_[[Check Periodo Ref.]:[Check Periodo Ref.]]="Dentro",DATOS_[Conc.Sal.08]))))), 0)</f>
        <v>0</v>
      </c>
      <c r="N61" s="250" t="n">
        <f aca="false" t="array" ref="N61:N61">IFERROR( MEDIAN((IF(DATOS_[[Sexo]:[Sexo]]=$B61,IF(DATOS_[[AGRUP. CLAS. PROF.]:[AGRUP. CLAS. PROF.]]=$B60,IF(DATOS_[[Check Periodo Ref.]:[Check Periodo Ref.]]="Dentro",DATOS_[Conc.Sal.09]))))), 0)</f>
        <v>0</v>
      </c>
      <c r="O61" s="250" t="n">
        <f aca="false" t="array" ref="O61:O61">IFERROR( MEDIAN((IF(DATOS_[[Sexo]:[Sexo]]=$B61,IF(DATOS_[[AGRUP. CLAS. PROF.]:[AGRUP. CLAS. PROF.]]=$B60,IF(DATOS_[[Check Periodo Ref.]:[Check Periodo Ref.]]="Dentro",DATOS_[Conc.Sal.10]))))), 0)</f>
        <v>0</v>
      </c>
      <c r="P61" s="250" t="n">
        <f aca="false" t="array" ref="P61:P61">IFERROR( MEDIAN((IF(DATOS_[[Sexo]:[Sexo]]=$B61,IF(DATOS_[[AGRUP. CLAS. PROF.]:[AGRUP. CLAS. PROF.]]=$B60,IF(DATOS_[[Check Periodo Ref.]:[Check Periodo Ref.]]="Dentro",DATOS_[Conc.Sal.11]))))), 0)</f>
        <v>0</v>
      </c>
      <c r="Q61" s="250" t="n">
        <f aca="false" t="array" ref="Q61:Q61">IFERROR( MEDIAN((IF(DATOS_[[Sexo]:[Sexo]]=$B61,IF(DATOS_[[AGRUP. CLAS. PROF.]:[AGRUP. CLAS. PROF.]]=$B60,IF(DATOS_[[Check Periodo Ref.]:[Check Periodo Ref.]]="Dentro",DATOS_[Conc.Sal.12]))))), 0)</f>
        <v>0</v>
      </c>
      <c r="R61" s="250" t="n">
        <f aca="false" t="array" ref="R61:R61">IFERROR( MEDIAN((IF(DATOS_[[Sexo]:[Sexo]]=$B61,IF(DATOS_[[AGRUP. CLAS. PROF.]:[AGRUP. CLAS. PROF.]]=$B60,IF(DATOS_[[Check Periodo Ref.]:[Check Periodo Ref.]]="Dentro",DATOS_[Conc.Sal.13]))))), 0)</f>
        <v>0</v>
      </c>
      <c r="S61" s="250" t="n">
        <f aca="false" t="array" ref="S61:S61">IFERROR( MEDIAN((IF(DATOS_[[Sexo]:[Sexo]]=$B61,IF(DATOS_[[AGRUP. CLAS. PROF.]:[AGRUP. CLAS. PROF.]]=$B60,IF(DATOS_[[Check Periodo Ref.]:[Check Periodo Ref.]]="Dentro",DATOS_[Conc.Sal.14]))))), 0)</f>
        <v>0</v>
      </c>
      <c r="T61" s="250" t="n">
        <f aca="false" t="array" ref="T61:T61">IFERROR( MEDIAN((IF(DATOS_[[Sexo]:[Sexo]]=$B61,IF(DATOS_[[AGRUP. CLAS. PROF.]:[AGRUP. CLAS. PROF.]]=$B60,IF(DATOS_[[Check Periodo Ref.]:[Check Periodo Ref.]]="Dentro",DATOS_[Conc.Sal.15]))))), 0)</f>
        <v>0</v>
      </c>
      <c r="U61" s="250" t="n">
        <f aca="false" t="array" ref="U61:U61">IFERROR( MEDIAN((IF(DATOS_[[Sexo]:[Sexo]]=$B61,IF(DATOS_[[AGRUP. CLAS. PROF.]:[AGRUP. CLAS. PROF.]]=$B60,IF(DATOS_[[Check Periodo Ref.]:[Check Periodo Ref.]]="Dentro",DATOS_[Conc.Sal.16]))))), 0)</f>
        <v>0</v>
      </c>
      <c r="V61" s="250" t="n">
        <f aca="false" t="array" ref="V61:V61">IFERROR( MEDIAN((IF(DATOS_[[Sexo]:[Sexo]]=$B61,IF(DATOS_[[AGRUP. CLAS. PROF.]:[AGRUP. CLAS. PROF.]]=$B60,IF(DATOS_[[Check Periodo Ref.]:[Check Periodo Ref.]]="Dentro",DATOS_[Conc.Sal.17]))))), 0)</f>
        <v>0</v>
      </c>
      <c r="W61" s="250" t="n">
        <f aca="false" t="array" ref="W61:W61">IFERROR( MEDIAN((IF(DATOS_[[Sexo]:[Sexo]]=$B61,IF(DATOS_[[AGRUP. CLAS. PROF.]:[AGRUP. CLAS. PROF.]]=$B60,IF(DATOS_[[Check Periodo Ref.]:[Check Periodo Ref.]]="Dentro",DATOS_[Conc.Sal.18]))))), 0)</f>
        <v>0</v>
      </c>
      <c r="X61" s="250" t="n">
        <f aca="false" t="array" ref="X61:X61">IFERROR( MEDIAN((IF(DATOS_[[Sexo]:[Sexo]]=$B61,IF(DATOS_[[AGRUP. CLAS. PROF.]:[AGRUP. CLAS. PROF.]]=$B60,IF(DATOS_[[Check Periodo Ref.]:[Check Periodo Ref.]]="Dentro",DATOS_[Conc.Sal.19]))))), 0)</f>
        <v>0</v>
      </c>
      <c r="Y61" s="250" t="n">
        <f aca="false" t="array" ref="Y61:Y61">IFERROR( MEDIAN((IF(DATOS_[[Sexo]:[Sexo]]=$B61,IF(DATOS_[[AGRUP. CLAS. PROF.]:[AGRUP. CLAS. PROF.]]=$B60,IF(DATOS_[[Check Periodo Ref.]:[Check Periodo Ref.]]="Dentro",DATOS_[Conc.Sal.20]))))), 0)</f>
        <v>0</v>
      </c>
      <c r="Z61" s="250" t="n">
        <f aca="false" t="array" ref="Z61:Z61">IFERROR( MEDIAN((IF(DATOS_[[Sexo]:[Sexo]]=$B61,IF(DATOS_[[AGRUP. CLAS. PROF.]:[AGRUP. CLAS. PROF.]]=$B60,IF(DATOS_[[Check Periodo Ref.]:[Check Periodo Ref.]]="Dentro",DATOS_[Conc.Sal.21]))))), 0)</f>
        <v>0</v>
      </c>
      <c r="AA61" s="250" t="n">
        <f aca="false" t="array" ref="AA61:AA61">IFERROR( MEDIAN((IF(DATOS_[[Sexo]:[Sexo]]=$B61,IF(DATOS_[[AGRUP. CLAS. PROF.]:[AGRUP. CLAS. PROF.]]=$B60,IF(DATOS_[[Check Periodo Ref.]:[Check Periodo Ref.]]="Dentro",DATOS_[Conc.Sal.22]))))), 0)</f>
        <v>0</v>
      </c>
      <c r="AB61" s="250" t="n">
        <f aca="false" t="array" ref="AB61:AB61">IFERROR( MEDIAN((IF(DATOS_[[Sexo]:[Sexo]]=$B61,IF(DATOS_[[AGRUP. CLAS. PROF.]:[AGRUP. CLAS. PROF.]]=$B60,IF(DATOS_[[Check Periodo Ref.]:[Check Periodo Ref.]]="Dentro",DATOS_[Conc.Sal.23]))))), 0)</f>
        <v>0</v>
      </c>
      <c r="AC61" s="250" t="n">
        <f aca="false" t="array" ref="AC61:AC61">IFERROR( MEDIAN((IF(DATOS_[[Sexo]:[Sexo]]=$B61,IF(DATOS_[[AGRUP. CLAS. PROF.]:[AGRUP. CLAS. PROF.]]=$B60,IF(DATOS_[[Check Periodo Ref.]:[Check Periodo Ref.]]="Dentro",DATOS_[Conc.Sal.24]))))), 0)</f>
        <v>0</v>
      </c>
      <c r="AD61" s="250" t="n">
        <f aca="false" t="array" ref="AD61:AD61">IFERROR( MEDIAN((IF(DATOS_[[Sexo]:[Sexo]]=$B61,IF(DATOS_[[AGRUP. CLAS. PROF.]:[AGRUP. CLAS. PROF.]]=$B60,IF(DATOS_[[Check Periodo Ref.]:[Check Periodo Ref.]]="Dentro",DATOS_[Conc.Sal.25]))))), 0)</f>
        <v>0</v>
      </c>
      <c r="AE61" s="250" t="n">
        <f aca="false" t="array" ref="AE61:AE61">IFERROR( MEDIAN((IF(DATOS_[[Sexo]:[Sexo]]=$B61,IF(DATOS_[[AGRUP. CLAS. PROF.]:[AGRUP. CLAS. PROF.]]=$B60,IF(DATOS_[[Check Periodo Ref.]:[Check Periodo Ref.]]="Dentro",DATOS_[Conc.Sal.26]))))), 0)</f>
        <v>0</v>
      </c>
      <c r="AF61" s="250" t="n">
        <f aca="false" t="array" ref="AF61:AF61">IFERROR( MEDIAN((IF(DATOS_[[Sexo]:[Sexo]]=$B61,IF(DATOS_[[AGRUP. CLAS. PROF.]:[AGRUP. CLAS. PROF.]]=$B60,IF(DATOS_[[Check Periodo Ref.]:[Check Periodo Ref.]]="Dentro",DATOS_[Conc.Sal.27]))))), 0)</f>
        <v>0</v>
      </c>
      <c r="AG61" s="250" t="n">
        <f aca="false" t="array" ref="AG61:AG61">IFERROR( MEDIAN((IF(DATOS_[[Sexo]:[Sexo]]=$B61,IF(DATOS_[[AGRUP. CLAS. PROF.]:[AGRUP. CLAS. PROF.]]=$B60,IF(DATOS_[[Check Periodo Ref.]:[Check Periodo Ref.]]="Dentro",DATOS_[Conc.Sal.28]))))), 0)</f>
        <v>0</v>
      </c>
      <c r="AH61" s="250" t="n">
        <f aca="false" t="array" ref="AH61:AH61">IFERROR( MEDIAN((IF(DATOS_[[Sexo]:[Sexo]]=$B61,IF(DATOS_[[AGRUP. CLAS. PROF.]:[AGRUP. CLAS. PROF.]]=$B60,IF(DATOS_[[Check Periodo Ref.]:[Check Periodo Ref.]]="Dentro",DATOS_[Conc.Sal.29]))))), 0)</f>
        <v>0</v>
      </c>
      <c r="AI61" s="250" t="n">
        <f aca="false" t="array" ref="AI61:AI61">IFERROR( MEDIAN((IF(DATOS_[[Sexo]:[Sexo]]=$B61,IF(DATOS_[[AGRUP. CLAS. PROF.]:[AGRUP. CLAS. PROF.]]=$B60,IF(DATOS_[[Check Periodo Ref.]:[Check Periodo Ref.]]="Dentro",DATOS_[Conc.Sal.30]))))), 0)</f>
        <v>0</v>
      </c>
      <c r="AJ61" s="251" t="n">
        <f aca="false" t="array" ref="AJ61:AJ61">IFERROR( MEDIAN(IF(DATOS_[Sexo]=$B61,IF(DATOS_[AGRUP. CLAS. PROF.]=$B60,IF(DATOS_[Check Periodo Ref.]="Dentro",DATOS_[Tot COMPL.SAL Ef],0)))), 0)</f>
        <v>0</v>
      </c>
      <c r="AK61" s="252" t="n">
        <f aca="false" t="array" ref="AK61:AK61">IFERROR( MEDIAN(IF(DATOS_[Sexo]=$B61,IF(DATOS_[AGRUP. CLAS. PROF.]=$B60,IF(DATOS_[Check Periodo Ref.]="Dentro",DATOS_[TOTAL SALARIO Ef],0)))), 0)</f>
        <v>0</v>
      </c>
      <c r="AL61" s="259" t="n">
        <f aca="false" t="array" ref="AL61:AL61">IFERROR( MEDIAN((IF(DATOS_[[Sexo]:[Sexo]]=$B61,IF(DATOS_[[AGRUP. CLAS. PROF.]:[AGRUP. CLAS. PROF.]]=$B60,IF(DATOS_[[Check Periodo Ref.]:[Check Periodo Ref.]]="Dentro",DATOS_[C.Extra.01]))))), 0)</f>
        <v>0</v>
      </c>
      <c r="AM61" s="259" t="n">
        <f aca="false" t="array" ref="AM61:AM61">IFERROR( MEDIAN((IF(DATOS_[[Sexo]:[Sexo]]=$B61,IF(DATOS_[[AGRUP. CLAS. PROF.]:[AGRUP. CLAS. PROF.]]=$B60,IF(DATOS_[[Check Periodo Ref.]:[Check Periodo Ref.]]="Dentro",DATOS_[C.Extra.02]))))), 0)</f>
        <v>0</v>
      </c>
      <c r="AN61" s="259" t="n">
        <f aca="false" t="array" ref="AN61:AN61">IFERROR( MEDIAN((IF(DATOS_[[Sexo]:[Sexo]]=$B61,IF(DATOS_[[AGRUP. CLAS. PROF.]:[AGRUP. CLAS. PROF.]]=$B60,IF(DATOS_[[Check Periodo Ref.]:[Check Periodo Ref.]]="Dentro",DATOS_[C.Extra.03]))))), 0)</f>
        <v>0</v>
      </c>
      <c r="AO61" s="259" t="n">
        <f aca="false" t="array" ref="AO61:AO61">IFERROR( MEDIAN((IF(DATOS_[[Sexo]:[Sexo]]=$B61,IF(DATOS_[[AGRUP. CLAS. PROF.]:[AGRUP. CLAS. PROF.]]=$B60,IF(DATOS_[[Check Periodo Ref.]:[Check Periodo Ref.]]="Dentro",DATOS_[C.Extra.04]))))), 0)</f>
        <v>0</v>
      </c>
      <c r="AP61" s="259" t="n">
        <f aca="false" t="array" ref="AP61:AP61">IFERROR( MEDIAN((IF(DATOS_[[Sexo]:[Sexo]]=$B61,IF(DATOS_[[AGRUP. CLAS. PROF.]:[AGRUP. CLAS. PROF.]]=$B60,IF(DATOS_[[Check Periodo Ref.]:[Check Periodo Ref.]]="Dentro",DATOS_[C.Extra.05]))))), 0)</f>
        <v>0</v>
      </c>
      <c r="AQ61" s="254" t="n">
        <f aca="false" t="array" ref="AQ61:AQ61">IFERROR( MEDIAN(IF(DATOS_[Sexo]=$B61,IF(DATOS_[AGRUP. CLAS. PROF.]=$B60,IF(DATOS_[Check Periodo Ref.]="Dentro",DATOS_[Tot Extrasalarial Ef],0)))), 0)</f>
        <v>0</v>
      </c>
      <c r="AR61" s="255" t="n">
        <f aca="false" t="array" ref="AR61:AR61">IFERROR( MEDIAN(IF(DATOS_[Sexo]=$B61,IF(DATOS_[AGRUP. CLAS. PROF.]=$B60,IF(DATOS_[Check Periodo Ref.]="Dentro",DATOS_[TOTAL Retrib Ef],0)))), 0)</f>
        <v>0</v>
      </c>
    </row>
    <row r="62" customFormat="false" ht="14.25" hidden="false" customHeight="false" outlineLevel="0" collapsed="false">
      <c r="A62" s="217" t="str">
        <f aca="false">+A61</f>
        <v>[ocultar]</v>
      </c>
      <c r="B62" s="246" t="s">
        <v>372</v>
      </c>
      <c r="C62" s="247" t="n">
        <f aca="false" t="array" ref="C62:C62">SUM(IF($B62=DATOS_[Sexo], IF($B60=DATOS_[AGRUP. CLAS. PROF.], IF("Dentro"=DATOS_[Check Periodo Ref.], 1/(COUNTIFS(DATOS_[Sexo],$B62,DATOS_[AGRUP. CLAS. PROF.],$B60,DATOS_[Check Periodo Ref.],"Dentro",DATOS_[id],DATOS_[id]))))))</f>
        <v>0</v>
      </c>
      <c r="D62" s="248" t="n">
        <f aca="false">COUNTIFS(DATOS_[AGRUP. CLAS. PROF.],$B60,DATOS_[Sexo],$B62,DATOS_[Check Periodo Ref.],"Dentro")</f>
        <v>0</v>
      </c>
      <c r="E62" s="249" t="n">
        <f aca="false" t="array" ref="E62:E62">IFERROR( MEDIAN(IF(DATOS_[Sexo]=$B62,IF(DATOS_[AGRUP. CLAS. PROF.]=$B60,IF(DATOS_[Check Periodo Ref.]="Dentro",DATOS_[SALARIO BASE Ef],0)))), 0)</f>
        <v>0</v>
      </c>
      <c r="F62" s="250" t="n">
        <f aca="false" t="array" ref="F62:F62">IFERROR( MEDIAN((IF(DATOS_[[Sexo]:[Sexo]]=$B62,IF(DATOS_[[AGRUP. CLAS. PROF.]:[AGRUP. CLAS. PROF.]]=$B60,IF(DATOS_[[Check Periodo Ref.]:[Check Periodo Ref.]]="Dentro",DATOS_[Conc.Sal.01]))))), 0)</f>
        <v>0</v>
      </c>
      <c r="G62" s="250" t="n">
        <f aca="false" t="array" ref="G62:G62">IFERROR( MEDIAN((IF(DATOS_[[Sexo]:[Sexo]]=$B62,IF(DATOS_[[AGRUP. CLAS. PROF.]:[AGRUP. CLAS. PROF.]]=$B60,IF(DATOS_[[Check Periodo Ref.]:[Check Periodo Ref.]]="Dentro",DATOS_[Conc.Sal.02]))))), 0)</f>
        <v>0</v>
      </c>
      <c r="H62" s="250" t="n">
        <f aca="false" t="array" ref="H62:H62">IFERROR( MEDIAN((IF(DATOS_[[Sexo]:[Sexo]]=$B62,IF(DATOS_[[AGRUP. CLAS. PROF.]:[AGRUP. CLAS. PROF.]]=$B60,IF(DATOS_[[Check Periodo Ref.]:[Check Periodo Ref.]]="Dentro",DATOS_[Conc.Sal.03]))))), 0)</f>
        <v>0</v>
      </c>
      <c r="I62" s="250" t="n">
        <f aca="false" t="array" ref="I62:I62">IFERROR( MEDIAN((IF(DATOS_[[Sexo]:[Sexo]]=$B62,IF(DATOS_[[AGRUP. CLAS. PROF.]:[AGRUP. CLAS. PROF.]]=$B60,IF(DATOS_[[Check Periodo Ref.]:[Check Periodo Ref.]]="Dentro",DATOS_[Conc.Sal.04]))))), 0)</f>
        <v>0</v>
      </c>
      <c r="J62" s="250" t="n">
        <f aca="false" t="array" ref="J62:J62">IFERROR( MEDIAN((IF(DATOS_[[Sexo]:[Sexo]]=$B62,IF(DATOS_[[AGRUP. CLAS. PROF.]:[AGRUP. CLAS. PROF.]]=$B60,IF(DATOS_[[Check Periodo Ref.]:[Check Periodo Ref.]]="Dentro",DATOS_[Conc.Sal.05]))))), 0)</f>
        <v>0</v>
      </c>
      <c r="K62" s="250" t="n">
        <f aca="false" t="array" ref="K62:K62">IFERROR( MEDIAN((IF(DATOS_[[Sexo]:[Sexo]]=$B62,IF(DATOS_[[AGRUP. CLAS. PROF.]:[AGRUP. CLAS. PROF.]]=$B60,IF(DATOS_[[Check Periodo Ref.]:[Check Periodo Ref.]]="Dentro",DATOS_[Conc.Sal.06]))))), 0)</f>
        <v>0</v>
      </c>
      <c r="L62" s="250" t="n">
        <f aca="false" t="array" ref="L62:L62">IFERROR( MEDIAN((IF(DATOS_[[Sexo]:[Sexo]]=$B62,IF(DATOS_[[AGRUP. CLAS. PROF.]:[AGRUP. CLAS. PROF.]]=$B60,IF(DATOS_[[Check Periodo Ref.]:[Check Periodo Ref.]]="Dentro",DATOS_[Conc.Sal.07]))))), 0)</f>
        <v>0</v>
      </c>
      <c r="M62" s="250" t="n">
        <f aca="false" t="array" ref="M62:M62">IFERROR( MEDIAN((IF(DATOS_[[Sexo]:[Sexo]]=$B62,IF(DATOS_[[AGRUP. CLAS. PROF.]:[AGRUP. CLAS. PROF.]]=$B60,IF(DATOS_[[Check Periodo Ref.]:[Check Periodo Ref.]]="Dentro",DATOS_[Conc.Sal.08]))))), 0)</f>
        <v>0</v>
      </c>
      <c r="N62" s="250" t="n">
        <f aca="false" t="array" ref="N62:N62">IFERROR( MEDIAN((IF(DATOS_[[Sexo]:[Sexo]]=$B62,IF(DATOS_[[AGRUP. CLAS. PROF.]:[AGRUP. CLAS. PROF.]]=$B60,IF(DATOS_[[Check Periodo Ref.]:[Check Periodo Ref.]]="Dentro",DATOS_[Conc.Sal.09]))))), 0)</f>
        <v>0</v>
      </c>
      <c r="O62" s="250" t="n">
        <f aca="false" t="array" ref="O62:O62">IFERROR( MEDIAN((IF(DATOS_[[Sexo]:[Sexo]]=$B62,IF(DATOS_[[AGRUP. CLAS. PROF.]:[AGRUP. CLAS. PROF.]]=$B60,IF(DATOS_[[Check Periodo Ref.]:[Check Periodo Ref.]]="Dentro",DATOS_[Conc.Sal.10]))))), 0)</f>
        <v>0</v>
      </c>
      <c r="P62" s="250" t="n">
        <f aca="false" t="array" ref="P62:P62">IFERROR( MEDIAN((IF(DATOS_[[Sexo]:[Sexo]]=$B62,IF(DATOS_[[AGRUP. CLAS. PROF.]:[AGRUP. CLAS. PROF.]]=$B60,IF(DATOS_[[Check Periodo Ref.]:[Check Periodo Ref.]]="Dentro",DATOS_[Conc.Sal.11]))))), 0)</f>
        <v>0</v>
      </c>
      <c r="Q62" s="250" t="n">
        <f aca="false" t="array" ref="Q62:Q62">IFERROR( MEDIAN((IF(DATOS_[[Sexo]:[Sexo]]=$B62,IF(DATOS_[[AGRUP. CLAS. PROF.]:[AGRUP. CLAS. PROF.]]=$B60,IF(DATOS_[[Check Periodo Ref.]:[Check Periodo Ref.]]="Dentro",DATOS_[Conc.Sal.12]))))), 0)</f>
        <v>0</v>
      </c>
      <c r="R62" s="250" t="n">
        <f aca="false" t="array" ref="R62:R62">IFERROR( MEDIAN((IF(DATOS_[[Sexo]:[Sexo]]=$B62,IF(DATOS_[[AGRUP. CLAS. PROF.]:[AGRUP. CLAS. PROF.]]=$B60,IF(DATOS_[[Check Periodo Ref.]:[Check Periodo Ref.]]="Dentro",DATOS_[Conc.Sal.13]))))), 0)</f>
        <v>0</v>
      </c>
      <c r="S62" s="250" t="n">
        <f aca="false" t="array" ref="S62:S62">IFERROR( MEDIAN((IF(DATOS_[[Sexo]:[Sexo]]=$B62,IF(DATOS_[[AGRUP. CLAS. PROF.]:[AGRUP. CLAS. PROF.]]=$B60,IF(DATOS_[[Check Periodo Ref.]:[Check Periodo Ref.]]="Dentro",DATOS_[Conc.Sal.14]))))), 0)</f>
        <v>0</v>
      </c>
      <c r="T62" s="250" t="n">
        <f aca="false" t="array" ref="T62:T62">IFERROR( MEDIAN((IF(DATOS_[[Sexo]:[Sexo]]=$B62,IF(DATOS_[[AGRUP. CLAS. PROF.]:[AGRUP. CLAS. PROF.]]=$B60,IF(DATOS_[[Check Periodo Ref.]:[Check Periodo Ref.]]="Dentro",DATOS_[Conc.Sal.15]))))), 0)</f>
        <v>0</v>
      </c>
      <c r="U62" s="250" t="n">
        <f aca="false" t="array" ref="U62:U62">IFERROR( MEDIAN((IF(DATOS_[[Sexo]:[Sexo]]=$B62,IF(DATOS_[[AGRUP. CLAS. PROF.]:[AGRUP. CLAS. PROF.]]=$B60,IF(DATOS_[[Check Periodo Ref.]:[Check Periodo Ref.]]="Dentro",DATOS_[Conc.Sal.16]))))), 0)</f>
        <v>0</v>
      </c>
      <c r="V62" s="250" t="n">
        <f aca="false" t="array" ref="V62:V62">IFERROR( MEDIAN((IF(DATOS_[[Sexo]:[Sexo]]=$B62,IF(DATOS_[[AGRUP. CLAS. PROF.]:[AGRUP. CLAS. PROF.]]=$B60,IF(DATOS_[[Check Periodo Ref.]:[Check Periodo Ref.]]="Dentro",DATOS_[Conc.Sal.17]))))), 0)</f>
        <v>0</v>
      </c>
      <c r="W62" s="250" t="n">
        <f aca="false" t="array" ref="W62:W62">IFERROR( MEDIAN((IF(DATOS_[[Sexo]:[Sexo]]=$B62,IF(DATOS_[[AGRUP. CLAS. PROF.]:[AGRUP. CLAS. PROF.]]=$B60,IF(DATOS_[[Check Periodo Ref.]:[Check Periodo Ref.]]="Dentro",DATOS_[Conc.Sal.18]))))), 0)</f>
        <v>0</v>
      </c>
      <c r="X62" s="250" t="n">
        <f aca="false" t="array" ref="X62:X62">IFERROR( MEDIAN((IF(DATOS_[[Sexo]:[Sexo]]=$B62,IF(DATOS_[[AGRUP. CLAS. PROF.]:[AGRUP. CLAS. PROF.]]=$B60,IF(DATOS_[[Check Periodo Ref.]:[Check Periodo Ref.]]="Dentro",DATOS_[Conc.Sal.19]))))), 0)</f>
        <v>0</v>
      </c>
      <c r="Y62" s="250" t="n">
        <f aca="false" t="array" ref="Y62:Y62">IFERROR( MEDIAN((IF(DATOS_[[Sexo]:[Sexo]]=$B62,IF(DATOS_[[AGRUP. CLAS. PROF.]:[AGRUP. CLAS. PROF.]]=$B60,IF(DATOS_[[Check Periodo Ref.]:[Check Periodo Ref.]]="Dentro",DATOS_[Conc.Sal.20]))))), 0)</f>
        <v>0</v>
      </c>
      <c r="Z62" s="250" t="n">
        <f aca="false" t="array" ref="Z62:Z62">IFERROR( MEDIAN((IF(DATOS_[[Sexo]:[Sexo]]=$B62,IF(DATOS_[[AGRUP. CLAS. PROF.]:[AGRUP. CLAS. PROF.]]=$B60,IF(DATOS_[[Check Periodo Ref.]:[Check Periodo Ref.]]="Dentro",DATOS_[Conc.Sal.21]))))), 0)</f>
        <v>0</v>
      </c>
      <c r="AA62" s="250" t="n">
        <f aca="false" t="array" ref="AA62:AA62">IFERROR( MEDIAN((IF(DATOS_[[Sexo]:[Sexo]]=$B62,IF(DATOS_[[AGRUP. CLAS. PROF.]:[AGRUP. CLAS. PROF.]]=$B60,IF(DATOS_[[Check Periodo Ref.]:[Check Periodo Ref.]]="Dentro",DATOS_[Conc.Sal.22]))))), 0)</f>
        <v>0</v>
      </c>
      <c r="AB62" s="250" t="n">
        <f aca="false" t="array" ref="AB62:AB62">IFERROR( MEDIAN((IF(DATOS_[[Sexo]:[Sexo]]=$B62,IF(DATOS_[[AGRUP. CLAS. PROF.]:[AGRUP. CLAS. PROF.]]=$B60,IF(DATOS_[[Check Periodo Ref.]:[Check Periodo Ref.]]="Dentro",DATOS_[Conc.Sal.23]))))), 0)</f>
        <v>0</v>
      </c>
      <c r="AC62" s="250" t="n">
        <f aca="false" t="array" ref="AC62:AC62">IFERROR( MEDIAN((IF(DATOS_[[Sexo]:[Sexo]]=$B62,IF(DATOS_[[AGRUP. CLAS. PROF.]:[AGRUP. CLAS. PROF.]]=$B60,IF(DATOS_[[Check Periodo Ref.]:[Check Periodo Ref.]]="Dentro",DATOS_[Conc.Sal.24]))))), 0)</f>
        <v>0</v>
      </c>
      <c r="AD62" s="250" t="n">
        <f aca="false" t="array" ref="AD62:AD62">IFERROR( MEDIAN((IF(DATOS_[[Sexo]:[Sexo]]=$B62,IF(DATOS_[[AGRUP. CLAS. PROF.]:[AGRUP. CLAS. PROF.]]=$B60,IF(DATOS_[[Check Periodo Ref.]:[Check Periodo Ref.]]="Dentro",DATOS_[Conc.Sal.25]))))), 0)</f>
        <v>0</v>
      </c>
      <c r="AE62" s="250" t="n">
        <f aca="false" t="array" ref="AE62:AE62">IFERROR( MEDIAN((IF(DATOS_[[Sexo]:[Sexo]]=$B62,IF(DATOS_[[AGRUP. CLAS. PROF.]:[AGRUP. CLAS. PROF.]]=$B60,IF(DATOS_[[Check Periodo Ref.]:[Check Periodo Ref.]]="Dentro",DATOS_[Conc.Sal.26]))))), 0)</f>
        <v>0</v>
      </c>
      <c r="AF62" s="250" t="n">
        <f aca="false" t="array" ref="AF62:AF62">IFERROR( MEDIAN((IF(DATOS_[[Sexo]:[Sexo]]=$B62,IF(DATOS_[[AGRUP. CLAS. PROF.]:[AGRUP. CLAS. PROF.]]=$B60,IF(DATOS_[[Check Periodo Ref.]:[Check Periodo Ref.]]="Dentro",DATOS_[Conc.Sal.27]))))), 0)</f>
        <v>0</v>
      </c>
      <c r="AG62" s="250" t="n">
        <f aca="false" t="array" ref="AG62:AG62">IFERROR( MEDIAN((IF(DATOS_[[Sexo]:[Sexo]]=$B62,IF(DATOS_[[AGRUP. CLAS. PROF.]:[AGRUP. CLAS. PROF.]]=$B60,IF(DATOS_[[Check Periodo Ref.]:[Check Periodo Ref.]]="Dentro",DATOS_[Conc.Sal.28]))))), 0)</f>
        <v>0</v>
      </c>
      <c r="AH62" s="250" t="n">
        <f aca="false" t="array" ref="AH62:AH62">IFERROR( MEDIAN((IF(DATOS_[[Sexo]:[Sexo]]=$B62,IF(DATOS_[[AGRUP. CLAS. PROF.]:[AGRUP. CLAS. PROF.]]=$B60,IF(DATOS_[[Check Periodo Ref.]:[Check Periodo Ref.]]="Dentro",DATOS_[Conc.Sal.29]))))), 0)</f>
        <v>0</v>
      </c>
      <c r="AI62" s="250" t="n">
        <f aca="false" t="array" ref="AI62:AI62">IFERROR( MEDIAN((IF(DATOS_[[Sexo]:[Sexo]]=$B62,IF(DATOS_[[AGRUP. CLAS. PROF.]:[AGRUP. CLAS. PROF.]]=$B60,IF(DATOS_[[Check Periodo Ref.]:[Check Periodo Ref.]]="Dentro",DATOS_[Conc.Sal.30]))))), 0)</f>
        <v>0</v>
      </c>
      <c r="AJ62" s="251" t="n">
        <f aca="false" t="array" ref="AJ62:AJ62">IFERROR( MEDIAN(IF(DATOS_[Sexo]=$B62,IF(DATOS_[AGRUP. CLAS. PROF.]=$B60,IF(DATOS_[Check Periodo Ref.]="Dentro",DATOS_[Tot COMPL.SAL Ef],0)))), 0)</f>
        <v>0</v>
      </c>
      <c r="AK62" s="252" t="n">
        <f aca="false" t="array" ref="AK62:AK62">IFERROR( MEDIAN(IF(DATOS_[Sexo]=$B62,IF(DATOS_[AGRUP. CLAS. PROF.]=$B60,IF(DATOS_[Check Periodo Ref.]="Dentro",DATOS_[TOTAL SALARIO Ef],0)))), 0)</f>
        <v>0</v>
      </c>
      <c r="AL62" s="259" t="n">
        <f aca="false" t="array" ref="AL62:AL62">IFERROR( MEDIAN((IF(DATOS_[[Sexo]:[Sexo]]=$B62,IF(DATOS_[[AGRUP. CLAS. PROF.]:[AGRUP. CLAS. PROF.]]=$B60,IF(DATOS_[[Check Periodo Ref.]:[Check Periodo Ref.]]="Dentro",DATOS_[C.Extra.01]))))), 0)</f>
        <v>0</v>
      </c>
      <c r="AM62" s="259" t="n">
        <f aca="false" t="array" ref="AM62:AM62">IFERROR( MEDIAN((IF(DATOS_[[Sexo]:[Sexo]]=$B62,IF(DATOS_[[AGRUP. CLAS. PROF.]:[AGRUP. CLAS. PROF.]]=$B60,IF(DATOS_[[Check Periodo Ref.]:[Check Periodo Ref.]]="Dentro",DATOS_[C.Extra.02]))))), 0)</f>
        <v>0</v>
      </c>
      <c r="AN62" s="259" t="n">
        <f aca="false" t="array" ref="AN62:AN62">IFERROR( MEDIAN((IF(DATOS_[[Sexo]:[Sexo]]=$B62,IF(DATOS_[[AGRUP. CLAS. PROF.]:[AGRUP. CLAS. PROF.]]=$B60,IF(DATOS_[[Check Periodo Ref.]:[Check Periodo Ref.]]="Dentro",DATOS_[C.Extra.03]))))), 0)</f>
        <v>0</v>
      </c>
      <c r="AO62" s="259" t="n">
        <f aca="false" t="array" ref="AO62:AO62">IFERROR( MEDIAN((IF(DATOS_[[Sexo]:[Sexo]]=$B62,IF(DATOS_[[AGRUP. CLAS. PROF.]:[AGRUP. CLAS. PROF.]]=$B60,IF(DATOS_[[Check Periodo Ref.]:[Check Periodo Ref.]]="Dentro",DATOS_[C.Extra.04]))))), 0)</f>
        <v>0</v>
      </c>
      <c r="AP62" s="259" t="n">
        <f aca="false" t="array" ref="AP62:AP62">IFERROR( MEDIAN((IF(DATOS_[[Sexo]:[Sexo]]=$B62,IF(DATOS_[[AGRUP. CLAS. PROF.]:[AGRUP. CLAS. PROF.]]=$B60,IF(DATOS_[[Check Periodo Ref.]:[Check Periodo Ref.]]="Dentro",DATOS_[C.Extra.05]))))), 0)</f>
        <v>0</v>
      </c>
      <c r="AQ62" s="254" t="n">
        <f aca="false" t="array" ref="AQ62:AQ62">IFERROR( MEDIAN(IF(DATOS_[Sexo]=$B62,IF(DATOS_[AGRUP. CLAS. PROF.]=$B60,IF(DATOS_[Check Periodo Ref.]="Dentro",DATOS_[Tot Extrasalarial Ef],0)))), 0)</f>
        <v>0</v>
      </c>
      <c r="AR62" s="255" t="n">
        <f aca="false" t="array" ref="AR62:AR62">IFERROR( MEDIAN(IF(DATOS_[Sexo]=$B62,IF(DATOS_[AGRUP. CLAS. PROF.]=$B60,IF(DATOS_[Check Periodo Ref.]="Dentro",DATOS_[TOTAL Retrib Ef],0)))), 0)</f>
        <v>0</v>
      </c>
    </row>
    <row r="63" customFormat="false" ht="15.75" hidden="false" customHeight="false" outlineLevel="0" collapsed="false">
      <c r="A63" s="217" t="str">
        <f aca="false">+A64</f>
        <v>[ocultar]</v>
      </c>
      <c r="B63" s="235" t="s">
        <v>216</v>
      </c>
      <c r="C63" s="236"/>
      <c r="D63" s="237"/>
      <c r="E63" s="238" t="str">
        <f aca="false">IFERROR((E64-E65)/E64,"")</f>
        <v/>
      </c>
      <c r="F63" s="239" t="str">
        <f aca="false">IFERROR((F64-F65)/F64,"")</f>
        <v/>
      </c>
      <c r="G63" s="239" t="str">
        <f aca="false">IFERROR((G64-G65)/G64,"")</f>
        <v/>
      </c>
      <c r="H63" s="239" t="str">
        <f aca="false">IFERROR((H64-H65)/H64,"")</f>
        <v/>
      </c>
      <c r="I63" s="239"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40" t="str">
        <f aca="false">IFERROR((V64-V65)/V64,"")</f>
        <v/>
      </c>
      <c r="W63" s="240" t="str">
        <f aca="false">IFERROR((W64-W65)/W64,"")</f>
        <v/>
      </c>
      <c r="X63" s="240" t="str">
        <f aca="false">IFERROR((X64-X65)/X64,"")</f>
        <v/>
      </c>
      <c r="Y63" s="240"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1" t="str">
        <f aca="false">IFERROR((AJ64-AJ65)/AJ64,"")</f>
        <v/>
      </c>
      <c r="AK63" s="242" t="str">
        <f aca="false">IFERROR((AK64-AK65)/AK64,"")</f>
        <v/>
      </c>
      <c r="AL63" s="243" t="str">
        <f aca="false">IFERROR((AL64-AL65)/AL64,"")</f>
        <v/>
      </c>
      <c r="AM63" s="243" t="str">
        <f aca="false">IFERROR((AM64-AM65)/AM64,"")</f>
        <v/>
      </c>
      <c r="AN63" s="243" t="str">
        <f aca="false">IFERROR((AN64-AN65)/AN64,"")</f>
        <v/>
      </c>
      <c r="AO63" s="243" t="str">
        <f aca="false">IFERROR((AO64-AO65)/AO64,"")</f>
        <v/>
      </c>
      <c r="AP63" s="243" t="str">
        <f aca="false">IFERROR((AP64-AP65)/AP64,"")</f>
        <v/>
      </c>
      <c r="AQ63" s="244" t="str">
        <f aca="false">IFERROR((AQ64-AQ65)/AQ64,"")</f>
        <v/>
      </c>
      <c r="AR63" s="245" t="str">
        <f aca="false">IFERROR((AR64-AR65)/AR64,"")</f>
        <v/>
      </c>
    </row>
    <row r="64" customFormat="false" ht="14.25" hidden="false" customHeight="false" outlineLevel="0" collapsed="false">
      <c r="A64" s="217" t="str">
        <f aca="false">+IF(C64+C65=0,"[ocultar]","")</f>
        <v>[ocultar]</v>
      </c>
      <c r="B64" s="246" t="s">
        <v>371</v>
      </c>
      <c r="C64" s="247" t="n">
        <f aca="false" t="array" ref="C64:C64">SUM(IF($B64=DATOS_[Sexo], IF($B63=DATOS_[AGRUP. CLAS. PROF.], IF("Dentro"=DATOS_[Check Periodo Ref.], 1/(COUNTIFS(DATOS_[Sexo],$B64,DATOS_[AGRUP. CLAS. PROF.],$B63,DATOS_[Check Periodo Ref.],"Dentro",DATOS_[id],DATOS_[id]))))))</f>
        <v>0</v>
      </c>
      <c r="D64" s="248" t="n">
        <f aca="false">COUNTIFS(DATOS_[AGRUP. CLAS. PROF.],$B63,DATOS_[Sexo],$B64,DATOS_[Check Periodo Ref.],"Dentro")</f>
        <v>0</v>
      </c>
      <c r="E64" s="249" t="n">
        <f aca="false" t="array" ref="E64:E64">IFERROR( MEDIAN(IF(DATOS_[Sexo]=$B64,IF(DATOS_[AGRUP. CLAS. PROF.]=$B63,IF(DATOS_[Check Periodo Ref.]="Dentro",DATOS_[SALARIO BASE Ef],0)))), 0)</f>
        <v>0</v>
      </c>
      <c r="F64" s="250" t="n">
        <f aca="false" t="array" ref="F64:F64">IFERROR( MEDIAN((IF(DATOS_[[Sexo]:[Sexo]]=$B64,IF(DATOS_[[AGRUP. CLAS. PROF.]:[AGRUP. CLAS. PROF.]]=$B63,IF(DATOS_[[Check Periodo Ref.]:[Check Periodo Ref.]]="Dentro",DATOS_[Conc.Sal.01]))))), 0)</f>
        <v>0</v>
      </c>
      <c r="G64" s="250" t="n">
        <f aca="false" t="array" ref="G64:G64">IFERROR( MEDIAN((IF(DATOS_[[Sexo]:[Sexo]]=$B64,IF(DATOS_[[AGRUP. CLAS. PROF.]:[AGRUP. CLAS. PROF.]]=$B63,IF(DATOS_[[Check Periodo Ref.]:[Check Periodo Ref.]]="Dentro",DATOS_[Conc.Sal.02]))))), 0)</f>
        <v>0</v>
      </c>
      <c r="H64" s="250" t="n">
        <f aca="false" t="array" ref="H64:H64">IFERROR( MEDIAN((IF(DATOS_[[Sexo]:[Sexo]]=$B64,IF(DATOS_[[AGRUP. CLAS. PROF.]:[AGRUP. CLAS. PROF.]]=$B63,IF(DATOS_[[Check Periodo Ref.]:[Check Periodo Ref.]]="Dentro",DATOS_[Conc.Sal.03]))))), 0)</f>
        <v>0</v>
      </c>
      <c r="I64" s="250" t="n">
        <f aca="false" t="array" ref="I64:I64">IFERROR( MEDIAN((IF(DATOS_[[Sexo]:[Sexo]]=$B64,IF(DATOS_[[AGRUP. CLAS. PROF.]:[AGRUP. CLAS. PROF.]]=$B63,IF(DATOS_[[Check Periodo Ref.]:[Check Periodo Ref.]]="Dentro",DATOS_[Conc.Sal.04]))))), 0)</f>
        <v>0</v>
      </c>
      <c r="J64" s="250" t="n">
        <f aca="false" t="array" ref="J64:J64">IFERROR( MEDIAN((IF(DATOS_[[Sexo]:[Sexo]]=$B64,IF(DATOS_[[AGRUP. CLAS. PROF.]:[AGRUP. CLAS. PROF.]]=$B63,IF(DATOS_[[Check Periodo Ref.]:[Check Periodo Ref.]]="Dentro",DATOS_[Conc.Sal.05]))))), 0)</f>
        <v>0</v>
      </c>
      <c r="K64" s="250" t="n">
        <f aca="false" t="array" ref="K64:K64">IFERROR( MEDIAN((IF(DATOS_[[Sexo]:[Sexo]]=$B64,IF(DATOS_[[AGRUP. CLAS. PROF.]:[AGRUP. CLAS. PROF.]]=$B63,IF(DATOS_[[Check Periodo Ref.]:[Check Periodo Ref.]]="Dentro",DATOS_[Conc.Sal.06]))))), 0)</f>
        <v>0</v>
      </c>
      <c r="L64" s="250" t="n">
        <f aca="false" t="array" ref="L64:L64">IFERROR( MEDIAN((IF(DATOS_[[Sexo]:[Sexo]]=$B64,IF(DATOS_[[AGRUP. CLAS. PROF.]:[AGRUP. CLAS. PROF.]]=$B63,IF(DATOS_[[Check Periodo Ref.]:[Check Periodo Ref.]]="Dentro",DATOS_[Conc.Sal.07]))))), 0)</f>
        <v>0</v>
      </c>
      <c r="M64" s="250" t="n">
        <f aca="false" t="array" ref="M64:M64">IFERROR( MEDIAN((IF(DATOS_[[Sexo]:[Sexo]]=$B64,IF(DATOS_[[AGRUP. CLAS. PROF.]:[AGRUP. CLAS. PROF.]]=$B63,IF(DATOS_[[Check Periodo Ref.]:[Check Periodo Ref.]]="Dentro",DATOS_[Conc.Sal.08]))))), 0)</f>
        <v>0</v>
      </c>
      <c r="N64" s="250" t="n">
        <f aca="false" t="array" ref="N64:N64">IFERROR( MEDIAN((IF(DATOS_[[Sexo]:[Sexo]]=$B64,IF(DATOS_[[AGRUP. CLAS. PROF.]:[AGRUP. CLAS. PROF.]]=$B63,IF(DATOS_[[Check Periodo Ref.]:[Check Periodo Ref.]]="Dentro",DATOS_[Conc.Sal.09]))))), 0)</f>
        <v>0</v>
      </c>
      <c r="O64" s="250" t="n">
        <f aca="false" t="array" ref="O64:O64">IFERROR( MEDIAN((IF(DATOS_[[Sexo]:[Sexo]]=$B64,IF(DATOS_[[AGRUP. CLAS. PROF.]:[AGRUP. CLAS. PROF.]]=$B63,IF(DATOS_[[Check Periodo Ref.]:[Check Periodo Ref.]]="Dentro",DATOS_[Conc.Sal.10]))))), 0)</f>
        <v>0</v>
      </c>
      <c r="P64" s="250" t="n">
        <f aca="false" t="array" ref="P64:P64">IFERROR( MEDIAN((IF(DATOS_[[Sexo]:[Sexo]]=$B64,IF(DATOS_[[AGRUP. CLAS. PROF.]:[AGRUP. CLAS. PROF.]]=$B63,IF(DATOS_[[Check Periodo Ref.]:[Check Periodo Ref.]]="Dentro",DATOS_[Conc.Sal.11]))))), 0)</f>
        <v>0</v>
      </c>
      <c r="Q64" s="250" t="n">
        <f aca="false" t="array" ref="Q64:Q64">IFERROR( MEDIAN((IF(DATOS_[[Sexo]:[Sexo]]=$B64,IF(DATOS_[[AGRUP. CLAS. PROF.]:[AGRUP. CLAS. PROF.]]=$B63,IF(DATOS_[[Check Periodo Ref.]:[Check Periodo Ref.]]="Dentro",DATOS_[Conc.Sal.12]))))), 0)</f>
        <v>0</v>
      </c>
      <c r="R64" s="250" t="n">
        <f aca="false" t="array" ref="R64:R64">IFERROR( MEDIAN((IF(DATOS_[[Sexo]:[Sexo]]=$B64,IF(DATOS_[[AGRUP. CLAS. PROF.]:[AGRUP. CLAS. PROF.]]=$B63,IF(DATOS_[[Check Periodo Ref.]:[Check Periodo Ref.]]="Dentro",DATOS_[Conc.Sal.13]))))), 0)</f>
        <v>0</v>
      </c>
      <c r="S64" s="250" t="n">
        <f aca="false" t="array" ref="S64:S64">IFERROR( MEDIAN((IF(DATOS_[[Sexo]:[Sexo]]=$B64,IF(DATOS_[[AGRUP. CLAS. PROF.]:[AGRUP. CLAS. PROF.]]=$B63,IF(DATOS_[[Check Periodo Ref.]:[Check Periodo Ref.]]="Dentro",DATOS_[Conc.Sal.14]))))), 0)</f>
        <v>0</v>
      </c>
      <c r="T64" s="250" t="n">
        <f aca="false" t="array" ref="T64:T64">IFERROR( MEDIAN((IF(DATOS_[[Sexo]:[Sexo]]=$B64,IF(DATOS_[[AGRUP. CLAS. PROF.]:[AGRUP. CLAS. PROF.]]=$B63,IF(DATOS_[[Check Periodo Ref.]:[Check Periodo Ref.]]="Dentro",DATOS_[Conc.Sal.15]))))), 0)</f>
        <v>0</v>
      </c>
      <c r="U64" s="250" t="n">
        <f aca="false" t="array" ref="U64:U64">IFERROR( MEDIAN((IF(DATOS_[[Sexo]:[Sexo]]=$B64,IF(DATOS_[[AGRUP. CLAS. PROF.]:[AGRUP. CLAS. PROF.]]=$B63,IF(DATOS_[[Check Periodo Ref.]:[Check Periodo Ref.]]="Dentro",DATOS_[Conc.Sal.16]))))), 0)</f>
        <v>0</v>
      </c>
      <c r="V64" s="250" t="n">
        <f aca="false" t="array" ref="V64:V64">IFERROR( MEDIAN((IF(DATOS_[[Sexo]:[Sexo]]=$B64,IF(DATOS_[[AGRUP. CLAS. PROF.]:[AGRUP. CLAS. PROF.]]=$B63,IF(DATOS_[[Check Periodo Ref.]:[Check Periodo Ref.]]="Dentro",DATOS_[Conc.Sal.17]))))), 0)</f>
        <v>0</v>
      </c>
      <c r="W64" s="250" t="n">
        <f aca="false" t="array" ref="W64:W64">IFERROR( MEDIAN((IF(DATOS_[[Sexo]:[Sexo]]=$B64,IF(DATOS_[[AGRUP. CLAS. PROF.]:[AGRUP. CLAS. PROF.]]=$B63,IF(DATOS_[[Check Periodo Ref.]:[Check Periodo Ref.]]="Dentro",DATOS_[Conc.Sal.18]))))), 0)</f>
        <v>0</v>
      </c>
      <c r="X64" s="250" t="n">
        <f aca="false" t="array" ref="X64:X64">IFERROR( MEDIAN((IF(DATOS_[[Sexo]:[Sexo]]=$B64,IF(DATOS_[[AGRUP. CLAS. PROF.]:[AGRUP. CLAS. PROF.]]=$B63,IF(DATOS_[[Check Periodo Ref.]:[Check Periodo Ref.]]="Dentro",DATOS_[Conc.Sal.19]))))), 0)</f>
        <v>0</v>
      </c>
      <c r="Y64" s="250" t="n">
        <f aca="false" t="array" ref="Y64:Y64">IFERROR( MEDIAN((IF(DATOS_[[Sexo]:[Sexo]]=$B64,IF(DATOS_[[AGRUP. CLAS. PROF.]:[AGRUP. CLAS. PROF.]]=$B63,IF(DATOS_[[Check Periodo Ref.]:[Check Periodo Ref.]]="Dentro",DATOS_[Conc.Sal.20]))))), 0)</f>
        <v>0</v>
      </c>
      <c r="Z64" s="250" t="n">
        <f aca="false" t="array" ref="Z64:Z64">IFERROR( MEDIAN((IF(DATOS_[[Sexo]:[Sexo]]=$B64,IF(DATOS_[[AGRUP. CLAS. PROF.]:[AGRUP. CLAS. PROF.]]=$B63,IF(DATOS_[[Check Periodo Ref.]:[Check Periodo Ref.]]="Dentro",DATOS_[Conc.Sal.21]))))), 0)</f>
        <v>0</v>
      </c>
      <c r="AA64" s="250" t="n">
        <f aca="false" t="array" ref="AA64:AA64">IFERROR( MEDIAN((IF(DATOS_[[Sexo]:[Sexo]]=$B64,IF(DATOS_[[AGRUP. CLAS. PROF.]:[AGRUP. CLAS. PROF.]]=$B63,IF(DATOS_[[Check Periodo Ref.]:[Check Periodo Ref.]]="Dentro",DATOS_[Conc.Sal.22]))))), 0)</f>
        <v>0</v>
      </c>
      <c r="AB64" s="250" t="n">
        <f aca="false" t="array" ref="AB64:AB64">IFERROR( MEDIAN((IF(DATOS_[[Sexo]:[Sexo]]=$B64,IF(DATOS_[[AGRUP. CLAS. PROF.]:[AGRUP. CLAS. PROF.]]=$B63,IF(DATOS_[[Check Periodo Ref.]:[Check Periodo Ref.]]="Dentro",DATOS_[Conc.Sal.23]))))), 0)</f>
        <v>0</v>
      </c>
      <c r="AC64" s="250" t="n">
        <f aca="false" t="array" ref="AC64:AC64">IFERROR( MEDIAN((IF(DATOS_[[Sexo]:[Sexo]]=$B64,IF(DATOS_[[AGRUP. CLAS. PROF.]:[AGRUP. CLAS. PROF.]]=$B63,IF(DATOS_[[Check Periodo Ref.]:[Check Periodo Ref.]]="Dentro",DATOS_[Conc.Sal.24]))))), 0)</f>
        <v>0</v>
      </c>
      <c r="AD64" s="250" t="n">
        <f aca="false" t="array" ref="AD64:AD64">IFERROR( MEDIAN((IF(DATOS_[[Sexo]:[Sexo]]=$B64,IF(DATOS_[[AGRUP. CLAS. PROF.]:[AGRUP. CLAS. PROF.]]=$B63,IF(DATOS_[[Check Periodo Ref.]:[Check Periodo Ref.]]="Dentro",DATOS_[Conc.Sal.25]))))), 0)</f>
        <v>0</v>
      </c>
      <c r="AE64" s="250" t="n">
        <f aca="false" t="array" ref="AE64:AE64">IFERROR( MEDIAN((IF(DATOS_[[Sexo]:[Sexo]]=$B64,IF(DATOS_[[AGRUP. CLAS. PROF.]:[AGRUP. CLAS. PROF.]]=$B63,IF(DATOS_[[Check Periodo Ref.]:[Check Periodo Ref.]]="Dentro",DATOS_[Conc.Sal.26]))))), 0)</f>
        <v>0</v>
      </c>
      <c r="AF64" s="250" t="n">
        <f aca="false" t="array" ref="AF64:AF64">IFERROR( MEDIAN((IF(DATOS_[[Sexo]:[Sexo]]=$B64,IF(DATOS_[[AGRUP. CLAS. PROF.]:[AGRUP. CLAS. PROF.]]=$B63,IF(DATOS_[[Check Periodo Ref.]:[Check Periodo Ref.]]="Dentro",DATOS_[Conc.Sal.27]))))), 0)</f>
        <v>0</v>
      </c>
      <c r="AG64" s="250" t="n">
        <f aca="false" t="array" ref="AG64:AG64">IFERROR( MEDIAN((IF(DATOS_[[Sexo]:[Sexo]]=$B64,IF(DATOS_[[AGRUP. CLAS. PROF.]:[AGRUP. CLAS. PROF.]]=$B63,IF(DATOS_[[Check Periodo Ref.]:[Check Periodo Ref.]]="Dentro",DATOS_[Conc.Sal.28]))))), 0)</f>
        <v>0</v>
      </c>
      <c r="AH64" s="250" t="n">
        <f aca="false" t="array" ref="AH64:AH64">IFERROR( MEDIAN((IF(DATOS_[[Sexo]:[Sexo]]=$B64,IF(DATOS_[[AGRUP. CLAS. PROF.]:[AGRUP. CLAS. PROF.]]=$B63,IF(DATOS_[[Check Periodo Ref.]:[Check Periodo Ref.]]="Dentro",DATOS_[Conc.Sal.29]))))), 0)</f>
        <v>0</v>
      </c>
      <c r="AI64" s="250" t="n">
        <f aca="false" t="array" ref="AI64:AI64">IFERROR( MEDIAN((IF(DATOS_[[Sexo]:[Sexo]]=$B64,IF(DATOS_[[AGRUP. CLAS. PROF.]:[AGRUP. CLAS. PROF.]]=$B63,IF(DATOS_[[Check Periodo Ref.]:[Check Periodo Ref.]]="Dentro",DATOS_[Conc.Sal.30]))))), 0)</f>
        <v>0</v>
      </c>
      <c r="AJ64" s="251" t="n">
        <f aca="false" t="array" ref="AJ64:AJ64">IFERROR( MEDIAN(IF(DATOS_[Sexo]=$B64,IF(DATOS_[AGRUP. CLAS. PROF.]=$B63,IF(DATOS_[Check Periodo Ref.]="Dentro",DATOS_[Tot COMPL.SAL Ef],0)))), 0)</f>
        <v>0</v>
      </c>
      <c r="AK64" s="252" t="n">
        <f aca="false" t="array" ref="AK64:AK64">IFERROR( MEDIAN(IF(DATOS_[Sexo]=$B64,IF(DATOS_[AGRUP. CLAS. PROF.]=$B63,IF(DATOS_[Check Periodo Ref.]="Dentro",DATOS_[TOTAL SALARIO Ef],0)))), 0)</f>
        <v>0</v>
      </c>
      <c r="AL64" s="259" t="n">
        <f aca="false" t="array" ref="AL64:AL64">IFERROR( MEDIAN((IF(DATOS_[[Sexo]:[Sexo]]=$B64,IF(DATOS_[[AGRUP. CLAS. PROF.]:[AGRUP. CLAS. PROF.]]=$B63,IF(DATOS_[[Check Periodo Ref.]:[Check Periodo Ref.]]="Dentro",DATOS_[C.Extra.01]))))), 0)</f>
        <v>0</v>
      </c>
      <c r="AM64" s="259" t="n">
        <f aca="false" t="array" ref="AM64:AM64">IFERROR( MEDIAN((IF(DATOS_[[Sexo]:[Sexo]]=$B64,IF(DATOS_[[AGRUP. CLAS. PROF.]:[AGRUP. CLAS. PROF.]]=$B63,IF(DATOS_[[Check Periodo Ref.]:[Check Periodo Ref.]]="Dentro",DATOS_[C.Extra.02]))))), 0)</f>
        <v>0</v>
      </c>
      <c r="AN64" s="259" t="n">
        <f aca="false" t="array" ref="AN64:AN64">IFERROR( MEDIAN((IF(DATOS_[[Sexo]:[Sexo]]=$B64,IF(DATOS_[[AGRUP. CLAS. PROF.]:[AGRUP. CLAS. PROF.]]=$B63,IF(DATOS_[[Check Periodo Ref.]:[Check Periodo Ref.]]="Dentro",DATOS_[C.Extra.03]))))), 0)</f>
        <v>0</v>
      </c>
      <c r="AO64" s="259" t="n">
        <f aca="false" t="array" ref="AO64:AO64">IFERROR( MEDIAN((IF(DATOS_[[Sexo]:[Sexo]]=$B64,IF(DATOS_[[AGRUP. CLAS. PROF.]:[AGRUP. CLAS. PROF.]]=$B63,IF(DATOS_[[Check Periodo Ref.]:[Check Periodo Ref.]]="Dentro",DATOS_[C.Extra.04]))))), 0)</f>
        <v>0</v>
      </c>
      <c r="AP64" s="259" t="n">
        <f aca="false" t="array" ref="AP64:AP64">IFERROR( MEDIAN((IF(DATOS_[[Sexo]:[Sexo]]=$B64,IF(DATOS_[[AGRUP. CLAS. PROF.]:[AGRUP. CLAS. PROF.]]=$B63,IF(DATOS_[[Check Periodo Ref.]:[Check Periodo Ref.]]="Dentro",DATOS_[C.Extra.05]))))), 0)</f>
        <v>0</v>
      </c>
      <c r="AQ64" s="254" t="n">
        <f aca="false" t="array" ref="AQ64:AQ64">IFERROR( MEDIAN(IF(DATOS_[Sexo]=$B64,IF(DATOS_[AGRUP. CLAS. PROF.]=$B63,IF(DATOS_[Check Periodo Ref.]="Dentro",DATOS_[Tot Extrasalarial Ef],0)))), 0)</f>
        <v>0</v>
      </c>
      <c r="AR64" s="255" t="n">
        <f aca="false" t="array" ref="AR64:AR64">IFERROR( MEDIAN(IF(DATOS_[Sexo]=$B64,IF(DATOS_[AGRUP. CLAS. PROF.]=$B63,IF(DATOS_[Check Periodo Ref.]="Dentro",DATOS_[TOTAL Retrib Ef],0)))), 0)</f>
        <v>0</v>
      </c>
    </row>
    <row r="65" customFormat="false" ht="14.25" hidden="false" customHeight="false" outlineLevel="0" collapsed="false">
      <c r="A65" s="217" t="str">
        <f aca="false">+A64</f>
        <v>[ocultar]</v>
      </c>
      <c r="B65" s="246" t="s">
        <v>372</v>
      </c>
      <c r="C65" s="247" t="n">
        <f aca="false" t="array" ref="C65:C65">SUM(IF($B65=DATOS_[Sexo], IF($B63=DATOS_[AGRUP. CLAS. PROF.], IF("Dentro"=DATOS_[Check Periodo Ref.], 1/(COUNTIFS(DATOS_[Sexo],$B65,DATOS_[AGRUP. CLAS. PROF.],$B63,DATOS_[Check Periodo Ref.],"Dentro",DATOS_[id],DATOS_[id]))))))</f>
        <v>0</v>
      </c>
      <c r="D65" s="248" t="n">
        <f aca="false">COUNTIFS(DATOS_[AGRUP. CLAS. PROF.],$B63,DATOS_[Sexo],$B65,DATOS_[Check Periodo Ref.],"Dentro")</f>
        <v>0</v>
      </c>
      <c r="E65" s="249" t="n">
        <f aca="false" t="array" ref="E65:E65">IFERROR( MEDIAN(IF(DATOS_[Sexo]=$B65,IF(DATOS_[AGRUP. CLAS. PROF.]=$B63,IF(DATOS_[Check Periodo Ref.]="Dentro",DATOS_[SALARIO BASE Ef],0)))), 0)</f>
        <v>0</v>
      </c>
      <c r="F65" s="250" t="n">
        <f aca="false" t="array" ref="F65:F65">IFERROR( MEDIAN((IF(DATOS_[[Sexo]:[Sexo]]=$B65,IF(DATOS_[[AGRUP. CLAS. PROF.]:[AGRUP. CLAS. PROF.]]=$B63,IF(DATOS_[[Check Periodo Ref.]:[Check Periodo Ref.]]="Dentro",DATOS_[Conc.Sal.01]))))), 0)</f>
        <v>0</v>
      </c>
      <c r="G65" s="250" t="n">
        <f aca="false" t="array" ref="G65:G65">IFERROR( MEDIAN((IF(DATOS_[[Sexo]:[Sexo]]=$B65,IF(DATOS_[[AGRUP. CLAS. PROF.]:[AGRUP. CLAS. PROF.]]=$B63,IF(DATOS_[[Check Periodo Ref.]:[Check Periodo Ref.]]="Dentro",DATOS_[Conc.Sal.02]))))), 0)</f>
        <v>0</v>
      </c>
      <c r="H65" s="250" t="n">
        <f aca="false" t="array" ref="H65:H65">IFERROR( MEDIAN((IF(DATOS_[[Sexo]:[Sexo]]=$B65,IF(DATOS_[[AGRUP. CLAS. PROF.]:[AGRUP. CLAS. PROF.]]=$B63,IF(DATOS_[[Check Periodo Ref.]:[Check Periodo Ref.]]="Dentro",DATOS_[Conc.Sal.03]))))), 0)</f>
        <v>0</v>
      </c>
      <c r="I65" s="250" t="n">
        <f aca="false" t="array" ref="I65:I65">IFERROR( MEDIAN((IF(DATOS_[[Sexo]:[Sexo]]=$B65,IF(DATOS_[[AGRUP. CLAS. PROF.]:[AGRUP. CLAS. PROF.]]=$B63,IF(DATOS_[[Check Periodo Ref.]:[Check Periodo Ref.]]="Dentro",DATOS_[Conc.Sal.04]))))), 0)</f>
        <v>0</v>
      </c>
      <c r="J65" s="250" t="n">
        <f aca="false" t="array" ref="J65:J65">IFERROR( MEDIAN((IF(DATOS_[[Sexo]:[Sexo]]=$B65,IF(DATOS_[[AGRUP. CLAS. PROF.]:[AGRUP. CLAS. PROF.]]=$B63,IF(DATOS_[[Check Periodo Ref.]:[Check Periodo Ref.]]="Dentro",DATOS_[Conc.Sal.05]))))), 0)</f>
        <v>0</v>
      </c>
      <c r="K65" s="250" t="n">
        <f aca="false" t="array" ref="K65:K65">IFERROR( MEDIAN((IF(DATOS_[[Sexo]:[Sexo]]=$B65,IF(DATOS_[[AGRUP. CLAS. PROF.]:[AGRUP. CLAS. PROF.]]=$B63,IF(DATOS_[[Check Periodo Ref.]:[Check Periodo Ref.]]="Dentro",DATOS_[Conc.Sal.06]))))), 0)</f>
        <v>0</v>
      </c>
      <c r="L65" s="250" t="n">
        <f aca="false" t="array" ref="L65:L65">IFERROR( MEDIAN((IF(DATOS_[[Sexo]:[Sexo]]=$B65,IF(DATOS_[[AGRUP. CLAS. PROF.]:[AGRUP. CLAS. PROF.]]=$B63,IF(DATOS_[[Check Periodo Ref.]:[Check Periodo Ref.]]="Dentro",DATOS_[Conc.Sal.07]))))), 0)</f>
        <v>0</v>
      </c>
      <c r="M65" s="250" t="n">
        <f aca="false" t="array" ref="M65:M65">IFERROR( MEDIAN((IF(DATOS_[[Sexo]:[Sexo]]=$B65,IF(DATOS_[[AGRUP. CLAS. PROF.]:[AGRUP. CLAS. PROF.]]=$B63,IF(DATOS_[[Check Periodo Ref.]:[Check Periodo Ref.]]="Dentro",DATOS_[Conc.Sal.08]))))), 0)</f>
        <v>0</v>
      </c>
      <c r="N65" s="250" t="n">
        <f aca="false" t="array" ref="N65:N65">IFERROR( MEDIAN((IF(DATOS_[[Sexo]:[Sexo]]=$B65,IF(DATOS_[[AGRUP. CLAS. PROF.]:[AGRUP. CLAS. PROF.]]=$B63,IF(DATOS_[[Check Periodo Ref.]:[Check Periodo Ref.]]="Dentro",DATOS_[Conc.Sal.09]))))), 0)</f>
        <v>0</v>
      </c>
      <c r="O65" s="250" t="n">
        <f aca="false" t="array" ref="O65:O65">IFERROR( MEDIAN((IF(DATOS_[[Sexo]:[Sexo]]=$B65,IF(DATOS_[[AGRUP. CLAS. PROF.]:[AGRUP. CLAS. PROF.]]=$B63,IF(DATOS_[[Check Periodo Ref.]:[Check Periodo Ref.]]="Dentro",DATOS_[Conc.Sal.10]))))), 0)</f>
        <v>0</v>
      </c>
      <c r="P65" s="250" t="n">
        <f aca="false" t="array" ref="P65:P65">IFERROR( MEDIAN((IF(DATOS_[[Sexo]:[Sexo]]=$B65,IF(DATOS_[[AGRUP. CLAS. PROF.]:[AGRUP. CLAS. PROF.]]=$B63,IF(DATOS_[[Check Periodo Ref.]:[Check Periodo Ref.]]="Dentro",DATOS_[Conc.Sal.11]))))), 0)</f>
        <v>0</v>
      </c>
      <c r="Q65" s="250" t="n">
        <f aca="false" t="array" ref="Q65:Q65">IFERROR( MEDIAN((IF(DATOS_[[Sexo]:[Sexo]]=$B65,IF(DATOS_[[AGRUP. CLAS. PROF.]:[AGRUP. CLAS. PROF.]]=$B63,IF(DATOS_[[Check Periodo Ref.]:[Check Periodo Ref.]]="Dentro",DATOS_[Conc.Sal.12]))))), 0)</f>
        <v>0</v>
      </c>
      <c r="R65" s="250" t="n">
        <f aca="false" t="array" ref="R65:R65">IFERROR( MEDIAN((IF(DATOS_[[Sexo]:[Sexo]]=$B65,IF(DATOS_[[AGRUP. CLAS. PROF.]:[AGRUP. CLAS. PROF.]]=$B63,IF(DATOS_[[Check Periodo Ref.]:[Check Periodo Ref.]]="Dentro",DATOS_[Conc.Sal.13]))))), 0)</f>
        <v>0</v>
      </c>
      <c r="S65" s="250" t="n">
        <f aca="false" t="array" ref="S65:S65">IFERROR( MEDIAN((IF(DATOS_[[Sexo]:[Sexo]]=$B65,IF(DATOS_[[AGRUP. CLAS. PROF.]:[AGRUP. CLAS. PROF.]]=$B63,IF(DATOS_[[Check Periodo Ref.]:[Check Periodo Ref.]]="Dentro",DATOS_[Conc.Sal.14]))))), 0)</f>
        <v>0</v>
      </c>
      <c r="T65" s="250" t="n">
        <f aca="false" t="array" ref="T65:T65">IFERROR( MEDIAN((IF(DATOS_[[Sexo]:[Sexo]]=$B65,IF(DATOS_[[AGRUP. CLAS. PROF.]:[AGRUP. CLAS. PROF.]]=$B63,IF(DATOS_[[Check Periodo Ref.]:[Check Periodo Ref.]]="Dentro",DATOS_[Conc.Sal.15]))))), 0)</f>
        <v>0</v>
      </c>
      <c r="U65" s="250" t="n">
        <f aca="false" t="array" ref="U65:U65">IFERROR( MEDIAN((IF(DATOS_[[Sexo]:[Sexo]]=$B65,IF(DATOS_[[AGRUP. CLAS. PROF.]:[AGRUP. CLAS. PROF.]]=$B63,IF(DATOS_[[Check Periodo Ref.]:[Check Periodo Ref.]]="Dentro",DATOS_[Conc.Sal.16]))))), 0)</f>
        <v>0</v>
      </c>
      <c r="V65" s="250" t="n">
        <f aca="false" t="array" ref="V65:V65">IFERROR( MEDIAN((IF(DATOS_[[Sexo]:[Sexo]]=$B65,IF(DATOS_[[AGRUP. CLAS. PROF.]:[AGRUP. CLAS. PROF.]]=$B63,IF(DATOS_[[Check Periodo Ref.]:[Check Periodo Ref.]]="Dentro",DATOS_[Conc.Sal.17]))))), 0)</f>
        <v>0</v>
      </c>
      <c r="W65" s="250" t="n">
        <f aca="false" t="array" ref="W65:W65">IFERROR( MEDIAN((IF(DATOS_[[Sexo]:[Sexo]]=$B65,IF(DATOS_[[AGRUP. CLAS. PROF.]:[AGRUP. CLAS. PROF.]]=$B63,IF(DATOS_[[Check Periodo Ref.]:[Check Periodo Ref.]]="Dentro",DATOS_[Conc.Sal.18]))))), 0)</f>
        <v>0</v>
      </c>
      <c r="X65" s="250" t="n">
        <f aca="false" t="array" ref="X65:X65">IFERROR( MEDIAN((IF(DATOS_[[Sexo]:[Sexo]]=$B65,IF(DATOS_[[AGRUP. CLAS. PROF.]:[AGRUP. CLAS. PROF.]]=$B63,IF(DATOS_[[Check Periodo Ref.]:[Check Periodo Ref.]]="Dentro",DATOS_[Conc.Sal.19]))))), 0)</f>
        <v>0</v>
      </c>
      <c r="Y65" s="250" t="n">
        <f aca="false" t="array" ref="Y65:Y65">IFERROR( MEDIAN((IF(DATOS_[[Sexo]:[Sexo]]=$B65,IF(DATOS_[[AGRUP. CLAS. PROF.]:[AGRUP. CLAS. PROF.]]=$B63,IF(DATOS_[[Check Periodo Ref.]:[Check Periodo Ref.]]="Dentro",DATOS_[Conc.Sal.20]))))), 0)</f>
        <v>0</v>
      </c>
      <c r="Z65" s="250" t="n">
        <f aca="false" t="array" ref="Z65:Z65">IFERROR( MEDIAN((IF(DATOS_[[Sexo]:[Sexo]]=$B65,IF(DATOS_[[AGRUP. CLAS. PROF.]:[AGRUP. CLAS. PROF.]]=$B63,IF(DATOS_[[Check Periodo Ref.]:[Check Periodo Ref.]]="Dentro",DATOS_[Conc.Sal.21]))))), 0)</f>
        <v>0</v>
      </c>
      <c r="AA65" s="250" t="n">
        <f aca="false" t="array" ref="AA65:AA65">IFERROR( MEDIAN((IF(DATOS_[[Sexo]:[Sexo]]=$B65,IF(DATOS_[[AGRUP. CLAS. PROF.]:[AGRUP. CLAS. PROF.]]=$B63,IF(DATOS_[[Check Periodo Ref.]:[Check Periodo Ref.]]="Dentro",DATOS_[Conc.Sal.22]))))), 0)</f>
        <v>0</v>
      </c>
      <c r="AB65" s="250" t="n">
        <f aca="false" t="array" ref="AB65:AB65">IFERROR( MEDIAN((IF(DATOS_[[Sexo]:[Sexo]]=$B65,IF(DATOS_[[AGRUP. CLAS. PROF.]:[AGRUP. CLAS. PROF.]]=$B63,IF(DATOS_[[Check Periodo Ref.]:[Check Periodo Ref.]]="Dentro",DATOS_[Conc.Sal.23]))))), 0)</f>
        <v>0</v>
      </c>
      <c r="AC65" s="250" t="n">
        <f aca="false" t="array" ref="AC65:AC65">IFERROR( MEDIAN((IF(DATOS_[[Sexo]:[Sexo]]=$B65,IF(DATOS_[[AGRUP. CLAS. PROF.]:[AGRUP. CLAS. PROF.]]=$B63,IF(DATOS_[[Check Periodo Ref.]:[Check Periodo Ref.]]="Dentro",DATOS_[Conc.Sal.24]))))), 0)</f>
        <v>0</v>
      </c>
      <c r="AD65" s="250" t="n">
        <f aca="false" t="array" ref="AD65:AD65">IFERROR( MEDIAN((IF(DATOS_[[Sexo]:[Sexo]]=$B65,IF(DATOS_[[AGRUP. CLAS. PROF.]:[AGRUP. CLAS. PROF.]]=$B63,IF(DATOS_[[Check Periodo Ref.]:[Check Periodo Ref.]]="Dentro",DATOS_[Conc.Sal.25]))))), 0)</f>
        <v>0</v>
      </c>
      <c r="AE65" s="250" t="n">
        <f aca="false" t="array" ref="AE65:AE65">IFERROR( MEDIAN((IF(DATOS_[[Sexo]:[Sexo]]=$B65,IF(DATOS_[[AGRUP. CLAS. PROF.]:[AGRUP. CLAS. PROF.]]=$B63,IF(DATOS_[[Check Periodo Ref.]:[Check Periodo Ref.]]="Dentro",DATOS_[Conc.Sal.26]))))), 0)</f>
        <v>0</v>
      </c>
      <c r="AF65" s="250" t="n">
        <f aca="false" t="array" ref="AF65:AF65">IFERROR( MEDIAN((IF(DATOS_[[Sexo]:[Sexo]]=$B65,IF(DATOS_[[AGRUP. CLAS. PROF.]:[AGRUP. CLAS. PROF.]]=$B63,IF(DATOS_[[Check Periodo Ref.]:[Check Periodo Ref.]]="Dentro",DATOS_[Conc.Sal.27]))))), 0)</f>
        <v>0</v>
      </c>
      <c r="AG65" s="250" t="n">
        <f aca="false" t="array" ref="AG65:AG65">IFERROR( MEDIAN((IF(DATOS_[[Sexo]:[Sexo]]=$B65,IF(DATOS_[[AGRUP. CLAS. PROF.]:[AGRUP. CLAS. PROF.]]=$B63,IF(DATOS_[[Check Periodo Ref.]:[Check Periodo Ref.]]="Dentro",DATOS_[Conc.Sal.28]))))), 0)</f>
        <v>0</v>
      </c>
      <c r="AH65" s="250" t="n">
        <f aca="false" t="array" ref="AH65:AH65">IFERROR( MEDIAN((IF(DATOS_[[Sexo]:[Sexo]]=$B65,IF(DATOS_[[AGRUP. CLAS. PROF.]:[AGRUP. CLAS. PROF.]]=$B63,IF(DATOS_[[Check Periodo Ref.]:[Check Periodo Ref.]]="Dentro",DATOS_[Conc.Sal.29]))))), 0)</f>
        <v>0</v>
      </c>
      <c r="AI65" s="250" t="n">
        <f aca="false" t="array" ref="AI65:AI65">IFERROR( MEDIAN((IF(DATOS_[[Sexo]:[Sexo]]=$B65,IF(DATOS_[[AGRUP. CLAS. PROF.]:[AGRUP. CLAS. PROF.]]=$B63,IF(DATOS_[[Check Periodo Ref.]:[Check Periodo Ref.]]="Dentro",DATOS_[Conc.Sal.30]))))), 0)</f>
        <v>0</v>
      </c>
      <c r="AJ65" s="251" t="n">
        <f aca="false" t="array" ref="AJ65:AJ65">IFERROR( MEDIAN(IF(DATOS_[Sexo]=$B65,IF(DATOS_[AGRUP. CLAS. PROF.]=$B63,IF(DATOS_[Check Periodo Ref.]="Dentro",DATOS_[Tot COMPL.SAL Ef],0)))), 0)</f>
        <v>0</v>
      </c>
      <c r="AK65" s="252" t="n">
        <f aca="false" t="array" ref="AK65:AK65">IFERROR( MEDIAN(IF(DATOS_[Sexo]=$B65,IF(DATOS_[AGRUP. CLAS. PROF.]=$B63,IF(DATOS_[Check Periodo Ref.]="Dentro",DATOS_[TOTAL SALARIO Ef],0)))), 0)</f>
        <v>0</v>
      </c>
      <c r="AL65" s="259" t="n">
        <f aca="false" t="array" ref="AL65:AL65">IFERROR( MEDIAN((IF(DATOS_[[Sexo]:[Sexo]]=$B65,IF(DATOS_[[AGRUP. CLAS. PROF.]:[AGRUP. CLAS. PROF.]]=$B63,IF(DATOS_[[Check Periodo Ref.]:[Check Periodo Ref.]]="Dentro",DATOS_[C.Extra.01]))))), 0)</f>
        <v>0</v>
      </c>
      <c r="AM65" s="259" t="n">
        <f aca="false" t="array" ref="AM65:AM65">IFERROR( MEDIAN((IF(DATOS_[[Sexo]:[Sexo]]=$B65,IF(DATOS_[[AGRUP. CLAS. PROF.]:[AGRUP. CLAS. PROF.]]=$B63,IF(DATOS_[[Check Periodo Ref.]:[Check Periodo Ref.]]="Dentro",DATOS_[C.Extra.02]))))), 0)</f>
        <v>0</v>
      </c>
      <c r="AN65" s="259" t="n">
        <f aca="false" t="array" ref="AN65:AN65">IFERROR( MEDIAN((IF(DATOS_[[Sexo]:[Sexo]]=$B65,IF(DATOS_[[AGRUP. CLAS. PROF.]:[AGRUP. CLAS. PROF.]]=$B63,IF(DATOS_[[Check Periodo Ref.]:[Check Periodo Ref.]]="Dentro",DATOS_[C.Extra.03]))))), 0)</f>
        <v>0</v>
      </c>
      <c r="AO65" s="259" t="n">
        <f aca="false" t="array" ref="AO65:AO65">IFERROR( MEDIAN((IF(DATOS_[[Sexo]:[Sexo]]=$B65,IF(DATOS_[[AGRUP. CLAS. PROF.]:[AGRUP. CLAS. PROF.]]=$B63,IF(DATOS_[[Check Periodo Ref.]:[Check Periodo Ref.]]="Dentro",DATOS_[C.Extra.04]))))), 0)</f>
        <v>0</v>
      </c>
      <c r="AP65" s="259" t="n">
        <f aca="false" t="array" ref="AP65:AP65">IFERROR( MEDIAN((IF(DATOS_[[Sexo]:[Sexo]]=$B65,IF(DATOS_[[AGRUP. CLAS. PROF.]:[AGRUP. CLAS. PROF.]]=$B63,IF(DATOS_[[Check Periodo Ref.]:[Check Periodo Ref.]]="Dentro",DATOS_[C.Extra.05]))))), 0)</f>
        <v>0</v>
      </c>
      <c r="AQ65" s="254" t="n">
        <f aca="false" t="array" ref="AQ65:AQ65">IFERROR( MEDIAN(IF(DATOS_[Sexo]=$B65,IF(DATOS_[AGRUP. CLAS. PROF.]=$B63,IF(DATOS_[Check Periodo Ref.]="Dentro",DATOS_[Tot Extrasalarial Ef],0)))), 0)</f>
        <v>0</v>
      </c>
      <c r="AR65" s="255" t="n">
        <f aca="false" t="array" ref="AR65:AR65">IFERROR( MEDIAN(IF(DATOS_[Sexo]=$B65,IF(DATOS_[AGRUP. CLAS. PROF.]=$B63,IF(DATOS_[Check Periodo Ref.]="Dentro",DATOS_[TOTAL Retrib Ef],0)))), 0)</f>
        <v>0</v>
      </c>
    </row>
    <row r="66" customFormat="false" ht="15.75" hidden="false" customHeight="false" outlineLevel="0" collapsed="false">
      <c r="A66" s="217" t="str">
        <f aca="false">+A67</f>
        <v>[ocultar]</v>
      </c>
      <c r="B66" s="235" t="s">
        <v>219</v>
      </c>
      <c r="C66" s="236"/>
      <c r="D66" s="237"/>
      <c r="E66" s="238" t="str">
        <f aca="false">IFERROR((E67-E68)/E67,"")</f>
        <v/>
      </c>
      <c r="F66" s="239" t="str">
        <f aca="false">IFERROR((F67-F68)/F67,"")</f>
        <v/>
      </c>
      <c r="G66" s="239" t="str">
        <f aca="false">IFERROR((G67-G68)/G67,"")</f>
        <v/>
      </c>
      <c r="H66" s="239" t="str">
        <f aca="false">IFERROR((H67-H68)/H67,"")</f>
        <v/>
      </c>
      <c r="I66" s="239"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40" t="str">
        <f aca="false">IFERROR((V67-V68)/V67,"")</f>
        <v/>
      </c>
      <c r="W66" s="240" t="str">
        <f aca="false">IFERROR((W67-W68)/W67,"")</f>
        <v/>
      </c>
      <c r="X66" s="240" t="str">
        <f aca="false">IFERROR((X67-X68)/X67,"")</f>
        <v/>
      </c>
      <c r="Y66" s="240"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1" t="str">
        <f aca="false">IFERROR((AJ67-AJ68)/AJ67,"")</f>
        <v/>
      </c>
      <c r="AK66" s="242" t="str">
        <f aca="false">IFERROR((AK67-AK68)/AK67,"")</f>
        <v/>
      </c>
      <c r="AL66" s="243" t="str">
        <f aca="false">IFERROR((AL67-AL68)/AL67,"")</f>
        <v/>
      </c>
      <c r="AM66" s="243" t="str">
        <f aca="false">IFERROR((AM67-AM68)/AM67,"")</f>
        <v/>
      </c>
      <c r="AN66" s="243" t="str">
        <f aca="false">IFERROR((AN67-AN68)/AN67,"")</f>
        <v/>
      </c>
      <c r="AO66" s="243" t="str">
        <f aca="false">IFERROR((AO67-AO68)/AO67,"")</f>
        <v/>
      </c>
      <c r="AP66" s="243" t="str">
        <f aca="false">IFERROR((AP67-AP68)/AP67,"")</f>
        <v/>
      </c>
      <c r="AQ66" s="244" t="str">
        <f aca="false">IFERROR((AQ67-AQ68)/AQ67,"")</f>
        <v/>
      </c>
      <c r="AR66" s="245" t="str">
        <f aca="false">IFERROR((AR67-AR68)/AR67,"")</f>
        <v/>
      </c>
    </row>
    <row r="67" customFormat="false" ht="14.25" hidden="false" customHeight="false" outlineLevel="0" collapsed="false">
      <c r="A67" s="217" t="str">
        <f aca="false">+IF(C67+C68=0,"[ocultar]","")</f>
        <v>[ocultar]</v>
      </c>
      <c r="B67" s="246" t="s">
        <v>371</v>
      </c>
      <c r="C67" s="247" t="n">
        <f aca="false" t="array" ref="C67:C67">SUM(IF($B67=DATOS_[Sexo], IF($B66=DATOS_[AGRUP. CLAS. PROF.], IF("Dentro"=DATOS_[Check Periodo Ref.], 1/(COUNTIFS(DATOS_[Sexo],$B67,DATOS_[AGRUP. CLAS. PROF.],$B66,DATOS_[Check Periodo Ref.],"Dentro",DATOS_[id],DATOS_[id]))))))</f>
        <v>0</v>
      </c>
      <c r="D67" s="248" t="n">
        <f aca="false">COUNTIFS(DATOS_[AGRUP. CLAS. PROF.],$B66,DATOS_[Sexo],$B67,DATOS_[Check Periodo Ref.],"Dentro")</f>
        <v>0</v>
      </c>
      <c r="E67" s="249" t="n">
        <f aca="false" t="array" ref="E67:E67">IFERROR( MEDIAN(IF(DATOS_[Sexo]=$B67,IF(DATOS_[AGRUP. CLAS. PROF.]=$B66,IF(DATOS_[Check Periodo Ref.]="Dentro",DATOS_[SALARIO BASE Ef],0)))), 0)</f>
        <v>0</v>
      </c>
      <c r="F67" s="250" t="n">
        <f aca="false" t="array" ref="F67:F67">IFERROR( MEDIAN((IF(DATOS_[[Sexo]:[Sexo]]=$B67,IF(DATOS_[[AGRUP. CLAS. PROF.]:[AGRUP. CLAS. PROF.]]=$B66,IF(DATOS_[[Check Periodo Ref.]:[Check Periodo Ref.]]="Dentro",DATOS_[Conc.Sal.01]))))), 0)</f>
        <v>0</v>
      </c>
      <c r="G67" s="250" t="n">
        <f aca="false" t="array" ref="G67:G67">IFERROR( MEDIAN((IF(DATOS_[[Sexo]:[Sexo]]=$B67,IF(DATOS_[[AGRUP. CLAS. PROF.]:[AGRUP. CLAS. PROF.]]=$B66,IF(DATOS_[[Check Periodo Ref.]:[Check Periodo Ref.]]="Dentro",DATOS_[Conc.Sal.02]))))), 0)</f>
        <v>0</v>
      </c>
      <c r="H67" s="250" t="n">
        <f aca="false" t="array" ref="H67:H67">IFERROR( MEDIAN((IF(DATOS_[[Sexo]:[Sexo]]=$B67,IF(DATOS_[[AGRUP. CLAS. PROF.]:[AGRUP. CLAS. PROF.]]=$B66,IF(DATOS_[[Check Periodo Ref.]:[Check Periodo Ref.]]="Dentro",DATOS_[Conc.Sal.03]))))), 0)</f>
        <v>0</v>
      </c>
      <c r="I67" s="250" t="n">
        <f aca="false" t="array" ref="I67:I67">IFERROR( MEDIAN((IF(DATOS_[[Sexo]:[Sexo]]=$B67,IF(DATOS_[[AGRUP. CLAS. PROF.]:[AGRUP. CLAS. PROF.]]=$B66,IF(DATOS_[[Check Periodo Ref.]:[Check Periodo Ref.]]="Dentro",DATOS_[Conc.Sal.04]))))), 0)</f>
        <v>0</v>
      </c>
      <c r="J67" s="250" t="n">
        <f aca="false" t="array" ref="J67:J67">IFERROR( MEDIAN((IF(DATOS_[[Sexo]:[Sexo]]=$B67,IF(DATOS_[[AGRUP. CLAS. PROF.]:[AGRUP. CLAS. PROF.]]=$B66,IF(DATOS_[[Check Periodo Ref.]:[Check Periodo Ref.]]="Dentro",DATOS_[Conc.Sal.05]))))), 0)</f>
        <v>0</v>
      </c>
      <c r="K67" s="250" t="n">
        <f aca="false" t="array" ref="K67:K67">IFERROR( MEDIAN((IF(DATOS_[[Sexo]:[Sexo]]=$B67,IF(DATOS_[[AGRUP. CLAS. PROF.]:[AGRUP. CLAS. PROF.]]=$B66,IF(DATOS_[[Check Periodo Ref.]:[Check Periodo Ref.]]="Dentro",DATOS_[Conc.Sal.06]))))), 0)</f>
        <v>0</v>
      </c>
      <c r="L67" s="250" t="n">
        <f aca="false" t="array" ref="L67:L67">IFERROR( MEDIAN((IF(DATOS_[[Sexo]:[Sexo]]=$B67,IF(DATOS_[[AGRUP. CLAS. PROF.]:[AGRUP. CLAS. PROF.]]=$B66,IF(DATOS_[[Check Periodo Ref.]:[Check Periodo Ref.]]="Dentro",DATOS_[Conc.Sal.07]))))), 0)</f>
        <v>0</v>
      </c>
      <c r="M67" s="250" t="n">
        <f aca="false" t="array" ref="M67:M67">IFERROR( MEDIAN((IF(DATOS_[[Sexo]:[Sexo]]=$B67,IF(DATOS_[[AGRUP. CLAS. PROF.]:[AGRUP. CLAS. PROF.]]=$B66,IF(DATOS_[[Check Periodo Ref.]:[Check Periodo Ref.]]="Dentro",DATOS_[Conc.Sal.08]))))), 0)</f>
        <v>0</v>
      </c>
      <c r="N67" s="250" t="n">
        <f aca="false" t="array" ref="N67:N67">IFERROR( MEDIAN((IF(DATOS_[[Sexo]:[Sexo]]=$B67,IF(DATOS_[[AGRUP. CLAS. PROF.]:[AGRUP. CLAS. PROF.]]=$B66,IF(DATOS_[[Check Periodo Ref.]:[Check Periodo Ref.]]="Dentro",DATOS_[Conc.Sal.09]))))), 0)</f>
        <v>0</v>
      </c>
      <c r="O67" s="250" t="n">
        <f aca="false" t="array" ref="O67:O67">IFERROR( MEDIAN((IF(DATOS_[[Sexo]:[Sexo]]=$B67,IF(DATOS_[[AGRUP. CLAS. PROF.]:[AGRUP. CLAS. PROF.]]=$B66,IF(DATOS_[[Check Periodo Ref.]:[Check Periodo Ref.]]="Dentro",DATOS_[Conc.Sal.10]))))), 0)</f>
        <v>0</v>
      </c>
      <c r="P67" s="250" t="n">
        <f aca="false" t="array" ref="P67:P67">IFERROR( MEDIAN((IF(DATOS_[[Sexo]:[Sexo]]=$B67,IF(DATOS_[[AGRUP. CLAS. PROF.]:[AGRUP. CLAS. PROF.]]=$B66,IF(DATOS_[[Check Periodo Ref.]:[Check Periodo Ref.]]="Dentro",DATOS_[Conc.Sal.11]))))), 0)</f>
        <v>0</v>
      </c>
      <c r="Q67" s="250" t="n">
        <f aca="false" t="array" ref="Q67:Q67">IFERROR( MEDIAN((IF(DATOS_[[Sexo]:[Sexo]]=$B67,IF(DATOS_[[AGRUP. CLAS. PROF.]:[AGRUP. CLAS. PROF.]]=$B66,IF(DATOS_[[Check Periodo Ref.]:[Check Periodo Ref.]]="Dentro",DATOS_[Conc.Sal.12]))))), 0)</f>
        <v>0</v>
      </c>
      <c r="R67" s="250" t="n">
        <f aca="false" t="array" ref="R67:R67">IFERROR( MEDIAN((IF(DATOS_[[Sexo]:[Sexo]]=$B67,IF(DATOS_[[AGRUP. CLAS. PROF.]:[AGRUP. CLAS. PROF.]]=$B66,IF(DATOS_[[Check Periodo Ref.]:[Check Periodo Ref.]]="Dentro",DATOS_[Conc.Sal.13]))))), 0)</f>
        <v>0</v>
      </c>
      <c r="S67" s="250" t="n">
        <f aca="false" t="array" ref="S67:S67">IFERROR( MEDIAN((IF(DATOS_[[Sexo]:[Sexo]]=$B67,IF(DATOS_[[AGRUP. CLAS. PROF.]:[AGRUP. CLAS. PROF.]]=$B66,IF(DATOS_[[Check Periodo Ref.]:[Check Periodo Ref.]]="Dentro",DATOS_[Conc.Sal.14]))))), 0)</f>
        <v>0</v>
      </c>
      <c r="T67" s="250" t="n">
        <f aca="false" t="array" ref="T67:T67">IFERROR( MEDIAN((IF(DATOS_[[Sexo]:[Sexo]]=$B67,IF(DATOS_[[AGRUP. CLAS. PROF.]:[AGRUP. CLAS. PROF.]]=$B66,IF(DATOS_[[Check Periodo Ref.]:[Check Periodo Ref.]]="Dentro",DATOS_[Conc.Sal.15]))))), 0)</f>
        <v>0</v>
      </c>
      <c r="U67" s="250" t="n">
        <f aca="false" t="array" ref="U67:U67">IFERROR( MEDIAN((IF(DATOS_[[Sexo]:[Sexo]]=$B67,IF(DATOS_[[AGRUP. CLAS. PROF.]:[AGRUP. CLAS. PROF.]]=$B66,IF(DATOS_[[Check Periodo Ref.]:[Check Periodo Ref.]]="Dentro",DATOS_[Conc.Sal.16]))))), 0)</f>
        <v>0</v>
      </c>
      <c r="V67" s="250" t="n">
        <f aca="false" t="array" ref="V67:V67">IFERROR( MEDIAN((IF(DATOS_[[Sexo]:[Sexo]]=$B67,IF(DATOS_[[AGRUP. CLAS. PROF.]:[AGRUP. CLAS. PROF.]]=$B66,IF(DATOS_[[Check Periodo Ref.]:[Check Periodo Ref.]]="Dentro",DATOS_[Conc.Sal.17]))))), 0)</f>
        <v>0</v>
      </c>
      <c r="W67" s="250" t="n">
        <f aca="false" t="array" ref="W67:W67">IFERROR( MEDIAN((IF(DATOS_[[Sexo]:[Sexo]]=$B67,IF(DATOS_[[AGRUP. CLAS. PROF.]:[AGRUP. CLAS. PROF.]]=$B66,IF(DATOS_[[Check Periodo Ref.]:[Check Periodo Ref.]]="Dentro",DATOS_[Conc.Sal.18]))))), 0)</f>
        <v>0</v>
      </c>
      <c r="X67" s="250" t="n">
        <f aca="false" t="array" ref="X67:X67">IFERROR( MEDIAN((IF(DATOS_[[Sexo]:[Sexo]]=$B67,IF(DATOS_[[AGRUP. CLAS. PROF.]:[AGRUP. CLAS. PROF.]]=$B66,IF(DATOS_[[Check Periodo Ref.]:[Check Periodo Ref.]]="Dentro",DATOS_[Conc.Sal.19]))))), 0)</f>
        <v>0</v>
      </c>
      <c r="Y67" s="250" t="n">
        <f aca="false" t="array" ref="Y67:Y67">IFERROR( MEDIAN((IF(DATOS_[[Sexo]:[Sexo]]=$B67,IF(DATOS_[[AGRUP. CLAS. PROF.]:[AGRUP. CLAS. PROF.]]=$B66,IF(DATOS_[[Check Periodo Ref.]:[Check Periodo Ref.]]="Dentro",DATOS_[Conc.Sal.20]))))), 0)</f>
        <v>0</v>
      </c>
      <c r="Z67" s="250" t="n">
        <f aca="false" t="array" ref="Z67:Z67">IFERROR( MEDIAN((IF(DATOS_[[Sexo]:[Sexo]]=$B67,IF(DATOS_[[AGRUP. CLAS. PROF.]:[AGRUP. CLAS. PROF.]]=$B66,IF(DATOS_[[Check Periodo Ref.]:[Check Periodo Ref.]]="Dentro",DATOS_[Conc.Sal.21]))))), 0)</f>
        <v>0</v>
      </c>
      <c r="AA67" s="250" t="n">
        <f aca="false" t="array" ref="AA67:AA67">IFERROR( MEDIAN((IF(DATOS_[[Sexo]:[Sexo]]=$B67,IF(DATOS_[[AGRUP. CLAS. PROF.]:[AGRUP. CLAS. PROF.]]=$B66,IF(DATOS_[[Check Periodo Ref.]:[Check Periodo Ref.]]="Dentro",DATOS_[Conc.Sal.22]))))), 0)</f>
        <v>0</v>
      </c>
      <c r="AB67" s="250" t="n">
        <f aca="false" t="array" ref="AB67:AB67">IFERROR( MEDIAN((IF(DATOS_[[Sexo]:[Sexo]]=$B67,IF(DATOS_[[AGRUP. CLAS. PROF.]:[AGRUP. CLAS. PROF.]]=$B66,IF(DATOS_[[Check Periodo Ref.]:[Check Periodo Ref.]]="Dentro",DATOS_[Conc.Sal.23]))))), 0)</f>
        <v>0</v>
      </c>
      <c r="AC67" s="250" t="n">
        <f aca="false" t="array" ref="AC67:AC67">IFERROR( MEDIAN((IF(DATOS_[[Sexo]:[Sexo]]=$B67,IF(DATOS_[[AGRUP. CLAS. PROF.]:[AGRUP. CLAS. PROF.]]=$B66,IF(DATOS_[[Check Periodo Ref.]:[Check Periodo Ref.]]="Dentro",DATOS_[Conc.Sal.24]))))), 0)</f>
        <v>0</v>
      </c>
      <c r="AD67" s="250" t="n">
        <f aca="false" t="array" ref="AD67:AD67">IFERROR( MEDIAN((IF(DATOS_[[Sexo]:[Sexo]]=$B67,IF(DATOS_[[AGRUP. CLAS. PROF.]:[AGRUP. CLAS. PROF.]]=$B66,IF(DATOS_[[Check Periodo Ref.]:[Check Periodo Ref.]]="Dentro",DATOS_[Conc.Sal.25]))))), 0)</f>
        <v>0</v>
      </c>
      <c r="AE67" s="250" t="n">
        <f aca="false" t="array" ref="AE67:AE67">IFERROR( MEDIAN((IF(DATOS_[[Sexo]:[Sexo]]=$B67,IF(DATOS_[[AGRUP. CLAS. PROF.]:[AGRUP. CLAS. PROF.]]=$B66,IF(DATOS_[[Check Periodo Ref.]:[Check Periodo Ref.]]="Dentro",DATOS_[Conc.Sal.26]))))), 0)</f>
        <v>0</v>
      </c>
      <c r="AF67" s="250" t="n">
        <f aca="false" t="array" ref="AF67:AF67">IFERROR( MEDIAN((IF(DATOS_[[Sexo]:[Sexo]]=$B67,IF(DATOS_[[AGRUP. CLAS. PROF.]:[AGRUP. CLAS. PROF.]]=$B66,IF(DATOS_[[Check Periodo Ref.]:[Check Periodo Ref.]]="Dentro",DATOS_[Conc.Sal.27]))))), 0)</f>
        <v>0</v>
      </c>
      <c r="AG67" s="250" t="n">
        <f aca="false" t="array" ref="AG67:AG67">IFERROR( MEDIAN((IF(DATOS_[[Sexo]:[Sexo]]=$B67,IF(DATOS_[[AGRUP. CLAS. PROF.]:[AGRUP. CLAS. PROF.]]=$B66,IF(DATOS_[[Check Periodo Ref.]:[Check Periodo Ref.]]="Dentro",DATOS_[Conc.Sal.28]))))), 0)</f>
        <v>0</v>
      </c>
      <c r="AH67" s="250" t="n">
        <f aca="false" t="array" ref="AH67:AH67">IFERROR( MEDIAN((IF(DATOS_[[Sexo]:[Sexo]]=$B67,IF(DATOS_[[AGRUP. CLAS. PROF.]:[AGRUP. CLAS. PROF.]]=$B66,IF(DATOS_[[Check Periodo Ref.]:[Check Periodo Ref.]]="Dentro",DATOS_[Conc.Sal.29]))))), 0)</f>
        <v>0</v>
      </c>
      <c r="AI67" s="250" t="n">
        <f aca="false" t="array" ref="AI67:AI67">IFERROR( MEDIAN((IF(DATOS_[[Sexo]:[Sexo]]=$B67,IF(DATOS_[[AGRUP. CLAS. PROF.]:[AGRUP. CLAS. PROF.]]=$B66,IF(DATOS_[[Check Periodo Ref.]:[Check Periodo Ref.]]="Dentro",DATOS_[Conc.Sal.30]))))), 0)</f>
        <v>0</v>
      </c>
      <c r="AJ67" s="251" t="n">
        <f aca="false" t="array" ref="AJ67:AJ67">IFERROR( MEDIAN(IF(DATOS_[Sexo]=$B67,IF(DATOS_[AGRUP. CLAS. PROF.]=$B66,IF(DATOS_[Check Periodo Ref.]="Dentro",DATOS_[Tot COMPL.SAL Ef],0)))), 0)</f>
        <v>0</v>
      </c>
      <c r="AK67" s="252" t="n">
        <f aca="false" t="array" ref="AK67:AK67">IFERROR( MEDIAN(IF(DATOS_[Sexo]=$B67,IF(DATOS_[AGRUP. CLAS. PROF.]=$B66,IF(DATOS_[Check Periodo Ref.]="Dentro",DATOS_[TOTAL SALARIO Ef],0)))), 0)</f>
        <v>0</v>
      </c>
      <c r="AL67" s="259" t="n">
        <f aca="false" t="array" ref="AL67:AL67">IFERROR( MEDIAN((IF(DATOS_[[Sexo]:[Sexo]]=$B67,IF(DATOS_[[AGRUP. CLAS. PROF.]:[AGRUP. CLAS. PROF.]]=$B66,IF(DATOS_[[Check Periodo Ref.]:[Check Periodo Ref.]]="Dentro",DATOS_[C.Extra.01]))))), 0)</f>
        <v>0</v>
      </c>
      <c r="AM67" s="259" t="n">
        <f aca="false" t="array" ref="AM67:AM67">IFERROR( MEDIAN((IF(DATOS_[[Sexo]:[Sexo]]=$B67,IF(DATOS_[[AGRUP. CLAS. PROF.]:[AGRUP. CLAS. PROF.]]=$B66,IF(DATOS_[[Check Periodo Ref.]:[Check Periodo Ref.]]="Dentro",DATOS_[C.Extra.02]))))), 0)</f>
        <v>0</v>
      </c>
      <c r="AN67" s="259" t="n">
        <f aca="false" t="array" ref="AN67:AN67">IFERROR( MEDIAN((IF(DATOS_[[Sexo]:[Sexo]]=$B67,IF(DATOS_[[AGRUP. CLAS. PROF.]:[AGRUP. CLAS. PROF.]]=$B66,IF(DATOS_[[Check Periodo Ref.]:[Check Periodo Ref.]]="Dentro",DATOS_[C.Extra.03]))))), 0)</f>
        <v>0</v>
      </c>
      <c r="AO67" s="259" t="n">
        <f aca="false" t="array" ref="AO67:AO67">IFERROR( MEDIAN((IF(DATOS_[[Sexo]:[Sexo]]=$B67,IF(DATOS_[[AGRUP. CLAS. PROF.]:[AGRUP. CLAS. PROF.]]=$B66,IF(DATOS_[[Check Periodo Ref.]:[Check Periodo Ref.]]="Dentro",DATOS_[C.Extra.04]))))), 0)</f>
        <v>0</v>
      </c>
      <c r="AP67" s="259" t="n">
        <f aca="false" t="array" ref="AP67:AP67">IFERROR( MEDIAN((IF(DATOS_[[Sexo]:[Sexo]]=$B67,IF(DATOS_[[AGRUP. CLAS. PROF.]:[AGRUP. CLAS. PROF.]]=$B66,IF(DATOS_[[Check Periodo Ref.]:[Check Periodo Ref.]]="Dentro",DATOS_[C.Extra.05]))))), 0)</f>
        <v>0</v>
      </c>
      <c r="AQ67" s="254" t="n">
        <f aca="false" t="array" ref="AQ67:AQ67">IFERROR( MEDIAN(IF(DATOS_[Sexo]=$B67,IF(DATOS_[AGRUP. CLAS. PROF.]=$B66,IF(DATOS_[Check Periodo Ref.]="Dentro",DATOS_[Tot Extrasalarial Ef],0)))), 0)</f>
        <v>0</v>
      </c>
      <c r="AR67" s="255" t="n">
        <f aca="false" t="array" ref="AR67:AR67">IFERROR( MEDIAN(IF(DATOS_[Sexo]=$B67,IF(DATOS_[AGRUP. CLAS. PROF.]=$B66,IF(DATOS_[Check Periodo Ref.]="Dentro",DATOS_[TOTAL Retrib Ef],0)))), 0)</f>
        <v>0</v>
      </c>
    </row>
    <row r="68" customFormat="false" ht="14.25" hidden="false" customHeight="false" outlineLevel="0" collapsed="false">
      <c r="A68" s="217" t="str">
        <f aca="false">+A67</f>
        <v>[ocultar]</v>
      </c>
      <c r="B68" s="246" t="s">
        <v>372</v>
      </c>
      <c r="C68" s="247" t="n">
        <f aca="false" t="array" ref="C68:C68">SUM(IF($B68=DATOS_[Sexo], IF($B66=DATOS_[AGRUP. CLAS. PROF.], IF("Dentro"=DATOS_[Check Periodo Ref.], 1/(COUNTIFS(DATOS_[Sexo],$B68,DATOS_[AGRUP. CLAS. PROF.],$B66,DATOS_[Check Periodo Ref.],"Dentro",DATOS_[id],DATOS_[id]))))))</f>
        <v>0</v>
      </c>
      <c r="D68" s="248" t="n">
        <f aca="false">COUNTIFS(DATOS_[AGRUP. CLAS. PROF.],$B66,DATOS_[Sexo],$B68,DATOS_[Check Periodo Ref.],"Dentro")</f>
        <v>0</v>
      </c>
      <c r="E68" s="249" t="n">
        <f aca="false" t="array" ref="E68:E68">IFERROR( MEDIAN(IF(DATOS_[Sexo]=$B68,IF(DATOS_[AGRUP. CLAS. PROF.]=$B66,IF(DATOS_[Check Periodo Ref.]="Dentro",DATOS_[SALARIO BASE Ef],0)))), 0)</f>
        <v>0</v>
      </c>
      <c r="F68" s="250" t="n">
        <f aca="false" t="array" ref="F68:F68">IFERROR( MEDIAN((IF(DATOS_[[Sexo]:[Sexo]]=$B68,IF(DATOS_[[AGRUP. CLAS. PROF.]:[AGRUP. CLAS. PROF.]]=$B66,IF(DATOS_[[Check Periodo Ref.]:[Check Periodo Ref.]]="Dentro",DATOS_[Conc.Sal.01]))))), 0)</f>
        <v>0</v>
      </c>
      <c r="G68" s="250" t="n">
        <f aca="false" t="array" ref="G68:G68">IFERROR( MEDIAN((IF(DATOS_[[Sexo]:[Sexo]]=$B68,IF(DATOS_[[AGRUP. CLAS. PROF.]:[AGRUP. CLAS. PROF.]]=$B66,IF(DATOS_[[Check Periodo Ref.]:[Check Periodo Ref.]]="Dentro",DATOS_[Conc.Sal.02]))))), 0)</f>
        <v>0</v>
      </c>
      <c r="H68" s="250" t="n">
        <f aca="false" t="array" ref="H68:H68">IFERROR( MEDIAN((IF(DATOS_[[Sexo]:[Sexo]]=$B68,IF(DATOS_[[AGRUP. CLAS. PROF.]:[AGRUP. CLAS. PROF.]]=$B66,IF(DATOS_[[Check Periodo Ref.]:[Check Periodo Ref.]]="Dentro",DATOS_[Conc.Sal.03]))))), 0)</f>
        <v>0</v>
      </c>
      <c r="I68" s="250" t="n">
        <f aca="false" t="array" ref="I68:I68">IFERROR( MEDIAN((IF(DATOS_[[Sexo]:[Sexo]]=$B68,IF(DATOS_[[AGRUP. CLAS. PROF.]:[AGRUP. CLAS. PROF.]]=$B66,IF(DATOS_[[Check Periodo Ref.]:[Check Periodo Ref.]]="Dentro",DATOS_[Conc.Sal.04]))))), 0)</f>
        <v>0</v>
      </c>
      <c r="J68" s="250" t="n">
        <f aca="false" t="array" ref="J68:J68">IFERROR( MEDIAN((IF(DATOS_[[Sexo]:[Sexo]]=$B68,IF(DATOS_[[AGRUP. CLAS. PROF.]:[AGRUP. CLAS. PROF.]]=$B66,IF(DATOS_[[Check Periodo Ref.]:[Check Periodo Ref.]]="Dentro",DATOS_[Conc.Sal.05]))))), 0)</f>
        <v>0</v>
      </c>
      <c r="K68" s="250" t="n">
        <f aca="false" t="array" ref="K68:K68">IFERROR( MEDIAN((IF(DATOS_[[Sexo]:[Sexo]]=$B68,IF(DATOS_[[AGRUP. CLAS. PROF.]:[AGRUP. CLAS. PROF.]]=$B66,IF(DATOS_[[Check Periodo Ref.]:[Check Periodo Ref.]]="Dentro",DATOS_[Conc.Sal.06]))))), 0)</f>
        <v>0</v>
      </c>
      <c r="L68" s="250" t="n">
        <f aca="false" t="array" ref="L68:L68">IFERROR( MEDIAN((IF(DATOS_[[Sexo]:[Sexo]]=$B68,IF(DATOS_[[AGRUP. CLAS. PROF.]:[AGRUP. CLAS. PROF.]]=$B66,IF(DATOS_[[Check Periodo Ref.]:[Check Periodo Ref.]]="Dentro",DATOS_[Conc.Sal.07]))))), 0)</f>
        <v>0</v>
      </c>
      <c r="M68" s="250" t="n">
        <f aca="false" t="array" ref="M68:M68">IFERROR( MEDIAN((IF(DATOS_[[Sexo]:[Sexo]]=$B68,IF(DATOS_[[AGRUP. CLAS. PROF.]:[AGRUP. CLAS. PROF.]]=$B66,IF(DATOS_[[Check Periodo Ref.]:[Check Periodo Ref.]]="Dentro",DATOS_[Conc.Sal.08]))))), 0)</f>
        <v>0</v>
      </c>
      <c r="N68" s="250" t="n">
        <f aca="false" t="array" ref="N68:N68">IFERROR( MEDIAN((IF(DATOS_[[Sexo]:[Sexo]]=$B68,IF(DATOS_[[AGRUP. CLAS. PROF.]:[AGRUP. CLAS. PROF.]]=$B66,IF(DATOS_[[Check Periodo Ref.]:[Check Periodo Ref.]]="Dentro",DATOS_[Conc.Sal.09]))))), 0)</f>
        <v>0</v>
      </c>
      <c r="O68" s="250" t="n">
        <f aca="false" t="array" ref="O68:O68">IFERROR( MEDIAN((IF(DATOS_[[Sexo]:[Sexo]]=$B68,IF(DATOS_[[AGRUP. CLAS. PROF.]:[AGRUP. CLAS. PROF.]]=$B66,IF(DATOS_[[Check Periodo Ref.]:[Check Periodo Ref.]]="Dentro",DATOS_[Conc.Sal.10]))))), 0)</f>
        <v>0</v>
      </c>
      <c r="P68" s="250" t="n">
        <f aca="false" t="array" ref="P68:P68">IFERROR( MEDIAN((IF(DATOS_[[Sexo]:[Sexo]]=$B68,IF(DATOS_[[AGRUP. CLAS. PROF.]:[AGRUP. CLAS. PROF.]]=$B66,IF(DATOS_[[Check Periodo Ref.]:[Check Periodo Ref.]]="Dentro",DATOS_[Conc.Sal.11]))))), 0)</f>
        <v>0</v>
      </c>
      <c r="Q68" s="250" t="n">
        <f aca="false" t="array" ref="Q68:Q68">IFERROR( MEDIAN((IF(DATOS_[[Sexo]:[Sexo]]=$B68,IF(DATOS_[[AGRUP. CLAS. PROF.]:[AGRUP. CLAS. PROF.]]=$B66,IF(DATOS_[[Check Periodo Ref.]:[Check Periodo Ref.]]="Dentro",DATOS_[Conc.Sal.12]))))), 0)</f>
        <v>0</v>
      </c>
      <c r="R68" s="250" t="n">
        <f aca="false" t="array" ref="R68:R68">IFERROR( MEDIAN((IF(DATOS_[[Sexo]:[Sexo]]=$B68,IF(DATOS_[[AGRUP. CLAS. PROF.]:[AGRUP. CLAS. PROF.]]=$B66,IF(DATOS_[[Check Periodo Ref.]:[Check Periodo Ref.]]="Dentro",DATOS_[Conc.Sal.13]))))), 0)</f>
        <v>0</v>
      </c>
      <c r="S68" s="250" t="n">
        <f aca="false" t="array" ref="S68:S68">IFERROR( MEDIAN((IF(DATOS_[[Sexo]:[Sexo]]=$B68,IF(DATOS_[[AGRUP. CLAS. PROF.]:[AGRUP. CLAS. PROF.]]=$B66,IF(DATOS_[[Check Periodo Ref.]:[Check Periodo Ref.]]="Dentro",DATOS_[Conc.Sal.14]))))), 0)</f>
        <v>0</v>
      </c>
      <c r="T68" s="250" t="n">
        <f aca="false" t="array" ref="T68:T68">IFERROR( MEDIAN((IF(DATOS_[[Sexo]:[Sexo]]=$B68,IF(DATOS_[[AGRUP. CLAS. PROF.]:[AGRUP. CLAS. PROF.]]=$B66,IF(DATOS_[[Check Periodo Ref.]:[Check Periodo Ref.]]="Dentro",DATOS_[Conc.Sal.15]))))), 0)</f>
        <v>0</v>
      </c>
      <c r="U68" s="250" t="n">
        <f aca="false" t="array" ref="U68:U68">IFERROR( MEDIAN((IF(DATOS_[[Sexo]:[Sexo]]=$B68,IF(DATOS_[[AGRUP. CLAS. PROF.]:[AGRUP. CLAS. PROF.]]=$B66,IF(DATOS_[[Check Periodo Ref.]:[Check Periodo Ref.]]="Dentro",DATOS_[Conc.Sal.16]))))), 0)</f>
        <v>0</v>
      </c>
      <c r="V68" s="250" t="n">
        <f aca="false" t="array" ref="V68:V68">IFERROR( MEDIAN((IF(DATOS_[[Sexo]:[Sexo]]=$B68,IF(DATOS_[[AGRUP. CLAS. PROF.]:[AGRUP. CLAS. PROF.]]=$B66,IF(DATOS_[[Check Periodo Ref.]:[Check Periodo Ref.]]="Dentro",DATOS_[Conc.Sal.17]))))), 0)</f>
        <v>0</v>
      </c>
      <c r="W68" s="250" t="n">
        <f aca="false" t="array" ref="W68:W68">IFERROR( MEDIAN((IF(DATOS_[[Sexo]:[Sexo]]=$B68,IF(DATOS_[[AGRUP. CLAS. PROF.]:[AGRUP. CLAS. PROF.]]=$B66,IF(DATOS_[[Check Periodo Ref.]:[Check Periodo Ref.]]="Dentro",DATOS_[Conc.Sal.18]))))), 0)</f>
        <v>0</v>
      </c>
      <c r="X68" s="250" t="n">
        <f aca="false" t="array" ref="X68:X68">IFERROR( MEDIAN((IF(DATOS_[[Sexo]:[Sexo]]=$B68,IF(DATOS_[[AGRUP. CLAS. PROF.]:[AGRUP. CLAS. PROF.]]=$B66,IF(DATOS_[[Check Periodo Ref.]:[Check Periodo Ref.]]="Dentro",DATOS_[Conc.Sal.19]))))), 0)</f>
        <v>0</v>
      </c>
      <c r="Y68" s="250" t="n">
        <f aca="false" t="array" ref="Y68:Y68">IFERROR( MEDIAN((IF(DATOS_[[Sexo]:[Sexo]]=$B68,IF(DATOS_[[AGRUP. CLAS. PROF.]:[AGRUP. CLAS. PROF.]]=$B66,IF(DATOS_[[Check Periodo Ref.]:[Check Periodo Ref.]]="Dentro",DATOS_[Conc.Sal.20]))))), 0)</f>
        <v>0</v>
      </c>
      <c r="Z68" s="250" t="n">
        <f aca="false" t="array" ref="Z68:Z68">IFERROR( MEDIAN((IF(DATOS_[[Sexo]:[Sexo]]=$B68,IF(DATOS_[[AGRUP. CLAS. PROF.]:[AGRUP. CLAS. PROF.]]=$B66,IF(DATOS_[[Check Periodo Ref.]:[Check Periodo Ref.]]="Dentro",DATOS_[Conc.Sal.21]))))), 0)</f>
        <v>0</v>
      </c>
      <c r="AA68" s="250" t="n">
        <f aca="false" t="array" ref="AA68:AA68">IFERROR( MEDIAN((IF(DATOS_[[Sexo]:[Sexo]]=$B68,IF(DATOS_[[AGRUP. CLAS. PROF.]:[AGRUP. CLAS. PROF.]]=$B66,IF(DATOS_[[Check Periodo Ref.]:[Check Periodo Ref.]]="Dentro",DATOS_[Conc.Sal.22]))))), 0)</f>
        <v>0</v>
      </c>
      <c r="AB68" s="250" t="n">
        <f aca="false" t="array" ref="AB68:AB68">IFERROR( MEDIAN((IF(DATOS_[[Sexo]:[Sexo]]=$B68,IF(DATOS_[[AGRUP. CLAS. PROF.]:[AGRUP. CLAS. PROF.]]=$B66,IF(DATOS_[[Check Periodo Ref.]:[Check Periodo Ref.]]="Dentro",DATOS_[Conc.Sal.23]))))), 0)</f>
        <v>0</v>
      </c>
      <c r="AC68" s="250" t="n">
        <f aca="false" t="array" ref="AC68:AC68">IFERROR( MEDIAN((IF(DATOS_[[Sexo]:[Sexo]]=$B68,IF(DATOS_[[AGRUP. CLAS. PROF.]:[AGRUP. CLAS. PROF.]]=$B66,IF(DATOS_[[Check Periodo Ref.]:[Check Periodo Ref.]]="Dentro",DATOS_[Conc.Sal.24]))))), 0)</f>
        <v>0</v>
      </c>
      <c r="AD68" s="250" t="n">
        <f aca="false" t="array" ref="AD68:AD68">IFERROR( MEDIAN((IF(DATOS_[[Sexo]:[Sexo]]=$B68,IF(DATOS_[[AGRUP. CLAS. PROF.]:[AGRUP. CLAS. PROF.]]=$B66,IF(DATOS_[[Check Periodo Ref.]:[Check Periodo Ref.]]="Dentro",DATOS_[Conc.Sal.25]))))), 0)</f>
        <v>0</v>
      </c>
      <c r="AE68" s="250" t="n">
        <f aca="false" t="array" ref="AE68:AE68">IFERROR( MEDIAN((IF(DATOS_[[Sexo]:[Sexo]]=$B68,IF(DATOS_[[AGRUP. CLAS. PROF.]:[AGRUP. CLAS. PROF.]]=$B66,IF(DATOS_[[Check Periodo Ref.]:[Check Periodo Ref.]]="Dentro",DATOS_[Conc.Sal.26]))))), 0)</f>
        <v>0</v>
      </c>
      <c r="AF68" s="250" t="n">
        <f aca="false" t="array" ref="AF68:AF68">IFERROR( MEDIAN((IF(DATOS_[[Sexo]:[Sexo]]=$B68,IF(DATOS_[[AGRUP. CLAS. PROF.]:[AGRUP. CLAS. PROF.]]=$B66,IF(DATOS_[[Check Periodo Ref.]:[Check Periodo Ref.]]="Dentro",DATOS_[Conc.Sal.27]))))), 0)</f>
        <v>0</v>
      </c>
      <c r="AG68" s="250" t="n">
        <f aca="false" t="array" ref="AG68:AG68">IFERROR( MEDIAN((IF(DATOS_[[Sexo]:[Sexo]]=$B68,IF(DATOS_[[AGRUP. CLAS. PROF.]:[AGRUP. CLAS. PROF.]]=$B66,IF(DATOS_[[Check Periodo Ref.]:[Check Periodo Ref.]]="Dentro",DATOS_[Conc.Sal.28]))))), 0)</f>
        <v>0</v>
      </c>
      <c r="AH68" s="250" t="n">
        <f aca="false" t="array" ref="AH68:AH68">IFERROR( MEDIAN((IF(DATOS_[[Sexo]:[Sexo]]=$B68,IF(DATOS_[[AGRUP. CLAS. PROF.]:[AGRUP. CLAS. PROF.]]=$B66,IF(DATOS_[[Check Periodo Ref.]:[Check Periodo Ref.]]="Dentro",DATOS_[Conc.Sal.29]))))), 0)</f>
        <v>0</v>
      </c>
      <c r="AI68" s="250" t="n">
        <f aca="false" t="array" ref="AI68:AI68">IFERROR( MEDIAN((IF(DATOS_[[Sexo]:[Sexo]]=$B68,IF(DATOS_[[AGRUP. CLAS. PROF.]:[AGRUP. CLAS. PROF.]]=$B66,IF(DATOS_[[Check Periodo Ref.]:[Check Periodo Ref.]]="Dentro",DATOS_[Conc.Sal.30]))))), 0)</f>
        <v>0</v>
      </c>
      <c r="AJ68" s="251" t="n">
        <f aca="false" t="array" ref="AJ68:AJ68">IFERROR( MEDIAN(IF(DATOS_[Sexo]=$B68,IF(DATOS_[AGRUP. CLAS. PROF.]=$B66,IF(DATOS_[Check Periodo Ref.]="Dentro",DATOS_[Tot COMPL.SAL Ef],0)))), 0)</f>
        <v>0</v>
      </c>
      <c r="AK68" s="252" t="n">
        <f aca="false" t="array" ref="AK68:AK68">IFERROR( MEDIAN(IF(DATOS_[Sexo]=$B68,IF(DATOS_[AGRUP. CLAS. PROF.]=$B66,IF(DATOS_[Check Periodo Ref.]="Dentro",DATOS_[TOTAL SALARIO Ef],0)))), 0)</f>
        <v>0</v>
      </c>
      <c r="AL68" s="259" t="n">
        <f aca="false" t="array" ref="AL68:AL68">IFERROR( MEDIAN((IF(DATOS_[[Sexo]:[Sexo]]=$B68,IF(DATOS_[[AGRUP. CLAS. PROF.]:[AGRUP. CLAS. PROF.]]=$B66,IF(DATOS_[[Check Periodo Ref.]:[Check Periodo Ref.]]="Dentro",DATOS_[C.Extra.01]))))), 0)</f>
        <v>0</v>
      </c>
      <c r="AM68" s="259" t="n">
        <f aca="false" t="array" ref="AM68:AM68">IFERROR( MEDIAN((IF(DATOS_[[Sexo]:[Sexo]]=$B68,IF(DATOS_[[AGRUP. CLAS. PROF.]:[AGRUP. CLAS. PROF.]]=$B66,IF(DATOS_[[Check Periodo Ref.]:[Check Periodo Ref.]]="Dentro",DATOS_[C.Extra.02]))))), 0)</f>
        <v>0</v>
      </c>
      <c r="AN68" s="259" t="n">
        <f aca="false" t="array" ref="AN68:AN68">IFERROR( MEDIAN((IF(DATOS_[[Sexo]:[Sexo]]=$B68,IF(DATOS_[[AGRUP. CLAS. PROF.]:[AGRUP. CLAS. PROF.]]=$B66,IF(DATOS_[[Check Periodo Ref.]:[Check Periodo Ref.]]="Dentro",DATOS_[C.Extra.03]))))), 0)</f>
        <v>0</v>
      </c>
      <c r="AO68" s="259" t="n">
        <f aca="false" t="array" ref="AO68:AO68">IFERROR( MEDIAN((IF(DATOS_[[Sexo]:[Sexo]]=$B68,IF(DATOS_[[AGRUP. CLAS. PROF.]:[AGRUP. CLAS. PROF.]]=$B66,IF(DATOS_[[Check Periodo Ref.]:[Check Periodo Ref.]]="Dentro",DATOS_[C.Extra.04]))))), 0)</f>
        <v>0</v>
      </c>
      <c r="AP68" s="259" t="n">
        <f aca="false" t="array" ref="AP68:AP68">IFERROR( MEDIAN((IF(DATOS_[[Sexo]:[Sexo]]=$B68,IF(DATOS_[[AGRUP. CLAS. PROF.]:[AGRUP. CLAS. PROF.]]=$B66,IF(DATOS_[[Check Periodo Ref.]:[Check Periodo Ref.]]="Dentro",DATOS_[C.Extra.05]))))), 0)</f>
        <v>0</v>
      </c>
      <c r="AQ68" s="254" t="n">
        <f aca="false" t="array" ref="AQ68:AQ68">IFERROR( MEDIAN(IF(DATOS_[Sexo]=$B68,IF(DATOS_[AGRUP. CLAS. PROF.]=$B66,IF(DATOS_[Check Periodo Ref.]="Dentro",DATOS_[Tot Extrasalarial Ef],0)))), 0)</f>
        <v>0</v>
      </c>
      <c r="AR68" s="255" t="n">
        <f aca="false" t="array" ref="AR68:AR68">IFERROR( MEDIAN(IF(DATOS_[Sexo]=$B68,IF(DATOS_[AGRUP. CLAS. PROF.]=$B66,IF(DATOS_[Check Periodo Ref.]="Dentro",DATOS_[TOTAL Retrib Ef],0)))), 0)</f>
        <v>0</v>
      </c>
    </row>
    <row r="69" customFormat="false" ht="15.75" hidden="false" customHeight="false" outlineLevel="0" collapsed="false">
      <c r="A69" s="217" t="str">
        <f aca="false">+A70</f>
        <v>[ocultar]</v>
      </c>
      <c r="B69" s="235" t="s">
        <v>222</v>
      </c>
      <c r="C69" s="236"/>
      <c r="D69" s="237"/>
      <c r="E69" s="238" t="str">
        <f aca="false">IFERROR((E70-E71)/E70,"")</f>
        <v/>
      </c>
      <c r="F69" s="239" t="str">
        <f aca="false">IFERROR((F70-F71)/F70,"")</f>
        <v/>
      </c>
      <c r="G69" s="239" t="str">
        <f aca="false">IFERROR((G70-G71)/G70,"")</f>
        <v/>
      </c>
      <c r="H69" s="239" t="str">
        <f aca="false">IFERROR((H70-H71)/H70,"")</f>
        <v/>
      </c>
      <c r="I69" s="239"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40" t="str">
        <f aca="false">IFERROR((V70-V71)/V70,"")</f>
        <v/>
      </c>
      <c r="W69" s="240" t="str">
        <f aca="false">IFERROR((W70-W71)/W70,"")</f>
        <v/>
      </c>
      <c r="X69" s="240" t="str">
        <f aca="false">IFERROR((X70-X71)/X70,"")</f>
        <v/>
      </c>
      <c r="Y69" s="240"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1" t="str">
        <f aca="false">IFERROR((AJ70-AJ71)/AJ70,"")</f>
        <v/>
      </c>
      <c r="AK69" s="242" t="str">
        <f aca="false">IFERROR((AK70-AK71)/AK70,"")</f>
        <v/>
      </c>
      <c r="AL69" s="243" t="str">
        <f aca="false">IFERROR((AL70-AL71)/AL70,"")</f>
        <v/>
      </c>
      <c r="AM69" s="243" t="str">
        <f aca="false">IFERROR((AM70-AM71)/AM70,"")</f>
        <v/>
      </c>
      <c r="AN69" s="243" t="str">
        <f aca="false">IFERROR((AN70-AN71)/AN70,"")</f>
        <v/>
      </c>
      <c r="AO69" s="243" t="str">
        <f aca="false">IFERROR((AO70-AO71)/AO70,"")</f>
        <v/>
      </c>
      <c r="AP69" s="243" t="str">
        <f aca="false">IFERROR((AP70-AP71)/AP70,"")</f>
        <v/>
      </c>
      <c r="AQ69" s="244" t="str">
        <f aca="false">IFERROR((AQ70-AQ71)/AQ70,"")</f>
        <v/>
      </c>
      <c r="AR69" s="245" t="str">
        <f aca="false">IFERROR((AR70-AR71)/AR70,"")</f>
        <v/>
      </c>
    </row>
    <row r="70" customFormat="false" ht="14.25" hidden="false" customHeight="false" outlineLevel="0" collapsed="false">
      <c r="A70" s="217" t="str">
        <f aca="false">+IF(C70+C71=0,"[ocultar]","")</f>
        <v>[ocultar]</v>
      </c>
      <c r="B70" s="246" t="s">
        <v>371</v>
      </c>
      <c r="C70" s="247" t="n">
        <f aca="false" t="array" ref="C70:C70">SUM(IF($B70=DATOS_[Sexo], IF($B69=DATOS_[AGRUP. CLAS. PROF.], IF("Dentro"=DATOS_[Check Periodo Ref.], 1/(COUNTIFS(DATOS_[Sexo],$B70,DATOS_[AGRUP. CLAS. PROF.],$B69,DATOS_[Check Periodo Ref.],"Dentro",DATOS_[id],DATOS_[id]))))))</f>
        <v>0</v>
      </c>
      <c r="D70" s="248" t="n">
        <f aca="false">COUNTIFS(DATOS_[AGRUP. CLAS. PROF.],$B69,DATOS_[Sexo],$B70,DATOS_[Check Periodo Ref.],"Dentro")</f>
        <v>0</v>
      </c>
      <c r="E70" s="249" t="n">
        <f aca="false" t="array" ref="E70:E70">IFERROR( MEDIAN(IF(DATOS_[Sexo]=$B70,IF(DATOS_[AGRUP. CLAS. PROF.]=$B69,IF(DATOS_[Check Periodo Ref.]="Dentro",DATOS_[SALARIO BASE Ef],0)))), 0)</f>
        <v>0</v>
      </c>
      <c r="F70" s="250" t="n">
        <f aca="false" t="array" ref="F70:F70">IFERROR( MEDIAN((IF(DATOS_[[Sexo]:[Sexo]]=$B70,IF(DATOS_[[AGRUP. CLAS. PROF.]:[AGRUP. CLAS. PROF.]]=$B69,IF(DATOS_[[Check Periodo Ref.]:[Check Periodo Ref.]]="Dentro",DATOS_[Conc.Sal.01]))))), 0)</f>
        <v>0</v>
      </c>
      <c r="G70" s="250" t="n">
        <f aca="false" t="array" ref="G70:G70">IFERROR( MEDIAN((IF(DATOS_[[Sexo]:[Sexo]]=$B70,IF(DATOS_[[AGRUP. CLAS. PROF.]:[AGRUP. CLAS. PROF.]]=$B69,IF(DATOS_[[Check Periodo Ref.]:[Check Periodo Ref.]]="Dentro",DATOS_[Conc.Sal.02]))))), 0)</f>
        <v>0</v>
      </c>
      <c r="H70" s="250" t="n">
        <f aca="false" t="array" ref="H70:H70">IFERROR( MEDIAN((IF(DATOS_[[Sexo]:[Sexo]]=$B70,IF(DATOS_[[AGRUP. CLAS. PROF.]:[AGRUP. CLAS. PROF.]]=$B69,IF(DATOS_[[Check Periodo Ref.]:[Check Periodo Ref.]]="Dentro",DATOS_[Conc.Sal.03]))))), 0)</f>
        <v>0</v>
      </c>
      <c r="I70" s="250" t="n">
        <f aca="false" t="array" ref="I70:I70">IFERROR( MEDIAN((IF(DATOS_[[Sexo]:[Sexo]]=$B70,IF(DATOS_[[AGRUP. CLAS. PROF.]:[AGRUP. CLAS. PROF.]]=$B69,IF(DATOS_[[Check Periodo Ref.]:[Check Periodo Ref.]]="Dentro",DATOS_[Conc.Sal.04]))))), 0)</f>
        <v>0</v>
      </c>
      <c r="J70" s="250" t="n">
        <f aca="false" t="array" ref="J70:J70">IFERROR( MEDIAN((IF(DATOS_[[Sexo]:[Sexo]]=$B70,IF(DATOS_[[AGRUP. CLAS. PROF.]:[AGRUP. CLAS. PROF.]]=$B69,IF(DATOS_[[Check Periodo Ref.]:[Check Periodo Ref.]]="Dentro",DATOS_[Conc.Sal.05]))))), 0)</f>
        <v>0</v>
      </c>
      <c r="K70" s="250" t="n">
        <f aca="false" t="array" ref="K70:K70">IFERROR( MEDIAN((IF(DATOS_[[Sexo]:[Sexo]]=$B70,IF(DATOS_[[AGRUP. CLAS. PROF.]:[AGRUP. CLAS. PROF.]]=$B69,IF(DATOS_[[Check Periodo Ref.]:[Check Periodo Ref.]]="Dentro",DATOS_[Conc.Sal.06]))))), 0)</f>
        <v>0</v>
      </c>
      <c r="L70" s="250" t="n">
        <f aca="false" t="array" ref="L70:L70">IFERROR( MEDIAN((IF(DATOS_[[Sexo]:[Sexo]]=$B70,IF(DATOS_[[AGRUP. CLAS. PROF.]:[AGRUP. CLAS. PROF.]]=$B69,IF(DATOS_[[Check Periodo Ref.]:[Check Periodo Ref.]]="Dentro",DATOS_[Conc.Sal.07]))))), 0)</f>
        <v>0</v>
      </c>
      <c r="M70" s="250" t="n">
        <f aca="false" t="array" ref="M70:M70">IFERROR( MEDIAN((IF(DATOS_[[Sexo]:[Sexo]]=$B70,IF(DATOS_[[AGRUP. CLAS. PROF.]:[AGRUP. CLAS. PROF.]]=$B69,IF(DATOS_[[Check Periodo Ref.]:[Check Periodo Ref.]]="Dentro",DATOS_[Conc.Sal.08]))))), 0)</f>
        <v>0</v>
      </c>
      <c r="N70" s="250" t="n">
        <f aca="false" t="array" ref="N70:N70">IFERROR( MEDIAN((IF(DATOS_[[Sexo]:[Sexo]]=$B70,IF(DATOS_[[AGRUP. CLAS. PROF.]:[AGRUP. CLAS. PROF.]]=$B69,IF(DATOS_[[Check Periodo Ref.]:[Check Periodo Ref.]]="Dentro",DATOS_[Conc.Sal.09]))))), 0)</f>
        <v>0</v>
      </c>
      <c r="O70" s="250" t="n">
        <f aca="false" t="array" ref="O70:O70">IFERROR( MEDIAN((IF(DATOS_[[Sexo]:[Sexo]]=$B70,IF(DATOS_[[AGRUP. CLAS. PROF.]:[AGRUP. CLAS. PROF.]]=$B69,IF(DATOS_[[Check Periodo Ref.]:[Check Periodo Ref.]]="Dentro",DATOS_[Conc.Sal.10]))))), 0)</f>
        <v>0</v>
      </c>
      <c r="P70" s="250" t="n">
        <f aca="false" t="array" ref="P70:P70">IFERROR( MEDIAN((IF(DATOS_[[Sexo]:[Sexo]]=$B70,IF(DATOS_[[AGRUP. CLAS. PROF.]:[AGRUP. CLAS. PROF.]]=$B69,IF(DATOS_[[Check Periodo Ref.]:[Check Periodo Ref.]]="Dentro",DATOS_[Conc.Sal.11]))))), 0)</f>
        <v>0</v>
      </c>
      <c r="Q70" s="250" t="n">
        <f aca="false" t="array" ref="Q70:Q70">IFERROR( MEDIAN((IF(DATOS_[[Sexo]:[Sexo]]=$B70,IF(DATOS_[[AGRUP. CLAS. PROF.]:[AGRUP. CLAS. PROF.]]=$B69,IF(DATOS_[[Check Periodo Ref.]:[Check Periodo Ref.]]="Dentro",DATOS_[Conc.Sal.12]))))), 0)</f>
        <v>0</v>
      </c>
      <c r="R70" s="250" t="n">
        <f aca="false" t="array" ref="R70:R70">IFERROR( MEDIAN((IF(DATOS_[[Sexo]:[Sexo]]=$B70,IF(DATOS_[[AGRUP. CLAS. PROF.]:[AGRUP. CLAS. PROF.]]=$B69,IF(DATOS_[[Check Periodo Ref.]:[Check Periodo Ref.]]="Dentro",DATOS_[Conc.Sal.13]))))), 0)</f>
        <v>0</v>
      </c>
      <c r="S70" s="250" t="n">
        <f aca="false" t="array" ref="S70:S70">IFERROR( MEDIAN((IF(DATOS_[[Sexo]:[Sexo]]=$B70,IF(DATOS_[[AGRUP. CLAS. PROF.]:[AGRUP. CLAS. PROF.]]=$B69,IF(DATOS_[[Check Periodo Ref.]:[Check Periodo Ref.]]="Dentro",DATOS_[Conc.Sal.14]))))), 0)</f>
        <v>0</v>
      </c>
      <c r="T70" s="250" t="n">
        <f aca="false" t="array" ref="T70:T70">IFERROR( MEDIAN((IF(DATOS_[[Sexo]:[Sexo]]=$B70,IF(DATOS_[[AGRUP. CLAS. PROF.]:[AGRUP. CLAS. PROF.]]=$B69,IF(DATOS_[[Check Periodo Ref.]:[Check Periodo Ref.]]="Dentro",DATOS_[Conc.Sal.15]))))), 0)</f>
        <v>0</v>
      </c>
      <c r="U70" s="250" t="n">
        <f aca="false" t="array" ref="U70:U70">IFERROR( MEDIAN((IF(DATOS_[[Sexo]:[Sexo]]=$B70,IF(DATOS_[[AGRUP. CLAS. PROF.]:[AGRUP. CLAS. PROF.]]=$B69,IF(DATOS_[[Check Periodo Ref.]:[Check Periodo Ref.]]="Dentro",DATOS_[Conc.Sal.16]))))), 0)</f>
        <v>0</v>
      </c>
      <c r="V70" s="250" t="n">
        <f aca="false" t="array" ref="V70:V70">IFERROR( MEDIAN((IF(DATOS_[[Sexo]:[Sexo]]=$B70,IF(DATOS_[[AGRUP. CLAS. PROF.]:[AGRUP. CLAS. PROF.]]=$B69,IF(DATOS_[[Check Periodo Ref.]:[Check Periodo Ref.]]="Dentro",DATOS_[Conc.Sal.17]))))), 0)</f>
        <v>0</v>
      </c>
      <c r="W70" s="250" t="n">
        <f aca="false" t="array" ref="W70:W70">IFERROR( MEDIAN((IF(DATOS_[[Sexo]:[Sexo]]=$B70,IF(DATOS_[[AGRUP. CLAS. PROF.]:[AGRUP. CLAS. PROF.]]=$B69,IF(DATOS_[[Check Periodo Ref.]:[Check Periodo Ref.]]="Dentro",DATOS_[Conc.Sal.18]))))), 0)</f>
        <v>0</v>
      </c>
      <c r="X70" s="250" t="n">
        <f aca="false" t="array" ref="X70:X70">IFERROR( MEDIAN((IF(DATOS_[[Sexo]:[Sexo]]=$B70,IF(DATOS_[[AGRUP. CLAS. PROF.]:[AGRUP. CLAS. PROF.]]=$B69,IF(DATOS_[[Check Periodo Ref.]:[Check Periodo Ref.]]="Dentro",DATOS_[Conc.Sal.19]))))), 0)</f>
        <v>0</v>
      </c>
      <c r="Y70" s="250" t="n">
        <f aca="false" t="array" ref="Y70:Y70">IFERROR( MEDIAN((IF(DATOS_[[Sexo]:[Sexo]]=$B70,IF(DATOS_[[AGRUP. CLAS. PROF.]:[AGRUP. CLAS. PROF.]]=$B69,IF(DATOS_[[Check Periodo Ref.]:[Check Periodo Ref.]]="Dentro",DATOS_[Conc.Sal.20]))))), 0)</f>
        <v>0</v>
      </c>
      <c r="Z70" s="250" t="n">
        <f aca="false" t="array" ref="Z70:Z70">IFERROR( MEDIAN((IF(DATOS_[[Sexo]:[Sexo]]=$B70,IF(DATOS_[[AGRUP. CLAS. PROF.]:[AGRUP. CLAS. PROF.]]=$B69,IF(DATOS_[[Check Periodo Ref.]:[Check Periodo Ref.]]="Dentro",DATOS_[Conc.Sal.21]))))), 0)</f>
        <v>0</v>
      </c>
      <c r="AA70" s="250" t="n">
        <f aca="false" t="array" ref="AA70:AA70">IFERROR( MEDIAN((IF(DATOS_[[Sexo]:[Sexo]]=$B70,IF(DATOS_[[AGRUP. CLAS. PROF.]:[AGRUP. CLAS. PROF.]]=$B69,IF(DATOS_[[Check Periodo Ref.]:[Check Periodo Ref.]]="Dentro",DATOS_[Conc.Sal.22]))))), 0)</f>
        <v>0</v>
      </c>
      <c r="AB70" s="250" t="n">
        <f aca="false" t="array" ref="AB70:AB70">IFERROR( MEDIAN((IF(DATOS_[[Sexo]:[Sexo]]=$B70,IF(DATOS_[[AGRUP. CLAS. PROF.]:[AGRUP. CLAS. PROF.]]=$B69,IF(DATOS_[[Check Periodo Ref.]:[Check Periodo Ref.]]="Dentro",DATOS_[Conc.Sal.23]))))), 0)</f>
        <v>0</v>
      </c>
      <c r="AC70" s="250" t="n">
        <f aca="false" t="array" ref="AC70:AC70">IFERROR( MEDIAN((IF(DATOS_[[Sexo]:[Sexo]]=$B70,IF(DATOS_[[AGRUP. CLAS. PROF.]:[AGRUP. CLAS. PROF.]]=$B69,IF(DATOS_[[Check Periodo Ref.]:[Check Periodo Ref.]]="Dentro",DATOS_[Conc.Sal.24]))))), 0)</f>
        <v>0</v>
      </c>
      <c r="AD70" s="250" t="n">
        <f aca="false" t="array" ref="AD70:AD70">IFERROR( MEDIAN((IF(DATOS_[[Sexo]:[Sexo]]=$B70,IF(DATOS_[[AGRUP. CLAS. PROF.]:[AGRUP. CLAS. PROF.]]=$B69,IF(DATOS_[[Check Periodo Ref.]:[Check Periodo Ref.]]="Dentro",DATOS_[Conc.Sal.25]))))), 0)</f>
        <v>0</v>
      </c>
      <c r="AE70" s="250" t="n">
        <f aca="false" t="array" ref="AE70:AE70">IFERROR( MEDIAN((IF(DATOS_[[Sexo]:[Sexo]]=$B70,IF(DATOS_[[AGRUP. CLAS. PROF.]:[AGRUP. CLAS. PROF.]]=$B69,IF(DATOS_[[Check Periodo Ref.]:[Check Periodo Ref.]]="Dentro",DATOS_[Conc.Sal.26]))))), 0)</f>
        <v>0</v>
      </c>
      <c r="AF70" s="250" t="n">
        <f aca="false" t="array" ref="AF70:AF70">IFERROR( MEDIAN((IF(DATOS_[[Sexo]:[Sexo]]=$B70,IF(DATOS_[[AGRUP. CLAS. PROF.]:[AGRUP. CLAS. PROF.]]=$B69,IF(DATOS_[[Check Periodo Ref.]:[Check Periodo Ref.]]="Dentro",DATOS_[Conc.Sal.27]))))), 0)</f>
        <v>0</v>
      </c>
      <c r="AG70" s="250" t="n">
        <f aca="false" t="array" ref="AG70:AG70">IFERROR( MEDIAN((IF(DATOS_[[Sexo]:[Sexo]]=$B70,IF(DATOS_[[AGRUP. CLAS. PROF.]:[AGRUP. CLAS. PROF.]]=$B69,IF(DATOS_[[Check Periodo Ref.]:[Check Periodo Ref.]]="Dentro",DATOS_[Conc.Sal.28]))))), 0)</f>
        <v>0</v>
      </c>
      <c r="AH70" s="250" t="n">
        <f aca="false" t="array" ref="AH70:AH70">IFERROR( MEDIAN((IF(DATOS_[[Sexo]:[Sexo]]=$B70,IF(DATOS_[[AGRUP. CLAS. PROF.]:[AGRUP. CLAS. PROF.]]=$B69,IF(DATOS_[[Check Periodo Ref.]:[Check Periodo Ref.]]="Dentro",DATOS_[Conc.Sal.29]))))), 0)</f>
        <v>0</v>
      </c>
      <c r="AI70" s="250" t="n">
        <f aca="false" t="array" ref="AI70:AI70">IFERROR( MEDIAN((IF(DATOS_[[Sexo]:[Sexo]]=$B70,IF(DATOS_[[AGRUP. CLAS. PROF.]:[AGRUP. CLAS. PROF.]]=$B69,IF(DATOS_[[Check Periodo Ref.]:[Check Periodo Ref.]]="Dentro",DATOS_[Conc.Sal.30]))))), 0)</f>
        <v>0</v>
      </c>
      <c r="AJ70" s="251" t="n">
        <f aca="false" t="array" ref="AJ70:AJ70">IFERROR( MEDIAN(IF(DATOS_[Sexo]=$B70,IF(DATOS_[AGRUP. CLAS. PROF.]=$B69,IF(DATOS_[Check Periodo Ref.]="Dentro",DATOS_[Tot COMPL.SAL Ef],0)))), 0)</f>
        <v>0</v>
      </c>
      <c r="AK70" s="252" t="n">
        <f aca="false" t="array" ref="AK70:AK70">IFERROR( MEDIAN(IF(DATOS_[Sexo]=$B70,IF(DATOS_[AGRUP. CLAS. PROF.]=$B69,IF(DATOS_[Check Periodo Ref.]="Dentro",DATOS_[TOTAL SALARIO Ef],0)))), 0)</f>
        <v>0</v>
      </c>
      <c r="AL70" s="259" t="n">
        <f aca="false" t="array" ref="AL70:AL70">IFERROR( MEDIAN((IF(DATOS_[[Sexo]:[Sexo]]=$B70,IF(DATOS_[[AGRUP. CLAS. PROF.]:[AGRUP. CLAS. PROF.]]=$B69,IF(DATOS_[[Check Periodo Ref.]:[Check Periodo Ref.]]="Dentro",DATOS_[C.Extra.01]))))), 0)</f>
        <v>0</v>
      </c>
      <c r="AM70" s="259" t="n">
        <f aca="false" t="array" ref="AM70:AM70">IFERROR( MEDIAN((IF(DATOS_[[Sexo]:[Sexo]]=$B70,IF(DATOS_[[AGRUP. CLAS. PROF.]:[AGRUP. CLAS. PROF.]]=$B69,IF(DATOS_[[Check Periodo Ref.]:[Check Periodo Ref.]]="Dentro",DATOS_[C.Extra.02]))))), 0)</f>
        <v>0</v>
      </c>
      <c r="AN70" s="259" t="n">
        <f aca="false" t="array" ref="AN70:AN70">IFERROR( MEDIAN((IF(DATOS_[[Sexo]:[Sexo]]=$B70,IF(DATOS_[[AGRUP. CLAS. PROF.]:[AGRUP. CLAS. PROF.]]=$B69,IF(DATOS_[[Check Periodo Ref.]:[Check Periodo Ref.]]="Dentro",DATOS_[C.Extra.03]))))), 0)</f>
        <v>0</v>
      </c>
      <c r="AO70" s="259" t="n">
        <f aca="false" t="array" ref="AO70:AO70">IFERROR( MEDIAN((IF(DATOS_[[Sexo]:[Sexo]]=$B70,IF(DATOS_[[AGRUP. CLAS. PROF.]:[AGRUP. CLAS. PROF.]]=$B69,IF(DATOS_[[Check Periodo Ref.]:[Check Periodo Ref.]]="Dentro",DATOS_[C.Extra.04]))))), 0)</f>
        <v>0</v>
      </c>
      <c r="AP70" s="259" t="n">
        <f aca="false" t="array" ref="AP70:AP70">IFERROR( MEDIAN((IF(DATOS_[[Sexo]:[Sexo]]=$B70,IF(DATOS_[[AGRUP. CLAS. PROF.]:[AGRUP. CLAS. PROF.]]=$B69,IF(DATOS_[[Check Periodo Ref.]:[Check Periodo Ref.]]="Dentro",DATOS_[C.Extra.05]))))), 0)</f>
        <v>0</v>
      </c>
      <c r="AQ70" s="254" t="n">
        <f aca="false" t="array" ref="AQ70:AQ70">IFERROR( MEDIAN(IF(DATOS_[Sexo]=$B70,IF(DATOS_[AGRUP. CLAS. PROF.]=$B69,IF(DATOS_[Check Periodo Ref.]="Dentro",DATOS_[Tot Extrasalarial Ef],0)))), 0)</f>
        <v>0</v>
      </c>
      <c r="AR70" s="255" t="n">
        <f aca="false" t="array" ref="AR70:AR70">IFERROR( MEDIAN(IF(DATOS_[Sexo]=$B70,IF(DATOS_[AGRUP. CLAS. PROF.]=$B69,IF(DATOS_[Check Periodo Ref.]="Dentro",DATOS_[TOTAL Retrib Ef],0)))), 0)</f>
        <v>0</v>
      </c>
    </row>
    <row r="71" customFormat="false" ht="14.25" hidden="false" customHeight="false" outlineLevel="0" collapsed="false">
      <c r="A71" s="217" t="str">
        <f aca="false">+A70</f>
        <v>[ocultar]</v>
      </c>
      <c r="B71" s="246" t="s">
        <v>372</v>
      </c>
      <c r="C71" s="247" t="n">
        <f aca="false" t="array" ref="C71:C71">SUM(IF($B71=DATOS_[Sexo], IF($B69=DATOS_[AGRUP. CLAS. PROF.], IF("Dentro"=DATOS_[Check Periodo Ref.], 1/(COUNTIFS(DATOS_[Sexo],$B71,DATOS_[AGRUP. CLAS. PROF.],$B69,DATOS_[Check Periodo Ref.],"Dentro",DATOS_[id],DATOS_[id]))))))</f>
        <v>0</v>
      </c>
      <c r="D71" s="248" t="n">
        <f aca="false">COUNTIFS(DATOS_[AGRUP. CLAS. PROF.],$B69,DATOS_[Sexo],$B71,DATOS_[Check Periodo Ref.],"Dentro")</f>
        <v>0</v>
      </c>
      <c r="E71" s="249" t="n">
        <f aca="false" t="array" ref="E71:E71">IFERROR( MEDIAN(IF(DATOS_[Sexo]=$B71,IF(DATOS_[AGRUP. CLAS. PROF.]=$B69,IF(DATOS_[Check Periodo Ref.]="Dentro",DATOS_[SALARIO BASE Ef],0)))), 0)</f>
        <v>0</v>
      </c>
      <c r="F71" s="250" t="n">
        <f aca="false" t="array" ref="F71:F71">IFERROR( MEDIAN((IF(DATOS_[[Sexo]:[Sexo]]=$B71,IF(DATOS_[[AGRUP. CLAS. PROF.]:[AGRUP. CLAS. PROF.]]=$B69,IF(DATOS_[[Check Periodo Ref.]:[Check Periodo Ref.]]="Dentro",DATOS_[Conc.Sal.01]))))), 0)</f>
        <v>0</v>
      </c>
      <c r="G71" s="250" t="n">
        <f aca="false" t="array" ref="G71:G71">IFERROR( MEDIAN((IF(DATOS_[[Sexo]:[Sexo]]=$B71,IF(DATOS_[[AGRUP. CLAS. PROF.]:[AGRUP. CLAS. PROF.]]=$B69,IF(DATOS_[[Check Periodo Ref.]:[Check Periodo Ref.]]="Dentro",DATOS_[Conc.Sal.02]))))), 0)</f>
        <v>0</v>
      </c>
      <c r="H71" s="250" t="n">
        <f aca="false" t="array" ref="H71:H71">IFERROR( MEDIAN((IF(DATOS_[[Sexo]:[Sexo]]=$B71,IF(DATOS_[[AGRUP. CLAS. PROF.]:[AGRUP. CLAS. PROF.]]=$B69,IF(DATOS_[[Check Periodo Ref.]:[Check Periodo Ref.]]="Dentro",DATOS_[Conc.Sal.03]))))), 0)</f>
        <v>0</v>
      </c>
      <c r="I71" s="250" t="n">
        <f aca="false" t="array" ref="I71:I71">IFERROR( MEDIAN((IF(DATOS_[[Sexo]:[Sexo]]=$B71,IF(DATOS_[[AGRUP. CLAS. PROF.]:[AGRUP. CLAS. PROF.]]=$B69,IF(DATOS_[[Check Periodo Ref.]:[Check Periodo Ref.]]="Dentro",DATOS_[Conc.Sal.04]))))), 0)</f>
        <v>0</v>
      </c>
      <c r="J71" s="250" t="n">
        <f aca="false" t="array" ref="J71:J71">IFERROR( MEDIAN((IF(DATOS_[[Sexo]:[Sexo]]=$B71,IF(DATOS_[[AGRUP. CLAS. PROF.]:[AGRUP. CLAS. PROF.]]=$B69,IF(DATOS_[[Check Periodo Ref.]:[Check Periodo Ref.]]="Dentro",DATOS_[Conc.Sal.05]))))), 0)</f>
        <v>0</v>
      </c>
      <c r="K71" s="250" t="n">
        <f aca="false" t="array" ref="K71:K71">IFERROR( MEDIAN((IF(DATOS_[[Sexo]:[Sexo]]=$B71,IF(DATOS_[[AGRUP. CLAS. PROF.]:[AGRUP. CLAS. PROF.]]=$B69,IF(DATOS_[[Check Periodo Ref.]:[Check Periodo Ref.]]="Dentro",DATOS_[Conc.Sal.06]))))), 0)</f>
        <v>0</v>
      </c>
      <c r="L71" s="250" t="n">
        <f aca="false" t="array" ref="L71:L71">IFERROR( MEDIAN((IF(DATOS_[[Sexo]:[Sexo]]=$B71,IF(DATOS_[[AGRUP. CLAS. PROF.]:[AGRUP. CLAS. PROF.]]=$B69,IF(DATOS_[[Check Periodo Ref.]:[Check Periodo Ref.]]="Dentro",DATOS_[Conc.Sal.07]))))), 0)</f>
        <v>0</v>
      </c>
      <c r="M71" s="250" t="n">
        <f aca="false" t="array" ref="M71:M71">IFERROR( MEDIAN((IF(DATOS_[[Sexo]:[Sexo]]=$B71,IF(DATOS_[[AGRUP. CLAS. PROF.]:[AGRUP. CLAS. PROF.]]=$B69,IF(DATOS_[[Check Periodo Ref.]:[Check Periodo Ref.]]="Dentro",DATOS_[Conc.Sal.08]))))), 0)</f>
        <v>0</v>
      </c>
      <c r="N71" s="250" t="n">
        <f aca="false" t="array" ref="N71:N71">IFERROR( MEDIAN((IF(DATOS_[[Sexo]:[Sexo]]=$B71,IF(DATOS_[[AGRUP. CLAS. PROF.]:[AGRUP. CLAS. PROF.]]=$B69,IF(DATOS_[[Check Periodo Ref.]:[Check Periodo Ref.]]="Dentro",DATOS_[Conc.Sal.09]))))), 0)</f>
        <v>0</v>
      </c>
      <c r="O71" s="250" t="n">
        <f aca="false" t="array" ref="O71:O71">IFERROR( MEDIAN((IF(DATOS_[[Sexo]:[Sexo]]=$B71,IF(DATOS_[[AGRUP. CLAS. PROF.]:[AGRUP. CLAS. PROF.]]=$B69,IF(DATOS_[[Check Periodo Ref.]:[Check Periodo Ref.]]="Dentro",DATOS_[Conc.Sal.10]))))), 0)</f>
        <v>0</v>
      </c>
      <c r="P71" s="250" t="n">
        <f aca="false" t="array" ref="P71:P71">IFERROR( MEDIAN((IF(DATOS_[[Sexo]:[Sexo]]=$B71,IF(DATOS_[[AGRUP. CLAS. PROF.]:[AGRUP. CLAS. PROF.]]=$B69,IF(DATOS_[[Check Periodo Ref.]:[Check Periodo Ref.]]="Dentro",DATOS_[Conc.Sal.11]))))), 0)</f>
        <v>0</v>
      </c>
      <c r="Q71" s="250" t="n">
        <f aca="false" t="array" ref="Q71:Q71">IFERROR( MEDIAN((IF(DATOS_[[Sexo]:[Sexo]]=$B71,IF(DATOS_[[AGRUP. CLAS. PROF.]:[AGRUP. CLAS. PROF.]]=$B69,IF(DATOS_[[Check Periodo Ref.]:[Check Periodo Ref.]]="Dentro",DATOS_[Conc.Sal.12]))))), 0)</f>
        <v>0</v>
      </c>
      <c r="R71" s="250" t="n">
        <f aca="false" t="array" ref="R71:R71">IFERROR( MEDIAN((IF(DATOS_[[Sexo]:[Sexo]]=$B71,IF(DATOS_[[AGRUP. CLAS. PROF.]:[AGRUP. CLAS. PROF.]]=$B69,IF(DATOS_[[Check Periodo Ref.]:[Check Periodo Ref.]]="Dentro",DATOS_[Conc.Sal.13]))))), 0)</f>
        <v>0</v>
      </c>
      <c r="S71" s="250" t="n">
        <f aca="false" t="array" ref="S71:S71">IFERROR( MEDIAN((IF(DATOS_[[Sexo]:[Sexo]]=$B71,IF(DATOS_[[AGRUP. CLAS. PROF.]:[AGRUP. CLAS. PROF.]]=$B69,IF(DATOS_[[Check Periodo Ref.]:[Check Periodo Ref.]]="Dentro",DATOS_[Conc.Sal.14]))))), 0)</f>
        <v>0</v>
      </c>
      <c r="T71" s="250" t="n">
        <f aca="false" t="array" ref="T71:T71">IFERROR( MEDIAN((IF(DATOS_[[Sexo]:[Sexo]]=$B71,IF(DATOS_[[AGRUP. CLAS. PROF.]:[AGRUP. CLAS. PROF.]]=$B69,IF(DATOS_[[Check Periodo Ref.]:[Check Periodo Ref.]]="Dentro",DATOS_[Conc.Sal.15]))))), 0)</f>
        <v>0</v>
      </c>
      <c r="U71" s="250" t="n">
        <f aca="false" t="array" ref="U71:U71">IFERROR( MEDIAN((IF(DATOS_[[Sexo]:[Sexo]]=$B71,IF(DATOS_[[AGRUP. CLAS. PROF.]:[AGRUP. CLAS. PROF.]]=$B69,IF(DATOS_[[Check Periodo Ref.]:[Check Periodo Ref.]]="Dentro",DATOS_[Conc.Sal.16]))))), 0)</f>
        <v>0</v>
      </c>
      <c r="V71" s="250" t="n">
        <f aca="false" t="array" ref="V71:V71">IFERROR( MEDIAN((IF(DATOS_[[Sexo]:[Sexo]]=$B71,IF(DATOS_[[AGRUP. CLAS. PROF.]:[AGRUP. CLAS. PROF.]]=$B69,IF(DATOS_[[Check Periodo Ref.]:[Check Periodo Ref.]]="Dentro",DATOS_[Conc.Sal.17]))))), 0)</f>
        <v>0</v>
      </c>
      <c r="W71" s="250" t="n">
        <f aca="false" t="array" ref="W71:W71">IFERROR( MEDIAN((IF(DATOS_[[Sexo]:[Sexo]]=$B71,IF(DATOS_[[AGRUP. CLAS. PROF.]:[AGRUP. CLAS. PROF.]]=$B69,IF(DATOS_[[Check Periodo Ref.]:[Check Periodo Ref.]]="Dentro",DATOS_[Conc.Sal.18]))))), 0)</f>
        <v>0</v>
      </c>
      <c r="X71" s="250" t="n">
        <f aca="false" t="array" ref="X71:X71">IFERROR( MEDIAN((IF(DATOS_[[Sexo]:[Sexo]]=$B71,IF(DATOS_[[AGRUP. CLAS. PROF.]:[AGRUP. CLAS. PROF.]]=$B69,IF(DATOS_[[Check Periodo Ref.]:[Check Periodo Ref.]]="Dentro",DATOS_[Conc.Sal.19]))))), 0)</f>
        <v>0</v>
      </c>
      <c r="Y71" s="250" t="n">
        <f aca="false" t="array" ref="Y71:Y71">IFERROR( MEDIAN((IF(DATOS_[[Sexo]:[Sexo]]=$B71,IF(DATOS_[[AGRUP. CLAS. PROF.]:[AGRUP. CLAS. PROF.]]=$B69,IF(DATOS_[[Check Periodo Ref.]:[Check Periodo Ref.]]="Dentro",DATOS_[Conc.Sal.20]))))), 0)</f>
        <v>0</v>
      </c>
      <c r="Z71" s="250" t="n">
        <f aca="false" t="array" ref="Z71:Z71">IFERROR( MEDIAN((IF(DATOS_[[Sexo]:[Sexo]]=$B71,IF(DATOS_[[AGRUP. CLAS. PROF.]:[AGRUP. CLAS. PROF.]]=$B69,IF(DATOS_[[Check Periodo Ref.]:[Check Periodo Ref.]]="Dentro",DATOS_[Conc.Sal.21]))))), 0)</f>
        <v>0</v>
      </c>
      <c r="AA71" s="250" t="n">
        <f aca="false" t="array" ref="AA71:AA71">IFERROR( MEDIAN((IF(DATOS_[[Sexo]:[Sexo]]=$B71,IF(DATOS_[[AGRUP. CLAS. PROF.]:[AGRUP. CLAS. PROF.]]=$B69,IF(DATOS_[[Check Periodo Ref.]:[Check Periodo Ref.]]="Dentro",DATOS_[Conc.Sal.22]))))), 0)</f>
        <v>0</v>
      </c>
      <c r="AB71" s="250" t="n">
        <f aca="false" t="array" ref="AB71:AB71">IFERROR( MEDIAN((IF(DATOS_[[Sexo]:[Sexo]]=$B71,IF(DATOS_[[AGRUP. CLAS. PROF.]:[AGRUP. CLAS. PROF.]]=$B69,IF(DATOS_[[Check Periodo Ref.]:[Check Periodo Ref.]]="Dentro",DATOS_[Conc.Sal.23]))))), 0)</f>
        <v>0</v>
      </c>
      <c r="AC71" s="250" t="n">
        <f aca="false" t="array" ref="AC71:AC71">IFERROR( MEDIAN((IF(DATOS_[[Sexo]:[Sexo]]=$B71,IF(DATOS_[[AGRUP. CLAS. PROF.]:[AGRUP. CLAS. PROF.]]=$B69,IF(DATOS_[[Check Periodo Ref.]:[Check Periodo Ref.]]="Dentro",DATOS_[Conc.Sal.24]))))), 0)</f>
        <v>0</v>
      </c>
      <c r="AD71" s="250" t="n">
        <f aca="false" t="array" ref="AD71:AD71">IFERROR( MEDIAN((IF(DATOS_[[Sexo]:[Sexo]]=$B71,IF(DATOS_[[AGRUP. CLAS. PROF.]:[AGRUP. CLAS. PROF.]]=$B69,IF(DATOS_[[Check Periodo Ref.]:[Check Periodo Ref.]]="Dentro",DATOS_[Conc.Sal.25]))))), 0)</f>
        <v>0</v>
      </c>
      <c r="AE71" s="250" t="n">
        <f aca="false" t="array" ref="AE71:AE71">IFERROR( MEDIAN((IF(DATOS_[[Sexo]:[Sexo]]=$B71,IF(DATOS_[[AGRUP. CLAS. PROF.]:[AGRUP. CLAS. PROF.]]=$B69,IF(DATOS_[[Check Periodo Ref.]:[Check Periodo Ref.]]="Dentro",DATOS_[Conc.Sal.26]))))), 0)</f>
        <v>0</v>
      </c>
      <c r="AF71" s="250" t="n">
        <f aca="false" t="array" ref="AF71:AF71">IFERROR( MEDIAN((IF(DATOS_[[Sexo]:[Sexo]]=$B71,IF(DATOS_[[AGRUP. CLAS. PROF.]:[AGRUP. CLAS. PROF.]]=$B69,IF(DATOS_[[Check Periodo Ref.]:[Check Periodo Ref.]]="Dentro",DATOS_[Conc.Sal.27]))))), 0)</f>
        <v>0</v>
      </c>
      <c r="AG71" s="250" t="n">
        <f aca="false" t="array" ref="AG71:AG71">IFERROR( MEDIAN((IF(DATOS_[[Sexo]:[Sexo]]=$B71,IF(DATOS_[[AGRUP. CLAS. PROF.]:[AGRUP. CLAS. PROF.]]=$B69,IF(DATOS_[[Check Periodo Ref.]:[Check Periodo Ref.]]="Dentro",DATOS_[Conc.Sal.28]))))), 0)</f>
        <v>0</v>
      </c>
      <c r="AH71" s="250" t="n">
        <f aca="false" t="array" ref="AH71:AH71">IFERROR( MEDIAN((IF(DATOS_[[Sexo]:[Sexo]]=$B71,IF(DATOS_[[AGRUP. CLAS. PROF.]:[AGRUP. CLAS. PROF.]]=$B69,IF(DATOS_[[Check Periodo Ref.]:[Check Periodo Ref.]]="Dentro",DATOS_[Conc.Sal.29]))))), 0)</f>
        <v>0</v>
      </c>
      <c r="AI71" s="250" t="n">
        <f aca="false" t="array" ref="AI71:AI71">IFERROR( MEDIAN((IF(DATOS_[[Sexo]:[Sexo]]=$B71,IF(DATOS_[[AGRUP. CLAS. PROF.]:[AGRUP. CLAS. PROF.]]=$B69,IF(DATOS_[[Check Periodo Ref.]:[Check Periodo Ref.]]="Dentro",DATOS_[Conc.Sal.30]))))), 0)</f>
        <v>0</v>
      </c>
      <c r="AJ71" s="251" t="n">
        <f aca="false" t="array" ref="AJ71:AJ71">IFERROR( MEDIAN(IF(DATOS_[Sexo]=$B71,IF(DATOS_[AGRUP. CLAS. PROF.]=$B69,IF(DATOS_[Check Periodo Ref.]="Dentro",DATOS_[Tot COMPL.SAL Ef],0)))), 0)</f>
        <v>0</v>
      </c>
      <c r="AK71" s="252" t="n">
        <f aca="false" t="array" ref="AK71:AK71">IFERROR( MEDIAN(IF(DATOS_[Sexo]=$B71,IF(DATOS_[AGRUP. CLAS. PROF.]=$B69,IF(DATOS_[Check Periodo Ref.]="Dentro",DATOS_[TOTAL SALARIO Ef],0)))), 0)</f>
        <v>0</v>
      </c>
      <c r="AL71" s="259" t="n">
        <f aca="false" t="array" ref="AL71:AL71">IFERROR( MEDIAN((IF(DATOS_[[Sexo]:[Sexo]]=$B71,IF(DATOS_[[AGRUP. CLAS. PROF.]:[AGRUP. CLAS. PROF.]]=$B69,IF(DATOS_[[Check Periodo Ref.]:[Check Periodo Ref.]]="Dentro",DATOS_[C.Extra.01]))))), 0)</f>
        <v>0</v>
      </c>
      <c r="AM71" s="259" t="n">
        <f aca="false" t="array" ref="AM71:AM71">IFERROR( MEDIAN((IF(DATOS_[[Sexo]:[Sexo]]=$B71,IF(DATOS_[[AGRUP. CLAS. PROF.]:[AGRUP. CLAS. PROF.]]=$B69,IF(DATOS_[[Check Periodo Ref.]:[Check Periodo Ref.]]="Dentro",DATOS_[C.Extra.02]))))), 0)</f>
        <v>0</v>
      </c>
      <c r="AN71" s="259" t="n">
        <f aca="false" t="array" ref="AN71:AN71">IFERROR( MEDIAN((IF(DATOS_[[Sexo]:[Sexo]]=$B71,IF(DATOS_[[AGRUP. CLAS. PROF.]:[AGRUP. CLAS. PROF.]]=$B69,IF(DATOS_[[Check Periodo Ref.]:[Check Periodo Ref.]]="Dentro",DATOS_[C.Extra.03]))))), 0)</f>
        <v>0</v>
      </c>
      <c r="AO71" s="259" t="n">
        <f aca="false" t="array" ref="AO71:AO71">IFERROR( MEDIAN((IF(DATOS_[[Sexo]:[Sexo]]=$B71,IF(DATOS_[[AGRUP. CLAS. PROF.]:[AGRUP. CLAS. PROF.]]=$B69,IF(DATOS_[[Check Periodo Ref.]:[Check Periodo Ref.]]="Dentro",DATOS_[C.Extra.04]))))), 0)</f>
        <v>0</v>
      </c>
      <c r="AP71" s="259" t="n">
        <f aca="false" t="array" ref="AP71:AP71">IFERROR( MEDIAN((IF(DATOS_[[Sexo]:[Sexo]]=$B71,IF(DATOS_[[AGRUP. CLAS. PROF.]:[AGRUP. CLAS. PROF.]]=$B69,IF(DATOS_[[Check Periodo Ref.]:[Check Periodo Ref.]]="Dentro",DATOS_[C.Extra.05]))))), 0)</f>
        <v>0</v>
      </c>
      <c r="AQ71" s="254" t="n">
        <f aca="false" t="array" ref="AQ71:AQ71">IFERROR( MEDIAN(IF(DATOS_[Sexo]=$B71,IF(DATOS_[AGRUP. CLAS. PROF.]=$B69,IF(DATOS_[Check Periodo Ref.]="Dentro",DATOS_[Tot Extrasalarial Ef],0)))), 0)</f>
        <v>0</v>
      </c>
      <c r="AR71" s="255" t="n">
        <f aca="false" t="array" ref="AR71:AR71">IFERROR( MEDIAN(IF(DATOS_[Sexo]=$B71,IF(DATOS_[AGRUP. CLAS. PROF.]=$B69,IF(DATOS_[Check Periodo Ref.]="Dentro",DATOS_[TOTAL Retrib Ef],0)))), 0)</f>
        <v>0</v>
      </c>
    </row>
    <row r="72" customFormat="false" ht="15.75" hidden="false" customHeight="false" outlineLevel="0" collapsed="false">
      <c r="A72" s="217" t="str">
        <f aca="false">+A73</f>
        <v>[ocultar]</v>
      </c>
      <c r="B72" s="235" t="s">
        <v>225</v>
      </c>
      <c r="C72" s="236"/>
      <c r="D72" s="237"/>
      <c r="E72" s="238" t="str">
        <f aca="false">IFERROR((E73-E74)/E73,"")</f>
        <v/>
      </c>
      <c r="F72" s="239" t="str">
        <f aca="false">IFERROR((F73-F74)/F73,"")</f>
        <v/>
      </c>
      <c r="G72" s="239" t="str">
        <f aca="false">IFERROR((G73-G74)/G73,"")</f>
        <v/>
      </c>
      <c r="H72" s="239" t="str">
        <f aca="false">IFERROR((H73-H74)/H73,"")</f>
        <v/>
      </c>
      <c r="I72" s="239"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40" t="str">
        <f aca="false">IFERROR((V73-V74)/V73,"")</f>
        <v/>
      </c>
      <c r="W72" s="240" t="str">
        <f aca="false">IFERROR((W73-W74)/W73,"")</f>
        <v/>
      </c>
      <c r="X72" s="240" t="str">
        <f aca="false">IFERROR((X73-X74)/X73,"")</f>
        <v/>
      </c>
      <c r="Y72" s="240"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1" t="str">
        <f aca="false">IFERROR((AJ73-AJ74)/AJ73,"")</f>
        <v/>
      </c>
      <c r="AK72" s="242" t="str">
        <f aca="false">IFERROR((AK73-AK74)/AK73,"")</f>
        <v/>
      </c>
      <c r="AL72" s="243" t="str">
        <f aca="false">IFERROR((AL73-AL74)/AL73,"")</f>
        <v/>
      </c>
      <c r="AM72" s="243" t="str">
        <f aca="false">IFERROR((AM73-AM74)/AM73,"")</f>
        <v/>
      </c>
      <c r="AN72" s="243" t="str">
        <f aca="false">IFERROR((AN73-AN74)/AN73,"")</f>
        <v/>
      </c>
      <c r="AO72" s="243" t="str">
        <f aca="false">IFERROR((AO73-AO74)/AO73,"")</f>
        <v/>
      </c>
      <c r="AP72" s="243" t="str">
        <f aca="false">IFERROR((AP73-AP74)/AP73,"")</f>
        <v/>
      </c>
      <c r="AQ72" s="244" t="str">
        <f aca="false">IFERROR((AQ73-AQ74)/AQ73,"")</f>
        <v/>
      </c>
      <c r="AR72" s="245" t="str">
        <f aca="false">IFERROR((AR73-AR74)/AR73,"")</f>
        <v/>
      </c>
    </row>
    <row r="73" customFormat="false" ht="14.25" hidden="false" customHeight="false" outlineLevel="0" collapsed="false">
      <c r="A73" s="217" t="str">
        <f aca="false">+IF(C73+C74=0,"[ocultar]","")</f>
        <v>[ocultar]</v>
      </c>
      <c r="B73" s="246" t="s">
        <v>371</v>
      </c>
      <c r="C73" s="247" t="n">
        <f aca="false" t="array" ref="C73:C73">SUM(IF($B73=DATOS_[Sexo], IF($B72=DATOS_[AGRUP. CLAS. PROF.], IF("Dentro"=DATOS_[Check Periodo Ref.], 1/(COUNTIFS(DATOS_[Sexo],$B73,DATOS_[AGRUP. CLAS. PROF.],$B72,DATOS_[Check Periodo Ref.],"Dentro",DATOS_[id],DATOS_[id]))))))</f>
        <v>0</v>
      </c>
      <c r="D73" s="248" t="n">
        <f aca="false">COUNTIFS(DATOS_[AGRUP. CLAS. PROF.],$B72,DATOS_[Sexo],$B73,DATOS_[Check Periodo Ref.],"Dentro")</f>
        <v>0</v>
      </c>
      <c r="E73" s="249" t="n">
        <f aca="false" t="array" ref="E73:E73">IFERROR( MEDIAN(IF(DATOS_[Sexo]=$B73,IF(DATOS_[AGRUP. CLAS. PROF.]=$B72,IF(DATOS_[Check Periodo Ref.]="Dentro",DATOS_[SALARIO BASE Ef],0)))), 0)</f>
        <v>0</v>
      </c>
      <c r="F73" s="250" t="n">
        <f aca="false" t="array" ref="F73:F73">IFERROR( MEDIAN((IF(DATOS_[[Sexo]:[Sexo]]=$B73,IF(DATOS_[[AGRUP. CLAS. PROF.]:[AGRUP. CLAS. PROF.]]=$B72,IF(DATOS_[[Check Periodo Ref.]:[Check Periodo Ref.]]="Dentro",DATOS_[Conc.Sal.01]))))), 0)</f>
        <v>0</v>
      </c>
      <c r="G73" s="250" t="n">
        <f aca="false" t="array" ref="G73:G73">IFERROR( MEDIAN((IF(DATOS_[[Sexo]:[Sexo]]=$B73,IF(DATOS_[[AGRUP. CLAS. PROF.]:[AGRUP. CLAS. PROF.]]=$B72,IF(DATOS_[[Check Periodo Ref.]:[Check Periodo Ref.]]="Dentro",DATOS_[Conc.Sal.02]))))), 0)</f>
        <v>0</v>
      </c>
      <c r="H73" s="250" t="n">
        <f aca="false" t="array" ref="H73:H73">IFERROR( MEDIAN((IF(DATOS_[[Sexo]:[Sexo]]=$B73,IF(DATOS_[[AGRUP. CLAS. PROF.]:[AGRUP. CLAS. PROF.]]=$B72,IF(DATOS_[[Check Periodo Ref.]:[Check Periodo Ref.]]="Dentro",DATOS_[Conc.Sal.03]))))), 0)</f>
        <v>0</v>
      </c>
      <c r="I73" s="250" t="n">
        <f aca="false" t="array" ref="I73:I73">IFERROR( MEDIAN((IF(DATOS_[[Sexo]:[Sexo]]=$B73,IF(DATOS_[[AGRUP. CLAS. PROF.]:[AGRUP. CLAS. PROF.]]=$B72,IF(DATOS_[[Check Periodo Ref.]:[Check Periodo Ref.]]="Dentro",DATOS_[Conc.Sal.04]))))), 0)</f>
        <v>0</v>
      </c>
      <c r="J73" s="250" t="n">
        <f aca="false" t="array" ref="J73:J73">IFERROR( MEDIAN((IF(DATOS_[[Sexo]:[Sexo]]=$B73,IF(DATOS_[[AGRUP. CLAS. PROF.]:[AGRUP. CLAS. PROF.]]=$B72,IF(DATOS_[[Check Periodo Ref.]:[Check Periodo Ref.]]="Dentro",DATOS_[Conc.Sal.05]))))), 0)</f>
        <v>0</v>
      </c>
      <c r="K73" s="250" t="n">
        <f aca="false" t="array" ref="K73:K73">IFERROR( MEDIAN((IF(DATOS_[[Sexo]:[Sexo]]=$B73,IF(DATOS_[[AGRUP. CLAS. PROF.]:[AGRUP. CLAS. PROF.]]=$B72,IF(DATOS_[[Check Periodo Ref.]:[Check Periodo Ref.]]="Dentro",DATOS_[Conc.Sal.06]))))), 0)</f>
        <v>0</v>
      </c>
      <c r="L73" s="250" t="n">
        <f aca="false" t="array" ref="L73:L73">IFERROR( MEDIAN((IF(DATOS_[[Sexo]:[Sexo]]=$B73,IF(DATOS_[[AGRUP. CLAS. PROF.]:[AGRUP. CLAS. PROF.]]=$B72,IF(DATOS_[[Check Periodo Ref.]:[Check Periodo Ref.]]="Dentro",DATOS_[Conc.Sal.07]))))), 0)</f>
        <v>0</v>
      </c>
      <c r="M73" s="250" t="n">
        <f aca="false" t="array" ref="M73:M73">IFERROR( MEDIAN((IF(DATOS_[[Sexo]:[Sexo]]=$B73,IF(DATOS_[[AGRUP. CLAS. PROF.]:[AGRUP. CLAS. PROF.]]=$B72,IF(DATOS_[[Check Periodo Ref.]:[Check Periodo Ref.]]="Dentro",DATOS_[Conc.Sal.08]))))), 0)</f>
        <v>0</v>
      </c>
      <c r="N73" s="250" t="n">
        <f aca="false" t="array" ref="N73:N73">IFERROR( MEDIAN((IF(DATOS_[[Sexo]:[Sexo]]=$B73,IF(DATOS_[[AGRUP. CLAS. PROF.]:[AGRUP. CLAS. PROF.]]=$B72,IF(DATOS_[[Check Periodo Ref.]:[Check Periodo Ref.]]="Dentro",DATOS_[Conc.Sal.09]))))), 0)</f>
        <v>0</v>
      </c>
      <c r="O73" s="250" t="n">
        <f aca="false" t="array" ref="O73:O73">IFERROR( MEDIAN((IF(DATOS_[[Sexo]:[Sexo]]=$B73,IF(DATOS_[[AGRUP. CLAS. PROF.]:[AGRUP. CLAS. PROF.]]=$B72,IF(DATOS_[[Check Periodo Ref.]:[Check Periodo Ref.]]="Dentro",DATOS_[Conc.Sal.10]))))), 0)</f>
        <v>0</v>
      </c>
      <c r="P73" s="250" t="n">
        <f aca="false" t="array" ref="P73:P73">IFERROR( MEDIAN((IF(DATOS_[[Sexo]:[Sexo]]=$B73,IF(DATOS_[[AGRUP. CLAS. PROF.]:[AGRUP. CLAS. PROF.]]=$B72,IF(DATOS_[[Check Periodo Ref.]:[Check Periodo Ref.]]="Dentro",DATOS_[Conc.Sal.11]))))), 0)</f>
        <v>0</v>
      </c>
      <c r="Q73" s="250" t="n">
        <f aca="false" t="array" ref="Q73:Q73">IFERROR( MEDIAN((IF(DATOS_[[Sexo]:[Sexo]]=$B73,IF(DATOS_[[AGRUP. CLAS. PROF.]:[AGRUP. CLAS. PROF.]]=$B72,IF(DATOS_[[Check Periodo Ref.]:[Check Periodo Ref.]]="Dentro",DATOS_[Conc.Sal.12]))))), 0)</f>
        <v>0</v>
      </c>
      <c r="R73" s="250" t="n">
        <f aca="false" t="array" ref="R73:R73">IFERROR( MEDIAN((IF(DATOS_[[Sexo]:[Sexo]]=$B73,IF(DATOS_[[AGRUP. CLAS. PROF.]:[AGRUP. CLAS. PROF.]]=$B72,IF(DATOS_[[Check Periodo Ref.]:[Check Periodo Ref.]]="Dentro",DATOS_[Conc.Sal.13]))))), 0)</f>
        <v>0</v>
      </c>
      <c r="S73" s="250" t="n">
        <f aca="false" t="array" ref="S73:S73">IFERROR( MEDIAN((IF(DATOS_[[Sexo]:[Sexo]]=$B73,IF(DATOS_[[AGRUP. CLAS. PROF.]:[AGRUP. CLAS. PROF.]]=$B72,IF(DATOS_[[Check Periodo Ref.]:[Check Periodo Ref.]]="Dentro",DATOS_[Conc.Sal.14]))))), 0)</f>
        <v>0</v>
      </c>
      <c r="T73" s="250" t="n">
        <f aca="false" t="array" ref="T73:T73">IFERROR( MEDIAN((IF(DATOS_[[Sexo]:[Sexo]]=$B73,IF(DATOS_[[AGRUP. CLAS. PROF.]:[AGRUP. CLAS. PROF.]]=$B72,IF(DATOS_[[Check Periodo Ref.]:[Check Periodo Ref.]]="Dentro",DATOS_[Conc.Sal.15]))))), 0)</f>
        <v>0</v>
      </c>
      <c r="U73" s="250" t="n">
        <f aca="false" t="array" ref="U73:U73">IFERROR( MEDIAN((IF(DATOS_[[Sexo]:[Sexo]]=$B73,IF(DATOS_[[AGRUP. CLAS. PROF.]:[AGRUP. CLAS. PROF.]]=$B72,IF(DATOS_[[Check Periodo Ref.]:[Check Periodo Ref.]]="Dentro",DATOS_[Conc.Sal.16]))))), 0)</f>
        <v>0</v>
      </c>
      <c r="V73" s="250" t="n">
        <f aca="false" t="array" ref="V73:V73">IFERROR( MEDIAN((IF(DATOS_[[Sexo]:[Sexo]]=$B73,IF(DATOS_[[AGRUP. CLAS. PROF.]:[AGRUP. CLAS. PROF.]]=$B72,IF(DATOS_[[Check Periodo Ref.]:[Check Periodo Ref.]]="Dentro",DATOS_[Conc.Sal.17]))))), 0)</f>
        <v>0</v>
      </c>
      <c r="W73" s="250" t="n">
        <f aca="false" t="array" ref="W73:W73">IFERROR( MEDIAN((IF(DATOS_[[Sexo]:[Sexo]]=$B73,IF(DATOS_[[AGRUP. CLAS. PROF.]:[AGRUP. CLAS. PROF.]]=$B72,IF(DATOS_[[Check Periodo Ref.]:[Check Periodo Ref.]]="Dentro",DATOS_[Conc.Sal.18]))))), 0)</f>
        <v>0</v>
      </c>
      <c r="X73" s="250" t="n">
        <f aca="false" t="array" ref="X73:X73">IFERROR( MEDIAN((IF(DATOS_[[Sexo]:[Sexo]]=$B73,IF(DATOS_[[AGRUP. CLAS. PROF.]:[AGRUP. CLAS. PROF.]]=$B72,IF(DATOS_[[Check Periodo Ref.]:[Check Periodo Ref.]]="Dentro",DATOS_[Conc.Sal.19]))))), 0)</f>
        <v>0</v>
      </c>
      <c r="Y73" s="250" t="n">
        <f aca="false" t="array" ref="Y73:Y73">IFERROR( MEDIAN((IF(DATOS_[[Sexo]:[Sexo]]=$B73,IF(DATOS_[[AGRUP. CLAS. PROF.]:[AGRUP. CLAS. PROF.]]=$B72,IF(DATOS_[[Check Periodo Ref.]:[Check Periodo Ref.]]="Dentro",DATOS_[Conc.Sal.20]))))), 0)</f>
        <v>0</v>
      </c>
      <c r="Z73" s="250" t="n">
        <f aca="false" t="array" ref="Z73:Z73">IFERROR( MEDIAN((IF(DATOS_[[Sexo]:[Sexo]]=$B73,IF(DATOS_[[AGRUP. CLAS. PROF.]:[AGRUP. CLAS. PROF.]]=$B72,IF(DATOS_[[Check Periodo Ref.]:[Check Periodo Ref.]]="Dentro",DATOS_[Conc.Sal.21]))))), 0)</f>
        <v>0</v>
      </c>
      <c r="AA73" s="250" t="n">
        <f aca="false" t="array" ref="AA73:AA73">IFERROR( MEDIAN((IF(DATOS_[[Sexo]:[Sexo]]=$B73,IF(DATOS_[[AGRUP. CLAS. PROF.]:[AGRUP. CLAS. PROF.]]=$B72,IF(DATOS_[[Check Periodo Ref.]:[Check Periodo Ref.]]="Dentro",DATOS_[Conc.Sal.22]))))), 0)</f>
        <v>0</v>
      </c>
      <c r="AB73" s="250" t="n">
        <f aca="false" t="array" ref="AB73:AB73">IFERROR( MEDIAN((IF(DATOS_[[Sexo]:[Sexo]]=$B73,IF(DATOS_[[AGRUP. CLAS. PROF.]:[AGRUP. CLAS. PROF.]]=$B72,IF(DATOS_[[Check Periodo Ref.]:[Check Periodo Ref.]]="Dentro",DATOS_[Conc.Sal.23]))))), 0)</f>
        <v>0</v>
      </c>
      <c r="AC73" s="250" t="n">
        <f aca="false" t="array" ref="AC73:AC73">IFERROR( MEDIAN((IF(DATOS_[[Sexo]:[Sexo]]=$B73,IF(DATOS_[[AGRUP. CLAS. PROF.]:[AGRUP. CLAS. PROF.]]=$B72,IF(DATOS_[[Check Periodo Ref.]:[Check Periodo Ref.]]="Dentro",DATOS_[Conc.Sal.24]))))), 0)</f>
        <v>0</v>
      </c>
      <c r="AD73" s="250" t="n">
        <f aca="false" t="array" ref="AD73:AD73">IFERROR( MEDIAN((IF(DATOS_[[Sexo]:[Sexo]]=$B73,IF(DATOS_[[AGRUP. CLAS. PROF.]:[AGRUP. CLAS. PROF.]]=$B72,IF(DATOS_[[Check Periodo Ref.]:[Check Periodo Ref.]]="Dentro",DATOS_[Conc.Sal.25]))))), 0)</f>
        <v>0</v>
      </c>
      <c r="AE73" s="250" t="n">
        <f aca="false" t="array" ref="AE73:AE73">IFERROR( MEDIAN((IF(DATOS_[[Sexo]:[Sexo]]=$B73,IF(DATOS_[[AGRUP. CLAS. PROF.]:[AGRUP. CLAS. PROF.]]=$B72,IF(DATOS_[[Check Periodo Ref.]:[Check Periodo Ref.]]="Dentro",DATOS_[Conc.Sal.26]))))), 0)</f>
        <v>0</v>
      </c>
      <c r="AF73" s="250" t="n">
        <f aca="false" t="array" ref="AF73:AF73">IFERROR( MEDIAN((IF(DATOS_[[Sexo]:[Sexo]]=$B73,IF(DATOS_[[AGRUP. CLAS. PROF.]:[AGRUP. CLAS. PROF.]]=$B72,IF(DATOS_[[Check Periodo Ref.]:[Check Periodo Ref.]]="Dentro",DATOS_[Conc.Sal.27]))))), 0)</f>
        <v>0</v>
      </c>
      <c r="AG73" s="250" t="n">
        <f aca="false" t="array" ref="AG73:AG73">IFERROR( MEDIAN((IF(DATOS_[[Sexo]:[Sexo]]=$B73,IF(DATOS_[[AGRUP. CLAS. PROF.]:[AGRUP. CLAS. PROF.]]=$B72,IF(DATOS_[[Check Periodo Ref.]:[Check Periodo Ref.]]="Dentro",DATOS_[Conc.Sal.28]))))), 0)</f>
        <v>0</v>
      </c>
      <c r="AH73" s="250" t="n">
        <f aca="false" t="array" ref="AH73:AH73">IFERROR( MEDIAN((IF(DATOS_[[Sexo]:[Sexo]]=$B73,IF(DATOS_[[AGRUP. CLAS. PROF.]:[AGRUP. CLAS. PROF.]]=$B72,IF(DATOS_[[Check Periodo Ref.]:[Check Periodo Ref.]]="Dentro",DATOS_[Conc.Sal.29]))))), 0)</f>
        <v>0</v>
      </c>
      <c r="AI73" s="250" t="n">
        <f aca="false" t="array" ref="AI73:AI73">IFERROR( MEDIAN((IF(DATOS_[[Sexo]:[Sexo]]=$B73,IF(DATOS_[[AGRUP. CLAS. PROF.]:[AGRUP. CLAS. PROF.]]=$B72,IF(DATOS_[[Check Periodo Ref.]:[Check Periodo Ref.]]="Dentro",DATOS_[Conc.Sal.30]))))), 0)</f>
        <v>0</v>
      </c>
      <c r="AJ73" s="251" t="n">
        <f aca="false" t="array" ref="AJ73:AJ73">IFERROR( MEDIAN(IF(DATOS_[Sexo]=$B73,IF(DATOS_[AGRUP. CLAS. PROF.]=$B72,IF(DATOS_[Check Periodo Ref.]="Dentro",DATOS_[Tot COMPL.SAL Ef],0)))), 0)</f>
        <v>0</v>
      </c>
      <c r="AK73" s="252" t="n">
        <f aca="false" t="array" ref="AK73:AK73">IFERROR( MEDIAN(IF(DATOS_[Sexo]=$B73,IF(DATOS_[AGRUP. CLAS. PROF.]=$B72,IF(DATOS_[Check Periodo Ref.]="Dentro",DATOS_[TOTAL SALARIO Ef],0)))), 0)</f>
        <v>0</v>
      </c>
      <c r="AL73" s="259" t="n">
        <f aca="false" t="array" ref="AL73:AL73">IFERROR( MEDIAN((IF(DATOS_[[Sexo]:[Sexo]]=$B73,IF(DATOS_[[AGRUP. CLAS. PROF.]:[AGRUP. CLAS. PROF.]]=$B72,IF(DATOS_[[Check Periodo Ref.]:[Check Periodo Ref.]]="Dentro",DATOS_[C.Extra.01]))))), 0)</f>
        <v>0</v>
      </c>
      <c r="AM73" s="259" t="n">
        <f aca="false" t="array" ref="AM73:AM73">IFERROR( MEDIAN((IF(DATOS_[[Sexo]:[Sexo]]=$B73,IF(DATOS_[[AGRUP. CLAS. PROF.]:[AGRUP. CLAS. PROF.]]=$B72,IF(DATOS_[[Check Periodo Ref.]:[Check Periodo Ref.]]="Dentro",DATOS_[C.Extra.02]))))), 0)</f>
        <v>0</v>
      </c>
      <c r="AN73" s="259" t="n">
        <f aca="false" t="array" ref="AN73:AN73">IFERROR( MEDIAN((IF(DATOS_[[Sexo]:[Sexo]]=$B73,IF(DATOS_[[AGRUP. CLAS. PROF.]:[AGRUP. CLAS. PROF.]]=$B72,IF(DATOS_[[Check Periodo Ref.]:[Check Periodo Ref.]]="Dentro",DATOS_[C.Extra.03]))))), 0)</f>
        <v>0</v>
      </c>
      <c r="AO73" s="259" t="n">
        <f aca="false" t="array" ref="AO73:AO73">IFERROR( MEDIAN((IF(DATOS_[[Sexo]:[Sexo]]=$B73,IF(DATOS_[[AGRUP. CLAS. PROF.]:[AGRUP. CLAS. PROF.]]=$B72,IF(DATOS_[[Check Periodo Ref.]:[Check Periodo Ref.]]="Dentro",DATOS_[C.Extra.04]))))), 0)</f>
        <v>0</v>
      </c>
      <c r="AP73" s="259" t="n">
        <f aca="false" t="array" ref="AP73:AP73">IFERROR( MEDIAN((IF(DATOS_[[Sexo]:[Sexo]]=$B73,IF(DATOS_[[AGRUP. CLAS. PROF.]:[AGRUP. CLAS. PROF.]]=$B72,IF(DATOS_[[Check Periodo Ref.]:[Check Periodo Ref.]]="Dentro",DATOS_[C.Extra.05]))))), 0)</f>
        <v>0</v>
      </c>
      <c r="AQ73" s="254" t="n">
        <f aca="false" t="array" ref="AQ73:AQ73">IFERROR( MEDIAN(IF(DATOS_[Sexo]=$B73,IF(DATOS_[AGRUP. CLAS. PROF.]=$B72,IF(DATOS_[Check Periodo Ref.]="Dentro",DATOS_[Tot Extrasalarial Ef],0)))), 0)</f>
        <v>0</v>
      </c>
      <c r="AR73" s="255" t="n">
        <f aca="false" t="array" ref="AR73:AR73">IFERROR( MEDIAN(IF(DATOS_[Sexo]=$B73,IF(DATOS_[AGRUP. CLAS. PROF.]=$B72,IF(DATOS_[Check Periodo Ref.]="Dentro",DATOS_[TOTAL Retrib Ef],0)))), 0)</f>
        <v>0</v>
      </c>
    </row>
    <row r="74" customFormat="false" ht="14.25" hidden="false" customHeight="false" outlineLevel="0" collapsed="false">
      <c r="A74" s="217" t="str">
        <f aca="false">+A73</f>
        <v>[ocultar]</v>
      </c>
      <c r="B74" s="246" t="s">
        <v>372</v>
      </c>
      <c r="C74" s="247" t="n">
        <f aca="false" t="array" ref="C74:C74">SUM(IF($B74=DATOS_[Sexo], IF($B72=DATOS_[AGRUP. CLAS. PROF.], IF("Dentro"=DATOS_[Check Periodo Ref.], 1/(COUNTIFS(DATOS_[Sexo],$B74,DATOS_[AGRUP. CLAS. PROF.],$B72,DATOS_[Check Periodo Ref.],"Dentro",DATOS_[id],DATOS_[id]))))))</f>
        <v>0</v>
      </c>
      <c r="D74" s="248" t="n">
        <f aca="false">COUNTIFS(DATOS_[AGRUP. CLAS. PROF.],$B72,DATOS_[Sexo],$B74,DATOS_[Check Periodo Ref.],"Dentro")</f>
        <v>0</v>
      </c>
      <c r="E74" s="249" t="n">
        <f aca="false" t="array" ref="E74:E74">IFERROR( MEDIAN(IF(DATOS_[Sexo]=$B74,IF(DATOS_[AGRUP. CLAS. PROF.]=$B72,IF(DATOS_[Check Periodo Ref.]="Dentro",DATOS_[SALARIO BASE Ef],0)))), 0)</f>
        <v>0</v>
      </c>
      <c r="F74" s="250" t="n">
        <f aca="false" t="array" ref="F74:F74">IFERROR( MEDIAN((IF(DATOS_[[Sexo]:[Sexo]]=$B74,IF(DATOS_[[AGRUP. CLAS. PROF.]:[AGRUP. CLAS. PROF.]]=$B72,IF(DATOS_[[Check Periodo Ref.]:[Check Periodo Ref.]]="Dentro",DATOS_[Conc.Sal.01]))))), 0)</f>
        <v>0</v>
      </c>
      <c r="G74" s="250" t="n">
        <f aca="false" t="array" ref="G74:G74">IFERROR( MEDIAN((IF(DATOS_[[Sexo]:[Sexo]]=$B74,IF(DATOS_[[AGRUP. CLAS. PROF.]:[AGRUP. CLAS. PROF.]]=$B72,IF(DATOS_[[Check Periodo Ref.]:[Check Periodo Ref.]]="Dentro",DATOS_[Conc.Sal.02]))))), 0)</f>
        <v>0</v>
      </c>
      <c r="H74" s="250" t="n">
        <f aca="false" t="array" ref="H74:H74">IFERROR( MEDIAN((IF(DATOS_[[Sexo]:[Sexo]]=$B74,IF(DATOS_[[AGRUP. CLAS. PROF.]:[AGRUP. CLAS. PROF.]]=$B72,IF(DATOS_[[Check Periodo Ref.]:[Check Periodo Ref.]]="Dentro",DATOS_[Conc.Sal.03]))))), 0)</f>
        <v>0</v>
      </c>
      <c r="I74" s="250" t="n">
        <f aca="false" t="array" ref="I74:I74">IFERROR( MEDIAN((IF(DATOS_[[Sexo]:[Sexo]]=$B74,IF(DATOS_[[AGRUP. CLAS. PROF.]:[AGRUP. CLAS. PROF.]]=$B72,IF(DATOS_[[Check Periodo Ref.]:[Check Periodo Ref.]]="Dentro",DATOS_[Conc.Sal.04]))))), 0)</f>
        <v>0</v>
      </c>
      <c r="J74" s="250" t="n">
        <f aca="false" t="array" ref="J74:J74">IFERROR( MEDIAN((IF(DATOS_[[Sexo]:[Sexo]]=$B74,IF(DATOS_[[AGRUP. CLAS. PROF.]:[AGRUP. CLAS. PROF.]]=$B72,IF(DATOS_[[Check Periodo Ref.]:[Check Periodo Ref.]]="Dentro",DATOS_[Conc.Sal.05]))))), 0)</f>
        <v>0</v>
      </c>
      <c r="K74" s="250" t="n">
        <f aca="false" t="array" ref="K74:K74">IFERROR( MEDIAN((IF(DATOS_[[Sexo]:[Sexo]]=$B74,IF(DATOS_[[AGRUP. CLAS. PROF.]:[AGRUP. CLAS. PROF.]]=$B72,IF(DATOS_[[Check Periodo Ref.]:[Check Periodo Ref.]]="Dentro",DATOS_[Conc.Sal.06]))))), 0)</f>
        <v>0</v>
      </c>
      <c r="L74" s="250" t="n">
        <f aca="false" t="array" ref="L74:L74">IFERROR( MEDIAN((IF(DATOS_[[Sexo]:[Sexo]]=$B74,IF(DATOS_[[AGRUP. CLAS. PROF.]:[AGRUP. CLAS. PROF.]]=$B72,IF(DATOS_[[Check Periodo Ref.]:[Check Periodo Ref.]]="Dentro",DATOS_[Conc.Sal.07]))))), 0)</f>
        <v>0</v>
      </c>
      <c r="M74" s="250" t="n">
        <f aca="false" t="array" ref="M74:M74">IFERROR( MEDIAN((IF(DATOS_[[Sexo]:[Sexo]]=$B74,IF(DATOS_[[AGRUP. CLAS. PROF.]:[AGRUP. CLAS. PROF.]]=$B72,IF(DATOS_[[Check Periodo Ref.]:[Check Periodo Ref.]]="Dentro",DATOS_[Conc.Sal.08]))))), 0)</f>
        <v>0</v>
      </c>
      <c r="N74" s="250" t="n">
        <f aca="false" t="array" ref="N74:N74">IFERROR( MEDIAN((IF(DATOS_[[Sexo]:[Sexo]]=$B74,IF(DATOS_[[AGRUP. CLAS. PROF.]:[AGRUP. CLAS. PROF.]]=$B72,IF(DATOS_[[Check Periodo Ref.]:[Check Periodo Ref.]]="Dentro",DATOS_[Conc.Sal.09]))))), 0)</f>
        <v>0</v>
      </c>
      <c r="O74" s="250" t="n">
        <f aca="false" t="array" ref="O74:O74">IFERROR( MEDIAN((IF(DATOS_[[Sexo]:[Sexo]]=$B74,IF(DATOS_[[AGRUP. CLAS. PROF.]:[AGRUP. CLAS. PROF.]]=$B72,IF(DATOS_[[Check Periodo Ref.]:[Check Periodo Ref.]]="Dentro",DATOS_[Conc.Sal.10]))))), 0)</f>
        <v>0</v>
      </c>
      <c r="P74" s="250" t="n">
        <f aca="false" t="array" ref="P74:P74">IFERROR( MEDIAN((IF(DATOS_[[Sexo]:[Sexo]]=$B74,IF(DATOS_[[AGRUP. CLAS. PROF.]:[AGRUP. CLAS. PROF.]]=$B72,IF(DATOS_[[Check Periodo Ref.]:[Check Periodo Ref.]]="Dentro",DATOS_[Conc.Sal.11]))))), 0)</f>
        <v>0</v>
      </c>
      <c r="Q74" s="250" t="n">
        <f aca="false" t="array" ref="Q74:Q74">IFERROR( MEDIAN((IF(DATOS_[[Sexo]:[Sexo]]=$B74,IF(DATOS_[[AGRUP. CLAS. PROF.]:[AGRUP. CLAS. PROF.]]=$B72,IF(DATOS_[[Check Periodo Ref.]:[Check Periodo Ref.]]="Dentro",DATOS_[Conc.Sal.12]))))), 0)</f>
        <v>0</v>
      </c>
      <c r="R74" s="250" t="n">
        <f aca="false" t="array" ref="R74:R74">IFERROR( MEDIAN((IF(DATOS_[[Sexo]:[Sexo]]=$B74,IF(DATOS_[[AGRUP. CLAS. PROF.]:[AGRUP. CLAS. PROF.]]=$B72,IF(DATOS_[[Check Periodo Ref.]:[Check Periodo Ref.]]="Dentro",DATOS_[Conc.Sal.13]))))), 0)</f>
        <v>0</v>
      </c>
      <c r="S74" s="250" t="n">
        <f aca="false" t="array" ref="S74:S74">IFERROR( MEDIAN((IF(DATOS_[[Sexo]:[Sexo]]=$B74,IF(DATOS_[[AGRUP. CLAS. PROF.]:[AGRUP. CLAS. PROF.]]=$B72,IF(DATOS_[[Check Periodo Ref.]:[Check Periodo Ref.]]="Dentro",DATOS_[Conc.Sal.14]))))), 0)</f>
        <v>0</v>
      </c>
      <c r="T74" s="250" t="n">
        <f aca="false" t="array" ref="T74:T74">IFERROR( MEDIAN((IF(DATOS_[[Sexo]:[Sexo]]=$B74,IF(DATOS_[[AGRUP. CLAS. PROF.]:[AGRUP. CLAS. PROF.]]=$B72,IF(DATOS_[[Check Periodo Ref.]:[Check Periodo Ref.]]="Dentro",DATOS_[Conc.Sal.15]))))), 0)</f>
        <v>0</v>
      </c>
      <c r="U74" s="250" t="n">
        <f aca="false" t="array" ref="U74:U74">IFERROR( MEDIAN((IF(DATOS_[[Sexo]:[Sexo]]=$B74,IF(DATOS_[[AGRUP. CLAS. PROF.]:[AGRUP. CLAS. PROF.]]=$B72,IF(DATOS_[[Check Periodo Ref.]:[Check Periodo Ref.]]="Dentro",DATOS_[Conc.Sal.16]))))), 0)</f>
        <v>0</v>
      </c>
      <c r="V74" s="250" t="n">
        <f aca="false" t="array" ref="V74:V74">IFERROR( MEDIAN((IF(DATOS_[[Sexo]:[Sexo]]=$B74,IF(DATOS_[[AGRUP. CLAS. PROF.]:[AGRUP. CLAS. PROF.]]=$B72,IF(DATOS_[[Check Periodo Ref.]:[Check Periodo Ref.]]="Dentro",DATOS_[Conc.Sal.17]))))), 0)</f>
        <v>0</v>
      </c>
      <c r="W74" s="250" t="n">
        <f aca="false" t="array" ref="W74:W74">IFERROR( MEDIAN((IF(DATOS_[[Sexo]:[Sexo]]=$B74,IF(DATOS_[[AGRUP. CLAS. PROF.]:[AGRUP. CLAS. PROF.]]=$B72,IF(DATOS_[[Check Periodo Ref.]:[Check Periodo Ref.]]="Dentro",DATOS_[Conc.Sal.18]))))), 0)</f>
        <v>0</v>
      </c>
      <c r="X74" s="250" t="n">
        <f aca="false" t="array" ref="X74:X74">IFERROR( MEDIAN((IF(DATOS_[[Sexo]:[Sexo]]=$B74,IF(DATOS_[[AGRUP. CLAS. PROF.]:[AGRUP. CLAS. PROF.]]=$B72,IF(DATOS_[[Check Periodo Ref.]:[Check Periodo Ref.]]="Dentro",DATOS_[Conc.Sal.19]))))), 0)</f>
        <v>0</v>
      </c>
      <c r="Y74" s="250" t="n">
        <f aca="false" t="array" ref="Y74:Y74">IFERROR( MEDIAN((IF(DATOS_[[Sexo]:[Sexo]]=$B74,IF(DATOS_[[AGRUP. CLAS. PROF.]:[AGRUP. CLAS. PROF.]]=$B72,IF(DATOS_[[Check Periodo Ref.]:[Check Periodo Ref.]]="Dentro",DATOS_[Conc.Sal.20]))))), 0)</f>
        <v>0</v>
      </c>
      <c r="Z74" s="250" t="n">
        <f aca="false" t="array" ref="Z74:Z74">IFERROR( MEDIAN((IF(DATOS_[[Sexo]:[Sexo]]=$B74,IF(DATOS_[[AGRUP. CLAS. PROF.]:[AGRUP. CLAS. PROF.]]=$B72,IF(DATOS_[[Check Periodo Ref.]:[Check Periodo Ref.]]="Dentro",DATOS_[Conc.Sal.21]))))), 0)</f>
        <v>0</v>
      </c>
      <c r="AA74" s="250" t="n">
        <f aca="false" t="array" ref="AA74:AA74">IFERROR( MEDIAN((IF(DATOS_[[Sexo]:[Sexo]]=$B74,IF(DATOS_[[AGRUP. CLAS. PROF.]:[AGRUP. CLAS. PROF.]]=$B72,IF(DATOS_[[Check Periodo Ref.]:[Check Periodo Ref.]]="Dentro",DATOS_[Conc.Sal.22]))))), 0)</f>
        <v>0</v>
      </c>
      <c r="AB74" s="250" t="n">
        <f aca="false" t="array" ref="AB74:AB74">IFERROR( MEDIAN((IF(DATOS_[[Sexo]:[Sexo]]=$B74,IF(DATOS_[[AGRUP. CLAS. PROF.]:[AGRUP. CLAS. PROF.]]=$B72,IF(DATOS_[[Check Periodo Ref.]:[Check Periodo Ref.]]="Dentro",DATOS_[Conc.Sal.23]))))), 0)</f>
        <v>0</v>
      </c>
      <c r="AC74" s="250" t="n">
        <f aca="false" t="array" ref="AC74:AC74">IFERROR( MEDIAN((IF(DATOS_[[Sexo]:[Sexo]]=$B74,IF(DATOS_[[AGRUP. CLAS. PROF.]:[AGRUP. CLAS. PROF.]]=$B72,IF(DATOS_[[Check Periodo Ref.]:[Check Periodo Ref.]]="Dentro",DATOS_[Conc.Sal.24]))))), 0)</f>
        <v>0</v>
      </c>
      <c r="AD74" s="250" t="n">
        <f aca="false" t="array" ref="AD74:AD74">IFERROR( MEDIAN((IF(DATOS_[[Sexo]:[Sexo]]=$B74,IF(DATOS_[[AGRUP. CLAS. PROF.]:[AGRUP. CLAS. PROF.]]=$B72,IF(DATOS_[[Check Periodo Ref.]:[Check Periodo Ref.]]="Dentro",DATOS_[Conc.Sal.25]))))), 0)</f>
        <v>0</v>
      </c>
      <c r="AE74" s="250" t="n">
        <f aca="false" t="array" ref="AE74:AE74">IFERROR( MEDIAN((IF(DATOS_[[Sexo]:[Sexo]]=$B74,IF(DATOS_[[AGRUP. CLAS. PROF.]:[AGRUP. CLAS. PROF.]]=$B72,IF(DATOS_[[Check Periodo Ref.]:[Check Periodo Ref.]]="Dentro",DATOS_[Conc.Sal.26]))))), 0)</f>
        <v>0</v>
      </c>
      <c r="AF74" s="250" t="n">
        <f aca="false" t="array" ref="AF74:AF74">IFERROR( MEDIAN((IF(DATOS_[[Sexo]:[Sexo]]=$B74,IF(DATOS_[[AGRUP. CLAS. PROF.]:[AGRUP. CLAS. PROF.]]=$B72,IF(DATOS_[[Check Periodo Ref.]:[Check Periodo Ref.]]="Dentro",DATOS_[Conc.Sal.27]))))), 0)</f>
        <v>0</v>
      </c>
      <c r="AG74" s="250" t="n">
        <f aca="false" t="array" ref="AG74:AG74">IFERROR( MEDIAN((IF(DATOS_[[Sexo]:[Sexo]]=$B74,IF(DATOS_[[AGRUP. CLAS. PROF.]:[AGRUP. CLAS. PROF.]]=$B72,IF(DATOS_[[Check Periodo Ref.]:[Check Periodo Ref.]]="Dentro",DATOS_[Conc.Sal.28]))))), 0)</f>
        <v>0</v>
      </c>
      <c r="AH74" s="250" t="n">
        <f aca="false" t="array" ref="AH74:AH74">IFERROR( MEDIAN((IF(DATOS_[[Sexo]:[Sexo]]=$B74,IF(DATOS_[[AGRUP. CLAS. PROF.]:[AGRUP. CLAS. PROF.]]=$B72,IF(DATOS_[[Check Periodo Ref.]:[Check Periodo Ref.]]="Dentro",DATOS_[Conc.Sal.29]))))), 0)</f>
        <v>0</v>
      </c>
      <c r="AI74" s="250" t="n">
        <f aca="false" t="array" ref="AI74:AI74">IFERROR( MEDIAN((IF(DATOS_[[Sexo]:[Sexo]]=$B74,IF(DATOS_[[AGRUP. CLAS. PROF.]:[AGRUP. CLAS. PROF.]]=$B72,IF(DATOS_[[Check Periodo Ref.]:[Check Periodo Ref.]]="Dentro",DATOS_[Conc.Sal.30]))))), 0)</f>
        <v>0</v>
      </c>
      <c r="AJ74" s="251" t="n">
        <f aca="false" t="array" ref="AJ74:AJ74">IFERROR( MEDIAN(IF(DATOS_[Sexo]=$B74,IF(DATOS_[AGRUP. CLAS. PROF.]=$B72,IF(DATOS_[Check Periodo Ref.]="Dentro",DATOS_[Tot COMPL.SAL Ef],0)))), 0)</f>
        <v>0</v>
      </c>
      <c r="AK74" s="252" t="n">
        <f aca="false" t="array" ref="AK74:AK74">IFERROR( MEDIAN(IF(DATOS_[Sexo]=$B74,IF(DATOS_[AGRUP. CLAS. PROF.]=$B72,IF(DATOS_[Check Periodo Ref.]="Dentro",DATOS_[TOTAL SALARIO Ef],0)))), 0)</f>
        <v>0</v>
      </c>
      <c r="AL74" s="259" t="n">
        <f aca="false" t="array" ref="AL74:AL74">IFERROR( MEDIAN((IF(DATOS_[[Sexo]:[Sexo]]=$B74,IF(DATOS_[[AGRUP. CLAS. PROF.]:[AGRUP. CLAS. PROF.]]=$B72,IF(DATOS_[[Check Periodo Ref.]:[Check Periodo Ref.]]="Dentro",DATOS_[C.Extra.01]))))), 0)</f>
        <v>0</v>
      </c>
      <c r="AM74" s="259" t="n">
        <f aca="false" t="array" ref="AM74:AM74">IFERROR( MEDIAN((IF(DATOS_[[Sexo]:[Sexo]]=$B74,IF(DATOS_[[AGRUP. CLAS. PROF.]:[AGRUP. CLAS. PROF.]]=$B72,IF(DATOS_[[Check Periodo Ref.]:[Check Periodo Ref.]]="Dentro",DATOS_[C.Extra.02]))))), 0)</f>
        <v>0</v>
      </c>
      <c r="AN74" s="259" t="n">
        <f aca="false" t="array" ref="AN74:AN74">IFERROR( MEDIAN((IF(DATOS_[[Sexo]:[Sexo]]=$B74,IF(DATOS_[[AGRUP. CLAS. PROF.]:[AGRUP. CLAS. PROF.]]=$B72,IF(DATOS_[[Check Periodo Ref.]:[Check Periodo Ref.]]="Dentro",DATOS_[C.Extra.03]))))), 0)</f>
        <v>0</v>
      </c>
      <c r="AO74" s="259" t="n">
        <f aca="false" t="array" ref="AO74:AO74">IFERROR( MEDIAN((IF(DATOS_[[Sexo]:[Sexo]]=$B74,IF(DATOS_[[AGRUP. CLAS. PROF.]:[AGRUP. CLAS. PROF.]]=$B72,IF(DATOS_[[Check Periodo Ref.]:[Check Periodo Ref.]]="Dentro",DATOS_[C.Extra.04]))))), 0)</f>
        <v>0</v>
      </c>
      <c r="AP74" s="259" t="n">
        <f aca="false" t="array" ref="AP74:AP74">IFERROR( MEDIAN((IF(DATOS_[[Sexo]:[Sexo]]=$B74,IF(DATOS_[[AGRUP. CLAS. PROF.]:[AGRUP. CLAS. PROF.]]=$B72,IF(DATOS_[[Check Periodo Ref.]:[Check Periodo Ref.]]="Dentro",DATOS_[C.Extra.05]))))), 0)</f>
        <v>0</v>
      </c>
      <c r="AQ74" s="254" t="n">
        <f aca="false" t="array" ref="AQ74:AQ74">IFERROR( MEDIAN(IF(DATOS_[Sexo]=$B74,IF(DATOS_[AGRUP. CLAS. PROF.]=$B72,IF(DATOS_[Check Periodo Ref.]="Dentro",DATOS_[Tot Extrasalarial Ef],0)))), 0)</f>
        <v>0</v>
      </c>
      <c r="AR74" s="255" t="n">
        <f aca="false" t="array" ref="AR74:AR74">IFERROR( MEDIAN(IF(DATOS_[Sexo]=$B74,IF(DATOS_[AGRUP. CLAS. PROF.]=$B72,IF(DATOS_[Check Periodo Ref.]="Dentro",DATOS_[TOTAL Retrib Ef],0)))), 0)</f>
        <v>0</v>
      </c>
    </row>
    <row r="75" customFormat="false" ht="15.75" hidden="false" customHeight="false" outlineLevel="0" collapsed="false">
      <c r="A75" s="217" t="str">
        <f aca="false">+A76</f>
        <v>[ocultar]</v>
      </c>
      <c r="B75" s="235" t="s">
        <v>228</v>
      </c>
      <c r="C75" s="236"/>
      <c r="D75" s="237"/>
      <c r="E75" s="238" t="str">
        <f aca="false">IFERROR((E76-E77)/E76,"")</f>
        <v/>
      </c>
      <c r="F75" s="239" t="str">
        <f aca="false">IFERROR((F76-F77)/F76,"")</f>
        <v/>
      </c>
      <c r="G75" s="239" t="str">
        <f aca="false">IFERROR((G76-G77)/G76,"")</f>
        <v/>
      </c>
      <c r="H75" s="239" t="str">
        <f aca="false">IFERROR((H76-H77)/H76,"")</f>
        <v/>
      </c>
      <c r="I75" s="239"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40" t="str">
        <f aca="false">IFERROR((V76-V77)/V76,"")</f>
        <v/>
      </c>
      <c r="W75" s="240" t="str">
        <f aca="false">IFERROR((W76-W77)/W76,"")</f>
        <v/>
      </c>
      <c r="X75" s="240" t="str">
        <f aca="false">IFERROR((X76-X77)/X76,"")</f>
        <v/>
      </c>
      <c r="Y75" s="240"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1" t="str">
        <f aca="false">IFERROR((AJ76-AJ77)/AJ76,"")</f>
        <v/>
      </c>
      <c r="AK75" s="242" t="str">
        <f aca="false">IFERROR((AK76-AK77)/AK76,"")</f>
        <v/>
      </c>
      <c r="AL75" s="243" t="str">
        <f aca="false">IFERROR((AL76-AL77)/AL76,"")</f>
        <v/>
      </c>
      <c r="AM75" s="243" t="str">
        <f aca="false">IFERROR((AM76-AM77)/AM76,"")</f>
        <v/>
      </c>
      <c r="AN75" s="243" t="str">
        <f aca="false">IFERROR((AN76-AN77)/AN76,"")</f>
        <v/>
      </c>
      <c r="AO75" s="243" t="str">
        <f aca="false">IFERROR((AO76-AO77)/AO76,"")</f>
        <v/>
      </c>
      <c r="AP75" s="243" t="str">
        <f aca="false">IFERROR((AP76-AP77)/AP76,"")</f>
        <v/>
      </c>
      <c r="AQ75" s="244" t="str">
        <f aca="false">IFERROR((AQ76-AQ77)/AQ76,"")</f>
        <v/>
      </c>
      <c r="AR75" s="245" t="str">
        <f aca="false">IFERROR((AR76-AR77)/AR76,"")</f>
        <v/>
      </c>
    </row>
    <row r="76" customFormat="false" ht="14.25" hidden="false" customHeight="false" outlineLevel="0" collapsed="false">
      <c r="A76" s="217" t="str">
        <f aca="false">+IF(C76+C77=0,"[ocultar]","")</f>
        <v>[ocultar]</v>
      </c>
      <c r="B76" s="246" t="s">
        <v>371</v>
      </c>
      <c r="C76" s="247" t="n">
        <f aca="false" t="array" ref="C76:C76">SUM(IF($B76=DATOS_[Sexo], IF($B75=DATOS_[AGRUP. CLAS. PROF.], IF("Dentro"=DATOS_[Check Periodo Ref.], 1/(COUNTIFS(DATOS_[Sexo],$B76,DATOS_[AGRUP. CLAS. PROF.],$B75,DATOS_[Check Periodo Ref.],"Dentro",DATOS_[id],DATOS_[id]))))))</f>
        <v>0</v>
      </c>
      <c r="D76" s="248" t="n">
        <f aca="false">COUNTIFS(DATOS_[AGRUP. CLAS. PROF.],$B75,DATOS_[Sexo],$B76,DATOS_[Check Periodo Ref.],"Dentro")</f>
        <v>0</v>
      </c>
      <c r="E76" s="249" t="n">
        <f aca="false" t="array" ref="E76:E76">IFERROR( MEDIAN(IF(DATOS_[Sexo]=$B76,IF(DATOS_[AGRUP. CLAS. PROF.]=$B75,IF(DATOS_[Check Periodo Ref.]="Dentro",DATOS_[SALARIO BASE Ef],0)))), 0)</f>
        <v>0</v>
      </c>
      <c r="F76" s="250" t="n">
        <f aca="false" t="array" ref="F76:F76">IFERROR( MEDIAN((IF(DATOS_[[Sexo]:[Sexo]]=$B76,IF(DATOS_[[AGRUP. CLAS. PROF.]:[AGRUP. CLAS. PROF.]]=$B75,IF(DATOS_[[Check Periodo Ref.]:[Check Periodo Ref.]]="Dentro",DATOS_[Conc.Sal.01]))))), 0)</f>
        <v>0</v>
      </c>
      <c r="G76" s="250" t="n">
        <f aca="false" t="array" ref="G76:G76">IFERROR( MEDIAN((IF(DATOS_[[Sexo]:[Sexo]]=$B76,IF(DATOS_[[AGRUP. CLAS. PROF.]:[AGRUP. CLAS. PROF.]]=$B75,IF(DATOS_[[Check Periodo Ref.]:[Check Periodo Ref.]]="Dentro",DATOS_[Conc.Sal.02]))))), 0)</f>
        <v>0</v>
      </c>
      <c r="H76" s="250" t="n">
        <f aca="false" t="array" ref="H76:H76">IFERROR( MEDIAN((IF(DATOS_[[Sexo]:[Sexo]]=$B76,IF(DATOS_[[AGRUP. CLAS. PROF.]:[AGRUP. CLAS. PROF.]]=$B75,IF(DATOS_[[Check Periodo Ref.]:[Check Periodo Ref.]]="Dentro",DATOS_[Conc.Sal.03]))))), 0)</f>
        <v>0</v>
      </c>
      <c r="I76" s="250" t="n">
        <f aca="false" t="array" ref="I76:I76">IFERROR( MEDIAN((IF(DATOS_[[Sexo]:[Sexo]]=$B76,IF(DATOS_[[AGRUP. CLAS. PROF.]:[AGRUP. CLAS. PROF.]]=$B75,IF(DATOS_[[Check Periodo Ref.]:[Check Periodo Ref.]]="Dentro",DATOS_[Conc.Sal.04]))))), 0)</f>
        <v>0</v>
      </c>
      <c r="J76" s="250" t="n">
        <f aca="false" t="array" ref="J76:J76">IFERROR( MEDIAN((IF(DATOS_[[Sexo]:[Sexo]]=$B76,IF(DATOS_[[AGRUP. CLAS. PROF.]:[AGRUP. CLAS. PROF.]]=$B75,IF(DATOS_[[Check Periodo Ref.]:[Check Periodo Ref.]]="Dentro",DATOS_[Conc.Sal.05]))))), 0)</f>
        <v>0</v>
      </c>
      <c r="K76" s="250" t="n">
        <f aca="false" t="array" ref="K76:K76">IFERROR( MEDIAN((IF(DATOS_[[Sexo]:[Sexo]]=$B76,IF(DATOS_[[AGRUP. CLAS. PROF.]:[AGRUP. CLAS. PROF.]]=$B75,IF(DATOS_[[Check Periodo Ref.]:[Check Periodo Ref.]]="Dentro",DATOS_[Conc.Sal.06]))))), 0)</f>
        <v>0</v>
      </c>
      <c r="L76" s="250" t="n">
        <f aca="false" t="array" ref="L76:L76">IFERROR( MEDIAN((IF(DATOS_[[Sexo]:[Sexo]]=$B76,IF(DATOS_[[AGRUP. CLAS. PROF.]:[AGRUP. CLAS. PROF.]]=$B75,IF(DATOS_[[Check Periodo Ref.]:[Check Periodo Ref.]]="Dentro",DATOS_[Conc.Sal.07]))))), 0)</f>
        <v>0</v>
      </c>
      <c r="M76" s="250" t="n">
        <f aca="false" t="array" ref="M76:M76">IFERROR( MEDIAN((IF(DATOS_[[Sexo]:[Sexo]]=$B76,IF(DATOS_[[AGRUP. CLAS. PROF.]:[AGRUP. CLAS. PROF.]]=$B75,IF(DATOS_[[Check Periodo Ref.]:[Check Periodo Ref.]]="Dentro",DATOS_[Conc.Sal.08]))))), 0)</f>
        <v>0</v>
      </c>
      <c r="N76" s="250" t="n">
        <f aca="false" t="array" ref="N76:N76">IFERROR( MEDIAN((IF(DATOS_[[Sexo]:[Sexo]]=$B76,IF(DATOS_[[AGRUP. CLAS. PROF.]:[AGRUP. CLAS. PROF.]]=$B75,IF(DATOS_[[Check Periodo Ref.]:[Check Periodo Ref.]]="Dentro",DATOS_[Conc.Sal.09]))))), 0)</f>
        <v>0</v>
      </c>
      <c r="O76" s="250" t="n">
        <f aca="false" t="array" ref="O76:O76">IFERROR( MEDIAN((IF(DATOS_[[Sexo]:[Sexo]]=$B76,IF(DATOS_[[AGRUP. CLAS. PROF.]:[AGRUP. CLAS. PROF.]]=$B75,IF(DATOS_[[Check Periodo Ref.]:[Check Periodo Ref.]]="Dentro",DATOS_[Conc.Sal.10]))))), 0)</f>
        <v>0</v>
      </c>
      <c r="P76" s="250" t="n">
        <f aca="false" t="array" ref="P76:P76">IFERROR( MEDIAN((IF(DATOS_[[Sexo]:[Sexo]]=$B76,IF(DATOS_[[AGRUP. CLAS. PROF.]:[AGRUP. CLAS. PROF.]]=$B75,IF(DATOS_[[Check Periodo Ref.]:[Check Periodo Ref.]]="Dentro",DATOS_[Conc.Sal.11]))))), 0)</f>
        <v>0</v>
      </c>
      <c r="Q76" s="250" t="n">
        <f aca="false" t="array" ref="Q76:Q76">IFERROR( MEDIAN((IF(DATOS_[[Sexo]:[Sexo]]=$B76,IF(DATOS_[[AGRUP. CLAS. PROF.]:[AGRUP. CLAS. PROF.]]=$B75,IF(DATOS_[[Check Periodo Ref.]:[Check Periodo Ref.]]="Dentro",DATOS_[Conc.Sal.12]))))), 0)</f>
        <v>0</v>
      </c>
      <c r="R76" s="250" t="n">
        <f aca="false" t="array" ref="R76:R76">IFERROR( MEDIAN((IF(DATOS_[[Sexo]:[Sexo]]=$B76,IF(DATOS_[[AGRUP. CLAS. PROF.]:[AGRUP. CLAS. PROF.]]=$B75,IF(DATOS_[[Check Periodo Ref.]:[Check Periodo Ref.]]="Dentro",DATOS_[Conc.Sal.13]))))), 0)</f>
        <v>0</v>
      </c>
      <c r="S76" s="250" t="n">
        <f aca="false" t="array" ref="S76:S76">IFERROR( MEDIAN((IF(DATOS_[[Sexo]:[Sexo]]=$B76,IF(DATOS_[[AGRUP. CLAS. PROF.]:[AGRUP. CLAS. PROF.]]=$B75,IF(DATOS_[[Check Periodo Ref.]:[Check Periodo Ref.]]="Dentro",DATOS_[Conc.Sal.14]))))), 0)</f>
        <v>0</v>
      </c>
      <c r="T76" s="250" t="n">
        <f aca="false" t="array" ref="T76:T76">IFERROR( MEDIAN((IF(DATOS_[[Sexo]:[Sexo]]=$B76,IF(DATOS_[[AGRUP. CLAS. PROF.]:[AGRUP. CLAS. PROF.]]=$B75,IF(DATOS_[[Check Periodo Ref.]:[Check Periodo Ref.]]="Dentro",DATOS_[Conc.Sal.15]))))), 0)</f>
        <v>0</v>
      </c>
      <c r="U76" s="250" t="n">
        <f aca="false" t="array" ref="U76:U76">IFERROR( MEDIAN((IF(DATOS_[[Sexo]:[Sexo]]=$B76,IF(DATOS_[[AGRUP. CLAS. PROF.]:[AGRUP. CLAS. PROF.]]=$B75,IF(DATOS_[[Check Periodo Ref.]:[Check Periodo Ref.]]="Dentro",DATOS_[Conc.Sal.16]))))), 0)</f>
        <v>0</v>
      </c>
      <c r="V76" s="250" t="n">
        <f aca="false" t="array" ref="V76:V76">IFERROR( MEDIAN((IF(DATOS_[[Sexo]:[Sexo]]=$B76,IF(DATOS_[[AGRUP. CLAS. PROF.]:[AGRUP. CLAS. PROF.]]=$B75,IF(DATOS_[[Check Periodo Ref.]:[Check Periodo Ref.]]="Dentro",DATOS_[Conc.Sal.17]))))), 0)</f>
        <v>0</v>
      </c>
      <c r="W76" s="250" t="n">
        <f aca="false" t="array" ref="W76:W76">IFERROR( MEDIAN((IF(DATOS_[[Sexo]:[Sexo]]=$B76,IF(DATOS_[[AGRUP. CLAS. PROF.]:[AGRUP. CLAS. PROF.]]=$B75,IF(DATOS_[[Check Periodo Ref.]:[Check Periodo Ref.]]="Dentro",DATOS_[Conc.Sal.18]))))), 0)</f>
        <v>0</v>
      </c>
      <c r="X76" s="250" t="n">
        <f aca="false" t="array" ref="X76:X76">IFERROR( MEDIAN((IF(DATOS_[[Sexo]:[Sexo]]=$B76,IF(DATOS_[[AGRUP. CLAS. PROF.]:[AGRUP. CLAS. PROF.]]=$B75,IF(DATOS_[[Check Periodo Ref.]:[Check Periodo Ref.]]="Dentro",DATOS_[Conc.Sal.19]))))), 0)</f>
        <v>0</v>
      </c>
      <c r="Y76" s="250" t="n">
        <f aca="false" t="array" ref="Y76:Y76">IFERROR( MEDIAN((IF(DATOS_[[Sexo]:[Sexo]]=$B76,IF(DATOS_[[AGRUP. CLAS. PROF.]:[AGRUP. CLAS. PROF.]]=$B75,IF(DATOS_[[Check Periodo Ref.]:[Check Periodo Ref.]]="Dentro",DATOS_[Conc.Sal.20]))))), 0)</f>
        <v>0</v>
      </c>
      <c r="Z76" s="250" t="n">
        <f aca="false" t="array" ref="Z76:Z76">IFERROR( MEDIAN((IF(DATOS_[[Sexo]:[Sexo]]=$B76,IF(DATOS_[[AGRUP. CLAS. PROF.]:[AGRUP. CLAS. PROF.]]=$B75,IF(DATOS_[[Check Periodo Ref.]:[Check Periodo Ref.]]="Dentro",DATOS_[Conc.Sal.21]))))), 0)</f>
        <v>0</v>
      </c>
      <c r="AA76" s="250" t="n">
        <f aca="false" t="array" ref="AA76:AA76">IFERROR( MEDIAN((IF(DATOS_[[Sexo]:[Sexo]]=$B76,IF(DATOS_[[AGRUP. CLAS. PROF.]:[AGRUP. CLAS. PROF.]]=$B75,IF(DATOS_[[Check Periodo Ref.]:[Check Periodo Ref.]]="Dentro",DATOS_[Conc.Sal.22]))))), 0)</f>
        <v>0</v>
      </c>
      <c r="AB76" s="250" t="n">
        <f aca="false" t="array" ref="AB76:AB76">IFERROR( MEDIAN((IF(DATOS_[[Sexo]:[Sexo]]=$B76,IF(DATOS_[[AGRUP. CLAS. PROF.]:[AGRUP. CLAS. PROF.]]=$B75,IF(DATOS_[[Check Periodo Ref.]:[Check Periodo Ref.]]="Dentro",DATOS_[Conc.Sal.23]))))), 0)</f>
        <v>0</v>
      </c>
      <c r="AC76" s="250" t="n">
        <f aca="false" t="array" ref="AC76:AC76">IFERROR( MEDIAN((IF(DATOS_[[Sexo]:[Sexo]]=$B76,IF(DATOS_[[AGRUP. CLAS. PROF.]:[AGRUP. CLAS. PROF.]]=$B75,IF(DATOS_[[Check Periodo Ref.]:[Check Periodo Ref.]]="Dentro",DATOS_[Conc.Sal.24]))))), 0)</f>
        <v>0</v>
      </c>
      <c r="AD76" s="250" t="n">
        <f aca="false" t="array" ref="AD76:AD76">IFERROR( MEDIAN((IF(DATOS_[[Sexo]:[Sexo]]=$B76,IF(DATOS_[[AGRUP. CLAS. PROF.]:[AGRUP. CLAS. PROF.]]=$B75,IF(DATOS_[[Check Periodo Ref.]:[Check Periodo Ref.]]="Dentro",DATOS_[Conc.Sal.25]))))), 0)</f>
        <v>0</v>
      </c>
      <c r="AE76" s="250" t="n">
        <f aca="false" t="array" ref="AE76:AE76">IFERROR( MEDIAN((IF(DATOS_[[Sexo]:[Sexo]]=$B76,IF(DATOS_[[AGRUP. CLAS. PROF.]:[AGRUP. CLAS. PROF.]]=$B75,IF(DATOS_[[Check Periodo Ref.]:[Check Periodo Ref.]]="Dentro",DATOS_[Conc.Sal.26]))))), 0)</f>
        <v>0</v>
      </c>
      <c r="AF76" s="250" t="n">
        <f aca="false" t="array" ref="AF76:AF76">IFERROR( MEDIAN((IF(DATOS_[[Sexo]:[Sexo]]=$B76,IF(DATOS_[[AGRUP. CLAS. PROF.]:[AGRUP. CLAS. PROF.]]=$B75,IF(DATOS_[[Check Periodo Ref.]:[Check Periodo Ref.]]="Dentro",DATOS_[Conc.Sal.27]))))), 0)</f>
        <v>0</v>
      </c>
      <c r="AG76" s="250" t="n">
        <f aca="false" t="array" ref="AG76:AG76">IFERROR( MEDIAN((IF(DATOS_[[Sexo]:[Sexo]]=$B76,IF(DATOS_[[AGRUP. CLAS. PROF.]:[AGRUP. CLAS. PROF.]]=$B75,IF(DATOS_[[Check Periodo Ref.]:[Check Periodo Ref.]]="Dentro",DATOS_[Conc.Sal.28]))))), 0)</f>
        <v>0</v>
      </c>
      <c r="AH76" s="250" t="n">
        <f aca="false" t="array" ref="AH76:AH76">IFERROR( MEDIAN((IF(DATOS_[[Sexo]:[Sexo]]=$B76,IF(DATOS_[[AGRUP. CLAS. PROF.]:[AGRUP. CLAS. PROF.]]=$B75,IF(DATOS_[[Check Periodo Ref.]:[Check Periodo Ref.]]="Dentro",DATOS_[Conc.Sal.29]))))), 0)</f>
        <v>0</v>
      </c>
      <c r="AI76" s="250" t="n">
        <f aca="false" t="array" ref="AI76:AI76">IFERROR( MEDIAN((IF(DATOS_[[Sexo]:[Sexo]]=$B76,IF(DATOS_[[AGRUP. CLAS. PROF.]:[AGRUP. CLAS. PROF.]]=$B75,IF(DATOS_[[Check Periodo Ref.]:[Check Periodo Ref.]]="Dentro",DATOS_[Conc.Sal.30]))))), 0)</f>
        <v>0</v>
      </c>
      <c r="AJ76" s="251" t="n">
        <f aca="false" t="array" ref="AJ76:AJ76">IFERROR( MEDIAN(IF(DATOS_[Sexo]=$B76,IF(DATOS_[AGRUP. CLAS. PROF.]=$B75,IF(DATOS_[Check Periodo Ref.]="Dentro",DATOS_[Tot COMPL.SAL Ef],0)))), 0)</f>
        <v>0</v>
      </c>
      <c r="AK76" s="252" t="n">
        <f aca="false" t="array" ref="AK76:AK76">IFERROR( MEDIAN(IF(DATOS_[Sexo]=$B76,IF(DATOS_[AGRUP. CLAS. PROF.]=$B75,IF(DATOS_[Check Periodo Ref.]="Dentro",DATOS_[TOTAL SALARIO Ef],0)))), 0)</f>
        <v>0</v>
      </c>
      <c r="AL76" s="259" t="n">
        <f aca="false" t="array" ref="AL76:AL76">IFERROR( MEDIAN((IF(DATOS_[[Sexo]:[Sexo]]=$B76,IF(DATOS_[[AGRUP. CLAS. PROF.]:[AGRUP. CLAS. PROF.]]=$B75,IF(DATOS_[[Check Periodo Ref.]:[Check Periodo Ref.]]="Dentro",DATOS_[C.Extra.01]))))), 0)</f>
        <v>0</v>
      </c>
      <c r="AM76" s="259" t="n">
        <f aca="false" t="array" ref="AM76:AM76">IFERROR( MEDIAN((IF(DATOS_[[Sexo]:[Sexo]]=$B76,IF(DATOS_[[AGRUP. CLAS. PROF.]:[AGRUP. CLAS. PROF.]]=$B75,IF(DATOS_[[Check Periodo Ref.]:[Check Periodo Ref.]]="Dentro",DATOS_[C.Extra.02]))))), 0)</f>
        <v>0</v>
      </c>
      <c r="AN76" s="259" t="n">
        <f aca="false" t="array" ref="AN76:AN76">IFERROR( MEDIAN((IF(DATOS_[[Sexo]:[Sexo]]=$B76,IF(DATOS_[[AGRUP. CLAS. PROF.]:[AGRUP. CLAS. PROF.]]=$B75,IF(DATOS_[[Check Periodo Ref.]:[Check Periodo Ref.]]="Dentro",DATOS_[C.Extra.03]))))), 0)</f>
        <v>0</v>
      </c>
      <c r="AO76" s="259" t="n">
        <f aca="false" t="array" ref="AO76:AO76">IFERROR( MEDIAN((IF(DATOS_[[Sexo]:[Sexo]]=$B76,IF(DATOS_[[AGRUP. CLAS. PROF.]:[AGRUP. CLAS. PROF.]]=$B75,IF(DATOS_[[Check Periodo Ref.]:[Check Periodo Ref.]]="Dentro",DATOS_[C.Extra.04]))))), 0)</f>
        <v>0</v>
      </c>
      <c r="AP76" s="259" t="n">
        <f aca="false" t="array" ref="AP76:AP76">IFERROR( MEDIAN((IF(DATOS_[[Sexo]:[Sexo]]=$B76,IF(DATOS_[[AGRUP. CLAS. PROF.]:[AGRUP. CLAS. PROF.]]=$B75,IF(DATOS_[[Check Periodo Ref.]:[Check Periodo Ref.]]="Dentro",DATOS_[C.Extra.05]))))), 0)</f>
        <v>0</v>
      </c>
      <c r="AQ76" s="254" t="n">
        <f aca="false" t="array" ref="AQ76:AQ76">IFERROR( MEDIAN(IF(DATOS_[Sexo]=$B76,IF(DATOS_[AGRUP. CLAS. PROF.]=$B75,IF(DATOS_[Check Periodo Ref.]="Dentro",DATOS_[Tot Extrasalarial Ef],0)))), 0)</f>
        <v>0</v>
      </c>
      <c r="AR76" s="255" t="n">
        <f aca="false" t="array" ref="AR76:AR76">IFERROR( MEDIAN(IF(DATOS_[Sexo]=$B76,IF(DATOS_[AGRUP. CLAS. PROF.]=$B75,IF(DATOS_[Check Periodo Ref.]="Dentro",DATOS_[TOTAL Retrib Ef],0)))), 0)</f>
        <v>0</v>
      </c>
    </row>
    <row r="77" customFormat="false" ht="14.25" hidden="false" customHeight="false" outlineLevel="0" collapsed="false">
      <c r="A77" s="217" t="str">
        <f aca="false">+A76</f>
        <v>[ocultar]</v>
      </c>
      <c r="B77" s="246" t="s">
        <v>372</v>
      </c>
      <c r="C77" s="247" t="n">
        <f aca="false" t="array" ref="C77:C77">SUM(IF($B77=DATOS_[Sexo], IF($B75=DATOS_[AGRUP. CLAS. PROF.], IF("Dentro"=DATOS_[Check Periodo Ref.], 1/(COUNTIFS(DATOS_[Sexo],$B77,DATOS_[AGRUP. CLAS. PROF.],$B75,DATOS_[Check Periodo Ref.],"Dentro",DATOS_[id],DATOS_[id]))))))</f>
        <v>0</v>
      </c>
      <c r="D77" s="248" t="n">
        <f aca="false">COUNTIFS(DATOS_[AGRUP. CLAS. PROF.],$B75,DATOS_[Sexo],$B77,DATOS_[Check Periodo Ref.],"Dentro")</f>
        <v>0</v>
      </c>
      <c r="E77" s="249" t="n">
        <f aca="false" t="array" ref="E77:E77">IFERROR( MEDIAN(IF(DATOS_[Sexo]=$B77,IF(DATOS_[AGRUP. CLAS. PROF.]=$B75,IF(DATOS_[Check Periodo Ref.]="Dentro",DATOS_[SALARIO BASE Ef],0)))), 0)</f>
        <v>0</v>
      </c>
      <c r="F77" s="250" t="n">
        <f aca="false" t="array" ref="F77:F77">IFERROR( MEDIAN((IF(DATOS_[[Sexo]:[Sexo]]=$B77,IF(DATOS_[[AGRUP. CLAS. PROF.]:[AGRUP. CLAS. PROF.]]=$B75,IF(DATOS_[[Check Periodo Ref.]:[Check Periodo Ref.]]="Dentro",DATOS_[Conc.Sal.01]))))), 0)</f>
        <v>0</v>
      </c>
      <c r="G77" s="250" t="n">
        <f aca="false" t="array" ref="G77:G77">IFERROR( MEDIAN((IF(DATOS_[[Sexo]:[Sexo]]=$B77,IF(DATOS_[[AGRUP. CLAS. PROF.]:[AGRUP. CLAS. PROF.]]=$B75,IF(DATOS_[[Check Periodo Ref.]:[Check Periodo Ref.]]="Dentro",DATOS_[Conc.Sal.02]))))), 0)</f>
        <v>0</v>
      </c>
      <c r="H77" s="250" t="n">
        <f aca="false" t="array" ref="H77:H77">IFERROR( MEDIAN((IF(DATOS_[[Sexo]:[Sexo]]=$B77,IF(DATOS_[[AGRUP. CLAS. PROF.]:[AGRUP. CLAS. PROF.]]=$B75,IF(DATOS_[[Check Periodo Ref.]:[Check Periodo Ref.]]="Dentro",DATOS_[Conc.Sal.03]))))), 0)</f>
        <v>0</v>
      </c>
      <c r="I77" s="250" t="n">
        <f aca="false" t="array" ref="I77:I77">IFERROR( MEDIAN((IF(DATOS_[[Sexo]:[Sexo]]=$B77,IF(DATOS_[[AGRUP. CLAS. PROF.]:[AGRUP. CLAS. PROF.]]=$B75,IF(DATOS_[[Check Periodo Ref.]:[Check Periodo Ref.]]="Dentro",DATOS_[Conc.Sal.04]))))), 0)</f>
        <v>0</v>
      </c>
      <c r="J77" s="250" t="n">
        <f aca="false" t="array" ref="J77:J77">IFERROR( MEDIAN((IF(DATOS_[[Sexo]:[Sexo]]=$B77,IF(DATOS_[[AGRUP. CLAS. PROF.]:[AGRUP. CLAS. PROF.]]=$B75,IF(DATOS_[[Check Periodo Ref.]:[Check Periodo Ref.]]="Dentro",DATOS_[Conc.Sal.05]))))), 0)</f>
        <v>0</v>
      </c>
      <c r="K77" s="250" t="n">
        <f aca="false" t="array" ref="K77:K77">IFERROR( MEDIAN((IF(DATOS_[[Sexo]:[Sexo]]=$B77,IF(DATOS_[[AGRUP. CLAS. PROF.]:[AGRUP. CLAS. PROF.]]=$B75,IF(DATOS_[[Check Periodo Ref.]:[Check Periodo Ref.]]="Dentro",DATOS_[Conc.Sal.06]))))), 0)</f>
        <v>0</v>
      </c>
      <c r="L77" s="250" t="n">
        <f aca="false" t="array" ref="L77:L77">IFERROR( MEDIAN((IF(DATOS_[[Sexo]:[Sexo]]=$B77,IF(DATOS_[[AGRUP. CLAS. PROF.]:[AGRUP. CLAS. PROF.]]=$B75,IF(DATOS_[[Check Periodo Ref.]:[Check Periodo Ref.]]="Dentro",DATOS_[Conc.Sal.07]))))), 0)</f>
        <v>0</v>
      </c>
      <c r="M77" s="250" t="n">
        <f aca="false" t="array" ref="M77:M77">IFERROR( MEDIAN((IF(DATOS_[[Sexo]:[Sexo]]=$B77,IF(DATOS_[[AGRUP. CLAS. PROF.]:[AGRUP. CLAS. PROF.]]=$B75,IF(DATOS_[[Check Periodo Ref.]:[Check Periodo Ref.]]="Dentro",DATOS_[Conc.Sal.08]))))), 0)</f>
        <v>0</v>
      </c>
      <c r="N77" s="250" t="n">
        <f aca="false" t="array" ref="N77:N77">IFERROR( MEDIAN((IF(DATOS_[[Sexo]:[Sexo]]=$B77,IF(DATOS_[[AGRUP. CLAS. PROF.]:[AGRUP. CLAS. PROF.]]=$B75,IF(DATOS_[[Check Periodo Ref.]:[Check Periodo Ref.]]="Dentro",DATOS_[Conc.Sal.09]))))), 0)</f>
        <v>0</v>
      </c>
      <c r="O77" s="250" t="n">
        <f aca="false" t="array" ref="O77:O77">IFERROR( MEDIAN((IF(DATOS_[[Sexo]:[Sexo]]=$B77,IF(DATOS_[[AGRUP. CLAS. PROF.]:[AGRUP. CLAS. PROF.]]=$B75,IF(DATOS_[[Check Periodo Ref.]:[Check Periodo Ref.]]="Dentro",DATOS_[Conc.Sal.10]))))), 0)</f>
        <v>0</v>
      </c>
      <c r="P77" s="250" t="n">
        <f aca="false" t="array" ref="P77:P77">IFERROR( MEDIAN((IF(DATOS_[[Sexo]:[Sexo]]=$B77,IF(DATOS_[[AGRUP. CLAS. PROF.]:[AGRUP. CLAS. PROF.]]=$B75,IF(DATOS_[[Check Periodo Ref.]:[Check Periodo Ref.]]="Dentro",DATOS_[Conc.Sal.11]))))), 0)</f>
        <v>0</v>
      </c>
      <c r="Q77" s="250" t="n">
        <f aca="false" t="array" ref="Q77:Q77">IFERROR( MEDIAN((IF(DATOS_[[Sexo]:[Sexo]]=$B77,IF(DATOS_[[AGRUP. CLAS. PROF.]:[AGRUP. CLAS. PROF.]]=$B75,IF(DATOS_[[Check Periodo Ref.]:[Check Periodo Ref.]]="Dentro",DATOS_[Conc.Sal.12]))))), 0)</f>
        <v>0</v>
      </c>
      <c r="R77" s="250" t="n">
        <f aca="false" t="array" ref="R77:R77">IFERROR( MEDIAN((IF(DATOS_[[Sexo]:[Sexo]]=$B77,IF(DATOS_[[AGRUP. CLAS. PROF.]:[AGRUP. CLAS. PROF.]]=$B75,IF(DATOS_[[Check Periodo Ref.]:[Check Periodo Ref.]]="Dentro",DATOS_[Conc.Sal.13]))))), 0)</f>
        <v>0</v>
      </c>
      <c r="S77" s="250" t="n">
        <f aca="false" t="array" ref="S77:S77">IFERROR( MEDIAN((IF(DATOS_[[Sexo]:[Sexo]]=$B77,IF(DATOS_[[AGRUP. CLAS. PROF.]:[AGRUP. CLAS. PROF.]]=$B75,IF(DATOS_[[Check Periodo Ref.]:[Check Periodo Ref.]]="Dentro",DATOS_[Conc.Sal.14]))))), 0)</f>
        <v>0</v>
      </c>
      <c r="T77" s="250" t="n">
        <f aca="false" t="array" ref="T77:T77">IFERROR( MEDIAN((IF(DATOS_[[Sexo]:[Sexo]]=$B77,IF(DATOS_[[AGRUP. CLAS. PROF.]:[AGRUP. CLAS. PROF.]]=$B75,IF(DATOS_[[Check Periodo Ref.]:[Check Periodo Ref.]]="Dentro",DATOS_[Conc.Sal.15]))))), 0)</f>
        <v>0</v>
      </c>
      <c r="U77" s="250" t="n">
        <f aca="false" t="array" ref="U77:U77">IFERROR( MEDIAN((IF(DATOS_[[Sexo]:[Sexo]]=$B77,IF(DATOS_[[AGRUP. CLAS. PROF.]:[AGRUP. CLAS. PROF.]]=$B75,IF(DATOS_[[Check Periodo Ref.]:[Check Periodo Ref.]]="Dentro",DATOS_[Conc.Sal.16]))))), 0)</f>
        <v>0</v>
      </c>
      <c r="V77" s="250" t="n">
        <f aca="false" t="array" ref="V77:V77">IFERROR( MEDIAN((IF(DATOS_[[Sexo]:[Sexo]]=$B77,IF(DATOS_[[AGRUP. CLAS. PROF.]:[AGRUP. CLAS. PROF.]]=$B75,IF(DATOS_[[Check Periodo Ref.]:[Check Periodo Ref.]]="Dentro",DATOS_[Conc.Sal.17]))))), 0)</f>
        <v>0</v>
      </c>
      <c r="W77" s="250" t="n">
        <f aca="false" t="array" ref="W77:W77">IFERROR( MEDIAN((IF(DATOS_[[Sexo]:[Sexo]]=$B77,IF(DATOS_[[AGRUP. CLAS. PROF.]:[AGRUP. CLAS. PROF.]]=$B75,IF(DATOS_[[Check Periodo Ref.]:[Check Periodo Ref.]]="Dentro",DATOS_[Conc.Sal.18]))))), 0)</f>
        <v>0</v>
      </c>
      <c r="X77" s="250" t="n">
        <f aca="false" t="array" ref="X77:X77">IFERROR( MEDIAN((IF(DATOS_[[Sexo]:[Sexo]]=$B77,IF(DATOS_[[AGRUP. CLAS. PROF.]:[AGRUP. CLAS. PROF.]]=$B75,IF(DATOS_[[Check Periodo Ref.]:[Check Periodo Ref.]]="Dentro",DATOS_[Conc.Sal.19]))))), 0)</f>
        <v>0</v>
      </c>
      <c r="Y77" s="250" t="n">
        <f aca="false" t="array" ref="Y77:Y77">IFERROR( MEDIAN((IF(DATOS_[[Sexo]:[Sexo]]=$B77,IF(DATOS_[[AGRUP. CLAS. PROF.]:[AGRUP. CLAS. PROF.]]=$B75,IF(DATOS_[[Check Periodo Ref.]:[Check Periodo Ref.]]="Dentro",DATOS_[Conc.Sal.20]))))), 0)</f>
        <v>0</v>
      </c>
      <c r="Z77" s="250" t="n">
        <f aca="false" t="array" ref="Z77:Z77">IFERROR( MEDIAN((IF(DATOS_[[Sexo]:[Sexo]]=$B77,IF(DATOS_[[AGRUP. CLAS. PROF.]:[AGRUP. CLAS. PROF.]]=$B75,IF(DATOS_[[Check Periodo Ref.]:[Check Periodo Ref.]]="Dentro",DATOS_[Conc.Sal.21]))))), 0)</f>
        <v>0</v>
      </c>
      <c r="AA77" s="250" t="n">
        <f aca="false" t="array" ref="AA77:AA77">IFERROR( MEDIAN((IF(DATOS_[[Sexo]:[Sexo]]=$B77,IF(DATOS_[[AGRUP. CLAS. PROF.]:[AGRUP. CLAS. PROF.]]=$B75,IF(DATOS_[[Check Periodo Ref.]:[Check Periodo Ref.]]="Dentro",DATOS_[Conc.Sal.22]))))), 0)</f>
        <v>0</v>
      </c>
      <c r="AB77" s="250" t="n">
        <f aca="false" t="array" ref="AB77:AB77">IFERROR( MEDIAN((IF(DATOS_[[Sexo]:[Sexo]]=$B77,IF(DATOS_[[AGRUP. CLAS. PROF.]:[AGRUP. CLAS. PROF.]]=$B75,IF(DATOS_[[Check Periodo Ref.]:[Check Periodo Ref.]]="Dentro",DATOS_[Conc.Sal.23]))))), 0)</f>
        <v>0</v>
      </c>
      <c r="AC77" s="250" t="n">
        <f aca="false" t="array" ref="AC77:AC77">IFERROR( MEDIAN((IF(DATOS_[[Sexo]:[Sexo]]=$B77,IF(DATOS_[[AGRUP. CLAS. PROF.]:[AGRUP. CLAS. PROF.]]=$B75,IF(DATOS_[[Check Periodo Ref.]:[Check Periodo Ref.]]="Dentro",DATOS_[Conc.Sal.24]))))), 0)</f>
        <v>0</v>
      </c>
      <c r="AD77" s="250" t="n">
        <f aca="false" t="array" ref="AD77:AD77">IFERROR( MEDIAN((IF(DATOS_[[Sexo]:[Sexo]]=$B77,IF(DATOS_[[AGRUP. CLAS. PROF.]:[AGRUP. CLAS. PROF.]]=$B75,IF(DATOS_[[Check Periodo Ref.]:[Check Periodo Ref.]]="Dentro",DATOS_[Conc.Sal.25]))))), 0)</f>
        <v>0</v>
      </c>
      <c r="AE77" s="250" t="n">
        <f aca="false" t="array" ref="AE77:AE77">IFERROR( MEDIAN((IF(DATOS_[[Sexo]:[Sexo]]=$B77,IF(DATOS_[[AGRUP. CLAS. PROF.]:[AGRUP. CLAS. PROF.]]=$B75,IF(DATOS_[[Check Periodo Ref.]:[Check Periodo Ref.]]="Dentro",DATOS_[Conc.Sal.26]))))), 0)</f>
        <v>0</v>
      </c>
      <c r="AF77" s="250" t="n">
        <f aca="false" t="array" ref="AF77:AF77">IFERROR( MEDIAN((IF(DATOS_[[Sexo]:[Sexo]]=$B77,IF(DATOS_[[AGRUP. CLAS. PROF.]:[AGRUP. CLAS. PROF.]]=$B75,IF(DATOS_[[Check Periodo Ref.]:[Check Periodo Ref.]]="Dentro",DATOS_[Conc.Sal.27]))))), 0)</f>
        <v>0</v>
      </c>
      <c r="AG77" s="250" t="n">
        <f aca="false" t="array" ref="AG77:AG77">IFERROR( MEDIAN((IF(DATOS_[[Sexo]:[Sexo]]=$B77,IF(DATOS_[[AGRUP. CLAS. PROF.]:[AGRUP. CLAS. PROF.]]=$B75,IF(DATOS_[[Check Periodo Ref.]:[Check Periodo Ref.]]="Dentro",DATOS_[Conc.Sal.28]))))), 0)</f>
        <v>0</v>
      </c>
      <c r="AH77" s="250" t="n">
        <f aca="false" t="array" ref="AH77:AH77">IFERROR( MEDIAN((IF(DATOS_[[Sexo]:[Sexo]]=$B77,IF(DATOS_[[AGRUP. CLAS. PROF.]:[AGRUP. CLAS. PROF.]]=$B75,IF(DATOS_[[Check Periodo Ref.]:[Check Periodo Ref.]]="Dentro",DATOS_[Conc.Sal.29]))))), 0)</f>
        <v>0</v>
      </c>
      <c r="AI77" s="250" t="n">
        <f aca="false" t="array" ref="AI77:AI77">IFERROR( MEDIAN((IF(DATOS_[[Sexo]:[Sexo]]=$B77,IF(DATOS_[[AGRUP. CLAS. PROF.]:[AGRUP. CLAS. PROF.]]=$B75,IF(DATOS_[[Check Periodo Ref.]:[Check Periodo Ref.]]="Dentro",DATOS_[Conc.Sal.30]))))), 0)</f>
        <v>0</v>
      </c>
      <c r="AJ77" s="251" t="n">
        <f aca="false" t="array" ref="AJ77:AJ77">IFERROR( MEDIAN(IF(DATOS_[Sexo]=$B77,IF(DATOS_[AGRUP. CLAS. PROF.]=$B75,IF(DATOS_[Check Periodo Ref.]="Dentro",DATOS_[Tot COMPL.SAL Ef],0)))), 0)</f>
        <v>0</v>
      </c>
      <c r="AK77" s="252" t="n">
        <f aca="false" t="array" ref="AK77:AK77">IFERROR( MEDIAN(IF(DATOS_[Sexo]=$B77,IF(DATOS_[AGRUP. CLAS. PROF.]=$B75,IF(DATOS_[Check Periodo Ref.]="Dentro",DATOS_[TOTAL SALARIO Ef],0)))), 0)</f>
        <v>0</v>
      </c>
      <c r="AL77" s="259" t="n">
        <f aca="false" t="array" ref="AL77:AL77">IFERROR( MEDIAN((IF(DATOS_[[Sexo]:[Sexo]]=$B77,IF(DATOS_[[AGRUP. CLAS. PROF.]:[AGRUP. CLAS. PROF.]]=$B75,IF(DATOS_[[Check Periodo Ref.]:[Check Periodo Ref.]]="Dentro",DATOS_[C.Extra.01]))))), 0)</f>
        <v>0</v>
      </c>
      <c r="AM77" s="259" t="n">
        <f aca="false" t="array" ref="AM77:AM77">IFERROR( MEDIAN((IF(DATOS_[[Sexo]:[Sexo]]=$B77,IF(DATOS_[[AGRUP. CLAS. PROF.]:[AGRUP. CLAS. PROF.]]=$B75,IF(DATOS_[[Check Periodo Ref.]:[Check Periodo Ref.]]="Dentro",DATOS_[C.Extra.02]))))), 0)</f>
        <v>0</v>
      </c>
      <c r="AN77" s="259" t="n">
        <f aca="false" t="array" ref="AN77:AN77">IFERROR( MEDIAN((IF(DATOS_[[Sexo]:[Sexo]]=$B77,IF(DATOS_[[AGRUP. CLAS. PROF.]:[AGRUP. CLAS. PROF.]]=$B75,IF(DATOS_[[Check Periodo Ref.]:[Check Periodo Ref.]]="Dentro",DATOS_[C.Extra.03]))))), 0)</f>
        <v>0</v>
      </c>
      <c r="AO77" s="259" t="n">
        <f aca="false" t="array" ref="AO77:AO77">IFERROR( MEDIAN((IF(DATOS_[[Sexo]:[Sexo]]=$B77,IF(DATOS_[[AGRUP. CLAS. PROF.]:[AGRUP. CLAS. PROF.]]=$B75,IF(DATOS_[[Check Periodo Ref.]:[Check Periodo Ref.]]="Dentro",DATOS_[C.Extra.04]))))), 0)</f>
        <v>0</v>
      </c>
      <c r="AP77" s="259" t="n">
        <f aca="false" t="array" ref="AP77:AP77">IFERROR( MEDIAN((IF(DATOS_[[Sexo]:[Sexo]]=$B77,IF(DATOS_[[AGRUP. CLAS. PROF.]:[AGRUP. CLAS. PROF.]]=$B75,IF(DATOS_[[Check Periodo Ref.]:[Check Periodo Ref.]]="Dentro",DATOS_[C.Extra.05]))))), 0)</f>
        <v>0</v>
      </c>
      <c r="AQ77" s="254" t="n">
        <f aca="false" t="array" ref="AQ77:AQ77">IFERROR( MEDIAN(IF(DATOS_[Sexo]=$B77,IF(DATOS_[AGRUP. CLAS. PROF.]=$B75,IF(DATOS_[Check Periodo Ref.]="Dentro",DATOS_[Tot Extrasalarial Ef],0)))), 0)</f>
        <v>0</v>
      </c>
      <c r="AR77" s="255" t="n">
        <f aca="false" t="array" ref="AR77:AR77">IFERROR( MEDIAN(IF(DATOS_[Sexo]=$B77,IF(DATOS_[AGRUP. CLAS. PROF.]=$B75,IF(DATOS_[Check Periodo Ref.]="Dentro",DATOS_[TOTAL Retrib Ef],0)))), 0)</f>
        <v>0</v>
      </c>
    </row>
    <row r="78" customFormat="false" ht="15.75" hidden="false" customHeight="false" outlineLevel="0" collapsed="false">
      <c r="A78" s="217" t="str">
        <f aca="false">+A79</f>
        <v>[ocultar]</v>
      </c>
      <c r="B78" s="235" t="s">
        <v>231</v>
      </c>
      <c r="C78" s="236"/>
      <c r="D78" s="237"/>
      <c r="E78" s="238" t="str">
        <f aca="false">IFERROR((E79-E80)/E79,"")</f>
        <v/>
      </c>
      <c r="F78" s="239" t="str">
        <f aca="false">IFERROR((F79-F80)/F79,"")</f>
        <v/>
      </c>
      <c r="G78" s="239" t="str">
        <f aca="false">IFERROR((G79-G80)/G79,"")</f>
        <v/>
      </c>
      <c r="H78" s="239" t="str">
        <f aca="false">IFERROR((H79-H80)/H79,"")</f>
        <v/>
      </c>
      <c r="I78" s="239"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40" t="str">
        <f aca="false">IFERROR((V79-V80)/V79,"")</f>
        <v/>
      </c>
      <c r="W78" s="240" t="str">
        <f aca="false">IFERROR((W79-W80)/W79,"")</f>
        <v/>
      </c>
      <c r="X78" s="240" t="str">
        <f aca="false">IFERROR((X79-X80)/X79,"")</f>
        <v/>
      </c>
      <c r="Y78" s="240"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1" t="str">
        <f aca="false">IFERROR((AJ79-AJ80)/AJ79,"")</f>
        <v/>
      </c>
      <c r="AK78" s="242" t="str">
        <f aca="false">IFERROR((AK79-AK80)/AK79,"")</f>
        <v/>
      </c>
      <c r="AL78" s="243" t="str">
        <f aca="false">IFERROR((AL79-AL80)/AL79,"")</f>
        <v/>
      </c>
      <c r="AM78" s="243" t="str">
        <f aca="false">IFERROR((AM79-AM80)/AM79,"")</f>
        <v/>
      </c>
      <c r="AN78" s="243" t="str">
        <f aca="false">IFERROR((AN79-AN80)/AN79,"")</f>
        <v/>
      </c>
      <c r="AO78" s="243" t="str">
        <f aca="false">IFERROR((AO79-AO80)/AO79,"")</f>
        <v/>
      </c>
      <c r="AP78" s="243" t="str">
        <f aca="false">IFERROR((AP79-AP80)/AP79,"")</f>
        <v/>
      </c>
      <c r="AQ78" s="244" t="str">
        <f aca="false">IFERROR((AQ79-AQ80)/AQ79,"")</f>
        <v/>
      </c>
      <c r="AR78" s="245" t="str">
        <f aca="false">IFERROR((AR79-AR80)/AR79,"")</f>
        <v/>
      </c>
    </row>
    <row r="79" customFormat="false" ht="14.25" hidden="false" customHeight="false" outlineLevel="0" collapsed="false">
      <c r="A79" s="217" t="str">
        <f aca="false">+IF(C79+C80=0,"[ocultar]","")</f>
        <v>[ocultar]</v>
      </c>
      <c r="B79" s="246" t="s">
        <v>371</v>
      </c>
      <c r="C79" s="247" t="n">
        <f aca="false" t="array" ref="C79:C79">SUM(IF($B79=DATOS_[Sexo], IF($B78=DATOS_[AGRUP. CLAS. PROF.], IF("Dentro"=DATOS_[Check Periodo Ref.], 1/(COUNTIFS(DATOS_[Sexo],$B79,DATOS_[AGRUP. CLAS. PROF.],$B78,DATOS_[Check Periodo Ref.],"Dentro",DATOS_[id],DATOS_[id]))))))</f>
        <v>0</v>
      </c>
      <c r="D79" s="248" t="n">
        <f aca="false">COUNTIFS(DATOS_[AGRUP. CLAS. PROF.],$B78,DATOS_[Sexo],$B79,DATOS_[Check Periodo Ref.],"Dentro")</f>
        <v>0</v>
      </c>
      <c r="E79" s="249" t="n">
        <f aca="false" t="array" ref="E79:E79">IFERROR( MEDIAN(IF(DATOS_[Sexo]=$B79,IF(DATOS_[AGRUP. CLAS. PROF.]=$B78,IF(DATOS_[Check Periodo Ref.]="Dentro",DATOS_[SALARIO BASE Ef],0)))), 0)</f>
        <v>0</v>
      </c>
      <c r="F79" s="250" t="n">
        <f aca="false" t="array" ref="F79:F79">IFERROR( MEDIAN((IF(DATOS_[[Sexo]:[Sexo]]=$B79,IF(DATOS_[[AGRUP. CLAS. PROF.]:[AGRUP. CLAS. PROF.]]=$B78,IF(DATOS_[[Check Periodo Ref.]:[Check Periodo Ref.]]="Dentro",DATOS_[Conc.Sal.01]))))), 0)</f>
        <v>0</v>
      </c>
      <c r="G79" s="250" t="n">
        <f aca="false" t="array" ref="G79:G79">IFERROR( MEDIAN((IF(DATOS_[[Sexo]:[Sexo]]=$B79,IF(DATOS_[[AGRUP. CLAS. PROF.]:[AGRUP. CLAS. PROF.]]=$B78,IF(DATOS_[[Check Periodo Ref.]:[Check Periodo Ref.]]="Dentro",DATOS_[Conc.Sal.02]))))), 0)</f>
        <v>0</v>
      </c>
      <c r="H79" s="250" t="n">
        <f aca="false" t="array" ref="H79:H79">IFERROR( MEDIAN((IF(DATOS_[[Sexo]:[Sexo]]=$B79,IF(DATOS_[[AGRUP. CLAS. PROF.]:[AGRUP. CLAS. PROF.]]=$B78,IF(DATOS_[[Check Periodo Ref.]:[Check Periodo Ref.]]="Dentro",DATOS_[Conc.Sal.03]))))), 0)</f>
        <v>0</v>
      </c>
      <c r="I79" s="250" t="n">
        <f aca="false" t="array" ref="I79:I79">IFERROR( MEDIAN((IF(DATOS_[[Sexo]:[Sexo]]=$B79,IF(DATOS_[[AGRUP. CLAS. PROF.]:[AGRUP. CLAS. PROF.]]=$B78,IF(DATOS_[[Check Periodo Ref.]:[Check Periodo Ref.]]="Dentro",DATOS_[Conc.Sal.04]))))), 0)</f>
        <v>0</v>
      </c>
      <c r="J79" s="250" t="n">
        <f aca="false" t="array" ref="J79:J79">IFERROR( MEDIAN((IF(DATOS_[[Sexo]:[Sexo]]=$B79,IF(DATOS_[[AGRUP. CLAS. PROF.]:[AGRUP. CLAS. PROF.]]=$B78,IF(DATOS_[[Check Periodo Ref.]:[Check Periodo Ref.]]="Dentro",DATOS_[Conc.Sal.05]))))), 0)</f>
        <v>0</v>
      </c>
      <c r="K79" s="250" t="n">
        <f aca="false" t="array" ref="K79:K79">IFERROR( MEDIAN((IF(DATOS_[[Sexo]:[Sexo]]=$B79,IF(DATOS_[[AGRUP. CLAS. PROF.]:[AGRUP. CLAS. PROF.]]=$B78,IF(DATOS_[[Check Periodo Ref.]:[Check Periodo Ref.]]="Dentro",DATOS_[Conc.Sal.06]))))), 0)</f>
        <v>0</v>
      </c>
      <c r="L79" s="250" t="n">
        <f aca="false" t="array" ref="L79:L79">IFERROR( MEDIAN((IF(DATOS_[[Sexo]:[Sexo]]=$B79,IF(DATOS_[[AGRUP. CLAS. PROF.]:[AGRUP. CLAS. PROF.]]=$B78,IF(DATOS_[[Check Periodo Ref.]:[Check Periodo Ref.]]="Dentro",DATOS_[Conc.Sal.07]))))), 0)</f>
        <v>0</v>
      </c>
      <c r="M79" s="250" t="n">
        <f aca="false" t="array" ref="M79:M79">IFERROR( MEDIAN((IF(DATOS_[[Sexo]:[Sexo]]=$B79,IF(DATOS_[[AGRUP. CLAS. PROF.]:[AGRUP. CLAS. PROF.]]=$B78,IF(DATOS_[[Check Periodo Ref.]:[Check Periodo Ref.]]="Dentro",DATOS_[Conc.Sal.08]))))), 0)</f>
        <v>0</v>
      </c>
      <c r="N79" s="250" t="n">
        <f aca="false" t="array" ref="N79:N79">IFERROR( MEDIAN((IF(DATOS_[[Sexo]:[Sexo]]=$B79,IF(DATOS_[[AGRUP. CLAS. PROF.]:[AGRUP. CLAS. PROF.]]=$B78,IF(DATOS_[[Check Periodo Ref.]:[Check Periodo Ref.]]="Dentro",DATOS_[Conc.Sal.09]))))), 0)</f>
        <v>0</v>
      </c>
      <c r="O79" s="250" t="n">
        <f aca="false" t="array" ref="O79:O79">IFERROR( MEDIAN((IF(DATOS_[[Sexo]:[Sexo]]=$B79,IF(DATOS_[[AGRUP. CLAS. PROF.]:[AGRUP. CLAS. PROF.]]=$B78,IF(DATOS_[[Check Periodo Ref.]:[Check Periodo Ref.]]="Dentro",DATOS_[Conc.Sal.10]))))), 0)</f>
        <v>0</v>
      </c>
      <c r="P79" s="250" t="n">
        <f aca="false" t="array" ref="P79:P79">IFERROR( MEDIAN((IF(DATOS_[[Sexo]:[Sexo]]=$B79,IF(DATOS_[[AGRUP. CLAS. PROF.]:[AGRUP. CLAS. PROF.]]=$B78,IF(DATOS_[[Check Periodo Ref.]:[Check Periodo Ref.]]="Dentro",DATOS_[Conc.Sal.11]))))), 0)</f>
        <v>0</v>
      </c>
      <c r="Q79" s="250" t="n">
        <f aca="false" t="array" ref="Q79:Q79">IFERROR( MEDIAN((IF(DATOS_[[Sexo]:[Sexo]]=$B79,IF(DATOS_[[AGRUP. CLAS. PROF.]:[AGRUP. CLAS. PROF.]]=$B78,IF(DATOS_[[Check Periodo Ref.]:[Check Periodo Ref.]]="Dentro",DATOS_[Conc.Sal.12]))))), 0)</f>
        <v>0</v>
      </c>
      <c r="R79" s="250" t="n">
        <f aca="false" t="array" ref="R79:R79">IFERROR( MEDIAN((IF(DATOS_[[Sexo]:[Sexo]]=$B79,IF(DATOS_[[AGRUP. CLAS. PROF.]:[AGRUP. CLAS. PROF.]]=$B78,IF(DATOS_[[Check Periodo Ref.]:[Check Periodo Ref.]]="Dentro",DATOS_[Conc.Sal.13]))))), 0)</f>
        <v>0</v>
      </c>
      <c r="S79" s="250" t="n">
        <f aca="false" t="array" ref="S79:S79">IFERROR( MEDIAN((IF(DATOS_[[Sexo]:[Sexo]]=$B79,IF(DATOS_[[AGRUP. CLAS. PROF.]:[AGRUP. CLAS. PROF.]]=$B78,IF(DATOS_[[Check Periodo Ref.]:[Check Periodo Ref.]]="Dentro",DATOS_[Conc.Sal.14]))))), 0)</f>
        <v>0</v>
      </c>
      <c r="T79" s="250" t="n">
        <f aca="false" t="array" ref="T79:T79">IFERROR( MEDIAN((IF(DATOS_[[Sexo]:[Sexo]]=$B79,IF(DATOS_[[AGRUP. CLAS. PROF.]:[AGRUP. CLAS. PROF.]]=$B78,IF(DATOS_[[Check Periodo Ref.]:[Check Periodo Ref.]]="Dentro",DATOS_[Conc.Sal.15]))))), 0)</f>
        <v>0</v>
      </c>
      <c r="U79" s="250" t="n">
        <f aca="false" t="array" ref="U79:U79">IFERROR( MEDIAN((IF(DATOS_[[Sexo]:[Sexo]]=$B79,IF(DATOS_[[AGRUP. CLAS. PROF.]:[AGRUP. CLAS. PROF.]]=$B78,IF(DATOS_[[Check Periodo Ref.]:[Check Periodo Ref.]]="Dentro",DATOS_[Conc.Sal.16]))))), 0)</f>
        <v>0</v>
      </c>
      <c r="V79" s="250" t="n">
        <f aca="false" t="array" ref="V79:V79">IFERROR( MEDIAN((IF(DATOS_[[Sexo]:[Sexo]]=$B79,IF(DATOS_[[AGRUP. CLAS. PROF.]:[AGRUP. CLAS. PROF.]]=$B78,IF(DATOS_[[Check Periodo Ref.]:[Check Periodo Ref.]]="Dentro",DATOS_[Conc.Sal.17]))))), 0)</f>
        <v>0</v>
      </c>
      <c r="W79" s="250" t="n">
        <f aca="false" t="array" ref="W79:W79">IFERROR( MEDIAN((IF(DATOS_[[Sexo]:[Sexo]]=$B79,IF(DATOS_[[AGRUP. CLAS. PROF.]:[AGRUP. CLAS. PROF.]]=$B78,IF(DATOS_[[Check Periodo Ref.]:[Check Periodo Ref.]]="Dentro",DATOS_[Conc.Sal.18]))))), 0)</f>
        <v>0</v>
      </c>
      <c r="X79" s="250" t="n">
        <f aca="false" t="array" ref="X79:X79">IFERROR( MEDIAN((IF(DATOS_[[Sexo]:[Sexo]]=$B79,IF(DATOS_[[AGRUP. CLAS. PROF.]:[AGRUP. CLAS. PROF.]]=$B78,IF(DATOS_[[Check Periodo Ref.]:[Check Periodo Ref.]]="Dentro",DATOS_[Conc.Sal.19]))))), 0)</f>
        <v>0</v>
      </c>
      <c r="Y79" s="250" t="n">
        <f aca="false" t="array" ref="Y79:Y79">IFERROR( MEDIAN((IF(DATOS_[[Sexo]:[Sexo]]=$B79,IF(DATOS_[[AGRUP. CLAS. PROF.]:[AGRUP. CLAS. PROF.]]=$B78,IF(DATOS_[[Check Periodo Ref.]:[Check Periodo Ref.]]="Dentro",DATOS_[Conc.Sal.20]))))), 0)</f>
        <v>0</v>
      </c>
      <c r="Z79" s="250" t="n">
        <f aca="false" t="array" ref="Z79:Z79">IFERROR( MEDIAN((IF(DATOS_[[Sexo]:[Sexo]]=$B79,IF(DATOS_[[AGRUP. CLAS. PROF.]:[AGRUP. CLAS. PROF.]]=$B78,IF(DATOS_[[Check Periodo Ref.]:[Check Periodo Ref.]]="Dentro",DATOS_[Conc.Sal.21]))))), 0)</f>
        <v>0</v>
      </c>
      <c r="AA79" s="250" t="n">
        <f aca="false" t="array" ref="AA79:AA79">IFERROR( MEDIAN((IF(DATOS_[[Sexo]:[Sexo]]=$B79,IF(DATOS_[[AGRUP. CLAS. PROF.]:[AGRUP. CLAS. PROF.]]=$B78,IF(DATOS_[[Check Periodo Ref.]:[Check Periodo Ref.]]="Dentro",DATOS_[Conc.Sal.22]))))), 0)</f>
        <v>0</v>
      </c>
      <c r="AB79" s="250" t="n">
        <f aca="false" t="array" ref="AB79:AB79">IFERROR( MEDIAN((IF(DATOS_[[Sexo]:[Sexo]]=$B79,IF(DATOS_[[AGRUP. CLAS. PROF.]:[AGRUP. CLAS. PROF.]]=$B78,IF(DATOS_[[Check Periodo Ref.]:[Check Periodo Ref.]]="Dentro",DATOS_[Conc.Sal.23]))))), 0)</f>
        <v>0</v>
      </c>
      <c r="AC79" s="250" t="n">
        <f aca="false" t="array" ref="AC79:AC79">IFERROR( MEDIAN((IF(DATOS_[[Sexo]:[Sexo]]=$B79,IF(DATOS_[[AGRUP. CLAS. PROF.]:[AGRUP. CLAS. PROF.]]=$B78,IF(DATOS_[[Check Periodo Ref.]:[Check Periodo Ref.]]="Dentro",DATOS_[Conc.Sal.24]))))), 0)</f>
        <v>0</v>
      </c>
      <c r="AD79" s="250" t="n">
        <f aca="false" t="array" ref="AD79:AD79">IFERROR( MEDIAN((IF(DATOS_[[Sexo]:[Sexo]]=$B79,IF(DATOS_[[AGRUP. CLAS. PROF.]:[AGRUP. CLAS. PROF.]]=$B78,IF(DATOS_[[Check Periodo Ref.]:[Check Periodo Ref.]]="Dentro",DATOS_[Conc.Sal.25]))))), 0)</f>
        <v>0</v>
      </c>
      <c r="AE79" s="250" t="n">
        <f aca="false" t="array" ref="AE79:AE79">IFERROR( MEDIAN((IF(DATOS_[[Sexo]:[Sexo]]=$B79,IF(DATOS_[[AGRUP. CLAS. PROF.]:[AGRUP. CLAS. PROF.]]=$B78,IF(DATOS_[[Check Periodo Ref.]:[Check Periodo Ref.]]="Dentro",DATOS_[Conc.Sal.26]))))), 0)</f>
        <v>0</v>
      </c>
      <c r="AF79" s="250" t="n">
        <f aca="false" t="array" ref="AF79:AF79">IFERROR( MEDIAN((IF(DATOS_[[Sexo]:[Sexo]]=$B79,IF(DATOS_[[AGRUP. CLAS. PROF.]:[AGRUP. CLAS. PROF.]]=$B78,IF(DATOS_[[Check Periodo Ref.]:[Check Periodo Ref.]]="Dentro",DATOS_[Conc.Sal.27]))))), 0)</f>
        <v>0</v>
      </c>
      <c r="AG79" s="250" t="n">
        <f aca="false" t="array" ref="AG79:AG79">IFERROR( MEDIAN((IF(DATOS_[[Sexo]:[Sexo]]=$B79,IF(DATOS_[[AGRUP. CLAS. PROF.]:[AGRUP. CLAS. PROF.]]=$B78,IF(DATOS_[[Check Periodo Ref.]:[Check Periodo Ref.]]="Dentro",DATOS_[Conc.Sal.28]))))), 0)</f>
        <v>0</v>
      </c>
      <c r="AH79" s="250" t="n">
        <f aca="false" t="array" ref="AH79:AH79">IFERROR( MEDIAN((IF(DATOS_[[Sexo]:[Sexo]]=$B79,IF(DATOS_[[AGRUP. CLAS. PROF.]:[AGRUP. CLAS. PROF.]]=$B78,IF(DATOS_[[Check Periodo Ref.]:[Check Periodo Ref.]]="Dentro",DATOS_[Conc.Sal.29]))))), 0)</f>
        <v>0</v>
      </c>
      <c r="AI79" s="250" t="n">
        <f aca="false" t="array" ref="AI79:AI79">IFERROR( MEDIAN((IF(DATOS_[[Sexo]:[Sexo]]=$B79,IF(DATOS_[[AGRUP. CLAS. PROF.]:[AGRUP. CLAS. PROF.]]=$B78,IF(DATOS_[[Check Periodo Ref.]:[Check Periodo Ref.]]="Dentro",DATOS_[Conc.Sal.30]))))), 0)</f>
        <v>0</v>
      </c>
      <c r="AJ79" s="251" t="n">
        <f aca="false" t="array" ref="AJ79:AJ79">IFERROR( MEDIAN(IF(DATOS_[Sexo]=$B79,IF(DATOS_[AGRUP. CLAS. PROF.]=$B78,IF(DATOS_[Check Periodo Ref.]="Dentro",DATOS_[Tot COMPL.SAL Ef],0)))), 0)</f>
        <v>0</v>
      </c>
      <c r="AK79" s="252" t="n">
        <f aca="false" t="array" ref="AK79:AK79">IFERROR( MEDIAN(IF(DATOS_[Sexo]=$B79,IF(DATOS_[AGRUP. CLAS. PROF.]=$B78,IF(DATOS_[Check Periodo Ref.]="Dentro",DATOS_[TOTAL SALARIO Ef],0)))), 0)</f>
        <v>0</v>
      </c>
      <c r="AL79" s="259" t="n">
        <f aca="false" t="array" ref="AL79:AL79">IFERROR( MEDIAN((IF(DATOS_[[Sexo]:[Sexo]]=$B79,IF(DATOS_[[AGRUP. CLAS. PROF.]:[AGRUP. CLAS. PROF.]]=$B78,IF(DATOS_[[Check Periodo Ref.]:[Check Periodo Ref.]]="Dentro",DATOS_[C.Extra.01]))))), 0)</f>
        <v>0</v>
      </c>
      <c r="AM79" s="259" t="n">
        <f aca="false" t="array" ref="AM79:AM79">IFERROR( MEDIAN((IF(DATOS_[[Sexo]:[Sexo]]=$B79,IF(DATOS_[[AGRUP. CLAS. PROF.]:[AGRUP. CLAS. PROF.]]=$B78,IF(DATOS_[[Check Periodo Ref.]:[Check Periodo Ref.]]="Dentro",DATOS_[C.Extra.02]))))), 0)</f>
        <v>0</v>
      </c>
      <c r="AN79" s="259" t="n">
        <f aca="false" t="array" ref="AN79:AN79">IFERROR( MEDIAN((IF(DATOS_[[Sexo]:[Sexo]]=$B79,IF(DATOS_[[AGRUP. CLAS. PROF.]:[AGRUP. CLAS. PROF.]]=$B78,IF(DATOS_[[Check Periodo Ref.]:[Check Periodo Ref.]]="Dentro",DATOS_[C.Extra.03]))))), 0)</f>
        <v>0</v>
      </c>
      <c r="AO79" s="259" t="n">
        <f aca="false" t="array" ref="AO79:AO79">IFERROR( MEDIAN((IF(DATOS_[[Sexo]:[Sexo]]=$B79,IF(DATOS_[[AGRUP. CLAS. PROF.]:[AGRUP. CLAS. PROF.]]=$B78,IF(DATOS_[[Check Periodo Ref.]:[Check Periodo Ref.]]="Dentro",DATOS_[C.Extra.04]))))), 0)</f>
        <v>0</v>
      </c>
      <c r="AP79" s="259" t="n">
        <f aca="false" t="array" ref="AP79:AP79">IFERROR( MEDIAN((IF(DATOS_[[Sexo]:[Sexo]]=$B79,IF(DATOS_[[AGRUP. CLAS. PROF.]:[AGRUP. CLAS. PROF.]]=$B78,IF(DATOS_[[Check Periodo Ref.]:[Check Periodo Ref.]]="Dentro",DATOS_[C.Extra.05]))))), 0)</f>
        <v>0</v>
      </c>
      <c r="AQ79" s="254" t="n">
        <f aca="false" t="array" ref="AQ79:AQ79">IFERROR( MEDIAN(IF(DATOS_[Sexo]=$B79,IF(DATOS_[AGRUP. CLAS. PROF.]=$B78,IF(DATOS_[Check Periodo Ref.]="Dentro",DATOS_[Tot Extrasalarial Ef],0)))), 0)</f>
        <v>0</v>
      </c>
      <c r="AR79" s="255" t="n">
        <f aca="false" t="array" ref="AR79:AR79">IFERROR( MEDIAN(IF(DATOS_[Sexo]=$B79,IF(DATOS_[AGRUP. CLAS. PROF.]=$B78,IF(DATOS_[Check Periodo Ref.]="Dentro",DATOS_[TOTAL Retrib Ef],0)))), 0)</f>
        <v>0</v>
      </c>
    </row>
    <row r="80" customFormat="false" ht="14.25" hidden="false" customHeight="false" outlineLevel="0" collapsed="false">
      <c r="A80" s="217" t="str">
        <f aca="false">+A79</f>
        <v>[ocultar]</v>
      </c>
      <c r="B80" s="246" t="s">
        <v>372</v>
      </c>
      <c r="C80" s="247" t="n">
        <f aca="false" t="array" ref="C80:C80">SUM(IF($B80=DATOS_[Sexo], IF($B78=DATOS_[AGRUP. CLAS. PROF.], IF("Dentro"=DATOS_[Check Periodo Ref.], 1/(COUNTIFS(DATOS_[Sexo],$B80,DATOS_[AGRUP. CLAS. PROF.],$B78,DATOS_[Check Periodo Ref.],"Dentro",DATOS_[id],DATOS_[id]))))))</f>
        <v>0</v>
      </c>
      <c r="D80" s="248" t="n">
        <f aca="false">COUNTIFS(DATOS_[AGRUP. CLAS. PROF.],$B78,DATOS_[Sexo],$B80,DATOS_[Check Periodo Ref.],"Dentro")</f>
        <v>0</v>
      </c>
      <c r="E80" s="249" t="n">
        <f aca="false" t="array" ref="E80:E80">IFERROR( MEDIAN(IF(DATOS_[Sexo]=$B80,IF(DATOS_[AGRUP. CLAS. PROF.]=$B78,IF(DATOS_[Check Periodo Ref.]="Dentro",DATOS_[SALARIO BASE Ef],0)))), 0)</f>
        <v>0</v>
      </c>
      <c r="F80" s="250" t="n">
        <f aca="false" t="array" ref="F80:F80">IFERROR( MEDIAN((IF(DATOS_[[Sexo]:[Sexo]]=$B80,IF(DATOS_[[AGRUP. CLAS. PROF.]:[AGRUP. CLAS. PROF.]]=$B78,IF(DATOS_[[Check Periodo Ref.]:[Check Periodo Ref.]]="Dentro",DATOS_[Conc.Sal.01]))))), 0)</f>
        <v>0</v>
      </c>
      <c r="G80" s="250" t="n">
        <f aca="false" t="array" ref="G80:G80">IFERROR( MEDIAN((IF(DATOS_[[Sexo]:[Sexo]]=$B80,IF(DATOS_[[AGRUP. CLAS. PROF.]:[AGRUP. CLAS. PROF.]]=$B78,IF(DATOS_[[Check Periodo Ref.]:[Check Periodo Ref.]]="Dentro",DATOS_[Conc.Sal.02]))))), 0)</f>
        <v>0</v>
      </c>
      <c r="H80" s="250" t="n">
        <f aca="false" t="array" ref="H80:H80">IFERROR( MEDIAN((IF(DATOS_[[Sexo]:[Sexo]]=$B80,IF(DATOS_[[AGRUP. CLAS. PROF.]:[AGRUP. CLAS. PROF.]]=$B78,IF(DATOS_[[Check Periodo Ref.]:[Check Periodo Ref.]]="Dentro",DATOS_[Conc.Sal.03]))))), 0)</f>
        <v>0</v>
      </c>
      <c r="I80" s="250" t="n">
        <f aca="false" t="array" ref="I80:I80">IFERROR( MEDIAN((IF(DATOS_[[Sexo]:[Sexo]]=$B80,IF(DATOS_[[AGRUP. CLAS. PROF.]:[AGRUP. CLAS. PROF.]]=$B78,IF(DATOS_[[Check Periodo Ref.]:[Check Periodo Ref.]]="Dentro",DATOS_[Conc.Sal.04]))))), 0)</f>
        <v>0</v>
      </c>
      <c r="J80" s="250" t="n">
        <f aca="false" t="array" ref="J80:J80">IFERROR( MEDIAN((IF(DATOS_[[Sexo]:[Sexo]]=$B80,IF(DATOS_[[AGRUP. CLAS. PROF.]:[AGRUP. CLAS. PROF.]]=$B78,IF(DATOS_[[Check Periodo Ref.]:[Check Periodo Ref.]]="Dentro",DATOS_[Conc.Sal.05]))))), 0)</f>
        <v>0</v>
      </c>
      <c r="K80" s="250" t="n">
        <f aca="false" t="array" ref="K80:K80">IFERROR( MEDIAN((IF(DATOS_[[Sexo]:[Sexo]]=$B80,IF(DATOS_[[AGRUP. CLAS. PROF.]:[AGRUP. CLAS. PROF.]]=$B78,IF(DATOS_[[Check Periodo Ref.]:[Check Periodo Ref.]]="Dentro",DATOS_[Conc.Sal.06]))))), 0)</f>
        <v>0</v>
      </c>
      <c r="L80" s="250" t="n">
        <f aca="false" t="array" ref="L80:L80">IFERROR( MEDIAN((IF(DATOS_[[Sexo]:[Sexo]]=$B80,IF(DATOS_[[AGRUP. CLAS. PROF.]:[AGRUP. CLAS. PROF.]]=$B78,IF(DATOS_[[Check Periodo Ref.]:[Check Periodo Ref.]]="Dentro",DATOS_[Conc.Sal.07]))))), 0)</f>
        <v>0</v>
      </c>
      <c r="M80" s="250" t="n">
        <f aca="false" t="array" ref="M80:M80">IFERROR( MEDIAN((IF(DATOS_[[Sexo]:[Sexo]]=$B80,IF(DATOS_[[AGRUP. CLAS. PROF.]:[AGRUP. CLAS. PROF.]]=$B78,IF(DATOS_[[Check Periodo Ref.]:[Check Periodo Ref.]]="Dentro",DATOS_[Conc.Sal.08]))))), 0)</f>
        <v>0</v>
      </c>
      <c r="N80" s="250" t="n">
        <f aca="false" t="array" ref="N80:N80">IFERROR( MEDIAN((IF(DATOS_[[Sexo]:[Sexo]]=$B80,IF(DATOS_[[AGRUP. CLAS. PROF.]:[AGRUP. CLAS. PROF.]]=$B78,IF(DATOS_[[Check Periodo Ref.]:[Check Periodo Ref.]]="Dentro",DATOS_[Conc.Sal.09]))))), 0)</f>
        <v>0</v>
      </c>
      <c r="O80" s="250" t="n">
        <f aca="false" t="array" ref="O80:O80">IFERROR( MEDIAN((IF(DATOS_[[Sexo]:[Sexo]]=$B80,IF(DATOS_[[AGRUP. CLAS. PROF.]:[AGRUP. CLAS. PROF.]]=$B78,IF(DATOS_[[Check Periodo Ref.]:[Check Periodo Ref.]]="Dentro",DATOS_[Conc.Sal.10]))))), 0)</f>
        <v>0</v>
      </c>
      <c r="P80" s="250" t="n">
        <f aca="false" t="array" ref="P80:P80">IFERROR( MEDIAN((IF(DATOS_[[Sexo]:[Sexo]]=$B80,IF(DATOS_[[AGRUP. CLAS. PROF.]:[AGRUP. CLAS. PROF.]]=$B78,IF(DATOS_[[Check Periodo Ref.]:[Check Periodo Ref.]]="Dentro",DATOS_[Conc.Sal.11]))))), 0)</f>
        <v>0</v>
      </c>
      <c r="Q80" s="250" t="n">
        <f aca="false" t="array" ref="Q80:Q80">IFERROR( MEDIAN((IF(DATOS_[[Sexo]:[Sexo]]=$B80,IF(DATOS_[[AGRUP. CLAS. PROF.]:[AGRUP. CLAS. PROF.]]=$B78,IF(DATOS_[[Check Periodo Ref.]:[Check Periodo Ref.]]="Dentro",DATOS_[Conc.Sal.12]))))), 0)</f>
        <v>0</v>
      </c>
      <c r="R80" s="250" t="n">
        <f aca="false" t="array" ref="R80:R80">IFERROR( MEDIAN((IF(DATOS_[[Sexo]:[Sexo]]=$B80,IF(DATOS_[[AGRUP. CLAS. PROF.]:[AGRUP. CLAS. PROF.]]=$B78,IF(DATOS_[[Check Periodo Ref.]:[Check Periodo Ref.]]="Dentro",DATOS_[Conc.Sal.13]))))), 0)</f>
        <v>0</v>
      </c>
      <c r="S80" s="250" t="n">
        <f aca="false" t="array" ref="S80:S80">IFERROR( MEDIAN((IF(DATOS_[[Sexo]:[Sexo]]=$B80,IF(DATOS_[[AGRUP. CLAS. PROF.]:[AGRUP. CLAS. PROF.]]=$B78,IF(DATOS_[[Check Periodo Ref.]:[Check Periodo Ref.]]="Dentro",DATOS_[Conc.Sal.14]))))), 0)</f>
        <v>0</v>
      </c>
      <c r="T80" s="250" t="n">
        <f aca="false" t="array" ref="T80:T80">IFERROR( MEDIAN((IF(DATOS_[[Sexo]:[Sexo]]=$B80,IF(DATOS_[[AGRUP. CLAS. PROF.]:[AGRUP. CLAS. PROF.]]=$B78,IF(DATOS_[[Check Periodo Ref.]:[Check Periodo Ref.]]="Dentro",DATOS_[Conc.Sal.15]))))), 0)</f>
        <v>0</v>
      </c>
      <c r="U80" s="250" t="n">
        <f aca="false" t="array" ref="U80:U80">IFERROR( MEDIAN((IF(DATOS_[[Sexo]:[Sexo]]=$B80,IF(DATOS_[[AGRUP. CLAS. PROF.]:[AGRUP. CLAS. PROF.]]=$B78,IF(DATOS_[[Check Periodo Ref.]:[Check Periodo Ref.]]="Dentro",DATOS_[Conc.Sal.16]))))), 0)</f>
        <v>0</v>
      </c>
      <c r="V80" s="250" t="n">
        <f aca="false" t="array" ref="V80:V80">IFERROR( MEDIAN((IF(DATOS_[[Sexo]:[Sexo]]=$B80,IF(DATOS_[[AGRUP. CLAS. PROF.]:[AGRUP. CLAS. PROF.]]=$B78,IF(DATOS_[[Check Periodo Ref.]:[Check Periodo Ref.]]="Dentro",DATOS_[Conc.Sal.17]))))), 0)</f>
        <v>0</v>
      </c>
      <c r="W80" s="250" t="n">
        <f aca="false" t="array" ref="W80:W80">IFERROR( MEDIAN((IF(DATOS_[[Sexo]:[Sexo]]=$B80,IF(DATOS_[[AGRUP. CLAS. PROF.]:[AGRUP. CLAS. PROF.]]=$B78,IF(DATOS_[[Check Periodo Ref.]:[Check Periodo Ref.]]="Dentro",DATOS_[Conc.Sal.18]))))), 0)</f>
        <v>0</v>
      </c>
      <c r="X80" s="250" t="n">
        <f aca="false" t="array" ref="X80:X80">IFERROR( MEDIAN((IF(DATOS_[[Sexo]:[Sexo]]=$B80,IF(DATOS_[[AGRUP. CLAS. PROF.]:[AGRUP. CLAS. PROF.]]=$B78,IF(DATOS_[[Check Periodo Ref.]:[Check Periodo Ref.]]="Dentro",DATOS_[Conc.Sal.19]))))), 0)</f>
        <v>0</v>
      </c>
      <c r="Y80" s="250" t="n">
        <f aca="false" t="array" ref="Y80:Y80">IFERROR( MEDIAN((IF(DATOS_[[Sexo]:[Sexo]]=$B80,IF(DATOS_[[AGRUP. CLAS. PROF.]:[AGRUP. CLAS. PROF.]]=$B78,IF(DATOS_[[Check Periodo Ref.]:[Check Periodo Ref.]]="Dentro",DATOS_[Conc.Sal.20]))))), 0)</f>
        <v>0</v>
      </c>
      <c r="Z80" s="250" t="n">
        <f aca="false" t="array" ref="Z80:Z80">IFERROR( MEDIAN((IF(DATOS_[[Sexo]:[Sexo]]=$B80,IF(DATOS_[[AGRUP. CLAS. PROF.]:[AGRUP. CLAS. PROF.]]=$B78,IF(DATOS_[[Check Periodo Ref.]:[Check Periodo Ref.]]="Dentro",DATOS_[Conc.Sal.21]))))), 0)</f>
        <v>0</v>
      </c>
      <c r="AA80" s="250" t="n">
        <f aca="false" t="array" ref="AA80:AA80">IFERROR( MEDIAN((IF(DATOS_[[Sexo]:[Sexo]]=$B80,IF(DATOS_[[AGRUP. CLAS. PROF.]:[AGRUP. CLAS. PROF.]]=$B78,IF(DATOS_[[Check Periodo Ref.]:[Check Periodo Ref.]]="Dentro",DATOS_[Conc.Sal.22]))))), 0)</f>
        <v>0</v>
      </c>
      <c r="AB80" s="250" t="n">
        <f aca="false" t="array" ref="AB80:AB80">IFERROR( MEDIAN((IF(DATOS_[[Sexo]:[Sexo]]=$B80,IF(DATOS_[[AGRUP. CLAS. PROF.]:[AGRUP. CLAS. PROF.]]=$B78,IF(DATOS_[[Check Periodo Ref.]:[Check Periodo Ref.]]="Dentro",DATOS_[Conc.Sal.23]))))), 0)</f>
        <v>0</v>
      </c>
      <c r="AC80" s="250" t="n">
        <f aca="false" t="array" ref="AC80:AC80">IFERROR( MEDIAN((IF(DATOS_[[Sexo]:[Sexo]]=$B80,IF(DATOS_[[AGRUP. CLAS. PROF.]:[AGRUP. CLAS. PROF.]]=$B78,IF(DATOS_[[Check Periodo Ref.]:[Check Periodo Ref.]]="Dentro",DATOS_[Conc.Sal.24]))))), 0)</f>
        <v>0</v>
      </c>
      <c r="AD80" s="250" t="n">
        <f aca="false" t="array" ref="AD80:AD80">IFERROR( MEDIAN((IF(DATOS_[[Sexo]:[Sexo]]=$B80,IF(DATOS_[[AGRUP. CLAS. PROF.]:[AGRUP. CLAS. PROF.]]=$B78,IF(DATOS_[[Check Periodo Ref.]:[Check Periodo Ref.]]="Dentro",DATOS_[Conc.Sal.25]))))), 0)</f>
        <v>0</v>
      </c>
      <c r="AE80" s="250" t="n">
        <f aca="false" t="array" ref="AE80:AE80">IFERROR( MEDIAN((IF(DATOS_[[Sexo]:[Sexo]]=$B80,IF(DATOS_[[AGRUP. CLAS. PROF.]:[AGRUP. CLAS. PROF.]]=$B78,IF(DATOS_[[Check Periodo Ref.]:[Check Periodo Ref.]]="Dentro",DATOS_[Conc.Sal.26]))))), 0)</f>
        <v>0</v>
      </c>
      <c r="AF80" s="250" t="n">
        <f aca="false" t="array" ref="AF80:AF80">IFERROR( MEDIAN((IF(DATOS_[[Sexo]:[Sexo]]=$B80,IF(DATOS_[[AGRUP. CLAS. PROF.]:[AGRUP. CLAS. PROF.]]=$B78,IF(DATOS_[[Check Periodo Ref.]:[Check Periodo Ref.]]="Dentro",DATOS_[Conc.Sal.27]))))), 0)</f>
        <v>0</v>
      </c>
      <c r="AG80" s="250" t="n">
        <f aca="false" t="array" ref="AG80:AG80">IFERROR( MEDIAN((IF(DATOS_[[Sexo]:[Sexo]]=$B80,IF(DATOS_[[AGRUP. CLAS. PROF.]:[AGRUP. CLAS. PROF.]]=$B78,IF(DATOS_[[Check Periodo Ref.]:[Check Periodo Ref.]]="Dentro",DATOS_[Conc.Sal.28]))))), 0)</f>
        <v>0</v>
      </c>
      <c r="AH80" s="250" t="n">
        <f aca="false" t="array" ref="AH80:AH80">IFERROR( MEDIAN((IF(DATOS_[[Sexo]:[Sexo]]=$B80,IF(DATOS_[[AGRUP. CLAS. PROF.]:[AGRUP. CLAS. PROF.]]=$B78,IF(DATOS_[[Check Periodo Ref.]:[Check Periodo Ref.]]="Dentro",DATOS_[Conc.Sal.29]))))), 0)</f>
        <v>0</v>
      </c>
      <c r="AI80" s="250" t="n">
        <f aca="false" t="array" ref="AI80:AI80">IFERROR( MEDIAN((IF(DATOS_[[Sexo]:[Sexo]]=$B80,IF(DATOS_[[AGRUP. CLAS. PROF.]:[AGRUP. CLAS. PROF.]]=$B78,IF(DATOS_[[Check Periodo Ref.]:[Check Periodo Ref.]]="Dentro",DATOS_[Conc.Sal.30]))))), 0)</f>
        <v>0</v>
      </c>
      <c r="AJ80" s="251" t="n">
        <f aca="false" t="array" ref="AJ80:AJ80">IFERROR( MEDIAN(IF(DATOS_[Sexo]=$B80,IF(DATOS_[AGRUP. CLAS. PROF.]=$B78,IF(DATOS_[Check Periodo Ref.]="Dentro",DATOS_[Tot COMPL.SAL Ef],0)))), 0)</f>
        <v>0</v>
      </c>
      <c r="AK80" s="252" t="n">
        <f aca="false" t="array" ref="AK80:AK80">IFERROR( MEDIAN(IF(DATOS_[Sexo]=$B80,IF(DATOS_[AGRUP. CLAS. PROF.]=$B78,IF(DATOS_[Check Periodo Ref.]="Dentro",DATOS_[TOTAL SALARIO Ef],0)))), 0)</f>
        <v>0</v>
      </c>
      <c r="AL80" s="259" t="n">
        <f aca="false" t="array" ref="AL80:AL80">IFERROR( MEDIAN((IF(DATOS_[[Sexo]:[Sexo]]=$B80,IF(DATOS_[[AGRUP. CLAS. PROF.]:[AGRUP. CLAS. PROF.]]=$B78,IF(DATOS_[[Check Periodo Ref.]:[Check Periodo Ref.]]="Dentro",DATOS_[C.Extra.01]))))), 0)</f>
        <v>0</v>
      </c>
      <c r="AM80" s="259" t="n">
        <f aca="false" t="array" ref="AM80:AM80">IFERROR( MEDIAN((IF(DATOS_[[Sexo]:[Sexo]]=$B80,IF(DATOS_[[AGRUP. CLAS. PROF.]:[AGRUP. CLAS. PROF.]]=$B78,IF(DATOS_[[Check Periodo Ref.]:[Check Periodo Ref.]]="Dentro",DATOS_[C.Extra.02]))))), 0)</f>
        <v>0</v>
      </c>
      <c r="AN80" s="259" t="n">
        <f aca="false" t="array" ref="AN80:AN80">IFERROR( MEDIAN((IF(DATOS_[[Sexo]:[Sexo]]=$B80,IF(DATOS_[[AGRUP. CLAS. PROF.]:[AGRUP. CLAS. PROF.]]=$B78,IF(DATOS_[[Check Periodo Ref.]:[Check Periodo Ref.]]="Dentro",DATOS_[C.Extra.03]))))), 0)</f>
        <v>0</v>
      </c>
      <c r="AO80" s="259" t="n">
        <f aca="false" t="array" ref="AO80:AO80">IFERROR( MEDIAN((IF(DATOS_[[Sexo]:[Sexo]]=$B80,IF(DATOS_[[AGRUP. CLAS. PROF.]:[AGRUP. CLAS. PROF.]]=$B78,IF(DATOS_[[Check Periodo Ref.]:[Check Periodo Ref.]]="Dentro",DATOS_[C.Extra.04]))))), 0)</f>
        <v>0</v>
      </c>
      <c r="AP80" s="259" t="n">
        <f aca="false" t="array" ref="AP80:AP80">IFERROR( MEDIAN((IF(DATOS_[[Sexo]:[Sexo]]=$B80,IF(DATOS_[[AGRUP. CLAS. PROF.]:[AGRUP. CLAS. PROF.]]=$B78,IF(DATOS_[[Check Periodo Ref.]:[Check Periodo Ref.]]="Dentro",DATOS_[C.Extra.05]))))), 0)</f>
        <v>0</v>
      </c>
      <c r="AQ80" s="254" t="n">
        <f aca="false" t="array" ref="AQ80:AQ80">IFERROR( MEDIAN(IF(DATOS_[Sexo]=$B80,IF(DATOS_[AGRUP. CLAS. PROF.]=$B78,IF(DATOS_[Check Periodo Ref.]="Dentro",DATOS_[Tot Extrasalarial Ef],0)))), 0)</f>
        <v>0</v>
      </c>
      <c r="AR80" s="255" t="n">
        <f aca="false" t="array" ref="AR80:AR80">IFERROR( MEDIAN(IF(DATOS_[Sexo]=$B80,IF(DATOS_[AGRUP. CLAS. PROF.]=$B78,IF(DATOS_[Check Periodo Ref.]="Dentro",DATOS_[TOTAL Retrib Ef],0)))), 0)</f>
        <v>0</v>
      </c>
    </row>
    <row r="81" customFormat="false" ht="15.75" hidden="false" customHeight="false" outlineLevel="0" collapsed="false">
      <c r="A81" s="217" t="str">
        <f aca="false">+A82</f>
        <v>[ocultar]</v>
      </c>
      <c r="B81" s="235" t="s">
        <v>234</v>
      </c>
      <c r="C81" s="236"/>
      <c r="D81" s="237"/>
      <c r="E81" s="238" t="str">
        <f aca="false">IFERROR((E82-E83)/E82,"")</f>
        <v/>
      </c>
      <c r="F81" s="239" t="str">
        <f aca="false">IFERROR((F82-F83)/F82,"")</f>
        <v/>
      </c>
      <c r="G81" s="239" t="str">
        <f aca="false">IFERROR((G82-G83)/G82,"")</f>
        <v/>
      </c>
      <c r="H81" s="239" t="str">
        <f aca="false">IFERROR((H82-H83)/H82,"")</f>
        <v/>
      </c>
      <c r="I81" s="239"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40" t="str">
        <f aca="false">IFERROR((V82-V83)/V82,"")</f>
        <v/>
      </c>
      <c r="W81" s="240" t="str">
        <f aca="false">IFERROR((W82-W83)/W82,"")</f>
        <v/>
      </c>
      <c r="X81" s="240" t="str">
        <f aca="false">IFERROR((X82-X83)/X82,"")</f>
        <v/>
      </c>
      <c r="Y81" s="240"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1" t="str">
        <f aca="false">IFERROR((AJ82-AJ83)/AJ82,"")</f>
        <v/>
      </c>
      <c r="AK81" s="242" t="str">
        <f aca="false">IFERROR((AK82-AK83)/AK82,"")</f>
        <v/>
      </c>
      <c r="AL81" s="243" t="str">
        <f aca="false">IFERROR((AL82-AL83)/AL82,"")</f>
        <v/>
      </c>
      <c r="AM81" s="243" t="str">
        <f aca="false">IFERROR((AM82-AM83)/AM82,"")</f>
        <v/>
      </c>
      <c r="AN81" s="243" t="str">
        <f aca="false">IFERROR((AN82-AN83)/AN82,"")</f>
        <v/>
      </c>
      <c r="AO81" s="243" t="str">
        <f aca="false">IFERROR((AO82-AO83)/AO82,"")</f>
        <v/>
      </c>
      <c r="AP81" s="243" t="str">
        <f aca="false">IFERROR((AP82-AP83)/AP82,"")</f>
        <v/>
      </c>
      <c r="AQ81" s="244" t="str">
        <f aca="false">IFERROR((AQ82-AQ83)/AQ82,"")</f>
        <v/>
      </c>
      <c r="AR81" s="245" t="str">
        <f aca="false">IFERROR((AR82-AR83)/AR82,"")</f>
        <v/>
      </c>
    </row>
    <row r="82" customFormat="false" ht="14.25" hidden="false" customHeight="false" outlineLevel="0" collapsed="false">
      <c r="A82" s="217" t="str">
        <f aca="false">+IF(C82+C83=0,"[ocultar]","")</f>
        <v>[ocultar]</v>
      </c>
      <c r="B82" s="246" t="s">
        <v>371</v>
      </c>
      <c r="C82" s="247" t="n">
        <f aca="false" t="array" ref="C82:C82">SUM(IF($B82=DATOS_[Sexo], IF($B81=DATOS_[AGRUP. CLAS. PROF.], IF("Dentro"=DATOS_[Check Periodo Ref.], 1/(COUNTIFS(DATOS_[Sexo],$B82,DATOS_[AGRUP. CLAS. PROF.],$B81,DATOS_[Check Periodo Ref.],"Dentro",DATOS_[id],DATOS_[id]))))))</f>
        <v>0</v>
      </c>
      <c r="D82" s="248" t="n">
        <f aca="false">COUNTIFS(DATOS_[AGRUP. CLAS. PROF.],$B81,DATOS_[Sexo],$B82,DATOS_[Check Periodo Ref.],"Dentro")</f>
        <v>0</v>
      </c>
      <c r="E82" s="249" t="n">
        <f aca="false" t="array" ref="E82:E82">IFERROR( MEDIAN(IF(DATOS_[Sexo]=$B82,IF(DATOS_[AGRUP. CLAS. PROF.]=$B81,IF(DATOS_[Check Periodo Ref.]="Dentro",DATOS_[SALARIO BASE Ef],0)))), 0)</f>
        <v>0</v>
      </c>
      <c r="F82" s="250" t="n">
        <f aca="false" t="array" ref="F82:F82">IFERROR( MEDIAN((IF(DATOS_[[Sexo]:[Sexo]]=$B82,IF(DATOS_[[AGRUP. CLAS. PROF.]:[AGRUP. CLAS. PROF.]]=$B81,IF(DATOS_[[Check Periodo Ref.]:[Check Periodo Ref.]]="Dentro",DATOS_[Conc.Sal.01]))))), 0)</f>
        <v>0</v>
      </c>
      <c r="G82" s="250" t="n">
        <f aca="false" t="array" ref="G82:G82">IFERROR( MEDIAN((IF(DATOS_[[Sexo]:[Sexo]]=$B82,IF(DATOS_[[AGRUP. CLAS. PROF.]:[AGRUP. CLAS. PROF.]]=$B81,IF(DATOS_[[Check Periodo Ref.]:[Check Periodo Ref.]]="Dentro",DATOS_[Conc.Sal.02]))))), 0)</f>
        <v>0</v>
      </c>
      <c r="H82" s="250" t="n">
        <f aca="false" t="array" ref="H82:H82">IFERROR( MEDIAN((IF(DATOS_[[Sexo]:[Sexo]]=$B82,IF(DATOS_[[AGRUP. CLAS. PROF.]:[AGRUP. CLAS. PROF.]]=$B81,IF(DATOS_[[Check Periodo Ref.]:[Check Periodo Ref.]]="Dentro",DATOS_[Conc.Sal.03]))))), 0)</f>
        <v>0</v>
      </c>
      <c r="I82" s="250" t="n">
        <f aca="false" t="array" ref="I82:I82">IFERROR( MEDIAN((IF(DATOS_[[Sexo]:[Sexo]]=$B82,IF(DATOS_[[AGRUP. CLAS. PROF.]:[AGRUP. CLAS. PROF.]]=$B81,IF(DATOS_[[Check Periodo Ref.]:[Check Periodo Ref.]]="Dentro",DATOS_[Conc.Sal.04]))))), 0)</f>
        <v>0</v>
      </c>
      <c r="J82" s="250" t="n">
        <f aca="false" t="array" ref="J82:J82">IFERROR( MEDIAN((IF(DATOS_[[Sexo]:[Sexo]]=$B82,IF(DATOS_[[AGRUP. CLAS. PROF.]:[AGRUP. CLAS. PROF.]]=$B81,IF(DATOS_[[Check Periodo Ref.]:[Check Periodo Ref.]]="Dentro",DATOS_[Conc.Sal.05]))))), 0)</f>
        <v>0</v>
      </c>
      <c r="K82" s="250" t="n">
        <f aca="false" t="array" ref="K82:K82">IFERROR( MEDIAN((IF(DATOS_[[Sexo]:[Sexo]]=$B82,IF(DATOS_[[AGRUP. CLAS. PROF.]:[AGRUP. CLAS. PROF.]]=$B81,IF(DATOS_[[Check Periodo Ref.]:[Check Periodo Ref.]]="Dentro",DATOS_[Conc.Sal.06]))))), 0)</f>
        <v>0</v>
      </c>
      <c r="L82" s="250" t="n">
        <f aca="false" t="array" ref="L82:L82">IFERROR( MEDIAN((IF(DATOS_[[Sexo]:[Sexo]]=$B82,IF(DATOS_[[AGRUP. CLAS. PROF.]:[AGRUP. CLAS. PROF.]]=$B81,IF(DATOS_[[Check Periodo Ref.]:[Check Periodo Ref.]]="Dentro",DATOS_[Conc.Sal.07]))))), 0)</f>
        <v>0</v>
      </c>
      <c r="M82" s="250" t="n">
        <f aca="false" t="array" ref="M82:M82">IFERROR( MEDIAN((IF(DATOS_[[Sexo]:[Sexo]]=$B82,IF(DATOS_[[AGRUP. CLAS. PROF.]:[AGRUP. CLAS. PROF.]]=$B81,IF(DATOS_[[Check Periodo Ref.]:[Check Periodo Ref.]]="Dentro",DATOS_[Conc.Sal.08]))))), 0)</f>
        <v>0</v>
      </c>
      <c r="N82" s="250" t="n">
        <f aca="false" t="array" ref="N82:N82">IFERROR( MEDIAN((IF(DATOS_[[Sexo]:[Sexo]]=$B82,IF(DATOS_[[AGRUP. CLAS. PROF.]:[AGRUP. CLAS. PROF.]]=$B81,IF(DATOS_[[Check Periodo Ref.]:[Check Periodo Ref.]]="Dentro",DATOS_[Conc.Sal.09]))))), 0)</f>
        <v>0</v>
      </c>
      <c r="O82" s="250" t="n">
        <f aca="false" t="array" ref="O82:O82">IFERROR( MEDIAN((IF(DATOS_[[Sexo]:[Sexo]]=$B82,IF(DATOS_[[AGRUP. CLAS. PROF.]:[AGRUP. CLAS. PROF.]]=$B81,IF(DATOS_[[Check Periodo Ref.]:[Check Periodo Ref.]]="Dentro",DATOS_[Conc.Sal.10]))))), 0)</f>
        <v>0</v>
      </c>
      <c r="P82" s="250" t="n">
        <f aca="false" t="array" ref="P82:P82">IFERROR( MEDIAN((IF(DATOS_[[Sexo]:[Sexo]]=$B82,IF(DATOS_[[AGRUP. CLAS. PROF.]:[AGRUP. CLAS. PROF.]]=$B81,IF(DATOS_[[Check Periodo Ref.]:[Check Periodo Ref.]]="Dentro",DATOS_[Conc.Sal.11]))))), 0)</f>
        <v>0</v>
      </c>
      <c r="Q82" s="250" t="n">
        <f aca="false" t="array" ref="Q82:Q82">IFERROR( MEDIAN((IF(DATOS_[[Sexo]:[Sexo]]=$B82,IF(DATOS_[[AGRUP. CLAS. PROF.]:[AGRUP. CLAS. PROF.]]=$B81,IF(DATOS_[[Check Periodo Ref.]:[Check Periodo Ref.]]="Dentro",DATOS_[Conc.Sal.12]))))), 0)</f>
        <v>0</v>
      </c>
      <c r="R82" s="250" t="n">
        <f aca="false" t="array" ref="R82:R82">IFERROR( MEDIAN((IF(DATOS_[[Sexo]:[Sexo]]=$B82,IF(DATOS_[[AGRUP. CLAS. PROF.]:[AGRUP. CLAS. PROF.]]=$B81,IF(DATOS_[[Check Periodo Ref.]:[Check Periodo Ref.]]="Dentro",DATOS_[Conc.Sal.13]))))), 0)</f>
        <v>0</v>
      </c>
      <c r="S82" s="250" t="n">
        <f aca="false" t="array" ref="S82:S82">IFERROR( MEDIAN((IF(DATOS_[[Sexo]:[Sexo]]=$B82,IF(DATOS_[[AGRUP. CLAS. PROF.]:[AGRUP. CLAS. PROF.]]=$B81,IF(DATOS_[[Check Periodo Ref.]:[Check Periodo Ref.]]="Dentro",DATOS_[Conc.Sal.14]))))), 0)</f>
        <v>0</v>
      </c>
      <c r="T82" s="250" t="n">
        <f aca="false" t="array" ref="T82:T82">IFERROR( MEDIAN((IF(DATOS_[[Sexo]:[Sexo]]=$B82,IF(DATOS_[[AGRUP. CLAS. PROF.]:[AGRUP. CLAS. PROF.]]=$B81,IF(DATOS_[[Check Periodo Ref.]:[Check Periodo Ref.]]="Dentro",DATOS_[Conc.Sal.15]))))), 0)</f>
        <v>0</v>
      </c>
      <c r="U82" s="250" t="n">
        <f aca="false" t="array" ref="U82:U82">IFERROR( MEDIAN((IF(DATOS_[[Sexo]:[Sexo]]=$B82,IF(DATOS_[[AGRUP. CLAS. PROF.]:[AGRUP. CLAS. PROF.]]=$B81,IF(DATOS_[[Check Periodo Ref.]:[Check Periodo Ref.]]="Dentro",DATOS_[Conc.Sal.16]))))), 0)</f>
        <v>0</v>
      </c>
      <c r="V82" s="250" t="n">
        <f aca="false" t="array" ref="V82:V82">IFERROR( MEDIAN((IF(DATOS_[[Sexo]:[Sexo]]=$B82,IF(DATOS_[[AGRUP. CLAS. PROF.]:[AGRUP. CLAS. PROF.]]=$B81,IF(DATOS_[[Check Periodo Ref.]:[Check Periodo Ref.]]="Dentro",DATOS_[Conc.Sal.17]))))), 0)</f>
        <v>0</v>
      </c>
      <c r="W82" s="250" t="n">
        <f aca="false" t="array" ref="W82:W82">IFERROR( MEDIAN((IF(DATOS_[[Sexo]:[Sexo]]=$B82,IF(DATOS_[[AGRUP. CLAS. PROF.]:[AGRUP. CLAS. PROF.]]=$B81,IF(DATOS_[[Check Periodo Ref.]:[Check Periodo Ref.]]="Dentro",DATOS_[Conc.Sal.18]))))), 0)</f>
        <v>0</v>
      </c>
      <c r="X82" s="250" t="n">
        <f aca="false" t="array" ref="X82:X82">IFERROR( MEDIAN((IF(DATOS_[[Sexo]:[Sexo]]=$B82,IF(DATOS_[[AGRUP. CLAS. PROF.]:[AGRUP. CLAS. PROF.]]=$B81,IF(DATOS_[[Check Periodo Ref.]:[Check Periodo Ref.]]="Dentro",DATOS_[Conc.Sal.19]))))), 0)</f>
        <v>0</v>
      </c>
      <c r="Y82" s="250" t="n">
        <f aca="false" t="array" ref="Y82:Y82">IFERROR( MEDIAN((IF(DATOS_[[Sexo]:[Sexo]]=$B82,IF(DATOS_[[AGRUP. CLAS. PROF.]:[AGRUP. CLAS. PROF.]]=$B81,IF(DATOS_[[Check Periodo Ref.]:[Check Periodo Ref.]]="Dentro",DATOS_[Conc.Sal.20]))))), 0)</f>
        <v>0</v>
      </c>
      <c r="Z82" s="250" t="n">
        <f aca="false" t="array" ref="Z82:Z82">IFERROR( MEDIAN((IF(DATOS_[[Sexo]:[Sexo]]=$B82,IF(DATOS_[[AGRUP. CLAS. PROF.]:[AGRUP. CLAS. PROF.]]=$B81,IF(DATOS_[[Check Periodo Ref.]:[Check Periodo Ref.]]="Dentro",DATOS_[Conc.Sal.21]))))), 0)</f>
        <v>0</v>
      </c>
      <c r="AA82" s="250" t="n">
        <f aca="false" t="array" ref="AA82:AA82">IFERROR( MEDIAN((IF(DATOS_[[Sexo]:[Sexo]]=$B82,IF(DATOS_[[AGRUP. CLAS. PROF.]:[AGRUP. CLAS. PROF.]]=$B81,IF(DATOS_[[Check Periodo Ref.]:[Check Periodo Ref.]]="Dentro",DATOS_[Conc.Sal.22]))))), 0)</f>
        <v>0</v>
      </c>
      <c r="AB82" s="250" t="n">
        <f aca="false" t="array" ref="AB82:AB82">IFERROR( MEDIAN((IF(DATOS_[[Sexo]:[Sexo]]=$B82,IF(DATOS_[[AGRUP. CLAS. PROF.]:[AGRUP. CLAS. PROF.]]=$B81,IF(DATOS_[[Check Periodo Ref.]:[Check Periodo Ref.]]="Dentro",DATOS_[Conc.Sal.23]))))), 0)</f>
        <v>0</v>
      </c>
      <c r="AC82" s="250" t="n">
        <f aca="false" t="array" ref="AC82:AC82">IFERROR( MEDIAN((IF(DATOS_[[Sexo]:[Sexo]]=$B82,IF(DATOS_[[AGRUP. CLAS. PROF.]:[AGRUP. CLAS. PROF.]]=$B81,IF(DATOS_[[Check Periodo Ref.]:[Check Periodo Ref.]]="Dentro",DATOS_[Conc.Sal.24]))))), 0)</f>
        <v>0</v>
      </c>
      <c r="AD82" s="250" t="n">
        <f aca="false" t="array" ref="AD82:AD82">IFERROR( MEDIAN((IF(DATOS_[[Sexo]:[Sexo]]=$B82,IF(DATOS_[[AGRUP. CLAS. PROF.]:[AGRUP. CLAS. PROF.]]=$B81,IF(DATOS_[[Check Periodo Ref.]:[Check Periodo Ref.]]="Dentro",DATOS_[Conc.Sal.25]))))), 0)</f>
        <v>0</v>
      </c>
      <c r="AE82" s="250" t="n">
        <f aca="false" t="array" ref="AE82:AE82">IFERROR( MEDIAN((IF(DATOS_[[Sexo]:[Sexo]]=$B82,IF(DATOS_[[AGRUP. CLAS. PROF.]:[AGRUP. CLAS. PROF.]]=$B81,IF(DATOS_[[Check Periodo Ref.]:[Check Periodo Ref.]]="Dentro",DATOS_[Conc.Sal.26]))))), 0)</f>
        <v>0</v>
      </c>
      <c r="AF82" s="250" t="n">
        <f aca="false" t="array" ref="AF82:AF82">IFERROR( MEDIAN((IF(DATOS_[[Sexo]:[Sexo]]=$B82,IF(DATOS_[[AGRUP. CLAS. PROF.]:[AGRUP. CLAS. PROF.]]=$B81,IF(DATOS_[[Check Periodo Ref.]:[Check Periodo Ref.]]="Dentro",DATOS_[Conc.Sal.27]))))), 0)</f>
        <v>0</v>
      </c>
      <c r="AG82" s="250" t="n">
        <f aca="false" t="array" ref="AG82:AG82">IFERROR( MEDIAN((IF(DATOS_[[Sexo]:[Sexo]]=$B82,IF(DATOS_[[AGRUP. CLAS. PROF.]:[AGRUP. CLAS. PROF.]]=$B81,IF(DATOS_[[Check Periodo Ref.]:[Check Periodo Ref.]]="Dentro",DATOS_[Conc.Sal.28]))))), 0)</f>
        <v>0</v>
      </c>
      <c r="AH82" s="250" t="n">
        <f aca="false" t="array" ref="AH82:AH82">IFERROR( MEDIAN((IF(DATOS_[[Sexo]:[Sexo]]=$B82,IF(DATOS_[[AGRUP. CLAS. PROF.]:[AGRUP. CLAS. PROF.]]=$B81,IF(DATOS_[[Check Periodo Ref.]:[Check Periodo Ref.]]="Dentro",DATOS_[Conc.Sal.29]))))), 0)</f>
        <v>0</v>
      </c>
      <c r="AI82" s="250" t="n">
        <f aca="false" t="array" ref="AI82:AI82">IFERROR( MEDIAN((IF(DATOS_[[Sexo]:[Sexo]]=$B82,IF(DATOS_[[AGRUP. CLAS. PROF.]:[AGRUP. CLAS. PROF.]]=$B81,IF(DATOS_[[Check Periodo Ref.]:[Check Periodo Ref.]]="Dentro",DATOS_[Conc.Sal.30]))))), 0)</f>
        <v>0</v>
      </c>
      <c r="AJ82" s="251" t="n">
        <f aca="false" t="array" ref="AJ82:AJ82">IFERROR( MEDIAN(IF(DATOS_[Sexo]=$B82,IF(DATOS_[AGRUP. CLAS. PROF.]=$B81,IF(DATOS_[Check Periodo Ref.]="Dentro",DATOS_[Tot COMPL.SAL Ef],0)))), 0)</f>
        <v>0</v>
      </c>
      <c r="AK82" s="252" t="n">
        <f aca="false" t="array" ref="AK82:AK82">IFERROR( MEDIAN(IF(DATOS_[Sexo]=$B82,IF(DATOS_[AGRUP. CLAS. PROF.]=$B81,IF(DATOS_[Check Periodo Ref.]="Dentro",DATOS_[TOTAL SALARIO Ef],0)))), 0)</f>
        <v>0</v>
      </c>
      <c r="AL82" s="259" t="n">
        <f aca="false" t="array" ref="AL82:AL82">IFERROR( MEDIAN((IF(DATOS_[[Sexo]:[Sexo]]=$B82,IF(DATOS_[[AGRUP. CLAS. PROF.]:[AGRUP. CLAS. PROF.]]=$B81,IF(DATOS_[[Check Periodo Ref.]:[Check Periodo Ref.]]="Dentro",DATOS_[C.Extra.01]))))), 0)</f>
        <v>0</v>
      </c>
      <c r="AM82" s="259" t="n">
        <f aca="false" t="array" ref="AM82:AM82">IFERROR( MEDIAN((IF(DATOS_[[Sexo]:[Sexo]]=$B82,IF(DATOS_[[AGRUP. CLAS. PROF.]:[AGRUP. CLAS. PROF.]]=$B81,IF(DATOS_[[Check Periodo Ref.]:[Check Periodo Ref.]]="Dentro",DATOS_[C.Extra.02]))))), 0)</f>
        <v>0</v>
      </c>
      <c r="AN82" s="259" t="n">
        <f aca="false" t="array" ref="AN82:AN82">IFERROR( MEDIAN((IF(DATOS_[[Sexo]:[Sexo]]=$B82,IF(DATOS_[[AGRUP. CLAS. PROF.]:[AGRUP. CLAS. PROF.]]=$B81,IF(DATOS_[[Check Periodo Ref.]:[Check Periodo Ref.]]="Dentro",DATOS_[C.Extra.03]))))), 0)</f>
        <v>0</v>
      </c>
      <c r="AO82" s="259" t="n">
        <f aca="false" t="array" ref="AO82:AO82">IFERROR( MEDIAN((IF(DATOS_[[Sexo]:[Sexo]]=$B82,IF(DATOS_[[AGRUP. CLAS. PROF.]:[AGRUP. CLAS. PROF.]]=$B81,IF(DATOS_[[Check Periodo Ref.]:[Check Periodo Ref.]]="Dentro",DATOS_[C.Extra.04]))))), 0)</f>
        <v>0</v>
      </c>
      <c r="AP82" s="259" t="n">
        <f aca="false" t="array" ref="AP82:AP82">IFERROR( MEDIAN((IF(DATOS_[[Sexo]:[Sexo]]=$B82,IF(DATOS_[[AGRUP. CLAS. PROF.]:[AGRUP. CLAS. PROF.]]=$B81,IF(DATOS_[[Check Periodo Ref.]:[Check Periodo Ref.]]="Dentro",DATOS_[C.Extra.05]))))), 0)</f>
        <v>0</v>
      </c>
      <c r="AQ82" s="254" t="n">
        <f aca="false" t="array" ref="AQ82:AQ82">IFERROR( MEDIAN(IF(DATOS_[Sexo]=$B82,IF(DATOS_[AGRUP. CLAS. PROF.]=$B81,IF(DATOS_[Check Periodo Ref.]="Dentro",DATOS_[Tot Extrasalarial Ef],0)))), 0)</f>
        <v>0</v>
      </c>
      <c r="AR82" s="255" t="n">
        <f aca="false" t="array" ref="AR82:AR82">IFERROR( MEDIAN(IF(DATOS_[Sexo]=$B82,IF(DATOS_[AGRUP. CLAS. PROF.]=$B81,IF(DATOS_[Check Periodo Ref.]="Dentro",DATOS_[TOTAL Retrib Ef],0)))), 0)</f>
        <v>0</v>
      </c>
    </row>
    <row r="83" customFormat="false" ht="14.25" hidden="false" customHeight="false" outlineLevel="0" collapsed="false">
      <c r="A83" s="217" t="str">
        <f aca="false">+A82</f>
        <v>[ocultar]</v>
      </c>
      <c r="B83" s="246" t="s">
        <v>372</v>
      </c>
      <c r="C83" s="247" t="n">
        <f aca="false" t="array" ref="C83:C83">SUM(IF($B83=DATOS_[Sexo], IF($B81=DATOS_[AGRUP. CLAS. PROF.], IF("Dentro"=DATOS_[Check Periodo Ref.], 1/(COUNTIFS(DATOS_[Sexo],$B83,DATOS_[AGRUP. CLAS. PROF.],$B81,DATOS_[Check Periodo Ref.],"Dentro",DATOS_[id],DATOS_[id]))))))</f>
        <v>0</v>
      </c>
      <c r="D83" s="248" t="n">
        <f aca="false">COUNTIFS(DATOS_[AGRUP. CLAS. PROF.],$B81,DATOS_[Sexo],$B83,DATOS_[Check Periodo Ref.],"Dentro")</f>
        <v>0</v>
      </c>
      <c r="E83" s="249" t="n">
        <f aca="false" t="array" ref="E83:E83">IFERROR( MEDIAN(IF(DATOS_[Sexo]=$B83,IF(DATOS_[AGRUP. CLAS. PROF.]=$B81,IF(DATOS_[Check Periodo Ref.]="Dentro",DATOS_[SALARIO BASE Ef],0)))), 0)</f>
        <v>0</v>
      </c>
      <c r="F83" s="250" t="n">
        <f aca="false" t="array" ref="F83:F83">IFERROR( MEDIAN((IF(DATOS_[[Sexo]:[Sexo]]=$B83,IF(DATOS_[[AGRUP. CLAS. PROF.]:[AGRUP. CLAS. PROF.]]=$B81,IF(DATOS_[[Check Periodo Ref.]:[Check Periodo Ref.]]="Dentro",DATOS_[Conc.Sal.01]))))), 0)</f>
        <v>0</v>
      </c>
      <c r="G83" s="250" t="n">
        <f aca="false" t="array" ref="G83:G83">IFERROR( MEDIAN((IF(DATOS_[[Sexo]:[Sexo]]=$B83,IF(DATOS_[[AGRUP. CLAS. PROF.]:[AGRUP. CLAS. PROF.]]=$B81,IF(DATOS_[[Check Periodo Ref.]:[Check Periodo Ref.]]="Dentro",DATOS_[Conc.Sal.02]))))), 0)</f>
        <v>0</v>
      </c>
      <c r="H83" s="250" t="n">
        <f aca="false" t="array" ref="H83:H83">IFERROR( MEDIAN((IF(DATOS_[[Sexo]:[Sexo]]=$B83,IF(DATOS_[[AGRUP. CLAS. PROF.]:[AGRUP. CLAS. PROF.]]=$B81,IF(DATOS_[[Check Periodo Ref.]:[Check Periodo Ref.]]="Dentro",DATOS_[Conc.Sal.03]))))), 0)</f>
        <v>0</v>
      </c>
      <c r="I83" s="250" t="n">
        <f aca="false" t="array" ref="I83:I83">IFERROR( MEDIAN((IF(DATOS_[[Sexo]:[Sexo]]=$B83,IF(DATOS_[[AGRUP. CLAS. PROF.]:[AGRUP. CLAS. PROF.]]=$B81,IF(DATOS_[[Check Periodo Ref.]:[Check Periodo Ref.]]="Dentro",DATOS_[Conc.Sal.04]))))), 0)</f>
        <v>0</v>
      </c>
      <c r="J83" s="250" t="n">
        <f aca="false" t="array" ref="J83:J83">IFERROR( MEDIAN((IF(DATOS_[[Sexo]:[Sexo]]=$B83,IF(DATOS_[[AGRUP. CLAS. PROF.]:[AGRUP. CLAS. PROF.]]=$B81,IF(DATOS_[[Check Periodo Ref.]:[Check Periodo Ref.]]="Dentro",DATOS_[Conc.Sal.05]))))), 0)</f>
        <v>0</v>
      </c>
      <c r="K83" s="250" t="n">
        <f aca="false" t="array" ref="K83:K83">IFERROR( MEDIAN((IF(DATOS_[[Sexo]:[Sexo]]=$B83,IF(DATOS_[[AGRUP. CLAS. PROF.]:[AGRUP. CLAS. PROF.]]=$B81,IF(DATOS_[[Check Periodo Ref.]:[Check Periodo Ref.]]="Dentro",DATOS_[Conc.Sal.06]))))), 0)</f>
        <v>0</v>
      </c>
      <c r="L83" s="250" t="n">
        <f aca="false" t="array" ref="L83:L83">IFERROR( MEDIAN((IF(DATOS_[[Sexo]:[Sexo]]=$B83,IF(DATOS_[[AGRUP. CLAS. PROF.]:[AGRUP. CLAS. PROF.]]=$B81,IF(DATOS_[[Check Periodo Ref.]:[Check Periodo Ref.]]="Dentro",DATOS_[Conc.Sal.07]))))), 0)</f>
        <v>0</v>
      </c>
      <c r="M83" s="250" t="n">
        <f aca="false" t="array" ref="M83:M83">IFERROR( MEDIAN((IF(DATOS_[[Sexo]:[Sexo]]=$B83,IF(DATOS_[[AGRUP. CLAS. PROF.]:[AGRUP. CLAS. PROF.]]=$B81,IF(DATOS_[[Check Periodo Ref.]:[Check Periodo Ref.]]="Dentro",DATOS_[Conc.Sal.08]))))), 0)</f>
        <v>0</v>
      </c>
      <c r="N83" s="250" t="n">
        <f aca="false" t="array" ref="N83:N83">IFERROR( MEDIAN((IF(DATOS_[[Sexo]:[Sexo]]=$B83,IF(DATOS_[[AGRUP. CLAS. PROF.]:[AGRUP. CLAS. PROF.]]=$B81,IF(DATOS_[[Check Periodo Ref.]:[Check Periodo Ref.]]="Dentro",DATOS_[Conc.Sal.09]))))), 0)</f>
        <v>0</v>
      </c>
      <c r="O83" s="250" t="n">
        <f aca="false" t="array" ref="O83:O83">IFERROR( MEDIAN((IF(DATOS_[[Sexo]:[Sexo]]=$B83,IF(DATOS_[[AGRUP. CLAS. PROF.]:[AGRUP. CLAS. PROF.]]=$B81,IF(DATOS_[[Check Periodo Ref.]:[Check Periodo Ref.]]="Dentro",DATOS_[Conc.Sal.10]))))), 0)</f>
        <v>0</v>
      </c>
      <c r="P83" s="250" t="n">
        <f aca="false" t="array" ref="P83:P83">IFERROR( MEDIAN((IF(DATOS_[[Sexo]:[Sexo]]=$B83,IF(DATOS_[[AGRUP. CLAS. PROF.]:[AGRUP. CLAS. PROF.]]=$B81,IF(DATOS_[[Check Periodo Ref.]:[Check Periodo Ref.]]="Dentro",DATOS_[Conc.Sal.11]))))), 0)</f>
        <v>0</v>
      </c>
      <c r="Q83" s="250" t="n">
        <f aca="false" t="array" ref="Q83:Q83">IFERROR( MEDIAN((IF(DATOS_[[Sexo]:[Sexo]]=$B83,IF(DATOS_[[AGRUP. CLAS. PROF.]:[AGRUP. CLAS. PROF.]]=$B81,IF(DATOS_[[Check Periodo Ref.]:[Check Periodo Ref.]]="Dentro",DATOS_[Conc.Sal.12]))))), 0)</f>
        <v>0</v>
      </c>
      <c r="R83" s="250" t="n">
        <f aca="false" t="array" ref="R83:R83">IFERROR( MEDIAN((IF(DATOS_[[Sexo]:[Sexo]]=$B83,IF(DATOS_[[AGRUP. CLAS. PROF.]:[AGRUP. CLAS. PROF.]]=$B81,IF(DATOS_[[Check Periodo Ref.]:[Check Periodo Ref.]]="Dentro",DATOS_[Conc.Sal.13]))))), 0)</f>
        <v>0</v>
      </c>
      <c r="S83" s="250" t="n">
        <f aca="false" t="array" ref="S83:S83">IFERROR( MEDIAN((IF(DATOS_[[Sexo]:[Sexo]]=$B83,IF(DATOS_[[AGRUP. CLAS. PROF.]:[AGRUP. CLAS. PROF.]]=$B81,IF(DATOS_[[Check Periodo Ref.]:[Check Periodo Ref.]]="Dentro",DATOS_[Conc.Sal.14]))))), 0)</f>
        <v>0</v>
      </c>
      <c r="T83" s="250" t="n">
        <f aca="false" t="array" ref="T83:T83">IFERROR( MEDIAN((IF(DATOS_[[Sexo]:[Sexo]]=$B83,IF(DATOS_[[AGRUP. CLAS. PROF.]:[AGRUP. CLAS. PROF.]]=$B81,IF(DATOS_[[Check Periodo Ref.]:[Check Periodo Ref.]]="Dentro",DATOS_[Conc.Sal.15]))))), 0)</f>
        <v>0</v>
      </c>
      <c r="U83" s="250" t="n">
        <f aca="false" t="array" ref="U83:U83">IFERROR( MEDIAN((IF(DATOS_[[Sexo]:[Sexo]]=$B83,IF(DATOS_[[AGRUP. CLAS. PROF.]:[AGRUP. CLAS. PROF.]]=$B81,IF(DATOS_[[Check Periodo Ref.]:[Check Periodo Ref.]]="Dentro",DATOS_[Conc.Sal.16]))))), 0)</f>
        <v>0</v>
      </c>
      <c r="V83" s="250" t="n">
        <f aca="false" t="array" ref="V83:V83">IFERROR( MEDIAN((IF(DATOS_[[Sexo]:[Sexo]]=$B83,IF(DATOS_[[AGRUP. CLAS. PROF.]:[AGRUP. CLAS. PROF.]]=$B81,IF(DATOS_[[Check Periodo Ref.]:[Check Periodo Ref.]]="Dentro",DATOS_[Conc.Sal.17]))))), 0)</f>
        <v>0</v>
      </c>
      <c r="W83" s="250" t="n">
        <f aca="false" t="array" ref="W83:W83">IFERROR( MEDIAN((IF(DATOS_[[Sexo]:[Sexo]]=$B83,IF(DATOS_[[AGRUP. CLAS. PROF.]:[AGRUP. CLAS. PROF.]]=$B81,IF(DATOS_[[Check Periodo Ref.]:[Check Periodo Ref.]]="Dentro",DATOS_[Conc.Sal.18]))))), 0)</f>
        <v>0</v>
      </c>
      <c r="X83" s="250" t="n">
        <f aca="false" t="array" ref="X83:X83">IFERROR( MEDIAN((IF(DATOS_[[Sexo]:[Sexo]]=$B83,IF(DATOS_[[AGRUP. CLAS. PROF.]:[AGRUP. CLAS. PROF.]]=$B81,IF(DATOS_[[Check Periodo Ref.]:[Check Periodo Ref.]]="Dentro",DATOS_[Conc.Sal.19]))))), 0)</f>
        <v>0</v>
      </c>
      <c r="Y83" s="250" t="n">
        <f aca="false" t="array" ref="Y83:Y83">IFERROR( MEDIAN((IF(DATOS_[[Sexo]:[Sexo]]=$B83,IF(DATOS_[[AGRUP. CLAS. PROF.]:[AGRUP. CLAS. PROF.]]=$B81,IF(DATOS_[[Check Periodo Ref.]:[Check Periodo Ref.]]="Dentro",DATOS_[Conc.Sal.20]))))), 0)</f>
        <v>0</v>
      </c>
      <c r="Z83" s="250" t="n">
        <f aca="false" t="array" ref="Z83:Z83">IFERROR( MEDIAN((IF(DATOS_[[Sexo]:[Sexo]]=$B83,IF(DATOS_[[AGRUP. CLAS. PROF.]:[AGRUP. CLAS. PROF.]]=$B81,IF(DATOS_[[Check Periodo Ref.]:[Check Periodo Ref.]]="Dentro",DATOS_[Conc.Sal.21]))))), 0)</f>
        <v>0</v>
      </c>
      <c r="AA83" s="250" t="n">
        <f aca="false" t="array" ref="AA83:AA83">IFERROR( MEDIAN((IF(DATOS_[[Sexo]:[Sexo]]=$B83,IF(DATOS_[[AGRUP. CLAS. PROF.]:[AGRUP. CLAS. PROF.]]=$B81,IF(DATOS_[[Check Periodo Ref.]:[Check Periodo Ref.]]="Dentro",DATOS_[Conc.Sal.22]))))), 0)</f>
        <v>0</v>
      </c>
      <c r="AB83" s="250" t="n">
        <f aca="false" t="array" ref="AB83:AB83">IFERROR( MEDIAN((IF(DATOS_[[Sexo]:[Sexo]]=$B83,IF(DATOS_[[AGRUP. CLAS. PROF.]:[AGRUP. CLAS. PROF.]]=$B81,IF(DATOS_[[Check Periodo Ref.]:[Check Periodo Ref.]]="Dentro",DATOS_[Conc.Sal.23]))))), 0)</f>
        <v>0</v>
      </c>
      <c r="AC83" s="250" t="n">
        <f aca="false" t="array" ref="AC83:AC83">IFERROR( MEDIAN((IF(DATOS_[[Sexo]:[Sexo]]=$B83,IF(DATOS_[[AGRUP. CLAS. PROF.]:[AGRUP. CLAS. PROF.]]=$B81,IF(DATOS_[[Check Periodo Ref.]:[Check Periodo Ref.]]="Dentro",DATOS_[Conc.Sal.24]))))), 0)</f>
        <v>0</v>
      </c>
      <c r="AD83" s="250" t="n">
        <f aca="false" t="array" ref="AD83:AD83">IFERROR( MEDIAN((IF(DATOS_[[Sexo]:[Sexo]]=$B83,IF(DATOS_[[AGRUP. CLAS. PROF.]:[AGRUP. CLAS. PROF.]]=$B81,IF(DATOS_[[Check Periodo Ref.]:[Check Periodo Ref.]]="Dentro",DATOS_[Conc.Sal.25]))))), 0)</f>
        <v>0</v>
      </c>
      <c r="AE83" s="250" t="n">
        <f aca="false" t="array" ref="AE83:AE83">IFERROR( MEDIAN((IF(DATOS_[[Sexo]:[Sexo]]=$B83,IF(DATOS_[[AGRUP. CLAS. PROF.]:[AGRUP. CLAS. PROF.]]=$B81,IF(DATOS_[[Check Periodo Ref.]:[Check Periodo Ref.]]="Dentro",DATOS_[Conc.Sal.26]))))), 0)</f>
        <v>0</v>
      </c>
      <c r="AF83" s="250" t="n">
        <f aca="false" t="array" ref="AF83:AF83">IFERROR( MEDIAN((IF(DATOS_[[Sexo]:[Sexo]]=$B83,IF(DATOS_[[AGRUP. CLAS. PROF.]:[AGRUP. CLAS. PROF.]]=$B81,IF(DATOS_[[Check Periodo Ref.]:[Check Periodo Ref.]]="Dentro",DATOS_[Conc.Sal.27]))))), 0)</f>
        <v>0</v>
      </c>
      <c r="AG83" s="250" t="n">
        <f aca="false" t="array" ref="AG83:AG83">IFERROR( MEDIAN((IF(DATOS_[[Sexo]:[Sexo]]=$B83,IF(DATOS_[[AGRUP. CLAS. PROF.]:[AGRUP. CLAS. PROF.]]=$B81,IF(DATOS_[[Check Periodo Ref.]:[Check Periodo Ref.]]="Dentro",DATOS_[Conc.Sal.28]))))), 0)</f>
        <v>0</v>
      </c>
      <c r="AH83" s="250" t="n">
        <f aca="false" t="array" ref="AH83:AH83">IFERROR( MEDIAN((IF(DATOS_[[Sexo]:[Sexo]]=$B83,IF(DATOS_[[AGRUP. CLAS. PROF.]:[AGRUP. CLAS. PROF.]]=$B81,IF(DATOS_[[Check Periodo Ref.]:[Check Periodo Ref.]]="Dentro",DATOS_[Conc.Sal.29]))))), 0)</f>
        <v>0</v>
      </c>
      <c r="AI83" s="250" t="n">
        <f aca="false" t="array" ref="AI83:AI83">IFERROR( MEDIAN((IF(DATOS_[[Sexo]:[Sexo]]=$B83,IF(DATOS_[[AGRUP. CLAS. PROF.]:[AGRUP. CLAS. PROF.]]=$B81,IF(DATOS_[[Check Periodo Ref.]:[Check Periodo Ref.]]="Dentro",DATOS_[Conc.Sal.30]))))), 0)</f>
        <v>0</v>
      </c>
      <c r="AJ83" s="251" t="n">
        <f aca="false" t="array" ref="AJ83:AJ83">IFERROR( MEDIAN(IF(DATOS_[Sexo]=$B83,IF(DATOS_[AGRUP. CLAS. PROF.]=$B81,IF(DATOS_[Check Periodo Ref.]="Dentro",DATOS_[Tot COMPL.SAL Ef],0)))), 0)</f>
        <v>0</v>
      </c>
      <c r="AK83" s="252" t="n">
        <f aca="false" t="array" ref="AK83:AK83">IFERROR( MEDIAN(IF(DATOS_[Sexo]=$B83,IF(DATOS_[AGRUP. CLAS. PROF.]=$B81,IF(DATOS_[Check Periodo Ref.]="Dentro",DATOS_[TOTAL SALARIO Ef],0)))), 0)</f>
        <v>0</v>
      </c>
      <c r="AL83" s="259" t="n">
        <f aca="false" t="array" ref="AL83:AL83">IFERROR( MEDIAN((IF(DATOS_[[Sexo]:[Sexo]]=$B83,IF(DATOS_[[AGRUP. CLAS. PROF.]:[AGRUP. CLAS. PROF.]]=$B81,IF(DATOS_[[Check Periodo Ref.]:[Check Periodo Ref.]]="Dentro",DATOS_[C.Extra.01]))))), 0)</f>
        <v>0</v>
      </c>
      <c r="AM83" s="259" t="n">
        <f aca="false" t="array" ref="AM83:AM83">IFERROR( MEDIAN((IF(DATOS_[[Sexo]:[Sexo]]=$B83,IF(DATOS_[[AGRUP. CLAS. PROF.]:[AGRUP. CLAS. PROF.]]=$B81,IF(DATOS_[[Check Periodo Ref.]:[Check Periodo Ref.]]="Dentro",DATOS_[C.Extra.02]))))), 0)</f>
        <v>0</v>
      </c>
      <c r="AN83" s="259" t="n">
        <f aca="false" t="array" ref="AN83:AN83">IFERROR( MEDIAN((IF(DATOS_[[Sexo]:[Sexo]]=$B83,IF(DATOS_[[AGRUP. CLAS. PROF.]:[AGRUP. CLAS. PROF.]]=$B81,IF(DATOS_[[Check Periodo Ref.]:[Check Periodo Ref.]]="Dentro",DATOS_[C.Extra.03]))))), 0)</f>
        <v>0</v>
      </c>
      <c r="AO83" s="259" t="n">
        <f aca="false" t="array" ref="AO83:AO83">IFERROR( MEDIAN((IF(DATOS_[[Sexo]:[Sexo]]=$B83,IF(DATOS_[[AGRUP. CLAS. PROF.]:[AGRUP. CLAS. PROF.]]=$B81,IF(DATOS_[[Check Periodo Ref.]:[Check Periodo Ref.]]="Dentro",DATOS_[C.Extra.04]))))), 0)</f>
        <v>0</v>
      </c>
      <c r="AP83" s="259" t="n">
        <f aca="false" t="array" ref="AP83:AP83">IFERROR( MEDIAN((IF(DATOS_[[Sexo]:[Sexo]]=$B83,IF(DATOS_[[AGRUP. CLAS. PROF.]:[AGRUP. CLAS. PROF.]]=$B81,IF(DATOS_[[Check Periodo Ref.]:[Check Periodo Ref.]]="Dentro",DATOS_[C.Extra.05]))))), 0)</f>
        <v>0</v>
      </c>
      <c r="AQ83" s="254" t="n">
        <f aca="false" t="array" ref="AQ83:AQ83">IFERROR( MEDIAN(IF(DATOS_[Sexo]=$B83,IF(DATOS_[AGRUP. CLAS. PROF.]=$B81,IF(DATOS_[Check Periodo Ref.]="Dentro",DATOS_[Tot Extrasalarial Ef],0)))), 0)</f>
        <v>0</v>
      </c>
      <c r="AR83" s="255" t="n">
        <f aca="false" t="array" ref="AR83:AR83">IFERROR( MEDIAN(IF(DATOS_[Sexo]=$B83,IF(DATOS_[AGRUP. CLAS. PROF.]=$B81,IF(DATOS_[Check Periodo Ref.]="Dentro",DATOS_[TOTAL Retrib Ef],0)))), 0)</f>
        <v>0</v>
      </c>
    </row>
    <row r="84" customFormat="false" ht="15.75" hidden="false" customHeight="false" outlineLevel="0" collapsed="false">
      <c r="A84" s="217" t="str">
        <f aca="false">+A85</f>
        <v>[ocultar]</v>
      </c>
      <c r="B84" s="235" t="s">
        <v>237</v>
      </c>
      <c r="C84" s="236"/>
      <c r="D84" s="237"/>
      <c r="E84" s="238" t="str">
        <f aca="false">IFERROR((E85-E86)/E85,"")</f>
        <v/>
      </c>
      <c r="F84" s="239" t="str">
        <f aca="false">IFERROR((F85-F86)/F85,"")</f>
        <v/>
      </c>
      <c r="G84" s="239" t="str">
        <f aca="false">IFERROR((G85-G86)/G85,"")</f>
        <v/>
      </c>
      <c r="H84" s="239" t="str">
        <f aca="false">IFERROR((H85-H86)/H85,"")</f>
        <v/>
      </c>
      <c r="I84" s="239"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40" t="str">
        <f aca="false">IFERROR((V85-V86)/V85,"")</f>
        <v/>
      </c>
      <c r="W84" s="240" t="str">
        <f aca="false">IFERROR((W85-W86)/W85,"")</f>
        <v/>
      </c>
      <c r="X84" s="240" t="str">
        <f aca="false">IFERROR((X85-X86)/X85,"")</f>
        <v/>
      </c>
      <c r="Y84" s="240"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1" t="str">
        <f aca="false">IFERROR((AJ85-AJ86)/AJ85,"")</f>
        <v/>
      </c>
      <c r="AK84" s="242" t="str">
        <f aca="false">IFERROR((AK85-AK86)/AK85,"")</f>
        <v/>
      </c>
      <c r="AL84" s="243" t="str">
        <f aca="false">IFERROR((AL85-AL86)/AL85,"")</f>
        <v/>
      </c>
      <c r="AM84" s="243" t="str">
        <f aca="false">IFERROR((AM85-AM86)/AM85,"")</f>
        <v/>
      </c>
      <c r="AN84" s="243" t="str">
        <f aca="false">IFERROR((AN85-AN86)/AN85,"")</f>
        <v/>
      </c>
      <c r="AO84" s="243" t="str">
        <f aca="false">IFERROR((AO85-AO86)/AO85,"")</f>
        <v/>
      </c>
      <c r="AP84" s="243" t="str">
        <f aca="false">IFERROR((AP85-AP86)/AP85,"")</f>
        <v/>
      </c>
      <c r="AQ84" s="244" t="str">
        <f aca="false">IFERROR((AQ85-AQ86)/AQ85,"")</f>
        <v/>
      </c>
      <c r="AR84" s="245" t="str">
        <f aca="false">IFERROR((AR85-AR86)/AR85,"")</f>
        <v/>
      </c>
    </row>
    <row r="85" customFormat="false" ht="14.25" hidden="false" customHeight="false" outlineLevel="0" collapsed="false">
      <c r="A85" s="217" t="str">
        <f aca="false">+IF(C85+C86=0,"[ocultar]","")</f>
        <v>[ocultar]</v>
      </c>
      <c r="B85" s="246" t="s">
        <v>371</v>
      </c>
      <c r="C85" s="247" t="n">
        <f aca="false" t="array" ref="C85:C85">SUM(IF($B85=DATOS_[Sexo], IF($B84=DATOS_[AGRUP. CLAS. PROF.], IF("Dentro"=DATOS_[Check Periodo Ref.], 1/(COUNTIFS(DATOS_[Sexo],$B85,DATOS_[AGRUP. CLAS. PROF.],$B84,DATOS_[Check Periodo Ref.],"Dentro",DATOS_[id],DATOS_[id]))))))</f>
        <v>0</v>
      </c>
      <c r="D85" s="248" t="n">
        <f aca="false">COUNTIFS(DATOS_[AGRUP. CLAS. PROF.],$B84,DATOS_[Sexo],$B85,DATOS_[Check Periodo Ref.],"Dentro")</f>
        <v>0</v>
      </c>
      <c r="E85" s="249" t="n">
        <f aca="false" t="array" ref="E85:E85">IFERROR( MEDIAN(IF(DATOS_[Sexo]=$B85,IF(DATOS_[AGRUP. CLAS. PROF.]=$B84,IF(DATOS_[Check Periodo Ref.]="Dentro",DATOS_[SALARIO BASE Ef],0)))), 0)</f>
        <v>0</v>
      </c>
      <c r="F85" s="250" t="n">
        <f aca="false" t="array" ref="F85:F85">IFERROR( MEDIAN((IF(DATOS_[[Sexo]:[Sexo]]=$B85,IF(DATOS_[[AGRUP. CLAS. PROF.]:[AGRUP. CLAS. PROF.]]=$B84,IF(DATOS_[[Check Periodo Ref.]:[Check Periodo Ref.]]="Dentro",DATOS_[Conc.Sal.01]))))), 0)</f>
        <v>0</v>
      </c>
      <c r="G85" s="250" t="n">
        <f aca="false" t="array" ref="G85:G85">IFERROR( MEDIAN((IF(DATOS_[[Sexo]:[Sexo]]=$B85,IF(DATOS_[[AGRUP. CLAS. PROF.]:[AGRUP. CLAS. PROF.]]=$B84,IF(DATOS_[[Check Periodo Ref.]:[Check Periodo Ref.]]="Dentro",DATOS_[Conc.Sal.02]))))), 0)</f>
        <v>0</v>
      </c>
      <c r="H85" s="250" t="n">
        <f aca="false" t="array" ref="H85:H85">IFERROR( MEDIAN((IF(DATOS_[[Sexo]:[Sexo]]=$B85,IF(DATOS_[[AGRUP. CLAS. PROF.]:[AGRUP. CLAS. PROF.]]=$B84,IF(DATOS_[[Check Periodo Ref.]:[Check Periodo Ref.]]="Dentro",DATOS_[Conc.Sal.03]))))), 0)</f>
        <v>0</v>
      </c>
      <c r="I85" s="250" t="n">
        <f aca="false" t="array" ref="I85:I85">IFERROR( MEDIAN((IF(DATOS_[[Sexo]:[Sexo]]=$B85,IF(DATOS_[[AGRUP. CLAS. PROF.]:[AGRUP. CLAS. PROF.]]=$B84,IF(DATOS_[[Check Periodo Ref.]:[Check Periodo Ref.]]="Dentro",DATOS_[Conc.Sal.04]))))), 0)</f>
        <v>0</v>
      </c>
      <c r="J85" s="250" t="n">
        <f aca="false" t="array" ref="J85:J85">IFERROR( MEDIAN((IF(DATOS_[[Sexo]:[Sexo]]=$B85,IF(DATOS_[[AGRUP. CLAS. PROF.]:[AGRUP. CLAS. PROF.]]=$B84,IF(DATOS_[[Check Periodo Ref.]:[Check Periodo Ref.]]="Dentro",DATOS_[Conc.Sal.05]))))), 0)</f>
        <v>0</v>
      </c>
      <c r="K85" s="250" t="n">
        <f aca="false" t="array" ref="K85:K85">IFERROR( MEDIAN((IF(DATOS_[[Sexo]:[Sexo]]=$B85,IF(DATOS_[[AGRUP. CLAS. PROF.]:[AGRUP. CLAS. PROF.]]=$B84,IF(DATOS_[[Check Periodo Ref.]:[Check Periodo Ref.]]="Dentro",DATOS_[Conc.Sal.06]))))), 0)</f>
        <v>0</v>
      </c>
      <c r="L85" s="250" t="n">
        <f aca="false" t="array" ref="L85:L85">IFERROR( MEDIAN((IF(DATOS_[[Sexo]:[Sexo]]=$B85,IF(DATOS_[[AGRUP. CLAS. PROF.]:[AGRUP. CLAS. PROF.]]=$B84,IF(DATOS_[[Check Periodo Ref.]:[Check Periodo Ref.]]="Dentro",DATOS_[Conc.Sal.07]))))), 0)</f>
        <v>0</v>
      </c>
      <c r="M85" s="250" t="n">
        <f aca="false" t="array" ref="M85:M85">IFERROR( MEDIAN((IF(DATOS_[[Sexo]:[Sexo]]=$B85,IF(DATOS_[[AGRUP. CLAS. PROF.]:[AGRUP. CLAS. PROF.]]=$B84,IF(DATOS_[[Check Periodo Ref.]:[Check Periodo Ref.]]="Dentro",DATOS_[Conc.Sal.08]))))), 0)</f>
        <v>0</v>
      </c>
      <c r="N85" s="250" t="n">
        <f aca="false" t="array" ref="N85:N85">IFERROR( MEDIAN((IF(DATOS_[[Sexo]:[Sexo]]=$B85,IF(DATOS_[[AGRUP. CLAS. PROF.]:[AGRUP. CLAS. PROF.]]=$B84,IF(DATOS_[[Check Periodo Ref.]:[Check Periodo Ref.]]="Dentro",DATOS_[Conc.Sal.09]))))), 0)</f>
        <v>0</v>
      </c>
      <c r="O85" s="250" t="n">
        <f aca="false" t="array" ref="O85:O85">IFERROR( MEDIAN((IF(DATOS_[[Sexo]:[Sexo]]=$B85,IF(DATOS_[[AGRUP. CLAS. PROF.]:[AGRUP. CLAS. PROF.]]=$B84,IF(DATOS_[[Check Periodo Ref.]:[Check Periodo Ref.]]="Dentro",DATOS_[Conc.Sal.10]))))), 0)</f>
        <v>0</v>
      </c>
      <c r="P85" s="250" t="n">
        <f aca="false" t="array" ref="P85:P85">IFERROR( MEDIAN((IF(DATOS_[[Sexo]:[Sexo]]=$B85,IF(DATOS_[[AGRUP. CLAS. PROF.]:[AGRUP. CLAS. PROF.]]=$B84,IF(DATOS_[[Check Periodo Ref.]:[Check Periodo Ref.]]="Dentro",DATOS_[Conc.Sal.11]))))), 0)</f>
        <v>0</v>
      </c>
      <c r="Q85" s="250" t="n">
        <f aca="false" t="array" ref="Q85:Q85">IFERROR( MEDIAN((IF(DATOS_[[Sexo]:[Sexo]]=$B85,IF(DATOS_[[AGRUP. CLAS. PROF.]:[AGRUP. CLAS. PROF.]]=$B84,IF(DATOS_[[Check Periodo Ref.]:[Check Periodo Ref.]]="Dentro",DATOS_[Conc.Sal.12]))))), 0)</f>
        <v>0</v>
      </c>
      <c r="R85" s="250" t="n">
        <f aca="false" t="array" ref="R85:R85">IFERROR( MEDIAN((IF(DATOS_[[Sexo]:[Sexo]]=$B85,IF(DATOS_[[AGRUP. CLAS. PROF.]:[AGRUP. CLAS. PROF.]]=$B84,IF(DATOS_[[Check Periodo Ref.]:[Check Periodo Ref.]]="Dentro",DATOS_[Conc.Sal.13]))))), 0)</f>
        <v>0</v>
      </c>
      <c r="S85" s="250" t="n">
        <f aca="false" t="array" ref="S85:S85">IFERROR( MEDIAN((IF(DATOS_[[Sexo]:[Sexo]]=$B85,IF(DATOS_[[AGRUP. CLAS. PROF.]:[AGRUP. CLAS. PROF.]]=$B84,IF(DATOS_[[Check Periodo Ref.]:[Check Periodo Ref.]]="Dentro",DATOS_[Conc.Sal.14]))))), 0)</f>
        <v>0</v>
      </c>
      <c r="T85" s="250" t="n">
        <f aca="false" t="array" ref="T85:T85">IFERROR( MEDIAN((IF(DATOS_[[Sexo]:[Sexo]]=$B85,IF(DATOS_[[AGRUP. CLAS. PROF.]:[AGRUP. CLAS. PROF.]]=$B84,IF(DATOS_[[Check Periodo Ref.]:[Check Periodo Ref.]]="Dentro",DATOS_[Conc.Sal.15]))))), 0)</f>
        <v>0</v>
      </c>
      <c r="U85" s="250" t="n">
        <f aca="false" t="array" ref="U85:U85">IFERROR( MEDIAN((IF(DATOS_[[Sexo]:[Sexo]]=$B85,IF(DATOS_[[AGRUP. CLAS. PROF.]:[AGRUP. CLAS. PROF.]]=$B84,IF(DATOS_[[Check Periodo Ref.]:[Check Periodo Ref.]]="Dentro",DATOS_[Conc.Sal.16]))))), 0)</f>
        <v>0</v>
      </c>
      <c r="V85" s="250" t="n">
        <f aca="false" t="array" ref="V85:V85">IFERROR( MEDIAN((IF(DATOS_[[Sexo]:[Sexo]]=$B85,IF(DATOS_[[AGRUP. CLAS. PROF.]:[AGRUP. CLAS. PROF.]]=$B84,IF(DATOS_[[Check Periodo Ref.]:[Check Periodo Ref.]]="Dentro",DATOS_[Conc.Sal.17]))))), 0)</f>
        <v>0</v>
      </c>
      <c r="W85" s="250" t="n">
        <f aca="false" t="array" ref="W85:W85">IFERROR( MEDIAN((IF(DATOS_[[Sexo]:[Sexo]]=$B85,IF(DATOS_[[AGRUP. CLAS. PROF.]:[AGRUP. CLAS. PROF.]]=$B84,IF(DATOS_[[Check Periodo Ref.]:[Check Periodo Ref.]]="Dentro",DATOS_[Conc.Sal.18]))))), 0)</f>
        <v>0</v>
      </c>
      <c r="X85" s="250" t="n">
        <f aca="false" t="array" ref="X85:X85">IFERROR( MEDIAN((IF(DATOS_[[Sexo]:[Sexo]]=$B85,IF(DATOS_[[AGRUP. CLAS. PROF.]:[AGRUP. CLAS. PROF.]]=$B84,IF(DATOS_[[Check Periodo Ref.]:[Check Periodo Ref.]]="Dentro",DATOS_[Conc.Sal.19]))))), 0)</f>
        <v>0</v>
      </c>
      <c r="Y85" s="250" t="n">
        <f aca="false" t="array" ref="Y85:Y85">IFERROR( MEDIAN((IF(DATOS_[[Sexo]:[Sexo]]=$B85,IF(DATOS_[[AGRUP. CLAS. PROF.]:[AGRUP. CLAS. PROF.]]=$B84,IF(DATOS_[[Check Periodo Ref.]:[Check Periodo Ref.]]="Dentro",DATOS_[Conc.Sal.20]))))), 0)</f>
        <v>0</v>
      </c>
      <c r="Z85" s="250" t="n">
        <f aca="false" t="array" ref="Z85:Z85">IFERROR( MEDIAN((IF(DATOS_[[Sexo]:[Sexo]]=$B85,IF(DATOS_[[AGRUP. CLAS. PROF.]:[AGRUP. CLAS. PROF.]]=$B84,IF(DATOS_[[Check Periodo Ref.]:[Check Periodo Ref.]]="Dentro",DATOS_[Conc.Sal.21]))))), 0)</f>
        <v>0</v>
      </c>
      <c r="AA85" s="250" t="n">
        <f aca="false" t="array" ref="AA85:AA85">IFERROR( MEDIAN((IF(DATOS_[[Sexo]:[Sexo]]=$B85,IF(DATOS_[[AGRUP. CLAS. PROF.]:[AGRUP. CLAS. PROF.]]=$B84,IF(DATOS_[[Check Periodo Ref.]:[Check Periodo Ref.]]="Dentro",DATOS_[Conc.Sal.22]))))), 0)</f>
        <v>0</v>
      </c>
      <c r="AB85" s="250" t="n">
        <f aca="false" t="array" ref="AB85:AB85">IFERROR( MEDIAN((IF(DATOS_[[Sexo]:[Sexo]]=$B85,IF(DATOS_[[AGRUP. CLAS. PROF.]:[AGRUP. CLAS. PROF.]]=$B84,IF(DATOS_[[Check Periodo Ref.]:[Check Periodo Ref.]]="Dentro",DATOS_[Conc.Sal.23]))))), 0)</f>
        <v>0</v>
      </c>
      <c r="AC85" s="250" t="n">
        <f aca="false" t="array" ref="AC85:AC85">IFERROR( MEDIAN((IF(DATOS_[[Sexo]:[Sexo]]=$B85,IF(DATOS_[[AGRUP. CLAS. PROF.]:[AGRUP. CLAS. PROF.]]=$B84,IF(DATOS_[[Check Periodo Ref.]:[Check Periodo Ref.]]="Dentro",DATOS_[Conc.Sal.24]))))), 0)</f>
        <v>0</v>
      </c>
      <c r="AD85" s="250" t="n">
        <f aca="false" t="array" ref="AD85:AD85">IFERROR( MEDIAN((IF(DATOS_[[Sexo]:[Sexo]]=$B85,IF(DATOS_[[AGRUP. CLAS. PROF.]:[AGRUP. CLAS. PROF.]]=$B84,IF(DATOS_[[Check Periodo Ref.]:[Check Periodo Ref.]]="Dentro",DATOS_[Conc.Sal.25]))))), 0)</f>
        <v>0</v>
      </c>
      <c r="AE85" s="250" t="n">
        <f aca="false" t="array" ref="AE85:AE85">IFERROR( MEDIAN((IF(DATOS_[[Sexo]:[Sexo]]=$B85,IF(DATOS_[[AGRUP. CLAS. PROF.]:[AGRUP. CLAS. PROF.]]=$B84,IF(DATOS_[[Check Periodo Ref.]:[Check Periodo Ref.]]="Dentro",DATOS_[Conc.Sal.26]))))), 0)</f>
        <v>0</v>
      </c>
      <c r="AF85" s="250" t="n">
        <f aca="false" t="array" ref="AF85:AF85">IFERROR( MEDIAN((IF(DATOS_[[Sexo]:[Sexo]]=$B85,IF(DATOS_[[AGRUP. CLAS. PROF.]:[AGRUP. CLAS. PROF.]]=$B84,IF(DATOS_[[Check Periodo Ref.]:[Check Periodo Ref.]]="Dentro",DATOS_[Conc.Sal.27]))))), 0)</f>
        <v>0</v>
      </c>
      <c r="AG85" s="250" t="n">
        <f aca="false" t="array" ref="AG85:AG85">IFERROR( MEDIAN((IF(DATOS_[[Sexo]:[Sexo]]=$B85,IF(DATOS_[[AGRUP. CLAS. PROF.]:[AGRUP. CLAS. PROF.]]=$B84,IF(DATOS_[[Check Periodo Ref.]:[Check Periodo Ref.]]="Dentro",DATOS_[Conc.Sal.28]))))), 0)</f>
        <v>0</v>
      </c>
      <c r="AH85" s="250" t="n">
        <f aca="false" t="array" ref="AH85:AH85">IFERROR( MEDIAN((IF(DATOS_[[Sexo]:[Sexo]]=$B85,IF(DATOS_[[AGRUP. CLAS. PROF.]:[AGRUP. CLAS. PROF.]]=$B84,IF(DATOS_[[Check Periodo Ref.]:[Check Periodo Ref.]]="Dentro",DATOS_[Conc.Sal.29]))))), 0)</f>
        <v>0</v>
      </c>
      <c r="AI85" s="250" t="n">
        <f aca="false" t="array" ref="AI85:AI85">IFERROR( MEDIAN((IF(DATOS_[[Sexo]:[Sexo]]=$B85,IF(DATOS_[[AGRUP. CLAS. PROF.]:[AGRUP. CLAS. PROF.]]=$B84,IF(DATOS_[[Check Periodo Ref.]:[Check Periodo Ref.]]="Dentro",DATOS_[Conc.Sal.30]))))), 0)</f>
        <v>0</v>
      </c>
      <c r="AJ85" s="251" t="n">
        <f aca="false" t="array" ref="AJ85:AJ85">IFERROR( MEDIAN(IF(DATOS_[Sexo]=$B85,IF(DATOS_[AGRUP. CLAS. PROF.]=$B84,IF(DATOS_[Check Periodo Ref.]="Dentro",DATOS_[Tot COMPL.SAL Ef],0)))), 0)</f>
        <v>0</v>
      </c>
      <c r="AK85" s="252" t="n">
        <f aca="false" t="array" ref="AK85:AK85">IFERROR( MEDIAN(IF(DATOS_[Sexo]=$B85,IF(DATOS_[AGRUP. CLAS. PROF.]=$B84,IF(DATOS_[Check Periodo Ref.]="Dentro",DATOS_[TOTAL SALARIO Ef],0)))), 0)</f>
        <v>0</v>
      </c>
      <c r="AL85" s="259" t="n">
        <f aca="false" t="array" ref="AL85:AL85">IFERROR( MEDIAN((IF(DATOS_[[Sexo]:[Sexo]]=$B85,IF(DATOS_[[AGRUP. CLAS. PROF.]:[AGRUP. CLAS. PROF.]]=$B84,IF(DATOS_[[Check Periodo Ref.]:[Check Periodo Ref.]]="Dentro",DATOS_[C.Extra.01]))))), 0)</f>
        <v>0</v>
      </c>
      <c r="AM85" s="259" t="n">
        <f aca="false" t="array" ref="AM85:AM85">IFERROR( MEDIAN((IF(DATOS_[[Sexo]:[Sexo]]=$B85,IF(DATOS_[[AGRUP. CLAS. PROF.]:[AGRUP. CLAS. PROF.]]=$B84,IF(DATOS_[[Check Periodo Ref.]:[Check Periodo Ref.]]="Dentro",DATOS_[C.Extra.02]))))), 0)</f>
        <v>0</v>
      </c>
      <c r="AN85" s="259" t="n">
        <f aca="false" t="array" ref="AN85:AN85">IFERROR( MEDIAN((IF(DATOS_[[Sexo]:[Sexo]]=$B85,IF(DATOS_[[AGRUP. CLAS. PROF.]:[AGRUP. CLAS. PROF.]]=$B84,IF(DATOS_[[Check Periodo Ref.]:[Check Periodo Ref.]]="Dentro",DATOS_[C.Extra.03]))))), 0)</f>
        <v>0</v>
      </c>
      <c r="AO85" s="259" t="n">
        <f aca="false" t="array" ref="AO85:AO85">IFERROR( MEDIAN((IF(DATOS_[[Sexo]:[Sexo]]=$B85,IF(DATOS_[[AGRUP. CLAS. PROF.]:[AGRUP. CLAS. PROF.]]=$B84,IF(DATOS_[[Check Periodo Ref.]:[Check Periodo Ref.]]="Dentro",DATOS_[C.Extra.04]))))), 0)</f>
        <v>0</v>
      </c>
      <c r="AP85" s="259" t="n">
        <f aca="false" t="array" ref="AP85:AP85">IFERROR( MEDIAN((IF(DATOS_[[Sexo]:[Sexo]]=$B85,IF(DATOS_[[AGRUP. CLAS. PROF.]:[AGRUP. CLAS. PROF.]]=$B84,IF(DATOS_[[Check Periodo Ref.]:[Check Periodo Ref.]]="Dentro",DATOS_[C.Extra.05]))))), 0)</f>
        <v>0</v>
      </c>
      <c r="AQ85" s="254" t="n">
        <f aca="false" t="array" ref="AQ85:AQ85">IFERROR( MEDIAN(IF(DATOS_[Sexo]=$B85,IF(DATOS_[AGRUP. CLAS. PROF.]=$B84,IF(DATOS_[Check Periodo Ref.]="Dentro",DATOS_[Tot Extrasalarial Ef],0)))), 0)</f>
        <v>0</v>
      </c>
      <c r="AR85" s="255" t="n">
        <f aca="false" t="array" ref="AR85:AR85">IFERROR( MEDIAN(IF(DATOS_[Sexo]=$B85,IF(DATOS_[AGRUP. CLAS. PROF.]=$B84,IF(DATOS_[Check Periodo Ref.]="Dentro",DATOS_[TOTAL Retrib Ef],0)))), 0)</f>
        <v>0</v>
      </c>
    </row>
    <row r="86" customFormat="false" ht="14.25" hidden="false" customHeight="false" outlineLevel="0" collapsed="false">
      <c r="A86" s="217" t="str">
        <f aca="false">+A85</f>
        <v>[ocultar]</v>
      </c>
      <c r="B86" s="246" t="s">
        <v>372</v>
      </c>
      <c r="C86" s="247" t="n">
        <f aca="false" t="array" ref="C86:C86">SUM(IF($B86=DATOS_[Sexo], IF($B84=DATOS_[AGRUP. CLAS. PROF.], IF("Dentro"=DATOS_[Check Periodo Ref.], 1/(COUNTIFS(DATOS_[Sexo],$B86,DATOS_[AGRUP. CLAS. PROF.],$B84,DATOS_[Check Periodo Ref.],"Dentro",DATOS_[id],DATOS_[id]))))))</f>
        <v>0</v>
      </c>
      <c r="D86" s="248" t="n">
        <f aca="false">COUNTIFS(DATOS_[AGRUP. CLAS. PROF.],$B84,DATOS_[Sexo],$B86,DATOS_[Check Periodo Ref.],"Dentro")</f>
        <v>0</v>
      </c>
      <c r="E86" s="249" t="n">
        <f aca="false" t="array" ref="E86:E86">IFERROR( MEDIAN(IF(DATOS_[Sexo]=$B86,IF(DATOS_[AGRUP. CLAS. PROF.]=$B84,IF(DATOS_[Check Periodo Ref.]="Dentro",DATOS_[SALARIO BASE Ef],0)))), 0)</f>
        <v>0</v>
      </c>
      <c r="F86" s="250" t="n">
        <f aca="false" t="array" ref="F86:F86">IFERROR( MEDIAN((IF(DATOS_[[Sexo]:[Sexo]]=$B86,IF(DATOS_[[AGRUP. CLAS. PROF.]:[AGRUP. CLAS. PROF.]]=$B84,IF(DATOS_[[Check Periodo Ref.]:[Check Periodo Ref.]]="Dentro",DATOS_[Conc.Sal.01]))))), 0)</f>
        <v>0</v>
      </c>
      <c r="G86" s="250" t="n">
        <f aca="false" t="array" ref="G86:G86">IFERROR( MEDIAN((IF(DATOS_[[Sexo]:[Sexo]]=$B86,IF(DATOS_[[AGRUP. CLAS. PROF.]:[AGRUP. CLAS. PROF.]]=$B84,IF(DATOS_[[Check Periodo Ref.]:[Check Periodo Ref.]]="Dentro",DATOS_[Conc.Sal.02]))))), 0)</f>
        <v>0</v>
      </c>
      <c r="H86" s="250" t="n">
        <f aca="false" t="array" ref="H86:H86">IFERROR( MEDIAN((IF(DATOS_[[Sexo]:[Sexo]]=$B86,IF(DATOS_[[AGRUP. CLAS. PROF.]:[AGRUP. CLAS. PROF.]]=$B84,IF(DATOS_[[Check Periodo Ref.]:[Check Periodo Ref.]]="Dentro",DATOS_[Conc.Sal.03]))))), 0)</f>
        <v>0</v>
      </c>
      <c r="I86" s="250" t="n">
        <f aca="false" t="array" ref="I86:I86">IFERROR( MEDIAN((IF(DATOS_[[Sexo]:[Sexo]]=$B86,IF(DATOS_[[AGRUP. CLAS. PROF.]:[AGRUP. CLAS. PROF.]]=$B84,IF(DATOS_[[Check Periodo Ref.]:[Check Periodo Ref.]]="Dentro",DATOS_[Conc.Sal.04]))))), 0)</f>
        <v>0</v>
      </c>
      <c r="J86" s="250" t="n">
        <f aca="false" t="array" ref="J86:J86">IFERROR( MEDIAN((IF(DATOS_[[Sexo]:[Sexo]]=$B86,IF(DATOS_[[AGRUP. CLAS. PROF.]:[AGRUP. CLAS. PROF.]]=$B84,IF(DATOS_[[Check Periodo Ref.]:[Check Periodo Ref.]]="Dentro",DATOS_[Conc.Sal.05]))))), 0)</f>
        <v>0</v>
      </c>
      <c r="K86" s="250" t="n">
        <f aca="false" t="array" ref="K86:K86">IFERROR( MEDIAN((IF(DATOS_[[Sexo]:[Sexo]]=$B86,IF(DATOS_[[AGRUP. CLAS. PROF.]:[AGRUP. CLAS. PROF.]]=$B84,IF(DATOS_[[Check Periodo Ref.]:[Check Periodo Ref.]]="Dentro",DATOS_[Conc.Sal.06]))))), 0)</f>
        <v>0</v>
      </c>
      <c r="L86" s="250" t="n">
        <f aca="false" t="array" ref="L86:L86">IFERROR( MEDIAN((IF(DATOS_[[Sexo]:[Sexo]]=$B86,IF(DATOS_[[AGRUP. CLAS. PROF.]:[AGRUP. CLAS. PROF.]]=$B84,IF(DATOS_[[Check Periodo Ref.]:[Check Periodo Ref.]]="Dentro",DATOS_[Conc.Sal.07]))))), 0)</f>
        <v>0</v>
      </c>
      <c r="M86" s="250" t="n">
        <f aca="false" t="array" ref="M86:M86">IFERROR( MEDIAN((IF(DATOS_[[Sexo]:[Sexo]]=$B86,IF(DATOS_[[AGRUP. CLAS. PROF.]:[AGRUP. CLAS. PROF.]]=$B84,IF(DATOS_[[Check Periodo Ref.]:[Check Periodo Ref.]]="Dentro",DATOS_[Conc.Sal.08]))))), 0)</f>
        <v>0</v>
      </c>
      <c r="N86" s="250" t="n">
        <f aca="false" t="array" ref="N86:N86">IFERROR( MEDIAN((IF(DATOS_[[Sexo]:[Sexo]]=$B86,IF(DATOS_[[AGRUP. CLAS. PROF.]:[AGRUP. CLAS. PROF.]]=$B84,IF(DATOS_[[Check Periodo Ref.]:[Check Periodo Ref.]]="Dentro",DATOS_[Conc.Sal.09]))))), 0)</f>
        <v>0</v>
      </c>
      <c r="O86" s="250" t="n">
        <f aca="false" t="array" ref="O86:O86">IFERROR( MEDIAN((IF(DATOS_[[Sexo]:[Sexo]]=$B86,IF(DATOS_[[AGRUP. CLAS. PROF.]:[AGRUP. CLAS. PROF.]]=$B84,IF(DATOS_[[Check Periodo Ref.]:[Check Periodo Ref.]]="Dentro",DATOS_[Conc.Sal.10]))))), 0)</f>
        <v>0</v>
      </c>
      <c r="P86" s="250" t="n">
        <f aca="false" t="array" ref="P86:P86">IFERROR( MEDIAN((IF(DATOS_[[Sexo]:[Sexo]]=$B86,IF(DATOS_[[AGRUP. CLAS. PROF.]:[AGRUP. CLAS. PROF.]]=$B84,IF(DATOS_[[Check Periodo Ref.]:[Check Periodo Ref.]]="Dentro",DATOS_[Conc.Sal.11]))))), 0)</f>
        <v>0</v>
      </c>
      <c r="Q86" s="250" t="n">
        <f aca="false" t="array" ref="Q86:Q86">IFERROR( MEDIAN((IF(DATOS_[[Sexo]:[Sexo]]=$B86,IF(DATOS_[[AGRUP. CLAS. PROF.]:[AGRUP. CLAS. PROF.]]=$B84,IF(DATOS_[[Check Periodo Ref.]:[Check Periodo Ref.]]="Dentro",DATOS_[Conc.Sal.12]))))), 0)</f>
        <v>0</v>
      </c>
      <c r="R86" s="250" t="n">
        <f aca="false" t="array" ref="R86:R86">IFERROR( MEDIAN((IF(DATOS_[[Sexo]:[Sexo]]=$B86,IF(DATOS_[[AGRUP. CLAS. PROF.]:[AGRUP. CLAS. PROF.]]=$B84,IF(DATOS_[[Check Periodo Ref.]:[Check Periodo Ref.]]="Dentro",DATOS_[Conc.Sal.13]))))), 0)</f>
        <v>0</v>
      </c>
      <c r="S86" s="250" t="n">
        <f aca="false" t="array" ref="S86:S86">IFERROR( MEDIAN((IF(DATOS_[[Sexo]:[Sexo]]=$B86,IF(DATOS_[[AGRUP. CLAS. PROF.]:[AGRUP. CLAS. PROF.]]=$B84,IF(DATOS_[[Check Periodo Ref.]:[Check Periodo Ref.]]="Dentro",DATOS_[Conc.Sal.14]))))), 0)</f>
        <v>0</v>
      </c>
      <c r="T86" s="250" t="n">
        <f aca="false" t="array" ref="T86:T86">IFERROR( MEDIAN((IF(DATOS_[[Sexo]:[Sexo]]=$B86,IF(DATOS_[[AGRUP. CLAS. PROF.]:[AGRUP. CLAS. PROF.]]=$B84,IF(DATOS_[[Check Periodo Ref.]:[Check Periodo Ref.]]="Dentro",DATOS_[Conc.Sal.15]))))), 0)</f>
        <v>0</v>
      </c>
      <c r="U86" s="250" t="n">
        <f aca="false" t="array" ref="U86:U86">IFERROR( MEDIAN((IF(DATOS_[[Sexo]:[Sexo]]=$B86,IF(DATOS_[[AGRUP. CLAS. PROF.]:[AGRUP. CLAS. PROF.]]=$B84,IF(DATOS_[[Check Periodo Ref.]:[Check Periodo Ref.]]="Dentro",DATOS_[Conc.Sal.16]))))), 0)</f>
        <v>0</v>
      </c>
      <c r="V86" s="250" t="n">
        <f aca="false" t="array" ref="V86:V86">IFERROR( MEDIAN((IF(DATOS_[[Sexo]:[Sexo]]=$B86,IF(DATOS_[[AGRUP. CLAS. PROF.]:[AGRUP. CLAS. PROF.]]=$B84,IF(DATOS_[[Check Periodo Ref.]:[Check Periodo Ref.]]="Dentro",DATOS_[Conc.Sal.17]))))), 0)</f>
        <v>0</v>
      </c>
      <c r="W86" s="250" t="n">
        <f aca="false" t="array" ref="W86:W86">IFERROR( MEDIAN((IF(DATOS_[[Sexo]:[Sexo]]=$B86,IF(DATOS_[[AGRUP. CLAS. PROF.]:[AGRUP. CLAS. PROF.]]=$B84,IF(DATOS_[[Check Periodo Ref.]:[Check Periodo Ref.]]="Dentro",DATOS_[Conc.Sal.18]))))), 0)</f>
        <v>0</v>
      </c>
      <c r="X86" s="250" t="n">
        <f aca="false" t="array" ref="X86:X86">IFERROR( MEDIAN((IF(DATOS_[[Sexo]:[Sexo]]=$B86,IF(DATOS_[[AGRUP. CLAS. PROF.]:[AGRUP. CLAS. PROF.]]=$B84,IF(DATOS_[[Check Periodo Ref.]:[Check Periodo Ref.]]="Dentro",DATOS_[Conc.Sal.19]))))), 0)</f>
        <v>0</v>
      </c>
      <c r="Y86" s="250" t="n">
        <f aca="false" t="array" ref="Y86:Y86">IFERROR( MEDIAN((IF(DATOS_[[Sexo]:[Sexo]]=$B86,IF(DATOS_[[AGRUP. CLAS. PROF.]:[AGRUP. CLAS. PROF.]]=$B84,IF(DATOS_[[Check Periodo Ref.]:[Check Periodo Ref.]]="Dentro",DATOS_[Conc.Sal.20]))))), 0)</f>
        <v>0</v>
      </c>
      <c r="Z86" s="250" t="n">
        <f aca="false" t="array" ref="Z86:Z86">IFERROR( MEDIAN((IF(DATOS_[[Sexo]:[Sexo]]=$B86,IF(DATOS_[[AGRUP. CLAS. PROF.]:[AGRUP. CLAS. PROF.]]=$B84,IF(DATOS_[[Check Periodo Ref.]:[Check Periodo Ref.]]="Dentro",DATOS_[Conc.Sal.21]))))), 0)</f>
        <v>0</v>
      </c>
      <c r="AA86" s="250" t="n">
        <f aca="false" t="array" ref="AA86:AA86">IFERROR( MEDIAN((IF(DATOS_[[Sexo]:[Sexo]]=$B86,IF(DATOS_[[AGRUP. CLAS. PROF.]:[AGRUP. CLAS. PROF.]]=$B84,IF(DATOS_[[Check Periodo Ref.]:[Check Periodo Ref.]]="Dentro",DATOS_[Conc.Sal.22]))))), 0)</f>
        <v>0</v>
      </c>
      <c r="AB86" s="250" t="n">
        <f aca="false" t="array" ref="AB86:AB86">IFERROR( MEDIAN((IF(DATOS_[[Sexo]:[Sexo]]=$B86,IF(DATOS_[[AGRUP. CLAS. PROF.]:[AGRUP. CLAS. PROF.]]=$B84,IF(DATOS_[[Check Periodo Ref.]:[Check Periodo Ref.]]="Dentro",DATOS_[Conc.Sal.23]))))), 0)</f>
        <v>0</v>
      </c>
      <c r="AC86" s="250" t="n">
        <f aca="false" t="array" ref="AC86:AC86">IFERROR( MEDIAN((IF(DATOS_[[Sexo]:[Sexo]]=$B86,IF(DATOS_[[AGRUP. CLAS. PROF.]:[AGRUP. CLAS. PROF.]]=$B84,IF(DATOS_[[Check Periodo Ref.]:[Check Periodo Ref.]]="Dentro",DATOS_[Conc.Sal.24]))))), 0)</f>
        <v>0</v>
      </c>
      <c r="AD86" s="250" t="n">
        <f aca="false" t="array" ref="AD86:AD86">IFERROR( MEDIAN((IF(DATOS_[[Sexo]:[Sexo]]=$B86,IF(DATOS_[[AGRUP. CLAS. PROF.]:[AGRUP. CLAS. PROF.]]=$B84,IF(DATOS_[[Check Periodo Ref.]:[Check Periodo Ref.]]="Dentro",DATOS_[Conc.Sal.25]))))), 0)</f>
        <v>0</v>
      </c>
      <c r="AE86" s="250" t="n">
        <f aca="false" t="array" ref="AE86:AE86">IFERROR( MEDIAN((IF(DATOS_[[Sexo]:[Sexo]]=$B86,IF(DATOS_[[AGRUP. CLAS. PROF.]:[AGRUP. CLAS. PROF.]]=$B84,IF(DATOS_[[Check Periodo Ref.]:[Check Periodo Ref.]]="Dentro",DATOS_[Conc.Sal.26]))))), 0)</f>
        <v>0</v>
      </c>
      <c r="AF86" s="250" t="n">
        <f aca="false" t="array" ref="AF86:AF86">IFERROR( MEDIAN((IF(DATOS_[[Sexo]:[Sexo]]=$B86,IF(DATOS_[[AGRUP. CLAS. PROF.]:[AGRUP. CLAS. PROF.]]=$B84,IF(DATOS_[[Check Periodo Ref.]:[Check Periodo Ref.]]="Dentro",DATOS_[Conc.Sal.27]))))), 0)</f>
        <v>0</v>
      </c>
      <c r="AG86" s="250" t="n">
        <f aca="false" t="array" ref="AG86:AG86">IFERROR( MEDIAN((IF(DATOS_[[Sexo]:[Sexo]]=$B86,IF(DATOS_[[AGRUP. CLAS. PROF.]:[AGRUP. CLAS. PROF.]]=$B84,IF(DATOS_[[Check Periodo Ref.]:[Check Periodo Ref.]]="Dentro",DATOS_[Conc.Sal.28]))))), 0)</f>
        <v>0</v>
      </c>
      <c r="AH86" s="250" t="n">
        <f aca="false" t="array" ref="AH86:AH86">IFERROR( MEDIAN((IF(DATOS_[[Sexo]:[Sexo]]=$B86,IF(DATOS_[[AGRUP. CLAS. PROF.]:[AGRUP. CLAS. PROF.]]=$B84,IF(DATOS_[[Check Periodo Ref.]:[Check Periodo Ref.]]="Dentro",DATOS_[Conc.Sal.29]))))), 0)</f>
        <v>0</v>
      </c>
      <c r="AI86" s="250" t="n">
        <f aca="false" t="array" ref="AI86:AI86">IFERROR( MEDIAN((IF(DATOS_[[Sexo]:[Sexo]]=$B86,IF(DATOS_[[AGRUP. CLAS. PROF.]:[AGRUP. CLAS. PROF.]]=$B84,IF(DATOS_[[Check Periodo Ref.]:[Check Periodo Ref.]]="Dentro",DATOS_[Conc.Sal.30]))))), 0)</f>
        <v>0</v>
      </c>
      <c r="AJ86" s="251" t="n">
        <f aca="false" t="array" ref="AJ86:AJ86">IFERROR( MEDIAN(IF(DATOS_[Sexo]=$B86,IF(DATOS_[AGRUP. CLAS. PROF.]=$B84,IF(DATOS_[Check Periodo Ref.]="Dentro",DATOS_[Tot COMPL.SAL Ef],0)))), 0)</f>
        <v>0</v>
      </c>
      <c r="AK86" s="252" t="n">
        <f aca="false" t="array" ref="AK86:AK86">IFERROR( MEDIAN(IF(DATOS_[Sexo]=$B86,IF(DATOS_[AGRUP. CLAS. PROF.]=$B84,IF(DATOS_[Check Periodo Ref.]="Dentro",DATOS_[TOTAL SALARIO Ef],0)))), 0)</f>
        <v>0</v>
      </c>
      <c r="AL86" s="259" t="n">
        <f aca="false" t="array" ref="AL86:AL86">IFERROR( MEDIAN((IF(DATOS_[[Sexo]:[Sexo]]=$B86,IF(DATOS_[[AGRUP. CLAS. PROF.]:[AGRUP. CLAS. PROF.]]=$B84,IF(DATOS_[[Check Periodo Ref.]:[Check Periodo Ref.]]="Dentro",DATOS_[C.Extra.01]))))), 0)</f>
        <v>0</v>
      </c>
      <c r="AM86" s="259" t="n">
        <f aca="false" t="array" ref="AM86:AM86">IFERROR( MEDIAN((IF(DATOS_[[Sexo]:[Sexo]]=$B86,IF(DATOS_[[AGRUP. CLAS. PROF.]:[AGRUP. CLAS. PROF.]]=$B84,IF(DATOS_[[Check Periodo Ref.]:[Check Periodo Ref.]]="Dentro",DATOS_[C.Extra.02]))))), 0)</f>
        <v>0</v>
      </c>
      <c r="AN86" s="259" t="n">
        <f aca="false" t="array" ref="AN86:AN86">IFERROR( MEDIAN((IF(DATOS_[[Sexo]:[Sexo]]=$B86,IF(DATOS_[[AGRUP. CLAS. PROF.]:[AGRUP. CLAS. PROF.]]=$B84,IF(DATOS_[[Check Periodo Ref.]:[Check Periodo Ref.]]="Dentro",DATOS_[C.Extra.03]))))), 0)</f>
        <v>0</v>
      </c>
      <c r="AO86" s="259" t="n">
        <f aca="false" t="array" ref="AO86:AO86">IFERROR( MEDIAN((IF(DATOS_[[Sexo]:[Sexo]]=$B86,IF(DATOS_[[AGRUP. CLAS. PROF.]:[AGRUP. CLAS. PROF.]]=$B84,IF(DATOS_[[Check Periodo Ref.]:[Check Periodo Ref.]]="Dentro",DATOS_[C.Extra.04]))))), 0)</f>
        <v>0</v>
      </c>
      <c r="AP86" s="259" t="n">
        <f aca="false" t="array" ref="AP86:AP86">IFERROR( MEDIAN((IF(DATOS_[[Sexo]:[Sexo]]=$B86,IF(DATOS_[[AGRUP. CLAS. PROF.]:[AGRUP. CLAS. PROF.]]=$B84,IF(DATOS_[[Check Periodo Ref.]:[Check Periodo Ref.]]="Dentro",DATOS_[C.Extra.05]))))), 0)</f>
        <v>0</v>
      </c>
      <c r="AQ86" s="254" t="n">
        <f aca="false" t="array" ref="AQ86:AQ86">IFERROR( MEDIAN(IF(DATOS_[Sexo]=$B86,IF(DATOS_[AGRUP. CLAS. PROF.]=$B84,IF(DATOS_[Check Periodo Ref.]="Dentro",DATOS_[Tot Extrasalarial Ef],0)))), 0)</f>
        <v>0</v>
      </c>
      <c r="AR86" s="255" t="n">
        <f aca="false" t="array" ref="AR86:AR86">IFERROR( MEDIAN(IF(DATOS_[Sexo]=$B86,IF(DATOS_[AGRUP. CLAS. PROF.]=$B84,IF(DATOS_[Check Periodo Ref.]="Dentro",DATOS_[TOTAL Retrib Ef],0)))), 0)</f>
        <v>0</v>
      </c>
    </row>
    <row r="87" customFormat="false" ht="15.75" hidden="false" customHeight="false" outlineLevel="0" collapsed="false">
      <c r="A87" s="217" t="str">
        <f aca="false">+A88</f>
        <v>[ocultar]</v>
      </c>
      <c r="B87" s="235" t="s">
        <v>240</v>
      </c>
      <c r="C87" s="236"/>
      <c r="D87" s="237"/>
      <c r="E87" s="238" t="str">
        <f aca="false">IFERROR((E88-E89)/E88,"")</f>
        <v/>
      </c>
      <c r="F87" s="239" t="str">
        <f aca="false">IFERROR((F88-F89)/F88,"")</f>
        <v/>
      </c>
      <c r="G87" s="239" t="str">
        <f aca="false">IFERROR((G88-G89)/G88,"")</f>
        <v/>
      </c>
      <c r="H87" s="239" t="str">
        <f aca="false">IFERROR((H88-H89)/H88,"")</f>
        <v/>
      </c>
      <c r="I87" s="239"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40" t="str">
        <f aca="false">IFERROR((V88-V89)/V88,"")</f>
        <v/>
      </c>
      <c r="W87" s="240" t="str">
        <f aca="false">IFERROR((W88-W89)/W88,"")</f>
        <v/>
      </c>
      <c r="X87" s="240" t="str">
        <f aca="false">IFERROR((X88-X89)/X88,"")</f>
        <v/>
      </c>
      <c r="Y87" s="240"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1" t="str">
        <f aca="false">IFERROR((AJ88-AJ89)/AJ88,"")</f>
        <v/>
      </c>
      <c r="AK87" s="242" t="str">
        <f aca="false">IFERROR((AK88-AK89)/AK88,"")</f>
        <v/>
      </c>
      <c r="AL87" s="243" t="str">
        <f aca="false">IFERROR((AL88-AL89)/AL88,"")</f>
        <v/>
      </c>
      <c r="AM87" s="243" t="str">
        <f aca="false">IFERROR((AM88-AM89)/AM88,"")</f>
        <v/>
      </c>
      <c r="AN87" s="243" t="str">
        <f aca="false">IFERROR((AN88-AN89)/AN88,"")</f>
        <v/>
      </c>
      <c r="AO87" s="243" t="str">
        <f aca="false">IFERROR((AO88-AO89)/AO88,"")</f>
        <v/>
      </c>
      <c r="AP87" s="243" t="str">
        <f aca="false">IFERROR((AP88-AP89)/AP88,"")</f>
        <v/>
      </c>
      <c r="AQ87" s="244" t="str">
        <f aca="false">IFERROR((AQ88-AQ89)/AQ88,"")</f>
        <v/>
      </c>
      <c r="AR87" s="245" t="str">
        <f aca="false">IFERROR((AR88-AR89)/AR88,"")</f>
        <v/>
      </c>
    </row>
    <row r="88" customFormat="false" ht="14.25" hidden="false" customHeight="false" outlineLevel="0" collapsed="false">
      <c r="A88" s="217" t="str">
        <f aca="false">+IF(C88+C89=0,"[ocultar]","")</f>
        <v>[ocultar]</v>
      </c>
      <c r="B88" s="246" t="s">
        <v>371</v>
      </c>
      <c r="C88" s="247" t="n">
        <f aca="false" t="array" ref="C88:C88">SUM(IF($B88=DATOS_[Sexo], IF($B87=DATOS_[AGRUP. CLAS. PROF.], IF("Dentro"=DATOS_[Check Periodo Ref.], 1/(COUNTIFS(DATOS_[Sexo],$B88,DATOS_[AGRUP. CLAS. PROF.],$B87,DATOS_[Check Periodo Ref.],"Dentro",DATOS_[id],DATOS_[id]))))))</f>
        <v>0</v>
      </c>
      <c r="D88" s="248" t="n">
        <f aca="false">COUNTIFS(DATOS_[AGRUP. CLAS. PROF.],$B87,DATOS_[Sexo],$B88,DATOS_[Check Periodo Ref.],"Dentro")</f>
        <v>0</v>
      </c>
      <c r="E88" s="249" t="n">
        <f aca="false" t="array" ref="E88:E88">IFERROR( MEDIAN(IF(DATOS_[Sexo]=$B88,IF(DATOS_[AGRUP. CLAS. PROF.]=$B87,IF(DATOS_[Check Periodo Ref.]="Dentro",DATOS_[SALARIO BASE Ef],0)))), 0)</f>
        <v>0</v>
      </c>
      <c r="F88" s="250" t="n">
        <f aca="false" t="array" ref="F88:F88">IFERROR( MEDIAN((IF(DATOS_[[Sexo]:[Sexo]]=$B88,IF(DATOS_[[AGRUP. CLAS. PROF.]:[AGRUP. CLAS. PROF.]]=$B87,IF(DATOS_[[Check Periodo Ref.]:[Check Periodo Ref.]]="Dentro",DATOS_[Conc.Sal.01]))))), 0)</f>
        <v>0</v>
      </c>
      <c r="G88" s="250" t="n">
        <f aca="false" t="array" ref="G88:G88">IFERROR( MEDIAN((IF(DATOS_[[Sexo]:[Sexo]]=$B88,IF(DATOS_[[AGRUP. CLAS. PROF.]:[AGRUP. CLAS. PROF.]]=$B87,IF(DATOS_[[Check Periodo Ref.]:[Check Periodo Ref.]]="Dentro",DATOS_[Conc.Sal.02]))))), 0)</f>
        <v>0</v>
      </c>
      <c r="H88" s="250" t="n">
        <f aca="false" t="array" ref="H88:H88">IFERROR( MEDIAN((IF(DATOS_[[Sexo]:[Sexo]]=$B88,IF(DATOS_[[AGRUP. CLAS. PROF.]:[AGRUP. CLAS. PROF.]]=$B87,IF(DATOS_[[Check Periodo Ref.]:[Check Periodo Ref.]]="Dentro",DATOS_[Conc.Sal.03]))))), 0)</f>
        <v>0</v>
      </c>
      <c r="I88" s="250" t="n">
        <f aca="false" t="array" ref="I88:I88">IFERROR( MEDIAN((IF(DATOS_[[Sexo]:[Sexo]]=$B88,IF(DATOS_[[AGRUP. CLAS. PROF.]:[AGRUP. CLAS. PROF.]]=$B87,IF(DATOS_[[Check Periodo Ref.]:[Check Periodo Ref.]]="Dentro",DATOS_[Conc.Sal.04]))))), 0)</f>
        <v>0</v>
      </c>
      <c r="J88" s="250" t="n">
        <f aca="false" t="array" ref="J88:J88">IFERROR( MEDIAN((IF(DATOS_[[Sexo]:[Sexo]]=$B88,IF(DATOS_[[AGRUP. CLAS. PROF.]:[AGRUP. CLAS. PROF.]]=$B87,IF(DATOS_[[Check Periodo Ref.]:[Check Periodo Ref.]]="Dentro",DATOS_[Conc.Sal.05]))))), 0)</f>
        <v>0</v>
      </c>
      <c r="K88" s="250" t="n">
        <f aca="false" t="array" ref="K88:K88">IFERROR( MEDIAN((IF(DATOS_[[Sexo]:[Sexo]]=$B88,IF(DATOS_[[AGRUP. CLAS. PROF.]:[AGRUP. CLAS. PROF.]]=$B87,IF(DATOS_[[Check Periodo Ref.]:[Check Periodo Ref.]]="Dentro",DATOS_[Conc.Sal.06]))))), 0)</f>
        <v>0</v>
      </c>
      <c r="L88" s="250" t="n">
        <f aca="false" t="array" ref="L88:L88">IFERROR( MEDIAN((IF(DATOS_[[Sexo]:[Sexo]]=$B88,IF(DATOS_[[AGRUP. CLAS. PROF.]:[AGRUP. CLAS. PROF.]]=$B87,IF(DATOS_[[Check Periodo Ref.]:[Check Periodo Ref.]]="Dentro",DATOS_[Conc.Sal.07]))))), 0)</f>
        <v>0</v>
      </c>
      <c r="M88" s="250" t="n">
        <f aca="false" t="array" ref="M88:M88">IFERROR( MEDIAN((IF(DATOS_[[Sexo]:[Sexo]]=$B88,IF(DATOS_[[AGRUP. CLAS. PROF.]:[AGRUP. CLAS. PROF.]]=$B87,IF(DATOS_[[Check Periodo Ref.]:[Check Periodo Ref.]]="Dentro",DATOS_[Conc.Sal.08]))))), 0)</f>
        <v>0</v>
      </c>
      <c r="N88" s="250" t="n">
        <f aca="false" t="array" ref="N88:N88">IFERROR( MEDIAN((IF(DATOS_[[Sexo]:[Sexo]]=$B88,IF(DATOS_[[AGRUP. CLAS. PROF.]:[AGRUP. CLAS. PROF.]]=$B87,IF(DATOS_[[Check Periodo Ref.]:[Check Periodo Ref.]]="Dentro",DATOS_[Conc.Sal.09]))))), 0)</f>
        <v>0</v>
      </c>
      <c r="O88" s="250" t="n">
        <f aca="false" t="array" ref="O88:O88">IFERROR( MEDIAN((IF(DATOS_[[Sexo]:[Sexo]]=$B88,IF(DATOS_[[AGRUP. CLAS. PROF.]:[AGRUP. CLAS. PROF.]]=$B87,IF(DATOS_[[Check Periodo Ref.]:[Check Periodo Ref.]]="Dentro",DATOS_[Conc.Sal.10]))))), 0)</f>
        <v>0</v>
      </c>
      <c r="P88" s="250" t="n">
        <f aca="false" t="array" ref="P88:P88">IFERROR( MEDIAN((IF(DATOS_[[Sexo]:[Sexo]]=$B88,IF(DATOS_[[AGRUP. CLAS. PROF.]:[AGRUP. CLAS. PROF.]]=$B87,IF(DATOS_[[Check Periodo Ref.]:[Check Periodo Ref.]]="Dentro",DATOS_[Conc.Sal.11]))))), 0)</f>
        <v>0</v>
      </c>
      <c r="Q88" s="250" t="n">
        <f aca="false" t="array" ref="Q88:Q88">IFERROR( MEDIAN((IF(DATOS_[[Sexo]:[Sexo]]=$B88,IF(DATOS_[[AGRUP. CLAS. PROF.]:[AGRUP. CLAS. PROF.]]=$B87,IF(DATOS_[[Check Periodo Ref.]:[Check Periodo Ref.]]="Dentro",DATOS_[Conc.Sal.12]))))), 0)</f>
        <v>0</v>
      </c>
      <c r="R88" s="250" t="n">
        <f aca="false" t="array" ref="R88:R88">IFERROR( MEDIAN((IF(DATOS_[[Sexo]:[Sexo]]=$B88,IF(DATOS_[[AGRUP. CLAS. PROF.]:[AGRUP. CLAS. PROF.]]=$B87,IF(DATOS_[[Check Periodo Ref.]:[Check Periodo Ref.]]="Dentro",DATOS_[Conc.Sal.13]))))), 0)</f>
        <v>0</v>
      </c>
      <c r="S88" s="250" t="n">
        <f aca="false" t="array" ref="S88:S88">IFERROR( MEDIAN((IF(DATOS_[[Sexo]:[Sexo]]=$B88,IF(DATOS_[[AGRUP. CLAS. PROF.]:[AGRUP. CLAS. PROF.]]=$B87,IF(DATOS_[[Check Periodo Ref.]:[Check Periodo Ref.]]="Dentro",DATOS_[Conc.Sal.14]))))), 0)</f>
        <v>0</v>
      </c>
      <c r="T88" s="250" t="n">
        <f aca="false" t="array" ref="T88:T88">IFERROR( MEDIAN((IF(DATOS_[[Sexo]:[Sexo]]=$B88,IF(DATOS_[[AGRUP. CLAS. PROF.]:[AGRUP. CLAS. PROF.]]=$B87,IF(DATOS_[[Check Periodo Ref.]:[Check Periodo Ref.]]="Dentro",DATOS_[Conc.Sal.15]))))), 0)</f>
        <v>0</v>
      </c>
      <c r="U88" s="250" t="n">
        <f aca="false" t="array" ref="U88:U88">IFERROR( MEDIAN((IF(DATOS_[[Sexo]:[Sexo]]=$B88,IF(DATOS_[[AGRUP. CLAS. PROF.]:[AGRUP. CLAS. PROF.]]=$B87,IF(DATOS_[[Check Periodo Ref.]:[Check Periodo Ref.]]="Dentro",DATOS_[Conc.Sal.16]))))), 0)</f>
        <v>0</v>
      </c>
      <c r="V88" s="250" t="n">
        <f aca="false" t="array" ref="V88:V88">IFERROR( MEDIAN((IF(DATOS_[[Sexo]:[Sexo]]=$B88,IF(DATOS_[[AGRUP. CLAS. PROF.]:[AGRUP. CLAS. PROF.]]=$B87,IF(DATOS_[[Check Periodo Ref.]:[Check Periodo Ref.]]="Dentro",DATOS_[Conc.Sal.17]))))), 0)</f>
        <v>0</v>
      </c>
      <c r="W88" s="250" t="n">
        <f aca="false" t="array" ref="W88:W88">IFERROR( MEDIAN((IF(DATOS_[[Sexo]:[Sexo]]=$B88,IF(DATOS_[[AGRUP. CLAS. PROF.]:[AGRUP. CLAS. PROF.]]=$B87,IF(DATOS_[[Check Periodo Ref.]:[Check Periodo Ref.]]="Dentro",DATOS_[Conc.Sal.18]))))), 0)</f>
        <v>0</v>
      </c>
      <c r="X88" s="250" t="n">
        <f aca="false" t="array" ref="X88:X88">IFERROR( MEDIAN((IF(DATOS_[[Sexo]:[Sexo]]=$B88,IF(DATOS_[[AGRUP. CLAS. PROF.]:[AGRUP. CLAS. PROF.]]=$B87,IF(DATOS_[[Check Periodo Ref.]:[Check Periodo Ref.]]="Dentro",DATOS_[Conc.Sal.19]))))), 0)</f>
        <v>0</v>
      </c>
      <c r="Y88" s="250" t="n">
        <f aca="false" t="array" ref="Y88:Y88">IFERROR( MEDIAN((IF(DATOS_[[Sexo]:[Sexo]]=$B88,IF(DATOS_[[AGRUP. CLAS. PROF.]:[AGRUP. CLAS. PROF.]]=$B87,IF(DATOS_[[Check Periodo Ref.]:[Check Periodo Ref.]]="Dentro",DATOS_[Conc.Sal.20]))))), 0)</f>
        <v>0</v>
      </c>
      <c r="Z88" s="250" t="n">
        <f aca="false" t="array" ref="Z88:Z88">IFERROR( MEDIAN((IF(DATOS_[[Sexo]:[Sexo]]=$B88,IF(DATOS_[[AGRUP. CLAS. PROF.]:[AGRUP. CLAS. PROF.]]=$B87,IF(DATOS_[[Check Periodo Ref.]:[Check Periodo Ref.]]="Dentro",DATOS_[Conc.Sal.21]))))), 0)</f>
        <v>0</v>
      </c>
      <c r="AA88" s="250" t="n">
        <f aca="false" t="array" ref="AA88:AA88">IFERROR( MEDIAN((IF(DATOS_[[Sexo]:[Sexo]]=$B88,IF(DATOS_[[AGRUP. CLAS. PROF.]:[AGRUP. CLAS. PROF.]]=$B87,IF(DATOS_[[Check Periodo Ref.]:[Check Periodo Ref.]]="Dentro",DATOS_[Conc.Sal.22]))))), 0)</f>
        <v>0</v>
      </c>
      <c r="AB88" s="250" t="n">
        <f aca="false" t="array" ref="AB88:AB88">IFERROR( MEDIAN((IF(DATOS_[[Sexo]:[Sexo]]=$B88,IF(DATOS_[[AGRUP. CLAS. PROF.]:[AGRUP. CLAS. PROF.]]=$B87,IF(DATOS_[[Check Periodo Ref.]:[Check Periodo Ref.]]="Dentro",DATOS_[Conc.Sal.23]))))), 0)</f>
        <v>0</v>
      </c>
      <c r="AC88" s="250" t="n">
        <f aca="false" t="array" ref="AC88:AC88">IFERROR( MEDIAN((IF(DATOS_[[Sexo]:[Sexo]]=$B88,IF(DATOS_[[AGRUP. CLAS. PROF.]:[AGRUP. CLAS. PROF.]]=$B87,IF(DATOS_[[Check Periodo Ref.]:[Check Periodo Ref.]]="Dentro",DATOS_[Conc.Sal.24]))))), 0)</f>
        <v>0</v>
      </c>
      <c r="AD88" s="250" t="n">
        <f aca="false" t="array" ref="AD88:AD88">IFERROR( MEDIAN((IF(DATOS_[[Sexo]:[Sexo]]=$B88,IF(DATOS_[[AGRUP. CLAS. PROF.]:[AGRUP. CLAS. PROF.]]=$B87,IF(DATOS_[[Check Periodo Ref.]:[Check Periodo Ref.]]="Dentro",DATOS_[Conc.Sal.25]))))), 0)</f>
        <v>0</v>
      </c>
      <c r="AE88" s="250" t="n">
        <f aca="false" t="array" ref="AE88:AE88">IFERROR( MEDIAN((IF(DATOS_[[Sexo]:[Sexo]]=$B88,IF(DATOS_[[AGRUP. CLAS. PROF.]:[AGRUP. CLAS. PROF.]]=$B87,IF(DATOS_[[Check Periodo Ref.]:[Check Periodo Ref.]]="Dentro",DATOS_[Conc.Sal.26]))))), 0)</f>
        <v>0</v>
      </c>
      <c r="AF88" s="250" t="n">
        <f aca="false" t="array" ref="AF88:AF88">IFERROR( MEDIAN((IF(DATOS_[[Sexo]:[Sexo]]=$B88,IF(DATOS_[[AGRUP. CLAS. PROF.]:[AGRUP. CLAS. PROF.]]=$B87,IF(DATOS_[[Check Periodo Ref.]:[Check Periodo Ref.]]="Dentro",DATOS_[Conc.Sal.27]))))), 0)</f>
        <v>0</v>
      </c>
      <c r="AG88" s="250" t="n">
        <f aca="false" t="array" ref="AG88:AG88">IFERROR( MEDIAN((IF(DATOS_[[Sexo]:[Sexo]]=$B88,IF(DATOS_[[AGRUP. CLAS. PROF.]:[AGRUP. CLAS. PROF.]]=$B87,IF(DATOS_[[Check Periodo Ref.]:[Check Periodo Ref.]]="Dentro",DATOS_[Conc.Sal.28]))))), 0)</f>
        <v>0</v>
      </c>
      <c r="AH88" s="250" t="n">
        <f aca="false" t="array" ref="AH88:AH88">IFERROR( MEDIAN((IF(DATOS_[[Sexo]:[Sexo]]=$B88,IF(DATOS_[[AGRUP. CLAS. PROF.]:[AGRUP. CLAS. PROF.]]=$B87,IF(DATOS_[[Check Periodo Ref.]:[Check Periodo Ref.]]="Dentro",DATOS_[Conc.Sal.29]))))), 0)</f>
        <v>0</v>
      </c>
      <c r="AI88" s="250" t="n">
        <f aca="false" t="array" ref="AI88:AI88">IFERROR( MEDIAN((IF(DATOS_[[Sexo]:[Sexo]]=$B88,IF(DATOS_[[AGRUP. CLAS. PROF.]:[AGRUP. CLAS. PROF.]]=$B87,IF(DATOS_[[Check Periodo Ref.]:[Check Periodo Ref.]]="Dentro",DATOS_[Conc.Sal.30]))))), 0)</f>
        <v>0</v>
      </c>
      <c r="AJ88" s="251" t="n">
        <f aca="false" t="array" ref="AJ88:AJ88">IFERROR( MEDIAN(IF(DATOS_[Sexo]=$B88,IF(DATOS_[AGRUP. CLAS. PROF.]=$B87,IF(DATOS_[Check Periodo Ref.]="Dentro",DATOS_[Tot COMPL.SAL Ef],0)))), 0)</f>
        <v>0</v>
      </c>
      <c r="AK88" s="252" t="n">
        <f aca="false" t="array" ref="AK88:AK88">IFERROR( MEDIAN(IF(DATOS_[Sexo]=$B88,IF(DATOS_[AGRUP. CLAS. PROF.]=$B87,IF(DATOS_[Check Periodo Ref.]="Dentro",DATOS_[TOTAL SALARIO Ef],0)))), 0)</f>
        <v>0</v>
      </c>
      <c r="AL88" s="259" t="n">
        <f aca="false" t="array" ref="AL88:AL88">IFERROR( MEDIAN((IF(DATOS_[[Sexo]:[Sexo]]=$B88,IF(DATOS_[[AGRUP. CLAS. PROF.]:[AGRUP. CLAS. PROF.]]=$B87,IF(DATOS_[[Check Periodo Ref.]:[Check Periodo Ref.]]="Dentro",DATOS_[C.Extra.01]))))), 0)</f>
        <v>0</v>
      </c>
      <c r="AM88" s="259" t="n">
        <f aca="false" t="array" ref="AM88:AM88">IFERROR( MEDIAN((IF(DATOS_[[Sexo]:[Sexo]]=$B88,IF(DATOS_[[AGRUP. CLAS. PROF.]:[AGRUP. CLAS. PROF.]]=$B87,IF(DATOS_[[Check Periodo Ref.]:[Check Periodo Ref.]]="Dentro",DATOS_[C.Extra.02]))))), 0)</f>
        <v>0</v>
      </c>
      <c r="AN88" s="259" t="n">
        <f aca="false" t="array" ref="AN88:AN88">IFERROR( MEDIAN((IF(DATOS_[[Sexo]:[Sexo]]=$B88,IF(DATOS_[[AGRUP. CLAS. PROF.]:[AGRUP. CLAS. PROF.]]=$B87,IF(DATOS_[[Check Periodo Ref.]:[Check Periodo Ref.]]="Dentro",DATOS_[C.Extra.03]))))), 0)</f>
        <v>0</v>
      </c>
      <c r="AO88" s="259" t="n">
        <f aca="false" t="array" ref="AO88:AO88">IFERROR( MEDIAN((IF(DATOS_[[Sexo]:[Sexo]]=$B88,IF(DATOS_[[AGRUP. CLAS. PROF.]:[AGRUP. CLAS. PROF.]]=$B87,IF(DATOS_[[Check Periodo Ref.]:[Check Periodo Ref.]]="Dentro",DATOS_[C.Extra.04]))))), 0)</f>
        <v>0</v>
      </c>
      <c r="AP88" s="259" t="n">
        <f aca="false" t="array" ref="AP88:AP88">IFERROR( MEDIAN((IF(DATOS_[[Sexo]:[Sexo]]=$B88,IF(DATOS_[[AGRUP. CLAS. PROF.]:[AGRUP. CLAS. PROF.]]=$B87,IF(DATOS_[[Check Periodo Ref.]:[Check Periodo Ref.]]="Dentro",DATOS_[C.Extra.05]))))), 0)</f>
        <v>0</v>
      </c>
      <c r="AQ88" s="254" t="n">
        <f aca="false" t="array" ref="AQ88:AQ88">IFERROR( MEDIAN(IF(DATOS_[Sexo]=$B88,IF(DATOS_[AGRUP. CLAS. PROF.]=$B87,IF(DATOS_[Check Periodo Ref.]="Dentro",DATOS_[Tot Extrasalarial Ef],0)))), 0)</f>
        <v>0</v>
      </c>
      <c r="AR88" s="255" t="n">
        <f aca="false" t="array" ref="AR88:AR88">IFERROR( MEDIAN(IF(DATOS_[Sexo]=$B88,IF(DATOS_[AGRUP. CLAS. PROF.]=$B87,IF(DATOS_[Check Periodo Ref.]="Dentro",DATOS_[TOTAL Retrib Ef],0)))), 0)</f>
        <v>0</v>
      </c>
    </row>
    <row r="89" customFormat="false" ht="14.25" hidden="false" customHeight="false" outlineLevel="0" collapsed="false">
      <c r="A89" s="217" t="str">
        <f aca="false">+A88</f>
        <v>[ocultar]</v>
      </c>
      <c r="B89" s="246" t="s">
        <v>372</v>
      </c>
      <c r="C89" s="247" t="n">
        <f aca="false" t="array" ref="C89:C89">SUM(IF($B89=DATOS_[Sexo], IF($B87=DATOS_[AGRUP. CLAS. PROF.], IF("Dentro"=DATOS_[Check Periodo Ref.], 1/(COUNTIFS(DATOS_[Sexo],$B89,DATOS_[AGRUP. CLAS. PROF.],$B87,DATOS_[Check Periodo Ref.],"Dentro",DATOS_[id],DATOS_[id]))))))</f>
        <v>0</v>
      </c>
      <c r="D89" s="248" t="n">
        <f aca="false">COUNTIFS(DATOS_[AGRUP. CLAS. PROF.],$B87,DATOS_[Sexo],$B89,DATOS_[Check Periodo Ref.],"Dentro")</f>
        <v>0</v>
      </c>
      <c r="E89" s="249" t="n">
        <f aca="false" t="array" ref="E89:E89">IFERROR( MEDIAN(IF(DATOS_[Sexo]=$B89,IF(DATOS_[AGRUP. CLAS. PROF.]=$B87,IF(DATOS_[Check Periodo Ref.]="Dentro",DATOS_[SALARIO BASE Ef],0)))), 0)</f>
        <v>0</v>
      </c>
      <c r="F89" s="250" t="n">
        <f aca="false" t="array" ref="F89:F89">IFERROR( MEDIAN((IF(DATOS_[[Sexo]:[Sexo]]=$B89,IF(DATOS_[[AGRUP. CLAS. PROF.]:[AGRUP. CLAS. PROF.]]=$B87,IF(DATOS_[[Check Periodo Ref.]:[Check Periodo Ref.]]="Dentro",DATOS_[Conc.Sal.01]))))), 0)</f>
        <v>0</v>
      </c>
      <c r="G89" s="250" t="n">
        <f aca="false" t="array" ref="G89:G89">IFERROR( MEDIAN((IF(DATOS_[[Sexo]:[Sexo]]=$B89,IF(DATOS_[[AGRUP. CLAS. PROF.]:[AGRUP. CLAS. PROF.]]=$B87,IF(DATOS_[[Check Periodo Ref.]:[Check Periodo Ref.]]="Dentro",DATOS_[Conc.Sal.02]))))), 0)</f>
        <v>0</v>
      </c>
      <c r="H89" s="250" t="n">
        <f aca="false" t="array" ref="H89:H89">IFERROR( MEDIAN((IF(DATOS_[[Sexo]:[Sexo]]=$B89,IF(DATOS_[[AGRUP. CLAS. PROF.]:[AGRUP. CLAS. PROF.]]=$B87,IF(DATOS_[[Check Periodo Ref.]:[Check Periodo Ref.]]="Dentro",DATOS_[Conc.Sal.03]))))), 0)</f>
        <v>0</v>
      </c>
      <c r="I89" s="250" t="n">
        <f aca="false" t="array" ref="I89:I89">IFERROR( MEDIAN((IF(DATOS_[[Sexo]:[Sexo]]=$B89,IF(DATOS_[[AGRUP. CLAS. PROF.]:[AGRUP. CLAS. PROF.]]=$B87,IF(DATOS_[[Check Periodo Ref.]:[Check Periodo Ref.]]="Dentro",DATOS_[Conc.Sal.04]))))), 0)</f>
        <v>0</v>
      </c>
      <c r="J89" s="250" t="n">
        <f aca="false" t="array" ref="J89:J89">IFERROR( MEDIAN((IF(DATOS_[[Sexo]:[Sexo]]=$B89,IF(DATOS_[[AGRUP. CLAS. PROF.]:[AGRUP. CLAS. PROF.]]=$B87,IF(DATOS_[[Check Periodo Ref.]:[Check Periodo Ref.]]="Dentro",DATOS_[Conc.Sal.05]))))), 0)</f>
        <v>0</v>
      </c>
      <c r="K89" s="250" t="n">
        <f aca="false" t="array" ref="K89:K89">IFERROR( MEDIAN((IF(DATOS_[[Sexo]:[Sexo]]=$B89,IF(DATOS_[[AGRUP. CLAS. PROF.]:[AGRUP. CLAS. PROF.]]=$B87,IF(DATOS_[[Check Periodo Ref.]:[Check Periodo Ref.]]="Dentro",DATOS_[Conc.Sal.06]))))), 0)</f>
        <v>0</v>
      </c>
      <c r="L89" s="250" t="n">
        <f aca="false" t="array" ref="L89:L89">IFERROR( MEDIAN((IF(DATOS_[[Sexo]:[Sexo]]=$B89,IF(DATOS_[[AGRUP. CLAS. PROF.]:[AGRUP. CLAS. PROF.]]=$B87,IF(DATOS_[[Check Periodo Ref.]:[Check Periodo Ref.]]="Dentro",DATOS_[Conc.Sal.07]))))), 0)</f>
        <v>0</v>
      </c>
      <c r="M89" s="250" t="n">
        <f aca="false" t="array" ref="M89:M89">IFERROR( MEDIAN((IF(DATOS_[[Sexo]:[Sexo]]=$B89,IF(DATOS_[[AGRUP. CLAS. PROF.]:[AGRUP. CLAS. PROF.]]=$B87,IF(DATOS_[[Check Periodo Ref.]:[Check Periodo Ref.]]="Dentro",DATOS_[Conc.Sal.08]))))), 0)</f>
        <v>0</v>
      </c>
      <c r="N89" s="250" t="n">
        <f aca="false" t="array" ref="N89:N89">IFERROR( MEDIAN((IF(DATOS_[[Sexo]:[Sexo]]=$B89,IF(DATOS_[[AGRUP. CLAS. PROF.]:[AGRUP. CLAS. PROF.]]=$B87,IF(DATOS_[[Check Periodo Ref.]:[Check Periodo Ref.]]="Dentro",DATOS_[Conc.Sal.09]))))), 0)</f>
        <v>0</v>
      </c>
      <c r="O89" s="250" t="n">
        <f aca="false" t="array" ref="O89:O89">IFERROR( MEDIAN((IF(DATOS_[[Sexo]:[Sexo]]=$B89,IF(DATOS_[[AGRUP. CLAS. PROF.]:[AGRUP. CLAS. PROF.]]=$B87,IF(DATOS_[[Check Periodo Ref.]:[Check Periodo Ref.]]="Dentro",DATOS_[Conc.Sal.10]))))), 0)</f>
        <v>0</v>
      </c>
      <c r="P89" s="250" t="n">
        <f aca="false" t="array" ref="P89:P89">IFERROR( MEDIAN((IF(DATOS_[[Sexo]:[Sexo]]=$B89,IF(DATOS_[[AGRUP. CLAS. PROF.]:[AGRUP. CLAS. PROF.]]=$B87,IF(DATOS_[[Check Periodo Ref.]:[Check Periodo Ref.]]="Dentro",DATOS_[Conc.Sal.11]))))), 0)</f>
        <v>0</v>
      </c>
      <c r="Q89" s="250" t="n">
        <f aca="false" t="array" ref="Q89:Q89">IFERROR( MEDIAN((IF(DATOS_[[Sexo]:[Sexo]]=$B89,IF(DATOS_[[AGRUP. CLAS. PROF.]:[AGRUP. CLAS. PROF.]]=$B87,IF(DATOS_[[Check Periodo Ref.]:[Check Periodo Ref.]]="Dentro",DATOS_[Conc.Sal.12]))))), 0)</f>
        <v>0</v>
      </c>
      <c r="R89" s="250" t="n">
        <f aca="false" t="array" ref="R89:R89">IFERROR( MEDIAN((IF(DATOS_[[Sexo]:[Sexo]]=$B89,IF(DATOS_[[AGRUP. CLAS. PROF.]:[AGRUP. CLAS. PROF.]]=$B87,IF(DATOS_[[Check Periodo Ref.]:[Check Periodo Ref.]]="Dentro",DATOS_[Conc.Sal.13]))))), 0)</f>
        <v>0</v>
      </c>
      <c r="S89" s="250" t="n">
        <f aca="false" t="array" ref="S89:S89">IFERROR( MEDIAN((IF(DATOS_[[Sexo]:[Sexo]]=$B89,IF(DATOS_[[AGRUP. CLAS. PROF.]:[AGRUP. CLAS. PROF.]]=$B87,IF(DATOS_[[Check Periodo Ref.]:[Check Periodo Ref.]]="Dentro",DATOS_[Conc.Sal.14]))))), 0)</f>
        <v>0</v>
      </c>
      <c r="T89" s="250" t="n">
        <f aca="false" t="array" ref="T89:T89">IFERROR( MEDIAN((IF(DATOS_[[Sexo]:[Sexo]]=$B89,IF(DATOS_[[AGRUP. CLAS. PROF.]:[AGRUP. CLAS. PROF.]]=$B87,IF(DATOS_[[Check Periodo Ref.]:[Check Periodo Ref.]]="Dentro",DATOS_[Conc.Sal.15]))))), 0)</f>
        <v>0</v>
      </c>
      <c r="U89" s="250" t="n">
        <f aca="false" t="array" ref="U89:U89">IFERROR( MEDIAN((IF(DATOS_[[Sexo]:[Sexo]]=$B89,IF(DATOS_[[AGRUP. CLAS. PROF.]:[AGRUP. CLAS. PROF.]]=$B87,IF(DATOS_[[Check Periodo Ref.]:[Check Periodo Ref.]]="Dentro",DATOS_[Conc.Sal.16]))))), 0)</f>
        <v>0</v>
      </c>
      <c r="V89" s="250" t="n">
        <f aca="false" t="array" ref="V89:V89">IFERROR( MEDIAN((IF(DATOS_[[Sexo]:[Sexo]]=$B89,IF(DATOS_[[AGRUP. CLAS. PROF.]:[AGRUP. CLAS. PROF.]]=$B87,IF(DATOS_[[Check Periodo Ref.]:[Check Periodo Ref.]]="Dentro",DATOS_[Conc.Sal.17]))))), 0)</f>
        <v>0</v>
      </c>
      <c r="W89" s="250" t="n">
        <f aca="false" t="array" ref="W89:W89">IFERROR( MEDIAN((IF(DATOS_[[Sexo]:[Sexo]]=$B89,IF(DATOS_[[AGRUP. CLAS. PROF.]:[AGRUP. CLAS. PROF.]]=$B87,IF(DATOS_[[Check Periodo Ref.]:[Check Periodo Ref.]]="Dentro",DATOS_[Conc.Sal.18]))))), 0)</f>
        <v>0</v>
      </c>
      <c r="X89" s="250" t="n">
        <f aca="false" t="array" ref="X89:X89">IFERROR( MEDIAN((IF(DATOS_[[Sexo]:[Sexo]]=$B89,IF(DATOS_[[AGRUP. CLAS. PROF.]:[AGRUP. CLAS. PROF.]]=$B87,IF(DATOS_[[Check Periodo Ref.]:[Check Periodo Ref.]]="Dentro",DATOS_[Conc.Sal.19]))))), 0)</f>
        <v>0</v>
      </c>
      <c r="Y89" s="250" t="n">
        <f aca="false" t="array" ref="Y89:Y89">IFERROR( MEDIAN((IF(DATOS_[[Sexo]:[Sexo]]=$B89,IF(DATOS_[[AGRUP. CLAS. PROF.]:[AGRUP. CLAS. PROF.]]=$B87,IF(DATOS_[[Check Periodo Ref.]:[Check Periodo Ref.]]="Dentro",DATOS_[Conc.Sal.20]))))), 0)</f>
        <v>0</v>
      </c>
      <c r="Z89" s="250" t="n">
        <f aca="false" t="array" ref="Z89:Z89">IFERROR( MEDIAN((IF(DATOS_[[Sexo]:[Sexo]]=$B89,IF(DATOS_[[AGRUP. CLAS. PROF.]:[AGRUP. CLAS. PROF.]]=$B87,IF(DATOS_[[Check Periodo Ref.]:[Check Periodo Ref.]]="Dentro",DATOS_[Conc.Sal.21]))))), 0)</f>
        <v>0</v>
      </c>
      <c r="AA89" s="250" t="n">
        <f aca="false" t="array" ref="AA89:AA89">IFERROR( MEDIAN((IF(DATOS_[[Sexo]:[Sexo]]=$B89,IF(DATOS_[[AGRUP. CLAS. PROF.]:[AGRUP. CLAS. PROF.]]=$B87,IF(DATOS_[[Check Periodo Ref.]:[Check Periodo Ref.]]="Dentro",DATOS_[Conc.Sal.22]))))), 0)</f>
        <v>0</v>
      </c>
      <c r="AB89" s="250" t="n">
        <f aca="false" t="array" ref="AB89:AB89">IFERROR( MEDIAN((IF(DATOS_[[Sexo]:[Sexo]]=$B89,IF(DATOS_[[AGRUP. CLAS. PROF.]:[AGRUP. CLAS. PROF.]]=$B87,IF(DATOS_[[Check Periodo Ref.]:[Check Periodo Ref.]]="Dentro",DATOS_[Conc.Sal.23]))))), 0)</f>
        <v>0</v>
      </c>
      <c r="AC89" s="250" t="n">
        <f aca="false" t="array" ref="AC89:AC89">IFERROR( MEDIAN((IF(DATOS_[[Sexo]:[Sexo]]=$B89,IF(DATOS_[[AGRUP. CLAS. PROF.]:[AGRUP. CLAS. PROF.]]=$B87,IF(DATOS_[[Check Periodo Ref.]:[Check Periodo Ref.]]="Dentro",DATOS_[Conc.Sal.24]))))), 0)</f>
        <v>0</v>
      </c>
      <c r="AD89" s="250" t="n">
        <f aca="false" t="array" ref="AD89:AD89">IFERROR( MEDIAN((IF(DATOS_[[Sexo]:[Sexo]]=$B89,IF(DATOS_[[AGRUP. CLAS. PROF.]:[AGRUP. CLAS. PROF.]]=$B87,IF(DATOS_[[Check Periodo Ref.]:[Check Periodo Ref.]]="Dentro",DATOS_[Conc.Sal.25]))))), 0)</f>
        <v>0</v>
      </c>
      <c r="AE89" s="250" t="n">
        <f aca="false" t="array" ref="AE89:AE89">IFERROR( MEDIAN((IF(DATOS_[[Sexo]:[Sexo]]=$B89,IF(DATOS_[[AGRUP. CLAS. PROF.]:[AGRUP. CLAS. PROF.]]=$B87,IF(DATOS_[[Check Periodo Ref.]:[Check Periodo Ref.]]="Dentro",DATOS_[Conc.Sal.26]))))), 0)</f>
        <v>0</v>
      </c>
      <c r="AF89" s="250" t="n">
        <f aca="false" t="array" ref="AF89:AF89">IFERROR( MEDIAN((IF(DATOS_[[Sexo]:[Sexo]]=$B89,IF(DATOS_[[AGRUP. CLAS. PROF.]:[AGRUP. CLAS. PROF.]]=$B87,IF(DATOS_[[Check Periodo Ref.]:[Check Periodo Ref.]]="Dentro",DATOS_[Conc.Sal.27]))))), 0)</f>
        <v>0</v>
      </c>
      <c r="AG89" s="250" t="n">
        <f aca="false" t="array" ref="AG89:AG89">IFERROR( MEDIAN((IF(DATOS_[[Sexo]:[Sexo]]=$B89,IF(DATOS_[[AGRUP. CLAS. PROF.]:[AGRUP. CLAS. PROF.]]=$B87,IF(DATOS_[[Check Periodo Ref.]:[Check Periodo Ref.]]="Dentro",DATOS_[Conc.Sal.28]))))), 0)</f>
        <v>0</v>
      </c>
      <c r="AH89" s="250" t="n">
        <f aca="false" t="array" ref="AH89:AH89">IFERROR( MEDIAN((IF(DATOS_[[Sexo]:[Sexo]]=$B89,IF(DATOS_[[AGRUP. CLAS. PROF.]:[AGRUP. CLAS. PROF.]]=$B87,IF(DATOS_[[Check Periodo Ref.]:[Check Periodo Ref.]]="Dentro",DATOS_[Conc.Sal.29]))))), 0)</f>
        <v>0</v>
      </c>
      <c r="AI89" s="250" t="n">
        <f aca="false" t="array" ref="AI89:AI89">IFERROR( MEDIAN((IF(DATOS_[[Sexo]:[Sexo]]=$B89,IF(DATOS_[[AGRUP. CLAS. PROF.]:[AGRUP. CLAS. PROF.]]=$B87,IF(DATOS_[[Check Periodo Ref.]:[Check Periodo Ref.]]="Dentro",DATOS_[Conc.Sal.30]))))), 0)</f>
        <v>0</v>
      </c>
      <c r="AJ89" s="251" t="n">
        <f aca="false" t="array" ref="AJ89:AJ89">IFERROR( MEDIAN(IF(DATOS_[Sexo]=$B89,IF(DATOS_[AGRUP. CLAS. PROF.]=$B87,IF(DATOS_[Check Periodo Ref.]="Dentro",DATOS_[Tot COMPL.SAL Ef],0)))), 0)</f>
        <v>0</v>
      </c>
      <c r="AK89" s="252" t="n">
        <f aca="false" t="array" ref="AK89:AK89">IFERROR( MEDIAN(IF(DATOS_[Sexo]=$B89,IF(DATOS_[AGRUP. CLAS. PROF.]=$B87,IF(DATOS_[Check Periodo Ref.]="Dentro",DATOS_[TOTAL SALARIO Ef],0)))), 0)</f>
        <v>0</v>
      </c>
      <c r="AL89" s="259" t="n">
        <f aca="false" t="array" ref="AL89:AL89">IFERROR( MEDIAN((IF(DATOS_[[Sexo]:[Sexo]]=$B89,IF(DATOS_[[AGRUP. CLAS. PROF.]:[AGRUP. CLAS. PROF.]]=$B87,IF(DATOS_[[Check Periodo Ref.]:[Check Periodo Ref.]]="Dentro",DATOS_[C.Extra.01]))))), 0)</f>
        <v>0</v>
      </c>
      <c r="AM89" s="259" t="n">
        <f aca="false" t="array" ref="AM89:AM89">IFERROR( MEDIAN((IF(DATOS_[[Sexo]:[Sexo]]=$B89,IF(DATOS_[[AGRUP. CLAS. PROF.]:[AGRUP. CLAS. PROF.]]=$B87,IF(DATOS_[[Check Periodo Ref.]:[Check Periodo Ref.]]="Dentro",DATOS_[C.Extra.02]))))), 0)</f>
        <v>0</v>
      </c>
      <c r="AN89" s="259" t="n">
        <f aca="false" t="array" ref="AN89:AN89">IFERROR( MEDIAN((IF(DATOS_[[Sexo]:[Sexo]]=$B89,IF(DATOS_[[AGRUP. CLAS. PROF.]:[AGRUP. CLAS. PROF.]]=$B87,IF(DATOS_[[Check Periodo Ref.]:[Check Periodo Ref.]]="Dentro",DATOS_[C.Extra.03]))))), 0)</f>
        <v>0</v>
      </c>
      <c r="AO89" s="259" t="n">
        <f aca="false" t="array" ref="AO89:AO89">IFERROR( MEDIAN((IF(DATOS_[[Sexo]:[Sexo]]=$B89,IF(DATOS_[[AGRUP. CLAS. PROF.]:[AGRUP. CLAS. PROF.]]=$B87,IF(DATOS_[[Check Periodo Ref.]:[Check Periodo Ref.]]="Dentro",DATOS_[C.Extra.04]))))), 0)</f>
        <v>0</v>
      </c>
      <c r="AP89" s="259" t="n">
        <f aca="false" t="array" ref="AP89:AP89">IFERROR( MEDIAN((IF(DATOS_[[Sexo]:[Sexo]]=$B89,IF(DATOS_[[AGRUP. CLAS. PROF.]:[AGRUP. CLAS. PROF.]]=$B87,IF(DATOS_[[Check Periodo Ref.]:[Check Periodo Ref.]]="Dentro",DATOS_[C.Extra.05]))))), 0)</f>
        <v>0</v>
      </c>
      <c r="AQ89" s="254" t="n">
        <f aca="false" t="array" ref="AQ89:AQ89">IFERROR( MEDIAN(IF(DATOS_[Sexo]=$B89,IF(DATOS_[AGRUP. CLAS. PROF.]=$B87,IF(DATOS_[Check Periodo Ref.]="Dentro",DATOS_[Tot Extrasalarial Ef],0)))), 0)</f>
        <v>0</v>
      </c>
      <c r="AR89" s="255" t="n">
        <f aca="false" t="array" ref="AR89:AR89">IFERROR( MEDIAN(IF(DATOS_[Sexo]=$B89,IF(DATOS_[AGRUP. CLAS. PROF.]=$B87,IF(DATOS_[Check Periodo Ref.]="Dentro",DATOS_[TOTAL Retrib Ef],0)))), 0)</f>
        <v>0</v>
      </c>
    </row>
    <row r="90" customFormat="false" ht="15.75" hidden="false" customHeight="false" outlineLevel="0" collapsed="false">
      <c r="A90" s="217" t="str">
        <f aca="false">+A91</f>
        <v>[ocultar]</v>
      </c>
      <c r="B90" s="235" t="s">
        <v>243</v>
      </c>
      <c r="C90" s="236"/>
      <c r="D90" s="237"/>
      <c r="E90" s="238" t="str">
        <f aca="false">IFERROR((E91-E92)/E91,"")</f>
        <v/>
      </c>
      <c r="F90" s="239" t="str">
        <f aca="false">IFERROR((F91-F92)/F91,"")</f>
        <v/>
      </c>
      <c r="G90" s="239" t="str">
        <f aca="false">IFERROR((G91-G92)/G91,"")</f>
        <v/>
      </c>
      <c r="H90" s="239" t="str">
        <f aca="false">IFERROR((H91-H92)/H91,"")</f>
        <v/>
      </c>
      <c r="I90" s="239"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40" t="str">
        <f aca="false">IFERROR((V91-V92)/V91,"")</f>
        <v/>
      </c>
      <c r="W90" s="240" t="str">
        <f aca="false">IFERROR((W91-W92)/W91,"")</f>
        <v/>
      </c>
      <c r="X90" s="240" t="str">
        <f aca="false">IFERROR((X91-X92)/X91,"")</f>
        <v/>
      </c>
      <c r="Y90" s="240"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1" t="str">
        <f aca="false">IFERROR((AJ91-AJ92)/AJ91,"")</f>
        <v/>
      </c>
      <c r="AK90" s="242" t="str">
        <f aca="false">IFERROR((AK91-AK92)/AK91,"")</f>
        <v/>
      </c>
      <c r="AL90" s="243" t="str">
        <f aca="false">IFERROR((AL91-AL92)/AL91,"")</f>
        <v/>
      </c>
      <c r="AM90" s="243" t="str">
        <f aca="false">IFERROR((AM91-AM92)/AM91,"")</f>
        <v/>
      </c>
      <c r="AN90" s="243" t="str">
        <f aca="false">IFERROR((AN91-AN92)/AN91,"")</f>
        <v/>
      </c>
      <c r="AO90" s="243" t="str">
        <f aca="false">IFERROR((AO91-AO92)/AO91,"")</f>
        <v/>
      </c>
      <c r="AP90" s="243" t="str">
        <f aca="false">IFERROR((AP91-AP92)/AP91,"")</f>
        <v/>
      </c>
      <c r="AQ90" s="244" t="str">
        <f aca="false">IFERROR((AQ91-AQ92)/AQ91,"")</f>
        <v/>
      </c>
      <c r="AR90" s="245" t="str">
        <f aca="false">IFERROR((AR91-AR92)/AR91,"")</f>
        <v/>
      </c>
    </row>
    <row r="91" customFormat="false" ht="14.25" hidden="false" customHeight="false" outlineLevel="0" collapsed="false">
      <c r="A91" s="217" t="str">
        <f aca="false">+IF(C91+C92=0,"[ocultar]","")</f>
        <v>[ocultar]</v>
      </c>
      <c r="B91" s="246" t="s">
        <v>371</v>
      </c>
      <c r="C91" s="247" t="n">
        <f aca="false" t="array" ref="C91:C91">SUM(IF($B91=DATOS_[Sexo], IF($B90=DATOS_[AGRUP. CLAS. PROF.], IF("Dentro"=DATOS_[Check Periodo Ref.], 1/(COUNTIFS(DATOS_[Sexo],$B91,DATOS_[AGRUP. CLAS. PROF.],$B90,DATOS_[Check Periodo Ref.],"Dentro",DATOS_[id],DATOS_[id]))))))</f>
        <v>0</v>
      </c>
      <c r="D91" s="248" t="n">
        <f aca="false">COUNTIFS(DATOS_[AGRUP. CLAS. PROF.],$B90,DATOS_[Sexo],$B91,DATOS_[Check Periodo Ref.],"Dentro")</f>
        <v>0</v>
      </c>
      <c r="E91" s="249" t="n">
        <f aca="false" t="array" ref="E91:E91">IFERROR( MEDIAN(IF(DATOS_[Sexo]=$B91,IF(DATOS_[AGRUP. CLAS. PROF.]=$B90,IF(DATOS_[Check Periodo Ref.]="Dentro",DATOS_[SALARIO BASE Ef],0)))), 0)</f>
        <v>0</v>
      </c>
      <c r="F91" s="250" t="n">
        <f aca="false" t="array" ref="F91:F91">IFERROR( MEDIAN((IF(DATOS_[[Sexo]:[Sexo]]=$B91,IF(DATOS_[[AGRUP. CLAS. PROF.]:[AGRUP. CLAS. PROF.]]=$B90,IF(DATOS_[[Check Periodo Ref.]:[Check Periodo Ref.]]="Dentro",DATOS_[Conc.Sal.01]))))), 0)</f>
        <v>0</v>
      </c>
      <c r="G91" s="250" t="n">
        <f aca="false" t="array" ref="G91:G91">IFERROR( MEDIAN((IF(DATOS_[[Sexo]:[Sexo]]=$B91,IF(DATOS_[[AGRUP. CLAS. PROF.]:[AGRUP. CLAS. PROF.]]=$B90,IF(DATOS_[[Check Periodo Ref.]:[Check Periodo Ref.]]="Dentro",DATOS_[Conc.Sal.02]))))), 0)</f>
        <v>0</v>
      </c>
      <c r="H91" s="250" t="n">
        <f aca="false" t="array" ref="H91:H91">IFERROR( MEDIAN((IF(DATOS_[[Sexo]:[Sexo]]=$B91,IF(DATOS_[[AGRUP. CLAS. PROF.]:[AGRUP. CLAS. PROF.]]=$B90,IF(DATOS_[[Check Periodo Ref.]:[Check Periodo Ref.]]="Dentro",DATOS_[Conc.Sal.03]))))), 0)</f>
        <v>0</v>
      </c>
      <c r="I91" s="250" t="n">
        <f aca="false" t="array" ref="I91:I91">IFERROR( MEDIAN((IF(DATOS_[[Sexo]:[Sexo]]=$B91,IF(DATOS_[[AGRUP. CLAS. PROF.]:[AGRUP. CLAS. PROF.]]=$B90,IF(DATOS_[[Check Periodo Ref.]:[Check Periodo Ref.]]="Dentro",DATOS_[Conc.Sal.04]))))), 0)</f>
        <v>0</v>
      </c>
      <c r="J91" s="250" t="n">
        <f aca="false" t="array" ref="J91:J91">IFERROR( MEDIAN((IF(DATOS_[[Sexo]:[Sexo]]=$B91,IF(DATOS_[[AGRUP. CLAS. PROF.]:[AGRUP. CLAS. PROF.]]=$B90,IF(DATOS_[[Check Periodo Ref.]:[Check Periodo Ref.]]="Dentro",DATOS_[Conc.Sal.05]))))), 0)</f>
        <v>0</v>
      </c>
      <c r="K91" s="250" t="n">
        <f aca="false" t="array" ref="K91:K91">IFERROR( MEDIAN((IF(DATOS_[[Sexo]:[Sexo]]=$B91,IF(DATOS_[[AGRUP. CLAS. PROF.]:[AGRUP. CLAS. PROF.]]=$B90,IF(DATOS_[[Check Periodo Ref.]:[Check Periodo Ref.]]="Dentro",DATOS_[Conc.Sal.06]))))), 0)</f>
        <v>0</v>
      </c>
      <c r="L91" s="250" t="n">
        <f aca="false" t="array" ref="L91:L91">IFERROR( MEDIAN((IF(DATOS_[[Sexo]:[Sexo]]=$B91,IF(DATOS_[[AGRUP. CLAS. PROF.]:[AGRUP. CLAS. PROF.]]=$B90,IF(DATOS_[[Check Periodo Ref.]:[Check Periodo Ref.]]="Dentro",DATOS_[Conc.Sal.07]))))), 0)</f>
        <v>0</v>
      </c>
      <c r="M91" s="250" t="n">
        <f aca="false" t="array" ref="M91:M91">IFERROR( MEDIAN((IF(DATOS_[[Sexo]:[Sexo]]=$B91,IF(DATOS_[[AGRUP. CLAS. PROF.]:[AGRUP. CLAS. PROF.]]=$B90,IF(DATOS_[[Check Periodo Ref.]:[Check Periodo Ref.]]="Dentro",DATOS_[Conc.Sal.08]))))), 0)</f>
        <v>0</v>
      </c>
      <c r="N91" s="250" t="n">
        <f aca="false" t="array" ref="N91:N91">IFERROR( MEDIAN((IF(DATOS_[[Sexo]:[Sexo]]=$B91,IF(DATOS_[[AGRUP. CLAS. PROF.]:[AGRUP. CLAS. PROF.]]=$B90,IF(DATOS_[[Check Periodo Ref.]:[Check Periodo Ref.]]="Dentro",DATOS_[Conc.Sal.09]))))), 0)</f>
        <v>0</v>
      </c>
      <c r="O91" s="250" t="n">
        <f aca="false" t="array" ref="O91:O91">IFERROR( MEDIAN((IF(DATOS_[[Sexo]:[Sexo]]=$B91,IF(DATOS_[[AGRUP. CLAS. PROF.]:[AGRUP. CLAS. PROF.]]=$B90,IF(DATOS_[[Check Periodo Ref.]:[Check Periodo Ref.]]="Dentro",DATOS_[Conc.Sal.10]))))), 0)</f>
        <v>0</v>
      </c>
      <c r="P91" s="250" t="n">
        <f aca="false" t="array" ref="P91:P91">IFERROR( MEDIAN((IF(DATOS_[[Sexo]:[Sexo]]=$B91,IF(DATOS_[[AGRUP. CLAS. PROF.]:[AGRUP. CLAS. PROF.]]=$B90,IF(DATOS_[[Check Periodo Ref.]:[Check Periodo Ref.]]="Dentro",DATOS_[Conc.Sal.11]))))), 0)</f>
        <v>0</v>
      </c>
      <c r="Q91" s="250" t="n">
        <f aca="false" t="array" ref="Q91:Q91">IFERROR( MEDIAN((IF(DATOS_[[Sexo]:[Sexo]]=$B91,IF(DATOS_[[AGRUP. CLAS. PROF.]:[AGRUP. CLAS. PROF.]]=$B90,IF(DATOS_[[Check Periodo Ref.]:[Check Periodo Ref.]]="Dentro",DATOS_[Conc.Sal.12]))))), 0)</f>
        <v>0</v>
      </c>
      <c r="R91" s="250" t="n">
        <f aca="false" t="array" ref="R91:R91">IFERROR( MEDIAN((IF(DATOS_[[Sexo]:[Sexo]]=$B91,IF(DATOS_[[AGRUP. CLAS. PROF.]:[AGRUP. CLAS. PROF.]]=$B90,IF(DATOS_[[Check Periodo Ref.]:[Check Periodo Ref.]]="Dentro",DATOS_[Conc.Sal.13]))))), 0)</f>
        <v>0</v>
      </c>
      <c r="S91" s="250" t="n">
        <f aca="false" t="array" ref="S91:S91">IFERROR( MEDIAN((IF(DATOS_[[Sexo]:[Sexo]]=$B91,IF(DATOS_[[AGRUP. CLAS. PROF.]:[AGRUP. CLAS. PROF.]]=$B90,IF(DATOS_[[Check Periodo Ref.]:[Check Periodo Ref.]]="Dentro",DATOS_[Conc.Sal.14]))))), 0)</f>
        <v>0</v>
      </c>
      <c r="T91" s="250" t="n">
        <f aca="false" t="array" ref="T91:T91">IFERROR( MEDIAN((IF(DATOS_[[Sexo]:[Sexo]]=$B91,IF(DATOS_[[AGRUP. CLAS. PROF.]:[AGRUP. CLAS. PROF.]]=$B90,IF(DATOS_[[Check Periodo Ref.]:[Check Periodo Ref.]]="Dentro",DATOS_[Conc.Sal.15]))))), 0)</f>
        <v>0</v>
      </c>
      <c r="U91" s="250" t="n">
        <f aca="false" t="array" ref="U91:U91">IFERROR( MEDIAN((IF(DATOS_[[Sexo]:[Sexo]]=$B91,IF(DATOS_[[AGRUP. CLAS. PROF.]:[AGRUP. CLAS. PROF.]]=$B90,IF(DATOS_[[Check Periodo Ref.]:[Check Periodo Ref.]]="Dentro",DATOS_[Conc.Sal.16]))))), 0)</f>
        <v>0</v>
      </c>
      <c r="V91" s="250" t="n">
        <f aca="false" t="array" ref="V91:V91">IFERROR( MEDIAN((IF(DATOS_[[Sexo]:[Sexo]]=$B91,IF(DATOS_[[AGRUP. CLAS. PROF.]:[AGRUP. CLAS. PROF.]]=$B90,IF(DATOS_[[Check Periodo Ref.]:[Check Periodo Ref.]]="Dentro",DATOS_[Conc.Sal.17]))))), 0)</f>
        <v>0</v>
      </c>
      <c r="W91" s="250" t="n">
        <f aca="false" t="array" ref="W91:W91">IFERROR( MEDIAN((IF(DATOS_[[Sexo]:[Sexo]]=$B91,IF(DATOS_[[AGRUP. CLAS. PROF.]:[AGRUP. CLAS. PROF.]]=$B90,IF(DATOS_[[Check Periodo Ref.]:[Check Periodo Ref.]]="Dentro",DATOS_[Conc.Sal.18]))))), 0)</f>
        <v>0</v>
      </c>
      <c r="X91" s="250" t="n">
        <f aca="false" t="array" ref="X91:X91">IFERROR( MEDIAN((IF(DATOS_[[Sexo]:[Sexo]]=$B91,IF(DATOS_[[AGRUP. CLAS. PROF.]:[AGRUP. CLAS. PROF.]]=$B90,IF(DATOS_[[Check Periodo Ref.]:[Check Periodo Ref.]]="Dentro",DATOS_[Conc.Sal.19]))))), 0)</f>
        <v>0</v>
      </c>
      <c r="Y91" s="250" t="n">
        <f aca="false" t="array" ref="Y91:Y91">IFERROR( MEDIAN((IF(DATOS_[[Sexo]:[Sexo]]=$B91,IF(DATOS_[[AGRUP. CLAS. PROF.]:[AGRUP. CLAS. PROF.]]=$B90,IF(DATOS_[[Check Periodo Ref.]:[Check Periodo Ref.]]="Dentro",DATOS_[Conc.Sal.20]))))), 0)</f>
        <v>0</v>
      </c>
      <c r="Z91" s="250" t="n">
        <f aca="false" t="array" ref="Z91:Z91">IFERROR( MEDIAN((IF(DATOS_[[Sexo]:[Sexo]]=$B91,IF(DATOS_[[AGRUP. CLAS. PROF.]:[AGRUP. CLAS. PROF.]]=$B90,IF(DATOS_[[Check Periodo Ref.]:[Check Periodo Ref.]]="Dentro",DATOS_[Conc.Sal.21]))))), 0)</f>
        <v>0</v>
      </c>
      <c r="AA91" s="250" t="n">
        <f aca="false" t="array" ref="AA91:AA91">IFERROR( MEDIAN((IF(DATOS_[[Sexo]:[Sexo]]=$B91,IF(DATOS_[[AGRUP. CLAS. PROF.]:[AGRUP. CLAS. PROF.]]=$B90,IF(DATOS_[[Check Periodo Ref.]:[Check Periodo Ref.]]="Dentro",DATOS_[Conc.Sal.22]))))), 0)</f>
        <v>0</v>
      </c>
      <c r="AB91" s="250" t="n">
        <f aca="false" t="array" ref="AB91:AB91">IFERROR( MEDIAN((IF(DATOS_[[Sexo]:[Sexo]]=$B91,IF(DATOS_[[AGRUP. CLAS. PROF.]:[AGRUP. CLAS. PROF.]]=$B90,IF(DATOS_[[Check Periodo Ref.]:[Check Periodo Ref.]]="Dentro",DATOS_[Conc.Sal.23]))))), 0)</f>
        <v>0</v>
      </c>
      <c r="AC91" s="250" t="n">
        <f aca="false" t="array" ref="AC91:AC91">IFERROR( MEDIAN((IF(DATOS_[[Sexo]:[Sexo]]=$B91,IF(DATOS_[[AGRUP. CLAS. PROF.]:[AGRUP. CLAS. PROF.]]=$B90,IF(DATOS_[[Check Periodo Ref.]:[Check Periodo Ref.]]="Dentro",DATOS_[Conc.Sal.24]))))), 0)</f>
        <v>0</v>
      </c>
      <c r="AD91" s="250" t="n">
        <f aca="false" t="array" ref="AD91:AD91">IFERROR( MEDIAN((IF(DATOS_[[Sexo]:[Sexo]]=$B91,IF(DATOS_[[AGRUP. CLAS. PROF.]:[AGRUP. CLAS. PROF.]]=$B90,IF(DATOS_[[Check Periodo Ref.]:[Check Periodo Ref.]]="Dentro",DATOS_[Conc.Sal.25]))))), 0)</f>
        <v>0</v>
      </c>
      <c r="AE91" s="250" t="n">
        <f aca="false" t="array" ref="AE91:AE91">IFERROR( MEDIAN((IF(DATOS_[[Sexo]:[Sexo]]=$B91,IF(DATOS_[[AGRUP. CLAS. PROF.]:[AGRUP. CLAS. PROF.]]=$B90,IF(DATOS_[[Check Periodo Ref.]:[Check Periodo Ref.]]="Dentro",DATOS_[Conc.Sal.26]))))), 0)</f>
        <v>0</v>
      </c>
      <c r="AF91" s="250" t="n">
        <f aca="false" t="array" ref="AF91:AF91">IFERROR( MEDIAN((IF(DATOS_[[Sexo]:[Sexo]]=$B91,IF(DATOS_[[AGRUP. CLAS. PROF.]:[AGRUP. CLAS. PROF.]]=$B90,IF(DATOS_[[Check Periodo Ref.]:[Check Periodo Ref.]]="Dentro",DATOS_[Conc.Sal.27]))))), 0)</f>
        <v>0</v>
      </c>
      <c r="AG91" s="250" t="n">
        <f aca="false" t="array" ref="AG91:AG91">IFERROR( MEDIAN((IF(DATOS_[[Sexo]:[Sexo]]=$B91,IF(DATOS_[[AGRUP. CLAS. PROF.]:[AGRUP. CLAS. PROF.]]=$B90,IF(DATOS_[[Check Periodo Ref.]:[Check Periodo Ref.]]="Dentro",DATOS_[Conc.Sal.28]))))), 0)</f>
        <v>0</v>
      </c>
      <c r="AH91" s="250" t="n">
        <f aca="false" t="array" ref="AH91:AH91">IFERROR( MEDIAN((IF(DATOS_[[Sexo]:[Sexo]]=$B91,IF(DATOS_[[AGRUP. CLAS. PROF.]:[AGRUP. CLAS. PROF.]]=$B90,IF(DATOS_[[Check Periodo Ref.]:[Check Periodo Ref.]]="Dentro",DATOS_[Conc.Sal.29]))))), 0)</f>
        <v>0</v>
      </c>
      <c r="AI91" s="250" t="n">
        <f aca="false" t="array" ref="AI91:AI91">IFERROR( MEDIAN((IF(DATOS_[[Sexo]:[Sexo]]=$B91,IF(DATOS_[[AGRUP. CLAS. PROF.]:[AGRUP. CLAS. PROF.]]=$B90,IF(DATOS_[[Check Periodo Ref.]:[Check Periodo Ref.]]="Dentro",DATOS_[Conc.Sal.30]))))), 0)</f>
        <v>0</v>
      </c>
      <c r="AJ91" s="251" t="n">
        <f aca="false" t="array" ref="AJ91:AJ91">IFERROR( MEDIAN(IF(DATOS_[Sexo]=$B91,IF(DATOS_[AGRUP. CLAS. PROF.]=$B90,IF(DATOS_[Check Periodo Ref.]="Dentro",DATOS_[Tot COMPL.SAL Ef],0)))), 0)</f>
        <v>0</v>
      </c>
      <c r="AK91" s="252" t="n">
        <f aca="false" t="array" ref="AK91:AK91">IFERROR( MEDIAN(IF(DATOS_[Sexo]=$B91,IF(DATOS_[AGRUP. CLAS. PROF.]=$B90,IF(DATOS_[Check Periodo Ref.]="Dentro",DATOS_[TOTAL SALARIO Ef],0)))), 0)</f>
        <v>0</v>
      </c>
      <c r="AL91" s="259" t="n">
        <f aca="false" t="array" ref="AL91:AL91">IFERROR( MEDIAN((IF(DATOS_[[Sexo]:[Sexo]]=$B91,IF(DATOS_[[AGRUP. CLAS. PROF.]:[AGRUP. CLAS. PROF.]]=$B90,IF(DATOS_[[Check Periodo Ref.]:[Check Periodo Ref.]]="Dentro",DATOS_[C.Extra.01]))))), 0)</f>
        <v>0</v>
      </c>
      <c r="AM91" s="259" t="n">
        <f aca="false" t="array" ref="AM91:AM91">IFERROR( MEDIAN((IF(DATOS_[[Sexo]:[Sexo]]=$B91,IF(DATOS_[[AGRUP. CLAS. PROF.]:[AGRUP. CLAS. PROF.]]=$B90,IF(DATOS_[[Check Periodo Ref.]:[Check Periodo Ref.]]="Dentro",DATOS_[C.Extra.02]))))), 0)</f>
        <v>0</v>
      </c>
      <c r="AN91" s="259" t="n">
        <f aca="false" t="array" ref="AN91:AN91">IFERROR( MEDIAN((IF(DATOS_[[Sexo]:[Sexo]]=$B91,IF(DATOS_[[AGRUP. CLAS. PROF.]:[AGRUP. CLAS. PROF.]]=$B90,IF(DATOS_[[Check Periodo Ref.]:[Check Periodo Ref.]]="Dentro",DATOS_[C.Extra.03]))))), 0)</f>
        <v>0</v>
      </c>
      <c r="AO91" s="259" t="n">
        <f aca="false" t="array" ref="AO91:AO91">IFERROR( MEDIAN((IF(DATOS_[[Sexo]:[Sexo]]=$B91,IF(DATOS_[[AGRUP. CLAS. PROF.]:[AGRUP. CLAS. PROF.]]=$B90,IF(DATOS_[[Check Periodo Ref.]:[Check Periodo Ref.]]="Dentro",DATOS_[C.Extra.04]))))), 0)</f>
        <v>0</v>
      </c>
      <c r="AP91" s="259" t="n">
        <f aca="false" t="array" ref="AP91:AP91">IFERROR( MEDIAN((IF(DATOS_[[Sexo]:[Sexo]]=$B91,IF(DATOS_[[AGRUP. CLAS. PROF.]:[AGRUP. CLAS. PROF.]]=$B90,IF(DATOS_[[Check Periodo Ref.]:[Check Periodo Ref.]]="Dentro",DATOS_[C.Extra.05]))))), 0)</f>
        <v>0</v>
      </c>
      <c r="AQ91" s="254" t="n">
        <f aca="false" t="array" ref="AQ91:AQ91">IFERROR( MEDIAN(IF(DATOS_[Sexo]=$B91,IF(DATOS_[AGRUP. CLAS. PROF.]=$B90,IF(DATOS_[Check Periodo Ref.]="Dentro",DATOS_[Tot Extrasalarial Ef],0)))), 0)</f>
        <v>0</v>
      </c>
      <c r="AR91" s="255" t="n">
        <f aca="false" t="array" ref="AR91:AR91">IFERROR( MEDIAN(IF(DATOS_[Sexo]=$B91,IF(DATOS_[AGRUP. CLAS. PROF.]=$B90,IF(DATOS_[Check Periodo Ref.]="Dentro",DATOS_[TOTAL Retrib Ef],0)))), 0)</f>
        <v>0</v>
      </c>
    </row>
    <row r="92" customFormat="false" ht="14.25" hidden="false" customHeight="false" outlineLevel="0" collapsed="false">
      <c r="A92" s="217" t="str">
        <f aca="false">+A91</f>
        <v>[ocultar]</v>
      </c>
      <c r="B92" s="246" t="s">
        <v>372</v>
      </c>
      <c r="C92" s="247" t="n">
        <f aca="false" t="array" ref="C92:C92">SUM(IF($B92=DATOS_[Sexo], IF($B90=DATOS_[AGRUP. CLAS. PROF.], IF("Dentro"=DATOS_[Check Periodo Ref.], 1/(COUNTIFS(DATOS_[Sexo],$B92,DATOS_[AGRUP. CLAS. PROF.],$B90,DATOS_[Check Periodo Ref.],"Dentro",DATOS_[id],DATOS_[id]))))))</f>
        <v>0</v>
      </c>
      <c r="D92" s="248" t="n">
        <f aca="false">COUNTIFS(DATOS_[AGRUP. CLAS. PROF.],$B90,DATOS_[Sexo],$B92,DATOS_[Check Periodo Ref.],"Dentro")</f>
        <v>0</v>
      </c>
      <c r="E92" s="249" t="n">
        <f aca="false" t="array" ref="E92:E92">IFERROR( MEDIAN(IF(DATOS_[Sexo]=$B92,IF(DATOS_[AGRUP. CLAS. PROF.]=$B90,IF(DATOS_[Check Periodo Ref.]="Dentro",DATOS_[SALARIO BASE Ef],0)))), 0)</f>
        <v>0</v>
      </c>
      <c r="F92" s="250" t="n">
        <f aca="false" t="array" ref="F92:F92">IFERROR( MEDIAN((IF(DATOS_[[Sexo]:[Sexo]]=$B92,IF(DATOS_[[AGRUP. CLAS. PROF.]:[AGRUP. CLAS. PROF.]]=$B90,IF(DATOS_[[Check Periodo Ref.]:[Check Periodo Ref.]]="Dentro",DATOS_[Conc.Sal.01]))))), 0)</f>
        <v>0</v>
      </c>
      <c r="G92" s="250" t="n">
        <f aca="false" t="array" ref="G92:G92">IFERROR( MEDIAN((IF(DATOS_[[Sexo]:[Sexo]]=$B92,IF(DATOS_[[AGRUP. CLAS. PROF.]:[AGRUP. CLAS. PROF.]]=$B90,IF(DATOS_[[Check Periodo Ref.]:[Check Periodo Ref.]]="Dentro",DATOS_[Conc.Sal.02]))))), 0)</f>
        <v>0</v>
      </c>
      <c r="H92" s="250" t="n">
        <f aca="false" t="array" ref="H92:H92">IFERROR( MEDIAN((IF(DATOS_[[Sexo]:[Sexo]]=$B92,IF(DATOS_[[AGRUP. CLAS. PROF.]:[AGRUP. CLAS. PROF.]]=$B90,IF(DATOS_[[Check Periodo Ref.]:[Check Periodo Ref.]]="Dentro",DATOS_[Conc.Sal.03]))))), 0)</f>
        <v>0</v>
      </c>
      <c r="I92" s="250" t="n">
        <f aca="false" t="array" ref="I92:I92">IFERROR( MEDIAN((IF(DATOS_[[Sexo]:[Sexo]]=$B92,IF(DATOS_[[AGRUP. CLAS. PROF.]:[AGRUP. CLAS. PROF.]]=$B90,IF(DATOS_[[Check Periodo Ref.]:[Check Periodo Ref.]]="Dentro",DATOS_[Conc.Sal.04]))))), 0)</f>
        <v>0</v>
      </c>
      <c r="J92" s="250" t="n">
        <f aca="false" t="array" ref="J92:J92">IFERROR( MEDIAN((IF(DATOS_[[Sexo]:[Sexo]]=$B92,IF(DATOS_[[AGRUP. CLAS. PROF.]:[AGRUP. CLAS. PROF.]]=$B90,IF(DATOS_[[Check Periodo Ref.]:[Check Periodo Ref.]]="Dentro",DATOS_[Conc.Sal.05]))))), 0)</f>
        <v>0</v>
      </c>
      <c r="K92" s="250" t="n">
        <f aca="false" t="array" ref="K92:K92">IFERROR( MEDIAN((IF(DATOS_[[Sexo]:[Sexo]]=$B92,IF(DATOS_[[AGRUP. CLAS. PROF.]:[AGRUP. CLAS. PROF.]]=$B90,IF(DATOS_[[Check Periodo Ref.]:[Check Periodo Ref.]]="Dentro",DATOS_[Conc.Sal.06]))))), 0)</f>
        <v>0</v>
      </c>
      <c r="L92" s="250" t="n">
        <f aca="false" t="array" ref="L92:L92">IFERROR( MEDIAN((IF(DATOS_[[Sexo]:[Sexo]]=$B92,IF(DATOS_[[AGRUP. CLAS. PROF.]:[AGRUP. CLAS. PROF.]]=$B90,IF(DATOS_[[Check Periodo Ref.]:[Check Periodo Ref.]]="Dentro",DATOS_[Conc.Sal.07]))))), 0)</f>
        <v>0</v>
      </c>
      <c r="M92" s="250" t="n">
        <f aca="false" t="array" ref="M92:M92">IFERROR( MEDIAN((IF(DATOS_[[Sexo]:[Sexo]]=$B92,IF(DATOS_[[AGRUP. CLAS. PROF.]:[AGRUP. CLAS. PROF.]]=$B90,IF(DATOS_[[Check Periodo Ref.]:[Check Periodo Ref.]]="Dentro",DATOS_[Conc.Sal.08]))))), 0)</f>
        <v>0</v>
      </c>
      <c r="N92" s="250" t="n">
        <f aca="false" t="array" ref="N92:N92">IFERROR( MEDIAN((IF(DATOS_[[Sexo]:[Sexo]]=$B92,IF(DATOS_[[AGRUP. CLAS. PROF.]:[AGRUP. CLAS. PROF.]]=$B90,IF(DATOS_[[Check Periodo Ref.]:[Check Periodo Ref.]]="Dentro",DATOS_[Conc.Sal.09]))))), 0)</f>
        <v>0</v>
      </c>
      <c r="O92" s="250" t="n">
        <f aca="false" t="array" ref="O92:O92">IFERROR( MEDIAN((IF(DATOS_[[Sexo]:[Sexo]]=$B92,IF(DATOS_[[AGRUP. CLAS. PROF.]:[AGRUP. CLAS. PROF.]]=$B90,IF(DATOS_[[Check Periodo Ref.]:[Check Periodo Ref.]]="Dentro",DATOS_[Conc.Sal.10]))))), 0)</f>
        <v>0</v>
      </c>
      <c r="P92" s="250" t="n">
        <f aca="false" t="array" ref="P92:P92">IFERROR( MEDIAN((IF(DATOS_[[Sexo]:[Sexo]]=$B92,IF(DATOS_[[AGRUP. CLAS. PROF.]:[AGRUP. CLAS. PROF.]]=$B90,IF(DATOS_[[Check Periodo Ref.]:[Check Periodo Ref.]]="Dentro",DATOS_[Conc.Sal.11]))))), 0)</f>
        <v>0</v>
      </c>
      <c r="Q92" s="250" t="n">
        <f aca="false" t="array" ref="Q92:Q92">IFERROR( MEDIAN((IF(DATOS_[[Sexo]:[Sexo]]=$B92,IF(DATOS_[[AGRUP. CLAS. PROF.]:[AGRUP. CLAS. PROF.]]=$B90,IF(DATOS_[[Check Periodo Ref.]:[Check Periodo Ref.]]="Dentro",DATOS_[Conc.Sal.12]))))), 0)</f>
        <v>0</v>
      </c>
      <c r="R92" s="250" t="n">
        <f aca="false" t="array" ref="R92:R92">IFERROR( MEDIAN((IF(DATOS_[[Sexo]:[Sexo]]=$B92,IF(DATOS_[[AGRUP. CLAS. PROF.]:[AGRUP. CLAS. PROF.]]=$B90,IF(DATOS_[[Check Periodo Ref.]:[Check Periodo Ref.]]="Dentro",DATOS_[Conc.Sal.13]))))), 0)</f>
        <v>0</v>
      </c>
      <c r="S92" s="250" t="n">
        <f aca="false" t="array" ref="S92:S92">IFERROR( MEDIAN((IF(DATOS_[[Sexo]:[Sexo]]=$B92,IF(DATOS_[[AGRUP. CLAS. PROF.]:[AGRUP. CLAS. PROF.]]=$B90,IF(DATOS_[[Check Periodo Ref.]:[Check Periodo Ref.]]="Dentro",DATOS_[Conc.Sal.14]))))), 0)</f>
        <v>0</v>
      </c>
      <c r="T92" s="250" t="n">
        <f aca="false" t="array" ref="T92:T92">IFERROR( MEDIAN((IF(DATOS_[[Sexo]:[Sexo]]=$B92,IF(DATOS_[[AGRUP. CLAS. PROF.]:[AGRUP. CLAS. PROF.]]=$B90,IF(DATOS_[[Check Periodo Ref.]:[Check Periodo Ref.]]="Dentro",DATOS_[Conc.Sal.15]))))), 0)</f>
        <v>0</v>
      </c>
      <c r="U92" s="250" t="n">
        <f aca="false" t="array" ref="U92:U92">IFERROR( MEDIAN((IF(DATOS_[[Sexo]:[Sexo]]=$B92,IF(DATOS_[[AGRUP. CLAS. PROF.]:[AGRUP. CLAS. PROF.]]=$B90,IF(DATOS_[[Check Periodo Ref.]:[Check Periodo Ref.]]="Dentro",DATOS_[Conc.Sal.16]))))), 0)</f>
        <v>0</v>
      </c>
      <c r="V92" s="250" t="n">
        <f aca="false" t="array" ref="V92:V92">IFERROR( MEDIAN((IF(DATOS_[[Sexo]:[Sexo]]=$B92,IF(DATOS_[[AGRUP. CLAS. PROF.]:[AGRUP. CLAS. PROF.]]=$B90,IF(DATOS_[[Check Periodo Ref.]:[Check Periodo Ref.]]="Dentro",DATOS_[Conc.Sal.17]))))), 0)</f>
        <v>0</v>
      </c>
      <c r="W92" s="250" t="n">
        <f aca="false" t="array" ref="W92:W92">IFERROR( MEDIAN((IF(DATOS_[[Sexo]:[Sexo]]=$B92,IF(DATOS_[[AGRUP. CLAS. PROF.]:[AGRUP. CLAS. PROF.]]=$B90,IF(DATOS_[[Check Periodo Ref.]:[Check Periodo Ref.]]="Dentro",DATOS_[Conc.Sal.18]))))), 0)</f>
        <v>0</v>
      </c>
      <c r="X92" s="250" t="n">
        <f aca="false" t="array" ref="X92:X92">IFERROR( MEDIAN((IF(DATOS_[[Sexo]:[Sexo]]=$B92,IF(DATOS_[[AGRUP. CLAS. PROF.]:[AGRUP. CLAS. PROF.]]=$B90,IF(DATOS_[[Check Periodo Ref.]:[Check Periodo Ref.]]="Dentro",DATOS_[Conc.Sal.19]))))), 0)</f>
        <v>0</v>
      </c>
      <c r="Y92" s="250" t="n">
        <f aca="false" t="array" ref="Y92:Y92">IFERROR( MEDIAN((IF(DATOS_[[Sexo]:[Sexo]]=$B92,IF(DATOS_[[AGRUP. CLAS. PROF.]:[AGRUP. CLAS. PROF.]]=$B90,IF(DATOS_[[Check Periodo Ref.]:[Check Periodo Ref.]]="Dentro",DATOS_[Conc.Sal.20]))))), 0)</f>
        <v>0</v>
      </c>
      <c r="Z92" s="250" t="n">
        <f aca="false" t="array" ref="Z92:Z92">IFERROR( MEDIAN((IF(DATOS_[[Sexo]:[Sexo]]=$B92,IF(DATOS_[[AGRUP. CLAS. PROF.]:[AGRUP. CLAS. PROF.]]=$B90,IF(DATOS_[[Check Periodo Ref.]:[Check Periodo Ref.]]="Dentro",DATOS_[Conc.Sal.21]))))), 0)</f>
        <v>0</v>
      </c>
      <c r="AA92" s="250" t="n">
        <f aca="false" t="array" ref="AA92:AA92">IFERROR( MEDIAN((IF(DATOS_[[Sexo]:[Sexo]]=$B92,IF(DATOS_[[AGRUP. CLAS. PROF.]:[AGRUP. CLAS. PROF.]]=$B90,IF(DATOS_[[Check Periodo Ref.]:[Check Periodo Ref.]]="Dentro",DATOS_[Conc.Sal.22]))))), 0)</f>
        <v>0</v>
      </c>
      <c r="AB92" s="250" t="n">
        <f aca="false" t="array" ref="AB92:AB92">IFERROR( MEDIAN((IF(DATOS_[[Sexo]:[Sexo]]=$B92,IF(DATOS_[[AGRUP. CLAS. PROF.]:[AGRUP. CLAS. PROF.]]=$B90,IF(DATOS_[[Check Periodo Ref.]:[Check Periodo Ref.]]="Dentro",DATOS_[Conc.Sal.23]))))), 0)</f>
        <v>0</v>
      </c>
      <c r="AC92" s="250" t="n">
        <f aca="false" t="array" ref="AC92:AC92">IFERROR( MEDIAN((IF(DATOS_[[Sexo]:[Sexo]]=$B92,IF(DATOS_[[AGRUP. CLAS. PROF.]:[AGRUP. CLAS. PROF.]]=$B90,IF(DATOS_[[Check Periodo Ref.]:[Check Periodo Ref.]]="Dentro",DATOS_[Conc.Sal.24]))))), 0)</f>
        <v>0</v>
      </c>
      <c r="AD92" s="250" t="n">
        <f aca="false" t="array" ref="AD92:AD92">IFERROR( MEDIAN((IF(DATOS_[[Sexo]:[Sexo]]=$B92,IF(DATOS_[[AGRUP. CLAS. PROF.]:[AGRUP. CLAS. PROF.]]=$B90,IF(DATOS_[[Check Periodo Ref.]:[Check Periodo Ref.]]="Dentro",DATOS_[Conc.Sal.25]))))), 0)</f>
        <v>0</v>
      </c>
      <c r="AE92" s="250" t="n">
        <f aca="false" t="array" ref="AE92:AE92">IFERROR( MEDIAN((IF(DATOS_[[Sexo]:[Sexo]]=$B92,IF(DATOS_[[AGRUP. CLAS. PROF.]:[AGRUP. CLAS. PROF.]]=$B90,IF(DATOS_[[Check Periodo Ref.]:[Check Periodo Ref.]]="Dentro",DATOS_[Conc.Sal.26]))))), 0)</f>
        <v>0</v>
      </c>
      <c r="AF92" s="250" t="n">
        <f aca="false" t="array" ref="AF92:AF92">IFERROR( MEDIAN((IF(DATOS_[[Sexo]:[Sexo]]=$B92,IF(DATOS_[[AGRUP. CLAS. PROF.]:[AGRUP. CLAS. PROF.]]=$B90,IF(DATOS_[[Check Periodo Ref.]:[Check Periodo Ref.]]="Dentro",DATOS_[Conc.Sal.27]))))), 0)</f>
        <v>0</v>
      </c>
      <c r="AG92" s="250" t="n">
        <f aca="false" t="array" ref="AG92:AG92">IFERROR( MEDIAN((IF(DATOS_[[Sexo]:[Sexo]]=$B92,IF(DATOS_[[AGRUP. CLAS. PROF.]:[AGRUP. CLAS. PROF.]]=$B90,IF(DATOS_[[Check Periodo Ref.]:[Check Periodo Ref.]]="Dentro",DATOS_[Conc.Sal.28]))))), 0)</f>
        <v>0</v>
      </c>
      <c r="AH92" s="250" t="n">
        <f aca="false" t="array" ref="AH92:AH92">IFERROR( MEDIAN((IF(DATOS_[[Sexo]:[Sexo]]=$B92,IF(DATOS_[[AGRUP. CLAS. PROF.]:[AGRUP. CLAS. PROF.]]=$B90,IF(DATOS_[[Check Periodo Ref.]:[Check Periodo Ref.]]="Dentro",DATOS_[Conc.Sal.29]))))), 0)</f>
        <v>0</v>
      </c>
      <c r="AI92" s="250" t="n">
        <f aca="false" t="array" ref="AI92:AI92">IFERROR( MEDIAN((IF(DATOS_[[Sexo]:[Sexo]]=$B92,IF(DATOS_[[AGRUP. CLAS. PROF.]:[AGRUP. CLAS. PROF.]]=$B90,IF(DATOS_[[Check Periodo Ref.]:[Check Periodo Ref.]]="Dentro",DATOS_[Conc.Sal.30]))))), 0)</f>
        <v>0</v>
      </c>
      <c r="AJ92" s="251" t="n">
        <f aca="false" t="array" ref="AJ92:AJ92">IFERROR( MEDIAN(IF(DATOS_[Sexo]=$B92,IF(DATOS_[AGRUP. CLAS. PROF.]=$B90,IF(DATOS_[Check Periodo Ref.]="Dentro",DATOS_[Tot COMPL.SAL Ef],0)))), 0)</f>
        <v>0</v>
      </c>
      <c r="AK92" s="252" t="n">
        <f aca="false" t="array" ref="AK92:AK92">IFERROR( MEDIAN(IF(DATOS_[Sexo]=$B92,IF(DATOS_[AGRUP. CLAS. PROF.]=$B90,IF(DATOS_[Check Periodo Ref.]="Dentro",DATOS_[TOTAL SALARIO Ef],0)))), 0)</f>
        <v>0</v>
      </c>
      <c r="AL92" s="259" t="n">
        <f aca="false" t="array" ref="AL92:AL92">IFERROR( MEDIAN((IF(DATOS_[[Sexo]:[Sexo]]=$B92,IF(DATOS_[[AGRUP. CLAS. PROF.]:[AGRUP. CLAS. PROF.]]=$B90,IF(DATOS_[[Check Periodo Ref.]:[Check Periodo Ref.]]="Dentro",DATOS_[C.Extra.01]))))), 0)</f>
        <v>0</v>
      </c>
      <c r="AM92" s="259" t="n">
        <f aca="false" t="array" ref="AM92:AM92">IFERROR( MEDIAN((IF(DATOS_[[Sexo]:[Sexo]]=$B92,IF(DATOS_[[AGRUP. CLAS. PROF.]:[AGRUP. CLAS. PROF.]]=$B90,IF(DATOS_[[Check Periodo Ref.]:[Check Periodo Ref.]]="Dentro",DATOS_[C.Extra.02]))))), 0)</f>
        <v>0</v>
      </c>
      <c r="AN92" s="259" t="n">
        <f aca="false" t="array" ref="AN92:AN92">IFERROR( MEDIAN((IF(DATOS_[[Sexo]:[Sexo]]=$B92,IF(DATOS_[[AGRUP. CLAS. PROF.]:[AGRUP. CLAS. PROF.]]=$B90,IF(DATOS_[[Check Periodo Ref.]:[Check Periodo Ref.]]="Dentro",DATOS_[C.Extra.03]))))), 0)</f>
        <v>0</v>
      </c>
      <c r="AO92" s="259" t="n">
        <f aca="false" t="array" ref="AO92:AO92">IFERROR( MEDIAN((IF(DATOS_[[Sexo]:[Sexo]]=$B92,IF(DATOS_[[AGRUP. CLAS. PROF.]:[AGRUP. CLAS. PROF.]]=$B90,IF(DATOS_[[Check Periodo Ref.]:[Check Periodo Ref.]]="Dentro",DATOS_[C.Extra.04]))))), 0)</f>
        <v>0</v>
      </c>
      <c r="AP92" s="259" t="n">
        <f aca="false" t="array" ref="AP92:AP92">IFERROR( MEDIAN((IF(DATOS_[[Sexo]:[Sexo]]=$B92,IF(DATOS_[[AGRUP. CLAS. PROF.]:[AGRUP. CLAS. PROF.]]=$B90,IF(DATOS_[[Check Periodo Ref.]:[Check Periodo Ref.]]="Dentro",DATOS_[C.Extra.05]))))), 0)</f>
        <v>0</v>
      </c>
      <c r="AQ92" s="254" t="n">
        <f aca="false" t="array" ref="AQ92:AQ92">IFERROR( MEDIAN(IF(DATOS_[Sexo]=$B92,IF(DATOS_[AGRUP. CLAS. PROF.]=$B90,IF(DATOS_[Check Periodo Ref.]="Dentro",DATOS_[Tot Extrasalarial Ef],0)))), 0)</f>
        <v>0</v>
      </c>
      <c r="AR92" s="255" t="n">
        <f aca="false" t="array" ref="AR92:AR92">IFERROR( MEDIAN(IF(DATOS_[Sexo]=$B92,IF(DATOS_[AGRUP. CLAS. PROF.]=$B90,IF(DATOS_[Check Periodo Ref.]="Dentro",DATOS_[TOTAL Retrib Ef],0)))), 0)</f>
        <v>0</v>
      </c>
    </row>
    <row r="93" customFormat="false" ht="15.75" hidden="false" customHeight="false" outlineLevel="0" collapsed="false">
      <c r="A93" s="217" t="str">
        <f aca="false">+A94</f>
        <v>[ocultar]</v>
      </c>
      <c r="B93" s="235" t="s">
        <v>246</v>
      </c>
      <c r="C93" s="236"/>
      <c r="D93" s="237"/>
      <c r="E93" s="238" t="str">
        <f aca="false">IFERROR((E94-E95)/E94,"")</f>
        <v/>
      </c>
      <c r="F93" s="239" t="str">
        <f aca="false">IFERROR((F94-F95)/F94,"")</f>
        <v/>
      </c>
      <c r="G93" s="239" t="str">
        <f aca="false">IFERROR((G94-G95)/G94,"")</f>
        <v/>
      </c>
      <c r="H93" s="239" t="str">
        <f aca="false">IFERROR((H94-H95)/H94,"")</f>
        <v/>
      </c>
      <c r="I93" s="239"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40" t="str">
        <f aca="false">IFERROR((V94-V95)/V94,"")</f>
        <v/>
      </c>
      <c r="W93" s="240" t="str">
        <f aca="false">IFERROR((W94-W95)/W94,"")</f>
        <v/>
      </c>
      <c r="X93" s="240" t="str">
        <f aca="false">IFERROR((X94-X95)/X94,"")</f>
        <v/>
      </c>
      <c r="Y93" s="240"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1" t="str">
        <f aca="false">IFERROR((AJ94-AJ95)/AJ94,"")</f>
        <v/>
      </c>
      <c r="AK93" s="242" t="str">
        <f aca="false">IFERROR((AK94-AK95)/AK94,"")</f>
        <v/>
      </c>
      <c r="AL93" s="243" t="str">
        <f aca="false">IFERROR((AL94-AL95)/AL94,"")</f>
        <v/>
      </c>
      <c r="AM93" s="243" t="str">
        <f aca="false">IFERROR((AM94-AM95)/AM94,"")</f>
        <v/>
      </c>
      <c r="AN93" s="243" t="str">
        <f aca="false">IFERROR((AN94-AN95)/AN94,"")</f>
        <v/>
      </c>
      <c r="AO93" s="243" t="str">
        <f aca="false">IFERROR((AO94-AO95)/AO94,"")</f>
        <v/>
      </c>
      <c r="AP93" s="243" t="str">
        <f aca="false">IFERROR((AP94-AP95)/AP94,"")</f>
        <v/>
      </c>
      <c r="AQ93" s="244" t="str">
        <f aca="false">IFERROR((AQ94-AQ95)/AQ94,"")</f>
        <v/>
      </c>
      <c r="AR93" s="245" t="str">
        <f aca="false">IFERROR((AR94-AR95)/AR94,"")</f>
        <v/>
      </c>
    </row>
    <row r="94" customFormat="false" ht="14.25" hidden="false" customHeight="false" outlineLevel="0" collapsed="false">
      <c r="A94" s="217" t="str">
        <f aca="false">+IF(C94+C95=0,"[ocultar]","")</f>
        <v>[ocultar]</v>
      </c>
      <c r="B94" s="246" t="s">
        <v>371</v>
      </c>
      <c r="C94" s="247" t="n">
        <f aca="false" t="array" ref="C94:C94">SUM(IF($B94=DATOS_[Sexo], IF($B93=DATOS_[AGRUP. CLAS. PROF.], IF("Dentro"=DATOS_[Check Periodo Ref.], 1/(COUNTIFS(DATOS_[Sexo],$B94,DATOS_[AGRUP. CLAS. PROF.],$B93,DATOS_[Check Periodo Ref.],"Dentro",DATOS_[id],DATOS_[id]))))))</f>
        <v>0</v>
      </c>
      <c r="D94" s="248" t="n">
        <f aca="false">COUNTIFS(DATOS_[AGRUP. CLAS. PROF.],$B93,DATOS_[Sexo],$B94,DATOS_[Check Periodo Ref.],"Dentro")</f>
        <v>0</v>
      </c>
      <c r="E94" s="249" t="n">
        <f aca="false" t="array" ref="E94:E94">IFERROR( MEDIAN(IF(DATOS_[Sexo]=$B94,IF(DATOS_[AGRUP. CLAS. PROF.]=$B93,IF(DATOS_[Check Periodo Ref.]="Dentro",DATOS_[SALARIO BASE Ef],0)))), 0)</f>
        <v>0</v>
      </c>
      <c r="F94" s="250" t="n">
        <f aca="false" t="array" ref="F94:F94">IFERROR( MEDIAN((IF(DATOS_[[Sexo]:[Sexo]]=$B94,IF(DATOS_[[AGRUP. CLAS. PROF.]:[AGRUP. CLAS. PROF.]]=$B93,IF(DATOS_[[Check Periodo Ref.]:[Check Periodo Ref.]]="Dentro",DATOS_[Conc.Sal.01]))))), 0)</f>
        <v>0</v>
      </c>
      <c r="G94" s="250" t="n">
        <f aca="false" t="array" ref="G94:G94">IFERROR( MEDIAN((IF(DATOS_[[Sexo]:[Sexo]]=$B94,IF(DATOS_[[AGRUP. CLAS. PROF.]:[AGRUP. CLAS. PROF.]]=$B93,IF(DATOS_[[Check Periodo Ref.]:[Check Periodo Ref.]]="Dentro",DATOS_[Conc.Sal.02]))))), 0)</f>
        <v>0</v>
      </c>
      <c r="H94" s="250" t="n">
        <f aca="false" t="array" ref="H94:H94">IFERROR( MEDIAN((IF(DATOS_[[Sexo]:[Sexo]]=$B94,IF(DATOS_[[AGRUP. CLAS. PROF.]:[AGRUP. CLAS. PROF.]]=$B93,IF(DATOS_[[Check Periodo Ref.]:[Check Periodo Ref.]]="Dentro",DATOS_[Conc.Sal.03]))))), 0)</f>
        <v>0</v>
      </c>
      <c r="I94" s="250" t="n">
        <f aca="false" t="array" ref="I94:I94">IFERROR( MEDIAN((IF(DATOS_[[Sexo]:[Sexo]]=$B94,IF(DATOS_[[AGRUP. CLAS. PROF.]:[AGRUP. CLAS. PROF.]]=$B93,IF(DATOS_[[Check Periodo Ref.]:[Check Periodo Ref.]]="Dentro",DATOS_[Conc.Sal.04]))))), 0)</f>
        <v>0</v>
      </c>
      <c r="J94" s="250" t="n">
        <f aca="false" t="array" ref="J94:J94">IFERROR( MEDIAN((IF(DATOS_[[Sexo]:[Sexo]]=$B94,IF(DATOS_[[AGRUP. CLAS. PROF.]:[AGRUP. CLAS. PROF.]]=$B93,IF(DATOS_[[Check Periodo Ref.]:[Check Periodo Ref.]]="Dentro",DATOS_[Conc.Sal.05]))))), 0)</f>
        <v>0</v>
      </c>
      <c r="K94" s="250" t="n">
        <f aca="false" t="array" ref="K94:K94">IFERROR( MEDIAN((IF(DATOS_[[Sexo]:[Sexo]]=$B94,IF(DATOS_[[AGRUP. CLAS. PROF.]:[AGRUP. CLAS. PROF.]]=$B93,IF(DATOS_[[Check Periodo Ref.]:[Check Periodo Ref.]]="Dentro",DATOS_[Conc.Sal.06]))))), 0)</f>
        <v>0</v>
      </c>
      <c r="L94" s="250" t="n">
        <f aca="false" t="array" ref="L94:L94">IFERROR( MEDIAN((IF(DATOS_[[Sexo]:[Sexo]]=$B94,IF(DATOS_[[AGRUP. CLAS. PROF.]:[AGRUP. CLAS. PROF.]]=$B93,IF(DATOS_[[Check Periodo Ref.]:[Check Periodo Ref.]]="Dentro",DATOS_[Conc.Sal.07]))))), 0)</f>
        <v>0</v>
      </c>
      <c r="M94" s="250" t="n">
        <f aca="false" t="array" ref="M94:M94">IFERROR( MEDIAN((IF(DATOS_[[Sexo]:[Sexo]]=$B94,IF(DATOS_[[AGRUP. CLAS. PROF.]:[AGRUP. CLAS. PROF.]]=$B93,IF(DATOS_[[Check Periodo Ref.]:[Check Periodo Ref.]]="Dentro",DATOS_[Conc.Sal.08]))))), 0)</f>
        <v>0</v>
      </c>
      <c r="N94" s="250" t="n">
        <f aca="false" t="array" ref="N94:N94">IFERROR( MEDIAN((IF(DATOS_[[Sexo]:[Sexo]]=$B94,IF(DATOS_[[AGRUP. CLAS. PROF.]:[AGRUP. CLAS. PROF.]]=$B93,IF(DATOS_[[Check Periodo Ref.]:[Check Periodo Ref.]]="Dentro",DATOS_[Conc.Sal.09]))))), 0)</f>
        <v>0</v>
      </c>
      <c r="O94" s="250" t="n">
        <f aca="false" t="array" ref="O94:O94">IFERROR( MEDIAN((IF(DATOS_[[Sexo]:[Sexo]]=$B94,IF(DATOS_[[AGRUP. CLAS. PROF.]:[AGRUP. CLAS. PROF.]]=$B93,IF(DATOS_[[Check Periodo Ref.]:[Check Periodo Ref.]]="Dentro",DATOS_[Conc.Sal.10]))))), 0)</f>
        <v>0</v>
      </c>
      <c r="P94" s="250" t="n">
        <f aca="false" t="array" ref="P94:P94">IFERROR( MEDIAN((IF(DATOS_[[Sexo]:[Sexo]]=$B94,IF(DATOS_[[AGRUP. CLAS. PROF.]:[AGRUP. CLAS. PROF.]]=$B93,IF(DATOS_[[Check Periodo Ref.]:[Check Periodo Ref.]]="Dentro",DATOS_[Conc.Sal.11]))))), 0)</f>
        <v>0</v>
      </c>
      <c r="Q94" s="250" t="n">
        <f aca="false" t="array" ref="Q94:Q94">IFERROR( MEDIAN((IF(DATOS_[[Sexo]:[Sexo]]=$B94,IF(DATOS_[[AGRUP. CLAS. PROF.]:[AGRUP. CLAS. PROF.]]=$B93,IF(DATOS_[[Check Periodo Ref.]:[Check Periodo Ref.]]="Dentro",DATOS_[Conc.Sal.12]))))), 0)</f>
        <v>0</v>
      </c>
      <c r="R94" s="250" t="n">
        <f aca="false" t="array" ref="R94:R94">IFERROR( MEDIAN((IF(DATOS_[[Sexo]:[Sexo]]=$B94,IF(DATOS_[[AGRUP. CLAS. PROF.]:[AGRUP. CLAS. PROF.]]=$B93,IF(DATOS_[[Check Periodo Ref.]:[Check Periodo Ref.]]="Dentro",DATOS_[Conc.Sal.13]))))), 0)</f>
        <v>0</v>
      </c>
      <c r="S94" s="250" t="n">
        <f aca="false" t="array" ref="S94:S94">IFERROR( MEDIAN((IF(DATOS_[[Sexo]:[Sexo]]=$B94,IF(DATOS_[[AGRUP. CLAS. PROF.]:[AGRUP. CLAS. PROF.]]=$B93,IF(DATOS_[[Check Periodo Ref.]:[Check Periodo Ref.]]="Dentro",DATOS_[Conc.Sal.14]))))), 0)</f>
        <v>0</v>
      </c>
      <c r="T94" s="250" t="n">
        <f aca="false" t="array" ref="T94:T94">IFERROR( MEDIAN((IF(DATOS_[[Sexo]:[Sexo]]=$B94,IF(DATOS_[[AGRUP. CLAS. PROF.]:[AGRUP. CLAS. PROF.]]=$B93,IF(DATOS_[[Check Periodo Ref.]:[Check Periodo Ref.]]="Dentro",DATOS_[Conc.Sal.15]))))), 0)</f>
        <v>0</v>
      </c>
      <c r="U94" s="250" t="n">
        <f aca="false" t="array" ref="U94:U94">IFERROR( MEDIAN((IF(DATOS_[[Sexo]:[Sexo]]=$B94,IF(DATOS_[[AGRUP. CLAS. PROF.]:[AGRUP. CLAS. PROF.]]=$B93,IF(DATOS_[[Check Periodo Ref.]:[Check Periodo Ref.]]="Dentro",DATOS_[Conc.Sal.16]))))), 0)</f>
        <v>0</v>
      </c>
      <c r="V94" s="250" t="n">
        <f aca="false" t="array" ref="V94:V94">IFERROR( MEDIAN((IF(DATOS_[[Sexo]:[Sexo]]=$B94,IF(DATOS_[[AGRUP. CLAS. PROF.]:[AGRUP. CLAS. PROF.]]=$B93,IF(DATOS_[[Check Periodo Ref.]:[Check Periodo Ref.]]="Dentro",DATOS_[Conc.Sal.17]))))), 0)</f>
        <v>0</v>
      </c>
      <c r="W94" s="250" t="n">
        <f aca="false" t="array" ref="W94:W94">IFERROR( MEDIAN((IF(DATOS_[[Sexo]:[Sexo]]=$B94,IF(DATOS_[[AGRUP. CLAS. PROF.]:[AGRUP. CLAS. PROF.]]=$B93,IF(DATOS_[[Check Periodo Ref.]:[Check Periodo Ref.]]="Dentro",DATOS_[Conc.Sal.18]))))), 0)</f>
        <v>0</v>
      </c>
      <c r="X94" s="250" t="n">
        <f aca="false" t="array" ref="X94:X94">IFERROR( MEDIAN((IF(DATOS_[[Sexo]:[Sexo]]=$B94,IF(DATOS_[[AGRUP. CLAS. PROF.]:[AGRUP. CLAS. PROF.]]=$B93,IF(DATOS_[[Check Periodo Ref.]:[Check Periodo Ref.]]="Dentro",DATOS_[Conc.Sal.19]))))), 0)</f>
        <v>0</v>
      </c>
      <c r="Y94" s="250" t="n">
        <f aca="false" t="array" ref="Y94:Y94">IFERROR( MEDIAN((IF(DATOS_[[Sexo]:[Sexo]]=$B94,IF(DATOS_[[AGRUP. CLAS. PROF.]:[AGRUP. CLAS. PROF.]]=$B93,IF(DATOS_[[Check Periodo Ref.]:[Check Periodo Ref.]]="Dentro",DATOS_[Conc.Sal.20]))))), 0)</f>
        <v>0</v>
      </c>
      <c r="Z94" s="250" t="n">
        <f aca="false" t="array" ref="Z94:Z94">IFERROR( MEDIAN((IF(DATOS_[[Sexo]:[Sexo]]=$B94,IF(DATOS_[[AGRUP. CLAS. PROF.]:[AGRUP. CLAS. PROF.]]=$B93,IF(DATOS_[[Check Periodo Ref.]:[Check Periodo Ref.]]="Dentro",DATOS_[Conc.Sal.21]))))), 0)</f>
        <v>0</v>
      </c>
      <c r="AA94" s="250" t="n">
        <f aca="false" t="array" ref="AA94:AA94">IFERROR( MEDIAN((IF(DATOS_[[Sexo]:[Sexo]]=$B94,IF(DATOS_[[AGRUP. CLAS. PROF.]:[AGRUP. CLAS. PROF.]]=$B93,IF(DATOS_[[Check Periodo Ref.]:[Check Periodo Ref.]]="Dentro",DATOS_[Conc.Sal.22]))))), 0)</f>
        <v>0</v>
      </c>
      <c r="AB94" s="250" t="n">
        <f aca="false" t="array" ref="AB94:AB94">IFERROR( MEDIAN((IF(DATOS_[[Sexo]:[Sexo]]=$B94,IF(DATOS_[[AGRUP. CLAS. PROF.]:[AGRUP. CLAS. PROF.]]=$B93,IF(DATOS_[[Check Periodo Ref.]:[Check Periodo Ref.]]="Dentro",DATOS_[Conc.Sal.23]))))), 0)</f>
        <v>0</v>
      </c>
      <c r="AC94" s="250" t="n">
        <f aca="false" t="array" ref="AC94:AC94">IFERROR( MEDIAN((IF(DATOS_[[Sexo]:[Sexo]]=$B94,IF(DATOS_[[AGRUP. CLAS. PROF.]:[AGRUP. CLAS. PROF.]]=$B93,IF(DATOS_[[Check Periodo Ref.]:[Check Periodo Ref.]]="Dentro",DATOS_[Conc.Sal.24]))))), 0)</f>
        <v>0</v>
      </c>
      <c r="AD94" s="250" t="n">
        <f aca="false" t="array" ref="AD94:AD94">IFERROR( MEDIAN((IF(DATOS_[[Sexo]:[Sexo]]=$B94,IF(DATOS_[[AGRUP. CLAS. PROF.]:[AGRUP. CLAS. PROF.]]=$B93,IF(DATOS_[[Check Periodo Ref.]:[Check Periodo Ref.]]="Dentro",DATOS_[Conc.Sal.25]))))), 0)</f>
        <v>0</v>
      </c>
      <c r="AE94" s="250" t="n">
        <f aca="false" t="array" ref="AE94:AE94">IFERROR( MEDIAN((IF(DATOS_[[Sexo]:[Sexo]]=$B94,IF(DATOS_[[AGRUP. CLAS. PROF.]:[AGRUP. CLAS. PROF.]]=$B93,IF(DATOS_[[Check Periodo Ref.]:[Check Periodo Ref.]]="Dentro",DATOS_[Conc.Sal.26]))))), 0)</f>
        <v>0</v>
      </c>
      <c r="AF94" s="250" t="n">
        <f aca="false" t="array" ref="AF94:AF94">IFERROR( MEDIAN((IF(DATOS_[[Sexo]:[Sexo]]=$B94,IF(DATOS_[[AGRUP. CLAS. PROF.]:[AGRUP. CLAS. PROF.]]=$B93,IF(DATOS_[[Check Periodo Ref.]:[Check Periodo Ref.]]="Dentro",DATOS_[Conc.Sal.27]))))), 0)</f>
        <v>0</v>
      </c>
      <c r="AG94" s="250" t="n">
        <f aca="false" t="array" ref="AG94:AG94">IFERROR( MEDIAN((IF(DATOS_[[Sexo]:[Sexo]]=$B94,IF(DATOS_[[AGRUP. CLAS. PROF.]:[AGRUP. CLAS. PROF.]]=$B93,IF(DATOS_[[Check Periodo Ref.]:[Check Periodo Ref.]]="Dentro",DATOS_[Conc.Sal.28]))))), 0)</f>
        <v>0</v>
      </c>
      <c r="AH94" s="250" t="n">
        <f aca="false" t="array" ref="AH94:AH94">IFERROR( MEDIAN((IF(DATOS_[[Sexo]:[Sexo]]=$B94,IF(DATOS_[[AGRUP. CLAS. PROF.]:[AGRUP. CLAS. PROF.]]=$B93,IF(DATOS_[[Check Periodo Ref.]:[Check Periodo Ref.]]="Dentro",DATOS_[Conc.Sal.29]))))), 0)</f>
        <v>0</v>
      </c>
      <c r="AI94" s="250" t="n">
        <f aca="false" t="array" ref="AI94:AI94">IFERROR( MEDIAN((IF(DATOS_[[Sexo]:[Sexo]]=$B94,IF(DATOS_[[AGRUP. CLAS. PROF.]:[AGRUP. CLAS. PROF.]]=$B93,IF(DATOS_[[Check Periodo Ref.]:[Check Periodo Ref.]]="Dentro",DATOS_[Conc.Sal.30]))))), 0)</f>
        <v>0</v>
      </c>
      <c r="AJ94" s="251" t="n">
        <f aca="false" t="array" ref="AJ94:AJ94">IFERROR( MEDIAN(IF(DATOS_[Sexo]=$B94,IF(DATOS_[AGRUP. CLAS. PROF.]=$B93,IF(DATOS_[Check Periodo Ref.]="Dentro",DATOS_[Tot COMPL.SAL Ef],0)))), 0)</f>
        <v>0</v>
      </c>
      <c r="AK94" s="252" t="n">
        <f aca="false" t="array" ref="AK94:AK94">IFERROR( MEDIAN(IF(DATOS_[Sexo]=$B94,IF(DATOS_[AGRUP. CLAS. PROF.]=$B93,IF(DATOS_[Check Periodo Ref.]="Dentro",DATOS_[TOTAL SALARIO Ef],0)))), 0)</f>
        <v>0</v>
      </c>
      <c r="AL94" s="259" t="n">
        <f aca="false" t="array" ref="AL94:AL94">IFERROR( MEDIAN((IF(DATOS_[[Sexo]:[Sexo]]=$B94,IF(DATOS_[[AGRUP. CLAS. PROF.]:[AGRUP. CLAS. PROF.]]=$B93,IF(DATOS_[[Check Periodo Ref.]:[Check Periodo Ref.]]="Dentro",DATOS_[C.Extra.01]))))), 0)</f>
        <v>0</v>
      </c>
      <c r="AM94" s="259" t="n">
        <f aca="false" t="array" ref="AM94:AM94">IFERROR( MEDIAN((IF(DATOS_[[Sexo]:[Sexo]]=$B94,IF(DATOS_[[AGRUP. CLAS. PROF.]:[AGRUP. CLAS. PROF.]]=$B93,IF(DATOS_[[Check Periodo Ref.]:[Check Periodo Ref.]]="Dentro",DATOS_[C.Extra.02]))))), 0)</f>
        <v>0</v>
      </c>
      <c r="AN94" s="259" t="n">
        <f aca="false" t="array" ref="AN94:AN94">IFERROR( MEDIAN((IF(DATOS_[[Sexo]:[Sexo]]=$B94,IF(DATOS_[[AGRUP. CLAS. PROF.]:[AGRUP. CLAS. PROF.]]=$B93,IF(DATOS_[[Check Periodo Ref.]:[Check Periodo Ref.]]="Dentro",DATOS_[C.Extra.03]))))), 0)</f>
        <v>0</v>
      </c>
      <c r="AO94" s="259" t="n">
        <f aca="false" t="array" ref="AO94:AO94">IFERROR( MEDIAN((IF(DATOS_[[Sexo]:[Sexo]]=$B94,IF(DATOS_[[AGRUP. CLAS. PROF.]:[AGRUP. CLAS. PROF.]]=$B93,IF(DATOS_[[Check Periodo Ref.]:[Check Periodo Ref.]]="Dentro",DATOS_[C.Extra.04]))))), 0)</f>
        <v>0</v>
      </c>
      <c r="AP94" s="259" t="n">
        <f aca="false" t="array" ref="AP94:AP94">IFERROR( MEDIAN((IF(DATOS_[[Sexo]:[Sexo]]=$B94,IF(DATOS_[[AGRUP. CLAS. PROF.]:[AGRUP. CLAS. PROF.]]=$B93,IF(DATOS_[[Check Periodo Ref.]:[Check Periodo Ref.]]="Dentro",DATOS_[C.Extra.05]))))), 0)</f>
        <v>0</v>
      </c>
      <c r="AQ94" s="254" t="n">
        <f aca="false" t="array" ref="AQ94:AQ94">IFERROR( MEDIAN(IF(DATOS_[Sexo]=$B94,IF(DATOS_[AGRUP. CLAS. PROF.]=$B93,IF(DATOS_[Check Periodo Ref.]="Dentro",DATOS_[Tot Extrasalarial Ef],0)))), 0)</f>
        <v>0</v>
      </c>
      <c r="AR94" s="255" t="n">
        <f aca="false" t="array" ref="AR94:AR94">IFERROR( MEDIAN(IF(DATOS_[Sexo]=$B94,IF(DATOS_[AGRUP. CLAS. PROF.]=$B93,IF(DATOS_[Check Periodo Ref.]="Dentro",DATOS_[TOTAL Retrib Ef],0)))), 0)</f>
        <v>0</v>
      </c>
    </row>
    <row r="95" customFormat="false" ht="14.25" hidden="false" customHeight="false" outlineLevel="0" collapsed="false">
      <c r="A95" s="217" t="str">
        <f aca="false">+A94</f>
        <v>[ocultar]</v>
      </c>
      <c r="B95" s="246" t="s">
        <v>372</v>
      </c>
      <c r="C95" s="247" t="n">
        <f aca="false" t="array" ref="C95:C95">SUM(IF($B95=DATOS_[Sexo], IF($B93=DATOS_[AGRUP. CLAS. PROF.], IF("Dentro"=DATOS_[Check Periodo Ref.], 1/(COUNTIFS(DATOS_[Sexo],$B95,DATOS_[AGRUP. CLAS. PROF.],$B93,DATOS_[Check Periodo Ref.],"Dentro",DATOS_[id],DATOS_[id]))))))</f>
        <v>0</v>
      </c>
      <c r="D95" s="248" t="n">
        <f aca="false">COUNTIFS(DATOS_[AGRUP. CLAS. PROF.],$B93,DATOS_[Sexo],$B95,DATOS_[Check Periodo Ref.],"Dentro")</f>
        <v>0</v>
      </c>
      <c r="E95" s="249" t="n">
        <f aca="false" t="array" ref="E95:E95">IFERROR( MEDIAN(IF(DATOS_[Sexo]=$B95,IF(DATOS_[AGRUP. CLAS. PROF.]=$B93,IF(DATOS_[Check Periodo Ref.]="Dentro",DATOS_[SALARIO BASE Ef],0)))), 0)</f>
        <v>0</v>
      </c>
      <c r="F95" s="250" t="n">
        <f aca="false" t="array" ref="F95:F95">IFERROR( MEDIAN((IF(DATOS_[[Sexo]:[Sexo]]=$B95,IF(DATOS_[[AGRUP. CLAS. PROF.]:[AGRUP. CLAS. PROF.]]=$B93,IF(DATOS_[[Check Periodo Ref.]:[Check Periodo Ref.]]="Dentro",DATOS_[Conc.Sal.01]))))), 0)</f>
        <v>0</v>
      </c>
      <c r="G95" s="250" t="n">
        <f aca="false" t="array" ref="G95:G95">IFERROR( MEDIAN((IF(DATOS_[[Sexo]:[Sexo]]=$B95,IF(DATOS_[[AGRUP. CLAS. PROF.]:[AGRUP. CLAS. PROF.]]=$B93,IF(DATOS_[[Check Periodo Ref.]:[Check Periodo Ref.]]="Dentro",DATOS_[Conc.Sal.02]))))), 0)</f>
        <v>0</v>
      </c>
      <c r="H95" s="250" t="n">
        <f aca="false" t="array" ref="H95:H95">IFERROR( MEDIAN((IF(DATOS_[[Sexo]:[Sexo]]=$B95,IF(DATOS_[[AGRUP. CLAS. PROF.]:[AGRUP. CLAS. PROF.]]=$B93,IF(DATOS_[[Check Periodo Ref.]:[Check Periodo Ref.]]="Dentro",DATOS_[Conc.Sal.03]))))), 0)</f>
        <v>0</v>
      </c>
      <c r="I95" s="250" t="n">
        <f aca="false" t="array" ref="I95:I95">IFERROR( MEDIAN((IF(DATOS_[[Sexo]:[Sexo]]=$B95,IF(DATOS_[[AGRUP. CLAS. PROF.]:[AGRUP. CLAS. PROF.]]=$B93,IF(DATOS_[[Check Periodo Ref.]:[Check Periodo Ref.]]="Dentro",DATOS_[Conc.Sal.04]))))), 0)</f>
        <v>0</v>
      </c>
      <c r="J95" s="250" t="n">
        <f aca="false" t="array" ref="J95:J95">IFERROR( MEDIAN((IF(DATOS_[[Sexo]:[Sexo]]=$B95,IF(DATOS_[[AGRUP. CLAS. PROF.]:[AGRUP. CLAS. PROF.]]=$B93,IF(DATOS_[[Check Periodo Ref.]:[Check Periodo Ref.]]="Dentro",DATOS_[Conc.Sal.05]))))), 0)</f>
        <v>0</v>
      </c>
      <c r="K95" s="250" t="n">
        <f aca="false" t="array" ref="K95:K95">IFERROR( MEDIAN((IF(DATOS_[[Sexo]:[Sexo]]=$B95,IF(DATOS_[[AGRUP. CLAS. PROF.]:[AGRUP. CLAS. PROF.]]=$B93,IF(DATOS_[[Check Periodo Ref.]:[Check Periodo Ref.]]="Dentro",DATOS_[Conc.Sal.06]))))), 0)</f>
        <v>0</v>
      </c>
      <c r="L95" s="250" t="n">
        <f aca="false" t="array" ref="L95:L95">IFERROR( MEDIAN((IF(DATOS_[[Sexo]:[Sexo]]=$B95,IF(DATOS_[[AGRUP. CLAS. PROF.]:[AGRUP. CLAS. PROF.]]=$B93,IF(DATOS_[[Check Periodo Ref.]:[Check Periodo Ref.]]="Dentro",DATOS_[Conc.Sal.07]))))), 0)</f>
        <v>0</v>
      </c>
      <c r="M95" s="250" t="n">
        <f aca="false" t="array" ref="M95:M95">IFERROR( MEDIAN((IF(DATOS_[[Sexo]:[Sexo]]=$B95,IF(DATOS_[[AGRUP. CLAS. PROF.]:[AGRUP. CLAS. PROF.]]=$B93,IF(DATOS_[[Check Periodo Ref.]:[Check Periodo Ref.]]="Dentro",DATOS_[Conc.Sal.08]))))), 0)</f>
        <v>0</v>
      </c>
      <c r="N95" s="250" t="n">
        <f aca="false" t="array" ref="N95:N95">IFERROR( MEDIAN((IF(DATOS_[[Sexo]:[Sexo]]=$B95,IF(DATOS_[[AGRUP. CLAS. PROF.]:[AGRUP. CLAS. PROF.]]=$B93,IF(DATOS_[[Check Periodo Ref.]:[Check Periodo Ref.]]="Dentro",DATOS_[Conc.Sal.09]))))), 0)</f>
        <v>0</v>
      </c>
      <c r="O95" s="250" t="n">
        <f aca="false" t="array" ref="O95:O95">IFERROR( MEDIAN((IF(DATOS_[[Sexo]:[Sexo]]=$B95,IF(DATOS_[[AGRUP. CLAS. PROF.]:[AGRUP. CLAS. PROF.]]=$B93,IF(DATOS_[[Check Periodo Ref.]:[Check Periodo Ref.]]="Dentro",DATOS_[Conc.Sal.10]))))), 0)</f>
        <v>0</v>
      </c>
      <c r="P95" s="250" t="n">
        <f aca="false" t="array" ref="P95:P95">IFERROR( MEDIAN((IF(DATOS_[[Sexo]:[Sexo]]=$B95,IF(DATOS_[[AGRUP. CLAS. PROF.]:[AGRUP. CLAS. PROF.]]=$B93,IF(DATOS_[[Check Periodo Ref.]:[Check Periodo Ref.]]="Dentro",DATOS_[Conc.Sal.11]))))), 0)</f>
        <v>0</v>
      </c>
      <c r="Q95" s="250" t="n">
        <f aca="false" t="array" ref="Q95:Q95">IFERROR( MEDIAN((IF(DATOS_[[Sexo]:[Sexo]]=$B95,IF(DATOS_[[AGRUP. CLAS. PROF.]:[AGRUP. CLAS. PROF.]]=$B93,IF(DATOS_[[Check Periodo Ref.]:[Check Periodo Ref.]]="Dentro",DATOS_[Conc.Sal.12]))))), 0)</f>
        <v>0</v>
      </c>
      <c r="R95" s="250" t="n">
        <f aca="false" t="array" ref="R95:R95">IFERROR( MEDIAN((IF(DATOS_[[Sexo]:[Sexo]]=$B95,IF(DATOS_[[AGRUP. CLAS. PROF.]:[AGRUP. CLAS. PROF.]]=$B93,IF(DATOS_[[Check Periodo Ref.]:[Check Periodo Ref.]]="Dentro",DATOS_[Conc.Sal.13]))))), 0)</f>
        <v>0</v>
      </c>
      <c r="S95" s="250" t="n">
        <f aca="false" t="array" ref="S95:S95">IFERROR( MEDIAN((IF(DATOS_[[Sexo]:[Sexo]]=$B95,IF(DATOS_[[AGRUP. CLAS. PROF.]:[AGRUP. CLAS. PROF.]]=$B93,IF(DATOS_[[Check Periodo Ref.]:[Check Periodo Ref.]]="Dentro",DATOS_[Conc.Sal.14]))))), 0)</f>
        <v>0</v>
      </c>
      <c r="T95" s="250" t="n">
        <f aca="false" t="array" ref="T95:T95">IFERROR( MEDIAN((IF(DATOS_[[Sexo]:[Sexo]]=$B95,IF(DATOS_[[AGRUP. CLAS. PROF.]:[AGRUP. CLAS. PROF.]]=$B93,IF(DATOS_[[Check Periodo Ref.]:[Check Periodo Ref.]]="Dentro",DATOS_[Conc.Sal.15]))))), 0)</f>
        <v>0</v>
      </c>
      <c r="U95" s="250" t="n">
        <f aca="false" t="array" ref="U95:U95">IFERROR( MEDIAN((IF(DATOS_[[Sexo]:[Sexo]]=$B95,IF(DATOS_[[AGRUP. CLAS. PROF.]:[AGRUP. CLAS. PROF.]]=$B93,IF(DATOS_[[Check Periodo Ref.]:[Check Periodo Ref.]]="Dentro",DATOS_[Conc.Sal.16]))))), 0)</f>
        <v>0</v>
      </c>
      <c r="V95" s="250" t="n">
        <f aca="false" t="array" ref="V95:V95">IFERROR( MEDIAN((IF(DATOS_[[Sexo]:[Sexo]]=$B95,IF(DATOS_[[AGRUP. CLAS. PROF.]:[AGRUP. CLAS. PROF.]]=$B93,IF(DATOS_[[Check Periodo Ref.]:[Check Periodo Ref.]]="Dentro",DATOS_[Conc.Sal.17]))))), 0)</f>
        <v>0</v>
      </c>
      <c r="W95" s="250" t="n">
        <f aca="false" t="array" ref="W95:W95">IFERROR( MEDIAN((IF(DATOS_[[Sexo]:[Sexo]]=$B95,IF(DATOS_[[AGRUP. CLAS. PROF.]:[AGRUP. CLAS. PROF.]]=$B93,IF(DATOS_[[Check Periodo Ref.]:[Check Periodo Ref.]]="Dentro",DATOS_[Conc.Sal.18]))))), 0)</f>
        <v>0</v>
      </c>
      <c r="X95" s="250" t="n">
        <f aca="false" t="array" ref="X95:X95">IFERROR( MEDIAN((IF(DATOS_[[Sexo]:[Sexo]]=$B95,IF(DATOS_[[AGRUP. CLAS. PROF.]:[AGRUP. CLAS. PROF.]]=$B93,IF(DATOS_[[Check Periodo Ref.]:[Check Periodo Ref.]]="Dentro",DATOS_[Conc.Sal.19]))))), 0)</f>
        <v>0</v>
      </c>
      <c r="Y95" s="250" t="n">
        <f aca="false" t="array" ref="Y95:Y95">IFERROR( MEDIAN((IF(DATOS_[[Sexo]:[Sexo]]=$B95,IF(DATOS_[[AGRUP. CLAS. PROF.]:[AGRUP. CLAS. PROF.]]=$B93,IF(DATOS_[[Check Periodo Ref.]:[Check Periodo Ref.]]="Dentro",DATOS_[Conc.Sal.20]))))), 0)</f>
        <v>0</v>
      </c>
      <c r="Z95" s="250" t="n">
        <f aca="false" t="array" ref="Z95:Z95">IFERROR( MEDIAN((IF(DATOS_[[Sexo]:[Sexo]]=$B95,IF(DATOS_[[AGRUP. CLAS. PROF.]:[AGRUP. CLAS. PROF.]]=$B93,IF(DATOS_[[Check Periodo Ref.]:[Check Periodo Ref.]]="Dentro",DATOS_[Conc.Sal.21]))))), 0)</f>
        <v>0</v>
      </c>
      <c r="AA95" s="250" t="n">
        <f aca="false" t="array" ref="AA95:AA95">IFERROR( MEDIAN((IF(DATOS_[[Sexo]:[Sexo]]=$B95,IF(DATOS_[[AGRUP. CLAS. PROF.]:[AGRUP. CLAS. PROF.]]=$B93,IF(DATOS_[[Check Periodo Ref.]:[Check Periodo Ref.]]="Dentro",DATOS_[Conc.Sal.22]))))), 0)</f>
        <v>0</v>
      </c>
      <c r="AB95" s="250" t="n">
        <f aca="false" t="array" ref="AB95:AB95">IFERROR( MEDIAN((IF(DATOS_[[Sexo]:[Sexo]]=$B95,IF(DATOS_[[AGRUP. CLAS. PROF.]:[AGRUP. CLAS. PROF.]]=$B93,IF(DATOS_[[Check Periodo Ref.]:[Check Periodo Ref.]]="Dentro",DATOS_[Conc.Sal.23]))))), 0)</f>
        <v>0</v>
      </c>
      <c r="AC95" s="250" t="n">
        <f aca="false" t="array" ref="AC95:AC95">IFERROR( MEDIAN((IF(DATOS_[[Sexo]:[Sexo]]=$B95,IF(DATOS_[[AGRUP. CLAS. PROF.]:[AGRUP. CLAS. PROF.]]=$B93,IF(DATOS_[[Check Periodo Ref.]:[Check Periodo Ref.]]="Dentro",DATOS_[Conc.Sal.24]))))), 0)</f>
        <v>0</v>
      </c>
      <c r="AD95" s="250" t="n">
        <f aca="false" t="array" ref="AD95:AD95">IFERROR( MEDIAN((IF(DATOS_[[Sexo]:[Sexo]]=$B95,IF(DATOS_[[AGRUP. CLAS. PROF.]:[AGRUP. CLAS. PROF.]]=$B93,IF(DATOS_[[Check Periodo Ref.]:[Check Periodo Ref.]]="Dentro",DATOS_[Conc.Sal.25]))))), 0)</f>
        <v>0</v>
      </c>
      <c r="AE95" s="250" t="n">
        <f aca="false" t="array" ref="AE95:AE95">IFERROR( MEDIAN((IF(DATOS_[[Sexo]:[Sexo]]=$B95,IF(DATOS_[[AGRUP. CLAS. PROF.]:[AGRUP. CLAS. PROF.]]=$B93,IF(DATOS_[[Check Periodo Ref.]:[Check Periodo Ref.]]="Dentro",DATOS_[Conc.Sal.26]))))), 0)</f>
        <v>0</v>
      </c>
      <c r="AF95" s="250" t="n">
        <f aca="false" t="array" ref="AF95:AF95">IFERROR( MEDIAN((IF(DATOS_[[Sexo]:[Sexo]]=$B95,IF(DATOS_[[AGRUP. CLAS. PROF.]:[AGRUP. CLAS. PROF.]]=$B93,IF(DATOS_[[Check Periodo Ref.]:[Check Periodo Ref.]]="Dentro",DATOS_[Conc.Sal.27]))))), 0)</f>
        <v>0</v>
      </c>
      <c r="AG95" s="250" t="n">
        <f aca="false" t="array" ref="AG95:AG95">IFERROR( MEDIAN((IF(DATOS_[[Sexo]:[Sexo]]=$B95,IF(DATOS_[[AGRUP. CLAS. PROF.]:[AGRUP. CLAS. PROF.]]=$B93,IF(DATOS_[[Check Periodo Ref.]:[Check Periodo Ref.]]="Dentro",DATOS_[Conc.Sal.28]))))), 0)</f>
        <v>0</v>
      </c>
      <c r="AH95" s="250" t="n">
        <f aca="false" t="array" ref="AH95:AH95">IFERROR( MEDIAN((IF(DATOS_[[Sexo]:[Sexo]]=$B95,IF(DATOS_[[AGRUP. CLAS. PROF.]:[AGRUP. CLAS. PROF.]]=$B93,IF(DATOS_[[Check Periodo Ref.]:[Check Periodo Ref.]]="Dentro",DATOS_[Conc.Sal.29]))))), 0)</f>
        <v>0</v>
      </c>
      <c r="AI95" s="250" t="n">
        <f aca="false" t="array" ref="AI95:AI95">IFERROR( MEDIAN((IF(DATOS_[[Sexo]:[Sexo]]=$B95,IF(DATOS_[[AGRUP. CLAS. PROF.]:[AGRUP. CLAS. PROF.]]=$B93,IF(DATOS_[[Check Periodo Ref.]:[Check Periodo Ref.]]="Dentro",DATOS_[Conc.Sal.30]))))), 0)</f>
        <v>0</v>
      </c>
      <c r="AJ95" s="251" t="n">
        <f aca="false" t="array" ref="AJ95:AJ95">IFERROR( MEDIAN(IF(DATOS_[Sexo]=$B95,IF(DATOS_[AGRUP. CLAS. PROF.]=$B93,IF(DATOS_[Check Periodo Ref.]="Dentro",DATOS_[Tot COMPL.SAL Ef],0)))), 0)</f>
        <v>0</v>
      </c>
      <c r="AK95" s="252" t="n">
        <f aca="false" t="array" ref="AK95:AK95">IFERROR( MEDIAN(IF(DATOS_[Sexo]=$B95,IF(DATOS_[AGRUP. CLAS. PROF.]=$B93,IF(DATOS_[Check Periodo Ref.]="Dentro",DATOS_[TOTAL SALARIO Ef],0)))), 0)</f>
        <v>0</v>
      </c>
      <c r="AL95" s="259" t="n">
        <f aca="false" t="array" ref="AL95:AL95">IFERROR( MEDIAN((IF(DATOS_[[Sexo]:[Sexo]]=$B95,IF(DATOS_[[AGRUP. CLAS. PROF.]:[AGRUP. CLAS. PROF.]]=$B93,IF(DATOS_[[Check Periodo Ref.]:[Check Periodo Ref.]]="Dentro",DATOS_[C.Extra.01]))))), 0)</f>
        <v>0</v>
      </c>
      <c r="AM95" s="259" t="n">
        <f aca="false" t="array" ref="AM95:AM95">IFERROR( MEDIAN((IF(DATOS_[[Sexo]:[Sexo]]=$B95,IF(DATOS_[[AGRUP. CLAS. PROF.]:[AGRUP. CLAS. PROF.]]=$B93,IF(DATOS_[[Check Periodo Ref.]:[Check Periodo Ref.]]="Dentro",DATOS_[C.Extra.02]))))), 0)</f>
        <v>0</v>
      </c>
      <c r="AN95" s="259" t="n">
        <f aca="false" t="array" ref="AN95:AN95">IFERROR( MEDIAN((IF(DATOS_[[Sexo]:[Sexo]]=$B95,IF(DATOS_[[AGRUP. CLAS. PROF.]:[AGRUP. CLAS. PROF.]]=$B93,IF(DATOS_[[Check Periodo Ref.]:[Check Periodo Ref.]]="Dentro",DATOS_[C.Extra.03]))))), 0)</f>
        <v>0</v>
      </c>
      <c r="AO95" s="259" t="n">
        <f aca="false" t="array" ref="AO95:AO95">IFERROR( MEDIAN((IF(DATOS_[[Sexo]:[Sexo]]=$B95,IF(DATOS_[[AGRUP. CLAS. PROF.]:[AGRUP. CLAS. PROF.]]=$B93,IF(DATOS_[[Check Periodo Ref.]:[Check Periodo Ref.]]="Dentro",DATOS_[C.Extra.04]))))), 0)</f>
        <v>0</v>
      </c>
      <c r="AP95" s="259" t="n">
        <f aca="false" t="array" ref="AP95:AP95">IFERROR( MEDIAN((IF(DATOS_[[Sexo]:[Sexo]]=$B95,IF(DATOS_[[AGRUP. CLAS. PROF.]:[AGRUP. CLAS. PROF.]]=$B93,IF(DATOS_[[Check Periodo Ref.]:[Check Periodo Ref.]]="Dentro",DATOS_[C.Extra.05]))))), 0)</f>
        <v>0</v>
      </c>
      <c r="AQ95" s="254" t="n">
        <f aca="false" t="array" ref="AQ95:AQ95">IFERROR( MEDIAN(IF(DATOS_[Sexo]=$B95,IF(DATOS_[AGRUP. CLAS. PROF.]=$B93,IF(DATOS_[Check Periodo Ref.]="Dentro",DATOS_[Tot Extrasalarial Ef],0)))), 0)</f>
        <v>0</v>
      </c>
      <c r="AR95" s="255" t="n">
        <f aca="false" t="array" ref="AR95:AR95">IFERROR( MEDIAN(IF(DATOS_[Sexo]=$B95,IF(DATOS_[AGRUP. CLAS. PROF.]=$B93,IF(DATOS_[Check Periodo Ref.]="Dentro",DATOS_[TOTAL Retrib Ef],0)))), 0)</f>
        <v>0</v>
      </c>
    </row>
    <row r="96" customFormat="false" ht="15.75" hidden="false" customHeight="false" outlineLevel="0" collapsed="false">
      <c r="A96" s="217" t="str">
        <f aca="false">+A97</f>
        <v>[ocultar]</v>
      </c>
      <c r="B96" s="235" t="s">
        <v>249</v>
      </c>
      <c r="C96" s="236"/>
      <c r="D96" s="237"/>
      <c r="E96" s="238" t="str">
        <f aca="false">IFERROR((E97-E98)/E97,"")</f>
        <v/>
      </c>
      <c r="F96" s="239" t="str">
        <f aca="false">IFERROR((F97-F98)/F97,"")</f>
        <v/>
      </c>
      <c r="G96" s="239" t="str">
        <f aca="false">IFERROR((G97-G98)/G97,"")</f>
        <v/>
      </c>
      <c r="H96" s="239" t="str">
        <f aca="false">IFERROR((H97-H98)/H97,"")</f>
        <v/>
      </c>
      <c r="I96" s="239"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40" t="str">
        <f aca="false">IFERROR((V97-V98)/V97,"")</f>
        <v/>
      </c>
      <c r="W96" s="240" t="str">
        <f aca="false">IFERROR((W97-W98)/W97,"")</f>
        <v/>
      </c>
      <c r="X96" s="240" t="str">
        <f aca="false">IFERROR((X97-X98)/X97,"")</f>
        <v/>
      </c>
      <c r="Y96" s="240"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1" t="str">
        <f aca="false">IFERROR((AJ97-AJ98)/AJ97,"")</f>
        <v/>
      </c>
      <c r="AK96" s="242" t="str">
        <f aca="false">IFERROR((AK97-AK98)/AK97,"")</f>
        <v/>
      </c>
      <c r="AL96" s="243" t="str">
        <f aca="false">IFERROR((AL97-AL98)/AL97,"")</f>
        <v/>
      </c>
      <c r="AM96" s="243" t="str">
        <f aca="false">IFERROR((AM97-AM98)/AM97,"")</f>
        <v/>
      </c>
      <c r="AN96" s="243" t="str">
        <f aca="false">IFERROR((AN97-AN98)/AN97,"")</f>
        <v/>
      </c>
      <c r="AO96" s="243" t="str">
        <f aca="false">IFERROR((AO97-AO98)/AO97,"")</f>
        <v/>
      </c>
      <c r="AP96" s="243" t="str">
        <f aca="false">IFERROR((AP97-AP98)/AP97,"")</f>
        <v/>
      </c>
      <c r="AQ96" s="244" t="str">
        <f aca="false">IFERROR((AQ97-AQ98)/AQ97,"")</f>
        <v/>
      </c>
      <c r="AR96" s="245" t="str">
        <f aca="false">IFERROR((AR97-AR98)/AR97,"")</f>
        <v/>
      </c>
    </row>
    <row r="97" customFormat="false" ht="14.25" hidden="false" customHeight="false" outlineLevel="0" collapsed="false">
      <c r="A97" s="217" t="str">
        <f aca="false">+IF(C97+C98=0,"[ocultar]","")</f>
        <v>[ocultar]</v>
      </c>
      <c r="B97" s="246" t="s">
        <v>371</v>
      </c>
      <c r="C97" s="247" t="n">
        <f aca="false" t="array" ref="C97:C97">SUM(IF($B97=DATOS_[Sexo], IF($B96=DATOS_[AGRUP. CLAS. PROF.], IF("Dentro"=DATOS_[Check Periodo Ref.], 1/(COUNTIFS(DATOS_[Sexo],$B97,DATOS_[AGRUP. CLAS. PROF.],$B96,DATOS_[Check Periodo Ref.],"Dentro",DATOS_[id],DATOS_[id]))))))</f>
        <v>0</v>
      </c>
      <c r="D97" s="248" t="n">
        <f aca="false">COUNTIFS(DATOS_[AGRUP. CLAS. PROF.],$B96,DATOS_[Sexo],$B97,DATOS_[Check Periodo Ref.],"Dentro")</f>
        <v>0</v>
      </c>
      <c r="E97" s="249" t="n">
        <f aca="false" t="array" ref="E97:E97">IFERROR( MEDIAN(IF(DATOS_[Sexo]=$B97,IF(DATOS_[AGRUP. CLAS. PROF.]=$B96,IF(DATOS_[Check Periodo Ref.]="Dentro",DATOS_[SALARIO BASE Ef],0)))), 0)</f>
        <v>0</v>
      </c>
      <c r="F97" s="250" t="n">
        <f aca="false" t="array" ref="F97:F97">IFERROR( MEDIAN((IF(DATOS_[[Sexo]:[Sexo]]=$B97,IF(DATOS_[[AGRUP. CLAS. PROF.]:[AGRUP. CLAS. PROF.]]=$B96,IF(DATOS_[[Check Periodo Ref.]:[Check Periodo Ref.]]="Dentro",DATOS_[Conc.Sal.01]))))), 0)</f>
        <v>0</v>
      </c>
      <c r="G97" s="250" t="n">
        <f aca="false" t="array" ref="G97:G97">IFERROR( MEDIAN((IF(DATOS_[[Sexo]:[Sexo]]=$B97,IF(DATOS_[[AGRUP. CLAS. PROF.]:[AGRUP. CLAS. PROF.]]=$B96,IF(DATOS_[[Check Periodo Ref.]:[Check Periodo Ref.]]="Dentro",DATOS_[Conc.Sal.02]))))), 0)</f>
        <v>0</v>
      </c>
      <c r="H97" s="250" t="n">
        <f aca="false" t="array" ref="H97:H97">IFERROR( MEDIAN((IF(DATOS_[[Sexo]:[Sexo]]=$B97,IF(DATOS_[[AGRUP. CLAS. PROF.]:[AGRUP. CLAS. PROF.]]=$B96,IF(DATOS_[[Check Periodo Ref.]:[Check Periodo Ref.]]="Dentro",DATOS_[Conc.Sal.03]))))), 0)</f>
        <v>0</v>
      </c>
      <c r="I97" s="250" t="n">
        <f aca="false" t="array" ref="I97:I97">IFERROR( MEDIAN((IF(DATOS_[[Sexo]:[Sexo]]=$B97,IF(DATOS_[[AGRUP. CLAS. PROF.]:[AGRUP. CLAS. PROF.]]=$B96,IF(DATOS_[[Check Periodo Ref.]:[Check Periodo Ref.]]="Dentro",DATOS_[Conc.Sal.04]))))), 0)</f>
        <v>0</v>
      </c>
      <c r="J97" s="250" t="n">
        <f aca="false" t="array" ref="J97:J97">IFERROR( MEDIAN((IF(DATOS_[[Sexo]:[Sexo]]=$B97,IF(DATOS_[[AGRUP. CLAS. PROF.]:[AGRUP. CLAS. PROF.]]=$B96,IF(DATOS_[[Check Periodo Ref.]:[Check Periodo Ref.]]="Dentro",DATOS_[Conc.Sal.05]))))), 0)</f>
        <v>0</v>
      </c>
      <c r="K97" s="250" t="n">
        <f aca="false" t="array" ref="K97:K97">IFERROR( MEDIAN((IF(DATOS_[[Sexo]:[Sexo]]=$B97,IF(DATOS_[[AGRUP. CLAS. PROF.]:[AGRUP. CLAS. PROF.]]=$B96,IF(DATOS_[[Check Periodo Ref.]:[Check Periodo Ref.]]="Dentro",DATOS_[Conc.Sal.06]))))), 0)</f>
        <v>0</v>
      </c>
      <c r="L97" s="250" t="n">
        <f aca="false" t="array" ref="L97:L97">IFERROR( MEDIAN((IF(DATOS_[[Sexo]:[Sexo]]=$B97,IF(DATOS_[[AGRUP. CLAS. PROF.]:[AGRUP. CLAS. PROF.]]=$B96,IF(DATOS_[[Check Periodo Ref.]:[Check Periodo Ref.]]="Dentro",DATOS_[Conc.Sal.07]))))), 0)</f>
        <v>0</v>
      </c>
      <c r="M97" s="250" t="n">
        <f aca="false" t="array" ref="M97:M97">IFERROR( MEDIAN((IF(DATOS_[[Sexo]:[Sexo]]=$B97,IF(DATOS_[[AGRUP. CLAS. PROF.]:[AGRUP. CLAS. PROF.]]=$B96,IF(DATOS_[[Check Periodo Ref.]:[Check Periodo Ref.]]="Dentro",DATOS_[Conc.Sal.08]))))), 0)</f>
        <v>0</v>
      </c>
      <c r="N97" s="250" t="n">
        <f aca="false" t="array" ref="N97:N97">IFERROR( MEDIAN((IF(DATOS_[[Sexo]:[Sexo]]=$B97,IF(DATOS_[[AGRUP. CLAS. PROF.]:[AGRUP. CLAS. PROF.]]=$B96,IF(DATOS_[[Check Periodo Ref.]:[Check Periodo Ref.]]="Dentro",DATOS_[Conc.Sal.09]))))), 0)</f>
        <v>0</v>
      </c>
      <c r="O97" s="250" t="n">
        <f aca="false" t="array" ref="O97:O97">IFERROR( MEDIAN((IF(DATOS_[[Sexo]:[Sexo]]=$B97,IF(DATOS_[[AGRUP. CLAS. PROF.]:[AGRUP. CLAS. PROF.]]=$B96,IF(DATOS_[[Check Periodo Ref.]:[Check Periodo Ref.]]="Dentro",DATOS_[Conc.Sal.10]))))), 0)</f>
        <v>0</v>
      </c>
      <c r="P97" s="250" t="n">
        <f aca="false" t="array" ref="P97:P97">IFERROR( MEDIAN((IF(DATOS_[[Sexo]:[Sexo]]=$B97,IF(DATOS_[[AGRUP. CLAS. PROF.]:[AGRUP. CLAS. PROF.]]=$B96,IF(DATOS_[[Check Periodo Ref.]:[Check Periodo Ref.]]="Dentro",DATOS_[Conc.Sal.11]))))), 0)</f>
        <v>0</v>
      </c>
      <c r="Q97" s="250" t="n">
        <f aca="false" t="array" ref="Q97:Q97">IFERROR( MEDIAN((IF(DATOS_[[Sexo]:[Sexo]]=$B97,IF(DATOS_[[AGRUP. CLAS. PROF.]:[AGRUP. CLAS. PROF.]]=$B96,IF(DATOS_[[Check Periodo Ref.]:[Check Periodo Ref.]]="Dentro",DATOS_[Conc.Sal.12]))))), 0)</f>
        <v>0</v>
      </c>
      <c r="R97" s="250" t="n">
        <f aca="false" t="array" ref="R97:R97">IFERROR( MEDIAN((IF(DATOS_[[Sexo]:[Sexo]]=$B97,IF(DATOS_[[AGRUP. CLAS. PROF.]:[AGRUP. CLAS. PROF.]]=$B96,IF(DATOS_[[Check Periodo Ref.]:[Check Periodo Ref.]]="Dentro",DATOS_[Conc.Sal.13]))))), 0)</f>
        <v>0</v>
      </c>
      <c r="S97" s="250" t="n">
        <f aca="false" t="array" ref="S97:S97">IFERROR( MEDIAN((IF(DATOS_[[Sexo]:[Sexo]]=$B97,IF(DATOS_[[AGRUP. CLAS. PROF.]:[AGRUP. CLAS. PROF.]]=$B96,IF(DATOS_[[Check Periodo Ref.]:[Check Periodo Ref.]]="Dentro",DATOS_[Conc.Sal.14]))))), 0)</f>
        <v>0</v>
      </c>
      <c r="T97" s="250" t="n">
        <f aca="false" t="array" ref="T97:T97">IFERROR( MEDIAN((IF(DATOS_[[Sexo]:[Sexo]]=$B97,IF(DATOS_[[AGRUP. CLAS. PROF.]:[AGRUP. CLAS. PROF.]]=$B96,IF(DATOS_[[Check Periodo Ref.]:[Check Periodo Ref.]]="Dentro",DATOS_[Conc.Sal.15]))))), 0)</f>
        <v>0</v>
      </c>
      <c r="U97" s="250" t="n">
        <f aca="false" t="array" ref="U97:U97">IFERROR( MEDIAN((IF(DATOS_[[Sexo]:[Sexo]]=$B97,IF(DATOS_[[AGRUP. CLAS. PROF.]:[AGRUP. CLAS. PROF.]]=$B96,IF(DATOS_[[Check Periodo Ref.]:[Check Periodo Ref.]]="Dentro",DATOS_[Conc.Sal.16]))))), 0)</f>
        <v>0</v>
      </c>
      <c r="V97" s="250" t="n">
        <f aca="false" t="array" ref="V97:V97">IFERROR( MEDIAN((IF(DATOS_[[Sexo]:[Sexo]]=$B97,IF(DATOS_[[AGRUP. CLAS. PROF.]:[AGRUP. CLAS. PROF.]]=$B96,IF(DATOS_[[Check Periodo Ref.]:[Check Periodo Ref.]]="Dentro",DATOS_[Conc.Sal.17]))))), 0)</f>
        <v>0</v>
      </c>
      <c r="W97" s="250" t="n">
        <f aca="false" t="array" ref="W97:W97">IFERROR( MEDIAN((IF(DATOS_[[Sexo]:[Sexo]]=$B97,IF(DATOS_[[AGRUP. CLAS. PROF.]:[AGRUP. CLAS. PROF.]]=$B96,IF(DATOS_[[Check Periodo Ref.]:[Check Periodo Ref.]]="Dentro",DATOS_[Conc.Sal.18]))))), 0)</f>
        <v>0</v>
      </c>
      <c r="X97" s="250" t="n">
        <f aca="false" t="array" ref="X97:X97">IFERROR( MEDIAN((IF(DATOS_[[Sexo]:[Sexo]]=$B97,IF(DATOS_[[AGRUP. CLAS. PROF.]:[AGRUP. CLAS. PROF.]]=$B96,IF(DATOS_[[Check Periodo Ref.]:[Check Periodo Ref.]]="Dentro",DATOS_[Conc.Sal.19]))))), 0)</f>
        <v>0</v>
      </c>
      <c r="Y97" s="250" t="n">
        <f aca="false" t="array" ref="Y97:Y97">IFERROR( MEDIAN((IF(DATOS_[[Sexo]:[Sexo]]=$B97,IF(DATOS_[[AGRUP. CLAS. PROF.]:[AGRUP. CLAS. PROF.]]=$B96,IF(DATOS_[[Check Periodo Ref.]:[Check Periodo Ref.]]="Dentro",DATOS_[Conc.Sal.20]))))), 0)</f>
        <v>0</v>
      </c>
      <c r="Z97" s="250" t="n">
        <f aca="false" t="array" ref="Z97:Z97">IFERROR( MEDIAN((IF(DATOS_[[Sexo]:[Sexo]]=$B97,IF(DATOS_[[AGRUP. CLAS. PROF.]:[AGRUP. CLAS. PROF.]]=$B96,IF(DATOS_[[Check Periodo Ref.]:[Check Periodo Ref.]]="Dentro",DATOS_[Conc.Sal.21]))))), 0)</f>
        <v>0</v>
      </c>
      <c r="AA97" s="250" t="n">
        <f aca="false" t="array" ref="AA97:AA97">IFERROR( MEDIAN((IF(DATOS_[[Sexo]:[Sexo]]=$B97,IF(DATOS_[[AGRUP. CLAS. PROF.]:[AGRUP. CLAS. PROF.]]=$B96,IF(DATOS_[[Check Periodo Ref.]:[Check Periodo Ref.]]="Dentro",DATOS_[Conc.Sal.22]))))), 0)</f>
        <v>0</v>
      </c>
      <c r="AB97" s="250" t="n">
        <f aca="false" t="array" ref="AB97:AB97">IFERROR( MEDIAN((IF(DATOS_[[Sexo]:[Sexo]]=$B97,IF(DATOS_[[AGRUP. CLAS. PROF.]:[AGRUP. CLAS. PROF.]]=$B96,IF(DATOS_[[Check Periodo Ref.]:[Check Periodo Ref.]]="Dentro",DATOS_[Conc.Sal.23]))))), 0)</f>
        <v>0</v>
      </c>
      <c r="AC97" s="250" t="n">
        <f aca="false" t="array" ref="AC97:AC97">IFERROR( MEDIAN((IF(DATOS_[[Sexo]:[Sexo]]=$B97,IF(DATOS_[[AGRUP. CLAS. PROF.]:[AGRUP. CLAS. PROF.]]=$B96,IF(DATOS_[[Check Periodo Ref.]:[Check Periodo Ref.]]="Dentro",DATOS_[Conc.Sal.24]))))), 0)</f>
        <v>0</v>
      </c>
      <c r="AD97" s="250" t="n">
        <f aca="false" t="array" ref="AD97:AD97">IFERROR( MEDIAN((IF(DATOS_[[Sexo]:[Sexo]]=$B97,IF(DATOS_[[AGRUP. CLAS. PROF.]:[AGRUP. CLAS. PROF.]]=$B96,IF(DATOS_[[Check Periodo Ref.]:[Check Periodo Ref.]]="Dentro",DATOS_[Conc.Sal.25]))))), 0)</f>
        <v>0</v>
      </c>
      <c r="AE97" s="250" t="n">
        <f aca="false" t="array" ref="AE97:AE97">IFERROR( MEDIAN((IF(DATOS_[[Sexo]:[Sexo]]=$B97,IF(DATOS_[[AGRUP. CLAS. PROF.]:[AGRUP. CLAS. PROF.]]=$B96,IF(DATOS_[[Check Periodo Ref.]:[Check Periodo Ref.]]="Dentro",DATOS_[Conc.Sal.26]))))), 0)</f>
        <v>0</v>
      </c>
      <c r="AF97" s="250" t="n">
        <f aca="false" t="array" ref="AF97:AF97">IFERROR( MEDIAN((IF(DATOS_[[Sexo]:[Sexo]]=$B97,IF(DATOS_[[AGRUP. CLAS. PROF.]:[AGRUP. CLAS. PROF.]]=$B96,IF(DATOS_[[Check Periodo Ref.]:[Check Periodo Ref.]]="Dentro",DATOS_[Conc.Sal.27]))))), 0)</f>
        <v>0</v>
      </c>
      <c r="AG97" s="250" t="n">
        <f aca="false" t="array" ref="AG97:AG97">IFERROR( MEDIAN((IF(DATOS_[[Sexo]:[Sexo]]=$B97,IF(DATOS_[[AGRUP. CLAS. PROF.]:[AGRUP. CLAS. PROF.]]=$B96,IF(DATOS_[[Check Periodo Ref.]:[Check Periodo Ref.]]="Dentro",DATOS_[Conc.Sal.28]))))), 0)</f>
        <v>0</v>
      </c>
      <c r="AH97" s="250" t="n">
        <f aca="false" t="array" ref="AH97:AH97">IFERROR( MEDIAN((IF(DATOS_[[Sexo]:[Sexo]]=$B97,IF(DATOS_[[AGRUP. CLAS. PROF.]:[AGRUP. CLAS. PROF.]]=$B96,IF(DATOS_[[Check Periodo Ref.]:[Check Periodo Ref.]]="Dentro",DATOS_[Conc.Sal.29]))))), 0)</f>
        <v>0</v>
      </c>
      <c r="AI97" s="250" t="n">
        <f aca="false" t="array" ref="AI97:AI97">IFERROR( MEDIAN((IF(DATOS_[[Sexo]:[Sexo]]=$B97,IF(DATOS_[[AGRUP. CLAS. PROF.]:[AGRUP. CLAS. PROF.]]=$B96,IF(DATOS_[[Check Periodo Ref.]:[Check Periodo Ref.]]="Dentro",DATOS_[Conc.Sal.30]))))), 0)</f>
        <v>0</v>
      </c>
      <c r="AJ97" s="251" t="n">
        <f aca="false" t="array" ref="AJ97:AJ97">IFERROR( MEDIAN(IF(DATOS_[Sexo]=$B97,IF(DATOS_[AGRUP. CLAS. PROF.]=$B96,IF(DATOS_[Check Periodo Ref.]="Dentro",DATOS_[Tot COMPL.SAL Ef],0)))), 0)</f>
        <v>0</v>
      </c>
      <c r="AK97" s="252" t="n">
        <f aca="false" t="array" ref="AK97:AK97">IFERROR( MEDIAN(IF(DATOS_[Sexo]=$B97,IF(DATOS_[AGRUP. CLAS. PROF.]=$B96,IF(DATOS_[Check Periodo Ref.]="Dentro",DATOS_[TOTAL SALARIO Ef],0)))), 0)</f>
        <v>0</v>
      </c>
      <c r="AL97" s="259" t="n">
        <f aca="false" t="array" ref="AL97:AL97">IFERROR( MEDIAN((IF(DATOS_[[Sexo]:[Sexo]]=$B97,IF(DATOS_[[AGRUP. CLAS. PROF.]:[AGRUP. CLAS. PROF.]]=$B96,IF(DATOS_[[Check Periodo Ref.]:[Check Periodo Ref.]]="Dentro",DATOS_[C.Extra.01]))))), 0)</f>
        <v>0</v>
      </c>
      <c r="AM97" s="259" t="n">
        <f aca="false" t="array" ref="AM97:AM97">IFERROR( MEDIAN((IF(DATOS_[[Sexo]:[Sexo]]=$B97,IF(DATOS_[[AGRUP. CLAS. PROF.]:[AGRUP. CLAS. PROF.]]=$B96,IF(DATOS_[[Check Periodo Ref.]:[Check Periodo Ref.]]="Dentro",DATOS_[C.Extra.02]))))), 0)</f>
        <v>0</v>
      </c>
      <c r="AN97" s="259" t="n">
        <f aca="false" t="array" ref="AN97:AN97">IFERROR( MEDIAN((IF(DATOS_[[Sexo]:[Sexo]]=$B97,IF(DATOS_[[AGRUP. CLAS. PROF.]:[AGRUP. CLAS. PROF.]]=$B96,IF(DATOS_[[Check Periodo Ref.]:[Check Periodo Ref.]]="Dentro",DATOS_[C.Extra.03]))))), 0)</f>
        <v>0</v>
      </c>
      <c r="AO97" s="259" t="n">
        <f aca="false" t="array" ref="AO97:AO97">IFERROR( MEDIAN((IF(DATOS_[[Sexo]:[Sexo]]=$B97,IF(DATOS_[[AGRUP. CLAS. PROF.]:[AGRUP. CLAS. PROF.]]=$B96,IF(DATOS_[[Check Periodo Ref.]:[Check Periodo Ref.]]="Dentro",DATOS_[C.Extra.04]))))), 0)</f>
        <v>0</v>
      </c>
      <c r="AP97" s="259" t="n">
        <f aca="false" t="array" ref="AP97:AP97">IFERROR( MEDIAN((IF(DATOS_[[Sexo]:[Sexo]]=$B97,IF(DATOS_[[AGRUP. CLAS. PROF.]:[AGRUP. CLAS. PROF.]]=$B96,IF(DATOS_[[Check Periodo Ref.]:[Check Periodo Ref.]]="Dentro",DATOS_[C.Extra.05]))))), 0)</f>
        <v>0</v>
      </c>
      <c r="AQ97" s="254" t="n">
        <f aca="false" t="array" ref="AQ97:AQ97">IFERROR( MEDIAN(IF(DATOS_[Sexo]=$B97,IF(DATOS_[AGRUP. CLAS. PROF.]=$B96,IF(DATOS_[Check Periodo Ref.]="Dentro",DATOS_[Tot Extrasalarial Ef],0)))), 0)</f>
        <v>0</v>
      </c>
      <c r="AR97" s="255" t="n">
        <f aca="false" t="array" ref="AR97:AR97">IFERROR( MEDIAN(IF(DATOS_[Sexo]=$B97,IF(DATOS_[AGRUP. CLAS. PROF.]=$B96,IF(DATOS_[Check Periodo Ref.]="Dentro",DATOS_[TOTAL Retrib Ef],0)))), 0)</f>
        <v>0</v>
      </c>
    </row>
    <row r="98" customFormat="false" ht="14.25" hidden="false" customHeight="false" outlineLevel="0" collapsed="false">
      <c r="A98" s="217" t="str">
        <f aca="false">+A97</f>
        <v>[ocultar]</v>
      </c>
      <c r="B98" s="246" t="s">
        <v>372</v>
      </c>
      <c r="C98" s="247" t="n">
        <f aca="false" t="array" ref="C98:C98">SUM(IF($B98=DATOS_[Sexo], IF($B96=DATOS_[AGRUP. CLAS. PROF.], IF("Dentro"=DATOS_[Check Periodo Ref.], 1/(COUNTIFS(DATOS_[Sexo],$B98,DATOS_[AGRUP. CLAS. PROF.],$B96,DATOS_[Check Periodo Ref.],"Dentro",DATOS_[id],DATOS_[id]))))))</f>
        <v>0</v>
      </c>
      <c r="D98" s="248" t="n">
        <f aca="false">COUNTIFS(DATOS_[AGRUP. CLAS. PROF.],$B96,DATOS_[Sexo],$B98,DATOS_[Check Periodo Ref.],"Dentro")</f>
        <v>0</v>
      </c>
      <c r="E98" s="249" t="n">
        <f aca="false" t="array" ref="E98:E98">IFERROR( MEDIAN(IF(DATOS_[Sexo]=$B98,IF(DATOS_[AGRUP. CLAS. PROF.]=$B96,IF(DATOS_[Check Periodo Ref.]="Dentro",DATOS_[SALARIO BASE Ef],0)))), 0)</f>
        <v>0</v>
      </c>
      <c r="F98" s="250" t="n">
        <f aca="false" t="array" ref="F98:F98">IFERROR( MEDIAN((IF(DATOS_[[Sexo]:[Sexo]]=$B98,IF(DATOS_[[AGRUP. CLAS. PROF.]:[AGRUP. CLAS. PROF.]]=$B96,IF(DATOS_[[Check Periodo Ref.]:[Check Periodo Ref.]]="Dentro",DATOS_[Conc.Sal.01]))))), 0)</f>
        <v>0</v>
      </c>
      <c r="G98" s="250" t="n">
        <f aca="false" t="array" ref="G98:G98">IFERROR( MEDIAN((IF(DATOS_[[Sexo]:[Sexo]]=$B98,IF(DATOS_[[AGRUP. CLAS. PROF.]:[AGRUP. CLAS. PROF.]]=$B96,IF(DATOS_[[Check Periodo Ref.]:[Check Periodo Ref.]]="Dentro",DATOS_[Conc.Sal.02]))))), 0)</f>
        <v>0</v>
      </c>
      <c r="H98" s="250" t="n">
        <f aca="false" t="array" ref="H98:H98">IFERROR( MEDIAN((IF(DATOS_[[Sexo]:[Sexo]]=$B98,IF(DATOS_[[AGRUP. CLAS. PROF.]:[AGRUP. CLAS. PROF.]]=$B96,IF(DATOS_[[Check Periodo Ref.]:[Check Periodo Ref.]]="Dentro",DATOS_[Conc.Sal.03]))))), 0)</f>
        <v>0</v>
      </c>
      <c r="I98" s="250" t="n">
        <f aca="false" t="array" ref="I98:I98">IFERROR( MEDIAN((IF(DATOS_[[Sexo]:[Sexo]]=$B98,IF(DATOS_[[AGRUP. CLAS. PROF.]:[AGRUP. CLAS. PROF.]]=$B96,IF(DATOS_[[Check Periodo Ref.]:[Check Periodo Ref.]]="Dentro",DATOS_[Conc.Sal.04]))))), 0)</f>
        <v>0</v>
      </c>
      <c r="J98" s="250" t="n">
        <f aca="false" t="array" ref="J98:J98">IFERROR( MEDIAN((IF(DATOS_[[Sexo]:[Sexo]]=$B98,IF(DATOS_[[AGRUP. CLAS. PROF.]:[AGRUP. CLAS. PROF.]]=$B96,IF(DATOS_[[Check Periodo Ref.]:[Check Periodo Ref.]]="Dentro",DATOS_[Conc.Sal.05]))))), 0)</f>
        <v>0</v>
      </c>
      <c r="K98" s="250" t="n">
        <f aca="false" t="array" ref="K98:K98">IFERROR( MEDIAN((IF(DATOS_[[Sexo]:[Sexo]]=$B98,IF(DATOS_[[AGRUP. CLAS. PROF.]:[AGRUP. CLAS. PROF.]]=$B96,IF(DATOS_[[Check Periodo Ref.]:[Check Periodo Ref.]]="Dentro",DATOS_[Conc.Sal.06]))))), 0)</f>
        <v>0</v>
      </c>
      <c r="L98" s="250" t="n">
        <f aca="false" t="array" ref="L98:L98">IFERROR( MEDIAN((IF(DATOS_[[Sexo]:[Sexo]]=$B98,IF(DATOS_[[AGRUP. CLAS. PROF.]:[AGRUP. CLAS. PROF.]]=$B96,IF(DATOS_[[Check Periodo Ref.]:[Check Periodo Ref.]]="Dentro",DATOS_[Conc.Sal.07]))))), 0)</f>
        <v>0</v>
      </c>
      <c r="M98" s="250" t="n">
        <f aca="false" t="array" ref="M98:M98">IFERROR( MEDIAN((IF(DATOS_[[Sexo]:[Sexo]]=$B98,IF(DATOS_[[AGRUP. CLAS. PROF.]:[AGRUP. CLAS. PROF.]]=$B96,IF(DATOS_[[Check Periodo Ref.]:[Check Periodo Ref.]]="Dentro",DATOS_[Conc.Sal.08]))))), 0)</f>
        <v>0</v>
      </c>
      <c r="N98" s="250" t="n">
        <f aca="false" t="array" ref="N98:N98">IFERROR( MEDIAN((IF(DATOS_[[Sexo]:[Sexo]]=$B98,IF(DATOS_[[AGRUP. CLAS. PROF.]:[AGRUP. CLAS. PROF.]]=$B96,IF(DATOS_[[Check Periodo Ref.]:[Check Periodo Ref.]]="Dentro",DATOS_[Conc.Sal.09]))))), 0)</f>
        <v>0</v>
      </c>
      <c r="O98" s="250" t="n">
        <f aca="false" t="array" ref="O98:O98">IFERROR( MEDIAN((IF(DATOS_[[Sexo]:[Sexo]]=$B98,IF(DATOS_[[AGRUP. CLAS. PROF.]:[AGRUP. CLAS. PROF.]]=$B96,IF(DATOS_[[Check Periodo Ref.]:[Check Periodo Ref.]]="Dentro",DATOS_[Conc.Sal.10]))))), 0)</f>
        <v>0</v>
      </c>
      <c r="P98" s="250" t="n">
        <f aca="false" t="array" ref="P98:P98">IFERROR( MEDIAN((IF(DATOS_[[Sexo]:[Sexo]]=$B98,IF(DATOS_[[AGRUP. CLAS. PROF.]:[AGRUP. CLAS. PROF.]]=$B96,IF(DATOS_[[Check Periodo Ref.]:[Check Periodo Ref.]]="Dentro",DATOS_[Conc.Sal.11]))))), 0)</f>
        <v>0</v>
      </c>
      <c r="Q98" s="250" t="n">
        <f aca="false" t="array" ref="Q98:Q98">IFERROR( MEDIAN((IF(DATOS_[[Sexo]:[Sexo]]=$B98,IF(DATOS_[[AGRUP. CLAS. PROF.]:[AGRUP. CLAS. PROF.]]=$B96,IF(DATOS_[[Check Periodo Ref.]:[Check Periodo Ref.]]="Dentro",DATOS_[Conc.Sal.12]))))), 0)</f>
        <v>0</v>
      </c>
      <c r="R98" s="250" t="n">
        <f aca="false" t="array" ref="R98:R98">IFERROR( MEDIAN((IF(DATOS_[[Sexo]:[Sexo]]=$B98,IF(DATOS_[[AGRUP. CLAS. PROF.]:[AGRUP. CLAS. PROF.]]=$B96,IF(DATOS_[[Check Periodo Ref.]:[Check Periodo Ref.]]="Dentro",DATOS_[Conc.Sal.13]))))), 0)</f>
        <v>0</v>
      </c>
      <c r="S98" s="250" t="n">
        <f aca="false" t="array" ref="S98:S98">IFERROR( MEDIAN((IF(DATOS_[[Sexo]:[Sexo]]=$B98,IF(DATOS_[[AGRUP. CLAS. PROF.]:[AGRUP. CLAS. PROF.]]=$B96,IF(DATOS_[[Check Periodo Ref.]:[Check Periodo Ref.]]="Dentro",DATOS_[Conc.Sal.14]))))), 0)</f>
        <v>0</v>
      </c>
      <c r="T98" s="250" t="n">
        <f aca="false" t="array" ref="T98:T98">IFERROR( MEDIAN((IF(DATOS_[[Sexo]:[Sexo]]=$B98,IF(DATOS_[[AGRUP. CLAS. PROF.]:[AGRUP. CLAS. PROF.]]=$B96,IF(DATOS_[[Check Periodo Ref.]:[Check Periodo Ref.]]="Dentro",DATOS_[Conc.Sal.15]))))), 0)</f>
        <v>0</v>
      </c>
      <c r="U98" s="250" t="n">
        <f aca="false" t="array" ref="U98:U98">IFERROR( MEDIAN((IF(DATOS_[[Sexo]:[Sexo]]=$B98,IF(DATOS_[[AGRUP. CLAS. PROF.]:[AGRUP. CLAS. PROF.]]=$B96,IF(DATOS_[[Check Periodo Ref.]:[Check Periodo Ref.]]="Dentro",DATOS_[Conc.Sal.16]))))), 0)</f>
        <v>0</v>
      </c>
      <c r="V98" s="250" t="n">
        <f aca="false" t="array" ref="V98:V98">IFERROR( MEDIAN((IF(DATOS_[[Sexo]:[Sexo]]=$B98,IF(DATOS_[[AGRUP. CLAS. PROF.]:[AGRUP. CLAS. PROF.]]=$B96,IF(DATOS_[[Check Periodo Ref.]:[Check Periodo Ref.]]="Dentro",DATOS_[Conc.Sal.17]))))), 0)</f>
        <v>0</v>
      </c>
      <c r="W98" s="250" t="n">
        <f aca="false" t="array" ref="W98:W98">IFERROR( MEDIAN((IF(DATOS_[[Sexo]:[Sexo]]=$B98,IF(DATOS_[[AGRUP. CLAS. PROF.]:[AGRUP. CLAS. PROF.]]=$B96,IF(DATOS_[[Check Periodo Ref.]:[Check Periodo Ref.]]="Dentro",DATOS_[Conc.Sal.18]))))), 0)</f>
        <v>0</v>
      </c>
      <c r="X98" s="250" t="n">
        <f aca="false" t="array" ref="X98:X98">IFERROR( MEDIAN((IF(DATOS_[[Sexo]:[Sexo]]=$B98,IF(DATOS_[[AGRUP. CLAS. PROF.]:[AGRUP. CLAS. PROF.]]=$B96,IF(DATOS_[[Check Periodo Ref.]:[Check Periodo Ref.]]="Dentro",DATOS_[Conc.Sal.19]))))), 0)</f>
        <v>0</v>
      </c>
      <c r="Y98" s="250" t="n">
        <f aca="false" t="array" ref="Y98:Y98">IFERROR( MEDIAN((IF(DATOS_[[Sexo]:[Sexo]]=$B98,IF(DATOS_[[AGRUP. CLAS. PROF.]:[AGRUP. CLAS. PROF.]]=$B96,IF(DATOS_[[Check Periodo Ref.]:[Check Periodo Ref.]]="Dentro",DATOS_[Conc.Sal.20]))))), 0)</f>
        <v>0</v>
      </c>
      <c r="Z98" s="250" t="n">
        <f aca="false" t="array" ref="Z98:Z98">IFERROR( MEDIAN((IF(DATOS_[[Sexo]:[Sexo]]=$B98,IF(DATOS_[[AGRUP. CLAS. PROF.]:[AGRUP. CLAS. PROF.]]=$B96,IF(DATOS_[[Check Periodo Ref.]:[Check Periodo Ref.]]="Dentro",DATOS_[Conc.Sal.21]))))), 0)</f>
        <v>0</v>
      </c>
      <c r="AA98" s="250" t="n">
        <f aca="false" t="array" ref="AA98:AA98">IFERROR( MEDIAN((IF(DATOS_[[Sexo]:[Sexo]]=$B98,IF(DATOS_[[AGRUP. CLAS. PROF.]:[AGRUP. CLAS. PROF.]]=$B96,IF(DATOS_[[Check Periodo Ref.]:[Check Periodo Ref.]]="Dentro",DATOS_[Conc.Sal.22]))))), 0)</f>
        <v>0</v>
      </c>
      <c r="AB98" s="250" t="n">
        <f aca="false" t="array" ref="AB98:AB98">IFERROR( MEDIAN((IF(DATOS_[[Sexo]:[Sexo]]=$B98,IF(DATOS_[[AGRUP. CLAS. PROF.]:[AGRUP. CLAS. PROF.]]=$B96,IF(DATOS_[[Check Periodo Ref.]:[Check Periodo Ref.]]="Dentro",DATOS_[Conc.Sal.23]))))), 0)</f>
        <v>0</v>
      </c>
      <c r="AC98" s="250" t="n">
        <f aca="false" t="array" ref="AC98:AC98">IFERROR( MEDIAN((IF(DATOS_[[Sexo]:[Sexo]]=$B98,IF(DATOS_[[AGRUP. CLAS. PROF.]:[AGRUP. CLAS. PROF.]]=$B96,IF(DATOS_[[Check Periodo Ref.]:[Check Periodo Ref.]]="Dentro",DATOS_[Conc.Sal.24]))))), 0)</f>
        <v>0</v>
      </c>
      <c r="AD98" s="250" t="n">
        <f aca="false" t="array" ref="AD98:AD98">IFERROR( MEDIAN((IF(DATOS_[[Sexo]:[Sexo]]=$B98,IF(DATOS_[[AGRUP. CLAS. PROF.]:[AGRUP. CLAS. PROF.]]=$B96,IF(DATOS_[[Check Periodo Ref.]:[Check Periodo Ref.]]="Dentro",DATOS_[Conc.Sal.25]))))), 0)</f>
        <v>0</v>
      </c>
      <c r="AE98" s="250" t="n">
        <f aca="false" t="array" ref="AE98:AE98">IFERROR( MEDIAN((IF(DATOS_[[Sexo]:[Sexo]]=$B98,IF(DATOS_[[AGRUP. CLAS. PROF.]:[AGRUP. CLAS. PROF.]]=$B96,IF(DATOS_[[Check Periodo Ref.]:[Check Periodo Ref.]]="Dentro",DATOS_[Conc.Sal.26]))))), 0)</f>
        <v>0</v>
      </c>
      <c r="AF98" s="250" t="n">
        <f aca="false" t="array" ref="AF98:AF98">IFERROR( MEDIAN((IF(DATOS_[[Sexo]:[Sexo]]=$B98,IF(DATOS_[[AGRUP. CLAS. PROF.]:[AGRUP. CLAS. PROF.]]=$B96,IF(DATOS_[[Check Periodo Ref.]:[Check Periodo Ref.]]="Dentro",DATOS_[Conc.Sal.27]))))), 0)</f>
        <v>0</v>
      </c>
      <c r="AG98" s="250" t="n">
        <f aca="false" t="array" ref="AG98:AG98">IFERROR( MEDIAN((IF(DATOS_[[Sexo]:[Sexo]]=$B98,IF(DATOS_[[AGRUP. CLAS. PROF.]:[AGRUP. CLAS. PROF.]]=$B96,IF(DATOS_[[Check Periodo Ref.]:[Check Periodo Ref.]]="Dentro",DATOS_[Conc.Sal.28]))))), 0)</f>
        <v>0</v>
      </c>
      <c r="AH98" s="250" t="n">
        <f aca="false" t="array" ref="AH98:AH98">IFERROR( MEDIAN((IF(DATOS_[[Sexo]:[Sexo]]=$B98,IF(DATOS_[[AGRUP. CLAS. PROF.]:[AGRUP. CLAS. PROF.]]=$B96,IF(DATOS_[[Check Periodo Ref.]:[Check Periodo Ref.]]="Dentro",DATOS_[Conc.Sal.29]))))), 0)</f>
        <v>0</v>
      </c>
      <c r="AI98" s="250" t="n">
        <f aca="false" t="array" ref="AI98:AI98">IFERROR( MEDIAN((IF(DATOS_[[Sexo]:[Sexo]]=$B98,IF(DATOS_[[AGRUP. CLAS. PROF.]:[AGRUP. CLAS. PROF.]]=$B96,IF(DATOS_[[Check Periodo Ref.]:[Check Periodo Ref.]]="Dentro",DATOS_[Conc.Sal.30]))))), 0)</f>
        <v>0</v>
      </c>
      <c r="AJ98" s="251" t="n">
        <f aca="false" t="array" ref="AJ98:AJ98">IFERROR( MEDIAN(IF(DATOS_[Sexo]=$B98,IF(DATOS_[AGRUP. CLAS. PROF.]=$B96,IF(DATOS_[Check Periodo Ref.]="Dentro",DATOS_[Tot COMPL.SAL Ef],0)))), 0)</f>
        <v>0</v>
      </c>
      <c r="AK98" s="252" t="n">
        <f aca="false" t="array" ref="AK98:AK98">IFERROR( MEDIAN(IF(DATOS_[Sexo]=$B98,IF(DATOS_[AGRUP. CLAS. PROF.]=$B96,IF(DATOS_[Check Periodo Ref.]="Dentro",DATOS_[TOTAL SALARIO Ef],0)))), 0)</f>
        <v>0</v>
      </c>
      <c r="AL98" s="259" t="n">
        <f aca="false" t="array" ref="AL98:AL98">IFERROR( MEDIAN((IF(DATOS_[[Sexo]:[Sexo]]=$B98,IF(DATOS_[[AGRUP. CLAS. PROF.]:[AGRUP. CLAS. PROF.]]=$B96,IF(DATOS_[[Check Periodo Ref.]:[Check Periodo Ref.]]="Dentro",DATOS_[C.Extra.01]))))), 0)</f>
        <v>0</v>
      </c>
      <c r="AM98" s="259" t="n">
        <f aca="false" t="array" ref="AM98:AM98">IFERROR( MEDIAN((IF(DATOS_[[Sexo]:[Sexo]]=$B98,IF(DATOS_[[AGRUP. CLAS. PROF.]:[AGRUP. CLAS. PROF.]]=$B96,IF(DATOS_[[Check Periodo Ref.]:[Check Periodo Ref.]]="Dentro",DATOS_[C.Extra.02]))))), 0)</f>
        <v>0</v>
      </c>
      <c r="AN98" s="259" t="n">
        <f aca="false" t="array" ref="AN98:AN98">IFERROR( MEDIAN((IF(DATOS_[[Sexo]:[Sexo]]=$B98,IF(DATOS_[[AGRUP. CLAS. PROF.]:[AGRUP. CLAS. PROF.]]=$B96,IF(DATOS_[[Check Periodo Ref.]:[Check Periodo Ref.]]="Dentro",DATOS_[C.Extra.03]))))), 0)</f>
        <v>0</v>
      </c>
      <c r="AO98" s="259" t="n">
        <f aca="false" t="array" ref="AO98:AO98">IFERROR( MEDIAN((IF(DATOS_[[Sexo]:[Sexo]]=$B98,IF(DATOS_[[AGRUP. CLAS. PROF.]:[AGRUP. CLAS. PROF.]]=$B96,IF(DATOS_[[Check Periodo Ref.]:[Check Periodo Ref.]]="Dentro",DATOS_[C.Extra.04]))))), 0)</f>
        <v>0</v>
      </c>
      <c r="AP98" s="259" t="n">
        <f aca="false" t="array" ref="AP98:AP98">IFERROR( MEDIAN((IF(DATOS_[[Sexo]:[Sexo]]=$B98,IF(DATOS_[[AGRUP. CLAS. PROF.]:[AGRUP. CLAS. PROF.]]=$B96,IF(DATOS_[[Check Periodo Ref.]:[Check Periodo Ref.]]="Dentro",DATOS_[C.Extra.05]))))), 0)</f>
        <v>0</v>
      </c>
      <c r="AQ98" s="254" t="n">
        <f aca="false" t="array" ref="AQ98:AQ98">IFERROR( MEDIAN(IF(DATOS_[Sexo]=$B98,IF(DATOS_[AGRUP. CLAS. PROF.]=$B96,IF(DATOS_[Check Periodo Ref.]="Dentro",DATOS_[Tot Extrasalarial Ef],0)))), 0)</f>
        <v>0</v>
      </c>
      <c r="AR98" s="255" t="n">
        <f aca="false" t="array" ref="AR98:AR98">IFERROR( MEDIAN(IF(DATOS_[Sexo]=$B98,IF(DATOS_[AGRUP. CLAS. PROF.]=$B96,IF(DATOS_[Check Periodo Ref.]="Dentro",DATOS_[TOTAL Retrib Ef],0)))), 0)</f>
        <v>0</v>
      </c>
    </row>
    <row r="99" customFormat="false" ht="15.75" hidden="false" customHeight="false" outlineLevel="0" collapsed="false">
      <c r="A99" s="217" t="str">
        <f aca="false">+A100</f>
        <v>[ocultar]</v>
      </c>
      <c r="B99" s="235" t="s">
        <v>252</v>
      </c>
      <c r="C99" s="236"/>
      <c r="D99" s="237"/>
      <c r="E99" s="238" t="str">
        <f aca="false">IFERROR((E100-E101)/E100,"")</f>
        <v/>
      </c>
      <c r="F99" s="239" t="str">
        <f aca="false">IFERROR((F100-F101)/F100,"")</f>
        <v/>
      </c>
      <c r="G99" s="239" t="str">
        <f aca="false">IFERROR((G100-G101)/G100,"")</f>
        <v/>
      </c>
      <c r="H99" s="239" t="str">
        <f aca="false">IFERROR((H100-H101)/H100,"")</f>
        <v/>
      </c>
      <c r="I99" s="239"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40" t="str">
        <f aca="false">IFERROR((V100-V101)/V100,"")</f>
        <v/>
      </c>
      <c r="W99" s="240" t="str">
        <f aca="false">IFERROR((W100-W101)/W100,"")</f>
        <v/>
      </c>
      <c r="X99" s="240" t="str">
        <f aca="false">IFERROR((X100-X101)/X100,"")</f>
        <v/>
      </c>
      <c r="Y99" s="240"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1" t="str">
        <f aca="false">IFERROR((AJ100-AJ101)/AJ100,"")</f>
        <v/>
      </c>
      <c r="AK99" s="242" t="str">
        <f aca="false">IFERROR((AK100-AK101)/AK100,"")</f>
        <v/>
      </c>
      <c r="AL99" s="243" t="str">
        <f aca="false">IFERROR((AL100-AL101)/AL100,"")</f>
        <v/>
      </c>
      <c r="AM99" s="243" t="str">
        <f aca="false">IFERROR((AM100-AM101)/AM100,"")</f>
        <v/>
      </c>
      <c r="AN99" s="243" t="str">
        <f aca="false">IFERROR((AN100-AN101)/AN100,"")</f>
        <v/>
      </c>
      <c r="AO99" s="243" t="str">
        <f aca="false">IFERROR((AO100-AO101)/AO100,"")</f>
        <v/>
      </c>
      <c r="AP99" s="243" t="str">
        <f aca="false">IFERROR((AP100-AP101)/AP100,"")</f>
        <v/>
      </c>
      <c r="AQ99" s="244" t="str">
        <f aca="false">IFERROR((AQ100-AQ101)/AQ100,"")</f>
        <v/>
      </c>
      <c r="AR99" s="245" t="str">
        <f aca="false">IFERROR((AR100-AR101)/AR100,"")</f>
        <v/>
      </c>
    </row>
    <row r="100" customFormat="false" ht="14.25" hidden="false" customHeight="false" outlineLevel="0" collapsed="false">
      <c r="A100" s="217" t="str">
        <f aca="false">+IF(C100+C101=0,"[ocultar]","")</f>
        <v>[ocultar]</v>
      </c>
      <c r="B100" s="246" t="s">
        <v>371</v>
      </c>
      <c r="C100" s="247" t="n">
        <f aca="false" t="array" ref="C100:C100">SUM(IF($B100=DATOS_[Sexo], IF($B99=DATOS_[AGRUP. CLAS. PROF.], IF("Dentro"=DATOS_[Check Periodo Ref.], 1/(COUNTIFS(DATOS_[Sexo],$B100,DATOS_[AGRUP. CLAS. PROF.],$B99,DATOS_[Check Periodo Ref.],"Dentro",DATOS_[id],DATOS_[id]))))))</f>
        <v>0</v>
      </c>
      <c r="D100" s="248" t="n">
        <f aca="false">COUNTIFS(DATOS_[AGRUP. CLAS. PROF.],$B99,DATOS_[Sexo],$B100,DATOS_[Check Periodo Ref.],"Dentro")</f>
        <v>0</v>
      </c>
      <c r="E100" s="249" t="n">
        <f aca="false" t="array" ref="E100:E100">IFERROR( MEDIAN(IF(DATOS_[Sexo]=$B100,IF(DATOS_[AGRUP. CLAS. PROF.]=$B99,IF(DATOS_[Check Periodo Ref.]="Dentro",DATOS_[SALARIO BASE Ef],0)))), 0)</f>
        <v>0</v>
      </c>
      <c r="F100" s="250" t="n">
        <f aca="false" t="array" ref="F100:F100">IFERROR( MEDIAN((IF(DATOS_[[Sexo]:[Sexo]]=$B100,IF(DATOS_[[AGRUP. CLAS. PROF.]:[AGRUP. CLAS. PROF.]]=$B99,IF(DATOS_[[Check Periodo Ref.]:[Check Periodo Ref.]]="Dentro",DATOS_[Conc.Sal.01]))))), 0)</f>
        <v>0</v>
      </c>
      <c r="G100" s="250" t="n">
        <f aca="false" t="array" ref="G100:G100">IFERROR( MEDIAN((IF(DATOS_[[Sexo]:[Sexo]]=$B100,IF(DATOS_[[AGRUP. CLAS. PROF.]:[AGRUP. CLAS. PROF.]]=$B99,IF(DATOS_[[Check Periodo Ref.]:[Check Periodo Ref.]]="Dentro",DATOS_[Conc.Sal.02]))))), 0)</f>
        <v>0</v>
      </c>
      <c r="H100" s="250" t="n">
        <f aca="false" t="array" ref="H100:H100">IFERROR( MEDIAN((IF(DATOS_[[Sexo]:[Sexo]]=$B100,IF(DATOS_[[AGRUP. CLAS. PROF.]:[AGRUP. CLAS. PROF.]]=$B99,IF(DATOS_[[Check Periodo Ref.]:[Check Periodo Ref.]]="Dentro",DATOS_[Conc.Sal.03]))))), 0)</f>
        <v>0</v>
      </c>
      <c r="I100" s="250" t="n">
        <f aca="false" t="array" ref="I100:I100">IFERROR( MEDIAN((IF(DATOS_[[Sexo]:[Sexo]]=$B100,IF(DATOS_[[AGRUP. CLAS. PROF.]:[AGRUP. CLAS. PROF.]]=$B99,IF(DATOS_[[Check Periodo Ref.]:[Check Periodo Ref.]]="Dentro",DATOS_[Conc.Sal.04]))))), 0)</f>
        <v>0</v>
      </c>
      <c r="J100" s="250" t="n">
        <f aca="false" t="array" ref="J100:J100">IFERROR( MEDIAN((IF(DATOS_[[Sexo]:[Sexo]]=$B100,IF(DATOS_[[AGRUP. CLAS. PROF.]:[AGRUP. CLAS. PROF.]]=$B99,IF(DATOS_[[Check Periodo Ref.]:[Check Periodo Ref.]]="Dentro",DATOS_[Conc.Sal.05]))))), 0)</f>
        <v>0</v>
      </c>
      <c r="K100" s="250" t="n">
        <f aca="false" t="array" ref="K100:K100">IFERROR( MEDIAN((IF(DATOS_[[Sexo]:[Sexo]]=$B100,IF(DATOS_[[AGRUP. CLAS. PROF.]:[AGRUP. CLAS. PROF.]]=$B99,IF(DATOS_[[Check Periodo Ref.]:[Check Periodo Ref.]]="Dentro",DATOS_[Conc.Sal.06]))))), 0)</f>
        <v>0</v>
      </c>
      <c r="L100" s="250" t="n">
        <f aca="false" t="array" ref="L100:L100">IFERROR( MEDIAN((IF(DATOS_[[Sexo]:[Sexo]]=$B100,IF(DATOS_[[AGRUP. CLAS. PROF.]:[AGRUP. CLAS. PROF.]]=$B99,IF(DATOS_[[Check Periodo Ref.]:[Check Periodo Ref.]]="Dentro",DATOS_[Conc.Sal.07]))))), 0)</f>
        <v>0</v>
      </c>
      <c r="M100" s="250" t="n">
        <f aca="false" t="array" ref="M100:M100">IFERROR( MEDIAN((IF(DATOS_[[Sexo]:[Sexo]]=$B100,IF(DATOS_[[AGRUP. CLAS. PROF.]:[AGRUP. CLAS. PROF.]]=$B99,IF(DATOS_[[Check Periodo Ref.]:[Check Periodo Ref.]]="Dentro",DATOS_[Conc.Sal.08]))))), 0)</f>
        <v>0</v>
      </c>
      <c r="N100" s="250" t="n">
        <f aca="false" t="array" ref="N100:N100">IFERROR( MEDIAN((IF(DATOS_[[Sexo]:[Sexo]]=$B100,IF(DATOS_[[AGRUP. CLAS. PROF.]:[AGRUP. CLAS. PROF.]]=$B99,IF(DATOS_[[Check Periodo Ref.]:[Check Periodo Ref.]]="Dentro",DATOS_[Conc.Sal.09]))))), 0)</f>
        <v>0</v>
      </c>
      <c r="O100" s="250" t="n">
        <f aca="false" t="array" ref="O100:O100">IFERROR( MEDIAN((IF(DATOS_[[Sexo]:[Sexo]]=$B100,IF(DATOS_[[AGRUP. CLAS. PROF.]:[AGRUP. CLAS. PROF.]]=$B99,IF(DATOS_[[Check Periodo Ref.]:[Check Periodo Ref.]]="Dentro",DATOS_[Conc.Sal.10]))))), 0)</f>
        <v>0</v>
      </c>
      <c r="P100" s="250" t="n">
        <f aca="false" t="array" ref="P100:P100">IFERROR( MEDIAN((IF(DATOS_[[Sexo]:[Sexo]]=$B100,IF(DATOS_[[AGRUP. CLAS. PROF.]:[AGRUP. CLAS. PROF.]]=$B99,IF(DATOS_[[Check Periodo Ref.]:[Check Periodo Ref.]]="Dentro",DATOS_[Conc.Sal.11]))))), 0)</f>
        <v>0</v>
      </c>
      <c r="Q100" s="250" t="n">
        <f aca="false" t="array" ref="Q100:Q100">IFERROR( MEDIAN((IF(DATOS_[[Sexo]:[Sexo]]=$B100,IF(DATOS_[[AGRUP. CLAS. PROF.]:[AGRUP. CLAS. PROF.]]=$B99,IF(DATOS_[[Check Periodo Ref.]:[Check Periodo Ref.]]="Dentro",DATOS_[Conc.Sal.12]))))), 0)</f>
        <v>0</v>
      </c>
      <c r="R100" s="250" t="n">
        <f aca="false" t="array" ref="R100:R100">IFERROR( MEDIAN((IF(DATOS_[[Sexo]:[Sexo]]=$B100,IF(DATOS_[[AGRUP. CLAS. PROF.]:[AGRUP. CLAS. PROF.]]=$B99,IF(DATOS_[[Check Periodo Ref.]:[Check Periodo Ref.]]="Dentro",DATOS_[Conc.Sal.13]))))), 0)</f>
        <v>0</v>
      </c>
      <c r="S100" s="250" t="n">
        <f aca="false" t="array" ref="S100:S100">IFERROR( MEDIAN((IF(DATOS_[[Sexo]:[Sexo]]=$B100,IF(DATOS_[[AGRUP. CLAS. PROF.]:[AGRUP. CLAS. PROF.]]=$B99,IF(DATOS_[[Check Periodo Ref.]:[Check Periodo Ref.]]="Dentro",DATOS_[Conc.Sal.14]))))), 0)</f>
        <v>0</v>
      </c>
      <c r="T100" s="250" t="n">
        <f aca="false" t="array" ref="T100:T100">IFERROR( MEDIAN((IF(DATOS_[[Sexo]:[Sexo]]=$B100,IF(DATOS_[[AGRUP. CLAS. PROF.]:[AGRUP. CLAS. PROF.]]=$B99,IF(DATOS_[[Check Periodo Ref.]:[Check Periodo Ref.]]="Dentro",DATOS_[Conc.Sal.15]))))), 0)</f>
        <v>0</v>
      </c>
      <c r="U100" s="250" t="n">
        <f aca="false" t="array" ref="U100:U100">IFERROR( MEDIAN((IF(DATOS_[[Sexo]:[Sexo]]=$B100,IF(DATOS_[[AGRUP. CLAS. PROF.]:[AGRUP. CLAS. PROF.]]=$B99,IF(DATOS_[[Check Periodo Ref.]:[Check Periodo Ref.]]="Dentro",DATOS_[Conc.Sal.16]))))), 0)</f>
        <v>0</v>
      </c>
      <c r="V100" s="250" t="n">
        <f aca="false" t="array" ref="V100:V100">IFERROR( MEDIAN((IF(DATOS_[[Sexo]:[Sexo]]=$B100,IF(DATOS_[[AGRUP. CLAS. PROF.]:[AGRUP. CLAS. PROF.]]=$B99,IF(DATOS_[[Check Periodo Ref.]:[Check Periodo Ref.]]="Dentro",DATOS_[Conc.Sal.17]))))), 0)</f>
        <v>0</v>
      </c>
      <c r="W100" s="250" t="n">
        <f aca="false" t="array" ref="W100:W100">IFERROR( MEDIAN((IF(DATOS_[[Sexo]:[Sexo]]=$B100,IF(DATOS_[[AGRUP. CLAS. PROF.]:[AGRUP. CLAS. PROF.]]=$B99,IF(DATOS_[[Check Periodo Ref.]:[Check Periodo Ref.]]="Dentro",DATOS_[Conc.Sal.18]))))), 0)</f>
        <v>0</v>
      </c>
      <c r="X100" s="250" t="n">
        <f aca="false" t="array" ref="X100:X100">IFERROR( MEDIAN((IF(DATOS_[[Sexo]:[Sexo]]=$B100,IF(DATOS_[[AGRUP. CLAS. PROF.]:[AGRUP. CLAS. PROF.]]=$B99,IF(DATOS_[[Check Periodo Ref.]:[Check Periodo Ref.]]="Dentro",DATOS_[Conc.Sal.19]))))), 0)</f>
        <v>0</v>
      </c>
      <c r="Y100" s="250" t="n">
        <f aca="false" t="array" ref="Y100:Y100">IFERROR( MEDIAN((IF(DATOS_[[Sexo]:[Sexo]]=$B100,IF(DATOS_[[AGRUP. CLAS. PROF.]:[AGRUP. CLAS. PROF.]]=$B99,IF(DATOS_[[Check Periodo Ref.]:[Check Periodo Ref.]]="Dentro",DATOS_[Conc.Sal.20]))))), 0)</f>
        <v>0</v>
      </c>
      <c r="Z100" s="250" t="n">
        <f aca="false" t="array" ref="Z100:Z100">IFERROR( MEDIAN((IF(DATOS_[[Sexo]:[Sexo]]=$B100,IF(DATOS_[[AGRUP. CLAS. PROF.]:[AGRUP. CLAS. PROF.]]=$B99,IF(DATOS_[[Check Periodo Ref.]:[Check Periodo Ref.]]="Dentro",DATOS_[Conc.Sal.21]))))), 0)</f>
        <v>0</v>
      </c>
      <c r="AA100" s="250" t="n">
        <f aca="false" t="array" ref="AA100:AA100">IFERROR( MEDIAN((IF(DATOS_[[Sexo]:[Sexo]]=$B100,IF(DATOS_[[AGRUP. CLAS. PROF.]:[AGRUP. CLAS. PROF.]]=$B99,IF(DATOS_[[Check Periodo Ref.]:[Check Periodo Ref.]]="Dentro",DATOS_[Conc.Sal.22]))))), 0)</f>
        <v>0</v>
      </c>
      <c r="AB100" s="250" t="n">
        <f aca="false" t="array" ref="AB100:AB100">IFERROR( MEDIAN((IF(DATOS_[[Sexo]:[Sexo]]=$B100,IF(DATOS_[[AGRUP. CLAS. PROF.]:[AGRUP. CLAS. PROF.]]=$B99,IF(DATOS_[[Check Periodo Ref.]:[Check Periodo Ref.]]="Dentro",DATOS_[Conc.Sal.23]))))), 0)</f>
        <v>0</v>
      </c>
      <c r="AC100" s="250" t="n">
        <f aca="false" t="array" ref="AC100:AC100">IFERROR( MEDIAN((IF(DATOS_[[Sexo]:[Sexo]]=$B100,IF(DATOS_[[AGRUP. CLAS. PROF.]:[AGRUP. CLAS. PROF.]]=$B99,IF(DATOS_[[Check Periodo Ref.]:[Check Periodo Ref.]]="Dentro",DATOS_[Conc.Sal.24]))))), 0)</f>
        <v>0</v>
      </c>
      <c r="AD100" s="250" t="n">
        <f aca="false" t="array" ref="AD100:AD100">IFERROR( MEDIAN((IF(DATOS_[[Sexo]:[Sexo]]=$B100,IF(DATOS_[[AGRUP. CLAS. PROF.]:[AGRUP. CLAS. PROF.]]=$B99,IF(DATOS_[[Check Periodo Ref.]:[Check Periodo Ref.]]="Dentro",DATOS_[Conc.Sal.25]))))), 0)</f>
        <v>0</v>
      </c>
      <c r="AE100" s="250" t="n">
        <f aca="false" t="array" ref="AE100:AE100">IFERROR( MEDIAN((IF(DATOS_[[Sexo]:[Sexo]]=$B100,IF(DATOS_[[AGRUP. CLAS. PROF.]:[AGRUP. CLAS. PROF.]]=$B99,IF(DATOS_[[Check Periodo Ref.]:[Check Periodo Ref.]]="Dentro",DATOS_[Conc.Sal.26]))))), 0)</f>
        <v>0</v>
      </c>
      <c r="AF100" s="250" t="n">
        <f aca="false" t="array" ref="AF100:AF100">IFERROR( MEDIAN((IF(DATOS_[[Sexo]:[Sexo]]=$B100,IF(DATOS_[[AGRUP. CLAS. PROF.]:[AGRUP. CLAS. PROF.]]=$B99,IF(DATOS_[[Check Periodo Ref.]:[Check Periodo Ref.]]="Dentro",DATOS_[Conc.Sal.27]))))), 0)</f>
        <v>0</v>
      </c>
      <c r="AG100" s="250" t="n">
        <f aca="false" t="array" ref="AG100:AG100">IFERROR( MEDIAN((IF(DATOS_[[Sexo]:[Sexo]]=$B100,IF(DATOS_[[AGRUP. CLAS. PROF.]:[AGRUP. CLAS. PROF.]]=$B99,IF(DATOS_[[Check Periodo Ref.]:[Check Periodo Ref.]]="Dentro",DATOS_[Conc.Sal.28]))))), 0)</f>
        <v>0</v>
      </c>
      <c r="AH100" s="250" t="n">
        <f aca="false" t="array" ref="AH100:AH100">IFERROR( MEDIAN((IF(DATOS_[[Sexo]:[Sexo]]=$B100,IF(DATOS_[[AGRUP. CLAS. PROF.]:[AGRUP. CLAS. PROF.]]=$B99,IF(DATOS_[[Check Periodo Ref.]:[Check Periodo Ref.]]="Dentro",DATOS_[Conc.Sal.29]))))), 0)</f>
        <v>0</v>
      </c>
      <c r="AI100" s="250" t="n">
        <f aca="false" t="array" ref="AI100:AI100">IFERROR( MEDIAN((IF(DATOS_[[Sexo]:[Sexo]]=$B100,IF(DATOS_[[AGRUP. CLAS. PROF.]:[AGRUP. CLAS. PROF.]]=$B99,IF(DATOS_[[Check Periodo Ref.]:[Check Periodo Ref.]]="Dentro",DATOS_[Conc.Sal.30]))))), 0)</f>
        <v>0</v>
      </c>
      <c r="AJ100" s="251" t="n">
        <f aca="false" t="array" ref="AJ100:AJ100">IFERROR( MEDIAN(IF(DATOS_[Sexo]=$B100,IF(DATOS_[AGRUP. CLAS. PROF.]=$B99,IF(DATOS_[Check Periodo Ref.]="Dentro",DATOS_[Tot COMPL.SAL Ef],0)))), 0)</f>
        <v>0</v>
      </c>
      <c r="AK100" s="252" t="n">
        <f aca="false" t="array" ref="AK100:AK100">IFERROR( MEDIAN(IF(DATOS_[Sexo]=$B100,IF(DATOS_[AGRUP. CLAS. PROF.]=$B99,IF(DATOS_[Check Periodo Ref.]="Dentro",DATOS_[TOTAL SALARIO Ef],0)))), 0)</f>
        <v>0</v>
      </c>
      <c r="AL100" s="259" t="n">
        <f aca="false" t="array" ref="AL100:AL100">IFERROR( MEDIAN((IF(DATOS_[[Sexo]:[Sexo]]=$B100,IF(DATOS_[[AGRUP. CLAS. PROF.]:[AGRUP. CLAS. PROF.]]=$B99,IF(DATOS_[[Check Periodo Ref.]:[Check Periodo Ref.]]="Dentro",DATOS_[C.Extra.01]))))), 0)</f>
        <v>0</v>
      </c>
      <c r="AM100" s="259" t="n">
        <f aca="false" t="array" ref="AM100:AM100">IFERROR( MEDIAN((IF(DATOS_[[Sexo]:[Sexo]]=$B100,IF(DATOS_[[AGRUP. CLAS. PROF.]:[AGRUP. CLAS. PROF.]]=$B99,IF(DATOS_[[Check Periodo Ref.]:[Check Periodo Ref.]]="Dentro",DATOS_[C.Extra.02]))))), 0)</f>
        <v>0</v>
      </c>
      <c r="AN100" s="259" t="n">
        <f aca="false" t="array" ref="AN100:AN100">IFERROR( MEDIAN((IF(DATOS_[[Sexo]:[Sexo]]=$B100,IF(DATOS_[[AGRUP. CLAS. PROF.]:[AGRUP. CLAS. PROF.]]=$B99,IF(DATOS_[[Check Periodo Ref.]:[Check Periodo Ref.]]="Dentro",DATOS_[C.Extra.03]))))), 0)</f>
        <v>0</v>
      </c>
      <c r="AO100" s="259" t="n">
        <f aca="false" t="array" ref="AO100:AO100">IFERROR( MEDIAN((IF(DATOS_[[Sexo]:[Sexo]]=$B100,IF(DATOS_[[AGRUP. CLAS. PROF.]:[AGRUP. CLAS. PROF.]]=$B99,IF(DATOS_[[Check Periodo Ref.]:[Check Periodo Ref.]]="Dentro",DATOS_[C.Extra.04]))))), 0)</f>
        <v>0</v>
      </c>
      <c r="AP100" s="259" t="n">
        <f aca="false" t="array" ref="AP100:AP100">IFERROR( MEDIAN((IF(DATOS_[[Sexo]:[Sexo]]=$B100,IF(DATOS_[[AGRUP. CLAS. PROF.]:[AGRUP. CLAS. PROF.]]=$B99,IF(DATOS_[[Check Periodo Ref.]:[Check Periodo Ref.]]="Dentro",DATOS_[C.Extra.05]))))), 0)</f>
        <v>0</v>
      </c>
      <c r="AQ100" s="254" t="n">
        <f aca="false" t="array" ref="AQ100:AQ100">IFERROR( MEDIAN(IF(DATOS_[Sexo]=$B100,IF(DATOS_[AGRUP. CLAS. PROF.]=$B99,IF(DATOS_[Check Periodo Ref.]="Dentro",DATOS_[Tot Extrasalarial Ef],0)))), 0)</f>
        <v>0</v>
      </c>
      <c r="AR100" s="255" t="n">
        <f aca="false" t="array" ref="AR100:AR100">IFERROR( MEDIAN(IF(DATOS_[Sexo]=$B100,IF(DATOS_[AGRUP. CLAS. PROF.]=$B99,IF(DATOS_[Check Periodo Ref.]="Dentro",DATOS_[TOTAL Retrib Ef],0)))), 0)</f>
        <v>0</v>
      </c>
    </row>
    <row r="101" customFormat="false" ht="14.25" hidden="false" customHeight="false" outlineLevel="0" collapsed="false">
      <c r="A101" s="217" t="str">
        <f aca="false">+A100</f>
        <v>[ocultar]</v>
      </c>
      <c r="B101" s="246" t="s">
        <v>372</v>
      </c>
      <c r="C101" s="247" t="n">
        <f aca="false" t="array" ref="C101:C101">SUM(IF($B101=DATOS_[Sexo], IF($B99=DATOS_[AGRUP. CLAS. PROF.], IF("Dentro"=DATOS_[Check Periodo Ref.], 1/(COUNTIFS(DATOS_[Sexo],$B101,DATOS_[AGRUP. CLAS. PROF.],$B99,DATOS_[Check Periodo Ref.],"Dentro",DATOS_[id],DATOS_[id]))))))</f>
        <v>0</v>
      </c>
      <c r="D101" s="248" t="n">
        <f aca="false">COUNTIFS(DATOS_[AGRUP. CLAS. PROF.],$B99,DATOS_[Sexo],$B101,DATOS_[Check Periodo Ref.],"Dentro")</f>
        <v>0</v>
      </c>
      <c r="E101" s="249" t="n">
        <f aca="false" t="array" ref="E101:E101">IFERROR( MEDIAN(IF(DATOS_[Sexo]=$B101,IF(DATOS_[AGRUP. CLAS. PROF.]=$B99,IF(DATOS_[Check Periodo Ref.]="Dentro",DATOS_[SALARIO BASE Ef],0)))), 0)</f>
        <v>0</v>
      </c>
      <c r="F101" s="250" t="n">
        <f aca="false" t="array" ref="F101:F101">IFERROR( MEDIAN((IF(DATOS_[[Sexo]:[Sexo]]=$B101,IF(DATOS_[[AGRUP. CLAS. PROF.]:[AGRUP. CLAS. PROF.]]=$B99,IF(DATOS_[[Check Periodo Ref.]:[Check Periodo Ref.]]="Dentro",DATOS_[Conc.Sal.01]))))), 0)</f>
        <v>0</v>
      </c>
      <c r="G101" s="250" t="n">
        <f aca="false" t="array" ref="G101:G101">IFERROR( MEDIAN((IF(DATOS_[[Sexo]:[Sexo]]=$B101,IF(DATOS_[[AGRUP. CLAS. PROF.]:[AGRUP. CLAS. PROF.]]=$B99,IF(DATOS_[[Check Periodo Ref.]:[Check Periodo Ref.]]="Dentro",DATOS_[Conc.Sal.02]))))), 0)</f>
        <v>0</v>
      </c>
      <c r="H101" s="250" t="n">
        <f aca="false" t="array" ref="H101:H101">IFERROR( MEDIAN((IF(DATOS_[[Sexo]:[Sexo]]=$B101,IF(DATOS_[[AGRUP. CLAS. PROF.]:[AGRUP. CLAS. PROF.]]=$B99,IF(DATOS_[[Check Periodo Ref.]:[Check Periodo Ref.]]="Dentro",DATOS_[Conc.Sal.03]))))), 0)</f>
        <v>0</v>
      </c>
      <c r="I101" s="250" t="n">
        <f aca="false" t="array" ref="I101:I101">IFERROR( MEDIAN((IF(DATOS_[[Sexo]:[Sexo]]=$B101,IF(DATOS_[[AGRUP. CLAS. PROF.]:[AGRUP. CLAS. PROF.]]=$B99,IF(DATOS_[[Check Periodo Ref.]:[Check Periodo Ref.]]="Dentro",DATOS_[Conc.Sal.04]))))), 0)</f>
        <v>0</v>
      </c>
      <c r="J101" s="250" t="n">
        <f aca="false" t="array" ref="J101:J101">IFERROR( MEDIAN((IF(DATOS_[[Sexo]:[Sexo]]=$B101,IF(DATOS_[[AGRUP. CLAS. PROF.]:[AGRUP. CLAS. PROF.]]=$B99,IF(DATOS_[[Check Periodo Ref.]:[Check Periodo Ref.]]="Dentro",DATOS_[Conc.Sal.05]))))), 0)</f>
        <v>0</v>
      </c>
      <c r="K101" s="250" t="n">
        <f aca="false" t="array" ref="K101:K101">IFERROR( MEDIAN((IF(DATOS_[[Sexo]:[Sexo]]=$B101,IF(DATOS_[[AGRUP. CLAS. PROF.]:[AGRUP. CLAS. PROF.]]=$B99,IF(DATOS_[[Check Periodo Ref.]:[Check Periodo Ref.]]="Dentro",DATOS_[Conc.Sal.06]))))), 0)</f>
        <v>0</v>
      </c>
      <c r="L101" s="250" t="n">
        <f aca="false" t="array" ref="L101:L101">IFERROR( MEDIAN((IF(DATOS_[[Sexo]:[Sexo]]=$B101,IF(DATOS_[[AGRUP. CLAS. PROF.]:[AGRUP. CLAS. PROF.]]=$B99,IF(DATOS_[[Check Periodo Ref.]:[Check Periodo Ref.]]="Dentro",DATOS_[Conc.Sal.07]))))), 0)</f>
        <v>0</v>
      </c>
      <c r="M101" s="250" t="n">
        <f aca="false" t="array" ref="M101:M101">IFERROR( MEDIAN((IF(DATOS_[[Sexo]:[Sexo]]=$B101,IF(DATOS_[[AGRUP. CLAS. PROF.]:[AGRUP. CLAS. PROF.]]=$B99,IF(DATOS_[[Check Periodo Ref.]:[Check Periodo Ref.]]="Dentro",DATOS_[Conc.Sal.08]))))), 0)</f>
        <v>0</v>
      </c>
      <c r="N101" s="250" t="n">
        <f aca="false" t="array" ref="N101:N101">IFERROR( MEDIAN((IF(DATOS_[[Sexo]:[Sexo]]=$B101,IF(DATOS_[[AGRUP. CLAS. PROF.]:[AGRUP. CLAS. PROF.]]=$B99,IF(DATOS_[[Check Periodo Ref.]:[Check Periodo Ref.]]="Dentro",DATOS_[Conc.Sal.09]))))), 0)</f>
        <v>0</v>
      </c>
      <c r="O101" s="250" t="n">
        <f aca="false" t="array" ref="O101:O101">IFERROR( MEDIAN((IF(DATOS_[[Sexo]:[Sexo]]=$B101,IF(DATOS_[[AGRUP. CLAS. PROF.]:[AGRUP. CLAS. PROF.]]=$B99,IF(DATOS_[[Check Periodo Ref.]:[Check Periodo Ref.]]="Dentro",DATOS_[Conc.Sal.10]))))), 0)</f>
        <v>0</v>
      </c>
      <c r="P101" s="250" t="n">
        <f aca="false" t="array" ref="P101:P101">IFERROR( MEDIAN((IF(DATOS_[[Sexo]:[Sexo]]=$B101,IF(DATOS_[[AGRUP. CLAS. PROF.]:[AGRUP. CLAS. PROF.]]=$B99,IF(DATOS_[[Check Periodo Ref.]:[Check Periodo Ref.]]="Dentro",DATOS_[Conc.Sal.11]))))), 0)</f>
        <v>0</v>
      </c>
      <c r="Q101" s="250" t="n">
        <f aca="false" t="array" ref="Q101:Q101">IFERROR( MEDIAN((IF(DATOS_[[Sexo]:[Sexo]]=$B101,IF(DATOS_[[AGRUP. CLAS. PROF.]:[AGRUP. CLAS. PROF.]]=$B99,IF(DATOS_[[Check Periodo Ref.]:[Check Periodo Ref.]]="Dentro",DATOS_[Conc.Sal.12]))))), 0)</f>
        <v>0</v>
      </c>
      <c r="R101" s="250" t="n">
        <f aca="false" t="array" ref="R101:R101">IFERROR( MEDIAN((IF(DATOS_[[Sexo]:[Sexo]]=$B101,IF(DATOS_[[AGRUP. CLAS. PROF.]:[AGRUP. CLAS. PROF.]]=$B99,IF(DATOS_[[Check Periodo Ref.]:[Check Periodo Ref.]]="Dentro",DATOS_[Conc.Sal.13]))))), 0)</f>
        <v>0</v>
      </c>
      <c r="S101" s="250" t="n">
        <f aca="false" t="array" ref="S101:S101">IFERROR( MEDIAN((IF(DATOS_[[Sexo]:[Sexo]]=$B101,IF(DATOS_[[AGRUP. CLAS. PROF.]:[AGRUP. CLAS. PROF.]]=$B99,IF(DATOS_[[Check Periodo Ref.]:[Check Periodo Ref.]]="Dentro",DATOS_[Conc.Sal.14]))))), 0)</f>
        <v>0</v>
      </c>
      <c r="T101" s="250" t="n">
        <f aca="false" t="array" ref="T101:T101">IFERROR( MEDIAN((IF(DATOS_[[Sexo]:[Sexo]]=$B101,IF(DATOS_[[AGRUP. CLAS. PROF.]:[AGRUP. CLAS. PROF.]]=$B99,IF(DATOS_[[Check Periodo Ref.]:[Check Periodo Ref.]]="Dentro",DATOS_[Conc.Sal.15]))))), 0)</f>
        <v>0</v>
      </c>
      <c r="U101" s="250" t="n">
        <f aca="false" t="array" ref="U101:U101">IFERROR( MEDIAN((IF(DATOS_[[Sexo]:[Sexo]]=$B101,IF(DATOS_[[AGRUP. CLAS. PROF.]:[AGRUP. CLAS. PROF.]]=$B99,IF(DATOS_[[Check Periodo Ref.]:[Check Periodo Ref.]]="Dentro",DATOS_[Conc.Sal.16]))))), 0)</f>
        <v>0</v>
      </c>
      <c r="V101" s="250" t="n">
        <f aca="false" t="array" ref="V101:V101">IFERROR( MEDIAN((IF(DATOS_[[Sexo]:[Sexo]]=$B101,IF(DATOS_[[AGRUP. CLAS. PROF.]:[AGRUP. CLAS. PROF.]]=$B99,IF(DATOS_[[Check Periodo Ref.]:[Check Periodo Ref.]]="Dentro",DATOS_[Conc.Sal.17]))))), 0)</f>
        <v>0</v>
      </c>
      <c r="W101" s="250" t="n">
        <f aca="false" t="array" ref="W101:W101">IFERROR( MEDIAN((IF(DATOS_[[Sexo]:[Sexo]]=$B101,IF(DATOS_[[AGRUP. CLAS. PROF.]:[AGRUP. CLAS. PROF.]]=$B99,IF(DATOS_[[Check Periodo Ref.]:[Check Periodo Ref.]]="Dentro",DATOS_[Conc.Sal.18]))))), 0)</f>
        <v>0</v>
      </c>
      <c r="X101" s="250" t="n">
        <f aca="false" t="array" ref="X101:X101">IFERROR( MEDIAN((IF(DATOS_[[Sexo]:[Sexo]]=$B101,IF(DATOS_[[AGRUP. CLAS. PROF.]:[AGRUP. CLAS. PROF.]]=$B99,IF(DATOS_[[Check Periodo Ref.]:[Check Periodo Ref.]]="Dentro",DATOS_[Conc.Sal.19]))))), 0)</f>
        <v>0</v>
      </c>
      <c r="Y101" s="250" t="n">
        <f aca="false" t="array" ref="Y101:Y101">IFERROR( MEDIAN((IF(DATOS_[[Sexo]:[Sexo]]=$B101,IF(DATOS_[[AGRUP. CLAS. PROF.]:[AGRUP. CLAS. PROF.]]=$B99,IF(DATOS_[[Check Periodo Ref.]:[Check Periodo Ref.]]="Dentro",DATOS_[Conc.Sal.20]))))), 0)</f>
        <v>0</v>
      </c>
      <c r="Z101" s="250" t="n">
        <f aca="false" t="array" ref="Z101:Z101">IFERROR( MEDIAN((IF(DATOS_[[Sexo]:[Sexo]]=$B101,IF(DATOS_[[AGRUP. CLAS. PROF.]:[AGRUP. CLAS. PROF.]]=$B99,IF(DATOS_[[Check Periodo Ref.]:[Check Periodo Ref.]]="Dentro",DATOS_[Conc.Sal.21]))))), 0)</f>
        <v>0</v>
      </c>
      <c r="AA101" s="250" t="n">
        <f aca="false" t="array" ref="AA101:AA101">IFERROR( MEDIAN((IF(DATOS_[[Sexo]:[Sexo]]=$B101,IF(DATOS_[[AGRUP. CLAS. PROF.]:[AGRUP. CLAS. PROF.]]=$B99,IF(DATOS_[[Check Periodo Ref.]:[Check Periodo Ref.]]="Dentro",DATOS_[Conc.Sal.22]))))), 0)</f>
        <v>0</v>
      </c>
      <c r="AB101" s="250" t="n">
        <f aca="false" t="array" ref="AB101:AB101">IFERROR( MEDIAN((IF(DATOS_[[Sexo]:[Sexo]]=$B101,IF(DATOS_[[AGRUP. CLAS. PROF.]:[AGRUP. CLAS. PROF.]]=$B99,IF(DATOS_[[Check Periodo Ref.]:[Check Periodo Ref.]]="Dentro",DATOS_[Conc.Sal.23]))))), 0)</f>
        <v>0</v>
      </c>
      <c r="AC101" s="250" t="n">
        <f aca="false" t="array" ref="AC101:AC101">IFERROR( MEDIAN((IF(DATOS_[[Sexo]:[Sexo]]=$B101,IF(DATOS_[[AGRUP. CLAS. PROF.]:[AGRUP. CLAS. PROF.]]=$B99,IF(DATOS_[[Check Periodo Ref.]:[Check Periodo Ref.]]="Dentro",DATOS_[Conc.Sal.24]))))), 0)</f>
        <v>0</v>
      </c>
      <c r="AD101" s="250" t="n">
        <f aca="false" t="array" ref="AD101:AD101">IFERROR( MEDIAN((IF(DATOS_[[Sexo]:[Sexo]]=$B101,IF(DATOS_[[AGRUP. CLAS. PROF.]:[AGRUP. CLAS. PROF.]]=$B99,IF(DATOS_[[Check Periodo Ref.]:[Check Periodo Ref.]]="Dentro",DATOS_[Conc.Sal.25]))))), 0)</f>
        <v>0</v>
      </c>
      <c r="AE101" s="250" t="n">
        <f aca="false" t="array" ref="AE101:AE101">IFERROR( MEDIAN((IF(DATOS_[[Sexo]:[Sexo]]=$B101,IF(DATOS_[[AGRUP. CLAS. PROF.]:[AGRUP. CLAS. PROF.]]=$B99,IF(DATOS_[[Check Periodo Ref.]:[Check Periodo Ref.]]="Dentro",DATOS_[Conc.Sal.26]))))), 0)</f>
        <v>0</v>
      </c>
      <c r="AF101" s="250" t="n">
        <f aca="false" t="array" ref="AF101:AF101">IFERROR( MEDIAN((IF(DATOS_[[Sexo]:[Sexo]]=$B101,IF(DATOS_[[AGRUP. CLAS. PROF.]:[AGRUP. CLAS. PROF.]]=$B99,IF(DATOS_[[Check Periodo Ref.]:[Check Periodo Ref.]]="Dentro",DATOS_[Conc.Sal.27]))))), 0)</f>
        <v>0</v>
      </c>
      <c r="AG101" s="250" t="n">
        <f aca="false" t="array" ref="AG101:AG101">IFERROR( MEDIAN((IF(DATOS_[[Sexo]:[Sexo]]=$B101,IF(DATOS_[[AGRUP. CLAS. PROF.]:[AGRUP. CLAS. PROF.]]=$B99,IF(DATOS_[[Check Periodo Ref.]:[Check Periodo Ref.]]="Dentro",DATOS_[Conc.Sal.28]))))), 0)</f>
        <v>0</v>
      </c>
      <c r="AH101" s="250" t="n">
        <f aca="false" t="array" ref="AH101:AH101">IFERROR( MEDIAN((IF(DATOS_[[Sexo]:[Sexo]]=$B101,IF(DATOS_[[AGRUP. CLAS. PROF.]:[AGRUP. CLAS. PROF.]]=$B99,IF(DATOS_[[Check Periodo Ref.]:[Check Periodo Ref.]]="Dentro",DATOS_[Conc.Sal.29]))))), 0)</f>
        <v>0</v>
      </c>
      <c r="AI101" s="250" t="n">
        <f aca="false" t="array" ref="AI101:AI101">IFERROR( MEDIAN((IF(DATOS_[[Sexo]:[Sexo]]=$B101,IF(DATOS_[[AGRUP. CLAS. PROF.]:[AGRUP. CLAS. PROF.]]=$B99,IF(DATOS_[[Check Periodo Ref.]:[Check Periodo Ref.]]="Dentro",DATOS_[Conc.Sal.30]))))), 0)</f>
        <v>0</v>
      </c>
      <c r="AJ101" s="251" t="n">
        <f aca="false" t="array" ref="AJ101:AJ101">IFERROR( MEDIAN(IF(DATOS_[Sexo]=$B101,IF(DATOS_[AGRUP. CLAS. PROF.]=$B99,IF(DATOS_[Check Periodo Ref.]="Dentro",DATOS_[Tot COMPL.SAL Ef],0)))), 0)</f>
        <v>0</v>
      </c>
      <c r="AK101" s="252" t="n">
        <f aca="false" t="array" ref="AK101:AK101">IFERROR( MEDIAN(IF(DATOS_[Sexo]=$B101,IF(DATOS_[AGRUP. CLAS. PROF.]=$B99,IF(DATOS_[Check Periodo Ref.]="Dentro",DATOS_[TOTAL SALARIO Ef],0)))), 0)</f>
        <v>0</v>
      </c>
      <c r="AL101" s="259" t="n">
        <f aca="false" t="array" ref="AL101:AL101">IFERROR( MEDIAN((IF(DATOS_[[Sexo]:[Sexo]]=$B101,IF(DATOS_[[AGRUP. CLAS. PROF.]:[AGRUP. CLAS. PROF.]]=$B99,IF(DATOS_[[Check Periodo Ref.]:[Check Periodo Ref.]]="Dentro",DATOS_[C.Extra.01]))))), 0)</f>
        <v>0</v>
      </c>
      <c r="AM101" s="259" t="n">
        <f aca="false" t="array" ref="AM101:AM101">IFERROR( MEDIAN((IF(DATOS_[[Sexo]:[Sexo]]=$B101,IF(DATOS_[[AGRUP. CLAS. PROF.]:[AGRUP. CLAS. PROF.]]=$B99,IF(DATOS_[[Check Periodo Ref.]:[Check Periodo Ref.]]="Dentro",DATOS_[C.Extra.02]))))), 0)</f>
        <v>0</v>
      </c>
      <c r="AN101" s="259" t="n">
        <f aca="false" t="array" ref="AN101:AN101">IFERROR( MEDIAN((IF(DATOS_[[Sexo]:[Sexo]]=$B101,IF(DATOS_[[AGRUP. CLAS. PROF.]:[AGRUP. CLAS. PROF.]]=$B99,IF(DATOS_[[Check Periodo Ref.]:[Check Periodo Ref.]]="Dentro",DATOS_[C.Extra.03]))))), 0)</f>
        <v>0</v>
      </c>
      <c r="AO101" s="259" t="n">
        <f aca="false" t="array" ref="AO101:AO101">IFERROR( MEDIAN((IF(DATOS_[[Sexo]:[Sexo]]=$B101,IF(DATOS_[[AGRUP. CLAS. PROF.]:[AGRUP. CLAS. PROF.]]=$B99,IF(DATOS_[[Check Periodo Ref.]:[Check Periodo Ref.]]="Dentro",DATOS_[C.Extra.04]))))), 0)</f>
        <v>0</v>
      </c>
      <c r="AP101" s="259" t="n">
        <f aca="false" t="array" ref="AP101:AP101">IFERROR( MEDIAN((IF(DATOS_[[Sexo]:[Sexo]]=$B101,IF(DATOS_[[AGRUP. CLAS. PROF.]:[AGRUP. CLAS. PROF.]]=$B99,IF(DATOS_[[Check Periodo Ref.]:[Check Periodo Ref.]]="Dentro",DATOS_[C.Extra.05]))))), 0)</f>
        <v>0</v>
      </c>
      <c r="AQ101" s="254" t="n">
        <f aca="false" t="array" ref="AQ101:AQ101">IFERROR( MEDIAN(IF(DATOS_[Sexo]=$B101,IF(DATOS_[AGRUP. CLAS. PROF.]=$B99,IF(DATOS_[Check Periodo Ref.]="Dentro",DATOS_[Tot Extrasalarial Ef],0)))), 0)</f>
        <v>0</v>
      </c>
      <c r="AR101" s="255" t="n">
        <f aca="false" t="array" ref="AR101:AR101">IFERROR( MEDIAN(IF(DATOS_[Sexo]=$B101,IF(DATOS_[AGRUP. CLAS. PROF.]=$B99,IF(DATOS_[Check Periodo Ref.]="Dentro",DATOS_[TOTAL Retrib Ef],0)))), 0)</f>
        <v>0</v>
      </c>
    </row>
    <row r="102" customFormat="false" ht="15.75" hidden="false" customHeight="false" outlineLevel="0" collapsed="false">
      <c r="A102" s="217" t="str">
        <f aca="false">+A103</f>
        <v>[ocultar]</v>
      </c>
      <c r="B102" s="235" t="s">
        <v>255</v>
      </c>
      <c r="C102" s="236"/>
      <c r="D102" s="237"/>
      <c r="E102" s="238" t="str">
        <f aca="false">IFERROR((E103-E104)/E103,"")</f>
        <v/>
      </c>
      <c r="F102" s="239" t="str">
        <f aca="false">IFERROR((F103-F104)/F103,"")</f>
        <v/>
      </c>
      <c r="G102" s="239" t="str">
        <f aca="false">IFERROR((G103-G104)/G103,"")</f>
        <v/>
      </c>
      <c r="H102" s="239" t="str">
        <f aca="false">IFERROR((H103-H104)/H103,"")</f>
        <v/>
      </c>
      <c r="I102" s="239"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40" t="str">
        <f aca="false">IFERROR((V103-V104)/V103,"")</f>
        <v/>
      </c>
      <c r="W102" s="240" t="str">
        <f aca="false">IFERROR((W103-W104)/W103,"")</f>
        <v/>
      </c>
      <c r="X102" s="240" t="str">
        <f aca="false">IFERROR((X103-X104)/X103,"")</f>
        <v/>
      </c>
      <c r="Y102" s="240"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1" t="str">
        <f aca="false">IFERROR((AJ103-AJ104)/AJ103,"")</f>
        <v/>
      </c>
      <c r="AK102" s="242" t="str">
        <f aca="false">IFERROR((AK103-AK104)/AK103,"")</f>
        <v/>
      </c>
      <c r="AL102" s="243" t="str">
        <f aca="false">IFERROR((AL103-AL104)/AL103,"")</f>
        <v/>
      </c>
      <c r="AM102" s="243" t="str">
        <f aca="false">IFERROR((AM103-AM104)/AM103,"")</f>
        <v/>
      </c>
      <c r="AN102" s="243" t="str">
        <f aca="false">IFERROR((AN103-AN104)/AN103,"")</f>
        <v/>
      </c>
      <c r="AO102" s="243" t="str">
        <f aca="false">IFERROR((AO103-AO104)/AO103,"")</f>
        <v/>
      </c>
      <c r="AP102" s="243" t="str">
        <f aca="false">IFERROR((AP103-AP104)/AP103,"")</f>
        <v/>
      </c>
      <c r="AQ102" s="244" t="str">
        <f aca="false">IFERROR((AQ103-AQ104)/AQ103,"")</f>
        <v/>
      </c>
      <c r="AR102" s="245" t="str">
        <f aca="false">IFERROR((AR103-AR104)/AR103,"")</f>
        <v/>
      </c>
    </row>
    <row r="103" customFormat="false" ht="14.25" hidden="false" customHeight="false" outlineLevel="0" collapsed="false">
      <c r="A103" s="217" t="str">
        <f aca="false">+IF(C103+C104=0,"[ocultar]","")</f>
        <v>[ocultar]</v>
      </c>
      <c r="B103" s="246" t="s">
        <v>371</v>
      </c>
      <c r="C103" s="247" t="n">
        <f aca="false" t="array" ref="C103:C103">SUM(IF($B103=DATOS_[Sexo], IF($B102=DATOS_[AGRUP. CLAS. PROF.], IF("Dentro"=DATOS_[Check Periodo Ref.], 1/(COUNTIFS(DATOS_[Sexo],$B103,DATOS_[AGRUP. CLAS. PROF.],$B102,DATOS_[Check Periodo Ref.],"Dentro",DATOS_[id],DATOS_[id]))))))</f>
        <v>0</v>
      </c>
      <c r="D103" s="248" t="n">
        <f aca="false">COUNTIFS(DATOS_[AGRUP. CLAS. PROF.],$B102,DATOS_[Sexo],$B103,DATOS_[Check Periodo Ref.],"Dentro")</f>
        <v>0</v>
      </c>
      <c r="E103" s="249" t="n">
        <f aca="false" t="array" ref="E103:E103">IFERROR( MEDIAN(IF(DATOS_[Sexo]=$B103,IF(DATOS_[AGRUP. CLAS. PROF.]=$B102,IF(DATOS_[Check Periodo Ref.]="Dentro",DATOS_[SALARIO BASE Ef],0)))), 0)</f>
        <v>0</v>
      </c>
      <c r="F103" s="250" t="n">
        <f aca="false" t="array" ref="F103:F103">IFERROR( MEDIAN((IF(DATOS_[[Sexo]:[Sexo]]=$B103,IF(DATOS_[[AGRUP. CLAS. PROF.]:[AGRUP. CLAS. PROF.]]=$B102,IF(DATOS_[[Check Periodo Ref.]:[Check Periodo Ref.]]="Dentro",DATOS_[Conc.Sal.01]))))), 0)</f>
        <v>0</v>
      </c>
      <c r="G103" s="250" t="n">
        <f aca="false" t="array" ref="G103:G103">IFERROR( MEDIAN((IF(DATOS_[[Sexo]:[Sexo]]=$B103,IF(DATOS_[[AGRUP. CLAS. PROF.]:[AGRUP. CLAS. PROF.]]=$B102,IF(DATOS_[[Check Periodo Ref.]:[Check Periodo Ref.]]="Dentro",DATOS_[Conc.Sal.02]))))), 0)</f>
        <v>0</v>
      </c>
      <c r="H103" s="250" t="n">
        <f aca="false" t="array" ref="H103:H103">IFERROR( MEDIAN((IF(DATOS_[[Sexo]:[Sexo]]=$B103,IF(DATOS_[[AGRUP. CLAS. PROF.]:[AGRUP. CLAS. PROF.]]=$B102,IF(DATOS_[[Check Periodo Ref.]:[Check Periodo Ref.]]="Dentro",DATOS_[Conc.Sal.03]))))), 0)</f>
        <v>0</v>
      </c>
      <c r="I103" s="250" t="n">
        <f aca="false" t="array" ref="I103:I103">IFERROR( MEDIAN((IF(DATOS_[[Sexo]:[Sexo]]=$B103,IF(DATOS_[[AGRUP. CLAS. PROF.]:[AGRUP. CLAS. PROF.]]=$B102,IF(DATOS_[[Check Periodo Ref.]:[Check Periodo Ref.]]="Dentro",DATOS_[Conc.Sal.04]))))), 0)</f>
        <v>0</v>
      </c>
      <c r="J103" s="250" t="n">
        <f aca="false" t="array" ref="J103:J103">IFERROR( MEDIAN((IF(DATOS_[[Sexo]:[Sexo]]=$B103,IF(DATOS_[[AGRUP. CLAS. PROF.]:[AGRUP. CLAS. PROF.]]=$B102,IF(DATOS_[[Check Periodo Ref.]:[Check Periodo Ref.]]="Dentro",DATOS_[Conc.Sal.05]))))), 0)</f>
        <v>0</v>
      </c>
      <c r="K103" s="250" t="n">
        <f aca="false" t="array" ref="K103:K103">IFERROR( MEDIAN((IF(DATOS_[[Sexo]:[Sexo]]=$B103,IF(DATOS_[[AGRUP. CLAS. PROF.]:[AGRUP. CLAS. PROF.]]=$B102,IF(DATOS_[[Check Periodo Ref.]:[Check Periodo Ref.]]="Dentro",DATOS_[Conc.Sal.06]))))), 0)</f>
        <v>0</v>
      </c>
      <c r="L103" s="250" t="n">
        <f aca="false" t="array" ref="L103:L103">IFERROR( MEDIAN((IF(DATOS_[[Sexo]:[Sexo]]=$B103,IF(DATOS_[[AGRUP. CLAS. PROF.]:[AGRUP. CLAS. PROF.]]=$B102,IF(DATOS_[[Check Periodo Ref.]:[Check Periodo Ref.]]="Dentro",DATOS_[Conc.Sal.07]))))), 0)</f>
        <v>0</v>
      </c>
      <c r="M103" s="250" t="n">
        <f aca="false" t="array" ref="M103:M103">IFERROR( MEDIAN((IF(DATOS_[[Sexo]:[Sexo]]=$B103,IF(DATOS_[[AGRUP. CLAS. PROF.]:[AGRUP. CLAS. PROF.]]=$B102,IF(DATOS_[[Check Periodo Ref.]:[Check Periodo Ref.]]="Dentro",DATOS_[Conc.Sal.08]))))), 0)</f>
        <v>0</v>
      </c>
      <c r="N103" s="250" t="n">
        <f aca="false" t="array" ref="N103:N103">IFERROR( MEDIAN((IF(DATOS_[[Sexo]:[Sexo]]=$B103,IF(DATOS_[[AGRUP. CLAS. PROF.]:[AGRUP. CLAS. PROF.]]=$B102,IF(DATOS_[[Check Periodo Ref.]:[Check Periodo Ref.]]="Dentro",DATOS_[Conc.Sal.09]))))), 0)</f>
        <v>0</v>
      </c>
      <c r="O103" s="250" t="n">
        <f aca="false" t="array" ref="O103:O103">IFERROR( MEDIAN((IF(DATOS_[[Sexo]:[Sexo]]=$B103,IF(DATOS_[[AGRUP. CLAS. PROF.]:[AGRUP. CLAS. PROF.]]=$B102,IF(DATOS_[[Check Periodo Ref.]:[Check Periodo Ref.]]="Dentro",DATOS_[Conc.Sal.10]))))), 0)</f>
        <v>0</v>
      </c>
      <c r="P103" s="250" t="n">
        <f aca="false" t="array" ref="P103:P103">IFERROR( MEDIAN((IF(DATOS_[[Sexo]:[Sexo]]=$B103,IF(DATOS_[[AGRUP. CLAS. PROF.]:[AGRUP. CLAS. PROF.]]=$B102,IF(DATOS_[[Check Periodo Ref.]:[Check Periodo Ref.]]="Dentro",DATOS_[Conc.Sal.11]))))), 0)</f>
        <v>0</v>
      </c>
      <c r="Q103" s="250" t="n">
        <f aca="false" t="array" ref="Q103:Q103">IFERROR( MEDIAN((IF(DATOS_[[Sexo]:[Sexo]]=$B103,IF(DATOS_[[AGRUP. CLAS. PROF.]:[AGRUP. CLAS. PROF.]]=$B102,IF(DATOS_[[Check Periodo Ref.]:[Check Periodo Ref.]]="Dentro",DATOS_[Conc.Sal.12]))))), 0)</f>
        <v>0</v>
      </c>
      <c r="R103" s="250" t="n">
        <f aca="false" t="array" ref="R103:R103">IFERROR( MEDIAN((IF(DATOS_[[Sexo]:[Sexo]]=$B103,IF(DATOS_[[AGRUP. CLAS. PROF.]:[AGRUP. CLAS. PROF.]]=$B102,IF(DATOS_[[Check Periodo Ref.]:[Check Periodo Ref.]]="Dentro",DATOS_[Conc.Sal.13]))))), 0)</f>
        <v>0</v>
      </c>
      <c r="S103" s="250" t="n">
        <f aca="false" t="array" ref="S103:S103">IFERROR( MEDIAN((IF(DATOS_[[Sexo]:[Sexo]]=$B103,IF(DATOS_[[AGRUP. CLAS. PROF.]:[AGRUP. CLAS. PROF.]]=$B102,IF(DATOS_[[Check Periodo Ref.]:[Check Periodo Ref.]]="Dentro",DATOS_[Conc.Sal.14]))))), 0)</f>
        <v>0</v>
      </c>
      <c r="T103" s="250" t="n">
        <f aca="false" t="array" ref="T103:T103">IFERROR( MEDIAN((IF(DATOS_[[Sexo]:[Sexo]]=$B103,IF(DATOS_[[AGRUP. CLAS. PROF.]:[AGRUP. CLAS. PROF.]]=$B102,IF(DATOS_[[Check Periodo Ref.]:[Check Periodo Ref.]]="Dentro",DATOS_[Conc.Sal.15]))))), 0)</f>
        <v>0</v>
      </c>
      <c r="U103" s="250" t="n">
        <f aca="false" t="array" ref="U103:U103">IFERROR( MEDIAN((IF(DATOS_[[Sexo]:[Sexo]]=$B103,IF(DATOS_[[AGRUP. CLAS. PROF.]:[AGRUP. CLAS. PROF.]]=$B102,IF(DATOS_[[Check Periodo Ref.]:[Check Periodo Ref.]]="Dentro",DATOS_[Conc.Sal.16]))))), 0)</f>
        <v>0</v>
      </c>
      <c r="V103" s="250" t="n">
        <f aca="false" t="array" ref="V103:V103">IFERROR( MEDIAN((IF(DATOS_[[Sexo]:[Sexo]]=$B103,IF(DATOS_[[AGRUP. CLAS. PROF.]:[AGRUP. CLAS. PROF.]]=$B102,IF(DATOS_[[Check Periodo Ref.]:[Check Periodo Ref.]]="Dentro",DATOS_[Conc.Sal.17]))))), 0)</f>
        <v>0</v>
      </c>
      <c r="W103" s="250" t="n">
        <f aca="false" t="array" ref="W103:W103">IFERROR( MEDIAN((IF(DATOS_[[Sexo]:[Sexo]]=$B103,IF(DATOS_[[AGRUP. CLAS. PROF.]:[AGRUP. CLAS. PROF.]]=$B102,IF(DATOS_[[Check Periodo Ref.]:[Check Periodo Ref.]]="Dentro",DATOS_[Conc.Sal.18]))))), 0)</f>
        <v>0</v>
      </c>
      <c r="X103" s="250" t="n">
        <f aca="false" t="array" ref="X103:X103">IFERROR( MEDIAN((IF(DATOS_[[Sexo]:[Sexo]]=$B103,IF(DATOS_[[AGRUP. CLAS. PROF.]:[AGRUP. CLAS. PROF.]]=$B102,IF(DATOS_[[Check Periodo Ref.]:[Check Periodo Ref.]]="Dentro",DATOS_[Conc.Sal.19]))))), 0)</f>
        <v>0</v>
      </c>
      <c r="Y103" s="250" t="n">
        <f aca="false" t="array" ref="Y103:Y103">IFERROR( MEDIAN((IF(DATOS_[[Sexo]:[Sexo]]=$B103,IF(DATOS_[[AGRUP. CLAS. PROF.]:[AGRUP. CLAS. PROF.]]=$B102,IF(DATOS_[[Check Periodo Ref.]:[Check Periodo Ref.]]="Dentro",DATOS_[Conc.Sal.20]))))), 0)</f>
        <v>0</v>
      </c>
      <c r="Z103" s="250" t="n">
        <f aca="false" t="array" ref="Z103:Z103">IFERROR( MEDIAN((IF(DATOS_[[Sexo]:[Sexo]]=$B103,IF(DATOS_[[AGRUP. CLAS. PROF.]:[AGRUP. CLAS. PROF.]]=$B102,IF(DATOS_[[Check Periodo Ref.]:[Check Periodo Ref.]]="Dentro",DATOS_[Conc.Sal.21]))))), 0)</f>
        <v>0</v>
      </c>
      <c r="AA103" s="250" t="n">
        <f aca="false" t="array" ref="AA103:AA103">IFERROR( MEDIAN((IF(DATOS_[[Sexo]:[Sexo]]=$B103,IF(DATOS_[[AGRUP. CLAS. PROF.]:[AGRUP. CLAS. PROF.]]=$B102,IF(DATOS_[[Check Periodo Ref.]:[Check Periodo Ref.]]="Dentro",DATOS_[Conc.Sal.22]))))), 0)</f>
        <v>0</v>
      </c>
      <c r="AB103" s="250" t="n">
        <f aca="false" t="array" ref="AB103:AB103">IFERROR( MEDIAN((IF(DATOS_[[Sexo]:[Sexo]]=$B103,IF(DATOS_[[AGRUP. CLAS. PROF.]:[AGRUP. CLAS. PROF.]]=$B102,IF(DATOS_[[Check Periodo Ref.]:[Check Periodo Ref.]]="Dentro",DATOS_[Conc.Sal.23]))))), 0)</f>
        <v>0</v>
      </c>
      <c r="AC103" s="250" t="n">
        <f aca="false" t="array" ref="AC103:AC103">IFERROR( MEDIAN((IF(DATOS_[[Sexo]:[Sexo]]=$B103,IF(DATOS_[[AGRUP. CLAS. PROF.]:[AGRUP. CLAS. PROF.]]=$B102,IF(DATOS_[[Check Periodo Ref.]:[Check Periodo Ref.]]="Dentro",DATOS_[Conc.Sal.24]))))), 0)</f>
        <v>0</v>
      </c>
      <c r="AD103" s="250" t="n">
        <f aca="false" t="array" ref="AD103:AD103">IFERROR( MEDIAN((IF(DATOS_[[Sexo]:[Sexo]]=$B103,IF(DATOS_[[AGRUP. CLAS. PROF.]:[AGRUP. CLAS. PROF.]]=$B102,IF(DATOS_[[Check Periodo Ref.]:[Check Periodo Ref.]]="Dentro",DATOS_[Conc.Sal.25]))))), 0)</f>
        <v>0</v>
      </c>
      <c r="AE103" s="250" t="n">
        <f aca="false" t="array" ref="AE103:AE103">IFERROR( MEDIAN((IF(DATOS_[[Sexo]:[Sexo]]=$B103,IF(DATOS_[[AGRUP. CLAS. PROF.]:[AGRUP. CLAS. PROF.]]=$B102,IF(DATOS_[[Check Periodo Ref.]:[Check Periodo Ref.]]="Dentro",DATOS_[Conc.Sal.26]))))), 0)</f>
        <v>0</v>
      </c>
      <c r="AF103" s="250" t="n">
        <f aca="false" t="array" ref="AF103:AF103">IFERROR( MEDIAN((IF(DATOS_[[Sexo]:[Sexo]]=$B103,IF(DATOS_[[AGRUP. CLAS. PROF.]:[AGRUP. CLAS. PROF.]]=$B102,IF(DATOS_[[Check Periodo Ref.]:[Check Periodo Ref.]]="Dentro",DATOS_[Conc.Sal.27]))))), 0)</f>
        <v>0</v>
      </c>
      <c r="AG103" s="250" t="n">
        <f aca="false" t="array" ref="AG103:AG103">IFERROR( MEDIAN((IF(DATOS_[[Sexo]:[Sexo]]=$B103,IF(DATOS_[[AGRUP. CLAS. PROF.]:[AGRUP. CLAS. PROF.]]=$B102,IF(DATOS_[[Check Periodo Ref.]:[Check Periodo Ref.]]="Dentro",DATOS_[Conc.Sal.28]))))), 0)</f>
        <v>0</v>
      </c>
      <c r="AH103" s="250" t="n">
        <f aca="false" t="array" ref="AH103:AH103">IFERROR( MEDIAN((IF(DATOS_[[Sexo]:[Sexo]]=$B103,IF(DATOS_[[AGRUP. CLAS. PROF.]:[AGRUP. CLAS. PROF.]]=$B102,IF(DATOS_[[Check Periodo Ref.]:[Check Periodo Ref.]]="Dentro",DATOS_[Conc.Sal.29]))))), 0)</f>
        <v>0</v>
      </c>
      <c r="AI103" s="250" t="n">
        <f aca="false" t="array" ref="AI103:AI103">IFERROR( MEDIAN((IF(DATOS_[[Sexo]:[Sexo]]=$B103,IF(DATOS_[[AGRUP. CLAS. PROF.]:[AGRUP. CLAS. PROF.]]=$B102,IF(DATOS_[[Check Periodo Ref.]:[Check Periodo Ref.]]="Dentro",DATOS_[Conc.Sal.30]))))), 0)</f>
        <v>0</v>
      </c>
      <c r="AJ103" s="251" t="n">
        <f aca="false" t="array" ref="AJ103:AJ103">IFERROR( MEDIAN(IF(DATOS_[Sexo]=$B103,IF(DATOS_[AGRUP. CLAS. PROF.]=$B102,IF(DATOS_[Check Periodo Ref.]="Dentro",DATOS_[Tot COMPL.SAL Ef],0)))), 0)</f>
        <v>0</v>
      </c>
      <c r="AK103" s="252" t="n">
        <f aca="false" t="array" ref="AK103:AK103">IFERROR( MEDIAN(IF(DATOS_[Sexo]=$B103,IF(DATOS_[AGRUP. CLAS. PROF.]=$B102,IF(DATOS_[Check Periodo Ref.]="Dentro",DATOS_[TOTAL SALARIO Ef],0)))), 0)</f>
        <v>0</v>
      </c>
      <c r="AL103" s="259" t="n">
        <f aca="false" t="array" ref="AL103:AL103">IFERROR( MEDIAN((IF(DATOS_[[Sexo]:[Sexo]]=$B103,IF(DATOS_[[AGRUP. CLAS. PROF.]:[AGRUP. CLAS. PROF.]]=$B102,IF(DATOS_[[Check Periodo Ref.]:[Check Periodo Ref.]]="Dentro",DATOS_[C.Extra.01]))))), 0)</f>
        <v>0</v>
      </c>
      <c r="AM103" s="259" t="n">
        <f aca="false" t="array" ref="AM103:AM103">IFERROR( MEDIAN((IF(DATOS_[[Sexo]:[Sexo]]=$B103,IF(DATOS_[[AGRUP. CLAS. PROF.]:[AGRUP. CLAS. PROF.]]=$B102,IF(DATOS_[[Check Periodo Ref.]:[Check Periodo Ref.]]="Dentro",DATOS_[C.Extra.02]))))), 0)</f>
        <v>0</v>
      </c>
      <c r="AN103" s="259" t="n">
        <f aca="false" t="array" ref="AN103:AN103">IFERROR( MEDIAN((IF(DATOS_[[Sexo]:[Sexo]]=$B103,IF(DATOS_[[AGRUP. CLAS. PROF.]:[AGRUP. CLAS. PROF.]]=$B102,IF(DATOS_[[Check Periodo Ref.]:[Check Periodo Ref.]]="Dentro",DATOS_[C.Extra.03]))))), 0)</f>
        <v>0</v>
      </c>
      <c r="AO103" s="259" t="n">
        <f aca="false" t="array" ref="AO103:AO103">IFERROR( MEDIAN((IF(DATOS_[[Sexo]:[Sexo]]=$B103,IF(DATOS_[[AGRUP. CLAS. PROF.]:[AGRUP. CLAS. PROF.]]=$B102,IF(DATOS_[[Check Periodo Ref.]:[Check Periodo Ref.]]="Dentro",DATOS_[C.Extra.04]))))), 0)</f>
        <v>0</v>
      </c>
      <c r="AP103" s="259" t="n">
        <f aca="false" t="array" ref="AP103:AP103">IFERROR( MEDIAN((IF(DATOS_[[Sexo]:[Sexo]]=$B103,IF(DATOS_[[AGRUP. CLAS. PROF.]:[AGRUP. CLAS. PROF.]]=$B102,IF(DATOS_[[Check Periodo Ref.]:[Check Periodo Ref.]]="Dentro",DATOS_[C.Extra.05]))))), 0)</f>
        <v>0</v>
      </c>
      <c r="AQ103" s="254" t="n">
        <f aca="false" t="array" ref="AQ103:AQ103">IFERROR( MEDIAN(IF(DATOS_[Sexo]=$B103,IF(DATOS_[AGRUP. CLAS. PROF.]=$B102,IF(DATOS_[Check Periodo Ref.]="Dentro",DATOS_[Tot Extrasalarial Ef],0)))), 0)</f>
        <v>0</v>
      </c>
      <c r="AR103" s="255" t="n">
        <f aca="false" t="array" ref="AR103:AR103">IFERROR( MEDIAN(IF(DATOS_[Sexo]=$B103,IF(DATOS_[AGRUP. CLAS. PROF.]=$B102,IF(DATOS_[Check Periodo Ref.]="Dentro",DATOS_[TOTAL Retrib Ef],0)))), 0)</f>
        <v>0</v>
      </c>
    </row>
    <row r="104" customFormat="false" ht="14.25" hidden="false" customHeight="false" outlineLevel="0" collapsed="false">
      <c r="A104" s="217" t="str">
        <f aca="false">+A103</f>
        <v>[ocultar]</v>
      </c>
      <c r="B104" s="246" t="s">
        <v>372</v>
      </c>
      <c r="C104" s="247" t="n">
        <f aca="false" t="array" ref="C104:C104">SUM(IF($B104=DATOS_[Sexo], IF($B102=DATOS_[AGRUP. CLAS. PROF.], IF("Dentro"=DATOS_[Check Periodo Ref.], 1/(COUNTIFS(DATOS_[Sexo],$B104,DATOS_[AGRUP. CLAS. PROF.],$B102,DATOS_[Check Periodo Ref.],"Dentro",DATOS_[id],DATOS_[id]))))))</f>
        <v>0</v>
      </c>
      <c r="D104" s="248" t="n">
        <f aca="false">COUNTIFS(DATOS_[AGRUP. CLAS. PROF.],$B102,DATOS_[Sexo],$B104,DATOS_[Check Periodo Ref.],"Dentro")</f>
        <v>0</v>
      </c>
      <c r="E104" s="249" t="n">
        <f aca="false" t="array" ref="E104:E104">IFERROR( MEDIAN(IF(DATOS_[Sexo]=$B104,IF(DATOS_[AGRUP. CLAS. PROF.]=$B102,IF(DATOS_[Check Periodo Ref.]="Dentro",DATOS_[SALARIO BASE Ef],0)))), 0)</f>
        <v>0</v>
      </c>
      <c r="F104" s="250" t="n">
        <f aca="false" t="array" ref="F104:F104">IFERROR( MEDIAN((IF(DATOS_[[Sexo]:[Sexo]]=$B104,IF(DATOS_[[AGRUP. CLAS. PROF.]:[AGRUP. CLAS. PROF.]]=$B102,IF(DATOS_[[Check Periodo Ref.]:[Check Periodo Ref.]]="Dentro",DATOS_[Conc.Sal.01]))))), 0)</f>
        <v>0</v>
      </c>
      <c r="G104" s="250" t="n">
        <f aca="false" t="array" ref="G104:G104">IFERROR( MEDIAN((IF(DATOS_[[Sexo]:[Sexo]]=$B104,IF(DATOS_[[AGRUP. CLAS. PROF.]:[AGRUP. CLAS. PROF.]]=$B102,IF(DATOS_[[Check Periodo Ref.]:[Check Periodo Ref.]]="Dentro",DATOS_[Conc.Sal.02]))))), 0)</f>
        <v>0</v>
      </c>
      <c r="H104" s="250" t="n">
        <f aca="false" t="array" ref="H104:H104">IFERROR( MEDIAN((IF(DATOS_[[Sexo]:[Sexo]]=$B104,IF(DATOS_[[AGRUP. CLAS. PROF.]:[AGRUP. CLAS. PROF.]]=$B102,IF(DATOS_[[Check Periodo Ref.]:[Check Periodo Ref.]]="Dentro",DATOS_[Conc.Sal.03]))))), 0)</f>
        <v>0</v>
      </c>
      <c r="I104" s="250" t="n">
        <f aca="false" t="array" ref="I104:I104">IFERROR( MEDIAN((IF(DATOS_[[Sexo]:[Sexo]]=$B104,IF(DATOS_[[AGRUP. CLAS. PROF.]:[AGRUP. CLAS. PROF.]]=$B102,IF(DATOS_[[Check Periodo Ref.]:[Check Periodo Ref.]]="Dentro",DATOS_[Conc.Sal.04]))))), 0)</f>
        <v>0</v>
      </c>
      <c r="J104" s="250" t="n">
        <f aca="false" t="array" ref="J104:J104">IFERROR( MEDIAN((IF(DATOS_[[Sexo]:[Sexo]]=$B104,IF(DATOS_[[AGRUP. CLAS. PROF.]:[AGRUP. CLAS. PROF.]]=$B102,IF(DATOS_[[Check Periodo Ref.]:[Check Periodo Ref.]]="Dentro",DATOS_[Conc.Sal.05]))))), 0)</f>
        <v>0</v>
      </c>
      <c r="K104" s="250" t="n">
        <f aca="false" t="array" ref="K104:K104">IFERROR( MEDIAN((IF(DATOS_[[Sexo]:[Sexo]]=$B104,IF(DATOS_[[AGRUP. CLAS. PROF.]:[AGRUP. CLAS. PROF.]]=$B102,IF(DATOS_[[Check Periodo Ref.]:[Check Periodo Ref.]]="Dentro",DATOS_[Conc.Sal.06]))))), 0)</f>
        <v>0</v>
      </c>
      <c r="L104" s="250" t="n">
        <f aca="false" t="array" ref="L104:L104">IFERROR( MEDIAN((IF(DATOS_[[Sexo]:[Sexo]]=$B104,IF(DATOS_[[AGRUP. CLAS. PROF.]:[AGRUP. CLAS. PROF.]]=$B102,IF(DATOS_[[Check Periodo Ref.]:[Check Periodo Ref.]]="Dentro",DATOS_[Conc.Sal.07]))))), 0)</f>
        <v>0</v>
      </c>
      <c r="M104" s="250" t="n">
        <f aca="false" t="array" ref="M104:M104">IFERROR( MEDIAN((IF(DATOS_[[Sexo]:[Sexo]]=$B104,IF(DATOS_[[AGRUP. CLAS. PROF.]:[AGRUP. CLAS. PROF.]]=$B102,IF(DATOS_[[Check Periodo Ref.]:[Check Periodo Ref.]]="Dentro",DATOS_[Conc.Sal.08]))))), 0)</f>
        <v>0</v>
      </c>
      <c r="N104" s="250" t="n">
        <f aca="false" t="array" ref="N104:N104">IFERROR( MEDIAN((IF(DATOS_[[Sexo]:[Sexo]]=$B104,IF(DATOS_[[AGRUP. CLAS. PROF.]:[AGRUP. CLAS. PROF.]]=$B102,IF(DATOS_[[Check Periodo Ref.]:[Check Periodo Ref.]]="Dentro",DATOS_[Conc.Sal.09]))))), 0)</f>
        <v>0</v>
      </c>
      <c r="O104" s="250" t="n">
        <f aca="false" t="array" ref="O104:O104">IFERROR( MEDIAN((IF(DATOS_[[Sexo]:[Sexo]]=$B104,IF(DATOS_[[AGRUP. CLAS. PROF.]:[AGRUP. CLAS. PROF.]]=$B102,IF(DATOS_[[Check Periodo Ref.]:[Check Periodo Ref.]]="Dentro",DATOS_[Conc.Sal.10]))))), 0)</f>
        <v>0</v>
      </c>
      <c r="P104" s="250" t="n">
        <f aca="false" t="array" ref="P104:P104">IFERROR( MEDIAN((IF(DATOS_[[Sexo]:[Sexo]]=$B104,IF(DATOS_[[AGRUP. CLAS. PROF.]:[AGRUP. CLAS. PROF.]]=$B102,IF(DATOS_[[Check Periodo Ref.]:[Check Periodo Ref.]]="Dentro",DATOS_[Conc.Sal.11]))))), 0)</f>
        <v>0</v>
      </c>
      <c r="Q104" s="250" t="n">
        <f aca="false" t="array" ref="Q104:Q104">IFERROR( MEDIAN((IF(DATOS_[[Sexo]:[Sexo]]=$B104,IF(DATOS_[[AGRUP. CLAS. PROF.]:[AGRUP. CLAS. PROF.]]=$B102,IF(DATOS_[[Check Periodo Ref.]:[Check Periodo Ref.]]="Dentro",DATOS_[Conc.Sal.12]))))), 0)</f>
        <v>0</v>
      </c>
      <c r="R104" s="250" t="n">
        <f aca="false" t="array" ref="R104:R104">IFERROR( MEDIAN((IF(DATOS_[[Sexo]:[Sexo]]=$B104,IF(DATOS_[[AGRUP. CLAS. PROF.]:[AGRUP. CLAS. PROF.]]=$B102,IF(DATOS_[[Check Periodo Ref.]:[Check Periodo Ref.]]="Dentro",DATOS_[Conc.Sal.13]))))), 0)</f>
        <v>0</v>
      </c>
      <c r="S104" s="250" t="n">
        <f aca="false" t="array" ref="S104:S104">IFERROR( MEDIAN((IF(DATOS_[[Sexo]:[Sexo]]=$B104,IF(DATOS_[[AGRUP. CLAS. PROF.]:[AGRUP. CLAS. PROF.]]=$B102,IF(DATOS_[[Check Periodo Ref.]:[Check Periodo Ref.]]="Dentro",DATOS_[Conc.Sal.14]))))), 0)</f>
        <v>0</v>
      </c>
      <c r="T104" s="250" t="n">
        <f aca="false" t="array" ref="T104:T104">IFERROR( MEDIAN((IF(DATOS_[[Sexo]:[Sexo]]=$B104,IF(DATOS_[[AGRUP. CLAS. PROF.]:[AGRUP. CLAS. PROF.]]=$B102,IF(DATOS_[[Check Periodo Ref.]:[Check Periodo Ref.]]="Dentro",DATOS_[Conc.Sal.15]))))), 0)</f>
        <v>0</v>
      </c>
      <c r="U104" s="250" t="n">
        <f aca="false" t="array" ref="U104:U104">IFERROR( MEDIAN((IF(DATOS_[[Sexo]:[Sexo]]=$B104,IF(DATOS_[[AGRUP. CLAS. PROF.]:[AGRUP. CLAS. PROF.]]=$B102,IF(DATOS_[[Check Periodo Ref.]:[Check Periodo Ref.]]="Dentro",DATOS_[Conc.Sal.16]))))), 0)</f>
        <v>0</v>
      </c>
      <c r="V104" s="250" t="n">
        <f aca="false" t="array" ref="V104:V104">IFERROR( MEDIAN((IF(DATOS_[[Sexo]:[Sexo]]=$B104,IF(DATOS_[[AGRUP. CLAS. PROF.]:[AGRUP. CLAS. PROF.]]=$B102,IF(DATOS_[[Check Periodo Ref.]:[Check Periodo Ref.]]="Dentro",DATOS_[Conc.Sal.17]))))), 0)</f>
        <v>0</v>
      </c>
      <c r="W104" s="250" t="n">
        <f aca="false" t="array" ref="W104:W104">IFERROR( MEDIAN((IF(DATOS_[[Sexo]:[Sexo]]=$B104,IF(DATOS_[[AGRUP. CLAS. PROF.]:[AGRUP. CLAS. PROF.]]=$B102,IF(DATOS_[[Check Periodo Ref.]:[Check Periodo Ref.]]="Dentro",DATOS_[Conc.Sal.18]))))), 0)</f>
        <v>0</v>
      </c>
      <c r="X104" s="250" t="n">
        <f aca="false" t="array" ref="X104:X104">IFERROR( MEDIAN((IF(DATOS_[[Sexo]:[Sexo]]=$B104,IF(DATOS_[[AGRUP. CLAS. PROF.]:[AGRUP. CLAS. PROF.]]=$B102,IF(DATOS_[[Check Periodo Ref.]:[Check Periodo Ref.]]="Dentro",DATOS_[Conc.Sal.19]))))), 0)</f>
        <v>0</v>
      </c>
      <c r="Y104" s="250" t="n">
        <f aca="false" t="array" ref="Y104:Y104">IFERROR( MEDIAN((IF(DATOS_[[Sexo]:[Sexo]]=$B104,IF(DATOS_[[AGRUP. CLAS. PROF.]:[AGRUP. CLAS. PROF.]]=$B102,IF(DATOS_[[Check Periodo Ref.]:[Check Periodo Ref.]]="Dentro",DATOS_[Conc.Sal.20]))))), 0)</f>
        <v>0</v>
      </c>
      <c r="Z104" s="250" t="n">
        <f aca="false" t="array" ref="Z104:Z104">IFERROR( MEDIAN((IF(DATOS_[[Sexo]:[Sexo]]=$B104,IF(DATOS_[[AGRUP. CLAS. PROF.]:[AGRUP. CLAS. PROF.]]=$B102,IF(DATOS_[[Check Periodo Ref.]:[Check Periodo Ref.]]="Dentro",DATOS_[Conc.Sal.21]))))), 0)</f>
        <v>0</v>
      </c>
      <c r="AA104" s="250" t="n">
        <f aca="false" t="array" ref="AA104:AA104">IFERROR( MEDIAN((IF(DATOS_[[Sexo]:[Sexo]]=$B104,IF(DATOS_[[AGRUP. CLAS. PROF.]:[AGRUP. CLAS. PROF.]]=$B102,IF(DATOS_[[Check Periodo Ref.]:[Check Periodo Ref.]]="Dentro",DATOS_[Conc.Sal.22]))))), 0)</f>
        <v>0</v>
      </c>
      <c r="AB104" s="250" t="n">
        <f aca="false" t="array" ref="AB104:AB104">IFERROR( MEDIAN((IF(DATOS_[[Sexo]:[Sexo]]=$B104,IF(DATOS_[[AGRUP. CLAS. PROF.]:[AGRUP. CLAS. PROF.]]=$B102,IF(DATOS_[[Check Periodo Ref.]:[Check Periodo Ref.]]="Dentro",DATOS_[Conc.Sal.23]))))), 0)</f>
        <v>0</v>
      </c>
      <c r="AC104" s="250" t="n">
        <f aca="false" t="array" ref="AC104:AC104">IFERROR( MEDIAN((IF(DATOS_[[Sexo]:[Sexo]]=$B104,IF(DATOS_[[AGRUP. CLAS. PROF.]:[AGRUP. CLAS. PROF.]]=$B102,IF(DATOS_[[Check Periodo Ref.]:[Check Periodo Ref.]]="Dentro",DATOS_[Conc.Sal.24]))))), 0)</f>
        <v>0</v>
      </c>
      <c r="AD104" s="250" t="n">
        <f aca="false" t="array" ref="AD104:AD104">IFERROR( MEDIAN((IF(DATOS_[[Sexo]:[Sexo]]=$B104,IF(DATOS_[[AGRUP. CLAS. PROF.]:[AGRUP. CLAS. PROF.]]=$B102,IF(DATOS_[[Check Periodo Ref.]:[Check Periodo Ref.]]="Dentro",DATOS_[Conc.Sal.25]))))), 0)</f>
        <v>0</v>
      </c>
      <c r="AE104" s="250" t="n">
        <f aca="false" t="array" ref="AE104:AE104">IFERROR( MEDIAN((IF(DATOS_[[Sexo]:[Sexo]]=$B104,IF(DATOS_[[AGRUP. CLAS. PROF.]:[AGRUP. CLAS. PROF.]]=$B102,IF(DATOS_[[Check Periodo Ref.]:[Check Periodo Ref.]]="Dentro",DATOS_[Conc.Sal.26]))))), 0)</f>
        <v>0</v>
      </c>
      <c r="AF104" s="250" t="n">
        <f aca="false" t="array" ref="AF104:AF104">IFERROR( MEDIAN((IF(DATOS_[[Sexo]:[Sexo]]=$B104,IF(DATOS_[[AGRUP. CLAS. PROF.]:[AGRUP. CLAS. PROF.]]=$B102,IF(DATOS_[[Check Periodo Ref.]:[Check Periodo Ref.]]="Dentro",DATOS_[Conc.Sal.27]))))), 0)</f>
        <v>0</v>
      </c>
      <c r="AG104" s="250" t="n">
        <f aca="false" t="array" ref="AG104:AG104">IFERROR( MEDIAN((IF(DATOS_[[Sexo]:[Sexo]]=$B104,IF(DATOS_[[AGRUP. CLAS. PROF.]:[AGRUP. CLAS. PROF.]]=$B102,IF(DATOS_[[Check Periodo Ref.]:[Check Periodo Ref.]]="Dentro",DATOS_[Conc.Sal.28]))))), 0)</f>
        <v>0</v>
      </c>
      <c r="AH104" s="250" t="n">
        <f aca="false" t="array" ref="AH104:AH104">IFERROR( MEDIAN((IF(DATOS_[[Sexo]:[Sexo]]=$B104,IF(DATOS_[[AGRUP. CLAS. PROF.]:[AGRUP. CLAS. PROF.]]=$B102,IF(DATOS_[[Check Periodo Ref.]:[Check Periodo Ref.]]="Dentro",DATOS_[Conc.Sal.29]))))), 0)</f>
        <v>0</v>
      </c>
      <c r="AI104" s="250" t="n">
        <f aca="false" t="array" ref="AI104:AI104">IFERROR( MEDIAN((IF(DATOS_[[Sexo]:[Sexo]]=$B104,IF(DATOS_[[AGRUP. CLAS. PROF.]:[AGRUP. CLAS. PROF.]]=$B102,IF(DATOS_[[Check Periodo Ref.]:[Check Periodo Ref.]]="Dentro",DATOS_[Conc.Sal.30]))))), 0)</f>
        <v>0</v>
      </c>
      <c r="AJ104" s="251" t="n">
        <f aca="false" t="array" ref="AJ104:AJ104">IFERROR( MEDIAN(IF(DATOS_[Sexo]=$B104,IF(DATOS_[AGRUP. CLAS. PROF.]=$B102,IF(DATOS_[Check Periodo Ref.]="Dentro",DATOS_[Tot COMPL.SAL Ef],0)))), 0)</f>
        <v>0</v>
      </c>
      <c r="AK104" s="252" t="n">
        <f aca="false" t="array" ref="AK104:AK104">IFERROR( MEDIAN(IF(DATOS_[Sexo]=$B104,IF(DATOS_[AGRUP. CLAS. PROF.]=$B102,IF(DATOS_[Check Periodo Ref.]="Dentro",DATOS_[TOTAL SALARIO Ef],0)))), 0)</f>
        <v>0</v>
      </c>
      <c r="AL104" s="259" t="n">
        <f aca="false" t="array" ref="AL104:AL104">IFERROR( MEDIAN((IF(DATOS_[[Sexo]:[Sexo]]=$B104,IF(DATOS_[[AGRUP. CLAS. PROF.]:[AGRUP. CLAS. PROF.]]=$B102,IF(DATOS_[[Check Periodo Ref.]:[Check Periodo Ref.]]="Dentro",DATOS_[C.Extra.01]))))), 0)</f>
        <v>0</v>
      </c>
      <c r="AM104" s="259" t="n">
        <f aca="false" t="array" ref="AM104:AM104">IFERROR( MEDIAN((IF(DATOS_[[Sexo]:[Sexo]]=$B104,IF(DATOS_[[AGRUP. CLAS. PROF.]:[AGRUP. CLAS. PROF.]]=$B102,IF(DATOS_[[Check Periodo Ref.]:[Check Periodo Ref.]]="Dentro",DATOS_[C.Extra.02]))))), 0)</f>
        <v>0</v>
      </c>
      <c r="AN104" s="259" t="n">
        <f aca="false" t="array" ref="AN104:AN104">IFERROR( MEDIAN((IF(DATOS_[[Sexo]:[Sexo]]=$B104,IF(DATOS_[[AGRUP. CLAS. PROF.]:[AGRUP. CLAS. PROF.]]=$B102,IF(DATOS_[[Check Periodo Ref.]:[Check Periodo Ref.]]="Dentro",DATOS_[C.Extra.03]))))), 0)</f>
        <v>0</v>
      </c>
      <c r="AO104" s="259" t="n">
        <f aca="false" t="array" ref="AO104:AO104">IFERROR( MEDIAN((IF(DATOS_[[Sexo]:[Sexo]]=$B104,IF(DATOS_[[AGRUP. CLAS. PROF.]:[AGRUP. CLAS. PROF.]]=$B102,IF(DATOS_[[Check Periodo Ref.]:[Check Periodo Ref.]]="Dentro",DATOS_[C.Extra.04]))))), 0)</f>
        <v>0</v>
      </c>
      <c r="AP104" s="259" t="n">
        <f aca="false" t="array" ref="AP104:AP104">IFERROR( MEDIAN((IF(DATOS_[[Sexo]:[Sexo]]=$B104,IF(DATOS_[[AGRUP. CLAS. PROF.]:[AGRUP. CLAS. PROF.]]=$B102,IF(DATOS_[[Check Periodo Ref.]:[Check Periodo Ref.]]="Dentro",DATOS_[C.Extra.05]))))), 0)</f>
        <v>0</v>
      </c>
      <c r="AQ104" s="254" t="n">
        <f aca="false" t="array" ref="AQ104:AQ104">IFERROR( MEDIAN(IF(DATOS_[Sexo]=$B104,IF(DATOS_[AGRUP. CLAS. PROF.]=$B102,IF(DATOS_[Check Periodo Ref.]="Dentro",DATOS_[Tot Extrasalarial Ef],0)))), 0)</f>
        <v>0</v>
      </c>
      <c r="AR104" s="255" t="n">
        <f aca="false" t="array" ref="AR104:AR104">IFERROR( MEDIAN(IF(DATOS_[Sexo]=$B104,IF(DATOS_[AGRUP. CLAS. PROF.]=$B102,IF(DATOS_[Check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DD7E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166" width="8.87"/>
    <col collapsed="false" customWidth="false" hidden="false" outlineLevel="0" max="8" min="3" style="166" width="7.26"/>
    <col collapsed="false" customWidth="true" hidden="false" outlineLevel="0" max="9" min="9" style="166" width="10.35"/>
    <col collapsed="false" customWidth="false" hidden="false" outlineLevel="0" max="10" min="10" style="166" width="7.26"/>
    <col collapsed="false" customWidth="true" hidden="false" outlineLevel="0" max="11" min="11" style="166" width="7.4"/>
    <col collapsed="false" customWidth="true" hidden="false" outlineLevel="0" max="12" min="12" style="166" width="7.66"/>
    <col collapsed="false" customWidth="true" hidden="false" outlineLevel="0" max="13" min="13" style="166" width="7.4"/>
    <col collapsed="false" customWidth="false" hidden="false" outlineLevel="0" max="14" min="14" style="166" width="7.26"/>
    <col collapsed="false" customWidth="true" hidden="false" outlineLevel="0" max="15" min="15" style="166" width="7.4"/>
    <col collapsed="false" customWidth="true" hidden="false" outlineLevel="0" max="16" min="16" style="166" width="7.66"/>
    <col collapsed="false" customWidth="true" hidden="false" outlineLevel="0" max="18" min="17" style="166" width="7.4"/>
    <col collapsed="false" customWidth="true" hidden="true" outlineLevel="0" max="19" min="19" style="166" width="10.17"/>
    <col collapsed="false" customWidth="false" hidden="true" outlineLevel="1" max="39" min="20" style="166" width="7.26"/>
    <col collapsed="false" customWidth="true" hidden="false" outlineLevel="0" max="41" min="40" style="166" width="8.87"/>
    <col collapsed="false" customWidth="true" hidden="false" outlineLevel="0" max="42" min="42" style="166" width="7.4"/>
    <col collapsed="false" customWidth="true" hidden="true" outlineLevel="0" max="46" min="43" style="166" width="10.17"/>
    <col collapsed="false" customWidth="true" hidden="false" outlineLevel="0" max="48" min="47" style="166" width="8.87"/>
    <col collapsed="false" customWidth="false" hidden="false" outlineLevel="0" max="1024" min="49" style="166" width="7.26"/>
  </cols>
  <sheetData>
    <row r="1" customFormat="false" ht="42.6" hidden="false" customHeight="true" outlineLevel="0" collapsed="false">
      <c r="E1" s="167" t="s">
        <v>367</v>
      </c>
    </row>
    <row r="2" customFormat="false" ht="13.9" hidden="false" customHeight="true" outlineLevel="0" collapsed="false">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[ocultar]</v>
      </c>
      <c r="AK2" s="166" t="str">
        <f aca="false">+IF(AK8="[ocultar]",AK8,"")</f>
        <v>[ocultar]</v>
      </c>
      <c r="AL2" s="166" t="str">
        <f aca="false">+IF(AL8="[ocultar]",AL8,"")</f>
        <v>[ocultar]</v>
      </c>
      <c r="AM2" s="166" t="str">
        <f aca="false">+IF(AM8="[ocultar]",AM8,"")</f>
        <v>[ocultar]</v>
      </c>
      <c r="AN2" s="166" t="str">
        <f aca="false">+IF(AN8="[ocultar]",AN8,"")</f>
        <v/>
      </c>
      <c r="AO2" s="166" t="str">
        <f aca="false">+IF(AO8="[ocultar]",AO8,"")</f>
        <v/>
      </c>
      <c r="AP2" s="166" t="str">
        <f aca="false">+IF(AP8="[ocultar]",AP8,"")</f>
        <v>[ocultar]</v>
      </c>
      <c r="AQ2" s="166" t="str">
        <f aca="false">+IF(AQ8="[ocultar]",AQ8,"")</f>
        <v>[ocultar]</v>
      </c>
      <c r="AR2" s="166" t="str">
        <f aca="false">+IF(AR8="[ocultar]",AR8,"")</f>
        <v>[ocultar]</v>
      </c>
      <c r="AS2" s="166" t="str">
        <f aca="false">+IF(AS8="[ocultar]",AS8,"")</f>
        <v>[ocultar]</v>
      </c>
      <c r="AT2" s="166" t="str">
        <f aca="false">+IF(AT8="[ocultar]",AT8,"")</f>
        <v>[ocultar]</v>
      </c>
    </row>
    <row r="3" customFormat="false" ht="13.9" hidden="false" customHeight="true" outlineLevel="0" collapsed="false">
      <c r="I3" s="260" t="str">
        <f aca="false">+"Razón Social: "&amp;Inicio!C6&amp;"  -  NIF: "&amp;Inicio!C8</f>
        <v>Razón Social:   -  NIF:</v>
      </c>
      <c r="J3" s="261"/>
    </row>
    <row r="4" customFormat="false" ht="13.9" hidden="false" customHeight="true" outlineLevel="0" collapsed="false">
      <c r="I4" s="262" t="s">
        <v>2</v>
      </c>
      <c r="J4" s="263"/>
    </row>
    <row r="5" customFormat="false" ht="13.9" hidden="false" customHeight="true" outlineLevel="0" collapsed="false">
      <c r="I5" s="264" t="n">
        <f aca="false">+Inicio!E10</f>
        <v>0</v>
      </c>
      <c r="J5" s="265" t="str">
        <f aca="false">+Inicio!D10</f>
        <v>fecha inicio</v>
      </c>
    </row>
    <row r="6" customFormat="false" ht="13.9" hidden="false" customHeight="true" outlineLevel="0" collapsed="false">
      <c r="I6" s="264" t="n">
        <f aca="false">+Inicio!G10</f>
        <v>0</v>
      </c>
      <c r="J6" s="266" t="s">
        <v>4</v>
      </c>
    </row>
    <row r="7" s="179" customFormat="true" ht="13.9" hidden="false" customHeight="true" outlineLevel="0" collapsed="false"/>
    <row r="8" s="267" customFormat="true" ht="46.15" hidden="false" customHeight="true" outlineLevel="0" collapsed="false">
      <c r="B8" s="268"/>
      <c r="C8" s="268" t="s">
        <v>368</v>
      </c>
      <c r="D8" s="268" t="s">
        <v>369</v>
      </c>
      <c r="E8" s="268" t="s">
        <v>260</v>
      </c>
      <c r="F8" s="268" t="s">
        <v>262</v>
      </c>
      <c r="G8" s="268" t="s">
        <v>264</v>
      </c>
      <c r="H8" s="268" t="s">
        <v>373</v>
      </c>
      <c r="I8" s="269" t="s">
        <v>268</v>
      </c>
      <c r="J8" s="270" t="str">
        <f aca="false">+IF(DATOS!AE6="","[ocultar]",DATOS!AE6)</f>
        <v>[ocultar]</v>
      </c>
      <c r="K8" s="270" t="str">
        <f aca="false">+IF(DATOS!AF6="","[ocultar]",DATOS!AF6)</f>
        <v>[ocultar]</v>
      </c>
      <c r="L8" s="270" t="str">
        <f aca="false">+IF(DATOS!AG6="","[ocultar]",DATOS!AG6)</f>
        <v>[ocultar]</v>
      </c>
      <c r="M8" s="270" t="str">
        <f aca="false">+IF(DATOS!AH6="","[ocultar]",DATOS!AH6)</f>
        <v>[ocultar]</v>
      </c>
      <c r="N8" s="270" t="str">
        <f aca="false">+IF(DATOS!AI6="","[ocultar]",DATOS!AI6)</f>
        <v>[ocultar]</v>
      </c>
      <c r="O8" s="270" t="str">
        <f aca="false">+IF(DATOS!AJ6="","[ocultar]",DATOS!AJ6)</f>
        <v>[ocultar]</v>
      </c>
      <c r="P8" s="270" t="str">
        <f aca="false">+IF(DATOS!AK6="","[ocultar]",DATOS!AK6)</f>
        <v>[ocultar]</v>
      </c>
      <c r="Q8" s="270" t="str">
        <f aca="false">+IF(DATOS!AL6="","[ocultar]",DATOS!AL6)</f>
        <v>[ocultar]</v>
      </c>
      <c r="R8" s="270" t="str">
        <f aca="false">+IF(DATOS!AM6="","[ocultar]",DATOS!AM6)</f>
        <v>[ocultar]</v>
      </c>
      <c r="S8" s="270" t="str">
        <f aca="false">+IF(DATOS!AN6="","[ocultar]",DATOS!AN6)</f>
        <v>[ocultar]</v>
      </c>
      <c r="T8" s="270" t="str">
        <f aca="false">+IF(DATOS!AO6="","[ocultar]",DATOS!AO6)</f>
        <v>[ocultar]</v>
      </c>
      <c r="U8" s="270" t="str">
        <f aca="false">+IF(DATOS!AP6="","[ocultar]",DATOS!AP6)</f>
        <v>[ocultar]</v>
      </c>
      <c r="V8" s="270" t="str">
        <f aca="false">+IF(DATOS!AQ6="","[ocultar]",DATOS!AQ6)</f>
        <v>[ocultar]</v>
      </c>
      <c r="W8" s="270" t="str">
        <f aca="false">+IF(DATOS!AR6="","[ocultar]",DATOS!AR6)</f>
        <v>[ocultar]</v>
      </c>
      <c r="X8" s="270" t="str">
        <f aca="false">+IF(DATOS!AS6="","[ocultar]",DATOS!AS6)</f>
        <v>[ocultar]</v>
      </c>
      <c r="Y8" s="270" t="str">
        <f aca="false">+IF(DATOS!AT6="","[ocultar]",DATOS!AT6)</f>
        <v>[ocultar]</v>
      </c>
      <c r="Z8" s="270" t="str">
        <f aca="false">+IF(DATOS!AU6="","[ocultar]",DATOS!AU6)</f>
        <v>[ocultar]</v>
      </c>
      <c r="AA8" s="270" t="str">
        <f aca="false">+IF(DATOS!AV6="","[ocultar]",DATOS!AV6)</f>
        <v>[ocultar]</v>
      </c>
      <c r="AB8" s="270" t="str">
        <f aca="false">+IF(DATOS!AW6="","[ocultar]",DATOS!AW6)</f>
        <v>[ocultar]</v>
      </c>
      <c r="AC8" s="270" t="str">
        <f aca="false">+IF(DATOS!AX6="","[ocultar]",DATOS!AX6)</f>
        <v>[ocultar]</v>
      </c>
      <c r="AD8" s="270" t="str">
        <f aca="false">+IF(DATOS!AY6="","[ocultar]",DATOS!AY6)</f>
        <v>[ocultar]</v>
      </c>
      <c r="AE8" s="270" t="str">
        <f aca="false">+IF(DATOS!AZ6="","[ocultar]",DATOS!AZ6)</f>
        <v>[ocultar]</v>
      </c>
      <c r="AF8" s="270" t="str">
        <f aca="false">+IF(DATOS!BA6="","[ocultar]",DATOS!BA6)</f>
        <v>[ocultar]</v>
      </c>
      <c r="AG8" s="270" t="str">
        <f aca="false">+IF(DATOS!BB6="","[ocultar]",DATOS!BB6)</f>
        <v>[ocultar]</v>
      </c>
      <c r="AH8" s="270" t="str">
        <f aca="false">+IF(DATOS!BC6="","[ocultar]",DATOS!BC6)</f>
        <v>[ocultar]</v>
      </c>
      <c r="AI8" s="270" t="str">
        <f aca="false">+IF(DATOS!BD6="","[ocultar]",DATOS!BD6)</f>
        <v>[ocultar]</v>
      </c>
      <c r="AJ8" s="270" t="str">
        <f aca="false">+IF(DATOS!BE6="","[ocultar]",DATOS!BE6)</f>
        <v>[ocultar]</v>
      </c>
      <c r="AK8" s="270" t="str">
        <f aca="false">+IF(DATOS!BF6="","[ocultar]",DATOS!BF6)</f>
        <v>[ocultar]</v>
      </c>
      <c r="AL8" s="270" t="str">
        <f aca="false">+IF(DATOS!BG6="","[ocultar]",DATOS!BG6)</f>
        <v>[ocultar]</v>
      </c>
      <c r="AM8" s="270" t="str">
        <f aca="false">+IF(DATOS!BH6="","[ocultar]",DATOS!BH6)</f>
        <v>[ocultar]</v>
      </c>
      <c r="AN8" s="271" t="s">
        <v>269</v>
      </c>
      <c r="AO8" s="272" t="s">
        <v>270</v>
      </c>
      <c r="AP8" s="273" t="str">
        <f aca="false">+IF(DATOS!BI6="","[ocultar]",DATOS!BI6)</f>
        <v>[ocultar]</v>
      </c>
      <c r="AQ8" s="273" t="str">
        <f aca="false">+IF(DATOS!BJ6="","[ocultar]",DATOS!BJ6)</f>
        <v>[ocultar]</v>
      </c>
      <c r="AR8" s="273" t="str">
        <f aca="false">+IF(DATOS!BK6="","[ocultar]",DATOS!BK6)</f>
        <v>[ocultar]</v>
      </c>
      <c r="AS8" s="273" t="str">
        <f aca="false">+IF(DATOS!BL6="","[ocultar]",DATOS!BL6)</f>
        <v>[ocultar]</v>
      </c>
      <c r="AT8" s="273" t="str">
        <f aca="false">+IF(DATOS!BM6="","[ocultar]",DATOS!BM6)</f>
        <v>[ocultar]</v>
      </c>
      <c r="AU8" s="274" t="s">
        <v>271</v>
      </c>
      <c r="AV8" s="275" t="s">
        <v>272</v>
      </c>
    </row>
    <row r="9" customFormat="false" ht="15.75" hidden="false" customHeight="false" outlineLevel="0" collapsed="false">
      <c r="B9" s="276" t="s">
        <v>370</v>
      </c>
      <c r="C9" s="277"/>
      <c r="D9" s="278"/>
      <c r="E9" s="278"/>
      <c r="F9" s="278"/>
      <c r="G9" s="278"/>
      <c r="H9" s="278"/>
      <c r="I9" s="279" t="str">
        <f aca="false">IFERROR((I10-I11)/I10,"")</f>
        <v/>
      </c>
      <c r="J9" s="280" t="str">
        <f aca="false">IFERROR((J10-J11)/J10,"")</f>
        <v/>
      </c>
      <c r="K9" s="281" t="str">
        <f aca="false">IFERROR((K10-K11)/K10,"")</f>
        <v/>
      </c>
      <c r="L9" s="281" t="str">
        <f aca="false">IFERROR((L10-L11)/L10,"")</f>
        <v/>
      </c>
      <c r="M9" s="281" t="str">
        <f aca="false">IFERROR((M10-M11)/M10,"")</f>
        <v/>
      </c>
      <c r="N9" s="282" t="str">
        <f aca="false">IFERROR((N10-N11)/N10,"")</f>
        <v/>
      </c>
      <c r="O9" s="283" t="str">
        <f aca="false">IFERROR((O10-O11)/O10,"")</f>
        <v/>
      </c>
      <c r="P9" s="283" t="str">
        <f aca="false">IFERROR((P10-P11)/P10,"")</f>
        <v/>
      </c>
      <c r="Q9" s="283" t="str">
        <f aca="false">IFERROR((Q10-Q11)/Q10,"")</f>
        <v/>
      </c>
      <c r="R9" s="283" t="str">
        <f aca="false">IFERROR((R10-R11)/R10,"")</f>
        <v/>
      </c>
      <c r="S9" s="283" t="str">
        <f aca="false">IFERROR((S10-S11)/S10,"")</f>
        <v/>
      </c>
      <c r="T9" s="283" t="str">
        <f aca="false">IFERROR((T10-T11)/T10,"")</f>
        <v/>
      </c>
      <c r="U9" s="283" t="str">
        <f aca="false">IFERROR((U10-U11)/U10,"")</f>
        <v/>
      </c>
      <c r="V9" s="283" t="str">
        <f aca="false">IFERROR((V10-V11)/V10,"")</f>
        <v/>
      </c>
      <c r="W9" s="283" t="str">
        <f aca="false">IFERROR((W10-W11)/W10,"")</f>
        <v/>
      </c>
      <c r="X9" s="283" t="str">
        <f aca="false">IFERROR((X10-X11)/X10,"")</f>
        <v/>
      </c>
      <c r="Y9" s="283" t="str">
        <f aca="false">IFERROR((Y10-Y11)/Y10,"")</f>
        <v/>
      </c>
      <c r="Z9" s="282" t="str">
        <f aca="false">IFERROR((Z10-Z11)/Z10,"")</f>
        <v/>
      </c>
      <c r="AA9" s="282" t="str">
        <f aca="false">IFERROR((AA10-AA11)/AA10,"")</f>
        <v/>
      </c>
      <c r="AB9" s="282" t="str">
        <f aca="false">IFERROR((AB10-AB11)/AB10,"")</f>
        <v/>
      </c>
      <c r="AC9" s="282" t="str">
        <f aca="false">IFERROR((AC10-AC11)/AC10,"")</f>
        <v/>
      </c>
      <c r="AD9" s="282" t="str">
        <f aca="false">IFERROR((AD10-AD11)/AD10,"")</f>
        <v/>
      </c>
      <c r="AE9" s="282" t="str">
        <f aca="false">IFERROR((AE10-AE11)/AE10,"")</f>
        <v/>
      </c>
      <c r="AF9" s="282" t="str">
        <f aca="false">IFERROR((AF10-AF11)/AF10,"")</f>
        <v/>
      </c>
      <c r="AG9" s="282" t="str">
        <f aca="false">IFERROR((AG10-AG11)/AG10,"")</f>
        <v/>
      </c>
      <c r="AH9" s="282" t="str">
        <f aca="false">IFERROR((AH10-AH11)/AH10,"")</f>
        <v/>
      </c>
      <c r="AI9" s="282" t="str">
        <f aca="false">IFERROR((AI10-AI11)/AI10,"")</f>
        <v/>
      </c>
      <c r="AJ9" s="282" t="str">
        <f aca="false">IFERROR((AJ10-AJ11)/AJ10,"")</f>
        <v/>
      </c>
      <c r="AK9" s="282" t="str">
        <f aca="false">IFERROR((AK10-AK11)/AK10,"")</f>
        <v/>
      </c>
      <c r="AL9" s="282" t="str">
        <f aca="false">IFERROR((AL10-AL11)/AL10,"")</f>
        <v/>
      </c>
      <c r="AM9" s="282" t="str">
        <f aca="false">IFERROR((AM10-AM11)/AM10,"")</f>
        <v/>
      </c>
      <c r="AN9" s="284" t="str">
        <f aca="false">IFERROR((AN10-AN11)/AN10,"")</f>
        <v/>
      </c>
      <c r="AO9" s="285" t="str">
        <f aca="false">IFERROR((AO10-AO11)/AO10,"")</f>
        <v/>
      </c>
      <c r="AP9" s="286" t="str">
        <f aca="false">IFERROR((AP10-AP11)/AP10,"")</f>
        <v/>
      </c>
      <c r="AQ9" s="286" t="str">
        <f aca="false">IFERROR((AQ10-AQ11)/AQ10,"")</f>
        <v/>
      </c>
      <c r="AR9" s="286" t="str">
        <f aca="false">IFERROR((AR10-AR11)/AR10,"")</f>
        <v/>
      </c>
      <c r="AS9" s="286" t="str">
        <f aca="false">IFERROR((AS10-AS11)/AS10,"")</f>
        <v/>
      </c>
      <c r="AT9" s="286" t="str">
        <f aca="false">IFERROR((AT10-AT11)/AT10,"")</f>
        <v/>
      </c>
      <c r="AU9" s="287" t="str">
        <f aca="false">IFERROR((AU10-AU11)/AU10,"")</f>
        <v/>
      </c>
      <c r="AV9" s="288" t="str">
        <f aca="false">IFERROR((AV10-AV11)/AV10,"")</f>
        <v/>
      </c>
    </row>
    <row r="10" customFormat="false" ht="14.25" hidden="false" customHeight="false" outlineLevel="0" collapsed="false">
      <c r="B10" s="289" t="s">
        <v>371</v>
      </c>
      <c r="C10" s="290" t="n">
        <f aca="false" t="array" ref="C10:C10">SUM(IF($B10=DATOS_[Sexo], IF("Dentro"=DATOS_[Check Periodo Ref.], 1/(COUNTIFS(DATOS_[Sexo],$B10,DATOS_[Check Periodo Ref.],"Dentro",DATOS_[id],DATOS_[id])))))</f>
        <v>0</v>
      </c>
      <c r="D10" s="291" t="n">
        <f aca="false">COUNTIFS(DATOS_[AGRUP. CLAS. PROF.],"&lt;&gt;",DATOS_[Sexo],$B10,DATOS_[Check Periodo Ref.],"Dentro")</f>
        <v>0</v>
      </c>
      <c r="E10" s="291" t="n">
        <f aca="false">COUNTIFS(DATOS_[AGRUP. CLAS. PROF.],"&lt;&gt;",DATOS_[Sexo],$B10,DATOS_[Check Periodo Ref.],"Dentro",DATOS_[Check Nº SC Norm],"Sí")</f>
        <v>0</v>
      </c>
      <c r="F10" s="291" t="n">
        <f aca="false">COUNTIFS(DATOS_[AGRUP. CLAS. PROF.],"&lt;&gt;",DATOS_[Sexo],$B10,DATOS_[Check Periodo Ref.],"Dentro",DATOS_[Check Nº SC Anualiz],"Sí")</f>
        <v>0</v>
      </c>
      <c r="G10" s="291" t="n">
        <f aca="false">COUNTIFS(DATOS_[AGRUP. CLAS. PROF.],"&lt;&gt;",DATOS_[Sexo],$B10,DATOS_[Check Periodo Ref.],"Dentro",DATOS_[Check Nº SC Norm y Anualiz],"Sí")</f>
        <v>0</v>
      </c>
      <c r="H10" s="291" t="n">
        <f aca="false">COUNTIFS(DATOS_[AGRUP. CLAS. PROF.],"&lt;&gt;",DATOS_[Sexo],$B10,DATOS_[Check Periodo Ref.],"Dentro",DATOS_[Check Equiparación],"Sí")</f>
        <v>0</v>
      </c>
      <c r="I10" s="292" t="n">
        <f aca="false" t="array" ref="I10:I10">IFERROR( AVERAGE(IF(DATOS_[Sexo]=$B10,IF(DATOS_[Check Equiparado]="Sí",IF(DATOS_[Check Periodo Ref.]="Dentro",DATOS_[SALARIO BASE Eq],0)))), 0)</f>
        <v>0</v>
      </c>
      <c r="J10" s="293" t="n">
        <f aca="false" t="array" ref="J10:J10">IFERROR( (AVERAGE((IF(DATOS_[[Sexo]:[Sexo]]=$B10,IF(DATOS_[[Check Periodo Ref.]:[Check Periodo Ref.]]="Dentro",IF(DATOS_[[Check Equiparado]:[Check Equiparado]]="Sí",IF(DATOS!AE$4="Sí",(1/DATOS_[[% anualiz]:[% anualiz]]),1)*IF(DATOS!AE$5="Sí",1/DATOS_[[% normaliz]:[% normaliz]],1)*(DATOS_[Conc.Sal.01]))))))), 0)</f>
        <v>0</v>
      </c>
      <c r="K10" s="293" t="n">
        <f aca="false" t="array" ref="K10:K10">IFERROR( (AVERAGE((IF(DATOS_[[Sexo]:[Sexo]]=$B10,IF(DATOS_[[Check Periodo Ref.]:[Check Periodo Ref.]]="Dentro",IF(DATOS_[[Check Equiparado]:[Check Equiparado]]="Sí",IF(DATOS!AF$4="Sí",(1/DATOS_[[% anualiz]:[% anualiz]]),1)*IF(DATOS!AF$5="Sí",1/DATOS_[[% normaliz]:[% normaliz]],1)*(DATOS_[Conc.Sal.02]))))))), 0)</f>
        <v>0</v>
      </c>
      <c r="L10" s="293" t="n">
        <f aca="false" t="array" ref="L10:L10">IFERROR( (AVERAGE((IF(DATOS_[[Sexo]:[Sexo]]=$B10,IF(DATOS_[[Check Periodo Ref.]:[Check Periodo Ref.]]="Dentro",IF(DATOS_[[Check Equiparado]:[Check Equiparado]]="Sí",IF(DATOS!AG$4="Sí",(1/DATOS_[[% anualiz]:[% anualiz]]),1)*IF(DATOS!AG$5="Sí",1/DATOS_[[% normaliz]:[% normaliz]],1)*(DATOS_[Conc.Sal.03]))))))), 0)</f>
        <v>0</v>
      </c>
      <c r="M10" s="293" t="n">
        <f aca="false" t="array" ref="M10:M10">IFERROR( (AVERAGE((IF(DATOS_[[Sexo]:[Sexo]]=$B10,IF(DATOS_[[Check Periodo Ref.]:[Check Periodo Ref.]]="Dentro",IF(DATOS_[[Check Equiparado]:[Check Equiparado]]="Sí",IF(DATOS!AH$4="Sí",(1/DATOS_[[% anualiz]:[% anualiz]]),1)*IF(DATOS!AH$5="Sí",1/DATOS_[[% normaliz]:[% normaliz]],1)*(DATOS_[Conc.Sal.04]))))))), 0)</f>
        <v>0</v>
      </c>
      <c r="N10" s="293" t="n">
        <f aca="false" t="array" ref="N10:N10">IFERROR( (AVERAGE((IF(DATOS_[[Sexo]:[Sexo]]=$B10,IF(DATOS_[[Check Periodo Ref.]:[Check Periodo Ref.]]="Dentro",IF(DATOS_[[Check Equiparado]:[Check Equiparado]]="Sí",IF(DATOS!AI$4="Sí",(1/DATOS_[[% anualiz]:[% anualiz]]),1)*IF(DATOS!AI$5="Sí",1/DATOS_[[% normaliz]:[% normaliz]],1)*(DATOS_[Conc.Sal.05]))))))), 0)</f>
        <v>0</v>
      </c>
      <c r="O10" s="293" t="n">
        <f aca="false" t="array" ref="O10:O10">IFERROR( (AVERAGE((IF(DATOS_[[Sexo]:[Sexo]]=$B10,IF(DATOS_[[Check Periodo Ref.]:[Check Periodo Ref.]]="Dentro",IF(DATOS_[[Check Equiparado]:[Check Equiparado]]="Sí",IF(DATOS!AJ$4="Sí",(1/DATOS_[[% anualiz]:[% anualiz]]),1)*IF(DATOS!AJ$5="Sí",1/DATOS_[[% normaliz]:[% normaliz]],1)*(DATOS_[Conc.Sal.06]))))))), 0)</f>
        <v>0</v>
      </c>
      <c r="P10" s="293" t="n">
        <f aca="false" t="array" ref="P10:P10">IFERROR( (AVERAGE((IF(DATOS_[[Sexo]:[Sexo]]=$B10,IF(DATOS_[[Check Periodo Ref.]:[Check Periodo Ref.]]="Dentro",IF(DATOS_[[Check Equiparado]:[Check Equiparado]]="Sí",IF(DATOS!AK$4="Sí",(1/DATOS_[[% anualiz]:[% anualiz]]),1)*IF(DATOS!AK$5="Sí",1/DATOS_[[% normaliz]:[% normaliz]],1)*(DATOS_[Conc.Sal.07]))))))), 0)</f>
        <v>0</v>
      </c>
      <c r="Q10" s="293" t="n">
        <f aca="false" t="array" ref="Q10:Q10">IFERROR( (AVERAGE((IF(DATOS_[[Sexo]:[Sexo]]=$B10,IF(DATOS_[[Check Periodo Ref.]:[Check Periodo Ref.]]="Dentro",IF(DATOS_[[Check Equiparado]:[Check Equiparado]]="Sí",IF(DATOS!AL$4="Sí",(1/DATOS_[[% anualiz]:[% anualiz]]),1)*IF(DATOS!AL$5="Sí",1/DATOS_[[% normaliz]:[% normaliz]],1)*(DATOS_[Conc.Sal.08]))))))), 0)</f>
        <v>0</v>
      </c>
      <c r="R10" s="293" t="n">
        <f aca="false" t="array" ref="R10:R10">IFERROR( (AVERAGE((IF(DATOS_[[Sexo]:[Sexo]]=$B10,IF(DATOS_[[Check Periodo Ref.]:[Check Periodo Ref.]]="Dentro",IF(DATOS_[[Check Equiparado]:[Check Equiparado]]="Sí",IF(DATOS!AM$4="Sí",(1/DATOS_[[% anualiz]:[% anualiz]]),1)*IF(DATOS!AM$5="Sí",1/DATOS_[[% normaliz]:[% normaliz]],1)*(DATOS_[Conc.Sal.09]))))))), 0)</f>
        <v>0</v>
      </c>
      <c r="S10" s="293" t="n">
        <f aca="false" t="array" ref="S10:S10">IFERROR( (AVERAGE((IF(DATOS_[[Sexo]:[Sexo]]=$B10,IF(DATOS_[[Check Periodo Ref.]:[Check Periodo Ref.]]="Dentro",IF(DATOS_[[Check Equiparado]:[Check Equiparado]]="Sí",IF(DATOS!AN$4="Sí",(1/DATOS_[[% anualiz]:[% anualiz]]),1)*IF(DATOS!AN$5="Sí",1/DATOS_[[% normaliz]:[% normaliz]],1)*(DATOS_[Conc.Sal.10]))))))), 0)</f>
        <v>0</v>
      </c>
      <c r="T10" s="293" t="n">
        <f aca="false" t="array" ref="T10:T10">IFERROR( (AVERAGE((IF(DATOS_[[Sexo]:[Sexo]]=$B10,IF(DATOS_[[Check Periodo Ref.]:[Check Periodo Ref.]]="Dentro",IF(DATOS_[[Check Equiparado]:[Check Equiparado]]="Sí",IF(DATOS!AO$4="Sí",(1/DATOS_[[% anualiz]:[% anualiz]]),1)*IF(DATOS!AO$5="Sí",1/DATOS_[[% normaliz]:[% normaliz]],1)*(DATOS_[Conc.Sal.11]))))))), 0)</f>
        <v>0</v>
      </c>
      <c r="U10" s="293" t="n">
        <f aca="false" t="array" ref="U10:U10">IFERROR( (AVERAGE((IF(DATOS_[[Sexo]:[Sexo]]=$B10,IF(DATOS_[[Check Periodo Ref.]:[Check Periodo Ref.]]="Dentro",IF(DATOS_[[Check Equiparado]:[Check Equiparado]]="Sí",IF(DATOS!AP$4="Sí",(1/DATOS_[[% anualiz]:[% anualiz]]),1)*IF(DATOS!AP$5="Sí",1/DATOS_[[% normaliz]:[% normaliz]],1)*(DATOS_[Conc.Sal.12]))))))), 0)</f>
        <v>0</v>
      </c>
      <c r="V10" s="293" t="n">
        <f aca="false" t="array" ref="V10:V10">IFERROR( (AVERAGE((IF(DATOS_[[Sexo]:[Sexo]]=$B10,IF(DATOS_[[Check Periodo Ref.]:[Check Periodo Ref.]]="Dentro",IF(DATOS_[[Check Equiparado]:[Check Equiparado]]="Sí",IF(DATOS!AQ$4="Sí",(1/DATOS_[[% anualiz]:[% anualiz]]),1)*IF(DATOS!AQ$5="Sí",1/DATOS_[[% normaliz]:[% normaliz]],1)*(DATOS_[Conc.Sal.13]))))))), 0)</f>
        <v>0</v>
      </c>
      <c r="W10" s="293" t="n">
        <f aca="false" t="array" ref="W10:W10">IFERROR( (AVERAGE((IF(DATOS_[[Sexo]:[Sexo]]=$B10,IF(DATOS_[[Check Periodo Ref.]:[Check Periodo Ref.]]="Dentro",IF(DATOS_[[Check Equiparado]:[Check Equiparado]]="Sí",IF(DATOS!AR$4="Sí",(1/DATOS_[[% anualiz]:[% anualiz]]),1)*IF(DATOS!AR$5="Sí",1/DATOS_[[% normaliz]:[% normaliz]],1)*(DATOS_[Conc.Sal.14]))))))), 0)</f>
        <v>0</v>
      </c>
      <c r="X10" s="293" t="n">
        <f aca="false" t="array" ref="X10:X10">IFERROR( (AVERAGE((IF(DATOS_[[Sexo]:[Sexo]]=$B10,IF(DATOS_[[Check Periodo Ref.]:[Check Periodo Ref.]]="Dentro",IF(DATOS_[[Check Equiparado]:[Check Equiparado]]="Sí",IF(DATOS!AS$4="Sí",(1/DATOS_[[% anualiz]:[% anualiz]]),1)*IF(DATOS!AS$5="Sí",1/DATOS_[[% normaliz]:[% normaliz]],1)*(DATOS_[Conc.Sal.15]))))))), 0)</f>
        <v>0</v>
      </c>
      <c r="Y10" s="293" t="n">
        <f aca="false" t="array" ref="Y10:Y10">IFERROR( (AVERAGE((IF(DATOS_[[Sexo]:[Sexo]]=$B10,IF(DATOS_[[Check Periodo Ref.]:[Check Periodo Ref.]]="Dentro",IF(DATOS_[[Check Equiparado]:[Check Equiparado]]="Sí",IF(DATOS!AT$4="Sí",(1/DATOS_[[% anualiz]:[% anualiz]]),1)*IF(DATOS!AT$5="Sí",1/DATOS_[[% normaliz]:[% normaliz]],1)*(DATOS_[Conc.Sal.16]))))))), 0)</f>
        <v>0</v>
      </c>
      <c r="Z10" s="293" t="n">
        <f aca="false" t="array" ref="Z10:Z10">IFERROR( (AVERAGE((IF(DATOS_[[Sexo]:[Sexo]]=$B10,IF(DATOS_[[Check Periodo Ref.]:[Check Periodo Ref.]]="Dentro",IF(DATOS_[[Check Equiparado]:[Check Equiparado]]="Sí",IF(DATOS!AU$4="Sí",(1/DATOS_[[% anualiz]:[% anualiz]]),1)*IF(DATOS!AU$5="Sí",1/DATOS_[[% normaliz]:[% normaliz]],1)*(DATOS_[Conc.Sal.17]))))))), 0)</f>
        <v>0</v>
      </c>
      <c r="AA10" s="293" t="n">
        <f aca="false" t="array" ref="AA10:AA10">IFERROR( (AVERAGE((IF(DATOS_[[Sexo]:[Sexo]]=$B10,IF(DATOS_[[Check Periodo Ref.]:[Check Periodo Ref.]]="Dentro",IF(DATOS_[[Check Equiparado]:[Check Equiparado]]="Sí",IF(DATOS!AV$4="Sí",(1/DATOS_[[% anualiz]:[% anualiz]]),1)*IF(DATOS!AV$5="Sí",1/DATOS_[[% normaliz]:[% normaliz]],1)*(DATOS_[Conc.Sal.18]))))))), 0)</f>
        <v>0</v>
      </c>
      <c r="AB10" s="293" t="n">
        <f aca="false" t="array" ref="AB10:AB10">IFERROR( (AVERAGE((IF(DATOS_[[Sexo]:[Sexo]]=$B10,IF(DATOS_[[Check Periodo Ref.]:[Check Periodo Ref.]]="Dentro",IF(DATOS_[[Check Equiparado]:[Check Equiparado]]="Sí",IF(DATOS!AW$4="Sí",(1/DATOS_[[% anualiz]:[% anualiz]]),1)*IF(DATOS!AW$5="Sí",1/DATOS_[[% normaliz]:[% normaliz]],1)*(DATOS_[Conc.Sal.19]))))))), 0)</f>
        <v>0</v>
      </c>
      <c r="AC10" s="293" t="n">
        <f aca="false" t="array" ref="AC10:AC10">IFERROR( (AVERAGE((IF(DATOS_[[Sexo]:[Sexo]]=$B10,IF(DATOS_[[Check Periodo Ref.]:[Check Periodo Ref.]]="Dentro",IF(DATOS_[[Check Equiparado]:[Check Equiparado]]="Sí",IF(DATOS!AX$4="Sí",(1/DATOS_[[% anualiz]:[% anualiz]]),1)*IF(DATOS!AX$5="Sí",1/DATOS_[[% normaliz]:[% normaliz]],1)*(DATOS_[Conc.Sal.20]))))))), 0)</f>
        <v>0</v>
      </c>
      <c r="AD10" s="293" t="n">
        <f aca="false" t="array" ref="AD10:AD10">IFERROR( (AVERAGE((IF(DATOS_[[Sexo]:[Sexo]]=$B10,IF(DATOS_[[Check Periodo Ref.]:[Check Periodo Ref.]]="Dentro",IF(DATOS_[[Check Equiparado]:[Check Equiparado]]="Sí",IF(DATOS!AY$4="Sí",(1/DATOS_[[% anualiz]:[% anualiz]]),1)*IF(DATOS!AY$5="Sí",1/DATOS_[[% normaliz]:[% normaliz]],1)*(DATOS_[Conc.Sal.21]))))))), 0)</f>
        <v>0</v>
      </c>
      <c r="AE10" s="293" t="n">
        <f aca="false" t="array" ref="AE10:AE10">IFERROR( (AVERAGE((IF(DATOS_[[Sexo]:[Sexo]]=$B10,IF(DATOS_[[Check Periodo Ref.]:[Check Periodo Ref.]]="Dentro",IF(DATOS_[[Check Equiparado]:[Check Equiparado]]="Sí",IF(DATOS!AZ$4="Sí",(1/DATOS_[[% anualiz]:[% anualiz]]),1)*IF(DATOS!AZ$5="Sí",1/DATOS_[[% normaliz]:[% normaliz]],1)*(DATOS_[Conc.Sal.22]))))))), 0)</f>
        <v>0</v>
      </c>
      <c r="AF10" s="293" t="n">
        <f aca="false" t="array" ref="AF10:AF10">IFERROR( (AVERAGE((IF(DATOS_[[Sexo]:[Sexo]]=$B10,IF(DATOS_[[Check Periodo Ref.]:[Check Periodo Ref.]]="Dentro",IF(DATOS_[[Check Equiparado]:[Check Equiparado]]="Sí",IF(DATOS!BA$4="Sí",(1/DATOS_[[% anualiz]:[% anualiz]]),1)*IF(DATOS!BA$5="Sí",1/DATOS_[[% normaliz]:[% normaliz]],1)*(DATOS_[Conc.Sal.23]))))))), 0)</f>
        <v>0</v>
      </c>
      <c r="AG10" s="293" t="n">
        <f aca="false" t="array" ref="AG10:AG10">IFERROR( (AVERAGE((IF(DATOS_[[Sexo]:[Sexo]]=$B10,IF(DATOS_[[Check Periodo Ref.]:[Check Periodo Ref.]]="Dentro",IF(DATOS_[[Check Equiparado]:[Check Equiparado]]="Sí",IF(DATOS!BB$4="Sí",(1/DATOS_[[% anualiz]:[% anualiz]]),1)*IF(DATOS!BB$5="Sí",1/DATOS_[[% normaliz]:[% normaliz]],1)*(DATOS_[Conc.Sal.24]))))))), 0)</f>
        <v>0</v>
      </c>
      <c r="AH10" s="293" t="n">
        <f aca="false" t="array" ref="AH10:AH10">IFERROR( (AVERAGE((IF(DATOS_[[Sexo]:[Sexo]]=$B10,IF(DATOS_[[Check Periodo Ref.]:[Check Periodo Ref.]]="Dentro",IF(DATOS_[[Check Equiparado]:[Check Equiparado]]="Sí",IF(DATOS!BC$4="Sí",(1/DATOS_[[% anualiz]:[% anualiz]]),1)*IF(DATOS!BC$5="Sí",1/DATOS_[[% normaliz]:[% normaliz]],1)*(DATOS_[Conc.Sal.25]))))))), 0)</f>
        <v>0</v>
      </c>
      <c r="AI10" s="293" t="n">
        <f aca="false" t="array" ref="AI10:AI10">IFERROR( (AVERAGE((IF(DATOS_[[Sexo]:[Sexo]]=$B10,IF(DATOS_[[Check Periodo Ref.]:[Check Periodo Ref.]]="Dentro",IF(DATOS_[[Check Equiparado]:[Check Equiparado]]="Sí",IF(DATOS!BD$4="Sí",(1/DATOS_[[% anualiz]:[% anualiz]]),1)*IF(DATOS!BD$5="Sí",1/DATOS_[[% normaliz]:[% normaliz]],1)*(DATOS_[Conc.Sal.26]))))))), 0)</f>
        <v>0</v>
      </c>
      <c r="AJ10" s="293" t="n">
        <f aca="false" t="array" ref="AJ10:AJ10">IFERROR( (AVERAGE((IF(DATOS_[[Sexo]:[Sexo]]=$B10,IF(DATOS_[[Check Periodo Ref.]:[Check Periodo Ref.]]="Dentro",IF(DATOS_[[Check Equiparado]:[Check Equiparado]]="Sí",IF(DATOS!BE$4="Sí",(1/DATOS_[[% anualiz]:[% anualiz]]),1)*IF(DATOS!BE$5="Sí",1/DATOS_[[% normaliz]:[% normaliz]],1)*(DATOS_[Conc.Sal.27]))))))), 0)</f>
        <v>0</v>
      </c>
      <c r="AK10" s="293" t="n">
        <f aca="false" t="array" ref="AK10:AK10">IFERROR( (AVERAGE((IF(DATOS_[[Sexo]:[Sexo]]=$B10,IF(DATOS_[[Check Periodo Ref.]:[Check Periodo Ref.]]="Dentro",IF(DATOS_[[Check Equiparado]:[Check Equiparado]]="Sí",IF(DATOS!BF$4="Sí",(1/DATOS_[[% anualiz]:[% anualiz]]),1)*IF(DATOS!BF$5="Sí",1/DATOS_[[% normaliz]:[% normaliz]],1)*(DATOS_[Conc.Sal.28]))))))), 0)</f>
        <v>0</v>
      </c>
      <c r="AL10" s="293" t="n">
        <f aca="false" t="array" ref="AL10:AL10">IFERROR( (AVERAGE((IF(DATOS_[[Sexo]:[Sexo]]=$B10,IF(DATOS_[[Check Periodo Ref.]:[Check Periodo Ref.]]="Dentro",IF(DATOS_[[Check Equiparado]:[Check Equiparado]]="Sí",IF(DATOS!BG$4="Sí",(1/DATOS_[[% anualiz]:[% anualiz]]),1)*IF(DATOS!BG$5="Sí",1/DATOS_[[% normaliz]:[% normaliz]],1)*(DATOS_[Conc.Sal.29]))))))), 0)</f>
        <v>0</v>
      </c>
      <c r="AM10" s="293" t="n">
        <f aca="false" t="array" ref="AM10:AM10">IFERROR( (AVERAGE((IF(DATOS_[[Sexo]:[Sexo]]=$B10,IF(DATOS_[[Check Periodo Ref.]:[Check Periodo Ref.]]="Dentro",IF(DATOS_[[Check Equiparado]:[Check Equiparado]]="Sí",IF(DATOS!BH$4="Sí",(1/DATOS_[[% anualiz]:[% anualiz]]),1)*IF(DATOS!BH$5="Sí",1/DATOS_[[% normaliz]:[% normaliz]],1)*(DATOS_[Conc.Sal.30]))))))), 0)</f>
        <v>0</v>
      </c>
      <c r="AN10" s="294" t="n">
        <f aca="false" t="array" ref="AN10:AN10">IFERROR( AVERAGE(IF(DATOS_[Sexo]=$B10,IF(DATOS_[Check Equiparado]="Sí",IF(DATOS_[Check Periodo Ref.]="Dentro",DATOS_[Tot COMPL.SAL Eq],0)))), 0)</f>
        <v>0</v>
      </c>
      <c r="AO10" s="295" t="n">
        <f aca="false" t="array" ref="AO10:AO10">IFERROR( AVERAGE(IF(DATOS_[Sexo]=$B10,IF(DATOS_[Check Equiparado]="Sí",IF(DATOS_[Check Periodo Ref.]="Dentro",DATOS_[TOTAL SALARIO Eq],0)))), 0)</f>
        <v>0</v>
      </c>
      <c r="AP10" s="296" t="n">
        <f aca="false" t="array" ref="AP10:AP10">IFERROR( (AVERAGE((IF(DATOS_[[Sexo]:[Sexo]]=$B10,IF(DATOS_[[Check Periodo Ref.]:[Check Periodo Ref.]]="Dentro",IF(DATOS_[[Check Equiparado]:[Check Equiparado]]="Sí",IF(DATOS!BI$4="Sí",(1/DATOS_[[% anualiz]:[% anualiz]]),1)*IF(DATOS!BI$5="Sí",1/DATOS_[[% normaliz]:[% normaliz]],1)*(DATOS_[C.Extra.01]))))))), 0)</f>
        <v>0</v>
      </c>
      <c r="AQ10" s="296" t="n">
        <f aca="false" t="array" ref="AQ10:AQ10">IFERROR( (AVERAGE((IF(DATOS_[[Sexo]:[Sexo]]=$B10,IF(DATOS_[[Check Periodo Ref.]:[Check Periodo Ref.]]="Dentro",IF(DATOS_[[Check Equiparado]:[Check Equiparado]]="Sí",IF(DATOS!BJ$4="Sí",(1/DATOS_[[% anualiz]:[% anualiz]]),1)*IF(DATOS!BJ$5="Sí",1/DATOS_[[% normaliz]:[% normaliz]],1)*(DATOS_[C.Extra.02]))))))), 0)</f>
        <v>0</v>
      </c>
      <c r="AR10" s="296" t="n">
        <f aca="false" t="array" ref="AR10:AR10">IFERROR( (AVERAGE((IF(DATOS_[[Sexo]:[Sexo]]=$B10,IF(DATOS_[[Check Periodo Ref.]:[Check Periodo Ref.]]="Dentro",IF(DATOS_[[Check Equiparado]:[Check Equiparado]]="Sí",IF(DATOS!BK$4="Sí",(1/DATOS_[[% anualiz]:[% anualiz]]),1)*IF(DATOS!BK$5="Sí",1/DATOS_[[% normaliz]:[% normaliz]],1)*(DATOS_[C.Extra.03]))))))), 0)</f>
        <v>0</v>
      </c>
      <c r="AS10" s="296" t="n">
        <f aca="false" t="array" ref="AS10:AS10">IFERROR( (AVERAGE((IF(DATOS_[[Sexo]:[Sexo]]=$B10,IF(DATOS_[[Check Periodo Ref.]:[Check Periodo Ref.]]="Dentro",IF(DATOS_[[Check Equiparado]:[Check Equiparado]]="Sí",IF(DATOS!BL$4="Sí",(1/DATOS_[[% anualiz]:[% anualiz]]),1)*IF(DATOS!BL$5="Sí",1/DATOS_[[% normaliz]:[% normaliz]],1)*(DATOS_[C.Extra.04]))))))), 0)</f>
        <v>0</v>
      </c>
      <c r="AT10" s="296" t="n">
        <f aca="false" t="array" ref="AT10:AT10">IFERROR( (AVERAGE((IF(DATOS_[[Sexo]:[Sexo]]=$B10,IF(DATOS_[[Check Periodo Ref.]:[Check Periodo Ref.]]="Dentro",IF(DATOS_[[Check Equiparado]:[Check Equiparado]]="Sí",IF(DATOS!BM$4="Sí",(1/DATOS_[[% anualiz]:[% anualiz]]),1)*IF(DATOS!BM$5="Sí",1/DATOS_[[% normaliz]:[% normaliz]],1)*(DATOS_[C.Extra.05]))))))), 0)</f>
        <v>0</v>
      </c>
      <c r="AU10" s="297" t="n">
        <f aca="false" t="array" ref="AU10:AU10">IFERROR( AVERAGE(IF(DATOS_[Sexo]=$B10,IF(DATOS_[Check Equiparado]="Sí",IF(DATOS_[Check Periodo Ref.]="Dentro",DATOS_[Tot Extrasalarial Eq],0)))), 0)</f>
        <v>0</v>
      </c>
      <c r="AV10" s="298" t="n">
        <f aca="false" t="array" ref="AV10:AV10">IFERROR( AVERAGE(IF(DATOS_[Sexo]=$B10,IF(DATOS_[Check Equiparado]="Sí",IF(DATOS_[Check Periodo Ref.]="Dentro",DATOS_[TOTAL Retrib Eq],0)))), 0)</f>
        <v>0</v>
      </c>
    </row>
    <row r="11" customFormat="false" ht="14.25" hidden="false" customHeight="false" outlineLevel="0" collapsed="false">
      <c r="B11" s="289" t="s">
        <v>372</v>
      </c>
      <c r="C11" s="290" t="n">
        <f aca="false" t="array" ref="C11:C11">SUM(IF($B11=DATOS_[Sexo], IF("Dentro"=DATOS_[Check Periodo Ref.], 1/(COUNTIFS(DATOS_[Sexo],$B11,DATOS_[Check Periodo Ref.],"Dentro",DATOS_[id],DATOS_[id])))))</f>
        <v>0</v>
      </c>
      <c r="D11" s="291" t="n">
        <f aca="false">COUNTIFS(DATOS_[AGRUP. CLAS. PROF.],"&lt;&gt;",DATOS_[Sexo],$B11,DATOS_[Check Periodo Ref.],"Dentro")</f>
        <v>0</v>
      </c>
      <c r="E11" s="291" t="n">
        <f aca="false">COUNTIFS(DATOS_[AGRUP. CLAS. PROF.],"&lt;&gt;",DATOS_[Sexo],$B11,DATOS_[Check Periodo Ref.],"Dentro",DATOS_[Check Nº SC Norm],"Sí")</f>
        <v>0</v>
      </c>
      <c r="F11" s="291" t="n">
        <f aca="false">COUNTIFS(DATOS_[AGRUP. CLAS. PROF.],"&lt;&gt;",DATOS_[Sexo],$B11,DATOS_[Check Periodo Ref.],"Dentro",DATOS_[Check Nº SC Anualiz],"Sí")</f>
        <v>0</v>
      </c>
      <c r="G11" s="291" t="n">
        <f aca="false">COUNTIFS(DATOS_[AGRUP. CLAS. PROF.],"&lt;&gt;",DATOS_[Sexo],$B11,DATOS_[Check Periodo Ref.],"Dentro",DATOS_[Check Nº SC Norm y Anualiz],"Sí")</f>
        <v>0</v>
      </c>
      <c r="H11" s="291" t="n">
        <f aca="false">COUNTIFS(DATOS_[AGRUP. CLAS. PROF.],"&lt;&gt;",DATOS_[Sexo],$B11,DATOS_[Check Periodo Ref.],"Dentro",DATOS_[Check Equiparación],"Sí")</f>
        <v>0</v>
      </c>
      <c r="I11" s="292" t="n">
        <f aca="false" t="array" ref="I11:I11">IFERROR( AVERAGE(IF(DATOS_[Sexo]=$B11,IF(DATOS_[Check Equiparado]="Sí",IF(DATOS_[Check Periodo Ref.]="Dentro",DATOS_[SALARIO BASE Eq],0)))), 0)</f>
        <v>0</v>
      </c>
      <c r="J11" s="293" t="n">
        <f aca="false" t="array" ref="J11:J11">IFERROR( (AVERAGE((IF(DATOS_[[Sexo]:[Sexo]]=$B11,IF(DATOS_[[Check Periodo Ref.]:[Check Periodo Ref.]]="Dentro",IF(DATOS_[[Check Equiparado]:[Check Equiparado]]="Sí",IF(DATOS!AE$4="Sí",(1/DATOS_[[% anualiz]:[% anualiz]]),1)*IF(DATOS!AE$5="Sí",1/DATOS_[[% normaliz]:[% normaliz]],1)*(DATOS_[Conc.Sal.01]))))))), 0)</f>
        <v>0</v>
      </c>
      <c r="K11" s="293" t="n">
        <f aca="false" t="array" ref="K11:K11">IFERROR( (AVERAGE((IF(DATOS_[[Sexo]:[Sexo]]=$B11,IF(DATOS_[[Check Periodo Ref.]:[Check Periodo Ref.]]="Dentro",IF(DATOS_[[Check Equiparado]:[Check Equiparado]]="Sí",IF(DATOS!AF$4="Sí",(1/DATOS_[[% anualiz]:[% anualiz]]),1)*IF(DATOS!AF$5="Sí",1/DATOS_[[% normaliz]:[% normaliz]],1)*(DATOS_[Conc.Sal.02]))))))), 0)</f>
        <v>0</v>
      </c>
      <c r="L11" s="293" t="n">
        <f aca="false" t="array" ref="L11:L11">IFERROR( (AVERAGE((IF(DATOS_[[Sexo]:[Sexo]]=$B11,IF(DATOS_[[Check Periodo Ref.]:[Check Periodo Ref.]]="Dentro",IF(DATOS_[[Check Equiparado]:[Check Equiparado]]="Sí",IF(DATOS!AG$4="Sí",(1/DATOS_[[% anualiz]:[% anualiz]]),1)*IF(DATOS!AG$5="Sí",1/DATOS_[[% normaliz]:[% normaliz]],1)*(DATOS_[Conc.Sal.03]))))))), 0)</f>
        <v>0</v>
      </c>
      <c r="M11" s="293" t="n">
        <f aca="false" t="array" ref="M11:M11">IFERROR( (AVERAGE((IF(DATOS_[[Sexo]:[Sexo]]=$B11,IF(DATOS_[[Check Periodo Ref.]:[Check Periodo Ref.]]="Dentro",IF(DATOS_[[Check Equiparado]:[Check Equiparado]]="Sí",IF(DATOS!AH$4="Sí",(1/DATOS_[[% anualiz]:[% anualiz]]),1)*IF(DATOS!AH$5="Sí",1/DATOS_[[% normaliz]:[% normaliz]],1)*(DATOS_[Conc.Sal.04]))))))), 0)</f>
        <v>0</v>
      </c>
      <c r="N11" s="293" t="n">
        <f aca="false" t="array" ref="N11:N11">IFERROR( (AVERAGE((IF(DATOS_[[Sexo]:[Sexo]]=$B11,IF(DATOS_[[Check Periodo Ref.]:[Check Periodo Ref.]]="Dentro",IF(DATOS_[[Check Equiparado]:[Check Equiparado]]="Sí",IF(DATOS!AI$4="Sí",(1/DATOS_[[% anualiz]:[% anualiz]]),1)*IF(DATOS!AI$5="Sí",1/DATOS_[[% normaliz]:[% normaliz]],1)*(DATOS_[Conc.Sal.05]))))))), 0)</f>
        <v>0</v>
      </c>
      <c r="O11" s="293" t="n">
        <f aca="false" t="array" ref="O11:O11">IFERROR( (AVERAGE((IF(DATOS_[[Sexo]:[Sexo]]=$B11,IF(DATOS_[[Check Periodo Ref.]:[Check Periodo Ref.]]="Dentro",IF(DATOS_[[Check Equiparado]:[Check Equiparado]]="Sí",IF(DATOS!AJ$4="Sí",(1/DATOS_[[% anualiz]:[% anualiz]]),1)*IF(DATOS!AJ$5="Sí",1/DATOS_[[% normaliz]:[% normaliz]],1)*(DATOS_[Conc.Sal.06]))))))), 0)</f>
        <v>0</v>
      </c>
      <c r="P11" s="293" t="n">
        <f aca="false" t="array" ref="P11:P11">IFERROR( (AVERAGE((IF(DATOS_[[Sexo]:[Sexo]]=$B11,IF(DATOS_[[Check Periodo Ref.]:[Check Periodo Ref.]]="Dentro",IF(DATOS_[[Check Equiparado]:[Check Equiparado]]="Sí",IF(DATOS!AK$4="Sí",(1/DATOS_[[% anualiz]:[% anualiz]]),1)*IF(DATOS!AK$5="Sí",1/DATOS_[[% normaliz]:[% normaliz]],1)*(DATOS_[Conc.Sal.07]))))))), 0)</f>
        <v>0</v>
      </c>
      <c r="Q11" s="293" t="n">
        <f aca="false" t="array" ref="Q11:Q11">IFERROR( (AVERAGE((IF(DATOS_[[Sexo]:[Sexo]]=$B11,IF(DATOS_[[Check Periodo Ref.]:[Check Periodo Ref.]]="Dentro",IF(DATOS_[[Check Equiparado]:[Check Equiparado]]="Sí",IF(DATOS!AL$4="Sí",(1/DATOS_[[% anualiz]:[% anualiz]]),1)*IF(DATOS!AL$5="Sí",1/DATOS_[[% normaliz]:[% normaliz]],1)*(DATOS_[Conc.Sal.08]))))))), 0)</f>
        <v>0</v>
      </c>
      <c r="R11" s="293" t="n">
        <f aca="false" t="array" ref="R11:R11">IFERROR( (AVERAGE((IF(DATOS_[[Sexo]:[Sexo]]=$B11,IF(DATOS_[[Check Periodo Ref.]:[Check Periodo Ref.]]="Dentro",IF(DATOS_[[Check Equiparado]:[Check Equiparado]]="Sí",IF(DATOS!AM$4="Sí",(1/DATOS_[[% anualiz]:[% anualiz]]),1)*IF(DATOS!AM$5="Sí",1/DATOS_[[% normaliz]:[% normaliz]],1)*(DATOS_[Conc.Sal.09]))))))), 0)</f>
        <v>0</v>
      </c>
      <c r="S11" s="293" t="n">
        <f aca="false" t="array" ref="S11:S11">IFERROR( (AVERAGE((IF(DATOS_[[Sexo]:[Sexo]]=$B11,IF(DATOS_[[Check Periodo Ref.]:[Check Periodo Ref.]]="Dentro",IF(DATOS_[[Check Equiparado]:[Check Equiparado]]="Sí",IF(DATOS!AN$4="Sí",(1/DATOS_[[% anualiz]:[% anualiz]]),1)*IF(DATOS!AN$5="Sí",1/DATOS_[[% normaliz]:[% normaliz]],1)*(DATOS_[Conc.Sal.10]))))))), 0)</f>
        <v>0</v>
      </c>
      <c r="T11" s="293" t="n">
        <f aca="false" t="array" ref="T11:T11">IFERROR( (AVERAGE((IF(DATOS_[[Sexo]:[Sexo]]=$B11,IF(DATOS_[[Check Periodo Ref.]:[Check Periodo Ref.]]="Dentro",IF(DATOS_[[Check Equiparado]:[Check Equiparado]]="Sí",IF(DATOS!AO$4="Sí",(1/DATOS_[[% anualiz]:[% anualiz]]),1)*IF(DATOS!AO$5="Sí",1/DATOS_[[% normaliz]:[% normaliz]],1)*(DATOS_[Conc.Sal.11]))))))), 0)</f>
        <v>0</v>
      </c>
      <c r="U11" s="293" t="n">
        <f aca="false" t="array" ref="U11:U11">IFERROR( (AVERAGE((IF(DATOS_[[Sexo]:[Sexo]]=$B11,IF(DATOS_[[Check Periodo Ref.]:[Check Periodo Ref.]]="Dentro",IF(DATOS_[[Check Equiparado]:[Check Equiparado]]="Sí",IF(DATOS!AP$4="Sí",(1/DATOS_[[% anualiz]:[% anualiz]]),1)*IF(DATOS!AP$5="Sí",1/DATOS_[[% normaliz]:[% normaliz]],1)*(DATOS_[Conc.Sal.12]))))))), 0)</f>
        <v>0</v>
      </c>
      <c r="V11" s="293" t="n">
        <f aca="false" t="array" ref="V11:V11">IFERROR( (AVERAGE((IF(DATOS_[[Sexo]:[Sexo]]=$B11,IF(DATOS_[[Check Periodo Ref.]:[Check Periodo Ref.]]="Dentro",IF(DATOS_[[Check Equiparado]:[Check Equiparado]]="Sí",IF(DATOS!AQ$4="Sí",(1/DATOS_[[% anualiz]:[% anualiz]]),1)*IF(DATOS!AQ$5="Sí",1/DATOS_[[% normaliz]:[% normaliz]],1)*(DATOS_[Conc.Sal.13]))))))), 0)</f>
        <v>0</v>
      </c>
      <c r="W11" s="293" t="n">
        <f aca="false" t="array" ref="W11:W11">IFERROR( (AVERAGE((IF(DATOS_[[Sexo]:[Sexo]]=$B11,IF(DATOS_[[Check Periodo Ref.]:[Check Periodo Ref.]]="Dentro",IF(DATOS_[[Check Equiparado]:[Check Equiparado]]="Sí",IF(DATOS!AR$4="Sí",(1/DATOS_[[% anualiz]:[% anualiz]]),1)*IF(DATOS!AR$5="Sí",1/DATOS_[[% normaliz]:[% normaliz]],1)*(DATOS_[Conc.Sal.14]))))))), 0)</f>
        <v>0</v>
      </c>
      <c r="X11" s="293" t="n">
        <f aca="false" t="array" ref="X11:X11">IFERROR( (AVERAGE((IF(DATOS_[[Sexo]:[Sexo]]=$B11,IF(DATOS_[[Check Periodo Ref.]:[Check Periodo Ref.]]="Dentro",IF(DATOS_[[Check Equiparado]:[Check Equiparado]]="Sí",IF(DATOS!AS$4="Sí",(1/DATOS_[[% anualiz]:[% anualiz]]),1)*IF(DATOS!AS$5="Sí",1/DATOS_[[% normaliz]:[% normaliz]],1)*(DATOS_[Conc.Sal.15]))))))), 0)</f>
        <v>0</v>
      </c>
      <c r="Y11" s="293" t="n">
        <f aca="false" t="array" ref="Y11:Y11">IFERROR( (AVERAGE((IF(DATOS_[[Sexo]:[Sexo]]=$B11,IF(DATOS_[[Check Periodo Ref.]:[Check Periodo Ref.]]="Dentro",IF(DATOS_[[Check Equiparado]:[Check Equiparado]]="Sí",IF(DATOS!AT$4="Sí",(1/DATOS_[[% anualiz]:[% anualiz]]),1)*IF(DATOS!AT$5="Sí",1/DATOS_[[% normaliz]:[% normaliz]],1)*(DATOS_[Conc.Sal.16]))))))), 0)</f>
        <v>0</v>
      </c>
      <c r="Z11" s="293" t="n">
        <f aca="false" t="array" ref="Z11:Z11">IFERROR( (AVERAGE((IF(DATOS_[[Sexo]:[Sexo]]=$B11,IF(DATOS_[[Check Periodo Ref.]:[Check Periodo Ref.]]="Dentro",IF(DATOS_[[Check Equiparado]:[Check Equiparado]]="Sí",IF(DATOS!AU$4="Sí",(1/DATOS_[[% anualiz]:[% anualiz]]),1)*IF(DATOS!AU$5="Sí",1/DATOS_[[% normaliz]:[% normaliz]],1)*(DATOS_[Conc.Sal.17]))))))), 0)</f>
        <v>0</v>
      </c>
      <c r="AA11" s="293" t="n">
        <f aca="false" t="array" ref="AA11:AA11">IFERROR( (AVERAGE((IF(DATOS_[[Sexo]:[Sexo]]=$B11,IF(DATOS_[[Check Periodo Ref.]:[Check Periodo Ref.]]="Dentro",IF(DATOS_[[Check Equiparado]:[Check Equiparado]]="Sí",IF(DATOS!AV$4="Sí",(1/DATOS_[[% anualiz]:[% anualiz]]),1)*IF(DATOS!AV$5="Sí",1/DATOS_[[% normaliz]:[% normaliz]],1)*(DATOS_[Conc.Sal.18]))))))), 0)</f>
        <v>0</v>
      </c>
      <c r="AB11" s="293" t="n">
        <f aca="false" t="array" ref="AB11:AB11">IFERROR( (AVERAGE((IF(DATOS_[[Sexo]:[Sexo]]=$B11,IF(DATOS_[[Check Periodo Ref.]:[Check Periodo Ref.]]="Dentro",IF(DATOS_[[Check Equiparado]:[Check Equiparado]]="Sí",IF(DATOS!AW$4="Sí",(1/DATOS_[[% anualiz]:[% anualiz]]),1)*IF(DATOS!AW$5="Sí",1/DATOS_[[% normaliz]:[% normaliz]],1)*(DATOS_[Conc.Sal.19]))))))), 0)</f>
        <v>0</v>
      </c>
      <c r="AC11" s="293" t="n">
        <f aca="false" t="array" ref="AC11:AC11">IFERROR( (AVERAGE((IF(DATOS_[[Sexo]:[Sexo]]=$B11,IF(DATOS_[[Check Periodo Ref.]:[Check Periodo Ref.]]="Dentro",IF(DATOS_[[Check Equiparado]:[Check Equiparado]]="Sí",IF(DATOS!AX$4="Sí",(1/DATOS_[[% anualiz]:[% anualiz]]),1)*IF(DATOS!AX$5="Sí",1/DATOS_[[% normaliz]:[% normaliz]],1)*(DATOS_[Conc.Sal.20]))))))), 0)</f>
        <v>0</v>
      </c>
      <c r="AD11" s="293" t="n">
        <f aca="false" t="array" ref="AD11:AD11">IFERROR( (AVERAGE((IF(DATOS_[[Sexo]:[Sexo]]=$B11,IF(DATOS_[[Check Periodo Ref.]:[Check Periodo Ref.]]="Dentro",IF(DATOS_[[Check Equiparado]:[Check Equiparado]]="Sí",IF(DATOS!AY$4="Sí",(1/DATOS_[[% anualiz]:[% anualiz]]),1)*IF(DATOS!AY$5="Sí",1/DATOS_[[% normaliz]:[% normaliz]],1)*(DATOS_[Conc.Sal.21]))))))), 0)</f>
        <v>0</v>
      </c>
      <c r="AE11" s="293" t="n">
        <f aca="false" t="array" ref="AE11:AE11">IFERROR( (AVERAGE((IF(DATOS_[[Sexo]:[Sexo]]=$B11,IF(DATOS_[[Check Periodo Ref.]:[Check Periodo Ref.]]="Dentro",IF(DATOS_[[Check Equiparado]:[Check Equiparado]]="Sí",IF(DATOS!AZ$4="Sí",(1/DATOS_[[% anualiz]:[% anualiz]]),1)*IF(DATOS!AZ$5="Sí",1/DATOS_[[% normaliz]:[% normaliz]],1)*(DATOS_[Conc.Sal.22]))))))), 0)</f>
        <v>0</v>
      </c>
      <c r="AF11" s="293" t="n">
        <f aca="false" t="array" ref="AF11:AF11">IFERROR( (AVERAGE((IF(DATOS_[[Sexo]:[Sexo]]=$B11,IF(DATOS_[[Check Periodo Ref.]:[Check Periodo Ref.]]="Dentro",IF(DATOS_[[Check Equiparado]:[Check Equiparado]]="Sí",IF(DATOS!BA$4="Sí",(1/DATOS_[[% anualiz]:[% anualiz]]),1)*IF(DATOS!BA$5="Sí",1/DATOS_[[% normaliz]:[% normaliz]],1)*(DATOS_[Conc.Sal.23]))))))), 0)</f>
        <v>0</v>
      </c>
      <c r="AG11" s="293" t="n">
        <f aca="false" t="array" ref="AG11:AG11">IFERROR( (AVERAGE((IF(DATOS_[[Sexo]:[Sexo]]=$B11,IF(DATOS_[[Check Periodo Ref.]:[Check Periodo Ref.]]="Dentro",IF(DATOS_[[Check Equiparado]:[Check Equiparado]]="Sí",IF(DATOS!BB$4="Sí",(1/DATOS_[[% anualiz]:[% anualiz]]),1)*IF(DATOS!BB$5="Sí",1/DATOS_[[% normaliz]:[% normaliz]],1)*(DATOS_[Conc.Sal.24]))))))), 0)</f>
        <v>0</v>
      </c>
      <c r="AH11" s="293" t="n">
        <f aca="false" t="array" ref="AH11:AH11">IFERROR( (AVERAGE((IF(DATOS_[[Sexo]:[Sexo]]=$B11,IF(DATOS_[[Check Periodo Ref.]:[Check Periodo Ref.]]="Dentro",IF(DATOS_[[Check Equiparado]:[Check Equiparado]]="Sí",IF(DATOS!BC$4="Sí",(1/DATOS_[[% anualiz]:[% anualiz]]),1)*IF(DATOS!BC$5="Sí",1/DATOS_[[% normaliz]:[% normaliz]],1)*(DATOS_[Conc.Sal.25]))))))), 0)</f>
        <v>0</v>
      </c>
      <c r="AI11" s="293" t="n">
        <f aca="false" t="array" ref="AI11:AI11">IFERROR( (AVERAGE((IF(DATOS_[[Sexo]:[Sexo]]=$B11,IF(DATOS_[[Check Periodo Ref.]:[Check Periodo Ref.]]="Dentro",IF(DATOS_[[Check Equiparado]:[Check Equiparado]]="Sí",IF(DATOS!BD$4="Sí",(1/DATOS_[[% anualiz]:[% anualiz]]),1)*IF(DATOS!BD$5="Sí",1/DATOS_[[% normaliz]:[% normaliz]],1)*(DATOS_[Conc.Sal.26]))))))), 0)</f>
        <v>0</v>
      </c>
      <c r="AJ11" s="293" t="n">
        <f aca="false" t="array" ref="AJ11:AJ11">IFERROR( (AVERAGE((IF(DATOS_[[Sexo]:[Sexo]]=$B11,IF(DATOS_[[Check Periodo Ref.]:[Check Periodo Ref.]]="Dentro",IF(DATOS_[[Check Equiparado]:[Check Equiparado]]="Sí",IF(DATOS!BE$4="Sí",(1/DATOS_[[% anualiz]:[% anualiz]]),1)*IF(DATOS!BE$5="Sí",1/DATOS_[[% normaliz]:[% normaliz]],1)*(DATOS_[Conc.Sal.27]))))))), 0)</f>
        <v>0</v>
      </c>
      <c r="AK11" s="293" t="n">
        <f aca="false" t="array" ref="AK11:AK11">IFERROR( (AVERAGE((IF(DATOS_[[Sexo]:[Sexo]]=$B11,IF(DATOS_[[Check Periodo Ref.]:[Check Periodo Ref.]]="Dentro",IF(DATOS_[[Check Equiparado]:[Check Equiparado]]="Sí",IF(DATOS!BF$4="Sí",(1/DATOS_[[% anualiz]:[% anualiz]]),1)*IF(DATOS!BF$5="Sí",1/DATOS_[[% normaliz]:[% normaliz]],1)*(DATOS_[Conc.Sal.28]))))))), 0)</f>
        <v>0</v>
      </c>
      <c r="AL11" s="293" t="n">
        <f aca="false" t="array" ref="AL11:AL11">IFERROR( (AVERAGE((IF(DATOS_[[Sexo]:[Sexo]]=$B11,IF(DATOS_[[Check Periodo Ref.]:[Check Periodo Ref.]]="Dentro",IF(DATOS_[[Check Equiparado]:[Check Equiparado]]="Sí",IF(DATOS!BG$4="Sí",(1/DATOS_[[% anualiz]:[% anualiz]]),1)*IF(DATOS!BG$5="Sí",1/DATOS_[[% normaliz]:[% normaliz]],1)*(DATOS_[Conc.Sal.29]))))))), 0)</f>
        <v>0</v>
      </c>
      <c r="AM11" s="293" t="n">
        <f aca="false" t="array" ref="AM11:AM11">IFERROR( (AVERAGE((IF(DATOS_[[Sexo]:[Sexo]]=$B11,IF(DATOS_[[Check Periodo Ref.]:[Check Periodo Ref.]]="Dentro",IF(DATOS_[[Check Equiparado]:[Check Equiparado]]="Sí",IF(DATOS!BH$4="Sí",(1/DATOS_[[% anualiz]:[% anualiz]]),1)*IF(DATOS!BH$5="Sí",1/DATOS_[[% normaliz]:[% normaliz]],1)*(DATOS_[Conc.Sal.30]))))))), 0)</f>
        <v>0</v>
      </c>
      <c r="AN11" s="294" t="n">
        <f aca="false" t="array" ref="AN11:AN11">IFERROR( AVERAGE(IF(DATOS_[Sexo]=$B11,IF(DATOS_[Check Equiparado]="Sí",IF(DATOS_[Check Periodo Ref.]="Dentro",DATOS_[Tot COMPL.SAL Eq],0)))), 0)</f>
        <v>0</v>
      </c>
      <c r="AO11" s="295" t="n">
        <f aca="false" t="array" ref="AO11:AO11">IFERROR( AVERAGE(IF(DATOS_[Sexo]=$B11,IF(DATOS_[Check Equiparado]="Sí",IF(DATOS_[Check Periodo Ref.]="Dentro",DATOS_[TOTAL SALARIO Eq],0)))), 0)</f>
        <v>0</v>
      </c>
      <c r="AP11" s="296" t="n">
        <f aca="false" t="array" ref="AP11:AP11">IFERROR( (AVERAGE((IF(DATOS_[[Sexo]:[Sexo]]=$B11,IF(DATOS_[[Check Periodo Ref.]:[Check Periodo Ref.]]="Dentro",IF(DATOS_[[Check Equiparado]:[Check Equiparado]]="Sí",IF(DATOS!BI$4="Sí",(1/DATOS_[[% anualiz]:[% anualiz]]),1)*IF(DATOS!BI$5="Sí",1/DATOS_[[% normaliz]:[% normaliz]],1)*(DATOS_[C.Extra.01]))))))), 0)</f>
        <v>0</v>
      </c>
      <c r="AQ11" s="296" t="n">
        <f aca="false" t="array" ref="AQ11:AQ11">IFERROR( (AVERAGE((IF(DATOS_[[Sexo]:[Sexo]]=$B11,IF(DATOS_[[Check Periodo Ref.]:[Check Periodo Ref.]]="Dentro",IF(DATOS_[[Check Equiparado]:[Check Equiparado]]="Sí",IF(DATOS!BJ$4="Sí",(1/DATOS_[[% anualiz]:[% anualiz]]),1)*IF(DATOS!BJ$5="Sí",1/DATOS_[[% normaliz]:[% normaliz]],1)*(DATOS_[C.Extra.02]))))))), 0)</f>
        <v>0</v>
      </c>
      <c r="AR11" s="296" t="n">
        <f aca="false" t="array" ref="AR11:AR11">IFERROR( (AVERAGE((IF(DATOS_[[Sexo]:[Sexo]]=$B11,IF(DATOS_[[Check Periodo Ref.]:[Check Periodo Ref.]]="Dentro",IF(DATOS_[[Check Equiparado]:[Check Equiparado]]="Sí",IF(DATOS!BK$4="Sí",(1/DATOS_[[% anualiz]:[% anualiz]]),1)*IF(DATOS!BK$5="Sí",1/DATOS_[[% normaliz]:[% normaliz]],1)*(DATOS_[C.Extra.03]))))))), 0)</f>
        <v>0</v>
      </c>
      <c r="AS11" s="296" t="n">
        <f aca="false" t="array" ref="AS11:AS11">IFERROR( (AVERAGE((IF(DATOS_[[Sexo]:[Sexo]]=$B11,IF(DATOS_[[Check Periodo Ref.]:[Check Periodo Ref.]]="Dentro",IF(DATOS_[[Check Equiparado]:[Check Equiparado]]="Sí",IF(DATOS!BL$4="Sí",(1/DATOS_[[% anualiz]:[% anualiz]]),1)*IF(DATOS!BL$5="Sí",1/DATOS_[[% normaliz]:[% normaliz]],1)*(DATOS_[C.Extra.04]))))))), 0)</f>
        <v>0</v>
      </c>
      <c r="AT11" s="296" t="n">
        <f aca="false" t="array" ref="AT11:AT11">IFERROR( (AVERAGE((IF(DATOS_[[Sexo]:[Sexo]]=$B11,IF(DATOS_[[Check Periodo Ref.]:[Check Periodo Ref.]]="Dentro",IF(DATOS_[[Check Equiparado]:[Check Equiparado]]="Sí",IF(DATOS!BM$4="Sí",(1/DATOS_[[% anualiz]:[% anualiz]]),1)*IF(DATOS!BM$5="Sí",1/DATOS_[[% normaliz]:[% normaliz]],1)*(DATOS_[C.Extra.05]))))))), 0)</f>
        <v>0</v>
      </c>
      <c r="AU11" s="297" t="n">
        <f aca="false" t="array" ref="AU11:AU11">IFERROR( AVERAGE(IF(DATOS_[Sexo]=$B11,IF(DATOS_[Check Equiparado]="Sí",IF(DATOS_[Check Periodo Ref.]="Dentro",DATOS_[Tot Extrasalarial Eq],0)))), 0)</f>
        <v>0</v>
      </c>
      <c r="AV11" s="298" t="n">
        <f aca="false" t="array" ref="AV11:AV11">IFERROR( AVERAGE(IF(DATOS_[Sexo]=$B11,IF(DATOS_[Check Equiparado]="Sí",IF(DATOS_[Check Periodo Ref.]="Dentro",DATOS_[TOTAL Retrib Eq],0)))), 0)</f>
        <v>0</v>
      </c>
    </row>
    <row r="12" customFormat="false" ht="14.25" hidden="false" customHeight="false" outlineLevel="0" collapsed="false">
      <c r="D12" s="299"/>
      <c r="E12" s="299"/>
      <c r="F12" s="299"/>
      <c r="G12" s="299"/>
      <c r="H12" s="299"/>
      <c r="N12" s="300"/>
      <c r="O12" s="301"/>
      <c r="P12" s="301"/>
      <c r="Q12" s="301"/>
      <c r="R12" s="301"/>
      <c r="S12" s="301"/>
      <c r="T12" s="301"/>
      <c r="U12" s="301"/>
      <c r="V12" s="301"/>
      <c r="W12" s="301"/>
      <c r="X12" s="301"/>
      <c r="Y12" s="301"/>
      <c r="Z12" s="300"/>
      <c r="AA12" s="300"/>
      <c r="AB12" s="300"/>
      <c r="AC12" s="300"/>
      <c r="AD12" s="300"/>
      <c r="AE12" s="300"/>
      <c r="AF12" s="300"/>
      <c r="AG12" s="300"/>
      <c r="AH12" s="300"/>
      <c r="AI12" s="300"/>
      <c r="AJ12" s="300"/>
      <c r="AK12" s="300"/>
      <c r="AL12" s="300"/>
      <c r="AM12" s="300"/>
      <c r="AP12" s="301"/>
      <c r="AQ12" s="301"/>
      <c r="AR12" s="301"/>
      <c r="AS12" s="301"/>
      <c r="AT12" s="301"/>
    </row>
    <row r="13" customFormat="false" ht="14.25" hidden="false" customHeight="false" outlineLevel="0" collapsed="false">
      <c r="D13" s="299"/>
      <c r="E13" s="299"/>
      <c r="F13" s="299"/>
      <c r="G13" s="299"/>
      <c r="H13" s="299"/>
      <c r="N13" s="300"/>
      <c r="O13" s="301"/>
      <c r="P13" s="301"/>
      <c r="Q13" s="301"/>
      <c r="R13" s="301"/>
      <c r="S13" s="301"/>
      <c r="T13" s="301"/>
      <c r="U13" s="301"/>
      <c r="V13" s="301"/>
      <c r="W13" s="301"/>
      <c r="X13" s="301"/>
      <c r="Y13" s="301"/>
      <c r="Z13" s="300"/>
      <c r="AA13" s="300"/>
      <c r="AB13" s="300"/>
      <c r="AC13" s="300"/>
      <c r="AD13" s="300"/>
      <c r="AE13" s="300"/>
      <c r="AF13" s="300"/>
      <c r="AG13" s="300"/>
      <c r="AH13" s="300"/>
      <c r="AI13" s="300"/>
      <c r="AJ13" s="300"/>
      <c r="AK13" s="300"/>
      <c r="AL13" s="300"/>
      <c r="AM13" s="300"/>
      <c r="AP13" s="301"/>
      <c r="AQ13" s="301"/>
      <c r="AR13" s="301"/>
      <c r="AS13" s="301"/>
      <c r="AT13" s="301"/>
    </row>
    <row r="14" s="267" customFormat="true" ht="46.15" hidden="false" customHeight="true" outlineLevel="0" collapsed="false">
      <c r="B14" s="268"/>
      <c r="C14" s="268" t="s">
        <v>368</v>
      </c>
      <c r="D14" s="268" t="s">
        <v>369</v>
      </c>
      <c r="E14" s="268" t="s">
        <v>260</v>
      </c>
      <c r="F14" s="268" t="s">
        <v>262</v>
      </c>
      <c r="G14" s="268" t="s">
        <v>264</v>
      </c>
      <c r="H14" s="268" t="s">
        <v>373</v>
      </c>
      <c r="I14" s="269" t="s">
        <v>268</v>
      </c>
      <c r="J14" s="270" t="str">
        <f aca="false">+J8</f>
        <v>[ocultar]</v>
      </c>
      <c r="K14" s="270" t="str">
        <f aca="false">+K8</f>
        <v>[ocultar]</v>
      </c>
      <c r="L14" s="270" t="str">
        <f aca="false">+L8</f>
        <v>[ocultar]</v>
      </c>
      <c r="M14" s="270" t="str">
        <f aca="false">+M8</f>
        <v>[ocultar]</v>
      </c>
      <c r="N14" s="270" t="str">
        <f aca="false">+N8</f>
        <v>[ocultar]</v>
      </c>
      <c r="O14" s="270" t="str">
        <f aca="false">+O8</f>
        <v>[ocultar]</v>
      </c>
      <c r="P14" s="270" t="str">
        <f aca="false">+P8</f>
        <v>[ocultar]</v>
      </c>
      <c r="Q14" s="270" t="str">
        <f aca="false">+Q8</f>
        <v>[ocultar]</v>
      </c>
      <c r="R14" s="270" t="str">
        <f aca="false">+R8</f>
        <v>[ocultar]</v>
      </c>
      <c r="S14" s="270" t="str">
        <f aca="false">+S8</f>
        <v>[ocultar]</v>
      </c>
      <c r="T14" s="270" t="str">
        <f aca="false">+T8</f>
        <v>[ocultar]</v>
      </c>
      <c r="U14" s="270" t="str">
        <f aca="false">+U8</f>
        <v>[ocultar]</v>
      </c>
      <c r="V14" s="270" t="str">
        <f aca="false">+V8</f>
        <v>[ocultar]</v>
      </c>
      <c r="W14" s="270" t="str">
        <f aca="false">+W8</f>
        <v>[ocultar]</v>
      </c>
      <c r="X14" s="270" t="str">
        <f aca="false">+X8</f>
        <v>[ocultar]</v>
      </c>
      <c r="Y14" s="270" t="str">
        <f aca="false">+Y8</f>
        <v>[ocultar]</v>
      </c>
      <c r="Z14" s="270" t="str">
        <f aca="false">+Z8</f>
        <v>[ocultar]</v>
      </c>
      <c r="AA14" s="270" t="str">
        <f aca="false">+AA8</f>
        <v>[ocultar]</v>
      </c>
      <c r="AB14" s="270" t="str">
        <f aca="false">+AB8</f>
        <v>[ocultar]</v>
      </c>
      <c r="AC14" s="270" t="str">
        <f aca="false">+AC8</f>
        <v>[ocultar]</v>
      </c>
      <c r="AD14" s="270" t="str">
        <f aca="false">+AD8</f>
        <v>[ocultar]</v>
      </c>
      <c r="AE14" s="270" t="str">
        <f aca="false">+AE8</f>
        <v>[ocultar]</v>
      </c>
      <c r="AF14" s="270" t="str">
        <f aca="false">+AF8</f>
        <v>[ocultar]</v>
      </c>
      <c r="AG14" s="270" t="str">
        <f aca="false">+AG8</f>
        <v>[ocultar]</v>
      </c>
      <c r="AH14" s="270" t="str">
        <f aca="false">+AH8</f>
        <v>[ocultar]</v>
      </c>
      <c r="AI14" s="270" t="str">
        <f aca="false">+AI8</f>
        <v>[ocultar]</v>
      </c>
      <c r="AJ14" s="270" t="str">
        <f aca="false">+AJ8</f>
        <v>[ocultar]</v>
      </c>
      <c r="AK14" s="270" t="str">
        <f aca="false">+AK8</f>
        <v>[ocultar]</v>
      </c>
      <c r="AL14" s="270" t="str">
        <f aca="false">+AL8</f>
        <v>[ocultar]</v>
      </c>
      <c r="AM14" s="270" t="str">
        <f aca="false">+AM8</f>
        <v>[ocultar]</v>
      </c>
      <c r="AN14" s="271" t="s">
        <v>269</v>
      </c>
      <c r="AO14" s="272" t="s">
        <v>270</v>
      </c>
      <c r="AP14" s="273" t="str">
        <f aca="false">+AP8</f>
        <v>[ocultar]</v>
      </c>
      <c r="AQ14" s="273" t="str">
        <f aca="false">+AQ8</f>
        <v>[ocultar]</v>
      </c>
      <c r="AR14" s="273" t="str">
        <f aca="false">+AR8</f>
        <v>[ocultar]</v>
      </c>
      <c r="AS14" s="273" t="str">
        <f aca="false">+AS8</f>
        <v>[ocultar]</v>
      </c>
      <c r="AT14" s="273" t="str">
        <f aca="false">+AT8</f>
        <v>[ocultar]</v>
      </c>
      <c r="AU14" s="274" t="s">
        <v>271</v>
      </c>
      <c r="AV14" s="275" t="s">
        <v>272</v>
      </c>
    </row>
    <row r="15" customFormat="false" ht="15.75" hidden="false" customHeight="false" outlineLevel="0" collapsed="false">
      <c r="A15" s="166" t="str">
        <f aca="false">+A16</f>
        <v>[ocultar]</v>
      </c>
      <c r="B15" s="276" t="s">
        <v>173</v>
      </c>
      <c r="C15" s="277"/>
      <c r="D15" s="278"/>
      <c r="E15" s="278"/>
      <c r="F15" s="278"/>
      <c r="G15" s="278"/>
      <c r="H15" s="278"/>
      <c r="I15" s="279" t="str">
        <f aca="false">IFERROR((I16-I17)/I16,"")</f>
        <v/>
      </c>
      <c r="J15" s="280" t="str">
        <f aca="false">IFERROR((J16-J17)/J16,"")</f>
        <v/>
      </c>
      <c r="K15" s="281" t="str">
        <f aca="false">IFERROR((K16-K17)/K16,"")</f>
        <v/>
      </c>
      <c r="L15" s="281" t="str">
        <f aca="false">IFERROR((L16-L17)/L16,"")</f>
        <v/>
      </c>
      <c r="M15" s="281" t="str">
        <f aca="false">IFERROR((M16-M17)/M16,"")</f>
        <v/>
      </c>
      <c r="N15" s="282" t="str">
        <f aca="false">IFERROR((N16-N17)/N16,"")</f>
        <v/>
      </c>
      <c r="O15" s="283" t="str">
        <f aca="false">IFERROR((O16-O17)/O16,"")</f>
        <v/>
      </c>
      <c r="P15" s="283" t="str">
        <f aca="false">IFERROR((P16-P17)/P16,"")</f>
        <v/>
      </c>
      <c r="Q15" s="283" t="str">
        <f aca="false">IFERROR((Q16-Q17)/Q16,"")</f>
        <v/>
      </c>
      <c r="R15" s="283" t="str">
        <f aca="false">IFERROR((R16-R17)/R16,"")</f>
        <v/>
      </c>
      <c r="S15" s="283" t="str">
        <f aca="false">IFERROR((S16-S17)/S16,"")</f>
        <v/>
      </c>
      <c r="T15" s="283" t="str">
        <f aca="false">IFERROR((T16-T17)/T16,"")</f>
        <v/>
      </c>
      <c r="U15" s="283" t="str">
        <f aca="false">IFERROR((U16-U17)/U16,"")</f>
        <v/>
      </c>
      <c r="V15" s="283" t="str">
        <f aca="false">IFERROR((V16-V17)/V16,"")</f>
        <v/>
      </c>
      <c r="W15" s="283" t="str">
        <f aca="false">IFERROR((W16-W17)/W16,"")</f>
        <v/>
      </c>
      <c r="X15" s="283" t="str">
        <f aca="false">IFERROR((X16-X17)/X16,"")</f>
        <v/>
      </c>
      <c r="Y15" s="283" t="str">
        <f aca="false">IFERROR((Y16-Y17)/Y16,"")</f>
        <v/>
      </c>
      <c r="Z15" s="282" t="str">
        <f aca="false">IFERROR((Z16-Z17)/Z16,"")</f>
        <v/>
      </c>
      <c r="AA15" s="282" t="str">
        <f aca="false">IFERROR((AA16-AA17)/AA16,"")</f>
        <v/>
      </c>
      <c r="AB15" s="282" t="str">
        <f aca="false">IFERROR((AB16-AB17)/AB16,"")</f>
        <v/>
      </c>
      <c r="AC15" s="282" t="str">
        <f aca="false">IFERROR((AC16-AC17)/AC16,"")</f>
        <v/>
      </c>
      <c r="AD15" s="282" t="str">
        <f aca="false">IFERROR((AD16-AD17)/AD16,"")</f>
        <v/>
      </c>
      <c r="AE15" s="282" t="str">
        <f aca="false">IFERROR((AE16-AE17)/AE16,"")</f>
        <v/>
      </c>
      <c r="AF15" s="282" t="str">
        <f aca="false">IFERROR((AF16-AF17)/AF16,"")</f>
        <v/>
      </c>
      <c r="AG15" s="282" t="str">
        <f aca="false">IFERROR((AG16-AG17)/AG16,"")</f>
        <v/>
      </c>
      <c r="AH15" s="282" t="str">
        <f aca="false">IFERROR((AH16-AH17)/AH16,"")</f>
        <v/>
      </c>
      <c r="AI15" s="282" t="str">
        <f aca="false">IFERROR((AI16-AI17)/AI16,"")</f>
        <v/>
      </c>
      <c r="AJ15" s="282" t="str">
        <f aca="false">IFERROR((AJ16-AJ17)/AJ16,"")</f>
        <v/>
      </c>
      <c r="AK15" s="282" t="str">
        <f aca="false">IFERROR((AK16-AK17)/AK16,"")</f>
        <v/>
      </c>
      <c r="AL15" s="282" t="str">
        <f aca="false">IFERROR((AL16-AL17)/AL16,"")</f>
        <v/>
      </c>
      <c r="AM15" s="282" t="str">
        <f aca="false">IFERROR((AM16-AM17)/AM16,"")</f>
        <v/>
      </c>
      <c r="AN15" s="284" t="str">
        <f aca="false">IFERROR((AN16-AN17)/AN16,"")</f>
        <v/>
      </c>
      <c r="AO15" s="285" t="str">
        <f aca="false">IFERROR((AO16-AO17)/AO16,"")</f>
        <v/>
      </c>
      <c r="AP15" s="286" t="str">
        <f aca="false">IFERROR((AP16-AP17)/AP16,"")</f>
        <v/>
      </c>
      <c r="AQ15" s="286" t="str">
        <f aca="false">IFERROR((AQ16-AQ17)/AQ16,"")</f>
        <v/>
      </c>
      <c r="AR15" s="286" t="str">
        <f aca="false">IFERROR((AR16-AR17)/AR16,"")</f>
        <v/>
      </c>
      <c r="AS15" s="286" t="str">
        <f aca="false">IFERROR((AS16-AS17)/AS16,"")</f>
        <v/>
      </c>
      <c r="AT15" s="286" t="str">
        <f aca="false">IFERROR((AT16-AT17)/AT16,"")</f>
        <v/>
      </c>
      <c r="AU15" s="287" t="str">
        <f aca="false">IFERROR((AU16-AU17)/AU16,"")</f>
        <v/>
      </c>
      <c r="AV15" s="288" t="str">
        <f aca="false">IFERROR((AV16-AV17)/AV16,"")</f>
        <v/>
      </c>
    </row>
    <row r="16" customFormat="false" ht="14.25" hidden="false" customHeight="false" outlineLevel="0" collapsed="false">
      <c r="A16" s="166" t="str">
        <f aca="false">+IF(C16+C17=0,"[ocultar]","")</f>
        <v>[ocultar]</v>
      </c>
      <c r="B16" s="289" t="s">
        <v>371</v>
      </c>
      <c r="C16" s="290" t="n">
        <f aca="false" t="array" ref="C16:C16">SUM(IF($B16=DATOS_[Sexo], IF($B15=DATOS_[AGRUP. CLAS. PROF.], IF("Dentro"=DATOS_[Check Periodo Ref.], 1/(COUNTIFS(DATOS_[Sexo],$B16,DATOS_[AGRUP. CLAS. PROF.],$B15,DATOS_[Check Periodo Ref.],"Dentro",DATOS_[id],DATOS_[id]))))))</f>
        <v>0</v>
      </c>
      <c r="D16" s="291" t="n">
        <f aca="false">COUNTIFS(DATOS_[AGRUP. CLAS. PROF.],$B15,DATOS_[Sexo],$B16,DATOS_[Check Periodo Ref.],"Dentro")</f>
        <v>0</v>
      </c>
      <c r="E16" s="291" t="n">
        <f aca="false">COUNTIFS(DATOS_[AGRUP. CLAS. PROF.],$B15,DATOS_[Sexo],$B16,DATOS_[Check Periodo Ref.],"Dentro",DATOS_[Check Nº SC Norm],"Sí")</f>
        <v>0</v>
      </c>
      <c r="F16" s="291" t="n">
        <f aca="false">COUNTIFS(DATOS_[AGRUP. CLAS. PROF.],$B15,DATOS_[Sexo],$B16,DATOS_[Check Periodo Ref.],"Dentro",DATOS_[Check Nº SC Anualiz],"Sí")</f>
        <v>0</v>
      </c>
      <c r="G16" s="291" t="n">
        <f aca="false">COUNTIFS(DATOS_[AGRUP. CLAS. PROF.],$B15,DATOS_[Sexo],$B16,DATOS_[Check Periodo Ref.],"Dentro",DATOS_[Check Nº SC Norm y Anualiz],"Sí")</f>
        <v>0</v>
      </c>
      <c r="H16" s="291" t="n">
        <f aca="false">COUNTIFS(DATOS_[AGRUP. CLAS. PROF.],$B15,DATOS_[Sexo],$B16,DATOS_[Check Periodo Ref.],"Dentro",DATOS_[Check Equiparación],"Sí")</f>
        <v>0</v>
      </c>
      <c r="I16" s="292" t="n">
        <f aca="false" t="array" ref="I16:I16">IFERROR( AVERAGE(IF(DATOS_[Sexo]=$B16,IF(DATOS_[[AGRUP. CLAS. PROF.]:[AGRUP. CLAS. PROF.]]=$B15,IF(DATOS_[Check Equiparado]="Sí",IF(DATOS_[Check Periodo Ref.]="Dentro",DATOS_[SALARIO BASE Eq],0))))), 0)</f>
        <v>0</v>
      </c>
      <c r="J16" s="302" t="n">
        <f aca="false" t="array" ref="J16:J16">IFERROR( (AVERAGE((IF(DATOS_[[Sexo]:[Sexo]]=$B16,IF(DATOS_[[AGRUP. CLAS. PROF.]:[AGRUP. CLAS. PROF.]]=$B15,IF(DATOS_[[Check Periodo Ref.]:[Check Periodo Ref.]]="Dentro",IF(DATOS_[[Check Equiparado]:[Check Equiparado]]="Sí",IF(DATOS!AE$4="Sí",(1/DATOS_[[% anualiz]:[% anualiz]]),1)*IF(DATOS!AE$5="Sí",1/DATOS_[[% normaliz]:[% normaliz]],1)*(DATOS_[Conc.Sal.01])))))))), 0)</f>
        <v>0</v>
      </c>
      <c r="K16" s="302" t="n">
        <f aca="false" t="array" ref="K16:K16">IFERROR( (AVERAGE((IF(DATOS_[[Sexo]:[Sexo]]=$B16,IF(DATOS_[[AGRUP. CLAS. PROF.]:[AGRUP. CLAS. PROF.]]=$B15,IF(DATOS_[[Check Periodo Ref.]:[Check Periodo Ref.]]="Dentro",IF(DATOS_[[Check Equiparado]:[Check Equiparado]]="Sí",IF(DATOS!AF$4="Sí",(1/DATOS_[[% anualiz]:[% anualiz]]),1)*IF(DATOS!AF$5="Sí",1/DATOS_[[% normaliz]:[% normaliz]],1)*(DATOS_[Conc.Sal.02])))))))), 0)</f>
        <v>0</v>
      </c>
      <c r="L16" s="302" t="n">
        <f aca="false" t="array" ref="L16:L16">IFERROR( (AVERAGE((IF(DATOS_[[Sexo]:[Sexo]]=$B16,IF(DATOS_[[AGRUP. CLAS. PROF.]:[AGRUP. CLAS. PROF.]]=$B15,IF(DATOS_[[Check Periodo Ref.]:[Check Periodo Ref.]]="Dentro",IF(DATOS_[[Check Equiparado]:[Check Equiparado]]="Sí",IF(DATOS!AG$4="Sí",(1/DATOS_[[% anualiz]:[% anualiz]]),1)*IF(DATOS!AG$5="Sí",1/DATOS_[[% normaliz]:[% normaliz]],1)*(DATOS_[Conc.Sal.03])))))))), 0)</f>
        <v>0</v>
      </c>
      <c r="M16" s="302" t="n">
        <f aca="false" t="array" ref="M16:M16">IFERROR( (AVERAGE((IF(DATOS_[[Sexo]:[Sexo]]=$B16,IF(DATOS_[[AGRUP. CLAS. PROF.]:[AGRUP. CLAS. PROF.]]=$B15,IF(DATOS_[[Check Periodo Ref.]:[Check Periodo Ref.]]="Dentro",IF(DATOS_[[Check Equiparado]:[Check Equiparado]]="Sí",IF(DATOS!AH$4="Sí",(1/DATOS_[[% anualiz]:[% anualiz]]),1)*IF(DATOS!AH$5="Sí",1/DATOS_[[% normaliz]:[% normaliz]],1)*(DATOS_[Conc.Sal.04])))))))), 0)</f>
        <v>0</v>
      </c>
      <c r="N16" s="302" t="n">
        <f aca="false" t="array" ref="N16:N16">IFERROR( (AVERAGE((IF(DATOS_[[Sexo]:[Sexo]]=$B16,IF(DATOS_[[AGRUP. CLAS. PROF.]:[AGRUP. CLAS. PROF.]]=$B15,IF(DATOS_[[Check Periodo Ref.]:[Check Periodo Ref.]]="Dentro",IF(DATOS_[[Check Equiparado]:[Check Equiparado]]="Sí",IF(DATOS!AI$4="Sí",(1/DATOS_[[% anualiz]:[% anualiz]]),1)*IF(DATOS!AI$5="Sí",1/DATOS_[[% normaliz]:[% normaliz]],1)*(DATOS_[Conc.Sal.05])))))))), 0)</f>
        <v>0</v>
      </c>
      <c r="O16" s="302" t="n">
        <f aca="false" t="array" ref="O16:O16">IFERROR( (AVERAGE((IF(DATOS_[[Sexo]:[Sexo]]=$B16,IF(DATOS_[[AGRUP. CLAS. PROF.]:[AGRUP. CLAS. PROF.]]=$B15,IF(DATOS_[[Check Periodo Ref.]:[Check Periodo Ref.]]="Dentro",IF(DATOS_[[Check Equiparado]:[Check Equiparado]]="Sí",IF(DATOS!AJ$4="Sí",(1/DATOS_[[% anualiz]:[% anualiz]]),1)*IF(DATOS!AJ$5="Sí",1/DATOS_[[% normaliz]:[% normaliz]],1)*(DATOS_[Conc.Sal.06])))))))), 0)</f>
        <v>0</v>
      </c>
      <c r="P16" s="302" t="n">
        <f aca="false" t="array" ref="P16:P16">IFERROR( (AVERAGE((IF(DATOS_[[Sexo]:[Sexo]]=$B16,IF(DATOS_[[AGRUP. CLAS. PROF.]:[AGRUP. CLAS. PROF.]]=$B15,IF(DATOS_[[Check Periodo Ref.]:[Check Periodo Ref.]]="Dentro",IF(DATOS_[[Check Equiparado]:[Check Equiparado]]="Sí",IF(DATOS!AK$4="Sí",(1/DATOS_[[% anualiz]:[% anualiz]]),1)*IF(DATOS!AK$5="Sí",1/DATOS_[[% normaliz]:[% normaliz]],1)*(DATOS_[Conc.Sal.07])))))))), 0)</f>
        <v>0</v>
      </c>
      <c r="Q16" s="302" t="n">
        <f aca="false" t="array" ref="Q16:Q16">IFERROR( (AVERAGE((IF(DATOS_[[Sexo]:[Sexo]]=$B16,IF(DATOS_[[AGRUP. CLAS. PROF.]:[AGRUP. CLAS. PROF.]]=$B15,IF(DATOS_[[Check Periodo Ref.]:[Check Periodo Ref.]]="Dentro",IF(DATOS_[[Check Equiparado]:[Check Equiparado]]="Sí",IF(DATOS!AL$4="Sí",(1/DATOS_[[% anualiz]:[% anualiz]]),1)*IF(DATOS!AL$5="Sí",1/DATOS_[[% normaliz]:[% normaliz]],1)*(DATOS_[Conc.Sal.08])))))))), 0)</f>
        <v>0</v>
      </c>
      <c r="R16" s="302" t="n">
        <f aca="false" t="array" ref="R16:R16">IFERROR( (AVERAGE((IF(DATOS_[[Sexo]:[Sexo]]=$B16,IF(DATOS_[[AGRUP. CLAS. PROF.]:[AGRUP. CLAS. PROF.]]=$B15,IF(DATOS_[[Check Periodo Ref.]:[Check Periodo Ref.]]="Dentro",IF(DATOS_[[Check Equiparado]:[Check Equiparado]]="Sí",IF(DATOS!AM$4="Sí",(1/DATOS_[[% anualiz]:[% anualiz]]),1)*IF(DATOS!AM$5="Sí",1/DATOS_[[% normaliz]:[% normaliz]],1)*(DATOS_[Conc.Sal.09])))))))), 0)</f>
        <v>0</v>
      </c>
      <c r="S16" s="302" t="n">
        <f aca="false" t="array" ref="S16:S16">IFERROR( (AVERAGE((IF(DATOS_[[Sexo]:[Sexo]]=$B16,IF(DATOS_[[AGRUP. CLAS. PROF.]:[AGRUP. CLAS. PROF.]]=$B15,IF(DATOS_[[Check Periodo Ref.]:[Check Periodo Ref.]]="Dentro",IF(DATOS_[[Check Equiparado]:[Check Equiparado]]="Sí",IF(DATOS!AN$4="Sí",(1/DATOS_[[% anualiz]:[% anualiz]]),1)*IF(DATOS!AN$5="Sí",1/DATOS_[[% normaliz]:[% normaliz]],1)*(DATOS_[Conc.Sal.10])))))))), 0)</f>
        <v>0</v>
      </c>
      <c r="T16" s="302" t="n">
        <f aca="false" t="array" ref="T16:T16">IFERROR( (AVERAGE((IF(DATOS_[[Sexo]:[Sexo]]=$B16,IF(DATOS_[[AGRUP. CLAS. PROF.]:[AGRUP. CLAS. PROF.]]=$B15,IF(DATOS_[[Check Periodo Ref.]:[Check Periodo Ref.]]="Dentro",IF(DATOS_[[Check Equiparado]:[Check Equiparado]]="Sí",IF(DATOS!AO$4="Sí",(1/DATOS_[[% anualiz]:[% anualiz]]),1)*IF(DATOS!AO$5="Sí",1/DATOS_[[% normaliz]:[% normaliz]],1)*(DATOS_[Conc.Sal.11])))))))), 0)</f>
        <v>0</v>
      </c>
      <c r="U16" s="302" t="n">
        <f aca="false" t="array" ref="U16:U16">IFERROR( (AVERAGE((IF(DATOS_[[Sexo]:[Sexo]]=$B16,IF(DATOS_[[AGRUP. CLAS. PROF.]:[AGRUP. CLAS. PROF.]]=$B15,IF(DATOS_[[Check Periodo Ref.]:[Check Periodo Ref.]]="Dentro",IF(DATOS_[[Check Equiparado]:[Check Equiparado]]="Sí",IF(DATOS!AP$4="Sí",(1/DATOS_[[% anualiz]:[% anualiz]]),1)*IF(DATOS!AP$5="Sí",1/DATOS_[[% normaliz]:[% normaliz]],1)*(DATOS_[Conc.Sal.12])))))))), 0)</f>
        <v>0</v>
      </c>
      <c r="V16" s="302" t="n">
        <f aca="false" t="array" ref="V16:V16">IFERROR( (AVERAGE((IF(DATOS_[[Sexo]:[Sexo]]=$B16,IF(DATOS_[[AGRUP. CLAS. PROF.]:[AGRUP. CLAS. PROF.]]=$B15,IF(DATOS_[[Check Periodo Ref.]:[Check Periodo Ref.]]="Dentro",IF(DATOS_[[Check Equiparado]:[Check Equiparado]]="Sí",IF(DATOS!AQ$4="Sí",(1/DATOS_[[% anualiz]:[% anualiz]]),1)*IF(DATOS!AQ$5="Sí",1/DATOS_[[% normaliz]:[% normaliz]],1)*(DATOS_[Conc.Sal.13])))))))), 0)</f>
        <v>0</v>
      </c>
      <c r="W16" s="302" t="n">
        <f aca="false" t="array" ref="W16:W16">IFERROR( (AVERAGE((IF(DATOS_[[Sexo]:[Sexo]]=$B16,IF(DATOS_[[AGRUP. CLAS. PROF.]:[AGRUP. CLAS. PROF.]]=$B15,IF(DATOS_[[Check Periodo Ref.]:[Check Periodo Ref.]]="Dentro",IF(DATOS_[[Check Equiparado]:[Check Equiparado]]="Sí",IF(DATOS!AR$4="Sí",(1/DATOS_[[% anualiz]:[% anualiz]]),1)*IF(DATOS!AR$5="Sí",1/DATOS_[[% normaliz]:[% normaliz]],1)*(DATOS_[Conc.Sal.14])))))))), 0)</f>
        <v>0</v>
      </c>
      <c r="X16" s="302" t="n">
        <f aca="false" t="array" ref="X16:X16">IFERROR( (AVERAGE((IF(DATOS_[[Sexo]:[Sexo]]=$B16,IF(DATOS_[[AGRUP. CLAS. PROF.]:[AGRUP. CLAS. PROF.]]=$B15,IF(DATOS_[[Check Periodo Ref.]:[Check Periodo Ref.]]="Dentro",IF(DATOS_[[Check Equiparado]:[Check Equiparado]]="Sí",IF(DATOS!AS$4="Sí",(1/DATOS_[[% anualiz]:[% anualiz]]),1)*IF(DATOS!AS$5="Sí",1/DATOS_[[% normaliz]:[% normaliz]],1)*(DATOS_[Conc.Sal.15])))))))), 0)</f>
        <v>0</v>
      </c>
      <c r="Y16" s="302" t="n">
        <f aca="false" t="array" ref="Y16:Y16">IFERROR( (AVERAGE((IF(DATOS_[[Sexo]:[Sexo]]=$B16,IF(DATOS_[[AGRUP. CLAS. PROF.]:[AGRUP. CLAS. PROF.]]=$B15,IF(DATOS_[[Check Periodo Ref.]:[Check Periodo Ref.]]="Dentro",IF(DATOS_[[Check Equiparado]:[Check Equiparado]]="Sí",IF(DATOS!AT$4="Sí",(1/DATOS_[[% anualiz]:[% anualiz]]),1)*IF(DATOS!AT$5="Sí",1/DATOS_[[% normaliz]:[% normaliz]],1)*(DATOS_[Conc.Sal.16])))))))), 0)</f>
        <v>0</v>
      </c>
      <c r="Z16" s="302" t="n">
        <f aca="false" t="array" ref="Z16:Z16">IFERROR( (AVERAGE((IF(DATOS_[[Sexo]:[Sexo]]=$B16,IF(DATOS_[[AGRUP. CLAS. PROF.]:[AGRUP. CLAS. PROF.]]=$B15,IF(DATOS_[[Check Periodo Ref.]:[Check Periodo Ref.]]="Dentro",IF(DATOS_[[Check Equiparado]:[Check Equiparado]]="Sí",IF(DATOS!AU$4="Sí",(1/DATOS_[[% anualiz]:[% anualiz]]),1)*IF(DATOS!AU$5="Sí",1/DATOS_[[% normaliz]:[% normaliz]],1)*(DATOS_[Conc.Sal.17])))))))), 0)</f>
        <v>0</v>
      </c>
      <c r="AA16" s="302" t="n">
        <f aca="false" t="array" ref="AA16:AA16">IFERROR( (AVERAGE((IF(DATOS_[[Sexo]:[Sexo]]=$B16,IF(DATOS_[[AGRUP. CLAS. PROF.]:[AGRUP. CLAS. PROF.]]=$B15,IF(DATOS_[[Check Periodo Ref.]:[Check Periodo Ref.]]="Dentro",IF(DATOS_[[Check Equiparado]:[Check Equiparado]]="Sí",IF(DATOS!AV$4="Sí",(1/DATOS_[[% anualiz]:[% anualiz]]),1)*IF(DATOS!AV$5="Sí",1/DATOS_[[% normaliz]:[% normaliz]],1)*(DATOS_[Conc.Sal.18])))))))), 0)</f>
        <v>0</v>
      </c>
      <c r="AB16" s="302" t="n">
        <f aca="false" t="array" ref="AB16:AB16">IFERROR( (AVERAGE((IF(DATOS_[[Sexo]:[Sexo]]=$B16,IF(DATOS_[[AGRUP. CLAS. PROF.]:[AGRUP. CLAS. PROF.]]=$B15,IF(DATOS_[[Check Periodo Ref.]:[Check Periodo Ref.]]="Dentro",IF(DATOS_[[Check Equiparado]:[Check Equiparado]]="Sí",IF(DATOS!AW$4="Sí",(1/DATOS_[[% anualiz]:[% anualiz]]),1)*IF(DATOS!AW$5="Sí",1/DATOS_[[% normaliz]:[% normaliz]],1)*(DATOS_[Conc.Sal.19])))))))), 0)</f>
        <v>0</v>
      </c>
      <c r="AC16" s="302" t="n">
        <f aca="false" t="array" ref="AC16:AC16">IFERROR( (AVERAGE((IF(DATOS_[[Sexo]:[Sexo]]=$B16,IF(DATOS_[[AGRUP. CLAS. PROF.]:[AGRUP. CLAS. PROF.]]=$B15,IF(DATOS_[[Check Periodo Ref.]:[Check Periodo Ref.]]="Dentro",IF(DATOS_[[Check Equiparado]:[Check Equiparado]]="Sí",IF(DATOS!AX$4="Sí",(1/DATOS_[[% anualiz]:[% anualiz]]),1)*IF(DATOS!AX$5="Sí",1/DATOS_[[% normaliz]:[% normaliz]],1)*(DATOS_[Conc.Sal.20])))))))), 0)</f>
        <v>0</v>
      </c>
      <c r="AD16" s="302" t="n">
        <f aca="false" t="array" ref="AD16:AD16">IFERROR( (AVERAGE((IF(DATOS_[[Sexo]:[Sexo]]=$B16,IF(DATOS_[[AGRUP. CLAS. PROF.]:[AGRUP. CLAS. PROF.]]=$B15,IF(DATOS_[[Check Periodo Ref.]:[Check Periodo Ref.]]="Dentro",IF(DATOS_[[Check Equiparado]:[Check Equiparado]]="Sí",IF(DATOS!AY$4="Sí",(1/DATOS_[[% anualiz]:[% anualiz]]),1)*IF(DATOS!AY$5="Sí",1/DATOS_[[% normaliz]:[% normaliz]],1)*(DATOS_[Conc.Sal.21])))))))), 0)</f>
        <v>0</v>
      </c>
      <c r="AE16" s="302" t="n">
        <f aca="false" t="array" ref="AE16:AE16">IFERROR( (AVERAGE((IF(DATOS_[[Sexo]:[Sexo]]=$B16,IF(DATOS_[[AGRUP. CLAS. PROF.]:[AGRUP. CLAS. PROF.]]=$B15,IF(DATOS_[[Check Periodo Ref.]:[Check Periodo Ref.]]="Dentro",IF(DATOS_[[Check Equiparado]:[Check Equiparado]]="Sí",IF(DATOS!AZ$4="Sí",(1/DATOS_[[% anualiz]:[% anualiz]]),1)*IF(DATOS!AZ$5="Sí",1/DATOS_[[% normaliz]:[% normaliz]],1)*(DATOS_[Conc.Sal.22])))))))), 0)</f>
        <v>0</v>
      </c>
      <c r="AF16" s="302" t="n">
        <f aca="false" t="array" ref="AF16:AF16">IFERROR( (AVERAGE((IF(DATOS_[[Sexo]:[Sexo]]=$B16,IF(DATOS_[[AGRUP. CLAS. PROF.]:[AGRUP. CLAS. PROF.]]=$B15,IF(DATOS_[[Check Periodo Ref.]:[Check Periodo Ref.]]="Dentro",IF(DATOS_[[Check Equiparado]:[Check Equiparado]]="Sí",IF(DATOS!BA$4="Sí",(1/DATOS_[[% anualiz]:[% anualiz]]),1)*IF(DATOS!BA$5="Sí",1/DATOS_[[% normaliz]:[% normaliz]],1)*(DATOS_[Conc.Sal.23])))))))), 0)</f>
        <v>0</v>
      </c>
      <c r="AG16" s="302" t="n">
        <f aca="false" t="array" ref="AG16:AG16">IFERROR( (AVERAGE((IF(DATOS_[[Sexo]:[Sexo]]=$B16,IF(DATOS_[[AGRUP. CLAS. PROF.]:[AGRUP. CLAS. PROF.]]=$B15,IF(DATOS_[[Check Periodo Ref.]:[Check Periodo Ref.]]="Dentro",IF(DATOS_[[Check Equiparado]:[Check Equiparado]]="Sí",IF(DATOS!BB$4="Sí",(1/DATOS_[[% anualiz]:[% anualiz]]),1)*IF(DATOS!BB$5="Sí",1/DATOS_[[% normaliz]:[% normaliz]],1)*(DATOS_[Conc.Sal.24])))))))), 0)</f>
        <v>0</v>
      </c>
      <c r="AH16" s="302" t="n">
        <f aca="false" t="array" ref="AH16:AH16">IFERROR( (AVERAGE((IF(DATOS_[[Sexo]:[Sexo]]=$B16,IF(DATOS_[[AGRUP. CLAS. PROF.]:[AGRUP. CLAS. PROF.]]=$B15,IF(DATOS_[[Check Periodo Ref.]:[Check Periodo Ref.]]="Dentro",IF(DATOS_[[Check Equiparado]:[Check Equiparado]]="Sí",IF(DATOS!BC$4="Sí",(1/DATOS_[[% anualiz]:[% anualiz]]),1)*IF(DATOS!BC$5="Sí",1/DATOS_[[% normaliz]:[% normaliz]],1)*(DATOS_[Conc.Sal.25])))))))), 0)</f>
        <v>0</v>
      </c>
      <c r="AI16" s="302" t="n">
        <f aca="false" t="array" ref="AI16:AI16">IFERROR( (AVERAGE((IF(DATOS_[[Sexo]:[Sexo]]=$B16,IF(DATOS_[[AGRUP. CLAS. PROF.]:[AGRUP. CLAS. PROF.]]=$B15,IF(DATOS_[[Check Periodo Ref.]:[Check Periodo Ref.]]="Dentro",IF(DATOS_[[Check Equiparado]:[Check Equiparado]]="Sí",IF(DATOS!BD$4="Sí",(1/DATOS_[[% anualiz]:[% anualiz]]),1)*IF(DATOS!BD$5="Sí",1/DATOS_[[% normaliz]:[% normaliz]],1)*(DATOS_[Conc.Sal.26])))))))), 0)</f>
        <v>0</v>
      </c>
      <c r="AJ16" s="302" t="n">
        <f aca="false" t="array" ref="AJ16:AJ16">IFERROR( (AVERAGE((IF(DATOS_[[Sexo]:[Sexo]]=$B16,IF(DATOS_[[AGRUP. CLAS. PROF.]:[AGRUP. CLAS. PROF.]]=$B15,IF(DATOS_[[Check Periodo Ref.]:[Check Periodo Ref.]]="Dentro",IF(DATOS_[[Check Equiparado]:[Check Equiparado]]="Sí",IF(DATOS!BE$4="Sí",(1/DATOS_[[% anualiz]:[% anualiz]]),1)*IF(DATOS!BE$5="Sí",1/DATOS_[[% normaliz]:[% normaliz]],1)*(DATOS_[Conc.Sal.27])))))))), 0)</f>
        <v>0</v>
      </c>
      <c r="AK16" s="302" t="n">
        <f aca="false" t="array" ref="AK16:AK16">IFERROR( (AVERAGE((IF(DATOS_[[Sexo]:[Sexo]]=$B16,IF(DATOS_[[AGRUP. CLAS. PROF.]:[AGRUP. CLAS. PROF.]]=$B15,IF(DATOS_[[Check Periodo Ref.]:[Check Periodo Ref.]]="Dentro",IF(DATOS_[[Check Equiparado]:[Check Equiparado]]="Sí",IF(DATOS!BF$4="Sí",(1/DATOS_[[% anualiz]:[% anualiz]]),1)*IF(DATOS!BF$5="Sí",1/DATOS_[[% normaliz]:[% normaliz]],1)*(DATOS_[Conc.Sal.28])))))))), 0)</f>
        <v>0</v>
      </c>
      <c r="AL16" s="302" t="n">
        <f aca="false" t="array" ref="AL16:AL16">IFERROR( (AVERAGE((IF(DATOS_[[Sexo]:[Sexo]]=$B16,IF(DATOS_[[AGRUP. CLAS. PROF.]:[AGRUP. CLAS. PROF.]]=$B15,IF(DATOS_[[Check Periodo Ref.]:[Check Periodo Ref.]]="Dentro",IF(DATOS_[[Check Equiparado]:[Check Equiparado]]="Sí",IF(DATOS!BG$4="Sí",(1/DATOS_[[% anualiz]:[% anualiz]]),1)*IF(DATOS!BG$5="Sí",1/DATOS_[[% normaliz]:[% normaliz]],1)*(DATOS_[Conc.Sal.29])))))))), 0)</f>
        <v>0</v>
      </c>
      <c r="AM16" s="302" t="n">
        <f aca="false" t="array" ref="AM16:AM16">IFERROR( (AVERAGE((IF(DATOS_[[Sexo]:[Sexo]]=$B16,IF(DATOS_[[AGRUP. CLAS. PROF.]:[AGRUP. CLAS. PROF.]]=$B15,IF(DATOS_[[Check Periodo Ref.]:[Check Periodo Ref.]]="Dentro",IF(DATOS_[[Check Equiparado]:[Check Equiparado]]="Sí",IF(DATOS!BH$4="Sí",(1/DATOS_[[% anualiz]:[% anualiz]]),1)*IF(DATOS!BH$5="Sí",1/DATOS_[[% normaliz]:[% normaliz]],1)*(DATOS_[Conc.Sal.30])))))))), 0)</f>
        <v>0</v>
      </c>
      <c r="AN16" s="294" t="n">
        <f aca="false" t="array" ref="AN16:AN16">IFERROR( AVERAGE(IF(DATOS_[Sexo]=$B16,IF(DATOS_[[AGRUP. CLAS. PROF.]:[AGRUP. CLAS. PROF.]]=$B15,IF(DATOS_[Check Equiparado]="Sí",IF(DATOS_[Check Periodo Ref.]="Dentro",DATOS_[Tot COMPL.SAL Eq],0))))), 0)</f>
        <v>0</v>
      </c>
      <c r="AO16" s="295" t="n">
        <f aca="false" t="array" ref="AO16:AO16">IFERROR( AVERAGE(IF(DATOS_[Sexo]=$B16,IF(DATOS_[[AGRUP. CLAS. PROF.]:[AGRUP. CLAS. PROF.]]=$B15,IF(DATOS_[Check Equiparado]="Sí",IF(DATOS_[Check Periodo Ref.]="Dentro",DATOS_[TOTAL SALARIO Eq],0))))), 0)</f>
        <v>0</v>
      </c>
      <c r="AP16" s="303" t="n">
        <f aca="false" t="array" ref="AP16:AP16">IFERROR( (AVERAGE((IF(DATOS_[[Sexo]:[Sexo]]=$B16,IF(DATOS_[[AGRUP. CLAS. PROF.]:[AGRUP. CLAS. PROF.]]=$B15,IF(DATOS_[[Check Periodo Ref.]:[Check Periodo Ref.]]="Dentro",IF(DATOS_[[Check Equiparado]:[Check Equiparado]]="Sí",IF(DATOS!BI$4="Sí",(1/DATOS_[[% anualiz]:[% anualiz]]),1)*IF(DATOS!BI$5="Sí",1/DATOS_[[% normaliz]:[% normaliz]],1)*(DATOS_[C.Extra.01])))))))), 0)</f>
        <v>0</v>
      </c>
      <c r="AQ16" s="303" t="n">
        <f aca="false" t="array" ref="AQ16:AQ16">IFERROR( (AVERAGE((IF(DATOS_[[Sexo]:[Sexo]]=$B16,IF(DATOS_[[AGRUP. CLAS. PROF.]:[AGRUP. CLAS. PROF.]]=$B15,IF(DATOS_[[Check Periodo Ref.]:[Check Periodo Ref.]]="Dentro",IF(DATOS_[[Check Equiparado]:[Check Equiparado]]="Sí",IF(DATOS!BJ$4="Sí",(1/DATOS_[[% anualiz]:[% anualiz]]),1)*IF(DATOS!BJ$5="Sí",1/DATOS_[[% normaliz]:[% normaliz]],1)*(DATOS_[C.Extra.02])))))))), 0)</f>
        <v>0</v>
      </c>
      <c r="AR16" s="303" t="n">
        <f aca="false" t="array" ref="AR16:AR16">IFERROR( (AVERAGE((IF(DATOS_[[Sexo]:[Sexo]]=$B16,IF(DATOS_[[AGRUP. CLAS. PROF.]:[AGRUP. CLAS. PROF.]]=$B15,IF(DATOS_[[Check Periodo Ref.]:[Check Periodo Ref.]]="Dentro",IF(DATOS_[[Check Equiparado]:[Check Equiparado]]="Sí",IF(DATOS!BK$4="Sí",(1/DATOS_[[% anualiz]:[% anualiz]]),1)*IF(DATOS!BK$5="Sí",1/DATOS_[[% normaliz]:[% normaliz]],1)*(DATOS_[C.Extra.03])))))))), 0)</f>
        <v>0</v>
      </c>
      <c r="AS16" s="303" t="n">
        <f aca="false" t="array" ref="AS16:AS16">IFERROR( (AVERAGE((IF(DATOS_[[Sexo]:[Sexo]]=$B16,IF(DATOS_[[AGRUP. CLAS. PROF.]:[AGRUP. CLAS. PROF.]]=$B15,IF(DATOS_[[Check Periodo Ref.]:[Check Periodo Ref.]]="Dentro",IF(DATOS_[[Check Equiparado]:[Check Equiparado]]="Sí",IF(DATOS!BL$4="Sí",(1/DATOS_[[% anualiz]:[% anualiz]]),1)*IF(DATOS!BL$5="Sí",1/DATOS_[[% normaliz]:[% normaliz]],1)*(DATOS_[C.Extra.04])))))))), 0)</f>
        <v>0</v>
      </c>
      <c r="AT16" s="303" t="n">
        <f aca="false" t="array" ref="AT16:AT16">IFERROR( (AVERAGE((IF(DATOS_[[Sexo]:[Sexo]]=$B16,IF(DATOS_[[AGRUP. CLAS. PROF.]:[AGRUP. CLAS. PROF.]]=$B15,IF(DATOS_[[Check Periodo Ref.]:[Check Periodo Ref.]]="Dentro",IF(DATOS_[[Check Equiparado]:[Check Equiparado]]="Sí",IF(DATOS!BM$4="Sí",(1/DATOS_[[% anualiz]:[% anualiz]]),1)*IF(DATOS!BM$5="Sí",1/DATOS_[[% normaliz]:[% normaliz]],1)*(DATOS_[C.Extra.05])))))))), 0)</f>
        <v>0</v>
      </c>
      <c r="AU16" s="297" t="n">
        <f aca="false" t="array" ref="AU16:AU16">IFERROR( AVERAGE(IF(DATOS_[Sexo]=$B16,IF(DATOS_[[AGRUP. CLAS. PROF.]:[AGRUP. CLAS. PROF.]]=$B15,IF(DATOS_[Check Equiparado]="Sí",IF(DATOS_[Check Periodo Ref.]="Dentro",DATOS_[Tot Extrasalarial Eq],0))))), 0)</f>
        <v>0</v>
      </c>
      <c r="AV16" s="298" t="n">
        <f aca="false" t="array" ref="AV16:AV16">IFERROR( AVERAGE(IF(DATOS_[Sexo]=$B16,IF(DATOS_[[AGRUP. CLAS. PROF.]:[AGRUP. CLAS. PROF.]]=$B15,IF(DATOS_[Check Equiparado]="Sí",IF(DATOS_[Check Periodo Ref.]="Dentro",DATOS_[TOTAL Retrib Eq],0))))), 0)</f>
        <v>0</v>
      </c>
    </row>
    <row r="17" customFormat="false" ht="14.25" hidden="false" customHeight="false" outlineLevel="0" collapsed="false">
      <c r="A17" s="166" t="str">
        <f aca="false">+A16</f>
        <v>[ocultar]</v>
      </c>
      <c r="B17" s="289" t="s">
        <v>372</v>
      </c>
      <c r="C17" s="290" t="n">
        <f aca="false" t="array" ref="C17:C17">SUM(IF($B17=DATOS_[Sexo], IF($B15=DATOS_[AGRUP. CLAS. PROF.], IF("Dentro"=DATOS_[Check Periodo Ref.], 1/(COUNTIFS(DATOS_[Sexo],$B17,DATOS_[AGRUP. CLAS. PROF.],$B15,DATOS_[Check Periodo Ref.],"Dentro",DATOS_[id],DATOS_[id]))))))</f>
        <v>0</v>
      </c>
      <c r="D17" s="291" t="n">
        <f aca="false">COUNTIFS(DATOS_[AGRUP. CLAS. PROF.],$B15,DATOS_[Sexo],$B17,DATOS_[Check Periodo Ref.],"Dentro")</f>
        <v>0</v>
      </c>
      <c r="E17" s="291" t="n">
        <f aca="false">COUNTIFS(DATOS_[AGRUP. CLAS. PROF.],$B15,DATOS_[Sexo],$B17,DATOS_[Check Periodo Ref.],"Dentro",DATOS_[Check Nº SC Norm],"Sí")</f>
        <v>0</v>
      </c>
      <c r="F17" s="291" t="n">
        <f aca="false">COUNTIFS(DATOS_[AGRUP. CLAS. PROF.],$B15,DATOS_[Sexo],$B17,DATOS_[Check Periodo Ref.],"Dentro",DATOS_[Check Nº SC Anualiz],"Sí")</f>
        <v>0</v>
      </c>
      <c r="G17" s="291" t="n">
        <f aca="false">COUNTIFS(DATOS_[AGRUP. CLAS. PROF.],$B15,DATOS_[Sexo],$B17,DATOS_[Check Periodo Ref.],"Dentro",DATOS_[Check Nº SC Norm y Anualiz],"Sí")</f>
        <v>0</v>
      </c>
      <c r="H17" s="291" t="n">
        <f aca="false">COUNTIFS(DATOS_[AGRUP. CLAS. PROF.],$B15,DATOS_[Sexo],$B17,DATOS_[Check Periodo Ref.],"Dentro",DATOS_[Check Equiparación],"Sí")</f>
        <v>0</v>
      </c>
      <c r="I17" s="292" t="n">
        <f aca="false" t="array" ref="I17:I17">IFERROR( AVERAGE(IF(DATOS_[Sexo]=$B17,IF(DATOS_[[AGRUP. CLAS. PROF.]:[AGRUP. CLAS. PROF.]]=$B15,IF(DATOS_[Check Equiparado]="Sí",IF(DATOS_[Check Periodo Ref.]="Dentro",DATOS_[SALARIO BASE Eq],0))))), 0)</f>
        <v>0</v>
      </c>
      <c r="J17" s="302" t="n">
        <f aca="false" t="array" ref="J17:J17">IFERROR( (AVERAGE((IF(DATOS_[[Sexo]:[Sexo]]=$B17,IF(DATOS_[[AGRUP. CLAS. PROF.]:[AGRUP. CLAS. PROF.]]=$B15,IF(DATOS_[[Check Periodo Ref.]:[Check Periodo Ref.]]="Dentro",IF(DATOS_[[Check Equiparado]:[Check Equiparado]]="Sí",IF(DATOS!AE$4="Sí",(1/DATOS_[[% anualiz]:[% anualiz]]),1)*IF(DATOS!AE$5="Sí",1/DATOS_[[% normaliz]:[% normaliz]],1)*(DATOS_[Conc.Sal.01])))))))), 0)</f>
        <v>0</v>
      </c>
      <c r="K17" s="302" t="n">
        <f aca="false" t="array" ref="K17:K17">IFERROR( (AVERAGE((IF(DATOS_[[Sexo]:[Sexo]]=$B17,IF(DATOS_[[AGRUP. CLAS. PROF.]:[AGRUP. CLAS. PROF.]]=$B15,IF(DATOS_[[Check Periodo Ref.]:[Check Periodo Ref.]]="Dentro",IF(DATOS_[[Check Equiparado]:[Check Equiparado]]="Sí",IF(DATOS!AF$4="Sí",(1/DATOS_[[% anualiz]:[% anualiz]]),1)*IF(DATOS!AF$5="Sí",1/DATOS_[[% normaliz]:[% normaliz]],1)*(DATOS_[Conc.Sal.02])))))))), 0)</f>
        <v>0</v>
      </c>
      <c r="L17" s="302" t="n">
        <f aca="false" t="array" ref="L17:L17">IFERROR( (AVERAGE((IF(DATOS_[[Sexo]:[Sexo]]=$B17,IF(DATOS_[[AGRUP. CLAS. PROF.]:[AGRUP. CLAS. PROF.]]=$B15,IF(DATOS_[[Check Periodo Ref.]:[Check Periodo Ref.]]="Dentro",IF(DATOS_[[Check Equiparado]:[Check Equiparado]]="Sí",IF(DATOS!AG$4="Sí",(1/DATOS_[[% anualiz]:[% anualiz]]),1)*IF(DATOS!AG$5="Sí",1/DATOS_[[% normaliz]:[% normaliz]],1)*(DATOS_[Conc.Sal.03])))))))), 0)</f>
        <v>0</v>
      </c>
      <c r="M17" s="302" t="n">
        <f aca="false" t="array" ref="M17:M17">IFERROR( (AVERAGE((IF(DATOS_[[Sexo]:[Sexo]]=$B17,IF(DATOS_[[AGRUP. CLAS. PROF.]:[AGRUP. CLAS. PROF.]]=$B15,IF(DATOS_[[Check Periodo Ref.]:[Check Periodo Ref.]]="Dentro",IF(DATOS_[[Check Equiparado]:[Check Equiparado]]="Sí",IF(DATOS!AH$4="Sí",(1/DATOS_[[% anualiz]:[% anualiz]]),1)*IF(DATOS!AH$5="Sí",1/DATOS_[[% normaliz]:[% normaliz]],1)*(DATOS_[Conc.Sal.04])))))))), 0)</f>
        <v>0</v>
      </c>
      <c r="N17" s="302" t="n">
        <f aca="false" t="array" ref="N17:N17">IFERROR( (AVERAGE((IF(DATOS_[[Sexo]:[Sexo]]=$B17,IF(DATOS_[[AGRUP. CLAS. PROF.]:[AGRUP. CLAS. PROF.]]=$B15,IF(DATOS_[[Check Periodo Ref.]:[Check Periodo Ref.]]="Dentro",IF(DATOS_[[Check Equiparado]:[Check Equiparado]]="Sí",IF(DATOS!AI$4="Sí",(1/DATOS_[[% anualiz]:[% anualiz]]),1)*IF(DATOS!AI$5="Sí",1/DATOS_[[% normaliz]:[% normaliz]],1)*(DATOS_[Conc.Sal.05])))))))), 0)</f>
        <v>0</v>
      </c>
      <c r="O17" s="302" t="n">
        <f aca="false" t="array" ref="O17:O17">IFERROR( (AVERAGE((IF(DATOS_[[Sexo]:[Sexo]]=$B17,IF(DATOS_[[AGRUP. CLAS. PROF.]:[AGRUP. CLAS. PROF.]]=$B15,IF(DATOS_[[Check Periodo Ref.]:[Check Periodo Ref.]]="Dentro",IF(DATOS_[[Check Equiparado]:[Check Equiparado]]="Sí",IF(DATOS!AJ$4="Sí",(1/DATOS_[[% anualiz]:[% anualiz]]),1)*IF(DATOS!AJ$5="Sí",1/DATOS_[[% normaliz]:[% normaliz]],1)*(DATOS_[Conc.Sal.06])))))))), 0)</f>
        <v>0</v>
      </c>
      <c r="P17" s="302" t="n">
        <f aca="false" t="array" ref="P17:P17">IFERROR( (AVERAGE((IF(DATOS_[[Sexo]:[Sexo]]=$B17,IF(DATOS_[[AGRUP. CLAS. PROF.]:[AGRUP. CLAS. PROF.]]=$B15,IF(DATOS_[[Check Periodo Ref.]:[Check Periodo Ref.]]="Dentro",IF(DATOS_[[Check Equiparado]:[Check Equiparado]]="Sí",IF(DATOS!AK$4="Sí",(1/DATOS_[[% anualiz]:[% anualiz]]),1)*IF(DATOS!AK$5="Sí",1/DATOS_[[% normaliz]:[% normaliz]],1)*(DATOS_[Conc.Sal.07])))))))), 0)</f>
        <v>0</v>
      </c>
      <c r="Q17" s="302" t="n">
        <f aca="false" t="array" ref="Q17:Q17">IFERROR( (AVERAGE((IF(DATOS_[[Sexo]:[Sexo]]=$B17,IF(DATOS_[[AGRUP. CLAS. PROF.]:[AGRUP. CLAS. PROF.]]=$B15,IF(DATOS_[[Check Periodo Ref.]:[Check Periodo Ref.]]="Dentro",IF(DATOS_[[Check Equiparado]:[Check Equiparado]]="Sí",IF(DATOS!AL$4="Sí",(1/DATOS_[[% anualiz]:[% anualiz]]),1)*IF(DATOS!AL$5="Sí",1/DATOS_[[% normaliz]:[% normaliz]],1)*(DATOS_[Conc.Sal.08])))))))), 0)</f>
        <v>0</v>
      </c>
      <c r="R17" s="302" t="n">
        <f aca="false" t="array" ref="R17:R17">IFERROR( (AVERAGE((IF(DATOS_[[Sexo]:[Sexo]]=$B17,IF(DATOS_[[AGRUP. CLAS. PROF.]:[AGRUP. CLAS. PROF.]]=$B15,IF(DATOS_[[Check Periodo Ref.]:[Check Periodo Ref.]]="Dentro",IF(DATOS_[[Check Equiparado]:[Check Equiparado]]="Sí",IF(DATOS!AM$4="Sí",(1/DATOS_[[% anualiz]:[% anualiz]]),1)*IF(DATOS!AM$5="Sí",1/DATOS_[[% normaliz]:[% normaliz]],1)*(DATOS_[Conc.Sal.09])))))))), 0)</f>
        <v>0</v>
      </c>
      <c r="S17" s="302" t="n">
        <f aca="false" t="array" ref="S17:S17">IFERROR( (AVERAGE((IF(DATOS_[[Sexo]:[Sexo]]=$B17,IF(DATOS_[[AGRUP. CLAS. PROF.]:[AGRUP. CLAS. PROF.]]=$B15,IF(DATOS_[[Check Periodo Ref.]:[Check Periodo Ref.]]="Dentro",IF(DATOS_[[Check Equiparado]:[Check Equiparado]]="Sí",IF(DATOS!AN$4="Sí",(1/DATOS_[[% anualiz]:[% anualiz]]),1)*IF(DATOS!AN$5="Sí",1/DATOS_[[% normaliz]:[% normaliz]],1)*(DATOS_[Conc.Sal.10])))))))), 0)</f>
        <v>0</v>
      </c>
      <c r="T17" s="302" t="n">
        <f aca="false" t="array" ref="T17:T17">IFERROR( (AVERAGE((IF(DATOS_[[Sexo]:[Sexo]]=$B17,IF(DATOS_[[AGRUP. CLAS. PROF.]:[AGRUP. CLAS. PROF.]]=$B15,IF(DATOS_[[Check Periodo Ref.]:[Check Periodo Ref.]]="Dentro",IF(DATOS_[[Check Equiparado]:[Check Equiparado]]="Sí",IF(DATOS!AO$4="Sí",(1/DATOS_[[% anualiz]:[% anualiz]]),1)*IF(DATOS!AO$5="Sí",1/DATOS_[[% normaliz]:[% normaliz]],1)*(DATOS_[Conc.Sal.11])))))))), 0)</f>
        <v>0</v>
      </c>
      <c r="U17" s="302" t="n">
        <f aca="false" t="array" ref="U17:U17">IFERROR( (AVERAGE((IF(DATOS_[[Sexo]:[Sexo]]=$B17,IF(DATOS_[[AGRUP. CLAS. PROF.]:[AGRUP. CLAS. PROF.]]=$B15,IF(DATOS_[[Check Periodo Ref.]:[Check Periodo Ref.]]="Dentro",IF(DATOS_[[Check Equiparado]:[Check Equiparado]]="Sí",IF(DATOS!AP$4="Sí",(1/DATOS_[[% anualiz]:[% anualiz]]),1)*IF(DATOS!AP$5="Sí",1/DATOS_[[% normaliz]:[% normaliz]],1)*(DATOS_[Conc.Sal.12])))))))), 0)</f>
        <v>0</v>
      </c>
      <c r="V17" s="302" t="n">
        <f aca="false" t="array" ref="V17:V17">IFERROR( (AVERAGE((IF(DATOS_[[Sexo]:[Sexo]]=$B17,IF(DATOS_[[AGRUP. CLAS. PROF.]:[AGRUP. CLAS. PROF.]]=$B15,IF(DATOS_[[Check Periodo Ref.]:[Check Periodo Ref.]]="Dentro",IF(DATOS_[[Check Equiparado]:[Check Equiparado]]="Sí",IF(DATOS!AQ$4="Sí",(1/DATOS_[[% anualiz]:[% anualiz]]),1)*IF(DATOS!AQ$5="Sí",1/DATOS_[[% normaliz]:[% normaliz]],1)*(DATOS_[Conc.Sal.13])))))))), 0)</f>
        <v>0</v>
      </c>
      <c r="W17" s="302" t="n">
        <f aca="false" t="array" ref="W17:W17">IFERROR( (AVERAGE((IF(DATOS_[[Sexo]:[Sexo]]=$B17,IF(DATOS_[[AGRUP. CLAS. PROF.]:[AGRUP. CLAS. PROF.]]=$B15,IF(DATOS_[[Check Periodo Ref.]:[Check Periodo Ref.]]="Dentro",IF(DATOS_[[Check Equiparado]:[Check Equiparado]]="Sí",IF(DATOS!AR$4="Sí",(1/DATOS_[[% anualiz]:[% anualiz]]),1)*IF(DATOS!AR$5="Sí",1/DATOS_[[% normaliz]:[% normaliz]],1)*(DATOS_[Conc.Sal.14])))))))), 0)</f>
        <v>0</v>
      </c>
      <c r="X17" s="302" t="n">
        <f aca="false" t="array" ref="X17:X17">IFERROR( (AVERAGE((IF(DATOS_[[Sexo]:[Sexo]]=$B17,IF(DATOS_[[AGRUP. CLAS. PROF.]:[AGRUP. CLAS. PROF.]]=$B15,IF(DATOS_[[Check Periodo Ref.]:[Check Periodo Ref.]]="Dentro",IF(DATOS_[[Check Equiparado]:[Check Equiparado]]="Sí",IF(DATOS!AS$4="Sí",(1/DATOS_[[% anualiz]:[% anualiz]]),1)*IF(DATOS!AS$5="Sí",1/DATOS_[[% normaliz]:[% normaliz]],1)*(DATOS_[Conc.Sal.15])))))))), 0)</f>
        <v>0</v>
      </c>
      <c r="Y17" s="302" t="n">
        <f aca="false" t="array" ref="Y17:Y17">IFERROR( (AVERAGE((IF(DATOS_[[Sexo]:[Sexo]]=$B17,IF(DATOS_[[AGRUP. CLAS. PROF.]:[AGRUP. CLAS. PROF.]]=$B15,IF(DATOS_[[Check Periodo Ref.]:[Check Periodo Ref.]]="Dentro",IF(DATOS_[[Check Equiparado]:[Check Equiparado]]="Sí",IF(DATOS!AT$4="Sí",(1/DATOS_[[% anualiz]:[% anualiz]]),1)*IF(DATOS!AT$5="Sí",1/DATOS_[[% normaliz]:[% normaliz]],1)*(DATOS_[Conc.Sal.16])))))))), 0)</f>
        <v>0</v>
      </c>
      <c r="Z17" s="302" t="n">
        <f aca="false" t="array" ref="Z17:Z17">IFERROR( (AVERAGE((IF(DATOS_[[Sexo]:[Sexo]]=$B17,IF(DATOS_[[AGRUP. CLAS. PROF.]:[AGRUP. CLAS. PROF.]]=$B15,IF(DATOS_[[Check Periodo Ref.]:[Check Periodo Ref.]]="Dentro",IF(DATOS_[[Check Equiparado]:[Check Equiparado]]="Sí",IF(DATOS!AU$4="Sí",(1/DATOS_[[% anualiz]:[% anualiz]]),1)*IF(DATOS!AU$5="Sí",1/DATOS_[[% normaliz]:[% normaliz]],1)*(DATOS_[Conc.Sal.17])))))))), 0)</f>
        <v>0</v>
      </c>
      <c r="AA17" s="302" t="n">
        <f aca="false" t="array" ref="AA17:AA17">IFERROR( (AVERAGE((IF(DATOS_[[Sexo]:[Sexo]]=$B17,IF(DATOS_[[AGRUP. CLAS. PROF.]:[AGRUP. CLAS. PROF.]]=$B15,IF(DATOS_[[Check Periodo Ref.]:[Check Periodo Ref.]]="Dentro",IF(DATOS_[[Check Equiparado]:[Check Equiparado]]="Sí",IF(DATOS!AV$4="Sí",(1/DATOS_[[% anualiz]:[% anualiz]]),1)*IF(DATOS!AV$5="Sí",1/DATOS_[[% normaliz]:[% normaliz]],1)*(DATOS_[Conc.Sal.18])))))))), 0)</f>
        <v>0</v>
      </c>
      <c r="AB17" s="302" t="n">
        <f aca="false" t="array" ref="AB17:AB17">IFERROR( (AVERAGE((IF(DATOS_[[Sexo]:[Sexo]]=$B17,IF(DATOS_[[AGRUP. CLAS. PROF.]:[AGRUP. CLAS. PROF.]]=$B15,IF(DATOS_[[Check Periodo Ref.]:[Check Periodo Ref.]]="Dentro",IF(DATOS_[[Check Equiparado]:[Check Equiparado]]="Sí",IF(DATOS!AW$4="Sí",(1/DATOS_[[% anualiz]:[% anualiz]]),1)*IF(DATOS!AW$5="Sí",1/DATOS_[[% normaliz]:[% normaliz]],1)*(DATOS_[Conc.Sal.19])))))))), 0)</f>
        <v>0</v>
      </c>
      <c r="AC17" s="302" t="n">
        <f aca="false" t="array" ref="AC17:AC17">IFERROR( (AVERAGE((IF(DATOS_[[Sexo]:[Sexo]]=$B17,IF(DATOS_[[AGRUP. CLAS. PROF.]:[AGRUP. CLAS. PROF.]]=$B15,IF(DATOS_[[Check Periodo Ref.]:[Check Periodo Ref.]]="Dentro",IF(DATOS_[[Check Equiparado]:[Check Equiparado]]="Sí",IF(DATOS!AX$4="Sí",(1/DATOS_[[% anualiz]:[% anualiz]]),1)*IF(DATOS!AX$5="Sí",1/DATOS_[[% normaliz]:[% normaliz]],1)*(DATOS_[Conc.Sal.20])))))))), 0)</f>
        <v>0</v>
      </c>
      <c r="AD17" s="302" t="n">
        <f aca="false" t="array" ref="AD17:AD17">IFERROR( (AVERAGE((IF(DATOS_[[Sexo]:[Sexo]]=$B17,IF(DATOS_[[AGRUP. CLAS. PROF.]:[AGRUP. CLAS. PROF.]]=$B15,IF(DATOS_[[Check Periodo Ref.]:[Check Periodo Ref.]]="Dentro",IF(DATOS_[[Check Equiparado]:[Check Equiparado]]="Sí",IF(DATOS!AY$4="Sí",(1/DATOS_[[% anualiz]:[% anualiz]]),1)*IF(DATOS!AY$5="Sí",1/DATOS_[[% normaliz]:[% normaliz]],1)*(DATOS_[Conc.Sal.21])))))))), 0)</f>
        <v>0</v>
      </c>
      <c r="AE17" s="302" t="n">
        <f aca="false" t="array" ref="AE17:AE17">IFERROR( (AVERAGE((IF(DATOS_[[Sexo]:[Sexo]]=$B17,IF(DATOS_[[AGRUP. CLAS. PROF.]:[AGRUP. CLAS. PROF.]]=$B15,IF(DATOS_[[Check Periodo Ref.]:[Check Periodo Ref.]]="Dentro",IF(DATOS_[[Check Equiparado]:[Check Equiparado]]="Sí",IF(DATOS!AZ$4="Sí",(1/DATOS_[[% anualiz]:[% anualiz]]),1)*IF(DATOS!AZ$5="Sí",1/DATOS_[[% normaliz]:[% normaliz]],1)*(DATOS_[Conc.Sal.22])))))))), 0)</f>
        <v>0</v>
      </c>
      <c r="AF17" s="302" t="n">
        <f aca="false" t="array" ref="AF17:AF17">IFERROR( (AVERAGE((IF(DATOS_[[Sexo]:[Sexo]]=$B17,IF(DATOS_[[AGRUP. CLAS. PROF.]:[AGRUP. CLAS. PROF.]]=$B15,IF(DATOS_[[Check Periodo Ref.]:[Check Periodo Ref.]]="Dentro",IF(DATOS_[[Check Equiparado]:[Check Equiparado]]="Sí",IF(DATOS!BA$4="Sí",(1/DATOS_[[% anualiz]:[% anualiz]]),1)*IF(DATOS!BA$5="Sí",1/DATOS_[[% normaliz]:[% normaliz]],1)*(DATOS_[Conc.Sal.23])))))))), 0)</f>
        <v>0</v>
      </c>
      <c r="AG17" s="302" t="n">
        <f aca="false" t="array" ref="AG17:AG17">IFERROR( (AVERAGE((IF(DATOS_[[Sexo]:[Sexo]]=$B17,IF(DATOS_[[AGRUP. CLAS. PROF.]:[AGRUP. CLAS. PROF.]]=$B15,IF(DATOS_[[Check Periodo Ref.]:[Check Periodo Ref.]]="Dentro",IF(DATOS_[[Check Equiparado]:[Check Equiparado]]="Sí",IF(DATOS!BB$4="Sí",(1/DATOS_[[% anualiz]:[% anualiz]]),1)*IF(DATOS!BB$5="Sí",1/DATOS_[[% normaliz]:[% normaliz]],1)*(DATOS_[Conc.Sal.24])))))))), 0)</f>
        <v>0</v>
      </c>
      <c r="AH17" s="302" t="n">
        <f aca="false" t="array" ref="AH17:AH17">IFERROR( (AVERAGE((IF(DATOS_[[Sexo]:[Sexo]]=$B17,IF(DATOS_[[AGRUP. CLAS. PROF.]:[AGRUP. CLAS. PROF.]]=$B15,IF(DATOS_[[Check Periodo Ref.]:[Check Periodo Ref.]]="Dentro",IF(DATOS_[[Check Equiparado]:[Check Equiparado]]="Sí",IF(DATOS!BC$4="Sí",(1/DATOS_[[% anualiz]:[% anualiz]]),1)*IF(DATOS!BC$5="Sí",1/DATOS_[[% normaliz]:[% normaliz]],1)*(DATOS_[Conc.Sal.25])))))))), 0)</f>
        <v>0</v>
      </c>
      <c r="AI17" s="302" t="n">
        <f aca="false" t="array" ref="AI17:AI17">IFERROR( (AVERAGE((IF(DATOS_[[Sexo]:[Sexo]]=$B17,IF(DATOS_[[AGRUP. CLAS. PROF.]:[AGRUP. CLAS. PROF.]]=$B15,IF(DATOS_[[Check Periodo Ref.]:[Check Periodo Ref.]]="Dentro",IF(DATOS_[[Check Equiparado]:[Check Equiparado]]="Sí",IF(DATOS!BD$4="Sí",(1/DATOS_[[% anualiz]:[% anualiz]]),1)*IF(DATOS!BD$5="Sí",1/DATOS_[[% normaliz]:[% normaliz]],1)*(DATOS_[Conc.Sal.26])))))))), 0)</f>
        <v>0</v>
      </c>
      <c r="AJ17" s="302" t="n">
        <f aca="false" t="array" ref="AJ17:AJ17">IFERROR( (AVERAGE((IF(DATOS_[[Sexo]:[Sexo]]=$B17,IF(DATOS_[[AGRUP. CLAS. PROF.]:[AGRUP. CLAS. PROF.]]=$B15,IF(DATOS_[[Check Periodo Ref.]:[Check Periodo Ref.]]="Dentro",IF(DATOS_[[Check Equiparado]:[Check Equiparado]]="Sí",IF(DATOS!BE$4="Sí",(1/DATOS_[[% anualiz]:[% anualiz]]),1)*IF(DATOS!BE$5="Sí",1/DATOS_[[% normaliz]:[% normaliz]],1)*(DATOS_[Conc.Sal.27])))))))), 0)</f>
        <v>0</v>
      </c>
      <c r="AK17" s="302" t="n">
        <f aca="false" t="array" ref="AK17:AK17">IFERROR( (AVERAGE((IF(DATOS_[[Sexo]:[Sexo]]=$B17,IF(DATOS_[[AGRUP. CLAS. PROF.]:[AGRUP. CLAS. PROF.]]=$B15,IF(DATOS_[[Check Periodo Ref.]:[Check Periodo Ref.]]="Dentro",IF(DATOS_[[Check Equiparado]:[Check Equiparado]]="Sí",IF(DATOS!BF$4="Sí",(1/DATOS_[[% anualiz]:[% anualiz]]),1)*IF(DATOS!BF$5="Sí",1/DATOS_[[% normaliz]:[% normaliz]],1)*(DATOS_[Conc.Sal.28])))))))), 0)</f>
        <v>0</v>
      </c>
      <c r="AL17" s="302" t="n">
        <f aca="false" t="array" ref="AL17:AL17">IFERROR( (AVERAGE((IF(DATOS_[[Sexo]:[Sexo]]=$B17,IF(DATOS_[[AGRUP. CLAS. PROF.]:[AGRUP. CLAS. PROF.]]=$B15,IF(DATOS_[[Check Periodo Ref.]:[Check Periodo Ref.]]="Dentro",IF(DATOS_[[Check Equiparado]:[Check Equiparado]]="Sí",IF(DATOS!BG$4="Sí",(1/DATOS_[[% anualiz]:[% anualiz]]),1)*IF(DATOS!BG$5="Sí",1/DATOS_[[% normaliz]:[% normaliz]],1)*(DATOS_[Conc.Sal.29])))))))), 0)</f>
        <v>0</v>
      </c>
      <c r="AM17" s="302" t="n">
        <f aca="false" t="array" ref="AM17:AM17">IFERROR( (AVERAGE((IF(DATOS_[[Sexo]:[Sexo]]=$B17,IF(DATOS_[[AGRUP. CLAS. PROF.]:[AGRUP. CLAS. PROF.]]=$B15,IF(DATOS_[[Check Periodo Ref.]:[Check Periodo Ref.]]="Dentro",IF(DATOS_[[Check Equiparado]:[Check Equiparado]]="Sí",IF(DATOS!BH$4="Sí",(1/DATOS_[[% anualiz]:[% anualiz]]),1)*IF(DATOS!BH$5="Sí",1/DATOS_[[% normaliz]:[% normaliz]],1)*(DATOS_[Conc.Sal.30])))))))), 0)</f>
        <v>0</v>
      </c>
      <c r="AN17" s="294" t="n">
        <f aca="false" t="array" ref="AN17:AN17">IFERROR( AVERAGE(IF(DATOS_[Sexo]=$B17,IF(DATOS_[[AGRUP. CLAS. PROF.]:[AGRUP. CLAS. PROF.]]=$B15,IF(DATOS_[Check Equiparado]="Sí",IF(DATOS_[Check Periodo Ref.]="Dentro",DATOS_[Tot COMPL.SAL Eq],0))))), 0)</f>
        <v>0</v>
      </c>
      <c r="AO17" s="295" t="n">
        <f aca="false" t="array" ref="AO17:AO17">IFERROR( AVERAGE(IF(DATOS_[Sexo]=$B17,IF(DATOS_[[AGRUP. CLAS. PROF.]:[AGRUP. CLAS. PROF.]]=$B15,IF(DATOS_[Check Equiparado]="Sí",IF(DATOS_[Check Periodo Ref.]="Dentro",DATOS_[TOTAL SALARIO Eq],0))))), 0)</f>
        <v>0</v>
      </c>
      <c r="AP17" s="303" t="n">
        <f aca="false" t="array" ref="AP17:AP17">IFERROR( (AVERAGE((IF(DATOS_[[Sexo]:[Sexo]]=$B17,IF(DATOS_[[AGRUP. CLAS. PROF.]:[AGRUP. CLAS. PROF.]]=$B16,IF(DATOS_[[Check Periodo Ref.]:[Check Periodo Ref.]]="Dentro",IF(DATOS_[[Check Equiparado]:[Check Equiparado]]="Sí",IF(DATOS!BI$4="Sí",(1/DATOS_[[% anualiz]:[% anualiz]]),1)*IF(DATOS!BI$5="Sí",1/DATOS_[[% normaliz]:[% normaliz]],1)*(DATOS_[C.Extra.01])))))))), 0)</f>
        <v>0</v>
      </c>
      <c r="AQ17" s="303" t="n">
        <f aca="false" t="array" ref="AQ17:AQ17">IFERROR( (AVERAGE((IF(DATOS_[[Sexo]:[Sexo]]=$B17,IF(DATOS_[[AGRUP. CLAS. PROF.]:[AGRUP. CLAS. PROF.]]=$B16,IF(DATOS_[[Check Periodo Ref.]:[Check Periodo Ref.]]="Dentro",IF(DATOS_[[Check Equiparado]:[Check Equiparado]]="Sí",IF(DATOS!BJ$4="Sí",(1/DATOS_[[% anualiz]:[% anualiz]]),1)*IF(DATOS!BJ$5="Sí",1/DATOS_[[% normaliz]:[% normaliz]],1)*(DATOS_[C.Extra.02])))))))), 0)</f>
        <v>0</v>
      </c>
      <c r="AR17" s="303" t="n">
        <f aca="false" t="array" ref="AR17:AR17">IFERROR( (AVERAGE((IF(DATOS_[[Sexo]:[Sexo]]=$B17,IF(DATOS_[[AGRUP. CLAS. PROF.]:[AGRUP. CLAS. PROF.]]=$B16,IF(DATOS_[[Check Periodo Ref.]:[Check Periodo Ref.]]="Dentro",IF(DATOS_[[Check Equiparado]:[Check Equiparado]]="Sí",IF(DATOS!BK$4="Sí",(1/DATOS_[[% anualiz]:[% anualiz]]),1)*IF(DATOS!BK$5="Sí",1/DATOS_[[% normaliz]:[% normaliz]],1)*(DATOS_[C.Extra.03])))))))), 0)</f>
        <v>0</v>
      </c>
      <c r="AS17" s="303" t="n">
        <f aca="false" t="array" ref="AS17:AS17">IFERROR( (AVERAGE((IF(DATOS_[[Sexo]:[Sexo]]=$B17,IF(DATOS_[[AGRUP. CLAS. PROF.]:[AGRUP. CLAS. PROF.]]=$B16,IF(DATOS_[[Check Periodo Ref.]:[Check Periodo Ref.]]="Dentro",IF(DATOS_[[Check Equiparado]:[Check Equiparado]]="Sí",IF(DATOS!BL$4="Sí",(1/DATOS_[[% anualiz]:[% anualiz]]),1)*IF(DATOS!BL$5="Sí",1/DATOS_[[% normaliz]:[% normaliz]],1)*(DATOS_[C.Extra.04])))))))), 0)</f>
        <v>0</v>
      </c>
      <c r="AT17" s="303" t="n">
        <f aca="false" t="array" ref="AT17:AT17">IFERROR( (AVERAGE((IF(DATOS_[[Sexo]:[Sexo]]=$B17,IF(DATOS_[[AGRUP. CLAS. PROF.]:[AGRUP. CLAS. PROF.]]=$B16,IF(DATOS_[[Check Periodo Ref.]:[Check Periodo Ref.]]="Dentro",IF(DATOS_[[Check Equiparado]:[Check Equiparado]]="Sí",IF(DATOS!BM$4="Sí",(1/DATOS_[[% anualiz]:[% anualiz]]),1)*IF(DATOS!BM$5="Sí",1/DATOS_[[% normaliz]:[% normaliz]],1)*(DATOS_[C.Extra.05])))))))), 0)</f>
        <v>0</v>
      </c>
      <c r="AU17" s="297" t="n">
        <f aca="false" t="array" ref="AU17:AU17">IFERROR( AVERAGE(IF(DATOS_[Sexo]=$B17,IF(DATOS_[[AGRUP. CLAS. PROF.]:[AGRUP. CLAS. PROF.]]=$B15,IF(DATOS_[Check Equiparado]="Sí",IF(DATOS_[Check Periodo Ref.]="Dentro",DATOS_[Tot Extrasalarial Eq],0))))), 0)</f>
        <v>0</v>
      </c>
      <c r="AV17" s="298" t="n">
        <f aca="false" t="array" ref="AV17:AV17">IFERROR( AVERAGE(IF(DATOS_[Sexo]=$B17,IF(DATOS_[[AGRUP. CLAS. PROF.]:[AGRUP. CLAS. PROF.]]=$B15,IF(DATOS_[Check Equiparado]="Sí",IF(DATOS_[Check Periodo Ref.]="Dentro",DATOS_[TOTAL Retrib Eq],0))))), 0)</f>
        <v>0</v>
      </c>
    </row>
    <row r="18" customFormat="false" ht="15.75" hidden="false" customHeight="false" outlineLevel="0" collapsed="false">
      <c r="A18" s="166" t="str">
        <f aca="false">+A19</f>
        <v>[ocultar]</v>
      </c>
      <c r="B18" s="276" t="s">
        <v>175</v>
      </c>
      <c r="C18" s="277"/>
      <c r="D18" s="278"/>
      <c r="E18" s="278"/>
      <c r="F18" s="278"/>
      <c r="G18" s="278"/>
      <c r="H18" s="278"/>
      <c r="I18" s="279" t="str">
        <f aca="false">IFERROR((I19-I20)/I19,"")</f>
        <v/>
      </c>
      <c r="J18" s="280" t="str">
        <f aca="false">IFERROR((J19-J20)/J19,"")</f>
        <v/>
      </c>
      <c r="K18" s="281" t="str">
        <f aca="false">IFERROR((K19-K20)/K19,"")</f>
        <v/>
      </c>
      <c r="L18" s="281" t="str">
        <f aca="false">IFERROR((L19-L20)/L19,"")</f>
        <v/>
      </c>
      <c r="M18" s="281" t="str">
        <f aca="false">IFERROR((M19-M20)/M19,"")</f>
        <v/>
      </c>
      <c r="N18" s="282" t="str">
        <f aca="false">IFERROR((N19-N20)/N19,"")</f>
        <v/>
      </c>
      <c r="O18" s="283" t="str">
        <f aca="false">IFERROR((O19-O20)/O19,"")</f>
        <v/>
      </c>
      <c r="P18" s="283" t="str">
        <f aca="false">IFERROR((P19-P20)/P19,"")</f>
        <v/>
      </c>
      <c r="Q18" s="283" t="str">
        <f aca="false">IFERROR((Q19-Q20)/Q19,"")</f>
        <v/>
      </c>
      <c r="R18" s="283" t="str">
        <f aca="false">IFERROR((R19-R20)/R19,"")</f>
        <v/>
      </c>
      <c r="S18" s="283" t="str">
        <f aca="false">IFERROR((S19-S20)/S19,"")</f>
        <v/>
      </c>
      <c r="T18" s="283" t="str">
        <f aca="false">IFERROR((T19-T20)/T19,"")</f>
        <v/>
      </c>
      <c r="U18" s="283" t="str">
        <f aca="false">IFERROR((U19-U20)/U19,"")</f>
        <v/>
      </c>
      <c r="V18" s="283" t="str">
        <f aca="false">IFERROR((V19-V20)/V19,"")</f>
        <v/>
      </c>
      <c r="W18" s="283" t="str">
        <f aca="false">IFERROR((W19-W20)/W19,"")</f>
        <v/>
      </c>
      <c r="X18" s="283" t="str">
        <f aca="false">IFERROR((X19-X20)/X19,"")</f>
        <v/>
      </c>
      <c r="Y18" s="283" t="str">
        <f aca="false">IFERROR((Y19-Y20)/Y19,"")</f>
        <v/>
      </c>
      <c r="Z18" s="282" t="str">
        <f aca="false">IFERROR((Z19-Z20)/Z19,"")</f>
        <v/>
      </c>
      <c r="AA18" s="282" t="str">
        <f aca="false">IFERROR((AA19-AA20)/AA19,"")</f>
        <v/>
      </c>
      <c r="AB18" s="282" t="str">
        <f aca="false">IFERROR((AB19-AB20)/AB19,"")</f>
        <v/>
      </c>
      <c r="AC18" s="282" t="str">
        <f aca="false">IFERROR((AC19-AC20)/AC19,"")</f>
        <v/>
      </c>
      <c r="AD18" s="282" t="str">
        <f aca="false">IFERROR((AD19-AD20)/AD19,"")</f>
        <v/>
      </c>
      <c r="AE18" s="282" t="str">
        <f aca="false">IFERROR((AE19-AE20)/AE19,"")</f>
        <v/>
      </c>
      <c r="AF18" s="282" t="str">
        <f aca="false">IFERROR((AF19-AF20)/AF19,"")</f>
        <v/>
      </c>
      <c r="AG18" s="282" t="str">
        <f aca="false">IFERROR((AG19-AG20)/AG19,"")</f>
        <v/>
      </c>
      <c r="AH18" s="282" t="str">
        <f aca="false">IFERROR((AH19-AH20)/AH19,"")</f>
        <v/>
      </c>
      <c r="AI18" s="282" t="str">
        <f aca="false">IFERROR((AI19-AI20)/AI19,"")</f>
        <v/>
      </c>
      <c r="AJ18" s="282" t="str">
        <f aca="false">IFERROR((AJ19-AJ20)/AJ19,"")</f>
        <v/>
      </c>
      <c r="AK18" s="282" t="str">
        <f aca="false">IFERROR((AK19-AK20)/AK19,"")</f>
        <v/>
      </c>
      <c r="AL18" s="282" t="str">
        <f aca="false">IFERROR((AL19-AL20)/AL19,"")</f>
        <v/>
      </c>
      <c r="AM18" s="282" t="str">
        <f aca="false">IFERROR((AM19-AM20)/AM19,"")</f>
        <v/>
      </c>
      <c r="AN18" s="284" t="str">
        <f aca="false">IFERROR((AN19-AN20)/AN19,"")</f>
        <v/>
      </c>
      <c r="AO18" s="285" t="str">
        <f aca="false">IFERROR((AO19-AO20)/AO19,"")</f>
        <v/>
      </c>
      <c r="AP18" s="286" t="str">
        <f aca="false">IFERROR((AP19-AP20)/AP19,"")</f>
        <v/>
      </c>
      <c r="AQ18" s="286" t="str">
        <f aca="false">IFERROR((AQ19-AQ20)/AQ19,"")</f>
        <v/>
      </c>
      <c r="AR18" s="286" t="str">
        <f aca="false">IFERROR((AR19-AR20)/AR19,"")</f>
        <v/>
      </c>
      <c r="AS18" s="286" t="str">
        <f aca="false">IFERROR((AS19-AS20)/AS19,"")</f>
        <v/>
      </c>
      <c r="AT18" s="286" t="str">
        <f aca="false">IFERROR((AT19-AT20)/AT19,"")</f>
        <v/>
      </c>
      <c r="AU18" s="287" t="str">
        <f aca="false">IFERROR((AU19-AU20)/AU19,"")</f>
        <v/>
      </c>
      <c r="AV18" s="288" t="str">
        <f aca="false">IFERROR((AV19-AV20)/AV19,"")</f>
        <v/>
      </c>
    </row>
    <row r="19" customFormat="false" ht="14.25" hidden="false" customHeight="false" outlineLevel="0" collapsed="false">
      <c r="A19" s="166" t="str">
        <f aca="false">+IF(C19+C20=0,"[ocultar]","")</f>
        <v>[ocultar]</v>
      </c>
      <c r="B19" s="289" t="s">
        <v>371</v>
      </c>
      <c r="C19" s="290" t="n">
        <f aca="false" t="array" ref="C19:C19">SUM(IF($B19=DATOS_[Sexo], IF($B18=DATOS_[AGRUP. CLAS. PROF.], IF("Dentro"=DATOS_[Check Periodo Ref.], 1/(COUNTIFS(DATOS_[Sexo],$B19,DATOS_[AGRUP. CLAS. PROF.],$B18,DATOS_[Check Periodo Ref.],"Dentro",DATOS_[id],DATOS_[id]))))))</f>
        <v>0</v>
      </c>
      <c r="D19" s="291" t="n">
        <f aca="false">COUNTIFS(DATOS_[AGRUP. CLAS. PROF.],$B18,DATOS_[Sexo],$B19,DATOS_[Check Periodo Ref.],"Dentro")</f>
        <v>0</v>
      </c>
      <c r="E19" s="291" t="n">
        <f aca="false">COUNTIFS(DATOS_[AGRUP. CLAS. PROF.],$B18,DATOS_[Sexo],$B19,DATOS_[Check Periodo Ref.],"Dentro",DATOS_[Check Nº SC Norm],"Sí")</f>
        <v>0</v>
      </c>
      <c r="F19" s="291" t="n">
        <f aca="false">COUNTIFS(DATOS_[AGRUP. CLAS. PROF.],$B18,DATOS_[Sexo],$B19,DATOS_[Check Periodo Ref.],"Dentro",DATOS_[Check Nº SC Anualiz],"Sí")</f>
        <v>0</v>
      </c>
      <c r="G19" s="291" t="n">
        <f aca="false">COUNTIFS(DATOS_[AGRUP. CLAS. PROF.],$B18,DATOS_[Sexo],$B19,DATOS_[Check Periodo Ref.],"Dentro",DATOS_[Check Nº SC Norm y Anualiz],"Sí")</f>
        <v>0</v>
      </c>
      <c r="H19" s="291" t="n">
        <f aca="false">COUNTIFS(DATOS_[AGRUP. CLAS. PROF.],$B18,DATOS_[Sexo],$B19,DATOS_[Check Periodo Ref.],"Dentro",DATOS_[Check Equiparación],"Sí")</f>
        <v>0</v>
      </c>
      <c r="I19" s="292" t="n">
        <f aca="false" t="array" ref="I19:I19">IFERROR( AVERAGE(IF(DATOS_[Sexo]=$B19,IF(DATOS_[[AGRUP. CLAS. PROF.]:[AGRUP. CLAS. PROF.]]=$B18,IF(DATOS_[Check Equiparado]="Sí",IF(DATOS_[Check Periodo Ref.]="Dentro",DATOS_[SALARIO BASE Eq],0))))), 0)</f>
        <v>0</v>
      </c>
      <c r="J19" s="302" t="n">
        <f aca="false" t="array" ref="J19:J19">IFERROR( (AVERAGE((IF(DATOS_[[Sexo]:[Sexo]]=$B19,IF(DATOS_[[AGRUP. CLAS. PROF.]:[AGRUP. CLAS. PROF.]]=$B18,IF(DATOS_[[Check Periodo Ref.]:[Check Periodo Ref.]]="Dentro",IF(DATOS_[[Check Equiparado]:[Check Equiparado]]="Sí",IF(DATOS!AE$4="Sí",(1/DATOS_[[% anualiz]:[% anualiz]]),1)*IF(DATOS!AE$5="Sí",1/DATOS_[[% normaliz]:[% normaliz]],1)*(DATOS_[Conc.Sal.01])))))))), 0)</f>
        <v>0</v>
      </c>
      <c r="K19" s="302" t="n">
        <f aca="false" t="array" ref="K19:K19">IFERROR( (AVERAGE((IF(DATOS_[[Sexo]:[Sexo]]=$B19,IF(DATOS_[[AGRUP. CLAS. PROF.]:[AGRUP. CLAS. PROF.]]=$B18,IF(DATOS_[[Check Periodo Ref.]:[Check Periodo Ref.]]="Dentro",IF(DATOS_[[Check Equiparado]:[Check Equiparado]]="Sí",IF(DATOS!AF$4="Sí",(1/DATOS_[[% anualiz]:[% anualiz]]),1)*IF(DATOS!AF$5="Sí",1/DATOS_[[% normaliz]:[% normaliz]],1)*(DATOS_[Conc.Sal.02])))))))), 0)</f>
        <v>0</v>
      </c>
      <c r="L19" s="302" t="n">
        <f aca="false" t="array" ref="L19:L19">IFERROR( (AVERAGE((IF(DATOS_[[Sexo]:[Sexo]]=$B19,IF(DATOS_[[AGRUP. CLAS. PROF.]:[AGRUP. CLAS. PROF.]]=$B18,IF(DATOS_[[Check Periodo Ref.]:[Check Periodo Ref.]]="Dentro",IF(DATOS_[[Check Equiparado]:[Check Equiparado]]="Sí",IF(DATOS!AG$4="Sí",(1/DATOS_[[% anualiz]:[% anualiz]]),1)*IF(DATOS!AG$5="Sí",1/DATOS_[[% normaliz]:[% normaliz]],1)*(DATOS_[Conc.Sal.03])))))))), 0)</f>
        <v>0</v>
      </c>
      <c r="M19" s="302" t="n">
        <f aca="false" t="array" ref="M19:M19">IFERROR( (AVERAGE((IF(DATOS_[[Sexo]:[Sexo]]=$B19,IF(DATOS_[[AGRUP. CLAS. PROF.]:[AGRUP. CLAS. PROF.]]=$B18,IF(DATOS_[[Check Periodo Ref.]:[Check Periodo Ref.]]="Dentro",IF(DATOS_[[Check Equiparado]:[Check Equiparado]]="Sí",IF(DATOS!AH$4="Sí",(1/DATOS_[[% anualiz]:[% anualiz]]),1)*IF(DATOS!AH$5="Sí",1/DATOS_[[% normaliz]:[% normaliz]],1)*(DATOS_[Conc.Sal.04])))))))), 0)</f>
        <v>0</v>
      </c>
      <c r="N19" s="302" t="n">
        <f aca="false" t="array" ref="N19:N19">IFERROR( (AVERAGE((IF(DATOS_[[Sexo]:[Sexo]]=$B19,IF(DATOS_[[AGRUP. CLAS. PROF.]:[AGRUP. CLAS. PROF.]]=$B18,IF(DATOS_[[Check Periodo Ref.]:[Check Periodo Ref.]]="Dentro",IF(DATOS_[[Check Equiparado]:[Check Equiparado]]="Sí",IF(DATOS!AI$4="Sí",(1/DATOS_[[% anualiz]:[% anualiz]]),1)*IF(DATOS!AI$5="Sí",1/DATOS_[[% normaliz]:[% normaliz]],1)*(DATOS_[Conc.Sal.05])))))))), 0)</f>
        <v>0</v>
      </c>
      <c r="O19" s="302" t="n">
        <f aca="false" t="array" ref="O19:O19">IFERROR( (AVERAGE((IF(DATOS_[[Sexo]:[Sexo]]=$B19,IF(DATOS_[[AGRUP. CLAS. PROF.]:[AGRUP. CLAS. PROF.]]=$B18,IF(DATOS_[[Check Periodo Ref.]:[Check Periodo Ref.]]="Dentro",IF(DATOS_[[Check Equiparado]:[Check Equiparado]]="Sí",IF(DATOS!AJ$4="Sí",(1/DATOS_[[% anualiz]:[% anualiz]]),1)*IF(DATOS!AJ$5="Sí",1/DATOS_[[% normaliz]:[% normaliz]],1)*(DATOS_[Conc.Sal.06])))))))), 0)</f>
        <v>0</v>
      </c>
      <c r="P19" s="302" t="n">
        <f aca="false" t="array" ref="P19:P19">IFERROR( (AVERAGE((IF(DATOS_[[Sexo]:[Sexo]]=$B19,IF(DATOS_[[AGRUP. CLAS. PROF.]:[AGRUP. CLAS. PROF.]]=$B18,IF(DATOS_[[Check Periodo Ref.]:[Check Periodo Ref.]]="Dentro",IF(DATOS_[[Check Equiparado]:[Check Equiparado]]="Sí",IF(DATOS!AK$4="Sí",(1/DATOS_[[% anualiz]:[% anualiz]]),1)*IF(DATOS!AK$5="Sí",1/DATOS_[[% normaliz]:[% normaliz]],1)*(DATOS_[Conc.Sal.07])))))))), 0)</f>
        <v>0</v>
      </c>
      <c r="Q19" s="302" t="n">
        <f aca="false" t="array" ref="Q19:Q19">IFERROR( (AVERAGE((IF(DATOS_[[Sexo]:[Sexo]]=$B19,IF(DATOS_[[AGRUP. CLAS. PROF.]:[AGRUP. CLAS. PROF.]]=$B18,IF(DATOS_[[Check Periodo Ref.]:[Check Periodo Ref.]]="Dentro",IF(DATOS_[[Check Equiparado]:[Check Equiparado]]="Sí",IF(DATOS!AL$4="Sí",(1/DATOS_[[% anualiz]:[% anualiz]]),1)*IF(DATOS!AL$5="Sí",1/DATOS_[[% normaliz]:[% normaliz]],1)*(DATOS_[Conc.Sal.08])))))))), 0)</f>
        <v>0</v>
      </c>
      <c r="R19" s="302" t="n">
        <f aca="false" t="array" ref="R19:R19">IFERROR( (AVERAGE((IF(DATOS_[[Sexo]:[Sexo]]=$B19,IF(DATOS_[[AGRUP. CLAS. PROF.]:[AGRUP. CLAS. PROF.]]=$B18,IF(DATOS_[[Check Periodo Ref.]:[Check Periodo Ref.]]="Dentro",IF(DATOS_[[Check Equiparado]:[Check Equiparado]]="Sí",IF(DATOS!AM$4="Sí",(1/DATOS_[[% anualiz]:[% anualiz]]),1)*IF(DATOS!AM$5="Sí",1/DATOS_[[% normaliz]:[% normaliz]],1)*(DATOS_[Conc.Sal.09])))))))), 0)</f>
        <v>0</v>
      </c>
      <c r="S19" s="302" t="n">
        <f aca="false" t="array" ref="S19:S19">IFERROR( (AVERAGE((IF(DATOS_[[Sexo]:[Sexo]]=$B19,IF(DATOS_[[AGRUP. CLAS. PROF.]:[AGRUP. CLAS. PROF.]]=$B18,IF(DATOS_[[Check Periodo Ref.]:[Check Periodo Ref.]]="Dentro",IF(DATOS_[[Check Equiparado]:[Check Equiparado]]="Sí",IF(DATOS!AN$4="Sí",(1/DATOS_[[% anualiz]:[% anualiz]]),1)*IF(DATOS!AN$5="Sí",1/DATOS_[[% normaliz]:[% normaliz]],1)*(DATOS_[Conc.Sal.10])))))))), 0)</f>
        <v>0</v>
      </c>
      <c r="T19" s="302" t="n">
        <f aca="false" t="array" ref="T19:T19">IFERROR( (AVERAGE((IF(DATOS_[[Sexo]:[Sexo]]=$B19,IF(DATOS_[[AGRUP. CLAS. PROF.]:[AGRUP. CLAS. PROF.]]=$B18,IF(DATOS_[[Check Periodo Ref.]:[Check Periodo Ref.]]="Dentro",IF(DATOS_[[Check Equiparado]:[Check Equiparado]]="Sí",IF(DATOS!AO$4="Sí",(1/DATOS_[[% anualiz]:[% anualiz]]),1)*IF(DATOS!AO$5="Sí",1/DATOS_[[% normaliz]:[% normaliz]],1)*(DATOS_[Conc.Sal.11])))))))), 0)</f>
        <v>0</v>
      </c>
      <c r="U19" s="302" t="n">
        <f aca="false" t="array" ref="U19:U19">IFERROR( (AVERAGE((IF(DATOS_[[Sexo]:[Sexo]]=$B19,IF(DATOS_[[AGRUP. CLAS. PROF.]:[AGRUP. CLAS. PROF.]]=$B18,IF(DATOS_[[Check Periodo Ref.]:[Check Periodo Ref.]]="Dentro",IF(DATOS_[[Check Equiparado]:[Check Equiparado]]="Sí",IF(DATOS!AP$4="Sí",(1/DATOS_[[% anualiz]:[% anualiz]]),1)*IF(DATOS!AP$5="Sí",1/DATOS_[[% normaliz]:[% normaliz]],1)*(DATOS_[Conc.Sal.12])))))))), 0)</f>
        <v>0</v>
      </c>
      <c r="V19" s="302" t="n">
        <f aca="false" t="array" ref="V19:V19">IFERROR( (AVERAGE((IF(DATOS_[[Sexo]:[Sexo]]=$B19,IF(DATOS_[[AGRUP. CLAS. PROF.]:[AGRUP. CLAS. PROF.]]=$B18,IF(DATOS_[[Check Periodo Ref.]:[Check Periodo Ref.]]="Dentro",IF(DATOS_[[Check Equiparado]:[Check Equiparado]]="Sí",IF(DATOS!AQ$4="Sí",(1/DATOS_[[% anualiz]:[% anualiz]]),1)*IF(DATOS!AQ$5="Sí",1/DATOS_[[% normaliz]:[% normaliz]],1)*(DATOS_[Conc.Sal.13])))))))), 0)</f>
        <v>0</v>
      </c>
      <c r="W19" s="302" t="n">
        <f aca="false" t="array" ref="W19:W19">IFERROR( (AVERAGE((IF(DATOS_[[Sexo]:[Sexo]]=$B19,IF(DATOS_[[AGRUP. CLAS. PROF.]:[AGRUP. CLAS. PROF.]]=$B18,IF(DATOS_[[Check Periodo Ref.]:[Check Periodo Ref.]]="Dentro",IF(DATOS_[[Check Equiparado]:[Check Equiparado]]="Sí",IF(DATOS!AR$4="Sí",(1/DATOS_[[% anualiz]:[% anualiz]]),1)*IF(DATOS!AR$5="Sí",1/DATOS_[[% normaliz]:[% normaliz]],1)*(DATOS_[Conc.Sal.14])))))))), 0)</f>
        <v>0</v>
      </c>
      <c r="X19" s="302" t="n">
        <f aca="false" t="array" ref="X19:X19">IFERROR( (AVERAGE((IF(DATOS_[[Sexo]:[Sexo]]=$B19,IF(DATOS_[[AGRUP. CLAS. PROF.]:[AGRUP. CLAS. PROF.]]=$B18,IF(DATOS_[[Check Periodo Ref.]:[Check Periodo Ref.]]="Dentro",IF(DATOS_[[Check Equiparado]:[Check Equiparado]]="Sí",IF(DATOS!AS$4="Sí",(1/DATOS_[[% anualiz]:[% anualiz]]),1)*IF(DATOS!AS$5="Sí",1/DATOS_[[% normaliz]:[% normaliz]],1)*(DATOS_[Conc.Sal.15])))))))), 0)</f>
        <v>0</v>
      </c>
      <c r="Y19" s="302" t="n">
        <f aca="false" t="array" ref="Y19:Y19">IFERROR( (AVERAGE((IF(DATOS_[[Sexo]:[Sexo]]=$B19,IF(DATOS_[[AGRUP. CLAS. PROF.]:[AGRUP. CLAS. PROF.]]=$B18,IF(DATOS_[[Check Periodo Ref.]:[Check Periodo Ref.]]="Dentro",IF(DATOS_[[Check Equiparado]:[Check Equiparado]]="Sí",IF(DATOS!AT$4="Sí",(1/DATOS_[[% anualiz]:[% anualiz]]),1)*IF(DATOS!AT$5="Sí",1/DATOS_[[% normaliz]:[% normaliz]],1)*(DATOS_[Conc.Sal.16])))))))), 0)</f>
        <v>0</v>
      </c>
      <c r="Z19" s="302" t="n">
        <f aca="false" t="array" ref="Z19:Z19">IFERROR( (AVERAGE((IF(DATOS_[[Sexo]:[Sexo]]=$B19,IF(DATOS_[[AGRUP. CLAS. PROF.]:[AGRUP. CLAS. PROF.]]=$B18,IF(DATOS_[[Check Periodo Ref.]:[Check Periodo Ref.]]="Dentro",IF(DATOS_[[Check Equiparado]:[Check Equiparado]]="Sí",IF(DATOS!AU$4="Sí",(1/DATOS_[[% anualiz]:[% anualiz]]),1)*IF(DATOS!AU$5="Sí",1/DATOS_[[% normaliz]:[% normaliz]],1)*(DATOS_[Conc.Sal.17])))))))), 0)</f>
        <v>0</v>
      </c>
      <c r="AA19" s="302" t="n">
        <f aca="false" t="array" ref="AA19:AA19">IFERROR( (AVERAGE((IF(DATOS_[[Sexo]:[Sexo]]=$B19,IF(DATOS_[[AGRUP. CLAS. PROF.]:[AGRUP. CLAS. PROF.]]=$B18,IF(DATOS_[[Check Periodo Ref.]:[Check Periodo Ref.]]="Dentro",IF(DATOS_[[Check Equiparado]:[Check Equiparado]]="Sí",IF(DATOS!AV$4="Sí",(1/DATOS_[[% anualiz]:[% anualiz]]),1)*IF(DATOS!AV$5="Sí",1/DATOS_[[% normaliz]:[% normaliz]],1)*(DATOS_[Conc.Sal.18])))))))), 0)</f>
        <v>0</v>
      </c>
      <c r="AB19" s="302" t="n">
        <f aca="false" t="array" ref="AB19:AB19">IFERROR( (AVERAGE((IF(DATOS_[[Sexo]:[Sexo]]=$B19,IF(DATOS_[[AGRUP. CLAS. PROF.]:[AGRUP. CLAS. PROF.]]=$B18,IF(DATOS_[[Check Periodo Ref.]:[Check Periodo Ref.]]="Dentro",IF(DATOS_[[Check Equiparado]:[Check Equiparado]]="Sí",IF(DATOS!AW$4="Sí",(1/DATOS_[[% anualiz]:[% anualiz]]),1)*IF(DATOS!AW$5="Sí",1/DATOS_[[% normaliz]:[% normaliz]],1)*(DATOS_[Conc.Sal.19])))))))), 0)</f>
        <v>0</v>
      </c>
      <c r="AC19" s="302" t="n">
        <f aca="false" t="array" ref="AC19:AC19">IFERROR( (AVERAGE((IF(DATOS_[[Sexo]:[Sexo]]=$B19,IF(DATOS_[[AGRUP. CLAS. PROF.]:[AGRUP. CLAS. PROF.]]=$B18,IF(DATOS_[[Check Periodo Ref.]:[Check Periodo Ref.]]="Dentro",IF(DATOS_[[Check Equiparado]:[Check Equiparado]]="Sí",IF(DATOS!AX$4="Sí",(1/DATOS_[[% anualiz]:[% anualiz]]),1)*IF(DATOS!AX$5="Sí",1/DATOS_[[% normaliz]:[% normaliz]],1)*(DATOS_[Conc.Sal.20])))))))), 0)</f>
        <v>0</v>
      </c>
      <c r="AD19" s="302" t="n">
        <f aca="false" t="array" ref="AD19:AD19">IFERROR( (AVERAGE((IF(DATOS_[[Sexo]:[Sexo]]=$B19,IF(DATOS_[[AGRUP. CLAS. PROF.]:[AGRUP. CLAS. PROF.]]=$B18,IF(DATOS_[[Check Periodo Ref.]:[Check Periodo Ref.]]="Dentro",IF(DATOS_[[Check Equiparado]:[Check Equiparado]]="Sí",IF(DATOS!AY$4="Sí",(1/DATOS_[[% anualiz]:[% anualiz]]),1)*IF(DATOS!AY$5="Sí",1/DATOS_[[% normaliz]:[% normaliz]],1)*(DATOS_[Conc.Sal.21])))))))), 0)</f>
        <v>0</v>
      </c>
      <c r="AE19" s="302" t="n">
        <f aca="false" t="array" ref="AE19:AE19">IFERROR( (AVERAGE((IF(DATOS_[[Sexo]:[Sexo]]=$B19,IF(DATOS_[[AGRUP. CLAS. PROF.]:[AGRUP. CLAS. PROF.]]=$B18,IF(DATOS_[[Check Periodo Ref.]:[Check Periodo Ref.]]="Dentro",IF(DATOS_[[Check Equiparado]:[Check Equiparado]]="Sí",IF(DATOS!AZ$4="Sí",(1/DATOS_[[% anualiz]:[% anualiz]]),1)*IF(DATOS!AZ$5="Sí",1/DATOS_[[% normaliz]:[% normaliz]],1)*(DATOS_[Conc.Sal.22])))))))), 0)</f>
        <v>0</v>
      </c>
      <c r="AF19" s="302" t="n">
        <f aca="false" t="array" ref="AF19:AF19">IFERROR( (AVERAGE((IF(DATOS_[[Sexo]:[Sexo]]=$B19,IF(DATOS_[[AGRUP. CLAS. PROF.]:[AGRUP. CLAS. PROF.]]=$B18,IF(DATOS_[[Check Periodo Ref.]:[Check Periodo Ref.]]="Dentro",IF(DATOS_[[Check Equiparado]:[Check Equiparado]]="Sí",IF(DATOS!BA$4="Sí",(1/DATOS_[[% anualiz]:[% anualiz]]),1)*IF(DATOS!BA$5="Sí",1/DATOS_[[% normaliz]:[% normaliz]],1)*(DATOS_[Conc.Sal.23])))))))), 0)</f>
        <v>0</v>
      </c>
      <c r="AG19" s="302" t="n">
        <f aca="false" t="array" ref="AG19:AG19">IFERROR( (AVERAGE((IF(DATOS_[[Sexo]:[Sexo]]=$B19,IF(DATOS_[[AGRUP. CLAS. PROF.]:[AGRUP. CLAS. PROF.]]=$B18,IF(DATOS_[[Check Periodo Ref.]:[Check Periodo Ref.]]="Dentro",IF(DATOS_[[Check Equiparado]:[Check Equiparado]]="Sí",IF(DATOS!BB$4="Sí",(1/DATOS_[[% anualiz]:[% anualiz]]),1)*IF(DATOS!BB$5="Sí",1/DATOS_[[% normaliz]:[% normaliz]],1)*(DATOS_[Conc.Sal.24])))))))), 0)</f>
        <v>0</v>
      </c>
      <c r="AH19" s="302" t="n">
        <f aca="false" t="array" ref="AH19:AH19">IFERROR( (AVERAGE((IF(DATOS_[[Sexo]:[Sexo]]=$B19,IF(DATOS_[[AGRUP. CLAS. PROF.]:[AGRUP. CLAS. PROF.]]=$B18,IF(DATOS_[[Check Periodo Ref.]:[Check Periodo Ref.]]="Dentro",IF(DATOS_[[Check Equiparado]:[Check Equiparado]]="Sí",IF(DATOS!BC$4="Sí",(1/DATOS_[[% anualiz]:[% anualiz]]),1)*IF(DATOS!BC$5="Sí",1/DATOS_[[% normaliz]:[% normaliz]],1)*(DATOS_[Conc.Sal.25])))))))), 0)</f>
        <v>0</v>
      </c>
      <c r="AI19" s="302" t="n">
        <f aca="false" t="array" ref="AI19:AI19">IFERROR( (AVERAGE((IF(DATOS_[[Sexo]:[Sexo]]=$B19,IF(DATOS_[[AGRUP. CLAS. PROF.]:[AGRUP. CLAS. PROF.]]=$B18,IF(DATOS_[[Check Periodo Ref.]:[Check Periodo Ref.]]="Dentro",IF(DATOS_[[Check Equiparado]:[Check Equiparado]]="Sí",IF(DATOS!BD$4="Sí",(1/DATOS_[[% anualiz]:[% anualiz]]),1)*IF(DATOS!BD$5="Sí",1/DATOS_[[% normaliz]:[% normaliz]],1)*(DATOS_[Conc.Sal.26])))))))), 0)</f>
        <v>0</v>
      </c>
      <c r="AJ19" s="302" t="n">
        <f aca="false" t="array" ref="AJ19:AJ19">IFERROR( (AVERAGE((IF(DATOS_[[Sexo]:[Sexo]]=$B19,IF(DATOS_[[AGRUP. CLAS. PROF.]:[AGRUP. CLAS. PROF.]]=$B18,IF(DATOS_[[Check Periodo Ref.]:[Check Periodo Ref.]]="Dentro",IF(DATOS_[[Check Equiparado]:[Check Equiparado]]="Sí",IF(DATOS!BE$4="Sí",(1/DATOS_[[% anualiz]:[% anualiz]]),1)*IF(DATOS!BE$5="Sí",1/DATOS_[[% normaliz]:[% normaliz]],1)*(DATOS_[Conc.Sal.27])))))))), 0)</f>
        <v>0</v>
      </c>
      <c r="AK19" s="302" t="n">
        <f aca="false" t="array" ref="AK19:AK19">IFERROR( (AVERAGE((IF(DATOS_[[Sexo]:[Sexo]]=$B19,IF(DATOS_[[AGRUP. CLAS. PROF.]:[AGRUP. CLAS. PROF.]]=$B18,IF(DATOS_[[Check Periodo Ref.]:[Check Periodo Ref.]]="Dentro",IF(DATOS_[[Check Equiparado]:[Check Equiparado]]="Sí",IF(DATOS!BF$4="Sí",(1/DATOS_[[% anualiz]:[% anualiz]]),1)*IF(DATOS!BF$5="Sí",1/DATOS_[[% normaliz]:[% normaliz]],1)*(DATOS_[Conc.Sal.28])))))))), 0)</f>
        <v>0</v>
      </c>
      <c r="AL19" s="302" t="n">
        <f aca="false" t="array" ref="AL19:AL19">IFERROR( (AVERAGE((IF(DATOS_[[Sexo]:[Sexo]]=$B19,IF(DATOS_[[AGRUP. CLAS. PROF.]:[AGRUP. CLAS. PROF.]]=$B18,IF(DATOS_[[Check Periodo Ref.]:[Check Periodo Ref.]]="Dentro",IF(DATOS_[[Check Equiparado]:[Check Equiparado]]="Sí",IF(DATOS!BG$4="Sí",(1/DATOS_[[% anualiz]:[% anualiz]]),1)*IF(DATOS!BG$5="Sí",1/DATOS_[[% normaliz]:[% normaliz]],1)*(DATOS_[Conc.Sal.29])))))))), 0)</f>
        <v>0</v>
      </c>
      <c r="AM19" s="302" t="n">
        <f aca="false" t="array" ref="AM19:AM19">IFERROR( (AVERAGE((IF(DATOS_[[Sexo]:[Sexo]]=$B19,IF(DATOS_[[AGRUP. CLAS. PROF.]:[AGRUP. CLAS. PROF.]]=$B18,IF(DATOS_[[Check Periodo Ref.]:[Check Periodo Ref.]]="Dentro",IF(DATOS_[[Check Equiparado]:[Check Equiparado]]="Sí",IF(DATOS!BH$4="Sí",(1/DATOS_[[% anualiz]:[% anualiz]]),1)*IF(DATOS!BH$5="Sí",1/DATOS_[[% normaliz]:[% normaliz]],1)*(DATOS_[Conc.Sal.30])))))))), 0)</f>
        <v>0</v>
      </c>
      <c r="AN19" s="294" t="n">
        <f aca="false" t="array" ref="AN19:AN19">IFERROR( AVERAGE(IF(DATOS_[Sexo]=$B19,IF(DATOS_[[AGRUP. CLAS. PROF.]:[AGRUP. CLAS. PROF.]]=$B18,IF(DATOS_[Check Equiparado]="Sí",IF(DATOS_[Check Periodo Ref.]="Dentro",DATOS_[Tot COMPL.SAL Eq],0))))), 0)</f>
        <v>0</v>
      </c>
      <c r="AO19" s="295" t="n">
        <f aca="false" t="array" ref="AO19:AO19">IFERROR( AVERAGE(IF(DATOS_[Sexo]=$B19,IF(DATOS_[[AGRUP. CLAS. PROF.]:[AGRUP. CLAS. PROF.]]=$B18,IF(DATOS_[Check Equiparado]="Sí",IF(DATOS_[Check Periodo Ref.]="Dentro",DATOS_[TOTAL SALARIO Eq],0))))), 0)</f>
        <v>0</v>
      </c>
      <c r="AP19" s="303" t="n">
        <f aca="false" t="array" ref="AP19:AP19">IFERROR( (AVERAGE((IF(DATOS_[[Sexo]:[Sexo]]=$B19,IF(DATOS_[[AGRUP. CLAS. PROF.]:[AGRUP. CLAS. PROF.]]=$B18,IF(DATOS_[[Check Periodo Ref.]:[Check Periodo Ref.]]="Dentro",IF(DATOS_[[Check Equiparado]:[Check Equiparado]]="Sí",IF(DATOS!BI$4="Sí",(1/DATOS_[[% anualiz]:[% anualiz]]),1)*IF(DATOS!BI$5="Sí",1/DATOS_[[% normaliz]:[% normaliz]],1)*(DATOS_[C.Extra.01])))))))), 0)</f>
        <v>0</v>
      </c>
      <c r="AQ19" s="303" t="n">
        <f aca="false" t="array" ref="AQ19:AQ19">IFERROR( (AVERAGE((IF(DATOS_[[Sexo]:[Sexo]]=$B19,IF(DATOS_[[AGRUP. CLAS. PROF.]:[AGRUP. CLAS. PROF.]]=$B18,IF(DATOS_[[Check Periodo Ref.]:[Check Periodo Ref.]]="Dentro",IF(DATOS_[[Check Equiparado]:[Check Equiparado]]="Sí",IF(DATOS!BJ$4="Sí",(1/DATOS_[[% anualiz]:[% anualiz]]),1)*IF(DATOS!BJ$5="Sí",1/DATOS_[[% normaliz]:[% normaliz]],1)*(DATOS_[C.Extra.02])))))))), 0)</f>
        <v>0</v>
      </c>
      <c r="AR19" s="303" t="n">
        <f aca="false" t="array" ref="AR19:AR19">IFERROR( (AVERAGE((IF(DATOS_[[Sexo]:[Sexo]]=$B19,IF(DATOS_[[AGRUP. CLAS. PROF.]:[AGRUP. CLAS. PROF.]]=$B18,IF(DATOS_[[Check Periodo Ref.]:[Check Periodo Ref.]]="Dentro",IF(DATOS_[[Check Equiparado]:[Check Equiparado]]="Sí",IF(DATOS!BK$4="Sí",(1/DATOS_[[% anualiz]:[% anualiz]]),1)*IF(DATOS!BK$5="Sí",1/DATOS_[[% normaliz]:[% normaliz]],1)*(DATOS_[C.Extra.03])))))))), 0)</f>
        <v>0</v>
      </c>
      <c r="AS19" s="303" t="n">
        <f aca="false" t="array" ref="AS19:AS19">IFERROR( (AVERAGE((IF(DATOS_[[Sexo]:[Sexo]]=$B19,IF(DATOS_[[AGRUP. CLAS. PROF.]:[AGRUP. CLAS. PROF.]]=$B18,IF(DATOS_[[Check Periodo Ref.]:[Check Periodo Ref.]]="Dentro",IF(DATOS_[[Check Equiparado]:[Check Equiparado]]="Sí",IF(DATOS!BL$4="Sí",(1/DATOS_[[% anualiz]:[% anualiz]]),1)*IF(DATOS!BL$5="Sí",1/DATOS_[[% normaliz]:[% normaliz]],1)*(DATOS_[C.Extra.04])))))))), 0)</f>
        <v>0</v>
      </c>
      <c r="AT19" s="303" t="n">
        <f aca="false" t="array" ref="AT19:AT19">IFERROR( (AVERAGE((IF(DATOS_[[Sexo]:[Sexo]]=$B19,IF(DATOS_[[AGRUP. CLAS. PROF.]:[AGRUP. CLAS. PROF.]]=$B18,IF(DATOS_[[Check Periodo Ref.]:[Check Periodo Ref.]]="Dentro",IF(DATOS_[[Check Equiparado]:[Check Equiparado]]="Sí",IF(DATOS!BM$4="Sí",(1/DATOS_[[% anualiz]:[% anualiz]]),1)*IF(DATOS!BM$5="Sí",1/DATOS_[[% normaliz]:[% normaliz]],1)*(DATOS_[C.Extra.05])))))))), 0)</f>
        <v>0</v>
      </c>
      <c r="AU19" s="297" t="n">
        <f aca="false" t="array" ref="AU19:AU19">IFERROR( AVERAGE(IF(DATOS_[Sexo]=$B19,IF(DATOS_[[AGRUP. CLAS. PROF.]:[AGRUP. CLAS. PROF.]]=$B18,IF(DATOS_[Check Equiparado]="Sí",IF(DATOS_[Check Periodo Ref.]="Dentro",DATOS_[Tot Extrasalarial Eq],0))))), 0)</f>
        <v>0</v>
      </c>
      <c r="AV19" s="298" t="n">
        <f aca="false" t="array" ref="AV19:AV19">IFERROR( AVERAGE(IF(DATOS_[Sexo]=$B19,IF(DATOS_[[AGRUP. CLAS. PROF.]:[AGRUP. CLAS. PROF.]]=$B18,IF(DATOS_[Check Equiparado]="Sí",IF(DATOS_[Check Periodo Ref.]="Dentro",DATOS_[TOTAL Retrib Eq],0))))), 0)</f>
        <v>0</v>
      </c>
    </row>
    <row r="20" customFormat="false" ht="14.25" hidden="false" customHeight="false" outlineLevel="0" collapsed="false">
      <c r="A20" s="166" t="str">
        <f aca="false">+A19</f>
        <v>[ocultar]</v>
      </c>
      <c r="B20" s="289" t="s">
        <v>372</v>
      </c>
      <c r="C20" s="290" t="n">
        <f aca="false" t="array" ref="C20:C20">SUM(IF($B20=DATOS_[Sexo], IF($B18=DATOS_[AGRUP. CLAS. PROF.], IF("Dentro"=DATOS_[Check Periodo Ref.], 1/(COUNTIFS(DATOS_[Sexo],$B20,DATOS_[AGRUP. CLAS. PROF.],$B18,DATOS_[Check Periodo Ref.],"Dentro",DATOS_[id],DATOS_[id]))))))</f>
        <v>0</v>
      </c>
      <c r="D20" s="291" t="n">
        <f aca="false">COUNTIFS(DATOS_[AGRUP. CLAS. PROF.],$B18,DATOS_[Sexo],$B20,DATOS_[Check Periodo Ref.],"Dentro")</f>
        <v>0</v>
      </c>
      <c r="E20" s="291" t="n">
        <f aca="false">COUNTIFS(DATOS_[AGRUP. CLAS. PROF.],$B18,DATOS_[Sexo],$B20,DATOS_[Check Periodo Ref.],"Dentro",DATOS_[Check Nº SC Norm],"Sí")</f>
        <v>0</v>
      </c>
      <c r="F20" s="291" t="n">
        <f aca="false">COUNTIFS(DATOS_[AGRUP. CLAS. PROF.],$B18,DATOS_[Sexo],$B20,DATOS_[Check Periodo Ref.],"Dentro",DATOS_[Check Nº SC Anualiz],"Sí")</f>
        <v>0</v>
      </c>
      <c r="G20" s="291" t="n">
        <f aca="false">COUNTIFS(DATOS_[AGRUP. CLAS. PROF.],$B18,DATOS_[Sexo],$B20,DATOS_[Check Periodo Ref.],"Dentro",DATOS_[Check Nº SC Norm y Anualiz],"Sí")</f>
        <v>0</v>
      </c>
      <c r="H20" s="291" t="n">
        <f aca="false">COUNTIFS(DATOS_[AGRUP. CLAS. PROF.],$B18,DATOS_[Sexo],$B20,DATOS_[Check Periodo Ref.],"Dentro",DATOS_[Check Equiparación],"Sí")</f>
        <v>0</v>
      </c>
      <c r="I20" s="292" t="n">
        <f aca="false" t="array" ref="I20:I20">IFERROR( AVERAGE(IF(DATOS_[Sexo]=$B20,IF(DATOS_[[AGRUP. CLAS. PROF.]:[AGRUP. CLAS. PROF.]]=$B18,IF(DATOS_[Check Equiparado]="Sí",IF(DATOS_[Check Periodo Ref.]="Dentro",DATOS_[SALARIO BASE Eq],0))))), 0)</f>
        <v>0</v>
      </c>
      <c r="J20" s="302" t="n">
        <f aca="false" t="array" ref="J20:J20">IFERROR( (AVERAGE((IF(DATOS_[[Sexo]:[Sexo]]=$B20,IF(DATOS_[[AGRUP. CLAS. PROF.]:[AGRUP. CLAS. PROF.]]=$B18,IF(DATOS_[[Check Periodo Ref.]:[Check Periodo Ref.]]="Dentro",IF(DATOS_[[Check Equiparado]:[Check Equiparado]]="Sí",IF(DATOS!AE$4="Sí",(1/DATOS_[[% anualiz]:[% anualiz]]),1)*IF(DATOS!AE$5="Sí",1/DATOS_[[% normaliz]:[% normaliz]],1)*(DATOS_[Conc.Sal.01])))))))), 0)</f>
        <v>0</v>
      </c>
      <c r="K20" s="302" t="n">
        <f aca="false" t="array" ref="K20:K20">IFERROR( (AVERAGE((IF(DATOS_[[Sexo]:[Sexo]]=$B20,IF(DATOS_[[AGRUP. CLAS. PROF.]:[AGRUP. CLAS. PROF.]]=$B18,IF(DATOS_[[Check Periodo Ref.]:[Check Periodo Ref.]]="Dentro",IF(DATOS_[[Check Equiparado]:[Check Equiparado]]="Sí",IF(DATOS!AF$4="Sí",(1/DATOS_[[% anualiz]:[% anualiz]]),1)*IF(DATOS!AF$5="Sí",1/DATOS_[[% normaliz]:[% normaliz]],1)*(DATOS_[Conc.Sal.02])))))))), 0)</f>
        <v>0</v>
      </c>
      <c r="L20" s="302" t="n">
        <f aca="false" t="array" ref="L20:L20">IFERROR( (AVERAGE((IF(DATOS_[[Sexo]:[Sexo]]=$B20,IF(DATOS_[[AGRUP. CLAS. PROF.]:[AGRUP. CLAS. PROF.]]=$B18,IF(DATOS_[[Check Periodo Ref.]:[Check Periodo Ref.]]="Dentro",IF(DATOS_[[Check Equiparado]:[Check Equiparado]]="Sí",IF(DATOS!AG$4="Sí",(1/DATOS_[[% anualiz]:[% anualiz]]),1)*IF(DATOS!AG$5="Sí",1/DATOS_[[% normaliz]:[% normaliz]],1)*(DATOS_[Conc.Sal.03])))))))), 0)</f>
        <v>0</v>
      </c>
      <c r="M20" s="302" t="n">
        <f aca="false" t="array" ref="M20:M20">IFERROR( (AVERAGE((IF(DATOS_[[Sexo]:[Sexo]]=$B20,IF(DATOS_[[AGRUP. CLAS. PROF.]:[AGRUP. CLAS. PROF.]]=$B18,IF(DATOS_[[Check Periodo Ref.]:[Check Periodo Ref.]]="Dentro",IF(DATOS_[[Check Equiparado]:[Check Equiparado]]="Sí",IF(DATOS!AH$4="Sí",(1/DATOS_[[% anualiz]:[% anualiz]]),1)*IF(DATOS!AH$5="Sí",1/DATOS_[[% normaliz]:[% normaliz]],1)*(DATOS_[Conc.Sal.04])))))))), 0)</f>
        <v>0</v>
      </c>
      <c r="N20" s="302" t="n">
        <f aca="false" t="array" ref="N20:N20">IFERROR( (AVERAGE((IF(DATOS_[[Sexo]:[Sexo]]=$B20,IF(DATOS_[[AGRUP. CLAS. PROF.]:[AGRUP. CLAS. PROF.]]=$B18,IF(DATOS_[[Check Periodo Ref.]:[Check Periodo Ref.]]="Dentro",IF(DATOS_[[Check Equiparado]:[Check Equiparado]]="Sí",IF(DATOS!AI$4="Sí",(1/DATOS_[[% anualiz]:[% anualiz]]),1)*IF(DATOS!AI$5="Sí",1/DATOS_[[% normaliz]:[% normaliz]],1)*(DATOS_[Conc.Sal.05])))))))), 0)</f>
        <v>0</v>
      </c>
      <c r="O20" s="302" t="n">
        <f aca="false" t="array" ref="O20:O20">IFERROR( (AVERAGE((IF(DATOS_[[Sexo]:[Sexo]]=$B20,IF(DATOS_[[AGRUP. CLAS. PROF.]:[AGRUP. CLAS. PROF.]]=$B18,IF(DATOS_[[Check Periodo Ref.]:[Check Periodo Ref.]]="Dentro",IF(DATOS_[[Check Equiparado]:[Check Equiparado]]="Sí",IF(DATOS!AJ$4="Sí",(1/DATOS_[[% anualiz]:[% anualiz]]),1)*IF(DATOS!AJ$5="Sí",1/DATOS_[[% normaliz]:[% normaliz]],1)*(DATOS_[Conc.Sal.06])))))))), 0)</f>
        <v>0</v>
      </c>
      <c r="P20" s="302" t="n">
        <f aca="false" t="array" ref="P20:P20">IFERROR( (AVERAGE((IF(DATOS_[[Sexo]:[Sexo]]=$B20,IF(DATOS_[[AGRUP. CLAS. PROF.]:[AGRUP. CLAS. PROF.]]=$B18,IF(DATOS_[[Check Periodo Ref.]:[Check Periodo Ref.]]="Dentro",IF(DATOS_[[Check Equiparado]:[Check Equiparado]]="Sí",IF(DATOS!AK$4="Sí",(1/DATOS_[[% anualiz]:[% anualiz]]),1)*IF(DATOS!AK$5="Sí",1/DATOS_[[% normaliz]:[% normaliz]],1)*(DATOS_[Conc.Sal.07])))))))), 0)</f>
        <v>0</v>
      </c>
      <c r="Q20" s="302" t="n">
        <f aca="false" t="array" ref="Q20:Q20">IFERROR( (AVERAGE((IF(DATOS_[[Sexo]:[Sexo]]=$B20,IF(DATOS_[[AGRUP. CLAS. PROF.]:[AGRUP. CLAS. PROF.]]=$B18,IF(DATOS_[[Check Periodo Ref.]:[Check Periodo Ref.]]="Dentro",IF(DATOS_[[Check Equiparado]:[Check Equiparado]]="Sí",IF(DATOS!AL$4="Sí",(1/DATOS_[[% anualiz]:[% anualiz]]),1)*IF(DATOS!AL$5="Sí",1/DATOS_[[% normaliz]:[% normaliz]],1)*(DATOS_[Conc.Sal.08])))))))), 0)</f>
        <v>0</v>
      </c>
      <c r="R20" s="302" t="n">
        <f aca="false" t="array" ref="R20:R20">IFERROR( (AVERAGE((IF(DATOS_[[Sexo]:[Sexo]]=$B20,IF(DATOS_[[AGRUP. CLAS. PROF.]:[AGRUP. CLAS. PROF.]]=$B18,IF(DATOS_[[Check Periodo Ref.]:[Check Periodo Ref.]]="Dentro",IF(DATOS_[[Check Equiparado]:[Check Equiparado]]="Sí",IF(DATOS!AM$4="Sí",(1/DATOS_[[% anualiz]:[% anualiz]]),1)*IF(DATOS!AM$5="Sí",1/DATOS_[[% normaliz]:[% normaliz]],1)*(DATOS_[Conc.Sal.09])))))))), 0)</f>
        <v>0</v>
      </c>
      <c r="S20" s="302" t="n">
        <f aca="false" t="array" ref="S20:S20">IFERROR( (AVERAGE((IF(DATOS_[[Sexo]:[Sexo]]=$B20,IF(DATOS_[[AGRUP. CLAS. PROF.]:[AGRUP. CLAS. PROF.]]=$B18,IF(DATOS_[[Check Periodo Ref.]:[Check Periodo Ref.]]="Dentro",IF(DATOS_[[Check Equiparado]:[Check Equiparado]]="Sí",IF(DATOS!AN$4="Sí",(1/DATOS_[[% anualiz]:[% anualiz]]),1)*IF(DATOS!AN$5="Sí",1/DATOS_[[% normaliz]:[% normaliz]],1)*(DATOS_[Conc.Sal.10])))))))), 0)</f>
        <v>0</v>
      </c>
      <c r="T20" s="302" t="n">
        <f aca="false" t="array" ref="T20:T20">IFERROR( (AVERAGE((IF(DATOS_[[Sexo]:[Sexo]]=$B20,IF(DATOS_[[AGRUP. CLAS. PROF.]:[AGRUP. CLAS. PROF.]]=$B18,IF(DATOS_[[Check Periodo Ref.]:[Check Periodo Ref.]]="Dentro",IF(DATOS_[[Check Equiparado]:[Check Equiparado]]="Sí",IF(DATOS!AO$4="Sí",(1/DATOS_[[% anualiz]:[% anualiz]]),1)*IF(DATOS!AO$5="Sí",1/DATOS_[[% normaliz]:[% normaliz]],1)*(DATOS_[Conc.Sal.11])))))))), 0)</f>
        <v>0</v>
      </c>
      <c r="U20" s="302" t="n">
        <f aca="false" t="array" ref="U20:U20">IFERROR( (AVERAGE((IF(DATOS_[[Sexo]:[Sexo]]=$B20,IF(DATOS_[[AGRUP. CLAS. PROF.]:[AGRUP. CLAS. PROF.]]=$B18,IF(DATOS_[[Check Periodo Ref.]:[Check Periodo Ref.]]="Dentro",IF(DATOS_[[Check Equiparado]:[Check Equiparado]]="Sí",IF(DATOS!AP$4="Sí",(1/DATOS_[[% anualiz]:[% anualiz]]),1)*IF(DATOS!AP$5="Sí",1/DATOS_[[% normaliz]:[% normaliz]],1)*(DATOS_[Conc.Sal.12])))))))), 0)</f>
        <v>0</v>
      </c>
      <c r="V20" s="302" t="n">
        <f aca="false" t="array" ref="V20:V20">IFERROR( (AVERAGE((IF(DATOS_[[Sexo]:[Sexo]]=$B20,IF(DATOS_[[AGRUP. CLAS. PROF.]:[AGRUP. CLAS. PROF.]]=$B18,IF(DATOS_[[Check Periodo Ref.]:[Check Periodo Ref.]]="Dentro",IF(DATOS_[[Check Equiparado]:[Check Equiparado]]="Sí",IF(DATOS!AQ$4="Sí",(1/DATOS_[[% anualiz]:[% anualiz]]),1)*IF(DATOS!AQ$5="Sí",1/DATOS_[[% normaliz]:[% normaliz]],1)*(DATOS_[Conc.Sal.13])))))))), 0)</f>
        <v>0</v>
      </c>
      <c r="W20" s="302" t="n">
        <f aca="false" t="array" ref="W20:W20">IFERROR( (AVERAGE((IF(DATOS_[[Sexo]:[Sexo]]=$B20,IF(DATOS_[[AGRUP. CLAS. PROF.]:[AGRUP. CLAS. PROF.]]=$B18,IF(DATOS_[[Check Periodo Ref.]:[Check Periodo Ref.]]="Dentro",IF(DATOS_[[Check Equiparado]:[Check Equiparado]]="Sí",IF(DATOS!AR$4="Sí",(1/DATOS_[[% anualiz]:[% anualiz]]),1)*IF(DATOS!AR$5="Sí",1/DATOS_[[% normaliz]:[% normaliz]],1)*(DATOS_[Conc.Sal.14])))))))), 0)</f>
        <v>0</v>
      </c>
      <c r="X20" s="302" t="n">
        <f aca="false" t="array" ref="X20:X20">IFERROR( (AVERAGE((IF(DATOS_[[Sexo]:[Sexo]]=$B20,IF(DATOS_[[AGRUP. CLAS. PROF.]:[AGRUP. CLAS. PROF.]]=$B18,IF(DATOS_[[Check Periodo Ref.]:[Check Periodo Ref.]]="Dentro",IF(DATOS_[[Check Equiparado]:[Check Equiparado]]="Sí",IF(DATOS!AS$4="Sí",(1/DATOS_[[% anualiz]:[% anualiz]]),1)*IF(DATOS!AS$5="Sí",1/DATOS_[[% normaliz]:[% normaliz]],1)*(DATOS_[Conc.Sal.15])))))))), 0)</f>
        <v>0</v>
      </c>
      <c r="Y20" s="302" t="n">
        <f aca="false" t="array" ref="Y20:Y20">IFERROR( (AVERAGE((IF(DATOS_[[Sexo]:[Sexo]]=$B20,IF(DATOS_[[AGRUP. CLAS. PROF.]:[AGRUP. CLAS. PROF.]]=$B18,IF(DATOS_[[Check Periodo Ref.]:[Check Periodo Ref.]]="Dentro",IF(DATOS_[[Check Equiparado]:[Check Equiparado]]="Sí",IF(DATOS!AT$4="Sí",(1/DATOS_[[% anualiz]:[% anualiz]]),1)*IF(DATOS!AT$5="Sí",1/DATOS_[[% normaliz]:[% normaliz]],1)*(DATOS_[Conc.Sal.16])))))))), 0)</f>
        <v>0</v>
      </c>
      <c r="Z20" s="302" t="n">
        <f aca="false" t="array" ref="Z20:Z20">IFERROR( (AVERAGE((IF(DATOS_[[Sexo]:[Sexo]]=$B20,IF(DATOS_[[AGRUP. CLAS. PROF.]:[AGRUP. CLAS. PROF.]]=$B18,IF(DATOS_[[Check Periodo Ref.]:[Check Periodo Ref.]]="Dentro",IF(DATOS_[[Check Equiparado]:[Check Equiparado]]="Sí",IF(DATOS!AU$4="Sí",(1/DATOS_[[% anualiz]:[% anualiz]]),1)*IF(DATOS!AU$5="Sí",1/DATOS_[[% normaliz]:[% normaliz]],1)*(DATOS_[Conc.Sal.17])))))))), 0)</f>
        <v>0</v>
      </c>
      <c r="AA20" s="302" t="n">
        <f aca="false" t="array" ref="AA20:AA20">IFERROR( (AVERAGE((IF(DATOS_[[Sexo]:[Sexo]]=$B20,IF(DATOS_[[AGRUP. CLAS. PROF.]:[AGRUP. CLAS. PROF.]]=$B18,IF(DATOS_[[Check Periodo Ref.]:[Check Periodo Ref.]]="Dentro",IF(DATOS_[[Check Equiparado]:[Check Equiparado]]="Sí",IF(DATOS!AV$4="Sí",(1/DATOS_[[% anualiz]:[% anualiz]]),1)*IF(DATOS!AV$5="Sí",1/DATOS_[[% normaliz]:[% normaliz]],1)*(DATOS_[Conc.Sal.18])))))))), 0)</f>
        <v>0</v>
      </c>
      <c r="AB20" s="302" t="n">
        <f aca="false" t="array" ref="AB20:AB20">IFERROR( (AVERAGE((IF(DATOS_[[Sexo]:[Sexo]]=$B20,IF(DATOS_[[AGRUP. CLAS. PROF.]:[AGRUP. CLAS. PROF.]]=$B18,IF(DATOS_[[Check Periodo Ref.]:[Check Periodo Ref.]]="Dentro",IF(DATOS_[[Check Equiparado]:[Check Equiparado]]="Sí",IF(DATOS!AW$4="Sí",(1/DATOS_[[% anualiz]:[% anualiz]]),1)*IF(DATOS!AW$5="Sí",1/DATOS_[[% normaliz]:[% normaliz]],1)*(DATOS_[Conc.Sal.19])))))))), 0)</f>
        <v>0</v>
      </c>
      <c r="AC20" s="302" t="n">
        <f aca="false" t="array" ref="AC20:AC20">IFERROR( (AVERAGE((IF(DATOS_[[Sexo]:[Sexo]]=$B20,IF(DATOS_[[AGRUP. CLAS. PROF.]:[AGRUP. CLAS. PROF.]]=$B18,IF(DATOS_[[Check Periodo Ref.]:[Check Periodo Ref.]]="Dentro",IF(DATOS_[[Check Equiparado]:[Check Equiparado]]="Sí",IF(DATOS!AX$4="Sí",(1/DATOS_[[% anualiz]:[% anualiz]]),1)*IF(DATOS!AX$5="Sí",1/DATOS_[[% normaliz]:[% normaliz]],1)*(DATOS_[Conc.Sal.20])))))))), 0)</f>
        <v>0</v>
      </c>
      <c r="AD20" s="302" t="n">
        <f aca="false" t="array" ref="AD20:AD20">IFERROR( (AVERAGE((IF(DATOS_[[Sexo]:[Sexo]]=$B20,IF(DATOS_[[AGRUP. CLAS. PROF.]:[AGRUP. CLAS. PROF.]]=$B18,IF(DATOS_[[Check Periodo Ref.]:[Check Periodo Ref.]]="Dentro",IF(DATOS_[[Check Equiparado]:[Check Equiparado]]="Sí",IF(DATOS!AY$4="Sí",(1/DATOS_[[% anualiz]:[% anualiz]]),1)*IF(DATOS!AY$5="Sí",1/DATOS_[[% normaliz]:[% normaliz]],1)*(DATOS_[Conc.Sal.21])))))))), 0)</f>
        <v>0</v>
      </c>
      <c r="AE20" s="302" t="n">
        <f aca="false" t="array" ref="AE20:AE20">IFERROR( (AVERAGE((IF(DATOS_[[Sexo]:[Sexo]]=$B20,IF(DATOS_[[AGRUP. CLAS. PROF.]:[AGRUP. CLAS. PROF.]]=$B18,IF(DATOS_[[Check Periodo Ref.]:[Check Periodo Ref.]]="Dentro",IF(DATOS_[[Check Equiparado]:[Check Equiparado]]="Sí",IF(DATOS!AZ$4="Sí",(1/DATOS_[[% anualiz]:[% anualiz]]),1)*IF(DATOS!AZ$5="Sí",1/DATOS_[[% normaliz]:[% normaliz]],1)*(DATOS_[Conc.Sal.22])))))))), 0)</f>
        <v>0</v>
      </c>
      <c r="AF20" s="302" t="n">
        <f aca="false" t="array" ref="AF20:AF20">IFERROR( (AVERAGE((IF(DATOS_[[Sexo]:[Sexo]]=$B20,IF(DATOS_[[AGRUP. CLAS. PROF.]:[AGRUP. CLAS. PROF.]]=$B18,IF(DATOS_[[Check Periodo Ref.]:[Check Periodo Ref.]]="Dentro",IF(DATOS_[[Check Equiparado]:[Check Equiparado]]="Sí",IF(DATOS!BA$4="Sí",(1/DATOS_[[% anualiz]:[% anualiz]]),1)*IF(DATOS!BA$5="Sí",1/DATOS_[[% normaliz]:[% normaliz]],1)*(DATOS_[Conc.Sal.23])))))))), 0)</f>
        <v>0</v>
      </c>
      <c r="AG20" s="302" t="n">
        <f aca="false" t="array" ref="AG20:AG20">IFERROR( (AVERAGE((IF(DATOS_[[Sexo]:[Sexo]]=$B20,IF(DATOS_[[AGRUP. CLAS. PROF.]:[AGRUP. CLAS. PROF.]]=$B18,IF(DATOS_[[Check Periodo Ref.]:[Check Periodo Ref.]]="Dentro",IF(DATOS_[[Check Equiparado]:[Check Equiparado]]="Sí",IF(DATOS!BB$4="Sí",(1/DATOS_[[% anualiz]:[% anualiz]]),1)*IF(DATOS!BB$5="Sí",1/DATOS_[[% normaliz]:[% normaliz]],1)*(DATOS_[Conc.Sal.24])))))))), 0)</f>
        <v>0</v>
      </c>
      <c r="AH20" s="302" t="n">
        <f aca="false" t="array" ref="AH20:AH20">IFERROR( (AVERAGE((IF(DATOS_[[Sexo]:[Sexo]]=$B20,IF(DATOS_[[AGRUP. CLAS. PROF.]:[AGRUP. CLAS. PROF.]]=$B18,IF(DATOS_[[Check Periodo Ref.]:[Check Periodo Ref.]]="Dentro",IF(DATOS_[[Check Equiparado]:[Check Equiparado]]="Sí",IF(DATOS!BC$4="Sí",(1/DATOS_[[% anualiz]:[% anualiz]]),1)*IF(DATOS!BC$5="Sí",1/DATOS_[[% normaliz]:[% normaliz]],1)*(DATOS_[Conc.Sal.25])))))))), 0)</f>
        <v>0</v>
      </c>
      <c r="AI20" s="302" t="n">
        <f aca="false" t="array" ref="AI20:AI20">IFERROR( (AVERAGE((IF(DATOS_[[Sexo]:[Sexo]]=$B20,IF(DATOS_[[AGRUP. CLAS. PROF.]:[AGRUP. CLAS. PROF.]]=$B18,IF(DATOS_[[Check Periodo Ref.]:[Check Periodo Ref.]]="Dentro",IF(DATOS_[[Check Equiparado]:[Check Equiparado]]="Sí",IF(DATOS!BD$4="Sí",(1/DATOS_[[% anualiz]:[% anualiz]]),1)*IF(DATOS!BD$5="Sí",1/DATOS_[[% normaliz]:[% normaliz]],1)*(DATOS_[Conc.Sal.26])))))))), 0)</f>
        <v>0</v>
      </c>
      <c r="AJ20" s="302" t="n">
        <f aca="false" t="array" ref="AJ20:AJ20">IFERROR( (AVERAGE((IF(DATOS_[[Sexo]:[Sexo]]=$B20,IF(DATOS_[[AGRUP. CLAS. PROF.]:[AGRUP. CLAS. PROF.]]=$B18,IF(DATOS_[[Check Periodo Ref.]:[Check Periodo Ref.]]="Dentro",IF(DATOS_[[Check Equiparado]:[Check Equiparado]]="Sí",IF(DATOS!BE$4="Sí",(1/DATOS_[[% anualiz]:[% anualiz]]),1)*IF(DATOS!BE$5="Sí",1/DATOS_[[% normaliz]:[% normaliz]],1)*(DATOS_[Conc.Sal.27])))))))), 0)</f>
        <v>0</v>
      </c>
      <c r="AK20" s="302" t="n">
        <f aca="false" t="array" ref="AK20:AK20">IFERROR( (AVERAGE((IF(DATOS_[[Sexo]:[Sexo]]=$B20,IF(DATOS_[[AGRUP. CLAS. PROF.]:[AGRUP. CLAS. PROF.]]=$B18,IF(DATOS_[[Check Periodo Ref.]:[Check Periodo Ref.]]="Dentro",IF(DATOS_[[Check Equiparado]:[Check Equiparado]]="Sí",IF(DATOS!BF$4="Sí",(1/DATOS_[[% anualiz]:[% anualiz]]),1)*IF(DATOS!BF$5="Sí",1/DATOS_[[% normaliz]:[% normaliz]],1)*(DATOS_[Conc.Sal.28])))))))), 0)</f>
        <v>0</v>
      </c>
      <c r="AL20" s="302" t="n">
        <f aca="false" t="array" ref="AL20:AL20">IFERROR( (AVERAGE((IF(DATOS_[[Sexo]:[Sexo]]=$B20,IF(DATOS_[[AGRUP. CLAS. PROF.]:[AGRUP. CLAS. PROF.]]=$B18,IF(DATOS_[[Check Periodo Ref.]:[Check Periodo Ref.]]="Dentro",IF(DATOS_[[Check Equiparado]:[Check Equiparado]]="Sí",IF(DATOS!BG$4="Sí",(1/DATOS_[[% anualiz]:[% anualiz]]),1)*IF(DATOS!BG$5="Sí",1/DATOS_[[% normaliz]:[% normaliz]],1)*(DATOS_[Conc.Sal.29])))))))), 0)</f>
        <v>0</v>
      </c>
      <c r="AM20" s="302" t="n">
        <f aca="false" t="array" ref="AM20:AM20">IFERROR( (AVERAGE((IF(DATOS_[[Sexo]:[Sexo]]=$B20,IF(DATOS_[[AGRUP. CLAS. PROF.]:[AGRUP. CLAS. PROF.]]=$B18,IF(DATOS_[[Check Periodo Ref.]:[Check Periodo Ref.]]="Dentro",IF(DATOS_[[Check Equiparado]:[Check Equiparado]]="Sí",IF(DATOS!BH$4="Sí",(1/DATOS_[[% anualiz]:[% anualiz]]),1)*IF(DATOS!BH$5="Sí",1/DATOS_[[% normaliz]:[% normaliz]],1)*(DATOS_[Conc.Sal.30])))))))), 0)</f>
        <v>0</v>
      </c>
      <c r="AN20" s="294" t="n">
        <f aca="false" t="array" ref="AN20:AN20">IFERROR( AVERAGE(IF(DATOS_[Sexo]=$B20,IF(DATOS_[[AGRUP. CLAS. PROF.]:[AGRUP. CLAS. PROF.]]=$B18,IF(DATOS_[Check Equiparado]="Sí",IF(DATOS_[Check Periodo Ref.]="Dentro",DATOS_[Tot COMPL.SAL Eq],0))))), 0)</f>
        <v>0</v>
      </c>
      <c r="AO20" s="295" t="n">
        <f aca="false" t="array" ref="AO20:AO20">IFERROR( AVERAGE(IF(DATOS_[Sexo]=$B20,IF(DATOS_[[AGRUP. CLAS. PROF.]:[AGRUP. CLAS. PROF.]]=$B18,IF(DATOS_[Check Equiparado]="Sí",IF(DATOS_[Check Periodo Ref.]="Dentro",DATOS_[TOTAL SALARIO Eq],0))))), 0)</f>
        <v>0</v>
      </c>
      <c r="AP20" s="303" t="n">
        <f aca="false" t="array" ref="AP20:AP20">IFERROR( (AVERAGE((IF(DATOS_[[Sexo]:[Sexo]]=$B20,IF(DATOS_[[AGRUP. CLAS. PROF.]:[AGRUP. CLAS. PROF.]]=$B19,IF(DATOS_[[Check Periodo Ref.]:[Check Periodo Ref.]]="Dentro",IF(DATOS_[[Check Equiparado]:[Check Equiparado]]="Sí",IF(DATOS!BI$4="Sí",(1/DATOS_[[% anualiz]:[% anualiz]]),1)*IF(DATOS!BI$5="Sí",1/DATOS_[[% normaliz]:[% normaliz]],1)*(DATOS_[C.Extra.01])))))))), 0)</f>
        <v>0</v>
      </c>
      <c r="AQ20" s="303" t="n">
        <f aca="false" t="array" ref="AQ20:AQ20">IFERROR( (AVERAGE((IF(DATOS_[[Sexo]:[Sexo]]=$B20,IF(DATOS_[[AGRUP. CLAS. PROF.]:[AGRUP. CLAS. PROF.]]=$B19,IF(DATOS_[[Check Periodo Ref.]:[Check Periodo Ref.]]="Dentro",IF(DATOS_[[Check Equiparado]:[Check Equiparado]]="Sí",IF(DATOS!BJ$4="Sí",(1/DATOS_[[% anualiz]:[% anualiz]]),1)*IF(DATOS!BJ$5="Sí",1/DATOS_[[% normaliz]:[% normaliz]],1)*(DATOS_[C.Extra.02])))))))), 0)</f>
        <v>0</v>
      </c>
      <c r="AR20" s="303" t="n">
        <f aca="false" t="array" ref="AR20:AR20">IFERROR( (AVERAGE((IF(DATOS_[[Sexo]:[Sexo]]=$B20,IF(DATOS_[[AGRUP. CLAS. PROF.]:[AGRUP. CLAS. PROF.]]=$B19,IF(DATOS_[[Check Periodo Ref.]:[Check Periodo Ref.]]="Dentro",IF(DATOS_[[Check Equiparado]:[Check Equiparado]]="Sí",IF(DATOS!BK$4="Sí",(1/DATOS_[[% anualiz]:[% anualiz]]),1)*IF(DATOS!BK$5="Sí",1/DATOS_[[% normaliz]:[% normaliz]],1)*(DATOS_[C.Extra.03])))))))), 0)</f>
        <v>0</v>
      </c>
      <c r="AS20" s="303" t="n">
        <f aca="false" t="array" ref="AS20:AS20">IFERROR( (AVERAGE((IF(DATOS_[[Sexo]:[Sexo]]=$B20,IF(DATOS_[[AGRUP. CLAS. PROF.]:[AGRUP. CLAS. PROF.]]=$B19,IF(DATOS_[[Check Periodo Ref.]:[Check Periodo Ref.]]="Dentro",IF(DATOS_[[Check Equiparado]:[Check Equiparado]]="Sí",IF(DATOS!BL$4="Sí",(1/DATOS_[[% anualiz]:[% anualiz]]),1)*IF(DATOS!BL$5="Sí",1/DATOS_[[% normaliz]:[% normaliz]],1)*(DATOS_[C.Extra.04])))))))), 0)</f>
        <v>0</v>
      </c>
      <c r="AT20" s="303" t="n">
        <f aca="false" t="array" ref="AT20:AT20">IFERROR( (AVERAGE((IF(DATOS_[[Sexo]:[Sexo]]=$B20,IF(DATOS_[[AGRUP. CLAS. PROF.]:[AGRUP. CLAS. PROF.]]=$B19,IF(DATOS_[[Check Periodo Ref.]:[Check Periodo Ref.]]="Dentro",IF(DATOS_[[Check Equiparado]:[Check Equiparado]]="Sí",IF(DATOS!BM$4="Sí",(1/DATOS_[[% anualiz]:[% anualiz]]),1)*IF(DATOS!BM$5="Sí",1/DATOS_[[% normaliz]:[% normaliz]],1)*(DATOS_[C.Extra.05])))))))), 0)</f>
        <v>0</v>
      </c>
      <c r="AU20" s="297" t="n">
        <f aca="false" t="array" ref="AU20:AU20">IFERROR( AVERAGE(IF(DATOS_[Sexo]=$B20,IF(DATOS_[[AGRUP. CLAS. PROF.]:[AGRUP. CLAS. PROF.]]=$B18,IF(DATOS_[Check Equiparado]="Sí",IF(DATOS_[Check Periodo Ref.]="Dentro",DATOS_[Tot Extrasalarial Eq],0))))), 0)</f>
        <v>0</v>
      </c>
      <c r="AV20" s="298" t="n">
        <f aca="false" t="array" ref="AV20:AV20">IFERROR( AVERAGE(IF(DATOS_[Sexo]=$B20,IF(DATOS_[[AGRUP. CLAS. PROF.]:[AGRUP. CLAS. PROF.]]=$B18,IF(DATOS_[Check Equiparado]="Sí",IF(DATOS_[Check Periodo Ref.]="Dentro",DATOS_[TOTAL Retrib Eq],0))))), 0)</f>
        <v>0</v>
      </c>
    </row>
    <row r="21" customFormat="false" ht="15.75" hidden="false" customHeight="false" outlineLevel="0" collapsed="false">
      <c r="A21" s="166" t="str">
        <f aca="false">+A22</f>
        <v>[ocultar]</v>
      </c>
      <c r="B21" s="276" t="s">
        <v>177</v>
      </c>
      <c r="C21" s="277"/>
      <c r="D21" s="278"/>
      <c r="E21" s="278"/>
      <c r="F21" s="278"/>
      <c r="G21" s="278"/>
      <c r="H21" s="278"/>
      <c r="I21" s="279" t="str">
        <f aca="false">IFERROR((I22-I23)/I22,"")</f>
        <v/>
      </c>
      <c r="J21" s="280" t="str">
        <f aca="false">IFERROR((J22-J23)/J22,"")</f>
        <v/>
      </c>
      <c r="K21" s="281" t="str">
        <f aca="false">IFERROR((K22-K23)/K22,"")</f>
        <v/>
      </c>
      <c r="L21" s="281" t="str">
        <f aca="false">IFERROR((L22-L23)/L22,"")</f>
        <v/>
      </c>
      <c r="M21" s="281" t="str">
        <f aca="false">IFERROR((M22-M23)/M22,"")</f>
        <v/>
      </c>
      <c r="N21" s="282" t="str">
        <f aca="false">IFERROR((N22-N23)/N22,"")</f>
        <v/>
      </c>
      <c r="O21" s="283" t="str">
        <f aca="false">IFERROR((O22-O23)/O22,"")</f>
        <v/>
      </c>
      <c r="P21" s="283" t="str">
        <f aca="false">IFERROR((P22-P23)/P22,"")</f>
        <v/>
      </c>
      <c r="Q21" s="283" t="str">
        <f aca="false">IFERROR((Q22-Q23)/Q22,"")</f>
        <v/>
      </c>
      <c r="R21" s="283" t="str">
        <f aca="false">IFERROR((R22-R23)/R22,"")</f>
        <v/>
      </c>
      <c r="S21" s="283" t="str">
        <f aca="false">IFERROR((S22-S23)/S22,"")</f>
        <v/>
      </c>
      <c r="T21" s="283" t="str">
        <f aca="false">IFERROR((T22-T23)/T22,"")</f>
        <v/>
      </c>
      <c r="U21" s="283" t="str">
        <f aca="false">IFERROR((U22-U23)/U22,"")</f>
        <v/>
      </c>
      <c r="V21" s="283" t="str">
        <f aca="false">IFERROR((V22-V23)/V22,"")</f>
        <v/>
      </c>
      <c r="W21" s="283" t="str">
        <f aca="false">IFERROR((W22-W23)/W22,"")</f>
        <v/>
      </c>
      <c r="X21" s="283" t="str">
        <f aca="false">IFERROR((X22-X23)/X22,"")</f>
        <v/>
      </c>
      <c r="Y21" s="283" t="str">
        <f aca="false">IFERROR((Y22-Y23)/Y22,"")</f>
        <v/>
      </c>
      <c r="Z21" s="282" t="str">
        <f aca="false">IFERROR((Z22-Z23)/Z22,"")</f>
        <v/>
      </c>
      <c r="AA21" s="282" t="str">
        <f aca="false">IFERROR((AA22-AA23)/AA22,"")</f>
        <v/>
      </c>
      <c r="AB21" s="282" t="str">
        <f aca="false">IFERROR((AB22-AB23)/AB22,"")</f>
        <v/>
      </c>
      <c r="AC21" s="282" t="str">
        <f aca="false">IFERROR((AC22-AC23)/AC22,"")</f>
        <v/>
      </c>
      <c r="AD21" s="282" t="str">
        <f aca="false">IFERROR((AD22-AD23)/AD22,"")</f>
        <v/>
      </c>
      <c r="AE21" s="282" t="str">
        <f aca="false">IFERROR((AE22-AE23)/AE22,"")</f>
        <v/>
      </c>
      <c r="AF21" s="282" t="str">
        <f aca="false">IFERROR((AF22-AF23)/AF22,"")</f>
        <v/>
      </c>
      <c r="AG21" s="282" t="str">
        <f aca="false">IFERROR((AG22-AG23)/AG22,"")</f>
        <v/>
      </c>
      <c r="AH21" s="282" t="str">
        <f aca="false">IFERROR((AH22-AH23)/AH22,"")</f>
        <v/>
      </c>
      <c r="AI21" s="282" t="str">
        <f aca="false">IFERROR((AI22-AI23)/AI22,"")</f>
        <v/>
      </c>
      <c r="AJ21" s="282" t="str">
        <f aca="false">IFERROR((AJ22-AJ23)/AJ22,"")</f>
        <v/>
      </c>
      <c r="AK21" s="282" t="str">
        <f aca="false">IFERROR((AK22-AK23)/AK22,"")</f>
        <v/>
      </c>
      <c r="AL21" s="282" t="str">
        <f aca="false">IFERROR((AL22-AL23)/AL22,"")</f>
        <v/>
      </c>
      <c r="AM21" s="282" t="str">
        <f aca="false">IFERROR((AM22-AM23)/AM22,"")</f>
        <v/>
      </c>
      <c r="AN21" s="284" t="str">
        <f aca="false">IFERROR((AN22-AN23)/AN22,"")</f>
        <v/>
      </c>
      <c r="AO21" s="285" t="str">
        <f aca="false">IFERROR((AO22-AO23)/AO22,"")</f>
        <v/>
      </c>
      <c r="AP21" s="286" t="str">
        <f aca="false">IFERROR((AP22-AP23)/AP22,"")</f>
        <v/>
      </c>
      <c r="AQ21" s="286" t="str">
        <f aca="false">IFERROR((AQ22-AQ23)/AQ22,"")</f>
        <v/>
      </c>
      <c r="AR21" s="286" t="str">
        <f aca="false">IFERROR((AR22-AR23)/AR22,"")</f>
        <v/>
      </c>
      <c r="AS21" s="286" t="str">
        <f aca="false">IFERROR((AS22-AS23)/AS22,"")</f>
        <v/>
      </c>
      <c r="AT21" s="286" t="str">
        <f aca="false">IFERROR((AT22-AT23)/AT22,"")</f>
        <v/>
      </c>
      <c r="AU21" s="287" t="str">
        <f aca="false">IFERROR((AU22-AU23)/AU22,"")</f>
        <v/>
      </c>
      <c r="AV21" s="288" t="str">
        <f aca="false">IFERROR((AV22-AV23)/AV22,"")</f>
        <v/>
      </c>
    </row>
    <row r="22" customFormat="false" ht="14.25" hidden="false" customHeight="false" outlineLevel="0" collapsed="false">
      <c r="A22" s="166" t="str">
        <f aca="false">+IF(C22+C23=0,"[ocultar]","")</f>
        <v>[ocultar]</v>
      </c>
      <c r="B22" s="289" t="s">
        <v>371</v>
      </c>
      <c r="C22" s="290" t="n">
        <f aca="false" t="array" ref="C22:C22">SUM(IF($B22=DATOS_[Sexo], IF($B21=DATOS_[AGRUP. CLAS. PROF.], IF("Dentro"=DATOS_[Check Periodo Ref.], 1/(COUNTIFS(DATOS_[Sexo],$B22,DATOS_[AGRUP. CLAS. PROF.],$B21,DATOS_[Check Periodo Ref.],"Dentro",DATOS_[id],DATOS_[id]))))))</f>
        <v>0</v>
      </c>
      <c r="D22" s="291" t="n">
        <f aca="false">COUNTIFS(DATOS_[AGRUP. CLAS. PROF.],$B21,DATOS_[Sexo],$B22,DATOS_[Check Periodo Ref.],"Dentro")</f>
        <v>0</v>
      </c>
      <c r="E22" s="291" t="n">
        <f aca="false">COUNTIFS(DATOS_[AGRUP. CLAS. PROF.],$B21,DATOS_[Sexo],$B22,DATOS_[Check Periodo Ref.],"Dentro",DATOS_[Check Nº SC Norm],"Sí")</f>
        <v>0</v>
      </c>
      <c r="F22" s="291" t="n">
        <f aca="false">COUNTIFS(DATOS_[AGRUP. CLAS. PROF.],$B21,DATOS_[Sexo],$B22,DATOS_[Check Periodo Ref.],"Dentro",DATOS_[Check Nº SC Anualiz],"Sí")</f>
        <v>0</v>
      </c>
      <c r="G22" s="291" t="n">
        <f aca="false">COUNTIFS(DATOS_[AGRUP. CLAS. PROF.],$B21,DATOS_[Sexo],$B22,DATOS_[Check Periodo Ref.],"Dentro",DATOS_[Check Nº SC Norm y Anualiz],"Sí")</f>
        <v>0</v>
      </c>
      <c r="H22" s="291" t="n">
        <f aca="false">COUNTIFS(DATOS_[AGRUP. CLAS. PROF.],$B21,DATOS_[Sexo],$B22,DATOS_[Check Periodo Ref.],"Dentro",DATOS_[Check Equiparación],"Sí")</f>
        <v>0</v>
      </c>
      <c r="I22" s="292" t="n">
        <f aca="false" t="array" ref="I22:I22">IFERROR( AVERAGE(IF(DATOS_[Sexo]=$B22,IF(DATOS_[[AGRUP. CLAS. PROF.]:[AGRUP. CLAS. PROF.]]=$B21,IF(DATOS_[Check Equiparado]="Sí",IF(DATOS_[Check Periodo Ref.]="Dentro",DATOS_[SALARIO BASE Eq],0))))), 0)</f>
        <v>0</v>
      </c>
      <c r="J22" s="302" t="n">
        <f aca="false" t="array" ref="J22:J22">IFERROR( (AVERAGE((IF(DATOS_[[Sexo]:[Sexo]]=$B22,IF(DATOS_[[AGRUP. CLAS. PROF.]:[AGRUP. CLAS. PROF.]]=$B21,IF(DATOS_[[Check Periodo Ref.]:[Check Periodo Ref.]]="Dentro",IF(DATOS_[[Check Equiparado]:[Check Equiparado]]="Sí",IF(DATOS!AE$4="Sí",(1/DATOS_[[% anualiz]:[% anualiz]]),1)*IF(DATOS!AE$5="Sí",1/DATOS_[[% normaliz]:[% normaliz]],1)*(DATOS_[Conc.Sal.01])))))))), 0)</f>
        <v>0</v>
      </c>
      <c r="K22" s="302" t="n">
        <f aca="false" t="array" ref="K22:K22">IFERROR( (AVERAGE((IF(DATOS_[[Sexo]:[Sexo]]=$B22,IF(DATOS_[[AGRUP. CLAS. PROF.]:[AGRUP. CLAS. PROF.]]=$B21,IF(DATOS_[[Check Periodo Ref.]:[Check Periodo Ref.]]="Dentro",IF(DATOS_[[Check Equiparado]:[Check Equiparado]]="Sí",IF(DATOS!AF$4="Sí",(1/DATOS_[[% anualiz]:[% anualiz]]),1)*IF(DATOS!AF$5="Sí",1/DATOS_[[% normaliz]:[% normaliz]],1)*(DATOS_[Conc.Sal.02])))))))), 0)</f>
        <v>0</v>
      </c>
      <c r="L22" s="302" t="n">
        <f aca="false" t="array" ref="L22:L22">IFERROR( (AVERAGE((IF(DATOS_[[Sexo]:[Sexo]]=$B22,IF(DATOS_[[AGRUP. CLAS. PROF.]:[AGRUP. CLAS. PROF.]]=$B21,IF(DATOS_[[Check Periodo Ref.]:[Check Periodo Ref.]]="Dentro",IF(DATOS_[[Check Equiparado]:[Check Equiparado]]="Sí",IF(DATOS!AG$4="Sí",(1/DATOS_[[% anualiz]:[% anualiz]]),1)*IF(DATOS!AG$5="Sí",1/DATOS_[[% normaliz]:[% normaliz]],1)*(DATOS_[Conc.Sal.03])))))))), 0)</f>
        <v>0</v>
      </c>
      <c r="M22" s="302" t="n">
        <f aca="false" t="array" ref="M22:M22">IFERROR( (AVERAGE((IF(DATOS_[[Sexo]:[Sexo]]=$B22,IF(DATOS_[[AGRUP. CLAS. PROF.]:[AGRUP. CLAS. PROF.]]=$B21,IF(DATOS_[[Check Periodo Ref.]:[Check Periodo Ref.]]="Dentro",IF(DATOS_[[Check Equiparado]:[Check Equiparado]]="Sí",IF(DATOS!AH$4="Sí",(1/DATOS_[[% anualiz]:[% anualiz]]),1)*IF(DATOS!AH$5="Sí",1/DATOS_[[% normaliz]:[% normaliz]],1)*(DATOS_[Conc.Sal.04])))))))), 0)</f>
        <v>0</v>
      </c>
      <c r="N22" s="302" t="n">
        <f aca="false" t="array" ref="N22:N22">IFERROR( (AVERAGE((IF(DATOS_[[Sexo]:[Sexo]]=$B22,IF(DATOS_[[AGRUP. CLAS. PROF.]:[AGRUP. CLAS. PROF.]]=$B21,IF(DATOS_[[Check Periodo Ref.]:[Check Periodo Ref.]]="Dentro",IF(DATOS_[[Check Equiparado]:[Check Equiparado]]="Sí",IF(DATOS!AI$4="Sí",(1/DATOS_[[% anualiz]:[% anualiz]]),1)*IF(DATOS!AI$5="Sí",1/DATOS_[[% normaliz]:[% normaliz]],1)*(DATOS_[Conc.Sal.05])))))))), 0)</f>
        <v>0</v>
      </c>
      <c r="O22" s="302" t="n">
        <f aca="false" t="array" ref="O22:O22">IFERROR( (AVERAGE((IF(DATOS_[[Sexo]:[Sexo]]=$B22,IF(DATOS_[[AGRUP. CLAS. PROF.]:[AGRUP. CLAS. PROF.]]=$B21,IF(DATOS_[[Check Periodo Ref.]:[Check Periodo Ref.]]="Dentro",IF(DATOS_[[Check Equiparado]:[Check Equiparado]]="Sí",IF(DATOS!AJ$4="Sí",(1/DATOS_[[% anualiz]:[% anualiz]]),1)*IF(DATOS!AJ$5="Sí",1/DATOS_[[% normaliz]:[% normaliz]],1)*(DATOS_[Conc.Sal.06])))))))), 0)</f>
        <v>0</v>
      </c>
      <c r="P22" s="302" t="n">
        <f aca="false" t="array" ref="P22:P22">IFERROR( (AVERAGE((IF(DATOS_[[Sexo]:[Sexo]]=$B22,IF(DATOS_[[AGRUP. CLAS. PROF.]:[AGRUP. CLAS. PROF.]]=$B21,IF(DATOS_[[Check Periodo Ref.]:[Check Periodo Ref.]]="Dentro",IF(DATOS_[[Check Equiparado]:[Check Equiparado]]="Sí",IF(DATOS!AK$4="Sí",(1/DATOS_[[% anualiz]:[% anualiz]]),1)*IF(DATOS!AK$5="Sí",1/DATOS_[[% normaliz]:[% normaliz]],1)*(DATOS_[Conc.Sal.07])))))))), 0)</f>
        <v>0</v>
      </c>
      <c r="Q22" s="302" t="n">
        <f aca="false" t="array" ref="Q22:Q22">IFERROR( (AVERAGE((IF(DATOS_[[Sexo]:[Sexo]]=$B22,IF(DATOS_[[AGRUP. CLAS. PROF.]:[AGRUP. CLAS. PROF.]]=$B21,IF(DATOS_[[Check Periodo Ref.]:[Check Periodo Ref.]]="Dentro",IF(DATOS_[[Check Equiparado]:[Check Equiparado]]="Sí",IF(DATOS!AL$4="Sí",(1/DATOS_[[% anualiz]:[% anualiz]]),1)*IF(DATOS!AL$5="Sí",1/DATOS_[[% normaliz]:[% normaliz]],1)*(DATOS_[Conc.Sal.08])))))))), 0)</f>
        <v>0</v>
      </c>
      <c r="R22" s="302" t="n">
        <f aca="false" t="array" ref="R22:R22">IFERROR( (AVERAGE((IF(DATOS_[[Sexo]:[Sexo]]=$B22,IF(DATOS_[[AGRUP. CLAS. PROF.]:[AGRUP. CLAS. PROF.]]=$B21,IF(DATOS_[[Check Periodo Ref.]:[Check Periodo Ref.]]="Dentro",IF(DATOS_[[Check Equiparado]:[Check Equiparado]]="Sí",IF(DATOS!AM$4="Sí",(1/DATOS_[[% anualiz]:[% anualiz]]),1)*IF(DATOS!AM$5="Sí",1/DATOS_[[% normaliz]:[% normaliz]],1)*(DATOS_[Conc.Sal.09])))))))), 0)</f>
        <v>0</v>
      </c>
      <c r="S22" s="302" t="n">
        <f aca="false" t="array" ref="S22:S22">IFERROR( (AVERAGE((IF(DATOS_[[Sexo]:[Sexo]]=$B22,IF(DATOS_[[AGRUP. CLAS. PROF.]:[AGRUP. CLAS. PROF.]]=$B21,IF(DATOS_[[Check Periodo Ref.]:[Check Periodo Ref.]]="Dentro",IF(DATOS_[[Check Equiparado]:[Check Equiparado]]="Sí",IF(DATOS!AN$4="Sí",(1/DATOS_[[% anualiz]:[% anualiz]]),1)*IF(DATOS!AN$5="Sí",1/DATOS_[[% normaliz]:[% normaliz]],1)*(DATOS_[Conc.Sal.10])))))))), 0)</f>
        <v>0</v>
      </c>
      <c r="T22" s="302" t="n">
        <f aca="false" t="array" ref="T22:T22">IFERROR( (AVERAGE((IF(DATOS_[[Sexo]:[Sexo]]=$B22,IF(DATOS_[[AGRUP. CLAS. PROF.]:[AGRUP. CLAS. PROF.]]=$B21,IF(DATOS_[[Check Periodo Ref.]:[Check Periodo Ref.]]="Dentro",IF(DATOS_[[Check Equiparado]:[Check Equiparado]]="Sí",IF(DATOS!AO$4="Sí",(1/DATOS_[[% anualiz]:[% anualiz]]),1)*IF(DATOS!AO$5="Sí",1/DATOS_[[% normaliz]:[% normaliz]],1)*(DATOS_[Conc.Sal.11])))))))), 0)</f>
        <v>0</v>
      </c>
      <c r="U22" s="302" t="n">
        <f aca="false" t="array" ref="U22:U22">IFERROR( (AVERAGE((IF(DATOS_[[Sexo]:[Sexo]]=$B22,IF(DATOS_[[AGRUP. CLAS. PROF.]:[AGRUP. CLAS. PROF.]]=$B21,IF(DATOS_[[Check Periodo Ref.]:[Check Periodo Ref.]]="Dentro",IF(DATOS_[[Check Equiparado]:[Check Equiparado]]="Sí",IF(DATOS!AP$4="Sí",(1/DATOS_[[% anualiz]:[% anualiz]]),1)*IF(DATOS!AP$5="Sí",1/DATOS_[[% normaliz]:[% normaliz]],1)*(DATOS_[Conc.Sal.12])))))))), 0)</f>
        <v>0</v>
      </c>
      <c r="V22" s="302" t="n">
        <f aca="false" t="array" ref="V22:V22">IFERROR( (AVERAGE((IF(DATOS_[[Sexo]:[Sexo]]=$B22,IF(DATOS_[[AGRUP. CLAS. PROF.]:[AGRUP. CLAS. PROF.]]=$B21,IF(DATOS_[[Check Periodo Ref.]:[Check Periodo Ref.]]="Dentro",IF(DATOS_[[Check Equiparado]:[Check Equiparado]]="Sí",IF(DATOS!AQ$4="Sí",(1/DATOS_[[% anualiz]:[% anualiz]]),1)*IF(DATOS!AQ$5="Sí",1/DATOS_[[% normaliz]:[% normaliz]],1)*(DATOS_[Conc.Sal.13])))))))), 0)</f>
        <v>0</v>
      </c>
      <c r="W22" s="302" t="n">
        <f aca="false" t="array" ref="W22:W22">IFERROR( (AVERAGE((IF(DATOS_[[Sexo]:[Sexo]]=$B22,IF(DATOS_[[AGRUP. CLAS. PROF.]:[AGRUP. CLAS. PROF.]]=$B21,IF(DATOS_[[Check Periodo Ref.]:[Check Periodo Ref.]]="Dentro",IF(DATOS_[[Check Equiparado]:[Check Equiparado]]="Sí",IF(DATOS!AR$4="Sí",(1/DATOS_[[% anualiz]:[% anualiz]]),1)*IF(DATOS!AR$5="Sí",1/DATOS_[[% normaliz]:[% normaliz]],1)*(DATOS_[Conc.Sal.14])))))))), 0)</f>
        <v>0</v>
      </c>
      <c r="X22" s="302" t="n">
        <f aca="false" t="array" ref="X22:X22">IFERROR( (AVERAGE((IF(DATOS_[[Sexo]:[Sexo]]=$B22,IF(DATOS_[[AGRUP. CLAS. PROF.]:[AGRUP. CLAS. PROF.]]=$B21,IF(DATOS_[[Check Periodo Ref.]:[Check Periodo Ref.]]="Dentro",IF(DATOS_[[Check Equiparado]:[Check Equiparado]]="Sí",IF(DATOS!AS$4="Sí",(1/DATOS_[[% anualiz]:[% anualiz]]),1)*IF(DATOS!AS$5="Sí",1/DATOS_[[% normaliz]:[% normaliz]],1)*(DATOS_[Conc.Sal.15])))))))), 0)</f>
        <v>0</v>
      </c>
      <c r="Y22" s="302" t="n">
        <f aca="false" t="array" ref="Y22:Y22">IFERROR( (AVERAGE((IF(DATOS_[[Sexo]:[Sexo]]=$B22,IF(DATOS_[[AGRUP. CLAS. PROF.]:[AGRUP. CLAS. PROF.]]=$B21,IF(DATOS_[[Check Periodo Ref.]:[Check Periodo Ref.]]="Dentro",IF(DATOS_[[Check Equiparado]:[Check Equiparado]]="Sí",IF(DATOS!AT$4="Sí",(1/DATOS_[[% anualiz]:[% anualiz]]),1)*IF(DATOS!AT$5="Sí",1/DATOS_[[% normaliz]:[% normaliz]],1)*(DATOS_[Conc.Sal.16])))))))), 0)</f>
        <v>0</v>
      </c>
      <c r="Z22" s="302" t="n">
        <f aca="false" t="array" ref="Z22:Z22">IFERROR( (AVERAGE((IF(DATOS_[[Sexo]:[Sexo]]=$B22,IF(DATOS_[[AGRUP. CLAS. PROF.]:[AGRUP. CLAS. PROF.]]=$B21,IF(DATOS_[[Check Periodo Ref.]:[Check Periodo Ref.]]="Dentro",IF(DATOS_[[Check Equiparado]:[Check Equiparado]]="Sí",IF(DATOS!AU$4="Sí",(1/DATOS_[[% anualiz]:[% anualiz]]),1)*IF(DATOS!AU$5="Sí",1/DATOS_[[% normaliz]:[% normaliz]],1)*(DATOS_[Conc.Sal.17])))))))), 0)</f>
        <v>0</v>
      </c>
      <c r="AA22" s="302" t="n">
        <f aca="false" t="array" ref="AA22:AA22">IFERROR( (AVERAGE((IF(DATOS_[[Sexo]:[Sexo]]=$B22,IF(DATOS_[[AGRUP. CLAS. PROF.]:[AGRUP. CLAS. PROF.]]=$B21,IF(DATOS_[[Check Periodo Ref.]:[Check Periodo Ref.]]="Dentro",IF(DATOS_[[Check Equiparado]:[Check Equiparado]]="Sí",IF(DATOS!AV$4="Sí",(1/DATOS_[[% anualiz]:[% anualiz]]),1)*IF(DATOS!AV$5="Sí",1/DATOS_[[% normaliz]:[% normaliz]],1)*(DATOS_[Conc.Sal.18])))))))), 0)</f>
        <v>0</v>
      </c>
      <c r="AB22" s="302" t="n">
        <f aca="false" t="array" ref="AB22:AB22">IFERROR( (AVERAGE((IF(DATOS_[[Sexo]:[Sexo]]=$B22,IF(DATOS_[[AGRUP. CLAS. PROF.]:[AGRUP. CLAS. PROF.]]=$B21,IF(DATOS_[[Check Periodo Ref.]:[Check Periodo Ref.]]="Dentro",IF(DATOS_[[Check Equiparado]:[Check Equiparado]]="Sí",IF(DATOS!AW$4="Sí",(1/DATOS_[[% anualiz]:[% anualiz]]),1)*IF(DATOS!AW$5="Sí",1/DATOS_[[% normaliz]:[% normaliz]],1)*(DATOS_[Conc.Sal.19])))))))), 0)</f>
        <v>0</v>
      </c>
      <c r="AC22" s="302" t="n">
        <f aca="false" t="array" ref="AC22:AC22">IFERROR( (AVERAGE((IF(DATOS_[[Sexo]:[Sexo]]=$B22,IF(DATOS_[[AGRUP. CLAS. PROF.]:[AGRUP. CLAS. PROF.]]=$B21,IF(DATOS_[[Check Periodo Ref.]:[Check Periodo Ref.]]="Dentro",IF(DATOS_[[Check Equiparado]:[Check Equiparado]]="Sí",IF(DATOS!AX$4="Sí",(1/DATOS_[[% anualiz]:[% anualiz]]),1)*IF(DATOS!AX$5="Sí",1/DATOS_[[% normaliz]:[% normaliz]],1)*(DATOS_[Conc.Sal.20])))))))), 0)</f>
        <v>0</v>
      </c>
      <c r="AD22" s="302" t="n">
        <f aca="false" t="array" ref="AD22:AD22">IFERROR( (AVERAGE((IF(DATOS_[[Sexo]:[Sexo]]=$B22,IF(DATOS_[[AGRUP. CLAS. PROF.]:[AGRUP. CLAS. PROF.]]=$B21,IF(DATOS_[[Check Periodo Ref.]:[Check Periodo Ref.]]="Dentro",IF(DATOS_[[Check Equiparado]:[Check Equiparado]]="Sí",IF(DATOS!AY$4="Sí",(1/DATOS_[[% anualiz]:[% anualiz]]),1)*IF(DATOS!AY$5="Sí",1/DATOS_[[% normaliz]:[% normaliz]],1)*(DATOS_[Conc.Sal.21])))))))), 0)</f>
        <v>0</v>
      </c>
      <c r="AE22" s="302" t="n">
        <f aca="false" t="array" ref="AE22:AE22">IFERROR( (AVERAGE((IF(DATOS_[[Sexo]:[Sexo]]=$B22,IF(DATOS_[[AGRUP. CLAS. PROF.]:[AGRUP. CLAS. PROF.]]=$B21,IF(DATOS_[[Check Periodo Ref.]:[Check Periodo Ref.]]="Dentro",IF(DATOS_[[Check Equiparado]:[Check Equiparado]]="Sí",IF(DATOS!AZ$4="Sí",(1/DATOS_[[% anualiz]:[% anualiz]]),1)*IF(DATOS!AZ$5="Sí",1/DATOS_[[% normaliz]:[% normaliz]],1)*(DATOS_[Conc.Sal.22])))))))), 0)</f>
        <v>0</v>
      </c>
      <c r="AF22" s="302" t="n">
        <f aca="false" t="array" ref="AF22:AF22">IFERROR( (AVERAGE((IF(DATOS_[[Sexo]:[Sexo]]=$B22,IF(DATOS_[[AGRUP. CLAS. PROF.]:[AGRUP. CLAS. PROF.]]=$B21,IF(DATOS_[[Check Periodo Ref.]:[Check Periodo Ref.]]="Dentro",IF(DATOS_[[Check Equiparado]:[Check Equiparado]]="Sí",IF(DATOS!BA$4="Sí",(1/DATOS_[[% anualiz]:[% anualiz]]),1)*IF(DATOS!BA$5="Sí",1/DATOS_[[% normaliz]:[% normaliz]],1)*(DATOS_[Conc.Sal.23])))))))), 0)</f>
        <v>0</v>
      </c>
      <c r="AG22" s="302" t="n">
        <f aca="false" t="array" ref="AG22:AG22">IFERROR( (AVERAGE((IF(DATOS_[[Sexo]:[Sexo]]=$B22,IF(DATOS_[[AGRUP. CLAS. PROF.]:[AGRUP. CLAS. PROF.]]=$B21,IF(DATOS_[[Check Periodo Ref.]:[Check Periodo Ref.]]="Dentro",IF(DATOS_[[Check Equiparado]:[Check Equiparado]]="Sí",IF(DATOS!BB$4="Sí",(1/DATOS_[[% anualiz]:[% anualiz]]),1)*IF(DATOS!BB$5="Sí",1/DATOS_[[% normaliz]:[% normaliz]],1)*(DATOS_[Conc.Sal.24])))))))), 0)</f>
        <v>0</v>
      </c>
      <c r="AH22" s="302" t="n">
        <f aca="false" t="array" ref="AH22:AH22">IFERROR( (AVERAGE((IF(DATOS_[[Sexo]:[Sexo]]=$B22,IF(DATOS_[[AGRUP. CLAS. PROF.]:[AGRUP. CLAS. PROF.]]=$B21,IF(DATOS_[[Check Periodo Ref.]:[Check Periodo Ref.]]="Dentro",IF(DATOS_[[Check Equiparado]:[Check Equiparado]]="Sí",IF(DATOS!BC$4="Sí",(1/DATOS_[[% anualiz]:[% anualiz]]),1)*IF(DATOS!BC$5="Sí",1/DATOS_[[% normaliz]:[% normaliz]],1)*(DATOS_[Conc.Sal.25])))))))), 0)</f>
        <v>0</v>
      </c>
      <c r="AI22" s="302" t="n">
        <f aca="false" t="array" ref="AI22:AI22">IFERROR( (AVERAGE((IF(DATOS_[[Sexo]:[Sexo]]=$B22,IF(DATOS_[[AGRUP. CLAS. PROF.]:[AGRUP. CLAS. PROF.]]=$B21,IF(DATOS_[[Check Periodo Ref.]:[Check Periodo Ref.]]="Dentro",IF(DATOS_[[Check Equiparado]:[Check Equiparado]]="Sí",IF(DATOS!BD$4="Sí",(1/DATOS_[[% anualiz]:[% anualiz]]),1)*IF(DATOS!BD$5="Sí",1/DATOS_[[% normaliz]:[% normaliz]],1)*(DATOS_[Conc.Sal.26])))))))), 0)</f>
        <v>0</v>
      </c>
      <c r="AJ22" s="302" t="n">
        <f aca="false" t="array" ref="AJ22:AJ22">IFERROR( (AVERAGE((IF(DATOS_[[Sexo]:[Sexo]]=$B22,IF(DATOS_[[AGRUP. CLAS. PROF.]:[AGRUP. CLAS. PROF.]]=$B21,IF(DATOS_[[Check Periodo Ref.]:[Check Periodo Ref.]]="Dentro",IF(DATOS_[[Check Equiparado]:[Check Equiparado]]="Sí",IF(DATOS!BE$4="Sí",(1/DATOS_[[% anualiz]:[% anualiz]]),1)*IF(DATOS!BE$5="Sí",1/DATOS_[[% normaliz]:[% normaliz]],1)*(DATOS_[Conc.Sal.27])))))))), 0)</f>
        <v>0</v>
      </c>
      <c r="AK22" s="302" t="n">
        <f aca="false" t="array" ref="AK22:AK22">IFERROR( (AVERAGE((IF(DATOS_[[Sexo]:[Sexo]]=$B22,IF(DATOS_[[AGRUP. CLAS. PROF.]:[AGRUP. CLAS. PROF.]]=$B21,IF(DATOS_[[Check Periodo Ref.]:[Check Periodo Ref.]]="Dentro",IF(DATOS_[[Check Equiparado]:[Check Equiparado]]="Sí",IF(DATOS!BF$4="Sí",(1/DATOS_[[% anualiz]:[% anualiz]]),1)*IF(DATOS!BF$5="Sí",1/DATOS_[[% normaliz]:[% normaliz]],1)*(DATOS_[Conc.Sal.28])))))))), 0)</f>
        <v>0</v>
      </c>
      <c r="AL22" s="302" t="n">
        <f aca="false" t="array" ref="AL22:AL22">IFERROR( (AVERAGE((IF(DATOS_[[Sexo]:[Sexo]]=$B22,IF(DATOS_[[AGRUP. CLAS. PROF.]:[AGRUP. CLAS. PROF.]]=$B21,IF(DATOS_[[Check Periodo Ref.]:[Check Periodo Ref.]]="Dentro",IF(DATOS_[[Check Equiparado]:[Check Equiparado]]="Sí",IF(DATOS!BG$4="Sí",(1/DATOS_[[% anualiz]:[% anualiz]]),1)*IF(DATOS!BG$5="Sí",1/DATOS_[[% normaliz]:[% normaliz]],1)*(DATOS_[Conc.Sal.29])))))))), 0)</f>
        <v>0</v>
      </c>
      <c r="AM22" s="302" t="n">
        <f aca="false" t="array" ref="AM22:AM22">IFERROR( (AVERAGE((IF(DATOS_[[Sexo]:[Sexo]]=$B22,IF(DATOS_[[AGRUP. CLAS. PROF.]:[AGRUP. CLAS. PROF.]]=$B21,IF(DATOS_[[Check Periodo Ref.]:[Check Periodo Ref.]]="Dentro",IF(DATOS_[[Check Equiparado]:[Check Equiparado]]="Sí",IF(DATOS!BH$4="Sí",(1/DATOS_[[% anualiz]:[% anualiz]]),1)*IF(DATOS!BH$5="Sí",1/DATOS_[[% normaliz]:[% normaliz]],1)*(DATOS_[Conc.Sal.30])))))))), 0)</f>
        <v>0</v>
      </c>
      <c r="AN22" s="294" t="n">
        <f aca="false" t="array" ref="AN22:AN22">IFERROR( AVERAGE(IF(DATOS_[Sexo]=$B22,IF(DATOS_[[AGRUP. CLAS. PROF.]:[AGRUP. CLAS. PROF.]]=$B21,IF(DATOS_[Check Equiparado]="Sí",IF(DATOS_[Check Periodo Ref.]="Dentro",DATOS_[Tot COMPL.SAL Eq],0))))), 0)</f>
        <v>0</v>
      </c>
      <c r="AO22" s="295" t="n">
        <f aca="false" t="array" ref="AO22:AO22">IFERROR( AVERAGE(IF(DATOS_[Sexo]=$B22,IF(DATOS_[[AGRUP. CLAS. PROF.]:[AGRUP. CLAS. PROF.]]=$B21,IF(DATOS_[Check Equiparado]="Sí",IF(DATOS_[Check Periodo Ref.]="Dentro",DATOS_[TOTAL SALARIO Eq],0))))), 0)</f>
        <v>0</v>
      </c>
      <c r="AP22" s="303" t="n">
        <f aca="false" t="array" ref="AP22:AP22">IFERROR( (AVERAGE((IF(DATOS_[[Sexo]:[Sexo]]=$B22,IF(DATOS_[[AGRUP. CLAS. PROF.]:[AGRUP. CLAS. PROF.]]=$B21,IF(DATOS_[[Check Periodo Ref.]:[Check Periodo Ref.]]="Dentro",IF(DATOS_[[Check Equiparado]:[Check Equiparado]]="Sí",IF(DATOS!BI$4="Sí",(1/DATOS_[[% anualiz]:[% anualiz]]),1)*IF(DATOS!BI$5="Sí",1/DATOS_[[% normaliz]:[% normaliz]],1)*(DATOS_[C.Extra.01])))))))), 0)</f>
        <v>0</v>
      </c>
      <c r="AQ22" s="303" t="n">
        <f aca="false" t="array" ref="AQ22:AQ22">IFERROR( (AVERAGE((IF(DATOS_[[Sexo]:[Sexo]]=$B22,IF(DATOS_[[AGRUP. CLAS. PROF.]:[AGRUP. CLAS. PROF.]]=$B21,IF(DATOS_[[Check Periodo Ref.]:[Check Periodo Ref.]]="Dentro",IF(DATOS_[[Check Equiparado]:[Check Equiparado]]="Sí",IF(DATOS!BJ$4="Sí",(1/DATOS_[[% anualiz]:[% anualiz]]),1)*IF(DATOS!BJ$5="Sí",1/DATOS_[[% normaliz]:[% normaliz]],1)*(DATOS_[C.Extra.02])))))))), 0)</f>
        <v>0</v>
      </c>
      <c r="AR22" s="303" t="n">
        <f aca="false" t="array" ref="AR22:AR22">IFERROR( (AVERAGE((IF(DATOS_[[Sexo]:[Sexo]]=$B22,IF(DATOS_[[AGRUP. CLAS. PROF.]:[AGRUP. CLAS. PROF.]]=$B21,IF(DATOS_[[Check Periodo Ref.]:[Check Periodo Ref.]]="Dentro",IF(DATOS_[[Check Equiparado]:[Check Equiparado]]="Sí",IF(DATOS!BK$4="Sí",(1/DATOS_[[% anualiz]:[% anualiz]]),1)*IF(DATOS!BK$5="Sí",1/DATOS_[[% normaliz]:[% normaliz]],1)*(DATOS_[C.Extra.03])))))))), 0)</f>
        <v>0</v>
      </c>
      <c r="AS22" s="303" t="n">
        <f aca="false" t="array" ref="AS22:AS22">IFERROR( (AVERAGE((IF(DATOS_[[Sexo]:[Sexo]]=$B22,IF(DATOS_[[AGRUP. CLAS. PROF.]:[AGRUP. CLAS. PROF.]]=$B21,IF(DATOS_[[Check Periodo Ref.]:[Check Periodo Ref.]]="Dentro",IF(DATOS_[[Check Equiparado]:[Check Equiparado]]="Sí",IF(DATOS!BL$4="Sí",(1/DATOS_[[% anualiz]:[% anualiz]]),1)*IF(DATOS!BL$5="Sí",1/DATOS_[[% normaliz]:[% normaliz]],1)*(DATOS_[C.Extra.04])))))))), 0)</f>
        <v>0</v>
      </c>
      <c r="AT22" s="303" t="n">
        <f aca="false" t="array" ref="AT22:AT22">IFERROR( (AVERAGE((IF(DATOS_[[Sexo]:[Sexo]]=$B22,IF(DATOS_[[AGRUP. CLAS. PROF.]:[AGRUP. CLAS. PROF.]]=$B21,IF(DATOS_[[Check Periodo Ref.]:[Check Periodo Ref.]]="Dentro",IF(DATOS_[[Check Equiparado]:[Check Equiparado]]="Sí",IF(DATOS!BM$4="Sí",(1/DATOS_[[% anualiz]:[% anualiz]]),1)*IF(DATOS!BM$5="Sí",1/DATOS_[[% normaliz]:[% normaliz]],1)*(DATOS_[C.Extra.05])))))))), 0)</f>
        <v>0</v>
      </c>
      <c r="AU22" s="297" t="n">
        <f aca="false" t="array" ref="AU22:AU22">IFERROR( AVERAGE(IF(DATOS_[Sexo]=$B22,IF(DATOS_[[AGRUP. CLAS. PROF.]:[AGRUP. CLAS. PROF.]]=$B21,IF(DATOS_[Check Equiparado]="Sí",IF(DATOS_[Check Periodo Ref.]="Dentro",DATOS_[Tot Extrasalarial Eq],0))))), 0)</f>
        <v>0</v>
      </c>
      <c r="AV22" s="298" t="n">
        <f aca="false" t="array" ref="AV22:AV22">IFERROR( AVERAGE(IF(DATOS_[Sexo]=$B22,IF(DATOS_[[AGRUP. CLAS. PROF.]:[AGRUP. CLAS. PROF.]]=$B21,IF(DATOS_[Check Equiparado]="Sí",IF(DATOS_[Check Periodo Ref.]="Dentro",DATOS_[TOTAL Retrib Eq],0))))), 0)</f>
        <v>0</v>
      </c>
    </row>
    <row r="23" customFormat="false" ht="14.25" hidden="false" customHeight="false" outlineLevel="0" collapsed="false">
      <c r="A23" s="166" t="str">
        <f aca="false">+A22</f>
        <v>[ocultar]</v>
      </c>
      <c r="B23" s="289" t="s">
        <v>372</v>
      </c>
      <c r="C23" s="290" t="n">
        <f aca="false" t="array" ref="C23:C23">SUM(IF($B23=DATOS_[Sexo], IF($B21=DATOS_[AGRUP. CLAS. PROF.], IF("Dentro"=DATOS_[Check Periodo Ref.], 1/(COUNTIFS(DATOS_[Sexo],$B23,DATOS_[AGRUP. CLAS. PROF.],$B21,DATOS_[Check Periodo Ref.],"Dentro",DATOS_[id],DATOS_[id]))))))</f>
        <v>0</v>
      </c>
      <c r="D23" s="291" t="n">
        <f aca="false">COUNTIFS(DATOS_[AGRUP. CLAS. PROF.],$B21,DATOS_[Sexo],$B23,DATOS_[Check Periodo Ref.],"Dentro")</f>
        <v>0</v>
      </c>
      <c r="E23" s="291" t="n">
        <f aca="false">COUNTIFS(DATOS_[AGRUP. CLAS. PROF.],$B21,DATOS_[Sexo],$B23,DATOS_[Check Periodo Ref.],"Dentro",DATOS_[Check Nº SC Norm],"Sí")</f>
        <v>0</v>
      </c>
      <c r="F23" s="291" t="n">
        <f aca="false">COUNTIFS(DATOS_[AGRUP. CLAS. PROF.],$B21,DATOS_[Sexo],$B23,DATOS_[Check Periodo Ref.],"Dentro",DATOS_[Check Nº SC Anualiz],"Sí")</f>
        <v>0</v>
      </c>
      <c r="G23" s="291" t="n">
        <f aca="false">COUNTIFS(DATOS_[AGRUP. CLAS. PROF.],$B21,DATOS_[Sexo],$B23,DATOS_[Check Periodo Ref.],"Dentro",DATOS_[Check Nº SC Norm y Anualiz],"Sí")</f>
        <v>0</v>
      </c>
      <c r="H23" s="291" t="n">
        <f aca="false">COUNTIFS(DATOS_[AGRUP. CLAS. PROF.],$B21,DATOS_[Sexo],$B23,DATOS_[Check Periodo Ref.],"Dentro",DATOS_[Check Equiparación],"Sí")</f>
        <v>0</v>
      </c>
      <c r="I23" s="292" t="n">
        <f aca="false" t="array" ref="I23:I23">IFERROR( AVERAGE(IF(DATOS_[Sexo]=$B23,IF(DATOS_[[AGRUP. CLAS. PROF.]:[AGRUP. CLAS. PROF.]]=$B21,IF(DATOS_[Check Equiparado]="Sí",IF(DATOS_[Check Periodo Ref.]="Dentro",DATOS_[SALARIO BASE Eq],0))))), 0)</f>
        <v>0</v>
      </c>
      <c r="J23" s="302" t="n">
        <f aca="false" t="array" ref="J23:J23">IFERROR( (AVERAGE((IF(DATOS_[[Sexo]:[Sexo]]=$B23,IF(DATOS_[[AGRUP. CLAS. PROF.]:[AGRUP. CLAS. PROF.]]=$B21,IF(DATOS_[[Check Periodo Ref.]:[Check Periodo Ref.]]="Dentro",IF(DATOS_[[Check Equiparado]:[Check Equiparado]]="Sí",IF(DATOS!AE$4="Sí",(1/DATOS_[[% anualiz]:[% anualiz]]),1)*IF(DATOS!AE$5="Sí",1/DATOS_[[% normaliz]:[% normaliz]],1)*(DATOS_[Conc.Sal.01])))))))), 0)</f>
        <v>0</v>
      </c>
      <c r="K23" s="302" t="n">
        <f aca="false" t="array" ref="K23:K23">IFERROR( (AVERAGE((IF(DATOS_[[Sexo]:[Sexo]]=$B23,IF(DATOS_[[AGRUP. CLAS. PROF.]:[AGRUP. CLAS. PROF.]]=$B21,IF(DATOS_[[Check Periodo Ref.]:[Check Periodo Ref.]]="Dentro",IF(DATOS_[[Check Equiparado]:[Check Equiparado]]="Sí",IF(DATOS!AF$4="Sí",(1/DATOS_[[% anualiz]:[% anualiz]]),1)*IF(DATOS!AF$5="Sí",1/DATOS_[[% normaliz]:[% normaliz]],1)*(DATOS_[Conc.Sal.02])))))))), 0)</f>
        <v>0</v>
      </c>
      <c r="L23" s="302" t="n">
        <f aca="false" t="array" ref="L23:L23">IFERROR( (AVERAGE((IF(DATOS_[[Sexo]:[Sexo]]=$B23,IF(DATOS_[[AGRUP. CLAS. PROF.]:[AGRUP. CLAS. PROF.]]=$B21,IF(DATOS_[[Check Periodo Ref.]:[Check Periodo Ref.]]="Dentro",IF(DATOS_[[Check Equiparado]:[Check Equiparado]]="Sí",IF(DATOS!AG$4="Sí",(1/DATOS_[[% anualiz]:[% anualiz]]),1)*IF(DATOS!AG$5="Sí",1/DATOS_[[% normaliz]:[% normaliz]],1)*(DATOS_[Conc.Sal.03])))))))), 0)</f>
        <v>0</v>
      </c>
      <c r="M23" s="302" t="n">
        <f aca="false" t="array" ref="M23:M23">IFERROR( (AVERAGE((IF(DATOS_[[Sexo]:[Sexo]]=$B23,IF(DATOS_[[AGRUP. CLAS. PROF.]:[AGRUP. CLAS. PROF.]]=$B21,IF(DATOS_[[Check Periodo Ref.]:[Check Periodo Ref.]]="Dentro",IF(DATOS_[[Check Equiparado]:[Check Equiparado]]="Sí",IF(DATOS!AH$4="Sí",(1/DATOS_[[% anualiz]:[% anualiz]]),1)*IF(DATOS!AH$5="Sí",1/DATOS_[[% normaliz]:[% normaliz]],1)*(DATOS_[Conc.Sal.04])))))))), 0)</f>
        <v>0</v>
      </c>
      <c r="N23" s="302" t="n">
        <f aca="false" t="array" ref="N23:N23">IFERROR( (AVERAGE((IF(DATOS_[[Sexo]:[Sexo]]=$B23,IF(DATOS_[[AGRUP. CLAS. PROF.]:[AGRUP. CLAS. PROF.]]=$B21,IF(DATOS_[[Check Periodo Ref.]:[Check Periodo Ref.]]="Dentro",IF(DATOS_[[Check Equiparado]:[Check Equiparado]]="Sí",IF(DATOS!AI$4="Sí",(1/DATOS_[[% anualiz]:[% anualiz]]),1)*IF(DATOS!AI$5="Sí",1/DATOS_[[% normaliz]:[% normaliz]],1)*(DATOS_[Conc.Sal.05])))))))), 0)</f>
        <v>0</v>
      </c>
      <c r="O23" s="302" t="n">
        <f aca="false" t="array" ref="O23:O23">IFERROR( (AVERAGE((IF(DATOS_[[Sexo]:[Sexo]]=$B23,IF(DATOS_[[AGRUP. CLAS. PROF.]:[AGRUP. CLAS. PROF.]]=$B21,IF(DATOS_[[Check Periodo Ref.]:[Check Periodo Ref.]]="Dentro",IF(DATOS_[[Check Equiparado]:[Check Equiparado]]="Sí",IF(DATOS!AJ$4="Sí",(1/DATOS_[[% anualiz]:[% anualiz]]),1)*IF(DATOS!AJ$5="Sí",1/DATOS_[[% normaliz]:[% normaliz]],1)*(DATOS_[Conc.Sal.06])))))))), 0)</f>
        <v>0</v>
      </c>
      <c r="P23" s="302" t="n">
        <f aca="false" t="array" ref="P23:P23">IFERROR( (AVERAGE((IF(DATOS_[[Sexo]:[Sexo]]=$B23,IF(DATOS_[[AGRUP. CLAS. PROF.]:[AGRUP. CLAS. PROF.]]=$B21,IF(DATOS_[[Check Periodo Ref.]:[Check Periodo Ref.]]="Dentro",IF(DATOS_[[Check Equiparado]:[Check Equiparado]]="Sí",IF(DATOS!AK$4="Sí",(1/DATOS_[[% anualiz]:[% anualiz]]),1)*IF(DATOS!AK$5="Sí",1/DATOS_[[% normaliz]:[% normaliz]],1)*(DATOS_[Conc.Sal.07])))))))), 0)</f>
        <v>0</v>
      </c>
      <c r="Q23" s="302" t="n">
        <f aca="false" t="array" ref="Q23:Q23">IFERROR( (AVERAGE((IF(DATOS_[[Sexo]:[Sexo]]=$B23,IF(DATOS_[[AGRUP. CLAS. PROF.]:[AGRUP. CLAS. PROF.]]=$B21,IF(DATOS_[[Check Periodo Ref.]:[Check Periodo Ref.]]="Dentro",IF(DATOS_[[Check Equiparado]:[Check Equiparado]]="Sí",IF(DATOS!AL$4="Sí",(1/DATOS_[[% anualiz]:[% anualiz]]),1)*IF(DATOS!AL$5="Sí",1/DATOS_[[% normaliz]:[% normaliz]],1)*(DATOS_[Conc.Sal.08])))))))), 0)</f>
        <v>0</v>
      </c>
      <c r="R23" s="302" t="n">
        <f aca="false" t="array" ref="R23:R23">IFERROR( (AVERAGE((IF(DATOS_[[Sexo]:[Sexo]]=$B23,IF(DATOS_[[AGRUP. CLAS. PROF.]:[AGRUP. CLAS. PROF.]]=$B21,IF(DATOS_[[Check Periodo Ref.]:[Check Periodo Ref.]]="Dentro",IF(DATOS_[[Check Equiparado]:[Check Equiparado]]="Sí",IF(DATOS!AM$4="Sí",(1/DATOS_[[% anualiz]:[% anualiz]]),1)*IF(DATOS!AM$5="Sí",1/DATOS_[[% normaliz]:[% normaliz]],1)*(DATOS_[Conc.Sal.09])))))))), 0)</f>
        <v>0</v>
      </c>
      <c r="S23" s="302" t="n">
        <f aca="false" t="array" ref="S23:S23">IFERROR( (AVERAGE((IF(DATOS_[[Sexo]:[Sexo]]=$B23,IF(DATOS_[[AGRUP. CLAS. PROF.]:[AGRUP. CLAS. PROF.]]=$B21,IF(DATOS_[[Check Periodo Ref.]:[Check Periodo Ref.]]="Dentro",IF(DATOS_[[Check Equiparado]:[Check Equiparado]]="Sí",IF(DATOS!AN$4="Sí",(1/DATOS_[[% anualiz]:[% anualiz]]),1)*IF(DATOS!AN$5="Sí",1/DATOS_[[% normaliz]:[% normaliz]],1)*(DATOS_[Conc.Sal.10])))))))), 0)</f>
        <v>0</v>
      </c>
      <c r="T23" s="302" t="n">
        <f aca="false" t="array" ref="T23:T23">IFERROR( (AVERAGE((IF(DATOS_[[Sexo]:[Sexo]]=$B23,IF(DATOS_[[AGRUP. CLAS. PROF.]:[AGRUP. CLAS. PROF.]]=$B21,IF(DATOS_[[Check Periodo Ref.]:[Check Periodo Ref.]]="Dentro",IF(DATOS_[[Check Equiparado]:[Check Equiparado]]="Sí",IF(DATOS!AO$4="Sí",(1/DATOS_[[% anualiz]:[% anualiz]]),1)*IF(DATOS!AO$5="Sí",1/DATOS_[[% normaliz]:[% normaliz]],1)*(DATOS_[Conc.Sal.11])))))))), 0)</f>
        <v>0</v>
      </c>
      <c r="U23" s="302" t="n">
        <f aca="false" t="array" ref="U23:U23">IFERROR( (AVERAGE((IF(DATOS_[[Sexo]:[Sexo]]=$B23,IF(DATOS_[[AGRUP. CLAS. PROF.]:[AGRUP. CLAS. PROF.]]=$B21,IF(DATOS_[[Check Periodo Ref.]:[Check Periodo Ref.]]="Dentro",IF(DATOS_[[Check Equiparado]:[Check Equiparado]]="Sí",IF(DATOS!AP$4="Sí",(1/DATOS_[[% anualiz]:[% anualiz]]),1)*IF(DATOS!AP$5="Sí",1/DATOS_[[% normaliz]:[% normaliz]],1)*(DATOS_[Conc.Sal.12])))))))), 0)</f>
        <v>0</v>
      </c>
      <c r="V23" s="302" t="n">
        <f aca="false" t="array" ref="V23:V23">IFERROR( (AVERAGE((IF(DATOS_[[Sexo]:[Sexo]]=$B23,IF(DATOS_[[AGRUP. CLAS. PROF.]:[AGRUP. CLAS. PROF.]]=$B21,IF(DATOS_[[Check Periodo Ref.]:[Check Periodo Ref.]]="Dentro",IF(DATOS_[[Check Equiparado]:[Check Equiparado]]="Sí",IF(DATOS!AQ$4="Sí",(1/DATOS_[[% anualiz]:[% anualiz]]),1)*IF(DATOS!AQ$5="Sí",1/DATOS_[[% normaliz]:[% normaliz]],1)*(DATOS_[Conc.Sal.13])))))))), 0)</f>
        <v>0</v>
      </c>
      <c r="W23" s="302" t="n">
        <f aca="false" t="array" ref="W23:W23">IFERROR( (AVERAGE((IF(DATOS_[[Sexo]:[Sexo]]=$B23,IF(DATOS_[[AGRUP. CLAS. PROF.]:[AGRUP. CLAS. PROF.]]=$B21,IF(DATOS_[[Check Periodo Ref.]:[Check Periodo Ref.]]="Dentro",IF(DATOS_[[Check Equiparado]:[Check Equiparado]]="Sí",IF(DATOS!AR$4="Sí",(1/DATOS_[[% anualiz]:[% anualiz]]),1)*IF(DATOS!AR$5="Sí",1/DATOS_[[% normaliz]:[% normaliz]],1)*(DATOS_[Conc.Sal.14])))))))), 0)</f>
        <v>0</v>
      </c>
      <c r="X23" s="302" t="n">
        <f aca="false" t="array" ref="X23:X23">IFERROR( (AVERAGE((IF(DATOS_[[Sexo]:[Sexo]]=$B23,IF(DATOS_[[AGRUP. CLAS. PROF.]:[AGRUP. CLAS. PROF.]]=$B21,IF(DATOS_[[Check Periodo Ref.]:[Check Periodo Ref.]]="Dentro",IF(DATOS_[[Check Equiparado]:[Check Equiparado]]="Sí",IF(DATOS!AS$4="Sí",(1/DATOS_[[% anualiz]:[% anualiz]]),1)*IF(DATOS!AS$5="Sí",1/DATOS_[[% normaliz]:[% normaliz]],1)*(DATOS_[Conc.Sal.15])))))))), 0)</f>
        <v>0</v>
      </c>
      <c r="Y23" s="302" t="n">
        <f aca="false" t="array" ref="Y23:Y23">IFERROR( (AVERAGE((IF(DATOS_[[Sexo]:[Sexo]]=$B23,IF(DATOS_[[AGRUP. CLAS. PROF.]:[AGRUP. CLAS. PROF.]]=$B21,IF(DATOS_[[Check Periodo Ref.]:[Check Periodo Ref.]]="Dentro",IF(DATOS_[[Check Equiparado]:[Check Equiparado]]="Sí",IF(DATOS!AT$4="Sí",(1/DATOS_[[% anualiz]:[% anualiz]]),1)*IF(DATOS!AT$5="Sí",1/DATOS_[[% normaliz]:[% normaliz]],1)*(DATOS_[Conc.Sal.16])))))))), 0)</f>
        <v>0</v>
      </c>
      <c r="Z23" s="302" t="n">
        <f aca="false" t="array" ref="Z23:Z23">IFERROR( (AVERAGE((IF(DATOS_[[Sexo]:[Sexo]]=$B23,IF(DATOS_[[AGRUP. CLAS. PROF.]:[AGRUP. CLAS. PROF.]]=$B21,IF(DATOS_[[Check Periodo Ref.]:[Check Periodo Ref.]]="Dentro",IF(DATOS_[[Check Equiparado]:[Check Equiparado]]="Sí",IF(DATOS!AU$4="Sí",(1/DATOS_[[% anualiz]:[% anualiz]]),1)*IF(DATOS!AU$5="Sí",1/DATOS_[[% normaliz]:[% normaliz]],1)*(DATOS_[Conc.Sal.17])))))))), 0)</f>
        <v>0</v>
      </c>
      <c r="AA23" s="302" t="n">
        <f aca="false" t="array" ref="AA23:AA23">IFERROR( (AVERAGE((IF(DATOS_[[Sexo]:[Sexo]]=$B23,IF(DATOS_[[AGRUP. CLAS. PROF.]:[AGRUP. CLAS. PROF.]]=$B21,IF(DATOS_[[Check Periodo Ref.]:[Check Periodo Ref.]]="Dentro",IF(DATOS_[[Check Equiparado]:[Check Equiparado]]="Sí",IF(DATOS!AV$4="Sí",(1/DATOS_[[% anualiz]:[% anualiz]]),1)*IF(DATOS!AV$5="Sí",1/DATOS_[[% normaliz]:[% normaliz]],1)*(DATOS_[Conc.Sal.18])))))))), 0)</f>
        <v>0</v>
      </c>
      <c r="AB23" s="302" t="n">
        <f aca="false" t="array" ref="AB23:AB23">IFERROR( (AVERAGE((IF(DATOS_[[Sexo]:[Sexo]]=$B23,IF(DATOS_[[AGRUP. CLAS. PROF.]:[AGRUP. CLAS. PROF.]]=$B21,IF(DATOS_[[Check Periodo Ref.]:[Check Periodo Ref.]]="Dentro",IF(DATOS_[[Check Equiparado]:[Check Equiparado]]="Sí",IF(DATOS!AW$4="Sí",(1/DATOS_[[% anualiz]:[% anualiz]]),1)*IF(DATOS!AW$5="Sí",1/DATOS_[[% normaliz]:[% normaliz]],1)*(DATOS_[Conc.Sal.19])))))))), 0)</f>
        <v>0</v>
      </c>
      <c r="AC23" s="302" t="n">
        <f aca="false" t="array" ref="AC23:AC23">IFERROR( (AVERAGE((IF(DATOS_[[Sexo]:[Sexo]]=$B23,IF(DATOS_[[AGRUP. CLAS. PROF.]:[AGRUP. CLAS. PROF.]]=$B21,IF(DATOS_[[Check Periodo Ref.]:[Check Periodo Ref.]]="Dentro",IF(DATOS_[[Check Equiparado]:[Check Equiparado]]="Sí",IF(DATOS!AX$4="Sí",(1/DATOS_[[% anualiz]:[% anualiz]]),1)*IF(DATOS!AX$5="Sí",1/DATOS_[[% normaliz]:[% normaliz]],1)*(DATOS_[Conc.Sal.20])))))))), 0)</f>
        <v>0</v>
      </c>
      <c r="AD23" s="302" t="n">
        <f aca="false" t="array" ref="AD23:AD23">IFERROR( (AVERAGE((IF(DATOS_[[Sexo]:[Sexo]]=$B23,IF(DATOS_[[AGRUP. CLAS. PROF.]:[AGRUP. CLAS. PROF.]]=$B21,IF(DATOS_[[Check Periodo Ref.]:[Check Periodo Ref.]]="Dentro",IF(DATOS_[[Check Equiparado]:[Check Equiparado]]="Sí",IF(DATOS!AY$4="Sí",(1/DATOS_[[% anualiz]:[% anualiz]]),1)*IF(DATOS!AY$5="Sí",1/DATOS_[[% normaliz]:[% normaliz]],1)*(DATOS_[Conc.Sal.21])))))))), 0)</f>
        <v>0</v>
      </c>
      <c r="AE23" s="302" t="n">
        <f aca="false" t="array" ref="AE23:AE23">IFERROR( (AVERAGE((IF(DATOS_[[Sexo]:[Sexo]]=$B23,IF(DATOS_[[AGRUP. CLAS. PROF.]:[AGRUP. CLAS. PROF.]]=$B21,IF(DATOS_[[Check Periodo Ref.]:[Check Periodo Ref.]]="Dentro",IF(DATOS_[[Check Equiparado]:[Check Equiparado]]="Sí",IF(DATOS!AZ$4="Sí",(1/DATOS_[[% anualiz]:[% anualiz]]),1)*IF(DATOS!AZ$5="Sí",1/DATOS_[[% normaliz]:[% normaliz]],1)*(DATOS_[Conc.Sal.22])))))))), 0)</f>
        <v>0</v>
      </c>
      <c r="AF23" s="302" t="n">
        <f aca="false" t="array" ref="AF23:AF23">IFERROR( (AVERAGE((IF(DATOS_[[Sexo]:[Sexo]]=$B23,IF(DATOS_[[AGRUP. CLAS. PROF.]:[AGRUP. CLAS. PROF.]]=$B21,IF(DATOS_[[Check Periodo Ref.]:[Check Periodo Ref.]]="Dentro",IF(DATOS_[[Check Equiparado]:[Check Equiparado]]="Sí",IF(DATOS!BA$4="Sí",(1/DATOS_[[% anualiz]:[% anualiz]]),1)*IF(DATOS!BA$5="Sí",1/DATOS_[[% normaliz]:[% normaliz]],1)*(DATOS_[Conc.Sal.23])))))))), 0)</f>
        <v>0</v>
      </c>
      <c r="AG23" s="302" t="n">
        <f aca="false" t="array" ref="AG23:AG23">IFERROR( (AVERAGE((IF(DATOS_[[Sexo]:[Sexo]]=$B23,IF(DATOS_[[AGRUP. CLAS. PROF.]:[AGRUP. CLAS. PROF.]]=$B21,IF(DATOS_[[Check Periodo Ref.]:[Check Periodo Ref.]]="Dentro",IF(DATOS_[[Check Equiparado]:[Check Equiparado]]="Sí",IF(DATOS!BB$4="Sí",(1/DATOS_[[% anualiz]:[% anualiz]]),1)*IF(DATOS!BB$5="Sí",1/DATOS_[[% normaliz]:[% normaliz]],1)*(DATOS_[Conc.Sal.24])))))))), 0)</f>
        <v>0</v>
      </c>
      <c r="AH23" s="302" t="n">
        <f aca="false" t="array" ref="AH23:AH23">IFERROR( (AVERAGE((IF(DATOS_[[Sexo]:[Sexo]]=$B23,IF(DATOS_[[AGRUP. CLAS. PROF.]:[AGRUP. CLAS. PROF.]]=$B21,IF(DATOS_[[Check Periodo Ref.]:[Check Periodo Ref.]]="Dentro",IF(DATOS_[[Check Equiparado]:[Check Equiparado]]="Sí",IF(DATOS!BC$4="Sí",(1/DATOS_[[% anualiz]:[% anualiz]]),1)*IF(DATOS!BC$5="Sí",1/DATOS_[[% normaliz]:[% normaliz]],1)*(DATOS_[Conc.Sal.25])))))))), 0)</f>
        <v>0</v>
      </c>
      <c r="AI23" s="302" t="n">
        <f aca="false" t="array" ref="AI23:AI23">IFERROR( (AVERAGE((IF(DATOS_[[Sexo]:[Sexo]]=$B23,IF(DATOS_[[AGRUP. CLAS. PROF.]:[AGRUP. CLAS. PROF.]]=$B21,IF(DATOS_[[Check Periodo Ref.]:[Check Periodo Ref.]]="Dentro",IF(DATOS_[[Check Equiparado]:[Check Equiparado]]="Sí",IF(DATOS!BD$4="Sí",(1/DATOS_[[% anualiz]:[% anualiz]]),1)*IF(DATOS!BD$5="Sí",1/DATOS_[[% normaliz]:[% normaliz]],1)*(DATOS_[Conc.Sal.26])))))))), 0)</f>
        <v>0</v>
      </c>
      <c r="AJ23" s="302" t="n">
        <f aca="false" t="array" ref="AJ23:AJ23">IFERROR( (AVERAGE((IF(DATOS_[[Sexo]:[Sexo]]=$B23,IF(DATOS_[[AGRUP. CLAS. PROF.]:[AGRUP. CLAS. PROF.]]=$B21,IF(DATOS_[[Check Periodo Ref.]:[Check Periodo Ref.]]="Dentro",IF(DATOS_[[Check Equiparado]:[Check Equiparado]]="Sí",IF(DATOS!BE$4="Sí",(1/DATOS_[[% anualiz]:[% anualiz]]),1)*IF(DATOS!BE$5="Sí",1/DATOS_[[% normaliz]:[% normaliz]],1)*(DATOS_[Conc.Sal.27])))))))), 0)</f>
        <v>0</v>
      </c>
      <c r="AK23" s="302" t="n">
        <f aca="false" t="array" ref="AK23:AK23">IFERROR( (AVERAGE((IF(DATOS_[[Sexo]:[Sexo]]=$B23,IF(DATOS_[[AGRUP. CLAS. PROF.]:[AGRUP. CLAS. PROF.]]=$B21,IF(DATOS_[[Check Periodo Ref.]:[Check Periodo Ref.]]="Dentro",IF(DATOS_[[Check Equiparado]:[Check Equiparado]]="Sí",IF(DATOS!BF$4="Sí",(1/DATOS_[[% anualiz]:[% anualiz]]),1)*IF(DATOS!BF$5="Sí",1/DATOS_[[% normaliz]:[% normaliz]],1)*(DATOS_[Conc.Sal.28])))))))), 0)</f>
        <v>0</v>
      </c>
      <c r="AL23" s="302" t="n">
        <f aca="false" t="array" ref="AL23:AL23">IFERROR( (AVERAGE((IF(DATOS_[[Sexo]:[Sexo]]=$B23,IF(DATOS_[[AGRUP. CLAS. PROF.]:[AGRUP. CLAS. PROF.]]=$B21,IF(DATOS_[[Check Periodo Ref.]:[Check Periodo Ref.]]="Dentro",IF(DATOS_[[Check Equiparado]:[Check Equiparado]]="Sí",IF(DATOS!BG$4="Sí",(1/DATOS_[[% anualiz]:[% anualiz]]),1)*IF(DATOS!BG$5="Sí",1/DATOS_[[% normaliz]:[% normaliz]],1)*(DATOS_[Conc.Sal.29])))))))), 0)</f>
        <v>0</v>
      </c>
      <c r="AM23" s="302" t="n">
        <f aca="false" t="array" ref="AM23:AM23">IFERROR( (AVERAGE((IF(DATOS_[[Sexo]:[Sexo]]=$B23,IF(DATOS_[[AGRUP. CLAS. PROF.]:[AGRUP. CLAS. PROF.]]=$B21,IF(DATOS_[[Check Periodo Ref.]:[Check Periodo Ref.]]="Dentro",IF(DATOS_[[Check Equiparado]:[Check Equiparado]]="Sí",IF(DATOS!BH$4="Sí",(1/DATOS_[[% anualiz]:[% anualiz]]),1)*IF(DATOS!BH$5="Sí",1/DATOS_[[% normaliz]:[% normaliz]],1)*(DATOS_[Conc.Sal.30])))))))), 0)</f>
        <v>0</v>
      </c>
      <c r="AN23" s="294" t="n">
        <f aca="false" t="array" ref="AN23:AN23">IFERROR( AVERAGE(IF(DATOS_[Sexo]=$B23,IF(DATOS_[[AGRUP. CLAS. PROF.]:[AGRUP. CLAS. PROF.]]=$B21,IF(DATOS_[Check Equiparado]="Sí",IF(DATOS_[Check Periodo Ref.]="Dentro",DATOS_[Tot COMPL.SAL Eq],0))))), 0)</f>
        <v>0</v>
      </c>
      <c r="AO23" s="295" t="n">
        <f aca="false" t="array" ref="AO23:AO23">IFERROR( AVERAGE(IF(DATOS_[Sexo]=$B23,IF(DATOS_[[AGRUP. CLAS. PROF.]:[AGRUP. CLAS. PROF.]]=$B21,IF(DATOS_[Check Equiparado]="Sí",IF(DATOS_[Check Periodo Ref.]="Dentro",DATOS_[TOTAL SALARIO Eq],0))))), 0)</f>
        <v>0</v>
      </c>
      <c r="AP23" s="303" t="n">
        <f aca="false" t="array" ref="AP23:AP23">IFERROR( (AVERAGE((IF(DATOS_[[Sexo]:[Sexo]]=$B23,IF(DATOS_[[AGRUP. CLAS. PROF.]:[AGRUP. CLAS. PROF.]]=$B22,IF(DATOS_[[Check Periodo Ref.]:[Check Periodo Ref.]]="Dentro",IF(DATOS_[[Check Equiparado]:[Check Equiparado]]="Sí",IF(DATOS!BI$4="Sí",(1/DATOS_[[% anualiz]:[% anualiz]]),1)*IF(DATOS!BI$5="Sí",1/DATOS_[[% normaliz]:[% normaliz]],1)*(DATOS_[C.Extra.01])))))))), 0)</f>
        <v>0</v>
      </c>
      <c r="AQ23" s="303" t="n">
        <f aca="false" t="array" ref="AQ23:AQ23">IFERROR( (AVERAGE((IF(DATOS_[[Sexo]:[Sexo]]=$B23,IF(DATOS_[[AGRUP. CLAS. PROF.]:[AGRUP. CLAS. PROF.]]=$B22,IF(DATOS_[[Check Periodo Ref.]:[Check Periodo Ref.]]="Dentro",IF(DATOS_[[Check Equiparado]:[Check Equiparado]]="Sí",IF(DATOS!BJ$4="Sí",(1/DATOS_[[% anualiz]:[% anualiz]]),1)*IF(DATOS!BJ$5="Sí",1/DATOS_[[% normaliz]:[% normaliz]],1)*(DATOS_[C.Extra.02])))))))), 0)</f>
        <v>0</v>
      </c>
      <c r="AR23" s="303" t="n">
        <f aca="false" t="array" ref="AR23:AR23">IFERROR( (AVERAGE((IF(DATOS_[[Sexo]:[Sexo]]=$B23,IF(DATOS_[[AGRUP. CLAS. PROF.]:[AGRUP. CLAS. PROF.]]=$B22,IF(DATOS_[[Check Periodo Ref.]:[Check Periodo Ref.]]="Dentro",IF(DATOS_[[Check Equiparado]:[Check Equiparado]]="Sí",IF(DATOS!BK$4="Sí",(1/DATOS_[[% anualiz]:[% anualiz]]),1)*IF(DATOS!BK$5="Sí",1/DATOS_[[% normaliz]:[% normaliz]],1)*(DATOS_[C.Extra.03])))))))), 0)</f>
        <v>0</v>
      </c>
      <c r="AS23" s="303" t="n">
        <f aca="false" t="array" ref="AS23:AS23">IFERROR( (AVERAGE((IF(DATOS_[[Sexo]:[Sexo]]=$B23,IF(DATOS_[[AGRUP. CLAS. PROF.]:[AGRUP. CLAS. PROF.]]=$B22,IF(DATOS_[[Check Periodo Ref.]:[Check Periodo Ref.]]="Dentro",IF(DATOS_[[Check Equiparado]:[Check Equiparado]]="Sí",IF(DATOS!BL$4="Sí",(1/DATOS_[[% anualiz]:[% anualiz]]),1)*IF(DATOS!BL$5="Sí",1/DATOS_[[% normaliz]:[% normaliz]],1)*(DATOS_[C.Extra.04])))))))), 0)</f>
        <v>0</v>
      </c>
      <c r="AT23" s="303" t="n">
        <f aca="false" t="array" ref="AT23:AT23">IFERROR( (AVERAGE((IF(DATOS_[[Sexo]:[Sexo]]=$B23,IF(DATOS_[[AGRUP. CLAS. PROF.]:[AGRUP. CLAS. PROF.]]=$B22,IF(DATOS_[[Check Periodo Ref.]:[Check Periodo Ref.]]="Dentro",IF(DATOS_[[Check Equiparado]:[Check Equiparado]]="Sí",IF(DATOS!BM$4="Sí",(1/DATOS_[[% anualiz]:[% anualiz]]),1)*IF(DATOS!BM$5="Sí",1/DATOS_[[% normaliz]:[% normaliz]],1)*(DATOS_[C.Extra.05])))))))), 0)</f>
        <v>0</v>
      </c>
      <c r="AU23" s="297" t="n">
        <f aca="false" t="array" ref="AU23:AU23">IFERROR( AVERAGE(IF(DATOS_[Sexo]=$B23,IF(DATOS_[[AGRUP. CLAS. PROF.]:[AGRUP. CLAS. PROF.]]=$B21,IF(DATOS_[Check Equiparado]="Sí",IF(DATOS_[Check Periodo Ref.]="Dentro",DATOS_[Tot Extrasalarial Eq],0))))), 0)</f>
        <v>0</v>
      </c>
      <c r="AV23" s="298" t="n">
        <f aca="false" t="array" ref="AV23:AV23">IFERROR( AVERAGE(IF(DATOS_[Sexo]=$B23,IF(DATOS_[[AGRUP. CLAS. PROF.]:[AGRUP. CLAS. PROF.]]=$B21,IF(DATOS_[Check Equiparado]="Sí",IF(DATOS_[Check Periodo Ref.]="Dentro",DATOS_[TOTAL Retrib Eq],0))))), 0)</f>
        <v>0</v>
      </c>
    </row>
    <row r="24" customFormat="false" ht="15.75" hidden="false" customHeight="false" outlineLevel="0" collapsed="false">
      <c r="A24" s="166" t="str">
        <f aca="false">+A25</f>
        <v>[ocultar]</v>
      </c>
      <c r="B24" s="276" t="s">
        <v>179</v>
      </c>
      <c r="C24" s="277"/>
      <c r="D24" s="278"/>
      <c r="E24" s="278"/>
      <c r="F24" s="278"/>
      <c r="G24" s="278"/>
      <c r="H24" s="278"/>
      <c r="I24" s="279" t="str">
        <f aca="false">IFERROR((I25-I26)/I25,"")</f>
        <v/>
      </c>
      <c r="J24" s="280" t="str">
        <f aca="false">IFERROR((J25-J26)/J25,"")</f>
        <v/>
      </c>
      <c r="K24" s="281" t="str">
        <f aca="false">IFERROR((K25-K26)/K25,"")</f>
        <v/>
      </c>
      <c r="L24" s="281" t="str">
        <f aca="false">IFERROR((L25-L26)/L25,"")</f>
        <v/>
      </c>
      <c r="M24" s="281" t="str">
        <f aca="false">IFERROR((M25-M26)/M25,"")</f>
        <v/>
      </c>
      <c r="N24" s="282" t="str">
        <f aca="false">IFERROR((N25-N26)/N25,"")</f>
        <v/>
      </c>
      <c r="O24" s="283" t="str">
        <f aca="false">IFERROR((O25-O26)/O25,"")</f>
        <v/>
      </c>
      <c r="P24" s="283" t="str">
        <f aca="false">IFERROR((P25-P26)/P25,"")</f>
        <v/>
      </c>
      <c r="Q24" s="283" t="str">
        <f aca="false">IFERROR((Q25-Q26)/Q25,"")</f>
        <v/>
      </c>
      <c r="R24" s="283" t="str">
        <f aca="false">IFERROR((R25-R26)/R25,"")</f>
        <v/>
      </c>
      <c r="S24" s="283" t="str">
        <f aca="false">IFERROR((S25-S26)/S25,"")</f>
        <v/>
      </c>
      <c r="T24" s="283" t="str">
        <f aca="false">IFERROR((T25-T26)/T25,"")</f>
        <v/>
      </c>
      <c r="U24" s="283" t="str">
        <f aca="false">IFERROR((U25-U26)/U25,"")</f>
        <v/>
      </c>
      <c r="V24" s="283" t="str">
        <f aca="false">IFERROR((V25-V26)/V25,"")</f>
        <v/>
      </c>
      <c r="W24" s="283" t="str">
        <f aca="false">IFERROR((W25-W26)/W25,"")</f>
        <v/>
      </c>
      <c r="X24" s="283" t="str">
        <f aca="false">IFERROR((X25-X26)/X25,"")</f>
        <v/>
      </c>
      <c r="Y24" s="283" t="str">
        <f aca="false">IFERROR((Y25-Y26)/Y25,"")</f>
        <v/>
      </c>
      <c r="Z24" s="282" t="str">
        <f aca="false">IFERROR((Z25-Z26)/Z25,"")</f>
        <v/>
      </c>
      <c r="AA24" s="282" t="str">
        <f aca="false">IFERROR((AA25-AA26)/AA25,"")</f>
        <v/>
      </c>
      <c r="AB24" s="282" t="str">
        <f aca="false">IFERROR((AB25-AB26)/AB25,"")</f>
        <v/>
      </c>
      <c r="AC24" s="282" t="str">
        <f aca="false">IFERROR((AC25-AC26)/AC25,"")</f>
        <v/>
      </c>
      <c r="AD24" s="282" t="str">
        <f aca="false">IFERROR((AD25-AD26)/AD25,"")</f>
        <v/>
      </c>
      <c r="AE24" s="282" t="str">
        <f aca="false">IFERROR((AE25-AE26)/AE25,"")</f>
        <v/>
      </c>
      <c r="AF24" s="282" t="str">
        <f aca="false">IFERROR((AF25-AF26)/AF25,"")</f>
        <v/>
      </c>
      <c r="AG24" s="282" t="str">
        <f aca="false">IFERROR((AG25-AG26)/AG25,"")</f>
        <v/>
      </c>
      <c r="AH24" s="282" t="str">
        <f aca="false">IFERROR((AH25-AH26)/AH25,"")</f>
        <v/>
      </c>
      <c r="AI24" s="282" t="str">
        <f aca="false">IFERROR((AI25-AI26)/AI25,"")</f>
        <v/>
      </c>
      <c r="AJ24" s="282" t="str">
        <f aca="false">IFERROR((AJ25-AJ26)/AJ25,"")</f>
        <v/>
      </c>
      <c r="AK24" s="282" t="str">
        <f aca="false">IFERROR((AK25-AK26)/AK25,"")</f>
        <v/>
      </c>
      <c r="AL24" s="282" t="str">
        <f aca="false">IFERROR((AL25-AL26)/AL25,"")</f>
        <v/>
      </c>
      <c r="AM24" s="282" t="str">
        <f aca="false">IFERROR((AM25-AM26)/AM25,"")</f>
        <v/>
      </c>
      <c r="AN24" s="284" t="str">
        <f aca="false">IFERROR((AN25-AN26)/AN25,"")</f>
        <v/>
      </c>
      <c r="AO24" s="285" t="str">
        <f aca="false">IFERROR((AO25-AO26)/AO25,"")</f>
        <v/>
      </c>
      <c r="AP24" s="286" t="str">
        <f aca="false">IFERROR((AP25-AP26)/AP25,"")</f>
        <v/>
      </c>
      <c r="AQ24" s="286" t="str">
        <f aca="false">IFERROR((AQ25-AQ26)/AQ25,"")</f>
        <v/>
      </c>
      <c r="AR24" s="286" t="str">
        <f aca="false">IFERROR((AR25-AR26)/AR25,"")</f>
        <v/>
      </c>
      <c r="AS24" s="286" t="str">
        <f aca="false">IFERROR((AS25-AS26)/AS25,"")</f>
        <v/>
      </c>
      <c r="AT24" s="286" t="str">
        <f aca="false">IFERROR((AT25-AT26)/AT25,"")</f>
        <v/>
      </c>
      <c r="AU24" s="287" t="str">
        <f aca="false">IFERROR((AU25-AU26)/AU25,"")</f>
        <v/>
      </c>
      <c r="AV24" s="288" t="str">
        <f aca="false">IFERROR((AV25-AV26)/AV25,"")</f>
        <v/>
      </c>
    </row>
    <row r="25" customFormat="false" ht="14.25" hidden="false" customHeight="false" outlineLevel="0" collapsed="false">
      <c r="A25" s="166" t="str">
        <f aca="false">+IF(C25+C26=0,"[ocultar]","")</f>
        <v>[ocultar]</v>
      </c>
      <c r="B25" s="289" t="s">
        <v>371</v>
      </c>
      <c r="C25" s="290" t="n">
        <f aca="false" t="array" ref="C25:C25">SUM(IF($B25=DATOS_[Sexo], IF($B24=DATOS_[AGRUP. CLAS. PROF.], IF("Dentro"=DATOS_[Check Periodo Ref.], 1/(COUNTIFS(DATOS_[Sexo],$B25,DATOS_[AGRUP. CLAS. PROF.],$B24,DATOS_[Check Periodo Ref.],"Dentro",DATOS_[id],DATOS_[id]))))))</f>
        <v>0</v>
      </c>
      <c r="D25" s="291" t="n">
        <f aca="false">COUNTIFS(DATOS_[AGRUP. CLAS. PROF.],$B24,DATOS_[Sexo],$B25,DATOS_[Check Periodo Ref.],"Dentro")</f>
        <v>0</v>
      </c>
      <c r="E25" s="291" t="n">
        <f aca="false">COUNTIFS(DATOS_[AGRUP. CLAS. PROF.],$B24,DATOS_[Sexo],$B25,DATOS_[Check Periodo Ref.],"Dentro",DATOS_[Check Nº SC Norm],"Sí")</f>
        <v>0</v>
      </c>
      <c r="F25" s="291" t="n">
        <f aca="false">COUNTIFS(DATOS_[AGRUP. CLAS. PROF.],$B24,DATOS_[Sexo],$B25,DATOS_[Check Periodo Ref.],"Dentro",DATOS_[Check Nº SC Anualiz],"Sí")</f>
        <v>0</v>
      </c>
      <c r="G25" s="291" t="n">
        <f aca="false">COUNTIFS(DATOS_[AGRUP. CLAS. PROF.],$B24,DATOS_[Sexo],$B25,DATOS_[Check Periodo Ref.],"Dentro",DATOS_[Check Nº SC Norm y Anualiz],"Sí")</f>
        <v>0</v>
      </c>
      <c r="H25" s="291" t="n">
        <f aca="false">COUNTIFS(DATOS_[AGRUP. CLAS. PROF.],$B24,DATOS_[Sexo],$B25,DATOS_[Check Periodo Ref.],"Dentro",DATOS_[Check Equiparación],"Sí")</f>
        <v>0</v>
      </c>
      <c r="I25" s="292" t="n">
        <f aca="false" t="array" ref="I25:I25">IFERROR( AVERAGE(IF(DATOS_[Sexo]=$B25,IF(DATOS_[[AGRUP. CLAS. PROF.]:[AGRUP. CLAS. PROF.]]=$B24,IF(DATOS_[Check Equiparado]="Sí",IF(DATOS_[Check Periodo Ref.]="Dentro",DATOS_[SALARIO BASE Eq],0))))), 0)</f>
        <v>0</v>
      </c>
      <c r="J25" s="302" t="n">
        <f aca="false" t="array" ref="J25:J25">IFERROR( (AVERAGE((IF(DATOS_[[Sexo]:[Sexo]]=$B25,IF(DATOS_[[AGRUP. CLAS. PROF.]:[AGRUP. CLAS. PROF.]]=$B24,IF(DATOS_[[Check Periodo Ref.]:[Check Periodo Ref.]]="Dentro",IF(DATOS_[[Check Equiparado]:[Check Equiparado]]="Sí",IF(DATOS!AE$4="Sí",(1/DATOS_[[% anualiz]:[% anualiz]]),1)*IF(DATOS!AE$5="Sí",1/DATOS_[[% normaliz]:[% normaliz]],1)*(DATOS_[Conc.Sal.01])))))))), 0)</f>
        <v>0</v>
      </c>
      <c r="K25" s="302" t="n">
        <f aca="false" t="array" ref="K25:K25">IFERROR( (AVERAGE((IF(DATOS_[[Sexo]:[Sexo]]=$B25,IF(DATOS_[[AGRUP. CLAS. PROF.]:[AGRUP. CLAS. PROF.]]=$B24,IF(DATOS_[[Check Periodo Ref.]:[Check Periodo Ref.]]="Dentro",IF(DATOS_[[Check Equiparado]:[Check Equiparado]]="Sí",IF(DATOS!AF$4="Sí",(1/DATOS_[[% anualiz]:[% anualiz]]),1)*IF(DATOS!AF$5="Sí",1/DATOS_[[% normaliz]:[% normaliz]],1)*(DATOS_[Conc.Sal.02])))))))), 0)</f>
        <v>0</v>
      </c>
      <c r="L25" s="302" t="n">
        <f aca="false" t="array" ref="L25:L25">IFERROR( (AVERAGE((IF(DATOS_[[Sexo]:[Sexo]]=$B25,IF(DATOS_[[AGRUP. CLAS. PROF.]:[AGRUP. CLAS. PROF.]]=$B24,IF(DATOS_[[Check Periodo Ref.]:[Check Periodo Ref.]]="Dentro",IF(DATOS_[[Check Equiparado]:[Check Equiparado]]="Sí",IF(DATOS!AG$4="Sí",(1/DATOS_[[% anualiz]:[% anualiz]]),1)*IF(DATOS!AG$5="Sí",1/DATOS_[[% normaliz]:[% normaliz]],1)*(DATOS_[Conc.Sal.03])))))))), 0)</f>
        <v>0</v>
      </c>
      <c r="M25" s="302" t="n">
        <f aca="false" t="array" ref="M25:M25">IFERROR( (AVERAGE((IF(DATOS_[[Sexo]:[Sexo]]=$B25,IF(DATOS_[[AGRUP. CLAS. PROF.]:[AGRUP. CLAS. PROF.]]=$B24,IF(DATOS_[[Check Periodo Ref.]:[Check Periodo Ref.]]="Dentro",IF(DATOS_[[Check Equiparado]:[Check Equiparado]]="Sí",IF(DATOS!AH$4="Sí",(1/DATOS_[[% anualiz]:[% anualiz]]),1)*IF(DATOS!AH$5="Sí",1/DATOS_[[% normaliz]:[% normaliz]],1)*(DATOS_[Conc.Sal.04])))))))), 0)</f>
        <v>0</v>
      </c>
      <c r="N25" s="302" t="n">
        <f aca="false" t="array" ref="N25:N25">IFERROR( (AVERAGE((IF(DATOS_[[Sexo]:[Sexo]]=$B25,IF(DATOS_[[AGRUP. CLAS. PROF.]:[AGRUP. CLAS. PROF.]]=$B24,IF(DATOS_[[Check Periodo Ref.]:[Check Periodo Ref.]]="Dentro",IF(DATOS_[[Check Equiparado]:[Check Equiparado]]="Sí",IF(DATOS!AI$4="Sí",(1/DATOS_[[% anualiz]:[% anualiz]]),1)*IF(DATOS!AI$5="Sí",1/DATOS_[[% normaliz]:[% normaliz]],1)*(DATOS_[Conc.Sal.05])))))))), 0)</f>
        <v>0</v>
      </c>
      <c r="O25" s="302" t="n">
        <f aca="false" t="array" ref="O25:O25">IFERROR( (AVERAGE((IF(DATOS_[[Sexo]:[Sexo]]=$B25,IF(DATOS_[[AGRUP. CLAS. PROF.]:[AGRUP. CLAS. PROF.]]=$B24,IF(DATOS_[[Check Periodo Ref.]:[Check Periodo Ref.]]="Dentro",IF(DATOS_[[Check Equiparado]:[Check Equiparado]]="Sí",IF(DATOS!AJ$4="Sí",(1/DATOS_[[% anualiz]:[% anualiz]]),1)*IF(DATOS!AJ$5="Sí",1/DATOS_[[% normaliz]:[% normaliz]],1)*(DATOS_[Conc.Sal.06])))))))), 0)</f>
        <v>0</v>
      </c>
      <c r="P25" s="302" t="n">
        <f aca="false" t="array" ref="P25:P25">IFERROR( (AVERAGE((IF(DATOS_[[Sexo]:[Sexo]]=$B25,IF(DATOS_[[AGRUP. CLAS. PROF.]:[AGRUP. CLAS. PROF.]]=$B24,IF(DATOS_[[Check Periodo Ref.]:[Check Periodo Ref.]]="Dentro",IF(DATOS_[[Check Equiparado]:[Check Equiparado]]="Sí",IF(DATOS!AK$4="Sí",(1/DATOS_[[% anualiz]:[% anualiz]]),1)*IF(DATOS!AK$5="Sí",1/DATOS_[[% normaliz]:[% normaliz]],1)*(DATOS_[Conc.Sal.07])))))))), 0)</f>
        <v>0</v>
      </c>
      <c r="Q25" s="302" t="n">
        <f aca="false" t="array" ref="Q25:Q25">IFERROR( (AVERAGE((IF(DATOS_[[Sexo]:[Sexo]]=$B25,IF(DATOS_[[AGRUP. CLAS. PROF.]:[AGRUP. CLAS. PROF.]]=$B24,IF(DATOS_[[Check Periodo Ref.]:[Check Periodo Ref.]]="Dentro",IF(DATOS_[[Check Equiparado]:[Check Equiparado]]="Sí",IF(DATOS!AL$4="Sí",(1/DATOS_[[% anualiz]:[% anualiz]]),1)*IF(DATOS!AL$5="Sí",1/DATOS_[[% normaliz]:[% normaliz]],1)*(DATOS_[Conc.Sal.08])))))))), 0)</f>
        <v>0</v>
      </c>
      <c r="R25" s="302" t="n">
        <f aca="false" t="array" ref="R25:R25">IFERROR( (AVERAGE((IF(DATOS_[[Sexo]:[Sexo]]=$B25,IF(DATOS_[[AGRUP. CLAS. PROF.]:[AGRUP. CLAS. PROF.]]=$B24,IF(DATOS_[[Check Periodo Ref.]:[Check Periodo Ref.]]="Dentro",IF(DATOS_[[Check Equiparado]:[Check Equiparado]]="Sí",IF(DATOS!AM$4="Sí",(1/DATOS_[[% anualiz]:[% anualiz]]),1)*IF(DATOS!AM$5="Sí",1/DATOS_[[% normaliz]:[% normaliz]],1)*(DATOS_[Conc.Sal.09])))))))), 0)</f>
        <v>0</v>
      </c>
      <c r="S25" s="302" t="n">
        <f aca="false" t="array" ref="S25:S25">IFERROR( (AVERAGE((IF(DATOS_[[Sexo]:[Sexo]]=$B25,IF(DATOS_[[AGRUP. CLAS. PROF.]:[AGRUP. CLAS. PROF.]]=$B24,IF(DATOS_[[Check Periodo Ref.]:[Check Periodo Ref.]]="Dentro",IF(DATOS_[[Check Equiparado]:[Check Equiparado]]="Sí",IF(DATOS!AN$4="Sí",(1/DATOS_[[% anualiz]:[% anualiz]]),1)*IF(DATOS!AN$5="Sí",1/DATOS_[[% normaliz]:[% normaliz]],1)*(DATOS_[Conc.Sal.10])))))))), 0)</f>
        <v>0</v>
      </c>
      <c r="T25" s="302" t="n">
        <f aca="false" t="array" ref="T25:T25">IFERROR( (AVERAGE((IF(DATOS_[[Sexo]:[Sexo]]=$B25,IF(DATOS_[[AGRUP. CLAS. PROF.]:[AGRUP. CLAS. PROF.]]=$B24,IF(DATOS_[[Check Periodo Ref.]:[Check Periodo Ref.]]="Dentro",IF(DATOS_[[Check Equiparado]:[Check Equiparado]]="Sí",IF(DATOS!AO$4="Sí",(1/DATOS_[[% anualiz]:[% anualiz]]),1)*IF(DATOS!AO$5="Sí",1/DATOS_[[% normaliz]:[% normaliz]],1)*(DATOS_[Conc.Sal.11])))))))), 0)</f>
        <v>0</v>
      </c>
      <c r="U25" s="302" t="n">
        <f aca="false" t="array" ref="U25:U25">IFERROR( (AVERAGE((IF(DATOS_[[Sexo]:[Sexo]]=$B25,IF(DATOS_[[AGRUP. CLAS. PROF.]:[AGRUP. CLAS. PROF.]]=$B24,IF(DATOS_[[Check Periodo Ref.]:[Check Periodo Ref.]]="Dentro",IF(DATOS_[[Check Equiparado]:[Check Equiparado]]="Sí",IF(DATOS!AP$4="Sí",(1/DATOS_[[% anualiz]:[% anualiz]]),1)*IF(DATOS!AP$5="Sí",1/DATOS_[[% normaliz]:[% normaliz]],1)*(DATOS_[Conc.Sal.12])))))))), 0)</f>
        <v>0</v>
      </c>
      <c r="V25" s="302" t="n">
        <f aca="false" t="array" ref="V25:V25">IFERROR( (AVERAGE((IF(DATOS_[[Sexo]:[Sexo]]=$B25,IF(DATOS_[[AGRUP. CLAS. PROF.]:[AGRUP. CLAS. PROF.]]=$B24,IF(DATOS_[[Check Periodo Ref.]:[Check Periodo Ref.]]="Dentro",IF(DATOS_[[Check Equiparado]:[Check Equiparado]]="Sí",IF(DATOS!AQ$4="Sí",(1/DATOS_[[% anualiz]:[% anualiz]]),1)*IF(DATOS!AQ$5="Sí",1/DATOS_[[% normaliz]:[% normaliz]],1)*(DATOS_[Conc.Sal.13])))))))), 0)</f>
        <v>0</v>
      </c>
      <c r="W25" s="302" t="n">
        <f aca="false" t="array" ref="W25:W25">IFERROR( (AVERAGE((IF(DATOS_[[Sexo]:[Sexo]]=$B25,IF(DATOS_[[AGRUP. CLAS. PROF.]:[AGRUP. CLAS. PROF.]]=$B24,IF(DATOS_[[Check Periodo Ref.]:[Check Periodo Ref.]]="Dentro",IF(DATOS_[[Check Equiparado]:[Check Equiparado]]="Sí",IF(DATOS!AR$4="Sí",(1/DATOS_[[% anualiz]:[% anualiz]]),1)*IF(DATOS!AR$5="Sí",1/DATOS_[[% normaliz]:[% normaliz]],1)*(DATOS_[Conc.Sal.14])))))))), 0)</f>
        <v>0</v>
      </c>
      <c r="X25" s="302" t="n">
        <f aca="false" t="array" ref="X25:X25">IFERROR( (AVERAGE((IF(DATOS_[[Sexo]:[Sexo]]=$B25,IF(DATOS_[[AGRUP. CLAS. PROF.]:[AGRUP. CLAS. PROF.]]=$B24,IF(DATOS_[[Check Periodo Ref.]:[Check Periodo Ref.]]="Dentro",IF(DATOS_[[Check Equiparado]:[Check Equiparado]]="Sí",IF(DATOS!AS$4="Sí",(1/DATOS_[[% anualiz]:[% anualiz]]),1)*IF(DATOS!AS$5="Sí",1/DATOS_[[% normaliz]:[% normaliz]],1)*(DATOS_[Conc.Sal.15])))))))), 0)</f>
        <v>0</v>
      </c>
      <c r="Y25" s="302" t="n">
        <f aca="false" t="array" ref="Y25:Y25">IFERROR( (AVERAGE((IF(DATOS_[[Sexo]:[Sexo]]=$B25,IF(DATOS_[[AGRUP. CLAS. PROF.]:[AGRUP. CLAS. PROF.]]=$B24,IF(DATOS_[[Check Periodo Ref.]:[Check Periodo Ref.]]="Dentro",IF(DATOS_[[Check Equiparado]:[Check Equiparado]]="Sí",IF(DATOS!AT$4="Sí",(1/DATOS_[[% anualiz]:[% anualiz]]),1)*IF(DATOS!AT$5="Sí",1/DATOS_[[% normaliz]:[% normaliz]],1)*(DATOS_[Conc.Sal.16])))))))), 0)</f>
        <v>0</v>
      </c>
      <c r="Z25" s="302" t="n">
        <f aca="false" t="array" ref="Z25:Z25">IFERROR( (AVERAGE((IF(DATOS_[[Sexo]:[Sexo]]=$B25,IF(DATOS_[[AGRUP. CLAS. PROF.]:[AGRUP. CLAS. PROF.]]=$B24,IF(DATOS_[[Check Periodo Ref.]:[Check Periodo Ref.]]="Dentro",IF(DATOS_[[Check Equiparado]:[Check Equiparado]]="Sí",IF(DATOS!AU$4="Sí",(1/DATOS_[[% anualiz]:[% anualiz]]),1)*IF(DATOS!AU$5="Sí",1/DATOS_[[% normaliz]:[% normaliz]],1)*(DATOS_[Conc.Sal.17])))))))), 0)</f>
        <v>0</v>
      </c>
      <c r="AA25" s="302" t="n">
        <f aca="false" t="array" ref="AA25:AA25">IFERROR( (AVERAGE((IF(DATOS_[[Sexo]:[Sexo]]=$B25,IF(DATOS_[[AGRUP. CLAS. PROF.]:[AGRUP. CLAS. PROF.]]=$B24,IF(DATOS_[[Check Periodo Ref.]:[Check Periodo Ref.]]="Dentro",IF(DATOS_[[Check Equiparado]:[Check Equiparado]]="Sí",IF(DATOS!AV$4="Sí",(1/DATOS_[[% anualiz]:[% anualiz]]),1)*IF(DATOS!AV$5="Sí",1/DATOS_[[% normaliz]:[% normaliz]],1)*(DATOS_[Conc.Sal.18])))))))), 0)</f>
        <v>0</v>
      </c>
      <c r="AB25" s="302" t="n">
        <f aca="false" t="array" ref="AB25:AB25">IFERROR( (AVERAGE((IF(DATOS_[[Sexo]:[Sexo]]=$B25,IF(DATOS_[[AGRUP. CLAS. PROF.]:[AGRUP. CLAS. PROF.]]=$B24,IF(DATOS_[[Check Periodo Ref.]:[Check Periodo Ref.]]="Dentro",IF(DATOS_[[Check Equiparado]:[Check Equiparado]]="Sí",IF(DATOS!AW$4="Sí",(1/DATOS_[[% anualiz]:[% anualiz]]),1)*IF(DATOS!AW$5="Sí",1/DATOS_[[% normaliz]:[% normaliz]],1)*(DATOS_[Conc.Sal.19])))))))), 0)</f>
        <v>0</v>
      </c>
      <c r="AC25" s="302" t="n">
        <f aca="false" t="array" ref="AC25:AC25">IFERROR( (AVERAGE((IF(DATOS_[[Sexo]:[Sexo]]=$B25,IF(DATOS_[[AGRUP. CLAS. PROF.]:[AGRUP. CLAS. PROF.]]=$B24,IF(DATOS_[[Check Periodo Ref.]:[Check Periodo Ref.]]="Dentro",IF(DATOS_[[Check Equiparado]:[Check Equiparado]]="Sí",IF(DATOS!AX$4="Sí",(1/DATOS_[[% anualiz]:[% anualiz]]),1)*IF(DATOS!AX$5="Sí",1/DATOS_[[% normaliz]:[% normaliz]],1)*(DATOS_[Conc.Sal.20])))))))), 0)</f>
        <v>0</v>
      </c>
      <c r="AD25" s="302" t="n">
        <f aca="false" t="array" ref="AD25:AD25">IFERROR( (AVERAGE((IF(DATOS_[[Sexo]:[Sexo]]=$B25,IF(DATOS_[[AGRUP. CLAS. PROF.]:[AGRUP. CLAS. PROF.]]=$B24,IF(DATOS_[[Check Periodo Ref.]:[Check Periodo Ref.]]="Dentro",IF(DATOS_[[Check Equiparado]:[Check Equiparado]]="Sí",IF(DATOS!AY$4="Sí",(1/DATOS_[[% anualiz]:[% anualiz]]),1)*IF(DATOS!AY$5="Sí",1/DATOS_[[% normaliz]:[% normaliz]],1)*(DATOS_[Conc.Sal.21])))))))), 0)</f>
        <v>0</v>
      </c>
      <c r="AE25" s="302" t="n">
        <f aca="false" t="array" ref="AE25:AE25">IFERROR( (AVERAGE((IF(DATOS_[[Sexo]:[Sexo]]=$B25,IF(DATOS_[[AGRUP. CLAS. PROF.]:[AGRUP. CLAS. PROF.]]=$B24,IF(DATOS_[[Check Periodo Ref.]:[Check Periodo Ref.]]="Dentro",IF(DATOS_[[Check Equiparado]:[Check Equiparado]]="Sí",IF(DATOS!AZ$4="Sí",(1/DATOS_[[% anualiz]:[% anualiz]]),1)*IF(DATOS!AZ$5="Sí",1/DATOS_[[% normaliz]:[% normaliz]],1)*(DATOS_[Conc.Sal.22])))))))), 0)</f>
        <v>0</v>
      </c>
      <c r="AF25" s="302" t="n">
        <f aca="false" t="array" ref="AF25:AF25">IFERROR( (AVERAGE((IF(DATOS_[[Sexo]:[Sexo]]=$B25,IF(DATOS_[[AGRUP. CLAS. PROF.]:[AGRUP. CLAS. PROF.]]=$B24,IF(DATOS_[[Check Periodo Ref.]:[Check Periodo Ref.]]="Dentro",IF(DATOS_[[Check Equiparado]:[Check Equiparado]]="Sí",IF(DATOS!BA$4="Sí",(1/DATOS_[[% anualiz]:[% anualiz]]),1)*IF(DATOS!BA$5="Sí",1/DATOS_[[% normaliz]:[% normaliz]],1)*(DATOS_[Conc.Sal.23])))))))), 0)</f>
        <v>0</v>
      </c>
      <c r="AG25" s="302" t="n">
        <f aca="false" t="array" ref="AG25:AG25">IFERROR( (AVERAGE((IF(DATOS_[[Sexo]:[Sexo]]=$B25,IF(DATOS_[[AGRUP. CLAS. PROF.]:[AGRUP. CLAS. PROF.]]=$B24,IF(DATOS_[[Check Periodo Ref.]:[Check Periodo Ref.]]="Dentro",IF(DATOS_[[Check Equiparado]:[Check Equiparado]]="Sí",IF(DATOS!BB$4="Sí",(1/DATOS_[[% anualiz]:[% anualiz]]),1)*IF(DATOS!BB$5="Sí",1/DATOS_[[% normaliz]:[% normaliz]],1)*(DATOS_[Conc.Sal.24])))))))), 0)</f>
        <v>0</v>
      </c>
      <c r="AH25" s="302" t="n">
        <f aca="false" t="array" ref="AH25:AH25">IFERROR( (AVERAGE((IF(DATOS_[[Sexo]:[Sexo]]=$B25,IF(DATOS_[[AGRUP. CLAS. PROF.]:[AGRUP. CLAS. PROF.]]=$B24,IF(DATOS_[[Check Periodo Ref.]:[Check Periodo Ref.]]="Dentro",IF(DATOS_[[Check Equiparado]:[Check Equiparado]]="Sí",IF(DATOS!BC$4="Sí",(1/DATOS_[[% anualiz]:[% anualiz]]),1)*IF(DATOS!BC$5="Sí",1/DATOS_[[% normaliz]:[% normaliz]],1)*(DATOS_[Conc.Sal.25])))))))), 0)</f>
        <v>0</v>
      </c>
      <c r="AI25" s="302" t="n">
        <f aca="false" t="array" ref="AI25:AI25">IFERROR( (AVERAGE((IF(DATOS_[[Sexo]:[Sexo]]=$B25,IF(DATOS_[[AGRUP. CLAS. PROF.]:[AGRUP. CLAS. PROF.]]=$B24,IF(DATOS_[[Check Periodo Ref.]:[Check Periodo Ref.]]="Dentro",IF(DATOS_[[Check Equiparado]:[Check Equiparado]]="Sí",IF(DATOS!BD$4="Sí",(1/DATOS_[[% anualiz]:[% anualiz]]),1)*IF(DATOS!BD$5="Sí",1/DATOS_[[% normaliz]:[% normaliz]],1)*(DATOS_[Conc.Sal.26])))))))), 0)</f>
        <v>0</v>
      </c>
      <c r="AJ25" s="302" t="n">
        <f aca="false" t="array" ref="AJ25:AJ25">IFERROR( (AVERAGE((IF(DATOS_[[Sexo]:[Sexo]]=$B25,IF(DATOS_[[AGRUP. CLAS. PROF.]:[AGRUP. CLAS. PROF.]]=$B24,IF(DATOS_[[Check Periodo Ref.]:[Check Periodo Ref.]]="Dentro",IF(DATOS_[[Check Equiparado]:[Check Equiparado]]="Sí",IF(DATOS!BE$4="Sí",(1/DATOS_[[% anualiz]:[% anualiz]]),1)*IF(DATOS!BE$5="Sí",1/DATOS_[[% normaliz]:[% normaliz]],1)*(DATOS_[Conc.Sal.27])))))))), 0)</f>
        <v>0</v>
      </c>
      <c r="AK25" s="302" t="n">
        <f aca="false" t="array" ref="AK25:AK25">IFERROR( (AVERAGE((IF(DATOS_[[Sexo]:[Sexo]]=$B25,IF(DATOS_[[AGRUP. CLAS. PROF.]:[AGRUP. CLAS. PROF.]]=$B24,IF(DATOS_[[Check Periodo Ref.]:[Check Periodo Ref.]]="Dentro",IF(DATOS_[[Check Equiparado]:[Check Equiparado]]="Sí",IF(DATOS!BF$4="Sí",(1/DATOS_[[% anualiz]:[% anualiz]]),1)*IF(DATOS!BF$5="Sí",1/DATOS_[[% normaliz]:[% normaliz]],1)*(DATOS_[Conc.Sal.28])))))))), 0)</f>
        <v>0</v>
      </c>
      <c r="AL25" s="302" t="n">
        <f aca="false" t="array" ref="AL25:AL25">IFERROR( (AVERAGE((IF(DATOS_[[Sexo]:[Sexo]]=$B25,IF(DATOS_[[AGRUP. CLAS. PROF.]:[AGRUP. CLAS. PROF.]]=$B24,IF(DATOS_[[Check Periodo Ref.]:[Check Periodo Ref.]]="Dentro",IF(DATOS_[[Check Equiparado]:[Check Equiparado]]="Sí",IF(DATOS!BG$4="Sí",(1/DATOS_[[% anualiz]:[% anualiz]]),1)*IF(DATOS!BG$5="Sí",1/DATOS_[[% normaliz]:[% normaliz]],1)*(DATOS_[Conc.Sal.29])))))))), 0)</f>
        <v>0</v>
      </c>
      <c r="AM25" s="302" t="n">
        <f aca="false" t="array" ref="AM25:AM25">IFERROR( (AVERAGE((IF(DATOS_[[Sexo]:[Sexo]]=$B25,IF(DATOS_[[AGRUP. CLAS. PROF.]:[AGRUP. CLAS. PROF.]]=$B24,IF(DATOS_[[Check Periodo Ref.]:[Check Periodo Ref.]]="Dentro",IF(DATOS_[[Check Equiparado]:[Check Equiparado]]="Sí",IF(DATOS!BH$4="Sí",(1/DATOS_[[% anualiz]:[% anualiz]]),1)*IF(DATOS!BH$5="Sí",1/DATOS_[[% normaliz]:[% normaliz]],1)*(DATOS_[Conc.Sal.30])))))))), 0)</f>
        <v>0</v>
      </c>
      <c r="AN25" s="294" t="n">
        <f aca="false" t="array" ref="AN25:AN25">IFERROR( AVERAGE(IF(DATOS_[Sexo]=$B25,IF(DATOS_[[AGRUP. CLAS. PROF.]:[AGRUP. CLAS. PROF.]]=$B24,IF(DATOS_[Check Equiparado]="Sí",IF(DATOS_[Check Periodo Ref.]="Dentro",DATOS_[Tot COMPL.SAL Eq],0))))), 0)</f>
        <v>0</v>
      </c>
      <c r="AO25" s="295" t="n">
        <f aca="false" t="array" ref="AO25:AO25">IFERROR( AVERAGE(IF(DATOS_[Sexo]=$B25,IF(DATOS_[[AGRUP. CLAS. PROF.]:[AGRUP. CLAS. PROF.]]=$B24,IF(DATOS_[Check Equiparado]="Sí",IF(DATOS_[Check Periodo Ref.]="Dentro",DATOS_[TOTAL SALARIO Eq],0))))), 0)</f>
        <v>0</v>
      </c>
      <c r="AP25" s="303" t="n">
        <f aca="false" t="array" ref="AP25:AP25">IFERROR( (AVERAGE((IF(DATOS_[[Sexo]:[Sexo]]=$B25,IF(DATOS_[[AGRUP. CLAS. PROF.]:[AGRUP. CLAS. PROF.]]=$B24,IF(DATOS_[[Check Periodo Ref.]:[Check Periodo Ref.]]="Dentro",IF(DATOS_[[Check Equiparado]:[Check Equiparado]]="Sí",IF(DATOS!BI$4="Sí",(1/DATOS_[[% anualiz]:[% anualiz]]),1)*IF(DATOS!BI$5="Sí",1/DATOS_[[% normaliz]:[% normaliz]],1)*(DATOS_[C.Extra.01])))))))), 0)</f>
        <v>0</v>
      </c>
      <c r="AQ25" s="303" t="n">
        <f aca="false" t="array" ref="AQ25:AQ25">IFERROR( (AVERAGE((IF(DATOS_[[Sexo]:[Sexo]]=$B25,IF(DATOS_[[AGRUP. CLAS. PROF.]:[AGRUP. CLAS. PROF.]]=$B24,IF(DATOS_[[Check Periodo Ref.]:[Check Periodo Ref.]]="Dentro",IF(DATOS_[[Check Equiparado]:[Check Equiparado]]="Sí",IF(DATOS!BJ$4="Sí",(1/DATOS_[[% anualiz]:[% anualiz]]),1)*IF(DATOS!BJ$5="Sí",1/DATOS_[[% normaliz]:[% normaliz]],1)*(DATOS_[C.Extra.02])))))))), 0)</f>
        <v>0</v>
      </c>
      <c r="AR25" s="303" t="n">
        <f aca="false" t="array" ref="AR25:AR25">IFERROR( (AVERAGE((IF(DATOS_[[Sexo]:[Sexo]]=$B25,IF(DATOS_[[AGRUP. CLAS. PROF.]:[AGRUP. CLAS. PROF.]]=$B24,IF(DATOS_[[Check Periodo Ref.]:[Check Periodo Ref.]]="Dentro",IF(DATOS_[[Check Equiparado]:[Check Equiparado]]="Sí",IF(DATOS!BK$4="Sí",(1/DATOS_[[% anualiz]:[% anualiz]]),1)*IF(DATOS!BK$5="Sí",1/DATOS_[[% normaliz]:[% normaliz]],1)*(DATOS_[C.Extra.03])))))))), 0)</f>
        <v>0</v>
      </c>
      <c r="AS25" s="303" t="n">
        <f aca="false" t="array" ref="AS25:AS25">IFERROR( (AVERAGE((IF(DATOS_[[Sexo]:[Sexo]]=$B25,IF(DATOS_[[AGRUP. CLAS. PROF.]:[AGRUP. CLAS. PROF.]]=$B24,IF(DATOS_[[Check Periodo Ref.]:[Check Periodo Ref.]]="Dentro",IF(DATOS_[[Check Equiparado]:[Check Equiparado]]="Sí",IF(DATOS!BL$4="Sí",(1/DATOS_[[% anualiz]:[% anualiz]]),1)*IF(DATOS!BL$5="Sí",1/DATOS_[[% normaliz]:[% normaliz]],1)*(DATOS_[C.Extra.04])))))))), 0)</f>
        <v>0</v>
      </c>
      <c r="AT25" s="303" t="n">
        <f aca="false" t="array" ref="AT25:AT25">IFERROR( (AVERAGE((IF(DATOS_[[Sexo]:[Sexo]]=$B25,IF(DATOS_[[AGRUP. CLAS. PROF.]:[AGRUP. CLAS. PROF.]]=$B24,IF(DATOS_[[Check Periodo Ref.]:[Check Periodo Ref.]]="Dentro",IF(DATOS_[[Check Equiparado]:[Check Equiparado]]="Sí",IF(DATOS!BM$4="Sí",(1/DATOS_[[% anualiz]:[% anualiz]]),1)*IF(DATOS!BM$5="Sí",1/DATOS_[[% normaliz]:[% normaliz]],1)*(DATOS_[C.Extra.05])))))))), 0)</f>
        <v>0</v>
      </c>
      <c r="AU25" s="297" t="n">
        <f aca="false" t="array" ref="AU25:AU25">IFERROR( AVERAGE(IF(DATOS_[Sexo]=$B25,IF(DATOS_[[AGRUP. CLAS. PROF.]:[AGRUP. CLAS. PROF.]]=$B24,IF(DATOS_[Check Equiparado]="Sí",IF(DATOS_[Check Periodo Ref.]="Dentro",DATOS_[Tot Extrasalarial Eq],0))))), 0)</f>
        <v>0</v>
      </c>
      <c r="AV25" s="298" t="n">
        <f aca="false" t="array" ref="AV25:AV25">IFERROR( AVERAGE(IF(DATOS_[Sexo]=$B25,IF(DATOS_[[AGRUP. CLAS. PROF.]:[AGRUP. CLAS. PROF.]]=$B24,IF(DATOS_[Check Equiparado]="Sí",IF(DATOS_[Check Periodo Ref.]="Dentro",DATOS_[TOTAL Retrib Eq],0))))), 0)</f>
        <v>0</v>
      </c>
    </row>
    <row r="26" customFormat="false" ht="14.25" hidden="false" customHeight="false" outlineLevel="0" collapsed="false">
      <c r="A26" s="166" t="str">
        <f aca="false">+A25</f>
        <v>[ocultar]</v>
      </c>
      <c r="B26" s="289" t="s">
        <v>372</v>
      </c>
      <c r="C26" s="290" t="n">
        <f aca="false" t="array" ref="C26:C26">SUM(IF($B26=DATOS_[Sexo], IF($B24=DATOS_[AGRUP. CLAS. PROF.], IF("Dentro"=DATOS_[Check Periodo Ref.], 1/(COUNTIFS(DATOS_[Sexo],$B26,DATOS_[AGRUP. CLAS. PROF.],$B24,DATOS_[Check Periodo Ref.],"Dentro",DATOS_[id],DATOS_[id]))))))</f>
        <v>0</v>
      </c>
      <c r="D26" s="291" t="n">
        <f aca="false">COUNTIFS(DATOS_[AGRUP. CLAS. PROF.],$B24,DATOS_[Sexo],$B26,DATOS_[Check Periodo Ref.],"Dentro")</f>
        <v>0</v>
      </c>
      <c r="E26" s="291" t="n">
        <f aca="false">COUNTIFS(DATOS_[AGRUP. CLAS. PROF.],$B24,DATOS_[Sexo],$B26,DATOS_[Check Periodo Ref.],"Dentro",DATOS_[Check Nº SC Norm],"Sí")</f>
        <v>0</v>
      </c>
      <c r="F26" s="291" t="n">
        <f aca="false">COUNTIFS(DATOS_[AGRUP. CLAS. PROF.],$B24,DATOS_[Sexo],$B26,DATOS_[Check Periodo Ref.],"Dentro",DATOS_[Check Nº SC Anualiz],"Sí")</f>
        <v>0</v>
      </c>
      <c r="G26" s="291" t="n">
        <f aca="false">COUNTIFS(DATOS_[AGRUP. CLAS. PROF.],$B24,DATOS_[Sexo],$B26,DATOS_[Check Periodo Ref.],"Dentro",DATOS_[Check Nº SC Norm y Anualiz],"Sí")</f>
        <v>0</v>
      </c>
      <c r="H26" s="291" t="n">
        <f aca="false">COUNTIFS(DATOS_[AGRUP. CLAS. PROF.],$B24,DATOS_[Sexo],$B26,DATOS_[Check Periodo Ref.],"Dentro",DATOS_[Check Equiparación],"Sí")</f>
        <v>0</v>
      </c>
      <c r="I26" s="292" t="n">
        <f aca="false" t="array" ref="I26:I26">IFERROR( AVERAGE(IF(DATOS_[Sexo]=$B26,IF(DATOS_[[AGRUP. CLAS. PROF.]:[AGRUP. CLAS. PROF.]]=$B24,IF(DATOS_[Check Equiparado]="Sí",IF(DATOS_[Check Periodo Ref.]="Dentro",DATOS_[SALARIO BASE Eq],0))))), 0)</f>
        <v>0</v>
      </c>
      <c r="J26" s="302" t="n">
        <f aca="false" t="array" ref="J26:J26">IFERROR( (AVERAGE((IF(DATOS_[[Sexo]:[Sexo]]=$B26,IF(DATOS_[[AGRUP. CLAS. PROF.]:[AGRUP. CLAS. PROF.]]=$B24,IF(DATOS_[[Check Periodo Ref.]:[Check Periodo Ref.]]="Dentro",IF(DATOS_[[Check Equiparado]:[Check Equiparado]]="Sí",IF(DATOS!AE$4="Sí",(1/DATOS_[[% anualiz]:[% anualiz]]),1)*IF(DATOS!AE$5="Sí",1/DATOS_[[% normaliz]:[% normaliz]],1)*(DATOS_[Conc.Sal.01])))))))), 0)</f>
        <v>0</v>
      </c>
      <c r="K26" s="302" t="n">
        <f aca="false" t="array" ref="K26:K26">IFERROR( (AVERAGE((IF(DATOS_[[Sexo]:[Sexo]]=$B26,IF(DATOS_[[AGRUP. CLAS. PROF.]:[AGRUP. CLAS. PROF.]]=$B24,IF(DATOS_[[Check Periodo Ref.]:[Check Periodo Ref.]]="Dentro",IF(DATOS_[[Check Equiparado]:[Check Equiparado]]="Sí",IF(DATOS!AF$4="Sí",(1/DATOS_[[% anualiz]:[% anualiz]]),1)*IF(DATOS!AF$5="Sí",1/DATOS_[[% normaliz]:[% normaliz]],1)*(DATOS_[Conc.Sal.02])))))))), 0)</f>
        <v>0</v>
      </c>
      <c r="L26" s="302" t="n">
        <f aca="false" t="array" ref="L26:L26">IFERROR( (AVERAGE((IF(DATOS_[[Sexo]:[Sexo]]=$B26,IF(DATOS_[[AGRUP. CLAS. PROF.]:[AGRUP. CLAS. PROF.]]=$B24,IF(DATOS_[[Check Periodo Ref.]:[Check Periodo Ref.]]="Dentro",IF(DATOS_[[Check Equiparado]:[Check Equiparado]]="Sí",IF(DATOS!AG$4="Sí",(1/DATOS_[[% anualiz]:[% anualiz]]),1)*IF(DATOS!AG$5="Sí",1/DATOS_[[% normaliz]:[% normaliz]],1)*(DATOS_[Conc.Sal.03])))))))), 0)</f>
        <v>0</v>
      </c>
      <c r="M26" s="302" t="n">
        <f aca="false" t="array" ref="M26:M26">IFERROR( (AVERAGE((IF(DATOS_[[Sexo]:[Sexo]]=$B26,IF(DATOS_[[AGRUP. CLAS. PROF.]:[AGRUP. CLAS. PROF.]]=$B24,IF(DATOS_[[Check Periodo Ref.]:[Check Periodo Ref.]]="Dentro",IF(DATOS_[[Check Equiparado]:[Check Equiparado]]="Sí",IF(DATOS!AH$4="Sí",(1/DATOS_[[% anualiz]:[% anualiz]]),1)*IF(DATOS!AH$5="Sí",1/DATOS_[[% normaliz]:[% normaliz]],1)*(DATOS_[Conc.Sal.04])))))))), 0)</f>
        <v>0</v>
      </c>
      <c r="N26" s="302" t="n">
        <f aca="false" t="array" ref="N26:N26">IFERROR( (AVERAGE((IF(DATOS_[[Sexo]:[Sexo]]=$B26,IF(DATOS_[[AGRUP. CLAS. PROF.]:[AGRUP. CLAS. PROF.]]=$B24,IF(DATOS_[[Check Periodo Ref.]:[Check Periodo Ref.]]="Dentro",IF(DATOS_[[Check Equiparado]:[Check Equiparado]]="Sí",IF(DATOS!AI$4="Sí",(1/DATOS_[[% anualiz]:[% anualiz]]),1)*IF(DATOS!AI$5="Sí",1/DATOS_[[% normaliz]:[% normaliz]],1)*(DATOS_[Conc.Sal.05])))))))), 0)</f>
        <v>0</v>
      </c>
      <c r="O26" s="302" t="n">
        <f aca="false" t="array" ref="O26:O26">IFERROR( (AVERAGE((IF(DATOS_[[Sexo]:[Sexo]]=$B26,IF(DATOS_[[AGRUP. CLAS. PROF.]:[AGRUP. CLAS. PROF.]]=$B24,IF(DATOS_[[Check Periodo Ref.]:[Check Periodo Ref.]]="Dentro",IF(DATOS_[[Check Equiparado]:[Check Equiparado]]="Sí",IF(DATOS!AJ$4="Sí",(1/DATOS_[[% anualiz]:[% anualiz]]),1)*IF(DATOS!AJ$5="Sí",1/DATOS_[[% normaliz]:[% normaliz]],1)*(DATOS_[Conc.Sal.06])))))))), 0)</f>
        <v>0</v>
      </c>
      <c r="P26" s="302" t="n">
        <f aca="false" t="array" ref="P26:P26">IFERROR( (AVERAGE((IF(DATOS_[[Sexo]:[Sexo]]=$B26,IF(DATOS_[[AGRUP. CLAS. PROF.]:[AGRUP. CLAS. PROF.]]=$B24,IF(DATOS_[[Check Periodo Ref.]:[Check Periodo Ref.]]="Dentro",IF(DATOS_[[Check Equiparado]:[Check Equiparado]]="Sí",IF(DATOS!AK$4="Sí",(1/DATOS_[[% anualiz]:[% anualiz]]),1)*IF(DATOS!AK$5="Sí",1/DATOS_[[% normaliz]:[% normaliz]],1)*(DATOS_[Conc.Sal.07])))))))), 0)</f>
        <v>0</v>
      </c>
      <c r="Q26" s="302" t="n">
        <f aca="false" t="array" ref="Q26:Q26">IFERROR( (AVERAGE((IF(DATOS_[[Sexo]:[Sexo]]=$B26,IF(DATOS_[[AGRUP. CLAS. PROF.]:[AGRUP. CLAS. PROF.]]=$B24,IF(DATOS_[[Check Periodo Ref.]:[Check Periodo Ref.]]="Dentro",IF(DATOS_[[Check Equiparado]:[Check Equiparado]]="Sí",IF(DATOS!AL$4="Sí",(1/DATOS_[[% anualiz]:[% anualiz]]),1)*IF(DATOS!AL$5="Sí",1/DATOS_[[% normaliz]:[% normaliz]],1)*(DATOS_[Conc.Sal.08])))))))), 0)</f>
        <v>0</v>
      </c>
      <c r="R26" s="302" t="n">
        <f aca="false" t="array" ref="R26:R26">IFERROR( (AVERAGE((IF(DATOS_[[Sexo]:[Sexo]]=$B26,IF(DATOS_[[AGRUP. CLAS. PROF.]:[AGRUP. CLAS. PROF.]]=$B24,IF(DATOS_[[Check Periodo Ref.]:[Check Periodo Ref.]]="Dentro",IF(DATOS_[[Check Equiparado]:[Check Equiparado]]="Sí",IF(DATOS!AM$4="Sí",(1/DATOS_[[% anualiz]:[% anualiz]]),1)*IF(DATOS!AM$5="Sí",1/DATOS_[[% normaliz]:[% normaliz]],1)*(DATOS_[Conc.Sal.09])))))))), 0)</f>
        <v>0</v>
      </c>
      <c r="S26" s="302" t="n">
        <f aca="false" t="array" ref="S26:S26">IFERROR( (AVERAGE((IF(DATOS_[[Sexo]:[Sexo]]=$B26,IF(DATOS_[[AGRUP. CLAS. PROF.]:[AGRUP. CLAS. PROF.]]=$B24,IF(DATOS_[[Check Periodo Ref.]:[Check Periodo Ref.]]="Dentro",IF(DATOS_[[Check Equiparado]:[Check Equiparado]]="Sí",IF(DATOS!AN$4="Sí",(1/DATOS_[[% anualiz]:[% anualiz]]),1)*IF(DATOS!AN$5="Sí",1/DATOS_[[% normaliz]:[% normaliz]],1)*(DATOS_[Conc.Sal.10])))))))), 0)</f>
        <v>0</v>
      </c>
      <c r="T26" s="302" t="n">
        <f aca="false" t="array" ref="T26:T26">IFERROR( (AVERAGE((IF(DATOS_[[Sexo]:[Sexo]]=$B26,IF(DATOS_[[AGRUP. CLAS. PROF.]:[AGRUP. CLAS. PROF.]]=$B24,IF(DATOS_[[Check Periodo Ref.]:[Check Periodo Ref.]]="Dentro",IF(DATOS_[[Check Equiparado]:[Check Equiparado]]="Sí",IF(DATOS!AO$4="Sí",(1/DATOS_[[% anualiz]:[% anualiz]]),1)*IF(DATOS!AO$5="Sí",1/DATOS_[[% normaliz]:[% normaliz]],1)*(DATOS_[Conc.Sal.11])))))))), 0)</f>
        <v>0</v>
      </c>
      <c r="U26" s="302" t="n">
        <f aca="false" t="array" ref="U26:U26">IFERROR( (AVERAGE((IF(DATOS_[[Sexo]:[Sexo]]=$B26,IF(DATOS_[[AGRUP. CLAS. PROF.]:[AGRUP. CLAS. PROF.]]=$B24,IF(DATOS_[[Check Periodo Ref.]:[Check Periodo Ref.]]="Dentro",IF(DATOS_[[Check Equiparado]:[Check Equiparado]]="Sí",IF(DATOS!AP$4="Sí",(1/DATOS_[[% anualiz]:[% anualiz]]),1)*IF(DATOS!AP$5="Sí",1/DATOS_[[% normaliz]:[% normaliz]],1)*(DATOS_[Conc.Sal.12])))))))), 0)</f>
        <v>0</v>
      </c>
      <c r="V26" s="302" t="n">
        <f aca="false" t="array" ref="V26:V26">IFERROR( (AVERAGE((IF(DATOS_[[Sexo]:[Sexo]]=$B26,IF(DATOS_[[AGRUP. CLAS. PROF.]:[AGRUP. CLAS. PROF.]]=$B24,IF(DATOS_[[Check Periodo Ref.]:[Check Periodo Ref.]]="Dentro",IF(DATOS_[[Check Equiparado]:[Check Equiparado]]="Sí",IF(DATOS!AQ$4="Sí",(1/DATOS_[[% anualiz]:[% anualiz]]),1)*IF(DATOS!AQ$5="Sí",1/DATOS_[[% normaliz]:[% normaliz]],1)*(DATOS_[Conc.Sal.13])))))))), 0)</f>
        <v>0</v>
      </c>
      <c r="W26" s="302" t="n">
        <f aca="false" t="array" ref="W26:W26">IFERROR( (AVERAGE((IF(DATOS_[[Sexo]:[Sexo]]=$B26,IF(DATOS_[[AGRUP. CLAS. PROF.]:[AGRUP. CLAS. PROF.]]=$B24,IF(DATOS_[[Check Periodo Ref.]:[Check Periodo Ref.]]="Dentro",IF(DATOS_[[Check Equiparado]:[Check Equiparado]]="Sí",IF(DATOS!AR$4="Sí",(1/DATOS_[[% anualiz]:[% anualiz]]),1)*IF(DATOS!AR$5="Sí",1/DATOS_[[% normaliz]:[% normaliz]],1)*(DATOS_[Conc.Sal.14])))))))), 0)</f>
        <v>0</v>
      </c>
      <c r="X26" s="302" t="n">
        <f aca="false" t="array" ref="X26:X26">IFERROR( (AVERAGE((IF(DATOS_[[Sexo]:[Sexo]]=$B26,IF(DATOS_[[AGRUP. CLAS. PROF.]:[AGRUP. CLAS. PROF.]]=$B24,IF(DATOS_[[Check Periodo Ref.]:[Check Periodo Ref.]]="Dentro",IF(DATOS_[[Check Equiparado]:[Check Equiparado]]="Sí",IF(DATOS!AS$4="Sí",(1/DATOS_[[% anualiz]:[% anualiz]]),1)*IF(DATOS!AS$5="Sí",1/DATOS_[[% normaliz]:[% normaliz]],1)*(DATOS_[Conc.Sal.15])))))))), 0)</f>
        <v>0</v>
      </c>
      <c r="Y26" s="302" t="n">
        <f aca="false" t="array" ref="Y26:Y26">IFERROR( (AVERAGE((IF(DATOS_[[Sexo]:[Sexo]]=$B26,IF(DATOS_[[AGRUP. CLAS. PROF.]:[AGRUP. CLAS. PROF.]]=$B24,IF(DATOS_[[Check Periodo Ref.]:[Check Periodo Ref.]]="Dentro",IF(DATOS_[[Check Equiparado]:[Check Equiparado]]="Sí",IF(DATOS!AT$4="Sí",(1/DATOS_[[% anualiz]:[% anualiz]]),1)*IF(DATOS!AT$5="Sí",1/DATOS_[[% normaliz]:[% normaliz]],1)*(DATOS_[Conc.Sal.16])))))))), 0)</f>
        <v>0</v>
      </c>
      <c r="Z26" s="302" t="n">
        <f aca="false" t="array" ref="Z26:Z26">IFERROR( (AVERAGE((IF(DATOS_[[Sexo]:[Sexo]]=$B26,IF(DATOS_[[AGRUP. CLAS. PROF.]:[AGRUP. CLAS. PROF.]]=$B24,IF(DATOS_[[Check Periodo Ref.]:[Check Periodo Ref.]]="Dentro",IF(DATOS_[[Check Equiparado]:[Check Equiparado]]="Sí",IF(DATOS!AU$4="Sí",(1/DATOS_[[% anualiz]:[% anualiz]]),1)*IF(DATOS!AU$5="Sí",1/DATOS_[[% normaliz]:[% normaliz]],1)*(DATOS_[Conc.Sal.17])))))))), 0)</f>
        <v>0</v>
      </c>
      <c r="AA26" s="302" t="n">
        <f aca="false" t="array" ref="AA26:AA26">IFERROR( (AVERAGE((IF(DATOS_[[Sexo]:[Sexo]]=$B26,IF(DATOS_[[AGRUP. CLAS. PROF.]:[AGRUP. CLAS. PROF.]]=$B24,IF(DATOS_[[Check Periodo Ref.]:[Check Periodo Ref.]]="Dentro",IF(DATOS_[[Check Equiparado]:[Check Equiparado]]="Sí",IF(DATOS!AV$4="Sí",(1/DATOS_[[% anualiz]:[% anualiz]]),1)*IF(DATOS!AV$5="Sí",1/DATOS_[[% normaliz]:[% normaliz]],1)*(DATOS_[Conc.Sal.18])))))))), 0)</f>
        <v>0</v>
      </c>
      <c r="AB26" s="302" t="n">
        <f aca="false" t="array" ref="AB26:AB26">IFERROR( (AVERAGE((IF(DATOS_[[Sexo]:[Sexo]]=$B26,IF(DATOS_[[AGRUP. CLAS. PROF.]:[AGRUP. CLAS. PROF.]]=$B24,IF(DATOS_[[Check Periodo Ref.]:[Check Periodo Ref.]]="Dentro",IF(DATOS_[[Check Equiparado]:[Check Equiparado]]="Sí",IF(DATOS!AW$4="Sí",(1/DATOS_[[% anualiz]:[% anualiz]]),1)*IF(DATOS!AW$5="Sí",1/DATOS_[[% normaliz]:[% normaliz]],1)*(DATOS_[Conc.Sal.19])))))))), 0)</f>
        <v>0</v>
      </c>
      <c r="AC26" s="302" t="n">
        <f aca="false" t="array" ref="AC26:AC26">IFERROR( (AVERAGE((IF(DATOS_[[Sexo]:[Sexo]]=$B26,IF(DATOS_[[AGRUP. CLAS. PROF.]:[AGRUP. CLAS. PROF.]]=$B24,IF(DATOS_[[Check Periodo Ref.]:[Check Periodo Ref.]]="Dentro",IF(DATOS_[[Check Equiparado]:[Check Equiparado]]="Sí",IF(DATOS!AX$4="Sí",(1/DATOS_[[% anualiz]:[% anualiz]]),1)*IF(DATOS!AX$5="Sí",1/DATOS_[[% normaliz]:[% normaliz]],1)*(DATOS_[Conc.Sal.20])))))))), 0)</f>
        <v>0</v>
      </c>
      <c r="AD26" s="302" t="n">
        <f aca="false" t="array" ref="AD26:AD26">IFERROR( (AVERAGE((IF(DATOS_[[Sexo]:[Sexo]]=$B26,IF(DATOS_[[AGRUP. CLAS. PROF.]:[AGRUP. CLAS. PROF.]]=$B24,IF(DATOS_[[Check Periodo Ref.]:[Check Periodo Ref.]]="Dentro",IF(DATOS_[[Check Equiparado]:[Check Equiparado]]="Sí",IF(DATOS!AY$4="Sí",(1/DATOS_[[% anualiz]:[% anualiz]]),1)*IF(DATOS!AY$5="Sí",1/DATOS_[[% normaliz]:[% normaliz]],1)*(DATOS_[Conc.Sal.21])))))))), 0)</f>
        <v>0</v>
      </c>
      <c r="AE26" s="302" t="n">
        <f aca="false" t="array" ref="AE26:AE26">IFERROR( (AVERAGE((IF(DATOS_[[Sexo]:[Sexo]]=$B26,IF(DATOS_[[AGRUP. CLAS. PROF.]:[AGRUP. CLAS. PROF.]]=$B24,IF(DATOS_[[Check Periodo Ref.]:[Check Periodo Ref.]]="Dentro",IF(DATOS_[[Check Equiparado]:[Check Equiparado]]="Sí",IF(DATOS!AZ$4="Sí",(1/DATOS_[[% anualiz]:[% anualiz]]),1)*IF(DATOS!AZ$5="Sí",1/DATOS_[[% normaliz]:[% normaliz]],1)*(DATOS_[Conc.Sal.22])))))))), 0)</f>
        <v>0</v>
      </c>
      <c r="AF26" s="302" t="n">
        <f aca="false" t="array" ref="AF26:AF26">IFERROR( (AVERAGE((IF(DATOS_[[Sexo]:[Sexo]]=$B26,IF(DATOS_[[AGRUP. CLAS. PROF.]:[AGRUP. CLAS. PROF.]]=$B24,IF(DATOS_[[Check Periodo Ref.]:[Check Periodo Ref.]]="Dentro",IF(DATOS_[[Check Equiparado]:[Check Equiparado]]="Sí",IF(DATOS!BA$4="Sí",(1/DATOS_[[% anualiz]:[% anualiz]]),1)*IF(DATOS!BA$5="Sí",1/DATOS_[[% normaliz]:[% normaliz]],1)*(DATOS_[Conc.Sal.23])))))))), 0)</f>
        <v>0</v>
      </c>
      <c r="AG26" s="302" t="n">
        <f aca="false" t="array" ref="AG26:AG26">IFERROR( (AVERAGE((IF(DATOS_[[Sexo]:[Sexo]]=$B26,IF(DATOS_[[AGRUP. CLAS. PROF.]:[AGRUP. CLAS. PROF.]]=$B24,IF(DATOS_[[Check Periodo Ref.]:[Check Periodo Ref.]]="Dentro",IF(DATOS_[[Check Equiparado]:[Check Equiparado]]="Sí",IF(DATOS!BB$4="Sí",(1/DATOS_[[% anualiz]:[% anualiz]]),1)*IF(DATOS!BB$5="Sí",1/DATOS_[[% normaliz]:[% normaliz]],1)*(DATOS_[Conc.Sal.24])))))))), 0)</f>
        <v>0</v>
      </c>
      <c r="AH26" s="302" t="n">
        <f aca="false" t="array" ref="AH26:AH26">IFERROR( (AVERAGE((IF(DATOS_[[Sexo]:[Sexo]]=$B26,IF(DATOS_[[AGRUP. CLAS. PROF.]:[AGRUP. CLAS. PROF.]]=$B24,IF(DATOS_[[Check Periodo Ref.]:[Check Periodo Ref.]]="Dentro",IF(DATOS_[[Check Equiparado]:[Check Equiparado]]="Sí",IF(DATOS!BC$4="Sí",(1/DATOS_[[% anualiz]:[% anualiz]]),1)*IF(DATOS!BC$5="Sí",1/DATOS_[[% normaliz]:[% normaliz]],1)*(DATOS_[Conc.Sal.25])))))))), 0)</f>
        <v>0</v>
      </c>
      <c r="AI26" s="302" t="n">
        <f aca="false" t="array" ref="AI26:AI26">IFERROR( (AVERAGE((IF(DATOS_[[Sexo]:[Sexo]]=$B26,IF(DATOS_[[AGRUP. CLAS. PROF.]:[AGRUP. CLAS. PROF.]]=$B24,IF(DATOS_[[Check Periodo Ref.]:[Check Periodo Ref.]]="Dentro",IF(DATOS_[[Check Equiparado]:[Check Equiparado]]="Sí",IF(DATOS!BD$4="Sí",(1/DATOS_[[% anualiz]:[% anualiz]]),1)*IF(DATOS!BD$5="Sí",1/DATOS_[[% normaliz]:[% normaliz]],1)*(DATOS_[Conc.Sal.26])))))))), 0)</f>
        <v>0</v>
      </c>
      <c r="AJ26" s="302" t="n">
        <f aca="false" t="array" ref="AJ26:AJ26">IFERROR( (AVERAGE((IF(DATOS_[[Sexo]:[Sexo]]=$B26,IF(DATOS_[[AGRUP. CLAS. PROF.]:[AGRUP. CLAS. PROF.]]=$B24,IF(DATOS_[[Check Periodo Ref.]:[Check Periodo Ref.]]="Dentro",IF(DATOS_[[Check Equiparado]:[Check Equiparado]]="Sí",IF(DATOS!BE$4="Sí",(1/DATOS_[[% anualiz]:[% anualiz]]),1)*IF(DATOS!BE$5="Sí",1/DATOS_[[% normaliz]:[% normaliz]],1)*(DATOS_[Conc.Sal.27])))))))), 0)</f>
        <v>0</v>
      </c>
      <c r="AK26" s="302" t="n">
        <f aca="false" t="array" ref="AK26:AK26">IFERROR( (AVERAGE((IF(DATOS_[[Sexo]:[Sexo]]=$B26,IF(DATOS_[[AGRUP. CLAS. PROF.]:[AGRUP. CLAS. PROF.]]=$B24,IF(DATOS_[[Check Periodo Ref.]:[Check Periodo Ref.]]="Dentro",IF(DATOS_[[Check Equiparado]:[Check Equiparado]]="Sí",IF(DATOS!BF$4="Sí",(1/DATOS_[[% anualiz]:[% anualiz]]),1)*IF(DATOS!BF$5="Sí",1/DATOS_[[% normaliz]:[% normaliz]],1)*(DATOS_[Conc.Sal.28])))))))), 0)</f>
        <v>0</v>
      </c>
      <c r="AL26" s="302" t="n">
        <f aca="false" t="array" ref="AL26:AL26">IFERROR( (AVERAGE((IF(DATOS_[[Sexo]:[Sexo]]=$B26,IF(DATOS_[[AGRUP. CLAS. PROF.]:[AGRUP. CLAS. PROF.]]=$B24,IF(DATOS_[[Check Periodo Ref.]:[Check Periodo Ref.]]="Dentro",IF(DATOS_[[Check Equiparado]:[Check Equiparado]]="Sí",IF(DATOS!BG$4="Sí",(1/DATOS_[[% anualiz]:[% anualiz]]),1)*IF(DATOS!BG$5="Sí",1/DATOS_[[% normaliz]:[% normaliz]],1)*(DATOS_[Conc.Sal.29])))))))), 0)</f>
        <v>0</v>
      </c>
      <c r="AM26" s="302" t="n">
        <f aca="false" t="array" ref="AM26:AM26">IFERROR( (AVERAGE((IF(DATOS_[[Sexo]:[Sexo]]=$B26,IF(DATOS_[[AGRUP. CLAS. PROF.]:[AGRUP. CLAS. PROF.]]=$B24,IF(DATOS_[[Check Periodo Ref.]:[Check Periodo Ref.]]="Dentro",IF(DATOS_[[Check Equiparado]:[Check Equiparado]]="Sí",IF(DATOS!BH$4="Sí",(1/DATOS_[[% anualiz]:[% anualiz]]),1)*IF(DATOS!BH$5="Sí",1/DATOS_[[% normaliz]:[% normaliz]],1)*(DATOS_[Conc.Sal.30])))))))), 0)</f>
        <v>0</v>
      </c>
      <c r="AN26" s="294" t="n">
        <f aca="false" t="array" ref="AN26:AN26">IFERROR( AVERAGE(IF(DATOS_[Sexo]=$B26,IF(DATOS_[[AGRUP. CLAS. PROF.]:[AGRUP. CLAS. PROF.]]=$B24,IF(DATOS_[Check Equiparado]="Sí",IF(DATOS_[Check Periodo Ref.]="Dentro",DATOS_[Tot COMPL.SAL Eq],0))))), 0)</f>
        <v>0</v>
      </c>
      <c r="AO26" s="295" t="n">
        <f aca="false" t="array" ref="AO26:AO26">IFERROR( AVERAGE(IF(DATOS_[Sexo]=$B26,IF(DATOS_[[AGRUP. CLAS. PROF.]:[AGRUP. CLAS. PROF.]]=$B24,IF(DATOS_[Check Equiparado]="Sí",IF(DATOS_[Check Periodo Ref.]="Dentro",DATOS_[TOTAL SALARIO Eq],0))))), 0)</f>
        <v>0</v>
      </c>
      <c r="AP26" s="303" t="n">
        <f aca="false" t="array" ref="AP26:AP26">IFERROR( (AVERAGE((IF(DATOS_[[Sexo]:[Sexo]]=$B26,IF(DATOS_[[AGRUP. CLAS. PROF.]:[AGRUP. CLAS. PROF.]]=$B25,IF(DATOS_[[Check Periodo Ref.]:[Check Periodo Ref.]]="Dentro",IF(DATOS_[[Check Equiparado]:[Check Equiparado]]="Sí",IF(DATOS!BI$4="Sí",(1/DATOS_[[% anualiz]:[% anualiz]]),1)*IF(DATOS!BI$5="Sí",1/DATOS_[[% normaliz]:[% normaliz]],1)*(DATOS_[C.Extra.01])))))))), 0)</f>
        <v>0</v>
      </c>
      <c r="AQ26" s="303" t="n">
        <f aca="false" t="array" ref="AQ26:AQ26">IFERROR( (AVERAGE((IF(DATOS_[[Sexo]:[Sexo]]=$B26,IF(DATOS_[[AGRUP. CLAS. PROF.]:[AGRUP. CLAS. PROF.]]=$B25,IF(DATOS_[[Check Periodo Ref.]:[Check Periodo Ref.]]="Dentro",IF(DATOS_[[Check Equiparado]:[Check Equiparado]]="Sí",IF(DATOS!BJ$4="Sí",(1/DATOS_[[% anualiz]:[% anualiz]]),1)*IF(DATOS!BJ$5="Sí",1/DATOS_[[% normaliz]:[% normaliz]],1)*(DATOS_[C.Extra.02])))))))), 0)</f>
        <v>0</v>
      </c>
      <c r="AR26" s="303" t="n">
        <f aca="false" t="array" ref="AR26:AR26">IFERROR( (AVERAGE((IF(DATOS_[[Sexo]:[Sexo]]=$B26,IF(DATOS_[[AGRUP. CLAS. PROF.]:[AGRUP. CLAS. PROF.]]=$B25,IF(DATOS_[[Check Periodo Ref.]:[Check Periodo Ref.]]="Dentro",IF(DATOS_[[Check Equiparado]:[Check Equiparado]]="Sí",IF(DATOS!BK$4="Sí",(1/DATOS_[[% anualiz]:[% anualiz]]),1)*IF(DATOS!BK$5="Sí",1/DATOS_[[% normaliz]:[% normaliz]],1)*(DATOS_[C.Extra.03])))))))), 0)</f>
        <v>0</v>
      </c>
      <c r="AS26" s="303" t="n">
        <f aca="false" t="array" ref="AS26:AS26">IFERROR( (AVERAGE((IF(DATOS_[[Sexo]:[Sexo]]=$B26,IF(DATOS_[[AGRUP. CLAS. PROF.]:[AGRUP. CLAS. PROF.]]=$B25,IF(DATOS_[[Check Periodo Ref.]:[Check Periodo Ref.]]="Dentro",IF(DATOS_[[Check Equiparado]:[Check Equiparado]]="Sí",IF(DATOS!BL$4="Sí",(1/DATOS_[[% anualiz]:[% anualiz]]),1)*IF(DATOS!BL$5="Sí",1/DATOS_[[% normaliz]:[% normaliz]],1)*(DATOS_[C.Extra.04])))))))), 0)</f>
        <v>0</v>
      </c>
      <c r="AT26" s="303" t="n">
        <f aca="false" t="array" ref="AT26:AT26">IFERROR( (AVERAGE((IF(DATOS_[[Sexo]:[Sexo]]=$B26,IF(DATOS_[[AGRUP. CLAS. PROF.]:[AGRUP. CLAS. PROF.]]=$B25,IF(DATOS_[[Check Periodo Ref.]:[Check Periodo Ref.]]="Dentro",IF(DATOS_[[Check Equiparado]:[Check Equiparado]]="Sí",IF(DATOS!BM$4="Sí",(1/DATOS_[[% anualiz]:[% anualiz]]),1)*IF(DATOS!BM$5="Sí",1/DATOS_[[% normaliz]:[% normaliz]],1)*(DATOS_[C.Extra.05])))))))), 0)</f>
        <v>0</v>
      </c>
      <c r="AU26" s="297" t="n">
        <f aca="false" t="array" ref="AU26:AU26">IFERROR( AVERAGE(IF(DATOS_[Sexo]=$B26,IF(DATOS_[[AGRUP. CLAS. PROF.]:[AGRUP. CLAS. PROF.]]=$B24,IF(DATOS_[Check Equiparado]="Sí",IF(DATOS_[Check Periodo Ref.]="Dentro",DATOS_[Tot Extrasalarial Eq],0))))), 0)</f>
        <v>0</v>
      </c>
      <c r="AV26" s="298" t="n">
        <f aca="false" t="array" ref="AV26:AV26">IFERROR( AVERAGE(IF(DATOS_[Sexo]=$B26,IF(DATOS_[[AGRUP. CLAS. PROF.]:[AGRUP. CLAS. PROF.]]=$B24,IF(DATOS_[Check Equiparado]="Sí",IF(DATOS_[Check Periodo Ref.]="Dentro",DATOS_[TOTAL Retrib Eq],0))))), 0)</f>
        <v>0</v>
      </c>
    </row>
    <row r="27" customFormat="false" ht="15.75" hidden="false" customHeight="false" outlineLevel="0" collapsed="false">
      <c r="A27" s="166" t="str">
        <f aca="false">+A28</f>
        <v>[ocultar]</v>
      </c>
      <c r="B27" s="276" t="s">
        <v>181</v>
      </c>
      <c r="C27" s="277"/>
      <c r="D27" s="278"/>
      <c r="E27" s="278"/>
      <c r="F27" s="278"/>
      <c r="G27" s="278"/>
      <c r="H27" s="278"/>
      <c r="I27" s="279" t="str">
        <f aca="false">IFERROR((I28-I29)/I28,"")</f>
        <v/>
      </c>
      <c r="J27" s="280" t="str">
        <f aca="false">IFERROR((J28-J29)/J28,"")</f>
        <v/>
      </c>
      <c r="K27" s="281" t="str">
        <f aca="false">IFERROR((K28-K29)/K28,"")</f>
        <v/>
      </c>
      <c r="L27" s="281" t="str">
        <f aca="false">IFERROR((L28-L29)/L28,"")</f>
        <v/>
      </c>
      <c r="M27" s="281" t="str">
        <f aca="false">IFERROR((M28-M29)/M28,"")</f>
        <v/>
      </c>
      <c r="N27" s="282" t="str">
        <f aca="false">IFERROR((N28-N29)/N28,"")</f>
        <v/>
      </c>
      <c r="O27" s="283" t="str">
        <f aca="false">IFERROR((O28-O29)/O28,"")</f>
        <v/>
      </c>
      <c r="P27" s="283" t="str">
        <f aca="false">IFERROR((P28-P29)/P28,"")</f>
        <v/>
      </c>
      <c r="Q27" s="283" t="str">
        <f aca="false">IFERROR((Q28-Q29)/Q28,"")</f>
        <v/>
      </c>
      <c r="R27" s="283" t="str">
        <f aca="false">IFERROR((R28-R29)/R28,"")</f>
        <v/>
      </c>
      <c r="S27" s="283" t="str">
        <f aca="false">IFERROR((S28-S29)/S28,"")</f>
        <v/>
      </c>
      <c r="T27" s="283" t="str">
        <f aca="false">IFERROR((T28-T29)/T28,"")</f>
        <v/>
      </c>
      <c r="U27" s="283" t="str">
        <f aca="false">IFERROR((U28-U29)/U28,"")</f>
        <v/>
      </c>
      <c r="V27" s="283" t="str">
        <f aca="false">IFERROR((V28-V29)/V28,"")</f>
        <v/>
      </c>
      <c r="W27" s="283" t="str">
        <f aca="false">IFERROR((W28-W29)/W28,"")</f>
        <v/>
      </c>
      <c r="X27" s="283" t="str">
        <f aca="false">IFERROR((X28-X29)/X28,"")</f>
        <v/>
      </c>
      <c r="Y27" s="283" t="str">
        <f aca="false">IFERROR((Y28-Y29)/Y28,"")</f>
        <v/>
      </c>
      <c r="Z27" s="282" t="str">
        <f aca="false">IFERROR((Z28-Z29)/Z28,"")</f>
        <v/>
      </c>
      <c r="AA27" s="282" t="str">
        <f aca="false">IFERROR((AA28-AA29)/AA28,"")</f>
        <v/>
      </c>
      <c r="AB27" s="282" t="str">
        <f aca="false">IFERROR((AB28-AB29)/AB28,"")</f>
        <v/>
      </c>
      <c r="AC27" s="282" t="str">
        <f aca="false">IFERROR((AC28-AC29)/AC28,"")</f>
        <v/>
      </c>
      <c r="AD27" s="282" t="str">
        <f aca="false">IFERROR((AD28-AD29)/AD28,"")</f>
        <v/>
      </c>
      <c r="AE27" s="282" t="str">
        <f aca="false">IFERROR((AE28-AE29)/AE28,"")</f>
        <v/>
      </c>
      <c r="AF27" s="282" t="str">
        <f aca="false">IFERROR((AF28-AF29)/AF28,"")</f>
        <v/>
      </c>
      <c r="AG27" s="282" t="str">
        <f aca="false">IFERROR((AG28-AG29)/AG28,"")</f>
        <v/>
      </c>
      <c r="AH27" s="282" t="str">
        <f aca="false">IFERROR((AH28-AH29)/AH28,"")</f>
        <v/>
      </c>
      <c r="AI27" s="282" t="str">
        <f aca="false">IFERROR((AI28-AI29)/AI28,"")</f>
        <v/>
      </c>
      <c r="AJ27" s="282" t="str">
        <f aca="false">IFERROR((AJ28-AJ29)/AJ28,"")</f>
        <v/>
      </c>
      <c r="AK27" s="282" t="str">
        <f aca="false">IFERROR((AK28-AK29)/AK28,"")</f>
        <v/>
      </c>
      <c r="AL27" s="282" t="str">
        <f aca="false">IFERROR((AL28-AL29)/AL28,"")</f>
        <v/>
      </c>
      <c r="AM27" s="282" t="str">
        <f aca="false">IFERROR((AM28-AM29)/AM28,"")</f>
        <v/>
      </c>
      <c r="AN27" s="284" t="str">
        <f aca="false">IFERROR((AN28-AN29)/AN28,"")</f>
        <v/>
      </c>
      <c r="AO27" s="285" t="str">
        <f aca="false">IFERROR((AO28-AO29)/AO28,"")</f>
        <v/>
      </c>
      <c r="AP27" s="286" t="str">
        <f aca="false">IFERROR((AP28-AP29)/AP28,"")</f>
        <v/>
      </c>
      <c r="AQ27" s="286" t="str">
        <f aca="false">IFERROR((AQ28-AQ29)/AQ28,"")</f>
        <v/>
      </c>
      <c r="AR27" s="286" t="str">
        <f aca="false">IFERROR((AR28-AR29)/AR28,"")</f>
        <v/>
      </c>
      <c r="AS27" s="286" t="str">
        <f aca="false">IFERROR((AS28-AS29)/AS28,"")</f>
        <v/>
      </c>
      <c r="AT27" s="286" t="str">
        <f aca="false">IFERROR((AT28-AT29)/AT28,"")</f>
        <v/>
      </c>
      <c r="AU27" s="287" t="str">
        <f aca="false">IFERROR((AU28-AU29)/AU28,"")</f>
        <v/>
      </c>
      <c r="AV27" s="288" t="str">
        <f aca="false">IFERROR((AV28-AV29)/AV28,"")</f>
        <v/>
      </c>
    </row>
    <row r="28" customFormat="false" ht="14.25" hidden="false" customHeight="false" outlineLevel="0" collapsed="false">
      <c r="A28" s="166" t="str">
        <f aca="false">+IF(C28+C29=0,"[ocultar]","")</f>
        <v>[ocultar]</v>
      </c>
      <c r="B28" s="289" t="s">
        <v>371</v>
      </c>
      <c r="C28" s="290" t="n">
        <f aca="false" t="array" ref="C28:C28">SUM(IF($B28=DATOS_[Sexo], IF($B27=DATOS_[AGRUP. CLAS. PROF.], IF("Dentro"=DATOS_[Check Periodo Ref.], 1/(COUNTIFS(DATOS_[Sexo],$B28,DATOS_[AGRUP. CLAS. PROF.],$B27,DATOS_[Check Periodo Ref.],"Dentro",DATOS_[id],DATOS_[id]))))))</f>
        <v>0</v>
      </c>
      <c r="D28" s="291" t="n">
        <f aca="false">COUNTIFS(DATOS_[AGRUP. CLAS. PROF.],$B27,DATOS_[Sexo],$B28,DATOS_[Check Periodo Ref.],"Dentro")</f>
        <v>0</v>
      </c>
      <c r="E28" s="291" t="n">
        <f aca="false">COUNTIFS(DATOS_[AGRUP. CLAS. PROF.],$B27,DATOS_[Sexo],$B28,DATOS_[Check Periodo Ref.],"Dentro",DATOS_[Check Nº SC Norm],"Sí")</f>
        <v>0</v>
      </c>
      <c r="F28" s="291" t="n">
        <f aca="false">COUNTIFS(DATOS_[AGRUP. CLAS. PROF.],$B27,DATOS_[Sexo],$B28,DATOS_[Check Periodo Ref.],"Dentro",DATOS_[Check Nº SC Anualiz],"Sí")</f>
        <v>0</v>
      </c>
      <c r="G28" s="291" t="n">
        <f aca="false">COUNTIFS(DATOS_[AGRUP. CLAS. PROF.],$B27,DATOS_[Sexo],$B28,DATOS_[Check Periodo Ref.],"Dentro",DATOS_[Check Nº SC Norm y Anualiz],"Sí")</f>
        <v>0</v>
      </c>
      <c r="H28" s="291" t="n">
        <f aca="false">COUNTIFS(DATOS_[AGRUP. CLAS. PROF.],$B27,DATOS_[Sexo],$B28,DATOS_[Check Periodo Ref.],"Dentro",DATOS_[Check Equiparación],"Sí")</f>
        <v>0</v>
      </c>
      <c r="I28" s="292" t="n">
        <f aca="false" t="array" ref="I28:I28">IFERROR( AVERAGE(IF(DATOS_[Sexo]=$B28,IF(DATOS_[[AGRUP. CLAS. PROF.]:[AGRUP. CLAS. PROF.]]=$B27,IF(DATOS_[Check Equiparado]="Sí",IF(DATOS_[Check Periodo Ref.]="Dentro",DATOS_[SALARIO BASE Eq],0))))), 0)</f>
        <v>0</v>
      </c>
      <c r="J28" s="302" t="n">
        <f aca="false" t="array" ref="J28:J28">IFERROR( (AVERAGE((IF(DATOS_[[Sexo]:[Sexo]]=$B28,IF(DATOS_[[AGRUP. CLAS. PROF.]:[AGRUP. CLAS. PROF.]]=$B27,IF(DATOS_[[Check Periodo Ref.]:[Check Periodo Ref.]]="Dentro",IF(DATOS_[[Check Equiparado]:[Check Equiparado]]="Sí",IF(DATOS!AE$4="Sí",(1/DATOS_[[% anualiz]:[% anualiz]]),1)*IF(DATOS!AE$5="Sí",1/DATOS_[[% normaliz]:[% normaliz]],1)*(DATOS_[Conc.Sal.01])))))))), 0)</f>
        <v>0</v>
      </c>
      <c r="K28" s="302" t="n">
        <f aca="false" t="array" ref="K28:K28">IFERROR( (AVERAGE((IF(DATOS_[[Sexo]:[Sexo]]=$B28,IF(DATOS_[[AGRUP. CLAS. PROF.]:[AGRUP. CLAS. PROF.]]=$B27,IF(DATOS_[[Check Periodo Ref.]:[Check Periodo Ref.]]="Dentro",IF(DATOS_[[Check Equiparado]:[Check Equiparado]]="Sí",IF(DATOS!AF$4="Sí",(1/DATOS_[[% anualiz]:[% anualiz]]),1)*IF(DATOS!AF$5="Sí",1/DATOS_[[% normaliz]:[% normaliz]],1)*(DATOS_[Conc.Sal.02])))))))), 0)</f>
        <v>0</v>
      </c>
      <c r="L28" s="302" t="n">
        <f aca="false" t="array" ref="L28:L28">IFERROR( (AVERAGE((IF(DATOS_[[Sexo]:[Sexo]]=$B28,IF(DATOS_[[AGRUP. CLAS. PROF.]:[AGRUP. CLAS. PROF.]]=$B27,IF(DATOS_[[Check Periodo Ref.]:[Check Periodo Ref.]]="Dentro",IF(DATOS_[[Check Equiparado]:[Check Equiparado]]="Sí",IF(DATOS!AG$4="Sí",(1/DATOS_[[% anualiz]:[% anualiz]]),1)*IF(DATOS!AG$5="Sí",1/DATOS_[[% normaliz]:[% normaliz]],1)*(DATOS_[Conc.Sal.03])))))))), 0)</f>
        <v>0</v>
      </c>
      <c r="M28" s="302" t="n">
        <f aca="false" t="array" ref="M28:M28">IFERROR( (AVERAGE((IF(DATOS_[[Sexo]:[Sexo]]=$B28,IF(DATOS_[[AGRUP. CLAS. PROF.]:[AGRUP. CLAS. PROF.]]=$B27,IF(DATOS_[[Check Periodo Ref.]:[Check Periodo Ref.]]="Dentro",IF(DATOS_[[Check Equiparado]:[Check Equiparado]]="Sí",IF(DATOS!AH$4="Sí",(1/DATOS_[[% anualiz]:[% anualiz]]),1)*IF(DATOS!AH$5="Sí",1/DATOS_[[% normaliz]:[% normaliz]],1)*(DATOS_[Conc.Sal.04])))))))), 0)</f>
        <v>0</v>
      </c>
      <c r="N28" s="302" t="n">
        <f aca="false" t="array" ref="N28:N28">IFERROR( (AVERAGE((IF(DATOS_[[Sexo]:[Sexo]]=$B28,IF(DATOS_[[AGRUP. CLAS. PROF.]:[AGRUP. CLAS. PROF.]]=$B27,IF(DATOS_[[Check Periodo Ref.]:[Check Periodo Ref.]]="Dentro",IF(DATOS_[[Check Equiparado]:[Check Equiparado]]="Sí",IF(DATOS!AI$4="Sí",(1/DATOS_[[% anualiz]:[% anualiz]]),1)*IF(DATOS!AI$5="Sí",1/DATOS_[[% normaliz]:[% normaliz]],1)*(DATOS_[Conc.Sal.05])))))))), 0)</f>
        <v>0</v>
      </c>
      <c r="O28" s="302" t="n">
        <f aca="false" t="array" ref="O28:O28">IFERROR( (AVERAGE((IF(DATOS_[[Sexo]:[Sexo]]=$B28,IF(DATOS_[[AGRUP. CLAS. PROF.]:[AGRUP. CLAS. PROF.]]=$B27,IF(DATOS_[[Check Periodo Ref.]:[Check Periodo Ref.]]="Dentro",IF(DATOS_[[Check Equiparado]:[Check Equiparado]]="Sí",IF(DATOS!AJ$4="Sí",(1/DATOS_[[% anualiz]:[% anualiz]]),1)*IF(DATOS!AJ$5="Sí",1/DATOS_[[% normaliz]:[% normaliz]],1)*(DATOS_[Conc.Sal.06])))))))), 0)</f>
        <v>0</v>
      </c>
      <c r="P28" s="302" t="n">
        <f aca="false" t="array" ref="P28:P28">IFERROR( (AVERAGE((IF(DATOS_[[Sexo]:[Sexo]]=$B28,IF(DATOS_[[AGRUP. CLAS. PROF.]:[AGRUP. CLAS. PROF.]]=$B27,IF(DATOS_[[Check Periodo Ref.]:[Check Periodo Ref.]]="Dentro",IF(DATOS_[[Check Equiparado]:[Check Equiparado]]="Sí",IF(DATOS!AK$4="Sí",(1/DATOS_[[% anualiz]:[% anualiz]]),1)*IF(DATOS!AK$5="Sí",1/DATOS_[[% normaliz]:[% normaliz]],1)*(DATOS_[Conc.Sal.07])))))))), 0)</f>
        <v>0</v>
      </c>
      <c r="Q28" s="302" t="n">
        <f aca="false" t="array" ref="Q28:Q28">IFERROR( (AVERAGE((IF(DATOS_[[Sexo]:[Sexo]]=$B28,IF(DATOS_[[AGRUP. CLAS. PROF.]:[AGRUP. CLAS. PROF.]]=$B27,IF(DATOS_[[Check Periodo Ref.]:[Check Periodo Ref.]]="Dentro",IF(DATOS_[[Check Equiparado]:[Check Equiparado]]="Sí",IF(DATOS!AL$4="Sí",(1/DATOS_[[% anualiz]:[% anualiz]]),1)*IF(DATOS!AL$5="Sí",1/DATOS_[[% normaliz]:[% normaliz]],1)*(DATOS_[Conc.Sal.08])))))))), 0)</f>
        <v>0</v>
      </c>
      <c r="R28" s="302" t="n">
        <f aca="false" t="array" ref="R28:R28">IFERROR( (AVERAGE((IF(DATOS_[[Sexo]:[Sexo]]=$B28,IF(DATOS_[[AGRUP. CLAS. PROF.]:[AGRUP. CLAS. PROF.]]=$B27,IF(DATOS_[[Check Periodo Ref.]:[Check Periodo Ref.]]="Dentro",IF(DATOS_[[Check Equiparado]:[Check Equiparado]]="Sí",IF(DATOS!AM$4="Sí",(1/DATOS_[[% anualiz]:[% anualiz]]),1)*IF(DATOS!AM$5="Sí",1/DATOS_[[% normaliz]:[% normaliz]],1)*(DATOS_[Conc.Sal.09])))))))), 0)</f>
        <v>0</v>
      </c>
      <c r="S28" s="302" t="n">
        <f aca="false" t="array" ref="S28:S28">IFERROR( (AVERAGE((IF(DATOS_[[Sexo]:[Sexo]]=$B28,IF(DATOS_[[AGRUP. CLAS. PROF.]:[AGRUP. CLAS. PROF.]]=$B27,IF(DATOS_[[Check Periodo Ref.]:[Check Periodo Ref.]]="Dentro",IF(DATOS_[[Check Equiparado]:[Check Equiparado]]="Sí",IF(DATOS!AN$4="Sí",(1/DATOS_[[% anualiz]:[% anualiz]]),1)*IF(DATOS!AN$5="Sí",1/DATOS_[[% normaliz]:[% normaliz]],1)*(DATOS_[Conc.Sal.10])))))))), 0)</f>
        <v>0</v>
      </c>
      <c r="T28" s="302" t="n">
        <f aca="false" t="array" ref="T28:T28">IFERROR( (AVERAGE((IF(DATOS_[[Sexo]:[Sexo]]=$B28,IF(DATOS_[[AGRUP. CLAS. PROF.]:[AGRUP. CLAS. PROF.]]=$B27,IF(DATOS_[[Check Periodo Ref.]:[Check Periodo Ref.]]="Dentro",IF(DATOS_[[Check Equiparado]:[Check Equiparado]]="Sí",IF(DATOS!AO$4="Sí",(1/DATOS_[[% anualiz]:[% anualiz]]),1)*IF(DATOS!AO$5="Sí",1/DATOS_[[% normaliz]:[% normaliz]],1)*(DATOS_[Conc.Sal.11])))))))), 0)</f>
        <v>0</v>
      </c>
      <c r="U28" s="302" t="n">
        <f aca="false" t="array" ref="U28:U28">IFERROR( (AVERAGE((IF(DATOS_[[Sexo]:[Sexo]]=$B28,IF(DATOS_[[AGRUP. CLAS. PROF.]:[AGRUP. CLAS. PROF.]]=$B27,IF(DATOS_[[Check Periodo Ref.]:[Check Periodo Ref.]]="Dentro",IF(DATOS_[[Check Equiparado]:[Check Equiparado]]="Sí",IF(DATOS!AP$4="Sí",(1/DATOS_[[% anualiz]:[% anualiz]]),1)*IF(DATOS!AP$5="Sí",1/DATOS_[[% normaliz]:[% normaliz]],1)*(DATOS_[Conc.Sal.12])))))))), 0)</f>
        <v>0</v>
      </c>
      <c r="V28" s="302" t="n">
        <f aca="false" t="array" ref="V28:V28">IFERROR( (AVERAGE((IF(DATOS_[[Sexo]:[Sexo]]=$B28,IF(DATOS_[[AGRUP. CLAS. PROF.]:[AGRUP. CLAS. PROF.]]=$B27,IF(DATOS_[[Check Periodo Ref.]:[Check Periodo Ref.]]="Dentro",IF(DATOS_[[Check Equiparado]:[Check Equiparado]]="Sí",IF(DATOS!AQ$4="Sí",(1/DATOS_[[% anualiz]:[% anualiz]]),1)*IF(DATOS!AQ$5="Sí",1/DATOS_[[% normaliz]:[% normaliz]],1)*(DATOS_[Conc.Sal.13])))))))), 0)</f>
        <v>0</v>
      </c>
      <c r="W28" s="302" t="n">
        <f aca="false" t="array" ref="W28:W28">IFERROR( (AVERAGE((IF(DATOS_[[Sexo]:[Sexo]]=$B28,IF(DATOS_[[AGRUP. CLAS. PROF.]:[AGRUP. CLAS. PROF.]]=$B27,IF(DATOS_[[Check Periodo Ref.]:[Check Periodo Ref.]]="Dentro",IF(DATOS_[[Check Equiparado]:[Check Equiparado]]="Sí",IF(DATOS!AR$4="Sí",(1/DATOS_[[% anualiz]:[% anualiz]]),1)*IF(DATOS!AR$5="Sí",1/DATOS_[[% normaliz]:[% normaliz]],1)*(DATOS_[Conc.Sal.14])))))))), 0)</f>
        <v>0</v>
      </c>
      <c r="X28" s="302" t="n">
        <f aca="false" t="array" ref="X28:X28">IFERROR( (AVERAGE((IF(DATOS_[[Sexo]:[Sexo]]=$B28,IF(DATOS_[[AGRUP. CLAS. PROF.]:[AGRUP. CLAS. PROF.]]=$B27,IF(DATOS_[[Check Periodo Ref.]:[Check Periodo Ref.]]="Dentro",IF(DATOS_[[Check Equiparado]:[Check Equiparado]]="Sí",IF(DATOS!AS$4="Sí",(1/DATOS_[[% anualiz]:[% anualiz]]),1)*IF(DATOS!AS$5="Sí",1/DATOS_[[% normaliz]:[% normaliz]],1)*(DATOS_[Conc.Sal.15])))))))), 0)</f>
        <v>0</v>
      </c>
      <c r="Y28" s="302" t="n">
        <f aca="false" t="array" ref="Y28:Y28">IFERROR( (AVERAGE((IF(DATOS_[[Sexo]:[Sexo]]=$B28,IF(DATOS_[[AGRUP. CLAS. PROF.]:[AGRUP. CLAS. PROF.]]=$B27,IF(DATOS_[[Check Periodo Ref.]:[Check Periodo Ref.]]="Dentro",IF(DATOS_[[Check Equiparado]:[Check Equiparado]]="Sí",IF(DATOS!AT$4="Sí",(1/DATOS_[[% anualiz]:[% anualiz]]),1)*IF(DATOS!AT$5="Sí",1/DATOS_[[% normaliz]:[% normaliz]],1)*(DATOS_[Conc.Sal.16])))))))), 0)</f>
        <v>0</v>
      </c>
      <c r="Z28" s="302" t="n">
        <f aca="false" t="array" ref="Z28:Z28">IFERROR( (AVERAGE((IF(DATOS_[[Sexo]:[Sexo]]=$B28,IF(DATOS_[[AGRUP. CLAS. PROF.]:[AGRUP. CLAS. PROF.]]=$B27,IF(DATOS_[[Check Periodo Ref.]:[Check Periodo Ref.]]="Dentro",IF(DATOS_[[Check Equiparado]:[Check Equiparado]]="Sí",IF(DATOS!AU$4="Sí",(1/DATOS_[[% anualiz]:[% anualiz]]),1)*IF(DATOS!AU$5="Sí",1/DATOS_[[% normaliz]:[% normaliz]],1)*(DATOS_[Conc.Sal.17])))))))), 0)</f>
        <v>0</v>
      </c>
      <c r="AA28" s="302" t="n">
        <f aca="false" t="array" ref="AA28:AA28">IFERROR( (AVERAGE((IF(DATOS_[[Sexo]:[Sexo]]=$B28,IF(DATOS_[[AGRUP. CLAS. PROF.]:[AGRUP. CLAS. PROF.]]=$B27,IF(DATOS_[[Check Periodo Ref.]:[Check Periodo Ref.]]="Dentro",IF(DATOS_[[Check Equiparado]:[Check Equiparado]]="Sí",IF(DATOS!AV$4="Sí",(1/DATOS_[[% anualiz]:[% anualiz]]),1)*IF(DATOS!AV$5="Sí",1/DATOS_[[% normaliz]:[% normaliz]],1)*(DATOS_[Conc.Sal.18])))))))), 0)</f>
        <v>0</v>
      </c>
      <c r="AB28" s="302" t="n">
        <f aca="false" t="array" ref="AB28:AB28">IFERROR( (AVERAGE((IF(DATOS_[[Sexo]:[Sexo]]=$B28,IF(DATOS_[[AGRUP. CLAS. PROF.]:[AGRUP. CLAS. PROF.]]=$B27,IF(DATOS_[[Check Periodo Ref.]:[Check Periodo Ref.]]="Dentro",IF(DATOS_[[Check Equiparado]:[Check Equiparado]]="Sí",IF(DATOS!AW$4="Sí",(1/DATOS_[[% anualiz]:[% anualiz]]),1)*IF(DATOS!AW$5="Sí",1/DATOS_[[% normaliz]:[% normaliz]],1)*(DATOS_[Conc.Sal.19])))))))), 0)</f>
        <v>0</v>
      </c>
      <c r="AC28" s="302" t="n">
        <f aca="false" t="array" ref="AC28:AC28">IFERROR( (AVERAGE((IF(DATOS_[[Sexo]:[Sexo]]=$B28,IF(DATOS_[[AGRUP. CLAS. PROF.]:[AGRUP. CLAS. PROF.]]=$B27,IF(DATOS_[[Check Periodo Ref.]:[Check Periodo Ref.]]="Dentro",IF(DATOS_[[Check Equiparado]:[Check Equiparado]]="Sí",IF(DATOS!AX$4="Sí",(1/DATOS_[[% anualiz]:[% anualiz]]),1)*IF(DATOS!AX$5="Sí",1/DATOS_[[% normaliz]:[% normaliz]],1)*(DATOS_[Conc.Sal.20])))))))), 0)</f>
        <v>0</v>
      </c>
      <c r="AD28" s="302" t="n">
        <f aca="false" t="array" ref="AD28:AD28">IFERROR( (AVERAGE((IF(DATOS_[[Sexo]:[Sexo]]=$B28,IF(DATOS_[[AGRUP. CLAS. PROF.]:[AGRUP. CLAS. PROF.]]=$B27,IF(DATOS_[[Check Periodo Ref.]:[Check Periodo Ref.]]="Dentro",IF(DATOS_[[Check Equiparado]:[Check Equiparado]]="Sí",IF(DATOS!AY$4="Sí",(1/DATOS_[[% anualiz]:[% anualiz]]),1)*IF(DATOS!AY$5="Sí",1/DATOS_[[% normaliz]:[% normaliz]],1)*(DATOS_[Conc.Sal.21])))))))), 0)</f>
        <v>0</v>
      </c>
      <c r="AE28" s="302" t="n">
        <f aca="false" t="array" ref="AE28:AE28">IFERROR( (AVERAGE((IF(DATOS_[[Sexo]:[Sexo]]=$B28,IF(DATOS_[[AGRUP. CLAS. PROF.]:[AGRUP. CLAS. PROF.]]=$B27,IF(DATOS_[[Check Periodo Ref.]:[Check Periodo Ref.]]="Dentro",IF(DATOS_[[Check Equiparado]:[Check Equiparado]]="Sí",IF(DATOS!AZ$4="Sí",(1/DATOS_[[% anualiz]:[% anualiz]]),1)*IF(DATOS!AZ$5="Sí",1/DATOS_[[% normaliz]:[% normaliz]],1)*(DATOS_[Conc.Sal.22])))))))), 0)</f>
        <v>0</v>
      </c>
      <c r="AF28" s="302" t="n">
        <f aca="false" t="array" ref="AF28:AF28">IFERROR( (AVERAGE((IF(DATOS_[[Sexo]:[Sexo]]=$B28,IF(DATOS_[[AGRUP. CLAS. PROF.]:[AGRUP. CLAS. PROF.]]=$B27,IF(DATOS_[[Check Periodo Ref.]:[Check Periodo Ref.]]="Dentro",IF(DATOS_[[Check Equiparado]:[Check Equiparado]]="Sí",IF(DATOS!BA$4="Sí",(1/DATOS_[[% anualiz]:[% anualiz]]),1)*IF(DATOS!BA$5="Sí",1/DATOS_[[% normaliz]:[% normaliz]],1)*(DATOS_[Conc.Sal.23])))))))), 0)</f>
        <v>0</v>
      </c>
      <c r="AG28" s="302" t="n">
        <f aca="false" t="array" ref="AG28:AG28">IFERROR( (AVERAGE((IF(DATOS_[[Sexo]:[Sexo]]=$B28,IF(DATOS_[[AGRUP. CLAS. PROF.]:[AGRUP. CLAS. PROF.]]=$B27,IF(DATOS_[[Check Periodo Ref.]:[Check Periodo Ref.]]="Dentro",IF(DATOS_[[Check Equiparado]:[Check Equiparado]]="Sí",IF(DATOS!BB$4="Sí",(1/DATOS_[[% anualiz]:[% anualiz]]),1)*IF(DATOS!BB$5="Sí",1/DATOS_[[% normaliz]:[% normaliz]],1)*(DATOS_[Conc.Sal.24])))))))), 0)</f>
        <v>0</v>
      </c>
      <c r="AH28" s="302" t="n">
        <f aca="false" t="array" ref="AH28:AH28">IFERROR( (AVERAGE((IF(DATOS_[[Sexo]:[Sexo]]=$B28,IF(DATOS_[[AGRUP. CLAS. PROF.]:[AGRUP. CLAS. PROF.]]=$B27,IF(DATOS_[[Check Periodo Ref.]:[Check Periodo Ref.]]="Dentro",IF(DATOS_[[Check Equiparado]:[Check Equiparado]]="Sí",IF(DATOS!BC$4="Sí",(1/DATOS_[[% anualiz]:[% anualiz]]),1)*IF(DATOS!BC$5="Sí",1/DATOS_[[% normaliz]:[% normaliz]],1)*(DATOS_[Conc.Sal.25])))))))), 0)</f>
        <v>0</v>
      </c>
      <c r="AI28" s="302" t="n">
        <f aca="false" t="array" ref="AI28:AI28">IFERROR( (AVERAGE((IF(DATOS_[[Sexo]:[Sexo]]=$B28,IF(DATOS_[[AGRUP. CLAS. PROF.]:[AGRUP. CLAS. PROF.]]=$B27,IF(DATOS_[[Check Periodo Ref.]:[Check Periodo Ref.]]="Dentro",IF(DATOS_[[Check Equiparado]:[Check Equiparado]]="Sí",IF(DATOS!BD$4="Sí",(1/DATOS_[[% anualiz]:[% anualiz]]),1)*IF(DATOS!BD$5="Sí",1/DATOS_[[% normaliz]:[% normaliz]],1)*(DATOS_[Conc.Sal.26])))))))), 0)</f>
        <v>0</v>
      </c>
      <c r="AJ28" s="302" t="n">
        <f aca="false" t="array" ref="AJ28:AJ28">IFERROR( (AVERAGE((IF(DATOS_[[Sexo]:[Sexo]]=$B28,IF(DATOS_[[AGRUP. CLAS. PROF.]:[AGRUP. CLAS. PROF.]]=$B27,IF(DATOS_[[Check Periodo Ref.]:[Check Periodo Ref.]]="Dentro",IF(DATOS_[[Check Equiparado]:[Check Equiparado]]="Sí",IF(DATOS!BE$4="Sí",(1/DATOS_[[% anualiz]:[% anualiz]]),1)*IF(DATOS!BE$5="Sí",1/DATOS_[[% normaliz]:[% normaliz]],1)*(DATOS_[Conc.Sal.27])))))))), 0)</f>
        <v>0</v>
      </c>
      <c r="AK28" s="302" t="n">
        <f aca="false" t="array" ref="AK28:AK28">IFERROR( (AVERAGE((IF(DATOS_[[Sexo]:[Sexo]]=$B28,IF(DATOS_[[AGRUP. CLAS. PROF.]:[AGRUP. CLAS. PROF.]]=$B27,IF(DATOS_[[Check Periodo Ref.]:[Check Periodo Ref.]]="Dentro",IF(DATOS_[[Check Equiparado]:[Check Equiparado]]="Sí",IF(DATOS!BF$4="Sí",(1/DATOS_[[% anualiz]:[% anualiz]]),1)*IF(DATOS!BF$5="Sí",1/DATOS_[[% normaliz]:[% normaliz]],1)*(DATOS_[Conc.Sal.28])))))))), 0)</f>
        <v>0</v>
      </c>
      <c r="AL28" s="302" t="n">
        <f aca="false" t="array" ref="AL28:AL28">IFERROR( (AVERAGE((IF(DATOS_[[Sexo]:[Sexo]]=$B28,IF(DATOS_[[AGRUP. CLAS. PROF.]:[AGRUP. CLAS. PROF.]]=$B27,IF(DATOS_[[Check Periodo Ref.]:[Check Periodo Ref.]]="Dentro",IF(DATOS_[[Check Equiparado]:[Check Equiparado]]="Sí",IF(DATOS!BG$4="Sí",(1/DATOS_[[% anualiz]:[% anualiz]]),1)*IF(DATOS!BG$5="Sí",1/DATOS_[[% normaliz]:[% normaliz]],1)*(DATOS_[Conc.Sal.29])))))))), 0)</f>
        <v>0</v>
      </c>
      <c r="AM28" s="302" t="n">
        <f aca="false" t="array" ref="AM28:AM28">IFERROR( (AVERAGE((IF(DATOS_[[Sexo]:[Sexo]]=$B28,IF(DATOS_[[AGRUP. CLAS. PROF.]:[AGRUP. CLAS. PROF.]]=$B27,IF(DATOS_[[Check Periodo Ref.]:[Check Periodo Ref.]]="Dentro",IF(DATOS_[[Check Equiparado]:[Check Equiparado]]="Sí",IF(DATOS!BH$4="Sí",(1/DATOS_[[% anualiz]:[% anualiz]]),1)*IF(DATOS!BH$5="Sí",1/DATOS_[[% normaliz]:[% normaliz]],1)*(DATOS_[Conc.Sal.30])))))))), 0)</f>
        <v>0</v>
      </c>
      <c r="AN28" s="294" t="n">
        <f aca="false" t="array" ref="AN28:AN28">IFERROR( AVERAGE(IF(DATOS_[Sexo]=$B28,IF(DATOS_[[AGRUP. CLAS. PROF.]:[AGRUP. CLAS. PROF.]]=$B27,IF(DATOS_[Check Equiparado]="Sí",IF(DATOS_[Check Periodo Ref.]="Dentro",DATOS_[Tot COMPL.SAL Eq],0))))), 0)</f>
        <v>0</v>
      </c>
      <c r="AO28" s="295" t="n">
        <f aca="false" t="array" ref="AO28:AO28">IFERROR( AVERAGE(IF(DATOS_[Sexo]=$B28,IF(DATOS_[[AGRUP. CLAS. PROF.]:[AGRUP. CLAS. PROF.]]=$B27,IF(DATOS_[Check Equiparado]="Sí",IF(DATOS_[Check Periodo Ref.]="Dentro",DATOS_[TOTAL SALARIO Eq],0))))), 0)</f>
        <v>0</v>
      </c>
      <c r="AP28" s="303" t="n">
        <f aca="false" t="array" ref="AP28:AP28">IFERROR( (AVERAGE((IF(DATOS_[[Sexo]:[Sexo]]=$B28,IF(DATOS_[[AGRUP. CLAS. PROF.]:[AGRUP. CLAS. PROF.]]=$B27,IF(DATOS_[[Check Periodo Ref.]:[Check Periodo Ref.]]="Dentro",IF(DATOS_[[Check Equiparado]:[Check Equiparado]]="Sí",IF(DATOS!BI$4="Sí",(1/DATOS_[[% anualiz]:[% anualiz]]),1)*IF(DATOS!BI$5="Sí",1/DATOS_[[% normaliz]:[% normaliz]],1)*(DATOS_[C.Extra.01])))))))), 0)</f>
        <v>0</v>
      </c>
      <c r="AQ28" s="303" t="n">
        <f aca="false" t="array" ref="AQ28:AQ28">IFERROR( (AVERAGE((IF(DATOS_[[Sexo]:[Sexo]]=$B28,IF(DATOS_[[AGRUP. CLAS. PROF.]:[AGRUP. CLAS. PROF.]]=$B27,IF(DATOS_[[Check Periodo Ref.]:[Check Periodo Ref.]]="Dentro",IF(DATOS_[[Check Equiparado]:[Check Equiparado]]="Sí",IF(DATOS!BJ$4="Sí",(1/DATOS_[[% anualiz]:[% anualiz]]),1)*IF(DATOS!BJ$5="Sí",1/DATOS_[[% normaliz]:[% normaliz]],1)*(DATOS_[C.Extra.02])))))))), 0)</f>
        <v>0</v>
      </c>
      <c r="AR28" s="303" t="n">
        <f aca="false" t="array" ref="AR28:AR28">IFERROR( (AVERAGE((IF(DATOS_[[Sexo]:[Sexo]]=$B28,IF(DATOS_[[AGRUP. CLAS. PROF.]:[AGRUP. CLAS. PROF.]]=$B27,IF(DATOS_[[Check Periodo Ref.]:[Check Periodo Ref.]]="Dentro",IF(DATOS_[[Check Equiparado]:[Check Equiparado]]="Sí",IF(DATOS!BK$4="Sí",(1/DATOS_[[% anualiz]:[% anualiz]]),1)*IF(DATOS!BK$5="Sí",1/DATOS_[[% normaliz]:[% normaliz]],1)*(DATOS_[C.Extra.03])))))))), 0)</f>
        <v>0</v>
      </c>
      <c r="AS28" s="303" t="n">
        <f aca="false" t="array" ref="AS28:AS28">IFERROR( (AVERAGE((IF(DATOS_[[Sexo]:[Sexo]]=$B28,IF(DATOS_[[AGRUP. CLAS. PROF.]:[AGRUP. CLAS. PROF.]]=$B27,IF(DATOS_[[Check Periodo Ref.]:[Check Periodo Ref.]]="Dentro",IF(DATOS_[[Check Equiparado]:[Check Equiparado]]="Sí",IF(DATOS!BL$4="Sí",(1/DATOS_[[% anualiz]:[% anualiz]]),1)*IF(DATOS!BL$5="Sí",1/DATOS_[[% normaliz]:[% normaliz]],1)*(DATOS_[C.Extra.04])))))))), 0)</f>
        <v>0</v>
      </c>
      <c r="AT28" s="303" t="n">
        <f aca="false" t="array" ref="AT28:AT28">IFERROR( (AVERAGE((IF(DATOS_[[Sexo]:[Sexo]]=$B28,IF(DATOS_[[AGRUP. CLAS. PROF.]:[AGRUP. CLAS. PROF.]]=$B27,IF(DATOS_[[Check Periodo Ref.]:[Check Periodo Ref.]]="Dentro",IF(DATOS_[[Check Equiparado]:[Check Equiparado]]="Sí",IF(DATOS!BM$4="Sí",(1/DATOS_[[% anualiz]:[% anualiz]]),1)*IF(DATOS!BM$5="Sí",1/DATOS_[[% normaliz]:[% normaliz]],1)*(DATOS_[C.Extra.05])))))))), 0)</f>
        <v>0</v>
      </c>
      <c r="AU28" s="297" t="n">
        <f aca="false" t="array" ref="AU28:AU28">IFERROR( AVERAGE(IF(DATOS_[Sexo]=$B28,IF(DATOS_[[AGRUP. CLAS. PROF.]:[AGRUP. CLAS. PROF.]]=$B27,IF(DATOS_[Check Equiparado]="Sí",IF(DATOS_[Check Periodo Ref.]="Dentro",DATOS_[Tot Extrasalarial Eq],0))))), 0)</f>
        <v>0</v>
      </c>
      <c r="AV28" s="298" t="n">
        <f aca="false" t="array" ref="AV28:AV28">IFERROR( AVERAGE(IF(DATOS_[Sexo]=$B28,IF(DATOS_[[AGRUP. CLAS. PROF.]:[AGRUP. CLAS. PROF.]]=$B27,IF(DATOS_[Check Equiparado]="Sí",IF(DATOS_[Check Periodo Ref.]="Dentro",DATOS_[TOTAL Retrib Eq],0))))), 0)</f>
        <v>0</v>
      </c>
    </row>
    <row r="29" customFormat="false" ht="14.25" hidden="false" customHeight="false" outlineLevel="0" collapsed="false">
      <c r="A29" s="166" t="str">
        <f aca="false">+A28</f>
        <v>[ocultar]</v>
      </c>
      <c r="B29" s="289" t="s">
        <v>372</v>
      </c>
      <c r="C29" s="290" t="n">
        <f aca="false" t="array" ref="C29:C29">SUM(IF($B29=DATOS_[Sexo], IF($B27=DATOS_[AGRUP. CLAS. PROF.], IF("Dentro"=DATOS_[Check Periodo Ref.], 1/(COUNTIFS(DATOS_[Sexo],$B29,DATOS_[AGRUP. CLAS. PROF.],$B27,DATOS_[Check Periodo Ref.],"Dentro",DATOS_[id],DATOS_[id]))))))</f>
        <v>0</v>
      </c>
      <c r="D29" s="291" t="n">
        <f aca="false">COUNTIFS(DATOS_[AGRUP. CLAS. PROF.],$B27,DATOS_[Sexo],$B29,DATOS_[Check Periodo Ref.],"Dentro")</f>
        <v>0</v>
      </c>
      <c r="E29" s="291" t="n">
        <f aca="false">COUNTIFS(DATOS_[AGRUP. CLAS. PROF.],$B27,DATOS_[Sexo],$B29,DATOS_[Check Periodo Ref.],"Dentro",DATOS_[Check Nº SC Norm],"Sí")</f>
        <v>0</v>
      </c>
      <c r="F29" s="291" t="n">
        <f aca="false">COUNTIFS(DATOS_[AGRUP. CLAS. PROF.],$B27,DATOS_[Sexo],$B29,DATOS_[Check Periodo Ref.],"Dentro",DATOS_[Check Nº SC Anualiz],"Sí")</f>
        <v>0</v>
      </c>
      <c r="G29" s="291" t="n">
        <f aca="false">COUNTIFS(DATOS_[AGRUP. CLAS. PROF.],$B27,DATOS_[Sexo],$B29,DATOS_[Check Periodo Ref.],"Dentro",DATOS_[Check Nº SC Norm y Anualiz],"Sí")</f>
        <v>0</v>
      </c>
      <c r="H29" s="291" t="n">
        <f aca="false">COUNTIFS(DATOS_[AGRUP. CLAS. PROF.],$B27,DATOS_[Sexo],$B29,DATOS_[Check Periodo Ref.],"Dentro",DATOS_[Check Equiparación],"Sí")</f>
        <v>0</v>
      </c>
      <c r="I29" s="292" t="n">
        <f aca="false" t="array" ref="I29:I29">IFERROR( AVERAGE(IF(DATOS_[Sexo]=$B29,IF(DATOS_[[AGRUP. CLAS. PROF.]:[AGRUP. CLAS. PROF.]]=$B27,IF(DATOS_[Check Equiparado]="Sí",IF(DATOS_[Check Periodo Ref.]="Dentro",DATOS_[SALARIO BASE Eq],0))))), 0)</f>
        <v>0</v>
      </c>
      <c r="J29" s="302" t="n">
        <f aca="false" t="array" ref="J29:J29">IFERROR( (AVERAGE((IF(DATOS_[[Sexo]:[Sexo]]=$B29,IF(DATOS_[[AGRUP. CLAS. PROF.]:[AGRUP. CLAS. PROF.]]=$B27,IF(DATOS_[[Check Periodo Ref.]:[Check Periodo Ref.]]="Dentro",IF(DATOS_[[Check Equiparado]:[Check Equiparado]]="Sí",IF(DATOS!AE$4="Sí",(1/DATOS_[[% anualiz]:[% anualiz]]),1)*IF(DATOS!AE$5="Sí",1/DATOS_[[% normaliz]:[% normaliz]],1)*(DATOS_[Conc.Sal.01])))))))), 0)</f>
        <v>0</v>
      </c>
      <c r="K29" s="302" t="n">
        <f aca="false" t="array" ref="K29:K29">IFERROR( (AVERAGE((IF(DATOS_[[Sexo]:[Sexo]]=$B29,IF(DATOS_[[AGRUP. CLAS. PROF.]:[AGRUP. CLAS. PROF.]]=$B27,IF(DATOS_[[Check Periodo Ref.]:[Check Periodo Ref.]]="Dentro",IF(DATOS_[[Check Equiparado]:[Check Equiparado]]="Sí",IF(DATOS!AF$4="Sí",(1/DATOS_[[% anualiz]:[% anualiz]]),1)*IF(DATOS!AF$5="Sí",1/DATOS_[[% normaliz]:[% normaliz]],1)*(DATOS_[Conc.Sal.02])))))))), 0)</f>
        <v>0</v>
      </c>
      <c r="L29" s="302" t="n">
        <f aca="false" t="array" ref="L29:L29">IFERROR( (AVERAGE((IF(DATOS_[[Sexo]:[Sexo]]=$B29,IF(DATOS_[[AGRUP. CLAS. PROF.]:[AGRUP. CLAS. PROF.]]=$B27,IF(DATOS_[[Check Periodo Ref.]:[Check Periodo Ref.]]="Dentro",IF(DATOS_[[Check Equiparado]:[Check Equiparado]]="Sí",IF(DATOS!AG$4="Sí",(1/DATOS_[[% anualiz]:[% anualiz]]),1)*IF(DATOS!AG$5="Sí",1/DATOS_[[% normaliz]:[% normaliz]],1)*(DATOS_[Conc.Sal.03])))))))), 0)</f>
        <v>0</v>
      </c>
      <c r="M29" s="302" t="n">
        <f aca="false" t="array" ref="M29:M29">IFERROR( (AVERAGE((IF(DATOS_[[Sexo]:[Sexo]]=$B29,IF(DATOS_[[AGRUP. CLAS. PROF.]:[AGRUP. CLAS. PROF.]]=$B27,IF(DATOS_[[Check Periodo Ref.]:[Check Periodo Ref.]]="Dentro",IF(DATOS_[[Check Equiparado]:[Check Equiparado]]="Sí",IF(DATOS!AH$4="Sí",(1/DATOS_[[% anualiz]:[% anualiz]]),1)*IF(DATOS!AH$5="Sí",1/DATOS_[[% normaliz]:[% normaliz]],1)*(DATOS_[Conc.Sal.04])))))))), 0)</f>
        <v>0</v>
      </c>
      <c r="N29" s="302" t="n">
        <f aca="false" t="array" ref="N29:N29">IFERROR( (AVERAGE((IF(DATOS_[[Sexo]:[Sexo]]=$B29,IF(DATOS_[[AGRUP. CLAS. PROF.]:[AGRUP. CLAS. PROF.]]=$B27,IF(DATOS_[[Check Periodo Ref.]:[Check Periodo Ref.]]="Dentro",IF(DATOS_[[Check Equiparado]:[Check Equiparado]]="Sí",IF(DATOS!AI$4="Sí",(1/DATOS_[[% anualiz]:[% anualiz]]),1)*IF(DATOS!AI$5="Sí",1/DATOS_[[% normaliz]:[% normaliz]],1)*(DATOS_[Conc.Sal.05])))))))), 0)</f>
        <v>0</v>
      </c>
      <c r="O29" s="302" t="n">
        <f aca="false" t="array" ref="O29:O29">IFERROR( (AVERAGE((IF(DATOS_[[Sexo]:[Sexo]]=$B29,IF(DATOS_[[AGRUP. CLAS. PROF.]:[AGRUP. CLAS. PROF.]]=$B27,IF(DATOS_[[Check Periodo Ref.]:[Check Periodo Ref.]]="Dentro",IF(DATOS_[[Check Equiparado]:[Check Equiparado]]="Sí",IF(DATOS!AJ$4="Sí",(1/DATOS_[[% anualiz]:[% anualiz]]),1)*IF(DATOS!AJ$5="Sí",1/DATOS_[[% normaliz]:[% normaliz]],1)*(DATOS_[Conc.Sal.06])))))))), 0)</f>
        <v>0</v>
      </c>
      <c r="P29" s="302" t="n">
        <f aca="false" t="array" ref="P29:P29">IFERROR( (AVERAGE((IF(DATOS_[[Sexo]:[Sexo]]=$B29,IF(DATOS_[[AGRUP. CLAS. PROF.]:[AGRUP. CLAS. PROF.]]=$B27,IF(DATOS_[[Check Periodo Ref.]:[Check Periodo Ref.]]="Dentro",IF(DATOS_[[Check Equiparado]:[Check Equiparado]]="Sí",IF(DATOS!AK$4="Sí",(1/DATOS_[[% anualiz]:[% anualiz]]),1)*IF(DATOS!AK$5="Sí",1/DATOS_[[% normaliz]:[% normaliz]],1)*(DATOS_[Conc.Sal.07])))))))), 0)</f>
        <v>0</v>
      </c>
      <c r="Q29" s="302" t="n">
        <f aca="false" t="array" ref="Q29:Q29">IFERROR( (AVERAGE((IF(DATOS_[[Sexo]:[Sexo]]=$B29,IF(DATOS_[[AGRUP. CLAS. PROF.]:[AGRUP. CLAS. PROF.]]=$B27,IF(DATOS_[[Check Periodo Ref.]:[Check Periodo Ref.]]="Dentro",IF(DATOS_[[Check Equiparado]:[Check Equiparado]]="Sí",IF(DATOS!AL$4="Sí",(1/DATOS_[[% anualiz]:[% anualiz]]),1)*IF(DATOS!AL$5="Sí",1/DATOS_[[% normaliz]:[% normaliz]],1)*(DATOS_[Conc.Sal.08])))))))), 0)</f>
        <v>0</v>
      </c>
      <c r="R29" s="302" t="n">
        <f aca="false" t="array" ref="R29:R29">IFERROR( (AVERAGE((IF(DATOS_[[Sexo]:[Sexo]]=$B29,IF(DATOS_[[AGRUP. CLAS. PROF.]:[AGRUP. CLAS. PROF.]]=$B27,IF(DATOS_[[Check Periodo Ref.]:[Check Periodo Ref.]]="Dentro",IF(DATOS_[[Check Equiparado]:[Check Equiparado]]="Sí",IF(DATOS!AM$4="Sí",(1/DATOS_[[% anualiz]:[% anualiz]]),1)*IF(DATOS!AM$5="Sí",1/DATOS_[[% normaliz]:[% normaliz]],1)*(DATOS_[Conc.Sal.09])))))))), 0)</f>
        <v>0</v>
      </c>
      <c r="S29" s="302" t="n">
        <f aca="false" t="array" ref="S29:S29">IFERROR( (AVERAGE((IF(DATOS_[[Sexo]:[Sexo]]=$B29,IF(DATOS_[[AGRUP. CLAS. PROF.]:[AGRUP. CLAS. PROF.]]=$B27,IF(DATOS_[[Check Periodo Ref.]:[Check Periodo Ref.]]="Dentro",IF(DATOS_[[Check Equiparado]:[Check Equiparado]]="Sí",IF(DATOS!AN$4="Sí",(1/DATOS_[[% anualiz]:[% anualiz]]),1)*IF(DATOS!AN$5="Sí",1/DATOS_[[% normaliz]:[% normaliz]],1)*(DATOS_[Conc.Sal.10])))))))), 0)</f>
        <v>0</v>
      </c>
      <c r="T29" s="302" t="n">
        <f aca="false" t="array" ref="T29:T29">IFERROR( (AVERAGE((IF(DATOS_[[Sexo]:[Sexo]]=$B29,IF(DATOS_[[AGRUP. CLAS. PROF.]:[AGRUP. CLAS. PROF.]]=$B27,IF(DATOS_[[Check Periodo Ref.]:[Check Periodo Ref.]]="Dentro",IF(DATOS_[[Check Equiparado]:[Check Equiparado]]="Sí",IF(DATOS!AO$4="Sí",(1/DATOS_[[% anualiz]:[% anualiz]]),1)*IF(DATOS!AO$5="Sí",1/DATOS_[[% normaliz]:[% normaliz]],1)*(DATOS_[Conc.Sal.11])))))))), 0)</f>
        <v>0</v>
      </c>
      <c r="U29" s="302" t="n">
        <f aca="false" t="array" ref="U29:U29">IFERROR( (AVERAGE((IF(DATOS_[[Sexo]:[Sexo]]=$B29,IF(DATOS_[[AGRUP. CLAS. PROF.]:[AGRUP. CLAS. PROF.]]=$B27,IF(DATOS_[[Check Periodo Ref.]:[Check Periodo Ref.]]="Dentro",IF(DATOS_[[Check Equiparado]:[Check Equiparado]]="Sí",IF(DATOS!AP$4="Sí",(1/DATOS_[[% anualiz]:[% anualiz]]),1)*IF(DATOS!AP$5="Sí",1/DATOS_[[% normaliz]:[% normaliz]],1)*(DATOS_[Conc.Sal.12])))))))), 0)</f>
        <v>0</v>
      </c>
      <c r="V29" s="302" t="n">
        <f aca="false" t="array" ref="V29:V29">IFERROR( (AVERAGE((IF(DATOS_[[Sexo]:[Sexo]]=$B29,IF(DATOS_[[AGRUP. CLAS. PROF.]:[AGRUP. CLAS. PROF.]]=$B27,IF(DATOS_[[Check Periodo Ref.]:[Check Periodo Ref.]]="Dentro",IF(DATOS_[[Check Equiparado]:[Check Equiparado]]="Sí",IF(DATOS!AQ$4="Sí",(1/DATOS_[[% anualiz]:[% anualiz]]),1)*IF(DATOS!AQ$5="Sí",1/DATOS_[[% normaliz]:[% normaliz]],1)*(DATOS_[Conc.Sal.13])))))))), 0)</f>
        <v>0</v>
      </c>
      <c r="W29" s="302" t="n">
        <f aca="false" t="array" ref="W29:W29">IFERROR( (AVERAGE((IF(DATOS_[[Sexo]:[Sexo]]=$B29,IF(DATOS_[[AGRUP. CLAS. PROF.]:[AGRUP. CLAS. PROF.]]=$B27,IF(DATOS_[[Check Periodo Ref.]:[Check Periodo Ref.]]="Dentro",IF(DATOS_[[Check Equiparado]:[Check Equiparado]]="Sí",IF(DATOS!AR$4="Sí",(1/DATOS_[[% anualiz]:[% anualiz]]),1)*IF(DATOS!AR$5="Sí",1/DATOS_[[% normaliz]:[% normaliz]],1)*(DATOS_[Conc.Sal.14])))))))), 0)</f>
        <v>0</v>
      </c>
      <c r="X29" s="302" t="n">
        <f aca="false" t="array" ref="X29:X29">IFERROR( (AVERAGE((IF(DATOS_[[Sexo]:[Sexo]]=$B29,IF(DATOS_[[AGRUP. CLAS. PROF.]:[AGRUP. CLAS. PROF.]]=$B27,IF(DATOS_[[Check Periodo Ref.]:[Check Periodo Ref.]]="Dentro",IF(DATOS_[[Check Equiparado]:[Check Equiparado]]="Sí",IF(DATOS!AS$4="Sí",(1/DATOS_[[% anualiz]:[% anualiz]]),1)*IF(DATOS!AS$5="Sí",1/DATOS_[[% normaliz]:[% normaliz]],1)*(DATOS_[Conc.Sal.15])))))))), 0)</f>
        <v>0</v>
      </c>
      <c r="Y29" s="302" t="n">
        <f aca="false" t="array" ref="Y29:Y29">IFERROR( (AVERAGE((IF(DATOS_[[Sexo]:[Sexo]]=$B29,IF(DATOS_[[AGRUP. CLAS. PROF.]:[AGRUP. CLAS. PROF.]]=$B27,IF(DATOS_[[Check Periodo Ref.]:[Check Periodo Ref.]]="Dentro",IF(DATOS_[[Check Equiparado]:[Check Equiparado]]="Sí",IF(DATOS!AT$4="Sí",(1/DATOS_[[% anualiz]:[% anualiz]]),1)*IF(DATOS!AT$5="Sí",1/DATOS_[[% normaliz]:[% normaliz]],1)*(DATOS_[Conc.Sal.16])))))))), 0)</f>
        <v>0</v>
      </c>
      <c r="Z29" s="302" t="n">
        <f aca="false" t="array" ref="Z29:Z29">IFERROR( (AVERAGE((IF(DATOS_[[Sexo]:[Sexo]]=$B29,IF(DATOS_[[AGRUP. CLAS. PROF.]:[AGRUP. CLAS. PROF.]]=$B27,IF(DATOS_[[Check Periodo Ref.]:[Check Periodo Ref.]]="Dentro",IF(DATOS_[[Check Equiparado]:[Check Equiparado]]="Sí",IF(DATOS!AU$4="Sí",(1/DATOS_[[% anualiz]:[% anualiz]]),1)*IF(DATOS!AU$5="Sí",1/DATOS_[[% normaliz]:[% normaliz]],1)*(DATOS_[Conc.Sal.17])))))))), 0)</f>
        <v>0</v>
      </c>
      <c r="AA29" s="302" t="n">
        <f aca="false" t="array" ref="AA29:AA29">IFERROR( (AVERAGE((IF(DATOS_[[Sexo]:[Sexo]]=$B29,IF(DATOS_[[AGRUP. CLAS. PROF.]:[AGRUP. CLAS. PROF.]]=$B27,IF(DATOS_[[Check Periodo Ref.]:[Check Periodo Ref.]]="Dentro",IF(DATOS_[[Check Equiparado]:[Check Equiparado]]="Sí",IF(DATOS!AV$4="Sí",(1/DATOS_[[% anualiz]:[% anualiz]]),1)*IF(DATOS!AV$5="Sí",1/DATOS_[[% normaliz]:[% normaliz]],1)*(DATOS_[Conc.Sal.18])))))))), 0)</f>
        <v>0</v>
      </c>
      <c r="AB29" s="302" t="n">
        <f aca="false" t="array" ref="AB29:AB29">IFERROR( (AVERAGE((IF(DATOS_[[Sexo]:[Sexo]]=$B29,IF(DATOS_[[AGRUP. CLAS. PROF.]:[AGRUP. CLAS. PROF.]]=$B27,IF(DATOS_[[Check Periodo Ref.]:[Check Periodo Ref.]]="Dentro",IF(DATOS_[[Check Equiparado]:[Check Equiparado]]="Sí",IF(DATOS!AW$4="Sí",(1/DATOS_[[% anualiz]:[% anualiz]]),1)*IF(DATOS!AW$5="Sí",1/DATOS_[[% normaliz]:[% normaliz]],1)*(DATOS_[Conc.Sal.19])))))))), 0)</f>
        <v>0</v>
      </c>
      <c r="AC29" s="302" t="n">
        <f aca="false" t="array" ref="AC29:AC29">IFERROR( (AVERAGE((IF(DATOS_[[Sexo]:[Sexo]]=$B29,IF(DATOS_[[AGRUP. CLAS. PROF.]:[AGRUP. CLAS. PROF.]]=$B27,IF(DATOS_[[Check Periodo Ref.]:[Check Periodo Ref.]]="Dentro",IF(DATOS_[[Check Equiparado]:[Check Equiparado]]="Sí",IF(DATOS!AX$4="Sí",(1/DATOS_[[% anualiz]:[% anualiz]]),1)*IF(DATOS!AX$5="Sí",1/DATOS_[[% normaliz]:[% normaliz]],1)*(DATOS_[Conc.Sal.20])))))))), 0)</f>
        <v>0</v>
      </c>
      <c r="AD29" s="302" t="n">
        <f aca="false" t="array" ref="AD29:AD29">IFERROR( (AVERAGE((IF(DATOS_[[Sexo]:[Sexo]]=$B29,IF(DATOS_[[AGRUP. CLAS. PROF.]:[AGRUP. CLAS. PROF.]]=$B27,IF(DATOS_[[Check Periodo Ref.]:[Check Periodo Ref.]]="Dentro",IF(DATOS_[[Check Equiparado]:[Check Equiparado]]="Sí",IF(DATOS!AY$4="Sí",(1/DATOS_[[% anualiz]:[% anualiz]]),1)*IF(DATOS!AY$5="Sí",1/DATOS_[[% normaliz]:[% normaliz]],1)*(DATOS_[Conc.Sal.21])))))))), 0)</f>
        <v>0</v>
      </c>
      <c r="AE29" s="302" t="n">
        <f aca="false" t="array" ref="AE29:AE29">IFERROR( (AVERAGE((IF(DATOS_[[Sexo]:[Sexo]]=$B29,IF(DATOS_[[AGRUP. CLAS. PROF.]:[AGRUP. CLAS. PROF.]]=$B27,IF(DATOS_[[Check Periodo Ref.]:[Check Periodo Ref.]]="Dentro",IF(DATOS_[[Check Equiparado]:[Check Equiparado]]="Sí",IF(DATOS!AZ$4="Sí",(1/DATOS_[[% anualiz]:[% anualiz]]),1)*IF(DATOS!AZ$5="Sí",1/DATOS_[[% normaliz]:[% normaliz]],1)*(DATOS_[Conc.Sal.22])))))))), 0)</f>
        <v>0</v>
      </c>
      <c r="AF29" s="302" t="n">
        <f aca="false" t="array" ref="AF29:AF29">IFERROR( (AVERAGE((IF(DATOS_[[Sexo]:[Sexo]]=$B29,IF(DATOS_[[AGRUP. CLAS. PROF.]:[AGRUP. CLAS. PROF.]]=$B27,IF(DATOS_[[Check Periodo Ref.]:[Check Periodo Ref.]]="Dentro",IF(DATOS_[[Check Equiparado]:[Check Equiparado]]="Sí",IF(DATOS!BA$4="Sí",(1/DATOS_[[% anualiz]:[% anualiz]]),1)*IF(DATOS!BA$5="Sí",1/DATOS_[[% normaliz]:[% normaliz]],1)*(DATOS_[Conc.Sal.23])))))))), 0)</f>
        <v>0</v>
      </c>
      <c r="AG29" s="302" t="n">
        <f aca="false" t="array" ref="AG29:AG29">IFERROR( (AVERAGE((IF(DATOS_[[Sexo]:[Sexo]]=$B29,IF(DATOS_[[AGRUP. CLAS. PROF.]:[AGRUP. CLAS. PROF.]]=$B27,IF(DATOS_[[Check Periodo Ref.]:[Check Periodo Ref.]]="Dentro",IF(DATOS_[[Check Equiparado]:[Check Equiparado]]="Sí",IF(DATOS!BB$4="Sí",(1/DATOS_[[% anualiz]:[% anualiz]]),1)*IF(DATOS!BB$5="Sí",1/DATOS_[[% normaliz]:[% normaliz]],1)*(DATOS_[Conc.Sal.24])))))))), 0)</f>
        <v>0</v>
      </c>
      <c r="AH29" s="302" t="n">
        <f aca="false" t="array" ref="AH29:AH29">IFERROR( (AVERAGE((IF(DATOS_[[Sexo]:[Sexo]]=$B29,IF(DATOS_[[AGRUP. CLAS. PROF.]:[AGRUP. CLAS. PROF.]]=$B27,IF(DATOS_[[Check Periodo Ref.]:[Check Periodo Ref.]]="Dentro",IF(DATOS_[[Check Equiparado]:[Check Equiparado]]="Sí",IF(DATOS!BC$4="Sí",(1/DATOS_[[% anualiz]:[% anualiz]]),1)*IF(DATOS!BC$5="Sí",1/DATOS_[[% normaliz]:[% normaliz]],1)*(DATOS_[Conc.Sal.25])))))))), 0)</f>
        <v>0</v>
      </c>
      <c r="AI29" s="302" t="n">
        <f aca="false" t="array" ref="AI29:AI29">IFERROR( (AVERAGE((IF(DATOS_[[Sexo]:[Sexo]]=$B29,IF(DATOS_[[AGRUP. CLAS. PROF.]:[AGRUP. CLAS. PROF.]]=$B27,IF(DATOS_[[Check Periodo Ref.]:[Check Periodo Ref.]]="Dentro",IF(DATOS_[[Check Equiparado]:[Check Equiparado]]="Sí",IF(DATOS!BD$4="Sí",(1/DATOS_[[% anualiz]:[% anualiz]]),1)*IF(DATOS!BD$5="Sí",1/DATOS_[[% normaliz]:[% normaliz]],1)*(DATOS_[Conc.Sal.26])))))))), 0)</f>
        <v>0</v>
      </c>
      <c r="AJ29" s="302" t="n">
        <f aca="false" t="array" ref="AJ29:AJ29">IFERROR( (AVERAGE((IF(DATOS_[[Sexo]:[Sexo]]=$B29,IF(DATOS_[[AGRUP. CLAS. PROF.]:[AGRUP. CLAS. PROF.]]=$B27,IF(DATOS_[[Check Periodo Ref.]:[Check Periodo Ref.]]="Dentro",IF(DATOS_[[Check Equiparado]:[Check Equiparado]]="Sí",IF(DATOS!BE$4="Sí",(1/DATOS_[[% anualiz]:[% anualiz]]),1)*IF(DATOS!BE$5="Sí",1/DATOS_[[% normaliz]:[% normaliz]],1)*(DATOS_[Conc.Sal.27])))))))), 0)</f>
        <v>0</v>
      </c>
      <c r="AK29" s="302" t="n">
        <f aca="false" t="array" ref="AK29:AK29">IFERROR( (AVERAGE((IF(DATOS_[[Sexo]:[Sexo]]=$B29,IF(DATOS_[[AGRUP. CLAS. PROF.]:[AGRUP. CLAS. PROF.]]=$B27,IF(DATOS_[[Check Periodo Ref.]:[Check Periodo Ref.]]="Dentro",IF(DATOS_[[Check Equiparado]:[Check Equiparado]]="Sí",IF(DATOS!BF$4="Sí",(1/DATOS_[[% anualiz]:[% anualiz]]),1)*IF(DATOS!BF$5="Sí",1/DATOS_[[% normaliz]:[% normaliz]],1)*(DATOS_[Conc.Sal.28])))))))), 0)</f>
        <v>0</v>
      </c>
      <c r="AL29" s="302" t="n">
        <f aca="false" t="array" ref="AL29:AL29">IFERROR( (AVERAGE((IF(DATOS_[[Sexo]:[Sexo]]=$B29,IF(DATOS_[[AGRUP. CLAS. PROF.]:[AGRUP. CLAS. PROF.]]=$B27,IF(DATOS_[[Check Periodo Ref.]:[Check Periodo Ref.]]="Dentro",IF(DATOS_[[Check Equiparado]:[Check Equiparado]]="Sí",IF(DATOS!BG$4="Sí",(1/DATOS_[[% anualiz]:[% anualiz]]),1)*IF(DATOS!BG$5="Sí",1/DATOS_[[% normaliz]:[% normaliz]],1)*(DATOS_[Conc.Sal.29])))))))), 0)</f>
        <v>0</v>
      </c>
      <c r="AM29" s="302" t="n">
        <f aca="false" t="array" ref="AM29:AM29">IFERROR( (AVERAGE((IF(DATOS_[[Sexo]:[Sexo]]=$B29,IF(DATOS_[[AGRUP. CLAS. PROF.]:[AGRUP. CLAS. PROF.]]=$B27,IF(DATOS_[[Check Periodo Ref.]:[Check Periodo Ref.]]="Dentro",IF(DATOS_[[Check Equiparado]:[Check Equiparado]]="Sí",IF(DATOS!BH$4="Sí",(1/DATOS_[[% anualiz]:[% anualiz]]),1)*IF(DATOS!BH$5="Sí",1/DATOS_[[% normaliz]:[% normaliz]],1)*(DATOS_[Conc.Sal.30])))))))), 0)</f>
        <v>0</v>
      </c>
      <c r="AN29" s="294" t="n">
        <f aca="false" t="array" ref="AN29:AN29">IFERROR( AVERAGE(IF(DATOS_[Sexo]=$B29,IF(DATOS_[[AGRUP. CLAS. PROF.]:[AGRUP. CLAS. PROF.]]=$B27,IF(DATOS_[Check Equiparado]="Sí",IF(DATOS_[Check Periodo Ref.]="Dentro",DATOS_[Tot COMPL.SAL Eq],0))))), 0)</f>
        <v>0</v>
      </c>
      <c r="AO29" s="295" t="n">
        <f aca="false" t="array" ref="AO29:AO29">IFERROR( AVERAGE(IF(DATOS_[Sexo]=$B29,IF(DATOS_[[AGRUP. CLAS. PROF.]:[AGRUP. CLAS. PROF.]]=$B27,IF(DATOS_[Check Equiparado]="Sí",IF(DATOS_[Check Periodo Ref.]="Dentro",DATOS_[TOTAL SALARIO Eq],0))))), 0)</f>
        <v>0</v>
      </c>
      <c r="AP29" s="303" t="n">
        <f aca="false" t="array" ref="AP29:AP29">IFERROR( (AVERAGE((IF(DATOS_[[Sexo]:[Sexo]]=$B29,IF(DATOS_[[AGRUP. CLAS. PROF.]:[AGRUP. CLAS. PROF.]]=$B28,IF(DATOS_[[Check Periodo Ref.]:[Check Periodo Ref.]]="Dentro",IF(DATOS_[[Check Equiparado]:[Check Equiparado]]="Sí",IF(DATOS!BI$4="Sí",(1/DATOS_[[% anualiz]:[% anualiz]]),1)*IF(DATOS!BI$5="Sí",1/DATOS_[[% normaliz]:[% normaliz]],1)*(DATOS_[C.Extra.01])))))))), 0)</f>
        <v>0</v>
      </c>
      <c r="AQ29" s="303" t="n">
        <f aca="false" t="array" ref="AQ29:AQ29">IFERROR( (AVERAGE((IF(DATOS_[[Sexo]:[Sexo]]=$B29,IF(DATOS_[[AGRUP. CLAS. PROF.]:[AGRUP. CLAS. PROF.]]=$B28,IF(DATOS_[[Check Periodo Ref.]:[Check Periodo Ref.]]="Dentro",IF(DATOS_[[Check Equiparado]:[Check Equiparado]]="Sí",IF(DATOS!BJ$4="Sí",(1/DATOS_[[% anualiz]:[% anualiz]]),1)*IF(DATOS!BJ$5="Sí",1/DATOS_[[% normaliz]:[% normaliz]],1)*(DATOS_[C.Extra.02])))))))), 0)</f>
        <v>0</v>
      </c>
      <c r="AR29" s="303" t="n">
        <f aca="false" t="array" ref="AR29:AR29">IFERROR( (AVERAGE((IF(DATOS_[[Sexo]:[Sexo]]=$B29,IF(DATOS_[[AGRUP. CLAS. PROF.]:[AGRUP. CLAS. PROF.]]=$B28,IF(DATOS_[[Check Periodo Ref.]:[Check Periodo Ref.]]="Dentro",IF(DATOS_[[Check Equiparado]:[Check Equiparado]]="Sí",IF(DATOS!BK$4="Sí",(1/DATOS_[[% anualiz]:[% anualiz]]),1)*IF(DATOS!BK$5="Sí",1/DATOS_[[% normaliz]:[% normaliz]],1)*(DATOS_[C.Extra.03])))))))), 0)</f>
        <v>0</v>
      </c>
      <c r="AS29" s="303" t="n">
        <f aca="false" t="array" ref="AS29:AS29">IFERROR( (AVERAGE((IF(DATOS_[[Sexo]:[Sexo]]=$B29,IF(DATOS_[[AGRUP. CLAS. PROF.]:[AGRUP. CLAS. PROF.]]=$B28,IF(DATOS_[[Check Periodo Ref.]:[Check Periodo Ref.]]="Dentro",IF(DATOS_[[Check Equiparado]:[Check Equiparado]]="Sí",IF(DATOS!BL$4="Sí",(1/DATOS_[[% anualiz]:[% anualiz]]),1)*IF(DATOS!BL$5="Sí",1/DATOS_[[% normaliz]:[% normaliz]],1)*(DATOS_[C.Extra.04])))))))), 0)</f>
        <v>0</v>
      </c>
      <c r="AT29" s="303" t="n">
        <f aca="false" t="array" ref="AT29:AT29">IFERROR( (AVERAGE((IF(DATOS_[[Sexo]:[Sexo]]=$B29,IF(DATOS_[[AGRUP. CLAS. PROF.]:[AGRUP. CLAS. PROF.]]=$B28,IF(DATOS_[[Check Periodo Ref.]:[Check Periodo Ref.]]="Dentro",IF(DATOS_[[Check Equiparado]:[Check Equiparado]]="Sí",IF(DATOS!BM$4="Sí",(1/DATOS_[[% anualiz]:[% anualiz]]),1)*IF(DATOS!BM$5="Sí",1/DATOS_[[% normaliz]:[% normaliz]],1)*(DATOS_[C.Extra.05])))))))), 0)</f>
        <v>0</v>
      </c>
      <c r="AU29" s="297" t="n">
        <f aca="false" t="array" ref="AU29:AU29">IFERROR( AVERAGE(IF(DATOS_[Sexo]=$B29,IF(DATOS_[[AGRUP. CLAS. PROF.]:[AGRUP. CLAS. PROF.]]=$B27,IF(DATOS_[Check Equiparado]="Sí",IF(DATOS_[Check Periodo Ref.]="Dentro",DATOS_[Tot Extrasalarial Eq],0))))), 0)</f>
        <v>0</v>
      </c>
      <c r="AV29" s="298" t="n">
        <f aca="false" t="array" ref="AV29:AV29">IFERROR( AVERAGE(IF(DATOS_[Sexo]=$B29,IF(DATOS_[[AGRUP. CLAS. PROF.]:[AGRUP. CLAS. PROF.]]=$B27,IF(DATOS_[Check Equiparado]="Sí",IF(DATOS_[Check Periodo Ref.]="Dentro",DATOS_[TOTAL Retrib Eq],0))))), 0)</f>
        <v>0</v>
      </c>
    </row>
    <row r="30" customFormat="false" ht="15.75" hidden="false" customHeight="false" outlineLevel="0" collapsed="false">
      <c r="A30" s="166" t="str">
        <f aca="false">+A31</f>
        <v>[ocultar]</v>
      </c>
      <c r="B30" s="276" t="s">
        <v>183</v>
      </c>
      <c r="C30" s="277"/>
      <c r="D30" s="278"/>
      <c r="E30" s="278"/>
      <c r="F30" s="278"/>
      <c r="G30" s="278"/>
      <c r="H30" s="278"/>
      <c r="I30" s="279" t="str">
        <f aca="false">IFERROR((I31-I32)/I31,"")</f>
        <v/>
      </c>
      <c r="J30" s="280" t="str">
        <f aca="false">IFERROR((J31-J32)/J31,"")</f>
        <v/>
      </c>
      <c r="K30" s="281" t="str">
        <f aca="false">IFERROR((K31-K32)/K31,"")</f>
        <v/>
      </c>
      <c r="L30" s="281" t="str">
        <f aca="false">IFERROR((L31-L32)/L31,"")</f>
        <v/>
      </c>
      <c r="M30" s="281" t="str">
        <f aca="false">IFERROR((M31-M32)/M31,"")</f>
        <v/>
      </c>
      <c r="N30" s="282" t="str">
        <f aca="false">IFERROR((N31-N32)/N31,"")</f>
        <v/>
      </c>
      <c r="O30" s="283" t="str">
        <f aca="false">IFERROR((O31-O32)/O31,"")</f>
        <v/>
      </c>
      <c r="P30" s="283" t="str">
        <f aca="false">IFERROR((P31-P32)/P31,"")</f>
        <v/>
      </c>
      <c r="Q30" s="283" t="str">
        <f aca="false">IFERROR((Q31-Q32)/Q31,"")</f>
        <v/>
      </c>
      <c r="R30" s="283" t="str">
        <f aca="false">IFERROR((R31-R32)/R31,"")</f>
        <v/>
      </c>
      <c r="S30" s="283" t="str">
        <f aca="false">IFERROR((S31-S32)/S31,"")</f>
        <v/>
      </c>
      <c r="T30" s="283" t="str">
        <f aca="false">IFERROR((T31-T32)/T31,"")</f>
        <v/>
      </c>
      <c r="U30" s="283" t="str">
        <f aca="false">IFERROR((U31-U32)/U31,"")</f>
        <v/>
      </c>
      <c r="V30" s="283" t="str">
        <f aca="false">IFERROR((V31-V32)/V31,"")</f>
        <v/>
      </c>
      <c r="W30" s="283" t="str">
        <f aca="false">IFERROR((W31-W32)/W31,"")</f>
        <v/>
      </c>
      <c r="X30" s="283" t="str">
        <f aca="false">IFERROR((X31-X32)/X31,"")</f>
        <v/>
      </c>
      <c r="Y30" s="283" t="str">
        <f aca="false">IFERROR((Y31-Y32)/Y31,"")</f>
        <v/>
      </c>
      <c r="Z30" s="282" t="str">
        <f aca="false">IFERROR((Z31-Z32)/Z31,"")</f>
        <v/>
      </c>
      <c r="AA30" s="282" t="str">
        <f aca="false">IFERROR((AA31-AA32)/AA31,"")</f>
        <v/>
      </c>
      <c r="AB30" s="282" t="str">
        <f aca="false">IFERROR((AB31-AB32)/AB31,"")</f>
        <v/>
      </c>
      <c r="AC30" s="282" t="str">
        <f aca="false">IFERROR((AC31-AC32)/AC31,"")</f>
        <v/>
      </c>
      <c r="AD30" s="282" t="str">
        <f aca="false">IFERROR((AD31-AD32)/AD31,"")</f>
        <v/>
      </c>
      <c r="AE30" s="282" t="str">
        <f aca="false">IFERROR((AE31-AE32)/AE31,"")</f>
        <v/>
      </c>
      <c r="AF30" s="282" t="str">
        <f aca="false">IFERROR((AF31-AF32)/AF31,"")</f>
        <v/>
      </c>
      <c r="AG30" s="282" t="str">
        <f aca="false">IFERROR((AG31-AG32)/AG31,"")</f>
        <v/>
      </c>
      <c r="AH30" s="282" t="str">
        <f aca="false">IFERROR((AH31-AH32)/AH31,"")</f>
        <v/>
      </c>
      <c r="AI30" s="282" t="str">
        <f aca="false">IFERROR((AI31-AI32)/AI31,"")</f>
        <v/>
      </c>
      <c r="AJ30" s="282" t="str">
        <f aca="false">IFERROR((AJ31-AJ32)/AJ31,"")</f>
        <v/>
      </c>
      <c r="AK30" s="282" t="str">
        <f aca="false">IFERROR((AK31-AK32)/AK31,"")</f>
        <v/>
      </c>
      <c r="AL30" s="282" t="str">
        <f aca="false">IFERROR((AL31-AL32)/AL31,"")</f>
        <v/>
      </c>
      <c r="AM30" s="282" t="str">
        <f aca="false">IFERROR((AM31-AM32)/AM31,"")</f>
        <v/>
      </c>
      <c r="AN30" s="284" t="str">
        <f aca="false">IFERROR((AN31-AN32)/AN31,"")</f>
        <v/>
      </c>
      <c r="AO30" s="285" t="str">
        <f aca="false">IFERROR((AO31-AO32)/AO31,"")</f>
        <v/>
      </c>
      <c r="AP30" s="286" t="str">
        <f aca="false">IFERROR((AP31-AP32)/AP31,"")</f>
        <v/>
      </c>
      <c r="AQ30" s="286" t="str">
        <f aca="false">IFERROR((AQ31-AQ32)/AQ31,"")</f>
        <v/>
      </c>
      <c r="AR30" s="286" t="str">
        <f aca="false">IFERROR((AR31-AR32)/AR31,"")</f>
        <v/>
      </c>
      <c r="AS30" s="286" t="str">
        <f aca="false">IFERROR((AS31-AS32)/AS31,"")</f>
        <v/>
      </c>
      <c r="AT30" s="286" t="str">
        <f aca="false">IFERROR((AT31-AT32)/AT31,"")</f>
        <v/>
      </c>
      <c r="AU30" s="287" t="str">
        <f aca="false">IFERROR((AU31-AU32)/AU31,"")</f>
        <v/>
      </c>
      <c r="AV30" s="288" t="str">
        <f aca="false">IFERROR((AV31-AV32)/AV31,"")</f>
        <v/>
      </c>
    </row>
    <row r="31" customFormat="false" ht="14.25" hidden="false" customHeight="false" outlineLevel="0" collapsed="false">
      <c r="A31" s="166" t="str">
        <f aca="false">+IF(C31+C32=0,"[ocultar]","")</f>
        <v>[ocultar]</v>
      </c>
      <c r="B31" s="289" t="s">
        <v>371</v>
      </c>
      <c r="C31" s="290" t="n">
        <f aca="false" t="array" ref="C31:C31">SUM(IF($B31=DATOS_[Sexo], IF($B30=DATOS_[AGRUP. CLAS. PROF.], IF("Dentro"=DATOS_[Check Periodo Ref.], 1/(COUNTIFS(DATOS_[Sexo],$B31,DATOS_[AGRUP. CLAS. PROF.],$B30,DATOS_[Check Periodo Ref.],"Dentro",DATOS_[id],DATOS_[id]))))))</f>
        <v>0</v>
      </c>
      <c r="D31" s="291" t="n">
        <f aca="false">COUNTIFS(DATOS_[AGRUP. CLAS. PROF.],$B30,DATOS_[Sexo],$B31,DATOS_[Check Periodo Ref.],"Dentro")</f>
        <v>0</v>
      </c>
      <c r="E31" s="291" t="n">
        <f aca="false">COUNTIFS(DATOS_[AGRUP. CLAS. PROF.],$B30,DATOS_[Sexo],$B31,DATOS_[Check Periodo Ref.],"Dentro",DATOS_[Check Nº SC Norm],"Sí")</f>
        <v>0</v>
      </c>
      <c r="F31" s="291" t="n">
        <f aca="false">COUNTIFS(DATOS_[AGRUP. CLAS. PROF.],$B30,DATOS_[Sexo],$B31,DATOS_[Check Periodo Ref.],"Dentro",DATOS_[Check Nº SC Anualiz],"Sí")</f>
        <v>0</v>
      </c>
      <c r="G31" s="291" t="n">
        <f aca="false">COUNTIFS(DATOS_[AGRUP. CLAS. PROF.],$B30,DATOS_[Sexo],$B31,DATOS_[Check Periodo Ref.],"Dentro",DATOS_[Check Nº SC Norm y Anualiz],"Sí")</f>
        <v>0</v>
      </c>
      <c r="H31" s="291" t="n">
        <f aca="false">COUNTIFS(DATOS_[AGRUP. CLAS. PROF.],$B30,DATOS_[Sexo],$B31,DATOS_[Check Periodo Ref.],"Dentro",DATOS_[Check Equiparación],"Sí")</f>
        <v>0</v>
      </c>
      <c r="I31" s="292" t="n">
        <f aca="false" t="array" ref="I31:I31">IFERROR( AVERAGE(IF(DATOS_[Sexo]=$B31,IF(DATOS_[[AGRUP. CLAS. PROF.]:[AGRUP. CLAS. PROF.]]=$B30,IF(DATOS_[Check Equiparado]="Sí",IF(DATOS_[Check Periodo Ref.]="Dentro",DATOS_[SALARIO BASE Eq],0))))), 0)</f>
        <v>0</v>
      </c>
      <c r="J31" s="302" t="n">
        <f aca="false" t="array" ref="J31:J31">IFERROR( (AVERAGE((IF(DATOS_[[Sexo]:[Sexo]]=$B31,IF(DATOS_[[AGRUP. CLAS. PROF.]:[AGRUP. CLAS. PROF.]]=$B30,IF(DATOS_[[Check Periodo Ref.]:[Check Periodo Ref.]]="Dentro",IF(DATOS_[[Check Equiparado]:[Check Equiparado]]="Sí",IF(DATOS!AE$4="Sí",(1/DATOS_[[% anualiz]:[% anualiz]]),1)*IF(DATOS!AE$5="Sí",1/DATOS_[[% normaliz]:[% normaliz]],1)*(DATOS_[Conc.Sal.01])))))))), 0)</f>
        <v>0</v>
      </c>
      <c r="K31" s="302" t="n">
        <f aca="false" t="array" ref="K31:K31">IFERROR( (AVERAGE((IF(DATOS_[[Sexo]:[Sexo]]=$B31,IF(DATOS_[[AGRUP. CLAS. PROF.]:[AGRUP. CLAS. PROF.]]=$B30,IF(DATOS_[[Check Periodo Ref.]:[Check Periodo Ref.]]="Dentro",IF(DATOS_[[Check Equiparado]:[Check Equiparado]]="Sí",IF(DATOS!AF$4="Sí",(1/DATOS_[[% anualiz]:[% anualiz]]),1)*IF(DATOS!AF$5="Sí",1/DATOS_[[% normaliz]:[% normaliz]],1)*(DATOS_[Conc.Sal.02])))))))), 0)</f>
        <v>0</v>
      </c>
      <c r="L31" s="302" t="n">
        <f aca="false" t="array" ref="L31:L31">IFERROR( (AVERAGE((IF(DATOS_[[Sexo]:[Sexo]]=$B31,IF(DATOS_[[AGRUP. CLAS. PROF.]:[AGRUP. CLAS. PROF.]]=$B30,IF(DATOS_[[Check Periodo Ref.]:[Check Periodo Ref.]]="Dentro",IF(DATOS_[[Check Equiparado]:[Check Equiparado]]="Sí",IF(DATOS!AG$4="Sí",(1/DATOS_[[% anualiz]:[% anualiz]]),1)*IF(DATOS!AG$5="Sí",1/DATOS_[[% normaliz]:[% normaliz]],1)*(DATOS_[Conc.Sal.03])))))))), 0)</f>
        <v>0</v>
      </c>
      <c r="M31" s="302" t="n">
        <f aca="false" t="array" ref="M31:M31">IFERROR( (AVERAGE((IF(DATOS_[[Sexo]:[Sexo]]=$B31,IF(DATOS_[[AGRUP. CLAS. PROF.]:[AGRUP. CLAS. PROF.]]=$B30,IF(DATOS_[[Check Periodo Ref.]:[Check Periodo Ref.]]="Dentro",IF(DATOS_[[Check Equiparado]:[Check Equiparado]]="Sí",IF(DATOS!AH$4="Sí",(1/DATOS_[[% anualiz]:[% anualiz]]),1)*IF(DATOS!AH$5="Sí",1/DATOS_[[% normaliz]:[% normaliz]],1)*(DATOS_[Conc.Sal.04])))))))), 0)</f>
        <v>0</v>
      </c>
      <c r="N31" s="302" t="n">
        <f aca="false" t="array" ref="N31:N31">IFERROR( (AVERAGE((IF(DATOS_[[Sexo]:[Sexo]]=$B31,IF(DATOS_[[AGRUP. CLAS. PROF.]:[AGRUP. CLAS. PROF.]]=$B30,IF(DATOS_[[Check Periodo Ref.]:[Check Periodo Ref.]]="Dentro",IF(DATOS_[[Check Equiparado]:[Check Equiparado]]="Sí",IF(DATOS!AI$4="Sí",(1/DATOS_[[% anualiz]:[% anualiz]]),1)*IF(DATOS!AI$5="Sí",1/DATOS_[[% normaliz]:[% normaliz]],1)*(DATOS_[Conc.Sal.05])))))))), 0)</f>
        <v>0</v>
      </c>
      <c r="O31" s="302" t="n">
        <f aca="false" t="array" ref="O31:O31">IFERROR( (AVERAGE((IF(DATOS_[[Sexo]:[Sexo]]=$B31,IF(DATOS_[[AGRUP. CLAS. PROF.]:[AGRUP. CLAS. PROF.]]=$B30,IF(DATOS_[[Check Periodo Ref.]:[Check Periodo Ref.]]="Dentro",IF(DATOS_[[Check Equiparado]:[Check Equiparado]]="Sí",IF(DATOS!AJ$4="Sí",(1/DATOS_[[% anualiz]:[% anualiz]]),1)*IF(DATOS!AJ$5="Sí",1/DATOS_[[% normaliz]:[% normaliz]],1)*(DATOS_[Conc.Sal.06])))))))), 0)</f>
        <v>0</v>
      </c>
      <c r="P31" s="302" t="n">
        <f aca="false" t="array" ref="P31:P31">IFERROR( (AVERAGE((IF(DATOS_[[Sexo]:[Sexo]]=$B31,IF(DATOS_[[AGRUP. CLAS. PROF.]:[AGRUP. CLAS. PROF.]]=$B30,IF(DATOS_[[Check Periodo Ref.]:[Check Periodo Ref.]]="Dentro",IF(DATOS_[[Check Equiparado]:[Check Equiparado]]="Sí",IF(DATOS!AK$4="Sí",(1/DATOS_[[% anualiz]:[% anualiz]]),1)*IF(DATOS!AK$5="Sí",1/DATOS_[[% normaliz]:[% normaliz]],1)*(DATOS_[Conc.Sal.07])))))))), 0)</f>
        <v>0</v>
      </c>
      <c r="Q31" s="302" t="n">
        <f aca="false" t="array" ref="Q31:Q31">IFERROR( (AVERAGE((IF(DATOS_[[Sexo]:[Sexo]]=$B31,IF(DATOS_[[AGRUP. CLAS. PROF.]:[AGRUP. CLAS. PROF.]]=$B30,IF(DATOS_[[Check Periodo Ref.]:[Check Periodo Ref.]]="Dentro",IF(DATOS_[[Check Equiparado]:[Check Equiparado]]="Sí",IF(DATOS!AL$4="Sí",(1/DATOS_[[% anualiz]:[% anualiz]]),1)*IF(DATOS!AL$5="Sí",1/DATOS_[[% normaliz]:[% normaliz]],1)*(DATOS_[Conc.Sal.08])))))))), 0)</f>
        <v>0</v>
      </c>
      <c r="R31" s="302" t="n">
        <f aca="false" t="array" ref="R31:R31">IFERROR( (AVERAGE((IF(DATOS_[[Sexo]:[Sexo]]=$B31,IF(DATOS_[[AGRUP. CLAS. PROF.]:[AGRUP. CLAS. PROF.]]=$B30,IF(DATOS_[[Check Periodo Ref.]:[Check Periodo Ref.]]="Dentro",IF(DATOS_[[Check Equiparado]:[Check Equiparado]]="Sí",IF(DATOS!AM$4="Sí",(1/DATOS_[[% anualiz]:[% anualiz]]),1)*IF(DATOS!AM$5="Sí",1/DATOS_[[% normaliz]:[% normaliz]],1)*(DATOS_[Conc.Sal.09])))))))), 0)</f>
        <v>0</v>
      </c>
      <c r="S31" s="302" t="n">
        <f aca="false" t="array" ref="S31:S31">IFERROR( (AVERAGE((IF(DATOS_[[Sexo]:[Sexo]]=$B31,IF(DATOS_[[AGRUP. CLAS. PROF.]:[AGRUP. CLAS. PROF.]]=$B30,IF(DATOS_[[Check Periodo Ref.]:[Check Periodo Ref.]]="Dentro",IF(DATOS_[[Check Equiparado]:[Check Equiparado]]="Sí",IF(DATOS!AN$4="Sí",(1/DATOS_[[% anualiz]:[% anualiz]]),1)*IF(DATOS!AN$5="Sí",1/DATOS_[[% normaliz]:[% normaliz]],1)*(DATOS_[Conc.Sal.10])))))))), 0)</f>
        <v>0</v>
      </c>
      <c r="T31" s="302" t="n">
        <f aca="false" t="array" ref="T31:T31">IFERROR( (AVERAGE((IF(DATOS_[[Sexo]:[Sexo]]=$B31,IF(DATOS_[[AGRUP. CLAS. PROF.]:[AGRUP. CLAS. PROF.]]=$B30,IF(DATOS_[[Check Periodo Ref.]:[Check Periodo Ref.]]="Dentro",IF(DATOS_[[Check Equiparado]:[Check Equiparado]]="Sí",IF(DATOS!AO$4="Sí",(1/DATOS_[[% anualiz]:[% anualiz]]),1)*IF(DATOS!AO$5="Sí",1/DATOS_[[% normaliz]:[% normaliz]],1)*(DATOS_[Conc.Sal.11])))))))), 0)</f>
        <v>0</v>
      </c>
      <c r="U31" s="302" t="n">
        <f aca="false" t="array" ref="U31:U31">IFERROR( (AVERAGE((IF(DATOS_[[Sexo]:[Sexo]]=$B31,IF(DATOS_[[AGRUP. CLAS. PROF.]:[AGRUP. CLAS. PROF.]]=$B30,IF(DATOS_[[Check Periodo Ref.]:[Check Periodo Ref.]]="Dentro",IF(DATOS_[[Check Equiparado]:[Check Equiparado]]="Sí",IF(DATOS!AP$4="Sí",(1/DATOS_[[% anualiz]:[% anualiz]]),1)*IF(DATOS!AP$5="Sí",1/DATOS_[[% normaliz]:[% normaliz]],1)*(DATOS_[Conc.Sal.12])))))))), 0)</f>
        <v>0</v>
      </c>
      <c r="V31" s="302" t="n">
        <f aca="false" t="array" ref="V31:V31">IFERROR( (AVERAGE((IF(DATOS_[[Sexo]:[Sexo]]=$B31,IF(DATOS_[[AGRUP. CLAS. PROF.]:[AGRUP. CLAS. PROF.]]=$B30,IF(DATOS_[[Check Periodo Ref.]:[Check Periodo Ref.]]="Dentro",IF(DATOS_[[Check Equiparado]:[Check Equiparado]]="Sí",IF(DATOS!AQ$4="Sí",(1/DATOS_[[% anualiz]:[% anualiz]]),1)*IF(DATOS!AQ$5="Sí",1/DATOS_[[% normaliz]:[% normaliz]],1)*(DATOS_[Conc.Sal.13])))))))), 0)</f>
        <v>0</v>
      </c>
      <c r="W31" s="302" t="n">
        <f aca="false" t="array" ref="W31:W31">IFERROR( (AVERAGE((IF(DATOS_[[Sexo]:[Sexo]]=$B31,IF(DATOS_[[AGRUP. CLAS. PROF.]:[AGRUP. CLAS. PROF.]]=$B30,IF(DATOS_[[Check Periodo Ref.]:[Check Periodo Ref.]]="Dentro",IF(DATOS_[[Check Equiparado]:[Check Equiparado]]="Sí",IF(DATOS!AR$4="Sí",(1/DATOS_[[% anualiz]:[% anualiz]]),1)*IF(DATOS!AR$5="Sí",1/DATOS_[[% normaliz]:[% normaliz]],1)*(DATOS_[Conc.Sal.14])))))))), 0)</f>
        <v>0</v>
      </c>
      <c r="X31" s="302" t="n">
        <f aca="false" t="array" ref="X31:X31">IFERROR( (AVERAGE((IF(DATOS_[[Sexo]:[Sexo]]=$B31,IF(DATOS_[[AGRUP. CLAS. PROF.]:[AGRUP. CLAS. PROF.]]=$B30,IF(DATOS_[[Check Periodo Ref.]:[Check Periodo Ref.]]="Dentro",IF(DATOS_[[Check Equiparado]:[Check Equiparado]]="Sí",IF(DATOS!AS$4="Sí",(1/DATOS_[[% anualiz]:[% anualiz]]),1)*IF(DATOS!AS$5="Sí",1/DATOS_[[% normaliz]:[% normaliz]],1)*(DATOS_[Conc.Sal.15])))))))), 0)</f>
        <v>0</v>
      </c>
      <c r="Y31" s="302" t="n">
        <f aca="false" t="array" ref="Y31:Y31">IFERROR( (AVERAGE((IF(DATOS_[[Sexo]:[Sexo]]=$B31,IF(DATOS_[[AGRUP. CLAS. PROF.]:[AGRUP. CLAS. PROF.]]=$B30,IF(DATOS_[[Check Periodo Ref.]:[Check Periodo Ref.]]="Dentro",IF(DATOS_[[Check Equiparado]:[Check Equiparado]]="Sí",IF(DATOS!AT$4="Sí",(1/DATOS_[[% anualiz]:[% anualiz]]),1)*IF(DATOS!AT$5="Sí",1/DATOS_[[% normaliz]:[% normaliz]],1)*(DATOS_[Conc.Sal.16])))))))), 0)</f>
        <v>0</v>
      </c>
      <c r="Z31" s="302" t="n">
        <f aca="false" t="array" ref="Z31:Z31">IFERROR( (AVERAGE((IF(DATOS_[[Sexo]:[Sexo]]=$B31,IF(DATOS_[[AGRUP. CLAS. PROF.]:[AGRUP. CLAS. PROF.]]=$B30,IF(DATOS_[[Check Periodo Ref.]:[Check Periodo Ref.]]="Dentro",IF(DATOS_[[Check Equiparado]:[Check Equiparado]]="Sí",IF(DATOS!AU$4="Sí",(1/DATOS_[[% anualiz]:[% anualiz]]),1)*IF(DATOS!AU$5="Sí",1/DATOS_[[% normaliz]:[% normaliz]],1)*(DATOS_[Conc.Sal.17])))))))), 0)</f>
        <v>0</v>
      </c>
      <c r="AA31" s="302" t="n">
        <f aca="false" t="array" ref="AA31:AA31">IFERROR( (AVERAGE((IF(DATOS_[[Sexo]:[Sexo]]=$B31,IF(DATOS_[[AGRUP. CLAS. PROF.]:[AGRUP. CLAS. PROF.]]=$B30,IF(DATOS_[[Check Periodo Ref.]:[Check Periodo Ref.]]="Dentro",IF(DATOS_[[Check Equiparado]:[Check Equiparado]]="Sí",IF(DATOS!AV$4="Sí",(1/DATOS_[[% anualiz]:[% anualiz]]),1)*IF(DATOS!AV$5="Sí",1/DATOS_[[% normaliz]:[% normaliz]],1)*(DATOS_[Conc.Sal.18])))))))), 0)</f>
        <v>0</v>
      </c>
      <c r="AB31" s="302" t="n">
        <f aca="false" t="array" ref="AB31:AB31">IFERROR( (AVERAGE((IF(DATOS_[[Sexo]:[Sexo]]=$B31,IF(DATOS_[[AGRUP. CLAS. PROF.]:[AGRUP. CLAS. PROF.]]=$B30,IF(DATOS_[[Check Periodo Ref.]:[Check Periodo Ref.]]="Dentro",IF(DATOS_[[Check Equiparado]:[Check Equiparado]]="Sí",IF(DATOS!AW$4="Sí",(1/DATOS_[[% anualiz]:[% anualiz]]),1)*IF(DATOS!AW$5="Sí",1/DATOS_[[% normaliz]:[% normaliz]],1)*(DATOS_[Conc.Sal.19])))))))), 0)</f>
        <v>0</v>
      </c>
      <c r="AC31" s="302" t="n">
        <f aca="false" t="array" ref="AC31:AC31">IFERROR( (AVERAGE((IF(DATOS_[[Sexo]:[Sexo]]=$B31,IF(DATOS_[[AGRUP. CLAS. PROF.]:[AGRUP. CLAS. PROF.]]=$B30,IF(DATOS_[[Check Periodo Ref.]:[Check Periodo Ref.]]="Dentro",IF(DATOS_[[Check Equiparado]:[Check Equiparado]]="Sí",IF(DATOS!AX$4="Sí",(1/DATOS_[[% anualiz]:[% anualiz]]),1)*IF(DATOS!AX$5="Sí",1/DATOS_[[% normaliz]:[% normaliz]],1)*(DATOS_[Conc.Sal.20])))))))), 0)</f>
        <v>0</v>
      </c>
      <c r="AD31" s="302" t="n">
        <f aca="false" t="array" ref="AD31:AD31">IFERROR( (AVERAGE((IF(DATOS_[[Sexo]:[Sexo]]=$B31,IF(DATOS_[[AGRUP. CLAS. PROF.]:[AGRUP. CLAS. PROF.]]=$B30,IF(DATOS_[[Check Periodo Ref.]:[Check Periodo Ref.]]="Dentro",IF(DATOS_[[Check Equiparado]:[Check Equiparado]]="Sí",IF(DATOS!AY$4="Sí",(1/DATOS_[[% anualiz]:[% anualiz]]),1)*IF(DATOS!AY$5="Sí",1/DATOS_[[% normaliz]:[% normaliz]],1)*(DATOS_[Conc.Sal.21])))))))), 0)</f>
        <v>0</v>
      </c>
      <c r="AE31" s="302" t="n">
        <f aca="false" t="array" ref="AE31:AE31">IFERROR( (AVERAGE((IF(DATOS_[[Sexo]:[Sexo]]=$B31,IF(DATOS_[[AGRUP. CLAS. PROF.]:[AGRUP. CLAS. PROF.]]=$B30,IF(DATOS_[[Check Periodo Ref.]:[Check Periodo Ref.]]="Dentro",IF(DATOS_[[Check Equiparado]:[Check Equiparado]]="Sí",IF(DATOS!AZ$4="Sí",(1/DATOS_[[% anualiz]:[% anualiz]]),1)*IF(DATOS!AZ$5="Sí",1/DATOS_[[% normaliz]:[% normaliz]],1)*(DATOS_[Conc.Sal.22])))))))), 0)</f>
        <v>0</v>
      </c>
      <c r="AF31" s="302" t="n">
        <f aca="false" t="array" ref="AF31:AF31">IFERROR( (AVERAGE((IF(DATOS_[[Sexo]:[Sexo]]=$B31,IF(DATOS_[[AGRUP. CLAS. PROF.]:[AGRUP. CLAS. PROF.]]=$B30,IF(DATOS_[[Check Periodo Ref.]:[Check Periodo Ref.]]="Dentro",IF(DATOS_[[Check Equiparado]:[Check Equiparado]]="Sí",IF(DATOS!BA$4="Sí",(1/DATOS_[[% anualiz]:[% anualiz]]),1)*IF(DATOS!BA$5="Sí",1/DATOS_[[% normaliz]:[% normaliz]],1)*(DATOS_[Conc.Sal.23])))))))), 0)</f>
        <v>0</v>
      </c>
      <c r="AG31" s="302" t="n">
        <f aca="false" t="array" ref="AG31:AG31">IFERROR( (AVERAGE((IF(DATOS_[[Sexo]:[Sexo]]=$B31,IF(DATOS_[[AGRUP. CLAS. PROF.]:[AGRUP. CLAS. PROF.]]=$B30,IF(DATOS_[[Check Periodo Ref.]:[Check Periodo Ref.]]="Dentro",IF(DATOS_[[Check Equiparado]:[Check Equiparado]]="Sí",IF(DATOS!BB$4="Sí",(1/DATOS_[[% anualiz]:[% anualiz]]),1)*IF(DATOS!BB$5="Sí",1/DATOS_[[% normaliz]:[% normaliz]],1)*(DATOS_[Conc.Sal.24])))))))), 0)</f>
        <v>0</v>
      </c>
      <c r="AH31" s="302" t="n">
        <f aca="false" t="array" ref="AH31:AH31">IFERROR( (AVERAGE((IF(DATOS_[[Sexo]:[Sexo]]=$B31,IF(DATOS_[[AGRUP. CLAS. PROF.]:[AGRUP. CLAS. PROF.]]=$B30,IF(DATOS_[[Check Periodo Ref.]:[Check Periodo Ref.]]="Dentro",IF(DATOS_[[Check Equiparado]:[Check Equiparado]]="Sí",IF(DATOS!BC$4="Sí",(1/DATOS_[[% anualiz]:[% anualiz]]),1)*IF(DATOS!BC$5="Sí",1/DATOS_[[% normaliz]:[% normaliz]],1)*(DATOS_[Conc.Sal.25])))))))), 0)</f>
        <v>0</v>
      </c>
      <c r="AI31" s="302" t="n">
        <f aca="false" t="array" ref="AI31:AI31">IFERROR( (AVERAGE((IF(DATOS_[[Sexo]:[Sexo]]=$B31,IF(DATOS_[[AGRUP. CLAS. PROF.]:[AGRUP. CLAS. PROF.]]=$B30,IF(DATOS_[[Check Periodo Ref.]:[Check Periodo Ref.]]="Dentro",IF(DATOS_[[Check Equiparado]:[Check Equiparado]]="Sí",IF(DATOS!BD$4="Sí",(1/DATOS_[[% anualiz]:[% anualiz]]),1)*IF(DATOS!BD$5="Sí",1/DATOS_[[% normaliz]:[% normaliz]],1)*(DATOS_[Conc.Sal.26])))))))), 0)</f>
        <v>0</v>
      </c>
      <c r="AJ31" s="302" t="n">
        <f aca="false" t="array" ref="AJ31:AJ31">IFERROR( (AVERAGE((IF(DATOS_[[Sexo]:[Sexo]]=$B31,IF(DATOS_[[AGRUP. CLAS. PROF.]:[AGRUP. CLAS. PROF.]]=$B30,IF(DATOS_[[Check Periodo Ref.]:[Check Periodo Ref.]]="Dentro",IF(DATOS_[[Check Equiparado]:[Check Equiparado]]="Sí",IF(DATOS!BE$4="Sí",(1/DATOS_[[% anualiz]:[% anualiz]]),1)*IF(DATOS!BE$5="Sí",1/DATOS_[[% normaliz]:[% normaliz]],1)*(DATOS_[Conc.Sal.27])))))))), 0)</f>
        <v>0</v>
      </c>
      <c r="AK31" s="302" t="n">
        <f aca="false" t="array" ref="AK31:AK31">IFERROR( (AVERAGE((IF(DATOS_[[Sexo]:[Sexo]]=$B31,IF(DATOS_[[AGRUP. CLAS. PROF.]:[AGRUP. CLAS. PROF.]]=$B30,IF(DATOS_[[Check Periodo Ref.]:[Check Periodo Ref.]]="Dentro",IF(DATOS_[[Check Equiparado]:[Check Equiparado]]="Sí",IF(DATOS!BF$4="Sí",(1/DATOS_[[% anualiz]:[% anualiz]]),1)*IF(DATOS!BF$5="Sí",1/DATOS_[[% normaliz]:[% normaliz]],1)*(DATOS_[Conc.Sal.28])))))))), 0)</f>
        <v>0</v>
      </c>
      <c r="AL31" s="302" t="n">
        <f aca="false" t="array" ref="AL31:AL31">IFERROR( (AVERAGE((IF(DATOS_[[Sexo]:[Sexo]]=$B31,IF(DATOS_[[AGRUP. CLAS. PROF.]:[AGRUP. CLAS. PROF.]]=$B30,IF(DATOS_[[Check Periodo Ref.]:[Check Periodo Ref.]]="Dentro",IF(DATOS_[[Check Equiparado]:[Check Equiparado]]="Sí",IF(DATOS!BG$4="Sí",(1/DATOS_[[% anualiz]:[% anualiz]]),1)*IF(DATOS!BG$5="Sí",1/DATOS_[[% normaliz]:[% normaliz]],1)*(DATOS_[Conc.Sal.29])))))))), 0)</f>
        <v>0</v>
      </c>
      <c r="AM31" s="302" t="n">
        <f aca="false" t="array" ref="AM31:AM31">IFERROR( (AVERAGE((IF(DATOS_[[Sexo]:[Sexo]]=$B31,IF(DATOS_[[AGRUP. CLAS. PROF.]:[AGRUP. CLAS. PROF.]]=$B30,IF(DATOS_[[Check Periodo Ref.]:[Check Periodo Ref.]]="Dentro",IF(DATOS_[[Check Equiparado]:[Check Equiparado]]="Sí",IF(DATOS!BH$4="Sí",(1/DATOS_[[% anualiz]:[% anualiz]]),1)*IF(DATOS!BH$5="Sí",1/DATOS_[[% normaliz]:[% normaliz]],1)*(DATOS_[Conc.Sal.30])))))))), 0)</f>
        <v>0</v>
      </c>
      <c r="AN31" s="294" t="n">
        <f aca="false" t="array" ref="AN31:AN31">IFERROR( AVERAGE(IF(DATOS_[Sexo]=$B31,IF(DATOS_[[AGRUP. CLAS. PROF.]:[AGRUP. CLAS. PROF.]]=$B30,IF(DATOS_[Check Equiparado]="Sí",IF(DATOS_[Check Periodo Ref.]="Dentro",DATOS_[Tot COMPL.SAL Eq],0))))), 0)</f>
        <v>0</v>
      </c>
      <c r="AO31" s="295" t="n">
        <f aca="false" t="array" ref="AO31:AO31">IFERROR( AVERAGE(IF(DATOS_[Sexo]=$B31,IF(DATOS_[[AGRUP. CLAS. PROF.]:[AGRUP. CLAS. PROF.]]=$B30,IF(DATOS_[Check Equiparado]="Sí",IF(DATOS_[Check Periodo Ref.]="Dentro",DATOS_[TOTAL SALARIO Eq],0))))), 0)</f>
        <v>0</v>
      </c>
      <c r="AP31" s="303" t="n">
        <f aca="false" t="array" ref="AP31:AP31">IFERROR( (AVERAGE((IF(DATOS_[[Sexo]:[Sexo]]=$B31,IF(DATOS_[[AGRUP. CLAS. PROF.]:[AGRUP. CLAS. PROF.]]=$B30,IF(DATOS_[[Check Periodo Ref.]:[Check Periodo Ref.]]="Dentro",IF(DATOS_[[Check Equiparado]:[Check Equiparado]]="Sí",IF(DATOS!BI$4="Sí",(1/DATOS_[[% anualiz]:[% anualiz]]),1)*IF(DATOS!BI$5="Sí",1/DATOS_[[% normaliz]:[% normaliz]],1)*(DATOS_[C.Extra.01])))))))), 0)</f>
        <v>0</v>
      </c>
      <c r="AQ31" s="303" t="n">
        <f aca="false" t="array" ref="AQ31:AQ31">IFERROR( (AVERAGE((IF(DATOS_[[Sexo]:[Sexo]]=$B31,IF(DATOS_[[AGRUP. CLAS. PROF.]:[AGRUP. CLAS. PROF.]]=$B30,IF(DATOS_[[Check Periodo Ref.]:[Check Periodo Ref.]]="Dentro",IF(DATOS_[[Check Equiparado]:[Check Equiparado]]="Sí",IF(DATOS!BJ$4="Sí",(1/DATOS_[[% anualiz]:[% anualiz]]),1)*IF(DATOS!BJ$5="Sí",1/DATOS_[[% normaliz]:[% normaliz]],1)*(DATOS_[C.Extra.02])))))))), 0)</f>
        <v>0</v>
      </c>
      <c r="AR31" s="303" t="n">
        <f aca="false" t="array" ref="AR31:AR31">IFERROR( (AVERAGE((IF(DATOS_[[Sexo]:[Sexo]]=$B31,IF(DATOS_[[AGRUP. CLAS. PROF.]:[AGRUP. CLAS. PROF.]]=$B30,IF(DATOS_[[Check Periodo Ref.]:[Check Periodo Ref.]]="Dentro",IF(DATOS_[[Check Equiparado]:[Check Equiparado]]="Sí",IF(DATOS!BK$4="Sí",(1/DATOS_[[% anualiz]:[% anualiz]]),1)*IF(DATOS!BK$5="Sí",1/DATOS_[[% normaliz]:[% normaliz]],1)*(DATOS_[C.Extra.03])))))))), 0)</f>
        <v>0</v>
      </c>
      <c r="AS31" s="303" t="n">
        <f aca="false" t="array" ref="AS31:AS31">IFERROR( (AVERAGE((IF(DATOS_[[Sexo]:[Sexo]]=$B31,IF(DATOS_[[AGRUP. CLAS. PROF.]:[AGRUP. CLAS. PROF.]]=$B30,IF(DATOS_[[Check Periodo Ref.]:[Check Periodo Ref.]]="Dentro",IF(DATOS_[[Check Equiparado]:[Check Equiparado]]="Sí",IF(DATOS!BL$4="Sí",(1/DATOS_[[% anualiz]:[% anualiz]]),1)*IF(DATOS!BL$5="Sí",1/DATOS_[[% normaliz]:[% normaliz]],1)*(DATOS_[C.Extra.04])))))))), 0)</f>
        <v>0</v>
      </c>
      <c r="AT31" s="303" t="n">
        <f aca="false" t="array" ref="AT31:AT31">IFERROR( (AVERAGE((IF(DATOS_[[Sexo]:[Sexo]]=$B31,IF(DATOS_[[AGRUP. CLAS. PROF.]:[AGRUP. CLAS. PROF.]]=$B30,IF(DATOS_[[Check Periodo Ref.]:[Check Periodo Ref.]]="Dentro",IF(DATOS_[[Check Equiparado]:[Check Equiparado]]="Sí",IF(DATOS!BM$4="Sí",(1/DATOS_[[% anualiz]:[% anualiz]]),1)*IF(DATOS!BM$5="Sí",1/DATOS_[[% normaliz]:[% normaliz]],1)*(DATOS_[C.Extra.05])))))))), 0)</f>
        <v>0</v>
      </c>
      <c r="AU31" s="297" t="n">
        <f aca="false" t="array" ref="AU31:AU31">IFERROR( AVERAGE(IF(DATOS_[Sexo]=$B31,IF(DATOS_[[AGRUP. CLAS. PROF.]:[AGRUP. CLAS. PROF.]]=$B30,IF(DATOS_[Check Equiparado]="Sí",IF(DATOS_[Check Periodo Ref.]="Dentro",DATOS_[Tot Extrasalarial Eq],0))))), 0)</f>
        <v>0</v>
      </c>
      <c r="AV31" s="298" t="n">
        <f aca="false" t="array" ref="AV31:AV31">IFERROR( AVERAGE(IF(DATOS_[Sexo]=$B31,IF(DATOS_[[AGRUP. CLAS. PROF.]:[AGRUP. CLAS. PROF.]]=$B30,IF(DATOS_[Check Equiparado]="Sí",IF(DATOS_[Check Periodo Ref.]="Dentro",DATOS_[TOTAL Retrib Eq],0))))), 0)</f>
        <v>0</v>
      </c>
    </row>
    <row r="32" customFormat="false" ht="14.25" hidden="false" customHeight="false" outlineLevel="0" collapsed="false">
      <c r="A32" s="166" t="str">
        <f aca="false">+A31</f>
        <v>[ocultar]</v>
      </c>
      <c r="B32" s="289" t="s">
        <v>372</v>
      </c>
      <c r="C32" s="290" t="n">
        <f aca="false" t="array" ref="C32:C32">SUM(IF($B32=DATOS_[Sexo], IF($B30=DATOS_[AGRUP. CLAS. PROF.], IF("Dentro"=DATOS_[Check Periodo Ref.], 1/(COUNTIFS(DATOS_[Sexo],$B32,DATOS_[AGRUP. CLAS. PROF.],$B30,DATOS_[Check Periodo Ref.],"Dentro",DATOS_[id],DATOS_[id]))))))</f>
        <v>0</v>
      </c>
      <c r="D32" s="291" t="n">
        <f aca="false">COUNTIFS(DATOS_[AGRUP. CLAS. PROF.],$B30,DATOS_[Sexo],$B32,DATOS_[Check Periodo Ref.],"Dentro")</f>
        <v>0</v>
      </c>
      <c r="E32" s="291" t="n">
        <f aca="false">COUNTIFS(DATOS_[AGRUP. CLAS. PROF.],$B30,DATOS_[Sexo],$B32,DATOS_[Check Periodo Ref.],"Dentro",DATOS_[Check Nº SC Norm],"Sí")</f>
        <v>0</v>
      </c>
      <c r="F32" s="291" t="n">
        <f aca="false">COUNTIFS(DATOS_[AGRUP. CLAS. PROF.],$B30,DATOS_[Sexo],$B32,DATOS_[Check Periodo Ref.],"Dentro",DATOS_[Check Nº SC Anualiz],"Sí")</f>
        <v>0</v>
      </c>
      <c r="G32" s="291" t="n">
        <f aca="false">COUNTIFS(DATOS_[AGRUP. CLAS. PROF.],$B30,DATOS_[Sexo],$B32,DATOS_[Check Periodo Ref.],"Dentro",DATOS_[Check Nº SC Norm y Anualiz],"Sí")</f>
        <v>0</v>
      </c>
      <c r="H32" s="291" t="n">
        <f aca="false">COUNTIFS(DATOS_[AGRUP. CLAS. PROF.],$B30,DATOS_[Sexo],$B32,DATOS_[Check Periodo Ref.],"Dentro",DATOS_[Check Equiparación],"Sí")</f>
        <v>0</v>
      </c>
      <c r="I32" s="292" t="n">
        <f aca="false" t="array" ref="I32:I32">IFERROR( AVERAGE(IF(DATOS_[Sexo]=$B32,IF(DATOS_[[AGRUP. CLAS. PROF.]:[AGRUP. CLAS. PROF.]]=$B30,IF(DATOS_[Check Equiparado]="Sí",IF(DATOS_[Check Periodo Ref.]="Dentro",DATOS_[SALARIO BASE Eq],0))))), 0)</f>
        <v>0</v>
      </c>
      <c r="J32" s="302" t="n">
        <f aca="false" t="array" ref="J32:J32">IFERROR( (AVERAGE((IF(DATOS_[[Sexo]:[Sexo]]=$B32,IF(DATOS_[[AGRUP. CLAS. PROF.]:[AGRUP. CLAS. PROF.]]=$B30,IF(DATOS_[[Check Periodo Ref.]:[Check Periodo Ref.]]="Dentro",IF(DATOS_[[Check Equiparado]:[Check Equiparado]]="Sí",IF(DATOS!AE$4="Sí",(1/DATOS_[[% anualiz]:[% anualiz]]),1)*IF(DATOS!AE$5="Sí",1/DATOS_[[% normaliz]:[% normaliz]],1)*(DATOS_[Conc.Sal.01])))))))), 0)</f>
        <v>0</v>
      </c>
      <c r="K32" s="302" t="n">
        <f aca="false" t="array" ref="K32:K32">IFERROR( (AVERAGE((IF(DATOS_[[Sexo]:[Sexo]]=$B32,IF(DATOS_[[AGRUP. CLAS. PROF.]:[AGRUP. CLAS. PROF.]]=$B30,IF(DATOS_[[Check Periodo Ref.]:[Check Periodo Ref.]]="Dentro",IF(DATOS_[[Check Equiparado]:[Check Equiparado]]="Sí",IF(DATOS!AF$4="Sí",(1/DATOS_[[% anualiz]:[% anualiz]]),1)*IF(DATOS!AF$5="Sí",1/DATOS_[[% normaliz]:[% normaliz]],1)*(DATOS_[Conc.Sal.02])))))))), 0)</f>
        <v>0</v>
      </c>
      <c r="L32" s="302" t="n">
        <f aca="false" t="array" ref="L32:L32">IFERROR( (AVERAGE((IF(DATOS_[[Sexo]:[Sexo]]=$B32,IF(DATOS_[[AGRUP. CLAS. PROF.]:[AGRUP. CLAS. PROF.]]=$B30,IF(DATOS_[[Check Periodo Ref.]:[Check Periodo Ref.]]="Dentro",IF(DATOS_[[Check Equiparado]:[Check Equiparado]]="Sí",IF(DATOS!AG$4="Sí",(1/DATOS_[[% anualiz]:[% anualiz]]),1)*IF(DATOS!AG$5="Sí",1/DATOS_[[% normaliz]:[% normaliz]],1)*(DATOS_[Conc.Sal.03])))))))), 0)</f>
        <v>0</v>
      </c>
      <c r="M32" s="302" t="n">
        <f aca="false" t="array" ref="M32:M32">IFERROR( (AVERAGE((IF(DATOS_[[Sexo]:[Sexo]]=$B32,IF(DATOS_[[AGRUP. CLAS. PROF.]:[AGRUP. CLAS. PROF.]]=$B30,IF(DATOS_[[Check Periodo Ref.]:[Check Periodo Ref.]]="Dentro",IF(DATOS_[[Check Equiparado]:[Check Equiparado]]="Sí",IF(DATOS!AH$4="Sí",(1/DATOS_[[% anualiz]:[% anualiz]]),1)*IF(DATOS!AH$5="Sí",1/DATOS_[[% normaliz]:[% normaliz]],1)*(DATOS_[Conc.Sal.04])))))))), 0)</f>
        <v>0</v>
      </c>
      <c r="N32" s="302" t="n">
        <f aca="false" t="array" ref="N32:N32">IFERROR( (AVERAGE((IF(DATOS_[[Sexo]:[Sexo]]=$B32,IF(DATOS_[[AGRUP. CLAS. PROF.]:[AGRUP. CLAS. PROF.]]=$B30,IF(DATOS_[[Check Periodo Ref.]:[Check Periodo Ref.]]="Dentro",IF(DATOS_[[Check Equiparado]:[Check Equiparado]]="Sí",IF(DATOS!AI$4="Sí",(1/DATOS_[[% anualiz]:[% anualiz]]),1)*IF(DATOS!AI$5="Sí",1/DATOS_[[% normaliz]:[% normaliz]],1)*(DATOS_[Conc.Sal.05])))))))), 0)</f>
        <v>0</v>
      </c>
      <c r="O32" s="302" t="n">
        <f aca="false" t="array" ref="O32:O32">IFERROR( (AVERAGE((IF(DATOS_[[Sexo]:[Sexo]]=$B32,IF(DATOS_[[AGRUP. CLAS. PROF.]:[AGRUP. CLAS. PROF.]]=$B30,IF(DATOS_[[Check Periodo Ref.]:[Check Periodo Ref.]]="Dentro",IF(DATOS_[[Check Equiparado]:[Check Equiparado]]="Sí",IF(DATOS!AJ$4="Sí",(1/DATOS_[[% anualiz]:[% anualiz]]),1)*IF(DATOS!AJ$5="Sí",1/DATOS_[[% normaliz]:[% normaliz]],1)*(DATOS_[Conc.Sal.06])))))))), 0)</f>
        <v>0</v>
      </c>
      <c r="P32" s="302" t="n">
        <f aca="false" t="array" ref="P32:P32">IFERROR( (AVERAGE((IF(DATOS_[[Sexo]:[Sexo]]=$B32,IF(DATOS_[[AGRUP. CLAS. PROF.]:[AGRUP. CLAS. PROF.]]=$B30,IF(DATOS_[[Check Periodo Ref.]:[Check Periodo Ref.]]="Dentro",IF(DATOS_[[Check Equiparado]:[Check Equiparado]]="Sí",IF(DATOS!AK$4="Sí",(1/DATOS_[[% anualiz]:[% anualiz]]),1)*IF(DATOS!AK$5="Sí",1/DATOS_[[% normaliz]:[% normaliz]],1)*(DATOS_[Conc.Sal.07])))))))), 0)</f>
        <v>0</v>
      </c>
      <c r="Q32" s="302" t="n">
        <f aca="false" t="array" ref="Q32:Q32">IFERROR( (AVERAGE((IF(DATOS_[[Sexo]:[Sexo]]=$B32,IF(DATOS_[[AGRUP. CLAS. PROF.]:[AGRUP. CLAS. PROF.]]=$B30,IF(DATOS_[[Check Periodo Ref.]:[Check Periodo Ref.]]="Dentro",IF(DATOS_[[Check Equiparado]:[Check Equiparado]]="Sí",IF(DATOS!AL$4="Sí",(1/DATOS_[[% anualiz]:[% anualiz]]),1)*IF(DATOS!AL$5="Sí",1/DATOS_[[% normaliz]:[% normaliz]],1)*(DATOS_[Conc.Sal.08])))))))), 0)</f>
        <v>0</v>
      </c>
      <c r="R32" s="302" t="n">
        <f aca="false" t="array" ref="R32:R32">IFERROR( (AVERAGE((IF(DATOS_[[Sexo]:[Sexo]]=$B32,IF(DATOS_[[AGRUP. CLAS. PROF.]:[AGRUP. CLAS. PROF.]]=$B30,IF(DATOS_[[Check Periodo Ref.]:[Check Periodo Ref.]]="Dentro",IF(DATOS_[[Check Equiparado]:[Check Equiparado]]="Sí",IF(DATOS!AM$4="Sí",(1/DATOS_[[% anualiz]:[% anualiz]]),1)*IF(DATOS!AM$5="Sí",1/DATOS_[[% normaliz]:[% normaliz]],1)*(DATOS_[Conc.Sal.09])))))))), 0)</f>
        <v>0</v>
      </c>
      <c r="S32" s="302" t="n">
        <f aca="false" t="array" ref="S32:S32">IFERROR( (AVERAGE((IF(DATOS_[[Sexo]:[Sexo]]=$B32,IF(DATOS_[[AGRUP. CLAS. PROF.]:[AGRUP. CLAS. PROF.]]=$B30,IF(DATOS_[[Check Periodo Ref.]:[Check Periodo Ref.]]="Dentro",IF(DATOS_[[Check Equiparado]:[Check Equiparado]]="Sí",IF(DATOS!AN$4="Sí",(1/DATOS_[[% anualiz]:[% anualiz]]),1)*IF(DATOS!AN$5="Sí",1/DATOS_[[% normaliz]:[% normaliz]],1)*(DATOS_[Conc.Sal.10])))))))), 0)</f>
        <v>0</v>
      </c>
      <c r="T32" s="302" t="n">
        <f aca="false" t="array" ref="T32:T32">IFERROR( (AVERAGE((IF(DATOS_[[Sexo]:[Sexo]]=$B32,IF(DATOS_[[AGRUP. CLAS. PROF.]:[AGRUP. CLAS. PROF.]]=$B30,IF(DATOS_[[Check Periodo Ref.]:[Check Periodo Ref.]]="Dentro",IF(DATOS_[[Check Equiparado]:[Check Equiparado]]="Sí",IF(DATOS!AO$4="Sí",(1/DATOS_[[% anualiz]:[% anualiz]]),1)*IF(DATOS!AO$5="Sí",1/DATOS_[[% normaliz]:[% normaliz]],1)*(DATOS_[Conc.Sal.11])))))))), 0)</f>
        <v>0</v>
      </c>
      <c r="U32" s="302" t="n">
        <f aca="false" t="array" ref="U32:U32">IFERROR( (AVERAGE((IF(DATOS_[[Sexo]:[Sexo]]=$B32,IF(DATOS_[[AGRUP. CLAS. PROF.]:[AGRUP. CLAS. PROF.]]=$B30,IF(DATOS_[[Check Periodo Ref.]:[Check Periodo Ref.]]="Dentro",IF(DATOS_[[Check Equiparado]:[Check Equiparado]]="Sí",IF(DATOS!AP$4="Sí",(1/DATOS_[[% anualiz]:[% anualiz]]),1)*IF(DATOS!AP$5="Sí",1/DATOS_[[% normaliz]:[% normaliz]],1)*(DATOS_[Conc.Sal.12])))))))), 0)</f>
        <v>0</v>
      </c>
      <c r="V32" s="302" t="n">
        <f aca="false" t="array" ref="V32:V32">IFERROR( (AVERAGE((IF(DATOS_[[Sexo]:[Sexo]]=$B32,IF(DATOS_[[AGRUP. CLAS. PROF.]:[AGRUP. CLAS. PROF.]]=$B30,IF(DATOS_[[Check Periodo Ref.]:[Check Periodo Ref.]]="Dentro",IF(DATOS_[[Check Equiparado]:[Check Equiparado]]="Sí",IF(DATOS!AQ$4="Sí",(1/DATOS_[[% anualiz]:[% anualiz]]),1)*IF(DATOS!AQ$5="Sí",1/DATOS_[[% normaliz]:[% normaliz]],1)*(DATOS_[Conc.Sal.13])))))))), 0)</f>
        <v>0</v>
      </c>
      <c r="W32" s="302" t="n">
        <f aca="false" t="array" ref="W32:W32">IFERROR( (AVERAGE((IF(DATOS_[[Sexo]:[Sexo]]=$B32,IF(DATOS_[[AGRUP. CLAS. PROF.]:[AGRUP. CLAS. PROF.]]=$B30,IF(DATOS_[[Check Periodo Ref.]:[Check Periodo Ref.]]="Dentro",IF(DATOS_[[Check Equiparado]:[Check Equiparado]]="Sí",IF(DATOS!AR$4="Sí",(1/DATOS_[[% anualiz]:[% anualiz]]),1)*IF(DATOS!AR$5="Sí",1/DATOS_[[% normaliz]:[% normaliz]],1)*(DATOS_[Conc.Sal.14])))))))), 0)</f>
        <v>0</v>
      </c>
      <c r="X32" s="302" t="n">
        <f aca="false" t="array" ref="X32:X32">IFERROR( (AVERAGE((IF(DATOS_[[Sexo]:[Sexo]]=$B32,IF(DATOS_[[AGRUP. CLAS. PROF.]:[AGRUP. CLAS. PROF.]]=$B30,IF(DATOS_[[Check Periodo Ref.]:[Check Periodo Ref.]]="Dentro",IF(DATOS_[[Check Equiparado]:[Check Equiparado]]="Sí",IF(DATOS!AS$4="Sí",(1/DATOS_[[% anualiz]:[% anualiz]]),1)*IF(DATOS!AS$5="Sí",1/DATOS_[[% normaliz]:[% normaliz]],1)*(DATOS_[Conc.Sal.15])))))))), 0)</f>
        <v>0</v>
      </c>
      <c r="Y32" s="302" t="n">
        <f aca="false" t="array" ref="Y32:Y32">IFERROR( (AVERAGE((IF(DATOS_[[Sexo]:[Sexo]]=$B32,IF(DATOS_[[AGRUP. CLAS. PROF.]:[AGRUP. CLAS. PROF.]]=$B30,IF(DATOS_[[Check Periodo Ref.]:[Check Periodo Ref.]]="Dentro",IF(DATOS_[[Check Equiparado]:[Check Equiparado]]="Sí",IF(DATOS!AT$4="Sí",(1/DATOS_[[% anualiz]:[% anualiz]]),1)*IF(DATOS!AT$5="Sí",1/DATOS_[[% normaliz]:[% normaliz]],1)*(DATOS_[Conc.Sal.16])))))))), 0)</f>
        <v>0</v>
      </c>
      <c r="Z32" s="302" t="n">
        <f aca="false" t="array" ref="Z32:Z32">IFERROR( (AVERAGE((IF(DATOS_[[Sexo]:[Sexo]]=$B32,IF(DATOS_[[AGRUP. CLAS. PROF.]:[AGRUP. CLAS. PROF.]]=$B30,IF(DATOS_[[Check Periodo Ref.]:[Check Periodo Ref.]]="Dentro",IF(DATOS_[[Check Equiparado]:[Check Equiparado]]="Sí",IF(DATOS!AU$4="Sí",(1/DATOS_[[% anualiz]:[% anualiz]]),1)*IF(DATOS!AU$5="Sí",1/DATOS_[[% normaliz]:[% normaliz]],1)*(DATOS_[Conc.Sal.17])))))))), 0)</f>
        <v>0</v>
      </c>
      <c r="AA32" s="302" t="n">
        <f aca="false" t="array" ref="AA32:AA32">IFERROR( (AVERAGE((IF(DATOS_[[Sexo]:[Sexo]]=$B32,IF(DATOS_[[AGRUP. CLAS. PROF.]:[AGRUP. CLAS. PROF.]]=$B30,IF(DATOS_[[Check Periodo Ref.]:[Check Periodo Ref.]]="Dentro",IF(DATOS_[[Check Equiparado]:[Check Equiparado]]="Sí",IF(DATOS!AV$4="Sí",(1/DATOS_[[% anualiz]:[% anualiz]]),1)*IF(DATOS!AV$5="Sí",1/DATOS_[[% normaliz]:[% normaliz]],1)*(DATOS_[Conc.Sal.18])))))))), 0)</f>
        <v>0</v>
      </c>
      <c r="AB32" s="302" t="n">
        <f aca="false" t="array" ref="AB32:AB32">IFERROR( (AVERAGE((IF(DATOS_[[Sexo]:[Sexo]]=$B32,IF(DATOS_[[AGRUP. CLAS. PROF.]:[AGRUP. CLAS. PROF.]]=$B30,IF(DATOS_[[Check Periodo Ref.]:[Check Periodo Ref.]]="Dentro",IF(DATOS_[[Check Equiparado]:[Check Equiparado]]="Sí",IF(DATOS!AW$4="Sí",(1/DATOS_[[% anualiz]:[% anualiz]]),1)*IF(DATOS!AW$5="Sí",1/DATOS_[[% normaliz]:[% normaliz]],1)*(DATOS_[Conc.Sal.19])))))))), 0)</f>
        <v>0</v>
      </c>
      <c r="AC32" s="302" t="n">
        <f aca="false" t="array" ref="AC32:AC32">IFERROR( (AVERAGE((IF(DATOS_[[Sexo]:[Sexo]]=$B32,IF(DATOS_[[AGRUP. CLAS. PROF.]:[AGRUP. CLAS. PROF.]]=$B30,IF(DATOS_[[Check Periodo Ref.]:[Check Periodo Ref.]]="Dentro",IF(DATOS_[[Check Equiparado]:[Check Equiparado]]="Sí",IF(DATOS!AX$4="Sí",(1/DATOS_[[% anualiz]:[% anualiz]]),1)*IF(DATOS!AX$5="Sí",1/DATOS_[[% normaliz]:[% normaliz]],1)*(DATOS_[Conc.Sal.20])))))))), 0)</f>
        <v>0</v>
      </c>
      <c r="AD32" s="302" t="n">
        <f aca="false" t="array" ref="AD32:AD32">IFERROR( (AVERAGE((IF(DATOS_[[Sexo]:[Sexo]]=$B32,IF(DATOS_[[AGRUP. CLAS. PROF.]:[AGRUP. CLAS. PROF.]]=$B30,IF(DATOS_[[Check Periodo Ref.]:[Check Periodo Ref.]]="Dentro",IF(DATOS_[[Check Equiparado]:[Check Equiparado]]="Sí",IF(DATOS!AY$4="Sí",(1/DATOS_[[% anualiz]:[% anualiz]]),1)*IF(DATOS!AY$5="Sí",1/DATOS_[[% normaliz]:[% normaliz]],1)*(DATOS_[Conc.Sal.21])))))))), 0)</f>
        <v>0</v>
      </c>
      <c r="AE32" s="302" t="n">
        <f aca="false" t="array" ref="AE32:AE32">IFERROR( (AVERAGE((IF(DATOS_[[Sexo]:[Sexo]]=$B32,IF(DATOS_[[AGRUP. CLAS. PROF.]:[AGRUP. CLAS. PROF.]]=$B30,IF(DATOS_[[Check Periodo Ref.]:[Check Periodo Ref.]]="Dentro",IF(DATOS_[[Check Equiparado]:[Check Equiparado]]="Sí",IF(DATOS!AZ$4="Sí",(1/DATOS_[[% anualiz]:[% anualiz]]),1)*IF(DATOS!AZ$5="Sí",1/DATOS_[[% normaliz]:[% normaliz]],1)*(DATOS_[Conc.Sal.22])))))))), 0)</f>
        <v>0</v>
      </c>
      <c r="AF32" s="302" t="n">
        <f aca="false" t="array" ref="AF32:AF32">IFERROR( (AVERAGE((IF(DATOS_[[Sexo]:[Sexo]]=$B32,IF(DATOS_[[AGRUP. CLAS. PROF.]:[AGRUP. CLAS. PROF.]]=$B30,IF(DATOS_[[Check Periodo Ref.]:[Check Periodo Ref.]]="Dentro",IF(DATOS_[[Check Equiparado]:[Check Equiparado]]="Sí",IF(DATOS!BA$4="Sí",(1/DATOS_[[% anualiz]:[% anualiz]]),1)*IF(DATOS!BA$5="Sí",1/DATOS_[[% normaliz]:[% normaliz]],1)*(DATOS_[Conc.Sal.23])))))))), 0)</f>
        <v>0</v>
      </c>
      <c r="AG32" s="302" t="n">
        <f aca="false" t="array" ref="AG32:AG32">IFERROR( (AVERAGE((IF(DATOS_[[Sexo]:[Sexo]]=$B32,IF(DATOS_[[AGRUP. CLAS. PROF.]:[AGRUP. CLAS. PROF.]]=$B30,IF(DATOS_[[Check Periodo Ref.]:[Check Periodo Ref.]]="Dentro",IF(DATOS_[[Check Equiparado]:[Check Equiparado]]="Sí",IF(DATOS!BB$4="Sí",(1/DATOS_[[% anualiz]:[% anualiz]]),1)*IF(DATOS!BB$5="Sí",1/DATOS_[[% normaliz]:[% normaliz]],1)*(DATOS_[Conc.Sal.24])))))))), 0)</f>
        <v>0</v>
      </c>
      <c r="AH32" s="302" t="n">
        <f aca="false" t="array" ref="AH32:AH32">IFERROR( (AVERAGE((IF(DATOS_[[Sexo]:[Sexo]]=$B32,IF(DATOS_[[AGRUP. CLAS. PROF.]:[AGRUP. CLAS. PROF.]]=$B30,IF(DATOS_[[Check Periodo Ref.]:[Check Periodo Ref.]]="Dentro",IF(DATOS_[[Check Equiparado]:[Check Equiparado]]="Sí",IF(DATOS!BC$4="Sí",(1/DATOS_[[% anualiz]:[% anualiz]]),1)*IF(DATOS!BC$5="Sí",1/DATOS_[[% normaliz]:[% normaliz]],1)*(DATOS_[Conc.Sal.25])))))))), 0)</f>
        <v>0</v>
      </c>
      <c r="AI32" s="302" t="n">
        <f aca="false" t="array" ref="AI32:AI32">IFERROR( (AVERAGE((IF(DATOS_[[Sexo]:[Sexo]]=$B32,IF(DATOS_[[AGRUP. CLAS. PROF.]:[AGRUP. CLAS. PROF.]]=$B30,IF(DATOS_[[Check Periodo Ref.]:[Check Periodo Ref.]]="Dentro",IF(DATOS_[[Check Equiparado]:[Check Equiparado]]="Sí",IF(DATOS!BD$4="Sí",(1/DATOS_[[% anualiz]:[% anualiz]]),1)*IF(DATOS!BD$5="Sí",1/DATOS_[[% normaliz]:[% normaliz]],1)*(DATOS_[Conc.Sal.26])))))))), 0)</f>
        <v>0</v>
      </c>
      <c r="AJ32" s="302" t="n">
        <f aca="false" t="array" ref="AJ32:AJ32">IFERROR( (AVERAGE((IF(DATOS_[[Sexo]:[Sexo]]=$B32,IF(DATOS_[[AGRUP. CLAS. PROF.]:[AGRUP. CLAS. PROF.]]=$B30,IF(DATOS_[[Check Periodo Ref.]:[Check Periodo Ref.]]="Dentro",IF(DATOS_[[Check Equiparado]:[Check Equiparado]]="Sí",IF(DATOS!BE$4="Sí",(1/DATOS_[[% anualiz]:[% anualiz]]),1)*IF(DATOS!BE$5="Sí",1/DATOS_[[% normaliz]:[% normaliz]],1)*(DATOS_[Conc.Sal.27])))))))), 0)</f>
        <v>0</v>
      </c>
      <c r="AK32" s="302" t="n">
        <f aca="false" t="array" ref="AK32:AK32">IFERROR( (AVERAGE((IF(DATOS_[[Sexo]:[Sexo]]=$B32,IF(DATOS_[[AGRUP. CLAS. PROF.]:[AGRUP. CLAS. PROF.]]=$B30,IF(DATOS_[[Check Periodo Ref.]:[Check Periodo Ref.]]="Dentro",IF(DATOS_[[Check Equiparado]:[Check Equiparado]]="Sí",IF(DATOS!BF$4="Sí",(1/DATOS_[[% anualiz]:[% anualiz]]),1)*IF(DATOS!BF$5="Sí",1/DATOS_[[% normaliz]:[% normaliz]],1)*(DATOS_[Conc.Sal.28])))))))), 0)</f>
        <v>0</v>
      </c>
      <c r="AL32" s="302" t="n">
        <f aca="false" t="array" ref="AL32:AL32">IFERROR( (AVERAGE((IF(DATOS_[[Sexo]:[Sexo]]=$B32,IF(DATOS_[[AGRUP. CLAS. PROF.]:[AGRUP. CLAS. PROF.]]=$B30,IF(DATOS_[[Check Periodo Ref.]:[Check Periodo Ref.]]="Dentro",IF(DATOS_[[Check Equiparado]:[Check Equiparado]]="Sí",IF(DATOS!BG$4="Sí",(1/DATOS_[[% anualiz]:[% anualiz]]),1)*IF(DATOS!BG$5="Sí",1/DATOS_[[% normaliz]:[% normaliz]],1)*(DATOS_[Conc.Sal.29])))))))), 0)</f>
        <v>0</v>
      </c>
      <c r="AM32" s="302" t="n">
        <f aca="false" t="array" ref="AM32:AM32">IFERROR( (AVERAGE((IF(DATOS_[[Sexo]:[Sexo]]=$B32,IF(DATOS_[[AGRUP. CLAS. PROF.]:[AGRUP. CLAS. PROF.]]=$B30,IF(DATOS_[[Check Periodo Ref.]:[Check Periodo Ref.]]="Dentro",IF(DATOS_[[Check Equiparado]:[Check Equiparado]]="Sí",IF(DATOS!BH$4="Sí",(1/DATOS_[[% anualiz]:[% anualiz]]),1)*IF(DATOS!BH$5="Sí",1/DATOS_[[% normaliz]:[% normaliz]],1)*(DATOS_[Conc.Sal.30])))))))), 0)</f>
        <v>0</v>
      </c>
      <c r="AN32" s="294" t="n">
        <f aca="false" t="array" ref="AN32:AN32">IFERROR( AVERAGE(IF(DATOS_[Sexo]=$B32,IF(DATOS_[[AGRUP. CLAS. PROF.]:[AGRUP. CLAS. PROF.]]=$B30,IF(DATOS_[Check Equiparado]="Sí",IF(DATOS_[Check Periodo Ref.]="Dentro",DATOS_[Tot COMPL.SAL Eq],0))))), 0)</f>
        <v>0</v>
      </c>
      <c r="AO32" s="295" t="n">
        <f aca="false" t="array" ref="AO32:AO32">IFERROR( AVERAGE(IF(DATOS_[Sexo]=$B32,IF(DATOS_[[AGRUP. CLAS. PROF.]:[AGRUP. CLAS. PROF.]]=$B30,IF(DATOS_[Check Equiparado]="Sí",IF(DATOS_[Check Periodo Ref.]="Dentro",DATOS_[TOTAL SALARIO Eq],0))))), 0)</f>
        <v>0</v>
      </c>
      <c r="AP32" s="303" t="n">
        <f aca="false" t="array" ref="AP32:AP32">IFERROR( (AVERAGE((IF(DATOS_[[Sexo]:[Sexo]]=$B32,IF(DATOS_[[AGRUP. CLAS. PROF.]:[AGRUP. CLAS. PROF.]]=$B31,IF(DATOS_[[Check Periodo Ref.]:[Check Periodo Ref.]]="Dentro",IF(DATOS_[[Check Equiparado]:[Check Equiparado]]="Sí",IF(DATOS!BI$4="Sí",(1/DATOS_[[% anualiz]:[% anualiz]]),1)*IF(DATOS!BI$5="Sí",1/DATOS_[[% normaliz]:[% normaliz]],1)*(DATOS_[C.Extra.01])))))))), 0)</f>
        <v>0</v>
      </c>
      <c r="AQ32" s="303" t="n">
        <f aca="false" t="array" ref="AQ32:AQ32">IFERROR( (AVERAGE((IF(DATOS_[[Sexo]:[Sexo]]=$B32,IF(DATOS_[[AGRUP. CLAS. PROF.]:[AGRUP. CLAS. PROF.]]=$B31,IF(DATOS_[[Check Periodo Ref.]:[Check Periodo Ref.]]="Dentro",IF(DATOS_[[Check Equiparado]:[Check Equiparado]]="Sí",IF(DATOS!BJ$4="Sí",(1/DATOS_[[% anualiz]:[% anualiz]]),1)*IF(DATOS!BJ$5="Sí",1/DATOS_[[% normaliz]:[% normaliz]],1)*(DATOS_[C.Extra.02])))))))), 0)</f>
        <v>0</v>
      </c>
      <c r="AR32" s="303" t="n">
        <f aca="false" t="array" ref="AR32:AR32">IFERROR( (AVERAGE((IF(DATOS_[[Sexo]:[Sexo]]=$B32,IF(DATOS_[[AGRUP. CLAS. PROF.]:[AGRUP. CLAS. PROF.]]=$B31,IF(DATOS_[[Check Periodo Ref.]:[Check Periodo Ref.]]="Dentro",IF(DATOS_[[Check Equiparado]:[Check Equiparado]]="Sí",IF(DATOS!BK$4="Sí",(1/DATOS_[[% anualiz]:[% anualiz]]),1)*IF(DATOS!BK$5="Sí",1/DATOS_[[% normaliz]:[% normaliz]],1)*(DATOS_[C.Extra.03])))))))), 0)</f>
        <v>0</v>
      </c>
      <c r="AS32" s="303" t="n">
        <f aca="false" t="array" ref="AS32:AS32">IFERROR( (AVERAGE((IF(DATOS_[[Sexo]:[Sexo]]=$B32,IF(DATOS_[[AGRUP. CLAS. PROF.]:[AGRUP. CLAS. PROF.]]=$B31,IF(DATOS_[[Check Periodo Ref.]:[Check Periodo Ref.]]="Dentro",IF(DATOS_[[Check Equiparado]:[Check Equiparado]]="Sí",IF(DATOS!BL$4="Sí",(1/DATOS_[[% anualiz]:[% anualiz]]),1)*IF(DATOS!BL$5="Sí",1/DATOS_[[% normaliz]:[% normaliz]],1)*(DATOS_[C.Extra.04])))))))), 0)</f>
        <v>0</v>
      </c>
      <c r="AT32" s="303" t="n">
        <f aca="false" t="array" ref="AT32:AT32">IFERROR( (AVERAGE((IF(DATOS_[[Sexo]:[Sexo]]=$B32,IF(DATOS_[[AGRUP. CLAS. PROF.]:[AGRUP. CLAS. PROF.]]=$B31,IF(DATOS_[[Check Periodo Ref.]:[Check Periodo Ref.]]="Dentro",IF(DATOS_[[Check Equiparado]:[Check Equiparado]]="Sí",IF(DATOS!BM$4="Sí",(1/DATOS_[[% anualiz]:[% anualiz]]),1)*IF(DATOS!BM$5="Sí",1/DATOS_[[% normaliz]:[% normaliz]],1)*(DATOS_[C.Extra.05])))))))), 0)</f>
        <v>0</v>
      </c>
      <c r="AU32" s="297" t="n">
        <f aca="false" t="array" ref="AU32:AU32">IFERROR( AVERAGE(IF(DATOS_[Sexo]=$B32,IF(DATOS_[[AGRUP. CLAS. PROF.]:[AGRUP. CLAS. PROF.]]=$B30,IF(DATOS_[Check Equiparado]="Sí",IF(DATOS_[Check Periodo Ref.]="Dentro",DATOS_[Tot Extrasalarial Eq],0))))), 0)</f>
        <v>0</v>
      </c>
      <c r="AV32" s="298" t="n">
        <f aca="false" t="array" ref="AV32:AV32">IFERROR( AVERAGE(IF(DATOS_[Sexo]=$B32,IF(DATOS_[[AGRUP. CLAS. PROF.]:[AGRUP. CLAS. PROF.]]=$B30,IF(DATOS_[Check Equiparado]="Sí",IF(DATOS_[Check Periodo Ref.]="Dentro",DATOS_[TOTAL Retrib Eq],0))))), 0)</f>
        <v>0</v>
      </c>
    </row>
    <row r="33" customFormat="false" ht="15.75" hidden="false" customHeight="false" outlineLevel="0" collapsed="false">
      <c r="A33" s="166" t="str">
        <f aca="false">+A34</f>
        <v>[ocultar]</v>
      </c>
      <c r="B33" s="276" t="s">
        <v>186</v>
      </c>
      <c r="C33" s="277"/>
      <c r="D33" s="278"/>
      <c r="E33" s="278"/>
      <c r="F33" s="278"/>
      <c r="G33" s="278"/>
      <c r="H33" s="278"/>
      <c r="I33" s="279" t="str">
        <f aca="false">IFERROR((I34-I35)/I34,"")</f>
        <v/>
      </c>
      <c r="J33" s="280" t="str">
        <f aca="false">IFERROR((J34-J35)/J34,"")</f>
        <v/>
      </c>
      <c r="K33" s="281" t="str">
        <f aca="false">IFERROR((K34-K35)/K34,"")</f>
        <v/>
      </c>
      <c r="L33" s="281" t="str">
        <f aca="false">IFERROR((L34-L35)/L34,"")</f>
        <v/>
      </c>
      <c r="M33" s="281" t="str">
        <f aca="false">IFERROR((M34-M35)/M34,"")</f>
        <v/>
      </c>
      <c r="N33" s="282" t="str">
        <f aca="false">IFERROR((N34-N35)/N34,"")</f>
        <v/>
      </c>
      <c r="O33" s="283" t="str">
        <f aca="false">IFERROR((O34-O35)/O34,"")</f>
        <v/>
      </c>
      <c r="P33" s="283" t="str">
        <f aca="false">IFERROR((P34-P35)/P34,"")</f>
        <v/>
      </c>
      <c r="Q33" s="283" t="str">
        <f aca="false">IFERROR((Q34-Q35)/Q34,"")</f>
        <v/>
      </c>
      <c r="R33" s="283" t="str">
        <f aca="false">IFERROR((R34-R35)/R34,"")</f>
        <v/>
      </c>
      <c r="S33" s="283" t="str">
        <f aca="false">IFERROR((S34-S35)/S34,"")</f>
        <v/>
      </c>
      <c r="T33" s="283" t="str">
        <f aca="false">IFERROR((T34-T35)/T34,"")</f>
        <v/>
      </c>
      <c r="U33" s="283" t="str">
        <f aca="false">IFERROR((U34-U35)/U34,"")</f>
        <v/>
      </c>
      <c r="V33" s="283" t="str">
        <f aca="false">IFERROR((V34-V35)/V34,"")</f>
        <v/>
      </c>
      <c r="W33" s="283" t="str">
        <f aca="false">IFERROR((W34-W35)/W34,"")</f>
        <v/>
      </c>
      <c r="X33" s="283" t="str">
        <f aca="false">IFERROR((X34-X35)/X34,"")</f>
        <v/>
      </c>
      <c r="Y33" s="283" t="str">
        <f aca="false">IFERROR((Y34-Y35)/Y34,"")</f>
        <v/>
      </c>
      <c r="Z33" s="282" t="str">
        <f aca="false">IFERROR((Z34-Z35)/Z34,"")</f>
        <v/>
      </c>
      <c r="AA33" s="282" t="str">
        <f aca="false">IFERROR((AA34-AA35)/AA34,"")</f>
        <v/>
      </c>
      <c r="AB33" s="282" t="str">
        <f aca="false">IFERROR((AB34-AB35)/AB34,"")</f>
        <v/>
      </c>
      <c r="AC33" s="282" t="str">
        <f aca="false">IFERROR((AC34-AC35)/AC34,"")</f>
        <v/>
      </c>
      <c r="AD33" s="282" t="str">
        <f aca="false">IFERROR((AD34-AD35)/AD34,"")</f>
        <v/>
      </c>
      <c r="AE33" s="282" t="str">
        <f aca="false">IFERROR((AE34-AE35)/AE34,"")</f>
        <v/>
      </c>
      <c r="AF33" s="282" t="str">
        <f aca="false">IFERROR((AF34-AF35)/AF34,"")</f>
        <v/>
      </c>
      <c r="AG33" s="282" t="str">
        <f aca="false">IFERROR((AG34-AG35)/AG34,"")</f>
        <v/>
      </c>
      <c r="AH33" s="282" t="str">
        <f aca="false">IFERROR((AH34-AH35)/AH34,"")</f>
        <v/>
      </c>
      <c r="AI33" s="282" t="str">
        <f aca="false">IFERROR((AI34-AI35)/AI34,"")</f>
        <v/>
      </c>
      <c r="AJ33" s="282" t="str">
        <f aca="false">IFERROR((AJ34-AJ35)/AJ34,"")</f>
        <v/>
      </c>
      <c r="AK33" s="282" t="str">
        <f aca="false">IFERROR((AK34-AK35)/AK34,"")</f>
        <v/>
      </c>
      <c r="AL33" s="282" t="str">
        <f aca="false">IFERROR((AL34-AL35)/AL34,"")</f>
        <v/>
      </c>
      <c r="AM33" s="282" t="str">
        <f aca="false">IFERROR((AM34-AM35)/AM34,"")</f>
        <v/>
      </c>
      <c r="AN33" s="284" t="str">
        <f aca="false">IFERROR((AN34-AN35)/AN34,"")</f>
        <v/>
      </c>
      <c r="AO33" s="285" t="str">
        <f aca="false">IFERROR((AO34-AO35)/AO34,"")</f>
        <v/>
      </c>
      <c r="AP33" s="286" t="str">
        <f aca="false">IFERROR((AP34-AP35)/AP34,"")</f>
        <v/>
      </c>
      <c r="AQ33" s="286" t="str">
        <f aca="false">IFERROR((AQ34-AQ35)/AQ34,"")</f>
        <v/>
      </c>
      <c r="AR33" s="286" t="str">
        <f aca="false">IFERROR((AR34-AR35)/AR34,"")</f>
        <v/>
      </c>
      <c r="AS33" s="286" t="str">
        <f aca="false">IFERROR((AS34-AS35)/AS34,"")</f>
        <v/>
      </c>
      <c r="AT33" s="286" t="str">
        <f aca="false">IFERROR((AT34-AT35)/AT34,"")</f>
        <v/>
      </c>
      <c r="AU33" s="287" t="str">
        <f aca="false">IFERROR((AU34-AU35)/AU34,"")</f>
        <v/>
      </c>
      <c r="AV33" s="288" t="str">
        <f aca="false">IFERROR((AV34-AV35)/AV34,"")</f>
        <v/>
      </c>
    </row>
    <row r="34" customFormat="false" ht="14.25" hidden="false" customHeight="false" outlineLevel="0" collapsed="false">
      <c r="A34" s="166" t="str">
        <f aca="false">+IF(C34+C35=0,"[ocultar]","")</f>
        <v>[ocultar]</v>
      </c>
      <c r="B34" s="289" t="s">
        <v>371</v>
      </c>
      <c r="C34" s="290" t="n">
        <f aca="false" t="array" ref="C34:C34">SUM(IF($B34=DATOS_[Sexo], IF($B33=DATOS_[AGRUP. CLAS. PROF.], IF("Dentro"=DATOS_[Check Periodo Ref.], 1/(COUNTIFS(DATOS_[Sexo],$B34,DATOS_[AGRUP. CLAS. PROF.],$B33,DATOS_[Check Periodo Ref.],"Dentro",DATOS_[id],DATOS_[id]))))))</f>
        <v>0</v>
      </c>
      <c r="D34" s="291" t="n">
        <f aca="false">COUNTIFS(DATOS_[AGRUP. CLAS. PROF.],$B33,DATOS_[Sexo],$B34,DATOS_[Check Periodo Ref.],"Dentro")</f>
        <v>0</v>
      </c>
      <c r="E34" s="291" t="n">
        <f aca="false">COUNTIFS(DATOS_[AGRUP. CLAS. PROF.],$B33,DATOS_[Sexo],$B34,DATOS_[Check Periodo Ref.],"Dentro",DATOS_[Check Nº SC Norm],"Sí")</f>
        <v>0</v>
      </c>
      <c r="F34" s="291" t="n">
        <f aca="false">COUNTIFS(DATOS_[AGRUP. CLAS. PROF.],$B33,DATOS_[Sexo],$B34,DATOS_[Check Periodo Ref.],"Dentro",DATOS_[Check Nº SC Anualiz],"Sí")</f>
        <v>0</v>
      </c>
      <c r="G34" s="291" t="n">
        <f aca="false">COUNTIFS(DATOS_[AGRUP. CLAS. PROF.],$B33,DATOS_[Sexo],$B34,DATOS_[Check Periodo Ref.],"Dentro",DATOS_[Check Nº SC Norm y Anualiz],"Sí")</f>
        <v>0</v>
      </c>
      <c r="H34" s="291" t="n">
        <f aca="false">COUNTIFS(DATOS_[AGRUP. CLAS. PROF.],$B33,DATOS_[Sexo],$B34,DATOS_[Check Periodo Ref.],"Dentro",DATOS_[Check Equiparación],"Sí")</f>
        <v>0</v>
      </c>
      <c r="I34" s="292" t="n">
        <f aca="false" t="array" ref="I34:I34">IFERROR( AVERAGE(IF(DATOS_[Sexo]=$B34,IF(DATOS_[[AGRUP. CLAS. PROF.]:[AGRUP. CLAS. PROF.]]=$B33,IF(DATOS_[Check Equiparado]="Sí",IF(DATOS_[Check Periodo Ref.]="Dentro",DATOS_[SALARIO BASE Eq],0))))), 0)</f>
        <v>0</v>
      </c>
      <c r="J34" s="302" t="n">
        <f aca="false" t="array" ref="J34:J34">IFERROR( (AVERAGE((IF(DATOS_[[Sexo]:[Sexo]]=$B34,IF(DATOS_[[AGRUP. CLAS. PROF.]:[AGRUP. CLAS. PROF.]]=$B33,IF(DATOS_[[Check Periodo Ref.]:[Check Periodo Ref.]]="Dentro",IF(DATOS_[[Check Equiparado]:[Check Equiparado]]="Sí",IF(DATOS!AE$4="Sí",(1/DATOS_[[% anualiz]:[% anualiz]]),1)*IF(DATOS!AE$5="Sí",1/DATOS_[[% normaliz]:[% normaliz]],1)*(DATOS_[Conc.Sal.01])))))))), 0)</f>
        <v>0</v>
      </c>
      <c r="K34" s="302" t="n">
        <f aca="false" t="array" ref="K34:K34">IFERROR( (AVERAGE((IF(DATOS_[[Sexo]:[Sexo]]=$B34,IF(DATOS_[[AGRUP. CLAS. PROF.]:[AGRUP. CLAS. PROF.]]=$B33,IF(DATOS_[[Check Periodo Ref.]:[Check Periodo Ref.]]="Dentro",IF(DATOS_[[Check Equiparado]:[Check Equiparado]]="Sí",IF(DATOS!AF$4="Sí",(1/DATOS_[[% anualiz]:[% anualiz]]),1)*IF(DATOS!AF$5="Sí",1/DATOS_[[% normaliz]:[% normaliz]],1)*(DATOS_[Conc.Sal.02])))))))), 0)</f>
        <v>0</v>
      </c>
      <c r="L34" s="302" t="n">
        <f aca="false" t="array" ref="L34:L34">IFERROR( (AVERAGE((IF(DATOS_[[Sexo]:[Sexo]]=$B34,IF(DATOS_[[AGRUP. CLAS. PROF.]:[AGRUP. CLAS. PROF.]]=$B33,IF(DATOS_[[Check Periodo Ref.]:[Check Periodo Ref.]]="Dentro",IF(DATOS_[[Check Equiparado]:[Check Equiparado]]="Sí",IF(DATOS!AG$4="Sí",(1/DATOS_[[% anualiz]:[% anualiz]]),1)*IF(DATOS!AG$5="Sí",1/DATOS_[[% normaliz]:[% normaliz]],1)*(DATOS_[Conc.Sal.03])))))))), 0)</f>
        <v>0</v>
      </c>
      <c r="M34" s="302" t="n">
        <f aca="false" t="array" ref="M34:M34">IFERROR( (AVERAGE((IF(DATOS_[[Sexo]:[Sexo]]=$B34,IF(DATOS_[[AGRUP. CLAS. PROF.]:[AGRUP. CLAS. PROF.]]=$B33,IF(DATOS_[[Check Periodo Ref.]:[Check Periodo Ref.]]="Dentro",IF(DATOS_[[Check Equiparado]:[Check Equiparado]]="Sí",IF(DATOS!AH$4="Sí",(1/DATOS_[[% anualiz]:[% anualiz]]),1)*IF(DATOS!AH$5="Sí",1/DATOS_[[% normaliz]:[% normaliz]],1)*(DATOS_[Conc.Sal.04])))))))), 0)</f>
        <v>0</v>
      </c>
      <c r="N34" s="302" t="n">
        <f aca="false" t="array" ref="N34:N34">IFERROR( (AVERAGE((IF(DATOS_[[Sexo]:[Sexo]]=$B34,IF(DATOS_[[AGRUP. CLAS. PROF.]:[AGRUP. CLAS. PROF.]]=$B33,IF(DATOS_[[Check Periodo Ref.]:[Check Periodo Ref.]]="Dentro",IF(DATOS_[[Check Equiparado]:[Check Equiparado]]="Sí",IF(DATOS!AI$4="Sí",(1/DATOS_[[% anualiz]:[% anualiz]]),1)*IF(DATOS!AI$5="Sí",1/DATOS_[[% normaliz]:[% normaliz]],1)*(DATOS_[Conc.Sal.05])))))))), 0)</f>
        <v>0</v>
      </c>
      <c r="O34" s="302" t="n">
        <f aca="false" t="array" ref="O34:O34">IFERROR( (AVERAGE((IF(DATOS_[[Sexo]:[Sexo]]=$B34,IF(DATOS_[[AGRUP. CLAS. PROF.]:[AGRUP. CLAS. PROF.]]=$B33,IF(DATOS_[[Check Periodo Ref.]:[Check Periodo Ref.]]="Dentro",IF(DATOS_[[Check Equiparado]:[Check Equiparado]]="Sí",IF(DATOS!AJ$4="Sí",(1/DATOS_[[% anualiz]:[% anualiz]]),1)*IF(DATOS!AJ$5="Sí",1/DATOS_[[% normaliz]:[% normaliz]],1)*(DATOS_[Conc.Sal.06])))))))), 0)</f>
        <v>0</v>
      </c>
      <c r="P34" s="302" t="n">
        <f aca="false" t="array" ref="P34:P34">IFERROR( (AVERAGE((IF(DATOS_[[Sexo]:[Sexo]]=$B34,IF(DATOS_[[AGRUP. CLAS. PROF.]:[AGRUP. CLAS. PROF.]]=$B33,IF(DATOS_[[Check Periodo Ref.]:[Check Periodo Ref.]]="Dentro",IF(DATOS_[[Check Equiparado]:[Check Equiparado]]="Sí",IF(DATOS!AK$4="Sí",(1/DATOS_[[% anualiz]:[% anualiz]]),1)*IF(DATOS!AK$5="Sí",1/DATOS_[[% normaliz]:[% normaliz]],1)*(DATOS_[Conc.Sal.07])))))))), 0)</f>
        <v>0</v>
      </c>
      <c r="Q34" s="302" t="n">
        <f aca="false" t="array" ref="Q34:Q34">IFERROR( (AVERAGE((IF(DATOS_[[Sexo]:[Sexo]]=$B34,IF(DATOS_[[AGRUP. CLAS. PROF.]:[AGRUP. CLAS. PROF.]]=$B33,IF(DATOS_[[Check Periodo Ref.]:[Check Periodo Ref.]]="Dentro",IF(DATOS_[[Check Equiparado]:[Check Equiparado]]="Sí",IF(DATOS!AL$4="Sí",(1/DATOS_[[% anualiz]:[% anualiz]]),1)*IF(DATOS!AL$5="Sí",1/DATOS_[[% normaliz]:[% normaliz]],1)*(DATOS_[Conc.Sal.08])))))))), 0)</f>
        <v>0</v>
      </c>
      <c r="R34" s="302" t="n">
        <f aca="false" t="array" ref="R34:R34">IFERROR( (AVERAGE((IF(DATOS_[[Sexo]:[Sexo]]=$B34,IF(DATOS_[[AGRUP. CLAS. PROF.]:[AGRUP. CLAS. PROF.]]=$B33,IF(DATOS_[[Check Periodo Ref.]:[Check Periodo Ref.]]="Dentro",IF(DATOS_[[Check Equiparado]:[Check Equiparado]]="Sí",IF(DATOS!AM$4="Sí",(1/DATOS_[[% anualiz]:[% anualiz]]),1)*IF(DATOS!AM$5="Sí",1/DATOS_[[% normaliz]:[% normaliz]],1)*(DATOS_[Conc.Sal.09])))))))), 0)</f>
        <v>0</v>
      </c>
      <c r="S34" s="302" t="n">
        <f aca="false" t="array" ref="S34:S34">IFERROR( (AVERAGE((IF(DATOS_[[Sexo]:[Sexo]]=$B34,IF(DATOS_[[AGRUP. CLAS. PROF.]:[AGRUP. CLAS. PROF.]]=$B33,IF(DATOS_[[Check Periodo Ref.]:[Check Periodo Ref.]]="Dentro",IF(DATOS_[[Check Equiparado]:[Check Equiparado]]="Sí",IF(DATOS!AN$4="Sí",(1/DATOS_[[% anualiz]:[% anualiz]]),1)*IF(DATOS!AN$5="Sí",1/DATOS_[[% normaliz]:[% normaliz]],1)*(DATOS_[Conc.Sal.10])))))))), 0)</f>
        <v>0</v>
      </c>
      <c r="T34" s="302" t="n">
        <f aca="false" t="array" ref="T34:T34">IFERROR( (AVERAGE((IF(DATOS_[[Sexo]:[Sexo]]=$B34,IF(DATOS_[[AGRUP. CLAS. PROF.]:[AGRUP. CLAS. PROF.]]=$B33,IF(DATOS_[[Check Periodo Ref.]:[Check Periodo Ref.]]="Dentro",IF(DATOS_[[Check Equiparado]:[Check Equiparado]]="Sí",IF(DATOS!AO$4="Sí",(1/DATOS_[[% anualiz]:[% anualiz]]),1)*IF(DATOS!AO$5="Sí",1/DATOS_[[% normaliz]:[% normaliz]],1)*(DATOS_[Conc.Sal.11])))))))), 0)</f>
        <v>0</v>
      </c>
      <c r="U34" s="302" t="n">
        <f aca="false" t="array" ref="U34:U34">IFERROR( (AVERAGE((IF(DATOS_[[Sexo]:[Sexo]]=$B34,IF(DATOS_[[AGRUP. CLAS. PROF.]:[AGRUP. CLAS. PROF.]]=$B33,IF(DATOS_[[Check Periodo Ref.]:[Check Periodo Ref.]]="Dentro",IF(DATOS_[[Check Equiparado]:[Check Equiparado]]="Sí",IF(DATOS!AP$4="Sí",(1/DATOS_[[% anualiz]:[% anualiz]]),1)*IF(DATOS!AP$5="Sí",1/DATOS_[[% normaliz]:[% normaliz]],1)*(DATOS_[Conc.Sal.12])))))))), 0)</f>
        <v>0</v>
      </c>
      <c r="V34" s="302" t="n">
        <f aca="false" t="array" ref="V34:V34">IFERROR( (AVERAGE((IF(DATOS_[[Sexo]:[Sexo]]=$B34,IF(DATOS_[[AGRUP. CLAS. PROF.]:[AGRUP. CLAS. PROF.]]=$B33,IF(DATOS_[[Check Periodo Ref.]:[Check Periodo Ref.]]="Dentro",IF(DATOS_[[Check Equiparado]:[Check Equiparado]]="Sí",IF(DATOS!AQ$4="Sí",(1/DATOS_[[% anualiz]:[% anualiz]]),1)*IF(DATOS!AQ$5="Sí",1/DATOS_[[% normaliz]:[% normaliz]],1)*(DATOS_[Conc.Sal.13])))))))), 0)</f>
        <v>0</v>
      </c>
      <c r="W34" s="302" t="n">
        <f aca="false" t="array" ref="W34:W34">IFERROR( (AVERAGE((IF(DATOS_[[Sexo]:[Sexo]]=$B34,IF(DATOS_[[AGRUP. CLAS. PROF.]:[AGRUP. CLAS. PROF.]]=$B33,IF(DATOS_[[Check Periodo Ref.]:[Check Periodo Ref.]]="Dentro",IF(DATOS_[[Check Equiparado]:[Check Equiparado]]="Sí",IF(DATOS!AR$4="Sí",(1/DATOS_[[% anualiz]:[% anualiz]]),1)*IF(DATOS!AR$5="Sí",1/DATOS_[[% normaliz]:[% normaliz]],1)*(DATOS_[Conc.Sal.14])))))))), 0)</f>
        <v>0</v>
      </c>
      <c r="X34" s="302" t="n">
        <f aca="false" t="array" ref="X34:X34">IFERROR( (AVERAGE((IF(DATOS_[[Sexo]:[Sexo]]=$B34,IF(DATOS_[[AGRUP. CLAS. PROF.]:[AGRUP. CLAS. PROF.]]=$B33,IF(DATOS_[[Check Periodo Ref.]:[Check Periodo Ref.]]="Dentro",IF(DATOS_[[Check Equiparado]:[Check Equiparado]]="Sí",IF(DATOS!AS$4="Sí",(1/DATOS_[[% anualiz]:[% anualiz]]),1)*IF(DATOS!AS$5="Sí",1/DATOS_[[% normaliz]:[% normaliz]],1)*(DATOS_[Conc.Sal.15])))))))), 0)</f>
        <v>0</v>
      </c>
      <c r="Y34" s="302" t="n">
        <f aca="false" t="array" ref="Y34:Y34">IFERROR( (AVERAGE((IF(DATOS_[[Sexo]:[Sexo]]=$B34,IF(DATOS_[[AGRUP. CLAS. PROF.]:[AGRUP. CLAS. PROF.]]=$B33,IF(DATOS_[[Check Periodo Ref.]:[Check Periodo Ref.]]="Dentro",IF(DATOS_[[Check Equiparado]:[Check Equiparado]]="Sí",IF(DATOS!AT$4="Sí",(1/DATOS_[[% anualiz]:[% anualiz]]),1)*IF(DATOS!AT$5="Sí",1/DATOS_[[% normaliz]:[% normaliz]],1)*(DATOS_[Conc.Sal.16])))))))), 0)</f>
        <v>0</v>
      </c>
      <c r="Z34" s="302" t="n">
        <f aca="false" t="array" ref="Z34:Z34">IFERROR( (AVERAGE((IF(DATOS_[[Sexo]:[Sexo]]=$B34,IF(DATOS_[[AGRUP. CLAS. PROF.]:[AGRUP. CLAS. PROF.]]=$B33,IF(DATOS_[[Check Periodo Ref.]:[Check Periodo Ref.]]="Dentro",IF(DATOS_[[Check Equiparado]:[Check Equiparado]]="Sí",IF(DATOS!AU$4="Sí",(1/DATOS_[[% anualiz]:[% anualiz]]),1)*IF(DATOS!AU$5="Sí",1/DATOS_[[% normaliz]:[% normaliz]],1)*(DATOS_[Conc.Sal.17])))))))), 0)</f>
        <v>0</v>
      </c>
      <c r="AA34" s="302" t="n">
        <f aca="false" t="array" ref="AA34:AA34">IFERROR( (AVERAGE((IF(DATOS_[[Sexo]:[Sexo]]=$B34,IF(DATOS_[[AGRUP. CLAS. PROF.]:[AGRUP. CLAS. PROF.]]=$B33,IF(DATOS_[[Check Periodo Ref.]:[Check Periodo Ref.]]="Dentro",IF(DATOS_[[Check Equiparado]:[Check Equiparado]]="Sí",IF(DATOS!AV$4="Sí",(1/DATOS_[[% anualiz]:[% anualiz]]),1)*IF(DATOS!AV$5="Sí",1/DATOS_[[% normaliz]:[% normaliz]],1)*(DATOS_[Conc.Sal.18])))))))), 0)</f>
        <v>0</v>
      </c>
      <c r="AB34" s="302" t="n">
        <f aca="false" t="array" ref="AB34:AB34">IFERROR( (AVERAGE((IF(DATOS_[[Sexo]:[Sexo]]=$B34,IF(DATOS_[[AGRUP. CLAS. PROF.]:[AGRUP. CLAS. PROF.]]=$B33,IF(DATOS_[[Check Periodo Ref.]:[Check Periodo Ref.]]="Dentro",IF(DATOS_[[Check Equiparado]:[Check Equiparado]]="Sí",IF(DATOS!AW$4="Sí",(1/DATOS_[[% anualiz]:[% anualiz]]),1)*IF(DATOS!AW$5="Sí",1/DATOS_[[% normaliz]:[% normaliz]],1)*(DATOS_[Conc.Sal.19])))))))), 0)</f>
        <v>0</v>
      </c>
      <c r="AC34" s="302" t="n">
        <f aca="false" t="array" ref="AC34:AC34">IFERROR( (AVERAGE((IF(DATOS_[[Sexo]:[Sexo]]=$B34,IF(DATOS_[[AGRUP. CLAS. PROF.]:[AGRUP. CLAS. PROF.]]=$B33,IF(DATOS_[[Check Periodo Ref.]:[Check Periodo Ref.]]="Dentro",IF(DATOS_[[Check Equiparado]:[Check Equiparado]]="Sí",IF(DATOS!AX$4="Sí",(1/DATOS_[[% anualiz]:[% anualiz]]),1)*IF(DATOS!AX$5="Sí",1/DATOS_[[% normaliz]:[% normaliz]],1)*(DATOS_[Conc.Sal.20])))))))), 0)</f>
        <v>0</v>
      </c>
      <c r="AD34" s="302" t="n">
        <f aca="false" t="array" ref="AD34:AD34">IFERROR( (AVERAGE((IF(DATOS_[[Sexo]:[Sexo]]=$B34,IF(DATOS_[[AGRUP. CLAS. PROF.]:[AGRUP. CLAS. PROF.]]=$B33,IF(DATOS_[[Check Periodo Ref.]:[Check Periodo Ref.]]="Dentro",IF(DATOS_[[Check Equiparado]:[Check Equiparado]]="Sí",IF(DATOS!AY$4="Sí",(1/DATOS_[[% anualiz]:[% anualiz]]),1)*IF(DATOS!AY$5="Sí",1/DATOS_[[% normaliz]:[% normaliz]],1)*(DATOS_[Conc.Sal.21])))))))), 0)</f>
        <v>0</v>
      </c>
      <c r="AE34" s="302" t="n">
        <f aca="false" t="array" ref="AE34:AE34">IFERROR( (AVERAGE((IF(DATOS_[[Sexo]:[Sexo]]=$B34,IF(DATOS_[[AGRUP. CLAS. PROF.]:[AGRUP. CLAS. PROF.]]=$B33,IF(DATOS_[[Check Periodo Ref.]:[Check Periodo Ref.]]="Dentro",IF(DATOS_[[Check Equiparado]:[Check Equiparado]]="Sí",IF(DATOS!AZ$4="Sí",(1/DATOS_[[% anualiz]:[% anualiz]]),1)*IF(DATOS!AZ$5="Sí",1/DATOS_[[% normaliz]:[% normaliz]],1)*(DATOS_[Conc.Sal.22])))))))), 0)</f>
        <v>0</v>
      </c>
      <c r="AF34" s="302" t="n">
        <f aca="false" t="array" ref="AF34:AF34">IFERROR( (AVERAGE((IF(DATOS_[[Sexo]:[Sexo]]=$B34,IF(DATOS_[[AGRUP. CLAS. PROF.]:[AGRUP. CLAS. PROF.]]=$B33,IF(DATOS_[[Check Periodo Ref.]:[Check Periodo Ref.]]="Dentro",IF(DATOS_[[Check Equiparado]:[Check Equiparado]]="Sí",IF(DATOS!BA$4="Sí",(1/DATOS_[[% anualiz]:[% anualiz]]),1)*IF(DATOS!BA$5="Sí",1/DATOS_[[% normaliz]:[% normaliz]],1)*(DATOS_[Conc.Sal.23])))))))), 0)</f>
        <v>0</v>
      </c>
      <c r="AG34" s="302" t="n">
        <f aca="false" t="array" ref="AG34:AG34">IFERROR( (AVERAGE((IF(DATOS_[[Sexo]:[Sexo]]=$B34,IF(DATOS_[[AGRUP. CLAS. PROF.]:[AGRUP. CLAS. PROF.]]=$B33,IF(DATOS_[[Check Periodo Ref.]:[Check Periodo Ref.]]="Dentro",IF(DATOS_[[Check Equiparado]:[Check Equiparado]]="Sí",IF(DATOS!BB$4="Sí",(1/DATOS_[[% anualiz]:[% anualiz]]),1)*IF(DATOS!BB$5="Sí",1/DATOS_[[% normaliz]:[% normaliz]],1)*(DATOS_[Conc.Sal.24])))))))), 0)</f>
        <v>0</v>
      </c>
      <c r="AH34" s="302" t="n">
        <f aca="false" t="array" ref="AH34:AH34">IFERROR( (AVERAGE((IF(DATOS_[[Sexo]:[Sexo]]=$B34,IF(DATOS_[[AGRUP. CLAS. PROF.]:[AGRUP. CLAS. PROF.]]=$B33,IF(DATOS_[[Check Periodo Ref.]:[Check Periodo Ref.]]="Dentro",IF(DATOS_[[Check Equiparado]:[Check Equiparado]]="Sí",IF(DATOS!BC$4="Sí",(1/DATOS_[[% anualiz]:[% anualiz]]),1)*IF(DATOS!BC$5="Sí",1/DATOS_[[% normaliz]:[% normaliz]],1)*(DATOS_[Conc.Sal.25])))))))), 0)</f>
        <v>0</v>
      </c>
      <c r="AI34" s="302" t="n">
        <f aca="false" t="array" ref="AI34:AI34">IFERROR( (AVERAGE((IF(DATOS_[[Sexo]:[Sexo]]=$B34,IF(DATOS_[[AGRUP. CLAS. PROF.]:[AGRUP. CLAS. PROF.]]=$B33,IF(DATOS_[[Check Periodo Ref.]:[Check Periodo Ref.]]="Dentro",IF(DATOS_[[Check Equiparado]:[Check Equiparado]]="Sí",IF(DATOS!BD$4="Sí",(1/DATOS_[[% anualiz]:[% anualiz]]),1)*IF(DATOS!BD$5="Sí",1/DATOS_[[% normaliz]:[% normaliz]],1)*(DATOS_[Conc.Sal.26])))))))), 0)</f>
        <v>0</v>
      </c>
      <c r="AJ34" s="302" t="n">
        <f aca="false" t="array" ref="AJ34:AJ34">IFERROR( (AVERAGE((IF(DATOS_[[Sexo]:[Sexo]]=$B34,IF(DATOS_[[AGRUP. CLAS. PROF.]:[AGRUP. CLAS. PROF.]]=$B33,IF(DATOS_[[Check Periodo Ref.]:[Check Periodo Ref.]]="Dentro",IF(DATOS_[[Check Equiparado]:[Check Equiparado]]="Sí",IF(DATOS!BE$4="Sí",(1/DATOS_[[% anualiz]:[% anualiz]]),1)*IF(DATOS!BE$5="Sí",1/DATOS_[[% normaliz]:[% normaliz]],1)*(DATOS_[Conc.Sal.27])))))))), 0)</f>
        <v>0</v>
      </c>
      <c r="AK34" s="302" t="n">
        <f aca="false" t="array" ref="AK34:AK34">IFERROR( (AVERAGE((IF(DATOS_[[Sexo]:[Sexo]]=$B34,IF(DATOS_[[AGRUP. CLAS. PROF.]:[AGRUP. CLAS. PROF.]]=$B33,IF(DATOS_[[Check Periodo Ref.]:[Check Periodo Ref.]]="Dentro",IF(DATOS_[[Check Equiparado]:[Check Equiparado]]="Sí",IF(DATOS!BF$4="Sí",(1/DATOS_[[% anualiz]:[% anualiz]]),1)*IF(DATOS!BF$5="Sí",1/DATOS_[[% normaliz]:[% normaliz]],1)*(DATOS_[Conc.Sal.28])))))))), 0)</f>
        <v>0</v>
      </c>
      <c r="AL34" s="302" t="n">
        <f aca="false" t="array" ref="AL34:AL34">IFERROR( (AVERAGE((IF(DATOS_[[Sexo]:[Sexo]]=$B34,IF(DATOS_[[AGRUP. CLAS. PROF.]:[AGRUP. CLAS. PROF.]]=$B33,IF(DATOS_[[Check Periodo Ref.]:[Check Periodo Ref.]]="Dentro",IF(DATOS_[[Check Equiparado]:[Check Equiparado]]="Sí",IF(DATOS!BG$4="Sí",(1/DATOS_[[% anualiz]:[% anualiz]]),1)*IF(DATOS!BG$5="Sí",1/DATOS_[[% normaliz]:[% normaliz]],1)*(DATOS_[Conc.Sal.29])))))))), 0)</f>
        <v>0</v>
      </c>
      <c r="AM34" s="302" t="n">
        <f aca="false" t="array" ref="AM34:AM34">IFERROR( (AVERAGE((IF(DATOS_[[Sexo]:[Sexo]]=$B34,IF(DATOS_[[AGRUP. CLAS. PROF.]:[AGRUP. CLAS. PROF.]]=$B33,IF(DATOS_[[Check Periodo Ref.]:[Check Periodo Ref.]]="Dentro",IF(DATOS_[[Check Equiparado]:[Check Equiparado]]="Sí",IF(DATOS!BH$4="Sí",(1/DATOS_[[% anualiz]:[% anualiz]]),1)*IF(DATOS!BH$5="Sí",1/DATOS_[[% normaliz]:[% normaliz]],1)*(DATOS_[Conc.Sal.30])))))))), 0)</f>
        <v>0</v>
      </c>
      <c r="AN34" s="294" t="n">
        <f aca="false" t="array" ref="AN34:AN34">IFERROR( AVERAGE(IF(DATOS_[Sexo]=$B34,IF(DATOS_[[AGRUP. CLAS. PROF.]:[AGRUP. CLAS. PROF.]]=$B33,IF(DATOS_[Check Equiparado]="Sí",IF(DATOS_[Check Periodo Ref.]="Dentro",DATOS_[Tot COMPL.SAL Eq],0))))), 0)</f>
        <v>0</v>
      </c>
      <c r="AO34" s="295" t="n">
        <f aca="false" t="array" ref="AO34:AO34">IFERROR( AVERAGE(IF(DATOS_[Sexo]=$B34,IF(DATOS_[[AGRUP. CLAS. PROF.]:[AGRUP. CLAS. PROF.]]=$B33,IF(DATOS_[Check Equiparado]="Sí",IF(DATOS_[Check Periodo Ref.]="Dentro",DATOS_[TOTAL SALARIO Eq],0))))), 0)</f>
        <v>0</v>
      </c>
      <c r="AP34" s="303" t="n">
        <f aca="false" t="array" ref="AP34:AP34">IFERROR( (AVERAGE((IF(DATOS_[[Sexo]:[Sexo]]=$B34,IF(DATOS_[[AGRUP. CLAS. PROF.]:[AGRUP. CLAS. PROF.]]=$B33,IF(DATOS_[[Check Periodo Ref.]:[Check Periodo Ref.]]="Dentro",IF(DATOS_[[Check Equiparado]:[Check Equiparado]]="Sí",IF(DATOS!BI$4="Sí",(1/DATOS_[[% anualiz]:[% anualiz]]),1)*IF(DATOS!BI$5="Sí",1/DATOS_[[% normaliz]:[% normaliz]],1)*(DATOS_[C.Extra.01])))))))), 0)</f>
        <v>0</v>
      </c>
      <c r="AQ34" s="303" t="n">
        <f aca="false" t="array" ref="AQ34:AQ34">IFERROR( (AVERAGE((IF(DATOS_[[Sexo]:[Sexo]]=$B34,IF(DATOS_[[AGRUP. CLAS. PROF.]:[AGRUP. CLAS. PROF.]]=$B33,IF(DATOS_[[Check Periodo Ref.]:[Check Periodo Ref.]]="Dentro",IF(DATOS_[[Check Equiparado]:[Check Equiparado]]="Sí",IF(DATOS!BJ$4="Sí",(1/DATOS_[[% anualiz]:[% anualiz]]),1)*IF(DATOS!BJ$5="Sí",1/DATOS_[[% normaliz]:[% normaliz]],1)*(DATOS_[C.Extra.02])))))))), 0)</f>
        <v>0</v>
      </c>
      <c r="AR34" s="303" t="n">
        <f aca="false" t="array" ref="AR34:AR34">IFERROR( (AVERAGE((IF(DATOS_[[Sexo]:[Sexo]]=$B34,IF(DATOS_[[AGRUP. CLAS. PROF.]:[AGRUP. CLAS. PROF.]]=$B33,IF(DATOS_[[Check Periodo Ref.]:[Check Periodo Ref.]]="Dentro",IF(DATOS_[[Check Equiparado]:[Check Equiparado]]="Sí",IF(DATOS!BK$4="Sí",(1/DATOS_[[% anualiz]:[% anualiz]]),1)*IF(DATOS!BK$5="Sí",1/DATOS_[[% normaliz]:[% normaliz]],1)*(DATOS_[C.Extra.03])))))))), 0)</f>
        <v>0</v>
      </c>
      <c r="AS34" s="303" t="n">
        <f aca="false" t="array" ref="AS34:AS34">IFERROR( (AVERAGE((IF(DATOS_[[Sexo]:[Sexo]]=$B34,IF(DATOS_[[AGRUP. CLAS. PROF.]:[AGRUP. CLAS. PROF.]]=$B33,IF(DATOS_[[Check Periodo Ref.]:[Check Periodo Ref.]]="Dentro",IF(DATOS_[[Check Equiparado]:[Check Equiparado]]="Sí",IF(DATOS!BL$4="Sí",(1/DATOS_[[% anualiz]:[% anualiz]]),1)*IF(DATOS!BL$5="Sí",1/DATOS_[[% normaliz]:[% normaliz]],1)*(DATOS_[C.Extra.04])))))))), 0)</f>
        <v>0</v>
      </c>
      <c r="AT34" s="303" t="n">
        <f aca="false" t="array" ref="AT34:AT34">IFERROR( (AVERAGE((IF(DATOS_[[Sexo]:[Sexo]]=$B34,IF(DATOS_[[AGRUP. CLAS. PROF.]:[AGRUP. CLAS. PROF.]]=$B33,IF(DATOS_[[Check Periodo Ref.]:[Check Periodo Ref.]]="Dentro",IF(DATOS_[[Check Equiparado]:[Check Equiparado]]="Sí",IF(DATOS!BM$4="Sí",(1/DATOS_[[% anualiz]:[% anualiz]]),1)*IF(DATOS!BM$5="Sí",1/DATOS_[[% normaliz]:[% normaliz]],1)*(DATOS_[C.Extra.05])))))))), 0)</f>
        <v>0</v>
      </c>
      <c r="AU34" s="297" t="n">
        <f aca="false" t="array" ref="AU34:AU34">IFERROR( AVERAGE(IF(DATOS_[Sexo]=$B34,IF(DATOS_[[AGRUP. CLAS. PROF.]:[AGRUP. CLAS. PROF.]]=$B33,IF(DATOS_[Check Equiparado]="Sí",IF(DATOS_[Check Periodo Ref.]="Dentro",DATOS_[Tot Extrasalarial Eq],0))))), 0)</f>
        <v>0</v>
      </c>
      <c r="AV34" s="298" t="n">
        <f aca="false" t="array" ref="AV34:AV34">IFERROR( AVERAGE(IF(DATOS_[Sexo]=$B34,IF(DATOS_[[AGRUP. CLAS. PROF.]:[AGRUP. CLAS. PROF.]]=$B33,IF(DATOS_[Check Equiparado]="Sí",IF(DATOS_[Check Periodo Ref.]="Dentro",DATOS_[TOTAL Retrib Eq],0))))), 0)</f>
        <v>0</v>
      </c>
    </row>
    <row r="35" customFormat="false" ht="14.25" hidden="false" customHeight="false" outlineLevel="0" collapsed="false">
      <c r="A35" s="166" t="str">
        <f aca="false">+A34</f>
        <v>[ocultar]</v>
      </c>
      <c r="B35" s="289" t="s">
        <v>372</v>
      </c>
      <c r="C35" s="290" t="n">
        <f aca="false" t="array" ref="C35:C35">SUM(IF($B35=DATOS_[Sexo], IF($B33=DATOS_[AGRUP. CLAS. PROF.], IF("Dentro"=DATOS_[Check Periodo Ref.], 1/(COUNTIFS(DATOS_[Sexo],$B35,DATOS_[AGRUP. CLAS. PROF.],$B33,DATOS_[Check Periodo Ref.],"Dentro",DATOS_[id],DATOS_[id]))))))</f>
        <v>0</v>
      </c>
      <c r="D35" s="291" t="n">
        <f aca="false">COUNTIFS(DATOS_[AGRUP. CLAS. PROF.],$B33,DATOS_[Sexo],$B35,DATOS_[Check Periodo Ref.],"Dentro")</f>
        <v>0</v>
      </c>
      <c r="E35" s="291" t="n">
        <f aca="false">COUNTIFS(DATOS_[AGRUP. CLAS. PROF.],$B33,DATOS_[Sexo],$B35,DATOS_[Check Periodo Ref.],"Dentro",DATOS_[Check Nº SC Norm],"Sí")</f>
        <v>0</v>
      </c>
      <c r="F35" s="291" t="n">
        <f aca="false">COUNTIFS(DATOS_[AGRUP. CLAS. PROF.],$B33,DATOS_[Sexo],$B35,DATOS_[Check Periodo Ref.],"Dentro",DATOS_[Check Nº SC Anualiz],"Sí")</f>
        <v>0</v>
      </c>
      <c r="G35" s="291" t="n">
        <f aca="false">COUNTIFS(DATOS_[AGRUP. CLAS. PROF.],$B33,DATOS_[Sexo],$B35,DATOS_[Check Periodo Ref.],"Dentro",DATOS_[Check Nº SC Norm y Anualiz],"Sí")</f>
        <v>0</v>
      </c>
      <c r="H35" s="291" t="n">
        <f aca="false">COUNTIFS(DATOS_[AGRUP. CLAS. PROF.],$B33,DATOS_[Sexo],$B35,DATOS_[Check Periodo Ref.],"Dentro",DATOS_[Check Equiparación],"Sí")</f>
        <v>0</v>
      </c>
      <c r="I35" s="292" t="n">
        <f aca="false" t="array" ref="I35:I35">IFERROR( AVERAGE(IF(DATOS_[Sexo]=$B35,IF(DATOS_[[AGRUP. CLAS. PROF.]:[AGRUP. CLAS. PROF.]]=$B33,IF(DATOS_[Check Equiparado]="Sí",IF(DATOS_[Check Periodo Ref.]="Dentro",DATOS_[SALARIO BASE Eq],0))))), 0)</f>
        <v>0</v>
      </c>
      <c r="J35" s="302" t="n">
        <f aca="false" t="array" ref="J35:J35">IFERROR( (AVERAGE((IF(DATOS_[[Sexo]:[Sexo]]=$B35,IF(DATOS_[[AGRUP. CLAS. PROF.]:[AGRUP. CLAS. PROF.]]=$B33,IF(DATOS_[[Check Periodo Ref.]:[Check Periodo Ref.]]="Dentro",IF(DATOS_[[Check Equiparado]:[Check Equiparado]]="Sí",IF(DATOS!AE$4="Sí",(1/DATOS_[[% anualiz]:[% anualiz]]),1)*IF(DATOS!AE$5="Sí",1/DATOS_[[% normaliz]:[% normaliz]],1)*(DATOS_[Conc.Sal.01])))))))), 0)</f>
        <v>0</v>
      </c>
      <c r="K35" s="302" t="n">
        <f aca="false" t="array" ref="K35:K35">IFERROR( (AVERAGE((IF(DATOS_[[Sexo]:[Sexo]]=$B35,IF(DATOS_[[AGRUP. CLAS. PROF.]:[AGRUP. CLAS. PROF.]]=$B33,IF(DATOS_[[Check Periodo Ref.]:[Check Periodo Ref.]]="Dentro",IF(DATOS_[[Check Equiparado]:[Check Equiparado]]="Sí",IF(DATOS!AF$4="Sí",(1/DATOS_[[% anualiz]:[% anualiz]]),1)*IF(DATOS!AF$5="Sí",1/DATOS_[[% normaliz]:[% normaliz]],1)*(DATOS_[Conc.Sal.02])))))))), 0)</f>
        <v>0</v>
      </c>
      <c r="L35" s="302" t="n">
        <f aca="false" t="array" ref="L35:L35">IFERROR( (AVERAGE((IF(DATOS_[[Sexo]:[Sexo]]=$B35,IF(DATOS_[[AGRUP. CLAS. PROF.]:[AGRUP. CLAS. PROF.]]=$B33,IF(DATOS_[[Check Periodo Ref.]:[Check Periodo Ref.]]="Dentro",IF(DATOS_[[Check Equiparado]:[Check Equiparado]]="Sí",IF(DATOS!AG$4="Sí",(1/DATOS_[[% anualiz]:[% anualiz]]),1)*IF(DATOS!AG$5="Sí",1/DATOS_[[% normaliz]:[% normaliz]],1)*(DATOS_[Conc.Sal.03])))))))), 0)</f>
        <v>0</v>
      </c>
      <c r="M35" s="302" t="n">
        <f aca="false" t="array" ref="M35:M35">IFERROR( (AVERAGE((IF(DATOS_[[Sexo]:[Sexo]]=$B35,IF(DATOS_[[AGRUP. CLAS. PROF.]:[AGRUP. CLAS. PROF.]]=$B33,IF(DATOS_[[Check Periodo Ref.]:[Check Periodo Ref.]]="Dentro",IF(DATOS_[[Check Equiparado]:[Check Equiparado]]="Sí",IF(DATOS!AH$4="Sí",(1/DATOS_[[% anualiz]:[% anualiz]]),1)*IF(DATOS!AH$5="Sí",1/DATOS_[[% normaliz]:[% normaliz]],1)*(DATOS_[Conc.Sal.04])))))))), 0)</f>
        <v>0</v>
      </c>
      <c r="N35" s="302" t="n">
        <f aca="false" t="array" ref="N35:N35">IFERROR( (AVERAGE((IF(DATOS_[[Sexo]:[Sexo]]=$B35,IF(DATOS_[[AGRUP. CLAS. PROF.]:[AGRUP. CLAS. PROF.]]=$B33,IF(DATOS_[[Check Periodo Ref.]:[Check Periodo Ref.]]="Dentro",IF(DATOS_[[Check Equiparado]:[Check Equiparado]]="Sí",IF(DATOS!AI$4="Sí",(1/DATOS_[[% anualiz]:[% anualiz]]),1)*IF(DATOS!AI$5="Sí",1/DATOS_[[% normaliz]:[% normaliz]],1)*(DATOS_[Conc.Sal.05])))))))), 0)</f>
        <v>0</v>
      </c>
      <c r="O35" s="302" t="n">
        <f aca="false" t="array" ref="O35:O35">IFERROR( (AVERAGE((IF(DATOS_[[Sexo]:[Sexo]]=$B35,IF(DATOS_[[AGRUP. CLAS. PROF.]:[AGRUP. CLAS. PROF.]]=$B33,IF(DATOS_[[Check Periodo Ref.]:[Check Periodo Ref.]]="Dentro",IF(DATOS_[[Check Equiparado]:[Check Equiparado]]="Sí",IF(DATOS!AJ$4="Sí",(1/DATOS_[[% anualiz]:[% anualiz]]),1)*IF(DATOS!AJ$5="Sí",1/DATOS_[[% normaliz]:[% normaliz]],1)*(DATOS_[Conc.Sal.06])))))))), 0)</f>
        <v>0</v>
      </c>
      <c r="P35" s="302" t="n">
        <f aca="false" t="array" ref="P35:P35">IFERROR( (AVERAGE((IF(DATOS_[[Sexo]:[Sexo]]=$B35,IF(DATOS_[[AGRUP. CLAS. PROF.]:[AGRUP. CLAS. PROF.]]=$B33,IF(DATOS_[[Check Periodo Ref.]:[Check Periodo Ref.]]="Dentro",IF(DATOS_[[Check Equiparado]:[Check Equiparado]]="Sí",IF(DATOS!AK$4="Sí",(1/DATOS_[[% anualiz]:[% anualiz]]),1)*IF(DATOS!AK$5="Sí",1/DATOS_[[% normaliz]:[% normaliz]],1)*(DATOS_[Conc.Sal.07])))))))), 0)</f>
        <v>0</v>
      </c>
      <c r="Q35" s="302" t="n">
        <f aca="false" t="array" ref="Q35:Q35">IFERROR( (AVERAGE((IF(DATOS_[[Sexo]:[Sexo]]=$B35,IF(DATOS_[[AGRUP. CLAS. PROF.]:[AGRUP. CLAS. PROF.]]=$B33,IF(DATOS_[[Check Periodo Ref.]:[Check Periodo Ref.]]="Dentro",IF(DATOS_[[Check Equiparado]:[Check Equiparado]]="Sí",IF(DATOS!AL$4="Sí",(1/DATOS_[[% anualiz]:[% anualiz]]),1)*IF(DATOS!AL$5="Sí",1/DATOS_[[% normaliz]:[% normaliz]],1)*(DATOS_[Conc.Sal.08])))))))), 0)</f>
        <v>0</v>
      </c>
      <c r="R35" s="302" t="n">
        <f aca="false" t="array" ref="R35:R35">IFERROR( (AVERAGE((IF(DATOS_[[Sexo]:[Sexo]]=$B35,IF(DATOS_[[AGRUP. CLAS. PROF.]:[AGRUP. CLAS. PROF.]]=$B33,IF(DATOS_[[Check Periodo Ref.]:[Check Periodo Ref.]]="Dentro",IF(DATOS_[[Check Equiparado]:[Check Equiparado]]="Sí",IF(DATOS!AM$4="Sí",(1/DATOS_[[% anualiz]:[% anualiz]]),1)*IF(DATOS!AM$5="Sí",1/DATOS_[[% normaliz]:[% normaliz]],1)*(DATOS_[Conc.Sal.09])))))))), 0)</f>
        <v>0</v>
      </c>
      <c r="S35" s="302" t="n">
        <f aca="false" t="array" ref="S35:S35">IFERROR( (AVERAGE((IF(DATOS_[[Sexo]:[Sexo]]=$B35,IF(DATOS_[[AGRUP. CLAS. PROF.]:[AGRUP. CLAS. PROF.]]=$B33,IF(DATOS_[[Check Periodo Ref.]:[Check Periodo Ref.]]="Dentro",IF(DATOS_[[Check Equiparado]:[Check Equiparado]]="Sí",IF(DATOS!AN$4="Sí",(1/DATOS_[[% anualiz]:[% anualiz]]),1)*IF(DATOS!AN$5="Sí",1/DATOS_[[% normaliz]:[% normaliz]],1)*(DATOS_[Conc.Sal.10])))))))), 0)</f>
        <v>0</v>
      </c>
      <c r="T35" s="302" t="n">
        <f aca="false" t="array" ref="T35:T35">IFERROR( (AVERAGE((IF(DATOS_[[Sexo]:[Sexo]]=$B35,IF(DATOS_[[AGRUP. CLAS. PROF.]:[AGRUP. CLAS. PROF.]]=$B33,IF(DATOS_[[Check Periodo Ref.]:[Check Periodo Ref.]]="Dentro",IF(DATOS_[[Check Equiparado]:[Check Equiparado]]="Sí",IF(DATOS!AO$4="Sí",(1/DATOS_[[% anualiz]:[% anualiz]]),1)*IF(DATOS!AO$5="Sí",1/DATOS_[[% normaliz]:[% normaliz]],1)*(DATOS_[Conc.Sal.11])))))))), 0)</f>
        <v>0</v>
      </c>
      <c r="U35" s="302" t="n">
        <f aca="false" t="array" ref="U35:U35">IFERROR( (AVERAGE((IF(DATOS_[[Sexo]:[Sexo]]=$B35,IF(DATOS_[[AGRUP. CLAS. PROF.]:[AGRUP. CLAS. PROF.]]=$B33,IF(DATOS_[[Check Periodo Ref.]:[Check Periodo Ref.]]="Dentro",IF(DATOS_[[Check Equiparado]:[Check Equiparado]]="Sí",IF(DATOS!AP$4="Sí",(1/DATOS_[[% anualiz]:[% anualiz]]),1)*IF(DATOS!AP$5="Sí",1/DATOS_[[% normaliz]:[% normaliz]],1)*(DATOS_[Conc.Sal.12])))))))), 0)</f>
        <v>0</v>
      </c>
      <c r="V35" s="302" t="n">
        <f aca="false" t="array" ref="V35:V35">IFERROR( (AVERAGE((IF(DATOS_[[Sexo]:[Sexo]]=$B35,IF(DATOS_[[AGRUP. CLAS. PROF.]:[AGRUP. CLAS. PROF.]]=$B33,IF(DATOS_[[Check Periodo Ref.]:[Check Periodo Ref.]]="Dentro",IF(DATOS_[[Check Equiparado]:[Check Equiparado]]="Sí",IF(DATOS!AQ$4="Sí",(1/DATOS_[[% anualiz]:[% anualiz]]),1)*IF(DATOS!AQ$5="Sí",1/DATOS_[[% normaliz]:[% normaliz]],1)*(DATOS_[Conc.Sal.13])))))))), 0)</f>
        <v>0</v>
      </c>
      <c r="W35" s="302" t="n">
        <f aca="false" t="array" ref="W35:W35">IFERROR( (AVERAGE((IF(DATOS_[[Sexo]:[Sexo]]=$B35,IF(DATOS_[[AGRUP. CLAS. PROF.]:[AGRUP. CLAS. PROF.]]=$B33,IF(DATOS_[[Check Periodo Ref.]:[Check Periodo Ref.]]="Dentro",IF(DATOS_[[Check Equiparado]:[Check Equiparado]]="Sí",IF(DATOS!AR$4="Sí",(1/DATOS_[[% anualiz]:[% anualiz]]),1)*IF(DATOS!AR$5="Sí",1/DATOS_[[% normaliz]:[% normaliz]],1)*(DATOS_[Conc.Sal.14])))))))), 0)</f>
        <v>0</v>
      </c>
      <c r="X35" s="302" t="n">
        <f aca="false" t="array" ref="X35:X35">IFERROR( (AVERAGE((IF(DATOS_[[Sexo]:[Sexo]]=$B35,IF(DATOS_[[AGRUP. CLAS. PROF.]:[AGRUP. CLAS. PROF.]]=$B33,IF(DATOS_[[Check Periodo Ref.]:[Check Periodo Ref.]]="Dentro",IF(DATOS_[[Check Equiparado]:[Check Equiparado]]="Sí",IF(DATOS!AS$4="Sí",(1/DATOS_[[% anualiz]:[% anualiz]]),1)*IF(DATOS!AS$5="Sí",1/DATOS_[[% normaliz]:[% normaliz]],1)*(DATOS_[Conc.Sal.15])))))))), 0)</f>
        <v>0</v>
      </c>
      <c r="Y35" s="302" t="n">
        <f aca="false" t="array" ref="Y35:Y35">IFERROR( (AVERAGE((IF(DATOS_[[Sexo]:[Sexo]]=$B35,IF(DATOS_[[AGRUP. CLAS. PROF.]:[AGRUP. CLAS. PROF.]]=$B33,IF(DATOS_[[Check Periodo Ref.]:[Check Periodo Ref.]]="Dentro",IF(DATOS_[[Check Equiparado]:[Check Equiparado]]="Sí",IF(DATOS!AT$4="Sí",(1/DATOS_[[% anualiz]:[% anualiz]]),1)*IF(DATOS!AT$5="Sí",1/DATOS_[[% normaliz]:[% normaliz]],1)*(DATOS_[Conc.Sal.16])))))))), 0)</f>
        <v>0</v>
      </c>
      <c r="Z35" s="302" t="n">
        <f aca="false" t="array" ref="Z35:Z35">IFERROR( (AVERAGE((IF(DATOS_[[Sexo]:[Sexo]]=$B35,IF(DATOS_[[AGRUP. CLAS. PROF.]:[AGRUP. CLAS. PROF.]]=$B33,IF(DATOS_[[Check Periodo Ref.]:[Check Periodo Ref.]]="Dentro",IF(DATOS_[[Check Equiparado]:[Check Equiparado]]="Sí",IF(DATOS!AU$4="Sí",(1/DATOS_[[% anualiz]:[% anualiz]]),1)*IF(DATOS!AU$5="Sí",1/DATOS_[[% normaliz]:[% normaliz]],1)*(DATOS_[Conc.Sal.17])))))))), 0)</f>
        <v>0</v>
      </c>
      <c r="AA35" s="302" t="n">
        <f aca="false" t="array" ref="AA35:AA35">IFERROR( (AVERAGE((IF(DATOS_[[Sexo]:[Sexo]]=$B35,IF(DATOS_[[AGRUP. CLAS. PROF.]:[AGRUP. CLAS. PROF.]]=$B33,IF(DATOS_[[Check Periodo Ref.]:[Check Periodo Ref.]]="Dentro",IF(DATOS_[[Check Equiparado]:[Check Equiparado]]="Sí",IF(DATOS!AV$4="Sí",(1/DATOS_[[% anualiz]:[% anualiz]]),1)*IF(DATOS!AV$5="Sí",1/DATOS_[[% normaliz]:[% normaliz]],1)*(DATOS_[Conc.Sal.18])))))))), 0)</f>
        <v>0</v>
      </c>
      <c r="AB35" s="302" t="n">
        <f aca="false" t="array" ref="AB35:AB35">IFERROR( (AVERAGE((IF(DATOS_[[Sexo]:[Sexo]]=$B35,IF(DATOS_[[AGRUP. CLAS. PROF.]:[AGRUP. CLAS. PROF.]]=$B33,IF(DATOS_[[Check Periodo Ref.]:[Check Periodo Ref.]]="Dentro",IF(DATOS_[[Check Equiparado]:[Check Equiparado]]="Sí",IF(DATOS!AW$4="Sí",(1/DATOS_[[% anualiz]:[% anualiz]]),1)*IF(DATOS!AW$5="Sí",1/DATOS_[[% normaliz]:[% normaliz]],1)*(DATOS_[Conc.Sal.19])))))))), 0)</f>
        <v>0</v>
      </c>
      <c r="AC35" s="302" t="n">
        <f aca="false" t="array" ref="AC35:AC35">IFERROR( (AVERAGE((IF(DATOS_[[Sexo]:[Sexo]]=$B35,IF(DATOS_[[AGRUP. CLAS. PROF.]:[AGRUP. CLAS. PROF.]]=$B33,IF(DATOS_[[Check Periodo Ref.]:[Check Periodo Ref.]]="Dentro",IF(DATOS_[[Check Equiparado]:[Check Equiparado]]="Sí",IF(DATOS!AX$4="Sí",(1/DATOS_[[% anualiz]:[% anualiz]]),1)*IF(DATOS!AX$5="Sí",1/DATOS_[[% normaliz]:[% normaliz]],1)*(DATOS_[Conc.Sal.20])))))))), 0)</f>
        <v>0</v>
      </c>
      <c r="AD35" s="302" t="n">
        <f aca="false" t="array" ref="AD35:AD35">IFERROR( (AVERAGE((IF(DATOS_[[Sexo]:[Sexo]]=$B35,IF(DATOS_[[AGRUP. CLAS. PROF.]:[AGRUP. CLAS. PROF.]]=$B33,IF(DATOS_[[Check Periodo Ref.]:[Check Periodo Ref.]]="Dentro",IF(DATOS_[[Check Equiparado]:[Check Equiparado]]="Sí",IF(DATOS!AY$4="Sí",(1/DATOS_[[% anualiz]:[% anualiz]]),1)*IF(DATOS!AY$5="Sí",1/DATOS_[[% normaliz]:[% normaliz]],1)*(DATOS_[Conc.Sal.21])))))))), 0)</f>
        <v>0</v>
      </c>
      <c r="AE35" s="302" t="n">
        <f aca="false" t="array" ref="AE35:AE35">IFERROR( (AVERAGE((IF(DATOS_[[Sexo]:[Sexo]]=$B35,IF(DATOS_[[AGRUP. CLAS. PROF.]:[AGRUP. CLAS. PROF.]]=$B33,IF(DATOS_[[Check Periodo Ref.]:[Check Periodo Ref.]]="Dentro",IF(DATOS_[[Check Equiparado]:[Check Equiparado]]="Sí",IF(DATOS!AZ$4="Sí",(1/DATOS_[[% anualiz]:[% anualiz]]),1)*IF(DATOS!AZ$5="Sí",1/DATOS_[[% normaliz]:[% normaliz]],1)*(DATOS_[Conc.Sal.22])))))))), 0)</f>
        <v>0</v>
      </c>
      <c r="AF35" s="302" t="n">
        <f aca="false" t="array" ref="AF35:AF35">IFERROR( (AVERAGE((IF(DATOS_[[Sexo]:[Sexo]]=$B35,IF(DATOS_[[AGRUP. CLAS. PROF.]:[AGRUP. CLAS. PROF.]]=$B33,IF(DATOS_[[Check Periodo Ref.]:[Check Periodo Ref.]]="Dentro",IF(DATOS_[[Check Equiparado]:[Check Equiparado]]="Sí",IF(DATOS!BA$4="Sí",(1/DATOS_[[% anualiz]:[% anualiz]]),1)*IF(DATOS!BA$5="Sí",1/DATOS_[[% normaliz]:[% normaliz]],1)*(DATOS_[Conc.Sal.23])))))))), 0)</f>
        <v>0</v>
      </c>
      <c r="AG35" s="302" t="n">
        <f aca="false" t="array" ref="AG35:AG35">IFERROR( (AVERAGE((IF(DATOS_[[Sexo]:[Sexo]]=$B35,IF(DATOS_[[AGRUP. CLAS. PROF.]:[AGRUP. CLAS. PROF.]]=$B33,IF(DATOS_[[Check Periodo Ref.]:[Check Periodo Ref.]]="Dentro",IF(DATOS_[[Check Equiparado]:[Check Equiparado]]="Sí",IF(DATOS!BB$4="Sí",(1/DATOS_[[% anualiz]:[% anualiz]]),1)*IF(DATOS!BB$5="Sí",1/DATOS_[[% normaliz]:[% normaliz]],1)*(DATOS_[Conc.Sal.24])))))))), 0)</f>
        <v>0</v>
      </c>
      <c r="AH35" s="302" t="n">
        <f aca="false" t="array" ref="AH35:AH35">IFERROR( (AVERAGE((IF(DATOS_[[Sexo]:[Sexo]]=$B35,IF(DATOS_[[AGRUP. CLAS. PROF.]:[AGRUP. CLAS. PROF.]]=$B33,IF(DATOS_[[Check Periodo Ref.]:[Check Periodo Ref.]]="Dentro",IF(DATOS_[[Check Equiparado]:[Check Equiparado]]="Sí",IF(DATOS!BC$4="Sí",(1/DATOS_[[% anualiz]:[% anualiz]]),1)*IF(DATOS!BC$5="Sí",1/DATOS_[[% normaliz]:[% normaliz]],1)*(DATOS_[Conc.Sal.25])))))))), 0)</f>
        <v>0</v>
      </c>
      <c r="AI35" s="302" t="n">
        <f aca="false" t="array" ref="AI35:AI35">IFERROR( (AVERAGE((IF(DATOS_[[Sexo]:[Sexo]]=$B35,IF(DATOS_[[AGRUP. CLAS. PROF.]:[AGRUP. CLAS. PROF.]]=$B33,IF(DATOS_[[Check Periodo Ref.]:[Check Periodo Ref.]]="Dentro",IF(DATOS_[[Check Equiparado]:[Check Equiparado]]="Sí",IF(DATOS!BD$4="Sí",(1/DATOS_[[% anualiz]:[% anualiz]]),1)*IF(DATOS!BD$5="Sí",1/DATOS_[[% normaliz]:[% normaliz]],1)*(DATOS_[Conc.Sal.26])))))))), 0)</f>
        <v>0</v>
      </c>
      <c r="AJ35" s="302" t="n">
        <f aca="false" t="array" ref="AJ35:AJ35">IFERROR( (AVERAGE((IF(DATOS_[[Sexo]:[Sexo]]=$B35,IF(DATOS_[[AGRUP. CLAS. PROF.]:[AGRUP. CLAS. PROF.]]=$B33,IF(DATOS_[[Check Periodo Ref.]:[Check Periodo Ref.]]="Dentro",IF(DATOS_[[Check Equiparado]:[Check Equiparado]]="Sí",IF(DATOS!BE$4="Sí",(1/DATOS_[[% anualiz]:[% anualiz]]),1)*IF(DATOS!BE$5="Sí",1/DATOS_[[% normaliz]:[% normaliz]],1)*(DATOS_[Conc.Sal.27])))))))), 0)</f>
        <v>0</v>
      </c>
      <c r="AK35" s="302" t="n">
        <f aca="false" t="array" ref="AK35:AK35">IFERROR( (AVERAGE((IF(DATOS_[[Sexo]:[Sexo]]=$B35,IF(DATOS_[[AGRUP. CLAS. PROF.]:[AGRUP. CLAS. PROF.]]=$B33,IF(DATOS_[[Check Periodo Ref.]:[Check Periodo Ref.]]="Dentro",IF(DATOS_[[Check Equiparado]:[Check Equiparado]]="Sí",IF(DATOS!BF$4="Sí",(1/DATOS_[[% anualiz]:[% anualiz]]),1)*IF(DATOS!BF$5="Sí",1/DATOS_[[% normaliz]:[% normaliz]],1)*(DATOS_[Conc.Sal.28])))))))), 0)</f>
        <v>0</v>
      </c>
      <c r="AL35" s="302" t="n">
        <f aca="false" t="array" ref="AL35:AL35">IFERROR( (AVERAGE((IF(DATOS_[[Sexo]:[Sexo]]=$B35,IF(DATOS_[[AGRUP. CLAS. PROF.]:[AGRUP. CLAS. PROF.]]=$B33,IF(DATOS_[[Check Periodo Ref.]:[Check Periodo Ref.]]="Dentro",IF(DATOS_[[Check Equiparado]:[Check Equiparado]]="Sí",IF(DATOS!BG$4="Sí",(1/DATOS_[[% anualiz]:[% anualiz]]),1)*IF(DATOS!BG$5="Sí",1/DATOS_[[% normaliz]:[% normaliz]],1)*(DATOS_[Conc.Sal.29])))))))), 0)</f>
        <v>0</v>
      </c>
      <c r="AM35" s="302" t="n">
        <f aca="false" t="array" ref="AM35:AM35">IFERROR( (AVERAGE((IF(DATOS_[[Sexo]:[Sexo]]=$B35,IF(DATOS_[[AGRUP. CLAS. PROF.]:[AGRUP. CLAS. PROF.]]=$B33,IF(DATOS_[[Check Periodo Ref.]:[Check Periodo Ref.]]="Dentro",IF(DATOS_[[Check Equiparado]:[Check Equiparado]]="Sí",IF(DATOS!BH$4="Sí",(1/DATOS_[[% anualiz]:[% anualiz]]),1)*IF(DATOS!BH$5="Sí",1/DATOS_[[% normaliz]:[% normaliz]],1)*(DATOS_[Conc.Sal.30])))))))), 0)</f>
        <v>0</v>
      </c>
      <c r="AN35" s="294" t="n">
        <f aca="false" t="array" ref="AN35:AN35">IFERROR( AVERAGE(IF(DATOS_[Sexo]=$B35,IF(DATOS_[[AGRUP. CLAS. PROF.]:[AGRUP. CLAS. PROF.]]=$B33,IF(DATOS_[Check Equiparado]="Sí",IF(DATOS_[Check Periodo Ref.]="Dentro",DATOS_[Tot COMPL.SAL Eq],0))))), 0)</f>
        <v>0</v>
      </c>
      <c r="AO35" s="295" t="n">
        <f aca="false" t="array" ref="AO35:AO35">IFERROR( AVERAGE(IF(DATOS_[Sexo]=$B35,IF(DATOS_[[AGRUP. CLAS. PROF.]:[AGRUP. CLAS. PROF.]]=$B33,IF(DATOS_[Check Equiparado]="Sí",IF(DATOS_[Check Periodo Ref.]="Dentro",DATOS_[TOTAL SALARIO Eq],0))))), 0)</f>
        <v>0</v>
      </c>
      <c r="AP35" s="303" t="n">
        <f aca="false" t="array" ref="AP35:AP35">IFERROR( (AVERAGE((IF(DATOS_[[Sexo]:[Sexo]]=$B35,IF(DATOS_[[AGRUP. CLAS. PROF.]:[AGRUP. CLAS. PROF.]]=$B34,IF(DATOS_[[Check Periodo Ref.]:[Check Periodo Ref.]]="Dentro",IF(DATOS_[[Check Equiparado]:[Check Equiparado]]="Sí",IF(DATOS!BI$4="Sí",(1/DATOS_[[% anualiz]:[% anualiz]]),1)*IF(DATOS!BI$5="Sí",1/DATOS_[[% normaliz]:[% normaliz]],1)*(DATOS_[C.Extra.01])))))))), 0)</f>
        <v>0</v>
      </c>
      <c r="AQ35" s="303" t="n">
        <f aca="false" t="array" ref="AQ35:AQ35">IFERROR( (AVERAGE((IF(DATOS_[[Sexo]:[Sexo]]=$B35,IF(DATOS_[[AGRUP. CLAS. PROF.]:[AGRUP. CLAS. PROF.]]=$B34,IF(DATOS_[[Check Periodo Ref.]:[Check Periodo Ref.]]="Dentro",IF(DATOS_[[Check Equiparado]:[Check Equiparado]]="Sí",IF(DATOS!BJ$4="Sí",(1/DATOS_[[% anualiz]:[% anualiz]]),1)*IF(DATOS!BJ$5="Sí",1/DATOS_[[% normaliz]:[% normaliz]],1)*(DATOS_[C.Extra.02])))))))), 0)</f>
        <v>0</v>
      </c>
      <c r="AR35" s="303" t="n">
        <f aca="false" t="array" ref="AR35:AR35">IFERROR( (AVERAGE((IF(DATOS_[[Sexo]:[Sexo]]=$B35,IF(DATOS_[[AGRUP. CLAS. PROF.]:[AGRUP. CLAS. PROF.]]=$B34,IF(DATOS_[[Check Periodo Ref.]:[Check Periodo Ref.]]="Dentro",IF(DATOS_[[Check Equiparado]:[Check Equiparado]]="Sí",IF(DATOS!BK$4="Sí",(1/DATOS_[[% anualiz]:[% anualiz]]),1)*IF(DATOS!BK$5="Sí",1/DATOS_[[% normaliz]:[% normaliz]],1)*(DATOS_[C.Extra.03])))))))), 0)</f>
        <v>0</v>
      </c>
      <c r="AS35" s="303" t="n">
        <f aca="false" t="array" ref="AS35:AS35">IFERROR( (AVERAGE((IF(DATOS_[[Sexo]:[Sexo]]=$B35,IF(DATOS_[[AGRUP. CLAS. PROF.]:[AGRUP. CLAS. PROF.]]=$B34,IF(DATOS_[[Check Periodo Ref.]:[Check Periodo Ref.]]="Dentro",IF(DATOS_[[Check Equiparado]:[Check Equiparado]]="Sí",IF(DATOS!BL$4="Sí",(1/DATOS_[[% anualiz]:[% anualiz]]),1)*IF(DATOS!BL$5="Sí",1/DATOS_[[% normaliz]:[% normaliz]],1)*(DATOS_[C.Extra.04])))))))), 0)</f>
        <v>0</v>
      </c>
      <c r="AT35" s="303" t="n">
        <f aca="false" t="array" ref="AT35:AT35">IFERROR( (AVERAGE((IF(DATOS_[[Sexo]:[Sexo]]=$B35,IF(DATOS_[[AGRUP. CLAS. PROF.]:[AGRUP. CLAS. PROF.]]=$B34,IF(DATOS_[[Check Periodo Ref.]:[Check Periodo Ref.]]="Dentro",IF(DATOS_[[Check Equiparado]:[Check Equiparado]]="Sí",IF(DATOS!BM$4="Sí",(1/DATOS_[[% anualiz]:[% anualiz]]),1)*IF(DATOS!BM$5="Sí",1/DATOS_[[% normaliz]:[% normaliz]],1)*(DATOS_[C.Extra.05])))))))), 0)</f>
        <v>0</v>
      </c>
      <c r="AU35" s="297" t="n">
        <f aca="false" t="array" ref="AU35:AU35">IFERROR( AVERAGE(IF(DATOS_[Sexo]=$B35,IF(DATOS_[[AGRUP. CLAS. PROF.]:[AGRUP. CLAS. PROF.]]=$B33,IF(DATOS_[Check Equiparado]="Sí",IF(DATOS_[Check Periodo Ref.]="Dentro",DATOS_[Tot Extrasalarial Eq],0))))), 0)</f>
        <v>0</v>
      </c>
      <c r="AV35" s="298" t="n">
        <f aca="false" t="array" ref="AV35:AV35">IFERROR( AVERAGE(IF(DATOS_[Sexo]=$B35,IF(DATOS_[[AGRUP. CLAS. PROF.]:[AGRUP. CLAS. PROF.]]=$B33,IF(DATOS_[Check Equiparado]="Sí",IF(DATOS_[Check Periodo Ref.]="Dentro",DATOS_[TOTAL Retrib Eq],0))))), 0)</f>
        <v>0</v>
      </c>
    </row>
    <row r="36" customFormat="false" ht="15.75" hidden="false" customHeight="false" outlineLevel="0" collapsed="false">
      <c r="A36" s="166" t="str">
        <f aca="false">+A37</f>
        <v>[ocultar]</v>
      </c>
      <c r="B36" s="276" t="s">
        <v>189</v>
      </c>
      <c r="C36" s="277"/>
      <c r="D36" s="278"/>
      <c r="E36" s="278"/>
      <c r="F36" s="278"/>
      <c r="G36" s="278"/>
      <c r="H36" s="278"/>
      <c r="I36" s="279" t="str">
        <f aca="false">IFERROR((I37-I38)/I37,"")</f>
        <v/>
      </c>
      <c r="J36" s="280" t="str">
        <f aca="false">IFERROR((J37-J38)/J37,"")</f>
        <v/>
      </c>
      <c r="K36" s="281" t="str">
        <f aca="false">IFERROR((K37-K38)/K37,"")</f>
        <v/>
      </c>
      <c r="L36" s="281" t="str">
        <f aca="false">IFERROR((L37-L38)/L37,"")</f>
        <v/>
      </c>
      <c r="M36" s="281" t="str">
        <f aca="false">IFERROR((M37-M38)/M37,"")</f>
        <v/>
      </c>
      <c r="N36" s="282" t="str">
        <f aca="false">IFERROR((N37-N38)/N37,"")</f>
        <v/>
      </c>
      <c r="O36" s="283" t="str">
        <f aca="false">IFERROR((O37-O38)/O37,"")</f>
        <v/>
      </c>
      <c r="P36" s="283" t="str">
        <f aca="false">IFERROR((P37-P38)/P37,"")</f>
        <v/>
      </c>
      <c r="Q36" s="283" t="str">
        <f aca="false">IFERROR((Q37-Q38)/Q37,"")</f>
        <v/>
      </c>
      <c r="R36" s="283" t="str">
        <f aca="false">IFERROR((R37-R38)/R37,"")</f>
        <v/>
      </c>
      <c r="S36" s="283" t="str">
        <f aca="false">IFERROR((S37-S38)/S37,"")</f>
        <v/>
      </c>
      <c r="T36" s="283" t="str">
        <f aca="false">IFERROR((T37-T38)/T37,"")</f>
        <v/>
      </c>
      <c r="U36" s="283" t="str">
        <f aca="false">IFERROR((U37-U38)/U37,"")</f>
        <v/>
      </c>
      <c r="V36" s="283" t="str">
        <f aca="false">IFERROR((V37-V38)/V37,"")</f>
        <v/>
      </c>
      <c r="W36" s="283" t="str">
        <f aca="false">IFERROR((W37-W38)/W37,"")</f>
        <v/>
      </c>
      <c r="X36" s="283" t="str">
        <f aca="false">IFERROR((X37-X38)/X37,"")</f>
        <v/>
      </c>
      <c r="Y36" s="283" t="str">
        <f aca="false">IFERROR((Y37-Y38)/Y37,"")</f>
        <v/>
      </c>
      <c r="Z36" s="282" t="str">
        <f aca="false">IFERROR((Z37-Z38)/Z37,"")</f>
        <v/>
      </c>
      <c r="AA36" s="282" t="str">
        <f aca="false">IFERROR((AA37-AA38)/AA37,"")</f>
        <v/>
      </c>
      <c r="AB36" s="282" t="str">
        <f aca="false">IFERROR((AB37-AB38)/AB37,"")</f>
        <v/>
      </c>
      <c r="AC36" s="282" t="str">
        <f aca="false">IFERROR((AC37-AC38)/AC37,"")</f>
        <v/>
      </c>
      <c r="AD36" s="282" t="str">
        <f aca="false">IFERROR((AD37-AD38)/AD37,"")</f>
        <v/>
      </c>
      <c r="AE36" s="282" t="str">
        <f aca="false">IFERROR((AE37-AE38)/AE37,"")</f>
        <v/>
      </c>
      <c r="AF36" s="282" t="str">
        <f aca="false">IFERROR((AF37-AF38)/AF37,"")</f>
        <v/>
      </c>
      <c r="AG36" s="282" t="str">
        <f aca="false">IFERROR((AG37-AG38)/AG37,"")</f>
        <v/>
      </c>
      <c r="AH36" s="282" t="str">
        <f aca="false">IFERROR((AH37-AH38)/AH37,"")</f>
        <v/>
      </c>
      <c r="AI36" s="282" t="str">
        <f aca="false">IFERROR((AI37-AI38)/AI37,"")</f>
        <v/>
      </c>
      <c r="AJ36" s="282" t="str">
        <f aca="false">IFERROR((AJ37-AJ38)/AJ37,"")</f>
        <v/>
      </c>
      <c r="AK36" s="282" t="str">
        <f aca="false">IFERROR((AK37-AK38)/AK37,"")</f>
        <v/>
      </c>
      <c r="AL36" s="282" t="str">
        <f aca="false">IFERROR((AL37-AL38)/AL37,"")</f>
        <v/>
      </c>
      <c r="AM36" s="282" t="str">
        <f aca="false">IFERROR((AM37-AM38)/AM37,"")</f>
        <v/>
      </c>
      <c r="AN36" s="284" t="str">
        <f aca="false">IFERROR((AN37-AN38)/AN37,"")</f>
        <v/>
      </c>
      <c r="AO36" s="285" t="str">
        <f aca="false">IFERROR((AO37-AO38)/AO37,"")</f>
        <v/>
      </c>
      <c r="AP36" s="286" t="str">
        <f aca="false">IFERROR((AP37-AP38)/AP37,"")</f>
        <v/>
      </c>
      <c r="AQ36" s="286" t="str">
        <f aca="false">IFERROR((AQ37-AQ38)/AQ37,"")</f>
        <v/>
      </c>
      <c r="AR36" s="286" t="str">
        <f aca="false">IFERROR((AR37-AR38)/AR37,"")</f>
        <v/>
      </c>
      <c r="AS36" s="286" t="str">
        <f aca="false">IFERROR((AS37-AS38)/AS37,"")</f>
        <v/>
      </c>
      <c r="AT36" s="286" t="str">
        <f aca="false">IFERROR((AT37-AT38)/AT37,"")</f>
        <v/>
      </c>
      <c r="AU36" s="287" t="str">
        <f aca="false">IFERROR((AU37-AU38)/AU37,"")</f>
        <v/>
      </c>
      <c r="AV36" s="288" t="str">
        <f aca="false">IFERROR((AV37-AV38)/AV37,"")</f>
        <v/>
      </c>
    </row>
    <row r="37" customFormat="false" ht="14.25" hidden="false" customHeight="false" outlineLevel="0" collapsed="false">
      <c r="A37" s="166" t="str">
        <f aca="false">+IF(C37+C38=0,"[ocultar]","")</f>
        <v>[ocultar]</v>
      </c>
      <c r="B37" s="289" t="s">
        <v>371</v>
      </c>
      <c r="C37" s="290" t="n">
        <f aca="false" t="array" ref="C37:C37">SUM(IF($B37=DATOS_[Sexo], IF($B36=DATOS_[AGRUP. CLAS. PROF.], IF("Dentro"=DATOS_[Check Periodo Ref.], 1/(COUNTIFS(DATOS_[Sexo],$B37,DATOS_[AGRUP. CLAS. PROF.],$B36,DATOS_[Check Periodo Ref.],"Dentro",DATOS_[id],DATOS_[id]))))))</f>
        <v>0</v>
      </c>
      <c r="D37" s="291" t="n">
        <f aca="false">COUNTIFS(DATOS_[AGRUP. CLAS. PROF.],$B36,DATOS_[Sexo],$B37,DATOS_[Check Periodo Ref.],"Dentro")</f>
        <v>0</v>
      </c>
      <c r="E37" s="291" t="n">
        <f aca="false">COUNTIFS(DATOS_[AGRUP. CLAS. PROF.],$B36,DATOS_[Sexo],$B37,DATOS_[Check Periodo Ref.],"Dentro",DATOS_[Check Nº SC Norm],"Sí")</f>
        <v>0</v>
      </c>
      <c r="F37" s="291" t="n">
        <f aca="false">COUNTIFS(DATOS_[AGRUP. CLAS. PROF.],$B36,DATOS_[Sexo],$B37,DATOS_[Check Periodo Ref.],"Dentro",DATOS_[Check Nº SC Anualiz],"Sí")</f>
        <v>0</v>
      </c>
      <c r="G37" s="291" t="n">
        <f aca="false">COUNTIFS(DATOS_[AGRUP. CLAS. PROF.],$B36,DATOS_[Sexo],$B37,DATOS_[Check Periodo Ref.],"Dentro",DATOS_[Check Nº SC Norm y Anualiz],"Sí")</f>
        <v>0</v>
      </c>
      <c r="H37" s="291" t="n">
        <f aca="false">COUNTIFS(DATOS_[AGRUP. CLAS. PROF.],$B36,DATOS_[Sexo],$B37,DATOS_[Check Periodo Ref.],"Dentro",DATOS_[Check Equiparación],"Sí")</f>
        <v>0</v>
      </c>
      <c r="I37" s="292" t="n">
        <f aca="false" t="array" ref="I37:I37">IFERROR( AVERAGE(IF(DATOS_[Sexo]=$B37,IF(DATOS_[[AGRUP. CLAS. PROF.]:[AGRUP. CLAS. PROF.]]=$B36,IF(DATOS_[Check Equiparado]="Sí",IF(DATOS_[Check Periodo Ref.]="Dentro",DATOS_[SALARIO BASE Eq],0))))), 0)</f>
        <v>0</v>
      </c>
      <c r="J37" s="302" t="n">
        <f aca="false" t="array" ref="J37:J37">IFERROR( (AVERAGE((IF(DATOS_[[Sexo]:[Sexo]]=$B37,IF(DATOS_[[AGRUP. CLAS. PROF.]:[AGRUP. CLAS. PROF.]]=$B36,IF(DATOS_[[Check Periodo Ref.]:[Check Periodo Ref.]]="Dentro",IF(DATOS_[[Check Equiparado]:[Check Equiparado]]="Sí",IF(DATOS!AE$4="Sí",(1/DATOS_[[% anualiz]:[% anualiz]]),1)*IF(DATOS!AE$5="Sí",1/DATOS_[[% normaliz]:[% normaliz]],1)*(DATOS_[Conc.Sal.01])))))))), 0)</f>
        <v>0</v>
      </c>
      <c r="K37" s="302" t="n">
        <f aca="false" t="array" ref="K37:K37">IFERROR( (AVERAGE((IF(DATOS_[[Sexo]:[Sexo]]=$B37,IF(DATOS_[[AGRUP. CLAS. PROF.]:[AGRUP. CLAS. PROF.]]=$B36,IF(DATOS_[[Check Periodo Ref.]:[Check Periodo Ref.]]="Dentro",IF(DATOS_[[Check Equiparado]:[Check Equiparado]]="Sí",IF(DATOS!AF$4="Sí",(1/DATOS_[[% anualiz]:[% anualiz]]),1)*IF(DATOS!AF$5="Sí",1/DATOS_[[% normaliz]:[% normaliz]],1)*(DATOS_[Conc.Sal.02])))))))), 0)</f>
        <v>0</v>
      </c>
      <c r="L37" s="302" t="n">
        <f aca="false" t="array" ref="L37:L37">IFERROR( (AVERAGE((IF(DATOS_[[Sexo]:[Sexo]]=$B37,IF(DATOS_[[AGRUP. CLAS. PROF.]:[AGRUP. CLAS. PROF.]]=$B36,IF(DATOS_[[Check Periodo Ref.]:[Check Periodo Ref.]]="Dentro",IF(DATOS_[[Check Equiparado]:[Check Equiparado]]="Sí",IF(DATOS!AG$4="Sí",(1/DATOS_[[% anualiz]:[% anualiz]]),1)*IF(DATOS!AG$5="Sí",1/DATOS_[[% normaliz]:[% normaliz]],1)*(DATOS_[Conc.Sal.03])))))))), 0)</f>
        <v>0</v>
      </c>
      <c r="M37" s="302" t="n">
        <f aca="false" t="array" ref="M37:M37">IFERROR( (AVERAGE((IF(DATOS_[[Sexo]:[Sexo]]=$B37,IF(DATOS_[[AGRUP. CLAS. PROF.]:[AGRUP. CLAS. PROF.]]=$B36,IF(DATOS_[[Check Periodo Ref.]:[Check Periodo Ref.]]="Dentro",IF(DATOS_[[Check Equiparado]:[Check Equiparado]]="Sí",IF(DATOS!AH$4="Sí",(1/DATOS_[[% anualiz]:[% anualiz]]),1)*IF(DATOS!AH$5="Sí",1/DATOS_[[% normaliz]:[% normaliz]],1)*(DATOS_[Conc.Sal.04])))))))), 0)</f>
        <v>0</v>
      </c>
      <c r="N37" s="302" t="n">
        <f aca="false" t="array" ref="N37:N37">IFERROR( (AVERAGE((IF(DATOS_[[Sexo]:[Sexo]]=$B37,IF(DATOS_[[AGRUP. CLAS. PROF.]:[AGRUP. CLAS. PROF.]]=$B36,IF(DATOS_[[Check Periodo Ref.]:[Check Periodo Ref.]]="Dentro",IF(DATOS_[[Check Equiparado]:[Check Equiparado]]="Sí",IF(DATOS!AI$4="Sí",(1/DATOS_[[% anualiz]:[% anualiz]]),1)*IF(DATOS!AI$5="Sí",1/DATOS_[[% normaliz]:[% normaliz]],1)*(DATOS_[Conc.Sal.05])))))))), 0)</f>
        <v>0</v>
      </c>
      <c r="O37" s="302" t="n">
        <f aca="false" t="array" ref="O37:O37">IFERROR( (AVERAGE((IF(DATOS_[[Sexo]:[Sexo]]=$B37,IF(DATOS_[[AGRUP. CLAS. PROF.]:[AGRUP. CLAS. PROF.]]=$B36,IF(DATOS_[[Check Periodo Ref.]:[Check Periodo Ref.]]="Dentro",IF(DATOS_[[Check Equiparado]:[Check Equiparado]]="Sí",IF(DATOS!AJ$4="Sí",(1/DATOS_[[% anualiz]:[% anualiz]]),1)*IF(DATOS!AJ$5="Sí",1/DATOS_[[% normaliz]:[% normaliz]],1)*(DATOS_[Conc.Sal.06])))))))), 0)</f>
        <v>0</v>
      </c>
      <c r="P37" s="302" t="n">
        <f aca="false" t="array" ref="P37:P37">IFERROR( (AVERAGE((IF(DATOS_[[Sexo]:[Sexo]]=$B37,IF(DATOS_[[AGRUP. CLAS. PROF.]:[AGRUP. CLAS. PROF.]]=$B36,IF(DATOS_[[Check Periodo Ref.]:[Check Periodo Ref.]]="Dentro",IF(DATOS_[[Check Equiparado]:[Check Equiparado]]="Sí",IF(DATOS!AK$4="Sí",(1/DATOS_[[% anualiz]:[% anualiz]]),1)*IF(DATOS!AK$5="Sí",1/DATOS_[[% normaliz]:[% normaliz]],1)*(DATOS_[Conc.Sal.07])))))))), 0)</f>
        <v>0</v>
      </c>
      <c r="Q37" s="302" t="n">
        <f aca="false" t="array" ref="Q37:Q37">IFERROR( (AVERAGE((IF(DATOS_[[Sexo]:[Sexo]]=$B37,IF(DATOS_[[AGRUP. CLAS. PROF.]:[AGRUP. CLAS. PROF.]]=$B36,IF(DATOS_[[Check Periodo Ref.]:[Check Periodo Ref.]]="Dentro",IF(DATOS_[[Check Equiparado]:[Check Equiparado]]="Sí",IF(DATOS!AL$4="Sí",(1/DATOS_[[% anualiz]:[% anualiz]]),1)*IF(DATOS!AL$5="Sí",1/DATOS_[[% normaliz]:[% normaliz]],1)*(DATOS_[Conc.Sal.08])))))))), 0)</f>
        <v>0</v>
      </c>
      <c r="R37" s="302" t="n">
        <f aca="false" t="array" ref="R37:R37">IFERROR( (AVERAGE((IF(DATOS_[[Sexo]:[Sexo]]=$B37,IF(DATOS_[[AGRUP. CLAS. PROF.]:[AGRUP. CLAS. PROF.]]=$B36,IF(DATOS_[[Check Periodo Ref.]:[Check Periodo Ref.]]="Dentro",IF(DATOS_[[Check Equiparado]:[Check Equiparado]]="Sí",IF(DATOS!AM$4="Sí",(1/DATOS_[[% anualiz]:[% anualiz]]),1)*IF(DATOS!AM$5="Sí",1/DATOS_[[% normaliz]:[% normaliz]],1)*(DATOS_[Conc.Sal.09])))))))), 0)</f>
        <v>0</v>
      </c>
      <c r="S37" s="302" t="n">
        <f aca="false" t="array" ref="S37:S37">IFERROR( (AVERAGE((IF(DATOS_[[Sexo]:[Sexo]]=$B37,IF(DATOS_[[AGRUP. CLAS. PROF.]:[AGRUP. CLAS. PROF.]]=$B36,IF(DATOS_[[Check Periodo Ref.]:[Check Periodo Ref.]]="Dentro",IF(DATOS_[[Check Equiparado]:[Check Equiparado]]="Sí",IF(DATOS!AN$4="Sí",(1/DATOS_[[% anualiz]:[% anualiz]]),1)*IF(DATOS!AN$5="Sí",1/DATOS_[[% normaliz]:[% normaliz]],1)*(DATOS_[Conc.Sal.10])))))))), 0)</f>
        <v>0</v>
      </c>
      <c r="T37" s="302" t="n">
        <f aca="false" t="array" ref="T37:T37">IFERROR( (AVERAGE((IF(DATOS_[[Sexo]:[Sexo]]=$B37,IF(DATOS_[[AGRUP. CLAS. PROF.]:[AGRUP. CLAS. PROF.]]=$B36,IF(DATOS_[[Check Periodo Ref.]:[Check Periodo Ref.]]="Dentro",IF(DATOS_[[Check Equiparado]:[Check Equiparado]]="Sí",IF(DATOS!AO$4="Sí",(1/DATOS_[[% anualiz]:[% anualiz]]),1)*IF(DATOS!AO$5="Sí",1/DATOS_[[% normaliz]:[% normaliz]],1)*(DATOS_[Conc.Sal.11])))))))), 0)</f>
        <v>0</v>
      </c>
      <c r="U37" s="302" t="n">
        <f aca="false" t="array" ref="U37:U37">IFERROR( (AVERAGE((IF(DATOS_[[Sexo]:[Sexo]]=$B37,IF(DATOS_[[AGRUP. CLAS. PROF.]:[AGRUP. CLAS. PROF.]]=$B36,IF(DATOS_[[Check Periodo Ref.]:[Check Periodo Ref.]]="Dentro",IF(DATOS_[[Check Equiparado]:[Check Equiparado]]="Sí",IF(DATOS!AP$4="Sí",(1/DATOS_[[% anualiz]:[% anualiz]]),1)*IF(DATOS!AP$5="Sí",1/DATOS_[[% normaliz]:[% normaliz]],1)*(DATOS_[Conc.Sal.12])))))))), 0)</f>
        <v>0</v>
      </c>
      <c r="V37" s="302" t="n">
        <f aca="false" t="array" ref="V37:V37">IFERROR( (AVERAGE((IF(DATOS_[[Sexo]:[Sexo]]=$B37,IF(DATOS_[[AGRUP. CLAS. PROF.]:[AGRUP. CLAS. PROF.]]=$B36,IF(DATOS_[[Check Periodo Ref.]:[Check Periodo Ref.]]="Dentro",IF(DATOS_[[Check Equiparado]:[Check Equiparado]]="Sí",IF(DATOS!AQ$4="Sí",(1/DATOS_[[% anualiz]:[% anualiz]]),1)*IF(DATOS!AQ$5="Sí",1/DATOS_[[% normaliz]:[% normaliz]],1)*(DATOS_[Conc.Sal.13])))))))), 0)</f>
        <v>0</v>
      </c>
      <c r="W37" s="302" t="n">
        <f aca="false" t="array" ref="W37:W37">IFERROR( (AVERAGE((IF(DATOS_[[Sexo]:[Sexo]]=$B37,IF(DATOS_[[AGRUP. CLAS. PROF.]:[AGRUP. CLAS. PROF.]]=$B36,IF(DATOS_[[Check Periodo Ref.]:[Check Periodo Ref.]]="Dentro",IF(DATOS_[[Check Equiparado]:[Check Equiparado]]="Sí",IF(DATOS!AR$4="Sí",(1/DATOS_[[% anualiz]:[% anualiz]]),1)*IF(DATOS!AR$5="Sí",1/DATOS_[[% normaliz]:[% normaliz]],1)*(DATOS_[Conc.Sal.14])))))))), 0)</f>
        <v>0</v>
      </c>
      <c r="X37" s="302" t="n">
        <f aca="false" t="array" ref="X37:X37">IFERROR( (AVERAGE((IF(DATOS_[[Sexo]:[Sexo]]=$B37,IF(DATOS_[[AGRUP. CLAS. PROF.]:[AGRUP. CLAS. PROF.]]=$B36,IF(DATOS_[[Check Periodo Ref.]:[Check Periodo Ref.]]="Dentro",IF(DATOS_[[Check Equiparado]:[Check Equiparado]]="Sí",IF(DATOS!AS$4="Sí",(1/DATOS_[[% anualiz]:[% anualiz]]),1)*IF(DATOS!AS$5="Sí",1/DATOS_[[% normaliz]:[% normaliz]],1)*(DATOS_[Conc.Sal.15])))))))), 0)</f>
        <v>0</v>
      </c>
      <c r="Y37" s="302" t="n">
        <f aca="false" t="array" ref="Y37:Y37">IFERROR( (AVERAGE((IF(DATOS_[[Sexo]:[Sexo]]=$B37,IF(DATOS_[[AGRUP. CLAS. PROF.]:[AGRUP. CLAS. PROF.]]=$B36,IF(DATOS_[[Check Periodo Ref.]:[Check Periodo Ref.]]="Dentro",IF(DATOS_[[Check Equiparado]:[Check Equiparado]]="Sí",IF(DATOS!AT$4="Sí",(1/DATOS_[[% anualiz]:[% anualiz]]),1)*IF(DATOS!AT$5="Sí",1/DATOS_[[% normaliz]:[% normaliz]],1)*(DATOS_[Conc.Sal.16])))))))), 0)</f>
        <v>0</v>
      </c>
      <c r="Z37" s="302" t="n">
        <f aca="false" t="array" ref="Z37:Z37">IFERROR( (AVERAGE((IF(DATOS_[[Sexo]:[Sexo]]=$B37,IF(DATOS_[[AGRUP. CLAS. PROF.]:[AGRUP. CLAS. PROF.]]=$B36,IF(DATOS_[[Check Periodo Ref.]:[Check Periodo Ref.]]="Dentro",IF(DATOS_[[Check Equiparado]:[Check Equiparado]]="Sí",IF(DATOS!AU$4="Sí",(1/DATOS_[[% anualiz]:[% anualiz]]),1)*IF(DATOS!AU$5="Sí",1/DATOS_[[% normaliz]:[% normaliz]],1)*(DATOS_[Conc.Sal.17])))))))), 0)</f>
        <v>0</v>
      </c>
      <c r="AA37" s="302" t="n">
        <f aca="false" t="array" ref="AA37:AA37">IFERROR( (AVERAGE((IF(DATOS_[[Sexo]:[Sexo]]=$B37,IF(DATOS_[[AGRUP. CLAS. PROF.]:[AGRUP. CLAS. PROF.]]=$B36,IF(DATOS_[[Check Periodo Ref.]:[Check Periodo Ref.]]="Dentro",IF(DATOS_[[Check Equiparado]:[Check Equiparado]]="Sí",IF(DATOS!AV$4="Sí",(1/DATOS_[[% anualiz]:[% anualiz]]),1)*IF(DATOS!AV$5="Sí",1/DATOS_[[% normaliz]:[% normaliz]],1)*(DATOS_[Conc.Sal.18])))))))), 0)</f>
        <v>0</v>
      </c>
      <c r="AB37" s="302" t="n">
        <f aca="false" t="array" ref="AB37:AB37">IFERROR( (AVERAGE((IF(DATOS_[[Sexo]:[Sexo]]=$B37,IF(DATOS_[[AGRUP. CLAS. PROF.]:[AGRUP. CLAS. PROF.]]=$B36,IF(DATOS_[[Check Periodo Ref.]:[Check Periodo Ref.]]="Dentro",IF(DATOS_[[Check Equiparado]:[Check Equiparado]]="Sí",IF(DATOS!AW$4="Sí",(1/DATOS_[[% anualiz]:[% anualiz]]),1)*IF(DATOS!AW$5="Sí",1/DATOS_[[% normaliz]:[% normaliz]],1)*(DATOS_[Conc.Sal.19])))))))), 0)</f>
        <v>0</v>
      </c>
      <c r="AC37" s="302" t="n">
        <f aca="false" t="array" ref="AC37:AC37">IFERROR( (AVERAGE((IF(DATOS_[[Sexo]:[Sexo]]=$B37,IF(DATOS_[[AGRUP. CLAS. PROF.]:[AGRUP. CLAS. PROF.]]=$B36,IF(DATOS_[[Check Periodo Ref.]:[Check Periodo Ref.]]="Dentro",IF(DATOS_[[Check Equiparado]:[Check Equiparado]]="Sí",IF(DATOS!AX$4="Sí",(1/DATOS_[[% anualiz]:[% anualiz]]),1)*IF(DATOS!AX$5="Sí",1/DATOS_[[% normaliz]:[% normaliz]],1)*(DATOS_[Conc.Sal.20])))))))), 0)</f>
        <v>0</v>
      </c>
      <c r="AD37" s="302" t="n">
        <f aca="false" t="array" ref="AD37:AD37">IFERROR( (AVERAGE((IF(DATOS_[[Sexo]:[Sexo]]=$B37,IF(DATOS_[[AGRUP. CLAS. PROF.]:[AGRUP. CLAS. PROF.]]=$B36,IF(DATOS_[[Check Periodo Ref.]:[Check Periodo Ref.]]="Dentro",IF(DATOS_[[Check Equiparado]:[Check Equiparado]]="Sí",IF(DATOS!AY$4="Sí",(1/DATOS_[[% anualiz]:[% anualiz]]),1)*IF(DATOS!AY$5="Sí",1/DATOS_[[% normaliz]:[% normaliz]],1)*(DATOS_[Conc.Sal.21])))))))), 0)</f>
        <v>0</v>
      </c>
      <c r="AE37" s="302" t="n">
        <f aca="false" t="array" ref="AE37:AE37">IFERROR( (AVERAGE((IF(DATOS_[[Sexo]:[Sexo]]=$B37,IF(DATOS_[[AGRUP. CLAS. PROF.]:[AGRUP. CLAS. PROF.]]=$B36,IF(DATOS_[[Check Periodo Ref.]:[Check Periodo Ref.]]="Dentro",IF(DATOS_[[Check Equiparado]:[Check Equiparado]]="Sí",IF(DATOS!AZ$4="Sí",(1/DATOS_[[% anualiz]:[% anualiz]]),1)*IF(DATOS!AZ$5="Sí",1/DATOS_[[% normaliz]:[% normaliz]],1)*(DATOS_[Conc.Sal.22])))))))), 0)</f>
        <v>0</v>
      </c>
      <c r="AF37" s="302" t="n">
        <f aca="false" t="array" ref="AF37:AF37">IFERROR( (AVERAGE((IF(DATOS_[[Sexo]:[Sexo]]=$B37,IF(DATOS_[[AGRUP. CLAS. PROF.]:[AGRUP. CLAS. PROF.]]=$B36,IF(DATOS_[[Check Periodo Ref.]:[Check Periodo Ref.]]="Dentro",IF(DATOS_[[Check Equiparado]:[Check Equiparado]]="Sí",IF(DATOS!BA$4="Sí",(1/DATOS_[[% anualiz]:[% anualiz]]),1)*IF(DATOS!BA$5="Sí",1/DATOS_[[% normaliz]:[% normaliz]],1)*(DATOS_[Conc.Sal.23])))))))), 0)</f>
        <v>0</v>
      </c>
      <c r="AG37" s="302" t="n">
        <f aca="false" t="array" ref="AG37:AG37">IFERROR( (AVERAGE((IF(DATOS_[[Sexo]:[Sexo]]=$B37,IF(DATOS_[[AGRUP. CLAS. PROF.]:[AGRUP. CLAS. PROF.]]=$B36,IF(DATOS_[[Check Periodo Ref.]:[Check Periodo Ref.]]="Dentro",IF(DATOS_[[Check Equiparado]:[Check Equiparado]]="Sí",IF(DATOS!BB$4="Sí",(1/DATOS_[[% anualiz]:[% anualiz]]),1)*IF(DATOS!BB$5="Sí",1/DATOS_[[% normaliz]:[% normaliz]],1)*(DATOS_[Conc.Sal.24])))))))), 0)</f>
        <v>0</v>
      </c>
      <c r="AH37" s="302" t="n">
        <f aca="false" t="array" ref="AH37:AH37">IFERROR( (AVERAGE((IF(DATOS_[[Sexo]:[Sexo]]=$B37,IF(DATOS_[[AGRUP. CLAS. PROF.]:[AGRUP. CLAS. PROF.]]=$B36,IF(DATOS_[[Check Periodo Ref.]:[Check Periodo Ref.]]="Dentro",IF(DATOS_[[Check Equiparado]:[Check Equiparado]]="Sí",IF(DATOS!BC$4="Sí",(1/DATOS_[[% anualiz]:[% anualiz]]),1)*IF(DATOS!BC$5="Sí",1/DATOS_[[% normaliz]:[% normaliz]],1)*(DATOS_[Conc.Sal.25])))))))), 0)</f>
        <v>0</v>
      </c>
      <c r="AI37" s="302" t="n">
        <f aca="false" t="array" ref="AI37:AI37">IFERROR( (AVERAGE((IF(DATOS_[[Sexo]:[Sexo]]=$B37,IF(DATOS_[[AGRUP. CLAS. PROF.]:[AGRUP. CLAS. PROF.]]=$B36,IF(DATOS_[[Check Periodo Ref.]:[Check Periodo Ref.]]="Dentro",IF(DATOS_[[Check Equiparado]:[Check Equiparado]]="Sí",IF(DATOS!BD$4="Sí",(1/DATOS_[[% anualiz]:[% anualiz]]),1)*IF(DATOS!BD$5="Sí",1/DATOS_[[% normaliz]:[% normaliz]],1)*(DATOS_[Conc.Sal.26])))))))), 0)</f>
        <v>0</v>
      </c>
      <c r="AJ37" s="302" t="n">
        <f aca="false" t="array" ref="AJ37:AJ37">IFERROR( (AVERAGE((IF(DATOS_[[Sexo]:[Sexo]]=$B37,IF(DATOS_[[AGRUP. CLAS. PROF.]:[AGRUP. CLAS. PROF.]]=$B36,IF(DATOS_[[Check Periodo Ref.]:[Check Periodo Ref.]]="Dentro",IF(DATOS_[[Check Equiparado]:[Check Equiparado]]="Sí",IF(DATOS!BE$4="Sí",(1/DATOS_[[% anualiz]:[% anualiz]]),1)*IF(DATOS!BE$5="Sí",1/DATOS_[[% normaliz]:[% normaliz]],1)*(DATOS_[Conc.Sal.27])))))))), 0)</f>
        <v>0</v>
      </c>
      <c r="AK37" s="302" t="n">
        <f aca="false" t="array" ref="AK37:AK37">IFERROR( (AVERAGE((IF(DATOS_[[Sexo]:[Sexo]]=$B37,IF(DATOS_[[AGRUP. CLAS. PROF.]:[AGRUP. CLAS. PROF.]]=$B36,IF(DATOS_[[Check Periodo Ref.]:[Check Periodo Ref.]]="Dentro",IF(DATOS_[[Check Equiparado]:[Check Equiparado]]="Sí",IF(DATOS!BF$4="Sí",(1/DATOS_[[% anualiz]:[% anualiz]]),1)*IF(DATOS!BF$5="Sí",1/DATOS_[[% normaliz]:[% normaliz]],1)*(DATOS_[Conc.Sal.28])))))))), 0)</f>
        <v>0</v>
      </c>
      <c r="AL37" s="302" t="n">
        <f aca="false" t="array" ref="AL37:AL37">IFERROR( (AVERAGE((IF(DATOS_[[Sexo]:[Sexo]]=$B37,IF(DATOS_[[AGRUP. CLAS. PROF.]:[AGRUP. CLAS. PROF.]]=$B36,IF(DATOS_[[Check Periodo Ref.]:[Check Periodo Ref.]]="Dentro",IF(DATOS_[[Check Equiparado]:[Check Equiparado]]="Sí",IF(DATOS!BG$4="Sí",(1/DATOS_[[% anualiz]:[% anualiz]]),1)*IF(DATOS!BG$5="Sí",1/DATOS_[[% normaliz]:[% normaliz]],1)*(DATOS_[Conc.Sal.29])))))))), 0)</f>
        <v>0</v>
      </c>
      <c r="AM37" s="302" t="n">
        <f aca="false" t="array" ref="AM37:AM37">IFERROR( (AVERAGE((IF(DATOS_[[Sexo]:[Sexo]]=$B37,IF(DATOS_[[AGRUP. CLAS. PROF.]:[AGRUP. CLAS. PROF.]]=$B36,IF(DATOS_[[Check Periodo Ref.]:[Check Periodo Ref.]]="Dentro",IF(DATOS_[[Check Equiparado]:[Check Equiparado]]="Sí",IF(DATOS!BH$4="Sí",(1/DATOS_[[% anualiz]:[% anualiz]]),1)*IF(DATOS!BH$5="Sí",1/DATOS_[[% normaliz]:[% normaliz]],1)*(DATOS_[Conc.Sal.30])))))))), 0)</f>
        <v>0</v>
      </c>
      <c r="AN37" s="294" t="n">
        <f aca="false" t="array" ref="AN37:AN37">IFERROR( AVERAGE(IF(DATOS_[Sexo]=$B37,IF(DATOS_[[AGRUP. CLAS. PROF.]:[AGRUP. CLAS. PROF.]]=$B36,IF(DATOS_[Check Equiparado]="Sí",IF(DATOS_[Check Periodo Ref.]="Dentro",DATOS_[Tot COMPL.SAL Eq],0))))), 0)</f>
        <v>0</v>
      </c>
      <c r="AO37" s="295" t="n">
        <f aca="false" t="array" ref="AO37:AO37">IFERROR( AVERAGE(IF(DATOS_[Sexo]=$B37,IF(DATOS_[[AGRUP. CLAS. PROF.]:[AGRUP. CLAS. PROF.]]=$B36,IF(DATOS_[Check Equiparado]="Sí",IF(DATOS_[Check Periodo Ref.]="Dentro",DATOS_[TOTAL SALARIO Eq],0))))), 0)</f>
        <v>0</v>
      </c>
      <c r="AP37" s="303" t="n">
        <f aca="false" t="array" ref="AP37:AP37">IFERROR( (AVERAGE((IF(DATOS_[[Sexo]:[Sexo]]=$B37,IF(DATOS_[[AGRUP. CLAS. PROF.]:[AGRUP. CLAS. PROF.]]=$B36,IF(DATOS_[[Check Periodo Ref.]:[Check Periodo Ref.]]="Dentro",IF(DATOS_[[Check Equiparado]:[Check Equiparado]]="Sí",IF(DATOS!BI$4="Sí",(1/DATOS_[[% anualiz]:[% anualiz]]),1)*IF(DATOS!BI$5="Sí",1/DATOS_[[% normaliz]:[% normaliz]],1)*(DATOS_[C.Extra.01])))))))), 0)</f>
        <v>0</v>
      </c>
      <c r="AQ37" s="303" t="n">
        <f aca="false" t="array" ref="AQ37:AQ37">IFERROR( (AVERAGE((IF(DATOS_[[Sexo]:[Sexo]]=$B37,IF(DATOS_[[AGRUP. CLAS. PROF.]:[AGRUP. CLAS. PROF.]]=$B36,IF(DATOS_[[Check Periodo Ref.]:[Check Periodo Ref.]]="Dentro",IF(DATOS_[[Check Equiparado]:[Check Equiparado]]="Sí",IF(DATOS!BJ$4="Sí",(1/DATOS_[[% anualiz]:[% anualiz]]),1)*IF(DATOS!BJ$5="Sí",1/DATOS_[[% normaliz]:[% normaliz]],1)*(DATOS_[C.Extra.02])))))))), 0)</f>
        <v>0</v>
      </c>
      <c r="AR37" s="303" t="n">
        <f aca="false" t="array" ref="AR37:AR37">IFERROR( (AVERAGE((IF(DATOS_[[Sexo]:[Sexo]]=$B37,IF(DATOS_[[AGRUP. CLAS. PROF.]:[AGRUP. CLAS. PROF.]]=$B36,IF(DATOS_[[Check Periodo Ref.]:[Check Periodo Ref.]]="Dentro",IF(DATOS_[[Check Equiparado]:[Check Equiparado]]="Sí",IF(DATOS!BK$4="Sí",(1/DATOS_[[% anualiz]:[% anualiz]]),1)*IF(DATOS!BK$5="Sí",1/DATOS_[[% normaliz]:[% normaliz]],1)*(DATOS_[C.Extra.03])))))))), 0)</f>
        <v>0</v>
      </c>
      <c r="AS37" s="303" t="n">
        <f aca="false" t="array" ref="AS37:AS37">IFERROR( (AVERAGE((IF(DATOS_[[Sexo]:[Sexo]]=$B37,IF(DATOS_[[AGRUP. CLAS. PROF.]:[AGRUP. CLAS. PROF.]]=$B36,IF(DATOS_[[Check Periodo Ref.]:[Check Periodo Ref.]]="Dentro",IF(DATOS_[[Check Equiparado]:[Check Equiparado]]="Sí",IF(DATOS!BL$4="Sí",(1/DATOS_[[% anualiz]:[% anualiz]]),1)*IF(DATOS!BL$5="Sí",1/DATOS_[[% normaliz]:[% normaliz]],1)*(DATOS_[C.Extra.04])))))))), 0)</f>
        <v>0</v>
      </c>
      <c r="AT37" s="303" t="n">
        <f aca="false" t="array" ref="AT37:AT37">IFERROR( (AVERAGE((IF(DATOS_[[Sexo]:[Sexo]]=$B37,IF(DATOS_[[AGRUP. CLAS. PROF.]:[AGRUP. CLAS. PROF.]]=$B36,IF(DATOS_[[Check Periodo Ref.]:[Check Periodo Ref.]]="Dentro",IF(DATOS_[[Check Equiparado]:[Check Equiparado]]="Sí",IF(DATOS!BM$4="Sí",(1/DATOS_[[% anualiz]:[% anualiz]]),1)*IF(DATOS!BM$5="Sí",1/DATOS_[[% normaliz]:[% normaliz]],1)*(DATOS_[C.Extra.05])))))))), 0)</f>
        <v>0</v>
      </c>
      <c r="AU37" s="297" t="n">
        <f aca="false" t="array" ref="AU37:AU37">IFERROR( AVERAGE(IF(DATOS_[Sexo]=$B37,IF(DATOS_[[AGRUP. CLAS. PROF.]:[AGRUP. CLAS. PROF.]]=$B36,IF(DATOS_[Check Equiparado]="Sí",IF(DATOS_[Check Periodo Ref.]="Dentro",DATOS_[Tot Extrasalarial Eq],0))))), 0)</f>
        <v>0</v>
      </c>
      <c r="AV37" s="298" t="n">
        <f aca="false" t="array" ref="AV37:AV37">IFERROR( AVERAGE(IF(DATOS_[Sexo]=$B37,IF(DATOS_[[AGRUP. CLAS. PROF.]:[AGRUP. CLAS. PROF.]]=$B36,IF(DATOS_[Check Equiparado]="Sí",IF(DATOS_[Check Periodo Ref.]="Dentro",DATOS_[TOTAL Retrib Eq],0))))), 0)</f>
        <v>0</v>
      </c>
    </row>
    <row r="38" customFormat="false" ht="14.25" hidden="false" customHeight="false" outlineLevel="0" collapsed="false">
      <c r="A38" s="166" t="str">
        <f aca="false">+A37</f>
        <v>[ocultar]</v>
      </c>
      <c r="B38" s="289" t="s">
        <v>372</v>
      </c>
      <c r="C38" s="290" t="n">
        <f aca="false" t="array" ref="C38:C38">SUM(IF($B38=DATOS_[Sexo], IF($B36=DATOS_[AGRUP. CLAS. PROF.], IF("Dentro"=DATOS_[Check Periodo Ref.], 1/(COUNTIFS(DATOS_[Sexo],$B38,DATOS_[AGRUP. CLAS. PROF.],$B36,DATOS_[Check Periodo Ref.],"Dentro",DATOS_[id],DATOS_[id]))))))</f>
        <v>0</v>
      </c>
      <c r="D38" s="291" t="n">
        <f aca="false">COUNTIFS(DATOS_[AGRUP. CLAS. PROF.],$B36,DATOS_[Sexo],$B38,DATOS_[Check Periodo Ref.],"Dentro")</f>
        <v>0</v>
      </c>
      <c r="E38" s="291" t="n">
        <f aca="false">COUNTIFS(DATOS_[AGRUP. CLAS. PROF.],$B36,DATOS_[Sexo],$B38,DATOS_[Check Periodo Ref.],"Dentro",DATOS_[Check Nº SC Norm],"Sí")</f>
        <v>0</v>
      </c>
      <c r="F38" s="291" t="n">
        <f aca="false">COUNTIFS(DATOS_[AGRUP. CLAS. PROF.],$B36,DATOS_[Sexo],$B38,DATOS_[Check Periodo Ref.],"Dentro",DATOS_[Check Nº SC Anualiz],"Sí")</f>
        <v>0</v>
      </c>
      <c r="G38" s="291" t="n">
        <f aca="false">COUNTIFS(DATOS_[AGRUP. CLAS. PROF.],$B36,DATOS_[Sexo],$B38,DATOS_[Check Periodo Ref.],"Dentro",DATOS_[Check Nº SC Norm y Anualiz],"Sí")</f>
        <v>0</v>
      </c>
      <c r="H38" s="291" t="n">
        <f aca="false">COUNTIFS(DATOS_[AGRUP. CLAS. PROF.],$B36,DATOS_[Sexo],$B38,DATOS_[Check Periodo Ref.],"Dentro",DATOS_[Check Equiparación],"Sí")</f>
        <v>0</v>
      </c>
      <c r="I38" s="292" t="n">
        <f aca="false" t="array" ref="I38:I38">IFERROR( AVERAGE(IF(DATOS_[Sexo]=$B38,IF(DATOS_[[AGRUP. CLAS. PROF.]:[AGRUP. CLAS. PROF.]]=$B36,IF(DATOS_[Check Equiparado]="Sí",IF(DATOS_[Check Periodo Ref.]="Dentro",DATOS_[SALARIO BASE Eq],0))))), 0)</f>
        <v>0</v>
      </c>
      <c r="J38" s="302" t="n">
        <f aca="false" t="array" ref="J38:J38">IFERROR( (AVERAGE((IF(DATOS_[[Sexo]:[Sexo]]=$B38,IF(DATOS_[[AGRUP. CLAS. PROF.]:[AGRUP. CLAS. PROF.]]=$B36,IF(DATOS_[[Check Periodo Ref.]:[Check Periodo Ref.]]="Dentro",IF(DATOS_[[Check Equiparado]:[Check Equiparado]]="Sí",IF(DATOS!AE$4="Sí",(1/DATOS_[[% anualiz]:[% anualiz]]),1)*IF(DATOS!AE$5="Sí",1/DATOS_[[% normaliz]:[% normaliz]],1)*(DATOS_[Conc.Sal.01])))))))), 0)</f>
        <v>0</v>
      </c>
      <c r="K38" s="302" t="n">
        <f aca="false" t="array" ref="K38:K38">IFERROR( (AVERAGE((IF(DATOS_[[Sexo]:[Sexo]]=$B38,IF(DATOS_[[AGRUP. CLAS. PROF.]:[AGRUP. CLAS. PROF.]]=$B36,IF(DATOS_[[Check Periodo Ref.]:[Check Periodo Ref.]]="Dentro",IF(DATOS_[[Check Equiparado]:[Check Equiparado]]="Sí",IF(DATOS!AF$4="Sí",(1/DATOS_[[% anualiz]:[% anualiz]]),1)*IF(DATOS!AF$5="Sí",1/DATOS_[[% normaliz]:[% normaliz]],1)*(DATOS_[Conc.Sal.02])))))))), 0)</f>
        <v>0</v>
      </c>
      <c r="L38" s="302" t="n">
        <f aca="false" t="array" ref="L38:L38">IFERROR( (AVERAGE((IF(DATOS_[[Sexo]:[Sexo]]=$B38,IF(DATOS_[[AGRUP. CLAS. PROF.]:[AGRUP. CLAS. PROF.]]=$B36,IF(DATOS_[[Check Periodo Ref.]:[Check Periodo Ref.]]="Dentro",IF(DATOS_[[Check Equiparado]:[Check Equiparado]]="Sí",IF(DATOS!AG$4="Sí",(1/DATOS_[[% anualiz]:[% anualiz]]),1)*IF(DATOS!AG$5="Sí",1/DATOS_[[% normaliz]:[% normaliz]],1)*(DATOS_[Conc.Sal.03])))))))), 0)</f>
        <v>0</v>
      </c>
      <c r="M38" s="302" t="n">
        <f aca="false" t="array" ref="M38:M38">IFERROR( (AVERAGE((IF(DATOS_[[Sexo]:[Sexo]]=$B38,IF(DATOS_[[AGRUP. CLAS. PROF.]:[AGRUP. CLAS. PROF.]]=$B36,IF(DATOS_[[Check Periodo Ref.]:[Check Periodo Ref.]]="Dentro",IF(DATOS_[[Check Equiparado]:[Check Equiparado]]="Sí",IF(DATOS!AH$4="Sí",(1/DATOS_[[% anualiz]:[% anualiz]]),1)*IF(DATOS!AH$5="Sí",1/DATOS_[[% normaliz]:[% normaliz]],1)*(DATOS_[Conc.Sal.04])))))))), 0)</f>
        <v>0</v>
      </c>
      <c r="N38" s="302" t="n">
        <f aca="false" t="array" ref="N38:N38">IFERROR( (AVERAGE((IF(DATOS_[[Sexo]:[Sexo]]=$B38,IF(DATOS_[[AGRUP. CLAS. PROF.]:[AGRUP. CLAS. PROF.]]=$B36,IF(DATOS_[[Check Periodo Ref.]:[Check Periodo Ref.]]="Dentro",IF(DATOS_[[Check Equiparado]:[Check Equiparado]]="Sí",IF(DATOS!AI$4="Sí",(1/DATOS_[[% anualiz]:[% anualiz]]),1)*IF(DATOS!AI$5="Sí",1/DATOS_[[% normaliz]:[% normaliz]],1)*(DATOS_[Conc.Sal.05])))))))), 0)</f>
        <v>0</v>
      </c>
      <c r="O38" s="302" t="n">
        <f aca="false" t="array" ref="O38:O38">IFERROR( (AVERAGE((IF(DATOS_[[Sexo]:[Sexo]]=$B38,IF(DATOS_[[AGRUP. CLAS. PROF.]:[AGRUP. CLAS. PROF.]]=$B36,IF(DATOS_[[Check Periodo Ref.]:[Check Periodo Ref.]]="Dentro",IF(DATOS_[[Check Equiparado]:[Check Equiparado]]="Sí",IF(DATOS!AJ$4="Sí",(1/DATOS_[[% anualiz]:[% anualiz]]),1)*IF(DATOS!AJ$5="Sí",1/DATOS_[[% normaliz]:[% normaliz]],1)*(DATOS_[Conc.Sal.06])))))))), 0)</f>
        <v>0</v>
      </c>
      <c r="P38" s="302" t="n">
        <f aca="false" t="array" ref="P38:P38">IFERROR( (AVERAGE((IF(DATOS_[[Sexo]:[Sexo]]=$B38,IF(DATOS_[[AGRUP. CLAS. PROF.]:[AGRUP. CLAS. PROF.]]=$B36,IF(DATOS_[[Check Periodo Ref.]:[Check Periodo Ref.]]="Dentro",IF(DATOS_[[Check Equiparado]:[Check Equiparado]]="Sí",IF(DATOS!AK$4="Sí",(1/DATOS_[[% anualiz]:[% anualiz]]),1)*IF(DATOS!AK$5="Sí",1/DATOS_[[% normaliz]:[% normaliz]],1)*(DATOS_[Conc.Sal.07])))))))), 0)</f>
        <v>0</v>
      </c>
      <c r="Q38" s="302" t="n">
        <f aca="false" t="array" ref="Q38:Q38">IFERROR( (AVERAGE((IF(DATOS_[[Sexo]:[Sexo]]=$B38,IF(DATOS_[[AGRUP. CLAS. PROF.]:[AGRUP. CLAS. PROF.]]=$B36,IF(DATOS_[[Check Periodo Ref.]:[Check Periodo Ref.]]="Dentro",IF(DATOS_[[Check Equiparado]:[Check Equiparado]]="Sí",IF(DATOS!AL$4="Sí",(1/DATOS_[[% anualiz]:[% anualiz]]),1)*IF(DATOS!AL$5="Sí",1/DATOS_[[% normaliz]:[% normaliz]],1)*(DATOS_[Conc.Sal.08])))))))), 0)</f>
        <v>0</v>
      </c>
      <c r="R38" s="302" t="n">
        <f aca="false" t="array" ref="R38:R38">IFERROR( (AVERAGE((IF(DATOS_[[Sexo]:[Sexo]]=$B38,IF(DATOS_[[AGRUP. CLAS. PROF.]:[AGRUP. CLAS. PROF.]]=$B36,IF(DATOS_[[Check Periodo Ref.]:[Check Periodo Ref.]]="Dentro",IF(DATOS_[[Check Equiparado]:[Check Equiparado]]="Sí",IF(DATOS!AM$4="Sí",(1/DATOS_[[% anualiz]:[% anualiz]]),1)*IF(DATOS!AM$5="Sí",1/DATOS_[[% normaliz]:[% normaliz]],1)*(DATOS_[Conc.Sal.09])))))))), 0)</f>
        <v>0</v>
      </c>
      <c r="S38" s="302" t="n">
        <f aca="false" t="array" ref="S38:S38">IFERROR( (AVERAGE((IF(DATOS_[[Sexo]:[Sexo]]=$B38,IF(DATOS_[[AGRUP. CLAS. PROF.]:[AGRUP. CLAS. PROF.]]=$B36,IF(DATOS_[[Check Periodo Ref.]:[Check Periodo Ref.]]="Dentro",IF(DATOS_[[Check Equiparado]:[Check Equiparado]]="Sí",IF(DATOS!AN$4="Sí",(1/DATOS_[[% anualiz]:[% anualiz]]),1)*IF(DATOS!AN$5="Sí",1/DATOS_[[% normaliz]:[% normaliz]],1)*(DATOS_[Conc.Sal.10])))))))), 0)</f>
        <v>0</v>
      </c>
      <c r="T38" s="302" t="n">
        <f aca="false" t="array" ref="T38:T38">IFERROR( (AVERAGE((IF(DATOS_[[Sexo]:[Sexo]]=$B38,IF(DATOS_[[AGRUP. CLAS. PROF.]:[AGRUP. CLAS. PROF.]]=$B36,IF(DATOS_[[Check Periodo Ref.]:[Check Periodo Ref.]]="Dentro",IF(DATOS_[[Check Equiparado]:[Check Equiparado]]="Sí",IF(DATOS!AO$4="Sí",(1/DATOS_[[% anualiz]:[% anualiz]]),1)*IF(DATOS!AO$5="Sí",1/DATOS_[[% normaliz]:[% normaliz]],1)*(DATOS_[Conc.Sal.11])))))))), 0)</f>
        <v>0</v>
      </c>
      <c r="U38" s="302" t="n">
        <f aca="false" t="array" ref="U38:U38">IFERROR( (AVERAGE((IF(DATOS_[[Sexo]:[Sexo]]=$B38,IF(DATOS_[[AGRUP. CLAS. PROF.]:[AGRUP. CLAS. PROF.]]=$B36,IF(DATOS_[[Check Periodo Ref.]:[Check Periodo Ref.]]="Dentro",IF(DATOS_[[Check Equiparado]:[Check Equiparado]]="Sí",IF(DATOS!AP$4="Sí",(1/DATOS_[[% anualiz]:[% anualiz]]),1)*IF(DATOS!AP$5="Sí",1/DATOS_[[% normaliz]:[% normaliz]],1)*(DATOS_[Conc.Sal.12])))))))), 0)</f>
        <v>0</v>
      </c>
      <c r="V38" s="302" t="n">
        <f aca="false" t="array" ref="V38:V38">IFERROR( (AVERAGE((IF(DATOS_[[Sexo]:[Sexo]]=$B38,IF(DATOS_[[AGRUP. CLAS. PROF.]:[AGRUP. CLAS. PROF.]]=$B36,IF(DATOS_[[Check Periodo Ref.]:[Check Periodo Ref.]]="Dentro",IF(DATOS_[[Check Equiparado]:[Check Equiparado]]="Sí",IF(DATOS!AQ$4="Sí",(1/DATOS_[[% anualiz]:[% anualiz]]),1)*IF(DATOS!AQ$5="Sí",1/DATOS_[[% normaliz]:[% normaliz]],1)*(DATOS_[Conc.Sal.13])))))))), 0)</f>
        <v>0</v>
      </c>
      <c r="W38" s="302" t="n">
        <f aca="false" t="array" ref="W38:W38">IFERROR( (AVERAGE((IF(DATOS_[[Sexo]:[Sexo]]=$B38,IF(DATOS_[[AGRUP. CLAS. PROF.]:[AGRUP. CLAS. PROF.]]=$B36,IF(DATOS_[[Check Periodo Ref.]:[Check Periodo Ref.]]="Dentro",IF(DATOS_[[Check Equiparado]:[Check Equiparado]]="Sí",IF(DATOS!AR$4="Sí",(1/DATOS_[[% anualiz]:[% anualiz]]),1)*IF(DATOS!AR$5="Sí",1/DATOS_[[% normaliz]:[% normaliz]],1)*(DATOS_[Conc.Sal.14])))))))), 0)</f>
        <v>0</v>
      </c>
      <c r="X38" s="302" t="n">
        <f aca="false" t="array" ref="X38:X38">IFERROR( (AVERAGE((IF(DATOS_[[Sexo]:[Sexo]]=$B38,IF(DATOS_[[AGRUP. CLAS. PROF.]:[AGRUP. CLAS. PROF.]]=$B36,IF(DATOS_[[Check Periodo Ref.]:[Check Periodo Ref.]]="Dentro",IF(DATOS_[[Check Equiparado]:[Check Equiparado]]="Sí",IF(DATOS!AS$4="Sí",(1/DATOS_[[% anualiz]:[% anualiz]]),1)*IF(DATOS!AS$5="Sí",1/DATOS_[[% normaliz]:[% normaliz]],1)*(DATOS_[Conc.Sal.15])))))))), 0)</f>
        <v>0</v>
      </c>
      <c r="Y38" s="302" t="n">
        <f aca="false" t="array" ref="Y38:Y38">IFERROR( (AVERAGE((IF(DATOS_[[Sexo]:[Sexo]]=$B38,IF(DATOS_[[AGRUP. CLAS. PROF.]:[AGRUP. CLAS. PROF.]]=$B36,IF(DATOS_[[Check Periodo Ref.]:[Check Periodo Ref.]]="Dentro",IF(DATOS_[[Check Equiparado]:[Check Equiparado]]="Sí",IF(DATOS!AT$4="Sí",(1/DATOS_[[% anualiz]:[% anualiz]]),1)*IF(DATOS!AT$5="Sí",1/DATOS_[[% normaliz]:[% normaliz]],1)*(DATOS_[Conc.Sal.16])))))))), 0)</f>
        <v>0</v>
      </c>
      <c r="Z38" s="302" t="n">
        <f aca="false" t="array" ref="Z38:Z38">IFERROR( (AVERAGE((IF(DATOS_[[Sexo]:[Sexo]]=$B38,IF(DATOS_[[AGRUP. CLAS. PROF.]:[AGRUP. CLAS. PROF.]]=$B36,IF(DATOS_[[Check Periodo Ref.]:[Check Periodo Ref.]]="Dentro",IF(DATOS_[[Check Equiparado]:[Check Equiparado]]="Sí",IF(DATOS!AU$4="Sí",(1/DATOS_[[% anualiz]:[% anualiz]]),1)*IF(DATOS!AU$5="Sí",1/DATOS_[[% normaliz]:[% normaliz]],1)*(DATOS_[Conc.Sal.17])))))))), 0)</f>
        <v>0</v>
      </c>
      <c r="AA38" s="302" t="n">
        <f aca="false" t="array" ref="AA38:AA38">IFERROR( (AVERAGE((IF(DATOS_[[Sexo]:[Sexo]]=$B38,IF(DATOS_[[AGRUP. CLAS. PROF.]:[AGRUP. CLAS. PROF.]]=$B36,IF(DATOS_[[Check Periodo Ref.]:[Check Periodo Ref.]]="Dentro",IF(DATOS_[[Check Equiparado]:[Check Equiparado]]="Sí",IF(DATOS!AV$4="Sí",(1/DATOS_[[% anualiz]:[% anualiz]]),1)*IF(DATOS!AV$5="Sí",1/DATOS_[[% normaliz]:[% normaliz]],1)*(DATOS_[Conc.Sal.18])))))))), 0)</f>
        <v>0</v>
      </c>
      <c r="AB38" s="302" t="n">
        <f aca="false" t="array" ref="AB38:AB38">IFERROR( (AVERAGE((IF(DATOS_[[Sexo]:[Sexo]]=$B38,IF(DATOS_[[AGRUP. CLAS. PROF.]:[AGRUP. CLAS. PROF.]]=$B36,IF(DATOS_[[Check Periodo Ref.]:[Check Periodo Ref.]]="Dentro",IF(DATOS_[[Check Equiparado]:[Check Equiparado]]="Sí",IF(DATOS!AW$4="Sí",(1/DATOS_[[% anualiz]:[% anualiz]]),1)*IF(DATOS!AW$5="Sí",1/DATOS_[[% normaliz]:[% normaliz]],1)*(DATOS_[Conc.Sal.19])))))))), 0)</f>
        <v>0</v>
      </c>
      <c r="AC38" s="302" t="n">
        <f aca="false" t="array" ref="AC38:AC38">IFERROR( (AVERAGE((IF(DATOS_[[Sexo]:[Sexo]]=$B38,IF(DATOS_[[AGRUP. CLAS. PROF.]:[AGRUP. CLAS. PROF.]]=$B36,IF(DATOS_[[Check Periodo Ref.]:[Check Periodo Ref.]]="Dentro",IF(DATOS_[[Check Equiparado]:[Check Equiparado]]="Sí",IF(DATOS!AX$4="Sí",(1/DATOS_[[% anualiz]:[% anualiz]]),1)*IF(DATOS!AX$5="Sí",1/DATOS_[[% normaliz]:[% normaliz]],1)*(DATOS_[Conc.Sal.20])))))))), 0)</f>
        <v>0</v>
      </c>
      <c r="AD38" s="302" t="n">
        <f aca="false" t="array" ref="AD38:AD38">IFERROR( (AVERAGE((IF(DATOS_[[Sexo]:[Sexo]]=$B38,IF(DATOS_[[AGRUP. CLAS. PROF.]:[AGRUP. CLAS. PROF.]]=$B36,IF(DATOS_[[Check Periodo Ref.]:[Check Periodo Ref.]]="Dentro",IF(DATOS_[[Check Equiparado]:[Check Equiparado]]="Sí",IF(DATOS!AY$4="Sí",(1/DATOS_[[% anualiz]:[% anualiz]]),1)*IF(DATOS!AY$5="Sí",1/DATOS_[[% normaliz]:[% normaliz]],1)*(DATOS_[Conc.Sal.21])))))))), 0)</f>
        <v>0</v>
      </c>
      <c r="AE38" s="302" t="n">
        <f aca="false" t="array" ref="AE38:AE38">IFERROR( (AVERAGE((IF(DATOS_[[Sexo]:[Sexo]]=$B38,IF(DATOS_[[AGRUP. CLAS. PROF.]:[AGRUP. CLAS. PROF.]]=$B36,IF(DATOS_[[Check Periodo Ref.]:[Check Periodo Ref.]]="Dentro",IF(DATOS_[[Check Equiparado]:[Check Equiparado]]="Sí",IF(DATOS!AZ$4="Sí",(1/DATOS_[[% anualiz]:[% anualiz]]),1)*IF(DATOS!AZ$5="Sí",1/DATOS_[[% normaliz]:[% normaliz]],1)*(DATOS_[Conc.Sal.22])))))))), 0)</f>
        <v>0</v>
      </c>
      <c r="AF38" s="302" t="n">
        <f aca="false" t="array" ref="AF38:AF38">IFERROR( (AVERAGE((IF(DATOS_[[Sexo]:[Sexo]]=$B38,IF(DATOS_[[AGRUP. CLAS. PROF.]:[AGRUP. CLAS. PROF.]]=$B36,IF(DATOS_[[Check Periodo Ref.]:[Check Periodo Ref.]]="Dentro",IF(DATOS_[[Check Equiparado]:[Check Equiparado]]="Sí",IF(DATOS!BA$4="Sí",(1/DATOS_[[% anualiz]:[% anualiz]]),1)*IF(DATOS!BA$5="Sí",1/DATOS_[[% normaliz]:[% normaliz]],1)*(DATOS_[Conc.Sal.23])))))))), 0)</f>
        <v>0</v>
      </c>
      <c r="AG38" s="302" t="n">
        <f aca="false" t="array" ref="AG38:AG38">IFERROR( (AVERAGE((IF(DATOS_[[Sexo]:[Sexo]]=$B38,IF(DATOS_[[AGRUP. CLAS. PROF.]:[AGRUP. CLAS. PROF.]]=$B36,IF(DATOS_[[Check Periodo Ref.]:[Check Periodo Ref.]]="Dentro",IF(DATOS_[[Check Equiparado]:[Check Equiparado]]="Sí",IF(DATOS!BB$4="Sí",(1/DATOS_[[% anualiz]:[% anualiz]]),1)*IF(DATOS!BB$5="Sí",1/DATOS_[[% normaliz]:[% normaliz]],1)*(DATOS_[Conc.Sal.24])))))))), 0)</f>
        <v>0</v>
      </c>
      <c r="AH38" s="302" t="n">
        <f aca="false" t="array" ref="AH38:AH38">IFERROR( (AVERAGE((IF(DATOS_[[Sexo]:[Sexo]]=$B38,IF(DATOS_[[AGRUP. CLAS. PROF.]:[AGRUP. CLAS. PROF.]]=$B36,IF(DATOS_[[Check Periodo Ref.]:[Check Periodo Ref.]]="Dentro",IF(DATOS_[[Check Equiparado]:[Check Equiparado]]="Sí",IF(DATOS!BC$4="Sí",(1/DATOS_[[% anualiz]:[% anualiz]]),1)*IF(DATOS!BC$5="Sí",1/DATOS_[[% normaliz]:[% normaliz]],1)*(DATOS_[Conc.Sal.25])))))))), 0)</f>
        <v>0</v>
      </c>
      <c r="AI38" s="302" t="n">
        <f aca="false" t="array" ref="AI38:AI38">IFERROR( (AVERAGE((IF(DATOS_[[Sexo]:[Sexo]]=$B38,IF(DATOS_[[AGRUP. CLAS. PROF.]:[AGRUP. CLAS. PROF.]]=$B36,IF(DATOS_[[Check Periodo Ref.]:[Check Periodo Ref.]]="Dentro",IF(DATOS_[[Check Equiparado]:[Check Equiparado]]="Sí",IF(DATOS!BD$4="Sí",(1/DATOS_[[% anualiz]:[% anualiz]]),1)*IF(DATOS!BD$5="Sí",1/DATOS_[[% normaliz]:[% normaliz]],1)*(DATOS_[Conc.Sal.26])))))))), 0)</f>
        <v>0</v>
      </c>
      <c r="AJ38" s="302" t="n">
        <f aca="false" t="array" ref="AJ38:AJ38">IFERROR( (AVERAGE((IF(DATOS_[[Sexo]:[Sexo]]=$B38,IF(DATOS_[[AGRUP. CLAS. PROF.]:[AGRUP. CLAS. PROF.]]=$B36,IF(DATOS_[[Check Periodo Ref.]:[Check Periodo Ref.]]="Dentro",IF(DATOS_[[Check Equiparado]:[Check Equiparado]]="Sí",IF(DATOS!BE$4="Sí",(1/DATOS_[[% anualiz]:[% anualiz]]),1)*IF(DATOS!BE$5="Sí",1/DATOS_[[% normaliz]:[% normaliz]],1)*(DATOS_[Conc.Sal.27])))))))), 0)</f>
        <v>0</v>
      </c>
      <c r="AK38" s="302" t="n">
        <f aca="false" t="array" ref="AK38:AK38">IFERROR( (AVERAGE((IF(DATOS_[[Sexo]:[Sexo]]=$B38,IF(DATOS_[[AGRUP. CLAS. PROF.]:[AGRUP. CLAS. PROF.]]=$B36,IF(DATOS_[[Check Periodo Ref.]:[Check Periodo Ref.]]="Dentro",IF(DATOS_[[Check Equiparado]:[Check Equiparado]]="Sí",IF(DATOS!BF$4="Sí",(1/DATOS_[[% anualiz]:[% anualiz]]),1)*IF(DATOS!BF$5="Sí",1/DATOS_[[% normaliz]:[% normaliz]],1)*(DATOS_[Conc.Sal.28])))))))), 0)</f>
        <v>0</v>
      </c>
      <c r="AL38" s="302" t="n">
        <f aca="false" t="array" ref="AL38:AL38">IFERROR( (AVERAGE((IF(DATOS_[[Sexo]:[Sexo]]=$B38,IF(DATOS_[[AGRUP. CLAS. PROF.]:[AGRUP. CLAS. PROF.]]=$B36,IF(DATOS_[[Check Periodo Ref.]:[Check Periodo Ref.]]="Dentro",IF(DATOS_[[Check Equiparado]:[Check Equiparado]]="Sí",IF(DATOS!BG$4="Sí",(1/DATOS_[[% anualiz]:[% anualiz]]),1)*IF(DATOS!BG$5="Sí",1/DATOS_[[% normaliz]:[% normaliz]],1)*(DATOS_[Conc.Sal.29])))))))), 0)</f>
        <v>0</v>
      </c>
      <c r="AM38" s="302" t="n">
        <f aca="false" t="array" ref="AM38:AM38">IFERROR( (AVERAGE((IF(DATOS_[[Sexo]:[Sexo]]=$B38,IF(DATOS_[[AGRUP. CLAS. PROF.]:[AGRUP. CLAS. PROF.]]=$B36,IF(DATOS_[[Check Periodo Ref.]:[Check Periodo Ref.]]="Dentro",IF(DATOS_[[Check Equiparado]:[Check Equiparado]]="Sí",IF(DATOS!BH$4="Sí",(1/DATOS_[[% anualiz]:[% anualiz]]),1)*IF(DATOS!BH$5="Sí",1/DATOS_[[% normaliz]:[% normaliz]],1)*(DATOS_[Conc.Sal.30])))))))), 0)</f>
        <v>0</v>
      </c>
      <c r="AN38" s="294" t="n">
        <f aca="false" t="array" ref="AN38:AN38">IFERROR( AVERAGE(IF(DATOS_[Sexo]=$B38,IF(DATOS_[[AGRUP. CLAS. PROF.]:[AGRUP. CLAS. PROF.]]=$B36,IF(DATOS_[Check Equiparado]="Sí",IF(DATOS_[Check Periodo Ref.]="Dentro",DATOS_[Tot COMPL.SAL Eq],0))))), 0)</f>
        <v>0</v>
      </c>
      <c r="AO38" s="295" t="n">
        <f aca="false" t="array" ref="AO38:AO38">IFERROR( AVERAGE(IF(DATOS_[Sexo]=$B38,IF(DATOS_[[AGRUP. CLAS. PROF.]:[AGRUP. CLAS. PROF.]]=$B36,IF(DATOS_[Check Equiparado]="Sí",IF(DATOS_[Check Periodo Ref.]="Dentro",DATOS_[TOTAL SALARIO Eq],0))))), 0)</f>
        <v>0</v>
      </c>
      <c r="AP38" s="303" t="n">
        <f aca="false" t="array" ref="AP38:AP38">IFERROR( (AVERAGE((IF(DATOS_[[Sexo]:[Sexo]]=$B38,IF(DATOS_[[AGRUP. CLAS. PROF.]:[AGRUP. CLAS. PROF.]]=$B37,IF(DATOS_[[Check Periodo Ref.]:[Check Periodo Ref.]]="Dentro",IF(DATOS_[[Check Equiparado]:[Check Equiparado]]="Sí",IF(DATOS!BI$4="Sí",(1/DATOS_[[% anualiz]:[% anualiz]]),1)*IF(DATOS!BI$5="Sí",1/DATOS_[[% normaliz]:[% normaliz]],1)*(DATOS_[C.Extra.01])))))))), 0)</f>
        <v>0</v>
      </c>
      <c r="AQ38" s="303" t="n">
        <f aca="false" t="array" ref="AQ38:AQ38">IFERROR( (AVERAGE((IF(DATOS_[[Sexo]:[Sexo]]=$B38,IF(DATOS_[[AGRUP. CLAS. PROF.]:[AGRUP. CLAS. PROF.]]=$B37,IF(DATOS_[[Check Periodo Ref.]:[Check Periodo Ref.]]="Dentro",IF(DATOS_[[Check Equiparado]:[Check Equiparado]]="Sí",IF(DATOS!BJ$4="Sí",(1/DATOS_[[% anualiz]:[% anualiz]]),1)*IF(DATOS!BJ$5="Sí",1/DATOS_[[% normaliz]:[% normaliz]],1)*(DATOS_[C.Extra.02])))))))), 0)</f>
        <v>0</v>
      </c>
      <c r="AR38" s="303" t="n">
        <f aca="false" t="array" ref="AR38:AR38">IFERROR( (AVERAGE((IF(DATOS_[[Sexo]:[Sexo]]=$B38,IF(DATOS_[[AGRUP. CLAS. PROF.]:[AGRUP. CLAS. PROF.]]=$B37,IF(DATOS_[[Check Periodo Ref.]:[Check Periodo Ref.]]="Dentro",IF(DATOS_[[Check Equiparado]:[Check Equiparado]]="Sí",IF(DATOS!BK$4="Sí",(1/DATOS_[[% anualiz]:[% anualiz]]),1)*IF(DATOS!BK$5="Sí",1/DATOS_[[% normaliz]:[% normaliz]],1)*(DATOS_[C.Extra.03])))))))), 0)</f>
        <v>0</v>
      </c>
      <c r="AS38" s="303" t="n">
        <f aca="false" t="array" ref="AS38:AS38">IFERROR( (AVERAGE((IF(DATOS_[[Sexo]:[Sexo]]=$B38,IF(DATOS_[[AGRUP. CLAS. PROF.]:[AGRUP. CLAS. PROF.]]=$B37,IF(DATOS_[[Check Periodo Ref.]:[Check Periodo Ref.]]="Dentro",IF(DATOS_[[Check Equiparado]:[Check Equiparado]]="Sí",IF(DATOS!BL$4="Sí",(1/DATOS_[[% anualiz]:[% anualiz]]),1)*IF(DATOS!BL$5="Sí",1/DATOS_[[% normaliz]:[% normaliz]],1)*(DATOS_[C.Extra.04])))))))), 0)</f>
        <v>0</v>
      </c>
      <c r="AT38" s="303" t="n">
        <f aca="false" t="array" ref="AT38:AT38">IFERROR( (AVERAGE((IF(DATOS_[[Sexo]:[Sexo]]=$B38,IF(DATOS_[[AGRUP. CLAS. PROF.]:[AGRUP. CLAS. PROF.]]=$B37,IF(DATOS_[[Check Periodo Ref.]:[Check Periodo Ref.]]="Dentro",IF(DATOS_[[Check Equiparado]:[Check Equiparado]]="Sí",IF(DATOS!BM$4="Sí",(1/DATOS_[[% anualiz]:[% anualiz]]),1)*IF(DATOS!BM$5="Sí",1/DATOS_[[% normaliz]:[% normaliz]],1)*(DATOS_[C.Extra.05])))))))), 0)</f>
        <v>0</v>
      </c>
      <c r="AU38" s="297" t="n">
        <f aca="false" t="array" ref="AU38:AU38">IFERROR( AVERAGE(IF(DATOS_[Sexo]=$B38,IF(DATOS_[[AGRUP. CLAS. PROF.]:[AGRUP. CLAS. PROF.]]=$B36,IF(DATOS_[Check Equiparado]="Sí",IF(DATOS_[Check Periodo Ref.]="Dentro",DATOS_[Tot Extrasalarial Eq],0))))), 0)</f>
        <v>0</v>
      </c>
      <c r="AV38" s="298" t="n">
        <f aca="false" t="array" ref="AV38:AV38">IFERROR( AVERAGE(IF(DATOS_[Sexo]=$B38,IF(DATOS_[[AGRUP. CLAS. PROF.]:[AGRUP. CLAS. PROF.]]=$B36,IF(DATOS_[Check Equiparado]="Sí",IF(DATOS_[Check Periodo Ref.]="Dentro",DATOS_[TOTAL Retrib Eq],0))))), 0)</f>
        <v>0</v>
      </c>
    </row>
    <row r="39" customFormat="false" ht="15.75" hidden="false" customHeight="false" outlineLevel="0" collapsed="false">
      <c r="A39" s="166" t="str">
        <f aca="false">+A40</f>
        <v>[ocultar]</v>
      </c>
      <c r="B39" s="276" t="s">
        <v>192</v>
      </c>
      <c r="C39" s="277"/>
      <c r="D39" s="278"/>
      <c r="E39" s="278"/>
      <c r="F39" s="278"/>
      <c r="G39" s="278"/>
      <c r="H39" s="278"/>
      <c r="I39" s="279" t="str">
        <f aca="false">IFERROR((I40-I41)/I40,"")</f>
        <v/>
      </c>
      <c r="J39" s="280" t="str">
        <f aca="false">IFERROR((J40-J41)/J40,"")</f>
        <v/>
      </c>
      <c r="K39" s="281" t="str">
        <f aca="false">IFERROR((K40-K41)/K40,"")</f>
        <v/>
      </c>
      <c r="L39" s="281" t="str">
        <f aca="false">IFERROR((L40-L41)/L40,"")</f>
        <v/>
      </c>
      <c r="M39" s="281" t="str">
        <f aca="false">IFERROR((M40-M41)/M40,"")</f>
        <v/>
      </c>
      <c r="N39" s="282" t="str">
        <f aca="false">IFERROR((N40-N41)/N40,"")</f>
        <v/>
      </c>
      <c r="O39" s="283" t="str">
        <f aca="false">IFERROR((O40-O41)/O40,"")</f>
        <v/>
      </c>
      <c r="P39" s="283" t="str">
        <f aca="false">IFERROR((P40-P41)/P40,"")</f>
        <v/>
      </c>
      <c r="Q39" s="283" t="str">
        <f aca="false">IFERROR((Q40-Q41)/Q40,"")</f>
        <v/>
      </c>
      <c r="R39" s="283" t="str">
        <f aca="false">IFERROR((R40-R41)/R40,"")</f>
        <v/>
      </c>
      <c r="S39" s="283" t="str">
        <f aca="false">IFERROR((S40-S41)/S40,"")</f>
        <v/>
      </c>
      <c r="T39" s="283" t="str">
        <f aca="false">IFERROR((T40-T41)/T40,"")</f>
        <v/>
      </c>
      <c r="U39" s="283" t="str">
        <f aca="false">IFERROR((U40-U41)/U40,"")</f>
        <v/>
      </c>
      <c r="V39" s="283" t="str">
        <f aca="false">IFERROR((V40-V41)/V40,"")</f>
        <v/>
      </c>
      <c r="W39" s="283" t="str">
        <f aca="false">IFERROR((W40-W41)/W40,"")</f>
        <v/>
      </c>
      <c r="X39" s="283" t="str">
        <f aca="false">IFERROR((X40-X41)/X40,"")</f>
        <v/>
      </c>
      <c r="Y39" s="283" t="str">
        <f aca="false">IFERROR((Y40-Y41)/Y40,"")</f>
        <v/>
      </c>
      <c r="Z39" s="282" t="str">
        <f aca="false">IFERROR((Z40-Z41)/Z40,"")</f>
        <v/>
      </c>
      <c r="AA39" s="282" t="str">
        <f aca="false">IFERROR((AA40-AA41)/AA40,"")</f>
        <v/>
      </c>
      <c r="AB39" s="282" t="str">
        <f aca="false">IFERROR((AB40-AB41)/AB40,"")</f>
        <v/>
      </c>
      <c r="AC39" s="282" t="str">
        <f aca="false">IFERROR((AC40-AC41)/AC40,"")</f>
        <v/>
      </c>
      <c r="AD39" s="282" t="str">
        <f aca="false">IFERROR((AD40-AD41)/AD40,"")</f>
        <v/>
      </c>
      <c r="AE39" s="282" t="str">
        <f aca="false">IFERROR((AE40-AE41)/AE40,"")</f>
        <v/>
      </c>
      <c r="AF39" s="282" t="str">
        <f aca="false">IFERROR((AF40-AF41)/AF40,"")</f>
        <v/>
      </c>
      <c r="AG39" s="282" t="str">
        <f aca="false">IFERROR((AG40-AG41)/AG40,"")</f>
        <v/>
      </c>
      <c r="AH39" s="282" t="str">
        <f aca="false">IFERROR((AH40-AH41)/AH40,"")</f>
        <v/>
      </c>
      <c r="AI39" s="282" t="str">
        <f aca="false">IFERROR((AI40-AI41)/AI40,"")</f>
        <v/>
      </c>
      <c r="AJ39" s="282" t="str">
        <f aca="false">IFERROR((AJ40-AJ41)/AJ40,"")</f>
        <v/>
      </c>
      <c r="AK39" s="282" t="str">
        <f aca="false">IFERROR((AK40-AK41)/AK40,"")</f>
        <v/>
      </c>
      <c r="AL39" s="282" t="str">
        <f aca="false">IFERROR((AL40-AL41)/AL40,"")</f>
        <v/>
      </c>
      <c r="AM39" s="282" t="str">
        <f aca="false">IFERROR((AM40-AM41)/AM40,"")</f>
        <v/>
      </c>
      <c r="AN39" s="284" t="str">
        <f aca="false">IFERROR((AN40-AN41)/AN40,"")</f>
        <v/>
      </c>
      <c r="AO39" s="285" t="str">
        <f aca="false">IFERROR((AO40-AO41)/AO40,"")</f>
        <v/>
      </c>
      <c r="AP39" s="286" t="str">
        <f aca="false">IFERROR((AP40-AP41)/AP40,"")</f>
        <v/>
      </c>
      <c r="AQ39" s="286" t="str">
        <f aca="false">IFERROR((AQ40-AQ41)/AQ40,"")</f>
        <v/>
      </c>
      <c r="AR39" s="286" t="str">
        <f aca="false">IFERROR((AR40-AR41)/AR40,"")</f>
        <v/>
      </c>
      <c r="AS39" s="286" t="str">
        <f aca="false">IFERROR((AS40-AS41)/AS40,"")</f>
        <v/>
      </c>
      <c r="AT39" s="286" t="str">
        <f aca="false">IFERROR((AT40-AT41)/AT40,"")</f>
        <v/>
      </c>
      <c r="AU39" s="287" t="str">
        <f aca="false">IFERROR((AU40-AU41)/AU40,"")</f>
        <v/>
      </c>
      <c r="AV39" s="288" t="str">
        <f aca="false">IFERROR((AV40-AV41)/AV40,"")</f>
        <v/>
      </c>
    </row>
    <row r="40" customFormat="false" ht="14.25" hidden="false" customHeight="false" outlineLevel="0" collapsed="false">
      <c r="A40" s="166" t="str">
        <f aca="false">+IF(C40+C41=0,"[ocultar]","")</f>
        <v>[ocultar]</v>
      </c>
      <c r="B40" s="289" t="s">
        <v>371</v>
      </c>
      <c r="C40" s="290" t="n">
        <f aca="false" t="array" ref="C40:C40">SUM(IF($B40=DATOS_[Sexo], IF($B39=DATOS_[AGRUP. CLAS. PROF.], IF("Dentro"=DATOS_[Check Periodo Ref.], 1/(COUNTIFS(DATOS_[Sexo],$B40,DATOS_[AGRUP. CLAS. PROF.],$B39,DATOS_[Check Periodo Ref.],"Dentro",DATOS_[id],DATOS_[id]))))))</f>
        <v>0</v>
      </c>
      <c r="D40" s="291" t="n">
        <f aca="false">COUNTIFS(DATOS_[AGRUP. CLAS. PROF.],$B39,DATOS_[Sexo],$B40,DATOS_[Check Periodo Ref.],"Dentro")</f>
        <v>0</v>
      </c>
      <c r="E40" s="291" t="n">
        <f aca="false">COUNTIFS(DATOS_[AGRUP. CLAS. PROF.],$B39,DATOS_[Sexo],$B40,DATOS_[Check Periodo Ref.],"Dentro",DATOS_[Check Nº SC Norm],"Sí")</f>
        <v>0</v>
      </c>
      <c r="F40" s="291" t="n">
        <f aca="false">COUNTIFS(DATOS_[AGRUP. CLAS. PROF.],$B39,DATOS_[Sexo],$B40,DATOS_[Check Periodo Ref.],"Dentro",DATOS_[Check Nº SC Anualiz],"Sí")</f>
        <v>0</v>
      </c>
      <c r="G40" s="291" t="n">
        <f aca="false">COUNTIFS(DATOS_[AGRUP. CLAS. PROF.],$B39,DATOS_[Sexo],$B40,DATOS_[Check Periodo Ref.],"Dentro",DATOS_[Check Nº SC Norm y Anualiz],"Sí")</f>
        <v>0</v>
      </c>
      <c r="H40" s="291" t="n">
        <f aca="false">COUNTIFS(DATOS_[AGRUP. CLAS. PROF.],$B39,DATOS_[Sexo],$B40,DATOS_[Check Periodo Ref.],"Dentro",DATOS_[Check Equiparación],"Sí")</f>
        <v>0</v>
      </c>
      <c r="I40" s="292" t="n">
        <f aca="false" t="array" ref="I40:I40">IFERROR( AVERAGE(IF(DATOS_[Sexo]=$B40,IF(DATOS_[[AGRUP. CLAS. PROF.]:[AGRUP. CLAS. PROF.]]=$B39,IF(DATOS_[Check Equiparado]="Sí",IF(DATOS_[Check Periodo Ref.]="Dentro",DATOS_[SALARIO BASE Eq],0))))), 0)</f>
        <v>0</v>
      </c>
      <c r="J40" s="302" t="n">
        <f aca="false" t="array" ref="J40:J40">IFERROR( (AVERAGE((IF(DATOS_[[Sexo]:[Sexo]]=$B40,IF(DATOS_[[AGRUP. CLAS. PROF.]:[AGRUP. CLAS. PROF.]]=$B39,IF(DATOS_[[Check Periodo Ref.]:[Check Periodo Ref.]]="Dentro",IF(DATOS_[[Check Equiparado]:[Check Equiparado]]="Sí",IF(DATOS!AE$4="Sí",(1/DATOS_[[% anualiz]:[% anualiz]]),1)*IF(DATOS!AE$5="Sí",1/DATOS_[[% normaliz]:[% normaliz]],1)*(DATOS_[Conc.Sal.01])))))))), 0)</f>
        <v>0</v>
      </c>
      <c r="K40" s="302" t="n">
        <f aca="false" t="array" ref="K40:K40">IFERROR( (AVERAGE((IF(DATOS_[[Sexo]:[Sexo]]=$B40,IF(DATOS_[[AGRUP. CLAS. PROF.]:[AGRUP. CLAS. PROF.]]=$B39,IF(DATOS_[[Check Periodo Ref.]:[Check Periodo Ref.]]="Dentro",IF(DATOS_[[Check Equiparado]:[Check Equiparado]]="Sí",IF(DATOS!AF$4="Sí",(1/DATOS_[[% anualiz]:[% anualiz]]),1)*IF(DATOS!AF$5="Sí",1/DATOS_[[% normaliz]:[% normaliz]],1)*(DATOS_[Conc.Sal.02])))))))), 0)</f>
        <v>0</v>
      </c>
      <c r="L40" s="302" t="n">
        <f aca="false" t="array" ref="L40:L40">IFERROR( (AVERAGE((IF(DATOS_[[Sexo]:[Sexo]]=$B40,IF(DATOS_[[AGRUP. CLAS. PROF.]:[AGRUP. CLAS. PROF.]]=$B39,IF(DATOS_[[Check Periodo Ref.]:[Check Periodo Ref.]]="Dentro",IF(DATOS_[[Check Equiparado]:[Check Equiparado]]="Sí",IF(DATOS!AG$4="Sí",(1/DATOS_[[% anualiz]:[% anualiz]]),1)*IF(DATOS!AG$5="Sí",1/DATOS_[[% normaliz]:[% normaliz]],1)*(DATOS_[Conc.Sal.03])))))))), 0)</f>
        <v>0</v>
      </c>
      <c r="M40" s="302" t="n">
        <f aca="false" t="array" ref="M40:M40">IFERROR( (AVERAGE((IF(DATOS_[[Sexo]:[Sexo]]=$B40,IF(DATOS_[[AGRUP. CLAS. PROF.]:[AGRUP. CLAS. PROF.]]=$B39,IF(DATOS_[[Check Periodo Ref.]:[Check Periodo Ref.]]="Dentro",IF(DATOS_[[Check Equiparado]:[Check Equiparado]]="Sí",IF(DATOS!AH$4="Sí",(1/DATOS_[[% anualiz]:[% anualiz]]),1)*IF(DATOS!AH$5="Sí",1/DATOS_[[% normaliz]:[% normaliz]],1)*(DATOS_[Conc.Sal.04])))))))), 0)</f>
        <v>0</v>
      </c>
      <c r="N40" s="302" t="n">
        <f aca="false" t="array" ref="N40:N40">IFERROR( (AVERAGE((IF(DATOS_[[Sexo]:[Sexo]]=$B40,IF(DATOS_[[AGRUP. CLAS. PROF.]:[AGRUP. CLAS. PROF.]]=$B39,IF(DATOS_[[Check Periodo Ref.]:[Check Periodo Ref.]]="Dentro",IF(DATOS_[[Check Equiparado]:[Check Equiparado]]="Sí",IF(DATOS!AI$4="Sí",(1/DATOS_[[% anualiz]:[% anualiz]]),1)*IF(DATOS!AI$5="Sí",1/DATOS_[[% normaliz]:[% normaliz]],1)*(DATOS_[Conc.Sal.05])))))))), 0)</f>
        <v>0</v>
      </c>
      <c r="O40" s="302" t="n">
        <f aca="false" t="array" ref="O40:O40">IFERROR( (AVERAGE((IF(DATOS_[[Sexo]:[Sexo]]=$B40,IF(DATOS_[[AGRUP. CLAS. PROF.]:[AGRUP. CLAS. PROF.]]=$B39,IF(DATOS_[[Check Periodo Ref.]:[Check Periodo Ref.]]="Dentro",IF(DATOS_[[Check Equiparado]:[Check Equiparado]]="Sí",IF(DATOS!AJ$4="Sí",(1/DATOS_[[% anualiz]:[% anualiz]]),1)*IF(DATOS!AJ$5="Sí",1/DATOS_[[% normaliz]:[% normaliz]],1)*(DATOS_[Conc.Sal.06])))))))), 0)</f>
        <v>0</v>
      </c>
      <c r="P40" s="302" t="n">
        <f aca="false" t="array" ref="P40:P40">IFERROR( (AVERAGE((IF(DATOS_[[Sexo]:[Sexo]]=$B40,IF(DATOS_[[AGRUP. CLAS. PROF.]:[AGRUP. CLAS. PROF.]]=$B39,IF(DATOS_[[Check Periodo Ref.]:[Check Periodo Ref.]]="Dentro",IF(DATOS_[[Check Equiparado]:[Check Equiparado]]="Sí",IF(DATOS!AK$4="Sí",(1/DATOS_[[% anualiz]:[% anualiz]]),1)*IF(DATOS!AK$5="Sí",1/DATOS_[[% normaliz]:[% normaliz]],1)*(DATOS_[Conc.Sal.07])))))))), 0)</f>
        <v>0</v>
      </c>
      <c r="Q40" s="302" t="n">
        <f aca="false" t="array" ref="Q40:Q40">IFERROR( (AVERAGE((IF(DATOS_[[Sexo]:[Sexo]]=$B40,IF(DATOS_[[AGRUP. CLAS. PROF.]:[AGRUP. CLAS. PROF.]]=$B39,IF(DATOS_[[Check Periodo Ref.]:[Check Periodo Ref.]]="Dentro",IF(DATOS_[[Check Equiparado]:[Check Equiparado]]="Sí",IF(DATOS!AL$4="Sí",(1/DATOS_[[% anualiz]:[% anualiz]]),1)*IF(DATOS!AL$5="Sí",1/DATOS_[[% normaliz]:[% normaliz]],1)*(DATOS_[Conc.Sal.08])))))))), 0)</f>
        <v>0</v>
      </c>
      <c r="R40" s="302" t="n">
        <f aca="false" t="array" ref="R40:R40">IFERROR( (AVERAGE((IF(DATOS_[[Sexo]:[Sexo]]=$B40,IF(DATOS_[[AGRUP. CLAS. PROF.]:[AGRUP. CLAS. PROF.]]=$B39,IF(DATOS_[[Check Periodo Ref.]:[Check Periodo Ref.]]="Dentro",IF(DATOS_[[Check Equiparado]:[Check Equiparado]]="Sí",IF(DATOS!AM$4="Sí",(1/DATOS_[[% anualiz]:[% anualiz]]),1)*IF(DATOS!AM$5="Sí",1/DATOS_[[% normaliz]:[% normaliz]],1)*(DATOS_[Conc.Sal.09])))))))), 0)</f>
        <v>0</v>
      </c>
      <c r="S40" s="302" t="n">
        <f aca="false" t="array" ref="S40:S40">IFERROR( (AVERAGE((IF(DATOS_[[Sexo]:[Sexo]]=$B40,IF(DATOS_[[AGRUP. CLAS. PROF.]:[AGRUP. CLAS. PROF.]]=$B39,IF(DATOS_[[Check Periodo Ref.]:[Check Periodo Ref.]]="Dentro",IF(DATOS_[[Check Equiparado]:[Check Equiparado]]="Sí",IF(DATOS!AN$4="Sí",(1/DATOS_[[% anualiz]:[% anualiz]]),1)*IF(DATOS!AN$5="Sí",1/DATOS_[[% normaliz]:[% normaliz]],1)*(DATOS_[Conc.Sal.10])))))))), 0)</f>
        <v>0</v>
      </c>
      <c r="T40" s="302" t="n">
        <f aca="false" t="array" ref="T40:T40">IFERROR( (AVERAGE((IF(DATOS_[[Sexo]:[Sexo]]=$B40,IF(DATOS_[[AGRUP. CLAS. PROF.]:[AGRUP. CLAS. PROF.]]=$B39,IF(DATOS_[[Check Periodo Ref.]:[Check Periodo Ref.]]="Dentro",IF(DATOS_[[Check Equiparado]:[Check Equiparado]]="Sí",IF(DATOS!AO$4="Sí",(1/DATOS_[[% anualiz]:[% anualiz]]),1)*IF(DATOS!AO$5="Sí",1/DATOS_[[% normaliz]:[% normaliz]],1)*(DATOS_[Conc.Sal.11])))))))), 0)</f>
        <v>0</v>
      </c>
      <c r="U40" s="302" t="n">
        <f aca="false" t="array" ref="U40:U40">IFERROR( (AVERAGE((IF(DATOS_[[Sexo]:[Sexo]]=$B40,IF(DATOS_[[AGRUP. CLAS. PROF.]:[AGRUP. CLAS. PROF.]]=$B39,IF(DATOS_[[Check Periodo Ref.]:[Check Periodo Ref.]]="Dentro",IF(DATOS_[[Check Equiparado]:[Check Equiparado]]="Sí",IF(DATOS!AP$4="Sí",(1/DATOS_[[% anualiz]:[% anualiz]]),1)*IF(DATOS!AP$5="Sí",1/DATOS_[[% normaliz]:[% normaliz]],1)*(DATOS_[Conc.Sal.12])))))))), 0)</f>
        <v>0</v>
      </c>
      <c r="V40" s="302" t="n">
        <f aca="false" t="array" ref="V40:V40">IFERROR( (AVERAGE((IF(DATOS_[[Sexo]:[Sexo]]=$B40,IF(DATOS_[[AGRUP. CLAS. PROF.]:[AGRUP. CLAS. PROF.]]=$B39,IF(DATOS_[[Check Periodo Ref.]:[Check Periodo Ref.]]="Dentro",IF(DATOS_[[Check Equiparado]:[Check Equiparado]]="Sí",IF(DATOS!AQ$4="Sí",(1/DATOS_[[% anualiz]:[% anualiz]]),1)*IF(DATOS!AQ$5="Sí",1/DATOS_[[% normaliz]:[% normaliz]],1)*(DATOS_[Conc.Sal.13])))))))), 0)</f>
        <v>0</v>
      </c>
      <c r="W40" s="302" t="n">
        <f aca="false" t="array" ref="W40:W40">IFERROR( (AVERAGE((IF(DATOS_[[Sexo]:[Sexo]]=$B40,IF(DATOS_[[AGRUP. CLAS. PROF.]:[AGRUP. CLAS. PROF.]]=$B39,IF(DATOS_[[Check Periodo Ref.]:[Check Periodo Ref.]]="Dentro",IF(DATOS_[[Check Equiparado]:[Check Equiparado]]="Sí",IF(DATOS!AR$4="Sí",(1/DATOS_[[% anualiz]:[% anualiz]]),1)*IF(DATOS!AR$5="Sí",1/DATOS_[[% normaliz]:[% normaliz]],1)*(DATOS_[Conc.Sal.14])))))))), 0)</f>
        <v>0</v>
      </c>
      <c r="X40" s="302" t="n">
        <f aca="false" t="array" ref="X40:X40">IFERROR( (AVERAGE((IF(DATOS_[[Sexo]:[Sexo]]=$B40,IF(DATOS_[[AGRUP. CLAS. PROF.]:[AGRUP. CLAS. PROF.]]=$B39,IF(DATOS_[[Check Periodo Ref.]:[Check Periodo Ref.]]="Dentro",IF(DATOS_[[Check Equiparado]:[Check Equiparado]]="Sí",IF(DATOS!AS$4="Sí",(1/DATOS_[[% anualiz]:[% anualiz]]),1)*IF(DATOS!AS$5="Sí",1/DATOS_[[% normaliz]:[% normaliz]],1)*(DATOS_[Conc.Sal.15])))))))), 0)</f>
        <v>0</v>
      </c>
      <c r="Y40" s="302" t="n">
        <f aca="false" t="array" ref="Y40:Y40">IFERROR( (AVERAGE((IF(DATOS_[[Sexo]:[Sexo]]=$B40,IF(DATOS_[[AGRUP. CLAS. PROF.]:[AGRUP. CLAS. PROF.]]=$B39,IF(DATOS_[[Check Periodo Ref.]:[Check Periodo Ref.]]="Dentro",IF(DATOS_[[Check Equiparado]:[Check Equiparado]]="Sí",IF(DATOS!AT$4="Sí",(1/DATOS_[[% anualiz]:[% anualiz]]),1)*IF(DATOS!AT$5="Sí",1/DATOS_[[% normaliz]:[% normaliz]],1)*(DATOS_[Conc.Sal.16])))))))), 0)</f>
        <v>0</v>
      </c>
      <c r="Z40" s="302" t="n">
        <f aca="false" t="array" ref="Z40:Z40">IFERROR( (AVERAGE((IF(DATOS_[[Sexo]:[Sexo]]=$B40,IF(DATOS_[[AGRUP. CLAS. PROF.]:[AGRUP. CLAS. PROF.]]=$B39,IF(DATOS_[[Check Periodo Ref.]:[Check Periodo Ref.]]="Dentro",IF(DATOS_[[Check Equiparado]:[Check Equiparado]]="Sí",IF(DATOS!AU$4="Sí",(1/DATOS_[[% anualiz]:[% anualiz]]),1)*IF(DATOS!AU$5="Sí",1/DATOS_[[% normaliz]:[% normaliz]],1)*(DATOS_[Conc.Sal.17])))))))), 0)</f>
        <v>0</v>
      </c>
      <c r="AA40" s="302" t="n">
        <f aca="false" t="array" ref="AA40:AA40">IFERROR( (AVERAGE((IF(DATOS_[[Sexo]:[Sexo]]=$B40,IF(DATOS_[[AGRUP. CLAS. PROF.]:[AGRUP. CLAS. PROF.]]=$B39,IF(DATOS_[[Check Periodo Ref.]:[Check Periodo Ref.]]="Dentro",IF(DATOS_[[Check Equiparado]:[Check Equiparado]]="Sí",IF(DATOS!AV$4="Sí",(1/DATOS_[[% anualiz]:[% anualiz]]),1)*IF(DATOS!AV$5="Sí",1/DATOS_[[% normaliz]:[% normaliz]],1)*(DATOS_[Conc.Sal.18])))))))), 0)</f>
        <v>0</v>
      </c>
      <c r="AB40" s="302" t="n">
        <f aca="false" t="array" ref="AB40:AB40">IFERROR( (AVERAGE((IF(DATOS_[[Sexo]:[Sexo]]=$B40,IF(DATOS_[[AGRUP. CLAS. PROF.]:[AGRUP. CLAS. PROF.]]=$B39,IF(DATOS_[[Check Periodo Ref.]:[Check Periodo Ref.]]="Dentro",IF(DATOS_[[Check Equiparado]:[Check Equiparado]]="Sí",IF(DATOS!AW$4="Sí",(1/DATOS_[[% anualiz]:[% anualiz]]),1)*IF(DATOS!AW$5="Sí",1/DATOS_[[% normaliz]:[% normaliz]],1)*(DATOS_[Conc.Sal.19])))))))), 0)</f>
        <v>0</v>
      </c>
      <c r="AC40" s="302" t="n">
        <f aca="false" t="array" ref="AC40:AC40">IFERROR( (AVERAGE((IF(DATOS_[[Sexo]:[Sexo]]=$B40,IF(DATOS_[[AGRUP. CLAS. PROF.]:[AGRUP. CLAS. PROF.]]=$B39,IF(DATOS_[[Check Periodo Ref.]:[Check Periodo Ref.]]="Dentro",IF(DATOS_[[Check Equiparado]:[Check Equiparado]]="Sí",IF(DATOS!AX$4="Sí",(1/DATOS_[[% anualiz]:[% anualiz]]),1)*IF(DATOS!AX$5="Sí",1/DATOS_[[% normaliz]:[% normaliz]],1)*(DATOS_[Conc.Sal.20])))))))), 0)</f>
        <v>0</v>
      </c>
      <c r="AD40" s="302" t="n">
        <f aca="false" t="array" ref="AD40:AD40">IFERROR( (AVERAGE((IF(DATOS_[[Sexo]:[Sexo]]=$B40,IF(DATOS_[[AGRUP. CLAS. PROF.]:[AGRUP. CLAS. PROF.]]=$B39,IF(DATOS_[[Check Periodo Ref.]:[Check Periodo Ref.]]="Dentro",IF(DATOS_[[Check Equiparado]:[Check Equiparado]]="Sí",IF(DATOS!AY$4="Sí",(1/DATOS_[[% anualiz]:[% anualiz]]),1)*IF(DATOS!AY$5="Sí",1/DATOS_[[% normaliz]:[% normaliz]],1)*(DATOS_[Conc.Sal.21])))))))), 0)</f>
        <v>0</v>
      </c>
      <c r="AE40" s="302" t="n">
        <f aca="false" t="array" ref="AE40:AE40">IFERROR( (AVERAGE((IF(DATOS_[[Sexo]:[Sexo]]=$B40,IF(DATOS_[[AGRUP. CLAS. PROF.]:[AGRUP. CLAS. PROF.]]=$B39,IF(DATOS_[[Check Periodo Ref.]:[Check Periodo Ref.]]="Dentro",IF(DATOS_[[Check Equiparado]:[Check Equiparado]]="Sí",IF(DATOS!AZ$4="Sí",(1/DATOS_[[% anualiz]:[% anualiz]]),1)*IF(DATOS!AZ$5="Sí",1/DATOS_[[% normaliz]:[% normaliz]],1)*(DATOS_[Conc.Sal.22])))))))), 0)</f>
        <v>0</v>
      </c>
      <c r="AF40" s="302" t="n">
        <f aca="false" t="array" ref="AF40:AF40">IFERROR( (AVERAGE((IF(DATOS_[[Sexo]:[Sexo]]=$B40,IF(DATOS_[[AGRUP. CLAS. PROF.]:[AGRUP. CLAS. PROF.]]=$B39,IF(DATOS_[[Check Periodo Ref.]:[Check Periodo Ref.]]="Dentro",IF(DATOS_[[Check Equiparado]:[Check Equiparado]]="Sí",IF(DATOS!BA$4="Sí",(1/DATOS_[[% anualiz]:[% anualiz]]),1)*IF(DATOS!BA$5="Sí",1/DATOS_[[% normaliz]:[% normaliz]],1)*(DATOS_[Conc.Sal.23])))))))), 0)</f>
        <v>0</v>
      </c>
      <c r="AG40" s="302" t="n">
        <f aca="false" t="array" ref="AG40:AG40">IFERROR( (AVERAGE((IF(DATOS_[[Sexo]:[Sexo]]=$B40,IF(DATOS_[[AGRUP. CLAS. PROF.]:[AGRUP. CLAS. PROF.]]=$B39,IF(DATOS_[[Check Periodo Ref.]:[Check Periodo Ref.]]="Dentro",IF(DATOS_[[Check Equiparado]:[Check Equiparado]]="Sí",IF(DATOS!BB$4="Sí",(1/DATOS_[[% anualiz]:[% anualiz]]),1)*IF(DATOS!BB$5="Sí",1/DATOS_[[% normaliz]:[% normaliz]],1)*(DATOS_[Conc.Sal.24])))))))), 0)</f>
        <v>0</v>
      </c>
      <c r="AH40" s="302" t="n">
        <f aca="false" t="array" ref="AH40:AH40">IFERROR( (AVERAGE((IF(DATOS_[[Sexo]:[Sexo]]=$B40,IF(DATOS_[[AGRUP. CLAS. PROF.]:[AGRUP. CLAS. PROF.]]=$B39,IF(DATOS_[[Check Periodo Ref.]:[Check Periodo Ref.]]="Dentro",IF(DATOS_[[Check Equiparado]:[Check Equiparado]]="Sí",IF(DATOS!BC$4="Sí",(1/DATOS_[[% anualiz]:[% anualiz]]),1)*IF(DATOS!BC$5="Sí",1/DATOS_[[% normaliz]:[% normaliz]],1)*(DATOS_[Conc.Sal.25])))))))), 0)</f>
        <v>0</v>
      </c>
      <c r="AI40" s="302" t="n">
        <f aca="false" t="array" ref="AI40:AI40">IFERROR( (AVERAGE((IF(DATOS_[[Sexo]:[Sexo]]=$B40,IF(DATOS_[[AGRUP. CLAS. PROF.]:[AGRUP. CLAS. PROF.]]=$B39,IF(DATOS_[[Check Periodo Ref.]:[Check Periodo Ref.]]="Dentro",IF(DATOS_[[Check Equiparado]:[Check Equiparado]]="Sí",IF(DATOS!BD$4="Sí",(1/DATOS_[[% anualiz]:[% anualiz]]),1)*IF(DATOS!BD$5="Sí",1/DATOS_[[% normaliz]:[% normaliz]],1)*(DATOS_[Conc.Sal.26])))))))), 0)</f>
        <v>0</v>
      </c>
      <c r="AJ40" s="302" t="n">
        <f aca="false" t="array" ref="AJ40:AJ40">IFERROR( (AVERAGE((IF(DATOS_[[Sexo]:[Sexo]]=$B40,IF(DATOS_[[AGRUP. CLAS. PROF.]:[AGRUP. CLAS. PROF.]]=$B39,IF(DATOS_[[Check Periodo Ref.]:[Check Periodo Ref.]]="Dentro",IF(DATOS_[[Check Equiparado]:[Check Equiparado]]="Sí",IF(DATOS!BE$4="Sí",(1/DATOS_[[% anualiz]:[% anualiz]]),1)*IF(DATOS!BE$5="Sí",1/DATOS_[[% normaliz]:[% normaliz]],1)*(DATOS_[Conc.Sal.27])))))))), 0)</f>
        <v>0</v>
      </c>
      <c r="AK40" s="302" t="n">
        <f aca="false" t="array" ref="AK40:AK40">IFERROR( (AVERAGE((IF(DATOS_[[Sexo]:[Sexo]]=$B40,IF(DATOS_[[AGRUP. CLAS. PROF.]:[AGRUP. CLAS. PROF.]]=$B39,IF(DATOS_[[Check Periodo Ref.]:[Check Periodo Ref.]]="Dentro",IF(DATOS_[[Check Equiparado]:[Check Equiparado]]="Sí",IF(DATOS!BF$4="Sí",(1/DATOS_[[% anualiz]:[% anualiz]]),1)*IF(DATOS!BF$5="Sí",1/DATOS_[[% normaliz]:[% normaliz]],1)*(DATOS_[Conc.Sal.28])))))))), 0)</f>
        <v>0</v>
      </c>
      <c r="AL40" s="302" t="n">
        <f aca="false" t="array" ref="AL40:AL40">IFERROR( (AVERAGE((IF(DATOS_[[Sexo]:[Sexo]]=$B40,IF(DATOS_[[AGRUP. CLAS. PROF.]:[AGRUP. CLAS. PROF.]]=$B39,IF(DATOS_[[Check Periodo Ref.]:[Check Periodo Ref.]]="Dentro",IF(DATOS_[[Check Equiparado]:[Check Equiparado]]="Sí",IF(DATOS!BG$4="Sí",(1/DATOS_[[% anualiz]:[% anualiz]]),1)*IF(DATOS!BG$5="Sí",1/DATOS_[[% normaliz]:[% normaliz]],1)*(DATOS_[Conc.Sal.29])))))))), 0)</f>
        <v>0</v>
      </c>
      <c r="AM40" s="302" t="n">
        <f aca="false" t="array" ref="AM40:AM40">IFERROR( (AVERAGE((IF(DATOS_[[Sexo]:[Sexo]]=$B40,IF(DATOS_[[AGRUP. CLAS. PROF.]:[AGRUP. CLAS. PROF.]]=$B39,IF(DATOS_[[Check Periodo Ref.]:[Check Periodo Ref.]]="Dentro",IF(DATOS_[[Check Equiparado]:[Check Equiparado]]="Sí",IF(DATOS!BH$4="Sí",(1/DATOS_[[% anualiz]:[% anualiz]]),1)*IF(DATOS!BH$5="Sí",1/DATOS_[[% normaliz]:[% normaliz]],1)*(DATOS_[Conc.Sal.30])))))))), 0)</f>
        <v>0</v>
      </c>
      <c r="AN40" s="294" t="n">
        <f aca="false" t="array" ref="AN40:AN40">IFERROR( AVERAGE(IF(DATOS_[Sexo]=$B40,IF(DATOS_[[AGRUP. CLAS. PROF.]:[AGRUP. CLAS. PROF.]]=$B39,IF(DATOS_[Check Equiparado]="Sí",IF(DATOS_[Check Periodo Ref.]="Dentro",DATOS_[Tot COMPL.SAL Eq],0))))), 0)</f>
        <v>0</v>
      </c>
      <c r="AO40" s="295" t="n">
        <f aca="false" t="array" ref="AO40:AO40">IFERROR( AVERAGE(IF(DATOS_[Sexo]=$B40,IF(DATOS_[[AGRUP. CLAS. PROF.]:[AGRUP. CLAS. PROF.]]=$B39,IF(DATOS_[Check Equiparado]="Sí",IF(DATOS_[Check Periodo Ref.]="Dentro",DATOS_[TOTAL SALARIO Eq],0))))), 0)</f>
        <v>0</v>
      </c>
      <c r="AP40" s="303" t="n">
        <f aca="false" t="array" ref="AP40:AP40">IFERROR( (AVERAGE((IF(DATOS_[[Sexo]:[Sexo]]=$B40,IF(DATOS_[[AGRUP. CLAS. PROF.]:[AGRUP. CLAS. PROF.]]=$B39,IF(DATOS_[[Check Periodo Ref.]:[Check Periodo Ref.]]="Dentro",IF(DATOS_[[Check Equiparado]:[Check Equiparado]]="Sí",IF(DATOS!BI$4="Sí",(1/DATOS_[[% anualiz]:[% anualiz]]),1)*IF(DATOS!BI$5="Sí",1/DATOS_[[% normaliz]:[% normaliz]],1)*(DATOS_[C.Extra.01])))))))), 0)</f>
        <v>0</v>
      </c>
      <c r="AQ40" s="303" t="n">
        <f aca="false" t="array" ref="AQ40:AQ40">IFERROR( (AVERAGE((IF(DATOS_[[Sexo]:[Sexo]]=$B40,IF(DATOS_[[AGRUP. CLAS. PROF.]:[AGRUP. CLAS. PROF.]]=$B39,IF(DATOS_[[Check Periodo Ref.]:[Check Periodo Ref.]]="Dentro",IF(DATOS_[[Check Equiparado]:[Check Equiparado]]="Sí",IF(DATOS!BJ$4="Sí",(1/DATOS_[[% anualiz]:[% anualiz]]),1)*IF(DATOS!BJ$5="Sí",1/DATOS_[[% normaliz]:[% normaliz]],1)*(DATOS_[C.Extra.02])))))))), 0)</f>
        <v>0</v>
      </c>
      <c r="AR40" s="303" t="n">
        <f aca="false" t="array" ref="AR40:AR40">IFERROR( (AVERAGE((IF(DATOS_[[Sexo]:[Sexo]]=$B40,IF(DATOS_[[AGRUP. CLAS. PROF.]:[AGRUP. CLAS. PROF.]]=$B39,IF(DATOS_[[Check Periodo Ref.]:[Check Periodo Ref.]]="Dentro",IF(DATOS_[[Check Equiparado]:[Check Equiparado]]="Sí",IF(DATOS!BK$4="Sí",(1/DATOS_[[% anualiz]:[% anualiz]]),1)*IF(DATOS!BK$5="Sí",1/DATOS_[[% normaliz]:[% normaliz]],1)*(DATOS_[C.Extra.03])))))))), 0)</f>
        <v>0</v>
      </c>
      <c r="AS40" s="303" t="n">
        <f aca="false" t="array" ref="AS40:AS40">IFERROR( (AVERAGE((IF(DATOS_[[Sexo]:[Sexo]]=$B40,IF(DATOS_[[AGRUP. CLAS. PROF.]:[AGRUP. CLAS. PROF.]]=$B39,IF(DATOS_[[Check Periodo Ref.]:[Check Periodo Ref.]]="Dentro",IF(DATOS_[[Check Equiparado]:[Check Equiparado]]="Sí",IF(DATOS!BL$4="Sí",(1/DATOS_[[% anualiz]:[% anualiz]]),1)*IF(DATOS!BL$5="Sí",1/DATOS_[[% normaliz]:[% normaliz]],1)*(DATOS_[C.Extra.04])))))))), 0)</f>
        <v>0</v>
      </c>
      <c r="AT40" s="303" t="n">
        <f aca="false" t="array" ref="AT40:AT40">IFERROR( (AVERAGE((IF(DATOS_[[Sexo]:[Sexo]]=$B40,IF(DATOS_[[AGRUP. CLAS. PROF.]:[AGRUP. CLAS. PROF.]]=$B39,IF(DATOS_[[Check Periodo Ref.]:[Check Periodo Ref.]]="Dentro",IF(DATOS_[[Check Equiparado]:[Check Equiparado]]="Sí",IF(DATOS!BM$4="Sí",(1/DATOS_[[% anualiz]:[% anualiz]]),1)*IF(DATOS!BM$5="Sí",1/DATOS_[[% normaliz]:[% normaliz]],1)*(DATOS_[C.Extra.05])))))))), 0)</f>
        <v>0</v>
      </c>
      <c r="AU40" s="297" t="n">
        <f aca="false" t="array" ref="AU40:AU40">IFERROR( AVERAGE(IF(DATOS_[Sexo]=$B40,IF(DATOS_[[AGRUP. CLAS. PROF.]:[AGRUP. CLAS. PROF.]]=$B39,IF(DATOS_[Check Equiparado]="Sí",IF(DATOS_[Check Periodo Ref.]="Dentro",DATOS_[Tot Extrasalarial Eq],0))))), 0)</f>
        <v>0</v>
      </c>
      <c r="AV40" s="298" t="n">
        <f aca="false" t="array" ref="AV40:AV40">IFERROR( AVERAGE(IF(DATOS_[Sexo]=$B40,IF(DATOS_[[AGRUP. CLAS. PROF.]:[AGRUP. CLAS. PROF.]]=$B39,IF(DATOS_[Check Equiparado]="Sí",IF(DATOS_[Check Periodo Ref.]="Dentro",DATOS_[TOTAL Retrib Eq],0))))), 0)</f>
        <v>0</v>
      </c>
    </row>
    <row r="41" customFormat="false" ht="14.25" hidden="false" customHeight="false" outlineLevel="0" collapsed="false">
      <c r="A41" s="166" t="str">
        <f aca="false">+A40</f>
        <v>[ocultar]</v>
      </c>
      <c r="B41" s="289" t="s">
        <v>372</v>
      </c>
      <c r="C41" s="290" t="n">
        <f aca="false" t="array" ref="C41:C41">SUM(IF($B41=DATOS_[Sexo], IF($B39=DATOS_[AGRUP. CLAS. PROF.], IF("Dentro"=DATOS_[Check Periodo Ref.], 1/(COUNTIFS(DATOS_[Sexo],$B41,DATOS_[AGRUP. CLAS. PROF.],$B39,DATOS_[Check Periodo Ref.],"Dentro",DATOS_[id],DATOS_[id]))))))</f>
        <v>0</v>
      </c>
      <c r="D41" s="291" t="n">
        <f aca="false">COUNTIFS(DATOS_[AGRUP. CLAS. PROF.],$B39,DATOS_[Sexo],$B41,DATOS_[Check Periodo Ref.],"Dentro")</f>
        <v>0</v>
      </c>
      <c r="E41" s="291" t="n">
        <f aca="false">COUNTIFS(DATOS_[AGRUP. CLAS. PROF.],$B39,DATOS_[Sexo],$B41,DATOS_[Check Periodo Ref.],"Dentro",DATOS_[Check Nº SC Norm],"Sí")</f>
        <v>0</v>
      </c>
      <c r="F41" s="291" t="n">
        <f aca="false">COUNTIFS(DATOS_[AGRUP. CLAS. PROF.],$B39,DATOS_[Sexo],$B41,DATOS_[Check Periodo Ref.],"Dentro",DATOS_[Check Nº SC Anualiz],"Sí")</f>
        <v>0</v>
      </c>
      <c r="G41" s="291" t="n">
        <f aca="false">COUNTIFS(DATOS_[AGRUP. CLAS. PROF.],$B39,DATOS_[Sexo],$B41,DATOS_[Check Periodo Ref.],"Dentro",DATOS_[Check Nº SC Norm y Anualiz],"Sí")</f>
        <v>0</v>
      </c>
      <c r="H41" s="291" t="n">
        <f aca="false">COUNTIFS(DATOS_[AGRUP. CLAS. PROF.],$B39,DATOS_[Sexo],$B41,DATOS_[Check Periodo Ref.],"Dentro",DATOS_[Check Equiparación],"Sí")</f>
        <v>0</v>
      </c>
      <c r="I41" s="292" t="n">
        <f aca="false" t="array" ref="I41:I41">IFERROR( AVERAGE(IF(DATOS_[Sexo]=$B41,IF(DATOS_[[AGRUP. CLAS. PROF.]:[AGRUP. CLAS. PROF.]]=$B39,IF(DATOS_[Check Equiparado]="Sí",IF(DATOS_[Check Periodo Ref.]="Dentro",DATOS_[SALARIO BASE Eq],0))))), 0)</f>
        <v>0</v>
      </c>
      <c r="J41" s="302" t="n">
        <f aca="false" t="array" ref="J41:J41">IFERROR( (AVERAGE((IF(DATOS_[[Sexo]:[Sexo]]=$B41,IF(DATOS_[[AGRUP. CLAS. PROF.]:[AGRUP. CLAS. PROF.]]=$B39,IF(DATOS_[[Check Periodo Ref.]:[Check Periodo Ref.]]="Dentro",IF(DATOS_[[Check Equiparado]:[Check Equiparado]]="Sí",IF(DATOS!AE$4="Sí",(1/DATOS_[[% anualiz]:[% anualiz]]),1)*IF(DATOS!AE$5="Sí",1/DATOS_[[% normaliz]:[% normaliz]],1)*(DATOS_[Conc.Sal.01])))))))), 0)</f>
        <v>0</v>
      </c>
      <c r="K41" s="302" t="n">
        <f aca="false" t="array" ref="K41:K41">IFERROR( (AVERAGE((IF(DATOS_[[Sexo]:[Sexo]]=$B41,IF(DATOS_[[AGRUP. CLAS. PROF.]:[AGRUP. CLAS. PROF.]]=$B39,IF(DATOS_[[Check Periodo Ref.]:[Check Periodo Ref.]]="Dentro",IF(DATOS_[[Check Equiparado]:[Check Equiparado]]="Sí",IF(DATOS!AF$4="Sí",(1/DATOS_[[% anualiz]:[% anualiz]]),1)*IF(DATOS!AF$5="Sí",1/DATOS_[[% normaliz]:[% normaliz]],1)*(DATOS_[Conc.Sal.02])))))))), 0)</f>
        <v>0</v>
      </c>
      <c r="L41" s="302" t="n">
        <f aca="false" t="array" ref="L41:L41">IFERROR( (AVERAGE((IF(DATOS_[[Sexo]:[Sexo]]=$B41,IF(DATOS_[[AGRUP. CLAS. PROF.]:[AGRUP. CLAS. PROF.]]=$B39,IF(DATOS_[[Check Periodo Ref.]:[Check Periodo Ref.]]="Dentro",IF(DATOS_[[Check Equiparado]:[Check Equiparado]]="Sí",IF(DATOS!AG$4="Sí",(1/DATOS_[[% anualiz]:[% anualiz]]),1)*IF(DATOS!AG$5="Sí",1/DATOS_[[% normaliz]:[% normaliz]],1)*(DATOS_[Conc.Sal.03])))))))), 0)</f>
        <v>0</v>
      </c>
      <c r="M41" s="302" t="n">
        <f aca="false" t="array" ref="M41:M41">IFERROR( (AVERAGE((IF(DATOS_[[Sexo]:[Sexo]]=$B41,IF(DATOS_[[AGRUP. CLAS. PROF.]:[AGRUP. CLAS. PROF.]]=$B39,IF(DATOS_[[Check Periodo Ref.]:[Check Periodo Ref.]]="Dentro",IF(DATOS_[[Check Equiparado]:[Check Equiparado]]="Sí",IF(DATOS!AH$4="Sí",(1/DATOS_[[% anualiz]:[% anualiz]]),1)*IF(DATOS!AH$5="Sí",1/DATOS_[[% normaliz]:[% normaliz]],1)*(DATOS_[Conc.Sal.04])))))))), 0)</f>
        <v>0</v>
      </c>
      <c r="N41" s="302" t="n">
        <f aca="false" t="array" ref="N41:N41">IFERROR( (AVERAGE((IF(DATOS_[[Sexo]:[Sexo]]=$B41,IF(DATOS_[[AGRUP. CLAS. PROF.]:[AGRUP. CLAS. PROF.]]=$B39,IF(DATOS_[[Check Periodo Ref.]:[Check Periodo Ref.]]="Dentro",IF(DATOS_[[Check Equiparado]:[Check Equiparado]]="Sí",IF(DATOS!AI$4="Sí",(1/DATOS_[[% anualiz]:[% anualiz]]),1)*IF(DATOS!AI$5="Sí",1/DATOS_[[% normaliz]:[% normaliz]],1)*(DATOS_[Conc.Sal.05])))))))), 0)</f>
        <v>0</v>
      </c>
      <c r="O41" s="302" t="n">
        <f aca="false" t="array" ref="O41:O41">IFERROR( (AVERAGE((IF(DATOS_[[Sexo]:[Sexo]]=$B41,IF(DATOS_[[AGRUP. CLAS. PROF.]:[AGRUP. CLAS. PROF.]]=$B39,IF(DATOS_[[Check Periodo Ref.]:[Check Periodo Ref.]]="Dentro",IF(DATOS_[[Check Equiparado]:[Check Equiparado]]="Sí",IF(DATOS!AJ$4="Sí",(1/DATOS_[[% anualiz]:[% anualiz]]),1)*IF(DATOS!AJ$5="Sí",1/DATOS_[[% normaliz]:[% normaliz]],1)*(DATOS_[Conc.Sal.06])))))))), 0)</f>
        <v>0</v>
      </c>
      <c r="P41" s="302" t="n">
        <f aca="false" t="array" ref="P41:P41">IFERROR( (AVERAGE((IF(DATOS_[[Sexo]:[Sexo]]=$B41,IF(DATOS_[[AGRUP. CLAS. PROF.]:[AGRUP. CLAS. PROF.]]=$B39,IF(DATOS_[[Check Periodo Ref.]:[Check Periodo Ref.]]="Dentro",IF(DATOS_[[Check Equiparado]:[Check Equiparado]]="Sí",IF(DATOS!AK$4="Sí",(1/DATOS_[[% anualiz]:[% anualiz]]),1)*IF(DATOS!AK$5="Sí",1/DATOS_[[% normaliz]:[% normaliz]],1)*(DATOS_[Conc.Sal.07])))))))), 0)</f>
        <v>0</v>
      </c>
      <c r="Q41" s="302" t="n">
        <f aca="false" t="array" ref="Q41:Q41">IFERROR( (AVERAGE((IF(DATOS_[[Sexo]:[Sexo]]=$B41,IF(DATOS_[[AGRUP. CLAS. PROF.]:[AGRUP. CLAS. PROF.]]=$B39,IF(DATOS_[[Check Periodo Ref.]:[Check Periodo Ref.]]="Dentro",IF(DATOS_[[Check Equiparado]:[Check Equiparado]]="Sí",IF(DATOS!AL$4="Sí",(1/DATOS_[[% anualiz]:[% anualiz]]),1)*IF(DATOS!AL$5="Sí",1/DATOS_[[% normaliz]:[% normaliz]],1)*(DATOS_[Conc.Sal.08])))))))), 0)</f>
        <v>0</v>
      </c>
      <c r="R41" s="302" t="n">
        <f aca="false" t="array" ref="R41:R41">IFERROR( (AVERAGE((IF(DATOS_[[Sexo]:[Sexo]]=$B41,IF(DATOS_[[AGRUP. CLAS. PROF.]:[AGRUP. CLAS. PROF.]]=$B39,IF(DATOS_[[Check Periodo Ref.]:[Check Periodo Ref.]]="Dentro",IF(DATOS_[[Check Equiparado]:[Check Equiparado]]="Sí",IF(DATOS!AM$4="Sí",(1/DATOS_[[% anualiz]:[% anualiz]]),1)*IF(DATOS!AM$5="Sí",1/DATOS_[[% normaliz]:[% normaliz]],1)*(DATOS_[Conc.Sal.09])))))))), 0)</f>
        <v>0</v>
      </c>
      <c r="S41" s="302" t="n">
        <f aca="false" t="array" ref="S41:S41">IFERROR( (AVERAGE((IF(DATOS_[[Sexo]:[Sexo]]=$B41,IF(DATOS_[[AGRUP. CLAS. PROF.]:[AGRUP. CLAS. PROF.]]=$B39,IF(DATOS_[[Check Periodo Ref.]:[Check Periodo Ref.]]="Dentro",IF(DATOS_[[Check Equiparado]:[Check Equiparado]]="Sí",IF(DATOS!AN$4="Sí",(1/DATOS_[[% anualiz]:[% anualiz]]),1)*IF(DATOS!AN$5="Sí",1/DATOS_[[% normaliz]:[% normaliz]],1)*(DATOS_[Conc.Sal.10])))))))), 0)</f>
        <v>0</v>
      </c>
      <c r="T41" s="302" t="n">
        <f aca="false" t="array" ref="T41:T41">IFERROR( (AVERAGE((IF(DATOS_[[Sexo]:[Sexo]]=$B41,IF(DATOS_[[AGRUP. CLAS. PROF.]:[AGRUP. CLAS. PROF.]]=$B39,IF(DATOS_[[Check Periodo Ref.]:[Check Periodo Ref.]]="Dentro",IF(DATOS_[[Check Equiparado]:[Check Equiparado]]="Sí",IF(DATOS!AO$4="Sí",(1/DATOS_[[% anualiz]:[% anualiz]]),1)*IF(DATOS!AO$5="Sí",1/DATOS_[[% normaliz]:[% normaliz]],1)*(DATOS_[Conc.Sal.11])))))))), 0)</f>
        <v>0</v>
      </c>
      <c r="U41" s="302" t="n">
        <f aca="false" t="array" ref="U41:U41">IFERROR( (AVERAGE((IF(DATOS_[[Sexo]:[Sexo]]=$B41,IF(DATOS_[[AGRUP. CLAS. PROF.]:[AGRUP. CLAS. PROF.]]=$B39,IF(DATOS_[[Check Periodo Ref.]:[Check Periodo Ref.]]="Dentro",IF(DATOS_[[Check Equiparado]:[Check Equiparado]]="Sí",IF(DATOS!AP$4="Sí",(1/DATOS_[[% anualiz]:[% anualiz]]),1)*IF(DATOS!AP$5="Sí",1/DATOS_[[% normaliz]:[% normaliz]],1)*(DATOS_[Conc.Sal.12])))))))), 0)</f>
        <v>0</v>
      </c>
      <c r="V41" s="302" t="n">
        <f aca="false" t="array" ref="V41:V41">IFERROR( (AVERAGE((IF(DATOS_[[Sexo]:[Sexo]]=$B41,IF(DATOS_[[AGRUP. CLAS. PROF.]:[AGRUP. CLAS. PROF.]]=$B39,IF(DATOS_[[Check Periodo Ref.]:[Check Periodo Ref.]]="Dentro",IF(DATOS_[[Check Equiparado]:[Check Equiparado]]="Sí",IF(DATOS!AQ$4="Sí",(1/DATOS_[[% anualiz]:[% anualiz]]),1)*IF(DATOS!AQ$5="Sí",1/DATOS_[[% normaliz]:[% normaliz]],1)*(DATOS_[Conc.Sal.13])))))))), 0)</f>
        <v>0</v>
      </c>
      <c r="W41" s="302" t="n">
        <f aca="false" t="array" ref="W41:W41">IFERROR( (AVERAGE((IF(DATOS_[[Sexo]:[Sexo]]=$B41,IF(DATOS_[[AGRUP. CLAS. PROF.]:[AGRUP. CLAS. PROF.]]=$B39,IF(DATOS_[[Check Periodo Ref.]:[Check Periodo Ref.]]="Dentro",IF(DATOS_[[Check Equiparado]:[Check Equiparado]]="Sí",IF(DATOS!AR$4="Sí",(1/DATOS_[[% anualiz]:[% anualiz]]),1)*IF(DATOS!AR$5="Sí",1/DATOS_[[% normaliz]:[% normaliz]],1)*(DATOS_[Conc.Sal.14])))))))), 0)</f>
        <v>0</v>
      </c>
      <c r="X41" s="302" t="n">
        <f aca="false" t="array" ref="X41:X41">IFERROR( (AVERAGE((IF(DATOS_[[Sexo]:[Sexo]]=$B41,IF(DATOS_[[AGRUP. CLAS. PROF.]:[AGRUP. CLAS. PROF.]]=$B39,IF(DATOS_[[Check Periodo Ref.]:[Check Periodo Ref.]]="Dentro",IF(DATOS_[[Check Equiparado]:[Check Equiparado]]="Sí",IF(DATOS!AS$4="Sí",(1/DATOS_[[% anualiz]:[% anualiz]]),1)*IF(DATOS!AS$5="Sí",1/DATOS_[[% normaliz]:[% normaliz]],1)*(DATOS_[Conc.Sal.15])))))))), 0)</f>
        <v>0</v>
      </c>
      <c r="Y41" s="302" t="n">
        <f aca="false" t="array" ref="Y41:Y41">IFERROR( (AVERAGE((IF(DATOS_[[Sexo]:[Sexo]]=$B41,IF(DATOS_[[AGRUP. CLAS. PROF.]:[AGRUP. CLAS. PROF.]]=$B39,IF(DATOS_[[Check Periodo Ref.]:[Check Periodo Ref.]]="Dentro",IF(DATOS_[[Check Equiparado]:[Check Equiparado]]="Sí",IF(DATOS!AT$4="Sí",(1/DATOS_[[% anualiz]:[% anualiz]]),1)*IF(DATOS!AT$5="Sí",1/DATOS_[[% normaliz]:[% normaliz]],1)*(DATOS_[Conc.Sal.16])))))))), 0)</f>
        <v>0</v>
      </c>
      <c r="Z41" s="302" t="n">
        <f aca="false" t="array" ref="Z41:Z41">IFERROR( (AVERAGE((IF(DATOS_[[Sexo]:[Sexo]]=$B41,IF(DATOS_[[AGRUP. CLAS. PROF.]:[AGRUP. CLAS. PROF.]]=$B39,IF(DATOS_[[Check Periodo Ref.]:[Check Periodo Ref.]]="Dentro",IF(DATOS_[[Check Equiparado]:[Check Equiparado]]="Sí",IF(DATOS!AU$4="Sí",(1/DATOS_[[% anualiz]:[% anualiz]]),1)*IF(DATOS!AU$5="Sí",1/DATOS_[[% normaliz]:[% normaliz]],1)*(DATOS_[Conc.Sal.17])))))))), 0)</f>
        <v>0</v>
      </c>
      <c r="AA41" s="302" t="n">
        <f aca="false" t="array" ref="AA41:AA41">IFERROR( (AVERAGE((IF(DATOS_[[Sexo]:[Sexo]]=$B41,IF(DATOS_[[AGRUP. CLAS. PROF.]:[AGRUP. CLAS. PROF.]]=$B39,IF(DATOS_[[Check Periodo Ref.]:[Check Periodo Ref.]]="Dentro",IF(DATOS_[[Check Equiparado]:[Check Equiparado]]="Sí",IF(DATOS!AV$4="Sí",(1/DATOS_[[% anualiz]:[% anualiz]]),1)*IF(DATOS!AV$5="Sí",1/DATOS_[[% normaliz]:[% normaliz]],1)*(DATOS_[Conc.Sal.18])))))))), 0)</f>
        <v>0</v>
      </c>
      <c r="AB41" s="302" t="n">
        <f aca="false" t="array" ref="AB41:AB41">IFERROR( (AVERAGE((IF(DATOS_[[Sexo]:[Sexo]]=$B41,IF(DATOS_[[AGRUP. CLAS. PROF.]:[AGRUP. CLAS. PROF.]]=$B39,IF(DATOS_[[Check Periodo Ref.]:[Check Periodo Ref.]]="Dentro",IF(DATOS_[[Check Equiparado]:[Check Equiparado]]="Sí",IF(DATOS!AW$4="Sí",(1/DATOS_[[% anualiz]:[% anualiz]]),1)*IF(DATOS!AW$5="Sí",1/DATOS_[[% normaliz]:[% normaliz]],1)*(DATOS_[Conc.Sal.19])))))))), 0)</f>
        <v>0</v>
      </c>
      <c r="AC41" s="302" t="n">
        <f aca="false" t="array" ref="AC41:AC41">IFERROR( (AVERAGE((IF(DATOS_[[Sexo]:[Sexo]]=$B41,IF(DATOS_[[AGRUP. CLAS. PROF.]:[AGRUP. CLAS. PROF.]]=$B39,IF(DATOS_[[Check Periodo Ref.]:[Check Periodo Ref.]]="Dentro",IF(DATOS_[[Check Equiparado]:[Check Equiparado]]="Sí",IF(DATOS!AX$4="Sí",(1/DATOS_[[% anualiz]:[% anualiz]]),1)*IF(DATOS!AX$5="Sí",1/DATOS_[[% normaliz]:[% normaliz]],1)*(DATOS_[Conc.Sal.20])))))))), 0)</f>
        <v>0</v>
      </c>
      <c r="AD41" s="302" t="n">
        <f aca="false" t="array" ref="AD41:AD41">IFERROR( (AVERAGE((IF(DATOS_[[Sexo]:[Sexo]]=$B41,IF(DATOS_[[AGRUP. CLAS. PROF.]:[AGRUP. CLAS. PROF.]]=$B39,IF(DATOS_[[Check Periodo Ref.]:[Check Periodo Ref.]]="Dentro",IF(DATOS_[[Check Equiparado]:[Check Equiparado]]="Sí",IF(DATOS!AY$4="Sí",(1/DATOS_[[% anualiz]:[% anualiz]]),1)*IF(DATOS!AY$5="Sí",1/DATOS_[[% normaliz]:[% normaliz]],1)*(DATOS_[Conc.Sal.21])))))))), 0)</f>
        <v>0</v>
      </c>
      <c r="AE41" s="302" t="n">
        <f aca="false" t="array" ref="AE41:AE41">IFERROR( (AVERAGE((IF(DATOS_[[Sexo]:[Sexo]]=$B41,IF(DATOS_[[AGRUP. CLAS. PROF.]:[AGRUP. CLAS. PROF.]]=$B39,IF(DATOS_[[Check Periodo Ref.]:[Check Periodo Ref.]]="Dentro",IF(DATOS_[[Check Equiparado]:[Check Equiparado]]="Sí",IF(DATOS!AZ$4="Sí",(1/DATOS_[[% anualiz]:[% anualiz]]),1)*IF(DATOS!AZ$5="Sí",1/DATOS_[[% normaliz]:[% normaliz]],1)*(DATOS_[Conc.Sal.22])))))))), 0)</f>
        <v>0</v>
      </c>
      <c r="AF41" s="302" t="n">
        <f aca="false" t="array" ref="AF41:AF41">IFERROR( (AVERAGE((IF(DATOS_[[Sexo]:[Sexo]]=$B41,IF(DATOS_[[AGRUP. CLAS. PROF.]:[AGRUP. CLAS. PROF.]]=$B39,IF(DATOS_[[Check Periodo Ref.]:[Check Periodo Ref.]]="Dentro",IF(DATOS_[[Check Equiparado]:[Check Equiparado]]="Sí",IF(DATOS!BA$4="Sí",(1/DATOS_[[% anualiz]:[% anualiz]]),1)*IF(DATOS!BA$5="Sí",1/DATOS_[[% normaliz]:[% normaliz]],1)*(DATOS_[Conc.Sal.23])))))))), 0)</f>
        <v>0</v>
      </c>
      <c r="AG41" s="302" t="n">
        <f aca="false" t="array" ref="AG41:AG41">IFERROR( (AVERAGE((IF(DATOS_[[Sexo]:[Sexo]]=$B41,IF(DATOS_[[AGRUP. CLAS. PROF.]:[AGRUP. CLAS. PROF.]]=$B39,IF(DATOS_[[Check Periodo Ref.]:[Check Periodo Ref.]]="Dentro",IF(DATOS_[[Check Equiparado]:[Check Equiparado]]="Sí",IF(DATOS!BB$4="Sí",(1/DATOS_[[% anualiz]:[% anualiz]]),1)*IF(DATOS!BB$5="Sí",1/DATOS_[[% normaliz]:[% normaliz]],1)*(DATOS_[Conc.Sal.24])))))))), 0)</f>
        <v>0</v>
      </c>
      <c r="AH41" s="302" t="n">
        <f aca="false" t="array" ref="AH41:AH41">IFERROR( (AVERAGE((IF(DATOS_[[Sexo]:[Sexo]]=$B41,IF(DATOS_[[AGRUP. CLAS. PROF.]:[AGRUP. CLAS. PROF.]]=$B39,IF(DATOS_[[Check Periodo Ref.]:[Check Periodo Ref.]]="Dentro",IF(DATOS_[[Check Equiparado]:[Check Equiparado]]="Sí",IF(DATOS!BC$4="Sí",(1/DATOS_[[% anualiz]:[% anualiz]]),1)*IF(DATOS!BC$5="Sí",1/DATOS_[[% normaliz]:[% normaliz]],1)*(DATOS_[Conc.Sal.25])))))))), 0)</f>
        <v>0</v>
      </c>
      <c r="AI41" s="302" t="n">
        <f aca="false" t="array" ref="AI41:AI41">IFERROR( (AVERAGE((IF(DATOS_[[Sexo]:[Sexo]]=$B41,IF(DATOS_[[AGRUP. CLAS. PROF.]:[AGRUP. CLAS. PROF.]]=$B39,IF(DATOS_[[Check Periodo Ref.]:[Check Periodo Ref.]]="Dentro",IF(DATOS_[[Check Equiparado]:[Check Equiparado]]="Sí",IF(DATOS!BD$4="Sí",(1/DATOS_[[% anualiz]:[% anualiz]]),1)*IF(DATOS!BD$5="Sí",1/DATOS_[[% normaliz]:[% normaliz]],1)*(DATOS_[Conc.Sal.26])))))))), 0)</f>
        <v>0</v>
      </c>
      <c r="AJ41" s="302" t="n">
        <f aca="false" t="array" ref="AJ41:AJ41">IFERROR( (AVERAGE((IF(DATOS_[[Sexo]:[Sexo]]=$B41,IF(DATOS_[[AGRUP. CLAS. PROF.]:[AGRUP. CLAS. PROF.]]=$B39,IF(DATOS_[[Check Periodo Ref.]:[Check Periodo Ref.]]="Dentro",IF(DATOS_[[Check Equiparado]:[Check Equiparado]]="Sí",IF(DATOS!BE$4="Sí",(1/DATOS_[[% anualiz]:[% anualiz]]),1)*IF(DATOS!BE$5="Sí",1/DATOS_[[% normaliz]:[% normaliz]],1)*(DATOS_[Conc.Sal.27])))))))), 0)</f>
        <v>0</v>
      </c>
      <c r="AK41" s="302" t="n">
        <f aca="false" t="array" ref="AK41:AK41">IFERROR( (AVERAGE((IF(DATOS_[[Sexo]:[Sexo]]=$B41,IF(DATOS_[[AGRUP. CLAS. PROF.]:[AGRUP. CLAS. PROF.]]=$B39,IF(DATOS_[[Check Periodo Ref.]:[Check Periodo Ref.]]="Dentro",IF(DATOS_[[Check Equiparado]:[Check Equiparado]]="Sí",IF(DATOS!BF$4="Sí",(1/DATOS_[[% anualiz]:[% anualiz]]),1)*IF(DATOS!BF$5="Sí",1/DATOS_[[% normaliz]:[% normaliz]],1)*(DATOS_[Conc.Sal.28])))))))), 0)</f>
        <v>0</v>
      </c>
      <c r="AL41" s="302" t="n">
        <f aca="false" t="array" ref="AL41:AL41">IFERROR( (AVERAGE((IF(DATOS_[[Sexo]:[Sexo]]=$B41,IF(DATOS_[[AGRUP. CLAS. PROF.]:[AGRUP. CLAS. PROF.]]=$B39,IF(DATOS_[[Check Periodo Ref.]:[Check Periodo Ref.]]="Dentro",IF(DATOS_[[Check Equiparado]:[Check Equiparado]]="Sí",IF(DATOS!BG$4="Sí",(1/DATOS_[[% anualiz]:[% anualiz]]),1)*IF(DATOS!BG$5="Sí",1/DATOS_[[% normaliz]:[% normaliz]],1)*(DATOS_[Conc.Sal.29])))))))), 0)</f>
        <v>0</v>
      </c>
      <c r="AM41" s="302" t="n">
        <f aca="false" t="array" ref="AM41:AM41">IFERROR( (AVERAGE((IF(DATOS_[[Sexo]:[Sexo]]=$B41,IF(DATOS_[[AGRUP. CLAS. PROF.]:[AGRUP. CLAS. PROF.]]=$B39,IF(DATOS_[[Check Periodo Ref.]:[Check Periodo Ref.]]="Dentro",IF(DATOS_[[Check Equiparado]:[Check Equiparado]]="Sí",IF(DATOS!BH$4="Sí",(1/DATOS_[[% anualiz]:[% anualiz]]),1)*IF(DATOS!BH$5="Sí",1/DATOS_[[% normaliz]:[% normaliz]],1)*(DATOS_[Conc.Sal.30])))))))), 0)</f>
        <v>0</v>
      </c>
      <c r="AN41" s="294" t="n">
        <f aca="false" t="array" ref="AN41:AN41">IFERROR( AVERAGE(IF(DATOS_[Sexo]=$B41,IF(DATOS_[[AGRUP. CLAS. PROF.]:[AGRUP. CLAS. PROF.]]=$B39,IF(DATOS_[Check Equiparado]="Sí",IF(DATOS_[Check Periodo Ref.]="Dentro",DATOS_[Tot COMPL.SAL Eq],0))))), 0)</f>
        <v>0</v>
      </c>
      <c r="AO41" s="295" t="n">
        <f aca="false" t="array" ref="AO41:AO41">IFERROR( AVERAGE(IF(DATOS_[Sexo]=$B41,IF(DATOS_[[AGRUP. CLAS. PROF.]:[AGRUP. CLAS. PROF.]]=$B39,IF(DATOS_[Check Equiparado]="Sí",IF(DATOS_[Check Periodo Ref.]="Dentro",DATOS_[TOTAL SALARIO Eq],0))))), 0)</f>
        <v>0</v>
      </c>
      <c r="AP41" s="303" t="n">
        <f aca="false" t="array" ref="AP41:AP41">IFERROR( (AVERAGE((IF(DATOS_[[Sexo]:[Sexo]]=$B41,IF(DATOS_[[AGRUP. CLAS. PROF.]:[AGRUP. CLAS. PROF.]]=$B40,IF(DATOS_[[Check Periodo Ref.]:[Check Periodo Ref.]]="Dentro",IF(DATOS_[[Check Equiparado]:[Check Equiparado]]="Sí",IF(DATOS!BI$4="Sí",(1/DATOS_[[% anualiz]:[% anualiz]]),1)*IF(DATOS!BI$5="Sí",1/DATOS_[[% normaliz]:[% normaliz]],1)*(DATOS_[C.Extra.01])))))))), 0)</f>
        <v>0</v>
      </c>
      <c r="AQ41" s="303" t="n">
        <f aca="false" t="array" ref="AQ41:AQ41">IFERROR( (AVERAGE((IF(DATOS_[[Sexo]:[Sexo]]=$B41,IF(DATOS_[[AGRUP. CLAS. PROF.]:[AGRUP. CLAS. PROF.]]=$B40,IF(DATOS_[[Check Periodo Ref.]:[Check Periodo Ref.]]="Dentro",IF(DATOS_[[Check Equiparado]:[Check Equiparado]]="Sí",IF(DATOS!BJ$4="Sí",(1/DATOS_[[% anualiz]:[% anualiz]]),1)*IF(DATOS!BJ$5="Sí",1/DATOS_[[% normaliz]:[% normaliz]],1)*(DATOS_[C.Extra.02])))))))), 0)</f>
        <v>0</v>
      </c>
      <c r="AR41" s="303" t="n">
        <f aca="false" t="array" ref="AR41:AR41">IFERROR( (AVERAGE((IF(DATOS_[[Sexo]:[Sexo]]=$B41,IF(DATOS_[[AGRUP. CLAS. PROF.]:[AGRUP. CLAS. PROF.]]=$B40,IF(DATOS_[[Check Periodo Ref.]:[Check Periodo Ref.]]="Dentro",IF(DATOS_[[Check Equiparado]:[Check Equiparado]]="Sí",IF(DATOS!BK$4="Sí",(1/DATOS_[[% anualiz]:[% anualiz]]),1)*IF(DATOS!BK$5="Sí",1/DATOS_[[% normaliz]:[% normaliz]],1)*(DATOS_[C.Extra.03])))))))), 0)</f>
        <v>0</v>
      </c>
      <c r="AS41" s="303" t="n">
        <f aca="false" t="array" ref="AS41:AS41">IFERROR( (AVERAGE((IF(DATOS_[[Sexo]:[Sexo]]=$B41,IF(DATOS_[[AGRUP. CLAS. PROF.]:[AGRUP. CLAS. PROF.]]=$B40,IF(DATOS_[[Check Periodo Ref.]:[Check Periodo Ref.]]="Dentro",IF(DATOS_[[Check Equiparado]:[Check Equiparado]]="Sí",IF(DATOS!BL$4="Sí",(1/DATOS_[[% anualiz]:[% anualiz]]),1)*IF(DATOS!BL$5="Sí",1/DATOS_[[% normaliz]:[% normaliz]],1)*(DATOS_[C.Extra.04])))))))), 0)</f>
        <v>0</v>
      </c>
      <c r="AT41" s="303" t="n">
        <f aca="false" t="array" ref="AT41:AT41">IFERROR( (AVERAGE((IF(DATOS_[[Sexo]:[Sexo]]=$B41,IF(DATOS_[[AGRUP. CLAS. PROF.]:[AGRUP. CLAS. PROF.]]=$B40,IF(DATOS_[[Check Periodo Ref.]:[Check Periodo Ref.]]="Dentro",IF(DATOS_[[Check Equiparado]:[Check Equiparado]]="Sí",IF(DATOS!BM$4="Sí",(1/DATOS_[[% anualiz]:[% anualiz]]),1)*IF(DATOS!BM$5="Sí",1/DATOS_[[% normaliz]:[% normaliz]],1)*(DATOS_[C.Extra.05])))))))), 0)</f>
        <v>0</v>
      </c>
      <c r="AU41" s="297" t="n">
        <f aca="false" t="array" ref="AU41:AU41">IFERROR( AVERAGE(IF(DATOS_[Sexo]=$B41,IF(DATOS_[[AGRUP. CLAS. PROF.]:[AGRUP. CLAS. PROF.]]=$B39,IF(DATOS_[Check Equiparado]="Sí",IF(DATOS_[Check Periodo Ref.]="Dentro",DATOS_[Tot Extrasalarial Eq],0))))), 0)</f>
        <v>0</v>
      </c>
      <c r="AV41" s="298" t="n">
        <f aca="false" t="array" ref="AV41:AV41">IFERROR( AVERAGE(IF(DATOS_[Sexo]=$B41,IF(DATOS_[[AGRUP. CLAS. PROF.]:[AGRUP. CLAS. PROF.]]=$B39,IF(DATOS_[Check Equiparado]="Sí",IF(DATOS_[Check Periodo Ref.]="Dentro",DATOS_[TOTAL Retrib Eq],0))))), 0)</f>
        <v>0</v>
      </c>
    </row>
    <row r="42" customFormat="false" ht="15.75" hidden="false" customHeight="false" outlineLevel="0" collapsed="false">
      <c r="A42" s="166" t="str">
        <f aca="false">+A43</f>
        <v>[ocultar]</v>
      </c>
      <c r="B42" s="276" t="s">
        <v>195</v>
      </c>
      <c r="C42" s="277"/>
      <c r="D42" s="278"/>
      <c r="E42" s="278"/>
      <c r="F42" s="278"/>
      <c r="G42" s="278"/>
      <c r="H42" s="278"/>
      <c r="I42" s="279" t="str">
        <f aca="false">IFERROR((I43-I44)/I43,"")</f>
        <v/>
      </c>
      <c r="J42" s="280" t="str">
        <f aca="false">IFERROR((J43-J44)/J43,"")</f>
        <v/>
      </c>
      <c r="K42" s="281" t="str">
        <f aca="false">IFERROR((K43-K44)/K43,"")</f>
        <v/>
      </c>
      <c r="L42" s="281" t="str">
        <f aca="false">IFERROR((L43-L44)/L43,"")</f>
        <v/>
      </c>
      <c r="M42" s="281" t="str">
        <f aca="false">IFERROR((M43-M44)/M43,"")</f>
        <v/>
      </c>
      <c r="N42" s="282" t="str">
        <f aca="false">IFERROR((N43-N44)/N43,"")</f>
        <v/>
      </c>
      <c r="O42" s="283" t="str">
        <f aca="false">IFERROR((O43-O44)/O43,"")</f>
        <v/>
      </c>
      <c r="P42" s="283" t="str">
        <f aca="false">IFERROR((P43-P44)/P43,"")</f>
        <v/>
      </c>
      <c r="Q42" s="283" t="str">
        <f aca="false">IFERROR((Q43-Q44)/Q43,"")</f>
        <v/>
      </c>
      <c r="R42" s="283" t="str">
        <f aca="false">IFERROR((R43-R44)/R43,"")</f>
        <v/>
      </c>
      <c r="S42" s="283" t="str">
        <f aca="false">IFERROR((S43-S44)/S43,"")</f>
        <v/>
      </c>
      <c r="T42" s="283" t="str">
        <f aca="false">IFERROR((T43-T44)/T43,"")</f>
        <v/>
      </c>
      <c r="U42" s="283" t="str">
        <f aca="false">IFERROR((U43-U44)/U43,"")</f>
        <v/>
      </c>
      <c r="V42" s="283" t="str">
        <f aca="false">IFERROR((V43-V44)/V43,"")</f>
        <v/>
      </c>
      <c r="W42" s="283" t="str">
        <f aca="false">IFERROR((W43-W44)/W43,"")</f>
        <v/>
      </c>
      <c r="X42" s="283" t="str">
        <f aca="false">IFERROR((X43-X44)/X43,"")</f>
        <v/>
      </c>
      <c r="Y42" s="283" t="str">
        <f aca="false">IFERROR((Y43-Y44)/Y43,"")</f>
        <v/>
      </c>
      <c r="Z42" s="282" t="str">
        <f aca="false">IFERROR((Z43-Z44)/Z43,"")</f>
        <v/>
      </c>
      <c r="AA42" s="282" t="str">
        <f aca="false">IFERROR((AA43-AA44)/AA43,"")</f>
        <v/>
      </c>
      <c r="AB42" s="282" t="str">
        <f aca="false">IFERROR((AB43-AB44)/AB43,"")</f>
        <v/>
      </c>
      <c r="AC42" s="282" t="str">
        <f aca="false">IFERROR((AC43-AC44)/AC43,"")</f>
        <v/>
      </c>
      <c r="AD42" s="282" t="str">
        <f aca="false">IFERROR((AD43-AD44)/AD43,"")</f>
        <v/>
      </c>
      <c r="AE42" s="282" t="str">
        <f aca="false">IFERROR((AE43-AE44)/AE43,"")</f>
        <v/>
      </c>
      <c r="AF42" s="282" t="str">
        <f aca="false">IFERROR((AF43-AF44)/AF43,"")</f>
        <v/>
      </c>
      <c r="AG42" s="282" t="str">
        <f aca="false">IFERROR((AG43-AG44)/AG43,"")</f>
        <v/>
      </c>
      <c r="AH42" s="282" t="str">
        <f aca="false">IFERROR((AH43-AH44)/AH43,"")</f>
        <v/>
      </c>
      <c r="AI42" s="282" t="str">
        <f aca="false">IFERROR((AI43-AI44)/AI43,"")</f>
        <v/>
      </c>
      <c r="AJ42" s="282" t="str">
        <f aca="false">IFERROR((AJ43-AJ44)/AJ43,"")</f>
        <v/>
      </c>
      <c r="AK42" s="282" t="str">
        <f aca="false">IFERROR((AK43-AK44)/AK43,"")</f>
        <v/>
      </c>
      <c r="AL42" s="282" t="str">
        <f aca="false">IFERROR((AL43-AL44)/AL43,"")</f>
        <v/>
      </c>
      <c r="AM42" s="282" t="str">
        <f aca="false">IFERROR((AM43-AM44)/AM43,"")</f>
        <v/>
      </c>
      <c r="AN42" s="284" t="str">
        <f aca="false">IFERROR((AN43-AN44)/AN43,"")</f>
        <v/>
      </c>
      <c r="AO42" s="285" t="str">
        <f aca="false">IFERROR((AO43-AO44)/AO43,"")</f>
        <v/>
      </c>
      <c r="AP42" s="286" t="str">
        <f aca="false">IFERROR((AP43-AP44)/AP43,"")</f>
        <v/>
      </c>
      <c r="AQ42" s="286" t="str">
        <f aca="false">IFERROR((AQ43-AQ44)/AQ43,"")</f>
        <v/>
      </c>
      <c r="AR42" s="286" t="str">
        <f aca="false">IFERROR((AR43-AR44)/AR43,"")</f>
        <v/>
      </c>
      <c r="AS42" s="286" t="str">
        <f aca="false">IFERROR((AS43-AS44)/AS43,"")</f>
        <v/>
      </c>
      <c r="AT42" s="286" t="str">
        <f aca="false">IFERROR((AT43-AT44)/AT43,"")</f>
        <v/>
      </c>
      <c r="AU42" s="287" t="str">
        <f aca="false">IFERROR((AU43-AU44)/AU43,"")</f>
        <v/>
      </c>
      <c r="AV42" s="288" t="str">
        <f aca="false">IFERROR((AV43-AV44)/AV43,"")</f>
        <v/>
      </c>
    </row>
    <row r="43" customFormat="false" ht="14.25" hidden="false" customHeight="false" outlineLevel="0" collapsed="false">
      <c r="A43" s="166" t="str">
        <f aca="false">+IF(C43+C44=0,"[ocultar]","")</f>
        <v>[ocultar]</v>
      </c>
      <c r="B43" s="289" t="s">
        <v>371</v>
      </c>
      <c r="C43" s="290" t="n">
        <f aca="false" t="array" ref="C43:C43">SUM(IF($B43=DATOS_[Sexo], IF($B42=DATOS_[AGRUP. CLAS. PROF.], IF("Dentro"=DATOS_[Check Periodo Ref.], 1/(COUNTIFS(DATOS_[Sexo],$B43,DATOS_[AGRUP. CLAS. PROF.],$B42,DATOS_[Check Periodo Ref.],"Dentro",DATOS_[id],DATOS_[id]))))))</f>
        <v>0</v>
      </c>
      <c r="D43" s="291" t="n">
        <f aca="false">COUNTIFS(DATOS_[AGRUP. CLAS. PROF.],$B42,DATOS_[Sexo],$B43,DATOS_[Check Periodo Ref.],"Dentro")</f>
        <v>0</v>
      </c>
      <c r="E43" s="291" t="n">
        <f aca="false">COUNTIFS(DATOS_[AGRUP. CLAS. PROF.],$B42,DATOS_[Sexo],$B43,DATOS_[Check Periodo Ref.],"Dentro",DATOS_[Check Nº SC Norm],"Sí")</f>
        <v>0</v>
      </c>
      <c r="F43" s="291" t="n">
        <f aca="false">COUNTIFS(DATOS_[AGRUP. CLAS. PROF.],$B42,DATOS_[Sexo],$B43,DATOS_[Check Periodo Ref.],"Dentro",DATOS_[Check Nº SC Anualiz],"Sí")</f>
        <v>0</v>
      </c>
      <c r="G43" s="291" t="n">
        <f aca="false">COUNTIFS(DATOS_[AGRUP. CLAS. PROF.],$B42,DATOS_[Sexo],$B43,DATOS_[Check Periodo Ref.],"Dentro",DATOS_[Check Nº SC Norm y Anualiz],"Sí")</f>
        <v>0</v>
      </c>
      <c r="H43" s="291" t="n">
        <f aca="false">COUNTIFS(DATOS_[AGRUP. CLAS. PROF.],$B42,DATOS_[Sexo],$B43,DATOS_[Check Periodo Ref.],"Dentro",DATOS_[Check Equiparación],"Sí")</f>
        <v>0</v>
      </c>
      <c r="I43" s="292" t="n">
        <f aca="false" t="array" ref="I43:I43">IFERROR( AVERAGE(IF(DATOS_[Sexo]=$B43,IF(DATOS_[[AGRUP. CLAS. PROF.]:[AGRUP. CLAS. PROF.]]=$B42,IF(DATOS_[Check Equiparado]="Sí",IF(DATOS_[Check Periodo Ref.]="Dentro",DATOS_[SALARIO BASE Eq],0))))), 0)</f>
        <v>0</v>
      </c>
      <c r="J43" s="302" t="n">
        <f aca="false" t="array" ref="J43:J43">IFERROR( (AVERAGE((IF(DATOS_[[Sexo]:[Sexo]]=$B43,IF(DATOS_[[AGRUP. CLAS. PROF.]:[AGRUP. CLAS. PROF.]]=$B42,IF(DATOS_[[Check Periodo Ref.]:[Check Periodo Ref.]]="Dentro",IF(DATOS_[[Check Equiparado]:[Check Equiparado]]="Sí",IF(DATOS!AE$4="Sí",(1/DATOS_[[% anualiz]:[% anualiz]]),1)*IF(DATOS!AE$5="Sí",1/DATOS_[[% normaliz]:[% normaliz]],1)*(DATOS_[Conc.Sal.01])))))))), 0)</f>
        <v>0</v>
      </c>
      <c r="K43" s="302" t="n">
        <f aca="false" t="array" ref="K43:K43">IFERROR( (AVERAGE((IF(DATOS_[[Sexo]:[Sexo]]=$B43,IF(DATOS_[[AGRUP. CLAS. PROF.]:[AGRUP. CLAS. PROF.]]=$B42,IF(DATOS_[[Check Periodo Ref.]:[Check Periodo Ref.]]="Dentro",IF(DATOS_[[Check Equiparado]:[Check Equiparado]]="Sí",IF(DATOS!AF$4="Sí",(1/DATOS_[[% anualiz]:[% anualiz]]),1)*IF(DATOS!AF$5="Sí",1/DATOS_[[% normaliz]:[% normaliz]],1)*(DATOS_[Conc.Sal.02])))))))), 0)</f>
        <v>0</v>
      </c>
      <c r="L43" s="302" t="n">
        <f aca="false" t="array" ref="L43:L43">IFERROR( (AVERAGE((IF(DATOS_[[Sexo]:[Sexo]]=$B43,IF(DATOS_[[AGRUP. CLAS. PROF.]:[AGRUP. CLAS. PROF.]]=$B42,IF(DATOS_[[Check Periodo Ref.]:[Check Periodo Ref.]]="Dentro",IF(DATOS_[[Check Equiparado]:[Check Equiparado]]="Sí",IF(DATOS!AG$4="Sí",(1/DATOS_[[% anualiz]:[% anualiz]]),1)*IF(DATOS!AG$5="Sí",1/DATOS_[[% normaliz]:[% normaliz]],1)*(DATOS_[Conc.Sal.03])))))))), 0)</f>
        <v>0</v>
      </c>
      <c r="M43" s="302" t="n">
        <f aca="false" t="array" ref="M43:M43">IFERROR( (AVERAGE((IF(DATOS_[[Sexo]:[Sexo]]=$B43,IF(DATOS_[[AGRUP. CLAS. PROF.]:[AGRUP. CLAS. PROF.]]=$B42,IF(DATOS_[[Check Periodo Ref.]:[Check Periodo Ref.]]="Dentro",IF(DATOS_[[Check Equiparado]:[Check Equiparado]]="Sí",IF(DATOS!AH$4="Sí",(1/DATOS_[[% anualiz]:[% anualiz]]),1)*IF(DATOS!AH$5="Sí",1/DATOS_[[% normaliz]:[% normaliz]],1)*(DATOS_[Conc.Sal.04])))))))), 0)</f>
        <v>0</v>
      </c>
      <c r="N43" s="302" t="n">
        <f aca="false" t="array" ref="N43:N43">IFERROR( (AVERAGE((IF(DATOS_[[Sexo]:[Sexo]]=$B43,IF(DATOS_[[AGRUP. CLAS. PROF.]:[AGRUP. CLAS. PROF.]]=$B42,IF(DATOS_[[Check Periodo Ref.]:[Check Periodo Ref.]]="Dentro",IF(DATOS_[[Check Equiparado]:[Check Equiparado]]="Sí",IF(DATOS!AI$4="Sí",(1/DATOS_[[% anualiz]:[% anualiz]]),1)*IF(DATOS!AI$5="Sí",1/DATOS_[[% normaliz]:[% normaliz]],1)*(DATOS_[Conc.Sal.05])))))))), 0)</f>
        <v>0</v>
      </c>
      <c r="O43" s="302" t="n">
        <f aca="false" t="array" ref="O43:O43">IFERROR( (AVERAGE((IF(DATOS_[[Sexo]:[Sexo]]=$B43,IF(DATOS_[[AGRUP. CLAS. PROF.]:[AGRUP. CLAS. PROF.]]=$B42,IF(DATOS_[[Check Periodo Ref.]:[Check Periodo Ref.]]="Dentro",IF(DATOS_[[Check Equiparado]:[Check Equiparado]]="Sí",IF(DATOS!AJ$4="Sí",(1/DATOS_[[% anualiz]:[% anualiz]]),1)*IF(DATOS!AJ$5="Sí",1/DATOS_[[% normaliz]:[% normaliz]],1)*(DATOS_[Conc.Sal.06])))))))), 0)</f>
        <v>0</v>
      </c>
      <c r="P43" s="302" t="n">
        <f aca="false" t="array" ref="P43:P43">IFERROR( (AVERAGE((IF(DATOS_[[Sexo]:[Sexo]]=$B43,IF(DATOS_[[AGRUP. CLAS. PROF.]:[AGRUP. CLAS. PROF.]]=$B42,IF(DATOS_[[Check Periodo Ref.]:[Check Periodo Ref.]]="Dentro",IF(DATOS_[[Check Equiparado]:[Check Equiparado]]="Sí",IF(DATOS!AK$4="Sí",(1/DATOS_[[% anualiz]:[% anualiz]]),1)*IF(DATOS!AK$5="Sí",1/DATOS_[[% normaliz]:[% normaliz]],1)*(DATOS_[Conc.Sal.07])))))))), 0)</f>
        <v>0</v>
      </c>
      <c r="Q43" s="302" t="n">
        <f aca="false" t="array" ref="Q43:Q43">IFERROR( (AVERAGE((IF(DATOS_[[Sexo]:[Sexo]]=$B43,IF(DATOS_[[AGRUP. CLAS. PROF.]:[AGRUP. CLAS. PROF.]]=$B42,IF(DATOS_[[Check Periodo Ref.]:[Check Periodo Ref.]]="Dentro",IF(DATOS_[[Check Equiparado]:[Check Equiparado]]="Sí",IF(DATOS!AL$4="Sí",(1/DATOS_[[% anualiz]:[% anualiz]]),1)*IF(DATOS!AL$5="Sí",1/DATOS_[[% normaliz]:[% normaliz]],1)*(DATOS_[Conc.Sal.08])))))))), 0)</f>
        <v>0</v>
      </c>
      <c r="R43" s="302" t="n">
        <f aca="false" t="array" ref="R43:R43">IFERROR( (AVERAGE((IF(DATOS_[[Sexo]:[Sexo]]=$B43,IF(DATOS_[[AGRUP. CLAS. PROF.]:[AGRUP. CLAS. PROF.]]=$B42,IF(DATOS_[[Check Periodo Ref.]:[Check Periodo Ref.]]="Dentro",IF(DATOS_[[Check Equiparado]:[Check Equiparado]]="Sí",IF(DATOS!AM$4="Sí",(1/DATOS_[[% anualiz]:[% anualiz]]),1)*IF(DATOS!AM$5="Sí",1/DATOS_[[% normaliz]:[% normaliz]],1)*(DATOS_[Conc.Sal.09])))))))), 0)</f>
        <v>0</v>
      </c>
      <c r="S43" s="302" t="n">
        <f aca="false" t="array" ref="S43:S43">IFERROR( (AVERAGE((IF(DATOS_[[Sexo]:[Sexo]]=$B43,IF(DATOS_[[AGRUP. CLAS. PROF.]:[AGRUP. CLAS. PROF.]]=$B42,IF(DATOS_[[Check Periodo Ref.]:[Check Periodo Ref.]]="Dentro",IF(DATOS_[[Check Equiparado]:[Check Equiparado]]="Sí",IF(DATOS!AN$4="Sí",(1/DATOS_[[% anualiz]:[% anualiz]]),1)*IF(DATOS!AN$5="Sí",1/DATOS_[[% normaliz]:[% normaliz]],1)*(DATOS_[Conc.Sal.10])))))))), 0)</f>
        <v>0</v>
      </c>
      <c r="T43" s="302" t="n">
        <f aca="false" t="array" ref="T43:T43">IFERROR( (AVERAGE((IF(DATOS_[[Sexo]:[Sexo]]=$B43,IF(DATOS_[[AGRUP. CLAS. PROF.]:[AGRUP. CLAS. PROF.]]=$B42,IF(DATOS_[[Check Periodo Ref.]:[Check Periodo Ref.]]="Dentro",IF(DATOS_[[Check Equiparado]:[Check Equiparado]]="Sí",IF(DATOS!AO$4="Sí",(1/DATOS_[[% anualiz]:[% anualiz]]),1)*IF(DATOS!AO$5="Sí",1/DATOS_[[% normaliz]:[% normaliz]],1)*(DATOS_[Conc.Sal.11])))))))), 0)</f>
        <v>0</v>
      </c>
      <c r="U43" s="302" t="n">
        <f aca="false" t="array" ref="U43:U43">IFERROR( (AVERAGE((IF(DATOS_[[Sexo]:[Sexo]]=$B43,IF(DATOS_[[AGRUP. CLAS. PROF.]:[AGRUP. CLAS. PROF.]]=$B42,IF(DATOS_[[Check Periodo Ref.]:[Check Periodo Ref.]]="Dentro",IF(DATOS_[[Check Equiparado]:[Check Equiparado]]="Sí",IF(DATOS!AP$4="Sí",(1/DATOS_[[% anualiz]:[% anualiz]]),1)*IF(DATOS!AP$5="Sí",1/DATOS_[[% normaliz]:[% normaliz]],1)*(DATOS_[Conc.Sal.12])))))))), 0)</f>
        <v>0</v>
      </c>
      <c r="V43" s="302" t="n">
        <f aca="false" t="array" ref="V43:V43">IFERROR( (AVERAGE((IF(DATOS_[[Sexo]:[Sexo]]=$B43,IF(DATOS_[[AGRUP. CLAS. PROF.]:[AGRUP. CLAS. PROF.]]=$B42,IF(DATOS_[[Check Periodo Ref.]:[Check Periodo Ref.]]="Dentro",IF(DATOS_[[Check Equiparado]:[Check Equiparado]]="Sí",IF(DATOS!AQ$4="Sí",(1/DATOS_[[% anualiz]:[% anualiz]]),1)*IF(DATOS!AQ$5="Sí",1/DATOS_[[% normaliz]:[% normaliz]],1)*(DATOS_[Conc.Sal.13])))))))), 0)</f>
        <v>0</v>
      </c>
      <c r="W43" s="302" t="n">
        <f aca="false" t="array" ref="W43:W43">IFERROR( (AVERAGE((IF(DATOS_[[Sexo]:[Sexo]]=$B43,IF(DATOS_[[AGRUP. CLAS. PROF.]:[AGRUP. CLAS. PROF.]]=$B42,IF(DATOS_[[Check Periodo Ref.]:[Check Periodo Ref.]]="Dentro",IF(DATOS_[[Check Equiparado]:[Check Equiparado]]="Sí",IF(DATOS!AR$4="Sí",(1/DATOS_[[% anualiz]:[% anualiz]]),1)*IF(DATOS!AR$5="Sí",1/DATOS_[[% normaliz]:[% normaliz]],1)*(DATOS_[Conc.Sal.14])))))))), 0)</f>
        <v>0</v>
      </c>
      <c r="X43" s="302" t="n">
        <f aca="false" t="array" ref="X43:X43">IFERROR( (AVERAGE((IF(DATOS_[[Sexo]:[Sexo]]=$B43,IF(DATOS_[[AGRUP. CLAS. PROF.]:[AGRUP. CLAS. PROF.]]=$B42,IF(DATOS_[[Check Periodo Ref.]:[Check Periodo Ref.]]="Dentro",IF(DATOS_[[Check Equiparado]:[Check Equiparado]]="Sí",IF(DATOS!AS$4="Sí",(1/DATOS_[[% anualiz]:[% anualiz]]),1)*IF(DATOS!AS$5="Sí",1/DATOS_[[% normaliz]:[% normaliz]],1)*(DATOS_[Conc.Sal.15])))))))), 0)</f>
        <v>0</v>
      </c>
      <c r="Y43" s="302" t="n">
        <f aca="false" t="array" ref="Y43:Y43">IFERROR( (AVERAGE((IF(DATOS_[[Sexo]:[Sexo]]=$B43,IF(DATOS_[[AGRUP. CLAS. PROF.]:[AGRUP. CLAS. PROF.]]=$B42,IF(DATOS_[[Check Periodo Ref.]:[Check Periodo Ref.]]="Dentro",IF(DATOS_[[Check Equiparado]:[Check Equiparado]]="Sí",IF(DATOS!AT$4="Sí",(1/DATOS_[[% anualiz]:[% anualiz]]),1)*IF(DATOS!AT$5="Sí",1/DATOS_[[% normaliz]:[% normaliz]],1)*(DATOS_[Conc.Sal.16])))))))), 0)</f>
        <v>0</v>
      </c>
      <c r="Z43" s="302" t="n">
        <f aca="false" t="array" ref="Z43:Z43">IFERROR( (AVERAGE((IF(DATOS_[[Sexo]:[Sexo]]=$B43,IF(DATOS_[[AGRUP. CLAS. PROF.]:[AGRUP. CLAS. PROF.]]=$B42,IF(DATOS_[[Check Periodo Ref.]:[Check Periodo Ref.]]="Dentro",IF(DATOS_[[Check Equiparado]:[Check Equiparado]]="Sí",IF(DATOS!AU$4="Sí",(1/DATOS_[[% anualiz]:[% anualiz]]),1)*IF(DATOS!AU$5="Sí",1/DATOS_[[% normaliz]:[% normaliz]],1)*(DATOS_[Conc.Sal.17])))))))), 0)</f>
        <v>0</v>
      </c>
      <c r="AA43" s="302" t="n">
        <f aca="false" t="array" ref="AA43:AA43">IFERROR( (AVERAGE((IF(DATOS_[[Sexo]:[Sexo]]=$B43,IF(DATOS_[[AGRUP. CLAS. PROF.]:[AGRUP. CLAS. PROF.]]=$B42,IF(DATOS_[[Check Periodo Ref.]:[Check Periodo Ref.]]="Dentro",IF(DATOS_[[Check Equiparado]:[Check Equiparado]]="Sí",IF(DATOS!AV$4="Sí",(1/DATOS_[[% anualiz]:[% anualiz]]),1)*IF(DATOS!AV$5="Sí",1/DATOS_[[% normaliz]:[% normaliz]],1)*(DATOS_[Conc.Sal.18])))))))), 0)</f>
        <v>0</v>
      </c>
      <c r="AB43" s="302" t="n">
        <f aca="false" t="array" ref="AB43:AB43">IFERROR( (AVERAGE((IF(DATOS_[[Sexo]:[Sexo]]=$B43,IF(DATOS_[[AGRUP. CLAS. PROF.]:[AGRUP. CLAS. PROF.]]=$B42,IF(DATOS_[[Check Periodo Ref.]:[Check Periodo Ref.]]="Dentro",IF(DATOS_[[Check Equiparado]:[Check Equiparado]]="Sí",IF(DATOS!AW$4="Sí",(1/DATOS_[[% anualiz]:[% anualiz]]),1)*IF(DATOS!AW$5="Sí",1/DATOS_[[% normaliz]:[% normaliz]],1)*(DATOS_[Conc.Sal.19])))))))), 0)</f>
        <v>0</v>
      </c>
      <c r="AC43" s="302" t="n">
        <f aca="false" t="array" ref="AC43:AC43">IFERROR( (AVERAGE((IF(DATOS_[[Sexo]:[Sexo]]=$B43,IF(DATOS_[[AGRUP. CLAS. PROF.]:[AGRUP. CLAS. PROF.]]=$B42,IF(DATOS_[[Check Periodo Ref.]:[Check Periodo Ref.]]="Dentro",IF(DATOS_[[Check Equiparado]:[Check Equiparado]]="Sí",IF(DATOS!AX$4="Sí",(1/DATOS_[[% anualiz]:[% anualiz]]),1)*IF(DATOS!AX$5="Sí",1/DATOS_[[% normaliz]:[% normaliz]],1)*(DATOS_[Conc.Sal.20])))))))), 0)</f>
        <v>0</v>
      </c>
      <c r="AD43" s="302" t="n">
        <f aca="false" t="array" ref="AD43:AD43">IFERROR( (AVERAGE((IF(DATOS_[[Sexo]:[Sexo]]=$B43,IF(DATOS_[[AGRUP. CLAS. PROF.]:[AGRUP. CLAS. PROF.]]=$B42,IF(DATOS_[[Check Periodo Ref.]:[Check Periodo Ref.]]="Dentro",IF(DATOS_[[Check Equiparado]:[Check Equiparado]]="Sí",IF(DATOS!AY$4="Sí",(1/DATOS_[[% anualiz]:[% anualiz]]),1)*IF(DATOS!AY$5="Sí",1/DATOS_[[% normaliz]:[% normaliz]],1)*(DATOS_[Conc.Sal.21])))))))), 0)</f>
        <v>0</v>
      </c>
      <c r="AE43" s="302" t="n">
        <f aca="false" t="array" ref="AE43:AE43">IFERROR( (AVERAGE((IF(DATOS_[[Sexo]:[Sexo]]=$B43,IF(DATOS_[[AGRUP. CLAS. PROF.]:[AGRUP. CLAS. PROF.]]=$B42,IF(DATOS_[[Check Periodo Ref.]:[Check Periodo Ref.]]="Dentro",IF(DATOS_[[Check Equiparado]:[Check Equiparado]]="Sí",IF(DATOS!AZ$4="Sí",(1/DATOS_[[% anualiz]:[% anualiz]]),1)*IF(DATOS!AZ$5="Sí",1/DATOS_[[% normaliz]:[% normaliz]],1)*(DATOS_[Conc.Sal.22])))))))), 0)</f>
        <v>0</v>
      </c>
      <c r="AF43" s="302" t="n">
        <f aca="false" t="array" ref="AF43:AF43">IFERROR( (AVERAGE((IF(DATOS_[[Sexo]:[Sexo]]=$B43,IF(DATOS_[[AGRUP. CLAS. PROF.]:[AGRUP. CLAS. PROF.]]=$B42,IF(DATOS_[[Check Periodo Ref.]:[Check Periodo Ref.]]="Dentro",IF(DATOS_[[Check Equiparado]:[Check Equiparado]]="Sí",IF(DATOS!BA$4="Sí",(1/DATOS_[[% anualiz]:[% anualiz]]),1)*IF(DATOS!BA$5="Sí",1/DATOS_[[% normaliz]:[% normaliz]],1)*(DATOS_[Conc.Sal.23])))))))), 0)</f>
        <v>0</v>
      </c>
      <c r="AG43" s="302" t="n">
        <f aca="false" t="array" ref="AG43:AG43">IFERROR( (AVERAGE((IF(DATOS_[[Sexo]:[Sexo]]=$B43,IF(DATOS_[[AGRUP. CLAS. PROF.]:[AGRUP. CLAS. PROF.]]=$B42,IF(DATOS_[[Check Periodo Ref.]:[Check Periodo Ref.]]="Dentro",IF(DATOS_[[Check Equiparado]:[Check Equiparado]]="Sí",IF(DATOS!BB$4="Sí",(1/DATOS_[[% anualiz]:[% anualiz]]),1)*IF(DATOS!BB$5="Sí",1/DATOS_[[% normaliz]:[% normaliz]],1)*(DATOS_[Conc.Sal.24])))))))), 0)</f>
        <v>0</v>
      </c>
      <c r="AH43" s="302" t="n">
        <f aca="false" t="array" ref="AH43:AH43">IFERROR( (AVERAGE((IF(DATOS_[[Sexo]:[Sexo]]=$B43,IF(DATOS_[[AGRUP. CLAS. PROF.]:[AGRUP. CLAS. PROF.]]=$B42,IF(DATOS_[[Check Periodo Ref.]:[Check Periodo Ref.]]="Dentro",IF(DATOS_[[Check Equiparado]:[Check Equiparado]]="Sí",IF(DATOS!BC$4="Sí",(1/DATOS_[[% anualiz]:[% anualiz]]),1)*IF(DATOS!BC$5="Sí",1/DATOS_[[% normaliz]:[% normaliz]],1)*(DATOS_[Conc.Sal.25])))))))), 0)</f>
        <v>0</v>
      </c>
      <c r="AI43" s="302" t="n">
        <f aca="false" t="array" ref="AI43:AI43">IFERROR( (AVERAGE((IF(DATOS_[[Sexo]:[Sexo]]=$B43,IF(DATOS_[[AGRUP. CLAS. PROF.]:[AGRUP. CLAS. PROF.]]=$B42,IF(DATOS_[[Check Periodo Ref.]:[Check Periodo Ref.]]="Dentro",IF(DATOS_[[Check Equiparado]:[Check Equiparado]]="Sí",IF(DATOS!BD$4="Sí",(1/DATOS_[[% anualiz]:[% anualiz]]),1)*IF(DATOS!BD$5="Sí",1/DATOS_[[% normaliz]:[% normaliz]],1)*(DATOS_[Conc.Sal.26])))))))), 0)</f>
        <v>0</v>
      </c>
      <c r="AJ43" s="302" t="n">
        <f aca="false" t="array" ref="AJ43:AJ43">IFERROR( (AVERAGE((IF(DATOS_[[Sexo]:[Sexo]]=$B43,IF(DATOS_[[AGRUP. CLAS. PROF.]:[AGRUP. CLAS. PROF.]]=$B42,IF(DATOS_[[Check Periodo Ref.]:[Check Periodo Ref.]]="Dentro",IF(DATOS_[[Check Equiparado]:[Check Equiparado]]="Sí",IF(DATOS!BE$4="Sí",(1/DATOS_[[% anualiz]:[% anualiz]]),1)*IF(DATOS!BE$5="Sí",1/DATOS_[[% normaliz]:[% normaliz]],1)*(DATOS_[Conc.Sal.27])))))))), 0)</f>
        <v>0</v>
      </c>
      <c r="AK43" s="302" t="n">
        <f aca="false" t="array" ref="AK43:AK43">IFERROR( (AVERAGE((IF(DATOS_[[Sexo]:[Sexo]]=$B43,IF(DATOS_[[AGRUP. CLAS. PROF.]:[AGRUP. CLAS. PROF.]]=$B42,IF(DATOS_[[Check Periodo Ref.]:[Check Periodo Ref.]]="Dentro",IF(DATOS_[[Check Equiparado]:[Check Equiparado]]="Sí",IF(DATOS!BF$4="Sí",(1/DATOS_[[% anualiz]:[% anualiz]]),1)*IF(DATOS!BF$5="Sí",1/DATOS_[[% normaliz]:[% normaliz]],1)*(DATOS_[Conc.Sal.28])))))))), 0)</f>
        <v>0</v>
      </c>
      <c r="AL43" s="302" t="n">
        <f aca="false" t="array" ref="AL43:AL43">IFERROR( (AVERAGE((IF(DATOS_[[Sexo]:[Sexo]]=$B43,IF(DATOS_[[AGRUP. CLAS. PROF.]:[AGRUP. CLAS. PROF.]]=$B42,IF(DATOS_[[Check Periodo Ref.]:[Check Periodo Ref.]]="Dentro",IF(DATOS_[[Check Equiparado]:[Check Equiparado]]="Sí",IF(DATOS!BG$4="Sí",(1/DATOS_[[% anualiz]:[% anualiz]]),1)*IF(DATOS!BG$5="Sí",1/DATOS_[[% normaliz]:[% normaliz]],1)*(DATOS_[Conc.Sal.29])))))))), 0)</f>
        <v>0</v>
      </c>
      <c r="AM43" s="302" t="n">
        <f aca="false" t="array" ref="AM43:AM43">IFERROR( (AVERAGE((IF(DATOS_[[Sexo]:[Sexo]]=$B43,IF(DATOS_[[AGRUP. CLAS. PROF.]:[AGRUP. CLAS. PROF.]]=$B42,IF(DATOS_[[Check Periodo Ref.]:[Check Periodo Ref.]]="Dentro",IF(DATOS_[[Check Equiparado]:[Check Equiparado]]="Sí",IF(DATOS!BH$4="Sí",(1/DATOS_[[% anualiz]:[% anualiz]]),1)*IF(DATOS!BH$5="Sí",1/DATOS_[[% normaliz]:[% normaliz]],1)*(DATOS_[Conc.Sal.30])))))))), 0)</f>
        <v>0</v>
      </c>
      <c r="AN43" s="294" t="n">
        <f aca="false" t="array" ref="AN43:AN43">IFERROR( AVERAGE(IF(DATOS_[Sexo]=$B43,IF(DATOS_[[AGRUP. CLAS. PROF.]:[AGRUP. CLAS. PROF.]]=$B42,IF(DATOS_[Check Equiparado]="Sí",IF(DATOS_[Check Periodo Ref.]="Dentro",DATOS_[Tot COMPL.SAL Eq],0))))), 0)</f>
        <v>0</v>
      </c>
      <c r="AO43" s="295" t="n">
        <f aca="false" t="array" ref="AO43:AO43">IFERROR( AVERAGE(IF(DATOS_[Sexo]=$B43,IF(DATOS_[[AGRUP. CLAS. PROF.]:[AGRUP. CLAS. PROF.]]=$B42,IF(DATOS_[Check Equiparado]="Sí",IF(DATOS_[Check Periodo Ref.]="Dentro",DATOS_[TOTAL SALARIO Eq],0))))), 0)</f>
        <v>0</v>
      </c>
      <c r="AP43" s="303" t="n">
        <f aca="false" t="array" ref="AP43:AP43">IFERROR( (AVERAGE((IF(DATOS_[[Sexo]:[Sexo]]=$B43,IF(DATOS_[[AGRUP. CLAS. PROF.]:[AGRUP. CLAS. PROF.]]=$B42,IF(DATOS_[[Check Periodo Ref.]:[Check Periodo Ref.]]="Dentro",IF(DATOS_[[Check Equiparado]:[Check Equiparado]]="Sí",IF(DATOS!BI$4="Sí",(1/DATOS_[[% anualiz]:[% anualiz]]),1)*IF(DATOS!BI$5="Sí",1/DATOS_[[% normaliz]:[% normaliz]],1)*(DATOS_[C.Extra.01])))))))), 0)</f>
        <v>0</v>
      </c>
      <c r="AQ43" s="303" t="n">
        <f aca="false" t="array" ref="AQ43:AQ43">IFERROR( (AVERAGE((IF(DATOS_[[Sexo]:[Sexo]]=$B43,IF(DATOS_[[AGRUP. CLAS. PROF.]:[AGRUP. CLAS. PROF.]]=$B42,IF(DATOS_[[Check Periodo Ref.]:[Check Periodo Ref.]]="Dentro",IF(DATOS_[[Check Equiparado]:[Check Equiparado]]="Sí",IF(DATOS!BJ$4="Sí",(1/DATOS_[[% anualiz]:[% anualiz]]),1)*IF(DATOS!BJ$5="Sí",1/DATOS_[[% normaliz]:[% normaliz]],1)*(DATOS_[C.Extra.02])))))))), 0)</f>
        <v>0</v>
      </c>
      <c r="AR43" s="303" t="n">
        <f aca="false" t="array" ref="AR43:AR43">IFERROR( (AVERAGE((IF(DATOS_[[Sexo]:[Sexo]]=$B43,IF(DATOS_[[AGRUP. CLAS. PROF.]:[AGRUP. CLAS. PROF.]]=$B42,IF(DATOS_[[Check Periodo Ref.]:[Check Periodo Ref.]]="Dentro",IF(DATOS_[[Check Equiparado]:[Check Equiparado]]="Sí",IF(DATOS!BK$4="Sí",(1/DATOS_[[% anualiz]:[% anualiz]]),1)*IF(DATOS!BK$5="Sí",1/DATOS_[[% normaliz]:[% normaliz]],1)*(DATOS_[C.Extra.03])))))))), 0)</f>
        <v>0</v>
      </c>
      <c r="AS43" s="303" t="n">
        <f aca="false" t="array" ref="AS43:AS43">IFERROR( (AVERAGE((IF(DATOS_[[Sexo]:[Sexo]]=$B43,IF(DATOS_[[AGRUP. CLAS. PROF.]:[AGRUP. CLAS. PROF.]]=$B42,IF(DATOS_[[Check Periodo Ref.]:[Check Periodo Ref.]]="Dentro",IF(DATOS_[[Check Equiparado]:[Check Equiparado]]="Sí",IF(DATOS!BL$4="Sí",(1/DATOS_[[% anualiz]:[% anualiz]]),1)*IF(DATOS!BL$5="Sí",1/DATOS_[[% normaliz]:[% normaliz]],1)*(DATOS_[C.Extra.04])))))))), 0)</f>
        <v>0</v>
      </c>
      <c r="AT43" s="303" t="n">
        <f aca="false" t="array" ref="AT43:AT43">IFERROR( (AVERAGE((IF(DATOS_[[Sexo]:[Sexo]]=$B43,IF(DATOS_[[AGRUP. CLAS. PROF.]:[AGRUP. CLAS. PROF.]]=$B42,IF(DATOS_[[Check Periodo Ref.]:[Check Periodo Ref.]]="Dentro",IF(DATOS_[[Check Equiparado]:[Check Equiparado]]="Sí",IF(DATOS!BM$4="Sí",(1/DATOS_[[% anualiz]:[% anualiz]]),1)*IF(DATOS!BM$5="Sí",1/DATOS_[[% normaliz]:[% normaliz]],1)*(DATOS_[C.Extra.05])))))))), 0)</f>
        <v>0</v>
      </c>
      <c r="AU43" s="297" t="n">
        <f aca="false" t="array" ref="AU43:AU43">IFERROR( AVERAGE(IF(DATOS_[Sexo]=$B43,IF(DATOS_[[AGRUP. CLAS. PROF.]:[AGRUP. CLAS. PROF.]]=$B42,IF(DATOS_[Check Equiparado]="Sí",IF(DATOS_[Check Periodo Ref.]="Dentro",DATOS_[Tot Extrasalarial Eq],0))))), 0)</f>
        <v>0</v>
      </c>
      <c r="AV43" s="298" t="n">
        <f aca="false" t="array" ref="AV43:AV43">IFERROR( AVERAGE(IF(DATOS_[Sexo]=$B43,IF(DATOS_[[AGRUP. CLAS. PROF.]:[AGRUP. CLAS. PROF.]]=$B42,IF(DATOS_[Check Equiparado]="Sí",IF(DATOS_[Check Periodo Ref.]="Dentro",DATOS_[TOTAL Retrib Eq],0))))), 0)</f>
        <v>0</v>
      </c>
    </row>
    <row r="44" customFormat="false" ht="14.25" hidden="false" customHeight="false" outlineLevel="0" collapsed="false">
      <c r="A44" s="166" t="str">
        <f aca="false">+A43</f>
        <v>[ocultar]</v>
      </c>
      <c r="B44" s="289" t="s">
        <v>372</v>
      </c>
      <c r="C44" s="290" t="n">
        <f aca="false" t="array" ref="C44:C44">SUM(IF($B44=DATOS_[Sexo], IF($B42=DATOS_[AGRUP. CLAS. PROF.], IF("Dentro"=DATOS_[Check Periodo Ref.], 1/(COUNTIFS(DATOS_[Sexo],$B44,DATOS_[AGRUP. CLAS. PROF.],$B42,DATOS_[Check Periodo Ref.],"Dentro",DATOS_[id],DATOS_[id]))))))</f>
        <v>0</v>
      </c>
      <c r="D44" s="291" t="n">
        <f aca="false">COUNTIFS(DATOS_[AGRUP. CLAS. PROF.],$B42,DATOS_[Sexo],$B44,DATOS_[Check Periodo Ref.],"Dentro")</f>
        <v>0</v>
      </c>
      <c r="E44" s="291" t="n">
        <f aca="false">COUNTIFS(DATOS_[AGRUP. CLAS. PROF.],$B42,DATOS_[Sexo],$B44,DATOS_[Check Periodo Ref.],"Dentro",DATOS_[Check Nº SC Norm],"Sí")</f>
        <v>0</v>
      </c>
      <c r="F44" s="291" t="n">
        <f aca="false">COUNTIFS(DATOS_[AGRUP. CLAS. PROF.],$B42,DATOS_[Sexo],$B44,DATOS_[Check Periodo Ref.],"Dentro",DATOS_[Check Nº SC Anualiz],"Sí")</f>
        <v>0</v>
      </c>
      <c r="G44" s="291" t="n">
        <f aca="false">COUNTIFS(DATOS_[AGRUP. CLAS. PROF.],$B42,DATOS_[Sexo],$B44,DATOS_[Check Periodo Ref.],"Dentro",DATOS_[Check Nº SC Norm y Anualiz],"Sí")</f>
        <v>0</v>
      </c>
      <c r="H44" s="291" t="n">
        <f aca="false">COUNTIFS(DATOS_[AGRUP. CLAS. PROF.],$B42,DATOS_[Sexo],$B44,DATOS_[Check Periodo Ref.],"Dentro",DATOS_[Check Equiparación],"Sí")</f>
        <v>0</v>
      </c>
      <c r="I44" s="292" t="n">
        <f aca="false" t="array" ref="I44:I44">IFERROR( AVERAGE(IF(DATOS_[Sexo]=$B44,IF(DATOS_[[AGRUP. CLAS. PROF.]:[AGRUP. CLAS. PROF.]]=$B42,IF(DATOS_[Check Equiparado]="Sí",IF(DATOS_[Check Periodo Ref.]="Dentro",DATOS_[SALARIO BASE Eq],0))))), 0)</f>
        <v>0</v>
      </c>
      <c r="J44" s="302" t="n">
        <f aca="false" t="array" ref="J44:J44">IFERROR( (AVERAGE((IF(DATOS_[[Sexo]:[Sexo]]=$B44,IF(DATOS_[[AGRUP. CLAS. PROF.]:[AGRUP. CLAS. PROF.]]=$B42,IF(DATOS_[[Check Periodo Ref.]:[Check Periodo Ref.]]="Dentro",IF(DATOS_[[Check Equiparado]:[Check Equiparado]]="Sí",IF(DATOS!AE$4="Sí",(1/DATOS_[[% anualiz]:[% anualiz]]),1)*IF(DATOS!AE$5="Sí",1/DATOS_[[% normaliz]:[% normaliz]],1)*(DATOS_[Conc.Sal.01])))))))), 0)</f>
        <v>0</v>
      </c>
      <c r="K44" s="302" t="n">
        <f aca="false" t="array" ref="K44:K44">IFERROR( (AVERAGE((IF(DATOS_[[Sexo]:[Sexo]]=$B44,IF(DATOS_[[AGRUP. CLAS. PROF.]:[AGRUP. CLAS. PROF.]]=$B42,IF(DATOS_[[Check Periodo Ref.]:[Check Periodo Ref.]]="Dentro",IF(DATOS_[[Check Equiparado]:[Check Equiparado]]="Sí",IF(DATOS!AF$4="Sí",(1/DATOS_[[% anualiz]:[% anualiz]]),1)*IF(DATOS!AF$5="Sí",1/DATOS_[[% normaliz]:[% normaliz]],1)*(DATOS_[Conc.Sal.02])))))))), 0)</f>
        <v>0</v>
      </c>
      <c r="L44" s="302" t="n">
        <f aca="false" t="array" ref="L44:L44">IFERROR( (AVERAGE((IF(DATOS_[[Sexo]:[Sexo]]=$B44,IF(DATOS_[[AGRUP. CLAS. PROF.]:[AGRUP. CLAS. PROF.]]=$B42,IF(DATOS_[[Check Periodo Ref.]:[Check Periodo Ref.]]="Dentro",IF(DATOS_[[Check Equiparado]:[Check Equiparado]]="Sí",IF(DATOS!AG$4="Sí",(1/DATOS_[[% anualiz]:[% anualiz]]),1)*IF(DATOS!AG$5="Sí",1/DATOS_[[% normaliz]:[% normaliz]],1)*(DATOS_[Conc.Sal.03])))))))), 0)</f>
        <v>0</v>
      </c>
      <c r="M44" s="302" t="n">
        <f aca="false" t="array" ref="M44:M44">IFERROR( (AVERAGE((IF(DATOS_[[Sexo]:[Sexo]]=$B44,IF(DATOS_[[AGRUP. CLAS. PROF.]:[AGRUP. CLAS. PROF.]]=$B42,IF(DATOS_[[Check Periodo Ref.]:[Check Periodo Ref.]]="Dentro",IF(DATOS_[[Check Equiparado]:[Check Equiparado]]="Sí",IF(DATOS!AH$4="Sí",(1/DATOS_[[% anualiz]:[% anualiz]]),1)*IF(DATOS!AH$5="Sí",1/DATOS_[[% normaliz]:[% normaliz]],1)*(DATOS_[Conc.Sal.04])))))))), 0)</f>
        <v>0</v>
      </c>
      <c r="N44" s="302" t="n">
        <f aca="false" t="array" ref="N44:N44">IFERROR( (AVERAGE((IF(DATOS_[[Sexo]:[Sexo]]=$B44,IF(DATOS_[[AGRUP. CLAS. PROF.]:[AGRUP. CLAS. PROF.]]=$B42,IF(DATOS_[[Check Periodo Ref.]:[Check Periodo Ref.]]="Dentro",IF(DATOS_[[Check Equiparado]:[Check Equiparado]]="Sí",IF(DATOS!AI$4="Sí",(1/DATOS_[[% anualiz]:[% anualiz]]),1)*IF(DATOS!AI$5="Sí",1/DATOS_[[% normaliz]:[% normaliz]],1)*(DATOS_[Conc.Sal.05])))))))), 0)</f>
        <v>0</v>
      </c>
      <c r="O44" s="302" t="n">
        <f aca="false" t="array" ref="O44:O44">IFERROR( (AVERAGE((IF(DATOS_[[Sexo]:[Sexo]]=$B44,IF(DATOS_[[AGRUP. CLAS. PROF.]:[AGRUP. CLAS. PROF.]]=$B42,IF(DATOS_[[Check Periodo Ref.]:[Check Periodo Ref.]]="Dentro",IF(DATOS_[[Check Equiparado]:[Check Equiparado]]="Sí",IF(DATOS!AJ$4="Sí",(1/DATOS_[[% anualiz]:[% anualiz]]),1)*IF(DATOS!AJ$5="Sí",1/DATOS_[[% normaliz]:[% normaliz]],1)*(DATOS_[Conc.Sal.06])))))))), 0)</f>
        <v>0</v>
      </c>
      <c r="P44" s="302" t="n">
        <f aca="false" t="array" ref="P44:P44">IFERROR( (AVERAGE((IF(DATOS_[[Sexo]:[Sexo]]=$B44,IF(DATOS_[[AGRUP. CLAS. PROF.]:[AGRUP. CLAS. PROF.]]=$B42,IF(DATOS_[[Check Periodo Ref.]:[Check Periodo Ref.]]="Dentro",IF(DATOS_[[Check Equiparado]:[Check Equiparado]]="Sí",IF(DATOS!AK$4="Sí",(1/DATOS_[[% anualiz]:[% anualiz]]),1)*IF(DATOS!AK$5="Sí",1/DATOS_[[% normaliz]:[% normaliz]],1)*(DATOS_[Conc.Sal.07])))))))), 0)</f>
        <v>0</v>
      </c>
      <c r="Q44" s="302" t="n">
        <f aca="false" t="array" ref="Q44:Q44">IFERROR( (AVERAGE((IF(DATOS_[[Sexo]:[Sexo]]=$B44,IF(DATOS_[[AGRUP. CLAS. PROF.]:[AGRUP. CLAS. PROF.]]=$B42,IF(DATOS_[[Check Periodo Ref.]:[Check Periodo Ref.]]="Dentro",IF(DATOS_[[Check Equiparado]:[Check Equiparado]]="Sí",IF(DATOS!AL$4="Sí",(1/DATOS_[[% anualiz]:[% anualiz]]),1)*IF(DATOS!AL$5="Sí",1/DATOS_[[% normaliz]:[% normaliz]],1)*(DATOS_[Conc.Sal.08])))))))), 0)</f>
        <v>0</v>
      </c>
      <c r="R44" s="302" t="n">
        <f aca="false" t="array" ref="R44:R44">IFERROR( (AVERAGE((IF(DATOS_[[Sexo]:[Sexo]]=$B44,IF(DATOS_[[AGRUP. CLAS. PROF.]:[AGRUP. CLAS. PROF.]]=$B42,IF(DATOS_[[Check Periodo Ref.]:[Check Periodo Ref.]]="Dentro",IF(DATOS_[[Check Equiparado]:[Check Equiparado]]="Sí",IF(DATOS!AM$4="Sí",(1/DATOS_[[% anualiz]:[% anualiz]]),1)*IF(DATOS!AM$5="Sí",1/DATOS_[[% normaliz]:[% normaliz]],1)*(DATOS_[Conc.Sal.09])))))))), 0)</f>
        <v>0</v>
      </c>
      <c r="S44" s="302" t="n">
        <f aca="false" t="array" ref="S44:S44">IFERROR( (AVERAGE((IF(DATOS_[[Sexo]:[Sexo]]=$B44,IF(DATOS_[[AGRUP. CLAS. PROF.]:[AGRUP. CLAS. PROF.]]=$B42,IF(DATOS_[[Check Periodo Ref.]:[Check Periodo Ref.]]="Dentro",IF(DATOS_[[Check Equiparado]:[Check Equiparado]]="Sí",IF(DATOS!AN$4="Sí",(1/DATOS_[[% anualiz]:[% anualiz]]),1)*IF(DATOS!AN$5="Sí",1/DATOS_[[% normaliz]:[% normaliz]],1)*(DATOS_[Conc.Sal.10])))))))), 0)</f>
        <v>0</v>
      </c>
      <c r="T44" s="302" t="n">
        <f aca="false" t="array" ref="T44:T44">IFERROR( (AVERAGE((IF(DATOS_[[Sexo]:[Sexo]]=$B44,IF(DATOS_[[AGRUP. CLAS. PROF.]:[AGRUP. CLAS. PROF.]]=$B42,IF(DATOS_[[Check Periodo Ref.]:[Check Periodo Ref.]]="Dentro",IF(DATOS_[[Check Equiparado]:[Check Equiparado]]="Sí",IF(DATOS!AO$4="Sí",(1/DATOS_[[% anualiz]:[% anualiz]]),1)*IF(DATOS!AO$5="Sí",1/DATOS_[[% normaliz]:[% normaliz]],1)*(DATOS_[Conc.Sal.11])))))))), 0)</f>
        <v>0</v>
      </c>
      <c r="U44" s="302" t="n">
        <f aca="false" t="array" ref="U44:U44">IFERROR( (AVERAGE((IF(DATOS_[[Sexo]:[Sexo]]=$B44,IF(DATOS_[[AGRUP. CLAS. PROF.]:[AGRUP. CLAS. PROF.]]=$B42,IF(DATOS_[[Check Periodo Ref.]:[Check Periodo Ref.]]="Dentro",IF(DATOS_[[Check Equiparado]:[Check Equiparado]]="Sí",IF(DATOS!AP$4="Sí",(1/DATOS_[[% anualiz]:[% anualiz]]),1)*IF(DATOS!AP$5="Sí",1/DATOS_[[% normaliz]:[% normaliz]],1)*(DATOS_[Conc.Sal.12])))))))), 0)</f>
        <v>0</v>
      </c>
      <c r="V44" s="302" t="n">
        <f aca="false" t="array" ref="V44:V44">IFERROR( (AVERAGE((IF(DATOS_[[Sexo]:[Sexo]]=$B44,IF(DATOS_[[AGRUP. CLAS. PROF.]:[AGRUP. CLAS. PROF.]]=$B42,IF(DATOS_[[Check Periodo Ref.]:[Check Periodo Ref.]]="Dentro",IF(DATOS_[[Check Equiparado]:[Check Equiparado]]="Sí",IF(DATOS!AQ$4="Sí",(1/DATOS_[[% anualiz]:[% anualiz]]),1)*IF(DATOS!AQ$5="Sí",1/DATOS_[[% normaliz]:[% normaliz]],1)*(DATOS_[Conc.Sal.13])))))))), 0)</f>
        <v>0</v>
      </c>
      <c r="W44" s="302" t="n">
        <f aca="false" t="array" ref="W44:W44">IFERROR( (AVERAGE((IF(DATOS_[[Sexo]:[Sexo]]=$B44,IF(DATOS_[[AGRUP. CLAS. PROF.]:[AGRUP. CLAS. PROF.]]=$B42,IF(DATOS_[[Check Periodo Ref.]:[Check Periodo Ref.]]="Dentro",IF(DATOS_[[Check Equiparado]:[Check Equiparado]]="Sí",IF(DATOS!AR$4="Sí",(1/DATOS_[[% anualiz]:[% anualiz]]),1)*IF(DATOS!AR$5="Sí",1/DATOS_[[% normaliz]:[% normaliz]],1)*(DATOS_[Conc.Sal.14])))))))), 0)</f>
        <v>0</v>
      </c>
      <c r="X44" s="302" t="n">
        <f aca="false" t="array" ref="X44:X44">IFERROR( (AVERAGE((IF(DATOS_[[Sexo]:[Sexo]]=$B44,IF(DATOS_[[AGRUP. CLAS. PROF.]:[AGRUP. CLAS. PROF.]]=$B42,IF(DATOS_[[Check Periodo Ref.]:[Check Periodo Ref.]]="Dentro",IF(DATOS_[[Check Equiparado]:[Check Equiparado]]="Sí",IF(DATOS!AS$4="Sí",(1/DATOS_[[% anualiz]:[% anualiz]]),1)*IF(DATOS!AS$5="Sí",1/DATOS_[[% normaliz]:[% normaliz]],1)*(DATOS_[Conc.Sal.15])))))))), 0)</f>
        <v>0</v>
      </c>
      <c r="Y44" s="302" t="n">
        <f aca="false" t="array" ref="Y44:Y44">IFERROR( (AVERAGE((IF(DATOS_[[Sexo]:[Sexo]]=$B44,IF(DATOS_[[AGRUP. CLAS. PROF.]:[AGRUP. CLAS. PROF.]]=$B42,IF(DATOS_[[Check Periodo Ref.]:[Check Periodo Ref.]]="Dentro",IF(DATOS_[[Check Equiparado]:[Check Equiparado]]="Sí",IF(DATOS!AT$4="Sí",(1/DATOS_[[% anualiz]:[% anualiz]]),1)*IF(DATOS!AT$5="Sí",1/DATOS_[[% normaliz]:[% normaliz]],1)*(DATOS_[Conc.Sal.16])))))))), 0)</f>
        <v>0</v>
      </c>
      <c r="Z44" s="302" t="n">
        <f aca="false" t="array" ref="Z44:Z44">IFERROR( (AVERAGE((IF(DATOS_[[Sexo]:[Sexo]]=$B44,IF(DATOS_[[AGRUP. CLAS. PROF.]:[AGRUP. CLAS. PROF.]]=$B42,IF(DATOS_[[Check Periodo Ref.]:[Check Periodo Ref.]]="Dentro",IF(DATOS_[[Check Equiparado]:[Check Equiparado]]="Sí",IF(DATOS!AU$4="Sí",(1/DATOS_[[% anualiz]:[% anualiz]]),1)*IF(DATOS!AU$5="Sí",1/DATOS_[[% normaliz]:[% normaliz]],1)*(DATOS_[Conc.Sal.17])))))))), 0)</f>
        <v>0</v>
      </c>
      <c r="AA44" s="302" t="n">
        <f aca="false" t="array" ref="AA44:AA44">IFERROR( (AVERAGE((IF(DATOS_[[Sexo]:[Sexo]]=$B44,IF(DATOS_[[AGRUP. CLAS. PROF.]:[AGRUP. CLAS. PROF.]]=$B42,IF(DATOS_[[Check Periodo Ref.]:[Check Periodo Ref.]]="Dentro",IF(DATOS_[[Check Equiparado]:[Check Equiparado]]="Sí",IF(DATOS!AV$4="Sí",(1/DATOS_[[% anualiz]:[% anualiz]]),1)*IF(DATOS!AV$5="Sí",1/DATOS_[[% normaliz]:[% normaliz]],1)*(DATOS_[Conc.Sal.18])))))))), 0)</f>
        <v>0</v>
      </c>
      <c r="AB44" s="302" t="n">
        <f aca="false" t="array" ref="AB44:AB44">IFERROR( (AVERAGE((IF(DATOS_[[Sexo]:[Sexo]]=$B44,IF(DATOS_[[AGRUP. CLAS. PROF.]:[AGRUP. CLAS. PROF.]]=$B42,IF(DATOS_[[Check Periodo Ref.]:[Check Periodo Ref.]]="Dentro",IF(DATOS_[[Check Equiparado]:[Check Equiparado]]="Sí",IF(DATOS!AW$4="Sí",(1/DATOS_[[% anualiz]:[% anualiz]]),1)*IF(DATOS!AW$5="Sí",1/DATOS_[[% normaliz]:[% normaliz]],1)*(DATOS_[Conc.Sal.19])))))))), 0)</f>
        <v>0</v>
      </c>
      <c r="AC44" s="302" t="n">
        <f aca="false" t="array" ref="AC44:AC44">IFERROR( (AVERAGE((IF(DATOS_[[Sexo]:[Sexo]]=$B44,IF(DATOS_[[AGRUP. CLAS. PROF.]:[AGRUP. CLAS. PROF.]]=$B42,IF(DATOS_[[Check Periodo Ref.]:[Check Periodo Ref.]]="Dentro",IF(DATOS_[[Check Equiparado]:[Check Equiparado]]="Sí",IF(DATOS!AX$4="Sí",(1/DATOS_[[% anualiz]:[% anualiz]]),1)*IF(DATOS!AX$5="Sí",1/DATOS_[[% normaliz]:[% normaliz]],1)*(DATOS_[Conc.Sal.20])))))))), 0)</f>
        <v>0</v>
      </c>
      <c r="AD44" s="302" t="n">
        <f aca="false" t="array" ref="AD44:AD44">IFERROR( (AVERAGE((IF(DATOS_[[Sexo]:[Sexo]]=$B44,IF(DATOS_[[AGRUP. CLAS. PROF.]:[AGRUP. CLAS. PROF.]]=$B42,IF(DATOS_[[Check Periodo Ref.]:[Check Periodo Ref.]]="Dentro",IF(DATOS_[[Check Equiparado]:[Check Equiparado]]="Sí",IF(DATOS!AY$4="Sí",(1/DATOS_[[% anualiz]:[% anualiz]]),1)*IF(DATOS!AY$5="Sí",1/DATOS_[[% normaliz]:[% normaliz]],1)*(DATOS_[Conc.Sal.21])))))))), 0)</f>
        <v>0</v>
      </c>
      <c r="AE44" s="302" t="n">
        <f aca="false" t="array" ref="AE44:AE44">IFERROR( (AVERAGE((IF(DATOS_[[Sexo]:[Sexo]]=$B44,IF(DATOS_[[AGRUP. CLAS. PROF.]:[AGRUP. CLAS. PROF.]]=$B42,IF(DATOS_[[Check Periodo Ref.]:[Check Periodo Ref.]]="Dentro",IF(DATOS_[[Check Equiparado]:[Check Equiparado]]="Sí",IF(DATOS!AZ$4="Sí",(1/DATOS_[[% anualiz]:[% anualiz]]),1)*IF(DATOS!AZ$5="Sí",1/DATOS_[[% normaliz]:[% normaliz]],1)*(DATOS_[Conc.Sal.22])))))))), 0)</f>
        <v>0</v>
      </c>
      <c r="AF44" s="302" t="n">
        <f aca="false" t="array" ref="AF44:AF44">IFERROR( (AVERAGE((IF(DATOS_[[Sexo]:[Sexo]]=$B44,IF(DATOS_[[AGRUP. CLAS. PROF.]:[AGRUP. CLAS. PROF.]]=$B42,IF(DATOS_[[Check Periodo Ref.]:[Check Periodo Ref.]]="Dentro",IF(DATOS_[[Check Equiparado]:[Check Equiparado]]="Sí",IF(DATOS!BA$4="Sí",(1/DATOS_[[% anualiz]:[% anualiz]]),1)*IF(DATOS!BA$5="Sí",1/DATOS_[[% normaliz]:[% normaliz]],1)*(DATOS_[Conc.Sal.23])))))))), 0)</f>
        <v>0</v>
      </c>
      <c r="AG44" s="302" t="n">
        <f aca="false" t="array" ref="AG44:AG44">IFERROR( (AVERAGE((IF(DATOS_[[Sexo]:[Sexo]]=$B44,IF(DATOS_[[AGRUP. CLAS. PROF.]:[AGRUP. CLAS. PROF.]]=$B42,IF(DATOS_[[Check Periodo Ref.]:[Check Periodo Ref.]]="Dentro",IF(DATOS_[[Check Equiparado]:[Check Equiparado]]="Sí",IF(DATOS!BB$4="Sí",(1/DATOS_[[% anualiz]:[% anualiz]]),1)*IF(DATOS!BB$5="Sí",1/DATOS_[[% normaliz]:[% normaliz]],1)*(DATOS_[Conc.Sal.24])))))))), 0)</f>
        <v>0</v>
      </c>
      <c r="AH44" s="302" t="n">
        <f aca="false" t="array" ref="AH44:AH44">IFERROR( (AVERAGE((IF(DATOS_[[Sexo]:[Sexo]]=$B44,IF(DATOS_[[AGRUP. CLAS. PROF.]:[AGRUP. CLAS. PROF.]]=$B42,IF(DATOS_[[Check Periodo Ref.]:[Check Periodo Ref.]]="Dentro",IF(DATOS_[[Check Equiparado]:[Check Equiparado]]="Sí",IF(DATOS!BC$4="Sí",(1/DATOS_[[% anualiz]:[% anualiz]]),1)*IF(DATOS!BC$5="Sí",1/DATOS_[[% normaliz]:[% normaliz]],1)*(DATOS_[Conc.Sal.25])))))))), 0)</f>
        <v>0</v>
      </c>
      <c r="AI44" s="302" t="n">
        <f aca="false" t="array" ref="AI44:AI44">IFERROR( (AVERAGE((IF(DATOS_[[Sexo]:[Sexo]]=$B44,IF(DATOS_[[AGRUP. CLAS. PROF.]:[AGRUP. CLAS. PROF.]]=$B42,IF(DATOS_[[Check Periodo Ref.]:[Check Periodo Ref.]]="Dentro",IF(DATOS_[[Check Equiparado]:[Check Equiparado]]="Sí",IF(DATOS!BD$4="Sí",(1/DATOS_[[% anualiz]:[% anualiz]]),1)*IF(DATOS!BD$5="Sí",1/DATOS_[[% normaliz]:[% normaliz]],1)*(DATOS_[Conc.Sal.26])))))))), 0)</f>
        <v>0</v>
      </c>
      <c r="AJ44" s="302" t="n">
        <f aca="false" t="array" ref="AJ44:AJ44">IFERROR( (AVERAGE((IF(DATOS_[[Sexo]:[Sexo]]=$B44,IF(DATOS_[[AGRUP. CLAS. PROF.]:[AGRUP. CLAS. PROF.]]=$B42,IF(DATOS_[[Check Periodo Ref.]:[Check Periodo Ref.]]="Dentro",IF(DATOS_[[Check Equiparado]:[Check Equiparado]]="Sí",IF(DATOS!BE$4="Sí",(1/DATOS_[[% anualiz]:[% anualiz]]),1)*IF(DATOS!BE$5="Sí",1/DATOS_[[% normaliz]:[% normaliz]],1)*(DATOS_[Conc.Sal.27])))))))), 0)</f>
        <v>0</v>
      </c>
      <c r="AK44" s="302" t="n">
        <f aca="false" t="array" ref="AK44:AK44">IFERROR( (AVERAGE((IF(DATOS_[[Sexo]:[Sexo]]=$B44,IF(DATOS_[[AGRUP. CLAS. PROF.]:[AGRUP. CLAS. PROF.]]=$B42,IF(DATOS_[[Check Periodo Ref.]:[Check Periodo Ref.]]="Dentro",IF(DATOS_[[Check Equiparado]:[Check Equiparado]]="Sí",IF(DATOS!BF$4="Sí",(1/DATOS_[[% anualiz]:[% anualiz]]),1)*IF(DATOS!BF$5="Sí",1/DATOS_[[% normaliz]:[% normaliz]],1)*(DATOS_[Conc.Sal.28])))))))), 0)</f>
        <v>0</v>
      </c>
      <c r="AL44" s="302" t="n">
        <f aca="false" t="array" ref="AL44:AL44">IFERROR( (AVERAGE((IF(DATOS_[[Sexo]:[Sexo]]=$B44,IF(DATOS_[[AGRUP. CLAS. PROF.]:[AGRUP. CLAS. PROF.]]=$B42,IF(DATOS_[[Check Periodo Ref.]:[Check Periodo Ref.]]="Dentro",IF(DATOS_[[Check Equiparado]:[Check Equiparado]]="Sí",IF(DATOS!BG$4="Sí",(1/DATOS_[[% anualiz]:[% anualiz]]),1)*IF(DATOS!BG$5="Sí",1/DATOS_[[% normaliz]:[% normaliz]],1)*(DATOS_[Conc.Sal.29])))))))), 0)</f>
        <v>0</v>
      </c>
      <c r="AM44" s="302" t="n">
        <f aca="false" t="array" ref="AM44:AM44">IFERROR( (AVERAGE((IF(DATOS_[[Sexo]:[Sexo]]=$B44,IF(DATOS_[[AGRUP. CLAS. PROF.]:[AGRUP. CLAS. PROF.]]=$B42,IF(DATOS_[[Check Periodo Ref.]:[Check Periodo Ref.]]="Dentro",IF(DATOS_[[Check Equiparado]:[Check Equiparado]]="Sí",IF(DATOS!BH$4="Sí",(1/DATOS_[[% anualiz]:[% anualiz]]),1)*IF(DATOS!BH$5="Sí",1/DATOS_[[% normaliz]:[% normaliz]],1)*(DATOS_[Conc.Sal.30])))))))), 0)</f>
        <v>0</v>
      </c>
      <c r="AN44" s="294" t="n">
        <f aca="false" t="array" ref="AN44:AN44">IFERROR( AVERAGE(IF(DATOS_[Sexo]=$B44,IF(DATOS_[[AGRUP. CLAS. PROF.]:[AGRUP. CLAS. PROF.]]=$B42,IF(DATOS_[Check Equiparado]="Sí",IF(DATOS_[Check Periodo Ref.]="Dentro",DATOS_[Tot COMPL.SAL Eq],0))))), 0)</f>
        <v>0</v>
      </c>
      <c r="AO44" s="295" t="n">
        <f aca="false" t="array" ref="AO44:AO44">IFERROR( AVERAGE(IF(DATOS_[Sexo]=$B44,IF(DATOS_[[AGRUP. CLAS. PROF.]:[AGRUP. CLAS. PROF.]]=$B42,IF(DATOS_[Check Equiparado]="Sí",IF(DATOS_[Check Periodo Ref.]="Dentro",DATOS_[TOTAL SALARIO Eq],0))))), 0)</f>
        <v>0</v>
      </c>
      <c r="AP44" s="303" t="n">
        <f aca="false" t="array" ref="AP44:AP44">IFERROR( (AVERAGE((IF(DATOS_[[Sexo]:[Sexo]]=$B44,IF(DATOS_[[AGRUP. CLAS. PROF.]:[AGRUP. CLAS. PROF.]]=$B43,IF(DATOS_[[Check Periodo Ref.]:[Check Periodo Ref.]]="Dentro",IF(DATOS_[[Check Equiparado]:[Check Equiparado]]="Sí",IF(DATOS!BI$4="Sí",(1/DATOS_[[% anualiz]:[% anualiz]]),1)*IF(DATOS!BI$5="Sí",1/DATOS_[[% normaliz]:[% normaliz]],1)*(DATOS_[C.Extra.01])))))))), 0)</f>
        <v>0</v>
      </c>
      <c r="AQ44" s="303" t="n">
        <f aca="false" t="array" ref="AQ44:AQ44">IFERROR( (AVERAGE((IF(DATOS_[[Sexo]:[Sexo]]=$B44,IF(DATOS_[[AGRUP. CLAS. PROF.]:[AGRUP. CLAS. PROF.]]=$B43,IF(DATOS_[[Check Periodo Ref.]:[Check Periodo Ref.]]="Dentro",IF(DATOS_[[Check Equiparado]:[Check Equiparado]]="Sí",IF(DATOS!BJ$4="Sí",(1/DATOS_[[% anualiz]:[% anualiz]]),1)*IF(DATOS!BJ$5="Sí",1/DATOS_[[% normaliz]:[% normaliz]],1)*(DATOS_[C.Extra.02])))))))), 0)</f>
        <v>0</v>
      </c>
      <c r="AR44" s="303" t="n">
        <f aca="false" t="array" ref="AR44:AR44">IFERROR( (AVERAGE((IF(DATOS_[[Sexo]:[Sexo]]=$B44,IF(DATOS_[[AGRUP. CLAS. PROF.]:[AGRUP. CLAS. PROF.]]=$B43,IF(DATOS_[[Check Periodo Ref.]:[Check Periodo Ref.]]="Dentro",IF(DATOS_[[Check Equiparado]:[Check Equiparado]]="Sí",IF(DATOS!BK$4="Sí",(1/DATOS_[[% anualiz]:[% anualiz]]),1)*IF(DATOS!BK$5="Sí",1/DATOS_[[% normaliz]:[% normaliz]],1)*(DATOS_[C.Extra.03])))))))), 0)</f>
        <v>0</v>
      </c>
      <c r="AS44" s="303" t="n">
        <f aca="false" t="array" ref="AS44:AS44">IFERROR( (AVERAGE((IF(DATOS_[[Sexo]:[Sexo]]=$B44,IF(DATOS_[[AGRUP. CLAS. PROF.]:[AGRUP. CLAS. PROF.]]=$B43,IF(DATOS_[[Check Periodo Ref.]:[Check Periodo Ref.]]="Dentro",IF(DATOS_[[Check Equiparado]:[Check Equiparado]]="Sí",IF(DATOS!BL$4="Sí",(1/DATOS_[[% anualiz]:[% anualiz]]),1)*IF(DATOS!BL$5="Sí",1/DATOS_[[% normaliz]:[% normaliz]],1)*(DATOS_[C.Extra.04])))))))), 0)</f>
        <v>0</v>
      </c>
      <c r="AT44" s="303" t="n">
        <f aca="false" t="array" ref="AT44:AT44">IFERROR( (AVERAGE((IF(DATOS_[[Sexo]:[Sexo]]=$B44,IF(DATOS_[[AGRUP. CLAS. PROF.]:[AGRUP. CLAS. PROF.]]=$B43,IF(DATOS_[[Check Periodo Ref.]:[Check Periodo Ref.]]="Dentro",IF(DATOS_[[Check Equiparado]:[Check Equiparado]]="Sí",IF(DATOS!BM$4="Sí",(1/DATOS_[[% anualiz]:[% anualiz]]),1)*IF(DATOS!BM$5="Sí",1/DATOS_[[% normaliz]:[% normaliz]],1)*(DATOS_[C.Extra.05])))))))), 0)</f>
        <v>0</v>
      </c>
      <c r="AU44" s="297" t="n">
        <f aca="false" t="array" ref="AU44:AU44">IFERROR( AVERAGE(IF(DATOS_[Sexo]=$B44,IF(DATOS_[[AGRUP. CLAS. PROF.]:[AGRUP. CLAS. PROF.]]=$B42,IF(DATOS_[Check Equiparado]="Sí",IF(DATOS_[Check Periodo Ref.]="Dentro",DATOS_[Tot Extrasalarial Eq],0))))), 0)</f>
        <v>0</v>
      </c>
      <c r="AV44" s="298" t="n">
        <f aca="false" t="array" ref="AV44:AV44">IFERROR( AVERAGE(IF(DATOS_[Sexo]=$B44,IF(DATOS_[[AGRUP. CLAS. PROF.]:[AGRUP. CLAS. PROF.]]=$B42,IF(DATOS_[Check Equiparado]="Sí",IF(DATOS_[Check Periodo Ref.]="Dentro",DATOS_[TOTAL Retrib Eq],0))))), 0)</f>
        <v>0</v>
      </c>
    </row>
    <row r="45" customFormat="false" ht="15.75" hidden="false" customHeight="false" outlineLevel="0" collapsed="false">
      <c r="A45" s="166" t="str">
        <f aca="false">+A46</f>
        <v>[ocultar]</v>
      </c>
      <c r="B45" s="276" t="s">
        <v>198</v>
      </c>
      <c r="C45" s="277"/>
      <c r="D45" s="278"/>
      <c r="E45" s="278"/>
      <c r="F45" s="278"/>
      <c r="G45" s="278"/>
      <c r="H45" s="278"/>
      <c r="I45" s="279" t="str">
        <f aca="false">IFERROR((I46-I47)/I46,"")</f>
        <v/>
      </c>
      <c r="J45" s="280" t="str">
        <f aca="false">IFERROR((J46-J47)/J46,"")</f>
        <v/>
      </c>
      <c r="K45" s="281" t="str">
        <f aca="false">IFERROR((K46-K47)/K46,"")</f>
        <v/>
      </c>
      <c r="L45" s="281" t="str">
        <f aca="false">IFERROR((L46-L47)/L46,"")</f>
        <v/>
      </c>
      <c r="M45" s="281" t="str">
        <f aca="false">IFERROR((M46-M47)/M46,"")</f>
        <v/>
      </c>
      <c r="N45" s="282" t="str">
        <f aca="false">IFERROR((N46-N47)/N46,"")</f>
        <v/>
      </c>
      <c r="O45" s="283" t="str">
        <f aca="false">IFERROR((O46-O47)/O46,"")</f>
        <v/>
      </c>
      <c r="P45" s="283" t="str">
        <f aca="false">IFERROR((P46-P47)/P46,"")</f>
        <v/>
      </c>
      <c r="Q45" s="283" t="str">
        <f aca="false">IFERROR((Q46-Q47)/Q46,"")</f>
        <v/>
      </c>
      <c r="R45" s="283" t="str">
        <f aca="false">IFERROR((R46-R47)/R46,"")</f>
        <v/>
      </c>
      <c r="S45" s="283" t="str">
        <f aca="false">IFERROR((S46-S47)/S46,"")</f>
        <v/>
      </c>
      <c r="T45" s="283" t="str">
        <f aca="false">IFERROR((T46-T47)/T46,"")</f>
        <v/>
      </c>
      <c r="U45" s="283" t="str">
        <f aca="false">IFERROR((U46-U47)/U46,"")</f>
        <v/>
      </c>
      <c r="V45" s="283" t="str">
        <f aca="false">IFERROR((V46-V47)/V46,"")</f>
        <v/>
      </c>
      <c r="W45" s="283" t="str">
        <f aca="false">IFERROR((W46-W47)/W46,"")</f>
        <v/>
      </c>
      <c r="X45" s="283" t="str">
        <f aca="false">IFERROR((X46-X47)/X46,"")</f>
        <v/>
      </c>
      <c r="Y45" s="283" t="str">
        <f aca="false">IFERROR((Y46-Y47)/Y46,"")</f>
        <v/>
      </c>
      <c r="Z45" s="282" t="str">
        <f aca="false">IFERROR((Z46-Z47)/Z46,"")</f>
        <v/>
      </c>
      <c r="AA45" s="282" t="str">
        <f aca="false">IFERROR((AA46-AA47)/AA46,"")</f>
        <v/>
      </c>
      <c r="AB45" s="282" t="str">
        <f aca="false">IFERROR((AB46-AB47)/AB46,"")</f>
        <v/>
      </c>
      <c r="AC45" s="282" t="str">
        <f aca="false">IFERROR((AC46-AC47)/AC46,"")</f>
        <v/>
      </c>
      <c r="AD45" s="282" t="str">
        <f aca="false">IFERROR((AD46-AD47)/AD46,"")</f>
        <v/>
      </c>
      <c r="AE45" s="282" t="str">
        <f aca="false">IFERROR((AE46-AE47)/AE46,"")</f>
        <v/>
      </c>
      <c r="AF45" s="282" t="str">
        <f aca="false">IFERROR((AF46-AF47)/AF46,"")</f>
        <v/>
      </c>
      <c r="AG45" s="282" t="str">
        <f aca="false">IFERROR((AG46-AG47)/AG46,"")</f>
        <v/>
      </c>
      <c r="AH45" s="282" t="str">
        <f aca="false">IFERROR((AH46-AH47)/AH46,"")</f>
        <v/>
      </c>
      <c r="AI45" s="282" t="str">
        <f aca="false">IFERROR((AI46-AI47)/AI46,"")</f>
        <v/>
      </c>
      <c r="AJ45" s="282" t="str">
        <f aca="false">IFERROR((AJ46-AJ47)/AJ46,"")</f>
        <v/>
      </c>
      <c r="AK45" s="282" t="str">
        <f aca="false">IFERROR((AK46-AK47)/AK46,"")</f>
        <v/>
      </c>
      <c r="AL45" s="282" t="str">
        <f aca="false">IFERROR((AL46-AL47)/AL46,"")</f>
        <v/>
      </c>
      <c r="AM45" s="282" t="str">
        <f aca="false">IFERROR((AM46-AM47)/AM46,"")</f>
        <v/>
      </c>
      <c r="AN45" s="284" t="str">
        <f aca="false">IFERROR((AN46-AN47)/AN46,"")</f>
        <v/>
      </c>
      <c r="AO45" s="285" t="str">
        <f aca="false">IFERROR((AO46-AO47)/AO46,"")</f>
        <v/>
      </c>
      <c r="AP45" s="286" t="str">
        <f aca="false">IFERROR((AP46-AP47)/AP46,"")</f>
        <v/>
      </c>
      <c r="AQ45" s="286" t="str">
        <f aca="false">IFERROR((AQ46-AQ47)/AQ46,"")</f>
        <v/>
      </c>
      <c r="AR45" s="286" t="str">
        <f aca="false">IFERROR((AR46-AR47)/AR46,"")</f>
        <v/>
      </c>
      <c r="AS45" s="286" t="str">
        <f aca="false">IFERROR((AS46-AS47)/AS46,"")</f>
        <v/>
      </c>
      <c r="AT45" s="286" t="str">
        <f aca="false">IFERROR((AT46-AT47)/AT46,"")</f>
        <v/>
      </c>
      <c r="AU45" s="287" t="str">
        <f aca="false">IFERROR((AU46-AU47)/AU46,"")</f>
        <v/>
      </c>
      <c r="AV45" s="288" t="str">
        <f aca="false">IFERROR((AV46-AV47)/AV46,"")</f>
        <v/>
      </c>
    </row>
    <row r="46" customFormat="false" ht="14.25" hidden="false" customHeight="false" outlineLevel="0" collapsed="false">
      <c r="A46" s="166" t="str">
        <f aca="false">+IF(C46+C47=0,"[ocultar]","")</f>
        <v>[ocultar]</v>
      </c>
      <c r="B46" s="289" t="s">
        <v>371</v>
      </c>
      <c r="C46" s="290" t="n">
        <f aca="false" t="array" ref="C46:C46">SUM(IF($B46=DATOS_[Sexo], IF($B45=DATOS_[AGRUP. CLAS. PROF.], IF("Dentro"=DATOS_[Check Periodo Ref.], 1/(COUNTIFS(DATOS_[Sexo],$B46,DATOS_[AGRUP. CLAS. PROF.],$B45,DATOS_[Check Periodo Ref.],"Dentro",DATOS_[id],DATOS_[id]))))))</f>
        <v>0</v>
      </c>
      <c r="D46" s="291" t="n">
        <f aca="false">COUNTIFS(DATOS_[AGRUP. CLAS. PROF.],$B45,DATOS_[Sexo],$B46,DATOS_[Check Periodo Ref.],"Dentro")</f>
        <v>0</v>
      </c>
      <c r="E46" s="291" t="n">
        <f aca="false">COUNTIFS(DATOS_[AGRUP. CLAS. PROF.],$B45,DATOS_[Sexo],$B46,DATOS_[Check Periodo Ref.],"Dentro",DATOS_[Check Nº SC Norm],"Sí")</f>
        <v>0</v>
      </c>
      <c r="F46" s="291" t="n">
        <f aca="false">COUNTIFS(DATOS_[AGRUP. CLAS. PROF.],$B45,DATOS_[Sexo],$B46,DATOS_[Check Periodo Ref.],"Dentro",DATOS_[Check Nº SC Anualiz],"Sí")</f>
        <v>0</v>
      </c>
      <c r="G46" s="291" t="n">
        <f aca="false">COUNTIFS(DATOS_[AGRUP. CLAS. PROF.],$B45,DATOS_[Sexo],$B46,DATOS_[Check Periodo Ref.],"Dentro",DATOS_[Check Nº SC Norm y Anualiz],"Sí")</f>
        <v>0</v>
      </c>
      <c r="H46" s="291" t="n">
        <f aca="false">COUNTIFS(DATOS_[AGRUP. CLAS. PROF.],$B45,DATOS_[Sexo],$B46,DATOS_[Check Periodo Ref.],"Dentro",DATOS_[Check Equiparación],"Sí")</f>
        <v>0</v>
      </c>
      <c r="I46" s="292" t="n">
        <f aca="false" t="array" ref="I46:I46">IFERROR( AVERAGE(IF(DATOS_[Sexo]=$B46,IF(DATOS_[[AGRUP. CLAS. PROF.]:[AGRUP. CLAS. PROF.]]=$B45,IF(DATOS_[Check Equiparado]="Sí",IF(DATOS_[Check Periodo Ref.]="Dentro",DATOS_[SALARIO BASE Eq],0))))), 0)</f>
        <v>0</v>
      </c>
      <c r="J46" s="302" t="n">
        <f aca="false" t="array" ref="J46:J46">IFERROR( (AVERAGE((IF(DATOS_[[Sexo]:[Sexo]]=$B46,IF(DATOS_[[AGRUP. CLAS. PROF.]:[AGRUP. CLAS. PROF.]]=$B45,IF(DATOS_[[Check Periodo Ref.]:[Check Periodo Ref.]]="Dentro",IF(DATOS_[[Check Equiparado]:[Check Equiparado]]="Sí",IF(DATOS!AE$4="Sí",(1/DATOS_[[% anualiz]:[% anualiz]]),1)*IF(DATOS!AE$5="Sí",1/DATOS_[[% normaliz]:[% normaliz]],1)*(DATOS_[Conc.Sal.01])))))))), 0)</f>
        <v>0</v>
      </c>
      <c r="K46" s="302" t="n">
        <f aca="false" t="array" ref="K46:K46">IFERROR( (AVERAGE((IF(DATOS_[[Sexo]:[Sexo]]=$B46,IF(DATOS_[[AGRUP. CLAS. PROF.]:[AGRUP. CLAS. PROF.]]=$B45,IF(DATOS_[[Check Periodo Ref.]:[Check Periodo Ref.]]="Dentro",IF(DATOS_[[Check Equiparado]:[Check Equiparado]]="Sí",IF(DATOS!AF$4="Sí",(1/DATOS_[[% anualiz]:[% anualiz]]),1)*IF(DATOS!AF$5="Sí",1/DATOS_[[% normaliz]:[% normaliz]],1)*(DATOS_[Conc.Sal.02])))))))), 0)</f>
        <v>0</v>
      </c>
      <c r="L46" s="302" t="n">
        <f aca="false" t="array" ref="L46:L46">IFERROR( (AVERAGE((IF(DATOS_[[Sexo]:[Sexo]]=$B46,IF(DATOS_[[AGRUP. CLAS. PROF.]:[AGRUP. CLAS. PROF.]]=$B45,IF(DATOS_[[Check Periodo Ref.]:[Check Periodo Ref.]]="Dentro",IF(DATOS_[[Check Equiparado]:[Check Equiparado]]="Sí",IF(DATOS!AG$4="Sí",(1/DATOS_[[% anualiz]:[% anualiz]]),1)*IF(DATOS!AG$5="Sí",1/DATOS_[[% normaliz]:[% normaliz]],1)*(DATOS_[Conc.Sal.03])))))))), 0)</f>
        <v>0</v>
      </c>
      <c r="M46" s="302" t="n">
        <f aca="false" t="array" ref="M46:M46">IFERROR( (AVERAGE((IF(DATOS_[[Sexo]:[Sexo]]=$B46,IF(DATOS_[[AGRUP. CLAS. PROF.]:[AGRUP. CLAS. PROF.]]=$B45,IF(DATOS_[[Check Periodo Ref.]:[Check Periodo Ref.]]="Dentro",IF(DATOS_[[Check Equiparado]:[Check Equiparado]]="Sí",IF(DATOS!AH$4="Sí",(1/DATOS_[[% anualiz]:[% anualiz]]),1)*IF(DATOS!AH$5="Sí",1/DATOS_[[% normaliz]:[% normaliz]],1)*(DATOS_[Conc.Sal.04])))))))), 0)</f>
        <v>0</v>
      </c>
      <c r="N46" s="302" t="n">
        <f aca="false" t="array" ref="N46:N46">IFERROR( (AVERAGE((IF(DATOS_[[Sexo]:[Sexo]]=$B46,IF(DATOS_[[AGRUP. CLAS. PROF.]:[AGRUP. CLAS. PROF.]]=$B45,IF(DATOS_[[Check Periodo Ref.]:[Check Periodo Ref.]]="Dentro",IF(DATOS_[[Check Equiparado]:[Check Equiparado]]="Sí",IF(DATOS!AI$4="Sí",(1/DATOS_[[% anualiz]:[% anualiz]]),1)*IF(DATOS!AI$5="Sí",1/DATOS_[[% normaliz]:[% normaliz]],1)*(DATOS_[Conc.Sal.05])))))))), 0)</f>
        <v>0</v>
      </c>
      <c r="O46" s="302" t="n">
        <f aca="false" t="array" ref="O46:O46">IFERROR( (AVERAGE((IF(DATOS_[[Sexo]:[Sexo]]=$B46,IF(DATOS_[[AGRUP. CLAS. PROF.]:[AGRUP. CLAS. PROF.]]=$B45,IF(DATOS_[[Check Periodo Ref.]:[Check Periodo Ref.]]="Dentro",IF(DATOS_[[Check Equiparado]:[Check Equiparado]]="Sí",IF(DATOS!AJ$4="Sí",(1/DATOS_[[% anualiz]:[% anualiz]]),1)*IF(DATOS!AJ$5="Sí",1/DATOS_[[% normaliz]:[% normaliz]],1)*(DATOS_[Conc.Sal.06])))))))), 0)</f>
        <v>0</v>
      </c>
      <c r="P46" s="302" t="n">
        <f aca="false" t="array" ref="P46:P46">IFERROR( (AVERAGE((IF(DATOS_[[Sexo]:[Sexo]]=$B46,IF(DATOS_[[AGRUP. CLAS. PROF.]:[AGRUP. CLAS. PROF.]]=$B45,IF(DATOS_[[Check Periodo Ref.]:[Check Periodo Ref.]]="Dentro",IF(DATOS_[[Check Equiparado]:[Check Equiparado]]="Sí",IF(DATOS!AK$4="Sí",(1/DATOS_[[% anualiz]:[% anualiz]]),1)*IF(DATOS!AK$5="Sí",1/DATOS_[[% normaliz]:[% normaliz]],1)*(DATOS_[Conc.Sal.07])))))))), 0)</f>
        <v>0</v>
      </c>
      <c r="Q46" s="302" t="n">
        <f aca="false" t="array" ref="Q46:Q46">IFERROR( (AVERAGE((IF(DATOS_[[Sexo]:[Sexo]]=$B46,IF(DATOS_[[AGRUP. CLAS. PROF.]:[AGRUP. CLAS. PROF.]]=$B45,IF(DATOS_[[Check Periodo Ref.]:[Check Periodo Ref.]]="Dentro",IF(DATOS_[[Check Equiparado]:[Check Equiparado]]="Sí",IF(DATOS!AL$4="Sí",(1/DATOS_[[% anualiz]:[% anualiz]]),1)*IF(DATOS!AL$5="Sí",1/DATOS_[[% normaliz]:[% normaliz]],1)*(DATOS_[Conc.Sal.08])))))))), 0)</f>
        <v>0</v>
      </c>
      <c r="R46" s="302" t="n">
        <f aca="false" t="array" ref="R46:R46">IFERROR( (AVERAGE((IF(DATOS_[[Sexo]:[Sexo]]=$B46,IF(DATOS_[[AGRUP. CLAS. PROF.]:[AGRUP. CLAS. PROF.]]=$B45,IF(DATOS_[[Check Periodo Ref.]:[Check Periodo Ref.]]="Dentro",IF(DATOS_[[Check Equiparado]:[Check Equiparado]]="Sí",IF(DATOS!AM$4="Sí",(1/DATOS_[[% anualiz]:[% anualiz]]),1)*IF(DATOS!AM$5="Sí",1/DATOS_[[% normaliz]:[% normaliz]],1)*(DATOS_[Conc.Sal.09])))))))), 0)</f>
        <v>0</v>
      </c>
      <c r="S46" s="302" t="n">
        <f aca="false" t="array" ref="S46:S46">IFERROR( (AVERAGE((IF(DATOS_[[Sexo]:[Sexo]]=$B46,IF(DATOS_[[AGRUP. CLAS. PROF.]:[AGRUP. CLAS. PROF.]]=$B45,IF(DATOS_[[Check Periodo Ref.]:[Check Periodo Ref.]]="Dentro",IF(DATOS_[[Check Equiparado]:[Check Equiparado]]="Sí",IF(DATOS!AN$4="Sí",(1/DATOS_[[% anualiz]:[% anualiz]]),1)*IF(DATOS!AN$5="Sí",1/DATOS_[[% normaliz]:[% normaliz]],1)*(DATOS_[Conc.Sal.10])))))))), 0)</f>
        <v>0</v>
      </c>
      <c r="T46" s="302" t="n">
        <f aca="false" t="array" ref="T46:T46">IFERROR( (AVERAGE((IF(DATOS_[[Sexo]:[Sexo]]=$B46,IF(DATOS_[[AGRUP. CLAS. PROF.]:[AGRUP. CLAS. PROF.]]=$B45,IF(DATOS_[[Check Periodo Ref.]:[Check Periodo Ref.]]="Dentro",IF(DATOS_[[Check Equiparado]:[Check Equiparado]]="Sí",IF(DATOS!AO$4="Sí",(1/DATOS_[[% anualiz]:[% anualiz]]),1)*IF(DATOS!AO$5="Sí",1/DATOS_[[% normaliz]:[% normaliz]],1)*(DATOS_[Conc.Sal.11])))))))), 0)</f>
        <v>0</v>
      </c>
      <c r="U46" s="302" t="n">
        <f aca="false" t="array" ref="U46:U46">IFERROR( (AVERAGE((IF(DATOS_[[Sexo]:[Sexo]]=$B46,IF(DATOS_[[AGRUP. CLAS. PROF.]:[AGRUP. CLAS. PROF.]]=$B45,IF(DATOS_[[Check Periodo Ref.]:[Check Periodo Ref.]]="Dentro",IF(DATOS_[[Check Equiparado]:[Check Equiparado]]="Sí",IF(DATOS!AP$4="Sí",(1/DATOS_[[% anualiz]:[% anualiz]]),1)*IF(DATOS!AP$5="Sí",1/DATOS_[[% normaliz]:[% normaliz]],1)*(DATOS_[Conc.Sal.12])))))))), 0)</f>
        <v>0</v>
      </c>
      <c r="V46" s="302" t="n">
        <f aca="false" t="array" ref="V46:V46">IFERROR( (AVERAGE((IF(DATOS_[[Sexo]:[Sexo]]=$B46,IF(DATOS_[[AGRUP. CLAS. PROF.]:[AGRUP. CLAS. PROF.]]=$B45,IF(DATOS_[[Check Periodo Ref.]:[Check Periodo Ref.]]="Dentro",IF(DATOS_[[Check Equiparado]:[Check Equiparado]]="Sí",IF(DATOS!AQ$4="Sí",(1/DATOS_[[% anualiz]:[% anualiz]]),1)*IF(DATOS!AQ$5="Sí",1/DATOS_[[% normaliz]:[% normaliz]],1)*(DATOS_[Conc.Sal.13])))))))), 0)</f>
        <v>0</v>
      </c>
      <c r="W46" s="302" t="n">
        <f aca="false" t="array" ref="W46:W46">IFERROR( (AVERAGE((IF(DATOS_[[Sexo]:[Sexo]]=$B46,IF(DATOS_[[AGRUP. CLAS. PROF.]:[AGRUP. CLAS. PROF.]]=$B45,IF(DATOS_[[Check Periodo Ref.]:[Check Periodo Ref.]]="Dentro",IF(DATOS_[[Check Equiparado]:[Check Equiparado]]="Sí",IF(DATOS!AR$4="Sí",(1/DATOS_[[% anualiz]:[% anualiz]]),1)*IF(DATOS!AR$5="Sí",1/DATOS_[[% normaliz]:[% normaliz]],1)*(DATOS_[Conc.Sal.14])))))))), 0)</f>
        <v>0</v>
      </c>
      <c r="X46" s="302" t="n">
        <f aca="false" t="array" ref="X46:X46">IFERROR( (AVERAGE((IF(DATOS_[[Sexo]:[Sexo]]=$B46,IF(DATOS_[[AGRUP. CLAS. PROF.]:[AGRUP. CLAS. PROF.]]=$B45,IF(DATOS_[[Check Periodo Ref.]:[Check Periodo Ref.]]="Dentro",IF(DATOS_[[Check Equiparado]:[Check Equiparado]]="Sí",IF(DATOS!AS$4="Sí",(1/DATOS_[[% anualiz]:[% anualiz]]),1)*IF(DATOS!AS$5="Sí",1/DATOS_[[% normaliz]:[% normaliz]],1)*(DATOS_[Conc.Sal.15])))))))), 0)</f>
        <v>0</v>
      </c>
      <c r="Y46" s="302" t="n">
        <f aca="false" t="array" ref="Y46:Y46">IFERROR( (AVERAGE((IF(DATOS_[[Sexo]:[Sexo]]=$B46,IF(DATOS_[[AGRUP. CLAS. PROF.]:[AGRUP. CLAS. PROF.]]=$B45,IF(DATOS_[[Check Periodo Ref.]:[Check Periodo Ref.]]="Dentro",IF(DATOS_[[Check Equiparado]:[Check Equiparado]]="Sí",IF(DATOS!AT$4="Sí",(1/DATOS_[[% anualiz]:[% anualiz]]),1)*IF(DATOS!AT$5="Sí",1/DATOS_[[% normaliz]:[% normaliz]],1)*(DATOS_[Conc.Sal.16])))))))), 0)</f>
        <v>0</v>
      </c>
      <c r="Z46" s="302" t="n">
        <f aca="false" t="array" ref="Z46:Z46">IFERROR( (AVERAGE((IF(DATOS_[[Sexo]:[Sexo]]=$B46,IF(DATOS_[[AGRUP. CLAS. PROF.]:[AGRUP. CLAS. PROF.]]=$B45,IF(DATOS_[[Check Periodo Ref.]:[Check Periodo Ref.]]="Dentro",IF(DATOS_[[Check Equiparado]:[Check Equiparado]]="Sí",IF(DATOS!AU$4="Sí",(1/DATOS_[[% anualiz]:[% anualiz]]),1)*IF(DATOS!AU$5="Sí",1/DATOS_[[% normaliz]:[% normaliz]],1)*(DATOS_[Conc.Sal.17])))))))), 0)</f>
        <v>0</v>
      </c>
      <c r="AA46" s="302" t="n">
        <f aca="false" t="array" ref="AA46:AA46">IFERROR( (AVERAGE((IF(DATOS_[[Sexo]:[Sexo]]=$B46,IF(DATOS_[[AGRUP. CLAS. PROF.]:[AGRUP. CLAS. PROF.]]=$B45,IF(DATOS_[[Check Periodo Ref.]:[Check Periodo Ref.]]="Dentro",IF(DATOS_[[Check Equiparado]:[Check Equiparado]]="Sí",IF(DATOS!AV$4="Sí",(1/DATOS_[[% anualiz]:[% anualiz]]),1)*IF(DATOS!AV$5="Sí",1/DATOS_[[% normaliz]:[% normaliz]],1)*(DATOS_[Conc.Sal.18])))))))), 0)</f>
        <v>0</v>
      </c>
      <c r="AB46" s="302" t="n">
        <f aca="false" t="array" ref="AB46:AB46">IFERROR( (AVERAGE((IF(DATOS_[[Sexo]:[Sexo]]=$B46,IF(DATOS_[[AGRUP. CLAS. PROF.]:[AGRUP. CLAS. PROF.]]=$B45,IF(DATOS_[[Check Periodo Ref.]:[Check Periodo Ref.]]="Dentro",IF(DATOS_[[Check Equiparado]:[Check Equiparado]]="Sí",IF(DATOS!AW$4="Sí",(1/DATOS_[[% anualiz]:[% anualiz]]),1)*IF(DATOS!AW$5="Sí",1/DATOS_[[% normaliz]:[% normaliz]],1)*(DATOS_[Conc.Sal.19])))))))), 0)</f>
        <v>0</v>
      </c>
      <c r="AC46" s="302" t="n">
        <f aca="false" t="array" ref="AC46:AC46">IFERROR( (AVERAGE((IF(DATOS_[[Sexo]:[Sexo]]=$B46,IF(DATOS_[[AGRUP. CLAS. PROF.]:[AGRUP. CLAS. PROF.]]=$B45,IF(DATOS_[[Check Periodo Ref.]:[Check Periodo Ref.]]="Dentro",IF(DATOS_[[Check Equiparado]:[Check Equiparado]]="Sí",IF(DATOS!AX$4="Sí",(1/DATOS_[[% anualiz]:[% anualiz]]),1)*IF(DATOS!AX$5="Sí",1/DATOS_[[% normaliz]:[% normaliz]],1)*(DATOS_[Conc.Sal.20])))))))), 0)</f>
        <v>0</v>
      </c>
      <c r="AD46" s="302" t="n">
        <f aca="false" t="array" ref="AD46:AD46">IFERROR( (AVERAGE((IF(DATOS_[[Sexo]:[Sexo]]=$B46,IF(DATOS_[[AGRUP. CLAS. PROF.]:[AGRUP. CLAS. PROF.]]=$B45,IF(DATOS_[[Check Periodo Ref.]:[Check Periodo Ref.]]="Dentro",IF(DATOS_[[Check Equiparado]:[Check Equiparado]]="Sí",IF(DATOS!AY$4="Sí",(1/DATOS_[[% anualiz]:[% anualiz]]),1)*IF(DATOS!AY$5="Sí",1/DATOS_[[% normaliz]:[% normaliz]],1)*(DATOS_[Conc.Sal.21])))))))), 0)</f>
        <v>0</v>
      </c>
      <c r="AE46" s="302" t="n">
        <f aca="false" t="array" ref="AE46:AE46">IFERROR( (AVERAGE((IF(DATOS_[[Sexo]:[Sexo]]=$B46,IF(DATOS_[[AGRUP. CLAS. PROF.]:[AGRUP. CLAS. PROF.]]=$B45,IF(DATOS_[[Check Periodo Ref.]:[Check Periodo Ref.]]="Dentro",IF(DATOS_[[Check Equiparado]:[Check Equiparado]]="Sí",IF(DATOS!AZ$4="Sí",(1/DATOS_[[% anualiz]:[% anualiz]]),1)*IF(DATOS!AZ$5="Sí",1/DATOS_[[% normaliz]:[% normaliz]],1)*(DATOS_[Conc.Sal.22])))))))), 0)</f>
        <v>0</v>
      </c>
      <c r="AF46" s="302" t="n">
        <f aca="false" t="array" ref="AF46:AF46">IFERROR( (AVERAGE((IF(DATOS_[[Sexo]:[Sexo]]=$B46,IF(DATOS_[[AGRUP. CLAS. PROF.]:[AGRUP. CLAS. PROF.]]=$B45,IF(DATOS_[[Check Periodo Ref.]:[Check Periodo Ref.]]="Dentro",IF(DATOS_[[Check Equiparado]:[Check Equiparado]]="Sí",IF(DATOS!BA$4="Sí",(1/DATOS_[[% anualiz]:[% anualiz]]),1)*IF(DATOS!BA$5="Sí",1/DATOS_[[% normaliz]:[% normaliz]],1)*(DATOS_[Conc.Sal.23])))))))), 0)</f>
        <v>0</v>
      </c>
      <c r="AG46" s="302" t="n">
        <f aca="false" t="array" ref="AG46:AG46">IFERROR( (AVERAGE((IF(DATOS_[[Sexo]:[Sexo]]=$B46,IF(DATOS_[[AGRUP. CLAS. PROF.]:[AGRUP. CLAS. PROF.]]=$B45,IF(DATOS_[[Check Periodo Ref.]:[Check Periodo Ref.]]="Dentro",IF(DATOS_[[Check Equiparado]:[Check Equiparado]]="Sí",IF(DATOS!BB$4="Sí",(1/DATOS_[[% anualiz]:[% anualiz]]),1)*IF(DATOS!BB$5="Sí",1/DATOS_[[% normaliz]:[% normaliz]],1)*(DATOS_[Conc.Sal.24])))))))), 0)</f>
        <v>0</v>
      </c>
      <c r="AH46" s="302" t="n">
        <f aca="false" t="array" ref="AH46:AH46">IFERROR( (AVERAGE((IF(DATOS_[[Sexo]:[Sexo]]=$B46,IF(DATOS_[[AGRUP. CLAS. PROF.]:[AGRUP. CLAS. PROF.]]=$B45,IF(DATOS_[[Check Periodo Ref.]:[Check Periodo Ref.]]="Dentro",IF(DATOS_[[Check Equiparado]:[Check Equiparado]]="Sí",IF(DATOS!BC$4="Sí",(1/DATOS_[[% anualiz]:[% anualiz]]),1)*IF(DATOS!BC$5="Sí",1/DATOS_[[% normaliz]:[% normaliz]],1)*(DATOS_[Conc.Sal.25])))))))), 0)</f>
        <v>0</v>
      </c>
      <c r="AI46" s="302" t="n">
        <f aca="false" t="array" ref="AI46:AI46">IFERROR( (AVERAGE((IF(DATOS_[[Sexo]:[Sexo]]=$B46,IF(DATOS_[[AGRUP. CLAS. PROF.]:[AGRUP. CLAS. PROF.]]=$B45,IF(DATOS_[[Check Periodo Ref.]:[Check Periodo Ref.]]="Dentro",IF(DATOS_[[Check Equiparado]:[Check Equiparado]]="Sí",IF(DATOS!BD$4="Sí",(1/DATOS_[[% anualiz]:[% anualiz]]),1)*IF(DATOS!BD$5="Sí",1/DATOS_[[% normaliz]:[% normaliz]],1)*(DATOS_[Conc.Sal.26])))))))), 0)</f>
        <v>0</v>
      </c>
      <c r="AJ46" s="302" t="n">
        <f aca="false" t="array" ref="AJ46:AJ46">IFERROR( (AVERAGE((IF(DATOS_[[Sexo]:[Sexo]]=$B46,IF(DATOS_[[AGRUP. CLAS. PROF.]:[AGRUP. CLAS. PROF.]]=$B45,IF(DATOS_[[Check Periodo Ref.]:[Check Periodo Ref.]]="Dentro",IF(DATOS_[[Check Equiparado]:[Check Equiparado]]="Sí",IF(DATOS!BE$4="Sí",(1/DATOS_[[% anualiz]:[% anualiz]]),1)*IF(DATOS!BE$5="Sí",1/DATOS_[[% normaliz]:[% normaliz]],1)*(DATOS_[Conc.Sal.27])))))))), 0)</f>
        <v>0</v>
      </c>
      <c r="AK46" s="302" t="n">
        <f aca="false" t="array" ref="AK46:AK46">IFERROR( (AVERAGE((IF(DATOS_[[Sexo]:[Sexo]]=$B46,IF(DATOS_[[AGRUP. CLAS. PROF.]:[AGRUP. CLAS. PROF.]]=$B45,IF(DATOS_[[Check Periodo Ref.]:[Check Periodo Ref.]]="Dentro",IF(DATOS_[[Check Equiparado]:[Check Equiparado]]="Sí",IF(DATOS!BF$4="Sí",(1/DATOS_[[% anualiz]:[% anualiz]]),1)*IF(DATOS!BF$5="Sí",1/DATOS_[[% normaliz]:[% normaliz]],1)*(DATOS_[Conc.Sal.28])))))))), 0)</f>
        <v>0</v>
      </c>
      <c r="AL46" s="302" t="n">
        <f aca="false" t="array" ref="AL46:AL46">IFERROR( (AVERAGE((IF(DATOS_[[Sexo]:[Sexo]]=$B46,IF(DATOS_[[AGRUP. CLAS. PROF.]:[AGRUP. CLAS. PROF.]]=$B45,IF(DATOS_[[Check Periodo Ref.]:[Check Periodo Ref.]]="Dentro",IF(DATOS_[[Check Equiparado]:[Check Equiparado]]="Sí",IF(DATOS!BG$4="Sí",(1/DATOS_[[% anualiz]:[% anualiz]]),1)*IF(DATOS!BG$5="Sí",1/DATOS_[[% normaliz]:[% normaliz]],1)*(DATOS_[Conc.Sal.29])))))))), 0)</f>
        <v>0</v>
      </c>
      <c r="AM46" s="302" t="n">
        <f aca="false" t="array" ref="AM46:AM46">IFERROR( (AVERAGE((IF(DATOS_[[Sexo]:[Sexo]]=$B46,IF(DATOS_[[AGRUP. CLAS. PROF.]:[AGRUP. CLAS. PROF.]]=$B45,IF(DATOS_[[Check Periodo Ref.]:[Check Periodo Ref.]]="Dentro",IF(DATOS_[[Check Equiparado]:[Check Equiparado]]="Sí",IF(DATOS!BH$4="Sí",(1/DATOS_[[% anualiz]:[% anualiz]]),1)*IF(DATOS!BH$5="Sí",1/DATOS_[[% normaliz]:[% normaliz]],1)*(DATOS_[Conc.Sal.30])))))))), 0)</f>
        <v>0</v>
      </c>
      <c r="AN46" s="294" t="n">
        <f aca="false" t="array" ref="AN46:AN46">IFERROR( AVERAGE(IF(DATOS_[Sexo]=$B46,IF(DATOS_[[AGRUP. CLAS. PROF.]:[AGRUP. CLAS. PROF.]]=$B45,IF(DATOS_[Check Equiparado]="Sí",IF(DATOS_[Check Periodo Ref.]="Dentro",DATOS_[Tot COMPL.SAL Eq],0))))), 0)</f>
        <v>0</v>
      </c>
      <c r="AO46" s="295" t="n">
        <f aca="false" t="array" ref="AO46:AO46">IFERROR( AVERAGE(IF(DATOS_[Sexo]=$B46,IF(DATOS_[[AGRUP. CLAS. PROF.]:[AGRUP. CLAS. PROF.]]=$B45,IF(DATOS_[Check Equiparado]="Sí",IF(DATOS_[Check Periodo Ref.]="Dentro",DATOS_[TOTAL SALARIO Eq],0))))), 0)</f>
        <v>0</v>
      </c>
      <c r="AP46" s="303" t="n">
        <f aca="false" t="array" ref="AP46:AP46">IFERROR( (AVERAGE((IF(DATOS_[[Sexo]:[Sexo]]=$B46,IF(DATOS_[[AGRUP. CLAS. PROF.]:[AGRUP. CLAS. PROF.]]=$B45,IF(DATOS_[[Check Periodo Ref.]:[Check Periodo Ref.]]="Dentro",IF(DATOS_[[Check Equiparado]:[Check Equiparado]]="Sí",IF(DATOS!BI$4="Sí",(1/DATOS_[[% anualiz]:[% anualiz]]),1)*IF(DATOS!BI$5="Sí",1/DATOS_[[% normaliz]:[% normaliz]],1)*(DATOS_[C.Extra.01])))))))), 0)</f>
        <v>0</v>
      </c>
      <c r="AQ46" s="303" t="n">
        <f aca="false" t="array" ref="AQ46:AQ46">IFERROR( (AVERAGE((IF(DATOS_[[Sexo]:[Sexo]]=$B46,IF(DATOS_[[AGRUP. CLAS. PROF.]:[AGRUP. CLAS. PROF.]]=$B45,IF(DATOS_[[Check Periodo Ref.]:[Check Periodo Ref.]]="Dentro",IF(DATOS_[[Check Equiparado]:[Check Equiparado]]="Sí",IF(DATOS!BJ$4="Sí",(1/DATOS_[[% anualiz]:[% anualiz]]),1)*IF(DATOS!BJ$5="Sí",1/DATOS_[[% normaliz]:[% normaliz]],1)*(DATOS_[C.Extra.02])))))))), 0)</f>
        <v>0</v>
      </c>
      <c r="AR46" s="303" t="n">
        <f aca="false" t="array" ref="AR46:AR46">IFERROR( (AVERAGE((IF(DATOS_[[Sexo]:[Sexo]]=$B46,IF(DATOS_[[AGRUP. CLAS. PROF.]:[AGRUP. CLAS. PROF.]]=$B45,IF(DATOS_[[Check Periodo Ref.]:[Check Periodo Ref.]]="Dentro",IF(DATOS_[[Check Equiparado]:[Check Equiparado]]="Sí",IF(DATOS!BK$4="Sí",(1/DATOS_[[% anualiz]:[% anualiz]]),1)*IF(DATOS!BK$5="Sí",1/DATOS_[[% normaliz]:[% normaliz]],1)*(DATOS_[C.Extra.03])))))))), 0)</f>
        <v>0</v>
      </c>
      <c r="AS46" s="303" t="n">
        <f aca="false" t="array" ref="AS46:AS46">IFERROR( (AVERAGE((IF(DATOS_[[Sexo]:[Sexo]]=$B46,IF(DATOS_[[AGRUP. CLAS. PROF.]:[AGRUP. CLAS. PROF.]]=$B45,IF(DATOS_[[Check Periodo Ref.]:[Check Periodo Ref.]]="Dentro",IF(DATOS_[[Check Equiparado]:[Check Equiparado]]="Sí",IF(DATOS!BL$4="Sí",(1/DATOS_[[% anualiz]:[% anualiz]]),1)*IF(DATOS!BL$5="Sí",1/DATOS_[[% normaliz]:[% normaliz]],1)*(DATOS_[C.Extra.04])))))))), 0)</f>
        <v>0</v>
      </c>
      <c r="AT46" s="303" t="n">
        <f aca="false" t="array" ref="AT46:AT46">IFERROR( (AVERAGE((IF(DATOS_[[Sexo]:[Sexo]]=$B46,IF(DATOS_[[AGRUP. CLAS. PROF.]:[AGRUP. CLAS. PROF.]]=$B45,IF(DATOS_[[Check Periodo Ref.]:[Check Periodo Ref.]]="Dentro",IF(DATOS_[[Check Equiparado]:[Check Equiparado]]="Sí",IF(DATOS!BM$4="Sí",(1/DATOS_[[% anualiz]:[% anualiz]]),1)*IF(DATOS!BM$5="Sí",1/DATOS_[[% normaliz]:[% normaliz]],1)*(DATOS_[C.Extra.05])))))))), 0)</f>
        <v>0</v>
      </c>
      <c r="AU46" s="297" t="n">
        <f aca="false" t="array" ref="AU46:AU46">IFERROR( AVERAGE(IF(DATOS_[Sexo]=$B46,IF(DATOS_[[AGRUP. CLAS. PROF.]:[AGRUP. CLAS. PROF.]]=$B45,IF(DATOS_[Check Equiparado]="Sí",IF(DATOS_[Check Periodo Ref.]="Dentro",DATOS_[Tot Extrasalarial Eq],0))))), 0)</f>
        <v>0</v>
      </c>
      <c r="AV46" s="298" t="n">
        <f aca="false" t="array" ref="AV46:AV46">IFERROR( AVERAGE(IF(DATOS_[Sexo]=$B46,IF(DATOS_[[AGRUP. CLAS. PROF.]:[AGRUP. CLAS. PROF.]]=$B45,IF(DATOS_[Check Equiparado]="Sí",IF(DATOS_[Check Periodo Ref.]="Dentro",DATOS_[TOTAL Retrib Eq],0))))), 0)</f>
        <v>0</v>
      </c>
    </row>
    <row r="47" customFormat="false" ht="14.25" hidden="false" customHeight="false" outlineLevel="0" collapsed="false">
      <c r="A47" s="166" t="str">
        <f aca="false">+A46</f>
        <v>[ocultar]</v>
      </c>
      <c r="B47" s="289" t="s">
        <v>372</v>
      </c>
      <c r="C47" s="290" t="n">
        <f aca="false" t="array" ref="C47:C47">SUM(IF($B47=DATOS_[Sexo], IF($B45=DATOS_[AGRUP. CLAS. PROF.], IF("Dentro"=DATOS_[Check Periodo Ref.], 1/(COUNTIFS(DATOS_[Sexo],$B47,DATOS_[AGRUP. CLAS. PROF.],$B45,DATOS_[Check Periodo Ref.],"Dentro",DATOS_[id],DATOS_[id]))))))</f>
        <v>0</v>
      </c>
      <c r="D47" s="291" t="n">
        <f aca="false">COUNTIFS(DATOS_[AGRUP. CLAS. PROF.],$B45,DATOS_[Sexo],$B47,DATOS_[Check Periodo Ref.],"Dentro")</f>
        <v>0</v>
      </c>
      <c r="E47" s="291" t="n">
        <f aca="false">COUNTIFS(DATOS_[AGRUP. CLAS. PROF.],$B45,DATOS_[Sexo],$B47,DATOS_[Check Periodo Ref.],"Dentro",DATOS_[Check Nº SC Norm],"Sí")</f>
        <v>0</v>
      </c>
      <c r="F47" s="291" t="n">
        <f aca="false">COUNTIFS(DATOS_[AGRUP. CLAS. PROF.],$B45,DATOS_[Sexo],$B47,DATOS_[Check Periodo Ref.],"Dentro",DATOS_[Check Nº SC Anualiz],"Sí")</f>
        <v>0</v>
      </c>
      <c r="G47" s="291" t="n">
        <f aca="false">COUNTIFS(DATOS_[AGRUP. CLAS. PROF.],$B45,DATOS_[Sexo],$B47,DATOS_[Check Periodo Ref.],"Dentro",DATOS_[Check Nº SC Norm y Anualiz],"Sí")</f>
        <v>0</v>
      </c>
      <c r="H47" s="291" t="n">
        <f aca="false">COUNTIFS(DATOS_[AGRUP. CLAS. PROF.],$B45,DATOS_[Sexo],$B47,DATOS_[Check Periodo Ref.],"Dentro",DATOS_[Check Equiparación],"Sí")</f>
        <v>0</v>
      </c>
      <c r="I47" s="292" t="n">
        <f aca="false" t="array" ref="I47:I47">IFERROR( AVERAGE(IF(DATOS_[Sexo]=$B47,IF(DATOS_[[AGRUP. CLAS. PROF.]:[AGRUP. CLAS. PROF.]]=$B45,IF(DATOS_[Check Equiparado]="Sí",IF(DATOS_[Check Periodo Ref.]="Dentro",DATOS_[SALARIO BASE Eq],0))))), 0)</f>
        <v>0</v>
      </c>
      <c r="J47" s="302" t="n">
        <f aca="false" t="array" ref="J47:J47">IFERROR( (AVERAGE((IF(DATOS_[[Sexo]:[Sexo]]=$B47,IF(DATOS_[[AGRUP. CLAS. PROF.]:[AGRUP. CLAS. PROF.]]=$B45,IF(DATOS_[[Check Periodo Ref.]:[Check Periodo Ref.]]="Dentro",IF(DATOS_[[Check Equiparado]:[Check Equiparado]]="Sí",IF(DATOS!AE$4="Sí",(1/DATOS_[[% anualiz]:[% anualiz]]),1)*IF(DATOS!AE$5="Sí",1/DATOS_[[% normaliz]:[% normaliz]],1)*(DATOS_[Conc.Sal.01])))))))), 0)</f>
        <v>0</v>
      </c>
      <c r="K47" s="302" t="n">
        <f aca="false" t="array" ref="K47:K47">IFERROR( (AVERAGE((IF(DATOS_[[Sexo]:[Sexo]]=$B47,IF(DATOS_[[AGRUP. CLAS. PROF.]:[AGRUP. CLAS. PROF.]]=$B45,IF(DATOS_[[Check Periodo Ref.]:[Check Periodo Ref.]]="Dentro",IF(DATOS_[[Check Equiparado]:[Check Equiparado]]="Sí",IF(DATOS!AF$4="Sí",(1/DATOS_[[% anualiz]:[% anualiz]]),1)*IF(DATOS!AF$5="Sí",1/DATOS_[[% normaliz]:[% normaliz]],1)*(DATOS_[Conc.Sal.02])))))))), 0)</f>
        <v>0</v>
      </c>
      <c r="L47" s="302" t="n">
        <f aca="false" t="array" ref="L47:L47">IFERROR( (AVERAGE((IF(DATOS_[[Sexo]:[Sexo]]=$B47,IF(DATOS_[[AGRUP. CLAS. PROF.]:[AGRUP. CLAS. PROF.]]=$B45,IF(DATOS_[[Check Periodo Ref.]:[Check Periodo Ref.]]="Dentro",IF(DATOS_[[Check Equiparado]:[Check Equiparado]]="Sí",IF(DATOS!AG$4="Sí",(1/DATOS_[[% anualiz]:[% anualiz]]),1)*IF(DATOS!AG$5="Sí",1/DATOS_[[% normaliz]:[% normaliz]],1)*(DATOS_[Conc.Sal.03])))))))), 0)</f>
        <v>0</v>
      </c>
      <c r="M47" s="302" t="n">
        <f aca="false" t="array" ref="M47:M47">IFERROR( (AVERAGE((IF(DATOS_[[Sexo]:[Sexo]]=$B47,IF(DATOS_[[AGRUP. CLAS. PROF.]:[AGRUP. CLAS. PROF.]]=$B45,IF(DATOS_[[Check Periodo Ref.]:[Check Periodo Ref.]]="Dentro",IF(DATOS_[[Check Equiparado]:[Check Equiparado]]="Sí",IF(DATOS!AH$4="Sí",(1/DATOS_[[% anualiz]:[% anualiz]]),1)*IF(DATOS!AH$5="Sí",1/DATOS_[[% normaliz]:[% normaliz]],1)*(DATOS_[Conc.Sal.04])))))))), 0)</f>
        <v>0</v>
      </c>
      <c r="N47" s="302" t="n">
        <f aca="false" t="array" ref="N47:N47">IFERROR( (AVERAGE((IF(DATOS_[[Sexo]:[Sexo]]=$B47,IF(DATOS_[[AGRUP. CLAS. PROF.]:[AGRUP. CLAS. PROF.]]=$B45,IF(DATOS_[[Check Periodo Ref.]:[Check Periodo Ref.]]="Dentro",IF(DATOS_[[Check Equiparado]:[Check Equiparado]]="Sí",IF(DATOS!AI$4="Sí",(1/DATOS_[[% anualiz]:[% anualiz]]),1)*IF(DATOS!AI$5="Sí",1/DATOS_[[% normaliz]:[% normaliz]],1)*(DATOS_[Conc.Sal.05])))))))), 0)</f>
        <v>0</v>
      </c>
      <c r="O47" s="302" t="n">
        <f aca="false" t="array" ref="O47:O47">IFERROR( (AVERAGE((IF(DATOS_[[Sexo]:[Sexo]]=$B47,IF(DATOS_[[AGRUP. CLAS. PROF.]:[AGRUP. CLAS. PROF.]]=$B45,IF(DATOS_[[Check Periodo Ref.]:[Check Periodo Ref.]]="Dentro",IF(DATOS_[[Check Equiparado]:[Check Equiparado]]="Sí",IF(DATOS!AJ$4="Sí",(1/DATOS_[[% anualiz]:[% anualiz]]),1)*IF(DATOS!AJ$5="Sí",1/DATOS_[[% normaliz]:[% normaliz]],1)*(DATOS_[Conc.Sal.06])))))))), 0)</f>
        <v>0</v>
      </c>
      <c r="P47" s="302" t="n">
        <f aca="false" t="array" ref="P47:P47">IFERROR( (AVERAGE((IF(DATOS_[[Sexo]:[Sexo]]=$B47,IF(DATOS_[[AGRUP. CLAS. PROF.]:[AGRUP. CLAS. PROF.]]=$B45,IF(DATOS_[[Check Periodo Ref.]:[Check Periodo Ref.]]="Dentro",IF(DATOS_[[Check Equiparado]:[Check Equiparado]]="Sí",IF(DATOS!AK$4="Sí",(1/DATOS_[[% anualiz]:[% anualiz]]),1)*IF(DATOS!AK$5="Sí",1/DATOS_[[% normaliz]:[% normaliz]],1)*(DATOS_[Conc.Sal.07])))))))), 0)</f>
        <v>0</v>
      </c>
      <c r="Q47" s="302" t="n">
        <f aca="false" t="array" ref="Q47:Q47">IFERROR( (AVERAGE((IF(DATOS_[[Sexo]:[Sexo]]=$B47,IF(DATOS_[[AGRUP. CLAS. PROF.]:[AGRUP. CLAS. PROF.]]=$B45,IF(DATOS_[[Check Periodo Ref.]:[Check Periodo Ref.]]="Dentro",IF(DATOS_[[Check Equiparado]:[Check Equiparado]]="Sí",IF(DATOS!AL$4="Sí",(1/DATOS_[[% anualiz]:[% anualiz]]),1)*IF(DATOS!AL$5="Sí",1/DATOS_[[% normaliz]:[% normaliz]],1)*(DATOS_[Conc.Sal.08])))))))), 0)</f>
        <v>0</v>
      </c>
      <c r="R47" s="302" t="n">
        <f aca="false" t="array" ref="R47:R47">IFERROR( (AVERAGE((IF(DATOS_[[Sexo]:[Sexo]]=$B47,IF(DATOS_[[AGRUP. CLAS. PROF.]:[AGRUP. CLAS. PROF.]]=$B45,IF(DATOS_[[Check Periodo Ref.]:[Check Periodo Ref.]]="Dentro",IF(DATOS_[[Check Equiparado]:[Check Equiparado]]="Sí",IF(DATOS!AM$4="Sí",(1/DATOS_[[% anualiz]:[% anualiz]]),1)*IF(DATOS!AM$5="Sí",1/DATOS_[[% normaliz]:[% normaliz]],1)*(DATOS_[Conc.Sal.09])))))))), 0)</f>
        <v>0</v>
      </c>
      <c r="S47" s="302" t="n">
        <f aca="false" t="array" ref="S47:S47">IFERROR( (AVERAGE((IF(DATOS_[[Sexo]:[Sexo]]=$B47,IF(DATOS_[[AGRUP. CLAS. PROF.]:[AGRUP. CLAS. PROF.]]=$B45,IF(DATOS_[[Check Periodo Ref.]:[Check Periodo Ref.]]="Dentro",IF(DATOS_[[Check Equiparado]:[Check Equiparado]]="Sí",IF(DATOS!AN$4="Sí",(1/DATOS_[[% anualiz]:[% anualiz]]),1)*IF(DATOS!AN$5="Sí",1/DATOS_[[% normaliz]:[% normaliz]],1)*(DATOS_[Conc.Sal.10])))))))), 0)</f>
        <v>0</v>
      </c>
      <c r="T47" s="302" t="n">
        <f aca="false" t="array" ref="T47:T47">IFERROR( (AVERAGE((IF(DATOS_[[Sexo]:[Sexo]]=$B47,IF(DATOS_[[AGRUP. CLAS. PROF.]:[AGRUP. CLAS. PROF.]]=$B45,IF(DATOS_[[Check Periodo Ref.]:[Check Periodo Ref.]]="Dentro",IF(DATOS_[[Check Equiparado]:[Check Equiparado]]="Sí",IF(DATOS!AO$4="Sí",(1/DATOS_[[% anualiz]:[% anualiz]]),1)*IF(DATOS!AO$5="Sí",1/DATOS_[[% normaliz]:[% normaliz]],1)*(DATOS_[Conc.Sal.11])))))))), 0)</f>
        <v>0</v>
      </c>
      <c r="U47" s="302" t="n">
        <f aca="false" t="array" ref="U47:U47">IFERROR( (AVERAGE((IF(DATOS_[[Sexo]:[Sexo]]=$B47,IF(DATOS_[[AGRUP. CLAS. PROF.]:[AGRUP. CLAS. PROF.]]=$B45,IF(DATOS_[[Check Periodo Ref.]:[Check Periodo Ref.]]="Dentro",IF(DATOS_[[Check Equiparado]:[Check Equiparado]]="Sí",IF(DATOS!AP$4="Sí",(1/DATOS_[[% anualiz]:[% anualiz]]),1)*IF(DATOS!AP$5="Sí",1/DATOS_[[% normaliz]:[% normaliz]],1)*(DATOS_[Conc.Sal.12])))))))), 0)</f>
        <v>0</v>
      </c>
      <c r="V47" s="302" t="n">
        <f aca="false" t="array" ref="V47:V47">IFERROR( (AVERAGE((IF(DATOS_[[Sexo]:[Sexo]]=$B47,IF(DATOS_[[AGRUP. CLAS. PROF.]:[AGRUP. CLAS. PROF.]]=$B45,IF(DATOS_[[Check Periodo Ref.]:[Check Periodo Ref.]]="Dentro",IF(DATOS_[[Check Equiparado]:[Check Equiparado]]="Sí",IF(DATOS!AQ$4="Sí",(1/DATOS_[[% anualiz]:[% anualiz]]),1)*IF(DATOS!AQ$5="Sí",1/DATOS_[[% normaliz]:[% normaliz]],1)*(DATOS_[Conc.Sal.13])))))))), 0)</f>
        <v>0</v>
      </c>
      <c r="W47" s="302" t="n">
        <f aca="false" t="array" ref="W47:W47">IFERROR( (AVERAGE((IF(DATOS_[[Sexo]:[Sexo]]=$B47,IF(DATOS_[[AGRUP. CLAS. PROF.]:[AGRUP. CLAS. PROF.]]=$B45,IF(DATOS_[[Check Periodo Ref.]:[Check Periodo Ref.]]="Dentro",IF(DATOS_[[Check Equiparado]:[Check Equiparado]]="Sí",IF(DATOS!AR$4="Sí",(1/DATOS_[[% anualiz]:[% anualiz]]),1)*IF(DATOS!AR$5="Sí",1/DATOS_[[% normaliz]:[% normaliz]],1)*(DATOS_[Conc.Sal.14])))))))), 0)</f>
        <v>0</v>
      </c>
      <c r="X47" s="302" t="n">
        <f aca="false" t="array" ref="X47:X47">IFERROR( (AVERAGE((IF(DATOS_[[Sexo]:[Sexo]]=$B47,IF(DATOS_[[AGRUP. CLAS. PROF.]:[AGRUP. CLAS. PROF.]]=$B45,IF(DATOS_[[Check Periodo Ref.]:[Check Periodo Ref.]]="Dentro",IF(DATOS_[[Check Equiparado]:[Check Equiparado]]="Sí",IF(DATOS!AS$4="Sí",(1/DATOS_[[% anualiz]:[% anualiz]]),1)*IF(DATOS!AS$5="Sí",1/DATOS_[[% normaliz]:[% normaliz]],1)*(DATOS_[Conc.Sal.15])))))))), 0)</f>
        <v>0</v>
      </c>
      <c r="Y47" s="302" t="n">
        <f aca="false" t="array" ref="Y47:Y47">IFERROR( (AVERAGE((IF(DATOS_[[Sexo]:[Sexo]]=$B47,IF(DATOS_[[AGRUP. CLAS. PROF.]:[AGRUP. CLAS. PROF.]]=$B45,IF(DATOS_[[Check Periodo Ref.]:[Check Periodo Ref.]]="Dentro",IF(DATOS_[[Check Equiparado]:[Check Equiparado]]="Sí",IF(DATOS!AT$4="Sí",(1/DATOS_[[% anualiz]:[% anualiz]]),1)*IF(DATOS!AT$5="Sí",1/DATOS_[[% normaliz]:[% normaliz]],1)*(DATOS_[Conc.Sal.16])))))))), 0)</f>
        <v>0</v>
      </c>
      <c r="Z47" s="302" t="n">
        <f aca="false" t="array" ref="Z47:Z47">IFERROR( (AVERAGE((IF(DATOS_[[Sexo]:[Sexo]]=$B47,IF(DATOS_[[AGRUP. CLAS. PROF.]:[AGRUP. CLAS. PROF.]]=$B45,IF(DATOS_[[Check Periodo Ref.]:[Check Periodo Ref.]]="Dentro",IF(DATOS_[[Check Equiparado]:[Check Equiparado]]="Sí",IF(DATOS!AU$4="Sí",(1/DATOS_[[% anualiz]:[% anualiz]]),1)*IF(DATOS!AU$5="Sí",1/DATOS_[[% normaliz]:[% normaliz]],1)*(DATOS_[Conc.Sal.17])))))))), 0)</f>
        <v>0</v>
      </c>
      <c r="AA47" s="302" t="n">
        <f aca="false" t="array" ref="AA47:AA47">IFERROR( (AVERAGE((IF(DATOS_[[Sexo]:[Sexo]]=$B47,IF(DATOS_[[AGRUP. CLAS. PROF.]:[AGRUP. CLAS. PROF.]]=$B45,IF(DATOS_[[Check Periodo Ref.]:[Check Periodo Ref.]]="Dentro",IF(DATOS_[[Check Equiparado]:[Check Equiparado]]="Sí",IF(DATOS!AV$4="Sí",(1/DATOS_[[% anualiz]:[% anualiz]]),1)*IF(DATOS!AV$5="Sí",1/DATOS_[[% normaliz]:[% normaliz]],1)*(DATOS_[Conc.Sal.18])))))))), 0)</f>
        <v>0</v>
      </c>
      <c r="AB47" s="302" t="n">
        <f aca="false" t="array" ref="AB47:AB47">IFERROR( (AVERAGE((IF(DATOS_[[Sexo]:[Sexo]]=$B47,IF(DATOS_[[AGRUP. CLAS. PROF.]:[AGRUP. CLAS. PROF.]]=$B45,IF(DATOS_[[Check Periodo Ref.]:[Check Periodo Ref.]]="Dentro",IF(DATOS_[[Check Equiparado]:[Check Equiparado]]="Sí",IF(DATOS!AW$4="Sí",(1/DATOS_[[% anualiz]:[% anualiz]]),1)*IF(DATOS!AW$5="Sí",1/DATOS_[[% normaliz]:[% normaliz]],1)*(DATOS_[Conc.Sal.19])))))))), 0)</f>
        <v>0</v>
      </c>
      <c r="AC47" s="302" t="n">
        <f aca="false" t="array" ref="AC47:AC47">IFERROR( (AVERAGE((IF(DATOS_[[Sexo]:[Sexo]]=$B47,IF(DATOS_[[AGRUP. CLAS. PROF.]:[AGRUP. CLAS. PROF.]]=$B45,IF(DATOS_[[Check Periodo Ref.]:[Check Periodo Ref.]]="Dentro",IF(DATOS_[[Check Equiparado]:[Check Equiparado]]="Sí",IF(DATOS!AX$4="Sí",(1/DATOS_[[% anualiz]:[% anualiz]]),1)*IF(DATOS!AX$5="Sí",1/DATOS_[[% normaliz]:[% normaliz]],1)*(DATOS_[Conc.Sal.20])))))))), 0)</f>
        <v>0</v>
      </c>
      <c r="AD47" s="302" t="n">
        <f aca="false" t="array" ref="AD47:AD47">IFERROR( (AVERAGE((IF(DATOS_[[Sexo]:[Sexo]]=$B47,IF(DATOS_[[AGRUP. CLAS. PROF.]:[AGRUP. CLAS. PROF.]]=$B45,IF(DATOS_[[Check Periodo Ref.]:[Check Periodo Ref.]]="Dentro",IF(DATOS_[[Check Equiparado]:[Check Equiparado]]="Sí",IF(DATOS!AY$4="Sí",(1/DATOS_[[% anualiz]:[% anualiz]]),1)*IF(DATOS!AY$5="Sí",1/DATOS_[[% normaliz]:[% normaliz]],1)*(DATOS_[Conc.Sal.21])))))))), 0)</f>
        <v>0</v>
      </c>
      <c r="AE47" s="302" t="n">
        <f aca="false" t="array" ref="AE47:AE47">IFERROR( (AVERAGE((IF(DATOS_[[Sexo]:[Sexo]]=$B47,IF(DATOS_[[AGRUP. CLAS. PROF.]:[AGRUP. CLAS. PROF.]]=$B45,IF(DATOS_[[Check Periodo Ref.]:[Check Periodo Ref.]]="Dentro",IF(DATOS_[[Check Equiparado]:[Check Equiparado]]="Sí",IF(DATOS!AZ$4="Sí",(1/DATOS_[[% anualiz]:[% anualiz]]),1)*IF(DATOS!AZ$5="Sí",1/DATOS_[[% normaliz]:[% normaliz]],1)*(DATOS_[Conc.Sal.22])))))))), 0)</f>
        <v>0</v>
      </c>
      <c r="AF47" s="302" t="n">
        <f aca="false" t="array" ref="AF47:AF47">IFERROR( (AVERAGE((IF(DATOS_[[Sexo]:[Sexo]]=$B47,IF(DATOS_[[AGRUP. CLAS. PROF.]:[AGRUP. CLAS. PROF.]]=$B45,IF(DATOS_[[Check Periodo Ref.]:[Check Periodo Ref.]]="Dentro",IF(DATOS_[[Check Equiparado]:[Check Equiparado]]="Sí",IF(DATOS!BA$4="Sí",(1/DATOS_[[% anualiz]:[% anualiz]]),1)*IF(DATOS!BA$5="Sí",1/DATOS_[[% normaliz]:[% normaliz]],1)*(DATOS_[Conc.Sal.23])))))))), 0)</f>
        <v>0</v>
      </c>
      <c r="AG47" s="302" t="n">
        <f aca="false" t="array" ref="AG47:AG47">IFERROR( (AVERAGE((IF(DATOS_[[Sexo]:[Sexo]]=$B47,IF(DATOS_[[AGRUP. CLAS. PROF.]:[AGRUP. CLAS. PROF.]]=$B45,IF(DATOS_[[Check Periodo Ref.]:[Check Periodo Ref.]]="Dentro",IF(DATOS_[[Check Equiparado]:[Check Equiparado]]="Sí",IF(DATOS!BB$4="Sí",(1/DATOS_[[% anualiz]:[% anualiz]]),1)*IF(DATOS!BB$5="Sí",1/DATOS_[[% normaliz]:[% normaliz]],1)*(DATOS_[Conc.Sal.24])))))))), 0)</f>
        <v>0</v>
      </c>
      <c r="AH47" s="302" t="n">
        <f aca="false" t="array" ref="AH47:AH47">IFERROR( (AVERAGE((IF(DATOS_[[Sexo]:[Sexo]]=$B47,IF(DATOS_[[AGRUP. CLAS. PROF.]:[AGRUP. CLAS. PROF.]]=$B45,IF(DATOS_[[Check Periodo Ref.]:[Check Periodo Ref.]]="Dentro",IF(DATOS_[[Check Equiparado]:[Check Equiparado]]="Sí",IF(DATOS!BC$4="Sí",(1/DATOS_[[% anualiz]:[% anualiz]]),1)*IF(DATOS!BC$5="Sí",1/DATOS_[[% normaliz]:[% normaliz]],1)*(DATOS_[Conc.Sal.25])))))))), 0)</f>
        <v>0</v>
      </c>
      <c r="AI47" s="302" t="n">
        <f aca="false" t="array" ref="AI47:AI47">IFERROR( (AVERAGE((IF(DATOS_[[Sexo]:[Sexo]]=$B47,IF(DATOS_[[AGRUP. CLAS. PROF.]:[AGRUP. CLAS. PROF.]]=$B45,IF(DATOS_[[Check Periodo Ref.]:[Check Periodo Ref.]]="Dentro",IF(DATOS_[[Check Equiparado]:[Check Equiparado]]="Sí",IF(DATOS!BD$4="Sí",(1/DATOS_[[% anualiz]:[% anualiz]]),1)*IF(DATOS!BD$5="Sí",1/DATOS_[[% normaliz]:[% normaliz]],1)*(DATOS_[Conc.Sal.26])))))))), 0)</f>
        <v>0</v>
      </c>
      <c r="AJ47" s="302" t="n">
        <f aca="false" t="array" ref="AJ47:AJ47">IFERROR( (AVERAGE((IF(DATOS_[[Sexo]:[Sexo]]=$B47,IF(DATOS_[[AGRUP. CLAS. PROF.]:[AGRUP. CLAS. PROF.]]=$B45,IF(DATOS_[[Check Periodo Ref.]:[Check Periodo Ref.]]="Dentro",IF(DATOS_[[Check Equiparado]:[Check Equiparado]]="Sí",IF(DATOS!BE$4="Sí",(1/DATOS_[[% anualiz]:[% anualiz]]),1)*IF(DATOS!BE$5="Sí",1/DATOS_[[% normaliz]:[% normaliz]],1)*(DATOS_[Conc.Sal.27])))))))), 0)</f>
        <v>0</v>
      </c>
      <c r="AK47" s="302" t="n">
        <f aca="false" t="array" ref="AK47:AK47">IFERROR( (AVERAGE((IF(DATOS_[[Sexo]:[Sexo]]=$B47,IF(DATOS_[[AGRUP. CLAS. PROF.]:[AGRUP. CLAS. PROF.]]=$B45,IF(DATOS_[[Check Periodo Ref.]:[Check Periodo Ref.]]="Dentro",IF(DATOS_[[Check Equiparado]:[Check Equiparado]]="Sí",IF(DATOS!BF$4="Sí",(1/DATOS_[[% anualiz]:[% anualiz]]),1)*IF(DATOS!BF$5="Sí",1/DATOS_[[% normaliz]:[% normaliz]],1)*(DATOS_[Conc.Sal.28])))))))), 0)</f>
        <v>0</v>
      </c>
      <c r="AL47" s="302" t="n">
        <f aca="false" t="array" ref="AL47:AL47">IFERROR( (AVERAGE((IF(DATOS_[[Sexo]:[Sexo]]=$B47,IF(DATOS_[[AGRUP. CLAS. PROF.]:[AGRUP. CLAS. PROF.]]=$B45,IF(DATOS_[[Check Periodo Ref.]:[Check Periodo Ref.]]="Dentro",IF(DATOS_[[Check Equiparado]:[Check Equiparado]]="Sí",IF(DATOS!BG$4="Sí",(1/DATOS_[[% anualiz]:[% anualiz]]),1)*IF(DATOS!BG$5="Sí",1/DATOS_[[% normaliz]:[% normaliz]],1)*(DATOS_[Conc.Sal.29])))))))), 0)</f>
        <v>0</v>
      </c>
      <c r="AM47" s="302" t="n">
        <f aca="false" t="array" ref="AM47:AM47">IFERROR( (AVERAGE((IF(DATOS_[[Sexo]:[Sexo]]=$B47,IF(DATOS_[[AGRUP. CLAS. PROF.]:[AGRUP. CLAS. PROF.]]=$B45,IF(DATOS_[[Check Periodo Ref.]:[Check Periodo Ref.]]="Dentro",IF(DATOS_[[Check Equiparado]:[Check Equiparado]]="Sí",IF(DATOS!BH$4="Sí",(1/DATOS_[[% anualiz]:[% anualiz]]),1)*IF(DATOS!BH$5="Sí",1/DATOS_[[% normaliz]:[% normaliz]],1)*(DATOS_[Conc.Sal.30])))))))), 0)</f>
        <v>0</v>
      </c>
      <c r="AN47" s="294" t="n">
        <f aca="false" t="array" ref="AN47:AN47">IFERROR( AVERAGE(IF(DATOS_[Sexo]=$B47,IF(DATOS_[[AGRUP. CLAS. PROF.]:[AGRUP. CLAS. PROF.]]=$B45,IF(DATOS_[Check Equiparado]="Sí",IF(DATOS_[Check Periodo Ref.]="Dentro",DATOS_[Tot COMPL.SAL Eq],0))))), 0)</f>
        <v>0</v>
      </c>
      <c r="AO47" s="295" t="n">
        <f aca="false" t="array" ref="AO47:AO47">IFERROR( AVERAGE(IF(DATOS_[Sexo]=$B47,IF(DATOS_[[AGRUP. CLAS. PROF.]:[AGRUP. CLAS. PROF.]]=$B45,IF(DATOS_[Check Equiparado]="Sí",IF(DATOS_[Check Periodo Ref.]="Dentro",DATOS_[TOTAL SALARIO Eq],0))))), 0)</f>
        <v>0</v>
      </c>
      <c r="AP47" s="303" t="n">
        <f aca="false" t="array" ref="AP47:AP47">IFERROR( (AVERAGE((IF(DATOS_[[Sexo]:[Sexo]]=$B47,IF(DATOS_[[AGRUP. CLAS. PROF.]:[AGRUP. CLAS. PROF.]]=$B46,IF(DATOS_[[Check Periodo Ref.]:[Check Periodo Ref.]]="Dentro",IF(DATOS_[[Check Equiparado]:[Check Equiparado]]="Sí",IF(DATOS!BI$4="Sí",(1/DATOS_[[% anualiz]:[% anualiz]]),1)*IF(DATOS!BI$5="Sí",1/DATOS_[[% normaliz]:[% normaliz]],1)*(DATOS_[C.Extra.01])))))))), 0)</f>
        <v>0</v>
      </c>
      <c r="AQ47" s="303" t="n">
        <f aca="false" t="array" ref="AQ47:AQ47">IFERROR( (AVERAGE((IF(DATOS_[[Sexo]:[Sexo]]=$B47,IF(DATOS_[[AGRUP. CLAS. PROF.]:[AGRUP. CLAS. PROF.]]=$B46,IF(DATOS_[[Check Periodo Ref.]:[Check Periodo Ref.]]="Dentro",IF(DATOS_[[Check Equiparado]:[Check Equiparado]]="Sí",IF(DATOS!BJ$4="Sí",(1/DATOS_[[% anualiz]:[% anualiz]]),1)*IF(DATOS!BJ$5="Sí",1/DATOS_[[% normaliz]:[% normaliz]],1)*(DATOS_[C.Extra.02])))))))), 0)</f>
        <v>0</v>
      </c>
      <c r="AR47" s="303" t="n">
        <f aca="false" t="array" ref="AR47:AR47">IFERROR( (AVERAGE((IF(DATOS_[[Sexo]:[Sexo]]=$B47,IF(DATOS_[[AGRUP. CLAS. PROF.]:[AGRUP. CLAS. PROF.]]=$B46,IF(DATOS_[[Check Periodo Ref.]:[Check Periodo Ref.]]="Dentro",IF(DATOS_[[Check Equiparado]:[Check Equiparado]]="Sí",IF(DATOS!BK$4="Sí",(1/DATOS_[[% anualiz]:[% anualiz]]),1)*IF(DATOS!BK$5="Sí",1/DATOS_[[% normaliz]:[% normaliz]],1)*(DATOS_[C.Extra.03])))))))), 0)</f>
        <v>0</v>
      </c>
      <c r="AS47" s="303" t="n">
        <f aca="false" t="array" ref="AS47:AS47">IFERROR( (AVERAGE((IF(DATOS_[[Sexo]:[Sexo]]=$B47,IF(DATOS_[[AGRUP. CLAS. PROF.]:[AGRUP. CLAS. PROF.]]=$B46,IF(DATOS_[[Check Periodo Ref.]:[Check Periodo Ref.]]="Dentro",IF(DATOS_[[Check Equiparado]:[Check Equiparado]]="Sí",IF(DATOS!BL$4="Sí",(1/DATOS_[[% anualiz]:[% anualiz]]),1)*IF(DATOS!BL$5="Sí",1/DATOS_[[% normaliz]:[% normaliz]],1)*(DATOS_[C.Extra.04])))))))), 0)</f>
        <v>0</v>
      </c>
      <c r="AT47" s="303" t="n">
        <f aca="false" t="array" ref="AT47:AT47">IFERROR( (AVERAGE((IF(DATOS_[[Sexo]:[Sexo]]=$B47,IF(DATOS_[[AGRUP. CLAS. PROF.]:[AGRUP. CLAS. PROF.]]=$B46,IF(DATOS_[[Check Periodo Ref.]:[Check Periodo Ref.]]="Dentro",IF(DATOS_[[Check Equiparado]:[Check Equiparado]]="Sí",IF(DATOS!BM$4="Sí",(1/DATOS_[[% anualiz]:[% anualiz]]),1)*IF(DATOS!BM$5="Sí",1/DATOS_[[% normaliz]:[% normaliz]],1)*(DATOS_[C.Extra.05])))))))), 0)</f>
        <v>0</v>
      </c>
      <c r="AU47" s="297" t="n">
        <f aca="false" t="array" ref="AU47:AU47">IFERROR( AVERAGE(IF(DATOS_[Sexo]=$B47,IF(DATOS_[[AGRUP. CLAS. PROF.]:[AGRUP. CLAS. PROF.]]=$B45,IF(DATOS_[Check Equiparado]="Sí",IF(DATOS_[Check Periodo Ref.]="Dentro",DATOS_[Tot Extrasalarial Eq],0))))), 0)</f>
        <v>0</v>
      </c>
      <c r="AV47" s="298" t="n">
        <f aca="false" t="array" ref="AV47:AV47">IFERROR( AVERAGE(IF(DATOS_[Sexo]=$B47,IF(DATOS_[[AGRUP. CLAS. PROF.]:[AGRUP. CLAS. PROF.]]=$B45,IF(DATOS_[Check Equiparado]="Sí",IF(DATOS_[Check Periodo Ref.]="Dentro",DATOS_[TOTAL Retrib Eq],0))))), 0)</f>
        <v>0</v>
      </c>
    </row>
    <row r="48" customFormat="false" ht="15.75" hidden="false" customHeight="false" outlineLevel="0" collapsed="false">
      <c r="A48" s="166" t="str">
        <f aca="false">+A49</f>
        <v>[ocultar]</v>
      </c>
      <c r="B48" s="276" t="s">
        <v>201</v>
      </c>
      <c r="C48" s="277"/>
      <c r="D48" s="278"/>
      <c r="E48" s="278"/>
      <c r="F48" s="278"/>
      <c r="G48" s="278"/>
      <c r="H48" s="278"/>
      <c r="I48" s="279" t="str">
        <f aca="false">IFERROR((I49-I50)/I49,"")</f>
        <v/>
      </c>
      <c r="J48" s="280" t="str">
        <f aca="false">IFERROR((J49-J50)/J49,"")</f>
        <v/>
      </c>
      <c r="K48" s="281" t="str">
        <f aca="false">IFERROR((K49-K50)/K49,"")</f>
        <v/>
      </c>
      <c r="L48" s="281" t="str">
        <f aca="false">IFERROR((L49-L50)/L49,"")</f>
        <v/>
      </c>
      <c r="M48" s="281" t="str">
        <f aca="false">IFERROR((M49-M50)/M49,"")</f>
        <v/>
      </c>
      <c r="N48" s="282" t="str">
        <f aca="false">IFERROR((N49-N50)/N49,"")</f>
        <v/>
      </c>
      <c r="O48" s="283" t="str">
        <f aca="false">IFERROR((O49-O50)/O49,"")</f>
        <v/>
      </c>
      <c r="P48" s="283" t="str">
        <f aca="false">IFERROR((P49-P50)/P49,"")</f>
        <v/>
      </c>
      <c r="Q48" s="283" t="str">
        <f aca="false">IFERROR((Q49-Q50)/Q49,"")</f>
        <v/>
      </c>
      <c r="R48" s="283" t="str">
        <f aca="false">IFERROR((R49-R50)/R49,"")</f>
        <v/>
      </c>
      <c r="S48" s="283" t="str">
        <f aca="false">IFERROR((S49-S50)/S49,"")</f>
        <v/>
      </c>
      <c r="T48" s="283" t="str">
        <f aca="false">IFERROR((T49-T50)/T49,"")</f>
        <v/>
      </c>
      <c r="U48" s="283" t="str">
        <f aca="false">IFERROR((U49-U50)/U49,"")</f>
        <v/>
      </c>
      <c r="V48" s="283" t="str">
        <f aca="false">IFERROR((V49-V50)/V49,"")</f>
        <v/>
      </c>
      <c r="W48" s="283" t="str">
        <f aca="false">IFERROR((W49-W50)/W49,"")</f>
        <v/>
      </c>
      <c r="X48" s="283" t="str">
        <f aca="false">IFERROR((X49-X50)/X49,"")</f>
        <v/>
      </c>
      <c r="Y48" s="283" t="str">
        <f aca="false">IFERROR((Y49-Y50)/Y49,"")</f>
        <v/>
      </c>
      <c r="Z48" s="282" t="str">
        <f aca="false">IFERROR((Z49-Z50)/Z49,"")</f>
        <v/>
      </c>
      <c r="AA48" s="282" t="str">
        <f aca="false">IFERROR((AA49-AA50)/AA49,"")</f>
        <v/>
      </c>
      <c r="AB48" s="282" t="str">
        <f aca="false">IFERROR((AB49-AB50)/AB49,"")</f>
        <v/>
      </c>
      <c r="AC48" s="282" t="str">
        <f aca="false">IFERROR((AC49-AC50)/AC49,"")</f>
        <v/>
      </c>
      <c r="AD48" s="282" t="str">
        <f aca="false">IFERROR((AD49-AD50)/AD49,"")</f>
        <v/>
      </c>
      <c r="AE48" s="282" t="str">
        <f aca="false">IFERROR((AE49-AE50)/AE49,"")</f>
        <v/>
      </c>
      <c r="AF48" s="282" t="str">
        <f aca="false">IFERROR((AF49-AF50)/AF49,"")</f>
        <v/>
      </c>
      <c r="AG48" s="282" t="str">
        <f aca="false">IFERROR((AG49-AG50)/AG49,"")</f>
        <v/>
      </c>
      <c r="AH48" s="282" t="str">
        <f aca="false">IFERROR((AH49-AH50)/AH49,"")</f>
        <v/>
      </c>
      <c r="AI48" s="282" t="str">
        <f aca="false">IFERROR((AI49-AI50)/AI49,"")</f>
        <v/>
      </c>
      <c r="AJ48" s="282" t="str">
        <f aca="false">IFERROR((AJ49-AJ50)/AJ49,"")</f>
        <v/>
      </c>
      <c r="AK48" s="282" t="str">
        <f aca="false">IFERROR((AK49-AK50)/AK49,"")</f>
        <v/>
      </c>
      <c r="AL48" s="282" t="str">
        <f aca="false">IFERROR((AL49-AL50)/AL49,"")</f>
        <v/>
      </c>
      <c r="AM48" s="282" t="str">
        <f aca="false">IFERROR((AM49-AM50)/AM49,"")</f>
        <v/>
      </c>
      <c r="AN48" s="284" t="str">
        <f aca="false">IFERROR((AN49-AN50)/AN49,"")</f>
        <v/>
      </c>
      <c r="AO48" s="285" t="str">
        <f aca="false">IFERROR((AO49-AO50)/AO49,"")</f>
        <v/>
      </c>
      <c r="AP48" s="286" t="str">
        <f aca="false">IFERROR((AP49-AP50)/AP49,"")</f>
        <v/>
      </c>
      <c r="AQ48" s="286" t="str">
        <f aca="false">IFERROR((AQ49-AQ50)/AQ49,"")</f>
        <v/>
      </c>
      <c r="AR48" s="286" t="str">
        <f aca="false">IFERROR((AR49-AR50)/AR49,"")</f>
        <v/>
      </c>
      <c r="AS48" s="286" t="str">
        <f aca="false">IFERROR((AS49-AS50)/AS49,"")</f>
        <v/>
      </c>
      <c r="AT48" s="286" t="str">
        <f aca="false">IFERROR((AT49-AT50)/AT49,"")</f>
        <v/>
      </c>
      <c r="AU48" s="287" t="str">
        <f aca="false">IFERROR((AU49-AU50)/AU49,"")</f>
        <v/>
      </c>
      <c r="AV48" s="288" t="str">
        <f aca="false">IFERROR((AV49-AV50)/AV49,"")</f>
        <v/>
      </c>
    </row>
    <row r="49" customFormat="false" ht="14.25" hidden="false" customHeight="false" outlineLevel="0" collapsed="false">
      <c r="A49" s="166" t="str">
        <f aca="false">+IF(C49+C50=0,"[ocultar]","")</f>
        <v>[ocultar]</v>
      </c>
      <c r="B49" s="289" t="s">
        <v>371</v>
      </c>
      <c r="C49" s="290" t="n">
        <f aca="false" t="array" ref="C49:C49">SUM(IF($B49=DATOS_[Sexo], IF($B48=DATOS_[AGRUP. CLAS. PROF.], IF("Dentro"=DATOS_[Check Periodo Ref.], 1/(COUNTIFS(DATOS_[Sexo],$B49,DATOS_[AGRUP. CLAS. PROF.],$B48,DATOS_[Check Periodo Ref.],"Dentro",DATOS_[id],DATOS_[id]))))))</f>
        <v>0</v>
      </c>
      <c r="D49" s="291" t="n">
        <f aca="false">COUNTIFS(DATOS_[AGRUP. CLAS. PROF.],$B48,DATOS_[Sexo],$B49,DATOS_[Check Periodo Ref.],"Dentro")</f>
        <v>0</v>
      </c>
      <c r="E49" s="291" t="n">
        <f aca="false">COUNTIFS(DATOS_[AGRUP. CLAS. PROF.],$B48,DATOS_[Sexo],$B49,DATOS_[Check Periodo Ref.],"Dentro",DATOS_[Check Nº SC Norm],"Sí")</f>
        <v>0</v>
      </c>
      <c r="F49" s="291" t="n">
        <f aca="false">COUNTIFS(DATOS_[AGRUP. CLAS. PROF.],$B48,DATOS_[Sexo],$B49,DATOS_[Check Periodo Ref.],"Dentro",DATOS_[Check Nº SC Anualiz],"Sí")</f>
        <v>0</v>
      </c>
      <c r="G49" s="291" t="n">
        <f aca="false">COUNTIFS(DATOS_[AGRUP. CLAS. PROF.],$B48,DATOS_[Sexo],$B49,DATOS_[Check Periodo Ref.],"Dentro",DATOS_[Check Nº SC Norm y Anualiz],"Sí")</f>
        <v>0</v>
      </c>
      <c r="H49" s="291" t="n">
        <f aca="false">COUNTIFS(DATOS_[AGRUP. CLAS. PROF.],$B48,DATOS_[Sexo],$B49,DATOS_[Check Periodo Ref.],"Dentro",DATOS_[Check Equiparación],"Sí")</f>
        <v>0</v>
      </c>
      <c r="I49" s="292" t="n">
        <f aca="false" t="array" ref="I49:I49">IFERROR( AVERAGE(IF(DATOS_[Sexo]=$B49,IF(DATOS_[[AGRUP. CLAS. PROF.]:[AGRUP. CLAS. PROF.]]=$B48,IF(DATOS_[Check Equiparado]="Sí",IF(DATOS_[Check Periodo Ref.]="Dentro",DATOS_[SALARIO BASE Eq],0))))), 0)</f>
        <v>0</v>
      </c>
      <c r="J49" s="302" t="n">
        <f aca="false" t="array" ref="J49:J49">IFERROR( (AVERAGE((IF(DATOS_[[Sexo]:[Sexo]]=$B49,IF(DATOS_[[AGRUP. CLAS. PROF.]:[AGRUP. CLAS. PROF.]]=$B48,IF(DATOS_[[Check Periodo Ref.]:[Check Periodo Ref.]]="Dentro",IF(DATOS_[[Check Equiparado]:[Check Equiparado]]="Sí",IF(DATOS!AE$4="Sí",(1/DATOS_[[% anualiz]:[% anualiz]]),1)*IF(DATOS!AE$5="Sí",1/DATOS_[[% normaliz]:[% normaliz]],1)*(DATOS_[Conc.Sal.01])))))))), 0)</f>
        <v>0</v>
      </c>
      <c r="K49" s="302" t="n">
        <f aca="false" t="array" ref="K49:K49">IFERROR( (AVERAGE((IF(DATOS_[[Sexo]:[Sexo]]=$B49,IF(DATOS_[[AGRUP. CLAS. PROF.]:[AGRUP. CLAS. PROF.]]=$B48,IF(DATOS_[[Check Periodo Ref.]:[Check Periodo Ref.]]="Dentro",IF(DATOS_[[Check Equiparado]:[Check Equiparado]]="Sí",IF(DATOS!AF$4="Sí",(1/DATOS_[[% anualiz]:[% anualiz]]),1)*IF(DATOS!AF$5="Sí",1/DATOS_[[% normaliz]:[% normaliz]],1)*(DATOS_[Conc.Sal.02])))))))), 0)</f>
        <v>0</v>
      </c>
      <c r="L49" s="302" t="n">
        <f aca="false" t="array" ref="L49:L49">IFERROR( (AVERAGE((IF(DATOS_[[Sexo]:[Sexo]]=$B49,IF(DATOS_[[AGRUP. CLAS. PROF.]:[AGRUP. CLAS. PROF.]]=$B48,IF(DATOS_[[Check Periodo Ref.]:[Check Periodo Ref.]]="Dentro",IF(DATOS_[[Check Equiparado]:[Check Equiparado]]="Sí",IF(DATOS!AG$4="Sí",(1/DATOS_[[% anualiz]:[% anualiz]]),1)*IF(DATOS!AG$5="Sí",1/DATOS_[[% normaliz]:[% normaliz]],1)*(DATOS_[Conc.Sal.03])))))))), 0)</f>
        <v>0</v>
      </c>
      <c r="M49" s="302" t="n">
        <f aca="false" t="array" ref="M49:M49">IFERROR( (AVERAGE((IF(DATOS_[[Sexo]:[Sexo]]=$B49,IF(DATOS_[[AGRUP. CLAS. PROF.]:[AGRUP. CLAS. PROF.]]=$B48,IF(DATOS_[[Check Periodo Ref.]:[Check Periodo Ref.]]="Dentro",IF(DATOS_[[Check Equiparado]:[Check Equiparado]]="Sí",IF(DATOS!AH$4="Sí",(1/DATOS_[[% anualiz]:[% anualiz]]),1)*IF(DATOS!AH$5="Sí",1/DATOS_[[% normaliz]:[% normaliz]],1)*(DATOS_[Conc.Sal.04])))))))), 0)</f>
        <v>0</v>
      </c>
      <c r="N49" s="302" t="n">
        <f aca="false" t="array" ref="N49:N49">IFERROR( (AVERAGE((IF(DATOS_[[Sexo]:[Sexo]]=$B49,IF(DATOS_[[AGRUP. CLAS. PROF.]:[AGRUP. CLAS. PROF.]]=$B48,IF(DATOS_[[Check Periodo Ref.]:[Check Periodo Ref.]]="Dentro",IF(DATOS_[[Check Equiparado]:[Check Equiparado]]="Sí",IF(DATOS!AI$4="Sí",(1/DATOS_[[% anualiz]:[% anualiz]]),1)*IF(DATOS!AI$5="Sí",1/DATOS_[[% normaliz]:[% normaliz]],1)*(DATOS_[Conc.Sal.05])))))))), 0)</f>
        <v>0</v>
      </c>
      <c r="O49" s="302" t="n">
        <f aca="false" t="array" ref="O49:O49">IFERROR( (AVERAGE((IF(DATOS_[[Sexo]:[Sexo]]=$B49,IF(DATOS_[[AGRUP. CLAS. PROF.]:[AGRUP. CLAS. PROF.]]=$B48,IF(DATOS_[[Check Periodo Ref.]:[Check Periodo Ref.]]="Dentro",IF(DATOS_[[Check Equiparado]:[Check Equiparado]]="Sí",IF(DATOS!AJ$4="Sí",(1/DATOS_[[% anualiz]:[% anualiz]]),1)*IF(DATOS!AJ$5="Sí",1/DATOS_[[% normaliz]:[% normaliz]],1)*(DATOS_[Conc.Sal.06])))))))), 0)</f>
        <v>0</v>
      </c>
      <c r="P49" s="302" t="n">
        <f aca="false" t="array" ref="P49:P49">IFERROR( (AVERAGE((IF(DATOS_[[Sexo]:[Sexo]]=$B49,IF(DATOS_[[AGRUP. CLAS. PROF.]:[AGRUP. CLAS. PROF.]]=$B48,IF(DATOS_[[Check Periodo Ref.]:[Check Periodo Ref.]]="Dentro",IF(DATOS_[[Check Equiparado]:[Check Equiparado]]="Sí",IF(DATOS!AK$4="Sí",(1/DATOS_[[% anualiz]:[% anualiz]]),1)*IF(DATOS!AK$5="Sí",1/DATOS_[[% normaliz]:[% normaliz]],1)*(DATOS_[Conc.Sal.07])))))))), 0)</f>
        <v>0</v>
      </c>
      <c r="Q49" s="302" t="n">
        <f aca="false" t="array" ref="Q49:Q49">IFERROR( (AVERAGE((IF(DATOS_[[Sexo]:[Sexo]]=$B49,IF(DATOS_[[AGRUP. CLAS. PROF.]:[AGRUP. CLAS. PROF.]]=$B48,IF(DATOS_[[Check Periodo Ref.]:[Check Periodo Ref.]]="Dentro",IF(DATOS_[[Check Equiparado]:[Check Equiparado]]="Sí",IF(DATOS!AL$4="Sí",(1/DATOS_[[% anualiz]:[% anualiz]]),1)*IF(DATOS!AL$5="Sí",1/DATOS_[[% normaliz]:[% normaliz]],1)*(DATOS_[Conc.Sal.08])))))))), 0)</f>
        <v>0</v>
      </c>
      <c r="R49" s="302" t="n">
        <f aca="false" t="array" ref="R49:R49">IFERROR( (AVERAGE((IF(DATOS_[[Sexo]:[Sexo]]=$B49,IF(DATOS_[[AGRUP. CLAS. PROF.]:[AGRUP. CLAS. PROF.]]=$B48,IF(DATOS_[[Check Periodo Ref.]:[Check Periodo Ref.]]="Dentro",IF(DATOS_[[Check Equiparado]:[Check Equiparado]]="Sí",IF(DATOS!AM$4="Sí",(1/DATOS_[[% anualiz]:[% anualiz]]),1)*IF(DATOS!AM$5="Sí",1/DATOS_[[% normaliz]:[% normaliz]],1)*(DATOS_[Conc.Sal.09])))))))), 0)</f>
        <v>0</v>
      </c>
      <c r="S49" s="302" t="n">
        <f aca="false" t="array" ref="S49:S49">IFERROR( (AVERAGE((IF(DATOS_[[Sexo]:[Sexo]]=$B49,IF(DATOS_[[AGRUP. CLAS. PROF.]:[AGRUP. CLAS. PROF.]]=$B48,IF(DATOS_[[Check Periodo Ref.]:[Check Periodo Ref.]]="Dentro",IF(DATOS_[[Check Equiparado]:[Check Equiparado]]="Sí",IF(DATOS!AN$4="Sí",(1/DATOS_[[% anualiz]:[% anualiz]]),1)*IF(DATOS!AN$5="Sí",1/DATOS_[[% normaliz]:[% normaliz]],1)*(DATOS_[Conc.Sal.10])))))))), 0)</f>
        <v>0</v>
      </c>
      <c r="T49" s="302" t="n">
        <f aca="false" t="array" ref="T49:T49">IFERROR( (AVERAGE((IF(DATOS_[[Sexo]:[Sexo]]=$B49,IF(DATOS_[[AGRUP. CLAS. PROF.]:[AGRUP. CLAS. PROF.]]=$B48,IF(DATOS_[[Check Periodo Ref.]:[Check Periodo Ref.]]="Dentro",IF(DATOS_[[Check Equiparado]:[Check Equiparado]]="Sí",IF(DATOS!AO$4="Sí",(1/DATOS_[[% anualiz]:[% anualiz]]),1)*IF(DATOS!AO$5="Sí",1/DATOS_[[% normaliz]:[% normaliz]],1)*(DATOS_[Conc.Sal.11])))))))), 0)</f>
        <v>0</v>
      </c>
      <c r="U49" s="302" t="n">
        <f aca="false" t="array" ref="U49:U49">IFERROR( (AVERAGE((IF(DATOS_[[Sexo]:[Sexo]]=$B49,IF(DATOS_[[AGRUP. CLAS. PROF.]:[AGRUP. CLAS. PROF.]]=$B48,IF(DATOS_[[Check Periodo Ref.]:[Check Periodo Ref.]]="Dentro",IF(DATOS_[[Check Equiparado]:[Check Equiparado]]="Sí",IF(DATOS!AP$4="Sí",(1/DATOS_[[% anualiz]:[% anualiz]]),1)*IF(DATOS!AP$5="Sí",1/DATOS_[[% normaliz]:[% normaliz]],1)*(DATOS_[Conc.Sal.12])))))))), 0)</f>
        <v>0</v>
      </c>
      <c r="V49" s="302" t="n">
        <f aca="false" t="array" ref="V49:V49">IFERROR( (AVERAGE((IF(DATOS_[[Sexo]:[Sexo]]=$B49,IF(DATOS_[[AGRUP. CLAS. PROF.]:[AGRUP. CLAS. PROF.]]=$B48,IF(DATOS_[[Check Periodo Ref.]:[Check Periodo Ref.]]="Dentro",IF(DATOS_[[Check Equiparado]:[Check Equiparado]]="Sí",IF(DATOS!AQ$4="Sí",(1/DATOS_[[% anualiz]:[% anualiz]]),1)*IF(DATOS!AQ$5="Sí",1/DATOS_[[% normaliz]:[% normaliz]],1)*(DATOS_[Conc.Sal.13])))))))), 0)</f>
        <v>0</v>
      </c>
      <c r="W49" s="302" t="n">
        <f aca="false" t="array" ref="W49:W49">IFERROR( (AVERAGE((IF(DATOS_[[Sexo]:[Sexo]]=$B49,IF(DATOS_[[AGRUP. CLAS. PROF.]:[AGRUP. CLAS. PROF.]]=$B48,IF(DATOS_[[Check Periodo Ref.]:[Check Periodo Ref.]]="Dentro",IF(DATOS_[[Check Equiparado]:[Check Equiparado]]="Sí",IF(DATOS!AR$4="Sí",(1/DATOS_[[% anualiz]:[% anualiz]]),1)*IF(DATOS!AR$5="Sí",1/DATOS_[[% normaliz]:[% normaliz]],1)*(DATOS_[Conc.Sal.14])))))))), 0)</f>
        <v>0</v>
      </c>
      <c r="X49" s="302" t="n">
        <f aca="false" t="array" ref="X49:X49">IFERROR( (AVERAGE((IF(DATOS_[[Sexo]:[Sexo]]=$B49,IF(DATOS_[[AGRUP. CLAS. PROF.]:[AGRUP. CLAS. PROF.]]=$B48,IF(DATOS_[[Check Periodo Ref.]:[Check Periodo Ref.]]="Dentro",IF(DATOS_[[Check Equiparado]:[Check Equiparado]]="Sí",IF(DATOS!AS$4="Sí",(1/DATOS_[[% anualiz]:[% anualiz]]),1)*IF(DATOS!AS$5="Sí",1/DATOS_[[% normaliz]:[% normaliz]],1)*(DATOS_[Conc.Sal.15])))))))), 0)</f>
        <v>0</v>
      </c>
      <c r="Y49" s="302" t="n">
        <f aca="false" t="array" ref="Y49:Y49">IFERROR( (AVERAGE((IF(DATOS_[[Sexo]:[Sexo]]=$B49,IF(DATOS_[[AGRUP. CLAS. PROF.]:[AGRUP. CLAS. PROF.]]=$B48,IF(DATOS_[[Check Periodo Ref.]:[Check Periodo Ref.]]="Dentro",IF(DATOS_[[Check Equiparado]:[Check Equiparado]]="Sí",IF(DATOS!AT$4="Sí",(1/DATOS_[[% anualiz]:[% anualiz]]),1)*IF(DATOS!AT$5="Sí",1/DATOS_[[% normaliz]:[% normaliz]],1)*(DATOS_[Conc.Sal.16])))))))), 0)</f>
        <v>0</v>
      </c>
      <c r="Z49" s="302" t="n">
        <f aca="false" t="array" ref="Z49:Z49">IFERROR( (AVERAGE((IF(DATOS_[[Sexo]:[Sexo]]=$B49,IF(DATOS_[[AGRUP. CLAS. PROF.]:[AGRUP. CLAS. PROF.]]=$B48,IF(DATOS_[[Check Periodo Ref.]:[Check Periodo Ref.]]="Dentro",IF(DATOS_[[Check Equiparado]:[Check Equiparado]]="Sí",IF(DATOS!AU$4="Sí",(1/DATOS_[[% anualiz]:[% anualiz]]),1)*IF(DATOS!AU$5="Sí",1/DATOS_[[% normaliz]:[% normaliz]],1)*(DATOS_[Conc.Sal.17])))))))), 0)</f>
        <v>0</v>
      </c>
      <c r="AA49" s="302" t="n">
        <f aca="false" t="array" ref="AA49:AA49">IFERROR( (AVERAGE((IF(DATOS_[[Sexo]:[Sexo]]=$B49,IF(DATOS_[[AGRUP. CLAS. PROF.]:[AGRUP. CLAS. PROF.]]=$B48,IF(DATOS_[[Check Periodo Ref.]:[Check Periodo Ref.]]="Dentro",IF(DATOS_[[Check Equiparado]:[Check Equiparado]]="Sí",IF(DATOS!AV$4="Sí",(1/DATOS_[[% anualiz]:[% anualiz]]),1)*IF(DATOS!AV$5="Sí",1/DATOS_[[% normaliz]:[% normaliz]],1)*(DATOS_[Conc.Sal.18])))))))), 0)</f>
        <v>0</v>
      </c>
      <c r="AB49" s="302" t="n">
        <f aca="false" t="array" ref="AB49:AB49">IFERROR( (AVERAGE((IF(DATOS_[[Sexo]:[Sexo]]=$B49,IF(DATOS_[[AGRUP. CLAS. PROF.]:[AGRUP. CLAS. PROF.]]=$B48,IF(DATOS_[[Check Periodo Ref.]:[Check Periodo Ref.]]="Dentro",IF(DATOS_[[Check Equiparado]:[Check Equiparado]]="Sí",IF(DATOS!AW$4="Sí",(1/DATOS_[[% anualiz]:[% anualiz]]),1)*IF(DATOS!AW$5="Sí",1/DATOS_[[% normaliz]:[% normaliz]],1)*(DATOS_[Conc.Sal.19])))))))), 0)</f>
        <v>0</v>
      </c>
      <c r="AC49" s="302" t="n">
        <f aca="false" t="array" ref="AC49:AC49">IFERROR( (AVERAGE((IF(DATOS_[[Sexo]:[Sexo]]=$B49,IF(DATOS_[[AGRUP. CLAS. PROF.]:[AGRUP. CLAS. PROF.]]=$B48,IF(DATOS_[[Check Periodo Ref.]:[Check Periodo Ref.]]="Dentro",IF(DATOS_[[Check Equiparado]:[Check Equiparado]]="Sí",IF(DATOS!AX$4="Sí",(1/DATOS_[[% anualiz]:[% anualiz]]),1)*IF(DATOS!AX$5="Sí",1/DATOS_[[% normaliz]:[% normaliz]],1)*(DATOS_[Conc.Sal.20])))))))), 0)</f>
        <v>0</v>
      </c>
      <c r="AD49" s="302" t="n">
        <f aca="false" t="array" ref="AD49:AD49">IFERROR( (AVERAGE((IF(DATOS_[[Sexo]:[Sexo]]=$B49,IF(DATOS_[[AGRUP. CLAS. PROF.]:[AGRUP. CLAS. PROF.]]=$B48,IF(DATOS_[[Check Periodo Ref.]:[Check Periodo Ref.]]="Dentro",IF(DATOS_[[Check Equiparado]:[Check Equiparado]]="Sí",IF(DATOS!AY$4="Sí",(1/DATOS_[[% anualiz]:[% anualiz]]),1)*IF(DATOS!AY$5="Sí",1/DATOS_[[% normaliz]:[% normaliz]],1)*(DATOS_[Conc.Sal.21])))))))), 0)</f>
        <v>0</v>
      </c>
      <c r="AE49" s="302" t="n">
        <f aca="false" t="array" ref="AE49:AE49">IFERROR( (AVERAGE((IF(DATOS_[[Sexo]:[Sexo]]=$B49,IF(DATOS_[[AGRUP. CLAS. PROF.]:[AGRUP. CLAS. PROF.]]=$B48,IF(DATOS_[[Check Periodo Ref.]:[Check Periodo Ref.]]="Dentro",IF(DATOS_[[Check Equiparado]:[Check Equiparado]]="Sí",IF(DATOS!AZ$4="Sí",(1/DATOS_[[% anualiz]:[% anualiz]]),1)*IF(DATOS!AZ$5="Sí",1/DATOS_[[% normaliz]:[% normaliz]],1)*(DATOS_[Conc.Sal.22])))))))), 0)</f>
        <v>0</v>
      </c>
      <c r="AF49" s="302" t="n">
        <f aca="false" t="array" ref="AF49:AF49">IFERROR( (AVERAGE((IF(DATOS_[[Sexo]:[Sexo]]=$B49,IF(DATOS_[[AGRUP. CLAS. PROF.]:[AGRUP. CLAS. PROF.]]=$B48,IF(DATOS_[[Check Periodo Ref.]:[Check Periodo Ref.]]="Dentro",IF(DATOS_[[Check Equiparado]:[Check Equiparado]]="Sí",IF(DATOS!BA$4="Sí",(1/DATOS_[[% anualiz]:[% anualiz]]),1)*IF(DATOS!BA$5="Sí",1/DATOS_[[% normaliz]:[% normaliz]],1)*(DATOS_[Conc.Sal.23])))))))), 0)</f>
        <v>0</v>
      </c>
      <c r="AG49" s="302" t="n">
        <f aca="false" t="array" ref="AG49:AG49">IFERROR( (AVERAGE((IF(DATOS_[[Sexo]:[Sexo]]=$B49,IF(DATOS_[[AGRUP. CLAS. PROF.]:[AGRUP. CLAS. PROF.]]=$B48,IF(DATOS_[[Check Periodo Ref.]:[Check Periodo Ref.]]="Dentro",IF(DATOS_[[Check Equiparado]:[Check Equiparado]]="Sí",IF(DATOS!BB$4="Sí",(1/DATOS_[[% anualiz]:[% anualiz]]),1)*IF(DATOS!BB$5="Sí",1/DATOS_[[% normaliz]:[% normaliz]],1)*(DATOS_[Conc.Sal.24])))))))), 0)</f>
        <v>0</v>
      </c>
      <c r="AH49" s="302" t="n">
        <f aca="false" t="array" ref="AH49:AH49">IFERROR( (AVERAGE((IF(DATOS_[[Sexo]:[Sexo]]=$B49,IF(DATOS_[[AGRUP. CLAS. PROF.]:[AGRUP. CLAS. PROF.]]=$B48,IF(DATOS_[[Check Periodo Ref.]:[Check Periodo Ref.]]="Dentro",IF(DATOS_[[Check Equiparado]:[Check Equiparado]]="Sí",IF(DATOS!BC$4="Sí",(1/DATOS_[[% anualiz]:[% anualiz]]),1)*IF(DATOS!BC$5="Sí",1/DATOS_[[% normaliz]:[% normaliz]],1)*(DATOS_[Conc.Sal.25])))))))), 0)</f>
        <v>0</v>
      </c>
      <c r="AI49" s="302" t="n">
        <f aca="false" t="array" ref="AI49:AI49">IFERROR( (AVERAGE((IF(DATOS_[[Sexo]:[Sexo]]=$B49,IF(DATOS_[[AGRUP. CLAS. PROF.]:[AGRUP. CLAS. PROF.]]=$B48,IF(DATOS_[[Check Periodo Ref.]:[Check Periodo Ref.]]="Dentro",IF(DATOS_[[Check Equiparado]:[Check Equiparado]]="Sí",IF(DATOS!BD$4="Sí",(1/DATOS_[[% anualiz]:[% anualiz]]),1)*IF(DATOS!BD$5="Sí",1/DATOS_[[% normaliz]:[% normaliz]],1)*(DATOS_[Conc.Sal.26])))))))), 0)</f>
        <v>0</v>
      </c>
      <c r="AJ49" s="302" t="n">
        <f aca="false" t="array" ref="AJ49:AJ49">IFERROR( (AVERAGE((IF(DATOS_[[Sexo]:[Sexo]]=$B49,IF(DATOS_[[AGRUP. CLAS. PROF.]:[AGRUP. CLAS. PROF.]]=$B48,IF(DATOS_[[Check Periodo Ref.]:[Check Periodo Ref.]]="Dentro",IF(DATOS_[[Check Equiparado]:[Check Equiparado]]="Sí",IF(DATOS!BE$4="Sí",(1/DATOS_[[% anualiz]:[% anualiz]]),1)*IF(DATOS!BE$5="Sí",1/DATOS_[[% normaliz]:[% normaliz]],1)*(DATOS_[Conc.Sal.27])))))))), 0)</f>
        <v>0</v>
      </c>
      <c r="AK49" s="302" t="n">
        <f aca="false" t="array" ref="AK49:AK49">IFERROR( (AVERAGE((IF(DATOS_[[Sexo]:[Sexo]]=$B49,IF(DATOS_[[AGRUP. CLAS. PROF.]:[AGRUP. CLAS. PROF.]]=$B48,IF(DATOS_[[Check Periodo Ref.]:[Check Periodo Ref.]]="Dentro",IF(DATOS_[[Check Equiparado]:[Check Equiparado]]="Sí",IF(DATOS!BF$4="Sí",(1/DATOS_[[% anualiz]:[% anualiz]]),1)*IF(DATOS!BF$5="Sí",1/DATOS_[[% normaliz]:[% normaliz]],1)*(DATOS_[Conc.Sal.28])))))))), 0)</f>
        <v>0</v>
      </c>
      <c r="AL49" s="302" t="n">
        <f aca="false" t="array" ref="AL49:AL49">IFERROR( (AVERAGE((IF(DATOS_[[Sexo]:[Sexo]]=$B49,IF(DATOS_[[AGRUP. CLAS. PROF.]:[AGRUP. CLAS. PROF.]]=$B48,IF(DATOS_[[Check Periodo Ref.]:[Check Periodo Ref.]]="Dentro",IF(DATOS_[[Check Equiparado]:[Check Equiparado]]="Sí",IF(DATOS!BG$4="Sí",(1/DATOS_[[% anualiz]:[% anualiz]]),1)*IF(DATOS!BG$5="Sí",1/DATOS_[[% normaliz]:[% normaliz]],1)*(DATOS_[Conc.Sal.29])))))))), 0)</f>
        <v>0</v>
      </c>
      <c r="AM49" s="302" t="n">
        <f aca="false" t="array" ref="AM49:AM49">IFERROR( (AVERAGE((IF(DATOS_[[Sexo]:[Sexo]]=$B49,IF(DATOS_[[AGRUP. CLAS. PROF.]:[AGRUP. CLAS. PROF.]]=$B48,IF(DATOS_[[Check Periodo Ref.]:[Check Periodo Ref.]]="Dentro",IF(DATOS_[[Check Equiparado]:[Check Equiparado]]="Sí",IF(DATOS!BH$4="Sí",(1/DATOS_[[% anualiz]:[% anualiz]]),1)*IF(DATOS!BH$5="Sí",1/DATOS_[[% normaliz]:[% normaliz]],1)*(DATOS_[Conc.Sal.30])))))))), 0)</f>
        <v>0</v>
      </c>
      <c r="AN49" s="294" t="n">
        <f aca="false" t="array" ref="AN49:AN49">IFERROR( AVERAGE(IF(DATOS_[Sexo]=$B49,IF(DATOS_[[AGRUP. CLAS. PROF.]:[AGRUP. CLAS. PROF.]]=$B48,IF(DATOS_[Check Equiparado]="Sí",IF(DATOS_[Check Periodo Ref.]="Dentro",DATOS_[Tot COMPL.SAL Eq],0))))), 0)</f>
        <v>0</v>
      </c>
      <c r="AO49" s="295" t="n">
        <f aca="false" t="array" ref="AO49:AO49">IFERROR( AVERAGE(IF(DATOS_[Sexo]=$B49,IF(DATOS_[[AGRUP. CLAS. PROF.]:[AGRUP. CLAS. PROF.]]=$B48,IF(DATOS_[Check Equiparado]="Sí",IF(DATOS_[Check Periodo Ref.]="Dentro",DATOS_[TOTAL SALARIO Eq],0))))), 0)</f>
        <v>0</v>
      </c>
      <c r="AP49" s="303" t="n">
        <f aca="false" t="array" ref="AP49:AP49">IFERROR( (AVERAGE((IF(DATOS_[[Sexo]:[Sexo]]=$B49,IF(DATOS_[[AGRUP. CLAS. PROF.]:[AGRUP. CLAS. PROF.]]=$B48,IF(DATOS_[[Check Periodo Ref.]:[Check Periodo Ref.]]="Dentro",IF(DATOS_[[Check Equiparado]:[Check Equiparado]]="Sí",IF(DATOS!BI$4="Sí",(1/DATOS_[[% anualiz]:[% anualiz]]),1)*IF(DATOS!BI$5="Sí",1/DATOS_[[% normaliz]:[% normaliz]],1)*(DATOS_[C.Extra.01])))))))), 0)</f>
        <v>0</v>
      </c>
      <c r="AQ49" s="303" t="n">
        <f aca="false" t="array" ref="AQ49:AQ49">IFERROR( (AVERAGE((IF(DATOS_[[Sexo]:[Sexo]]=$B49,IF(DATOS_[[AGRUP. CLAS. PROF.]:[AGRUP. CLAS. PROF.]]=$B48,IF(DATOS_[[Check Periodo Ref.]:[Check Periodo Ref.]]="Dentro",IF(DATOS_[[Check Equiparado]:[Check Equiparado]]="Sí",IF(DATOS!BJ$4="Sí",(1/DATOS_[[% anualiz]:[% anualiz]]),1)*IF(DATOS!BJ$5="Sí",1/DATOS_[[% normaliz]:[% normaliz]],1)*(DATOS_[C.Extra.02])))))))), 0)</f>
        <v>0</v>
      </c>
      <c r="AR49" s="303" t="n">
        <f aca="false" t="array" ref="AR49:AR49">IFERROR( (AVERAGE((IF(DATOS_[[Sexo]:[Sexo]]=$B49,IF(DATOS_[[AGRUP. CLAS. PROF.]:[AGRUP. CLAS. PROF.]]=$B48,IF(DATOS_[[Check Periodo Ref.]:[Check Periodo Ref.]]="Dentro",IF(DATOS_[[Check Equiparado]:[Check Equiparado]]="Sí",IF(DATOS!BK$4="Sí",(1/DATOS_[[% anualiz]:[% anualiz]]),1)*IF(DATOS!BK$5="Sí",1/DATOS_[[% normaliz]:[% normaliz]],1)*(DATOS_[C.Extra.03])))))))), 0)</f>
        <v>0</v>
      </c>
      <c r="AS49" s="303" t="n">
        <f aca="false" t="array" ref="AS49:AS49">IFERROR( (AVERAGE((IF(DATOS_[[Sexo]:[Sexo]]=$B49,IF(DATOS_[[AGRUP. CLAS. PROF.]:[AGRUP. CLAS. PROF.]]=$B48,IF(DATOS_[[Check Periodo Ref.]:[Check Periodo Ref.]]="Dentro",IF(DATOS_[[Check Equiparado]:[Check Equiparado]]="Sí",IF(DATOS!BL$4="Sí",(1/DATOS_[[% anualiz]:[% anualiz]]),1)*IF(DATOS!BL$5="Sí",1/DATOS_[[% normaliz]:[% normaliz]],1)*(DATOS_[C.Extra.04])))))))), 0)</f>
        <v>0</v>
      </c>
      <c r="AT49" s="303" t="n">
        <f aca="false" t="array" ref="AT49:AT49">IFERROR( (AVERAGE((IF(DATOS_[[Sexo]:[Sexo]]=$B49,IF(DATOS_[[AGRUP. CLAS. PROF.]:[AGRUP. CLAS. PROF.]]=$B48,IF(DATOS_[[Check Periodo Ref.]:[Check Periodo Ref.]]="Dentro",IF(DATOS_[[Check Equiparado]:[Check Equiparado]]="Sí",IF(DATOS!BM$4="Sí",(1/DATOS_[[% anualiz]:[% anualiz]]),1)*IF(DATOS!BM$5="Sí",1/DATOS_[[% normaliz]:[% normaliz]],1)*(DATOS_[C.Extra.05])))))))), 0)</f>
        <v>0</v>
      </c>
      <c r="AU49" s="297" t="n">
        <f aca="false" t="array" ref="AU49:AU49">IFERROR( AVERAGE(IF(DATOS_[Sexo]=$B49,IF(DATOS_[[AGRUP. CLAS. PROF.]:[AGRUP. CLAS. PROF.]]=$B48,IF(DATOS_[Check Equiparado]="Sí",IF(DATOS_[Check Periodo Ref.]="Dentro",DATOS_[Tot Extrasalarial Eq],0))))), 0)</f>
        <v>0</v>
      </c>
      <c r="AV49" s="298" t="n">
        <f aca="false" t="array" ref="AV49:AV49">IFERROR( AVERAGE(IF(DATOS_[Sexo]=$B49,IF(DATOS_[[AGRUP. CLAS. PROF.]:[AGRUP. CLAS. PROF.]]=$B48,IF(DATOS_[Check Equiparado]="Sí",IF(DATOS_[Check Periodo Ref.]="Dentro",DATOS_[TOTAL Retrib Eq],0))))), 0)</f>
        <v>0</v>
      </c>
    </row>
    <row r="50" customFormat="false" ht="14.25" hidden="false" customHeight="false" outlineLevel="0" collapsed="false">
      <c r="A50" s="166" t="str">
        <f aca="false">+A49</f>
        <v>[ocultar]</v>
      </c>
      <c r="B50" s="289" t="s">
        <v>372</v>
      </c>
      <c r="C50" s="290" t="n">
        <f aca="false" t="array" ref="C50:C50">SUM(IF($B50=DATOS_[Sexo], IF($B48=DATOS_[AGRUP. CLAS. PROF.], IF("Dentro"=DATOS_[Check Periodo Ref.], 1/(COUNTIFS(DATOS_[Sexo],$B50,DATOS_[AGRUP. CLAS. PROF.],$B48,DATOS_[Check Periodo Ref.],"Dentro",DATOS_[id],DATOS_[id]))))))</f>
        <v>0</v>
      </c>
      <c r="D50" s="291" t="n">
        <f aca="false">COUNTIFS(DATOS_[AGRUP. CLAS. PROF.],$B48,DATOS_[Sexo],$B50,DATOS_[Check Periodo Ref.],"Dentro")</f>
        <v>0</v>
      </c>
      <c r="E50" s="291" t="n">
        <f aca="false">COUNTIFS(DATOS_[AGRUP. CLAS. PROF.],$B48,DATOS_[Sexo],$B50,DATOS_[Check Periodo Ref.],"Dentro",DATOS_[Check Nº SC Norm],"Sí")</f>
        <v>0</v>
      </c>
      <c r="F50" s="291" t="n">
        <f aca="false">COUNTIFS(DATOS_[AGRUP. CLAS. PROF.],$B48,DATOS_[Sexo],$B50,DATOS_[Check Periodo Ref.],"Dentro",DATOS_[Check Nº SC Anualiz],"Sí")</f>
        <v>0</v>
      </c>
      <c r="G50" s="291" t="n">
        <f aca="false">COUNTIFS(DATOS_[AGRUP. CLAS. PROF.],$B48,DATOS_[Sexo],$B50,DATOS_[Check Periodo Ref.],"Dentro",DATOS_[Check Nº SC Norm y Anualiz],"Sí")</f>
        <v>0</v>
      </c>
      <c r="H50" s="291" t="n">
        <f aca="false">COUNTIFS(DATOS_[AGRUP. CLAS. PROF.],$B48,DATOS_[Sexo],$B50,DATOS_[Check Periodo Ref.],"Dentro",DATOS_[Check Equiparación],"Sí")</f>
        <v>0</v>
      </c>
      <c r="I50" s="292" t="n">
        <f aca="false" t="array" ref="I50:I50">IFERROR( AVERAGE(IF(DATOS_[Sexo]=$B50,IF(DATOS_[[AGRUP. CLAS. PROF.]:[AGRUP. CLAS. PROF.]]=$B48,IF(DATOS_[Check Equiparado]="Sí",IF(DATOS_[Check Periodo Ref.]="Dentro",DATOS_[SALARIO BASE Eq],0))))), 0)</f>
        <v>0</v>
      </c>
      <c r="J50" s="302" t="n">
        <f aca="false" t="array" ref="J50:J50">IFERROR( (AVERAGE((IF(DATOS_[[Sexo]:[Sexo]]=$B50,IF(DATOS_[[AGRUP. CLAS. PROF.]:[AGRUP. CLAS. PROF.]]=$B48,IF(DATOS_[[Check Periodo Ref.]:[Check Periodo Ref.]]="Dentro",IF(DATOS_[[Check Equiparado]:[Check Equiparado]]="Sí",IF(DATOS!AE$4="Sí",(1/DATOS_[[% anualiz]:[% anualiz]]),1)*IF(DATOS!AE$5="Sí",1/DATOS_[[% normaliz]:[% normaliz]],1)*(DATOS_[Conc.Sal.01])))))))), 0)</f>
        <v>0</v>
      </c>
      <c r="K50" s="302" t="n">
        <f aca="false" t="array" ref="K50:K50">IFERROR( (AVERAGE((IF(DATOS_[[Sexo]:[Sexo]]=$B50,IF(DATOS_[[AGRUP. CLAS. PROF.]:[AGRUP. CLAS. PROF.]]=$B48,IF(DATOS_[[Check Periodo Ref.]:[Check Periodo Ref.]]="Dentro",IF(DATOS_[[Check Equiparado]:[Check Equiparado]]="Sí",IF(DATOS!AF$4="Sí",(1/DATOS_[[% anualiz]:[% anualiz]]),1)*IF(DATOS!AF$5="Sí",1/DATOS_[[% normaliz]:[% normaliz]],1)*(DATOS_[Conc.Sal.02])))))))), 0)</f>
        <v>0</v>
      </c>
      <c r="L50" s="302" t="n">
        <f aca="false" t="array" ref="L50:L50">IFERROR( (AVERAGE((IF(DATOS_[[Sexo]:[Sexo]]=$B50,IF(DATOS_[[AGRUP. CLAS. PROF.]:[AGRUP. CLAS. PROF.]]=$B48,IF(DATOS_[[Check Periodo Ref.]:[Check Periodo Ref.]]="Dentro",IF(DATOS_[[Check Equiparado]:[Check Equiparado]]="Sí",IF(DATOS!AG$4="Sí",(1/DATOS_[[% anualiz]:[% anualiz]]),1)*IF(DATOS!AG$5="Sí",1/DATOS_[[% normaliz]:[% normaliz]],1)*(DATOS_[Conc.Sal.03])))))))), 0)</f>
        <v>0</v>
      </c>
      <c r="M50" s="302" t="n">
        <f aca="false" t="array" ref="M50:M50">IFERROR( (AVERAGE((IF(DATOS_[[Sexo]:[Sexo]]=$B50,IF(DATOS_[[AGRUP. CLAS. PROF.]:[AGRUP. CLAS. PROF.]]=$B48,IF(DATOS_[[Check Periodo Ref.]:[Check Periodo Ref.]]="Dentro",IF(DATOS_[[Check Equiparado]:[Check Equiparado]]="Sí",IF(DATOS!AH$4="Sí",(1/DATOS_[[% anualiz]:[% anualiz]]),1)*IF(DATOS!AH$5="Sí",1/DATOS_[[% normaliz]:[% normaliz]],1)*(DATOS_[Conc.Sal.04])))))))), 0)</f>
        <v>0</v>
      </c>
      <c r="N50" s="302" t="n">
        <f aca="false" t="array" ref="N50:N50">IFERROR( (AVERAGE((IF(DATOS_[[Sexo]:[Sexo]]=$B50,IF(DATOS_[[AGRUP. CLAS. PROF.]:[AGRUP. CLAS. PROF.]]=$B48,IF(DATOS_[[Check Periodo Ref.]:[Check Periodo Ref.]]="Dentro",IF(DATOS_[[Check Equiparado]:[Check Equiparado]]="Sí",IF(DATOS!AI$4="Sí",(1/DATOS_[[% anualiz]:[% anualiz]]),1)*IF(DATOS!AI$5="Sí",1/DATOS_[[% normaliz]:[% normaliz]],1)*(DATOS_[Conc.Sal.05])))))))), 0)</f>
        <v>0</v>
      </c>
      <c r="O50" s="302" t="n">
        <f aca="false" t="array" ref="O50:O50">IFERROR( (AVERAGE((IF(DATOS_[[Sexo]:[Sexo]]=$B50,IF(DATOS_[[AGRUP. CLAS. PROF.]:[AGRUP. CLAS. PROF.]]=$B48,IF(DATOS_[[Check Periodo Ref.]:[Check Periodo Ref.]]="Dentro",IF(DATOS_[[Check Equiparado]:[Check Equiparado]]="Sí",IF(DATOS!AJ$4="Sí",(1/DATOS_[[% anualiz]:[% anualiz]]),1)*IF(DATOS!AJ$5="Sí",1/DATOS_[[% normaliz]:[% normaliz]],1)*(DATOS_[Conc.Sal.06])))))))), 0)</f>
        <v>0</v>
      </c>
      <c r="P50" s="302" t="n">
        <f aca="false" t="array" ref="P50:P50">IFERROR( (AVERAGE((IF(DATOS_[[Sexo]:[Sexo]]=$B50,IF(DATOS_[[AGRUP. CLAS. PROF.]:[AGRUP. CLAS. PROF.]]=$B48,IF(DATOS_[[Check Periodo Ref.]:[Check Periodo Ref.]]="Dentro",IF(DATOS_[[Check Equiparado]:[Check Equiparado]]="Sí",IF(DATOS!AK$4="Sí",(1/DATOS_[[% anualiz]:[% anualiz]]),1)*IF(DATOS!AK$5="Sí",1/DATOS_[[% normaliz]:[% normaliz]],1)*(DATOS_[Conc.Sal.07])))))))), 0)</f>
        <v>0</v>
      </c>
      <c r="Q50" s="302" t="n">
        <f aca="false" t="array" ref="Q50:Q50">IFERROR( (AVERAGE((IF(DATOS_[[Sexo]:[Sexo]]=$B50,IF(DATOS_[[AGRUP. CLAS. PROF.]:[AGRUP. CLAS. PROF.]]=$B48,IF(DATOS_[[Check Periodo Ref.]:[Check Periodo Ref.]]="Dentro",IF(DATOS_[[Check Equiparado]:[Check Equiparado]]="Sí",IF(DATOS!AL$4="Sí",(1/DATOS_[[% anualiz]:[% anualiz]]),1)*IF(DATOS!AL$5="Sí",1/DATOS_[[% normaliz]:[% normaliz]],1)*(DATOS_[Conc.Sal.08])))))))), 0)</f>
        <v>0</v>
      </c>
      <c r="R50" s="302" t="n">
        <f aca="false" t="array" ref="R50:R50">IFERROR( (AVERAGE((IF(DATOS_[[Sexo]:[Sexo]]=$B50,IF(DATOS_[[AGRUP. CLAS. PROF.]:[AGRUP. CLAS. PROF.]]=$B48,IF(DATOS_[[Check Periodo Ref.]:[Check Periodo Ref.]]="Dentro",IF(DATOS_[[Check Equiparado]:[Check Equiparado]]="Sí",IF(DATOS!AM$4="Sí",(1/DATOS_[[% anualiz]:[% anualiz]]),1)*IF(DATOS!AM$5="Sí",1/DATOS_[[% normaliz]:[% normaliz]],1)*(DATOS_[Conc.Sal.09])))))))), 0)</f>
        <v>0</v>
      </c>
      <c r="S50" s="302" t="n">
        <f aca="false" t="array" ref="S50:S50">IFERROR( (AVERAGE((IF(DATOS_[[Sexo]:[Sexo]]=$B50,IF(DATOS_[[AGRUP. CLAS. PROF.]:[AGRUP. CLAS. PROF.]]=$B48,IF(DATOS_[[Check Periodo Ref.]:[Check Periodo Ref.]]="Dentro",IF(DATOS_[[Check Equiparado]:[Check Equiparado]]="Sí",IF(DATOS!AN$4="Sí",(1/DATOS_[[% anualiz]:[% anualiz]]),1)*IF(DATOS!AN$5="Sí",1/DATOS_[[% normaliz]:[% normaliz]],1)*(DATOS_[Conc.Sal.10])))))))), 0)</f>
        <v>0</v>
      </c>
      <c r="T50" s="302" t="n">
        <f aca="false" t="array" ref="T50:T50">IFERROR( (AVERAGE((IF(DATOS_[[Sexo]:[Sexo]]=$B50,IF(DATOS_[[AGRUP. CLAS. PROF.]:[AGRUP. CLAS. PROF.]]=$B48,IF(DATOS_[[Check Periodo Ref.]:[Check Periodo Ref.]]="Dentro",IF(DATOS_[[Check Equiparado]:[Check Equiparado]]="Sí",IF(DATOS!AO$4="Sí",(1/DATOS_[[% anualiz]:[% anualiz]]),1)*IF(DATOS!AO$5="Sí",1/DATOS_[[% normaliz]:[% normaliz]],1)*(DATOS_[Conc.Sal.11])))))))), 0)</f>
        <v>0</v>
      </c>
      <c r="U50" s="302" t="n">
        <f aca="false" t="array" ref="U50:U50">IFERROR( (AVERAGE((IF(DATOS_[[Sexo]:[Sexo]]=$B50,IF(DATOS_[[AGRUP. CLAS. PROF.]:[AGRUP. CLAS. PROF.]]=$B48,IF(DATOS_[[Check Periodo Ref.]:[Check Periodo Ref.]]="Dentro",IF(DATOS_[[Check Equiparado]:[Check Equiparado]]="Sí",IF(DATOS!AP$4="Sí",(1/DATOS_[[% anualiz]:[% anualiz]]),1)*IF(DATOS!AP$5="Sí",1/DATOS_[[% normaliz]:[% normaliz]],1)*(DATOS_[Conc.Sal.12])))))))), 0)</f>
        <v>0</v>
      </c>
      <c r="V50" s="302" t="n">
        <f aca="false" t="array" ref="V50:V50">IFERROR( (AVERAGE((IF(DATOS_[[Sexo]:[Sexo]]=$B50,IF(DATOS_[[AGRUP. CLAS. PROF.]:[AGRUP. CLAS. PROF.]]=$B48,IF(DATOS_[[Check Periodo Ref.]:[Check Periodo Ref.]]="Dentro",IF(DATOS_[[Check Equiparado]:[Check Equiparado]]="Sí",IF(DATOS!AQ$4="Sí",(1/DATOS_[[% anualiz]:[% anualiz]]),1)*IF(DATOS!AQ$5="Sí",1/DATOS_[[% normaliz]:[% normaliz]],1)*(DATOS_[Conc.Sal.13])))))))), 0)</f>
        <v>0</v>
      </c>
      <c r="W50" s="302" t="n">
        <f aca="false" t="array" ref="W50:W50">IFERROR( (AVERAGE((IF(DATOS_[[Sexo]:[Sexo]]=$B50,IF(DATOS_[[AGRUP. CLAS. PROF.]:[AGRUP. CLAS. PROF.]]=$B48,IF(DATOS_[[Check Periodo Ref.]:[Check Periodo Ref.]]="Dentro",IF(DATOS_[[Check Equiparado]:[Check Equiparado]]="Sí",IF(DATOS!AR$4="Sí",(1/DATOS_[[% anualiz]:[% anualiz]]),1)*IF(DATOS!AR$5="Sí",1/DATOS_[[% normaliz]:[% normaliz]],1)*(DATOS_[Conc.Sal.14])))))))), 0)</f>
        <v>0</v>
      </c>
      <c r="X50" s="302" t="n">
        <f aca="false" t="array" ref="X50:X50">IFERROR( (AVERAGE((IF(DATOS_[[Sexo]:[Sexo]]=$B50,IF(DATOS_[[AGRUP. CLAS. PROF.]:[AGRUP. CLAS. PROF.]]=$B48,IF(DATOS_[[Check Periodo Ref.]:[Check Periodo Ref.]]="Dentro",IF(DATOS_[[Check Equiparado]:[Check Equiparado]]="Sí",IF(DATOS!AS$4="Sí",(1/DATOS_[[% anualiz]:[% anualiz]]),1)*IF(DATOS!AS$5="Sí",1/DATOS_[[% normaliz]:[% normaliz]],1)*(DATOS_[Conc.Sal.15])))))))), 0)</f>
        <v>0</v>
      </c>
      <c r="Y50" s="302" t="n">
        <f aca="false" t="array" ref="Y50:Y50">IFERROR( (AVERAGE((IF(DATOS_[[Sexo]:[Sexo]]=$B50,IF(DATOS_[[AGRUP. CLAS. PROF.]:[AGRUP. CLAS. PROF.]]=$B48,IF(DATOS_[[Check Periodo Ref.]:[Check Periodo Ref.]]="Dentro",IF(DATOS_[[Check Equiparado]:[Check Equiparado]]="Sí",IF(DATOS!AT$4="Sí",(1/DATOS_[[% anualiz]:[% anualiz]]),1)*IF(DATOS!AT$5="Sí",1/DATOS_[[% normaliz]:[% normaliz]],1)*(DATOS_[Conc.Sal.16])))))))), 0)</f>
        <v>0</v>
      </c>
      <c r="Z50" s="302" t="n">
        <f aca="false" t="array" ref="Z50:Z50">IFERROR( (AVERAGE((IF(DATOS_[[Sexo]:[Sexo]]=$B50,IF(DATOS_[[AGRUP. CLAS. PROF.]:[AGRUP. CLAS. PROF.]]=$B48,IF(DATOS_[[Check Periodo Ref.]:[Check Periodo Ref.]]="Dentro",IF(DATOS_[[Check Equiparado]:[Check Equiparado]]="Sí",IF(DATOS!AU$4="Sí",(1/DATOS_[[% anualiz]:[% anualiz]]),1)*IF(DATOS!AU$5="Sí",1/DATOS_[[% normaliz]:[% normaliz]],1)*(DATOS_[Conc.Sal.17])))))))), 0)</f>
        <v>0</v>
      </c>
      <c r="AA50" s="302" t="n">
        <f aca="false" t="array" ref="AA50:AA50">IFERROR( (AVERAGE((IF(DATOS_[[Sexo]:[Sexo]]=$B50,IF(DATOS_[[AGRUP. CLAS. PROF.]:[AGRUP. CLAS. PROF.]]=$B48,IF(DATOS_[[Check Periodo Ref.]:[Check Periodo Ref.]]="Dentro",IF(DATOS_[[Check Equiparado]:[Check Equiparado]]="Sí",IF(DATOS!AV$4="Sí",(1/DATOS_[[% anualiz]:[% anualiz]]),1)*IF(DATOS!AV$5="Sí",1/DATOS_[[% normaliz]:[% normaliz]],1)*(DATOS_[Conc.Sal.18])))))))), 0)</f>
        <v>0</v>
      </c>
      <c r="AB50" s="302" t="n">
        <f aca="false" t="array" ref="AB50:AB50">IFERROR( (AVERAGE((IF(DATOS_[[Sexo]:[Sexo]]=$B50,IF(DATOS_[[AGRUP. CLAS. PROF.]:[AGRUP. CLAS. PROF.]]=$B48,IF(DATOS_[[Check Periodo Ref.]:[Check Periodo Ref.]]="Dentro",IF(DATOS_[[Check Equiparado]:[Check Equiparado]]="Sí",IF(DATOS!AW$4="Sí",(1/DATOS_[[% anualiz]:[% anualiz]]),1)*IF(DATOS!AW$5="Sí",1/DATOS_[[% normaliz]:[% normaliz]],1)*(DATOS_[Conc.Sal.19])))))))), 0)</f>
        <v>0</v>
      </c>
      <c r="AC50" s="302" t="n">
        <f aca="false" t="array" ref="AC50:AC50">IFERROR( (AVERAGE((IF(DATOS_[[Sexo]:[Sexo]]=$B50,IF(DATOS_[[AGRUP. CLAS. PROF.]:[AGRUP. CLAS. PROF.]]=$B48,IF(DATOS_[[Check Periodo Ref.]:[Check Periodo Ref.]]="Dentro",IF(DATOS_[[Check Equiparado]:[Check Equiparado]]="Sí",IF(DATOS!AX$4="Sí",(1/DATOS_[[% anualiz]:[% anualiz]]),1)*IF(DATOS!AX$5="Sí",1/DATOS_[[% normaliz]:[% normaliz]],1)*(DATOS_[Conc.Sal.20])))))))), 0)</f>
        <v>0</v>
      </c>
      <c r="AD50" s="302" t="n">
        <f aca="false" t="array" ref="AD50:AD50">IFERROR( (AVERAGE((IF(DATOS_[[Sexo]:[Sexo]]=$B50,IF(DATOS_[[AGRUP. CLAS. PROF.]:[AGRUP. CLAS. PROF.]]=$B48,IF(DATOS_[[Check Periodo Ref.]:[Check Periodo Ref.]]="Dentro",IF(DATOS_[[Check Equiparado]:[Check Equiparado]]="Sí",IF(DATOS!AY$4="Sí",(1/DATOS_[[% anualiz]:[% anualiz]]),1)*IF(DATOS!AY$5="Sí",1/DATOS_[[% normaliz]:[% normaliz]],1)*(DATOS_[Conc.Sal.21])))))))), 0)</f>
        <v>0</v>
      </c>
      <c r="AE50" s="302" t="n">
        <f aca="false" t="array" ref="AE50:AE50">IFERROR( (AVERAGE((IF(DATOS_[[Sexo]:[Sexo]]=$B50,IF(DATOS_[[AGRUP. CLAS. PROF.]:[AGRUP. CLAS. PROF.]]=$B48,IF(DATOS_[[Check Periodo Ref.]:[Check Periodo Ref.]]="Dentro",IF(DATOS_[[Check Equiparado]:[Check Equiparado]]="Sí",IF(DATOS!AZ$4="Sí",(1/DATOS_[[% anualiz]:[% anualiz]]),1)*IF(DATOS!AZ$5="Sí",1/DATOS_[[% normaliz]:[% normaliz]],1)*(DATOS_[Conc.Sal.22])))))))), 0)</f>
        <v>0</v>
      </c>
      <c r="AF50" s="302" t="n">
        <f aca="false" t="array" ref="AF50:AF50">IFERROR( (AVERAGE((IF(DATOS_[[Sexo]:[Sexo]]=$B50,IF(DATOS_[[AGRUP. CLAS. PROF.]:[AGRUP. CLAS. PROF.]]=$B48,IF(DATOS_[[Check Periodo Ref.]:[Check Periodo Ref.]]="Dentro",IF(DATOS_[[Check Equiparado]:[Check Equiparado]]="Sí",IF(DATOS!BA$4="Sí",(1/DATOS_[[% anualiz]:[% anualiz]]),1)*IF(DATOS!BA$5="Sí",1/DATOS_[[% normaliz]:[% normaliz]],1)*(DATOS_[Conc.Sal.23])))))))), 0)</f>
        <v>0</v>
      </c>
      <c r="AG50" s="302" t="n">
        <f aca="false" t="array" ref="AG50:AG50">IFERROR( (AVERAGE((IF(DATOS_[[Sexo]:[Sexo]]=$B50,IF(DATOS_[[AGRUP. CLAS. PROF.]:[AGRUP. CLAS. PROF.]]=$B48,IF(DATOS_[[Check Periodo Ref.]:[Check Periodo Ref.]]="Dentro",IF(DATOS_[[Check Equiparado]:[Check Equiparado]]="Sí",IF(DATOS!BB$4="Sí",(1/DATOS_[[% anualiz]:[% anualiz]]),1)*IF(DATOS!BB$5="Sí",1/DATOS_[[% normaliz]:[% normaliz]],1)*(DATOS_[Conc.Sal.24])))))))), 0)</f>
        <v>0</v>
      </c>
      <c r="AH50" s="302" t="n">
        <f aca="false" t="array" ref="AH50:AH50">IFERROR( (AVERAGE((IF(DATOS_[[Sexo]:[Sexo]]=$B50,IF(DATOS_[[AGRUP. CLAS. PROF.]:[AGRUP. CLAS. PROF.]]=$B48,IF(DATOS_[[Check Periodo Ref.]:[Check Periodo Ref.]]="Dentro",IF(DATOS_[[Check Equiparado]:[Check Equiparado]]="Sí",IF(DATOS!BC$4="Sí",(1/DATOS_[[% anualiz]:[% anualiz]]),1)*IF(DATOS!BC$5="Sí",1/DATOS_[[% normaliz]:[% normaliz]],1)*(DATOS_[Conc.Sal.25])))))))), 0)</f>
        <v>0</v>
      </c>
      <c r="AI50" s="302" t="n">
        <f aca="false" t="array" ref="AI50:AI50">IFERROR( (AVERAGE((IF(DATOS_[[Sexo]:[Sexo]]=$B50,IF(DATOS_[[AGRUP. CLAS. PROF.]:[AGRUP. CLAS. PROF.]]=$B48,IF(DATOS_[[Check Periodo Ref.]:[Check Periodo Ref.]]="Dentro",IF(DATOS_[[Check Equiparado]:[Check Equiparado]]="Sí",IF(DATOS!BD$4="Sí",(1/DATOS_[[% anualiz]:[% anualiz]]),1)*IF(DATOS!BD$5="Sí",1/DATOS_[[% normaliz]:[% normaliz]],1)*(DATOS_[Conc.Sal.26])))))))), 0)</f>
        <v>0</v>
      </c>
      <c r="AJ50" s="302" t="n">
        <f aca="false" t="array" ref="AJ50:AJ50">IFERROR( (AVERAGE((IF(DATOS_[[Sexo]:[Sexo]]=$B50,IF(DATOS_[[AGRUP. CLAS. PROF.]:[AGRUP. CLAS. PROF.]]=$B48,IF(DATOS_[[Check Periodo Ref.]:[Check Periodo Ref.]]="Dentro",IF(DATOS_[[Check Equiparado]:[Check Equiparado]]="Sí",IF(DATOS!BE$4="Sí",(1/DATOS_[[% anualiz]:[% anualiz]]),1)*IF(DATOS!BE$5="Sí",1/DATOS_[[% normaliz]:[% normaliz]],1)*(DATOS_[Conc.Sal.27])))))))), 0)</f>
        <v>0</v>
      </c>
      <c r="AK50" s="302" t="n">
        <f aca="false" t="array" ref="AK50:AK50">IFERROR( (AVERAGE((IF(DATOS_[[Sexo]:[Sexo]]=$B50,IF(DATOS_[[AGRUP. CLAS. PROF.]:[AGRUP. CLAS. PROF.]]=$B48,IF(DATOS_[[Check Periodo Ref.]:[Check Periodo Ref.]]="Dentro",IF(DATOS_[[Check Equiparado]:[Check Equiparado]]="Sí",IF(DATOS!BF$4="Sí",(1/DATOS_[[% anualiz]:[% anualiz]]),1)*IF(DATOS!BF$5="Sí",1/DATOS_[[% normaliz]:[% normaliz]],1)*(DATOS_[Conc.Sal.28])))))))), 0)</f>
        <v>0</v>
      </c>
      <c r="AL50" s="302" t="n">
        <f aca="false" t="array" ref="AL50:AL50">IFERROR( (AVERAGE((IF(DATOS_[[Sexo]:[Sexo]]=$B50,IF(DATOS_[[AGRUP. CLAS. PROF.]:[AGRUP. CLAS. PROF.]]=$B48,IF(DATOS_[[Check Periodo Ref.]:[Check Periodo Ref.]]="Dentro",IF(DATOS_[[Check Equiparado]:[Check Equiparado]]="Sí",IF(DATOS!BG$4="Sí",(1/DATOS_[[% anualiz]:[% anualiz]]),1)*IF(DATOS!BG$5="Sí",1/DATOS_[[% normaliz]:[% normaliz]],1)*(DATOS_[Conc.Sal.29])))))))), 0)</f>
        <v>0</v>
      </c>
      <c r="AM50" s="302" t="n">
        <f aca="false" t="array" ref="AM50:AM50">IFERROR( (AVERAGE((IF(DATOS_[[Sexo]:[Sexo]]=$B50,IF(DATOS_[[AGRUP. CLAS. PROF.]:[AGRUP. CLAS. PROF.]]=$B48,IF(DATOS_[[Check Periodo Ref.]:[Check Periodo Ref.]]="Dentro",IF(DATOS_[[Check Equiparado]:[Check Equiparado]]="Sí",IF(DATOS!BH$4="Sí",(1/DATOS_[[% anualiz]:[% anualiz]]),1)*IF(DATOS!BH$5="Sí",1/DATOS_[[% normaliz]:[% normaliz]],1)*(DATOS_[Conc.Sal.30])))))))), 0)</f>
        <v>0</v>
      </c>
      <c r="AN50" s="294" t="n">
        <f aca="false" t="array" ref="AN50:AN50">IFERROR( AVERAGE(IF(DATOS_[Sexo]=$B50,IF(DATOS_[[AGRUP. CLAS. PROF.]:[AGRUP. CLAS. PROF.]]=$B48,IF(DATOS_[Check Equiparado]="Sí",IF(DATOS_[Check Periodo Ref.]="Dentro",DATOS_[Tot COMPL.SAL Eq],0))))), 0)</f>
        <v>0</v>
      </c>
      <c r="AO50" s="295" t="n">
        <f aca="false" t="array" ref="AO50:AO50">IFERROR( AVERAGE(IF(DATOS_[Sexo]=$B50,IF(DATOS_[[AGRUP. CLAS. PROF.]:[AGRUP. CLAS. PROF.]]=$B48,IF(DATOS_[Check Equiparado]="Sí",IF(DATOS_[Check Periodo Ref.]="Dentro",DATOS_[TOTAL SALARIO Eq],0))))), 0)</f>
        <v>0</v>
      </c>
      <c r="AP50" s="303" t="n">
        <f aca="false" t="array" ref="AP50:AP50">IFERROR( (AVERAGE((IF(DATOS_[[Sexo]:[Sexo]]=$B50,IF(DATOS_[[AGRUP. CLAS. PROF.]:[AGRUP. CLAS. PROF.]]=$B49,IF(DATOS_[[Check Periodo Ref.]:[Check Periodo Ref.]]="Dentro",IF(DATOS_[[Check Equiparado]:[Check Equiparado]]="Sí",IF(DATOS!BI$4="Sí",(1/DATOS_[[% anualiz]:[% anualiz]]),1)*IF(DATOS!BI$5="Sí",1/DATOS_[[% normaliz]:[% normaliz]],1)*(DATOS_[C.Extra.01])))))))), 0)</f>
        <v>0</v>
      </c>
      <c r="AQ50" s="303" t="n">
        <f aca="false" t="array" ref="AQ50:AQ50">IFERROR( (AVERAGE((IF(DATOS_[[Sexo]:[Sexo]]=$B50,IF(DATOS_[[AGRUP. CLAS. PROF.]:[AGRUP. CLAS. PROF.]]=$B49,IF(DATOS_[[Check Periodo Ref.]:[Check Periodo Ref.]]="Dentro",IF(DATOS_[[Check Equiparado]:[Check Equiparado]]="Sí",IF(DATOS!BJ$4="Sí",(1/DATOS_[[% anualiz]:[% anualiz]]),1)*IF(DATOS!BJ$5="Sí",1/DATOS_[[% normaliz]:[% normaliz]],1)*(DATOS_[C.Extra.02])))))))), 0)</f>
        <v>0</v>
      </c>
      <c r="AR50" s="303" t="n">
        <f aca="false" t="array" ref="AR50:AR50">IFERROR( (AVERAGE((IF(DATOS_[[Sexo]:[Sexo]]=$B50,IF(DATOS_[[AGRUP. CLAS. PROF.]:[AGRUP. CLAS. PROF.]]=$B49,IF(DATOS_[[Check Periodo Ref.]:[Check Periodo Ref.]]="Dentro",IF(DATOS_[[Check Equiparado]:[Check Equiparado]]="Sí",IF(DATOS!BK$4="Sí",(1/DATOS_[[% anualiz]:[% anualiz]]),1)*IF(DATOS!BK$5="Sí",1/DATOS_[[% normaliz]:[% normaliz]],1)*(DATOS_[C.Extra.03])))))))), 0)</f>
        <v>0</v>
      </c>
      <c r="AS50" s="303" t="n">
        <f aca="false" t="array" ref="AS50:AS50">IFERROR( (AVERAGE((IF(DATOS_[[Sexo]:[Sexo]]=$B50,IF(DATOS_[[AGRUP. CLAS. PROF.]:[AGRUP. CLAS. PROF.]]=$B49,IF(DATOS_[[Check Periodo Ref.]:[Check Periodo Ref.]]="Dentro",IF(DATOS_[[Check Equiparado]:[Check Equiparado]]="Sí",IF(DATOS!BL$4="Sí",(1/DATOS_[[% anualiz]:[% anualiz]]),1)*IF(DATOS!BL$5="Sí",1/DATOS_[[% normaliz]:[% normaliz]],1)*(DATOS_[C.Extra.04])))))))), 0)</f>
        <v>0</v>
      </c>
      <c r="AT50" s="303" t="n">
        <f aca="false" t="array" ref="AT50:AT50">IFERROR( (AVERAGE((IF(DATOS_[[Sexo]:[Sexo]]=$B50,IF(DATOS_[[AGRUP. CLAS. PROF.]:[AGRUP. CLAS. PROF.]]=$B49,IF(DATOS_[[Check Periodo Ref.]:[Check Periodo Ref.]]="Dentro",IF(DATOS_[[Check Equiparado]:[Check Equiparado]]="Sí",IF(DATOS!BM$4="Sí",(1/DATOS_[[% anualiz]:[% anualiz]]),1)*IF(DATOS!BM$5="Sí",1/DATOS_[[% normaliz]:[% normaliz]],1)*(DATOS_[C.Extra.05])))))))), 0)</f>
        <v>0</v>
      </c>
      <c r="AU50" s="297" t="n">
        <f aca="false" t="array" ref="AU50:AU50">IFERROR( AVERAGE(IF(DATOS_[Sexo]=$B50,IF(DATOS_[[AGRUP. CLAS. PROF.]:[AGRUP. CLAS. PROF.]]=$B48,IF(DATOS_[Check Equiparado]="Sí",IF(DATOS_[Check Periodo Ref.]="Dentro",DATOS_[Tot Extrasalarial Eq],0))))), 0)</f>
        <v>0</v>
      </c>
      <c r="AV50" s="298" t="n">
        <f aca="false" t="array" ref="AV50:AV50">IFERROR( AVERAGE(IF(DATOS_[Sexo]=$B50,IF(DATOS_[[AGRUP. CLAS. PROF.]:[AGRUP. CLAS. PROF.]]=$B48,IF(DATOS_[Check Equiparado]="Sí",IF(DATOS_[Check Periodo Ref.]="Dentro",DATOS_[TOTAL Retrib Eq],0))))), 0)</f>
        <v>0</v>
      </c>
    </row>
    <row r="51" customFormat="false" ht="15.75" hidden="false" customHeight="false" outlineLevel="0" collapsed="false">
      <c r="A51" s="166" t="str">
        <f aca="false">+A52</f>
        <v>[ocultar]</v>
      </c>
      <c r="B51" s="276" t="s">
        <v>204</v>
      </c>
      <c r="C51" s="277"/>
      <c r="D51" s="278"/>
      <c r="E51" s="278"/>
      <c r="F51" s="278"/>
      <c r="G51" s="278"/>
      <c r="H51" s="278"/>
      <c r="I51" s="279" t="str">
        <f aca="false">IFERROR((I52-I53)/I52,"")</f>
        <v/>
      </c>
      <c r="J51" s="280" t="str">
        <f aca="false">IFERROR((J52-J53)/J52,"")</f>
        <v/>
      </c>
      <c r="K51" s="281" t="str">
        <f aca="false">IFERROR((K52-K53)/K52,"")</f>
        <v/>
      </c>
      <c r="L51" s="281" t="str">
        <f aca="false">IFERROR((L52-L53)/L52,"")</f>
        <v/>
      </c>
      <c r="M51" s="281" t="str">
        <f aca="false">IFERROR((M52-M53)/M52,"")</f>
        <v/>
      </c>
      <c r="N51" s="282" t="str">
        <f aca="false">IFERROR((N52-N53)/N52,"")</f>
        <v/>
      </c>
      <c r="O51" s="283" t="str">
        <f aca="false">IFERROR((O52-O53)/O52,"")</f>
        <v/>
      </c>
      <c r="P51" s="283" t="str">
        <f aca="false">IFERROR((P52-P53)/P52,"")</f>
        <v/>
      </c>
      <c r="Q51" s="283" t="str">
        <f aca="false">IFERROR((Q52-Q53)/Q52,"")</f>
        <v/>
      </c>
      <c r="R51" s="283" t="str">
        <f aca="false">IFERROR((R52-R53)/R52,"")</f>
        <v/>
      </c>
      <c r="S51" s="283" t="str">
        <f aca="false">IFERROR((S52-S53)/S52,"")</f>
        <v/>
      </c>
      <c r="T51" s="283" t="str">
        <f aca="false">IFERROR((T52-T53)/T52,"")</f>
        <v/>
      </c>
      <c r="U51" s="283" t="str">
        <f aca="false">IFERROR((U52-U53)/U52,"")</f>
        <v/>
      </c>
      <c r="V51" s="283" t="str">
        <f aca="false">IFERROR((V52-V53)/V52,"")</f>
        <v/>
      </c>
      <c r="W51" s="283" t="str">
        <f aca="false">IFERROR((W52-W53)/W52,"")</f>
        <v/>
      </c>
      <c r="X51" s="283" t="str">
        <f aca="false">IFERROR((X52-X53)/X52,"")</f>
        <v/>
      </c>
      <c r="Y51" s="283" t="str">
        <f aca="false">IFERROR((Y52-Y53)/Y52,"")</f>
        <v/>
      </c>
      <c r="Z51" s="282" t="str">
        <f aca="false">IFERROR((Z52-Z53)/Z52,"")</f>
        <v/>
      </c>
      <c r="AA51" s="282" t="str">
        <f aca="false">IFERROR((AA52-AA53)/AA52,"")</f>
        <v/>
      </c>
      <c r="AB51" s="282" t="str">
        <f aca="false">IFERROR((AB52-AB53)/AB52,"")</f>
        <v/>
      </c>
      <c r="AC51" s="282" t="str">
        <f aca="false">IFERROR((AC52-AC53)/AC52,"")</f>
        <v/>
      </c>
      <c r="AD51" s="282" t="str">
        <f aca="false">IFERROR((AD52-AD53)/AD52,"")</f>
        <v/>
      </c>
      <c r="AE51" s="282" t="str">
        <f aca="false">IFERROR((AE52-AE53)/AE52,"")</f>
        <v/>
      </c>
      <c r="AF51" s="282" t="str">
        <f aca="false">IFERROR((AF52-AF53)/AF52,"")</f>
        <v/>
      </c>
      <c r="AG51" s="282" t="str">
        <f aca="false">IFERROR((AG52-AG53)/AG52,"")</f>
        <v/>
      </c>
      <c r="AH51" s="282" t="str">
        <f aca="false">IFERROR((AH52-AH53)/AH52,"")</f>
        <v/>
      </c>
      <c r="AI51" s="282" t="str">
        <f aca="false">IFERROR((AI52-AI53)/AI52,"")</f>
        <v/>
      </c>
      <c r="AJ51" s="282" t="str">
        <f aca="false">IFERROR((AJ52-AJ53)/AJ52,"")</f>
        <v/>
      </c>
      <c r="AK51" s="282" t="str">
        <f aca="false">IFERROR((AK52-AK53)/AK52,"")</f>
        <v/>
      </c>
      <c r="AL51" s="282" t="str">
        <f aca="false">IFERROR((AL52-AL53)/AL52,"")</f>
        <v/>
      </c>
      <c r="AM51" s="282" t="str">
        <f aca="false">IFERROR((AM52-AM53)/AM52,"")</f>
        <v/>
      </c>
      <c r="AN51" s="284" t="str">
        <f aca="false">IFERROR((AN52-AN53)/AN52,"")</f>
        <v/>
      </c>
      <c r="AO51" s="285" t="str">
        <f aca="false">IFERROR((AO52-AO53)/AO52,"")</f>
        <v/>
      </c>
      <c r="AP51" s="286" t="str">
        <f aca="false">IFERROR((AP52-AP53)/AP52,"")</f>
        <v/>
      </c>
      <c r="AQ51" s="286" t="str">
        <f aca="false">IFERROR((AQ52-AQ53)/AQ52,"")</f>
        <v/>
      </c>
      <c r="AR51" s="286" t="str">
        <f aca="false">IFERROR((AR52-AR53)/AR52,"")</f>
        <v/>
      </c>
      <c r="AS51" s="286" t="str">
        <f aca="false">IFERROR((AS52-AS53)/AS52,"")</f>
        <v/>
      </c>
      <c r="AT51" s="286" t="str">
        <f aca="false">IFERROR((AT52-AT53)/AT52,"")</f>
        <v/>
      </c>
      <c r="AU51" s="287" t="str">
        <f aca="false">IFERROR((AU52-AU53)/AU52,"")</f>
        <v/>
      </c>
      <c r="AV51" s="288" t="str">
        <f aca="false">IFERROR((AV52-AV53)/AV52,"")</f>
        <v/>
      </c>
    </row>
    <row r="52" customFormat="false" ht="14.25" hidden="false" customHeight="false" outlineLevel="0" collapsed="false">
      <c r="A52" s="166" t="str">
        <f aca="false">+IF(C52+C53=0,"[ocultar]","")</f>
        <v>[ocultar]</v>
      </c>
      <c r="B52" s="289" t="s">
        <v>371</v>
      </c>
      <c r="C52" s="290" t="n">
        <f aca="false" t="array" ref="C52:C52">SUM(IF($B52=DATOS_[Sexo], IF($B51=DATOS_[AGRUP. CLAS. PROF.], IF("Dentro"=DATOS_[Check Periodo Ref.], 1/(COUNTIFS(DATOS_[Sexo],$B52,DATOS_[AGRUP. CLAS. PROF.],$B51,DATOS_[Check Periodo Ref.],"Dentro",DATOS_[id],DATOS_[id]))))))</f>
        <v>0</v>
      </c>
      <c r="D52" s="291" t="n">
        <f aca="false">COUNTIFS(DATOS_[AGRUP. CLAS. PROF.],$B51,DATOS_[Sexo],$B52,DATOS_[Check Periodo Ref.],"Dentro")</f>
        <v>0</v>
      </c>
      <c r="E52" s="291" t="n">
        <f aca="false">COUNTIFS(DATOS_[AGRUP. CLAS. PROF.],$B51,DATOS_[Sexo],$B52,DATOS_[Check Periodo Ref.],"Dentro",DATOS_[Check Nº SC Norm],"Sí")</f>
        <v>0</v>
      </c>
      <c r="F52" s="291" t="n">
        <f aca="false">COUNTIFS(DATOS_[AGRUP. CLAS. PROF.],$B51,DATOS_[Sexo],$B52,DATOS_[Check Periodo Ref.],"Dentro",DATOS_[Check Nº SC Anualiz],"Sí")</f>
        <v>0</v>
      </c>
      <c r="G52" s="291" t="n">
        <f aca="false">COUNTIFS(DATOS_[AGRUP. CLAS. PROF.],$B51,DATOS_[Sexo],$B52,DATOS_[Check Periodo Ref.],"Dentro",DATOS_[Check Nº SC Norm y Anualiz],"Sí")</f>
        <v>0</v>
      </c>
      <c r="H52" s="291" t="n">
        <f aca="false">COUNTIFS(DATOS_[AGRUP. CLAS. PROF.],$B51,DATOS_[Sexo],$B52,DATOS_[Check Periodo Ref.],"Dentro",DATOS_[Check Equiparación],"Sí")</f>
        <v>0</v>
      </c>
      <c r="I52" s="292" t="n">
        <f aca="false" t="array" ref="I52:I52">IFERROR( AVERAGE(IF(DATOS_[Sexo]=$B52,IF(DATOS_[[AGRUP. CLAS. PROF.]:[AGRUP. CLAS. PROF.]]=$B51,IF(DATOS_[Check Equiparado]="Sí",IF(DATOS_[Check Periodo Ref.]="Dentro",DATOS_[SALARIO BASE Eq],0))))), 0)</f>
        <v>0</v>
      </c>
      <c r="J52" s="302" t="n">
        <f aca="false" t="array" ref="J52:J52">IFERROR( (AVERAGE((IF(DATOS_[[Sexo]:[Sexo]]=$B52,IF(DATOS_[[AGRUP. CLAS. PROF.]:[AGRUP. CLAS. PROF.]]=$B51,IF(DATOS_[[Check Periodo Ref.]:[Check Periodo Ref.]]="Dentro",IF(DATOS_[[Check Equiparado]:[Check Equiparado]]="Sí",IF(DATOS!AE$4="Sí",(1/DATOS_[[% anualiz]:[% anualiz]]),1)*IF(DATOS!AE$5="Sí",1/DATOS_[[% normaliz]:[% normaliz]],1)*(DATOS_[Conc.Sal.01])))))))), 0)</f>
        <v>0</v>
      </c>
      <c r="K52" s="302" t="n">
        <f aca="false" t="array" ref="K52:K52">IFERROR( (AVERAGE((IF(DATOS_[[Sexo]:[Sexo]]=$B52,IF(DATOS_[[AGRUP. CLAS. PROF.]:[AGRUP. CLAS. PROF.]]=$B51,IF(DATOS_[[Check Periodo Ref.]:[Check Periodo Ref.]]="Dentro",IF(DATOS_[[Check Equiparado]:[Check Equiparado]]="Sí",IF(DATOS!AF$4="Sí",(1/DATOS_[[% anualiz]:[% anualiz]]),1)*IF(DATOS!AF$5="Sí",1/DATOS_[[% normaliz]:[% normaliz]],1)*(DATOS_[Conc.Sal.02])))))))), 0)</f>
        <v>0</v>
      </c>
      <c r="L52" s="302" t="n">
        <f aca="false" t="array" ref="L52:L52">IFERROR( (AVERAGE((IF(DATOS_[[Sexo]:[Sexo]]=$B52,IF(DATOS_[[AGRUP. CLAS. PROF.]:[AGRUP. CLAS. PROF.]]=$B51,IF(DATOS_[[Check Periodo Ref.]:[Check Periodo Ref.]]="Dentro",IF(DATOS_[[Check Equiparado]:[Check Equiparado]]="Sí",IF(DATOS!AG$4="Sí",(1/DATOS_[[% anualiz]:[% anualiz]]),1)*IF(DATOS!AG$5="Sí",1/DATOS_[[% normaliz]:[% normaliz]],1)*(DATOS_[Conc.Sal.03])))))))), 0)</f>
        <v>0</v>
      </c>
      <c r="M52" s="302" t="n">
        <f aca="false" t="array" ref="M52:M52">IFERROR( (AVERAGE((IF(DATOS_[[Sexo]:[Sexo]]=$B52,IF(DATOS_[[AGRUP. CLAS. PROF.]:[AGRUP. CLAS. PROF.]]=$B51,IF(DATOS_[[Check Periodo Ref.]:[Check Periodo Ref.]]="Dentro",IF(DATOS_[[Check Equiparado]:[Check Equiparado]]="Sí",IF(DATOS!AH$4="Sí",(1/DATOS_[[% anualiz]:[% anualiz]]),1)*IF(DATOS!AH$5="Sí",1/DATOS_[[% normaliz]:[% normaliz]],1)*(DATOS_[Conc.Sal.04])))))))), 0)</f>
        <v>0</v>
      </c>
      <c r="N52" s="302" t="n">
        <f aca="false" t="array" ref="N52:N52">IFERROR( (AVERAGE((IF(DATOS_[[Sexo]:[Sexo]]=$B52,IF(DATOS_[[AGRUP. CLAS. PROF.]:[AGRUP. CLAS. PROF.]]=$B51,IF(DATOS_[[Check Periodo Ref.]:[Check Periodo Ref.]]="Dentro",IF(DATOS_[[Check Equiparado]:[Check Equiparado]]="Sí",IF(DATOS!AI$4="Sí",(1/DATOS_[[% anualiz]:[% anualiz]]),1)*IF(DATOS!AI$5="Sí",1/DATOS_[[% normaliz]:[% normaliz]],1)*(DATOS_[Conc.Sal.05])))))))), 0)</f>
        <v>0</v>
      </c>
      <c r="O52" s="302" t="n">
        <f aca="false" t="array" ref="O52:O52">IFERROR( (AVERAGE((IF(DATOS_[[Sexo]:[Sexo]]=$B52,IF(DATOS_[[AGRUP. CLAS. PROF.]:[AGRUP. CLAS. PROF.]]=$B51,IF(DATOS_[[Check Periodo Ref.]:[Check Periodo Ref.]]="Dentro",IF(DATOS_[[Check Equiparado]:[Check Equiparado]]="Sí",IF(DATOS!AJ$4="Sí",(1/DATOS_[[% anualiz]:[% anualiz]]),1)*IF(DATOS!AJ$5="Sí",1/DATOS_[[% normaliz]:[% normaliz]],1)*(DATOS_[Conc.Sal.06])))))))), 0)</f>
        <v>0</v>
      </c>
      <c r="P52" s="302" t="n">
        <f aca="false" t="array" ref="P52:P52">IFERROR( (AVERAGE((IF(DATOS_[[Sexo]:[Sexo]]=$B52,IF(DATOS_[[AGRUP. CLAS. PROF.]:[AGRUP. CLAS. PROF.]]=$B51,IF(DATOS_[[Check Periodo Ref.]:[Check Periodo Ref.]]="Dentro",IF(DATOS_[[Check Equiparado]:[Check Equiparado]]="Sí",IF(DATOS!AK$4="Sí",(1/DATOS_[[% anualiz]:[% anualiz]]),1)*IF(DATOS!AK$5="Sí",1/DATOS_[[% normaliz]:[% normaliz]],1)*(DATOS_[Conc.Sal.07])))))))), 0)</f>
        <v>0</v>
      </c>
      <c r="Q52" s="302" t="n">
        <f aca="false" t="array" ref="Q52:Q52">IFERROR( (AVERAGE((IF(DATOS_[[Sexo]:[Sexo]]=$B52,IF(DATOS_[[AGRUP. CLAS. PROF.]:[AGRUP. CLAS. PROF.]]=$B51,IF(DATOS_[[Check Periodo Ref.]:[Check Periodo Ref.]]="Dentro",IF(DATOS_[[Check Equiparado]:[Check Equiparado]]="Sí",IF(DATOS!AL$4="Sí",(1/DATOS_[[% anualiz]:[% anualiz]]),1)*IF(DATOS!AL$5="Sí",1/DATOS_[[% normaliz]:[% normaliz]],1)*(DATOS_[Conc.Sal.08])))))))), 0)</f>
        <v>0</v>
      </c>
      <c r="R52" s="302" t="n">
        <f aca="false" t="array" ref="R52:R52">IFERROR( (AVERAGE((IF(DATOS_[[Sexo]:[Sexo]]=$B52,IF(DATOS_[[AGRUP. CLAS. PROF.]:[AGRUP. CLAS. PROF.]]=$B51,IF(DATOS_[[Check Periodo Ref.]:[Check Periodo Ref.]]="Dentro",IF(DATOS_[[Check Equiparado]:[Check Equiparado]]="Sí",IF(DATOS!AM$4="Sí",(1/DATOS_[[% anualiz]:[% anualiz]]),1)*IF(DATOS!AM$5="Sí",1/DATOS_[[% normaliz]:[% normaliz]],1)*(DATOS_[Conc.Sal.09])))))))), 0)</f>
        <v>0</v>
      </c>
      <c r="S52" s="302" t="n">
        <f aca="false" t="array" ref="S52:S52">IFERROR( (AVERAGE((IF(DATOS_[[Sexo]:[Sexo]]=$B52,IF(DATOS_[[AGRUP. CLAS. PROF.]:[AGRUP. CLAS. PROF.]]=$B51,IF(DATOS_[[Check Periodo Ref.]:[Check Periodo Ref.]]="Dentro",IF(DATOS_[[Check Equiparado]:[Check Equiparado]]="Sí",IF(DATOS!AN$4="Sí",(1/DATOS_[[% anualiz]:[% anualiz]]),1)*IF(DATOS!AN$5="Sí",1/DATOS_[[% normaliz]:[% normaliz]],1)*(DATOS_[Conc.Sal.10])))))))), 0)</f>
        <v>0</v>
      </c>
      <c r="T52" s="302" t="n">
        <f aca="false" t="array" ref="T52:T52">IFERROR( (AVERAGE((IF(DATOS_[[Sexo]:[Sexo]]=$B52,IF(DATOS_[[AGRUP. CLAS. PROF.]:[AGRUP. CLAS. PROF.]]=$B51,IF(DATOS_[[Check Periodo Ref.]:[Check Periodo Ref.]]="Dentro",IF(DATOS_[[Check Equiparado]:[Check Equiparado]]="Sí",IF(DATOS!AO$4="Sí",(1/DATOS_[[% anualiz]:[% anualiz]]),1)*IF(DATOS!AO$5="Sí",1/DATOS_[[% normaliz]:[% normaliz]],1)*(DATOS_[Conc.Sal.11])))))))), 0)</f>
        <v>0</v>
      </c>
      <c r="U52" s="302" t="n">
        <f aca="false" t="array" ref="U52:U52">IFERROR( (AVERAGE((IF(DATOS_[[Sexo]:[Sexo]]=$B52,IF(DATOS_[[AGRUP. CLAS. PROF.]:[AGRUP. CLAS. PROF.]]=$B51,IF(DATOS_[[Check Periodo Ref.]:[Check Periodo Ref.]]="Dentro",IF(DATOS_[[Check Equiparado]:[Check Equiparado]]="Sí",IF(DATOS!AP$4="Sí",(1/DATOS_[[% anualiz]:[% anualiz]]),1)*IF(DATOS!AP$5="Sí",1/DATOS_[[% normaliz]:[% normaliz]],1)*(DATOS_[Conc.Sal.12])))))))), 0)</f>
        <v>0</v>
      </c>
      <c r="V52" s="302" t="n">
        <f aca="false" t="array" ref="V52:V52">IFERROR( (AVERAGE((IF(DATOS_[[Sexo]:[Sexo]]=$B52,IF(DATOS_[[AGRUP. CLAS. PROF.]:[AGRUP. CLAS. PROF.]]=$B51,IF(DATOS_[[Check Periodo Ref.]:[Check Periodo Ref.]]="Dentro",IF(DATOS_[[Check Equiparado]:[Check Equiparado]]="Sí",IF(DATOS!AQ$4="Sí",(1/DATOS_[[% anualiz]:[% anualiz]]),1)*IF(DATOS!AQ$5="Sí",1/DATOS_[[% normaliz]:[% normaliz]],1)*(DATOS_[Conc.Sal.13])))))))), 0)</f>
        <v>0</v>
      </c>
      <c r="W52" s="302" t="n">
        <f aca="false" t="array" ref="W52:W52">IFERROR( (AVERAGE((IF(DATOS_[[Sexo]:[Sexo]]=$B52,IF(DATOS_[[AGRUP. CLAS. PROF.]:[AGRUP. CLAS. PROF.]]=$B51,IF(DATOS_[[Check Periodo Ref.]:[Check Periodo Ref.]]="Dentro",IF(DATOS_[[Check Equiparado]:[Check Equiparado]]="Sí",IF(DATOS!AR$4="Sí",(1/DATOS_[[% anualiz]:[% anualiz]]),1)*IF(DATOS!AR$5="Sí",1/DATOS_[[% normaliz]:[% normaliz]],1)*(DATOS_[Conc.Sal.14])))))))), 0)</f>
        <v>0</v>
      </c>
      <c r="X52" s="302" t="n">
        <f aca="false" t="array" ref="X52:X52">IFERROR( (AVERAGE((IF(DATOS_[[Sexo]:[Sexo]]=$B52,IF(DATOS_[[AGRUP. CLAS. PROF.]:[AGRUP. CLAS. PROF.]]=$B51,IF(DATOS_[[Check Periodo Ref.]:[Check Periodo Ref.]]="Dentro",IF(DATOS_[[Check Equiparado]:[Check Equiparado]]="Sí",IF(DATOS!AS$4="Sí",(1/DATOS_[[% anualiz]:[% anualiz]]),1)*IF(DATOS!AS$5="Sí",1/DATOS_[[% normaliz]:[% normaliz]],1)*(DATOS_[Conc.Sal.15])))))))), 0)</f>
        <v>0</v>
      </c>
      <c r="Y52" s="302" t="n">
        <f aca="false" t="array" ref="Y52:Y52">IFERROR( (AVERAGE((IF(DATOS_[[Sexo]:[Sexo]]=$B52,IF(DATOS_[[AGRUP. CLAS. PROF.]:[AGRUP. CLAS. PROF.]]=$B51,IF(DATOS_[[Check Periodo Ref.]:[Check Periodo Ref.]]="Dentro",IF(DATOS_[[Check Equiparado]:[Check Equiparado]]="Sí",IF(DATOS!AT$4="Sí",(1/DATOS_[[% anualiz]:[% anualiz]]),1)*IF(DATOS!AT$5="Sí",1/DATOS_[[% normaliz]:[% normaliz]],1)*(DATOS_[Conc.Sal.16])))))))), 0)</f>
        <v>0</v>
      </c>
      <c r="Z52" s="302" t="n">
        <f aca="false" t="array" ref="Z52:Z52">IFERROR( (AVERAGE((IF(DATOS_[[Sexo]:[Sexo]]=$B52,IF(DATOS_[[AGRUP. CLAS. PROF.]:[AGRUP. CLAS. PROF.]]=$B51,IF(DATOS_[[Check Periodo Ref.]:[Check Periodo Ref.]]="Dentro",IF(DATOS_[[Check Equiparado]:[Check Equiparado]]="Sí",IF(DATOS!AU$4="Sí",(1/DATOS_[[% anualiz]:[% anualiz]]),1)*IF(DATOS!AU$5="Sí",1/DATOS_[[% normaliz]:[% normaliz]],1)*(DATOS_[Conc.Sal.17])))))))), 0)</f>
        <v>0</v>
      </c>
      <c r="AA52" s="302" t="n">
        <f aca="false" t="array" ref="AA52:AA52">IFERROR( (AVERAGE((IF(DATOS_[[Sexo]:[Sexo]]=$B52,IF(DATOS_[[AGRUP. CLAS. PROF.]:[AGRUP. CLAS. PROF.]]=$B51,IF(DATOS_[[Check Periodo Ref.]:[Check Periodo Ref.]]="Dentro",IF(DATOS_[[Check Equiparado]:[Check Equiparado]]="Sí",IF(DATOS!AV$4="Sí",(1/DATOS_[[% anualiz]:[% anualiz]]),1)*IF(DATOS!AV$5="Sí",1/DATOS_[[% normaliz]:[% normaliz]],1)*(DATOS_[Conc.Sal.18])))))))), 0)</f>
        <v>0</v>
      </c>
      <c r="AB52" s="302" t="n">
        <f aca="false" t="array" ref="AB52:AB52">IFERROR( (AVERAGE((IF(DATOS_[[Sexo]:[Sexo]]=$B52,IF(DATOS_[[AGRUP. CLAS. PROF.]:[AGRUP. CLAS. PROF.]]=$B51,IF(DATOS_[[Check Periodo Ref.]:[Check Periodo Ref.]]="Dentro",IF(DATOS_[[Check Equiparado]:[Check Equiparado]]="Sí",IF(DATOS!AW$4="Sí",(1/DATOS_[[% anualiz]:[% anualiz]]),1)*IF(DATOS!AW$5="Sí",1/DATOS_[[% normaliz]:[% normaliz]],1)*(DATOS_[Conc.Sal.19])))))))), 0)</f>
        <v>0</v>
      </c>
      <c r="AC52" s="302" t="n">
        <f aca="false" t="array" ref="AC52:AC52">IFERROR( (AVERAGE((IF(DATOS_[[Sexo]:[Sexo]]=$B52,IF(DATOS_[[AGRUP. CLAS. PROF.]:[AGRUP. CLAS. PROF.]]=$B51,IF(DATOS_[[Check Periodo Ref.]:[Check Periodo Ref.]]="Dentro",IF(DATOS_[[Check Equiparado]:[Check Equiparado]]="Sí",IF(DATOS!AX$4="Sí",(1/DATOS_[[% anualiz]:[% anualiz]]),1)*IF(DATOS!AX$5="Sí",1/DATOS_[[% normaliz]:[% normaliz]],1)*(DATOS_[Conc.Sal.20])))))))), 0)</f>
        <v>0</v>
      </c>
      <c r="AD52" s="302" t="n">
        <f aca="false" t="array" ref="AD52:AD52">IFERROR( (AVERAGE((IF(DATOS_[[Sexo]:[Sexo]]=$B52,IF(DATOS_[[AGRUP. CLAS. PROF.]:[AGRUP. CLAS. PROF.]]=$B51,IF(DATOS_[[Check Periodo Ref.]:[Check Periodo Ref.]]="Dentro",IF(DATOS_[[Check Equiparado]:[Check Equiparado]]="Sí",IF(DATOS!AY$4="Sí",(1/DATOS_[[% anualiz]:[% anualiz]]),1)*IF(DATOS!AY$5="Sí",1/DATOS_[[% normaliz]:[% normaliz]],1)*(DATOS_[Conc.Sal.21])))))))), 0)</f>
        <v>0</v>
      </c>
      <c r="AE52" s="302" t="n">
        <f aca="false" t="array" ref="AE52:AE52">IFERROR( (AVERAGE((IF(DATOS_[[Sexo]:[Sexo]]=$B52,IF(DATOS_[[AGRUP. CLAS. PROF.]:[AGRUP. CLAS. PROF.]]=$B51,IF(DATOS_[[Check Periodo Ref.]:[Check Periodo Ref.]]="Dentro",IF(DATOS_[[Check Equiparado]:[Check Equiparado]]="Sí",IF(DATOS!AZ$4="Sí",(1/DATOS_[[% anualiz]:[% anualiz]]),1)*IF(DATOS!AZ$5="Sí",1/DATOS_[[% normaliz]:[% normaliz]],1)*(DATOS_[Conc.Sal.22])))))))), 0)</f>
        <v>0</v>
      </c>
      <c r="AF52" s="302" t="n">
        <f aca="false" t="array" ref="AF52:AF52">IFERROR( (AVERAGE((IF(DATOS_[[Sexo]:[Sexo]]=$B52,IF(DATOS_[[AGRUP. CLAS. PROF.]:[AGRUP. CLAS. PROF.]]=$B51,IF(DATOS_[[Check Periodo Ref.]:[Check Periodo Ref.]]="Dentro",IF(DATOS_[[Check Equiparado]:[Check Equiparado]]="Sí",IF(DATOS!BA$4="Sí",(1/DATOS_[[% anualiz]:[% anualiz]]),1)*IF(DATOS!BA$5="Sí",1/DATOS_[[% normaliz]:[% normaliz]],1)*(DATOS_[Conc.Sal.23])))))))), 0)</f>
        <v>0</v>
      </c>
      <c r="AG52" s="302" t="n">
        <f aca="false" t="array" ref="AG52:AG52">IFERROR( (AVERAGE((IF(DATOS_[[Sexo]:[Sexo]]=$B52,IF(DATOS_[[AGRUP. CLAS. PROF.]:[AGRUP. CLAS. PROF.]]=$B51,IF(DATOS_[[Check Periodo Ref.]:[Check Periodo Ref.]]="Dentro",IF(DATOS_[[Check Equiparado]:[Check Equiparado]]="Sí",IF(DATOS!BB$4="Sí",(1/DATOS_[[% anualiz]:[% anualiz]]),1)*IF(DATOS!BB$5="Sí",1/DATOS_[[% normaliz]:[% normaliz]],1)*(DATOS_[Conc.Sal.24])))))))), 0)</f>
        <v>0</v>
      </c>
      <c r="AH52" s="302" t="n">
        <f aca="false" t="array" ref="AH52:AH52">IFERROR( (AVERAGE((IF(DATOS_[[Sexo]:[Sexo]]=$B52,IF(DATOS_[[AGRUP. CLAS. PROF.]:[AGRUP. CLAS. PROF.]]=$B51,IF(DATOS_[[Check Periodo Ref.]:[Check Periodo Ref.]]="Dentro",IF(DATOS_[[Check Equiparado]:[Check Equiparado]]="Sí",IF(DATOS!BC$4="Sí",(1/DATOS_[[% anualiz]:[% anualiz]]),1)*IF(DATOS!BC$5="Sí",1/DATOS_[[% normaliz]:[% normaliz]],1)*(DATOS_[Conc.Sal.25])))))))), 0)</f>
        <v>0</v>
      </c>
      <c r="AI52" s="302" t="n">
        <f aca="false" t="array" ref="AI52:AI52">IFERROR( (AVERAGE((IF(DATOS_[[Sexo]:[Sexo]]=$B52,IF(DATOS_[[AGRUP. CLAS. PROF.]:[AGRUP. CLAS. PROF.]]=$B51,IF(DATOS_[[Check Periodo Ref.]:[Check Periodo Ref.]]="Dentro",IF(DATOS_[[Check Equiparado]:[Check Equiparado]]="Sí",IF(DATOS!BD$4="Sí",(1/DATOS_[[% anualiz]:[% anualiz]]),1)*IF(DATOS!BD$5="Sí",1/DATOS_[[% normaliz]:[% normaliz]],1)*(DATOS_[Conc.Sal.26])))))))), 0)</f>
        <v>0</v>
      </c>
      <c r="AJ52" s="302" t="n">
        <f aca="false" t="array" ref="AJ52:AJ52">IFERROR( (AVERAGE((IF(DATOS_[[Sexo]:[Sexo]]=$B52,IF(DATOS_[[AGRUP. CLAS. PROF.]:[AGRUP. CLAS. PROF.]]=$B51,IF(DATOS_[[Check Periodo Ref.]:[Check Periodo Ref.]]="Dentro",IF(DATOS_[[Check Equiparado]:[Check Equiparado]]="Sí",IF(DATOS!BE$4="Sí",(1/DATOS_[[% anualiz]:[% anualiz]]),1)*IF(DATOS!BE$5="Sí",1/DATOS_[[% normaliz]:[% normaliz]],1)*(DATOS_[Conc.Sal.27])))))))), 0)</f>
        <v>0</v>
      </c>
      <c r="AK52" s="302" t="n">
        <f aca="false" t="array" ref="AK52:AK52">IFERROR( (AVERAGE((IF(DATOS_[[Sexo]:[Sexo]]=$B52,IF(DATOS_[[AGRUP. CLAS. PROF.]:[AGRUP. CLAS. PROF.]]=$B51,IF(DATOS_[[Check Periodo Ref.]:[Check Periodo Ref.]]="Dentro",IF(DATOS_[[Check Equiparado]:[Check Equiparado]]="Sí",IF(DATOS!BF$4="Sí",(1/DATOS_[[% anualiz]:[% anualiz]]),1)*IF(DATOS!BF$5="Sí",1/DATOS_[[% normaliz]:[% normaliz]],1)*(DATOS_[Conc.Sal.28])))))))), 0)</f>
        <v>0</v>
      </c>
      <c r="AL52" s="302" t="n">
        <f aca="false" t="array" ref="AL52:AL52">IFERROR( (AVERAGE((IF(DATOS_[[Sexo]:[Sexo]]=$B52,IF(DATOS_[[AGRUP. CLAS. PROF.]:[AGRUP. CLAS. PROF.]]=$B51,IF(DATOS_[[Check Periodo Ref.]:[Check Periodo Ref.]]="Dentro",IF(DATOS_[[Check Equiparado]:[Check Equiparado]]="Sí",IF(DATOS!BG$4="Sí",(1/DATOS_[[% anualiz]:[% anualiz]]),1)*IF(DATOS!BG$5="Sí",1/DATOS_[[% normaliz]:[% normaliz]],1)*(DATOS_[Conc.Sal.29])))))))), 0)</f>
        <v>0</v>
      </c>
      <c r="AM52" s="302" t="n">
        <f aca="false" t="array" ref="AM52:AM52">IFERROR( (AVERAGE((IF(DATOS_[[Sexo]:[Sexo]]=$B52,IF(DATOS_[[AGRUP. CLAS. PROF.]:[AGRUP. CLAS. PROF.]]=$B51,IF(DATOS_[[Check Periodo Ref.]:[Check Periodo Ref.]]="Dentro",IF(DATOS_[[Check Equiparado]:[Check Equiparado]]="Sí",IF(DATOS!BH$4="Sí",(1/DATOS_[[% anualiz]:[% anualiz]]),1)*IF(DATOS!BH$5="Sí",1/DATOS_[[% normaliz]:[% normaliz]],1)*(DATOS_[Conc.Sal.30])))))))), 0)</f>
        <v>0</v>
      </c>
      <c r="AN52" s="294" t="n">
        <f aca="false" t="array" ref="AN52:AN52">IFERROR( AVERAGE(IF(DATOS_[Sexo]=$B52,IF(DATOS_[[AGRUP. CLAS. PROF.]:[AGRUP. CLAS. PROF.]]=$B51,IF(DATOS_[Check Equiparado]="Sí",IF(DATOS_[Check Periodo Ref.]="Dentro",DATOS_[Tot COMPL.SAL Eq],0))))), 0)</f>
        <v>0</v>
      </c>
      <c r="AO52" s="295" t="n">
        <f aca="false" t="array" ref="AO52:AO52">IFERROR( AVERAGE(IF(DATOS_[Sexo]=$B52,IF(DATOS_[[AGRUP. CLAS. PROF.]:[AGRUP. CLAS. PROF.]]=$B51,IF(DATOS_[Check Equiparado]="Sí",IF(DATOS_[Check Periodo Ref.]="Dentro",DATOS_[TOTAL SALARIO Eq],0))))), 0)</f>
        <v>0</v>
      </c>
      <c r="AP52" s="303" t="n">
        <f aca="false" t="array" ref="AP52:AP52">IFERROR( (AVERAGE((IF(DATOS_[[Sexo]:[Sexo]]=$B52,IF(DATOS_[[AGRUP. CLAS. PROF.]:[AGRUP. CLAS. PROF.]]=$B51,IF(DATOS_[[Check Periodo Ref.]:[Check Periodo Ref.]]="Dentro",IF(DATOS_[[Check Equiparado]:[Check Equiparado]]="Sí",IF(DATOS!BI$4="Sí",(1/DATOS_[[% anualiz]:[% anualiz]]),1)*IF(DATOS!BI$5="Sí",1/DATOS_[[% normaliz]:[% normaliz]],1)*(DATOS_[C.Extra.01])))))))), 0)</f>
        <v>0</v>
      </c>
      <c r="AQ52" s="303" t="n">
        <f aca="false" t="array" ref="AQ52:AQ52">IFERROR( (AVERAGE((IF(DATOS_[[Sexo]:[Sexo]]=$B52,IF(DATOS_[[AGRUP. CLAS. PROF.]:[AGRUP. CLAS. PROF.]]=$B51,IF(DATOS_[[Check Periodo Ref.]:[Check Periodo Ref.]]="Dentro",IF(DATOS_[[Check Equiparado]:[Check Equiparado]]="Sí",IF(DATOS!BJ$4="Sí",(1/DATOS_[[% anualiz]:[% anualiz]]),1)*IF(DATOS!BJ$5="Sí",1/DATOS_[[% normaliz]:[% normaliz]],1)*(DATOS_[C.Extra.02])))))))), 0)</f>
        <v>0</v>
      </c>
      <c r="AR52" s="303" t="n">
        <f aca="false" t="array" ref="AR52:AR52">IFERROR( (AVERAGE((IF(DATOS_[[Sexo]:[Sexo]]=$B52,IF(DATOS_[[AGRUP. CLAS. PROF.]:[AGRUP. CLAS. PROF.]]=$B51,IF(DATOS_[[Check Periodo Ref.]:[Check Periodo Ref.]]="Dentro",IF(DATOS_[[Check Equiparado]:[Check Equiparado]]="Sí",IF(DATOS!BK$4="Sí",(1/DATOS_[[% anualiz]:[% anualiz]]),1)*IF(DATOS!BK$5="Sí",1/DATOS_[[% normaliz]:[% normaliz]],1)*(DATOS_[C.Extra.03])))))))), 0)</f>
        <v>0</v>
      </c>
      <c r="AS52" s="303" t="n">
        <f aca="false" t="array" ref="AS52:AS52">IFERROR( (AVERAGE((IF(DATOS_[[Sexo]:[Sexo]]=$B52,IF(DATOS_[[AGRUP. CLAS. PROF.]:[AGRUP. CLAS. PROF.]]=$B51,IF(DATOS_[[Check Periodo Ref.]:[Check Periodo Ref.]]="Dentro",IF(DATOS_[[Check Equiparado]:[Check Equiparado]]="Sí",IF(DATOS!BL$4="Sí",(1/DATOS_[[% anualiz]:[% anualiz]]),1)*IF(DATOS!BL$5="Sí",1/DATOS_[[% normaliz]:[% normaliz]],1)*(DATOS_[C.Extra.04])))))))), 0)</f>
        <v>0</v>
      </c>
      <c r="AT52" s="303" t="n">
        <f aca="false" t="array" ref="AT52:AT52">IFERROR( (AVERAGE((IF(DATOS_[[Sexo]:[Sexo]]=$B52,IF(DATOS_[[AGRUP. CLAS. PROF.]:[AGRUP. CLAS. PROF.]]=$B51,IF(DATOS_[[Check Periodo Ref.]:[Check Periodo Ref.]]="Dentro",IF(DATOS_[[Check Equiparado]:[Check Equiparado]]="Sí",IF(DATOS!BM$4="Sí",(1/DATOS_[[% anualiz]:[% anualiz]]),1)*IF(DATOS!BM$5="Sí",1/DATOS_[[% normaliz]:[% normaliz]],1)*(DATOS_[C.Extra.05])))))))), 0)</f>
        <v>0</v>
      </c>
      <c r="AU52" s="297" t="n">
        <f aca="false" t="array" ref="AU52:AU52">IFERROR( AVERAGE(IF(DATOS_[Sexo]=$B52,IF(DATOS_[[AGRUP. CLAS. PROF.]:[AGRUP. CLAS. PROF.]]=$B51,IF(DATOS_[Check Equiparado]="Sí",IF(DATOS_[Check Periodo Ref.]="Dentro",DATOS_[Tot Extrasalarial Eq],0))))), 0)</f>
        <v>0</v>
      </c>
      <c r="AV52" s="298" t="n">
        <f aca="false" t="array" ref="AV52:AV52">IFERROR( AVERAGE(IF(DATOS_[Sexo]=$B52,IF(DATOS_[[AGRUP. CLAS. PROF.]:[AGRUP. CLAS. PROF.]]=$B51,IF(DATOS_[Check Equiparado]="Sí",IF(DATOS_[Check Periodo Ref.]="Dentro",DATOS_[TOTAL Retrib Eq],0))))), 0)</f>
        <v>0</v>
      </c>
    </row>
    <row r="53" customFormat="false" ht="14.25" hidden="false" customHeight="false" outlineLevel="0" collapsed="false">
      <c r="A53" s="166" t="str">
        <f aca="false">+A52</f>
        <v>[ocultar]</v>
      </c>
      <c r="B53" s="289" t="s">
        <v>372</v>
      </c>
      <c r="C53" s="290" t="n">
        <f aca="false" t="array" ref="C53:C53">SUM(IF($B53=DATOS_[Sexo], IF($B51=DATOS_[AGRUP. CLAS. PROF.], IF("Dentro"=DATOS_[Check Periodo Ref.], 1/(COUNTIFS(DATOS_[Sexo],$B53,DATOS_[AGRUP. CLAS. PROF.],$B51,DATOS_[Check Periodo Ref.],"Dentro",DATOS_[id],DATOS_[id]))))))</f>
        <v>0</v>
      </c>
      <c r="D53" s="291" t="n">
        <f aca="false">COUNTIFS(DATOS_[AGRUP. CLAS. PROF.],$B51,DATOS_[Sexo],$B53,DATOS_[Check Periodo Ref.],"Dentro")</f>
        <v>0</v>
      </c>
      <c r="E53" s="291" t="n">
        <f aca="false">COUNTIFS(DATOS_[AGRUP. CLAS. PROF.],$B51,DATOS_[Sexo],$B53,DATOS_[Check Periodo Ref.],"Dentro",DATOS_[Check Nº SC Norm],"Sí")</f>
        <v>0</v>
      </c>
      <c r="F53" s="291" t="n">
        <f aca="false">COUNTIFS(DATOS_[AGRUP. CLAS. PROF.],$B51,DATOS_[Sexo],$B53,DATOS_[Check Periodo Ref.],"Dentro",DATOS_[Check Nº SC Anualiz],"Sí")</f>
        <v>0</v>
      </c>
      <c r="G53" s="291" t="n">
        <f aca="false">COUNTIFS(DATOS_[AGRUP. CLAS. PROF.],$B51,DATOS_[Sexo],$B53,DATOS_[Check Periodo Ref.],"Dentro",DATOS_[Check Nº SC Norm y Anualiz],"Sí")</f>
        <v>0</v>
      </c>
      <c r="H53" s="291" t="n">
        <f aca="false">COUNTIFS(DATOS_[AGRUP. CLAS. PROF.],$B51,DATOS_[Sexo],$B53,DATOS_[Check Periodo Ref.],"Dentro",DATOS_[Check Equiparación],"Sí")</f>
        <v>0</v>
      </c>
      <c r="I53" s="292" t="n">
        <f aca="false" t="array" ref="I53:I53">IFERROR( AVERAGE(IF(DATOS_[Sexo]=$B53,IF(DATOS_[[AGRUP. CLAS. PROF.]:[AGRUP. CLAS. PROF.]]=$B51,IF(DATOS_[Check Equiparado]="Sí",IF(DATOS_[Check Periodo Ref.]="Dentro",DATOS_[SALARIO BASE Eq],0))))), 0)</f>
        <v>0</v>
      </c>
      <c r="J53" s="302" t="n">
        <f aca="false" t="array" ref="J53:J53">IFERROR( (AVERAGE((IF(DATOS_[[Sexo]:[Sexo]]=$B53,IF(DATOS_[[AGRUP. CLAS. PROF.]:[AGRUP. CLAS. PROF.]]=$B51,IF(DATOS_[[Check Periodo Ref.]:[Check Periodo Ref.]]="Dentro",IF(DATOS_[[Check Equiparado]:[Check Equiparado]]="Sí",IF(DATOS!AE$4="Sí",(1/DATOS_[[% anualiz]:[% anualiz]]),1)*IF(DATOS!AE$5="Sí",1/DATOS_[[% normaliz]:[% normaliz]],1)*(DATOS_[Conc.Sal.01])))))))), 0)</f>
        <v>0</v>
      </c>
      <c r="K53" s="302" t="n">
        <f aca="false" t="array" ref="K53:K53">IFERROR( (AVERAGE((IF(DATOS_[[Sexo]:[Sexo]]=$B53,IF(DATOS_[[AGRUP. CLAS. PROF.]:[AGRUP. CLAS. PROF.]]=$B51,IF(DATOS_[[Check Periodo Ref.]:[Check Periodo Ref.]]="Dentro",IF(DATOS_[[Check Equiparado]:[Check Equiparado]]="Sí",IF(DATOS!AF$4="Sí",(1/DATOS_[[% anualiz]:[% anualiz]]),1)*IF(DATOS!AF$5="Sí",1/DATOS_[[% normaliz]:[% normaliz]],1)*(DATOS_[Conc.Sal.02])))))))), 0)</f>
        <v>0</v>
      </c>
      <c r="L53" s="302" t="n">
        <f aca="false" t="array" ref="L53:L53">IFERROR( (AVERAGE((IF(DATOS_[[Sexo]:[Sexo]]=$B53,IF(DATOS_[[AGRUP. CLAS. PROF.]:[AGRUP. CLAS. PROF.]]=$B51,IF(DATOS_[[Check Periodo Ref.]:[Check Periodo Ref.]]="Dentro",IF(DATOS_[[Check Equiparado]:[Check Equiparado]]="Sí",IF(DATOS!AG$4="Sí",(1/DATOS_[[% anualiz]:[% anualiz]]),1)*IF(DATOS!AG$5="Sí",1/DATOS_[[% normaliz]:[% normaliz]],1)*(DATOS_[Conc.Sal.03])))))))), 0)</f>
        <v>0</v>
      </c>
      <c r="M53" s="302" t="n">
        <f aca="false" t="array" ref="M53:M53">IFERROR( (AVERAGE((IF(DATOS_[[Sexo]:[Sexo]]=$B53,IF(DATOS_[[AGRUP. CLAS. PROF.]:[AGRUP. CLAS. PROF.]]=$B51,IF(DATOS_[[Check Periodo Ref.]:[Check Periodo Ref.]]="Dentro",IF(DATOS_[[Check Equiparado]:[Check Equiparado]]="Sí",IF(DATOS!AH$4="Sí",(1/DATOS_[[% anualiz]:[% anualiz]]),1)*IF(DATOS!AH$5="Sí",1/DATOS_[[% normaliz]:[% normaliz]],1)*(DATOS_[Conc.Sal.04])))))))), 0)</f>
        <v>0</v>
      </c>
      <c r="N53" s="302" t="n">
        <f aca="false" t="array" ref="N53:N53">IFERROR( (AVERAGE((IF(DATOS_[[Sexo]:[Sexo]]=$B53,IF(DATOS_[[AGRUP. CLAS. PROF.]:[AGRUP. CLAS. PROF.]]=$B51,IF(DATOS_[[Check Periodo Ref.]:[Check Periodo Ref.]]="Dentro",IF(DATOS_[[Check Equiparado]:[Check Equiparado]]="Sí",IF(DATOS!AI$4="Sí",(1/DATOS_[[% anualiz]:[% anualiz]]),1)*IF(DATOS!AI$5="Sí",1/DATOS_[[% normaliz]:[% normaliz]],1)*(DATOS_[Conc.Sal.05])))))))), 0)</f>
        <v>0</v>
      </c>
      <c r="O53" s="302" t="n">
        <f aca="false" t="array" ref="O53:O53">IFERROR( (AVERAGE((IF(DATOS_[[Sexo]:[Sexo]]=$B53,IF(DATOS_[[AGRUP. CLAS. PROF.]:[AGRUP. CLAS. PROF.]]=$B51,IF(DATOS_[[Check Periodo Ref.]:[Check Periodo Ref.]]="Dentro",IF(DATOS_[[Check Equiparado]:[Check Equiparado]]="Sí",IF(DATOS!AJ$4="Sí",(1/DATOS_[[% anualiz]:[% anualiz]]),1)*IF(DATOS!AJ$5="Sí",1/DATOS_[[% normaliz]:[% normaliz]],1)*(DATOS_[Conc.Sal.06])))))))), 0)</f>
        <v>0</v>
      </c>
      <c r="P53" s="302" t="n">
        <f aca="false" t="array" ref="P53:P53">IFERROR( (AVERAGE((IF(DATOS_[[Sexo]:[Sexo]]=$B53,IF(DATOS_[[AGRUP. CLAS. PROF.]:[AGRUP. CLAS. PROF.]]=$B51,IF(DATOS_[[Check Periodo Ref.]:[Check Periodo Ref.]]="Dentro",IF(DATOS_[[Check Equiparado]:[Check Equiparado]]="Sí",IF(DATOS!AK$4="Sí",(1/DATOS_[[% anualiz]:[% anualiz]]),1)*IF(DATOS!AK$5="Sí",1/DATOS_[[% normaliz]:[% normaliz]],1)*(DATOS_[Conc.Sal.07])))))))), 0)</f>
        <v>0</v>
      </c>
      <c r="Q53" s="302" t="n">
        <f aca="false" t="array" ref="Q53:Q53">IFERROR( (AVERAGE((IF(DATOS_[[Sexo]:[Sexo]]=$B53,IF(DATOS_[[AGRUP. CLAS. PROF.]:[AGRUP. CLAS. PROF.]]=$B51,IF(DATOS_[[Check Periodo Ref.]:[Check Periodo Ref.]]="Dentro",IF(DATOS_[[Check Equiparado]:[Check Equiparado]]="Sí",IF(DATOS!AL$4="Sí",(1/DATOS_[[% anualiz]:[% anualiz]]),1)*IF(DATOS!AL$5="Sí",1/DATOS_[[% normaliz]:[% normaliz]],1)*(DATOS_[Conc.Sal.08])))))))), 0)</f>
        <v>0</v>
      </c>
      <c r="R53" s="302" t="n">
        <f aca="false" t="array" ref="R53:R53">IFERROR( (AVERAGE((IF(DATOS_[[Sexo]:[Sexo]]=$B53,IF(DATOS_[[AGRUP. CLAS. PROF.]:[AGRUP. CLAS. PROF.]]=$B51,IF(DATOS_[[Check Periodo Ref.]:[Check Periodo Ref.]]="Dentro",IF(DATOS_[[Check Equiparado]:[Check Equiparado]]="Sí",IF(DATOS!AM$4="Sí",(1/DATOS_[[% anualiz]:[% anualiz]]),1)*IF(DATOS!AM$5="Sí",1/DATOS_[[% normaliz]:[% normaliz]],1)*(DATOS_[Conc.Sal.09])))))))), 0)</f>
        <v>0</v>
      </c>
      <c r="S53" s="302" t="n">
        <f aca="false" t="array" ref="S53:S53">IFERROR( (AVERAGE((IF(DATOS_[[Sexo]:[Sexo]]=$B53,IF(DATOS_[[AGRUP. CLAS. PROF.]:[AGRUP. CLAS. PROF.]]=$B51,IF(DATOS_[[Check Periodo Ref.]:[Check Periodo Ref.]]="Dentro",IF(DATOS_[[Check Equiparado]:[Check Equiparado]]="Sí",IF(DATOS!AN$4="Sí",(1/DATOS_[[% anualiz]:[% anualiz]]),1)*IF(DATOS!AN$5="Sí",1/DATOS_[[% normaliz]:[% normaliz]],1)*(DATOS_[Conc.Sal.10])))))))), 0)</f>
        <v>0</v>
      </c>
      <c r="T53" s="302" t="n">
        <f aca="false" t="array" ref="T53:T53">IFERROR( (AVERAGE((IF(DATOS_[[Sexo]:[Sexo]]=$B53,IF(DATOS_[[AGRUP. CLAS. PROF.]:[AGRUP. CLAS. PROF.]]=$B51,IF(DATOS_[[Check Periodo Ref.]:[Check Periodo Ref.]]="Dentro",IF(DATOS_[[Check Equiparado]:[Check Equiparado]]="Sí",IF(DATOS!AO$4="Sí",(1/DATOS_[[% anualiz]:[% anualiz]]),1)*IF(DATOS!AO$5="Sí",1/DATOS_[[% normaliz]:[% normaliz]],1)*(DATOS_[Conc.Sal.11])))))))), 0)</f>
        <v>0</v>
      </c>
      <c r="U53" s="302" t="n">
        <f aca="false" t="array" ref="U53:U53">IFERROR( (AVERAGE((IF(DATOS_[[Sexo]:[Sexo]]=$B53,IF(DATOS_[[AGRUP. CLAS. PROF.]:[AGRUP. CLAS. PROF.]]=$B51,IF(DATOS_[[Check Periodo Ref.]:[Check Periodo Ref.]]="Dentro",IF(DATOS_[[Check Equiparado]:[Check Equiparado]]="Sí",IF(DATOS!AP$4="Sí",(1/DATOS_[[% anualiz]:[% anualiz]]),1)*IF(DATOS!AP$5="Sí",1/DATOS_[[% normaliz]:[% normaliz]],1)*(DATOS_[Conc.Sal.12])))))))), 0)</f>
        <v>0</v>
      </c>
      <c r="V53" s="302" t="n">
        <f aca="false" t="array" ref="V53:V53">IFERROR( (AVERAGE((IF(DATOS_[[Sexo]:[Sexo]]=$B53,IF(DATOS_[[AGRUP. CLAS. PROF.]:[AGRUP. CLAS. PROF.]]=$B51,IF(DATOS_[[Check Periodo Ref.]:[Check Periodo Ref.]]="Dentro",IF(DATOS_[[Check Equiparado]:[Check Equiparado]]="Sí",IF(DATOS!AQ$4="Sí",(1/DATOS_[[% anualiz]:[% anualiz]]),1)*IF(DATOS!AQ$5="Sí",1/DATOS_[[% normaliz]:[% normaliz]],1)*(DATOS_[Conc.Sal.13])))))))), 0)</f>
        <v>0</v>
      </c>
      <c r="W53" s="302" t="n">
        <f aca="false" t="array" ref="W53:W53">IFERROR( (AVERAGE((IF(DATOS_[[Sexo]:[Sexo]]=$B53,IF(DATOS_[[AGRUP. CLAS. PROF.]:[AGRUP. CLAS. PROF.]]=$B51,IF(DATOS_[[Check Periodo Ref.]:[Check Periodo Ref.]]="Dentro",IF(DATOS_[[Check Equiparado]:[Check Equiparado]]="Sí",IF(DATOS!AR$4="Sí",(1/DATOS_[[% anualiz]:[% anualiz]]),1)*IF(DATOS!AR$5="Sí",1/DATOS_[[% normaliz]:[% normaliz]],1)*(DATOS_[Conc.Sal.14])))))))), 0)</f>
        <v>0</v>
      </c>
      <c r="X53" s="302" t="n">
        <f aca="false" t="array" ref="X53:X53">IFERROR( (AVERAGE((IF(DATOS_[[Sexo]:[Sexo]]=$B53,IF(DATOS_[[AGRUP. CLAS. PROF.]:[AGRUP. CLAS. PROF.]]=$B51,IF(DATOS_[[Check Periodo Ref.]:[Check Periodo Ref.]]="Dentro",IF(DATOS_[[Check Equiparado]:[Check Equiparado]]="Sí",IF(DATOS!AS$4="Sí",(1/DATOS_[[% anualiz]:[% anualiz]]),1)*IF(DATOS!AS$5="Sí",1/DATOS_[[% normaliz]:[% normaliz]],1)*(DATOS_[Conc.Sal.15])))))))), 0)</f>
        <v>0</v>
      </c>
      <c r="Y53" s="302" t="n">
        <f aca="false" t="array" ref="Y53:Y53">IFERROR( (AVERAGE((IF(DATOS_[[Sexo]:[Sexo]]=$B53,IF(DATOS_[[AGRUP. CLAS. PROF.]:[AGRUP. CLAS. PROF.]]=$B51,IF(DATOS_[[Check Periodo Ref.]:[Check Periodo Ref.]]="Dentro",IF(DATOS_[[Check Equiparado]:[Check Equiparado]]="Sí",IF(DATOS!AT$4="Sí",(1/DATOS_[[% anualiz]:[% anualiz]]),1)*IF(DATOS!AT$5="Sí",1/DATOS_[[% normaliz]:[% normaliz]],1)*(DATOS_[Conc.Sal.16])))))))), 0)</f>
        <v>0</v>
      </c>
      <c r="Z53" s="302" t="n">
        <f aca="false" t="array" ref="Z53:Z53">IFERROR( (AVERAGE((IF(DATOS_[[Sexo]:[Sexo]]=$B53,IF(DATOS_[[AGRUP. CLAS. PROF.]:[AGRUP. CLAS. PROF.]]=$B51,IF(DATOS_[[Check Periodo Ref.]:[Check Periodo Ref.]]="Dentro",IF(DATOS_[[Check Equiparado]:[Check Equiparado]]="Sí",IF(DATOS!AU$4="Sí",(1/DATOS_[[% anualiz]:[% anualiz]]),1)*IF(DATOS!AU$5="Sí",1/DATOS_[[% normaliz]:[% normaliz]],1)*(DATOS_[Conc.Sal.17])))))))), 0)</f>
        <v>0</v>
      </c>
      <c r="AA53" s="302" t="n">
        <f aca="false" t="array" ref="AA53:AA53">IFERROR( (AVERAGE((IF(DATOS_[[Sexo]:[Sexo]]=$B53,IF(DATOS_[[AGRUP. CLAS. PROF.]:[AGRUP. CLAS. PROF.]]=$B51,IF(DATOS_[[Check Periodo Ref.]:[Check Periodo Ref.]]="Dentro",IF(DATOS_[[Check Equiparado]:[Check Equiparado]]="Sí",IF(DATOS!AV$4="Sí",(1/DATOS_[[% anualiz]:[% anualiz]]),1)*IF(DATOS!AV$5="Sí",1/DATOS_[[% normaliz]:[% normaliz]],1)*(DATOS_[Conc.Sal.18])))))))), 0)</f>
        <v>0</v>
      </c>
      <c r="AB53" s="302" t="n">
        <f aca="false" t="array" ref="AB53:AB53">IFERROR( (AVERAGE((IF(DATOS_[[Sexo]:[Sexo]]=$B53,IF(DATOS_[[AGRUP. CLAS. PROF.]:[AGRUP. CLAS. PROF.]]=$B51,IF(DATOS_[[Check Periodo Ref.]:[Check Periodo Ref.]]="Dentro",IF(DATOS_[[Check Equiparado]:[Check Equiparado]]="Sí",IF(DATOS!AW$4="Sí",(1/DATOS_[[% anualiz]:[% anualiz]]),1)*IF(DATOS!AW$5="Sí",1/DATOS_[[% normaliz]:[% normaliz]],1)*(DATOS_[Conc.Sal.19])))))))), 0)</f>
        <v>0</v>
      </c>
      <c r="AC53" s="302" t="n">
        <f aca="false" t="array" ref="AC53:AC53">IFERROR( (AVERAGE((IF(DATOS_[[Sexo]:[Sexo]]=$B53,IF(DATOS_[[AGRUP. CLAS. PROF.]:[AGRUP. CLAS. PROF.]]=$B51,IF(DATOS_[[Check Periodo Ref.]:[Check Periodo Ref.]]="Dentro",IF(DATOS_[[Check Equiparado]:[Check Equiparado]]="Sí",IF(DATOS!AX$4="Sí",(1/DATOS_[[% anualiz]:[% anualiz]]),1)*IF(DATOS!AX$5="Sí",1/DATOS_[[% normaliz]:[% normaliz]],1)*(DATOS_[Conc.Sal.20])))))))), 0)</f>
        <v>0</v>
      </c>
      <c r="AD53" s="302" t="n">
        <f aca="false" t="array" ref="AD53:AD53">IFERROR( (AVERAGE((IF(DATOS_[[Sexo]:[Sexo]]=$B53,IF(DATOS_[[AGRUP. CLAS. PROF.]:[AGRUP. CLAS. PROF.]]=$B51,IF(DATOS_[[Check Periodo Ref.]:[Check Periodo Ref.]]="Dentro",IF(DATOS_[[Check Equiparado]:[Check Equiparado]]="Sí",IF(DATOS!AY$4="Sí",(1/DATOS_[[% anualiz]:[% anualiz]]),1)*IF(DATOS!AY$5="Sí",1/DATOS_[[% normaliz]:[% normaliz]],1)*(DATOS_[Conc.Sal.21])))))))), 0)</f>
        <v>0</v>
      </c>
      <c r="AE53" s="302" t="n">
        <f aca="false" t="array" ref="AE53:AE53">IFERROR( (AVERAGE((IF(DATOS_[[Sexo]:[Sexo]]=$B53,IF(DATOS_[[AGRUP. CLAS. PROF.]:[AGRUP. CLAS. PROF.]]=$B51,IF(DATOS_[[Check Periodo Ref.]:[Check Periodo Ref.]]="Dentro",IF(DATOS_[[Check Equiparado]:[Check Equiparado]]="Sí",IF(DATOS!AZ$4="Sí",(1/DATOS_[[% anualiz]:[% anualiz]]),1)*IF(DATOS!AZ$5="Sí",1/DATOS_[[% normaliz]:[% normaliz]],1)*(DATOS_[Conc.Sal.22])))))))), 0)</f>
        <v>0</v>
      </c>
      <c r="AF53" s="302" t="n">
        <f aca="false" t="array" ref="AF53:AF53">IFERROR( (AVERAGE((IF(DATOS_[[Sexo]:[Sexo]]=$B53,IF(DATOS_[[AGRUP. CLAS. PROF.]:[AGRUP. CLAS. PROF.]]=$B51,IF(DATOS_[[Check Periodo Ref.]:[Check Periodo Ref.]]="Dentro",IF(DATOS_[[Check Equiparado]:[Check Equiparado]]="Sí",IF(DATOS!BA$4="Sí",(1/DATOS_[[% anualiz]:[% anualiz]]),1)*IF(DATOS!BA$5="Sí",1/DATOS_[[% normaliz]:[% normaliz]],1)*(DATOS_[Conc.Sal.23])))))))), 0)</f>
        <v>0</v>
      </c>
      <c r="AG53" s="302" t="n">
        <f aca="false" t="array" ref="AG53:AG53">IFERROR( (AVERAGE((IF(DATOS_[[Sexo]:[Sexo]]=$B53,IF(DATOS_[[AGRUP. CLAS. PROF.]:[AGRUP. CLAS. PROF.]]=$B51,IF(DATOS_[[Check Periodo Ref.]:[Check Periodo Ref.]]="Dentro",IF(DATOS_[[Check Equiparado]:[Check Equiparado]]="Sí",IF(DATOS!BB$4="Sí",(1/DATOS_[[% anualiz]:[% anualiz]]),1)*IF(DATOS!BB$5="Sí",1/DATOS_[[% normaliz]:[% normaliz]],1)*(DATOS_[Conc.Sal.24])))))))), 0)</f>
        <v>0</v>
      </c>
      <c r="AH53" s="302" t="n">
        <f aca="false" t="array" ref="AH53:AH53">IFERROR( (AVERAGE((IF(DATOS_[[Sexo]:[Sexo]]=$B53,IF(DATOS_[[AGRUP. CLAS. PROF.]:[AGRUP. CLAS. PROF.]]=$B51,IF(DATOS_[[Check Periodo Ref.]:[Check Periodo Ref.]]="Dentro",IF(DATOS_[[Check Equiparado]:[Check Equiparado]]="Sí",IF(DATOS!BC$4="Sí",(1/DATOS_[[% anualiz]:[% anualiz]]),1)*IF(DATOS!BC$5="Sí",1/DATOS_[[% normaliz]:[% normaliz]],1)*(DATOS_[Conc.Sal.25])))))))), 0)</f>
        <v>0</v>
      </c>
      <c r="AI53" s="302" t="n">
        <f aca="false" t="array" ref="AI53:AI53">IFERROR( (AVERAGE((IF(DATOS_[[Sexo]:[Sexo]]=$B53,IF(DATOS_[[AGRUP. CLAS. PROF.]:[AGRUP. CLAS. PROF.]]=$B51,IF(DATOS_[[Check Periodo Ref.]:[Check Periodo Ref.]]="Dentro",IF(DATOS_[[Check Equiparado]:[Check Equiparado]]="Sí",IF(DATOS!BD$4="Sí",(1/DATOS_[[% anualiz]:[% anualiz]]),1)*IF(DATOS!BD$5="Sí",1/DATOS_[[% normaliz]:[% normaliz]],1)*(DATOS_[Conc.Sal.26])))))))), 0)</f>
        <v>0</v>
      </c>
      <c r="AJ53" s="302" t="n">
        <f aca="false" t="array" ref="AJ53:AJ53">IFERROR( (AVERAGE((IF(DATOS_[[Sexo]:[Sexo]]=$B53,IF(DATOS_[[AGRUP. CLAS. PROF.]:[AGRUP. CLAS. PROF.]]=$B51,IF(DATOS_[[Check Periodo Ref.]:[Check Periodo Ref.]]="Dentro",IF(DATOS_[[Check Equiparado]:[Check Equiparado]]="Sí",IF(DATOS!BE$4="Sí",(1/DATOS_[[% anualiz]:[% anualiz]]),1)*IF(DATOS!BE$5="Sí",1/DATOS_[[% normaliz]:[% normaliz]],1)*(DATOS_[Conc.Sal.27])))))))), 0)</f>
        <v>0</v>
      </c>
      <c r="AK53" s="302" t="n">
        <f aca="false" t="array" ref="AK53:AK53">IFERROR( (AVERAGE((IF(DATOS_[[Sexo]:[Sexo]]=$B53,IF(DATOS_[[AGRUP. CLAS. PROF.]:[AGRUP. CLAS. PROF.]]=$B51,IF(DATOS_[[Check Periodo Ref.]:[Check Periodo Ref.]]="Dentro",IF(DATOS_[[Check Equiparado]:[Check Equiparado]]="Sí",IF(DATOS!BF$4="Sí",(1/DATOS_[[% anualiz]:[% anualiz]]),1)*IF(DATOS!BF$5="Sí",1/DATOS_[[% normaliz]:[% normaliz]],1)*(DATOS_[Conc.Sal.28])))))))), 0)</f>
        <v>0</v>
      </c>
      <c r="AL53" s="302" t="n">
        <f aca="false" t="array" ref="AL53:AL53">IFERROR( (AVERAGE((IF(DATOS_[[Sexo]:[Sexo]]=$B53,IF(DATOS_[[AGRUP. CLAS. PROF.]:[AGRUP. CLAS. PROF.]]=$B51,IF(DATOS_[[Check Periodo Ref.]:[Check Periodo Ref.]]="Dentro",IF(DATOS_[[Check Equiparado]:[Check Equiparado]]="Sí",IF(DATOS!BG$4="Sí",(1/DATOS_[[% anualiz]:[% anualiz]]),1)*IF(DATOS!BG$5="Sí",1/DATOS_[[% normaliz]:[% normaliz]],1)*(DATOS_[Conc.Sal.29])))))))), 0)</f>
        <v>0</v>
      </c>
      <c r="AM53" s="302" t="n">
        <f aca="false" t="array" ref="AM53:AM53">IFERROR( (AVERAGE((IF(DATOS_[[Sexo]:[Sexo]]=$B53,IF(DATOS_[[AGRUP. CLAS. PROF.]:[AGRUP. CLAS. PROF.]]=$B51,IF(DATOS_[[Check Periodo Ref.]:[Check Periodo Ref.]]="Dentro",IF(DATOS_[[Check Equiparado]:[Check Equiparado]]="Sí",IF(DATOS!BH$4="Sí",(1/DATOS_[[% anualiz]:[% anualiz]]),1)*IF(DATOS!BH$5="Sí",1/DATOS_[[% normaliz]:[% normaliz]],1)*(DATOS_[Conc.Sal.30])))))))), 0)</f>
        <v>0</v>
      </c>
      <c r="AN53" s="294" t="n">
        <f aca="false" t="array" ref="AN53:AN53">IFERROR( AVERAGE(IF(DATOS_[Sexo]=$B53,IF(DATOS_[[AGRUP. CLAS. PROF.]:[AGRUP. CLAS. PROF.]]=$B51,IF(DATOS_[Check Equiparado]="Sí",IF(DATOS_[Check Periodo Ref.]="Dentro",DATOS_[Tot COMPL.SAL Eq],0))))), 0)</f>
        <v>0</v>
      </c>
      <c r="AO53" s="295" t="n">
        <f aca="false" t="array" ref="AO53:AO53">IFERROR( AVERAGE(IF(DATOS_[Sexo]=$B53,IF(DATOS_[[AGRUP. CLAS. PROF.]:[AGRUP. CLAS. PROF.]]=$B51,IF(DATOS_[Check Equiparado]="Sí",IF(DATOS_[Check Periodo Ref.]="Dentro",DATOS_[TOTAL SALARIO Eq],0))))), 0)</f>
        <v>0</v>
      </c>
      <c r="AP53" s="303" t="n">
        <f aca="false" t="array" ref="AP53:AP53">IFERROR( (AVERAGE((IF(DATOS_[[Sexo]:[Sexo]]=$B53,IF(DATOS_[[AGRUP. CLAS. PROF.]:[AGRUP. CLAS. PROF.]]=$B52,IF(DATOS_[[Check Periodo Ref.]:[Check Periodo Ref.]]="Dentro",IF(DATOS_[[Check Equiparado]:[Check Equiparado]]="Sí",IF(DATOS!BI$4="Sí",(1/DATOS_[[% anualiz]:[% anualiz]]),1)*IF(DATOS!BI$5="Sí",1/DATOS_[[% normaliz]:[% normaliz]],1)*(DATOS_[C.Extra.01])))))))), 0)</f>
        <v>0</v>
      </c>
      <c r="AQ53" s="303" t="n">
        <f aca="false" t="array" ref="AQ53:AQ53">IFERROR( (AVERAGE((IF(DATOS_[[Sexo]:[Sexo]]=$B53,IF(DATOS_[[AGRUP. CLAS. PROF.]:[AGRUP. CLAS. PROF.]]=$B52,IF(DATOS_[[Check Periodo Ref.]:[Check Periodo Ref.]]="Dentro",IF(DATOS_[[Check Equiparado]:[Check Equiparado]]="Sí",IF(DATOS!BJ$4="Sí",(1/DATOS_[[% anualiz]:[% anualiz]]),1)*IF(DATOS!BJ$5="Sí",1/DATOS_[[% normaliz]:[% normaliz]],1)*(DATOS_[C.Extra.02])))))))), 0)</f>
        <v>0</v>
      </c>
      <c r="AR53" s="303" t="n">
        <f aca="false" t="array" ref="AR53:AR53">IFERROR( (AVERAGE((IF(DATOS_[[Sexo]:[Sexo]]=$B53,IF(DATOS_[[AGRUP. CLAS. PROF.]:[AGRUP. CLAS. PROF.]]=$B52,IF(DATOS_[[Check Periodo Ref.]:[Check Periodo Ref.]]="Dentro",IF(DATOS_[[Check Equiparado]:[Check Equiparado]]="Sí",IF(DATOS!BK$4="Sí",(1/DATOS_[[% anualiz]:[% anualiz]]),1)*IF(DATOS!BK$5="Sí",1/DATOS_[[% normaliz]:[% normaliz]],1)*(DATOS_[C.Extra.03])))))))), 0)</f>
        <v>0</v>
      </c>
      <c r="AS53" s="303" t="n">
        <f aca="false" t="array" ref="AS53:AS53">IFERROR( (AVERAGE((IF(DATOS_[[Sexo]:[Sexo]]=$B53,IF(DATOS_[[AGRUP. CLAS. PROF.]:[AGRUP. CLAS. PROF.]]=$B52,IF(DATOS_[[Check Periodo Ref.]:[Check Periodo Ref.]]="Dentro",IF(DATOS_[[Check Equiparado]:[Check Equiparado]]="Sí",IF(DATOS!BL$4="Sí",(1/DATOS_[[% anualiz]:[% anualiz]]),1)*IF(DATOS!BL$5="Sí",1/DATOS_[[% normaliz]:[% normaliz]],1)*(DATOS_[C.Extra.04])))))))), 0)</f>
        <v>0</v>
      </c>
      <c r="AT53" s="303" t="n">
        <f aca="false" t="array" ref="AT53:AT53">IFERROR( (AVERAGE((IF(DATOS_[[Sexo]:[Sexo]]=$B53,IF(DATOS_[[AGRUP. CLAS. PROF.]:[AGRUP. CLAS. PROF.]]=$B52,IF(DATOS_[[Check Periodo Ref.]:[Check Periodo Ref.]]="Dentro",IF(DATOS_[[Check Equiparado]:[Check Equiparado]]="Sí",IF(DATOS!BM$4="Sí",(1/DATOS_[[% anualiz]:[% anualiz]]),1)*IF(DATOS!BM$5="Sí",1/DATOS_[[% normaliz]:[% normaliz]],1)*(DATOS_[C.Extra.05])))))))), 0)</f>
        <v>0</v>
      </c>
      <c r="AU53" s="297" t="n">
        <f aca="false" t="array" ref="AU53:AU53">IFERROR( AVERAGE(IF(DATOS_[Sexo]=$B53,IF(DATOS_[[AGRUP. CLAS. PROF.]:[AGRUP. CLAS. PROF.]]=$B51,IF(DATOS_[Check Equiparado]="Sí",IF(DATOS_[Check Periodo Ref.]="Dentro",DATOS_[Tot Extrasalarial Eq],0))))), 0)</f>
        <v>0</v>
      </c>
      <c r="AV53" s="298" t="n">
        <f aca="false" t="array" ref="AV53:AV53">IFERROR( AVERAGE(IF(DATOS_[Sexo]=$B53,IF(DATOS_[[AGRUP. CLAS. PROF.]:[AGRUP. CLAS. PROF.]]=$B51,IF(DATOS_[Check Equiparado]="Sí",IF(DATOS_[Check Periodo Ref.]="Dentro",DATOS_[TOTAL Retrib Eq],0))))), 0)</f>
        <v>0</v>
      </c>
    </row>
    <row r="54" customFormat="false" ht="15.75" hidden="false" customHeight="false" outlineLevel="0" collapsed="false">
      <c r="A54" s="166" t="str">
        <f aca="false">+A55</f>
        <v>[ocultar]</v>
      </c>
      <c r="B54" s="276" t="s">
        <v>207</v>
      </c>
      <c r="C54" s="277"/>
      <c r="D54" s="278"/>
      <c r="E54" s="278"/>
      <c r="F54" s="278"/>
      <c r="G54" s="278"/>
      <c r="H54" s="278"/>
      <c r="I54" s="279" t="str">
        <f aca="false">IFERROR((I55-I56)/I55,"")</f>
        <v/>
      </c>
      <c r="J54" s="280" t="str">
        <f aca="false">IFERROR((J55-J56)/J55,"")</f>
        <v/>
      </c>
      <c r="K54" s="281" t="str">
        <f aca="false">IFERROR((K55-K56)/K55,"")</f>
        <v/>
      </c>
      <c r="L54" s="281" t="str">
        <f aca="false">IFERROR((L55-L56)/L55,"")</f>
        <v/>
      </c>
      <c r="M54" s="281" t="str">
        <f aca="false">IFERROR((M55-M56)/M55,"")</f>
        <v/>
      </c>
      <c r="N54" s="282" t="str">
        <f aca="false">IFERROR((N55-N56)/N55,"")</f>
        <v/>
      </c>
      <c r="O54" s="283" t="str">
        <f aca="false">IFERROR((O55-O56)/O55,"")</f>
        <v/>
      </c>
      <c r="P54" s="283" t="str">
        <f aca="false">IFERROR((P55-P56)/P55,"")</f>
        <v/>
      </c>
      <c r="Q54" s="283" t="str">
        <f aca="false">IFERROR((Q55-Q56)/Q55,"")</f>
        <v/>
      </c>
      <c r="R54" s="283" t="str">
        <f aca="false">IFERROR((R55-R56)/R55,"")</f>
        <v/>
      </c>
      <c r="S54" s="283" t="str">
        <f aca="false">IFERROR((S55-S56)/S55,"")</f>
        <v/>
      </c>
      <c r="T54" s="283" t="str">
        <f aca="false">IFERROR((T55-T56)/T55,"")</f>
        <v/>
      </c>
      <c r="U54" s="283" t="str">
        <f aca="false">IFERROR((U55-U56)/U55,"")</f>
        <v/>
      </c>
      <c r="V54" s="283" t="str">
        <f aca="false">IFERROR((V55-V56)/V55,"")</f>
        <v/>
      </c>
      <c r="W54" s="283" t="str">
        <f aca="false">IFERROR((W55-W56)/W55,"")</f>
        <v/>
      </c>
      <c r="X54" s="283" t="str">
        <f aca="false">IFERROR((X55-X56)/X55,"")</f>
        <v/>
      </c>
      <c r="Y54" s="283" t="str">
        <f aca="false">IFERROR((Y55-Y56)/Y55,"")</f>
        <v/>
      </c>
      <c r="Z54" s="282" t="str">
        <f aca="false">IFERROR((Z55-Z56)/Z55,"")</f>
        <v/>
      </c>
      <c r="AA54" s="282" t="str">
        <f aca="false">IFERROR((AA55-AA56)/AA55,"")</f>
        <v/>
      </c>
      <c r="AB54" s="282" t="str">
        <f aca="false">IFERROR((AB55-AB56)/AB55,"")</f>
        <v/>
      </c>
      <c r="AC54" s="282" t="str">
        <f aca="false">IFERROR((AC55-AC56)/AC55,"")</f>
        <v/>
      </c>
      <c r="AD54" s="282" t="str">
        <f aca="false">IFERROR((AD55-AD56)/AD55,"")</f>
        <v/>
      </c>
      <c r="AE54" s="282" t="str">
        <f aca="false">IFERROR((AE55-AE56)/AE55,"")</f>
        <v/>
      </c>
      <c r="AF54" s="282" t="str">
        <f aca="false">IFERROR((AF55-AF56)/AF55,"")</f>
        <v/>
      </c>
      <c r="AG54" s="282" t="str">
        <f aca="false">IFERROR((AG55-AG56)/AG55,"")</f>
        <v/>
      </c>
      <c r="AH54" s="282" t="str">
        <f aca="false">IFERROR((AH55-AH56)/AH55,"")</f>
        <v/>
      </c>
      <c r="AI54" s="282" t="str">
        <f aca="false">IFERROR((AI55-AI56)/AI55,"")</f>
        <v/>
      </c>
      <c r="AJ54" s="282" t="str">
        <f aca="false">IFERROR((AJ55-AJ56)/AJ55,"")</f>
        <v/>
      </c>
      <c r="AK54" s="282" t="str">
        <f aca="false">IFERROR((AK55-AK56)/AK55,"")</f>
        <v/>
      </c>
      <c r="AL54" s="282" t="str">
        <f aca="false">IFERROR((AL55-AL56)/AL55,"")</f>
        <v/>
      </c>
      <c r="AM54" s="282" t="str">
        <f aca="false">IFERROR((AM55-AM56)/AM55,"")</f>
        <v/>
      </c>
      <c r="AN54" s="284" t="str">
        <f aca="false">IFERROR((AN55-AN56)/AN55,"")</f>
        <v/>
      </c>
      <c r="AO54" s="285" t="str">
        <f aca="false">IFERROR((AO55-AO56)/AO55,"")</f>
        <v/>
      </c>
      <c r="AP54" s="286" t="str">
        <f aca="false">IFERROR((AP55-AP56)/AP55,"")</f>
        <v/>
      </c>
      <c r="AQ54" s="286" t="str">
        <f aca="false">IFERROR((AQ55-AQ56)/AQ55,"")</f>
        <v/>
      </c>
      <c r="AR54" s="286" t="str">
        <f aca="false">IFERROR((AR55-AR56)/AR55,"")</f>
        <v/>
      </c>
      <c r="AS54" s="286" t="str">
        <f aca="false">IFERROR((AS55-AS56)/AS55,"")</f>
        <v/>
      </c>
      <c r="AT54" s="286" t="str">
        <f aca="false">IFERROR((AT55-AT56)/AT55,"")</f>
        <v/>
      </c>
      <c r="AU54" s="287" t="str">
        <f aca="false">IFERROR((AU55-AU56)/AU55,"")</f>
        <v/>
      </c>
      <c r="AV54" s="288" t="str">
        <f aca="false">IFERROR((AV55-AV56)/AV55,"")</f>
        <v/>
      </c>
    </row>
    <row r="55" customFormat="false" ht="14.25" hidden="false" customHeight="false" outlineLevel="0" collapsed="false">
      <c r="A55" s="166" t="str">
        <f aca="false">+IF(C55+C56=0,"[ocultar]","")</f>
        <v>[ocultar]</v>
      </c>
      <c r="B55" s="289" t="s">
        <v>371</v>
      </c>
      <c r="C55" s="290" t="n">
        <f aca="false" t="array" ref="C55:C55">SUM(IF($B55=DATOS_[Sexo], IF($B54=DATOS_[AGRUP. CLAS. PROF.], IF("Dentro"=DATOS_[Check Periodo Ref.], 1/(COUNTIFS(DATOS_[Sexo],$B55,DATOS_[AGRUP. CLAS. PROF.],$B54,DATOS_[Check Periodo Ref.],"Dentro",DATOS_[id],DATOS_[id]))))))</f>
        <v>0</v>
      </c>
      <c r="D55" s="291" t="n">
        <f aca="false">COUNTIFS(DATOS_[AGRUP. CLAS. PROF.],$B54,DATOS_[Sexo],$B55,DATOS_[Check Periodo Ref.],"Dentro")</f>
        <v>0</v>
      </c>
      <c r="E55" s="291" t="n">
        <f aca="false">COUNTIFS(DATOS_[AGRUP. CLAS. PROF.],$B54,DATOS_[Sexo],$B55,DATOS_[Check Periodo Ref.],"Dentro",DATOS_[Check Nº SC Norm],"Sí")</f>
        <v>0</v>
      </c>
      <c r="F55" s="291" t="n">
        <f aca="false">COUNTIFS(DATOS_[AGRUP. CLAS. PROF.],$B54,DATOS_[Sexo],$B55,DATOS_[Check Periodo Ref.],"Dentro",DATOS_[Check Nº SC Anualiz],"Sí")</f>
        <v>0</v>
      </c>
      <c r="G55" s="291" t="n">
        <f aca="false">COUNTIFS(DATOS_[AGRUP. CLAS. PROF.],$B54,DATOS_[Sexo],$B55,DATOS_[Check Periodo Ref.],"Dentro",DATOS_[Check Nº SC Norm y Anualiz],"Sí")</f>
        <v>0</v>
      </c>
      <c r="H55" s="291" t="n">
        <f aca="false">COUNTIFS(DATOS_[AGRUP. CLAS. PROF.],$B54,DATOS_[Sexo],$B55,DATOS_[Check Periodo Ref.],"Dentro",DATOS_[Check Equiparación],"Sí")</f>
        <v>0</v>
      </c>
      <c r="I55" s="292" t="n">
        <f aca="false" t="array" ref="I55:I55">IFERROR( AVERAGE(IF(DATOS_[Sexo]=$B55,IF(DATOS_[[AGRUP. CLAS. PROF.]:[AGRUP. CLAS. PROF.]]=$B54,IF(DATOS_[Check Equiparado]="Sí",IF(DATOS_[Check Periodo Ref.]="Dentro",DATOS_[SALARIO BASE Eq],0))))), 0)</f>
        <v>0</v>
      </c>
      <c r="J55" s="302" t="n">
        <f aca="false" t="array" ref="J55:J55">IFERROR( (AVERAGE((IF(DATOS_[[Sexo]:[Sexo]]=$B55,IF(DATOS_[[AGRUP. CLAS. PROF.]:[AGRUP. CLAS. PROF.]]=$B54,IF(DATOS_[[Check Periodo Ref.]:[Check Periodo Ref.]]="Dentro",IF(DATOS_[[Check Equiparado]:[Check Equiparado]]="Sí",IF(DATOS!AE$4="Sí",(1/DATOS_[[% anualiz]:[% anualiz]]),1)*IF(DATOS!AE$5="Sí",1/DATOS_[[% normaliz]:[% normaliz]],1)*(DATOS_[Conc.Sal.01])))))))), 0)</f>
        <v>0</v>
      </c>
      <c r="K55" s="302" t="n">
        <f aca="false" t="array" ref="K55:K55">IFERROR( (AVERAGE((IF(DATOS_[[Sexo]:[Sexo]]=$B55,IF(DATOS_[[AGRUP. CLAS. PROF.]:[AGRUP. CLAS. PROF.]]=$B54,IF(DATOS_[[Check Periodo Ref.]:[Check Periodo Ref.]]="Dentro",IF(DATOS_[[Check Equiparado]:[Check Equiparado]]="Sí",IF(DATOS!AF$4="Sí",(1/DATOS_[[% anualiz]:[% anualiz]]),1)*IF(DATOS!AF$5="Sí",1/DATOS_[[% normaliz]:[% normaliz]],1)*(DATOS_[Conc.Sal.02])))))))), 0)</f>
        <v>0</v>
      </c>
      <c r="L55" s="302" t="n">
        <f aca="false" t="array" ref="L55:L55">IFERROR( (AVERAGE((IF(DATOS_[[Sexo]:[Sexo]]=$B55,IF(DATOS_[[AGRUP. CLAS. PROF.]:[AGRUP. CLAS. PROF.]]=$B54,IF(DATOS_[[Check Periodo Ref.]:[Check Periodo Ref.]]="Dentro",IF(DATOS_[[Check Equiparado]:[Check Equiparado]]="Sí",IF(DATOS!AG$4="Sí",(1/DATOS_[[% anualiz]:[% anualiz]]),1)*IF(DATOS!AG$5="Sí",1/DATOS_[[% normaliz]:[% normaliz]],1)*(DATOS_[Conc.Sal.03])))))))), 0)</f>
        <v>0</v>
      </c>
      <c r="M55" s="302" t="n">
        <f aca="false" t="array" ref="M55:M55">IFERROR( (AVERAGE((IF(DATOS_[[Sexo]:[Sexo]]=$B55,IF(DATOS_[[AGRUP. CLAS. PROF.]:[AGRUP. CLAS. PROF.]]=$B54,IF(DATOS_[[Check Periodo Ref.]:[Check Periodo Ref.]]="Dentro",IF(DATOS_[[Check Equiparado]:[Check Equiparado]]="Sí",IF(DATOS!AH$4="Sí",(1/DATOS_[[% anualiz]:[% anualiz]]),1)*IF(DATOS!AH$5="Sí",1/DATOS_[[% normaliz]:[% normaliz]],1)*(DATOS_[Conc.Sal.04])))))))), 0)</f>
        <v>0</v>
      </c>
      <c r="N55" s="302" t="n">
        <f aca="false" t="array" ref="N55:N55">IFERROR( (AVERAGE((IF(DATOS_[[Sexo]:[Sexo]]=$B55,IF(DATOS_[[AGRUP. CLAS. PROF.]:[AGRUP. CLAS. PROF.]]=$B54,IF(DATOS_[[Check Periodo Ref.]:[Check Periodo Ref.]]="Dentro",IF(DATOS_[[Check Equiparado]:[Check Equiparado]]="Sí",IF(DATOS!AI$4="Sí",(1/DATOS_[[% anualiz]:[% anualiz]]),1)*IF(DATOS!AI$5="Sí",1/DATOS_[[% normaliz]:[% normaliz]],1)*(DATOS_[Conc.Sal.05])))))))), 0)</f>
        <v>0</v>
      </c>
      <c r="O55" s="302" t="n">
        <f aca="false" t="array" ref="O55:O55">IFERROR( (AVERAGE((IF(DATOS_[[Sexo]:[Sexo]]=$B55,IF(DATOS_[[AGRUP. CLAS. PROF.]:[AGRUP. CLAS. PROF.]]=$B54,IF(DATOS_[[Check Periodo Ref.]:[Check Periodo Ref.]]="Dentro",IF(DATOS_[[Check Equiparado]:[Check Equiparado]]="Sí",IF(DATOS!AJ$4="Sí",(1/DATOS_[[% anualiz]:[% anualiz]]),1)*IF(DATOS!AJ$5="Sí",1/DATOS_[[% normaliz]:[% normaliz]],1)*(DATOS_[Conc.Sal.06])))))))), 0)</f>
        <v>0</v>
      </c>
      <c r="P55" s="302" t="n">
        <f aca="false" t="array" ref="P55:P55">IFERROR( (AVERAGE((IF(DATOS_[[Sexo]:[Sexo]]=$B55,IF(DATOS_[[AGRUP. CLAS. PROF.]:[AGRUP. CLAS. PROF.]]=$B54,IF(DATOS_[[Check Periodo Ref.]:[Check Periodo Ref.]]="Dentro",IF(DATOS_[[Check Equiparado]:[Check Equiparado]]="Sí",IF(DATOS!AK$4="Sí",(1/DATOS_[[% anualiz]:[% anualiz]]),1)*IF(DATOS!AK$5="Sí",1/DATOS_[[% normaliz]:[% normaliz]],1)*(DATOS_[Conc.Sal.07])))))))), 0)</f>
        <v>0</v>
      </c>
      <c r="Q55" s="302" t="n">
        <f aca="false" t="array" ref="Q55:Q55">IFERROR( (AVERAGE((IF(DATOS_[[Sexo]:[Sexo]]=$B55,IF(DATOS_[[AGRUP. CLAS. PROF.]:[AGRUP. CLAS. PROF.]]=$B54,IF(DATOS_[[Check Periodo Ref.]:[Check Periodo Ref.]]="Dentro",IF(DATOS_[[Check Equiparado]:[Check Equiparado]]="Sí",IF(DATOS!AL$4="Sí",(1/DATOS_[[% anualiz]:[% anualiz]]),1)*IF(DATOS!AL$5="Sí",1/DATOS_[[% normaliz]:[% normaliz]],1)*(DATOS_[Conc.Sal.08])))))))), 0)</f>
        <v>0</v>
      </c>
      <c r="R55" s="302" t="n">
        <f aca="false" t="array" ref="R55:R55">IFERROR( (AVERAGE((IF(DATOS_[[Sexo]:[Sexo]]=$B55,IF(DATOS_[[AGRUP. CLAS. PROF.]:[AGRUP. CLAS. PROF.]]=$B54,IF(DATOS_[[Check Periodo Ref.]:[Check Periodo Ref.]]="Dentro",IF(DATOS_[[Check Equiparado]:[Check Equiparado]]="Sí",IF(DATOS!AM$4="Sí",(1/DATOS_[[% anualiz]:[% anualiz]]),1)*IF(DATOS!AM$5="Sí",1/DATOS_[[% normaliz]:[% normaliz]],1)*(DATOS_[Conc.Sal.09])))))))), 0)</f>
        <v>0</v>
      </c>
      <c r="S55" s="302" t="n">
        <f aca="false" t="array" ref="S55:S55">IFERROR( (AVERAGE((IF(DATOS_[[Sexo]:[Sexo]]=$B55,IF(DATOS_[[AGRUP. CLAS. PROF.]:[AGRUP. CLAS. PROF.]]=$B54,IF(DATOS_[[Check Periodo Ref.]:[Check Periodo Ref.]]="Dentro",IF(DATOS_[[Check Equiparado]:[Check Equiparado]]="Sí",IF(DATOS!AN$4="Sí",(1/DATOS_[[% anualiz]:[% anualiz]]),1)*IF(DATOS!AN$5="Sí",1/DATOS_[[% normaliz]:[% normaliz]],1)*(DATOS_[Conc.Sal.10])))))))), 0)</f>
        <v>0</v>
      </c>
      <c r="T55" s="302" t="n">
        <f aca="false" t="array" ref="T55:T55">IFERROR( (AVERAGE((IF(DATOS_[[Sexo]:[Sexo]]=$B55,IF(DATOS_[[AGRUP. CLAS. PROF.]:[AGRUP. CLAS. PROF.]]=$B54,IF(DATOS_[[Check Periodo Ref.]:[Check Periodo Ref.]]="Dentro",IF(DATOS_[[Check Equiparado]:[Check Equiparado]]="Sí",IF(DATOS!AO$4="Sí",(1/DATOS_[[% anualiz]:[% anualiz]]),1)*IF(DATOS!AO$5="Sí",1/DATOS_[[% normaliz]:[% normaliz]],1)*(DATOS_[Conc.Sal.11])))))))), 0)</f>
        <v>0</v>
      </c>
      <c r="U55" s="302" t="n">
        <f aca="false" t="array" ref="U55:U55">IFERROR( (AVERAGE((IF(DATOS_[[Sexo]:[Sexo]]=$B55,IF(DATOS_[[AGRUP. CLAS. PROF.]:[AGRUP. CLAS. PROF.]]=$B54,IF(DATOS_[[Check Periodo Ref.]:[Check Periodo Ref.]]="Dentro",IF(DATOS_[[Check Equiparado]:[Check Equiparado]]="Sí",IF(DATOS!AP$4="Sí",(1/DATOS_[[% anualiz]:[% anualiz]]),1)*IF(DATOS!AP$5="Sí",1/DATOS_[[% normaliz]:[% normaliz]],1)*(DATOS_[Conc.Sal.12])))))))), 0)</f>
        <v>0</v>
      </c>
      <c r="V55" s="302" t="n">
        <f aca="false" t="array" ref="V55:V55">IFERROR( (AVERAGE((IF(DATOS_[[Sexo]:[Sexo]]=$B55,IF(DATOS_[[AGRUP. CLAS. PROF.]:[AGRUP. CLAS. PROF.]]=$B54,IF(DATOS_[[Check Periodo Ref.]:[Check Periodo Ref.]]="Dentro",IF(DATOS_[[Check Equiparado]:[Check Equiparado]]="Sí",IF(DATOS!AQ$4="Sí",(1/DATOS_[[% anualiz]:[% anualiz]]),1)*IF(DATOS!AQ$5="Sí",1/DATOS_[[% normaliz]:[% normaliz]],1)*(DATOS_[Conc.Sal.13])))))))), 0)</f>
        <v>0</v>
      </c>
      <c r="W55" s="302" t="n">
        <f aca="false" t="array" ref="W55:W55">IFERROR( (AVERAGE((IF(DATOS_[[Sexo]:[Sexo]]=$B55,IF(DATOS_[[AGRUP. CLAS. PROF.]:[AGRUP. CLAS. PROF.]]=$B54,IF(DATOS_[[Check Periodo Ref.]:[Check Periodo Ref.]]="Dentro",IF(DATOS_[[Check Equiparado]:[Check Equiparado]]="Sí",IF(DATOS!AR$4="Sí",(1/DATOS_[[% anualiz]:[% anualiz]]),1)*IF(DATOS!AR$5="Sí",1/DATOS_[[% normaliz]:[% normaliz]],1)*(DATOS_[Conc.Sal.14])))))))), 0)</f>
        <v>0</v>
      </c>
      <c r="X55" s="302" t="n">
        <f aca="false" t="array" ref="X55:X55">IFERROR( (AVERAGE((IF(DATOS_[[Sexo]:[Sexo]]=$B55,IF(DATOS_[[AGRUP. CLAS. PROF.]:[AGRUP. CLAS. PROF.]]=$B54,IF(DATOS_[[Check Periodo Ref.]:[Check Periodo Ref.]]="Dentro",IF(DATOS_[[Check Equiparado]:[Check Equiparado]]="Sí",IF(DATOS!AS$4="Sí",(1/DATOS_[[% anualiz]:[% anualiz]]),1)*IF(DATOS!AS$5="Sí",1/DATOS_[[% normaliz]:[% normaliz]],1)*(DATOS_[Conc.Sal.15])))))))), 0)</f>
        <v>0</v>
      </c>
      <c r="Y55" s="302" t="n">
        <f aca="false" t="array" ref="Y55:Y55">IFERROR( (AVERAGE((IF(DATOS_[[Sexo]:[Sexo]]=$B55,IF(DATOS_[[AGRUP. CLAS. PROF.]:[AGRUP. CLAS. PROF.]]=$B54,IF(DATOS_[[Check Periodo Ref.]:[Check Periodo Ref.]]="Dentro",IF(DATOS_[[Check Equiparado]:[Check Equiparado]]="Sí",IF(DATOS!AT$4="Sí",(1/DATOS_[[% anualiz]:[% anualiz]]),1)*IF(DATOS!AT$5="Sí",1/DATOS_[[% normaliz]:[% normaliz]],1)*(DATOS_[Conc.Sal.16])))))))), 0)</f>
        <v>0</v>
      </c>
      <c r="Z55" s="302" t="n">
        <f aca="false" t="array" ref="Z55:Z55">IFERROR( (AVERAGE((IF(DATOS_[[Sexo]:[Sexo]]=$B55,IF(DATOS_[[AGRUP. CLAS. PROF.]:[AGRUP. CLAS. PROF.]]=$B54,IF(DATOS_[[Check Periodo Ref.]:[Check Periodo Ref.]]="Dentro",IF(DATOS_[[Check Equiparado]:[Check Equiparado]]="Sí",IF(DATOS!AU$4="Sí",(1/DATOS_[[% anualiz]:[% anualiz]]),1)*IF(DATOS!AU$5="Sí",1/DATOS_[[% normaliz]:[% normaliz]],1)*(DATOS_[Conc.Sal.17])))))))), 0)</f>
        <v>0</v>
      </c>
      <c r="AA55" s="302" t="n">
        <f aca="false" t="array" ref="AA55:AA55">IFERROR( (AVERAGE((IF(DATOS_[[Sexo]:[Sexo]]=$B55,IF(DATOS_[[AGRUP. CLAS. PROF.]:[AGRUP. CLAS. PROF.]]=$B54,IF(DATOS_[[Check Periodo Ref.]:[Check Periodo Ref.]]="Dentro",IF(DATOS_[[Check Equiparado]:[Check Equiparado]]="Sí",IF(DATOS!AV$4="Sí",(1/DATOS_[[% anualiz]:[% anualiz]]),1)*IF(DATOS!AV$5="Sí",1/DATOS_[[% normaliz]:[% normaliz]],1)*(DATOS_[Conc.Sal.18])))))))), 0)</f>
        <v>0</v>
      </c>
      <c r="AB55" s="302" t="n">
        <f aca="false" t="array" ref="AB55:AB55">IFERROR( (AVERAGE((IF(DATOS_[[Sexo]:[Sexo]]=$B55,IF(DATOS_[[AGRUP. CLAS. PROF.]:[AGRUP. CLAS. PROF.]]=$B54,IF(DATOS_[[Check Periodo Ref.]:[Check Periodo Ref.]]="Dentro",IF(DATOS_[[Check Equiparado]:[Check Equiparado]]="Sí",IF(DATOS!AW$4="Sí",(1/DATOS_[[% anualiz]:[% anualiz]]),1)*IF(DATOS!AW$5="Sí",1/DATOS_[[% normaliz]:[% normaliz]],1)*(DATOS_[Conc.Sal.19])))))))), 0)</f>
        <v>0</v>
      </c>
      <c r="AC55" s="302" t="n">
        <f aca="false" t="array" ref="AC55:AC55">IFERROR( (AVERAGE((IF(DATOS_[[Sexo]:[Sexo]]=$B55,IF(DATOS_[[AGRUP. CLAS. PROF.]:[AGRUP. CLAS. PROF.]]=$B54,IF(DATOS_[[Check Periodo Ref.]:[Check Periodo Ref.]]="Dentro",IF(DATOS_[[Check Equiparado]:[Check Equiparado]]="Sí",IF(DATOS!AX$4="Sí",(1/DATOS_[[% anualiz]:[% anualiz]]),1)*IF(DATOS!AX$5="Sí",1/DATOS_[[% normaliz]:[% normaliz]],1)*(DATOS_[Conc.Sal.20])))))))), 0)</f>
        <v>0</v>
      </c>
      <c r="AD55" s="302" t="n">
        <f aca="false" t="array" ref="AD55:AD55">IFERROR( (AVERAGE((IF(DATOS_[[Sexo]:[Sexo]]=$B55,IF(DATOS_[[AGRUP. CLAS. PROF.]:[AGRUP. CLAS. PROF.]]=$B54,IF(DATOS_[[Check Periodo Ref.]:[Check Periodo Ref.]]="Dentro",IF(DATOS_[[Check Equiparado]:[Check Equiparado]]="Sí",IF(DATOS!AY$4="Sí",(1/DATOS_[[% anualiz]:[% anualiz]]),1)*IF(DATOS!AY$5="Sí",1/DATOS_[[% normaliz]:[% normaliz]],1)*(DATOS_[Conc.Sal.21])))))))), 0)</f>
        <v>0</v>
      </c>
      <c r="AE55" s="302" t="n">
        <f aca="false" t="array" ref="AE55:AE55">IFERROR( (AVERAGE((IF(DATOS_[[Sexo]:[Sexo]]=$B55,IF(DATOS_[[AGRUP. CLAS. PROF.]:[AGRUP. CLAS. PROF.]]=$B54,IF(DATOS_[[Check Periodo Ref.]:[Check Periodo Ref.]]="Dentro",IF(DATOS_[[Check Equiparado]:[Check Equiparado]]="Sí",IF(DATOS!AZ$4="Sí",(1/DATOS_[[% anualiz]:[% anualiz]]),1)*IF(DATOS!AZ$5="Sí",1/DATOS_[[% normaliz]:[% normaliz]],1)*(DATOS_[Conc.Sal.22])))))))), 0)</f>
        <v>0</v>
      </c>
      <c r="AF55" s="302" t="n">
        <f aca="false" t="array" ref="AF55:AF55">IFERROR( (AVERAGE((IF(DATOS_[[Sexo]:[Sexo]]=$B55,IF(DATOS_[[AGRUP. CLAS. PROF.]:[AGRUP. CLAS. PROF.]]=$B54,IF(DATOS_[[Check Periodo Ref.]:[Check Periodo Ref.]]="Dentro",IF(DATOS_[[Check Equiparado]:[Check Equiparado]]="Sí",IF(DATOS!BA$4="Sí",(1/DATOS_[[% anualiz]:[% anualiz]]),1)*IF(DATOS!BA$5="Sí",1/DATOS_[[% normaliz]:[% normaliz]],1)*(DATOS_[Conc.Sal.23])))))))), 0)</f>
        <v>0</v>
      </c>
      <c r="AG55" s="302" t="n">
        <f aca="false" t="array" ref="AG55:AG55">IFERROR( (AVERAGE((IF(DATOS_[[Sexo]:[Sexo]]=$B55,IF(DATOS_[[AGRUP. CLAS. PROF.]:[AGRUP. CLAS. PROF.]]=$B54,IF(DATOS_[[Check Periodo Ref.]:[Check Periodo Ref.]]="Dentro",IF(DATOS_[[Check Equiparado]:[Check Equiparado]]="Sí",IF(DATOS!BB$4="Sí",(1/DATOS_[[% anualiz]:[% anualiz]]),1)*IF(DATOS!BB$5="Sí",1/DATOS_[[% normaliz]:[% normaliz]],1)*(DATOS_[Conc.Sal.24])))))))), 0)</f>
        <v>0</v>
      </c>
      <c r="AH55" s="302" t="n">
        <f aca="false" t="array" ref="AH55:AH55">IFERROR( (AVERAGE((IF(DATOS_[[Sexo]:[Sexo]]=$B55,IF(DATOS_[[AGRUP. CLAS. PROF.]:[AGRUP. CLAS. PROF.]]=$B54,IF(DATOS_[[Check Periodo Ref.]:[Check Periodo Ref.]]="Dentro",IF(DATOS_[[Check Equiparado]:[Check Equiparado]]="Sí",IF(DATOS!BC$4="Sí",(1/DATOS_[[% anualiz]:[% anualiz]]),1)*IF(DATOS!BC$5="Sí",1/DATOS_[[% normaliz]:[% normaliz]],1)*(DATOS_[Conc.Sal.25])))))))), 0)</f>
        <v>0</v>
      </c>
      <c r="AI55" s="302" t="n">
        <f aca="false" t="array" ref="AI55:AI55">IFERROR( (AVERAGE((IF(DATOS_[[Sexo]:[Sexo]]=$B55,IF(DATOS_[[AGRUP. CLAS. PROF.]:[AGRUP. CLAS. PROF.]]=$B54,IF(DATOS_[[Check Periodo Ref.]:[Check Periodo Ref.]]="Dentro",IF(DATOS_[[Check Equiparado]:[Check Equiparado]]="Sí",IF(DATOS!BD$4="Sí",(1/DATOS_[[% anualiz]:[% anualiz]]),1)*IF(DATOS!BD$5="Sí",1/DATOS_[[% normaliz]:[% normaliz]],1)*(DATOS_[Conc.Sal.26])))))))), 0)</f>
        <v>0</v>
      </c>
      <c r="AJ55" s="302" t="n">
        <f aca="false" t="array" ref="AJ55:AJ55">IFERROR( (AVERAGE((IF(DATOS_[[Sexo]:[Sexo]]=$B55,IF(DATOS_[[AGRUP. CLAS. PROF.]:[AGRUP. CLAS. PROF.]]=$B54,IF(DATOS_[[Check Periodo Ref.]:[Check Periodo Ref.]]="Dentro",IF(DATOS_[[Check Equiparado]:[Check Equiparado]]="Sí",IF(DATOS!BE$4="Sí",(1/DATOS_[[% anualiz]:[% anualiz]]),1)*IF(DATOS!BE$5="Sí",1/DATOS_[[% normaliz]:[% normaliz]],1)*(DATOS_[Conc.Sal.27])))))))), 0)</f>
        <v>0</v>
      </c>
      <c r="AK55" s="302" t="n">
        <f aca="false" t="array" ref="AK55:AK55">IFERROR( (AVERAGE((IF(DATOS_[[Sexo]:[Sexo]]=$B55,IF(DATOS_[[AGRUP. CLAS. PROF.]:[AGRUP. CLAS. PROF.]]=$B54,IF(DATOS_[[Check Periodo Ref.]:[Check Periodo Ref.]]="Dentro",IF(DATOS_[[Check Equiparado]:[Check Equiparado]]="Sí",IF(DATOS!BF$4="Sí",(1/DATOS_[[% anualiz]:[% anualiz]]),1)*IF(DATOS!BF$5="Sí",1/DATOS_[[% normaliz]:[% normaliz]],1)*(DATOS_[Conc.Sal.28])))))))), 0)</f>
        <v>0</v>
      </c>
      <c r="AL55" s="302" t="n">
        <f aca="false" t="array" ref="AL55:AL55">IFERROR( (AVERAGE((IF(DATOS_[[Sexo]:[Sexo]]=$B55,IF(DATOS_[[AGRUP. CLAS. PROF.]:[AGRUP. CLAS. PROF.]]=$B54,IF(DATOS_[[Check Periodo Ref.]:[Check Periodo Ref.]]="Dentro",IF(DATOS_[[Check Equiparado]:[Check Equiparado]]="Sí",IF(DATOS!BG$4="Sí",(1/DATOS_[[% anualiz]:[% anualiz]]),1)*IF(DATOS!BG$5="Sí",1/DATOS_[[% normaliz]:[% normaliz]],1)*(DATOS_[Conc.Sal.29])))))))), 0)</f>
        <v>0</v>
      </c>
      <c r="AM55" s="302" t="n">
        <f aca="false" t="array" ref="AM55:AM55">IFERROR( (AVERAGE((IF(DATOS_[[Sexo]:[Sexo]]=$B55,IF(DATOS_[[AGRUP. CLAS. PROF.]:[AGRUP. CLAS. PROF.]]=$B54,IF(DATOS_[[Check Periodo Ref.]:[Check Periodo Ref.]]="Dentro",IF(DATOS_[[Check Equiparado]:[Check Equiparado]]="Sí",IF(DATOS!BH$4="Sí",(1/DATOS_[[% anualiz]:[% anualiz]]),1)*IF(DATOS!BH$5="Sí",1/DATOS_[[% normaliz]:[% normaliz]],1)*(DATOS_[Conc.Sal.30])))))))), 0)</f>
        <v>0</v>
      </c>
      <c r="AN55" s="294" t="n">
        <f aca="false" t="array" ref="AN55:AN55">IFERROR( AVERAGE(IF(DATOS_[Sexo]=$B55,IF(DATOS_[[AGRUP. CLAS. PROF.]:[AGRUP. CLAS. PROF.]]=$B54,IF(DATOS_[Check Equiparado]="Sí",IF(DATOS_[Check Periodo Ref.]="Dentro",DATOS_[Tot COMPL.SAL Eq],0))))), 0)</f>
        <v>0</v>
      </c>
      <c r="AO55" s="295" t="n">
        <f aca="false" t="array" ref="AO55:AO55">IFERROR( AVERAGE(IF(DATOS_[Sexo]=$B55,IF(DATOS_[[AGRUP. CLAS. PROF.]:[AGRUP. CLAS. PROF.]]=$B54,IF(DATOS_[Check Equiparado]="Sí",IF(DATOS_[Check Periodo Ref.]="Dentro",DATOS_[TOTAL SALARIO Eq],0))))), 0)</f>
        <v>0</v>
      </c>
      <c r="AP55" s="303" t="n">
        <f aca="false" t="array" ref="AP55:AP55">IFERROR( (AVERAGE((IF(DATOS_[[Sexo]:[Sexo]]=$B55,IF(DATOS_[[AGRUP. CLAS. PROF.]:[AGRUP. CLAS. PROF.]]=$B54,IF(DATOS_[[Check Periodo Ref.]:[Check Periodo Ref.]]="Dentro",IF(DATOS_[[Check Equiparado]:[Check Equiparado]]="Sí",IF(DATOS!BI$4="Sí",(1/DATOS_[[% anualiz]:[% anualiz]]),1)*IF(DATOS!BI$5="Sí",1/DATOS_[[% normaliz]:[% normaliz]],1)*(DATOS_[C.Extra.01])))))))), 0)</f>
        <v>0</v>
      </c>
      <c r="AQ55" s="303" t="n">
        <f aca="false" t="array" ref="AQ55:AQ55">IFERROR( (AVERAGE((IF(DATOS_[[Sexo]:[Sexo]]=$B55,IF(DATOS_[[AGRUP. CLAS. PROF.]:[AGRUP. CLAS. PROF.]]=$B54,IF(DATOS_[[Check Periodo Ref.]:[Check Periodo Ref.]]="Dentro",IF(DATOS_[[Check Equiparado]:[Check Equiparado]]="Sí",IF(DATOS!BJ$4="Sí",(1/DATOS_[[% anualiz]:[% anualiz]]),1)*IF(DATOS!BJ$5="Sí",1/DATOS_[[% normaliz]:[% normaliz]],1)*(DATOS_[C.Extra.02])))))))), 0)</f>
        <v>0</v>
      </c>
      <c r="AR55" s="303" t="n">
        <f aca="false" t="array" ref="AR55:AR55">IFERROR( (AVERAGE((IF(DATOS_[[Sexo]:[Sexo]]=$B55,IF(DATOS_[[AGRUP. CLAS. PROF.]:[AGRUP. CLAS. PROF.]]=$B54,IF(DATOS_[[Check Periodo Ref.]:[Check Periodo Ref.]]="Dentro",IF(DATOS_[[Check Equiparado]:[Check Equiparado]]="Sí",IF(DATOS!BK$4="Sí",(1/DATOS_[[% anualiz]:[% anualiz]]),1)*IF(DATOS!BK$5="Sí",1/DATOS_[[% normaliz]:[% normaliz]],1)*(DATOS_[C.Extra.03])))))))), 0)</f>
        <v>0</v>
      </c>
      <c r="AS55" s="303" t="n">
        <f aca="false" t="array" ref="AS55:AS55">IFERROR( (AVERAGE((IF(DATOS_[[Sexo]:[Sexo]]=$B55,IF(DATOS_[[AGRUP. CLAS. PROF.]:[AGRUP. CLAS. PROF.]]=$B54,IF(DATOS_[[Check Periodo Ref.]:[Check Periodo Ref.]]="Dentro",IF(DATOS_[[Check Equiparado]:[Check Equiparado]]="Sí",IF(DATOS!BL$4="Sí",(1/DATOS_[[% anualiz]:[% anualiz]]),1)*IF(DATOS!BL$5="Sí",1/DATOS_[[% normaliz]:[% normaliz]],1)*(DATOS_[C.Extra.04])))))))), 0)</f>
        <v>0</v>
      </c>
      <c r="AT55" s="303" t="n">
        <f aca="false" t="array" ref="AT55:AT55">IFERROR( (AVERAGE((IF(DATOS_[[Sexo]:[Sexo]]=$B55,IF(DATOS_[[AGRUP. CLAS. PROF.]:[AGRUP. CLAS. PROF.]]=$B54,IF(DATOS_[[Check Periodo Ref.]:[Check Periodo Ref.]]="Dentro",IF(DATOS_[[Check Equiparado]:[Check Equiparado]]="Sí",IF(DATOS!BM$4="Sí",(1/DATOS_[[% anualiz]:[% anualiz]]),1)*IF(DATOS!BM$5="Sí",1/DATOS_[[% normaliz]:[% normaliz]],1)*(DATOS_[C.Extra.05])))))))), 0)</f>
        <v>0</v>
      </c>
      <c r="AU55" s="297" t="n">
        <f aca="false" t="array" ref="AU55:AU55">IFERROR( AVERAGE(IF(DATOS_[Sexo]=$B55,IF(DATOS_[[AGRUP. CLAS. PROF.]:[AGRUP. CLAS. PROF.]]=$B54,IF(DATOS_[Check Equiparado]="Sí",IF(DATOS_[Check Periodo Ref.]="Dentro",DATOS_[Tot Extrasalarial Eq],0))))), 0)</f>
        <v>0</v>
      </c>
      <c r="AV55" s="298" t="n">
        <f aca="false" t="array" ref="AV55:AV55">IFERROR( AVERAGE(IF(DATOS_[Sexo]=$B55,IF(DATOS_[[AGRUP. CLAS. PROF.]:[AGRUP. CLAS. PROF.]]=$B54,IF(DATOS_[Check Equiparado]="Sí",IF(DATOS_[Check Periodo Ref.]="Dentro",DATOS_[TOTAL Retrib Eq],0))))), 0)</f>
        <v>0</v>
      </c>
    </row>
    <row r="56" customFormat="false" ht="14.25" hidden="false" customHeight="false" outlineLevel="0" collapsed="false">
      <c r="A56" s="166" t="str">
        <f aca="false">+A55</f>
        <v>[ocultar]</v>
      </c>
      <c r="B56" s="289" t="s">
        <v>372</v>
      </c>
      <c r="C56" s="290" t="n">
        <f aca="false" t="array" ref="C56:C56">SUM(IF($B56=DATOS_[Sexo], IF($B54=DATOS_[AGRUP. CLAS. PROF.], IF("Dentro"=DATOS_[Check Periodo Ref.], 1/(COUNTIFS(DATOS_[Sexo],$B56,DATOS_[AGRUP. CLAS. PROF.],$B54,DATOS_[Check Periodo Ref.],"Dentro",DATOS_[id],DATOS_[id]))))))</f>
        <v>0</v>
      </c>
      <c r="D56" s="291" t="n">
        <f aca="false">COUNTIFS(DATOS_[AGRUP. CLAS. PROF.],$B54,DATOS_[Sexo],$B56,DATOS_[Check Periodo Ref.],"Dentro")</f>
        <v>0</v>
      </c>
      <c r="E56" s="291" t="n">
        <f aca="false">COUNTIFS(DATOS_[AGRUP. CLAS. PROF.],$B54,DATOS_[Sexo],$B56,DATOS_[Check Periodo Ref.],"Dentro",DATOS_[Check Nº SC Norm],"Sí")</f>
        <v>0</v>
      </c>
      <c r="F56" s="291" t="n">
        <f aca="false">COUNTIFS(DATOS_[AGRUP. CLAS. PROF.],$B54,DATOS_[Sexo],$B56,DATOS_[Check Periodo Ref.],"Dentro",DATOS_[Check Nº SC Anualiz],"Sí")</f>
        <v>0</v>
      </c>
      <c r="G56" s="291" t="n">
        <f aca="false">COUNTIFS(DATOS_[AGRUP. CLAS. PROF.],$B54,DATOS_[Sexo],$B56,DATOS_[Check Periodo Ref.],"Dentro",DATOS_[Check Nº SC Norm y Anualiz],"Sí")</f>
        <v>0</v>
      </c>
      <c r="H56" s="291" t="n">
        <f aca="false">COUNTIFS(DATOS_[AGRUP. CLAS. PROF.],$B54,DATOS_[Sexo],$B56,DATOS_[Check Periodo Ref.],"Dentro",DATOS_[Check Equiparación],"Sí")</f>
        <v>0</v>
      </c>
      <c r="I56" s="292" t="n">
        <f aca="false" t="array" ref="I56:I56">IFERROR( AVERAGE(IF(DATOS_[Sexo]=$B56,IF(DATOS_[[AGRUP. CLAS. PROF.]:[AGRUP. CLAS. PROF.]]=$B54,IF(DATOS_[Check Equiparado]="Sí",IF(DATOS_[Check Periodo Ref.]="Dentro",DATOS_[SALARIO BASE Eq],0))))), 0)</f>
        <v>0</v>
      </c>
      <c r="J56" s="302" t="n">
        <f aca="false" t="array" ref="J56:J56">IFERROR( (AVERAGE((IF(DATOS_[[Sexo]:[Sexo]]=$B56,IF(DATOS_[[AGRUP. CLAS. PROF.]:[AGRUP. CLAS. PROF.]]=$B54,IF(DATOS_[[Check Periodo Ref.]:[Check Periodo Ref.]]="Dentro",IF(DATOS_[[Check Equiparado]:[Check Equiparado]]="Sí",IF(DATOS!AE$4="Sí",(1/DATOS_[[% anualiz]:[% anualiz]]),1)*IF(DATOS!AE$5="Sí",1/DATOS_[[% normaliz]:[% normaliz]],1)*(DATOS_[Conc.Sal.01])))))))), 0)</f>
        <v>0</v>
      </c>
      <c r="K56" s="302" t="n">
        <f aca="false" t="array" ref="K56:K56">IFERROR( (AVERAGE((IF(DATOS_[[Sexo]:[Sexo]]=$B56,IF(DATOS_[[AGRUP. CLAS. PROF.]:[AGRUP. CLAS. PROF.]]=$B54,IF(DATOS_[[Check Periodo Ref.]:[Check Periodo Ref.]]="Dentro",IF(DATOS_[[Check Equiparado]:[Check Equiparado]]="Sí",IF(DATOS!AF$4="Sí",(1/DATOS_[[% anualiz]:[% anualiz]]),1)*IF(DATOS!AF$5="Sí",1/DATOS_[[% normaliz]:[% normaliz]],1)*(DATOS_[Conc.Sal.02])))))))), 0)</f>
        <v>0</v>
      </c>
      <c r="L56" s="302" t="n">
        <f aca="false" t="array" ref="L56:L56">IFERROR( (AVERAGE((IF(DATOS_[[Sexo]:[Sexo]]=$B56,IF(DATOS_[[AGRUP. CLAS. PROF.]:[AGRUP. CLAS. PROF.]]=$B54,IF(DATOS_[[Check Periodo Ref.]:[Check Periodo Ref.]]="Dentro",IF(DATOS_[[Check Equiparado]:[Check Equiparado]]="Sí",IF(DATOS!AG$4="Sí",(1/DATOS_[[% anualiz]:[% anualiz]]),1)*IF(DATOS!AG$5="Sí",1/DATOS_[[% normaliz]:[% normaliz]],1)*(DATOS_[Conc.Sal.03])))))))), 0)</f>
        <v>0</v>
      </c>
      <c r="M56" s="302" t="n">
        <f aca="false" t="array" ref="M56:M56">IFERROR( (AVERAGE((IF(DATOS_[[Sexo]:[Sexo]]=$B56,IF(DATOS_[[AGRUP. CLAS. PROF.]:[AGRUP. CLAS. PROF.]]=$B54,IF(DATOS_[[Check Periodo Ref.]:[Check Periodo Ref.]]="Dentro",IF(DATOS_[[Check Equiparado]:[Check Equiparado]]="Sí",IF(DATOS!AH$4="Sí",(1/DATOS_[[% anualiz]:[% anualiz]]),1)*IF(DATOS!AH$5="Sí",1/DATOS_[[% normaliz]:[% normaliz]],1)*(DATOS_[Conc.Sal.04])))))))), 0)</f>
        <v>0</v>
      </c>
      <c r="N56" s="302" t="n">
        <f aca="false" t="array" ref="N56:N56">IFERROR( (AVERAGE((IF(DATOS_[[Sexo]:[Sexo]]=$B56,IF(DATOS_[[AGRUP. CLAS. PROF.]:[AGRUP. CLAS. PROF.]]=$B54,IF(DATOS_[[Check Periodo Ref.]:[Check Periodo Ref.]]="Dentro",IF(DATOS_[[Check Equiparado]:[Check Equiparado]]="Sí",IF(DATOS!AI$4="Sí",(1/DATOS_[[% anualiz]:[% anualiz]]),1)*IF(DATOS!AI$5="Sí",1/DATOS_[[% normaliz]:[% normaliz]],1)*(DATOS_[Conc.Sal.05])))))))), 0)</f>
        <v>0</v>
      </c>
      <c r="O56" s="302" t="n">
        <f aca="false" t="array" ref="O56:O56">IFERROR( (AVERAGE((IF(DATOS_[[Sexo]:[Sexo]]=$B56,IF(DATOS_[[AGRUP. CLAS. PROF.]:[AGRUP. CLAS. PROF.]]=$B54,IF(DATOS_[[Check Periodo Ref.]:[Check Periodo Ref.]]="Dentro",IF(DATOS_[[Check Equiparado]:[Check Equiparado]]="Sí",IF(DATOS!AJ$4="Sí",(1/DATOS_[[% anualiz]:[% anualiz]]),1)*IF(DATOS!AJ$5="Sí",1/DATOS_[[% normaliz]:[% normaliz]],1)*(DATOS_[Conc.Sal.06])))))))), 0)</f>
        <v>0</v>
      </c>
      <c r="P56" s="302" t="n">
        <f aca="false" t="array" ref="P56:P56">IFERROR( (AVERAGE((IF(DATOS_[[Sexo]:[Sexo]]=$B56,IF(DATOS_[[AGRUP. CLAS. PROF.]:[AGRUP. CLAS. PROF.]]=$B54,IF(DATOS_[[Check Periodo Ref.]:[Check Periodo Ref.]]="Dentro",IF(DATOS_[[Check Equiparado]:[Check Equiparado]]="Sí",IF(DATOS!AK$4="Sí",(1/DATOS_[[% anualiz]:[% anualiz]]),1)*IF(DATOS!AK$5="Sí",1/DATOS_[[% normaliz]:[% normaliz]],1)*(DATOS_[Conc.Sal.07])))))))), 0)</f>
        <v>0</v>
      </c>
      <c r="Q56" s="302" t="n">
        <f aca="false" t="array" ref="Q56:Q56">IFERROR( (AVERAGE((IF(DATOS_[[Sexo]:[Sexo]]=$B56,IF(DATOS_[[AGRUP. CLAS. PROF.]:[AGRUP. CLAS. PROF.]]=$B54,IF(DATOS_[[Check Periodo Ref.]:[Check Periodo Ref.]]="Dentro",IF(DATOS_[[Check Equiparado]:[Check Equiparado]]="Sí",IF(DATOS!AL$4="Sí",(1/DATOS_[[% anualiz]:[% anualiz]]),1)*IF(DATOS!AL$5="Sí",1/DATOS_[[% normaliz]:[% normaliz]],1)*(DATOS_[Conc.Sal.08])))))))), 0)</f>
        <v>0</v>
      </c>
      <c r="R56" s="302" t="n">
        <f aca="false" t="array" ref="R56:R56">IFERROR( (AVERAGE((IF(DATOS_[[Sexo]:[Sexo]]=$B56,IF(DATOS_[[AGRUP. CLAS. PROF.]:[AGRUP. CLAS. PROF.]]=$B54,IF(DATOS_[[Check Periodo Ref.]:[Check Periodo Ref.]]="Dentro",IF(DATOS_[[Check Equiparado]:[Check Equiparado]]="Sí",IF(DATOS!AM$4="Sí",(1/DATOS_[[% anualiz]:[% anualiz]]),1)*IF(DATOS!AM$5="Sí",1/DATOS_[[% normaliz]:[% normaliz]],1)*(DATOS_[Conc.Sal.09])))))))), 0)</f>
        <v>0</v>
      </c>
      <c r="S56" s="302" t="n">
        <f aca="false" t="array" ref="S56:S56">IFERROR( (AVERAGE((IF(DATOS_[[Sexo]:[Sexo]]=$B56,IF(DATOS_[[AGRUP. CLAS. PROF.]:[AGRUP. CLAS. PROF.]]=$B54,IF(DATOS_[[Check Periodo Ref.]:[Check Periodo Ref.]]="Dentro",IF(DATOS_[[Check Equiparado]:[Check Equiparado]]="Sí",IF(DATOS!AN$4="Sí",(1/DATOS_[[% anualiz]:[% anualiz]]),1)*IF(DATOS!AN$5="Sí",1/DATOS_[[% normaliz]:[% normaliz]],1)*(DATOS_[Conc.Sal.10])))))))), 0)</f>
        <v>0</v>
      </c>
      <c r="T56" s="302" t="n">
        <f aca="false" t="array" ref="T56:T56">IFERROR( (AVERAGE((IF(DATOS_[[Sexo]:[Sexo]]=$B56,IF(DATOS_[[AGRUP. CLAS. PROF.]:[AGRUP. CLAS. PROF.]]=$B54,IF(DATOS_[[Check Periodo Ref.]:[Check Periodo Ref.]]="Dentro",IF(DATOS_[[Check Equiparado]:[Check Equiparado]]="Sí",IF(DATOS!AO$4="Sí",(1/DATOS_[[% anualiz]:[% anualiz]]),1)*IF(DATOS!AO$5="Sí",1/DATOS_[[% normaliz]:[% normaliz]],1)*(DATOS_[Conc.Sal.11])))))))), 0)</f>
        <v>0</v>
      </c>
      <c r="U56" s="302" t="n">
        <f aca="false" t="array" ref="U56:U56">IFERROR( (AVERAGE((IF(DATOS_[[Sexo]:[Sexo]]=$B56,IF(DATOS_[[AGRUP. CLAS. PROF.]:[AGRUP. CLAS. PROF.]]=$B54,IF(DATOS_[[Check Periodo Ref.]:[Check Periodo Ref.]]="Dentro",IF(DATOS_[[Check Equiparado]:[Check Equiparado]]="Sí",IF(DATOS!AP$4="Sí",(1/DATOS_[[% anualiz]:[% anualiz]]),1)*IF(DATOS!AP$5="Sí",1/DATOS_[[% normaliz]:[% normaliz]],1)*(DATOS_[Conc.Sal.12])))))))), 0)</f>
        <v>0</v>
      </c>
      <c r="V56" s="302" t="n">
        <f aca="false" t="array" ref="V56:V56">IFERROR( (AVERAGE((IF(DATOS_[[Sexo]:[Sexo]]=$B56,IF(DATOS_[[AGRUP. CLAS. PROF.]:[AGRUP. CLAS. PROF.]]=$B54,IF(DATOS_[[Check Periodo Ref.]:[Check Periodo Ref.]]="Dentro",IF(DATOS_[[Check Equiparado]:[Check Equiparado]]="Sí",IF(DATOS!AQ$4="Sí",(1/DATOS_[[% anualiz]:[% anualiz]]),1)*IF(DATOS!AQ$5="Sí",1/DATOS_[[% normaliz]:[% normaliz]],1)*(DATOS_[Conc.Sal.13])))))))), 0)</f>
        <v>0</v>
      </c>
      <c r="W56" s="302" t="n">
        <f aca="false" t="array" ref="W56:W56">IFERROR( (AVERAGE((IF(DATOS_[[Sexo]:[Sexo]]=$B56,IF(DATOS_[[AGRUP. CLAS. PROF.]:[AGRUP. CLAS. PROF.]]=$B54,IF(DATOS_[[Check Periodo Ref.]:[Check Periodo Ref.]]="Dentro",IF(DATOS_[[Check Equiparado]:[Check Equiparado]]="Sí",IF(DATOS!AR$4="Sí",(1/DATOS_[[% anualiz]:[% anualiz]]),1)*IF(DATOS!AR$5="Sí",1/DATOS_[[% normaliz]:[% normaliz]],1)*(DATOS_[Conc.Sal.14])))))))), 0)</f>
        <v>0</v>
      </c>
      <c r="X56" s="302" t="n">
        <f aca="false" t="array" ref="X56:X56">IFERROR( (AVERAGE((IF(DATOS_[[Sexo]:[Sexo]]=$B56,IF(DATOS_[[AGRUP. CLAS. PROF.]:[AGRUP. CLAS. PROF.]]=$B54,IF(DATOS_[[Check Periodo Ref.]:[Check Periodo Ref.]]="Dentro",IF(DATOS_[[Check Equiparado]:[Check Equiparado]]="Sí",IF(DATOS!AS$4="Sí",(1/DATOS_[[% anualiz]:[% anualiz]]),1)*IF(DATOS!AS$5="Sí",1/DATOS_[[% normaliz]:[% normaliz]],1)*(DATOS_[Conc.Sal.15])))))))), 0)</f>
        <v>0</v>
      </c>
      <c r="Y56" s="302" t="n">
        <f aca="false" t="array" ref="Y56:Y56">IFERROR( (AVERAGE((IF(DATOS_[[Sexo]:[Sexo]]=$B56,IF(DATOS_[[AGRUP. CLAS. PROF.]:[AGRUP. CLAS. PROF.]]=$B54,IF(DATOS_[[Check Periodo Ref.]:[Check Periodo Ref.]]="Dentro",IF(DATOS_[[Check Equiparado]:[Check Equiparado]]="Sí",IF(DATOS!AT$4="Sí",(1/DATOS_[[% anualiz]:[% anualiz]]),1)*IF(DATOS!AT$5="Sí",1/DATOS_[[% normaliz]:[% normaliz]],1)*(DATOS_[Conc.Sal.16])))))))), 0)</f>
        <v>0</v>
      </c>
      <c r="Z56" s="302" t="n">
        <f aca="false" t="array" ref="Z56:Z56">IFERROR( (AVERAGE((IF(DATOS_[[Sexo]:[Sexo]]=$B56,IF(DATOS_[[AGRUP. CLAS. PROF.]:[AGRUP. CLAS. PROF.]]=$B54,IF(DATOS_[[Check Periodo Ref.]:[Check Periodo Ref.]]="Dentro",IF(DATOS_[[Check Equiparado]:[Check Equiparado]]="Sí",IF(DATOS!AU$4="Sí",(1/DATOS_[[% anualiz]:[% anualiz]]),1)*IF(DATOS!AU$5="Sí",1/DATOS_[[% normaliz]:[% normaliz]],1)*(DATOS_[Conc.Sal.17])))))))), 0)</f>
        <v>0</v>
      </c>
      <c r="AA56" s="302" t="n">
        <f aca="false" t="array" ref="AA56:AA56">IFERROR( (AVERAGE((IF(DATOS_[[Sexo]:[Sexo]]=$B56,IF(DATOS_[[AGRUP. CLAS. PROF.]:[AGRUP. CLAS. PROF.]]=$B54,IF(DATOS_[[Check Periodo Ref.]:[Check Periodo Ref.]]="Dentro",IF(DATOS_[[Check Equiparado]:[Check Equiparado]]="Sí",IF(DATOS!AV$4="Sí",(1/DATOS_[[% anualiz]:[% anualiz]]),1)*IF(DATOS!AV$5="Sí",1/DATOS_[[% normaliz]:[% normaliz]],1)*(DATOS_[Conc.Sal.18])))))))), 0)</f>
        <v>0</v>
      </c>
      <c r="AB56" s="302" t="n">
        <f aca="false" t="array" ref="AB56:AB56">IFERROR( (AVERAGE((IF(DATOS_[[Sexo]:[Sexo]]=$B56,IF(DATOS_[[AGRUP. CLAS. PROF.]:[AGRUP. CLAS. PROF.]]=$B54,IF(DATOS_[[Check Periodo Ref.]:[Check Periodo Ref.]]="Dentro",IF(DATOS_[[Check Equiparado]:[Check Equiparado]]="Sí",IF(DATOS!AW$4="Sí",(1/DATOS_[[% anualiz]:[% anualiz]]),1)*IF(DATOS!AW$5="Sí",1/DATOS_[[% normaliz]:[% normaliz]],1)*(DATOS_[Conc.Sal.19])))))))), 0)</f>
        <v>0</v>
      </c>
      <c r="AC56" s="302" t="n">
        <f aca="false" t="array" ref="AC56:AC56">IFERROR( (AVERAGE((IF(DATOS_[[Sexo]:[Sexo]]=$B56,IF(DATOS_[[AGRUP. CLAS. PROF.]:[AGRUP. CLAS. PROF.]]=$B54,IF(DATOS_[[Check Periodo Ref.]:[Check Periodo Ref.]]="Dentro",IF(DATOS_[[Check Equiparado]:[Check Equiparado]]="Sí",IF(DATOS!AX$4="Sí",(1/DATOS_[[% anualiz]:[% anualiz]]),1)*IF(DATOS!AX$5="Sí",1/DATOS_[[% normaliz]:[% normaliz]],1)*(DATOS_[Conc.Sal.20])))))))), 0)</f>
        <v>0</v>
      </c>
      <c r="AD56" s="302" t="n">
        <f aca="false" t="array" ref="AD56:AD56">IFERROR( (AVERAGE((IF(DATOS_[[Sexo]:[Sexo]]=$B56,IF(DATOS_[[AGRUP. CLAS. PROF.]:[AGRUP. CLAS. PROF.]]=$B54,IF(DATOS_[[Check Periodo Ref.]:[Check Periodo Ref.]]="Dentro",IF(DATOS_[[Check Equiparado]:[Check Equiparado]]="Sí",IF(DATOS!AY$4="Sí",(1/DATOS_[[% anualiz]:[% anualiz]]),1)*IF(DATOS!AY$5="Sí",1/DATOS_[[% normaliz]:[% normaliz]],1)*(DATOS_[Conc.Sal.21])))))))), 0)</f>
        <v>0</v>
      </c>
      <c r="AE56" s="302" t="n">
        <f aca="false" t="array" ref="AE56:AE56">IFERROR( (AVERAGE((IF(DATOS_[[Sexo]:[Sexo]]=$B56,IF(DATOS_[[AGRUP. CLAS. PROF.]:[AGRUP. CLAS. PROF.]]=$B54,IF(DATOS_[[Check Periodo Ref.]:[Check Periodo Ref.]]="Dentro",IF(DATOS_[[Check Equiparado]:[Check Equiparado]]="Sí",IF(DATOS!AZ$4="Sí",(1/DATOS_[[% anualiz]:[% anualiz]]),1)*IF(DATOS!AZ$5="Sí",1/DATOS_[[% normaliz]:[% normaliz]],1)*(DATOS_[Conc.Sal.22])))))))), 0)</f>
        <v>0</v>
      </c>
      <c r="AF56" s="302" t="n">
        <f aca="false" t="array" ref="AF56:AF56">IFERROR( (AVERAGE((IF(DATOS_[[Sexo]:[Sexo]]=$B56,IF(DATOS_[[AGRUP. CLAS. PROF.]:[AGRUP. CLAS. PROF.]]=$B54,IF(DATOS_[[Check Periodo Ref.]:[Check Periodo Ref.]]="Dentro",IF(DATOS_[[Check Equiparado]:[Check Equiparado]]="Sí",IF(DATOS!BA$4="Sí",(1/DATOS_[[% anualiz]:[% anualiz]]),1)*IF(DATOS!BA$5="Sí",1/DATOS_[[% normaliz]:[% normaliz]],1)*(DATOS_[Conc.Sal.23])))))))), 0)</f>
        <v>0</v>
      </c>
      <c r="AG56" s="302" t="n">
        <f aca="false" t="array" ref="AG56:AG56">IFERROR( (AVERAGE((IF(DATOS_[[Sexo]:[Sexo]]=$B56,IF(DATOS_[[AGRUP. CLAS. PROF.]:[AGRUP. CLAS. PROF.]]=$B54,IF(DATOS_[[Check Periodo Ref.]:[Check Periodo Ref.]]="Dentro",IF(DATOS_[[Check Equiparado]:[Check Equiparado]]="Sí",IF(DATOS!BB$4="Sí",(1/DATOS_[[% anualiz]:[% anualiz]]),1)*IF(DATOS!BB$5="Sí",1/DATOS_[[% normaliz]:[% normaliz]],1)*(DATOS_[Conc.Sal.24])))))))), 0)</f>
        <v>0</v>
      </c>
      <c r="AH56" s="302" t="n">
        <f aca="false" t="array" ref="AH56:AH56">IFERROR( (AVERAGE((IF(DATOS_[[Sexo]:[Sexo]]=$B56,IF(DATOS_[[AGRUP. CLAS. PROF.]:[AGRUP. CLAS. PROF.]]=$B54,IF(DATOS_[[Check Periodo Ref.]:[Check Periodo Ref.]]="Dentro",IF(DATOS_[[Check Equiparado]:[Check Equiparado]]="Sí",IF(DATOS!BC$4="Sí",(1/DATOS_[[% anualiz]:[% anualiz]]),1)*IF(DATOS!BC$5="Sí",1/DATOS_[[% normaliz]:[% normaliz]],1)*(DATOS_[Conc.Sal.25])))))))), 0)</f>
        <v>0</v>
      </c>
      <c r="AI56" s="302" t="n">
        <f aca="false" t="array" ref="AI56:AI56">IFERROR( (AVERAGE((IF(DATOS_[[Sexo]:[Sexo]]=$B56,IF(DATOS_[[AGRUP. CLAS. PROF.]:[AGRUP. CLAS. PROF.]]=$B54,IF(DATOS_[[Check Periodo Ref.]:[Check Periodo Ref.]]="Dentro",IF(DATOS_[[Check Equiparado]:[Check Equiparado]]="Sí",IF(DATOS!BD$4="Sí",(1/DATOS_[[% anualiz]:[% anualiz]]),1)*IF(DATOS!BD$5="Sí",1/DATOS_[[% normaliz]:[% normaliz]],1)*(DATOS_[Conc.Sal.26])))))))), 0)</f>
        <v>0</v>
      </c>
      <c r="AJ56" s="302" t="n">
        <f aca="false" t="array" ref="AJ56:AJ56">IFERROR( (AVERAGE((IF(DATOS_[[Sexo]:[Sexo]]=$B56,IF(DATOS_[[AGRUP. CLAS. PROF.]:[AGRUP. CLAS. PROF.]]=$B54,IF(DATOS_[[Check Periodo Ref.]:[Check Periodo Ref.]]="Dentro",IF(DATOS_[[Check Equiparado]:[Check Equiparado]]="Sí",IF(DATOS!BE$4="Sí",(1/DATOS_[[% anualiz]:[% anualiz]]),1)*IF(DATOS!BE$5="Sí",1/DATOS_[[% normaliz]:[% normaliz]],1)*(DATOS_[Conc.Sal.27])))))))), 0)</f>
        <v>0</v>
      </c>
      <c r="AK56" s="302" t="n">
        <f aca="false" t="array" ref="AK56:AK56">IFERROR( (AVERAGE((IF(DATOS_[[Sexo]:[Sexo]]=$B56,IF(DATOS_[[AGRUP. CLAS. PROF.]:[AGRUP. CLAS. PROF.]]=$B54,IF(DATOS_[[Check Periodo Ref.]:[Check Periodo Ref.]]="Dentro",IF(DATOS_[[Check Equiparado]:[Check Equiparado]]="Sí",IF(DATOS!BF$4="Sí",(1/DATOS_[[% anualiz]:[% anualiz]]),1)*IF(DATOS!BF$5="Sí",1/DATOS_[[% normaliz]:[% normaliz]],1)*(DATOS_[Conc.Sal.28])))))))), 0)</f>
        <v>0</v>
      </c>
      <c r="AL56" s="302" t="n">
        <f aca="false" t="array" ref="AL56:AL56">IFERROR( (AVERAGE((IF(DATOS_[[Sexo]:[Sexo]]=$B56,IF(DATOS_[[AGRUP. CLAS. PROF.]:[AGRUP. CLAS. PROF.]]=$B54,IF(DATOS_[[Check Periodo Ref.]:[Check Periodo Ref.]]="Dentro",IF(DATOS_[[Check Equiparado]:[Check Equiparado]]="Sí",IF(DATOS!BG$4="Sí",(1/DATOS_[[% anualiz]:[% anualiz]]),1)*IF(DATOS!BG$5="Sí",1/DATOS_[[% normaliz]:[% normaliz]],1)*(DATOS_[Conc.Sal.29])))))))), 0)</f>
        <v>0</v>
      </c>
      <c r="AM56" s="302" t="n">
        <f aca="false" t="array" ref="AM56:AM56">IFERROR( (AVERAGE((IF(DATOS_[[Sexo]:[Sexo]]=$B56,IF(DATOS_[[AGRUP. CLAS. PROF.]:[AGRUP. CLAS. PROF.]]=$B54,IF(DATOS_[[Check Periodo Ref.]:[Check Periodo Ref.]]="Dentro",IF(DATOS_[[Check Equiparado]:[Check Equiparado]]="Sí",IF(DATOS!BH$4="Sí",(1/DATOS_[[% anualiz]:[% anualiz]]),1)*IF(DATOS!BH$5="Sí",1/DATOS_[[% normaliz]:[% normaliz]],1)*(DATOS_[Conc.Sal.30])))))))), 0)</f>
        <v>0</v>
      </c>
      <c r="AN56" s="294" t="n">
        <f aca="false" t="array" ref="AN56:AN56">IFERROR( AVERAGE(IF(DATOS_[Sexo]=$B56,IF(DATOS_[[AGRUP. CLAS. PROF.]:[AGRUP. CLAS. PROF.]]=$B54,IF(DATOS_[Check Equiparado]="Sí",IF(DATOS_[Check Periodo Ref.]="Dentro",DATOS_[Tot COMPL.SAL Eq],0))))), 0)</f>
        <v>0</v>
      </c>
      <c r="AO56" s="295" t="n">
        <f aca="false" t="array" ref="AO56:AO56">IFERROR( AVERAGE(IF(DATOS_[Sexo]=$B56,IF(DATOS_[[AGRUP. CLAS. PROF.]:[AGRUP. CLAS. PROF.]]=$B54,IF(DATOS_[Check Equiparado]="Sí",IF(DATOS_[Check Periodo Ref.]="Dentro",DATOS_[TOTAL SALARIO Eq],0))))), 0)</f>
        <v>0</v>
      </c>
      <c r="AP56" s="303" t="n">
        <f aca="false" t="array" ref="AP56:AP56">IFERROR( (AVERAGE((IF(DATOS_[[Sexo]:[Sexo]]=$B56,IF(DATOS_[[AGRUP. CLAS. PROF.]:[AGRUP. CLAS. PROF.]]=$B55,IF(DATOS_[[Check Periodo Ref.]:[Check Periodo Ref.]]="Dentro",IF(DATOS_[[Check Equiparado]:[Check Equiparado]]="Sí",IF(DATOS!BI$4="Sí",(1/DATOS_[[% anualiz]:[% anualiz]]),1)*IF(DATOS!BI$5="Sí",1/DATOS_[[% normaliz]:[% normaliz]],1)*(DATOS_[C.Extra.01])))))))), 0)</f>
        <v>0</v>
      </c>
      <c r="AQ56" s="303" t="n">
        <f aca="false" t="array" ref="AQ56:AQ56">IFERROR( (AVERAGE((IF(DATOS_[[Sexo]:[Sexo]]=$B56,IF(DATOS_[[AGRUP. CLAS. PROF.]:[AGRUP. CLAS. PROF.]]=$B55,IF(DATOS_[[Check Periodo Ref.]:[Check Periodo Ref.]]="Dentro",IF(DATOS_[[Check Equiparado]:[Check Equiparado]]="Sí",IF(DATOS!BJ$4="Sí",(1/DATOS_[[% anualiz]:[% anualiz]]),1)*IF(DATOS!BJ$5="Sí",1/DATOS_[[% normaliz]:[% normaliz]],1)*(DATOS_[C.Extra.02])))))))), 0)</f>
        <v>0</v>
      </c>
      <c r="AR56" s="303" t="n">
        <f aca="false" t="array" ref="AR56:AR56">IFERROR( (AVERAGE((IF(DATOS_[[Sexo]:[Sexo]]=$B56,IF(DATOS_[[AGRUP. CLAS. PROF.]:[AGRUP. CLAS. PROF.]]=$B55,IF(DATOS_[[Check Periodo Ref.]:[Check Periodo Ref.]]="Dentro",IF(DATOS_[[Check Equiparado]:[Check Equiparado]]="Sí",IF(DATOS!BK$4="Sí",(1/DATOS_[[% anualiz]:[% anualiz]]),1)*IF(DATOS!BK$5="Sí",1/DATOS_[[% normaliz]:[% normaliz]],1)*(DATOS_[C.Extra.03])))))))), 0)</f>
        <v>0</v>
      </c>
      <c r="AS56" s="303" t="n">
        <f aca="false" t="array" ref="AS56:AS56">IFERROR( (AVERAGE((IF(DATOS_[[Sexo]:[Sexo]]=$B56,IF(DATOS_[[AGRUP. CLAS. PROF.]:[AGRUP. CLAS. PROF.]]=$B55,IF(DATOS_[[Check Periodo Ref.]:[Check Periodo Ref.]]="Dentro",IF(DATOS_[[Check Equiparado]:[Check Equiparado]]="Sí",IF(DATOS!BL$4="Sí",(1/DATOS_[[% anualiz]:[% anualiz]]),1)*IF(DATOS!BL$5="Sí",1/DATOS_[[% normaliz]:[% normaliz]],1)*(DATOS_[C.Extra.04])))))))), 0)</f>
        <v>0</v>
      </c>
      <c r="AT56" s="303" t="n">
        <f aca="false" t="array" ref="AT56:AT56">IFERROR( (AVERAGE((IF(DATOS_[[Sexo]:[Sexo]]=$B56,IF(DATOS_[[AGRUP. CLAS. PROF.]:[AGRUP. CLAS. PROF.]]=$B55,IF(DATOS_[[Check Periodo Ref.]:[Check Periodo Ref.]]="Dentro",IF(DATOS_[[Check Equiparado]:[Check Equiparado]]="Sí",IF(DATOS!BM$4="Sí",(1/DATOS_[[% anualiz]:[% anualiz]]),1)*IF(DATOS!BM$5="Sí",1/DATOS_[[% normaliz]:[% normaliz]],1)*(DATOS_[C.Extra.05])))))))), 0)</f>
        <v>0</v>
      </c>
      <c r="AU56" s="297" t="n">
        <f aca="false" t="array" ref="AU56:AU56">IFERROR( AVERAGE(IF(DATOS_[Sexo]=$B56,IF(DATOS_[[AGRUP. CLAS. PROF.]:[AGRUP. CLAS. PROF.]]=$B54,IF(DATOS_[Check Equiparado]="Sí",IF(DATOS_[Check Periodo Ref.]="Dentro",DATOS_[Tot Extrasalarial Eq],0))))), 0)</f>
        <v>0</v>
      </c>
      <c r="AV56" s="298" t="n">
        <f aca="false" t="array" ref="AV56:AV56">IFERROR( AVERAGE(IF(DATOS_[Sexo]=$B56,IF(DATOS_[[AGRUP. CLAS. PROF.]:[AGRUP. CLAS. PROF.]]=$B54,IF(DATOS_[Check Equiparado]="Sí",IF(DATOS_[Check Periodo Ref.]="Dentro",DATOS_[TOTAL Retrib Eq],0))))), 0)</f>
        <v>0</v>
      </c>
    </row>
    <row r="57" customFormat="false" ht="15.75" hidden="false" customHeight="false" outlineLevel="0" collapsed="false">
      <c r="A57" s="166" t="str">
        <f aca="false">+A58</f>
        <v>[ocultar]</v>
      </c>
      <c r="B57" s="276" t="s">
        <v>210</v>
      </c>
      <c r="C57" s="277"/>
      <c r="D57" s="278"/>
      <c r="E57" s="278"/>
      <c r="F57" s="278"/>
      <c r="G57" s="278"/>
      <c r="H57" s="278"/>
      <c r="I57" s="279" t="str">
        <f aca="false">IFERROR((I58-I59)/I58,"")</f>
        <v/>
      </c>
      <c r="J57" s="280" t="str">
        <f aca="false">IFERROR((J58-J59)/J58,"")</f>
        <v/>
      </c>
      <c r="K57" s="281" t="str">
        <f aca="false">IFERROR((K58-K59)/K58,"")</f>
        <v/>
      </c>
      <c r="L57" s="281" t="str">
        <f aca="false">IFERROR((L58-L59)/L58,"")</f>
        <v/>
      </c>
      <c r="M57" s="281" t="str">
        <f aca="false">IFERROR((M58-M59)/M58,"")</f>
        <v/>
      </c>
      <c r="N57" s="282" t="str">
        <f aca="false">IFERROR((N58-N59)/N58,"")</f>
        <v/>
      </c>
      <c r="O57" s="283" t="str">
        <f aca="false">IFERROR((O58-O59)/O58,"")</f>
        <v/>
      </c>
      <c r="P57" s="283" t="str">
        <f aca="false">IFERROR((P58-P59)/P58,"")</f>
        <v/>
      </c>
      <c r="Q57" s="283" t="str">
        <f aca="false">IFERROR((Q58-Q59)/Q58,"")</f>
        <v/>
      </c>
      <c r="R57" s="283" t="str">
        <f aca="false">IFERROR((R58-R59)/R58,"")</f>
        <v/>
      </c>
      <c r="S57" s="283" t="str">
        <f aca="false">IFERROR((S58-S59)/S58,"")</f>
        <v/>
      </c>
      <c r="T57" s="283" t="str">
        <f aca="false">IFERROR((T58-T59)/T58,"")</f>
        <v/>
      </c>
      <c r="U57" s="283" t="str">
        <f aca="false">IFERROR((U58-U59)/U58,"")</f>
        <v/>
      </c>
      <c r="V57" s="283" t="str">
        <f aca="false">IFERROR((V58-V59)/V58,"")</f>
        <v/>
      </c>
      <c r="W57" s="283" t="str">
        <f aca="false">IFERROR((W58-W59)/W58,"")</f>
        <v/>
      </c>
      <c r="X57" s="283" t="str">
        <f aca="false">IFERROR((X58-X59)/X58,"")</f>
        <v/>
      </c>
      <c r="Y57" s="283" t="str">
        <f aca="false">IFERROR((Y58-Y59)/Y58,"")</f>
        <v/>
      </c>
      <c r="Z57" s="282" t="str">
        <f aca="false">IFERROR((Z58-Z59)/Z58,"")</f>
        <v/>
      </c>
      <c r="AA57" s="282" t="str">
        <f aca="false">IFERROR((AA58-AA59)/AA58,"")</f>
        <v/>
      </c>
      <c r="AB57" s="282" t="str">
        <f aca="false">IFERROR((AB58-AB59)/AB58,"")</f>
        <v/>
      </c>
      <c r="AC57" s="282" t="str">
        <f aca="false">IFERROR((AC58-AC59)/AC58,"")</f>
        <v/>
      </c>
      <c r="AD57" s="282" t="str">
        <f aca="false">IFERROR((AD58-AD59)/AD58,"")</f>
        <v/>
      </c>
      <c r="AE57" s="282" t="str">
        <f aca="false">IFERROR((AE58-AE59)/AE58,"")</f>
        <v/>
      </c>
      <c r="AF57" s="282" t="str">
        <f aca="false">IFERROR((AF58-AF59)/AF58,"")</f>
        <v/>
      </c>
      <c r="AG57" s="282" t="str">
        <f aca="false">IFERROR((AG58-AG59)/AG58,"")</f>
        <v/>
      </c>
      <c r="AH57" s="282" t="str">
        <f aca="false">IFERROR((AH58-AH59)/AH58,"")</f>
        <v/>
      </c>
      <c r="AI57" s="282" t="str">
        <f aca="false">IFERROR((AI58-AI59)/AI58,"")</f>
        <v/>
      </c>
      <c r="AJ57" s="282" t="str">
        <f aca="false">IFERROR((AJ58-AJ59)/AJ58,"")</f>
        <v/>
      </c>
      <c r="AK57" s="282" t="str">
        <f aca="false">IFERROR((AK58-AK59)/AK58,"")</f>
        <v/>
      </c>
      <c r="AL57" s="282" t="str">
        <f aca="false">IFERROR((AL58-AL59)/AL58,"")</f>
        <v/>
      </c>
      <c r="AM57" s="282" t="str">
        <f aca="false">IFERROR((AM58-AM59)/AM58,"")</f>
        <v/>
      </c>
      <c r="AN57" s="284" t="str">
        <f aca="false">IFERROR((AN58-AN59)/AN58,"")</f>
        <v/>
      </c>
      <c r="AO57" s="285" t="str">
        <f aca="false">IFERROR((AO58-AO59)/AO58,"")</f>
        <v/>
      </c>
      <c r="AP57" s="286" t="str">
        <f aca="false">IFERROR((AP58-AP59)/AP58,"")</f>
        <v/>
      </c>
      <c r="AQ57" s="286" t="str">
        <f aca="false">IFERROR((AQ58-AQ59)/AQ58,"")</f>
        <v/>
      </c>
      <c r="AR57" s="286" t="str">
        <f aca="false">IFERROR((AR58-AR59)/AR58,"")</f>
        <v/>
      </c>
      <c r="AS57" s="286" t="str">
        <f aca="false">IFERROR((AS58-AS59)/AS58,"")</f>
        <v/>
      </c>
      <c r="AT57" s="286" t="str">
        <f aca="false">IFERROR((AT58-AT59)/AT58,"")</f>
        <v/>
      </c>
      <c r="AU57" s="287" t="str">
        <f aca="false">IFERROR((AU58-AU59)/AU58,"")</f>
        <v/>
      </c>
      <c r="AV57" s="288" t="str">
        <f aca="false">IFERROR((AV58-AV59)/AV58,"")</f>
        <v/>
      </c>
    </row>
    <row r="58" customFormat="false" ht="14.25" hidden="false" customHeight="false" outlineLevel="0" collapsed="false">
      <c r="A58" s="166" t="str">
        <f aca="false">+IF(C58+C59=0,"[ocultar]","")</f>
        <v>[ocultar]</v>
      </c>
      <c r="B58" s="289" t="s">
        <v>371</v>
      </c>
      <c r="C58" s="290" t="n">
        <f aca="false" t="array" ref="C58:C58">SUM(IF($B58=DATOS_[Sexo], IF($B57=DATOS_[AGRUP. CLAS. PROF.], IF("Dentro"=DATOS_[Check Periodo Ref.], 1/(COUNTIFS(DATOS_[Sexo],$B58,DATOS_[AGRUP. CLAS. PROF.],$B57,DATOS_[Check Periodo Ref.],"Dentro",DATOS_[id],DATOS_[id]))))))</f>
        <v>0</v>
      </c>
      <c r="D58" s="291" t="n">
        <f aca="false">COUNTIFS(DATOS_[AGRUP. CLAS. PROF.],$B57,DATOS_[Sexo],$B58,DATOS_[Check Periodo Ref.],"Dentro")</f>
        <v>0</v>
      </c>
      <c r="E58" s="291" t="n">
        <f aca="false">COUNTIFS(DATOS_[AGRUP. CLAS. PROF.],$B57,DATOS_[Sexo],$B58,DATOS_[Check Periodo Ref.],"Dentro",DATOS_[Check Nº SC Norm],"Sí")</f>
        <v>0</v>
      </c>
      <c r="F58" s="291" t="n">
        <f aca="false">COUNTIFS(DATOS_[AGRUP. CLAS. PROF.],$B57,DATOS_[Sexo],$B58,DATOS_[Check Periodo Ref.],"Dentro",DATOS_[Check Nº SC Anualiz],"Sí")</f>
        <v>0</v>
      </c>
      <c r="G58" s="291" t="n">
        <f aca="false">COUNTIFS(DATOS_[AGRUP. CLAS. PROF.],$B57,DATOS_[Sexo],$B58,DATOS_[Check Periodo Ref.],"Dentro",DATOS_[Check Nº SC Norm y Anualiz],"Sí")</f>
        <v>0</v>
      </c>
      <c r="H58" s="291" t="n">
        <f aca="false">COUNTIFS(DATOS_[AGRUP. CLAS. PROF.],$B57,DATOS_[Sexo],$B58,DATOS_[Check Periodo Ref.],"Dentro",DATOS_[Check Equiparación],"Sí")</f>
        <v>0</v>
      </c>
      <c r="I58" s="292" t="n">
        <f aca="false" t="array" ref="I58:I58">IFERROR( AVERAGE(IF(DATOS_[Sexo]=$B58,IF(DATOS_[[AGRUP. CLAS. PROF.]:[AGRUP. CLAS. PROF.]]=$B57,IF(DATOS_[Check Equiparado]="Sí",IF(DATOS_[Check Periodo Ref.]="Dentro",DATOS_[SALARIO BASE Eq],0))))), 0)</f>
        <v>0</v>
      </c>
      <c r="J58" s="302" t="n">
        <f aca="false" t="array" ref="J58:J58">IFERROR( (AVERAGE((IF(DATOS_[[Sexo]:[Sexo]]=$B58,IF(DATOS_[[AGRUP. CLAS. PROF.]:[AGRUP. CLAS. PROF.]]=$B57,IF(DATOS_[[Check Periodo Ref.]:[Check Periodo Ref.]]="Dentro",IF(DATOS_[[Check Equiparado]:[Check Equiparado]]="Sí",IF(DATOS!AE$4="Sí",(1/DATOS_[[% anualiz]:[% anualiz]]),1)*IF(DATOS!AE$5="Sí",1/DATOS_[[% normaliz]:[% normaliz]],1)*(DATOS_[Conc.Sal.01])))))))), 0)</f>
        <v>0</v>
      </c>
      <c r="K58" s="302" t="n">
        <f aca="false" t="array" ref="K58:K58">IFERROR( (AVERAGE((IF(DATOS_[[Sexo]:[Sexo]]=$B58,IF(DATOS_[[AGRUP. CLAS. PROF.]:[AGRUP. CLAS. PROF.]]=$B57,IF(DATOS_[[Check Periodo Ref.]:[Check Periodo Ref.]]="Dentro",IF(DATOS_[[Check Equiparado]:[Check Equiparado]]="Sí",IF(DATOS!AF$4="Sí",(1/DATOS_[[% anualiz]:[% anualiz]]),1)*IF(DATOS!AF$5="Sí",1/DATOS_[[% normaliz]:[% normaliz]],1)*(DATOS_[Conc.Sal.02])))))))), 0)</f>
        <v>0</v>
      </c>
      <c r="L58" s="302" t="n">
        <f aca="false" t="array" ref="L58:L58">IFERROR( (AVERAGE((IF(DATOS_[[Sexo]:[Sexo]]=$B58,IF(DATOS_[[AGRUP. CLAS. PROF.]:[AGRUP. CLAS. PROF.]]=$B57,IF(DATOS_[[Check Periodo Ref.]:[Check Periodo Ref.]]="Dentro",IF(DATOS_[[Check Equiparado]:[Check Equiparado]]="Sí",IF(DATOS!AG$4="Sí",(1/DATOS_[[% anualiz]:[% anualiz]]),1)*IF(DATOS!AG$5="Sí",1/DATOS_[[% normaliz]:[% normaliz]],1)*(DATOS_[Conc.Sal.03])))))))), 0)</f>
        <v>0</v>
      </c>
      <c r="M58" s="302" t="n">
        <f aca="false" t="array" ref="M58:M58">IFERROR( (AVERAGE((IF(DATOS_[[Sexo]:[Sexo]]=$B58,IF(DATOS_[[AGRUP. CLAS. PROF.]:[AGRUP. CLAS. PROF.]]=$B57,IF(DATOS_[[Check Periodo Ref.]:[Check Periodo Ref.]]="Dentro",IF(DATOS_[[Check Equiparado]:[Check Equiparado]]="Sí",IF(DATOS!AH$4="Sí",(1/DATOS_[[% anualiz]:[% anualiz]]),1)*IF(DATOS!AH$5="Sí",1/DATOS_[[% normaliz]:[% normaliz]],1)*(DATOS_[Conc.Sal.04])))))))), 0)</f>
        <v>0</v>
      </c>
      <c r="N58" s="302" t="n">
        <f aca="false" t="array" ref="N58:N58">IFERROR( (AVERAGE((IF(DATOS_[[Sexo]:[Sexo]]=$B58,IF(DATOS_[[AGRUP. CLAS. PROF.]:[AGRUP. CLAS. PROF.]]=$B57,IF(DATOS_[[Check Periodo Ref.]:[Check Periodo Ref.]]="Dentro",IF(DATOS_[[Check Equiparado]:[Check Equiparado]]="Sí",IF(DATOS!AI$4="Sí",(1/DATOS_[[% anualiz]:[% anualiz]]),1)*IF(DATOS!AI$5="Sí",1/DATOS_[[% normaliz]:[% normaliz]],1)*(DATOS_[Conc.Sal.05])))))))), 0)</f>
        <v>0</v>
      </c>
      <c r="O58" s="302" t="n">
        <f aca="false" t="array" ref="O58:O58">IFERROR( (AVERAGE((IF(DATOS_[[Sexo]:[Sexo]]=$B58,IF(DATOS_[[AGRUP. CLAS. PROF.]:[AGRUP. CLAS. PROF.]]=$B57,IF(DATOS_[[Check Periodo Ref.]:[Check Periodo Ref.]]="Dentro",IF(DATOS_[[Check Equiparado]:[Check Equiparado]]="Sí",IF(DATOS!AJ$4="Sí",(1/DATOS_[[% anualiz]:[% anualiz]]),1)*IF(DATOS!AJ$5="Sí",1/DATOS_[[% normaliz]:[% normaliz]],1)*(DATOS_[Conc.Sal.06])))))))), 0)</f>
        <v>0</v>
      </c>
      <c r="P58" s="302" t="n">
        <f aca="false" t="array" ref="P58:P58">IFERROR( (AVERAGE((IF(DATOS_[[Sexo]:[Sexo]]=$B58,IF(DATOS_[[AGRUP. CLAS. PROF.]:[AGRUP. CLAS. PROF.]]=$B57,IF(DATOS_[[Check Periodo Ref.]:[Check Periodo Ref.]]="Dentro",IF(DATOS_[[Check Equiparado]:[Check Equiparado]]="Sí",IF(DATOS!AK$4="Sí",(1/DATOS_[[% anualiz]:[% anualiz]]),1)*IF(DATOS!AK$5="Sí",1/DATOS_[[% normaliz]:[% normaliz]],1)*(DATOS_[Conc.Sal.07])))))))), 0)</f>
        <v>0</v>
      </c>
      <c r="Q58" s="302" t="n">
        <f aca="false" t="array" ref="Q58:Q58">IFERROR( (AVERAGE((IF(DATOS_[[Sexo]:[Sexo]]=$B58,IF(DATOS_[[AGRUP. CLAS. PROF.]:[AGRUP. CLAS. PROF.]]=$B57,IF(DATOS_[[Check Periodo Ref.]:[Check Periodo Ref.]]="Dentro",IF(DATOS_[[Check Equiparado]:[Check Equiparado]]="Sí",IF(DATOS!AL$4="Sí",(1/DATOS_[[% anualiz]:[% anualiz]]),1)*IF(DATOS!AL$5="Sí",1/DATOS_[[% normaliz]:[% normaliz]],1)*(DATOS_[Conc.Sal.08])))))))), 0)</f>
        <v>0</v>
      </c>
      <c r="R58" s="302" t="n">
        <f aca="false" t="array" ref="R58:R58">IFERROR( (AVERAGE((IF(DATOS_[[Sexo]:[Sexo]]=$B58,IF(DATOS_[[AGRUP. CLAS. PROF.]:[AGRUP. CLAS. PROF.]]=$B57,IF(DATOS_[[Check Periodo Ref.]:[Check Periodo Ref.]]="Dentro",IF(DATOS_[[Check Equiparado]:[Check Equiparado]]="Sí",IF(DATOS!AM$4="Sí",(1/DATOS_[[% anualiz]:[% anualiz]]),1)*IF(DATOS!AM$5="Sí",1/DATOS_[[% normaliz]:[% normaliz]],1)*(DATOS_[Conc.Sal.09])))))))), 0)</f>
        <v>0</v>
      </c>
      <c r="S58" s="302" t="n">
        <f aca="false" t="array" ref="S58:S58">IFERROR( (AVERAGE((IF(DATOS_[[Sexo]:[Sexo]]=$B58,IF(DATOS_[[AGRUP. CLAS. PROF.]:[AGRUP. CLAS. PROF.]]=$B57,IF(DATOS_[[Check Periodo Ref.]:[Check Periodo Ref.]]="Dentro",IF(DATOS_[[Check Equiparado]:[Check Equiparado]]="Sí",IF(DATOS!AN$4="Sí",(1/DATOS_[[% anualiz]:[% anualiz]]),1)*IF(DATOS!AN$5="Sí",1/DATOS_[[% normaliz]:[% normaliz]],1)*(DATOS_[Conc.Sal.10])))))))), 0)</f>
        <v>0</v>
      </c>
      <c r="T58" s="302" t="n">
        <f aca="false" t="array" ref="T58:T58">IFERROR( (AVERAGE((IF(DATOS_[[Sexo]:[Sexo]]=$B58,IF(DATOS_[[AGRUP. CLAS. PROF.]:[AGRUP. CLAS. PROF.]]=$B57,IF(DATOS_[[Check Periodo Ref.]:[Check Periodo Ref.]]="Dentro",IF(DATOS_[[Check Equiparado]:[Check Equiparado]]="Sí",IF(DATOS!AO$4="Sí",(1/DATOS_[[% anualiz]:[% anualiz]]),1)*IF(DATOS!AO$5="Sí",1/DATOS_[[% normaliz]:[% normaliz]],1)*(DATOS_[Conc.Sal.11])))))))), 0)</f>
        <v>0</v>
      </c>
      <c r="U58" s="302" t="n">
        <f aca="false" t="array" ref="U58:U58">IFERROR( (AVERAGE((IF(DATOS_[[Sexo]:[Sexo]]=$B58,IF(DATOS_[[AGRUP. CLAS. PROF.]:[AGRUP. CLAS. PROF.]]=$B57,IF(DATOS_[[Check Periodo Ref.]:[Check Periodo Ref.]]="Dentro",IF(DATOS_[[Check Equiparado]:[Check Equiparado]]="Sí",IF(DATOS!AP$4="Sí",(1/DATOS_[[% anualiz]:[% anualiz]]),1)*IF(DATOS!AP$5="Sí",1/DATOS_[[% normaliz]:[% normaliz]],1)*(DATOS_[Conc.Sal.12])))))))), 0)</f>
        <v>0</v>
      </c>
      <c r="V58" s="302" t="n">
        <f aca="false" t="array" ref="V58:V58">IFERROR( (AVERAGE((IF(DATOS_[[Sexo]:[Sexo]]=$B58,IF(DATOS_[[AGRUP. CLAS. PROF.]:[AGRUP. CLAS. PROF.]]=$B57,IF(DATOS_[[Check Periodo Ref.]:[Check Periodo Ref.]]="Dentro",IF(DATOS_[[Check Equiparado]:[Check Equiparado]]="Sí",IF(DATOS!AQ$4="Sí",(1/DATOS_[[% anualiz]:[% anualiz]]),1)*IF(DATOS!AQ$5="Sí",1/DATOS_[[% normaliz]:[% normaliz]],1)*(DATOS_[Conc.Sal.13])))))))), 0)</f>
        <v>0</v>
      </c>
      <c r="W58" s="302" t="n">
        <f aca="false" t="array" ref="W58:W58">IFERROR( (AVERAGE((IF(DATOS_[[Sexo]:[Sexo]]=$B58,IF(DATOS_[[AGRUP. CLAS. PROF.]:[AGRUP. CLAS. PROF.]]=$B57,IF(DATOS_[[Check Periodo Ref.]:[Check Periodo Ref.]]="Dentro",IF(DATOS_[[Check Equiparado]:[Check Equiparado]]="Sí",IF(DATOS!AR$4="Sí",(1/DATOS_[[% anualiz]:[% anualiz]]),1)*IF(DATOS!AR$5="Sí",1/DATOS_[[% normaliz]:[% normaliz]],1)*(DATOS_[Conc.Sal.14])))))))), 0)</f>
        <v>0</v>
      </c>
      <c r="X58" s="302" t="n">
        <f aca="false" t="array" ref="X58:X58">IFERROR( (AVERAGE((IF(DATOS_[[Sexo]:[Sexo]]=$B58,IF(DATOS_[[AGRUP. CLAS. PROF.]:[AGRUP. CLAS. PROF.]]=$B57,IF(DATOS_[[Check Periodo Ref.]:[Check Periodo Ref.]]="Dentro",IF(DATOS_[[Check Equiparado]:[Check Equiparado]]="Sí",IF(DATOS!AS$4="Sí",(1/DATOS_[[% anualiz]:[% anualiz]]),1)*IF(DATOS!AS$5="Sí",1/DATOS_[[% normaliz]:[% normaliz]],1)*(DATOS_[Conc.Sal.15])))))))), 0)</f>
        <v>0</v>
      </c>
      <c r="Y58" s="302" t="n">
        <f aca="false" t="array" ref="Y58:Y58">IFERROR( (AVERAGE((IF(DATOS_[[Sexo]:[Sexo]]=$B58,IF(DATOS_[[AGRUP. CLAS. PROF.]:[AGRUP. CLAS. PROF.]]=$B57,IF(DATOS_[[Check Periodo Ref.]:[Check Periodo Ref.]]="Dentro",IF(DATOS_[[Check Equiparado]:[Check Equiparado]]="Sí",IF(DATOS!AT$4="Sí",(1/DATOS_[[% anualiz]:[% anualiz]]),1)*IF(DATOS!AT$5="Sí",1/DATOS_[[% normaliz]:[% normaliz]],1)*(DATOS_[Conc.Sal.16])))))))), 0)</f>
        <v>0</v>
      </c>
      <c r="Z58" s="302" t="n">
        <f aca="false" t="array" ref="Z58:Z58">IFERROR( (AVERAGE((IF(DATOS_[[Sexo]:[Sexo]]=$B58,IF(DATOS_[[AGRUP. CLAS. PROF.]:[AGRUP. CLAS. PROF.]]=$B57,IF(DATOS_[[Check Periodo Ref.]:[Check Periodo Ref.]]="Dentro",IF(DATOS_[[Check Equiparado]:[Check Equiparado]]="Sí",IF(DATOS!AU$4="Sí",(1/DATOS_[[% anualiz]:[% anualiz]]),1)*IF(DATOS!AU$5="Sí",1/DATOS_[[% normaliz]:[% normaliz]],1)*(DATOS_[Conc.Sal.17])))))))), 0)</f>
        <v>0</v>
      </c>
      <c r="AA58" s="302" t="n">
        <f aca="false" t="array" ref="AA58:AA58">IFERROR( (AVERAGE((IF(DATOS_[[Sexo]:[Sexo]]=$B58,IF(DATOS_[[AGRUP. CLAS. PROF.]:[AGRUP. CLAS. PROF.]]=$B57,IF(DATOS_[[Check Periodo Ref.]:[Check Periodo Ref.]]="Dentro",IF(DATOS_[[Check Equiparado]:[Check Equiparado]]="Sí",IF(DATOS!AV$4="Sí",(1/DATOS_[[% anualiz]:[% anualiz]]),1)*IF(DATOS!AV$5="Sí",1/DATOS_[[% normaliz]:[% normaliz]],1)*(DATOS_[Conc.Sal.18])))))))), 0)</f>
        <v>0</v>
      </c>
      <c r="AB58" s="302" t="n">
        <f aca="false" t="array" ref="AB58:AB58">IFERROR( (AVERAGE((IF(DATOS_[[Sexo]:[Sexo]]=$B58,IF(DATOS_[[AGRUP. CLAS. PROF.]:[AGRUP. CLAS. PROF.]]=$B57,IF(DATOS_[[Check Periodo Ref.]:[Check Periodo Ref.]]="Dentro",IF(DATOS_[[Check Equiparado]:[Check Equiparado]]="Sí",IF(DATOS!AW$4="Sí",(1/DATOS_[[% anualiz]:[% anualiz]]),1)*IF(DATOS!AW$5="Sí",1/DATOS_[[% normaliz]:[% normaliz]],1)*(DATOS_[Conc.Sal.19])))))))), 0)</f>
        <v>0</v>
      </c>
      <c r="AC58" s="302" t="n">
        <f aca="false" t="array" ref="AC58:AC58">IFERROR( (AVERAGE((IF(DATOS_[[Sexo]:[Sexo]]=$B58,IF(DATOS_[[AGRUP. CLAS. PROF.]:[AGRUP. CLAS. PROF.]]=$B57,IF(DATOS_[[Check Periodo Ref.]:[Check Periodo Ref.]]="Dentro",IF(DATOS_[[Check Equiparado]:[Check Equiparado]]="Sí",IF(DATOS!AX$4="Sí",(1/DATOS_[[% anualiz]:[% anualiz]]),1)*IF(DATOS!AX$5="Sí",1/DATOS_[[% normaliz]:[% normaliz]],1)*(DATOS_[Conc.Sal.20])))))))), 0)</f>
        <v>0</v>
      </c>
      <c r="AD58" s="302" t="n">
        <f aca="false" t="array" ref="AD58:AD58">IFERROR( (AVERAGE((IF(DATOS_[[Sexo]:[Sexo]]=$B58,IF(DATOS_[[AGRUP. CLAS. PROF.]:[AGRUP. CLAS. PROF.]]=$B57,IF(DATOS_[[Check Periodo Ref.]:[Check Periodo Ref.]]="Dentro",IF(DATOS_[[Check Equiparado]:[Check Equiparado]]="Sí",IF(DATOS!AY$4="Sí",(1/DATOS_[[% anualiz]:[% anualiz]]),1)*IF(DATOS!AY$5="Sí",1/DATOS_[[% normaliz]:[% normaliz]],1)*(DATOS_[Conc.Sal.21])))))))), 0)</f>
        <v>0</v>
      </c>
      <c r="AE58" s="302" t="n">
        <f aca="false" t="array" ref="AE58:AE58">IFERROR( (AVERAGE((IF(DATOS_[[Sexo]:[Sexo]]=$B58,IF(DATOS_[[AGRUP. CLAS. PROF.]:[AGRUP. CLAS. PROF.]]=$B57,IF(DATOS_[[Check Periodo Ref.]:[Check Periodo Ref.]]="Dentro",IF(DATOS_[[Check Equiparado]:[Check Equiparado]]="Sí",IF(DATOS!AZ$4="Sí",(1/DATOS_[[% anualiz]:[% anualiz]]),1)*IF(DATOS!AZ$5="Sí",1/DATOS_[[% normaliz]:[% normaliz]],1)*(DATOS_[Conc.Sal.22])))))))), 0)</f>
        <v>0</v>
      </c>
      <c r="AF58" s="302" t="n">
        <f aca="false" t="array" ref="AF58:AF58">IFERROR( (AVERAGE((IF(DATOS_[[Sexo]:[Sexo]]=$B58,IF(DATOS_[[AGRUP. CLAS. PROF.]:[AGRUP. CLAS. PROF.]]=$B57,IF(DATOS_[[Check Periodo Ref.]:[Check Periodo Ref.]]="Dentro",IF(DATOS_[[Check Equiparado]:[Check Equiparado]]="Sí",IF(DATOS!BA$4="Sí",(1/DATOS_[[% anualiz]:[% anualiz]]),1)*IF(DATOS!BA$5="Sí",1/DATOS_[[% normaliz]:[% normaliz]],1)*(DATOS_[Conc.Sal.23])))))))), 0)</f>
        <v>0</v>
      </c>
      <c r="AG58" s="302" t="n">
        <f aca="false" t="array" ref="AG58:AG58">IFERROR( (AVERAGE((IF(DATOS_[[Sexo]:[Sexo]]=$B58,IF(DATOS_[[AGRUP. CLAS. PROF.]:[AGRUP. CLAS. PROF.]]=$B57,IF(DATOS_[[Check Periodo Ref.]:[Check Periodo Ref.]]="Dentro",IF(DATOS_[[Check Equiparado]:[Check Equiparado]]="Sí",IF(DATOS!BB$4="Sí",(1/DATOS_[[% anualiz]:[% anualiz]]),1)*IF(DATOS!BB$5="Sí",1/DATOS_[[% normaliz]:[% normaliz]],1)*(DATOS_[Conc.Sal.24])))))))), 0)</f>
        <v>0</v>
      </c>
      <c r="AH58" s="302" t="n">
        <f aca="false" t="array" ref="AH58:AH58">IFERROR( (AVERAGE((IF(DATOS_[[Sexo]:[Sexo]]=$B58,IF(DATOS_[[AGRUP. CLAS. PROF.]:[AGRUP. CLAS. PROF.]]=$B57,IF(DATOS_[[Check Periodo Ref.]:[Check Periodo Ref.]]="Dentro",IF(DATOS_[[Check Equiparado]:[Check Equiparado]]="Sí",IF(DATOS!BC$4="Sí",(1/DATOS_[[% anualiz]:[% anualiz]]),1)*IF(DATOS!BC$5="Sí",1/DATOS_[[% normaliz]:[% normaliz]],1)*(DATOS_[Conc.Sal.25])))))))), 0)</f>
        <v>0</v>
      </c>
      <c r="AI58" s="302" t="n">
        <f aca="false" t="array" ref="AI58:AI58">IFERROR( (AVERAGE((IF(DATOS_[[Sexo]:[Sexo]]=$B58,IF(DATOS_[[AGRUP. CLAS. PROF.]:[AGRUP. CLAS. PROF.]]=$B57,IF(DATOS_[[Check Periodo Ref.]:[Check Periodo Ref.]]="Dentro",IF(DATOS_[[Check Equiparado]:[Check Equiparado]]="Sí",IF(DATOS!BD$4="Sí",(1/DATOS_[[% anualiz]:[% anualiz]]),1)*IF(DATOS!BD$5="Sí",1/DATOS_[[% normaliz]:[% normaliz]],1)*(DATOS_[Conc.Sal.26])))))))), 0)</f>
        <v>0</v>
      </c>
      <c r="AJ58" s="302" t="n">
        <f aca="false" t="array" ref="AJ58:AJ58">IFERROR( (AVERAGE((IF(DATOS_[[Sexo]:[Sexo]]=$B58,IF(DATOS_[[AGRUP. CLAS. PROF.]:[AGRUP. CLAS. PROF.]]=$B57,IF(DATOS_[[Check Periodo Ref.]:[Check Periodo Ref.]]="Dentro",IF(DATOS_[[Check Equiparado]:[Check Equiparado]]="Sí",IF(DATOS!BE$4="Sí",(1/DATOS_[[% anualiz]:[% anualiz]]),1)*IF(DATOS!BE$5="Sí",1/DATOS_[[% normaliz]:[% normaliz]],1)*(DATOS_[Conc.Sal.27])))))))), 0)</f>
        <v>0</v>
      </c>
      <c r="AK58" s="302" t="n">
        <f aca="false" t="array" ref="AK58:AK58">IFERROR( (AVERAGE((IF(DATOS_[[Sexo]:[Sexo]]=$B58,IF(DATOS_[[AGRUP. CLAS. PROF.]:[AGRUP. CLAS. PROF.]]=$B57,IF(DATOS_[[Check Periodo Ref.]:[Check Periodo Ref.]]="Dentro",IF(DATOS_[[Check Equiparado]:[Check Equiparado]]="Sí",IF(DATOS!BF$4="Sí",(1/DATOS_[[% anualiz]:[% anualiz]]),1)*IF(DATOS!BF$5="Sí",1/DATOS_[[% normaliz]:[% normaliz]],1)*(DATOS_[Conc.Sal.28])))))))), 0)</f>
        <v>0</v>
      </c>
      <c r="AL58" s="302" t="n">
        <f aca="false" t="array" ref="AL58:AL58">IFERROR( (AVERAGE((IF(DATOS_[[Sexo]:[Sexo]]=$B58,IF(DATOS_[[AGRUP. CLAS. PROF.]:[AGRUP. CLAS. PROF.]]=$B57,IF(DATOS_[[Check Periodo Ref.]:[Check Periodo Ref.]]="Dentro",IF(DATOS_[[Check Equiparado]:[Check Equiparado]]="Sí",IF(DATOS!BG$4="Sí",(1/DATOS_[[% anualiz]:[% anualiz]]),1)*IF(DATOS!BG$5="Sí",1/DATOS_[[% normaliz]:[% normaliz]],1)*(DATOS_[Conc.Sal.29])))))))), 0)</f>
        <v>0</v>
      </c>
      <c r="AM58" s="302" t="n">
        <f aca="false" t="array" ref="AM58:AM58">IFERROR( (AVERAGE((IF(DATOS_[[Sexo]:[Sexo]]=$B58,IF(DATOS_[[AGRUP. CLAS. PROF.]:[AGRUP. CLAS. PROF.]]=$B57,IF(DATOS_[[Check Periodo Ref.]:[Check Periodo Ref.]]="Dentro",IF(DATOS_[[Check Equiparado]:[Check Equiparado]]="Sí",IF(DATOS!BH$4="Sí",(1/DATOS_[[% anualiz]:[% anualiz]]),1)*IF(DATOS!BH$5="Sí",1/DATOS_[[% normaliz]:[% normaliz]],1)*(DATOS_[Conc.Sal.30])))))))), 0)</f>
        <v>0</v>
      </c>
      <c r="AN58" s="294" t="n">
        <f aca="false" t="array" ref="AN58:AN58">IFERROR( AVERAGE(IF(DATOS_[Sexo]=$B58,IF(DATOS_[[AGRUP. CLAS. PROF.]:[AGRUP. CLAS. PROF.]]=$B57,IF(DATOS_[Check Equiparado]="Sí",IF(DATOS_[Check Periodo Ref.]="Dentro",DATOS_[Tot COMPL.SAL Eq],0))))), 0)</f>
        <v>0</v>
      </c>
      <c r="AO58" s="295" t="n">
        <f aca="false" t="array" ref="AO58:AO58">IFERROR( AVERAGE(IF(DATOS_[Sexo]=$B58,IF(DATOS_[[AGRUP. CLAS. PROF.]:[AGRUP. CLAS. PROF.]]=$B57,IF(DATOS_[Check Equiparado]="Sí",IF(DATOS_[Check Periodo Ref.]="Dentro",DATOS_[TOTAL SALARIO Eq],0))))), 0)</f>
        <v>0</v>
      </c>
      <c r="AP58" s="303" t="n">
        <f aca="false" t="array" ref="AP58:AP58">IFERROR( (AVERAGE((IF(DATOS_[[Sexo]:[Sexo]]=$B58,IF(DATOS_[[AGRUP. CLAS. PROF.]:[AGRUP. CLAS. PROF.]]=$B57,IF(DATOS_[[Check Periodo Ref.]:[Check Periodo Ref.]]="Dentro",IF(DATOS_[[Check Equiparado]:[Check Equiparado]]="Sí",IF(DATOS!BI$4="Sí",(1/DATOS_[[% anualiz]:[% anualiz]]),1)*IF(DATOS!BI$5="Sí",1/DATOS_[[% normaliz]:[% normaliz]],1)*(DATOS_[C.Extra.01])))))))), 0)</f>
        <v>0</v>
      </c>
      <c r="AQ58" s="303" t="n">
        <f aca="false" t="array" ref="AQ58:AQ58">IFERROR( (AVERAGE((IF(DATOS_[[Sexo]:[Sexo]]=$B58,IF(DATOS_[[AGRUP. CLAS. PROF.]:[AGRUP. CLAS. PROF.]]=$B57,IF(DATOS_[[Check Periodo Ref.]:[Check Periodo Ref.]]="Dentro",IF(DATOS_[[Check Equiparado]:[Check Equiparado]]="Sí",IF(DATOS!BJ$4="Sí",(1/DATOS_[[% anualiz]:[% anualiz]]),1)*IF(DATOS!BJ$5="Sí",1/DATOS_[[% normaliz]:[% normaliz]],1)*(DATOS_[C.Extra.02])))))))), 0)</f>
        <v>0</v>
      </c>
      <c r="AR58" s="303" t="n">
        <f aca="false" t="array" ref="AR58:AR58">IFERROR( (AVERAGE((IF(DATOS_[[Sexo]:[Sexo]]=$B58,IF(DATOS_[[AGRUP. CLAS. PROF.]:[AGRUP. CLAS. PROF.]]=$B57,IF(DATOS_[[Check Periodo Ref.]:[Check Periodo Ref.]]="Dentro",IF(DATOS_[[Check Equiparado]:[Check Equiparado]]="Sí",IF(DATOS!BK$4="Sí",(1/DATOS_[[% anualiz]:[% anualiz]]),1)*IF(DATOS!BK$5="Sí",1/DATOS_[[% normaliz]:[% normaliz]],1)*(DATOS_[C.Extra.03])))))))), 0)</f>
        <v>0</v>
      </c>
      <c r="AS58" s="303" t="n">
        <f aca="false" t="array" ref="AS58:AS58">IFERROR( (AVERAGE((IF(DATOS_[[Sexo]:[Sexo]]=$B58,IF(DATOS_[[AGRUP. CLAS. PROF.]:[AGRUP. CLAS. PROF.]]=$B57,IF(DATOS_[[Check Periodo Ref.]:[Check Periodo Ref.]]="Dentro",IF(DATOS_[[Check Equiparado]:[Check Equiparado]]="Sí",IF(DATOS!BL$4="Sí",(1/DATOS_[[% anualiz]:[% anualiz]]),1)*IF(DATOS!BL$5="Sí",1/DATOS_[[% normaliz]:[% normaliz]],1)*(DATOS_[C.Extra.04])))))))), 0)</f>
        <v>0</v>
      </c>
      <c r="AT58" s="303" t="n">
        <f aca="false" t="array" ref="AT58:AT58">IFERROR( (AVERAGE((IF(DATOS_[[Sexo]:[Sexo]]=$B58,IF(DATOS_[[AGRUP. CLAS. PROF.]:[AGRUP. CLAS. PROF.]]=$B57,IF(DATOS_[[Check Periodo Ref.]:[Check Periodo Ref.]]="Dentro",IF(DATOS_[[Check Equiparado]:[Check Equiparado]]="Sí",IF(DATOS!BM$4="Sí",(1/DATOS_[[% anualiz]:[% anualiz]]),1)*IF(DATOS!BM$5="Sí",1/DATOS_[[% normaliz]:[% normaliz]],1)*(DATOS_[C.Extra.05])))))))), 0)</f>
        <v>0</v>
      </c>
      <c r="AU58" s="297" t="n">
        <f aca="false" t="array" ref="AU58:AU58">IFERROR( AVERAGE(IF(DATOS_[Sexo]=$B58,IF(DATOS_[[AGRUP. CLAS. PROF.]:[AGRUP. CLAS. PROF.]]=$B57,IF(DATOS_[Check Equiparado]="Sí",IF(DATOS_[Check Periodo Ref.]="Dentro",DATOS_[Tot Extrasalarial Eq],0))))), 0)</f>
        <v>0</v>
      </c>
      <c r="AV58" s="298" t="n">
        <f aca="false" t="array" ref="AV58:AV58">IFERROR( AVERAGE(IF(DATOS_[Sexo]=$B58,IF(DATOS_[[AGRUP. CLAS. PROF.]:[AGRUP. CLAS. PROF.]]=$B57,IF(DATOS_[Check Equiparado]="Sí",IF(DATOS_[Check Periodo Ref.]="Dentro",DATOS_[TOTAL Retrib Eq],0))))), 0)</f>
        <v>0</v>
      </c>
    </row>
    <row r="59" customFormat="false" ht="14.25" hidden="false" customHeight="false" outlineLevel="0" collapsed="false">
      <c r="A59" s="166" t="str">
        <f aca="false">+A58</f>
        <v>[ocultar]</v>
      </c>
      <c r="B59" s="289" t="s">
        <v>372</v>
      </c>
      <c r="C59" s="290" t="n">
        <f aca="false" t="array" ref="C59:C59">SUM(IF($B59=DATOS_[Sexo], IF($B57=DATOS_[AGRUP. CLAS. PROF.], IF("Dentro"=DATOS_[Check Periodo Ref.], 1/(COUNTIFS(DATOS_[Sexo],$B59,DATOS_[AGRUP. CLAS. PROF.],$B57,DATOS_[Check Periodo Ref.],"Dentro",DATOS_[id],DATOS_[id]))))))</f>
        <v>0</v>
      </c>
      <c r="D59" s="291" t="n">
        <f aca="false">COUNTIFS(DATOS_[AGRUP. CLAS. PROF.],$B57,DATOS_[Sexo],$B59,DATOS_[Check Periodo Ref.],"Dentro")</f>
        <v>0</v>
      </c>
      <c r="E59" s="291" t="n">
        <f aca="false">COUNTIFS(DATOS_[AGRUP. CLAS. PROF.],$B57,DATOS_[Sexo],$B59,DATOS_[Check Periodo Ref.],"Dentro",DATOS_[Check Nº SC Norm],"Sí")</f>
        <v>0</v>
      </c>
      <c r="F59" s="291" t="n">
        <f aca="false">COUNTIFS(DATOS_[AGRUP. CLAS. PROF.],$B57,DATOS_[Sexo],$B59,DATOS_[Check Periodo Ref.],"Dentro",DATOS_[Check Nº SC Anualiz],"Sí")</f>
        <v>0</v>
      </c>
      <c r="G59" s="291" t="n">
        <f aca="false">COUNTIFS(DATOS_[AGRUP. CLAS. PROF.],$B57,DATOS_[Sexo],$B59,DATOS_[Check Periodo Ref.],"Dentro",DATOS_[Check Nº SC Norm y Anualiz],"Sí")</f>
        <v>0</v>
      </c>
      <c r="H59" s="291" t="n">
        <f aca="false">COUNTIFS(DATOS_[AGRUP. CLAS. PROF.],$B57,DATOS_[Sexo],$B59,DATOS_[Check Periodo Ref.],"Dentro",DATOS_[Check Equiparación],"Sí")</f>
        <v>0</v>
      </c>
      <c r="I59" s="292" t="n">
        <f aca="false" t="array" ref="I59:I59">IFERROR( AVERAGE(IF(DATOS_[Sexo]=$B59,IF(DATOS_[[AGRUP. CLAS. PROF.]:[AGRUP. CLAS. PROF.]]=$B57,IF(DATOS_[Check Equiparado]="Sí",IF(DATOS_[Check Periodo Ref.]="Dentro",DATOS_[SALARIO BASE Eq],0))))), 0)</f>
        <v>0</v>
      </c>
      <c r="J59" s="302" t="n">
        <f aca="false" t="array" ref="J59:J59">IFERROR( (AVERAGE((IF(DATOS_[[Sexo]:[Sexo]]=$B59,IF(DATOS_[[AGRUP. CLAS. PROF.]:[AGRUP. CLAS. PROF.]]=$B57,IF(DATOS_[[Check Periodo Ref.]:[Check Periodo Ref.]]="Dentro",IF(DATOS_[[Check Equiparado]:[Check Equiparado]]="Sí",IF(DATOS!AE$4="Sí",(1/DATOS_[[% anualiz]:[% anualiz]]),1)*IF(DATOS!AE$5="Sí",1/DATOS_[[% normaliz]:[% normaliz]],1)*(DATOS_[Conc.Sal.01])))))))), 0)</f>
        <v>0</v>
      </c>
      <c r="K59" s="302" t="n">
        <f aca="false" t="array" ref="K59:K59">IFERROR( (AVERAGE((IF(DATOS_[[Sexo]:[Sexo]]=$B59,IF(DATOS_[[AGRUP. CLAS. PROF.]:[AGRUP. CLAS. PROF.]]=$B57,IF(DATOS_[[Check Periodo Ref.]:[Check Periodo Ref.]]="Dentro",IF(DATOS_[[Check Equiparado]:[Check Equiparado]]="Sí",IF(DATOS!AF$4="Sí",(1/DATOS_[[% anualiz]:[% anualiz]]),1)*IF(DATOS!AF$5="Sí",1/DATOS_[[% normaliz]:[% normaliz]],1)*(DATOS_[Conc.Sal.02])))))))), 0)</f>
        <v>0</v>
      </c>
      <c r="L59" s="302" t="n">
        <f aca="false" t="array" ref="L59:L59">IFERROR( (AVERAGE((IF(DATOS_[[Sexo]:[Sexo]]=$B59,IF(DATOS_[[AGRUP. CLAS. PROF.]:[AGRUP. CLAS. PROF.]]=$B57,IF(DATOS_[[Check Periodo Ref.]:[Check Periodo Ref.]]="Dentro",IF(DATOS_[[Check Equiparado]:[Check Equiparado]]="Sí",IF(DATOS!AG$4="Sí",(1/DATOS_[[% anualiz]:[% anualiz]]),1)*IF(DATOS!AG$5="Sí",1/DATOS_[[% normaliz]:[% normaliz]],1)*(DATOS_[Conc.Sal.03])))))))), 0)</f>
        <v>0</v>
      </c>
      <c r="M59" s="302" t="n">
        <f aca="false" t="array" ref="M59:M59">IFERROR( (AVERAGE((IF(DATOS_[[Sexo]:[Sexo]]=$B59,IF(DATOS_[[AGRUP. CLAS. PROF.]:[AGRUP. CLAS. PROF.]]=$B57,IF(DATOS_[[Check Periodo Ref.]:[Check Periodo Ref.]]="Dentro",IF(DATOS_[[Check Equiparado]:[Check Equiparado]]="Sí",IF(DATOS!AH$4="Sí",(1/DATOS_[[% anualiz]:[% anualiz]]),1)*IF(DATOS!AH$5="Sí",1/DATOS_[[% normaliz]:[% normaliz]],1)*(DATOS_[Conc.Sal.04])))))))), 0)</f>
        <v>0</v>
      </c>
      <c r="N59" s="302" t="n">
        <f aca="false" t="array" ref="N59:N59">IFERROR( (AVERAGE((IF(DATOS_[[Sexo]:[Sexo]]=$B59,IF(DATOS_[[AGRUP. CLAS. PROF.]:[AGRUP. CLAS. PROF.]]=$B57,IF(DATOS_[[Check Periodo Ref.]:[Check Periodo Ref.]]="Dentro",IF(DATOS_[[Check Equiparado]:[Check Equiparado]]="Sí",IF(DATOS!AI$4="Sí",(1/DATOS_[[% anualiz]:[% anualiz]]),1)*IF(DATOS!AI$5="Sí",1/DATOS_[[% normaliz]:[% normaliz]],1)*(DATOS_[Conc.Sal.05])))))))), 0)</f>
        <v>0</v>
      </c>
      <c r="O59" s="302" t="n">
        <f aca="false" t="array" ref="O59:O59">IFERROR( (AVERAGE((IF(DATOS_[[Sexo]:[Sexo]]=$B59,IF(DATOS_[[AGRUP. CLAS. PROF.]:[AGRUP. CLAS. PROF.]]=$B57,IF(DATOS_[[Check Periodo Ref.]:[Check Periodo Ref.]]="Dentro",IF(DATOS_[[Check Equiparado]:[Check Equiparado]]="Sí",IF(DATOS!AJ$4="Sí",(1/DATOS_[[% anualiz]:[% anualiz]]),1)*IF(DATOS!AJ$5="Sí",1/DATOS_[[% normaliz]:[% normaliz]],1)*(DATOS_[Conc.Sal.06])))))))), 0)</f>
        <v>0</v>
      </c>
      <c r="P59" s="302" t="n">
        <f aca="false" t="array" ref="P59:P59">IFERROR( (AVERAGE((IF(DATOS_[[Sexo]:[Sexo]]=$B59,IF(DATOS_[[AGRUP. CLAS. PROF.]:[AGRUP. CLAS. PROF.]]=$B57,IF(DATOS_[[Check Periodo Ref.]:[Check Periodo Ref.]]="Dentro",IF(DATOS_[[Check Equiparado]:[Check Equiparado]]="Sí",IF(DATOS!AK$4="Sí",(1/DATOS_[[% anualiz]:[% anualiz]]),1)*IF(DATOS!AK$5="Sí",1/DATOS_[[% normaliz]:[% normaliz]],1)*(DATOS_[Conc.Sal.07])))))))), 0)</f>
        <v>0</v>
      </c>
      <c r="Q59" s="302" t="n">
        <f aca="false" t="array" ref="Q59:Q59">IFERROR( (AVERAGE((IF(DATOS_[[Sexo]:[Sexo]]=$B59,IF(DATOS_[[AGRUP. CLAS. PROF.]:[AGRUP. CLAS. PROF.]]=$B57,IF(DATOS_[[Check Periodo Ref.]:[Check Periodo Ref.]]="Dentro",IF(DATOS_[[Check Equiparado]:[Check Equiparado]]="Sí",IF(DATOS!AL$4="Sí",(1/DATOS_[[% anualiz]:[% anualiz]]),1)*IF(DATOS!AL$5="Sí",1/DATOS_[[% normaliz]:[% normaliz]],1)*(DATOS_[Conc.Sal.08])))))))), 0)</f>
        <v>0</v>
      </c>
      <c r="R59" s="302" t="n">
        <f aca="false" t="array" ref="R59:R59">IFERROR( (AVERAGE((IF(DATOS_[[Sexo]:[Sexo]]=$B59,IF(DATOS_[[AGRUP. CLAS. PROF.]:[AGRUP. CLAS. PROF.]]=$B57,IF(DATOS_[[Check Periodo Ref.]:[Check Periodo Ref.]]="Dentro",IF(DATOS_[[Check Equiparado]:[Check Equiparado]]="Sí",IF(DATOS!AM$4="Sí",(1/DATOS_[[% anualiz]:[% anualiz]]),1)*IF(DATOS!AM$5="Sí",1/DATOS_[[% normaliz]:[% normaliz]],1)*(DATOS_[Conc.Sal.09])))))))), 0)</f>
        <v>0</v>
      </c>
      <c r="S59" s="302" t="n">
        <f aca="false" t="array" ref="S59:S59">IFERROR( (AVERAGE((IF(DATOS_[[Sexo]:[Sexo]]=$B59,IF(DATOS_[[AGRUP. CLAS. PROF.]:[AGRUP. CLAS. PROF.]]=$B57,IF(DATOS_[[Check Periodo Ref.]:[Check Periodo Ref.]]="Dentro",IF(DATOS_[[Check Equiparado]:[Check Equiparado]]="Sí",IF(DATOS!AN$4="Sí",(1/DATOS_[[% anualiz]:[% anualiz]]),1)*IF(DATOS!AN$5="Sí",1/DATOS_[[% normaliz]:[% normaliz]],1)*(DATOS_[Conc.Sal.10])))))))), 0)</f>
        <v>0</v>
      </c>
      <c r="T59" s="302" t="n">
        <f aca="false" t="array" ref="T59:T59">IFERROR( (AVERAGE((IF(DATOS_[[Sexo]:[Sexo]]=$B59,IF(DATOS_[[AGRUP. CLAS. PROF.]:[AGRUP. CLAS. PROF.]]=$B57,IF(DATOS_[[Check Periodo Ref.]:[Check Periodo Ref.]]="Dentro",IF(DATOS_[[Check Equiparado]:[Check Equiparado]]="Sí",IF(DATOS!AO$4="Sí",(1/DATOS_[[% anualiz]:[% anualiz]]),1)*IF(DATOS!AO$5="Sí",1/DATOS_[[% normaliz]:[% normaliz]],1)*(DATOS_[Conc.Sal.11])))))))), 0)</f>
        <v>0</v>
      </c>
      <c r="U59" s="302" t="n">
        <f aca="false" t="array" ref="U59:U59">IFERROR( (AVERAGE((IF(DATOS_[[Sexo]:[Sexo]]=$B59,IF(DATOS_[[AGRUP. CLAS. PROF.]:[AGRUP. CLAS. PROF.]]=$B57,IF(DATOS_[[Check Periodo Ref.]:[Check Periodo Ref.]]="Dentro",IF(DATOS_[[Check Equiparado]:[Check Equiparado]]="Sí",IF(DATOS!AP$4="Sí",(1/DATOS_[[% anualiz]:[% anualiz]]),1)*IF(DATOS!AP$5="Sí",1/DATOS_[[% normaliz]:[% normaliz]],1)*(DATOS_[Conc.Sal.12])))))))), 0)</f>
        <v>0</v>
      </c>
      <c r="V59" s="302" t="n">
        <f aca="false" t="array" ref="V59:V59">IFERROR( (AVERAGE((IF(DATOS_[[Sexo]:[Sexo]]=$B59,IF(DATOS_[[AGRUP. CLAS. PROF.]:[AGRUP. CLAS. PROF.]]=$B57,IF(DATOS_[[Check Periodo Ref.]:[Check Periodo Ref.]]="Dentro",IF(DATOS_[[Check Equiparado]:[Check Equiparado]]="Sí",IF(DATOS!AQ$4="Sí",(1/DATOS_[[% anualiz]:[% anualiz]]),1)*IF(DATOS!AQ$5="Sí",1/DATOS_[[% normaliz]:[% normaliz]],1)*(DATOS_[Conc.Sal.13])))))))), 0)</f>
        <v>0</v>
      </c>
      <c r="W59" s="302" t="n">
        <f aca="false" t="array" ref="W59:W59">IFERROR( (AVERAGE((IF(DATOS_[[Sexo]:[Sexo]]=$B59,IF(DATOS_[[AGRUP. CLAS. PROF.]:[AGRUP. CLAS. PROF.]]=$B57,IF(DATOS_[[Check Periodo Ref.]:[Check Periodo Ref.]]="Dentro",IF(DATOS_[[Check Equiparado]:[Check Equiparado]]="Sí",IF(DATOS!AR$4="Sí",(1/DATOS_[[% anualiz]:[% anualiz]]),1)*IF(DATOS!AR$5="Sí",1/DATOS_[[% normaliz]:[% normaliz]],1)*(DATOS_[Conc.Sal.14])))))))), 0)</f>
        <v>0</v>
      </c>
      <c r="X59" s="302" t="n">
        <f aca="false" t="array" ref="X59:X59">IFERROR( (AVERAGE((IF(DATOS_[[Sexo]:[Sexo]]=$B59,IF(DATOS_[[AGRUP. CLAS. PROF.]:[AGRUP. CLAS. PROF.]]=$B57,IF(DATOS_[[Check Periodo Ref.]:[Check Periodo Ref.]]="Dentro",IF(DATOS_[[Check Equiparado]:[Check Equiparado]]="Sí",IF(DATOS!AS$4="Sí",(1/DATOS_[[% anualiz]:[% anualiz]]),1)*IF(DATOS!AS$5="Sí",1/DATOS_[[% normaliz]:[% normaliz]],1)*(DATOS_[Conc.Sal.15])))))))), 0)</f>
        <v>0</v>
      </c>
      <c r="Y59" s="302" t="n">
        <f aca="false" t="array" ref="Y59:Y59">IFERROR( (AVERAGE((IF(DATOS_[[Sexo]:[Sexo]]=$B59,IF(DATOS_[[AGRUP. CLAS. PROF.]:[AGRUP. CLAS. PROF.]]=$B57,IF(DATOS_[[Check Periodo Ref.]:[Check Periodo Ref.]]="Dentro",IF(DATOS_[[Check Equiparado]:[Check Equiparado]]="Sí",IF(DATOS!AT$4="Sí",(1/DATOS_[[% anualiz]:[% anualiz]]),1)*IF(DATOS!AT$5="Sí",1/DATOS_[[% normaliz]:[% normaliz]],1)*(DATOS_[Conc.Sal.16])))))))), 0)</f>
        <v>0</v>
      </c>
      <c r="Z59" s="302" t="n">
        <f aca="false" t="array" ref="Z59:Z59">IFERROR( (AVERAGE((IF(DATOS_[[Sexo]:[Sexo]]=$B59,IF(DATOS_[[AGRUP. CLAS. PROF.]:[AGRUP. CLAS. PROF.]]=$B57,IF(DATOS_[[Check Periodo Ref.]:[Check Periodo Ref.]]="Dentro",IF(DATOS_[[Check Equiparado]:[Check Equiparado]]="Sí",IF(DATOS!AU$4="Sí",(1/DATOS_[[% anualiz]:[% anualiz]]),1)*IF(DATOS!AU$5="Sí",1/DATOS_[[% normaliz]:[% normaliz]],1)*(DATOS_[Conc.Sal.17])))))))), 0)</f>
        <v>0</v>
      </c>
      <c r="AA59" s="302" t="n">
        <f aca="false" t="array" ref="AA59:AA59">IFERROR( (AVERAGE((IF(DATOS_[[Sexo]:[Sexo]]=$B59,IF(DATOS_[[AGRUP. CLAS. PROF.]:[AGRUP. CLAS. PROF.]]=$B57,IF(DATOS_[[Check Periodo Ref.]:[Check Periodo Ref.]]="Dentro",IF(DATOS_[[Check Equiparado]:[Check Equiparado]]="Sí",IF(DATOS!AV$4="Sí",(1/DATOS_[[% anualiz]:[% anualiz]]),1)*IF(DATOS!AV$5="Sí",1/DATOS_[[% normaliz]:[% normaliz]],1)*(DATOS_[Conc.Sal.18])))))))), 0)</f>
        <v>0</v>
      </c>
      <c r="AB59" s="302" t="n">
        <f aca="false" t="array" ref="AB59:AB59">IFERROR( (AVERAGE((IF(DATOS_[[Sexo]:[Sexo]]=$B59,IF(DATOS_[[AGRUP. CLAS. PROF.]:[AGRUP. CLAS. PROF.]]=$B57,IF(DATOS_[[Check Periodo Ref.]:[Check Periodo Ref.]]="Dentro",IF(DATOS_[[Check Equiparado]:[Check Equiparado]]="Sí",IF(DATOS!AW$4="Sí",(1/DATOS_[[% anualiz]:[% anualiz]]),1)*IF(DATOS!AW$5="Sí",1/DATOS_[[% normaliz]:[% normaliz]],1)*(DATOS_[Conc.Sal.19])))))))), 0)</f>
        <v>0</v>
      </c>
      <c r="AC59" s="302" t="n">
        <f aca="false" t="array" ref="AC59:AC59">IFERROR( (AVERAGE((IF(DATOS_[[Sexo]:[Sexo]]=$B59,IF(DATOS_[[AGRUP. CLAS. PROF.]:[AGRUP. CLAS. PROF.]]=$B57,IF(DATOS_[[Check Periodo Ref.]:[Check Periodo Ref.]]="Dentro",IF(DATOS_[[Check Equiparado]:[Check Equiparado]]="Sí",IF(DATOS!AX$4="Sí",(1/DATOS_[[% anualiz]:[% anualiz]]),1)*IF(DATOS!AX$5="Sí",1/DATOS_[[% normaliz]:[% normaliz]],1)*(DATOS_[Conc.Sal.20])))))))), 0)</f>
        <v>0</v>
      </c>
      <c r="AD59" s="302" t="n">
        <f aca="false" t="array" ref="AD59:AD59">IFERROR( (AVERAGE((IF(DATOS_[[Sexo]:[Sexo]]=$B59,IF(DATOS_[[AGRUP. CLAS. PROF.]:[AGRUP. CLAS. PROF.]]=$B57,IF(DATOS_[[Check Periodo Ref.]:[Check Periodo Ref.]]="Dentro",IF(DATOS_[[Check Equiparado]:[Check Equiparado]]="Sí",IF(DATOS!AY$4="Sí",(1/DATOS_[[% anualiz]:[% anualiz]]),1)*IF(DATOS!AY$5="Sí",1/DATOS_[[% normaliz]:[% normaliz]],1)*(DATOS_[Conc.Sal.21])))))))), 0)</f>
        <v>0</v>
      </c>
      <c r="AE59" s="302" t="n">
        <f aca="false" t="array" ref="AE59:AE59">IFERROR( (AVERAGE((IF(DATOS_[[Sexo]:[Sexo]]=$B59,IF(DATOS_[[AGRUP. CLAS. PROF.]:[AGRUP. CLAS. PROF.]]=$B57,IF(DATOS_[[Check Periodo Ref.]:[Check Periodo Ref.]]="Dentro",IF(DATOS_[[Check Equiparado]:[Check Equiparado]]="Sí",IF(DATOS!AZ$4="Sí",(1/DATOS_[[% anualiz]:[% anualiz]]),1)*IF(DATOS!AZ$5="Sí",1/DATOS_[[% normaliz]:[% normaliz]],1)*(DATOS_[Conc.Sal.22])))))))), 0)</f>
        <v>0</v>
      </c>
      <c r="AF59" s="302" t="n">
        <f aca="false" t="array" ref="AF59:AF59">IFERROR( (AVERAGE((IF(DATOS_[[Sexo]:[Sexo]]=$B59,IF(DATOS_[[AGRUP. CLAS. PROF.]:[AGRUP. CLAS. PROF.]]=$B57,IF(DATOS_[[Check Periodo Ref.]:[Check Periodo Ref.]]="Dentro",IF(DATOS_[[Check Equiparado]:[Check Equiparado]]="Sí",IF(DATOS!BA$4="Sí",(1/DATOS_[[% anualiz]:[% anualiz]]),1)*IF(DATOS!BA$5="Sí",1/DATOS_[[% normaliz]:[% normaliz]],1)*(DATOS_[Conc.Sal.23])))))))), 0)</f>
        <v>0</v>
      </c>
      <c r="AG59" s="302" t="n">
        <f aca="false" t="array" ref="AG59:AG59">IFERROR( (AVERAGE((IF(DATOS_[[Sexo]:[Sexo]]=$B59,IF(DATOS_[[AGRUP. CLAS. PROF.]:[AGRUP. CLAS. PROF.]]=$B57,IF(DATOS_[[Check Periodo Ref.]:[Check Periodo Ref.]]="Dentro",IF(DATOS_[[Check Equiparado]:[Check Equiparado]]="Sí",IF(DATOS!BB$4="Sí",(1/DATOS_[[% anualiz]:[% anualiz]]),1)*IF(DATOS!BB$5="Sí",1/DATOS_[[% normaliz]:[% normaliz]],1)*(DATOS_[Conc.Sal.24])))))))), 0)</f>
        <v>0</v>
      </c>
      <c r="AH59" s="302" t="n">
        <f aca="false" t="array" ref="AH59:AH59">IFERROR( (AVERAGE((IF(DATOS_[[Sexo]:[Sexo]]=$B59,IF(DATOS_[[AGRUP. CLAS. PROF.]:[AGRUP. CLAS. PROF.]]=$B57,IF(DATOS_[[Check Periodo Ref.]:[Check Periodo Ref.]]="Dentro",IF(DATOS_[[Check Equiparado]:[Check Equiparado]]="Sí",IF(DATOS!BC$4="Sí",(1/DATOS_[[% anualiz]:[% anualiz]]),1)*IF(DATOS!BC$5="Sí",1/DATOS_[[% normaliz]:[% normaliz]],1)*(DATOS_[Conc.Sal.25])))))))), 0)</f>
        <v>0</v>
      </c>
      <c r="AI59" s="302" t="n">
        <f aca="false" t="array" ref="AI59:AI59">IFERROR( (AVERAGE((IF(DATOS_[[Sexo]:[Sexo]]=$B59,IF(DATOS_[[AGRUP. CLAS. PROF.]:[AGRUP. CLAS. PROF.]]=$B57,IF(DATOS_[[Check Periodo Ref.]:[Check Periodo Ref.]]="Dentro",IF(DATOS_[[Check Equiparado]:[Check Equiparado]]="Sí",IF(DATOS!BD$4="Sí",(1/DATOS_[[% anualiz]:[% anualiz]]),1)*IF(DATOS!BD$5="Sí",1/DATOS_[[% normaliz]:[% normaliz]],1)*(DATOS_[Conc.Sal.26])))))))), 0)</f>
        <v>0</v>
      </c>
      <c r="AJ59" s="302" t="n">
        <f aca="false" t="array" ref="AJ59:AJ59">IFERROR( (AVERAGE((IF(DATOS_[[Sexo]:[Sexo]]=$B59,IF(DATOS_[[AGRUP. CLAS. PROF.]:[AGRUP. CLAS. PROF.]]=$B57,IF(DATOS_[[Check Periodo Ref.]:[Check Periodo Ref.]]="Dentro",IF(DATOS_[[Check Equiparado]:[Check Equiparado]]="Sí",IF(DATOS!BE$4="Sí",(1/DATOS_[[% anualiz]:[% anualiz]]),1)*IF(DATOS!BE$5="Sí",1/DATOS_[[% normaliz]:[% normaliz]],1)*(DATOS_[Conc.Sal.27])))))))), 0)</f>
        <v>0</v>
      </c>
      <c r="AK59" s="302" t="n">
        <f aca="false" t="array" ref="AK59:AK59">IFERROR( (AVERAGE((IF(DATOS_[[Sexo]:[Sexo]]=$B59,IF(DATOS_[[AGRUP. CLAS. PROF.]:[AGRUP. CLAS. PROF.]]=$B57,IF(DATOS_[[Check Periodo Ref.]:[Check Periodo Ref.]]="Dentro",IF(DATOS_[[Check Equiparado]:[Check Equiparado]]="Sí",IF(DATOS!BF$4="Sí",(1/DATOS_[[% anualiz]:[% anualiz]]),1)*IF(DATOS!BF$5="Sí",1/DATOS_[[% normaliz]:[% normaliz]],1)*(DATOS_[Conc.Sal.28])))))))), 0)</f>
        <v>0</v>
      </c>
      <c r="AL59" s="302" t="n">
        <f aca="false" t="array" ref="AL59:AL59">IFERROR( (AVERAGE((IF(DATOS_[[Sexo]:[Sexo]]=$B59,IF(DATOS_[[AGRUP. CLAS. PROF.]:[AGRUP. CLAS. PROF.]]=$B57,IF(DATOS_[[Check Periodo Ref.]:[Check Periodo Ref.]]="Dentro",IF(DATOS_[[Check Equiparado]:[Check Equiparado]]="Sí",IF(DATOS!BG$4="Sí",(1/DATOS_[[% anualiz]:[% anualiz]]),1)*IF(DATOS!BG$5="Sí",1/DATOS_[[% normaliz]:[% normaliz]],1)*(DATOS_[Conc.Sal.29])))))))), 0)</f>
        <v>0</v>
      </c>
      <c r="AM59" s="302" t="n">
        <f aca="false" t="array" ref="AM59:AM59">IFERROR( (AVERAGE((IF(DATOS_[[Sexo]:[Sexo]]=$B59,IF(DATOS_[[AGRUP. CLAS. PROF.]:[AGRUP. CLAS. PROF.]]=$B57,IF(DATOS_[[Check Periodo Ref.]:[Check Periodo Ref.]]="Dentro",IF(DATOS_[[Check Equiparado]:[Check Equiparado]]="Sí",IF(DATOS!BH$4="Sí",(1/DATOS_[[% anualiz]:[% anualiz]]),1)*IF(DATOS!BH$5="Sí",1/DATOS_[[% normaliz]:[% normaliz]],1)*(DATOS_[Conc.Sal.30])))))))), 0)</f>
        <v>0</v>
      </c>
      <c r="AN59" s="294" t="n">
        <f aca="false" t="array" ref="AN59:AN59">IFERROR( AVERAGE(IF(DATOS_[Sexo]=$B59,IF(DATOS_[[AGRUP. CLAS. PROF.]:[AGRUP. CLAS. PROF.]]=$B57,IF(DATOS_[Check Equiparado]="Sí",IF(DATOS_[Check Periodo Ref.]="Dentro",DATOS_[Tot COMPL.SAL Eq],0))))), 0)</f>
        <v>0</v>
      </c>
      <c r="AO59" s="295" t="n">
        <f aca="false" t="array" ref="AO59:AO59">IFERROR( AVERAGE(IF(DATOS_[Sexo]=$B59,IF(DATOS_[[AGRUP. CLAS. PROF.]:[AGRUP. CLAS. PROF.]]=$B57,IF(DATOS_[Check Equiparado]="Sí",IF(DATOS_[Check Periodo Ref.]="Dentro",DATOS_[TOTAL SALARIO Eq],0))))), 0)</f>
        <v>0</v>
      </c>
      <c r="AP59" s="303" t="n">
        <f aca="false" t="array" ref="AP59:AP59">IFERROR( (AVERAGE((IF(DATOS_[[Sexo]:[Sexo]]=$B59,IF(DATOS_[[AGRUP. CLAS. PROF.]:[AGRUP. CLAS. PROF.]]=$B58,IF(DATOS_[[Check Periodo Ref.]:[Check Periodo Ref.]]="Dentro",IF(DATOS_[[Check Equiparado]:[Check Equiparado]]="Sí",IF(DATOS!BI$4="Sí",(1/DATOS_[[% anualiz]:[% anualiz]]),1)*IF(DATOS!BI$5="Sí",1/DATOS_[[% normaliz]:[% normaliz]],1)*(DATOS_[C.Extra.01])))))))), 0)</f>
        <v>0</v>
      </c>
      <c r="AQ59" s="303" t="n">
        <f aca="false" t="array" ref="AQ59:AQ59">IFERROR( (AVERAGE((IF(DATOS_[[Sexo]:[Sexo]]=$B59,IF(DATOS_[[AGRUP. CLAS. PROF.]:[AGRUP. CLAS. PROF.]]=$B58,IF(DATOS_[[Check Periodo Ref.]:[Check Periodo Ref.]]="Dentro",IF(DATOS_[[Check Equiparado]:[Check Equiparado]]="Sí",IF(DATOS!BJ$4="Sí",(1/DATOS_[[% anualiz]:[% anualiz]]),1)*IF(DATOS!BJ$5="Sí",1/DATOS_[[% normaliz]:[% normaliz]],1)*(DATOS_[C.Extra.02])))))))), 0)</f>
        <v>0</v>
      </c>
      <c r="AR59" s="303" t="n">
        <f aca="false" t="array" ref="AR59:AR59">IFERROR( (AVERAGE((IF(DATOS_[[Sexo]:[Sexo]]=$B59,IF(DATOS_[[AGRUP. CLAS. PROF.]:[AGRUP. CLAS. PROF.]]=$B58,IF(DATOS_[[Check Periodo Ref.]:[Check Periodo Ref.]]="Dentro",IF(DATOS_[[Check Equiparado]:[Check Equiparado]]="Sí",IF(DATOS!BK$4="Sí",(1/DATOS_[[% anualiz]:[% anualiz]]),1)*IF(DATOS!BK$5="Sí",1/DATOS_[[% normaliz]:[% normaliz]],1)*(DATOS_[C.Extra.03])))))))), 0)</f>
        <v>0</v>
      </c>
      <c r="AS59" s="303" t="n">
        <f aca="false" t="array" ref="AS59:AS59">IFERROR( (AVERAGE((IF(DATOS_[[Sexo]:[Sexo]]=$B59,IF(DATOS_[[AGRUP. CLAS. PROF.]:[AGRUP. CLAS. PROF.]]=$B58,IF(DATOS_[[Check Periodo Ref.]:[Check Periodo Ref.]]="Dentro",IF(DATOS_[[Check Equiparado]:[Check Equiparado]]="Sí",IF(DATOS!BL$4="Sí",(1/DATOS_[[% anualiz]:[% anualiz]]),1)*IF(DATOS!BL$5="Sí",1/DATOS_[[% normaliz]:[% normaliz]],1)*(DATOS_[C.Extra.04])))))))), 0)</f>
        <v>0</v>
      </c>
      <c r="AT59" s="303" t="n">
        <f aca="false" t="array" ref="AT59:AT59">IFERROR( (AVERAGE((IF(DATOS_[[Sexo]:[Sexo]]=$B59,IF(DATOS_[[AGRUP. CLAS. PROF.]:[AGRUP. CLAS. PROF.]]=$B58,IF(DATOS_[[Check Periodo Ref.]:[Check Periodo Ref.]]="Dentro",IF(DATOS_[[Check Equiparado]:[Check Equiparado]]="Sí",IF(DATOS!BM$4="Sí",(1/DATOS_[[% anualiz]:[% anualiz]]),1)*IF(DATOS!BM$5="Sí",1/DATOS_[[% normaliz]:[% normaliz]],1)*(DATOS_[C.Extra.05])))))))), 0)</f>
        <v>0</v>
      </c>
      <c r="AU59" s="297" t="n">
        <f aca="false" t="array" ref="AU59:AU59">IFERROR( AVERAGE(IF(DATOS_[Sexo]=$B59,IF(DATOS_[[AGRUP. CLAS. PROF.]:[AGRUP. CLAS. PROF.]]=$B57,IF(DATOS_[Check Equiparado]="Sí",IF(DATOS_[Check Periodo Ref.]="Dentro",DATOS_[Tot Extrasalarial Eq],0))))), 0)</f>
        <v>0</v>
      </c>
      <c r="AV59" s="298" t="n">
        <f aca="false" t="array" ref="AV59:AV59">IFERROR( AVERAGE(IF(DATOS_[Sexo]=$B59,IF(DATOS_[[AGRUP. CLAS. PROF.]:[AGRUP. CLAS. PROF.]]=$B57,IF(DATOS_[Check Equiparado]="Sí",IF(DATOS_[Check Periodo Ref.]="Dentro",DATOS_[TOTAL Retrib Eq],0))))), 0)</f>
        <v>0</v>
      </c>
    </row>
    <row r="60" customFormat="false" ht="15.75" hidden="false" customHeight="false" outlineLevel="0" collapsed="false">
      <c r="A60" s="166" t="str">
        <f aca="false">+A61</f>
        <v>[ocultar]</v>
      </c>
      <c r="B60" s="276" t="s">
        <v>213</v>
      </c>
      <c r="C60" s="277"/>
      <c r="D60" s="278"/>
      <c r="E60" s="278"/>
      <c r="F60" s="278"/>
      <c r="G60" s="278"/>
      <c r="H60" s="278"/>
      <c r="I60" s="279" t="str">
        <f aca="false">IFERROR((I61-I62)/I61,"")</f>
        <v/>
      </c>
      <c r="J60" s="280" t="str">
        <f aca="false">IFERROR((J61-J62)/J61,"")</f>
        <v/>
      </c>
      <c r="K60" s="281" t="str">
        <f aca="false">IFERROR((K61-K62)/K61,"")</f>
        <v/>
      </c>
      <c r="L60" s="281" t="str">
        <f aca="false">IFERROR((L61-L62)/L61,"")</f>
        <v/>
      </c>
      <c r="M60" s="281" t="str">
        <f aca="false">IFERROR((M61-M62)/M61,"")</f>
        <v/>
      </c>
      <c r="N60" s="282" t="str">
        <f aca="false">IFERROR((N61-N62)/N61,"")</f>
        <v/>
      </c>
      <c r="O60" s="283" t="str">
        <f aca="false">IFERROR((O61-O62)/O61,"")</f>
        <v/>
      </c>
      <c r="P60" s="283" t="str">
        <f aca="false">IFERROR((P61-P62)/P61,"")</f>
        <v/>
      </c>
      <c r="Q60" s="283" t="str">
        <f aca="false">IFERROR((Q61-Q62)/Q61,"")</f>
        <v/>
      </c>
      <c r="R60" s="283" t="str">
        <f aca="false">IFERROR((R61-R62)/R61,"")</f>
        <v/>
      </c>
      <c r="S60" s="283" t="str">
        <f aca="false">IFERROR((S61-S62)/S61,"")</f>
        <v/>
      </c>
      <c r="T60" s="283" t="str">
        <f aca="false">IFERROR((T61-T62)/T61,"")</f>
        <v/>
      </c>
      <c r="U60" s="283" t="str">
        <f aca="false">IFERROR((U61-U62)/U61,"")</f>
        <v/>
      </c>
      <c r="V60" s="283" t="str">
        <f aca="false">IFERROR((V61-V62)/V61,"")</f>
        <v/>
      </c>
      <c r="W60" s="283" t="str">
        <f aca="false">IFERROR((W61-W62)/W61,"")</f>
        <v/>
      </c>
      <c r="X60" s="283" t="str">
        <f aca="false">IFERROR((X61-X62)/X61,"")</f>
        <v/>
      </c>
      <c r="Y60" s="283" t="str">
        <f aca="false">IFERROR((Y61-Y62)/Y61,"")</f>
        <v/>
      </c>
      <c r="Z60" s="282" t="str">
        <f aca="false">IFERROR((Z61-Z62)/Z61,"")</f>
        <v/>
      </c>
      <c r="AA60" s="282" t="str">
        <f aca="false">IFERROR((AA61-AA62)/AA61,"")</f>
        <v/>
      </c>
      <c r="AB60" s="282" t="str">
        <f aca="false">IFERROR((AB61-AB62)/AB61,"")</f>
        <v/>
      </c>
      <c r="AC60" s="282" t="str">
        <f aca="false">IFERROR((AC61-AC62)/AC61,"")</f>
        <v/>
      </c>
      <c r="AD60" s="282" t="str">
        <f aca="false">IFERROR((AD61-AD62)/AD61,"")</f>
        <v/>
      </c>
      <c r="AE60" s="282" t="str">
        <f aca="false">IFERROR((AE61-AE62)/AE61,"")</f>
        <v/>
      </c>
      <c r="AF60" s="282" t="str">
        <f aca="false">IFERROR((AF61-AF62)/AF61,"")</f>
        <v/>
      </c>
      <c r="AG60" s="282" t="str">
        <f aca="false">IFERROR((AG61-AG62)/AG61,"")</f>
        <v/>
      </c>
      <c r="AH60" s="282" t="str">
        <f aca="false">IFERROR((AH61-AH62)/AH61,"")</f>
        <v/>
      </c>
      <c r="AI60" s="282" t="str">
        <f aca="false">IFERROR((AI61-AI62)/AI61,"")</f>
        <v/>
      </c>
      <c r="AJ60" s="282" t="str">
        <f aca="false">IFERROR((AJ61-AJ62)/AJ61,"")</f>
        <v/>
      </c>
      <c r="AK60" s="282" t="str">
        <f aca="false">IFERROR((AK61-AK62)/AK61,"")</f>
        <v/>
      </c>
      <c r="AL60" s="282" t="str">
        <f aca="false">IFERROR((AL61-AL62)/AL61,"")</f>
        <v/>
      </c>
      <c r="AM60" s="282" t="str">
        <f aca="false">IFERROR((AM61-AM62)/AM61,"")</f>
        <v/>
      </c>
      <c r="AN60" s="284" t="str">
        <f aca="false">IFERROR((AN61-AN62)/AN61,"")</f>
        <v/>
      </c>
      <c r="AO60" s="285" t="str">
        <f aca="false">IFERROR((AO61-AO62)/AO61,"")</f>
        <v/>
      </c>
      <c r="AP60" s="286" t="str">
        <f aca="false">IFERROR((AP61-AP62)/AP61,"")</f>
        <v/>
      </c>
      <c r="AQ60" s="286" t="str">
        <f aca="false">IFERROR((AQ61-AQ62)/AQ61,"")</f>
        <v/>
      </c>
      <c r="AR60" s="286" t="str">
        <f aca="false">IFERROR((AR61-AR62)/AR61,"")</f>
        <v/>
      </c>
      <c r="AS60" s="286" t="str">
        <f aca="false">IFERROR((AS61-AS62)/AS61,"")</f>
        <v/>
      </c>
      <c r="AT60" s="286" t="str">
        <f aca="false">IFERROR((AT61-AT62)/AT61,"")</f>
        <v/>
      </c>
      <c r="AU60" s="287" t="str">
        <f aca="false">IFERROR((AU61-AU62)/AU61,"")</f>
        <v/>
      </c>
      <c r="AV60" s="288" t="str">
        <f aca="false">IFERROR((AV61-AV62)/AV61,"")</f>
        <v/>
      </c>
    </row>
    <row r="61" customFormat="false" ht="14.25" hidden="false" customHeight="false" outlineLevel="0" collapsed="false">
      <c r="A61" s="166" t="str">
        <f aca="false">+IF(C61+C62=0,"[ocultar]","")</f>
        <v>[ocultar]</v>
      </c>
      <c r="B61" s="289" t="s">
        <v>371</v>
      </c>
      <c r="C61" s="290" t="n">
        <f aca="false" t="array" ref="C61:C61">SUM(IF($B61=DATOS_[Sexo], IF($B60=DATOS_[AGRUP. CLAS. PROF.], IF("Dentro"=DATOS_[Check Periodo Ref.], 1/(COUNTIFS(DATOS_[Sexo],$B61,DATOS_[AGRUP. CLAS. PROF.],$B60,DATOS_[Check Periodo Ref.],"Dentro",DATOS_[id],DATOS_[id]))))))</f>
        <v>0</v>
      </c>
      <c r="D61" s="291" t="n">
        <f aca="false">COUNTIFS(DATOS_[AGRUP. CLAS. PROF.],$B60,DATOS_[Sexo],$B61,DATOS_[Check Periodo Ref.],"Dentro")</f>
        <v>0</v>
      </c>
      <c r="E61" s="291" t="n">
        <f aca="false">COUNTIFS(DATOS_[AGRUP. CLAS. PROF.],$B60,DATOS_[Sexo],$B61,DATOS_[Check Periodo Ref.],"Dentro",DATOS_[Check Nº SC Norm],"Sí")</f>
        <v>0</v>
      </c>
      <c r="F61" s="291" t="n">
        <f aca="false">COUNTIFS(DATOS_[AGRUP. CLAS. PROF.],$B60,DATOS_[Sexo],$B61,DATOS_[Check Periodo Ref.],"Dentro",DATOS_[Check Nº SC Anualiz],"Sí")</f>
        <v>0</v>
      </c>
      <c r="G61" s="291" t="n">
        <f aca="false">COUNTIFS(DATOS_[AGRUP. CLAS. PROF.],$B60,DATOS_[Sexo],$B61,DATOS_[Check Periodo Ref.],"Dentro",DATOS_[Check Nº SC Norm y Anualiz],"Sí")</f>
        <v>0</v>
      </c>
      <c r="H61" s="291" t="n">
        <f aca="false">COUNTIFS(DATOS_[AGRUP. CLAS. PROF.],$B60,DATOS_[Sexo],$B61,DATOS_[Check Periodo Ref.],"Dentro",DATOS_[Check Equiparación],"Sí")</f>
        <v>0</v>
      </c>
      <c r="I61" s="292" t="n">
        <f aca="false" t="array" ref="I61:I61">IFERROR( AVERAGE(IF(DATOS_[Sexo]=$B61,IF(DATOS_[[AGRUP. CLAS. PROF.]:[AGRUP. CLAS. PROF.]]=$B60,IF(DATOS_[Check Equiparado]="Sí",IF(DATOS_[Check Periodo Ref.]="Dentro",DATOS_[SALARIO BASE Eq],0))))), 0)</f>
        <v>0</v>
      </c>
      <c r="J61" s="302" t="n">
        <f aca="false" t="array" ref="J61:J61">IFERROR( (AVERAGE((IF(DATOS_[[Sexo]:[Sexo]]=$B61,IF(DATOS_[[AGRUP. CLAS. PROF.]:[AGRUP. CLAS. PROF.]]=$B60,IF(DATOS_[[Check Periodo Ref.]:[Check Periodo Ref.]]="Dentro",IF(DATOS_[[Check Equiparado]:[Check Equiparado]]="Sí",IF(DATOS!AE$4="Sí",(1/DATOS_[[% anualiz]:[% anualiz]]),1)*IF(DATOS!AE$5="Sí",1/DATOS_[[% normaliz]:[% normaliz]],1)*(DATOS_[Conc.Sal.01])))))))), 0)</f>
        <v>0</v>
      </c>
      <c r="K61" s="302" t="n">
        <f aca="false" t="array" ref="K61:K61">IFERROR( (AVERAGE((IF(DATOS_[[Sexo]:[Sexo]]=$B61,IF(DATOS_[[AGRUP. CLAS. PROF.]:[AGRUP. CLAS. PROF.]]=$B60,IF(DATOS_[[Check Periodo Ref.]:[Check Periodo Ref.]]="Dentro",IF(DATOS_[[Check Equiparado]:[Check Equiparado]]="Sí",IF(DATOS!AF$4="Sí",(1/DATOS_[[% anualiz]:[% anualiz]]),1)*IF(DATOS!AF$5="Sí",1/DATOS_[[% normaliz]:[% normaliz]],1)*(DATOS_[Conc.Sal.02])))))))), 0)</f>
        <v>0</v>
      </c>
      <c r="L61" s="302" t="n">
        <f aca="false" t="array" ref="L61:L61">IFERROR( (AVERAGE((IF(DATOS_[[Sexo]:[Sexo]]=$B61,IF(DATOS_[[AGRUP. CLAS. PROF.]:[AGRUP. CLAS. PROF.]]=$B60,IF(DATOS_[[Check Periodo Ref.]:[Check Periodo Ref.]]="Dentro",IF(DATOS_[[Check Equiparado]:[Check Equiparado]]="Sí",IF(DATOS!AG$4="Sí",(1/DATOS_[[% anualiz]:[% anualiz]]),1)*IF(DATOS!AG$5="Sí",1/DATOS_[[% normaliz]:[% normaliz]],1)*(DATOS_[Conc.Sal.03])))))))), 0)</f>
        <v>0</v>
      </c>
      <c r="M61" s="302" t="n">
        <f aca="false" t="array" ref="M61:M61">IFERROR( (AVERAGE((IF(DATOS_[[Sexo]:[Sexo]]=$B61,IF(DATOS_[[AGRUP. CLAS. PROF.]:[AGRUP. CLAS. PROF.]]=$B60,IF(DATOS_[[Check Periodo Ref.]:[Check Periodo Ref.]]="Dentro",IF(DATOS_[[Check Equiparado]:[Check Equiparado]]="Sí",IF(DATOS!AH$4="Sí",(1/DATOS_[[% anualiz]:[% anualiz]]),1)*IF(DATOS!AH$5="Sí",1/DATOS_[[% normaliz]:[% normaliz]],1)*(DATOS_[Conc.Sal.04])))))))), 0)</f>
        <v>0</v>
      </c>
      <c r="N61" s="302" t="n">
        <f aca="false" t="array" ref="N61:N61">IFERROR( (AVERAGE((IF(DATOS_[[Sexo]:[Sexo]]=$B61,IF(DATOS_[[AGRUP. CLAS. PROF.]:[AGRUP. CLAS. PROF.]]=$B60,IF(DATOS_[[Check Periodo Ref.]:[Check Periodo Ref.]]="Dentro",IF(DATOS_[[Check Equiparado]:[Check Equiparado]]="Sí",IF(DATOS!AI$4="Sí",(1/DATOS_[[% anualiz]:[% anualiz]]),1)*IF(DATOS!AI$5="Sí",1/DATOS_[[% normaliz]:[% normaliz]],1)*(DATOS_[Conc.Sal.05])))))))), 0)</f>
        <v>0</v>
      </c>
      <c r="O61" s="302" t="n">
        <f aca="false" t="array" ref="O61:O61">IFERROR( (AVERAGE((IF(DATOS_[[Sexo]:[Sexo]]=$B61,IF(DATOS_[[AGRUP. CLAS. PROF.]:[AGRUP. CLAS. PROF.]]=$B60,IF(DATOS_[[Check Periodo Ref.]:[Check Periodo Ref.]]="Dentro",IF(DATOS_[[Check Equiparado]:[Check Equiparado]]="Sí",IF(DATOS!AJ$4="Sí",(1/DATOS_[[% anualiz]:[% anualiz]]),1)*IF(DATOS!AJ$5="Sí",1/DATOS_[[% normaliz]:[% normaliz]],1)*(DATOS_[Conc.Sal.06])))))))), 0)</f>
        <v>0</v>
      </c>
      <c r="P61" s="302" t="n">
        <f aca="false" t="array" ref="P61:P61">IFERROR( (AVERAGE((IF(DATOS_[[Sexo]:[Sexo]]=$B61,IF(DATOS_[[AGRUP. CLAS. PROF.]:[AGRUP. CLAS. PROF.]]=$B60,IF(DATOS_[[Check Periodo Ref.]:[Check Periodo Ref.]]="Dentro",IF(DATOS_[[Check Equiparado]:[Check Equiparado]]="Sí",IF(DATOS!AK$4="Sí",(1/DATOS_[[% anualiz]:[% anualiz]]),1)*IF(DATOS!AK$5="Sí",1/DATOS_[[% normaliz]:[% normaliz]],1)*(DATOS_[Conc.Sal.07])))))))), 0)</f>
        <v>0</v>
      </c>
      <c r="Q61" s="302" t="n">
        <f aca="false" t="array" ref="Q61:Q61">IFERROR( (AVERAGE((IF(DATOS_[[Sexo]:[Sexo]]=$B61,IF(DATOS_[[AGRUP. CLAS. PROF.]:[AGRUP. CLAS. PROF.]]=$B60,IF(DATOS_[[Check Periodo Ref.]:[Check Periodo Ref.]]="Dentro",IF(DATOS_[[Check Equiparado]:[Check Equiparado]]="Sí",IF(DATOS!AL$4="Sí",(1/DATOS_[[% anualiz]:[% anualiz]]),1)*IF(DATOS!AL$5="Sí",1/DATOS_[[% normaliz]:[% normaliz]],1)*(DATOS_[Conc.Sal.08])))))))), 0)</f>
        <v>0</v>
      </c>
      <c r="R61" s="302" t="n">
        <f aca="false" t="array" ref="R61:R61">IFERROR( (AVERAGE((IF(DATOS_[[Sexo]:[Sexo]]=$B61,IF(DATOS_[[AGRUP. CLAS. PROF.]:[AGRUP. CLAS. PROF.]]=$B60,IF(DATOS_[[Check Periodo Ref.]:[Check Periodo Ref.]]="Dentro",IF(DATOS_[[Check Equiparado]:[Check Equiparado]]="Sí",IF(DATOS!AM$4="Sí",(1/DATOS_[[% anualiz]:[% anualiz]]),1)*IF(DATOS!AM$5="Sí",1/DATOS_[[% normaliz]:[% normaliz]],1)*(DATOS_[Conc.Sal.09])))))))), 0)</f>
        <v>0</v>
      </c>
      <c r="S61" s="302" t="n">
        <f aca="false" t="array" ref="S61:S61">IFERROR( (AVERAGE((IF(DATOS_[[Sexo]:[Sexo]]=$B61,IF(DATOS_[[AGRUP. CLAS. PROF.]:[AGRUP. CLAS. PROF.]]=$B60,IF(DATOS_[[Check Periodo Ref.]:[Check Periodo Ref.]]="Dentro",IF(DATOS_[[Check Equiparado]:[Check Equiparado]]="Sí",IF(DATOS!AN$4="Sí",(1/DATOS_[[% anualiz]:[% anualiz]]),1)*IF(DATOS!AN$5="Sí",1/DATOS_[[% normaliz]:[% normaliz]],1)*(DATOS_[Conc.Sal.10])))))))), 0)</f>
        <v>0</v>
      </c>
      <c r="T61" s="302" t="n">
        <f aca="false" t="array" ref="T61:T61">IFERROR( (AVERAGE((IF(DATOS_[[Sexo]:[Sexo]]=$B61,IF(DATOS_[[AGRUP. CLAS. PROF.]:[AGRUP. CLAS. PROF.]]=$B60,IF(DATOS_[[Check Periodo Ref.]:[Check Periodo Ref.]]="Dentro",IF(DATOS_[[Check Equiparado]:[Check Equiparado]]="Sí",IF(DATOS!AO$4="Sí",(1/DATOS_[[% anualiz]:[% anualiz]]),1)*IF(DATOS!AO$5="Sí",1/DATOS_[[% normaliz]:[% normaliz]],1)*(DATOS_[Conc.Sal.11])))))))), 0)</f>
        <v>0</v>
      </c>
      <c r="U61" s="302" t="n">
        <f aca="false" t="array" ref="U61:U61">IFERROR( (AVERAGE((IF(DATOS_[[Sexo]:[Sexo]]=$B61,IF(DATOS_[[AGRUP. CLAS. PROF.]:[AGRUP. CLAS. PROF.]]=$B60,IF(DATOS_[[Check Periodo Ref.]:[Check Periodo Ref.]]="Dentro",IF(DATOS_[[Check Equiparado]:[Check Equiparado]]="Sí",IF(DATOS!AP$4="Sí",(1/DATOS_[[% anualiz]:[% anualiz]]),1)*IF(DATOS!AP$5="Sí",1/DATOS_[[% normaliz]:[% normaliz]],1)*(DATOS_[Conc.Sal.12])))))))), 0)</f>
        <v>0</v>
      </c>
      <c r="V61" s="302" t="n">
        <f aca="false" t="array" ref="V61:V61">IFERROR( (AVERAGE((IF(DATOS_[[Sexo]:[Sexo]]=$B61,IF(DATOS_[[AGRUP. CLAS. PROF.]:[AGRUP. CLAS. PROF.]]=$B60,IF(DATOS_[[Check Periodo Ref.]:[Check Periodo Ref.]]="Dentro",IF(DATOS_[[Check Equiparado]:[Check Equiparado]]="Sí",IF(DATOS!AQ$4="Sí",(1/DATOS_[[% anualiz]:[% anualiz]]),1)*IF(DATOS!AQ$5="Sí",1/DATOS_[[% normaliz]:[% normaliz]],1)*(DATOS_[Conc.Sal.13])))))))), 0)</f>
        <v>0</v>
      </c>
      <c r="W61" s="302" t="n">
        <f aca="false" t="array" ref="W61:W61">IFERROR( (AVERAGE((IF(DATOS_[[Sexo]:[Sexo]]=$B61,IF(DATOS_[[AGRUP. CLAS. PROF.]:[AGRUP. CLAS. PROF.]]=$B60,IF(DATOS_[[Check Periodo Ref.]:[Check Periodo Ref.]]="Dentro",IF(DATOS_[[Check Equiparado]:[Check Equiparado]]="Sí",IF(DATOS!AR$4="Sí",(1/DATOS_[[% anualiz]:[% anualiz]]),1)*IF(DATOS!AR$5="Sí",1/DATOS_[[% normaliz]:[% normaliz]],1)*(DATOS_[Conc.Sal.14])))))))), 0)</f>
        <v>0</v>
      </c>
      <c r="X61" s="302" t="n">
        <f aca="false" t="array" ref="X61:X61">IFERROR( (AVERAGE((IF(DATOS_[[Sexo]:[Sexo]]=$B61,IF(DATOS_[[AGRUP. CLAS. PROF.]:[AGRUP. CLAS. PROF.]]=$B60,IF(DATOS_[[Check Periodo Ref.]:[Check Periodo Ref.]]="Dentro",IF(DATOS_[[Check Equiparado]:[Check Equiparado]]="Sí",IF(DATOS!AS$4="Sí",(1/DATOS_[[% anualiz]:[% anualiz]]),1)*IF(DATOS!AS$5="Sí",1/DATOS_[[% normaliz]:[% normaliz]],1)*(DATOS_[Conc.Sal.15])))))))), 0)</f>
        <v>0</v>
      </c>
      <c r="Y61" s="302" t="n">
        <f aca="false" t="array" ref="Y61:Y61">IFERROR( (AVERAGE((IF(DATOS_[[Sexo]:[Sexo]]=$B61,IF(DATOS_[[AGRUP. CLAS. PROF.]:[AGRUP. CLAS. PROF.]]=$B60,IF(DATOS_[[Check Periodo Ref.]:[Check Periodo Ref.]]="Dentro",IF(DATOS_[[Check Equiparado]:[Check Equiparado]]="Sí",IF(DATOS!AT$4="Sí",(1/DATOS_[[% anualiz]:[% anualiz]]),1)*IF(DATOS!AT$5="Sí",1/DATOS_[[% normaliz]:[% normaliz]],1)*(DATOS_[Conc.Sal.16])))))))), 0)</f>
        <v>0</v>
      </c>
      <c r="Z61" s="302" t="n">
        <f aca="false" t="array" ref="Z61:Z61">IFERROR( (AVERAGE((IF(DATOS_[[Sexo]:[Sexo]]=$B61,IF(DATOS_[[AGRUP. CLAS. PROF.]:[AGRUP. CLAS. PROF.]]=$B60,IF(DATOS_[[Check Periodo Ref.]:[Check Periodo Ref.]]="Dentro",IF(DATOS_[[Check Equiparado]:[Check Equiparado]]="Sí",IF(DATOS!AU$4="Sí",(1/DATOS_[[% anualiz]:[% anualiz]]),1)*IF(DATOS!AU$5="Sí",1/DATOS_[[% normaliz]:[% normaliz]],1)*(DATOS_[Conc.Sal.17])))))))), 0)</f>
        <v>0</v>
      </c>
      <c r="AA61" s="302" t="n">
        <f aca="false" t="array" ref="AA61:AA61">IFERROR( (AVERAGE((IF(DATOS_[[Sexo]:[Sexo]]=$B61,IF(DATOS_[[AGRUP. CLAS. PROF.]:[AGRUP. CLAS. PROF.]]=$B60,IF(DATOS_[[Check Periodo Ref.]:[Check Periodo Ref.]]="Dentro",IF(DATOS_[[Check Equiparado]:[Check Equiparado]]="Sí",IF(DATOS!AV$4="Sí",(1/DATOS_[[% anualiz]:[% anualiz]]),1)*IF(DATOS!AV$5="Sí",1/DATOS_[[% normaliz]:[% normaliz]],1)*(DATOS_[Conc.Sal.18])))))))), 0)</f>
        <v>0</v>
      </c>
      <c r="AB61" s="302" t="n">
        <f aca="false" t="array" ref="AB61:AB61">IFERROR( (AVERAGE((IF(DATOS_[[Sexo]:[Sexo]]=$B61,IF(DATOS_[[AGRUP. CLAS. PROF.]:[AGRUP. CLAS. PROF.]]=$B60,IF(DATOS_[[Check Periodo Ref.]:[Check Periodo Ref.]]="Dentro",IF(DATOS_[[Check Equiparado]:[Check Equiparado]]="Sí",IF(DATOS!AW$4="Sí",(1/DATOS_[[% anualiz]:[% anualiz]]),1)*IF(DATOS!AW$5="Sí",1/DATOS_[[% normaliz]:[% normaliz]],1)*(DATOS_[Conc.Sal.19])))))))), 0)</f>
        <v>0</v>
      </c>
      <c r="AC61" s="302" t="n">
        <f aca="false" t="array" ref="AC61:AC61">IFERROR( (AVERAGE((IF(DATOS_[[Sexo]:[Sexo]]=$B61,IF(DATOS_[[AGRUP. CLAS. PROF.]:[AGRUP. CLAS. PROF.]]=$B60,IF(DATOS_[[Check Periodo Ref.]:[Check Periodo Ref.]]="Dentro",IF(DATOS_[[Check Equiparado]:[Check Equiparado]]="Sí",IF(DATOS!AX$4="Sí",(1/DATOS_[[% anualiz]:[% anualiz]]),1)*IF(DATOS!AX$5="Sí",1/DATOS_[[% normaliz]:[% normaliz]],1)*(DATOS_[Conc.Sal.20])))))))), 0)</f>
        <v>0</v>
      </c>
      <c r="AD61" s="302" t="n">
        <f aca="false" t="array" ref="AD61:AD61">IFERROR( (AVERAGE((IF(DATOS_[[Sexo]:[Sexo]]=$B61,IF(DATOS_[[AGRUP. CLAS. PROF.]:[AGRUP. CLAS. PROF.]]=$B60,IF(DATOS_[[Check Periodo Ref.]:[Check Periodo Ref.]]="Dentro",IF(DATOS_[[Check Equiparado]:[Check Equiparado]]="Sí",IF(DATOS!AY$4="Sí",(1/DATOS_[[% anualiz]:[% anualiz]]),1)*IF(DATOS!AY$5="Sí",1/DATOS_[[% normaliz]:[% normaliz]],1)*(DATOS_[Conc.Sal.21])))))))), 0)</f>
        <v>0</v>
      </c>
      <c r="AE61" s="302" t="n">
        <f aca="false" t="array" ref="AE61:AE61">IFERROR( (AVERAGE((IF(DATOS_[[Sexo]:[Sexo]]=$B61,IF(DATOS_[[AGRUP. CLAS. PROF.]:[AGRUP. CLAS. PROF.]]=$B60,IF(DATOS_[[Check Periodo Ref.]:[Check Periodo Ref.]]="Dentro",IF(DATOS_[[Check Equiparado]:[Check Equiparado]]="Sí",IF(DATOS!AZ$4="Sí",(1/DATOS_[[% anualiz]:[% anualiz]]),1)*IF(DATOS!AZ$5="Sí",1/DATOS_[[% normaliz]:[% normaliz]],1)*(DATOS_[Conc.Sal.22])))))))), 0)</f>
        <v>0</v>
      </c>
      <c r="AF61" s="302" t="n">
        <f aca="false" t="array" ref="AF61:AF61">IFERROR( (AVERAGE((IF(DATOS_[[Sexo]:[Sexo]]=$B61,IF(DATOS_[[AGRUP. CLAS. PROF.]:[AGRUP. CLAS. PROF.]]=$B60,IF(DATOS_[[Check Periodo Ref.]:[Check Periodo Ref.]]="Dentro",IF(DATOS_[[Check Equiparado]:[Check Equiparado]]="Sí",IF(DATOS!BA$4="Sí",(1/DATOS_[[% anualiz]:[% anualiz]]),1)*IF(DATOS!BA$5="Sí",1/DATOS_[[% normaliz]:[% normaliz]],1)*(DATOS_[Conc.Sal.23])))))))), 0)</f>
        <v>0</v>
      </c>
      <c r="AG61" s="302" t="n">
        <f aca="false" t="array" ref="AG61:AG61">IFERROR( (AVERAGE((IF(DATOS_[[Sexo]:[Sexo]]=$B61,IF(DATOS_[[AGRUP. CLAS. PROF.]:[AGRUP. CLAS. PROF.]]=$B60,IF(DATOS_[[Check Periodo Ref.]:[Check Periodo Ref.]]="Dentro",IF(DATOS_[[Check Equiparado]:[Check Equiparado]]="Sí",IF(DATOS!BB$4="Sí",(1/DATOS_[[% anualiz]:[% anualiz]]),1)*IF(DATOS!BB$5="Sí",1/DATOS_[[% normaliz]:[% normaliz]],1)*(DATOS_[Conc.Sal.24])))))))), 0)</f>
        <v>0</v>
      </c>
      <c r="AH61" s="302" t="n">
        <f aca="false" t="array" ref="AH61:AH61">IFERROR( (AVERAGE((IF(DATOS_[[Sexo]:[Sexo]]=$B61,IF(DATOS_[[AGRUP. CLAS. PROF.]:[AGRUP. CLAS. PROF.]]=$B60,IF(DATOS_[[Check Periodo Ref.]:[Check Periodo Ref.]]="Dentro",IF(DATOS_[[Check Equiparado]:[Check Equiparado]]="Sí",IF(DATOS!BC$4="Sí",(1/DATOS_[[% anualiz]:[% anualiz]]),1)*IF(DATOS!BC$5="Sí",1/DATOS_[[% normaliz]:[% normaliz]],1)*(DATOS_[Conc.Sal.25])))))))), 0)</f>
        <v>0</v>
      </c>
      <c r="AI61" s="302" t="n">
        <f aca="false" t="array" ref="AI61:AI61">IFERROR( (AVERAGE((IF(DATOS_[[Sexo]:[Sexo]]=$B61,IF(DATOS_[[AGRUP. CLAS. PROF.]:[AGRUP. CLAS. PROF.]]=$B60,IF(DATOS_[[Check Periodo Ref.]:[Check Periodo Ref.]]="Dentro",IF(DATOS_[[Check Equiparado]:[Check Equiparado]]="Sí",IF(DATOS!BD$4="Sí",(1/DATOS_[[% anualiz]:[% anualiz]]),1)*IF(DATOS!BD$5="Sí",1/DATOS_[[% normaliz]:[% normaliz]],1)*(DATOS_[Conc.Sal.26])))))))), 0)</f>
        <v>0</v>
      </c>
      <c r="AJ61" s="302" t="n">
        <f aca="false" t="array" ref="AJ61:AJ61">IFERROR( (AVERAGE((IF(DATOS_[[Sexo]:[Sexo]]=$B61,IF(DATOS_[[AGRUP. CLAS. PROF.]:[AGRUP. CLAS. PROF.]]=$B60,IF(DATOS_[[Check Periodo Ref.]:[Check Periodo Ref.]]="Dentro",IF(DATOS_[[Check Equiparado]:[Check Equiparado]]="Sí",IF(DATOS!BE$4="Sí",(1/DATOS_[[% anualiz]:[% anualiz]]),1)*IF(DATOS!BE$5="Sí",1/DATOS_[[% normaliz]:[% normaliz]],1)*(DATOS_[Conc.Sal.27])))))))), 0)</f>
        <v>0</v>
      </c>
      <c r="AK61" s="302" t="n">
        <f aca="false" t="array" ref="AK61:AK61">IFERROR( (AVERAGE((IF(DATOS_[[Sexo]:[Sexo]]=$B61,IF(DATOS_[[AGRUP. CLAS. PROF.]:[AGRUP. CLAS. PROF.]]=$B60,IF(DATOS_[[Check Periodo Ref.]:[Check Periodo Ref.]]="Dentro",IF(DATOS_[[Check Equiparado]:[Check Equiparado]]="Sí",IF(DATOS!BF$4="Sí",(1/DATOS_[[% anualiz]:[% anualiz]]),1)*IF(DATOS!BF$5="Sí",1/DATOS_[[% normaliz]:[% normaliz]],1)*(DATOS_[Conc.Sal.28])))))))), 0)</f>
        <v>0</v>
      </c>
      <c r="AL61" s="302" t="n">
        <f aca="false" t="array" ref="AL61:AL61">IFERROR( (AVERAGE((IF(DATOS_[[Sexo]:[Sexo]]=$B61,IF(DATOS_[[AGRUP. CLAS. PROF.]:[AGRUP. CLAS. PROF.]]=$B60,IF(DATOS_[[Check Periodo Ref.]:[Check Periodo Ref.]]="Dentro",IF(DATOS_[[Check Equiparado]:[Check Equiparado]]="Sí",IF(DATOS!BG$4="Sí",(1/DATOS_[[% anualiz]:[% anualiz]]),1)*IF(DATOS!BG$5="Sí",1/DATOS_[[% normaliz]:[% normaliz]],1)*(DATOS_[Conc.Sal.29])))))))), 0)</f>
        <v>0</v>
      </c>
      <c r="AM61" s="302" t="n">
        <f aca="false" t="array" ref="AM61:AM61">IFERROR( (AVERAGE((IF(DATOS_[[Sexo]:[Sexo]]=$B61,IF(DATOS_[[AGRUP. CLAS. PROF.]:[AGRUP. CLAS. PROF.]]=$B60,IF(DATOS_[[Check Periodo Ref.]:[Check Periodo Ref.]]="Dentro",IF(DATOS_[[Check Equiparado]:[Check Equiparado]]="Sí",IF(DATOS!BH$4="Sí",(1/DATOS_[[% anualiz]:[% anualiz]]),1)*IF(DATOS!BH$5="Sí",1/DATOS_[[% normaliz]:[% normaliz]],1)*(DATOS_[Conc.Sal.30])))))))), 0)</f>
        <v>0</v>
      </c>
      <c r="AN61" s="294" t="n">
        <f aca="false" t="array" ref="AN61:AN61">IFERROR( AVERAGE(IF(DATOS_[Sexo]=$B61,IF(DATOS_[[AGRUP. CLAS. PROF.]:[AGRUP. CLAS. PROF.]]=$B60,IF(DATOS_[Check Equiparado]="Sí",IF(DATOS_[Check Periodo Ref.]="Dentro",DATOS_[Tot COMPL.SAL Eq],0))))), 0)</f>
        <v>0</v>
      </c>
      <c r="AO61" s="295" t="n">
        <f aca="false" t="array" ref="AO61:AO61">IFERROR( AVERAGE(IF(DATOS_[Sexo]=$B61,IF(DATOS_[[AGRUP. CLAS. PROF.]:[AGRUP. CLAS. PROF.]]=$B60,IF(DATOS_[Check Equiparado]="Sí",IF(DATOS_[Check Periodo Ref.]="Dentro",DATOS_[TOTAL SALARIO Eq],0))))), 0)</f>
        <v>0</v>
      </c>
      <c r="AP61" s="303" t="n">
        <f aca="false" t="array" ref="AP61:AP61">IFERROR( (AVERAGE((IF(DATOS_[[Sexo]:[Sexo]]=$B61,IF(DATOS_[[AGRUP. CLAS. PROF.]:[AGRUP. CLAS. PROF.]]=$B60,IF(DATOS_[[Check Periodo Ref.]:[Check Periodo Ref.]]="Dentro",IF(DATOS_[[Check Equiparado]:[Check Equiparado]]="Sí",IF(DATOS!BI$4="Sí",(1/DATOS_[[% anualiz]:[% anualiz]]),1)*IF(DATOS!BI$5="Sí",1/DATOS_[[% normaliz]:[% normaliz]],1)*(DATOS_[C.Extra.01])))))))), 0)</f>
        <v>0</v>
      </c>
      <c r="AQ61" s="303" t="n">
        <f aca="false" t="array" ref="AQ61:AQ61">IFERROR( (AVERAGE((IF(DATOS_[[Sexo]:[Sexo]]=$B61,IF(DATOS_[[AGRUP. CLAS. PROF.]:[AGRUP. CLAS. PROF.]]=$B60,IF(DATOS_[[Check Periodo Ref.]:[Check Periodo Ref.]]="Dentro",IF(DATOS_[[Check Equiparado]:[Check Equiparado]]="Sí",IF(DATOS!BJ$4="Sí",(1/DATOS_[[% anualiz]:[% anualiz]]),1)*IF(DATOS!BJ$5="Sí",1/DATOS_[[% normaliz]:[% normaliz]],1)*(DATOS_[C.Extra.02])))))))), 0)</f>
        <v>0</v>
      </c>
      <c r="AR61" s="303" t="n">
        <f aca="false" t="array" ref="AR61:AR61">IFERROR( (AVERAGE((IF(DATOS_[[Sexo]:[Sexo]]=$B61,IF(DATOS_[[AGRUP. CLAS. PROF.]:[AGRUP. CLAS. PROF.]]=$B60,IF(DATOS_[[Check Periodo Ref.]:[Check Periodo Ref.]]="Dentro",IF(DATOS_[[Check Equiparado]:[Check Equiparado]]="Sí",IF(DATOS!BK$4="Sí",(1/DATOS_[[% anualiz]:[% anualiz]]),1)*IF(DATOS!BK$5="Sí",1/DATOS_[[% normaliz]:[% normaliz]],1)*(DATOS_[C.Extra.03])))))))), 0)</f>
        <v>0</v>
      </c>
      <c r="AS61" s="303" t="n">
        <f aca="false" t="array" ref="AS61:AS61">IFERROR( (AVERAGE((IF(DATOS_[[Sexo]:[Sexo]]=$B61,IF(DATOS_[[AGRUP. CLAS. PROF.]:[AGRUP. CLAS. PROF.]]=$B60,IF(DATOS_[[Check Periodo Ref.]:[Check Periodo Ref.]]="Dentro",IF(DATOS_[[Check Equiparado]:[Check Equiparado]]="Sí",IF(DATOS!BL$4="Sí",(1/DATOS_[[% anualiz]:[% anualiz]]),1)*IF(DATOS!BL$5="Sí",1/DATOS_[[% normaliz]:[% normaliz]],1)*(DATOS_[C.Extra.04])))))))), 0)</f>
        <v>0</v>
      </c>
      <c r="AT61" s="303" t="n">
        <f aca="false" t="array" ref="AT61:AT61">IFERROR( (AVERAGE((IF(DATOS_[[Sexo]:[Sexo]]=$B61,IF(DATOS_[[AGRUP. CLAS. PROF.]:[AGRUP. CLAS. PROF.]]=$B60,IF(DATOS_[[Check Periodo Ref.]:[Check Periodo Ref.]]="Dentro",IF(DATOS_[[Check Equiparado]:[Check Equiparado]]="Sí",IF(DATOS!BM$4="Sí",(1/DATOS_[[% anualiz]:[% anualiz]]),1)*IF(DATOS!BM$5="Sí",1/DATOS_[[% normaliz]:[% normaliz]],1)*(DATOS_[C.Extra.05])))))))), 0)</f>
        <v>0</v>
      </c>
      <c r="AU61" s="297" t="n">
        <f aca="false" t="array" ref="AU61:AU61">IFERROR( AVERAGE(IF(DATOS_[Sexo]=$B61,IF(DATOS_[[AGRUP. CLAS. PROF.]:[AGRUP. CLAS. PROF.]]=$B60,IF(DATOS_[Check Equiparado]="Sí",IF(DATOS_[Check Periodo Ref.]="Dentro",DATOS_[Tot Extrasalarial Eq],0))))), 0)</f>
        <v>0</v>
      </c>
      <c r="AV61" s="298" t="n">
        <f aca="false" t="array" ref="AV61:AV61">IFERROR( AVERAGE(IF(DATOS_[Sexo]=$B61,IF(DATOS_[[AGRUP. CLAS. PROF.]:[AGRUP. CLAS. PROF.]]=$B60,IF(DATOS_[Check Equiparado]="Sí",IF(DATOS_[Check Periodo Ref.]="Dentro",DATOS_[TOTAL Retrib Eq],0))))), 0)</f>
        <v>0</v>
      </c>
    </row>
    <row r="62" customFormat="false" ht="14.25" hidden="false" customHeight="false" outlineLevel="0" collapsed="false">
      <c r="A62" s="166" t="str">
        <f aca="false">+A61</f>
        <v>[ocultar]</v>
      </c>
      <c r="B62" s="289" t="s">
        <v>372</v>
      </c>
      <c r="C62" s="290" t="n">
        <f aca="false" t="array" ref="C62:C62">SUM(IF($B62=DATOS_[Sexo], IF($B60=DATOS_[AGRUP. CLAS. PROF.], IF("Dentro"=DATOS_[Check Periodo Ref.], 1/(COUNTIFS(DATOS_[Sexo],$B62,DATOS_[AGRUP. CLAS. PROF.],$B60,DATOS_[Check Periodo Ref.],"Dentro",DATOS_[id],DATOS_[id]))))))</f>
        <v>0</v>
      </c>
      <c r="D62" s="291" t="n">
        <f aca="false">COUNTIFS(DATOS_[AGRUP. CLAS. PROF.],$B60,DATOS_[Sexo],$B62,DATOS_[Check Periodo Ref.],"Dentro")</f>
        <v>0</v>
      </c>
      <c r="E62" s="291" t="n">
        <f aca="false">COUNTIFS(DATOS_[AGRUP. CLAS. PROF.],$B60,DATOS_[Sexo],$B62,DATOS_[Check Periodo Ref.],"Dentro",DATOS_[Check Nº SC Norm],"Sí")</f>
        <v>0</v>
      </c>
      <c r="F62" s="291" t="n">
        <f aca="false">COUNTIFS(DATOS_[AGRUP. CLAS. PROF.],$B60,DATOS_[Sexo],$B62,DATOS_[Check Periodo Ref.],"Dentro",DATOS_[Check Nº SC Anualiz],"Sí")</f>
        <v>0</v>
      </c>
      <c r="G62" s="291" t="n">
        <f aca="false">COUNTIFS(DATOS_[AGRUP. CLAS. PROF.],$B60,DATOS_[Sexo],$B62,DATOS_[Check Periodo Ref.],"Dentro",DATOS_[Check Nº SC Norm y Anualiz],"Sí")</f>
        <v>0</v>
      </c>
      <c r="H62" s="291" t="n">
        <f aca="false">COUNTIFS(DATOS_[AGRUP. CLAS. PROF.],$B60,DATOS_[Sexo],$B62,DATOS_[Check Periodo Ref.],"Dentro",DATOS_[Check Equiparación],"Sí")</f>
        <v>0</v>
      </c>
      <c r="I62" s="292" t="n">
        <f aca="false" t="array" ref="I62:I62">IFERROR( AVERAGE(IF(DATOS_[Sexo]=$B62,IF(DATOS_[[AGRUP. CLAS. PROF.]:[AGRUP. CLAS. PROF.]]=$B60,IF(DATOS_[Check Equiparado]="Sí",IF(DATOS_[Check Periodo Ref.]="Dentro",DATOS_[SALARIO BASE Eq],0))))), 0)</f>
        <v>0</v>
      </c>
      <c r="J62" s="302" t="n">
        <f aca="false" t="array" ref="J62:J62">IFERROR( (AVERAGE((IF(DATOS_[[Sexo]:[Sexo]]=$B62,IF(DATOS_[[AGRUP. CLAS. PROF.]:[AGRUP. CLAS. PROF.]]=$B60,IF(DATOS_[[Check Periodo Ref.]:[Check Periodo Ref.]]="Dentro",IF(DATOS_[[Check Equiparado]:[Check Equiparado]]="Sí",IF(DATOS!AE$4="Sí",(1/DATOS_[[% anualiz]:[% anualiz]]),1)*IF(DATOS!AE$5="Sí",1/DATOS_[[% normaliz]:[% normaliz]],1)*(DATOS_[Conc.Sal.01])))))))), 0)</f>
        <v>0</v>
      </c>
      <c r="K62" s="302" t="n">
        <f aca="false" t="array" ref="K62:K62">IFERROR( (AVERAGE((IF(DATOS_[[Sexo]:[Sexo]]=$B62,IF(DATOS_[[AGRUP. CLAS. PROF.]:[AGRUP. CLAS. PROF.]]=$B60,IF(DATOS_[[Check Periodo Ref.]:[Check Periodo Ref.]]="Dentro",IF(DATOS_[[Check Equiparado]:[Check Equiparado]]="Sí",IF(DATOS!AF$4="Sí",(1/DATOS_[[% anualiz]:[% anualiz]]),1)*IF(DATOS!AF$5="Sí",1/DATOS_[[% normaliz]:[% normaliz]],1)*(DATOS_[Conc.Sal.02])))))))), 0)</f>
        <v>0</v>
      </c>
      <c r="L62" s="302" t="n">
        <f aca="false" t="array" ref="L62:L62">IFERROR( (AVERAGE((IF(DATOS_[[Sexo]:[Sexo]]=$B62,IF(DATOS_[[AGRUP. CLAS. PROF.]:[AGRUP. CLAS. PROF.]]=$B60,IF(DATOS_[[Check Periodo Ref.]:[Check Periodo Ref.]]="Dentro",IF(DATOS_[[Check Equiparado]:[Check Equiparado]]="Sí",IF(DATOS!AG$4="Sí",(1/DATOS_[[% anualiz]:[% anualiz]]),1)*IF(DATOS!AG$5="Sí",1/DATOS_[[% normaliz]:[% normaliz]],1)*(DATOS_[Conc.Sal.03])))))))), 0)</f>
        <v>0</v>
      </c>
      <c r="M62" s="302" t="n">
        <f aca="false" t="array" ref="M62:M62">IFERROR( (AVERAGE((IF(DATOS_[[Sexo]:[Sexo]]=$B62,IF(DATOS_[[AGRUP. CLAS. PROF.]:[AGRUP. CLAS. PROF.]]=$B60,IF(DATOS_[[Check Periodo Ref.]:[Check Periodo Ref.]]="Dentro",IF(DATOS_[[Check Equiparado]:[Check Equiparado]]="Sí",IF(DATOS!AH$4="Sí",(1/DATOS_[[% anualiz]:[% anualiz]]),1)*IF(DATOS!AH$5="Sí",1/DATOS_[[% normaliz]:[% normaliz]],1)*(DATOS_[Conc.Sal.04])))))))), 0)</f>
        <v>0</v>
      </c>
      <c r="N62" s="302" t="n">
        <f aca="false" t="array" ref="N62:N62">IFERROR( (AVERAGE((IF(DATOS_[[Sexo]:[Sexo]]=$B62,IF(DATOS_[[AGRUP. CLAS. PROF.]:[AGRUP. CLAS. PROF.]]=$B60,IF(DATOS_[[Check Periodo Ref.]:[Check Periodo Ref.]]="Dentro",IF(DATOS_[[Check Equiparado]:[Check Equiparado]]="Sí",IF(DATOS!AI$4="Sí",(1/DATOS_[[% anualiz]:[% anualiz]]),1)*IF(DATOS!AI$5="Sí",1/DATOS_[[% normaliz]:[% normaliz]],1)*(DATOS_[Conc.Sal.05])))))))), 0)</f>
        <v>0</v>
      </c>
      <c r="O62" s="302" t="n">
        <f aca="false" t="array" ref="O62:O62">IFERROR( (AVERAGE((IF(DATOS_[[Sexo]:[Sexo]]=$B62,IF(DATOS_[[AGRUP. CLAS. PROF.]:[AGRUP. CLAS. PROF.]]=$B60,IF(DATOS_[[Check Periodo Ref.]:[Check Periodo Ref.]]="Dentro",IF(DATOS_[[Check Equiparado]:[Check Equiparado]]="Sí",IF(DATOS!AJ$4="Sí",(1/DATOS_[[% anualiz]:[% anualiz]]),1)*IF(DATOS!AJ$5="Sí",1/DATOS_[[% normaliz]:[% normaliz]],1)*(DATOS_[Conc.Sal.06])))))))), 0)</f>
        <v>0</v>
      </c>
      <c r="P62" s="302" t="n">
        <f aca="false" t="array" ref="P62:P62">IFERROR( (AVERAGE((IF(DATOS_[[Sexo]:[Sexo]]=$B62,IF(DATOS_[[AGRUP. CLAS. PROF.]:[AGRUP. CLAS. PROF.]]=$B60,IF(DATOS_[[Check Periodo Ref.]:[Check Periodo Ref.]]="Dentro",IF(DATOS_[[Check Equiparado]:[Check Equiparado]]="Sí",IF(DATOS!AK$4="Sí",(1/DATOS_[[% anualiz]:[% anualiz]]),1)*IF(DATOS!AK$5="Sí",1/DATOS_[[% normaliz]:[% normaliz]],1)*(DATOS_[Conc.Sal.07])))))))), 0)</f>
        <v>0</v>
      </c>
      <c r="Q62" s="302" t="n">
        <f aca="false" t="array" ref="Q62:Q62">IFERROR( (AVERAGE((IF(DATOS_[[Sexo]:[Sexo]]=$B62,IF(DATOS_[[AGRUP. CLAS. PROF.]:[AGRUP. CLAS. PROF.]]=$B60,IF(DATOS_[[Check Periodo Ref.]:[Check Periodo Ref.]]="Dentro",IF(DATOS_[[Check Equiparado]:[Check Equiparado]]="Sí",IF(DATOS!AL$4="Sí",(1/DATOS_[[% anualiz]:[% anualiz]]),1)*IF(DATOS!AL$5="Sí",1/DATOS_[[% normaliz]:[% normaliz]],1)*(DATOS_[Conc.Sal.08])))))))), 0)</f>
        <v>0</v>
      </c>
      <c r="R62" s="302" t="n">
        <f aca="false" t="array" ref="R62:R62">IFERROR( (AVERAGE((IF(DATOS_[[Sexo]:[Sexo]]=$B62,IF(DATOS_[[AGRUP. CLAS. PROF.]:[AGRUP. CLAS. PROF.]]=$B60,IF(DATOS_[[Check Periodo Ref.]:[Check Periodo Ref.]]="Dentro",IF(DATOS_[[Check Equiparado]:[Check Equiparado]]="Sí",IF(DATOS!AM$4="Sí",(1/DATOS_[[% anualiz]:[% anualiz]]),1)*IF(DATOS!AM$5="Sí",1/DATOS_[[% normaliz]:[% normaliz]],1)*(DATOS_[Conc.Sal.09])))))))), 0)</f>
        <v>0</v>
      </c>
      <c r="S62" s="302" t="n">
        <f aca="false" t="array" ref="S62:S62">IFERROR( (AVERAGE((IF(DATOS_[[Sexo]:[Sexo]]=$B62,IF(DATOS_[[AGRUP. CLAS. PROF.]:[AGRUP. CLAS. PROF.]]=$B60,IF(DATOS_[[Check Periodo Ref.]:[Check Periodo Ref.]]="Dentro",IF(DATOS_[[Check Equiparado]:[Check Equiparado]]="Sí",IF(DATOS!AN$4="Sí",(1/DATOS_[[% anualiz]:[% anualiz]]),1)*IF(DATOS!AN$5="Sí",1/DATOS_[[% normaliz]:[% normaliz]],1)*(DATOS_[Conc.Sal.10])))))))), 0)</f>
        <v>0</v>
      </c>
      <c r="T62" s="302" t="n">
        <f aca="false" t="array" ref="T62:T62">IFERROR( (AVERAGE((IF(DATOS_[[Sexo]:[Sexo]]=$B62,IF(DATOS_[[AGRUP. CLAS. PROF.]:[AGRUP. CLAS. PROF.]]=$B60,IF(DATOS_[[Check Periodo Ref.]:[Check Periodo Ref.]]="Dentro",IF(DATOS_[[Check Equiparado]:[Check Equiparado]]="Sí",IF(DATOS!AO$4="Sí",(1/DATOS_[[% anualiz]:[% anualiz]]),1)*IF(DATOS!AO$5="Sí",1/DATOS_[[% normaliz]:[% normaliz]],1)*(DATOS_[Conc.Sal.11])))))))), 0)</f>
        <v>0</v>
      </c>
      <c r="U62" s="302" t="n">
        <f aca="false" t="array" ref="U62:U62">IFERROR( (AVERAGE((IF(DATOS_[[Sexo]:[Sexo]]=$B62,IF(DATOS_[[AGRUP. CLAS. PROF.]:[AGRUP. CLAS. PROF.]]=$B60,IF(DATOS_[[Check Periodo Ref.]:[Check Periodo Ref.]]="Dentro",IF(DATOS_[[Check Equiparado]:[Check Equiparado]]="Sí",IF(DATOS!AP$4="Sí",(1/DATOS_[[% anualiz]:[% anualiz]]),1)*IF(DATOS!AP$5="Sí",1/DATOS_[[% normaliz]:[% normaliz]],1)*(DATOS_[Conc.Sal.12])))))))), 0)</f>
        <v>0</v>
      </c>
      <c r="V62" s="302" t="n">
        <f aca="false" t="array" ref="V62:V62">IFERROR( (AVERAGE((IF(DATOS_[[Sexo]:[Sexo]]=$B62,IF(DATOS_[[AGRUP. CLAS. PROF.]:[AGRUP. CLAS. PROF.]]=$B60,IF(DATOS_[[Check Periodo Ref.]:[Check Periodo Ref.]]="Dentro",IF(DATOS_[[Check Equiparado]:[Check Equiparado]]="Sí",IF(DATOS!AQ$4="Sí",(1/DATOS_[[% anualiz]:[% anualiz]]),1)*IF(DATOS!AQ$5="Sí",1/DATOS_[[% normaliz]:[% normaliz]],1)*(DATOS_[Conc.Sal.13])))))))), 0)</f>
        <v>0</v>
      </c>
      <c r="W62" s="302" t="n">
        <f aca="false" t="array" ref="W62:W62">IFERROR( (AVERAGE((IF(DATOS_[[Sexo]:[Sexo]]=$B62,IF(DATOS_[[AGRUP. CLAS. PROF.]:[AGRUP. CLAS. PROF.]]=$B60,IF(DATOS_[[Check Periodo Ref.]:[Check Periodo Ref.]]="Dentro",IF(DATOS_[[Check Equiparado]:[Check Equiparado]]="Sí",IF(DATOS!AR$4="Sí",(1/DATOS_[[% anualiz]:[% anualiz]]),1)*IF(DATOS!AR$5="Sí",1/DATOS_[[% normaliz]:[% normaliz]],1)*(DATOS_[Conc.Sal.14])))))))), 0)</f>
        <v>0</v>
      </c>
      <c r="X62" s="302" t="n">
        <f aca="false" t="array" ref="X62:X62">IFERROR( (AVERAGE((IF(DATOS_[[Sexo]:[Sexo]]=$B62,IF(DATOS_[[AGRUP. CLAS. PROF.]:[AGRUP. CLAS. PROF.]]=$B60,IF(DATOS_[[Check Periodo Ref.]:[Check Periodo Ref.]]="Dentro",IF(DATOS_[[Check Equiparado]:[Check Equiparado]]="Sí",IF(DATOS!AS$4="Sí",(1/DATOS_[[% anualiz]:[% anualiz]]),1)*IF(DATOS!AS$5="Sí",1/DATOS_[[% normaliz]:[% normaliz]],1)*(DATOS_[Conc.Sal.15])))))))), 0)</f>
        <v>0</v>
      </c>
      <c r="Y62" s="302" t="n">
        <f aca="false" t="array" ref="Y62:Y62">IFERROR( (AVERAGE((IF(DATOS_[[Sexo]:[Sexo]]=$B62,IF(DATOS_[[AGRUP. CLAS. PROF.]:[AGRUP. CLAS. PROF.]]=$B60,IF(DATOS_[[Check Periodo Ref.]:[Check Periodo Ref.]]="Dentro",IF(DATOS_[[Check Equiparado]:[Check Equiparado]]="Sí",IF(DATOS!AT$4="Sí",(1/DATOS_[[% anualiz]:[% anualiz]]),1)*IF(DATOS!AT$5="Sí",1/DATOS_[[% normaliz]:[% normaliz]],1)*(DATOS_[Conc.Sal.16])))))))), 0)</f>
        <v>0</v>
      </c>
      <c r="Z62" s="302" t="n">
        <f aca="false" t="array" ref="Z62:Z62">IFERROR( (AVERAGE((IF(DATOS_[[Sexo]:[Sexo]]=$B62,IF(DATOS_[[AGRUP. CLAS. PROF.]:[AGRUP. CLAS. PROF.]]=$B60,IF(DATOS_[[Check Periodo Ref.]:[Check Periodo Ref.]]="Dentro",IF(DATOS_[[Check Equiparado]:[Check Equiparado]]="Sí",IF(DATOS!AU$4="Sí",(1/DATOS_[[% anualiz]:[% anualiz]]),1)*IF(DATOS!AU$5="Sí",1/DATOS_[[% normaliz]:[% normaliz]],1)*(DATOS_[Conc.Sal.17])))))))), 0)</f>
        <v>0</v>
      </c>
      <c r="AA62" s="302" t="n">
        <f aca="false" t="array" ref="AA62:AA62">IFERROR( (AVERAGE((IF(DATOS_[[Sexo]:[Sexo]]=$B62,IF(DATOS_[[AGRUP. CLAS. PROF.]:[AGRUP. CLAS. PROF.]]=$B60,IF(DATOS_[[Check Periodo Ref.]:[Check Periodo Ref.]]="Dentro",IF(DATOS_[[Check Equiparado]:[Check Equiparado]]="Sí",IF(DATOS!AV$4="Sí",(1/DATOS_[[% anualiz]:[% anualiz]]),1)*IF(DATOS!AV$5="Sí",1/DATOS_[[% normaliz]:[% normaliz]],1)*(DATOS_[Conc.Sal.18])))))))), 0)</f>
        <v>0</v>
      </c>
      <c r="AB62" s="302" t="n">
        <f aca="false" t="array" ref="AB62:AB62">IFERROR( (AVERAGE((IF(DATOS_[[Sexo]:[Sexo]]=$B62,IF(DATOS_[[AGRUP. CLAS. PROF.]:[AGRUP. CLAS. PROF.]]=$B60,IF(DATOS_[[Check Periodo Ref.]:[Check Periodo Ref.]]="Dentro",IF(DATOS_[[Check Equiparado]:[Check Equiparado]]="Sí",IF(DATOS!AW$4="Sí",(1/DATOS_[[% anualiz]:[% anualiz]]),1)*IF(DATOS!AW$5="Sí",1/DATOS_[[% normaliz]:[% normaliz]],1)*(DATOS_[Conc.Sal.19])))))))), 0)</f>
        <v>0</v>
      </c>
      <c r="AC62" s="302" t="n">
        <f aca="false" t="array" ref="AC62:AC62">IFERROR( (AVERAGE((IF(DATOS_[[Sexo]:[Sexo]]=$B62,IF(DATOS_[[AGRUP. CLAS. PROF.]:[AGRUP. CLAS. PROF.]]=$B60,IF(DATOS_[[Check Periodo Ref.]:[Check Periodo Ref.]]="Dentro",IF(DATOS_[[Check Equiparado]:[Check Equiparado]]="Sí",IF(DATOS!AX$4="Sí",(1/DATOS_[[% anualiz]:[% anualiz]]),1)*IF(DATOS!AX$5="Sí",1/DATOS_[[% normaliz]:[% normaliz]],1)*(DATOS_[Conc.Sal.20])))))))), 0)</f>
        <v>0</v>
      </c>
      <c r="AD62" s="302" t="n">
        <f aca="false" t="array" ref="AD62:AD62">IFERROR( (AVERAGE((IF(DATOS_[[Sexo]:[Sexo]]=$B62,IF(DATOS_[[AGRUP. CLAS. PROF.]:[AGRUP. CLAS. PROF.]]=$B60,IF(DATOS_[[Check Periodo Ref.]:[Check Periodo Ref.]]="Dentro",IF(DATOS_[[Check Equiparado]:[Check Equiparado]]="Sí",IF(DATOS!AY$4="Sí",(1/DATOS_[[% anualiz]:[% anualiz]]),1)*IF(DATOS!AY$5="Sí",1/DATOS_[[% normaliz]:[% normaliz]],1)*(DATOS_[Conc.Sal.21])))))))), 0)</f>
        <v>0</v>
      </c>
      <c r="AE62" s="302" t="n">
        <f aca="false" t="array" ref="AE62:AE62">IFERROR( (AVERAGE((IF(DATOS_[[Sexo]:[Sexo]]=$B62,IF(DATOS_[[AGRUP. CLAS. PROF.]:[AGRUP. CLAS. PROF.]]=$B60,IF(DATOS_[[Check Periodo Ref.]:[Check Periodo Ref.]]="Dentro",IF(DATOS_[[Check Equiparado]:[Check Equiparado]]="Sí",IF(DATOS!AZ$4="Sí",(1/DATOS_[[% anualiz]:[% anualiz]]),1)*IF(DATOS!AZ$5="Sí",1/DATOS_[[% normaliz]:[% normaliz]],1)*(DATOS_[Conc.Sal.22])))))))), 0)</f>
        <v>0</v>
      </c>
      <c r="AF62" s="302" t="n">
        <f aca="false" t="array" ref="AF62:AF62">IFERROR( (AVERAGE((IF(DATOS_[[Sexo]:[Sexo]]=$B62,IF(DATOS_[[AGRUP. CLAS. PROF.]:[AGRUP. CLAS. PROF.]]=$B60,IF(DATOS_[[Check Periodo Ref.]:[Check Periodo Ref.]]="Dentro",IF(DATOS_[[Check Equiparado]:[Check Equiparado]]="Sí",IF(DATOS!BA$4="Sí",(1/DATOS_[[% anualiz]:[% anualiz]]),1)*IF(DATOS!BA$5="Sí",1/DATOS_[[% normaliz]:[% normaliz]],1)*(DATOS_[Conc.Sal.23])))))))), 0)</f>
        <v>0</v>
      </c>
      <c r="AG62" s="302" t="n">
        <f aca="false" t="array" ref="AG62:AG62">IFERROR( (AVERAGE((IF(DATOS_[[Sexo]:[Sexo]]=$B62,IF(DATOS_[[AGRUP. CLAS. PROF.]:[AGRUP. CLAS. PROF.]]=$B60,IF(DATOS_[[Check Periodo Ref.]:[Check Periodo Ref.]]="Dentro",IF(DATOS_[[Check Equiparado]:[Check Equiparado]]="Sí",IF(DATOS!BB$4="Sí",(1/DATOS_[[% anualiz]:[% anualiz]]),1)*IF(DATOS!BB$5="Sí",1/DATOS_[[% normaliz]:[% normaliz]],1)*(DATOS_[Conc.Sal.24])))))))), 0)</f>
        <v>0</v>
      </c>
      <c r="AH62" s="302" t="n">
        <f aca="false" t="array" ref="AH62:AH62">IFERROR( (AVERAGE((IF(DATOS_[[Sexo]:[Sexo]]=$B62,IF(DATOS_[[AGRUP. CLAS. PROF.]:[AGRUP. CLAS. PROF.]]=$B60,IF(DATOS_[[Check Periodo Ref.]:[Check Periodo Ref.]]="Dentro",IF(DATOS_[[Check Equiparado]:[Check Equiparado]]="Sí",IF(DATOS!BC$4="Sí",(1/DATOS_[[% anualiz]:[% anualiz]]),1)*IF(DATOS!BC$5="Sí",1/DATOS_[[% normaliz]:[% normaliz]],1)*(DATOS_[Conc.Sal.25])))))))), 0)</f>
        <v>0</v>
      </c>
      <c r="AI62" s="302" t="n">
        <f aca="false" t="array" ref="AI62:AI62">IFERROR( (AVERAGE((IF(DATOS_[[Sexo]:[Sexo]]=$B62,IF(DATOS_[[AGRUP. CLAS. PROF.]:[AGRUP. CLAS. PROF.]]=$B60,IF(DATOS_[[Check Periodo Ref.]:[Check Periodo Ref.]]="Dentro",IF(DATOS_[[Check Equiparado]:[Check Equiparado]]="Sí",IF(DATOS!BD$4="Sí",(1/DATOS_[[% anualiz]:[% anualiz]]),1)*IF(DATOS!BD$5="Sí",1/DATOS_[[% normaliz]:[% normaliz]],1)*(DATOS_[Conc.Sal.26])))))))), 0)</f>
        <v>0</v>
      </c>
      <c r="AJ62" s="302" t="n">
        <f aca="false" t="array" ref="AJ62:AJ62">IFERROR( (AVERAGE((IF(DATOS_[[Sexo]:[Sexo]]=$B62,IF(DATOS_[[AGRUP. CLAS. PROF.]:[AGRUP. CLAS. PROF.]]=$B60,IF(DATOS_[[Check Periodo Ref.]:[Check Periodo Ref.]]="Dentro",IF(DATOS_[[Check Equiparado]:[Check Equiparado]]="Sí",IF(DATOS!BE$4="Sí",(1/DATOS_[[% anualiz]:[% anualiz]]),1)*IF(DATOS!BE$5="Sí",1/DATOS_[[% normaliz]:[% normaliz]],1)*(DATOS_[Conc.Sal.27])))))))), 0)</f>
        <v>0</v>
      </c>
      <c r="AK62" s="302" t="n">
        <f aca="false" t="array" ref="AK62:AK62">IFERROR( (AVERAGE((IF(DATOS_[[Sexo]:[Sexo]]=$B62,IF(DATOS_[[AGRUP. CLAS. PROF.]:[AGRUP. CLAS. PROF.]]=$B60,IF(DATOS_[[Check Periodo Ref.]:[Check Periodo Ref.]]="Dentro",IF(DATOS_[[Check Equiparado]:[Check Equiparado]]="Sí",IF(DATOS!BF$4="Sí",(1/DATOS_[[% anualiz]:[% anualiz]]),1)*IF(DATOS!BF$5="Sí",1/DATOS_[[% normaliz]:[% normaliz]],1)*(DATOS_[Conc.Sal.28])))))))), 0)</f>
        <v>0</v>
      </c>
      <c r="AL62" s="302" t="n">
        <f aca="false" t="array" ref="AL62:AL62">IFERROR( (AVERAGE((IF(DATOS_[[Sexo]:[Sexo]]=$B62,IF(DATOS_[[AGRUP. CLAS. PROF.]:[AGRUP. CLAS. PROF.]]=$B60,IF(DATOS_[[Check Periodo Ref.]:[Check Periodo Ref.]]="Dentro",IF(DATOS_[[Check Equiparado]:[Check Equiparado]]="Sí",IF(DATOS!BG$4="Sí",(1/DATOS_[[% anualiz]:[% anualiz]]),1)*IF(DATOS!BG$5="Sí",1/DATOS_[[% normaliz]:[% normaliz]],1)*(DATOS_[Conc.Sal.29])))))))), 0)</f>
        <v>0</v>
      </c>
      <c r="AM62" s="302" t="n">
        <f aca="false" t="array" ref="AM62:AM62">IFERROR( (AVERAGE((IF(DATOS_[[Sexo]:[Sexo]]=$B62,IF(DATOS_[[AGRUP. CLAS. PROF.]:[AGRUP. CLAS. PROF.]]=$B60,IF(DATOS_[[Check Periodo Ref.]:[Check Periodo Ref.]]="Dentro",IF(DATOS_[[Check Equiparado]:[Check Equiparado]]="Sí",IF(DATOS!BH$4="Sí",(1/DATOS_[[% anualiz]:[% anualiz]]),1)*IF(DATOS!BH$5="Sí",1/DATOS_[[% normaliz]:[% normaliz]],1)*(DATOS_[Conc.Sal.30])))))))), 0)</f>
        <v>0</v>
      </c>
      <c r="AN62" s="294" t="n">
        <f aca="false" t="array" ref="AN62:AN62">IFERROR( AVERAGE(IF(DATOS_[Sexo]=$B62,IF(DATOS_[[AGRUP. CLAS. PROF.]:[AGRUP. CLAS. PROF.]]=$B60,IF(DATOS_[Check Equiparado]="Sí",IF(DATOS_[Check Periodo Ref.]="Dentro",DATOS_[Tot COMPL.SAL Eq],0))))), 0)</f>
        <v>0</v>
      </c>
      <c r="AO62" s="295" t="n">
        <f aca="false" t="array" ref="AO62:AO62">IFERROR( AVERAGE(IF(DATOS_[Sexo]=$B62,IF(DATOS_[[AGRUP. CLAS. PROF.]:[AGRUP. CLAS. PROF.]]=$B60,IF(DATOS_[Check Equiparado]="Sí",IF(DATOS_[Check Periodo Ref.]="Dentro",DATOS_[TOTAL SALARIO Eq],0))))), 0)</f>
        <v>0</v>
      </c>
      <c r="AP62" s="303" t="n">
        <f aca="false" t="array" ref="AP62:AP62">IFERROR( (AVERAGE((IF(DATOS_[[Sexo]:[Sexo]]=$B62,IF(DATOS_[[AGRUP. CLAS. PROF.]:[AGRUP. CLAS. PROF.]]=$B61,IF(DATOS_[[Check Periodo Ref.]:[Check Periodo Ref.]]="Dentro",IF(DATOS_[[Check Equiparado]:[Check Equiparado]]="Sí",IF(DATOS!BI$4="Sí",(1/DATOS_[[% anualiz]:[% anualiz]]),1)*IF(DATOS!BI$5="Sí",1/DATOS_[[% normaliz]:[% normaliz]],1)*(DATOS_[C.Extra.01])))))))), 0)</f>
        <v>0</v>
      </c>
      <c r="AQ62" s="303" t="n">
        <f aca="false" t="array" ref="AQ62:AQ62">IFERROR( (AVERAGE((IF(DATOS_[[Sexo]:[Sexo]]=$B62,IF(DATOS_[[AGRUP. CLAS. PROF.]:[AGRUP. CLAS. PROF.]]=$B61,IF(DATOS_[[Check Periodo Ref.]:[Check Periodo Ref.]]="Dentro",IF(DATOS_[[Check Equiparado]:[Check Equiparado]]="Sí",IF(DATOS!BJ$4="Sí",(1/DATOS_[[% anualiz]:[% anualiz]]),1)*IF(DATOS!BJ$5="Sí",1/DATOS_[[% normaliz]:[% normaliz]],1)*(DATOS_[C.Extra.02])))))))), 0)</f>
        <v>0</v>
      </c>
      <c r="AR62" s="303" t="n">
        <f aca="false" t="array" ref="AR62:AR62">IFERROR( (AVERAGE((IF(DATOS_[[Sexo]:[Sexo]]=$B62,IF(DATOS_[[AGRUP. CLAS. PROF.]:[AGRUP. CLAS. PROF.]]=$B61,IF(DATOS_[[Check Periodo Ref.]:[Check Periodo Ref.]]="Dentro",IF(DATOS_[[Check Equiparado]:[Check Equiparado]]="Sí",IF(DATOS!BK$4="Sí",(1/DATOS_[[% anualiz]:[% anualiz]]),1)*IF(DATOS!BK$5="Sí",1/DATOS_[[% normaliz]:[% normaliz]],1)*(DATOS_[C.Extra.03])))))))), 0)</f>
        <v>0</v>
      </c>
      <c r="AS62" s="303" t="n">
        <f aca="false" t="array" ref="AS62:AS62">IFERROR( (AVERAGE((IF(DATOS_[[Sexo]:[Sexo]]=$B62,IF(DATOS_[[AGRUP. CLAS. PROF.]:[AGRUP. CLAS. PROF.]]=$B61,IF(DATOS_[[Check Periodo Ref.]:[Check Periodo Ref.]]="Dentro",IF(DATOS_[[Check Equiparado]:[Check Equiparado]]="Sí",IF(DATOS!BL$4="Sí",(1/DATOS_[[% anualiz]:[% anualiz]]),1)*IF(DATOS!BL$5="Sí",1/DATOS_[[% normaliz]:[% normaliz]],1)*(DATOS_[C.Extra.04])))))))), 0)</f>
        <v>0</v>
      </c>
      <c r="AT62" s="303" t="n">
        <f aca="false" t="array" ref="AT62:AT62">IFERROR( (AVERAGE((IF(DATOS_[[Sexo]:[Sexo]]=$B62,IF(DATOS_[[AGRUP. CLAS. PROF.]:[AGRUP. CLAS. PROF.]]=$B61,IF(DATOS_[[Check Periodo Ref.]:[Check Periodo Ref.]]="Dentro",IF(DATOS_[[Check Equiparado]:[Check Equiparado]]="Sí",IF(DATOS!BM$4="Sí",(1/DATOS_[[% anualiz]:[% anualiz]]),1)*IF(DATOS!BM$5="Sí",1/DATOS_[[% normaliz]:[% normaliz]],1)*(DATOS_[C.Extra.05])))))))), 0)</f>
        <v>0</v>
      </c>
      <c r="AU62" s="297" t="n">
        <f aca="false" t="array" ref="AU62:AU62">IFERROR( AVERAGE(IF(DATOS_[Sexo]=$B62,IF(DATOS_[[AGRUP. CLAS. PROF.]:[AGRUP. CLAS. PROF.]]=$B60,IF(DATOS_[Check Equiparado]="Sí",IF(DATOS_[Check Periodo Ref.]="Dentro",DATOS_[Tot Extrasalarial Eq],0))))), 0)</f>
        <v>0</v>
      </c>
      <c r="AV62" s="298" t="n">
        <f aca="false" t="array" ref="AV62:AV62">IFERROR( AVERAGE(IF(DATOS_[Sexo]=$B62,IF(DATOS_[[AGRUP. CLAS. PROF.]:[AGRUP. CLAS. PROF.]]=$B60,IF(DATOS_[Check Equiparado]="Sí",IF(DATOS_[Check Periodo Ref.]="Dentro",DATOS_[TOTAL Retrib Eq],0))))), 0)</f>
        <v>0</v>
      </c>
    </row>
    <row r="63" customFormat="false" ht="15.75" hidden="false" customHeight="false" outlineLevel="0" collapsed="false">
      <c r="A63" s="166" t="str">
        <f aca="false">+A64</f>
        <v>[ocultar]</v>
      </c>
      <c r="B63" s="276" t="s">
        <v>216</v>
      </c>
      <c r="C63" s="277"/>
      <c r="D63" s="278"/>
      <c r="E63" s="278"/>
      <c r="F63" s="278"/>
      <c r="G63" s="278"/>
      <c r="H63" s="278"/>
      <c r="I63" s="279" t="str">
        <f aca="false">IFERROR((I64-I65)/I64,"")</f>
        <v/>
      </c>
      <c r="J63" s="280" t="str">
        <f aca="false">IFERROR((J64-J65)/J64,"")</f>
        <v/>
      </c>
      <c r="K63" s="281" t="str">
        <f aca="false">IFERROR((K64-K65)/K64,"")</f>
        <v/>
      </c>
      <c r="L63" s="281" t="str">
        <f aca="false">IFERROR((L64-L65)/L64,"")</f>
        <v/>
      </c>
      <c r="M63" s="281" t="str">
        <f aca="false">IFERROR((M64-M65)/M64,"")</f>
        <v/>
      </c>
      <c r="N63" s="282" t="str">
        <f aca="false">IFERROR((N64-N65)/N64,"")</f>
        <v/>
      </c>
      <c r="O63" s="283" t="str">
        <f aca="false">IFERROR((O64-O65)/O64,"")</f>
        <v/>
      </c>
      <c r="P63" s="283" t="str">
        <f aca="false">IFERROR((P64-P65)/P64,"")</f>
        <v/>
      </c>
      <c r="Q63" s="283" t="str">
        <f aca="false">IFERROR((Q64-Q65)/Q64,"")</f>
        <v/>
      </c>
      <c r="R63" s="283" t="str">
        <f aca="false">IFERROR((R64-R65)/R64,"")</f>
        <v/>
      </c>
      <c r="S63" s="283" t="str">
        <f aca="false">IFERROR((S64-S65)/S64,"")</f>
        <v/>
      </c>
      <c r="T63" s="283" t="str">
        <f aca="false">IFERROR((T64-T65)/T64,"")</f>
        <v/>
      </c>
      <c r="U63" s="283" t="str">
        <f aca="false">IFERROR((U64-U65)/U64,"")</f>
        <v/>
      </c>
      <c r="V63" s="283" t="str">
        <f aca="false">IFERROR((V64-V65)/V64,"")</f>
        <v/>
      </c>
      <c r="W63" s="283" t="str">
        <f aca="false">IFERROR((W64-W65)/W64,"")</f>
        <v/>
      </c>
      <c r="X63" s="283" t="str">
        <f aca="false">IFERROR((X64-X65)/X64,"")</f>
        <v/>
      </c>
      <c r="Y63" s="283" t="str">
        <f aca="false">IFERROR((Y64-Y65)/Y64,"")</f>
        <v/>
      </c>
      <c r="Z63" s="282" t="str">
        <f aca="false">IFERROR((Z64-Z65)/Z64,"")</f>
        <v/>
      </c>
      <c r="AA63" s="282" t="str">
        <f aca="false">IFERROR((AA64-AA65)/AA64,"")</f>
        <v/>
      </c>
      <c r="AB63" s="282" t="str">
        <f aca="false">IFERROR((AB64-AB65)/AB64,"")</f>
        <v/>
      </c>
      <c r="AC63" s="282" t="str">
        <f aca="false">IFERROR((AC64-AC65)/AC64,"")</f>
        <v/>
      </c>
      <c r="AD63" s="282" t="str">
        <f aca="false">IFERROR((AD64-AD65)/AD64,"")</f>
        <v/>
      </c>
      <c r="AE63" s="282" t="str">
        <f aca="false">IFERROR((AE64-AE65)/AE64,"")</f>
        <v/>
      </c>
      <c r="AF63" s="282" t="str">
        <f aca="false">IFERROR((AF64-AF65)/AF64,"")</f>
        <v/>
      </c>
      <c r="AG63" s="282" t="str">
        <f aca="false">IFERROR((AG64-AG65)/AG64,"")</f>
        <v/>
      </c>
      <c r="AH63" s="282" t="str">
        <f aca="false">IFERROR((AH64-AH65)/AH64,"")</f>
        <v/>
      </c>
      <c r="AI63" s="282" t="str">
        <f aca="false">IFERROR((AI64-AI65)/AI64,"")</f>
        <v/>
      </c>
      <c r="AJ63" s="282" t="str">
        <f aca="false">IFERROR((AJ64-AJ65)/AJ64,"")</f>
        <v/>
      </c>
      <c r="AK63" s="282" t="str">
        <f aca="false">IFERROR((AK64-AK65)/AK64,"")</f>
        <v/>
      </c>
      <c r="AL63" s="282" t="str">
        <f aca="false">IFERROR((AL64-AL65)/AL64,"")</f>
        <v/>
      </c>
      <c r="AM63" s="282" t="str">
        <f aca="false">IFERROR((AM64-AM65)/AM64,"")</f>
        <v/>
      </c>
      <c r="AN63" s="284" t="str">
        <f aca="false">IFERROR((AN64-AN65)/AN64,"")</f>
        <v/>
      </c>
      <c r="AO63" s="285" t="str">
        <f aca="false">IFERROR((AO64-AO65)/AO64,"")</f>
        <v/>
      </c>
      <c r="AP63" s="286" t="str">
        <f aca="false">IFERROR((AP64-AP65)/AP64,"")</f>
        <v/>
      </c>
      <c r="AQ63" s="286" t="str">
        <f aca="false">IFERROR((AQ64-AQ65)/AQ64,"")</f>
        <v/>
      </c>
      <c r="AR63" s="286" t="str">
        <f aca="false">IFERROR((AR64-AR65)/AR64,"")</f>
        <v/>
      </c>
      <c r="AS63" s="286" t="str">
        <f aca="false">IFERROR((AS64-AS65)/AS64,"")</f>
        <v/>
      </c>
      <c r="AT63" s="286" t="str">
        <f aca="false">IFERROR((AT64-AT65)/AT64,"")</f>
        <v/>
      </c>
      <c r="AU63" s="287" t="str">
        <f aca="false">IFERROR((AU64-AU65)/AU64,"")</f>
        <v/>
      </c>
      <c r="AV63" s="288" t="str">
        <f aca="false">IFERROR((AV64-AV65)/AV64,"")</f>
        <v/>
      </c>
    </row>
    <row r="64" customFormat="false" ht="14.25" hidden="false" customHeight="false" outlineLevel="0" collapsed="false">
      <c r="A64" s="166" t="str">
        <f aca="false">+IF(C64+C65=0,"[ocultar]","")</f>
        <v>[ocultar]</v>
      </c>
      <c r="B64" s="289" t="s">
        <v>371</v>
      </c>
      <c r="C64" s="290" t="n">
        <f aca="false" t="array" ref="C64:C64">SUM(IF($B64=DATOS_[Sexo], IF($B63=DATOS_[AGRUP. CLAS. PROF.], IF("Dentro"=DATOS_[Check Periodo Ref.], 1/(COUNTIFS(DATOS_[Sexo],$B64,DATOS_[AGRUP. CLAS. PROF.],$B63,DATOS_[Check Periodo Ref.],"Dentro",DATOS_[id],DATOS_[id]))))))</f>
        <v>0</v>
      </c>
      <c r="D64" s="291" t="n">
        <f aca="false">COUNTIFS(DATOS_[AGRUP. CLAS. PROF.],$B63,DATOS_[Sexo],$B64,DATOS_[Check Periodo Ref.],"Dentro")</f>
        <v>0</v>
      </c>
      <c r="E64" s="291" t="n">
        <f aca="false">COUNTIFS(DATOS_[AGRUP. CLAS. PROF.],$B63,DATOS_[Sexo],$B64,DATOS_[Check Periodo Ref.],"Dentro",DATOS_[Check Nº SC Norm],"Sí")</f>
        <v>0</v>
      </c>
      <c r="F64" s="291" t="n">
        <f aca="false">COUNTIFS(DATOS_[AGRUP. CLAS. PROF.],$B63,DATOS_[Sexo],$B64,DATOS_[Check Periodo Ref.],"Dentro",DATOS_[Check Nº SC Anualiz],"Sí")</f>
        <v>0</v>
      </c>
      <c r="G64" s="291" t="n">
        <f aca="false">COUNTIFS(DATOS_[AGRUP. CLAS. PROF.],$B63,DATOS_[Sexo],$B64,DATOS_[Check Periodo Ref.],"Dentro",DATOS_[Check Nº SC Norm y Anualiz],"Sí")</f>
        <v>0</v>
      </c>
      <c r="H64" s="291" t="n">
        <f aca="false">COUNTIFS(DATOS_[AGRUP. CLAS. PROF.],$B63,DATOS_[Sexo],$B64,DATOS_[Check Periodo Ref.],"Dentro",DATOS_[Check Equiparación],"Sí")</f>
        <v>0</v>
      </c>
      <c r="I64" s="292" t="n">
        <f aca="false" t="array" ref="I64:I64">IFERROR( AVERAGE(IF(DATOS_[Sexo]=$B64,IF(DATOS_[[AGRUP. CLAS. PROF.]:[AGRUP. CLAS. PROF.]]=$B63,IF(DATOS_[Check Equiparado]="Sí",IF(DATOS_[Check Periodo Ref.]="Dentro",DATOS_[SALARIO BASE Eq],0))))), 0)</f>
        <v>0</v>
      </c>
      <c r="J64" s="302" t="n">
        <f aca="false" t="array" ref="J64:J64">IFERROR( (AVERAGE((IF(DATOS_[[Sexo]:[Sexo]]=$B64,IF(DATOS_[[AGRUP. CLAS. PROF.]:[AGRUP. CLAS. PROF.]]=$B63,IF(DATOS_[[Check Periodo Ref.]:[Check Periodo Ref.]]="Dentro",IF(DATOS_[[Check Equiparado]:[Check Equiparado]]="Sí",IF(DATOS!AE$4="Sí",(1/DATOS_[[% anualiz]:[% anualiz]]),1)*IF(DATOS!AE$5="Sí",1/DATOS_[[% normaliz]:[% normaliz]],1)*(DATOS_[Conc.Sal.01])))))))), 0)</f>
        <v>0</v>
      </c>
      <c r="K64" s="302" t="n">
        <f aca="false" t="array" ref="K64:K64">IFERROR( (AVERAGE((IF(DATOS_[[Sexo]:[Sexo]]=$B64,IF(DATOS_[[AGRUP. CLAS. PROF.]:[AGRUP. CLAS. PROF.]]=$B63,IF(DATOS_[[Check Periodo Ref.]:[Check Periodo Ref.]]="Dentro",IF(DATOS_[[Check Equiparado]:[Check Equiparado]]="Sí",IF(DATOS!AF$4="Sí",(1/DATOS_[[% anualiz]:[% anualiz]]),1)*IF(DATOS!AF$5="Sí",1/DATOS_[[% normaliz]:[% normaliz]],1)*(DATOS_[Conc.Sal.02])))))))), 0)</f>
        <v>0</v>
      </c>
      <c r="L64" s="302" t="n">
        <f aca="false" t="array" ref="L64:L64">IFERROR( (AVERAGE((IF(DATOS_[[Sexo]:[Sexo]]=$B64,IF(DATOS_[[AGRUP. CLAS. PROF.]:[AGRUP. CLAS. PROF.]]=$B63,IF(DATOS_[[Check Periodo Ref.]:[Check Periodo Ref.]]="Dentro",IF(DATOS_[[Check Equiparado]:[Check Equiparado]]="Sí",IF(DATOS!AG$4="Sí",(1/DATOS_[[% anualiz]:[% anualiz]]),1)*IF(DATOS!AG$5="Sí",1/DATOS_[[% normaliz]:[% normaliz]],1)*(DATOS_[Conc.Sal.03])))))))), 0)</f>
        <v>0</v>
      </c>
      <c r="M64" s="302" t="n">
        <f aca="false" t="array" ref="M64:M64">IFERROR( (AVERAGE((IF(DATOS_[[Sexo]:[Sexo]]=$B64,IF(DATOS_[[AGRUP. CLAS. PROF.]:[AGRUP. CLAS. PROF.]]=$B63,IF(DATOS_[[Check Periodo Ref.]:[Check Periodo Ref.]]="Dentro",IF(DATOS_[[Check Equiparado]:[Check Equiparado]]="Sí",IF(DATOS!AH$4="Sí",(1/DATOS_[[% anualiz]:[% anualiz]]),1)*IF(DATOS!AH$5="Sí",1/DATOS_[[% normaliz]:[% normaliz]],1)*(DATOS_[Conc.Sal.04])))))))), 0)</f>
        <v>0</v>
      </c>
      <c r="N64" s="302" t="n">
        <f aca="false" t="array" ref="N64:N64">IFERROR( (AVERAGE((IF(DATOS_[[Sexo]:[Sexo]]=$B64,IF(DATOS_[[AGRUP. CLAS. PROF.]:[AGRUP. CLAS. PROF.]]=$B63,IF(DATOS_[[Check Periodo Ref.]:[Check Periodo Ref.]]="Dentro",IF(DATOS_[[Check Equiparado]:[Check Equiparado]]="Sí",IF(DATOS!AI$4="Sí",(1/DATOS_[[% anualiz]:[% anualiz]]),1)*IF(DATOS!AI$5="Sí",1/DATOS_[[% normaliz]:[% normaliz]],1)*(DATOS_[Conc.Sal.05])))))))), 0)</f>
        <v>0</v>
      </c>
      <c r="O64" s="302" t="n">
        <f aca="false" t="array" ref="O64:O64">IFERROR( (AVERAGE((IF(DATOS_[[Sexo]:[Sexo]]=$B64,IF(DATOS_[[AGRUP. CLAS. PROF.]:[AGRUP. CLAS. PROF.]]=$B63,IF(DATOS_[[Check Periodo Ref.]:[Check Periodo Ref.]]="Dentro",IF(DATOS_[[Check Equiparado]:[Check Equiparado]]="Sí",IF(DATOS!AJ$4="Sí",(1/DATOS_[[% anualiz]:[% anualiz]]),1)*IF(DATOS!AJ$5="Sí",1/DATOS_[[% normaliz]:[% normaliz]],1)*(DATOS_[Conc.Sal.06])))))))), 0)</f>
        <v>0</v>
      </c>
      <c r="P64" s="302" t="n">
        <f aca="false" t="array" ref="P64:P64">IFERROR( (AVERAGE((IF(DATOS_[[Sexo]:[Sexo]]=$B64,IF(DATOS_[[AGRUP. CLAS. PROF.]:[AGRUP. CLAS. PROF.]]=$B63,IF(DATOS_[[Check Periodo Ref.]:[Check Periodo Ref.]]="Dentro",IF(DATOS_[[Check Equiparado]:[Check Equiparado]]="Sí",IF(DATOS!AK$4="Sí",(1/DATOS_[[% anualiz]:[% anualiz]]),1)*IF(DATOS!AK$5="Sí",1/DATOS_[[% normaliz]:[% normaliz]],1)*(DATOS_[Conc.Sal.07])))))))), 0)</f>
        <v>0</v>
      </c>
      <c r="Q64" s="302" t="n">
        <f aca="false" t="array" ref="Q64:Q64">IFERROR( (AVERAGE((IF(DATOS_[[Sexo]:[Sexo]]=$B64,IF(DATOS_[[AGRUP. CLAS. PROF.]:[AGRUP. CLAS. PROF.]]=$B63,IF(DATOS_[[Check Periodo Ref.]:[Check Periodo Ref.]]="Dentro",IF(DATOS_[[Check Equiparado]:[Check Equiparado]]="Sí",IF(DATOS!AL$4="Sí",(1/DATOS_[[% anualiz]:[% anualiz]]),1)*IF(DATOS!AL$5="Sí",1/DATOS_[[% normaliz]:[% normaliz]],1)*(DATOS_[Conc.Sal.08])))))))), 0)</f>
        <v>0</v>
      </c>
      <c r="R64" s="302" t="n">
        <f aca="false" t="array" ref="R64:R64">IFERROR( (AVERAGE((IF(DATOS_[[Sexo]:[Sexo]]=$B64,IF(DATOS_[[AGRUP. CLAS. PROF.]:[AGRUP. CLAS. PROF.]]=$B63,IF(DATOS_[[Check Periodo Ref.]:[Check Periodo Ref.]]="Dentro",IF(DATOS_[[Check Equiparado]:[Check Equiparado]]="Sí",IF(DATOS!AM$4="Sí",(1/DATOS_[[% anualiz]:[% anualiz]]),1)*IF(DATOS!AM$5="Sí",1/DATOS_[[% normaliz]:[% normaliz]],1)*(DATOS_[Conc.Sal.09])))))))), 0)</f>
        <v>0</v>
      </c>
      <c r="S64" s="302" t="n">
        <f aca="false" t="array" ref="S64:S64">IFERROR( (AVERAGE((IF(DATOS_[[Sexo]:[Sexo]]=$B64,IF(DATOS_[[AGRUP. CLAS. PROF.]:[AGRUP. CLAS. PROF.]]=$B63,IF(DATOS_[[Check Periodo Ref.]:[Check Periodo Ref.]]="Dentro",IF(DATOS_[[Check Equiparado]:[Check Equiparado]]="Sí",IF(DATOS!AN$4="Sí",(1/DATOS_[[% anualiz]:[% anualiz]]),1)*IF(DATOS!AN$5="Sí",1/DATOS_[[% normaliz]:[% normaliz]],1)*(DATOS_[Conc.Sal.10])))))))), 0)</f>
        <v>0</v>
      </c>
      <c r="T64" s="302" t="n">
        <f aca="false" t="array" ref="T64:T64">IFERROR( (AVERAGE((IF(DATOS_[[Sexo]:[Sexo]]=$B64,IF(DATOS_[[AGRUP. CLAS. PROF.]:[AGRUP. CLAS. PROF.]]=$B63,IF(DATOS_[[Check Periodo Ref.]:[Check Periodo Ref.]]="Dentro",IF(DATOS_[[Check Equiparado]:[Check Equiparado]]="Sí",IF(DATOS!AO$4="Sí",(1/DATOS_[[% anualiz]:[% anualiz]]),1)*IF(DATOS!AO$5="Sí",1/DATOS_[[% normaliz]:[% normaliz]],1)*(DATOS_[Conc.Sal.11])))))))), 0)</f>
        <v>0</v>
      </c>
      <c r="U64" s="302" t="n">
        <f aca="false" t="array" ref="U64:U64">IFERROR( (AVERAGE((IF(DATOS_[[Sexo]:[Sexo]]=$B64,IF(DATOS_[[AGRUP. CLAS. PROF.]:[AGRUP. CLAS. PROF.]]=$B63,IF(DATOS_[[Check Periodo Ref.]:[Check Periodo Ref.]]="Dentro",IF(DATOS_[[Check Equiparado]:[Check Equiparado]]="Sí",IF(DATOS!AP$4="Sí",(1/DATOS_[[% anualiz]:[% anualiz]]),1)*IF(DATOS!AP$5="Sí",1/DATOS_[[% normaliz]:[% normaliz]],1)*(DATOS_[Conc.Sal.12])))))))), 0)</f>
        <v>0</v>
      </c>
      <c r="V64" s="302" t="n">
        <f aca="false" t="array" ref="V64:V64">IFERROR( (AVERAGE((IF(DATOS_[[Sexo]:[Sexo]]=$B64,IF(DATOS_[[AGRUP. CLAS. PROF.]:[AGRUP. CLAS. PROF.]]=$B63,IF(DATOS_[[Check Periodo Ref.]:[Check Periodo Ref.]]="Dentro",IF(DATOS_[[Check Equiparado]:[Check Equiparado]]="Sí",IF(DATOS!AQ$4="Sí",(1/DATOS_[[% anualiz]:[% anualiz]]),1)*IF(DATOS!AQ$5="Sí",1/DATOS_[[% normaliz]:[% normaliz]],1)*(DATOS_[Conc.Sal.13])))))))), 0)</f>
        <v>0</v>
      </c>
      <c r="W64" s="302" t="n">
        <f aca="false" t="array" ref="W64:W64">IFERROR( (AVERAGE((IF(DATOS_[[Sexo]:[Sexo]]=$B64,IF(DATOS_[[AGRUP. CLAS. PROF.]:[AGRUP. CLAS. PROF.]]=$B63,IF(DATOS_[[Check Periodo Ref.]:[Check Periodo Ref.]]="Dentro",IF(DATOS_[[Check Equiparado]:[Check Equiparado]]="Sí",IF(DATOS!AR$4="Sí",(1/DATOS_[[% anualiz]:[% anualiz]]),1)*IF(DATOS!AR$5="Sí",1/DATOS_[[% normaliz]:[% normaliz]],1)*(DATOS_[Conc.Sal.14])))))))), 0)</f>
        <v>0</v>
      </c>
      <c r="X64" s="302" t="n">
        <f aca="false" t="array" ref="X64:X64">IFERROR( (AVERAGE((IF(DATOS_[[Sexo]:[Sexo]]=$B64,IF(DATOS_[[AGRUP. CLAS. PROF.]:[AGRUP. CLAS. PROF.]]=$B63,IF(DATOS_[[Check Periodo Ref.]:[Check Periodo Ref.]]="Dentro",IF(DATOS_[[Check Equiparado]:[Check Equiparado]]="Sí",IF(DATOS!AS$4="Sí",(1/DATOS_[[% anualiz]:[% anualiz]]),1)*IF(DATOS!AS$5="Sí",1/DATOS_[[% normaliz]:[% normaliz]],1)*(DATOS_[Conc.Sal.15])))))))), 0)</f>
        <v>0</v>
      </c>
      <c r="Y64" s="302" t="n">
        <f aca="false" t="array" ref="Y64:Y64">IFERROR( (AVERAGE((IF(DATOS_[[Sexo]:[Sexo]]=$B64,IF(DATOS_[[AGRUP. CLAS. PROF.]:[AGRUP. CLAS. PROF.]]=$B63,IF(DATOS_[[Check Periodo Ref.]:[Check Periodo Ref.]]="Dentro",IF(DATOS_[[Check Equiparado]:[Check Equiparado]]="Sí",IF(DATOS!AT$4="Sí",(1/DATOS_[[% anualiz]:[% anualiz]]),1)*IF(DATOS!AT$5="Sí",1/DATOS_[[% normaliz]:[% normaliz]],1)*(DATOS_[Conc.Sal.16])))))))), 0)</f>
        <v>0</v>
      </c>
      <c r="Z64" s="302" t="n">
        <f aca="false" t="array" ref="Z64:Z64">IFERROR( (AVERAGE((IF(DATOS_[[Sexo]:[Sexo]]=$B64,IF(DATOS_[[AGRUP. CLAS. PROF.]:[AGRUP. CLAS. PROF.]]=$B63,IF(DATOS_[[Check Periodo Ref.]:[Check Periodo Ref.]]="Dentro",IF(DATOS_[[Check Equiparado]:[Check Equiparado]]="Sí",IF(DATOS!AU$4="Sí",(1/DATOS_[[% anualiz]:[% anualiz]]),1)*IF(DATOS!AU$5="Sí",1/DATOS_[[% normaliz]:[% normaliz]],1)*(DATOS_[Conc.Sal.17])))))))), 0)</f>
        <v>0</v>
      </c>
      <c r="AA64" s="302" t="n">
        <f aca="false" t="array" ref="AA64:AA64">IFERROR( (AVERAGE((IF(DATOS_[[Sexo]:[Sexo]]=$B64,IF(DATOS_[[AGRUP. CLAS. PROF.]:[AGRUP. CLAS. PROF.]]=$B63,IF(DATOS_[[Check Periodo Ref.]:[Check Periodo Ref.]]="Dentro",IF(DATOS_[[Check Equiparado]:[Check Equiparado]]="Sí",IF(DATOS!AV$4="Sí",(1/DATOS_[[% anualiz]:[% anualiz]]),1)*IF(DATOS!AV$5="Sí",1/DATOS_[[% normaliz]:[% normaliz]],1)*(DATOS_[Conc.Sal.18])))))))), 0)</f>
        <v>0</v>
      </c>
      <c r="AB64" s="302" t="n">
        <f aca="false" t="array" ref="AB64:AB64">IFERROR( (AVERAGE((IF(DATOS_[[Sexo]:[Sexo]]=$B64,IF(DATOS_[[AGRUP. CLAS. PROF.]:[AGRUP. CLAS. PROF.]]=$B63,IF(DATOS_[[Check Periodo Ref.]:[Check Periodo Ref.]]="Dentro",IF(DATOS_[[Check Equiparado]:[Check Equiparado]]="Sí",IF(DATOS!AW$4="Sí",(1/DATOS_[[% anualiz]:[% anualiz]]),1)*IF(DATOS!AW$5="Sí",1/DATOS_[[% normaliz]:[% normaliz]],1)*(DATOS_[Conc.Sal.19])))))))), 0)</f>
        <v>0</v>
      </c>
      <c r="AC64" s="302" t="n">
        <f aca="false" t="array" ref="AC64:AC64">IFERROR( (AVERAGE((IF(DATOS_[[Sexo]:[Sexo]]=$B64,IF(DATOS_[[AGRUP. CLAS. PROF.]:[AGRUP. CLAS. PROF.]]=$B63,IF(DATOS_[[Check Periodo Ref.]:[Check Periodo Ref.]]="Dentro",IF(DATOS_[[Check Equiparado]:[Check Equiparado]]="Sí",IF(DATOS!AX$4="Sí",(1/DATOS_[[% anualiz]:[% anualiz]]),1)*IF(DATOS!AX$5="Sí",1/DATOS_[[% normaliz]:[% normaliz]],1)*(DATOS_[Conc.Sal.20])))))))), 0)</f>
        <v>0</v>
      </c>
      <c r="AD64" s="302" t="n">
        <f aca="false" t="array" ref="AD64:AD64">IFERROR( (AVERAGE((IF(DATOS_[[Sexo]:[Sexo]]=$B64,IF(DATOS_[[AGRUP. CLAS. PROF.]:[AGRUP. CLAS. PROF.]]=$B63,IF(DATOS_[[Check Periodo Ref.]:[Check Periodo Ref.]]="Dentro",IF(DATOS_[[Check Equiparado]:[Check Equiparado]]="Sí",IF(DATOS!AY$4="Sí",(1/DATOS_[[% anualiz]:[% anualiz]]),1)*IF(DATOS!AY$5="Sí",1/DATOS_[[% normaliz]:[% normaliz]],1)*(DATOS_[Conc.Sal.21])))))))), 0)</f>
        <v>0</v>
      </c>
      <c r="AE64" s="302" t="n">
        <f aca="false" t="array" ref="AE64:AE64">IFERROR( (AVERAGE((IF(DATOS_[[Sexo]:[Sexo]]=$B64,IF(DATOS_[[AGRUP. CLAS. PROF.]:[AGRUP. CLAS. PROF.]]=$B63,IF(DATOS_[[Check Periodo Ref.]:[Check Periodo Ref.]]="Dentro",IF(DATOS_[[Check Equiparado]:[Check Equiparado]]="Sí",IF(DATOS!AZ$4="Sí",(1/DATOS_[[% anualiz]:[% anualiz]]),1)*IF(DATOS!AZ$5="Sí",1/DATOS_[[% normaliz]:[% normaliz]],1)*(DATOS_[Conc.Sal.22])))))))), 0)</f>
        <v>0</v>
      </c>
      <c r="AF64" s="302" t="n">
        <f aca="false" t="array" ref="AF64:AF64">IFERROR( (AVERAGE((IF(DATOS_[[Sexo]:[Sexo]]=$B64,IF(DATOS_[[AGRUP. CLAS. PROF.]:[AGRUP. CLAS. PROF.]]=$B63,IF(DATOS_[[Check Periodo Ref.]:[Check Periodo Ref.]]="Dentro",IF(DATOS_[[Check Equiparado]:[Check Equiparado]]="Sí",IF(DATOS!BA$4="Sí",(1/DATOS_[[% anualiz]:[% anualiz]]),1)*IF(DATOS!BA$5="Sí",1/DATOS_[[% normaliz]:[% normaliz]],1)*(DATOS_[Conc.Sal.23])))))))), 0)</f>
        <v>0</v>
      </c>
      <c r="AG64" s="302" t="n">
        <f aca="false" t="array" ref="AG64:AG64">IFERROR( (AVERAGE((IF(DATOS_[[Sexo]:[Sexo]]=$B64,IF(DATOS_[[AGRUP. CLAS. PROF.]:[AGRUP. CLAS. PROF.]]=$B63,IF(DATOS_[[Check Periodo Ref.]:[Check Periodo Ref.]]="Dentro",IF(DATOS_[[Check Equiparado]:[Check Equiparado]]="Sí",IF(DATOS!BB$4="Sí",(1/DATOS_[[% anualiz]:[% anualiz]]),1)*IF(DATOS!BB$5="Sí",1/DATOS_[[% normaliz]:[% normaliz]],1)*(DATOS_[Conc.Sal.24])))))))), 0)</f>
        <v>0</v>
      </c>
      <c r="AH64" s="302" t="n">
        <f aca="false" t="array" ref="AH64:AH64">IFERROR( (AVERAGE((IF(DATOS_[[Sexo]:[Sexo]]=$B64,IF(DATOS_[[AGRUP. CLAS. PROF.]:[AGRUP. CLAS. PROF.]]=$B63,IF(DATOS_[[Check Periodo Ref.]:[Check Periodo Ref.]]="Dentro",IF(DATOS_[[Check Equiparado]:[Check Equiparado]]="Sí",IF(DATOS!BC$4="Sí",(1/DATOS_[[% anualiz]:[% anualiz]]),1)*IF(DATOS!BC$5="Sí",1/DATOS_[[% normaliz]:[% normaliz]],1)*(DATOS_[Conc.Sal.25])))))))), 0)</f>
        <v>0</v>
      </c>
      <c r="AI64" s="302" t="n">
        <f aca="false" t="array" ref="AI64:AI64">IFERROR( (AVERAGE((IF(DATOS_[[Sexo]:[Sexo]]=$B64,IF(DATOS_[[AGRUP. CLAS. PROF.]:[AGRUP. CLAS. PROF.]]=$B63,IF(DATOS_[[Check Periodo Ref.]:[Check Periodo Ref.]]="Dentro",IF(DATOS_[[Check Equiparado]:[Check Equiparado]]="Sí",IF(DATOS!BD$4="Sí",(1/DATOS_[[% anualiz]:[% anualiz]]),1)*IF(DATOS!BD$5="Sí",1/DATOS_[[% normaliz]:[% normaliz]],1)*(DATOS_[Conc.Sal.26])))))))), 0)</f>
        <v>0</v>
      </c>
      <c r="AJ64" s="302" t="n">
        <f aca="false" t="array" ref="AJ64:AJ64">IFERROR( (AVERAGE((IF(DATOS_[[Sexo]:[Sexo]]=$B64,IF(DATOS_[[AGRUP. CLAS. PROF.]:[AGRUP. CLAS. PROF.]]=$B63,IF(DATOS_[[Check Periodo Ref.]:[Check Periodo Ref.]]="Dentro",IF(DATOS_[[Check Equiparado]:[Check Equiparado]]="Sí",IF(DATOS!BE$4="Sí",(1/DATOS_[[% anualiz]:[% anualiz]]),1)*IF(DATOS!BE$5="Sí",1/DATOS_[[% normaliz]:[% normaliz]],1)*(DATOS_[Conc.Sal.27])))))))), 0)</f>
        <v>0</v>
      </c>
      <c r="AK64" s="302" t="n">
        <f aca="false" t="array" ref="AK64:AK64">IFERROR( (AVERAGE((IF(DATOS_[[Sexo]:[Sexo]]=$B64,IF(DATOS_[[AGRUP. CLAS. PROF.]:[AGRUP. CLAS. PROF.]]=$B63,IF(DATOS_[[Check Periodo Ref.]:[Check Periodo Ref.]]="Dentro",IF(DATOS_[[Check Equiparado]:[Check Equiparado]]="Sí",IF(DATOS!BF$4="Sí",(1/DATOS_[[% anualiz]:[% anualiz]]),1)*IF(DATOS!BF$5="Sí",1/DATOS_[[% normaliz]:[% normaliz]],1)*(DATOS_[Conc.Sal.28])))))))), 0)</f>
        <v>0</v>
      </c>
      <c r="AL64" s="302" t="n">
        <f aca="false" t="array" ref="AL64:AL64">IFERROR( (AVERAGE((IF(DATOS_[[Sexo]:[Sexo]]=$B64,IF(DATOS_[[AGRUP. CLAS. PROF.]:[AGRUP. CLAS. PROF.]]=$B63,IF(DATOS_[[Check Periodo Ref.]:[Check Periodo Ref.]]="Dentro",IF(DATOS_[[Check Equiparado]:[Check Equiparado]]="Sí",IF(DATOS!BG$4="Sí",(1/DATOS_[[% anualiz]:[% anualiz]]),1)*IF(DATOS!BG$5="Sí",1/DATOS_[[% normaliz]:[% normaliz]],1)*(DATOS_[Conc.Sal.29])))))))), 0)</f>
        <v>0</v>
      </c>
      <c r="AM64" s="302" t="n">
        <f aca="false" t="array" ref="AM64:AM64">IFERROR( (AVERAGE((IF(DATOS_[[Sexo]:[Sexo]]=$B64,IF(DATOS_[[AGRUP. CLAS. PROF.]:[AGRUP. CLAS. PROF.]]=$B63,IF(DATOS_[[Check Periodo Ref.]:[Check Periodo Ref.]]="Dentro",IF(DATOS_[[Check Equiparado]:[Check Equiparado]]="Sí",IF(DATOS!BH$4="Sí",(1/DATOS_[[% anualiz]:[% anualiz]]),1)*IF(DATOS!BH$5="Sí",1/DATOS_[[% normaliz]:[% normaliz]],1)*(DATOS_[Conc.Sal.30])))))))), 0)</f>
        <v>0</v>
      </c>
      <c r="AN64" s="294" t="n">
        <f aca="false" t="array" ref="AN64:AN64">IFERROR( AVERAGE(IF(DATOS_[Sexo]=$B64,IF(DATOS_[[AGRUP. CLAS. PROF.]:[AGRUP. CLAS. PROF.]]=$B63,IF(DATOS_[Check Equiparado]="Sí",IF(DATOS_[Check Periodo Ref.]="Dentro",DATOS_[Tot COMPL.SAL Eq],0))))), 0)</f>
        <v>0</v>
      </c>
      <c r="AO64" s="295" t="n">
        <f aca="false" t="array" ref="AO64:AO64">IFERROR( AVERAGE(IF(DATOS_[Sexo]=$B64,IF(DATOS_[[AGRUP. CLAS. PROF.]:[AGRUP. CLAS. PROF.]]=$B63,IF(DATOS_[Check Equiparado]="Sí",IF(DATOS_[Check Periodo Ref.]="Dentro",DATOS_[TOTAL SALARIO Eq],0))))), 0)</f>
        <v>0</v>
      </c>
      <c r="AP64" s="303" t="n">
        <f aca="false" t="array" ref="AP64:AP64">IFERROR( (AVERAGE((IF(DATOS_[[Sexo]:[Sexo]]=$B64,IF(DATOS_[[AGRUP. CLAS. PROF.]:[AGRUP. CLAS. PROF.]]=$B63,IF(DATOS_[[Check Periodo Ref.]:[Check Periodo Ref.]]="Dentro",IF(DATOS_[[Check Equiparado]:[Check Equiparado]]="Sí",IF(DATOS!BI$4="Sí",(1/DATOS_[[% anualiz]:[% anualiz]]),1)*IF(DATOS!BI$5="Sí",1/DATOS_[[% normaliz]:[% normaliz]],1)*(DATOS_[C.Extra.01])))))))), 0)</f>
        <v>0</v>
      </c>
      <c r="AQ64" s="303" t="n">
        <f aca="false" t="array" ref="AQ64:AQ64">IFERROR( (AVERAGE((IF(DATOS_[[Sexo]:[Sexo]]=$B64,IF(DATOS_[[AGRUP. CLAS. PROF.]:[AGRUP. CLAS. PROF.]]=$B63,IF(DATOS_[[Check Periodo Ref.]:[Check Periodo Ref.]]="Dentro",IF(DATOS_[[Check Equiparado]:[Check Equiparado]]="Sí",IF(DATOS!BJ$4="Sí",(1/DATOS_[[% anualiz]:[% anualiz]]),1)*IF(DATOS!BJ$5="Sí",1/DATOS_[[% normaliz]:[% normaliz]],1)*(DATOS_[C.Extra.02])))))))), 0)</f>
        <v>0</v>
      </c>
      <c r="AR64" s="303" t="n">
        <f aca="false" t="array" ref="AR64:AR64">IFERROR( (AVERAGE((IF(DATOS_[[Sexo]:[Sexo]]=$B64,IF(DATOS_[[AGRUP. CLAS. PROF.]:[AGRUP. CLAS. PROF.]]=$B63,IF(DATOS_[[Check Periodo Ref.]:[Check Periodo Ref.]]="Dentro",IF(DATOS_[[Check Equiparado]:[Check Equiparado]]="Sí",IF(DATOS!BK$4="Sí",(1/DATOS_[[% anualiz]:[% anualiz]]),1)*IF(DATOS!BK$5="Sí",1/DATOS_[[% normaliz]:[% normaliz]],1)*(DATOS_[C.Extra.03])))))))), 0)</f>
        <v>0</v>
      </c>
      <c r="AS64" s="303" t="n">
        <f aca="false" t="array" ref="AS64:AS64">IFERROR( (AVERAGE((IF(DATOS_[[Sexo]:[Sexo]]=$B64,IF(DATOS_[[AGRUP. CLAS. PROF.]:[AGRUP. CLAS. PROF.]]=$B63,IF(DATOS_[[Check Periodo Ref.]:[Check Periodo Ref.]]="Dentro",IF(DATOS_[[Check Equiparado]:[Check Equiparado]]="Sí",IF(DATOS!BL$4="Sí",(1/DATOS_[[% anualiz]:[% anualiz]]),1)*IF(DATOS!BL$5="Sí",1/DATOS_[[% normaliz]:[% normaliz]],1)*(DATOS_[C.Extra.04])))))))), 0)</f>
        <v>0</v>
      </c>
      <c r="AT64" s="303" t="n">
        <f aca="false" t="array" ref="AT64:AT64">IFERROR( (AVERAGE((IF(DATOS_[[Sexo]:[Sexo]]=$B64,IF(DATOS_[[AGRUP. CLAS. PROF.]:[AGRUP. CLAS. PROF.]]=$B63,IF(DATOS_[[Check Periodo Ref.]:[Check Periodo Ref.]]="Dentro",IF(DATOS_[[Check Equiparado]:[Check Equiparado]]="Sí",IF(DATOS!BM$4="Sí",(1/DATOS_[[% anualiz]:[% anualiz]]),1)*IF(DATOS!BM$5="Sí",1/DATOS_[[% normaliz]:[% normaliz]],1)*(DATOS_[C.Extra.05])))))))), 0)</f>
        <v>0</v>
      </c>
      <c r="AU64" s="297" t="n">
        <f aca="false" t="array" ref="AU64:AU64">IFERROR( AVERAGE(IF(DATOS_[Sexo]=$B64,IF(DATOS_[[AGRUP. CLAS. PROF.]:[AGRUP. CLAS. PROF.]]=$B63,IF(DATOS_[Check Equiparado]="Sí",IF(DATOS_[Check Periodo Ref.]="Dentro",DATOS_[Tot Extrasalarial Eq],0))))), 0)</f>
        <v>0</v>
      </c>
      <c r="AV64" s="298" t="n">
        <f aca="false" t="array" ref="AV64:AV64">IFERROR( AVERAGE(IF(DATOS_[Sexo]=$B64,IF(DATOS_[[AGRUP. CLAS. PROF.]:[AGRUP. CLAS. PROF.]]=$B63,IF(DATOS_[Check Equiparado]="Sí",IF(DATOS_[Check Periodo Ref.]="Dentro",DATOS_[TOTAL Retrib Eq],0))))), 0)</f>
        <v>0</v>
      </c>
    </row>
    <row r="65" customFormat="false" ht="14.25" hidden="false" customHeight="false" outlineLevel="0" collapsed="false">
      <c r="A65" s="166" t="str">
        <f aca="false">+A64</f>
        <v>[ocultar]</v>
      </c>
      <c r="B65" s="289" t="s">
        <v>372</v>
      </c>
      <c r="C65" s="290" t="n">
        <f aca="false" t="array" ref="C65:C65">SUM(IF($B65=DATOS_[Sexo], IF($B63=DATOS_[AGRUP. CLAS. PROF.], IF("Dentro"=DATOS_[Check Periodo Ref.], 1/(COUNTIFS(DATOS_[Sexo],$B65,DATOS_[AGRUP. CLAS. PROF.],$B63,DATOS_[Check Periodo Ref.],"Dentro",DATOS_[id],DATOS_[id]))))))</f>
        <v>0</v>
      </c>
      <c r="D65" s="291" t="n">
        <f aca="false">COUNTIFS(DATOS_[AGRUP. CLAS. PROF.],$B63,DATOS_[Sexo],$B65,DATOS_[Check Periodo Ref.],"Dentro")</f>
        <v>0</v>
      </c>
      <c r="E65" s="291" t="n">
        <f aca="false">COUNTIFS(DATOS_[AGRUP. CLAS. PROF.],$B63,DATOS_[Sexo],$B65,DATOS_[Check Periodo Ref.],"Dentro",DATOS_[Check Nº SC Norm],"Sí")</f>
        <v>0</v>
      </c>
      <c r="F65" s="291" t="n">
        <f aca="false">COUNTIFS(DATOS_[AGRUP. CLAS. PROF.],$B63,DATOS_[Sexo],$B65,DATOS_[Check Periodo Ref.],"Dentro",DATOS_[Check Nº SC Anualiz],"Sí")</f>
        <v>0</v>
      </c>
      <c r="G65" s="291" t="n">
        <f aca="false">COUNTIFS(DATOS_[AGRUP. CLAS. PROF.],$B63,DATOS_[Sexo],$B65,DATOS_[Check Periodo Ref.],"Dentro",DATOS_[Check Nº SC Norm y Anualiz],"Sí")</f>
        <v>0</v>
      </c>
      <c r="H65" s="291" t="n">
        <f aca="false">COUNTIFS(DATOS_[AGRUP. CLAS. PROF.],$B63,DATOS_[Sexo],$B65,DATOS_[Check Periodo Ref.],"Dentro",DATOS_[Check Equiparación],"Sí")</f>
        <v>0</v>
      </c>
      <c r="I65" s="292" t="n">
        <f aca="false" t="array" ref="I65:I65">IFERROR( AVERAGE(IF(DATOS_[Sexo]=$B65,IF(DATOS_[[AGRUP. CLAS. PROF.]:[AGRUP. CLAS. PROF.]]=$B63,IF(DATOS_[Check Equiparado]="Sí",IF(DATOS_[Check Periodo Ref.]="Dentro",DATOS_[SALARIO BASE Eq],0))))), 0)</f>
        <v>0</v>
      </c>
      <c r="J65" s="302" t="n">
        <f aca="false" t="array" ref="J65:J65">IFERROR( (AVERAGE((IF(DATOS_[[Sexo]:[Sexo]]=$B65,IF(DATOS_[[AGRUP. CLAS. PROF.]:[AGRUP. CLAS. PROF.]]=$B63,IF(DATOS_[[Check Periodo Ref.]:[Check Periodo Ref.]]="Dentro",IF(DATOS_[[Check Equiparado]:[Check Equiparado]]="Sí",IF(DATOS!AE$4="Sí",(1/DATOS_[[% anualiz]:[% anualiz]]),1)*IF(DATOS!AE$5="Sí",1/DATOS_[[% normaliz]:[% normaliz]],1)*(DATOS_[Conc.Sal.01])))))))), 0)</f>
        <v>0</v>
      </c>
      <c r="K65" s="302" t="n">
        <f aca="false" t="array" ref="K65:K65">IFERROR( (AVERAGE((IF(DATOS_[[Sexo]:[Sexo]]=$B65,IF(DATOS_[[AGRUP. CLAS. PROF.]:[AGRUP. CLAS. PROF.]]=$B63,IF(DATOS_[[Check Periodo Ref.]:[Check Periodo Ref.]]="Dentro",IF(DATOS_[[Check Equiparado]:[Check Equiparado]]="Sí",IF(DATOS!AF$4="Sí",(1/DATOS_[[% anualiz]:[% anualiz]]),1)*IF(DATOS!AF$5="Sí",1/DATOS_[[% normaliz]:[% normaliz]],1)*(DATOS_[Conc.Sal.02])))))))), 0)</f>
        <v>0</v>
      </c>
      <c r="L65" s="302" t="n">
        <f aca="false" t="array" ref="L65:L65">IFERROR( (AVERAGE((IF(DATOS_[[Sexo]:[Sexo]]=$B65,IF(DATOS_[[AGRUP. CLAS. PROF.]:[AGRUP. CLAS. PROF.]]=$B63,IF(DATOS_[[Check Periodo Ref.]:[Check Periodo Ref.]]="Dentro",IF(DATOS_[[Check Equiparado]:[Check Equiparado]]="Sí",IF(DATOS!AG$4="Sí",(1/DATOS_[[% anualiz]:[% anualiz]]),1)*IF(DATOS!AG$5="Sí",1/DATOS_[[% normaliz]:[% normaliz]],1)*(DATOS_[Conc.Sal.03])))))))), 0)</f>
        <v>0</v>
      </c>
      <c r="M65" s="302" t="n">
        <f aca="false" t="array" ref="M65:M65">IFERROR( (AVERAGE((IF(DATOS_[[Sexo]:[Sexo]]=$B65,IF(DATOS_[[AGRUP. CLAS. PROF.]:[AGRUP. CLAS. PROF.]]=$B63,IF(DATOS_[[Check Periodo Ref.]:[Check Periodo Ref.]]="Dentro",IF(DATOS_[[Check Equiparado]:[Check Equiparado]]="Sí",IF(DATOS!AH$4="Sí",(1/DATOS_[[% anualiz]:[% anualiz]]),1)*IF(DATOS!AH$5="Sí",1/DATOS_[[% normaliz]:[% normaliz]],1)*(DATOS_[Conc.Sal.04])))))))), 0)</f>
        <v>0</v>
      </c>
      <c r="N65" s="302" t="n">
        <f aca="false" t="array" ref="N65:N65">IFERROR( (AVERAGE((IF(DATOS_[[Sexo]:[Sexo]]=$B65,IF(DATOS_[[AGRUP. CLAS. PROF.]:[AGRUP. CLAS. PROF.]]=$B63,IF(DATOS_[[Check Periodo Ref.]:[Check Periodo Ref.]]="Dentro",IF(DATOS_[[Check Equiparado]:[Check Equiparado]]="Sí",IF(DATOS!AI$4="Sí",(1/DATOS_[[% anualiz]:[% anualiz]]),1)*IF(DATOS!AI$5="Sí",1/DATOS_[[% normaliz]:[% normaliz]],1)*(DATOS_[Conc.Sal.05])))))))), 0)</f>
        <v>0</v>
      </c>
      <c r="O65" s="302" t="n">
        <f aca="false" t="array" ref="O65:O65">IFERROR( (AVERAGE((IF(DATOS_[[Sexo]:[Sexo]]=$B65,IF(DATOS_[[AGRUP. CLAS. PROF.]:[AGRUP. CLAS. PROF.]]=$B63,IF(DATOS_[[Check Periodo Ref.]:[Check Periodo Ref.]]="Dentro",IF(DATOS_[[Check Equiparado]:[Check Equiparado]]="Sí",IF(DATOS!AJ$4="Sí",(1/DATOS_[[% anualiz]:[% anualiz]]),1)*IF(DATOS!AJ$5="Sí",1/DATOS_[[% normaliz]:[% normaliz]],1)*(DATOS_[Conc.Sal.06])))))))), 0)</f>
        <v>0</v>
      </c>
      <c r="P65" s="302" t="n">
        <f aca="false" t="array" ref="P65:P65">IFERROR( (AVERAGE((IF(DATOS_[[Sexo]:[Sexo]]=$B65,IF(DATOS_[[AGRUP. CLAS. PROF.]:[AGRUP. CLAS. PROF.]]=$B63,IF(DATOS_[[Check Periodo Ref.]:[Check Periodo Ref.]]="Dentro",IF(DATOS_[[Check Equiparado]:[Check Equiparado]]="Sí",IF(DATOS!AK$4="Sí",(1/DATOS_[[% anualiz]:[% anualiz]]),1)*IF(DATOS!AK$5="Sí",1/DATOS_[[% normaliz]:[% normaliz]],1)*(DATOS_[Conc.Sal.07])))))))), 0)</f>
        <v>0</v>
      </c>
      <c r="Q65" s="302" t="n">
        <f aca="false" t="array" ref="Q65:Q65">IFERROR( (AVERAGE((IF(DATOS_[[Sexo]:[Sexo]]=$B65,IF(DATOS_[[AGRUP. CLAS. PROF.]:[AGRUP. CLAS. PROF.]]=$B63,IF(DATOS_[[Check Periodo Ref.]:[Check Periodo Ref.]]="Dentro",IF(DATOS_[[Check Equiparado]:[Check Equiparado]]="Sí",IF(DATOS!AL$4="Sí",(1/DATOS_[[% anualiz]:[% anualiz]]),1)*IF(DATOS!AL$5="Sí",1/DATOS_[[% normaliz]:[% normaliz]],1)*(DATOS_[Conc.Sal.08])))))))), 0)</f>
        <v>0</v>
      </c>
      <c r="R65" s="302" t="n">
        <f aca="false" t="array" ref="R65:R65">IFERROR( (AVERAGE((IF(DATOS_[[Sexo]:[Sexo]]=$B65,IF(DATOS_[[AGRUP. CLAS. PROF.]:[AGRUP. CLAS. PROF.]]=$B63,IF(DATOS_[[Check Periodo Ref.]:[Check Periodo Ref.]]="Dentro",IF(DATOS_[[Check Equiparado]:[Check Equiparado]]="Sí",IF(DATOS!AM$4="Sí",(1/DATOS_[[% anualiz]:[% anualiz]]),1)*IF(DATOS!AM$5="Sí",1/DATOS_[[% normaliz]:[% normaliz]],1)*(DATOS_[Conc.Sal.09])))))))), 0)</f>
        <v>0</v>
      </c>
      <c r="S65" s="302" t="n">
        <f aca="false" t="array" ref="S65:S65">IFERROR( (AVERAGE((IF(DATOS_[[Sexo]:[Sexo]]=$B65,IF(DATOS_[[AGRUP. CLAS. PROF.]:[AGRUP. CLAS. PROF.]]=$B63,IF(DATOS_[[Check Periodo Ref.]:[Check Periodo Ref.]]="Dentro",IF(DATOS_[[Check Equiparado]:[Check Equiparado]]="Sí",IF(DATOS!AN$4="Sí",(1/DATOS_[[% anualiz]:[% anualiz]]),1)*IF(DATOS!AN$5="Sí",1/DATOS_[[% normaliz]:[% normaliz]],1)*(DATOS_[Conc.Sal.10])))))))), 0)</f>
        <v>0</v>
      </c>
      <c r="T65" s="302" t="n">
        <f aca="false" t="array" ref="T65:T65">IFERROR( (AVERAGE((IF(DATOS_[[Sexo]:[Sexo]]=$B65,IF(DATOS_[[AGRUP. CLAS. PROF.]:[AGRUP. CLAS. PROF.]]=$B63,IF(DATOS_[[Check Periodo Ref.]:[Check Periodo Ref.]]="Dentro",IF(DATOS_[[Check Equiparado]:[Check Equiparado]]="Sí",IF(DATOS!AO$4="Sí",(1/DATOS_[[% anualiz]:[% anualiz]]),1)*IF(DATOS!AO$5="Sí",1/DATOS_[[% normaliz]:[% normaliz]],1)*(DATOS_[Conc.Sal.11])))))))), 0)</f>
        <v>0</v>
      </c>
      <c r="U65" s="302" t="n">
        <f aca="false" t="array" ref="U65:U65">IFERROR( (AVERAGE((IF(DATOS_[[Sexo]:[Sexo]]=$B65,IF(DATOS_[[AGRUP. CLAS. PROF.]:[AGRUP. CLAS. PROF.]]=$B63,IF(DATOS_[[Check Periodo Ref.]:[Check Periodo Ref.]]="Dentro",IF(DATOS_[[Check Equiparado]:[Check Equiparado]]="Sí",IF(DATOS!AP$4="Sí",(1/DATOS_[[% anualiz]:[% anualiz]]),1)*IF(DATOS!AP$5="Sí",1/DATOS_[[% normaliz]:[% normaliz]],1)*(DATOS_[Conc.Sal.12])))))))), 0)</f>
        <v>0</v>
      </c>
      <c r="V65" s="302" t="n">
        <f aca="false" t="array" ref="V65:V65">IFERROR( (AVERAGE((IF(DATOS_[[Sexo]:[Sexo]]=$B65,IF(DATOS_[[AGRUP. CLAS. PROF.]:[AGRUP. CLAS. PROF.]]=$B63,IF(DATOS_[[Check Periodo Ref.]:[Check Periodo Ref.]]="Dentro",IF(DATOS_[[Check Equiparado]:[Check Equiparado]]="Sí",IF(DATOS!AQ$4="Sí",(1/DATOS_[[% anualiz]:[% anualiz]]),1)*IF(DATOS!AQ$5="Sí",1/DATOS_[[% normaliz]:[% normaliz]],1)*(DATOS_[Conc.Sal.13])))))))), 0)</f>
        <v>0</v>
      </c>
      <c r="W65" s="302" t="n">
        <f aca="false" t="array" ref="W65:W65">IFERROR( (AVERAGE((IF(DATOS_[[Sexo]:[Sexo]]=$B65,IF(DATOS_[[AGRUP. CLAS. PROF.]:[AGRUP. CLAS. PROF.]]=$B63,IF(DATOS_[[Check Periodo Ref.]:[Check Periodo Ref.]]="Dentro",IF(DATOS_[[Check Equiparado]:[Check Equiparado]]="Sí",IF(DATOS!AR$4="Sí",(1/DATOS_[[% anualiz]:[% anualiz]]),1)*IF(DATOS!AR$5="Sí",1/DATOS_[[% normaliz]:[% normaliz]],1)*(DATOS_[Conc.Sal.14])))))))), 0)</f>
        <v>0</v>
      </c>
      <c r="X65" s="302" t="n">
        <f aca="false" t="array" ref="X65:X65">IFERROR( (AVERAGE((IF(DATOS_[[Sexo]:[Sexo]]=$B65,IF(DATOS_[[AGRUP. CLAS. PROF.]:[AGRUP. CLAS. PROF.]]=$B63,IF(DATOS_[[Check Periodo Ref.]:[Check Periodo Ref.]]="Dentro",IF(DATOS_[[Check Equiparado]:[Check Equiparado]]="Sí",IF(DATOS!AS$4="Sí",(1/DATOS_[[% anualiz]:[% anualiz]]),1)*IF(DATOS!AS$5="Sí",1/DATOS_[[% normaliz]:[% normaliz]],1)*(DATOS_[Conc.Sal.15])))))))), 0)</f>
        <v>0</v>
      </c>
      <c r="Y65" s="302" t="n">
        <f aca="false" t="array" ref="Y65:Y65">IFERROR( (AVERAGE((IF(DATOS_[[Sexo]:[Sexo]]=$B65,IF(DATOS_[[AGRUP. CLAS. PROF.]:[AGRUP. CLAS. PROF.]]=$B63,IF(DATOS_[[Check Periodo Ref.]:[Check Periodo Ref.]]="Dentro",IF(DATOS_[[Check Equiparado]:[Check Equiparado]]="Sí",IF(DATOS!AT$4="Sí",(1/DATOS_[[% anualiz]:[% anualiz]]),1)*IF(DATOS!AT$5="Sí",1/DATOS_[[% normaliz]:[% normaliz]],1)*(DATOS_[Conc.Sal.16])))))))), 0)</f>
        <v>0</v>
      </c>
      <c r="Z65" s="302" t="n">
        <f aca="false" t="array" ref="Z65:Z65">IFERROR( (AVERAGE((IF(DATOS_[[Sexo]:[Sexo]]=$B65,IF(DATOS_[[AGRUP. CLAS. PROF.]:[AGRUP. CLAS. PROF.]]=$B63,IF(DATOS_[[Check Periodo Ref.]:[Check Periodo Ref.]]="Dentro",IF(DATOS_[[Check Equiparado]:[Check Equiparado]]="Sí",IF(DATOS!AU$4="Sí",(1/DATOS_[[% anualiz]:[% anualiz]]),1)*IF(DATOS!AU$5="Sí",1/DATOS_[[% normaliz]:[% normaliz]],1)*(DATOS_[Conc.Sal.17])))))))), 0)</f>
        <v>0</v>
      </c>
      <c r="AA65" s="302" t="n">
        <f aca="false" t="array" ref="AA65:AA65">IFERROR( (AVERAGE((IF(DATOS_[[Sexo]:[Sexo]]=$B65,IF(DATOS_[[AGRUP. CLAS. PROF.]:[AGRUP. CLAS. PROF.]]=$B63,IF(DATOS_[[Check Periodo Ref.]:[Check Periodo Ref.]]="Dentro",IF(DATOS_[[Check Equiparado]:[Check Equiparado]]="Sí",IF(DATOS!AV$4="Sí",(1/DATOS_[[% anualiz]:[% anualiz]]),1)*IF(DATOS!AV$5="Sí",1/DATOS_[[% normaliz]:[% normaliz]],1)*(DATOS_[Conc.Sal.18])))))))), 0)</f>
        <v>0</v>
      </c>
      <c r="AB65" s="302" t="n">
        <f aca="false" t="array" ref="AB65:AB65">IFERROR( (AVERAGE((IF(DATOS_[[Sexo]:[Sexo]]=$B65,IF(DATOS_[[AGRUP. CLAS. PROF.]:[AGRUP. CLAS. PROF.]]=$B63,IF(DATOS_[[Check Periodo Ref.]:[Check Periodo Ref.]]="Dentro",IF(DATOS_[[Check Equiparado]:[Check Equiparado]]="Sí",IF(DATOS!AW$4="Sí",(1/DATOS_[[% anualiz]:[% anualiz]]),1)*IF(DATOS!AW$5="Sí",1/DATOS_[[% normaliz]:[% normaliz]],1)*(DATOS_[Conc.Sal.19])))))))), 0)</f>
        <v>0</v>
      </c>
      <c r="AC65" s="302" t="n">
        <f aca="false" t="array" ref="AC65:AC65">IFERROR( (AVERAGE((IF(DATOS_[[Sexo]:[Sexo]]=$B65,IF(DATOS_[[AGRUP. CLAS. PROF.]:[AGRUP. CLAS. PROF.]]=$B63,IF(DATOS_[[Check Periodo Ref.]:[Check Periodo Ref.]]="Dentro",IF(DATOS_[[Check Equiparado]:[Check Equiparado]]="Sí",IF(DATOS!AX$4="Sí",(1/DATOS_[[% anualiz]:[% anualiz]]),1)*IF(DATOS!AX$5="Sí",1/DATOS_[[% normaliz]:[% normaliz]],1)*(DATOS_[Conc.Sal.20])))))))), 0)</f>
        <v>0</v>
      </c>
      <c r="AD65" s="302" t="n">
        <f aca="false" t="array" ref="AD65:AD65">IFERROR( (AVERAGE((IF(DATOS_[[Sexo]:[Sexo]]=$B65,IF(DATOS_[[AGRUP. CLAS. PROF.]:[AGRUP. CLAS. PROF.]]=$B63,IF(DATOS_[[Check Periodo Ref.]:[Check Periodo Ref.]]="Dentro",IF(DATOS_[[Check Equiparado]:[Check Equiparado]]="Sí",IF(DATOS!AY$4="Sí",(1/DATOS_[[% anualiz]:[% anualiz]]),1)*IF(DATOS!AY$5="Sí",1/DATOS_[[% normaliz]:[% normaliz]],1)*(DATOS_[Conc.Sal.21])))))))), 0)</f>
        <v>0</v>
      </c>
      <c r="AE65" s="302" t="n">
        <f aca="false" t="array" ref="AE65:AE65">IFERROR( (AVERAGE((IF(DATOS_[[Sexo]:[Sexo]]=$B65,IF(DATOS_[[AGRUP. CLAS. PROF.]:[AGRUP. CLAS. PROF.]]=$B63,IF(DATOS_[[Check Periodo Ref.]:[Check Periodo Ref.]]="Dentro",IF(DATOS_[[Check Equiparado]:[Check Equiparado]]="Sí",IF(DATOS!AZ$4="Sí",(1/DATOS_[[% anualiz]:[% anualiz]]),1)*IF(DATOS!AZ$5="Sí",1/DATOS_[[% normaliz]:[% normaliz]],1)*(DATOS_[Conc.Sal.22])))))))), 0)</f>
        <v>0</v>
      </c>
      <c r="AF65" s="302" t="n">
        <f aca="false" t="array" ref="AF65:AF65">IFERROR( (AVERAGE((IF(DATOS_[[Sexo]:[Sexo]]=$B65,IF(DATOS_[[AGRUP. CLAS. PROF.]:[AGRUP. CLAS. PROF.]]=$B63,IF(DATOS_[[Check Periodo Ref.]:[Check Periodo Ref.]]="Dentro",IF(DATOS_[[Check Equiparado]:[Check Equiparado]]="Sí",IF(DATOS!BA$4="Sí",(1/DATOS_[[% anualiz]:[% anualiz]]),1)*IF(DATOS!BA$5="Sí",1/DATOS_[[% normaliz]:[% normaliz]],1)*(DATOS_[Conc.Sal.23])))))))), 0)</f>
        <v>0</v>
      </c>
      <c r="AG65" s="302" t="n">
        <f aca="false" t="array" ref="AG65:AG65">IFERROR( (AVERAGE((IF(DATOS_[[Sexo]:[Sexo]]=$B65,IF(DATOS_[[AGRUP. CLAS. PROF.]:[AGRUP. CLAS. PROF.]]=$B63,IF(DATOS_[[Check Periodo Ref.]:[Check Periodo Ref.]]="Dentro",IF(DATOS_[[Check Equiparado]:[Check Equiparado]]="Sí",IF(DATOS!BB$4="Sí",(1/DATOS_[[% anualiz]:[% anualiz]]),1)*IF(DATOS!BB$5="Sí",1/DATOS_[[% normaliz]:[% normaliz]],1)*(DATOS_[Conc.Sal.24])))))))), 0)</f>
        <v>0</v>
      </c>
      <c r="AH65" s="302" t="n">
        <f aca="false" t="array" ref="AH65:AH65">IFERROR( (AVERAGE((IF(DATOS_[[Sexo]:[Sexo]]=$B65,IF(DATOS_[[AGRUP. CLAS. PROF.]:[AGRUP. CLAS. PROF.]]=$B63,IF(DATOS_[[Check Periodo Ref.]:[Check Periodo Ref.]]="Dentro",IF(DATOS_[[Check Equiparado]:[Check Equiparado]]="Sí",IF(DATOS!BC$4="Sí",(1/DATOS_[[% anualiz]:[% anualiz]]),1)*IF(DATOS!BC$5="Sí",1/DATOS_[[% normaliz]:[% normaliz]],1)*(DATOS_[Conc.Sal.25])))))))), 0)</f>
        <v>0</v>
      </c>
      <c r="AI65" s="302" t="n">
        <f aca="false" t="array" ref="AI65:AI65">IFERROR( (AVERAGE((IF(DATOS_[[Sexo]:[Sexo]]=$B65,IF(DATOS_[[AGRUP. CLAS. PROF.]:[AGRUP. CLAS. PROF.]]=$B63,IF(DATOS_[[Check Periodo Ref.]:[Check Periodo Ref.]]="Dentro",IF(DATOS_[[Check Equiparado]:[Check Equiparado]]="Sí",IF(DATOS!BD$4="Sí",(1/DATOS_[[% anualiz]:[% anualiz]]),1)*IF(DATOS!BD$5="Sí",1/DATOS_[[% normaliz]:[% normaliz]],1)*(DATOS_[Conc.Sal.26])))))))), 0)</f>
        <v>0</v>
      </c>
      <c r="AJ65" s="302" t="n">
        <f aca="false" t="array" ref="AJ65:AJ65">IFERROR( (AVERAGE((IF(DATOS_[[Sexo]:[Sexo]]=$B65,IF(DATOS_[[AGRUP. CLAS. PROF.]:[AGRUP. CLAS. PROF.]]=$B63,IF(DATOS_[[Check Periodo Ref.]:[Check Periodo Ref.]]="Dentro",IF(DATOS_[[Check Equiparado]:[Check Equiparado]]="Sí",IF(DATOS!BE$4="Sí",(1/DATOS_[[% anualiz]:[% anualiz]]),1)*IF(DATOS!BE$5="Sí",1/DATOS_[[% normaliz]:[% normaliz]],1)*(DATOS_[Conc.Sal.27])))))))), 0)</f>
        <v>0</v>
      </c>
      <c r="AK65" s="302" t="n">
        <f aca="false" t="array" ref="AK65:AK65">IFERROR( (AVERAGE((IF(DATOS_[[Sexo]:[Sexo]]=$B65,IF(DATOS_[[AGRUP. CLAS. PROF.]:[AGRUP. CLAS. PROF.]]=$B63,IF(DATOS_[[Check Periodo Ref.]:[Check Periodo Ref.]]="Dentro",IF(DATOS_[[Check Equiparado]:[Check Equiparado]]="Sí",IF(DATOS!BF$4="Sí",(1/DATOS_[[% anualiz]:[% anualiz]]),1)*IF(DATOS!BF$5="Sí",1/DATOS_[[% normaliz]:[% normaliz]],1)*(DATOS_[Conc.Sal.28])))))))), 0)</f>
        <v>0</v>
      </c>
      <c r="AL65" s="302" t="n">
        <f aca="false" t="array" ref="AL65:AL65">IFERROR( (AVERAGE((IF(DATOS_[[Sexo]:[Sexo]]=$B65,IF(DATOS_[[AGRUP. CLAS. PROF.]:[AGRUP. CLAS. PROF.]]=$B63,IF(DATOS_[[Check Periodo Ref.]:[Check Periodo Ref.]]="Dentro",IF(DATOS_[[Check Equiparado]:[Check Equiparado]]="Sí",IF(DATOS!BG$4="Sí",(1/DATOS_[[% anualiz]:[% anualiz]]),1)*IF(DATOS!BG$5="Sí",1/DATOS_[[% normaliz]:[% normaliz]],1)*(DATOS_[Conc.Sal.29])))))))), 0)</f>
        <v>0</v>
      </c>
      <c r="AM65" s="302" t="n">
        <f aca="false" t="array" ref="AM65:AM65">IFERROR( (AVERAGE((IF(DATOS_[[Sexo]:[Sexo]]=$B65,IF(DATOS_[[AGRUP. CLAS. PROF.]:[AGRUP. CLAS. PROF.]]=$B63,IF(DATOS_[[Check Periodo Ref.]:[Check Periodo Ref.]]="Dentro",IF(DATOS_[[Check Equiparado]:[Check Equiparado]]="Sí",IF(DATOS!BH$4="Sí",(1/DATOS_[[% anualiz]:[% anualiz]]),1)*IF(DATOS!BH$5="Sí",1/DATOS_[[% normaliz]:[% normaliz]],1)*(DATOS_[Conc.Sal.30])))))))), 0)</f>
        <v>0</v>
      </c>
      <c r="AN65" s="294" t="n">
        <f aca="false" t="array" ref="AN65:AN65">IFERROR( AVERAGE(IF(DATOS_[Sexo]=$B65,IF(DATOS_[[AGRUP. CLAS. PROF.]:[AGRUP. CLAS. PROF.]]=$B63,IF(DATOS_[Check Equiparado]="Sí",IF(DATOS_[Check Periodo Ref.]="Dentro",DATOS_[Tot COMPL.SAL Eq],0))))), 0)</f>
        <v>0</v>
      </c>
      <c r="AO65" s="295" t="n">
        <f aca="false" t="array" ref="AO65:AO65">IFERROR( AVERAGE(IF(DATOS_[Sexo]=$B65,IF(DATOS_[[AGRUP. CLAS. PROF.]:[AGRUP. CLAS. PROF.]]=$B63,IF(DATOS_[Check Equiparado]="Sí",IF(DATOS_[Check Periodo Ref.]="Dentro",DATOS_[TOTAL SALARIO Eq],0))))), 0)</f>
        <v>0</v>
      </c>
      <c r="AP65" s="303" t="n">
        <f aca="false" t="array" ref="AP65:AP65">IFERROR( (AVERAGE((IF(DATOS_[[Sexo]:[Sexo]]=$B65,IF(DATOS_[[AGRUP. CLAS. PROF.]:[AGRUP. CLAS. PROF.]]=$B64,IF(DATOS_[[Check Periodo Ref.]:[Check Periodo Ref.]]="Dentro",IF(DATOS_[[Check Equiparado]:[Check Equiparado]]="Sí",IF(DATOS!BI$4="Sí",(1/DATOS_[[% anualiz]:[% anualiz]]),1)*IF(DATOS!BI$5="Sí",1/DATOS_[[% normaliz]:[% normaliz]],1)*(DATOS_[C.Extra.01])))))))), 0)</f>
        <v>0</v>
      </c>
      <c r="AQ65" s="303" t="n">
        <f aca="false" t="array" ref="AQ65:AQ65">IFERROR( (AVERAGE((IF(DATOS_[[Sexo]:[Sexo]]=$B65,IF(DATOS_[[AGRUP. CLAS. PROF.]:[AGRUP. CLAS. PROF.]]=$B64,IF(DATOS_[[Check Periodo Ref.]:[Check Periodo Ref.]]="Dentro",IF(DATOS_[[Check Equiparado]:[Check Equiparado]]="Sí",IF(DATOS!BJ$4="Sí",(1/DATOS_[[% anualiz]:[% anualiz]]),1)*IF(DATOS!BJ$5="Sí",1/DATOS_[[% normaliz]:[% normaliz]],1)*(DATOS_[C.Extra.02])))))))), 0)</f>
        <v>0</v>
      </c>
      <c r="AR65" s="303" t="n">
        <f aca="false" t="array" ref="AR65:AR65">IFERROR( (AVERAGE((IF(DATOS_[[Sexo]:[Sexo]]=$B65,IF(DATOS_[[AGRUP. CLAS. PROF.]:[AGRUP. CLAS. PROF.]]=$B64,IF(DATOS_[[Check Periodo Ref.]:[Check Periodo Ref.]]="Dentro",IF(DATOS_[[Check Equiparado]:[Check Equiparado]]="Sí",IF(DATOS!BK$4="Sí",(1/DATOS_[[% anualiz]:[% anualiz]]),1)*IF(DATOS!BK$5="Sí",1/DATOS_[[% normaliz]:[% normaliz]],1)*(DATOS_[C.Extra.03])))))))), 0)</f>
        <v>0</v>
      </c>
      <c r="AS65" s="303" t="n">
        <f aca="false" t="array" ref="AS65:AS65">IFERROR( (AVERAGE((IF(DATOS_[[Sexo]:[Sexo]]=$B65,IF(DATOS_[[AGRUP. CLAS. PROF.]:[AGRUP. CLAS. PROF.]]=$B64,IF(DATOS_[[Check Periodo Ref.]:[Check Periodo Ref.]]="Dentro",IF(DATOS_[[Check Equiparado]:[Check Equiparado]]="Sí",IF(DATOS!BL$4="Sí",(1/DATOS_[[% anualiz]:[% anualiz]]),1)*IF(DATOS!BL$5="Sí",1/DATOS_[[% normaliz]:[% normaliz]],1)*(DATOS_[C.Extra.04])))))))), 0)</f>
        <v>0</v>
      </c>
      <c r="AT65" s="303" t="n">
        <f aca="false" t="array" ref="AT65:AT65">IFERROR( (AVERAGE((IF(DATOS_[[Sexo]:[Sexo]]=$B65,IF(DATOS_[[AGRUP. CLAS. PROF.]:[AGRUP. CLAS. PROF.]]=$B64,IF(DATOS_[[Check Periodo Ref.]:[Check Periodo Ref.]]="Dentro",IF(DATOS_[[Check Equiparado]:[Check Equiparado]]="Sí",IF(DATOS!BM$4="Sí",(1/DATOS_[[% anualiz]:[% anualiz]]),1)*IF(DATOS!BM$5="Sí",1/DATOS_[[% normaliz]:[% normaliz]],1)*(DATOS_[C.Extra.05])))))))), 0)</f>
        <v>0</v>
      </c>
      <c r="AU65" s="297" t="n">
        <f aca="false" t="array" ref="AU65:AU65">IFERROR( AVERAGE(IF(DATOS_[Sexo]=$B65,IF(DATOS_[[AGRUP. CLAS. PROF.]:[AGRUP. CLAS. PROF.]]=$B63,IF(DATOS_[Check Equiparado]="Sí",IF(DATOS_[Check Periodo Ref.]="Dentro",DATOS_[Tot Extrasalarial Eq],0))))), 0)</f>
        <v>0</v>
      </c>
      <c r="AV65" s="298" t="n">
        <f aca="false" t="array" ref="AV65:AV65">IFERROR( AVERAGE(IF(DATOS_[Sexo]=$B65,IF(DATOS_[[AGRUP. CLAS. PROF.]:[AGRUP. CLAS. PROF.]]=$B63,IF(DATOS_[Check Equiparado]="Sí",IF(DATOS_[Check Periodo Ref.]="Dentro",DATOS_[TOTAL Retrib Eq],0))))), 0)</f>
        <v>0</v>
      </c>
    </row>
    <row r="66" customFormat="false" ht="15.75" hidden="false" customHeight="false" outlineLevel="0" collapsed="false">
      <c r="A66" s="166" t="str">
        <f aca="false">+A67</f>
        <v>[ocultar]</v>
      </c>
      <c r="B66" s="276" t="s">
        <v>219</v>
      </c>
      <c r="C66" s="277"/>
      <c r="D66" s="278"/>
      <c r="E66" s="278"/>
      <c r="F66" s="278"/>
      <c r="G66" s="278"/>
      <c r="H66" s="278"/>
      <c r="I66" s="279" t="str">
        <f aca="false">IFERROR((I67-I68)/I67,"")</f>
        <v/>
      </c>
      <c r="J66" s="280" t="str">
        <f aca="false">IFERROR((J67-J68)/J67,"")</f>
        <v/>
      </c>
      <c r="K66" s="281" t="str">
        <f aca="false">IFERROR((K67-K68)/K67,"")</f>
        <v/>
      </c>
      <c r="L66" s="281" t="str">
        <f aca="false">IFERROR((L67-L68)/L67,"")</f>
        <v/>
      </c>
      <c r="M66" s="281" t="str">
        <f aca="false">IFERROR((M67-M68)/M67,"")</f>
        <v/>
      </c>
      <c r="N66" s="282" t="str">
        <f aca="false">IFERROR((N67-N68)/N67,"")</f>
        <v/>
      </c>
      <c r="O66" s="283" t="str">
        <f aca="false">IFERROR((O67-O68)/O67,"")</f>
        <v/>
      </c>
      <c r="P66" s="283" t="str">
        <f aca="false">IFERROR((P67-P68)/P67,"")</f>
        <v/>
      </c>
      <c r="Q66" s="283" t="str">
        <f aca="false">IFERROR((Q67-Q68)/Q67,"")</f>
        <v/>
      </c>
      <c r="R66" s="283" t="str">
        <f aca="false">IFERROR((R67-R68)/R67,"")</f>
        <v/>
      </c>
      <c r="S66" s="283" t="str">
        <f aca="false">IFERROR((S67-S68)/S67,"")</f>
        <v/>
      </c>
      <c r="T66" s="283" t="str">
        <f aca="false">IFERROR((T67-T68)/T67,"")</f>
        <v/>
      </c>
      <c r="U66" s="283" t="str">
        <f aca="false">IFERROR((U67-U68)/U67,"")</f>
        <v/>
      </c>
      <c r="V66" s="283" t="str">
        <f aca="false">IFERROR((V67-V68)/V67,"")</f>
        <v/>
      </c>
      <c r="W66" s="283" t="str">
        <f aca="false">IFERROR((W67-W68)/W67,"")</f>
        <v/>
      </c>
      <c r="X66" s="283" t="str">
        <f aca="false">IFERROR((X67-X68)/X67,"")</f>
        <v/>
      </c>
      <c r="Y66" s="283" t="str">
        <f aca="false">IFERROR((Y67-Y68)/Y67,"")</f>
        <v/>
      </c>
      <c r="Z66" s="282" t="str">
        <f aca="false">IFERROR((Z67-Z68)/Z67,"")</f>
        <v/>
      </c>
      <c r="AA66" s="282" t="str">
        <f aca="false">IFERROR((AA67-AA68)/AA67,"")</f>
        <v/>
      </c>
      <c r="AB66" s="282" t="str">
        <f aca="false">IFERROR((AB67-AB68)/AB67,"")</f>
        <v/>
      </c>
      <c r="AC66" s="282" t="str">
        <f aca="false">IFERROR((AC67-AC68)/AC67,"")</f>
        <v/>
      </c>
      <c r="AD66" s="282" t="str">
        <f aca="false">IFERROR((AD67-AD68)/AD67,"")</f>
        <v/>
      </c>
      <c r="AE66" s="282" t="str">
        <f aca="false">IFERROR((AE67-AE68)/AE67,"")</f>
        <v/>
      </c>
      <c r="AF66" s="282" t="str">
        <f aca="false">IFERROR((AF67-AF68)/AF67,"")</f>
        <v/>
      </c>
      <c r="AG66" s="282" t="str">
        <f aca="false">IFERROR((AG67-AG68)/AG67,"")</f>
        <v/>
      </c>
      <c r="AH66" s="282" t="str">
        <f aca="false">IFERROR((AH67-AH68)/AH67,"")</f>
        <v/>
      </c>
      <c r="AI66" s="282" t="str">
        <f aca="false">IFERROR((AI67-AI68)/AI67,"")</f>
        <v/>
      </c>
      <c r="AJ66" s="282" t="str">
        <f aca="false">IFERROR((AJ67-AJ68)/AJ67,"")</f>
        <v/>
      </c>
      <c r="AK66" s="282" t="str">
        <f aca="false">IFERROR((AK67-AK68)/AK67,"")</f>
        <v/>
      </c>
      <c r="AL66" s="282" t="str">
        <f aca="false">IFERROR((AL67-AL68)/AL67,"")</f>
        <v/>
      </c>
      <c r="AM66" s="282" t="str">
        <f aca="false">IFERROR((AM67-AM68)/AM67,"")</f>
        <v/>
      </c>
      <c r="AN66" s="284" t="str">
        <f aca="false">IFERROR((AN67-AN68)/AN67,"")</f>
        <v/>
      </c>
      <c r="AO66" s="285" t="str">
        <f aca="false">IFERROR((AO67-AO68)/AO67,"")</f>
        <v/>
      </c>
      <c r="AP66" s="286" t="str">
        <f aca="false">IFERROR((AP67-AP68)/AP67,"")</f>
        <v/>
      </c>
      <c r="AQ66" s="286" t="str">
        <f aca="false">IFERROR((AQ67-AQ68)/AQ67,"")</f>
        <v/>
      </c>
      <c r="AR66" s="286" t="str">
        <f aca="false">IFERROR((AR67-AR68)/AR67,"")</f>
        <v/>
      </c>
      <c r="AS66" s="286" t="str">
        <f aca="false">IFERROR((AS67-AS68)/AS67,"")</f>
        <v/>
      </c>
      <c r="AT66" s="286" t="str">
        <f aca="false">IFERROR((AT67-AT68)/AT67,"")</f>
        <v/>
      </c>
      <c r="AU66" s="287" t="str">
        <f aca="false">IFERROR((AU67-AU68)/AU67,"")</f>
        <v/>
      </c>
      <c r="AV66" s="288" t="str">
        <f aca="false">IFERROR((AV67-AV68)/AV67,"")</f>
        <v/>
      </c>
    </row>
    <row r="67" customFormat="false" ht="14.25" hidden="false" customHeight="false" outlineLevel="0" collapsed="false">
      <c r="A67" s="166" t="str">
        <f aca="false">+IF(C67+C68=0,"[ocultar]","")</f>
        <v>[ocultar]</v>
      </c>
      <c r="B67" s="289" t="s">
        <v>371</v>
      </c>
      <c r="C67" s="290" t="n">
        <f aca="false" t="array" ref="C67:C67">SUM(IF($B67=DATOS_[Sexo], IF($B66=DATOS_[AGRUP. CLAS. PROF.], IF("Dentro"=DATOS_[Check Periodo Ref.], 1/(COUNTIFS(DATOS_[Sexo],$B67,DATOS_[AGRUP. CLAS. PROF.],$B66,DATOS_[Check Periodo Ref.],"Dentro",DATOS_[id],DATOS_[id]))))))</f>
        <v>0</v>
      </c>
      <c r="D67" s="291" t="n">
        <f aca="false">COUNTIFS(DATOS_[AGRUP. CLAS. PROF.],$B66,DATOS_[Sexo],$B67,DATOS_[Check Periodo Ref.],"Dentro")</f>
        <v>0</v>
      </c>
      <c r="E67" s="291" t="n">
        <f aca="false">COUNTIFS(DATOS_[AGRUP. CLAS. PROF.],$B66,DATOS_[Sexo],$B67,DATOS_[Check Periodo Ref.],"Dentro",DATOS_[Check Nº SC Norm],"Sí")</f>
        <v>0</v>
      </c>
      <c r="F67" s="291" t="n">
        <f aca="false">COUNTIFS(DATOS_[AGRUP. CLAS. PROF.],$B66,DATOS_[Sexo],$B67,DATOS_[Check Periodo Ref.],"Dentro",DATOS_[Check Nº SC Anualiz],"Sí")</f>
        <v>0</v>
      </c>
      <c r="G67" s="291" t="n">
        <f aca="false">COUNTIFS(DATOS_[AGRUP. CLAS. PROF.],$B66,DATOS_[Sexo],$B67,DATOS_[Check Periodo Ref.],"Dentro",DATOS_[Check Nº SC Norm y Anualiz],"Sí")</f>
        <v>0</v>
      </c>
      <c r="H67" s="291" t="n">
        <f aca="false">COUNTIFS(DATOS_[AGRUP. CLAS. PROF.],$B66,DATOS_[Sexo],$B67,DATOS_[Check Periodo Ref.],"Dentro",DATOS_[Check Equiparación],"Sí")</f>
        <v>0</v>
      </c>
      <c r="I67" s="292" t="n">
        <f aca="false" t="array" ref="I67:I67">IFERROR( AVERAGE(IF(DATOS_[Sexo]=$B67,IF(DATOS_[[AGRUP. CLAS. PROF.]:[AGRUP. CLAS. PROF.]]=$B66,IF(DATOS_[Check Equiparado]="Sí",IF(DATOS_[Check Periodo Ref.]="Dentro",DATOS_[SALARIO BASE Eq],0))))), 0)</f>
        <v>0</v>
      </c>
      <c r="J67" s="302" t="n">
        <f aca="false" t="array" ref="J67:J67">IFERROR( (AVERAGE((IF(DATOS_[[Sexo]:[Sexo]]=$B67,IF(DATOS_[[AGRUP. CLAS. PROF.]:[AGRUP. CLAS. PROF.]]=$B66,IF(DATOS_[[Check Periodo Ref.]:[Check Periodo Ref.]]="Dentro",IF(DATOS_[[Check Equiparado]:[Check Equiparado]]="Sí",IF(DATOS!AE$4="Sí",(1/DATOS_[[% anualiz]:[% anualiz]]),1)*IF(DATOS!AE$5="Sí",1/DATOS_[[% normaliz]:[% normaliz]],1)*(DATOS_[Conc.Sal.01])))))))), 0)</f>
        <v>0</v>
      </c>
      <c r="K67" s="302" t="n">
        <f aca="false" t="array" ref="K67:K67">IFERROR( (AVERAGE((IF(DATOS_[[Sexo]:[Sexo]]=$B67,IF(DATOS_[[AGRUP. CLAS. PROF.]:[AGRUP. CLAS. PROF.]]=$B66,IF(DATOS_[[Check Periodo Ref.]:[Check Periodo Ref.]]="Dentro",IF(DATOS_[[Check Equiparado]:[Check Equiparado]]="Sí",IF(DATOS!AF$4="Sí",(1/DATOS_[[% anualiz]:[% anualiz]]),1)*IF(DATOS!AF$5="Sí",1/DATOS_[[% normaliz]:[% normaliz]],1)*(DATOS_[Conc.Sal.02])))))))), 0)</f>
        <v>0</v>
      </c>
      <c r="L67" s="302" t="n">
        <f aca="false" t="array" ref="L67:L67">IFERROR( (AVERAGE((IF(DATOS_[[Sexo]:[Sexo]]=$B67,IF(DATOS_[[AGRUP. CLAS. PROF.]:[AGRUP. CLAS. PROF.]]=$B66,IF(DATOS_[[Check Periodo Ref.]:[Check Periodo Ref.]]="Dentro",IF(DATOS_[[Check Equiparado]:[Check Equiparado]]="Sí",IF(DATOS!AG$4="Sí",(1/DATOS_[[% anualiz]:[% anualiz]]),1)*IF(DATOS!AG$5="Sí",1/DATOS_[[% normaliz]:[% normaliz]],1)*(DATOS_[Conc.Sal.03])))))))), 0)</f>
        <v>0</v>
      </c>
      <c r="M67" s="302" t="n">
        <f aca="false" t="array" ref="M67:M67">IFERROR( (AVERAGE((IF(DATOS_[[Sexo]:[Sexo]]=$B67,IF(DATOS_[[AGRUP. CLAS. PROF.]:[AGRUP. CLAS. PROF.]]=$B66,IF(DATOS_[[Check Periodo Ref.]:[Check Periodo Ref.]]="Dentro",IF(DATOS_[[Check Equiparado]:[Check Equiparado]]="Sí",IF(DATOS!AH$4="Sí",(1/DATOS_[[% anualiz]:[% anualiz]]),1)*IF(DATOS!AH$5="Sí",1/DATOS_[[% normaliz]:[% normaliz]],1)*(DATOS_[Conc.Sal.04])))))))), 0)</f>
        <v>0</v>
      </c>
      <c r="N67" s="302" t="n">
        <f aca="false" t="array" ref="N67:N67">IFERROR( (AVERAGE((IF(DATOS_[[Sexo]:[Sexo]]=$B67,IF(DATOS_[[AGRUP. CLAS. PROF.]:[AGRUP. CLAS. PROF.]]=$B66,IF(DATOS_[[Check Periodo Ref.]:[Check Periodo Ref.]]="Dentro",IF(DATOS_[[Check Equiparado]:[Check Equiparado]]="Sí",IF(DATOS!AI$4="Sí",(1/DATOS_[[% anualiz]:[% anualiz]]),1)*IF(DATOS!AI$5="Sí",1/DATOS_[[% normaliz]:[% normaliz]],1)*(DATOS_[Conc.Sal.05])))))))), 0)</f>
        <v>0</v>
      </c>
      <c r="O67" s="302" t="n">
        <f aca="false" t="array" ref="O67:O67">IFERROR( (AVERAGE((IF(DATOS_[[Sexo]:[Sexo]]=$B67,IF(DATOS_[[AGRUP. CLAS. PROF.]:[AGRUP. CLAS. PROF.]]=$B66,IF(DATOS_[[Check Periodo Ref.]:[Check Periodo Ref.]]="Dentro",IF(DATOS_[[Check Equiparado]:[Check Equiparado]]="Sí",IF(DATOS!AJ$4="Sí",(1/DATOS_[[% anualiz]:[% anualiz]]),1)*IF(DATOS!AJ$5="Sí",1/DATOS_[[% normaliz]:[% normaliz]],1)*(DATOS_[Conc.Sal.06])))))))), 0)</f>
        <v>0</v>
      </c>
      <c r="P67" s="302" t="n">
        <f aca="false" t="array" ref="P67:P67">IFERROR( (AVERAGE((IF(DATOS_[[Sexo]:[Sexo]]=$B67,IF(DATOS_[[AGRUP. CLAS. PROF.]:[AGRUP. CLAS. PROF.]]=$B66,IF(DATOS_[[Check Periodo Ref.]:[Check Periodo Ref.]]="Dentro",IF(DATOS_[[Check Equiparado]:[Check Equiparado]]="Sí",IF(DATOS!AK$4="Sí",(1/DATOS_[[% anualiz]:[% anualiz]]),1)*IF(DATOS!AK$5="Sí",1/DATOS_[[% normaliz]:[% normaliz]],1)*(DATOS_[Conc.Sal.07])))))))), 0)</f>
        <v>0</v>
      </c>
      <c r="Q67" s="302" t="n">
        <f aca="false" t="array" ref="Q67:Q67">IFERROR( (AVERAGE((IF(DATOS_[[Sexo]:[Sexo]]=$B67,IF(DATOS_[[AGRUP. CLAS. PROF.]:[AGRUP. CLAS. PROF.]]=$B66,IF(DATOS_[[Check Periodo Ref.]:[Check Periodo Ref.]]="Dentro",IF(DATOS_[[Check Equiparado]:[Check Equiparado]]="Sí",IF(DATOS!AL$4="Sí",(1/DATOS_[[% anualiz]:[% anualiz]]),1)*IF(DATOS!AL$5="Sí",1/DATOS_[[% normaliz]:[% normaliz]],1)*(DATOS_[Conc.Sal.08])))))))), 0)</f>
        <v>0</v>
      </c>
      <c r="R67" s="302" t="n">
        <f aca="false" t="array" ref="R67:R67">IFERROR( (AVERAGE((IF(DATOS_[[Sexo]:[Sexo]]=$B67,IF(DATOS_[[AGRUP. CLAS. PROF.]:[AGRUP. CLAS. PROF.]]=$B66,IF(DATOS_[[Check Periodo Ref.]:[Check Periodo Ref.]]="Dentro",IF(DATOS_[[Check Equiparado]:[Check Equiparado]]="Sí",IF(DATOS!AM$4="Sí",(1/DATOS_[[% anualiz]:[% anualiz]]),1)*IF(DATOS!AM$5="Sí",1/DATOS_[[% normaliz]:[% normaliz]],1)*(DATOS_[Conc.Sal.09])))))))), 0)</f>
        <v>0</v>
      </c>
      <c r="S67" s="302" t="n">
        <f aca="false" t="array" ref="S67:S67">IFERROR( (AVERAGE((IF(DATOS_[[Sexo]:[Sexo]]=$B67,IF(DATOS_[[AGRUP. CLAS. PROF.]:[AGRUP. CLAS. PROF.]]=$B66,IF(DATOS_[[Check Periodo Ref.]:[Check Periodo Ref.]]="Dentro",IF(DATOS_[[Check Equiparado]:[Check Equiparado]]="Sí",IF(DATOS!AN$4="Sí",(1/DATOS_[[% anualiz]:[% anualiz]]),1)*IF(DATOS!AN$5="Sí",1/DATOS_[[% normaliz]:[% normaliz]],1)*(DATOS_[Conc.Sal.10])))))))), 0)</f>
        <v>0</v>
      </c>
      <c r="T67" s="302" t="n">
        <f aca="false" t="array" ref="T67:T67">IFERROR( (AVERAGE((IF(DATOS_[[Sexo]:[Sexo]]=$B67,IF(DATOS_[[AGRUP. CLAS. PROF.]:[AGRUP. CLAS. PROF.]]=$B66,IF(DATOS_[[Check Periodo Ref.]:[Check Periodo Ref.]]="Dentro",IF(DATOS_[[Check Equiparado]:[Check Equiparado]]="Sí",IF(DATOS!AO$4="Sí",(1/DATOS_[[% anualiz]:[% anualiz]]),1)*IF(DATOS!AO$5="Sí",1/DATOS_[[% normaliz]:[% normaliz]],1)*(DATOS_[Conc.Sal.11])))))))), 0)</f>
        <v>0</v>
      </c>
      <c r="U67" s="302" t="n">
        <f aca="false" t="array" ref="U67:U67">IFERROR( (AVERAGE((IF(DATOS_[[Sexo]:[Sexo]]=$B67,IF(DATOS_[[AGRUP. CLAS. PROF.]:[AGRUP. CLAS. PROF.]]=$B66,IF(DATOS_[[Check Periodo Ref.]:[Check Periodo Ref.]]="Dentro",IF(DATOS_[[Check Equiparado]:[Check Equiparado]]="Sí",IF(DATOS!AP$4="Sí",(1/DATOS_[[% anualiz]:[% anualiz]]),1)*IF(DATOS!AP$5="Sí",1/DATOS_[[% normaliz]:[% normaliz]],1)*(DATOS_[Conc.Sal.12])))))))), 0)</f>
        <v>0</v>
      </c>
      <c r="V67" s="302" t="n">
        <f aca="false" t="array" ref="V67:V67">IFERROR( (AVERAGE((IF(DATOS_[[Sexo]:[Sexo]]=$B67,IF(DATOS_[[AGRUP. CLAS. PROF.]:[AGRUP. CLAS. PROF.]]=$B66,IF(DATOS_[[Check Periodo Ref.]:[Check Periodo Ref.]]="Dentro",IF(DATOS_[[Check Equiparado]:[Check Equiparado]]="Sí",IF(DATOS!AQ$4="Sí",(1/DATOS_[[% anualiz]:[% anualiz]]),1)*IF(DATOS!AQ$5="Sí",1/DATOS_[[% normaliz]:[% normaliz]],1)*(DATOS_[Conc.Sal.13])))))))), 0)</f>
        <v>0</v>
      </c>
      <c r="W67" s="302" t="n">
        <f aca="false" t="array" ref="W67:W67">IFERROR( (AVERAGE((IF(DATOS_[[Sexo]:[Sexo]]=$B67,IF(DATOS_[[AGRUP. CLAS. PROF.]:[AGRUP. CLAS. PROF.]]=$B66,IF(DATOS_[[Check Periodo Ref.]:[Check Periodo Ref.]]="Dentro",IF(DATOS_[[Check Equiparado]:[Check Equiparado]]="Sí",IF(DATOS!AR$4="Sí",(1/DATOS_[[% anualiz]:[% anualiz]]),1)*IF(DATOS!AR$5="Sí",1/DATOS_[[% normaliz]:[% normaliz]],1)*(DATOS_[Conc.Sal.14])))))))), 0)</f>
        <v>0</v>
      </c>
      <c r="X67" s="302" t="n">
        <f aca="false" t="array" ref="X67:X67">IFERROR( (AVERAGE((IF(DATOS_[[Sexo]:[Sexo]]=$B67,IF(DATOS_[[AGRUP. CLAS. PROF.]:[AGRUP. CLAS. PROF.]]=$B66,IF(DATOS_[[Check Periodo Ref.]:[Check Periodo Ref.]]="Dentro",IF(DATOS_[[Check Equiparado]:[Check Equiparado]]="Sí",IF(DATOS!AS$4="Sí",(1/DATOS_[[% anualiz]:[% anualiz]]),1)*IF(DATOS!AS$5="Sí",1/DATOS_[[% normaliz]:[% normaliz]],1)*(DATOS_[Conc.Sal.15])))))))), 0)</f>
        <v>0</v>
      </c>
      <c r="Y67" s="302" t="n">
        <f aca="false" t="array" ref="Y67:Y67">IFERROR( (AVERAGE((IF(DATOS_[[Sexo]:[Sexo]]=$B67,IF(DATOS_[[AGRUP. CLAS. PROF.]:[AGRUP. CLAS. PROF.]]=$B66,IF(DATOS_[[Check Periodo Ref.]:[Check Periodo Ref.]]="Dentro",IF(DATOS_[[Check Equiparado]:[Check Equiparado]]="Sí",IF(DATOS!AT$4="Sí",(1/DATOS_[[% anualiz]:[% anualiz]]),1)*IF(DATOS!AT$5="Sí",1/DATOS_[[% normaliz]:[% normaliz]],1)*(DATOS_[Conc.Sal.16])))))))), 0)</f>
        <v>0</v>
      </c>
      <c r="Z67" s="302" t="n">
        <f aca="false" t="array" ref="Z67:Z67">IFERROR( (AVERAGE((IF(DATOS_[[Sexo]:[Sexo]]=$B67,IF(DATOS_[[AGRUP. CLAS. PROF.]:[AGRUP. CLAS. PROF.]]=$B66,IF(DATOS_[[Check Periodo Ref.]:[Check Periodo Ref.]]="Dentro",IF(DATOS_[[Check Equiparado]:[Check Equiparado]]="Sí",IF(DATOS!AU$4="Sí",(1/DATOS_[[% anualiz]:[% anualiz]]),1)*IF(DATOS!AU$5="Sí",1/DATOS_[[% normaliz]:[% normaliz]],1)*(DATOS_[Conc.Sal.17])))))))), 0)</f>
        <v>0</v>
      </c>
      <c r="AA67" s="302" t="n">
        <f aca="false" t="array" ref="AA67:AA67">IFERROR( (AVERAGE((IF(DATOS_[[Sexo]:[Sexo]]=$B67,IF(DATOS_[[AGRUP. CLAS. PROF.]:[AGRUP. CLAS. PROF.]]=$B66,IF(DATOS_[[Check Periodo Ref.]:[Check Periodo Ref.]]="Dentro",IF(DATOS_[[Check Equiparado]:[Check Equiparado]]="Sí",IF(DATOS!AV$4="Sí",(1/DATOS_[[% anualiz]:[% anualiz]]),1)*IF(DATOS!AV$5="Sí",1/DATOS_[[% normaliz]:[% normaliz]],1)*(DATOS_[Conc.Sal.18])))))))), 0)</f>
        <v>0</v>
      </c>
      <c r="AB67" s="302" t="n">
        <f aca="false" t="array" ref="AB67:AB67">IFERROR( (AVERAGE((IF(DATOS_[[Sexo]:[Sexo]]=$B67,IF(DATOS_[[AGRUP. CLAS. PROF.]:[AGRUP. CLAS. PROF.]]=$B66,IF(DATOS_[[Check Periodo Ref.]:[Check Periodo Ref.]]="Dentro",IF(DATOS_[[Check Equiparado]:[Check Equiparado]]="Sí",IF(DATOS!AW$4="Sí",(1/DATOS_[[% anualiz]:[% anualiz]]),1)*IF(DATOS!AW$5="Sí",1/DATOS_[[% normaliz]:[% normaliz]],1)*(DATOS_[Conc.Sal.19])))))))), 0)</f>
        <v>0</v>
      </c>
      <c r="AC67" s="302" t="n">
        <f aca="false" t="array" ref="AC67:AC67">IFERROR( (AVERAGE((IF(DATOS_[[Sexo]:[Sexo]]=$B67,IF(DATOS_[[AGRUP. CLAS. PROF.]:[AGRUP. CLAS. PROF.]]=$B66,IF(DATOS_[[Check Periodo Ref.]:[Check Periodo Ref.]]="Dentro",IF(DATOS_[[Check Equiparado]:[Check Equiparado]]="Sí",IF(DATOS!AX$4="Sí",(1/DATOS_[[% anualiz]:[% anualiz]]),1)*IF(DATOS!AX$5="Sí",1/DATOS_[[% normaliz]:[% normaliz]],1)*(DATOS_[Conc.Sal.20])))))))), 0)</f>
        <v>0</v>
      </c>
      <c r="AD67" s="302" t="n">
        <f aca="false" t="array" ref="AD67:AD67">IFERROR( (AVERAGE((IF(DATOS_[[Sexo]:[Sexo]]=$B67,IF(DATOS_[[AGRUP. CLAS. PROF.]:[AGRUP. CLAS. PROF.]]=$B66,IF(DATOS_[[Check Periodo Ref.]:[Check Periodo Ref.]]="Dentro",IF(DATOS_[[Check Equiparado]:[Check Equiparado]]="Sí",IF(DATOS!AY$4="Sí",(1/DATOS_[[% anualiz]:[% anualiz]]),1)*IF(DATOS!AY$5="Sí",1/DATOS_[[% normaliz]:[% normaliz]],1)*(DATOS_[Conc.Sal.21])))))))), 0)</f>
        <v>0</v>
      </c>
      <c r="AE67" s="302" t="n">
        <f aca="false" t="array" ref="AE67:AE67">IFERROR( (AVERAGE((IF(DATOS_[[Sexo]:[Sexo]]=$B67,IF(DATOS_[[AGRUP. CLAS. PROF.]:[AGRUP. CLAS. PROF.]]=$B66,IF(DATOS_[[Check Periodo Ref.]:[Check Periodo Ref.]]="Dentro",IF(DATOS_[[Check Equiparado]:[Check Equiparado]]="Sí",IF(DATOS!AZ$4="Sí",(1/DATOS_[[% anualiz]:[% anualiz]]),1)*IF(DATOS!AZ$5="Sí",1/DATOS_[[% normaliz]:[% normaliz]],1)*(DATOS_[Conc.Sal.22])))))))), 0)</f>
        <v>0</v>
      </c>
      <c r="AF67" s="302" t="n">
        <f aca="false" t="array" ref="AF67:AF67">IFERROR( (AVERAGE((IF(DATOS_[[Sexo]:[Sexo]]=$B67,IF(DATOS_[[AGRUP. CLAS. PROF.]:[AGRUP. CLAS. PROF.]]=$B66,IF(DATOS_[[Check Periodo Ref.]:[Check Periodo Ref.]]="Dentro",IF(DATOS_[[Check Equiparado]:[Check Equiparado]]="Sí",IF(DATOS!BA$4="Sí",(1/DATOS_[[% anualiz]:[% anualiz]]),1)*IF(DATOS!BA$5="Sí",1/DATOS_[[% normaliz]:[% normaliz]],1)*(DATOS_[Conc.Sal.23])))))))), 0)</f>
        <v>0</v>
      </c>
      <c r="AG67" s="302" t="n">
        <f aca="false" t="array" ref="AG67:AG67">IFERROR( (AVERAGE((IF(DATOS_[[Sexo]:[Sexo]]=$B67,IF(DATOS_[[AGRUP. CLAS. PROF.]:[AGRUP. CLAS. PROF.]]=$B66,IF(DATOS_[[Check Periodo Ref.]:[Check Periodo Ref.]]="Dentro",IF(DATOS_[[Check Equiparado]:[Check Equiparado]]="Sí",IF(DATOS!BB$4="Sí",(1/DATOS_[[% anualiz]:[% anualiz]]),1)*IF(DATOS!BB$5="Sí",1/DATOS_[[% normaliz]:[% normaliz]],1)*(DATOS_[Conc.Sal.24])))))))), 0)</f>
        <v>0</v>
      </c>
      <c r="AH67" s="302" t="n">
        <f aca="false" t="array" ref="AH67:AH67">IFERROR( (AVERAGE((IF(DATOS_[[Sexo]:[Sexo]]=$B67,IF(DATOS_[[AGRUP. CLAS. PROF.]:[AGRUP. CLAS. PROF.]]=$B66,IF(DATOS_[[Check Periodo Ref.]:[Check Periodo Ref.]]="Dentro",IF(DATOS_[[Check Equiparado]:[Check Equiparado]]="Sí",IF(DATOS!BC$4="Sí",(1/DATOS_[[% anualiz]:[% anualiz]]),1)*IF(DATOS!BC$5="Sí",1/DATOS_[[% normaliz]:[% normaliz]],1)*(DATOS_[Conc.Sal.25])))))))), 0)</f>
        <v>0</v>
      </c>
      <c r="AI67" s="302" t="n">
        <f aca="false" t="array" ref="AI67:AI67">IFERROR( (AVERAGE((IF(DATOS_[[Sexo]:[Sexo]]=$B67,IF(DATOS_[[AGRUP. CLAS. PROF.]:[AGRUP. CLAS. PROF.]]=$B66,IF(DATOS_[[Check Periodo Ref.]:[Check Periodo Ref.]]="Dentro",IF(DATOS_[[Check Equiparado]:[Check Equiparado]]="Sí",IF(DATOS!BD$4="Sí",(1/DATOS_[[% anualiz]:[% anualiz]]),1)*IF(DATOS!BD$5="Sí",1/DATOS_[[% normaliz]:[% normaliz]],1)*(DATOS_[Conc.Sal.26])))))))), 0)</f>
        <v>0</v>
      </c>
      <c r="AJ67" s="302" t="n">
        <f aca="false" t="array" ref="AJ67:AJ67">IFERROR( (AVERAGE((IF(DATOS_[[Sexo]:[Sexo]]=$B67,IF(DATOS_[[AGRUP. CLAS. PROF.]:[AGRUP. CLAS. PROF.]]=$B66,IF(DATOS_[[Check Periodo Ref.]:[Check Periodo Ref.]]="Dentro",IF(DATOS_[[Check Equiparado]:[Check Equiparado]]="Sí",IF(DATOS!BE$4="Sí",(1/DATOS_[[% anualiz]:[% anualiz]]),1)*IF(DATOS!BE$5="Sí",1/DATOS_[[% normaliz]:[% normaliz]],1)*(DATOS_[Conc.Sal.27])))))))), 0)</f>
        <v>0</v>
      </c>
      <c r="AK67" s="302" t="n">
        <f aca="false" t="array" ref="AK67:AK67">IFERROR( (AVERAGE((IF(DATOS_[[Sexo]:[Sexo]]=$B67,IF(DATOS_[[AGRUP. CLAS. PROF.]:[AGRUP. CLAS. PROF.]]=$B66,IF(DATOS_[[Check Periodo Ref.]:[Check Periodo Ref.]]="Dentro",IF(DATOS_[[Check Equiparado]:[Check Equiparado]]="Sí",IF(DATOS!BF$4="Sí",(1/DATOS_[[% anualiz]:[% anualiz]]),1)*IF(DATOS!BF$5="Sí",1/DATOS_[[% normaliz]:[% normaliz]],1)*(DATOS_[Conc.Sal.28])))))))), 0)</f>
        <v>0</v>
      </c>
      <c r="AL67" s="302" t="n">
        <f aca="false" t="array" ref="AL67:AL67">IFERROR( (AVERAGE((IF(DATOS_[[Sexo]:[Sexo]]=$B67,IF(DATOS_[[AGRUP. CLAS. PROF.]:[AGRUP. CLAS. PROF.]]=$B66,IF(DATOS_[[Check Periodo Ref.]:[Check Periodo Ref.]]="Dentro",IF(DATOS_[[Check Equiparado]:[Check Equiparado]]="Sí",IF(DATOS!BG$4="Sí",(1/DATOS_[[% anualiz]:[% anualiz]]),1)*IF(DATOS!BG$5="Sí",1/DATOS_[[% normaliz]:[% normaliz]],1)*(DATOS_[Conc.Sal.29])))))))), 0)</f>
        <v>0</v>
      </c>
      <c r="AM67" s="302" t="n">
        <f aca="false" t="array" ref="AM67:AM67">IFERROR( (AVERAGE((IF(DATOS_[[Sexo]:[Sexo]]=$B67,IF(DATOS_[[AGRUP. CLAS. PROF.]:[AGRUP. CLAS. PROF.]]=$B66,IF(DATOS_[[Check Periodo Ref.]:[Check Periodo Ref.]]="Dentro",IF(DATOS_[[Check Equiparado]:[Check Equiparado]]="Sí",IF(DATOS!BH$4="Sí",(1/DATOS_[[% anualiz]:[% anualiz]]),1)*IF(DATOS!BH$5="Sí",1/DATOS_[[% normaliz]:[% normaliz]],1)*(DATOS_[Conc.Sal.30])))))))), 0)</f>
        <v>0</v>
      </c>
      <c r="AN67" s="294" t="n">
        <f aca="false" t="array" ref="AN67:AN67">IFERROR( AVERAGE(IF(DATOS_[Sexo]=$B67,IF(DATOS_[[AGRUP. CLAS. PROF.]:[AGRUP. CLAS. PROF.]]=$B66,IF(DATOS_[Check Equiparado]="Sí",IF(DATOS_[Check Periodo Ref.]="Dentro",DATOS_[Tot COMPL.SAL Eq],0))))), 0)</f>
        <v>0</v>
      </c>
      <c r="AO67" s="295" t="n">
        <f aca="false" t="array" ref="AO67:AO67">IFERROR( AVERAGE(IF(DATOS_[Sexo]=$B67,IF(DATOS_[[AGRUP. CLAS. PROF.]:[AGRUP. CLAS. PROF.]]=$B66,IF(DATOS_[Check Equiparado]="Sí",IF(DATOS_[Check Periodo Ref.]="Dentro",DATOS_[TOTAL SALARIO Eq],0))))), 0)</f>
        <v>0</v>
      </c>
      <c r="AP67" s="303" t="n">
        <f aca="false" t="array" ref="AP67:AP67">IFERROR( (AVERAGE((IF(DATOS_[[Sexo]:[Sexo]]=$B67,IF(DATOS_[[AGRUP. CLAS. PROF.]:[AGRUP. CLAS. PROF.]]=$B66,IF(DATOS_[[Check Periodo Ref.]:[Check Periodo Ref.]]="Dentro",IF(DATOS_[[Check Equiparado]:[Check Equiparado]]="Sí",IF(DATOS!BI$4="Sí",(1/DATOS_[[% anualiz]:[% anualiz]]),1)*IF(DATOS!BI$5="Sí",1/DATOS_[[% normaliz]:[% normaliz]],1)*(DATOS_[C.Extra.01])))))))), 0)</f>
        <v>0</v>
      </c>
      <c r="AQ67" s="303" t="n">
        <f aca="false" t="array" ref="AQ67:AQ67">IFERROR( (AVERAGE((IF(DATOS_[[Sexo]:[Sexo]]=$B67,IF(DATOS_[[AGRUP. CLAS. PROF.]:[AGRUP. CLAS. PROF.]]=$B66,IF(DATOS_[[Check Periodo Ref.]:[Check Periodo Ref.]]="Dentro",IF(DATOS_[[Check Equiparado]:[Check Equiparado]]="Sí",IF(DATOS!BJ$4="Sí",(1/DATOS_[[% anualiz]:[% anualiz]]),1)*IF(DATOS!BJ$5="Sí",1/DATOS_[[% normaliz]:[% normaliz]],1)*(DATOS_[C.Extra.02])))))))), 0)</f>
        <v>0</v>
      </c>
      <c r="AR67" s="303" t="n">
        <f aca="false" t="array" ref="AR67:AR67">IFERROR( (AVERAGE((IF(DATOS_[[Sexo]:[Sexo]]=$B67,IF(DATOS_[[AGRUP. CLAS. PROF.]:[AGRUP. CLAS. PROF.]]=$B66,IF(DATOS_[[Check Periodo Ref.]:[Check Periodo Ref.]]="Dentro",IF(DATOS_[[Check Equiparado]:[Check Equiparado]]="Sí",IF(DATOS!BK$4="Sí",(1/DATOS_[[% anualiz]:[% anualiz]]),1)*IF(DATOS!BK$5="Sí",1/DATOS_[[% normaliz]:[% normaliz]],1)*(DATOS_[C.Extra.03])))))))), 0)</f>
        <v>0</v>
      </c>
      <c r="AS67" s="303" t="n">
        <f aca="false" t="array" ref="AS67:AS67">IFERROR( (AVERAGE((IF(DATOS_[[Sexo]:[Sexo]]=$B67,IF(DATOS_[[AGRUP. CLAS. PROF.]:[AGRUP. CLAS. PROF.]]=$B66,IF(DATOS_[[Check Periodo Ref.]:[Check Periodo Ref.]]="Dentro",IF(DATOS_[[Check Equiparado]:[Check Equiparado]]="Sí",IF(DATOS!BL$4="Sí",(1/DATOS_[[% anualiz]:[% anualiz]]),1)*IF(DATOS!BL$5="Sí",1/DATOS_[[% normaliz]:[% normaliz]],1)*(DATOS_[C.Extra.04])))))))), 0)</f>
        <v>0</v>
      </c>
      <c r="AT67" s="303" t="n">
        <f aca="false" t="array" ref="AT67:AT67">IFERROR( (AVERAGE((IF(DATOS_[[Sexo]:[Sexo]]=$B67,IF(DATOS_[[AGRUP. CLAS. PROF.]:[AGRUP. CLAS. PROF.]]=$B66,IF(DATOS_[[Check Periodo Ref.]:[Check Periodo Ref.]]="Dentro",IF(DATOS_[[Check Equiparado]:[Check Equiparado]]="Sí",IF(DATOS!BM$4="Sí",(1/DATOS_[[% anualiz]:[% anualiz]]),1)*IF(DATOS!BM$5="Sí",1/DATOS_[[% normaliz]:[% normaliz]],1)*(DATOS_[C.Extra.05])))))))), 0)</f>
        <v>0</v>
      </c>
      <c r="AU67" s="297" t="n">
        <f aca="false" t="array" ref="AU67:AU67">IFERROR( AVERAGE(IF(DATOS_[Sexo]=$B67,IF(DATOS_[[AGRUP. CLAS. PROF.]:[AGRUP. CLAS. PROF.]]=$B66,IF(DATOS_[Check Equiparado]="Sí",IF(DATOS_[Check Periodo Ref.]="Dentro",DATOS_[Tot Extrasalarial Eq],0))))), 0)</f>
        <v>0</v>
      </c>
      <c r="AV67" s="298" t="n">
        <f aca="false" t="array" ref="AV67:AV67">IFERROR( AVERAGE(IF(DATOS_[Sexo]=$B67,IF(DATOS_[[AGRUP. CLAS. PROF.]:[AGRUP. CLAS. PROF.]]=$B66,IF(DATOS_[Check Equiparado]="Sí",IF(DATOS_[Check Periodo Ref.]="Dentro",DATOS_[TOTAL Retrib Eq],0))))), 0)</f>
        <v>0</v>
      </c>
    </row>
    <row r="68" customFormat="false" ht="14.25" hidden="false" customHeight="false" outlineLevel="0" collapsed="false">
      <c r="A68" s="166" t="str">
        <f aca="false">+A67</f>
        <v>[ocultar]</v>
      </c>
      <c r="B68" s="289" t="s">
        <v>372</v>
      </c>
      <c r="C68" s="290" t="n">
        <f aca="false" t="array" ref="C68:C68">SUM(IF($B68=DATOS_[Sexo], IF($B66=DATOS_[AGRUP. CLAS. PROF.], IF("Dentro"=DATOS_[Check Periodo Ref.], 1/(COUNTIFS(DATOS_[Sexo],$B68,DATOS_[AGRUP. CLAS. PROF.],$B66,DATOS_[Check Periodo Ref.],"Dentro",DATOS_[id],DATOS_[id]))))))</f>
        <v>0</v>
      </c>
      <c r="D68" s="291" t="n">
        <f aca="false">COUNTIFS(DATOS_[AGRUP. CLAS. PROF.],$B66,DATOS_[Sexo],$B68,DATOS_[Check Periodo Ref.],"Dentro")</f>
        <v>0</v>
      </c>
      <c r="E68" s="291" t="n">
        <f aca="false">COUNTIFS(DATOS_[AGRUP. CLAS. PROF.],$B66,DATOS_[Sexo],$B68,DATOS_[Check Periodo Ref.],"Dentro",DATOS_[Check Nº SC Norm],"Sí")</f>
        <v>0</v>
      </c>
      <c r="F68" s="291" t="n">
        <f aca="false">COUNTIFS(DATOS_[AGRUP. CLAS. PROF.],$B66,DATOS_[Sexo],$B68,DATOS_[Check Periodo Ref.],"Dentro",DATOS_[Check Nº SC Anualiz],"Sí")</f>
        <v>0</v>
      </c>
      <c r="G68" s="291" t="n">
        <f aca="false">COUNTIFS(DATOS_[AGRUP. CLAS. PROF.],$B66,DATOS_[Sexo],$B68,DATOS_[Check Periodo Ref.],"Dentro",DATOS_[Check Nº SC Norm y Anualiz],"Sí")</f>
        <v>0</v>
      </c>
      <c r="H68" s="291" t="n">
        <f aca="false">COUNTIFS(DATOS_[AGRUP. CLAS. PROF.],$B66,DATOS_[Sexo],$B68,DATOS_[Check Periodo Ref.],"Dentro",DATOS_[Check Equiparación],"Sí")</f>
        <v>0</v>
      </c>
      <c r="I68" s="292" t="n">
        <f aca="false" t="array" ref="I68:I68">IFERROR( AVERAGE(IF(DATOS_[Sexo]=$B68,IF(DATOS_[[AGRUP. CLAS. PROF.]:[AGRUP. CLAS. PROF.]]=$B66,IF(DATOS_[Check Equiparado]="Sí",IF(DATOS_[Check Periodo Ref.]="Dentro",DATOS_[SALARIO BASE Eq],0))))), 0)</f>
        <v>0</v>
      </c>
      <c r="J68" s="302" t="n">
        <f aca="false" t="array" ref="J68:J68">IFERROR( (AVERAGE((IF(DATOS_[[Sexo]:[Sexo]]=$B68,IF(DATOS_[[AGRUP. CLAS. PROF.]:[AGRUP. CLAS. PROF.]]=$B66,IF(DATOS_[[Check Periodo Ref.]:[Check Periodo Ref.]]="Dentro",IF(DATOS_[[Check Equiparado]:[Check Equiparado]]="Sí",IF(DATOS!AE$4="Sí",(1/DATOS_[[% anualiz]:[% anualiz]]),1)*IF(DATOS!AE$5="Sí",1/DATOS_[[% normaliz]:[% normaliz]],1)*(DATOS_[Conc.Sal.01])))))))), 0)</f>
        <v>0</v>
      </c>
      <c r="K68" s="302" t="n">
        <f aca="false" t="array" ref="K68:K68">IFERROR( (AVERAGE((IF(DATOS_[[Sexo]:[Sexo]]=$B68,IF(DATOS_[[AGRUP. CLAS. PROF.]:[AGRUP. CLAS. PROF.]]=$B66,IF(DATOS_[[Check Periodo Ref.]:[Check Periodo Ref.]]="Dentro",IF(DATOS_[[Check Equiparado]:[Check Equiparado]]="Sí",IF(DATOS!AF$4="Sí",(1/DATOS_[[% anualiz]:[% anualiz]]),1)*IF(DATOS!AF$5="Sí",1/DATOS_[[% normaliz]:[% normaliz]],1)*(DATOS_[Conc.Sal.02])))))))), 0)</f>
        <v>0</v>
      </c>
      <c r="L68" s="302" t="n">
        <f aca="false" t="array" ref="L68:L68">IFERROR( (AVERAGE((IF(DATOS_[[Sexo]:[Sexo]]=$B68,IF(DATOS_[[AGRUP. CLAS. PROF.]:[AGRUP. CLAS. PROF.]]=$B66,IF(DATOS_[[Check Periodo Ref.]:[Check Periodo Ref.]]="Dentro",IF(DATOS_[[Check Equiparado]:[Check Equiparado]]="Sí",IF(DATOS!AG$4="Sí",(1/DATOS_[[% anualiz]:[% anualiz]]),1)*IF(DATOS!AG$5="Sí",1/DATOS_[[% normaliz]:[% normaliz]],1)*(DATOS_[Conc.Sal.03])))))))), 0)</f>
        <v>0</v>
      </c>
      <c r="M68" s="302" t="n">
        <f aca="false" t="array" ref="M68:M68">IFERROR( (AVERAGE((IF(DATOS_[[Sexo]:[Sexo]]=$B68,IF(DATOS_[[AGRUP. CLAS. PROF.]:[AGRUP. CLAS. PROF.]]=$B66,IF(DATOS_[[Check Periodo Ref.]:[Check Periodo Ref.]]="Dentro",IF(DATOS_[[Check Equiparado]:[Check Equiparado]]="Sí",IF(DATOS!AH$4="Sí",(1/DATOS_[[% anualiz]:[% anualiz]]),1)*IF(DATOS!AH$5="Sí",1/DATOS_[[% normaliz]:[% normaliz]],1)*(DATOS_[Conc.Sal.04])))))))), 0)</f>
        <v>0</v>
      </c>
      <c r="N68" s="302" t="n">
        <f aca="false" t="array" ref="N68:N68">IFERROR( (AVERAGE((IF(DATOS_[[Sexo]:[Sexo]]=$B68,IF(DATOS_[[AGRUP. CLAS. PROF.]:[AGRUP. CLAS. PROF.]]=$B66,IF(DATOS_[[Check Periodo Ref.]:[Check Periodo Ref.]]="Dentro",IF(DATOS_[[Check Equiparado]:[Check Equiparado]]="Sí",IF(DATOS!AI$4="Sí",(1/DATOS_[[% anualiz]:[% anualiz]]),1)*IF(DATOS!AI$5="Sí",1/DATOS_[[% normaliz]:[% normaliz]],1)*(DATOS_[Conc.Sal.05])))))))), 0)</f>
        <v>0</v>
      </c>
      <c r="O68" s="302" t="n">
        <f aca="false" t="array" ref="O68:O68">IFERROR( (AVERAGE((IF(DATOS_[[Sexo]:[Sexo]]=$B68,IF(DATOS_[[AGRUP. CLAS. PROF.]:[AGRUP. CLAS. PROF.]]=$B66,IF(DATOS_[[Check Periodo Ref.]:[Check Periodo Ref.]]="Dentro",IF(DATOS_[[Check Equiparado]:[Check Equiparado]]="Sí",IF(DATOS!AJ$4="Sí",(1/DATOS_[[% anualiz]:[% anualiz]]),1)*IF(DATOS!AJ$5="Sí",1/DATOS_[[% normaliz]:[% normaliz]],1)*(DATOS_[Conc.Sal.06])))))))), 0)</f>
        <v>0</v>
      </c>
      <c r="P68" s="302" t="n">
        <f aca="false" t="array" ref="P68:P68">IFERROR( (AVERAGE((IF(DATOS_[[Sexo]:[Sexo]]=$B68,IF(DATOS_[[AGRUP. CLAS. PROF.]:[AGRUP. CLAS. PROF.]]=$B66,IF(DATOS_[[Check Periodo Ref.]:[Check Periodo Ref.]]="Dentro",IF(DATOS_[[Check Equiparado]:[Check Equiparado]]="Sí",IF(DATOS!AK$4="Sí",(1/DATOS_[[% anualiz]:[% anualiz]]),1)*IF(DATOS!AK$5="Sí",1/DATOS_[[% normaliz]:[% normaliz]],1)*(DATOS_[Conc.Sal.07])))))))), 0)</f>
        <v>0</v>
      </c>
      <c r="Q68" s="302" t="n">
        <f aca="false" t="array" ref="Q68:Q68">IFERROR( (AVERAGE((IF(DATOS_[[Sexo]:[Sexo]]=$B68,IF(DATOS_[[AGRUP. CLAS. PROF.]:[AGRUP. CLAS. PROF.]]=$B66,IF(DATOS_[[Check Periodo Ref.]:[Check Periodo Ref.]]="Dentro",IF(DATOS_[[Check Equiparado]:[Check Equiparado]]="Sí",IF(DATOS!AL$4="Sí",(1/DATOS_[[% anualiz]:[% anualiz]]),1)*IF(DATOS!AL$5="Sí",1/DATOS_[[% normaliz]:[% normaliz]],1)*(DATOS_[Conc.Sal.08])))))))), 0)</f>
        <v>0</v>
      </c>
      <c r="R68" s="302" t="n">
        <f aca="false" t="array" ref="R68:R68">IFERROR( (AVERAGE((IF(DATOS_[[Sexo]:[Sexo]]=$B68,IF(DATOS_[[AGRUP. CLAS. PROF.]:[AGRUP. CLAS. PROF.]]=$B66,IF(DATOS_[[Check Periodo Ref.]:[Check Periodo Ref.]]="Dentro",IF(DATOS_[[Check Equiparado]:[Check Equiparado]]="Sí",IF(DATOS!AM$4="Sí",(1/DATOS_[[% anualiz]:[% anualiz]]),1)*IF(DATOS!AM$5="Sí",1/DATOS_[[% normaliz]:[% normaliz]],1)*(DATOS_[Conc.Sal.09])))))))), 0)</f>
        <v>0</v>
      </c>
      <c r="S68" s="302" t="n">
        <f aca="false" t="array" ref="S68:S68">IFERROR( (AVERAGE((IF(DATOS_[[Sexo]:[Sexo]]=$B68,IF(DATOS_[[AGRUP. CLAS. PROF.]:[AGRUP. CLAS. PROF.]]=$B66,IF(DATOS_[[Check Periodo Ref.]:[Check Periodo Ref.]]="Dentro",IF(DATOS_[[Check Equiparado]:[Check Equiparado]]="Sí",IF(DATOS!AN$4="Sí",(1/DATOS_[[% anualiz]:[% anualiz]]),1)*IF(DATOS!AN$5="Sí",1/DATOS_[[% normaliz]:[% normaliz]],1)*(DATOS_[Conc.Sal.10])))))))), 0)</f>
        <v>0</v>
      </c>
      <c r="T68" s="302" t="n">
        <f aca="false" t="array" ref="T68:T68">IFERROR( (AVERAGE((IF(DATOS_[[Sexo]:[Sexo]]=$B68,IF(DATOS_[[AGRUP. CLAS. PROF.]:[AGRUP. CLAS. PROF.]]=$B66,IF(DATOS_[[Check Periodo Ref.]:[Check Periodo Ref.]]="Dentro",IF(DATOS_[[Check Equiparado]:[Check Equiparado]]="Sí",IF(DATOS!AO$4="Sí",(1/DATOS_[[% anualiz]:[% anualiz]]),1)*IF(DATOS!AO$5="Sí",1/DATOS_[[% normaliz]:[% normaliz]],1)*(DATOS_[Conc.Sal.11])))))))), 0)</f>
        <v>0</v>
      </c>
      <c r="U68" s="302" t="n">
        <f aca="false" t="array" ref="U68:U68">IFERROR( (AVERAGE((IF(DATOS_[[Sexo]:[Sexo]]=$B68,IF(DATOS_[[AGRUP. CLAS. PROF.]:[AGRUP. CLAS. PROF.]]=$B66,IF(DATOS_[[Check Periodo Ref.]:[Check Periodo Ref.]]="Dentro",IF(DATOS_[[Check Equiparado]:[Check Equiparado]]="Sí",IF(DATOS!AP$4="Sí",(1/DATOS_[[% anualiz]:[% anualiz]]),1)*IF(DATOS!AP$5="Sí",1/DATOS_[[% normaliz]:[% normaliz]],1)*(DATOS_[Conc.Sal.12])))))))), 0)</f>
        <v>0</v>
      </c>
      <c r="V68" s="302" t="n">
        <f aca="false" t="array" ref="V68:V68">IFERROR( (AVERAGE((IF(DATOS_[[Sexo]:[Sexo]]=$B68,IF(DATOS_[[AGRUP. CLAS. PROF.]:[AGRUP. CLAS. PROF.]]=$B66,IF(DATOS_[[Check Periodo Ref.]:[Check Periodo Ref.]]="Dentro",IF(DATOS_[[Check Equiparado]:[Check Equiparado]]="Sí",IF(DATOS!AQ$4="Sí",(1/DATOS_[[% anualiz]:[% anualiz]]),1)*IF(DATOS!AQ$5="Sí",1/DATOS_[[% normaliz]:[% normaliz]],1)*(DATOS_[Conc.Sal.13])))))))), 0)</f>
        <v>0</v>
      </c>
      <c r="W68" s="302" t="n">
        <f aca="false" t="array" ref="W68:W68">IFERROR( (AVERAGE((IF(DATOS_[[Sexo]:[Sexo]]=$B68,IF(DATOS_[[AGRUP. CLAS. PROF.]:[AGRUP. CLAS. PROF.]]=$B66,IF(DATOS_[[Check Periodo Ref.]:[Check Periodo Ref.]]="Dentro",IF(DATOS_[[Check Equiparado]:[Check Equiparado]]="Sí",IF(DATOS!AR$4="Sí",(1/DATOS_[[% anualiz]:[% anualiz]]),1)*IF(DATOS!AR$5="Sí",1/DATOS_[[% normaliz]:[% normaliz]],1)*(DATOS_[Conc.Sal.14])))))))), 0)</f>
        <v>0</v>
      </c>
      <c r="X68" s="302" t="n">
        <f aca="false" t="array" ref="X68:X68">IFERROR( (AVERAGE((IF(DATOS_[[Sexo]:[Sexo]]=$B68,IF(DATOS_[[AGRUP. CLAS. PROF.]:[AGRUP. CLAS. PROF.]]=$B66,IF(DATOS_[[Check Periodo Ref.]:[Check Periodo Ref.]]="Dentro",IF(DATOS_[[Check Equiparado]:[Check Equiparado]]="Sí",IF(DATOS!AS$4="Sí",(1/DATOS_[[% anualiz]:[% anualiz]]),1)*IF(DATOS!AS$5="Sí",1/DATOS_[[% normaliz]:[% normaliz]],1)*(DATOS_[Conc.Sal.15])))))))), 0)</f>
        <v>0</v>
      </c>
      <c r="Y68" s="302" t="n">
        <f aca="false" t="array" ref="Y68:Y68">IFERROR( (AVERAGE((IF(DATOS_[[Sexo]:[Sexo]]=$B68,IF(DATOS_[[AGRUP. CLAS. PROF.]:[AGRUP. CLAS. PROF.]]=$B66,IF(DATOS_[[Check Periodo Ref.]:[Check Periodo Ref.]]="Dentro",IF(DATOS_[[Check Equiparado]:[Check Equiparado]]="Sí",IF(DATOS!AT$4="Sí",(1/DATOS_[[% anualiz]:[% anualiz]]),1)*IF(DATOS!AT$5="Sí",1/DATOS_[[% normaliz]:[% normaliz]],1)*(DATOS_[Conc.Sal.16])))))))), 0)</f>
        <v>0</v>
      </c>
      <c r="Z68" s="302" t="n">
        <f aca="false" t="array" ref="Z68:Z68">IFERROR( (AVERAGE((IF(DATOS_[[Sexo]:[Sexo]]=$B68,IF(DATOS_[[AGRUP. CLAS. PROF.]:[AGRUP. CLAS. PROF.]]=$B66,IF(DATOS_[[Check Periodo Ref.]:[Check Periodo Ref.]]="Dentro",IF(DATOS_[[Check Equiparado]:[Check Equiparado]]="Sí",IF(DATOS!AU$4="Sí",(1/DATOS_[[% anualiz]:[% anualiz]]),1)*IF(DATOS!AU$5="Sí",1/DATOS_[[% normaliz]:[% normaliz]],1)*(DATOS_[Conc.Sal.17])))))))), 0)</f>
        <v>0</v>
      </c>
      <c r="AA68" s="302" t="n">
        <f aca="false" t="array" ref="AA68:AA68">IFERROR( (AVERAGE((IF(DATOS_[[Sexo]:[Sexo]]=$B68,IF(DATOS_[[AGRUP. CLAS. PROF.]:[AGRUP. CLAS. PROF.]]=$B66,IF(DATOS_[[Check Periodo Ref.]:[Check Periodo Ref.]]="Dentro",IF(DATOS_[[Check Equiparado]:[Check Equiparado]]="Sí",IF(DATOS!AV$4="Sí",(1/DATOS_[[% anualiz]:[% anualiz]]),1)*IF(DATOS!AV$5="Sí",1/DATOS_[[% normaliz]:[% normaliz]],1)*(DATOS_[Conc.Sal.18])))))))), 0)</f>
        <v>0</v>
      </c>
      <c r="AB68" s="302" t="n">
        <f aca="false" t="array" ref="AB68:AB68">IFERROR( (AVERAGE((IF(DATOS_[[Sexo]:[Sexo]]=$B68,IF(DATOS_[[AGRUP. CLAS. PROF.]:[AGRUP. CLAS. PROF.]]=$B66,IF(DATOS_[[Check Periodo Ref.]:[Check Periodo Ref.]]="Dentro",IF(DATOS_[[Check Equiparado]:[Check Equiparado]]="Sí",IF(DATOS!AW$4="Sí",(1/DATOS_[[% anualiz]:[% anualiz]]),1)*IF(DATOS!AW$5="Sí",1/DATOS_[[% normaliz]:[% normaliz]],1)*(DATOS_[Conc.Sal.19])))))))), 0)</f>
        <v>0</v>
      </c>
      <c r="AC68" s="302" t="n">
        <f aca="false" t="array" ref="AC68:AC68">IFERROR( (AVERAGE((IF(DATOS_[[Sexo]:[Sexo]]=$B68,IF(DATOS_[[AGRUP. CLAS. PROF.]:[AGRUP. CLAS. PROF.]]=$B66,IF(DATOS_[[Check Periodo Ref.]:[Check Periodo Ref.]]="Dentro",IF(DATOS_[[Check Equiparado]:[Check Equiparado]]="Sí",IF(DATOS!AX$4="Sí",(1/DATOS_[[% anualiz]:[% anualiz]]),1)*IF(DATOS!AX$5="Sí",1/DATOS_[[% normaliz]:[% normaliz]],1)*(DATOS_[Conc.Sal.20])))))))), 0)</f>
        <v>0</v>
      </c>
      <c r="AD68" s="302" t="n">
        <f aca="false" t="array" ref="AD68:AD68">IFERROR( (AVERAGE((IF(DATOS_[[Sexo]:[Sexo]]=$B68,IF(DATOS_[[AGRUP. CLAS. PROF.]:[AGRUP. CLAS. PROF.]]=$B66,IF(DATOS_[[Check Periodo Ref.]:[Check Periodo Ref.]]="Dentro",IF(DATOS_[[Check Equiparado]:[Check Equiparado]]="Sí",IF(DATOS!AY$4="Sí",(1/DATOS_[[% anualiz]:[% anualiz]]),1)*IF(DATOS!AY$5="Sí",1/DATOS_[[% normaliz]:[% normaliz]],1)*(DATOS_[Conc.Sal.21])))))))), 0)</f>
        <v>0</v>
      </c>
      <c r="AE68" s="302" t="n">
        <f aca="false" t="array" ref="AE68:AE68">IFERROR( (AVERAGE((IF(DATOS_[[Sexo]:[Sexo]]=$B68,IF(DATOS_[[AGRUP. CLAS. PROF.]:[AGRUP. CLAS. PROF.]]=$B66,IF(DATOS_[[Check Periodo Ref.]:[Check Periodo Ref.]]="Dentro",IF(DATOS_[[Check Equiparado]:[Check Equiparado]]="Sí",IF(DATOS!AZ$4="Sí",(1/DATOS_[[% anualiz]:[% anualiz]]),1)*IF(DATOS!AZ$5="Sí",1/DATOS_[[% normaliz]:[% normaliz]],1)*(DATOS_[Conc.Sal.22])))))))), 0)</f>
        <v>0</v>
      </c>
      <c r="AF68" s="302" t="n">
        <f aca="false" t="array" ref="AF68:AF68">IFERROR( (AVERAGE((IF(DATOS_[[Sexo]:[Sexo]]=$B68,IF(DATOS_[[AGRUP. CLAS. PROF.]:[AGRUP. CLAS. PROF.]]=$B66,IF(DATOS_[[Check Periodo Ref.]:[Check Periodo Ref.]]="Dentro",IF(DATOS_[[Check Equiparado]:[Check Equiparado]]="Sí",IF(DATOS!BA$4="Sí",(1/DATOS_[[% anualiz]:[% anualiz]]),1)*IF(DATOS!BA$5="Sí",1/DATOS_[[% normaliz]:[% normaliz]],1)*(DATOS_[Conc.Sal.23])))))))), 0)</f>
        <v>0</v>
      </c>
      <c r="AG68" s="302" t="n">
        <f aca="false" t="array" ref="AG68:AG68">IFERROR( (AVERAGE((IF(DATOS_[[Sexo]:[Sexo]]=$B68,IF(DATOS_[[AGRUP. CLAS. PROF.]:[AGRUP. CLAS. PROF.]]=$B66,IF(DATOS_[[Check Periodo Ref.]:[Check Periodo Ref.]]="Dentro",IF(DATOS_[[Check Equiparado]:[Check Equiparado]]="Sí",IF(DATOS!BB$4="Sí",(1/DATOS_[[% anualiz]:[% anualiz]]),1)*IF(DATOS!BB$5="Sí",1/DATOS_[[% normaliz]:[% normaliz]],1)*(DATOS_[Conc.Sal.24])))))))), 0)</f>
        <v>0</v>
      </c>
      <c r="AH68" s="302" t="n">
        <f aca="false" t="array" ref="AH68:AH68">IFERROR( (AVERAGE((IF(DATOS_[[Sexo]:[Sexo]]=$B68,IF(DATOS_[[AGRUP. CLAS. PROF.]:[AGRUP. CLAS. PROF.]]=$B66,IF(DATOS_[[Check Periodo Ref.]:[Check Periodo Ref.]]="Dentro",IF(DATOS_[[Check Equiparado]:[Check Equiparado]]="Sí",IF(DATOS!BC$4="Sí",(1/DATOS_[[% anualiz]:[% anualiz]]),1)*IF(DATOS!BC$5="Sí",1/DATOS_[[% normaliz]:[% normaliz]],1)*(DATOS_[Conc.Sal.25])))))))), 0)</f>
        <v>0</v>
      </c>
      <c r="AI68" s="302" t="n">
        <f aca="false" t="array" ref="AI68:AI68">IFERROR( (AVERAGE((IF(DATOS_[[Sexo]:[Sexo]]=$B68,IF(DATOS_[[AGRUP. CLAS. PROF.]:[AGRUP. CLAS. PROF.]]=$B66,IF(DATOS_[[Check Periodo Ref.]:[Check Periodo Ref.]]="Dentro",IF(DATOS_[[Check Equiparado]:[Check Equiparado]]="Sí",IF(DATOS!BD$4="Sí",(1/DATOS_[[% anualiz]:[% anualiz]]),1)*IF(DATOS!BD$5="Sí",1/DATOS_[[% normaliz]:[% normaliz]],1)*(DATOS_[Conc.Sal.26])))))))), 0)</f>
        <v>0</v>
      </c>
      <c r="AJ68" s="302" t="n">
        <f aca="false" t="array" ref="AJ68:AJ68">IFERROR( (AVERAGE((IF(DATOS_[[Sexo]:[Sexo]]=$B68,IF(DATOS_[[AGRUP. CLAS. PROF.]:[AGRUP. CLAS. PROF.]]=$B66,IF(DATOS_[[Check Periodo Ref.]:[Check Periodo Ref.]]="Dentro",IF(DATOS_[[Check Equiparado]:[Check Equiparado]]="Sí",IF(DATOS!BE$4="Sí",(1/DATOS_[[% anualiz]:[% anualiz]]),1)*IF(DATOS!BE$5="Sí",1/DATOS_[[% normaliz]:[% normaliz]],1)*(DATOS_[Conc.Sal.27])))))))), 0)</f>
        <v>0</v>
      </c>
      <c r="AK68" s="302" t="n">
        <f aca="false" t="array" ref="AK68:AK68">IFERROR( (AVERAGE((IF(DATOS_[[Sexo]:[Sexo]]=$B68,IF(DATOS_[[AGRUP. CLAS. PROF.]:[AGRUP. CLAS. PROF.]]=$B66,IF(DATOS_[[Check Periodo Ref.]:[Check Periodo Ref.]]="Dentro",IF(DATOS_[[Check Equiparado]:[Check Equiparado]]="Sí",IF(DATOS!BF$4="Sí",(1/DATOS_[[% anualiz]:[% anualiz]]),1)*IF(DATOS!BF$5="Sí",1/DATOS_[[% normaliz]:[% normaliz]],1)*(DATOS_[Conc.Sal.28])))))))), 0)</f>
        <v>0</v>
      </c>
      <c r="AL68" s="302" t="n">
        <f aca="false" t="array" ref="AL68:AL68">IFERROR( (AVERAGE((IF(DATOS_[[Sexo]:[Sexo]]=$B68,IF(DATOS_[[AGRUP. CLAS. PROF.]:[AGRUP. CLAS. PROF.]]=$B66,IF(DATOS_[[Check Periodo Ref.]:[Check Periodo Ref.]]="Dentro",IF(DATOS_[[Check Equiparado]:[Check Equiparado]]="Sí",IF(DATOS!BG$4="Sí",(1/DATOS_[[% anualiz]:[% anualiz]]),1)*IF(DATOS!BG$5="Sí",1/DATOS_[[% normaliz]:[% normaliz]],1)*(DATOS_[Conc.Sal.29])))))))), 0)</f>
        <v>0</v>
      </c>
      <c r="AM68" s="302" t="n">
        <f aca="false" t="array" ref="AM68:AM68">IFERROR( (AVERAGE((IF(DATOS_[[Sexo]:[Sexo]]=$B68,IF(DATOS_[[AGRUP. CLAS. PROF.]:[AGRUP. CLAS. PROF.]]=$B66,IF(DATOS_[[Check Periodo Ref.]:[Check Periodo Ref.]]="Dentro",IF(DATOS_[[Check Equiparado]:[Check Equiparado]]="Sí",IF(DATOS!BH$4="Sí",(1/DATOS_[[% anualiz]:[% anualiz]]),1)*IF(DATOS!BH$5="Sí",1/DATOS_[[% normaliz]:[% normaliz]],1)*(DATOS_[Conc.Sal.30])))))))), 0)</f>
        <v>0</v>
      </c>
      <c r="AN68" s="294" t="n">
        <f aca="false" t="array" ref="AN68:AN68">IFERROR( AVERAGE(IF(DATOS_[Sexo]=$B68,IF(DATOS_[[AGRUP. CLAS. PROF.]:[AGRUP. CLAS. PROF.]]=$B66,IF(DATOS_[Check Equiparado]="Sí",IF(DATOS_[Check Periodo Ref.]="Dentro",DATOS_[Tot COMPL.SAL Eq],0))))), 0)</f>
        <v>0</v>
      </c>
      <c r="AO68" s="295" t="n">
        <f aca="false" t="array" ref="AO68:AO68">IFERROR( AVERAGE(IF(DATOS_[Sexo]=$B68,IF(DATOS_[[AGRUP. CLAS. PROF.]:[AGRUP. CLAS. PROF.]]=$B66,IF(DATOS_[Check Equiparado]="Sí",IF(DATOS_[Check Periodo Ref.]="Dentro",DATOS_[TOTAL SALARIO Eq],0))))), 0)</f>
        <v>0</v>
      </c>
      <c r="AP68" s="303" t="n">
        <f aca="false" t="array" ref="AP68:AP68">IFERROR( (AVERAGE((IF(DATOS_[[Sexo]:[Sexo]]=$B68,IF(DATOS_[[AGRUP. CLAS. PROF.]:[AGRUP. CLAS. PROF.]]=$B67,IF(DATOS_[[Check Periodo Ref.]:[Check Periodo Ref.]]="Dentro",IF(DATOS_[[Check Equiparado]:[Check Equiparado]]="Sí",IF(DATOS!BI$4="Sí",(1/DATOS_[[% anualiz]:[% anualiz]]),1)*IF(DATOS!BI$5="Sí",1/DATOS_[[% normaliz]:[% normaliz]],1)*(DATOS_[C.Extra.01])))))))), 0)</f>
        <v>0</v>
      </c>
      <c r="AQ68" s="303" t="n">
        <f aca="false" t="array" ref="AQ68:AQ68">IFERROR( (AVERAGE((IF(DATOS_[[Sexo]:[Sexo]]=$B68,IF(DATOS_[[AGRUP. CLAS. PROF.]:[AGRUP. CLAS. PROF.]]=$B67,IF(DATOS_[[Check Periodo Ref.]:[Check Periodo Ref.]]="Dentro",IF(DATOS_[[Check Equiparado]:[Check Equiparado]]="Sí",IF(DATOS!BJ$4="Sí",(1/DATOS_[[% anualiz]:[% anualiz]]),1)*IF(DATOS!BJ$5="Sí",1/DATOS_[[% normaliz]:[% normaliz]],1)*(DATOS_[C.Extra.02])))))))), 0)</f>
        <v>0</v>
      </c>
      <c r="AR68" s="303" t="n">
        <f aca="false" t="array" ref="AR68:AR68">IFERROR( (AVERAGE((IF(DATOS_[[Sexo]:[Sexo]]=$B68,IF(DATOS_[[AGRUP. CLAS. PROF.]:[AGRUP. CLAS. PROF.]]=$B67,IF(DATOS_[[Check Periodo Ref.]:[Check Periodo Ref.]]="Dentro",IF(DATOS_[[Check Equiparado]:[Check Equiparado]]="Sí",IF(DATOS!BK$4="Sí",(1/DATOS_[[% anualiz]:[% anualiz]]),1)*IF(DATOS!BK$5="Sí",1/DATOS_[[% normaliz]:[% normaliz]],1)*(DATOS_[C.Extra.03])))))))), 0)</f>
        <v>0</v>
      </c>
      <c r="AS68" s="303" t="n">
        <f aca="false" t="array" ref="AS68:AS68">IFERROR( (AVERAGE((IF(DATOS_[[Sexo]:[Sexo]]=$B68,IF(DATOS_[[AGRUP. CLAS. PROF.]:[AGRUP. CLAS. PROF.]]=$B67,IF(DATOS_[[Check Periodo Ref.]:[Check Periodo Ref.]]="Dentro",IF(DATOS_[[Check Equiparado]:[Check Equiparado]]="Sí",IF(DATOS!BL$4="Sí",(1/DATOS_[[% anualiz]:[% anualiz]]),1)*IF(DATOS!BL$5="Sí",1/DATOS_[[% normaliz]:[% normaliz]],1)*(DATOS_[C.Extra.04])))))))), 0)</f>
        <v>0</v>
      </c>
      <c r="AT68" s="303" t="n">
        <f aca="false" t="array" ref="AT68:AT68">IFERROR( (AVERAGE((IF(DATOS_[[Sexo]:[Sexo]]=$B68,IF(DATOS_[[AGRUP. CLAS. PROF.]:[AGRUP. CLAS. PROF.]]=$B67,IF(DATOS_[[Check Periodo Ref.]:[Check Periodo Ref.]]="Dentro",IF(DATOS_[[Check Equiparado]:[Check Equiparado]]="Sí",IF(DATOS!BM$4="Sí",(1/DATOS_[[% anualiz]:[% anualiz]]),1)*IF(DATOS!BM$5="Sí",1/DATOS_[[% normaliz]:[% normaliz]],1)*(DATOS_[C.Extra.05])))))))), 0)</f>
        <v>0</v>
      </c>
      <c r="AU68" s="297" t="n">
        <f aca="false" t="array" ref="AU68:AU68">IFERROR( AVERAGE(IF(DATOS_[Sexo]=$B68,IF(DATOS_[[AGRUP. CLAS. PROF.]:[AGRUP. CLAS. PROF.]]=$B66,IF(DATOS_[Check Equiparado]="Sí",IF(DATOS_[Check Periodo Ref.]="Dentro",DATOS_[Tot Extrasalarial Eq],0))))), 0)</f>
        <v>0</v>
      </c>
      <c r="AV68" s="298" t="n">
        <f aca="false" t="array" ref="AV68:AV68">IFERROR( AVERAGE(IF(DATOS_[Sexo]=$B68,IF(DATOS_[[AGRUP. CLAS. PROF.]:[AGRUP. CLAS. PROF.]]=$B66,IF(DATOS_[Check Equiparado]="Sí",IF(DATOS_[Check Periodo Ref.]="Dentro",DATOS_[TOTAL Retrib Eq],0))))), 0)</f>
        <v>0</v>
      </c>
    </row>
    <row r="69" customFormat="false" ht="15.75" hidden="false" customHeight="false" outlineLevel="0" collapsed="false">
      <c r="A69" s="166" t="str">
        <f aca="false">+A70</f>
        <v>[ocultar]</v>
      </c>
      <c r="B69" s="276" t="s">
        <v>222</v>
      </c>
      <c r="C69" s="277"/>
      <c r="D69" s="278"/>
      <c r="E69" s="278"/>
      <c r="F69" s="278"/>
      <c r="G69" s="278"/>
      <c r="H69" s="278"/>
      <c r="I69" s="279" t="str">
        <f aca="false">IFERROR((I70-I71)/I70,"")</f>
        <v/>
      </c>
      <c r="J69" s="280" t="str">
        <f aca="false">IFERROR((J70-J71)/J70,"")</f>
        <v/>
      </c>
      <c r="K69" s="281" t="str">
        <f aca="false">IFERROR((K70-K71)/K70,"")</f>
        <v/>
      </c>
      <c r="L69" s="281" t="str">
        <f aca="false">IFERROR((L70-L71)/L70,"")</f>
        <v/>
      </c>
      <c r="M69" s="281" t="str">
        <f aca="false">IFERROR((M70-M71)/M70,"")</f>
        <v/>
      </c>
      <c r="N69" s="282" t="str">
        <f aca="false">IFERROR((N70-N71)/N70,"")</f>
        <v/>
      </c>
      <c r="O69" s="283" t="str">
        <f aca="false">IFERROR((O70-O71)/O70,"")</f>
        <v/>
      </c>
      <c r="P69" s="283" t="str">
        <f aca="false">IFERROR((P70-P71)/P70,"")</f>
        <v/>
      </c>
      <c r="Q69" s="283" t="str">
        <f aca="false">IFERROR((Q70-Q71)/Q70,"")</f>
        <v/>
      </c>
      <c r="R69" s="283" t="str">
        <f aca="false">IFERROR((R70-R71)/R70,"")</f>
        <v/>
      </c>
      <c r="S69" s="283" t="str">
        <f aca="false">IFERROR((S70-S71)/S70,"")</f>
        <v/>
      </c>
      <c r="T69" s="283" t="str">
        <f aca="false">IFERROR((T70-T71)/T70,"")</f>
        <v/>
      </c>
      <c r="U69" s="283" t="str">
        <f aca="false">IFERROR((U70-U71)/U70,"")</f>
        <v/>
      </c>
      <c r="V69" s="283" t="str">
        <f aca="false">IFERROR((V70-V71)/V70,"")</f>
        <v/>
      </c>
      <c r="W69" s="283" t="str">
        <f aca="false">IFERROR((W70-W71)/W70,"")</f>
        <v/>
      </c>
      <c r="X69" s="283" t="str">
        <f aca="false">IFERROR((X70-X71)/X70,"")</f>
        <v/>
      </c>
      <c r="Y69" s="283" t="str">
        <f aca="false">IFERROR((Y70-Y71)/Y70,"")</f>
        <v/>
      </c>
      <c r="Z69" s="282" t="str">
        <f aca="false">IFERROR((Z70-Z71)/Z70,"")</f>
        <v/>
      </c>
      <c r="AA69" s="282" t="str">
        <f aca="false">IFERROR((AA70-AA71)/AA70,"")</f>
        <v/>
      </c>
      <c r="AB69" s="282" t="str">
        <f aca="false">IFERROR((AB70-AB71)/AB70,"")</f>
        <v/>
      </c>
      <c r="AC69" s="282" t="str">
        <f aca="false">IFERROR((AC70-AC71)/AC70,"")</f>
        <v/>
      </c>
      <c r="AD69" s="282" t="str">
        <f aca="false">IFERROR((AD70-AD71)/AD70,"")</f>
        <v/>
      </c>
      <c r="AE69" s="282" t="str">
        <f aca="false">IFERROR((AE70-AE71)/AE70,"")</f>
        <v/>
      </c>
      <c r="AF69" s="282" t="str">
        <f aca="false">IFERROR((AF70-AF71)/AF70,"")</f>
        <v/>
      </c>
      <c r="AG69" s="282" t="str">
        <f aca="false">IFERROR((AG70-AG71)/AG70,"")</f>
        <v/>
      </c>
      <c r="AH69" s="282" t="str">
        <f aca="false">IFERROR((AH70-AH71)/AH70,"")</f>
        <v/>
      </c>
      <c r="AI69" s="282" t="str">
        <f aca="false">IFERROR((AI70-AI71)/AI70,"")</f>
        <v/>
      </c>
      <c r="AJ69" s="282" t="str">
        <f aca="false">IFERROR((AJ70-AJ71)/AJ70,"")</f>
        <v/>
      </c>
      <c r="AK69" s="282" t="str">
        <f aca="false">IFERROR((AK70-AK71)/AK70,"")</f>
        <v/>
      </c>
      <c r="AL69" s="282" t="str">
        <f aca="false">IFERROR((AL70-AL71)/AL70,"")</f>
        <v/>
      </c>
      <c r="AM69" s="282" t="str">
        <f aca="false">IFERROR((AM70-AM71)/AM70,"")</f>
        <v/>
      </c>
      <c r="AN69" s="284" t="str">
        <f aca="false">IFERROR((AN70-AN71)/AN70,"")</f>
        <v/>
      </c>
      <c r="AO69" s="285" t="str">
        <f aca="false">IFERROR((AO70-AO71)/AO70,"")</f>
        <v/>
      </c>
      <c r="AP69" s="286" t="str">
        <f aca="false">IFERROR((AP70-AP71)/AP70,"")</f>
        <v/>
      </c>
      <c r="AQ69" s="286" t="str">
        <f aca="false">IFERROR((AQ70-AQ71)/AQ70,"")</f>
        <v/>
      </c>
      <c r="AR69" s="286" t="str">
        <f aca="false">IFERROR((AR70-AR71)/AR70,"")</f>
        <v/>
      </c>
      <c r="AS69" s="286" t="str">
        <f aca="false">IFERROR((AS70-AS71)/AS70,"")</f>
        <v/>
      </c>
      <c r="AT69" s="286" t="str">
        <f aca="false">IFERROR((AT70-AT71)/AT70,"")</f>
        <v/>
      </c>
      <c r="AU69" s="287" t="str">
        <f aca="false">IFERROR((AU70-AU71)/AU70,"")</f>
        <v/>
      </c>
      <c r="AV69" s="288" t="str">
        <f aca="false">IFERROR((AV70-AV71)/AV70,"")</f>
        <v/>
      </c>
    </row>
    <row r="70" customFormat="false" ht="14.25" hidden="false" customHeight="false" outlineLevel="0" collapsed="false">
      <c r="A70" s="166" t="str">
        <f aca="false">+IF(C70+C71=0,"[ocultar]","")</f>
        <v>[ocultar]</v>
      </c>
      <c r="B70" s="289" t="s">
        <v>371</v>
      </c>
      <c r="C70" s="290" t="n">
        <f aca="false" t="array" ref="C70:C70">SUM(IF($B70=DATOS_[Sexo], IF($B69=DATOS_[AGRUP. CLAS. PROF.], IF("Dentro"=DATOS_[Check Periodo Ref.], 1/(COUNTIFS(DATOS_[Sexo],$B70,DATOS_[AGRUP. CLAS. PROF.],$B69,DATOS_[Check Periodo Ref.],"Dentro",DATOS_[id],DATOS_[id]))))))</f>
        <v>0</v>
      </c>
      <c r="D70" s="291" t="n">
        <f aca="false">COUNTIFS(DATOS_[AGRUP. CLAS. PROF.],$B69,DATOS_[Sexo],$B70,DATOS_[Check Periodo Ref.],"Dentro")</f>
        <v>0</v>
      </c>
      <c r="E70" s="291" t="n">
        <f aca="false">COUNTIFS(DATOS_[AGRUP. CLAS. PROF.],$B69,DATOS_[Sexo],$B70,DATOS_[Check Periodo Ref.],"Dentro",DATOS_[Check Nº SC Norm],"Sí")</f>
        <v>0</v>
      </c>
      <c r="F70" s="291" t="n">
        <f aca="false">COUNTIFS(DATOS_[AGRUP. CLAS. PROF.],$B69,DATOS_[Sexo],$B70,DATOS_[Check Periodo Ref.],"Dentro",DATOS_[Check Nº SC Anualiz],"Sí")</f>
        <v>0</v>
      </c>
      <c r="G70" s="291" t="n">
        <f aca="false">COUNTIFS(DATOS_[AGRUP. CLAS. PROF.],$B69,DATOS_[Sexo],$B70,DATOS_[Check Periodo Ref.],"Dentro",DATOS_[Check Nº SC Norm y Anualiz],"Sí")</f>
        <v>0</v>
      </c>
      <c r="H70" s="291" t="n">
        <f aca="false">COUNTIFS(DATOS_[AGRUP. CLAS. PROF.],$B69,DATOS_[Sexo],$B70,DATOS_[Check Periodo Ref.],"Dentro",DATOS_[Check Equiparación],"Sí")</f>
        <v>0</v>
      </c>
      <c r="I70" s="292" t="n">
        <f aca="false" t="array" ref="I70:I70">IFERROR( AVERAGE(IF(DATOS_[Sexo]=$B70,IF(DATOS_[[AGRUP. CLAS. PROF.]:[AGRUP. CLAS. PROF.]]=$B69,IF(DATOS_[Check Equiparado]="Sí",IF(DATOS_[Check Periodo Ref.]="Dentro",DATOS_[SALARIO BASE Eq],0))))), 0)</f>
        <v>0</v>
      </c>
      <c r="J70" s="302" t="n">
        <f aca="false" t="array" ref="J70:J70">IFERROR( (AVERAGE((IF(DATOS_[[Sexo]:[Sexo]]=$B70,IF(DATOS_[[AGRUP. CLAS. PROF.]:[AGRUP. CLAS. PROF.]]=$B69,IF(DATOS_[[Check Periodo Ref.]:[Check Periodo Ref.]]="Dentro",IF(DATOS_[[Check Equiparado]:[Check Equiparado]]="Sí",IF(DATOS!AE$4="Sí",(1/DATOS_[[% anualiz]:[% anualiz]]),1)*IF(DATOS!AE$5="Sí",1/DATOS_[[% normaliz]:[% normaliz]],1)*(DATOS_[Conc.Sal.01])))))))), 0)</f>
        <v>0</v>
      </c>
      <c r="K70" s="302" t="n">
        <f aca="false" t="array" ref="K70:K70">IFERROR( (AVERAGE((IF(DATOS_[[Sexo]:[Sexo]]=$B70,IF(DATOS_[[AGRUP. CLAS. PROF.]:[AGRUP. CLAS. PROF.]]=$B69,IF(DATOS_[[Check Periodo Ref.]:[Check Periodo Ref.]]="Dentro",IF(DATOS_[[Check Equiparado]:[Check Equiparado]]="Sí",IF(DATOS!AF$4="Sí",(1/DATOS_[[% anualiz]:[% anualiz]]),1)*IF(DATOS!AF$5="Sí",1/DATOS_[[% normaliz]:[% normaliz]],1)*(DATOS_[Conc.Sal.02])))))))), 0)</f>
        <v>0</v>
      </c>
      <c r="L70" s="302" t="n">
        <f aca="false" t="array" ref="L70:L70">IFERROR( (AVERAGE((IF(DATOS_[[Sexo]:[Sexo]]=$B70,IF(DATOS_[[AGRUP. CLAS. PROF.]:[AGRUP. CLAS. PROF.]]=$B69,IF(DATOS_[[Check Periodo Ref.]:[Check Periodo Ref.]]="Dentro",IF(DATOS_[[Check Equiparado]:[Check Equiparado]]="Sí",IF(DATOS!AG$4="Sí",(1/DATOS_[[% anualiz]:[% anualiz]]),1)*IF(DATOS!AG$5="Sí",1/DATOS_[[% normaliz]:[% normaliz]],1)*(DATOS_[Conc.Sal.03])))))))), 0)</f>
        <v>0</v>
      </c>
      <c r="M70" s="302" t="n">
        <f aca="false" t="array" ref="M70:M70">IFERROR( (AVERAGE((IF(DATOS_[[Sexo]:[Sexo]]=$B70,IF(DATOS_[[AGRUP. CLAS. PROF.]:[AGRUP. CLAS. PROF.]]=$B69,IF(DATOS_[[Check Periodo Ref.]:[Check Periodo Ref.]]="Dentro",IF(DATOS_[[Check Equiparado]:[Check Equiparado]]="Sí",IF(DATOS!AH$4="Sí",(1/DATOS_[[% anualiz]:[% anualiz]]),1)*IF(DATOS!AH$5="Sí",1/DATOS_[[% normaliz]:[% normaliz]],1)*(DATOS_[Conc.Sal.04])))))))), 0)</f>
        <v>0</v>
      </c>
      <c r="N70" s="302" t="n">
        <f aca="false" t="array" ref="N70:N70">IFERROR( (AVERAGE((IF(DATOS_[[Sexo]:[Sexo]]=$B70,IF(DATOS_[[AGRUP. CLAS. PROF.]:[AGRUP. CLAS. PROF.]]=$B69,IF(DATOS_[[Check Periodo Ref.]:[Check Periodo Ref.]]="Dentro",IF(DATOS_[[Check Equiparado]:[Check Equiparado]]="Sí",IF(DATOS!AI$4="Sí",(1/DATOS_[[% anualiz]:[% anualiz]]),1)*IF(DATOS!AI$5="Sí",1/DATOS_[[% normaliz]:[% normaliz]],1)*(DATOS_[Conc.Sal.05])))))))), 0)</f>
        <v>0</v>
      </c>
      <c r="O70" s="302" t="n">
        <f aca="false" t="array" ref="O70:O70">IFERROR( (AVERAGE((IF(DATOS_[[Sexo]:[Sexo]]=$B70,IF(DATOS_[[AGRUP. CLAS. PROF.]:[AGRUP. CLAS. PROF.]]=$B69,IF(DATOS_[[Check Periodo Ref.]:[Check Periodo Ref.]]="Dentro",IF(DATOS_[[Check Equiparado]:[Check Equiparado]]="Sí",IF(DATOS!AJ$4="Sí",(1/DATOS_[[% anualiz]:[% anualiz]]),1)*IF(DATOS!AJ$5="Sí",1/DATOS_[[% normaliz]:[% normaliz]],1)*(DATOS_[Conc.Sal.06])))))))), 0)</f>
        <v>0</v>
      </c>
      <c r="P70" s="302" t="n">
        <f aca="false" t="array" ref="P70:P70">IFERROR( (AVERAGE((IF(DATOS_[[Sexo]:[Sexo]]=$B70,IF(DATOS_[[AGRUP. CLAS. PROF.]:[AGRUP. CLAS. PROF.]]=$B69,IF(DATOS_[[Check Periodo Ref.]:[Check Periodo Ref.]]="Dentro",IF(DATOS_[[Check Equiparado]:[Check Equiparado]]="Sí",IF(DATOS!AK$4="Sí",(1/DATOS_[[% anualiz]:[% anualiz]]),1)*IF(DATOS!AK$5="Sí",1/DATOS_[[% normaliz]:[% normaliz]],1)*(DATOS_[Conc.Sal.07])))))))), 0)</f>
        <v>0</v>
      </c>
      <c r="Q70" s="302" t="n">
        <f aca="false" t="array" ref="Q70:Q70">IFERROR( (AVERAGE((IF(DATOS_[[Sexo]:[Sexo]]=$B70,IF(DATOS_[[AGRUP. CLAS. PROF.]:[AGRUP. CLAS. PROF.]]=$B69,IF(DATOS_[[Check Periodo Ref.]:[Check Periodo Ref.]]="Dentro",IF(DATOS_[[Check Equiparado]:[Check Equiparado]]="Sí",IF(DATOS!AL$4="Sí",(1/DATOS_[[% anualiz]:[% anualiz]]),1)*IF(DATOS!AL$5="Sí",1/DATOS_[[% normaliz]:[% normaliz]],1)*(DATOS_[Conc.Sal.08])))))))), 0)</f>
        <v>0</v>
      </c>
      <c r="R70" s="302" t="n">
        <f aca="false" t="array" ref="R70:R70">IFERROR( (AVERAGE((IF(DATOS_[[Sexo]:[Sexo]]=$B70,IF(DATOS_[[AGRUP. CLAS. PROF.]:[AGRUP. CLAS. PROF.]]=$B69,IF(DATOS_[[Check Periodo Ref.]:[Check Periodo Ref.]]="Dentro",IF(DATOS_[[Check Equiparado]:[Check Equiparado]]="Sí",IF(DATOS!AM$4="Sí",(1/DATOS_[[% anualiz]:[% anualiz]]),1)*IF(DATOS!AM$5="Sí",1/DATOS_[[% normaliz]:[% normaliz]],1)*(DATOS_[Conc.Sal.09])))))))), 0)</f>
        <v>0</v>
      </c>
      <c r="S70" s="302" t="n">
        <f aca="false" t="array" ref="S70:S70">IFERROR( (AVERAGE((IF(DATOS_[[Sexo]:[Sexo]]=$B70,IF(DATOS_[[AGRUP. CLAS. PROF.]:[AGRUP. CLAS. PROF.]]=$B69,IF(DATOS_[[Check Periodo Ref.]:[Check Periodo Ref.]]="Dentro",IF(DATOS_[[Check Equiparado]:[Check Equiparado]]="Sí",IF(DATOS!AN$4="Sí",(1/DATOS_[[% anualiz]:[% anualiz]]),1)*IF(DATOS!AN$5="Sí",1/DATOS_[[% normaliz]:[% normaliz]],1)*(DATOS_[Conc.Sal.10])))))))), 0)</f>
        <v>0</v>
      </c>
      <c r="T70" s="302" t="n">
        <f aca="false" t="array" ref="T70:T70">IFERROR( (AVERAGE((IF(DATOS_[[Sexo]:[Sexo]]=$B70,IF(DATOS_[[AGRUP. CLAS. PROF.]:[AGRUP. CLAS. PROF.]]=$B69,IF(DATOS_[[Check Periodo Ref.]:[Check Periodo Ref.]]="Dentro",IF(DATOS_[[Check Equiparado]:[Check Equiparado]]="Sí",IF(DATOS!AO$4="Sí",(1/DATOS_[[% anualiz]:[% anualiz]]),1)*IF(DATOS!AO$5="Sí",1/DATOS_[[% normaliz]:[% normaliz]],1)*(DATOS_[Conc.Sal.11])))))))), 0)</f>
        <v>0</v>
      </c>
      <c r="U70" s="302" t="n">
        <f aca="false" t="array" ref="U70:U70">IFERROR( (AVERAGE((IF(DATOS_[[Sexo]:[Sexo]]=$B70,IF(DATOS_[[AGRUP. CLAS. PROF.]:[AGRUP. CLAS. PROF.]]=$B69,IF(DATOS_[[Check Periodo Ref.]:[Check Periodo Ref.]]="Dentro",IF(DATOS_[[Check Equiparado]:[Check Equiparado]]="Sí",IF(DATOS!AP$4="Sí",(1/DATOS_[[% anualiz]:[% anualiz]]),1)*IF(DATOS!AP$5="Sí",1/DATOS_[[% normaliz]:[% normaliz]],1)*(DATOS_[Conc.Sal.12])))))))), 0)</f>
        <v>0</v>
      </c>
      <c r="V70" s="302" t="n">
        <f aca="false" t="array" ref="V70:V70">IFERROR( (AVERAGE((IF(DATOS_[[Sexo]:[Sexo]]=$B70,IF(DATOS_[[AGRUP. CLAS. PROF.]:[AGRUP. CLAS. PROF.]]=$B69,IF(DATOS_[[Check Periodo Ref.]:[Check Periodo Ref.]]="Dentro",IF(DATOS_[[Check Equiparado]:[Check Equiparado]]="Sí",IF(DATOS!AQ$4="Sí",(1/DATOS_[[% anualiz]:[% anualiz]]),1)*IF(DATOS!AQ$5="Sí",1/DATOS_[[% normaliz]:[% normaliz]],1)*(DATOS_[Conc.Sal.13])))))))), 0)</f>
        <v>0</v>
      </c>
      <c r="W70" s="302" t="n">
        <f aca="false" t="array" ref="W70:W70">IFERROR( (AVERAGE((IF(DATOS_[[Sexo]:[Sexo]]=$B70,IF(DATOS_[[AGRUP. CLAS. PROF.]:[AGRUP. CLAS. PROF.]]=$B69,IF(DATOS_[[Check Periodo Ref.]:[Check Periodo Ref.]]="Dentro",IF(DATOS_[[Check Equiparado]:[Check Equiparado]]="Sí",IF(DATOS!AR$4="Sí",(1/DATOS_[[% anualiz]:[% anualiz]]),1)*IF(DATOS!AR$5="Sí",1/DATOS_[[% normaliz]:[% normaliz]],1)*(DATOS_[Conc.Sal.14])))))))), 0)</f>
        <v>0</v>
      </c>
      <c r="X70" s="302" t="n">
        <f aca="false" t="array" ref="X70:X70">IFERROR( (AVERAGE((IF(DATOS_[[Sexo]:[Sexo]]=$B70,IF(DATOS_[[AGRUP. CLAS. PROF.]:[AGRUP. CLAS. PROF.]]=$B69,IF(DATOS_[[Check Periodo Ref.]:[Check Periodo Ref.]]="Dentro",IF(DATOS_[[Check Equiparado]:[Check Equiparado]]="Sí",IF(DATOS!AS$4="Sí",(1/DATOS_[[% anualiz]:[% anualiz]]),1)*IF(DATOS!AS$5="Sí",1/DATOS_[[% normaliz]:[% normaliz]],1)*(DATOS_[Conc.Sal.15])))))))), 0)</f>
        <v>0</v>
      </c>
      <c r="Y70" s="302" t="n">
        <f aca="false" t="array" ref="Y70:Y70">IFERROR( (AVERAGE((IF(DATOS_[[Sexo]:[Sexo]]=$B70,IF(DATOS_[[AGRUP. CLAS. PROF.]:[AGRUP. CLAS. PROF.]]=$B69,IF(DATOS_[[Check Periodo Ref.]:[Check Periodo Ref.]]="Dentro",IF(DATOS_[[Check Equiparado]:[Check Equiparado]]="Sí",IF(DATOS!AT$4="Sí",(1/DATOS_[[% anualiz]:[% anualiz]]),1)*IF(DATOS!AT$5="Sí",1/DATOS_[[% normaliz]:[% normaliz]],1)*(DATOS_[Conc.Sal.16])))))))), 0)</f>
        <v>0</v>
      </c>
      <c r="Z70" s="302" t="n">
        <f aca="false" t="array" ref="Z70:Z70">IFERROR( (AVERAGE((IF(DATOS_[[Sexo]:[Sexo]]=$B70,IF(DATOS_[[AGRUP. CLAS. PROF.]:[AGRUP. CLAS. PROF.]]=$B69,IF(DATOS_[[Check Periodo Ref.]:[Check Periodo Ref.]]="Dentro",IF(DATOS_[[Check Equiparado]:[Check Equiparado]]="Sí",IF(DATOS!AU$4="Sí",(1/DATOS_[[% anualiz]:[% anualiz]]),1)*IF(DATOS!AU$5="Sí",1/DATOS_[[% normaliz]:[% normaliz]],1)*(DATOS_[Conc.Sal.17])))))))), 0)</f>
        <v>0</v>
      </c>
      <c r="AA70" s="302" t="n">
        <f aca="false" t="array" ref="AA70:AA70">IFERROR( (AVERAGE((IF(DATOS_[[Sexo]:[Sexo]]=$B70,IF(DATOS_[[AGRUP. CLAS. PROF.]:[AGRUP. CLAS. PROF.]]=$B69,IF(DATOS_[[Check Periodo Ref.]:[Check Periodo Ref.]]="Dentro",IF(DATOS_[[Check Equiparado]:[Check Equiparado]]="Sí",IF(DATOS!AV$4="Sí",(1/DATOS_[[% anualiz]:[% anualiz]]),1)*IF(DATOS!AV$5="Sí",1/DATOS_[[% normaliz]:[% normaliz]],1)*(DATOS_[Conc.Sal.18])))))))), 0)</f>
        <v>0</v>
      </c>
      <c r="AB70" s="302" t="n">
        <f aca="false" t="array" ref="AB70:AB70">IFERROR( (AVERAGE((IF(DATOS_[[Sexo]:[Sexo]]=$B70,IF(DATOS_[[AGRUP. CLAS. PROF.]:[AGRUP. CLAS. PROF.]]=$B69,IF(DATOS_[[Check Periodo Ref.]:[Check Periodo Ref.]]="Dentro",IF(DATOS_[[Check Equiparado]:[Check Equiparado]]="Sí",IF(DATOS!AW$4="Sí",(1/DATOS_[[% anualiz]:[% anualiz]]),1)*IF(DATOS!AW$5="Sí",1/DATOS_[[% normaliz]:[% normaliz]],1)*(DATOS_[Conc.Sal.19])))))))), 0)</f>
        <v>0</v>
      </c>
      <c r="AC70" s="302" t="n">
        <f aca="false" t="array" ref="AC70:AC70">IFERROR( (AVERAGE((IF(DATOS_[[Sexo]:[Sexo]]=$B70,IF(DATOS_[[AGRUP. CLAS. PROF.]:[AGRUP. CLAS. PROF.]]=$B69,IF(DATOS_[[Check Periodo Ref.]:[Check Periodo Ref.]]="Dentro",IF(DATOS_[[Check Equiparado]:[Check Equiparado]]="Sí",IF(DATOS!AX$4="Sí",(1/DATOS_[[% anualiz]:[% anualiz]]),1)*IF(DATOS!AX$5="Sí",1/DATOS_[[% normaliz]:[% normaliz]],1)*(DATOS_[Conc.Sal.20])))))))), 0)</f>
        <v>0</v>
      </c>
      <c r="AD70" s="302" t="n">
        <f aca="false" t="array" ref="AD70:AD70">IFERROR( (AVERAGE((IF(DATOS_[[Sexo]:[Sexo]]=$B70,IF(DATOS_[[AGRUP. CLAS. PROF.]:[AGRUP. CLAS. PROF.]]=$B69,IF(DATOS_[[Check Periodo Ref.]:[Check Periodo Ref.]]="Dentro",IF(DATOS_[[Check Equiparado]:[Check Equiparado]]="Sí",IF(DATOS!AY$4="Sí",(1/DATOS_[[% anualiz]:[% anualiz]]),1)*IF(DATOS!AY$5="Sí",1/DATOS_[[% normaliz]:[% normaliz]],1)*(DATOS_[Conc.Sal.21])))))))), 0)</f>
        <v>0</v>
      </c>
      <c r="AE70" s="302" t="n">
        <f aca="false" t="array" ref="AE70:AE70">IFERROR( (AVERAGE((IF(DATOS_[[Sexo]:[Sexo]]=$B70,IF(DATOS_[[AGRUP. CLAS. PROF.]:[AGRUP. CLAS. PROF.]]=$B69,IF(DATOS_[[Check Periodo Ref.]:[Check Periodo Ref.]]="Dentro",IF(DATOS_[[Check Equiparado]:[Check Equiparado]]="Sí",IF(DATOS!AZ$4="Sí",(1/DATOS_[[% anualiz]:[% anualiz]]),1)*IF(DATOS!AZ$5="Sí",1/DATOS_[[% normaliz]:[% normaliz]],1)*(DATOS_[Conc.Sal.22])))))))), 0)</f>
        <v>0</v>
      </c>
      <c r="AF70" s="302" t="n">
        <f aca="false" t="array" ref="AF70:AF70">IFERROR( (AVERAGE((IF(DATOS_[[Sexo]:[Sexo]]=$B70,IF(DATOS_[[AGRUP. CLAS. PROF.]:[AGRUP. CLAS. PROF.]]=$B69,IF(DATOS_[[Check Periodo Ref.]:[Check Periodo Ref.]]="Dentro",IF(DATOS_[[Check Equiparado]:[Check Equiparado]]="Sí",IF(DATOS!BA$4="Sí",(1/DATOS_[[% anualiz]:[% anualiz]]),1)*IF(DATOS!BA$5="Sí",1/DATOS_[[% normaliz]:[% normaliz]],1)*(DATOS_[Conc.Sal.23])))))))), 0)</f>
        <v>0</v>
      </c>
      <c r="AG70" s="302" t="n">
        <f aca="false" t="array" ref="AG70:AG70">IFERROR( (AVERAGE((IF(DATOS_[[Sexo]:[Sexo]]=$B70,IF(DATOS_[[AGRUP. CLAS. PROF.]:[AGRUP. CLAS. PROF.]]=$B69,IF(DATOS_[[Check Periodo Ref.]:[Check Periodo Ref.]]="Dentro",IF(DATOS_[[Check Equiparado]:[Check Equiparado]]="Sí",IF(DATOS!BB$4="Sí",(1/DATOS_[[% anualiz]:[% anualiz]]),1)*IF(DATOS!BB$5="Sí",1/DATOS_[[% normaliz]:[% normaliz]],1)*(DATOS_[Conc.Sal.24])))))))), 0)</f>
        <v>0</v>
      </c>
      <c r="AH70" s="302" t="n">
        <f aca="false" t="array" ref="AH70:AH70">IFERROR( (AVERAGE((IF(DATOS_[[Sexo]:[Sexo]]=$B70,IF(DATOS_[[AGRUP. CLAS. PROF.]:[AGRUP. CLAS. PROF.]]=$B69,IF(DATOS_[[Check Periodo Ref.]:[Check Periodo Ref.]]="Dentro",IF(DATOS_[[Check Equiparado]:[Check Equiparado]]="Sí",IF(DATOS!BC$4="Sí",(1/DATOS_[[% anualiz]:[% anualiz]]),1)*IF(DATOS!BC$5="Sí",1/DATOS_[[% normaliz]:[% normaliz]],1)*(DATOS_[Conc.Sal.25])))))))), 0)</f>
        <v>0</v>
      </c>
      <c r="AI70" s="302" t="n">
        <f aca="false" t="array" ref="AI70:AI70">IFERROR( (AVERAGE((IF(DATOS_[[Sexo]:[Sexo]]=$B70,IF(DATOS_[[AGRUP. CLAS. PROF.]:[AGRUP. CLAS. PROF.]]=$B69,IF(DATOS_[[Check Periodo Ref.]:[Check Periodo Ref.]]="Dentro",IF(DATOS_[[Check Equiparado]:[Check Equiparado]]="Sí",IF(DATOS!BD$4="Sí",(1/DATOS_[[% anualiz]:[% anualiz]]),1)*IF(DATOS!BD$5="Sí",1/DATOS_[[% normaliz]:[% normaliz]],1)*(DATOS_[Conc.Sal.26])))))))), 0)</f>
        <v>0</v>
      </c>
      <c r="AJ70" s="302" t="n">
        <f aca="false" t="array" ref="AJ70:AJ70">IFERROR( (AVERAGE((IF(DATOS_[[Sexo]:[Sexo]]=$B70,IF(DATOS_[[AGRUP. CLAS. PROF.]:[AGRUP. CLAS. PROF.]]=$B69,IF(DATOS_[[Check Periodo Ref.]:[Check Periodo Ref.]]="Dentro",IF(DATOS_[[Check Equiparado]:[Check Equiparado]]="Sí",IF(DATOS!BE$4="Sí",(1/DATOS_[[% anualiz]:[% anualiz]]),1)*IF(DATOS!BE$5="Sí",1/DATOS_[[% normaliz]:[% normaliz]],1)*(DATOS_[Conc.Sal.27])))))))), 0)</f>
        <v>0</v>
      </c>
      <c r="AK70" s="302" t="n">
        <f aca="false" t="array" ref="AK70:AK70">IFERROR( (AVERAGE((IF(DATOS_[[Sexo]:[Sexo]]=$B70,IF(DATOS_[[AGRUP. CLAS. PROF.]:[AGRUP. CLAS. PROF.]]=$B69,IF(DATOS_[[Check Periodo Ref.]:[Check Periodo Ref.]]="Dentro",IF(DATOS_[[Check Equiparado]:[Check Equiparado]]="Sí",IF(DATOS!BF$4="Sí",(1/DATOS_[[% anualiz]:[% anualiz]]),1)*IF(DATOS!BF$5="Sí",1/DATOS_[[% normaliz]:[% normaliz]],1)*(DATOS_[Conc.Sal.28])))))))), 0)</f>
        <v>0</v>
      </c>
      <c r="AL70" s="302" t="n">
        <f aca="false" t="array" ref="AL70:AL70">IFERROR( (AVERAGE((IF(DATOS_[[Sexo]:[Sexo]]=$B70,IF(DATOS_[[AGRUP. CLAS. PROF.]:[AGRUP. CLAS. PROF.]]=$B69,IF(DATOS_[[Check Periodo Ref.]:[Check Periodo Ref.]]="Dentro",IF(DATOS_[[Check Equiparado]:[Check Equiparado]]="Sí",IF(DATOS!BG$4="Sí",(1/DATOS_[[% anualiz]:[% anualiz]]),1)*IF(DATOS!BG$5="Sí",1/DATOS_[[% normaliz]:[% normaliz]],1)*(DATOS_[Conc.Sal.29])))))))), 0)</f>
        <v>0</v>
      </c>
      <c r="AM70" s="302" t="n">
        <f aca="false" t="array" ref="AM70:AM70">IFERROR( (AVERAGE((IF(DATOS_[[Sexo]:[Sexo]]=$B70,IF(DATOS_[[AGRUP. CLAS. PROF.]:[AGRUP. CLAS. PROF.]]=$B69,IF(DATOS_[[Check Periodo Ref.]:[Check Periodo Ref.]]="Dentro",IF(DATOS_[[Check Equiparado]:[Check Equiparado]]="Sí",IF(DATOS!BH$4="Sí",(1/DATOS_[[% anualiz]:[% anualiz]]),1)*IF(DATOS!BH$5="Sí",1/DATOS_[[% normaliz]:[% normaliz]],1)*(DATOS_[Conc.Sal.30])))))))), 0)</f>
        <v>0</v>
      </c>
      <c r="AN70" s="294" t="n">
        <f aca="false" t="array" ref="AN70:AN70">IFERROR( AVERAGE(IF(DATOS_[Sexo]=$B70,IF(DATOS_[[AGRUP. CLAS. PROF.]:[AGRUP. CLAS. PROF.]]=$B69,IF(DATOS_[Check Equiparado]="Sí",IF(DATOS_[Check Periodo Ref.]="Dentro",DATOS_[Tot COMPL.SAL Eq],0))))), 0)</f>
        <v>0</v>
      </c>
      <c r="AO70" s="295" t="n">
        <f aca="false" t="array" ref="AO70:AO70">IFERROR( AVERAGE(IF(DATOS_[Sexo]=$B70,IF(DATOS_[[AGRUP. CLAS. PROF.]:[AGRUP. CLAS. PROF.]]=$B69,IF(DATOS_[Check Equiparado]="Sí",IF(DATOS_[Check Periodo Ref.]="Dentro",DATOS_[TOTAL SALARIO Eq],0))))), 0)</f>
        <v>0</v>
      </c>
      <c r="AP70" s="303" t="n">
        <f aca="false" t="array" ref="AP70:AP70">IFERROR( (AVERAGE((IF(DATOS_[[Sexo]:[Sexo]]=$B70,IF(DATOS_[[AGRUP. CLAS. PROF.]:[AGRUP. CLAS. PROF.]]=$B69,IF(DATOS_[[Check Periodo Ref.]:[Check Periodo Ref.]]="Dentro",IF(DATOS_[[Check Equiparado]:[Check Equiparado]]="Sí",IF(DATOS!BI$4="Sí",(1/DATOS_[[% anualiz]:[% anualiz]]),1)*IF(DATOS!BI$5="Sí",1/DATOS_[[% normaliz]:[% normaliz]],1)*(DATOS_[C.Extra.01])))))))), 0)</f>
        <v>0</v>
      </c>
      <c r="AQ70" s="303" t="n">
        <f aca="false" t="array" ref="AQ70:AQ70">IFERROR( (AVERAGE((IF(DATOS_[[Sexo]:[Sexo]]=$B70,IF(DATOS_[[AGRUP. CLAS. PROF.]:[AGRUP. CLAS. PROF.]]=$B69,IF(DATOS_[[Check Periodo Ref.]:[Check Periodo Ref.]]="Dentro",IF(DATOS_[[Check Equiparado]:[Check Equiparado]]="Sí",IF(DATOS!BJ$4="Sí",(1/DATOS_[[% anualiz]:[% anualiz]]),1)*IF(DATOS!BJ$5="Sí",1/DATOS_[[% normaliz]:[% normaliz]],1)*(DATOS_[C.Extra.02])))))))), 0)</f>
        <v>0</v>
      </c>
      <c r="AR70" s="303" t="n">
        <f aca="false" t="array" ref="AR70:AR70">IFERROR( (AVERAGE((IF(DATOS_[[Sexo]:[Sexo]]=$B70,IF(DATOS_[[AGRUP. CLAS. PROF.]:[AGRUP. CLAS. PROF.]]=$B69,IF(DATOS_[[Check Periodo Ref.]:[Check Periodo Ref.]]="Dentro",IF(DATOS_[[Check Equiparado]:[Check Equiparado]]="Sí",IF(DATOS!BK$4="Sí",(1/DATOS_[[% anualiz]:[% anualiz]]),1)*IF(DATOS!BK$5="Sí",1/DATOS_[[% normaliz]:[% normaliz]],1)*(DATOS_[C.Extra.03])))))))), 0)</f>
        <v>0</v>
      </c>
      <c r="AS70" s="303" t="n">
        <f aca="false" t="array" ref="AS70:AS70">IFERROR( (AVERAGE((IF(DATOS_[[Sexo]:[Sexo]]=$B70,IF(DATOS_[[AGRUP. CLAS. PROF.]:[AGRUP. CLAS. PROF.]]=$B69,IF(DATOS_[[Check Periodo Ref.]:[Check Periodo Ref.]]="Dentro",IF(DATOS_[[Check Equiparado]:[Check Equiparado]]="Sí",IF(DATOS!BL$4="Sí",(1/DATOS_[[% anualiz]:[% anualiz]]),1)*IF(DATOS!BL$5="Sí",1/DATOS_[[% normaliz]:[% normaliz]],1)*(DATOS_[C.Extra.04])))))))), 0)</f>
        <v>0</v>
      </c>
      <c r="AT70" s="303" t="n">
        <f aca="false" t="array" ref="AT70:AT70">IFERROR( (AVERAGE((IF(DATOS_[[Sexo]:[Sexo]]=$B70,IF(DATOS_[[AGRUP. CLAS. PROF.]:[AGRUP. CLAS. PROF.]]=$B69,IF(DATOS_[[Check Periodo Ref.]:[Check Periodo Ref.]]="Dentro",IF(DATOS_[[Check Equiparado]:[Check Equiparado]]="Sí",IF(DATOS!BM$4="Sí",(1/DATOS_[[% anualiz]:[% anualiz]]),1)*IF(DATOS!BM$5="Sí",1/DATOS_[[% normaliz]:[% normaliz]],1)*(DATOS_[C.Extra.05])))))))), 0)</f>
        <v>0</v>
      </c>
      <c r="AU70" s="297" t="n">
        <f aca="false" t="array" ref="AU70:AU70">IFERROR( AVERAGE(IF(DATOS_[Sexo]=$B70,IF(DATOS_[[AGRUP. CLAS. PROF.]:[AGRUP. CLAS. PROF.]]=$B69,IF(DATOS_[Check Equiparado]="Sí",IF(DATOS_[Check Periodo Ref.]="Dentro",DATOS_[Tot Extrasalarial Eq],0))))), 0)</f>
        <v>0</v>
      </c>
      <c r="AV70" s="298" t="n">
        <f aca="false" t="array" ref="AV70:AV70">IFERROR( AVERAGE(IF(DATOS_[Sexo]=$B70,IF(DATOS_[[AGRUP. CLAS. PROF.]:[AGRUP. CLAS. PROF.]]=$B69,IF(DATOS_[Check Equiparado]="Sí",IF(DATOS_[Check Periodo Ref.]="Dentro",DATOS_[TOTAL Retrib Eq],0))))), 0)</f>
        <v>0</v>
      </c>
    </row>
    <row r="71" customFormat="false" ht="14.25" hidden="false" customHeight="false" outlineLevel="0" collapsed="false">
      <c r="A71" s="166" t="str">
        <f aca="false">+A70</f>
        <v>[ocultar]</v>
      </c>
      <c r="B71" s="289" t="s">
        <v>372</v>
      </c>
      <c r="C71" s="290" t="n">
        <f aca="false" t="array" ref="C71:C71">SUM(IF($B71=DATOS_[Sexo], IF($B69=DATOS_[AGRUP. CLAS. PROF.], IF("Dentro"=DATOS_[Check Periodo Ref.], 1/(COUNTIFS(DATOS_[Sexo],$B71,DATOS_[AGRUP. CLAS. PROF.],$B69,DATOS_[Check Periodo Ref.],"Dentro",DATOS_[id],DATOS_[id]))))))</f>
        <v>0</v>
      </c>
      <c r="D71" s="291" t="n">
        <f aca="false">COUNTIFS(DATOS_[AGRUP. CLAS. PROF.],$B69,DATOS_[Sexo],$B71,DATOS_[Check Periodo Ref.],"Dentro")</f>
        <v>0</v>
      </c>
      <c r="E71" s="291" t="n">
        <f aca="false">COUNTIFS(DATOS_[AGRUP. CLAS. PROF.],$B69,DATOS_[Sexo],$B71,DATOS_[Check Periodo Ref.],"Dentro",DATOS_[Check Nº SC Norm],"Sí")</f>
        <v>0</v>
      </c>
      <c r="F71" s="291" t="n">
        <f aca="false">COUNTIFS(DATOS_[AGRUP. CLAS. PROF.],$B69,DATOS_[Sexo],$B71,DATOS_[Check Periodo Ref.],"Dentro",DATOS_[Check Nº SC Anualiz],"Sí")</f>
        <v>0</v>
      </c>
      <c r="G71" s="291" t="n">
        <f aca="false">COUNTIFS(DATOS_[AGRUP. CLAS. PROF.],$B69,DATOS_[Sexo],$B71,DATOS_[Check Periodo Ref.],"Dentro",DATOS_[Check Nº SC Norm y Anualiz],"Sí")</f>
        <v>0</v>
      </c>
      <c r="H71" s="291" t="n">
        <f aca="false">COUNTIFS(DATOS_[AGRUP. CLAS. PROF.],$B69,DATOS_[Sexo],$B71,DATOS_[Check Periodo Ref.],"Dentro",DATOS_[Check Equiparación],"Sí")</f>
        <v>0</v>
      </c>
      <c r="I71" s="292" t="n">
        <f aca="false" t="array" ref="I71:I71">IFERROR( AVERAGE(IF(DATOS_[Sexo]=$B71,IF(DATOS_[[AGRUP. CLAS. PROF.]:[AGRUP. CLAS. PROF.]]=$B69,IF(DATOS_[Check Equiparado]="Sí",IF(DATOS_[Check Periodo Ref.]="Dentro",DATOS_[SALARIO BASE Eq],0))))), 0)</f>
        <v>0</v>
      </c>
      <c r="J71" s="302" t="n">
        <f aca="false" t="array" ref="J71:J71">IFERROR( (AVERAGE((IF(DATOS_[[Sexo]:[Sexo]]=$B71,IF(DATOS_[[AGRUP. CLAS. PROF.]:[AGRUP. CLAS. PROF.]]=$B69,IF(DATOS_[[Check Periodo Ref.]:[Check Periodo Ref.]]="Dentro",IF(DATOS_[[Check Equiparado]:[Check Equiparado]]="Sí",IF(DATOS!AE$4="Sí",(1/DATOS_[[% anualiz]:[% anualiz]]),1)*IF(DATOS!AE$5="Sí",1/DATOS_[[% normaliz]:[% normaliz]],1)*(DATOS_[Conc.Sal.01])))))))), 0)</f>
        <v>0</v>
      </c>
      <c r="K71" s="302" t="n">
        <f aca="false" t="array" ref="K71:K71">IFERROR( (AVERAGE((IF(DATOS_[[Sexo]:[Sexo]]=$B71,IF(DATOS_[[AGRUP. CLAS. PROF.]:[AGRUP. CLAS. PROF.]]=$B69,IF(DATOS_[[Check Periodo Ref.]:[Check Periodo Ref.]]="Dentro",IF(DATOS_[[Check Equiparado]:[Check Equiparado]]="Sí",IF(DATOS!AF$4="Sí",(1/DATOS_[[% anualiz]:[% anualiz]]),1)*IF(DATOS!AF$5="Sí",1/DATOS_[[% normaliz]:[% normaliz]],1)*(DATOS_[Conc.Sal.02])))))))), 0)</f>
        <v>0</v>
      </c>
      <c r="L71" s="302" t="n">
        <f aca="false" t="array" ref="L71:L71">IFERROR( (AVERAGE((IF(DATOS_[[Sexo]:[Sexo]]=$B71,IF(DATOS_[[AGRUP. CLAS. PROF.]:[AGRUP. CLAS. PROF.]]=$B69,IF(DATOS_[[Check Periodo Ref.]:[Check Periodo Ref.]]="Dentro",IF(DATOS_[[Check Equiparado]:[Check Equiparado]]="Sí",IF(DATOS!AG$4="Sí",(1/DATOS_[[% anualiz]:[% anualiz]]),1)*IF(DATOS!AG$5="Sí",1/DATOS_[[% normaliz]:[% normaliz]],1)*(DATOS_[Conc.Sal.03])))))))), 0)</f>
        <v>0</v>
      </c>
      <c r="M71" s="302" t="n">
        <f aca="false" t="array" ref="M71:M71">IFERROR( (AVERAGE((IF(DATOS_[[Sexo]:[Sexo]]=$B71,IF(DATOS_[[AGRUP. CLAS. PROF.]:[AGRUP. CLAS. PROF.]]=$B69,IF(DATOS_[[Check Periodo Ref.]:[Check Periodo Ref.]]="Dentro",IF(DATOS_[[Check Equiparado]:[Check Equiparado]]="Sí",IF(DATOS!AH$4="Sí",(1/DATOS_[[% anualiz]:[% anualiz]]),1)*IF(DATOS!AH$5="Sí",1/DATOS_[[% normaliz]:[% normaliz]],1)*(DATOS_[Conc.Sal.04])))))))), 0)</f>
        <v>0</v>
      </c>
      <c r="N71" s="302" t="n">
        <f aca="false" t="array" ref="N71:N71">IFERROR( (AVERAGE((IF(DATOS_[[Sexo]:[Sexo]]=$B71,IF(DATOS_[[AGRUP. CLAS. PROF.]:[AGRUP. CLAS. PROF.]]=$B69,IF(DATOS_[[Check Periodo Ref.]:[Check Periodo Ref.]]="Dentro",IF(DATOS_[[Check Equiparado]:[Check Equiparado]]="Sí",IF(DATOS!AI$4="Sí",(1/DATOS_[[% anualiz]:[% anualiz]]),1)*IF(DATOS!AI$5="Sí",1/DATOS_[[% normaliz]:[% normaliz]],1)*(DATOS_[Conc.Sal.05])))))))), 0)</f>
        <v>0</v>
      </c>
      <c r="O71" s="302" t="n">
        <f aca="false" t="array" ref="O71:O71">IFERROR( (AVERAGE((IF(DATOS_[[Sexo]:[Sexo]]=$B71,IF(DATOS_[[AGRUP. CLAS. PROF.]:[AGRUP. CLAS. PROF.]]=$B69,IF(DATOS_[[Check Periodo Ref.]:[Check Periodo Ref.]]="Dentro",IF(DATOS_[[Check Equiparado]:[Check Equiparado]]="Sí",IF(DATOS!AJ$4="Sí",(1/DATOS_[[% anualiz]:[% anualiz]]),1)*IF(DATOS!AJ$5="Sí",1/DATOS_[[% normaliz]:[% normaliz]],1)*(DATOS_[Conc.Sal.06])))))))), 0)</f>
        <v>0</v>
      </c>
      <c r="P71" s="302" t="n">
        <f aca="false" t="array" ref="P71:P71">IFERROR( (AVERAGE((IF(DATOS_[[Sexo]:[Sexo]]=$B71,IF(DATOS_[[AGRUP. CLAS. PROF.]:[AGRUP. CLAS. PROF.]]=$B69,IF(DATOS_[[Check Periodo Ref.]:[Check Periodo Ref.]]="Dentro",IF(DATOS_[[Check Equiparado]:[Check Equiparado]]="Sí",IF(DATOS!AK$4="Sí",(1/DATOS_[[% anualiz]:[% anualiz]]),1)*IF(DATOS!AK$5="Sí",1/DATOS_[[% normaliz]:[% normaliz]],1)*(DATOS_[Conc.Sal.07])))))))), 0)</f>
        <v>0</v>
      </c>
      <c r="Q71" s="302" t="n">
        <f aca="false" t="array" ref="Q71:Q71">IFERROR( (AVERAGE((IF(DATOS_[[Sexo]:[Sexo]]=$B71,IF(DATOS_[[AGRUP. CLAS. PROF.]:[AGRUP. CLAS. PROF.]]=$B69,IF(DATOS_[[Check Periodo Ref.]:[Check Periodo Ref.]]="Dentro",IF(DATOS_[[Check Equiparado]:[Check Equiparado]]="Sí",IF(DATOS!AL$4="Sí",(1/DATOS_[[% anualiz]:[% anualiz]]),1)*IF(DATOS!AL$5="Sí",1/DATOS_[[% normaliz]:[% normaliz]],1)*(DATOS_[Conc.Sal.08])))))))), 0)</f>
        <v>0</v>
      </c>
      <c r="R71" s="302" t="n">
        <f aca="false" t="array" ref="R71:R71">IFERROR( (AVERAGE((IF(DATOS_[[Sexo]:[Sexo]]=$B71,IF(DATOS_[[AGRUP. CLAS. PROF.]:[AGRUP. CLAS. PROF.]]=$B69,IF(DATOS_[[Check Periodo Ref.]:[Check Periodo Ref.]]="Dentro",IF(DATOS_[[Check Equiparado]:[Check Equiparado]]="Sí",IF(DATOS!AM$4="Sí",(1/DATOS_[[% anualiz]:[% anualiz]]),1)*IF(DATOS!AM$5="Sí",1/DATOS_[[% normaliz]:[% normaliz]],1)*(DATOS_[Conc.Sal.09])))))))), 0)</f>
        <v>0</v>
      </c>
      <c r="S71" s="302" t="n">
        <f aca="false" t="array" ref="S71:S71">IFERROR( (AVERAGE((IF(DATOS_[[Sexo]:[Sexo]]=$B71,IF(DATOS_[[AGRUP. CLAS. PROF.]:[AGRUP. CLAS. PROF.]]=$B69,IF(DATOS_[[Check Periodo Ref.]:[Check Periodo Ref.]]="Dentro",IF(DATOS_[[Check Equiparado]:[Check Equiparado]]="Sí",IF(DATOS!AN$4="Sí",(1/DATOS_[[% anualiz]:[% anualiz]]),1)*IF(DATOS!AN$5="Sí",1/DATOS_[[% normaliz]:[% normaliz]],1)*(DATOS_[Conc.Sal.10])))))))), 0)</f>
        <v>0</v>
      </c>
      <c r="T71" s="302" t="n">
        <f aca="false" t="array" ref="T71:T71">IFERROR( (AVERAGE((IF(DATOS_[[Sexo]:[Sexo]]=$B71,IF(DATOS_[[AGRUP. CLAS. PROF.]:[AGRUP. CLAS. PROF.]]=$B69,IF(DATOS_[[Check Periodo Ref.]:[Check Periodo Ref.]]="Dentro",IF(DATOS_[[Check Equiparado]:[Check Equiparado]]="Sí",IF(DATOS!AO$4="Sí",(1/DATOS_[[% anualiz]:[% anualiz]]),1)*IF(DATOS!AO$5="Sí",1/DATOS_[[% normaliz]:[% normaliz]],1)*(DATOS_[Conc.Sal.11])))))))), 0)</f>
        <v>0</v>
      </c>
      <c r="U71" s="302" t="n">
        <f aca="false" t="array" ref="U71:U71">IFERROR( (AVERAGE((IF(DATOS_[[Sexo]:[Sexo]]=$B71,IF(DATOS_[[AGRUP. CLAS. PROF.]:[AGRUP. CLAS. PROF.]]=$B69,IF(DATOS_[[Check Periodo Ref.]:[Check Periodo Ref.]]="Dentro",IF(DATOS_[[Check Equiparado]:[Check Equiparado]]="Sí",IF(DATOS!AP$4="Sí",(1/DATOS_[[% anualiz]:[% anualiz]]),1)*IF(DATOS!AP$5="Sí",1/DATOS_[[% normaliz]:[% normaliz]],1)*(DATOS_[Conc.Sal.12])))))))), 0)</f>
        <v>0</v>
      </c>
      <c r="V71" s="302" t="n">
        <f aca="false" t="array" ref="V71:V71">IFERROR( (AVERAGE((IF(DATOS_[[Sexo]:[Sexo]]=$B71,IF(DATOS_[[AGRUP. CLAS. PROF.]:[AGRUP. CLAS. PROF.]]=$B69,IF(DATOS_[[Check Periodo Ref.]:[Check Periodo Ref.]]="Dentro",IF(DATOS_[[Check Equiparado]:[Check Equiparado]]="Sí",IF(DATOS!AQ$4="Sí",(1/DATOS_[[% anualiz]:[% anualiz]]),1)*IF(DATOS!AQ$5="Sí",1/DATOS_[[% normaliz]:[% normaliz]],1)*(DATOS_[Conc.Sal.13])))))))), 0)</f>
        <v>0</v>
      </c>
      <c r="W71" s="302" t="n">
        <f aca="false" t="array" ref="W71:W71">IFERROR( (AVERAGE((IF(DATOS_[[Sexo]:[Sexo]]=$B71,IF(DATOS_[[AGRUP. CLAS. PROF.]:[AGRUP. CLAS. PROF.]]=$B69,IF(DATOS_[[Check Periodo Ref.]:[Check Periodo Ref.]]="Dentro",IF(DATOS_[[Check Equiparado]:[Check Equiparado]]="Sí",IF(DATOS!AR$4="Sí",(1/DATOS_[[% anualiz]:[% anualiz]]),1)*IF(DATOS!AR$5="Sí",1/DATOS_[[% normaliz]:[% normaliz]],1)*(DATOS_[Conc.Sal.14])))))))), 0)</f>
        <v>0</v>
      </c>
      <c r="X71" s="302" t="n">
        <f aca="false" t="array" ref="X71:X71">IFERROR( (AVERAGE((IF(DATOS_[[Sexo]:[Sexo]]=$B71,IF(DATOS_[[AGRUP. CLAS. PROF.]:[AGRUP. CLAS. PROF.]]=$B69,IF(DATOS_[[Check Periodo Ref.]:[Check Periodo Ref.]]="Dentro",IF(DATOS_[[Check Equiparado]:[Check Equiparado]]="Sí",IF(DATOS!AS$4="Sí",(1/DATOS_[[% anualiz]:[% anualiz]]),1)*IF(DATOS!AS$5="Sí",1/DATOS_[[% normaliz]:[% normaliz]],1)*(DATOS_[Conc.Sal.15])))))))), 0)</f>
        <v>0</v>
      </c>
      <c r="Y71" s="302" t="n">
        <f aca="false" t="array" ref="Y71:Y71">IFERROR( (AVERAGE((IF(DATOS_[[Sexo]:[Sexo]]=$B71,IF(DATOS_[[AGRUP. CLAS. PROF.]:[AGRUP. CLAS. PROF.]]=$B69,IF(DATOS_[[Check Periodo Ref.]:[Check Periodo Ref.]]="Dentro",IF(DATOS_[[Check Equiparado]:[Check Equiparado]]="Sí",IF(DATOS!AT$4="Sí",(1/DATOS_[[% anualiz]:[% anualiz]]),1)*IF(DATOS!AT$5="Sí",1/DATOS_[[% normaliz]:[% normaliz]],1)*(DATOS_[Conc.Sal.16])))))))), 0)</f>
        <v>0</v>
      </c>
      <c r="Z71" s="302" t="n">
        <f aca="false" t="array" ref="Z71:Z71">IFERROR( (AVERAGE((IF(DATOS_[[Sexo]:[Sexo]]=$B71,IF(DATOS_[[AGRUP. CLAS. PROF.]:[AGRUP. CLAS. PROF.]]=$B69,IF(DATOS_[[Check Periodo Ref.]:[Check Periodo Ref.]]="Dentro",IF(DATOS_[[Check Equiparado]:[Check Equiparado]]="Sí",IF(DATOS!AU$4="Sí",(1/DATOS_[[% anualiz]:[% anualiz]]),1)*IF(DATOS!AU$5="Sí",1/DATOS_[[% normaliz]:[% normaliz]],1)*(DATOS_[Conc.Sal.17])))))))), 0)</f>
        <v>0</v>
      </c>
      <c r="AA71" s="302" t="n">
        <f aca="false" t="array" ref="AA71:AA71">IFERROR( (AVERAGE((IF(DATOS_[[Sexo]:[Sexo]]=$B71,IF(DATOS_[[AGRUP. CLAS. PROF.]:[AGRUP. CLAS. PROF.]]=$B69,IF(DATOS_[[Check Periodo Ref.]:[Check Periodo Ref.]]="Dentro",IF(DATOS_[[Check Equiparado]:[Check Equiparado]]="Sí",IF(DATOS!AV$4="Sí",(1/DATOS_[[% anualiz]:[% anualiz]]),1)*IF(DATOS!AV$5="Sí",1/DATOS_[[% normaliz]:[% normaliz]],1)*(DATOS_[Conc.Sal.18])))))))), 0)</f>
        <v>0</v>
      </c>
      <c r="AB71" s="302" t="n">
        <f aca="false" t="array" ref="AB71:AB71">IFERROR( (AVERAGE((IF(DATOS_[[Sexo]:[Sexo]]=$B71,IF(DATOS_[[AGRUP. CLAS. PROF.]:[AGRUP. CLAS. PROF.]]=$B69,IF(DATOS_[[Check Periodo Ref.]:[Check Periodo Ref.]]="Dentro",IF(DATOS_[[Check Equiparado]:[Check Equiparado]]="Sí",IF(DATOS!AW$4="Sí",(1/DATOS_[[% anualiz]:[% anualiz]]),1)*IF(DATOS!AW$5="Sí",1/DATOS_[[% normaliz]:[% normaliz]],1)*(DATOS_[Conc.Sal.19])))))))), 0)</f>
        <v>0</v>
      </c>
      <c r="AC71" s="302" t="n">
        <f aca="false" t="array" ref="AC71:AC71">IFERROR( (AVERAGE((IF(DATOS_[[Sexo]:[Sexo]]=$B71,IF(DATOS_[[AGRUP. CLAS. PROF.]:[AGRUP. CLAS. PROF.]]=$B69,IF(DATOS_[[Check Periodo Ref.]:[Check Periodo Ref.]]="Dentro",IF(DATOS_[[Check Equiparado]:[Check Equiparado]]="Sí",IF(DATOS!AX$4="Sí",(1/DATOS_[[% anualiz]:[% anualiz]]),1)*IF(DATOS!AX$5="Sí",1/DATOS_[[% normaliz]:[% normaliz]],1)*(DATOS_[Conc.Sal.20])))))))), 0)</f>
        <v>0</v>
      </c>
      <c r="AD71" s="302" t="n">
        <f aca="false" t="array" ref="AD71:AD71">IFERROR( (AVERAGE((IF(DATOS_[[Sexo]:[Sexo]]=$B71,IF(DATOS_[[AGRUP. CLAS. PROF.]:[AGRUP. CLAS. PROF.]]=$B69,IF(DATOS_[[Check Periodo Ref.]:[Check Periodo Ref.]]="Dentro",IF(DATOS_[[Check Equiparado]:[Check Equiparado]]="Sí",IF(DATOS!AY$4="Sí",(1/DATOS_[[% anualiz]:[% anualiz]]),1)*IF(DATOS!AY$5="Sí",1/DATOS_[[% normaliz]:[% normaliz]],1)*(DATOS_[Conc.Sal.21])))))))), 0)</f>
        <v>0</v>
      </c>
      <c r="AE71" s="302" t="n">
        <f aca="false" t="array" ref="AE71:AE71">IFERROR( (AVERAGE((IF(DATOS_[[Sexo]:[Sexo]]=$B71,IF(DATOS_[[AGRUP. CLAS. PROF.]:[AGRUP. CLAS. PROF.]]=$B69,IF(DATOS_[[Check Periodo Ref.]:[Check Periodo Ref.]]="Dentro",IF(DATOS_[[Check Equiparado]:[Check Equiparado]]="Sí",IF(DATOS!AZ$4="Sí",(1/DATOS_[[% anualiz]:[% anualiz]]),1)*IF(DATOS!AZ$5="Sí",1/DATOS_[[% normaliz]:[% normaliz]],1)*(DATOS_[Conc.Sal.22])))))))), 0)</f>
        <v>0</v>
      </c>
      <c r="AF71" s="302" t="n">
        <f aca="false" t="array" ref="AF71:AF71">IFERROR( (AVERAGE((IF(DATOS_[[Sexo]:[Sexo]]=$B71,IF(DATOS_[[AGRUP. CLAS. PROF.]:[AGRUP. CLAS. PROF.]]=$B69,IF(DATOS_[[Check Periodo Ref.]:[Check Periodo Ref.]]="Dentro",IF(DATOS_[[Check Equiparado]:[Check Equiparado]]="Sí",IF(DATOS!BA$4="Sí",(1/DATOS_[[% anualiz]:[% anualiz]]),1)*IF(DATOS!BA$5="Sí",1/DATOS_[[% normaliz]:[% normaliz]],1)*(DATOS_[Conc.Sal.23])))))))), 0)</f>
        <v>0</v>
      </c>
      <c r="AG71" s="302" t="n">
        <f aca="false" t="array" ref="AG71:AG71">IFERROR( (AVERAGE((IF(DATOS_[[Sexo]:[Sexo]]=$B71,IF(DATOS_[[AGRUP. CLAS. PROF.]:[AGRUP. CLAS. PROF.]]=$B69,IF(DATOS_[[Check Periodo Ref.]:[Check Periodo Ref.]]="Dentro",IF(DATOS_[[Check Equiparado]:[Check Equiparado]]="Sí",IF(DATOS!BB$4="Sí",(1/DATOS_[[% anualiz]:[% anualiz]]),1)*IF(DATOS!BB$5="Sí",1/DATOS_[[% normaliz]:[% normaliz]],1)*(DATOS_[Conc.Sal.24])))))))), 0)</f>
        <v>0</v>
      </c>
      <c r="AH71" s="302" t="n">
        <f aca="false" t="array" ref="AH71:AH71">IFERROR( (AVERAGE((IF(DATOS_[[Sexo]:[Sexo]]=$B71,IF(DATOS_[[AGRUP. CLAS. PROF.]:[AGRUP. CLAS. PROF.]]=$B69,IF(DATOS_[[Check Periodo Ref.]:[Check Periodo Ref.]]="Dentro",IF(DATOS_[[Check Equiparado]:[Check Equiparado]]="Sí",IF(DATOS!BC$4="Sí",(1/DATOS_[[% anualiz]:[% anualiz]]),1)*IF(DATOS!BC$5="Sí",1/DATOS_[[% normaliz]:[% normaliz]],1)*(DATOS_[Conc.Sal.25])))))))), 0)</f>
        <v>0</v>
      </c>
      <c r="AI71" s="302" t="n">
        <f aca="false" t="array" ref="AI71:AI71">IFERROR( (AVERAGE((IF(DATOS_[[Sexo]:[Sexo]]=$B71,IF(DATOS_[[AGRUP. CLAS. PROF.]:[AGRUP. CLAS. PROF.]]=$B69,IF(DATOS_[[Check Periodo Ref.]:[Check Periodo Ref.]]="Dentro",IF(DATOS_[[Check Equiparado]:[Check Equiparado]]="Sí",IF(DATOS!BD$4="Sí",(1/DATOS_[[% anualiz]:[% anualiz]]),1)*IF(DATOS!BD$5="Sí",1/DATOS_[[% normaliz]:[% normaliz]],1)*(DATOS_[Conc.Sal.26])))))))), 0)</f>
        <v>0</v>
      </c>
      <c r="AJ71" s="302" t="n">
        <f aca="false" t="array" ref="AJ71:AJ71">IFERROR( (AVERAGE((IF(DATOS_[[Sexo]:[Sexo]]=$B71,IF(DATOS_[[AGRUP. CLAS. PROF.]:[AGRUP. CLAS. PROF.]]=$B69,IF(DATOS_[[Check Periodo Ref.]:[Check Periodo Ref.]]="Dentro",IF(DATOS_[[Check Equiparado]:[Check Equiparado]]="Sí",IF(DATOS!BE$4="Sí",(1/DATOS_[[% anualiz]:[% anualiz]]),1)*IF(DATOS!BE$5="Sí",1/DATOS_[[% normaliz]:[% normaliz]],1)*(DATOS_[Conc.Sal.27])))))))), 0)</f>
        <v>0</v>
      </c>
      <c r="AK71" s="302" t="n">
        <f aca="false" t="array" ref="AK71:AK71">IFERROR( (AVERAGE((IF(DATOS_[[Sexo]:[Sexo]]=$B71,IF(DATOS_[[AGRUP. CLAS. PROF.]:[AGRUP. CLAS. PROF.]]=$B69,IF(DATOS_[[Check Periodo Ref.]:[Check Periodo Ref.]]="Dentro",IF(DATOS_[[Check Equiparado]:[Check Equiparado]]="Sí",IF(DATOS!BF$4="Sí",(1/DATOS_[[% anualiz]:[% anualiz]]),1)*IF(DATOS!BF$5="Sí",1/DATOS_[[% normaliz]:[% normaliz]],1)*(DATOS_[Conc.Sal.28])))))))), 0)</f>
        <v>0</v>
      </c>
      <c r="AL71" s="302" t="n">
        <f aca="false" t="array" ref="AL71:AL71">IFERROR( (AVERAGE((IF(DATOS_[[Sexo]:[Sexo]]=$B71,IF(DATOS_[[AGRUP. CLAS. PROF.]:[AGRUP. CLAS. PROF.]]=$B69,IF(DATOS_[[Check Periodo Ref.]:[Check Periodo Ref.]]="Dentro",IF(DATOS_[[Check Equiparado]:[Check Equiparado]]="Sí",IF(DATOS!BG$4="Sí",(1/DATOS_[[% anualiz]:[% anualiz]]),1)*IF(DATOS!BG$5="Sí",1/DATOS_[[% normaliz]:[% normaliz]],1)*(DATOS_[Conc.Sal.29])))))))), 0)</f>
        <v>0</v>
      </c>
      <c r="AM71" s="302" t="n">
        <f aca="false" t="array" ref="AM71:AM71">IFERROR( (AVERAGE((IF(DATOS_[[Sexo]:[Sexo]]=$B71,IF(DATOS_[[AGRUP. CLAS. PROF.]:[AGRUP. CLAS. PROF.]]=$B69,IF(DATOS_[[Check Periodo Ref.]:[Check Periodo Ref.]]="Dentro",IF(DATOS_[[Check Equiparado]:[Check Equiparado]]="Sí",IF(DATOS!BH$4="Sí",(1/DATOS_[[% anualiz]:[% anualiz]]),1)*IF(DATOS!BH$5="Sí",1/DATOS_[[% normaliz]:[% normaliz]],1)*(DATOS_[Conc.Sal.30])))))))), 0)</f>
        <v>0</v>
      </c>
      <c r="AN71" s="294" t="n">
        <f aca="false" t="array" ref="AN71:AN71">IFERROR( AVERAGE(IF(DATOS_[Sexo]=$B71,IF(DATOS_[[AGRUP. CLAS. PROF.]:[AGRUP. CLAS. PROF.]]=$B69,IF(DATOS_[Check Equiparado]="Sí",IF(DATOS_[Check Periodo Ref.]="Dentro",DATOS_[Tot COMPL.SAL Eq],0))))), 0)</f>
        <v>0</v>
      </c>
      <c r="AO71" s="295" t="n">
        <f aca="false" t="array" ref="AO71:AO71">IFERROR( AVERAGE(IF(DATOS_[Sexo]=$B71,IF(DATOS_[[AGRUP. CLAS. PROF.]:[AGRUP. CLAS. PROF.]]=$B69,IF(DATOS_[Check Equiparado]="Sí",IF(DATOS_[Check Periodo Ref.]="Dentro",DATOS_[TOTAL SALARIO Eq],0))))), 0)</f>
        <v>0</v>
      </c>
      <c r="AP71" s="303" t="n">
        <f aca="false" t="array" ref="AP71:AP71">IFERROR( (AVERAGE((IF(DATOS_[[Sexo]:[Sexo]]=$B71,IF(DATOS_[[AGRUP. CLAS. PROF.]:[AGRUP. CLAS. PROF.]]=$B70,IF(DATOS_[[Check Periodo Ref.]:[Check Periodo Ref.]]="Dentro",IF(DATOS_[[Check Equiparado]:[Check Equiparado]]="Sí",IF(DATOS!BI$4="Sí",(1/DATOS_[[% anualiz]:[% anualiz]]),1)*IF(DATOS!BI$5="Sí",1/DATOS_[[% normaliz]:[% normaliz]],1)*(DATOS_[C.Extra.01])))))))), 0)</f>
        <v>0</v>
      </c>
      <c r="AQ71" s="303" t="n">
        <f aca="false" t="array" ref="AQ71:AQ71">IFERROR( (AVERAGE((IF(DATOS_[[Sexo]:[Sexo]]=$B71,IF(DATOS_[[AGRUP. CLAS. PROF.]:[AGRUP. CLAS. PROF.]]=$B70,IF(DATOS_[[Check Periodo Ref.]:[Check Periodo Ref.]]="Dentro",IF(DATOS_[[Check Equiparado]:[Check Equiparado]]="Sí",IF(DATOS!BJ$4="Sí",(1/DATOS_[[% anualiz]:[% anualiz]]),1)*IF(DATOS!BJ$5="Sí",1/DATOS_[[% normaliz]:[% normaliz]],1)*(DATOS_[C.Extra.02])))))))), 0)</f>
        <v>0</v>
      </c>
      <c r="AR71" s="303" t="n">
        <f aca="false" t="array" ref="AR71:AR71">IFERROR( (AVERAGE((IF(DATOS_[[Sexo]:[Sexo]]=$B71,IF(DATOS_[[AGRUP. CLAS. PROF.]:[AGRUP. CLAS. PROF.]]=$B70,IF(DATOS_[[Check Periodo Ref.]:[Check Periodo Ref.]]="Dentro",IF(DATOS_[[Check Equiparado]:[Check Equiparado]]="Sí",IF(DATOS!BK$4="Sí",(1/DATOS_[[% anualiz]:[% anualiz]]),1)*IF(DATOS!BK$5="Sí",1/DATOS_[[% normaliz]:[% normaliz]],1)*(DATOS_[C.Extra.03])))))))), 0)</f>
        <v>0</v>
      </c>
      <c r="AS71" s="303" t="n">
        <f aca="false" t="array" ref="AS71:AS71">IFERROR( (AVERAGE((IF(DATOS_[[Sexo]:[Sexo]]=$B71,IF(DATOS_[[AGRUP. CLAS. PROF.]:[AGRUP. CLAS. PROF.]]=$B70,IF(DATOS_[[Check Periodo Ref.]:[Check Periodo Ref.]]="Dentro",IF(DATOS_[[Check Equiparado]:[Check Equiparado]]="Sí",IF(DATOS!BL$4="Sí",(1/DATOS_[[% anualiz]:[% anualiz]]),1)*IF(DATOS!BL$5="Sí",1/DATOS_[[% normaliz]:[% normaliz]],1)*(DATOS_[C.Extra.04])))))))), 0)</f>
        <v>0</v>
      </c>
      <c r="AT71" s="303" t="n">
        <f aca="false" t="array" ref="AT71:AT71">IFERROR( (AVERAGE((IF(DATOS_[[Sexo]:[Sexo]]=$B71,IF(DATOS_[[AGRUP. CLAS. PROF.]:[AGRUP. CLAS. PROF.]]=$B70,IF(DATOS_[[Check Periodo Ref.]:[Check Periodo Ref.]]="Dentro",IF(DATOS_[[Check Equiparado]:[Check Equiparado]]="Sí",IF(DATOS!BM$4="Sí",(1/DATOS_[[% anualiz]:[% anualiz]]),1)*IF(DATOS!BM$5="Sí",1/DATOS_[[% normaliz]:[% normaliz]],1)*(DATOS_[C.Extra.05])))))))), 0)</f>
        <v>0</v>
      </c>
      <c r="AU71" s="297" t="n">
        <f aca="false" t="array" ref="AU71:AU71">IFERROR( AVERAGE(IF(DATOS_[Sexo]=$B71,IF(DATOS_[[AGRUP. CLAS. PROF.]:[AGRUP. CLAS. PROF.]]=$B69,IF(DATOS_[Check Equiparado]="Sí",IF(DATOS_[Check Periodo Ref.]="Dentro",DATOS_[Tot Extrasalarial Eq],0))))), 0)</f>
        <v>0</v>
      </c>
      <c r="AV71" s="298" t="n">
        <f aca="false" t="array" ref="AV71:AV71">IFERROR( AVERAGE(IF(DATOS_[Sexo]=$B71,IF(DATOS_[[AGRUP. CLAS. PROF.]:[AGRUP. CLAS. PROF.]]=$B69,IF(DATOS_[Check Equiparado]="Sí",IF(DATOS_[Check Periodo Ref.]="Dentro",DATOS_[TOTAL Retrib Eq],0))))), 0)</f>
        <v>0</v>
      </c>
    </row>
    <row r="72" customFormat="false" ht="15.75" hidden="false" customHeight="false" outlineLevel="0" collapsed="false">
      <c r="A72" s="166" t="str">
        <f aca="false">+A73</f>
        <v>[ocultar]</v>
      </c>
      <c r="B72" s="276" t="s">
        <v>225</v>
      </c>
      <c r="C72" s="277"/>
      <c r="D72" s="278"/>
      <c r="E72" s="278"/>
      <c r="F72" s="278"/>
      <c r="G72" s="278"/>
      <c r="H72" s="278"/>
      <c r="I72" s="279" t="str">
        <f aca="false">IFERROR((I73-I74)/I73,"")</f>
        <v/>
      </c>
      <c r="J72" s="280" t="str">
        <f aca="false">IFERROR((J73-J74)/J73,"")</f>
        <v/>
      </c>
      <c r="K72" s="281" t="str">
        <f aca="false">IFERROR((K73-K74)/K73,"")</f>
        <v/>
      </c>
      <c r="L72" s="281" t="str">
        <f aca="false">IFERROR((L73-L74)/L73,"")</f>
        <v/>
      </c>
      <c r="M72" s="281" t="str">
        <f aca="false">IFERROR((M73-M74)/M73,"")</f>
        <v/>
      </c>
      <c r="N72" s="282" t="str">
        <f aca="false">IFERROR((N73-N74)/N73,"")</f>
        <v/>
      </c>
      <c r="O72" s="283" t="str">
        <f aca="false">IFERROR((O73-O74)/O73,"")</f>
        <v/>
      </c>
      <c r="P72" s="283" t="str">
        <f aca="false">IFERROR((P73-P74)/P73,"")</f>
        <v/>
      </c>
      <c r="Q72" s="283" t="str">
        <f aca="false">IFERROR((Q73-Q74)/Q73,"")</f>
        <v/>
      </c>
      <c r="R72" s="283" t="str">
        <f aca="false">IFERROR((R73-R74)/R73,"")</f>
        <v/>
      </c>
      <c r="S72" s="283" t="str">
        <f aca="false">IFERROR((S73-S74)/S73,"")</f>
        <v/>
      </c>
      <c r="T72" s="283" t="str">
        <f aca="false">IFERROR((T73-T74)/T73,"")</f>
        <v/>
      </c>
      <c r="U72" s="283" t="str">
        <f aca="false">IFERROR((U73-U74)/U73,"")</f>
        <v/>
      </c>
      <c r="V72" s="283" t="str">
        <f aca="false">IFERROR((V73-V74)/V73,"")</f>
        <v/>
      </c>
      <c r="W72" s="283" t="str">
        <f aca="false">IFERROR((W73-W74)/W73,"")</f>
        <v/>
      </c>
      <c r="X72" s="283" t="str">
        <f aca="false">IFERROR((X73-X74)/X73,"")</f>
        <v/>
      </c>
      <c r="Y72" s="283" t="str">
        <f aca="false">IFERROR((Y73-Y74)/Y73,"")</f>
        <v/>
      </c>
      <c r="Z72" s="282" t="str">
        <f aca="false">IFERROR((Z73-Z74)/Z73,"")</f>
        <v/>
      </c>
      <c r="AA72" s="282" t="str">
        <f aca="false">IFERROR((AA73-AA74)/AA73,"")</f>
        <v/>
      </c>
      <c r="AB72" s="282" t="str">
        <f aca="false">IFERROR((AB73-AB74)/AB73,"")</f>
        <v/>
      </c>
      <c r="AC72" s="282" t="str">
        <f aca="false">IFERROR((AC73-AC74)/AC73,"")</f>
        <v/>
      </c>
      <c r="AD72" s="282" t="str">
        <f aca="false">IFERROR((AD73-AD74)/AD73,"")</f>
        <v/>
      </c>
      <c r="AE72" s="282" t="str">
        <f aca="false">IFERROR((AE73-AE74)/AE73,"")</f>
        <v/>
      </c>
      <c r="AF72" s="282" t="str">
        <f aca="false">IFERROR((AF73-AF74)/AF73,"")</f>
        <v/>
      </c>
      <c r="AG72" s="282" t="str">
        <f aca="false">IFERROR((AG73-AG74)/AG73,"")</f>
        <v/>
      </c>
      <c r="AH72" s="282" t="str">
        <f aca="false">IFERROR((AH73-AH74)/AH73,"")</f>
        <v/>
      </c>
      <c r="AI72" s="282" t="str">
        <f aca="false">IFERROR((AI73-AI74)/AI73,"")</f>
        <v/>
      </c>
      <c r="AJ72" s="282" t="str">
        <f aca="false">IFERROR((AJ73-AJ74)/AJ73,"")</f>
        <v/>
      </c>
      <c r="AK72" s="282" t="str">
        <f aca="false">IFERROR((AK73-AK74)/AK73,"")</f>
        <v/>
      </c>
      <c r="AL72" s="282" t="str">
        <f aca="false">IFERROR((AL73-AL74)/AL73,"")</f>
        <v/>
      </c>
      <c r="AM72" s="282" t="str">
        <f aca="false">IFERROR((AM73-AM74)/AM73,"")</f>
        <v/>
      </c>
      <c r="AN72" s="284" t="str">
        <f aca="false">IFERROR((AN73-AN74)/AN73,"")</f>
        <v/>
      </c>
      <c r="AO72" s="285" t="str">
        <f aca="false">IFERROR((AO73-AO74)/AO73,"")</f>
        <v/>
      </c>
      <c r="AP72" s="286" t="str">
        <f aca="false">IFERROR((AP73-AP74)/AP73,"")</f>
        <v/>
      </c>
      <c r="AQ72" s="286" t="str">
        <f aca="false">IFERROR((AQ73-AQ74)/AQ73,"")</f>
        <v/>
      </c>
      <c r="AR72" s="286" t="str">
        <f aca="false">IFERROR((AR73-AR74)/AR73,"")</f>
        <v/>
      </c>
      <c r="AS72" s="286" t="str">
        <f aca="false">IFERROR((AS73-AS74)/AS73,"")</f>
        <v/>
      </c>
      <c r="AT72" s="286" t="str">
        <f aca="false">IFERROR((AT73-AT74)/AT73,"")</f>
        <v/>
      </c>
      <c r="AU72" s="287" t="str">
        <f aca="false">IFERROR((AU73-AU74)/AU73,"")</f>
        <v/>
      </c>
      <c r="AV72" s="288" t="str">
        <f aca="false">IFERROR((AV73-AV74)/AV73,"")</f>
        <v/>
      </c>
    </row>
    <row r="73" customFormat="false" ht="14.25" hidden="false" customHeight="false" outlineLevel="0" collapsed="false">
      <c r="A73" s="166" t="str">
        <f aca="false">+IF(C73+C74=0,"[ocultar]","")</f>
        <v>[ocultar]</v>
      </c>
      <c r="B73" s="289" t="s">
        <v>371</v>
      </c>
      <c r="C73" s="290" t="n">
        <f aca="false" t="array" ref="C73:C73">SUM(IF($B73=DATOS_[Sexo], IF($B72=DATOS_[AGRUP. CLAS. PROF.], IF("Dentro"=DATOS_[Check Periodo Ref.], 1/(COUNTIFS(DATOS_[Sexo],$B73,DATOS_[AGRUP. CLAS. PROF.],$B72,DATOS_[Check Periodo Ref.],"Dentro",DATOS_[id],DATOS_[id]))))))</f>
        <v>0</v>
      </c>
      <c r="D73" s="291" t="n">
        <f aca="false">COUNTIFS(DATOS_[AGRUP. CLAS. PROF.],$B72,DATOS_[Sexo],$B73,DATOS_[Check Periodo Ref.],"Dentro")</f>
        <v>0</v>
      </c>
      <c r="E73" s="291" t="n">
        <f aca="false">COUNTIFS(DATOS_[AGRUP. CLAS. PROF.],$B72,DATOS_[Sexo],$B73,DATOS_[Check Periodo Ref.],"Dentro",DATOS_[Check Nº SC Norm],"Sí")</f>
        <v>0</v>
      </c>
      <c r="F73" s="291" t="n">
        <f aca="false">COUNTIFS(DATOS_[AGRUP. CLAS. PROF.],$B72,DATOS_[Sexo],$B73,DATOS_[Check Periodo Ref.],"Dentro",DATOS_[Check Nº SC Anualiz],"Sí")</f>
        <v>0</v>
      </c>
      <c r="G73" s="291" t="n">
        <f aca="false">COUNTIFS(DATOS_[AGRUP. CLAS. PROF.],$B72,DATOS_[Sexo],$B73,DATOS_[Check Periodo Ref.],"Dentro",DATOS_[Check Nº SC Norm y Anualiz],"Sí")</f>
        <v>0</v>
      </c>
      <c r="H73" s="291" t="n">
        <f aca="false">COUNTIFS(DATOS_[AGRUP. CLAS. PROF.],$B72,DATOS_[Sexo],$B73,DATOS_[Check Periodo Ref.],"Dentro",DATOS_[Check Equiparación],"Sí")</f>
        <v>0</v>
      </c>
      <c r="I73" s="292" t="n">
        <f aca="false" t="array" ref="I73:I73">IFERROR( AVERAGE(IF(DATOS_[Sexo]=$B73,IF(DATOS_[[AGRUP. CLAS. PROF.]:[AGRUP. CLAS. PROF.]]=$B72,IF(DATOS_[Check Equiparado]="Sí",IF(DATOS_[Check Periodo Ref.]="Dentro",DATOS_[SALARIO BASE Eq],0))))), 0)</f>
        <v>0</v>
      </c>
      <c r="J73" s="302" t="n">
        <f aca="false" t="array" ref="J73:J73">IFERROR( (AVERAGE((IF(DATOS_[[Sexo]:[Sexo]]=$B73,IF(DATOS_[[AGRUP. CLAS. PROF.]:[AGRUP. CLAS. PROF.]]=$B72,IF(DATOS_[[Check Periodo Ref.]:[Check Periodo Ref.]]="Dentro",IF(DATOS_[[Check Equiparado]:[Check Equiparado]]="Sí",IF(DATOS!AE$4="Sí",(1/DATOS_[[% anualiz]:[% anualiz]]),1)*IF(DATOS!AE$5="Sí",1/DATOS_[[% normaliz]:[% normaliz]],1)*(DATOS_[Conc.Sal.01])))))))), 0)</f>
        <v>0</v>
      </c>
      <c r="K73" s="302" t="n">
        <f aca="false" t="array" ref="K73:K73">IFERROR( (AVERAGE((IF(DATOS_[[Sexo]:[Sexo]]=$B73,IF(DATOS_[[AGRUP. CLAS. PROF.]:[AGRUP. CLAS. PROF.]]=$B72,IF(DATOS_[[Check Periodo Ref.]:[Check Periodo Ref.]]="Dentro",IF(DATOS_[[Check Equiparado]:[Check Equiparado]]="Sí",IF(DATOS!AF$4="Sí",(1/DATOS_[[% anualiz]:[% anualiz]]),1)*IF(DATOS!AF$5="Sí",1/DATOS_[[% normaliz]:[% normaliz]],1)*(DATOS_[Conc.Sal.02])))))))), 0)</f>
        <v>0</v>
      </c>
      <c r="L73" s="302" t="n">
        <f aca="false" t="array" ref="L73:L73">IFERROR( (AVERAGE((IF(DATOS_[[Sexo]:[Sexo]]=$B73,IF(DATOS_[[AGRUP. CLAS. PROF.]:[AGRUP. CLAS. PROF.]]=$B72,IF(DATOS_[[Check Periodo Ref.]:[Check Periodo Ref.]]="Dentro",IF(DATOS_[[Check Equiparado]:[Check Equiparado]]="Sí",IF(DATOS!AG$4="Sí",(1/DATOS_[[% anualiz]:[% anualiz]]),1)*IF(DATOS!AG$5="Sí",1/DATOS_[[% normaliz]:[% normaliz]],1)*(DATOS_[Conc.Sal.03])))))))), 0)</f>
        <v>0</v>
      </c>
      <c r="M73" s="302" t="n">
        <f aca="false" t="array" ref="M73:M73">IFERROR( (AVERAGE((IF(DATOS_[[Sexo]:[Sexo]]=$B73,IF(DATOS_[[AGRUP. CLAS. PROF.]:[AGRUP. CLAS. PROF.]]=$B72,IF(DATOS_[[Check Periodo Ref.]:[Check Periodo Ref.]]="Dentro",IF(DATOS_[[Check Equiparado]:[Check Equiparado]]="Sí",IF(DATOS!AH$4="Sí",(1/DATOS_[[% anualiz]:[% anualiz]]),1)*IF(DATOS!AH$5="Sí",1/DATOS_[[% normaliz]:[% normaliz]],1)*(DATOS_[Conc.Sal.04])))))))), 0)</f>
        <v>0</v>
      </c>
      <c r="N73" s="302" t="n">
        <f aca="false" t="array" ref="N73:N73">IFERROR( (AVERAGE((IF(DATOS_[[Sexo]:[Sexo]]=$B73,IF(DATOS_[[AGRUP. CLAS. PROF.]:[AGRUP. CLAS. PROF.]]=$B72,IF(DATOS_[[Check Periodo Ref.]:[Check Periodo Ref.]]="Dentro",IF(DATOS_[[Check Equiparado]:[Check Equiparado]]="Sí",IF(DATOS!AI$4="Sí",(1/DATOS_[[% anualiz]:[% anualiz]]),1)*IF(DATOS!AI$5="Sí",1/DATOS_[[% normaliz]:[% normaliz]],1)*(DATOS_[Conc.Sal.05])))))))), 0)</f>
        <v>0</v>
      </c>
      <c r="O73" s="302" t="n">
        <f aca="false" t="array" ref="O73:O73">IFERROR( (AVERAGE((IF(DATOS_[[Sexo]:[Sexo]]=$B73,IF(DATOS_[[AGRUP. CLAS. PROF.]:[AGRUP. CLAS. PROF.]]=$B72,IF(DATOS_[[Check Periodo Ref.]:[Check Periodo Ref.]]="Dentro",IF(DATOS_[[Check Equiparado]:[Check Equiparado]]="Sí",IF(DATOS!AJ$4="Sí",(1/DATOS_[[% anualiz]:[% anualiz]]),1)*IF(DATOS!AJ$5="Sí",1/DATOS_[[% normaliz]:[% normaliz]],1)*(DATOS_[Conc.Sal.06])))))))), 0)</f>
        <v>0</v>
      </c>
      <c r="P73" s="302" t="n">
        <f aca="false" t="array" ref="P73:P73">IFERROR( (AVERAGE((IF(DATOS_[[Sexo]:[Sexo]]=$B73,IF(DATOS_[[AGRUP. CLAS. PROF.]:[AGRUP. CLAS. PROF.]]=$B72,IF(DATOS_[[Check Periodo Ref.]:[Check Periodo Ref.]]="Dentro",IF(DATOS_[[Check Equiparado]:[Check Equiparado]]="Sí",IF(DATOS!AK$4="Sí",(1/DATOS_[[% anualiz]:[% anualiz]]),1)*IF(DATOS!AK$5="Sí",1/DATOS_[[% normaliz]:[% normaliz]],1)*(DATOS_[Conc.Sal.07])))))))), 0)</f>
        <v>0</v>
      </c>
      <c r="Q73" s="302" t="n">
        <f aca="false" t="array" ref="Q73:Q73">IFERROR( (AVERAGE((IF(DATOS_[[Sexo]:[Sexo]]=$B73,IF(DATOS_[[AGRUP. CLAS. PROF.]:[AGRUP. CLAS. PROF.]]=$B72,IF(DATOS_[[Check Periodo Ref.]:[Check Periodo Ref.]]="Dentro",IF(DATOS_[[Check Equiparado]:[Check Equiparado]]="Sí",IF(DATOS!AL$4="Sí",(1/DATOS_[[% anualiz]:[% anualiz]]),1)*IF(DATOS!AL$5="Sí",1/DATOS_[[% normaliz]:[% normaliz]],1)*(DATOS_[Conc.Sal.08])))))))), 0)</f>
        <v>0</v>
      </c>
      <c r="R73" s="302" t="n">
        <f aca="false" t="array" ref="R73:R73">IFERROR( (AVERAGE((IF(DATOS_[[Sexo]:[Sexo]]=$B73,IF(DATOS_[[AGRUP. CLAS. PROF.]:[AGRUP. CLAS. PROF.]]=$B72,IF(DATOS_[[Check Periodo Ref.]:[Check Periodo Ref.]]="Dentro",IF(DATOS_[[Check Equiparado]:[Check Equiparado]]="Sí",IF(DATOS!AM$4="Sí",(1/DATOS_[[% anualiz]:[% anualiz]]),1)*IF(DATOS!AM$5="Sí",1/DATOS_[[% normaliz]:[% normaliz]],1)*(DATOS_[Conc.Sal.09])))))))), 0)</f>
        <v>0</v>
      </c>
      <c r="S73" s="302" t="n">
        <f aca="false" t="array" ref="S73:S73">IFERROR( (AVERAGE((IF(DATOS_[[Sexo]:[Sexo]]=$B73,IF(DATOS_[[AGRUP. CLAS. PROF.]:[AGRUP. CLAS. PROF.]]=$B72,IF(DATOS_[[Check Periodo Ref.]:[Check Periodo Ref.]]="Dentro",IF(DATOS_[[Check Equiparado]:[Check Equiparado]]="Sí",IF(DATOS!AN$4="Sí",(1/DATOS_[[% anualiz]:[% anualiz]]),1)*IF(DATOS!AN$5="Sí",1/DATOS_[[% normaliz]:[% normaliz]],1)*(DATOS_[Conc.Sal.10])))))))), 0)</f>
        <v>0</v>
      </c>
      <c r="T73" s="302" t="n">
        <f aca="false" t="array" ref="T73:T73">IFERROR( (AVERAGE((IF(DATOS_[[Sexo]:[Sexo]]=$B73,IF(DATOS_[[AGRUP. CLAS. PROF.]:[AGRUP. CLAS. PROF.]]=$B72,IF(DATOS_[[Check Periodo Ref.]:[Check Periodo Ref.]]="Dentro",IF(DATOS_[[Check Equiparado]:[Check Equiparado]]="Sí",IF(DATOS!AO$4="Sí",(1/DATOS_[[% anualiz]:[% anualiz]]),1)*IF(DATOS!AO$5="Sí",1/DATOS_[[% normaliz]:[% normaliz]],1)*(DATOS_[Conc.Sal.11])))))))), 0)</f>
        <v>0</v>
      </c>
      <c r="U73" s="302" t="n">
        <f aca="false" t="array" ref="U73:U73">IFERROR( (AVERAGE((IF(DATOS_[[Sexo]:[Sexo]]=$B73,IF(DATOS_[[AGRUP. CLAS. PROF.]:[AGRUP. CLAS. PROF.]]=$B72,IF(DATOS_[[Check Periodo Ref.]:[Check Periodo Ref.]]="Dentro",IF(DATOS_[[Check Equiparado]:[Check Equiparado]]="Sí",IF(DATOS!AP$4="Sí",(1/DATOS_[[% anualiz]:[% anualiz]]),1)*IF(DATOS!AP$5="Sí",1/DATOS_[[% normaliz]:[% normaliz]],1)*(DATOS_[Conc.Sal.12])))))))), 0)</f>
        <v>0</v>
      </c>
      <c r="V73" s="302" t="n">
        <f aca="false" t="array" ref="V73:V73">IFERROR( (AVERAGE((IF(DATOS_[[Sexo]:[Sexo]]=$B73,IF(DATOS_[[AGRUP. CLAS. PROF.]:[AGRUP. CLAS. PROF.]]=$B72,IF(DATOS_[[Check Periodo Ref.]:[Check Periodo Ref.]]="Dentro",IF(DATOS_[[Check Equiparado]:[Check Equiparado]]="Sí",IF(DATOS!AQ$4="Sí",(1/DATOS_[[% anualiz]:[% anualiz]]),1)*IF(DATOS!AQ$5="Sí",1/DATOS_[[% normaliz]:[% normaliz]],1)*(DATOS_[Conc.Sal.13])))))))), 0)</f>
        <v>0</v>
      </c>
      <c r="W73" s="302" t="n">
        <f aca="false" t="array" ref="W73:W73">IFERROR( (AVERAGE((IF(DATOS_[[Sexo]:[Sexo]]=$B73,IF(DATOS_[[AGRUP. CLAS. PROF.]:[AGRUP. CLAS. PROF.]]=$B72,IF(DATOS_[[Check Periodo Ref.]:[Check Periodo Ref.]]="Dentro",IF(DATOS_[[Check Equiparado]:[Check Equiparado]]="Sí",IF(DATOS!AR$4="Sí",(1/DATOS_[[% anualiz]:[% anualiz]]),1)*IF(DATOS!AR$5="Sí",1/DATOS_[[% normaliz]:[% normaliz]],1)*(DATOS_[Conc.Sal.14])))))))), 0)</f>
        <v>0</v>
      </c>
      <c r="X73" s="302" t="n">
        <f aca="false" t="array" ref="X73:X73">IFERROR( (AVERAGE((IF(DATOS_[[Sexo]:[Sexo]]=$B73,IF(DATOS_[[AGRUP. CLAS. PROF.]:[AGRUP. CLAS. PROF.]]=$B72,IF(DATOS_[[Check Periodo Ref.]:[Check Periodo Ref.]]="Dentro",IF(DATOS_[[Check Equiparado]:[Check Equiparado]]="Sí",IF(DATOS!AS$4="Sí",(1/DATOS_[[% anualiz]:[% anualiz]]),1)*IF(DATOS!AS$5="Sí",1/DATOS_[[% normaliz]:[% normaliz]],1)*(DATOS_[Conc.Sal.15])))))))), 0)</f>
        <v>0</v>
      </c>
      <c r="Y73" s="302" t="n">
        <f aca="false" t="array" ref="Y73:Y73">IFERROR( (AVERAGE((IF(DATOS_[[Sexo]:[Sexo]]=$B73,IF(DATOS_[[AGRUP. CLAS. PROF.]:[AGRUP. CLAS. PROF.]]=$B72,IF(DATOS_[[Check Periodo Ref.]:[Check Periodo Ref.]]="Dentro",IF(DATOS_[[Check Equiparado]:[Check Equiparado]]="Sí",IF(DATOS!AT$4="Sí",(1/DATOS_[[% anualiz]:[% anualiz]]),1)*IF(DATOS!AT$5="Sí",1/DATOS_[[% normaliz]:[% normaliz]],1)*(DATOS_[Conc.Sal.16])))))))), 0)</f>
        <v>0</v>
      </c>
      <c r="Z73" s="302" t="n">
        <f aca="false" t="array" ref="Z73:Z73">IFERROR( (AVERAGE((IF(DATOS_[[Sexo]:[Sexo]]=$B73,IF(DATOS_[[AGRUP. CLAS. PROF.]:[AGRUP. CLAS. PROF.]]=$B72,IF(DATOS_[[Check Periodo Ref.]:[Check Periodo Ref.]]="Dentro",IF(DATOS_[[Check Equiparado]:[Check Equiparado]]="Sí",IF(DATOS!AU$4="Sí",(1/DATOS_[[% anualiz]:[% anualiz]]),1)*IF(DATOS!AU$5="Sí",1/DATOS_[[% normaliz]:[% normaliz]],1)*(DATOS_[Conc.Sal.17])))))))), 0)</f>
        <v>0</v>
      </c>
      <c r="AA73" s="302" t="n">
        <f aca="false" t="array" ref="AA73:AA73">IFERROR( (AVERAGE((IF(DATOS_[[Sexo]:[Sexo]]=$B73,IF(DATOS_[[AGRUP. CLAS. PROF.]:[AGRUP. CLAS. PROF.]]=$B72,IF(DATOS_[[Check Periodo Ref.]:[Check Periodo Ref.]]="Dentro",IF(DATOS_[[Check Equiparado]:[Check Equiparado]]="Sí",IF(DATOS!AV$4="Sí",(1/DATOS_[[% anualiz]:[% anualiz]]),1)*IF(DATOS!AV$5="Sí",1/DATOS_[[% normaliz]:[% normaliz]],1)*(DATOS_[Conc.Sal.18])))))))), 0)</f>
        <v>0</v>
      </c>
      <c r="AB73" s="302" t="n">
        <f aca="false" t="array" ref="AB73:AB73">IFERROR( (AVERAGE((IF(DATOS_[[Sexo]:[Sexo]]=$B73,IF(DATOS_[[AGRUP. CLAS. PROF.]:[AGRUP. CLAS. PROF.]]=$B72,IF(DATOS_[[Check Periodo Ref.]:[Check Periodo Ref.]]="Dentro",IF(DATOS_[[Check Equiparado]:[Check Equiparado]]="Sí",IF(DATOS!AW$4="Sí",(1/DATOS_[[% anualiz]:[% anualiz]]),1)*IF(DATOS!AW$5="Sí",1/DATOS_[[% normaliz]:[% normaliz]],1)*(DATOS_[Conc.Sal.19])))))))), 0)</f>
        <v>0</v>
      </c>
      <c r="AC73" s="302" t="n">
        <f aca="false" t="array" ref="AC73:AC73">IFERROR( (AVERAGE((IF(DATOS_[[Sexo]:[Sexo]]=$B73,IF(DATOS_[[AGRUP. CLAS. PROF.]:[AGRUP. CLAS. PROF.]]=$B72,IF(DATOS_[[Check Periodo Ref.]:[Check Periodo Ref.]]="Dentro",IF(DATOS_[[Check Equiparado]:[Check Equiparado]]="Sí",IF(DATOS!AX$4="Sí",(1/DATOS_[[% anualiz]:[% anualiz]]),1)*IF(DATOS!AX$5="Sí",1/DATOS_[[% normaliz]:[% normaliz]],1)*(DATOS_[Conc.Sal.20])))))))), 0)</f>
        <v>0</v>
      </c>
      <c r="AD73" s="302" t="n">
        <f aca="false" t="array" ref="AD73:AD73">IFERROR( (AVERAGE((IF(DATOS_[[Sexo]:[Sexo]]=$B73,IF(DATOS_[[AGRUP. CLAS. PROF.]:[AGRUP. CLAS. PROF.]]=$B72,IF(DATOS_[[Check Periodo Ref.]:[Check Periodo Ref.]]="Dentro",IF(DATOS_[[Check Equiparado]:[Check Equiparado]]="Sí",IF(DATOS!AY$4="Sí",(1/DATOS_[[% anualiz]:[% anualiz]]),1)*IF(DATOS!AY$5="Sí",1/DATOS_[[% normaliz]:[% normaliz]],1)*(DATOS_[Conc.Sal.21])))))))), 0)</f>
        <v>0</v>
      </c>
      <c r="AE73" s="302" t="n">
        <f aca="false" t="array" ref="AE73:AE73">IFERROR( (AVERAGE((IF(DATOS_[[Sexo]:[Sexo]]=$B73,IF(DATOS_[[AGRUP. CLAS. PROF.]:[AGRUP. CLAS. PROF.]]=$B72,IF(DATOS_[[Check Periodo Ref.]:[Check Periodo Ref.]]="Dentro",IF(DATOS_[[Check Equiparado]:[Check Equiparado]]="Sí",IF(DATOS!AZ$4="Sí",(1/DATOS_[[% anualiz]:[% anualiz]]),1)*IF(DATOS!AZ$5="Sí",1/DATOS_[[% normaliz]:[% normaliz]],1)*(DATOS_[Conc.Sal.22])))))))), 0)</f>
        <v>0</v>
      </c>
      <c r="AF73" s="302" t="n">
        <f aca="false" t="array" ref="AF73:AF73">IFERROR( (AVERAGE((IF(DATOS_[[Sexo]:[Sexo]]=$B73,IF(DATOS_[[AGRUP. CLAS. PROF.]:[AGRUP. CLAS. PROF.]]=$B72,IF(DATOS_[[Check Periodo Ref.]:[Check Periodo Ref.]]="Dentro",IF(DATOS_[[Check Equiparado]:[Check Equiparado]]="Sí",IF(DATOS!BA$4="Sí",(1/DATOS_[[% anualiz]:[% anualiz]]),1)*IF(DATOS!BA$5="Sí",1/DATOS_[[% normaliz]:[% normaliz]],1)*(DATOS_[Conc.Sal.23])))))))), 0)</f>
        <v>0</v>
      </c>
      <c r="AG73" s="302" t="n">
        <f aca="false" t="array" ref="AG73:AG73">IFERROR( (AVERAGE((IF(DATOS_[[Sexo]:[Sexo]]=$B73,IF(DATOS_[[AGRUP. CLAS. PROF.]:[AGRUP. CLAS. PROF.]]=$B72,IF(DATOS_[[Check Periodo Ref.]:[Check Periodo Ref.]]="Dentro",IF(DATOS_[[Check Equiparado]:[Check Equiparado]]="Sí",IF(DATOS!BB$4="Sí",(1/DATOS_[[% anualiz]:[% anualiz]]),1)*IF(DATOS!BB$5="Sí",1/DATOS_[[% normaliz]:[% normaliz]],1)*(DATOS_[Conc.Sal.24])))))))), 0)</f>
        <v>0</v>
      </c>
      <c r="AH73" s="302" t="n">
        <f aca="false" t="array" ref="AH73:AH73">IFERROR( (AVERAGE((IF(DATOS_[[Sexo]:[Sexo]]=$B73,IF(DATOS_[[AGRUP. CLAS. PROF.]:[AGRUP. CLAS. PROF.]]=$B72,IF(DATOS_[[Check Periodo Ref.]:[Check Periodo Ref.]]="Dentro",IF(DATOS_[[Check Equiparado]:[Check Equiparado]]="Sí",IF(DATOS!BC$4="Sí",(1/DATOS_[[% anualiz]:[% anualiz]]),1)*IF(DATOS!BC$5="Sí",1/DATOS_[[% normaliz]:[% normaliz]],1)*(DATOS_[Conc.Sal.25])))))))), 0)</f>
        <v>0</v>
      </c>
      <c r="AI73" s="302" t="n">
        <f aca="false" t="array" ref="AI73:AI73">IFERROR( (AVERAGE((IF(DATOS_[[Sexo]:[Sexo]]=$B73,IF(DATOS_[[AGRUP. CLAS. PROF.]:[AGRUP. CLAS. PROF.]]=$B72,IF(DATOS_[[Check Periodo Ref.]:[Check Periodo Ref.]]="Dentro",IF(DATOS_[[Check Equiparado]:[Check Equiparado]]="Sí",IF(DATOS!BD$4="Sí",(1/DATOS_[[% anualiz]:[% anualiz]]),1)*IF(DATOS!BD$5="Sí",1/DATOS_[[% normaliz]:[% normaliz]],1)*(DATOS_[Conc.Sal.26])))))))), 0)</f>
        <v>0</v>
      </c>
      <c r="AJ73" s="302" t="n">
        <f aca="false" t="array" ref="AJ73:AJ73">IFERROR( (AVERAGE((IF(DATOS_[[Sexo]:[Sexo]]=$B73,IF(DATOS_[[AGRUP. CLAS. PROF.]:[AGRUP. CLAS. PROF.]]=$B72,IF(DATOS_[[Check Periodo Ref.]:[Check Periodo Ref.]]="Dentro",IF(DATOS_[[Check Equiparado]:[Check Equiparado]]="Sí",IF(DATOS!BE$4="Sí",(1/DATOS_[[% anualiz]:[% anualiz]]),1)*IF(DATOS!BE$5="Sí",1/DATOS_[[% normaliz]:[% normaliz]],1)*(DATOS_[Conc.Sal.27])))))))), 0)</f>
        <v>0</v>
      </c>
      <c r="AK73" s="302" t="n">
        <f aca="false" t="array" ref="AK73:AK73">IFERROR( (AVERAGE((IF(DATOS_[[Sexo]:[Sexo]]=$B73,IF(DATOS_[[AGRUP. CLAS. PROF.]:[AGRUP. CLAS. PROF.]]=$B72,IF(DATOS_[[Check Periodo Ref.]:[Check Periodo Ref.]]="Dentro",IF(DATOS_[[Check Equiparado]:[Check Equiparado]]="Sí",IF(DATOS!BF$4="Sí",(1/DATOS_[[% anualiz]:[% anualiz]]),1)*IF(DATOS!BF$5="Sí",1/DATOS_[[% normaliz]:[% normaliz]],1)*(DATOS_[Conc.Sal.28])))))))), 0)</f>
        <v>0</v>
      </c>
      <c r="AL73" s="302" t="n">
        <f aca="false" t="array" ref="AL73:AL73">IFERROR( (AVERAGE((IF(DATOS_[[Sexo]:[Sexo]]=$B73,IF(DATOS_[[AGRUP. CLAS. PROF.]:[AGRUP. CLAS. PROF.]]=$B72,IF(DATOS_[[Check Periodo Ref.]:[Check Periodo Ref.]]="Dentro",IF(DATOS_[[Check Equiparado]:[Check Equiparado]]="Sí",IF(DATOS!BG$4="Sí",(1/DATOS_[[% anualiz]:[% anualiz]]),1)*IF(DATOS!BG$5="Sí",1/DATOS_[[% normaliz]:[% normaliz]],1)*(DATOS_[Conc.Sal.29])))))))), 0)</f>
        <v>0</v>
      </c>
      <c r="AM73" s="302" t="n">
        <f aca="false" t="array" ref="AM73:AM73">IFERROR( (AVERAGE((IF(DATOS_[[Sexo]:[Sexo]]=$B73,IF(DATOS_[[AGRUP. CLAS. PROF.]:[AGRUP. CLAS. PROF.]]=$B72,IF(DATOS_[[Check Periodo Ref.]:[Check Periodo Ref.]]="Dentro",IF(DATOS_[[Check Equiparado]:[Check Equiparado]]="Sí",IF(DATOS!BH$4="Sí",(1/DATOS_[[% anualiz]:[% anualiz]]),1)*IF(DATOS!BH$5="Sí",1/DATOS_[[% normaliz]:[% normaliz]],1)*(DATOS_[Conc.Sal.30])))))))), 0)</f>
        <v>0</v>
      </c>
      <c r="AN73" s="294" t="n">
        <f aca="false" t="array" ref="AN73:AN73">IFERROR( AVERAGE(IF(DATOS_[Sexo]=$B73,IF(DATOS_[[AGRUP. CLAS. PROF.]:[AGRUP. CLAS. PROF.]]=$B72,IF(DATOS_[Check Equiparado]="Sí",IF(DATOS_[Check Periodo Ref.]="Dentro",DATOS_[Tot COMPL.SAL Eq],0))))), 0)</f>
        <v>0</v>
      </c>
      <c r="AO73" s="295" t="n">
        <f aca="false" t="array" ref="AO73:AO73">IFERROR( AVERAGE(IF(DATOS_[Sexo]=$B73,IF(DATOS_[[AGRUP. CLAS. PROF.]:[AGRUP. CLAS. PROF.]]=$B72,IF(DATOS_[Check Equiparado]="Sí",IF(DATOS_[Check Periodo Ref.]="Dentro",DATOS_[TOTAL SALARIO Eq],0))))), 0)</f>
        <v>0</v>
      </c>
      <c r="AP73" s="303" t="n">
        <f aca="false" t="array" ref="AP73:AP73">IFERROR( (AVERAGE((IF(DATOS_[[Sexo]:[Sexo]]=$B73,IF(DATOS_[[AGRUP. CLAS. PROF.]:[AGRUP. CLAS. PROF.]]=$B72,IF(DATOS_[[Check Periodo Ref.]:[Check Periodo Ref.]]="Dentro",IF(DATOS_[[Check Equiparado]:[Check Equiparado]]="Sí",IF(DATOS!BI$4="Sí",(1/DATOS_[[% anualiz]:[% anualiz]]),1)*IF(DATOS!BI$5="Sí",1/DATOS_[[% normaliz]:[% normaliz]],1)*(DATOS_[C.Extra.01])))))))), 0)</f>
        <v>0</v>
      </c>
      <c r="AQ73" s="303" t="n">
        <f aca="false" t="array" ref="AQ73:AQ73">IFERROR( (AVERAGE((IF(DATOS_[[Sexo]:[Sexo]]=$B73,IF(DATOS_[[AGRUP. CLAS. PROF.]:[AGRUP. CLAS. PROF.]]=$B72,IF(DATOS_[[Check Periodo Ref.]:[Check Periodo Ref.]]="Dentro",IF(DATOS_[[Check Equiparado]:[Check Equiparado]]="Sí",IF(DATOS!BJ$4="Sí",(1/DATOS_[[% anualiz]:[% anualiz]]),1)*IF(DATOS!BJ$5="Sí",1/DATOS_[[% normaliz]:[% normaliz]],1)*(DATOS_[C.Extra.02])))))))), 0)</f>
        <v>0</v>
      </c>
      <c r="AR73" s="303" t="n">
        <f aca="false" t="array" ref="AR73:AR73">IFERROR( (AVERAGE((IF(DATOS_[[Sexo]:[Sexo]]=$B73,IF(DATOS_[[AGRUP. CLAS. PROF.]:[AGRUP. CLAS. PROF.]]=$B72,IF(DATOS_[[Check Periodo Ref.]:[Check Periodo Ref.]]="Dentro",IF(DATOS_[[Check Equiparado]:[Check Equiparado]]="Sí",IF(DATOS!BK$4="Sí",(1/DATOS_[[% anualiz]:[% anualiz]]),1)*IF(DATOS!BK$5="Sí",1/DATOS_[[% normaliz]:[% normaliz]],1)*(DATOS_[C.Extra.03])))))))), 0)</f>
        <v>0</v>
      </c>
      <c r="AS73" s="303" t="n">
        <f aca="false" t="array" ref="AS73:AS73">IFERROR( (AVERAGE((IF(DATOS_[[Sexo]:[Sexo]]=$B73,IF(DATOS_[[AGRUP. CLAS. PROF.]:[AGRUP. CLAS. PROF.]]=$B72,IF(DATOS_[[Check Periodo Ref.]:[Check Periodo Ref.]]="Dentro",IF(DATOS_[[Check Equiparado]:[Check Equiparado]]="Sí",IF(DATOS!BL$4="Sí",(1/DATOS_[[% anualiz]:[% anualiz]]),1)*IF(DATOS!BL$5="Sí",1/DATOS_[[% normaliz]:[% normaliz]],1)*(DATOS_[C.Extra.04])))))))), 0)</f>
        <v>0</v>
      </c>
      <c r="AT73" s="303" t="n">
        <f aca="false" t="array" ref="AT73:AT73">IFERROR( (AVERAGE((IF(DATOS_[[Sexo]:[Sexo]]=$B73,IF(DATOS_[[AGRUP. CLAS. PROF.]:[AGRUP. CLAS. PROF.]]=$B72,IF(DATOS_[[Check Periodo Ref.]:[Check Periodo Ref.]]="Dentro",IF(DATOS_[[Check Equiparado]:[Check Equiparado]]="Sí",IF(DATOS!BM$4="Sí",(1/DATOS_[[% anualiz]:[% anualiz]]),1)*IF(DATOS!BM$5="Sí",1/DATOS_[[% normaliz]:[% normaliz]],1)*(DATOS_[C.Extra.05])))))))), 0)</f>
        <v>0</v>
      </c>
      <c r="AU73" s="297" t="n">
        <f aca="false" t="array" ref="AU73:AU73">IFERROR( AVERAGE(IF(DATOS_[Sexo]=$B73,IF(DATOS_[[AGRUP. CLAS. PROF.]:[AGRUP. CLAS. PROF.]]=$B72,IF(DATOS_[Check Equiparado]="Sí",IF(DATOS_[Check Periodo Ref.]="Dentro",DATOS_[Tot Extrasalarial Eq],0))))), 0)</f>
        <v>0</v>
      </c>
      <c r="AV73" s="298" t="n">
        <f aca="false" t="array" ref="AV73:AV73">IFERROR( AVERAGE(IF(DATOS_[Sexo]=$B73,IF(DATOS_[[AGRUP. CLAS. PROF.]:[AGRUP. CLAS. PROF.]]=$B72,IF(DATOS_[Check Equiparado]="Sí",IF(DATOS_[Check Periodo Ref.]="Dentro",DATOS_[TOTAL Retrib Eq],0))))), 0)</f>
        <v>0</v>
      </c>
    </row>
    <row r="74" customFormat="false" ht="14.25" hidden="false" customHeight="false" outlineLevel="0" collapsed="false">
      <c r="A74" s="166" t="str">
        <f aca="false">+A73</f>
        <v>[ocultar]</v>
      </c>
      <c r="B74" s="289" t="s">
        <v>372</v>
      </c>
      <c r="C74" s="290" t="n">
        <f aca="false" t="array" ref="C74:C74">SUM(IF($B74=DATOS_[Sexo], IF($B72=DATOS_[AGRUP. CLAS. PROF.], IF("Dentro"=DATOS_[Check Periodo Ref.], 1/(COUNTIFS(DATOS_[Sexo],$B74,DATOS_[AGRUP. CLAS. PROF.],$B72,DATOS_[Check Periodo Ref.],"Dentro",DATOS_[id],DATOS_[id]))))))</f>
        <v>0</v>
      </c>
      <c r="D74" s="291" t="n">
        <f aca="false">COUNTIFS(DATOS_[AGRUP. CLAS. PROF.],$B72,DATOS_[Sexo],$B74,DATOS_[Check Periodo Ref.],"Dentro")</f>
        <v>0</v>
      </c>
      <c r="E74" s="291" t="n">
        <f aca="false">COUNTIFS(DATOS_[AGRUP. CLAS. PROF.],$B72,DATOS_[Sexo],$B74,DATOS_[Check Periodo Ref.],"Dentro",DATOS_[Check Nº SC Norm],"Sí")</f>
        <v>0</v>
      </c>
      <c r="F74" s="291" t="n">
        <f aca="false">COUNTIFS(DATOS_[AGRUP. CLAS. PROF.],$B72,DATOS_[Sexo],$B74,DATOS_[Check Periodo Ref.],"Dentro",DATOS_[Check Nº SC Anualiz],"Sí")</f>
        <v>0</v>
      </c>
      <c r="G74" s="291" t="n">
        <f aca="false">COUNTIFS(DATOS_[AGRUP. CLAS. PROF.],$B72,DATOS_[Sexo],$B74,DATOS_[Check Periodo Ref.],"Dentro",DATOS_[Check Nº SC Norm y Anualiz],"Sí")</f>
        <v>0</v>
      </c>
      <c r="H74" s="291" t="n">
        <f aca="false">COUNTIFS(DATOS_[AGRUP. CLAS. PROF.],$B72,DATOS_[Sexo],$B74,DATOS_[Check Periodo Ref.],"Dentro",DATOS_[Check Equiparación],"Sí")</f>
        <v>0</v>
      </c>
      <c r="I74" s="292" t="n">
        <f aca="false" t="array" ref="I74:I74">IFERROR( AVERAGE(IF(DATOS_[Sexo]=$B74,IF(DATOS_[[AGRUP. CLAS. PROF.]:[AGRUP. CLAS. PROF.]]=$B72,IF(DATOS_[Check Equiparado]="Sí",IF(DATOS_[Check Periodo Ref.]="Dentro",DATOS_[SALARIO BASE Eq],0))))), 0)</f>
        <v>0</v>
      </c>
      <c r="J74" s="302" t="n">
        <f aca="false" t="array" ref="J74:J74">IFERROR( (AVERAGE((IF(DATOS_[[Sexo]:[Sexo]]=$B74,IF(DATOS_[[AGRUP. CLAS. PROF.]:[AGRUP. CLAS. PROF.]]=$B72,IF(DATOS_[[Check Periodo Ref.]:[Check Periodo Ref.]]="Dentro",IF(DATOS_[[Check Equiparado]:[Check Equiparado]]="Sí",IF(DATOS!AE$4="Sí",(1/DATOS_[[% anualiz]:[% anualiz]]),1)*IF(DATOS!AE$5="Sí",1/DATOS_[[% normaliz]:[% normaliz]],1)*(DATOS_[Conc.Sal.01])))))))), 0)</f>
        <v>0</v>
      </c>
      <c r="K74" s="302" t="n">
        <f aca="false" t="array" ref="K74:K74">IFERROR( (AVERAGE((IF(DATOS_[[Sexo]:[Sexo]]=$B74,IF(DATOS_[[AGRUP. CLAS. PROF.]:[AGRUP. CLAS. PROF.]]=$B72,IF(DATOS_[[Check Periodo Ref.]:[Check Periodo Ref.]]="Dentro",IF(DATOS_[[Check Equiparado]:[Check Equiparado]]="Sí",IF(DATOS!AF$4="Sí",(1/DATOS_[[% anualiz]:[% anualiz]]),1)*IF(DATOS!AF$5="Sí",1/DATOS_[[% normaliz]:[% normaliz]],1)*(DATOS_[Conc.Sal.02])))))))), 0)</f>
        <v>0</v>
      </c>
      <c r="L74" s="302" t="n">
        <f aca="false" t="array" ref="L74:L74">IFERROR( (AVERAGE((IF(DATOS_[[Sexo]:[Sexo]]=$B74,IF(DATOS_[[AGRUP. CLAS. PROF.]:[AGRUP. CLAS. PROF.]]=$B72,IF(DATOS_[[Check Periodo Ref.]:[Check Periodo Ref.]]="Dentro",IF(DATOS_[[Check Equiparado]:[Check Equiparado]]="Sí",IF(DATOS!AG$4="Sí",(1/DATOS_[[% anualiz]:[% anualiz]]),1)*IF(DATOS!AG$5="Sí",1/DATOS_[[% normaliz]:[% normaliz]],1)*(DATOS_[Conc.Sal.03])))))))), 0)</f>
        <v>0</v>
      </c>
      <c r="M74" s="302" t="n">
        <f aca="false" t="array" ref="M74:M74">IFERROR( (AVERAGE((IF(DATOS_[[Sexo]:[Sexo]]=$B74,IF(DATOS_[[AGRUP. CLAS. PROF.]:[AGRUP. CLAS. PROF.]]=$B72,IF(DATOS_[[Check Periodo Ref.]:[Check Periodo Ref.]]="Dentro",IF(DATOS_[[Check Equiparado]:[Check Equiparado]]="Sí",IF(DATOS!AH$4="Sí",(1/DATOS_[[% anualiz]:[% anualiz]]),1)*IF(DATOS!AH$5="Sí",1/DATOS_[[% normaliz]:[% normaliz]],1)*(DATOS_[Conc.Sal.04])))))))), 0)</f>
        <v>0</v>
      </c>
      <c r="N74" s="302" t="n">
        <f aca="false" t="array" ref="N74:N74">IFERROR( (AVERAGE((IF(DATOS_[[Sexo]:[Sexo]]=$B74,IF(DATOS_[[AGRUP. CLAS. PROF.]:[AGRUP. CLAS. PROF.]]=$B72,IF(DATOS_[[Check Periodo Ref.]:[Check Periodo Ref.]]="Dentro",IF(DATOS_[[Check Equiparado]:[Check Equiparado]]="Sí",IF(DATOS!AI$4="Sí",(1/DATOS_[[% anualiz]:[% anualiz]]),1)*IF(DATOS!AI$5="Sí",1/DATOS_[[% normaliz]:[% normaliz]],1)*(DATOS_[Conc.Sal.05])))))))), 0)</f>
        <v>0</v>
      </c>
      <c r="O74" s="302" t="n">
        <f aca="false" t="array" ref="O74:O74">IFERROR( (AVERAGE((IF(DATOS_[[Sexo]:[Sexo]]=$B74,IF(DATOS_[[AGRUP. CLAS. PROF.]:[AGRUP. CLAS. PROF.]]=$B72,IF(DATOS_[[Check Periodo Ref.]:[Check Periodo Ref.]]="Dentro",IF(DATOS_[[Check Equiparado]:[Check Equiparado]]="Sí",IF(DATOS!AJ$4="Sí",(1/DATOS_[[% anualiz]:[% anualiz]]),1)*IF(DATOS!AJ$5="Sí",1/DATOS_[[% normaliz]:[% normaliz]],1)*(DATOS_[Conc.Sal.06])))))))), 0)</f>
        <v>0</v>
      </c>
      <c r="P74" s="302" t="n">
        <f aca="false" t="array" ref="P74:P74">IFERROR( (AVERAGE((IF(DATOS_[[Sexo]:[Sexo]]=$B74,IF(DATOS_[[AGRUP. CLAS. PROF.]:[AGRUP. CLAS. PROF.]]=$B72,IF(DATOS_[[Check Periodo Ref.]:[Check Periodo Ref.]]="Dentro",IF(DATOS_[[Check Equiparado]:[Check Equiparado]]="Sí",IF(DATOS!AK$4="Sí",(1/DATOS_[[% anualiz]:[% anualiz]]),1)*IF(DATOS!AK$5="Sí",1/DATOS_[[% normaliz]:[% normaliz]],1)*(DATOS_[Conc.Sal.07])))))))), 0)</f>
        <v>0</v>
      </c>
      <c r="Q74" s="302" t="n">
        <f aca="false" t="array" ref="Q74:Q74">IFERROR( (AVERAGE((IF(DATOS_[[Sexo]:[Sexo]]=$B74,IF(DATOS_[[AGRUP. CLAS. PROF.]:[AGRUP. CLAS. PROF.]]=$B72,IF(DATOS_[[Check Periodo Ref.]:[Check Periodo Ref.]]="Dentro",IF(DATOS_[[Check Equiparado]:[Check Equiparado]]="Sí",IF(DATOS!AL$4="Sí",(1/DATOS_[[% anualiz]:[% anualiz]]),1)*IF(DATOS!AL$5="Sí",1/DATOS_[[% normaliz]:[% normaliz]],1)*(DATOS_[Conc.Sal.08])))))))), 0)</f>
        <v>0</v>
      </c>
      <c r="R74" s="302" t="n">
        <f aca="false" t="array" ref="R74:R74">IFERROR( (AVERAGE((IF(DATOS_[[Sexo]:[Sexo]]=$B74,IF(DATOS_[[AGRUP. CLAS. PROF.]:[AGRUP. CLAS. PROF.]]=$B72,IF(DATOS_[[Check Periodo Ref.]:[Check Periodo Ref.]]="Dentro",IF(DATOS_[[Check Equiparado]:[Check Equiparado]]="Sí",IF(DATOS!AM$4="Sí",(1/DATOS_[[% anualiz]:[% anualiz]]),1)*IF(DATOS!AM$5="Sí",1/DATOS_[[% normaliz]:[% normaliz]],1)*(DATOS_[Conc.Sal.09])))))))), 0)</f>
        <v>0</v>
      </c>
      <c r="S74" s="302" t="n">
        <f aca="false" t="array" ref="S74:S74">IFERROR( (AVERAGE((IF(DATOS_[[Sexo]:[Sexo]]=$B74,IF(DATOS_[[AGRUP. CLAS. PROF.]:[AGRUP. CLAS. PROF.]]=$B72,IF(DATOS_[[Check Periodo Ref.]:[Check Periodo Ref.]]="Dentro",IF(DATOS_[[Check Equiparado]:[Check Equiparado]]="Sí",IF(DATOS!AN$4="Sí",(1/DATOS_[[% anualiz]:[% anualiz]]),1)*IF(DATOS!AN$5="Sí",1/DATOS_[[% normaliz]:[% normaliz]],1)*(DATOS_[Conc.Sal.10])))))))), 0)</f>
        <v>0</v>
      </c>
      <c r="T74" s="302" t="n">
        <f aca="false" t="array" ref="T74:T74">IFERROR( (AVERAGE((IF(DATOS_[[Sexo]:[Sexo]]=$B74,IF(DATOS_[[AGRUP. CLAS. PROF.]:[AGRUP. CLAS. PROF.]]=$B72,IF(DATOS_[[Check Periodo Ref.]:[Check Periodo Ref.]]="Dentro",IF(DATOS_[[Check Equiparado]:[Check Equiparado]]="Sí",IF(DATOS!AO$4="Sí",(1/DATOS_[[% anualiz]:[% anualiz]]),1)*IF(DATOS!AO$5="Sí",1/DATOS_[[% normaliz]:[% normaliz]],1)*(DATOS_[Conc.Sal.11])))))))), 0)</f>
        <v>0</v>
      </c>
      <c r="U74" s="302" t="n">
        <f aca="false" t="array" ref="U74:U74">IFERROR( (AVERAGE((IF(DATOS_[[Sexo]:[Sexo]]=$B74,IF(DATOS_[[AGRUP. CLAS. PROF.]:[AGRUP. CLAS. PROF.]]=$B72,IF(DATOS_[[Check Periodo Ref.]:[Check Periodo Ref.]]="Dentro",IF(DATOS_[[Check Equiparado]:[Check Equiparado]]="Sí",IF(DATOS!AP$4="Sí",(1/DATOS_[[% anualiz]:[% anualiz]]),1)*IF(DATOS!AP$5="Sí",1/DATOS_[[% normaliz]:[% normaliz]],1)*(DATOS_[Conc.Sal.12])))))))), 0)</f>
        <v>0</v>
      </c>
      <c r="V74" s="302" t="n">
        <f aca="false" t="array" ref="V74:V74">IFERROR( (AVERAGE((IF(DATOS_[[Sexo]:[Sexo]]=$B74,IF(DATOS_[[AGRUP. CLAS. PROF.]:[AGRUP. CLAS. PROF.]]=$B72,IF(DATOS_[[Check Periodo Ref.]:[Check Periodo Ref.]]="Dentro",IF(DATOS_[[Check Equiparado]:[Check Equiparado]]="Sí",IF(DATOS!AQ$4="Sí",(1/DATOS_[[% anualiz]:[% anualiz]]),1)*IF(DATOS!AQ$5="Sí",1/DATOS_[[% normaliz]:[% normaliz]],1)*(DATOS_[Conc.Sal.13])))))))), 0)</f>
        <v>0</v>
      </c>
      <c r="W74" s="302" t="n">
        <f aca="false" t="array" ref="W74:W74">IFERROR( (AVERAGE((IF(DATOS_[[Sexo]:[Sexo]]=$B74,IF(DATOS_[[AGRUP. CLAS. PROF.]:[AGRUP. CLAS. PROF.]]=$B72,IF(DATOS_[[Check Periodo Ref.]:[Check Periodo Ref.]]="Dentro",IF(DATOS_[[Check Equiparado]:[Check Equiparado]]="Sí",IF(DATOS!AR$4="Sí",(1/DATOS_[[% anualiz]:[% anualiz]]),1)*IF(DATOS!AR$5="Sí",1/DATOS_[[% normaliz]:[% normaliz]],1)*(DATOS_[Conc.Sal.14])))))))), 0)</f>
        <v>0</v>
      </c>
      <c r="X74" s="302" t="n">
        <f aca="false" t="array" ref="X74:X74">IFERROR( (AVERAGE((IF(DATOS_[[Sexo]:[Sexo]]=$B74,IF(DATOS_[[AGRUP. CLAS. PROF.]:[AGRUP. CLAS. PROF.]]=$B72,IF(DATOS_[[Check Periodo Ref.]:[Check Periodo Ref.]]="Dentro",IF(DATOS_[[Check Equiparado]:[Check Equiparado]]="Sí",IF(DATOS!AS$4="Sí",(1/DATOS_[[% anualiz]:[% anualiz]]),1)*IF(DATOS!AS$5="Sí",1/DATOS_[[% normaliz]:[% normaliz]],1)*(DATOS_[Conc.Sal.15])))))))), 0)</f>
        <v>0</v>
      </c>
      <c r="Y74" s="302" t="n">
        <f aca="false" t="array" ref="Y74:Y74">IFERROR( (AVERAGE((IF(DATOS_[[Sexo]:[Sexo]]=$B74,IF(DATOS_[[AGRUP. CLAS. PROF.]:[AGRUP. CLAS. PROF.]]=$B72,IF(DATOS_[[Check Periodo Ref.]:[Check Periodo Ref.]]="Dentro",IF(DATOS_[[Check Equiparado]:[Check Equiparado]]="Sí",IF(DATOS!AT$4="Sí",(1/DATOS_[[% anualiz]:[% anualiz]]),1)*IF(DATOS!AT$5="Sí",1/DATOS_[[% normaliz]:[% normaliz]],1)*(DATOS_[Conc.Sal.16])))))))), 0)</f>
        <v>0</v>
      </c>
      <c r="Z74" s="302" t="n">
        <f aca="false" t="array" ref="Z74:Z74">IFERROR( (AVERAGE((IF(DATOS_[[Sexo]:[Sexo]]=$B74,IF(DATOS_[[AGRUP. CLAS. PROF.]:[AGRUP. CLAS. PROF.]]=$B72,IF(DATOS_[[Check Periodo Ref.]:[Check Periodo Ref.]]="Dentro",IF(DATOS_[[Check Equiparado]:[Check Equiparado]]="Sí",IF(DATOS!AU$4="Sí",(1/DATOS_[[% anualiz]:[% anualiz]]),1)*IF(DATOS!AU$5="Sí",1/DATOS_[[% normaliz]:[% normaliz]],1)*(DATOS_[Conc.Sal.17])))))))), 0)</f>
        <v>0</v>
      </c>
      <c r="AA74" s="302" t="n">
        <f aca="false" t="array" ref="AA74:AA74">IFERROR( (AVERAGE((IF(DATOS_[[Sexo]:[Sexo]]=$B74,IF(DATOS_[[AGRUP. CLAS. PROF.]:[AGRUP. CLAS. PROF.]]=$B72,IF(DATOS_[[Check Periodo Ref.]:[Check Periodo Ref.]]="Dentro",IF(DATOS_[[Check Equiparado]:[Check Equiparado]]="Sí",IF(DATOS!AV$4="Sí",(1/DATOS_[[% anualiz]:[% anualiz]]),1)*IF(DATOS!AV$5="Sí",1/DATOS_[[% normaliz]:[% normaliz]],1)*(DATOS_[Conc.Sal.18])))))))), 0)</f>
        <v>0</v>
      </c>
      <c r="AB74" s="302" t="n">
        <f aca="false" t="array" ref="AB74:AB74">IFERROR( (AVERAGE((IF(DATOS_[[Sexo]:[Sexo]]=$B74,IF(DATOS_[[AGRUP. CLAS. PROF.]:[AGRUP. CLAS. PROF.]]=$B72,IF(DATOS_[[Check Periodo Ref.]:[Check Periodo Ref.]]="Dentro",IF(DATOS_[[Check Equiparado]:[Check Equiparado]]="Sí",IF(DATOS!AW$4="Sí",(1/DATOS_[[% anualiz]:[% anualiz]]),1)*IF(DATOS!AW$5="Sí",1/DATOS_[[% normaliz]:[% normaliz]],1)*(DATOS_[Conc.Sal.19])))))))), 0)</f>
        <v>0</v>
      </c>
      <c r="AC74" s="302" t="n">
        <f aca="false" t="array" ref="AC74:AC74">IFERROR( (AVERAGE((IF(DATOS_[[Sexo]:[Sexo]]=$B74,IF(DATOS_[[AGRUP. CLAS. PROF.]:[AGRUP. CLAS. PROF.]]=$B72,IF(DATOS_[[Check Periodo Ref.]:[Check Periodo Ref.]]="Dentro",IF(DATOS_[[Check Equiparado]:[Check Equiparado]]="Sí",IF(DATOS!AX$4="Sí",(1/DATOS_[[% anualiz]:[% anualiz]]),1)*IF(DATOS!AX$5="Sí",1/DATOS_[[% normaliz]:[% normaliz]],1)*(DATOS_[Conc.Sal.20])))))))), 0)</f>
        <v>0</v>
      </c>
      <c r="AD74" s="302" t="n">
        <f aca="false" t="array" ref="AD74:AD74">IFERROR( (AVERAGE((IF(DATOS_[[Sexo]:[Sexo]]=$B74,IF(DATOS_[[AGRUP. CLAS. PROF.]:[AGRUP. CLAS. PROF.]]=$B72,IF(DATOS_[[Check Periodo Ref.]:[Check Periodo Ref.]]="Dentro",IF(DATOS_[[Check Equiparado]:[Check Equiparado]]="Sí",IF(DATOS!AY$4="Sí",(1/DATOS_[[% anualiz]:[% anualiz]]),1)*IF(DATOS!AY$5="Sí",1/DATOS_[[% normaliz]:[% normaliz]],1)*(DATOS_[Conc.Sal.21])))))))), 0)</f>
        <v>0</v>
      </c>
      <c r="AE74" s="302" t="n">
        <f aca="false" t="array" ref="AE74:AE74">IFERROR( (AVERAGE((IF(DATOS_[[Sexo]:[Sexo]]=$B74,IF(DATOS_[[AGRUP. CLAS. PROF.]:[AGRUP. CLAS. PROF.]]=$B72,IF(DATOS_[[Check Periodo Ref.]:[Check Periodo Ref.]]="Dentro",IF(DATOS_[[Check Equiparado]:[Check Equiparado]]="Sí",IF(DATOS!AZ$4="Sí",(1/DATOS_[[% anualiz]:[% anualiz]]),1)*IF(DATOS!AZ$5="Sí",1/DATOS_[[% normaliz]:[% normaliz]],1)*(DATOS_[Conc.Sal.22])))))))), 0)</f>
        <v>0</v>
      </c>
      <c r="AF74" s="302" t="n">
        <f aca="false" t="array" ref="AF74:AF74">IFERROR( (AVERAGE((IF(DATOS_[[Sexo]:[Sexo]]=$B74,IF(DATOS_[[AGRUP. CLAS. PROF.]:[AGRUP. CLAS. PROF.]]=$B72,IF(DATOS_[[Check Periodo Ref.]:[Check Periodo Ref.]]="Dentro",IF(DATOS_[[Check Equiparado]:[Check Equiparado]]="Sí",IF(DATOS!BA$4="Sí",(1/DATOS_[[% anualiz]:[% anualiz]]),1)*IF(DATOS!BA$5="Sí",1/DATOS_[[% normaliz]:[% normaliz]],1)*(DATOS_[Conc.Sal.23])))))))), 0)</f>
        <v>0</v>
      </c>
      <c r="AG74" s="302" t="n">
        <f aca="false" t="array" ref="AG74:AG74">IFERROR( (AVERAGE((IF(DATOS_[[Sexo]:[Sexo]]=$B74,IF(DATOS_[[AGRUP. CLAS. PROF.]:[AGRUP. CLAS. PROF.]]=$B72,IF(DATOS_[[Check Periodo Ref.]:[Check Periodo Ref.]]="Dentro",IF(DATOS_[[Check Equiparado]:[Check Equiparado]]="Sí",IF(DATOS!BB$4="Sí",(1/DATOS_[[% anualiz]:[% anualiz]]),1)*IF(DATOS!BB$5="Sí",1/DATOS_[[% normaliz]:[% normaliz]],1)*(DATOS_[Conc.Sal.24])))))))), 0)</f>
        <v>0</v>
      </c>
      <c r="AH74" s="302" t="n">
        <f aca="false" t="array" ref="AH74:AH74">IFERROR( (AVERAGE((IF(DATOS_[[Sexo]:[Sexo]]=$B74,IF(DATOS_[[AGRUP. CLAS. PROF.]:[AGRUP. CLAS. PROF.]]=$B72,IF(DATOS_[[Check Periodo Ref.]:[Check Periodo Ref.]]="Dentro",IF(DATOS_[[Check Equiparado]:[Check Equiparado]]="Sí",IF(DATOS!BC$4="Sí",(1/DATOS_[[% anualiz]:[% anualiz]]),1)*IF(DATOS!BC$5="Sí",1/DATOS_[[% normaliz]:[% normaliz]],1)*(DATOS_[Conc.Sal.25])))))))), 0)</f>
        <v>0</v>
      </c>
      <c r="AI74" s="302" t="n">
        <f aca="false" t="array" ref="AI74:AI74">IFERROR( (AVERAGE((IF(DATOS_[[Sexo]:[Sexo]]=$B74,IF(DATOS_[[AGRUP. CLAS. PROF.]:[AGRUP. CLAS. PROF.]]=$B72,IF(DATOS_[[Check Periodo Ref.]:[Check Periodo Ref.]]="Dentro",IF(DATOS_[[Check Equiparado]:[Check Equiparado]]="Sí",IF(DATOS!BD$4="Sí",(1/DATOS_[[% anualiz]:[% anualiz]]),1)*IF(DATOS!BD$5="Sí",1/DATOS_[[% normaliz]:[% normaliz]],1)*(DATOS_[Conc.Sal.26])))))))), 0)</f>
        <v>0</v>
      </c>
      <c r="AJ74" s="302" t="n">
        <f aca="false" t="array" ref="AJ74:AJ74">IFERROR( (AVERAGE((IF(DATOS_[[Sexo]:[Sexo]]=$B74,IF(DATOS_[[AGRUP. CLAS. PROF.]:[AGRUP. CLAS. PROF.]]=$B72,IF(DATOS_[[Check Periodo Ref.]:[Check Periodo Ref.]]="Dentro",IF(DATOS_[[Check Equiparado]:[Check Equiparado]]="Sí",IF(DATOS!BE$4="Sí",(1/DATOS_[[% anualiz]:[% anualiz]]),1)*IF(DATOS!BE$5="Sí",1/DATOS_[[% normaliz]:[% normaliz]],1)*(DATOS_[Conc.Sal.27])))))))), 0)</f>
        <v>0</v>
      </c>
      <c r="AK74" s="302" t="n">
        <f aca="false" t="array" ref="AK74:AK74">IFERROR( (AVERAGE((IF(DATOS_[[Sexo]:[Sexo]]=$B74,IF(DATOS_[[AGRUP. CLAS. PROF.]:[AGRUP. CLAS. PROF.]]=$B72,IF(DATOS_[[Check Periodo Ref.]:[Check Periodo Ref.]]="Dentro",IF(DATOS_[[Check Equiparado]:[Check Equiparado]]="Sí",IF(DATOS!BF$4="Sí",(1/DATOS_[[% anualiz]:[% anualiz]]),1)*IF(DATOS!BF$5="Sí",1/DATOS_[[% normaliz]:[% normaliz]],1)*(DATOS_[Conc.Sal.28])))))))), 0)</f>
        <v>0</v>
      </c>
      <c r="AL74" s="302" t="n">
        <f aca="false" t="array" ref="AL74:AL74">IFERROR( (AVERAGE((IF(DATOS_[[Sexo]:[Sexo]]=$B74,IF(DATOS_[[AGRUP. CLAS. PROF.]:[AGRUP. CLAS. PROF.]]=$B72,IF(DATOS_[[Check Periodo Ref.]:[Check Periodo Ref.]]="Dentro",IF(DATOS_[[Check Equiparado]:[Check Equiparado]]="Sí",IF(DATOS!BG$4="Sí",(1/DATOS_[[% anualiz]:[% anualiz]]),1)*IF(DATOS!BG$5="Sí",1/DATOS_[[% normaliz]:[% normaliz]],1)*(DATOS_[Conc.Sal.29])))))))), 0)</f>
        <v>0</v>
      </c>
      <c r="AM74" s="302" t="n">
        <f aca="false" t="array" ref="AM74:AM74">IFERROR( (AVERAGE((IF(DATOS_[[Sexo]:[Sexo]]=$B74,IF(DATOS_[[AGRUP. CLAS. PROF.]:[AGRUP. CLAS. PROF.]]=$B72,IF(DATOS_[[Check Periodo Ref.]:[Check Periodo Ref.]]="Dentro",IF(DATOS_[[Check Equiparado]:[Check Equiparado]]="Sí",IF(DATOS!BH$4="Sí",(1/DATOS_[[% anualiz]:[% anualiz]]),1)*IF(DATOS!BH$5="Sí",1/DATOS_[[% normaliz]:[% normaliz]],1)*(DATOS_[Conc.Sal.30])))))))), 0)</f>
        <v>0</v>
      </c>
      <c r="AN74" s="294" t="n">
        <f aca="false" t="array" ref="AN74:AN74">IFERROR( AVERAGE(IF(DATOS_[Sexo]=$B74,IF(DATOS_[[AGRUP. CLAS. PROF.]:[AGRUP. CLAS. PROF.]]=$B72,IF(DATOS_[Check Equiparado]="Sí",IF(DATOS_[Check Periodo Ref.]="Dentro",DATOS_[Tot COMPL.SAL Eq],0))))), 0)</f>
        <v>0</v>
      </c>
      <c r="AO74" s="295" t="n">
        <f aca="false" t="array" ref="AO74:AO74">IFERROR( AVERAGE(IF(DATOS_[Sexo]=$B74,IF(DATOS_[[AGRUP. CLAS. PROF.]:[AGRUP. CLAS. PROF.]]=$B72,IF(DATOS_[Check Equiparado]="Sí",IF(DATOS_[Check Periodo Ref.]="Dentro",DATOS_[TOTAL SALARIO Eq],0))))), 0)</f>
        <v>0</v>
      </c>
      <c r="AP74" s="303" t="n">
        <f aca="false" t="array" ref="AP74:AP74">IFERROR( (AVERAGE((IF(DATOS_[[Sexo]:[Sexo]]=$B74,IF(DATOS_[[AGRUP. CLAS. PROF.]:[AGRUP. CLAS. PROF.]]=$B73,IF(DATOS_[[Check Periodo Ref.]:[Check Periodo Ref.]]="Dentro",IF(DATOS_[[Check Equiparado]:[Check Equiparado]]="Sí",IF(DATOS!BI$4="Sí",(1/DATOS_[[% anualiz]:[% anualiz]]),1)*IF(DATOS!BI$5="Sí",1/DATOS_[[% normaliz]:[% normaliz]],1)*(DATOS_[C.Extra.01])))))))), 0)</f>
        <v>0</v>
      </c>
      <c r="AQ74" s="303" t="n">
        <f aca="false" t="array" ref="AQ74:AQ74">IFERROR( (AVERAGE((IF(DATOS_[[Sexo]:[Sexo]]=$B74,IF(DATOS_[[AGRUP. CLAS. PROF.]:[AGRUP. CLAS. PROF.]]=$B73,IF(DATOS_[[Check Periodo Ref.]:[Check Periodo Ref.]]="Dentro",IF(DATOS_[[Check Equiparado]:[Check Equiparado]]="Sí",IF(DATOS!BJ$4="Sí",(1/DATOS_[[% anualiz]:[% anualiz]]),1)*IF(DATOS!BJ$5="Sí",1/DATOS_[[% normaliz]:[% normaliz]],1)*(DATOS_[C.Extra.02])))))))), 0)</f>
        <v>0</v>
      </c>
      <c r="AR74" s="303" t="n">
        <f aca="false" t="array" ref="AR74:AR74">IFERROR( (AVERAGE((IF(DATOS_[[Sexo]:[Sexo]]=$B74,IF(DATOS_[[AGRUP. CLAS. PROF.]:[AGRUP. CLAS. PROF.]]=$B73,IF(DATOS_[[Check Periodo Ref.]:[Check Periodo Ref.]]="Dentro",IF(DATOS_[[Check Equiparado]:[Check Equiparado]]="Sí",IF(DATOS!BK$4="Sí",(1/DATOS_[[% anualiz]:[% anualiz]]),1)*IF(DATOS!BK$5="Sí",1/DATOS_[[% normaliz]:[% normaliz]],1)*(DATOS_[C.Extra.03])))))))), 0)</f>
        <v>0</v>
      </c>
      <c r="AS74" s="303" t="n">
        <f aca="false" t="array" ref="AS74:AS74">IFERROR( (AVERAGE((IF(DATOS_[[Sexo]:[Sexo]]=$B74,IF(DATOS_[[AGRUP. CLAS. PROF.]:[AGRUP. CLAS. PROF.]]=$B73,IF(DATOS_[[Check Periodo Ref.]:[Check Periodo Ref.]]="Dentro",IF(DATOS_[[Check Equiparado]:[Check Equiparado]]="Sí",IF(DATOS!BL$4="Sí",(1/DATOS_[[% anualiz]:[% anualiz]]),1)*IF(DATOS!BL$5="Sí",1/DATOS_[[% normaliz]:[% normaliz]],1)*(DATOS_[C.Extra.04])))))))), 0)</f>
        <v>0</v>
      </c>
      <c r="AT74" s="303" t="n">
        <f aca="false" t="array" ref="AT74:AT74">IFERROR( (AVERAGE((IF(DATOS_[[Sexo]:[Sexo]]=$B74,IF(DATOS_[[AGRUP. CLAS. PROF.]:[AGRUP. CLAS. PROF.]]=$B73,IF(DATOS_[[Check Periodo Ref.]:[Check Periodo Ref.]]="Dentro",IF(DATOS_[[Check Equiparado]:[Check Equiparado]]="Sí",IF(DATOS!BM$4="Sí",(1/DATOS_[[% anualiz]:[% anualiz]]),1)*IF(DATOS!BM$5="Sí",1/DATOS_[[% normaliz]:[% normaliz]],1)*(DATOS_[C.Extra.05])))))))), 0)</f>
        <v>0</v>
      </c>
      <c r="AU74" s="297" t="n">
        <f aca="false" t="array" ref="AU74:AU74">IFERROR( AVERAGE(IF(DATOS_[Sexo]=$B74,IF(DATOS_[[AGRUP. CLAS. PROF.]:[AGRUP. CLAS. PROF.]]=$B72,IF(DATOS_[Check Equiparado]="Sí",IF(DATOS_[Check Periodo Ref.]="Dentro",DATOS_[Tot Extrasalarial Eq],0))))), 0)</f>
        <v>0</v>
      </c>
      <c r="AV74" s="298" t="n">
        <f aca="false" t="array" ref="AV74:AV74">IFERROR( AVERAGE(IF(DATOS_[Sexo]=$B74,IF(DATOS_[[AGRUP. CLAS. PROF.]:[AGRUP. CLAS. PROF.]]=$B72,IF(DATOS_[Check Equiparado]="Sí",IF(DATOS_[Check Periodo Ref.]="Dentro",DATOS_[TOTAL Retrib Eq],0))))), 0)</f>
        <v>0</v>
      </c>
    </row>
    <row r="75" customFormat="false" ht="15.75" hidden="false" customHeight="false" outlineLevel="0" collapsed="false">
      <c r="A75" s="166" t="str">
        <f aca="false">+A76</f>
        <v>[ocultar]</v>
      </c>
      <c r="B75" s="276" t="s">
        <v>228</v>
      </c>
      <c r="C75" s="277"/>
      <c r="D75" s="278"/>
      <c r="E75" s="278"/>
      <c r="F75" s="278"/>
      <c r="G75" s="278"/>
      <c r="H75" s="278"/>
      <c r="I75" s="279" t="str">
        <f aca="false">IFERROR((I76-I77)/I76,"")</f>
        <v/>
      </c>
      <c r="J75" s="280" t="str">
        <f aca="false">IFERROR((J76-J77)/J76,"")</f>
        <v/>
      </c>
      <c r="K75" s="281" t="str">
        <f aca="false">IFERROR((K76-K77)/K76,"")</f>
        <v/>
      </c>
      <c r="L75" s="281" t="str">
        <f aca="false">IFERROR((L76-L77)/L76,"")</f>
        <v/>
      </c>
      <c r="M75" s="281" t="str">
        <f aca="false">IFERROR((M76-M77)/M76,"")</f>
        <v/>
      </c>
      <c r="N75" s="282" t="str">
        <f aca="false">IFERROR((N76-N77)/N76,"")</f>
        <v/>
      </c>
      <c r="O75" s="283" t="str">
        <f aca="false">IFERROR((O76-O77)/O76,"")</f>
        <v/>
      </c>
      <c r="P75" s="283" t="str">
        <f aca="false">IFERROR((P76-P77)/P76,"")</f>
        <v/>
      </c>
      <c r="Q75" s="283" t="str">
        <f aca="false">IFERROR((Q76-Q77)/Q76,"")</f>
        <v/>
      </c>
      <c r="R75" s="283" t="str">
        <f aca="false">IFERROR((R76-R77)/R76,"")</f>
        <v/>
      </c>
      <c r="S75" s="283" t="str">
        <f aca="false">IFERROR((S76-S77)/S76,"")</f>
        <v/>
      </c>
      <c r="T75" s="283" t="str">
        <f aca="false">IFERROR((T76-T77)/T76,"")</f>
        <v/>
      </c>
      <c r="U75" s="283" t="str">
        <f aca="false">IFERROR((U76-U77)/U76,"")</f>
        <v/>
      </c>
      <c r="V75" s="283" t="str">
        <f aca="false">IFERROR((V76-V77)/V76,"")</f>
        <v/>
      </c>
      <c r="W75" s="283" t="str">
        <f aca="false">IFERROR((W76-W77)/W76,"")</f>
        <v/>
      </c>
      <c r="X75" s="283" t="str">
        <f aca="false">IFERROR((X76-X77)/X76,"")</f>
        <v/>
      </c>
      <c r="Y75" s="283" t="str">
        <f aca="false">IFERROR((Y76-Y77)/Y76,"")</f>
        <v/>
      </c>
      <c r="Z75" s="282" t="str">
        <f aca="false">IFERROR((Z76-Z77)/Z76,"")</f>
        <v/>
      </c>
      <c r="AA75" s="282" t="str">
        <f aca="false">IFERROR((AA76-AA77)/AA76,"")</f>
        <v/>
      </c>
      <c r="AB75" s="282" t="str">
        <f aca="false">IFERROR((AB76-AB77)/AB76,"")</f>
        <v/>
      </c>
      <c r="AC75" s="282" t="str">
        <f aca="false">IFERROR((AC76-AC77)/AC76,"")</f>
        <v/>
      </c>
      <c r="AD75" s="282" t="str">
        <f aca="false">IFERROR((AD76-AD77)/AD76,"")</f>
        <v/>
      </c>
      <c r="AE75" s="282" t="str">
        <f aca="false">IFERROR((AE76-AE77)/AE76,"")</f>
        <v/>
      </c>
      <c r="AF75" s="282" t="str">
        <f aca="false">IFERROR((AF76-AF77)/AF76,"")</f>
        <v/>
      </c>
      <c r="AG75" s="282" t="str">
        <f aca="false">IFERROR((AG76-AG77)/AG76,"")</f>
        <v/>
      </c>
      <c r="AH75" s="282" t="str">
        <f aca="false">IFERROR((AH76-AH77)/AH76,"")</f>
        <v/>
      </c>
      <c r="AI75" s="282" t="str">
        <f aca="false">IFERROR((AI76-AI77)/AI76,"")</f>
        <v/>
      </c>
      <c r="AJ75" s="282" t="str">
        <f aca="false">IFERROR((AJ76-AJ77)/AJ76,"")</f>
        <v/>
      </c>
      <c r="AK75" s="282" t="str">
        <f aca="false">IFERROR((AK76-AK77)/AK76,"")</f>
        <v/>
      </c>
      <c r="AL75" s="282" t="str">
        <f aca="false">IFERROR((AL76-AL77)/AL76,"")</f>
        <v/>
      </c>
      <c r="AM75" s="282" t="str">
        <f aca="false">IFERROR((AM76-AM77)/AM76,"")</f>
        <v/>
      </c>
      <c r="AN75" s="284" t="str">
        <f aca="false">IFERROR((AN76-AN77)/AN76,"")</f>
        <v/>
      </c>
      <c r="AO75" s="285" t="str">
        <f aca="false">IFERROR((AO76-AO77)/AO76,"")</f>
        <v/>
      </c>
      <c r="AP75" s="286" t="str">
        <f aca="false">IFERROR((AP76-AP77)/AP76,"")</f>
        <v/>
      </c>
      <c r="AQ75" s="286" t="str">
        <f aca="false">IFERROR((AQ76-AQ77)/AQ76,"")</f>
        <v/>
      </c>
      <c r="AR75" s="286" t="str">
        <f aca="false">IFERROR((AR76-AR77)/AR76,"")</f>
        <v/>
      </c>
      <c r="AS75" s="286" t="str">
        <f aca="false">IFERROR((AS76-AS77)/AS76,"")</f>
        <v/>
      </c>
      <c r="AT75" s="286" t="str">
        <f aca="false">IFERROR((AT76-AT77)/AT76,"")</f>
        <v/>
      </c>
      <c r="AU75" s="287" t="str">
        <f aca="false">IFERROR((AU76-AU77)/AU76,"")</f>
        <v/>
      </c>
      <c r="AV75" s="288" t="str">
        <f aca="false">IFERROR((AV76-AV77)/AV76,"")</f>
        <v/>
      </c>
    </row>
    <row r="76" customFormat="false" ht="14.25" hidden="false" customHeight="false" outlineLevel="0" collapsed="false">
      <c r="A76" s="166" t="str">
        <f aca="false">+IF(C76+C77=0,"[ocultar]","")</f>
        <v>[ocultar]</v>
      </c>
      <c r="B76" s="289" t="s">
        <v>371</v>
      </c>
      <c r="C76" s="290" t="n">
        <f aca="false" t="array" ref="C76:C76">SUM(IF($B76=DATOS_[Sexo], IF($B75=DATOS_[AGRUP. CLAS. PROF.], IF("Dentro"=DATOS_[Check Periodo Ref.], 1/(COUNTIFS(DATOS_[Sexo],$B76,DATOS_[AGRUP. CLAS. PROF.],$B75,DATOS_[Check Periodo Ref.],"Dentro",DATOS_[id],DATOS_[id]))))))</f>
        <v>0</v>
      </c>
      <c r="D76" s="291" t="n">
        <f aca="false">COUNTIFS(DATOS_[AGRUP. CLAS. PROF.],$B75,DATOS_[Sexo],$B76,DATOS_[Check Periodo Ref.],"Dentro")</f>
        <v>0</v>
      </c>
      <c r="E76" s="291" t="n">
        <f aca="false">COUNTIFS(DATOS_[AGRUP. CLAS. PROF.],$B75,DATOS_[Sexo],$B76,DATOS_[Check Periodo Ref.],"Dentro",DATOS_[Check Nº SC Norm],"Sí")</f>
        <v>0</v>
      </c>
      <c r="F76" s="291" t="n">
        <f aca="false">COUNTIFS(DATOS_[AGRUP. CLAS. PROF.],$B75,DATOS_[Sexo],$B76,DATOS_[Check Periodo Ref.],"Dentro",DATOS_[Check Nº SC Anualiz],"Sí")</f>
        <v>0</v>
      </c>
      <c r="G76" s="291" t="n">
        <f aca="false">COUNTIFS(DATOS_[AGRUP. CLAS. PROF.],$B75,DATOS_[Sexo],$B76,DATOS_[Check Periodo Ref.],"Dentro",DATOS_[Check Nº SC Norm y Anualiz],"Sí")</f>
        <v>0</v>
      </c>
      <c r="H76" s="291" t="n">
        <f aca="false">COUNTIFS(DATOS_[AGRUP. CLAS. PROF.],$B75,DATOS_[Sexo],$B76,DATOS_[Check Periodo Ref.],"Dentro",DATOS_[Check Equiparación],"Sí")</f>
        <v>0</v>
      </c>
      <c r="I76" s="292" t="n">
        <f aca="false" t="array" ref="I76:I76">IFERROR( AVERAGE(IF(DATOS_[Sexo]=$B76,IF(DATOS_[[AGRUP. CLAS. PROF.]:[AGRUP. CLAS. PROF.]]=$B75,IF(DATOS_[Check Equiparado]="Sí",IF(DATOS_[Check Periodo Ref.]="Dentro",DATOS_[SALARIO BASE Eq],0))))), 0)</f>
        <v>0</v>
      </c>
      <c r="J76" s="302" t="n">
        <f aca="false" t="array" ref="J76:J76">IFERROR( (AVERAGE((IF(DATOS_[[Sexo]:[Sexo]]=$B76,IF(DATOS_[[AGRUP. CLAS. PROF.]:[AGRUP. CLAS. PROF.]]=$B75,IF(DATOS_[[Check Periodo Ref.]:[Check Periodo Ref.]]="Dentro",IF(DATOS_[[Check Equiparado]:[Check Equiparado]]="Sí",IF(DATOS!AE$4="Sí",(1/DATOS_[[% anualiz]:[% anualiz]]),1)*IF(DATOS!AE$5="Sí",1/DATOS_[[% normaliz]:[% normaliz]],1)*(DATOS_[Conc.Sal.01])))))))), 0)</f>
        <v>0</v>
      </c>
      <c r="K76" s="302" t="n">
        <f aca="false" t="array" ref="K76:K76">IFERROR( (AVERAGE((IF(DATOS_[[Sexo]:[Sexo]]=$B76,IF(DATOS_[[AGRUP. CLAS. PROF.]:[AGRUP. CLAS. PROF.]]=$B75,IF(DATOS_[[Check Periodo Ref.]:[Check Periodo Ref.]]="Dentro",IF(DATOS_[[Check Equiparado]:[Check Equiparado]]="Sí",IF(DATOS!AF$4="Sí",(1/DATOS_[[% anualiz]:[% anualiz]]),1)*IF(DATOS!AF$5="Sí",1/DATOS_[[% normaliz]:[% normaliz]],1)*(DATOS_[Conc.Sal.02])))))))), 0)</f>
        <v>0</v>
      </c>
      <c r="L76" s="302" t="n">
        <f aca="false" t="array" ref="L76:L76">IFERROR( (AVERAGE((IF(DATOS_[[Sexo]:[Sexo]]=$B76,IF(DATOS_[[AGRUP. CLAS. PROF.]:[AGRUP. CLAS. PROF.]]=$B75,IF(DATOS_[[Check Periodo Ref.]:[Check Periodo Ref.]]="Dentro",IF(DATOS_[[Check Equiparado]:[Check Equiparado]]="Sí",IF(DATOS!AG$4="Sí",(1/DATOS_[[% anualiz]:[% anualiz]]),1)*IF(DATOS!AG$5="Sí",1/DATOS_[[% normaliz]:[% normaliz]],1)*(DATOS_[Conc.Sal.03])))))))), 0)</f>
        <v>0</v>
      </c>
      <c r="M76" s="302" t="n">
        <f aca="false" t="array" ref="M76:M76">IFERROR( (AVERAGE((IF(DATOS_[[Sexo]:[Sexo]]=$B76,IF(DATOS_[[AGRUP. CLAS. PROF.]:[AGRUP. CLAS. PROF.]]=$B75,IF(DATOS_[[Check Periodo Ref.]:[Check Periodo Ref.]]="Dentro",IF(DATOS_[[Check Equiparado]:[Check Equiparado]]="Sí",IF(DATOS!AH$4="Sí",(1/DATOS_[[% anualiz]:[% anualiz]]),1)*IF(DATOS!AH$5="Sí",1/DATOS_[[% normaliz]:[% normaliz]],1)*(DATOS_[Conc.Sal.04])))))))), 0)</f>
        <v>0</v>
      </c>
      <c r="N76" s="302" t="n">
        <f aca="false" t="array" ref="N76:N76">IFERROR( (AVERAGE((IF(DATOS_[[Sexo]:[Sexo]]=$B76,IF(DATOS_[[AGRUP. CLAS. PROF.]:[AGRUP. CLAS. PROF.]]=$B75,IF(DATOS_[[Check Periodo Ref.]:[Check Periodo Ref.]]="Dentro",IF(DATOS_[[Check Equiparado]:[Check Equiparado]]="Sí",IF(DATOS!AI$4="Sí",(1/DATOS_[[% anualiz]:[% anualiz]]),1)*IF(DATOS!AI$5="Sí",1/DATOS_[[% normaliz]:[% normaliz]],1)*(DATOS_[Conc.Sal.05])))))))), 0)</f>
        <v>0</v>
      </c>
      <c r="O76" s="302" t="n">
        <f aca="false" t="array" ref="O76:O76">IFERROR( (AVERAGE((IF(DATOS_[[Sexo]:[Sexo]]=$B76,IF(DATOS_[[AGRUP. CLAS. PROF.]:[AGRUP. CLAS. PROF.]]=$B75,IF(DATOS_[[Check Periodo Ref.]:[Check Periodo Ref.]]="Dentro",IF(DATOS_[[Check Equiparado]:[Check Equiparado]]="Sí",IF(DATOS!AJ$4="Sí",(1/DATOS_[[% anualiz]:[% anualiz]]),1)*IF(DATOS!AJ$5="Sí",1/DATOS_[[% normaliz]:[% normaliz]],1)*(DATOS_[Conc.Sal.06])))))))), 0)</f>
        <v>0</v>
      </c>
      <c r="P76" s="302" t="n">
        <f aca="false" t="array" ref="P76:P76">IFERROR( (AVERAGE((IF(DATOS_[[Sexo]:[Sexo]]=$B76,IF(DATOS_[[AGRUP. CLAS. PROF.]:[AGRUP. CLAS. PROF.]]=$B75,IF(DATOS_[[Check Periodo Ref.]:[Check Periodo Ref.]]="Dentro",IF(DATOS_[[Check Equiparado]:[Check Equiparado]]="Sí",IF(DATOS!AK$4="Sí",(1/DATOS_[[% anualiz]:[% anualiz]]),1)*IF(DATOS!AK$5="Sí",1/DATOS_[[% normaliz]:[% normaliz]],1)*(DATOS_[Conc.Sal.07])))))))), 0)</f>
        <v>0</v>
      </c>
      <c r="Q76" s="302" t="n">
        <f aca="false" t="array" ref="Q76:Q76">IFERROR( (AVERAGE((IF(DATOS_[[Sexo]:[Sexo]]=$B76,IF(DATOS_[[AGRUP. CLAS. PROF.]:[AGRUP. CLAS. PROF.]]=$B75,IF(DATOS_[[Check Periodo Ref.]:[Check Periodo Ref.]]="Dentro",IF(DATOS_[[Check Equiparado]:[Check Equiparado]]="Sí",IF(DATOS!AL$4="Sí",(1/DATOS_[[% anualiz]:[% anualiz]]),1)*IF(DATOS!AL$5="Sí",1/DATOS_[[% normaliz]:[% normaliz]],1)*(DATOS_[Conc.Sal.08])))))))), 0)</f>
        <v>0</v>
      </c>
      <c r="R76" s="302" t="n">
        <f aca="false" t="array" ref="R76:R76">IFERROR( (AVERAGE((IF(DATOS_[[Sexo]:[Sexo]]=$B76,IF(DATOS_[[AGRUP. CLAS. PROF.]:[AGRUP. CLAS. PROF.]]=$B75,IF(DATOS_[[Check Periodo Ref.]:[Check Periodo Ref.]]="Dentro",IF(DATOS_[[Check Equiparado]:[Check Equiparado]]="Sí",IF(DATOS!AM$4="Sí",(1/DATOS_[[% anualiz]:[% anualiz]]),1)*IF(DATOS!AM$5="Sí",1/DATOS_[[% normaliz]:[% normaliz]],1)*(DATOS_[Conc.Sal.09])))))))), 0)</f>
        <v>0</v>
      </c>
      <c r="S76" s="302" t="n">
        <f aca="false" t="array" ref="S76:S76">IFERROR( (AVERAGE((IF(DATOS_[[Sexo]:[Sexo]]=$B76,IF(DATOS_[[AGRUP. CLAS. PROF.]:[AGRUP. CLAS. PROF.]]=$B75,IF(DATOS_[[Check Periodo Ref.]:[Check Periodo Ref.]]="Dentro",IF(DATOS_[[Check Equiparado]:[Check Equiparado]]="Sí",IF(DATOS!AN$4="Sí",(1/DATOS_[[% anualiz]:[% anualiz]]),1)*IF(DATOS!AN$5="Sí",1/DATOS_[[% normaliz]:[% normaliz]],1)*(DATOS_[Conc.Sal.10])))))))), 0)</f>
        <v>0</v>
      </c>
      <c r="T76" s="302" t="n">
        <f aca="false" t="array" ref="T76:T76">IFERROR( (AVERAGE((IF(DATOS_[[Sexo]:[Sexo]]=$B76,IF(DATOS_[[AGRUP. CLAS. PROF.]:[AGRUP. CLAS. PROF.]]=$B75,IF(DATOS_[[Check Periodo Ref.]:[Check Periodo Ref.]]="Dentro",IF(DATOS_[[Check Equiparado]:[Check Equiparado]]="Sí",IF(DATOS!AO$4="Sí",(1/DATOS_[[% anualiz]:[% anualiz]]),1)*IF(DATOS!AO$5="Sí",1/DATOS_[[% normaliz]:[% normaliz]],1)*(DATOS_[Conc.Sal.11])))))))), 0)</f>
        <v>0</v>
      </c>
      <c r="U76" s="302" t="n">
        <f aca="false" t="array" ref="U76:U76">IFERROR( (AVERAGE((IF(DATOS_[[Sexo]:[Sexo]]=$B76,IF(DATOS_[[AGRUP. CLAS. PROF.]:[AGRUP. CLAS. PROF.]]=$B75,IF(DATOS_[[Check Periodo Ref.]:[Check Periodo Ref.]]="Dentro",IF(DATOS_[[Check Equiparado]:[Check Equiparado]]="Sí",IF(DATOS!AP$4="Sí",(1/DATOS_[[% anualiz]:[% anualiz]]),1)*IF(DATOS!AP$5="Sí",1/DATOS_[[% normaliz]:[% normaliz]],1)*(DATOS_[Conc.Sal.12])))))))), 0)</f>
        <v>0</v>
      </c>
      <c r="V76" s="302" t="n">
        <f aca="false" t="array" ref="V76:V76">IFERROR( (AVERAGE((IF(DATOS_[[Sexo]:[Sexo]]=$B76,IF(DATOS_[[AGRUP. CLAS. PROF.]:[AGRUP. CLAS. PROF.]]=$B75,IF(DATOS_[[Check Periodo Ref.]:[Check Periodo Ref.]]="Dentro",IF(DATOS_[[Check Equiparado]:[Check Equiparado]]="Sí",IF(DATOS!AQ$4="Sí",(1/DATOS_[[% anualiz]:[% anualiz]]),1)*IF(DATOS!AQ$5="Sí",1/DATOS_[[% normaliz]:[% normaliz]],1)*(DATOS_[Conc.Sal.13])))))))), 0)</f>
        <v>0</v>
      </c>
      <c r="W76" s="302" t="n">
        <f aca="false" t="array" ref="W76:W76">IFERROR( (AVERAGE((IF(DATOS_[[Sexo]:[Sexo]]=$B76,IF(DATOS_[[AGRUP. CLAS. PROF.]:[AGRUP. CLAS. PROF.]]=$B75,IF(DATOS_[[Check Periodo Ref.]:[Check Periodo Ref.]]="Dentro",IF(DATOS_[[Check Equiparado]:[Check Equiparado]]="Sí",IF(DATOS!AR$4="Sí",(1/DATOS_[[% anualiz]:[% anualiz]]),1)*IF(DATOS!AR$5="Sí",1/DATOS_[[% normaliz]:[% normaliz]],1)*(DATOS_[Conc.Sal.14])))))))), 0)</f>
        <v>0</v>
      </c>
      <c r="X76" s="302" t="n">
        <f aca="false" t="array" ref="X76:X76">IFERROR( (AVERAGE((IF(DATOS_[[Sexo]:[Sexo]]=$B76,IF(DATOS_[[AGRUP. CLAS. PROF.]:[AGRUP. CLAS. PROF.]]=$B75,IF(DATOS_[[Check Periodo Ref.]:[Check Periodo Ref.]]="Dentro",IF(DATOS_[[Check Equiparado]:[Check Equiparado]]="Sí",IF(DATOS!AS$4="Sí",(1/DATOS_[[% anualiz]:[% anualiz]]),1)*IF(DATOS!AS$5="Sí",1/DATOS_[[% normaliz]:[% normaliz]],1)*(DATOS_[Conc.Sal.15])))))))), 0)</f>
        <v>0</v>
      </c>
      <c r="Y76" s="302" t="n">
        <f aca="false" t="array" ref="Y76:Y76">IFERROR( (AVERAGE((IF(DATOS_[[Sexo]:[Sexo]]=$B76,IF(DATOS_[[AGRUP. CLAS. PROF.]:[AGRUP. CLAS. PROF.]]=$B75,IF(DATOS_[[Check Periodo Ref.]:[Check Periodo Ref.]]="Dentro",IF(DATOS_[[Check Equiparado]:[Check Equiparado]]="Sí",IF(DATOS!AT$4="Sí",(1/DATOS_[[% anualiz]:[% anualiz]]),1)*IF(DATOS!AT$5="Sí",1/DATOS_[[% normaliz]:[% normaliz]],1)*(DATOS_[Conc.Sal.16])))))))), 0)</f>
        <v>0</v>
      </c>
      <c r="Z76" s="302" t="n">
        <f aca="false" t="array" ref="Z76:Z76">IFERROR( (AVERAGE((IF(DATOS_[[Sexo]:[Sexo]]=$B76,IF(DATOS_[[AGRUP. CLAS. PROF.]:[AGRUP. CLAS. PROF.]]=$B75,IF(DATOS_[[Check Periodo Ref.]:[Check Periodo Ref.]]="Dentro",IF(DATOS_[[Check Equiparado]:[Check Equiparado]]="Sí",IF(DATOS!AU$4="Sí",(1/DATOS_[[% anualiz]:[% anualiz]]),1)*IF(DATOS!AU$5="Sí",1/DATOS_[[% normaliz]:[% normaliz]],1)*(DATOS_[Conc.Sal.17])))))))), 0)</f>
        <v>0</v>
      </c>
      <c r="AA76" s="302" t="n">
        <f aca="false" t="array" ref="AA76:AA76">IFERROR( (AVERAGE((IF(DATOS_[[Sexo]:[Sexo]]=$B76,IF(DATOS_[[AGRUP. CLAS. PROF.]:[AGRUP. CLAS. PROF.]]=$B75,IF(DATOS_[[Check Periodo Ref.]:[Check Periodo Ref.]]="Dentro",IF(DATOS_[[Check Equiparado]:[Check Equiparado]]="Sí",IF(DATOS!AV$4="Sí",(1/DATOS_[[% anualiz]:[% anualiz]]),1)*IF(DATOS!AV$5="Sí",1/DATOS_[[% normaliz]:[% normaliz]],1)*(DATOS_[Conc.Sal.18])))))))), 0)</f>
        <v>0</v>
      </c>
      <c r="AB76" s="302" t="n">
        <f aca="false" t="array" ref="AB76:AB76">IFERROR( (AVERAGE((IF(DATOS_[[Sexo]:[Sexo]]=$B76,IF(DATOS_[[AGRUP. CLAS. PROF.]:[AGRUP. CLAS. PROF.]]=$B75,IF(DATOS_[[Check Periodo Ref.]:[Check Periodo Ref.]]="Dentro",IF(DATOS_[[Check Equiparado]:[Check Equiparado]]="Sí",IF(DATOS!AW$4="Sí",(1/DATOS_[[% anualiz]:[% anualiz]]),1)*IF(DATOS!AW$5="Sí",1/DATOS_[[% normaliz]:[% normaliz]],1)*(DATOS_[Conc.Sal.19])))))))), 0)</f>
        <v>0</v>
      </c>
      <c r="AC76" s="302" t="n">
        <f aca="false" t="array" ref="AC76:AC76">IFERROR( (AVERAGE((IF(DATOS_[[Sexo]:[Sexo]]=$B76,IF(DATOS_[[AGRUP. CLAS. PROF.]:[AGRUP. CLAS. PROF.]]=$B75,IF(DATOS_[[Check Periodo Ref.]:[Check Periodo Ref.]]="Dentro",IF(DATOS_[[Check Equiparado]:[Check Equiparado]]="Sí",IF(DATOS!AX$4="Sí",(1/DATOS_[[% anualiz]:[% anualiz]]),1)*IF(DATOS!AX$5="Sí",1/DATOS_[[% normaliz]:[% normaliz]],1)*(DATOS_[Conc.Sal.20])))))))), 0)</f>
        <v>0</v>
      </c>
      <c r="AD76" s="302" t="n">
        <f aca="false" t="array" ref="AD76:AD76">IFERROR( (AVERAGE((IF(DATOS_[[Sexo]:[Sexo]]=$B76,IF(DATOS_[[AGRUP. CLAS. PROF.]:[AGRUP. CLAS. PROF.]]=$B75,IF(DATOS_[[Check Periodo Ref.]:[Check Periodo Ref.]]="Dentro",IF(DATOS_[[Check Equiparado]:[Check Equiparado]]="Sí",IF(DATOS!AY$4="Sí",(1/DATOS_[[% anualiz]:[% anualiz]]),1)*IF(DATOS!AY$5="Sí",1/DATOS_[[% normaliz]:[% normaliz]],1)*(DATOS_[Conc.Sal.21])))))))), 0)</f>
        <v>0</v>
      </c>
      <c r="AE76" s="302" t="n">
        <f aca="false" t="array" ref="AE76:AE76">IFERROR( (AVERAGE((IF(DATOS_[[Sexo]:[Sexo]]=$B76,IF(DATOS_[[AGRUP. CLAS. PROF.]:[AGRUP. CLAS. PROF.]]=$B75,IF(DATOS_[[Check Periodo Ref.]:[Check Periodo Ref.]]="Dentro",IF(DATOS_[[Check Equiparado]:[Check Equiparado]]="Sí",IF(DATOS!AZ$4="Sí",(1/DATOS_[[% anualiz]:[% anualiz]]),1)*IF(DATOS!AZ$5="Sí",1/DATOS_[[% normaliz]:[% normaliz]],1)*(DATOS_[Conc.Sal.22])))))))), 0)</f>
        <v>0</v>
      </c>
      <c r="AF76" s="302" t="n">
        <f aca="false" t="array" ref="AF76:AF76">IFERROR( (AVERAGE((IF(DATOS_[[Sexo]:[Sexo]]=$B76,IF(DATOS_[[AGRUP. CLAS. PROF.]:[AGRUP. CLAS. PROF.]]=$B75,IF(DATOS_[[Check Periodo Ref.]:[Check Periodo Ref.]]="Dentro",IF(DATOS_[[Check Equiparado]:[Check Equiparado]]="Sí",IF(DATOS!BA$4="Sí",(1/DATOS_[[% anualiz]:[% anualiz]]),1)*IF(DATOS!BA$5="Sí",1/DATOS_[[% normaliz]:[% normaliz]],1)*(DATOS_[Conc.Sal.23])))))))), 0)</f>
        <v>0</v>
      </c>
      <c r="AG76" s="302" t="n">
        <f aca="false" t="array" ref="AG76:AG76">IFERROR( (AVERAGE((IF(DATOS_[[Sexo]:[Sexo]]=$B76,IF(DATOS_[[AGRUP. CLAS. PROF.]:[AGRUP. CLAS. PROF.]]=$B75,IF(DATOS_[[Check Periodo Ref.]:[Check Periodo Ref.]]="Dentro",IF(DATOS_[[Check Equiparado]:[Check Equiparado]]="Sí",IF(DATOS!BB$4="Sí",(1/DATOS_[[% anualiz]:[% anualiz]]),1)*IF(DATOS!BB$5="Sí",1/DATOS_[[% normaliz]:[% normaliz]],1)*(DATOS_[Conc.Sal.24])))))))), 0)</f>
        <v>0</v>
      </c>
      <c r="AH76" s="302" t="n">
        <f aca="false" t="array" ref="AH76:AH76">IFERROR( (AVERAGE((IF(DATOS_[[Sexo]:[Sexo]]=$B76,IF(DATOS_[[AGRUP. CLAS. PROF.]:[AGRUP. CLAS. PROF.]]=$B75,IF(DATOS_[[Check Periodo Ref.]:[Check Periodo Ref.]]="Dentro",IF(DATOS_[[Check Equiparado]:[Check Equiparado]]="Sí",IF(DATOS!BC$4="Sí",(1/DATOS_[[% anualiz]:[% anualiz]]),1)*IF(DATOS!BC$5="Sí",1/DATOS_[[% normaliz]:[% normaliz]],1)*(DATOS_[Conc.Sal.25])))))))), 0)</f>
        <v>0</v>
      </c>
      <c r="AI76" s="302" t="n">
        <f aca="false" t="array" ref="AI76:AI76">IFERROR( (AVERAGE((IF(DATOS_[[Sexo]:[Sexo]]=$B76,IF(DATOS_[[AGRUP. CLAS. PROF.]:[AGRUP. CLAS. PROF.]]=$B75,IF(DATOS_[[Check Periodo Ref.]:[Check Periodo Ref.]]="Dentro",IF(DATOS_[[Check Equiparado]:[Check Equiparado]]="Sí",IF(DATOS!BD$4="Sí",(1/DATOS_[[% anualiz]:[% anualiz]]),1)*IF(DATOS!BD$5="Sí",1/DATOS_[[% normaliz]:[% normaliz]],1)*(DATOS_[Conc.Sal.26])))))))), 0)</f>
        <v>0</v>
      </c>
      <c r="AJ76" s="302" t="n">
        <f aca="false" t="array" ref="AJ76:AJ76">IFERROR( (AVERAGE((IF(DATOS_[[Sexo]:[Sexo]]=$B76,IF(DATOS_[[AGRUP. CLAS. PROF.]:[AGRUP. CLAS. PROF.]]=$B75,IF(DATOS_[[Check Periodo Ref.]:[Check Periodo Ref.]]="Dentro",IF(DATOS_[[Check Equiparado]:[Check Equiparado]]="Sí",IF(DATOS!BE$4="Sí",(1/DATOS_[[% anualiz]:[% anualiz]]),1)*IF(DATOS!BE$5="Sí",1/DATOS_[[% normaliz]:[% normaliz]],1)*(DATOS_[Conc.Sal.27])))))))), 0)</f>
        <v>0</v>
      </c>
      <c r="AK76" s="302" t="n">
        <f aca="false" t="array" ref="AK76:AK76">IFERROR( (AVERAGE((IF(DATOS_[[Sexo]:[Sexo]]=$B76,IF(DATOS_[[AGRUP. CLAS. PROF.]:[AGRUP. CLAS. PROF.]]=$B75,IF(DATOS_[[Check Periodo Ref.]:[Check Periodo Ref.]]="Dentro",IF(DATOS_[[Check Equiparado]:[Check Equiparado]]="Sí",IF(DATOS!BF$4="Sí",(1/DATOS_[[% anualiz]:[% anualiz]]),1)*IF(DATOS!BF$5="Sí",1/DATOS_[[% normaliz]:[% normaliz]],1)*(DATOS_[Conc.Sal.28])))))))), 0)</f>
        <v>0</v>
      </c>
      <c r="AL76" s="302" t="n">
        <f aca="false" t="array" ref="AL76:AL76">IFERROR( (AVERAGE((IF(DATOS_[[Sexo]:[Sexo]]=$B76,IF(DATOS_[[AGRUP. CLAS. PROF.]:[AGRUP. CLAS. PROF.]]=$B75,IF(DATOS_[[Check Periodo Ref.]:[Check Periodo Ref.]]="Dentro",IF(DATOS_[[Check Equiparado]:[Check Equiparado]]="Sí",IF(DATOS!BG$4="Sí",(1/DATOS_[[% anualiz]:[% anualiz]]),1)*IF(DATOS!BG$5="Sí",1/DATOS_[[% normaliz]:[% normaliz]],1)*(DATOS_[Conc.Sal.29])))))))), 0)</f>
        <v>0</v>
      </c>
      <c r="AM76" s="302" t="n">
        <f aca="false" t="array" ref="AM76:AM76">IFERROR( (AVERAGE((IF(DATOS_[[Sexo]:[Sexo]]=$B76,IF(DATOS_[[AGRUP. CLAS. PROF.]:[AGRUP. CLAS. PROF.]]=$B75,IF(DATOS_[[Check Periodo Ref.]:[Check Periodo Ref.]]="Dentro",IF(DATOS_[[Check Equiparado]:[Check Equiparado]]="Sí",IF(DATOS!BH$4="Sí",(1/DATOS_[[% anualiz]:[% anualiz]]),1)*IF(DATOS!BH$5="Sí",1/DATOS_[[% normaliz]:[% normaliz]],1)*(DATOS_[Conc.Sal.30])))))))), 0)</f>
        <v>0</v>
      </c>
      <c r="AN76" s="294" t="n">
        <f aca="false" t="array" ref="AN76:AN76">IFERROR( AVERAGE(IF(DATOS_[Sexo]=$B76,IF(DATOS_[[AGRUP. CLAS. PROF.]:[AGRUP. CLAS. PROF.]]=$B75,IF(DATOS_[Check Equiparado]="Sí",IF(DATOS_[Check Periodo Ref.]="Dentro",DATOS_[Tot COMPL.SAL Eq],0))))), 0)</f>
        <v>0</v>
      </c>
      <c r="AO76" s="295" t="n">
        <f aca="false" t="array" ref="AO76:AO76">IFERROR( AVERAGE(IF(DATOS_[Sexo]=$B76,IF(DATOS_[[AGRUP. CLAS. PROF.]:[AGRUP. CLAS. PROF.]]=$B75,IF(DATOS_[Check Equiparado]="Sí",IF(DATOS_[Check Periodo Ref.]="Dentro",DATOS_[TOTAL SALARIO Eq],0))))), 0)</f>
        <v>0</v>
      </c>
      <c r="AP76" s="303" t="n">
        <f aca="false" t="array" ref="AP76:AP76">IFERROR( (AVERAGE((IF(DATOS_[[Sexo]:[Sexo]]=$B76,IF(DATOS_[[AGRUP. CLAS. PROF.]:[AGRUP. CLAS. PROF.]]=$B75,IF(DATOS_[[Check Periodo Ref.]:[Check Periodo Ref.]]="Dentro",IF(DATOS_[[Check Equiparado]:[Check Equiparado]]="Sí",IF(DATOS!BI$4="Sí",(1/DATOS_[[% anualiz]:[% anualiz]]),1)*IF(DATOS!BI$5="Sí",1/DATOS_[[% normaliz]:[% normaliz]],1)*(DATOS_[C.Extra.01])))))))), 0)</f>
        <v>0</v>
      </c>
      <c r="AQ76" s="303" t="n">
        <f aca="false" t="array" ref="AQ76:AQ76">IFERROR( (AVERAGE((IF(DATOS_[[Sexo]:[Sexo]]=$B76,IF(DATOS_[[AGRUP. CLAS. PROF.]:[AGRUP. CLAS. PROF.]]=$B75,IF(DATOS_[[Check Periodo Ref.]:[Check Periodo Ref.]]="Dentro",IF(DATOS_[[Check Equiparado]:[Check Equiparado]]="Sí",IF(DATOS!BJ$4="Sí",(1/DATOS_[[% anualiz]:[% anualiz]]),1)*IF(DATOS!BJ$5="Sí",1/DATOS_[[% normaliz]:[% normaliz]],1)*(DATOS_[C.Extra.02])))))))), 0)</f>
        <v>0</v>
      </c>
      <c r="AR76" s="303" t="n">
        <f aca="false" t="array" ref="AR76:AR76">IFERROR( (AVERAGE((IF(DATOS_[[Sexo]:[Sexo]]=$B76,IF(DATOS_[[AGRUP. CLAS. PROF.]:[AGRUP. CLAS. PROF.]]=$B75,IF(DATOS_[[Check Periodo Ref.]:[Check Periodo Ref.]]="Dentro",IF(DATOS_[[Check Equiparado]:[Check Equiparado]]="Sí",IF(DATOS!BK$4="Sí",(1/DATOS_[[% anualiz]:[% anualiz]]),1)*IF(DATOS!BK$5="Sí",1/DATOS_[[% normaliz]:[% normaliz]],1)*(DATOS_[C.Extra.03])))))))), 0)</f>
        <v>0</v>
      </c>
      <c r="AS76" s="303" t="n">
        <f aca="false" t="array" ref="AS76:AS76">IFERROR( (AVERAGE((IF(DATOS_[[Sexo]:[Sexo]]=$B76,IF(DATOS_[[AGRUP. CLAS. PROF.]:[AGRUP. CLAS. PROF.]]=$B75,IF(DATOS_[[Check Periodo Ref.]:[Check Periodo Ref.]]="Dentro",IF(DATOS_[[Check Equiparado]:[Check Equiparado]]="Sí",IF(DATOS!BL$4="Sí",(1/DATOS_[[% anualiz]:[% anualiz]]),1)*IF(DATOS!BL$5="Sí",1/DATOS_[[% normaliz]:[% normaliz]],1)*(DATOS_[C.Extra.04])))))))), 0)</f>
        <v>0</v>
      </c>
      <c r="AT76" s="303" t="n">
        <f aca="false" t="array" ref="AT76:AT76">IFERROR( (AVERAGE((IF(DATOS_[[Sexo]:[Sexo]]=$B76,IF(DATOS_[[AGRUP. CLAS. PROF.]:[AGRUP. CLAS. PROF.]]=$B75,IF(DATOS_[[Check Periodo Ref.]:[Check Periodo Ref.]]="Dentro",IF(DATOS_[[Check Equiparado]:[Check Equiparado]]="Sí",IF(DATOS!BM$4="Sí",(1/DATOS_[[% anualiz]:[% anualiz]]),1)*IF(DATOS!BM$5="Sí",1/DATOS_[[% normaliz]:[% normaliz]],1)*(DATOS_[C.Extra.05])))))))), 0)</f>
        <v>0</v>
      </c>
      <c r="AU76" s="297" t="n">
        <f aca="false" t="array" ref="AU76:AU76">IFERROR( AVERAGE(IF(DATOS_[Sexo]=$B76,IF(DATOS_[[AGRUP. CLAS. PROF.]:[AGRUP. CLAS. PROF.]]=$B75,IF(DATOS_[Check Equiparado]="Sí",IF(DATOS_[Check Periodo Ref.]="Dentro",DATOS_[Tot Extrasalarial Eq],0))))), 0)</f>
        <v>0</v>
      </c>
      <c r="AV76" s="298" t="n">
        <f aca="false" t="array" ref="AV76:AV76">IFERROR( AVERAGE(IF(DATOS_[Sexo]=$B76,IF(DATOS_[[AGRUP. CLAS. PROF.]:[AGRUP. CLAS. PROF.]]=$B75,IF(DATOS_[Check Equiparado]="Sí",IF(DATOS_[Check Periodo Ref.]="Dentro",DATOS_[TOTAL Retrib Eq],0))))), 0)</f>
        <v>0</v>
      </c>
    </row>
    <row r="77" customFormat="false" ht="14.25" hidden="false" customHeight="false" outlineLevel="0" collapsed="false">
      <c r="A77" s="166" t="str">
        <f aca="false">+A76</f>
        <v>[ocultar]</v>
      </c>
      <c r="B77" s="289" t="s">
        <v>372</v>
      </c>
      <c r="C77" s="290" t="n">
        <f aca="false" t="array" ref="C77:C77">SUM(IF($B77=DATOS_[Sexo], IF($B75=DATOS_[AGRUP. CLAS. PROF.], IF("Dentro"=DATOS_[Check Periodo Ref.], 1/(COUNTIFS(DATOS_[Sexo],$B77,DATOS_[AGRUP. CLAS. PROF.],$B75,DATOS_[Check Periodo Ref.],"Dentro",DATOS_[id],DATOS_[id]))))))</f>
        <v>0</v>
      </c>
      <c r="D77" s="291" t="n">
        <f aca="false">COUNTIFS(DATOS_[AGRUP. CLAS. PROF.],$B75,DATOS_[Sexo],$B77,DATOS_[Check Periodo Ref.],"Dentro")</f>
        <v>0</v>
      </c>
      <c r="E77" s="291" t="n">
        <f aca="false">COUNTIFS(DATOS_[AGRUP. CLAS. PROF.],$B75,DATOS_[Sexo],$B77,DATOS_[Check Periodo Ref.],"Dentro",DATOS_[Check Nº SC Norm],"Sí")</f>
        <v>0</v>
      </c>
      <c r="F77" s="291" t="n">
        <f aca="false">COUNTIFS(DATOS_[AGRUP. CLAS. PROF.],$B75,DATOS_[Sexo],$B77,DATOS_[Check Periodo Ref.],"Dentro",DATOS_[Check Nº SC Anualiz],"Sí")</f>
        <v>0</v>
      </c>
      <c r="G77" s="291" t="n">
        <f aca="false">COUNTIFS(DATOS_[AGRUP. CLAS. PROF.],$B75,DATOS_[Sexo],$B77,DATOS_[Check Periodo Ref.],"Dentro",DATOS_[Check Nº SC Norm y Anualiz],"Sí")</f>
        <v>0</v>
      </c>
      <c r="H77" s="291" t="n">
        <f aca="false">COUNTIFS(DATOS_[AGRUP. CLAS. PROF.],$B75,DATOS_[Sexo],$B77,DATOS_[Check Periodo Ref.],"Dentro",DATOS_[Check Equiparación],"Sí")</f>
        <v>0</v>
      </c>
      <c r="I77" s="292" t="n">
        <f aca="false" t="array" ref="I77:I77">IFERROR( AVERAGE(IF(DATOS_[Sexo]=$B77,IF(DATOS_[[AGRUP. CLAS. PROF.]:[AGRUP. CLAS. PROF.]]=$B75,IF(DATOS_[Check Equiparado]="Sí",IF(DATOS_[Check Periodo Ref.]="Dentro",DATOS_[SALARIO BASE Eq],0))))), 0)</f>
        <v>0</v>
      </c>
      <c r="J77" s="302" t="n">
        <f aca="false" t="array" ref="J77:J77">IFERROR( (AVERAGE((IF(DATOS_[[Sexo]:[Sexo]]=$B77,IF(DATOS_[[AGRUP. CLAS. PROF.]:[AGRUP. CLAS. PROF.]]=$B75,IF(DATOS_[[Check Periodo Ref.]:[Check Periodo Ref.]]="Dentro",IF(DATOS_[[Check Equiparado]:[Check Equiparado]]="Sí",IF(DATOS!AE$4="Sí",(1/DATOS_[[% anualiz]:[% anualiz]]),1)*IF(DATOS!AE$5="Sí",1/DATOS_[[% normaliz]:[% normaliz]],1)*(DATOS_[Conc.Sal.01])))))))), 0)</f>
        <v>0</v>
      </c>
      <c r="K77" s="302" t="n">
        <f aca="false" t="array" ref="K77:K77">IFERROR( (AVERAGE((IF(DATOS_[[Sexo]:[Sexo]]=$B77,IF(DATOS_[[AGRUP. CLAS. PROF.]:[AGRUP. CLAS. PROF.]]=$B75,IF(DATOS_[[Check Periodo Ref.]:[Check Periodo Ref.]]="Dentro",IF(DATOS_[[Check Equiparado]:[Check Equiparado]]="Sí",IF(DATOS!AF$4="Sí",(1/DATOS_[[% anualiz]:[% anualiz]]),1)*IF(DATOS!AF$5="Sí",1/DATOS_[[% normaliz]:[% normaliz]],1)*(DATOS_[Conc.Sal.02])))))))), 0)</f>
        <v>0</v>
      </c>
      <c r="L77" s="302" t="n">
        <f aca="false" t="array" ref="L77:L77">IFERROR( (AVERAGE((IF(DATOS_[[Sexo]:[Sexo]]=$B77,IF(DATOS_[[AGRUP. CLAS. PROF.]:[AGRUP. CLAS. PROF.]]=$B75,IF(DATOS_[[Check Periodo Ref.]:[Check Periodo Ref.]]="Dentro",IF(DATOS_[[Check Equiparado]:[Check Equiparado]]="Sí",IF(DATOS!AG$4="Sí",(1/DATOS_[[% anualiz]:[% anualiz]]),1)*IF(DATOS!AG$5="Sí",1/DATOS_[[% normaliz]:[% normaliz]],1)*(DATOS_[Conc.Sal.03])))))))), 0)</f>
        <v>0</v>
      </c>
      <c r="M77" s="302" t="n">
        <f aca="false" t="array" ref="M77:M77">IFERROR( (AVERAGE((IF(DATOS_[[Sexo]:[Sexo]]=$B77,IF(DATOS_[[AGRUP. CLAS. PROF.]:[AGRUP. CLAS. PROF.]]=$B75,IF(DATOS_[[Check Periodo Ref.]:[Check Periodo Ref.]]="Dentro",IF(DATOS_[[Check Equiparado]:[Check Equiparado]]="Sí",IF(DATOS!AH$4="Sí",(1/DATOS_[[% anualiz]:[% anualiz]]),1)*IF(DATOS!AH$5="Sí",1/DATOS_[[% normaliz]:[% normaliz]],1)*(DATOS_[Conc.Sal.04])))))))), 0)</f>
        <v>0</v>
      </c>
      <c r="N77" s="302" t="n">
        <f aca="false" t="array" ref="N77:N77">IFERROR( (AVERAGE((IF(DATOS_[[Sexo]:[Sexo]]=$B77,IF(DATOS_[[AGRUP. CLAS. PROF.]:[AGRUP. CLAS. PROF.]]=$B75,IF(DATOS_[[Check Periodo Ref.]:[Check Periodo Ref.]]="Dentro",IF(DATOS_[[Check Equiparado]:[Check Equiparado]]="Sí",IF(DATOS!AI$4="Sí",(1/DATOS_[[% anualiz]:[% anualiz]]),1)*IF(DATOS!AI$5="Sí",1/DATOS_[[% normaliz]:[% normaliz]],1)*(DATOS_[Conc.Sal.05])))))))), 0)</f>
        <v>0</v>
      </c>
      <c r="O77" s="302" t="n">
        <f aca="false" t="array" ref="O77:O77">IFERROR( (AVERAGE((IF(DATOS_[[Sexo]:[Sexo]]=$B77,IF(DATOS_[[AGRUP. CLAS. PROF.]:[AGRUP. CLAS. PROF.]]=$B75,IF(DATOS_[[Check Periodo Ref.]:[Check Periodo Ref.]]="Dentro",IF(DATOS_[[Check Equiparado]:[Check Equiparado]]="Sí",IF(DATOS!AJ$4="Sí",(1/DATOS_[[% anualiz]:[% anualiz]]),1)*IF(DATOS!AJ$5="Sí",1/DATOS_[[% normaliz]:[% normaliz]],1)*(DATOS_[Conc.Sal.06])))))))), 0)</f>
        <v>0</v>
      </c>
      <c r="P77" s="302" t="n">
        <f aca="false" t="array" ref="P77:P77">IFERROR( (AVERAGE((IF(DATOS_[[Sexo]:[Sexo]]=$B77,IF(DATOS_[[AGRUP. CLAS. PROF.]:[AGRUP. CLAS. PROF.]]=$B75,IF(DATOS_[[Check Periodo Ref.]:[Check Periodo Ref.]]="Dentro",IF(DATOS_[[Check Equiparado]:[Check Equiparado]]="Sí",IF(DATOS!AK$4="Sí",(1/DATOS_[[% anualiz]:[% anualiz]]),1)*IF(DATOS!AK$5="Sí",1/DATOS_[[% normaliz]:[% normaliz]],1)*(DATOS_[Conc.Sal.07])))))))), 0)</f>
        <v>0</v>
      </c>
      <c r="Q77" s="302" t="n">
        <f aca="false" t="array" ref="Q77:Q77">IFERROR( (AVERAGE((IF(DATOS_[[Sexo]:[Sexo]]=$B77,IF(DATOS_[[AGRUP. CLAS. PROF.]:[AGRUP. CLAS. PROF.]]=$B75,IF(DATOS_[[Check Periodo Ref.]:[Check Periodo Ref.]]="Dentro",IF(DATOS_[[Check Equiparado]:[Check Equiparado]]="Sí",IF(DATOS!AL$4="Sí",(1/DATOS_[[% anualiz]:[% anualiz]]),1)*IF(DATOS!AL$5="Sí",1/DATOS_[[% normaliz]:[% normaliz]],1)*(DATOS_[Conc.Sal.08])))))))), 0)</f>
        <v>0</v>
      </c>
      <c r="R77" s="302" t="n">
        <f aca="false" t="array" ref="R77:R77">IFERROR( (AVERAGE((IF(DATOS_[[Sexo]:[Sexo]]=$B77,IF(DATOS_[[AGRUP. CLAS. PROF.]:[AGRUP. CLAS. PROF.]]=$B75,IF(DATOS_[[Check Periodo Ref.]:[Check Periodo Ref.]]="Dentro",IF(DATOS_[[Check Equiparado]:[Check Equiparado]]="Sí",IF(DATOS!AM$4="Sí",(1/DATOS_[[% anualiz]:[% anualiz]]),1)*IF(DATOS!AM$5="Sí",1/DATOS_[[% normaliz]:[% normaliz]],1)*(DATOS_[Conc.Sal.09])))))))), 0)</f>
        <v>0</v>
      </c>
      <c r="S77" s="302" t="n">
        <f aca="false" t="array" ref="S77:S77">IFERROR( (AVERAGE((IF(DATOS_[[Sexo]:[Sexo]]=$B77,IF(DATOS_[[AGRUP. CLAS. PROF.]:[AGRUP. CLAS. PROF.]]=$B75,IF(DATOS_[[Check Periodo Ref.]:[Check Periodo Ref.]]="Dentro",IF(DATOS_[[Check Equiparado]:[Check Equiparado]]="Sí",IF(DATOS!AN$4="Sí",(1/DATOS_[[% anualiz]:[% anualiz]]),1)*IF(DATOS!AN$5="Sí",1/DATOS_[[% normaliz]:[% normaliz]],1)*(DATOS_[Conc.Sal.10])))))))), 0)</f>
        <v>0</v>
      </c>
      <c r="T77" s="302" t="n">
        <f aca="false" t="array" ref="T77:T77">IFERROR( (AVERAGE((IF(DATOS_[[Sexo]:[Sexo]]=$B77,IF(DATOS_[[AGRUP. CLAS. PROF.]:[AGRUP. CLAS. PROF.]]=$B75,IF(DATOS_[[Check Periodo Ref.]:[Check Periodo Ref.]]="Dentro",IF(DATOS_[[Check Equiparado]:[Check Equiparado]]="Sí",IF(DATOS!AO$4="Sí",(1/DATOS_[[% anualiz]:[% anualiz]]),1)*IF(DATOS!AO$5="Sí",1/DATOS_[[% normaliz]:[% normaliz]],1)*(DATOS_[Conc.Sal.11])))))))), 0)</f>
        <v>0</v>
      </c>
      <c r="U77" s="302" t="n">
        <f aca="false" t="array" ref="U77:U77">IFERROR( (AVERAGE((IF(DATOS_[[Sexo]:[Sexo]]=$B77,IF(DATOS_[[AGRUP. CLAS. PROF.]:[AGRUP. CLAS. PROF.]]=$B75,IF(DATOS_[[Check Periodo Ref.]:[Check Periodo Ref.]]="Dentro",IF(DATOS_[[Check Equiparado]:[Check Equiparado]]="Sí",IF(DATOS!AP$4="Sí",(1/DATOS_[[% anualiz]:[% anualiz]]),1)*IF(DATOS!AP$5="Sí",1/DATOS_[[% normaliz]:[% normaliz]],1)*(DATOS_[Conc.Sal.12])))))))), 0)</f>
        <v>0</v>
      </c>
      <c r="V77" s="302" t="n">
        <f aca="false" t="array" ref="V77:V77">IFERROR( (AVERAGE((IF(DATOS_[[Sexo]:[Sexo]]=$B77,IF(DATOS_[[AGRUP. CLAS. PROF.]:[AGRUP. CLAS. PROF.]]=$B75,IF(DATOS_[[Check Periodo Ref.]:[Check Periodo Ref.]]="Dentro",IF(DATOS_[[Check Equiparado]:[Check Equiparado]]="Sí",IF(DATOS!AQ$4="Sí",(1/DATOS_[[% anualiz]:[% anualiz]]),1)*IF(DATOS!AQ$5="Sí",1/DATOS_[[% normaliz]:[% normaliz]],1)*(DATOS_[Conc.Sal.13])))))))), 0)</f>
        <v>0</v>
      </c>
      <c r="W77" s="302" t="n">
        <f aca="false" t="array" ref="W77:W77">IFERROR( (AVERAGE((IF(DATOS_[[Sexo]:[Sexo]]=$B77,IF(DATOS_[[AGRUP. CLAS. PROF.]:[AGRUP. CLAS. PROF.]]=$B75,IF(DATOS_[[Check Periodo Ref.]:[Check Periodo Ref.]]="Dentro",IF(DATOS_[[Check Equiparado]:[Check Equiparado]]="Sí",IF(DATOS!AR$4="Sí",(1/DATOS_[[% anualiz]:[% anualiz]]),1)*IF(DATOS!AR$5="Sí",1/DATOS_[[% normaliz]:[% normaliz]],1)*(DATOS_[Conc.Sal.14])))))))), 0)</f>
        <v>0</v>
      </c>
      <c r="X77" s="302" t="n">
        <f aca="false" t="array" ref="X77:X77">IFERROR( (AVERAGE((IF(DATOS_[[Sexo]:[Sexo]]=$B77,IF(DATOS_[[AGRUP. CLAS. PROF.]:[AGRUP. CLAS. PROF.]]=$B75,IF(DATOS_[[Check Periodo Ref.]:[Check Periodo Ref.]]="Dentro",IF(DATOS_[[Check Equiparado]:[Check Equiparado]]="Sí",IF(DATOS!AS$4="Sí",(1/DATOS_[[% anualiz]:[% anualiz]]),1)*IF(DATOS!AS$5="Sí",1/DATOS_[[% normaliz]:[% normaliz]],1)*(DATOS_[Conc.Sal.15])))))))), 0)</f>
        <v>0</v>
      </c>
      <c r="Y77" s="302" t="n">
        <f aca="false" t="array" ref="Y77:Y77">IFERROR( (AVERAGE((IF(DATOS_[[Sexo]:[Sexo]]=$B77,IF(DATOS_[[AGRUP. CLAS. PROF.]:[AGRUP. CLAS. PROF.]]=$B75,IF(DATOS_[[Check Periodo Ref.]:[Check Periodo Ref.]]="Dentro",IF(DATOS_[[Check Equiparado]:[Check Equiparado]]="Sí",IF(DATOS!AT$4="Sí",(1/DATOS_[[% anualiz]:[% anualiz]]),1)*IF(DATOS!AT$5="Sí",1/DATOS_[[% normaliz]:[% normaliz]],1)*(DATOS_[Conc.Sal.16])))))))), 0)</f>
        <v>0</v>
      </c>
      <c r="Z77" s="302" t="n">
        <f aca="false" t="array" ref="Z77:Z77">IFERROR( (AVERAGE((IF(DATOS_[[Sexo]:[Sexo]]=$B77,IF(DATOS_[[AGRUP. CLAS. PROF.]:[AGRUP. CLAS. PROF.]]=$B75,IF(DATOS_[[Check Periodo Ref.]:[Check Periodo Ref.]]="Dentro",IF(DATOS_[[Check Equiparado]:[Check Equiparado]]="Sí",IF(DATOS!AU$4="Sí",(1/DATOS_[[% anualiz]:[% anualiz]]),1)*IF(DATOS!AU$5="Sí",1/DATOS_[[% normaliz]:[% normaliz]],1)*(DATOS_[Conc.Sal.17])))))))), 0)</f>
        <v>0</v>
      </c>
      <c r="AA77" s="302" t="n">
        <f aca="false" t="array" ref="AA77:AA77">IFERROR( (AVERAGE((IF(DATOS_[[Sexo]:[Sexo]]=$B77,IF(DATOS_[[AGRUP. CLAS. PROF.]:[AGRUP. CLAS. PROF.]]=$B75,IF(DATOS_[[Check Periodo Ref.]:[Check Periodo Ref.]]="Dentro",IF(DATOS_[[Check Equiparado]:[Check Equiparado]]="Sí",IF(DATOS!AV$4="Sí",(1/DATOS_[[% anualiz]:[% anualiz]]),1)*IF(DATOS!AV$5="Sí",1/DATOS_[[% normaliz]:[% normaliz]],1)*(DATOS_[Conc.Sal.18])))))))), 0)</f>
        <v>0</v>
      </c>
      <c r="AB77" s="302" t="n">
        <f aca="false" t="array" ref="AB77:AB77">IFERROR( (AVERAGE((IF(DATOS_[[Sexo]:[Sexo]]=$B77,IF(DATOS_[[AGRUP. CLAS. PROF.]:[AGRUP. CLAS. PROF.]]=$B75,IF(DATOS_[[Check Periodo Ref.]:[Check Periodo Ref.]]="Dentro",IF(DATOS_[[Check Equiparado]:[Check Equiparado]]="Sí",IF(DATOS!AW$4="Sí",(1/DATOS_[[% anualiz]:[% anualiz]]),1)*IF(DATOS!AW$5="Sí",1/DATOS_[[% normaliz]:[% normaliz]],1)*(DATOS_[Conc.Sal.19])))))))), 0)</f>
        <v>0</v>
      </c>
      <c r="AC77" s="302" t="n">
        <f aca="false" t="array" ref="AC77:AC77">IFERROR( (AVERAGE((IF(DATOS_[[Sexo]:[Sexo]]=$B77,IF(DATOS_[[AGRUP. CLAS. PROF.]:[AGRUP. CLAS. PROF.]]=$B75,IF(DATOS_[[Check Periodo Ref.]:[Check Periodo Ref.]]="Dentro",IF(DATOS_[[Check Equiparado]:[Check Equiparado]]="Sí",IF(DATOS!AX$4="Sí",(1/DATOS_[[% anualiz]:[% anualiz]]),1)*IF(DATOS!AX$5="Sí",1/DATOS_[[% normaliz]:[% normaliz]],1)*(DATOS_[Conc.Sal.20])))))))), 0)</f>
        <v>0</v>
      </c>
      <c r="AD77" s="302" t="n">
        <f aca="false" t="array" ref="AD77:AD77">IFERROR( (AVERAGE((IF(DATOS_[[Sexo]:[Sexo]]=$B77,IF(DATOS_[[AGRUP. CLAS. PROF.]:[AGRUP. CLAS. PROF.]]=$B75,IF(DATOS_[[Check Periodo Ref.]:[Check Periodo Ref.]]="Dentro",IF(DATOS_[[Check Equiparado]:[Check Equiparado]]="Sí",IF(DATOS!AY$4="Sí",(1/DATOS_[[% anualiz]:[% anualiz]]),1)*IF(DATOS!AY$5="Sí",1/DATOS_[[% normaliz]:[% normaliz]],1)*(DATOS_[Conc.Sal.21])))))))), 0)</f>
        <v>0</v>
      </c>
      <c r="AE77" s="302" t="n">
        <f aca="false" t="array" ref="AE77:AE77">IFERROR( (AVERAGE((IF(DATOS_[[Sexo]:[Sexo]]=$B77,IF(DATOS_[[AGRUP. CLAS. PROF.]:[AGRUP. CLAS. PROF.]]=$B75,IF(DATOS_[[Check Periodo Ref.]:[Check Periodo Ref.]]="Dentro",IF(DATOS_[[Check Equiparado]:[Check Equiparado]]="Sí",IF(DATOS!AZ$4="Sí",(1/DATOS_[[% anualiz]:[% anualiz]]),1)*IF(DATOS!AZ$5="Sí",1/DATOS_[[% normaliz]:[% normaliz]],1)*(DATOS_[Conc.Sal.22])))))))), 0)</f>
        <v>0</v>
      </c>
      <c r="AF77" s="302" t="n">
        <f aca="false" t="array" ref="AF77:AF77">IFERROR( (AVERAGE((IF(DATOS_[[Sexo]:[Sexo]]=$B77,IF(DATOS_[[AGRUP. CLAS. PROF.]:[AGRUP. CLAS. PROF.]]=$B75,IF(DATOS_[[Check Periodo Ref.]:[Check Periodo Ref.]]="Dentro",IF(DATOS_[[Check Equiparado]:[Check Equiparado]]="Sí",IF(DATOS!BA$4="Sí",(1/DATOS_[[% anualiz]:[% anualiz]]),1)*IF(DATOS!BA$5="Sí",1/DATOS_[[% normaliz]:[% normaliz]],1)*(DATOS_[Conc.Sal.23])))))))), 0)</f>
        <v>0</v>
      </c>
      <c r="AG77" s="302" t="n">
        <f aca="false" t="array" ref="AG77:AG77">IFERROR( (AVERAGE((IF(DATOS_[[Sexo]:[Sexo]]=$B77,IF(DATOS_[[AGRUP. CLAS. PROF.]:[AGRUP. CLAS. PROF.]]=$B75,IF(DATOS_[[Check Periodo Ref.]:[Check Periodo Ref.]]="Dentro",IF(DATOS_[[Check Equiparado]:[Check Equiparado]]="Sí",IF(DATOS!BB$4="Sí",(1/DATOS_[[% anualiz]:[% anualiz]]),1)*IF(DATOS!BB$5="Sí",1/DATOS_[[% normaliz]:[% normaliz]],1)*(DATOS_[Conc.Sal.24])))))))), 0)</f>
        <v>0</v>
      </c>
      <c r="AH77" s="302" t="n">
        <f aca="false" t="array" ref="AH77:AH77">IFERROR( (AVERAGE((IF(DATOS_[[Sexo]:[Sexo]]=$B77,IF(DATOS_[[AGRUP. CLAS. PROF.]:[AGRUP. CLAS. PROF.]]=$B75,IF(DATOS_[[Check Periodo Ref.]:[Check Periodo Ref.]]="Dentro",IF(DATOS_[[Check Equiparado]:[Check Equiparado]]="Sí",IF(DATOS!BC$4="Sí",(1/DATOS_[[% anualiz]:[% anualiz]]),1)*IF(DATOS!BC$5="Sí",1/DATOS_[[% normaliz]:[% normaliz]],1)*(DATOS_[Conc.Sal.25])))))))), 0)</f>
        <v>0</v>
      </c>
      <c r="AI77" s="302" t="n">
        <f aca="false" t="array" ref="AI77:AI77">IFERROR( (AVERAGE((IF(DATOS_[[Sexo]:[Sexo]]=$B77,IF(DATOS_[[AGRUP. CLAS. PROF.]:[AGRUP. CLAS. PROF.]]=$B75,IF(DATOS_[[Check Periodo Ref.]:[Check Periodo Ref.]]="Dentro",IF(DATOS_[[Check Equiparado]:[Check Equiparado]]="Sí",IF(DATOS!BD$4="Sí",(1/DATOS_[[% anualiz]:[% anualiz]]),1)*IF(DATOS!BD$5="Sí",1/DATOS_[[% normaliz]:[% normaliz]],1)*(DATOS_[Conc.Sal.26])))))))), 0)</f>
        <v>0</v>
      </c>
      <c r="AJ77" s="302" t="n">
        <f aca="false" t="array" ref="AJ77:AJ77">IFERROR( (AVERAGE((IF(DATOS_[[Sexo]:[Sexo]]=$B77,IF(DATOS_[[AGRUP. CLAS. PROF.]:[AGRUP. CLAS. PROF.]]=$B75,IF(DATOS_[[Check Periodo Ref.]:[Check Periodo Ref.]]="Dentro",IF(DATOS_[[Check Equiparado]:[Check Equiparado]]="Sí",IF(DATOS!BE$4="Sí",(1/DATOS_[[% anualiz]:[% anualiz]]),1)*IF(DATOS!BE$5="Sí",1/DATOS_[[% normaliz]:[% normaliz]],1)*(DATOS_[Conc.Sal.27])))))))), 0)</f>
        <v>0</v>
      </c>
      <c r="AK77" s="302" t="n">
        <f aca="false" t="array" ref="AK77:AK77">IFERROR( (AVERAGE((IF(DATOS_[[Sexo]:[Sexo]]=$B77,IF(DATOS_[[AGRUP. CLAS. PROF.]:[AGRUP. CLAS. PROF.]]=$B75,IF(DATOS_[[Check Periodo Ref.]:[Check Periodo Ref.]]="Dentro",IF(DATOS_[[Check Equiparado]:[Check Equiparado]]="Sí",IF(DATOS!BF$4="Sí",(1/DATOS_[[% anualiz]:[% anualiz]]),1)*IF(DATOS!BF$5="Sí",1/DATOS_[[% normaliz]:[% normaliz]],1)*(DATOS_[Conc.Sal.28])))))))), 0)</f>
        <v>0</v>
      </c>
      <c r="AL77" s="302" t="n">
        <f aca="false" t="array" ref="AL77:AL77">IFERROR( (AVERAGE((IF(DATOS_[[Sexo]:[Sexo]]=$B77,IF(DATOS_[[AGRUP. CLAS. PROF.]:[AGRUP. CLAS. PROF.]]=$B75,IF(DATOS_[[Check Periodo Ref.]:[Check Periodo Ref.]]="Dentro",IF(DATOS_[[Check Equiparado]:[Check Equiparado]]="Sí",IF(DATOS!BG$4="Sí",(1/DATOS_[[% anualiz]:[% anualiz]]),1)*IF(DATOS!BG$5="Sí",1/DATOS_[[% normaliz]:[% normaliz]],1)*(DATOS_[Conc.Sal.29])))))))), 0)</f>
        <v>0</v>
      </c>
      <c r="AM77" s="302" t="n">
        <f aca="false" t="array" ref="AM77:AM77">IFERROR( (AVERAGE((IF(DATOS_[[Sexo]:[Sexo]]=$B77,IF(DATOS_[[AGRUP. CLAS. PROF.]:[AGRUP. CLAS. PROF.]]=$B75,IF(DATOS_[[Check Periodo Ref.]:[Check Periodo Ref.]]="Dentro",IF(DATOS_[[Check Equiparado]:[Check Equiparado]]="Sí",IF(DATOS!BH$4="Sí",(1/DATOS_[[% anualiz]:[% anualiz]]),1)*IF(DATOS!BH$5="Sí",1/DATOS_[[% normaliz]:[% normaliz]],1)*(DATOS_[Conc.Sal.30])))))))), 0)</f>
        <v>0</v>
      </c>
      <c r="AN77" s="294" t="n">
        <f aca="false" t="array" ref="AN77:AN77">IFERROR( AVERAGE(IF(DATOS_[Sexo]=$B77,IF(DATOS_[[AGRUP. CLAS. PROF.]:[AGRUP. CLAS. PROF.]]=$B75,IF(DATOS_[Check Equiparado]="Sí",IF(DATOS_[Check Periodo Ref.]="Dentro",DATOS_[Tot COMPL.SAL Eq],0))))), 0)</f>
        <v>0</v>
      </c>
      <c r="AO77" s="295" t="n">
        <f aca="false" t="array" ref="AO77:AO77">IFERROR( AVERAGE(IF(DATOS_[Sexo]=$B77,IF(DATOS_[[AGRUP. CLAS. PROF.]:[AGRUP. CLAS. PROF.]]=$B75,IF(DATOS_[Check Equiparado]="Sí",IF(DATOS_[Check Periodo Ref.]="Dentro",DATOS_[TOTAL SALARIO Eq],0))))), 0)</f>
        <v>0</v>
      </c>
      <c r="AP77" s="303" t="n">
        <f aca="false" t="array" ref="AP77:AP77">IFERROR( (AVERAGE((IF(DATOS_[[Sexo]:[Sexo]]=$B77,IF(DATOS_[[AGRUP. CLAS. PROF.]:[AGRUP. CLAS. PROF.]]=$B76,IF(DATOS_[[Check Periodo Ref.]:[Check Periodo Ref.]]="Dentro",IF(DATOS_[[Check Equiparado]:[Check Equiparado]]="Sí",IF(DATOS!BI$4="Sí",(1/DATOS_[[% anualiz]:[% anualiz]]),1)*IF(DATOS!BI$5="Sí",1/DATOS_[[% normaliz]:[% normaliz]],1)*(DATOS_[C.Extra.01])))))))), 0)</f>
        <v>0</v>
      </c>
      <c r="AQ77" s="303" t="n">
        <f aca="false" t="array" ref="AQ77:AQ77">IFERROR( (AVERAGE((IF(DATOS_[[Sexo]:[Sexo]]=$B77,IF(DATOS_[[AGRUP. CLAS. PROF.]:[AGRUP. CLAS. PROF.]]=$B76,IF(DATOS_[[Check Periodo Ref.]:[Check Periodo Ref.]]="Dentro",IF(DATOS_[[Check Equiparado]:[Check Equiparado]]="Sí",IF(DATOS!BJ$4="Sí",(1/DATOS_[[% anualiz]:[% anualiz]]),1)*IF(DATOS!BJ$5="Sí",1/DATOS_[[% normaliz]:[% normaliz]],1)*(DATOS_[C.Extra.02])))))))), 0)</f>
        <v>0</v>
      </c>
      <c r="AR77" s="303" t="n">
        <f aca="false" t="array" ref="AR77:AR77">IFERROR( (AVERAGE((IF(DATOS_[[Sexo]:[Sexo]]=$B77,IF(DATOS_[[AGRUP. CLAS. PROF.]:[AGRUP. CLAS. PROF.]]=$B76,IF(DATOS_[[Check Periodo Ref.]:[Check Periodo Ref.]]="Dentro",IF(DATOS_[[Check Equiparado]:[Check Equiparado]]="Sí",IF(DATOS!BK$4="Sí",(1/DATOS_[[% anualiz]:[% anualiz]]),1)*IF(DATOS!BK$5="Sí",1/DATOS_[[% normaliz]:[% normaliz]],1)*(DATOS_[C.Extra.03])))))))), 0)</f>
        <v>0</v>
      </c>
      <c r="AS77" s="303" t="n">
        <f aca="false" t="array" ref="AS77:AS77">IFERROR( (AVERAGE((IF(DATOS_[[Sexo]:[Sexo]]=$B77,IF(DATOS_[[AGRUP. CLAS. PROF.]:[AGRUP. CLAS. PROF.]]=$B76,IF(DATOS_[[Check Periodo Ref.]:[Check Periodo Ref.]]="Dentro",IF(DATOS_[[Check Equiparado]:[Check Equiparado]]="Sí",IF(DATOS!BL$4="Sí",(1/DATOS_[[% anualiz]:[% anualiz]]),1)*IF(DATOS!BL$5="Sí",1/DATOS_[[% normaliz]:[% normaliz]],1)*(DATOS_[C.Extra.04])))))))), 0)</f>
        <v>0</v>
      </c>
      <c r="AT77" s="303" t="n">
        <f aca="false" t="array" ref="AT77:AT77">IFERROR( (AVERAGE((IF(DATOS_[[Sexo]:[Sexo]]=$B77,IF(DATOS_[[AGRUP. CLAS. PROF.]:[AGRUP. CLAS. PROF.]]=$B76,IF(DATOS_[[Check Periodo Ref.]:[Check Periodo Ref.]]="Dentro",IF(DATOS_[[Check Equiparado]:[Check Equiparado]]="Sí",IF(DATOS!BM$4="Sí",(1/DATOS_[[% anualiz]:[% anualiz]]),1)*IF(DATOS!BM$5="Sí",1/DATOS_[[% normaliz]:[% normaliz]],1)*(DATOS_[C.Extra.05])))))))), 0)</f>
        <v>0</v>
      </c>
      <c r="AU77" s="297" t="n">
        <f aca="false" t="array" ref="AU77:AU77">IFERROR( AVERAGE(IF(DATOS_[Sexo]=$B77,IF(DATOS_[[AGRUP. CLAS. PROF.]:[AGRUP. CLAS. PROF.]]=$B75,IF(DATOS_[Check Equiparado]="Sí",IF(DATOS_[Check Periodo Ref.]="Dentro",DATOS_[Tot Extrasalarial Eq],0))))), 0)</f>
        <v>0</v>
      </c>
      <c r="AV77" s="298" t="n">
        <f aca="false" t="array" ref="AV77:AV77">IFERROR( AVERAGE(IF(DATOS_[Sexo]=$B77,IF(DATOS_[[AGRUP. CLAS. PROF.]:[AGRUP. CLAS. PROF.]]=$B75,IF(DATOS_[Check Equiparado]="Sí",IF(DATOS_[Check Periodo Ref.]="Dentro",DATOS_[TOTAL Retrib Eq],0))))), 0)</f>
        <v>0</v>
      </c>
    </row>
    <row r="78" customFormat="false" ht="15.75" hidden="false" customHeight="false" outlineLevel="0" collapsed="false">
      <c r="A78" s="166" t="str">
        <f aca="false">+A79</f>
        <v>[ocultar]</v>
      </c>
      <c r="B78" s="276" t="s">
        <v>231</v>
      </c>
      <c r="C78" s="277"/>
      <c r="D78" s="278"/>
      <c r="E78" s="278"/>
      <c r="F78" s="278"/>
      <c r="G78" s="278"/>
      <c r="H78" s="278"/>
      <c r="I78" s="279" t="str">
        <f aca="false">IFERROR((I79-I80)/I79,"")</f>
        <v/>
      </c>
      <c r="J78" s="280" t="str">
        <f aca="false">IFERROR((J79-J80)/J79,"")</f>
        <v/>
      </c>
      <c r="K78" s="281" t="str">
        <f aca="false">IFERROR((K79-K80)/K79,"")</f>
        <v/>
      </c>
      <c r="L78" s="281" t="str">
        <f aca="false">IFERROR((L79-L80)/L79,"")</f>
        <v/>
      </c>
      <c r="M78" s="281" t="str">
        <f aca="false">IFERROR((M79-M80)/M79,"")</f>
        <v/>
      </c>
      <c r="N78" s="282" t="str">
        <f aca="false">IFERROR((N79-N80)/N79,"")</f>
        <v/>
      </c>
      <c r="O78" s="283" t="str">
        <f aca="false">IFERROR((O79-O80)/O79,"")</f>
        <v/>
      </c>
      <c r="P78" s="283" t="str">
        <f aca="false">IFERROR((P79-P80)/P79,"")</f>
        <v/>
      </c>
      <c r="Q78" s="283" t="str">
        <f aca="false">IFERROR((Q79-Q80)/Q79,"")</f>
        <v/>
      </c>
      <c r="R78" s="283" t="str">
        <f aca="false">IFERROR((R79-R80)/R79,"")</f>
        <v/>
      </c>
      <c r="S78" s="283" t="str">
        <f aca="false">IFERROR((S79-S80)/S79,"")</f>
        <v/>
      </c>
      <c r="T78" s="283" t="str">
        <f aca="false">IFERROR((T79-T80)/T79,"")</f>
        <v/>
      </c>
      <c r="U78" s="283" t="str">
        <f aca="false">IFERROR((U79-U80)/U79,"")</f>
        <v/>
      </c>
      <c r="V78" s="283" t="str">
        <f aca="false">IFERROR((V79-V80)/V79,"")</f>
        <v/>
      </c>
      <c r="W78" s="283" t="str">
        <f aca="false">IFERROR((W79-W80)/W79,"")</f>
        <v/>
      </c>
      <c r="X78" s="283" t="str">
        <f aca="false">IFERROR((X79-X80)/X79,"")</f>
        <v/>
      </c>
      <c r="Y78" s="283" t="str">
        <f aca="false">IFERROR((Y79-Y80)/Y79,"")</f>
        <v/>
      </c>
      <c r="Z78" s="282" t="str">
        <f aca="false">IFERROR((Z79-Z80)/Z79,"")</f>
        <v/>
      </c>
      <c r="AA78" s="282" t="str">
        <f aca="false">IFERROR((AA79-AA80)/AA79,"")</f>
        <v/>
      </c>
      <c r="AB78" s="282" t="str">
        <f aca="false">IFERROR((AB79-AB80)/AB79,"")</f>
        <v/>
      </c>
      <c r="AC78" s="282" t="str">
        <f aca="false">IFERROR((AC79-AC80)/AC79,"")</f>
        <v/>
      </c>
      <c r="AD78" s="282" t="str">
        <f aca="false">IFERROR((AD79-AD80)/AD79,"")</f>
        <v/>
      </c>
      <c r="AE78" s="282" t="str">
        <f aca="false">IFERROR((AE79-AE80)/AE79,"")</f>
        <v/>
      </c>
      <c r="AF78" s="282" t="str">
        <f aca="false">IFERROR((AF79-AF80)/AF79,"")</f>
        <v/>
      </c>
      <c r="AG78" s="282" t="str">
        <f aca="false">IFERROR((AG79-AG80)/AG79,"")</f>
        <v/>
      </c>
      <c r="AH78" s="282" t="str">
        <f aca="false">IFERROR((AH79-AH80)/AH79,"")</f>
        <v/>
      </c>
      <c r="AI78" s="282" t="str">
        <f aca="false">IFERROR((AI79-AI80)/AI79,"")</f>
        <v/>
      </c>
      <c r="AJ78" s="282" t="str">
        <f aca="false">IFERROR((AJ79-AJ80)/AJ79,"")</f>
        <v/>
      </c>
      <c r="AK78" s="282" t="str">
        <f aca="false">IFERROR((AK79-AK80)/AK79,"")</f>
        <v/>
      </c>
      <c r="AL78" s="282" t="str">
        <f aca="false">IFERROR((AL79-AL80)/AL79,"")</f>
        <v/>
      </c>
      <c r="AM78" s="282" t="str">
        <f aca="false">IFERROR((AM79-AM80)/AM79,"")</f>
        <v/>
      </c>
      <c r="AN78" s="284" t="str">
        <f aca="false">IFERROR((AN79-AN80)/AN79,"")</f>
        <v/>
      </c>
      <c r="AO78" s="285" t="str">
        <f aca="false">IFERROR((AO79-AO80)/AO79,"")</f>
        <v/>
      </c>
      <c r="AP78" s="286" t="str">
        <f aca="false">IFERROR((AP79-AP80)/AP79,"")</f>
        <v/>
      </c>
      <c r="AQ78" s="286" t="str">
        <f aca="false">IFERROR((AQ79-AQ80)/AQ79,"")</f>
        <v/>
      </c>
      <c r="AR78" s="286" t="str">
        <f aca="false">IFERROR((AR79-AR80)/AR79,"")</f>
        <v/>
      </c>
      <c r="AS78" s="286" t="str">
        <f aca="false">IFERROR((AS79-AS80)/AS79,"")</f>
        <v/>
      </c>
      <c r="AT78" s="286" t="str">
        <f aca="false">IFERROR((AT79-AT80)/AT79,"")</f>
        <v/>
      </c>
      <c r="AU78" s="287" t="str">
        <f aca="false">IFERROR((AU79-AU80)/AU79,"")</f>
        <v/>
      </c>
      <c r="AV78" s="288" t="str">
        <f aca="false">IFERROR((AV79-AV80)/AV79,"")</f>
        <v/>
      </c>
    </row>
    <row r="79" customFormat="false" ht="14.25" hidden="false" customHeight="false" outlineLevel="0" collapsed="false">
      <c r="A79" s="166" t="str">
        <f aca="false">+IF(C79+C80=0,"[ocultar]","")</f>
        <v>[ocultar]</v>
      </c>
      <c r="B79" s="289" t="s">
        <v>371</v>
      </c>
      <c r="C79" s="290" t="n">
        <f aca="false" t="array" ref="C79:C79">SUM(IF($B79=DATOS_[Sexo], IF($B78=DATOS_[AGRUP. CLAS. PROF.], IF("Dentro"=DATOS_[Check Periodo Ref.], 1/(COUNTIFS(DATOS_[Sexo],$B79,DATOS_[AGRUP. CLAS. PROF.],$B78,DATOS_[Check Periodo Ref.],"Dentro",DATOS_[id],DATOS_[id]))))))</f>
        <v>0</v>
      </c>
      <c r="D79" s="291" t="n">
        <f aca="false">COUNTIFS(DATOS_[AGRUP. CLAS. PROF.],$B78,DATOS_[Sexo],$B79,DATOS_[Check Periodo Ref.],"Dentro")</f>
        <v>0</v>
      </c>
      <c r="E79" s="291" t="n">
        <f aca="false">COUNTIFS(DATOS_[AGRUP. CLAS. PROF.],$B78,DATOS_[Sexo],$B79,DATOS_[Check Periodo Ref.],"Dentro",DATOS_[Check Nº SC Norm],"Sí")</f>
        <v>0</v>
      </c>
      <c r="F79" s="291" t="n">
        <f aca="false">COUNTIFS(DATOS_[AGRUP. CLAS. PROF.],$B78,DATOS_[Sexo],$B79,DATOS_[Check Periodo Ref.],"Dentro",DATOS_[Check Nº SC Anualiz],"Sí")</f>
        <v>0</v>
      </c>
      <c r="G79" s="291" t="n">
        <f aca="false">COUNTIFS(DATOS_[AGRUP. CLAS. PROF.],$B78,DATOS_[Sexo],$B79,DATOS_[Check Periodo Ref.],"Dentro",DATOS_[Check Nº SC Norm y Anualiz],"Sí")</f>
        <v>0</v>
      </c>
      <c r="H79" s="291" t="n">
        <f aca="false">COUNTIFS(DATOS_[AGRUP. CLAS. PROF.],$B78,DATOS_[Sexo],$B79,DATOS_[Check Periodo Ref.],"Dentro",DATOS_[Check Equiparación],"Sí")</f>
        <v>0</v>
      </c>
      <c r="I79" s="292" t="n">
        <f aca="false" t="array" ref="I79:I79">IFERROR( AVERAGE(IF(DATOS_[Sexo]=$B79,IF(DATOS_[[AGRUP. CLAS. PROF.]:[AGRUP. CLAS. PROF.]]=$B78,IF(DATOS_[Check Equiparado]="Sí",IF(DATOS_[Check Periodo Ref.]="Dentro",DATOS_[SALARIO BASE Eq],0))))), 0)</f>
        <v>0</v>
      </c>
      <c r="J79" s="302" t="n">
        <f aca="false" t="array" ref="J79:J79">IFERROR( (AVERAGE((IF(DATOS_[[Sexo]:[Sexo]]=$B79,IF(DATOS_[[AGRUP. CLAS. PROF.]:[AGRUP. CLAS. PROF.]]=$B78,IF(DATOS_[[Check Periodo Ref.]:[Check Periodo Ref.]]="Dentro",IF(DATOS_[[Check Equiparado]:[Check Equiparado]]="Sí",IF(DATOS!AE$4="Sí",(1/DATOS_[[% anualiz]:[% anualiz]]),1)*IF(DATOS!AE$5="Sí",1/DATOS_[[% normaliz]:[% normaliz]],1)*(DATOS_[Conc.Sal.01])))))))), 0)</f>
        <v>0</v>
      </c>
      <c r="K79" s="302" t="n">
        <f aca="false" t="array" ref="K79:K79">IFERROR( (AVERAGE((IF(DATOS_[[Sexo]:[Sexo]]=$B79,IF(DATOS_[[AGRUP. CLAS. PROF.]:[AGRUP. CLAS. PROF.]]=$B78,IF(DATOS_[[Check Periodo Ref.]:[Check Periodo Ref.]]="Dentro",IF(DATOS_[[Check Equiparado]:[Check Equiparado]]="Sí",IF(DATOS!AF$4="Sí",(1/DATOS_[[% anualiz]:[% anualiz]]),1)*IF(DATOS!AF$5="Sí",1/DATOS_[[% normaliz]:[% normaliz]],1)*(DATOS_[Conc.Sal.02])))))))), 0)</f>
        <v>0</v>
      </c>
      <c r="L79" s="302" t="n">
        <f aca="false" t="array" ref="L79:L79">IFERROR( (AVERAGE((IF(DATOS_[[Sexo]:[Sexo]]=$B79,IF(DATOS_[[AGRUP. CLAS. PROF.]:[AGRUP. CLAS. PROF.]]=$B78,IF(DATOS_[[Check Periodo Ref.]:[Check Periodo Ref.]]="Dentro",IF(DATOS_[[Check Equiparado]:[Check Equiparado]]="Sí",IF(DATOS!AG$4="Sí",(1/DATOS_[[% anualiz]:[% anualiz]]),1)*IF(DATOS!AG$5="Sí",1/DATOS_[[% normaliz]:[% normaliz]],1)*(DATOS_[Conc.Sal.03])))))))), 0)</f>
        <v>0</v>
      </c>
      <c r="M79" s="302" t="n">
        <f aca="false" t="array" ref="M79:M79">IFERROR( (AVERAGE((IF(DATOS_[[Sexo]:[Sexo]]=$B79,IF(DATOS_[[AGRUP. CLAS. PROF.]:[AGRUP. CLAS. PROF.]]=$B78,IF(DATOS_[[Check Periodo Ref.]:[Check Periodo Ref.]]="Dentro",IF(DATOS_[[Check Equiparado]:[Check Equiparado]]="Sí",IF(DATOS!AH$4="Sí",(1/DATOS_[[% anualiz]:[% anualiz]]),1)*IF(DATOS!AH$5="Sí",1/DATOS_[[% normaliz]:[% normaliz]],1)*(DATOS_[Conc.Sal.04])))))))), 0)</f>
        <v>0</v>
      </c>
      <c r="N79" s="302" t="n">
        <f aca="false" t="array" ref="N79:N79">IFERROR( (AVERAGE((IF(DATOS_[[Sexo]:[Sexo]]=$B79,IF(DATOS_[[AGRUP. CLAS. PROF.]:[AGRUP. CLAS. PROF.]]=$B78,IF(DATOS_[[Check Periodo Ref.]:[Check Periodo Ref.]]="Dentro",IF(DATOS_[[Check Equiparado]:[Check Equiparado]]="Sí",IF(DATOS!AI$4="Sí",(1/DATOS_[[% anualiz]:[% anualiz]]),1)*IF(DATOS!AI$5="Sí",1/DATOS_[[% normaliz]:[% normaliz]],1)*(DATOS_[Conc.Sal.05])))))))), 0)</f>
        <v>0</v>
      </c>
      <c r="O79" s="302" t="n">
        <f aca="false" t="array" ref="O79:O79">IFERROR( (AVERAGE((IF(DATOS_[[Sexo]:[Sexo]]=$B79,IF(DATOS_[[AGRUP. CLAS. PROF.]:[AGRUP. CLAS. PROF.]]=$B78,IF(DATOS_[[Check Periodo Ref.]:[Check Periodo Ref.]]="Dentro",IF(DATOS_[[Check Equiparado]:[Check Equiparado]]="Sí",IF(DATOS!AJ$4="Sí",(1/DATOS_[[% anualiz]:[% anualiz]]),1)*IF(DATOS!AJ$5="Sí",1/DATOS_[[% normaliz]:[% normaliz]],1)*(DATOS_[Conc.Sal.06])))))))), 0)</f>
        <v>0</v>
      </c>
      <c r="P79" s="302" t="n">
        <f aca="false" t="array" ref="P79:P79">IFERROR( (AVERAGE((IF(DATOS_[[Sexo]:[Sexo]]=$B79,IF(DATOS_[[AGRUP. CLAS. PROF.]:[AGRUP. CLAS. PROF.]]=$B78,IF(DATOS_[[Check Periodo Ref.]:[Check Periodo Ref.]]="Dentro",IF(DATOS_[[Check Equiparado]:[Check Equiparado]]="Sí",IF(DATOS!AK$4="Sí",(1/DATOS_[[% anualiz]:[% anualiz]]),1)*IF(DATOS!AK$5="Sí",1/DATOS_[[% normaliz]:[% normaliz]],1)*(DATOS_[Conc.Sal.07])))))))), 0)</f>
        <v>0</v>
      </c>
      <c r="Q79" s="302" t="n">
        <f aca="false" t="array" ref="Q79:Q79">IFERROR( (AVERAGE((IF(DATOS_[[Sexo]:[Sexo]]=$B79,IF(DATOS_[[AGRUP. CLAS. PROF.]:[AGRUP. CLAS. PROF.]]=$B78,IF(DATOS_[[Check Periodo Ref.]:[Check Periodo Ref.]]="Dentro",IF(DATOS_[[Check Equiparado]:[Check Equiparado]]="Sí",IF(DATOS!AL$4="Sí",(1/DATOS_[[% anualiz]:[% anualiz]]),1)*IF(DATOS!AL$5="Sí",1/DATOS_[[% normaliz]:[% normaliz]],1)*(DATOS_[Conc.Sal.08])))))))), 0)</f>
        <v>0</v>
      </c>
      <c r="R79" s="302" t="n">
        <f aca="false" t="array" ref="R79:R79">IFERROR( (AVERAGE((IF(DATOS_[[Sexo]:[Sexo]]=$B79,IF(DATOS_[[AGRUP. CLAS. PROF.]:[AGRUP. CLAS. PROF.]]=$B78,IF(DATOS_[[Check Periodo Ref.]:[Check Periodo Ref.]]="Dentro",IF(DATOS_[[Check Equiparado]:[Check Equiparado]]="Sí",IF(DATOS!AM$4="Sí",(1/DATOS_[[% anualiz]:[% anualiz]]),1)*IF(DATOS!AM$5="Sí",1/DATOS_[[% normaliz]:[% normaliz]],1)*(DATOS_[Conc.Sal.09])))))))), 0)</f>
        <v>0</v>
      </c>
      <c r="S79" s="302" t="n">
        <f aca="false" t="array" ref="S79:S79">IFERROR( (AVERAGE((IF(DATOS_[[Sexo]:[Sexo]]=$B79,IF(DATOS_[[AGRUP. CLAS. PROF.]:[AGRUP. CLAS. PROF.]]=$B78,IF(DATOS_[[Check Periodo Ref.]:[Check Periodo Ref.]]="Dentro",IF(DATOS_[[Check Equiparado]:[Check Equiparado]]="Sí",IF(DATOS!AN$4="Sí",(1/DATOS_[[% anualiz]:[% anualiz]]),1)*IF(DATOS!AN$5="Sí",1/DATOS_[[% normaliz]:[% normaliz]],1)*(DATOS_[Conc.Sal.10])))))))), 0)</f>
        <v>0</v>
      </c>
      <c r="T79" s="302" t="n">
        <f aca="false" t="array" ref="T79:T79">IFERROR( (AVERAGE((IF(DATOS_[[Sexo]:[Sexo]]=$B79,IF(DATOS_[[AGRUP. CLAS. PROF.]:[AGRUP. CLAS. PROF.]]=$B78,IF(DATOS_[[Check Periodo Ref.]:[Check Periodo Ref.]]="Dentro",IF(DATOS_[[Check Equiparado]:[Check Equiparado]]="Sí",IF(DATOS!AO$4="Sí",(1/DATOS_[[% anualiz]:[% anualiz]]),1)*IF(DATOS!AO$5="Sí",1/DATOS_[[% normaliz]:[% normaliz]],1)*(DATOS_[Conc.Sal.11])))))))), 0)</f>
        <v>0</v>
      </c>
      <c r="U79" s="302" t="n">
        <f aca="false" t="array" ref="U79:U79">IFERROR( (AVERAGE((IF(DATOS_[[Sexo]:[Sexo]]=$B79,IF(DATOS_[[AGRUP. CLAS. PROF.]:[AGRUP. CLAS. PROF.]]=$B78,IF(DATOS_[[Check Periodo Ref.]:[Check Periodo Ref.]]="Dentro",IF(DATOS_[[Check Equiparado]:[Check Equiparado]]="Sí",IF(DATOS!AP$4="Sí",(1/DATOS_[[% anualiz]:[% anualiz]]),1)*IF(DATOS!AP$5="Sí",1/DATOS_[[% normaliz]:[% normaliz]],1)*(DATOS_[Conc.Sal.12])))))))), 0)</f>
        <v>0</v>
      </c>
      <c r="V79" s="302" t="n">
        <f aca="false" t="array" ref="V79:V79">IFERROR( (AVERAGE((IF(DATOS_[[Sexo]:[Sexo]]=$B79,IF(DATOS_[[AGRUP. CLAS. PROF.]:[AGRUP. CLAS. PROF.]]=$B78,IF(DATOS_[[Check Periodo Ref.]:[Check Periodo Ref.]]="Dentro",IF(DATOS_[[Check Equiparado]:[Check Equiparado]]="Sí",IF(DATOS!AQ$4="Sí",(1/DATOS_[[% anualiz]:[% anualiz]]),1)*IF(DATOS!AQ$5="Sí",1/DATOS_[[% normaliz]:[% normaliz]],1)*(DATOS_[Conc.Sal.13])))))))), 0)</f>
        <v>0</v>
      </c>
      <c r="W79" s="302" t="n">
        <f aca="false" t="array" ref="W79:W79">IFERROR( (AVERAGE((IF(DATOS_[[Sexo]:[Sexo]]=$B79,IF(DATOS_[[AGRUP. CLAS. PROF.]:[AGRUP. CLAS. PROF.]]=$B78,IF(DATOS_[[Check Periodo Ref.]:[Check Periodo Ref.]]="Dentro",IF(DATOS_[[Check Equiparado]:[Check Equiparado]]="Sí",IF(DATOS!AR$4="Sí",(1/DATOS_[[% anualiz]:[% anualiz]]),1)*IF(DATOS!AR$5="Sí",1/DATOS_[[% normaliz]:[% normaliz]],1)*(DATOS_[Conc.Sal.14])))))))), 0)</f>
        <v>0</v>
      </c>
      <c r="X79" s="302" t="n">
        <f aca="false" t="array" ref="X79:X79">IFERROR( (AVERAGE((IF(DATOS_[[Sexo]:[Sexo]]=$B79,IF(DATOS_[[AGRUP. CLAS. PROF.]:[AGRUP. CLAS. PROF.]]=$B78,IF(DATOS_[[Check Periodo Ref.]:[Check Periodo Ref.]]="Dentro",IF(DATOS_[[Check Equiparado]:[Check Equiparado]]="Sí",IF(DATOS!AS$4="Sí",(1/DATOS_[[% anualiz]:[% anualiz]]),1)*IF(DATOS!AS$5="Sí",1/DATOS_[[% normaliz]:[% normaliz]],1)*(DATOS_[Conc.Sal.15])))))))), 0)</f>
        <v>0</v>
      </c>
      <c r="Y79" s="302" t="n">
        <f aca="false" t="array" ref="Y79:Y79">IFERROR( (AVERAGE((IF(DATOS_[[Sexo]:[Sexo]]=$B79,IF(DATOS_[[AGRUP. CLAS. PROF.]:[AGRUP. CLAS. PROF.]]=$B78,IF(DATOS_[[Check Periodo Ref.]:[Check Periodo Ref.]]="Dentro",IF(DATOS_[[Check Equiparado]:[Check Equiparado]]="Sí",IF(DATOS!AT$4="Sí",(1/DATOS_[[% anualiz]:[% anualiz]]),1)*IF(DATOS!AT$5="Sí",1/DATOS_[[% normaliz]:[% normaliz]],1)*(DATOS_[Conc.Sal.16])))))))), 0)</f>
        <v>0</v>
      </c>
      <c r="Z79" s="302" t="n">
        <f aca="false" t="array" ref="Z79:Z79">IFERROR( (AVERAGE((IF(DATOS_[[Sexo]:[Sexo]]=$B79,IF(DATOS_[[AGRUP. CLAS. PROF.]:[AGRUP. CLAS. PROF.]]=$B78,IF(DATOS_[[Check Periodo Ref.]:[Check Periodo Ref.]]="Dentro",IF(DATOS_[[Check Equiparado]:[Check Equiparado]]="Sí",IF(DATOS!AU$4="Sí",(1/DATOS_[[% anualiz]:[% anualiz]]),1)*IF(DATOS!AU$5="Sí",1/DATOS_[[% normaliz]:[% normaliz]],1)*(DATOS_[Conc.Sal.17])))))))), 0)</f>
        <v>0</v>
      </c>
      <c r="AA79" s="302" t="n">
        <f aca="false" t="array" ref="AA79:AA79">IFERROR( (AVERAGE((IF(DATOS_[[Sexo]:[Sexo]]=$B79,IF(DATOS_[[AGRUP. CLAS. PROF.]:[AGRUP. CLAS. PROF.]]=$B78,IF(DATOS_[[Check Periodo Ref.]:[Check Periodo Ref.]]="Dentro",IF(DATOS_[[Check Equiparado]:[Check Equiparado]]="Sí",IF(DATOS!AV$4="Sí",(1/DATOS_[[% anualiz]:[% anualiz]]),1)*IF(DATOS!AV$5="Sí",1/DATOS_[[% normaliz]:[% normaliz]],1)*(DATOS_[Conc.Sal.18])))))))), 0)</f>
        <v>0</v>
      </c>
      <c r="AB79" s="302" t="n">
        <f aca="false" t="array" ref="AB79:AB79">IFERROR( (AVERAGE((IF(DATOS_[[Sexo]:[Sexo]]=$B79,IF(DATOS_[[AGRUP. CLAS. PROF.]:[AGRUP. CLAS. PROF.]]=$B78,IF(DATOS_[[Check Periodo Ref.]:[Check Periodo Ref.]]="Dentro",IF(DATOS_[[Check Equiparado]:[Check Equiparado]]="Sí",IF(DATOS!AW$4="Sí",(1/DATOS_[[% anualiz]:[% anualiz]]),1)*IF(DATOS!AW$5="Sí",1/DATOS_[[% normaliz]:[% normaliz]],1)*(DATOS_[Conc.Sal.19])))))))), 0)</f>
        <v>0</v>
      </c>
      <c r="AC79" s="302" t="n">
        <f aca="false" t="array" ref="AC79:AC79">IFERROR( (AVERAGE((IF(DATOS_[[Sexo]:[Sexo]]=$B79,IF(DATOS_[[AGRUP. CLAS. PROF.]:[AGRUP. CLAS. PROF.]]=$B78,IF(DATOS_[[Check Periodo Ref.]:[Check Periodo Ref.]]="Dentro",IF(DATOS_[[Check Equiparado]:[Check Equiparado]]="Sí",IF(DATOS!AX$4="Sí",(1/DATOS_[[% anualiz]:[% anualiz]]),1)*IF(DATOS!AX$5="Sí",1/DATOS_[[% normaliz]:[% normaliz]],1)*(DATOS_[Conc.Sal.20])))))))), 0)</f>
        <v>0</v>
      </c>
      <c r="AD79" s="302" t="n">
        <f aca="false" t="array" ref="AD79:AD79">IFERROR( (AVERAGE((IF(DATOS_[[Sexo]:[Sexo]]=$B79,IF(DATOS_[[AGRUP. CLAS. PROF.]:[AGRUP. CLAS. PROF.]]=$B78,IF(DATOS_[[Check Periodo Ref.]:[Check Periodo Ref.]]="Dentro",IF(DATOS_[[Check Equiparado]:[Check Equiparado]]="Sí",IF(DATOS!AY$4="Sí",(1/DATOS_[[% anualiz]:[% anualiz]]),1)*IF(DATOS!AY$5="Sí",1/DATOS_[[% normaliz]:[% normaliz]],1)*(DATOS_[Conc.Sal.21])))))))), 0)</f>
        <v>0</v>
      </c>
      <c r="AE79" s="302" t="n">
        <f aca="false" t="array" ref="AE79:AE79">IFERROR( (AVERAGE((IF(DATOS_[[Sexo]:[Sexo]]=$B79,IF(DATOS_[[AGRUP. CLAS. PROF.]:[AGRUP. CLAS. PROF.]]=$B78,IF(DATOS_[[Check Periodo Ref.]:[Check Periodo Ref.]]="Dentro",IF(DATOS_[[Check Equiparado]:[Check Equiparado]]="Sí",IF(DATOS!AZ$4="Sí",(1/DATOS_[[% anualiz]:[% anualiz]]),1)*IF(DATOS!AZ$5="Sí",1/DATOS_[[% normaliz]:[% normaliz]],1)*(DATOS_[Conc.Sal.22])))))))), 0)</f>
        <v>0</v>
      </c>
      <c r="AF79" s="302" t="n">
        <f aca="false" t="array" ref="AF79:AF79">IFERROR( (AVERAGE((IF(DATOS_[[Sexo]:[Sexo]]=$B79,IF(DATOS_[[AGRUP. CLAS. PROF.]:[AGRUP. CLAS. PROF.]]=$B78,IF(DATOS_[[Check Periodo Ref.]:[Check Periodo Ref.]]="Dentro",IF(DATOS_[[Check Equiparado]:[Check Equiparado]]="Sí",IF(DATOS!BA$4="Sí",(1/DATOS_[[% anualiz]:[% anualiz]]),1)*IF(DATOS!BA$5="Sí",1/DATOS_[[% normaliz]:[% normaliz]],1)*(DATOS_[Conc.Sal.23])))))))), 0)</f>
        <v>0</v>
      </c>
      <c r="AG79" s="302" t="n">
        <f aca="false" t="array" ref="AG79:AG79">IFERROR( (AVERAGE((IF(DATOS_[[Sexo]:[Sexo]]=$B79,IF(DATOS_[[AGRUP. CLAS. PROF.]:[AGRUP. CLAS. PROF.]]=$B78,IF(DATOS_[[Check Periodo Ref.]:[Check Periodo Ref.]]="Dentro",IF(DATOS_[[Check Equiparado]:[Check Equiparado]]="Sí",IF(DATOS!BB$4="Sí",(1/DATOS_[[% anualiz]:[% anualiz]]),1)*IF(DATOS!BB$5="Sí",1/DATOS_[[% normaliz]:[% normaliz]],1)*(DATOS_[Conc.Sal.24])))))))), 0)</f>
        <v>0</v>
      </c>
      <c r="AH79" s="302" t="n">
        <f aca="false" t="array" ref="AH79:AH79">IFERROR( (AVERAGE((IF(DATOS_[[Sexo]:[Sexo]]=$B79,IF(DATOS_[[AGRUP. CLAS. PROF.]:[AGRUP. CLAS. PROF.]]=$B78,IF(DATOS_[[Check Periodo Ref.]:[Check Periodo Ref.]]="Dentro",IF(DATOS_[[Check Equiparado]:[Check Equiparado]]="Sí",IF(DATOS!BC$4="Sí",(1/DATOS_[[% anualiz]:[% anualiz]]),1)*IF(DATOS!BC$5="Sí",1/DATOS_[[% normaliz]:[% normaliz]],1)*(DATOS_[Conc.Sal.25])))))))), 0)</f>
        <v>0</v>
      </c>
      <c r="AI79" s="302" t="n">
        <f aca="false" t="array" ref="AI79:AI79">IFERROR( (AVERAGE((IF(DATOS_[[Sexo]:[Sexo]]=$B79,IF(DATOS_[[AGRUP. CLAS. PROF.]:[AGRUP. CLAS. PROF.]]=$B78,IF(DATOS_[[Check Periodo Ref.]:[Check Periodo Ref.]]="Dentro",IF(DATOS_[[Check Equiparado]:[Check Equiparado]]="Sí",IF(DATOS!BD$4="Sí",(1/DATOS_[[% anualiz]:[% anualiz]]),1)*IF(DATOS!BD$5="Sí",1/DATOS_[[% normaliz]:[% normaliz]],1)*(DATOS_[Conc.Sal.26])))))))), 0)</f>
        <v>0</v>
      </c>
      <c r="AJ79" s="302" t="n">
        <f aca="false" t="array" ref="AJ79:AJ79">IFERROR( (AVERAGE((IF(DATOS_[[Sexo]:[Sexo]]=$B79,IF(DATOS_[[AGRUP. CLAS. PROF.]:[AGRUP. CLAS. PROF.]]=$B78,IF(DATOS_[[Check Periodo Ref.]:[Check Periodo Ref.]]="Dentro",IF(DATOS_[[Check Equiparado]:[Check Equiparado]]="Sí",IF(DATOS!BE$4="Sí",(1/DATOS_[[% anualiz]:[% anualiz]]),1)*IF(DATOS!BE$5="Sí",1/DATOS_[[% normaliz]:[% normaliz]],1)*(DATOS_[Conc.Sal.27])))))))), 0)</f>
        <v>0</v>
      </c>
      <c r="AK79" s="302" t="n">
        <f aca="false" t="array" ref="AK79:AK79">IFERROR( (AVERAGE((IF(DATOS_[[Sexo]:[Sexo]]=$B79,IF(DATOS_[[AGRUP. CLAS. PROF.]:[AGRUP. CLAS. PROF.]]=$B78,IF(DATOS_[[Check Periodo Ref.]:[Check Periodo Ref.]]="Dentro",IF(DATOS_[[Check Equiparado]:[Check Equiparado]]="Sí",IF(DATOS!BF$4="Sí",(1/DATOS_[[% anualiz]:[% anualiz]]),1)*IF(DATOS!BF$5="Sí",1/DATOS_[[% normaliz]:[% normaliz]],1)*(DATOS_[Conc.Sal.28])))))))), 0)</f>
        <v>0</v>
      </c>
      <c r="AL79" s="302" t="n">
        <f aca="false" t="array" ref="AL79:AL79">IFERROR( (AVERAGE((IF(DATOS_[[Sexo]:[Sexo]]=$B79,IF(DATOS_[[AGRUP. CLAS. PROF.]:[AGRUP. CLAS. PROF.]]=$B78,IF(DATOS_[[Check Periodo Ref.]:[Check Periodo Ref.]]="Dentro",IF(DATOS_[[Check Equiparado]:[Check Equiparado]]="Sí",IF(DATOS!BG$4="Sí",(1/DATOS_[[% anualiz]:[% anualiz]]),1)*IF(DATOS!BG$5="Sí",1/DATOS_[[% normaliz]:[% normaliz]],1)*(DATOS_[Conc.Sal.29])))))))), 0)</f>
        <v>0</v>
      </c>
      <c r="AM79" s="302" t="n">
        <f aca="false" t="array" ref="AM79:AM79">IFERROR( (AVERAGE((IF(DATOS_[[Sexo]:[Sexo]]=$B79,IF(DATOS_[[AGRUP. CLAS. PROF.]:[AGRUP. CLAS. PROF.]]=$B78,IF(DATOS_[[Check Periodo Ref.]:[Check Periodo Ref.]]="Dentro",IF(DATOS_[[Check Equiparado]:[Check Equiparado]]="Sí",IF(DATOS!BH$4="Sí",(1/DATOS_[[% anualiz]:[% anualiz]]),1)*IF(DATOS!BH$5="Sí",1/DATOS_[[% normaliz]:[% normaliz]],1)*(DATOS_[Conc.Sal.30])))))))), 0)</f>
        <v>0</v>
      </c>
      <c r="AN79" s="294" t="n">
        <f aca="false" t="array" ref="AN79:AN79">IFERROR( AVERAGE(IF(DATOS_[Sexo]=$B79,IF(DATOS_[[AGRUP. CLAS. PROF.]:[AGRUP. CLAS. PROF.]]=$B78,IF(DATOS_[Check Equiparado]="Sí",IF(DATOS_[Check Periodo Ref.]="Dentro",DATOS_[Tot COMPL.SAL Eq],0))))), 0)</f>
        <v>0</v>
      </c>
      <c r="AO79" s="295" t="n">
        <f aca="false" t="array" ref="AO79:AO79">IFERROR( AVERAGE(IF(DATOS_[Sexo]=$B79,IF(DATOS_[[AGRUP. CLAS. PROF.]:[AGRUP. CLAS. PROF.]]=$B78,IF(DATOS_[Check Equiparado]="Sí",IF(DATOS_[Check Periodo Ref.]="Dentro",DATOS_[TOTAL SALARIO Eq],0))))), 0)</f>
        <v>0</v>
      </c>
      <c r="AP79" s="303" t="n">
        <f aca="false" t="array" ref="AP79:AP79">IFERROR( (AVERAGE((IF(DATOS_[[Sexo]:[Sexo]]=$B79,IF(DATOS_[[AGRUP. CLAS. PROF.]:[AGRUP. CLAS. PROF.]]=$B78,IF(DATOS_[[Check Periodo Ref.]:[Check Periodo Ref.]]="Dentro",IF(DATOS_[[Check Equiparado]:[Check Equiparado]]="Sí",IF(DATOS!BI$4="Sí",(1/DATOS_[[% anualiz]:[% anualiz]]),1)*IF(DATOS!BI$5="Sí",1/DATOS_[[% normaliz]:[% normaliz]],1)*(DATOS_[C.Extra.01])))))))), 0)</f>
        <v>0</v>
      </c>
      <c r="AQ79" s="303" t="n">
        <f aca="false" t="array" ref="AQ79:AQ79">IFERROR( (AVERAGE((IF(DATOS_[[Sexo]:[Sexo]]=$B79,IF(DATOS_[[AGRUP. CLAS. PROF.]:[AGRUP. CLAS. PROF.]]=$B78,IF(DATOS_[[Check Periodo Ref.]:[Check Periodo Ref.]]="Dentro",IF(DATOS_[[Check Equiparado]:[Check Equiparado]]="Sí",IF(DATOS!BJ$4="Sí",(1/DATOS_[[% anualiz]:[% anualiz]]),1)*IF(DATOS!BJ$5="Sí",1/DATOS_[[% normaliz]:[% normaliz]],1)*(DATOS_[C.Extra.02])))))))), 0)</f>
        <v>0</v>
      </c>
      <c r="AR79" s="303" t="n">
        <f aca="false" t="array" ref="AR79:AR79">IFERROR( (AVERAGE((IF(DATOS_[[Sexo]:[Sexo]]=$B79,IF(DATOS_[[AGRUP. CLAS. PROF.]:[AGRUP. CLAS. PROF.]]=$B78,IF(DATOS_[[Check Periodo Ref.]:[Check Periodo Ref.]]="Dentro",IF(DATOS_[[Check Equiparado]:[Check Equiparado]]="Sí",IF(DATOS!BK$4="Sí",(1/DATOS_[[% anualiz]:[% anualiz]]),1)*IF(DATOS!BK$5="Sí",1/DATOS_[[% normaliz]:[% normaliz]],1)*(DATOS_[C.Extra.03])))))))), 0)</f>
        <v>0</v>
      </c>
      <c r="AS79" s="303" t="n">
        <f aca="false" t="array" ref="AS79:AS79">IFERROR( (AVERAGE((IF(DATOS_[[Sexo]:[Sexo]]=$B79,IF(DATOS_[[AGRUP. CLAS. PROF.]:[AGRUP. CLAS. PROF.]]=$B78,IF(DATOS_[[Check Periodo Ref.]:[Check Periodo Ref.]]="Dentro",IF(DATOS_[[Check Equiparado]:[Check Equiparado]]="Sí",IF(DATOS!BL$4="Sí",(1/DATOS_[[% anualiz]:[% anualiz]]),1)*IF(DATOS!BL$5="Sí",1/DATOS_[[% normaliz]:[% normaliz]],1)*(DATOS_[C.Extra.04])))))))), 0)</f>
        <v>0</v>
      </c>
      <c r="AT79" s="303" t="n">
        <f aca="false" t="array" ref="AT79:AT79">IFERROR( (AVERAGE((IF(DATOS_[[Sexo]:[Sexo]]=$B79,IF(DATOS_[[AGRUP. CLAS. PROF.]:[AGRUP. CLAS. PROF.]]=$B78,IF(DATOS_[[Check Periodo Ref.]:[Check Periodo Ref.]]="Dentro",IF(DATOS_[[Check Equiparado]:[Check Equiparado]]="Sí",IF(DATOS!BM$4="Sí",(1/DATOS_[[% anualiz]:[% anualiz]]),1)*IF(DATOS!BM$5="Sí",1/DATOS_[[% normaliz]:[% normaliz]],1)*(DATOS_[C.Extra.05])))))))), 0)</f>
        <v>0</v>
      </c>
      <c r="AU79" s="297" t="n">
        <f aca="false" t="array" ref="AU79:AU79">IFERROR( AVERAGE(IF(DATOS_[Sexo]=$B79,IF(DATOS_[[AGRUP. CLAS. PROF.]:[AGRUP. CLAS. PROF.]]=$B78,IF(DATOS_[Check Equiparado]="Sí",IF(DATOS_[Check Periodo Ref.]="Dentro",DATOS_[Tot Extrasalarial Eq],0))))), 0)</f>
        <v>0</v>
      </c>
      <c r="AV79" s="298" t="n">
        <f aca="false" t="array" ref="AV79:AV79">IFERROR( AVERAGE(IF(DATOS_[Sexo]=$B79,IF(DATOS_[[AGRUP. CLAS. PROF.]:[AGRUP. CLAS. PROF.]]=$B78,IF(DATOS_[Check Equiparado]="Sí",IF(DATOS_[Check Periodo Ref.]="Dentro",DATOS_[TOTAL Retrib Eq],0))))), 0)</f>
        <v>0</v>
      </c>
    </row>
    <row r="80" customFormat="false" ht="14.25" hidden="false" customHeight="false" outlineLevel="0" collapsed="false">
      <c r="A80" s="166" t="str">
        <f aca="false">+A79</f>
        <v>[ocultar]</v>
      </c>
      <c r="B80" s="289" t="s">
        <v>372</v>
      </c>
      <c r="C80" s="290" t="n">
        <f aca="false" t="array" ref="C80:C80">SUM(IF($B80=DATOS_[Sexo], IF($B78=DATOS_[AGRUP. CLAS. PROF.], IF("Dentro"=DATOS_[Check Periodo Ref.], 1/(COUNTIFS(DATOS_[Sexo],$B80,DATOS_[AGRUP. CLAS. PROF.],$B78,DATOS_[Check Periodo Ref.],"Dentro",DATOS_[id],DATOS_[id]))))))</f>
        <v>0</v>
      </c>
      <c r="D80" s="291" t="n">
        <f aca="false">COUNTIFS(DATOS_[AGRUP. CLAS. PROF.],$B78,DATOS_[Sexo],$B80,DATOS_[Check Periodo Ref.],"Dentro")</f>
        <v>0</v>
      </c>
      <c r="E80" s="291" t="n">
        <f aca="false">COUNTIFS(DATOS_[AGRUP. CLAS. PROF.],$B78,DATOS_[Sexo],$B80,DATOS_[Check Periodo Ref.],"Dentro",DATOS_[Check Nº SC Norm],"Sí")</f>
        <v>0</v>
      </c>
      <c r="F80" s="291" t="n">
        <f aca="false">COUNTIFS(DATOS_[AGRUP. CLAS. PROF.],$B78,DATOS_[Sexo],$B80,DATOS_[Check Periodo Ref.],"Dentro",DATOS_[Check Nº SC Anualiz],"Sí")</f>
        <v>0</v>
      </c>
      <c r="G80" s="291" t="n">
        <f aca="false">COUNTIFS(DATOS_[AGRUP. CLAS. PROF.],$B78,DATOS_[Sexo],$B80,DATOS_[Check Periodo Ref.],"Dentro",DATOS_[Check Nº SC Norm y Anualiz],"Sí")</f>
        <v>0</v>
      </c>
      <c r="H80" s="291" t="n">
        <f aca="false">COUNTIFS(DATOS_[AGRUP. CLAS. PROF.],$B78,DATOS_[Sexo],$B80,DATOS_[Check Periodo Ref.],"Dentro",DATOS_[Check Equiparación],"Sí")</f>
        <v>0</v>
      </c>
      <c r="I80" s="292" t="n">
        <f aca="false" t="array" ref="I80:I80">IFERROR( AVERAGE(IF(DATOS_[Sexo]=$B80,IF(DATOS_[[AGRUP. CLAS. PROF.]:[AGRUP. CLAS. PROF.]]=$B78,IF(DATOS_[Check Equiparado]="Sí",IF(DATOS_[Check Periodo Ref.]="Dentro",DATOS_[SALARIO BASE Eq],0))))), 0)</f>
        <v>0</v>
      </c>
      <c r="J80" s="302" t="n">
        <f aca="false" t="array" ref="J80:J80">IFERROR( (AVERAGE((IF(DATOS_[[Sexo]:[Sexo]]=$B80,IF(DATOS_[[AGRUP. CLAS. PROF.]:[AGRUP. CLAS. PROF.]]=$B78,IF(DATOS_[[Check Periodo Ref.]:[Check Periodo Ref.]]="Dentro",IF(DATOS_[[Check Equiparado]:[Check Equiparado]]="Sí",IF(DATOS!AE$4="Sí",(1/DATOS_[[% anualiz]:[% anualiz]]),1)*IF(DATOS!AE$5="Sí",1/DATOS_[[% normaliz]:[% normaliz]],1)*(DATOS_[Conc.Sal.01])))))))), 0)</f>
        <v>0</v>
      </c>
      <c r="K80" s="302" t="n">
        <f aca="false" t="array" ref="K80:K80">IFERROR( (AVERAGE((IF(DATOS_[[Sexo]:[Sexo]]=$B80,IF(DATOS_[[AGRUP. CLAS. PROF.]:[AGRUP. CLAS. PROF.]]=$B78,IF(DATOS_[[Check Periodo Ref.]:[Check Periodo Ref.]]="Dentro",IF(DATOS_[[Check Equiparado]:[Check Equiparado]]="Sí",IF(DATOS!AF$4="Sí",(1/DATOS_[[% anualiz]:[% anualiz]]),1)*IF(DATOS!AF$5="Sí",1/DATOS_[[% normaliz]:[% normaliz]],1)*(DATOS_[Conc.Sal.02])))))))), 0)</f>
        <v>0</v>
      </c>
      <c r="L80" s="302" t="n">
        <f aca="false" t="array" ref="L80:L80">IFERROR( (AVERAGE((IF(DATOS_[[Sexo]:[Sexo]]=$B80,IF(DATOS_[[AGRUP. CLAS. PROF.]:[AGRUP. CLAS. PROF.]]=$B78,IF(DATOS_[[Check Periodo Ref.]:[Check Periodo Ref.]]="Dentro",IF(DATOS_[[Check Equiparado]:[Check Equiparado]]="Sí",IF(DATOS!AG$4="Sí",(1/DATOS_[[% anualiz]:[% anualiz]]),1)*IF(DATOS!AG$5="Sí",1/DATOS_[[% normaliz]:[% normaliz]],1)*(DATOS_[Conc.Sal.03])))))))), 0)</f>
        <v>0</v>
      </c>
      <c r="M80" s="302" t="n">
        <f aca="false" t="array" ref="M80:M80">IFERROR( (AVERAGE((IF(DATOS_[[Sexo]:[Sexo]]=$B80,IF(DATOS_[[AGRUP. CLAS. PROF.]:[AGRUP. CLAS. PROF.]]=$B78,IF(DATOS_[[Check Periodo Ref.]:[Check Periodo Ref.]]="Dentro",IF(DATOS_[[Check Equiparado]:[Check Equiparado]]="Sí",IF(DATOS!AH$4="Sí",(1/DATOS_[[% anualiz]:[% anualiz]]),1)*IF(DATOS!AH$5="Sí",1/DATOS_[[% normaliz]:[% normaliz]],1)*(DATOS_[Conc.Sal.04])))))))), 0)</f>
        <v>0</v>
      </c>
      <c r="N80" s="302" t="n">
        <f aca="false" t="array" ref="N80:N80">IFERROR( (AVERAGE((IF(DATOS_[[Sexo]:[Sexo]]=$B80,IF(DATOS_[[AGRUP. CLAS. PROF.]:[AGRUP. CLAS. PROF.]]=$B78,IF(DATOS_[[Check Periodo Ref.]:[Check Periodo Ref.]]="Dentro",IF(DATOS_[[Check Equiparado]:[Check Equiparado]]="Sí",IF(DATOS!AI$4="Sí",(1/DATOS_[[% anualiz]:[% anualiz]]),1)*IF(DATOS!AI$5="Sí",1/DATOS_[[% normaliz]:[% normaliz]],1)*(DATOS_[Conc.Sal.05])))))))), 0)</f>
        <v>0</v>
      </c>
      <c r="O80" s="302" t="n">
        <f aca="false" t="array" ref="O80:O80">IFERROR( (AVERAGE((IF(DATOS_[[Sexo]:[Sexo]]=$B80,IF(DATOS_[[AGRUP. CLAS. PROF.]:[AGRUP. CLAS. PROF.]]=$B78,IF(DATOS_[[Check Periodo Ref.]:[Check Periodo Ref.]]="Dentro",IF(DATOS_[[Check Equiparado]:[Check Equiparado]]="Sí",IF(DATOS!AJ$4="Sí",(1/DATOS_[[% anualiz]:[% anualiz]]),1)*IF(DATOS!AJ$5="Sí",1/DATOS_[[% normaliz]:[% normaliz]],1)*(DATOS_[Conc.Sal.06])))))))), 0)</f>
        <v>0</v>
      </c>
      <c r="P80" s="302" t="n">
        <f aca="false" t="array" ref="P80:P80">IFERROR( (AVERAGE((IF(DATOS_[[Sexo]:[Sexo]]=$B80,IF(DATOS_[[AGRUP. CLAS. PROF.]:[AGRUP. CLAS. PROF.]]=$B78,IF(DATOS_[[Check Periodo Ref.]:[Check Periodo Ref.]]="Dentro",IF(DATOS_[[Check Equiparado]:[Check Equiparado]]="Sí",IF(DATOS!AK$4="Sí",(1/DATOS_[[% anualiz]:[% anualiz]]),1)*IF(DATOS!AK$5="Sí",1/DATOS_[[% normaliz]:[% normaliz]],1)*(DATOS_[Conc.Sal.07])))))))), 0)</f>
        <v>0</v>
      </c>
      <c r="Q80" s="302" t="n">
        <f aca="false" t="array" ref="Q80:Q80">IFERROR( (AVERAGE((IF(DATOS_[[Sexo]:[Sexo]]=$B80,IF(DATOS_[[AGRUP. CLAS. PROF.]:[AGRUP. CLAS. PROF.]]=$B78,IF(DATOS_[[Check Periodo Ref.]:[Check Periodo Ref.]]="Dentro",IF(DATOS_[[Check Equiparado]:[Check Equiparado]]="Sí",IF(DATOS!AL$4="Sí",(1/DATOS_[[% anualiz]:[% anualiz]]),1)*IF(DATOS!AL$5="Sí",1/DATOS_[[% normaliz]:[% normaliz]],1)*(DATOS_[Conc.Sal.08])))))))), 0)</f>
        <v>0</v>
      </c>
      <c r="R80" s="302" t="n">
        <f aca="false" t="array" ref="R80:R80">IFERROR( (AVERAGE((IF(DATOS_[[Sexo]:[Sexo]]=$B80,IF(DATOS_[[AGRUP. CLAS. PROF.]:[AGRUP. CLAS. PROF.]]=$B78,IF(DATOS_[[Check Periodo Ref.]:[Check Periodo Ref.]]="Dentro",IF(DATOS_[[Check Equiparado]:[Check Equiparado]]="Sí",IF(DATOS!AM$4="Sí",(1/DATOS_[[% anualiz]:[% anualiz]]),1)*IF(DATOS!AM$5="Sí",1/DATOS_[[% normaliz]:[% normaliz]],1)*(DATOS_[Conc.Sal.09])))))))), 0)</f>
        <v>0</v>
      </c>
      <c r="S80" s="302" t="n">
        <f aca="false" t="array" ref="S80:S80">IFERROR( (AVERAGE((IF(DATOS_[[Sexo]:[Sexo]]=$B80,IF(DATOS_[[AGRUP. CLAS. PROF.]:[AGRUP. CLAS. PROF.]]=$B78,IF(DATOS_[[Check Periodo Ref.]:[Check Periodo Ref.]]="Dentro",IF(DATOS_[[Check Equiparado]:[Check Equiparado]]="Sí",IF(DATOS!AN$4="Sí",(1/DATOS_[[% anualiz]:[% anualiz]]),1)*IF(DATOS!AN$5="Sí",1/DATOS_[[% normaliz]:[% normaliz]],1)*(DATOS_[Conc.Sal.10])))))))), 0)</f>
        <v>0</v>
      </c>
      <c r="T80" s="302" t="n">
        <f aca="false" t="array" ref="T80:T80">IFERROR( (AVERAGE((IF(DATOS_[[Sexo]:[Sexo]]=$B80,IF(DATOS_[[AGRUP. CLAS. PROF.]:[AGRUP. CLAS. PROF.]]=$B78,IF(DATOS_[[Check Periodo Ref.]:[Check Periodo Ref.]]="Dentro",IF(DATOS_[[Check Equiparado]:[Check Equiparado]]="Sí",IF(DATOS!AO$4="Sí",(1/DATOS_[[% anualiz]:[% anualiz]]),1)*IF(DATOS!AO$5="Sí",1/DATOS_[[% normaliz]:[% normaliz]],1)*(DATOS_[Conc.Sal.11])))))))), 0)</f>
        <v>0</v>
      </c>
      <c r="U80" s="302" t="n">
        <f aca="false" t="array" ref="U80:U80">IFERROR( (AVERAGE((IF(DATOS_[[Sexo]:[Sexo]]=$B80,IF(DATOS_[[AGRUP. CLAS. PROF.]:[AGRUP. CLAS. PROF.]]=$B78,IF(DATOS_[[Check Periodo Ref.]:[Check Periodo Ref.]]="Dentro",IF(DATOS_[[Check Equiparado]:[Check Equiparado]]="Sí",IF(DATOS!AP$4="Sí",(1/DATOS_[[% anualiz]:[% anualiz]]),1)*IF(DATOS!AP$5="Sí",1/DATOS_[[% normaliz]:[% normaliz]],1)*(DATOS_[Conc.Sal.12])))))))), 0)</f>
        <v>0</v>
      </c>
      <c r="V80" s="302" t="n">
        <f aca="false" t="array" ref="V80:V80">IFERROR( (AVERAGE((IF(DATOS_[[Sexo]:[Sexo]]=$B80,IF(DATOS_[[AGRUP. CLAS. PROF.]:[AGRUP. CLAS. PROF.]]=$B78,IF(DATOS_[[Check Periodo Ref.]:[Check Periodo Ref.]]="Dentro",IF(DATOS_[[Check Equiparado]:[Check Equiparado]]="Sí",IF(DATOS!AQ$4="Sí",(1/DATOS_[[% anualiz]:[% anualiz]]),1)*IF(DATOS!AQ$5="Sí",1/DATOS_[[% normaliz]:[% normaliz]],1)*(DATOS_[Conc.Sal.13])))))))), 0)</f>
        <v>0</v>
      </c>
      <c r="W80" s="302" t="n">
        <f aca="false" t="array" ref="W80:W80">IFERROR( (AVERAGE((IF(DATOS_[[Sexo]:[Sexo]]=$B80,IF(DATOS_[[AGRUP. CLAS. PROF.]:[AGRUP. CLAS. PROF.]]=$B78,IF(DATOS_[[Check Periodo Ref.]:[Check Periodo Ref.]]="Dentro",IF(DATOS_[[Check Equiparado]:[Check Equiparado]]="Sí",IF(DATOS!AR$4="Sí",(1/DATOS_[[% anualiz]:[% anualiz]]),1)*IF(DATOS!AR$5="Sí",1/DATOS_[[% normaliz]:[% normaliz]],1)*(DATOS_[Conc.Sal.14])))))))), 0)</f>
        <v>0</v>
      </c>
      <c r="X80" s="302" t="n">
        <f aca="false" t="array" ref="X80:X80">IFERROR( (AVERAGE((IF(DATOS_[[Sexo]:[Sexo]]=$B80,IF(DATOS_[[AGRUP. CLAS. PROF.]:[AGRUP. CLAS. PROF.]]=$B78,IF(DATOS_[[Check Periodo Ref.]:[Check Periodo Ref.]]="Dentro",IF(DATOS_[[Check Equiparado]:[Check Equiparado]]="Sí",IF(DATOS!AS$4="Sí",(1/DATOS_[[% anualiz]:[% anualiz]]),1)*IF(DATOS!AS$5="Sí",1/DATOS_[[% normaliz]:[% normaliz]],1)*(DATOS_[Conc.Sal.15])))))))), 0)</f>
        <v>0</v>
      </c>
      <c r="Y80" s="302" t="n">
        <f aca="false" t="array" ref="Y80:Y80">IFERROR( (AVERAGE((IF(DATOS_[[Sexo]:[Sexo]]=$B80,IF(DATOS_[[AGRUP. CLAS. PROF.]:[AGRUP. CLAS. PROF.]]=$B78,IF(DATOS_[[Check Periodo Ref.]:[Check Periodo Ref.]]="Dentro",IF(DATOS_[[Check Equiparado]:[Check Equiparado]]="Sí",IF(DATOS!AT$4="Sí",(1/DATOS_[[% anualiz]:[% anualiz]]),1)*IF(DATOS!AT$5="Sí",1/DATOS_[[% normaliz]:[% normaliz]],1)*(DATOS_[Conc.Sal.16])))))))), 0)</f>
        <v>0</v>
      </c>
      <c r="Z80" s="302" t="n">
        <f aca="false" t="array" ref="Z80:Z80">IFERROR( (AVERAGE((IF(DATOS_[[Sexo]:[Sexo]]=$B80,IF(DATOS_[[AGRUP. CLAS. PROF.]:[AGRUP. CLAS. PROF.]]=$B78,IF(DATOS_[[Check Periodo Ref.]:[Check Periodo Ref.]]="Dentro",IF(DATOS_[[Check Equiparado]:[Check Equiparado]]="Sí",IF(DATOS!AU$4="Sí",(1/DATOS_[[% anualiz]:[% anualiz]]),1)*IF(DATOS!AU$5="Sí",1/DATOS_[[% normaliz]:[% normaliz]],1)*(DATOS_[Conc.Sal.17])))))))), 0)</f>
        <v>0</v>
      </c>
      <c r="AA80" s="302" t="n">
        <f aca="false" t="array" ref="AA80:AA80">IFERROR( (AVERAGE((IF(DATOS_[[Sexo]:[Sexo]]=$B80,IF(DATOS_[[AGRUP. CLAS. PROF.]:[AGRUP. CLAS. PROF.]]=$B78,IF(DATOS_[[Check Periodo Ref.]:[Check Periodo Ref.]]="Dentro",IF(DATOS_[[Check Equiparado]:[Check Equiparado]]="Sí",IF(DATOS!AV$4="Sí",(1/DATOS_[[% anualiz]:[% anualiz]]),1)*IF(DATOS!AV$5="Sí",1/DATOS_[[% normaliz]:[% normaliz]],1)*(DATOS_[Conc.Sal.18])))))))), 0)</f>
        <v>0</v>
      </c>
      <c r="AB80" s="302" t="n">
        <f aca="false" t="array" ref="AB80:AB80">IFERROR( (AVERAGE((IF(DATOS_[[Sexo]:[Sexo]]=$B80,IF(DATOS_[[AGRUP. CLAS. PROF.]:[AGRUP. CLAS. PROF.]]=$B78,IF(DATOS_[[Check Periodo Ref.]:[Check Periodo Ref.]]="Dentro",IF(DATOS_[[Check Equiparado]:[Check Equiparado]]="Sí",IF(DATOS!AW$4="Sí",(1/DATOS_[[% anualiz]:[% anualiz]]),1)*IF(DATOS!AW$5="Sí",1/DATOS_[[% normaliz]:[% normaliz]],1)*(DATOS_[Conc.Sal.19])))))))), 0)</f>
        <v>0</v>
      </c>
      <c r="AC80" s="302" t="n">
        <f aca="false" t="array" ref="AC80:AC80">IFERROR( (AVERAGE((IF(DATOS_[[Sexo]:[Sexo]]=$B80,IF(DATOS_[[AGRUP. CLAS. PROF.]:[AGRUP. CLAS. PROF.]]=$B78,IF(DATOS_[[Check Periodo Ref.]:[Check Periodo Ref.]]="Dentro",IF(DATOS_[[Check Equiparado]:[Check Equiparado]]="Sí",IF(DATOS!AX$4="Sí",(1/DATOS_[[% anualiz]:[% anualiz]]),1)*IF(DATOS!AX$5="Sí",1/DATOS_[[% normaliz]:[% normaliz]],1)*(DATOS_[Conc.Sal.20])))))))), 0)</f>
        <v>0</v>
      </c>
      <c r="AD80" s="302" t="n">
        <f aca="false" t="array" ref="AD80:AD80">IFERROR( (AVERAGE((IF(DATOS_[[Sexo]:[Sexo]]=$B80,IF(DATOS_[[AGRUP. CLAS. PROF.]:[AGRUP. CLAS. PROF.]]=$B78,IF(DATOS_[[Check Periodo Ref.]:[Check Periodo Ref.]]="Dentro",IF(DATOS_[[Check Equiparado]:[Check Equiparado]]="Sí",IF(DATOS!AY$4="Sí",(1/DATOS_[[% anualiz]:[% anualiz]]),1)*IF(DATOS!AY$5="Sí",1/DATOS_[[% normaliz]:[% normaliz]],1)*(DATOS_[Conc.Sal.21])))))))), 0)</f>
        <v>0</v>
      </c>
      <c r="AE80" s="302" t="n">
        <f aca="false" t="array" ref="AE80:AE80">IFERROR( (AVERAGE((IF(DATOS_[[Sexo]:[Sexo]]=$B80,IF(DATOS_[[AGRUP. CLAS. PROF.]:[AGRUP. CLAS. PROF.]]=$B78,IF(DATOS_[[Check Periodo Ref.]:[Check Periodo Ref.]]="Dentro",IF(DATOS_[[Check Equiparado]:[Check Equiparado]]="Sí",IF(DATOS!AZ$4="Sí",(1/DATOS_[[% anualiz]:[% anualiz]]),1)*IF(DATOS!AZ$5="Sí",1/DATOS_[[% normaliz]:[% normaliz]],1)*(DATOS_[Conc.Sal.22])))))))), 0)</f>
        <v>0</v>
      </c>
      <c r="AF80" s="302" t="n">
        <f aca="false" t="array" ref="AF80:AF80">IFERROR( (AVERAGE((IF(DATOS_[[Sexo]:[Sexo]]=$B80,IF(DATOS_[[AGRUP. CLAS. PROF.]:[AGRUP. CLAS. PROF.]]=$B78,IF(DATOS_[[Check Periodo Ref.]:[Check Periodo Ref.]]="Dentro",IF(DATOS_[[Check Equiparado]:[Check Equiparado]]="Sí",IF(DATOS!BA$4="Sí",(1/DATOS_[[% anualiz]:[% anualiz]]),1)*IF(DATOS!BA$5="Sí",1/DATOS_[[% normaliz]:[% normaliz]],1)*(DATOS_[Conc.Sal.23])))))))), 0)</f>
        <v>0</v>
      </c>
      <c r="AG80" s="302" t="n">
        <f aca="false" t="array" ref="AG80:AG80">IFERROR( (AVERAGE((IF(DATOS_[[Sexo]:[Sexo]]=$B80,IF(DATOS_[[AGRUP. CLAS. PROF.]:[AGRUP. CLAS. PROF.]]=$B78,IF(DATOS_[[Check Periodo Ref.]:[Check Periodo Ref.]]="Dentro",IF(DATOS_[[Check Equiparado]:[Check Equiparado]]="Sí",IF(DATOS!BB$4="Sí",(1/DATOS_[[% anualiz]:[% anualiz]]),1)*IF(DATOS!BB$5="Sí",1/DATOS_[[% normaliz]:[% normaliz]],1)*(DATOS_[Conc.Sal.24])))))))), 0)</f>
        <v>0</v>
      </c>
      <c r="AH80" s="302" t="n">
        <f aca="false" t="array" ref="AH80:AH80">IFERROR( (AVERAGE((IF(DATOS_[[Sexo]:[Sexo]]=$B80,IF(DATOS_[[AGRUP. CLAS. PROF.]:[AGRUP. CLAS. PROF.]]=$B78,IF(DATOS_[[Check Periodo Ref.]:[Check Periodo Ref.]]="Dentro",IF(DATOS_[[Check Equiparado]:[Check Equiparado]]="Sí",IF(DATOS!BC$4="Sí",(1/DATOS_[[% anualiz]:[% anualiz]]),1)*IF(DATOS!BC$5="Sí",1/DATOS_[[% normaliz]:[% normaliz]],1)*(DATOS_[Conc.Sal.25])))))))), 0)</f>
        <v>0</v>
      </c>
      <c r="AI80" s="302" t="n">
        <f aca="false" t="array" ref="AI80:AI80">IFERROR( (AVERAGE((IF(DATOS_[[Sexo]:[Sexo]]=$B80,IF(DATOS_[[AGRUP. CLAS. PROF.]:[AGRUP. CLAS. PROF.]]=$B78,IF(DATOS_[[Check Periodo Ref.]:[Check Periodo Ref.]]="Dentro",IF(DATOS_[[Check Equiparado]:[Check Equiparado]]="Sí",IF(DATOS!BD$4="Sí",(1/DATOS_[[% anualiz]:[% anualiz]]),1)*IF(DATOS!BD$5="Sí",1/DATOS_[[% normaliz]:[% normaliz]],1)*(DATOS_[Conc.Sal.26])))))))), 0)</f>
        <v>0</v>
      </c>
      <c r="AJ80" s="302" t="n">
        <f aca="false" t="array" ref="AJ80:AJ80">IFERROR( (AVERAGE((IF(DATOS_[[Sexo]:[Sexo]]=$B80,IF(DATOS_[[AGRUP. CLAS. PROF.]:[AGRUP. CLAS. PROF.]]=$B78,IF(DATOS_[[Check Periodo Ref.]:[Check Periodo Ref.]]="Dentro",IF(DATOS_[[Check Equiparado]:[Check Equiparado]]="Sí",IF(DATOS!BE$4="Sí",(1/DATOS_[[% anualiz]:[% anualiz]]),1)*IF(DATOS!BE$5="Sí",1/DATOS_[[% normaliz]:[% normaliz]],1)*(DATOS_[Conc.Sal.27])))))))), 0)</f>
        <v>0</v>
      </c>
      <c r="AK80" s="302" t="n">
        <f aca="false" t="array" ref="AK80:AK80">IFERROR( (AVERAGE((IF(DATOS_[[Sexo]:[Sexo]]=$B80,IF(DATOS_[[AGRUP. CLAS. PROF.]:[AGRUP. CLAS. PROF.]]=$B78,IF(DATOS_[[Check Periodo Ref.]:[Check Periodo Ref.]]="Dentro",IF(DATOS_[[Check Equiparado]:[Check Equiparado]]="Sí",IF(DATOS!BF$4="Sí",(1/DATOS_[[% anualiz]:[% anualiz]]),1)*IF(DATOS!BF$5="Sí",1/DATOS_[[% normaliz]:[% normaliz]],1)*(DATOS_[Conc.Sal.28])))))))), 0)</f>
        <v>0</v>
      </c>
      <c r="AL80" s="302" t="n">
        <f aca="false" t="array" ref="AL80:AL80">IFERROR( (AVERAGE((IF(DATOS_[[Sexo]:[Sexo]]=$B80,IF(DATOS_[[AGRUP. CLAS. PROF.]:[AGRUP. CLAS. PROF.]]=$B78,IF(DATOS_[[Check Periodo Ref.]:[Check Periodo Ref.]]="Dentro",IF(DATOS_[[Check Equiparado]:[Check Equiparado]]="Sí",IF(DATOS!BG$4="Sí",(1/DATOS_[[% anualiz]:[% anualiz]]),1)*IF(DATOS!BG$5="Sí",1/DATOS_[[% normaliz]:[% normaliz]],1)*(DATOS_[Conc.Sal.29])))))))), 0)</f>
        <v>0</v>
      </c>
      <c r="AM80" s="302" t="n">
        <f aca="false" t="array" ref="AM80:AM80">IFERROR( (AVERAGE((IF(DATOS_[[Sexo]:[Sexo]]=$B80,IF(DATOS_[[AGRUP. CLAS. PROF.]:[AGRUP. CLAS. PROF.]]=$B78,IF(DATOS_[[Check Periodo Ref.]:[Check Periodo Ref.]]="Dentro",IF(DATOS_[[Check Equiparado]:[Check Equiparado]]="Sí",IF(DATOS!BH$4="Sí",(1/DATOS_[[% anualiz]:[% anualiz]]),1)*IF(DATOS!BH$5="Sí",1/DATOS_[[% normaliz]:[% normaliz]],1)*(DATOS_[Conc.Sal.30])))))))), 0)</f>
        <v>0</v>
      </c>
      <c r="AN80" s="294" t="n">
        <f aca="false" t="array" ref="AN80:AN80">IFERROR( AVERAGE(IF(DATOS_[Sexo]=$B80,IF(DATOS_[[AGRUP. CLAS. PROF.]:[AGRUP. CLAS. PROF.]]=$B78,IF(DATOS_[Check Equiparado]="Sí",IF(DATOS_[Check Periodo Ref.]="Dentro",DATOS_[Tot COMPL.SAL Eq],0))))), 0)</f>
        <v>0</v>
      </c>
      <c r="AO80" s="295" t="n">
        <f aca="false" t="array" ref="AO80:AO80">IFERROR( AVERAGE(IF(DATOS_[Sexo]=$B80,IF(DATOS_[[AGRUP. CLAS. PROF.]:[AGRUP. CLAS. PROF.]]=$B78,IF(DATOS_[Check Equiparado]="Sí",IF(DATOS_[Check Periodo Ref.]="Dentro",DATOS_[TOTAL SALARIO Eq],0))))), 0)</f>
        <v>0</v>
      </c>
      <c r="AP80" s="303" t="n">
        <f aca="false" t="array" ref="AP80:AP80">IFERROR( (AVERAGE((IF(DATOS_[[Sexo]:[Sexo]]=$B80,IF(DATOS_[[AGRUP. CLAS. PROF.]:[AGRUP. CLAS. PROF.]]=$B79,IF(DATOS_[[Check Periodo Ref.]:[Check Periodo Ref.]]="Dentro",IF(DATOS_[[Check Equiparado]:[Check Equiparado]]="Sí",IF(DATOS!BI$4="Sí",(1/DATOS_[[% anualiz]:[% anualiz]]),1)*IF(DATOS!BI$5="Sí",1/DATOS_[[% normaliz]:[% normaliz]],1)*(DATOS_[C.Extra.01])))))))), 0)</f>
        <v>0</v>
      </c>
      <c r="AQ80" s="303" t="n">
        <f aca="false" t="array" ref="AQ80:AQ80">IFERROR( (AVERAGE((IF(DATOS_[[Sexo]:[Sexo]]=$B80,IF(DATOS_[[AGRUP. CLAS. PROF.]:[AGRUP. CLAS. PROF.]]=$B79,IF(DATOS_[[Check Periodo Ref.]:[Check Periodo Ref.]]="Dentro",IF(DATOS_[[Check Equiparado]:[Check Equiparado]]="Sí",IF(DATOS!BJ$4="Sí",(1/DATOS_[[% anualiz]:[% anualiz]]),1)*IF(DATOS!BJ$5="Sí",1/DATOS_[[% normaliz]:[% normaliz]],1)*(DATOS_[C.Extra.02])))))))), 0)</f>
        <v>0</v>
      </c>
      <c r="AR80" s="303" t="n">
        <f aca="false" t="array" ref="AR80:AR80">IFERROR( (AVERAGE((IF(DATOS_[[Sexo]:[Sexo]]=$B80,IF(DATOS_[[AGRUP. CLAS. PROF.]:[AGRUP. CLAS. PROF.]]=$B79,IF(DATOS_[[Check Periodo Ref.]:[Check Periodo Ref.]]="Dentro",IF(DATOS_[[Check Equiparado]:[Check Equiparado]]="Sí",IF(DATOS!BK$4="Sí",(1/DATOS_[[% anualiz]:[% anualiz]]),1)*IF(DATOS!BK$5="Sí",1/DATOS_[[% normaliz]:[% normaliz]],1)*(DATOS_[C.Extra.03])))))))), 0)</f>
        <v>0</v>
      </c>
      <c r="AS80" s="303" t="n">
        <f aca="false" t="array" ref="AS80:AS80">IFERROR( (AVERAGE((IF(DATOS_[[Sexo]:[Sexo]]=$B80,IF(DATOS_[[AGRUP. CLAS. PROF.]:[AGRUP. CLAS. PROF.]]=$B79,IF(DATOS_[[Check Periodo Ref.]:[Check Periodo Ref.]]="Dentro",IF(DATOS_[[Check Equiparado]:[Check Equiparado]]="Sí",IF(DATOS!BL$4="Sí",(1/DATOS_[[% anualiz]:[% anualiz]]),1)*IF(DATOS!BL$5="Sí",1/DATOS_[[% normaliz]:[% normaliz]],1)*(DATOS_[C.Extra.04])))))))), 0)</f>
        <v>0</v>
      </c>
      <c r="AT80" s="303" t="n">
        <f aca="false" t="array" ref="AT80:AT80">IFERROR( (AVERAGE((IF(DATOS_[[Sexo]:[Sexo]]=$B80,IF(DATOS_[[AGRUP. CLAS. PROF.]:[AGRUP. CLAS. PROF.]]=$B79,IF(DATOS_[[Check Periodo Ref.]:[Check Periodo Ref.]]="Dentro",IF(DATOS_[[Check Equiparado]:[Check Equiparado]]="Sí",IF(DATOS!BM$4="Sí",(1/DATOS_[[% anualiz]:[% anualiz]]),1)*IF(DATOS!BM$5="Sí",1/DATOS_[[% normaliz]:[% normaliz]],1)*(DATOS_[C.Extra.05])))))))), 0)</f>
        <v>0</v>
      </c>
      <c r="AU80" s="297" t="n">
        <f aca="false" t="array" ref="AU80:AU80">IFERROR( AVERAGE(IF(DATOS_[Sexo]=$B80,IF(DATOS_[[AGRUP. CLAS. PROF.]:[AGRUP. CLAS. PROF.]]=$B78,IF(DATOS_[Check Equiparado]="Sí",IF(DATOS_[Check Periodo Ref.]="Dentro",DATOS_[Tot Extrasalarial Eq],0))))), 0)</f>
        <v>0</v>
      </c>
      <c r="AV80" s="298" t="n">
        <f aca="false" t="array" ref="AV80:AV80">IFERROR( AVERAGE(IF(DATOS_[Sexo]=$B80,IF(DATOS_[[AGRUP. CLAS. PROF.]:[AGRUP. CLAS. PROF.]]=$B78,IF(DATOS_[Check Equiparado]="Sí",IF(DATOS_[Check Periodo Ref.]="Dentro",DATOS_[TOTAL Retrib Eq],0))))), 0)</f>
        <v>0</v>
      </c>
    </row>
    <row r="81" customFormat="false" ht="15.75" hidden="false" customHeight="false" outlineLevel="0" collapsed="false">
      <c r="A81" s="166" t="str">
        <f aca="false">+A82</f>
        <v>[ocultar]</v>
      </c>
      <c r="B81" s="276" t="s">
        <v>234</v>
      </c>
      <c r="C81" s="277"/>
      <c r="D81" s="278"/>
      <c r="E81" s="278"/>
      <c r="F81" s="278"/>
      <c r="G81" s="278"/>
      <c r="H81" s="278"/>
      <c r="I81" s="279" t="str">
        <f aca="false">IFERROR((I82-I83)/I82,"")</f>
        <v/>
      </c>
      <c r="J81" s="280" t="str">
        <f aca="false">IFERROR((J82-J83)/J82,"")</f>
        <v/>
      </c>
      <c r="K81" s="281" t="str">
        <f aca="false">IFERROR((K82-K83)/K82,"")</f>
        <v/>
      </c>
      <c r="L81" s="281" t="str">
        <f aca="false">IFERROR((L82-L83)/L82,"")</f>
        <v/>
      </c>
      <c r="M81" s="281" t="str">
        <f aca="false">IFERROR((M82-M83)/M82,"")</f>
        <v/>
      </c>
      <c r="N81" s="282" t="str">
        <f aca="false">IFERROR((N82-N83)/N82,"")</f>
        <v/>
      </c>
      <c r="O81" s="283" t="str">
        <f aca="false">IFERROR((O82-O83)/O82,"")</f>
        <v/>
      </c>
      <c r="P81" s="283" t="str">
        <f aca="false">IFERROR((P82-P83)/P82,"")</f>
        <v/>
      </c>
      <c r="Q81" s="283" t="str">
        <f aca="false">IFERROR((Q82-Q83)/Q82,"")</f>
        <v/>
      </c>
      <c r="R81" s="283" t="str">
        <f aca="false">IFERROR((R82-R83)/R82,"")</f>
        <v/>
      </c>
      <c r="S81" s="283" t="str">
        <f aca="false">IFERROR((S82-S83)/S82,"")</f>
        <v/>
      </c>
      <c r="T81" s="283" t="str">
        <f aca="false">IFERROR((T82-T83)/T82,"")</f>
        <v/>
      </c>
      <c r="U81" s="283" t="str">
        <f aca="false">IFERROR((U82-U83)/U82,"")</f>
        <v/>
      </c>
      <c r="V81" s="283" t="str">
        <f aca="false">IFERROR((V82-V83)/V82,"")</f>
        <v/>
      </c>
      <c r="W81" s="283" t="str">
        <f aca="false">IFERROR((W82-W83)/W82,"")</f>
        <v/>
      </c>
      <c r="X81" s="283" t="str">
        <f aca="false">IFERROR((X82-X83)/X82,"")</f>
        <v/>
      </c>
      <c r="Y81" s="283" t="str">
        <f aca="false">IFERROR((Y82-Y83)/Y82,"")</f>
        <v/>
      </c>
      <c r="Z81" s="282" t="str">
        <f aca="false">IFERROR((Z82-Z83)/Z82,"")</f>
        <v/>
      </c>
      <c r="AA81" s="282" t="str">
        <f aca="false">IFERROR((AA82-AA83)/AA82,"")</f>
        <v/>
      </c>
      <c r="AB81" s="282" t="str">
        <f aca="false">IFERROR((AB82-AB83)/AB82,"")</f>
        <v/>
      </c>
      <c r="AC81" s="282" t="str">
        <f aca="false">IFERROR((AC82-AC83)/AC82,"")</f>
        <v/>
      </c>
      <c r="AD81" s="282" t="str">
        <f aca="false">IFERROR((AD82-AD83)/AD82,"")</f>
        <v/>
      </c>
      <c r="AE81" s="282" t="str">
        <f aca="false">IFERROR((AE82-AE83)/AE82,"")</f>
        <v/>
      </c>
      <c r="AF81" s="282" t="str">
        <f aca="false">IFERROR((AF82-AF83)/AF82,"")</f>
        <v/>
      </c>
      <c r="AG81" s="282" t="str">
        <f aca="false">IFERROR((AG82-AG83)/AG82,"")</f>
        <v/>
      </c>
      <c r="AH81" s="282" t="str">
        <f aca="false">IFERROR((AH82-AH83)/AH82,"")</f>
        <v/>
      </c>
      <c r="AI81" s="282" t="str">
        <f aca="false">IFERROR((AI82-AI83)/AI82,"")</f>
        <v/>
      </c>
      <c r="AJ81" s="282" t="str">
        <f aca="false">IFERROR((AJ82-AJ83)/AJ82,"")</f>
        <v/>
      </c>
      <c r="AK81" s="282" t="str">
        <f aca="false">IFERROR((AK82-AK83)/AK82,"")</f>
        <v/>
      </c>
      <c r="AL81" s="282" t="str">
        <f aca="false">IFERROR((AL82-AL83)/AL82,"")</f>
        <v/>
      </c>
      <c r="AM81" s="282" t="str">
        <f aca="false">IFERROR((AM82-AM83)/AM82,"")</f>
        <v/>
      </c>
      <c r="AN81" s="284" t="str">
        <f aca="false">IFERROR((AN82-AN83)/AN82,"")</f>
        <v/>
      </c>
      <c r="AO81" s="285" t="str">
        <f aca="false">IFERROR((AO82-AO83)/AO82,"")</f>
        <v/>
      </c>
      <c r="AP81" s="286" t="str">
        <f aca="false">IFERROR((AP82-AP83)/AP82,"")</f>
        <v/>
      </c>
      <c r="AQ81" s="286" t="str">
        <f aca="false">IFERROR((AQ82-AQ83)/AQ82,"")</f>
        <v/>
      </c>
      <c r="AR81" s="286" t="str">
        <f aca="false">IFERROR((AR82-AR83)/AR82,"")</f>
        <v/>
      </c>
      <c r="AS81" s="286" t="str">
        <f aca="false">IFERROR((AS82-AS83)/AS82,"")</f>
        <v/>
      </c>
      <c r="AT81" s="286" t="str">
        <f aca="false">IFERROR((AT82-AT83)/AT82,"")</f>
        <v/>
      </c>
      <c r="AU81" s="287" t="str">
        <f aca="false">IFERROR((AU82-AU83)/AU82,"")</f>
        <v/>
      </c>
      <c r="AV81" s="288" t="str">
        <f aca="false">IFERROR((AV82-AV83)/AV82,"")</f>
        <v/>
      </c>
    </row>
    <row r="82" customFormat="false" ht="14.25" hidden="false" customHeight="false" outlineLevel="0" collapsed="false">
      <c r="A82" s="166" t="str">
        <f aca="false">+IF(C82+C83=0,"[ocultar]","")</f>
        <v>[ocultar]</v>
      </c>
      <c r="B82" s="289" t="s">
        <v>371</v>
      </c>
      <c r="C82" s="290" t="n">
        <f aca="false" t="array" ref="C82:C82">SUM(IF($B82=DATOS_[Sexo], IF($B81=DATOS_[AGRUP. CLAS. PROF.], IF("Dentro"=DATOS_[Check Periodo Ref.], 1/(COUNTIFS(DATOS_[Sexo],$B82,DATOS_[AGRUP. CLAS. PROF.],$B81,DATOS_[Check Periodo Ref.],"Dentro",DATOS_[id],DATOS_[id]))))))</f>
        <v>0</v>
      </c>
      <c r="D82" s="291" t="n">
        <f aca="false">COUNTIFS(DATOS_[AGRUP. CLAS. PROF.],$B81,DATOS_[Sexo],$B82,DATOS_[Check Periodo Ref.],"Dentro")</f>
        <v>0</v>
      </c>
      <c r="E82" s="291" t="n">
        <f aca="false">COUNTIFS(DATOS_[AGRUP. CLAS. PROF.],$B81,DATOS_[Sexo],$B82,DATOS_[Check Periodo Ref.],"Dentro",DATOS_[Check Nº SC Norm],"Sí")</f>
        <v>0</v>
      </c>
      <c r="F82" s="291" t="n">
        <f aca="false">COUNTIFS(DATOS_[AGRUP. CLAS. PROF.],$B81,DATOS_[Sexo],$B82,DATOS_[Check Periodo Ref.],"Dentro",DATOS_[Check Nº SC Anualiz],"Sí")</f>
        <v>0</v>
      </c>
      <c r="G82" s="291" t="n">
        <f aca="false">COUNTIFS(DATOS_[AGRUP. CLAS. PROF.],$B81,DATOS_[Sexo],$B82,DATOS_[Check Periodo Ref.],"Dentro",DATOS_[Check Nº SC Norm y Anualiz],"Sí")</f>
        <v>0</v>
      </c>
      <c r="H82" s="291" t="n">
        <f aca="false">COUNTIFS(DATOS_[AGRUP. CLAS. PROF.],$B81,DATOS_[Sexo],$B82,DATOS_[Check Periodo Ref.],"Dentro",DATOS_[Check Equiparación],"Sí")</f>
        <v>0</v>
      </c>
      <c r="I82" s="292" t="n">
        <f aca="false" t="array" ref="I82:I82">IFERROR( AVERAGE(IF(DATOS_[Sexo]=$B82,IF(DATOS_[[AGRUP. CLAS. PROF.]:[AGRUP. CLAS. PROF.]]=$B81,IF(DATOS_[Check Equiparado]="Sí",IF(DATOS_[Check Periodo Ref.]="Dentro",DATOS_[SALARIO BASE Eq],0))))), 0)</f>
        <v>0</v>
      </c>
      <c r="J82" s="302" t="n">
        <f aca="false" t="array" ref="J82:J82">IFERROR( (AVERAGE((IF(DATOS_[[Sexo]:[Sexo]]=$B82,IF(DATOS_[[AGRUP. CLAS. PROF.]:[AGRUP. CLAS. PROF.]]=$B81,IF(DATOS_[[Check Periodo Ref.]:[Check Periodo Ref.]]="Dentro",IF(DATOS_[[Check Equiparado]:[Check Equiparado]]="Sí",IF(DATOS!AE$4="Sí",(1/DATOS_[[% anualiz]:[% anualiz]]),1)*IF(DATOS!AE$5="Sí",1/DATOS_[[% normaliz]:[% normaliz]],1)*(DATOS_[Conc.Sal.01])))))))), 0)</f>
        <v>0</v>
      </c>
      <c r="K82" s="302" t="n">
        <f aca="false" t="array" ref="K82:K82">IFERROR( (AVERAGE((IF(DATOS_[[Sexo]:[Sexo]]=$B82,IF(DATOS_[[AGRUP. CLAS. PROF.]:[AGRUP. CLAS. PROF.]]=$B81,IF(DATOS_[[Check Periodo Ref.]:[Check Periodo Ref.]]="Dentro",IF(DATOS_[[Check Equiparado]:[Check Equiparado]]="Sí",IF(DATOS!AF$4="Sí",(1/DATOS_[[% anualiz]:[% anualiz]]),1)*IF(DATOS!AF$5="Sí",1/DATOS_[[% normaliz]:[% normaliz]],1)*(DATOS_[Conc.Sal.02])))))))), 0)</f>
        <v>0</v>
      </c>
      <c r="L82" s="302" t="n">
        <f aca="false" t="array" ref="L82:L82">IFERROR( (AVERAGE((IF(DATOS_[[Sexo]:[Sexo]]=$B82,IF(DATOS_[[AGRUP. CLAS. PROF.]:[AGRUP. CLAS. PROF.]]=$B81,IF(DATOS_[[Check Periodo Ref.]:[Check Periodo Ref.]]="Dentro",IF(DATOS_[[Check Equiparado]:[Check Equiparado]]="Sí",IF(DATOS!AG$4="Sí",(1/DATOS_[[% anualiz]:[% anualiz]]),1)*IF(DATOS!AG$5="Sí",1/DATOS_[[% normaliz]:[% normaliz]],1)*(DATOS_[Conc.Sal.03])))))))), 0)</f>
        <v>0</v>
      </c>
      <c r="M82" s="302" t="n">
        <f aca="false" t="array" ref="M82:M82">IFERROR( (AVERAGE((IF(DATOS_[[Sexo]:[Sexo]]=$B82,IF(DATOS_[[AGRUP. CLAS. PROF.]:[AGRUP. CLAS. PROF.]]=$B81,IF(DATOS_[[Check Periodo Ref.]:[Check Periodo Ref.]]="Dentro",IF(DATOS_[[Check Equiparado]:[Check Equiparado]]="Sí",IF(DATOS!AH$4="Sí",(1/DATOS_[[% anualiz]:[% anualiz]]),1)*IF(DATOS!AH$5="Sí",1/DATOS_[[% normaliz]:[% normaliz]],1)*(DATOS_[Conc.Sal.04])))))))), 0)</f>
        <v>0</v>
      </c>
      <c r="N82" s="302" t="n">
        <f aca="false" t="array" ref="N82:N82">IFERROR( (AVERAGE((IF(DATOS_[[Sexo]:[Sexo]]=$B82,IF(DATOS_[[AGRUP. CLAS. PROF.]:[AGRUP. CLAS. PROF.]]=$B81,IF(DATOS_[[Check Periodo Ref.]:[Check Periodo Ref.]]="Dentro",IF(DATOS_[[Check Equiparado]:[Check Equiparado]]="Sí",IF(DATOS!AI$4="Sí",(1/DATOS_[[% anualiz]:[% anualiz]]),1)*IF(DATOS!AI$5="Sí",1/DATOS_[[% normaliz]:[% normaliz]],1)*(DATOS_[Conc.Sal.05])))))))), 0)</f>
        <v>0</v>
      </c>
      <c r="O82" s="302" t="n">
        <f aca="false" t="array" ref="O82:O82">IFERROR( (AVERAGE((IF(DATOS_[[Sexo]:[Sexo]]=$B82,IF(DATOS_[[AGRUP. CLAS. PROF.]:[AGRUP. CLAS. PROF.]]=$B81,IF(DATOS_[[Check Periodo Ref.]:[Check Periodo Ref.]]="Dentro",IF(DATOS_[[Check Equiparado]:[Check Equiparado]]="Sí",IF(DATOS!AJ$4="Sí",(1/DATOS_[[% anualiz]:[% anualiz]]),1)*IF(DATOS!AJ$5="Sí",1/DATOS_[[% normaliz]:[% normaliz]],1)*(DATOS_[Conc.Sal.06])))))))), 0)</f>
        <v>0</v>
      </c>
      <c r="P82" s="302" t="n">
        <f aca="false" t="array" ref="P82:P82">IFERROR( (AVERAGE((IF(DATOS_[[Sexo]:[Sexo]]=$B82,IF(DATOS_[[AGRUP. CLAS. PROF.]:[AGRUP. CLAS. PROF.]]=$B81,IF(DATOS_[[Check Periodo Ref.]:[Check Periodo Ref.]]="Dentro",IF(DATOS_[[Check Equiparado]:[Check Equiparado]]="Sí",IF(DATOS!AK$4="Sí",(1/DATOS_[[% anualiz]:[% anualiz]]),1)*IF(DATOS!AK$5="Sí",1/DATOS_[[% normaliz]:[% normaliz]],1)*(DATOS_[Conc.Sal.07])))))))), 0)</f>
        <v>0</v>
      </c>
      <c r="Q82" s="302" t="n">
        <f aca="false" t="array" ref="Q82:Q82">IFERROR( (AVERAGE((IF(DATOS_[[Sexo]:[Sexo]]=$B82,IF(DATOS_[[AGRUP. CLAS. PROF.]:[AGRUP. CLAS. PROF.]]=$B81,IF(DATOS_[[Check Periodo Ref.]:[Check Periodo Ref.]]="Dentro",IF(DATOS_[[Check Equiparado]:[Check Equiparado]]="Sí",IF(DATOS!AL$4="Sí",(1/DATOS_[[% anualiz]:[% anualiz]]),1)*IF(DATOS!AL$5="Sí",1/DATOS_[[% normaliz]:[% normaliz]],1)*(DATOS_[Conc.Sal.08])))))))), 0)</f>
        <v>0</v>
      </c>
      <c r="R82" s="302" t="n">
        <f aca="false" t="array" ref="R82:R82">IFERROR( (AVERAGE((IF(DATOS_[[Sexo]:[Sexo]]=$B82,IF(DATOS_[[AGRUP. CLAS. PROF.]:[AGRUP. CLAS. PROF.]]=$B81,IF(DATOS_[[Check Periodo Ref.]:[Check Periodo Ref.]]="Dentro",IF(DATOS_[[Check Equiparado]:[Check Equiparado]]="Sí",IF(DATOS!AM$4="Sí",(1/DATOS_[[% anualiz]:[% anualiz]]),1)*IF(DATOS!AM$5="Sí",1/DATOS_[[% normaliz]:[% normaliz]],1)*(DATOS_[Conc.Sal.09])))))))), 0)</f>
        <v>0</v>
      </c>
      <c r="S82" s="302" t="n">
        <f aca="false" t="array" ref="S82:S82">IFERROR( (AVERAGE((IF(DATOS_[[Sexo]:[Sexo]]=$B82,IF(DATOS_[[AGRUP. CLAS. PROF.]:[AGRUP. CLAS. PROF.]]=$B81,IF(DATOS_[[Check Periodo Ref.]:[Check Periodo Ref.]]="Dentro",IF(DATOS_[[Check Equiparado]:[Check Equiparado]]="Sí",IF(DATOS!AN$4="Sí",(1/DATOS_[[% anualiz]:[% anualiz]]),1)*IF(DATOS!AN$5="Sí",1/DATOS_[[% normaliz]:[% normaliz]],1)*(DATOS_[Conc.Sal.10])))))))), 0)</f>
        <v>0</v>
      </c>
      <c r="T82" s="302" t="n">
        <f aca="false" t="array" ref="T82:T82">IFERROR( (AVERAGE((IF(DATOS_[[Sexo]:[Sexo]]=$B82,IF(DATOS_[[AGRUP. CLAS. PROF.]:[AGRUP. CLAS. PROF.]]=$B81,IF(DATOS_[[Check Periodo Ref.]:[Check Periodo Ref.]]="Dentro",IF(DATOS_[[Check Equiparado]:[Check Equiparado]]="Sí",IF(DATOS!AO$4="Sí",(1/DATOS_[[% anualiz]:[% anualiz]]),1)*IF(DATOS!AO$5="Sí",1/DATOS_[[% normaliz]:[% normaliz]],1)*(DATOS_[Conc.Sal.11])))))))), 0)</f>
        <v>0</v>
      </c>
      <c r="U82" s="302" t="n">
        <f aca="false" t="array" ref="U82:U82">IFERROR( (AVERAGE((IF(DATOS_[[Sexo]:[Sexo]]=$B82,IF(DATOS_[[AGRUP. CLAS. PROF.]:[AGRUP. CLAS. PROF.]]=$B81,IF(DATOS_[[Check Periodo Ref.]:[Check Periodo Ref.]]="Dentro",IF(DATOS_[[Check Equiparado]:[Check Equiparado]]="Sí",IF(DATOS!AP$4="Sí",(1/DATOS_[[% anualiz]:[% anualiz]]),1)*IF(DATOS!AP$5="Sí",1/DATOS_[[% normaliz]:[% normaliz]],1)*(DATOS_[Conc.Sal.12])))))))), 0)</f>
        <v>0</v>
      </c>
      <c r="V82" s="302" t="n">
        <f aca="false" t="array" ref="V82:V82">IFERROR( (AVERAGE((IF(DATOS_[[Sexo]:[Sexo]]=$B82,IF(DATOS_[[AGRUP. CLAS. PROF.]:[AGRUP. CLAS. PROF.]]=$B81,IF(DATOS_[[Check Periodo Ref.]:[Check Periodo Ref.]]="Dentro",IF(DATOS_[[Check Equiparado]:[Check Equiparado]]="Sí",IF(DATOS!AQ$4="Sí",(1/DATOS_[[% anualiz]:[% anualiz]]),1)*IF(DATOS!AQ$5="Sí",1/DATOS_[[% normaliz]:[% normaliz]],1)*(DATOS_[Conc.Sal.13])))))))), 0)</f>
        <v>0</v>
      </c>
      <c r="W82" s="302" t="n">
        <f aca="false" t="array" ref="W82:W82">IFERROR( (AVERAGE((IF(DATOS_[[Sexo]:[Sexo]]=$B82,IF(DATOS_[[AGRUP. CLAS. PROF.]:[AGRUP. CLAS. PROF.]]=$B81,IF(DATOS_[[Check Periodo Ref.]:[Check Periodo Ref.]]="Dentro",IF(DATOS_[[Check Equiparado]:[Check Equiparado]]="Sí",IF(DATOS!AR$4="Sí",(1/DATOS_[[% anualiz]:[% anualiz]]),1)*IF(DATOS!AR$5="Sí",1/DATOS_[[% normaliz]:[% normaliz]],1)*(DATOS_[Conc.Sal.14])))))))), 0)</f>
        <v>0</v>
      </c>
      <c r="X82" s="302" t="n">
        <f aca="false" t="array" ref="X82:X82">IFERROR( (AVERAGE((IF(DATOS_[[Sexo]:[Sexo]]=$B82,IF(DATOS_[[AGRUP. CLAS. PROF.]:[AGRUP. CLAS. PROF.]]=$B81,IF(DATOS_[[Check Periodo Ref.]:[Check Periodo Ref.]]="Dentro",IF(DATOS_[[Check Equiparado]:[Check Equiparado]]="Sí",IF(DATOS!AS$4="Sí",(1/DATOS_[[% anualiz]:[% anualiz]]),1)*IF(DATOS!AS$5="Sí",1/DATOS_[[% normaliz]:[% normaliz]],1)*(DATOS_[Conc.Sal.15])))))))), 0)</f>
        <v>0</v>
      </c>
      <c r="Y82" s="302" t="n">
        <f aca="false" t="array" ref="Y82:Y82">IFERROR( (AVERAGE((IF(DATOS_[[Sexo]:[Sexo]]=$B82,IF(DATOS_[[AGRUP. CLAS. PROF.]:[AGRUP. CLAS. PROF.]]=$B81,IF(DATOS_[[Check Periodo Ref.]:[Check Periodo Ref.]]="Dentro",IF(DATOS_[[Check Equiparado]:[Check Equiparado]]="Sí",IF(DATOS!AT$4="Sí",(1/DATOS_[[% anualiz]:[% anualiz]]),1)*IF(DATOS!AT$5="Sí",1/DATOS_[[% normaliz]:[% normaliz]],1)*(DATOS_[Conc.Sal.16])))))))), 0)</f>
        <v>0</v>
      </c>
      <c r="Z82" s="302" t="n">
        <f aca="false" t="array" ref="Z82:Z82">IFERROR( (AVERAGE((IF(DATOS_[[Sexo]:[Sexo]]=$B82,IF(DATOS_[[AGRUP. CLAS. PROF.]:[AGRUP. CLAS. PROF.]]=$B81,IF(DATOS_[[Check Periodo Ref.]:[Check Periodo Ref.]]="Dentro",IF(DATOS_[[Check Equiparado]:[Check Equiparado]]="Sí",IF(DATOS!AU$4="Sí",(1/DATOS_[[% anualiz]:[% anualiz]]),1)*IF(DATOS!AU$5="Sí",1/DATOS_[[% normaliz]:[% normaliz]],1)*(DATOS_[Conc.Sal.17])))))))), 0)</f>
        <v>0</v>
      </c>
      <c r="AA82" s="302" t="n">
        <f aca="false" t="array" ref="AA82:AA82">IFERROR( (AVERAGE((IF(DATOS_[[Sexo]:[Sexo]]=$B82,IF(DATOS_[[AGRUP. CLAS. PROF.]:[AGRUP. CLAS. PROF.]]=$B81,IF(DATOS_[[Check Periodo Ref.]:[Check Periodo Ref.]]="Dentro",IF(DATOS_[[Check Equiparado]:[Check Equiparado]]="Sí",IF(DATOS!AV$4="Sí",(1/DATOS_[[% anualiz]:[% anualiz]]),1)*IF(DATOS!AV$5="Sí",1/DATOS_[[% normaliz]:[% normaliz]],1)*(DATOS_[Conc.Sal.18])))))))), 0)</f>
        <v>0</v>
      </c>
      <c r="AB82" s="302" t="n">
        <f aca="false" t="array" ref="AB82:AB82">IFERROR( (AVERAGE((IF(DATOS_[[Sexo]:[Sexo]]=$B82,IF(DATOS_[[AGRUP. CLAS. PROF.]:[AGRUP. CLAS. PROF.]]=$B81,IF(DATOS_[[Check Periodo Ref.]:[Check Periodo Ref.]]="Dentro",IF(DATOS_[[Check Equiparado]:[Check Equiparado]]="Sí",IF(DATOS!AW$4="Sí",(1/DATOS_[[% anualiz]:[% anualiz]]),1)*IF(DATOS!AW$5="Sí",1/DATOS_[[% normaliz]:[% normaliz]],1)*(DATOS_[Conc.Sal.19])))))))), 0)</f>
        <v>0</v>
      </c>
      <c r="AC82" s="302" t="n">
        <f aca="false" t="array" ref="AC82:AC82">IFERROR( (AVERAGE((IF(DATOS_[[Sexo]:[Sexo]]=$B82,IF(DATOS_[[AGRUP. CLAS. PROF.]:[AGRUP. CLAS. PROF.]]=$B81,IF(DATOS_[[Check Periodo Ref.]:[Check Periodo Ref.]]="Dentro",IF(DATOS_[[Check Equiparado]:[Check Equiparado]]="Sí",IF(DATOS!AX$4="Sí",(1/DATOS_[[% anualiz]:[% anualiz]]),1)*IF(DATOS!AX$5="Sí",1/DATOS_[[% normaliz]:[% normaliz]],1)*(DATOS_[Conc.Sal.20])))))))), 0)</f>
        <v>0</v>
      </c>
      <c r="AD82" s="302" t="n">
        <f aca="false" t="array" ref="AD82:AD82">IFERROR( (AVERAGE((IF(DATOS_[[Sexo]:[Sexo]]=$B82,IF(DATOS_[[AGRUP. CLAS. PROF.]:[AGRUP. CLAS. PROF.]]=$B81,IF(DATOS_[[Check Periodo Ref.]:[Check Periodo Ref.]]="Dentro",IF(DATOS_[[Check Equiparado]:[Check Equiparado]]="Sí",IF(DATOS!AY$4="Sí",(1/DATOS_[[% anualiz]:[% anualiz]]),1)*IF(DATOS!AY$5="Sí",1/DATOS_[[% normaliz]:[% normaliz]],1)*(DATOS_[Conc.Sal.21])))))))), 0)</f>
        <v>0</v>
      </c>
      <c r="AE82" s="302" t="n">
        <f aca="false" t="array" ref="AE82:AE82">IFERROR( (AVERAGE((IF(DATOS_[[Sexo]:[Sexo]]=$B82,IF(DATOS_[[AGRUP. CLAS. PROF.]:[AGRUP. CLAS. PROF.]]=$B81,IF(DATOS_[[Check Periodo Ref.]:[Check Periodo Ref.]]="Dentro",IF(DATOS_[[Check Equiparado]:[Check Equiparado]]="Sí",IF(DATOS!AZ$4="Sí",(1/DATOS_[[% anualiz]:[% anualiz]]),1)*IF(DATOS!AZ$5="Sí",1/DATOS_[[% normaliz]:[% normaliz]],1)*(DATOS_[Conc.Sal.22])))))))), 0)</f>
        <v>0</v>
      </c>
      <c r="AF82" s="302" t="n">
        <f aca="false" t="array" ref="AF82:AF82">IFERROR( (AVERAGE((IF(DATOS_[[Sexo]:[Sexo]]=$B82,IF(DATOS_[[AGRUP. CLAS. PROF.]:[AGRUP. CLAS. PROF.]]=$B81,IF(DATOS_[[Check Periodo Ref.]:[Check Periodo Ref.]]="Dentro",IF(DATOS_[[Check Equiparado]:[Check Equiparado]]="Sí",IF(DATOS!BA$4="Sí",(1/DATOS_[[% anualiz]:[% anualiz]]),1)*IF(DATOS!BA$5="Sí",1/DATOS_[[% normaliz]:[% normaliz]],1)*(DATOS_[Conc.Sal.23])))))))), 0)</f>
        <v>0</v>
      </c>
      <c r="AG82" s="302" t="n">
        <f aca="false" t="array" ref="AG82:AG82">IFERROR( (AVERAGE((IF(DATOS_[[Sexo]:[Sexo]]=$B82,IF(DATOS_[[AGRUP. CLAS. PROF.]:[AGRUP. CLAS. PROF.]]=$B81,IF(DATOS_[[Check Periodo Ref.]:[Check Periodo Ref.]]="Dentro",IF(DATOS_[[Check Equiparado]:[Check Equiparado]]="Sí",IF(DATOS!BB$4="Sí",(1/DATOS_[[% anualiz]:[% anualiz]]),1)*IF(DATOS!BB$5="Sí",1/DATOS_[[% normaliz]:[% normaliz]],1)*(DATOS_[Conc.Sal.24])))))))), 0)</f>
        <v>0</v>
      </c>
      <c r="AH82" s="302" t="n">
        <f aca="false" t="array" ref="AH82:AH82">IFERROR( (AVERAGE((IF(DATOS_[[Sexo]:[Sexo]]=$B82,IF(DATOS_[[AGRUP. CLAS. PROF.]:[AGRUP. CLAS. PROF.]]=$B81,IF(DATOS_[[Check Periodo Ref.]:[Check Periodo Ref.]]="Dentro",IF(DATOS_[[Check Equiparado]:[Check Equiparado]]="Sí",IF(DATOS!BC$4="Sí",(1/DATOS_[[% anualiz]:[% anualiz]]),1)*IF(DATOS!BC$5="Sí",1/DATOS_[[% normaliz]:[% normaliz]],1)*(DATOS_[Conc.Sal.25])))))))), 0)</f>
        <v>0</v>
      </c>
      <c r="AI82" s="302" t="n">
        <f aca="false" t="array" ref="AI82:AI82">IFERROR( (AVERAGE((IF(DATOS_[[Sexo]:[Sexo]]=$B82,IF(DATOS_[[AGRUP. CLAS. PROF.]:[AGRUP. CLAS. PROF.]]=$B81,IF(DATOS_[[Check Periodo Ref.]:[Check Periodo Ref.]]="Dentro",IF(DATOS_[[Check Equiparado]:[Check Equiparado]]="Sí",IF(DATOS!BD$4="Sí",(1/DATOS_[[% anualiz]:[% anualiz]]),1)*IF(DATOS!BD$5="Sí",1/DATOS_[[% normaliz]:[% normaliz]],1)*(DATOS_[Conc.Sal.26])))))))), 0)</f>
        <v>0</v>
      </c>
      <c r="AJ82" s="302" t="n">
        <f aca="false" t="array" ref="AJ82:AJ82">IFERROR( (AVERAGE((IF(DATOS_[[Sexo]:[Sexo]]=$B82,IF(DATOS_[[AGRUP. CLAS. PROF.]:[AGRUP. CLAS. PROF.]]=$B81,IF(DATOS_[[Check Periodo Ref.]:[Check Periodo Ref.]]="Dentro",IF(DATOS_[[Check Equiparado]:[Check Equiparado]]="Sí",IF(DATOS!BE$4="Sí",(1/DATOS_[[% anualiz]:[% anualiz]]),1)*IF(DATOS!BE$5="Sí",1/DATOS_[[% normaliz]:[% normaliz]],1)*(DATOS_[Conc.Sal.27])))))))), 0)</f>
        <v>0</v>
      </c>
      <c r="AK82" s="302" t="n">
        <f aca="false" t="array" ref="AK82:AK82">IFERROR( (AVERAGE((IF(DATOS_[[Sexo]:[Sexo]]=$B82,IF(DATOS_[[AGRUP. CLAS. PROF.]:[AGRUP. CLAS. PROF.]]=$B81,IF(DATOS_[[Check Periodo Ref.]:[Check Periodo Ref.]]="Dentro",IF(DATOS_[[Check Equiparado]:[Check Equiparado]]="Sí",IF(DATOS!BF$4="Sí",(1/DATOS_[[% anualiz]:[% anualiz]]),1)*IF(DATOS!BF$5="Sí",1/DATOS_[[% normaliz]:[% normaliz]],1)*(DATOS_[Conc.Sal.28])))))))), 0)</f>
        <v>0</v>
      </c>
      <c r="AL82" s="302" t="n">
        <f aca="false" t="array" ref="AL82:AL82">IFERROR( (AVERAGE((IF(DATOS_[[Sexo]:[Sexo]]=$B82,IF(DATOS_[[AGRUP. CLAS. PROF.]:[AGRUP. CLAS. PROF.]]=$B81,IF(DATOS_[[Check Periodo Ref.]:[Check Periodo Ref.]]="Dentro",IF(DATOS_[[Check Equiparado]:[Check Equiparado]]="Sí",IF(DATOS!BG$4="Sí",(1/DATOS_[[% anualiz]:[% anualiz]]),1)*IF(DATOS!BG$5="Sí",1/DATOS_[[% normaliz]:[% normaliz]],1)*(DATOS_[Conc.Sal.29])))))))), 0)</f>
        <v>0</v>
      </c>
      <c r="AM82" s="302" t="n">
        <f aca="false" t="array" ref="AM82:AM82">IFERROR( (AVERAGE((IF(DATOS_[[Sexo]:[Sexo]]=$B82,IF(DATOS_[[AGRUP. CLAS. PROF.]:[AGRUP. CLAS. PROF.]]=$B81,IF(DATOS_[[Check Periodo Ref.]:[Check Periodo Ref.]]="Dentro",IF(DATOS_[[Check Equiparado]:[Check Equiparado]]="Sí",IF(DATOS!BH$4="Sí",(1/DATOS_[[% anualiz]:[% anualiz]]),1)*IF(DATOS!BH$5="Sí",1/DATOS_[[% normaliz]:[% normaliz]],1)*(DATOS_[Conc.Sal.30])))))))), 0)</f>
        <v>0</v>
      </c>
      <c r="AN82" s="294" t="n">
        <f aca="false" t="array" ref="AN82:AN82">IFERROR( AVERAGE(IF(DATOS_[Sexo]=$B82,IF(DATOS_[[AGRUP. CLAS. PROF.]:[AGRUP. CLAS. PROF.]]=$B81,IF(DATOS_[Check Equiparado]="Sí",IF(DATOS_[Check Periodo Ref.]="Dentro",DATOS_[Tot COMPL.SAL Eq],0))))), 0)</f>
        <v>0</v>
      </c>
      <c r="AO82" s="295" t="n">
        <f aca="false" t="array" ref="AO82:AO82">IFERROR( AVERAGE(IF(DATOS_[Sexo]=$B82,IF(DATOS_[[AGRUP. CLAS. PROF.]:[AGRUP. CLAS. PROF.]]=$B81,IF(DATOS_[Check Equiparado]="Sí",IF(DATOS_[Check Periodo Ref.]="Dentro",DATOS_[TOTAL SALARIO Eq],0))))), 0)</f>
        <v>0</v>
      </c>
      <c r="AP82" s="303" t="n">
        <f aca="false" t="array" ref="AP82:AP82">IFERROR( (AVERAGE((IF(DATOS_[[Sexo]:[Sexo]]=$B82,IF(DATOS_[[AGRUP. CLAS. PROF.]:[AGRUP. CLAS. PROF.]]=$B81,IF(DATOS_[[Check Periodo Ref.]:[Check Periodo Ref.]]="Dentro",IF(DATOS_[[Check Equiparado]:[Check Equiparado]]="Sí",IF(DATOS!BI$4="Sí",(1/DATOS_[[% anualiz]:[% anualiz]]),1)*IF(DATOS!BI$5="Sí",1/DATOS_[[% normaliz]:[% normaliz]],1)*(DATOS_[C.Extra.01])))))))), 0)</f>
        <v>0</v>
      </c>
      <c r="AQ82" s="303" t="n">
        <f aca="false" t="array" ref="AQ82:AQ82">IFERROR( (AVERAGE((IF(DATOS_[[Sexo]:[Sexo]]=$B82,IF(DATOS_[[AGRUP. CLAS. PROF.]:[AGRUP. CLAS. PROF.]]=$B81,IF(DATOS_[[Check Periodo Ref.]:[Check Periodo Ref.]]="Dentro",IF(DATOS_[[Check Equiparado]:[Check Equiparado]]="Sí",IF(DATOS!BJ$4="Sí",(1/DATOS_[[% anualiz]:[% anualiz]]),1)*IF(DATOS!BJ$5="Sí",1/DATOS_[[% normaliz]:[% normaliz]],1)*(DATOS_[C.Extra.02])))))))), 0)</f>
        <v>0</v>
      </c>
      <c r="AR82" s="303" t="n">
        <f aca="false" t="array" ref="AR82:AR82">IFERROR( (AVERAGE((IF(DATOS_[[Sexo]:[Sexo]]=$B82,IF(DATOS_[[AGRUP. CLAS. PROF.]:[AGRUP. CLAS. PROF.]]=$B81,IF(DATOS_[[Check Periodo Ref.]:[Check Periodo Ref.]]="Dentro",IF(DATOS_[[Check Equiparado]:[Check Equiparado]]="Sí",IF(DATOS!BK$4="Sí",(1/DATOS_[[% anualiz]:[% anualiz]]),1)*IF(DATOS!BK$5="Sí",1/DATOS_[[% normaliz]:[% normaliz]],1)*(DATOS_[C.Extra.03])))))))), 0)</f>
        <v>0</v>
      </c>
      <c r="AS82" s="303" t="n">
        <f aca="false" t="array" ref="AS82:AS82">IFERROR( (AVERAGE((IF(DATOS_[[Sexo]:[Sexo]]=$B82,IF(DATOS_[[AGRUP. CLAS. PROF.]:[AGRUP. CLAS. PROF.]]=$B81,IF(DATOS_[[Check Periodo Ref.]:[Check Periodo Ref.]]="Dentro",IF(DATOS_[[Check Equiparado]:[Check Equiparado]]="Sí",IF(DATOS!BL$4="Sí",(1/DATOS_[[% anualiz]:[% anualiz]]),1)*IF(DATOS!BL$5="Sí",1/DATOS_[[% normaliz]:[% normaliz]],1)*(DATOS_[C.Extra.04])))))))), 0)</f>
        <v>0</v>
      </c>
      <c r="AT82" s="303" t="n">
        <f aca="false" t="array" ref="AT82:AT82">IFERROR( (AVERAGE((IF(DATOS_[[Sexo]:[Sexo]]=$B82,IF(DATOS_[[AGRUP. CLAS. PROF.]:[AGRUP. CLAS. PROF.]]=$B81,IF(DATOS_[[Check Periodo Ref.]:[Check Periodo Ref.]]="Dentro",IF(DATOS_[[Check Equiparado]:[Check Equiparado]]="Sí",IF(DATOS!BM$4="Sí",(1/DATOS_[[% anualiz]:[% anualiz]]),1)*IF(DATOS!BM$5="Sí",1/DATOS_[[% normaliz]:[% normaliz]],1)*(DATOS_[C.Extra.05])))))))), 0)</f>
        <v>0</v>
      </c>
      <c r="AU82" s="297" t="n">
        <f aca="false" t="array" ref="AU82:AU82">IFERROR( AVERAGE(IF(DATOS_[Sexo]=$B82,IF(DATOS_[[AGRUP. CLAS. PROF.]:[AGRUP. CLAS. PROF.]]=$B81,IF(DATOS_[Check Equiparado]="Sí",IF(DATOS_[Check Periodo Ref.]="Dentro",DATOS_[Tot Extrasalarial Eq],0))))), 0)</f>
        <v>0</v>
      </c>
      <c r="AV82" s="298" t="n">
        <f aca="false" t="array" ref="AV82:AV82">IFERROR( AVERAGE(IF(DATOS_[Sexo]=$B82,IF(DATOS_[[AGRUP. CLAS. PROF.]:[AGRUP. CLAS. PROF.]]=$B81,IF(DATOS_[Check Equiparado]="Sí",IF(DATOS_[Check Periodo Ref.]="Dentro",DATOS_[TOTAL Retrib Eq],0))))), 0)</f>
        <v>0</v>
      </c>
    </row>
    <row r="83" customFormat="false" ht="14.25" hidden="false" customHeight="false" outlineLevel="0" collapsed="false">
      <c r="A83" s="166" t="str">
        <f aca="false">+A82</f>
        <v>[ocultar]</v>
      </c>
      <c r="B83" s="289" t="s">
        <v>372</v>
      </c>
      <c r="C83" s="290" t="n">
        <f aca="false" t="array" ref="C83:C83">SUM(IF($B83=DATOS_[Sexo], IF($B81=DATOS_[AGRUP. CLAS. PROF.], IF("Dentro"=DATOS_[Check Periodo Ref.], 1/(COUNTIFS(DATOS_[Sexo],$B83,DATOS_[AGRUP. CLAS. PROF.],$B81,DATOS_[Check Periodo Ref.],"Dentro",DATOS_[id],DATOS_[id]))))))</f>
        <v>0</v>
      </c>
      <c r="D83" s="291" t="n">
        <f aca="false">COUNTIFS(DATOS_[AGRUP. CLAS. PROF.],$B81,DATOS_[Sexo],$B83,DATOS_[Check Periodo Ref.],"Dentro")</f>
        <v>0</v>
      </c>
      <c r="E83" s="291" t="n">
        <f aca="false">COUNTIFS(DATOS_[AGRUP. CLAS. PROF.],$B81,DATOS_[Sexo],$B83,DATOS_[Check Periodo Ref.],"Dentro",DATOS_[Check Nº SC Norm],"Sí")</f>
        <v>0</v>
      </c>
      <c r="F83" s="291" t="n">
        <f aca="false">COUNTIFS(DATOS_[AGRUP. CLAS. PROF.],$B81,DATOS_[Sexo],$B83,DATOS_[Check Periodo Ref.],"Dentro",DATOS_[Check Nº SC Anualiz],"Sí")</f>
        <v>0</v>
      </c>
      <c r="G83" s="291" t="n">
        <f aca="false">COUNTIFS(DATOS_[AGRUP. CLAS. PROF.],$B81,DATOS_[Sexo],$B83,DATOS_[Check Periodo Ref.],"Dentro",DATOS_[Check Nº SC Norm y Anualiz],"Sí")</f>
        <v>0</v>
      </c>
      <c r="H83" s="291" t="n">
        <f aca="false">COUNTIFS(DATOS_[AGRUP. CLAS. PROF.],$B81,DATOS_[Sexo],$B83,DATOS_[Check Periodo Ref.],"Dentro",DATOS_[Check Equiparación],"Sí")</f>
        <v>0</v>
      </c>
      <c r="I83" s="292" t="n">
        <f aca="false" t="array" ref="I83:I83">IFERROR( AVERAGE(IF(DATOS_[Sexo]=$B83,IF(DATOS_[[AGRUP. CLAS. PROF.]:[AGRUP. CLAS. PROF.]]=$B81,IF(DATOS_[Check Equiparado]="Sí",IF(DATOS_[Check Periodo Ref.]="Dentro",DATOS_[SALARIO BASE Eq],0))))), 0)</f>
        <v>0</v>
      </c>
      <c r="J83" s="302" t="n">
        <f aca="false" t="array" ref="J83:J83">IFERROR( (AVERAGE((IF(DATOS_[[Sexo]:[Sexo]]=$B83,IF(DATOS_[[AGRUP. CLAS. PROF.]:[AGRUP. CLAS. PROF.]]=$B81,IF(DATOS_[[Check Periodo Ref.]:[Check Periodo Ref.]]="Dentro",IF(DATOS_[[Check Equiparado]:[Check Equiparado]]="Sí",IF(DATOS!AE$4="Sí",(1/DATOS_[[% anualiz]:[% anualiz]]),1)*IF(DATOS!AE$5="Sí",1/DATOS_[[% normaliz]:[% normaliz]],1)*(DATOS_[Conc.Sal.01])))))))), 0)</f>
        <v>0</v>
      </c>
      <c r="K83" s="302" t="n">
        <f aca="false" t="array" ref="K83:K83">IFERROR( (AVERAGE((IF(DATOS_[[Sexo]:[Sexo]]=$B83,IF(DATOS_[[AGRUP. CLAS. PROF.]:[AGRUP. CLAS. PROF.]]=$B81,IF(DATOS_[[Check Periodo Ref.]:[Check Periodo Ref.]]="Dentro",IF(DATOS_[[Check Equiparado]:[Check Equiparado]]="Sí",IF(DATOS!AF$4="Sí",(1/DATOS_[[% anualiz]:[% anualiz]]),1)*IF(DATOS!AF$5="Sí",1/DATOS_[[% normaliz]:[% normaliz]],1)*(DATOS_[Conc.Sal.02])))))))), 0)</f>
        <v>0</v>
      </c>
      <c r="L83" s="302" t="n">
        <f aca="false" t="array" ref="L83:L83">IFERROR( (AVERAGE((IF(DATOS_[[Sexo]:[Sexo]]=$B83,IF(DATOS_[[AGRUP. CLAS. PROF.]:[AGRUP. CLAS. PROF.]]=$B81,IF(DATOS_[[Check Periodo Ref.]:[Check Periodo Ref.]]="Dentro",IF(DATOS_[[Check Equiparado]:[Check Equiparado]]="Sí",IF(DATOS!AG$4="Sí",(1/DATOS_[[% anualiz]:[% anualiz]]),1)*IF(DATOS!AG$5="Sí",1/DATOS_[[% normaliz]:[% normaliz]],1)*(DATOS_[Conc.Sal.03])))))))), 0)</f>
        <v>0</v>
      </c>
      <c r="M83" s="302" t="n">
        <f aca="false" t="array" ref="M83:M83">IFERROR( (AVERAGE((IF(DATOS_[[Sexo]:[Sexo]]=$B83,IF(DATOS_[[AGRUP. CLAS. PROF.]:[AGRUP. CLAS. PROF.]]=$B81,IF(DATOS_[[Check Periodo Ref.]:[Check Periodo Ref.]]="Dentro",IF(DATOS_[[Check Equiparado]:[Check Equiparado]]="Sí",IF(DATOS!AH$4="Sí",(1/DATOS_[[% anualiz]:[% anualiz]]),1)*IF(DATOS!AH$5="Sí",1/DATOS_[[% normaliz]:[% normaliz]],1)*(DATOS_[Conc.Sal.04])))))))), 0)</f>
        <v>0</v>
      </c>
      <c r="N83" s="302" t="n">
        <f aca="false" t="array" ref="N83:N83">IFERROR( (AVERAGE((IF(DATOS_[[Sexo]:[Sexo]]=$B83,IF(DATOS_[[AGRUP. CLAS. PROF.]:[AGRUP. CLAS. PROF.]]=$B81,IF(DATOS_[[Check Periodo Ref.]:[Check Periodo Ref.]]="Dentro",IF(DATOS_[[Check Equiparado]:[Check Equiparado]]="Sí",IF(DATOS!AI$4="Sí",(1/DATOS_[[% anualiz]:[% anualiz]]),1)*IF(DATOS!AI$5="Sí",1/DATOS_[[% normaliz]:[% normaliz]],1)*(DATOS_[Conc.Sal.05])))))))), 0)</f>
        <v>0</v>
      </c>
      <c r="O83" s="302" t="n">
        <f aca="false" t="array" ref="O83:O83">IFERROR( (AVERAGE((IF(DATOS_[[Sexo]:[Sexo]]=$B83,IF(DATOS_[[AGRUP. CLAS. PROF.]:[AGRUP. CLAS. PROF.]]=$B81,IF(DATOS_[[Check Periodo Ref.]:[Check Periodo Ref.]]="Dentro",IF(DATOS_[[Check Equiparado]:[Check Equiparado]]="Sí",IF(DATOS!AJ$4="Sí",(1/DATOS_[[% anualiz]:[% anualiz]]),1)*IF(DATOS!AJ$5="Sí",1/DATOS_[[% normaliz]:[% normaliz]],1)*(DATOS_[Conc.Sal.06])))))))), 0)</f>
        <v>0</v>
      </c>
      <c r="P83" s="302" t="n">
        <f aca="false" t="array" ref="P83:P83">IFERROR( (AVERAGE((IF(DATOS_[[Sexo]:[Sexo]]=$B83,IF(DATOS_[[AGRUP. CLAS. PROF.]:[AGRUP. CLAS. PROF.]]=$B81,IF(DATOS_[[Check Periodo Ref.]:[Check Periodo Ref.]]="Dentro",IF(DATOS_[[Check Equiparado]:[Check Equiparado]]="Sí",IF(DATOS!AK$4="Sí",(1/DATOS_[[% anualiz]:[% anualiz]]),1)*IF(DATOS!AK$5="Sí",1/DATOS_[[% normaliz]:[% normaliz]],1)*(DATOS_[Conc.Sal.07])))))))), 0)</f>
        <v>0</v>
      </c>
      <c r="Q83" s="302" t="n">
        <f aca="false" t="array" ref="Q83:Q83">IFERROR( (AVERAGE((IF(DATOS_[[Sexo]:[Sexo]]=$B83,IF(DATOS_[[AGRUP. CLAS. PROF.]:[AGRUP. CLAS. PROF.]]=$B81,IF(DATOS_[[Check Periodo Ref.]:[Check Periodo Ref.]]="Dentro",IF(DATOS_[[Check Equiparado]:[Check Equiparado]]="Sí",IF(DATOS!AL$4="Sí",(1/DATOS_[[% anualiz]:[% anualiz]]),1)*IF(DATOS!AL$5="Sí",1/DATOS_[[% normaliz]:[% normaliz]],1)*(DATOS_[Conc.Sal.08])))))))), 0)</f>
        <v>0</v>
      </c>
      <c r="R83" s="302" t="n">
        <f aca="false" t="array" ref="R83:R83">IFERROR( (AVERAGE((IF(DATOS_[[Sexo]:[Sexo]]=$B83,IF(DATOS_[[AGRUP. CLAS. PROF.]:[AGRUP. CLAS. PROF.]]=$B81,IF(DATOS_[[Check Periodo Ref.]:[Check Periodo Ref.]]="Dentro",IF(DATOS_[[Check Equiparado]:[Check Equiparado]]="Sí",IF(DATOS!AM$4="Sí",(1/DATOS_[[% anualiz]:[% anualiz]]),1)*IF(DATOS!AM$5="Sí",1/DATOS_[[% normaliz]:[% normaliz]],1)*(DATOS_[Conc.Sal.09])))))))), 0)</f>
        <v>0</v>
      </c>
      <c r="S83" s="302" t="n">
        <f aca="false" t="array" ref="S83:S83">IFERROR( (AVERAGE((IF(DATOS_[[Sexo]:[Sexo]]=$B83,IF(DATOS_[[AGRUP. CLAS. PROF.]:[AGRUP. CLAS. PROF.]]=$B81,IF(DATOS_[[Check Periodo Ref.]:[Check Periodo Ref.]]="Dentro",IF(DATOS_[[Check Equiparado]:[Check Equiparado]]="Sí",IF(DATOS!AN$4="Sí",(1/DATOS_[[% anualiz]:[% anualiz]]),1)*IF(DATOS!AN$5="Sí",1/DATOS_[[% normaliz]:[% normaliz]],1)*(DATOS_[Conc.Sal.10])))))))), 0)</f>
        <v>0</v>
      </c>
      <c r="T83" s="302" t="n">
        <f aca="false" t="array" ref="T83:T83">IFERROR( (AVERAGE((IF(DATOS_[[Sexo]:[Sexo]]=$B83,IF(DATOS_[[AGRUP. CLAS. PROF.]:[AGRUP. CLAS. PROF.]]=$B81,IF(DATOS_[[Check Periodo Ref.]:[Check Periodo Ref.]]="Dentro",IF(DATOS_[[Check Equiparado]:[Check Equiparado]]="Sí",IF(DATOS!AO$4="Sí",(1/DATOS_[[% anualiz]:[% anualiz]]),1)*IF(DATOS!AO$5="Sí",1/DATOS_[[% normaliz]:[% normaliz]],1)*(DATOS_[Conc.Sal.11])))))))), 0)</f>
        <v>0</v>
      </c>
      <c r="U83" s="302" t="n">
        <f aca="false" t="array" ref="U83:U83">IFERROR( (AVERAGE((IF(DATOS_[[Sexo]:[Sexo]]=$B83,IF(DATOS_[[AGRUP. CLAS. PROF.]:[AGRUP. CLAS. PROF.]]=$B81,IF(DATOS_[[Check Periodo Ref.]:[Check Periodo Ref.]]="Dentro",IF(DATOS_[[Check Equiparado]:[Check Equiparado]]="Sí",IF(DATOS!AP$4="Sí",(1/DATOS_[[% anualiz]:[% anualiz]]),1)*IF(DATOS!AP$5="Sí",1/DATOS_[[% normaliz]:[% normaliz]],1)*(DATOS_[Conc.Sal.12])))))))), 0)</f>
        <v>0</v>
      </c>
      <c r="V83" s="302" t="n">
        <f aca="false" t="array" ref="V83:V83">IFERROR( (AVERAGE((IF(DATOS_[[Sexo]:[Sexo]]=$B83,IF(DATOS_[[AGRUP. CLAS. PROF.]:[AGRUP. CLAS. PROF.]]=$B81,IF(DATOS_[[Check Periodo Ref.]:[Check Periodo Ref.]]="Dentro",IF(DATOS_[[Check Equiparado]:[Check Equiparado]]="Sí",IF(DATOS!AQ$4="Sí",(1/DATOS_[[% anualiz]:[% anualiz]]),1)*IF(DATOS!AQ$5="Sí",1/DATOS_[[% normaliz]:[% normaliz]],1)*(DATOS_[Conc.Sal.13])))))))), 0)</f>
        <v>0</v>
      </c>
      <c r="W83" s="302" t="n">
        <f aca="false" t="array" ref="W83:W83">IFERROR( (AVERAGE((IF(DATOS_[[Sexo]:[Sexo]]=$B83,IF(DATOS_[[AGRUP. CLAS. PROF.]:[AGRUP. CLAS. PROF.]]=$B81,IF(DATOS_[[Check Periodo Ref.]:[Check Periodo Ref.]]="Dentro",IF(DATOS_[[Check Equiparado]:[Check Equiparado]]="Sí",IF(DATOS!AR$4="Sí",(1/DATOS_[[% anualiz]:[% anualiz]]),1)*IF(DATOS!AR$5="Sí",1/DATOS_[[% normaliz]:[% normaliz]],1)*(DATOS_[Conc.Sal.14])))))))), 0)</f>
        <v>0</v>
      </c>
      <c r="X83" s="302" t="n">
        <f aca="false" t="array" ref="X83:X83">IFERROR( (AVERAGE((IF(DATOS_[[Sexo]:[Sexo]]=$B83,IF(DATOS_[[AGRUP. CLAS. PROF.]:[AGRUP. CLAS. PROF.]]=$B81,IF(DATOS_[[Check Periodo Ref.]:[Check Periodo Ref.]]="Dentro",IF(DATOS_[[Check Equiparado]:[Check Equiparado]]="Sí",IF(DATOS!AS$4="Sí",(1/DATOS_[[% anualiz]:[% anualiz]]),1)*IF(DATOS!AS$5="Sí",1/DATOS_[[% normaliz]:[% normaliz]],1)*(DATOS_[Conc.Sal.15])))))))), 0)</f>
        <v>0</v>
      </c>
      <c r="Y83" s="302" t="n">
        <f aca="false" t="array" ref="Y83:Y83">IFERROR( (AVERAGE((IF(DATOS_[[Sexo]:[Sexo]]=$B83,IF(DATOS_[[AGRUP. CLAS. PROF.]:[AGRUP. CLAS. PROF.]]=$B81,IF(DATOS_[[Check Periodo Ref.]:[Check Periodo Ref.]]="Dentro",IF(DATOS_[[Check Equiparado]:[Check Equiparado]]="Sí",IF(DATOS!AT$4="Sí",(1/DATOS_[[% anualiz]:[% anualiz]]),1)*IF(DATOS!AT$5="Sí",1/DATOS_[[% normaliz]:[% normaliz]],1)*(DATOS_[Conc.Sal.16])))))))), 0)</f>
        <v>0</v>
      </c>
      <c r="Z83" s="302" t="n">
        <f aca="false" t="array" ref="Z83:Z83">IFERROR( (AVERAGE((IF(DATOS_[[Sexo]:[Sexo]]=$B83,IF(DATOS_[[AGRUP. CLAS. PROF.]:[AGRUP. CLAS. PROF.]]=$B81,IF(DATOS_[[Check Periodo Ref.]:[Check Periodo Ref.]]="Dentro",IF(DATOS_[[Check Equiparado]:[Check Equiparado]]="Sí",IF(DATOS!AU$4="Sí",(1/DATOS_[[% anualiz]:[% anualiz]]),1)*IF(DATOS!AU$5="Sí",1/DATOS_[[% normaliz]:[% normaliz]],1)*(DATOS_[Conc.Sal.17])))))))), 0)</f>
        <v>0</v>
      </c>
      <c r="AA83" s="302" t="n">
        <f aca="false" t="array" ref="AA83:AA83">IFERROR( (AVERAGE((IF(DATOS_[[Sexo]:[Sexo]]=$B83,IF(DATOS_[[AGRUP. CLAS. PROF.]:[AGRUP. CLAS. PROF.]]=$B81,IF(DATOS_[[Check Periodo Ref.]:[Check Periodo Ref.]]="Dentro",IF(DATOS_[[Check Equiparado]:[Check Equiparado]]="Sí",IF(DATOS!AV$4="Sí",(1/DATOS_[[% anualiz]:[% anualiz]]),1)*IF(DATOS!AV$5="Sí",1/DATOS_[[% normaliz]:[% normaliz]],1)*(DATOS_[Conc.Sal.18])))))))), 0)</f>
        <v>0</v>
      </c>
      <c r="AB83" s="302" t="n">
        <f aca="false" t="array" ref="AB83:AB83">IFERROR( (AVERAGE((IF(DATOS_[[Sexo]:[Sexo]]=$B83,IF(DATOS_[[AGRUP. CLAS. PROF.]:[AGRUP. CLAS. PROF.]]=$B81,IF(DATOS_[[Check Periodo Ref.]:[Check Periodo Ref.]]="Dentro",IF(DATOS_[[Check Equiparado]:[Check Equiparado]]="Sí",IF(DATOS!AW$4="Sí",(1/DATOS_[[% anualiz]:[% anualiz]]),1)*IF(DATOS!AW$5="Sí",1/DATOS_[[% normaliz]:[% normaliz]],1)*(DATOS_[Conc.Sal.19])))))))), 0)</f>
        <v>0</v>
      </c>
      <c r="AC83" s="302" t="n">
        <f aca="false" t="array" ref="AC83:AC83">IFERROR( (AVERAGE((IF(DATOS_[[Sexo]:[Sexo]]=$B83,IF(DATOS_[[AGRUP. CLAS. PROF.]:[AGRUP. CLAS. PROF.]]=$B81,IF(DATOS_[[Check Periodo Ref.]:[Check Periodo Ref.]]="Dentro",IF(DATOS_[[Check Equiparado]:[Check Equiparado]]="Sí",IF(DATOS!AX$4="Sí",(1/DATOS_[[% anualiz]:[% anualiz]]),1)*IF(DATOS!AX$5="Sí",1/DATOS_[[% normaliz]:[% normaliz]],1)*(DATOS_[Conc.Sal.20])))))))), 0)</f>
        <v>0</v>
      </c>
      <c r="AD83" s="302" t="n">
        <f aca="false" t="array" ref="AD83:AD83">IFERROR( (AVERAGE((IF(DATOS_[[Sexo]:[Sexo]]=$B83,IF(DATOS_[[AGRUP. CLAS. PROF.]:[AGRUP. CLAS. PROF.]]=$B81,IF(DATOS_[[Check Periodo Ref.]:[Check Periodo Ref.]]="Dentro",IF(DATOS_[[Check Equiparado]:[Check Equiparado]]="Sí",IF(DATOS!AY$4="Sí",(1/DATOS_[[% anualiz]:[% anualiz]]),1)*IF(DATOS!AY$5="Sí",1/DATOS_[[% normaliz]:[% normaliz]],1)*(DATOS_[Conc.Sal.21])))))))), 0)</f>
        <v>0</v>
      </c>
      <c r="AE83" s="302" t="n">
        <f aca="false" t="array" ref="AE83:AE83">IFERROR( (AVERAGE((IF(DATOS_[[Sexo]:[Sexo]]=$B83,IF(DATOS_[[AGRUP. CLAS. PROF.]:[AGRUP. CLAS. PROF.]]=$B81,IF(DATOS_[[Check Periodo Ref.]:[Check Periodo Ref.]]="Dentro",IF(DATOS_[[Check Equiparado]:[Check Equiparado]]="Sí",IF(DATOS!AZ$4="Sí",(1/DATOS_[[% anualiz]:[% anualiz]]),1)*IF(DATOS!AZ$5="Sí",1/DATOS_[[% normaliz]:[% normaliz]],1)*(DATOS_[Conc.Sal.22])))))))), 0)</f>
        <v>0</v>
      </c>
      <c r="AF83" s="302" t="n">
        <f aca="false" t="array" ref="AF83:AF83">IFERROR( (AVERAGE((IF(DATOS_[[Sexo]:[Sexo]]=$B83,IF(DATOS_[[AGRUP. CLAS. PROF.]:[AGRUP. CLAS. PROF.]]=$B81,IF(DATOS_[[Check Periodo Ref.]:[Check Periodo Ref.]]="Dentro",IF(DATOS_[[Check Equiparado]:[Check Equiparado]]="Sí",IF(DATOS!BA$4="Sí",(1/DATOS_[[% anualiz]:[% anualiz]]),1)*IF(DATOS!BA$5="Sí",1/DATOS_[[% normaliz]:[% normaliz]],1)*(DATOS_[Conc.Sal.23])))))))), 0)</f>
        <v>0</v>
      </c>
      <c r="AG83" s="302" t="n">
        <f aca="false" t="array" ref="AG83:AG83">IFERROR( (AVERAGE((IF(DATOS_[[Sexo]:[Sexo]]=$B83,IF(DATOS_[[AGRUP. CLAS. PROF.]:[AGRUP. CLAS. PROF.]]=$B81,IF(DATOS_[[Check Periodo Ref.]:[Check Periodo Ref.]]="Dentro",IF(DATOS_[[Check Equiparado]:[Check Equiparado]]="Sí",IF(DATOS!BB$4="Sí",(1/DATOS_[[% anualiz]:[% anualiz]]),1)*IF(DATOS!BB$5="Sí",1/DATOS_[[% normaliz]:[% normaliz]],1)*(DATOS_[Conc.Sal.24])))))))), 0)</f>
        <v>0</v>
      </c>
      <c r="AH83" s="302" t="n">
        <f aca="false" t="array" ref="AH83:AH83">IFERROR( (AVERAGE((IF(DATOS_[[Sexo]:[Sexo]]=$B83,IF(DATOS_[[AGRUP. CLAS. PROF.]:[AGRUP. CLAS. PROF.]]=$B81,IF(DATOS_[[Check Periodo Ref.]:[Check Periodo Ref.]]="Dentro",IF(DATOS_[[Check Equiparado]:[Check Equiparado]]="Sí",IF(DATOS!BC$4="Sí",(1/DATOS_[[% anualiz]:[% anualiz]]),1)*IF(DATOS!BC$5="Sí",1/DATOS_[[% normaliz]:[% normaliz]],1)*(DATOS_[Conc.Sal.25])))))))), 0)</f>
        <v>0</v>
      </c>
      <c r="AI83" s="302" t="n">
        <f aca="false" t="array" ref="AI83:AI83">IFERROR( (AVERAGE((IF(DATOS_[[Sexo]:[Sexo]]=$B83,IF(DATOS_[[AGRUP. CLAS. PROF.]:[AGRUP. CLAS. PROF.]]=$B81,IF(DATOS_[[Check Periodo Ref.]:[Check Periodo Ref.]]="Dentro",IF(DATOS_[[Check Equiparado]:[Check Equiparado]]="Sí",IF(DATOS!BD$4="Sí",(1/DATOS_[[% anualiz]:[% anualiz]]),1)*IF(DATOS!BD$5="Sí",1/DATOS_[[% normaliz]:[% normaliz]],1)*(DATOS_[Conc.Sal.26])))))))), 0)</f>
        <v>0</v>
      </c>
      <c r="AJ83" s="302" t="n">
        <f aca="false" t="array" ref="AJ83:AJ83">IFERROR( (AVERAGE((IF(DATOS_[[Sexo]:[Sexo]]=$B83,IF(DATOS_[[AGRUP. CLAS. PROF.]:[AGRUP. CLAS. PROF.]]=$B81,IF(DATOS_[[Check Periodo Ref.]:[Check Periodo Ref.]]="Dentro",IF(DATOS_[[Check Equiparado]:[Check Equiparado]]="Sí",IF(DATOS!BE$4="Sí",(1/DATOS_[[% anualiz]:[% anualiz]]),1)*IF(DATOS!BE$5="Sí",1/DATOS_[[% normaliz]:[% normaliz]],1)*(DATOS_[Conc.Sal.27])))))))), 0)</f>
        <v>0</v>
      </c>
      <c r="AK83" s="302" t="n">
        <f aca="false" t="array" ref="AK83:AK83">IFERROR( (AVERAGE((IF(DATOS_[[Sexo]:[Sexo]]=$B83,IF(DATOS_[[AGRUP. CLAS. PROF.]:[AGRUP. CLAS. PROF.]]=$B81,IF(DATOS_[[Check Periodo Ref.]:[Check Periodo Ref.]]="Dentro",IF(DATOS_[[Check Equiparado]:[Check Equiparado]]="Sí",IF(DATOS!BF$4="Sí",(1/DATOS_[[% anualiz]:[% anualiz]]),1)*IF(DATOS!BF$5="Sí",1/DATOS_[[% normaliz]:[% normaliz]],1)*(DATOS_[Conc.Sal.28])))))))), 0)</f>
        <v>0</v>
      </c>
      <c r="AL83" s="302" t="n">
        <f aca="false" t="array" ref="AL83:AL83">IFERROR( (AVERAGE((IF(DATOS_[[Sexo]:[Sexo]]=$B83,IF(DATOS_[[AGRUP. CLAS. PROF.]:[AGRUP. CLAS. PROF.]]=$B81,IF(DATOS_[[Check Periodo Ref.]:[Check Periodo Ref.]]="Dentro",IF(DATOS_[[Check Equiparado]:[Check Equiparado]]="Sí",IF(DATOS!BG$4="Sí",(1/DATOS_[[% anualiz]:[% anualiz]]),1)*IF(DATOS!BG$5="Sí",1/DATOS_[[% normaliz]:[% normaliz]],1)*(DATOS_[Conc.Sal.29])))))))), 0)</f>
        <v>0</v>
      </c>
      <c r="AM83" s="302" t="n">
        <f aca="false" t="array" ref="AM83:AM83">IFERROR( (AVERAGE((IF(DATOS_[[Sexo]:[Sexo]]=$B83,IF(DATOS_[[AGRUP. CLAS. PROF.]:[AGRUP. CLAS. PROF.]]=$B81,IF(DATOS_[[Check Periodo Ref.]:[Check Periodo Ref.]]="Dentro",IF(DATOS_[[Check Equiparado]:[Check Equiparado]]="Sí",IF(DATOS!BH$4="Sí",(1/DATOS_[[% anualiz]:[% anualiz]]),1)*IF(DATOS!BH$5="Sí",1/DATOS_[[% normaliz]:[% normaliz]],1)*(DATOS_[Conc.Sal.30])))))))), 0)</f>
        <v>0</v>
      </c>
      <c r="AN83" s="294" t="n">
        <f aca="false" t="array" ref="AN83:AN83">IFERROR( AVERAGE(IF(DATOS_[Sexo]=$B83,IF(DATOS_[[AGRUP. CLAS. PROF.]:[AGRUP. CLAS. PROF.]]=$B81,IF(DATOS_[Check Equiparado]="Sí",IF(DATOS_[Check Periodo Ref.]="Dentro",DATOS_[Tot COMPL.SAL Eq],0))))), 0)</f>
        <v>0</v>
      </c>
      <c r="AO83" s="295" t="n">
        <f aca="false" t="array" ref="AO83:AO83">IFERROR( AVERAGE(IF(DATOS_[Sexo]=$B83,IF(DATOS_[[AGRUP. CLAS. PROF.]:[AGRUP. CLAS. PROF.]]=$B81,IF(DATOS_[Check Equiparado]="Sí",IF(DATOS_[Check Periodo Ref.]="Dentro",DATOS_[TOTAL SALARIO Eq],0))))), 0)</f>
        <v>0</v>
      </c>
      <c r="AP83" s="303" t="n">
        <f aca="false" t="array" ref="AP83:AP83">IFERROR( (AVERAGE((IF(DATOS_[[Sexo]:[Sexo]]=$B83,IF(DATOS_[[AGRUP. CLAS. PROF.]:[AGRUP. CLAS. PROF.]]=$B82,IF(DATOS_[[Check Periodo Ref.]:[Check Periodo Ref.]]="Dentro",IF(DATOS_[[Check Equiparado]:[Check Equiparado]]="Sí",IF(DATOS!BI$4="Sí",(1/DATOS_[[% anualiz]:[% anualiz]]),1)*IF(DATOS!BI$5="Sí",1/DATOS_[[% normaliz]:[% normaliz]],1)*(DATOS_[C.Extra.01])))))))), 0)</f>
        <v>0</v>
      </c>
      <c r="AQ83" s="303" t="n">
        <f aca="false" t="array" ref="AQ83:AQ83">IFERROR( (AVERAGE((IF(DATOS_[[Sexo]:[Sexo]]=$B83,IF(DATOS_[[AGRUP. CLAS. PROF.]:[AGRUP. CLAS. PROF.]]=$B82,IF(DATOS_[[Check Periodo Ref.]:[Check Periodo Ref.]]="Dentro",IF(DATOS_[[Check Equiparado]:[Check Equiparado]]="Sí",IF(DATOS!BJ$4="Sí",(1/DATOS_[[% anualiz]:[% anualiz]]),1)*IF(DATOS!BJ$5="Sí",1/DATOS_[[% normaliz]:[% normaliz]],1)*(DATOS_[C.Extra.02])))))))), 0)</f>
        <v>0</v>
      </c>
      <c r="AR83" s="303" t="n">
        <f aca="false" t="array" ref="AR83:AR83">IFERROR( (AVERAGE((IF(DATOS_[[Sexo]:[Sexo]]=$B83,IF(DATOS_[[AGRUP. CLAS. PROF.]:[AGRUP. CLAS. PROF.]]=$B82,IF(DATOS_[[Check Periodo Ref.]:[Check Periodo Ref.]]="Dentro",IF(DATOS_[[Check Equiparado]:[Check Equiparado]]="Sí",IF(DATOS!BK$4="Sí",(1/DATOS_[[% anualiz]:[% anualiz]]),1)*IF(DATOS!BK$5="Sí",1/DATOS_[[% normaliz]:[% normaliz]],1)*(DATOS_[C.Extra.03])))))))), 0)</f>
        <v>0</v>
      </c>
      <c r="AS83" s="303" t="n">
        <f aca="false" t="array" ref="AS83:AS83">IFERROR( (AVERAGE((IF(DATOS_[[Sexo]:[Sexo]]=$B83,IF(DATOS_[[AGRUP. CLAS. PROF.]:[AGRUP. CLAS. PROF.]]=$B82,IF(DATOS_[[Check Periodo Ref.]:[Check Periodo Ref.]]="Dentro",IF(DATOS_[[Check Equiparado]:[Check Equiparado]]="Sí",IF(DATOS!BL$4="Sí",(1/DATOS_[[% anualiz]:[% anualiz]]),1)*IF(DATOS!BL$5="Sí",1/DATOS_[[% normaliz]:[% normaliz]],1)*(DATOS_[C.Extra.04])))))))), 0)</f>
        <v>0</v>
      </c>
      <c r="AT83" s="303" t="n">
        <f aca="false" t="array" ref="AT83:AT83">IFERROR( (AVERAGE((IF(DATOS_[[Sexo]:[Sexo]]=$B83,IF(DATOS_[[AGRUP. CLAS. PROF.]:[AGRUP. CLAS. PROF.]]=$B82,IF(DATOS_[[Check Periodo Ref.]:[Check Periodo Ref.]]="Dentro",IF(DATOS_[[Check Equiparado]:[Check Equiparado]]="Sí",IF(DATOS!BM$4="Sí",(1/DATOS_[[% anualiz]:[% anualiz]]),1)*IF(DATOS!BM$5="Sí",1/DATOS_[[% normaliz]:[% normaliz]],1)*(DATOS_[C.Extra.05])))))))), 0)</f>
        <v>0</v>
      </c>
      <c r="AU83" s="297" t="n">
        <f aca="false" t="array" ref="AU83:AU83">IFERROR( AVERAGE(IF(DATOS_[Sexo]=$B83,IF(DATOS_[[AGRUP. CLAS. PROF.]:[AGRUP. CLAS. PROF.]]=$B81,IF(DATOS_[Check Equiparado]="Sí",IF(DATOS_[Check Periodo Ref.]="Dentro",DATOS_[Tot Extrasalarial Eq],0))))), 0)</f>
        <v>0</v>
      </c>
      <c r="AV83" s="298" t="n">
        <f aca="false" t="array" ref="AV83:AV83">IFERROR( AVERAGE(IF(DATOS_[Sexo]=$B83,IF(DATOS_[[AGRUP. CLAS. PROF.]:[AGRUP. CLAS. PROF.]]=$B81,IF(DATOS_[Check Equiparado]="Sí",IF(DATOS_[Check Periodo Ref.]="Dentro",DATOS_[TOTAL Retrib Eq],0))))), 0)</f>
        <v>0</v>
      </c>
    </row>
    <row r="84" customFormat="false" ht="15.75" hidden="false" customHeight="false" outlineLevel="0" collapsed="false">
      <c r="A84" s="166" t="str">
        <f aca="false">+A85</f>
        <v>[ocultar]</v>
      </c>
      <c r="B84" s="276" t="s">
        <v>237</v>
      </c>
      <c r="C84" s="277"/>
      <c r="D84" s="278"/>
      <c r="E84" s="278"/>
      <c r="F84" s="278"/>
      <c r="G84" s="278"/>
      <c r="H84" s="278"/>
      <c r="I84" s="279" t="str">
        <f aca="false">IFERROR((I85-I86)/I85,"")</f>
        <v/>
      </c>
      <c r="J84" s="280" t="str">
        <f aca="false">IFERROR((J85-J86)/J85,"")</f>
        <v/>
      </c>
      <c r="K84" s="281" t="str">
        <f aca="false">IFERROR((K85-K86)/K85,"")</f>
        <v/>
      </c>
      <c r="L84" s="281" t="str">
        <f aca="false">IFERROR((L85-L86)/L85,"")</f>
        <v/>
      </c>
      <c r="M84" s="281" t="str">
        <f aca="false">IFERROR((M85-M86)/M85,"")</f>
        <v/>
      </c>
      <c r="N84" s="282" t="str">
        <f aca="false">IFERROR((N85-N86)/N85,"")</f>
        <v/>
      </c>
      <c r="O84" s="283" t="str">
        <f aca="false">IFERROR((O85-O86)/O85,"")</f>
        <v/>
      </c>
      <c r="P84" s="283" t="str">
        <f aca="false">IFERROR((P85-P86)/P85,"")</f>
        <v/>
      </c>
      <c r="Q84" s="283" t="str">
        <f aca="false">IFERROR((Q85-Q86)/Q85,"")</f>
        <v/>
      </c>
      <c r="R84" s="283" t="str">
        <f aca="false">IFERROR((R85-R86)/R85,"")</f>
        <v/>
      </c>
      <c r="S84" s="283" t="str">
        <f aca="false">IFERROR((S85-S86)/S85,"")</f>
        <v/>
      </c>
      <c r="T84" s="283" t="str">
        <f aca="false">IFERROR((T85-T86)/T85,"")</f>
        <v/>
      </c>
      <c r="U84" s="283" t="str">
        <f aca="false">IFERROR((U85-U86)/U85,"")</f>
        <v/>
      </c>
      <c r="V84" s="283" t="str">
        <f aca="false">IFERROR((V85-V86)/V85,"")</f>
        <v/>
      </c>
      <c r="W84" s="283" t="str">
        <f aca="false">IFERROR((W85-W86)/W85,"")</f>
        <v/>
      </c>
      <c r="X84" s="283" t="str">
        <f aca="false">IFERROR((X85-X86)/X85,"")</f>
        <v/>
      </c>
      <c r="Y84" s="283" t="str">
        <f aca="false">IFERROR((Y85-Y86)/Y85,"")</f>
        <v/>
      </c>
      <c r="Z84" s="282" t="str">
        <f aca="false">IFERROR((Z85-Z86)/Z85,"")</f>
        <v/>
      </c>
      <c r="AA84" s="282" t="str">
        <f aca="false">IFERROR((AA85-AA86)/AA85,"")</f>
        <v/>
      </c>
      <c r="AB84" s="282" t="str">
        <f aca="false">IFERROR((AB85-AB86)/AB85,"")</f>
        <v/>
      </c>
      <c r="AC84" s="282" t="str">
        <f aca="false">IFERROR((AC85-AC86)/AC85,"")</f>
        <v/>
      </c>
      <c r="AD84" s="282" t="str">
        <f aca="false">IFERROR((AD85-AD86)/AD85,"")</f>
        <v/>
      </c>
      <c r="AE84" s="282" t="str">
        <f aca="false">IFERROR((AE85-AE86)/AE85,"")</f>
        <v/>
      </c>
      <c r="AF84" s="282" t="str">
        <f aca="false">IFERROR((AF85-AF86)/AF85,"")</f>
        <v/>
      </c>
      <c r="AG84" s="282" t="str">
        <f aca="false">IFERROR((AG85-AG86)/AG85,"")</f>
        <v/>
      </c>
      <c r="AH84" s="282" t="str">
        <f aca="false">IFERROR((AH85-AH86)/AH85,"")</f>
        <v/>
      </c>
      <c r="AI84" s="282" t="str">
        <f aca="false">IFERROR((AI85-AI86)/AI85,"")</f>
        <v/>
      </c>
      <c r="AJ84" s="282" t="str">
        <f aca="false">IFERROR((AJ85-AJ86)/AJ85,"")</f>
        <v/>
      </c>
      <c r="AK84" s="282" t="str">
        <f aca="false">IFERROR((AK85-AK86)/AK85,"")</f>
        <v/>
      </c>
      <c r="AL84" s="282" t="str">
        <f aca="false">IFERROR((AL85-AL86)/AL85,"")</f>
        <v/>
      </c>
      <c r="AM84" s="282" t="str">
        <f aca="false">IFERROR((AM85-AM86)/AM85,"")</f>
        <v/>
      </c>
      <c r="AN84" s="284" t="str">
        <f aca="false">IFERROR((AN85-AN86)/AN85,"")</f>
        <v/>
      </c>
      <c r="AO84" s="285" t="str">
        <f aca="false">IFERROR((AO85-AO86)/AO85,"")</f>
        <v/>
      </c>
      <c r="AP84" s="286" t="str">
        <f aca="false">IFERROR((AP85-AP86)/AP85,"")</f>
        <v/>
      </c>
      <c r="AQ84" s="286" t="str">
        <f aca="false">IFERROR((AQ85-AQ86)/AQ85,"")</f>
        <v/>
      </c>
      <c r="AR84" s="286" t="str">
        <f aca="false">IFERROR((AR85-AR86)/AR85,"")</f>
        <v/>
      </c>
      <c r="AS84" s="286" t="str">
        <f aca="false">IFERROR((AS85-AS86)/AS85,"")</f>
        <v/>
      </c>
      <c r="AT84" s="286" t="str">
        <f aca="false">IFERROR((AT85-AT86)/AT85,"")</f>
        <v/>
      </c>
      <c r="AU84" s="287" t="str">
        <f aca="false">IFERROR((AU85-AU86)/AU85,"")</f>
        <v/>
      </c>
      <c r="AV84" s="288" t="str">
        <f aca="false">IFERROR((AV85-AV86)/AV85,"")</f>
        <v/>
      </c>
    </row>
    <row r="85" customFormat="false" ht="14.25" hidden="false" customHeight="false" outlineLevel="0" collapsed="false">
      <c r="A85" s="166" t="str">
        <f aca="false">+IF(C85+C86=0,"[ocultar]","")</f>
        <v>[ocultar]</v>
      </c>
      <c r="B85" s="289" t="s">
        <v>371</v>
      </c>
      <c r="C85" s="290" t="n">
        <f aca="false" t="array" ref="C85:C85">SUM(IF($B85=DATOS_[Sexo], IF($B84=DATOS_[AGRUP. CLAS. PROF.], IF("Dentro"=DATOS_[Check Periodo Ref.], 1/(COUNTIFS(DATOS_[Sexo],$B85,DATOS_[AGRUP. CLAS. PROF.],$B84,DATOS_[Check Periodo Ref.],"Dentro",DATOS_[id],DATOS_[id]))))))</f>
        <v>0</v>
      </c>
      <c r="D85" s="291" t="n">
        <f aca="false">COUNTIFS(DATOS_[AGRUP. CLAS. PROF.],$B84,DATOS_[Sexo],$B85,DATOS_[Check Periodo Ref.],"Dentro")</f>
        <v>0</v>
      </c>
      <c r="E85" s="291" t="n">
        <f aca="false">COUNTIFS(DATOS_[AGRUP. CLAS. PROF.],$B84,DATOS_[Sexo],$B85,DATOS_[Check Periodo Ref.],"Dentro",DATOS_[Check Nº SC Norm],"Sí")</f>
        <v>0</v>
      </c>
      <c r="F85" s="291" t="n">
        <f aca="false">COUNTIFS(DATOS_[AGRUP. CLAS. PROF.],$B84,DATOS_[Sexo],$B85,DATOS_[Check Periodo Ref.],"Dentro",DATOS_[Check Nº SC Anualiz],"Sí")</f>
        <v>0</v>
      </c>
      <c r="G85" s="291" t="n">
        <f aca="false">COUNTIFS(DATOS_[AGRUP. CLAS. PROF.],$B84,DATOS_[Sexo],$B85,DATOS_[Check Periodo Ref.],"Dentro",DATOS_[Check Nº SC Norm y Anualiz],"Sí")</f>
        <v>0</v>
      </c>
      <c r="H85" s="291" t="n">
        <f aca="false">COUNTIFS(DATOS_[AGRUP. CLAS. PROF.],$B84,DATOS_[Sexo],$B85,DATOS_[Check Periodo Ref.],"Dentro",DATOS_[Check Equiparación],"Sí")</f>
        <v>0</v>
      </c>
      <c r="I85" s="292" t="n">
        <f aca="false" t="array" ref="I85:I85">IFERROR( AVERAGE(IF(DATOS_[Sexo]=$B85,IF(DATOS_[[AGRUP. CLAS. PROF.]:[AGRUP. CLAS. PROF.]]=$B84,IF(DATOS_[Check Equiparado]="Sí",IF(DATOS_[Check Periodo Ref.]="Dentro",DATOS_[SALARIO BASE Eq],0))))), 0)</f>
        <v>0</v>
      </c>
      <c r="J85" s="302" t="n">
        <f aca="false" t="array" ref="J85:J85">IFERROR( (AVERAGE((IF(DATOS_[[Sexo]:[Sexo]]=$B85,IF(DATOS_[[AGRUP. CLAS. PROF.]:[AGRUP. CLAS. PROF.]]=$B84,IF(DATOS_[[Check Periodo Ref.]:[Check Periodo Ref.]]="Dentro",IF(DATOS_[[Check Equiparado]:[Check Equiparado]]="Sí",IF(DATOS!AE$4="Sí",(1/DATOS_[[% anualiz]:[% anualiz]]),1)*IF(DATOS!AE$5="Sí",1/DATOS_[[% normaliz]:[% normaliz]],1)*(DATOS_[Conc.Sal.01])))))))), 0)</f>
        <v>0</v>
      </c>
      <c r="K85" s="302" t="n">
        <f aca="false" t="array" ref="K85:K85">IFERROR( (AVERAGE((IF(DATOS_[[Sexo]:[Sexo]]=$B85,IF(DATOS_[[AGRUP. CLAS. PROF.]:[AGRUP. CLAS. PROF.]]=$B84,IF(DATOS_[[Check Periodo Ref.]:[Check Periodo Ref.]]="Dentro",IF(DATOS_[[Check Equiparado]:[Check Equiparado]]="Sí",IF(DATOS!AF$4="Sí",(1/DATOS_[[% anualiz]:[% anualiz]]),1)*IF(DATOS!AF$5="Sí",1/DATOS_[[% normaliz]:[% normaliz]],1)*(DATOS_[Conc.Sal.02])))))))), 0)</f>
        <v>0</v>
      </c>
      <c r="L85" s="302" t="n">
        <f aca="false" t="array" ref="L85:L85">IFERROR( (AVERAGE((IF(DATOS_[[Sexo]:[Sexo]]=$B85,IF(DATOS_[[AGRUP. CLAS. PROF.]:[AGRUP. CLAS. PROF.]]=$B84,IF(DATOS_[[Check Periodo Ref.]:[Check Periodo Ref.]]="Dentro",IF(DATOS_[[Check Equiparado]:[Check Equiparado]]="Sí",IF(DATOS!AG$4="Sí",(1/DATOS_[[% anualiz]:[% anualiz]]),1)*IF(DATOS!AG$5="Sí",1/DATOS_[[% normaliz]:[% normaliz]],1)*(DATOS_[Conc.Sal.03])))))))), 0)</f>
        <v>0</v>
      </c>
      <c r="M85" s="302" t="n">
        <f aca="false" t="array" ref="M85:M85">IFERROR( (AVERAGE((IF(DATOS_[[Sexo]:[Sexo]]=$B85,IF(DATOS_[[AGRUP. CLAS. PROF.]:[AGRUP. CLAS. PROF.]]=$B84,IF(DATOS_[[Check Periodo Ref.]:[Check Periodo Ref.]]="Dentro",IF(DATOS_[[Check Equiparado]:[Check Equiparado]]="Sí",IF(DATOS!AH$4="Sí",(1/DATOS_[[% anualiz]:[% anualiz]]),1)*IF(DATOS!AH$5="Sí",1/DATOS_[[% normaliz]:[% normaliz]],1)*(DATOS_[Conc.Sal.04])))))))), 0)</f>
        <v>0</v>
      </c>
      <c r="N85" s="302" t="n">
        <f aca="false" t="array" ref="N85:N85">IFERROR( (AVERAGE((IF(DATOS_[[Sexo]:[Sexo]]=$B85,IF(DATOS_[[AGRUP. CLAS. PROF.]:[AGRUP. CLAS. PROF.]]=$B84,IF(DATOS_[[Check Periodo Ref.]:[Check Periodo Ref.]]="Dentro",IF(DATOS_[[Check Equiparado]:[Check Equiparado]]="Sí",IF(DATOS!AI$4="Sí",(1/DATOS_[[% anualiz]:[% anualiz]]),1)*IF(DATOS!AI$5="Sí",1/DATOS_[[% normaliz]:[% normaliz]],1)*(DATOS_[Conc.Sal.05])))))))), 0)</f>
        <v>0</v>
      </c>
      <c r="O85" s="302" t="n">
        <f aca="false" t="array" ref="O85:O85">IFERROR( (AVERAGE((IF(DATOS_[[Sexo]:[Sexo]]=$B85,IF(DATOS_[[AGRUP. CLAS. PROF.]:[AGRUP. CLAS. PROF.]]=$B84,IF(DATOS_[[Check Periodo Ref.]:[Check Periodo Ref.]]="Dentro",IF(DATOS_[[Check Equiparado]:[Check Equiparado]]="Sí",IF(DATOS!AJ$4="Sí",(1/DATOS_[[% anualiz]:[% anualiz]]),1)*IF(DATOS!AJ$5="Sí",1/DATOS_[[% normaliz]:[% normaliz]],1)*(DATOS_[Conc.Sal.06])))))))), 0)</f>
        <v>0</v>
      </c>
      <c r="P85" s="302" t="n">
        <f aca="false" t="array" ref="P85:P85">IFERROR( (AVERAGE((IF(DATOS_[[Sexo]:[Sexo]]=$B85,IF(DATOS_[[AGRUP. CLAS. PROF.]:[AGRUP. CLAS. PROF.]]=$B84,IF(DATOS_[[Check Periodo Ref.]:[Check Periodo Ref.]]="Dentro",IF(DATOS_[[Check Equiparado]:[Check Equiparado]]="Sí",IF(DATOS!AK$4="Sí",(1/DATOS_[[% anualiz]:[% anualiz]]),1)*IF(DATOS!AK$5="Sí",1/DATOS_[[% normaliz]:[% normaliz]],1)*(DATOS_[Conc.Sal.07])))))))), 0)</f>
        <v>0</v>
      </c>
      <c r="Q85" s="302" t="n">
        <f aca="false" t="array" ref="Q85:Q85">IFERROR( (AVERAGE((IF(DATOS_[[Sexo]:[Sexo]]=$B85,IF(DATOS_[[AGRUP. CLAS. PROF.]:[AGRUP. CLAS. PROF.]]=$B84,IF(DATOS_[[Check Periodo Ref.]:[Check Periodo Ref.]]="Dentro",IF(DATOS_[[Check Equiparado]:[Check Equiparado]]="Sí",IF(DATOS!AL$4="Sí",(1/DATOS_[[% anualiz]:[% anualiz]]),1)*IF(DATOS!AL$5="Sí",1/DATOS_[[% normaliz]:[% normaliz]],1)*(DATOS_[Conc.Sal.08])))))))), 0)</f>
        <v>0</v>
      </c>
      <c r="R85" s="302" t="n">
        <f aca="false" t="array" ref="R85:R85">IFERROR( (AVERAGE((IF(DATOS_[[Sexo]:[Sexo]]=$B85,IF(DATOS_[[AGRUP. CLAS. PROF.]:[AGRUP. CLAS. PROF.]]=$B84,IF(DATOS_[[Check Periodo Ref.]:[Check Periodo Ref.]]="Dentro",IF(DATOS_[[Check Equiparado]:[Check Equiparado]]="Sí",IF(DATOS!AM$4="Sí",(1/DATOS_[[% anualiz]:[% anualiz]]),1)*IF(DATOS!AM$5="Sí",1/DATOS_[[% normaliz]:[% normaliz]],1)*(DATOS_[Conc.Sal.09])))))))), 0)</f>
        <v>0</v>
      </c>
      <c r="S85" s="302" t="n">
        <f aca="false" t="array" ref="S85:S85">IFERROR( (AVERAGE((IF(DATOS_[[Sexo]:[Sexo]]=$B85,IF(DATOS_[[AGRUP. CLAS. PROF.]:[AGRUP. CLAS. PROF.]]=$B84,IF(DATOS_[[Check Periodo Ref.]:[Check Periodo Ref.]]="Dentro",IF(DATOS_[[Check Equiparado]:[Check Equiparado]]="Sí",IF(DATOS!AN$4="Sí",(1/DATOS_[[% anualiz]:[% anualiz]]),1)*IF(DATOS!AN$5="Sí",1/DATOS_[[% normaliz]:[% normaliz]],1)*(DATOS_[Conc.Sal.10])))))))), 0)</f>
        <v>0</v>
      </c>
      <c r="T85" s="302" t="n">
        <f aca="false" t="array" ref="T85:T85">IFERROR( (AVERAGE((IF(DATOS_[[Sexo]:[Sexo]]=$B85,IF(DATOS_[[AGRUP. CLAS. PROF.]:[AGRUP. CLAS. PROF.]]=$B84,IF(DATOS_[[Check Periodo Ref.]:[Check Periodo Ref.]]="Dentro",IF(DATOS_[[Check Equiparado]:[Check Equiparado]]="Sí",IF(DATOS!AO$4="Sí",(1/DATOS_[[% anualiz]:[% anualiz]]),1)*IF(DATOS!AO$5="Sí",1/DATOS_[[% normaliz]:[% normaliz]],1)*(DATOS_[Conc.Sal.11])))))))), 0)</f>
        <v>0</v>
      </c>
      <c r="U85" s="302" t="n">
        <f aca="false" t="array" ref="U85:U85">IFERROR( (AVERAGE((IF(DATOS_[[Sexo]:[Sexo]]=$B85,IF(DATOS_[[AGRUP. CLAS. PROF.]:[AGRUP. CLAS. PROF.]]=$B84,IF(DATOS_[[Check Periodo Ref.]:[Check Periodo Ref.]]="Dentro",IF(DATOS_[[Check Equiparado]:[Check Equiparado]]="Sí",IF(DATOS!AP$4="Sí",(1/DATOS_[[% anualiz]:[% anualiz]]),1)*IF(DATOS!AP$5="Sí",1/DATOS_[[% normaliz]:[% normaliz]],1)*(DATOS_[Conc.Sal.12])))))))), 0)</f>
        <v>0</v>
      </c>
      <c r="V85" s="302" t="n">
        <f aca="false" t="array" ref="V85:V85">IFERROR( (AVERAGE((IF(DATOS_[[Sexo]:[Sexo]]=$B85,IF(DATOS_[[AGRUP. CLAS. PROF.]:[AGRUP. CLAS. PROF.]]=$B84,IF(DATOS_[[Check Periodo Ref.]:[Check Periodo Ref.]]="Dentro",IF(DATOS_[[Check Equiparado]:[Check Equiparado]]="Sí",IF(DATOS!AQ$4="Sí",(1/DATOS_[[% anualiz]:[% anualiz]]),1)*IF(DATOS!AQ$5="Sí",1/DATOS_[[% normaliz]:[% normaliz]],1)*(DATOS_[Conc.Sal.13])))))))), 0)</f>
        <v>0</v>
      </c>
      <c r="W85" s="302" t="n">
        <f aca="false" t="array" ref="W85:W85">IFERROR( (AVERAGE((IF(DATOS_[[Sexo]:[Sexo]]=$B85,IF(DATOS_[[AGRUP. CLAS. PROF.]:[AGRUP. CLAS. PROF.]]=$B84,IF(DATOS_[[Check Periodo Ref.]:[Check Periodo Ref.]]="Dentro",IF(DATOS_[[Check Equiparado]:[Check Equiparado]]="Sí",IF(DATOS!AR$4="Sí",(1/DATOS_[[% anualiz]:[% anualiz]]),1)*IF(DATOS!AR$5="Sí",1/DATOS_[[% normaliz]:[% normaliz]],1)*(DATOS_[Conc.Sal.14])))))))), 0)</f>
        <v>0</v>
      </c>
      <c r="X85" s="302" t="n">
        <f aca="false" t="array" ref="X85:X85">IFERROR( (AVERAGE((IF(DATOS_[[Sexo]:[Sexo]]=$B85,IF(DATOS_[[AGRUP. CLAS. PROF.]:[AGRUP. CLAS. PROF.]]=$B84,IF(DATOS_[[Check Periodo Ref.]:[Check Periodo Ref.]]="Dentro",IF(DATOS_[[Check Equiparado]:[Check Equiparado]]="Sí",IF(DATOS!AS$4="Sí",(1/DATOS_[[% anualiz]:[% anualiz]]),1)*IF(DATOS!AS$5="Sí",1/DATOS_[[% normaliz]:[% normaliz]],1)*(DATOS_[Conc.Sal.15])))))))), 0)</f>
        <v>0</v>
      </c>
      <c r="Y85" s="302" t="n">
        <f aca="false" t="array" ref="Y85:Y85">IFERROR( (AVERAGE((IF(DATOS_[[Sexo]:[Sexo]]=$B85,IF(DATOS_[[AGRUP. CLAS. PROF.]:[AGRUP. CLAS. PROF.]]=$B84,IF(DATOS_[[Check Periodo Ref.]:[Check Periodo Ref.]]="Dentro",IF(DATOS_[[Check Equiparado]:[Check Equiparado]]="Sí",IF(DATOS!AT$4="Sí",(1/DATOS_[[% anualiz]:[% anualiz]]),1)*IF(DATOS!AT$5="Sí",1/DATOS_[[% normaliz]:[% normaliz]],1)*(DATOS_[Conc.Sal.16])))))))), 0)</f>
        <v>0</v>
      </c>
      <c r="Z85" s="302" t="n">
        <f aca="false" t="array" ref="Z85:Z85">IFERROR( (AVERAGE((IF(DATOS_[[Sexo]:[Sexo]]=$B85,IF(DATOS_[[AGRUP. CLAS. PROF.]:[AGRUP. CLAS. PROF.]]=$B84,IF(DATOS_[[Check Periodo Ref.]:[Check Periodo Ref.]]="Dentro",IF(DATOS_[[Check Equiparado]:[Check Equiparado]]="Sí",IF(DATOS!AU$4="Sí",(1/DATOS_[[% anualiz]:[% anualiz]]),1)*IF(DATOS!AU$5="Sí",1/DATOS_[[% normaliz]:[% normaliz]],1)*(DATOS_[Conc.Sal.17])))))))), 0)</f>
        <v>0</v>
      </c>
      <c r="AA85" s="302" t="n">
        <f aca="false" t="array" ref="AA85:AA85">IFERROR( (AVERAGE((IF(DATOS_[[Sexo]:[Sexo]]=$B85,IF(DATOS_[[AGRUP. CLAS. PROF.]:[AGRUP. CLAS. PROF.]]=$B84,IF(DATOS_[[Check Periodo Ref.]:[Check Periodo Ref.]]="Dentro",IF(DATOS_[[Check Equiparado]:[Check Equiparado]]="Sí",IF(DATOS!AV$4="Sí",(1/DATOS_[[% anualiz]:[% anualiz]]),1)*IF(DATOS!AV$5="Sí",1/DATOS_[[% normaliz]:[% normaliz]],1)*(DATOS_[Conc.Sal.18])))))))), 0)</f>
        <v>0</v>
      </c>
      <c r="AB85" s="302" t="n">
        <f aca="false" t="array" ref="AB85:AB85">IFERROR( (AVERAGE((IF(DATOS_[[Sexo]:[Sexo]]=$B85,IF(DATOS_[[AGRUP. CLAS. PROF.]:[AGRUP. CLAS. PROF.]]=$B84,IF(DATOS_[[Check Periodo Ref.]:[Check Periodo Ref.]]="Dentro",IF(DATOS_[[Check Equiparado]:[Check Equiparado]]="Sí",IF(DATOS!AW$4="Sí",(1/DATOS_[[% anualiz]:[% anualiz]]),1)*IF(DATOS!AW$5="Sí",1/DATOS_[[% normaliz]:[% normaliz]],1)*(DATOS_[Conc.Sal.19])))))))), 0)</f>
        <v>0</v>
      </c>
      <c r="AC85" s="302" t="n">
        <f aca="false" t="array" ref="AC85:AC85">IFERROR( (AVERAGE((IF(DATOS_[[Sexo]:[Sexo]]=$B85,IF(DATOS_[[AGRUP. CLAS. PROF.]:[AGRUP. CLAS. PROF.]]=$B84,IF(DATOS_[[Check Periodo Ref.]:[Check Periodo Ref.]]="Dentro",IF(DATOS_[[Check Equiparado]:[Check Equiparado]]="Sí",IF(DATOS!AX$4="Sí",(1/DATOS_[[% anualiz]:[% anualiz]]),1)*IF(DATOS!AX$5="Sí",1/DATOS_[[% normaliz]:[% normaliz]],1)*(DATOS_[Conc.Sal.20])))))))), 0)</f>
        <v>0</v>
      </c>
      <c r="AD85" s="302" t="n">
        <f aca="false" t="array" ref="AD85:AD85">IFERROR( (AVERAGE((IF(DATOS_[[Sexo]:[Sexo]]=$B85,IF(DATOS_[[AGRUP. CLAS. PROF.]:[AGRUP. CLAS. PROF.]]=$B84,IF(DATOS_[[Check Periodo Ref.]:[Check Periodo Ref.]]="Dentro",IF(DATOS_[[Check Equiparado]:[Check Equiparado]]="Sí",IF(DATOS!AY$4="Sí",(1/DATOS_[[% anualiz]:[% anualiz]]),1)*IF(DATOS!AY$5="Sí",1/DATOS_[[% normaliz]:[% normaliz]],1)*(DATOS_[Conc.Sal.21])))))))), 0)</f>
        <v>0</v>
      </c>
      <c r="AE85" s="302" t="n">
        <f aca="false" t="array" ref="AE85:AE85">IFERROR( (AVERAGE((IF(DATOS_[[Sexo]:[Sexo]]=$B85,IF(DATOS_[[AGRUP. CLAS. PROF.]:[AGRUP. CLAS. PROF.]]=$B84,IF(DATOS_[[Check Periodo Ref.]:[Check Periodo Ref.]]="Dentro",IF(DATOS_[[Check Equiparado]:[Check Equiparado]]="Sí",IF(DATOS!AZ$4="Sí",(1/DATOS_[[% anualiz]:[% anualiz]]),1)*IF(DATOS!AZ$5="Sí",1/DATOS_[[% normaliz]:[% normaliz]],1)*(DATOS_[Conc.Sal.22])))))))), 0)</f>
        <v>0</v>
      </c>
      <c r="AF85" s="302" t="n">
        <f aca="false" t="array" ref="AF85:AF85">IFERROR( (AVERAGE((IF(DATOS_[[Sexo]:[Sexo]]=$B85,IF(DATOS_[[AGRUP. CLAS. PROF.]:[AGRUP. CLAS. PROF.]]=$B84,IF(DATOS_[[Check Periodo Ref.]:[Check Periodo Ref.]]="Dentro",IF(DATOS_[[Check Equiparado]:[Check Equiparado]]="Sí",IF(DATOS!BA$4="Sí",(1/DATOS_[[% anualiz]:[% anualiz]]),1)*IF(DATOS!BA$5="Sí",1/DATOS_[[% normaliz]:[% normaliz]],1)*(DATOS_[Conc.Sal.23])))))))), 0)</f>
        <v>0</v>
      </c>
      <c r="AG85" s="302" t="n">
        <f aca="false" t="array" ref="AG85:AG85">IFERROR( (AVERAGE((IF(DATOS_[[Sexo]:[Sexo]]=$B85,IF(DATOS_[[AGRUP. CLAS. PROF.]:[AGRUP. CLAS. PROF.]]=$B84,IF(DATOS_[[Check Periodo Ref.]:[Check Periodo Ref.]]="Dentro",IF(DATOS_[[Check Equiparado]:[Check Equiparado]]="Sí",IF(DATOS!BB$4="Sí",(1/DATOS_[[% anualiz]:[% anualiz]]),1)*IF(DATOS!BB$5="Sí",1/DATOS_[[% normaliz]:[% normaliz]],1)*(DATOS_[Conc.Sal.24])))))))), 0)</f>
        <v>0</v>
      </c>
      <c r="AH85" s="302" t="n">
        <f aca="false" t="array" ref="AH85:AH85">IFERROR( (AVERAGE((IF(DATOS_[[Sexo]:[Sexo]]=$B85,IF(DATOS_[[AGRUP. CLAS. PROF.]:[AGRUP. CLAS. PROF.]]=$B84,IF(DATOS_[[Check Periodo Ref.]:[Check Periodo Ref.]]="Dentro",IF(DATOS_[[Check Equiparado]:[Check Equiparado]]="Sí",IF(DATOS!BC$4="Sí",(1/DATOS_[[% anualiz]:[% anualiz]]),1)*IF(DATOS!BC$5="Sí",1/DATOS_[[% normaliz]:[% normaliz]],1)*(DATOS_[Conc.Sal.25])))))))), 0)</f>
        <v>0</v>
      </c>
      <c r="AI85" s="302" t="n">
        <f aca="false" t="array" ref="AI85:AI85">IFERROR( (AVERAGE((IF(DATOS_[[Sexo]:[Sexo]]=$B85,IF(DATOS_[[AGRUP. CLAS. PROF.]:[AGRUP. CLAS. PROF.]]=$B84,IF(DATOS_[[Check Periodo Ref.]:[Check Periodo Ref.]]="Dentro",IF(DATOS_[[Check Equiparado]:[Check Equiparado]]="Sí",IF(DATOS!BD$4="Sí",(1/DATOS_[[% anualiz]:[% anualiz]]),1)*IF(DATOS!BD$5="Sí",1/DATOS_[[% normaliz]:[% normaliz]],1)*(DATOS_[Conc.Sal.26])))))))), 0)</f>
        <v>0</v>
      </c>
      <c r="AJ85" s="302" t="n">
        <f aca="false" t="array" ref="AJ85:AJ85">IFERROR( (AVERAGE((IF(DATOS_[[Sexo]:[Sexo]]=$B85,IF(DATOS_[[AGRUP. CLAS. PROF.]:[AGRUP. CLAS. PROF.]]=$B84,IF(DATOS_[[Check Periodo Ref.]:[Check Periodo Ref.]]="Dentro",IF(DATOS_[[Check Equiparado]:[Check Equiparado]]="Sí",IF(DATOS!BE$4="Sí",(1/DATOS_[[% anualiz]:[% anualiz]]),1)*IF(DATOS!BE$5="Sí",1/DATOS_[[% normaliz]:[% normaliz]],1)*(DATOS_[Conc.Sal.27])))))))), 0)</f>
        <v>0</v>
      </c>
      <c r="AK85" s="302" t="n">
        <f aca="false" t="array" ref="AK85:AK85">IFERROR( (AVERAGE((IF(DATOS_[[Sexo]:[Sexo]]=$B85,IF(DATOS_[[AGRUP. CLAS. PROF.]:[AGRUP. CLAS. PROF.]]=$B84,IF(DATOS_[[Check Periodo Ref.]:[Check Periodo Ref.]]="Dentro",IF(DATOS_[[Check Equiparado]:[Check Equiparado]]="Sí",IF(DATOS!BF$4="Sí",(1/DATOS_[[% anualiz]:[% anualiz]]),1)*IF(DATOS!BF$5="Sí",1/DATOS_[[% normaliz]:[% normaliz]],1)*(DATOS_[Conc.Sal.28])))))))), 0)</f>
        <v>0</v>
      </c>
      <c r="AL85" s="302" t="n">
        <f aca="false" t="array" ref="AL85:AL85">IFERROR( (AVERAGE((IF(DATOS_[[Sexo]:[Sexo]]=$B85,IF(DATOS_[[AGRUP. CLAS. PROF.]:[AGRUP. CLAS. PROF.]]=$B84,IF(DATOS_[[Check Periodo Ref.]:[Check Periodo Ref.]]="Dentro",IF(DATOS_[[Check Equiparado]:[Check Equiparado]]="Sí",IF(DATOS!BG$4="Sí",(1/DATOS_[[% anualiz]:[% anualiz]]),1)*IF(DATOS!BG$5="Sí",1/DATOS_[[% normaliz]:[% normaliz]],1)*(DATOS_[Conc.Sal.29])))))))), 0)</f>
        <v>0</v>
      </c>
      <c r="AM85" s="302" t="n">
        <f aca="false" t="array" ref="AM85:AM85">IFERROR( (AVERAGE((IF(DATOS_[[Sexo]:[Sexo]]=$B85,IF(DATOS_[[AGRUP. CLAS. PROF.]:[AGRUP. CLAS. PROF.]]=$B84,IF(DATOS_[[Check Periodo Ref.]:[Check Periodo Ref.]]="Dentro",IF(DATOS_[[Check Equiparado]:[Check Equiparado]]="Sí",IF(DATOS!BH$4="Sí",(1/DATOS_[[% anualiz]:[% anualiz]]),1)*IF(DATOS!BH$5="Sí",1/DATOS_[[% normaliz]:[% normaliz]],1)*(DATOS_[Conc.Sal.30])))))))), 0)</f>
        <v>0</v>
      </c>
      <c r="AN85" s="294" t="n">
        <f aca="false" t="array" ref="AN85:AN85">IFERROR( AVERAGE(IF(DATOS_[Sexo]=$B85,IF(DATOS_[[AGRUP. CLAS. PROF.]:[AGRUP. CLAS. PROF.]]=$B84,IF(DATOS_[Check Equiparado]="Sí",IF(DATOS_[Check Periodo Ref.]="Dentro",DATOS_[Tot COMPL.SAL Eq],0))))), 0)</f>
        <v>0</v>
      </c>
      <c r="AO85" s="295" t="n">
        <f aca="false" t="array" ref="AO85:AO85">IFERROR( AVERAGE(IF(DATOS_[Sexo]=$B85,IF(DATOS_[[AGRUP. CLAS. PROF.]:[AGRUP. CLAS. PROF.]]=$B84,IF(DATOS_[Check Equiparado]="Sí",IF(DATOS_[Check Periodo Ref.]="Dentro",DATOS_[TOTAL SALARIO Eq],0))))), 0)</f>
        <v>0</v>
      </c>
      <c r="AP85" s="303" t="n">
        <f aca="false" t="array" ref="AP85:AP85">IFERROR( (AVERAGE((IF(DATOS_[[Sexo]:[Sexo]]=$B85,IF(DATOS_[[AGRUP. CLAS. PROF.]:[AGRUP. CLAS. PROF.]]=$B84,IF(DATOS_[[Check Periodo Ref.]:[Check Periodo Ref.]]="Dentro",IF(DATOS_[[Check Equiparado]:[Check Equiparado]]="Sí",IF(DATOS!BI$4="Sí",(1/DATOS_[[% anualiz]:[% anualiz]]),1)*IF(DATOS!BI$5="Sí",1/DATOS_[[% normaliz]:[% normaliz]],1)*(DATOS_[C.Extra.01])))))))), 0)</f>
        <v>0</v>
      </c>
      <c r="AQ85" s="303" t="n">
        <f aca="false" t="array" ref="AQ85:AQ85">IFERROR( (AVERAGE((IF(DATOS_[[Sexo]:[Sexo]]=$B85,IF(DATOS_[[AGRUP. CLAS. PROF.]:[AGRUP. CLAS. PROF.]]=$B84,IF(DATOS_[[Check Periodo Ref.]:[Check Periodo Ref.]]="Dentro",IF(DATOS_[[Check Equiparado]:[Check Equiparado]]="Sí",IF(DATOS!BJ$4="Sí",(1/DATOS_[[% anualiz]:[% anualiz]]),1)*IF(DATOS!BJ$5="Sí",1/DATOS_[[% normaliz]:[% normaliz]],1)*(DATOS_[C.Extra.02])))))))), 0)</f>
        <v>0</v>
      </c>
      <c r="AR85" s="303" t="n">
        <f aca="false" t="array" ref="AR85:AR85">IFERROR( (AVERAGE((IF(DATOS_[[Sexo]:[Sexo]]=$B85,IF(DATOS_[[AGRUP. CLAS. PROF.]:[AGRUP. CLAS. PROF.]]=$B84,IF(DATOS_[[Check Periodo Ref.]:[Check Periodo Ref.]]="Dentro",IF(DATOS_[[Check Equiparado]:[Check Equiparado]]="Sí",IF(DATOS!BK$4="Sí",(1/DATOS_[[% anualiz]:[% anualiz]]),1)*IF(DATOS!BK$5="Sí",1/DATOS_[[% normaliz]:[% normaliz]],1)*(DATOS_[C.Extra.03])))))))), 0)</f>
        <v>0</v>
      </c>
      <c r="AS85" s="303" t="n">
        <f aca="false" t="array" ref="AS85:AS85">IFERROR( (AVERAGE((IF(DATOS_[[Sexo]:[Sexo]]=$B85,IF(DATOS_[[AGRUP. CLAS. PROF.]:[AGRUP. CLAS. PROF.]]=$B84,IF(DATOS_[[Check Periodo Ref.]:[Check Periodo Ref.]]="Dentro",IF(DATOS_[[Check Equiparado]:[Check Equiparado]]="Sí",IF(DATOS!BL$4="Sí",(1/DATOS_[[% anualiz]:[% anualiz]]),1)*IF(DATOS!BL$5="Sí",1/DATOS_[[% normaliz]:[% normaliz]],1)*(DATOS_[C.Extra.04])))))))), 0)</f>
        <v>0</v>
      </c>
      <c r="AT85" s="303" t="n">
        <f aca="false" t="array" ref="AT85:AT85">IFERROR( (AVERAGE((IF(DATOS_[[Sexo]:[Sexo]]=$B85,IF(DATOS_[[AGRUP. CLAS. PROF.]:[AGRUP. CLAS. PROF.]]=$B84,IF(DATOS_[[Check Periodo Ref.]:[Check Periodo Ref.]]="Dentro",IF(DATOS_[[Check Equiparado]:[Check Equiparado]]="Sí",IF(DATOS!BM$4="Sí",(1/DATOS_[[% anualiz]:[% anualiz]]),1)*IF(DATOS!BM$5="Sí",1/DATOS_[[% normaliz]:[% normaliz]],1)*(DATOS_[C.Extra.05])))))))), 0)</f>
        <v>0</v>
      </c>
      <c r="AU85" s="297" t="n">
        <f aca="false" t="array" ref="AU85:AU85">IFERROR( AVERAGE(IF(DATOS_[Sexo]=$B85,IF(DATOS_[[AGRUP. CLAS. PROF.]:[AGRUP. CLAS. PROF.]]=$B84,IF(DATOS_[Check Equiparado]="Sí",IF(DATOS_[Check Periodo Ref.]="Dentro",DATOS_[Tot Extrasalarial Eq],0))))), 0)</f>
        <v>0</v>
      </c>
      <c r="AV85" s="298" t="n">
        <f aca="false" t="array" ref="AV85:AV85">IFERROR( AVERAGE(IF(DATOS_[Sexo]=$B85,IF(DATOS_[[AGRUP. CLAS. PROF.]:[AGRUP. CLAS. PROF.]]=$B84,IF(DATOS_[Check Equiparado]="Sí",IF(DATOS_[Check Periodo Ref.]="Dentro",DATOS_[TOTAL Retrib Eq],0))))), 0)</f>
        <v>0</v>
      </c>
    </row>
    <row r="86" customFormat="false" ht="14.25" hidden="false" customHeight="false" outlineLevel="0" collapsed="false">
      <c r="A86" s="166" t="str">
        <f aca="false">+A85</f>
        <v>[ocultar]</v>
      </c>
      <c r="B86" s="289" t="s">
        <v>372</v>
      </c>
      <c r="C86" s="290" t="n">
        <f aca="false" t="array" ref="C86:C86">SUM(IF($B86=DATOS_[Sexo], IF($B84=DATOS_[AGRUP. CLAS. PROF.], IF("Dentro"=DATOS_[Check Periodo Ref.], 1/(COUNTIFS(DATOS_[Sexo],$B86,DATOS_[AGRUP. CLAS. PROF.],$B84,DATOS_[Check Periodo Ref.],"Dentro",DATOS_[id],DATOS_[id]))))))</f>
        <v>0</v>
      </c>
      <c r="D86" s="291" t="n">
        <f aca="false">COUNTIFS(DATOS_[AGRUP. CLAS. PROF.],$B84,DATOS_[Sexo],$B86,DATOS_[Check Periodo Ref.],"Dentro")</f>
        <v>0</v>
      </c>
      <c r="E86" s="291" t="n">
        <f aca="false">COUNTIFS(DATOS_[AGRUP. CLAS. PROF.],$B84,DATOS_[Sexo],$B86,DATOS_[Check Periodo Ref.],"Dentro",DATOS_[Check Nº SC Norm],"Sí")</f>
        <v>0</v>
      </c>
      <c r="F86" s="291" t="n">
        <f aca="false">COUNTIFS(DATOS_[AGRUP. CLAS. PROF.],$B84,DATOS_[Sexo],$B86,DATOS_[Check Periodo Ref.],"Dentro",DATOS_[Check Nº SC Anualiz],"Sí")</f>
        <v>0</v>
      </c>
      <c r="G86" s="291" t="n">
        <f aca="false">COUNTIFS(DATOS_[AGRUP. CLAS. PROF.],$B84,DATOS_[Sexo],$B86,DATOS_[Check Periodo Ref.],"Dentro",DATOS_[Check Nº SC Norm y Anualiz],"Sí")</f>
        <v>0</v>
      </c>
      <c r="H86" s="291" t="n">
        <f aca="false">COUNTIFS(DATOS_[AGRUP. CLAS. PROF.],$B84,DATOS_[Sexo],$B86,DATOS_[Check Periodo Ref.],"Dentro",DATOS_[Check Equiparación],"Sí")</f>
        <v>0</v>
      </c>
      <c r="I86" s="292" t="n">
        <f aca="false" t="array" ref="I86:I86">IFERROR( AVERAGE(IF(DATOS_[Sexo]=$B86,IF(DATOS_[[AGRUP. CLAS. PROF.]:[AGRUP. CLAS. PROF.]]=$B84,IF(DATOS_[Check Equiparado]="Sí",IF(DATOS_[Check Periodo Ref.]="Dentro",DATOS_[SALARIO BASE Eq],0))))), 0)</f>
        <v>0</v>
      </c>
      <c r="J86" s="302" t="n">
        <f aca="false" t="array" ref="J86:J86">IFERROR( (AVERAGE((IF(DATOS_[[Sexo]:[Sexo]]=$B86,IF(DATOS_[[AGRUP. CLAS. PROF.]:[AGRUP. CLAS. PROF.]]=$B84,IF(DATOS_[[Check Periodo Ref.]:[Check Periodo Ref.]]="Dentro",IF(DATOS_[[Check Equiparado]:[Check Equiparado]]="Sí",IF(DATOS!AE$4="Sí",(1/DATOS_[[% anualiz]:[% anualiz]]),1)*IF(DATOS!AE$5="Sí",1/DATOS_[[% normaliz]:[% normaliz]],1)*(DATOS_[Conc.Sal.01])))))))), 0)</f>
        <v>0</v>
      </c>
      <c r="K86" s="302" t="n">
        <f aca="false" t="array" ref="K86:K86">IFERROR( (AVERAGE((IF(DATOS_[[Sexo]:[Sexo]]=$B86,IF(DATOS_[[AGRUP. CLAS. PROF.]:[AGRUP. CLAS. PROF.]]=$B84,IF(DATOS_[[Check Periodo Ref.]:[Check Periodo Ref.]]="Dentro",IF(DATOS_[[Check Equiparado]:[Check Equiparado]]="Sí",IF(DATOS!AF$4="Sí",(1/DATOS_[[% anualiz]:[% anualiz]]),1)*IF(DATOS!AF$5="Sí",1/DATOS_[[% normaliz]:[% normaliz]],1)*(DATOS_[Conc.Sal.02])))))))), 0)</f>
        <v>0</v>
      </c>
      <c r="L86" s="302" t="n">
        <f aca="false" t="array" ref="L86:L86">IFERROR( (AVERAGE((IF(DATOS_[[Sexo]:[Sexo]]=$B86,IF(DATOS_[[AGRUP. CLAS. PROF.]:[AGRUP. CLAS. PROF.]]=$B84,IF(DATOS_[[Check Periodo Ref.]:[Check Periodo Ref.]]="Dentro",IF(DATOS_[[Check Equiparado]:[Check Equiparado]]="Sí",IF(DATOS!AG$4="Sí",(1/DATOS_[[% anualiz]:[% anualiz]]),1)*IF(DATOS!AG$5="Sí",1/DATOS_[[% normaliz]:[% normaliz]],1)*(DATOS_[Conc.Sal.03])))))))), 0)</f>
        <v>0</v>
      </c>
      <c r="M86" s="302" t="n">
        <f aca="false" t="array" ref="M86:M86">IFERROR( (AVERAGE((IF(DATOS_[[Sexo]:[Sexo]]=$B86,IF(DATOS_[[AGRUP. CLAS. PROF.]:[AGRUP. CLAS. PROF.]]=$B84,IF(DATOS_[[Check Periodo Ref.]:[Check Periodo Ref.]]="Dentro",IF(DATOS_[[Check Equiparado]:[Check Equiparado]]="Sí",IF(DATOS!AH$4="Sí",(1/DATOS_[[% anualiz]:[% anualiz]]),1)*IF(DATOS!AH$5="Sí",1/DATOS_[[% normaliz]:[% normaliz]],1)*(DATOS_[Conc.Sal.04])))))))), 0)</f>
        <v>0</v>
      </c>
      <c r="N86" s="302" t="n">
        <f aca="false" t="array" ref="N86:N86">IFERROR( (AVERAGE((IF(DATOS_[[Sexo]:[Sexo]]=$B86,IF(DATOS_[[AGRUP. CLAS. PROF.]:[AGRUP. CLAS. PROF.]]=$B84,IF(DATOS_[[Check Periodo Ref.]:[Check Periodo Ref.]]="Dentro",IF(DATOS_[[Check Equiparado]:[Check Equiparado]]="Sí",IF(DATOS!AI$4="Sí",(1/DATOS_[[% anualiz]:[% anualiz]]),1)*IF(DATOS!AI$5="Sí",1/DATOS_[[% normaliz]:[% normaliz]],1)*(DATOS_[Conc.Sal.05])))))))), 0)</f>
        <v>0</v>
      </c>
      <c r="O86" s="302" t="n">
        <f aca="false" t="array" ref="O86:O86">IFERROR( (AVERAGE((IF(DATOS_[[Sexo]:[Sexo]]=$B86,IF(DATOS_[[AGRUP. CLAS. PROF.]:[AGRUP. CLAS. PROF.]]=$B84,IF(DATOS_[[Check Periodo Ref.]:[Check Periodo Ref.]]="Dentro",IF(DATOS_[[Check Equiparado]:[Check Equiparado]]="Sí",IF(DATOS!AJ$4="Sí",(1/DATOS_[[% anualiz]:[% anualiz]]),1)*IF(DATOS!AJ$5="Sí",1/DATOS_[[% normaliz]:[% normaliz]],1)*(DATOS_[Conc.Sal.06])))))))), 0)</f>
        <v>0</v>
      </c>
      <c r="P86" s="302" t="n">
        <f aca="false" t="array" ref="P86:P86">IFERROR( (AVERAGE((IF(DATOS_[[Sexo]:[Sexo]]=$B86,IF(DATOS_[[AGRUP. CLAS. PROF.]:[AGRUP. CLAS. PROF.]]=$B84,IF(DATOS_[[Check Periodo Ref.]:[Check Periodo Ref.]]="Dentro",IF(DATOS_[[Check Equiparado]:[Check Equiparado]]="Sí",IF(DATOS!AK$4="Sí",(1/DATOS_[[% anualiz]:[% anualiz]]),1)*IF(DATOS!AK$5="Sí",1/DATOS_[[% normaliz]:[% normaliz]],1)*(DATOS_[Conc.Sal.07])))))))), 0)</f>
        <v>0</v>
      </c>
      <c r="Q86" s="302" t="n">
        <f aca="false" t="array" ref="Q86:Q86">IFERROR( (AVERAGE((IF(DATOS_[[Sexo]:[Sexo]]=$B86,IF(DATOS_[[AGRUP. CLAS. PROF.]:[AGRUP. CLAS. PROF.]]=$B84,IF(DATOS_[[Check Periodo Ref.]:[Check Periodo Ref.]]="Dentro",IF(DATOS_[[Check Equiparado]:[Check Equiparado]]="Sí",IF(DATOS!AL$4="Sí",(1/DATOS_[[% anualiz]:[% anualiz]]),1)*IF(DATOS!AL$5="Sí",1/DATOS_[[% normaliz]:[% normaliz]],1)*(DATOS_[Conc.Sal.08])))))))), 0)</f>
        <v>0</v>
      </c>
      <c r="R86" s="302" t="n">
        <f aca="false" t="array" ref="R86:R86">IFERROR( (AVERAGE((IF(DATOS_[[Sexo]:[Sexo]]=$B86,IF(DATOS_[[AGRUP. CLAS. PROF.]:[AGRUP. CLAS. PROF.]]=$B84,IF(DATOS_[[Check Periodo Ref.]:[Check Periodo Ref.]]="Dentro",IF(DATOS_[[Check Equiparado]:[Check Equiparado]]="Sí",IF(DATOS!AM$4="Sí",(1/DATOS_[[% anualiz]:[% anualiz]]),1)*IF(DATOS!AM$5="Sí",1/DATOS_[[% normaliz]:[% normaliz]],1)*(DATOS_[Conc.Sal.09])))))))), 0)</f>
        <v>0</v>
      </c>
      <c r="S86" s="302" t="n">
        <f aca="false" t="array" ref="S86:S86">IFERROR( (AVERAGE((IF(DATOS_[[Sexo]:[Sexo]]=$B86,IF(DATOS_[[AGRUP. CLAS. PROF.]:[AGRUP. CLAS. PROF.]]=$B84,IF(DATOS_[[Check Periodo Ref.]:[Check Periodo Ref.]]="Dentro",IF(DATOS_[[Check Equiparado]:[Check Equiparado]]="Sí",IF(DATOS!AN$4="Sí",(1/DATOS_[[% anualiz]:[% anualiz]]),1)*IF(DATOS!AN$5="Sí",1/DATOS_[[% normaliz]:[% normaliz]],1)*(DATOS_[Conc.Sal.10])))))))), 0)</f>
        <v>0</v>
      </c>
      <c r="T86" s="302" t="n">
        <f aca="false" t="array" ref="T86:T86">IFERROR( (AVERAGE((IF(DATOS_[[Sexo]:[Sexo]]=$B86,IF(DATOS_[[AGRUP. CLAS. PROF.]:[AGRUP. CLAS. PROF.]]=$B84,IF(DATOS_[[Check Periodo Ref.]:[Check Periodo Ref.]]="Dentro",IF(DATOS_[[Check Equiparado]:[Check Equiparado]]="Sí",IF(DATOS!AO$4="Sí",(1/DATOS_[[% anualiz]:[% anualiz]]),1)*IF(DATOS!AO$5="Sí",1/DATOS_[[% normaliz]:[% normaliz]],1)*(DATOS_[Conc.Sal.11])))))))), 0)</f>
        <v>0</v>
      </c>
      <c r="U86" s="302" t="n">
        <f aca="false" t="array" ref="U86:U86">IFERROR( (AVERAGE((IF(DATOS_[[Sexo]:[Sexo]]=$B86,IF(DATOS_[[AGRUP. CLAS. PROF.]:[AGRUP. CLAS. PROF.]]=$B84,IF(DATOS_[[Check Periodo Ref.]:[Check Periodo Ref.]]="Dentro",IF(DATOS_[[Check Equiparado]:[Check Equiparado]]="Sí",IF(DATOS!AP$4="Sí",(1/DATOS_[[% anualiz]:[% anualiz]]),1)*IF(DATOS!AP$5="Sí",1/DATOS_[[% normaliz]:[% normaliz]],1)*(DATOS_[Conc.Sal.12])))))))), 0)</f>
        <v>0</v>
      </c>
      <c r="V86" s="302" t="n">
        <f aca="false" t="array" ref="V86:V86">IFERROR( (AVERAGE((IF(DATOS_[[Sexo]:[Sexo]]=$B86,IF(DATOS_[[AGRUP. CLAS. PROF.]:[AGRUP. CLAS. PROF.]]=$B84,IF(DATOS_[[Check Periodo Ref.]:[Check Periodo Ref.]]="Dentro",IF(DATOS_[[Check Equiparado]:[Check Equiparado]]="Sí",IF(DATOS!AQ$4="Sí",(1/DATOS_[[% anualiz]:[% anualiz]]),1)*IF(DATOS!AQ$5="Sí",1/DATOS_[[% normaliz]:[% normaliz]],1)*(DATOS_[Conc.Sal.13])))))))), 0)</f>
        <v>0</v>
      </c>
      <c r="W86" s="302" t="n">
        <f aca="false" t="array" ref="W86:W86">IFERROR( (AVERAGE((IF(DATOS_[[Sexo]:[Sexo]]=$B86,IF(DATOS_[[AGRUP. CLAS. PROF.]:[AGRUP. CLAS. PROF.]]=$B84,IF(DATOS_[[Check Periodo Ref.]:[Check Periodo Ref.]]="Dentro",IF(DATOS_[[Check Equiparado]:[Check Equiparado]]="Sí",IF(DATOS!AR$4="Sí",(1/DATOS_[[% anualiz]:[% anualiz]]),1)*IF(DATOS!AR$5="Sí",1/DATOS_[[% normaliz]:[% normaliz]],1)*(DATOS_[Conc.Sal.14])))))))), 0)</f>
        <v>0</v>
      </c>
      <c r="X86" s="302" t="n">
        <f aca="false" t="array" ref="X86:X86">IFERROR( (AVERAGE((IF(DATOS_[[Sexo]:[Sexo]]=$B86,IF(DATOS_[[AGRUP. CLAS. PROF.]:[AGRUP. CLAS. PROF.]]=$B84,IF(DATOS_[[Check Periodo Ref.]:[Check Periodo Ref.]]="Dentro",IF(DATOS_[[Check Equiparado]:[Check Equiparado]]="Sí",IF(DATOS!AS$4="Sí",(1/DATOS_[[% anualiz]:[% anualiz]]),1)*IF(DATOS!AS$5="Sí",1/DATOS_[[% normaliz]:[% normaliz]],1)*(DATOS_[Conc.Sal.15])))))))), 0)</f>
        <v>0</v>
      </c>
      <c r="Y86" s="302" t="n">
        <f aca="false" t="array" ref="Y86:Y86">IFERROR( (AVERAGE((IF(DATOS_[[Sexo]:[Sexo]]=$B86,IF(DATOS_[[AGRUP. CLAS. PROF.]:[AGRUP. CLAS. PROF.]]=$B84,IF(DATOS_[[Check Periodo Ref.]:[Check Periodo Ref.]]="Dentro",IF(DATOS_[[Check Equiparado]:[Check Equiparado]]="Sí",IF(DATOS!AT$4="Sí",(1/DATOS_[[% anualiz]:[% anualiz]]),1)*IF(DATOS!AT$5="Sí",1/DATOS_[[% normaliz]:[% normaliz]],1)*(DATOS_[Conc.Sal.16])))))))), 0)</f>
        <v>0</v>
      </c>
      <c r="Z86" s="302" t="n">
        <f aca="false" t="array" ref="Z86:Z86">IFERROR( (AVERAGE((IF(DATOS_[[Sexo]:[Sexo]]=$B86,IF(DATOS_[[AGRUP. CLAS. PROF.]:[AGRUP. CLAS. PROF.]]=$B84,IF(DATOS_[[Check Periodo Ref.]:[Check Periodo Ref.]]="Dentro",IF(DATOS_[[Check Equiparado]:[Check Equiparado]]="Sí",IF(DATOS!AU$4="Sí",(1/DATOS_[[% anualiz]:[% anualiz]]),1)*IF(DATOS!AU$5="Sí",1/DATOS_[[% normaliz]:[% normaliz]],1)*(DATOS_[Conc.Sal.17])))))))), 0)</f>
        <v>0</v>
      </c>
      <c r="AA86" s="302" t="n">
        <f aca="false" t="array" ref="AA86:AA86">IFERROR( (AVERAGE((IF(DATOS_[[Sexo]:[Sexo]]=$B86,IF(DATOS_[[AGRUP. CLAS. PROF.]:[AGRUP. CLAS. PROF.]]=$B84,IF(DATOS_[[Check Periodo Ref.]:[Check Periodo Ref.]]="Dentro",IF(DATOS_[[Check Equiparado]:[Check Equiparado]]="Sí",IF(DATOS!AV$4="Sí",(1/DATOS_[[% anualiz]:[% anualiz]]),1)*IF(DATOS!AV$5="Sí",1/DATOS_[[% normaliz]:[% normaliz]],1)*(DATOS_[Conc.Sal.18])))))))), 0)</f>
        <v>0</v>
      </c>
      <c r="AB86" s="302" t="n">
        <f aca="false" t="array" ref="AB86:AB86">IFERROR( (AVERAGE((IF(DATOS_[[Sexo]:[Sexo]]=$B86,IF(DATOS_[[AGRUP. CLAS. PROF.]:[AGRUP. CLAS. PROF.]]=$B84,IF(DATOS_[[Check Periodo Ref.]:[Check Periodo Ref.]]="Dentro",IF(DATOS_[[Check Equiparado]:[Check Equiparado]]="Sí",IF(DATOS!AW$4="Sí",(1/DATOS_[[% anualiz]:[% anualiz]]),1)*IF(DATOS!AW$5="Sí",1/DATOS_[[% normaliz]:[% normaliz]],1)*(DATOS_[Conc.Sal.19])))))))), 0)</f>
        <v>0</v>
      </c>
      <c r="AC86" s="302" t="n">
        <f aca="false" t="array" ref="AC86:AC86">IFERROR( (AVERAGE((IF(DATOS_[[Sexo]:[Sexo]]=$B86,IF(DATOS_[[AGRUP. CLAS. PROF.]:[AGRUP. CLAS. PROF.]]=$B84,IF(DATOS_[[Check Periodo Ref.]:[Check Periodo Ref.]]="Dentro",IF(DATOS_[[Check Equiparado]:[Check Equiparado]]="Sí",IF(DATOS!AX$4="Sí",(1/DATOS_[[% anualiz]:[% anualiz]]),1)*IF(DATOS!AX$5="Sí",1/DATOS_[[% normaliz]:[% normaliz]],1)*(DATOS_[Conc.Sal.20])))))))), 0)</f>
        <v>0</v>
      </c>
      <c r="AD86" s="302" t="n">
        <f aca="false" t="array" ref="AD86:AD86">IFERROR( (AVERAGE((IF(DATOS_[[Sexo]:[Sexo]]=$B86,IF(DATOS_[[AGRUP. CLAS. PROF.]:[AGRUP. CLAS. PROF.]]=$B84,IF(DATOS_[[Check Periodo Ref.]:[Check Periodo Ref.]]="Dentro",IF(DATOS_[[Check Equiparado]:[Check Equiparado]]="Sí",IF(DATOS!AY$4="Sí",(1/DATOS_[[% anualiz]:[% anualiz]]),1)*IF(DATOS!AY$5="Sí",1/DATOS_[[% normaliz]:[% normaliz]],1)*(DATOS_[Conc.Sal.21])))))))), 0)</f>
        <v>0</v>
      </c>
      <c r="AE86" s="302" t="n">
        <f aca="false" t="array" ref="AE86:AE86">IFERROR( (AVERAGE((IF(DATOS_[[Sexo]:[Sexo]]=$B86,IF(DATOS_[[AGRUP. CLAS. PROF.]:[AGRUP. CLAS. PROF.]]=$B84,IF(DATOS_[[Check Periodo Ref.]:[Check Periodo Ref.]]="Dentro",IF(DATOS_[[Check Equiparado]:[Check Equiparado]]="Sí",IF(DATOS!AZ$4="Sí",(1/DATOS_[[% anualiz]:[% anualiz]]),1)*IF(DATOS!AZ$5="Sí",1/DATOS_[[% normaliz]:[% normaliz]],1)*(DATOS_[Conc.Sal.22])))))))), 0)</f>
        <v>0</v>
      </c>
      <c r="AF86" s="302" t="n">
        <f aca="false" t="array" ref="AF86:AF86">IFERROR( (AVERAGE((IF(DATOS_[[Sexo]:[Sexo]]=$B86,IF(DATOS_[[AGRUP. CLAS. PROF.]:[AGRUP. CLAS. PROF.]]=$B84,IF(DATOS_[[Check Periodo Ref.]:[Check Periodo Ref.]]="Dentro",IF(DATOS_[[Check Equiparado]:[Check Equiparado]]="Sí",IF(DATOS!BA$4="Sí",(1/DATOS_[[% anualiz]:[% anualiz]]),1)*IF(DATOS!BA$5="Sí",1/DATOS_[[% normaliz]:[% normaliz]],1)*(DATOS_[Conc.Sal.23])))))))), 0)</f>
        <v>0</v>
      </c>
      <c r="AG86" s="302" t="n">
        <f aca="false" t="array" ref="AG86:AG86">IFERROR( (AVERAGE((IF(DATOS_[[Sexo]:[Sexo]]=$B86,IF(DATOS_[[AGRUP. CLAS. PROF.]:[AGRUP. CLAS. PROF.]]=$B84,IF(DATOS_[[Check Periodo Ref.]:[Check Periodo Ref.]]="Dentro",IF(DATOS_[[Check Equiparado]:[Check Equiparado]]="Sí",IF(DATOS!BB$4="Sí",(1/DATOS_[[% anualiz]:[% anualiz]]),1)*IF(DATOS!BB$5="Sí",1/DATOS_[[% normaliz]:[% normaliz]],1)*(DATOS_[Conc.Sal.24])))))))), 0)</f>
        <v>0</v>
      </c>
      <c r="AH86" s="302" t="n">
        <f aca="false" t="array" ref="AH86:AH86">IFERROR( (AVERAGE((IF(DATOS_[[Sexo]:[Sexo]]=$B86,IF(DATOS_[[AGRUP. CLAS. PROF.]:[AGRUP. CLAS. PROF.]]=$B84,IF(DATOS_[[Check Periodo Ref.]:[Check Periodo Ref.]]="Dentro",IF(DATOS_[[Check Equiparado]:[Check Equiparado]]="Sí",IF(DATOS!BC$4="Sí",(1/DATOS_[[% anualiz]:[% anualiz]]),1)*IF(DATOS!BC$5="Sí",1/DATOS_[[% normaliz]:[% normaliz]],1)*(DATOS_[Conc.Sal.25])))))))), 0)</f>
        <v>0</v>
      </c>
      <c r="AI86" s="302" t="n">
        <f aca="false" t="array" ref="AI86:AI86">IFERROR( (AVERAGE((IF(DATOS_[[Sexo]:[Sexo]]=$B86,IF(DATOS_[[AGRUP. CLAS. PROF.]:[AGRUP. CLAS. PROF.]]=$B84,IF(DATOS_[[Check Periodo Ref.]:[Check Periodo Ref.]]="Dentro",IF(DATOS_[[Check Equiparado]:[Check Equiparado]]="Sí",IF(DATOS!BD$4="Sí",(1/DATOS_[[% anualiz]:[% anualiz]]),1)*IF(DATOS!BD$5="Sí",1/DATOS_[[% normaliz]:[% normaliz]],1)*(DATOS_[Conc.Sal.26])))))))), 0)</f>
        <v>0</v>
      </c>
      <c r="AJ86" s="302" t="n">
        <f aca="false" t="array" ref="AJ86:AJ86">IFERROR( (AVERAGE((IF(DATOS_[[Sexo]:[Sexo]]=$B86,IF(DATOS_[[AGRUP. CLAS. PROF.]:[AGRUP. CLAS. PROF.]]=$B84,IF(DATOS_[[Check Periodo Ref.]:[Check Periodo Ref.]]="Dentro",IF(DATOS_[[Check Equiparado]:[Check Equiparado]]="Sí",IF(DATOS!BE$4="Sí",(1/DATOS_[[% anualiz]:[% anualiz]]),1)*IF(DATOS!BE$5="Sí",1/DATOS_[[% normaliz]:[% normaliz]],1)*(DATOS_[Conc.Sal.27])))))))), 0)</f>
        <v>0</v>
      </c>
      <c r="AK86" s="302" t="n">
        <f aca="false" t="array" ref="AK86:AK86">IFERROR( (AVERAGE((IF(DATOS_[[Sexo]:[Sexo]]=$B86,IF(DATOS_[[AGRUP. CLAS. PROF.]:[AGRUP. CLAS. PROF.]]=$B84,IF(DATOS_[[Check Periodo Ref.]:[Check Periodo Ref.]]="Dentro",IF(DATOS_[[Check Equiparado]:[Check Equiparado]]="Sí",IF(DATOS!BF$4="Sí",(1/DATOS_[[% anualiz]:[% anualiz]]),1)*IF(DATOS!BF$5="Sí",1/DATOS_[[% normaliz]:[% normaliz]],1)*(DATOS_[Conc.Sal.28])))))))), 0)</f>
        <v>0</v>
      </c>
      <c r="AL86" s="302" t="n">
        <f aca="false" t="array" ref="AL86:AL86">IFERROR( (AVERAGE((IF(DATOS_[[Sexo]:[Sexo]]=$B86,IF(DATOS_[[AGRUP. CLAS. PROF.]:[AGRUP. CLAS. PROF.]]=$B84,IF(DATOS_[[Check Periodo Ref.]:[Check Periodo Ref.]]="Dentro",IF(DATOS_[[Check Equiparado]:[Check Equiparado]]="Sí",IF(DATOS!BG$4="Sí",(1/DATOS_[[% anualiz]:[% anualiz]]),1)*IF(DATOS!BG$5="Sí",1/DATOS_[[% normaliz]:[% normaliz]],1)*(DATOS_[Conc.Sal.29])))))))), 0)</f>
        <v>0</v>
      </c>
      <c r="AM86" s="302" t="n">
        <f aca="false" t="array" ref="AM86:AM86">IFERROR( (AVERAGE((IF(DATOS_[[Sexo]:[Sexo]]=$B86,IF(DATOS_[[AGRUP. CLAS. PROF.]:[AGRUP. CLAS. PROF.]]=$B84,IF(DATOS_[[Check Periodo Ref.]:[Check Periodo Ref.]]="Dentro",IF(DATOS_[[Check Equiparado]:[Check Equiparado]]="Sí",IF(DATOS!BH$4="Sí",(1/DATOS_[[% anualiz]:[% anualiz]]),1)*IF(DATOS!BH$5="Sí",1/DATOS_[[% normaliz]:[% normaliz]],1)*(DATOS_[Conc.Sal.30])))))))), 0)</f>
        <v>0</v>
      </c>
      <c r="AN86" s="294" t="n">
        <f aca="false" t="array" ref="AN86:AN86">IFERROR( AVERAGE(IF(DATOS_[Sexo]=$B86,IF(DATOS_[[AGRUP. CLAS. PROF.]:[AGRUP. CLAS. PROF.]]=$B84,IF(DATOS_[Check Equiparado]="Sí",IF(DATOS_[Check Periodo Ref.]="Dentro",DATOS_[Tot COMPL.SAL Eq],0))))), 0)</f>
        <v>0</v>
      </c>
      <c r="AO86" s="295" t="n">
        <f aca="false" t="array" ref="AO86:AO86">IFERROR( AVERAGE(IF(DATOS_[Sexo]=$B86,IF(DATOS_[[AGRUP. CLAS. PROF.]:[AGRUP. CLAS. PROF.]]=$B84,IF(DATOS_[Check Equiparado]="Sí",IF(DATOS_[Check Periodo Ref.]="Dentro",DATOS_[TOTAL SALARIO Eq],0))))), 0)</f>
        <v>0</v>
      </c>
      <c r="AP86" s="303" t="n">
        <f aca="false" t="array" ref="AP86:AP86">IFERROR( (AVERAGE((IF(DATOS_[[Sexo]:[Sexo]]=$B86,IF(DATOS_[[AGRUP. CLAS. PROF.]:[AGRUP. CLAS. PROF.]]=$B85,IF(DATOS_[[Check Periodo Ref.]:[Check Periodo Ref.]]="Dentro",IF(DATOS_[[Check Equiparado]:[Check Equiparado]]="Sí",IF(DATOS!BI$4="Sí",(1/DATOS_[[% anualiz]:[% anualiz]]),1)*IF(DATOS!BI$5="Sí",1/DATOS_[[% normaliz]:[% normaliz]],1)*(DATOS_[C.Extra.01])))))))), 0)</f>
        <v>0</v>
      </c>
      <c r="AQ86" s="303" t="n">
        <f aca="false" t="array" ref="AQ86:AQ86">IFERROR( (AVERAGE((IF(DATOS_[[Sexo]:[Sexo]]=$B86,IF(DATOS_[[AGRUP. CLAS. PROF.]:[AGRUP. CLAS. PROF.]]=$B85,IF(DATOS_[[Check Periodo Ref.]:[Check Periodo Ref.]]="Dentro",IF(DATOS_[[Check Equiparado]:[Check Equiparado]]="Sí",IF(DATOS!BJ$4="Sí",(1/DATOS_[[% anualiz]:[% anualiz]]),1)*IF(DATOS!BJ$5="Sí",1/DATOS_[[% normaliz]:[% normaliz]],1)*(DATOS_[C.Extra.02])))))))), 0)</f>
        <v>0</v>
      </c>
      <c r="AR86" s="303" t="n">
        <f aca="false" t="array" ref="AR86:AR86">IFERROR( (AVERAGE((IF(DATOS_[[Sexo]:[Sexo]]=$B86,IF(DATOS_[[AGRUP. CLAS. PROF.]:[AGRUP. CLAS. PROF.]]=$B85,IF(DATOS_[[Check Periodo Ref.]:[Check Periodo Ref.]]="Dentro",IF(DATOS_[[Check Equiparado]:[Check Equiparado]]="Sí",IF(DATOS!BK$4="Sí",(1/DATOS_[[% anualiz]:[% anualiz]]),1)*IF(DATOS!BK$5="Sí",1/DATOS_[[% normaliz]:[% normaliz]],1)*(DATOS_[C.Extra.03])))))))), 0)</f>
        <v>0</v>
      </c>
      <c r="AS86" s="303" t="n">
        <f aca="false" t="array" ref="AS86:AS86">IFERROR( (AVERAGE((IF(DATOS_[[Sexo]:[Sexo]]=$B86,IF(DATOS_[[AGRUP. CLAS. PROF.]:[AGRUP. CLAS. PROF.]]=$B85,IF(DATOS_[[Check Periodo Ref.]:[Check Periodo Ref.]]="Dentro",IF(DATOS_[[Check Equiparado]:[Check Equiparado]]="Sí",IF(DATOS!BL$4="Sí",(1/DATOS_[[% anualiz]:[% anualiz]]),1)*IF(DATOS!BL$5="Sí",1/DATOS_[[% normaliz]:[% normaliz]],1)*(DATOS_[C.Extra.04])))))))), 0)</f>
        <v>0</v>
      </c>
      <c r="AT86" s="303" t="n">
        <f aca="false" t="array" ref="AT86:AT86">IFERROR( (AVERAGE((IF(DATOS_[[Sexo]:[Sexo]]=$B86,IF(DATOS_[[AGRUP. CLAS. PROF.]:[AGRUP. CLAS. PROF.]]=$B85,IF(DATOS_[[Check Periodo Ref.]:[Check Periodo Ref.]]="Dentro",IF(DATOS_[[Check Equiparado]:[Check Equiparado]]="Sí",IF(DATOS!BM$4="Sí",(1/DATOS_[[% anualiz]:[% anualiz]]),1)*IF(DATOS!BM$5="Sí",1/DATOS_[[% normaliz]:[% normaliz]],1)*(DATOS_[C.Extra.05])))))))), 0)</f>
        <v>0</v>
      </c>
      <c r="AU86" s="297" t="n">
        <f aca="false" t="array" ref="AU86:AU86">IFERROR( AVERAGE(IF(DATOS_[Sexo]=$B86,IF(DATOS_[[AGRUP. CLAS. PROF.]:[AGRUP. CLAS. PROF.]]=$B84,IF(DATOS_[Check Equiparado]="Sí",IF(DATOS_[Check Periodo Ref.]="Dentro",DATOS_[Tot Extrasalarial Eq],0))))), 0)</f>
        <v>0</v>
      </c>
      <c r="AV86" s="298" t="n">
        <f aca="false" t="array" ref="AV86:AV86">IFERROR( AVERAGE(IF(DATOS_[Sexo]=$B86,IF(DATOS_[[AGRUP. CLAS. PROF.]:[AGRUP. CLAS. PROF.]]=$B84,IF(DATOS_[Check Equiparado]="Sí",IF(DATOS_[Check Periodo Ref.]="Dentro",DATOS_[TOTAL Retrib Eq],0))))), 0)</f>
        <v>0</v>
      </c>
    </row>
    <row r="87" customFormat="false" ht="15.75" hidden="false" customHeight="false" outlineLevel="0" collapsed="false">
      <c r="A87" s="166" t="str">
        <f aca="false">+A88</f>
        <v>[ocultar]</v>
      </c>
      <c r="B87" s="276" t="s">
        <v>240</v>
      </c>
      <c r="C87" s="277"/>
      <c r="D87" s="278"/>
      <c r="E87" s="278"/>
      <c r="F87" s="278"/>
      <c r="G87" s="278"/>
      <c r="H87" s="278"/>
      <c r="I87" s="279" t="str">
        <f aca="false">IFERROR((I88-I89)/I88,"")</f>
        <v/>
      </c>
      <c r="J87" s="280" t="str">
        <f aca="false">IFERROR((J88-J89)/J88,"")</f>
        <v/>
      </c>
      <c r="K87" s="281" t="str">
        <f aca="false">IFERROR((K88-K89)/K88,"")</f>
        <v/>
      </c>
      <c r="L87" s="281" t="str">
        <f aca="false">IFERROR((L88-L89)/L88,"")</f>
        <v/>
      </c>
      <c r="M87" s="281" t="str">
        <f aca="false">IFERROR((M88-M89)/M88,"")</f>
        <v/>
      </c>
      <c r="N87" s="282" t="str">
        <f aca="false">IFERROR((N88-N89)/N88,"")</f>
        <v/>
      </c>
      <c r="O87" s="283" t="str">
        <f aca="false">IFERROR((O88-O89)/O88,"")</f>
        <v/>
      </c>
      <c r="P87" s="283" t="str">
        <f aca="false">IFERROR((P88-P89)/P88,"")</f>
        <v/>
      </c>
      <c r="Q87" s="283" t="str">
        <f aca="false">IFERROR((Q88-Q89)/Q88,"")</f>
        <v/>
      </c>
      <c r="R87" s="283" t="str">
        <f aca="false">IFERROR((R88-R89)/R88,"")</f>
        <v/>
      </c>
      <c r="S87" s="283" t="str">
        <f aca="false">IFERROR((S88-S89)/S88,"")</f>
        <v/>
      </c>
      <c r="T87" s="283" t="str">
        <f aca="false">IFERROR((T88-T89)/T88,"")</f>
        <v/>
      </c>
      <c r="U87" s="283" t="str">
        <f aca="false">IFERROR((U88-U89)/U88,"")</f>
        <v/>
      </c>
      <c r="V87" s="283" t="str">
        <f aca="false">IFERROR((V88-V89)/V88,"")</f>
        <v/>
      </c>
      <c r="W87" s="283" t="str">
        <f aca="false">IFERROR((W88-W89)/W88,"")</f>
        <v/>
      </c>
      <c r="X87" s="283" t="str">
        <f aca="false">IFERROR((X88-X89)/X88,"")</f>
        <v/>
      </c>
      <c r="Y87" s="283" t="str">
        <f aca="false">IFERROR((Y88-Y89)/Y88,"")</f>
        <v/>
      </c>
      <c r="Z87" s="282" t="str">
        <f aca="false">IFERROR((Z88-Z89)/Z88,"")</f>
        <v/>
      </c>
      <c r="AA87" s="282" t="str">
        <f aca="false">IFERROR((AA88-AA89)/AA88,"")</f>
        <v/>
      </c>
      <c r="AB87" s="282" t="str">
        <f aca="false">IFERROR((AB88-AB89)/AB88,"")</f>
        <v/>
      </c>
      <c r="AC87" s="282" t="str">
        <f aca="false">IFERROR((AC88-AC89)/AC88,"")</f>
        <v/>
      </c>
      <c r="AD87" s="282" t="str">
        <f aca="false">IFERROR((AD88-AD89)/AD88,"")</f>
        <v/>
      </c>
      <c r="AE87" s="282" t="str">
        <f aca="false">IFERROR((AE88-AE89)/AE88,"")</f>
        <v/>
      </c>
      <c r="AF87" s="282" t="str">
        <f aca="false">IFERROR((AF88-AF89)/AF88,"")</f>
        <v/>
      </c>
      <c r="AG87" s="282" t="str">
        <f aca="false">IFERROR((AG88-AG89)/AG88,"")</f>
        <v/>
      </c>
      <c r="AH87" s="282" t="str">
        <f aca="false">IFERROR((AH88-AH89)/AH88,"")</f>
        <v/>
      </c>
      <c r="AI87" s="282" t="str">
        <f aca="false">IFERROR((AI88-AI89)/AI88,"")</f>
        <v/>
      </c>
      <c r="AJ87" s="282" t="str">
        <f aca="false">IFERROR((AJ88-AJ89)/AJ88,"")</f>
        <v/>
      </c>
      <c r="AK87" s="282" t="str">
        <f aca="false">IFERROR((AK88-AK89)/AK88,"")</f>
        <v/>
      </c>
      <c r="AL87" s="282" t="str">
        <f aca="false">IFERROR((AL88-AL89)/AL88,"")</f>
        <v/>
      </c>
      <c r="AM87" s="282" t="str">
        <f aca="false">IFERROR((AM88-AM89)/AM88,"")</f>
        <v/>
      </c>
      <c r="AN87" s="284" t="str">
        <f aca="false">IFERROR((AN88-AN89)/AN88,"")</f>
        <v/>
      </c>
      <c r="AO87" s="285" t="str">
        <f aca="false">IFERROR((AO88-AO89)/AO88,"")</f>
        <v/>
      </c>
      <c r="AP87" s="286" t="str">
        <f aca="false">IFERROR((AP88-AP89)/AP88,"")</f>
        <v/>
      </c>
      <c r="AQ87" s="286" t="str">
        <f aca="false">IFERROR((AQ88-AQ89)/AQ88,"")</f>
        <v/>
      </c>
      <c r="AR87" s="286" t="str">
        <f aca="false">IFERROR((AR88-AR89)/AR88,"")</f>
        <v/>
      </c>
      <c r="AS87" s="286" t="str">
        <f aca="false">IFERROR((AS88-AS89)/AS88,"")</f>
        <v/>
      </c>
      <c r="AT87" s="286" t="str">
        <f aca="false">IFERROR((AT88-AT89)/AT88,"")</f>
        <v/>
      </c>
      <c r="AU87" s="287" t="str">
        <f aca="false">IFERROR((AU88-AU89)/AU88,"")</f>
        <v/>
      </c>
      <c r="AV87" s="288" t="str">
        <f aca="false">IFERROR((AV88-AV89)/AV88,"")</f>
        <v/>
      </c>
    </row>
    <row r="88" customFormat="false" ht="14.25" hidden="false" customHeight="false" outlineLevel="0" collapsed="false">
      <c r="A88" s="166" t="str">
        <f aca="false">+IF(C88+C89=0,"[ocultar]","")</f>
        <v>[ocultar]</v>
      </c>
      <c r="B88" s="289" t="s">
        <v>371</v>
      </c>
      <c r="C88" s="290" t="n">
        <f aca="false" t="array" ref="C88:C88">SUM(IF($B88=DATOS_[Sexo], IF($B87=DATOS_[AGRUP. CLAS. PROF.], IF("Dentro"=DATOS_[Check Periodo Ref.], 1/(COUNTIFS(DATOS_[Sexo],$B88,DATOS_[AGRUP. CLAS. PROF.],$B87,DATOS_[Check Periodo Ref.],"Dentro",DATOS_[id],DATOS_[id]))))))</f>
        <v>0</v>
      </c>
      <c r="D88" s="291" t="n">
        <f aca="false">COUNTIFS(DATOS_[AGRUP. CLAS. PROF.],$B87,DATOS_[Sexo],$B88,DATOS_[Check Periodo Ref.],"Dentro")</f>
        <v>0</v>
      </c>
      <c r="E88" s="291" t="n">
        <f aca="false">COUNTIFS(DATOS_[AGRUP. CLAS. PROF.],$B87,DATOS_[Sexo],$B88,DATOS_[Check Periodo Ref.],"Dentro",DATOS_[Check Nº SC Norm],"Sí")</f>
        <v>0</v>
      </c>
      <c r="F88" s="291" t="n">
        <f aca="false">COUNTIFS(DATOS_[AGRUP. CLAS. PROF.],$B87,DATOS_[Sexo],$B88,DATOS_[Check Periodo Ref.],"Dentro",DATOS_[Check Nº SC Anualiz],"Sí")</f>
        <v>0</v>
      </c>
      <c r="G88" s="291" t="n">
        <f aca="false">COUNTIFS(DATOS_[AGRUP. CLAS. PROF.],$B87,DATOS_[Sexo],$B88,DATOS_[Check Periodo Ref.],"Dentro",DATOS_[Check Nº SC Norm y Anualiz],"Sí")</f>
        <v>0</v>
      </c>
      <c r="H88" s="291" t="n">
        <f aca="false">COUNTIFS(DATOS_[AGRUP. CLAS. PROF.],$B87,DATOS_[Sexo],$B88,DATOS_[Check Periodo Ref.],"Dentro",DATOS_[Check Equiparación],"Sí")</f>
        <v>0</v>
      </c>
      <c r="I88" s="292" t="n">
        <f aca="false" t="array" ref="I88:I88">IFERROR( AVERAGE(IF(DATOS_[Sexo]=$B88,IF(DATOS_[[AGRUP. CLAS. PROF.]:[AGRUP. CLAS. PROF.]]=$B87,IF(DATOS_[Check Equiparado]="Sí",IF(DATOS_[Check Periodo Ref.]="Dentro",DATOS_[SALARIO BASE Eq],0))))), 0)</f>
        <v>0</v>
      </c>
      <c r="J88" s="302" t="n">
        <f aca="false" t="array" ref="J88:J88">IFERROR( (AVERAGE((IF(DATOS_[[Sexo]:[Sexo]]=$B88,IF(DATOS_[[AGRUP. CLAS. PROF.]:[AGRUP. CLAS. PROF.]]=$B87,IF(DATOS_[[Check Periodo Ref.]:[Check Periodo Ref.]]="Dentro",IF(DATOS_[[Check Equiparado]:[Check Equiparado]]="Sí",IF(DATOS!AE$4="Sí",(1/DATOS_[[% anualiz]:[% anualiz]]),1)*IF(DATOS!AE$5="Sí",1/DATOS_[[% normaliz]:[% normaliz]],1)*(DATOS_[Conc.Sal.01])))))))), 0)</f>
        <v>0</v>
      </c>
      <c r="K88" s="302" t="n">
        <f aca="false" t="array" ref="K88:K88">IFERROR( (AVERAGE((IF(DATOS_[[Sexo]:[Sexo]]=$B88,IF(DATOS_[[AGRUP. CLAS. PROF.]:[AGRUP. CLAS. PROF.]]=$B87,IF(DATOS_[[Check Periodo Ref.]:[Check Periodo Ref.]]="Dentro",IF(DATOS_[[Check Equiparado]:[Check Equiparado]]="Sí",IF(DATOS!AF$4="Sí",(1/DATOS_[[% anualiz]:[% anualiz]]),1)*IF(DATOS!AF$5="Sí",1/DATOS_[[% normaliz]:[% normaliz]],1)*(DATOS_[Conc.Sal.02])))))))), 0)</f>
        <v>0</v>
      </c>
      <c r="L88" s="302" t="n">
        <f aca="false" t="array" ref="L88:L88">IFERROR( (AVERAGE((IF(DATOS_[[Sexo]:[Sexo]]=$B88,IF(DATOS_[[AGRUP. CLAS. PROF.]:[AGRUP. CLAS. PROF.]]=$B87,IF(DATOS_[[Check Periodo Ref.]:[Check Periodo Ref.]]="Dentro",IF(DATOS_[[Check Equiparado]:[Check Equiparado]]="Sí",IF(DATOS!AG$4="Sí",(1/DATOS_[[% anualiz]:[% anualiz]]),1)*IF(DATOS!AG$5="Sí",1/DATOS_[[% normaliz]:[% normaliz]],1)*(DATOS_[Conc.Sal.03])))))))), 0)</f>
        <v>0</v>
      </c>
      <c r="M88" s="302" t="n">
        <f aca="false" t="array" ref="M88:M88">IFERROR( (AVERAGE((IF(DATOS_[[Sexo]:[Sexo]]=$B88,IF(DATOS_[[AGRUP. CLAS. PROF.]:[AGRUP. CLAS. PROF.]]=$B87,IF(DATOS_[[Check Periodo Ref.]:[Check Periodo Ref.]]="Dentro",IF(DATOS_[[Check Equiparado]:[Check Equiparado]]="Sí",IF(DATOS!AH$4="Sí",(1/DATOS_[[% anualiz]:[% anualiz]]),1)*IF(DATOS!AH$5="Sí",1/DATOS_[[% normaliz]:[% normaliz]],1)*(DATOS_[Conc.Sal.04])))))))), 0)</f>
        <v>0</v>
      </c>
      <c r="N88" s="302" t="n">
        <f aca="false" t="array" ref="N88:N88">IFERROR( (AVERAGE((IF(DATOS_[[Sexo]:[Sexo]]=$B88,IF(DATOS_[[AGRUP. CLAS. PROF.]:[AGRUP. CLAS. PROF.]]=$B87,IF(DATOS_[[Check Periodo Ref.]:[Check Periodo Ref.]]="Dentro",IF(DATOS_[[Check Equiparado]:[Check Equiparado]]="Sí",IF(DATOS!AI$4="Sí",(1/DATOS_[[% anualiz]:[% anualiz]]),1)*IF(DATOS!AI$5="Sí",1/DATOS_[[% normaliz]:[% normaliz]],1)*(DATOS_[Conc.Sal.05])))))))), 0)</f>
        <v>0</v>
      </c>
      <c r="O88" s="302" t="n">
        <f aca="false" t="array" ref="O88:O88">IFERROR( (AVERAGE((IF(DATOS_[[Sexo]:[Sexo]]=$B88,IF(DATOS_[[AGRUP. CLAS. PROF.]:[AGRUP. CLAS. PROF.]]=$B87,IF(DATOS_[[Check Periodo Ref.]:[Check Periodo Ref.]]="Dentro",IF(DATOS_[[Check Equiparado]:[Check Equiparado]]="Sí",IF(DATOS!AJ$4="Sí",(1/DATOS_[[% anualiz]:[% anualiz]]),1)*IF(DATOS!AJ$5="Sí",1/DATOS_[[% normaliz]:[% normaliz]],1)*(DATOS_[Conc.Sal.06])))))))), 0)</f>
        <v>0</v>
      </c>
      <c r="P88" s="302" t="n">
        <f aca="false" t="array" ref="P88:P88">IFERROR( (AVERAGE((IF(DATOS_[[Sexo]:[Sexo]]=$B88,IF(DATOS_[[AGRUP. CLAS. PROF.]:[AGRUP. CLAS. PROF.]]=$B87,IF(DATOS_[[Check Periodo Ref.]:[Check Periodo Ref.]]="Dentro",IF(DATOS_[[Check Equiparado]:[Check Equiparado]]="Sí",IF(DATOS!AK$4="Sí",(1/DATOS_[[% anualiz]:[% anualiz]]),1)*IF(DATOS!AK$5="Sí",1/DATOS_[[% normaliz]:[% normaliz]],1)*(DATOS_[Conc.Sal.07])))))))), 0)</f>
        <v>0</v>
      </c>
      <c r="Q88" s="302" t="n">
        <f aca="false" t="array" ref="Q88:Q88">IFERROR( (AVERAGE((IF(DATOS_[[Sexo]:[Sexo]]=$B88,IF(DATOS_[[AGRUP. CLAS. PROF.]:[AGRUP. CLAS. PROF.]]=$B87,IF(DATOS_[[Check Periodo Ref.]:[Check Periodo Ref.]]="Dentro",IF(DATOS_[[Check Equiparado]:[Check Equiparado]]="Sí",IF(DATOS!AL$4="Sí",(1/DATOS_[[% anualiz]:[% anualiz]]),1)*IF(DATOS!AL$5="Sí",1/DATOS_[[% normaliz]:[% normaliz]],1)*(DATOS_[Conc.Sal.08])))))))), 0)</f>
        <v>0</v>
      </c>
      <c r="R88" s="302" t="n">
        <f aca="false" t="array" ref="R88:R88">IFERROR( (AVERAGE((IF(DATOS_[[Sexo]:[Sexo]]=$B88,IF(DATOS_[[AGRUP. CLAS. PROF.]:[AGRUP. CLAS. PROF.]]=$B87,IF(DATOS_[[Check Periodo Ref.]:[Check Periodo Ref.]]="Dentro",IF(DATOS_[[Check Equiparado]:[Check Equiparado]]="Sí",IF(DATOS!AM$4="Sí",(1/DATOS_[[% anualiz]:[% anualiz]]),1)*IF(DATOS!AM$5="Sí",1/DATOS_[[% normaliz]:[% normaliz]],1)*(DATOS_[Conc.Sal.09])))))))), 0)</f>
        <v>0</v>
      </c>
      <c r="S88" s="302" t="n">
        <f aca="false" t="array" ref="S88:S88">IFERROR( (AVERAGE((IF(DATOS_[[Sexo]:[Sexo]]=$B88,IF(DATOS_[[AGRUP. CLAS. PROF.]:[AGRUP. CLAS. PROF.]]=$B87,IF(DATOS_[[Check Periodo Ref.]:[Check Periodo Ref.]]="Dentro",IF(DATOS_[[Check Equiparado]:[Check Equiparado]]="Sí",IF(DATOS!AN$4="Sí",(1/DATOS_[[% anualiz]:[% anualiz]]),1)*IF(DATOS!AN$5="Sí",1/DATOS_[[% normaliz]:[% normaliz]],1)*(DATOS_[Conc.Sal.10])))))))), 0)</f>
        <v>0</v>
      </c>
      <c r="T88" s="302" t="n">
        <f aca="false" t="array" ref="T88:T88">IFERROR( (AVERAGE((IF(DATOS_[[Sexo]:[Sexo]]=$B88,IF(DATOS_[[AGRUP. CLAS. PROF.]:[AGRUP. CLAS. PROF.]]=$B87,IF(DATOS_[[Check Periodo Ref.]:[Check Periodo Ref.]]="Dentro",IF(DATOS_[[Check Equiparado]:[Check Equiparado]]="Sí",IF(DATOS!AO$4="Sí",(1/DATOS_[[% anualiz]:[% anualiz]]),1)*IF(DATOS!AO$5="Sí",1/DATOS_[[% normaliz]:[% normaliz]],1)*(DATOS_[Conc.Sal.11])))))))), 0)</f>
        <v>0</v>
      </c>
      <c r="U88" s="302" t="n">
        <f aca="false" t="array" ref="U88:U88">IFERROR( (AVERAGE((IF(DATOS_[[Sexo]:[Sexo]]=$B88,IF(DATOS_[[AGRUP. CLAS. PROF.]:[AGRUP. CLAS. PROF.]]=$B87,IF(DATOS_[[Check Periodo Ref.]:[Check Periodo Ref.]]="Dentro",IF(DATOS_[[Check Equiparado]:[Check Equiparado]]="Sí",IF(DATOS!AP$4="Sí",(1/DATOS_[[% anualiz]:[% anualiz]]),1)*IF(DATOS!AP$5="Sí",1/DATOS_[[% normaliz]:[% normaliz]],1)*(DATOS_[Conc.Sal.12])))))))), 0)</f>
        <v>0</v>
      </c>
      <c r="V88" s="302" t="n">
        <f aca="false" t="array" ref="V88:V88">IFERROR( (AVERAGE((IF(DATOS_[[Sexo]:[Sexo]]=$B88,IF(DATOS_[[AGRUP. CLAS. PROF.]:[AGRUP. CLAS. PROF.]]=$B87,IF(DATOS_[[Check Periodo Ref.]:[Check Periodo Ref.]]="Dentro",IF(DATOS_[[Check Equiparado]:[Check Equiparado]]="Sí",IF(DATOS!AQ$4="Sí",(1/DATOS_[[% anualiz]:[% anualiz]]),1)*IF(DATOS!AQ$5="Sí",1/DATOS_[[% normaliz]:[% normaliz]],1)*(DATOS_[Conc.Sal.13])))))))), 0)</f>
        <v>0</v>
      </c>
      <c r="W88" s="302" t="n">
        <f aca="false" t="array" ref="W88:W88">IFERROR( (AVERAGE((IF(DATOS_[[Sexo]:[Sexo]]=$B88,IF(DATOS_[[AGRUP. CLAS. PROF.]:[AGRUP. CLAS. PROF.]]=$B87,IF(DATOS_[[Check Periodo Ref.]:[Check Periodo Ref.]]="Dentro",IF(DATOS_[[Check Equiparado]:[Check Equiparado]]="Sí",IF(DATOS!AR$4="Sí",(1/DATOS_[[% anualiz]:[% anualiz]]),1)*IF(DATOS!AR$5="Sí",1/DATOS_[[% normaliz]:[% normaliz]],1)*(DATOS_[Conc.Sal.14])))))))), 0)</f>
        <v>0</v>
      </c>
      <c r="X88" s="302" t="n">
        <f aca="false" t="array" ref="X88:X88">IFERROR( (AVERAGE((IF(DATOS_[[Sexo]:[Sexo]]=$B88,IF(DATOS_[[AGRUP. CLAS. PROF.]:[AGRUP. CLAS. PROF.]]=$B87,IF(DATOS_[[Check Periodo Ref.]:[Check Periodo Ref.]]="Dentro",IF(DATOS_[[Check Equiparado]:[Check Equiparado]]="Sí",IF(DATOS!AS$4="Sí",(1/DATOS_[[% anualiz]:[% anualiz]]),1)*IF(DATOS!AS$5="Sí",1/DATOS_[[% normaliz]:[% normaliz]],1)*(DATOS_[Conc.Sal.15])))))))), 0)</f>
        <v>0</v>
      </c>
      <c r="Y88" s="302" t="n">
        <f aca="false" t="array" ref="Y88:Y88">IFERROR( (AVERAGE((IF(DATOS_[[Sexo]:[Sexo]]=$B88,IF(DATOS_[[AGRUP. CLAS. PROF.]:[AGRUP. CLAS. PROF.]]=$B87,IF(DATOS_[[Check Periodo Ref.]:[Check Periodo Ref.]]="Dentro",IF(DATOS_[[Check Equiparado]:[Check Equiparado]]="Sí",IF(DATOS!AT$4="Sí",(1/DATOS_[[% anualiz]:[% anualiz]]),1)*IF(DATOS!AT$5="Sí",1/DATOS_[[% normaliz]:[% normaliz]],1)*(DATOS_[Conc.Sal.16])))))))), 0)</f>
        <v>0</v>
      </c>
      <c r="Z88" s="302" t="n">
        <f aca="false" t="array" ref="Z88:Z88">IFERROR( (AVERAGE((IF(DATOS_[[Sexo]:[Sexo]]=$B88,IF(DATOS_[[AGRUP. CLAS. PROF.]:[AGRUP. CLAS. PROF.]]=$B87,IF(DATOS_[[Check Periodo Ref.]:[Check Periodo Ref.]]="Dentro",IF(DATOS_[[Check Equiparado]:[Check Equiparado]]="Sí",IF(DATOS!AU$4="Sí",(1/DATOS_[[% anualiz]:[% anualiz]]),1)*IF(DATOS!AU$5="Sí",1/DATOS_[[% normaliz]:[% normaliz]],1)*(DATOS_[Conc.Sal.17])))))))), 0)</f>
        <v>0</v>
      </c>
      <c r="AA88" s="302" t="n">
        <f aca="false" t="array" ref="AA88:AA88">IFERROR( (AVERAGE((IF(DATOS_[[Sexo]:[Sexo]]=$B88,IF(DATOS_[[AGRUP. CLAS. PROF.]:[AGRUP. CLAS. PROF.]]=$B87,IF(DATOS_[[Check Periodo Ref.]:[Check Periodo Ref.]]="Dentro",IF(DATOS_[[Check Equiparado]:[Check Equiparado]]="Sí",IF(DATOS!AV$4="Sí",(1/DATOS_[[% anualiz]:[% anualiz]]),1)*IF(DATOS!AV$5="Sí",1/DATOS_[[% normaliz]:[% normaliz]],1)*(DATOS_[Conc.Sal.18])))))))), 0)</f>
        <v>0</v>
      </c>
      <c r="AB88" s="302" t="n">
        <f aca="false" t="array" ref="AB88:AB88">IFERROR( (AVERAGE((IF(DATOS_[[Sexo]:[Sexo]]=$B88,IF(DATOS_[[AGRUP. CLAS. PROF.]:[AGRUP. CLAS. PROF.]]=$B87,IF(DATOS_[[Check Periodo Ref.]:[Check Periodo Ref.]]="Dentro",IF(DATOS_[[Check Equiparado]:[Check Equiparado]]="Sí",IF(DATOS!AW$4="Sí",(1/DATOS_[[% anualiz]:[% anualiz]]),1)*IF(DATOS!AW$5="Sí",1/DATOS_[[% normaliz]:[% normaliz]],1)*(DATOS_[Conc.Sal.19])))))))), 0)</f>
        <v>0</v>
      </c>
      <c r="AC88" s="302" t="n">
        <f aca="false" t="array" ref="AC88:AC88">IFERROR( (AVERAGE((IF(DATOS_[[Sexo]:[Sexo]]=$B88,IF(DATOS_[[AGRUP. CLAS. PROF.]:[AGRUP. CLAS. PROF.]]=$B87,IF(DATOS_[[Check Periodo Ref.]:[Check Periodo Ref.]]="Dentro",IF(DATOS_[[Check Equiparado]:[Check Equiparado]]="Sí",IF(DATOS!AX$4="Sí",(1/DATOS_[[% anualiz]:[% anualiz]]),1)*IF(DATOS!AX$5="Sí",1/DATOS_[[% normaliz]:[% normaliz]],1)*(DATOS_[Conc.Sal.20])))))))), 0)</f>
        <v>0</v>
      </c>
      <c r="AD88" s="302" t="n">
        <f aca="false" t="array" ref="AD88:AD88">IFERROR( (AVERAGE((IF(DATOS_[[Sexo]:[Sexo]]=$B88,IF(DATOS_[[AGRUP. CLAS. PROF.]:[AGRUP. CLAS. PROF.]]=$B87,IF(DATOS_[[Check Periodo Ref.]:[Check Periodo Ref.]]="Dentro",IF(DATOS_[[Check Equiparado]:[Check Equiparado]]="Sí",IF(DATOS!AY$4="Sí",(1/DATOS_[[% anualiz]:[% anualiz]]),1)*IF(DATOS!AY$5="Sí",1/DATOS_[[% normaliz]:[% normaliz]],1)*(DATOS_[Conc.Sal.21])))))))), 0)</f>
        <v>0</v>
      </c>
      <c r="AE88" s="302" t="n">
        <f aca="false" t="array" ref="AE88:AE88">IFERROR( (AVERAGE((IF(DATOS_[[Sexo]:[Sexo]]=$B88,IF(DATOS_[[AGRUP. CLAS. PROF.]:[AGRUP. CLAS. PROF.]]=$B87,IF(DATOS_[[Check Periodo Ref.]:[Check Periodo Ref.]]="Dentro",IF(DATOS_[[Check Equiparado]:[Check Equiparado]]="Sí",IF(DATOS!AZ$4="Sí",(1/DATOS_[[% anualiz]:[% anualiz]]),1)*IF(DATOS!AZ$5="Sí",1/DATOS_[[% normaliz]:[% normaliz]],1)*(DATOS_[Conc.Sal.22])))))))), 0)</f>
        <v>0</v>
      </c>
      <c r="AF88" s="302" t="n">
        <f aca="false" t="array" ref="AF88:AF88">IFERROR( (AVERAGE((IF(DATOS_[[Sexo]:[Sexo]]=$B88,IF(DATOS_[[AGRUP. CLAS. PROF.]:[AGRUP. CLAS. PROF.]]=$B87,IF(DATOS_[[Check Periodo Ref.]:[Check Periodo Ref.]]="Dentro",IF(DATOS_[[Check Equiparado]:[Check Equiparado]]="Sí",IF(DATOS!BA$4="Sí",(1/DATOS_[[% anualiz]:[% anualiz]]),1)*IF(DATOS!BA$5="Sí",1/DATOS_[[% normaliz]:[% normaliz]],1)*(DATOS_[Conc.Sal.23])))))))), 0)</f>
        <v>0</v>
      </c>
      <c r="AG88" s="302" t="n">
        <f aca="false" t="array" ref="AG88:AG88">IFERROR( (AVERAGE((IF(DATOS_[[Sexo]:[Sexo]]=$B88,IF(DATOS_[[AGRUP. CLAS. PROF.]:[AGRUP. CLAS. PROF.]]=$B87,IF(DATOS_[[Check Periodo Ref.]:[Check Periodo Ref.]]="Dentro",IF(DATOS_[[Check Equiparado]:[Check Equiparado]]="Sí",IF(DATOS!BB$4="Sí",(1/DATOS_[[% anualiz]:[% anualiz]]),1)*IF(DATOS!BB$5="Sí",1/DATOS_[[% normaliz]:[% normaliz]],1)*(DATOS_[Conc.Sal.24])))))))), 0)</f>
        <v>0</v>
      </c>
      <c r="AH88" s="302" t="n">
        <f aca="false" t="array" ref="AH88:AH88">IFERROR( (AVERAGE((IF(DATOS_[[Sexo]:[Sexo]]=$B88,IF(DATOS_[[AGRUP. CLAS. PROF.]:[AGRUP. CLAS. PROF.]]=$B87,IF(DATOS_[[Check Periodo Ref.]:[Check Periodo Ref.]]="Dentro",IF(DATOS_[[Check Equiparado]:[Check Equiparado]]="Sí",IF(DATOS!BC$4="Sí",(1/DATOS_[[% anualiz]:[% anualiz]]),1)*IF(DATOS!BC$5="Sí",1/DATOS_[[% normaliz]:[% normaliz]],1)*(DATOS_[Conc.Sal.25])))))))), 0)</f>
        <v>0</v>
      </c>
      <c r="AI88" s="302" t="n">
        <f aca="false" t="array" ref="AI88:AI88">IFERROR( (AVERAGE((IF(DATOS_[[Sexo]:[Sexo]]=$B88,IF(DATOS_[[AGRUP. CLAS. PROF.]:[AGRUP. CLAS. PROF.]]=$B87,IF(DATOS_[[Check Periodo Ref.]:[Check Periodo Ref.]]="Dentro",IF(DATOS_[[Check Equiparado]:[Check Equiparado]]="Sí",IF(DATOS!BD$4="Sí",(1/DATOS_[[% anualiz]:[% anualiz]]),1)*IF(DATOS!BD$5="Sí",1/DATOS_[[% normaliz]:[% normaliz]],1)*(DATOS_[Conc.Sal.26])))))))), 0)</f>
        <v>0</v>
      </c>
      <c r="AJ88" s="302" t="n">
        <f aca="false" t="array" ref="AJ88:AJ88">IFERROR( (AVERAGE((IF(DATOS_[[Sexo]:[Sexo]]=$B88,IF(DATOS_[[AGRUP. CLAS. PROF.]:[AGRUP. CLAS. PROF.]]=$B87,IF(DATOS_[[Check Periodo Ref.]:[Check Periodo Ref.]]="Dentro",IF(DATOS_[[Check Equiparado]:[Check Equiparado]]="Sí",IF(DATOS!BE$4="Sí",(1/DATOS_[[% anualiz]:[% anualiz]]),1)*IF(DATOS!BE$5="Sí",1/DATOS_[[% normaliz]:[% normaliz]],1)*(DATOS_[Conc.Sal.27])))))))), 0)</f>
        <v>0</v>
      </c>
      <c r="AK88" s="302" t="n">
        <f aca="false" t="array" ref="AK88:AK88">IFERROR( (AVERAGE((IF(DATOS_[[Sexo]:[Sexo]]=$B88,IF(DATOS_[[AGRUP. CLAS. PROF.]:[AGRUP. CLAS. PROF.]]=$B87,IF(DATOS_[[Check Periodo Ref.]:[Check Periodo Ref.]]="Dentro",IF(DATOS_[[Check Equiparado]:[Check Equiparado]]="Sí",IF(DATOS!BF$4="Sí",(1/DATOS_[[% anualiz]:[% anualiz]]),1)*IF(DATOS!BF$5="Sí",1/DATOS_[[% normaliz]:[% normaliz]],1)*(DATOS_[Conc.Sal.28])))))))), 0)</f>
        <v>0</v>
      </c>
      <c r="AL88" s="302" t="n">
        <f aca="false" t="array" ref="AL88:AL88">IFERROR( (AVERAGE((IF(DATOS_[[Sexo]:[Sexo]]=$B88,IF(DATOS_[[AGRUP. CLAS. PROF.]:[AGRUP. CLAS. PROF.]]=$B87,IF(DATOS_[[Check Periodo Ref.]:[Check Periodo Ref.]]="Dentro",IF(DATOS_[[Check Equiparado]:[Check Equiparado]]="Sí",IF(DATOS!BG$4="Sí",(1/DATOS_[[% anualiz]:[% anualiz]]),1)*IF(DATOS!BG$5="Sí",1/DATOS_[[% normaliz]:[% normaliz]],1)*(DATOS_[Conc.Sal.29])))))))), 0)</f>
        <v>0</v>
      </c>
      <c r="AM88" s="302" t="n">
        <f aca="false" t="array" ref="AM88:AM88">IFERROR( (AVERAGE((IF(DATOS_[[Sexo]:[Sexo]]=$B88,IF(DATOS_[[AGRUP. CLAS. PROF.]:[AGRUP. CLAS. PROF.]]=$B87,IF(DATOS_[[Check Periodo Ref.]:[Check Periodo Ref.]]="Dentro",IF(DATOS_[[Check Equiparado]:[Check Equiparado]]="Sí",IF(DATOS!BH$4="Sí",(1/DATOS_[[% anualiz]:[% anualiz]]),1)*IF(DATOS!BH$5="Sí",1/DATOS_[[% normaliz]:[% normaliz]],1)*(DATOS_[Conc.Sal.30])))))))), 0)</f>
        <v>0</v>
      </c>
      <c r="AN88" s="294" t="n">
        <f aca="false" t="array" ref="AN88:AN88">IFERROR( AVERAGE(IF(DATOS_[Sexo]=$B88,IF(DATOS_[[AGRUP. CLAS. PROF.]:[AGRUP. CLAS. PROF.]]=$B87,IF(DATOS_[Check Equiparado]="Sí",IF(DATOS_[Check Periodo Ref.]="Dentro",DATOS_[Tot COMPL.SAL Eq],0))))), 0)</f>
        <v>0</v>
      </c>
      <c r="AO88" s="295" t="n">
        <f aca="false" t="array" ref="AO88:AO88">IFERROR( AVERAGE(IF(DATOS_[Sexo]=$B88,IF(DATOS_[[AGRUP. CLAS. PROF.]:[AGRUP. CLAS. PROF.]]=$B87,IF(DATOS_[Check Equiparado]="Sí",IF(DATOS_[Check Periodo Ref.]="Dentro",DATOS_[TOTAL SALARIO Eq],0))))), 0)</f>
        <v>0</v>
      </c>
      <c r="AP88" s="303" t="n">
        <f aca="false" t="array" ref="AP88:AP88">IFERROR( (AVERAGE((IF(DATOS_[[Sexo]:[Sexo]]=$B88,IF(DATOS_[[AGRUP. CLAS. PROF.]:[AGRUP. CLAS. PROF.]]=$B87,IF(DATOS_[[Check Periodo Ref.]:[Check Periodo Ref.]]="Dentro",IF(DATOS_[[Check Equiparado]:[Check Equiparado]]="Sí",IF(DATOS!BI$4="Sí",(1/DATOS_[[% anualiz]:[% anualiz]]),1)*IF(DATOS!BI$5="Sí",1/DATOS_[[% normaliz]:[% normaliz]],1)*(DATOS_[C.Extra.01])))))))), 0)</f>
        <v>0</v>
      </c>
      <c r="AQ88" s="303" t="n">
        <f aca="false" t="array" ref="AQ88:AQ88">IFERROR( (AVERAGE((IF(DATOS_[[Sexo]:[Sexo]]=$B88,IF(DATOS_[[AGRUP. CLAS. PROF.]:[AGRUP. CLAS. PROF.]]=$B87,IF(DATOS_[[Check Periodo Ref.]:[Check Periodo Ref.]]="Dentro",IF(DATOS_[[Check Equiparado]:[Check Equiparado]]="Sí",IF(DATOS!BJ$4="Sí",(1/DATOS_[[% anualiz]:[% anualiz]]),1)*IF(DATOS!BJ$5="Sí",1/DATOS_[[% normaliz]:[% normaliz]],1)*(DATOS_[C.Extra.02])))))))), 0)</f>
        <v>0</v>
      </c>
      <c r="AR88" s="303" t="n">
        <f aca="false" t="array" ref="AR88:AR88">IFERROR( (AVERAGE((IF(DATOS_[[Sexo]:[Sexo]]=$B88,IF(DATOS_[[AGRUP. CLAS. PROF.]:[AGRUP. CLAS. PROF.]]=$B87,IF(DATOS_[[Check Periodo Ref.]:[Check Periodo Ref.]]="Dentro",IF(DATOS_[[Check Equiparado]:[Check Equiparado]]="Sí",IF(DATOS!BK$4="Sí",(1/DATOS_[[% anualiz]:[% anualiz]]),1)*IF(DATOS!BK$5="Sí",1/DATOS_[[% normaliz]:[% normaliz]],1)*(DATOS_[C.Extra.03])))))))), 0)</f>
        <v>0</v>
      </c>
      <c r="AS88" s="303" t="n">
        <f aca="false" t="array" ref="AS88:AS88">IFERROR( (AVERAGE((IF(DATOS_[[Sexo]:[Sexo]]=$B88,IF(DATOS_[[AGRUP. CLAS. PROF.]:[AGRUP. CLAS. PROF.]]=$B87,IF(DATOS_[[Check Periodo Ref.]:[Check Periodo Ref.]]="Dentro",IF(DATOS_[[Check Equiparado]:[Check Equiparado]]="Sí",IF(DATOS!BL$4="Sí",(1/DATOS_[[% anualiz]:[% anualiz]]),1)*IF(DATOS!BL$5="Sí",1/DATOS_[[% normaliz]:[% normaliz]],1)*(DATOS_[C.Extra.04])))))))), 0)</f>
        <v>0</v>
      </c>
      <c r="AT88" s="303" t="n">
        <f aca="false" t="array" ref="AT88:AT88">IFERROR( (AVERAGE((IF(DATOS_[[Sexo]:[Sexo]]=$B88,IF(DATOS_[[AGRUP. CLAS. PROF.]:[AGRUP. CLAS. PROF.]]=$B87,IF(DATOS_[[Check Periodo Ref.]:[Check Periodo Ref.]]="Dentro",IF(DATOS_[[Check Equiparado]:[Check Equiparado]]="Sí",IF(DATOS!BM$4="Sí",(1/DATOS_[[% anualiz]:[% anualiz]]),1)*IF(DATOS!BM$5="Sí",1/DATOS_[[% normaliz]:[% normaliz]],1)*(DATOS_[C.Extra.05])))))))), 0)</f>
        <v>0</v>
      </c>
      <c r="AU88" s="297" t="n">
        <f aca="false" t="array" ref="AU88:AU88">IFERROR( AVERAGE(IF(DATOS_[Sexo]=$B88,IF(DATOS_[[AGRUP. CLAS. PROF.]:[AGRUP. CLAS. PROF.]]=$B87,IF(DATOS_[Check Equiparado]="Sí",IF(DATOS_[Check Periodo Ref.]="Dentro",DATOS_[Tot Extrasalarial Eq],0))))), 0)</f>
        <v>0</v>
      </c>
      <c r="AV88" s="298" t="n">
        <f aca="false" t="array" ref="AV88:AV88">IFERROR( AVERAGE(IF(DATOS_[Sexo]=$B88,IF(DATOS_[[AGRUP. CLAS. PROF.]:[AGRUP. CLAS. PROF.]]=$B87,IF(DATOS_[Check Equiparado]="Sí",IF(DATOS_[Check Periodo Ref.]="Dentro",DATOS_[TOTAL Retrib Eq],0))))), 0)</f>
        <v>0</v>
      </c>
    </row>
    <row r="89" customFormat="false" ht="14.25" hidden="false" customHeight="false" outlineLevel="0" collapsed="false">
      <c r="A89" s="166" t="str">
        <f aca="false">+A88</f>
        <v>[ocultar]</v>
      </c>
      <c r="B89" s="289" t="s">
        <v>372</v>
      </c>
      <c r="C89" s="290" t="n">
        <f aca="false" t="array" ref="C89:C89">SUM(IF($B89=DATOS_[Sexo], IF($B87=DATOS_[AGRUP. CLAS. PROF.], IF("Dentro"=DATOS_[Check Periodo Ref.], 1/(COUNTIFS(DATOS_[Sexo],$B89,DATOS_[AGRUP. CLAS. PROF.],$B87,DATOS_[Check Periodo Ref.],"Dentro",DATOS_[id],DATOS_[id]))))))</f>
        <v>0</v>
      </c>
      <c r="D89" s="291" t="n">
        <f aca="false">COUNTIFS(DATOS_[AGRUP. CLAS. PROF.],$B87,DATOS_[Sexo],$B89,DATOS_[Check Periodo Ref.],"Dentro")</f>
        <v>0</v>
      </c>
      <c r="E89" s="291" t="n">
        <f aca="false">COUNTIFS(DATOS_[AGRUP. CLAS. PROF.],$B87,DATOS_[Sexo],$B89,DATOS_[Check Periodo Ref.],"Dentro",DATOS_[Check Nº SC Norm],"Sí")</f>
        <v>0</v>
      </c>
      <c r="F89" s="291" t="n">
        <f aca="false">COUNTIFS(DATOS_[AGRUP. CLAS. PROF.],$B87,DATOS_[Sexo],$B89,DATOS_[Check Periodo Ref.],"Dentro",DATOS_[Check Nº SC Anualiz],"Sí")</f>
        <v>0</v>
      </c>
      <c r="G89" s="291" t="n">
        <f aca="false">COUNTIFS(DATOS_[AGRUP. CLAS. PROF.],$B87,DATOS_[Sexo],$B89,DATOS_[Check Periodo Ref.],"Dentro",DATOS_[Check Nº SC Norm y Anualiz],"Sí")</f>
        <v>0</v>
      </c>
      <c r="H89" s="291" t="n">
        <f aca="false">COUNTIFS(DATOS_[AGRUP. CLAS. PROF.],$B87,DATOS_[Sexo],$B89,DATOS_[Check Periodo Ref.],"Dentro",DATOS_[Check Equiparación],"Sí")</f>
        <v>0</v>
      </c>
      <c r="I89" s="292" t="n">
        <f aca="false" t="array" ref="I89:I89">IFERROR( AVERAGE(IF(DATOS_[Sexo]=$B89,IF(DATOS_[[AGRUP. CLAS. PROF.]:[AGRUP. CLAS. PROF.]]=$B87,IF(DATOS_[Check Equiparado]="Sí",IF(DATOS_[Check Periodo Ref.]="Dentro",DATOS_[SALARIO BASE Eq],0))))), 0)</f>
        <v>0</v>
      </c>
      <c r="J89" s="302" t="n">
        <f aca="false" t="array" ref="J89:J89">IFERROR( (AVERAGE((IF(DATOS_[[Sexo]:[Sexo]]=$B89,IF(DATOS_[[AGRUP. CLAS. PROF.]:[AGRUP. CLAS. PROF.]]=$B87,IF(DATOS_[[Check Periodo Ref.]:[Check Periodo Ref.]]="Dentro",IF(DATOS_[[Check Equiparado]:[Check Equiparado]]="Sí",IF(DATOS!AE$4="Sí",(1/DATOS_[[% anualiz]:[% anualiz]]),1)*IF(DATOS!AE$5="Sí",1/DATOS_[[% normaliz]:[% normaliz]],1)*(DATOS_[Conc.Sal.01])))))))), 0)</f>
        <v>0</v>
      </c>
      <c r="K89" s="302" t="n">
        <f aca="false" t="array" ref="K89:K89">IFERROR( (AVERAGE((IF(DATOS_[[Sexo]:[Sexo]]=$B89,IF(DATOS_[[AGRUP. CLAS. PROF.]:[AGRUP. CLAS. PROF.]]=$B87,IF(DATOS_[[Check Periodo Ref.]:[Check Periodo Ref.]]="Dentro",IF(DATOS_[[Check Equiparado]:[Check Equiparado]]="Sí",IF(DATOS!AF$4="Sí",(1/DATOS_[[% anualiz]:[% anualiz]]),1)*IF(DATOS!AF$5="Sí",1/DATOS_[[% normaliz]:[% normaliz]],1)*(DATOS_[Conc.Sal.02])))))))), 0)</f>
        <v>0</v>
      </c>
      <c r="L89" s="302" t="n">
        <f aca="false" t="array" ref="L89:L89">IFERROR( (AVERAGE((IF(DATOS_[[Sexo]:[Sexo]]=$B89,IF(DATOS_[[AGRUP. CLAS. PROF.]:[AGRUP. CLAS. PROF.]]=$B87,IF(DATOS_[[Check Periodo Ref.]:[Check Periodo Ref.]]="Dentro",IF(DATOS_[[Check Equiparado]:[Check Equiparado]]="Sí",IF(DATOS!AG$4="Sí",(1/DATOS_[[% anualiz]:[% anualiz]]),1)*IF(DATOS!AG$5="Sí",1/DATOS_[[% normaliz]:[% normaliz]],1)*(DATOS_[Conc.Sal.03])))))))), 0)</f>
        <v>0</v>
      </c>
      <c r="M89" s="302" t="n">
        <f aca="false" t="array" ref="M89:M89">IFERROR( (AVERAGE((IF(DATOS_[[Sexo]:[Sexo]]=$B89,IF(DATOS_[[AGRUP. CLAS. PROF.]:[AGRUP. CLAS. PROF.]]=$B87,IF(DATOS_[[Check Periodo Ref.]:[Check Periodo Ref.]]="Dentro",IF(DATOS_[[Check Equiparado]:[Check Equiparado]]="Sí",IF(DATOS!AH$4="Sí",(1/DATOS_[[% anualiz]:[% anualiz]]),1)*IF(DATOS!AH$5="Sí",1/DATOS_[[% normaliz]:[% normaliz]],1)*(DATOS_[Conc.Sal.04])))))))), 0)</f>
        <v>0</v>
      </c>
      <c r="N89" s="302" t="n">
        <f aca="false" t="array" ref="N89:N89">IFERROR( (AVERAGE((IF(DATOS_[[Sexo]:[Sexo]]=$B89,IF(DATOS_[[AGRUP. CLAS. PROF.]:[AGRUP. CLAS. PROF.]]=$B87,IF(DATOS_[[Check Periodo Ref.]:[Check Periodo Ref.]]="Dentro",IF(DATOS_[[Check Equiparado]:[Check Equiparado]]="Sí",IF(DATOS!AI$4="Sí",(1/DATOS_[[% anualiz]:[% anualiz]]),1)*IF(DATOS!AI$5="Sí",1/DATOS_[[% normaliz]:[% normaliz]],1)*(DATOS_[Conc.Sal.05])))))))), 0)</f>
        <v>0</v>
      </c>
      <c r="O89" s="302" t="n">
        <f aca="false" t="array" ref="O89:O89">IFERROR( (AVERAGE((IF(DATOS_[[Sexo]:[Sexo]]=$B89,IF(DATOS_[[AGRUP. CLAS. PROF.]:[AGRUP. CLAS. PROF.]]=$B87,IF(DATOS_[[Check Periodo Ref.]:[Check Periodo Ref.]]="Dentro",IF(DATOS_[[Check Equiparado]:[Check Equiparado]]="Sí",IF(DATOS!AJ$4="Sí",(1/DATOS_[[% anualiz]:[% anualiz]]),1)*IF(DATOS!AJ$5="Sí",1/DATOS_[[% normaliz]:[% normaliz]],1)*(DATOS_[Conc.Sal.06])))))))), 0)</f>
        <v>0</v>
      </c>
      <c r="P89" s="302" t="n">
        <f aca="false" t="array" ref="P89:P89">IFERROR( (AVERAGE((IF(DATOS_[[Sexo]:[Sexo]]=$B89,IF(DATOS_[[AGRUP. CLAS. PROF.]:[AGRUP. CLAS. PROF.]]=$B87,IF(DATOS_[[Check Periodo Ref.]:[Check Periodo Ref.]]="Dentro",IF(DATOS_[[Check Equiparado]:[Check Equiparado]]="Sí",IF(DATOS!AK$4="Sí",(1/DATOS_[[% anualiz]:[% anualiz]]),1)*IF(DATOS!AK$5="Sí",1/DATOS_[[% normaliz]:[% normaliz]],1)*(DATOS_[Conc.Sal.07])))))))), 0)</f>
        <v>0</v>
      </c>
      <c r="Q89" s="302" t="n">
        <f aca="false" t="array" ref="Q89:Q89">IFERROR( (AVERAGE((IF(DATOS_[[Sexo]:[Sexo]]=$B89,IF(DATOS_[[AGRUP. CLAS. PROF.]:[AGRUP. CLAS. PROF.]]=$B87,IF(DATOS_[[Check Periodo Ref.]:[Check Periodo Ref.]]="Dentro",IF(DATOS_[[Check Equiparado]:[Check Equiparado]]="Sí",IF(DATOS!AL$4="Sí",(1/DATOS_[[% anualiz]:[% anualiz]]),1)*IF(DATOS!AL$5="Sí",1/DATOS_[[% normaliz]:[% normaliz]],1)*(DATOS_[Conc.Sal.08])))))))), 0)</f>
        <v>0</v>
      </c>
      <c r="R89" s="302" t="n">
        <f aca="false" t="array" ref="R89:R89">IFERROR( (AVERAGE((IF(DATOS_[[Sexo]:[Sexo]]=$B89,IF(DATOS_[[AGRUP. CLAS. PROF.]:[AGRUP. CLAS. PROF.]]=$B87,IF(DATOS_[[Check Periodo Ref.]:[Check Periodo Ref.]]="Dentro",IF(DATOS_[[Check Equiparado]:[Check Equiparado]]="Sí",IF(DATOS!AM$4="Sí",(1/DATOS_[[% anualiz]:[% anualiz]]),1)*IF(DATOS!AM$5="Sí",1/DATOS_[[% normaliz]:[% normaliz]],1)*(DATOS_[Conc.Sal.09])))))))), 0)</f>
        <v>0</v>
      </c>
      <c r="S89" s="302" t="n">
        <f aca="false" t="array" ref="S89:S89">IFERROR( (AVERAGE((IF(DATOS_[[Sexo]:[Sexo]]=$B89,IF(DATOS_[[AGRUP. CLAS. PROF.]:[AGRUP. CLAS. PROF.]]=$B87,IF(DATOS_[[Check Periodo Ref.]:[Check Periodo Ref.]]="Dentro",IF(DATOS_[[Check Equiparado]:[Check Equiparado]]="Sí",IF(DATOS!AN$4="Sí",(1/DATOS_[[% anualiz]:[% anualiz]]),1)*IF(DATOS!AN$5="Sí",1/DATOS_[[% normaliz]:[% normaliz]],1)*(DATOS_[Conc.Sal.10])))))))), 0)</f>
        <v>0</v>
      </c>
      <c r="T89" s="302" t="n">
        <f aca="false" t="array" ref="T89:T89">IFERROR( (AVERAGE((IF(DATOS_[[Sexo]:[Sexo]]=$B89,IF(DATOS_[[AGRUP. CLAS. PROF.]:[AGRUP. CLAS. PROF.]]=$B87,IF(DATOS_[[Check Periodo Ref.]:[Check Periodo Ref.]]="Dentro",IF(DATOS_[[Check Equiparado]:[Check Equiparado]]="Sí",IF(DATOS!AO$4="Sí",(1/DATOS_[[% anualiz]:[% anualiz]]),1)*IF(DATOS!AO$5="Sí",1/DATOS_[[% normaliz]:[% normaliz]],1)*(DATOS_[Conc.Sal.11])))))))), 0)</f>
        <v>0</v>
      </c>
      <c r="U89" s="302" t="n">
        <f aca="false" t="array" ref="U89:U89">IFERROR( (AVERAGE((IF(DATOS_[[Sexo]:[Sexo]]=$B89,IF(DATOS_[[AGRUP. CLAS. PROF.]:[AGRUP. CLAS. PROF.]]=$B87,IF(DATOS_[[Check Periodo Ref.]:[Check Periodo Ref.]]="Dentro",IF(DATOS_[[Check Equiparado]:[Check Equiparado]]="Sí",IF(DATOS!AP$4="Sí",(1/DATOS_[[% anualiz]:[% anualiz]]),1)*IF(DATOS!AP$5="Sí",1/DATOS_[[% normaliz]:[% normaliz]],1)*(DATOS_[Conc.Sal.12])))))))), 0)</f>
        <v>0</v>
      </c>
      <c r="V89" s="302" t="n">
        <f aca="false" t="array" ref="V89:V89">IFERROR( (AVERAGE((IF(DATOS_[[Sexo]:[Sexo]]=$B89,IF(DATOS_[[AGRUP. CLAS. PROF.]:[AGRUP. CLAS. PROF.]]=$B87,IF(DATOS_[[Check Periodo Ref.]:[Check Periodo Ref.]]="Dentro",IF(DATOS_[[Check Equiparado]:[Check Equiparado]]="Sí",IF(DATOS!AQ$4="Sí",(1/DATOS_[[% anualiz]:[% anualiz]]),1)*IF(DATOS!AQ$5="Sí",1/DATOS_[[% normaliz]:[% normaliz]],1)*(DATOS_[Conc.Sal.13])))))))), 0)</f>
        <v>0</v>
      </c>
      <c r="W89" s="302" t="n">
        <f aca="false" t="array" ref="W89:W89">IFERROR( (AVERAGE((IF(DATOS_[[Sexo]:[Sexo]]=$B89,IF(DATOS_[[AGRUP. CLAS. PROF.]:[AGRUP. CLAS. PROF.]]=$B87,IF(DATOS_[[Check Periodo Ref.]:[Check Periodo Ref.]]="Dentro",IF(DATOS_[[Check Equiparado]:[Check Equiparado]]="Sí",IF(DATOS!AR$4="Sí",(1/DATOS_[[% anualiz]:[% anualiz]]),1)*IF(DATOS!AR$5="Sí",1/DATOS_[[% normaliz]:[% normaliz]],1)*(DATOS_[Conc.Sal.14])))))))), 0)</f>
        <v>0</v>
      </c>
      <c r="X89" s="302" t="n">
        <f aca="false" t="array" ref="X89:X89">IFERROR( (AVERAGE((IF(DATOS_[[Sexo]:[Sexo]]=$B89,IF(DATOS_[[AGRUP. CLAS. PROF.]:[AGRUP. CLAS. PROF.]]=$B87,IF(DATOS_[[Check Periodo Ref.]:[Check Periodo Ref.]]="Dentro",IF(DATOS_[[Check Equiparado]:[Check Equiparado]]="Sí",IF(DATOS!AS$4="Sí",(1/DATOS_[[% anualiz]:[% anualiz]]),1)*IF(DATOS!AS$5="Sí",1/DATOS_[[% normaliz]:[% normaliz]],1)*(DATOS_[Conc.Sal.15])))))))), 0)</f>
        <v>0</v>
      </c>
      <c r="Y89" s="302" t="n">
        <f aca="false" t="array" ref="Y89:Y89">IFERROR( (AVERAGE((IF(DATOS_[[Sexo]:[Sexo]]=$B89,IF(DATOS_[[AGRUP. CLAS. PROF.]:[AGRUP. CLAS. PROF.]]=$B87,IF(DATOS_[[Check Periodo Ref.]:[Check Periodo Ref.]]="Dentro",IF(DATOS_[[Check Equiparado]:[Check Equiparado]]="Sí",IF(DATOS!AT$4="Sí",(1/DATOS_[[% anualiz]:[% anualiz]]),1)*IF(DATOS!AT$5="Sí",1/DATOS_[[% normaliz]:[% normaliz]],1)*(DATOS_[Conc.Sal.16])))))))), 0)</f>
        <v>0</v>
      </c>
      <c r="Z89" s="302" t="n">
        <f aca="false" t="array" ref="Z89:Z89">IFERROR( (AVERAGE((IF(DATOS_[[Sexo]:[Sexo]]=$B89,IF(DATOS_[[AGRUP. CLAS. PROF.]:[AGRUP. CLAS. PROF.]]=$B87,IF(DATOS_[[Check Periodo Ref.]:[Check Periodo Ref.]]="Dentro",IF(DATOS_[[Check Equiparado]:[Check Equiparado]]="Sí",IF(DATOS!AU$4="Sí",(1/DATOS_[[% anualiz]:[% anualiz]]),1)*IF(DATOS!AU$5="Sí",1/DATOS_[[% normaliz]:[% normaliz]],1)*(DATOS_[Conc.Sal.17])))))))), 0)</f>
        <v>0</v>
      </c>
      <c r="AA89" s="302" t="n">
        <f aca="false" t="array" ref="AA89:AA89">IFERROR( (AVERAGE((IF(DATOS_[[Sexo]:[Sexo]]=$B89,IF(DATOS_[[AGRUP. CLAS. PROF.]:[AGRUP. CLAS. PROF.]]=$B87,IF(DATOS_[[Check Periodo Ref.]:[Check Periodo Ref.]]="Dentro",IF(DATOS_[[Check Equiparado]:[Check Equiparado]]="Sí",IF(DATOS!AV$4="Sí",(1/DATOS_[[% anualiz]:[% anualiz]]),1)*IF(DATOS!AV$5="Sí",1/DATOS_[[% normaliz]:[% normaliz]],1)*(DATOS_[Conc.Sal.18])))))))), 0)</f>
        <v>0</v>
      </c>
      <c r="AB89" s="302" t="n">
        <f aca="false" t="array" ref="AB89:AB89">IFERROR( (AVERAGE((IF(DATOS_[[Sexo]:[Sexo]]=$B89,IF(DATOS_[[AGRUP. CLAS. PROF.]:[AGRUP. CLAS. PROF.]]=$B87,IF(DATOS_[[Check Periodo Ref.]:[Check Periodo Ref.]]="Dentro",IF(DATOS_[[Check Equiparado]:[Check Equiparado]]="Sí",IF(DATOS!AW$4="Sí",(1/DATOS_[[% anualiz]:[% anualiz]]),1)*IF(DATOS!AW$5="Sí",1/DATOS_[[% normaliz]:[% normaliz]],1)*(DATOS_[Conc.Sal.19])))))))), 0)</f>
        <v>0</v>
      </c>
      <c r="AC89" s="302" t="n">
        <f aca="false" t="array" ref="AC89:AC89">IFERROR( (AVERAGE((IF(DATOS_[[Sexo]:[Sexo]]=$B89,IF(DATOS_[[AGRUP. CLAS. PROF.]:[AGRUP. CLAS. PROF.]]=$B87,IF(DATOS_[[Check Periodo Ref.]:[Check Periodo Ref.]]="Dentro",IF(DATOS_[[Check Equiparado]:[Check Equiparado]]="Sí",IF(DATOS!AX$4="Sí",(1/DATOS_[[% anualiz]:[% anualiz]]),1)*IF(DATOS!AX$5="Sí",1/DATOS_[[% normaliz]:[% normaliz]],1)*(DATOS_[Conc.Sal.20])))))))), 0)</f>
        <v>0</v>
      </c>
      <c r="AD89" s="302" t="n">
        <f aca="false" t="array" ref="AD89:AD89">IFERROR( (AVERAGE((IF(DATOS_[[Sexo]:[Sexo]]=$B89,IF(DATOS_[[AGRUP. CLAS. PROF.]:[AGRUP. CLAS. PROF.]]=$B87,IF(DATOS_[[Check Periodo Ref.]:[Check Periodo Ref.]]="Dentro",IF(DATOS_[[Check Equiparado]:[Check Equiparado]]="Sí",IF(DATOS!AY$4="Sí",(1/DATOS_[[% anualiz]:[% anualiz]]),1)*IF(DATOS!AY$5="Sí",1/DATOS_[[% normaliz]:[% normaliz]],1)*(DATOS_[Conc.Sal.21])))))))), 0)</f>
        <v>0</v>
      </c>
      <c r="AE89" s="302" t="n">
        <f aca="false" t="array" ref="AE89:AE89">IFERROR( (AVERAGE((IF(DATOS_[[Sexo]:[Sexo]]=$B89,IF(DATOS_[[AGRUP. CLAS. PROF.]:[AGRUP. CLAS. PROF.]]=$B87,IF(DATOS_[[Check Periodo Ref.]:[Check Periodo Ref.]]="Dentro",IF(DATOS_[[Check Equiparado]:[Check Equiparado]]="Sí",IF(DATOS!AZ$4="Sí",(1/DATOS_[[% anualiz]:[% anualiz]]),1)*IF(DATOS!AZ$5="Sí",1/DATOS_[[% normaliz]:[% normaliz]],1)*(DATOS_[Conc.Sal.22])))))))), 0)</f>
        <v>0</v>
      </c>
      <c r="AF89" s="302" t="n">
        <f aca="false" t="array" ref="AF89:AF89">IFERROR( (AVERAGE((IF(DATOS_[[Sexo]:[Sexo]]=$B89,IF(DATOS_[[AGRUP. CLAS. PROF.]:[AGRUP. CLAS. PROF.]]=$B87,IF(DATOS_[[Check Periodo Ref.]:[Check Periodo Ref.]]="Dentro",IF(DATOS_[[Check Equiparado]:[Check Equiparado]]="Sí",IF(DATOS!BA$4="Sí",(1/DATOS_[[% anualiz]:[% anualiz]]),1)*IF(DATOS!BA$5="Sí",1/DATOS_[[% normaliz]:[% normaliz]],1)*(DATOS_[Conc.Sal.23])))))))), 0)</f>
        <v>0</v>
      </c>
      <c r="AG89" s="302" t="n">
        <f aca="false" t="array" ref="AG89:AG89">IFERROR( (AVERAGE((IF(DATOS_[[Sexo]:[Sexo]]=$B89,IF(DATOS_[[AGRUP. CLAS. PROF.]:[AGRUP. CLAS. PROF.]]=$B87,IF(DATOS_[[Check Periodo Ref.]:[Check Periodo Ref.]]="Dentro",IF(DATOS_[[Check Equiparado]:[Check Equiparado]]="Sí",IF(DATOS!BB$4="Sí",(1/DATOS_[[% anualiz]:[% anualiz]]),1)*IF(DATOS!BB$5="Sí",1/DATOS_[[% normaliz]:[% normaliz]],1)*(DATOS_[Conc.Sal.24])))))))), 0)</f>
        <v>0</v>
      </c>
      <c r="AH89" s="302" t="n">
        <f aca="false" t="array" ref="AH89:AH89">IFERROR( (AVERAGE((IF(DATOS_[[Sexo]:[Sexo]]=$B89,IF(DATOS_[[AGRUP. CLAS. PROF.]:[AGRUP. CLAS. PROF.]]=$B87,IF(DATOS_[[Check Periodo Ref.]:[Check Periodo Ref.]]="Dentro",IF(DATOS_[[Check Equiparado]:[Check Equiparado]]="Sí",IF(DATOS!BC$4="Sí",(1/DATOS_[[% anualiz]:[% anualiz]]),1)*IF(DATOS!BC$5="Sí",1/DATOS_[[% normaliz]:[% normaliz]],1)*(DATOS_[Conc.Sal.25])))))))), 0)</f>
        <v>0</v>
      </c>
      <c r="AI89" s="302" t="n">
        <f aca="false" t="array" ref="AI89:AI89">IFERROR( (AVERAGE((IF(DATOS_[[Sexo]:[Sexo]]=$B89,IF(DATOS_[[AGRUP. CLAS. PROF.]:[AGRUP. CLAS. PROF.]]=$B87,IF(DATOS_[[Check Periodo Ref.]:[Check Periodo Ref.]]="Dentro",IF(DATOS_[[Check Equiparado]:[Check Equiparado]]="Sí",IF(DATOS!BD$4="Sí",(1/DATOS_[[% anualiz]:[% anualiz]]),1)*IF(DATOS!BD$5="Sí",1/DATOS_[[% normaliz]:[% normaliz]],1)*(DATOS_[Conc.Sal.26])))))))), 0)</f>
        <v>0</v>
      </c>
      <c r="AJ89" s="302" t="n">
        <f aca="false" t="array" ref="AJ89:AJ89">IFERROR( (AVERAGE((IF(DATOS_[[Sexo]:[Sexo]]=$B89,IF(DATOS_[[AGRUP. CLAS. PROF.]:[AGRUP. CLAS. PROF.]]=$B87,IF(DATOS_[[Check Periodo Ref.]:[Check Periodo Ref.]]="Dentro",IF(DATOS_[[Check Equiparado]:[Check Equiparado]]="Sí",IF(DATOS!BE$4="Sí",(1/DATOS_[[% anualiz]:[% anualiz]]),1)*IF(DATOS!BE$5="Sí",1/DATOS_[[% normaliz]:[% normaliz]],1)*(DATOS_[Conc.Sal.27])))))))), 0)</f>
        <v>0</v>
      </c>
      <c r="AK89" s="302" t="n">
        <f aca="false" t="array" ref="AK89:AK89">IFERROR( (AVERAGE((IF(DATOS_[[Sexo]:[Sexo]]=$B89,IF(DATOS_[[AGRUP. CLAS. PROF.]:[AGRUP. CLAS. PROF.]]=$B87,IF(DATOS_[[Check Periodo Ref.]:[Check Periodo Ref.]]="Dentro",IF(DATOS_[[Check Equiparado]:[Check Equiparado]]="Sí",IF(DATOS!BF$4="Sí",(1/DATOS_[[% anualiz]:[% anualiz]]),1)*IF(DATOS!BF$5="Sí",1/DATOS_[[% normaliz]:[% normaliz]],1)*(DATOS_[Conc.Sal.28])))))))), 0)</f>
        <v>0</v>
      </c>
      <c r="AL89" s="302" t="n">
        <f aca="false" t="array" ref="AL89:AL89">IFERROR( (AVERAGE((IF(DATOS_[[Sexo]:[Sexo]]=$B89,IF(DATOS_[[AGRUP. CLAS. PROF.]:[AGRUP. CLAS. PROF.]]=$B87,IF(DATOS_[[Check Periodo Ref.]:[Check Periodo Ref.]]="Dentro",IF(DATOS_[[Check Equiparado]:[Check Equiparado]]="Sí",IF(DATOS!BG$4="Sí",(1/DATOS_[[% anualiz]:[% anualiz]]),1)*IF(DATOS!BG$5="Sí",1/DATOS_[[% normaliz]:[% normaliz]],1)*(DATOS_[Conc.Sal.29])))))))), 0)</f>
        <v>0</v>
      </c>
      <c r="AM89" s="302" t="n">
        <f aca="false" t="array" ref="AM89:AM89">IFERROR( (AVERAGE((IF(DATOS_[[Sexo]:[Sexo]]=$B89,IF(DATOS_[[AGRUP. CLAS. PROF.]:[AGRUP. CLAS. PROF.]]=$B87,IF(DATOS_[[Check Periodo Ref.]:[Check Periodo Ref.]]="Dentro",IF(DATOS_[[Check Equiparado]:[Check Equiparado]]="Sí",IF(DATOS!BH$4="Sí",(1/DATOS_[[% anualiz]:[% anualiz]]),1)*IF(DATOS!BH$5="Sí",1/DATOS_[[% normaliz]:[% normaliz]],1)*(DATOS_[Conc.Sal.30])))))))), 0)</f>
        <v>0</v>
      </c>
      <c r="AN89" s="294" t="n">
        <f aca="false" t="array" ref="AN89:AN89">IFERROR( AVERAGE(IF(DATOS_[Sexo]=$B89,IF(DATOS_[[AGRUP. CLAS. PROF.]:[AGRUP. CLAS. PROF.]]=$B87,IF(DATOS_[Check Equiparado]="Sí",IF(DATOS_[Check Periodo Ref.]="Dentro",DATOS_[Tot COMPL.SAL Eq],0))))), 0)</f>
        <v>0</v>
      </c>
      <c r="AO89" s="295" t="n">
        <f aca="false" t="array" ref="AO89:AO89">IFERROR( AVERAGE(IF(DATOS_[Sexo]=$B89,IF(DATOS_[[AGRUP. CLAS. PROF.]:[AGRUP. CLAS. PROF.]]=$B87,IF(DATOS_[Check Equiparado]="Sí",IF(DATOS_[Check Periodo Ref.]="Dentro",DATOS_[TOTAL SALARIO Eq],0))))), 0)</f>
        <v>0</v>
      </c>
      <c r="AP89" s="303" t="n">
        <f aca="false" t="array" ref="AP89:AP89">IFERROR( (AVERAGE((IF(DATOS_[[Sexo]:[Sexo]]=$B89,IF(DATOS_[[AGRUP. CLAS. PROF.]:[AGRUP. CLAS. PROF.]]=$B88,IF(DATOS_[[Check Periodo Ref.]:[Check Periodo Ref.]]="Dentro",IF(DATOS_[[Check Equiparado]:[Check Equiparado]]="Sí",IF(DATOS!BI$4="Sí",(1/DATOS_[[% anualiz]:[% anualiz]]),1)*IF(DATOS!BI$5="Sí",1/DATOS_[[% normaliz]:[% normaliz]],1)*(DATOS_[C.Extra.01])))))))), 0)</f>
        <v>0</v>
      </c>
      <c r="AQ89" s="303" t="n">
        <f aca="false" t="array" ref="AQ89:AQ89">IFERROR( (AVERAGE((IF(DATOS_[[Sexo]:[Sexo]]=$B89,IF(DATOS_[[AGRUP. CLAS. PROF.]:[AGRUP. CLAS. PROF.]]=$B88,IF(DATOS_[[Check Periodo Ref.]:[Check Periodo Ref.]]="Dentro",IF(DATOS_[[Check Equiparado]:[Check Equiparado]]="Sí",IF(DATOS!BJ$4="Sí",(1/DATOS_[[% anualiz]:[% anualiz]]),1)*IF(DATOS!BJ$5="Sí",1/DATOS_[[% normaliz]:[% normaliz]],1)*(DATOS_[C.Extra.02])))))))), 0)</f>
        <v>0</v>
      </c>
      <c r="AR89" s="303" t="n">
        <f aca="false" t="array" ref="AR89:AR89">IFERROR( (AVERAGE((IF(DATOS_[[Sexo]:[Sexo]]=$B89,IF(DATOS_[[AGRUP. CLAS. PROF.]:[AGRUP. CLAS. PROF.]]=$B88,IF(DATOS_[[Check Periodo Ref.]:[Check Periodo Ref.]]="Dentro",IF(DATOS_[[Check Equiparado]:[Check Equiparado]]="Sí",IF(DATOS!BK$4="Sí",(1/DATOS_[[% anualiz]:[% anualiz]]),1)*IF(DATOS!BK$5="Sí",1/DATOS_[[% normaliz]:[% normaliz]],1)*(DATOS_[C.Extra.03])))))))), 0)</f>
        <v>0</v>
      </c>
      <c r="AS89" s="303" t="n">
        <f aca="false" t="array" ref="AS89:AS89">IFERROR( (AVERAGE((IF(DATOS_[[Sexo]:[Sexo]]=$B89,IF(DATOS_[[AGRUP. CLAS. PROF.]:[AGRUP. CLAS. PROF.]]=$B88,IF(DATOS_[[Check Periodo Ref.]:[Check Periodo Ref.]]="Dentro",IF(DATOS_[[Check Equiparado]:[Check Equiparado]]="Sí",IF(DATOS!BL$4="Sí",(1/DATOS_[[% anualiz]:[% anualiz]]),1)*IF(DATOS!BL$5="Sí",1/DATOS_[[% normaliz]:[% normaliz]],1)*(DATOS_[C.Extra.04])))))))), 0)</f>
        <v>0</v>
      </c>
      <c r="AT89" s="303" t="n">
        <f aca="false" t="array" ref="AT89:AT89">IFERROR( (AVERAGE((IF(DATOS_[[Sexo]:[Sexo]]=$B89,IF(DATOS_[[AGRUP. CLAS. PROF.]:[AGRUP. CLAS. PROF.]]=$B88,IF(DATOS_[[Check Periodo Ref.]:[Check Periodo Ref.]]="Dentro",IF(DATOS_[[Check Equiparado]:[Check Equiparado]]="Sí",IF(DATOS!BM$4="Sí",(1/DATOS_[[% anualiz]:[% anualiz]]),1)*IF(DATOS!BM$5="Sí",1/DATOS_[[% normaliz]:[% normaliz]],1)*(DATOS_[C.Extra.05])))))))), 0)</f>
        <v>0</v>
      </c>
      <c r="AU89" s="297" t="n">
        <f aca="false" t="array" ref="AU89:AU89">IFERROR( AVERAGE(IF(DATOS_[Sexo]=$B89,IF(DATOS_[[AGRUP. CLAS. PROF.]:[AGRUP. CLAS. PROF.]]=$B87,IF(DATOS_[Check Equiparado]="Sí",IF(DATOS_[Check Periodo Ref.]="Dentro",DATOS_[Tot Extrasalarial Eq],0))))), 0)</f>
        <v>0</v>
      </c>
      <c r="AV89" s="298" t="n">
        <f aca="false" t="array" ref="AV89:AV89">IFERROR( AVERAGE(IF(DATOS_[Sexo]=$B89,IF(DATOS_[[AGRUP. CLAS. PROF.]:[AGRUP. CLAS. PROF.]]=$B87,IF(DATOS_[Check Equiparado]="Sí",IF(DATOS_[Check Periodo Ref.]="Dentro",DATOS_[TOTAL Retrib Eq],0))))), 0)</f>
        <v>0</v>
      </c>
    </row>
    <row r="90" customFormat="false" ht="15.75" hidden="false" customHeight="false" outlineLevel="0" collapsed="false">
      <c r="A90" s="166" t="str">
        <f aca="false">+A91</f>
        <v>[ocultar]</v>
      </c>
      <c r="B90" s="276" t="s">
        <v>243</v>
      </c>
      <c r="C90" s="277"/>
      <c r="D90" s="278"/>
      <c r="E90" s="278"/>
      <c r="F90" s="278"/>
      <c r="G90" s="278"/>
      <c r="H90" s="278"/>
      <c r="I90" s="279" t="str">
        <f aca="false">IFERROR((I91-I92)/I91,"")</f>
        <v/>
      </c>
      <c r="J90" s="280" t="str">
        <f aca="false">IFERROR((J91-J92)/J91,"")</f>
        <v/>
      </c>
      <c r="K90" s="281" t="str">
        <f aca="false">IFERROR((K91-K92)/K91,"")</f>
        <v/>
      </c>
      <c r="L90" s="281" t="str">
        <f aca="false">IFERROR((L91-L92)/L91,"")</f>
        <v/>
      </c>
      <c r="M90" s="281" t="str">
        <f aca="false">IFERROR((M91-M92)/M91,"")</f>
        <v/>
      </c>
      <c r="N90" s="282" t="str">
        <f aca="false">IFERROR((N91-N92)/N91,"")</f>
        <v/>
      </c>
      <c r="O90" s="283" t="str">
        <f aca="false">IFERROR((O91-O92)/O91,"")</f>
        <v/>
      </c>
      <c r="P90" s="283" t="str">
        <f aca="false">IFERROR((P91-P92)/P91,"")</f>
        <v/>
      </c>
      <c r="Q90" s="283" t="str">
        <f aca="false">IFERROR((Q91-Q92)/Q91,"")</f>
        <v/>
      </c>
      <c r="R90" s="283" t="str">
        <f aca="false">IFERROR((R91-R92)/R91,"")</f>
        <v/>
      </c>
      <c r="S90" s="283" t="str">
        <f aca="false">IFERROR((S91-S92)/S91,"")</f>
        <v/>
      </c>
      <c r="T90" s="283" t="str">
        <f aca="false">IFERROR((T91-T92)/T91,"")</f>
        <v/>
      </c>
      <c r="U90" s="283" t="str">
        <f aca="false">IFERROR((U91-U92)/U91,"")</f>
        <v/>
      </c>
      <c r="V90" s="283" t="str">
        <f aca="false">IFERROR((V91-V92)/V91,"")</f>
        <v/>
      </c>
      <c r="W90" s="283" t="str">
        <f aca="false">IFERROR((W91-W92)/W91,"")</f>
        <v/>
      </c>
      <c r="X90" s="283" t="str">
        <f aca="false">IFERROR((X91-X92)/X91,"")</f>
        <v/>
      </c>
      <c r="Y90" s="283" t="str">
        <f aca="false">IFERROR((Y91-Y92)/Y91,"")</f>
        <v/>
      </c>
      <c r="Z90" s="282" t="str">
        <f aca="false">IFERROR((Z91-Z92)/Z91,"")</f>
        <v/>
      </c>
      <c r="AA90" s="282" t="str">
        <f aca="false">IFERROR((AA91-AA92)/AA91,"")</f>
        <v/>
      </c>
      <c r="AB90" s="282" t="str">
        <f aca="false">IFERROR((AB91-AB92)/AB91,"")</f>
        <v/>
      </c>
      <c r="AC90" s="282" t="str">
        <f aca="false">IFERROR((AC91-AC92)/AC91,"")</f>
        <v/>
      </c>
      <c r="AD90" s="282" t="str">
        <f aca="false">IFERROR((AD91-AD92)/AD91,"")</f>
        <v/>
      </c>
      <c r="AE90" s="282" t="str">
        <f aca="false">IFERROR((AE91-AE92)/AE91,"")</f>
        <v/>
      </c>
      <c r="AF90" s="282" t="str">
        <f aca="false">IFERROR((AF91-AF92)/AF91,"")</f>
        <v/>
      </c>
      <c r="AG90" s="282" t="str">
        <f aca="false">IFERROR((AG91-AG92)/AG91,"")</f>
        <v/>
      </c>
      <c r="AH90" s="282" t="str">
        <f aca="false">IFERROR((AH91-AH92)/AH91,"")</f>
        <v/>
      </c>
      <c r="AI90" s="282" t="str">
        <f aca="false">IFERROR((AI91-AI92)/AI91,"")</f>
        <v/>
      </c>
      <c r="AJ90" s="282" t="str">
        <f aca="false">IFERROR((AJ91-AJ92)/AJ91,"")</f>
        <v/>
      </c>
      <c r="AK90" s="282" t="str">
        <f aca="false">IFERROR((AK91-AK92)/AK91,"")</f>
        <v/>
      </c>
      <c r="AL90" s="282" t="str">
        <f aca="false">IFERROR((AL91-AL92)/AL91,"")</f>
        <v/>
      </c>
      <c r="AM90" s="282" t="str">
        <f aca="false">IFERROR((AM91-AM92)/AM91,"")</f>
        <v/>
      </c>
      <c r="AN90" s="284" t="str">
        <f aca="false">IFERROR((AN91-AN92)/AN91,"")</f>
        <v/>
      </c>
      <c r="AO90" s="285" t="str">
        <f aca="false">IFERROR((AO91-AO92)/AO91,"")</f>
        <v/>
      </c>
      <c r="AP90" s="286" t="str">
        <f aca="false">IFERROR((AP91-AP92)/AP91,"")</f>
        <v/>
      </c>
      <c r="AQ90" s="286" t="str">
        <f aca="false">IFERROR((AQ91-AQ92)/AQ91,"")</f>
        <v/>
      </c>
      <c r="AR90" s="286" t="str">
        <f aca="false">IFERROR((AR91-AR92)/AR91,"")</f>
        <v/>
      </c>
      <c r="AS90" s="286" t="str">
        <f aca="false">IFERROR((AS91-AS92)/AS91,"")</f>
        <v/>
      </c>
      <c r="AT90" s="286" t="str">
        <f aca="false">IFERROR((AT91-AT92)/AT91,"")</f>
        <v/>
      </c>
      <c r="AU90" s="287" t="str">
        <f aca="false">IFERROR((AU91-AU92)/AU91,"")</f>
        <v/>
      </c>
      <c r="AV90" s="288" t="str">
        <f aca="false">IFERROR((AV91-AV92)/AV91,"")</f>
        <v/>
      </c>
    </row>
    <row r="91" customFormat="false" ht="14.25" hidden="false" customHeight="false" outlineLevel="0" collapsed="false">
      <c r="A91" s="166" t="str">
        <f aca="false">+IF(C91+C92=0,"[ocultar]","")</f>
        <v>[ocultar]</v>
      </c>
      <c r="B91" s="289" t="s">
        <v>371</v>
      </c>
      <c r="C91" s="290" t="n">
        <f aca="false" t="array" ref="C91:C91">SUM(IF($B91=DATOS_[Sexo], IF($B90=DATOS_[AGRUP. CLAS. PROF.], IF("Dentro"=DATOS_[Check Periodo Ref.], 1/(COUNTIFS(DATOS_[Sexo],$B91,DATOS_[AGRUP. CLAS. PROF.],$B90,DATOS_[Check Periodo Ref.],"Dentro",DATOS_[id],DATOS_[id]))))))</f>
        <v>0</v>
      </c>
      <c r="D91" s="291" t="n">
        <f aca="false">COUNTIFS(DATOS_[AGRUP. CLAS. PROF.],$B90,DATOS_[Sexo],$B91,DATOS_[Check Periodo Ref.],"Dentro")</f>
        <v>0</v>
      </c>
      <c r="E91" s="291" t="n">
        <f aca="false">COUNTIFS(DATOS_[AGRUP. CLAS. PROF.],$B90,DATOS_[Sexo],$B91,DATOS_[Check Periodo Ref.],"Dentro",DATOS_[Check Nº SC Norm],"Sí")</f>
        <v>0</v>
      </c>
      <c r="F91" s="291" t="n">
        <f aca="false">COUNTIFS(DATOS_[AGRUP. CLAS. PROF.],$B90,DATOS_[Sexo],$B91,DATOS_[Check Periodo Ref.],"Dentro",DATOS_[Check Nº SC Anualiz],"Sí")</f>
        <v>0</v>
      </c>
      <c r="G91" s="291" t="n">
        <f aca="false">COUNTIFS(DATOS_[AGRUP. CLAS. PROF.],$B90,DATOS_[Sexo],$B91,DATOS_[Check Periodo Ref.],"Dentro",DATOS_[Check Nº SC Norm y Anualiz],"Sí")</f>
        <v>0</v>
      </c>
      <c r="H91" s="291" t="n">
        <f aca="false">COUNTIFS(DATOS_[AGRUP. CLAS. PROF.],$B90,DATOS_[Sexo],$B91,DATOS_[Check Periodo Ref.],"Dentro",DATOS_[Check Equiparación],"Sí")</f>
        <v>0</v>
      </c>
      <c r="I91" s="292" t="n">
        <f aca="false" t="array" ref="I91:I91">IFERROR( AVERAGE(IF(DATOS_[Sexo]=$B91,IF(DATOS_[[AGRUP. CLAS. PROF.]:[AGRUP. CLAS. PROF.]]=$B90,IF(DATOS_[Check Equiparado]="Sí",IF(DATOS_[Check Periodo Ref.]="Dentro",DATOS_[SALARIO BASE Eq],0))))), 0)</f>
        <v>0</v>
      </c>
      <c r="J91" s="302" t="n">
        <f aca="false" t="array" ref="J91:J91">IFERROR( (AVERAGE((IF(DATOS_[[Sexo]:[Sexo]]=$B91,IF(DATOS_[[AGRUP. CLAS. PROF.]:[AGRUP. CLAS. PROF.]]=$B90,IF(DATOS_[[Check Periodo Ref.]:[Check Periodo Ref.]]="Dentro",IF(DATOS_[[Check Equiparado]:[Check Equiparado]]="Sí",IF(DATOS!AE$4="Sí",(1/DATOS_[[% anualiz]:[% anualiz]]),1)*IF(DATOS!AE$5="Sí",1/DATOS_[[% normaliz]:[% normaliz]],1)*(DATOS_[Conc.Sal.01])))))))), 0)</f>
        <v>0</v>
      </c>
      <c r="K91" s="302" t="n">
        <f aca="false" t="array" ref="K91:K91">IFERROR( (AVERAGE((IF(DATOS_[[Sexo]:[Sexo]]=$B91,IF(DATOS_[[AGRUP. CLAS. PROF.]:[AGRUP. CLAS. PROF.]]=$B90,IF(DATOS_[[Check Periodo Ref.]:[Check Periodo Ref.]]="Dentro",IF(DATOS_[[Check Equiparado]:[Check Equiparado]]="Sí",IF(DATOS!AF$4="Sí",(1/DATOS_[[% anualiz]:[% anualiz]]),1)*IF(DATOS!AF$5="Sí",1/DATOS_[[% normaliz]:[% normaliz]],1)*(DATOS_[Conc.Sal.02])))))))), 0)</f>
        <v>0</v>
      </c>
      <c r="L91" s="302" t="n">
        <f aca="false" t="array" ref="L91:L91">IFERROR( (AVERAGE((IF(DATOS_[[Sexo]:[Sexo]]=$B91,IF(DATOS_[[AGRUP. CLAS. PROF.]:[AGRUP. CLAS. PROF.]]=$B90,IF(DATOS_[[Check Periodo Ref.]:[Check Periodo Ref.]]="Dentro",IF(DATOS_[[Check Equiparado]:[Check Equiparado]]="Sí",IF(DATOS!AG$4="Sí",(1/DATOS_[[% anualiz]:[% anualiz]]),1)*IF(DATOS!AG$5="Sí",1/DATOS_[[% normaliz]:[% normaliz]],1)*(DATOS_[Conc.Sal.03])))))))), 0)</f>
        <v>0</v>
      </c>
      <c r="M91" s="302" t="n">
        <f aca="false" t="array" ref="M91:M91">IFERROR( (AVERAGE((IF(DATOS_[[Sexo]:[Sexo]]=$B91,IF(DATOS_[[AGRUP. CLAS. PROF.]:[AGRUP. CLAS. PROF.]]=$B90,IF(DATOS_[[Check Periodo Ref.]:[Check Periodo Ref.]]="Dentro",IF(DATOS_[[Check Equiparado]:[Check Equiparado]]="Sí",IF(DATOS!AH$4="Sí",(1/DATOS_[[% anualiz]:[% anualiz]]),1)*IF(DATOS!AH$5="Sí",1/DATOS_[[% normaliz]:[% normaliz]],1)*(DATOS_[Conc.Sal.04])))))))), 0)</f>
        <v>0</v>
      </c>
      <c r="N91" s="302" t="n">
        <f aca="false" t="array" ref="N91:N91">IFERROR( (AVERAGE((IF(DATOS_[[Sexo]:[Sexo]]=$B91,IF(DATOS_[[AGRUP. CLAS. PROF.]:[AGRUP. CLAS. PROF.]]=$B90,IF(DATOS_[[Check Periodo Ref.]:[Check Periodo Ref.]]="Dentro",IF(DATOS_[[Check Equiparado]:[Check Equiparado]]="Sí",IF(DATOS!AI$4="Sí",(1/DATOS_[[% anualiz]:[% anualiz]]),1)*IF(DATOS!AI$5="Sí",1/DATOS_[[% normaliz]:[% normaliz]],1)*(DATOS_[Conc.Sal.05])))))))), 0)</f>
        <v>0</v>
      </c>
      <c r="O91" s="302" t="n">
        <f aca="false" t="array" ref="O91:O91">IFERROR( (AVERAGE((IF(DATOS_[[Sexo]:[Sexo]]=$B91,IF(DATOS_[[AGRUP. CLAS. PROF.]:[AGRUP. CLAS. PROF.]]=$B90,IF(DATOS_[[Check Periodo Ref.]:[Check Periodo Ref.]]="Dentro",IF(DATOS_[[Check Equiparado]:[Check Equiparado]]="Sí",IF(DATOS!AJ$4="Sí",(1/DATOS_[[% anualiz]:[% anualiz]]),1)*IF(DATOS!AJ$5="Sí",1/DATOS_[[% normaliz]:[% normaliz]],1)*(DATOS_[Conc.Sal.06])))))))), 0)</f>
        <v>0</v>
      </c>
      <c r="P91" s="302" t="n">
        <f aca="false" t="array" ref="P91:P91">IFERROR( (AVERAGE((IF(DATOS_[[Sexo]:[Sexo]]=$B91,IF(DATOS_[[AGRUP. CLAS. PROF.]:[AGRUP. CLAS. PROF.]]=$B90,IF(DATOS_[[Check Periodo Ref.]:[Check Periodo Ref.]]="Dentro",IF(DATOS_[[Check Equiparado]:[Check Equiparado]]="Sí",IF(DATOS!AK$4="Sí",(1/DATOS_[[% anualiz]:[% anualiz]]),1)*IF(DATOS!AK$5="Sí",1/DATOS_[[% normaliz]:[% normaliz]],1)*(DATOS_[Conc.Sal.07])))))))), 0)</f>
        <v>0</v>
      </c>
      <c r="Q91" s="302" t="n">
        <f aca="false" t="array" ref="Q91:Q91">IFERROR( (AVERAGE((IF(DATOS_[[Sexo]:[Sexo]]=$B91,IF(DATOS_[[AGRUP. CLAS. PROF.]:[AGRUP. CLAS. PROF.]]=$B90,IF(DATOS_[[Check Periodo Ref.]:[Check Periodo Ref.]]="Dentro",IF(DATOS_[[Check Equiparado]:[Check Equiparado]]="Sí",IF(DATOS!AL$4="Sí",(1/DATOS_[[% anualiz]:[% anualiz]]),1)*IF(DATOS!AL$5="Sí",1/DATOS_[[% normaliz]:[% normaliz]],1)*(DATOS_[Conc.Sal.08])))))))), 0)</f>
        <v>0</v>
      </c>
      <c r="R91" s="302" t="n">
        <f aca="false" t="array" ref="R91:R91">IFERROR( (AVERAGE((IF(DATOS_[[Sexo]:[Sexo]]=$B91,IF(DATOS_[[AGRUP. CLAS. PROF.]:[AGRUP. CLAS. PROF.]]=$B90,IF(DATOS_[[Check Periodo Ref.]:[Check Periodo Ref.]]="Dentro",IF(DATOS_[[Check Equiparado]:[Check Equiparado]]="Sí",IF(DATOS!AM$4="Sí",(1/DATOS_[[% anualiz]:[% anualiz]]),1)*IF(DATOS!AM$5="Sí",1/DATOS_[[% normaliz]:[% normaliz]],1)*(DATOS_[Conc.Sal.09])))))))), 0)</f>
        <v>0</v>
      </c>
      <c r="S91" s="302" t="n">
        <f aca="false" t="array" ref="S91:S91">IFERROR( (AVERAGE((IF(DATOS_[[Sexo]:[Sexo]]=$B91,IF(DATOS_[[AGRUP. CLAS. PROF.]:[AGRUP. CLAS. PROF.]]=$B90,IF(DATOS_[[Check Periodo Ref.]:[Check Periodo Ref.]]="Dentro",IF(DATOS_[[Check Equiparado]:[Check Equiparado]]="Sí",IF(DATOS!AN$4="Sí",(1/DATOS_[[% anualiz]:[% anualiz]]),1)*IF(DATOS!AN$5="Sí",1/DATOS_[[% normaliz]:[% normaliz]],1)*(DATOS_[Conc.Sal.10])))))))), 0)</f>
        <v>0</v>
      </c>
      <c r="T91" s="302" t="n">
        <f aca="false" t="array" ref="T91:T91">IFERROR( (AVERAGE((IF(DATOS_[[Sexo]:[Sexo]]=$B91,IF(DATOS_[[AGRUP. CLAS. PROF.]:[AGRUP. CLAS. PROF.]]=$B90,IF(DATOS_[[Check Periodo Ref.]:[Check Periodo Ref.]]="Dentro",IF(DATOS_[[Check Equiparado]:[Check Equiparado]]="Sí",IF(DATOS!AO$4="Sí",(1/DATOS_[[% anualiz]:[% anualiz]]),1)*IF(DATOS!AO$5="Sí",1/DATOS_[[% normaliz]:[% normaliz]],1)*(DATOS_[Conc.Sal.11])))))))), 0)</f>
        <v>0</v>
      </c>
      <c r="U91" s="302" t="n">
        <f aca="false" t="array" ref="U91:U91">IFERROR( (AVERAGE((IF(DATOS_[[Sexo]:[Sexo]]=$B91,IF(DATOS_[[AGRUP. CLAS. PROF.]:[AGRUP. CLAS. PROF.]]=$B90,IF(DATOS_[[Check Periodo Ref.]:[Check Periodo Ref.]]="Dentro",IF(DATOS_[[Check Equiparado]:[Check Equiparado]]="Sí",IF(DATOS!AP$4="Sí",(1/DATOS_[[% anualiz]:[% anualiz]]),1)*IF(DATOS!AP$5="Sí",1/DATOS_[[% normaliz]:[% normaliz]],1)*(DATOS_[Conc.Sal.12])))))))), 0)</f>
        <v>0</v>
      </c>
      <c r="V91" s="302" t="n">
        <f aca="false" t="array" ref="V91:V91">IFERROR( (AVERAGE((IF(DATOS_[[Sexo]:[Sexo]]=$B91,IF(DATOS_[[AGRUP. CLAS. PROF.]:[AGRUP. CLAS. PROF.]]=$B90,IF(DATOS_[[Check Periodo Ref.]:[Check Periodo Ref.]]="Dentro",IF(DATOS_[[Check Equiparado]:[Check Equiparado]]="Sí",IF(DATOS!AQ$4="Sí",(1/DATOS_[[% anualiz]:[% anualiz]]),1)*IF(DATOS!AQ$5="Sí",1/DATOS_[[% normaliz]:[% normaliz]],1)*(DATOS_[Conc.Sal.13])))))))), 0)</f>
        <v>0</v>
      </c>
      <c r="W91" s="302" t="n">
        <f aca="false" t="array" ref="W91:W91">IFERROR( (AVERAGE((IF(DATOS_[[Sexo]:[Sexo]]=$B91,IF(DATOS_[[AGRUP. CLAS. PROF.]:[AGRUP. CLAS. PROF.]]=$B90,IF(DATOS_[[Check Periodo Ref.]:[Check Periodo Ref.]]="Dentro",IF(DATOS_[[Check Equiparado]:[Check Equiparado]]="Sí",IF(DATOS!AR$4="Sí",(1/DATOS_[[% anualiz]:[% anualiz]]),1)*IF(DATOS!AR$5="Sí",1/DATOS_[[% normaliz]:[% normaliz]],1)*(DATOS_[Conc.Sal.14])))))))), 0)</f>
        <v>0</v>
      </c>
      <c r="X91" s="302" t="n">
        <f aca="false" t="array" ref="X91:X91">IFERROR( (AVERAGE((IF(DATOS_[[Sexo]:[Sexo]]=$B91,IF(DATOS_[[AGRUP. CLAS. PROF.]:[AGRUP. CLAS. PROF.]]=$B90,IF(DATOS_[[Check Periodo Ref.]:[Check Periodo Ref.]]="Dentro",IF(DATOS_[[Check Equiparado]:[Check Equiparado]]="Sí",IF(DATOS!AS$4="Sí",(1/DATOS_[[% anualiz]:[% anualiz]]),1)*IF(DATOS!AS$5="Sí",1/DATOS_[[% normaliz]:[% normaliz]],1)*(DATOS_[Conc.Sal.15])))))))), 0)</f>
        <v>0</v>
      </c>
      <c r="Y91" s="302" t="n">
        <f aca="false" t="array" ref="Y91:Y91">IFERROR( (AVERAGE((IF(DATOS_[[Sexo]:[Sexo]]=$B91,IF(DATOS_[[AGRUP. CLAS. PROF.]:[AGRUP. CLAS. PROF.]]=$B90,IF(DATOS_[[Check Periodo Ref.]:[Check Periodo Ref.]]="Dentro",IF(DATOS_[[Check Equiparado]:[Check Equiparado]]="Sí",IF(DATOS!AT$4="Sí",(1/DATOS_[[% anualiz]:[% anualiz]]),1)*IF(DATOS!AT$5="Sí",1/DATOS_[[% normaliz]:[% normaliz]],1)*(DATOS_[Conc.Sal.16])))))))), 0)</f>
        <v>0</v>
      </c>
      <c r="Z91" s="302" t="n">
        <f aca="false" t="array" ref="Z91:Z91">IFERROR( (AVERAGE((IF(DATOS_[[Sexo]:[Sexo]]=$B91,IF(DATOS_[[AGRUP. CLAS. PROF.]:[AGRUP. CLAS. PROF.]]=$B90,IF(DATOS_[[Check Periodo Ref.]:[Check Periodo Ref.]]="Dentro",IF(DATOS_[[Check Equiparado]:[Check Equiparado]]="Sí",IF(DATOS!AU$4="Sí",(1/DATOS_[[% anualiz]:[% anualiz]]),1)*IF(DATOS!AU$5="Sí",1/DATOS_[[% normaliz]:[% normaliz]],1)*(DATOS_[Conc.Sal.17])))))))), 0)</f>
        <v>0</v>
      </c>
      <c r="AA91" s="302" t="n">
        <f aca="false" t="array" ref="AA91:AA91">IFERROR( (AVERAGE((IF(DATOS_[[Sexo]:[Sexo]]=$B91,IF(DATOS_[[AGRUP. CLAS. PROF.]:[AGRUP. CLAS. PROF.]]=$B90,IF(DATOS_[[Check Periodo Ref.]:[Check Periodo Ref.]]="Dentro",IF(DATOS_[[Check Equiparado]:[Check Equiparado]]="Sí",IF(DATOS!AV$4="Sí",(1/DATOS_[[% anualiz]:[% anualiz]]),1)*IF(DATOS!AV$5="Sí",1/DATOS_[[% normaliz]:[% normaliz]],1)*(DATOS_[Conc.Sal.18])))))))), 0)</f>
        <v>0</v>
      </c>
      <c r="AB91" s="302" t="n">
        <f aca="false" t="array" ref="AB91:AB91">IFERROR( (AVERAGE((IF(DATOS_[[Sexo]:[Sexo]]=$B91,IF(DATOS_[[AGRUP. CLAS. PROF.]:[AGRUP. CLAS. PROF.]]=$B90,IF(DATOS_[[Check Periodo Ref.]:[Check Periodo Ref.]]="Dentro",IF(DATOS_[[Check Equiparado]:[Check Equiparado]]="Sí",IF(DATOS!AW$4="Sí",(1/DATOS_[[% anualiz]:[% anualiz]]),1)*IF(DATOS!AW$5="Sí",1/DATOS_[[% normaliz]:[% normaliz]],1)*(DATOS_[Conc.Sal.19])))))))), 0)</f>
        <v>0</v>
      </c>
      <c r="AC91" s="302" t="n">
        <f aca="false" t="array" ref="AC91:AC91">IFERROR( (AVERAGE((IF(DATOS_[[Sexo]:[Sexo]]=$B91,IF(DATOS_[[AGRUP. CLAS. PROF.]:[AGRUP. CLAS. PROF.]]=$B90,IF(DATOS_[[Check Periodo Ref.]:[Check Periodo Ref.]]="Dentro",IF(DATOS_[[Check Equiparado]:[Check Equiparado]]="Sí",IF(DATOS!AX$4="Sí",(1/DATOS_[[% anualiz]:[% anualiz]]),1)*IF(DATOS!AX$5="Sí",1/DATOS_[[% normaliz]:[% normaliz]],1)*(DATOS_[Conc.Sal.20])))))))), 0)</f>
        <v>0</v>
      </c>
      <c r="AD91" s="302" t="n">
        <f aca="false" t="array" ref="AD91:AD91">IFERROR( (AVERAGE((IF(DATOS_[[Sexo]:[Sexo]]=$B91,IF(DATOS_[[AGRUP. CLAS. PROF.]:[AGRUP. CLAS. PROF.]]=$B90,IF(DATOS_[[Check Periodo Ref.]:[Check Periodo Ref.]]="Dentro",IF(DATOS_[[Check Equiparado]:[Check Equiparado]]="Sí",IF(DATOS!AY$4="Sí",(1/DATOS_[[% anualiz]:[% anualiz]]),1)*IF(DATOS!AY$5="Sí",1/DATOS_[[% normaliz]:[% normaliz]],1)*(DATOS_[Conc.Sal.21])))))))), 0)</f>
        <v>0</v>
      </c>
      <c r="AE91" s="302" t="n">
        <f aca="false" t="array" ref="AE91:AE91">IFERROR( (AVERAGE((IF(DATOS_[[Sexo]:[Sexo]]=$B91,IF(DATOS_[[AGRUP. CLAS. PROF.]:[AGRUP. CLAS. PROF.]]=$B90,IF(DATOS_[[Check Periodo Ref.]:[Check Periodo Ref.]]="Dentro",IF(DATOS_[[Check Equiparado]:[Check Equiparado]]="Sí",IF(DATOS!AZ$4="Sí",(1/DATOS_[[% anualiz]:[% anualiz]]),1)*IF(DATOS!AZ$5="Sí",1/DATOS_[[% normaliz]:[% normaliz]],1)*(DATOS_[Conc.Sal.22])))))))), 0)</f>
        <v>0</v>
      </c>
      <c r="AF91" s="302" t="n">
        <f aca="false" t="array" ref="AF91:AF91">IFERROR( (AVERAGE((IF(DATOS_[[Sexo]:[Sexo]]=$B91,IF(DATOS_[[AGRUP. CLAS. PROF.]:[AGRUP. CLAS. PROF.]]=$B90,IF(DATOS_[[Check Periodo Ref.]:[Check Periodo Ref.]]="Dentro",IF(DATOS_[[Check Equiparado]:[Check Equiparado]]="Sí",IF(DATOS!BA$4="Sí",(1/DATOS_[[% anualiz]:[% anualiz]]),1)*IF(DATOS!BA$5="Sí",1/DATOS_[[% normaliz]:[% normaliz]],1)*(DATOS_[Conc.Sal.23])))))))), 0)</f>
        <v>0</v>
      </c>
      <c r="AG91" s="302" t="n">
        <f aca="false" t="array" ref="AG91:AG91">IFERROR( (AVERAGE((IF(DATOS_[[Sexo]:[Sexo]]=$B91,IF(DATOS_[[AGRUP. CLAS. PROF.]:[AGRUP. CLAS. PROF.]]=$B90,IF(DATOS_[[Check Periodo Ref.]:[Check Periodo Ref.]]="Dentro",IF(DATOS_[[Check Equiparado]:[Check Equiparado]]="Sí",IF(DATOS!BB$4="Sí",(1/DATOS_[[% anualiz]:[% anualiz]]),1)*IF(DATOS!BB$5="Sí",1/DATOS_[[% normaliz]:[% normaliz]],1)*(DATOS_[Conc.Sal.24])))))))), 0)</f>
        <v>0</v>
      </c>
      <c r="AH91" s="302" t="n">
        <f aca="false" t="array" ref="AH91:AH91">IFERROR( (AVERAGE((IF(DATOS_[[Sexo]:[Sexo]]=$B91,IF(DATOS_[[AGRUP. CLAS. PROF.]:[AGRUP. CLAS. PROF.]]=$B90,IF(DATOS_[[Check Periodo Ref.]:[Check Periodo Ref.]]="Dentro",IF(DATOS_[[Check Equiparado]:[Check Equiparado]]="Sí",IF(DATOS!BC$4="Sí",(1/DATOS_[[% anualiz]:[% anualiz]]),1)*IF(DATOS!BC$5="Sí",1/DATOS_[[% normaliz]:[% normaliz]],1)*(DATOS_[Conc.Sal.25])))))))), 0)</f>
        <v>0</v>
      </c>
      <c r="AI91" s="302" t="n">
        <f aca="false" t="array" ref="AI91:AI91">IFERROR( (AVERAGE((IF(DATOS_[[Sexo]:[Sexo]]=$B91,IF(DATOS_[[AGRUP. CLAS. PROF.]:[AGRUP. CLAS. PROF.]]=$B90,IF(DATOS_[[Check Periodo Ref.]:[Check Periodo Ref.]]="Dentro",IF(DATOS_[[Check Equiparado]:[Check Equiparado]]="Sí",IF(DATOS!BD$4="Sí",(1/DATOS_[[% anualiz]:[% anualiz]]),1)*IF(DATOS!BD$5="Sí",1/DATOS_[[% normaliz]:[% normaliz]],1)*(DATOS_[Conc.Sal.26])))))))), 0)</f>
        <v>0</v>
      </c>
      <c r="AJ91" s="302" t="n">
        <f aca="false" t="array" ref="AJ91:AJ91">IFERROR( (AVERAGE((IF(DATOS_[[Sexo]:[Sexo]]=$B91,IF(DATOS_[[AGRUP. CLAS. PROF.]:[AGRUP. CLAS. PROF.]]=$B90,IF(DATOS_[[Check Periodo Ref.]:[Check Periodo Ref.]]="Dentro",IF(DATOS_[[Check Equiparado]:[Check Equiparado]]="Sí",IF(DATOS!BE$4="Sí",(1/DATOS_[[% anualiz]:[% anualiz]]),1)*IF(DATOS!BE$5="Sí",1/DATOS_[[% normaliz]:[% normaliz]],1)*(DATOS_[Conc.Sal.27])))))))), 0)</f>
        <v>0</v>
      </c>
      <c r="AK91" s="302" t="n">
        <f aca="false" t="array" ref="AK91:AK91">IFERROR( (AVERAGE((IF(DATOS_[[Sexo]:[Sexo]]=$B91,IF(DATOS_[[AGRUP. CLAS. PROF.]:[AGRUP. CLAS. PROF.]]=$B90,IF(DATOS_[[Check Periodo Ref.]:[Check Periodo Ref.]]="Dentro",IF(DATOS_[[Check Equiparado]:[Check Equiparado]]="Sí",IF(DATOS!BF$4="Sí",(1/DATOS_[[% anualiz]:[% anualiz]]),1)*IF(DATOS!BF$5="Sí",1/DATOS_[[% normaliz]:[% normaliz]],1)*(DATOS_[Conc.Sal.28])))))))), 0)</f>
        <v>0</v>
      </c>
      <c r="AL91" s="302" t="n">
        <f aca="false" t="array" ref="AL91:AL91">IFERROR( (AVERAGE((IF(DATOS_[[Sexo]:[Sexo]]=$B91,IF(DATOS_[[AGRUP. CLAS. PROF.]:[AGRUP. CLAS. PROF.]]=$B90,IF(DATOS_[[Check Periodo Ref.]:[Check Periodo Ref.]]="Dentro",IF(DATOS_[[Check Equiparado]:[Check Equiparado]]="Sí",IF(DATOS!BG$4="Sí",(1/DATOS_[[% anualiz]:[% anualiz]]),1)*IF(DATOS!BG$5="Sí",1/DATOS_[[% normaliz]:[% normaliz]],1)*(DATOS_[Conc.Sal.29])))))))), 0)</f>
        <v>0</v>
      </c>
      <c r="AM91" s="302" t="n">
        <f aca="false" t="array" ref="AM91:AM91">IFERROR( (AVERAGE((IF(DATOS_[[Sexo]:[Sexo]]=$B91,IF(DATOS_[[AGRUP. CLAS. PROF.]:[AGRUP. CLAS. PROF.]]=$B90,IF(DATOS_[[Check Periodo Ref.]:[Check Periodo Ref.]]="Dentro",IF(DATOS_[[Check Equiparado]:[Check Equiparado]]="Sí",IF(DATOS!BH$4="Sí",(1/DATOS_[[% anualiz]:[% anualiz]]),1)*IF(DATOS!BH$5="Sí",1/DATOS_[[% normaliz]:[% normaliz]],1)*(DATOS_[Conc.Sal.30])))))))), 0)</f>
        <v>0</v>
      </c>
      <c r="AN91" s="294" t="n">
        <f aca="false" t="array" ref="AN91:AN91">IFERROR( AVERAGE(IF(DATOS_[Sexo]=$B91,IF(DATOS_[[AGRUP. CLAS. PROF.]:[AGRUP. CLAS. PROF.]]=$B90,IF(DATOS_[Check Equiparado]="Sí",IF(DATOS_[Check Periodo Ref.]="Dentro",DATOS_[Tot COMPL.SAL Eq],0))))), 0)</f>
        <v>0</v>
      </c>
      <c r="AO91" s="295" t="n">
        <f aca="false" t="array" ref="AO91:AO91">IFERROR( AVERAGE(IF(DATOS_[Sexo]=$B91,IF(DATOS_[[AGRUP. CLAS. PROF.]:[AGRUP. CLAS. PROF.]]=$B90,IF(DATOS_[Check Equiparado]="Sí",IF(DATOS_[Check Periodo Ref.]="Dentro",DATOS_[TOTAL SALARIO Eq],0))))), 0)</f>
        <v>0</v>
      </c>
      <c r="AP91" s="303" t="n">
        <f aca="false" t="array" ref="AP91:AP91">IFERROR( (AVERAGE((IF(DATOS_[[Sexo]:[Sexo]]=$B91,IF(DATOS_[[AGRUP. CLAS. PROF.]:[AGRUP. CLAS. PROF.]]=$B90,IF(DATOS_[[Check Periodo Ref.]:[Check Periodo Ref.]]="Dentro",IF(DATOS_[[Check Equiparado]:[Check Equiparado]]="Sí",IF(DATOS!BI$4="Sí",(1/DATOS_[[% anualiz]:[% anualiz]]),1)*IF(DATOS!BI$5="Sí",1/DATOS_[[% normaliz]:[% normaliz]],1)*(DATOS_[C.Extra.01])))))))), 0)</f>
        <v>0</v>
      </c>
      <c r="AQ91" s="303" t="n">
        <f aca="false" t="array" ref="AQ91:AQ91">IFERROR( (AVERAGE((IF(DATOS_[[Sexo]:[Sexo]]=$B91,IF(DATOS_[[AGRUP. CLAS. PROF.]:[AGRUP. CLAS. PROF.]]=$B90,IF(DATOS_[[Check Periodo Ref.]:[Check Periodo Ref.]]="Dentro",IF(DATOS_[[Check Equiparado]:[Check Equiparado]]="Sí",IF(DATOS!BJ$4="Sí",(1/DATOS_[[% anualiz]:[% anualiz]]),1)*IF(DATOS!BJ$5="Sí",1/DATOS_[[% normaliz]:[% normaliz]],1)*(DATOS_[C.Extra.02])))))))), 0)</f>
        <v>0</v>
      </c>
      <c r="AR91" s="303" t="n">
        <f aca="false" t="array" ref="AR91:AR91">IFERROR( (AVERAGE((IF(DATOS_[[Sexo]:[Sexo]]=$B91,IF(DATOS_[[AGRUP. CLAS. PROF.]:[AGRUP. CLAS. PROF.]]=$B90,IF(DATOS_[[Check Periodo Ref.]:[Check Periodo Ref.]]="Dentro",IF(DATOS_[[Check Equiparado]:[Check Equiparado]]="Sí",IF(DATOS!BK$4="Sí",(1/DATOS_[[% anualiz]:[% anualiz]]),1)*IF(DATOS!BK$5="Sí",1/DATOS_[[% normaliz]:[% normaliz]],1)*(DATOS_[C.Extra.03])))))))), 0)</f>
        <v>0</v>
      </c>
      <c r="AS91" s="303" t="n">
        <f aca="false" t="array" ref="AS91:AS91">IFERROR( (AVERAGE((IF(DATOS_[[Sexo]:[Sexo]]=$B91,IF(DATOS_[[AGRUP. CLAS. PROF.]:[AGRUP. CLAS. PROF.]]=$B90,IF(DATOS_[[Check Periodo Ref.]:[Check Periodo Ref.]]="Dentro",IF(DATOS_[[Check Equiparado]:[Check Equiparado]]="Sí",IF(DATOS!BL$4="Sí",(1/DATOS_[[% anualiz]:[% anualiz]]),1)*IF(DATOS!BL$5="Sí",1/DATOS_[[% normaliz]:[% normaliz]],1)*(DATOS_[C.Extra.04])))))))), 0)</f>
        <v>0</v>
      </c>
      <c r="AT91" s="303" t="n">
        <f aca="false" t="array" ref="AT91:AT91">IFERROR( (AVERAGE((IF(DATOS_[[Sexo]:[Sexo]]=$B91,IF(DATOS_[[AGRUP. CLAS. PROF.]:[AGRUP. CLAS. PROF.]]=$B90,IF(DATOS_[[Check Periodo Ref.]:[Check Periodo Ref.]]="Dentro",IF(DATOS_[[Check Equiparado]:[Check Equiparado]]="Sí",IF(DATOS!BM$4="Sí",(1/DATOS_[[% anualiz]:[% anualiz]]),1)*IF(DATOS!BM$5="Sí",1/DATOS_[[% normaliz]:[% normaliz]],1)*(DATOS_[C.Extra.05])))))))), 0)</f>
        <v>0</v>
      </c>
      <c r="AU91" s="297" t="n">
        <f aca="false" t="array" ref="AU91:AU91">IFERROR( AVERAGE(IF(DATOS_[Sexo]=$B91,IF(DATOS_[[AGRUP. CLAS. PROF.]:[AGRUP. CLAS. PROF.]]=$B90,IF(DATOS_[Check Equiparado]="Sí",IF(DATOS_[Check Periodo Ref.]="Dentro",DATOS_[Tot Extrasalarial Eq],0))))), 0)</f>
        <v>0</v>
      </c>
      <c r="AV91" s="298" t="n">
        <f aca="false" t="array" ref="AV91:AV91">IFERROR( AVERAGE(IF(DATOS_[Sexo]=$B91,IF(DATOS_[[AGRUP. CLAS. PROF.]:[AGRUP. CLAS. PROF.]]=$B90,IF(DATOS_[Check Equiparado]="Sí",IF(DATOS_[Check Periodo Ref.]="Dentro",DATOS_[TOTAL Retrib Eq],0))))), 0)</f>
        <v>0</v>
      </c>
    </row>
    <row r="92" customFormat="false" ht="14.25" hidden="false" customHeight="false" outlineLevel="0" collapsed="false">
      <c r="A92" s="166" t="str">
        <f aca="false">+A91</f>
        <v>[ocultar]</v>
      </c>
      <c r="B92" s="289" t="s">
        <v>372</v>
      </c>
      <c r="C92" s="290" t="n">
        <f aca="false" t="array" ref="C92:C92">SUM(IF($B92=DATOS_[Sexo], IF($B90=DATOS_[AGRUP. CLAS. PROF.], IF("Dentro"=DATOS_[Check Periodo Ref.], 1/(COUNTIFS(DATOS_[Sexo],$B92,DATOS_[AGRUP. CLAS. PROF.],$B90,DATOS_[Check Periodo Ref.],"Dentro",DATOS_[id],DATOS_[id]))))))</f>
        <v>0</v>
      </c>
      <c r="D92" s="291" t="n">
        <f aca="false">COUNTIFS(DATOS_[AGRUP. CLAS. PROF.],$B90,DATOS_[Sexo],$B92,DATOS_[Check Periodo Ref.],"Dentro")</f>
        <v>0</v>
      </c>
      <c r="E92" s="291" t="n">
        <f aca="false">COUNTIFS(DATOS_[AGRUP. CLAS. PROF.],$B90,DATOS_[Sexo],$B92,DATOS_[Check Periodo Ref.],"Dentro",DATOS_[Check Nº SC Norm],"Sí")</f>
        <v>0</v>
      </c>
      <c r="F92" s="291" t="n">
        <f aca="false">COUNTIFS(DATOS_[AGRUP. CLAS. PROF.],$B90,DATOS_[Sexo],$B92,DATOS_[Check Periodo Ref.],"Dentro",DATOS_[Check Nº SC Anualiz],"Sí")</f>
        <v>0</v>
      </c>
      <c r="G92" s="291" t="n">
        <f aca="false">COUNTIFS(DATOS_[AGRUP. CLAS. PROF.],$B90,DATOS_[Sexo],$B92,DATOS_[Check Periodo Ref.],"Dentro",DATOS_[Check Nº SC Norm y Anualiz],"Sí")</f>
        <v>0</v>
      </c>
      <c r="H92" s="291" t="n">
        <f aca="false">COUNTIFS(DATOS_[AGRUP. CLAS. PROF.],$B90,DATOS_[Sexo],$B92,DATOS_[Check Periodo Ref.],"Dentro",DATOS_[Check Equiparación],"Sí")</f>
        <v>0</v>
      </c>
      <c r="I92" s="292" t="n">
        <f aca="false" t="array" ref="I92:I92">IFERROR( AVERAGE(IF(DATOS_[Sexo]=$B92,IF(DATOS_[[AGRUP. CLAS. PROF.]:[AGRUP. CLAS. PROF.]]=$B90,IF(DATOS_[Check Equiparado]="Sí",IF(DATOS_[Check Periodo Ref.]="Dentro",DATOS_[SALARIO BASE Eq],0))))), 0)</f>
        <v>0</v>
      </c>
      <c r="J92" s="302" t="n">
        <f aca="false" t="array" ref="J92:J92">IFERROR( (AVERAGE((IF(DATOS_[[Sexo]:[Sexo]]=$B92,IF(DATOS_[[AGRUP. CLAS. PROF.]:[AGRUP. CLAS. PROF.]]=$B90,IF(DATOS_[[Check Periodo Ref.]:[Check Periodo Ref.]]="Dentro",IF(DATOS_[[Check Equiparado]:[Check Equiparado]]="Sí",IF(DATOS!AE$4="Sí",(1/DATOS_[[% anualiz]:[% anualiz]]),1)*IF(DATOS!AE$5="Sí",1/DATOS_[[% normaliz]:[% normaliz]],1)*(DATOS_[Conc.Sal.01])))))))), 0)</f>
        <v>0</v>
      </c>
      <c r="K92" s="302" t="n">
        <f aca="false" t="array" ref="K92:K92">IFERROR( (AVERAGE((IF(DATOS_[[Sexo]:[Sexo]]=$B92,IF(DATOS_[[AGRUP. CLAS. PROF.]:[AGRUP. CLAS. PROF.]]=$B90,IF(DATOS_[[Check Periodo Ref.]:[Check Periodo Ref.]]="Dentro",IF(DATOS_[[Check Equiparado]:[Check Equiparado]]="Sí",IF(DATOS!AF$4="Sí",(1/DATOS_[[% anualiz]:[% anualiz]]),1)*IF(DATOS!AF$5="Sí",1/DATOS_[[% normaliz]:[% normaliz]],1)*(DATOS_[Conc.Sal.02])))))))), 0)</f>
        <v>0</v>
      </c>
      <c r="L92" s="302" t="n">
        <f aca="false" t="array" ref="L92:L92">IFERROR( (AVERAGE((IF(DATOS_[[Sexo]:[Sexo]]=$B92,IF(DATOS_[[AGRUP. CLAS. PROF.]:[AGRUP. CLAS. PROF.]]=$B90,IF(DATOS_[[Check Periodo Ref.]:[Check Periodo Ref.]]="Dentro",IF(DATOS_[[Check Equiparado]:[Check Equiparado]]="Sí",IF(DATOS!AG$4="Sí",(1/DATOS_[[% anualiz]:[% anualiz]]),1)*IF(DATOS!AG$5="Sí",1/DATOS_[[% normaliz]:[% normaliz]],1)*(DATOS_[Conc.Sal.03])))))))), 0)</f>
        <v>0</v>
      </c>
      <c r="M92" s="302" t="n">
        <f aca="false" t="array" ref="M92:M92">IFERROR( (AVERAGE((IF(DATOS_[[Sexo]:[Sexo]]=$B92,IF(DATOS_[[AGRUP. CLAS. PROF.]:[AGRUP. CLAS. PROF.]]=$B90,IF(DATOS_[[Check Periodo Ref.]:[Check Periodo Ref.]]="Dentro",IF(DATOS_[[Check Equiparado]:[Check Equiparado]]="Sí",IF(DATOS!AH$4="Sí",(1/DATOS_[[% anualiz]:[% anualiz]]),1)*IF(DATOS!AH$5="Sí",1/DATOS_[[% normaliz]:[% normaliz]],1)*(DATOS_[Conc.Sal.04])))))))), 0)</f>
        <v>0</v>
      </c>
      <c r="N92" s="302" t="n">
        <f aca="false" t="array" ref="N92:N92">IFERROR( (AVERAGE((IF(DATOS_[[Sexo]:[Sexo]]=$B92,IF(DATOS_[[AGRUP. CLAS. PROF.]:[AGRUP. CLAS. PROF.]]=$B90,IF(DATOS_[[Check Periodo Ref.]:[Check Periodo Ref.]]="Dentro",IF(DATOS_[[Check Equiparado]:[Check Equiparado]]="Sí",IF(DATOS!AI$4="Sí",(1/DATOS_[[% anualiz]:[% anualiz]]),1)*IF(DATOS!AI$5="Sí",1/DATOS_[[% normaliz]:[% normaliz]],1)*(DATOS_[Conc.Sal.05])))))))), 0)</f>
        <v>0</v>
      </c>
      <c r="O92" s="302" t="n">
        <f aca="false" t="array" ref="O92:O92">IFERROR( (AVERAGE((IF(DATOS_[[Sexo]:[Sexo]]=$B92,IF(DATOS_[[AGRUP. CLAS. PROF.]:[AGRUP. CLAS. PROF.]]=$B90,IF(DATOS_[[Check Periodo Ref.]:[Check Periodo Ref.]]="Dentro",IF(DATOS_[[Check Equiparado]:[Check Equiparado]]="Sí",IF(DATOS!AJ$4="Sí",(1/DATOS_[[% anualiz]:[% anualiz]]),1)*IF(DATOS!AJ$5="Sí",1/DATOS_[[% normaliz]:[% normaliz]],1)*(DATOS_[Conc.Sal.06])))))))), 0)</f>
        <v>0</v>
      </c>
      <c r="P92" s="302" t="n">
        <f aca="false" t="array" ref="P92:P92">IFERROR( (AVERAGE((IF(DATOS_[[Sexo]:[Sexo]]=$B92,IF(DATOS_[[AGRUP. CLAS. PROF.]:[AGRUP. CLAS. PROF.]]=$B90,IF(DATOS_[[Check Periodo Ref.]:[Check Periodo Ref.]]="Dentro",IF(DATOS_[[Check Equiparado]:[Check Equiparado]]="Sí",IF(DATOS!AK$4="Sí",(1/DATOS_[[% anualiz]:[% anualiz]]),1)*IF(DATOS!AK$5="Sí",1/DATOS_[[% normaliz]:[% normaliz]],1)*(DATOS_[Conc.Sal.07])))))))), 0)</f>
        <v>0</v>
      </c>
      <c r="Q92" s="302" t="n">
        <f aca="false" t="array" ref="Q92:Q92">IFERROR( (AVERAGE((IF(DATOS_[[Sexo]:[Sexo]]=$B92,IF(DATOS_[[AGRUP. CLAS. PROF.]:[AGRUP. CLAS. PROF.]]=$B90,IF(DATOS_[[Check Periodo Ref.]:[Check Periodo Ref.]]="Dentro",IF(DATOS_[[Check Equiparado]:[Check Equiparado]]="Sí",IF(DATOS!AL$4="Sí",(1/DATOS_[[% anualiz]:[% anualiz]]),1)*IF(DATOS!AL$5="Sí",1/DATOS_[[% normaliz]:[% normaliz]],1)*(DATOS_[Conc.Sal.08])))))))), 0)</f>
        <v>0</v>
      </c>
      <c r="R92" s="302" t="n">
        <f aca="false" t="array" ref="R92:R92">IFERROR( (AVERAGE((IF(DATOS_[[Sexo]:[Sexo]]=$B92,IF(DATOS_[[AGRUP. CLAS. PROF.]:[AGRUP. CLAS. PROF.]]=$B90,IF(DATOS_[[Check Periodo Ref.]:[Check Periodo Ref.]]="Dentro",IF(DATOS_[[Check Equiparado]:[Check Equiparado]]="Sí",IF(DATOS!AM$4="Sí",(1/DATOS_[[% anualiz]:[% anualiz]]),1)*IF(DATOS!AM$5="Sí",1/DATOS_[[% normaliz]:[% normaliz]],1)*(DATOS_[Conc.Sal.09])))))))), 0)</f>
        <v>0</v>
      </c>
      <c r="S92" s="302" t="n">
        <f aca="false" t="array" ref="S92:S92">IFERROR( (AVERAGE((IF(DATOS_[[Sexo]:[Sexo]]=$B92,IF(DATOS_[[AGRUP. CLAS. PROF.]:[AGRUP. CLAS. PROF.]]=$B90,IF(DATOS_[[Check Periodo Ref.]:[Check Periodo Ref.]]="Dentro",IF(DATOS_[[Check Equiparado]:[Check Equiparado]]="Sí",IF(DATOS!AN$4="Sí",(1/DATOS_[[% anualiz]:[% anualiz]]),1)*IF(DATOS!AN$5="Sí",1/DATOS_[[% normaliz]:[% normaliz]],1)*(DATOS_[Conc.Sal.10])))))))), 0)</f>
        <v>0</v>
      </c>
      <c r="T92" s="302" t="n">
        <f aca="false" t="array" ref="T92:T92">IFERROR( (AVERAGE((IF(DATOS_[[Sexo]:[Sexo]]=$B92,IF(DATOS_[[AGRUP. CLAS. PROF.]:[AGRUP. CLAS. PROF.]]=$B90,IF(DATOS_[[Check Periodo Ref.]:[Check Periodo Ref.]]="Dentro",IF(DATOS_[[Check Equiparado]:[Check Equiparado]]="Sí",IF(DATOS!AO$4="Sí",(1/DATOS_[[% anualiz]:[% anualiz]]),1)*IF(DATOS!AO$5="Sí",1/DATOS_[[% normaliz]:[% normaliz]],1)*(DATOS_[Conc.Sal.11])))))))), 0)</f>
        <v>0</v>
      </c>
      <c r="U92" s="302" t="n">
        <f aca="false" t="array" ref="U92:U92">IFERROR( (AVERAGE((IF(DATOS_[[Sexo]:[Sexo]]=$B92,IF(DATOS_[[AGRUP. CLAS. PROF.]:[AGRUP. CLAS. PROF.]]=$B90,IF(DATOS_[[Check Periodo Ref.]:[Check Periodo Ref.]]="Dentro",IF(DATOS_[[Check Equiparado]:[Check Equiparado]]="Sí",IF(DATOS!AP$4="Sí",(1/DATOS_[[% anualiz]:[% anualiz]]),1)*IF(DATOS!AP$5="Sí",1/DATOS_[[% normaliz]:[% normaliz]],1)*(DATOS_[Conc.Sal.12])))))))), 0)</f>
        <v>0</v>
      </c>
      <c r="V92" s="302" t="n">
        <f aca="false" t="array" ref="V92:V92">IFERROR( (AVERAGE((IF(DATOS_[[Sexo]:[Sexo]]=$B92,IF(DATOS_[[AGRUP. CLAS. PROF.]:[AGRUP. CLAS. PROF.]]=$B90,IF(DATOS_[[Check Periodo Ref.]:[Check Periodo Ref.]]="Dentro",IF(DATOS_[[Check Equiparado]:[Check Equiparado]]="Sí",IF(DATOS!AQ$4="Sí",(1/DATOS_[[% anualiz]:[% anualiz]]),1)*IF(DATOS!AQ$5="Sí",1/DATOS_[[% normaliz]:[% normaliz]],1)*(DATOS_[Conc.Sal.13])))))))), 0)</f>
        <v>0</v>
      </c>
      <c r="W92" s="302" t="n">
        <f aca="false" t="array" ref="W92:W92">IFERROR( (AVERAGE((IF(DATOS_[[Sexo]:[Sexo]]=$B92,IF(DATOS_[[AGRUP. CLAS. PROF.]:[AGRUP. CLAS. PROF.]]=$B90,IF(DATOS_[[Check Periodo Ref.]:[Check Periodo Ref.]]="Dentro",IF(DATOS_[[Check Equiparado]:[Check Equiparado]]="Sí",IF(DATOS!AR$4="Sí",(1/DATOS_[[% anualiz]:[% anualiz]]),1)*IF(DATOS!AR$5="Sí",1/DATOS_[[% normaliz]:[% normaliz]],1)*(DATOS_[Conc.Sal.14])))))))), 0)</f>
        <v>0</v>
      </c>
      <c r="X92" s="302" t="n">
        <f aca="false" t="array" ref="X92:X92">IFERROR( (AVERAGE((IF(DATOS_[[Sexo]:[Sexo]]=$B92,IF(DATOS_[[AGRUP. CLAS. PROF.]:[AGRUP. CLAS. PROF.]]=$B90,IF(DATOS_[[Check Periodo Ref.]:[Check Periodo Ref.]]="Dentro",IF(DATOS_[[Check Equiparado]:[Check Equiparado]]="Sí",IF(DATOS!AS$4="Sí",(1/DATOS_[[% anualiz]:[% anualiz]]),1)*IF(DATOS!AS$5="Sí",1/DATOS_[[% normaliz]:[% normaliz]],1)*(DATOS_[Conc.Sal.15])))))))), 0)</f>
        <v>0</v>
      </c>
      <c r="Y92" s="302" t="n">
        <f aca="false" t="array" ref="Y92:Y92">IFERROR( (AVERAGE((IF(DATOS_[[Sexo]:[Sexo]]=$B92,IF(DATOS_[[AGRUP. CLAS. PROF.]:[AGRUP. CLAS. PROF.]]=$B90,IF(DATOS_[[Check Periodo Ref.]:[Check Periodo Ref.]]="Dentro",IF(DATOS_[[Check Equiparado]:[Check Equiparado]]="Sí",IF(DATOS!AT$4="Sí",(1/DATOS_[[% anualiz]:[% anualiz]]),1)*IF(DATOS!AT$5="Sí",1/DATOS_[[% normaliz]:[% normaliz]],1)*(DATOS_[Conc.Sal.16])))))))), 0)</f>
        <v>0</v>
      </c>
      <c r="Z92" s="302" t="n">
        <f aca="false" t="array" ref="Z92:Z92">IFERROR( (AVERAGE((IF(DATOS_[[Sexo]:[Sexo]]=$B92,IF(DATOS_[[AGRUP. CLAS. PROF.]:[AGRUP. CLAS. PROF.]]=$B90,IF(DATOS_[[Check Periodo Ref.]:[Check Periodo Ref.]]="Dentro",IF(DATOS_[[Check Equiparado]:[Check Equiparado]]="Sí",IF(DATOS!AU$4="Sí",(1/DATOS_[[% anualiz]:[% anualiz]]),1)*IF(DATOS!AU$5="Sí",1/DATOS_[[% normaliz]:[% normaliz]],1)*(DATOS_[Conc.Sal.17])))))))), 0)</f>
        <v>0</v>
      </c>
      <c r="AA92" s="302" t="n">
        <f aca="false" t="array" ref="AA92:AA92">IFERROR( (AVERAGE((IF(DATOS_[[Sexo]:[Sexo]]=$B92,IF(DATOS_[[AGRUP. CLAS. PROF.]:[AGRUP. CLAS. PROF.]]=$B90,IF(DATOS_[[Check Periodo Ref.]:[Check Periodo Ref.]]="Dentro",IF(DATOS_[[Check Equiparado]:[Check Equiparado]]="Sí",IF(DATOS!AV$4="Sí",(1/DATOS_[[% anualiz]:[% anualiz]]),1)*IF(DATOS!AV$5="Sí",1/DATOS_[[% normaliz]:[% normaliz]],1)*(DATOS_[Conc.Sal.18])))))))), 0)</f>
        <v>0</v>
      </c>
      <c r="AB92" s="302" t="n">
        <f aca="false" t="array" ref="AB92:AB92">IFERROR( (AVERAGE((IF(DATOS_[[Sexo]:[Sexo]]=$B92,IF(DATOS_[[AGRUP. CLAS. PROF.]:[AGRUP. CLAS. PROF.]]=$B90,IF(DATOS_[[Check Periodo Ref.]:[Check Periodo Ref.]]="Dentro",IF(DATOS_[[Check Equiparado]:[Check Equiparado]]="Sí",IF(DATOS!AW$4="Sí",(1/DATOS_[[% anualiz]:[% anualiz]]),1)*IF(DATOS!AW$5="Sí",1/DATOS_[[% normaliz]:[% normaliz]],1)*(DATOS_[Conc.Sal.19])))))))), 0)</f>
        <v>0</v>
      </c>
      <c r="AC92" s="302" t="n">
        <f aca="false" t="array" ref="AC92:AC92">IFERROR( (AVERAGE((IF(DATOS_[[Sexo]:[Sexo]]=$B92,IF(DATOS_[[AGRUP. CLAS. PROF.]:[AGRUP. CLAS. PROF.]]=$B90,IF(DATOS_[[Check Periodo Ref.]:[Check Periodo Ref.]]="Dentro",IF(DATOS_[[Check Equiparado]:[Check Equiparado]]="Sí",IF(DATOS!AX$4="Sí",(1/DATOS_[[% anualiz]:[% anualiz]]),1)*IF(DATOS!AX$5="Sí",1/DATOS_[[% normaliz]:[% normaliz]],1)*(DATOS_[Conc.Sal.20])))))))), 0)</f>
        <v>0</v>
      </c>
      <c r="AD92" s="302" t="n">
        <f aca="false" t="array" ref="AD92:AD92">IFERROR( (AVERAGE((IF(DATOS_[[Sexo]:[Sexo]]=$B92,IF(DATOS_[[AGRUP. CLAS. PROF.]:[AGRUP. CLAS. PROF.]]=$B90,IF(DATOS_[[Check Periodo Ref.]:[Check Periodo Ref.]]="Dentro",IF(DATOS_[[Check Equiparado]:[Check Equiparado]]="Sí",IF(DATOS!AY$4="Sí",(1/DATOS_[[% anualiz]:[% anualiz]]),1)*IF(DATOS!AY$5="Sí",1/DATOS_[[% normaliz]:[% normaliz]],1)*(DATOS_[Conc.Sal.21])))))))), 0)</f>
        <v>0</v>
      </c>
      <c r="AE92" s="302" t="n">
        <f aca="false" t="array" ref="AE92:AE92">IFERROR( (AVERAGE((IF(DATOS_[[Sexo]:[Sexo]]=$B92,IF(DATOS_[[AGRUP. CLAS. PROF.]:[AGRUP. CLAS. PROF.]]=$B90,IF(DATOS_[[Check Periodo Ref.]:[Check Periodo Ref.]]="Dentro",IF(DATOS_[[Check Equiparado]:[Check Equiparado]]="Sí",IF(DATOS!AZ$4="Sí",(1/DATOS_[[% anualiz]:[% anualiz]]),1)*IF(DATOS!AZ$5="Sí",1/DATOS_[[% normaliz]:[% normaliz]],1)*(DATOS_[Conc.Sal.22])))))))), 0)</f>
        <v>0</v>
      </c>
      <c r="AF92" s="302" t="n">
        <f aca="false" t="array" ref="AF92:AF92">IFERROR( (AVERAGE((IF(DATOS_[[Sexo]:[Sexo]]=$B92,IF(DATOS_[[AGRUP. CLAS. PROF.]:[AGRUP. CLAS. PROF.]]=$B90,IF(DATOS_[[Check Periodo Ref.]:[Check Periodo Ref.]]="Dentro",IF(DATOS_[[Check Equiparado]:[Check Equiparado]]="Sí",IF(DATOS!BA$4="Sí",(1/DATOS_[[% anualiz]:[% anualiz]]),1)*IF(DATOS!BA$5="Sí",1/DATOS_[[% normaliz]:[% normaliz]],1)*(DATOS_[Conc.Sal.23])))))))), 0)</f>
        <v>0</v>
      </c>
      <c r="AG92" s="302" t="n">
        <f aca="false" t="array" ref="AG92:AG92">IFERROR( (AVERAGE((IF(DATOS_[[Sexo]:[Sexo]]=$B92,IF(DATOS_[[AGRUP. CLAS. PROF.]:[AGRUP. CLAS. PROF.]]=$B90,IF(DATOS_[[Check Periodo Ref.]:[Check Periodo Ref.]]="Dentro",IF(DATOS_[[Check Equiparado]:[Check Equiparado]]="Sí",IF(DATOS!BB$4="Sí",(1/DATOS_[[% anualiz]:[% anualiz]]),1)*IF(DATOS!BB$5="Sí",1/DATOS_[[% normaliz]:[% normaliz]],1)*(DATOS_[Conc.Sal.24])))))))), 0)</f>
        <v>0</v>
      </c>
      <c r="AH92" s="302" t="n">
        <f aca="false" t="array" ref="AH92:AH92">IFERROR( (AVERAGE((IF(DATOS_[[Sexo]:[Sexo]]=$B92,IF(DATOS_[[AGRUP. CLAS. PROF.]:[AGRUP. CLAS. PROF.]]=$B90,IF(DATOS_[[Check Periodo Ref.]:[Check Periodo Ref.]]="Dentro",IF(DATOS_[[Check Equiparado]:[Check Equiparado]]="Sí",IF(DATOS!BC$4="Sí",(1/DATOS_[[% anualiz]:[% anualiz]]),1)*IF(DATOS!BC$5="Sí",1/DATOS_[[% normaliz]:[% normaliz]],1)*(DATOS_[Conc.Sal.25])))))))), 0)</f>
        <v>0</v>
      </c>
      <c r="AI92" s="302" t="n">
        <f aca="false" t="array" ref="AI92:AI92">IFERROR( (AVERAGE((IF(DATOS_[[Sexo]:[Sexo]]=$B92,IF(DATOS_[[AGRUP. CLAS. PROF.]:[AGRUP. CLAS. PROF.]]=$B90,IF(DATOS_[[Check Periodo Ref.]:[Check Periodo Ref.]]="Dentro",IF(DATOS_[[Check Equiparado]:[Check Equiparado]]="Sí",IF(DATOS!BD$4="Sí",(1/DATOS_[[% anualiz]:[% anualiz]]),1)*IF(DATOS!BD$5="Sí",1/DATOS_[[% normaliz]:[% normaliz]],1)*(DATOS_[Conc.Sal.26])))))))), 0)</f>
        <v>0</v>
      </c>
      <c r="AJ92" s="302" t="n">
        <f aca="false" t="array" ref="AJ92:AJ92">IFERROR( (AVERAGE((IF(DATOS_[[Sexo]:[Sexo]]=$B92,IF(DATOS_[[AGRUP. CLAS. PROF.]:[AGRUP. CLAS. PROF.]]=$B90,IF(DATOS_[[Check Periodo Ref.]:[Check Periodo Ref.]]="Dentro",IF(DATOS_[[Check Equiparado]:[Check Equiparado]]="Sí",IF(DATOS!BE$4="Sí",(1/DATOS_[[% anualiz]:[% anualiz]]),1)*IF(DATOS!BE$5="Sí",1/DATOS_[[% normaliz]:[% normaliz]],1)*(DATOS_[Conc.Sal.27])))))))), 0)</f>
        <v>0</v>
      </c>
      <c r="AK92" s="302" t="n">
        <f aca="false" t="array" ref="AK92:AK92">IFERROR( (AVERAGE((IF(DATOS_[[Sexo]:[Sexo]]=$B92,IF(DATOS_[[AGRUP. CLAS. PROF.]:[AGRUP. CLAS. PROF.]]=$B90,IF(DATOS_[[Check Periodo Ref.]:[Check Periodo Ref.]]="Dentro",IF(DATOS_[[Check Equiparado]:[Check Equiparado]]="Sí",IF(DATOS!BF$4="Sí",(1/DATOS_[[% anualiz]:[% anualiz]]),1)*IF(DATOS!BF$5="Sí",1/DATOS_[[% normaliz]:[% normaliz]],1)*(DATOS_[Conc.Sal.28])))))))), 0)</f>
        <v>0</v>
      </c>
      <c r="AL92" s="302" t="n">
        <f aca="false" t="array" ref="AL92:AL92">IFERROR( (AVERAGE((IF(DATOS_[[Sexo]:[Sexo]]=$B92,IF(DATOS_[[AGRUP. CLAS. PROF.]:[AGRUP. CLAS. PROF.]]=$B90,IF(DATOS_[[Check Periodo Ref.]:[Check Periodo Ref.]]="Dentro",IF(DATOS_[[Check Equiparado]:[Check Equiparado]]="Sí",IF(DATOS!BG$4="Sí",(1/DATOS_[[% anualiz]:[% anualiz]]),1)*IF(DATOS!BG$5="Sí",1/DATOS_[[% normaliz]:[% normaliz]],1)*(DATOS_[Conc.Sal.29])))))))), 0)</f>
        <v>0</v>
      </c>
      <c r="AM92" s="302" t="n">
        <f aca="false" t="array" ref="AM92:AM92">IFERROR( (AVERAGE((IF(DATOS_[[Sexo]:[Sexo]]=$B92,IF(DATOS_[[AGRUP. CLAS. PROF.]:[AGRUP. CLAS. PROF.]]=$B90,IF(DATOS_[[Check Periodo Ref.]:[Check Periodo Ref.]]="Dentro",IF(DATOS_[[Check Equiparado]:[Check Equiparado]]="Sí",IF(DATOS!BH$4="Sí",(1/DATOS_[[% anualiz]:[% anualiz]]),1)*IF(DATOS!BH$5="Sí",1/DATOS_[[% normaliz]:[% normaliz]],1)*(DATOS_[Conc.Sal.30])))))))), 0)</f>
        <v>0</v>
      </c>
      <c r="AN92" s="294" t="n">
        <f aca="false" t="array" ref="AN92:AN92">IFERROR( AVERAGE(IF(DATOS_[Sexo]=$B92,IF(DATOS_[[AGRUP. CLAS. PROF.]:[AGRUP. CLAS. PROF.]]=$B90,IF(DATOS_[Check Equiparado]="Sí",IF(DATOS_[Check Periodo Ref.]="Dentro",DATOS_[Tot COMPL.SAL Eq],0))))), 0)</f>
        <v>0</v>
      </c>
      <c r="AO92" s="295" t="n">
        <f aca="false" t="array" ref="AO92:AO92">IFERROR( AVERAGE(IF(DATOS_[Sexo]=$B92,IF(DATOS_[[AGRUP. CLAS. PROF.]:[AGRUP. CLAS. PROF.]]=$B90,IF(DATOS_[Check Equiparado]="Sí",IF(DATOS_[Check Periodo Ref.]="Dentro",DATOS_[TOTAL SALARIO Eq],0))))), 0)</f>
        <v>0</v>
      </c>
      <c r="AP92" s="303" t="n">
        <f aca="false" t="array" ref="AP92:AP92">IFERROR( (AVERAGE((IF(DATOS_[[Sexo]:[Sexo]]=$B92,IF(DATOS_[[AGRUP. CLAS. PROF.]:[AGRUP. CLAS. PROF.]]=$B91,IF(DATOS_[[Check Periodo Ref.]:[Check Periodo Ref.]]="Dentro",IF(DATOS_[[Check Equiparado]:[Check Equiparado]]="Sí",IF(DATOS!BI$4="Sí",(1/DATOS_[[% anualiz]:[% anualiz]]),1)*IF(DATOS!BI$5="Sí",1/DATOS_[[% normaliz]:[% normaliz]],1)*(DATOS_[C.Extra.01])))))))), 0)</f>
        <v>0</v>
      </c>
      <c r="AQ92" s="303" t="n">
        <f aca="false" t="array" ref="AQ92:AQ92">IFERROR( (AVERAGE((IF(DATOS_[[Sexo]:[Sexo]]=$B92,IF(DATOS_[[AGRUP. CLAS. PROF.]:[AGRUP. CLAS. PROF.]]=$B91,IF(DATOS_[[Check Periodo Ref.]:[Check Periodo Ref.]]="Dentro",IF(DATOS_[[Check Equiparado]:[Check Equiparado]]="Sí",IF(DATOS!BJ$4="Sí",(1/DATOS_[[% anualiz]:[% anualiz]]),1)*IF(DATOS!BJ$5="Sí",1/DATOS_[[% normaliz]:[% normaliz]],1)*(DATOS_[C.Extra.02])))))))), 0)</f>
        <v>0</v>
      </c>
      <c r="AR92" s="303" t="n">
        <f aca="false" t="array" ref="AR92:AR92">IFERROR( (AVERAGE((IF(DATOS_[[Sexo]:[Sexo]]=$B92,IF(DATOS_[[AGRUP. CLAS. PROF.]:[AGRUP. CLAS. PROF.]]=$B91,IF(DATOS_[[Check Periodo Ref.]:[Check Periodo Ref.]]="Dentro",IF(DATOS_[[Check Equiparado]:[Check Equiparado]]="Sí",IF(DATOS!BK$4="Sí",(1/DATOS_[[% anualiz]:[% anualiz]]),1)*IF(DATOS!BK$5="Sí",1/DATOS_[[% normaliz]:[% normaliz]],1)*(DATOS_[C.Extra.03])))))))), 0)</f>
        <v>0</v>
      </c>
      <c r="AS92" s="303" t="n">
        <f aca="false" t="array" ref="AS92:AS92">IFERROR( (AVERAGE((IF(DATOS_[[Sexo]:[Sexo]]=$B92,IF(DATOS_[[AGRUP. CLAS. PROF.]:[AGRUP. CLAS. PROF.]]=$B91,IF(DATOS_[[Check Periodo Ref.]:[Check Periodo Ref.]]="Dentro",IF(DATOS_[[Check Equiparado]:[Check Equiparado]]="Sí",IF(DATOS!BL$4="Sí",(1/DATOS_[[% anualiz]:[% anualiz]]),1)*IF(DATOS!BL$5="Sí",1/DATOS_[[% normaliz]:[% normaliz]],1)*(DATOS_[C.Extra.04])))))))), 0)</f>
        <v>0</v>
      </c>
      <c r="AT92" s="303" t="n">
        <f aca="false" t="array" ref="AT92:AT92">IFERROR( (AVERAGE((IF(DATOS_[[Sexo]:[Sexo]]=$B92,IF(DATOS_[[AGRUP. CLAS. PROF.]:[AGRUP. CLAS. PROF.]]=$B91,IF(DATOS_[[Check Periodo Ref.]:[Check Periodo Ref.]]="Dentro",IF(DATOS_[[Check Equiparado]:[Check Equiparado]]="Sí",IF(DATOS!BM$4="Sí",(1/DATOS_[[% anualiz]:[% anualiz]]),1)*IF(DATOS!BM$5="Sí",1/DATOS_[[% normaliz]:[% normaliz]],1)*(DATOS_[C.Extra.05])))))))), 0)</f>
        <v>0</v>
      </c>
      <c r="AU92" s="297" t="n">
        <f aca="false" t="array" ref="AU92:AU92">IFERROR( AVERAGE(IF(DATOS_[Sexo]=$B92,IF(DATOS_[[AGRUP. CLAS. PROF.]:[AGRUP. CLAS. PROF.]]=$B90,IF(DATOS_[Check Equiparado]="Sí",IF(DATOS_[Check Periodo Ref.]="Dentro",DATOS_[Tot Extrasalarial Eq],0))))), 0)</f>
        <v>0</v>
      </c>
      <c r="AV92" s="298" t="n">
        <f aca="false" t="array" ref="AV92:AV92">IFERROR( AVERAGE(IF(DATOS_[Sexo]=$B92,IF(DATOS_[[AGRUP. CLAS. PROF.]:[AGRUP. CLAS. PROF.]]=$B90,IF(DATOS_[Check Equiparado]="Sí",IF(DATOS_[Check Periodo Ref.]="Dentro",DATOS_[TOTAL Retrib Eq],0))))), 0)</f>
        <v>0</v>
      </c>
    </row>
    <row r="93" customFormat="false" ht="15.75" hidden="false" customHeight="false" outlineLevel="0" collapsed="false">
      <c r="A93" s="166" t="str">
        <f aca="false">+A94</f>
        <v>[ocultar]</v>
      </c>
      <c r="B93" s="276" t="s">
        <v>246</v>
      </c>
      <c r="C93" s="277"/>
      <c r="D93" s="278"/>
      <c r="E93" s="278"/>
      <c r="F93" s="278"/>
      <c r="G93" s="278"/>
      <c r="H93" s="278"/>
      <c r="I93" s="279" t="str">
        <f aca="false">IFERROR((I94-I95)/I94,"")</f>
        <v/>
      </c>
      <c r="J93" s="280" t="str">
        <f aca="false">IFERROR((J94-J95)/J94,"")</f>
        <v/>
      </c>
      <c r="K93" s="281" t="str">
        <f aca="false">IFERROR((K94-K95)/K94,"")</f>
        <v/>
      </c>
      <c r="L93" s="281" t="str">
        <f aca="false">IFERROR((L94-L95)/L94,"")</f>
        <v/>
      </c>
      <c r="M93" s="281" t="str">
        <f aca="false">IFERROR((M94-M95)/M94,"")</f>
        <v/>
      </c>
      <c r="N93" s="282" t="str">
        <f aca="false">IFERROR((N94-N95)/N94,"")</f>
        <v/>
      </c>
      <c r="O93" s="283" t="str">
        <f aca="false">IFERROR((O94-O95)/O94,"")</f>
        <v/>
      </c>
      <c r="P93" s="283" t="str">
        <f aca="false">IFERROR((P94-P95)/P94,"")</f>
        <v/>
      </c>
      <c r="Q93" s="283" t="str">
        <f aca="false">IFERROR((Q94-Q95)/Q94,"")</f>
        <v/>
      </c>
      <c r="R93" s="283" t="str">
        <f aca="false">IFERROR((R94-R95)/R94,"")</f>
        <v/>
      </c>
      <c r="S93" s="283" t="str">
        <f aca="false">IFERROR((S94-S95)/S94,"")</f>
        <v/>
      </c>
      <c r="T93" s="283" t="str">
        <f aca="false">IFERROR((T94-T95)/T94,"")</f>
        <v/>
      </c>
      <c r="U93" s="283" t="str">
        <f aca="false">IFERROR((U94-U95)/U94,"")</f>
        <v/>
      </c>
      <c r="V93" s="283" t="str">
        <f aca="false">IFERROR((V94-V95)/V94,"")</f>
        <v/>
      </c>
      <c r="W93" s="283" t="str">
        <f aca="false">IFERROR((W94-W95)/W94,"")</f>
        <v/>
      </c>
      <c r="X93" s="283" t="str">
        <f aca="false">IFERROR((X94-X95)/X94,"")</f>
        <v/>
      </c>
      <c r="Y93" s="283" t="str">
        <f aca="false">IFERROR((Y94-Y95)/Y94,"")</f>
        <v/>
      </c>
      <c r="Z93" s="282" t="str">
        <f aca="false">IFERROR((Z94-Z95)/Z94,"")</f>
        <v/>
      </c>
      <c r="AA93" s="282" t="str">
        <f aca="false">IFERROR((AA94-AA95)/AA94,"")</f>
        <v/>
      </c>
      <c r="AB93" s="282" t="str">
        <f aca="false">IFERROR((AB94-AB95)/AB94,"")</f>
        <v/>
      </c>
      <c r="AC93" s="282" t="str">
        <f aca="false">IFERROR((AC94-AC95)/AC94,"")</f>
        <v/>
      </c>
      <c r="AD93" s="282" t="str">
        <f aca="false">IFERROR((AD94-AD95)/AD94,"")</f>
        <v/>
      </c>
      <c r="AE93" s="282" t="str">
        <f aca="false">IFERROR((AE94-AE95)/AE94,"")</f>
        <v/>
      </c>
      <c r="AF93" s="282" t="str">
        <f aca="false">IFERROR((AF94-AF95)/AF94,"")</f>
        <v/>
      </c>
      <c r="AG93" s="282" t="str">
        <f aca="false">IFERROR((AG94-AG95)/AG94,"")</f>
        <v/>
      </c>
      <c r="AH93" s="282" t="str">
        <f aca="false">IFERROR((AH94-AH95)/AH94,"")</f>
        <v/>
      </c>
      <c r="AI93" s="282" t="str">
        <f aca="false">IFERROR((AI94-AI95)/AI94,"")</f>
        <v/>
      </c>
      <c r="AJ93" s="282" t="str">
        <f aca="false">IFERROR((AJ94-AJ95)/AJ94,"")</f>
        <v/>
      </c>
      <c r="AK93" s="282" t="str">
        <f aca="false">IFERROR((AK94-AK95)/AK94,"")</f>
        <v/>
      </c>
      <c r="AL93" s="282" t="str">
        <f aca="false">IFERROR((AL94-AL95)/AL94,"")</f>
        <v/>
      </c>
      <c r="AM93" s="282" t="str">
        <f aca="false">IFERROR((AM94-AM95)/AM94,"")</f>
        <v/>
      </c>
      <c r="AN93" s="284" t="str">
        <f aca="false">IFERROR((AN94-AN95)/AN94,"")</f>
        <v/>
      </c>
      <c r="AO93" s="285" t="str">
        <f aca="false">IFERROR((AO94-AO95)/AO94,"")</f>
        <v/>
      </c>
      <c r="AP93" s="286" t="str">
        <f aca="false">IFERROR((AP94-AP95)/AP94,"")</f>
        <v/>
      </c>
      <c r="AQ93" s="286" t="str">
        <f aca="false">IFERROR((AQ94-AQ95)/AQ94,"")</f>
        <v/>
      </c>
      <c r="AR93" s="286" t="str">
        <f aca="false">IFERROR((AR94-AR95)/AR94,"")</f>
        <v/>
      </c>
      <c r="AS93" s="286" t="str">
        <f aca="false">IFERROR((AS94-AS95)/AS94,"")</f>
        <v/>
      </c>
      <c r="AT93" s="286" t="str">
        <f aca="false">IFERROR((AT94-AT95)/AT94,"")</f>
        <v/>
      </c>
      <c r="AU93" s="287" t="str">
        <f aca="false">IFERROR((AU94-AU95)/AU94,"")</f>
        <v/>
      </c>
      <c r="AV93" s="288" t="str">
        <f aca="false">IFERROR((AV94-AV95)/AV94,"")</f>
        <v/>
      </c>
    </row>
    <row r="94" customFormat="false" ht="14.25" hidden="false" customHeight="false" outlineLevel="0" collapsed="false">
      <c r="A94" s="166" t="str">
        <f aca="false">+IF(C94+C95=0,"[ocultar]","")</f>
        <v>[ocultar]</v>
      </c>
      <c r="B94" s="289" t="s">
        <v>371</v>
      </c>
      <c r="C94" s="290" t="n">
        <f aca="false" t="array" ref="C94:C94">SUM(IF($B94=DATOS_[Sexo], IF($B93=DATOS_[AGRUP. CLAS. PROF.], IF("Dentro"=DATOS_[Check Periodo Ref.], 1/(COUNTIFS(DATOS_[Sexo],$B94,DATOS_[AGRUP. CLAS. PROF.],$B93,DATOS_[Check Periodo Ref.],"Dentro",DATOS_[id],DATOS_[id]))))))</f>
        <v>0</v>
      </c>
      <c r="D94" s="291" t="n">
        <f aca="false">COUNTIFS(DATOS_[AGRUP. CLAS. PROF.],$B93,DATOS_[Sexo],$B94,DATOS_[Check Periodo Ref.],"Dentro")</f>
        <v>0</v>
      </c>
      <c r="E94" s="291" t="n">
        <f aca="false">COUNTIFS(DATOS_[AGRUP. CLAS. PROF.],$B93,DATOS_[Sexo],$B94,DATOS_[Check Periodo Ref.],"Dentro",DATOS_[Check Nº SC Norm],"Sí")</f>
        <v>0</v>
      </c>
      <c r="F94" s="291" t="n">
        <f aca="false">COUNTIFS(DATOS_[AGRUP. CLAS. PROF.],$B93,DATOS_[Sexo],$B94,DATOS_[Check Periodo Ref.],"Dentro",DATOS_[Check Nº SC Anualiz],"Sí")</f>
        <v>0</v>
      </c>
      <c r="G94" s="291" t="n">
        <f aca="false">COUNTIFS(DATOS_[AGRUP. CLAS. PROF.],$B93,DATOS_[Sexo],$B94,DATOS_[Check Periodo Ref.],"Dentro",DATOS_[Check Nº SC Norm y Anualiz],"Sí")</f>
        <v>0</v>
      </c>
      <c r="H94" s="291" t="n">
        <f aca="false">COUNTIFS(DATOS_[AGRUP. CLAS. PROF.],$B93,DATOS_[Sexo],$B94,DATOS_[Check Periodo Ref.],"Dentro",DATOS_[Check Equiparación],"Sí")</f>
        <v>0</v>
      </c>
      <c r="I94" s="292" t="n">
        <f aca="false" t="array" ref="I94:I94">IFERROR( AVERAGE(IF(DATOS_[Sexo]=$B94,IF(DATOS_[[AGRUP. CLAS. PROF.]:[AGRUP. CLAS. PROF.]]=$B93,IF(DATOS_[Check Equiparado]="Sí",IF(DATOS_[Check Periodo Ref.]="Dentro",DATOS_[SALARIO BASE Eq],0))))), 0)</f>
        <v>0</v>
      </c>
      <c r="J94" s="302" t="n">
        <f aca="false" t="array" ref="J94:J94">IFERROR( (AVERAGE((IF(DATOS_[[Sexo]:[Sexo]]=$B94,IF(DATOS_[[AGRUP. CLAS. PROF.]:[AGRUP. CLAS. PROF.]]=$B93,IF(DATOS_[[Check Periodo Ref.]:[Check Periodo Ref.]]="Dentro",IF(DATOS_[[Check Equiparado]:[Check Equiparado]]="Sí",IF(DATOS!AE$4="Sí",(1/DATOS_[[% anualiz]:[% anualiz]]),1)*IF(DATOS!AE$5="Sí",1/DATOS_[[% normaliz]:[% normaliz]],1)*(DATOS_[Conc.Sal.01])))))))), 0)</f>
        <v>0</v>
      </c>
      <c r="K94" s="302" t="n">
        <f aca="false" t="array" ref="K94:K94">IFERROR( (AVERAGE((IF(DATOS_[[Sexo]:[Sexo]]=$B94,IF(DATOS_[[AGRUP. CLAS. PROF.]:[AGRUP. CLAS. PROF.]]=$B93,IF(DATOS_[[Check Periodo Ref.]:[Check Periodo Ref.]]="Dentro",IF(DATOS_[[Check Equiparado]:[Check Equiparado]]="Sí",IF(DATOS!AF$4="Sí",(1/DATOS_[[% anualiz]:[% anualiz]]),1)*IF(DATOS!AF$5="Sí",1/DATOS_[[% normaliz]:[% normaliz]],1)*(DATOS_[Conc.Sal.02])))))))), 0)</f>
        <v>0</v>
      </c>
      <c r="L94" s="302" t="n">
        <f aca="false" t="array" ref="L94:L94">IFERROR( (AVERAGE((IF(DATOS_[[Sexo]:[Sexo]]=$B94,IF(DATOS_[[AGRUP. CLAS. PROF.]:[AGRUP. CLAS. PROF.]]=$B93,IF(DATOS_[[Check Periodo Ref.]:[Check Periodo Ref.]]="Dentro",IF(DATOS_[[Check Equiparado]:[Check Equiparado]]="Sí",IF(DATOS!AG$4="Sí",(1/DATOS_[[% anualiz]:[% anualiz]]),1)*IF(DATOS!AG$5="Sí",1/DATOS_[[% normaliz]:[% normaliz]],1)*(DATOS_[Conc.Sal.03])))))))), 0)</f>
        <v>0</v>
      </c>
      <c r="M94" s="302" t="n">
        <f aca="false" t="array" ref="M94:M94">IFERROR( (AVERAGE((IF(DATOS_[[Sexo]:[Sexo]]=$B94,IF(DATOS_[[AGRUP. CLAS. PROF.]:[AGRUP. CLAS. PROF.]]=$B93,IF(DATOS_[[Check Periodo Ref.]:[Check Periodo Ref.]]="Dentro",IF(DATOS_[[Check Equiparado]:[Check Equiparado]]="Sí",IF(DATOS!AH$4="Sí",(1/DATOS_[[% anualiz]:[% anualiz]]),1)*IF(DATOS!AH$5="Sí",1/DATOS_[[% normaliz]:[% normaliz]],1)*(DATOS_[Conc.Sal.04])))))))), 0)</f>
        <v>0</v>
      </c>
      <c r="N94" s="302" t="n">
        <f aca="false" t="array" ref="N94:N94">IFERROR( (AVERAGE((IF(DATOS_[[Sexo]:[Sexo]]=$B94,IF(DATOS_[[AGRUP. CLAS. PROF.]:[AGRUP. CLAS. PROF.]]=$B93,IF(DATOS_[[Check Periodo Ref.]:[Check Periodo Ref.]]="Dentro",IF(DATOS_[[Check Equiparado]:[Check Equiparado]]="Sí",IF(DATOS!AI$4="Sí",(1/DATOS_[[% anualiz]:[% anualiz]]),1)*IF(DATOS!AI$5="Sí",1/DATOS_[[% normaliz]:[% normaliz]],1)*(DATOS_[Conc.Sal.05])))))))), 0)</f>
        <v>0</v>
      </c>
      <c r="O94" s="302" t="n">
        <f aca="false" t="array" ref="O94:O94">IFERROR( (AVERAGE((IF(DATOS_[[Sexo]:[Sexo]]=$B94,IF(DATOS_[[AGRUP. CLAS. PROF.]:[AGRUP. CLAS. PROF.]]=$B93,IF(DATOS_[[Check Periodo Ref.]:[Check Periodo Ref.]]="Dentro",IF(DATOS_[[Check Equiparado]:[Check Equiparado]]="Sí",IF(DATOS!AJ$4="Sí",(1/DATOS_[[% anualiz]:[% anualiz]]),1)*IF(DATOS!AJ$5="Sí",1/DATOS_[[% normaliz]:[% normaliz]],1)*(DATOS_[Conc.Sal.06])))))))), 0)</f>
        <v>0</v>
      </c>
      <c r="P94" s="302" t="n">
        <f aca="false" t="array" ref="P94:P94">IFERROR( (AVERAGE((IF(DATOS_[[Sexo]:[Sexo]]=$B94,IF(DATOS_[[AGRUP. CLAS. PROF.]:[AGRUP. CLAS. PROF.]]=$B93,IF(DATOS_[[Check Periodo Ref.]:[Check Periodo Ref.]]="Dentro",IF(DATOS_[[Check Equiparado]:[Check Equiparado]]="Sí",IF(DATOS!AK$4="Sí",(1/DATOS_[[% anualiz]:[% anualiz]]),1)*IF(DATOS!AK$5="Sí",1/DATOS_[[% normaliz]:[% normaliz]],1)*(DATOS_[Conc.Sal.07])))))))), 0)</f>
        <v>0</v>
      </c>
      <c r="Q94" s="302" t="n">
        <f aca="false" t="array" ref="Q94:Q94">IFERROR( (AVERAGE((IF(DATOS_[[Sexo]:[Sexo]]=$B94,IF(DATOS_[[AGRUP. CLAS. PROF.]:[AGRUP. CLAS. PROF.]]=$B93,IF(DATOS_[[Check Periodo Ref.]:[Check Periodo Ref.]]="Dentro",IF(DATOS_[[Check Equiparado]:[Check Equiparado]]="Sí",IF(DATOS!AL$4="Sí",(1/DATOS_[[% anualiz]:[% anualiz]]),1)*IF(DATOS!AL$5="Sí",1/DATOS_[[% normaliz]:[% normaliz]],1)*(DATOS_[Conc.Sal.08])))))))), 0)</f>
        <v>0</v>
      </c>
      <c r="R94" s="302" t="n">
        <f aca="false" t="array" ref="R94:R94">IFERROR( (AVERAGE((IF(DATOS_[[Sexo]:[Sexo]]=$B94,IF(DATOS_[[AGRUP. CLAS. PROF.]:[AGRUP. CLAS. PROF.]]=$B93,IF(DATOS_[[Check Periodo Ref.]:[Check Periodo Ref.]]="Dentro",IF(DATOS_[[Check Equiparado]:[Check Equiparado]]="Sí",IF(DATOS!AM$4="Sí",(1/DATOS_[[% anualiz]:[% anualiz]]),1)*IF(DATOS!AM$5="Sí",1/DATOS_[[% normaliz]:[% normaliz]],1)*(DATOS_[Conc.Sal.09])))))))), 0)</f>
        <v>0</v>
      </c>
      <c r="S94" s="302" t="n">
        <f aca="false" t="array" ref="S94:S94">IFERROR( (AVERAGE((IF(DATOS_[[Sexo]:[Sexo]]=$B94,IF(DATOS_[[AGRUP. CLAS. PROF.]:[AGRUP. CLAS. PROF.]]=$B93,IF(DATOS_[[Check Periodo Ref.]:[Check Periodo Ref.]]="Dentro",IF(DATOS_[[Check Equiparado]:[Check Equiparado]]="Sí",IF(DATOS!AN$4="Sí",(1/DATOS_[[% anualiz]:[% anualiz]]),1)*IF(DATOS!AN$5="Sí",1/DATOS_[[% normaliz]:[% normaliz]],1)*(DATOS_[Conc.Sal.10])))))))), 0)</f>
        <v>0</v>
      </c>
      <c r="T94" s="302" t="n">
        <f aca="false" t="array" ref="T94:T94">IFERROR( (AVERAGE((IF(DATOS_[[Sexo]:[Sexo]]=$B94,IF(DATOS_[[AGRUP. CLAS. PROF.]:[AGRUP. CLAS. PROF.]]=$B93,IF(DATOS_[[Check Periodo Ref.]:[Check Periodo Ref.]]="Dentro",IF(DATOS_[[Check Equiparado]:[Check Equiparado]]="Sí",IF(DATOS!AO$4="Sí",(1/DATOS_[[% anualiz]:[% anualiz]]),1)*IF(DATOS!AO$5="Sí",1/DATOS_[[% normaliz]:[% normaliz]],1)*(DATOS_[Conc.Sal.11])))))))), 0)</f>
        <v>0</v>
      </c>
      <c r="U94" s="302" t="n">
        <f aca="false" t="array" ref="U94:U94">IFERROR( (AVERAGE((IF(DATOS_[[Sexo]:[Sexo]]=$B94,IF(DATOS_[[AGRUP. CLAS. PROF.]:[AGRUP. CLAS. PROF.]]=$B93,IF(DATOS_[[Check Periodo Ref.]:[Check Periodo Ref.]]="Dentro",IF(DATOS_[[Check Equiparado]:[Check Equiparado]]="Sí",IF(DATOS!AP$4="Sí",(1/DATOS_[[% anualiz]:[% anualiz]]),1)*IF(DATOS!AP$5="Sí",1/DATOS_[[% normaliz]:[% normaliz]],1)*(DATOS_[Conc.Sal.12])))))))), 0)</f>
        <v>0</v>
      </c>
      <c r="V94" s="302" t="n">
        <f aca="false" t="array" ref="V94:V94">IFERROR( (AVERAGE((IF(DATOS_[[Sexo]:[Sexo]]=$B94,IF(DATOS_[[AGRUP. CLAS. PROF.]:[AGRUP. CLAS. PROF.]]=$B93,IF(DATOS_[[Check Periodo Ref.]:[Check Periodo Ref.]]="Dentro",IF(DATOS_[[Check Equiparado]:[Check Equiparado]]="Sí",IF(DATOS!AQ$4="Sí",(1/DATOS_[[% anualiz]:[% anualiz]]),1)*IF(DATOS!AQ$5="Sí",1/DATOS_[[% normaliz]:[% normaliz]],1)*(DATOS_[Conc.Sal.13])))))))), 0)</f>
        <v>0</v>
      </c>
      <c r="W94" s="302" t="n">
        <f aca="false" t="array" ref="W94:W94">IFERROR( (AVERAGE((IF(DATOS_[[Sexo]:[Sexo]]=$B94,IF(DATOS_[[AGRUP. CLAS. PROF.]:[AGRUP. CLAS. PROF.]]=$B93,IF(DATOS_[[Check Periodo Ref.]:[Check Periodo Ref.]]="Dentro",IF(DATOS_[[Check Equiparado]:[Check Equiparado]]="Sí",IF(DATOS!AR$4="Sí",(1/DATOS_[[% anualiz]:[% anualiz]]),1)*IF(DATOS!AR$5="Sí",1/DATOS_[[% normaliz]:[% normaliz]],1)*(DATOS_[Conc.Sal.14])))))))), 0)</f>
        <v>0</v>
      </c>
      <c r="X94" s="302" t="n">
        <f aca="false" t="array" ref="X94:X94">IFERROR( (AVERAGE((IF(DATOS_[[Sexo]:[Sexo]]=$B94,IF(DATOS_[[AGRUP. CLAS. PROF.]:[AGRUP. CLAS. PROF.]]=$B93,IF(DATOS_[[Check Periodo Ref.]:[Check Periodo Ref.]]="Dentro",IF(DATOS_[[Check Equiparado]:[Check Equiparado]]="Sí",IF(DATOS!AS$4="Sí",(1/DATOS_[[% anualiz]:[% anualiz]]),1)*IF(DATOS!AS$5="Sí",1/DATOS_[[% normaliz]:[% normaliz]],1)*(DATOS_[Conc.Sal.15])))))))), 0)</f>
        <v>0</v>
      </c>
      <c r="Y94" s="302" t="n">
        <f aca="false" t="array" ref="Y94:Y94">IFERROR( (AVERAGE((IF(DATOS_[[Sexo]:[Sexo]]=$B94,IF(DATOS_[[AGRUP. CLAS. PROF.]:[AGRUP. CLAS. PROF.]]=$B93,IF(DATOS_[[Check Periodo Ref.]:[Check Periodo Ref.]]="Dentro",IF(DATOS_[[Check Equiparado]:[Check Equiparado]]="Sí",IF(DATOS!AT$4="Sí",(1/DATOS_[[% anualiz]:[% anualiz]]),1)*IF(DATOS!AT$5="Sí",1/DATOS_[[% normaliz]:[% normaliz]],1)*(DATOS_[Conc.Sal.16])))))))), 0)</f>
        <v>0</v>
      </c>
      <c r="Z94" s="302" t="n">
        <f aca="false" t="array" ref="Z94:Z94">IFERROR( (AVERAGE((IF(DATOS_[[Sexo]:[Sexo]]=$B94,IF(DATOS_[[AGRUP. CLAS. PROF.]:[AGRUP. CLAS. PROF.]]=$B93,IF(DATOS_[[Check Periodo Ref.]:[Check Periodo Ref.]]="Dentro",IF(DATOS_[[Check Equiparado]:[Check Equiparado]]="Sí",IF(DATOS!AU$4="Sí",(1/DATOS_[[% anualiz]:[% anualiz]]),1)*IF(DATOS!AU$5="Sí",1/DATOS_[[% normaliz]:[% normaliz]],1)*(DATOS_[Conc.Sal.17])))))))), 0)</f>
        <v>0</v>
      </c>
      <c r="AA94" s="302" t="n">
        <f aca="false" t="array" ref="AA94:AA94">IFERROR( (AVERAGE((IF(DATOS_[[Sexo]:[Sexo]]=$B94,IF(DATOS_[[AGRUP. CLAS. PROF.]:[AGRUP. CLAS. PROF.]]=$B93,IF(DATOS_[[Check Periodo Ref.]:[Check Periodo Ref.]]="Dentro",IF(DATOS_[[Check Equiparado]:[Check Equiparado]]="Sí",IF(DATOS!AV$4="Sí",(1/DATOS_[[% anualiz]:[% anualiz]]),1)*IF(DATOS!AV$5="Sí",1/DATOS_[[% normaliz]:[% normaliz]],1)*(DATOS_[Conc.Sal.18])))))))), 0)</f>
        <v>0</v>
      </c>
      <c r="AB94" s="302" t="n">
        <f aca="false" t="array" ref="AB94:AB94">IFERROR( (AVERAGE((IF(DATOS_[[Sexo]:[Sexo]]=$B94,IF(DATOS_[[AGRUP. CLAS. PROF.]:[AGRUP. CLAS. PROF.]]=$B93,IF(DATOS_[[Check Periodo Ref.]:[Check Periodo Ref.]]="Dentro",IF(DATOS_[[Check Equiparado]:[Check Equiparado]]="Sí",IF(DATOS!AW$4="Sí",(1/DATOS_[[% anualiz]:[% anualiz]]),1)*IF(DATOS!AW$5="Sí",1/DATOS_[[% normaliz]:[% normaliz]],1)*(DATOS_[Conc.Sal.19])))))))), 0)</f>
        <v>0</v>
      </c>
      <c r="AC94" s="302" t="n">
        <f aca="false" t="array" ref="AC94:AC94">IFERROR( (AVERAGE((IF(DATOS_[[Sexo]:[Sexo]]=$B94,IF(DATOS_[[AGRUP. CLAS. PROF.]:[AGRUP. CLAS. PROF.]]=$B93,IF(DATOS_[[Check Periodo Ref.]:[Check Periodo Ref.]]="Dentro",IF(DATOS_[[Check Equiparado]:[Check Equiparado]]="Sí",IF(DATOS!AX$4="Sí",(1/DATOS_[[% anualiz]:[% anualiz]]),1)*IF(DATOS!AX$5="Sí",1/DATOS_[[% normaliz]:[% normaliz]],1)*(DATOS_[Conc.Sal.20])))))))), 0)</f>
        <v>0</v>
      </c>
      <c r="AD94" s="302" t="n">
        <f aca="false" t="array" ref="AD94:AD94">IFERROR( (AVERAGE((IF(DATOS_[[Sexo]:[Sexo]]=$B94,IF(DATOS_[[AGRUP. CLAS. PROF.]:[AGRUP. CLAS. PROF.]]=$B93,IF(DATOS_[[Check Periodo Ref.]:[Check Periodo Ref.]]="Dentro",IF(DATOS_[[Check Equiparado]:[Check Equiparado]]="Sí",IF(DATOS!AY$4="Sí",(1/DATOS_[[% anualiz]:[% anualiz]]),1)*IF(DATOS!AY$5="Sí",1/DATOS_[[% normaliz]:[% normaliz]],1)*(DATOS_[Conc.Sal.21])))))))), 0)</f>
        <v>0</v>
      </c>
      <c r="AE94" s="302" t="n">
        <f aca="false" t="array" ref="AE94:AE94">IFERROR( (AVERAGE((IF(DATOS_[[Sexo]:[Sexo]]=$B94,IF(DATOS_[[AGRUP. CLAS. PROF.]:[AGRUP. CLAS. PROF.]]=$B93,IF(DATOS_[[Check Periodo Ref.]:[Check Periodo Ref.]]="Dentro",IF(DATOS_[[Check Equiparado]:[Check Equiparado]]="Sí",IF(DATOS!AZ$4="Sí",(1/DATOS_[[% anualiz]:[% anualiz]]),1)*IF(DATOS!AZ$5="Sí",1/DATOS_[[% normaliz]:[% normaliz]],1)*(DATOS_[Conc.Sal.22])))))))), 0)</f>
        <v>0</v>
      </c>
      <c r="AF94" s="302" t="n">
        <f aca="false" t="array" ref="AF94:AF94">IFERROR( (AVERAGE((IF(DATOS_[[Sexo]:[Sexo]]=$B94,IF(DATOS_[[AGRUP. CLAS. PROF.]:[AGRUP. CLAS. PROF.]]=$B93,IF(DATOS_[[Check Periodo Ref.]:[Check Periodo Ref.]]="Dentro",IF(DATOS_[[Check Equiparado]:[Check Equiparado]]="Sí",IF(DATOS!BA$4="Sí",(1/DATOS_[[% anualiz]:[% anualiz]]),1)*IF(DATOS!BA$5="Sí",1/DATOS_[[% normaliz]:[% normaliz]],1)*(DATOS_[Conc.Sal.23])))))))), 0)</f>
        <v>0</v>
      </c>
      <c r="AG94" s="302" t="n">
        <f aca="false" t="array" ref="AG94:AG94">IFERROR( (AVERAGE((IF(DATOS_[[Sexo]:[Sexo]]=$B94,IF(DATOS_[[AGRUP. CLAS. PROF.]:[AGRUP. CLAS. PROF.]]=$B93,IF(DATOS_[[Check Periodo Ref.]:[Check Periodo Ref.]]="Dentro",IF(DATOS_[[Check Equiparado]:[Check Equiparado]]="Sí",IF(DATOS!BB$4="Sí",(1/DATOS_[[% anualiz]:[% anualiz]]),1)*IF(DATOS!BB$5="Sí",1/DATOS_[[% normaliz]:[% normaliz]],1)*(DATOS_[Conc.Sal.24])))))))), 0)</f>
        <v>0</v>
      </c>
      <c r="AH94" s="302" t="n">
        <f aca="false" t="array" ref="AH94:AH94">IFERROR( (AVERAGE((IF(DATOS_[[Sexo]:[Sexo]]=$B94,IF(DATOS_[[AGRUP. CLAS. PROF.]:[AGRUP. CLAS. PROF.]]=$B93,IF(DATOS_[[Check Periodo Ref.]:[Check Periodo Ref.]]="Dentro",IF(DATOS_[[Check Equiparado]:[Check Equiparado]]="Sí",IF(DATOS!BC$4="Sí",(1/DATOS_[[% anualiz]:[% anualiz]]),1)*IF(DATOS!BC$5="Sí",1/DATOS_[[% normaliz]:[% normaliz]],1)*(DATOS_[Conc.Sal.25])))))))), 0)</f>
        <v>0</v>
      </c>
      <c r="AI94" s="302" t="n">
        <f aca="false" t="array" ref="AI94:AI94">IFERROR( (AVERAGE((IF(DATOS_[[Sexo]:[Sexo]]=$B94,IF(DATOS_[[AGRUP. CLAS. PROF.]:[AGRUP. CLAS. PROF.]]=$B93,IF(DATOS_[[Check Periodo Ref.]:[Check Periodo Ref.]]="Dentro",IF(DATOS_[[Check Equiparado]:[Check Equiparado]]="Sí",IF(DATOS!BD$4="Sí",(1/DATOS_[[% anualiz]:[% anualiz]]),1)*IF(DATOS!BD$5="Sí",1/DATOS_[[% normaliz]:[% normaliz]],1)*(DATOS_[Conc.Sal.26])))))))), 0)</f>
        <v>0</v>
      </c>
      <c r="AJ94" s="302" t="n">
        <f aca="false" t="array" ref="AJ94:AJ94">IFERROR( (AVERAGE((IF(DATOS_[[Sexo]:[Sexo]]=$B94,IF(DATOS_[[AGRUP. CLAS. PROF.]:[AGRUP. CLAS. PROF.]]=$B93,IF(DATOS_[[Check Periodo Ref.]:[Check Periodo Ref.]]="Dentro",IF(DATOS_[[Check Equiparado]:[Check Equiparado]]="Sí",IF(DATOS!BE$4="Sí",(1/DATOS_[[% anualiz]:[% anualiz]]),1)*IF(DATOS!BE$5="Sí",1/DATOS_[[% normaliz]:[% normaliz]],1)*(DATOS_[Conc.Sal.27])))))))), 0)</f>
        <v>0</v>
      </c>
      <c r="AK94" s="302" t="n">
        <f aca="false" t="array" ref="AK94:AK94">IFERROR( (AVERAGE((IF(DATOS_[[Sexo]:[Sexo]]=$B94,IF(DATOS_[[AGRUP. CLAS. PROF.]:[AGRUP. CLAS. PROF.]]=$B93,IF(DATOS_[[Check Periodo Ref.]:[Check Periodo Ref.]]="Dentro",IF(DATOS_[[Check Equiparado]:[Check Equiparado]]="Sí",IF(DATOS!BF$4="Sí",(1/DATOS_[[% anualiz]:[% anualiz]]),1)*IF(DATOS!BF$5="Sí",1/DATOS_[[% normaliz]:[% normaliz]],1)*(DATOS_[Conc.Sal.28])))))))), 0)</f>
        <v>0</v>
      </c>
      <c r="AL94" s="302" t="n">
        <f aca="false" t="array" ref="AL94:AL94">IFERROR( (AVERAGE((IF(DATOS_[[Sexo]:[Sexo]]=$B94,IF(DATOS_[[AGRUP. CLAS. PROF.]:[AGRUP. CLAS. PROF.]]=$B93,IF(DATOS_[[Check Periodo Ref.]:[Check Periodo Ref.]]="Dentro",IF(DATOS_[[Check Equiparado]:[Check Equiparado]]="Sí",IF(DATOS!BG$4="Sí",(1/DATOS_[[% anualiz]:[% anualiz]]),1)*IF(DATOS!BG$5="Sí",1/DATOS_[[% normaliz]:[% normaliz]],1)*(DATOS_[Conc.Sal.29])))))))), 0)</f>
        <v>0</v>
      </c>
      <c r="AM94" s="302" t="n">
        <f aca="false" t="array" ref="AM94:AM94">IFERROR( (AVERAGE((IF(DATOS_[[Sexo]:[Sexo]]=$B94,IF(DATOS_[[AGRUP. CLAS. PROF.]:[AGRUP. CLAS. PROF.]]=$B93,IF(DATOS_[[Check Periodo Ref.]:[Check Periodo Ref.]]="Dentro",IF(DATOS_[[Check Equiparado]:[Check Equiparado]]="Sí",IF(DATOS!BH$4="Sí",(1/DATOS_[[% anualiz]:[% anualiz]]),1)*IF(DATOS!BH$5="Sí",1/DATOS_[[% normaliz]:[% normaliz]],1)*(DATOS_[Conc.Sal.30])))))))), 0)</f>
        <v>0</v>
      </c>
      <c r="AN94" s="294" t="n">
        <f aca="false" t="array" ref="AN94:AN94">IFERROR( AVERAGE(IF(DATOS_[Sexo]=$B94,IF(DATOS_[[AGRUP. CLAS. PROF.]:[AGRUP. CLAS. PROF.]]=$B93,IF(DATOS_[Check Equiparado]="Sí",IF(DATOS_[Check Periodo Ref.]="Dentro",DATOS_[Tot COMPL.SAL Eq],0))))), 0)</f>
        <v>0</v>
      </c>
      <c r="AO94" s="295" t="n">
        <f aca="false" t="array" ref="AO94:AO94">IFERROR( AVERAGE(IF(DATOS_[Sexo]=$B94,IF(DATOS_[[AGRUP. CLAS. PROF.]:[AGRUP. CLAS. PROF.]]=$B93,IF(DATOS_[Check Equiparado]="Sí",IF(DATOS_[Check Periodo Ref.]="Dentro",DATOS_[TOTAL SALARIO Eq],0))))), 0)</f>
        <v>0</v>
      </c>
      <c r="AP94" s="303" t="n">
        <f aca="false" t="array" ref="AP94:AP94">IFERROR( (AVERAGE((IF(DATOS_[[Sexo]:[Sexo]]=$B94,IF(DATOS_[[AGRUP. CLAS. PROF.]:[AGRUP. CLAS. PROF.]]=$B93,IF(DATOS_[[Check Periodo Ref.]:[Check Periodo Ref.]]="Dentro",IF(DATOS_[[Check Equiparado]:[Check Equiparado]]="Sí",IF(DATOS!BI$4="Sí",(1/DATOS_[[% anualiz]:[% anualiz]]),1)*IF(DATOS!BI$5="Sí",1/DATOS_[[% normaliz]:[% normaliz]],1)*(DATOS_[C.Extra.01])))))))), 0)</f>
        <v>0</v>
      </c>
      <c r="AQ94" s="303" t="n">
        <f aca="false" t="array" ref="AQ94:AQ94">IFERROR( (AVERAGE((IF(DATOS_[[Sexo]:[Sexo]]=$B94,IF(DATOS_[[AGRUP. CLAS. PROF.]:[AGRUP. CLAS. PROF.]]=$B93,IF(DATOS_[[Check Periodo Ref.]:[Check Periodo Ref.]]="Dentro",IF(DATOS_[[Check Equiparado]:[Check Equiparado]]="Sí",IF(DATOS!BJ$4="Sí",(1/DATOS_[[% anualiz]:[% anualiz]]),1)*IF(DATOS!BJ$5="Sí",1/DATOS_[[% normaliz]:[% normaliz]],1)*(DATOS_[C.Extra.02])))))))), 0)</f>
        <v>0</v>
      </c>
      <c r="AR94" s="303" t="n">
        <f aca="false" t="array" ref="AR94:AR94">IFERROR( (AVERAGE((IF(DATOS_[[Sexo]:[Sexo]]=$B94,IF(DATOS_[[AGRUP. CLAS. PROF.]:[AGRUP. CLAS. PROF.]]=$B93,IF(DATOS_[[Check Periodo Ref.]:[Check Periodo Ref.]]="Dentro",IF(DATOS_[[Check Equiparado]:[Check Equiparado]]="Sí",IF(DATOS!BK$4="Sí",(1/DATOS_[[% anualiz]:[% anualiz]]),1)*IF(DATOS!BK$5="Sí",1/DATOS_[[% normaliz]:[% normaliz]],1)*(DATOS_[C.Extra.03])))))))), 0)</f>
        <v>0</v>
      </c>
      <c r="AS94" s="303" t="n">
        <f aca="false" t="array" ref="AS94:AS94">IFERROR( (AVERAGE((IF(DATOS_[[Sexo]:[Sexo]]=$B94,IF(DATOS_[[AGRUP. CLAS. PROF.]:[AGRUP. CLAS. PROF.]]=$B93,IF(DATOS_[[Check Periodo Ref.]:[Check Periodo Ref.]]="Dentro",IF(DATOS_[[Check Equiparado]:[Check Equiparado]]="Sí",IF(DATOS!BL$4="Sí",(1/DATOS_[[% anualiz]:[% anualiz]]),1)*IF(DATOS!BL$5="Sí",1/DATOS_[[% normaliz]:[% normaliz]],1)*(DATOS_[C.Extra.04])))))))), 0)</f>
        <v>0</v>
      </c>
      <c r="AT94" s="303" t="n">
        <f aca="false" t="array" ref="AT94:AT94">IFERROR( (AVERAGE((IF(DATOS_[[Sexo]:[Sexo]]=$B94,IF(DATOS_[[AGRUP. CLAS. PROF.]:[AGRUP. CLAS. PROF.]]=$B93,IF(DATOS_[[Check Periodo Ref.]:[Check Periodo Ref.]]="Dentro",IF(DATOS_[[Check Equiparado]:[Check Equiparado]]="Sí",IF(DATOS!BM$4="Sí",(1/DATOS_[[% anualiz]:[% anualiz]]),1)*IF(DATOS!BM$5="Sí",1/DATOS_[[% normaliz]:[% normaliz]],1)*(DATOS_[C.Extra.05])))))))), 0)</f>
        <v>0</v>
      </c>
      <c r="AU94" s="297" t="n">
        <f aca="false" t="array" ref="AU94:AU94">IFERROR( AVERAGE(IF(DATOS_[Sexo]=$B94,IF(DATOS_[[AGRUP. CLAS. PROF.]:[AGRUP. CLAS. PROF.]]=$B93,IF(DATOS_[Check Equiparado]="Sí",IF(DATOS_[Check Periodo Ref.]="Dentro",DATOS_[Tot Extrasalarial Eq],0))))), 0)</f>
        <v>0</v>
      </c>
      <c r="AV94" s="298" t="n">
        <f aca="false" t="array" ref="AV94:AV94">IFERROR( AVERAGE(IF(DATOS_[Sexo]=$B94,IF(DATOS_[[AGRUP. CLAS. PROF.]:[AGRUP. CLAS. PROF.]]=$B93,IF(DATOS_[Check Equiparado]="Sí",IF(DATOS_[Check Periodo Ref.]="Dentro",DATOS_[TOTAL Retrib Eq],0))))), 0)</f>
        <v>0</v>
      </c>
    </row>
    <row r="95" customFormat="false" ht="14.25" hidden="false" customHeight="false" outlineLevel="0" collapsed="false">
      <c r="A95" s="166" t="str">
        <f aca="false">+A94</f>
        <v>[ocultar]</v>
      </c>
      <c r="B95" s="289" t="s">
        <v>372</v>
      </c>
      <c r="C95" s="290" t="n">
        <f aca="false" t="array" ref="C95:C95">SUM(IF($B95=DATOS_[Sexo], IF($B93=DATOS_[AGRUP. CLAS. PROF.], IF("Dentro"=DATOS_[Check Periodo Ref.], 1/(COUNTIFS(DATOS_[Sexo],$B95,DATOS_[AGRUP. CLAS. PROF.],$B93,DATOS_[Check Periodo Ref.],"Dentro",DATOS_[id],DATOS_[id]))))))</f>
        <v>0</v>
      </c>
      <c r="D95" s="291" t="n">
        <f aca="false">COUNTIFS(DATOS_[AGRUP. CLAS. PROF.],$B93,DATOS_[Sexo],$B95,DATOS_[Check Periodo Ref.],"Dentro")</f>
        <v>0</v>
      </c>
      <c r="E95" s="291" t="n">
        <f aca="false">COUNTIFS(DATOS_[AGRUP. CLAS. PROF.],$B93,DATOS_[Sexo],$B95,DATOS_[Check Periodo Ref.],"Dentro",DATOS_[Check Nº SC Norm],"Sí")</f>
        <v>0</v>
      </c>
      <c r="F95" s="291" t="n">
        <f aca="false">COUNTIFS(DATOS_[AGRUP. CLAS. PROF.],$B93,DATOS_[Sexo],$B95,DATOS_[Check Periodo Ref.],"Dentro",DATOS_[Check Nº SC Anualiz],"Sí")</f>
        <v>0</v>
      </c>
      <c r="G95" s="291" t="n">
        <f aca="false">COUNTIFS(DATOS_[AGRUP. CLAS. PROF.],$B93,DATOS_[Sexo],$B95,DATOS_[Check Periodo Ref.],"Dentro",DATOS_[Check Nº SC Norm y Anualiz],"Sí")</f>
        <v>0</v>
      </c>
      <c r="H95" s="291" t="n">
        <f aca="false">COUNTIFS(DATOS_[AGRUP. CLAS. PROF.],$B93,DATOS_[Sexo],$B95,DATOS_[Check Periodo Ref.],"Dentro",DATOS_[Check Equiparación],"Sí")</f>
        <v>0</v>
      </c>
      <c r="I95" s="292" t="n">
        <f aca="false" t="array" ref="I95:I95">IFERROR( AVERAGE(IF(DATOS_[Sexo]=$B95,IF(DATOS_[[AGRUP. CLAS. PROF.]:[AGRUP. CLAS. PROF.]]=$B93,IF(DATOS_[Check Equiparado]="Sí",IF(DATOS_[Check Periodo Ref.]="Dentro",DATOS_[SALARIO BASE Eq],0))))), 0)</f>
        <v>0</v>
      </c>
      <c r="J95" s="302" t="n">
        <f aca="false" t="array" ref="J95:J95">IFERROR( (AVERAGE((IF(DATOS_[[Sexo]:[Sexo]]=$B95,IF(DATOS_[[AGRUP. CLAS. PROF.]:[AGRUP. CLAS. PROF.]]=$B93,IF(DATOS_[[Check Periodo Ref.]:[Check Periodo Ref.]]="Dentro",IF(DATOS_[[Check Equiparado]:[Check Equiparado]]="Sí",IF(DATOS!AE$4="Sí",(1/DATOS_[[% anualiz]:[% anualiz]]),1)*IF(DATOS!AE$5="Sí",1/DATOS_[[% normaliz]:[% normaliz]],1)*(DATOS_[Conc.Sal.01])))))))), 0)</f>
        <v>0</v>
      </c>
      <c r="K95" s="302" t="n">
        <f aca="false" t="array" ref="K95:K95">IFERROR( (AVERAGE((IF(DATOS_[[Sexo]:[Sexo]]=$B95,IF(DATOS_[[AGRUP. CLAS. PROF.]:[AGRUP. CLAS. PROF.]]=$B93,IF(DATOS_[[Check Periodo Ref.]:[Check Periodo Ref.]]="Dentro",IF(DATOS_[[Check Equiparado]:[Check Equiparado]]="Sí",IF(DATOS!AF$4="Sí",(1/DATOS_[[% anualiz]:[% anualiz]]),1)*IF(DATOS!AF$5="Sí",1/DATOS_[[% normaliz]:[% normaliz]],1)*(DATOS_[Conc.Sal.02])))))))), 0)</f>
        <v>0</v>
      </c>
      <c r="L95" s="302" t="n">
        <f aca="false" t="array" ref="L95:L95">IFERROR( (AVERAGE((IF(DATOS_[[Sexo]:[Sexo]]=$B95,IF(DATOS_[[AGRUP. CLAS. PROF.]:[AGRUP. CLAS. PROF.]]=$B93,IF(DATOS_[[Check Periodo Ref.]:[Check Periodo Ref.]]="Dentro",IF(DATOS_[[Check Equiparado]:[Check Equiparado]]="Sí",IF(DATOS!AG$4="Sí",(1/DATOS_[[% anualiz]:[% anualiz]]),1)*IF(DATOS!AG$5="Sí",1/DATOS_[[% normaliz]:[% normaliz]],1)*(DATOS_[Conc.Sal.03])))))))), 0)</f>
        <v>0</v>
      </c>
      <c r="M95" s="302" t="n">
        <f aca="false" t="array" ref="M95:M95">IFERROR( (AVERAGE((IF(DATOS_[[Sexo]:[Sexo]]=$B95,IF(DATOS_[[AGRUP. CLAS. PROF.]:[AGRUP. CLAS. PROF.]]=$B93,IF(DATOS_[[Check Periodo Ref.]:[Check Periodo Ref.]]="Dentro",IF(DATOS_[[Check Equiparado]:[Check Equiparado]]="Sí",IF(DATOS!AH$4="Sí",(1/DATOS_[[% anualiz]:[% anualiz]]),1)*IF(DATOS!AH$5="Sí",1/DATOS_[[% normaliz]:[% normaliz]],1)*(DATOS_[Conc.Sal.04])))))))), 0)</f>
        <v>0</v>
      </c>
      <c r="N95" s="302" t="n">
        <f aca="false" t="array" ref="N95:N95">IFERROR( (AVERAGE((IF(DATOS_[[Sexo]:[Sexo]]=$B95,IF(DATOS_[[AGRUP. CLAS. PROF.]:[AGRUP. CLAS. PROF.]]=$B93,IF(DATOS_[[Check Periodo Ref.]:[Check Periodo Ref.]]="Dentro",IF(DATOS_[[Check Equiparado]:[Check Equiparado]]="Sí",IF(DATOS!AI$4="Sí",(1/DATOS_[[% anualiz]:[% anualiz]]),1)*IF(DATOS!AI$5="Sí",1/DATOS_[[% normaliz]:[% normaliz]],1)*(DATOS_[Conc.Sal.05])))))))), 0)</f>
        <v>0</v>
      </c>
      <c r="O95" s="302" t="n">
        <f aca="false" t="array" ref="O95:O95">IFERROR( (AVERAGE((IF(DATOS_[[Sexo]:[Sexo]]=$B95,IF(DATOS_[[AGRUP. CLAS. PROF.]:[AGRUP. CLAS. PROF.]]=$B93,IF(DATOS_[[Check Periodo Ref.]:[Check Periodo Ref.]]="Dentro",IF(DATOS_[[Check Equiparado]:[Check Equiparado]]="Sí",IF(DATOS!AJ$4="Sí",(1/DATOS_[[% anualiz]:[% anualiz]]),1)*IF(DATOS!AJ$5="Sí",1/DATOS_[[% normaliz]:[% normaliz]],1)*(DATOS_[Conc.Sal.06])))))))), 0)</f>
        <v>0</v>
      </c>
      <c r="P95" s="302" t="n">
        <f aca="false" t="array" ref="P95:P95">IFERROR( (AVERAGE((IF(DATOS_[[Sexo]:[Sexo]]=$B95,IF(DATOS_[[AGRUP. CLAS. PROF.]:[AGRUP. CLAS. PROF.]]=$B93,IF(DATOS_[[Check Periodo Ref.]:[Check Periodo Ref.]]="Dentro",IF(DATOS_[[Check Equiparado]:[Check Equiparado]]="Sí",IF(DATOS!AK$4="Sí",(1/DATOS_[[% anualiz]:[% anualiz]]),1)*IF(DATOS!AK$5="Sí",1/DATOS_[[% normaliz]:[% normaliz]],1)*(DATOS_[Conc.Sal.07])))))))), 0)</f>
        <v>0</v>
      </c>
      <c r="Q95" s="302" t="n">
        <f aca="false" t="array" ref="Q95:Q95">IFERROR( (AVERAGE((IF(DATOS_[[Sexo]:[Sexo]]=$B95,IF(DATOS_[[AGRUP. CLAS. PROF.]:[AGRUP. CLAS. PROF.]]=$B93,IF(DATOS_[[Check Periodo Ref.]:[Check Periodo Ref.]]="Dentro",IF(DATOS_[[Check Equiparado]:[Check Equiparado]]="Sí",IF(DATOS!AL$4="Sí",(1/DATOS_[[% anualiz]:[% anualiz]]),1)*IF(DATOS!AL$5="Sí",1/DATOS_[[% normaliz]:[% normaliz]],1)*(DATOS_[Conc.Sal.08])))))))), 0)</f>
        <v>0</v>
      </c>
      <c r="R95" s="302" t="n">
        <f aca="false" t="array" ref="R95:R95">IFERROR( (AVERAGE((IF(DATOS_[[Sexo]:[Sexo]]=$B95,IF(DATOS_[[AGRUP. CLAS. PROF.]:[AGRUP. CLAS. PROF.]]=$B93,IF(DATOS_[[Check Periodo Ref.]:[Check Periodo Ref.]]="Dentro",IF(DATOS_[[Check Equiparado]:[Check Equiparado]]="Sí",IF(DATOS!AM$4="Sí",(1/DATOS_[[% anualiz]:[% anualiz]]),1)*IF(DATOS!AM$5="Sí",1/DATOS_[[% normaliz]:[% normaliz]],1)*(DATOS_[Conc.Sal.09])))))))), 0)</f>
        <v>0</v>
      </c>
      <c r="S95" s="302" t="n">
        <f aca="false" t="array" ref="S95:S95">IFERROR( (AVERAGE((IF(DATOS_[[Sexo]:[Sexo]]=$B95,IF(DATOS_[[AGRUP. CLAS. PROF.]:[AGRUP. CLAS. PROF.]]=$B93,IF(DATOS_[[Check Periodo Ref.]:[Check Periodo Ref.]]="Dentro",IF(DATOS_[[Check Equiparado]:[Check Equiparado]]="Sí",IF(DATOS!AN$4="Sí",(1/DATOS_[[% anualiz]:[% anualiz]]),1)*IF(DATOS!AN$5="Sí",1/DATOS_[[% normaliz]:[% normaliz]],1)*(DATOS_[Conc.Sal.10])))))))), 0)</f>
        <v>0</v>
      </c>
      <c r="T95" s="302" t="n">
        <f aca="false" t="array" ref="T95:T95">IFERROR( (AVERAGE((IF(DATOS_[[Sexo]:[Sexo]]=$B95,IF(DATOS_[[AGRUP. CLAS. PROF.]:[AGRUP. CLAS. PROF.]]=$B93,IF(DATOS_[[Check Periodo Ref.]:[Check Periodo Ref.]]="Dentro",IF(DATOS_[[Check Equiparado]:[Check Equiparado]]="Sí",IF(DATOS!AO$4="Sí",(1/DATOS_[[% anualiz]:[% anualiz]]),1)*IF(DATOS!AO$5="Sí",1/DATOS_[[% normaliz]:[% normaliz]],1)*(DATOS_[Conc.Sal.11])))))))), 0)</f>
        <v>0</v>
      </c>
      <c r="U95" s="302" t="n">
        <f aca="false" t="array" ref="U95:U95">IFERROR( (AVERAGE((IF(DATOS_[[Sexo]:[Sexo]]=$B95,IF(DATOS_[[AGRUP. CLAS. PROF.]:[AGRUP. CLAS. PROF.]]=$B93,IF(DATOS_[[Check Periodo Ref.]:[Check Periodo Ref.]]="Dentro",IF(DATOS_[[Check Equiparado]:[Check Equiparado]]="Sí",IF(DATOS!AP$4="Sí",(1/DATOS_[[% anualiz]:[% anualiz]]),1)*IF(DATOS!AP$5="Sí",1/DATOS_[[% normaliz]:[% normaliz]],1)*(DATOS_[Conc.Sal.12])))))))), 0)</f>
        <v>0</v>
      </c>
      <c r="V95" s="302" t="n">
        <f aca="false" t="array" ref="V95:V95">IFERROR( (AVERAGE((IF(DATOS_[[Sexo]:[Sexo]]=$B95,IF(DATOS_[[AGRUP. CLAS. PROF.]:[AGRUP. CLAS. PROF.]]=$B93,IF(DATOS_[[Check Periodo Ref.]:[Check Periodo Ref.]]="Dentro",IF(DATOS_[[Check Equiparado]:[Check Equiparado]]="Sí",IF(DATOS!AQ$4="Sí",(1/DATOS_[[% anualiz]:[% anualiz]]),1)*IF(DATOS!AQ$5="Sí",1/DATOS_[[% normaliz]:[% normaliz]],1)*(DATOS_[Conc.Sal.13])))))))), 0)</f>
        <v>0</v>
      </c>
      <c r="W95" s="302" t="n">
        <f aca="false" t="array" ref="W95:W95">IFERROR( (AVERAGE((IF(DATOS_[[Sexo]:[Sexo]]=$B95,IF(DATOS_[[AGRUP. CLAS. PROF.]:[AGRUP. CLAS. PROF.]]=$B93,IF(DATOS_[[Check Periodo Ref.]:[Check Periodo Ref.]]="Dentro",IF(DATOS_[[Check Equiparado]:[Check Equiparado]]="Sí",IF(DATOS!AR$4="Sí",(1/DATOS_[[% anualiz]:[% anualiz]]),1)*IF(DATOS!AR$5="Sí",1/DATOS_[[% normaliz]:[% normaliz]],1)*(DATOS_[Conc.Sal.14])))))))), 0)</f>
        <v>0</v>
      </c>
      <c r="X95" s="302" t="n">
        <f aca="false" t="array" ref="X95:X95">IFERROR( (AVERAGE((IF(DATOS_[[Sexo]:[Sexo]]=$B95,IF(DATOS_[[AGRUP. CLAS. PROF.]:[AGRUP. CLAS. PROF.]]=$B93,IF(DATOS_[[Check Periodo Ref.]:[Check Periodo Ref.]]="Dentro",IF(DATOS_[[Check Equiparado]:[Check Equiparado]]="Sí",IF(DATOS!AS$4="Sí",(1/DATOS_[[% anualiz]:[% anualiz]]),1)*IF(DATOS!AS$5="Sí",1/DATOS_[[% normaliz]:[% normaliz]],1)*(DATOS_[Conc.Sal.15])))))))), 0)</f>
        <v>0</v>
      </c>
      <c r="Y95" s="302" t="n">
        <f aca="false" t="array" ref="Y95:Y95">IFERROR( (AVERAGE((IF(DATOS_[[Sexo]:[Sexo]]=$B95,IF(DATOS_[[AGRUP. CLAS. PROF.]:[AGRUP. CLAS. PROF.]]=$B93,IF(DATOS_[[Check Periodo Ref.]:[Check Periodo Ref.]]="Dentro",IF(DATOS_[[Check Equiparado]:[Check Equiparado]]="Sí",IF(DATOS!AT$4="Sí",(1/DATOS_[[% anualiz]:[% anualiz]]),1)*IF(DATOS!AT$5="Sí",1/DATOS_[[% normaliz]:[% normaliz]],1)*(DATOS_[Conc.Sal.16])))))))), 0)</f>
        <v>0</v>
      </c>
      <c r="Z95" s="302" t="n">
        <f aca="false" t="array" ref="Z95:Z95">IFERROR( (AVERAGE((IF(DATOS_[[Sexo]:[Sexo]]=$B95,IF(DATOS_[[AGRUP. CLAS. PROF.]:[AGRUP. CLAS. PROF.]]=$B93,IF(DATOS_[[Check Periodo Ref.]:[Check Periodo Ref.]]="Dentro",IF(DATOS_[[Check Equiparado]:[Check Equiparado]]="Sí",IF(DATOS!AU$4="Sí",(1/DATOS_[[% anualiz]:[% anualiz]]),1)*IF(DATOS!AU$5="Sí",1/DATOS_[[% normaliz]:[% normaliz]],1)*(DATOS_[Conc.Sal.17])))))))), 0)</f>
        <v>0</v>
      </c>
      <c r="AA95" s="302" t="n">
        <f aca="false" t="array" ref="AA95:AA95">IFERROR( (AVERAGE((IF(DATOS_[[Sexo]:[Sexo]]=$B95,IF(DATOS_[[AGRUP. CLAS. PROF.]:[AGRUP. CLAS. PROF.]]=$B93,IF(DATOS_[[Check Periodo Ref.]:[Check Periodo Ref.]]="Dentro",IF(DATOS_[[Check Equiparado]:[Check Equiparado]]="Sí",IF(DATOS!AV$4="Sí",(1/DATOS_[[% anualiz]:[% anualiz]]),1)*IF(DATOS!AV$5="Sí",1/DATOS_[[% normaliz]:[% normaliz]],1)*(DATOS_[Conc.Sal.18])))))))), 0)</f>
        <v>0</v>
      </c>
      <c r="AB95" s="302" t="n">
        <f aca="false" t="array" ref="AB95:AB95">IFERROR( (AVERAGE((IF(DATOS_[[Sexo]:[Sexo]]=$B95,IF(DATOS_[[AGRUP. CLAS. PROF.]:[AGRUP. CLAS. PROF.]]=$B93,IF(DATOS_[[Check Periodo Ref.]:[Check Periodo Ref.]]="Dentro",IF(DATOS_[[Check Equiparado]:[Check Equiparado]]="Sí",IF(DATOS!AW$4="Sí",(1/DATOS_[[% anualiz]:[% anualiz]]),1)*IF(DATOS!AW$5="Sí",1/DATOS_[[% normaliz]:[% normaliz]],1)*(DATOS_[Conc.Sal.19])))))))), 0)</f>
        <v>0</v>
      </c>
      <c r="AC95" s="302" t="n">
        <f aca="false" t="array" ref="AC95:AC95">IFERROR( (AVERAGE((IF(DATOS_[[Sexo]:[Sexo]]=$B95,IF(DATOS_[[AGRUP. CLAS. PROF.]:[AGRUP. CLAS. PROF.]]=$B93,IF(DATOS_[[Check Periodo Ref.]:[Check Periodo Ref.]]="Dentro",IF(DATOS_[[Check Equiparado]:[Check Equiparado]]="Sí",IF(DATOS!AX$4="Sí",(1/DATOS_[[% anualiz]:[% anualiz]]),1)*IF(DATOS!AX$5="Sí",1/DATOS_[[% normaliz]:[% normaliz]],1)*(DATOS_[Conc.Sal.20])))))))), 0)</f>
        <v>0</v>
      </c>
      <c r="AD95" s="302" t="n">
        <f aca="false" t="array" ref="AD95:AD95">IFERROR( (AVERAGE((IF(DATOS_[[Sexo]:[Sexo]]=$B95,IF(DATOS_[[AGRUP. CLAS. PROF.]:[AGRUP. CLAS. PROF.]]=$B93,IF(DATOS_[[Check Periodo Ref.]:[Check Periodo Ref.]]="Dentro",IF(DATOS_[[Check Equiparado]:[Check Equiparado]]="Sí",IF(DATOS!AY$4="Sí",(1/DATOS_[[% anualiz]:[% anualiz]]),1)*IF(DATOS!AY$5="Sí",1/DATOS_[[% normaliz]:[% normaliz]],1)*(DATOS_[Conc.Sal.21])))))))), 0)</f>
        <v>0</v>
      </c>
      <c r="AE95" s="302" t="n">
        <f aca="false" t="array" ref="AE95:AE95">IFERROR( (AVERAGE((IF(DATOS_[[Sexo]:[Sexo]]=$B95,IF(DATOS_[[AGRUP. CLAS. PROF.]:[AGRUP. CLAS. PROF.]]=$B93,IF(DATOS_[[Check Periodo Ref.]:[Check Periodo Ref.]]="Dentro",IF(DATOS_[[Check Equiparado]:[Check Equiparado]]="Sí",IF(DATOS!AZ$4="Sí",(1/DATOS_[[% anualiz]:[% anualiz]]),1)*IF(DATOS!AZ$5="Sí",1/DATOS_[[% normaliz]:[% normaliz]],1)*(DATOS_[Conc.Sal.22])))))))), 0)</f>
        <v>0</v>
      </c>
      <c r="AF95" s="302" t="n">
        <f aca="false" t="array" ref="AF95:AF95">IFERROR( (AVERAGE((IF(DATOS_[[Sexo]:[Sexo]]=$B95,IF(DATOS_[[AGRUP. CLAS. PROF.]:[AGRUP. CLAS. PROF.]]=$B93,IF(DATOS_[[Check Periodo Ref.]:[Check Periodo Ref.]]="Dentro",IF(DATOS_[[Check Equiparado]:[Check Equiparado]]="Sí",IF(DATOS!BA$4="Sí",(1/DATOS_[[% anualiz]:[% anualiz]]),1)*IF(DATOS!BA$5="Sí",1/DATOS_[[% normaliz]:[% normaliz]],1)*(DATOS_[Conc.Sal.23])))))))), 0)</f>
        <v>0</v>
      </c>
      <c r="AG95" s="302" t="n">
        <f aca="false" t="array" ref="AG95:AG95">IFERROR( (AVERAGE((IF(DATOS_[[Sexo]:[Sexo]]=$B95,IF(DATOS_[[AGRUP. CLAS. PROF.]:[AGRUP. CLAS. PROF.]]=$B93,IF(DATOS_[[Check Periodo Ref.]:[Check Periodo Ref.]]="Dentro",IF(DATOS_[[Check Equiparado]:[Check Equiparado]]="Sí",IF(DATOS!BB$4="Sí",(1/DATOS_[[% anualiz]:[% anualiz]]),1)*IF(DATOS!BB$5="Sí",1/DATOS_[[% normaliz]:[% normaliz]],1)*(DATOS_[Conc.Sal.24])))))))), 0)</f>
        <v>0</v>
      </c>
      <c r="AH95" s="302" t="n">
        <f aca="false" t="array" ref="AH95:AH95">IFERROR( (AVERAGE((IF(DATOS_[[Sexo]:[Sexo]]=$B95,IF(DATOS_[[AGRUP. CLAS. PROF.]:[AGRUP. CLAS. PROF.]]=$B93,IF(DATOS_[[Check Periodo Ref.]:[Check Periodo Ref.]]="Dentro",IF(DATOS_[[Check Equiparado]:[Check Equiparado]]="Sí",IF(DATOS!BC$4="Sí",(1/DATOS_[[% anualiz]:[% anualiz]]),1)*IF(DATOS!BC$5="Sí",1/DATOS_[[% normaliz]:[% normaliz]],1)*(DATOS_[Conc.Sal.25])))))))), 0)</f>
        <v>0</v>
      </c>
      <c r="AI95" s="302" t="n">
        <f aca="false" t="array" ref="AI95:AI95">IFERROR( (AVERAGE((IF(DATOS_[[Sexo]:[Sexo]]=$B95,IF(DATOS_[[AGRUP. CLAS. PROF.]:[AGRUP. CLAS. PROF.]]=$B93,IF(DATOS_[[Check Periodo Ref.]:[Check Periodo Ref.]]="Dentro",IF(DATOS_[[Check Equiparado]:[Check Equiparado]]="Sí",IF(DATOS!BD$4="Sí",(1/DATOS_[[% anualiz]:[% anualiz]]),1)*IF(DATOS!BD$5="Sí",1/DATOS_[[% normaliz]:[% normaliz]],1)*(DATOS_[Conc.Sal.26])))))))), 0)</f>
        <v>0</v>
      </c>
      <c r="AJ95" s="302" t="n">
        <f aca="false" t="array" ref="AJ95:AJ95">IFERROR( (AVERAGE((IF(DATOS_[[Sexo]:[Sexo]]=$B95,IF(DATOS_[[AGRUP. CLAS. PROF.]:[AGRUP. CLAS. PROF.]]=$B93,IF(DATOS_[[Check Periodo Ref.]:[Check Periodo Ref.]]="Dentro",IF(DATOS_[[Check Equiparado]:[Check Equiparado]]="Sí",IF(DATOS!BE$4="Sí",(1/DATOS_[[% anualiz]:[% anualiz]]),1)*IF(DATOS!BE$5="Sí",1/DATOS_[[% normaliz]:[% normaliz]],1)*(DATOS_[Conc.Sal.27])))))))), 0)</f>
        <v>0</v>
      </c>
      <c r="AK95" s="302" t="n">
        <f aca="false" t="array" ref="AK95:AK95">IFERROR( (AVERAGE((IF(DATOS_[[Sexo]:[Sexo]]=$B95,IF(DATOS_[[AGRUP. CLAS. PROF.]:[AGRUP. CLAS. PROF.]]=$B93,IF(DATOS_[[Check Periodo Ref.]:[Check Periodo Ref.]]="Dentro",IF(DATOS_[[Check Equiparado]:[Check Equiparado]]="Sí",IF(DATOS!BF$4="Sí",(1/DATOS_[[% anualiz]:[% anualiz]]),1)*IF(DATOS!BF$5="Sí",1/DATOS_[[% normaliz]:[% normaliz]],1)*(DATOS_[Conc.Sal.28])))))))), 0)</f>
        <v>0</v>
      </c>
      <c r="AL95" s="302" t="n">
        <f aca="false" t="array" ref="AL95:AL95">IFERROR( (AVERAGE((IF(DATOS_[[Sexo]:[Sexo]]=$B95,IF(DATOS_[[AGRUP. CLAS. PROF.]:[AGRUP. CLAS. PROF.]]=$B93,IF(DATOS_[[Check Periodo Ref.]:[Check Periodo Ref.]]="Dentro",IF(DATOS_[[Check Equiparado]:[Check Equiparado]]="Sí",IF(DATOS!BG$4="Sí",(1/DATOS_[[% anualiz]:[% anualiz]]),1)*IF(DATOS!BG$5="Sí",1/DATOS_[[% normaliz]:[% normaliz]],1)*(DATOS_[Conc.Sal.29])))))))), 0)</f>
        <v>0</v>
      </c>
      <c r="AM95" s="302" t="n">
        <f aca="false" t="array" ref="AM95:AM95">IFERROR( (AVERAGE((IF(DATOS_[[Sexo]:[Sexo]]=$B95,IF(DATOS_[[AGRUP. CLAS. PROF.]:[AGRUP. CLAS. PROF.]]=$B93,IF(DATOS_[[Check Periodo Ref.]:[Check Periodo Ref.]]="Dentro",IF(DATOS_[[Check Equiparado]:[Check Equiparado]]="Sí",IF(DATOS!BH$4="Sí",(1/DATOS_[[% anualiz]:[% anualiz]]),1)*IF(DATOS!BH$5="Sí",1/DATOS_[[% normaliz]:[% normaliz]],1)*(DATOS_[Conc.Sal.30])))))))), 0)</f>
        <v>0</v>
      </c>
      <c r="AN95" s="294" t="n">
        <f aca="false" t="array" ref="AN95:AN95">IFERROR( AVERAGE(IF(DATOS_[Sexo]=$B95,IF(DATOS_[[AGRUP. CLAS. PROF.]:[AGRUP. CLAS. PROF.]]=$B93,IF(DATOS_[Check Equiparado]="Sí",IF(DATOS_[Check Periodo Ref.]="Dentro",DATOS_[Tot COMPL.SAL Eq],0))))), 0)</f>
        <v>0</v>
      </c>
      <c r="AO95" s="295" t="n">
        <f aca="false" t="array" ref="AO95:AO95">IFERROR( AVERAGE(IF(DATOS_[Sexo]=$B95,IF(DATOS_[[AGRUP. CLAS. PROF.]:[AGRUP. CLAS. PROF.]]=$B93,IF(DATOS_[Check Equiparado]="Sí",IF(DATOS_[Check Periodo Ref.]="Dentro",DATOS_[TOTAL SALARIO Eq],0))))), 0)</f>
        <v>0</v>
      </c>
      <c r="AP95" s="303" t="n">
        <f aca="false" t="array" ref="AP95:AP95">IFERROR( (AVERAGE((IF(DATOS_[[Sexo]:[Sexo]]=$B95,IF(DATOS_[[AGRUP. CLAS. PROF.]:[AGRUP. CLAS. PROF.]]=$B94,IF(DATOS_[[Check Periodo Ref.]:[Check Periodo Ref.]]="Dentro",IF(DATOS_[[Check Equiparado]:[Check Equiparado]]="Sí",IF(DATOS!BI$4="Sí",(1/DATOS_[[% anualiz]:[% anualiz]]),1)*IF(DATOS!BI$5="Sí",1/DATOS_[[% normaliz]:[% normaliz]],1)*(DATOS_[C.Extra.01])))))))), 0)</f>
        <v>0</v>
      </c>
      <c r="AQ95" s="303" t="n">
        <f aca="false" t="array" ref="AQ95:AQ95">IFERROR( (AVERAGE((IF(DATOS_[[Sexo]:[Sexo]]=$B95,IF(DATOS_[[AGRUP. CLAS. PROF.]:[AGRUP. CLAS. PROF.]]=$B94,IF(DATOS_[[Check Periodo Ref.]:[Check Periodo Ref.]]="Dentro",IF(DATOS_[[Check Equiparado]:[Check Equiparado]]="Sí",IF(DATOS!BJ$4="Sí",(1/DATOS_[[% anualiz]:[% anualiz]]),1)*IF(DATOS!BJ$5="Sí",1/DATOS_[[% normaliz]:[% normaliz]],1)*(DATOS_[C.Extra.02])))))))), 0)</f>
        <v>0</v>
      </c>
      <c r="AR95" s="303" t="n">
        <f aca="false" t="array" ref="AR95:AR95">IFERROR( (AVERAGE((IF(DATOS_[[Sexo]:[Sexo]]=$B95,IF(DATOS_[[AGRUP. CLAS. PROF.]:[AGRUP. CLAS. PROF.]]=$B94,IF(DATOS_[[Check Periodo Ref.]:[Check Periodo Ref.]]="Dentro",IF(DATOS_[[Check Equiparado]:[Check Equiparado]]="Sí",IF(DATOS!BK$4="Sí",(1/DATOS_[[% anualiz]:[% anualiz]]),1)*IF(DATOS!BK$5="Sí",1/DATOS_[[% normaliz]:[% normaliz]],1)*(DATOS_[C.Extra.03])))))))), 0)</f>
        <v>0</v>
      </c>
      <c r="AS95" s="303" t="n">
        <f aca="false" t="array" ref="AS95:AS95">IFERROR( (AVERAGE((IF(DATOS_[[Sexo]:[Sexo]]=$B95,IF(DATOS_[[AGRUP. CLAS. PROF.]:[AGRUP. CLAS. PROF.]]=$B94,IF(DATOS_[[Check Periodo Ref.]:[Check Periodo Ref.]]="Dentro",IF(DATOS_[[Check Equiparado]:[Check Equiparado]]="Sí",IF(DATOS!BL$4="Sí",(1/DATOS_[[% anualiz]:[% anualiz]]),1)*IF(DATOS!BL$5="Sí",1/DATOS_[[% normaliz]:[% normaliz]],1)*(DATOS_[C.Extra.04])))))))), 0)</f>
        <v>0</v>
      </c>
      <c r="AT95" s="303" t="n">
        <f aca="false" t="array" ref="AT95:AT95">IFERROR( (AVERAGE((IF(DATOS_[[Sexo]:[Sexo]]=$B95,IF(DATOS_[[AGRUP. CLAS. PROF.]:[AGRUP. CLAS. PROF.]]=$B94,IF(DATOS_[[Check Periodo Ref.]:[Check Periodo Ref.]]="Dentro",IF(DATOS_[[Check Equiparado]:[Check Equiparado]]="Sí",IF(DATOS!BM$4="Sí",(1/DATOS_[[% anualiz]:[% anualiz]]),1)*IF(DATOS!BM$5="Sí",1/DATOS_[[% normaliz]:[% normaliz]],1)*(DATOS_[C.Extra.05])))))))), 0)</f>
        <v>0</v>
      </c>
      <c r="AU95" s="297" t="n">
        <f aca="false" t="array" ref="AU95:AU95">IFERROR( AVERAGE(IF(DATOS_[Sexo]=$B95,IF(DATOS_[[AGRUP. CLAS. PROF.]:[AGRUP. CLAS. PROF.]]=$B93,IF(DATOS_[Check Equiparado]="Sí",IF(DATOS_[Check Periodo Ref.]="Dentro",DATOS_[Tot Extrasalarial Eq],0))))), 0)</f>
        <v>0</v>
      </c>
      <c r="AV95" s="298" t="n">
        <f aca="false" t="array" ref="AV95:AV95">IFERROR( AVERAGE(IF(DATOS_[Sexo]=$B95,IF(DATOS_[[AGRUP. CLAS. PROF.]:[AGRUP. CLAS. PROF.]]=$B93,IF(DATOS_[Check Equiparado]="Sí",IF(DATOS_[Check Periodo Ref.]="Dentro",DATOS_[TOTAL Retrib Eq],0))))), 0)</f>
        <v>0</v>
      </c>
    </row>
    <row r="96" customFormat="false" ht="15.75" hidden="false" customHeight="false" outlineLevel="0" collapsed="false">
      <c r="A96" s="166" t="str">
        <f aca="false">+A97</f>
        <v>[ocultar]</v>
      </c>
      <c r="B96" s="276" t="s">
        <v>249</v>
      </c>
      <c r="C96" s="277"/>
      <c r="D96" s="278"/>
      <c r="E96" s="278"/>
      <c r="F96" s="278"/>
      <c r="G96" s="278"/>
      <c r="H96" s="278"/>
      <c r="I96" s="279" t="str">
        <f aca="false">IFERROR((I97-I98)/I97,"")</f>
        <v/>
      </c>
      <c r="J96" s="280" t="str">
        <f aca="false">IFERROR((J97-J98)/J97,"")</f>
        <v/>
      </c>
      <c r="K96" s="281" t="str">
        <f aca="false">IFERROR((K97-K98)/K97,"")</f>
        <v/>
      </c>
      <c r="L96" s="281" t="str">
        <f aca="false">IFERROR((L97-L98)/L97,"")</f>
        <v/>
      </c>
      <c r="M96" s="281" t="str">
        <f aca="false">IFERROR((M97-M98)/M97,"")</f>
        <v/>
      </c>
      <c r="N96" s="282" t="str">
        <f aca="false">IFERROR((N97-N98)/N97,"")</f>
        <v/>
      </c>
      <c r="O96" s="283" t="str">
        <f aca="false">IFERROR((O97-O98)/O97,"")</f>
        <v/>
      </c>
      <c r="P96" s="283" t="str">
        <f aca="false">IFERROR((P97-P98)/P97,"")</f>
        <v/>
      </c>
      <c r="Q96" s="283" t="str">
        <f aca="false">IFERROR((Q97-Q98)/Q97,"")</f>
        <v/>
      </c>
      <c r="R96" s="283" t="str">
        <f aca="false">IFERROR((R97-R98)/R97,"")</f>
        <v/>
      </c>
      <c r="S96" s="283" t="str">
        <f aca="false">IFERROR((S97-S98)/S97,"")</f>
        <v/>
      </c>
      <c r="T96" s="283" t="str">
        <f aca="false">IFERROR((T97-T98)/T97,"")</f>
        <v/>
      </c>
      <c r="U96" s="283" t="str">
        <f aca="false">IFERROR((U97-U98)/U97,"")</f>
        <v/>
      </c>
      <c r="V96" s="283" t="str">
        <f aca="false">IFERROR((V97-V98)/V97,"")</f>
        <v/>
      </c>
      <c r="W96" s="283" t="str">
        <f aca="false">IFERROR((W97-W98)/W97,"")</f>
        <v/>
      </c>
      <c r="X96" s="283" t="str">
        <f aca="false">IFERROR((X97-X98)/X97,"")</f>
        <v/>
      </c>
      <c r="Y96" s="283" t="str">
        <f aca="false">IFERROR((Y97-Y98)/Y97,"")</f>
        <v/>
      </c>
      <c r="Z96" s="282" t="str">
        <f aca="false">IFERROR((Z97-Z98)/Z97,"")</f>
        <v/>
      </c>
      <c r="AA96" s="282" t="str">
        <f aca="false">IFERROR((AA97-AA98)/AA97,"")</f>
        <v/>
      </c>
      <c r="AB96" s="282" t="str">
        <f aca="false">IFERROR((AB97-AB98)/AB97,"")</f>
        <v/>
      </c>
      <c r="AC96" s="282" t="str">
        <f aca="false">IFERROR((AC97-AC98)/AC97,"")</f>
        <v/>
      </c>
      <c r="AD96" s="282" t="str">
        <f aca="false">IFERROR((AD97-AD98)/AD97,"")</f>
        <v/>
      </c>
      <c r="AE96" s="282" t="str">
        <f aca="false">IFERROR((AE97-AE98)/AE97,"")</f>
        <v/>
      </c>
      <c r="AF96" s="282" t="str">
        <f aca="false">IFERROR((AF97-AF98)/AF97,"")</f>
        <v/>
      </c>
      <c r="AG96" s="282" t="str">
        <f aca="false">IFERROR((AG97-AG98)/AG97,"")</f>
        <v/>
      </c>
      <c r="AH96" s="282" t="str">
        <f aca="false">IFERROR((AH97-AH98)/AH97,"")</f>
        <v/>
      </c>
      <c r="AI96" s="282" t="str">
        <f aca="false">IFERROR((AI97-AI98)/AI97,"")</f>
        <v/>
      </c>
      <c r="AJ96" s="282" t="str">
        <f aca="false">IFERROR((AJ97-AJ98)/AJ97,"")</f>
        <v/>
      </c>
      <c r="AK96" s="282" t="str">
        <f aca="false">IFERROR((AK97-AK98)/AK97,"")</f>
        <v/>
      </c>
      <c r="AL96" s="282" t="str">
        <f aca="false">IFERROR((AL97-AL98)/AL97,"")</f>
        <v/>
      </c>
      <c r="AM96" s="282" t="str">
        <f aca="false">IFERROR((AM97-AM98)/AM97,"")</f>
        <v/>
      </c>
      <c r="AN96" s="284" t="str">
        <f aca="false">IFERROR((AN97-AN98)/AN97,"")</f>
        <v/>
      </c>
      <c r="AO96" s="285" t="str">
        <f aca="false">IFERROR((AO97-AO98)/AO97,"")</f>
        <v/>
      </c>
      <c r="AP96" s="286" t="str">
        <f aca="false">IFERROR((AP97-AP98)/AP97,"")</f>
        <v/>
      </c>
      <c r="AQ96" s="286" t="str">
        <f aca="false">IFERROR((AQ97-AQ98)/AQ97,"")</f>
        <v/>
      </c>
      <c r="AR96" s="286" t="str">
        <f aca="false">IFERROR((AR97-AR98)/AR97,"")</f>
        <v/>
      </c>
      <c r="AS96" s="286" t="str">
        <f aca="false">IFERROR((AS97-AS98)/AS97,"")</f>
        <v/>
      </c>
      <c r="AT96" s="286" t="str">
        <f aca="false">IFERROR((AT97-AT98)/AT97,"")</f>
        <v/>
      </c>
      <c r="AU96" s="287" t="str">
        <f aca="false">IFERROR((AU97-AU98)/AU97,"")</f>
        <v/>
      </c>
      <c r="AV96" s="288" t="str">
        <f aca="false">IFERROR((AV97-AV98)/AV97,"")</f>
        <v/>
      </c>
    </row>
    <row r="97" customFormat="false" ht="14.25" hidden="false" customHeight="false" outlineLevel="0" collapsed="false">
      <c r="A97" s="166" t="str">
        <f aca="false">+IF(C97+C98=0,"[ocultar]","")</f>
        <v>[ocultar]</v>
      </c>
      <c r="B97" s="289" t="s">
        <v>371</v>
      </c>
      <c r="C97" s="290" t="n">
        <f aca="false" t="array" ref="C97:C97">SUM(IF($B97=DATOS_[Sexo], IF($B96=DATOS_[AGRUP. CLAS. PROF.], IF("Dentro"=DATOS_[Check Periodo Ref.], 1/(COUNTIFS(DATOS_[Sexo],$B97,DATOS_[AGRUP. CLAS. PROF.],$B96,DATOS_[Check Periodo Ref.],"Dentro",DATOS_[id],DATOS_[id]))))))</f>
        <v>0</v>
      </c>
      <c r="D97" s="291" t="n">
        <f aca="false">COUNTIFS(DATOS_[AGRUP. CLAS. PROF.],$B96,DATOS_[Sexo],$B97,DATOS_[Check Periodo Ref.],"Dentro")</f>
        <v>0</v>
      </c>
      <c r="E97" s="291" t="n">
        <f aca="false">COUNTIFS(DATOS_[AGRUP. CLAS. PROF.],$B96,DATOS_[Sexo],$B97,DATOS_[Check Periodo Ref.],"Dentro",DATOS_[Check Nº SC Norm],"Sí")</f>
        <v>0</v>
      </c>
      <c r="F97" s="291" t="n">
        <f aca="false">COUNTIFS(DATOS_[AGRUP. CLAS. PROF.],$B96,DATOS_[Sexo],$B97,DATOS_[Check Periodo Ref.],"Dentro",DATOS_[Check Nº SC Anualiz],"Sí")</f>
        <v>0</v>
      </c>
      <c r="G97" s="291" t="n">
        <f aca="false">COUNTIFS(DATOS_[AGRUP. CLAS. PROF.],$B96,DATOS_[Sexo],$B97,DATOS_[Check Periodo Ref.],"Dentro",DATOS_[Check Nº SC Norm y Anualiz],"Sí")</f>
        <v>0</v>
      </c>
      <c r="H97" s="291" t="n">
        <f aca="false">COUNTIFS(DATOS_[AGRUP. CLAS. PROF.],$B96,DATOS_[Sexo],$B97,DATOS_[Check Periodo Ref.],"Dentro",DATOS_[Check Equiparación],"Sí")</f>
        <v>0</v>
      </c>
      <c r="I97" s="292" t="n">
        <f aca="false" t="array" ref="I97:I97">IFERROR( AVERAGE(IF(DATOS_[Sexo]=$B97,IF(DATOS_[[AGRUP. CLAS. PROF.]:[AGRUP. CLAS. PROF.]]=$B96,IF(DATOS_[Check Equiparado]="Sí",IF(DATOS_[Check Periodo Ref.]="Dentro",DATOS_[SALARIO BASE Eq],0))))), 0)</f>
        <v>0</v>
      </c>
      <c r="J97" s="302" t="n">
        <f aca="false" t="array" ref="J97:J97">IFERROR( (AVERAGE((IF(DATOS_[[Sexo]:[Sexo]]=$B97,IF(DATOS_[[AGRUP. CLAS. PROF.]:[AGRUP. CLAS. PROF.]]=$B96,IF(DATOS_[[Check Periodo Ref.]:[Check Periodo Ref.]]="Dentro",IF(DATOS_[[Check Equiparado]:[Check Equiparado]]="Sí",IF(DATOS!AE$4="Sí",(1/DATOS_[[% anualiz]:[% anualiz]]),1)*IF(DATOS!AE$5="Sí",1/DATOS_[[% normaliz]:[% normaliz]],1)*(DATOS_[Conc.Sal.01])))))))), 0)</f>
        <v>0</v>
      </c>
      <c r="K97" s="302" t="n">
        <f aca="false" t="array" ref="K97:K97">IFERROR( (AVERAGE((IF(DATOS_[[Sexo]:[Sexo]]=$B97,IF(DATOS_[[AGRUP. CLAS. PROF.]:[AGRUP. CLAS. PROF.]]=$B96,IF(DATOS_[[Check Periodo Ref.]:[Check Periodo Ref.]]="Dentro",IF(DATOS_[[Check Equiparado]:[Check Equiparado]]="Sí",IF(DATOS!AF$4="Sí",(1/DATOS_[[% anualiz]:[% anualiz]]),1)*IF(DATOS!AF$5="Sí",1/DATOS_[[% normaliz]:[% normaliz]],1)*(DATOS_[Conc.Sal.02])))))))), 0)</f>
        <v>0</v>
      </c>
      <c r="L97" s="302" t="n">
        <f aca="false" t="array" ref="L97:L97">IFERROR( (AVERAGE((IF(DATOS_[[Sexo]:[Sexo]]=$B97,IF(DATOS_[[AGRUP. CLAS. PROF.]:[AGRUP. CLAS. PROF.]]=$B96,IF(DATOS_[[Check Periodo Ref.]:[Check Periodo Ref.]]="Dentro",IF(DATOS_[[Check Equiparado]:[Check Equiparado]]="Sí",IF(DATOS!AG$4="Sí",(1/DATOS_[[% anualiz]:[% anualiz]]),1)*IF(DATOS!AG$5="Sí",1/DATOS_[[% normaliz]:[% normaliz]],1)*(DATOS_[Conc.Sal.03])))))))), 0)</f>
        <v>0</v>
      </c>
      <c r="M97" s="302" t="n">
        <f aca="false" t="array" ref="M97:M97">IFERROR( (AVERAGE((IF(DATOS_[[Sexo]:[Sexo]]=$B97,IF(DATOS_[[AGRUP. CLAS. PROF.]:[AGRUP. CLAS. PROF.]]=$B96,IF(DATOS_[[Check Periodo Ref.]:[Check Periodo Ref.]]="Dentro",IF(DATOS_[[Check Equiparado]:[Check Equiparado]]="Sí",IF(DATOS!AH$4="Sí",(1/DATOS_[[% anualiz]:[% anualiz]]),1)*IF(DATOS!AH$5="Sí",1/DATOS_[[% normaliz]:[% normaliz]],1)*(DATOS_[Conc.Sal.04])))))))), 0)</f>
        <v>0</v>
      </c>
      <c r="N97" s="302" t="n">
        <f aca="false" t="array" ref="N97:N97">IFERROR( (AVERAGE((IF(DATOS_[[Sexo]:[Sexo]]=$B97,IF(DATOS_[[AGRUP. CLAS. PROF.]:[AGRUP. CLAS. PROF.]]=$B96,IF(DATOS_[[Check Periodo Ref.]:[Check Periodo Ref.]]="Dentro",IF(DATOS_[[Check Equiparado]:[Check Equiparado]]="Sí",IF(DATOS!AI$4="Sí",(1/DATOS_[[% anualiz]:[% anualiz]]),1)*IF(DATOS!AI$5="Sí",1/DATOS_[[% normaliz]:[% normaliz]],1)*(DATOS_[Conc.Sal.05])))))))), 0)</f>
        <v>0</v>
      </c>
      <c r="O97" s="302" t="n">
        <f aca="false" t="array" ref="O97:O97">IFERROR( (AVERAGE((IF(DATOS_[[Sexo]:[Sexo]]=$B97,IF(DATOS_[[AGRUP. CLAS. PROF.]:[AGRUP. CLAS. PROF.]]=$B96,IF(DATOS_[[Check Periodo Ref.]:[Check Periodo Ref.]]="Dentro",IF(DATOS_[[Check Equiparado]:[Check Equiparado]]="Sí",IF(DATOS!AJ$4="Sí",(1/DATOS_[[% anualiz]:[% anualiz]]),1)*IF(DATOS!AJ$5="Sí",1/DATOS_[[% normaliz]:[% normaliz]],1)*(DATOS_[Conc.Sal.06])))))))), 0)</f>
        <v>0</v>
      </c>
      <c r="P97" s="302" t="n">
        <f aca="false" t="array" ref="P97:P97">IFERROR( (AVERAGE((IF(DATOS_[[Sexo]:[Sexo]]=$B97,IF(DATOS_[[AGRUP. CLAS. PROF.]:[AGRUP. CLAS. PROF.]]=$B96,IF(DATOS_[[Check Periodo Ref.]:[Check Periodo Ref.]]="Dentro",IF(DATOS_[[Check Equiparado]:[Check Equiparado]]="Sí",IF(DATOS!AK$4="Sí",(1/DATOS_[[% anualiz]:[% anualiz]]),1)*IF(DATOS!AK$5="Sí",1/DATOS_[[% normaliz]:[% normaliz]],1)*(DATOS_[Conc.Sal.07])))))))), 0)</f>
        <v>0</v>
      </c>
      <c r="Q97" s="302" t="n">
        <f aca="false" t="array" ref="Q97:Q97">IFERROR( (AVERAGE((IF(DATOS_[[Sexo]:[Sexo]]=$B97,IF(DATOS_[[AGRUP. CLAS. PROF.]:[AGRUP. CLAS. PROF.]]=$B96,IF(DATOS_[[Check Periodo Ref.]:[Check Periodo Ref.]]="Dentro",IF(DATOS_[[Check Equiparado]:[Check Equiparado]]="Sí",IF(DATOS!AL$4="Sí",(1/DATOS_[[% anualiz]:[% anualiz]]),1)*IF(DATOS!AL$5="Sí",1/DATOS_[[% normaliz]:[% normaliz]],1)*(DATOS_[Conc.Sal.08])))))))), 0)</f>
        <v>0</v>
      </c>
      <c r="R97" s="302" t="n">
        <f aca="false" t="array" ref="R97:R97">IFERROR( (AVERAGE((IF(DATOS_[[Sexo]:[Sexo]]=$B97,IF(DATOS_[[AGRUP. CLAS. PROF.]:[AGRUP. CLAS. PROF.]]=$B96,IF(DATOS_[[Check Periodo Ref.]:[Check Periodo Ref.]]="Dentro",IF(DATOS_[[Check Equiparado]:[Check Equiparado]]="Sí",IF(DATOS!AM$4="Sí",(1/DATOS_[[% anualiz]:[% anualiz]]),1)*IF(DATOS!AM$5="Sí",1/DATOS_[[% normaliz]:[% normaliz]],1)*(DATOS_[Conc.Sal.09])))))))), 0)</f>
        <v>0</v>
      </c>
      <c r="S97" s="302" t="n">
        <f aca="false" t="array" ref="S97:S97">IFERROR( (AVERAGE((IF(DATOS_[[Sexo]:[Sexo]]=$B97,IF(DATOS_[[AGRUP. CLAS. PROF.]:[AGRUP. CLAS. PROF.]]=$B96,IF(DATOS_[[Check Periodo Ref.]:[Check Periodo Ref.]]="Dentro",IF(DATOS_[[Check Equiparado]:[Check Equiparado]]="Sí",IF(DATOS!AN$4="Sí",(1/DATOS_[[% anualiz]:[% anualiz]]),1)*IF(DATOS!AN$5="Sí",1/DATOS_[[% normaliz]:[% normaliz]],1)*(DATOS_[Conc.Sal.10])))))))), 0)</f>
        <v>0</v>
      </c>
      <c r="T97" s="302" t="n">
        <f aca="false" t="array" ref="T97:T97">IFERROR( (AVERAGE((IF(DATOS_[[Sexo]:[Sexo]]=$B97,IF(DATOS_[[AGRUP. CLAS. PROF.]:[AGRUP. CLAS. PROF.]]=$B96,IF(DATOS_[[Check Periodo Ref.]:[Check Periodo Ref.]]="Dentro",IF(DATOS_[[Check Equiparado]:[Check Equiparado]]="Sí",IF(DATOS!AO$4="Sí",(1/DATOS_[[% anualiz]:[% anualiz]]),1)*IF(DATOS!AO$5="Sí",1/DATOS_[[% normaliz]:[% normaliz]],1)*(DATOS_[Conc.Sal.11])))))))), 0)</f>
        <v>0</v>
      </c>
      <c r="U97" s="302" t="n">
        <f aca="false" t="array" ref="U97:U97">IFERROR( (AVERAGE((IF(DATOS_[[Sexo]:[Sexo]]=$B97,IF(DATOS_[[AGRUP. CLAS. PROF.]:[AGRUP. CLAS. PROF.]]=$B96,IF(DATOS_[[Check Periodo Ref.]:[Check Periodo Ref.]]="Dentro",IF(DATOS_[[Check Equiparado]:[Check Equiparado]]="Sí",IF(DATOS!AP$4="Sí",(1/DATOS_[[% anualiz]:[% anualiz]]),1)*IF(DATOS!AP$5="Sí",1/DATOS_[[% normaliz]:[% normaliz]],1)*(DATOS_[Conc.Sal.12])))))))), 0)</f>
        <v>0</v>
      </c>
      <c r="V97" s="302" t="n">
        <f aca="false" t="array" ref="V97:V97">IFERROR( (AVERAGE((IF(DATOS_[[Sexo]:[Sexo]]=$B97,IF(DATOS_[[AGRUP. CLAS. PROF.]:[AGRUP. CLAS. PROF.]]=$B96,IF(DATOS_[[Check Periodo Ref.]:[Check Periodo Ref.]]="Dentro",IF(DATOS_[[Check Equiparado]:[Check Equiparado]]="Sí",IF(DATOS!AQ$4="Sí",(1/DATOS_[[% anualiz]:[% anualiz]]),1)*IF(DATOS!AQ$5="Sí",1/DATOS_[[% normaliz]:[% normaliz]],1)*(DATOS_[Conc.Sal.13])))))))), 0)</f>
        <v>0</v>
      </c>
      <c r="W97" s="302" t="n">
        <f aca="false" t="array" ref="W97:W97">IFERROR( (AVERAGE((IF(DATOS_[[Sexo]:[Sexo]]=$B97,IF(DATOS_[[AGRUP. CLAS. PROF.]:[AGRUP. CLAS. PROF.]]=$B96,IF(DATOS_[[Check Periodo Ref.]:[Check Periodo Ref.]]="Dentro",IF(DATOS_[[Check Equiparado]:[Check Equiparado]]="Sí",IF(DATOS!AR$4="Sí",(1/DATOS_[[% anualiz]:[% anualiz]]),1)*IF(DATOS!AR$5="Sí",1/DATOS_[[% normaliz]:[% normaliz]],1)*(DATOS_[Conc.Sal.14])))))))), 0)</f>
        <v>0</v>
      </c>
      <c r="X97" s="302" t="n">
        <f aca="false" t="array" ref="X97:X97">IFERROR( (AVERAGE((IF(DATOS_[[Sexo]:[Sexo]]=$B97,IF(DATOS_[[AGRUP. CLAS. PROF.]:[AGRUP. CLAS. PROF.]]=$B96,IF(DATOS_[[Check Periodo Ref.]:[Check Periodo Ref.]]="Dentro",IF(DATOS_[[Check Equiparado]:[Check Equiparado]]="Sí",IF(DATOS!AS$4="Sí",(1/DATOS_[[% anualiz]:[% anualiz]]),1)*IF(DATOS!AS$5="Sí",1/DATOS_[[% normaliz]:[% normaliz]],1)*(DATOS_[Conc.Sal.15])))))))), 0)</f>
        <v>0</v>
      </c>
      <c r="Y97" s="302" t="n">
        <f aca="false" t="array" ref="Y97:Y97">IFERROR( (AVERAGE((IF(DATOS_[[Sexo]:[Sexo]]=$B97,IF(DATOS_[[AGRUP. CLAS. PROF.]:[AGRUP. CLAS. PROF.]]=$B96,IF(DATOS_[[Check Periodo Ref.]:[Check Periodo Ref.]]="Dentro",IF(DATOS_[[Check Equiparado]:[Check Equiparado]]="Sí",IF(DATOS!AT$4="Sí",(1/DATOS_[[% anualiz]:[% anualiz]]),1)*IF(DATOS!AT$5="Sí",1/DATOS_[[% normaliz]:[% normaliz]],1)*(DATOS_[Conc.Sal.16])))))))), 0)</f>
        <v>0</v>
      </c>
      <c r="Z97" s="302" t="n">
        <f aca="false" t="array" ref="Z97:Z97">IFERROR( (AVERAGE((IF(DATOS_[[Sexo]:[Sexo]]=$B97,IF(DATOS_[[AGRUP. CLAS. PROF.]:[AGRUP. CLAS. PROF.]]=$B96,IF(DATOS_[[Check Periodo Ref.]:[Check Periodo Ref.]]="Dentro",IF(DATOS_[[Check Equiparado]:[Check Equiparado]]="Sí",IF(DATOS!AU$4="Sí",(1/DATOS_[[% anualiz]:[% anualiz]]),1)*IF(DATOS!AU$5="Sí",1/DATOS_[[% normaliz]:[% normaliz]],1)*(DATOS_[Conc.Sal.17])))))))), 0)</f>
        <v>0</v>
      </c>
      <c r="AA97" s="302" t="n">
        <f aca="false" t="array" ref="AA97:AA97">IFERROR( (AVERAGE((IF(DATOS_[[Sexo]:[Sexo]]=$B97,IF(DATOS_[[AGRUP. CLAS. PROF.]:[AGRUP. CLAS. PROF.]]=$B96,IF(DATOS_[[Check Periodo Ref.]:[Check Periodo Ref.]]="Dentro",IF(DATOS_[[Check Equiparado]:[Check Equiparado]]="Sí",IF(DATOS!AV$4="Sí",(1/DATOS_[[% anualiz]:[% anualiz]]),1)*IF(DATOS!AV$5="Sí",1/DATOS_[[% normaliz]:[% normaliz]],1)*(DATOS_[Conc.Sal.18])))))))), 0)</f>
        <v>0</v>
      </c>
      <c r="AB97" s="302" t="n">
        <f aca="false" t="array" ref="AB97:AB97">IFERROR( (AVERAGE((IF(DATOS_[[Sexo]:[Sexo]]=$B97,IF(DATOS_[[AGRUP. CLAS. PROF.]:[AGRUP. CLAS. PROF.]]=$B96,IF(DATOS_[[Check Periodo Ref.]:[Check Periodo Ref.]]="Dentro",IF(DATOS_[[Check Equiparado]:[Check Equiparado]]="Sí",IF(DATOS!AW$4="Sí",(1/DATOS_[[% anualiz]:[% anualiz]]),1)*IF(DATOS!AW$5="Sí",1/DATOS_[[% normaliz]:[% normaliz]],1)*(DATOS_[Conc.Sal.19])))))))), 0)</f>
        <v>0</v>
      </c>
      <c r="AC97" s="302" t="n">
        <f aca="false" t="array" ref="AC97:AC97">IFERROR( (AVERAGE((IF(DATOS_[[Sexo]:[Sexo]]=$B97,IF(DATOS_[[AGRUP. CLAS. PROF.]:[AGRUP. CLAS. PROF.]]=$B96,IF(DATOS_[[Check Periodo Ref.]:[Check Periodo Ref.]]="Dentro",IF(DATOS_[[Check Equiparado]:[Check Equiparado]]="Sí",IF(DATOS!AX$4="Sí",(1/DATOS_[[% anualiz]:[% anualiz]]),1)*IF(DATOS!AX$5="Sí",1/DATOS_[[% normaliz]:[% normaliz]],1)*(DATOS_[Conc.Sal.20])))))))), 0)</f>
        <v>0</v>
      </c>
      <c r="AD97" s="302" t="n">
        <f aca="false" t="array" ref="AD97:AD97">IFERROR( (AVERAGE((IF(DATOS_[[Sexo]:[Sexo]]=$B97,IF(DATOS_[[AGRUP. CLAS. PROF.]:[AGRUP. CLAS. PROF.]]=$B96,IF(DATOS_[[Check Periodo Ref.]:[Check Periodo Ref.]]="Dentro",IF(DATOS_[[Check Equiparado]:[Check Equiparado]]="Sí",IF(DATOS!AY$4="Sí",(1/DATOS_[[% anualiz]:[% anualiz]]),1)*IF(DATOS!AY$5="Sí",1/DATOS_[[% normaliz]:[% normaliz]],1)*(DATOS_[Conc.Sal.21])))))))), 0)</f>
        <v>0</v>
      </c>
      <c r="AE97" s="302" t="n">
        <f aca="false" t="array" ref="AE97:AE97">IFERROR( (AVERAGE((IF(DATOS_[[Sexo]:[Sexo]]=$B97,IF(DATOS_[[AGRUP. CLAS. PROF.]:[AGRUP. CLAS. PROF.]]=$B96,IF(DATOS_[[Check Periodo Ref.]:[Check Periodo Ref.]]="Dentro",IF(DATOS_[[Check Equiparado]:[Check Equiparado]]="Sí",IF(DATOS!AZ$4="Sí",(1/DATOS_[[% anualiz]:[% anualiz]]),1)*IF(DATOS!AZ$5="Sí",1/DATOS_[[% normaliz]:[% normaliz]],1)*(DATOS_[Conc.Sal.22])))))))), 0)</f>
        <v>0</v>
      </c>
      <c r="AF97" s="302" t="n">
        <f aca="false" t="array" ref="AF97:AF97">IFERROR( (AVERAGE((IF(DATOS_[[Sexo]:[Sexo]]=$B97,IF(DATOS_[[AGRUP. CLAS. PROF.]:[AGRUP. CLAS. PROF.]]=$B96,IF(DATOS_[[Check Periodo Ref.]:[Check Periodo Ref.]]="Dentro",IF(DATOS_[[Check Equiparado]:[Check Equiparado]]="Sí",IF(DATOS!BA$4="Sí",(1/DATOS_[[% anualiz]:[% anualiz]]),1)*IF(DATOS!BA$5="Sí",1/DATOS_[[% normaliz]:[% normaliz]],1)*(DATOS_[Conc.Sal.23])))))))), 0)</f>
        <v>0</v>
      </c>
      <c r="AG97" s="302" t="n">
        <f aca="false" t="array" ref="AG97:AG97">IFERROR( (AVERAGE((IF(DATOS_[[Sexo]:[Sexo]]=$B97,IF(DATOS_[[AGRUP. CLAS. PROF.]:[AGRUP. CLAS. PROF.]]=$B96,IF(DATOS_[[Check Periodo Ref.]:[Check Periodo Ref.]]="Dentro",IF(DATOS_[[Check Equiparado]:[Check Equiparado]]="Sí",IF(DATOS!BB$4="Sí",(1/DATOS_[[% anualiz]:[% anualiz]]),1)*IF(DATOS!BB$5="Sí",1/DATOS_[[% normaliz]:[% normaliz]],1)*(DATOS_[Conc.Sal.24])))))))), 0)</f>
        <v>0</v>
      </c>
      <c r="AH97" s="302" t="n">
        <f aca="false" t="array" ref="AH97:AH97">IFERROR( (AVERAGE((IF(DATOS_[[Sexo]:[Sexo]]=$B97,IF(DATOS_[[AGRUP. CLAS. PROF.]:[AGRUP. CLAS. PROF.]]=$B96,IF(DATOS_[[Check Periodo Ref.]:[Check Periodo Ref.]]="Dentro",IF(DATOS_[[Check Equiparado]:[Check Equiparado]]="Sí",IF(DATOS!BC$4="Sí",(1/DATOS_[[% anualiz]:[% anualiz]]),1)*IF(DATOS!BC$5="Sí",1/DATOS_[[% normaliz]:[% normaliz]],1)*(DATOS_[Conc.Sal.25])))))))), 0)</f>
        <v>0</v>
      </c>
      <c r="AI97" s="302" t="n">
        <f aca="false" t="array" ref="AI97:AI97">IFERROR( (AVERAGE((IF(DATOS_[[Sexo]:[Sexo]]=$B97,IF(DATOS_[[AGRUP. CLAS. PROF.]:[AGRUP. CLAS. PROF.]]=$B96,IF(DATOS_[[Check Periodo Ref.]:[Check Periodo Ref.]]="Dentro",IF(DATOS_[[Check Equiparado]:[Check Equiparado]]="Sí",IF(DATOS!BD$4="Sí",(1/DATOS_[[% anualiz]:[% anualiz]]),1)*IF(DATOS!BD$5="Sí",1/DATOS_[[% normaliz]:[% normaliz]],1)*(DATOS_[Conc.Sal.26])))))))), 0)</f>
        <v>0</v>
      </c>
      <c r="AJ97" s="302" t="n">
        <f aca="false" t="array" ref="AJ97:AJ97">IFERROR( (AVERAGE((IF(DATOS_[[Sexo]:[Sexo]]=$B97,IF(DATOS_[[AGRUP. CLAS. PROF.]:[AGRUP. CLAS. PROF.]]=$B96,IF(DATOS_[[Check Periodo Ref.]:[Check Periodo Ref.]]="Dentro",IF(DATOS_[[Check Equiparado]:[Check Equiparado]]="Sí",IF(DATOS!BE$4="Sí",(1/DATOS_[[% anualiz]:[% anualiz]]),1)*IF(DATOS!BE$5="Sí",1/DATOS_[[% normaliz]:[% normaliz]],1)*(DATOS_[Conc.Sal.27])))))))), 0)</f>
        <v>0</v>
      </c>
      <c r="AK97" s="302" t="n">
        <f aca="false" t="array" ref="AK97:AK97">IFERROR( (AVERAGE((IF(DATOS_[[Sexo]:[Sexo]]=$B97,IF(DATOS_[[AGRUP. CLAS. PROF.]:[AGRUP. CLAS. PROF.]]=$B96,IF(DATOS_[[Check Periodo Ref.]:[Check Periodo Ref.]]="Dentro",IF(DATOS_[[Check Equiparado]:[Check Equiparado]]="Sí",IF(DATOS!BF$4="Sí",(1/DATOS_[[% anualiz]:[% anualiz]]),1)*IF(DATOS!BF$5="Sí",1/DATOS_[[% normaliz]:[% normaliz]],1)*(DATOS_[Conc.Sal.28])))))))), 0)</f>
        <v>0</v>
      </c>
      <c r="AL97" s="302" t="n">
        <f aca="false" t="array" ref="AL97:AL97">IFERROR( (AVERAGE((IF(DATOS_[[Sexo]:[Sexo]]=$B97,IF(DATOS_[[AGRUP. CLAS. PROF.]:[AGRUP. CLAS. PROF.]]=$B96,IF(DATOS_[[Check Periodo Ref.]:[Check Periodo Ref.]]="Dentro",IF(DATOS_[[Check Equiparado]:[Check Equiparado]]="Sí",IF(DATOS!BG$4="Sí",(1/DATOS_[[% anualiz]:[% anualiz]]),1)*IF(DATOS!BG$5="Sí",1/DATOS_[[% normaliz]:[% normaliz]],1)*(DATOS_[Conc.Sal.29])))))))), 0)</f>
        <v>0</v>
      </c>
      <c r="AM97" s="302" t="n">
        <f aca="false" t="array" ref="AM97:AM97">IFERROR( (AVERAGE((IF(DATOS_[[Sexo]:[Sexo]]=$B97,IF(DATOS_[[AGRUP. CLAS. PROF.]:[AGRUP. CLAS. PROF.]]=$B96,IF(DATOS_[[Check Periodo Ref.]:[Check Periodo Ref.]]="Dentro",IF(DATOS_[[Check Equiparado]:[Check Equiparado]]="Sí",IF(DATOS!BH$4="Sí",(1/DATOS_[[% anualiz]:[% anualiz]]),1)*IF(DATOS!BH$5="Sí",1/DATOS_[[% normaliz]:[% normaliz]],1)*(DATOS_[Conc.Sal.30])))))))), 0)</f>
        <v>0</v>
      </c>
      <c r="AN97" s="294" t="n">
        <f aca="false" t="array" ref="AN97:AN97">IFERROR( AVERAGE(IF(DATOS_[Sexo]=$B97,IF(DATOS_[[AGRUP. CLAS. PROF.]:[AGRUP. CLAS. PROF.]]=$B96,IF(DATOS_[Check Equiparado]="Sí",IF(DATOS_[Check Periodo Ref.]="Dentro",DATOS_[Tot COMPL.SAL Eq],0))))), 0)</f>
        <v>0</v>
      </c>
      <c r="AO97" s="295" t="n">
        <f aca="false" t="array" ref="AO97:AO97">IFERROR( AVERAGE(IF(DATOS_[Sexo]=$B97,IF(DATOS_[[AGRUP. CLAS. PROF.]:[AGRUP. CLAS. PROF.]]=$B96,IF(DATOS_[Check Equiparado]="Sí",IF(DATOS_[Check Periodo Ref.]="Dentro",DATOS_[TOTAL SALARIO Eq],0))))), 0)</f>
        <v>0</v>
      </c>
      <c r="AP97" s="303" t="n">
        <f aca="false" t="array" ref="AP97:AP97">IFERROR( (AVERAGE((IF(DATOS_[[Sexo]:[Sexo]]=$B97,IF(DATOS_[[AGRUP. CLAS. PROF.]:[AGRUP. CLAS. PROF.]]=$B96,IF(DATOS_[[Check Periodo Ref.]:[Check Periodo Ref.]]="Dentro",IF(DATOS_[[Check Equiparado]:[Check Equiparado]]="Sí",IF(DATOS!BI$4="Sí",(1/DATOS_[[% anualiz]:[% anualiz]]),1)*IF(DATOS!BI$5="Sí",1/DATOS_[[% normaliz]:[% normaliz]],1)*(DATOS_[C.Extra.01])))))))), 0)</f>
        <v>0</v>
      </c>
      <c r="AQ97" s="303" t="n">
        <f aca="false" t="array" ref="AQ97:AQ97">IFERROR( (AVERAGE((IF(DATOS_[[Sexo]:[Sexo]]=$B97,IF(DATOS_[[AGRUP. CLAS. PROF.]:[AGRUP. CLAS. PROF.]]=$B96,IF(DATOS_[[Check Periodo Ref.]:[Check Periodo Ref.]]="Dentro",IF(DATOS_[[Check Equiparado]:[Check Equiparado]]="Sí",IF(DATOS!BJ$4="Sí",(1/DATOS_[[% anualiz]:[% anualiz]]),1)*IF(DATOS!BJ$5="Sí",1/DATOS_[[% normaliz]:[% normaliz]],1)*(DATOS_[C.Extra.02])))))))), 0)</f>
        <v>0</v>
      </c>
      <c r="AR97" s="303" t="n">
        <f aca="false" t="array" ref="AR97:AR97">IFERROR( (AVERAGE((IF(DATOS_[[Sexo]:[Sexo]]=$B97,IF(DATOS_[[AGRUP. CLAS. PROF.]:[AGRUP. CLAS. PROF.]]=$B96,IF(DATOS_[[Check Periodo Ref.]:[Check Periodo Ref.]]="Dentro",IF(DATOS_[[Check Equiparado]:[Check Equiparado]]="Sí",IF(DATOS!BK$4="Sí",(1/DATOS_[[% anualiz]:[% anualiz]]),1)*IF(DATOS!BK$5="Sí",1/DATOS_[[% normaliz]:[% normaliz]],1)*(DATOS_[C.Extra.03])))))))), 0)</f>
        <v>0</v>
      </c>
      <c r="AS97" s="303" t="n">
        <f aca="false" t="array" ref="AS97:AS97">IFERROR( (AVERAGE((IF(DATOS_[[Sexo]:[Sexo]]=$B97,IF(DATOS_[[AGRUP. CLAS. PROF.]:[AGRUP. CLAS. PROF.]]=$B96,IF(DATOS_[[Check Periodo Ref.]:[Check Periodo Ref.]]="Dentro",IF(DATOS_[[Check Equiparado]:[Check Equiparado]]="Sí",IF(DATOS!BL$4="Sí",(1/DATOS_[[% anualiz]:[% anualiz]]),1)*IF(DATOS!BL$5="Sí",1/DATOS_[[% normaliz]:[% normaliz]],1)*(DATOS_[C.Extra.04])))))))), 0)</f>
        <v>0</v>
      </c>
      <c r="AT97" s="303" t="n">
        <f aca="false" t="array" ref="AT97:AT97">IFERROR( (AVERAGE((IF(DATOS_[[Sexo]:[Sexo]]=$B97,IF(DATOS_[[AGRUP. CLAS. PROF.]:[AGRUP. CLAS. PROF.]]=$B96,IF(DATOS_[[Check Periodo Ref.]:[Check Periodo Ref.]]="Dentro",IF(DATOS_[[Check Equiparado]:[Check Equiparado]]="Sí",IF(DATOS!BM$4="Sí",(1/DATOS_[[% anualiz]:[% anualiz]]),1)*IF(DATOS!BM$5="Sí",1/DATOS_[[% normaliz]:[% normaliz]],1)*(DATOS_[C.Extra.05])))))))), 0)</f>
        <v>0</v>
      </c>
      <c r="AU97" s="297" t="n">
        <f aca="false" t="array" ref="AU97:AU97">IFERROR( AVERAGE(IF(DATOS_[Sexo]=$B97,IF(DATOS_[[AGRUP. CLAS. PROF.]:[AGRUP. CLAS. PROF.]]=$B96,IF(DATOS_[Check Equiparado]="Sí",IF(DATOS_[Check Periodo Ref.]="Dentro",DATOS_[Tot Extrasalarial Eq],0))))), 0)</f>
        <v>0</v>
      </c>
      <c r="AV97" s="298" t="n">
        <f aca="false" t="array" ref="AV97:AV97">IFERROR( AVERAGE(IF(DATOS_[Sexo]=$B97,IF(DATOS_[[AGRUP. CLAS. PROF.]:[AGRUP. CLAS. PROF.]]=$B96,IF(DATOS_[Check Equiparado]="Sí",IF(DATOS_[Check Periodo Ref.]="Dentro",DATOS_[TOTAL Retrib Eq],0))))), 0)</f>
        <v>0</v>
      </c>
    </row>
    <row r="98" customFormat="false" ht="14.25" hidden="false" customHeight="false" outlineLevel="0" collapsed="false">
      <c r="A98" s="166" t="str">
        <f aca="false">+A97</f>
        <v>[ocultar]</v>
      </c>
      <c r="B98" s="289" t="s">
        <v>372</v>
      </c>
      <c r="C98" s="290" t="n">
        <f aca="false" t="array" ref="C98:C98">SUM(IF($B98=DATOS_[Sexo], IF($B96=DATOS_[AGRUP. CLAS. PROF.], IF("Dentro"=DATOS_[Check Periodo Ref.], 1/(COUNTIFS(DATOS_[Sexo],$B98,DATOS_[AGRUP. CLAS. PROF.],$B96,DATOS_[Check Periodo Ref.],"Dentro",DATOS_[id],DATOS_[id]))))))</f>
        <v>0</v>
      </c>
      <c r="D98" s="291" t="n">
        <f aca="false">COUNTIFS(DATOS_[AGRUP. CLAS. PROF.],$B96,DATOS_[Sexo],$B98,DATOS_[Check Periodo Ref.],"Dentro")</f>
        <v>0</v>
      </c>
      <c r="E98" s="291" t="n">
        <f aca="false">COUNTIFS(DATOS_[AGRUP. CLAS. PROF.],$B96,DATOS_[Sexo],$B98,DATOS_[Check Periodo Ref.],"Dentro",DATOS_[Check Nº SC Norm],"Sí")</f>
        <v>0</v>
      </c>
      <c r="F98" s="291" t="n">
        <f aca="false">COUNTIFS(DATOS_[AGRUP. CLAS. PROF.],$B96,DATOS_[Sexo],$B98,DATOS_[Check Periodo Ref.],"Dentro",DATOS_[Check Nº SC Anualiz],"Sí")</f>
        <v>0</v>
      </c>
      <c r="G98" s="291" t="n">
        <f aca="false">COUNTIFS(DATOS_[AGRUP. CLAS. PROF.],$B96,DATOS_[Sexo],$B98,DATOS_[Check Periodo Ref.],"Dentro",DATOS_[Check Nº SC Norm y Anualiz],"Sí")</f>
        <v>0</v>
      </c>
      <c r="H98" s="291" t="n">
        <f aca="false">COUNTIFS(DATOS_[AGRUP. CLAS. PROF.],$B96,DATOS_[Sexo],$B98,DATOS_[Check Periodo Ref.],"Dentro",DATOS_[Check Equiparación],"Sí")</f>
        <v>0</v>
      </c>
      <c r="I98" s="292" t="n">
        <f aca="false" t="array" ref="I98:I98">IFERROR( AVERAGE(IF(DATOS_[Sexo]=$B98,IF(DATOS_[[AGRUP. CLAS. PROF.]:[AGRUP. CLAS. PROF.]]=$B96,IF(DATOS_[Check Equiparado]="Sí",IF(DATOS_[Check Periodo Ref.]="Dentro",DATOS_[SALARIO BASE Eq],0))))), 0)</f>
        <v>0</v>
      </c>
      <c r="J98" s="302" t="n">
        <f aca="false" t="array" ref="J98:J98">IFERROR( (AVERAGE((IF(DATOS_[[Sexo]:[Sexo]]=$B98,IF(DATOS_[[AGRUP. CLAS. PROF.]:[AGRUP. CLAS. PROF.]]=$B96,IF(DATOS_[[Check Periodo Ref.]:[Check Periodo Ref.]]="Dentro",IF(DATOS_[[Check Equiparado]:[Check Equiparado]]="Sí",IF(DATOS!AE$4="Sí",(1/DATOS_[[% anualiz]:[% anualiz]]),1)*IF(DATOS!AE$5="Sí",1/DATOS_[[% normaliz]:[% normaliz]],1)*(DATOS_[Conc.Sal.01])))))))), 0)</f>
        <v>0</v>
      </c>
      <c r="K98" s="302" t="n">
        <f aca="false" t="array" ref="K98:K98">IFERROR( (AVERAGE((IF(DATOS_[[Sexo]:[Sexo]]=$B98,IF(DATOS_[[AGRUP. CLAS. PROF.]:[AGRUP. CLAS. PROF.]]=$B96,IF(DATOS_[[Check Periodo Ref.]:[Check Periodo Ref.]]="Dentro",IF(DATOS_[[Check Equiparado]:[Check Equiparado]]="Sí",IF(DATOS!AF$4="Sí",(1/DATOS_[[% anualiz]:[% anualiz]]),1)*IF(DATOS!AF$5="Sí",1/DATOS_[[% normaliz]:[% normaliz]],1)*(DATOS_[Conc.Sal.02])))))))), 0)</f>
        <v>0</v>
      </c>
      <c r="L98" s="302" t="n">
        <f aca="false" t="array" ref="L98:L98">IFERROR( (AVERAGE((IF(DATOS_[[Sexo]:[Sexo]]=$B98,IF(DATOS_[[AGRUP. CLAS. PROF.]:[AGRUP. CLAS. PROF.]]=$B96,IF(DATOS_[[Check Periodo Ref.]:[Check Periodo Ref.]]="Dentro",IF(DATOS_[[Check Equiparado]:[Check Equiparado]]="Sí",IF(DATOS!AG$4="Sí",(1/DATOS_[[% anualiz]:[% anualiz]]),1)*IF(DATOS!AG$5="Sí",1/DATOS_[[% normaliz]:[% normaliz]],1)*(DATOS_[Conc.Sal.03])))))))), 0)</f>
        <v>0</v>
      </c>
      <c r="M98" s="302" t="n">
        <f aca="false" t="array" ref="M98:M98">IFERROR( (AVERAGE((IF(DATOS_[[Sexo]:[Sexo]]=$B98,IF(DATOS_[[AGRUP. CLAS. PROF.]:[AGRUP. CLAS. PROF.]]=$B96,IF(DATOS_[[Check Periodo Ref.]:[Check Periodo Ref.]]="Dentro",IF(DATOS_[[Check Equiparado]:[Check Equiparado]]="Sí",IF(DATOS!AH$4="Sí",(1/DATOS_[[% anualiz]:[% anualiz]]),1)*IF(DATOS!AH$5="Sí",1/DATOS_[[% normaliz]:[% normaliz]],1)*(DATOS_[Conc.Sal.04])))))))), 0)</f>
        <v>0</v>
      </c>
      <c r="N98" s="302" t="n">
        <f aca="false" t="array" ref="N98:N98">IFERROR( (AVERAGE((IF(DATOS_[[Sexo]:[Sexo]]=$B98,IF(DATOS_[[AGRUP. CLAS. PROF.]:[AGRUP. CLAS. PROF.]]=$B96,IF(DATOS_[[Check Periodo Ref.]:[Check Periodo Ref.]]="Dentro",IF(DATOS_[[Check Equiparado]:[Check Equiparado]]="Sí",IF(DATOS!AI$4="Sí",(1/DATOS_[[% anualiz]:[% anualiz]]),1)*IF(DATOS!AI$5="Sí",1/DATOS_[[% normaliz]:[% normaliz]],1)*(DATOS_[Conc.Sal.05])))))))), 0)</f>
        <v>0</v>
      </c>
      <c r="O98" s="302" t="n">
        <f aca="false" t="array" ref="O98:O98">IFERROR( (AVERAGE((IF(DATOS_[[Sexo]:[Sexo]]=$B98,IF(DATOS_[[AGRUP. CLAS. PROF.]:[AGRUP. CLAS. PROF.]]=$B96,IF(DATOS_[[Check Periodo Ref.]:[Check Periodo Ref.]]="Dentro",IF(DATOS_[[Check Equiparado]:[Check Equiparado]]="Sí",IF(DATOS!AJ$4="Sí",(1/DATOS_[[% anualiz]:[% anualiz]]),1)*IF(DATOS!AJ$5="Sí",1/DATOS_[[% normaliz]:[% normaliz]],1)*(DATOS_[Conc.Sal.06])))))))), 0)</f>
        <v>0</v>
      </c>
      <c r="P98" s="302" t="n">
        <f aca="false" t="array" ref="P98:P98">IFERROR( (AVERAGE((IF(DATOS_[[Sexo]:[Sexo]]=$B98,IF(DATOS_[[AGRUP. CLAS. PROF.]:[AGRUP. CLAS. PROF.]]=$B96,IF(DATOS_[[Check Periodo Ref.]:[Check Periodo Ref.]]="Dentro",IF(DATOS_[[Check Equiparado]:[Check Equiparado]]="Sí",IF(DATOS!AK$4="Sí",(1/DATOS_[[% anualiz]:[% anualiz]]),1)*IF(DATOS!AK$5="Sí",1/DATOS_[[% normaliz]:[% normaliz]],1)*(DATOS_[Conc.Sal.07])))))))), 0)</f>
        <v>0</v>
      </c>
      <c r="Q98" s="302" t="n">
        <f aca="false" t="array" ref="Q98:Q98">IFERROR( (AVERAGE((IF(DATOS_[[Sexo]:[Sexo]]=$B98,IF(DATOS_[[AGRUP. CLAS. PROF.]:[AGRUP. CLAS. PROF.]]=$B96,IF(DATOS_[[Check Periodo Ref.]:[Check Periodo Ref.]]="Dentro",IF(DATOS_[[Check Equiparado]:[Check Equiparado]]="Sí",IF(DATOS!AL$4="Sí",(1/DATOS_[[% anualiz]:[% anualiz]]),1)*IF(DATOS!AL$5="Sí",1/DATOS_[[% normaliz]:[% normaliz]],1)*(DATOS_[Conc.Sal.08])))))))), 0)</f>
        <v>0</v>
      </c>
      <c r="R98" s="302" t="n">
        <f aca="false" t="array" ref="R98:R98">IFERROR( (AVERAGE((IF(DATOS_[[Sexo]:[Sexo]]=$B98,IF(DATOS_[[AGRUP. CLAS. PROF.]:[AGRUP. CLAS. PROF.]]=$B96,IF(DATOS_[[Check Periodo Ref.]:[Check Periodo Ref.]]="Dentro",IF(DATOS_[[Check Equiparado]:[Check Equiparado]]="Sí",IF(DATOS!AM$4="Sí",(1/DATOS_[[% anualiz]:[% anualiz]]),1)*IF(DATOS!AM$5="Sí",1/DATOS_[[% normaliz]:[% normaliz]],1)*(DATOS_[Conc.Sal.09])))))))), 0)</f>
        <v>0</v>
      </c>
      <c r="S98" s="302" t="n">
        <f aca="false" t="array" ref="S98:S98">IFERROR( (AVERAGE((IF(DATOS_[[Sexo]:[Sexo]]=$B98,IF(DATOS_[[AGRUP. CLAS. PROF.]:[AGRUP. CLAS. PROF.]]=$B96,IF(DATOS_[[Check Periodo Ref.]:[Check Periodo Ref.]]="Dentro",IF(DATOS_[[Check Equiparado]:[Check Equiparado]]="Sí",IF(DATOS!AN$4="Sí",(1/DATOS_[[% anualiz]:[% anualiz]]),1)*IF(DATOS!AN$5="Sí",1/DATOS_[[% normaliz]:[% normaliz]],1)*(DATOS_[Conc.Sal.10])))))))), 0)</f>
        <v>0</v>
      </c>
      <c r="T98" s="302" t="n">
        <f aca="false" t="array" ref="T98:T98">IFERROR( (AVERAGE((IF(DATOS_[[Sexo]:[Sexo]]=$B98,IF(DATOS_[[AGRUP. CLAS. PROF.]:[AGRUP. CLAS. PROF.]]=$B96,IF(DATOS_[[Check Periodo Ref.]:[Check Periodo Ref.]]="Dentro",IF(DATOS_[[Check Equiparado]:[Check Equiparado]]="Sí",IF(DATOS!AO$4="Sí",(1/DATOS_[[% anualiz]:[% anualiz]]),1)*IF(DATOS!AO$5="Sí",1/DATOS_[[% normaliz]:[% normaliz]],1)*(DATOS_[Conc.Sal.11])))))))), 0)</f>
        <v>0</v>
      </c>
      <c r="U98" s="302" t="n">
        <f aca="false" t="array" ref="U98:U98">IFERROR( (AVERAGE((IF(DATOS_[[Sexo]:[Sexo]]=$B98,IF(DATOS_[[AGRUP. CLAS. PROF.]:[AGRUP. CLAS. PROF.]]=$B96,IF(DATOS_[[Check Periodo Ref.]:[Check Periodo Ref.]]="Dentro",IF(DATOS_[[Check Equiparado]:[Check Equiparado]]="Sí",IF(DATOS!AP$4="Sí",(1/DATOS_[[% anualiz]:[% anualiz]]),1)*IF(DATOS!AP$5="Sí",1/DATOS_[[% normaliz]:[% normaliz]],1)*(DATOS_[Conc.Sal.12])))))))), 0)</f>
        <v>0</v>
      </c>
      <c r="V98" s="302" t="n">
        <f aca="false" t="array" ref="V98:V98">IFERROR( (AVERAGE((IF(DATOS_[[Sexo]:[Sexo]]=$B98,IF(DATOS_[[AGRUP. CLAS. PROF.]:[AGRUP. CLAS. PROF.]]=$B96,IF(DATOS_[[Check Periodo Ref.]:[Check Periodo Ref.]]="Dentro",IF(DATOS_[[Check Equiparado]:[Check Equiparado]]="Sí",IF(DATOS!AQ$4="Sí",(1/DATOS_[[% anualiz]:[% anualiz]]),1)*IF(DATOS!AQ$5="Sí",1/DATOS_[[% normaliz]:[% normaliz]],1)*(DATOS_[Conc.Sal.13])))))))), 0)</f>
        <v>0</v>
      </c>
      <c r="W98" s="302" t="n">
        <f aca="false" t="array" ref="W98:W98">IFERROR( (AVERAGE((IF(DATOS_[[Sexo]:[Sexo]]=$B98,IF(DATOS_[[AGRUP. CLAS. PROF.]:[AGRUP. CLAS. PROF.]]=$B96,IF(DATOS_[[Check Periodo Ref.]:[Check Periodo Ref.]]="Dentro",IF(DATOS_[[Check Equiparado]:[Check Equiparado]]="Sí",IF(DATOS!AR$4="Sí",(1/DATOS_[[% anualiz]:[% anualiz]]),1)*IF(DATOS!AR$5="Sí",1/DATOS_[[% normaliz]:[% normaliz]],1)*(DATOS_[Conc.Sal.14])))))))), 0)</f>
        <v>0</v>
      </c>
      <c r="X98" s="302" t="n">
        <f aca="false" t="array" ref="X98:X98">IFERROR( (AVERAGE((IF(DATOS_[[Sexo]:[Sexo]]=$B98,IF(DATOS_[[AGRUP. CLAS. PROF.]:[AGRUP. CLAS. PROF.]]=$B96,IF(DATOS_[[Check Periodo Ref.]:[Check Periodo Ref.]]="Dentro",IF(DATOS_[[Check Equiparado]:[Check Equiparado]]="Sí",IF(DATOS!AS$4="Sí",(1/DATOS_[[% anualiz]:[% anualiz]]),1)*IF(DATOS!AS$5="Sí",1/DATOS_[[% normaliz]:[% normaliz]],1)*(DATOS_[Conc.Sal.15])))))))), 0)</f>
        <v>0</v>
      </c>
      <c r="Y98" s="302" t="n">
        <f aca="false" t="array" ref="Y98:Y98">IFERROR( (AVERAGE((IF(DATOS_[[Sexo]:[Sexo]]=$B98,IF(DATOS_[[AGRUP. CLAS. PROF.]:[AGRUP. CLAS. PROF.]]=$B96,IF(DATOS_[[Check Periodo Ref.]:[Check Periodo Ref.]]="Dentro",IF(DATOS_[[Check Equiparado]:[Check Equiparado]]="Sí",IF(DATOS!AT$4="Sí",(1/DATOS_[[% anualiz]:[% anualiz]]),1)*IF(DATOS!AT$5="Sí",1/DATOS_[[% normaliz]:[% normaliz]],1)*(DATOS_[Conc.Sal.16])))))))), 0)</f>
        <v>0</v>
      </c>
      <c r="Z98" s="302" t="n">
        <f aca="false" t="array" ref="Z98:Z98">IFERROR( (AVERAGE((IF(DATOS_[[Sexo]:[Sexo]]=$B98,IF(DATOS_[[AGRUP. CLAS. PROF.]:[AGRUP. CLAS. PROF.]]=$B96,IF(DATOS_[[Check Periodo Ref.]:[Check Periodo Ref.]]="Dentro",IF(DATOS_[[Check Equiparado]:[Check Equiparado]]="Sí",IF(DATOS!AU$4="Sí",(1/DATOS_[[% anualiz]:[% anualiz]]),1)*IF(DATOS!AU$5="Sí",1/DATOS_[[% normaliz]:[% normaliz]],1)*(DATOS_[Conc.Sal.17])))))))), 0)</f>
        <v>0</v>
      </c>
      <c r="AA98" s="302" t="n">
        <f aca="false" t="array" ref="AA98:AA98">IFERROR( (AVERAGE((IF(DATOS_[[Sexo]:[Sexo]]=$B98,IF(DATOS_[[AGRUP. CLAS. PROF.]:[AGRUP. CLAS. PROF.]]=$B96,IF(DATOS_[[Check Periodo Ref.]:[Check Periodo Ref.]]="Dentro",IF(DATOS_[[Check Equiparado]:[Check Equiparado]]="Sí",IF(DATOS!AV$4="Sí",(1/DATOS_[[% anualiz]:[% anualiz]]),1)*IF(DATOS!AV$5="Sí",1/DATOS_[[% normaliz]:[% normaliz]],1)*(DATOS_[Conc.Sal.18])))))))), 0)</f>
        <v>0</v>
      </c>
      <c r="AB98" s="302" t="n">
        <f aca="false" t="array" ref="AB98:AB98">IFERROR( (AVERAGE((IF(DATOS_[[Sexo]:[Sexo]]=$B98,IF(DATOS_[[AGRUP. CLAS. PROF.]:[AGRUP. CLAS. PROF.]]=$B96,IF(DATOS_[[Check Periodo Ref.]:[Check Periodo Ref.]]="Dentro",IF(DATOS_[[Check Equiparado]:[Check Equiparado]]="Sí",IF(DATOS!AW$4="Sí",(1/DATOS_[[% anualiz]:[% anualiz]]),1)*IF(DATOS!AW$5="Sí",1/DATOS_[[% normaliz]:[% normaliz]],1)*(DATOS_[Conc.Sal.19])))))))), 0)</f>
        <v>0</v>
      </c>
      <c r="AC98" s="302" t="n">
        <f aca="false" t="array" ref="AC98:AC98">IFERROR( (AVERAGE((IF(DATOS_[[Sexo]:[Sexo]]=$B98,IF(DATOS_[[AGRUP. CLAS. PROF.]:[AGRUP. CLAS. PROF.]]=$B96,IF(DATOS_[[Check Periodo Ref.]:[Check Periodo Ref.]]="Dentro",IF(DATOS_[[Check Equiparado]:[Check Equiparado]]="Sí",IF(DATOS!AX$4="Sí",(1/DATOS_[[% anualiz]:[% anualiz]]),1)*IF(DATOS!AX$5="Sí",1/DATOS_[[% normaliz]:[% normaliz]],1)*(DATOS_[Conc.Sal.20])))))))), 0)</f>
        <v>0</v>
      </c>
      <c r="AD98" s="302" t="n">
        <f aca="false" t="array" ref="AD98:AD98">IFERROR( (AVERAGE((IF(DATOS_[[Sexo]:[Sexo]]=$B98,IF(DATOS_[[AGRUP. CLAS. PROF.]:[AGRUP. CLAS. PROF.]]=$B96,IF(DATOS_[[Check Periodo Ref.]:[Check Periodo Ref.]]="Dentro",IF(DATOS_[[Check Equiparado]:[Check Equiparado]]="Sí",IF(DATOS!AY$4="Sí",(1/DATOS_[[% anualiz]:[% anualiz]]),1)*IF(DATOS!AY$5="Sí",1/DATOS_[[% normaliz]:[% normaliz]],1)*(DATOS_[Conc.Sal.21])))))))), 0)</f>
        <v>0</v>
      </c>
      <c r="AE98" s="302" t="n">
        <f aca="false" t="array" ref="AE98:AE98">IFERROR( (AVERAGE((IF(DATOS_[[Sexo]:[Sexo]]=$B98,IF(DATOS_[[AGRUP. CLAS. PROF.]:[AGRUP. CLAS. PROF.]]=$B96,IF(DATOS_[[Check Periodo Ref.]:[Check Periodo Ref.]]="Dentro",IF(DATOS_[[Check Equiparado]:[Check Equiparado]]="Sí",IF(DATOS!AZ$4="Sí",(1/DATOS_[[% anualiz]:[% anualiz]]),1)*IF(DATOS!AZ$5="Sí",1/DATOS_[[% normaliz]:[% normaliz]],1)*(DATOS_[Conc.Sal.22])))))))), 0)</f>
        <v>0</v>
      </c>
      <c r="AF98" s="302" t="n">
        <f aca="false" t="array" ref="AF98:AF98">IFERROR( (AVERAGE((IF(DATOS_[[Sexo]:[Sexo]]=$B98,IF(DATOS_[[AGRUP. CLAS. PROF.]:[AGRUP. CLAS. PROF.]]=$B96,IF(DATOS_[[Check Periodo Ref.]:[Check Periodo Ref.]]="Dentro",IF(DATOS_[[Check Equiparado]:[Check Equiparado]]="Sí",IF(DATOS!BA$4="Sí",(1/DATOS_[[% anualiz]:[% anualiz]]),1)*IF(DATOS!BA$5="Sí",1/DATOS_[[% normaliz]:[% normaliz]],1)*(DATOS_[Conc.Sal.23])))))))), 0)</f>
        <v>0</v>
      </c>
      <c r="AG98" s="302" t="n">
        <f aca="false" t="array" ref="AG98:AG98">IFERROR( (AVERAGE((IF(DATOS_[[Sexo]:[Sexo]]=$B98,IF(DATOS_[[AGRUP. CLAS. PROF.]:[AGRUP. CLAS. PROF.]]=$B96,IF(DATOS_[[Check Periodo Ref.]:[Check Periodo Ref.]]="Dentro",IF(DATOS_[[Check Equiparado]:[Check Equiparado]]="Sí",IF(DATOS!BB$4="Sí",(1/DATOS_[[% anualiz]:[% anualiz]]),1)*IF(DATOS!BB$5="Sí",1/DATOS_[[% normaliz]:[% normaliz]],1)*(DATOS_[Conc.Sal.24])))))))), 0)</f>
        <v>0</v>
      </c>
      <c r="AH98" s="302" t="n">
        <f aca="false" t="array" ref="AH98:AH98">IFERROR( (AVERAGE((IF(DATOS_[[Sexo]:[Sexo]]=$B98,IF(DATOS_[[AGRUP. CLAS. PROF.]:[AGRUP. CLAS. PROF.]]=$B96,IF(DATOS_[[Check Periodo Ref.]:[Check Periodo Ref.]]="Dentro",IF(DATOS_[[Check Equiparado]:[Check Equiparado]]="Sí",IF(DATOS!BC$4="Sí",(1/DATOS_[[% anualiz]:[% anualiz]]),1)*IF(DATOS!BC$5="Sí",1/DATOS_[[% normaliz]:[% normaliz]],1)*(DATOS_[Conc.Sal.25])))))))), 0)</f>
        <v>0</v>
      </c>
      <c r="AI98" s="302" t="n">
        <f aca="false" t="array" ref="AI98:AI98">IFERROR( (AVERAGE((IF(DATOS_[[Sexo]:[Sexo]]=$B98,IF(DATOS_[[AGRUP. CLAS. PROF.]:[AGRUP. CLAS. PROF.]]=$B96,IF(DATOS_[[Check Periodo Ref.]:[Check Periodo Ref.]]="Dentro",IF(DATOS_[[Check Equiparado]:[Check Equiparado]]="Sí",IF(DATOS!BD$4="Sí",(1/DATOS_[[% anualiz]:[% anualiz]]),1)*IF(DATOS!BD$5="Sí",1/DATOS_[[% normaliz]:[% normaliz]],1)*(DATOS_[Conc.Sal.26])))))))), 0)</f>
        <v>0</v>
      </c>
      <c r="AJ98" s="302" t="n">
        <f aca="false" t="array" ref="AJ98:AJ98">IFERROR( (AVERAGE((IF(DATOS_[[Sexo]:[Sexo]]=$B98,IF(DATOS_[[AGRUP. CLAS. PROF.]:[AGRUP. CLAS. PROF.]]=$B96,IF(DATOS_[[Check Periodo Ref.]:[Check Periodo Ref.]]="Dentro",IF(DATOS_[[Check Equiparado]:[Check Equiparado]]="Sí",IF(DATOS!BE$4="Sí",(1/DATOS_[[% anualiz]:[% anualiz]]),1)*IF(DATOS!BE$5="Sí",1/DATOS_[[% normaliz]:[% normaliz]],1)*(DATOS_[Conc.Sal.27])))))))), 0)</f>
        <v>0</v>
      </c>
      <c r="AK98" s="302" t="n">
        <f aca="false" t="array" ref="AK98:AK98">IFERROR( (AVERAGE((IF(DATOS_[[Sexo]:[Sexo]]=$B98,IF(DATOS_[[AGRUP. CLAS. PROF.]:[AGRUP. CLAS. PROF.]]=$B96,IF(DATOS_[[Check Periodo Ref.]:[Check Periodo Ref.]]="Dentro",IF(DATOS_[[Check Equiparado]:[Check Equiparado]]="Sí",IF(DATOS!BF$4="Sí",(1/DATOS_[[% anualiz]:[% anualiz]]),1)*IF(DATOS!BF$5="Sí",1/DATOS_[[% normaliz]:[% normaliz]],1)*(DATOS_[Conc.Sal.28])))))))), 0)</f>
        <v>0</v>
      </c>
      <c r="AL98" s="302" t="n">
        <f aca="false" t="array" ref="AL98:AL98">IFERROR( (AVERAGE((IF(DATOS_[[Sexo]:[Sexo]]=$B98,IF(DATOS_[[AGRUP. CLAS. PROF.]:[AGRUP. CLAS. PROF.]]=$B96,IF(DATOS_[[Check Periodo Ref.]:[Check Periodo Ref.]]="Dentro",IF(DATOS_[[Check Equiparado]:[Check Equiparado]]="Sí",IF(DATOS!BG$4="Sí",(1/DATOS_[[% anualiz]:[% anualiz]]),1)*IF(DATOS!BG$5="Sí",1/DATOS_[[% normaliz]:[% normaliz]],1)*(DATOS_[Conc.Sal.29])))))))), 0)</f>
        <v>0</v>
      </c>
      <c r="AM98" s="302" t="n">
        <f aca="false" t="array" ref="AM98:AM98">IFERROR( (AVERAGE((IF(DATOS_[[Sexo]:[Sexo]]=$B98,IF(DATOS_[[AGRUP. CLAS. PROF.]:[AGRUP. CLAS. PROF.]]=$B96,IF(DATOS_[[Check Periodo Ref.]:[Check Periodo Ref.]]="Dentro",IF(DATOS_[[Check Equiparado]:[Check Equiparado]]="Sí",IF(DATOS!BH$4="Sí",(1/DATOS_[[% anualiz]:[% anualiz]]),1)*IF(DATOS!BH$5="Sí",1/DATOS_[[% normaliz]:[% normaliz]],1)*(DATOS_[Conc.Sal.30])))))))), 0)</f>
        <v>0</v>
      </c>
      <c r="AN98" s="294" t="n">
        <f aca="false" t="array" ref="AN98:AN98">IFERROR( AVERAGE(IF(DATOS_[Sexo]=$B98,IF(DATOS_[[AGRUP. CLAS. PROF.]:[AGRUP. CLAS. PROF.]]=$B96,IF(DATOS_[Check Equiparado]="Sí",IF(DATOS_[Check Periodo Ref.]="Dentro",DATOS_[Tot COMPL.SAL Eq],0))))), 0)</f>
        <v>0</v>
      </c>
      <c r="AO98" s="295" t="n">
        <f aca="false" t="array" ref="AO98:AO98">IFERROR( AVERAGE(IF(DATOS_[Sexo]=$B98,IF(DATOS_[[AGRUP. CLAS. PROF.]:[AGRUP. CLAS. PROF.]]=$B96,IF(DATOS_[Check Equiparado]="Sí",IF(DATOS_[Check Periodo Ref.]="Dentro",DATOS_[TOTAL SALARIO Eq],0))))), 0)</f>
        <v>0</v>
      </c>
      <c r="AP98" s="303" t="n">
        <f aca="false" t="array" ref="AP98:AP98">IFERROR( (AVERAGE((IF(DATOS_[[Sexo]:[Sexo]]=$B98,IF(DATOS_[[AGRUP. CLAS. PROF.]:[AGRUP. CLAS. PROF.]]=$B97,IF(DATOS_[[Check Periodo Ref.]:[Check Periodo Ref.]]="Dentro",IF(DATOS_[[Check Equiparado]:[Check Equiparado]]="Sí",IF(DATOS!BI$4="Sí",(1/DATOS_[[% anualiz]:[% anualiz]]),1)*IF(DATOS!BI$5="Sí",1/DATOS_[[% normaliz]:[% normaliz]],1)*(DATOS_[C.Extra.01])))))))), 0)</f>
        <v>0</v>
      </c>
      <c r="AQ98" s="303" t="n">
        <f aca="false" t="array" ref="AQ98:AQ98">IFERROR( (AVERAGE((IF(DATOS_[[Sexo]:[Sexo]]=$B98,IF(DATOS_[[AGRUP. CLAS. PROF.]:[AGRUP. CLAS. PROF.]]=$B97,IF(DATOS_[[Check Periodo Ref.]:[Check Periodo Ref.]]="Dentro",IF(DATOS_[[Check Equiparado]:[Check Equiparado]]="Sí",IF(DATOS!BJ$4="Sí",(1/DATOS_[[% anualiz]:[% anualiz]]),1)*IF(DATOS!BJ$5="Sí",1/DATOS_[[% normaliz]:[% normaliz]],1)*(DATOS_[C.Extra.02])))))))), 0)</f>
        <v>0</v>
      </c>
      <c r="AR98" s="303" t="n">
        <f aca="false" t="array" ref="AR98:AR98">IFERROR( (AVERAGE((IF(DATOS_[[Sexo]:[Sexo]]=$B98,IF(DATOS_[[AGRUP. CLAS. PROF.]:[AGRUP. CLAS. PROF.]]=$B97,IF(DATOS_[[Check Periodo Ref.]:[Check Periodo Ref.]]="Dentro",IF(DATOS_[[Check Equiparado]:[Check Equiparado]]="Sí",IF(DATOS!BK$4="Sí",(1/DATOS_[[% anualiz]:[% anualiz]]),1)*IF(DATOS!BK$5="Sí",1/DATOS_[[% normaliz]:[% normaliz]],1)*(DATOS_[C.Extra.03])))))))), 0)</f>
        <v>0</v>
      </c>
      <c r="AS98" s="303" t="n">
        <f aca="false" t="array" ref="AS98:AS98">IFERROR( (AVERAGE((IF(DATOS_[[Sexo]:[Sexo]]=$B98,IF(DATOS_[[AGRUP. CLAS. PROF.]:[AGRUP. CLAS. PROF.]]=$B97,IF(DATOS_[[Check Periodo Ref.]:[Check Periodo Ref.]]="Dentro",IF(DATOS_[[Check Equiparado]:[Check Equiparado]]="Sí",IF(DATOS!BL$4="Sí",(1/DATOS_[[% anualiz]:[% anualiz]]),1)*IF(DATOS!BL$5="Sí",1/DATOS_[[% normaliz]:[% normaliz]],1)*(DATOS_[C.Extra.04])))))))), 0)</f>
        <v>0</v>
      </c>
      <c r="AT98" s="303" t="n">
        <f aca="false" t="array" ref="AT98:AT98">IFERROR( (AVERAGE((IF(DATOS_[[Sexo]:[Sexo]]=$B98,IF(DATOS_[[AGRUP. CLAS. PROF.]:[AGRUP. CLAS. PROF.]]=$B97,IF(DATOS_[[Check Periodo Ref.]:[Check Periodo Ref.]]="Dentro",IF(DATOS_[[Check Equiparado]:[Check Equiparado]]="Sí",IF(DATOS!BM$4="Sí",(1/DATOS_[[% anualiz]:[% anualiz]]),1)*IF(DATOS!BM$5="Sí",1/DATOS_[[% normaliz]:[% normaliz]],1)*(DATOS_[C.Extra.05])))))))), 0)</f>
        <v>0</v>
      </c>
      <c r="AU98" s="297" t="n">
        <f aca="false" t="array" ref="AU98:AU98">IFERROR( AVERAGE(IF(DATOS_[Sexo]=$B98,IF(DATOS_[[AGRUP. CLAS. PROF.]:[AGRUP. CLAS. PROF.]]=$B96,IF(DATOS_[Check Equiparado]="Sí",IF(DATOS_[Check Periodo Ref.]="Dentro",DATOS_[Tot Extrasalarial Eq],0))))), 0)</f>
        <v>0</v>
      </c>
      <c r="AV98" s="298" t="n">
        <f aca="false" t="array" ref="AV98:AV98">IFERROR( AVERAGE(IF(DATOS_[Sexo]=$B98,IF(DATOS_[[AGRUP. CLAS. PROF.]:[AGRUP. CLAS. PROF.]]=$B96,IF(DATOS_[Check Equiparado]="Sí",IF(DATOS_[Check Periodo Ref.]="Dentro",DATOS_[TOTAL Retrib Eq],0))))), 0)</f>
        <v>0</v>
      </c>
    </row>
    <row r="99" customFormat="false" ht="15.75" hidden="false" customHeight="false" outlineLevel="0" collapsed="false">
      <c r="A99" s="166" t="str">
        <f aca="false">+A100</f>
        <v>[ocultar]</v>
      </c>
      <c r="B99" s="276" t="s">
        <v>252</v>
      </c>
      <c r="C99" s="277"/>
      <c r="D99" s="278"/>
      <c r="E99" s="278"/>
      <c r="F99" s="278"/>
      <c r="G99" s="278"/>
      <c r="H99" s="278"/>
      <c r="I99" s="279" t="str">
        <f aca="false">IFERROR((I100-I101)/I100,"")</f>
        <v/>
      </c>
      <c r="J99" s="280" t="str">
        <f aca="false">IFERROR((J100-J101)/J100,"")</f>
        <v/>
      </c>
      <c r="K99" s="281" t="str">
        <f aca="false">IFERROR((K100-K101)/K100,"")</f>
        <v/>
      </c>
      <c r="L99" s="281" t="str">
        <f aca="false">IFERROR((L100-L101)/L100,"")</f>
        <v/>
      </c>
      <c r="M99" s="281" t="str">
        <f aca="false">IFERROR((M100-M101)/M100,"")</f>
        <v/>
      </c>
      <c r="N99" s="282" t="str">
        <f aca="false">IFERROR((N100-N101)/N100,"")</f>
        <v/>
      </c>
      <c r="O99" s="283" t="str">
        <f aca="false">IFERROR((O100-O101)/O100,"")</f>
        <v/>
      </c>
      <c r="P99" s="283" t="str">
        <f aca="false">IFERROR((P100-P101)/P100,"")</f>
        <v/>
      </c>
      <c r="Q99" s="283" t="str">
        <f aca="false">IFERROR((Q100-Q101)/Q100,"")</f>
        <v/>
      </c>
      <c r="R99" s="283" t="str">
        <f aca="false">IFERROR((R100-R101)/R100,"")</f>
        <v/>
      </c>
      <c r="S99" s="283" t="str">
        <f aca="false">IFERROR((S100-S101)/S100,"")</f>
        <v/>
      </c>
      <c r="T99" s="283" t="str">
        <f aca="false">IFERROR((T100-T101)/T100,"")</f>
        <v/>
      </c>
      <c r="U99" s="283" t="str">
        <f aca="false">IFERROR((U100-U101)/U100,"")</f>
        <v/>
      </c>
      <c r="V99" s="283" t="str">
        <f aca="false">IFERROR((V100-V101)/V100,"")</f>
        <v/>
      </c>
      <c r="W99" s="283" t="str">
        <f aca="false">IFERROR((W100-W101)/W100,"")</f>
        <v/>
      </c>
      <c r="X99" s="283" t="str">
        <f aca="false">IFERROR((X100-X101)/X100,"")</f>
        <v/>
      </c>
      <c r="Y99" s="283" t="str">
        <f aca="false">IFERROR((Y100-Y101)/Y100,"")</f>
        <v/>
      </c>
      <c r="Z99" s="282" t="str">
        <f aca="false">IFERROR((Z100-Z101)/Z100,"")</f>
        <v/>
      </c>
      <c r="AA99" s="282" t="str">
        <f aca="false">IFERROR((AA100-AA101)/AA100,"")</f>
        <v/>
      </c>
      <c r="AB99" s="282" t="str">
        <f aca="false">IFERROR((AB100-AB101)/AB100,"")</f>
        <v/>
      </c>
      <c r="AC99" s="282" t="str">
        <f aca="false">IFERROR((AC100-AC101)/AC100,"")</f>
        <v/>
      </c>
      <c r="AD99" s="282" t="str">
        <f aca="false">IFERROR((AD100-AD101)/AD100,"")</f>
        <v/>
      </c>
      <c r="AE99" s="282" t="str">
        <f aca="false">IFERROR((AE100-AE101)/AE100,"")</f>
        <v/>
      </c>
      <c r="AF99" s="282" t="str">
        <f aca="false">IFERROR((AF100-AF101)/AF100,"")</f>
        <v/>
      </c>
      <c r="AG99" s="282" t="str">
        <f aca="false">IFERROR((AG100-AG101)/AG100,"")</f>
        <v/>
      </c>
      <c r="AH99" s="282" t="str">
        <f aca="false">IFERROR((AH100-AH101)/AH100,"")</f>
        <v/>
      </c>
      <c r="AI99" s="282" t="str">
        <f aca="false">IFERROR((AI100-AI101)/AI100,"")</f>
        <v/>
      </c>
      <c r="AJ99" s="282" t="str">
        <f aca="false">IFERROR((AJ100-AJ101)/AJ100,"")</f>
        <v/>
      </c>
      <c r="AK99" s="282" t="str">
        <f aca="false">IFERROR((AK100-AK101)/AK100,"")</f>
        <v/>
      </c>
      <c r="AL99" s="282" t="str">
        <f aca="false">IFERROR((AL100-AL101)/AL100,"")</f>
        <v/>
      </c>
      <c r="AM99" s="282" t="str">
        <f aca="false">IFERROR((AM100-AM101)/AM100,"")</f>
        <v/>
      </c>
      <c r="AN99" s="284" t="str">
        <f aca="false">IFERROR((AN100-AN101)/AN100,"")</f>
        <v/>
      </c>
      <c r="AO99" s="285" t="str">
        <f aca="false">IFERROR((AO100-AO101)/AO100,"")</f>
        <v/>
      </c>
      <c r="AP99" s="286" t="str">
        <f aca="false">IFERROR((AP100-AP101)/AP100,"")</f>
        <v/>
      </c>
      <c r="AQ99" s="286" t="str">
        <f aca="false">IFERROR((AQ100-AQ101)/AQ100,"")</f>
        <v/>
      </c>
      <c r="AR99" s="286" t="str">
        <f aca="false">IFERROR((AR100-AR101)/AR100,"")</f>
        <v/>
      </c>
      <c r="AS99" s="286" t="str">
        <f aca="false">IFERROR((AS100-AS101)/AS100,"")</f>
        <v/>
      </c>
      <c r="AT99" s="286" t="str">
        <f aca="false">IFERROR((AT100-AT101)/AT100,"")</f>
        <v/>
      </c>
      <c r="AU99" s="287" t="str">
        <f aca="false">IFERROR((AU100-AU101)/AU100,"")</f>
        <v/>
      </c>
      <c r="AV99" s="288" t="str">
        <f aca="false">IFERROR((AV100-AV101)/AV100,"")</f>
        <v/>
      </c>
    </row>
    <row r="100" customFormat="false" ht="14.25" hidden="false" customHeight="false" outlineLevel="0" collapsed="false">
      <c r="A100" s="166" t="str">
        <f aca="false">+IF(C100+C101=0,"[ocultar]","")</f>
        <v>[ocultar]</v>
      </c>
      <c r="B100" s="289" t="s">
        <v>371</v>
      </c>
      <c r="C100" s="290" t="n">
        <f aca="false" t="array" ref="C100:C100">SUM(IF($B100=DATOS_[Sexo], IF($B99=DATOS_[AGRUP. CLAS. PROF.], IF("Dentro"=DATOS_[Check Periodo Ref.], 1/(COUNTIFS(DATOS_[Sexo],$B100,DATOS_[AGRUP. CLAS. PROF.],$B99,DATOS_[Check Periodo Ref.],"Dentro",DATOS_[id],DATOS_[id]))))))</f>
        <v>0</v>
      </c>
      <c r="D100" s="291" t="n">
        <f aca="false">COUNTIFS(DATOS_[AGRUP. CLAS. PROF.],$B99,DATOS_[Sexo],$B100,DATOS_[Check Periodo Ref.],"Dentro")</f>
        <v>0</v>
      </c>
      <c r="E100" s="291" t="n">
        <f aca="false">COUNTIFS(DATOS_[AGRUP. CLAS. PROF.],$B99,DATOS_[Sexo],$B100,DATOS_[Check Periodo Ref.],"Dentro",DATOS_[Check Nº SC Norm],"Sí")</f>
        <v>0</v>
      </c>
      <c r="F100" s="291" t="n">
        <f aca="false">COUNTIFS(DATOS_[AGRUP. CLAS. PROF.],$B99,DATOS_[Sexo],$B100,DATOS_[Check Periodo Ref.],"Dentro",DATOS_[Check Nº SC Anualiz],"Sí")</f>
        <v>0</v>
      </c>
      <c r="G100" s="291" t="n">
        <f aca="false">COUNTIFS(DATOS_[AGRUP. CLAS. PROF.],$B99,DATOS_[Sexo],$B100,DATOS_[Check Periodo Ref.],"Dentro",DATOS_[Check Nº SC Norm y Anualiz],"Sí")</f>
        <v>0</v>
      </c>
      <c r="H100" s="291" t="n">
        <f aca="false">COUNTIFS(DATOS_[AGRUP. CLAS. PROF.],$B99,DATOS_[Sexo],$B100,DATOS_[Check Periodo Ref.],"Dentro",DATOS_[Check Equiparación],"Sí")</f>
        <v>0</v>
      </c>
      <c r="I100" s="292" t="n">
        <f aca="false" t="array" ref="I100:I100">IFERROR( AVERAGE(IF(DATOS_[Sexo]=$B100,IF(DATOS_[[AGRUP. CLAS. PROF.]:[AGRUP. CLAS. PROF.]]=$B99,IF(DATOS_[Check Equiparado]="Sí",IF(DATOS_[Check Periodo Ref.]="Dentro",DATOS_[SALARIO BASE Eq],0))))), 0)</f>
        <v>0</v>
      </c>
      <c r="J100" s="302" t="n">
        <f aca="false" t="array" ref="J100:J100">IFERROR( (AVERAGE((IF(DATOS_[[Sexo]:[Sexo]]=$B100,IF(DATOS_[[AGRUP. CLAS. PROF.]:[AGRUP. CLAS. PROF.]]=$B99,IF(DATOS_[[Check Periodo Ref.]:[Check Periodo Ref.]]="Dentro",IF(DATOS_[[Check Equiparado]:[Check Equiparado]]="Sí",IF(DATOS!AE$4="Sí",(1/DATOS_[[% anualiz]:[% anualiz]]),1)*IF(DATOS!AE$5="Sí",1/DATOS_[[% normaliz]:[% normaliz]],1)*(DATOS_[Conc.Sal.01])))))))), 0)</f>
        <v>0</v>
      </c>
      <c r="K100" s="302" t="n">
        <f aca="false" t="array" ref="K100:K100">IFERROR( (AVERAGE((IF(DATOS_[[Sexo]:[Sexo]]=$B100,IF(DATOS_[[AGRUP. CLAS. PROF.]:[AGRUP. CLAS. PROF.]]=$B99,IF(DATOS_[[Check Periodo Ref.]:[Check Periodo Ref.]]="Dentro",IF(DATOS_[[Check Equiparado]:[Check Equiparado]]="Sí",IF(DATOS!AF$4="Sí",(1/DATOS_[[% anualiz]:[% anualiz]]),1)*IF(DATOS!AF$5="Sí",1/DATOS_[[% normaliz]:[% normaliz]],1)*(DATOS_[Conc.Sal.02])))))))), 0)</f>
        <v>0</v>
      </c>
      <c r="L100" s="302" t="n">
        <f aca="false" t="array" ref="L100:L100">IFERROR( (AVERAGE((IF(DATOS_[[Sexo]:[Sexo]]=$B100,IF(DATOS_[[AGRUP. CLAS. PROF.]:[AGRUP. CLAS. PROF.]]=$B99,IF(DATOS_[[Check Periodo Ref.]:[Check Periodo Ref.]]="Dentro",IF(DATOS_[[Check Equiparado]:[Check Equiparado]]="Sí",IF(DATOS!AG$4="Sí",(1/DATOS_[[% anualiz]:[% anualiz]]),1)*IF(DATOS!AG$5="Sí",1/DATOS_[[% normaliz]:[% normaliz]],1)*(DATOS_[Conc.Sal.03])))))))), 0)</f>
        <v>0</v>
      </c>
      <c r="M100" s="302" t="n">
        <f aca="false" t="array" ref="M100:M100">IFERROR( (AVERAGE((IF(DATOS_[[Sexo]:[Sexo]]=$B100,IF(DATOS_[[AGRUP. CLAS. PROF.]:[AGRUP. CLAS. PROF.]]=$B99,IF(DATOS_[[Check Periodo Ref.]:[Check Periodo Ref.]]="Dentro",IF(DATOS_[[Check Equiparado]:[Check Equiparado]]="Sí",IF(DATOS!AH$4="Sí",(1/DATOS_[[% anualiz]:[% anualiz]]),1)*IF(DATOS!AH$5="Sí",1/DATOS_[[% normaliz]:[% normaliz]],1)*(DATOS_[Conc.Sal.04])))))))), 0)</f>
        <v>0</v>
      </c>
      <c r="N100" s="302" t="n">
        <f aca="false" t="array" ref="N100:N100">IFERROR( (AVERAGE((IF(DATOS_[[Sexo]:[Sexo]]=$B100,IF(DATOS_[[AGRUP. CLAS. PROF.]:[AGRUP. CLAS. PROF.]]=$B99,IF(DATOS_[[Check Periodo Ref.]:[Check Periodo Ref.]]="Dentro",IF(DATOS_[[Check Equiparado]:[Check Equiparado]]="Sí",IF(DATOS!AI$4="Sí",(1/DATOS_[[% anualiz]:[% anualiz]]),1)*IF(DATOS!AI$5="Sí",1/DATOS_[[% normaliz]:[% normaliz]],1)*(DATOS_[Conc.Sal.05])))))))), 0)</f>
        <v>0</v>
      </c>
      <c r="O100" s="302" t="n">
        <f aca="false" t="array" ref="O100:O100">IFERROR( (AVERAGE((IF(DATOS_[[Sexo]:[Sexo]]=$B100,IF(DATOS_[[AGRUP. CLAS. PROF.]:[AGRUP. CLAS. PROF.]]=$B99,IF(DATOS_[[Check Periodo Ref.]:[Check Periodo Ref.]]="Dentro",IF(DATOS_[[Check Equiparado]:[Check Equiparado]]="Sí",IF(DATOS!AJ$4="Sí",(1/DATOS_[[% anualiz]:[% anualiz]]),1)*IF(DATOS!AJ$5="Sí",1/DATOS_[[% normaliz]:[% normaliz]],1)*(DATOS_[Conc.Sal.06])))))))), 0)</f>
        <v>0</v>
      </c>
      <c r="P100" s="302" t="n">
        <f aca="false" t="array" ref="P100:P100">IFERROR( (AVERAGE((IF(DATOS_[[Sexo]:[Sexo]]=$B100,IF(DATOS_[[AGRUP. CLAS. PROF.]:[AGRUP. CLAS. PROF.]]=$B99,IF(DATOS_[[Check Periodo Ref.]:[Check Periodo Ref.]]="Dentro",IF(DATOS_[[Check Equiparado]:[Check Equiparado]]="Sí",IF(DATOS!AK$4="Sí",(1/DATOS_[[% anualiz]:[% anualiz]]),1)*IF(DATOS!AK$5="Sí",1/DATOS_[[% normaliz]:[% normaliz]],1)*(DATOS_[Conc.Sal.07])))))))), 0)</f>
        <v>0</v>
      </c>
      <c r="Q100" s="302" t="n">
        <f aca="false" t="array" ref="Q100:Q100">IFERROR( (AVERAGE((IF(DATOS_[[Sexo]:[Sexo]]=$B100,IF(DATOS_[[AGRUP. CLAS. PROF.]:[AGRUP. CLAS. PROF.]]=$B99,IF(DATOS_[[Check Periodo Ref.]:[Check Periodo Ref.]]="Dentro",IF(DATOS_[[Check Equiparado]:[Check Equiparado]]="Sí",IF(DATOS!AL$4="Sí",(1/DATOS_[[% anualiz]:[% anualiz]]),1)*IF(DATOS!AL$5="Sí",1/DATOS_[[% normaliz]:[% normaliz]],1)*(DATOS_[Conc.Sal.08])))))))), 0)</f>
        <v>0</v>
      </c>
      <c r="R100" s="302" t="n">
        <f aca="false" t="array" ref="R100:R100">IFERROR( (AVERAGE((IF(DATOS_[[Sexo]:[Sexo]]=$B100,IF(DATOS_[[AGRUP. CLAS. PROF.]:[AGRUP. CLAS. PROF.]]=$B99,IF(DATOS_[[Check Periodo Ref.]:[Check Periodo Ref.]]="Dentro",IF(DATOS_[[Check Equiparado]:[Check Equiparado]]="Sí",IF(DATOS!AM$4="Sí",(1/DATOS_[[% anualiz]:[% anualiz]]),1)*IF(DATOS!AM$5="Sí",1/DATOS_[[% normaliz]:[% normaliz]],1)*(DATOS_[Conc.Sal.09])))))))), 0)</f>
        <v>0</v>
      </c>
      <c r="S100" s="302" t="n">
        <f aca="false" t="array" ref="S100:S100">IFERROR( (AVERAGE((IF(DATOS_[[Sexo]:[Sexo]]=$B100,IF(DATOS_[[AGRUP. CLAS. PROF.]:[AGRUP. CLAS. PROF.]]=$B99,IF(DATOS_[[Check Periodo Ref.]:[Check Periodo Ref.]]="Dentro",IF(DATOS_[[Check Equiparado]:[Check Equiparado]]="Sí",IF(DATOS!AN$4="Sí",(1/DATOS_[[% anualiz]:[% anualiz]]),1)*IF(DATOS!AN$5="Sí",1/DATOS_[[% normaliz]:[% normaliz]],1)*(DATOS_[Conc.Sal.10])))))))), 0)</f>
        <v>0</v>
      </c>
      <c r="T100" s="302" t="n">
        <f aca="false" t="array" ref="T100:T100">IFERROR( (AVERAGE((IF(DATOS_[[Sexo]:[Sexo]]=$B100,IF(DATOS_[[AGRUP. CLAS. PROF.]:[AGRUP. CLAS. PROF.]]=$B99,IF(DATOS_[[Check Periodo Ref.]:[Check Periodo Ref.]]="Dentro",IF(DATOS_[[Check Equiparado]:[Check Equiparado]]="Sí",IF(DATOS!AO$4="Sí",(1/DATOS_[[% anualiz]:[% anualiz]]),1)*IF(DATOS!AO$5="Sí",1/DATOS_[[% normaliz]:[% normaliz]],1)*(DATOS_[Conc.Sal.11])))))))), 0)</f>
        <v>0</v>
      </c>
      <c r="U100" s="302" t="n">
        <f aca="false" t="array" ref="U100:U100">IFERROR( (AVERAGE((IF(DATOS_[[Sexo]:[Sexo]]=$B100,IF(DATOS_[[AGRUP. CLAS. PROF.]:[AGRUP. CLAS. PROF.]]=$B99,IF(DATOS_[[Check Periodo Ref.]:[Check Periodo Ref.]]="Dentro",IF(DATOS_[[Check Equiparado]:[Check Equiparado]]="Sí",IF(DATOS!AP$4="Sí",(1/DATOS_[[% anualiz]:[% anualiz]]),1)*IF(DATOS!AP$5="Sí",1/DATOS_[[% normaliz]:[% normaliz]],1)*(DATOS_[Conc.Sal.12])))))))), 0)</f>
        <v>0</v>
      </c>
      <c r="V100" s="302" t="n">
        <f aca="false" t="array" ref="V100:V100">IFERROR( (AVERAGE((IF(DATOS_[[Sexo]:[Sexo]]=$B100,IF(DATOS_[[AGRUP. CLAS. PROF.]:[AGRUP. CLAS. PROF.]]=$B99,IF(DATOS_[[Check Periodo Ref.]:[Check Periodo Ref.]]="Dentro",IF(DATOS_[[Check Equiparado]:[Check Equiparado]]="Sí",IF(DATOS!AQ$4="Sí",(1/DATOS_[[% anualiz]:[% anualiz]]),1)*IF(DATOS!AQ$5="Sí",1/DATOS_[[% normaliz]:[% normaliz]],1)*(DATOS_[Conc.Sal.13])))))))), 0)</f>
        <v>0</v>
      </c>
      <c r="W100" s="302" t="n">
        <f aca="false" t="array" ref="W100:W100">IFERROR( (AVERAGE((IF(DATOS_[[Sexo]:[Sexo]]=$B100,IF(DATOS_[[AGRUP. CLAS. PROF.]:[AGRUP. CLAS. PROF.]]=$B99,IF(DATOS_[[Check Periodo Ref.]:[Check Periodo Ref.]]="Dentro",IF(DATOS_[[Check Equiparado]:[Check Equiparado]]="Sí",IF(DATOS!AR$4="Sí",(1/DATOS_[[% anualiz]:[% anualiz]]),1)*IF(DATOS!AR$5="Sí",1/DATOS_[[% normaliz]:[% normaliz]],1)*(DATOS_[Conc.Sal.14])))))))), 0)</f>
        <v>0</v>
      </c>
      <c r="X100" s="302" t="n">
        <f aca="false" t="array" ref="X100:X100">IFERROR( (AVERAGE((IF(DATOS_[[Sexo]:[Sexo]]=$B100,IF(DATOS_[[AGRUP. CLAS. PROF.]:[AGRUP. CLAS. PROF.]]=$B99,IF(DATOS_[[Check Periodo Ref.]:[Check Periodo Ref.]]="Dentro",IF(DATOS_[[Check Equiparado]:[Check Equiparado]]="Sí",IF(DATOS!AS$4="Sí",(1/DATOS_[[% anualiz]:[% anualiz]]),1)*IF(DATOS!AS$5="Sí",1/DATOS_[[% normaliz]:[% normaliz]],1)*(DATOS_[Conc.Sal.15])))))))), 0)</f>
        <v>0</v>
      </c>
      <c r="Y100" s="302" t="n">
        <f aca="false" t="array" ref="Y100:Y100">IFERROR( (AVERAGE((IF(DATOS_[[Sexo]:[Sexo]]=$B100,IF(DATOS_[[AGRUP. CLAS. PROF.]:[AGRUP. CLAS. PROF.]]=$B99,IF(DATOS_[[Check Periodo Ref.]:[Check Periodo Ref.]]="Dentro",IF(DATOS_[[Check Equiparado]:[Check Equiparado]]="Sí",IF(DATOS!AT$4="Sí",(1/DATOS_[[% anualiz]:[% anualiz]]),1)*IF(DATOS!AT$5="Sí",1/DATOS_[[% normaliz]:[% normaliz]],1)*(DATOS_[Conc.Sal.16])))))))), 0)</f>
        <v>0</v>
      </c>
      <c r="Z100" s="302" t="n">
        <f aca="false" t="array" ref="Z100:Z100">IFERROR( (AVERAGE((IF(DATOS_[[Sexo]:[Sexo]]=$B100,IF(DATOS_[[AGRUP. CLAS. PROF.]:[AGRUP. CLAS. PROF.]]=$B99,IF(DATOS_[[Check Periodo Ref.]:[Check Periodo Ref.]]="Dentro",IF(DATOS_[[Check Equiparado]:[Check Equiparado]]="Sí",IF(DATOS!AU$4="Sí",(1/DATOS_[[% anualiz]:[% anualiz]]),1)*IF(DATOS!AU$5="Sí",1/DATOS_[[% normaliz]:[% normaliz]],1)*(DATOS_[Conc.Sal.17])))))))), 0)</f>
        <v>0</v>
      </c>
      <c r="AA100" s="302" t="n">
        <f aca="false" t="array" ref="AA100:AA100">IFERROR( (AVERAGE((IF(DATOS_[[Sexo]:[Sexo]]=$B100,IF(DATOS_[[AGRUP. CLAS. PROF.]:[AGRUP. CLAS. PROF.]]=$B99,IF(DATOS_[[Check Periodo Ref.]:[Check Periodo Ref.]]="Dentro",IF(DATOS_[[Check Equiparado]:[Check Equiparado]]="Sí",IF(DATOS!AV$4="Sí",(1/DATOS_[[% anualiz]:[% anualiz]]),1)*IF(DATOS!AV$5="Sí",1/DATOS_[[% normaliz]:[% normaliz]],1)*(DATOS_[Conc.Sal.18])))))))), 0)</f>
        <v>0</v>
      </c>
      <c r="AB100" s="302" t="n">
        <f aca="false" t="array" ref="AB100:AB100">IFERROR( (AVERAGE((IF(DATOS_[[Sexo]:[Sexo]]=$B100,IF(DATOS_[[AGRUP. CLAS. PROF.]:[AGRUP. CLAS. PROF.]]=$B99,IF(DATOS_[[Check Periodo Ref.]:[Check Periodo Ref.]]="Dentro",IF(DATOS_[[Check Equiparado]:[Check Equiparado]]="Sí",IF(DATOS!AW$4="Sí",(1/DATOS_[[% anualiz]:[% anualiz]]),1)*IF(DATOS!AW$5="Sí",1/DATOS_[[% normaliz]:[% normaliz]],1)*(DATOS_[Conc.Sal.19])))))))), 0)</f>
        <v>0</v>
      </c>
      <c r="AC100" s="302" t="n">
        <f aca="false" t="array" ref="AC100:AC100">IFERROR( (AVERAGE((IF(DATOS_[[Sexo]:[Sexo]]=$B100,IF(DATOS_[[AGRUP. CLAS. PROF.]:[AGRUP. CLAS. PROF.]]=$B99,IF(DATOS_[[Check Periodo Ref.]:[Check Periodo Ref.]]="Dentro",IF(DATOS_[[Check Equiparado]:[Check Equiparado]]="Sí",IF(DATOS!AX$4="Sí",(1/DATOS_[[% anualiz]:[% anualiz]]),1)*IF(DATOS!AX$5="Sí",1/DATOS_[[% normaliz]:[% normaliz]],1)*(DATOS_[Conc.Sal.20])))))))), 0)</f>
        <v>0</v>
      </c>
      <c r="AD100" s="302" t="n">
        <f aca="false" t="array" ref="AD100:AD100">IFERROR( (AVERAGE((IF(DATOS_[[Sexo]:[Sexo]]=$B100,IF(DATOS_[[AGRUP. CLAS. PROF.]:[AGRUP. CLAS. PROF.]]=$B99,IF(DATOS_[[Check Periodo Ref.]:[Check Periodo Ref.]]="Dentro",IF(DATOS_[[Check Equiparado]:[Check Equiparado]]="Sí",IF(DATOS!AY$4="Sí",(1/DATOS_[[% anualiz]:[% anualiz]]),1)*IF(DATOS!AY$5="Sí",1/DATOS_[[% normaliz]:[% normaliz]],1)*(DATOS_[Conc.Sal.21])))))))), 0)</f>
        <v>0</v>
      </c>
      <c r="AE100" s="302" t="n">
        <f aca="false" t="array" ref="AE100:AE100">IFERROR( (AVERAGE((IF(DATOS_[[Sexo]:[Sexo]]=$B100,IF(DATOS_[[AGRUP. CLAS. PROF.]:[AGRUP. CLAS. PROF.]]=$B99,IF(DATOS_[[Check Periodo Ref.]:[Check Periodo Ref.]]="Dentro",IF(DATOS_[[Check Equiparado]:[Check Equiparado]]="Sí",IF(DATOS!AZ$4="Sí",(1/DATOS_[[% anualiz]:[% anualiz]]),1)*IF(DATOS!AZ$5="Sí",1/DATOS_[[% normaliz]:[% normaliz]],1)*(DATOS_[Conc.Sal.22])))))))), 0)</f>
        <v>0</v>
      </c>
      <c r="AF100" s="302" t="n">
        <f aca="false" t="array" ref="AF100:AF100">IFERROR( (AVERAGE((IF(DATOS_[[Sexo]:[Sexo]]=$B100,IF(DATOS_[[AGRUP. CLAS. PROF.]:[AGRUP. CLAS. PROF.]]=$B99,IF(DATOS_[[Check Periodo Ref.]:[Check Periodo Ref.]]="Dentro",IF(DATOS_[[Check Equiparado]:[Check Equiparado]]="Sí",IF(DATOS!BA$4="Sí",(1/DATOS_[[% anualiz]:[% anualiz]]),1)*IF(DATOS!BA$5="Sí",1/DATOS_[[% normaliz]:[% normaliz]],1)*(DATOS_[Conc.Sal.23])))))))), 0)</f>
        <v>0</v>
      </c>
      <c r="AG100" s="302" t="n">
        <f aca="false" t="array" ref="AG100:AG100">IFERROR( (AVERAGE((IF(DATOS_[[Sexo]:[Sexo]]=$B100,IF(DATOS_[[AGRUP. CLAS. PROF.]:[AGRUP. CLAS. PROF.]]=$B99,IF(DATOS_[[Check Periodo Ref.]:[Check Periodo Ref.]]="Dentro",IF(DATOS_[[Check Equiparado]:[Check Equiparado]]="Sí",IF(DATOS!BB$4="Sí",(1/DATOS_[[% anualiz]:[% anualiz]]),1)*IF(DATOS!BB$5="Sí",1/DATOS_[[% normaliz]:[% normaliz]],1)*(DATOS_[Conc.Sal.24])))))))), 0)</f>
        <v>0</v>
      </c>
      <c r="AH100" s="302" t="n">
        <f aca="false" t="array" ref="AH100:AH100">IFERROR( (AVERAGE((IF(DATOS_[[Sexo]:[Sexo]]=$B100,IF(DATOS_[[AGRUP. CLAS. PROF.]:[AGRUP. CLAS. PROF.]]=$B99,IF(DATOS_[[Check Periodo Ref.]:[Check Periodo Ref.]]="Dentro",IF(DATOS_[[Check Equiparado]:[Check Equiparado]]="Sí",IF(DATOS!BC$4="Sí",(1/DATOS_[[% anualiz]:[% anualiz]]),1)*IF(DATOS!BC$5="Sí",1/DATOS_[[% normaliz]:[% normaliz]],1)*(DATOS_[Conc.Sal.25])))))))), 0)</f>
        <v>0</v>
      </c>
      <c r="AI100" s="302" t="n">
        <f aca="false" t="array" ref="AI100:AI100">IFERROR( (AVERAGE((IF(DATOS_[[Sexo]:[Sexo]]=$B100,IF(DATOS_[[AGRUP. CLAS. PROF.]:[AGRUP. CLAS. PROF.]]=$B99,IF(DATOS_[[Check Periodo Ref.]:[Check Periodo Ref.]]="Dentro",IF(DATOS_[[Check Equiparado]:[Check Equiparado]]="Sí",IF(DATOS!BD$4="Sí",(1/DATOS_[[% anualiz]:[% anualiz]]),1)*IF(DATOS!BD$5="Sí",1/DATOS_[[% normaliz]:[% normaliz]],1)*(DATOS_[Conc.Sal.26])))))))), 0)</f>
        <v>0</v>
      </c>
      <c r="AJ100" s="302" t="n">
        <f aca="false" t="array" ref="AJ100:AJ100">IFERROR( (AVERAGE((IF(DATOS_[[Sexo]:[Sexo]]=$B100,IF(DATOS_[[AGRUP. CLAS. PROF.]:[AGRUP. CLAS. PROF.]]=$B99,IF(DATOS_[[Check Periodo Ref.]:[Check Periodo Ref.]]="Dentro",IF(DATOS_[[Check Equiparado]:[Check Equiparado]]="Sí",IF(DATOS!BE$4="Sí",(1/DATOS_[[% anualiz]:[% anualiz]]),1)*IF(DATOS!BE$5="Sí",1/DATOS_[[% normaliz]:[% normaliz]],1)*(DATOS_[Conc.Sal.27])))))))), 0)</f>
        <v>0</v>
      </c>
      <c r="AK100" s="302" t="n">
        <f aca="false" t="array" ref="AK100:AK100">IFERROR( (AVERAGE((IF(DATOS_[[Sexo]:[Sexo]]=$B100,IF(DATOS_[[AGRUP. CLAS. PROF.]:[AGRUP. CLAS. PROF.]]=$B99,IF(DATOS_[[Check Periodo Ref.]:[Check Periodo Ref.]]="Dentro",IF(DATOS_[[Check Equiparado]:[Check Equiparado]]="Sí",IF(DATOS!BF$4="Sí",(1/DATOS_[[% anualiz]:[% anualiz]]),1)*IF(DATOS!BF$5="Sí",1/DATOS_[[% normaliz]:[% normaliz]],1)*(DATOS_[Conc.Sal.28])))))))), 0)</f>
        <v>0</v>
      </c>
      <c r="AL100" s="302" t="n">
        <f aca="false" t="array" ref="AL100:AL100">IFERROR( (AVERAGE((IF(DATOS_[[Sexo]:[Sexo]]=$B100,IF(DATOS_[[AGRUP. CLAS. PROF.]:[AGRUP. CLAS. PROF.]]=$B99,IF(DATOS_[[Check Periodo Ref.]:[Check Periodo Ref.]]="Dentro",IF(DATOS_[[Check Equiparado]:[Check Equiparado]]="Sí",IF(DATOS!BG$4="Sí",(1/DATOS_[[% anualiz]:[% anualiz]]),1)*IF(DATOS!BG$5="Sí",1/DATOS_[[% normaliz]:[% normaliz]],1)*(DATOS_[Conc.Sal.29])))))))), 0)</f>
        <v>0</v>
      </c>
      <c r="AM100" s="302" t="n">
        <f aca="false" t="array" ref="AM100:AM100">IFERROR( (AVERAGE((IF(DATOS_[[Sexo]:[Sexo]]=$B100,IF(DATOS_[[AGRUP. CLAS. PROF.]:[AGRUP. CLAS. PROF.]]=$B99,IF(DATOS_[[Check Periodo Ref.]:[Check Periodo Ref.]]="Dentro",IF(DATOS_[[Check Equiparado]:[Check Equiparado]]="Sí",IF(DATOS!BH$4="Sí",(1/DATOS_[[% anualiz]:[% anualiz]]),1)*IF(DATOS!BH$5="Sí",1/DATOS_[[% normaliz]:[% normaliz]],1)*(DATOS_[Conc.Sal.30])))))))), 0)</f>
        <v>0</v>
      </c>
      <c r="AN100" s="294" t="n">
        <f aca="false" t="array" ref="AN100:AN100">IFERROR( AVERAGE(IF(DATOS_[Sexo]=$B100,IF(DATOS_[[AGRUP. CLAS. PROF.]:[AGRUP. CLAS. PROF.]]=$B99,IF(DATOS_[Check Equiparado]="Sí",IF(DATOS_[Check Periodo Ref.]="Dentro",DATOS_[Tot COMPL.SAL Eq],0))))), 0)</f>
        <v>0</v>
      </c>
      <c r="AO100" s="295" t="n">
        <f aca="false" t="array" ref="AO100:AO100">IFERROR( AVERAGE(IF(DATOS_[Sexo]=$B100,IF(DATOS_[[AGRUP. CLAS. PROF.]:[AGRUP. CLAS. PROF.]]=$B99,IF(DATOS_[Check Equiparado]="Sí",IF(DATOS_[Check Periodo Ref.]="Dentro",DATOS_[TOTAL SALARIO Eq],0))))), 0)</f>
        <v>0</v>
      </c>
      <c r="AP100" s="303" t="n">
        <f aca="false" t="array" ref="AP100:AP100">IFERROR( (AVERAGE((IF(DATOS_[[Sexo]:[Sexo]]=$B100,IF(DATOS_[[AGRUP. CLAS. PROF.]:[AGRUP. CLAS. PROF.]]=$B99,IF(DATOS_[[Check Periodo Ref.]:[Check Periodo Ref.]]="Dentro",IF(DATOS_[[Check Equiparado]:[Check Equiparado]]="Sí",IF(DATOS!BI$4="Sí",(1/DATOS_[[% anualiz]:[% anualiz]]),1)*IF(DATOS!BI$5="Sí",1/DATOS_[[% normaliz]:[% normaliz]],1)*(DATOS_[C.Extra.01])))))))), 0)</f>
        <v>0</v>
      </c>
      <c r="AQ100" s="303" t="n">
        <f aca="false" t="array" ref="AQ100:AQ100">IFERROR( (AVERAGE((IF(DATOS_[[Sexo]:[Sexo]]=$B100,IF(DATOS_[[AGRUP. CLAS. PROF.]:[AGRUP. CLAS. PROF.]]=$B99,IF(DATOS_[[Check Periodo Ref.]:[Check Periodo Ref.]]="Dentro",IF(DATOS_[[Check Equiparado]:[Check Equiparado]]="Sí",IF(DATOS!BJ$4="Sí",(1/DATOS_[[% anualiz]:[% anualiz]]),1)*IF(DATOS!BJ$5="Sí",1/DATOS_[[% normaliz]:[% normaliz]],1)*(DATOS_[C.Extra.02])))))))), 0)</f>
        <v>0</v>
      </c>
      <c r="AR100" s="303" t="n">
        <f aca="false" t="array" ref="AR100:AR100">IFERROR( (AVERAGE((IF(DATOS_[[Sexo]:[Sexo]]=$B100,IF(DATOS_[[AGRUP. CLAS. PROF.]:[AGRUP. CLAS. PROF.]]=$B99,IF(DATOS_[[Check Periodo Ref.]:[Check Periodo Ref.]]="Dentro",IF(DATOS_[[Check Equiparado]:[Check Equiparado]]="Sí",IF(DATOS!BK$4="Sí",(1/DATOS_[[% anualiz]:[% anualiz]]),1)*IF(DATOS!BK$5="Sí",1/DATOS_[[% normaliz]:[% normaliz]],1)*(DATOS_[C.Extra.03])))))))), 0)</f>
        <v>0</v>
      </c>
      <c r="AS100" s="303" t="n">
        <f aca="false" t="array" ref="AS100:AS100">IFERROR( (AVERAGE((IF(DATOS_[[Sexo]:[Sexo]]=$B100,IF(DATOS_[[AGRUP. CLAS. PROF.]:[AGRUP. CLAS. PROF.]]=$B99,IF(DATOS_[[Check Periodo Ref.]:[Check Periodo Ref.]]="Dentro",IF(DATOS_[[Check Equiparado]:[Check Equiparado]]="Sí",IF(DATOS!BL$4="Sí",(1/DATOS_[[% anualiz]:[% anualiz]]),1)*IF(DATOS!BL$5="Sí",1/DATOS_[[% normaliz]:[% normaliz]],1)*(DATOS_[C.Extra.04])))))))), 0)</f>
        <v>0</v>
      </c>
      <c r="AT100" s="303" t="n">
        <f aca="false" t="array" ref="AT100:AT100">IFERROR( (AVERAGE((IF(DATOS_[[Sexo]:[Sexo]]=$B100,IF(DATOS_[[AGRUP. CLAS. PROF.]:[AGRUP. CLAS. PROF.]]=$B99,IF(DATOS_[[Check Periodo Ref.]:[Check Periodo Ref.]]="Dentro",IF(DATOS_[[Check Equiparado]:[Check Equiparado]]="Sí",IF(DATOS!BM$4="Sí",(1/DATOS_[[% anualiz]:[% anualiz]]),1)*IF(DATOS!BM$5="Sí",1/DATOS_[[% normaliz]:[% normaliz]],1)*(DATOS_[C.Extra.05])))))))), 0)</f>
        <v>0</v>
      </c>
      <c r="AU100" s="297" t="n">
        <f aca="false" t="array" ref="AU100:AU100">IFERROR( AVERAGE(IF(DATOS_[Sexo]=$B100,IF(DATOS_[[AGRUP. CLAS. PROF.]:[AGRUP. CLAS. PROF.]]=$B99,IF(DATOS_[Check Equiparado]="Sí",IF(DATOS_[Check Periodo Ref.]="Dentro",DATOS_[Tot Extrasalarial Eq],0))))), 0)</f>
        <v>0</v>
      </c>
      <c r="AV100" s="298" t="n">
        <f aca="false" t="array" ref="AV100:AV100">IFERROR( AVERAGE(IF(DATOS_[Sexo]=$B100,IF(DATOS_[[AGRUP. CLAS. PROF.]:[AGRUP. CLAS. PROF.]]=$B99,IF(DATOS_[Check Equiparado]="Sí",IF(DATOS_[Check Periodo Ref.]="Dentro",DATOS_[TOTAL Retrib Eq],0))))), 0)</f>
        <v>0</v>
      </c>
    </row>
    <row r="101" customFormat="false" ht="14.25" hidden="false" customHeight="false" outlineLevel="0" collapsed="false">
      <c r="A101" s="166" t="str">
        <f aca="false">+A100</f>
        <v>[ocultar]</v>
      </c>
      <c r="B101" s="289" t="s">
        <v>372</v>
      </c>
      <c r="C101" s="290" t="n">
        <f aca="false" t="array" ref="C101:C101">SUM(IF($B101=DATOS_[Sexo], IF($B99=DATOS_[AGRUP. CLAS. PROF.], IF("Dentro"=DATOS_[Check Periodo Ref.], 1/(COUNTIFS(DATOS_[Sexo],$B101,DATOS_[AGRUP. CLAS. PROF.],$B99,DATOS_[Check Periodo Ref.],"Dentro",DATOS_[id],DATOS_[id]))))))</f>
        <v>0</v>
      </c>
      <c r="D101" s="291" t="n">
        <f aca="false">COUNTIFS(DATOS_[AGRUP. CLAS. PROF.],$B99,DATOS_[Sexo],$B101,DATOS_[Check Periodo Ref.],"Dentro")</f>
        <v>0</v>
      </c>
      <c r="E101" s="291" t="n">
        <f aca="false">COUNTIFS(DATOS_[AGRUP. CLAS. PROF.],$B99,DATOS_[Sexo],$B101,DATOS_[Check Periodo Ref.],"Dentro",DATOS_[Check Nº SC Norm],"Sí")</f>
        <v>0</v>
      </c>
      <c r="F101" s="291" t="n">
        <f aca="false">COUNTIFS(DATOS_[AGRUP. CLAS. PROF.],$B99,DATOS_[Sexo],$B101,DATOS_[Check Periodo Ref.],"Dentro",DATOS_[Check Nº SC Anualiz],"Sí")</f>
        <v>0</v>
      </c>
      <c r="G101" s="291" t="n">
        <f aca="false">COUNTIFS(DATOS_[AGRUP. CLAS. PROF.],$B99,DATOS_[Sexo],$B101,DATOS_[Check Periodo Ref.],"Dentro",DATOS_[Check Nº SC Norm y Anualiz],"Sí")</f>
        <v>0</v>
      </c>
      <c r="H101" s="291" t="n">
        <f aca="false">COUNTIFS(DATOS_[AGRUP. CLAS. PROF.],$B99,DATOS_[Sexo],$B101,DATOS_[Check Periodo Ref.],"Dentro",DATOS_[Check Equiparación],"Sí")</f>
        <v>0</v>
      </c>
      <c r="I101" s="292" t="n">
        <f aca="false" t="array" ref="I101:I101">IFERROR( AVERAGE(IF(DATOS_[Sexo]=$B101,IF(DATOS_[[AGRUP. CLAS. PROF.]:[AGRUP. CLAS. PROF.]]=$B99,IF(DATOS_[Check Equiparado]="Sí",IF(DATOS_[Check Periodo Ref.]="Dentro",DATOS_[SALARIO BASE Eq],0))))), 0)</f>
        <v>0</v>
      </c>
      <c r="J101" s="302" t="n">
        <f aca="false" t="array" ref="J101:J101">IFERROR( (AVERAGE((IF(DATOS_[[Sexo]:[Sexo]]=$B101,IF(DATOS_[[AGRUP. CLAS. PROF.]:[AGRUP. CLAS. PROF.]]=$B99,IF(DATOS_[[Check Periodo Ref.]:[Check Periodo Ref.]]="Dentro",IF(DATOS_[[Check Equiparado]:[Check Equiparado]]="Sí",IF(DATOS!AE$4="Sí",(1/DATOS_[[% anualiz]:[% anualiz]]),1)*IF(DATOS!AE$5="Sí",1/DATOS_[[% normaliz]:[% normaliz]],1)*(DATOS_[Conc.Sal.01])))))))), 0)</f>
        <v>0</v>
      </c>
      <c r="K101" s="302" t="n">
        <f aca="false" t="array" ref="K101:K101">IFERROR( (AVERAGE((IF(DATOS_[[Sexo]:[Sexo]]=$B101,IF(DATOS_[[AGRUP. CLAS. PROF.]:[AGRUP. CLAS. PROF.]]=$B99,IF(DATOS_[[Check Periodo Ref.]:[Check Periodo Ref.]]="Dentro",IF(DATOS_[[Check Equiparado]:[Check Equiparado]]="Sí",IF(DATOS!AF$4="Sí",(1/DATOS_[[% anualiz]:[% anualiz]]),1)*IF(DATOS!AF$5="Sí",1/DATOS_[[% normaliz]:[% normaliz]],1)*(DATOS_[Conc.Sal.02])))))))), 0)</f>
        <v>0</v>
      </c>
      <c r="L101" s="302" t="n">
        <f aca="false" t="array" ref="L101:L101">IFERROR( (AVERAGE((IF(DATOS_[[Sexo]:[Sexo]]=$B101,IF(DATOS_[[AGRUP. CLAS. PROF.]:[AGRUP. CLAS. PROF.]]=$B99,IF(DATOS_[[Check Periodo Ref.]:[Check Periodo Ref.]]="Dentro",IF(DATOS_[[Check Equiparado]:[Check Equiparado]]="Sí",IF(DATOS!AG$4="Sí",(1/DATOS_[[% anualiz]:[% anualiz]]),1)*IF(DATOS!AG$5="Sí",1/DATOS_[[% normaliz]:[% normaliz]],1)*(DATOS_[Conc.Sal.03])))))))), 0)</f>
        <v>0</v>
      </c>
      <c r="M101" s="302" t="n">
        <f aca="false" t="array" ref="M101:M101">IFERROR( (AVERAGE((IF(DATOS_[[Sexo]:[Sexo]]=$B101,IF(DATOS_[[AGRUP. CLAS. PROF.]:[AGRUP. CLAS. PROF.]]=$B99,IF(DATOS_[[Check Periodo Ref.]:[Check Periodo Ref.]]="Dentro",IF(DATOS_[[Check Equiparado]:[Check Equiparado]]="Sí",IF(DATOS!AH$4="Sí",(1/DATOS_[[% anualiz]:[% anualiz]]),1)*IF(DATOS!AH$5="Sí",1/DATOS_[[% normaliz]:[% normaliz]],1)*(DATOS_[Conc.Sal.04])))))))), 0)</f>
        <v>0</v>
      </c>
      <c r="N101" s="302" t="n">
        <f aca="false" t="array" ref="N101:N101">IFERROR( (AVERAGE((IF(DATOS_[[Sexo]:[Sexo]]=$B101,IF(DATOS_[[AGRUP. CLAS. PROF.]:[AGRUP. CLAS. PROF.]]=$B99,IF(DATOS_[[Check Periodo Ref.]:[Check Periodo Ref.]]="Dentro",IF(DATOS_[[Check Equiparado]:[Check Equiparado]]="Sí",IF(DATOS!AI$4="Sí",(1/DATOS_[[% anualiz]:[% anualiz]]),1)*IF(DATOS!AI$5="Sí",1/DATOS_[[% normaliz]:[% normaliz]],1)*(DATOS_[Conc.Sal.05])))))))), 0)</f>
        <v>0</v>
      </c>
      <c r="O101" s="302" t="n">
        <f aca="false" t="array" ref="O101:O101">IFERROR( (AVERAGE((IF(DATOS_[[Sexo]:[Sexo]]=$B101,IF(DATOS_[[AGRUP. CLAS. PROF.]:[AGRUP. CLAS. PROF.]]=$B99,IF(DATOS_[[Check Periodo Ref.]:[Check Periodo Ref.]]="Dentro",IF(DATOS_[[Check Equiparado]:[Check Equiparado]]="Sí",IF(DATOS!AJ$4="Sí",(1/DATOS_[[% anualiz]:[% anualiz]]),1)*IF(DATOS!AJ$5="Sí",1/DATOS_[[% normaliz]:[% normaliz]],1)*(DATOS_[Conc.Sal.06])))))))), 0)</f>
        <v>0</v>
      </c>
      <c r="P101" s="302" t="n">
        <f aca="false" t="array" ref="P101:P101">IFERROR( (AVERAGE((IF(DATOS_[[Sexo]:[Sexo]]=$B101,IF(DATOS_[[AGRUP. CLAS. PROF.]:[AGRUP. CLAS. PROF.]]=$B99,IF(DATOS_[[Check Periodo Ref.]:[Check Periodo Ref.]]="Dentro",IF(DATOS_[[Check Equiparado]:[Check Equiparado]]="Sí",IF(DATOS!AK$4="Sí",(1/DATOS_[[% anualiz]:[% anualiz]]),1)*IF(DATOS!AK$5="Sí",1/DATOS_[[% normaliz]:[% normaliz]],1)*(DATOS_[Conc.Sal.07])))))))), 0)</f>
        <v>0</v>
      </c>
      <c r="Q101" s="302" t="n">
        <f aca="false" t="array" ref="Q101:Q101">IFERROR( (AVERAGE((IF(DATOS_[[Sexo]:[Sexo]]=$B101,IF(DATOS_[[AGRUP. CLAS. PROF.]:[AGRUP. CLAS. PROF.]]=$B99,IF(DATOS_[[Check Periodo Ref.]:[Check Periodo Ref.]]="Dentro",IF(DATOS_[[Check Equiparado]:[Check Equiparado]]="Sí",IF(DATOS!AL$4="Sí",(1/DATOS_[[% anualiz]:[% anualiz]]),1)*IF(DATOS!AL$5="Sí",1/DATOS_[[% normaliz]:[% normaliz]],1)*(DATOS_[Conc.Sal.08])))))))), 0)</f>
        <v>0</v>
      </c>
      <c r="R101" s="302" t="n">
        <f aca="false" t="array" ref="R101:R101">IFERROR( (AVERAGE((IF(DATOS_[[Sexo]:[Sexo]]=$B101,IF(DATOS_[[AGRUP. CLAS. PROF.]:[AGRUP. CLAS. PROF.]]=$B99,IF(DATOS_[[Check Periodo Ref.]:[Check Periodo Ref.]]="Dentro",IF(DATOS_[[Check Equiparado]:[Check Equiparado]]="Sí",IF(DATOS!AM$4="Sí",(1/DATOS_[[% anualiz]:[% anualiz]]),1)*IF(DATOS!AM$5="Sí",1/DATOS_[[% normaliz]:[% normaliz]],1)*(DATOS_[Conc.Sal.09])))))))), 0)</f>
        <v>0</v>
      </c>
      <c r="S101" s="302" t="n">
        <f aca="false" t="array" ref="S101:S101">IFERROR( (AVERAGE((IF(DATOS_[[Sexo]:[Sexo]]=$B101,IF(DATOS_[[AGRUP. CLAS. PROF.]:[AGRUP. CLAS. PROF.]]=$B99,IF(DATOS_[[Check Periodo Ref.]:[Check Periodo Ref.]]="Dentro",IF(DATOS_[[Check Equiparado]:[Check Equiparado]]="Sí",IF(DATOS!AN$4="Sí",(1/DATOS_[[% anualiz]:[% anualiz]]),1)*IF(DATOS!AN$5="Sí",1/DATOS_[[% normaliz]:[% normaliz]],1)*(DATOS_[Conc.Sal.10])))))))), 0)</f>
        <v>0</v>
      </c>
      <c r="T101" s="302" t="n">
        <f aca="false" t="array" ref="T101:T101">IFERROR( (AVERAGE((IF(DATOS_[[Sexo]:[Sexo]]=$B101,IF(DATOS_[[AGRUP. CLAS. PROF.]:[AGRUP. CLAS. PROF.]]=$B99,IF(DATOS_[[Check Periodo Ref.]:[Check Periodo Ref.]]="Dentro",IF(DATOS_[[Check Equiparado]:[Check Equiparado]]="Sí",IF(DATOS!AO$4="Sí",(1/DATOS_[[% anualiz]:[% anualiz]]),1)*IF(DATOS!AO$5="Sí",1/DATOS_[[% normaliz]:[% normaliz]],1)*(DATOS_[Conc.Sal.11])))))))), 0)</f>
        <v>0</v>
      </c>
      <c r="U101" s="302" t="n">
        <f aca="false" t="array" ref="U101:U101">IFERROR( (AVERAGE((IF(DATOS_[[Sexo]:[Sexo]]=$B101,IF(DATOS_[[AGRUP. CLAS. PROF.]:[AGRUP. CLAS. PROF.]]=$B99,IF(DATOS_[[Check Periodo Ref.]:[Check Periodo Ref.]]="Dentro",IF(DATOS_[[Check Equiparado]:[Check Equiparado]]="Sí",IF(DATOS!AP$4="Sí",(1/DATOS_[[% anualiz]:[% anualiz]]),1)*IF(DATOS!AP$5="Sí",1/DATOS_[[% normaliz]:[% normaliz]],1)*(DATOS_[Conc.Sal.12])))))))), 0)</f>
        <v>0</v>
      </c>
      <c r="V101" s="302" t="n">
        <f aca="false" t="array" ref="V101:V101">IFERROR( (AVERAGE((IF(DATOS_[[Sexo]:[Sexo]]=$B101,IF(DATOS_[[AGRUP. CLAS. PROF.]:[AGRUP. CLAS. PROF.]]=$B99,IF(DATOS_[[Check Periodo Ref.]:[Check Periodo Ref.]]="Dentro",IF(DATOS_[[Check Equiparado]:[Check Equiparado]]="Sí",IF(DATOS!AQ$4="Sí",(1/DATOS_[[% anualiz]:[% anualiz]]),1)*IF(DATOS!AQ$5="Sí",1/DATOS_[[% normaliz]:[% normaliz]],1)*(DATOS_[Conc.Sal.13])))))))), 0)</f>
        <v>0</v>
      </c>
      <c r="W101" s="302" t="n">
        <f aca="false" t="array" ref="W101:W101">IFERROR( (AVERAGE((IF(DATOS_[[Sexo]:[Sexo]]=$B101,IF(DATOS_[[AGRUP. CLAS. PROF.]:[AGRUP. CLAS. PROF.]]=$B99,IF(DATOS_[[Check Periodo Ref.]:[Check Periodo Ref.]]="Dentro",IF(DATOS_[[Check Equiparado]:[Check Equiparado]]="Sí",IF(DATOS!AR$4="Sí",(1/DATOS_[[% anualiz]:[% anualiz]]),1)*IF(DATOS!AR$5="Sí",1/DATOS_[[% normaliz]:[% normaliz]],1)*(DATOS_[Conc.Sal.14])))))))), 0)</f>
        <v>0</v>
      </c>
      <c r="X101" s="302" t="n">
        <f aca="false" t="array" ref="X101:X101">IFERROR( (AVERAGE((IF(DATOS_[[Sexo]:[Sexo]]=$B101,IF(DATOS_[[AGRUP. CLAS. PROF.]:[AGRUP. CLAS. PROF.]]=$B99,IF(DATOS_[[Check Periodo Ref.]:[Check Periodo Ref.]]="Dentro",IF(DATOS_[[Check Equiparado]:[Check Equiparado]]="Sí",IF(DATOS!AS$4="Sí",(1/DATOS_[[% anualiz]:[% anualiz]]),1)*IF(DATOS!AS$5="Sí",1/DATOS_[[% normaliz]:[% normaliz]],1)*(DATOS_[Conc.Sal.15])))))))), 0)</f>
        <v>0</v>
      </c>
      <c r="Y101" s="302" t="n">
        <f aca="false" t="array" ref="Y101:Y101">IFERROR( (AVERAGE((IF(DATOS_[[Sexo]:[Sexo]]=$B101,IF(DATOS_[[AGRUP. CLAS. PROF.]:[AGRUP. CLAS. PROF.]]=$B99,IF(DATOS_[[Check Periodo Ref.]:[Check Periodo Ref.]]="Dentro",IF(DATOS_[[Check Equiparado]:[Check Equiparado]]="Sí",IF(DATOS!AT$4="Sí",(1/DATOS_[[% anualiz]:[% anualiz]]),1)*IF(DATOS!AT$5="Sí",1/DATOS_[[% normaliz]:[% normaliz]],1)*(DATOS_[Conc.Sal.16])))))))), 0)</f>
        <v>0</v>
      </c>
      <c r="Z101" s="302" t="n">
        <f aca="false" t="array" ref="Z101:Z101">IFERROR( (AVERAGE((IF(DATOS_[[Sexo]:[Sexo]]=$B101,IF(DATOS_[[AGRUP. CLAS. PROF.]:[AGRUP. CLAS. PROF.]]=$B99,IF(DATOS_[[Check Periodo Ref.]:[Check Periodo Ref.]]="Dentro",IF(DATOS_[[Check Equiparado]:[Check Equiparado]]="Sí",IF(DATOS!AU$4="Sí",(1/DATOS_[[% anualiz]:[% anualiz]]),1)*IF(DATOS!AU$5="Sí",1/DATOS_[[% normaliz]:[% normaliz]],1)*(DATOS_[Conc.Sal.17])))))))), 0)</f>
        <v>0</v>
      </c>
      <c r="AA101" s="302" t="n">
        <f aca="false" t="array" ref="AA101:AA101">IFERROR( (AVERAGE((IF(DATOS_[[Sexo]:[Sexo]]=$B101,IF(DATOS_[[AGRUP. CLAS. PROF.]:[AGRUP. CLAS. PROF.]]=$B99,IF(DATOS_[[Check Periodo Ref.]:[Check Periodo Ref.]]="Dentro",IF(DATOS_[[Check Equiparado]:[Check Equiparado]]="Sí",IF(DATOS!AV$4="Sí",(1/DATOS_[[% anualiz]:[% anualiz]]),1)*IF(DATOS!AV$5="Sí",1/DATOS_[[% normaliz]:[% normaliz]],1)*(DATOS_[Conc.Sal.18])))))))), 0)</f>
        <v>0</v>
      </c>
      <c r="AB101" s="302" t="n">
        <f aca="false" t="array" ref="AB101:AB101">IFERROR( (AVERAGE((IF(DATOS_[[Sexo]:[Sexo]]=$B101,IF(DATOS_[[AGRUP. CLAS. PROF.]:[AGRUP. CLAS. PROF.]]=$B99,IF(DATOS_[[Check Periodo Ref.]:[Check Periodo Ref.]]="Dentro",IF(DATOS_[[Check Equiparado]:[Check Equiparado]]="Sí",IF(DATOS!AW$4="Sí",(1/DATOS_[[% anualiz]:[% anualiz]]),1)*IF(DATOS!AW$5="Sí",1/DATOS_[[% normaliz]:[% normaliz]],1)*(DATOS_[Conc.Sal.19])))))))), 0)</f>
        <v>0</v>
      </c>
      <c r="AC101" s="302" t="n">
        <f aca="false" t="array" ref="AC101:AC101">IFERROR( (AVERAGE((IF(DATOS_[[Sexo]:[Sexo]]=$B101,IF(DATOS_[[AGRUP. CLAS. PROF.]:[AGRUP. CLAS. PROF.]]=$B99,IF(DATOS_[[Check Periodo Ref.]:[Check Periodo Ref.]]="Dentro",IF(DATOS_[[Check Equiparado]:[Check Equiparado]]="Sí",IF(DATOS!AX$4="Sí",(1/DATOS_[[% anualiz]:[% anualiz]]),1)*IF(DATOS!AX$5="Sí",1/DATOS_[[% normaliz]:[% normaliz]],1)*(DATOS_[Conc.Sal.20])))))))), 0)</f>
        <v>0</v>
      </c>
      <c r="AD101" s="302" t="n">
        <f aca="false" t="array" ref="AD101:AD101">IFERROR( (AVERAGE((IF(DATOS_[[Sexo]:[Sexo]]=$B101,IF(DATOS_[[AGRUP. CLAS. PROF.]:[AGRUP. CLAS. PROF.]]=$B99,IF(DATOS_[[Check Periodo Ref.]:[Check Periodo Ref.]]="Dentro",IF(DATOS_[[Check Equiparado]:[Check Equiparado]]="Sí",IF(DATOS!AY$4="Sí",(1/DATOS_[[% anualiz]:[% anualiz]]),1)*IF(DATOS!AY$5="Sí",1/DATOS_[[% normaliz]:[% normaliz]],1)*(DATOS_[Conc.Sal.21])))))))), 0)</f>
        <v>0</v>
      </c>
      <c r="AE101" s="302" t="n">
        <f aca="false" t="array" ref="AE101:AE101">IFERROR( (AVERAGE((IF(DATOS_[[Sexo]:[Sexo]]=$B101,IF(DATOS_[[AGRUP. CLAS. PROF.]:[AGRUP. CLAS. PROF.]]=$B99,IF(DATOS_[[Check Periodo Ref.]:[Check Periodo Ref.]]="Dentro",IF(DATOS_[[Check Equiparado]:[Check Equiparado]]="Sí",IF(DATOS!AZ$4="Sí",(1/DATOS_[[% anualiz]:[% anualiz]]),1)*IF(DATOS!AZ$5="Sí",1/DATOS_[[% normaliz]:[% normaliz]],1)*(DATOS_[Conc.Sal.22])))))))), 0)</f>
        <v>0</v>
      </c>
      <c r="AF101" s="302" t="n">
        <f aca="false" t="array" ref="AF101:AF101">IFERROR( (AVERAGE((IF(DATOS_[[Sexo]:[Sexo]]=$B101,IF(DATOS_[[AGRUP. CLAS. PROF.]:[AGRUP. CLAS. PROF.]]=$B99,IF(DATOS_[[Check Periodo Ref.]:[Check Periodo Ref.]]="Dentro",IF(DATOS_[[Check Equiparado]:[Check Equiparado]]="Sí",IF(DATOS!BA$4="Sí",(1/DATOS_[[% anualiz]:[% anualiz]]),1)*IF(DATOS!BA$5="Sí",1/DATOS_[[% normaliz]:[% normaliz]],1)*(DATOS_[Conc.Sal.23])))))))), 0)</f>
        <v>0</v>
      </c>
      <c r="AG101" s="302" t="n">
        <f aca="false" t="array" ref="AG101:AG101">IFERROR( (AVERAGE((IF(DATOS_[[Sexo]:[Sexo]]=$B101,IF(DATOS_[[AGRUP. CLAS. PROF.]:[AGRUP. CLAS. PROF.]]=$B99,IF(DATOS_[[Check Periodo Ref.]:[Check Periodo Ref.]]="Dentro",IF(DATOS_[[Check Equiparado]:[Check Equiparado]]="Sí",IF(DATOS!BB$4="Sí",(1/DATOS_[[% anualiz]:[% anualiz]]),1)*IF(DATOS!BB$5="Sí",1/DATOS_[[% normaliz]:[% normaliz]],1)*(DATOS_[Conc.Sal.24])))))))), 0)</f>
        <v>0</v>
      </c>
      <c r="AH101" s="302" t="n">
        <f aca="false" t="array" ref="AH101:AH101">IFERROR( (AVERAGE((IF(DATOS_[[Sexo]:[Sexo]]=$B101,IF(DATOS_[[AGRUP. CLAS. PROF.]:[AGRUP. CLAS. PROF.]]=$B99,IF(DATOS_[[Check Periodo Ref.]:[Check Periodo Ref.]]="Dentro",IF(DATOS_[[Check Equiparado]:[Check Equiparado]]="Sí",IF(DATOS!BC$4="Sí",(1/DATOS_[[% anualiz]:[% anualiz]]),1)*IF(DATOS!BC$5="Sí",1/DATOS_[[% normaliz]:[% normaliz]],1)*(DATOS_[Conc.Sal.25])))))))), 0)</f>
        <v>0</v>
      </c>
      <c r="AI101" s="302" t="n">
        <f aca="false" t="array" ref="AI101:AI101">IFERROR( (AVERAGE((IF(DATOS_[[Sexo]:[Sexo]]=$B101,IF(DATOS_[[AGRUP. CLAS. PROF.]:[AGRUP. CLAS. PROF.]]=$B99,IF(DATOS_[[Check Periodo Ref.]:[Check Periodo Ref.]]="Dentro",IF(DATOS_[[Check Equiparado]:[Check Equiparado]]="Sí",IF(DATOS!BD$4="Sí",(1/DATOS_[[% anualiz]:[% anualiz]]),1)*IF(DATOS!BD$5="Sí",1/DATOS_[[% normaliz]:[% normaliz]],1)*(DATOS_[Conc.Sal.26])))))))), 0)</f>
        <v>0</v>
      </c>
      <c r="AJ101" s="302" t="n">
        <f aca="false" t="array" ref="AJ101:AJ101">IFERROR( (AVERAGE((IF(DATOS_[[Sexo]:[Sexo]]=$B101,IF(DATOS_[[AGRUP. CLAS. PROF.]:[AGRUP. CLAS. PROF.]]=$B99,IF(DATOS_[[Check Periodo Ref.]:[Check Periodo Ref.]]="Dentro",IF(DATOS_[[Check Equiparado]:[Check Equiparado]]="Sí",IF(DATOS!BE$4="Sí",(1/DATOS_[[% anualiz]:[% anualiz]]),1)*IF(DATOS!BE$5="Sí",1/DATOS_[[% normaliz]:[% normaliz]],1)*(DATOS_[Conc.Sal.27])))))))), 0)</f>
        <v>0</v>
      </c>
      <c r="AK101" s="302" t="n">
        <f aca="false" t="array" ref="AK101:AK101">IFERROR( (AVERAGE((IF(DATOS_[[Sexo]:[Sexo]]=$B101,IF(DATOS_[[AGRUP. CLAS. PROF.]:[AGRUP. CLAS. PROF.]]=$B99,IF(DATOS_[[Check Periodo Ref.]:[Check Periodo Ref.]]="Dentro",IF(DATOS_[[Check Equiparado]:[Check Equiparado]]="Sí",IF(DATOS!BF$4="Sí",(1/DATOS_[[% anualiz]:[% anualiz]]),1)*IF(DATOS!BF$5="Sí",1/DATOS_[[% normaliz]:[% normaliz]],1)*(DATOS_[Conc.Sal.28])))))))), 0)</f>
        <v>0</v>
      </c>
      <c r="AL101" s="302" t="n">
        <f aca="false" t="array" ref="AL101:AL101">IFERROR( (AVERAGE((IF(DATOS_[[Sexo]:[Sexo]]=$B101,IF(DATOS_[[AGRUP. CLAS. PROF.]:[AGRUP. CLAS. PROF.]]=$B99,IF(DATOS_[[Check Periodo Ref.]:[Check Periodo Ref.]]="Dentro",IF(DATOS_[[Check Equiparado]:[Check Equiparado]]="Sí",IF(DATOS!BG$4="Sí",(1/DATOS_[[% anualiz]:[% anualiz]]),1)*IF(DATOS!BG$5="Sí",1/DATOS_[[% normaliz]:[% normaliz]],1)*(DATOS_[Conc.Sal.29])))))))), 0)</f>
        <v>0</v>
      </c>
      <c r="AM101" s="302" t="n">
        <f aca="false" t="array" ref="AM101:AM101">IFERROR( (AVERAGE((IF(DATOS_[[Sexo]:[Sexo]]=$B101,IF(DATOS_[[AGRUP. CLAS. PROF.]:[AGRUP. CLAS. PROF.]]=$B99,IF(DATOS_[[Check Periodo Ref.]:[Check Periodo Ref.]]="Dentro",IF(DATOS_[[Check Equiparado]:[Check Equiparado]]="Sí",IF(DATOS!BH$4="Sí",(1/DATOS_[[% anualiz]:[% anualiz]]),1)*IF(DATOS!BH$5="Sí",1/DATOS_[[% normaliz]:[% normaliz]],1)*(DATOS_[Conc.Sal.30])))))))), 0)</f>
        <v>0</v>
      </c>
      <c r="AN101" s="294" t="n">
        <f aca="false" t="array" ref="AN101:AN101">IFERROR( AVERAGE(IF(DATOS_[Sexo]=$B101,IF(DATOS_[[AGRUP. CLAS. PROF.]:[AGRUP. CLAS. PROF.]]=$B99,IF(DATOS_[Check Equiparado]="Sí",IF(DATOS_[Check Periodo Ref.]="Dentro",DATOS_[Tot COMPL.SAL Eq],0))))), 0)</f>
        <v>0</v>
      </c>
      <c r="AO101" s="295" t="n">
        <f aca="false" t="array" ref="AO101:AO101">IFERROR( AVERAGE(IF(DATOS_[Sexo]=$B101,IF(DATOS_[[AGRUP. CLAS. PROF.]:[AGRUP. CLAS. PROF.]]=$B99,IF(DATOS_[Check Equiparado]="Sí",IF(DATOS_[Check Periodo Ref.]="Dentro",DATOS_[TOTAL SALARIO Eq],0))))), 0)</f>
        <v>0</v>
      </c>
      <c r="AP101" s="303" t="n">
        <f aca="false" t="array" ref="AP101:AP101">IFERROR( (AVERAGE((IF(DATOS_[[Sexo]:[Sexo]]=$B101,IF(DATOS_[[AGRUP. CLAS. PROF.]:[AGRUP. CLAS. PROF.]]=$B100,IF(DATOS_[[Check Periodo Ref.]:[Check Periodo Ref.]]="Dentro",IF(DATOS_[[Check Equiparado]:[Check Equiparado]]="Sí",IF(DATOS!BI$4="Sí",(1/DATOS_[[% anualiz]:[% anualiz]]),1)*IF(DATOS!BI$5="Sí",1/DATOS_[[% normaliz]:[% normaliz]],1)*(DATOS_[C.Extra.01])))))))), 0)</f>
        <v>0</v>
      </c>
      <c r="AQ101" s="303" t="n">
        <f aca="false" t="array" ref="AQ101:AQ101">IFERROR( (AVERAGE((IF(DATOS_[[Sexo]:[Sexo]]=$B101,IF(DATOS_[[AGRUP. CLAS. PROF.]:[AGRUP. CLAS. PROF.]]=$B100,IF(DATOS_[[Check Periodo Ref.]:[Check Periodo Ref.]]="Dentro",IF(DATOS_[[Check Equiparado]:[Check Equiparado]]="Sí",IF(DATOS!BJ$4="Sí",(1/DATOS_[[% anualiz]:[% anualiz]]),1)*IF(DATOS!BJ$5="Sí",1/DATOS_[[% normaliz]:[% normaliz]],1)*(DATOS_[C.Extra.02])))))))), 0)</f>
        <v>0</v>
      </c>
      <c r="AR101" s="303" t="n">
        <f aca="false" t="array" ref="AR101:AR101">IFERROR( (AVERAGE((IF(DATOS_[[Sexo]:[Sexo]]=$B101,IF(DATOS_[[AGRUP. CLAS. PROF.]:[AGRUP. CLAS. PROF.]]=$B100,IF(DATOS_[[Check Periodo Ref.]:[Check Periodo Ref.]]="Dentro",IF(DATOS_[[Check Equiparado]:[Check Equiparado]]="Sí",IF(DATOS!BK$4="Sí",(1/DATOS_[[% anualiz]:[% anualiz]]),1)*IF(DATOS!BK$5="Sí",1/DATOS_[[% normaliz]:[% normaliz]],1)*(DATOS_[C.Extra.03])))))))), 0)</f>
        <v>0</v>
      </c>
      <c r="AS101" s="303" t="n">
        <f aca="false" t="array" ref="AS101:AS101">IFERROR( (AVERAGE((IF(DATOS_[[Sexo]:[Sexo]]=$B101,IF(DATOS_[[AGRUP. CLAS. PROF.]:[AGRUP. CLAS. PROF.]]=$B100,IF(DATOS_[[Check Periodo Ref.]:[Check Periodo Ref.]]="Dentro",IF(DATOS_[[Check Equiparado]:[Check Equiparado]]="Sí",IF(DATOS!BL$4="Sí",(1/DATOS_[[% anualiz]:[% anualiz]]),1)*IF(DATOS!BL$5="Sí",1/DATOS_[[% normaliz]:[% normaliz]],1)*(DATOS_[C.Extra.04])))))))), 0)</f>
        <v>0</v>
      </c>
      <c r="AT101" s="303" t="n">
        <f aca="false" t="array" ref="AT101:AT101">IFERROR( (AVERAGE((IF(DATOS_[[Sexo]:[Sexo]]=$B101,IF(DATOS_[[AGRUP. CLAS. PROF.]:[AGRUP. CLAS. PROF.]]=$B100,IF(DATOS_[[Check Periodo Ref.]:[Check Periodo Ref.]]="Dentro",IF(DATOS_[[Check Equiparado]:[Check Equiparado]]="Sí",IF(DATOS!BM$4="Sí",(1/DATOS_[[% anualiz]:[% anualiz]]),1)*IF(DATOS!BM$5="Sí",1/DATOS_[[% normaliz]:[% normaliz]],1)*(DATOS_[C.Extra.05])))))))), 0)</f>
        <v>0</v>
      </c>
      <c r="AU101" s="297" t="n">
        <f aca="false" t="array" ref="AU101:AU101">IFERROR( AVERAGE(IF(DATOS_[Sexo]=$B101,IF(DATOS_[[AGRUP. CLAS. PROF.]:[AGRUP. CLAS. PROF.]]=$B99,IF(DATOS_[Check Equiparado]="Sí",IF(DATOS_[Check Periodo Ref.]="Dentro",DATOS_[Tot Extrasalarial Eq],0))))), 0)</f>
        <v>0</v>
      </c>
      <c r="AV101" s="298" t="n">
        <f aca="false" t="array" ref="AV101:AV101">IFERROR( AVERAGE(IF(DATOS_[Sexo]=$B101,IF(DATOS_[[AGRUP. CLAS. PROF.]:[AGRUP. CLAS. PROF.]]=$B99,IF(DATOS_[Check Equiparado]="Sí",IF(DATOS_[Check Periodo Ref.]="Dentro",DATOS_[TOTAL Retrib Eq],0))))), 0)</f>
        <v>0</v>
      </c>
    </row>
    <row r="102" customFormat="false" ht="15.75" hidden="false" customHeight="false" outlineLevel="0" collapsed="false">
      <c r="A102" s="166" t="str">
        <f aca="false">+A103</f>
        <v>[ocultar]</v>
      </c>
      <c r="B102" s="276" t="s">
        <v>255</v>
      </c>
      <c r="C102" s="277"/>
      <c r="D102" s="278"/>
      <c r="E102" s="278"/>
      <c r="F102" s="278"/>
      <c r="G102" s="278"/>
      <c r="H102" s="278"/>
      <c r="I102" s="279" t="str">
        <f aca="false">IFERROR((I103-I104)/I103,"")</f>
        <v/>
      </c>
      <c r="J102" s="280" t="str">
        <f aca="false">IFERROR((J103-J104)/J103,"")</f>
        <v/>
      </c>
      <c r="K102" s="281" t="str">
        <f aca="false">IFERROR((K103-K104)/K103,"")</f>
        <v/>
      </c>
      <c r="L102" s="281" t="str">
        <f aca="false">IFERROR((L103-L104)/L103,"")</f>
        <v/>
      </c>
      <c r="M102" s="281" t="str">
        <f aca="false">IFERROR((M103-M104)/M103,"")</f>
        <v/>
      </c>
      <c r="N102" s="282" t="str">
        <f aca="false">IFERROR((N103-N104)/N103,"")</f>
        <v/>
      </c>
      <c r="O102" s="283" t="str">
        <f aca="false">IFERROR((O103-O104)/O103,"")</f>
        <v/>
      </c>
      <c r="P102" s="283" t="str">
        <f aca="false">IFERROR((P103-P104)/P103,"")</f>
        <v/>
      </c>
      <c r="Q102" s="283" t="str">
        <f aca="false">IFERROR((Q103-Q104)/Q103,"")</f>
        <v/>
      </c>
      <c r="R102" s="283" t="str">
        <f aca="false">IFERROR((R103-R104)/R103,"")</f>
        <v/>
      </c>
      <c r="S102" s="283" t="str">
        <f aca="false">IFERROR((S103-S104)/S103,"")</f>
        <v/>
      </c>
      <c r="T102" s="283" t="str">
        <f aca="false">IFERROR((T103-T104)/T103,"")</f>
        <v/>
      </c>
      <c r="U102" s="283" t="str">
        <f aca="false">IFERROR((U103-U104)/U103,"")</f>
        <v/>
      </c>
      <c r="V102" s="283" t="str">
        <f aca="false">IFERROR((V103-V104)/V103,"")</f>
        <v/>
      </c>
      <c r="W102" s="283" t="str">
        <f aca="false">IFERROR((W103-W104)/W103,"")</f>
        <v/>
      </c>
      <c r="X102" s="283" t="str">
        <f aca="false">IFERROR((X103-X104)/X103,"")</f>
        <v/>
      </c>
      <c r="Y102" s="283" t="str">
        <f aca="false">IFERROR((Y103-Y104)/Y103,"")</f>
        <v/>
      </c>
      <c r="Z102" s="282" t="str">
        <f aca="false">IFERROR((Z103-Z104)/Z103,"")</f>
        <v/>
      </c>
      <c r="AA102" s="282" t="str">
        <f aca="false">IFERROR((AA103-AA104)/AA103,"")</f>
        <v/>
      </c>
      <c r="AB102" s="282" t="str">
        <f aca="false">IFERROR((AB103-AB104)/AB103,"")</f>
        <v/>
      </c>
      <c r="AC102" s="282" t="str">
        <f aca="false">IFERROR((AC103-AC104)/AC103,"")</f>
        <v/>
      </c>
      <c r="AD102" s="282" t="str">
        <f aca="false">IFERROR((AD103-AD104)/AD103,"")</f>
        <v/>
      </c>
      <c r="AE102" s="282" t="str">
        <f aca="false">IFERROR((AE103-AE104)/AE103,"")</f>
        <v/>
      </c>
      <c r="AF102" s="282" t="str">
        <f aca="false">IFERROR((AF103-AF104)/AF103,"")</f>
        <v/>
      </c>
      <c r="AG102" s="282" t="str">
        <f aca="false">IFERROR((AG103-AG104)/AG103,"")</f>
        <v/>
      </c>
      <c r="AH102" s="282" t="str">
        <f aca="false">IFERROR((AH103-AH104)/AH103,"")</f>
        <v/>
      </c>
      <c r="AI102" s="282" t="str">
        <f aca="false">IFERROR((AI103-AI104)/AI103,"")</f>
        <v/>
      </c>
      <c r="AJ102" s="282" t="str">
        <f aca="false">IFERROR((AJ103-AJ104)/AJ103,"")</f>
        <v/>
      </c>
      <c r="AK102" s="282" t="str">
        <f aca="false">IFERROR((AK103-AK104)/AK103,"")</f>
        <v/>
      </c>
      <c r="AL102" s="282" t="str">
        <f aca="false">IFERROR((AL103-AL104)/AL103,"")</f>
        <v/>
      </c>
      <c r="AM102" s="282" t="str">
        <f aca="false">IFERROR((AM103-AM104)/AM103,"")</f>
        <v/>
      </c>
      <c r="AN102" s="284" t="str">
        <f aca="false">IFERROR((AN103-AN104)/AN103,"")</f>
        <v/>
      </c>
      <c r="AO102" s="285" t="str">
        <f aca="false">IFERROR((AO103-AO104)/AO103,"")</f>
        <v/>
      </c>
      <c r="AP102" s="286" t="str">
        <f aca="false">IFERROR((AP103-AP104)/AP103,"")</f>
        <v/>
      </c>
      <c r="AQ102" s="286" t="str">
        <f aca="false">IFERROR((AQ103-AQ104)/AQ103,"")</f>
        <v/>
      </c>
      <c r="AR102" s="286" t="str">
        <f aca="false">IFERROR((AR103-AR104)/AR103,"")</f>
        <v/>
      </c>
      <c r="AS102" s="286" t="str">
        <f aca="false">IFERROR((AS103-AS104)/AS103,"")</f>
        <v/>
      </c>
      <c r="AT102" s="286" t="str">
        <f aca="false">IFERROR((AT103-AT104)/AT103,"")</f>
        <v/>
      </c>
      <c r="AU102" s="287" t="str">
        <f aca="false">IFERROR((AU103-AU104)/AU103,"")</f>
        <v/>
      </c>
      <c r="AV102" s="288" t="str">
        <f aca="false">IFERROR((AV103-AV104)/AV103,"")</f>
        <v/>
      </c>
    </row>
    <row r="103" customFormat="false" ht="14.25" hidden="false" customHeight="false" outlineLevel="0" collapsed="false">
      <c r="A103" s="166" t="str">
        <f aca="false">+IF(C103+C104=0,"[ocultar]","")</f>
        <v>[ocultar]</v>
      </c>
      <c r="B103" s="289" t="s">
        <v>371</v>
      </c>
      <c r="C103" s="290" t="n">
        <f aca="false" t="array" ref="C103:C103">SUM(IF($B103=DATOS_[Sexo], IF($B102=DATOS_[AGRUP. CLAS. PROF.], IF("Dentro"=DATOS_[Check Periodo Ref.], 1/(COUNTIFS(DATOS_[Sexo],$B103,DATOS_[AGRUP. CLAS. PROF.],$B102,DATOS_[Check Periodo Ref.],"Dentro",DATOS_[id],DATOS_[id]))))))</f>
        <v>0</v>
      </c>
      <c r="D103" s="291" t="n">
        <f aca="false">COUNTIFS(DATOS_[AGRUP. CLAS. PROF.],$B102,DATOS_[Sexo],$B103,DATOS_[Check Periodo Ref.],"Dentro")</f>
        <v>0</v>
      </c>
      <c r="E103" s="291" t="n">
        <f aca="false">COUNTIFS(DATOS_[AGRUP. CLAS. PROF.],$B102,DATOS_[Sexo],$B103,DATOS_[Check Periodo Ref.],"Dentro",DATOS_[Check Nº SC Norm],"Sí")</f>
        <v>0</v>
      </c>
      <c r="F103" s="291" t="n">
        <f aca="false">COUNTIFS(DATOS_[AGRUP. CLAS. PROF.],$B102,DATOS_[Sexo],$B103,DATOS_[Check Periodo Ref.],"Dentro",DATOS_[Check Nº SC Anualiz],"Sí")</f>
        <v>0</v>
      </c>
      <c r="G103" s="291" t="n">
        <f aca="false">COUNTIFS(DATOS_[AGRUP. CLAS. PROF.],$B102,DATOS_[Sexo],$B103,DATOS_[Check Periodo Ref.],"Dentro",DATOS_[Check Nº SC Norm y Anualiz],"Sí")</f>
        <v>0</v>
      </c>
      <c r="H103" s="291" t="n">
        <f aca="false">COUNTIFS(DATOS_[AGRUP. CLAS. PROF.],$B102,DATOS_[Sexo],$B103,DATOS_[Check Periodo Ref.],"Dentro",DATOS_[Check Equiparación],"Sí")</f>
        <v>0</v>
      </c>
      <c r="I103" s="292" t="n">
        <f aca="false" t="array" ref="I103:I103">IFERROR( AVERAGE(IF(DATOS_[Sexo]=$B103,IF(DATOS_[[AGRUP. CLAS. PROF.]:[AGRUP. CLAS. PROF.]]=$B102,IF(DATOS_[Check Equiparado]="Sí",IF(DATOS_[Check Periodo Ref.]="Dentro",DATOS_[SALARIO BASE Eq],0))))), 0)</f>
        <v>0</v>
      </c>
      <c r="J103" s="302" t="n">
        <f aca="false" t="array" ref="J103:J103">IFERROR( (AVERAGE((IF(DATOS_[[Sexo]:[Sexo]]=$B103,IF(DATOS_[[AGRUP. CLAS. PROF.]:[AGRUP. CLAS. PROF.]]=$B102,IF(DATOS_[[Check Periodo Ref.]:[Check Periodo Ref.]]="Dentro",IF(DATOS_[[Check Equiparado]:[Check Equiparado]]="Sí",IF(DATOS!AE$4="Sí",(1/DATOS_[[% anualiz]:[% anualiz]]),1)*IF(DATOS!AE$5="Sí",1/DATOS_[[% normaliz]:[% normaliz]],1)*(DATOS_[Conc.Sal.01])))))))), 0)</f>
        <v>0</v>
      </c>
      <c r="K103" s="302" t="n">
        <f aca="false" t="array" ref="K103:K103">IFERROR( (AVERAGE((IF(DATOS_[[Sexo]:[Sexo]]=$B103,IF(DATOS_[[AGRUP. CLAS. PROF.]:[AGRUP. CLAS. PROF.]]=$B102,IF(DATOS_[[Check Periodo Ref.]:[Check Periodo Ref.]]="Dentro",IF(DATOS_[[Check Equiparado]:[Check Equiparado]]="Sí",IF(DATOS!AF$4="Sí",(1/DATOS_[[% anualiz]:[% anualiz]]),1)*IF(DATOS!AF$5="Sí",1/DATOS_[[% normaliz]:[% normaliz]],1)*(DATOS_[Conc.Sal.02])))))))), 0)</f>
        <v>0</v>
      </c>
      <c r="L103" s="302" t="n">
        <f aca="false" t="array" ref="L103:L103">IFERROR( (AVERAGE((IF(DATOS_[[Sexo]:[Sexo]]=$B103,IF(DATOS_[[AGRUP. CLAS. PROF.]:[AGRUP. CLAS. PROF.]]=$B102,IF(DATOS_[[Check Periodo Ref.]:[Check Periodo Ref.]]="Dentro",IF(DATOS_[[Check Equiparado]:[Check Equiparado]]="Sí",IF(DATOS!AG$4="Sí",(1/DATOS_[[% anualiz]:[% anualiz]]),1)*IF(DATOS!AG$5="Sí",1/DATOS_[[% normaliz]:[% normaliz]],1)*(DATOS_[Conc.Sal.03])))))))), 0)</f>
        <v>0</v>
      </c>
      <c r="M103" s="302" t="n">
        <f aca="false" t="array" ref="M103:M103">IFERROR( (AVERAGE((IF(DATOS_[[Sexo]:[Sexo]]=$B103,IF(DATOS_[[AGRUP. CLAS. PROF.]:[AGRUP. CLAS. PROF.]]=$B102,IF(DATOS_[[Check Periodo Ref.]:[Check Periodo Ref.]]="Dentro",IF(DATOS_[[Check Equiparado]:[Check Equiparado]]="Sí",IF(DATOS!AH$4="Sí",(1/DATOS_[[% anualiz]:[% anualiz]]),1)*IF(DATOS!AH$5="Sí",1/DATOS_[[% normaliz]:[% normaliz]],1)*(DATOS_[Conc.Sal.04])))))))), 0)</f>
        <v>0</v>
      </c>
      <c r="N103" s="302" t="n">
        <f aca="false" t="array" ref="N103:N103">IFERROR( (AVERAGE((IF(DATOS_[[Sexo]:[Sexo]]=$B103,IF(DATOS_[[AGRUP. CLAS. PROF.]:[AGRUP. CLAS. PROF.]]=$B102,IF(DATOS_[[Check Periodo Ref.]:[Check Periodo Ref.]]="Dentro",IF(DATOS_[[Check Equiparado]:[Check Equiparado]]="Sí",IF(DATOS!AI$4="Sí",(1/DATOS_[[% anualiz]:[% anualiz]]),1)*IF(DATOS!AI$5="Sí",1/DATOS_[[% normaliz]:[% normaliz]],1)*(DATOS_[Conc.Sal.05])))))))), 0)</f>
        <v>0</v>
      </c>
      <c r="O103" s="302" t="n">
        <f aca="false" t="array" ref="O103:O103">IFERROR( (AVERAGE((IF(DATOS_[[Sexo]:[Sexo]]=$B103,IF(DATOS_[[AGRUP. CLAS. PROF.]:[AGRUP. CLAS. PROF.]]=$B102,IF(DATOS_[[Check Periodo Ref.]:[Check Periodo Ref.]]="Dentro",IF(DATOS_[[Check Equiparado]:[Check Equiparado]]="Sí",IF(DATOS!AJ$4="Sí",(1/DATOS_[[% anualiz]:[% anualiz]]),1)*IF(DATOS!AJ$5="Sí",1/DATOS_[[% normaliz]:[% normaliz]],1)*(DATOS_[Conc.Sal.06])))))))), 0)</f>
        <v>0</v>
      </c>
      <c r="P103" s="302" t="n">
        <f aca="false" t="array" ref="P103:P103">IFERROR( (AVERAGE((IF(DATOS_[[Sexo]:[Sexo]]=$B103,IF(DATOS_[[AGRUP. CLAS. PROF.]:[AGRUP. CLAS. PROF.]]=$B102,IF(DATOS_[[Check Periodo Ref.]:[Check Periodo Ref.]]="Dentro",IF(DATOS_[[Check Equiparado]:[Check Equiparado]]="Sí",IF(DATOS!AK$4="Sí",(1/DATOS_[[% anualiz]:[% anualiz]]),1)*IF(DATOS!AK$5="Sí",1/DATOS_[[% normaliz]:[% normaliz]],1)*(DATOS_[Conc.Sal.07])))))))), 0)</f>
        <v>0</v>
      </c>
      <c r="Q103" s="302" t="n">
        <f aca="false" t="array" ref="Q103:Q103">IFERROR( (AVERAGE((IF(DATOS_[[Sexo]:[Sexo]]=$B103,IF(DATOS_[[AGRUP. CLAS. PROF.]:[AGRUP. CLAS. PROF.]]=$B102,IF(DATOS_[[Check Periodo Ref.]:[Check Periodo Ref.]]="Dentro",IF(DATOS_[[Check Equiparado]:[Check Equiparado]]="Sí",IF(DATOS!AL$4="Sí",(1/DATOS_[[% anualiz]:[% anualiz]]),1)*IF(DATOS!AL$5="Sí",1/DATOS_[[% normaliz]:[% normaliz]],1)*(DATOS_[Conc.Sal.08])))))))), 0)</f>
        <v>0</v>
      </c>
      <c r="R103" s="302" t="n">
        <f aca="false" t="array" ref="R103:R103">IFERROR( (AVERAGE((IF(DATOS_[[Sexo]:[Sexo]]=$B103,IF(DATOS_[[AGRUP. CLAS. PROF.]:[AGRUP. CLAS. PROF.]]=$B102,IF(DATOS_[[Check Periodo Ref.]:[Check Periodo Ref.]]="Dentro",IF(DATOS_[[Check Equiparado]:[Check Equiparado]]="Sí",IF(DATOS!AM$4="Sí",(1/DATOS_[[% anualiz]:[% anualiz]]),1)*IF(DATOS!AM$5="Sí",1/DATOS_[[% normaliz]:[% normaliz]],1)*(DATOS_[Conc.Sal.09])))))))), 0)</f>
        <v>0</v>
      </c>
      <c r="S103" s="302" t="n">
        <f aca="false" t="array" ref="S103:S103">IFERROR( (AVERAGE((IF(DATOS_[[Sexo]:[Sexo]]=$B103,IF(DATOS_[[AGRUP. CLAS. PROF.]:[AGRUP. CLAS. PROF.]]=$B102,IF(DATOS_[[Check Periodo Ref.]:[Check Periodo Ref.]]="Dentro",IF(DATOS_[[Check Equiparado]:[Check Equiparado]]="Sí",IF(DATOS!AN$4="Sí",(1/DATOS_[[% anualiz]:[% anualiz]]),1)*IF(DATOS!AN$5="Sí",1/DATOS_[[% normaliz]:[% normaliz]],1)*(DATOS_[Conc.Sal.10])))))))), 0)</f>
        <v>0</v>
      </c>
      <c r="T103" s="302" t="n">
        <f aca="false" t="array" ref="T103:T103">IFERROR( (AVERAGE((IF(DATOS_[[Sexo]:[Sexo]]=$B103,IF(DATOS_[[AGRUP. CLAS. PROF.]:[AGRUP. CLAS. PROF.]]=$B102,IF(DATOS_[[Check Periodo Ref.]:[Check Periodo Ref.]]="Dentro",IF(DATOS_[[Check Equiparado]:[Check Equiparado]]="Sí",IF(DATOS!AO$4="Sí",(1/DATOS_[[% anualiz]:[% anualiz]]),1)*IF(DATOS!AO$5="Sí",1/DATOS_[[% normaliz]:[% normaliz]],1)*(DATOS_[Conc.Sal.11])))))))), 0)</f>
        <v>0</v>
      </c>
      <c r="U103" s="302" t="n">
        <f aca="false" t="array" ref="U103:U103">IFERROR( (AVERAGE((IF(DATOS_[[Sexo]:[Sexo]]=$B103,IF(DATOS_[[AGRUP. CLAS. PROF.]:[AGRUP. CLAS. PROF.]]=$B102,IF(DATOS_[[Check Periodo Ref.]:[Check Periodo Ref.]]="Dentro",IF(DATOS_[[Check Equiparado]:[Check Equiparado]]="Sí",IF(DATOS!AP$4="Sí",(1/DATOS_[[% anualiz]:[% anualiz]]),1)*IF(DATOS!AP$5="Sí",1/DATOS_[[% normaliz]:[% normaliz]],1)*(DATOS_[Conc.Sal.12])))))))), 0)</f>
        <v>0</v>
      </c>
      <c r="V103" s="302" t="n">
        <f aca="false" t="array" ref="V103:V103">IFERROR( (AVERAGE((IF(DATOS_[[Sexo]:[Sexo]]=$B103,IF(DATOS_[[AGRUP. CLAS. PROF.]:[AGRUP. CLAS. PROF.]]=$B102,IF(DATOS_[[Check Periodo Ref.]:[Check Periodo Ref.]]="Dentro",IF(DATOS_[[Check Equiparado]:[Check Equiparado]]="Sí",IF(DATOS!AQ$4="Sí",(1/DATOS_[[% anualiz]:[% anualiz]]),1)*IF(DATOS!AQ$5="Sí",1/DATOS_[[% normaliz]:[% normaliz]],1)*(DATOS_[Conc.Sal.13])))))))), 0)</f>
        <v>0</v>
      </c>
      <c r="W103" s="302" t="n">
        <f aca="false" t="array" ref="W103:W103">IFERROR( (AVERAGE((IF(DATOS_[[Sexo]:[Sexo]]=$B103,IF(DATOS_[[AGRUP. CLAS. PROF.]:[AGRUP. CLAS. PROF.]]=$B102,IF(DATOS_[[Check Periodo Ref.]:[Check Periodo Ref.]]="Dentro",IF(DATOS_[[Check Equiparado]:[Check Equiparado]]="Sí",IF(DATOS!AR$4="Sí",(1/DATOS_[[% anualiz]:[% anualiz]]),1)*IF(DATOS!AR$5="Sí",1/DATOS_[[% normaliz]:[% normaliz]],1)*(DATOS_[Conc.Sal.14])))))))), 0)</f>
        <v>0</v>
      </c>
      <c r="X103" s="302" t="n">
        <f aca="false" t="array" ref="X103:X103">IFERROR( (AVERAGE((IF(DATOS_[[Sexo]:[Sexo]]=$B103,IF(DATOS_[[AGRUP. CLAS. PROF.]:[AGRUP. CLAS. PROF.]]=$B102,IF(DATOS_[[Check Periodo Ref.]:[Check Periodo Ref.]]="Dentro",IF(DATOS_[[Check Equiparado]:[Check Equiparado]]="Sí",IF(DATOS!AS$4="Sí",(1/DATOS_[[% anualiz]:[% anualiz]]),1)*IF(DATOS!AS$5="Sí",1/DATOS_[[% normaliz]:[% normaliz]],1)*(DATOS_[Conc.Sal.15])))))))), 0)</f>
        <v>0</v>
      </c>
      <c r="Y103" s="302" t="n">
        <f aca="false" t="array" ref="Y103:Y103">IFERROR( (AVERAGE((IF(DATOS_[[Sexo]:[Sexo]]=$B103,IF(DATOS_[[AGRUP. CLAS. PROF.]:[AGRUP. CLAS. PROF.]]=$B102,IF(DATOS_[[Check Periodo Ref.]:[Check Periodo Ref.]]="Dentro",IF(DATOS_[[Check Equiparado]:[Check Equiparado]]="Sí",IF(DATOS!AT$4="Sí",(1/DATOS_[[% anualiz]:[% anualiz]]),1)*IF(DATOS!AT$5="Sí",1/DATOS_[[% normaliz]:[% normaliz]],1)*(DATOS_[Conc.Sal.16])))))))), 0)</f>
        <v>0</v>
      </c>
      <c r="Z103" s="302" t="n">
        <f aca="false" t="array" ref="Z103:Z103">IFERROR( (AVERAGE((IF(DATOS_[[Sexo]:[Sexo]]=$B103,IF(DATOS_[[AGRUP. CLAS. PROF.]:[AGRUP. CLAS. PROF.]]=$B102,IF(DATOS_[[Check Periodo Ref.]:[Check Periodo Ref.]]="Dentro",IF(DATOS_[[Check Equiparado]:[Check Equiparado]]="Sí",IF(DATOS!AU$4="Sí",(1/DATOS_[[% anualiz]:[% anualiz]]),1)*IF(DATOS!AU$5="Sí",1/DATOS_[[% normaliz]:[% normaliz]],1)*(DATOS_[Conc.Sal.17])))))))), 0)</f>
        <v>0</v>
      </c>
      <c r="AA103" s="302" t="n">
        <f aca="false" t="array" ref="AA103:AA103">IFERROR( (AVERAGE((IF(DATOS_[[Sexo]:[Sexo]]=$B103,IF(DATOS_[[AGRUP. CLAS. PROF.]:[AGRUP. CLAS. PROF.]]=$B102,IF(DATOS_[[Check Periodo Ref.]:[Check Periodo Ref.]]="Dentro",IF(DATOS_[[Check Equiparado]:[Check Equiparado]]="Sí",IF(DATOS!AV$4="Sí",(1/DATOS_[[% anualiz]:[% anualiz]]),1)*IF(DATOS!AV$5="Sí",1/DATOS_[[% normaliz]:[% normaliz]],1)*(DATOS_[Conc.Sal.18])))))))), 0)</f>
        <v>0</v>
      </c>
      <c r="AB103" s="302" t="n">
        <f aca="false" t="array" ref="AB103:AB103">IFERROR( (AVERAGE((IF(DATOS_[[Sexo]:[Sexo]]=$B103,IF(DATOS_[[AGRUP. CLAS. PROF.]:[AGRUP. CLAS. PROF.]]=$B102,IF(DATOS_[[Check Periodo Ref.]:[Check Periodo Ref.]]="Dentro",IF(DATOS_[[Check Equiparado]:[Check Equiparado]]="Sí",IF(DATOS!AW$4="Sí",(1/DATOS_[[% anualiz]:[% anualiz]]),1)*IF(DATOS!AW$5="Sí",1/DATOS_[[% normaliz]:[% normaliz]],1)*(DATOS_[Conc.Sal.19])))))))), 0)</f>
        <v>0</v>
      </c>
      <c r="AC103" s="302" t="n">
        <f aca="false" t="array" ref="AC103:AC103">IFERROR( (AVERAGE((IF(DATOS_[[Sexo]:[Sexo]]=$B103,IF(DATOS_[[AGRUP. CLAS. PROF.]:[AGRUP. CLAS. PROF.]]=$B102,IF(DATOS_[[Check Periodo Ref.]:[Check Periodo Ref.]]="Dentro",IF(DATOS_[[Check Equiparado]:[Check Equiparado]]="Sí",IF(DATOS!AX$4="Sí",(1/DATOS_[[% anualiz]:[% anualiz]]),1)*IF(DATOS!AX$5="Sí",1/DATOS_[[% normaliz]:[% normaliz]],1)*(DATOS_[Conc.Sal.20])))))))), 0)</f>
        <v>0</v>
      </c>
      <c r="AD103" s="302" t="n">
        <f aca="false" t="array" ref="AD103:AD103">IFERROR( (AVERAGE((IF(DATOS_[[Sexo]:[Sexo]]=$B103,IF(DATOS_[[AGRUP. CLAS. PROF.]:[AGRUP. CLAS. PROF.]]=$B102,IF(DATOS_[[Check Periodo Ref.]:[Check Periodo Ref.]]="Dentro",IF(DATOS_[[Check Equiparado]:[Check Equiparado]]="Sí",IF(DATOS!AY$4="Sí",(1/DATOS_[[% anualiz]:[% anualiz]]),1)*IF(DATOS!AY$5="Sí",1/DATOS_[[% normaliz]:[% normaliz]],1)*(DATOS_[Conc.Sal.21])))))))), 0)</f>
        <v>0</v>
      </c>
      <c r="AE103" s="302" t="n">
        <f aca="false" t="array" ref="AE103:AE103">IFERROR( (AVERAGE((IF(DATOS_[[Sexo]:[Sexo]]=$B103,IF(DATOS_[[AGRUP. CLAS. PROF.]:[AGRUP. CLAS. PROF.]]=$B102,IF(DATOS_[[Check Periodo Ref.]:[Check Periodo Ref.]]="Dentro",IF(DATOS_[[Check Equiparado]:[Check Equiparado]]="Sí",IF(DATOS!AZ$4="Sí",(1/DATOS_[[% anualiz]:[% anualiz]]),1)*IF(DATOS!AZ$5="Sí",1/DATOS_[[% normaliz]:[% normaliz]],1)*(DATOS_[Conc.Sal.22])))))))), 0)</f>
        <v>0</v>
      </c>
      <c r="AF103" s="302" t="n">
        <f aca="false" t="array" ref="AF103:AF103">IFERROR( (AVERAGE((IF(DATOS_[[Sexo]:[Sexo]]=$B103,IF(DATOS_[[AGRUP. CLAS. PROF.]:[AGRUP. CLAS. PROF.]]=$B102,IF(DATOS_[[Check Periodo Ref.]:[Check Periodo Ref.]]="Dentro",IF(DATOS_[[Check Equiparado]:[Check Equiparado]]="Sí",IF(DATOS!BA$4="Sí",(1/DATOS_[[% anualiz]:[% anualiz]]),1)*IF(DATOS!BA$5="Sí",1/DATOS_[[% normaliz]:[% normaliz]],1)*(DATOS_[Conc.Sal.23])))))))), 0)</f>
        <v>0</v>
      </c>
      <c r="AG103" s="302" t="n">
        <f aca="false" t="array" ref="AG103:AG103">IFERROR( (AVERAGE((IF(DATOS_[[Sexo]:[Sexo]]=$B103,IF(DATOS_[[AGRUP. CLAS. PROF.]:[AGRUP. CLAS. PROF.]]=$B102,IF(DATOS_[[Check Periodo Ref.]:[Check Periodo Ref.]]="Dentro",IF(DATOS_[[Check Equiparado]:[Check Equiparado]]="Sí",IF(DATOS!BB$4="Sí",(1/DATOS_[[% anualiz]:[% anualiz]]),1)*IF(DATOS!BB$5="Sí",1/DATOS_[[% normaliz]:[% normaliz]],1)*(DATOS_[Conc.Sal.24])))))))), 0)</f>
        <v>0</v>
      </c>
      <c r="AH103" s="302" t="n">
        <f aca="false" t="array" ref="AH103:AH103">IFERROR( (AVERAGE((IF(DATOS_[[Sexo]:[Sexo]]=$B103,IF(DATOS_[[AGRUP. CLAS. PROF.]:[AGRUP. CLAS. PROF.]]=$B102,IF(DATOS_[[Check Periodo Ref.]:[Check Periodo Ref.]]="Dentro",IF(DATOS_[[Check Equiparado]:[Check Equiparado]]="Sí",IF(DATOS!BC$4="Sí",(1/DATOS_[[% anualiz]:[% anualiz]]),1)*IF(DATOS!BC$5="Sí",1/DATOS_[[% normaliz]:[% normaliz]],1)*(DATOS_[Conc.Sal.25])))))))), 0)</f>
        <v>0</v>
      </c>
      <c r="AI103" s="302" t="n">
        <f aca="false" t="array" ref="AI103:AI103">IFERROR( (AVERAGE((IF(DATOS_[[Sexo]:[Sexo]]=$B103,IF(DATOS_[[AGRUP. CLAS. PROF.]:[AGRUP. CLAS. PROF.]]=$B102,IF(DATOS_[[Check Periodo Ref.]:[Check Periodo Ref.]]="Dentro",IF(DATOS_[[Check Equiparado]:[Check Equiparado]]="Sí",IF(DATOS!BD$4="Sí",(1/DATOS_[[% anualiz]:[% anualiz]]),1)*IF(DATOS!BD$5="Sí",1/DATOS_[[% normaliz]:[% normaliz]],1)*(DATOS_[Conc.Sal.26])))))))), 0)</f>
        <v>0</v>
      </c>
      <c r="AJ103" s="302" t="n">
        <f aca="false" t="array" ref="AJ103:AJ103">IFERROR( (AVERAGE((IF(DATOS_[[Sexo]:[Sexo]]=$B103,IF(DATOS_[[AGRUP. CLAS. PROF.]:[AGRUP. CLAS. PROF.]]=$B102,IF(DATOS_[[Check Periodo Ref.]:[Check Periodo Ref.]]="Dentro",IF(DATOS_[[Check Equiparado]:[Check Equiparado]]="Sí",IF(DATOS!BE$4="Sí",(1/DATOS_[[% anualiz]:[% anualiz]]),1)*IF(DATOS!BE$5="Sí",1/DATOS_[[% normaliz]:[% normaliz]],1)*(DATOS_[Conc.Sal.27])))))))), 0)</f>
        <v>0</v>
      </c>
      <c r="AK103" s="302" t="n">
        <f aca="false" t="array" ref="AK103:AK103">IFERROR( (AVERAGE((IF(DATOS_[[Sexo]:[Sexo]]=$B103,IF(DATOS_[[AGRUP. CLAS. PROF.]:[AGRUP. CLAS. PROF.]]=$B102,IF(DATOS_[[Check Periodo Ref.]:[Check Periodo Ref.]]="Dentro",IF(DATOS_[[Check Equiparado]:[Check Equiparado]]="Sí",IF(DATOS!BF$4="Sí",(1/DATOS_[[% anualiz]:[% anualiz]]),1)*IF(DATOS!BF$5="Sí",1/DATOS_[[% normaliz]:[% normaliz]],1)*(DATOS_[Conc.Sal.28])))))))), 0)</f>
        <v>0</v>
      </c>
      <c r="AL103" s="302" t="n">
        <f aca="false" t="array" ref="AL103:AL103">IFERROR( (AVERAGE((IF(DATOS_[[Sexo]:[Sexo]]=$B103,IF(DATOS_[[AGRUP. CLAS. PROF.]:[AGRUP. CLAS. PROF.]]=$B102,IF(DATOS_[[Check Periodo Ref.]:[Check Periodo Ref.]]="Dentro",IF(DATOS_[[Check Equiparado]:[Check Equiparado]]="Sí",IF(DATOS!BG$4="Sí",(1/DATOS_[[% anualiz]:[% anualiz]]),1)*IF(DATOS!BG$5="Sí",1/DATOS_[[% normaliz]:[% normaliz]],1)*(DATOS_[Conc.Sal.29])))))))), 0)</f>
        <v>0</v>
      </c>
      <c r="AM103" s="302" t="n">
        <f aca="false" t="array" ref="AM103:AM103">IFERROR( (AVERAGE((IF(DATOS_[[Sexo]:[Sexo]]=$B103,IF(DATOS_[[AGRUP. CLAS. PROF.]:[AGRUP. CLAS. PROF.]]=$B102,IF(DATOS_[[Check Periodo Ref.]:[Check Periodo Ref.]]="Dentro",IF(DATOS_[[Check Equiparado]:[Check Equiparado]]="Sí",IF(DATOS!BH$4="Sí",(1/DATOS_[[% anualiz]:[% anualiz]]),1)*IF(DATOS!BH$5="Sí",1/DATOS_[[% normaliz]:[% normaliz]],1)*(DATOS_[Conc.Sal.30])))))))), 0)</f>
        <v>0</v>
      </c>
      <c r="AN103" s="294" t="n">
        <f aca="false" t="array" ref="AN103:AN103">IFERROR( AVERAGE(IF(DATOS_[Sexo]=$B103,IF(DATOS_[[AGRUP. CLAS. PROF.]:[AGRUP. CLAS. PROF.]]=$B102,IF(DATOS_[Check Equiparado]="Sí",IF(DATOS_[Check Periodo Ref.]="Dentro",DATOS_[Tot COMPL.SAL Eq],0))))), 0)</f>
        <v>0</v>
      </c>
      <c r="AO103" s="295" t="n">
        <f aca="false" t="array" ref="AO103:AO103">IFERROR( AVERAGE(IF(DATOS_[Sexo]=$B103,IF(DATOS_[[AGRUP. CLAS. PROF.]:[AGRUP. CLAS. PROF.]]=$B102,IF(DATOS_[Check Equiparado]="Sí",IF(DATOS_[Check Periodo Ref.]="Dentro",DATOS_[TOTAL SALARIO Eq],0))))), 0)</f>
        <v>0</v>
      </c>
      <c r="AP103" s="303" t="n">
        <f aca="false" t="array" ref="AP103:AP103">IFERROR( (AVERAGE((IF(DATOS_[[Sexo]:[Sexo]]=$B103,IF(DATOS_[[AGRUP. CLAS. PROF.]:[AGRUP. CLAS. PROF.]]=$B102,IF(DATOS_[[Check Periodo Ref.]:[Check Periodo Ref.]]="Dentro",IF(DATOS_[[Check Equiparado]:[Check Equiparado]]="Sí",IF(DATOS!BI$4="Sí",(1/DATOS_[[% anualiz]:[% anualiz]]),1)*IF(DATOS!BI$5="Sí",1/DATOS_[[% normaliz]:[% normaliz]],1)*(DATOS_[C.Extra.01])))))))), 0)</f>
        <v>0</v>
      </c>
      <c r="AQ103" s="303" t="n">
        <f aca="false" t="array" ref="AQ103:AQ103">IFERROR( (AVERAGE((IF(DATOS_[[Sexo]:[Sexo]]=$B103,IF(DATOS_[[AGRUP. CLAS. PROF.]:[AGRUP. CLAS. PROF.]]=$B102,IF(DATOS_[[Check Periodo Ref.]:[Check Periodo Ref.]]="Dentro",IF(DATOS_[[Check Equiparado]:[Check Equiparado]]="Sí",IF(DATOS!BJ$4="Sí",(1/DATOS_[[% anualiz]:[% anualiz]]),1)*IF(DATOS!BJ$5="Sí",1/DATOS_[[% normaliz]:[% normaliz]],1)*(DATOS_[C.Extra.02])))))))), 0)</f>
        <v>0</v>
      </c>
      <c r="AR103" s="303" t="n">
        <f aca="false" t="array" ref="AR103:AR103">IFERROR( (AVERAGE((IF(DATOS_[[Sexo]:[Sexo]]=$B103,IF(DATOS_[[AGRUP. CLAS. PROF.]:[AGRUP. CLAS. PROF.]]=$B102,IF(DATOS_[[Check Periodo Ref.]:[Check Periodo Ref.]]="Dentro",IF(DATOS_[[Check Equiparado]:[Check Equiparado]]="Sí",IF(DATOS!BK$4="Sí",(1/DATOS_[[% anualiz]:[% anualiz]]),1)*IF(DATOS!BK$5="Sí",1/DATOS_[[% normaliz]:[% normaliz]],1)*(DATOS_[C.Extra.03])))))))), 0)</f>
        <v>0</v>
      </c>
      <c r="AS103" s="303" t="n">
        <f aca="false" t="array" ref="AS103:AS103">IFERROR( (AVERAGE((IF(DATOS_[[Sexo]:[Sexo]]=$B103,IF(DATOS_[[AGRUP. CLAS. PROF.]:[AGRUP. CLAS. PROF.]]=$B102,IF(DATOS_[[Check Periodo Ref.]:[Check Periodo Ref.]]="Dentro",IF(DATOS_[[Check Equiparado]:[Check Equiparado]]="Sí",IF(DATOS!BL$4="Sí",(1/DATOS_[[% anualiz]:[% anualiz]]),1)*IF(DATOS!BL$5="Sí",1/DATOS_[[% normaliz]:[% normaliz]],1)*(DATOS_[C.Extra.04])))))))), 0)</f>
        <v>0</v>
      </c>
      <c r="AT103" s="303" t="n">
        <f aca="false" t="array" ref="AT103:AT103">IFERROR( (AVERAGE((IF(DATOS_[[Sexo]:[Sexo]]=$B103,IF(DATOS_[[AGRUP. CLAS. PROF.]:[AGRUP. CLAS. PROF.]]=$B102,IF(DATOS_[[Check Periodo Ref.]:[Check Periodo Ref.]]="Dentro",IF(DATOS_[[Check Equiparado]:[Check Equiparado]]="Sí",IF(DATOS!BM$4="Sí",(1/DATOS_[[% anualiz]:[% anualiz]]),1)*IF(DATOS!BM$5="Sí",1/DATOS_[[% normaliz]:[% normaliz]],1)*(DATOS_[C.Extra.05])))))))), 0)</f>
        <v>0</v>
      </c>
      <c r="AU103" s="297" t="n">
        <f aca="false" t="array" ref="AU103:AU103">IFERROR( AVERAGE(IF(DATOS_[Sexo]=$B103,IF(DATOS_[[AGRUP. CLAS. PROF.]:[AGRUP. CLAS. PROF.]]=$B102,IF(DATOS_[Check Equiparado]="Sí",IF(DATOS_[Check Periodo Ref.]="Dentro",DATOS_[Tot Extrasalarial Eq],0))))), 0)</f>
        <v>0</v>
      </c>
      <c r="AV103" s="298" t="n">
        <f aca="false" t="array" ref="AV103:AV103">IFERROR( AVERAGE(IF(DATOS_[Sexo]=$B103,IF(DATOS_[[AGRUP. CLAS. PROF.]:[AGRUP. CLAS. PROF.]]=$B102,IF(DATOS_[Check Equiparado]="Sí",IF(DATOS_[Check Periodo Ref.]="Dentro",DATOS_[TOTAL Retrib Eq],0))))), 0)</f>
        <v>0</v>
      </c>
    </row>
    <row r="104" customFormat="false" ht="14.25" hidden="false" customHeight="false" outlineLevel="0" collapsed="false">
      <c r="A104" s="166" t="str">
        <f aca="false">+A103</f>
        <v>[ocultar]</v>
      </c>
      <c r="B104" s="289" t="s">
        <v>372</v>
      </c>
      <c r="C104" s="290" t="n">
        <f aca="false" t="array" ref="C104:C104">SUM(IF($B104=DATOS_[Sexo], IF($B102=DATOS_[AGRUP. CLAS. PROF.], IF("Dentro"=DATOS_[Check Periodo Ref.], 1/(COUNTIFS(DATOS_[Sexo],$B104,DATOS_[AGRUP. CLAS. PROF.],$B102,DATOS_[Check Periodo Ref.],"Dentro",DATOS_[id],DATOS_[id]))))))</f>
        <v>0</v>
      </c>
      <c r="D104" s="291" t="n">
        <f aca="false">COUNTIFS(DATOS_[AGRUP. CLAS. PROF.],$B102,DATOS_[Sexo],$B104,DATOS_[Check Periodo Ref.],"Dentro")</f>
        <v>0</v>
      </c>
      <c r="E104" s="291" t="n">
        <f aca="false">COUNTIFS(DATOS_[AGRUP. CLAS. PROF.],$B102,DATOS_[Sexo],$B104,DATOS_[Check Periodo Ref.],"Dentro",DATOS_[Check Nº SC Norm],"Sí")</f>
        <v>0</v>
      </c>
      <c r="F104" s="291" t="n">
        <f aca="false">COUNTIFS(DATOS_[AGRUP. CLAS. PROF.],$B102,DATOS_[Sexo],$B104,DATOS_[Check Periodo Ref.],"Dentro",DATOS_[Check Nº SC Anualiz],"Sí")</f>
        <v>0</v>
      </c>
      <c r="G104" s="291" t="n">
        <f aca="false">COUNTIFS(DATOS_[AGRUP. CLAS. PROF.],$B102,DATOS_[Sexo],$B104,DATOS_[Check Periodo Ref.],"Dentro",DATOS_[Check Nº SC Norm y Anualiz],"Sí")</f>
        <v>0</v>
      </c>
      <c r="H104" s="291" t="n">
        <f aca="false">COUNTIFS(DATOS_[AGRUP. CLAS. PROF.],$B102,DATOS_[Sexo],$B104,DATOS_[Check Periodo Ref.],"Dentro",DATOS_[Check Equiparación],"Sí")</f>
        <v>0</v>
      </c>
      <c r="I104" s="292" t="n">
        <f aca="false" t="array" ref="I104:I104">IFERROR( AVERAGE(IF(DATOS_[Sexo]=$B104,IF(DATOS_[[AGRUP. CLAS. PROF.]:[AGRUP. CLAS. PROF.]]=$B102,IF(DATOS_[Check Equiparado]="Sí",IF(DATOS_[Check Periodo Ref.]="Dentro",DATOS_[SALARIO BASE Eq],0))))), 0)</f>
        <v>0</v>
      </c>
      <c r="J104" s="302" t="n">
        <f aca="false" t="array" ref="J104:J104">IFERROR( (AVERAGE((IF(DATOS_[[Sexo]:[Sexo]]=$B104,IF(DATOS_[[AGRUP. CLAS. PROF.]:[AGRUP. CLAS. PROF.]]=$B102,IF(DATOS_[[Check Periodo Ref.]:[Check Periodo Ref.]]="Dentro",IF(DATOS_[[Check Equiparado]:[Check Equiparado]]="Sí",IF(DATOS!AE$4="Sí",(1/DATOS_[[% anualiz]:[% anualiz]]),1)*IF(DATOS!AE$5="Sí",1/DATOS_[[% normaliz]:[% normaliz]],1)*(DATOS_[Conc.Sal.01])))))))), 0)</f>
        <v>0</v>
      </c>
      <c r="K104" s="302" t="n">
        <f aca="false" t="array" ref="K104:K104">IFERROR( (AVERAGE((IF(DATOS_[[Sexo]:[Sexo]]=$B104,IF(DATOS_[[AGRUP. CLAS. PROF.]:[AGRUP. CLAS. PROF.]]=$B102,IF(DATOS_[[Check Periodo Ref.]:[Check Periodo Ref.]]="Dentro",IF(DATOS_[[Check Equiparado]:[Check Equiparado]]="Sí",IF(DATOS!AF$4="Sí",(1/DATOS_[[% anualiz]:[% anualiz]]),1)*IF(DATOS!AF$5="Sí",1/DATOS_[[% normaliz]:[% normaliz]],1)*(DATOS_[Conc.Sal.02])))))))), 0)</f>
        <v>0</v>
      </c>
      <c r="L104" s="302" t="n">
        <f aca="false" t="array" ref="L104:L104">IFERROR( (AVERAGE((IF(DATOS_[[Sexo]:[Sexo]]=$B104,IF(DATOS_[[AGRUP. CLAS. PROF.]:[AGRUP. CLAS. PROF.]]=$B102,IF(DATOS_[[Check Periodo Ref.]:[Check Periodo Ref.]]="Dentro",IF(DATOS_[[Check Equiparado]:[Check Equiparado]]="Sí",IF(DATOS!AG$4="Sí",(1/DATOS_[[% anualiz]:[% anualiz]]),1)*IF(DATOS!AG$5="Sí",1/DATOS_[[% normaliz]:[% normaliz]],1)*(DATOS_[Conc.Sal.03])))))))), 0)</f>
        <v>0</v>
      </c>
      <c r="M104" s="302" t="n">
        <f aca="false" t="array" ref="M104:M104">IFERROR( (AVERAGE((IF(DATOS_[[Sexo]:[Sexo]]=$B104,IF(DATOS_[[AGRUP. CLAS. PROF.]:[AGRUP. CLAS. PROF.]]=$B102,IF(DATOS_[[Check Periodo Ref.]:[Check Periodo Ref.]]="Dentro",IF(DATOS_[[Check Equiparado]:[Check Equiparado]]="Sí",IF(DATOS!AH$4="Sí",(1/DATOS_[[% anualiz]:[% anualiz]]),1)*IF(DATOS!AH$5="Sí",1/DATOS_[[% normaliz]:[% normaliz]],1)*(DATOS_[Conc.Sal.04])))))))), 0)</f>
        <v>0</v>
      </c>
      <c r="N104" s="302" t="n">
        <f aca="false" t="array" ref="N104:N104">IFERROR( (AVERAGE((IF(DATOS_[[Sexo]:[Sexo]]=$B104,IF(DATOS_[[AGRUP. CLAS. PROF.]:[AGRUP. CLAS. PROF.]]=$B102,IF(DATOS_[[Check Periodo Ref.]:[Check Periodo Ref.]]="Dentro",IF(DATOS_[[Check Equiparado]:[Check Equiparado]]="Sí",IF(DATOS!AI$4="Sí",(1/DATOS_[[% anualiz]:[% anualiz]]),1)*IF(DATOS!AI$5="Sí",1/DATOS_[[% normaliz]:[% normaliz]],1)*(DATOS_[Conc.Sal.05])))))))), 0)</f>
        <v>0</v>
      </c>
      <c r="O104" s="302" t="n">
        <f aca="false" t="array" ref="O104:O104">IFERROR( (AVERAGE((IF(DATOS_[[Sexo]:[Sexo]]=$B104,IF(DATOS_[[AGRUP. CLAS. PROF.]:[AGRUP. CLAS. PROF.]]=$B102,IF(DATOS_[[Check Periodo Ref.]:[Check Periodo Ref.]]="Dentro",IF(DATOS_[[Check Equiparado]:[Check Equiparado]]="Sí",IF(DATOS!AJ$4="Sí",(1/DATOS_[[% anualiz]:[% anualiz]]),1)*IF(DATOS!AJ$5="Sí",1/DATOS_[[% normaliz]:[% normaliz]],1)*(DATOS_[Conc.Sal.06])))))))), 0)</f>
        <v>0</v>
      </c>
      <c r="P104" s="302" t="n">
        <f aca="false" t="array" ref="P104:P104">IFERROR( (AVERAGE((IF(DATOS_[[Sexo]:[Sexo]]=$B104,IF(DATOS_[[AGRUP. CLAS. PROF.]:[AGRUP. CLAS. PROF.]]=$B102,IF(DATOS_[[Check Periodo Ref.]:[Check Periodo Ref.]]="Dentro",IF(DATOS_[[Check Equiparado]:[Check Equiparado]]="Sí",IF(DATOS!AK$4="Sí",(1/DATOS_[[% anualiz]:[% anualiz]]),1)*IF(DATOS!AK$5="Sí",1/DATOS_[[% normaliz]:[% normaliz]],1)*(DATOS_[Conc.Sal.07])))))))), 0)</f>
        <v>0</v>
      </c>
      <c r="Q104" s="302" t="n">
        <f aca="false" t="array" ref="Q104:Q104">IFERROR( (AVERAGE((IF(DATOS_[[Sexo]:[Sexo]]=$B104,IF(DATOS_[[AGRUP. CLAS. PROF.]:[AGRUP. CLAS. PROF.]]=$B102,IF(DATOS_[[Check Periodo Ref.]:[Check Periodo Ref.]]="Dentro",IF(DATOS_[[Check Equiparado]:[Check Equiparado]]="Sí",IF(DATOS!AL$4="Sí",(1/DATOS_[[% anualiz]:[% anualiz]]),1)*IF(DATOS!AL$5="Sí",1/DATOS_[[% normaliz]:[% normaliz]],1)*(DATOS_[Conc.Sal.08])))))))), 0)</f>
        <v>0</v>
      </c>
      <c r="R104" s="302" t="n">
        <f aca="false" t="array" ref="R104:R104">IFERROR( (AVERAGE((IF(DATOS_[[Sexo]:[Sexo]]=$B104,IF(DATOS_[[AGRUP. CLAS. PROF.]:[AGRUP. CLAS. PROF.]]=$B102,IF(DATOS_[[Check Periodo Ref.]:[Check Periodo Ref.]]="Dentro",IF(DATOS_[[Check Equiparado]:[Check Equiparado]]="Sí",IF(DATOS!AM$4="Sí",(1/DATOS_[[% anualiz]:[% anualiz]]),1)*IF(DATOS!AM$5="Sí",1/DATOS_[[% normaliz]:[% normaliz]],1)*(DATOS_[Conc.Sal.09])))))))), 0)</f>
        <v>0</v>
      </c>
      <c r="S104" s="302" t="n">
        <f aca="false" t="array" ref="S104:S104">IFERROR( (AVERAGE((IF(DATOS_[[Sexo]:[Sexo]]=$B104,IF(DATOS_[[AGRUP. CLAS. PROF.]:[AGRUP. CLAS. PROF.]]=$B102,IF(DATOS_[[Check Periodo Ref.]:[Check Periodo Ref.]]="Dentro",IF(DATOS_[[Check Equiparado]:[Check Equiparado]]="Sí",IF(DATOS!AN$4="Sí",(1/DATOS_[[% anualiz]:[% anualiz]]),1)*IF(DATOS!AN$5="Sí",1/DATOS_[[% normaliz]:[% normaliz]],1)*(DATOS_[Conc.Sal.10])))))))), 0)</f>
        <v>0</v>
      </c>
      <c r="T104" s="302" t="n">
        <f aca="false" t="array" ref="T104:T104">IFERROR( (AVERAGE((IF(DATOS_[[Sexo]:[Sexo]]=$B104,IF(DATOS_[[AGRUP. CLAS. PROF.]:[AGRUP. CLAS. PROF.]]=$B102,IF(DATOS_[[Check Periodo Ref.]:[Check Periodo Ref.]]="Dentro",IF(DATOS_[[Check Equiparado]:[Check Equiparado]]="Sí",IF(DATOS!AO$4="Sí",(1/DATOS_[[% anualiz]:[% anualiz]]),1)*IF(DATOS!AO$5="Sí",1/DATOS_[[% normaliz]:[% normaliz]],1)*(DATOS_[Conc.Sal.11])))))))), 0)</f>
        <v>0</v>
      </c>
      <c r="U104" s="302" t="n">
        <f aca="false" t="array" ref="U104:U104">IFERROR( (AVERAGE((IF(DATOS_[[Sexo]:[Sexo]]=$B104,IF(DATOS_[[AGRUP. CLAS. PROF.]:[AGRUP. CLAS. PROF.]]=$B102,IF(DATOS_[[Check Periodo Ref.]:[Check Periodo Ref.]]="Dentro",IF(DATOS_[[Check Equiparado]:[Check Equiparado]]="Sí",IF(DATOS!AP$4="Sí",(1/DATOS_[[% anualiz]:[% anualiz]]),1)*IF(DATOS!AP$5="Sí",1/DATOS_[[% normaliz]:[% normaliz]],1)*(DATOS_[Conc.Sal.12])))))))), 0)</f>
        <v>0</v>
      </c>
      <c r="V104" s="302" t="n">
        <f aca="false" t="array" ref="V104:V104">IFERROR( (AVERAGE((IF(DATOS_[[Sexo]:[Sexo]]=$B104,IF(DATOS_[[AGRUP. CLAS. PROF.]:[AGRUP. CLAS. PROF.]]=$B102,IF(DATOS_[[Check Periodo Ref.]:[Check Periodo Ref.]]="Dentro",IF(DATOS_[[Check Equiparado]:[Check Equiparado]]="Sí",IF(DATOS!AQ$4="Sí",(1/DATOS_[[% anualiz]:[% anualiz]]),1)*IF(DATOS!AQ$5="Sí",1/DATOS_[[% normaliz]:[% normaliz]],1)*(DATOS_[Conc.Sal.13])))))))), 0)</f>
        <v>0</v>
      </c>
      <c r="W104" s="302" t="n">
        <f aca="false" t="array" ref="W104:W104">IFERROR( (AVERAGE((IF(DATOS_[[Sexo]:[Sexo]]=$B104,IF(DATOS_[[AGRUP. CLAS. PROF.]:[AGRUP. CLAS. PROF.]]=$B102,IF(DATOS_[[Check Periodo Ref.]:[Check Periodo Ref.]]="Dentro",IF(DATOS_[[Check Equiparado]:[Check Equiparado]]="Sí",IF(DATOS!AR$4="Sí",(1/DATOS_[[% anualiz]:[% anualiz]]),1)*IF(DATOS!AR$5="Sí",1/DATOS_[[% normaliz]:[% normaliz]],1)*(DATOS_[Conc.Sal.14])))))))), 0)</f>
        <v>0</v>
      </c>
      <c r="X104" s="302" t="n">
        <f aca="false" t="array" ref="X104:X104">IFERROR( (AVERAGE((IF(DATOS_[[Sexo]:[Sexo]]=$B104,IF(DATOS_[[AGRUP. CLAS. PROF.]:[AGRUP. CLAS. PROF.]]=$B102,IF(DATOS_[[Check Periodo Ref.]:[Check Periodo Ref.]]="Dentro",IF(DATOS_[[Check Equiparado]:[Check Equiparado]]="Sí",IF(DATOS!AS$4="Sí",(1/DATOS_[[% anualiz]:[% anualiz]]),1)*IF(DATOS!AS$5="Sí",1/DATOS_[[% normaliz]:[% normaliz]],1)*(DATOS_[Conc.Sal.15])))))))), 0)</f>
        <v>0</v>
      </c>
      <c r="Y104" s="302" t="n">
        <f aca="false" t="array" ref="Y104:Y104">IFERROR( (AVERAGE((IF(DATOS_[[Sexo]:[Sexo]]=$B104,IF(DATOS_[[AGRUP. CLAS. PROF.]:[AGRUP. CLAS. PROF.]]=$B102,IF(DATOS_[[Check Periodo Ref.]:[Check Periodo Ref.]]="Dentro",IF(DATOS_[[Check Equiparado]:[Check Equiparado]]="Sí",IF(DATOS!AT$4="Sí",(1/DATOS_[[% anualiz]:[% anualiz]]),1)*IF(DATOS!AT$5="Sí",1/DATOS_[[% normaliz]:[% normaliz]],1)*(DATOS_[Conc.Sal.16])))))))), 0)</f>
        <v>0</v>
      </c>
      <c r="Z104" s="302" t="n">
        <f aca="false" t="array" ref="Z104:Z104">IFERROR( (AVERAGE((IF(DATOS_[[Sexo]:[Sexo]]=$B104,IF(DATOS_[[AGRUP. CLAS. PROF.]:[AGRUP. CLAS. PROF.]]=$B102,IF(DATOS_[[Check Periodo Ref.]:[Check Periodo Ref.]]="Dentro",IF(DATOS_[[Check Equiparado]:[Check Equiparado]]="Sí",IF(DATOS!AU$4="Sí",(1/DATOS_[[% anualiz]:[% anualiz]]),1)*IF(DATOS!AU$5="Sí",1/DATOS_[[% normaliz]:[% normaliz]],1)*(DATOS_[Conc.Sal.17])))))))), 0)</f>
        <v>0</v>
      </c>
      <c r="AA104" s="302" t="n">
        <f aca="false" t="array" ref="AA104:AA104">IFERROR( (AVERAGE((IF(DATOS_[[Sexo]:[Sexo]]=$B104,IF(DATOS_[[AGRUP. CLAS. PROF.]:[AGRUP. CLAS. PROF.]]=$B102,IF(DATOS_[[Check Periodo Ref.]:[Check Periodo Ref.]]="Dentro",IF(DATOS_[[Check Equiparado]:[Check Equiparado]]="Sí",IF(DATOS!AV$4="Sí",(1/DATOS_[[% anualiz]:[% anualiz]]),1)*IF(DATOS!AV$5="Sí",1/DATOS_[[% normaliz]:[% normaliz]],1)*(DATOS_[Conc.Sal.18])))))))), 0)</f>
        <v>0</v>
      </c>
      <c r="AB104" s="302" t="n">
        <f aca="false" t="array" ref="AB104:AB104">IFERROR( (AVERAGE((IF(DATOS_[[Sexo]:[Sexo]]=$B104,IF(DATOS_[[AGRUP. CLAS. PROF.]:[AGRUP. CLAS. PROF.]]=$B102,IF(DATOS_[[Check Periodo Ref.]:[Check Periodo Ref.]]="Dentro",IF(DATOS_[[Check Equiparado]:[Check Equiparado]]="Sí",IF(DATOS!AW$4="Sí",(1/DATOS_[[% anualiz]:[% anualiz]]),1)*IF(DATOS!AW$5="Sí",1/DATOS_[[% normaliz]:[% normaliz]],1)*(DATOS_[Conc.Sal.19])))))))), 0)</f>
        <v>0</v>
      </c>
      <c r="AC104" s="302" t="n">
        <f aca="false" t="array" ref="AC104:AC104">IFERROR( (AVERAGE((IF(DATOS_[[Sexo]:[Sexo]]=$B104,IF(DATOS_[[AGRUP. CLAS. PROF.]:[AGRUP. CLAS. PROF.]]=$B102,IF(DATOS_[[Check Periodo Ref.]:[Check Periodo Ref.]]="Dentro",IF(DATOS_[[Check Equiparado]:[Check Equiparado]]="Sí",IF(DATOS!AX$4="Sí",(1/DATOS_[[% anualiz]:[% anualiz]]),1)*IF(DATOS!AX$5="Sí",1/DATOS_[[% normaliz]:[% normaliz]],1)*(DATOS_[Conc.Sal.20])))))))), 0)</f>
        <v>0</v>
      </c>
      <c r="AD104" s="302" t="n">
        <f aca="false" t="array" ref="AD104:AD104">IFERROR( (AVERAGE((IF(DATOS_[[Sexo]:[Sexo]]=$B104,IF(DATOS_[[AGRUP. CLAS. PROF.]:[AGRUP. CLAS. PROF.]]=$B102,IF(DATOS_[[Check Periodo Ref.]:[Check Periodo Ref.]]="Dentro",IF(DATOS_[[Check Equiparado]:[Check Equiparado]]="Sí",IF(DATOS!AY$4="Sí",(1/DATOS_[[% anualiz]:[% anualiz]]),1)*IF(DATOS!AY$5="Sí",1/DATOS_[[% normaliz]:[% normaliz]],1)*(DATOS_[Conc.Sal.21])))))))), 0)</f>
        <v>0</v>
      </c>
      <c r="AE104" s="302" t="n">
        <f aca="false" t="array" ref="AE104:AE104">IFERROR( (AVERAGE((IF(DATOS_[[Sexo]:[Sexo]]=$B104,IF(DATOS_[[AGRUP. CLAS. PROF.]:[AGRUP. CLAS. PROF.]]=$B102,IF(DATOS_[[Check Periodo Ref.]:[Check Periodo Ref.]]="Dentro",IF(DATOS_[[Check Equiparado]:[Check Equiparado]]="Sí",IF(DATOS!AZ$4="Sí",(1/DATOS_[[% anualiz]:[% anualiz]]),1)*IF(DATOS!AZ$5="Sí",1/DATOS_[[% normaliz]:[% normaliz]],1)*(DATOS_[Conc.Sal.22])))))))), 0)</f>
        <v>0</v>
      </c>
      <c r="AF104" s="302" t="n">
        <f aca="false" t="array" ref="AF104:AF104">IFERROR( (AVERAGE((IF(DATOS_[[Sexo]:[Sexo]]=$B104,IF(DATOS_[[AGRUP. CLAS. PROF.]:[AGRUP. CLAS. PROF.]]=$B102,IF(DATOS_[[Check Periodo Ref.]:[Check Periodo Ref.]]="Dentro",IF(DATOS_[[Check Equiparado]:[Check Equiparado]]="Sí",IF(DATOS!BA$4="Sí",(1/DATOS_[[% anualiz]:[% anualiz]]),1)*IF(DATOS!BA$5="Sí",1/DATOS_[[% normaliz]:[% normaliz]],1)*(DATOS_[Conc.Sal.23])))))))), 0)</f>
        <v>0</v>
      </c>
      <c r="AG104" s="302" t="n">
        <f aca="false" t="array" ref="AG104:AG104">IFERROR( (AVERAGE((IF(DATOS_[[Sexo]:[Sexo]]=$B104,IF(DATOS_[[AGRUP. CLAS. PROF.]:[AGRUP. CLAS. PROF.]]=$B102,IF(DATOS_[[Check Periodo Ref.]:[Check Periodo Ref.]]="Dentro",IF(DATOS_[[Check Equiparado]:[Check Equiparado]]="Sí",IF(DATOS!BB$4="Sí",(1/DATOS_[[% anualiz]:[% anualiz]]),1)*IF(DATOS!BB$5="Sí",1/DATOS_[[% normaliz]:[% normaliz]],1)*(DATOS_[Conc.Sal.24])))))))), 0)</f>
        <v>0</v>
      </c>
      <c r="AH104" s="302" t="n">
        <f aca="false" t="array" ref="AH104:AH104">IFERROR( (AVERAGE((IF(DATOS_[[Sexo]:[Sexo]]=$B104,IF(DATOS_[[AGRUP. CLAS. PROF.]:[AGRUP. CLAS. PROF.]]=$B102,IF(DATOS_[[Check Periodo Ref.]:[Check Periodo Ref.]]="Dentro",IF(DATOS_[[Check Equiparado]:[Check Equiparado]]="Sí",IF(DATOS!BC$4="Sí",(1/DATOS_[[% anualiz]:[% anualiz]]),1)*IF(DATOS!BC$5="Sí",1/DATOS_[[% normaliz]:[% normaliz]],1)*(DATOS_[Conc.Sal.25])))))))), 0)</f>
        <v>0</v>
      </c>
      <c r="AI104" s="302" t="n">
        <f aca="false" t="array" ref="AI104:AI104">IFERROR( (AVERAGE((IF(DATOS_[[Sexo]:[Sexo]]=$B104,IF(DATOS_[[AGRUP. CLAS. PROF.]:[AGRUP. CLAS. PROF.]]=$B102,IF(DATOS_[[Check Periodo Ref.]:[Check Periodo Ref.]]="Dentro",IF(DATOS_[[Check Equiparado]:[Check Equiparado]]="Sí",IF(DATOS!BD$4="Sí",(1/DATOS_[[% anualiz]:[% anualiz]]),1)*IF(DATOS!BD$5="Sí",1/DATOS_[[% normaliz]:[% normaliz]],1)*(DATOS_[Conc.Sal.26])))))))), 0)</f>
        <v>0</v>
      </c>
      <c r="AJ104" s="302" t="n">
        <f aca="false" t="array" ref="AJ104:AJ104">IFERROR( (AVERAGE((IF(DATOS_[[Sexo]:[Sexo]]=$B104,IF(DATOS_[[AGRUP. CLAS. PROF.]:[AGRUP. CLAS. PROF.]]=$B102,IF(DATOS_[[Check Periodo Ref.]:[Check Periodo Ref.]]="Dentro",IF(DATOS_[[Check Equiparado]:[Check Equiparado]]="Sí",IF(DATOS!BE$4="Sí",(1/DATOS_[[% anualiz]:[% anualiz]]),1)*IF(DATOS!BE$5="Sí",1/DATOS_[[% normaliz]:[% normaliz]],1)*(DATOS_[Conc.Sal.27])))))))), 0)</f>
        <v>0</v>
      </c>
      <c r="AK104" s="302" t="n">
        <f aca="false" t="array" ref="AK104:AK104">IFERROR( (AVERAGE((IF(DATOS_[[Sexo]:[Sexo]]=$B104,IF(DATOS_[[AGRUP. CLAS. PROF.]:[AGRUP. CLAS. PROF.]]=$B102,IF(DATOS_[[Check Periodo Ref.]:[Check Periodo Ref.]]="Dentro",IF(DATOS_[[Check Equiparado]:[Check Equiparado]]="Sí",IF(DATOS!BF$4="Sí",(1/DATOS_[[% anualiz]:[% anualiz]]),1)*IF(DATOS!BF$5="Sí",1/DATOS_[[% normaliz]:[% normaliz]],1)*(DATOS_[Conc.Sal.28])))))))), 0)</f>
        <v>0</v>
      </c>
      <c r="AL104" s="302" t="n">
        <f aca="false" t="array" ref="AL104:AL104">IFERROR( (AVERAGE((IF(DATOS_[[Sexo]:[Sexo]]=$B104,IF(DATOS_[[AGRUP. CLAS. PROF.]:[AGRUP. CLAS. PROF.]]=$B102,IF(DATOS_[[Check Periodo Ref.]:[Check Periodo Ref.]]="Dentro",IF(DATOS_[[Check Equiparado]:[Check Equiparado]]="Sí",IF(DATOS!BG$4="Sí",(1/DATOS_[[% anualiz]:[% anualiz]]),1)*IF(DATOS!BG$5="Sí",1/DATOS_[[% normaliz]:[% normaliz]],1)*(DATOS_[Conc.Sal.29])))))))), 0)</f>
        <v>0</v>
      </c>
      <c r="AM104" s="302" t="n">
        <f aca="false" t="array" ref="AM104:AM104">IFERROR( (AVERAGE((IF(DATOS_[[Sexo]:[Sexo]]=$B104,IF(DATOS_[[AGRUP. CLAS. PROF.]:[AGRUP. CLAS. PROF.]]=$B102,IF(DATOS_[[Check Periodo Ref.]:[Check Periodo Ref.]]="Dentro",IF(DATOS_[[Check Equiparado]:[Check Equiparado]]="Sí",IF(DATOS!BH$4="Sí",(1/DATOS_[[% anualiz]:[% anualiz]]),1)*IF(DATOS!BH$5="Sí",1/DATOS_[[% normaliz]:[% normaliz]],1)*(DATOS_[Conc.Sal.30])))))))), 0)</f>
        <v>0</v>
      </c>
      <c r="AN104" s="294" t="n">
        <f aca="false" t="array" ref="AN104:AN104">IFERROR( AVERAGE(IF(DATOS_[Sexo]=$B104,IF(DATOS_[[AGRUP. CLAS. PROF.]:[AGRUP. CLAS. PROF.]]=$B102,IF(DATOS_[Check Equiparado]="Sí",IF(DATOS_[Check Periodo Ref.]="Dentro",DATOS_[Tot COMPL.SAL Eq],0))))), 0)</f>
        <v>0</v>
      </c>
      <c r="AO104" s="295" t="n">
        <f aca="false" t="array" ref="AO104:AO104">IFERROR( AVERAGE(IF(DATOS_[Sexo]=$B104,IF(DATOS_[[AGRUP. CLAS. PROF.]:[AGRUP. CLAS. PROF.]]=$B102,IF(DATOS_[Check Equiparado]="Sí",IF(DATOS_[Check Periodo Ref.]="Dentro",DATOS_[TOTAL SALARIO Eq],0))))), 0)</f>
        <v>0</v>
      </c>
      <c r="AP104" s="303" t="n">
        <f aca="false" t="array" ref="AP104:AP104">IFERROR( (AVERAGE((IF(DATOS_[[Sexo]:[Sexo]]=$B104,IF(DATOS_[[AGRUP. CLAS. PROF.]:[AGRUP. CLAS. PROF.]]=$B103,IF(DATOS_[[Check Periodo Ref.]:[Check Periodo Ref.]]="Dentro",IF(DATOS_[[Check Equiparado]:[Check Equiparado]]="Sí",IF(DATOS!BI$4="Sí",(1/DATOS_[[% anualiz]:[% anualiz]]),1)*IF(DATOS!BI$5="Sí",1/DATOS_[[% normaliz]:[% normaliz]],1)*(DATOS_[C.Extra.01])))))))), 0)</f>
        <v>0</v>
      </c>
      <c r="AQ104" s="303" t="n">
        <f aca="false" t="array" ref="AQ104:AQ104">IFERROR( (AVERAGE((IF(DATOS_[[Sexo]:[Sexo]]=$B104,IF(DATOS_[[AGRUP. CLAS. PROF.]:[AGRUP. CLAS. PROF.]]=$B103,IF(DATOS_[[Check Periodo Ref.]:[Check Periodo Ref.]]="Dentro",IF(DATOS_[[Check Equiparado]:[Check Equiparado]]="Sí",IF(DATOS!BJ$4="Sí",(1/DATOS_[[% anualiz]:[% anualiz]]),1)*IF(DATOS!BJ$5="Sí",1/DATOS_[[% normaliz]:[% normaliz]],1)*(DATOS_[C.Extra.02])))))))), 0)</f>
        <v>0</v>
      </c>
      <c r="AR104" s="303" t="n">
        <f aca="false" t="array" ref="AR104:AR104">IFERROR( (AVERAGE((IF(DATOS_[[Sexo]:[Sexo]]=$B104,IF(DATOS_[[AGRUP. CLAS. PROF.]:[AGRUP. CLAS. PROF.]]=$B103,IF(DATOS_[[Check Periodo Ref.]:[Check Periodo Ref.]]="Dentro",IF(DATOS_[[Check Equiparado]:[Check Equiparado]]="Sí",IF(DATOS!BK$4="Sí",(1/DATOS_[[% anualiz]:[% anualiz]]),1)*IF(DATOS!BK$5="Sí",1/DATOS_[[% normaliz]:[% normaliz]],1)*(DATOS_[C.Extra.03])))))))), 0)</f>
        <v>0</v>
      </c>
      <c r="AS104" s="303" t="n">
        <f aca="false" t="array" ref="AS104:AS104">IFERROR( (AVERAGE((IF(DATOS_[[Sexo]:[Sexo]]=$B104,IF(DATOS_[[AGRUP. CLAS. PROF.]:[AGRUP. CLAS. PROF.]]=$B103,IF(DATOS_[[Check Periodo Ref.]:[Check Periodo Ref.]]="Dentro",IF(DATOS_[[Check Equiparado]:[Check Equiparado]]="Sí",IF(DATOS!BL$4="Sí",(1/DATOS_[[% anualiz]:[% anualiz]]),1)*IF(DATOS!BL$5="Sí",1/DATOS_[[% normaliz]:[% normaliz]],1)*(DATOS_[C.Extra.04])))))))), 0)</f>
        <v>0</v>
      </c>
      <c r="AT104" s="303" t="n">
        <f aca="false" t="array" ref="AT104:AT104">IFERROR( (AVERAGE((IF(DATOS_[[Sexo]:[Sexo]]=$B104,IF(DATOS_[[AGRUP. CLAS. PROF.]:[AGRUP. CLAS. PROF.]]=$B103,IF(DATOS_[[Check Periodo Ref.]:[Check Periodo Ref.]]="Dentro",IF(DATOS_[[Check Equiparado]:[Check Equiparado]]="Sí",IF(DATOS!BM$4="Sí",(1/DATOS_[[% anualiz]:[% anualiz]]),1)*IF(DATOS!BM$5="Sí",1/DATOS_[[% normaliz]:[% normaliz]],1)*(DATOS_[C.Extra.05])))))))), 0)</f>
        <v>0</v>
      </c>
      <c r="AU104" s="297" t="n">
        <f aca="false" t="array" ref="AU104:AU104">IFERROR( AVERAGE(IF(DATOS_[Sexo]=$B104,IF(DATOS_[[AGRUP. CLAS. PROF.]:[AGRUP. CLAS. PROF.]]=$B102,IF(DATOS_[Check Equiparado]="Sí",IF(DATOS_[Check Periodo Ref.]="Dentro",DATOS_[Tot Extrasalarial Eq],0))))), 0)</f>
        <v>0</v>
      </c>
      <c r="AV104" s="298" t="n">
        <f aca="false" t="array" ref="AV104:AV104">IFERROR( AVERAGE(IF(DATOS_[Sexo]=$B104,IF(DATOS_[[AGRUP. CLAS. PROF.]:[AGRUP. CLAS. PROF.]]=$B102,IF(DATOS_[Check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DD7E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2" min="1" style="217" width="8.87"/>
    <col collapsed="false" customWidth="false" hidden="false" outlineLevel="0" max="8" min="3" style="217" width="7.26"/>
    <col collapsed="false" customWidth="true" hidden="false" outlineLevel="0" max="9" min="9" style="217" width="10.35"/>
    <col collapsed="false" customWidth="true" hidden="false" outlineLevel="0" max="12" min="10" style="217" width="7.4"/>
    <col collapsed="false" customWidth="true" hidden="false" outlineLevel="0" max="13" min="13" style="217" width="7.53"/>
    <col collapsed="false" customWidth="false" hidden="false" outlineLevel="0" max="18" min="14" style="217" width="7.26"/>
    <col collapsed="false" customWidth="true" hidden="true" outlineLevel="0" max="19" min="19" style="217" width="10.17"/>
    <col collapsed="false" customWidth="false" hidden="true" outlineLevel="1" max="39" min="20" style="217" width="7.26"/>
    <col collapsed="false" customWidth="true" hidden="false" outlineLevel="0" max="41" min="40" style="217" width="8.87"/>
    <col collapsed="false" customWidth="true" hidden="false" outlineLevel="0" max="42" min="42" style="217" width="9.01"/>
    <col collapsed="false" customWidth="true" hidden="true" outlineLevel="0" max="46" min="43" style="217" width="10.17"/>
    <col collapsed="false" customWidth="true" hidden="false" outlineLevel="0" max="48" min="47" style="217" width="8.87"/>
    <col collapsed="false" customWidth="false" hidden="false" outlineLevel="0" max="1024" min="49" style="217" width="7.26"/>
  </cols>
  <sheetData>
    <row r="1" s="166" customFormat="true" ht="42.6" hidden="false" customHeight="true" outlineLevel="0" collapsed="false">
      <c r="E1" s="167" t="s">
        <v>367</v>
      </c>
    </row>
    <row r="2" customFormat="false" ht="13.9" hidden="false" customHeight="true" outlineLevel="0" collapsed="false">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[ocultar]</v>
      </c>
      <c r="AK2" s="217" t="str">
        <f aca="false">+IF(AK8="[ocultar]",AK8,"")</f>
        <v>[ocultar]</v>
      </c>
      <c r="AL2" s="217" t="str">
        <f aca="false">+IF(AL8="[ocultar]",AL8,"")</f>
        <v>[ocultar]</v>
      </c>
      <c r="AM2" s="217" t="str">
        <f aca="false">+IF(AM8="[ocultar]",AM8,"")</f>
        <v>[ocultar]</v>
      </c>
      <c r="AN2" s="217" t="str">
        <f aca="false">+IF(AN8="[ocultar]",AN8,"")</f>
        <v/>
      </c>
      <c r="AO2" s="217" t="str">
        <f aca="false">+IF(AO8="[ocultar]",AO8,"")</f>
        <v/>
      </c>
      <c r="AP2" s="217" t="str">
        <f aca="false">+IF(AP8="[ocultar]",AP8,"")</f>
        <v>[ocultar]</v>
      </c>
      <c r="AQ2" s="217" t="str">
        <f aca="false">+IF(AQ8="[ocultar]",AQ8,"")</f>
        <v>[ocultar]</v>
      </c>
      <c r="AR2" s="217" t="str">
        <f aca="false">+IF(AR8="[ocultar]",AR8,"")</f>
        <v>[ocultar]</v>
      </c>
      <c r="AS2" s="217" t="str">
        <f aca="false">+IF(AS8="[ocultar]",AS8,"")</f>
        <v>[ocultar]</v>
      </c>
      <c r="AT2" s="217" t="str">
        <f aca="false">+IF(AT8="[ocultar]",AT8,"")</f>
        <v>[ocultar]</v>
      </c>
    </row>
    <row r="3" customFormat="false" ht="13.9" hidden="false" customHeight="true" outlineLevel="0" collapsed="false">
      <c r="I3" s="304" t="str">
        <f aca="false">+"Razón Social: "&amp;Inicio!C6&amp;"  -  NIF: "&amp;Inicio!C8</f>
        <v>Razón Social:   -  NIF:</v>
      </c>
      <c r="J3" s="305"/>
    </row>
    <row r="4" customFormat="false" ht="13.9" hidden="false" customHeight="true" outlineLevel="0" collapsed="false">
      <c r="I4" s="306" t="s">
        <v>2</v>
      </c>
      <c r="J4" s="307"/>
    </row>
    <row r="5" customFormat="false" ht="13.9" hidden="false" customHeight="true" outlineLevel="0" collapsed="false">
      <c r="I5" s="308" t="n">
        <f aca="false">+Inicio!E10</f>
        <v>0</v>
      </c>
      <c r="J5" s="309" t="str">
        <f aca="false">+Inicio!D10</f>
        <v>fecha inicio</v>
      </c>
    </row>
    <row r="6" customFormat="false" ht="13.9" hidden="false" customHeight="true" outlineLevel="0" collapsed="false">
      <c r="I6" s="308" t="n">
        <f aca="false">+Inicio!G10</f>
        <v>0</v>
      </c>
      <c r="J6" s="310" t="s">
        <v>4</v>
      </c>
    </row>
    <row r="7" s="179" customFormat="true" ht="13.9" hidden="false" customHeight="true" outlineLevel="0" collapsed="false"/>
    <row r="8" s="311" customFormat="true" ht="46.15" hidden="false" customHeight="true" outlineLevel="0" collapsed="false">
      <c r="B8" s="312"/>
      <c r="C8" s="312" t="s">
        <v>368</v>
      </c>
      <c r="D8" s="312" t="s">
        <v>369</v>
      </c>
      <c r="E8" s="312" t="s">
        <v>260</v>
      </c>
      <c r="F8" s="312" t="s">
        <v>262</v>
      </c>
      <c r="G8" s="312" t="s">
        <v>264</v>
      </c>
      <c r="H8" s="312" t="s">
        <v>373</v>
      </c>
      <c r="I8" s="313" t="s">
        <v>268</v>
      </c>
      <c r="J8" s="314" t="str">
        <f aca="false">+IF(DATOS!AE6="","[ocultar]",DATOS!AE6)</f>
        <v>[ocultar]</v>
      </c>
      <c r="K8" s="314" t="str">
        <f aca="false">+IF(DATOS!AF6="","[ocultar]",DATOS!AF6)</f>
        <v>[ocultar]</v>
      </c>
      <c r="L8" s="314" t="str">
        <f aca="false">+IF(DATOS!AG6="","[ocultar]",DATOS!AG6)</f>
        <v>[ocultar]</v>
      </c>
      <c r="M8" s="314" t="str">
        <f aca="false">+IF(DATOS!AH6="","[ocultar]",DATOS!AH6)</f>
        <v>[ocultar]</v>
      </c>
      <c r="N8" s="314" t="str">
        <f aca="false">+IF(DATOS!AI6="","[ocultar]",DATOS!AI6)</f>
        <v>[ocultar]</v>
      </c>
      <c r="O8" s="314" t="str">
        <f aca="false">+IF(DATOS!AJ6="","[ocultar]",DATOS!AJ6)</f>
        <v>[ocultar]</v>
      </c>
      <c r="P8" s="314" t="str">
        <f aca="false">+IF(DATOS!AK6="","[ocultar]",DATOS!AK6)</f>
        <v>[ocultar]</v>
      </c>
      <c r="Q8" s="314" t="str">
        <f aca="false">+IF(DATOS!AL6="","[ocultar]",DATOS!AL6)</f>
        <v>[ocultar]</v>
      </c>
      <c r="R8" s="314" t="str">
        <f aca="false">+IF(DATOS!AM6="","[ocultar]",DATOS!AM6)</f>
        <v>[ocultar]</v>
      </c>
      <c r="S8" s="314" t="str">
        <f aca="false">+IF(DATOS!AN6="","[ocultar]",DATOS!AN6)</f>
        <v>[ocultar]</v>
      </c>
      <c r="T8" s="314" t="str">
        <f aca="false">+IF(DATOS!AO6="","[ocultar]",DATOS!AO6)</f>
        <v>[ocultar]</v>
      </c>
      <c r="U8" s="314" t="str">
        <f aca="false">+IF(DATOS!AP6="","[ocultar]",DATOS!AP6)</f>
        <v>[ocultar]</v>
      </c>
      <c r="V8" s="314" t="str">
        <f aca="false">+IF(DATOS!AQ6="","[ocultar]",DATOS!AQ6)</f>
        <v>[ocultar]</v>
      </c>
      <c r="W8" s="314" t="str">
        <f aca="false">+IF(DATOS!AR6="","[ocultar]",DATOS!AR6)</f>
        <v>[ocultar]</v>
      </c>
      <c r="X8" s="314" t="str">
        <f aca="false">+IF(DATOS!AS6="","[ocultar]",DATOS!AS6)</f>
        <v>[ocultar]</v>
      </c>
      <c r="Y8" s="314" t="str">
        <f aca="false">+IF(DATOS!AT6="","[ocultar]",DATOS!AT6)</f>
        <v>[ocultar]</v>
      </c>
      <c r="Z8" s="314" t="str">
        <f aca="false">+IF(DATOS!AU6="","[ocultar]",DATOS!AU6)</f>
        <v>[ocultar]</v>
      </c>
      <c r="AA8" s="314" t="str">
        <f aca="false">+IF(DATOS!AV6="","[ocultar]",DATOS!AV6)</f>
        <v>[ocultar]</v>
      </c>
      <c r="AB8" s="314" t="str">
        <f aca="false">+IF(DATOS!AW6="","[ocultar]",DATOS!AW6)</f>
        <v>[ocultar]</v>
      </c>
      <c r="AC8" s="314" t="str">
        <f aca="false">+IF(DATOS!AX6="","[ocultar]",DATOS!AX6)</f>
        <v>[ocultar]</v>
      </c>
      <c r="AD8" s="314" t="str">
        <f aca="false">+IF(DATOS!AY6="","[ocultar]",DATOS!AY6)</f>
        <v>[ocultar]</v>
      </c>
      <c r="AE8" s="314" t="str">
        <f aca="false">+IF(DATOS!AZ6="","[ocultar]",DATOS!AZ6)</f>
        <v>[ocultar]</v>
      </c>
      <c r="AF8" s="314" t="str">
        <f aca="false">+IF(DATOS!BA6="","[ocultar]",DATOS!BA6)</f>
        <v>[ocultar]</v>
      </c>
      <c r="AG8" s="314" t="str">
        <f aca="false">+IF(DATOS!BB6="","[ocultar]",DATOS!BB6)</f>
        <v>[ocultar]</v>
      </c>
      <c r="AH8" s="314" t="str">
        <f aca="false">+IF(DATOS!BC6="","[ocultar]",DATOS!BC6)</f>
        <v>[ocultar]</v>
      </c>
      <c r="AI8" s="314" t="str">
        <f aca="false">+IF(DATOS!BD6="","[ocultar]",DATOS!BD6)</f>
        <v>[ocultar]</v>
      </c>
      <c r="AJ8" s="314" t="str">
        <f aca="false">+IF(DATOS!BE6="","[ocultar]",DATOS!BE6)</f>
        <v>[ocultar]</v>
      </c>
      <c r="AK8" s="314" t="str">
        <f aca="false">+IF(DATOS!BF6="","[ocultar]",DATOS!BF6)</f>
        <v>[ocultar]</v>
      </c>
      <c r="AL8" s="314" t="str">
        <f aca="false">+IF(DATOS!BG6="","[ocultar]",DATOS!BG6)</f>
        <v>[ocultar]</v>
      </c>
      <c r="AM8" s="314" t="str">
        <f aca="false">+IF(DATOS!BH6="","[ocultar]",DATOS!BH6)</f>
        <v>[ocultar]</v>
      </c>
      <c r="AN8" s="315" t="s">
        <v>269</v>
      </c>
      <c r="AO8" s="316" t="s">
        <v>270</v>
      </c>
      <c r="AP8" s="317" t="str">
        <f aca="false">+IF(DATOS!BI6="","[ocultar]",DATOS!BI6)</f>
        <v>[ocultar]</v>
      </c>
      <c r="AQ8" s="317" t="str">
        <f aca="false">+IF(DATOS!BJ6="","[ocultar]",DATOS!BJ6)</f>
        <v>[ocultar]</v>
      </c>
      <c r="AR8" s="317" t="str">
        <f aca="false">+IF(DATOS!BK6="","[ocultar]",DATOS!BK6)</f>
        <v>[ocultar]</v>
      </c>
      <c r="AS8" s="317" t="str">
        <f aca="false">+IF(DATOS!BL6="","[ocultar]",DATOS!BL6)</f>
        <v>[ocultar]</v>
      </c>
      <c r="AT8" s="317" t="str">
        <f aca="false">+IF(DATOS!BM6="","[ocultar]",DATOS!BM6)</f>
        <v>[ocultar]</v>
      </c>
      <c r="AU8" s="318" t="s">
        <v>271</v>
      </c>
      <c r="AV8" s="319" t="s">
        <v>272</v>
      </c>
    </row>
    <row r="9" customFormat="false" ht="15.75" hidden="false" customHeight="false" outlineLevel="0" collapsed="false">
      <c r="B9" s="320" t="s">
        <v>370</v>
      </c>
      <c r="C9" s="236"/>
      <c r="D9" s="237"/>
      <c r="E9" s="237"/>
      <c r="F9" s="237"/>
      <c r="G9" s="237"/>
      <c r="H9" s="237"/>
      <c r="I9" s="238" t="str">
        <f aca="false">IFERROR((I10-I11)/I10,"")</f>
        <v/>
      </c>
      <c r="J9" s="321" t="str">
        <f aca="false">IFERROR((J10-J11)/J10,"")</f>
        <v/>
      </c>
      <c r="K9" s="322" t="str">
        <f aca="false">IFERROR((K10-K11)/K10,"")</f>
        <v/>
      </c>
      <c r="L9" s="322" t="str">
        <f aca="false">IFERROR((L10-L11)/L10,"")</f>
        <v/>
      </c>
      <c r="M9" s="322" t="str">
        <f aca="false">IFERROR((M10-M11)/M10,"")</f>
        <v/>
      </c>
      <c r="N9" s="240"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39" t="str">
        <f aca="false">IFERROR((V10-V11)/V10,"")</f>
        <v/>
      </c>
      <c r="W9" s="239" t="str">
        <f aca="false">IFERROR((W10-W11)/W10,"")</f>
        <v/>
      </c>
      <c r="X9" s="239" t="str">
        <f aca="false">IFERROR((X10-X11)/X10,"")</f>
        <v/>
      </c>
      <c r="Y9" s="239"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0" t="str">
        <f aca="false">IFERROR((AJ10-AJ11)/AJ10,"")</f>
        <v/>
      </c>
      <c r="AK9" s="240" t="str">
        <f aca="false">IFERROR((AK10-AK11)/AK10,"")</f>
        <v/>
      </c>
      <c r="AL9" s="240" t="str">
        <f aca="false">IFERROR((AL10-AL11)/AL10,"")</f>
        <v/>
      </c>
      <c r="AM9" s="240" t="str">
        <f aca="false">IFERROR((AM10-AM11)/AM10,"")</f>
        <v/>
      </c>
      <c r="AN9" s="241" t="str">
        <f aca="false">IFERROR((AN10-AN11)/AN10,"")</f>
        <v/>
      </c>
      <c r="AO9" s="242" t="str">
        <f aca="false">IFERROR((AO10-AO11)/AO10,"")</f>
        <v/>
      </c>
      <c r="AP9" s="243" t="str">
        <f aca="false">IFERROR((AP10-AP11)/AP10,"")</f>
        <v/>
      </c>
      <c r="AQ9" s="243" t="str">
        <f aca="false">IFERROR((AQ10-AQ11)/AQ10,"")</f>
        <v/>
      </c>
      <c r="AR9" s="243" t="str">
        <f aca="false">IFERROR((AR10-AR11)/AR10,"")</f>
        <v/>
      </c>
      <c r="AS9" s="243" t="str">
        <f aca="false">IFERROR((AS10-AS11)/AS10,"")</f>
        <v/>
      </c>
      <c r="AT9" s="243" t="str">
        <f aca="false">IFERROR((AT10-AT11)/AT10,"")</f>
        <v/>
      </c>
      <c r="AU9" s="244" t="str">
        <f aca="false">IFERROR((AU10-AU11)/AU10,"")</f>
        <v/>
      </c>
      <c r="AV9" s="245" t="str">
        <f aca="false">IFERROR((AV10-AV11)/AV10,"")</f>
        <v/>
      </c>
    </row>
    <row r="10" customFormat="false" ht="14.25" hidden="false" customHeight="false" outlineLevel="0" collapsed="false">
      <c r="B10" s="323" t="s">
        <v>371</v>
      </c>
      <c r="C10" s="247" t="n">
        <f aca="false" t="array" ref="C10:C10">SUM(IF($B10=DATOS_[Sexo], IF("Dentro"=DATOS_[Check Periodo Ref.], 1/(COUNTIFS(DATOS_[Sexo],$B10,DATOS_[Check Periodo Ref.],"Dentro",DATOS_[id],DATOS_[id])))))</f>
        <v>0</v>
      </c>
      <c r="D10" s="248" t="n">
        <f aca="false">COUNTIFS(DATOS_[AGRUP. CLAS. PROF.],"&lt;&gt;",DATOS_[Sexo],$B10,DATOS_[Check Periodo Ref.],"Dentro")</f>
        <v>0</v>
      </c>
      <c r="E10" s="248" t="n">
        <f aca="false">COUNTIFS(DATOS_[AGRUP. CLAS. PROF.],"&lt;&gt;",DATOS_[Sexo],$B10,DATOS_[Check Periodo Ref.],"Dentro",DATOS_[Check Nº SC Norm],"Sí")</f>
        <v>0</v>
      </c>
      <c r="F10" s="248" t="n">
        <f aca="false">COUNTIFS(DATOS_[AGRUP. CLAS. PROF.],"&lt;&gt;",DATOS_[Sexo],$B10,DATOS_[Check Periodo Ref.],"Dentro",DATOS_[Check Nº SC Anualiz],"Sí")</f>
        <v>0</v>
      </c>
      <c r="G10" s="248" t="n">
        <f aca="false">COUNTIFS(DATOS_[AGRUP. CLAS. PROF.],"&lt;&gt;",DATOS_[Sexo],$B10,DATOS_[Check Periodo Ref.],"Dentro",DATOS_[Check Nº SC Norm y Anualiz],"Sí")</f>
        <v>0</v>
      </c>
      <c r="H10" s="248" t="n">
        <f aca="false">COUNTIFS(DATOS_[AGRUP. CLAS. PROF.],"&lt;&gt;",DATOS_[Sexo],$B10,DATOS_[Check Periodo Ref.],"Dentro",DATOS_[Check Equiparación],"Sí")</f>
        <v>0</v>
      </c>
      <c r="I10" s="249" t="n">
        <f aca="false" t="array" ref="I10:I10">IFERROR( MEDIAN(IF(DATOS_[Sexo]=$B10,IF(DATOS_[Check Equiparado]="Sí",IF(DATOS_[Check Periodo Ref.]="Dentro",DATOS_[SALARIO BASE Eq],0)))), 0)</f>
        <v>0</v>
      </c>
      <c r="J10" s="250" t="n">
        <f aca="false" t="array" ref="J10:J10">IFERROR( (MEDIAN((IF(DATOS_[[Sexo]:[Sexo]]=$B10,IF(DATOS_[[Check Periodo Ref.]:[Check Periodo Ref.]]="Dentro",IF(DATOS_[[Check Equiparado]:[Check Equiparado]]="Sí",IF(DATOS!AE$4="Sí",(1/DATOS_[[% anualiz]:[% anualiz]]),1)*IF(DATOS!AE$5="Sí",1/DATOS_[[% normaliz]:[% normaliz]],1)*(DATOS_[Conc.Sal.01]))))))), 0)</f>
        <v>0</v>
      </c>
      <c r="K10" s="250" t="n">
        <f aca="false" t="array" ref="K10:K10">IFERROR( (MEDIAN((IF(DATOS_[[Sexo]:[Sexo]]=$B10,IF(DATOS_[[Check Periodo Ref.]:[Check Periodo Ref.]]="Dentro",IF(DATOS_[[Check Equiparado]:[Check Equiparado]]="Sí",IF(DATOS!AF$4="Sí",(1/DATOS_[[% anualiz]:[% anualiz]]),1)*IF(DATOS!AF$5="Sí",1/DATOS_[[% normaliz]:[% normaliz]],1)*(DATOS_[Conc.Sal.02]))))))), 0)</f>
        <v>0</v>
      </c>
      <c r="L10" s="250" t="n">
        <f aca="false" t="array" ref="L10:L10">IFERROR( (MEDIAN((IF(DATOS_[[Sexo]:[Sexo]]=$B10,IF(DATOS_[[Check Periodo Ref.]:[Check Periodo Ref.]]="Dentro",IF(DATOS_[[Check Equiparado]:[Check Equiparado]]="Sí",IF(DATOS!AG$4="Sí",(1/DATOS_[[% anualiz]:[% anualiz]]),1)*IF(DATOS!AG$5="Sí",1/DATOS_[[% normaliz]:[% normaliz]],1)*(DATOS_[Conc.Sal.03]))))))), 0)</f>
        <v>0</v>
      </c>
      <c r="M10" s="250" t="n">
        <f aca="false" t="array" ref="M10:M10">IFERROR( (MEDIAN((IF(DATOS_[[Sexo]:[Sexo]]=$B10,IF(DATOS_[[Check Periodo Ref.]:[Check Periodo Ref.]]="Dentro",IF(DATOS_[[Check Equiparado]:[Check Equiparado]]="Sí",IF(DATOS!AH$4="Sí",(1/DATOS_[[% anualiz]:[% anualiz]]),1)*IF(DATOS!AH$5="Sí",1/DATOS_[[% normaliz]:[% normaliz]],1)*(DATOS_[Conc.Sal.04]))))))), 0)</f>
        <v>0</v>
      </c>
      <c r="N10" s="250" t="n">
        <f aca="false" t="array" ref="N10:N10">IFERROR( (MEDIAN((IF(DATOS_[[Sexo]:[Sexo]]=$B10,IF(DATOS_[[Check Periodo Ref.]:[Check Periodo Ref.]]="Dentro",IF(DATOS_[[Check Equiparado]:[Check Equiparado]]="Sí",IF(DATOS!AI$4="Sí",(1/DATOS_[[% anualiz]:[% anualiz]]),1)*IF(DATOS!AI$5="Sí",1/DATOS_[[% normaliz]:[% normaliz]],1)*(DATOS_[Conc.Sal.05]))))))), 0)</f>
        <v>0</v>
      </c>
      <c r="O10" s="250" t="n">
        <f aca="false" t="array" ref="O10:O10">IFERROR( (MEDIAN((IF(DATOS_[[Sexo]:[Sexo]]=$B10,IF(DATOS_[[Check Periodo Ref.]:[Check Periodo Ref.]]="Dentro",IF(DATOS_[[Check Equiparado]:[Check Equiparado]]="Sí",IF(DATOS!AJ$4="Sí",(1/DATOS_[[% anualiz]:[% anualiz]]),1)*IF(DATOS!AJ$5="Sí",1/DATOS_[[% normaliz]:[% normaliz]],1)*(DATOS_[Conc.Sal.06]))))))), 0)</f>
        <v>0</v>
      </c>
      <c r="P10" s="250" t="n">
        <f aca="false" t="array" ref="P10:P10">IFERROR( (MEDIAN((IF(DATOS_[[Sexo]:[Sexo]]=$B10,IF(DATOS_[[Check Periodo Ref.]:[Check Periodo Ref.]]="Dentro",IF(DATOS_[[Check Equiparado]:[Check Equiparado]]="Sí",IF(DATOS!AK$4="Sí",(1/DATOS_[[% anualiz]:[% anualiz]]),1)*IF(DATOS!AK$5="Sí",1/DATOS_[[% normaliz]:[% normaliz]],1)*(DATOS_[Conc.Sal.07]))))))), 0)</f>
        <v>0</v>
      </c>
      <c r="Q10" s="250" t="n">
        <f aca="false" t="array" ref="Q10:Q10">IFERROR( (MEDIAN((IF(DATOS_[[Sexo]:[Sexo]]=$B10,IF(DATOS_[[Check Periodo Ref.]:[Check Periodo Ref.]]="Dentro",IF(DATOS_[[Check Equiparado]:[Check Equiparado]]="Sí",IF(DATOS!AL$4="Sí",(1/DATOS_[[% anualiz]:[% anualiz]]),1)*IF(DATOS!AL$5="Sí",1/DATOS_[[% normaliz]:[% normaliz]],1)*(DATOS_[Conc.Sal.08]))))))), 0)</f>
        <v>0</v>
      </c>
      <c r="R10" s="250" t="n">
        <f aca="false" t="array" ref="R10:R10">IFERROR( (MEDIAN((IF(DATOS_[[Sexo]:[Sexo]]=$B10,IF(DATOS_[[Check Periodo Ref.]:[Check Periodo Ref.]]="Dentro",IF(DATOS_[[Check Equiparado]:[Check Equiparado]]="Sí",IF(DATOS!AM$4="Sí",(1/DATOS_[[% anualiz]:[% anualiz]]),1)*IF(DATOS!AM$5="Sí",1/DATOS_[[% normaliz]:[% normaliz]],1)*(DATOS_[Conc.Sal.09]))))))), 0)</f>
        <v>0</v>
      </c>
      <c r="S10" s="250" t="n">
        <f aca="false" t="array" ref="S10:S10">IFERROR( (MEDIAN((IF(DATOS_[[Sexo]:[Sexo]]=$B10,IF(DATOS_[[Check Periodo Ref.]:[Check Periodo Ref.]]="Dentro",IF(DATOS_[[Check Equiparado]:[Check Equiparado]]="Sí",IF(DATOS!AN$4="Sí",(1/DATOS_[[% anualiz]:[% anualiz]]),1)*IF(DATOS!AN$5="Sí",1/DATOS_[[% normaliz]:[% normaliz]],1)*(DATOS_[Conc.Sal.10]))))))), 0)</f>
        <v>0</v>
      </c>
      <c r="T10" s="250" t="n">
        <f aca="false" t="array" ref="T10:T10">IFERROR( (MEDIAN((IF(DATOS_[[Sexo]:[Sexo]]=$B10,IF(DATOS_[[Check Periodo Ref.]:[Check Periodo Ref.]]="Dentro",IF(DATOS_[[Check Equiparado]:[Check Equiparado]]="Sí",IF(DATOS!AO$4="Sí",(1/DATOS_[[% anualiz]:[% anualiz]]),1)*IF(DATOS!AO$5="Sí",1/DATOS_[[% normaliz]:[% normaliz]],1)*(DATOS_[Conc.Sal.11]))))))), 0)</f>
        <v>0</v>
      </c>
      <c r="U10" s="250" t="n">
        <f aca="false" t="array" ref="U10:U10">IFERROR( (MEDIAN((IF(DATOS_[[Sexo]:[Sexo]]=$B10,IF(DATOS_[[Check Periodo Ref.]:[Check Periodo Ref.]]="Dentro",IF(DATOS_[[Check Equiparado]:[Check Equiparado]]="Sí",IF(DATOS!AP$4="Sí",(1/DATOS_[[% anualiz]:[% anualiz]]),1)*IF(DATOS!AP$5="Sí",1/DATOS_[[% normaliz]:[% normaliz]],1)*(DATOS_[Conc.Sal.12]))))))), 0)</f>
        <v>0</v>
      </c>
      <c r="V10" s="250" t="n">
        <f aca="false" t="array" ref="V10:V10">IFERROR( (MEDIAN((IF(DATOS_[[Sexo]:[Sexo]]=$B10,IF(DATOS_[[Check Periodo Ref.]:[Check Periodo Ref.]]="Dentro",IF(DATOS_[[Check Equiparado]:[Check Equiparado]]="Sí",IF(DATOS!AQ$4="Sí",(1/DATOS_[[% anualiz]:[% anualiz]]),1)*IF(DATOS!AQ$5="Sí",1/DATOS_[[% normaliz]:[% normaliz]],1)*(DATOS_[Conc.Sal.13]))))))), 0)</f>
        <v>0</v>
      </c>
      <c r="W10" s="250" t="n">
        <f aca="false" t="array" ref="W10:W10">IFERROR( (MEDIAN((IF(DATOS_[[Sexo]:[Sexo]]=$B10,IF(DATOS_[[Check Periodo Ref.]:[Check Periodo Ref.]]="Dentro",IF(DATOS_[[Check Equiparado]:[Check Equiparado]]="Sí",IF(DATOS!AR$4="Sí",(1/DATOS_[[% anualiz]:[% anualiz]]),1)*IF(DATOS!AR$5="Sí",1/DATOS_[[% normaliz]:[% normaliz]],1)*(DATOS_[Conc.Sal.14]))))))), 0)</f>
        <v>0</v>
      </c>
      <c r="X10" s="250" t="n">
        <f aca="false" t="array" ref="X10:X10">IFERROR( (MEDIAN((IF(DATOS_[[Sexo]:[Sexo]]=$B10,IF(DATOS_[[Check Periodo Ref.]:[Check Periodo Ref.]]="Dentro",IF(DATOS_[[Check Equiparado]:[Check Equiparado]]="Sí",IF(DATOS!AS$4="Sí",(1/DATOS_[[% anualiz]:[% anualiz]]),1)*IF(DATOS!AS$5="Sí",1/DATOS_[[% normaliz]:[% normaliz]],1)*(DATOS_[Conc.Sal.15]))))))), 0)</f>
        <v>0</v>
      </c>
      <c r="Y10" s="250" t="n">
        <f aca="false" t="array" ref="Y10:Y10">IFERROR( (MEDIAN((IF(DATOS_[[Sexo]:[Sexo]]=$B10,IF(DATOS_[[Check Periodo Ref.]:[Check Periodo Ref.]]="Dentro",IF(DATOS_[[Check Equiparado]:[Check Equiparado]]="Sí",IF(DATOS!AT$4="Sí",(1/DATOS_[[% anualiz]:[% anualiz]]),1)*IF(DATOS!AT$5="Sí",1/DATOS_[[% normaliz]:[% normaliz]],1)*(DATOS_[Conc.Sal.16]))))))), 0)</f>
        <v>0</v>
      </c>
      <c r="Z10" s="250" t="n">
        <f aca="false" t="array" ref="Z10:Z10">IFERROR( (MEDIAN((IF(DATOS_[[Sexo]:[Sexo]]=$B10,IF(DATOS_[[Check Periodo Ref.]:[Check Periodo Ref.]]="Dentro",IF(DATOS_[[Check Equiparado]:[Check Equiparado]]="Sí",IF(DATOS!AU$4="Sí",(1/DATOS_[[% anualiz]:[% anualiz]]),1)*IF(DATOS!AU$5="Sí",1/DATOS_[[% normaliz]:[% normaliz]],1)*(DATOS_[Conc.Sal.17]))))))), 0)</f>
        <v>0</v>
      </c>
      <c r="AA10" s="250" t="n">
        <f aca="false" t="array" ref="AA10:AA10">IFERROR( (MEDIAN((IF(DATOS_[[Sexo]:[Sexo]]=$B10,IF(DATOS_[[Check Periodo Ref.]:[Check Periodo Ref.]]="Dentro",IF(DATOS_[[Check Equiparado]:[Check Equiparado]]="Sí",IF(DATOS!AV$4="Sí",(1/DATOS_[[% anualiz]:[% anualiz]]),1)*IF(DATOS!AV$5="Sí",1/DATOS_[[% normaliz]:[% normaliz]],1)*(DATOS_[Conc.Sal.18]))))))), 0)</f>
        <v>0</v>
      </c>
      <c r="AB10" s="250" t="n">
        <f aca="false" t="array" ref="AB10:AB10">IFERROR( (MEDIAN((IF(DATOS_[[Sexo]:[Sexo]]=$B10,IF(DATOS_[[Check Periodo Ref.]:[Check Periodo Ref.]]="Dentro",IF(DATOS_[[Check Equiparado]:[Check Equiparado]]="Sí",IF(DATOS!AW$4="Sí",(1/DATOS_[[% anualiz]:[% anualiz]]),1)*IF(DATOS!AW$5="Sí",1/DATOS_[[% normaliz]:[% normaliz]],1)*(DATOS_[Conc.Sal.19]))))))), 0)</f>
        <v>0</v>
      </c>
      <c r="AC10" s="250" t="n">
        <f aca="false" t="array" ref="AC10:AC10">IFERROR( (MEDIAN((IF(DATOS_[[Sexo]:[Sexo]]=$B10,IF(DATOS_[[Check Periodo Ref.]:[Check Periodo Ref.]]="Dentro",IF(DATOS_[[Check Equiparado]:[Check Equiparado]]="Sí",IF(DATOS!AX$4="Sí",(1/DATOS_[[% anualiz]:[% anualiz]]),1)*IF(DATOS!AX$5="Sí",1/DATOS_[[% normaliz]:[% normaliz]],1)*(DATOS_[Conc.Sal.20]))))))), 0)</f>
        <v>0</v>
      </c>
      <c r="AD10" s="250" t="n">
        <f aca="false" t="array" ref="AD10:AD10">IFERROR( (MEDIAN((IF(DATOS_[[Sexo]:[Sexo]]=$B10,IF(DATOS_[[Check Periodo Ref.]:[Check Periodo Ref.]]="Dentro",IF(DATOS_[[Check Equiparado]:[Check Equiparado]]="Sí",IF(DATOS!AY$4="Sí",(1/DATOS_[[% anualiz]:[% anualiz]]),1)*IF(DATOS!AY$5="Sí",1/DATOS_[[% normaliz]:[% normaliz]],1)*(DATOS_[Conc.Sal.21]))))))), 0)</f>
        <v>0</v>
      </c>
      <c r="AE10" s="250" t="n">
        <f aca="false" t="array" ref="AE10:AE10">IFERROR( (MEDIAN((IF(DATOS_[[Sexo]:[Sexo]]=$B10,IF(DATOS_[[Check Periodo Ref.]:[Check Periodo Ref.]]="Dentro",IF(DATOS_[[Check Equiparado]:[Check Equiparado]]="Sí",IF(DATOS!AZ$4="Sí",(1/DATOS_[[% anualiz]:[% anualiz]]),1)*IF(DATOS!AZ$5="Sí",1/DATOS_[[% normaliz]:[% normaliz]],1)*(DATOS_[Conc.Sal.22]))))))), 0)</f>
        <v>0</v>
      </c>
      <c r="AF10" s="250" t="n">
        <f aca="false" t="array" ref="AF10:AF10">IFERROR( (MEDIAN((IF(DATOS_[[Sexo]:[Sexo]]=$B10,IF(DATOS_[[Check Periodo Ref.]:[Check Periodo Ref.]]="Dentro",IF(DATOS_[[Check Equiparado]:[Check Equiparado]]="Sí",IF(DATOS!BA$4="Sí",(1/DATOS_[[% anualiz]:[% anualiz]]),1)*IF(DATOS!BA$5="Sí",1/DATOS_[[% normaliz]:[% normaliz]],1)*(DATOS_[Conc.Sal.23]))))))), 0)</f>
        <v>0</v>
      </c>
      <c r="AG10" s="250" t="n">
        <f aca="false" t="array" ref="AG10:AG10">IFERROR( (MEDIAN((IF(DATOS_[[Sexo]:[Sexo]]=$B10,IF(DATOS_[[Check Periodo Ref.]:[Check Periodo Ref.]]="Dentro",IF(DATOS_[[Check Equiparado]:[Check Equiparado]]="Sí",IF(DATOS!BB$4="Sí",(1/DATOS_[[% anualiz]:[% anualiz]]),1)*IF(DATOS!BB$5="Sí",1/DATOS_[[% normaliz]:[% normaliz]],1)*(DATOS_[Conc.Sal.24]))))))), 0)</f>
        <v>0</v>
      </c>
      <c r="AH10" s="250" t="n">
        <f aca="false" t="array" ref="AH10:AH10">IFERROR( (MEDIAN((IF(DATOS_[[Sexo]:[Sexo]]=$B10,IF(DATOS_[[Check Periodo Ref.]:[Check Periodo Ref.]]="Dentro",IF(DATOS_[[Check Equiparado]:[Check Equiparado]]="Sí",IF(DATOS!BC$4="Sí",(1/DATOS_[[% anualiz]:[% anualiz]]),1)*IF(DATOS!BC$5="Sí",1/DATOS_[[% normaliz]:[% normaliz]],1)*(DATOS_[Conc.Sal.25]))))))), 0)</f>
        <v>0</v>
      </c>
      <c r="AI10" s="250" t="n">
        <f aca="false" t="array" ref="AI10:AI10">IFERROR( (MEDIAN((IF(DATOS_[[Sexo]:[Sexo]]=$B10,IF(DATOS_[[Check Periodo Ref.]:[Check Periodo Ref.]]="Dentro",IF(DATOS_[[Check Equiparado]:[Check Equiparado]]="Sí",IF(DATOS!BD$4="Sí",(1/DATOS_[[% anualiz]:[% anualiz]]),1)*IF(DATOS!BD$5="Sí",1/DATOS_[[% normaliz]:[% normaliz]],1)*(DATOS_[Conc.Sal.26]))))))), 0)</f>
        <v>0</v>
      </c>
      <c r="AJ10" s="250" t="n">
        <f aca="false" t="array" ref="AJ10:AJ10">IFERROR( (MEDIAN((IF(DATOS_[[Sexo]:[Sexo]]=$B10,IF(DATOS_[[Check Periodo Ref.]:[Check Periodo Ref.]]="Dentro",IF(DATOS_[[Check Equiparado]:[Check Equiparado]]="Sí",IF(DATOS!BE$4="Sí",(1/DATOS_[[% anualiz]:[% anualiz]]),1)*IF(DATOS!BE$5="Sí",1/DATOS_[[% normaliz]:[% normaliz]],1)*(DATOS_[Conc.Sal.27]))))))), 0)</f>
        <v>0</v>
      </c>
      <c r="AK10" s="250" t="n">
        <f aca="false" t="array" ref="AK10:AK10">IFERROR( (MEDIAN((IF(DATOS_[[Sexo]:[Sexo]]=$B10,IF(DATOS_[[Check Periodo Ref.]:[Check Periodo Ref.]]="Dentro",IF(DATOS_[[Check Equiparado]:[Check Equiparado]]="Sí",IF(DATOS!BF$4="Sí",(1/DATOS_[[% anualiz]:[% anualiz]]),1)*IF(DATOS!BF$5="Sí",1/DATOS_[[% normaliz]:[% normaliz]],1)*(DATOS_[Conc.Sal.28]))))))), 0)</f>
        <v>0</v>
      </c>
      <c r="AL10" s="250" t="n">
        <f aca="false" t="array" ref="AL10:AL10">IFERROR( (MEDIAN((IF(DATOS_[[Sexo]:[Sexo]]=$B10,IF(DATOS_[[Check Periodo Ref.]:[Check Periodo Ref.]]="Dentro",IF(DATOS_[[Check Equiparado]:[Check Equiparado]]="Sí",IF(DATOS!BG$4="Sí",(1/DATOS_[[% anualiz]:[% anualiz]]),1)*IF(DATOS!BG$5="Sí",1/DATOS_[[% normaliz]:[% normaliz]],1)*(DATOS_[Conc.Sal.29]))))))), 0)</f>
        <v>0</v>
      </c>
      <c r="AM10" s="250" t="n">
        <f aca="false" t="array" ref="AM10:AM10">IFERROR( (MEDIAN((IF(DATOS_[[Sexo]:[Sexo]]=$B10,IF(DATOS_[[Check Periodo Ref.]:[Check Periodo Ref.]]="Dentro",IF(DATOS_[[Check Equiparado]:[Check Equiparado]]="Sí",IF(DATOS!BH$4="Sí",(1/DATOS_[[% anualiz]:[% anualiz]]),1)*IF(DATOS!BH$5="Sí",1/DATOS_[[% normaliz]:[% normaliz]],1)*(DATOS_[Conc.Sal.30]))))))), 0)</f>
        <v>0</v>
      </c>
      <c r="AN10" s="251" t="n">
        <f aca="false" t="array" ref="AN10:AN10">IFERROR( MEDIAN(IF(DATOS_[Sexo]=$B10,IF(DATOS_[Check Equiparado]="Sí",IF(DATOS_[Check Periodo Ref.]="Dentro",DATOS_[Tot COMPL.SAL Eq],0)))), 0)</f>
        <v>0</v>
      </c>
      <c r="AO10" s="252" t="n">
        <f aca="false" t="array" ref="AO10:AO10">IFERROR( MEDIAN(IF(DATOS_[Sexo]=$B10,IF(DATOS_[Check Equiparado]="Sí",IF(DATOS_[Check Periodo Ref.]="Dentro",DATOS_[TOTAL SALARIO Eq],0)))), 0)</f>
        <v>0</v>
      </c>
      <c r="AP10" s="253" t="n">
        <f aca="false" t="array" ref="AP10:AP10">IFERROR( (MEDIAN((IF(DATOS_[[Sexo]:[Sexo]]=$B10,IF(DATOS_[[Check Periodo Ref.]:[Check Periodo Ref.]]="Dentro",IF(DATOS_[[Check Equiparado]:[Check Equiparado]]="Sí",IF(DATOS!BI$4="Sí",(1/DATOS_[[% anualiz]:[% anualiz]]),1)*IF(DATOS!BI$5="Sí",1/DATOS_[[% normaliz]:[% normaliz]],1)*(DATOS_[C.Extra.01]))))))), 0)</f>
        <v>0</v>
      </c>
      <c r="AQ10" s="253" t="n">
        <f aca="false" t="array" ref="AQ10:AQ10">IFERROR( (MEDIAN((IF(DATOS_[[Sexo]:[Sexo]]=$B10,IF(DATOS_[[Check Periodo Ref.]:[Check Periodo Ref.]]="Dentro",IF(DATOS_[[Check Equiparado]:[Check Equiparado]]="Sí",IF(DATOS!BJ$4="Sí",(1/DATOS_[[% anualiz]:[% anualiz]]),1)*IF(DATOS!BJ$5="Sí",1/DATOS_[[% normaliz]:[% normaliz]],1)*(DATOS_[C.Extra.02]))))))), 0)</f>
        <v>0</v>
      </c>
      <c r="AR10" s="253" t="n">
        <f aca="false" t="array" ref="AR10:AR10">IFERROR( (MEDIAN((IF(DATOS_[[Sexo]:[Sexo]]=$B10,IF(DATOS_[[Check Periodo Ref.]:[Check Periodo Ref.]]="Dentro",IF(DATOS_[[Check Equiparado]:[Check Equiparado]]="Sí",IF(DATOS!BK$4="Sí",(1/DATOS_[[% anualiz]:[% anualiz]]),1)*IF(DATOS!BK$5="Sí",1/DATOS_[[% normaliz]:[% normaliz]],1)*(DATOS_[C.Extra.03]))))))), 0)</f>
        <v>0</v>
      </c>
      <c r="AS10" s="253" t="n">
        <f aca="false" t="array" ref="AS10:AS10">IFERROR( (MEDIAN((IF(DATOS_[[Sexo]:[Sexo]]=$B10,IF(DATOS_[[Check Periodo Ref.]:[Check Periodo Ref.]]="Dentro",IF(DATOS_[[Check Equiparado]:[Check Equiparado]]="Sí",IF(DATOS!BL$4="Sí",(1/DATOS_[[% anualiz]:[% anualiz]]),1)*IF(DATOS!BL$5="Sí",1/DATOS_[[% normaliz]:[% normaliz]],1)*(DATOS_[C.Extra.04]))))))), 0)</f>
        <v>0</v>
      </c>
      <c r="AT10" s="253" t="n">
        <f aca="false" t="array" ref="AT10:AT10">IFERROR( (MEDIAN((IF(DATOS_[[Sexo]:[Sexo]]=$B10,IF(DATOS_[[Check Periodo Ref.]:[Check Periodo Ref.]]="Dentro",IF(DATOS_[[Check Equiparado]:[Check Equiparado]]="Sí",IF(DATOS!BM$4="Sí",(1/DATOS_[[% anualiz]:[% anualiz]]),1)*IF(DATOS!BM$5="Sí",1/DATOS_[[% normaliz]:[% normaliz]],1)*(DATOS_[C.Extra.05]))))))), 0)</f>
        <v>0</v>
      </c>
      <c r="AU10" s="254" t="n">
        <f aca="false" t="array" ref="AU10:AU10">IFERROR( MEDIAN(IF(DATOS_[Sexo]=$B10,IF(DATOS_[Check Equiparado]="Sí",IF(DATOS_[Check Periodo Ref.]="Dentro",DATOS_[Tot Extrasalarial Eq],0)))), 0)</f>
        <v>0</v>
      </c>
      <c r="AV10" s="255" t="n">
        <f aca="false" t="array" ref="AV10:AV10">IFERROR( MEDIAN(IF(DATOS_[Sexo]=$B10,IF(DATOS_[Check Equiparado]="Sí",IF(DATOS_[Check Periodo Ref.]="Dentro",DATOS_[TOTAL Retrib Eq],0)))), 0)</f>
        <v>0</v>
      </c>
    </row>
    <row r="11" customFormat="false" ht="14.25" hidden="false" customHeight="false" outlineLevel="0" collapsed="false">
      <c r="B11" s="323" t="s">
        <v>372</v>
      </c>
      <c r="C11" s="247" t="n">
        <f aca="false" t="array" ref="C11:C11">SUM(IF($B11=DATOS_[Sexo], IF("Dentro"=DATOS_[Check Periodo Ref.], 1/(COUNTIFS(DATOS_[Sexo],$B11,DATOS_[Check Periodo Ref.],"Dentro",DATOS_[id],DATOS_[id])))))</f>
        <v>0</v>
      </c>
      <c r="D11" s="248" t="n">
        <f aca="false">COUNTIFS(DATOS_[AGRUP. CLAS. PROF.],"&lt;&gt;",DATOS_[Sexo],$B11,DATOS_[Check Periodo Ref.],"Dentro")</f>
        <v>0</v>
      </c>
      <c r="E11" s="248" t="n">
        <f aca="false">COUNTIFS(DATOS_[AGRUP. CLAS. PROF.],"&lt;&gt;",DATOS_[Sexo],$B11,DATOS_[Check Periodo Ref.],"Dentro",DATOS_[Check Nº SC Norm],"Sí")</f>
        <v>0</v>
      </c>
      <c r="F11" s="248" t="n">
        <f aca="false">COUNTIFS(DATOS_[AGRUP. CLAS. PROF.],"&lt;&gt;",DATOS_[Sexo],$B11,DATOS_[Check Periodo Ref.],"Dentro",DATOS_[Check Nº SC Anualiz],"Sí")</f>
        <v>0</v>
      </c>
      <c r="G11" s="248" t="n">
        <f aca="false">COUNTIFS(DATOS_[AGRUP. CLAS. PROF.],"&lt;&gt;",DATOS_[Sexo],$B11,DATOS_[Check Periodo Ref.],"Dentro",DATOS_[Check Nº SC Norm y Anualiz],"Sí")</f>
        <v>0</v>
      </c>
      <c r="H11" s="248" t="n">
        <f aca="false">COUNTIFS(DATOS_[AGRUP. CLAS. PROF.],"&lt;&gt;",DATOS_[Sexo],$B11,DATOS_[Check Periodo Ref.],"Dentro",DATOS_[Check Equiparación],"Sí")</f>
        <v>0</v>
      </c>
      <c r="I11" s="249" t="n">
        <f aca="false" t="array" ref="I11:I11">IFERROR( MEDIAN(IF(DATOS_[Sexo]=$B11,IF(DATOS_[Check Equiparado]="Sí",IF(DATOS_[Check Periodo Ref.]="Dentro",DATOS_[SALARIO BASE Eq],0)))), 0)</f>
        <v>0</v>
      </c>
      <c r="J11" s="250" t="n">
        <f aca="false" t="array" ref="J11:J11">IFERROR( (MEDIAN((IF(DATOS_[[Sexo]:[Sexo]]=$B11,IF(DATOS_[[Check Periodo Ref.]:[Check Periodo Ref.]]="Dentro",IF(DATOS_[[Check Equiparado]:[Check Equiparado]]="Sí",IF(DATOS!AE$4="Sí",(1/DATOS_[[% anualiz]:[% anualiz]]),1)*IF(DATOS!AE$5="Sí",1/DATOS_[[% normaliz]:[% normaliz]],1)*(DATOS_[Conc.Sal.01]))))))), 0)</f>
        <v>0</v>
      </c>
      <c r="K11" s="250" t="n">
        <f aca="false" t="array" ref="K11:K11">IFERROR( (MEDIAN((IF(DATOS_[[Sexo]:[Sexo]]=$B11,IF(DATOS_[[Check Periodo Ref.]:[Check Periodo Ref.]]="Dentro",IF(DATOS_[[Check Equiparado]:[Check Equiparado]]="Sí",IF(DATOS!AF$4="Sí",(1/DATOS_[[% anualiz]:[% anualiz]]),1)*IF(DATOS!AF$5="Sí",1/DATOS_[[% normaliz]:[% normaliz]],1)*(DATOS_[Conc.Sal.02]))))))), 0)</f>
        <v>0</v>
      </c>
      <c r="L11" s="250" t="n">
        <f aca="false" t="array" ref="L11:L11">IFERROR( (MEDIAN((IF(DATOS_[[Sexo]:[Sexo]]=$B11,IF(DATOS_[[Check Periodo Ref.]:[Check Periodo Ref.]]="Dentro",IF(DATOS_[[Check Equiparado]:[Check Equiparado]]="Sí",IF(DATOS!AG$4="Sí",(1/DATOS_[[% anualiz]:[% anualiz]]),1)*IF(DATOS!AG$5="Sí",1/DATOS_[[% normaliz]:[% normaliz]],1)*(DATOS_[Conc.Sal.03]))))))), 0)</f>
        <v>0</v>
      </c>
      <c r="M11" s="250" t="n">
        <f aca="false" t="array" ref="M11:M11">IFERROR( (MEDIAN((IF(DATOS_[[Sexo]:[Sexo]]=$B11,IF(DATOS_[[Check Periodo Ref.]:[Check Periodo Ref.]]="Dentro",IF(DATOS_[[Check Equiparado]:[Check Equiparado]]="Sí",IF(DATOS!AH$4="Sí",(1/DATOS_[[% anualiz]:[% anualiz]]),1)*IF(DATOS!AH$5="Sí",1/DATOS_[[% normaliz]:[% normaliz]],1)*(DATOS_[Conc.Sal.04]))))))), 0)</f>
        <v>0</v>
      </c>
      <c r="N11" s="250" t="n">
        <f aca="false" t="array" ref="N11:N11">IFERROR( (MEDIAN((IF(DATOS_[[Sexo]:[Sexo]]=$B11,IF(DATOS_[[Check Periodo Ref.]:[Check Periodo Ref.]]="Dentro",IF(DATOS_[[Check Equiparado]:[Check Equiparado]]="Sí",IF(DATOS!AI$4="Sí",(1/DATOS_[[% anualiz]:[% anualiz]]),1)*IF(DATOS!AI$5="Sí",1/DATOS_[[% normaliz]:[% normaliz]],1)*(DATOS_[Conc.Sal.05]))))))), 0)</f>
        <v>0</v>
      </c>
      <c r="O11" s="250" t="n">
        <f aca="false" t="array" ref="O11:O11">IFERROR( (MEDIAN((IF(DATOS_[[Sexo]:[Sexo]]=$B11,IF(DATOS_[[Check Periodo Ref.]:[Check Periodo Ref.]]="Dentro",IF(DATOS_[[Check Equiparado]:[Check Equiparado]]="Sí",IF(DATOS!AJ$4="Sí",(1/DATOS_[[% anualiz]:[% anualiz]]),1)*IF(DATOS!AJ$5="Sí",1/DATOS_[[% normaliz]:[% normaliz]],1)*(DATOS_[Conc.Sal.06]))))))), 0)</f>
        <v>0</v>
      </c>
      <c r="P11" s="250" t="n">
        <f aca="false" t="array" ref="P11:P11">IFERROR( (MEDIAN((IF(DATOS_[[Sexo]:[Sexo]]=$B11,IF(DATOS_[[Check Periodo Ref.]:[Check Periodo Ref.]]="Dentro",IF(DATOS_[[Check Equiparado]:[Check Equiparado]]="Sí",IF(DATOS!AK$4="Sí",(1/DATOS_[[% anualiz]:[% anualiz]]),1)*IF(DATOS!AK$5="Sí",1/DATOS_[[% normaliz]:[% normaliz]],1)*(DATOS_[Conc.Sal.07]))))))), 0)</f>
        <v>0</v>
      </c>
      <c r="Q11" s="250" t="n">
        <f aca="false" t="array" ref="Q11:Q11">IFERROR( (MEDIAN((IF(DATOS_[[Sexo]:[Sexo]]=$B11,IF(DATOS_[[Check Periodo Ref.]:[Check Periodo Ref.]]="Dentro",IF(DATOS_[[Check Equiparado]:[Check Equiparado]]="Sí",IF(DATOS!AL$4="Sí",(1/DATOS_[[% anualiz]:[% anualiz]]),1)*IF(DATOS!AL$5="Sí",1/DATOS_[[% normaliz]:[% normaliz]],1)*(DATOS_[Conc.Sal.08]))))))), 0)</f>
        <v>0</v>
      </c>
      <c r="R11" s="250" t="n">
        <f aca="false" t="array" ref="R11:R11">IFERROR( (MEDIAN((IF(DATOS_[[Sexo]:[Sexo]]=$B11,IF(DATOS_[[Check Periodo Ref.]:[Check Periodo Ref.]]="Dentro",IF(DATOS_[[Check Equiparado]:[Check Equiparado]]="Sí",IF(DATOS!AM$4="Sí",(1/DATOS_[[% anualiz]:[% anualiz]]),1)*IF(DATOS!AM$5="Sí",1/DATOS_[[% normaliz]:[% normaliz]],1)*(DATOS_[Conc.Sal.09]))))))), 0)</f>
        <v>0</v>
      </c>
      <c r="S11" s="250" t="n">
        <f aca="false" t="array" ref="S11:S11">IFERROR( (MEDIAN((IF(DATOS_[[Sexo]:[Sexo]]=$B11,IF(DATOS_[[Check Periodo Ref.]:[Check Periodo Ref.]]="Dentro",IF(DATOS_[[Check Equiparado]:[Check Equiparado]]="Sí",IF(DATOS!AN$4="Sí",(1/DATOS_[[% anualiz]:[% anualiz]]),1)*IF(DATOS!AN$5="Sí",1/DATOS_[[% normaliz]:[% normaliz]],1)*(DATOS_[Conc.Sal.10]))))))), 0)</f>
        <v>0</v>
      </c>
      <c r="T11" s="250" t="n">
        <f aca="false" t="array" ref="T11:T11">IFERROR( (MEDIAN((IF(DATOS_[[Sexo]:[Sexo]]=$B11,IF(DATOS_[[Check Periodo Ref.]:[Check Periodo Ref.]]="Dentro",IF(DATOS_[[Check Equiparado]:[Check Equiparado]]="Sí",IF(DATOS!AO$4="Sí",(1/DATOS_[[% anualiz]:[% anualiz]]),1)*IF(DATOS!AO$5="Sí",1/DATOS_[[% normaliz]:[% normaliz]],1)*(DATOS_[Conc.Sal.11]))))))), 0)</f>
        <v>0</v>
      </c>
      <c r="U11" s="250" t="n">
        <f aca="false" t="array" ref="U11:U11">IFERROR( (MEDIAN((IF(DATOS_[[Sexo]:[Sexo]]=$B11,IF(DATOS_[[Check Periodo Ref.]:[Check Periodo Ref.]]="Dentro",IF(DATOS_[[Check Equiparado]:[Check Equiparado]]="Sí",IF(DATOS!AP$4="Sí",(1/DATOS_[[% anualiz]:[% anualiz]]),1)*IF(DATOS!AP$5="Sí",1/DATOS_[[% normaliz]:[% normaliz]],1)*(DATOS_[Conc.Sal.12]))))))), 0)</f>
        <v>0</v>
      </c>
      <c r="V11" s="250" t="n">
        <f aca="false" t="array" ref="V11:V11">IFERROR( (MEDIAN((IF(DATOS_[[Sexo]:[Sexo]]=$B11,IF(DATOS_[[Check Periodo Ref.]:[Check Periodo Ref.]]="Dentro",IF(DATOS_[[Check Equiparado]:[Check Equiparado]]="Sí",IF(DATOS!AQ$4="Sí",(1/DATOS_[[% anualiz]:[% anualiz]]),1)*IF(DATOS!AQ$5="Sí",1/DATOS_[[% normaliz]:[% normaliz]],1)*(DATOS_[Conc.Sal.13]))))))), 0)</f>
        <v>0</v>
      </c>
      <c r="W11" s="250" t="n">
        <f aca="false" t="array" ref="W11:W11">IFERROR( (MEDIAN((IF(DATOS_[[Sexo]:[Sexo]]=$B11,IF(DATOS_[[Check Periodo Ref.]:[Check Periodo Ref.]]="Dentro",IF(DATOS_[[Check Equiparado]:[Check Equiparado]]="Sí",IF(DATOS!AR$4="Sí",(1/DATOS_[[% anualiz]:[% anualiz]]),1)*IF(DATOS!AR$5="Sí",1/DATOS_[[% normaliz]:[% normaliz]],1)*(DATOS_[Conc.Sal.14]))))))), 0)</f>
        <v>0</v>
      </c>
      <c r="X11" s="250" t="n">
        <f aca="false" t="array" ref="X11:X11">IFERROR( (MEDIAN((IF(DATOS_[[Sexo]:[Sexo]]=$B11,IF(DATOS_[[Check Periodo Ref.]:[Check Periodo Ref.]]="Dentro",IF(DATOS_[[Check Equiparado]:[Check Equiparado]]="Sí",IF(DATOS!AS$4="Sí",(1/DATOS_[[% anualiz]:[% anualiz]]),1)*IF(DATOS!AS$5="Sí",1/DATOS_[[% normaliz]:[% normaliz]],1)*(DATOS_[Conc.Sal.15]))))))), 0)</f>
        <v>0</v>
      </c>
      <c r="Y11" s="250" t="n">
        <f aca="false" t="array" ref="Y11:Y11">IFERROR( (MEDIAN((IF(DATOS_[[Sexo]:[Sexo]]=$B11,IF(DATOS_[[Check Periodo Ref.]:[Check Periodo Ref.]]="Dentro",IF(DATOS_[[Check Equiparado]:[Check Equiparado]]="Sí",IF(DATOS!AT$4="Sí",(1/DATOS_[[% anualiz]:[% anualiz]]),1)*IF(DATOS!AT$5="Sí",1/DATOS_[[% normaliz]:[% normaliz]],1)*(DATOS_[Conc.Sal.16]))))))), 0)</f>
        <v>0</v>
      </c>
      <c r="Z11" s="250" t="n">
        <f aca="false" t="array" ref="Z11:Z11">IFERROR( (MEDIAN((IF(DATOS_[[Sexo]:[Sexo]]=$B11,IF(DATOS_[[Check Periodo Ref.]:[Check Periodo Ref.]]="Dentro",IF(DATOS_[[Check Equiparado]:[Check Equiparado]]="Sí",IF(DATOS!AU$4="Sí",(1/DATOS_[[% anualiz]:[% anualiz]]),1)*IF(DATOS!AU$5="Sí",1/DATOS_[[% normaliz]:[% normaliz]],1)*(DATOS_[Conc.Sal.17]))))))), 0)</f>
        <v>0</v>
      </c>
      <c r="AA11" s="250" t="n">
        <f aca="false" t="array" ref="AA11:AA11">IFERROR( (MEDIAN((IF(DATOS_[[Sexo]:[Sexo]]=$B11,IF(DATOS_[[Check Periodo Ref.]:[Check Periodo Ref.]]="Dentro",IF(DATOS_[[Check Equiparado]:[Check Equiparado]]="Sí",IF(DATOS!AV$4="Sí",(1/DATOS_[[% anualiz]:[% anualiz]]),1)*IF(DATOS!AV$5="Sí",1/DATOS_[[% normaliz]:[% normaliz]],1)*(DATOS_[Conc.Sal.18]))))))), 0)</f>
        <v>0</v>
      </c>
      <c r="AB11" s="250" t="n">
        <f aca="false" t="array" ref="AB11:AB11">IFERROR( (MEDIAN((IF(DATOS_[[Sexo]:[Sexo]]=$B11,IF(DATOS_[[Check Periodo Ref.]:[Check Periodo Ref.]]="Dentro",IF(DATOS_[[Check Equiparado]:[Check Equiparado]]="Sí",IF(DATOS!AW$4="Sí",(1/DATOS_[[% anualiz]:[% anualiz]]),1)*IF(DATOS!AW$5="Sí",1/DATOS_[[% normaliz]:[% normaliz]],1)*(DATOS_[Conc.Sal.19]))))))), 0)</f>
        <v>0</v>
      </c>
      <c r="AC11" s="250" t="n">
        <f aca="false" t="array" ref="AC11:AC11">IFERROR( (MEDIAN((IF(DATOS_[[Sexo]:[Sexo]]=$B11,IF(DATOS_[[Check Periodo Ref.]:[Check Periodo Ref.]]="Dentro",IF(DATOS_[[Check Equiparado]:[Check Equiparado]]="Sí",IF(DATOS!AX$4="Sí",(1/DATOS_[[% anualiz]:[% anualiz]]),1)*IF(DATOS!AX$5="Sí",1/DATOS_[[% normaliz]:[% normaliz]],1)*(DATOS_[Conc.Sal.20]))))))), 0)</f>
        <v>0</v>
      </c>
      <c r="AD11" s="250" t="n">
        <f aca="false" t="array" ref="AD11:AD11">IFERROR( (MEDIAN((IF(DATOS_[[Sexo]:[Sexo]]=$B11,IF(DATOS_[[Check Periodo Ref.]:[Check Periodo Ref.]]="Dentro",IF(DATOS_[[Check Equiparado]:[Check Equiparado]]="Sí",IF(DATOS!AY$4="Sí",(1/DATOS_[[% anualiz]:[% anualiz]]),1)*IF(DATOS!AY$5="Sí",1/DATOS_[[% normaliz]:[% normaliz]],1)*(DATOS_[Conc.Sal.21]))))))), 0)</f>
        <v>0</v>
      </c>
      <c r="AE11" s="250" t="n">
        <f aca="false" t="array" ref="AE11:AE11">IFERROR( (MEDIAN((IF(DATOS_[[Sexo]:[Sexo]]=$B11,IF(DATOS_[[Check Periodo Ref.]:[Check Periodo Ref.]]="Dentro",IF(DATOS_[[Check Equiparado]:[Check Equiparado]]="Sí",IF(DATOS!AZ$4="Sí",(1/DATOS_[[% anualiz]:[% anualiz]]),1)*IF(DATOS!AZ$5="Sí",1/DATOS_[[% normaliz]:[% normaliz]],1)*(DATOS_[Conc.Sal.22]))))))), 0)</f>
        <v>0</v>
      </c>
      <c r="AF11" s="250" t="n">
        <f aca="false" t="array" ref="AF11:AF11">IFERROR( (MEDIAN((IF(DATOS_[[Sexo]:[Sexo]]=$B11,IF(DATOS_[[Check Periodo Ref.]:[Check Periodo Ref.]]="Dentro",IF(DATOS_[[Check Equiparado]:[Check Equiparado]]="Sí",IF(DATOS!BA$4="Sí",(1/DATOS_[[% anualiz]:[% anualiz]]),1)*IF(DATOS!BA$5="Sí",1/DATOS_[[% normaliz]:[% normaliz]],1)*(DATOS_[Conc.Sal.23]))))))), 0)</f>
        <v>0</v>
      </c>
      <c r="AG11" s="250" t="n">
        <f aca="false" t="array" ref="AG11:AG11">IFERROR( (MEDIAN((IF(DATOS_[[Sexo]:[Sexo]]=$B11,IF(DATOS_[[Check Periodo Ref.]:[Check Periodo Ref.]]="Dentro",IF(DATOS_[[Check Equiparado]:[Check Equiparado]]="Sí",IF(DATOS!BB$4="Sí",(1/DATOS_[[% anualiz]:[% anualiz]]),1)*IF(DATOS!BB$5="Sí",1/DATOS_[[% normaliz]:[% normaliz]],1)*(DATOS_[Conc.Sal.24]))))))), 0)</f>
        <v>0</v>
      </c>
      <c r="AH11" s="250" t="n">
        <f aca="false" t="array" ref="AH11:AH11">IFERROR( (MEDIAN((IF(DATOS_[[Sexo]:[Sexo]]=$B11,IF(DATOS_[[Check Periodo Ref.]:[Check Periodo Ref.]]="Dentro",IF(DATOS_[[Check Equiparado]:[Check Equiparado]]="Sí",IF(DATOS!BC$4="Sí",(1/DATOS_[[% anualiz]:[% anualiz]]),1)*IF(DATOS!BC$5="Sí",1/DATOS_[[% normaliz]:[% normaliz]],1)*(DATOS_[Conc.Sal.25]))))))), 0)</f>
        <v>0</v>
      </c>
      <c r="AI11" s="250" t="n">
        <f aca="false" t="array" ref="AI11:AI11">IFERROR( (MEDIAN((IF(DATOS_[[Sexo]:[Sexo]]=$B11,IF(DATOS_[[Check Periodo Ref.]:[Check Periodo Ref.]]="Dentro",IF(DATOS_[[Check Equiparado]:[Check Equiparado]]="Sí",IF(DATOS!BD$4="Sí",(1/DATOS_[[% anualiz]:[% anualiz]]),1)*IF(DATOS!BD$5="Sí",1/DATOS_[[% normaliz]:[% normaliz]],1)*(DATOS_[Conc.Sal.26]))))))), 0)</f>
        <v>0</v>
      </c>
      <c r="AJ11" s="250" t="n">
        <f aca="false" t="array" ref="AJ11:AJ11">IFERROR( (MEDIAN((IF(DATOS_[[Sexo]:[Sexo]]=$B11,IF(DATOS_[[Check Periodo Ref.]:[Check Periodo Ref.]]="Dentro",IF(DATOS_[[Check Equiparado]:[Check Equiparado]]="Sí",IF(DATOS!BE$4="Sí",(1/DATOS_[[% anualiz]:[% anualiz]]),1)*IF(DATOS!BE$5="Sí",1/DATOS_[[% normaliz]:[% normaliz]],1)*(DATOS_[Conc.Sal.27]))))))), 0)</f>
        <v>0</v>
      </c>
      <c r="AK11" s="250" t="n">
        <f aca="false" t="array" ref="AK11:AK11">IFERROR( (MEDIAN((IF(DATOS_[[Sexo]:[Sexo]]=$B11,IF(DATOS_[[Check Periodo Ref.]:[Check Periodo Ref.]]="Dentro",IF(DATOS_[[Check Equiparado]:[Check Equiparado]]="Sí",IF(DATOS!BF$4="Sí",(1/DATOS_[[% anualiz]:[% anualiz]]),1)*IF(DATOS!BF$5="Sí",1/DATOS_[[% normaliz]:[% normaliz]],1)*(DATOS_[Conc.Sal.28]))))))), 0)</f>
        <v>0</v>
      </c>
      <c r="AL11" s="250" t="n">
        <f aca="false" t="array" ref="AL11:AL11">IFERROR( (MEDIAN((IF(DATOS_[[Sexo]:[Sexo]]=$B11,IF(DATOS_[[Check Periodo Ref.]:[Check Periodo Ref.]]="Dentro",IF(DATOS_[[Check Equiparado]:[Check Equiparado]]="Sí",IF(DATOS!BG$4="Sí",(1/DATOS_[[% anualiz]:[% anualiz]]),1)*IF(DATOS!BG$5="Sí",1/DATOS_[[% normaliz]:[% normaliz]],1)*(DATOS_[Conc.Sal.29]))))))), 0)</f>
        <v>0</v>
      </c>
      <c r="AM11" s="250" t="n">
        <f aca="false" t="array" ref="AM11:AM11">IFERROR( (MEDIAN((IF(DATOS_[[Sexo]:[Sexo]]=$B11,IF(DATOS_[[Check Periodo Ref.]:[Check Periodo Ref.]]="Dentro",IF(DATOS_[[Check Equiparado]:[Check Equiparado]]="Sí",IF(DATOS!BH$4="Sí",(1/DATOS_[[% anualiz]:[% anualiz]]),1)*IF(DATOS!BH$5="Sí",1/DATOS_[[% normaliz]:[% normaliz]],1)*(DATOS_[Conc.Sal.30]))))))), 0)</f>
        <v>0</v>
      </c>
      <c r="AN11" s="251" t="n">
        <f aca="false" t="array" ref="AN11:AN11">IFERROR( MEDIAN(IF(DATOS_[Sexo]=$B11,IF(DATOS_[Check Equiparado]="Sí",IF(DATOS_[Check Periodo Ref.]="Dentro",DATOS_[Tot COMPL.SAL Eq],0)))), 0)</f>
        <v>0</v>
      </c>
      <c r="AO11" s="252" t="n">
        <f aca="false" t="array" ref="AO11:AO11">IFERROR( MEDIAN(IF(DATOS_[Sexo]=$B11,IF(DATOS_[Check Equiparado]="Sí",IF(DATOS_[Check Periodo Ref.]="Dentro",DATOS_[TOTAL SALARIO Eq],0)))), 0)</f>
        <v>0</v>
      </c>
      <c r="AP11" s="253" t="n">
        <f aca="false" t="array" ref="AP11:AP11">IFERROR( (MEDIAN((IF(DATOS_[[Sexo]:[Sexo]]=$B11,IF(DATOS_[[Check Periodo Ref.]:[Check Periodo Ref.]]="Dentro",IF(DATOS_[[Check Equiparado]:[Check Equiparado]]="Sí",IF(DATOS!BI$4="Sí",(1/DATOS_[[% anualiz]:[% anualiz]]),1)*IF(DATOS!BI$5="Sí",1/DATOS_[[% normaliz]:[% normaliz]],1)*(DATOS_[C.Extra.01]))))))), 0)</f>
        <v>0</v>
      </c>
      <c r="AQ11" s="253" t="n">
        <f aca="false" t="array" ref="AQ11:AQ11">IFERROR( (MEDIAN((IF(DATOS_[[Sexo]:[Sexo]]=$B11,IF(DATOS_[[Check Periodo Ref.]:[Check Periodo Ref.]]="Dentro",IF(DATOS_[[Check Equiparado]:[Check Equiparado]]="Sí",IF(DATOS!BJ$4="Sí",(1/DATOS_[[% anualiz]:[% anualiz]]),1)*IF(DATOS!BJ$5="Sí",1/DATOS_[[% normaliz]:[% normaliz]],1)*(DATOS_[C.Extra.02]))))))), 0)</f>
        <v>0</v>
      </c>
      <c r="AR11" s="253" t="n">
        <f aca="false" t="array" ref="AR11:AR11">IFERROR( (MEDIAN((IF(DATOS_[[Sexo]:[Sexo]]=$B11,IF(DATOS_[[Check Periodo Ref.]:[Check Periodo Ref.]]="Dentro",IF(DATOS_[[Check Equiparado]:[Check Equiparado]]="Sí",IF(DATOS!BK$4="Sí",(1/DATOS_[[% anualiz]:[% anualiz]]),1)*IF(DATOS!BK$5="Sí",1/DATOS_[[% normaliz]:[% normaliz]],1)*(DATOS_[C.Extra.03]))))))), 0)</f>
        <v>0</v>
      </c>
      <c r="AS11" s="253" t="n">
        <f aca="false" t="array" ref="AS11:AS11">IFERROR( (MEDIAN((IF(DATOS_[[Sexo]:[Sexo]]=$B11,IF(DATOS_[[Check Periodo Ref.]:[Check Periodo Ref.]]="Dentro",IF(DATOS_[[Check Equiparado]:[Check Equiparado]]="Sí",IF(DATOS!BL$4="Sí",(1/DATOS_[[% anualiz]:[% anualiz]]),1)*IF(DATOS!BL$5="Sí",1/DATOS_[[% normaliz]:[% normaliz]],1)*(DATOS_[C.Extra.04]))))))), 0)</f>
        <v>0</v>
      </c>
      <c r="AT11" s="253" t="n">
        <f aca="false" t="array" ref="AT11:AT11">IFERROR( (MEDIAN((IF(DATOS_[[Sexo]:[Sexo]]=$B11,IF(DATOS_[[Check Periodo Ref.]:[Check Periodo Ref.]]="Dentro",IF(DATOS_[[Check Equiparado]:[Check Equiparado]]="Sí",IF(DATOS!BM$4="Sí",(1/DATOS_[[% anualiz]:[% anualiz]]),1)*IF(DATOS!BM$5="Sí",1/DATOS_[[% normaliz]:[% normaliz]],1)*(DATOS_[C.Extra.05]))))))), 0)</f>
        <v>0</v>
      </c>
      <c r="AU11" s="254" t="n">
        <f aca="false" t="array" ref="AU11:AU11">IFERROR( MEDIAN(IF(DATOS_[Sexo]=$B11,IF(DATOS_[Check Equiparado]="Sí",IF(DATOS_[Check Periodo Ref.]="Dentro",DATOS_[Tot Extrasalarial Eq],0)))), 0)</f>
        <v>0</v>
      </c>
      <c r="AV11" s="255" t="n">
        <f aca="false" t="array" ref="AV11:AV11">IFERROR( MEDIAN(IF(DATOS_[Sexo]=$B11,IF(DATOS_[Check Equiparado]="Sí",IF(DATOS_[Check Periodo Ref.]="Dentro",DATOS_[TOTAL Retrib Eq],0)))), 0)</f>
        <v>0</v>
      </c>
    </row>
    <row r="12" customFormat="false" ht="14.25" hidden="false" customHeight="false" outlineLevel="0" collapsed="false">
      <c r="D12" s="324"/>
      <c r="E12" s="324"/>
      <c r="F12" s="324"/>
      <c r="G12" s="324"/>
      <c r="H12" s="324"/>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P12" s="326"/>
      <c r="AQ12" s="326"/>
      <c r="AR12" s="326"/>
      <c r="AS12" s="326"/>
      <c r="AT12" s="326"/>
    </row>
    <row r="13" customFormat="false" ht="14.25" hidden="false" customHeight="false" outlineLevel="0" collapsed="false">
      <c r="D13" s="324"/>
      <c r="E13" s="324"/>
      <c r="F13" s="324"/>
      <c r="G13" s="324"/>
      <c r="H13" s="324"/>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P13" s="326"/>
      <c r="AQ13" s="326"/>
      <c r="AR13" s="326"/>
      <c r="AS13" s="326"/>
      <c r="AT13" s="326"/>
    </row>
    <row r="14" s="311" customFormat="true" ht="46.15" hidden="false" customHeight="true" outlineLevel="0" collapsed="false">
      <c r="B14" s="312"/>
      <c r="C14" s="312" t="s">
        <v>368</v>
      </c>
      <c r="D14" s="312" t="s">
        <v>369</v>
      </c>
      <c r="E14" s="312" t="s">
        <v>260</v>
      </c>
      <c r="F14" s="312" t="s">
        <v>262</v>
      </c>
      <c r="G14" s="312" t="s">
        <v>264</v>
      </c>
      <c r="H14" s="312" t="s">
        <v>373</v>
      </c>
      <c r="I14" s="313" t="s">
        <v>268</v>
      </c>
      <c r="J14" s="314" t="str">
        <f aca="false">+J8</f>
        <v>[ocultar]</v>
      </c>
      <c r="K14" s="314" t="str">
        <f aca="false">+K8</f>
        <v>[ocultar]</v>
      </c>
      <c r="L14" s="314" t="str">
        <f aca="false">+L8</f>
        <v>[ocultar]</v>
      </c>
      <c r="M14" s="314" t="str">
        <f aca="false">+M8</f>
        <v>[ocultar]</v>
      </c>
      <c r="N14" s="314" t="str">
        <f aca="false">+N8</f>
        <v>[ocultar]</v>
      </c>
      <c r="O14" s="314" t="str">
        <f aca="false">+O8</f>
        <v>[ocultar]</v>
      </c>
      <c r="P14" s="314" t="str">
        <f aca="false">+P8</f>
        <v>[ocultar]</v>
      </c>
      <c r="Q14" s="314" t="str">
        <f aca="false">+Q8</f>
        <v>[ocultar]</v>
      </c>
      <c r="R14" s="314" t="str">
        <f aca="false">+R8</f>
        <v>[ocultar]</v>
      </c>
      <c r="S14" s="314" t="str">
        <f aca="false">+S8</f>
        <v>[ocultar]</v>
      </c>
      <c r="T14" s="314" t="str">
        <f aca="false">+T8</f>
        <v>[ocultar]</v>
      </c>
      <c r="U14" s="314" t="str">
        <f aca="false">+U8</f>
        <v>[ocultar]</v>
      </c>
      <c r="V14" s="314" t="str">
        <f aca="false">+V8</f>
        <v>[ocultar]</v>
      </c>
      <c r="W14" s="314" t="str">
        <f aca="false">+W8</f>
        <v>[ocultar]</v>
      </c>
      <c r="X14" s="314" t="str">
        <f aca="false">+X8</f>
        <v>[ocultar]</v>
      </c>
      <c r="Y14" s="314" t="str">
        <f aca="false">+Y8</f>
        <v>[ocultar]</v>
      </c>
      <c r="Z14" s="314" t="str">
        <f aca="false">+Z8</f>
        <v>[ocultar]</v>
      </c>
      <c r="AA14" s="314" t="str">
        <f aca="false">+AA8</f>
        <v>[ocultar]</v>
      </c>
      <c r="AB14" s="314" t="str">
        <f aca="false">+AB8</f>
        <v>[ocultar]</v>
      </c>
      <c r="AC14" s="314" t="str">
        <f aca="false">+AC8</f>
        <v>[ocultar]</v>
      </c>
      <c r="AD14" s="314" t="str">
        <f aca="false">+AD8</f>
        <v>[ocultar]</v>
      </c>
      <c r="AE14" s="314" t="str">
        <f aca="false">+AE8</f>
        <v>[ocultar]</v>
      </c>
      <c r="AF14" s="314" t="str">
        <f aca="false">+AF8</f>
        <v>[ocultar]</v>
      </c>
      <c r="AG14" s="314" t="str">
        <f aca="false">+AG8</f>
        <v>[ocultar]</v>
      </c>
      <c r="AH14" s="314" t="str">
        <f aca="false">+AH8</f>
        <v>[ocultar]</v>
      </c>
      <c r="AI14" s="314" t="str">
        <f aca="false">+AI8</f>
        <v>[ocultar]</v>
      </c>
      <c r="AJ14" s="314" t="str">
        <f aca="false">+AJ8</f>
        <v>[ocultar]</v>
      </c>
      <c r="AK14" s="314" t="str">
        <f aca="false">+AK8</f>
        <v>[ocultar]</v>
      </c>
      <c r="AL14" s="314" t="str">
        <f aca="false">+AL8</f>
        <v>[ocultar]</v>
      </c>
      <c r="AM14" s="314" t="str">
        <f aca="false">+AM8</f>
        <v>[ocultar]</v>
      </c>
      <c r="AN14" s="315" t="s">
        <v>269</v>
      </c>
      <c r="AO14" s="316" t="s">
        <v>270</v>
      </c>
      <c r="AP14" s="317" t="str">
        <f aca="false">+AP8</f>
        <v>[ocultar]</v>
      </c>
      <c r="AQ14" s="317" t="str">
        <f aca="false">+AQ8</f>
        <v>[ocultar]</v>
      </c>
      <c r="AR14" s="317" t="str">
        <f aca="false">+AR8</f>
        <v>[ocultar]</v>
      </c>
      <c r="AS14" s="317" t="str">
        <f aca="false">+AS8</f>
        <v>[ocultar]</v>
      </c>
      <c r="AT14" s="317" t="str">
        <f aca="false">+AT8</f>
        <v>[ocultar]</v>
      </c>
      <c r="AU14" s="318" t="s">
        <v>271</v>
      </c>
      <c r="AV14" s="319" t="s">
        <v>272</v>
      </c>
    </row>
    <row r="15" customFormat="false" ht="15.75" hidden="false" customHeight="false" outlineLevel="0" collapsed="false">
      <c r="A15" s="217" t="str">
        <f aca="false">+A16</f>
        <v>[ocultar]</v>
      </c>
      <c r="B15" s="320" t="s">
        <v>173</v>
      </c>
      <c r="C15" s="236"/>
      <c r="D15" s="237"/>
      <c r="E15" s="237"/>
      <c r="F15" s="237"/>
      <c r="G15" s="237"/>
      <c r="H15" s="237"/>
      <c r="I15" s="238"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39" t="str">
        <f aca="false">IFERROR((V16-V17)/V16,"")</f>
        <v/>
      </c>
      <c r="W15" s="239" t="str">
        <f aca="false">IFERROR((W16-W17)/W16,"")</f>
        <v/>
      </c>
      <c r="X15" s="239" t="str">
        <f aca="false">IFERROR((X16-X17)/X16,"")</f>
        <v/>
      </c>
      <c r="Y15" s="239"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0" t="str">
        <f aca="false">IFERROR((AJ16-AJ17)/AJ16,"")</f>
        <v/>
      </c>
      <c r="AK15" s="240" t="str">
        <f aca="false">IFERROR((AK16-AK17)/AK16,"")</f>
        <v/>
      </c>
      <c r="AL15" s="240" t="str">
        <f aca="false">IFERROR((AL16-AL17)/AL16,"")</f>
        <v/>
      </c>
      <c r="AM15" s="240" t="str">
        <f aca="false">IFERROR((AM16-AM17)/AM16,"")</f>
        <v/>
      </c>
      <c r="AN15" s="241" t="str">
        <f aca="false">IFERROR((AN16-AN17)/AN16,"")</f>
        <v/>
      </c>
      <c r="AO15" s="242" t="str">
        <f aca="false">IFERROR((AO16-AO17)/AO16,"")</f>
        <v/>
      </c>
      <c r="AP15" s="243" t="str">
        <f aca="false">IFERROR((AP16-AP17)/AP16,"")</f>
        <v/>
      </c>
      <c r="AQ15" s="243" t="str">
        <f aca="false">IFERROR((AQ16-AQ17)/AQ16,"")</f>
        <v/>
      </c>
      <c r="AR15" s="243" t="str">
        <f aca="false">IFERROR((AR16-AR17)/AR16,"")</f>
        <v/>
      </c>
      <c r="AS15" s="243" t="str">
        <f aca="false">IFERROR((AS16-AS17)/AS16,"")</f>
        <v/>
      </c>
      <c r="AT15" s="243" t="str">
        <f aca="false">IFERROR((AT16-AT17)/AT16,"")</f>
        <v/>
      </c>
      <c r="AU15" s="244" t="str">
        <f aca="false">IFERROR((AU16-AU17)/AU16,"")</f>
        <v/>
      </c>
      <c r="AV15" s="245" t="str">
        <f aca="false">IFERROR((AV16-AV17)/AV16,"")</f>
        <v/>
      </c>
    </row>
    <row r="16" customFormat="false" ht="14.25" hidden="false" customHeight="false" outlineLevel="0" collapsed="false">
      <c r="A16" s="217" t="str">
        <f aca="false">+IF(C16+C17=0,"[ocultar]","")</f>
        <v>[ocultar]</v>
      </c>
      <c r="B16" s="323" t="s">
        <v>371</v>
      </c>
      <c r="C16" s="247" t="n">
        <f aca="false" t="array" ref="C16:C16">SUM(IF($B16=DATOS_[Sexo], IF($B15=DATOS_[AGRUP. CLAS. PROF.], IF("Dentro"=DATOS_[Check Periodo Ref.], 1/(COUNTIFS(DATOS_[Sexo],$B16,DATOS_[AGRUP. CLAS. PROF.],$B15,DATOS_[Check Periodo Ref.],"Dentro",DATOS_[id],DATOS_[id]))))))</f>
        <v>0</v>
      </c>
      <c r="D16" s="248" t="n">
        <f aca="false">COUNTIFS(DATOS_[AGRUP. CLAS. PROF.],$B15,DATOS_[Sexo],$B16,DATOS_[Check Periodo Ref.],"Dentro")</f>
        <v>0</v>
      </c>
      <c r="E16" s="248" t="n">
        <f aca="false">COUNTIFS(DATOS_[AGRUP. CLAS. PROF.],$B15,DATOS_[Sexo],$B16,DATOS_[Check Periodo Ref.],"Dentro",DATOS_[Check Nº SC Norm],"Sí")</f>
        <v>0</v>
      </c>
      <c r="F16" s="248" t="n">
        <f aca="false">COUNTIFS(DATOS_[AGRUP. CLAS. PROF.],$B15,DATOS_[Sexo],$B16,DATOS_[Check Periodo Ref.],"Dentro",DATOS_[Check Nº SC Anualiz],"Sí")</f>
        <v>0</v>
      </c>
      <c r="G16" s="248" t="n">
        <f aca="false">COUNTIFS(DATOS_[AGRUP. CLAS. PROF.],$B15,DATOS_[Sexo],$B16,DATOS_[Check Periodo Ref.],"Dentro",DATOS_[Check Nº SC Norm y Anualiz],"Sí")</f>
        <v>0</v>
      </c>
      <c r="H16" s="248" t="n">
        <f aca="false">COUNTIFS(DATOS_[AGRUP. CLAS. PROF.],$B15,DATOS_[Sexo],$B16,DATOS_[Check Periodo Ref.],"Dentro",DATOS_[Check Equiparación],"Sí")</f>
        <v>0</v>
      </c>
      <c r="I16" s="249" t="n">
        <f aca="false" t="array" ref="I16:I16">IFERROR( MEDIAN(IF(DATOS_[Sexo]=$B16,IF(DATOS_[[AGRUP. CLAS. PROF.]:[AGRUP. CLAS. PROF.]]=$B15,IF(DATOS_[Check Equiparado]="Sí",IF(DATOS_[Check Periodo Ref.]="Dentro",DATOS_[SALARIO BASE Eq],0))))), 0)</f>
        <v>0</v>
      </c>
      <c r="J16" s="250" t="n">
        <f aca="false" t="array" ref="J16:J16">IFERROR( (MEDIAN((IF(DATOS_[[Sexo]:[Sexo]]=$B16,IF(DATOS_[[AGRUP. CLAS. PROF.]:[AGRUP. CLAS. PROF.]]=$B15,IF(DATOS_[[Check Periodo Ref.]:[Check Periodo Ref.]]="Dentro",IF(DATOS_[[Check Equiparado]:[Check Equiparado]]="Sí",IF(DATOS!AE$4="Sí",(1/DATOS_[[% anualiz]:[% anualiz]]),1)*IF(DATOS!AE$5="Sí",1/DATOS_[[% normaliz]:[% normaliz]],1)*(DATOS_[Conc.Sal.01])))))))), 0)</f>
        <v>0</v>
      </c>
      <c r="K16" s="250" t="n">
        <f aca="false" t="array" ref="K16:K16">IFERROR( (MEDIAN((IF(DATOS_[[Sexo]:[Sexo]]=$B16,IF(DATOS_[[AGRUP. CLAS. PROF.]:[AGRUP. CLAS. PROF.]]=$B15,IF(DATOS_[[Check Periodo Ref.]:[Check Periodo Ref.]]="Dentro",IF(DATOS_[[Check Equiparado]:[Check Equiparado]]="Sí",IF(DATOS!AF$4="Sí",(1/DATOS_[[% anualiz]:[% anualiz]]),1)*IF(DATOS!AF$5="Sí",1/DATOS_[[% normaliz]:[% normaliz]],1)*(DATOS_[Conc.Sal.02])))))))), 0)</f>
        <v>0</v>
      </c>
      <c r="L16" s="250" t="n">
        <f aca="false" t="array" ref="L16:L16">IFERROR( (MEDIAN((IF(DATOS_[[Sexo]:[Sexo]]=$B16,IF(DATOS_[[AGRUP. CLAS. PROF.]:[AGRUP. CLAS. PROF.]]=$B15,IF(DATOS_[[Check Periodo Ref.]:[Check Periodo Ref.]]="Dentro",IF(DATOS_[[Check Equiparado]:[Check Equiparado]]="Sí",IF(DATOS!AG$4="Sí",(1/DATOS_[[% anualiz]:[% anualiz]]),1)*IF(DATOS!AG$5="Sí",1/DATOS_[[% normaliz]:[% normaliz]],1)*(DATOS_[Conc.Sal.03])))))))), 0)</f>
        <v>0</v>
      </c>
      <c r="M16" s="250" t="n">
        <f aca="false" t="array" ref="M16:M16">IFERROR( (MEDIAN((IF(DATOS_[[Sexo]:[Sexo]]=$B16,IF(DATOS_[[AGRUP. CLAS. PROF.]:[AGRUP. CLAS. PROF.]]=$B15,IF(DATOS_[[Check Periodo Ref.]:[Check Periodo Ref.]]="Dentro",IF(DATOS_[[Check Equiparado]:[Check Equiparado]]="Sí",IF(DATOS!AH$4="Sí",(1/DATOS_[[% anualiz]:[% anualiz]]),1)*IF(DATOS!AH$5="Sí",1/DATOS_[[% normaliz]:[% normaliz]],1)*(DATOS_[Conc.Sal.04])))))))), 0)</f>
        <v>0</v>
      </c>
      <c r="N16" s="250" t="n">
        <f aca="false" t="array" ref="N16:N16">IFERROR( (MEDIAN((IF(DATOS_[[Sexo]:[Sexo]]=$B16,IF(DATOS_[[AGRUP. CLAS. PROF.]:[AGRUP. CLAS. PROF.]]=$B15,IF(DATOS_[[Check Periodo Ref.]:[Check Periodo Ref.]]="Dentro",IF(DATOS_[[Check Equiparado]:[Check Equiparado]]="Sí",IF(DATOS!AI$4="Sí",(1/DATOS_[[% anualiz]:[% anualiz]]),1)*IF(DATOS!AI$5="Sí",1/DATOS_[[% normaliz]:[% normaliz]],1)*(DATOS_[Conc.Sal.05])))))))), 0)</f>
        <v>0</v>
      </c>
      <c r="O16" s="250" t="n">
        <f aca="false" t="array" ref="O16:O16">IFERROR( (MEDIAN((IF(DATOS_[[Sexo]:[Sexo]]=$B16,IF(DATOS_[[AGRUP. CLAS. PROF.]:[AGRUP. CLAS. PROF.]]=$B15,IF(DATOS_[[Check Periodo Ref.]:[Check Periodo Ref.]]="Dentro",IF(DATOS_[[Check Equiparado]:[Check Equiparado]]="Sí",IF(DATOS!AJ$4="Sí",(1/DATOS_[[% anualiz]:[% anualiz]]),1)*IF(DATOS!AJ$5="Sí",1/DATOS_[[% normaliz]:[% normaliz]],1)*(DATOS_[Conc.Sal.06])))))))), 0)</f>
        <v>0</v>
      </c>
      <c r="P16" s="250" t="n">
        <f aca="false" t="array" ref="P16:P16">IFERROR( (MEDIAN((IF(DATOS_[[Sexo]:[Sexo]]=$B16,IF(DATOS_[[AGRUP. CLAS. PROF.]:[AGRUP. CLAS. PROF.]]=$B15,IF(DATOS_[[Check Periodo Ref.]:[Check Periodo Ref.]]="Dentro",IF(DATOS_[[Check Equiparado]:[Check Equiparado]]="Sí",IF(DATOS!AK$4="Sí",(1/DATOS_[[% anualiz]:[% anualiz]]),1)*IF(DATOS!AK$5="Sí",1/DATOS_[[% normaliz]:[% normaliz]],1)*(DATOS_[Conc.Sal.07])))))))), 0)</f>
        <v>0</v>
      </c>
      <c r="Q16" s="250" t="n">
        <f aca="false" t="array" ref="Q16:Q16">IFERROR( (MEDIAN((IF(DATOS_[[Sexo]:[Sexo]]=$B16,IF(DATOS_[[AGRUP. CLAS. PROF.]:[AGRUP. CLAS. PROF.]]=$B15,IF(DATOS_[[Check Periodo Ref.]:[Check Periodo Ref.]]="Dentro",IF(DATOS_[[Check Equiparado]:[Check Equiparado]]="Sí",IF(DATOS!AL$4="Sí",(1/DATOS_[[% anualiz]:[% anualiz]]),1)*IF(DATOS!AL$5="Sí",1/DATOS_[[% normaliz]:[% normaliz]],1)*(DATOS_[Conc.Sal.08])))))))), 0)</f>
        <v>0</v>
      </c>
      <c r="R16" s="250" t="n">
        <f aca="false" t="array" ref="R16:R16">IFERROR( (MEDIAN((IF(DATOS_[[Sexo]:[Sexo]]=$B16,IF(DATOS_[[AGRUP. CLAS. PROF.]:[AGRUP. CLAS. PROF.]]=$B15,IF(DATOS_[[Check Periodo Ref.]:[Check Periodo Ref.]]="Dentro",IF(DATOS_[[Check Equiparado]:[Check Equiparado]]="Sí",IF(DATOS!AM$4="Sí",(1/DATOS_[[% anualiz]:[% anualiz]]),1)*IF(DATOS!AM$5="Sí",1/DATOS_[[% normaliz]:[% normaliz]],1)*(DATOS_[Conc.Sal.09])))))))), 0)</f>
        <v>0</v>
      </c>
      <c r="S16" s="250" t="n">
        <f aca="false" t="array" ref="S16:S16">IFERROR( (MEDIAN((IF(DATOS_[[Sexo]:[Sexo]]=$B16,IF(DATOS_[[AGRUP. CLAS. PROF.]:[AGRUP. CLAS. PROF.]]=$B15,IF(DATOS_[[Check Periodo Ref.]:[Check Periodo Ref.]]="Dentro",IF(DATOS_[[Check Equiparado]:[Check Equiparado]]="Sí",IF(DATOS!AN$4="Sí",(1/DATOS_[[% anualiz]:[% anualiz]]),1)*IF(DATOS!AN$5="Sí",1/DATOS_[[% normaliz]:[% normaliz]],1)*(DATOS_[Conc.Sal.10])))))))), 0)</f>
        <v>0</v>
      </c>
      <c r="T16" s="250" t="n">
        <f aca="false" t="array" ref="T16:T16">IFERROR( (MEDIAN((IF(DATOS_[[Sexo]:[Sexo]]=$B16,IF(DATOS_[[AGRUP. CLAS. PROF.]:[AGRUP. CLAS. PROF.]]=$B15,IF(DATOS_[[Check Periodo Ref.]:[Check Periodo Ref.]]="Dentro",IF(DATOS_[[Check Equiparado]:[Check Equiparado]]="Sí",IF(DATOS!AO$4="Sí",(1/DATOS_[[% anualiz]:[% anualiz]]),1)*IF(DATOS!AO$5="Sí",1/DATOS_[[% normaliz]:[% normaliz]],1)*(DATOS_[Conc.Sal.11])))))))), 0)</f>
        <v>0</v>
      </c>
      <c r="U16" s="250" t="n">
        <f aca="false" t="array" ref="U16:U16">IFERROR( (MEDIAN((IF(DATOS_[[Sexo]:[Sexo]]=$B16,IF(DATOS_[[AGRUP. CLAS. PROF.]:[AGRUP. CLAS. PROF.]]=$B15,IF(DATOS_[[Check Periodo Ref.]:[Check Periodo Ref.]]="Dentro",IF(DATOS_[[Check Equiparado]:[Check Equiparado]]="Sí",IF(DATOS!AP$4="Sí",(1/DATOS_[[% anualiz]:[% anualiz]]),1)*IF(DATOS!AP$5="Sí",1/DATOS_[[% normaliz]:[% normaliz]],1)*(DATOS_[Conc.Sal.12])))))))), 0)</f>
        <v>0</v>
      </c>
      <c r="V16" s="250" t="n">
        <f aca="false" t="array" ref="V16:V16">IFERROR( (MEDIAN((IF(DATOS_[[Sexo]:[Sexo]]=$B16,IF(DATOS_[[AGRUP. CLAS. PROF.]:[AGRUP. CLAS. PROF.]]=$B15,IF(DATOS_[[Check Periodo Ref.]:[Check Periodo Ref.]]="Dentro",IF(DATOS_[[Check Equiparado]:[Check Equiparado]]="Sí",IF(DATOS!AQ$4="Sí",(1/DATOS_[[% anualiz]:[% anualiz]]),1)*IF(DATOS!AQ$5="Sí",1/DATOS_[[% normaliz]:[% normaliz]],1)*(DATOS_[Conc.Sal.13])))))))), 0)</f>
        <v>0</v>
      </c>
      <c r="W16" s="250" t="n">
        <f aca="false" t="array" ref="W16:W16">IFERROR( (MEDIAN((IF(DATOS_[[Sexo]:[Sexo]]=$B16,IF(DATOS_[[AGRUP. CLAS. PROF.]:[AGRUP. CLAS. PROF.]]=$B15,IF(DATOS_[[Check Periodo Ref.]:[Check Periodo Ref.]]="Dentro",IF(DATOS_[[Check Equiparado]:[Check Equiparado]]="Sí",IF(DATOS!AR$4="Sí",(1/DATOS_[[% anualiz]:[% anualiz]]),1)*IF(DATOS!AR$5="Sí",1/DATOS_[[% normaliz]:[% normaliz]],1)*(DATOS_[Conc.Sal.14])))))))), 0)</f>
        <v>0</v>
      </c>
      <c r="X16" s="250" t="n">
        <f aca="false" t="array" ref="X16:X16">IFERROR( (MEDIAN((IF(DATOS_[[Sexo]:[Sexo]]=$B16,IF(DATOS_[[AGRUP. CLAS. PROF.]:[AGRUP. CLAS. PROF.]]=$B15,IF(DATOS_[[Check Periodo Ref.]:[Check Periodo Ref.]]="Dentro",IF(DATOS_[[Check Equiparado]:[Check Equiparado]]="Sí",IF(DATOS!AS$4="Sí",(1/DATOS_[[% anualiz]:[% anualiz]]),1)*IF(DATOS!AS$5="Sí",1/DATOS_[[% normaliz]:[% normaliz]],1)*(DATOS_[Conc.Sal.15])))))))), 0)</f>
        <v>0</v>
      </c>
      <c r="Y16" s="250" t="n">
        <f aca="false" t="array" ref="Y16:Y16">IFERROR( (MEDIAN((IF(DATOS_[[Sexo]:[Sexo]]=$B16,IF(DATOS_[[AGRUP. CLAS. PROF.]:[AGRUP. CLAS. PROF.]]=$B15,IF(DATOS_[[Check Periodo Ref.]:[Check Periodo Ref.]]="Dentro",IF(DATOS_[[Check Equiparado]:[Check Equiparado]]="Sí",IF(DATOS!AT$4="Sí",(1/DATOS_[[% anualiz]:[% anualiz]]),1)*IF(DATOS!AT$5="Sí",1/DATOS_[[% normaliz]:[% normaliz]],1)*(DATOS_[Conc.Sal.16])))))))), 0)</f>
        <v>0</v>
      </c>
      <c r="Z16" s="250" t="n">
        <f aca="false" t="array" ref="Z16:Z16">IFERROR( (MEDIAN((IF(DATOS_[[Sexo]:[Sexo]]=$B16,IF(DATOS_[[AGRUP. CLAS. PROF.]:[AGRUP. CLAS. PROF.]]=$B15,IF(DATOS_[[Check Periodo Ref.]:[Check Periodo Ref.]]="Dentro",IF(DATOS_[[Check Equiparado]:[Check Equiparado]]="Sí",IF(DATOS!AU$4="Sí",(1/DATOS_[[% anualiz]:[% anualiz]]),1)*IF(DATOS!AU$5="Sí",1/DATOS_[[% normaliz]:[% normaliz]],1)*(DATOS_[Conc.Sal.17])))))))), 0)</f>
        <v>0</v>
      </c>
      <c r="AA16" s="250" t="n">
        <f aca="false" t="array" ref="AA16:AA16">IFERROR( (MEDIAN((IF(DATOS_[[Sexo]:[Sexo]]=$B16,IF(DATOS_[[AGRUP. CLAS. PROF.]:[AGRUP. CLAS. PROF.]]=$B15,IF(DATOS_[[Check Periodo Ref.]:[Check Periodo Ref.]]="Dentro",IF(DATOS_[[Check Equiparado]:[Check Equiparado]]="Sí",IF(DATOS!AV$4="Sí",(1/DATOS_[[% anualiz]:[% anualiz]]),1)*IF(DATOS!AV$5="Sí",1/DATOS_[[% normaliz]:[% normaliz]],1)*(DATOS_[Conc.Sal.18])))))))), 0)</f>
        <v>0</v>
      </c>
      <c r="AB16" s="250" t="n">
        <f aca="false" t="array" ref="AB16:AB16">IFERROR( (MEDIAN((IF(DATOS_[[Sexo]:[Sexo]]=$B16,IF(DATOS_[[AGRUP. CLAS. PROF.]:[AGRUP. CLAS. PROF.]]=$B15,IF(DATOS_[[Check Periodo Ref.]:[Check Periodo Ref.]]="Dentro",IF(DATOS_[[Check Equiparado]:[Check Equiparado]]="Sí",IF(DATOS!AW$4="Sí",(1/DATOS_[[% anualiz]:[% anualiz]]),1)*IF(DATOS!AW$5="Sí",1/DATOS_[[% normaliz]:[% normaliz]],1)*(DATOS_[Conc.Sal.19])))))))), 0)</f>
        <v>0</v>
      </c>
      <c r="AC16" s="250" t="n">
        <f aca="false" t="array" ref="AC16:AC16">IFERROR( (MEDIAN((IF(DATOS_[[Sexo]:[Sexo]]=$B16,IF(DATOS_[[AGRUP. CLAS. PROF.]:[AGRUP. CLAS. PROF.]]=$B15,IF(DATOS_[[Check Periodo Ref.]:[Check Periodo Ref.]]="Dentro",IF(DATOS_[[Check Equiparado]:[Check Equiparado]]="Sí",IF(DATOS!AX$4="Sí",(1/DATOS_[[% anualiz]:[% anualiz]]),1)*IF(DATOS!AX$5="Sí",1/DATOS_[[% normaliz]:[% normaliz]],1)*(DATOS_[Conc.Sal.20])))))))), 0)</f>
        <v>0</v>
      </c>
      <c r="AD16" s="250" t="n">
        <f aca="false" t="array" ref="AD16:AD16">IFERROR( (MEDIAN((IF(DATOS_[[Sexo]:[Sexo]]=$B16,IF(DATOS_[[AGRUP. CLAS. PROF.]:[AGRUP. CLAS. PROF.]]=$B15,IF(DATOS_[[Check Periodo Ref.]:[Check Periodo Ref.]]="Dentro",IF(DATOS_[[Check Equiparado]:[Check Equiparado]]="Sí",IF(DATOS!AY$4="Sí",(1/DATOS_[[% anualiz]:[% anualiz]]),1)*IF(DATOS!AY$5="Sí",1/DATOS_[[% normaliz]:[% normaliz]],1)*(DATOS_[Conc.Sal.21])))))))), 0)</f>
        <v>0</v>
      </c>
      <c r="AE16" s="250" t="n">
        <f aca="false" t="array" ref="AE16:AE16">IFERROR( (MEDIAN((IF(DATOS_[[Sexo]:[Sexo]]=$B16,IF(DATOS_[[AGRUP. CLAS. PROF.]:[AGRUP. CLAS. PROF.]]=$B15,IF(DATOS_[[Check Periodo Ref.]:[Check Periodo Ref.]]="Dentro",IF(DATOS_[[Check Equiparado]:[Check Equiparado]]="Sí",IF(DATOS!AZ$4="Sí",(1/DATOS_[[% anualiz]:[% anualiz]]),1)*IF(DATOS!AZ$5="Sí",1/DATOS_[[% normaliz]:[% normaliz]],1)*(DATOS_[Conc.Sal.22])))))))), 0)</f>
        <v>0</v>
      </c>
      <c r="AF16" s="250" t="n">
        <f aca="false" t="array" ref="AF16:AF16">IFERROR( (MEDIAN((IF(DATOS_[[Sexo]:[Sexo]]=$B16,IF(DATOS_[[AGRUP. CLAS. PROF.]:[AGRUP. CLAS. PROF.]]=$B15,IF(DATOS_[[Check Periodo Ref.]:[Check Periodo Ref.]]="Dentro",IF(DATOS_[[Check Equiparado]:[Check Equiparado]]="Sí",IF(DATOS!BA$4="Sí",(1/DATOS_[[% anualiz]:[% anualiz]]),1)*IF(DATOS!BA$5="Sí",1/DATOS_[[% normaliz]:[% normaliz]],1)*(DATOS_[Conc.Sal.23])))))))), 0)</f>
        <v>0</v>
      </c>
      <c r="AG16" s="250" t="n">
        <f aca="false" t="array" ref="AG16:AG16">IFERROR( (MEDIAN((IF(DATOS_[[Sexo]:[Sexo]]=$B16,IF(DATOS_[[AGRUP. CLAS. PROF.]:[AGRUP. CLAS. PROF.]]=$B15,IF(DATOS_[[Check Periodo Ref.]:[Check Periodo Ref.]]="Dentro",IF(DATOS_[[Check Equiparado]:[Check Equiparado]]="Sí",IF(DATOS!BB$4="Sí",(1/DATOS_[[% anualiz]:[% anualiz]]),1)*IF(DATOS!BB$5="Sí",1/DATOS_[[% normaliz]:[% normaliz]],1)*(DATOS_[Conc.Sal.24])))))))), 0)</f>
        <v>0</v>
      </c>
      <c r="AH16" s="250" t="n">
        <f aca="false" t="array" ref="AH16:AH16">IFERROR( (MEDIAN((IF(DATOS_[[Sexo]:[Sexo]]=$B16,IF(DATOS_[[AGRUP. CLAS. PROF.]:[AGRUP. CLAS. PROF.]]=$B15,IF(DATOS_[[Check Periodo Ref.]:[Check Periodo Ref.]]="Dentro",IF(DATOS_[[Check Equiparado]:[Check Equiparado]]="Sí",IF(DATOS!BC$4="Sí",(1/DATOS_[[% anualiz]:[% anualiz]]),1)*IF(DATOS!BC$5="Sí",1/DATOS_[[% normaliz]:[% normaliz]],1)*(DATOS_[Conc.Sal.25])))))))), 0)</f>
        <v>0</v>
      </c>
      <c r="AI16" s="250" t="n">
        <f aca="false" t="array" ref="AI16:AI16">IFERROR( (MEDIAN((IF(DATOS_[[Sexo]:[Sexo]]=$B16,IF(DATOS_[[AGRUP. CLAS. PROF.]:[AGRUP. CLAS. PROF.]]=$B15,IF(DATOS_[[Check Periodo Ref.]:[Check Periodo Ref.]]="Dentro",IF(DATOS_[[Check Equiparado]:[Check Equiparado]]="Sí",IF(DATOS!BD$4="Sí",(1/DATOS_[[% anualiz]:[% anualiz]]),1)*IF(DATOS!BD$5="Sí",1/DATOS_[[% normaliz]:[% normaliz]],1)*(DATOS_[Conc.Sal.26])))))))), 0)</f>
        <v>0</v>
      </c>
      <c r="AJ16" s="250" t="n">
        <f aca="false" t="array" ref="AJ16:AJ16">IFERROR( (MEDIAN((IF(DATOS_[[Sexo]:[Sexo]]=$B16,IF(DATOS_[[AGRUP. CLAS. PROF.]:[AGRUP. CLAS. PROF.]]=$B15,IF(DATOS_[[Check Periodo Ref.]:[Check Periodo Ref.]]="Dentro",IF(DATOS_[[Check Equiparado]:[Check Equiparado]]="Sí",IF(DATOS!BE$4="Sí",(1/DATOS_[[% anualiz]:[% anualiz]]),1)*IF(DATOS!BE$5="Sí",1/DATOS_[[% normaliz]:[% normaliz]],1)*(DATOS_[Conc.Sal.27])))))))), 0)</f>
        <v>0</v>
      </c>
      <c r="AK16" s="250" t="n">
        <f aca="false" t="array" ref="AK16:AK16">IFERROR( (MEDIAN((IF(DATOS_[[Sexo]:[Sexo]]=$B16,IF(DATOS_[[AGRUP. CLAS. PROF.]:[AGRUP. CLAS. PROF.]]=$B15,IF(DATOS_[[Check Periodo Ref.]:[Check Periodo Ref.]]="Dentro",IF(DATOS_[[Check Equiparado]:[Check Equiparado]]="Sí",IF(DATOS!BF$4="Sí",(1/DATOS_[[% anualiz]:[% anualiz]]),1)*IF(DATOS!BF$5="Sí",1/DATOS_[[% normaliz]:[% normaliz]],1)*(DATOS_[Conc.Sal.28])))))))), 0)</f>
        <v>0</v>
      </c>
      <c r="AL16" s="250" t="n">
        <f aca="false" t="array" ref="AL16:AL16">IFERROR( (MEDIAN((IF(DATOS_[[Sexo]:[Sexo]]=$B16,IF(DATOS_[[AGRUP. CLAS. PROF.]:[AGRUP. CLAS. PROF.]]=$B15,IF(DATOS_[[Check Periodo Ref.]:[Check Periodo Ref.]]="Dentro",IF(DATOS_[[Check Equiparado]:[Check Equiparado]]="Sí",IF(DATOS!BG$4="Sí",(1/DATOS_[[% anualiz]:[% anualiz]]),1)*IF(DATOS!BG$5="Sí",1/DATOS_[[% normaliz]:[% normaliz]],1)*(DATOS_[Conc.Sal.29])))))))), 0)</f>
        <v>0</v>
      </c>
      <c r="AM16" s="250" t="n">
        <f aca="false" t="array" ref="AM16:AM16">IFERROR( (MEDIAN((IF(DATOS_[[Sexo]:[Sexo]]=$B16,IF(DATOS_[[AGRUP. CLAS. PROF.]:[AGRUP. CLAS. PROF.]]=$B15,IF(DATOS_[[Check Periodo Ref.]:[Check Periodo Ref.]]="Dentro",IF(DATOS_[[Check Equiparado]:[Check Equiparado]]="Sí",IF(DATOS!BH$4="Sí",(1/DATOS_[[% anualiz]:[% anualiz]]),1)*IF(DATOS!BH$5="Sí",1/DATOS_[[% normaliz]:[% normaliz]],1)*(DATOS_[Conc.Sal.30])))))))), 0)</f>
        <v>0</v>
      </c>
      <c r="AN16" s="251" t="n">
        <f aca="false" t="array" ref="AN16:AN16">IFERROR( MEDIAN(IF(DATOS_[Sexo]=$B16,IF(DATOS_[[AGRUP. CLAS. PROF.]:[AGRUP. CLAS. PROF.]]=$B15,IF(DATOS_[Check Equiparado]="Sí",IF(DATOS_[Check Periodo Ref.]="Dentro",DATOS_[Tot COMPL.SAL Eq],0))))), 0)</f>
        <v>0</v>
      </c>
      <c r="AO16" s="252" t="n">
        <f aca="false" t="array" ref="AO16:AO16">IFERROR( MEDIAN(IF(DATOS_[Sexo]=$B16,IF(DATOS_[[AGRUP. CLAS. PROF.]:[AGRUP. CLAS. PROF.]]=$B15,IF(DATOS_[Check Equiparado]="Sí",IF(DATOS_[Check Periodo Ref.]="Dentro",DATOS_[TOTAL SALARIO Eq],0))))), 0)</f>
        <v>0</v>
      </c>
      <c r="AP16" s="259" t="n">
        <f aca="false" t="array" ref="AP16:AP16">IFERROR( (MEDIAN((IF(DATOS_[[Sexo]:[Sexo]]=$B16,IF(DATOS_[[AGRUP. CLAS. PROF.]:[AGRUP. CLAS. PROF.]]=$B15,IF(DATOS_[[Check Periodo Ref.]:[Check Periodo Ref.]]="Dentro",IF(DATOS_[[Check Equiparado]:[Check Equiparado]]="Sí",IF(DATOS!BI$4="Sí",(1/DATOS_[[% anualiz]:[% anualiz]]),1)*IF(DATOS!BI$5="Sí",1/DATOS_[[% normaliz]:[% normaliz]],1)*(DATOS_[C.Extra.01])))))))), 0)</f>
        <v>0</v>
      </c>
      <c r="AQ16" s="259" t="n">
        <f aca="false" t="array" ref="AQ16:AQ16">IFERROR( (MEDIAN((IF(DATOS_[[Sexo]:[Sexo]]=$B16,IF(DATOS_[[AGRUP. CLAS. PROF.]:[AGRUP. CLAS. PROF.]]=$B15,IF(DATOS_[[Check Periodo Ref.]:[Check Periodo Ref.]]="Dentro",IF(DATOS_[[Check Equiparado]:[Check Equiparado]]="Sí",IF(DATOS!BJ$4="Sí",(1/DATOS_[[% anualiz]:[% anualiz]]),1)*IF(DATOS!BJ$5="Sí",1/DATOS_[[% normaliz]:[% normaliz]],1)*(DATOS_[C.Extra.02])))))))), 0)</f>
        <v>0</v>
      </c>
      <c r="AR16" s="259" t="n">
        <f aca="false" t="array" ref="AR16:AR16">IFERROR( (MEDIAN((IF(DATOS_[[Sexo]:[Sexo]]=$B16,IF(DATOS_[[AGRUP. CLAS. PROF.]:[AGRUP. CLAS. PROF.]]=$B15,IF(DATOS_[[Check Periodo Ref.]:[Check Periodo Ref.]]="Dentro",IF(DATOS_[[Check Equiparado]:[Check Equiparado]]="Sí",IF(DATOS!BK$4="Sí",(1/DATOS_[[% anualiz]:[% anualiz]]),1)*IF(DATOS!BK$5="Sí",1/DATOS_[[% normaliz]:[% normaliz]],1)*(DATOS_[C.Extra.03])))))))), 0)</f>
        <v>0</v>
      </c>
      <c r="AS16" s="259" t="n">
        <f aca="false" t="array" ref="AS16:AS16">IFERROR( (MEDIAN((IF(DATOS_[[Sexo]:[Sexo]]=$B16,IF(DATOS_[[AGRUP. CLAS. PROF.]:[AGRUP. CLAS. PROF.]]=$B15,IF(DATOS_[[Check Periodo Ref.]:[Check Periodo Ref.]]="Dentro",IF(DATOS_[[Check Equiparado]:[Check Equiparado]]="Sí",IF(DATOS!BL$4="Sí",(1/DATOS_[[% anualiz]:[% anualiz]]),1)*IF(DATOS!BL$5="Sí",1/DATOS_[[% normaliz]:[% normaliz]],1)*(DATOS_[C.Extra.04])))))))), 0)</f>
        <v>0</v>
      </c>
      <c r="AT16" s="259" t="n">
        <f aca="false" t="array" ref="AT16:AT16">IFERROR( (MEDIAN((IF(DATOS_[[Sexo]:[Sexo]]=$B16,IF(DATOS_[[AGRUP. CLAS. PROF.]:[AGRUP. CLAS. PROF.]]=$B15,IF(DATOS_[[Check Periodo Ref.]:[Check Periodo Ref.]]="Dentro",IF(DATOS_[[Check Equiparado]:[Check Equiparado]]="Sí",IF(DATOS!BM$4="Sí",(1/DATOS_[[% anualiz]:[% anualiz]]),1)*IF(DATOS!BM$5="Sí",1/DATOS_[[% normaliz]:[% normaliz]],1)*(DATOS_[C.Extra.05])))))))), 0)</f>
        <v>0</v>
      </c>
      <c r="AU16" s="254" t="n">
        <f aca="false" t="array" ref="AU16:AU16">IFERROR( MEDIAN(IF(DATOS_[Sexo]=$B16,IF(DATOS_[[AGRUP. CLAS. PROF.]:[AGRUP. CLAS. PROF.]]=$B15,IF(DATOS_[Check Equiparado]="Sí",IF(DATOS_[Check Periodo Ref.]="Dentro",DATOS_[Tot Extrasalarial Eq],0))))), 0)</f>
        <v>0</v>
      </c>
      <c r="AV16" s="255" t="n">
        <f aca="false" t="array" ref="AV16:AV16">IFERROR( MEDIAN(IF(DATOS_[Sexo]=$B16,IF(DATOS_[[AGRUP. CLAS. PROF.]:[AGRUP. CLAS. PROF.]]=$B15,IF(DATOS_[Check Equiparado]="Sí",IF(DATOS_[Check Periodo Ref.]="Dentro",DATOS_[TOTAL Retrib Eq],0))))), 0)</f>
        <v>0</v>
      </c>
    </row>
    <row r="17" customFormat="false" ht="14.25" hidden="false" customHeight="false" outlineLevel="0" collapsed="false">
      <c r="A17" s="217" t="str">
        <f aca="false">+A16</f>
        <v>[ocultar]</v>
      </c>
      <c r="B17" s="323" t="s">
        <v>372</v>
      </c>
      <c r="C17" s="247" t="n">
        <f aca="false" t="array" ref="C17:C17">SUM(IF($B17=DATOS_[Sexo], IF($B15=DATOS_[AGRUP. CLAS. PROF.], IF("Dentro"=DATOS_[Check Periodo Ref.], 1/(COUNTIFS(DATOS_[Sexo],$B17,DATOS_[AGRUP. CLAS. PROF.],$B15,DATOS_[Check Periodo Ref.],"Dentro",DATOS_[id],DATOS_[id]))))))</f>
        <v>0</v>
      </c>
      <c r="D17" s="248" t="n">
        <f aca="false">COUNTIFS(DATOS_[AGRUP. CLAS. PROF.],$B15,DATOS_[Sexo],$B17,DATOS_[Check Periodo Ref.],"Dentro")</f>
        <v>0</v>
      </c>
      <c r="E17" s="248" t="n">
        <f aca="false">COUNTIFS(DATOS_[AGRUP. CLAS. PROF.],$B15,DATOS_[Sexo],$B17,DATOS_[Check Periodo Ref.],"Dentro",DATOS_[Check Nº SC Norm],"Sí")</f>
        <v>0</v>
      </c>
      <c r="F17" s="248" t="n">
        <f aca="false">COUNTIFS(DATOS_[AGRUP. CLAS. PROF.],$B15,DATOS_[Sexo],$B17,DATOS_[Check Periodo Ref.],"Dentro",DATOS_[Check Nº SC Anualiz],"Sí")</f>
        <v>0</v>
      </c>
      <c r="G17" s="248" t="n">
        <f aca="false">COUNTIFS(DATOS_[AGRUP. CLAS. PROF.],$B15,DATOS_[Sexo],$B17,DATOS_[Check Periodo Ref.],"Dentro",DATOS_[Check Nº SC Norm y Anualiz],"Sí")</f>
        <v>0</v>
      </c>
      <c r="H17" s="248" t="n">
        <f aca="false">COUNTIFS(DATOS_[AGRUP. CLAS. PROF.],$B15,DATOS_[Sexo],$B17,DATOS_[Check Periodo Ref.],"Dentro",DATOS_[Check Equiparación],"Sí")</f>
        <v>0</v>
      </c>
      <c r="I17" s="249" t="n">
        <f aca="false" t="array" ref="I17:I17">IFERROR( MEDIAN(IF(DATOS_[Sexo]=$B17,IF(DATOS_[[AGRUP. CLAS. PROF.]:[AGRUP. CLAS. PROF.]]=$B15,IF(DATOS_[Check Equiparado]="Sí",IF(DATOS_[Check Periodo Ref.]="Dentro",DATOS_[SALARIO BASE Eq],0))))), 0)</f>
        <v>0</v>
      </c>
      <c r="J17" s="250" t="n">
        <f aca="false" t="array" ref="J17:J17">IFERROR( (MEDIAN((IF(DATOS_[[Sexo]:[Sexo]]=$B17,IF(DATOS_[[AGRUP. CLAS. PROF.]:[AGRUP. CLAS. PROF.]]=$B15,IF(DATOS_[[Check Periodo Ref.]:[Check Periodo Ref.]]="Dentro",IF(DATOS_[[Check Equiparado]:[Check Equiparado]]="Sí",IF(DATOS!AE$4="Sí",(1/DATOS_[[% anualiz]:[% anualiz]]),1)*IF(DATOS!AE$5="Sí",1/DATOS_[[% normaliz]:[% normaliz]],1)*(DATOS_[Conc.Sal.01])))))))), 0)</f>
        <v>0</v>
      </c>
      <c r="K17" s="250" t="n">
        <f aca="false" t="array" ref="K17:K17">IFERROR( (MEDIAN((IF(DATOS_[[Sexo]:[Sexo]]=$B17,IF(DATOS_[[AGRUP. CLAS. PROF.]:[AGRUP. CLAS. PROF.]]=$B15,IF(DATOS_[[Check Periodo Ref.]:[Check Periodo Ref.]]="Dentro",IF(DATOS_[[Check Equiparado]:[Check Equiparado]]="Sí",IF(DATOS!AF$4="Sí",(1/DATOS_[[% anualiz]:[% anualiz]]),1)*IF(DATOS!AF$5="Sí",1/DATOS_[[% normaliz]:[% normaliz]],1)*(DATOS_[Conc.Sal.02])))))))), 0)</f>
        <v>0</v>
      </c>
      <c r="L17" s="250" t="n">
        <f aca="false" t="array" ref="L17:L17">IFERROR( (MEDIAN((IF(DATOS_[[Sexo]:[Sexo]]=$B17,IF(DATOS_[[AGRUP. CLAS. PROF.]:[AGRUP. CLAS. PROF.]]=$B15,IF(DATOS_[[Check Periodo Ref.]:[Check Periodo Ref.]]="Dentro",IF(DATOS_[[Check Equiparado]:[Check Equiparado]]="Sí",IF(DATOS!AG$4="Sí",(1/DATOS_[[% anualiz]:[% anualiz]]),1)*IF(DATOS!AG$5="Sí",1/DATOS_[[% normaliz]:[% normaliz]],1)*(DATOS_[Conc.Sal.03])))))))), 0)</f>
        <v>0</v>
      </c>
      <c r="M17" s="250" t="n">
        <f aca="false" t="array" ref="M17:M17">IFERROR( (MEDIAN((IF(DATOS_[[Sexo]:[Sexo]]=$B17,IF(DATOS_[[AGRUP. CLAS. PROF.]:[AGRUP. CLAS. PROF.]]=$B15,IF(DATOS_[[Check Periodo Ref.]:[Check Periodo Ref.]]="Dentro",IF(DATOS_[[Check Equiparado]:[Check Equiparado]]="Sí",IF(DATOS!AH$4="Sí",(1/DATOS_[[% anualiz]:[% anualiz]]),1)*IF(DATOS!AH$5="Sí",1/DATOS_[[% normaliz]:[% normaliz]],1)*(DATOS_[Conc.Sal.04])))))))), 0)</f>
        <v>0</v>
      </c>
      <c r="N17" s="250" t="n">
        <f aca="false" t="array" ref="N17:N17">IFERROR( (MEDIAN((IF(DATOS_[[Sexo]:[Sexo]]=$B17,IF(DATOS_[[AGRUP. CLAS. PROF.]:[AGRUP. CLAS. PROF.]]=$B15,IF(DATOS_[[Check Periodo Ref.]:[Check Periodo Ref.]]="Dentro",IF(DATOS_[[Check Equiparado]:[Check Equiparado]]="Sí",IF(DATOS!AI$4="Sí",(1/DATOS_[[% anualiz]:[% anualiz]]),1)*IF(DATOS!AI$5="Sí",1/DATOS_[[% normaliz]:[% normaliz]],1)*(DATOS_[Conc.Sal.05])))))))), 0)</f>
        <v>0</v>
      </c>
      <c r="O17" s="250" t="n">
        <f aca="false" t="array" ref="O17:O17">IFERROR( (MEDIAN((IF(DATOS_[[Sexo]:[Sexo]]=$B17,IF(DATOS_[[AGRUP. CLAS. PROF.]:[AGRUP. CLAS. PROF.]]=$B15,IF(DATOS_[[Check Periodo Ref.]:[Check Periodo Ref.]]="Dentro",IF(DATOS_[[Check Equiparado]:[Check Equiparado]]="Sí",IF(DATOS!AJ$4="Sí",(1/DATOS_[[% anualiz]:[% anualiz]]),1)*IF(DATOS!AJ$5="Sí",1/DATOS_[[% normaliz]:[% normaliz]],1)*(DATOS_[Conc.Sal.06])))))))), 0)</f>
        <v>0</v>
      </c>
      <c r="P17" s="250" t="n">
        <f aca="false" t="array" ref="P17:P17">IFERROR( (MEDIAN((IF(DATOS_[[Sexo]:[Sexo]]=$B17,IF(DATOS_[[AGRUP. CLAS. PROF.]:[AGRUP. CLAS. PROF.]]=$B15,IF(DATOS_[[Check Periodo Ref.]:[Check Periodo Ref.]]="Dentro",IF(DATOS_[[Check Equiparado]:[Check Equiparado]]="Sí",IF(DATOS!AK$4="Sí",(1/DATOS_[[% anualiz]:[% anualiz]]),1)*IF(DATOS!AK$5="Sí",1/DATOS_[[% normaliz]:[% normaliz]],1)*(DATOS_[Conc.Sal.07])))))))), 0)</f>
        <v>0</v>
      </c>
      <c r="Q17" s="250" t="n">
        <f aca="false" t="array" ref="Q17:Q17">IFERROR( (MEDIAN((IF(DATOS_[[Sexo]:[Sexo]]=$B17,IF(DATOS_[[AGRUP. CLAS. PROF.]:[AGRUP. CLAS. PROF.]]=$B15,IF(DATOS_[[Check Periodo Ref.]:[Check Periodo Ref.]]="Dentro",IF(DATOS_[[Check Equiparado]:[Check Equiparado]]="Sí",IF(DATOS!AL$4="Sí",(1/DATOS_[[% anualiz]:[% anualiz]]),1)*IF(DATOS!AL$5="Sí",1/DATOS_[[% normaliz]:[% normaliz]],1)*(DATOS_[Conc.Sal.08])))))))), 0)</f>
        <v>0</v>
      </c>
      <c r="R17" s="250" t="n">
        <f aca="false" t="array" ref="R17:R17">IFERROR( (MEDIAN((IF(DATOS_[[Sexo]:[Sexo]]=$B17,IF(DATOS_[[AGRUP. CLAS. PROF.]:[AGRUP. CLAS. PROF.]]=$B15,IF(DATOS_[[Check Periodo Ref.]:[Check Periodo Ref.]]="Dentro",IF(DATOS_[[Check Equiparado]:[Check Equiparado]]="Sí",IF(DATOS!AM$4="Sí",(1/DATOS_[[% anualiz]:[% anualiz]]),1)*IF(DATOS!AM$5="Sí",1/DATOS_[[% normaliz]:[% normaliz]],1)*(DATOS_[Conc.Sal.09])))))))), 0)</f>
        <v>0</v>
      </c>
      <c r="S17" s="250" t="n">
        <f aca="false" t="array" ref="S17:S17">IFERROR( (MEDIAN((IF(DATOS_[[Sexo]:[Sexo]]=$B17,IF(DATOS_[[AGRUP. CLAS. PROF.]:[AGRUP. CLAS. PROF.]]=$B15,IF(DATOS_[[Check Periodo Ref.]:[Check Periodo Ref.]]="Dentro",IF(DATOS_[[Check Equiparado]:[Check Equiparado]]="Sí",IF(DATOS!AN$4="Sí",(1/DATOS_[[% anualiz]:[% anualiz]]),1)*IF(DATOS!AN$5="Sí",1/DATOS_[[% normaliz]:[% normaliz]],1)*(DATOS_[Conc.Sal.10])))))))), 0)</f>
        <v>0</v>
      </c>
      <c r="T17" s="250" t="n">
        <f aca="false" t="array" ref="T17:T17">IFERROR( (MEDIAN((IF(DATOS_[[Sexo]:[Sexo]]=$B17,IF(DATOS_[[AGRUP. CLAS. PROF.]:[AGRUP. CLAS. PROF.]]=$B15,IF(DATOS_[[Check Periodo Ref.]:[Check Periodo Ref.]]="Dentro",IF(DATOS_[[Check Equiparado]:[Check Equiparado]]="Sí",IF(DATOS!AO$4="Sí",(1/DATOS_[[% anualiz]:[% anualiz]]),1)*IF(DATOS!AO$5="Sí",1/DATOS_[[% normaliz]:[% normaliz]],1)*(DATOS_[Conc.Sal.11])))))))), 0)</f>
        <v>0</v>
      </c>
      <c r="U17" s="250" t="n">
        <f aca="false" t="array" ref="U17:U17">IFERROR( (MEDIAN((IF(DATOS_[[Sexo]:[Sexo]]=$B17,IF(DATOS_[[AGRUP. CLAS. PROF.]:[AGRUP. CLAS. PROF.]]=$B15,IF(DATOS_[[Check Periodo Ref.]:[Check Periodo Ref.]]="Dentro",IF(DATOS_[[Check Equiparado]:[Check Equiparado]]="Sí",IF(DATOS!AP$4="Sí",(1/DATOS_[[% anualiz]:[% anualiz]]),1)*IF(DATOS!AP$5="Sí",1/DATOS_[[% normaliz]:[% normaliz]],1)*(DATOS_[Conc.Sal.12])))))))), 0)</f>
        <v>0</v>
      </c>
      <c r="V17" s="250" t="n">
        <f aca="false" t="array" ref="V17:V17">IFERROR( (MEDIAN((IF(DATOS_[[Sexo]:[Sexo]]=$B17,IF(DATOS_[[AGRUP. CLAS. PROF.]:[AGRUP. CLAS. PROF.]]=$B15,IF(DATOS_[[Check Periodo Ref.]:[Check Periodo Ref.]]="Dentro",IF(DATOS_[[Check Equiparado]:[Check Equiparado]]="Sí",IF(DATOS!AQ$4="Sí",(1/DATOS_[[% anualiz]:[% anualiz]]),1)*IF(DATOS!AQ$5="Sí",1/DATOS_[[% normaliz]:[% normaliz]],1)*(DATOS_[Conc.Sal.13])))))))), 0)</f>
        <v>0</v>
      </c>
      <c r="W17" s="250" t="n">
        <f aca="false" t="array" ref="W17:W17">IFERROR( (MEDIAN((IF(DATOS_[[Sexo]:[Sexo]]=$B17,IF(DATOS_[[AGRUP. CLAS. PROF.]:[AGRUP. CLAS. PROF.]]=$B15,IF(DATOS_[[Check Periodo Ref.]:[Check Periodo Ref.]]="Dentro",IF(DATOS_[[Check Equiparado]:[Check Equiparado]]="Sí",IF(DATOS!AR$4="Sí",(1/DATOS_[[% anualiz]:[% anualiz]]),1)*IF(DATOS!AR$5="Sí",1/DATOS_[[% normaliz]:[% normaliz]],1)*(DATOS_[Conc.Sal.14])))))))), 0)</f>
        <v>0</v>
      </c>
      <c r="X17" s="250" t="n">
        <f aca="false" t="array" ref="X17:X17">IFERROR( (MEDIAN((IF(DATOS_[[Sexo]:[Sexo]]=$B17,IF(DATOS_[[AGRUP. CLAS. PROF.]:[AGRUP. CLAS. PROF.]]=$B15,IF(DATOS_[[Check Periodo Ref.]:[Check Periodo Ref.]]="Dentro",IF(DATOS_[[Check Equiparado]:[Check Equiparado]]="Sí",IF(DATOS!AS$4="Sí",(1/DATOS_[[% anualiz]:[% anualiz]]),1)*IF(DATOS!AS$5="Sí",1/DATOS_[[% normaliz]:[% normaliz]],1)*(DATOS_[Conc.Sal.15])))))))), 0)</f>
        <v>0</v>
      </c>
      <c r="Y17" s="250" t="n">
        <f aca="false" t="array" ref="Y17:Y17">IFERROR( (MEDIAN((IF(DATOS_[[Sexo]:[Sexo]]=$B17,IF(DATOS_[[AGRUP. CLAS. PROF.]:[AGRUP. CLAS. PROF.]]=$B15,IF(DATOS_[[Check Periodo Ref.]:[Check Periodo Ref.]]="Dentro",IF(DATOS_[[Check Equiparado]:[Check Equiparado]]="Sí",IF(DATOS!AT$4="Sí",(1/DATOS_[[% anualiz]:[% anualiz]]),1)*IF(DATOS!AT$5="Sí",1/DATOS_[[% normaliz]:[% normaliz]],1)*(DATOS_[Conc.Sal.16])))))))), 0)</f>
        <v>0</v>
      </c>
      <c r="Z17" s="250" t="n">
        <f aca="false" t="array" ref="Z17:Z17">IFERROR( (MEDIAN((IF(DATOS_[[Sexo]:[Sexo]]=$B17,IF(DATOS_[[AGRUP. CLAS. PROF.]:[AGRUP. CLAS. PROF.]]=$B15,IF(DATOS_[[Check Periodo Ref.]:[Check Periodo Ref.]]="Dentro",IF(DATOS_[[Check Equiparado]:[Check Equiparado]]="Sí",IF(DATOS!AU$4="Sí",(1/DATOS_[[% anualiz]:[% anualiz]]),1)*IF(DATOS!AU$5="Sí",1/DATOS_[[% normaliz]:[% normaliz]],1)*(DATOS_[Conc.Sal.17])))))))), 0)</f>
        <v>0</v>
      </c>
      <c r="AA17" s="250" t="n">
        <f aca="false" t="array" ref="AA17:AA17">IFERROR( (MEDIAN((IF(DATOS_[[Sexo]:[Sexo]]=$B17,IF(DATOS_[[AGRUP. CLAS. PROF.]:[AGRUP. CLAS. PROF.]]=$B15,IF(DATOS_[[Check Periodo Ref.]:[Check Periodo Ref.]]="Dentro",IF(DATOS_[[Check Equiparado]:[Check Equiparado]]="Sí",IF(DATOS!AV$4="Sí",(1/DATOS_[[% anualiz]:[% anualiz]]),1)*IF(DATOS!AV$5="Sí",1/DATOS_[[% normaliz]:[% normaliz]],1)*(DATOS_[Conc.Sal.18])))))))), 0)</f>
        <v>0</v>
      </c>
      <c r="AB17" s="250" t="n">
        <f aca="false" t="array" ref="AB17:AB17">IFERROR( (MEDIAN((IF(DATOS_[[Sexo]:[Sexo]]=$B17,IF(DATOS_[[AGRUP. CLAS. PROF.]:[AGRUP. CLAS. PROF.]]=$B15,IF(DATOS_[[Check Periodo Ref.]:[Check Periodo Ref.]]="Dentro",IF(DATOS_[[Check Equiparado]:[Check Equiparado]]="Sí",IF(DATOS!AW$4="Sí",(1/DATOS_[[% anualiz]:[% anualiz]]),1)*IF(DATOS!AW$5="Sí",1/DATOS_[[% normaliz]:[% normaliz]],1)*(DATOS_[Conc.Sal.19])))))))), 0)</f>
        <v>0</v>
      </c>
      <c r="AC17" s="250" t="n">
        <f aca="false" t="array" ref="AC17:AC17">IFERROR( (MEDIAN((IF(DATOS_[[Sexo]:[Sexo]]=$B17,IF(DATOS_[[AGRUP. CLAS. PROF.]:[AGRUP. CLAS. PROF.]]=$B15,IF(DATOS_[[Check Periodo Ref.]:[Check Periodo Ref.]]="Dentro",IF(DATOS_[[Check Equiparado]:[Check Equiparado]]="Sí",IF(DATOS!AX$4="Sí",(1/DATOS_[[% anualiz]:[% anualiz]]),1)*IF(DATOS!AX$5="Sí",1/DATOS_[[% normaliz]:[% normaliz]],1)*(DATOS_[Conc.Sal.20])))))))), 0)</f>
        <v>0</v>
      </c>
      <c r="AD17" s="250" t="n">
        <f aca="false" t="array" ref="AD17:AD17">IFERROR( (MEDIAN((IF(DATOS_[[Sexo]:[Sexo]]=$B17,IF(DATOS_[[AGRUP. CLAS. PROF.]:[AGRUP. CLAS. PROF.]]=$B15,IF(DATOS_[[Check Periodo Ref.]:[Check Periodo Ref.]]="Dentro",IF(DATOS_[[Check Equiparado]:[Check Equiparado]]="Sí",IF(DATOS!AY$4="Sí",(1/DATOS_[[% anualiz]:[% anualiz]]),1)*IF(DATOS!AY$5="Sí",1/DATOS_[[% normaliz]:[% normaliz]],1)*(DATOS_[Conc.Sal.21])))))))), 0)</f>
        <v>0</v>
      </c>
      <c r="AE17" s="250" t="n">
        <f aca="false" t="array" ref="AE17:AE17">IFERROR( (MEDIAN((IF(DATOS_[[Sexo]:[Sexo]]=$B17,IF(DATOS_[[AGRUP. CLAS. PROF.]:[AGRUP. CLAS. PROF.]]=$B15,IF(DATOS_[[Check Periodo Ref.]:[Check Periodo Ref.]]="Dentro",IF(DATOS_[[Check Equiparado]:[Check Equiparado]]="Sí",IF(DATOS!AZ$4="Sí",(1/DATOS_[[% anualiz]:[% anualiz]]),1)*IF(DATOS!AZ$5="Sí",1/DATOS_[[% normaliz]:[% normaliz]],1)*(DATOS_[Conc.Sal.22])))))))), 0)</f>
        <v>0</v>
      </c>
      <c r="AF17" s="250" t="n">
        <f aca="false" t="array" ref="AF17:AF17">IFERROR( (MEDIAN((IF(DATOS_[[Sexo]:[Sexo]]=$B17,IF(DATOS_[[AGRUP. CLAS. PROF.]:[AGRUP. CLAS. PROF.]]=$B15,IF(DATOS_[[Check Periodo Ref.]:[Check Periodo Ref.]]="Dentro",IF(DATOS_[[Check Equiparado]:[Check Equiparado]]="Sí",IF(DATOS!BA$4="Sí",(1/DATOS_[[% anualiz]:[% anualiz]]),1)*IF(DATOS!BA$5="Sí",1/DATOS_[[% normaliz]:[% normaliz]],1)*(DATOS_[Conc.Sal.23])))))))), 0)</f>
        <v>0</v>
      </c>
      <c r="AG17" s="250" t="n">
        <f aca="false" t="array" ref="AG17:AG17">IFERROR( (MEDIAN((IF(DATOS_[[Sexo]:[Sexo]]=$B17,IF(DATOS_[[AGRUP. CLAS. PROF.]:[AGRUP. CLAS. PROF.]]=$B15,IF(DATOS_[[Check Periodo Ref.]:[Check Periodo Ref.]]="Dentro",IF(DATOS_[[Check Equiparado]:[Check Equiparado]]="Sí",IF(DATOS!BB$4="Sí",(1/DATOS_[[% anualiz]:[% anualiz]]),1)*IF(DATOS!BB$5="Sí",1/DATOS_[[% normaliz]:[% normaliz]],1)*(DATOS_[Conc.Sal.24])))))))), 0)</f>
        <v>0</v>
      </c>
      <c r="AH17" s="250" t="n">
        <f aca="false" t="array" ref="AH17:AH17">IFERROR( (MEDIAN((IF(DATOS_[[Sexo]:[Sexo]]=$B17,IF(DATOS_[[AGRUP. CLAS. PROF.]:[AGRUP. CLAS. PROF.]]=$B15,IF(DATOS_[[Check Periodo Ref.]:[Check Periodo Ref.]]="Dentro",IF(DATOS_[[Check Equiparado]:[Check Equiparado]]="Sí",IF(DATOS!BC$4="Sí",(1/DATOS_[[% anualiz]:[% anualiz]]),1)*IF(DATOS!BC$5="Sí",1/DATOS_[[% normaliz]:[% normaliz]],1)*(DATOS_[Conc.Sal.25])))))))), 0)</f>
        <v>0</v>
      </c>
      <c r="AI17" s="250" t="n">
        <f aca="false" t="array" ref="AI17:AI17">IFERROR( (MEDIAN((IF(DATOS_[[Sexo]:[Sexo]]=$B17,IF(DATOS_[[AGRUP. CLAS. PROF.]:[AGRUP. CLAS. PROF.]]=$B15,IF(DATOS_[[Check Periodo Ref.]:[Check Periodo Ref.]]="Dentro",IF(DATOS_[[Check Equiparado]:[Check Equiparado]]="Sí",IF(DATOS!BD$4="Sí",(1/DATOS_[[% anualiz]:[% anualiz]]),1)*IF(DATOS!BD$5="Sí",1/DATOS_[[% normaliz]:[% normaliz]],1)*(DATOS_[Conc.Sal.26])))))))), 0)</f>
        <v>0</v>
      </c>
      <c r="AJ17" s="250" t="n">
        <f aca="false" t="array" ref="AJ17:AJ17">IFERROR( (MEDIAN((IF(DATOS_[[Sexo]:[Sexo]]=$B17,IF(DATOS_[[AGRUP. CLAS. PROF.]:[AGRUP. CLAS. PROF.]]=$B15,IF(DATOS_[[Check Periodo Ref.]:[Check Periodo Ref.]]="Dentro",IF(DATOS_[[Check Equiparado]:[Check Equiparado]]="Sí",IF(DATOS!BE$4="Sí",(1/DATOS_[[% anualiz]:[% anualiz]]),1)*IF(DATOS!BE$5="Sí",1/DATOS_[[% normaliz]:[% normaliz]],1)*(DATOS_[Conc.Sal.27])))))))), 0)</f>
        <v>0</v>
      </c>
      <c r="AK17" s="250" t="n">
        <f aca="false" t="array" ref="AK17:AK17">IFERROR( (MEDIAN((IF(DATOS_[[Sexo]:[Sexo]]=$B17,IF(DATOS_[[AGRUP. CLAS. PROF.]:[AGRUP. CLAS. PROF.]]=$B15,IF(DATOS_[[Check Periodo Ref.]:[Check Periodo Ref.]]="Dentro",IF(DATOS_[[Check Equiparado]:[Check Equiparado]]="Sí",IF(DATOS!BF$4="Sí",(1/DATOS_[[% anualiz]:[% anualiz]]),1)*IF(DATOS!BF$5="Sí",1/DATOS_[[% normaliz]:[% normaliz]],1)*(DATOS_[Conc.Sal.28])))))))), 0)</f>
        <v>0</v>
      </c>
      <c r="AL17" s="250" t="n">
        <f aca="false" t="array" ref="AL17:AL17">IFERROR( (MEDIAN((IF(DATOS_[[Sexo]:[Sexo]]=$B17,IF(DATOS_[[AGRUP. CLAS. PROF.]:[AGRUP. CLAS. PROF.]]=$B15,IF(DATOS_[[Check Periodo Ref.]:[Check Periodo Ref.]]="Dentro",IF(DATOS_[[Check Equiparado]:[Check Equiparado]]="Sí",IF(DATOS!BG$4="Sí",(1/DATOS_[[% anualiz]:[% anualiz]]),1)*IF(DATOS!BG$5="Sí",1/DATOS_[[% normaliz]:[% normaliz]],1)*(DATOS_[Conc.Sal.29])))))))), 0)</f>
        <v>0</v>
      </c>
      <c r="AM17" s="250" t="n">
        <f aca="false" t="array" ref="AM17:AM17">IFERROR( (MEDIAN((IF(DATOS_[[Sexo]:[Sexo]]=$B17,IF(DATOS_[[AGRUP. CLAS. PROF.]:[AGRUP. CLAS. PROF.]]=$B15,IF(DATOS_[[Check Periodo Ref.]:[Check Periodo Ref.]]="Dentro",IF(DATOS_[[Check Equiparado]:[Check Equiparado]]="Sí",IF(DATOS!BH$4="Sí",(1/DATOS_[[% anualiz]:[% anualiz]]),1)*IF(DATOS!BH$5="Sí",1/DATOS_[[% normaliz]:[% normaliz]],1)*(DATOS_[Conc.Sal.30])))))))), 0)</f>
        <v>0</v>
      </c>
      <c r="AN17" s="251" t="n">
        <f aca="false" t="array" ref="AN17:AN17">IFERROR( MEDIAN(IF(DATOS_[Sexo]=$B17,IF(DATOS_[[AGRUP. CLAS. PROF.]:[AGRUP. CLAS. PROF.]]=$B15,IF(DATOS_[Check Equiparado]="Sí",IF(DATOS_[Check Periodo Ref.]="Dentro",DATOS_[Tot COMPL.SAL Eq],0))))), 0)</f>
        <v>0</v>
      </c>
      <c r="AO17" s="252" t="n">
        <f aca="false" t="array" ref="AO17:AO17">IFERROR( MEDIAN(IF(DATOS_[Sexo]=$B17,IF(DATOS_[[AGRUP. CLAS. PROF.]:[AGRUP. CLAS. PROF.]]=$B15,IF(DATOS_[Check Equiparado]="Sí",IF(DATOS_[Check Periodo Ref.]="Dentro",DATOS_[TOTAL SALARIO Eq],0))))), 0)</f>
        <v>0</v>
      </c>
      <c r="AP17" s="259" t="n">
        <f aca="false" t="array" ref="AP17:AP17">IFERROR( (MEDIAN((IF(DATOS_[[Sexo]:[Sexo]]=$B17,IF(DATOS_[[AGRUP. CLAS. PROF.]:[AGRUP. CLAS. PROF.]]=$B16,IF(DATOS_[[Check Periodo Ref.]:[Check Periodo Ref.]]="Dentro",IF(DATOS_[[Check Equiparado]:[Check Equiparado]]="Sí",IF(DATOS!BI$4="Sí",(1/DATOS_[[% anualiz]:[% anualiz]]),1)*IF(DATOS!BI$5="Sí",1/DATOS_[[% normaliz]:[% normaliz]],1)*(DATOS_[C.Extra.01])))))))), 0)</f>
        <v>0</v>
      </c>
      <c r="AQ17" s="259" t="n">
        <f aca="false" t="array" ref="AQ17:AQ17">IFERROR( (MEDIAN((IF(DATOS_[[Sexo]:[Sexo]]=$B17,IF(DATOS_[[AGRUP. CLAS. PROF.]:[AGRUP. CLAS. PROF.]]=$B16,IF(DATOS_[[Check Periodo Ref.]:[Check Periodo Ref.]]="Dentro",IF(DATOS_[[Check Equiparado]:[Check Equiparado]]="Sí",IF(DATOS!BJ$4="Sí",(1/DATOS_[[% anualiz]:[% anualiz]]),1)*IF(DATOS!BJ$5="Sí",1/DATOS_[[% normaliz]:[% normaliz]],1)*(DATOS_[C.Extra.02])))))))), 0)</f>
        <v>0</v>
      </c>
      <c r="AR17" s="259" t="n">
        <f aca="false" t="array" ref="AR17:AR17">IFERROR( (MEDIAN((IF(DATOS_[[Sexo]:[Sexo]]=$B17,IF(DATOS_[[AGRUP. CLAS. PROF.]:[AGRUP. CLAS. PROF.]]=$B16,IF(DATOS_[[Check Periodo Ref.]:[Check Periodo Ref.]]="Dentro",IF(DATOS_[[Check Equiparado]:[Check Equiparado]]="Sí",IF(DATOS!BK$4="Sí",(1/DATOS_[[% anualiz]:[% anualiz]]),1)*IF(DATOS!BK$5="Sí",1/DATOS_[[% normaliz]:[% normaliz]],1)*(DATOS_[C.Extra.03])))))))), 0)</f>
        <v>0</v>
      </c>
      <c r="AS17" s="259" t="n">
        <f aca="false" t="array" ref="AS17:AS17">IFERROR( (MEDIAN((IF(DATOS_[[Sexo]:[Sexo]]=$B17,IF(DATOS_[[AGRUP. CLAS. PROF.]:[AGRUP. CLAS. PROF.]]=$B16,IF(DATOS_[[Check Periodo Ref.]:[Check Periodo Ref.]]="Dentro",IF(DATOS_[[Check Equiparado]:[Check Equiparado]]="Sí",IF(DATOS!BL$4="Sí",(1/DATOS_[[% anualiz]:[% anualiz]]),1)*IF(DATOS!BL$5="Sí",1/DATOS_[[% normaliz]:[% normaliz]],1)*(DATOS_[C.Extra.04])))))))), 0)</f>
        <v>0</v>
      </c>
      <c r="AT17" s="259" t="n">
        <f aca="false" t="array" ref="AT17:AT17">IFERROR( (MEDIAN((IF(DATOS_[[Sexo]:[Sexo]]=$B17,IF(DATOS_[[AGRUP. CLAS. PROF.]:[AGRUP. CLAS. PROF.]]=$B16,IF(DATOS_[[Check Periodo Ref.]:[Check Periodo Ref.]]="Dentro",IF(DATOS_[[Check Equiparado]:[Check Equiparado]]="Sí",IF(DATOS!BM$4="Sí",(1/DATOS_[[% anualiz]:[% anualiz]]),1)*IF(DATOS!BM$5="Sí",1/DATOS_[[% normaliz]:[% normaliz]],1)*(DATOS_[C.Extra.05])))))))), 0)</f>
        <v>0</v>
      </c>
      <c r="AU17" s="254" t="n">
        <f aca="false" t="array" ref="AU17:AU17">IFERROR( MEDIAN(IF(DATOS_[Sexo]=$B17,IF(DATOS_[[AGRUP. CLAS. PROF.]:[AGRUP. CLAS. PROF.]]=$B15,IF(DATOS_[Check Equiparado]="Sí",IF(DATOS_[Check Periodo Ref.]="Dentro",DATOS_[Tot Extrasalarial Eq],0))))), 0)</f>
        <v>0</v>
      </c>
      <c r="AV17" s="255" t="n">
        <f aca="false" t="array" ref="AV17:AV17">IFERROR( MEDIAN(IF(DATOS_[Sexo]=$B17,IF(DATOS_[[AGRUP. CLAS. PROF.]:[AGRUP. CLAS. PROF.]]=$B15,IF(DATOS_[Check Equiparado]="Sí",IF(DATOS_[Check Periodo Ref.]="Dentro",DATOS_[TOTAL Retrib Eq],0))))), 0)</f>
        <v>0</v>
      </c>
    </row>
    <row r="18" customFormat="false" ht="15.75" hidden="false" customHeight="false" outlineLevel="0" collapsed="false">
      <c r="A18" s="217" t="str">
        <f aca="false">+A19</f>
        <v>[ocultar]</v>
      </c>
      <c r="B18" s="320" t="s">
        <v>175</v>
      </c>
      <c r="C18" s="236"/>
      <c r="D18" s="237"/>
      <c r="E18" s="237"/>
      <c r="F18" s="237"/>
      <c r="G18" s="237"/>
      <c r="H18" s="237"/>
      <c r="I18" s="238"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39" t="str">
        <f aca="false">IFERROR((V19-V20)/V19,"")</f>
        <v/>
      </c>
      <c r="W18" s="239" t="str">
        <f aca="false">IFERROR((W19-W20)/W19,"")</f>
        <v/>
      </c>
      <c r="X18" s="239" t="str">
        <f aca="false">IFERROR((X19-X20)/X19,"")</f>
        <v/>
      </c>
      <c r="Y18" s="239"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0" t="str">
        <f aca="false">IFERROR((AJ19-AJ20)/AJ19,"")</f>
        <v/>
      </c>
      <c r="AK18" s="240" t="str">
        <f aca="false">IFERROR((AK19-AK20)/AK19,"")</f>
        <v/>
      </c>
      <c r="AL18" s="240" t="str">
        <f aca="false">IFERROR((AL19-AL20)/AL19,"")</f>
        <v/>
      </c>
      <c r="AM18" s="240" t="str">
        <f aca="false">IFERROR((AM19-AM20)/AM19,"")</f>
        <v/>
      </c>
      <c r="AN18" s="241" t="str">
        <f aca="false">IFERROR((AN19-AN20)/AN19,"")</f>
        <v/>
      </c>
      <c r="AO18" s="242" t="str">
        <f aca="false">IFERROR((AO19-AO20)/AO19,"")</f>
        <v/>
      </c>
      <c r="AP18" s="243" t="str">
        <f aca="false">IFERROR((AP19-AP20)/AP19,"")</f>
        <v/>
      </c>
      <c r="AQ18" s="243" t="str">
        <f aca="false">IFERROR((AQ19-AQ20)/AQ19,"")</f>
        <v/>
      </c>
      <c r="AR18" s="243" t="str">
        <f aca="false">IFERROR((AR19-AR20)/AR19,"")</f>
        <v/>
      </c>
      <c r="AS18" s="243" t="str">
        <f aca="false">IFERROR((AS19-AS20)/AS19,"")</f>
        <v/>
      </c>
      <c r="AT18" s="243" t="str">
        <f aca="false">IFERROR((AT19-AT20)/AT19,"")</f>
        <v/>
      </c>
      <c r="AU18" s="244" t="str">
        <f aca="false">IFERROR((AU19-AU20)/AU19,"")</f>
        <v/>
      </c>
      <c r="AV18" s="245" t="str">
        <f aca="false">IFERROR((AV19-AV20)/AV19,"")</f>
        <v/>
      </c>
    </row>
    <row r="19" customFormat="false" ht="14.25" hidden="false" customHeight="false" outlineLevel="0" collapsed="false">
      <c r="A19" s="217" t="str">
        <f aca="false">+IF(C19+C20=0,"[ocultar]","")</f>
        <v>[ocultar]</v>
      </c>
      <c r="B19" s="323" t="s">
        <v>371</v>
      </c>
      <c r="C19" s="247" t="n">
        <f aca="false" t="array" ref="C19:C19">SUM(IF($B19=DATOS_[Sexo], IF($B18=DATOS_[AGRUP. CLAS. PROF.], IF("Dentro"=DATOS_[Check Periodo Ref.], 1/(COUNTIFS(DATOS_[Sexo],$B19,DATOS_[AGRUP. CLAS. PROF.],$B18,DATOS_[Check Periodo Ref.],"Dentro",DATOS_[id],DATOS_[id]))))))</f>
        <v>0</v>
      </c>
      <c r="D19" s="248" t="n">
        <f aca="false">COUNTIFS(DATOS_[AGRUP. CLAS. PROF.],$B18,DATOS_[Sexo],$B19,DATOS_[Check Periodo Ref.],"Dentro")</f>
        <v>0</v>
      </c>
      <c r="E19" s="248" t="n">
        <f aca="false">COUNTIFS(DATOS_[AGRUP. CLAS. PROF.],$B18,DATOS_[Sexo],$B19,DATOS_[Check Periodo Ref.],"Dentro",DATOS_[Check Nº SC Norm],"Sí")</f>
        <v>0</v>
      </c>
      <c r="F19" s="248" t="n">
        <f aca="false">COUNTIFS(DATOS_[AGRUP. CLAS. PROF.],$B18,DATOS_[Sexo],$B19,DATOS_[Check Periodo Ref.],"Dentro",DATOS_[Check Nº SC Anualiz],"Sí")</f>
        <v>0</v>
      </c>
      <c r="G19" s="248" t="n">
        <f aca="false">COUNTIFS(DATOS_[AGRUP. CLAS. PROF.],$B18,DATOS_[Sexo],$B19,DATOS_[Check Periodo Ref.],"Dentro",DATOS_[Check Nº SC Norm y Anualiz],"Sí")</f>
        <v>0</v>
      </c>
      <c r="H19" s="248" t="n">
        <f aca="false">COUNTIFS(DATOS_[AGRUP. CLAS. PROF.],$B18,DATOS_[Sexo],$B19,DATOS_[Check Periodo Ref.],"Dentro",DATOS_[Check Equiparación],"Sí")</f>
        <v>0</v>
      </c>
      <c r="I19" s="249" t="n">
        <f aca="false" t="array" ref="I19:I19">IFERROR( MEDIAN(IF(DATOS_[Sexo]=$B19,IF(DATOS_[[AGRUP. CLAS. PROF.]:[AGRUP. CLAS. PROF.]]=$B18,IF(DATOS_[Check Equiparado]="Sí",IF(DATOS_[Check Periodo Ref.]="Dentro",DATOS_[SALARIO BASE Eq],0))))), 0)</f>
        <v>0</v>
      </c>
      <c r="J19" s="250" t="n">
        <f aca="false" t="array" ref="J19:J19">IFERROR( (MEDIAN((IF(DATOS_[[Sexo]:[Sexo]]=$B19,IF(DATOS_[[AGRUP. CLAS. PROF.]:[AGRUP. CLAS. PROF.]]=$B18,IF(DATOS_[[Check Periodo Ref.]:[Check Periodo Ref.]]="Dentro",IF(DATOS_[[Check Equiparado]:[Check Equiparado]]="Sí",IF(DATOS!AE$4="Sí",(1/DATOS_[[% anualiz]:[% anualiz]]),1)*IF(DATOS!AE$5="Sí",1/DATOS_[[% normaliz]:[% normaliz]],1)*(DATOS_[Conc.Sal.01])))))))), 0)</f>
        <v>0</v>
      </c>
      <c r="K19" s="250" t="n">
        <f aca="false" t="array" ref="K19:K19">IFERROR( (MEDIAN((IF(DATOS_[[Sexo]:[Sexo]]=$B19,IF(DATOS_[[AGRUP. CLAS. PROF.]:[AGRUP. CLAS. PROF.]]=$B18,IF(DATOS_[[Check Periodo Ref.]:[Check Periodo Ref.]]="Dentro",IF(DATOS_[[Check Equiparado]:[Check Equiparado]]="Sí",IF(DATOS!AF$4="Sí",(1/DATOS_[[% anualiz]:[% anualiz]]),1)*IF(DATOS!AF$5="Sí",1/DATOS_[[% normaliz]:[% normaliz]],1)*(DATOS_[Conc.Sal.02])))))))), 0)</f>
        <v>0</v>
      </c>
      <c r="L19" s="250" t="n">
        <f aca="false" t="array" ref="L19:L19">IFERROR( (MEDIAN((IF(DATOS_[[Sexo]:[Sexo]]=$B19,IF(DATOS_[[AGRUP. CLAS. PROF.]:[AGRUP. CLAS. PROF.]]=$B18,IF(DATOS_[[Check Periodo Ref.]:[Check Periodo Ref.]]="Dentro",IF(DATOS_[[Check Equiparado]:[Check Equiparado]]="Sí",IF(DATOS!AG$4="Sí",(1/DATOS_[[% anualiz]:[% anualiz]]),1)*IF(DATOS!AG$5="Sí",1/DATOS_[[% normaliz]:[% normaliz]],1)*(DATOS_[Conc.Sal.03])))))))), 0)</f>
        <v>0</v>
      </c>
      <c r="M19" s="250" t="n">
        <f aca="false" t="array" ref="M19:M19">IFERROR( (MEDIAN((IF(DATOS_[[Sexo]:[Sexo]]=$B19,IF(DATOS_[[AGRUP. CLAS. PROF.]:[AGRUP. CLAS. PROF.]]=$B18,IF(DATOS_[[Check Periodo Ref.]:[Check Periodo Ref.]]="Dentro",IF(DATOS_[[Check Equiparado]:[Check Equiparado]]="Sí",IF(DATOS!AH$4="Sí",(1/DATOS_[[% anualiz]:[% anualiz]]),1)*IF(DATOS!AH$5="Sí",1/DATOS_[[% normaliz]:[% normaliz]],1)*(DATOS_[Conc.Sal.04])))))))), 0)</f>
        <v>0</v>
      </c>
      <c r="N19" s="250" t="n">
        <f aca="false" t="array" ref="N19:N19">IFERROR( (MEDIAN((IF(DATOS_[[Sexo]:[Sexo]]=$B19,IF(DATOS_[[AGRUP. CLAS. PROF.]:[AGRUP. CLAS. PROF.]]=$B18,IF(DATOS_[[Check Periodo Ref.]:[Check Periodo Ref.]]="Dentro",IF(DATOS_[[Check Equiparado]:[Check Equiparado]]="Sí",IF(DATOS!AI$4="Sí",(1/DATOS_[[% anualiz]:[% anualiz]]),1)*IF(DATOS!AI$5="Sí",1/DATOS_[[% normaliz]:[% normaliz]],1)*(DATOS_[Conc.Sal.05])))))))), 0)</f>
        <v>0</v>
      </c>
      <c r="O19" s="250" t="n">
        <f aca="false" t="array" ref="O19:O19">IFERROR( (MEDIAN((IF(DATOS_[[Sexo]:[Sexo]]=$B19,IF(DATOS_[[AGRUP. CLAS. PROF.]:[AGRUP. CLAS. PROF.]]=$B18,IF(DATOS_[[Check Periodo Ref.]:[Check Periodo Ref.]]="Dentro",IF(DATOS_[[Check Equiparado]:[Check Equiparado]]="Sí",IF(DATOS!AJ$4="Sí",(1/DATOS_[[% anualiz]:[% anualiz]]),1)*IF(DATOS!AJ$5="Sí",1/DATOS_[[% normaliz]:[% normaliz]],1)*(DATOS_[Conc.Sal.06])))))))), 0)</f>
        <v>0</v>
      </c>
      <c r="P19" s="250" t="n">
        <f aca="false" t="array" ref="P19:P19">IFERROR( (MEDIAN((IF(DATOS_[[Sexo]:[Sexo]]=$B19,IF(DATOS_[[AGRUP. CLAS. PROF.]:[AGRUP. CLAS. PROF.]]=$B18,IF(DATOS_[[Check Periodo Ref.]:[Check Periodo Ref.]]="Dentro",IF(DATOS_[[Check Equiparado]:[Check Equiparado]]="Sí",IF(DATOS!AK$4="Sí",(1/DATOS_[[% anualiz]:[% anualiz]]),1)*IF(DATOS!AK$5="Sí",1/DATOS_[[% normaliz]:[% normaliz]],1)*(DATOS_[Conc.Sal.07])))))))), 0)</f>
        <v>0</v>
      </c>
      <c r="Q19" s="250" t="n">
        <f aca="false" t="array" ref="Q19:Q19">IFERROR( (MEDIAN((IF(DATOS_[[Sexo]:[Sexo]]=$B19,IF(DATOS_[[AGRUP. CLAS. PROF.]:[AGRUP. CLAS. PROF.]]=$B18,IF(DATOS_[[Check Periodo Ref.]:[Check Periodo Ref.]]="Dentro",IF(DATOS_[[Check Equiparado]:[Check Equiparado]]="Sí",IF(DATOS!AL$4="Sí",(1/DATOS_[[% anualiz]:[% anualiz]]),1)*IF(DATOS!AL$5="Sí",1/DATOS_[[% normaliz]:[% normaliz]],1)*(DATOS_[Conc.Sal.08])))))))), 0)</f>
        <v>0</v>
      </c>
      <c r="R19" s="250" t="n">
        <f aca="false" t="array" ref="R19:R19">IFERROR( (MEDIAN((IF(DATOS_[[Sexo]:[Sexo]]=$B19,IF(DATOS_[[AGRUP. CLAS. PROF.]:[AGRUP. CLAS. PROF.]]=$B18,IF(DATOS_[[Check Periodo Ref.]:[Check Periodo Ref.]]="Dentro",IF(DATOS_[[Check Equiparado]:[Check Equiparado]]="Sí",IF(DATOS!AM$4="Sí",(1/DATOS_[[% anualiz]:[% anualiz]]),1)*IF(DATOS!AM$5="Sí",1/DATOS_[[% normaliz]:[% normaliz]],1)*(DATOS_[Conc.Sal.09])))))))), 0)</f>
        <v>0</v>
      </c>
      <c r="S19" s="250" t="n">
        <f aca="false" t="array" ref="S19:S19">IFERROR( (MEDIAN((IF(DATOS_[[Sexo]:[Sexo]]=$B19,IF(DATOS_[[AGRUP. CLAS. PROF.]:[AGRUP. CLAS. PROF.]]=$B18,IF(DATOS_[[Check Periodo Ref.]:[Check Periodo Ref.]]="Dentro",IF(DATOS_[[Check Equiparado]:[Check Equiparado]]="Sí",IF(DATOS!AN$4="Sí",(1/DATOS_[[% anualiz]:[% anualiz]]),1)*IF(DATOS!AN$5="Sí",1/DATOS_[[% normaliz]:[% normaliz]],1)*(DATOS_[Conc.Sal.10])))))))), 0)</f>
        <v>0</v>
      </c>
      <c r="T19" s="250" t="n">
        <f aca="false" t="array" ref="T19:T19">IFERROR( (MEDIAN((IF(DATOS_[[Sexo]:[Sexo]]=$B19,IF(DATOS_[[AGRUP. CLAS. PROF.]:[AGRUP. CLAS. PROF.]]=$B18,IF(DATOS_[[Check Periodo Ref.]:[Check Periodo Ref.]]="Dentro",IF(DATOS_[[Check Equiparado]:[Check Equiparado]]="Sí",IF(DATOS!AO$4="Sí",(1/DATOS_[[% anualiz]:[% anualiz]]),1)*IF(DATOS!AO$5="Sí",1/DATOS_[[% normaliz]:[% normaliz]],1)*(DATOS_[Conc.Sal.11])))))))), 0)</f>
        <v>0</v>
      </c>
      <c r="U19" s="250" t="n">
        <f aca="false" t="array" ref="U19:U19">IFERROR( (MEDIAN((IF(DATOS_[[Sexo]:[Sexo]]=$B19,IF(DATOS_[[AGRUP. CLAS. PROF.]:[AGRUP. CLAS. PROF.]]=$B18,IF(DATOS_[[Check Periodo Ref.]:[Check Periodo Ref.]]="Dentro",IF(DATOS_[[Check Equiparado]:[Check Equiparado]]="Sí",IF(DATOS!AP$4="Sí",(1/DATOS_[[% anualiz]:[% anualiz]]),1)*IF(DATOS!AP$5="Sí",1/DATOS_[[% normaliz]:[% normaliz]],1)*(DATOS_[Conc.Sal.12])))))))), 0)</f>
        <v>0</v>
      </c>
      <c r="V19" s="250" t="n">
        <f aca="false" t="array" ref="V19:V19">IFERROR( (MEDIAN((IF(DATOS_[[Sexo]:[Sexo]]=$B19,IF(DATOS_[[AGRUP. CLAS. PROF.]:[AGRUP. CLAS. PROF.]]=$B18,IF(DATOS_[[Check Periodo Ref.]:[Check Periodo Ref.]]="Dentro",IF(DATOS_[[Check Equiparado]:[Check Equiparado]]="Sí",IF(DATOS!AQ$4="Sí",(1/DATOS_[[% anualiz]:[% anualiz]]),1)*IF(DATOS!AQ$5="Sí",1/DATOS_[[% normaliz]:[% normaliz]],1)*(DATOS_[Conc.Sal.13])))))))), 0)</f>
        <v>0</v>
      </c>
      <c r="W19" s="250" t="n">
        <f aca="false" t="array" ref="W19:W19">IFERROR( (MEDIAN((IF(DATOS_[[Sexo]:[Sexo]]=$B19,IF(DATOS_[[AGRUP. CLAS. PROF.]:[AGRUP. CLAS. PROF.]]=$B18,IF(DATOS_[[Check Periodo Ref.]:[Check Periodo Ref.]]="Dentro",IF(DATOS_[[Check Equiparado]:[Check Equiparado]]="Sí",IF(DATOS!AR$4="Sí",(1/DATOS_[[% anualiz]:[% anualiz]]),1)*IF(DATOS!AR$5="Sí",1/DATOS_[[% normaliz]:[% normaliz]],1)*(DATOS_[Conc.Sal.14])))))))), 0)</f>
        <v>0</v>
      </c>
      <c r="X19" s="250" t="n">
        <f aca="false" t="array" ref="X19:X19">IFERROR( (MEDIAN((IF(DATOS_[[Sexo]:[Sexo]]=$B19,IF(DATOS_[[AGRUP. CLAS. PROF.]:[AGRUP. CLAS. PROF.]]=$B18,IF(DATOS_[[Check Periodo Ref.]:[Check Periodo Ref.]]="Dentro",IF(DATOS_[[Check Equiparado]:[Check Equiparado]]="Sí",IF(DATOS!AS$4="Sí",(1/DATOS_[[% anualiz]:[% anualiz]]),1)*IF(DATOS!AS$5="Sí",1/DATOS_[[% normaliz]:[% normaliz]],1)*(DATOS_[Conc.Sal.15])))))))), 0)</f>
        <v>0</v>
      </c>
      <c r="Y19" s="250" t="n">
        <f aca="false" t="array" ref="Y19:Y19">IFERROR( (MEDIAN((IF(DATOS_[[Sexo]:[Sexo]]=$B19,IF(DATOS_[[AGRUP. CLAS. PROF.]:[AGRUP. CLAS. PROF.]]=$B18,IF(DATOS_[[Check Periodo Ref.]:[Check Periodo Ref.]]="Dentro",IF(DATOS_[[Check Equiparado]:[Check Equiparado]]="Sí",IF(DATOS!AT$4="Sí",(1/DATOS_[[% anualiz]:[% anualiz]]),1)*IF(DATOS!AT$5="Sí",1/DATOS_[[% normaliz]:[% normaliz]],1)*(DATOS_[Conc.Sal.16])))))))), 0)</f>
        <v>0</v>
      </c>
      <c r="Z19" s="250" t="n">
        <f aca="false" t="array" ref="Z19:Z19">IFERROR( (MEDIAN((IF(DATOS_[[Sexo]:[Sexo]]=$B19,IF(DATOS_[[AGRUP. CLAS. PROF.]:[AGRUP. CLAS. PROF.]]=$B18,IF(DATOS_[[Check Periodo Ref.]:[Check Periodo Ref.]]="Dentro",IF(DATOS_[[Check Equiparado]:[Check Equiparado]]="Sí",IF(DATOS!AU$4="Sí",(1/DATOS_[[% anualiz]:[% anualiz]]),1)*IF(DATOS!AU$5="Sí",1/DATOS_[[% normaliz]:[% normaliz]],1)*(DATOS_[Conc.Sal.17])))))))), 0)</f>
        <v>0</v>
      </c>
      <c r="AA19" s="250" t="n">
        <f aca="false" t="array" ref="AA19:AA19">IFERROR( (MEDIAN((IF(DATOS_[[Sexo]:[Sexo]]=$B19,IF(DATOS_[[AGRUP. CLAS. PROF.]:[AGRUP. CLAS. PROF.]]=$B18,IF(DATOS_[[Check Periodo Ref.]:[Check Periodo Ref.]]="Dentro",IF(DATOS_[[Check Equiparado]:[Check Equiparado]]="Sí",IF(DATOS!AV$4="Sí",(1/DATOS_[[% anualiz]:[% anualiz]]),1)*IF(DATOS!AV$5="Sí",1/DATOS_[[% normaliz]:[% normaliz]],1)*(DATOS_[Conc.Sal.18])))))))), 0)</f>
        <v>0</v>
      </c>
      <c r="AB19" s="250" t="n">
        <f aca="false" t="array" ref="AB19:AB19">IFERROR( (MEDIAN((IF(DATOS_[[Sexo]:[Sexo]]=$B19,IF(DATOS_[[AGRUP. CLAS. PROF.]:[AGRUP. CLAS. PROF.]]=$B18,IF(DATOS_[[Check Periodo Ref.]:[Check Periodo Ref.]]="Dentro",IF(DATOS_[[Check Equiparado]:[Check Equiparado]]="Sí",IF(DATOS!AW$4="Sí",(1/DATOS_[[% anualiz]:[% anualiz]]),1)*IF(DATOS!AW$5="Sí",1/DATOS_[[% normaliz]:[% normaliz]],1)*(DATOS_[Conc.Sal.19])))))))), 0)</f>
        <v>0</v>
      </c>
      <c r="AC19" s="250" t="n">
        <f aca="false" t="array" ref="AC19:AC19">IFERROR( (MEDIAN((IF(DATOS_[[Sexo]:[Sexo]]=$B19,IF(DATOS_[[AGRUP. CLAS. PROF.]:[AGRUP. CLAS. PROF.]]=$B18,IF(DATOS_[[Check Periodo Ref.]:[Check Periodo Ref.]]="Dentro",IF(DATOS_[[Check Equiparado]:[Check Equiparado]]="Sí",IF(DATOS!AX$4="Sí",(1/DATOS_[[% anualiz]:[% anualiz]]),1)*IF(DATOS!AX$5="Sí",1/DATOS_[[% normaliz]:[% normaliz]],1)*(DATOS_[Conc.Sal.20])))))))), 0)</f>
        <v>0</v>
      </c>
      <c r="AD19" s="250" t="n">
        <f aca="false" t="array" ref="AD19:AD19">IFERROR( (MEDIAN((IF(DATOS_[[Sexo]:[Sexo]]=$B19,IF(DATOS_[[AGRUP. CLAS. PROF.]:[AGRUP. CLAS. PROF.]]=$B18,IF(DATOS_[[Check Periodo Ref.]:[Check Periodo Ref.]]="Dentro",IF(DATOS_[[Check Equiparado]:[Check Equiparado]]="Sí",IF(DATOS!AY$4="Sí",(1/DATOS_[[% anualiz]:[% anualiz]]),1)*IF(DATOS!AY$5="Sí",1/DATOS_[[% normaliz]:[% normaliz]],1)*(DATOS_[Conc.Sal.21])))))))), 0)</f>
        <v>0</v>
      </c>
      <c r="AE19" s="250" t="n">
        <f aca="false" t="array" ref="AE19:AE19">IFERROR( (MEDIAN((IF(DATOS_[[Sexo]:[Sexo]]=$B19,IF(DATOS_[[AGRUP. CLAS. PROF.]:[AGRUP. CLAS. PROF.]]=$B18,IF(DATOS_[[Check Periodo Ref.]:[Check Periodo Ref.]]="Dentro",IF(DATOS_[[Check Equiparado]:[Check Equiparado]]="Sí",IF(DATOS!AZ$4="Sí",(1/DATOS_[[% anualiz]:[% anualiz]]),1)*IF(DATOS!AZ$5="Sí",1/DATOS_[[% normaliz]:[% normaliz]],1)*(DATOS_[Conc.Sal.22])))))))), 0)</f>
        <v>0</v>
      </c>
      <c r="AF19" s="250" t="n">
        <f aca="false" t="array" ref="AF19:AF19">IFERROR( (MEDIAN((IF(DATOS_[[Sexo]:[Sexo]]=$B19,IF(DATOS_[[AGRUP. CLAS. PROF.]:[AGRUP. CLAS. PROF.]]=$B18,IF(DATOS_[[Check Periodo Ref.]:[Check Periodo Ref.]]="Dentro",IF(DATOS_[[Check Equiparado]:[Check Equiparado]]="Sí",IF(DATOS!BA$4="Sí",(1/DATOS_[[% anualiz]:[% anualiz]]),1)*IF(DATOS!BA$5="Sí",1/DATOS_[[% normaliz]:[% normaliz]],1)*(DATOS_[Conc.Sal.23])))))))), 0)</f>
        <v>0</v>
      </c>
      <c r="AG19" s="250" t="n">
        <f aca="false" t="array" ref="AG19:AG19">IFERROR( (MEDIAN((IF(DATOS_[[Sexo]:[Sexo]]=$B19,IF(DATOS_[[AGRUP. CLAS. PROF.]:[AGRUP. CLAS. PROF.]]=$B18,IF(DATOS_[[Check Periodo Ref.]:[Check Periodo Ref.]]="Dentro",IF(DATOS_[[Check Equiparado]:[Check Equiparado]]="Sí",IF(DATOS!BB$4="Sí",(1/DATOS_[[% anualiz]:[% anualiz]]),1)*IF(DATOS!BB$5="Sí",1/DATOS_[[% normaliz]:[% normaliz]],1)*(DATOS_[Conc.Sal.24])))))))), 0)</f>
        <v>0</v>
      </c>
      <c r="AH19" s="250" t="n">
        <f aca="false" t="array" ref="AH19:AH19">IFERROR( (MEDIAN((IF(DATOS_[[Sexo]:[Sexo]]=$B19,IF(DATOS_[[AGRUP. CLAS. PROF.]:[AGRUP. CLAS. PROF.]]=$B18,IF(DATOS_[[Check Periodo Ref.]:[Check Periodo Ref.]]="Dentro",IF(DATOS_[[Check Equiparado]:[Check Equiparado]]="Sí",IF(DATOS!BC$4="Sí",(1/DATOS_[[% anualiz]:[% anualiz]]),1)*IF(DATOS!BC$5="Sí",1/DATOS_[[% normaliz]:[% normaliz]],1)*(DATOS_[Conc.Sal.25])))))))), 0)</f>
        <v>0</v>
      </c>
      <c r="AI19" s="250" t="n">
        <f aca="false" t="array" ref="AI19:AI19">IFERROR( (MEDIAN((IF(DATOS_[[Sexo]:[Sexo]]=$B19,IF(DATOS_[[AGRUP. CLAS. PROF.]:[AGRUP. CLAS. PROF.]]=$B18,IF(DATOS_[[Check Periodo Ref.]:[Check Periodo Ref.]]="Dentro",IF(DATOS_[[Check Equiparado]:[Check Equiparado]]="Sí",IF(DATOS!BD$4="Sí",(1/DATOS_[[% anualiz]:[% anualiz]]),1)*IF(DATOS!BD$5="Sí",1/DATOS_[[% normaliz]:[% normaliz]],1)*(DATOS_[Conc.Sal.26])))))))), 0)</f>
        <v>0</v>
      </c>
      <c r="AJ19" s="250" t="n">
        <f aca="false" t="array" ref="AJ19:AJ19">IFERROR( (MEDIAN((IF(DATOS_[[Sexo]:[Sexo]]=$B19,IF(DATOS_[[AGRUP. CLAS. PROF.]:[AGRUP. CLAS. PROF.]]=$B18,IF(DATOS_[[Check Periodo Ref.]:[Check Periodo Ref.]]="Dentro",IF(DATOS_[[Check Equiparado]:[Check Equiparado]]="Sí",IF(DATOS!BE$4="Sí",(1/DATOS_[[% anualiz]:[% anualiz]]),1)*IF(DATOS!BE$5="Sí",1/DATOS_[[% normaliz]:[% normaliz]],1)*(DATOS_[Conc.Sal.27])))))))), 0)</f>
        <v>0</v>
      </c>
      <c r="AK19" s="250" t="n">
        <f aca="false" t="array" ref="AK19:AK19">IFERROR( (MEDIAN((IF(DATOS_[[Sexo]:[Sexo]]=$B19,IF(DATOS_[[AGRUP. CLAS. PROF.]:[AGRUP. CLAS. PROF.]]=$B18,IF(DATOS_[[Check Periodo Ref.]:[Check Periodo Ref.]]="Dentro",IF(DATOS_[[Check Equiparado]:[Check Equiparado]]="Sí",IF(DATOS!BF$4="Sí",(1/DATOS_[[% anualiz]:[% anualiz]]),1)*IF(DATOS!BF$5="Sí",1/DATOS_[[% normaliz]:[% normaliz]],1)*(DATOS_[Conc.Sal.28])))))))), 0)</f>
        <v>0</v>
      </c>
      <c r="AL19" s="250" t="n">
        <f aca="false" t="array" ref="AL19:AL19">IFERROR( (MEDIAN((IF(DATOS_[[Sexo]:[Sexo]]=$B19,IF(DATOS_[[AGRUP. CLAS. PROF.]:[AGRUP. CLAS. PROF.]]=$B18,IF(DATOS_[[Check Periodo Ref.]:[Check Periodo Ref.]]="Dentro",IF(DATOS_[[Check Equiparado]:[Check Equiparado]]="Sí",IF(DATOS!BG$4="Sí",(1/DATOS_[[% anualiz]:[% anualiz]]),1)*IF(DATOS!BG$5="Sí",1/DATOS_[[% normaliz]:[% normaliz]],1)*(DATOS_[Conc.Sal.29])))))))), 0)</f>
        <v>0</v>
      </c>
      <c r="AM19" s="250" t="n">
        <f aca="false" t="array" ref="AM19:AM19">IFERROR( (MEDIAN((IF(DATOS_[[Sexo]:[Sexo]]=$B19,IF(DATOS_[[AGRUP. CLAS. PROF.]:[AGRUP. CLAS. PROF.]]=$B18,IF(DATOS_[[Check Periodo Ref.]:[Check Periodo Ref.]]="Dentro",IF(DATOS_[[Check Equiparado]:[Check Equiparado]]="Sí",IF(DATOS!BH$4="Sí",(1/DATOS_[[% anualiz]:[% anualiz]]),1)*IF(DATOS!BH$5="Sí",1/DATOS_[[% normaliz]:[% normaliz]],1)*(DATOS_[Conc.Sal.30])))))))), 0)</f>
        <v>0</v>
      </c>
      <c r="AN19" s="251" t="n">
        <f aca="false" t="array" ref="AN19:AN19">IFERROR( MEDIAN(IF(DATOS_[Sexo]=$B19,IF(DATOS_[[AGRUP. CLAS. PROF.]:[AGRUP. CLAS. PROF.]]=$B18,IF(DATOS_[Check Equiparado]="Sí",IF(DATOS_[Check Periodo Ref.]="Dentro",DATOS_[Tot COMPL.SAL Eq],0))))), 0)</f>
        <v>0</v>
      </c>
      <c r="AO19" s="252" t="n">
        <f aca="false" t="array" ref="AO19:AO19">IFERROR( MEDIAN(IF(DATOS_[Sexo]=$B19,IF(DATOS_[[AGRUP. CLAS. PROF.]:[AGRUP. CLAS. PROF.]]=$B18,IF(DATOS_[Check Equiparado]="Sí",IF(DATOS_[Check Periodo Ref.]="Dentro",DATOS_[TOTAL SALARIO Eq],0))))), 0)</f>
        <v>0</v>
      </c>
      <c r="AP19" s="259" t="n">
        <f aca="false" t="array" ref="AP19:AP19">IFERROR( (MEDIAN((IF(DATOS_[[Sexo]:[Sexo]]=$B19,IF(DATOS_[[AGRUP. CLAS. PROF.]:[AGRUP. CLAS. PROF.]]=$B18,IF(DATOS_[[Check Periodo Ref.]:[Check Periodo Ref.]]="Dentro",IF(DATOS_[[Check Equiparado]:[Check Equiparado]]="Sí",IF(DATOS!BI$4="Sí",(1/DATOS_[[% anualiz]:[% anualiz]]),1)*IF(DATOS!BI$5="Sí",1/DATOS_[[% normaliz]:[% normaliz]],1)*(DATOS_[C.Extra.01])))))))), 0)</f>
        <v>0</v>
      </c>
      <c r="AQ19" s="259" t="n">
        <f aca="false" t="array" ref="AQ19:AQ19">IFERROR( (MEDIAN((IF(DATOS_[[Sexo]:[Sexo]]=$B19,IF(DATOS_[[AGRUP. CLAS. PROF.]:[AGRUP. CLAS. PROF.]]=$B18,IF(DATOS_[[Check Periodo Ref.]:[Check Periodo Ref.]]="Dentro",IF(DATOS_[[Check Equiparado]:[Check Equiparado]]="Sí",IF(DATOS!BJ$4="Sí",(1/DATOS_[[% anualiz]:[% anualiz]]),1)*IF(DATOS!BJ$5="Sí",1/DATOS_[[% normaliz]:[% normaliz]],1)*(DATOS_[C.Extra.02])))))))), 0)</f>
        <v>0</v>
      </c>
      <c r="AR19" s="259" t="n">
        <f aca="false" t="array" ref="AR19:AR19">IFERROR( (MEDIAN((IF(DATOS_[[Sexo]:[Sexo]]=$B19,IF(DATOS_[[AGRUP. CLAS. PROF.]:[AGRUP. CLAS. PROF.]]=$B18,IF(DATOS_[[Check Periodo Ref.]:[Check Periodo Ref.]]="Dentro",IF(DATOS_[[Check Equiparado]:[Check Equiparado]]="Sí",IF(DATOS!BK$4="Sí",(1/DATOS_[[% anualiz]:[% anualiz]]),1)*IF(DATOS!BK$5="Sí",1/DATOS_[[% normaliz]:[% normaliz]],1)*(DATOS_[C.Extra.03])))))))), 0)</f>
        <v>0</v>
      </c>
      <c r="AS19" s="259" t="n">
        <f aca="false" t="array" ref="AS19:AS19">IFERROR( (MEDIAN((IF(DATOS_[[Sexo]:[Sexo]]=$B19,IF(DATOS_[[AGRUP. CLAS. PROF.]:[AGRUP. CLAS. PROF.]]=$B18,IF(DATOS_[[Check Periodo Ref.]:[Check Periodo Ref.]]="Dentro",IF(DATOS_[[Check Equiparado]:[Check Equiparado]]="Sí",IF(DATOS!BL$4="Sí",(1/DATOS_[[% anualiz]:[% anualiz]]),1)*IF(DATOS!BL$5="Sí",1/DATOS_[[% normaliz]:[% normaliz]],1)*(DATOS_[C.Extra.04])))))))), 0)</f>
        <v>0</v>
      </c>
      <c r="AT19" s="259" t="n">
        <f aca="false" t="array" ref="AT19:AT19">IFERROR( (MEDIAN((IF(DATOS_[[Sexo]:[Sexo]]=$B19,IF(DATOS_[[AGRUP. CLAS. PROF.]:[AGRUP. CLAS. PROF.]]=$B18,IF(DATOS_[[Check Periodo Ref.]:[Check Periodo Ref.]]="Dentro",IF(DATOS_[[Check Equiparado]:[Check Equiparado]]="Sí",IF(DATOS!BM$4="Sí",(1/DATOS_[[% anualiz]:[% anualiz]]),1)*IF(DATOS!BM$5="Sí",1/DATOS_[[% normaliz]:[% normaliz]],1)*(DATOS_[C.Extra.05])))))))), 0)</f>
        <v>0</v>
      </c>
      <c r="AU19" s="254" t="n">
        <f aca="false" t="array" ref="AU19:AU19">IFERROR( MEDIAN(IF(DATOS_[Sexo]=$B19,IF(DATOS_[[AGRUP. CLAS. PROF.]:[AGRUP. CLAS. PROF.]]=$B18,IF(DATOS_[Check Equiparado]="Sí",IF(DATOS_[Check Periodo Ref.]="Dentro",DATOS_[Tot Extrasalarial Eq],0))))), 0)</f>
        <v>0</v>
      </c>
      <c r="AV19" s="255" t="n">
        <f aca="false" t="array" ref="AV19:AV19">IFERROR( MEDIAN(IF(DATOS_[Sexo]=$B19,IF(DATOS_[[AGRUP. CLAS. PROF.]:[AGRUP. CLAS. PROF.]]=$B18,IF(DATOS_[Check Equiparado]="Sí",IF(DATOS_[Check Periodo Ref.]="Dentro",DATOS_[TOTAL Retrib Eq],0))))), 0)</f>
        <v>0</v>
      </c>
    </row>
    <row r="20" customFormat="false" ht="14.25" hidden="false" customHeight="false" outlineLevel="0" collapsed="false">
      <c r="A20" s="217" t="str">
        <f aca="false">+A19</f>
        <v>[ocultar]</v>
      </c>
      <c r="B20" s="323" t="s">
        <v>372</v>
      </c>
      <c r="C20" s="247" t="n">
        <f aca="false" t="array" ref="C20:C20">SUM(IF($B20=DATOS_[Sexo], IF($B18=DATOS_[AGRUP. CLAS. PROF.], IF("Dentro"=DATOS_[Check Periodo Ref.], 1/(COUNTIFS(DATOS_[Sexo],$B20,DATOS_[AGRUP. CLAS. PROF.],$B18,DATOS_[Check Periodo Ref.],"Dentro",DATOS_[id],DATOS_[id]))))))</f>
        <v>0</v>
      </c>
      <c r="D20" s="248" t="n">
        <f aca="false">COUNTIFS(DATOS_[AGRUP. CLAS. PROF.],$B18,DATOS_[Sexo],$B20,DATOS_[Check Periodo Ref.],"Dentro")</f>
        <v>0</v>
      </c>
      <c r="E20" s="248" t="n">
        <f aca="false">COUNTIFS(DATOS_[AGRUP. CLAS. PROF.],$B18,DATOS_[Sexo],$B20,DATOS_[Check Periodo Ref.],"Dentro",DATOS_[Check Nº SC Norm],"Sí")</f>
        <v>0</v>
      </c>
      <c r="F20" s="248" t="n">
        <f aca="false">COUNTIFS(DATOS_[AGRUP. CLAS. PROF.],$B18,DATOS_[Sexo],$B20,DATOS_[Check Periodo Ref.],"Dentro",DATOS_[Check Nº SC Anualiz],"Sí")</f>
        <v>0</v>
      </c>
      <c r="G20" s="248" t="n">
        <f aca="false">COUNTIFS(DATOS_[AGRUP. CLAS. PROF.],$B18,DATOS_[Sexo],$B20,DATOS_[Check Periodo Ref.],"Dentro",DATOS_[Check Nº SC Norm y Anualiz],"Sí")</f>
        <v>0</v>
      </c>
      <c r="H20" s="248" t="n">
        <f aca="false">COUNTIFS(DATOS_[AGRUP. CLAS. PROF.],$B18,DATOS_[Sexo],$B20,DATOS_[Check Periodo Ref.],"Dentro",DATOS_[Check Equiparación],"Sí")</f>
        <v>0</v>
      </c>
      <c r="I20" s="249" t="n">
        <f aca="false" t="array" ref="I20:I20">IFERROR( MEDIAN(IF(DATOS_[Sexo]=$B20,IF(DATOS_[[AGRUP. CLAS. PROF.]:[AGRUP. CLAS. PROF.]]=$B18,IF(DATOS_[Check Equiparado]="Sí",IF(DATOS_[Check Periodo Ref.]="Dentro",DATOS_[SALARIO BASE Eq],0))))), 0)</f>
        <v>0</v>
      </c>
      <c r="J20" s="250" t="n">
        <f aca="false" t="array" ref="J20:J20">IFERROR( (MEDIAN((IF(DATOS_[[Sexo]:[Sexo]]=$B20,IF(DATOS_[[AGRUP. CLAS. PROF.]:[AGRUP. CLAS. PROF.]]=$B18,IF(DATOS_[[Check Periodo Ref.]:[Check Periodo Ref.]]="Dentro",IF(DATOS_[[Check Equiparado]:[Check Equiparado]]="Sí",IF(DATOS!AE$4="Sí",(1/DATOS_[[% anualiz]:[% anualiz]]),1)*IF(DATOS!AE$5="Sí",1/DATOS_[[% normaliz]:[% normaliz]],1)*(DATOS_[Conc.Sal.01])))))))), 0)</f>
        <v>0</v>
      </c>
      <c r="K20" s="250" t="n">
        <f aca="false" t="array" ref="K20:K20">IFERROR( (MEDIAN((IF(DATOS_[[Sexo]:[Sexo]]=$B20,IF(DATOS_[[AGRUP. CLAS. PROF.]:[AGRUP. CLAS. PROF.]]=$B18,IF(DATOS_[[Check Periodo Ref.]:[Check Periodo Ref.]]="Dentro",IF(DATOS_[[Check Equiparado]:[Check Equiparado]]="Sí",IF(DATOS!AF$4="Sí",(1/DATOS_[[% anualiz]:[% anualiz]]),1)*IF(DATOS!AF$5="Sí",1/DATOS_[[% normaliz]:[% normaliz]],1)*(DATOS_[Conc.Sal.02])))))))), 0)</f>
        <v>0</v>
      </c>
      <c r="L20" s="250" t="n">
        <f aca="false" t="array" ref="L20:L20">IFERROR( (MEDIAN((IF(DATOS_[[Sexo]:[Sexo]]=$B20,IF(DATOS_[[AGRUP. CLAS. PROF.]:[AGRUP. CLAS. PROF.]]=$B18,IF(DATOS_[[Check Periodo Ref.]:[Check Periodo Ref.]]="Dentro",IF(DATOS_[[Check Equiparado]:[Check Equiparado]]="Sí",IF(DATOS!AG$4="Sí",(1/DATOS_[[% anualiz]:[% anualiz]]),1)*IF(DATOS!AG$5="Sí",1/DATOS_[[% normaliz]:[% normaliz]],1)*(DATOS_[Conc.Sal.03])))))))), 0)</f>
        <v>0</v>
      </c>
      <c r="M20" s="250" t="n">
        <f aca="false" t="array" ref="M20:M20">IFERROR( (MEDIAN((IF(DATOS_[[Sexo]:[Sexo]]=$B20,IF(DATOS_[[AGRUP. CLAS. PROF.]:[AGRUP. CLAS. PROF.]]=$B18,IF(DATOS_[[Check Periodo Ref.]:[Check Periodo Ref.]]="Dentro",IF(DATOS_[[Check Equiparado]:[Check Equiparado]]="Sí",IF(DATOS!AH$4="Sí",(1/DATOS_[[% anualiz]:[% anualiz]]),1)*IF(DATOS!AH$5="Sí",1/DATOS_[[% normaliz]:[% normaliz]],1)*(DATOS_[Conc.Sal.04])))))))), 0)</f>
        <v>0</v>
      </c>
      <c r="N20" s="250" t="n">
        <f aca="false" t="array" ref="N20:N20">IFERROR( (MEDIAN((IF(DATOS_[[Sexo]:[Sexo]]=$B20,IF(DATOS_[[AGRUP. CLAS. PROF.]:[AGRUP. CLAS. PROF.]]=$B18,IF(DATOS_[[Check Periodo Ref.]:[Check Periodo Ref.]]="Dentro",IF(DATOS_[[Check Equiparado]:[Check Equiparado]]="Sí",IF(DATOS!AI$4="Sí",(1/DATOS_[[% anualiz]:[% anualiz]]),1)*IF(DATOS!AI$5="Sí",1/DATOS_[[% normaliz]:[% normaliz]],1)*(DATOS_[Conc.Sal.05])))))))), 0)</f>
        <v>0</v>
      </c>
      <c r="O20" s="250" t="n">
        <f aca="false" t="array" ref="O20:O20">IFERROR( (MEDIAN((IF(DATOS_[[Sexo]:[Sexo]]=$B20,IF(DATOS_[[AGRUP. CLAS. PROF.]:[AGRUP. CLAS. PROF.]]=$B18,IF(DATOS_[[Check Periodo Ref.]:[Check Periodo Ref.]]="Dentro",IF(DATOS_[[Check Equiparado]:[Check Equiparado]]="Sí",IF(DATOS!AJ$4="Sí",(1/DATOS_[[% anualiz]:[% anualiz]]),1)*IF(DATOS!AJ$5="Sí",1/DATOS_[[% normaliz]:[% normaliz]],1)*(DATOS_[Conc.Sal.06])))))))), 0)</f>
        <v>0</v>
      </c>
      <c r="P20" s="250" t="n">
        <f aca="false" t="array" ref="P20:P20">IFERROR( (MEDIAN((IF(DATOS_[[Sexo]:[Sexo]]=$B20,IF(DATOS_[[AGRUP. CLAS. PROF.]:[AGRUP. CLAS. PROF.]]=$B18,IF(DATOS_[[Check Periodo Ref.]:[Check Periodo Ref.]]="Dentro",IF(DATOS_[[Check Equiparado]:[Check Equiparado]]="Sí",IF(DATOS!AK$4="Sí",(1/DATOS_[[% anualiz]:[% anualiz]]),1)*IF(DATOS!AK$5="Sí",1/DATOS_[[% normaliz]:[% normaliz]],1)*(DATOS_[Conc.Sal.07])))))))), 0)</f>
        <v>0</v>
      </c>
      <c r="Q20" s="250" t="n">
        <f aca="false" t="array" ref="Q20:Q20">IFERROR( (MEDIAN((IF(DATOS_[[Sexo]:[Sexo]]=$B20,IF(DATOS_[[AGRUP. CLAS. PROF.]:[AGRUP. CLAS. PROF.]]=$B18,IF(DATOS_[[Check Periodo Ref.]:[Check Periodo Ref.]]="Dentro",IF(DATOS_[[Check Equiparado]:[Check Equiparado]]="Sí",IF(DATOS!AL$4="Sí",(1/DATOS_[[% anualiz]:[% anualiz]]),1)*IF(DATOS!AL$5="Sí",1/DATOS_[[% normaliz]:[% normaliz]],1)*(DATOS_[Conc.Sal.08])))))))), 0)</f>
        <v>0</v>
      </c>
      <c r="R20" s="250" t="n">
        <f aca="false" t="array" ref="R20:R20">IFERROR( (MEDIAN((IF(DATOS_[[Sexo]:[Sexo]]=$B20,IF(DATOS_[[AGRUP. CLAS. PROF.]:[AGRUP. CLAS. PROF.]]=$B18,IF(DATOS_[[Check Periodo Ref.]:[Check Periodo Ref.]]="Dentro",IF(DATOS_[[Check Equiparado]:[Check Equiparado]]="Sí",IF(DATOS!AM$4="Sí",(1/DATOS_[[% anualiz]:[% anualiz]]),1)*IF(DATOS!AM$5="Sí",1/DATOS_[[% normaliz]:[% normaliz]],1)*(DATOS_[Conc.Sal.09])))))))), 0)</f>
        <v>0</v>
      </c>
      <c r="S20" s="250" t="n">
        <f aca="false" t="array" ref="S20:S20">IFERROR( (MEDIAN((IF(DATOS_[[Sexo]:[Sexo]]=$B20,IF(DATOS_[[AGRUP. CLAS. PROF.]:[AGRUP. CLAS. PROF.]]=$B18,IF(DATOS_[[Check Periodo Ref.]:[Check Periodo Ref.]]="Dentro",IF(DATOS_[[Check Equiparado]:[Check Equiparado]]="Sí",IF(DATOS!AN$4="Sí",(1/DATOS_[[% anualiz]:[% anualiz]]),1)*IF(DATOS!AN$5="Sí",1/DATOS_[[% normaliz]:[% normaliz]],1)*(DATOS_[Conc.Sal.10])))))))), 0)</f>
        <v>0</v>
      </c>
      <c r="T20" s="250" t="n">
        <f aca="false" t="array" ref="T20:T20">IFERROR( (MEDIAN((IF(DATOS_[[Sexo]:[Sexo]]=$B20,IF(DATOS_[[AGRUP. CLAS. PROF.]:[AGRUP. CLAS. PROF.]]=$B18,IF(DATOS_[[Check Periodo Ref.]:[Check Periodo Ref.]]="Dentro",IF(DATOS_[[Check Equiparado]:[Check Equiparado]]="Sí",IF(DATOS!AO$4="Sí",(1/DATOS_[[% anualiz]:[% anualiz]]),1)*IF(DATOS!AO$5="Sí",1/DATOS_[[% normaliz]:[% normaliz]],1)*(DATOS_[Conc.Sal.11])))))))), 0)</f>
        <v>0</v>
      </c>
      <c r="U20" s="250" t="n">
        <f aca="false" t="array" ref="U20:U20">IFERROR( (MEDIAN((IF(DATOS_[[Sexo]:[Sexo]]=$B20,IF(DATOS_[[AGRUP. CLAS. PROF.]:[AGRUP. CLAS. PROF.]]=$B18,IF(DATOS_[[Check Periodo Ref.]:[Check Periodo Ref.]]="Dentro",IF(DATOS_[[Check Equiparado]:[Check Equiparado]]="Sí",IF(DATOS!AP$4="Sí",(1/DATOS_[[% anualiz]:[% anualiz]]),1)*IF(DATOS!AP$5="Sí",1/DATOS_[[% normaliz]:[% normaliz]],1)*(DATOS_[Conc.Sal.12])))))))), 0)</f>
        <v>0</v>
      </c>
      <c r="V20" s="250" t="n">
        <f aca="false" t="array" ref="V20:V20">IFERROR( (MEDIAN((IF(DATOS_[[Sexo]:[Sexo]]=$B20,IF(DATOS_[[AGRUP. CLAS. PROF.]:[AGRUP. CLAS. PROF.]]=$B18,IF(DATOS_[[Check Periodo Ref.]:[Check Periodo Ref.]]="Dentro",IF(DATOS_[[Check Equiparado]:[Check Equiparado]]="Sí",IF(DATOS!AQ$4="Sí",(1/DATOS_[[% anualiz]:[% anualiz]]),1)*IF(DATOS!AQ$5="Sí",1/DATOS_[[% normaliz]:[% normaliz]],1)*(DATOS_[Conc.Sal.13])))))))), 0)</f>
        <v>0</v>
      </c>
      <c r="W20" s="250" t="n">
        <f aca="false" t="array" ref="W20:W20">IFERROR( (MEDIAN((IF(DATOS_[[Sexo]:[Sexo]]=$B20,IF(DATOS_[[AGRUP. CLAS. PROF.]:[AGRUP. CLAS. PROF.]]=$B18,IF(DATOS_[[Check Periodo Ref.]:[Check Periodo Ref.]]="Dentro",IF(DATOS_[[Check Equiparado]:[Check Equiparado]]="Sí",IF(DATOS!AR$4="Sí",(1/DATOS_[[% anualiz]:[% anualiz]]),1)*IF(DATOS!AR$5="Sí",1/DATOS_[[% normaliz]:[% normaliz]],1)*(DATOS_[Conc.Sal.14])))))))), 0)</f>
        <v>0</v>
      </c>
      <c r="X20" s="250" t="n">
        <f aca="false" t="array" ref="X20:X20">IFERROR( (MEDIAN((IF(DATOS_[[Sexo]:[Sexo]]=$B20,IF(DATOS_[[AGRUP. CLAS. PROF.]:[AGRUP. CLAS. PROF.]]=$B18,IF(DATOS_[[Check Periodo Ref.]:[Check Periodo Ref.]]="Dentro",IF(DATOS_[[Check Equiparado]:[Check Equiparado]]="Sí",IF(DATOS!AS$4="Sí",(1/DATOS_[[% anualiz]:[% anualiz]]),1)*IF(DATOS!AS$5="Sí",1/DATOS_[[% normaliz]:[% normaliz]],1)*(DATOS_[Conc.Sal.15])))))))), 0)</f>
        <v>0</v>
      </c>
      <c r="Y20" s="250" t="n">
        <f aca="false" t="array" ref="Y20:Y20">IFERROR( (MEDIAN((IF(DATOS_[[Sexo]:[Sexo]]=$B20,IF(DATOS_[[AGRUP. CLAS. PROF.]:[AGRUP. CLAS. PROF.]]=$B18,IF(DATOS_[[Check Periodo Ref.]:[Check Periodo Ref.]]="Dentro",IF(DATOS_[[Check Equiparado]:[Check Equiparado]]="Sí",IF(DATOS!AT$4="Sí",(1/DATOS_[[% anualiz]:[% anualiz]]),1)*IF(DATOS!AT$5="Sí",1/DATOS_[[% normaliz]:[% normaliz]],1)*(DATOS_[Conc.Sal.16])))))))), 0)</f>
        <v>0</v>
      </c>
      <c r="Z20" s="250" t="n">
        <f aca="false" t="array" ref="Z20:Z20">IFERROR( (MEDIAN((IF(DATOS_[[Sexo]:[Sexo]]=$B20,IF(DATOS_[[AGRUP. CLAS. PROF.]:[AGRUP. CLAS. PROF.]]=$B18,IF(DATOS_[[Check Periodo Ref.]:[Check Periodo Ref.]]="Dentro",IF(DATOS_[[Check Equiparado]:[Check Equiparado]]="Sí",IF(DATOS!AU$4="Sí",(1/DATOS_[[% anualiz]:[% anualiz]]),1)*IF(DATOS!AU$5="Sí",1/DATOS_[[% normaliz]:[% normaliz]],1)*(DATOS_[Conc.Sal.17])))))))), 0)</f>
        <v>0</v>
      </c>
      <c r="AA20" s="250" t="n">
        <f aca="false" t="array" ref="AA20:AA20">IFERROR( (MEDIAN((IF(DATOS_[[Sexo]:[Sexo]]=$B20,IF(DATOS_[[AGRUP. CLAS. PROF.]:[AGRUP. CLAS. PROF.]]=$B18,IF(DATOS_[[Check Periodo Ref.]:[Check Periodo Ref.]]="Dentro",IF(DATOS_[[Check Equiparado]:[Check Equiparado]]="Sí",IF(DATOS!AV$4="Sí",(1/DATOS_[[% anualiz]:[% anualiz]]),1)*IF(DATOS!AV$5="Sí",1/DATOS_[[% normaliz]:[% normaliz]],1)*(DATOS_[Conc.Sal.18])))))))), 0)</f>
        <v>0</v>
      </c>
      <c r="AB20" s="250" t="n">
        <f aca="false" t="array" ref="AB20:AB20">IFERROR( (MEDIAN((IF(DATOS_[[Sexo]:[Sexo]]=$B20,IF(DATOS_[[AGRUP. CLAS. PROF.]:[AGRUP. CLAS. PROF.]]=$B18,IF(DATOS_[[Check Periodo Ref.]:[Check Periodo Ref.]]="Dentro",IF(DATOS_[[Check Equiparado]:[Check Equiparado]]="Sí",IF(DATOS!AW$4="Sí",(1/DATOS_[[% anualiz]:[% anualiz]]),1)*IF(DATOS!AW$5="Sí",1/DATOS_[[% normaliz]:[% normaliz]],1)*(DATOS_[Conc.Sal.19])))))))), 0)</f>
        <v>0</v>
      </c>
      <c r="AC20" s="250" t="n">
        <f aca="false" t="array" ref="AC20:AC20">IFERROR( (MEDIAN((IF(DATOS_[[Sexo]:[Sexo]]=$B20,IF(DATOS_[[AGRUP. CLAS. PROF.]:[AGRUP. CLAS. PROF.]]=$B18,IF(DATOS_[[Check Periodo Ref.]:[Check Periodo Ref.]]="Dentro",IF(DATOS_[[Check Equiparado]:[Check Equiparado]]="Sí",IF(DATOS!AX$4="Sí",(1/DATOS_[[% anualiz]:[% anualiz]]),1)*IF(DATOS!AX$5="Sí",1/DATOS_[[% normaliz]:[% normaliz]],1)*(DATOS_[Conc.Sal.20])))))))), 0)</f>
        <v>0</v>
      </c>
      <c r="AD20" s="250" t="n">
        <f aca="false" t="array" ref="AD20:AD20">IFERROR( (MEDIAN((IF(DATOS_[[Sexo]:[Sexo]]=$B20,IF(DATOS_[[AGRUP. CLAS. PROF.]:[AGRUP. CLAS. PROF.]]=$B18,IF(DATOS_[[Check Periodo Ref.]:[Check Periodo Ref.]]="Dentro",IF(DATOS_[[Check Equiparado]:[Check Equiparado]]="Sí",IF(DATOS!AY$4="Sí",(1/DATOS_[[% anualiz]:[% anualiz]]),1)*IF(DATOS!AY$5="Sí",1/DATOS_[[% normaliz]:[% normaliz]],1)*(DATOS_[Conc.Sal.21])))))))), 0)</f>
        <v>0</v>
      </c>
      <c r="AE20" s="250" t="n">
        <f aca="false" t="array" ref="AE20:AE20">IFERROR( (MEDIAN((IF(DATOS_[[Sexo]:[Sexo]]=$B20,IF(DATOS_[[AGRUP. CLAS. PROF.]:[AGRUP. CLAS. PROF.]]=$B18,IF(DATOS_[[Check Periodo Ref.]:[Check Periodo Ref.]]="Dentro",IF(DATOS_[[Check Equiparado]:[Check Equiparado]]="Sí",IF(DATOS!AZ$4="Sí",(1/DATOS_[[% anualiz]:[% anualiz]]),1)*IF(DATOS!AZ$5="Sí",1/DATOS_[[% normaliz]:[% normaliz]],1)*(DATOS_[Conc.Sal.22])))))))), 0)</f>
        <v>0</v>
      </c>
      <c r="AF20" s="250" t="n">
        <f aca="false" t="array" ref="AF20:AF20">IFERROR( (MEDIAN((IF(DATOS_[[Sexo]:[Sexo]]=$B20,IF(DATOS_[[AGRUP. CLAS. PROF.]:[AGRUP. CLAS. PROF.]]=$B18,IF(DATOS_[[Check Periodo Ref.]:[Check Periodo Ref.]]="Dentro",IF(DATOS_[[Check Equiparado]:[Check Equiparado]]="Sí",IF(DATOS!BA$4="Sí",(1/DATOS_[[% anualiz]:[% anualiz]]),1)*IF(DATOS!BA$5="Sí",1/DATOS_[[% normaliz]:[% normaliz]],1)*(DATOS_[Conc.Sal.23])))))))), 0)</f>
        <v>0</v>
      </c>
      <c r="AG20" s="250" t="n">
        <f aca="false" t="array" ref="AG20:AG20">IFERROR( (MEDIAN((IF(DATOS_[[Sexo]:[Sexo]]=$B20,IF(DATOS_[[AGRUP. CLAS. PROF.]:[AGRUP. CLAS. PROF.]]=$B18,IF(DATOS_[[Check Periodo Ref.]:[Check Periodo Ref.]]="Dentro",IF(DATOS_[[Check Equiparado]:[Check Equiparado]]="Sí",IF(DATOS!BB$4="Sí",(1/DATOS_[[% anualiz]:[% anualiz]]),1)*IF(DATOS!BB$5="Sí",1/DATOS_[[% normaliz]:[% normaliz]],1)*(DATOS_[Conc.Sal.24])))))))), 0)</f>
        <v>0</v>
      </c>
      <c r="AH20" s="250" t="n">
        <f aca="false" t="array" ref="AH20:AH20">IFERROR( (MEDIAN((IF(DATOS_[[Sexo]:[Sexo]]=$B20,IF(DATOS_[[AGRUP. CLAS. PROF.]:[AGRUP. CLAS. PROF.]]=$B18,IF(DATOS_[[Check Periodo Ref.]:[Check Periodo Ref.]]="Dentro",IF(DATOS_[[Check Equiparado]:[Check Equiparado]]="Sí",IF(DATOS!BC$4="Sí",(1/DATOS_[[% anualiz]:[% anualiz]]),1)*IF(DATOS!BC$5="Sí",1/DATOS_[[% normaliz]:[% normaliz]],1)*(DATOS_[Conc.Sal.25])))))))), 0)</f>
        <v>0</v>
      </c>
      <c r="AI20" s="250" t="n">
        <f aca="false" t="array" ref="AI20:AI20">IFERROR( (MEDIAN((IF(DATOS_[[Sexo]:[Sexo]]=$B20,IF(DATOS_[[AGRUP. CLAS. PROF.]:[AGRUP. CLAS. PROF.]]=$B18,IF(DATOS_[[Check Periodo Ref.]:[Check Periodo Ref.]]="Dentro",IF(DATOS_[[Check Equiparado]:[Check Equiparado]]="Sí",IF(DATOS!BD$4="Sí",(1/DATOS_[[% anualiz]:[% anualiz]]),1)*IF(DATOS!BD$5="Sí",1/DATOS_[[% normaliz]:[% normaliz]],1)*(DATOS_[Conc.Sal.26])))))))), 0)</f>
        <v>0</v>
      </c>
      <c r="AJ20" s="250" t="n">
        <f aca="false" t="array" ref="AJ20:AJ20">IFERROR( (MEDIAN((IF(DATOS_[[Sexo]:[Sexo]]=$B20,IF(DATOS_[[AGRUP. CLAS. PROF.]:[AGRUP. CLAS. PROF.]]=$B18,IF(DATOS_[[Check Periodo Ref.]:[Check Periodo Ref.]]="Dentro",IF(DATOS_[[Check Equiparado]:[Check Equiparado]]="Sí",IF(DATOS!BE$4="Sí",(1/DATOS_[[% anualiz]:[% anualiz]]),1)*IF(DATOS!BE$5="Sí",1/DATOS_[[% normaliz]:[% normaliz]],1)*(DATOS_[Conc.Sal.27])))))))), 0)</f>
        <v>0</v>
      </c>
      <c r="AK20" s="250" t="n">
        <f aca="false" t="array" ref="AK20:AK20">IFERROR( (MEDIAN((IF(DATOS_[[Sexo]:[Sexo]]=$B20,IF(DATOS_[[AGRUP. CLAS. PROF.]:[AGRUP. CLAS. PROF.]]=$B18,IF(DATOS_[[Check Periodo Ref.]:[Check Periodo Ref.]]="Dentro",IF(DATOS_[[Check Equiparado]:[Check Equiparado]]="Sí",IF(DATOS!BF$4="Sí",(1/DATOS_[[% anualiz]:[% anualiz]]),1)*IF(DATOS!BF$5="Sí",1/DATOS_[[% normaliz]:[% normaliz]],1)*(DATOS_[Conc.Sal.28])))))))), 0)</f>
        <v>0</v>
      </c>
      <c r="AL20" s="250" t="n">
        <f aca="false" t="array" ref="AL20:AL20">IFERROR( (MEDIAN((IF(DATOS_[[Sexo]:[Sexo]]=$B20,IF(DATOS_[[AGRUP. CLAS. PROF.]:[AGRUP. CLAS. PROF.]]=$B18,IF(DATOS_[[Check Periodo Ref.]:[Check Periodo Ref.]]="Dentro",IF(DATOS_[[Check Equiparado]:[Check Equiparado]]="Sí",IF(DATOS!BG$4="Sí",(1/DATOS_[[% anualiz]:[% anualiz]]),1)*IF(DATOS!BG$5="Sí",1/DATOS_[[% normaliz]:[% normaliz]],1)*(DATOS_[Conc.Sal.29])))))))), 0)</f>
        <v>0</v>
      </c>
      <c r="AM20" s="250" t="n">
        <f aca="false" t="array" ref="AM20:AM20">IFERROR( (MEDIAN((IF(DATOS_[[Sexo]:[Sexo]]=$B20,IF(DATOS_[[AGRUP. CLAS. PROF.]:[AGRUP. CLAS. PROF.]]=$B18,IF(DATOS_[[Check Periodo Ref.]:[Check Periodo Ref.]]="Dentro",IF(DATOS_[[Check Equiparado]:[Check Equiparado]]="Sí",IF(DATOS!BH$4="Sí",(1/DATOS_[[% anualiz]:[% anualiz]]),1)*IF(DATOS!BH$5="Sí",1/DATOS_[[% normaliz]:[% normaliz]],1)*(DATOS_[Conc.Sal.30])))))))), 0)</f>
        <v>0</v>
      </c>
      <c r="AN20" s="251" t="n">
        <f aca="false" t="array" ref="AN20:AN20">IFERROR( MEDIAN(IF(DATOS_[Sexo]=$B20,IF(DATOS_[[AGRUP. CLAS. PROF.]:[AGRUP. CLAS. PROF.]]=$B18,IF(DATOS_[Check Equiparado]="Sí",IF(DATOS_[Check Periodo Ref.]="Dentro",DATOS_[Tot COMPL.SAL Eq],0))))), 0)</f>
        <v>0</v>
      </c>
      <c r="AO20" s="252" t="n">
        <f aca="false" t="array" ref="AO20:AO20">IFERROR( MEDIAN(IF(DATOS_[Sexo]=$B20,IF(DATOS_[[AGRUP. CLAS. PROF.]:[AGRUP. CLAS. PROF.]]=$B18,IF(DATOS_[Check Equiparado]="Sí",IF(DATOS_[Check Periodo Ref.]="Dentro",DATOS_[TOTAL SALARIO Eq],0))))), 0)</f>
        <v>0</v>
      </c>
      <c r="AP20" s="259" t="n">
        <f aca="false" t="array" ref="AP20:AP20">IFERROR( (MEDIAN((IF(DATOS_[[Sexo]:[Sexo]]=$B20,IF(DATOS_[[AGRUP. CLAS. PROF.]:[AGRUP. CLAS. PROF.]]=$B19,IF(DATOS_[[Check Periodo Ref.]:[Check Periodo Ref.]]="Dentro",IF(DATOS_[[Check Equiparado]:[Check Equiparado]]="Sí",IF(DATOS!BI$4="Sí",(1/DATOS_[[% anualiz]:[% anualiz]]),1)*IF(DATOS!BI$5="Sí",1/DATOS_[[% normaliz]:[% normaliz]],1)*(DATOS_[C.Extra.01])))))))), 0)</f>
        <v>0</v>
      </c>
      <c r="AQ20" s="259" t="n">
        <f aca="false" t="array" ref="AQ20:AQ20">IFERROR( (MEDIAN((IF(DATOS_[[Sexo]:[Sexo]]=$B20,IF(DATOS_[[AGRUP. CLAS. PROF.]:[AGRUP. CLAS. PROF.]]=$B19,IF(DATOS_[[Check Periodo Ref.]:[Check Periodo Ref.]]="Dentro",IF(DATOS_[[Check Equiparado]:[Check Equiparado]]="Sí",IF(DATOS!BJ$4="Sí",(1/DATOS_[[% anualiz]:[% anualiz]]),1)*IF(DATOS!BJ$5="Sí",1/DATOS_[[% normaliz]:[% normaliz]],1)*(DATOS_[C.Extra.02])))))))), 0)</f>
        <v>0</v>
      </c>
      <c r="AR20" s="259" t="n">
        <f aca="false" t="array" ref="AR20:AR20">IFERROR( (MEDIAN((IF(DATOS_[[Sexo]:[Sexo]]=$B20,IF(DATOS_[[AGRUP. CLAS. PROF.]:[AGRUP. CLAS. PROF.]]=$B19,IF(DATOS_[[Check Periodo Ref.]:[Check Periodo Ref.]]="Dentro",IF(DATOS_[[Check Equiparado]:[Check Equiparado]]="Sí",IF(DATOS!BK$4="Sí",(1/DATOS_[[% anualiz]:[% anualiz]]),1)*IF(DATOS!BK$5="Sí",1/DATOS_[[% normaliz]:[% normaliz]],1)*(DATOS_[C.Extra.03])))))))), 0)</f>
        <v>0</v>
      </c>
      <c r="AS20" s="259" t="n">
        <f aca="false" t="array" ref="AS20:AS20">IFERROR( (MEDIAN((IF(DATOS_[[Sexo]:[Sexo]]=$B20,IF(DATOS_[[AGRUP. CLAS. PROF.]:[AGRUP. CLAS. PROF.]]=$B19,IF(DATOS_[[Check Periodo Ref.]:[Check Periodo Ref.]]="Dentro",IF(DATOS_[[Check Equiparado]:[Check Equiparado]]="Sí",IF(DATOS!BL$4="Sí",(1/DATOS_[[% anualiz]:[% anualiz]]),1)*IF(DATOS!BL$5="Sí",1/DATOS_[[% normaliz]:[% normaliz]],1)*(DATOS_[C.Extra.04])))))))), 0)</f>
        <v>0</v>
      </c>
      <c r="AT20" s="259" t="n">
        <f aca="false" t="array" ref="AT20:AT20">IFERROR( (MEDIAN((IF(DATOS_[[Sexo]:[Sexo]]=$B20,IF(DATOS_[[AGRUP. CLAS. PROF.]:[AGRUP. CLAS. PROF.]]=$B19,IF(DATOS_[[Check Periodo Ref.]:[Check Periodo Ref.]]="Dentro",IF(DATOS_[[Check Equiparado]:[Check Equiparado]]="Sí",IF(DATOS!BM$4="Sí",(1/DATOS_[[% anualiz]:[% anualiz]]),1)*IF(DATOS!BM$5="Sí",1/DATOS_[[% normaliz]:[% normaliz]],1)*(DATOS_[C.Extra.05])))))))), 0)</f>
        <v>0</v>
      </c>
      <c r="AU20" s="254" t="n">
        <f aca="false" t="array" ref="AU20:AU20">IFERROR( MEDIAN(IF(DATOS_[Sexo]=$B20,IF(DATOS_[[AGRUP. CLAS. PROF.]:[AGRUP. CLAS. PROF.]]=$B18,IF(DATOS_[Check Equiparado]="Sí",IF(DATOS_[Check Periodo Ref.]="Dentro",DATOS_[Tot Extrasalarial Eq],0))))), 0)</f>
        <v>0</v>
      </c>
      <c r="AV20" s="255" t="n">
        <f aca="false" t="array" ref="AV20:AV20">IFERROR( MEDIAN(IF(DATOS_[Sexo]=$B20,IF(DATOS_[[AGRUP. CLAS. PROF.]:[AGRUP. CLAS. PROF.]]=$B18,IF(DATOS_[Check Equiparado]="Sí",IF(DATOS_[Check Periodo Ref.]="Dentro",DATOS_[TOTAL Retrib Eq],0))))), 0)</f>
        <v>0</v>
      </c>
    </row>
    <row r="21" customFormat="false" ht="15.75" hidden="false" customHeight="false" outlineLevel="0" collapsed="false">
      <c r="A21" s="217" t="str">
        <f aca="false">+A22</f>
        <v>[ocultar]</v>
      </c>
      <c r="B21" s="320" t="s">
        <v>177</v>
      </c>
      <c r="C21" s="236"/>
      <c r="D21" s="237"/>
      <c r="E21" s="237"/>
      <c r="F21" s="237"/>
      <c r="G21" s="237"/>
      <c r="H21" s="237"/>
      <c r="I21" s="238"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39" t="str">
        <f aca="false">IFERROR((V22-V23)/V22,"")</f>
        <v/>
      </c>
      <c r="W21" s="239" t="str">
        <f aca="false">IFERROR((W22-W23)/W22,"")</f>
        <v/>
      </c>
      <c r="X21" s="239" t="str">
        <f aca="false">IFERROR((X22-X23)/X22,"")</f>
        <v/>
      </c>
      <c r="Y21" s="239"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0" t="str">
        <f aca="false">IFERROR((AJ22-AJ23)/AJ22,"")</f>
        <v/>
      </c>
      <c r="AK21" s="240" t="str">
        <f aca="false">IFERROR((AK22-AK23)/AK22,"")</f>
        <v/>
      </c>
      <c r="AL21" s="240" t="str">
        <f aca="false">IFERROR((AL22-AL23)/AL22,"")</f>
        <v/>
      </c>
      <c r="AM21" s="240" t="str">
        <f aca="false">IFERROR((AM22-AM23)/AM22,"")</f>
        <v/>
      </c>
      <c r="AN21" s="241" t="str">
        <f aca="false">IFERROR((AN22-AN23)/AN22,"")</f>
        <v/>
      </c>
      <c r="AO21" s="242" t="str">
        <f aca="false">IFERROR((AO22-AO23)/AO22,"")</f>
        <v/>
      </c>
      <c r="AP21" s="243" t="str">
        <f aca="false">IFERROR((AP22-AP23)/AP22,"")</f>
        <v/>
      </c>
      <c r="AQ21" s="243" t="str">
        <f aca="false">IFERROR((AQ22-AQ23)/AQ22,"")</f>
        <v/>
      </c>
      <c r="AR21" s="243" t="str">
        <f aca="false">IFERROR((AR22-AR23)/AR22,"")</f>
        <v/>
      </c>
      <c r="AS21" s="243" t="str">
        <f aca="false">IFERROR((AS22-AS23)/AS22,"")</f>
        <v/>
      </c>
      <c r="AT21" s="243" t="str">
        <f aca="false">IFERROR((AT22-AT23)/AT22,"")</f>
        <v/>
      </c>
      <c r="AU21" s="244" t="str">
        <f aca="false">IFERROR((AU22-AU23)/AU22,"")</f>
        <v/>
      </c>
      <c r="AV21" s="245" t="str">
        <f aca="false">IFERROR((AV22-AV23)/AV22,"")</f>
        <v/>
      </c>
    </row>
    <row r="22" customFormat="false" ht="14.25" hidden="false" customHeight="false" outlineLevel="0" collapsed="false">
      <c r="A22" s="217" t="str">
        <f aca="false">+IF(C22+C23=0,"[ocultar]","")</f>
        <v>[ocultar]</v>
      </c>
      <c r="B22" s="323" t="s">
        <v>371</v>
      </c>
      <c r="C22" s="247" t="n">
        <f aca="false" t="array" ref="C22:C22">SUM(IF($B22=DATOS_[Sexo], IF($B21=DATOS_[AGRUP. CLAS. PROF.], IF("Dentro"=DATOS_[Check Periodo Ref.], 1/(COUNTIFS(DATOS_[Sexo],$B22,DATOS_[AGRUP. CLAS. PROF.],$B21,DATOS_[Check Periodo Ref.],"Dentro",DATOS_[id],DATOS_[id]))))))</f>
        <v>0</v>
      </c>
      <c r="D22" s="248" t="n">
        <f aca="false">COUNTIFS(DATOS_[AGRUP. CLAS. PROF.],$B21,DATOS_[Sexo],$B22,DATOS_[Check Periodo Ref.],"Dentro")</f>
        <v>0</v>
      </c>
      <c r="E22" s="248" t="n">
        <f aca="false">COUNTIFS(DATOS_[AGRUP. CLAS. PROF.],$B21,DATOS_[Sexo],$B22,DATOS_[Check Periodo Ref.],"Dentro",DATOS_[Check Nº SC Norm],"Sí")</f>
        <v>0</v>
      </c>
      <c r="F22" s="248" t="n">
        <f aca="false">COUNTIFS(DATOS_[AGRUP. CLAS. PROF.],$B21,DATOS_[Sexo],$B22,DATOS_[Check Periodo Ref.],"Dentro",DATOS_[Check Nº SC Anualiz],"Sí")</f>
        <v>0</v>
      </c>
      <c r="G22" s="248" t="n">
        <f aca="false">COUNTIFS(DATOS_[AGRUP. CLAS. PROF.],$B21,DATOS_[Sexo],$B22,DATOS_[Check Periodo Ref.],"Dentro",DATOS_[Check Nº SC Norm y Anualiz],"Sí")</f>
        <v>0</v>
      </c>
      <c r="H22" s="248" t="n">
        <f aca="false">COUNTIFS(DATOS_[AGRUP. CLAS. PROF.],$B21,DATOS_[Sexo],$B22,DATOS_[Check Periodo Ref.],"Dentro",DATOS_[Check Equiparación],"Sí")</f>
        <v>0</v>
      </c>
      <c r="I22" s="249" t="n">
        <f aca="false" t="array" ref="I22:I22">IFERROR( MEDIAN(IF(DATOS_[Sexo]=$B22,IF(DATOS_[[AGRUP. CLAS. PROF.]:[AGRUP. CLAS. PROF.]]=$B21,IF(DATOS_[Check Equiparado]="Sí",IF(DATOS_[Check Periodo Ref.]="Dentro",DATOS_[SALARIO BASE Eq],0))))), 0)</f>
        <v>0</v>
      </c>
      <c r="J22" s="250" t="n">
        <f aca="false" t="array" ref="J22:J22">IFERROR( (MEDIAN((IF(DATOS_[[Sexo]:[Sexo]]=$B22,IF(DATOS_[[AGRUP. CLAS. PROF.]:[AGRUP. CLAS. PROF.]]=$B21,IF(DATOS_[[Check Periodo Ref.]:[Check Periodo Ref.]]="Dentro",IF(DATOS_[[Check Equiparado]:[Check Equiparado]]="Sí",IF(DATOS!AE$4="Sí",(1/DATOS_[[% anualiz]:[% anualiz]]),1)*IF(DATOS!AE$5="Sí",1/DATOS_[[% normaliz]:[% normaliz]],1)*(DATOS_[Conc.Sal.01])))))))), 0)</f>
        <v>0</v>
      </c>
      <c r="K22" s="250" t="n">
        <f aca="false" t="array" ref="K22:K22">IFERROR( (MEDIAN((IF(DATOS_[[Sexo]:[Sexo]]=$B22,IF(DATOS_[[AGRUP. CLAS. PROF.]:[AGRUP. CLAS. PROF.]]=$B21,IF(DATOS_[[Check Periodo Ref.]:[Check Periodo Ref.]]="Dentro",IF(DATOS_[[Check Equiparado]:[Check Equiparado]]="Sí",IF(DATOS!AF$4="Sí",(1/DATOS_[[% anualiz]:[% anualiz]]),1)*IF(DATOS!AF$5="Sí",1/DATOS_[[% normaliz]:[% normaliz]],1)*(DATOS_[Conc.Sal.02])))))))), 0)</f>
        <v>0</v>
      </c>
      <c r="L22" s="250" t="n">
        <f aca="false" t="array" ref="L22:L22">IFERROR( (MEDIAN((IF(DATOS_[[Sexo]:[Sexo]]=$B22,IF(DATOS_[[AGRUP. CLAS. PROF.]:[AGRUP. CLAS. PROF.]]=$B21,IF(DATOS_[[Check Periodo Ref.]:[Check Periodo Ref.]]="Dentro",IF(DATOS_[[Check Equiparado]:[Check Equiparado]]="Sí",IF(DATOS!AG$4="Sí",(1/DATOS_[[% anualiz]:[% anualiz]]),1)*IF(DATOS!AG$5="Sí",1/DATOS_[[% normaliz]:[% normaliz]],1)*(DATOS_[Conc.Sal.03])))))))), 0)</f>
        <v>0</v>
      </c>
      <c r="M22" s="250" t="n">
        <f aca="false" t="array" ref="M22:M22">IFERROR( (MEDIAN((IF(DATOS_[[Sexo]:[Sexo]]=$B22,IF(DATOS_[[AGRUP. CLAS. PROF.]:[AGRUP. CLAS. PROF.]]=$B21,IF(DATOS_[[Check Periodo Ref.]:[Check Periodo Ref.]]="Dentro",IF(DATOS_[[Check Equiparado]:[Check Equiparado]]="Sí",IF(DATOS!AH$4="Sí",(1/DATOS_[[% anualiz]:[% anualiz]]),1)*IF(DATOS!AH$5="Sí",1/DATOS_[[% normaliz]:[% normaliz]],1)*(DATOS_[Conc.Sal.04])))))))), 0)</f>
        <v>0</v>
      </c>
      <c r="N22" s="250" t="n">
        <f aca="false" t="array" ref="N22:N22">IFERROR( (MEDIAN((IF(DATOS_[[Sexo]:[Sexo]]=$B22,IF(DATOS_[[AGRUP. CLAS. PROF.]:[AGRUP. CLAS. PROF.]]=$B21,IF(DATOS_[[Check Periodo Ref.]:[Check Periodo Ref.]]="Dentro",IF(DATOS_[[Check Equiparado]:[Check Equiparado]]="Sí",IF(DATOS!AI$4="Sí",(1/DATOS_[[% anualiz]:[% anualiz]]),1)*IF(DATOS!AI$5="Sí",1/DATOS_[[% normaliz]:[% normaliz]],1)*(DATOS_[Conc.Sal.05])))))))), 0)</f>
        <v>0</v>
      </c>
      <c r="O22" s="250" t="n">
        <f aca="false" t="array" ref="O22:O22">IFERROR( (MEDIAN((IF(DATOS_[[Sexo]:[Sexo]]=$B22,IF(DATOS_[[AGRUP. CLAS. PROF.]:[AGRUP. CLAS. PROF.]]=$B21,IF(DATOS_[[Check Periodo Ref.]:[Check Periodo Ref.]]="Dentro",IF(DATOS_[[Check Equiparado]:[Check Equiparado]]="Sí",IF(DATOS!AJ$4="Sí",(1/DATOS_[[% anualiz]:[% anualiz]]),1)*IF(DATOS!AJ$5="Sí",1/DATOS_[[% normaliz]:[% normaliz]],1)*(DATOS_[Conc.Sal.06])))))))), 0)</f>
        <v>0</v>
      </c>
      <c r="P22" s="250" t="n">
        <f aca="false" t="array" ref="P22:P22">IFERROR( (MEDIAN((IF(DATOS_[[Sexo]:[Sexo]]=$B22,IF(DATOS_[[AGRUP. CLAS. PROF.]:[AGRUP. CLAS. PROF.]]=$B21,IF(DATOS_[[Check Periodo Ref.]:[Check Periodo Ref.]]="Dentro",IF(DATOS_[[Check Equiparado]:[Check Equiparado]]="Sí",IF(DATOS!AK$4="Sí",(1/DATOS_[[% anualiz]:[% anualiz]]),1)*IF(DATOS!AK$5="Sí",1/DATOS_[[% normaliz]:[% normaliz]],1)*(DATOS_[Conc.Sal.07])))))))), 0)</f>
        <v>0</v>
      </c>
      <c r="Q22" s="250" t="n">
        <f aca="false" t="array" ref="Q22:Q22">IFERROR( (MEDIAN((IF(DATOS_[[Sexo]:[Sexo]]=$B22,IF(DATOS_[[AGRUP. CLAS. PROF.]:[AGRUP. CLAS. PROF.]]=$B21,IF(DATOS_[[Check Periodo Ref.]:[Check Periodo Ref.]]="Dentro",IF(DATOS_[[Check Equiparado]:[Check Equiparado]]="Sí",IF(DATOS!AL$4="Sí",(1/DATOS_[[% anualiz]:[% anualiz]]),1)*IF(DATOS!AL$5="Sí",1/DATOS_[[% normaliz]:[% normaliz]],1)*(DATOS_[Conc.Sal.08])))))))), 0)</f>
        <v>0</v>
      </c>
      <c r="R22" s="250" t="n">
        <f aca="false" t="array" ref="R22:R22">IFERROR( (MEDIAN((IF(DATOS_[[Sexo]:[Sexo]]=$B22,IF(DATOS_[[AGRUP. CLAS. PROF.]:[AGRUP. CLAS. PROF.]]=$B21,IF(DATOS_[[Check Periodo Ref.]:[Check Periodo Ref.]]="Dentro",IF(DATOS_[[Check Equiparado]:[Check Equiparado]]="Sí",IF(DATOS!AM$4="Sí",(1/DATOS_[[% anualiz]:[% anualiz]]),1)*IF(DATOS!AM$5="Sí",1/DATOS_[[% normaliz]:[% normaliz]],1)*(DATOS_[Conc.Sal.09])))))))), 0)</f>
        <v>0</v>
      </c>
      <c r="S22" s="250" t="n">
        <f aca="false" t="array" ref="S22:S22">IFERROR( (MEDIAN((IF(DATOS_[[Sexo]:[Sexo]]=$B22,IF(DATOS_[[AGRUP. CLAS. PROF.]:[AGRUP. CLAS. PROF.]]=$B21,IF(DATOS_[[Check Periodo Ref.]:[Check Periodo Ref.]]="Dentro",IF(DATOS_[[Check Equiparado]:[Check Equiparado]]="Sí",IF(DATOS!AN$4="Sí",(1/DATOS_[[% anualiz]:[% anualiz]]),1)*IF(DATOS!AN$5="Sí",1/DATOS_[[% normaliz]:[% normaliz]],1)*(DATOS_[Conc.Sal.10])))))))), 0)</f>
        <v>0</v>
      </c>
      <c r="T22" s="250" t="n">
        <f aca="false" t="array" ref="T22:T22">IFERROR( (MEDIAN((IF(DATOS_[[Sexo]:[Sexo]]=$B22,IF(DATOS_[[AGRUP. CLAS. PROF.]:[AGRUP. CLAS. PROF.]]=$B21,IF(DATOS_[[Check Periodo Ref.]:[Check Periodo Ref.]]="Dentro",IF(DATOS_[[Check Equiparado]:[Check Equiparado]]="Sí",IF(DATOS!AO$4="Sí",(1/DATOS_[[% anualiz]:[% anualiz]]),1)*IF(DATOS!AO$5="Sí",1/DATOS_[[% normaliz]:[% normaliz]],1)*(DATOS_[Conc.Sal.11])))))))), 0)</f>
        <v>0</v>
      </c>
      <c r="U22" s="250" t="n">
        <f aca="false" t="array" ref="U22:U22">IFERROR( (MEDIAN((IF(DATOS_[[Sexo]:[Sexo]]=$B22,IF(DATOS_[[AGRUP. CLAS. PROF.]:[AGRUP. CLAS. PROF.]]=$B21,IF(DATOS_[[Check Periodo Ref.]:[Check Periodo Ref.]]="Dentro",IF(DATOS_[[Check Equiparado]:[Check Equiparado]]="Sí",IF(DATOS!AP$4="Sí",(1/DATOS_[[% anualiz]:[% anualiz]]),1)*IF(DATOS!AP$5="Sí",1/DATOS_[[% normaliz]:[% normaliz]],1)*(DATOS_[Conc.Sal.12])))))))), 0)</f>
        <v>0</v>
      </c>
      <c r="V22" s="250" t="n">
        <f aca="false" t="array" ref="V22:V22">IFERROR( (MEDIAN((IF(DATOS_[[Sexo]:[Sexo]]=$B22,IF(DATOS_[[AGRUP. CLAS. PROF.]:[AGRUP. CLAS. PROF.]]=$B21,IF(DATOS_[[Check Periodo Ref.]:[Check Periodo Ref.]]="Dentro",IF(DATOS_[[Check Equiparado]:[Check Equiparado]]="Sí",IF(DATOS!AQ$4="Sí",(1/DATOS_[[% anualiz]:[% anualiz]]),1)*IF(DATOS!AQ$5="Sí",1/DATOS_[[% normaliz]:[% normaliz]],1)*(DATOS_[Conc.Sal.13])))))))), 0)</f>
        <v>0</v>
      </c>
      <c r="W22" s="250" t="n">
        <f aca="false" t="array" ref="W22:W22">IFERROR( (MEDIAN((IF(DATOS_[[Sexo]:[Sexo]]=$B22,IF(DATOS_[[AGRUP. CLAS. PROF.]:[AGRUP. CLAS. PROF.]]=$B21,IF(DATOS_[[Check Periodo Ref.]:[Check Periodo Ref.]]="Dentro",IF(DATOS_[[Check Equiparado]:[Check Equiparado]]="Sí",IF(DATOS!AR$4="Sí",(1/DATOS_[[% anualiz]:[% anualiz]]),1)*IF(DATOS!AR$5="Sí",1/DATOS_[[% normaliz]:[% normaliz]],1)*(DATOS_[Conc.Sal.14])))))))), 0)</f>
        <v>0</v>
      </c>
      <c r="X22" s="250" t="n">
        <f aca="false" t="array" ref="X22:X22">IFERROR( (MEDIAN((IF(DATOS_[[Sexo]:[Sexo]]=$B22,IF(DATOS_[[AGRUP. CLAS. PROF.]:[AGRUP. CLAS. PROF.]]=$B21,IF(DATOS_[[Check Periodo Ref.]:[Check Periodo Ref.]]="Dentro",IF(DATOS_[[Check Equiparado]:[Check Equiparado]]="Sí",IF(DATOS!AS$4="Sí",(1/DATOS_[[% anualiz]:[% anualiz]]),1)*IF(DATOS!AS$5="Sí",1/DATOS_[[% normaliz]:[% normaliz]],1)*(DATOS_[Conc.Sal.15])))))))), 0)</f>
        <v>0</v>
      </c>
      <c r="Y22" s="250" t="n">
        <f aca="false" t="array" ref="Y22:Y22">IFERROR( (MEDIAN((IF(DATOS_[[Sexo]:[Sexo]]=$B22,IF(DATOS_[[AGRUP. CLAS. PROF.]:[AGRUP. CLAS. PROF.]]=$B21,IF(DATOS_[[Check Periodo Ref.]:[Check Periodo Ref.]]="Dentro",IF(DATOS_[[Check Equiparado]:[Check Equiparado]]="Sí",IF(DATOS!AT$4="Sí",(1/DATOS_[[% anualiz]:[% anualiz]]),1)*IF(DATOS!AT$5="Sí",1/DATOS_[[% normaliz]:[% normaliz]],1)*(DATOS_[Conc.Sal.16])))))))), 0)</f>
        <v>0</v>
      </c>
      <c r="Z22" s="250" t="n">
        <f aca="false" t="array" ref="Z22:Z22">IFERROR( (MEDIAN((IF(DATOS_[[Sexo]:[Sexo]]=$B22,IF(DATOS_[[AGRUP. CLAS. PROF.]:[AGRUP. CLAS. PROF.]]=$B21,IF(DATOS_[[Check Periodo Ref.]:[Check Periodo Ref.]]="Dentro",IF(DATOS_[[Check Equiparado]:[Check Equiparado]]="Sí",IF(DATOS!AU$4="Sí",(1/DATOS_[[% anualiz]:[% anualiz]]),1)*IF(DATOS!AU$5="Sí",1/DATOS_[[% normaliz]:[% normaliz]],1)*(DATOS_[Conc.Sal.17])))))))), 0)</f>
        <v>0</v>
      </c>
      <c r="AA22" s="250" t="n">
        <f aca="false" t="array" ref="AA22:AA22">IFERROR( (MEDIAN((IF(DATOS_[[Sexo]:[Sexo]]=$B22,IF(DATOS_[[AGRUP. CLAS. PROF.]:[AGRUP. CLAS. PROF.]]=$B21,IF(DATOS_[[Check Periodo Ref.]:[Check Periodo Ref.]]="Dentro",IF(DATOS_[[Check Equiparado]:[Check Equiparado]]="Sí",IF(DATOS!AV$4="Sí",(1/DATOS_[[% anualiz]:[% anualiz]]),1)*IF(DATOS!AV$5="Sí",1/DATOS_[[% normaliz]:[% normaliz]],1)*(DATOS_[Conc.Sal.18])))))))), 0)</f>
        <v>0</v>
      </c>
      <c r="AB22" s="250" t="n">
        <f aca="false" t="array" ref="AB22:AB22">IFERROR( (MEDIAN((IF(DATOS_[[Sexo]:[Sexo]]=$B22,IF(DATOS_[[AGRUP. CLAS. PROF.]:[AGRUP. CLAS. PROF.]]=$B21,IF(DATOS_[[Check Periodo Ref.]:[Check Periodo Ref.]]="Dentro",IF(DATOS_[[Check Equiparado]:[Check Equiparado]]="Sí",IF(DATOS!AW$4="Sí",(1/DATOS_[[% anualiz]:[% anualiz]]),1)*IF(DATOS!AW$5="Sí",1/DATOS_[[% normaliz]:[% normaliz]],1)*(DATOS_[Conc.Sal.19])))))))), 0)</f>
        <v>0</v>
      </c>
      <c r="AC22" s="250" t="n">
        <f aca="false" t="array" ref="AC22:AC22">IFERROR( (MEDIAN((IF(DATOS_[[Sexo]:[Sexo]]=$B22,IF(DATOS_[[AGRUP. CLAS. PROF.]:[AGRUP. CLAS. PROF.]]=$B21,IF(DATOS_[[Check Periodo Ref.]:[Check Periodo Ref.]]="Dentro",IF(DATOS_[[Check Equiparado]:[Check Equiparado]]="Sí",IF(DATOS!AX$4="Sí",(1/DATOS_[[% anualiz]:[% anualiz]]),1)*IF(DATOS!AX$5="Sí",1/DATOS_[[% normaliz]:[% normaliz]],1)*(DATOS_[Conc.Sal.20])))))))), 0)</f>
        <v>0</v>
      </c>
      <c r="AD22" s="250" t="n">
        <f aca="false" t="array" ref="AD22:AD22">IFERROR( (MEDIAN((IF(DATOS_[[Sexo]:[Sexo]]=$B22,IF(DATOS_[[AGRUP. CLAS. PROF.]:[AGRUP. CLAS. PROF.]]=$B21,IF(DATOS_[[Check Periodo Ref.]:[Check Periodo Ref.]]="Dentro",IF(DATOS_[[Check Equiparado]:[Check Equiparado]]="Sí",IF(DATOS!AY$4="Sí",(1/DATOS_[[% anualiz]:[% anualiz]]),1)*IF(DATOS!AY$5="Sí",1/DATOS_[[% normaliz]:[% normaliz]],1)*(DATOS_[Conc.Sal.21])))))))), 0)</f>
        <v>0</v>
      </c>
      <c r="AE22" s="250" t="n">
        <f aca="false" t="array" ref="AE22:AE22">IFERROR( (MEDIAN((IF(DATOS_[[Sexo]:[Sexo]]=$B22,IF(DATOS_[[AGRUP. CLAS. PROF.]:[AGRUP. CLAS. PROF.]]=$B21,IF(DATOS_[[Check Periodo Ref.]:[Check Periodo Ref.]]="Dentro",IF(DATOS_[[Check Equiparado]:[Check Equiparado]]="Sí",IF(DATOS!AZ$4="Sí",(1/DATOS_[[% anualiz]:[% anualiz]]),1)*IF(DATOS!AZ$5="Sí",1/DATOS_[[% normaliz]:[% normaliz]],1)*(DATOS_[Conc.Sal.22])))))))), 0)</f>
        <v>0</v>
      </c>
      <c r="AF22" s="250" t="n">
        <f aca="false" t="array" ref="AF22:AF22">IFERROR( (MEDIAN((IF(DATOS_[[Sexo]:[Sexo]]=$B22,IF(DATOS_[[AGRUP. CLAS. PROF.]:[AGRUP. CLAS. PROF.]]=$B21,IF(DATOS_[[Check Periodo Ref.]:[Check Periodo Ref.]]="Dentro",IF(DATOS_[[Check Equiparado]:[Check Equiparado]]="Sí",IF(DATOS!BA$4="Sí",(1/DATOS_[[% anualiz]:[% anualiz]]),1)*IF(DATOS!BA$5="Sí",1/DATOS_[[% normaliz]:[% normaliz]],1)*(DATOS_[Conc.Sal.23])))))))), 0)</f>
        <v>0</v>
      </c>
      <c r="AG22" s="250" t="n">
        <f aca="false" t="array" ref="AG22:AG22">IFERROR( (MEDIAN((IF(DATOS_[[Sexo]:[Sexo]]=$B22,IF(DATOS_[[AGRUP. CLAS. PROF.]:[AGRUP. CLAS. PROF.]]=$B21,IF(DATOS_[[Check Periodo Ref.]:[Check Periodo Ref.]]="Dentro",IF(DATOS_[[Check Equiparado]:[Check Equiparado]]="Sí",IF(DATOS!BB$4="Sí",(1/DATOS_[[% anualiz]:[% anualiz]]),1)*IF(DATOS!BB$5="Sí",1/DATOS_[[% normaliz]:[% normaliz]],1)*(DATOS_[Conc.Sal.24])))))))), 0)</f>
        <v>0</v>
      </c>
      <c r="AH22" s="250" t="n">
        <f aca="false" t="array" ref="AH22:AH22">IFERROR( (MEDIAN((IF(DATOS_[[Sexo]:[Sexo]]=$B22,IF(DATOS_[[AGRUP. CLAS. PROF.]:[AGRUP. CLAS. PROF.]]=$B21,IF(DATOS_[[Check Periodo Ref.]:[Check Periodo Ref.]]="Dentro",IF(DATOS_[[Check Equiparado]:[Check Equiparado]]="Sí",IF(DATOS!BC$4="Sí",(1/DATOS_[[% anualiz]:[% anualiz]]),1)*IF(DATOS!BC$5="Sí",1/DATOS_[[% normaliz]:[% normaliz]],1)*(DATOS_[Conc.Sal.25])))))))), 0)</f>
        <v>0</v>
      </c>
      <c r="AI22" s="250" t="n">
        <f aca="false" t="array" ref="AI22:AI22">IFERROR( (MEDIAN((IF(DATOS_[[Sexo]:[Sexo]]=$B22,IF(DATOS_[[AGRUP. CLAS. PROF.]:[AGRUP. CLAS. PROF.]]=$B21,IF(DATOS_[[Check Periodo Ref.]:[Check Periodo Ref.]]="Dentro",IF(DATOS_[[Check Equiparado]:[Check Equiparado]]="Sí",IF(DATOS!BD$4="Sí",(1/DATOS_[[% anualiz]:[% anualiz]]),1)*IF(DATOS!BD$5="Sí",1/DATOS_[[% normaliz]:[% normaliz]],1)*(DATOS_[Conc.Sal.26])))))))), 0)</f>
        <v>0</v>
      </c>
      <c r="AJ22" s="250" t="n">
        <f aca="false" t="array" ref="AJ22:AJ22">IFERROR( (MEDIAN((IF(DATOS_[[Sexo]:[Sexo]]=$B22,IF(DATOS_[[AGRUP. CLAS. PROF.]:[AGRUP. CLAS. PROF.]]=$B21,IF(DATOS_[[Check Periodo Ref.]:[Check Periodo Ref.]]="Dentro",IF(DATOS_[[Check Equiparado]:[Check Equiparado]]="Sí",IF(DATOS!BE$4="Sí",(1/DATOS_[[% anualiz]:[% anualiz]]),1)*IF(DATOS!BE$5="Sí",1/DATOS_[[% normaliz]:[% normaliz]],1)*(DATOS_[Conc.Sal.27])))))))), 0)</f>
        <v>0</v>
      </c>
      <c r="AK22" s="250" t="n">
        <f aca="false" t="array" ref="AK22:AK22">IFERROR( (MEDIAN((IF(DATOS_[[Sexo]:[Sexo]]=$B22,IF(DATOS_[[AGRUP. CLAS. PROF.]:[AGRUP. CLAS. PROF.]]=$B21,IF(DATOS_[[Check Periodo Ref.]:[Check Periodo Ref.]]="Dentro",IF(DATOS_[[Check Equiparado]:[Check Equiparado]]="Sí",IF(DATOS!BF$4="Sí",(1/DATOS_[[% anualiz]:[% anualiz]]),1)*IF(DATOS!BF$5="Sí",1/DATOS_[[% normaliz]:[% normaliz]],1)*(DATOS_[Conc.Sal.28])))))))), 0)</f>
        <v>0</v>
      </c>
      <c r="AL22" s="250" t="n">
        <f aca="false" t="array" ref="AL22:AL22">IFERROR( (MEDIAN((IF(DATOS_[[Sexo]:[Sexo]]=$B22,IF(DATOS_[[AGRUP. CLAS. PROF.]:[AGRUP. CLAS. PROF.]]=$B21,IF(DATOS_[[Check Periodo Ref.]:[Check Periodo Ref.]]="Dentro",IF(DATOS_[[Check Equiparado]:[Check Equiparado]]="Sí",IF(DATOS!BG$4="Sí",(1/DATOS_[[% anualiz]:[% anualiz]]),1)*IF(DATOS!BG$5="Sí",1/DATOS_[[% normaliz]:[% normaliz]],1)*(DATOS_[Conc.Sal.29])))))))), 0)</f>
        <v>0</v>
      </c>
      <c r="AM22" s="250" t="n">
        <f aca="false" t="array" ref="AM22:AM22">IFERROR( (MEDIAN((IF(DATOS_[[Sexo]:[Sexo]]=$B22,IF(DATOS_[[AGRUP. CLAS. PROF.]:[AGRUP. CLAS. PROF.]]=$B21,IF(DATOS_[[Check Periodo Ref.]:[Check Periodo Ref.]]="Dentro",IF(DATOS_[[Check Equiparado]:[Check Equiparado]]="Sí",IF(DATOS!BH$4="Sí",(1/DATOS_[[% anualiz]:[% anualiz]]),1)*IF(DATOS!BH$5="Sí",1/DATOS_[[% normaliz]:[% normaliz]],1)*(DATOS_[Conc.Sal.30])))))))), 0)</f>
        <v>0</v>
      </c>
      <c r="AN22" s="251" t="n">
        <f aca="false" t="array" ref="AN22:AN22">IFERROR( MEDIAN(IF(DATOS_[Sexo]=$B22,IF(DATOS_[[AGRUP. CLAS. PROF.]:[AGRUP. CLAS. PROF.]]=$B21,IF(DATOS_[Check Equiparado]="Sí",IF(DATOS_[Check Periodo Ref.]="Dentro",DATOS_[Tot COMPL.SAL Eq],0))))), 0)</f>
        <v>0</v>
      </c>
      <c r="AO22" s="252" t="n">
        <f aca="false" t="array" ref="AO22:AO22">IFERROR( MEDIAN(IF(DATOS_[Sexo]=$B22,IF(DATOS_[[AGRUP. CLAS. PROF.]:[AGRUP. CLAS. PROF.]]=$B21,IF(DATOS_[Check Equiparado]="Sí",IF(DATOS_[Check Periodo Ref.]="Dentro",DATOS_[TOTAL SALARIO Eq],0))))), 0)</f>
        <v>0</v>
      </c>
      <c r="AP22" s="259" t="n">
        <f aca="false" t="array" ref="AP22:AP22">IFERROR( (MEDIAN((IF(DATOS_[[Sexo]:[Sexo]]=$B22,IF(DATOS_[[AGRUP. CLAS. PROF.]:[AGRUP. CLAS. PROF.]]=$B21,IF(DATOS_[[Check Periodo Ref.]:[Check Periodo Ref.]]="Dentro",IF(DATOS_[[Check Equiparado]:[Check Equiparado]]="Sí",IF(DATOS!BI$4="Sí",(1/DATOS_[[% anualiz]:[% anualiz]]),1)*IF(DATOS!BI$5="Sí",1/DATOS_[[% normaliz]:[% normaliz]],1)*(DATOS_[C.Extra.01])))))))), 0)</f>
        <v>0</v>
      </c>
      <c r="AQ22" s="259" t="n">
        <f aca="false" t="array" ref="AQ22:AQ22">IFERROR( (MEDIAN((IF(DATOS_[[Sexo]:[Sexo]]=$B22,IF(DATOS_[[AGRUP. CLAS. PROF.]:[AGRUP. CLAS. PROF.]]=$B21,IF(DATOS_[[Check Periodo Ref.]:[Check Periodo Ref.]]="Dentro",IF(DATOS_[[Check Equiparado]:[Check Equiparado]]="Sí",IF(DATOS!BJ$4="Sí",(1/DATOS_[[% anualiz]:[% anualiz]]),1)*IF(DATOS!BJ$5="Sí",1/DATOS_[[% normaliz]:[% normaliz]],1)*(DATOS_[C.Extra.02])))))))), 0)</f>
        <v>0</v>
      </c>
      <c r="AR22" s="259" t="n">
        <f aca="false" t="array" ref="AR22:AR22">IFERROR( (MEDIAN((IF(DATOS_[[Sexo]:[Sexo]]=$B22,IF(DATOS_[[AGRUP. CLAS. PROF.]:[AGRUP. CLAS. PROF.]]=$B21,IF(DATOS_[[Check Periodo Ref.]:[Check Periodo Ref.]]="Dentro",IF(DATOS_[[Check Equiparado]:[Check Equiparado]]="Sí",IF(DATOS!BK$4="Sí",(1/DATOS_[[% anualiz]:[% anualiz]]),1)*IF(DATOS!BK$5="Sí",1/DATOS_[[% normaliz]:[% normaliz]],1)*(DATOS_[C.Extra.03])))))))), 0)</f>
        <v>0</v>
      </c>
      <c r="AS22" s="259" t="n">
        <f aca="false" t="array" ref="AS22:AS22">IFERROR( (MEDIAN((IF(DATOS_[[Sexo]:[Sexo]]=$B22,IF(DATOS_[[AGRUP. CLAS. PROF.]:[AGRUP. CLAS. PROF.]]=$B21,IF(DATOS_[[Check Periodo Ref.]:[Check Periodo Ref.]]="Dentro",IF(DATOS_[[Check Equiparado]:[Check Equiparado]]="Sí",IF(DATOS!BL$4="Sí",(1/DATOS_[[% anualiz]:[% anualiz]]),1)*IF(DATOS!BL$5="Sí",1/DATOS_[[% normaliz]:[% normaliz]],1)*(DATOS_[C.Extra.04])))))))), 0)</f>
        <v>0</v>
      </c>
      <c r="AT22" s="259" t="n">
        <f aca="false" t="array" ref="AT22:AT22">IFERROR( (MEDIAN((IF(DATOS_[[Sexo]:[Sexo]]=$B22,IF(DATOS_[[AGRUP. CLAS. PROF.]:[AGRUP. CLAS. PROF.]]=$B21,IF(DATOS_[[Check Periodo Ref.]:[Check Periodo Ref.]]="Dentro",IF(DATOS_[[Check Equiparado]:[Check Equiparado]]="Sí",IF(DATOS!BM$4="Sí",(1/DATOS_[[% anualiz]:[% anualiz]]),1)*IF(DATOS!BM$5="Sí",1/DATOS_[[% normaliz]:[% normaliz]],1)*(DATOS_[C.Extra.05])))))))), 0)</f>
        <v>0</v>
      </c>
      <c r="AU22" s="254" t="n">
        <f aca="false" t="array" ref="AU22:AU22">IFERROR( MEDIAN(IF(DATOS_[Sexo]=$B22,IF(DATOS_[[AGRUP. CLAS. PROF.]:[AGRUP. CLAS. PROF.]]=$B21,IF(DATOS_[Check Equiparado]="Sí",IF(DATOS_[Check Periodo Ref.]="Dentro",DATOS_[Tot Extrasalarial Eq],0))))), 0)</f>
        <v>0</v>
      </c>
      <c r="AV22" s="255" t="n">
        <f aca="false" t="array" ref="AV22:AV22">IFERROR( MEDIAN(IF(DATOS_[Sexo]=$B22,IF(DATOS_[[AGRUP. CLAS. PROF.]:[AGRUP. CLAS. PROF.]]=$B21,IF(DATOS_[Check Equiparado]="Sí",IF(DATOS_[Check Periodo Ref.]="Dentro",DATOS_[TOTAL Retrib Eq],0))))), 0)</f>
        <v>0</v>
      </c>
    </row>
    <row r="23" customFormat="false" ht="14.25" hidden="false" customHeight="false" outlineLevel="0" collapsed="false">
      <c r="A23" s="217" t="str">
        <f aca="false">+A22</f>
        <v>[ocultar]</v>
      </c>
      <c r="B23" s="323" t="s">
        <v>372</v>
      </c>
      <c r="C23" s="247" t="n">
        <f aca="false" t="array" ref="C23:C23">SUM(IF($B23=DATOS_[Sexo], IF($B21=DATOS_[AGRUP. CLAS. PROF.], IF("Dentro"=DATOS_[Check Periodo Ref.], 1/(COUNTIFS(DATOS_[Sexo],$B23,DATOS_[AGRUP. CLAS. PROF.],$B21,DATOS_[Check Periodo Ref.],"Dentro",DATOS_[id],DATOS_[id]))))))</f>
        <v>0</v>
      </c>
      <c r="D23" s="248" t="n">
        <f aca="false">COUNTIFS(DATOS_[AGRUP. CLAS. PROF.],$B21,DATOS_[Sexo],$B23,DATOS_[Check Periodo Ref.],"Dentro")</f>
        <v>0</v>
      </c>
      <c r="E23" s="248" t="n">
        <f aca="false">COUNTIFS(DATOS_[AGRUP. CLAS. PROF.],$B21,DATOS_[Sexo],$B23,DATOS_[Check Periodo Ref.],"Dentro",DATOS_[Check Nº SC Norm],"Sí")</f>
        <v>0</v>
      </c>
      <c r="F23" s="248" t="n">
        <f aca="false">COUNTIFS(DATOS_[AGRUP. CLAS. PROF.],$B21,DATOS_[Sexo],$B23,DATOS_[Check Periodo Ref.],"Dentro",DATOS_[Check Nº SC Anualiz],"Sí")</f>
        <v>0</v>
      </c>
      <c r="G23" s="248" t="n">
        <f aca="false">COUNTIFS(DATOS_[AGRUP. CLAS. PROF.],$B21,DATOS_[Sexo],$B23,DATOS_[Check Periodo Ref.],"Dentro",DATOS_[Check Nº SC Norm y Anualiz],"Sí")</f>
        <v>0</v>
      </c>
      <c r="H23" s="248" t="n">
        <f aca="false">COUNTIFS(DATOS_[AGRUP. CLAS. PROF.],$B21,DATOS_[Sexo],$B23,DATOS_[Check Periodo Ref.],"Dentro",DATOS_[Check Equiparación],"Sí")</f>
        <v>0</v>
      </c>
      <c r="I23" s="249" t="n">
        <f aca="false" t="array" ref="I23:I23">IFERROR( MEDIAN(IF(DATOS_[Sexo]=$B23,IF(DATOS_[[AGRUP. CLAS. PROF.]:[AGRUP. CLAS. PROF.]]=$B21,IF(DATOS_[Check Equiparado]="Sí",IF(DATOS_[Check Periodo Ref.]="Dentro",DATOS_[SALARIO BASE Eq],0))))), 0)</f>
        <v>0</v>
      </c>
      <c r="J23" s="250" t="n">
        <f aca="false" t="array" ref="J23:J23">IFERROR( (MEDIAN((IF(DATOS_[[Sexo]:[Sexo]]=$B23,IF(DATOS_[[AGRUP. CLAS. PROF.]:[AGRUP. CLAS. PROF.]]=$B21,IF(DATOS_[[Check Periodo Ref.]:[Check Periodo Ref.]]="Dentro",IF(DATOS_[[Check Equiparado]:[Check Equiparado]]="Sí",IF(DATOS!AE$4="Sí",(1/DATOS_[[% anualiz]:[% anualiz]]),1)*IF(DATOS!AE$5="Sí",1/DATOS_[[% normaliz]:[% normaliz]],1)*(DATOS_[Conc.Sal.01])))))))), 0)</f>
        <v>0</v>
      </c>
      <c r="K23" s="250" t="n">
        <f aca="false" t="array" ref="K23:K23">IFERROR( (MEDIAN((IF(DATOS_[[Sexo]:[Sexo]]=$B23,IF(DATOS_[[AGRUP. CLAS. PROF.]:[AGRUP. CLAS. PROF.]]=$B21,IF(DATOS_[[Check Periodo Ref.]:[Check Periodo Ref.]]="Dentro",IF(DATOS_[[Check Equiparado]:[Check Equiparado]]="Sí",IF(DATOS!AF$4="Sí",(1/DATOS_[[% anualiz]:[% anualiz]]),1)*IF(DATOS!AF$5="Sí",1/DATOS_[[% normaliz]:[% normaliz]],1)*(DATOS_[Conc.Sal.02])))))))), 0)</f>
        <v>0</v>
      </c>
      <c r="L23" s="250" t="n">
        <f aca="false" t="array" ref="L23:L23">IFERROR( (MEDIAN((IF(DATOS_[[Sexo]:[Sexo]]=$B23,IF(DATOS_[[AGRUP. CLAS. PROF.]:[AGRUP. CLAS. PROF.]]=$B21,IF(DATOS_[[Check Periodo Ref.]:[Check Periodo Ref.]]="Dentro",IF(DATOS_[[Check Equiparado]:[Check Equiparado]]="Sí",IF(DATOS!AG$4="Sí",(1/DATOS_[[% anualiz]:[% anualiz]]),1)*IF(DATOS!AG$5="Sí",1/DATOS_[[% normaliz]:[% normaliz]],1)*(DATOS_[Conc.Sal.03])))))))), 0)</f>
        <v>0</v>
      </c>
      <c r="M23" s="250" t="n">
        <f aca="false" t="array" ref="M23:M23">IFERROR( (MEDIAN((IF(DATOS_[[Sexo]:[Sexo]]=$B23,IF(DATOS_[[AGRUP. CLAS. PROF.]:[AGRUP. CLAS. PROF.]]=$B21,IF(DATOS_[[Check Periodo Ref.]:[Check Periodo Ref.]]="Dentro",IF(DATOS_[[Check Equiparado]:[Check Equiparado]]="Sí",IF(DATOS!AH$4="Sí",(1/DATOS_[[% anualiz]:[% anualiz]]),1)*IF(DATOS!AH$5="Sí",1/DATOS_[[% normaliz]:[% normaliz]],1)*(DATOS_[Conc.Sal.04])))))))), 0)</f>
        <v>0</v>
      </c>
      <c r="N23" s="250" t="n">
        <f aca="false" t="array" ref="N23:N23">IFERROR( (MEDIAN((IF(DATOS_[[Sexo]:[Sexo]]=$B23,IF(DATOS_[[AGRUP. CLAS. PROF.]:[AGRUP. CLAS. PROF.]]=$B21,IF(DATOS_[[Check Periodo Ref.]:[Check Periodo Ref.]]="Dentro",IF(DATOS_[[Check Equiparado]:[Check Equiparado]]="Sí",IF(DATOS!AI$4="Sí",(1/DATOS_[[% anualiz]:[% anualiz]]),1)*IF(DATOS!AI$5="Sí",1/DATOS_[[% normaliz]:[% normaliz]],1)*(DATOS_[Conc.Sal.05])))))))), 0)</f>
        <v>0</v>
      </c>
      <c r="O23" s="250" t="n">
        <f aca="false" t="array" ref="O23:O23">IFERROR( (MEDIAN((IF(DATOS_[[Sexo]:[Sexo]]=$B23,IF(DATOS_[[AGRUP. CLAS. PROF.]:[AGRUP. CLAS. PROF.]]=$B21,IF(DATOS_[[Check Periodo Ref.]:[Check Periodo Ref.]]="Dentro",IF(DATOS_[[Check Equiparado]:[Check Equiparado]]="Sí",IF(DATOS!AJ$4="Sí",(1/DATOS_[[% anualiz]:[% anualiz]]),1)*IF(DATOS!AJ$5="Sí",1/DATOS_[[% normaliz]:[% normaliz]],1)*(DATOS_[Conc.Sal.06])))))))), 0)</f>
        <v>0</v>
      </c>
      <c r="P23" s="250" t="n">
        <f aca="false" t="array" ref="P23:P23">IFERROR( (MEDIAN((IF(DATOS_[[Sexo]:[Sexo]]=$B23,IF(DATOS_[[AGRUP. CLAS. PROF.]:[AGRUP. CLAS. PROF.]]=$B21,IF(DATOS_[[Check Periodo Ref.]:[Check Periodo Ref.]]="Dentro",IF(DATOS_[[Check Equiparado]:[Check Equiparado]]="Sí",IF(DATOS!AK$4="Sí",(1/DATOS_[[% anualiz]:[% anualiz]]),1)*IF(DATOS!AK$5="Sí",1/DATOS_[[% normaliz]:[% normaliz]],1)*(DATOS_[Conc.Sal.07])))))))), 0)</f>
        <v>0</v>
      </c>
      <c r="Q23" s="250" t="n">
        <f aca="false" t="array" ref="Q23:Q23">IFERROR( (MEDIAN((IF(DATOS_[[Sexo]:[Sexo]]=$B23,IF(DATOS_[[AGRUP. CLAS. PROF.]:[AGRUP. CLAS. PROF.]]=$B21,IF(DATOS_[[Check Periodo Ref.]:[Check Periodo Ref.]]="Dentro",IF(DATOS_[[Check Equiparado]:[Check Equiparado]]="Sí",IF(DATOS!AL$4="Sí",(1/DATOS_[[% anualiz]:[% anualiz]]),1)*IF(DATOS!AL$5="Sí",1/DATOS_[[% normaliz]:[% normaliz]],1)*(DATOS_[Conc.Sal.08])))))))), 0)</f>
        <v>0</v>
      </c>
      <c r="R23" s="250" t="n">
        <f aca="false" t="array" ref="R23:R23">IFERROR( (MEDIAN((IF(DATOS_[[Sexo]:[Sexo]]=$B23,IF(DATOS_[[AGRUP. CLAS. PROF.]:[AGRUP. CLAS. PROF.]]=$B21,IF(DATOS_[[Check Periodo Ref.]:[Check Periodo Ref.]]="Dentro",IF(DATOS_[[Check Equiparado]:[Check Equiparado]]="Sí",IF(DATOS!AM$4="Sí",(1/DATOS_[[% anualiz]:[% anualiz]]),1)*IF(DATOS!AM$5="Sí",1/DATOS_[[% normaliz]:[% normaliz]],1)*(DATOS_[Conc.Sal.09])))))))), 0)</f>
        <v>0</v>
      </c>
      <c r="S23" s="250" t="n">
        <f aca="false" t="array" ref="S23:S23">IFERROR( (MEDIAN((IF(DATOS_[[Sexo]:[Sexo]]=$B23,IF(DATOS_[[AGRUP. CLAS. PROF.]:[AGRUP. CLAS. PROF.]]=$B21,IF(DATOS_[[Check Periodo Ref.]:[Check Periodo Ref.]]="Dentro",IF(DATOS_[[Check Equiparado]:[Check Equiparado]]="Sí",IF(DATOS!AN$4="Sí",(1/DATOS_[[% anualiz]:[% anualiz]]),1)*IF(DATOS!AN$5="Sí",1/DATOS_[[% normaliz]:[% normaliz]],1)*(DATOS_[Conc.Sal.10])))))))), 0)</f>
        <v>0</v>
      </c>
      <c r="T23" s="250" t="n">
        <f aca="false" t="array" ref="T23:T23">IFERROR( (MEDIAN((IF(DATOS_[[Sexo]:[Sexo]]=$B23,IF(DATOS_[[AGRUP. CLAS. PROF.]:[AGRUP. CLAS. PROF.]]=$B21,IF(DATOS_[[Check Periodo Ref.]:[Check Periodo Ref.]]="Dentro",IF(DATOS_[[Check Equiparado]:[Check Equiparado]]="Sí",IF(DATOS!AO$4="Sí",(1/DATOS_[[% anualiz]:[% anualiz]]),1)*IF(DATOS!AO$5="Sí",1/DATOS_[[% normaliz]:[% normaliz]],1)*(DATOS_[Conc.Sal.11])))))))), 0)</f>
        <v>0</v>
      </c>
      <c r="U23" s="250" t="n">
        <f aca="false" t="array" ref="U23:U23">IFERROR( (MEDIAN((IF(DATOS_[[Sexo]:[Sexo]]=$B23,IF(DATOS_[[AGRUP. CLAS. PROF.]:[AGRUP. CLAS. PROF.]]=$B21,IF(DATOS_[[Check Periodo Ref.]:[Check Periodo Ref.]]="Dentro",IF(DATOS_[[Check Equiparado]:[Check Equiparado]]="Sí",IF(DATOS!AP$4="Sí",(1/DATOS_[[% anualiz]:[% anualiz]]),1)*IF(DATOS!AP$5="Sí",1/DATOS_[[% normaliz]:[% normaliz]],1)*(DATOS_[Conc.Sal.12])))))))), 0)</f>
        <v>0</v>
      </c>
      <c r="V23" s="250" t="n">
        <f aca="false" t="array" ref="V23:V23">IFERROR( (MEDIAN((IF(DATOS_[[Sexo]:[Sexo]]=$B23,IF(DATOS_[[AGRUP. CLAS. PROF.]:[AGRUP. CLAS. PROF.]]=$B21,IF(DATOS_[[Check Periodo Ref.]:[Check Periodo Ref.]]="Dentro",IF(DATOS_[[Check Equiparado]:[Check Equiparado]]="Sí",IF(DATOS!AQ$4="Sí",(1/DATOS_[[% anualiz]:[% anualiz]]),1)*IF(DATOS!AQ$5="Sí",1/DATOS_[[% normaliz]:[% normaliz]],1)*(DATOS_[Conc.Sal.13])))))))), 0)</f>
        <v>0</v>
      </c>
      <c r="W23" s="250" t="n">
        <f aca="false" t="array" ref="W23:W23">IFERROR( (MEDIAN((IF(DATOS_[[Sexo]:[Sexo]]=$B23,IF(DATOS_[[AGRUP. CLAS. PROF.]:[AGRUP. CLAS. PROF.]]=$B21,IF(DATOS_[[Check Periodo Ref.]:[Check Periodo Ref.]]="Dentro",IF(DATOS_[[Check Equiparado]:[Check Equiparado]]="Sí",IF(DATOS!AR$4="Sí",(1/DATOS_[[% anualiz]:[% anualiz]]),1)*IF(DATOS!AR$5="Sí",1/DATOS_[[% normaliz]:[% normaliz]],1)*(DATOS_[Conc.Sal.14])))))))), 0)</f>
        <v>0</v>
      </c>
      <c r="X23" s="250" t="n">
        <f aca="false" t="array" ref="X23:X23">IFERROR( (MEDIAN((IF(DATOS_[[Sexo]:[Sexo]]=$B23,IF(DATOS_[[AGRUP. CLAS. PROF.]:[AGRUP. CLAS. PROF.]]=$B21,IF(DATOS_[[Check Periodo Ref.]:[Check Periodo Ref.]]="Dentro",IF(DATOS_[[Check Equiparado]:[Check Equiparado]]="Sí",IF(DATOS!AS$4="Sí",(1/DATOS_[[% anualiz]:[% anualiz]]),1)*IF(DATOS!AS$5="Sí",1/DATOS_[[% normaliz]:[% normaliz]],1)*(DATOS_[Conc.Sal.15])))))))), 0)</f>
        <v>0</v>
      </c>
      <c r="Y23" s="250" t="n">
        <f aca="false" t="array" ref="Y23:Y23">IFERROR( (MEDIAN((IF(DATOS_[[Sexo]:[Sexo]]=$B23,IF(DATOS_[[AGRUP. CLAS. PROF.]:[AGRUP. CLAS. PROF.]]=$B21,IF(DATOS_[[Check Periodo Ref.]:[Check Periodo Ref.]]="Dentro",IF(DATOS_[[Check Equiparado]:[Check Equiparado]]="Sí",IF(DATOS!AT$4="Sí",(1/DATOS_[[% anualiz]:[% anualiz]]),1)*IF(DATOS!AT$5="Sí",1/DATOS_[[% normaliz]:[% normaliz]],1)*(DATOS_[Conc.Sal.16])))))))), 0)</f>
        <v>0</v>
      </c>
      <c r="Z23" s="250" t="n">
        <f aca="false" t="array" ref="Z23:Z23">IFERROR( (MEDIAN((IF(DATOS_[[Sexo]:[Sexo]]=$B23,IF(DATOS_[[AGRUP. CLAS. PROF.]:[AGRUP. CLAS. PROF.]]=$B21,IF(DATOS_[[Check Periodo Ref.]:[Check Periodo Ref.]]="Dentro",IF(DATOS_[[Check Equiparado]:[Check Equiparado]]="Sí",IF(DATOS!AU$4="Sí",(1/DATOS_[[% anualiz]:[% anualiz]]),1)*IF(DATOS!AU$5="Sí",1/DATOS_[[% normaliz]:[% normaliz]],1)*(DATOS_[Conc.Sal.17])))))))), 0)</f>
        <v>0</v>
      </c>
      <c r="AA23" s="250" t="n">
        <f aca="false" t="array" ref="AA23:AA23">IFERROR( (MEDIAN((IF(DATOS_[[Sexo]:[Sexo]]=$B23,IF(DATOS_[[AGRUP. CLAS. PROF.]:[AGRUP. CLAS. PROF.]]=$B21,IF(DATOS_[[Check Periodo Ref.]:[Check Periodo Ref.]]="Dentro",IF(DATOS_[[Check Equiparado]:[Check Equiparado]]="Sí",IF(DATOS!AV$4="Sí",(1/DATOS_[[% anualiz]:[% anualiz]]),1)*IF(DATOS!AV$5="Sí",1/DATOS_[[% normaliz]:[% normaliz]],1)*(DATOS_[Conc.Sal.18])))))))), 0)</f>
        <v>0</v>
      </c>
      <c r="AB23" s="250" t="n">
        <f aca="false" t="array" ref="AB23:AB23">IFERROR( (MEDIAN((IF(DATOS_[[Sexo]:[Sexo]]=$B23,IF(DATOS_[[AGRUP. CLAS. PROF.]:[AGRUP. CLAS. PROF.]]=$B21,IF(DATOS_[[Check Periodo Ref.]:[Check Periodo Ref.]]="Dentro",IF(DATOS_[[Check Equiparado]:[Check Equiparado]]="Sí",IF(DATOS!AW$4="Sí",(1/DATOS_[[% anualiz]:[% anualiz]]),1)*IF(DATOS!AW$5="Sí",1/DATOS_[[% normaliz]:[% normaliz]],1)*(DATOS_[Conc.Sal.19])))))))), 0)</f>
        <v>0</v>
      </c>
      <c r="AC23" s="250" t="n">
        <f aca="false" t="array" ref="AC23:AC23">IFERROR( (MEDIAN((IF(DATOS_[[Sexo]:[Sexo]]=$B23,IF(DATOS_[[AGRUP. CLAS. PROF.]:[AGRUP. CLAS. PROF.]]=$B21,IF(DATOS_[[Check Periodo Ref.]:[Check Periodo Ref.]]="Dentro",IF(DATOS_[[Check Equiparado]:[Check Equiparado]]="Sí",IF(DATOS!AX$4="Sí",(1/DATOS_[[% anualiz]:[% anualiz]]),1)*IF(DATOS!AX$5="Sí",1/DATOS_[[% normaliz]:[% normaliz]],1)*(DATOS_[Conc.Sal.20])))))))), 0)</f>
        <v>0</v>
      </c>
      <c r="AD23" s="250" t="n">
        <f aca="false" t="array" ref="AD23:AD23">IFERROR( (MEDIAN((IF(DATOS_[[Sexo]:[Sexo]]=$B23,IF(DATOS_[[AGRUP. CLAS. PROF.]:[AGRUP. CLAS. PROF.]]=$B21,IF(DATOS_[[Check Periodo Ref.]:[Check Periodo Ref.]]="Dentro",IF(DATOS_[[Check Equiparado]:[Check Equiparado]]="Sí",IF(DATOS!AY$4="Sí",(1/DATOS_[[% anualiz]:[% anualiz]]),1)*IF(DATOS!AY$5="Sí",1/DATOS_[[% normaliz]:[% normaliz]],1)*(DATOS_[Conc.Sal.21])))))))), 0)</f>
        <v>0</v>
      </c>
      <c r="AE23" s="250" t="n">
        <f aca="false" t="array" ref="AE23:AE23">IFERROR( (MEDIAN((IF(DATOS_[[Sexo]:[Sexo]]=$B23,IF(DATOS_[[AGRUP. CLAS. PROF.]:[AGRUP. CLAS. PROF.]]=$B21,IF(DATOS_[[Check Periodo Ref.]:[Check Periodo Ref.]]="Dentro",IF(DATOS_[[Check Equiparado]:[Check Equiparado]]="Sí",IF(DATOS!AZ$4="Sí",(1/DATOS_[[% anualiz]:[% anualiz]]),1)*IF(DATOS!AZ$5="Sí",1/DATOS_[[% normaliz]:[% normaliz]],1)*(DATOS_[Conc.Sal.22])))))))), 0)</f>
        <v>0</v>
      </c>
      <c r="AF23" s="250" t="n">
        <f aca="false" t="array" ref="AF23:AF23">IFERROR( (MEDIAN((IF(DATOS_[[Sexo]:[Sexo]]=$B23,IF(DATOS_[[AGRUP. CLAS. PROF.]:[AGRUP. CLAS. PROF.]]=$B21,IF(DATOS_[[Check Periodo Ref.]:[Check Periodo Ref.]]="Dentro",IF(DATOS_[[Check Equiparado]:[Check Equiparado]]="Sí",IF(DATOS!BA$4="Sí",(1/DATOS_[[% anualiz]:[% anualiz]]),1)*IF(DATOS!BA$5="Sí",1/DATOS_[[% normaliz]:[% normaliz]],1)*(DATOS_[Conc.Sal.23])))))))), 0)</f>
        <v>0</v>
      </c>
      <c r="AG23" s="250" t="n">
        <f aca="false" t="array" ref="AG23:AG23">IFERROR( (MEDIAN((IF(DATOS_[[Sexo]:[Sexo]]=$B23,IF(DATOS_[[AGRUP. CLAS. PROF.]:[AGRUP. CLAS. PROF.]]=$B21,IF(DATOS_[[Check Periodo Ref.]:[Check Periodo Ref.]]="Dentro",IF(DATOS_[[Check Equiparado]:[Check Equiparado]]="Sí",IF(DATOS!BB$4="Sí",(1/DATOS_[[% anualiz]:[% anualiz]]),1)*IF(DATOS!BB$5="Sí",1/DATOS_[[% normaliz]:[% normaliz]],1)*(DATOS_[Conc.Sal.24])))))))), 0)</f>
        <v>0</v>
      </c>
      <c r="AH23" s="250" t="n">
        <f aca="false" t="array" ref="AH23:AH23">IFERROR( (MEDIAN((IF(DATOS_[[Sexo]:[Sexo]]=$B23,IF(DATOS_[[AGRUP. CLAS. PROF.]:[AGRUP. CLAS. PROF.]]=$B21,IF(DATOS_[[Check Periodo Ref.]:[Check Periodo Ref.]]="Dentro",IF(DATOS_[[Check Equiparado]:[Check Equiparado]]="Sí",IF(DATOS!BC$4="Sí",(1/DATOS_[[% anualiz]:[% anualiz]]),1)*IF(DATOS!BC$5="Sí",1/DATOS_[[% normaliz]:[% normaliz]],1)*(DATOS_[Conc.Sal.25])))))))), 0)</f>
        <v>0</v>
      </c>
      <c r="AI23" s="250" t="n">
        <f aca="false" t="array" ref="AI23:AI23">IFERROR( (MEDIAN((IF(DATOS_[[Sexo]:[Sexo]]=$B23,IF(DATOS_[[AGRUP. CLAS. PROF.]:[AGRUP. CLAS. PROF.]]=$B21,IF(DATOS_[[Check Periodo Ref.]:[Check Periodo Ref.]]="Dentro",IF(DATOS_[[Check Equiparado]:[Check Equiparado]]="Sí",IF(DATOS!BD$4="Sí",(1/DATOS_[[% anualiz]:[% anualiz]]),1)*IF(DATOS!BD$5="Sí",1/DATOS_[[% normaliz]:[% normaliz]],1)*(DATOS_[Conc.Sal.26])))))))), 0)</f>
        <v>0</v>
      </c>
      <c r="AJ23" s="250" t="n">
        <f aca="false" t="array" ref="AJ23:AJ23">IFERROR( (MEDIAN((IF(DATOS_[[Sexo]:[Sexo]]=$B23,IF(DATOS_[[AGRUP. CLAS. PROF.]:[AGRUP. CLAS. PROF.]]=$B21,IF(DATOS_[[Check Periodo Ref.]:[Check Periodo Ref.]]="Dentro",IF(DATOS_[[Check Equiparado]:[Check Equiparado]]="Sí",IF(DATOS!BE$4="Sí",(1/DATOS_[[% anualiz]:[% anualiz]]),1)*IF(DATOS!BE$5="Sí",1/DATOS_[[% normaliz]:[% normaliz]],1)*(DATOS_[Conc.Sal.27])))))))), 0)</f>
        <v>0</v>
      </c>
      <c r="AK23" s="250" t="n">
        <f aca="false" t="array" ref="AK23:AK23">IFERROR( (MEDIAN((IF(DATOS_[[Sexo]:[Sexo]]=$B23,IF(DATOS_[[AGRUP. CLAS. PROF.]:[AGRUP. CLAS. PROF.]]=$B21,IF(DATOS_[[Check Periodo Ref.]:[Check Periodo Ref.]]="Dentro",IF(DATOS_[[Check Equiparado]:[Check Equiparado]]="Sí",IF(DATOS!BF$4="Sí",(1/DATOS_[[% anualiz]:[% anualiz]]),1)*IF(DATOS!BF$5="Sí",1/DATOS_[[% normaliz]:[% normaliz]],1)*(DATOS_[Conc.Sal.28])))))))), 0)</f>
        <v>0</v>
      </c>
      <c r="AL23" s="250" t="n">
        <f aca="false" t="array" ref="AL23:AL23">IFERROR( (MEDIAN((IF(DATOS_[[Sexo]:[Sexo]]=$B23,IF(DATOS_[[AGRUP. CLAS. PROF.]:[AGRUP. CLAS. PROF.]]=$B21,IF(DATOS_[[Check Periodo Ref.]:[Check Periodo Ref.]]="Dentro",IF(DATOS_[[Check Equiparado]:[Check Equiparado]]="Sí",IF(DATOS!BG$4="Sí",(1/DATOS_[[% anualiz]:[% anualiz]]),1)*IF(DATOS!BG$5="Sí",1/DATOS_[[% normaliz]:[% normaliz]],1)*(DATOS_[Conc.Sal.29])))))))), 0)</f>
        <v>0</v>
      </c>
      <c r="AM23" s="250" t="n">
        <f aca="false" t="array" ref="AM23:AM23">IFERROR( (MEDIAN((IF(DATOS_[[Sexo]:[Sexo]]=$B23,IF(DATOS_[[AGRUP. CLAS. PROF.]:[AGRUP. CLAS. PROF.]]=$B21,IF(DATOS_[[Check Periodo Ref.]:[Check Periodo Ref.]]="Dentro",IF(DATOS_[[Check Equiparado]:[Check Equiparado]]="Sí",IF(DATOS!BH$4="Sí",(1/DATOS_[[% anualiz]:[% anualiz]]),1)*IF(DATOS!BH$5="Sí",1/DATOS_[[% normaliz]:[% normaliz]],1)*(DATOS_[Conc.Sal.30])))))))), 0)</f>
        <v>0</v>
      </c>
      <c r="AN23" s="251" t="n">
        <f aca="false" t="array" ref="AN23:AN23">IFERROR( MEDIAN(IF(DATOS_[Sexo]=$B23,IF(DATOS_[[AGRUP. CLAS. PROF.]:[AGRUP. CLAS. PROF.]]=$B21,IF(DATOS_[Check Equiparado]="Sí",IF(DATOS_[Check Periodo Ref.]="Dentro",DATOS_[Tot COMPL.SAL Eq],0))))), 0)</f>
        <v>0</v>
      </c>
      <c r="AO23" s="252" t="n">
        <f aca="false" t="array" ref="AO23:AO23">IFERROR( MEDIAN(IF(DATOS_[Sexo]=$B23,IF(DATOS_[[AGRUP. CLAS. PROF.]:[AGRUP. CLAS. PROF.]]=$B21,IF(DATOS_[Check Equiparado]="Sí",IF(DATOS_[Check Periodo Ref.]="Dentro",DATOS_[TOTAL SALARIO Eq],0))))), 0)</f>
        <v>0</v>
      </c>
      <c r="AP23" s="259" t="n">
        <f aca="false" t="array" ref="AP23:AP23">IFERROR( (MEDIAN((IF(DATOS_[[Sexo]:[Sexo]]=$B23,IF(DATOS_[[AGRUP. CLAS. PROF.]:[AGRUP. CLAS. PROF.]]=$B22,IF(DATOS_[[Check Periodo Ref.]:[Check Periodo Ref.]]="Dentro",IF(DATOS_[[Check Equiparado]:[Check Equiparado]]="Sí",IF(DATOS!BI$4="Sí",(1/DATOS_[[% anualiz]:[% anualiz]]),1)*IF(DATOS!BI$5="Sí",1/DATOS_[[% normaliz]:[% normaliz]],1)*(DATOS_[C.Extra.01])))))))), 0)</f>
        <v>0</v>
      </c>
      <c r="AQ23" s="259" t="n">
        <f aca="false" t="array" ref="AQ23:AQ23">IFERROR( (MEDIAN((IF(DATOS_[[Sexo]:[Sexo]]=$B23,IF(DATOS_[[AGRUP. CLAS. PROF.]:[AGRUP. CLAS. PROF.]]=$B22,IF(DATOS_[[Check Periodo Ref.]:[Check Periodo Ref.]]="Dentro",IF(DATOS_[[Check Equiparado]:[Check Equiparado]]="Sí",IF(DATOS!BJ$4="Sí",(1/DATOS_[[% anualiz]:[% anualiz]]),1)*IF(DATOS!BJ$5="Sí",1/DATOS_[[% normaliz]:[% normaliz]],1)*(DATOS_[C.Extra.02])))))))), 0)</f>
        <v>0</v>
      </c>
      <c r="AR23" s="259" t="n">
        <f aca="false" t="array" ref="AR23:AR23">IFERROR( (MEDIAN((IF(DATOS_[[Sexo]:[Sexo]]=$B23,IF(DATOS_[[AGRUP. CLAS. PROF.]:[AGRUP. CLAS. PROF.]]=$B22,IF(DATOS_[[Check Periodo Ref.]:[Check Periodo Ref.]]="Dentro",IF(DATOS_[[Check Equiparado]:[Check Equiparado]]="Sí",IF(DATOS!BK$4="Sí",(1/DATOS_[[% anualiz]:[% anualiz]]),1)*IF(DATOS!BK$5="Sí",1/DATOS_[[% normaliz]:[% normaliz]],1)*(DATOS_[C.Extra.03])))))))), 0)</f>
        <v>0</v>
      </c>
      <c r="AS23" s="259" t="n">
        <f aca="false" t="array" ref="AS23:AS23">IFERROR( (MEDIAN((IF(DATOS_[[Sexo]:[Sexo]]=$B23,IF(DATOS_[[AGRUP. CLAS. PROF.]:[AGRUP. CLAS. PROF.]]=$B22,IF(DATOS_[[Check Periodo Ref.]:[Check Periodo Ref.]]="Dentro",IF(DATOS_[[Check Equiparado]:[Check Equiparado]]="Sí",IF(DATOS!BL$4="Sí",(1/DATOS_[[% anualiz]:[% anualiz]]),1)*IF(DATOS!BL$5="Sí",1/DATOS_[[% normaliz]:[% normaliz]],1)*(DATOS_[C.Extra.04])))))))), 0)</f>
        <v>0</v>
      </c>
      <c r="AT23" s="259" t="n">
        <f aca="false" t="array" ref="AT23:AT23">IFERROR( (MEDIAN((IF(DATOS_[[Sexo]:[Sexo]]=$B23,IF(DATOS_[[AGRUP. CLAS. PROF.]:[AGRUP. CLAS. PROF.]]=$B22,IF(DATOS_[[Check Periodo Ref.]:[Check Periodo Ref.]]="Dentro",IF(DATOS_[[Check Equiparado]:[Check Equiparado]]="Sí",IF(DATOS!BM$4="Sí",(1/DATOS_[[% anualiz]:[% anualiz]]),1)*IF(DATOS!BM$5="Sí",1/DATOS_[[% normaliz]:[% normaliz]],1)*(DATOS_[C.Extra.05])))))))), 0)</f>
        <v>0</v>
      </c>
      <c r="AU23" s="254" t="n">
        <f aca="false" t="array" ref="AU23:AU23">IFERROR( MEDIAN(IF(DATOS_[Sexo]=$B23,IF(DATOS_[[AGRUP. CLAS. PROF.]:[AGRUP. CLAS. PROF.]]=$B21,IF(DATOS_[Check Equiparado]="Sí",IF(DATOS_[Check Periodo Ref.]="Dentro",DATOS_[Tot Extrasalarial Eq],0))))), 0)</f>
        <v>0</v>
      </c>
      <c r="AV23" s="255" t="n">
        <f aca="false" t="array" ref="AV23:AV23">IFERROR( MEDIAN(IF(DATOS_[Sexo]=$B23,IF(DATOS_[[AGRUP. CLAS. PROF.]:[AGRUP. CLAS. PROF.]]=$B21,IF(DATOS_[Check Equiparado]="Sí",IF(DATOS_[Check Periodo Ref.]="Dentro",DATOS_[TOTAL Retrib Eq],0))))), 0)</f>
        <v>0</v>
      </c>
    </row>
    <row r="24" customFormat="false" ht="15.75" hidden="false" customHeight="false" outlineLevel="0" collapsed="false">
      <c r="A24" s="217" t="str">
        <f aca="false">+A25</f>
        <v>[ocultar]</v>
      </c>
      <c r="B24" s="320" t="s">
        <v>179</v>
      </c>
      <c r="C24" s="236"/>
      <c r="D24" s="237"/>
      <c r="E24" s="237"/>
      <c r="F24" s="237"/>
      <c r="G24" s="237"/>
      <c r="H24" s="237"/>
      <c r="I24" s="238"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39" t="str">
        <f aca="false">IFERROR((V25-V26)/V25,"")</f>
        <v/>
      </c>
      <c r="W24" s="239" t="str">
        <f aca="false">IFERROR((W25-W26)/W25,"")</f>
        <v/>
      </c>
      <c r="X24" s="239" t="str">
        <f aca="false">IFERROR((X25-X26)/X25,"")</f>
        <v/>
      </c>
      <c r="Y24" s="239"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0" t="str">
        <f aca="false">IFERROR((AJ25-AJ26)/AJ25,"")</f>
        <v/>
      </c>
      <c r="AK24" s="240" t="str">
        <f aca="false">IFERROR((AK25-AK26)/AK25,"")</f>
        <v/>
      </c>
      <c r="AL24" s="240" t="str">
        <f aca="false">IFERROR((AL25-AL26)/AL25,"")</f>
        <v/>
      </c>
      <c r="AM24" s="240" t="str">
        <f aca="false">IFERROR((AM25-AM26)/AM25,"")</f>
        <v/>
      </c>
      <c r="AN24" s="241" t="str">
        <f aca="false">IFERROR((AN25-AN26)/AN25,"")</f>
        <v/>
      </c>
      <c r="AO24" s="242" t="str">
        <f aca="false">IFERROR((AO25-AO26)/AO25,"")</f>
        <v/>
      </c>
      <c r="AP24" s="243" t="str">
        <f aca="false">IFERROR((AP25-AP26)/AP25,"")</f>
        <v/>
      </c>
      <c r="AQ24" s="243" t="str">
        <f aca="false">IFERROR((AQ25-AQ26)/AQ25,"")</f>
        <v/>
      </c>
      <c r="AR24" s="243" t="str">
        <f aca="false">IFERROR((AR25-AR26)/AR25,"")</f>
        <v/>
      </c>
      <c r="AS24" s="243" t="str">
        <f aca="false">IFERROR((AS25-AS26)/AS25,"")</f>
        <v/>
      </c>
      <c r="AT24" s="243" t="str">
        <f aca="false">IFERROR((AT25-AT26)/AT25,"")</f>
        <v/>
      </c>
      <c r="AU24" s="244" t="str">
        <f aca="false">IFERROR((AU25-AU26)/AU25,"")</f>
        <v/>
      </c>
      <c r="AV24" s="245" t="str">
        <f aca="false">IFERROR((AV25-AV26)/AV25,"")</f>
        <v/>
      </c>
    </row>
    <row r="25" customFormat="false" ht="14.25" hidden="false" customHeight="false" outlineLevel="0" collapsed="false">
      <c r="A25" s="217" t="str">
        <f aca="false">+IF(C25+C26=0,"[ocultar]","")</f>
        <v>[ocultar]</v>
      </c>
      <c r="B25" s="323" t="s">
        <v>371</v>
      </c>
      <c r="C25" s="247" t="n">
        <f aca="false" t="array" ref="C25:C25">SUM(IF($B25=DATOS_[Sexo], IF($B24=DATOS_[AGRUP. CLAS. PROF.], IF("Dentro"=DATOS_[Check Periodo Ref.], 1/(COUNTIFS(DATOS_[Sexo],$B25,DATOS_[AGRUP. CLAS. PROF.],$B24,DATOS_[Check Periodo Ref.],"Dentro",DATOS_[id],DATOS_[id]))))))</f>
        <v>0</v>
      </c>
      <c r="D25" s="248" t="n">
        <f aca="false">COUNTIFS(DATOS_[AGRUP. CLAS. PROF.],$B24,DATOS_[Sexo],$B25,DATOS_[Check Periodo Ref.],"Dentro")</f>
        <v>0</v>
      </c>
      <c r="E25" s="248" t="n">
        <f aca="false">COUNTIFS(DATOS_[AGRUP. CLAS. PROF.],$B24,DATOS_[Sexo],$B25,DATOS_[Check Periodo Ref.],"Dentro",DATOS_[Check Nº SC Norm],"Sí")</f>
        <v>0</v>
      </c>
      <c r="F25" s="248" t="n">
        <f aca="false">COUNTIFS(DATOS_[AGRUP. CLAS. PROF.],$B24,DATOS_[Sexo],$B25,DATOS_[Check Periodo Ref.],"Dentro",DATOS_[Check Nº SC Anualiz],"Sí")</f>
        <v>0</v>
      </c>
      <c r="G25" s="248" t="n">
        <f aca="false">COUNTIFS(DATOS_[AGRUP. CLAS. PROF.],$B24,DATOS_[Sexo],$B25,DATOS_[Check Periodo Ref.],"Dentro",DATOS_[Check Nº SC Norm y Anualiz],"Sí")</f>
        <v>0</v>
      </c>
      <c r="H25" s="248" t="n">
        <f aca="false">COUNTIFS(DATOS_[AGRUP. CLAS. PROF.],$B24,DATOS_[Sexo],$B25,DATOS_[Check Periodo Ref.],"Dentro",DATOS_[Check Equiparación],"Sí")</f>
        <v>0</v>
      </c>
      <c r="I25" s="249" t="n">
        <f aca="false" t="array" ref="I25:I25">IFERROR( MEDIAN(IF(DATOS_[Sexo]=$B25,IF(DATOS_[[AGRUP. CLAS. PROF.]:[AGRUP. CLAS. PROF.]]=$B24,IF(DATOS_[Check Equiparado]="Sí",IF(DATOS_[Check Periodo Ref.]="Dentro",DATOS_[SALARIO BASE Eq],0))))), 0)</f>
        <v>0</v>
      </c>
      <c r="J25" s="250" t="n">
        <f aca="false" t="array" ref="J25:J25">IFERROR( (MEDIAN((IF(DATOS_[[Sexo]:[Sexo]]=$B25,IF(DATOS_[[AGRUP. CLAS. PROF.]:[AGRUP. CLAS. PROF.]]=$B24,IF(DATOS_[[Check Periodo Ref.]:[Check Periodo Ref.]]="Dentro",IF(DATOS_[[Check Equiparado]:[Check Equiparado]]="Sí",IF(DATOS!AE$4="Sí",(1/DATOS_[[% anualiz]:[% anualiz]]),1)*IF(DATOS!AE$5="Sí",1/DATOS_[[% normaliz]:[% normaliz]],1)*(DATOS_[Conc.Sal.01])))))))), 0)</f>
        <v>0</v>
      </c>
      <c r="K25" s="250" t="n">
        <f aca="false" t="array" ref="K25:K25">IFERROR( (MEDIAN((IF(DATOS_[[Sexo]:[Sexo]]=$B25,IF(DATOS_[[AGRUP. CLAS. PROF.]:[AGRUP. CLAS. PROF.]]=$B24,IF(DATOS_[[Check Periodo Ref.]:[Check Periodo Ref.]]="Dentro",IF(DATOS_[[Check Equiparado]:[Check Equiparado]]="Sí",IF(DATOS!AF$4="Sí",(1/DATOS_[[% anualiz]:[% anualiz]]),1)*IF(DATOS!AF$5="Sí",1/DATOS_[[% normaliz]:[% normaliz]],1)*(DATOS_[Conc.Sal.02])))))))), 0)</f>
        <v>0</v>
      </c>
      <c r="L25" s="250" t="n">
        <f aca="false" t="array" ref="L25:L25">IFERROR( (MEDIAN((IF(DATOS_[[Sexo]:[Sexo]]=$B25,IF(DATOS_[[AGRUP. CLAS. PROF.]:[AGRUP. CLAS. PROF.]]=$B24,IF(DATOS_[[Check Periodo Ref.]:[Check Periodo Ref.]]="Dentro",IF(DATOS_[[Check Equiparado]:[Check Equiparado]]="Sí",IF(DATOS!AG$4="Sí",(1/DATOS_[[% anualiz]:[% anualiz]]),1)*IF(DATOS!AG$5="Sí",1/DATOS_[[% normaliz]:[% normaliz]],1)*(DATOS_[Conc.Sal.03])))))))), 0)</f>
        <v>0</v>
      </c>
      <c r="M25" s="250" t="n">
        <f aca="false" t="array" ref="M25:M25">IFERROR( (MEDIAN((IF(DATOS_[[Sexo]:[Sexo]]=$B25,IF(DATOS_[[AGRUP. CLAS. PROF.]:[AGRUP. CLAS. PROF.]]=$B24,IF(DATOS_[[Check Periodo Ref.]:[Check Periodo Ref.]]="Dentro",IF(DATOS_[[Check Equiparado]:[Check Equiparado]]="Sí",IF(DATOS!AH$4="Sí",(1/DATOS_[[% anualiz]:[% anualiz]]),1)*IF(DATOS!AH$5="Sí",1/DATOS_[[% normaliz]:[% normaliz]],1)*(DATOS_[Conc.Sal.04])))))))), 0)</f>
        <v>0</v>
      </c>
      <c r="N25" s="250" t="n">
        <f aca="false" t="array" ref="N25:N25">IFERROR( (MEDIAN((IF(DATOS_[[Sexo]:[Sexo]]=$B25,IF(DATOS_[[AGRUP. CLAS. PROF.]:[AGRUP. CLAS. PROF.]]=$B24,IF(DATOS_[[Check Periodo Ref.]:[Check Periodo Ref.]]="Dentro",IF(DATOS_[[Check Equiparado]:[Check Equiparado]]="Sí",IF(DATOS!AI$4="Sí",(1/DATOS_[[% anualiz]:[% anualiz]]),1)*IF(DATOS!AI$5="Sí",1/DATOS_[[% normaliz]:[% normaliz]],1)*(DATOS_[Conc.Sal.05])))))))), 0)</f>
        <v>0</v>
      </c>
      <c r="O25" s="250" t="n">
        <f aca="false" t="array" ref="O25:O25">IFERROR( (MEDIAN((IF(DATOS_[[Sexo]:[Sexo]]=$B25,IF(DATOS_[[AGRUP. CLAS. PROF.]:[AGRUP. CLAS. PROF.]]=$B24,IF(DATOS_[[Check Periodo Ref.]:[Check Periodo Ref.]]="Dentro",IF(DATOS_[[Check Equiparado]:[Check Equiparado]]="Sí",IF(DATOS!AJ$4="Sí",(1/DATOS_[[% anualiz]:[% anualiz]]),1)*IF(DATOS!AJ$5="Sí",1/DATOS_[[% normaliz]:[% normaliz]],1)*(DATOS_[Conc.Sal.06])))))))), 0)</f>
        <v>0</v>
      </c>
      <c r="P25" s="250" t="n">
        <f aca="false" t="array" ref="P25:P25">IFERROR( (MEDIAN((IF(DATOS_[[Sexo]:[Sexo]]=$B25,IF(DATOS_[[AGRUP. CLAS. PROF.]:[AGRUP. CLAS. PROF.]]=$B24,IF(DATOS_[[Check Periodo Ref.]:[Check Periodo Ref.]]="Dentro",IF(DATOS_[[Check Equiparado]:[Check Equiparado]]="Sí",IF(DATOS!AK$4="Sí",(1/DATOS_[[% anualiz]:[% anualiz]]),1)*IF(DATOS!AK$5="Sí",1/DATOS_[[% normaliz]:[% normaliz]],1)*(DATOS_[Conc.Sal.07])))))))), 0)</f>
        <v>0</v>
      </c>
      <c r="Q25" s="250" t="n">
        <f aca="false" t="array" ref="Q25:Q25">IFERROR( (MEDIAN((IF(DATOS_[[Sexo]:[Sexo]]=$B25,IF(DATOS_[[AGRUP. CLAS. PROF.]:[AGRUP. CLAS. PROF.]]=$B24,IF(DATOS_[[Check Periodo Ref.]:[Check Periodo Ref.]]="Dentro",IF(DATOS_[[Check Equiparado]:[Check Equiparado]]="Sí",IF(DATOS!AL$4="Sí",(1/DATOS_[[% anualiz]:[% anualiz]]),1)*IF(DATOS!AL$5="Sí",1/DATOS_[[% normaliz]:[% normaliz]],1)*(DATOS_[Conc.Sal.08])))))))), 0)</f>
        <v>0</v>
      </c>
      <c r="R25" s="250" t="n">
        <f aca="false" t="array" ref="R25:R25">IFERROR( (MEDIAN((IF(DATOS_[[Sexo]:[Sexo]]=$B25,IF(DATOS_[[AGRUP. CLAS. PROF.]:[AGRUP. CLAS. PROF.]]=$B24,IF(DATOS_[[Check Periodo Ref.]:[Check Periodo Ref.]]="Dentro",IF(DATOS_[[Check Equiparado]:[Check Equiparado]]="Sí",IF(DATOS!AM$4="Sí",(1/DATOS_[[% anualiz]:[% anualiz]]),1)*IF(DATOS!AM$5="Sí",1/DATOS_[[% normaliz]:[% normaliz]],1)*(DATOS_[Conc.Sal.09])))))))), 0)</f>
        <v>0</v>
      </c>
      <c r="S25" s="250" t="n">
        <f aca="false" t="array" ref="S25:S25">IFERROR( (MEDIAN((IF(DATOS_[[Sexo]:[Sexo]]=$B25,IF(DATOS_[[AGRUP. CLAS. PROF.]:[AGRUP. CLAS. PROF.]]=$B24,IF(DATOS_[[Check Periodo Ref.]:[Check Periodo Ref.]]="Dentro",IF(DATOS_[[Check Equiparado]:[Check Equiparado]]="Sí",IF(DATOS!AN$4="Sí",(1/DATOS_[[% anualiz]:[% anualiz]]),1)*IF(DATOS!AN$5="Sí",1/DATOS_[[% normaliz]:[% normaliz]],1)*(DATOS_[Conc.Sal.10])))))))), 0)</f>
        <v>0</v>
      </c>
      <c r="T25" s="250" t="n">
        <f aca="false" t="array" ref="T25:T25">IFERROR( (MEDIAN((IF(DATOS_[[Sexo]:[Sexo]]=$B25,IF(DATOS_[[AGRUP. CLAS. PROF.]:[AGRUP. CLAS. PROF.]]=$B24,IF(DATOS_[[Check Periodo Ref.]:[Check Periodo Ref.]]="Dentro",IF(DATOS_[[Check Equiparado]:[Check Equiparado]]="Sí",IF(DATOS!AO$4="Sí",(1/DATOS_[[% anualiz]:[% anualiz]]),1)*IF(DATOS!AO$5="Sí",1/DATOS_[[% normaliz]:[% normaliz]],1)*(DATOS_[Conc.Sal.11])))))))), 0)</f>
        <v>0</v>
      </c>
      <c r="U25" s="250" t="n">
        <f aca="false" t="array" ref="U25:U25">IFERROR( (MEDIAN((IF(DATOS_[[Sexo]:[Sexo]]=$B25,IF(DATOS_[[AGRUP. CLAS. PROF.]:[AGRUP. CLAS. PROF.]]=$B24,IF(DATOS_[[Check Periodo Ref.]:[Check Periodo Ref.]]="Dentro",IF(DATOS_[[Check Equiparado]:[Check Equiparado]]="Sí",IF(DATOS!AP$4="Sí",(1/DATOS_[[% anualiz]:[% anualiz]]),1)*IF(DATOS!AP$5="Sí",1/DATOS_[[% normaliz]:[% normaliz]],1)*(DATOS_[Conc.Sal.12])))))))), 0)</f>
        <v>0</v>
      </c>
      <c r="V25" s="250" t="n">
        <f aca="false" t="array" ref="V25:V25">IFERROR( (MEDIAN((IF(DATOS_[[Sexo]:[Sexo]]=$B25,IF(DATOS_[[AGRUP. CLAS. PROF.]:[AGRUP. CLAS. PROF.]]=$B24,IF(DATOS_[[Check Periodo Ref.]:[Check Periodo Ref.]]="Dentro",IF(DATOS_[[Check Equiparado]:[Check Equiparado]]="Sí",IF(DATOS!AQ$4="Sí",(1/DATOS_[[% anualiz]:[% anualiz]]),1)*IF(DATOS!AQ$5="Sí",1/DATOS_[[% normaliz]:[% normaliz]],1)*(DATOS_[Conc.Sal.13])))))))), 0)</f>
        <v>0</v>
      </c>
      <c r="W25" s="250" t="n">
        <f aca="false" t="array" ref="W25:W25">IFERROR( (MEDIAN((IF(DATOS_[[Sexo]:[Sexo]]=$B25,IF(DATOS_[[AGRUP. CLAS. PROF.]:[AGRUP. CLAS. PROF.]]=$B24,IF(DATOS_[[Check Periodo Ref.]:[Check Periodo Ref.]]="Dentro",IF(DATOS_[[Check Equiparado]:[Check Equiparado]]="Sí",IF(DATOS!AR$4="Sí",(1/DATOS_[[% anualiz]:[% anualiz]]),1)*IF(DATOS!AR$5="Sí",1/DATOS_[[% normaliz]:[% normaliz]],1)*(DATOS_[Conc.Sal.14])))))))), 0)</f>
        <v>0</v>
      </c>
      <c r="X25" s="250" t="n">
        <f aca="false" t="array" ref="X25:X25">IFERROR( (MEDIAN((IF(DATOS_[[Sexo]:[Sexo]]=$B25,IF(DATOS_[[AGRUP. CLAS. PROF.]:[AGRUP. CLAS. PROF.]]=$B24,IF(DATOS_[[Check Periodo Ref.]:[Check Periodo Ref.]]="Dentro",IF(DATOS_[[Check Equiparado]:[Check Equiparado]]="Sí",IF(DATOS!AS$4="Sí",(1/DATOS_[[% anualiz]:[% anualiz]]),1)*IF(DATOS!AS$5="Sí",1/DATOS_[[% normaliz]:[% normaliz]],1)*(DATOS_[Conc.Sal.15])))))))), 0)</f>
        <v>0</v>
      </c>
      <c r="Y25" s="250" t="n">
        <f aca="false" t="array" ref="Y25:Y25">IFERROR( (MEDIAN((IF(DATOS_[[Sexo]:[Sexo]]=$B25,IF(DATOS_[[AGRUP. CLAS. PROF.]:[AGRUP. CLAS. PROF.]]=$B24,IF(DATOS_[[Check Periodo Ref.]:[Check Periodo Ref.]]="Dentro",IF(DATOS_[[Check Equiparado]:[Check Equiparado]]="Sí",IF(DATOS!AT$4="Sí",(1/DATOS_[[% anualiz]:[% anualiz]]),1)*IF(DATOS!AT$5="Sí",1/DATOS_[[% normaliz]:[% normaliz]],1)*(DATOS_[Conc.Sal.16])))))))), 0)</f>
        <v>0</v>
      </c>
      <c r="Z25" s="250" t="n">
        <f aca="false" t="array" ref="Z25:Z25">IFERROR( (MEDIAN((IF(DATOS_[[Sexo]:[Sexo]]=$B25,IF(DATOS_[[AGRUP. CLAS. PROF.]:[AGRUP. CLAS. PROF.]]=$B24,IF(DATOS_[[Check Periodo Ref.]:[Check Periodo Ref.]]="Dentro",IF(DATOS_[[Check Equiparado]:[Check Equiparado]]="Sí",IF(DATOS!AU$4="Sí",(1/DATOS_[[% anualiz]:[% anualiz]]),1)*IF(DATOS!AU$5="Sí",1/DATOS_[[% normaliz]:[% normaliz]],1)*(DATOS_[Conc.Sal.17])))))))), 0)</f>
        <v>0</v>
      </c>
      <c r="AA25" s="250" t="n">
        <f aca="false" t="array" ref="AA25:AA25">IFERROR( (MEDIAN((IF(DATOS_[[Sexo]:[Sexo]]=$B25,IF(DATOS_[[AGRUP. CLAS. PROF.]:[AGRUP. CLAS. PROF.]]=$B24,IF(DATOS_[[Check Periodo Ref.]:[Check Periodo Ref.]]="Dentro",IF(DATOS_[[Check Equiparado]:[Check Equiparado]]="Sí",IF(DATOS!AV$4="Sí",(1/DATOS_[[% anualiz]:[% anualiz]]),1)*IF(DATOS!AV$5="Sí",1/DATOS_[[% normaliz]:[% normaliz]],1)*(DATOS_[Conc.Sal.18])))))))), 0)</f>
        <v>0</v>
      </c>
      <c r="AB25" s="250" t="n">
        <f aca="false" t="array" ref="AB25:AB25">IFERROR( (MEDIAN((IF(DATOS_[[Sexo]:[Sexo]]=$B25,IF(DATOS_[[AGRUP. CLAS. PROF.]:[AGRUP. CLAS. PROF.]]=$B24,IF(DATOS_[[Check Periodo Ref.]:[Check Periodo Ref.]]="Dentro",IF(DATOS_[[Check Equiparado]:[Check Equiparado]]="Sí",IF(DATOS!AW$4="Sí",(1/DATOS_[[% anualiz]:[% anualiz]]),1)*IF(DATOS!AW$5="Sí",1/DATOS_[[% normaliz]:[% normaliz]],1)*(DATOS_[Conc.Sal.19])))))))), 0)</f>
        <v>0</v>
      </c>
      <c r="AC25" s="250" t="n">
        <f aca="false" t="array" ref="AC25:AC25">IFERROR( (MEDIAN((IF(DATOS_[[Sexo]:[Sexo]]=$B25,IF(DATOS_[[AGRUP. CLAS. PROF.]:[AGRUP. CLAS. PROF.]]=$B24,IF(DATOS_[[Check Periodo Ref.]:[Check Periodo Ref.]]="Dentro",IF(DATOS_[[Check Equiparado]:[Check Equiparado]]="Sí",IF(DATOS!AX$4="Sí",(1/DATOS_[[% anualiz]:[% anualiz]]),1)*IF(DATOS!AX$5="Sí",1/DATOS_[[% normaliz]:[% normaliz]],1)*(DATOS_[Conc.Sal.20])))))))), 0)</f>
        <v>0</v>
      </c>
      <c r="AD25" s="250" t="n">
        <f aca="false" t="array" ref="AD25:AD25">IFERROR( (MEDIAN((IF(DATOS_[[Sexo]:[Sexo]]=$B25,IF(DATOS_[[AGRUP. CLAS. PROF.]:[AGRUP. CLAS. PROF.]]=$B24,IF(DATOS_[[Check Periodo Ref.]:[Check Periodo Ref.]]="Dentro",IF(DATOS_[[Check Equiparado]:[Check Equiparado]]="Sí",IF(DATOS!AY$4="Sí",(1/DATOS_[[% anualiz]:[% anualiz]]),1)*IF(DATOS!AY$5="Sí",1/DATOS_[[% normaliz]:[% normaliz]],1)*(DATOS_[Conc.Sal.21])))))))), 0)</f>
        <v>0</v>
      </c>
      <c r="AE25" s="250" t="n">
        <f aca="false" t="array" ref="AE25:AE25">IFERROR( (MEDIAN((IF(DATOS_[[Sexo]:[Sexo]]=$B25,IF(DATOS_[[AGRUP. CLAS. PROF.]:[AGRUP. CLAS. PROF.]]=$B24,IF(DATOS_[[Check Periodo Ref.]:[Check Periodo Ref.]]="Dentro",IF(DATOS_[[Check Equiparado]:[Check Equiparado]]="Sí",IF(DATOS!AZ$4="Sí",(1/DATOS_[[% anualiz]:[% anualiz]]),1)*IF(DATOS!AZ$5="Sí",1/DATOS_[[% normaliz]:[% normaliz]],1)*(DATOS_[Conc.Sal.22])))))))), 0)</f>
        <v>0</v>
      </c>
      <c r="AF25" s="250" t="n">
        <f aca="false" t="array" ref="AF25:AF25">IFERROR( (MEDIAN((IF(DATOS_[[Sexo]:[Sexo]]=$B25,IF(DATOS_[[AGRUP. CLAS. PROF.]:[AGRUP. CLAS. PROF.]]=$B24,IF(DATOS_[[Check Periodo Ref.]:[Check Periodo Ref.]]="Dentro",IF(DATOS_[[Check Equiparado]:[Check Equiparado]]="Sí",IF(DATOS!BA$4="Sí",(1/DATOS_[[% anualiz]:[% anualiz]]),1)*IF(DATOS!BA$5="Sí",1/DATOS_[[% normaliz]:[% normaliz]],1)*(DATOS_[Conc.Sal.23])))))))), 0)</f>
        <v>0</v>
      </c>
      <c r="AG25" s="250" t="n">
        <f aca="false" t="array" ref="AG25:AG25">IFERROR( (MEDIAN((IF(DATOS_[[Sexo]:[Sexo]]=$B25,IF(DATOS_[[AGRUP. CLAS. PROF.]:[AGRUP. CLAS. PROF.]]=$B24,IF(DATOS_[[Check Periodo Ref.]:[Check Periodo Ref.]]="Dentro",IF(DATOS_[[Check Equiparado]:[Check Equiparado]]="Sí",IF(DATOS!BB$4="Sí",(1/DATOS_[[% anualiz]:[% anualiz]]),1)*IF(DATOS!BB$5="Sí",1/DATOS_[[% normaliz]:[% normaliz]],1)*(DATOS_[Conc.Sal.24])))))))), 0)</f>
        <v>0</v>
      </c>
      <c r="AH25" s="250" t="n">
        <f aca="false" t="array" ref="AH25:AH25">IFERROR( (MEDIAN((IF(DATOS_[[Sexo]:[Sexo]]=$B25,IF(DATOS_[[AGRUP. CLAS. PROF.]:[AGRUP. CLAS. PROF.]]=$B24,IF(DATOS_[[Check Periodo Ref.]:[Check Periodo Ref.]]="Dentro",IF(DATOS_[[Check Equiparado]:[Check Equiparado]]="Sí",IF(DATOS!BC$4="Sí",(1/DATOS_[[% anualiz]:[% anualiz]]),1)*IF(DATOS!BC$5="Sí",1/DATOS_[[% normaliz]:[% normaliz]],1)*(DATOS_[Conc.Sal.25])))))))), 0)</f>
        <v>0</v>
      </c>
      <c r="AI25" s="250" t="n">
        <f aca="false" t="array" ref="AI25:AI25">IFERROR( (MEDIAN((IF(DATOS_[[Sexo]:[Sexo]]=$B25,IF(DATOS_[[AGRUP. CLAS. PROF.]:[AGRUP. CLAS. PROF.]]=$B24,IF(DATOS_[[Check Periodo Ref.]:[Check Periodo Ref.]]="Dentro",IF(DATOS_[[Check Equiparado]:[Check Equiparado]]="Sí",IF(DATOS!BD$4="Sí",(1/DATOS_[[% anualiz]:[% anualiz]]),1)*IF(DATOS!BD$5="Sí",1/DATOS_[[% normaliz]:[% normaliz]],1)*(DATOS_[Conc.Sal.26])))))))), 0)</f>
        <v>0</v>
      </c>
      <c r="AJ25" s="250" t="n">
        <f aca="false" t="array" ref="AJ25:AJ25">IFERROR( (MEDIAN((IF(DATOS_[[Sexo]:[Sexo]]=$B25,IF(DATOS_[[AGRUP. CLAS. PROF.]:[AGRUP. CLAS. PROF.]]=$B24,IF(DATOS_[[Check Periodo Ref.]:[Check Periodo Ref.]]="Dentro",IF(DATOS_[[Check Equiparado]:[Check Equiparado]]="Sí",IF(DATOS!BE$4="Sí",(1/DATOS_[[% anualiz]:[% anualiz]]),1)*IF(DATOS!BE$5="Sí",1/DATOS_[[% normaliz]:[% normaliz]],1)*(DATOS_[Conc.Sal.27])))))))), 0)</f>
        <v>0</v>
      </c>
      <c r="AK25" s="250" t="n">
        <f aca="false" t="array" ref="AK25:AK25">IFERROR( (MEDIAN((IF(DATOS_[[Sexo]:[Sexo]]=$B25,IF(DATOS_[[AGRUP. CLAS. PROF.]:[AGRUP. CLAS. PROF.]]=$B24,IF(DATOS_[[Check Periodo Ref.]:[Check Periodo Ref.]]="Dentro",IF(DATOS_[[Check Equiparado]:[Check Equiparado]]="Sí",IF(DATOS!BF$4="Sí",(1/DATOS_[[% anualiz]:[% anualiz]]),1)*IF(DATOS!BF$5="Sí",1/DATOS_[[% normaliz]:[% normaliz]],1)*(DATOS_[Conc.Sal.28])))))))), 0)</f>
        <v>0</v>
      </c>
      <c r="AL25" s="250" t="n">
        <f aca="false" t="array" ref="AL25:AL25">IFERROR( (MEDIAN((IF(DATOS_[[Sexo]:[Sexo]]=$B25,IF(DATOS_[[AGRUP. CLAS. PROF.]:[AGRUP. CLAS. PROF.]]=$B24,IF(DATOS_[[Check Periodo Ref.]:[Check Periodo Ref.]]="Dentro",IF(DATOS_[[Check Equiparado]:[Check Equiparado]]="Sí",IF(DATOS!BG$4="Sí",(1/DATOS_[[% anualiz]:[% anualiz]]),1)*IF(DATOS!BG$5="Sí",1/DATOS_[[% normaliz]:[% normaliz]],1)*(DATOS_[Conc.Sal.29])))))))), 0)</f>
        <v>0</v>
      </c>
      <c r="AM25" s="250" t="n">
        <f aca="false" t="array" ref="AM25:AM25">IFERROR( (MEDIAN((IF(DATOS_[[Sexo]:[Sexo]]=$B25,IF(DATOS_[[AGRUP. CLAS. PROF.]:[AGRUP. CLAS. PROF.]]=$B24,IF(DATOS_[[Check Periodo Ref.]:[Check Periodo Ref.]]="Dentro",IF(DATOS_[[Check Equiparado]:[Check Equiparado]]="Sí",IF(DATOS!BH$4="Sí",(1/DATOS_[[% anualiz]:[% anualiz]]),1)*IF(DATOS!BH$5="Sí",1/DATOS_[[% normaliz]:[% normaliz]],1)*(DATOS_[Conc.Sal.30])))))))), 0)</f>
        <v>0</v>
      </c>
      <c r="AN25" s="251" t="n">
        <f aca="false" t="array" ref="AN25:AN25">IFERROR( MEDIAN(IF(DATOS_[Sexo]=$B25,IF(DATOS_[[AGRUP. CLAS. PROF.]:[AGRUP. CLAS. PROF.]]=$B24,IF(DATOS_[Check Equiparado]="Sí",IF(DATOS_[Check Periodo Ref.]="Dentro",DATOS_[Tot COMPL.SAL Eq],0))))), 0)</f>
        <v>0</v>
      </c>
      <c r="AO25" s="252" t="n">
        <f aca="false" t="array" ref="AO25:AO25">IFERROR( MEDIAN(IF(DATOS_[Sexo]=$B25,IF(DATOS_[[AGRUP. CLAS. PROF.]:[AGRUP. CLAS. PROF.]]=$B24,IF(DATOS_[Check Equiparado]="Sí",IF(DATOS_[Check Periodo Ref.]="Dentro",DATOS_[TOTAL SALARIO Eq],0))))), 0)</f>
        <v>0</v>
      </c>
      <c r="AP25" s="259" t="n">
        <f aca="false" t="array" ref="AP25:AP25">IFERROR( (MEDIAN((IF(DATOS_[[Sexo]:[Sexo]]=$B25,IF(DATOS_[[AGRUP. CLAS. PROF.]:[AGRUP. CLAS. PROF.]]=$B24,IF(DATOS_[[Check Periodo Ref.]:[Check Periodo Ref.]]="Dentro",IF(DATOS_[[Check Equiparado]:[Check Equiparado]]="Sí",IF(DATOS!BI$4="Sí",(1/DATOS_[[% anualiz]:[% anualiz]]),1)*IF(DATOS!BI$5="Sí",1/DATOS_[[% normaliz]:[% normaliz]],1)*(DATOS_[C.Extra.01])))))))), 0)</f>
        <v>0</v>
      </c>
      <c r="AQ25" s="259" t="n">
        <f aca="false" t="array" ref="AQ25:AQ25">IFERROR( (MEDIAN((IF(DATOS_[[Sexo]:[Sexo]]=$B25,IF(DATOS_[[AGRUP. CLAS. PROF.]:[AGRUP. CLAS. PROF.]]=$B24,IF(DATOS_[[Check Periodo Ref.]:[Check Periodo Ref.]]="Dentro",IF(DATOS_[[Check Equiparado]:[Check Equiparado]]="Sí",IF(DATOS!BJ$4="Sí",(1/DATOS_[[% anualiz]:[% anualiz]]),1)*IF(DATOS!BJ$5="Sí",1/DATOS_[[% normaliz]:[% normaliz]],1)*(DATOS_[C.Extra.02])))))))), 0)</f>
        <v>0</v>
      </c>
      <c r="AR25" s="259" t="n">
        <f aca="false" t="array" ref="AR25:AR25">IFERROR( (MEDIAN((IF(DATOS_[[Sexo]:[Sexo]]=$B25,IF(DATOS_[[AGRUP. CLAS. PROF.]:[AGRUP. CLAS. PROF.]]=$B24,IF(DATOS_[[Check Periodo Ref.]:[Check Periodo Ref.]]="Dentro",IF(DATOS_[[Check Equiparado]:[Check Equiparado]]="Sí",IF(DATOS!BK$4="Sí",(1/DATOS_[[% anualiz]:[% anualiz]]),1)*IF(DATOS!BK$5="Sí",1/DATOS_[[% normaliz]:[% normaliz]],1)*(DATOS_[C.Extra.03])))))))), 0)</f>
        <v>0</v>
      </c>
      <c r="AS25" s="259" t="n">
        <f aca="false" t="array" ref="AS25:AS25">IFERROR( (MEDIAN((IF(DATOS_[[Sexo]:[Sexo]]=$B25,IF(DATOS_[[AGRUP. CLAS. PROF.]:[AGRUP. CLAS. PROF.]]=$B24,IF(DATOS_[[Check Periodo Ref.]:[Check Periodo Ref.]]="Dentro",IF(DATOS_[[Check Equiparado]:[Check Equiparado]]="Sí",IF(DATOS!BL$4="Sí",(1/DATOS_[[% anualiz]:[% anualiz]]),1)*IF(DATOS!BL$5="Sí",1/DATOS_[[% normaliz]:[% normaliz]],1)*(DATOS_[C.Extra.04])))))))), 0)</f>
        <v>0</v>
      </c>
      <c r="AT25" s="259" t="n">
        <f aca="false" t="array" ref="AT25:AT25">IFERROR( (MEDIAN((IF(DATOS_[[Sexo]:[Sexo]]=$B25,IF(DATOS_[[AGRUP. CLAS. PROF.]:[AGRUP. CLAS. PROF.]]=$B24,IF(DATOS_[[Check Periodo Ref.]:[Check Periodo Ref.]]="Dentro",IF(DATOS_[[Check Equiparado]:[Check Equiparado]]="Sí",IF(DATOS!BM$4="Sí",(1/DATOS_[[% anualiz]:[% anualiz]]),1)*IF(DATOS!BM$5="Sí",1/DATOS_[[% normaliz]:[% normaliz]],1)*(DATOS_[C.Extra.05])))))))), 0)</f>
        <v>0</v>
      </c>
      <c r="AU25" s="254" t="n">
        <f aca="false" t="array" ref="AU25:AU25">IFERROR( MEDIAN(IF(DATOS_[Sexo]=$B25,IF(DATOS_[[AGRUP. CLAS. PROF.]:[AGRUP. CLAS. PROF.]]=$B24,IF(DATOS_[Check Equiparado]="Sí",IF(DATOS_[Check Periodo Ref.]="Dentro",DATOS_[Tot Extrasalarial Eq],0))))), 0)</f>
        <v>0</v>
      </c>
      <c r="AV25" s="255" t="n">
        <f aca="false" t="array" ref="AV25:AV25">IFERROR( MEDIAN(IF(DATOS_[Sexo]=$B25,IF(DATOS_[[AGRUP. CLAS. PROF.]:[AGRUP. CLAS. PROF.]]=$B24,IF(DATOS_[Check Equiparado]="Sí",IF(DATOS_[Check Periodo Ref.]="Dentro",DATOS_[TOTAL Retrib Eq],0))))), 0)</f>
        <v>0</v>
      </c>
    </row>
    <row r="26" customFormat="false" ht="14.25" hidden="false" customHeight="false" outlineLevel="0" collapsed="false">
      <c r="A26" s="217" t="str">
        <f aca="false">+A25</f>
        <v>[ocultar]</v>
      </c>
      <c r="B26" s="323" t="s">
        <v>372</v>
      </c>
      <c r="C26" s="247" t="n">
        <f aca="false" t="array" ref="C26:C26">SUM(IF($B26=DATOS_[Sexo], IF($B24=DATOS_[AGRUP. CLAS. PROF.], IF("Dentro"=DATOS_[Check Periodo Ref.], 1/(COUNTIFS(DATOS_[Sexo],$B26,DATOS_[AGRUP. CLAS. PROF.],$B24,DATOS_[Check Periodo Ref.],"Dentro",DATOS_[id],DATOS_[id]))))))</f>
        <v>0</v>
      </c>
      <c r="D26" s="248" t="n">
        <f aca="false">COUNTIFS(DATOS_[AGRUP. CLAS. PROF.],$B24,DATOS_[Sexo],$B26,DATOS_[Check Periodo Ref.],"Dentro")</f>
        <v>0</v>
      </c>
      <c r="E26" s="248" t="n">
        <f aca="false">COUNTIFS(DATOS_[AGRUP. CLAS. PROF.],$B24,DATOS_[Sexo],$B26,DATOS_[Check Periodo Ref.],"Dentro",DATOS_[Check Nº SC Norm],"Sí")</f>
        <v>0</v>
      </c>
      <c r="F26" s="248" t="n">
        <f aca="false">COUNTIFS(DATOS_[AGRUP. CLAS. PROF.],$B24,DATOS_[Sexo],$B26,DATOS_[Check Periodo Ref.],"Dentro",DATOS_[Check Nº SC Anualiz],"Sí")</f>
        <v>0</v>
      </c>
      <c r="G26" s="248" t="n">
        <f aca="false">COUNTIFS(DATOS_[AGRUP. CLAS. PROF.],$B24,DATOS_[Sexo],$B26,DATOS_[Check Periodo Ref.],"Dentro",DATOS_[Check Nº SC Norm y Anualiz],"Sí")</f>
        <v>0</v>
      </c>
      <c r="H26" s="248" t="n">
        <f aca="false">COUNTIFS(DATOS_[AGRUP. CLAS. PROF.],$B24,DATOS_[Sexo],$B26,DATOS_[Check Periodo Ref.],"Dentro",DATOS_[Check Equiparación],"Sí")</f>
        <v>0</v>
      </c>
      <c r="I26" s="249" t="n">
        <f aca="false" t="array" ref="I26:I26">IFERROR( MEDIAN(IF(DATOS_[Sexo]=$B26,IF(DATOS_[[AGRUP. CLAS. PROF.]:[AGRUP. CLAS. PROF.]]=$B24,IF(DATOS_[Check Equiparado]="Sí",IF(DATOS_[Check Periodo Ref.]="Dentro",DATOS_[SALARIO BASE Eq],0))))), 0)</f>
        <v>0</v>
      </c>
      <c r="J26" s="250" t="n">
        <f aca="false" t="array" ref="J26:J26">IFERROR( (MEDIAN((IF(DATOS_[[Sexo]:[Sexo]]=$B26,IF(DATOS_[[AGRUP. CLAS. PROF.]:[AGRUP. CLAS. PROF.]]=$B24,IF(DATOS_[[Check Periodo Ref.]:[Check Periodo Ref.]]="Dentro",IF(DATOS_[[Check Equiparado]:[Check Equiparado]]="Sí",IF(DATOS!AE$4="Sí",(1/DATOS_[[% anualiz]:[% anualiz]]),1)*IF(DATOS!AE$5="Sí",1/DATOS_[[% normaliz]:[% normaliz]],1)*(DATOS_[Conc.Sal.01])))))))), 0)</f>
        <v>0</v>
      </c>
      <c r="K26" s="250" t="n">
        <f aca="false" t="array" ref="K26:K26">IFERROR( (MEDIAN((IF(DATOS_[[Sexo]:[Sexo]]=$B26,IF(DATOS_[[AGRUP. CLAS. PROF.]:[AGRUP. CLAS. PROF.]]=$B24,IF(DATOS_[[Check Periodo Ref.]:[Check Periodo Ref.]]="Dentro",IF(DATOS_[[Check Equiparado]:[Check Equiparado]]="Sí",IF(DATOS!AF$4="Sí",(1/DATOS_[[% anualiz]:[% anualiz]]),1)*IF(DATOS!AF$5="Sí",1/DATOS_[[% normaliz]:[% normaliz]],1)*(DATOS_[Conc.Sal.02])))))))), 0)</f>
        <v>0</v>
      </c>
      <c r="L26" s="250" t="n">
        <f aca="false" t="array" ref="L26:L26">IFERROR( (MEDIAN((IF(DATOS_[[Sexo]:[Sexo]]=$B26,IF(DATOS_[[AGRUP. CLAS. PROF.]:[AGRUP. CLAS. PROF.]]=$B24,IF(DATOS_[[Check Periodo Ref.]:[Check Periodo Ref.]]="Dentro",IF(DATOS_[[Check Equiparado]:[Check Equiparado]]="Sí",IF(DATOS!AG$4="Sí",(1/DATOS_[[% anualiz]:[% anualiz]]),1)*IF(DATOS!AG$5="Sí",1/DATOS_[[% normaliz]:[% normaliz]],1)*(DATOS_[Conc.Sal.03])))))))), 0)</f>
        <v>0</v>
      </c>
      <c r="M26" s="250" t="n">
        <f aca="false" t="array" ref="M26:M26">IFERROR( (MEDIAN((IF(DATOS_[[Sexo]:[Sexo]]=$B26,IF(DATOS_[[AGRUP. CLAS. PROF.]:[AGRUP. CLAS. PROF.]]=$B24,IF(DATOS_[[Check Periodo Ref.]:[Check Periodo Ref.]]="Dentro",IF(DATOS_[[Check Equiparado]:[Check Equiparado]]="Sí",IF(DATOS!AH$4="Sí",(1/DATOS_[[% anualiz]:[% anualiz]]),1)*IF(DATOS!AH$5="Sí",1/DATOS_[[% normaliz]:[% normaliz]],1)*(DATOS_[Conc.Sal.04])))))))), 0)</f>
        <v>0</v>
      </c>
      <c r="N26" s="250" t="n">
        <f aca="false" t="array" ref="N26:N26">IFERROR( (MEDIAN((IF(DATOS_[[Sexo]:[Sexo]]=$B26,IF(DATOS_[[AGRUP. CLAS. PROF.]:[AGRUP. CLAS. PROF.]]=$B24,IF(DATOS_[[Check Periodo Ref.]:[Check Periodo Ref.]]="Dentro",IF(DATOS_[[Check Equiparado]:[Check Equiparado]]="Sí",IF(DATOS!AI$4="Sí",(1/DATOS_[[% anualiz]:[% anualiz]]),1)*IF(DATOS!AI$5="Sí",1/DATOS_[[% normaliz]:[% normaliz]],1)*(DATOS_[Conc.Sal.05])))))))), 0)</f>
        <v>0</v>
      </c>
      <c r="O26" s="250" t="n">
        <f aca="false" t="array" ref="O26:O26">IFERROR( (MEDIAN((IF(DATOS_[[Sexo]:[Sexo]]=$B26,IF(DATOS_[[AGRUP. CLAS. PROF.]:[AGRUP. CLAS. PROF.]]=$B24,IF(DATOS_[[Check Periodo Ref.]:[Check Periodo Ref.]]="Dentro",IF(DATOS_[[Check Equiparado]:[Check Equiparado]]="Sí",IF(DATOS!AJ$4="Sí",(1/DATOS_[[% anualiz]:[% anualiz]]),1)*IF(DATOS!AJ$5="Sí",1/DATOS_[[% normaliz]:[% normaliz]],1)*(DATOS_[Conc.Sal.06])))))))), 0)</f>
        <v>0</v>
      </c>
      <c r="P26" s="250" t="n">
        <f aca="false" t="array" ref="P26:P26">IFERROR( (MEDIAN((IF(DATOS_[[Sexo]:[Sexo]]=$B26,IF(DATOS_[[AGRUP. CLAS. PROF.]:[AGRUP. CLAS. PROF.]]=$B24,IF(DATOS_[[Check Periodo Ref.]:[Check Periodo Ref.]]="Dentro",IF(DATOS_[[Check Equiparado]:[Check Equiparado]]="Sí",IF(DATOS!AK$4="Sí",(1/DATOS_[[% anualiz]:[% anualiz]]),1)*IF(DATOS!AK$5="Sí",1/DATOS_[[% normaliz]:[% normaliz]],1)*(DATOS_[Conc.Sal.07])))))))), 0)</f>
        <v>0</v>
      </c>
      <c r="Q26" s="250" t="n">
        <f aca="false" t="array" ref="Q26:Q26">IFERROR( (MEDIAN((IF(DATOS_[[Sexo]:[Sexo]]=$B26,IF(DATOS_[[AGRUP. CLAS. PROF.]:[AGRUP. CLAS. PROF.]]=$B24,IF(DATOS_[[Check Periodo Ref.]:[Check Periodo Ref.]]="Dentro",IF(DATOS_[[Check Equiparado]:[Check Equiparado]]="Sí",IF(DATOS!AL$4="Sí",(1/DATOS_[[% anualiz]:[% anualiz]]),1)*IF(DATOS!AL$5="Sí",1/DATOS_[[% normaliz]:[% normaliz]],1)*(DATOS_[Conc.Sal.08])))))))), 0)</f>
        <v>0</v>
      </c>
      <c r="R26" s="250" t="n">
        <f aca="false" t="array" ref="R26:R26">IFERROR( (MEDIAN((IF(DATOS_[[Sexo]:[Sexo]]=$B26,IF(DATOS_[[AGRUP. CLAS. PROF.]:[AGRUP. CLAS. PROF.]]=$B24,IF(DATOS_[[Check Periodo Ref.]:[Check Periodo Ref.]]="Dentro",IF(DATOS_[[Check Equiparado]:[Check Equiparado]]="Sí",IF(DATOS!AM$4="Sí",(1/DATOS_[[% anualiz]:[% anualiz]]),1)*IF(DATOS!AM$5="Sí",1/DATOS_[[% normaliz]:[% normaliz]],1)*(DATOS_[Conc.Sal.09])))))))), 0)</f>
        <v>0</v>
      </c>
      <c r="S26" s="250" t="n">
        <f aca="false" t="array" ref="S26:S26">IFERROR( (MEDIAN((IF(DATOS_[[Sexo]:[Sexo]]=$B26,IF(DATOS_[[AGRUP. CLAS. PROF.]:[AGRUP. CLAS. PROF.]]=$B24,IF(DATOS_[[Check Periodo Ref.]:[Check Periodo Ref.]]="Dentro",IF(DATOS_[[Check Equiparado]:[Check Equiparado]]="Sí",IF(DATOS!AN$4="Sí",(1/DATOS_[[% anualiz]:[% anualiz]]),1)*IF(DATOS!AN$5="Sí",1/DATOS_[[% normaliz]:[% normaliz]],1)*(DATOS_[Conc.Sal.10])))))))), 0)</f>
        <v>0</v>
      </c>
      <c r="T26" s="250" t="n">
        <f aca="false" t="array" ref="T26:T26">IFERROR( (MEDIAN((IF(DATOS_[[Sexo]:[Sexo]]=$B26,IF(DATOS_[[AGRUP. CLAS. PROF.]:[AGRUP. CLAS. PROF.]]=$B24,IF(DATOS_[[Check Periodo Ref.]:[Check Periodo Ref.]]="Dentro",IF(DATOS_[[Check Equiparado]:[Check Equiparado]]="Sí",IF(DATOS!AO$4="Sí",(1/DATOS_[[% anualiz]:[% anualiz]]),1)*IF(DATOS!AO$5="Sí",1/DATOS_[[% normaliz]:[% normaliz]],1)*(DATOS_[Conc.Sal.11])))))))), 0)</f>
        <v>0</v>
      </c>
      <c r="U26" s="250" t="n">
        <f aca="false" t="array" ref="U26:U26">IFERROR( (MEDIAN((IF(DATOS_[[Sexo]:[Sexo]]=$B26,IF(DATOS_[[AGRUP. CLAS. PROF.]:[AGRUP. CLAS. PROF.]]=$B24,IF(DATOS_[[Check Periodo Ref.]:[Check Periodo Ref.]]="Dentro",IF(DATOS_[[Check Equiparado]:[Check Equiparado]]="Sí",IF(DATOS!AP$4="Sí",(1/DATOS_[[% anualiz]:[% anualiz]]),1)*IF(DATOS!AP$5="Sí",1/DATOS_[[% normaliz]:[% normaliz]],1)*(DATOS_[Conc.Sal.12])))))))), 0)</f>
        <v>0</v>
      </c>
      <c r="V26" s="250" t="n">
        <f aca="false" t="array" ref="V26:V26">IFERROR( (MEDIAN((IF(DATOS_[[Sexo]:[Sexo]]=$B26,IF(DATOS_[[AGRUP. CLAS. PROF.]:[AGRUP. CLAS. PROF.]]=$B24,IF(DATOS_[[Check Periodo Ref.]:[Check Periodo Ref.]]="Dentro",IF(DATOS_[[Check Equiparado]:[Check Equiparado]]="Sí",IF(DATOS!AQ$4="Sí",(1/DATOS_[[% anualiz]:[% anualiz]]),1)*IF(DATOS!AQ$5="Sí",1/DATOS_[[% normaliz]:[% normaliz]],1)*(DATOS_[Conc.Sal.13])))))))), 0)</f>
        <v>0</v>
      </c>
      <c r="W26" s="250" t="n">
        <f aca="false" t="array" ref="W26:W26">IFERROR( (MEDIAN((IF(DATOS_[[Sexo]:[Sexo]]=$B26,IF(DATOS_[[AGRUP. CLAS. PROF.]:[AGRUP. CLAS. PROF.]]=$B24,IF(DATOS_[[Check Periodo Ref.]:[Check Periodo Ref.]]="Dentro",IF(DATOS_[[Check Equiparado]:[Check Equiparado]]="Sí",IF(DATOS!AR$4="Sí",(1/DATOS_[[% anualiz]:[% anualiz]]),1)*IF(DATOS!AR$5="Sí",1/DATOS_[[% normaliz]:[% normaliz]],1)*(DATOS_[Conc.Sal.14])))))))), 0)</f>
        <v>0</v>
      </c>
      <c r="X26" s="250" t="n">
        <f aca="false" t="array" ref="X26:X26">IFERROR( (MEDIAN((IF(DATOS_[[Sexo]:[Sexo]]=$B26,IF(DATOS_[[AGRUP. CLAS. PROF.]:[AGRUP. CLAS. PROF.]]=$B24,IF(DATOS_[[Check Periodo Ref.]:[Check Periodo Ref.]]="Dentro",IF(DATOS_[[Check Equiparado]:[Check Equiparado]]="Sí",IF(DATOS!AS$4="Sí",(1/DATOS_[[% anualiz]:[% anualiz]]),1)*IF(DATOS!AS$5="Sí",1/DATOS_[[% normaliz]:[% normaliz]],1)*(DATOS_[Conc.Sal.15])))))))), 0)</f>
        <v>0</v>
      </c>
      <c r="Y26" s="250" t="n">
        <f aca="false" t="array" ref="Y26:Y26">IFERROR( (MEDIAN((IF(DATOS_[[Sexo]:[Sexo]]=$B26,IF(DATOS_[[AGRUP. CLAS. PROF.]:[AGRUP. CLAS. PROF.]]=$B24,IF(DATOS_[[Check Periodo Ref.]:[Check Periodo Ref.]]="Dentro",IF(DATOS_[[Check Equiparado]:[Check Equiparado]]="Sí",IF(DATOS!AT$4="Sí",(1/DATOS_[[% anualiz]:[% anualiz]]),1)*IF(DATOS!AT$5="Sí",1/DATOS_[[% normaliz]:[% normaliz]],1)*(DATOS_[Conc.Sal.16])))))))), 0)</f>
        <v>0</v>
      </c>
      <c r="Z26" s="250" t="n">
        <f aca="false" t="array" ref="Z26:Z26">IFERROR( (MEDIAN((IF(DATOS_[[Sexo]:[Sexo]]=$B26,IF(DATOS_[[AGRUP. CLAS. PROF.]:[AGRUP. CLAS. PROF.]]=$B24,IF(DATOS_[[Check Periodo Ref.]:[Check Periodo Ref.]]="Dentro",IF(DATOS_[[Check Equiparado]:[Check Equiparado]]="Sí",IF(DATOS!AU$4="Sí",(1/DATOS_[[% anualiz]:[% anualiz]]),1)*IF(DATOS!AU$5="Sí",1/DATOS_[[% normaliz]:[% normaliz]],1)*(DATOS_[Conc.Sal.17])))))))), 0)</f>
        <v>0</v>
      </c>
      <c r="AA26" s="250" t="n">
        <f aca="false" t="array" ref="AA26:AA26">IFERROR( (MEDIAN((IF(DATOS_[[Sexo]:[Sexo]]=$B26,IF(DATOS_[[AGRUP. CLAS. PROF.]:[AGRUP. CLAS. PROF.]]=$B24,IF(DATOS_[[Check Periodo Ref.]:[Check Periodo Ref.]]="Dentro",IF(DATOS_[[Check Equiparado]:[Check Equiparado]]="Sí",IF(DATOS!AV$4="Sí",(1/DATOS_[[% anualiz]:[% anualiz]]),1)*IF(DATOS!AV$5="Sí",1/DATOS_[[% normaliz]:[% normaliz]],1)*(DATOS_[Conc.Sal.18])))))))), 0)</f>
        <v>0</v>
      </c>
      <c r="AB26" s="250" t="n">
        <f aca="false" t="array" ref="AB26:AB26">IFERROR( (MEDIAN((IF(DATOS_[[Sexo]:[Sexo]]=$B26,IF(DATOS_[[AGRUP. CLAS. PROF.]:[AGRUP. CLAS. PROF.]]=$B24,IF(DATOS_[[Check Periodo Ref.]:[Check Periodo Ref.]]="Dentro",IF(DATOS_[[Check Equiparado]:[Check Equiparado]]="Sí",IF(DATOS!AW$4="Sí",(1/DATOS_[[% anualiz]:[% anualiz]]),1)*IF(DATOS!AW$5="Sí",1/DATOS_[[% normaliz]:[% normaliz]],1)*(DATOS_[Conc.Sal.19])))))))), 0)</f>
        <v>0</v>
      </c>
      <c r="AC26" s="250" t="n">
        <f aca="false" t="array" ref="AC26:AC26">IFERROR( (MEDIAN((IF(DATOS_[[Sexo]:[Sexo]]=$B26,IF(DATOS_[[AGRUP. CLAS. PROF.]:[AGRUP. CLAS. PROF.]]=$B24,IF(DATOS_[[Check Periodo Ref.]:[Check Periodo Ref.]]="Dentro",IF(DATOS_[[Check Equiparado]:[Check Equiparado]]="Sí",IF(DATOS!AX$4="Sí",(1/DATOS_[[% anualiz]:[% anualiz]]),1)*IF(DATOS!AX$5="Sí",1/DATOS_[[% normaliz]:[% normaliz]],1)*(DATOS_[Conc.Sal.20])))))))), 0)</f>
        <v>0</v>
      </c>
      <c r="AD26" s="250" t="n">
        <f aca="false" t="array" ref="AD26:AD26">IFERROR( (MEDIAN((IF(DATOS_[[Sexo]:[Sexo]]=$B26,IF(DATOS_[[AGRUP. CLAS. PROF.]:[AGRUP. CLAS. PROF.]]=$B24,IF(DATOS_[[Check Periodo Ref.]:[Check Periodo Ref.]]="Dentro",IF(DATOS_[[Check Equiparado]:[Check Equiparado]]="Sí",IF(DATOS!AY$4="Sí",(1/DATOS_[[% anualiz]:[% anualiz]]),1)*IF(DATOS!AY$5="Sí",1/DATOS_[[% normaliz]:[% normaliz]],1)*(DATOS_[Conc.Sal.21])))))))), 0)</f>
        <v>0</v>
      </c>
      <c r="AE26" s="250" t="n">
        <f aca="false" t="array" ref="AE26:AE26">IFERROR( (MEDIAN((IF(DATOS_[[Sexo]:[Sexo]]=$B26,IF(DATOS_[[AGRUP. CLAS. PROF.]:[AGRUP. CLAS. PROF.]]=$B24,IF(DATOS_[[Check Periodo Ref.]:[Check Periodo Ref.]]="Dentro",IF(DATOS_[[Check Equiparado]:[Check Equiparado]]="Sí",IF(DATOS!AZ$4="Sí",(1/DATOS_[[% anualiz]:[% anualiz]]),1)*IF(DATOS!AZ$5="Sí",1/DATOS_[[% normaliz]:[% normaliz]],1)*(DATOS_[Conc.Sal.22])))))))), 0)</f>
        <v>0</v>
      </c>
      <c r="AF26" s="250" t="n">
        <f aca="false" t="array" ref="AF26:AF26">IFERROR( (MEDIAN((IF(DATOS_[[Sexo]:[Sexo]]=$B26,IF(DATOS_[[AGRUP. CLAS. PROF.]:[AGRUP. CLAS. PROF.]]=$B24,IF(DATOS_[[Check Periodo Ref.]:[Check Periodo Ref.]]="Dentro",IF(DATOS_[[Check Equiparado]:[Check Equiparado]]="Sí",IF(DATOS!BA$4="Sí",(1/DATOS_[[% anualiz]:[% anualiz]]),1)*IF(DATOS!BA$5="Sí",1/DATOS_[[% normaliz]:[% normaliz]],1)*(DATOS_[Conc.Sal.23])))))))), 0)</f>
        <v>0</v>
      </c>
      <c r="AG26" s="250" t="n">
        <f aca="false" t="array" ref="AG26:AG26">IFERROR( (MEDIAN((IF(DATOS_[[Sexo]:[Sexo]]=$B26,IF(DATOS_[[AGRUP. CLAS. PROF.]:[AGRUP. CLAS. PROF.]]=$B24,IF(DATOS_[[Check Periodo Ref.]:[Check Periodo Ref.]]="Dentro",IF(DATOS_[[Check Equiparado]:[Check Equiparado]]="Sí",IF(DATOS!BB$4="Sí",(1/DATOS_[[% anualiz]:[% anualiz]]),1)*IF(DATOS!BB$5="Sí",1/DATOS_[[% normaliz]:[% normaliz]],1)*(DATOS_[Conc.Sal.24])))))))), 0)</f>
        <v>0</v>
      </c>
      <c r="AH26" s="250" t="n">
        <f aca="false" t="array" ref="AH26:AH26">IFERROR( (MEDIAN((IF(DATOS_[[Sexo]:[Sexo]]=$B26,IF(DATOS_[[AGRUP. CLAS. PROF.]:[AGRUP. CLAS. PROF.]]=$B24,IF(DATOS_[[Check Periodo Ref.]:[Check Periodo Ref.]]="Dentro",IF(DATOS_[[Check Equiparado]:[Check Equiparado]]="Sí",IF(DATOS!BC$4="Sí",(1/DATOS_[[% anualiz]:[% anualiz]]),1)*IF(DATOS!BC$5="Sí",1/DATOS_[[% normaliz]:[% normaliz]],1)*(DATOS_[Conc.Sal.25])))))))), 0)</f>
        <v>0</v>
      </c>
      <c r="AI26" s="250" t="n">
        <f aca="false" t="array" ref="AI26:AI26">IFERROR( (MEDIAN((IF(DATOS_[[Sexo]:[Sexo]]=$B26,IF(DATOS_[[AGRUP. CLAS. PROF.]:[AGRUP. CLAS. PROF.]]=$B24,IF(DATOS_[[Check Periodo Ref.]:[Check Periodo Ref.]]="Dentro",IF(DATOS_[[Check Equiparado]:[Check Equiparado]]="Sí",IF(DATOS!BD$4="Sí",(1/DATOS_[[% anualiz]:[% anualiz]]),1)*IF(DATOS!BD$5="Sí",1/DATOS_[[% normaliz]:[% normaliz]],1)*(DATOS_[Conc.Sal.26])))))))), 0)</f>
        <v>0</v>
      </c>
      <c r="AJ26" s="250" t="n">
        <f aca="false" t="array" ref="AJ26:AJ26">IFERROR( (MEDIAN((IF(DATOS_[[Sexo]:[Sexo]]=$B26,IF(DATOS_[[AGRUP. CLAS. PROF.]:[AGRUP. CLAS. PROF.]]=$B24,IF(DATOS_[[Check Periodo Ref.]:[Check Periodo Ref.]]="Dentro",IF(DATOS_[[Check Equiparado]:[Check Equiparado]]="Sí",IF(DATOS!BE$4="Sí",(1/DATOS_[[% anualiz]:[% anualiz]]),1)*IF(DATOS!BE$5="Sí",1/DATOS_[[% normaliz]:[% normaliz]],1)*(DATOS_[Conc.Sal.27])))))))), 0)</f>
        <v>0</v>
      </c>
      <c r="AK26" s="250" t="n">
        <f aca="false" t="array" ref="AK26:AK26">IFERROR( (MEDIAN((IF(DATOS_[[Sexo]:[Sexo]]=$B26,IF(DATOS_[[AGRUP. CLAS. PROF.]:[AGRUP. CLAS. PROF.]]=$B24,IF(DATOS_[[Check Periodo Ref.]:[Check Periodo Ref.]]="Dentro",IF(DATOS_[[Check Equiparado]:[Check Equiparado]]="Sí",IF(DATOS!BF$4="Sí",(1/DATOS_[[% anualiz]:[% anualiz]]),1)*IF(DATOS!BF$5="Sí",1/DATOS_[[% normaliz]:[% normaliz]],1)*(DATOS_[Conc.Sal.28])))))))), 0)</f>
        <v>0</v>
      </c>
      <c r="AL26" s="250" t="n">
        <f aca="false" t="array" ref="AL26:AL26">IFERROR( (MEDIAN((IF(DATOS_[[Sexo]:[Sexo]]=$B26,IF(DATOS_[[AGRUP. CLAS. PROF.]:[AGRUP. CLAS. PROF.]]=$B24,IF(DATOS_[[Check Periodo Ref.]:[Check Periodo Ref.]]="Dentro",IF(DATOS_[[Check Equiparado]:[Check Equiparado]]="Sí",IF(DATOS!BG$4="Sí",(1/DATOS_[[% anualiz]:[% anualiz]]),1)*IF(DATOS!BG$5="Sí",1/DATOS_[[% normaliz]:[% normaliz]],1)*(DATOS_[Conc.Sal.29])))))))), 0)</f>
        <v>0</v>
      </c>
      <c r="AM26" s="250" t="n">
        <f aca="false" t="array" ref="AM26:AM26">IFERROR( (MEDIAN((IF(DATOS_[[Sexo]:[Sexo]]=$B26,IF(DATOS_[[AGRUP. CLAS. PROF.]:[AGRUP. CLAS. PROF.]]=$B24,IF(DATOS_[[Check Periodo Ref.]:[Check Periodo Ref.]]="Dentro",IF(DATOS_[[Check Equiparado]:[Check Equiparado]]="Sí",IF(DATOS!BH$4="Sí",(1/DATOS_[[% anualiz]:[% anualiz]]),1)*IF(DATOS!BH$5="Sí",1/DATOS_[[% normaliz]:[% normaliz]],1)*(DATOS_[Conc.Sal.30])))))))), 0)</f>
        <v>0</v>
      </c>
      <c r="AN26" s="251" t="n">
        <f aca="false" t="array" ref="AN26:AN26">IFERROR( MEDIAN(IF(DATOS_[Sexo]=$B26,IF(DATOS_[[AGRUP. CLAS. PROF.]:[AGRUP. CLAS. PROF.]]=$B24,IF(DATOS_[Check Equiparado]="Sí",IF(DATOS_[Check Periodo Ref.]="Dentro",DATOS_[Tot COMPL.SAL Eq],0))))), 0)</f>
        <v>0</v>
      </c>
      <c r="AO26" s="252" t="n">
        <f aca="false" t="array" ref="AO26:AO26">IFERROR( MEDIAN(IF(DATOS_[Sexo]=$B26,IF(DATOS_[[AGRUP. CLAS. PROF.]:[AGRUP. CLAS. PROF.]]=$B24,IF(DATOS_[Check Equiparado]="Sí",IF(DATOS_[Check Periodo Ref.]="Dentro",DATOS_[TOTAL SALARIO Eq],0))))), 0)</f>
        <v>0</v>
      </c>
      <c r="AP26" s="259" t="n">
        <f aca="false" t="array" ref="AP26:AP26">IFERROR( (MEDIAN((IF(DATOS_[[Sexo]:[Sexo]]=$B26,IF(DATOS_[[AGRUP. CLAS. PROF.]:[AGRUP. CLAS. PROF.]]=$B25,IF(DATOS_[[Check Periodo Ref.]:[Check Periodo Ref.]]="Dentro",IF(DATOS_[[Check Equiparado]:[Check Equiparado]]="Sí",IF(DATOS!BI$4="Sí",(1/DATOS_[[% anualiz]:[% anualiz]]),1)*IF(DATOS!BI$5="Sí",1/DATOS_[[% normaliz]:[% normaliz]],1)*(DATOS_[C.Extra.01])))))))), 0)</f>
        <v>0</v>
      </c>
      <c r="AQ26" s="259" t="n">
        <f aca="false" t="array" ref="AQ26:AQ26">IFERROR( (MEDIAN((IF(DATOS_[[Sexo]:[Sexo]]=$B26,IF(DATOS_[[AGRUP. CLAS. PROF.]:[AGRUP. CLAS. PROF.]]=$B25,IF(DATOS_[[Check Periodo Ref.]:[Check Periodo Ref.]]="Dentro",IF(DATOS_[[Check Equiparado]:[Check Equiparado]]="Sí",IF(DATOS!BJ$4="Sí",(1/DATOS_[[% anualiz]:[% anualiz]]),1)*IF(DATOS!BJ$5="Sí",1/DATOS_[[% normaliz]:[% normaliz]],1)*(DATOS_[C.Extra.02])))))))), 0)</f>
        <v>0</v>
      </c>
      <c r="AR26" s="259" t="n">
        <f aca="false" t="array" ref="AR26:AR26">IFERROR( (MEDIAN((IF(DATOS_[[Sexo]:[Sexo]]=$B26,IF(DATOS_[[AGRUP. CLAS. PROF.]:[AGRUP. CLAS. PROF.]]=$B25,IF(DATOS_[[Check Periodo Ref.]:[Check Periodo Ref.]]="Dentro",IF(DATOS_[[Check Equiparado]:[Check Equiparado]]="Sí",IF(DATOS!BK$4="Sí",(1/DATOS_[[% anualiz]:[% anualiz]]),1)*IF(DATOS!BK$5="Sí",1/DATOS_[[% normaliz]:[% normaliz]],1)*(DATOS_[C.Extra.03])))))))), 0)</f>
        <v>0</v>
      </c>
      <c r="AS26" s="259" t="n">
        <f aca="false" t="array" ref="AS26:AS26">IFERROR( (MEDIAN((IF(DATOS_[[Sexo]:[Sexo]]=$B26,IF(DATOS_[[AGRUP. CLAS. PROF.]:[AGRUP. CLAS. PROF.]]=$B25,IF(DATOS_[[Check Periodo Ref.]:[Check Periodo Ref.]]="Dentro",IF(DATOS_[[Check Equiparado]:[Check Equiparado]]="Sí",IF(DATOS!BL$4="Sí",(1/DATOS_[[% anualiz]:[% anualiz]]),1)*IF(DATOS!BL$5="Sí",1/DATOS_[[% normaliz]:[% normaliz]],1)*(DATOS_[C.Extra.04])))))))), 0)</f>
        <v>0</v>
      </c>
      <c r="AT26" s="259" t="n">
        <f aca="false" t="array" ref="AT26:AT26">IFERROR( (MEDIAN((IF(DATOS_[[Sexo]:[Sexo]]=$B26,IF(DATOS_[[AGRUP. CLAS. PROF.]:[AGRUP. CLAS. PROF.]]=$B25,IF(DATOS_[[Check Periodo Ref.]:[Check Periodo Ref.]]="Dentro",IF(DATOS_[[Check Equiparado]:[Check Equiparado]]="Sí",IF(DATOS!BM$4="Sí",(1/DATOS_[[% anualiz]:[% anualiz]]),1)*IF(DATOS!BM$5="Sí",1/DATOS_[[% normaliz]:[% normaliz]],1)*(DATOS_[C.Extra.05])))))))), 0)</f>
        <v>0</v>
      </c>
      <c r="AU26" s="254" t="n">
        <f aca="false" t="array" ref="AU26:AU26">IFERROR( MEDIAN(IF(DATOS_[Sexo]=$B26,IF(DATOS_[[AGRUP. CLAS. PROF.]:[AGRUP. CLAS. PROF.]]=$B24,IF(DATOS_[Check Equiparado]="Sí",IF(DATOS_[Check Periodo Ref.]="Dentro",DATOS_[Tot Extrasalarial Eq],0))))), 0)</f>
        <v>0</v>
      </c>
      <c r="AV26" s="255" t="n">
        <f aca="false" t="array" ref="AV26:AV26">IFERROR( MEDIAN(IF(DATOS_[Sexo]=$B26,IF(DATOS_[[AGRUP. CLAS. PROF.]:[AGRUP. CLAS. PROF.]]=$B24,IF(DATOS_[Check Equiparado]="Sí",IF(DATOS_[Check Periodo Ref.]="Dentro",DATOS_[TOTAL Retrib Eq],0))))), 0)</f>
        <v>0</v>
      </c>
    </row>
    <row r="27" customFormat="false" ht="15.75" hidden="false" customHeight="false" outlineLevel="0" collapsed="false">
      <c r="A27" s="217" t="str">
        <f aca="false">+A28</f>
        <v>[ocultar]</v>
      </c>
      <c r="B27" s="320" t="s">
        <v>181</v>
      </c>
      <c r="C27" s="236"/>
      <c r="D27" s="237"/>
      <c r="E27" s="237"/>
      <c r="F27" s="237"/>
      <c r="G27" s="237"/>
      <c r="H27" s="237"/>
      <c r="I27" s="238"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39" t="str">
        <f aca="false">IFERROR((V28-V29)/V28,"")</f>
        <v/>
      </c>
      <c r="W27" s="239" t="str">
        <f aca="false">IFERROR((W28-W29)/W28,"")</f>
        <v/>
      </c>
      <c r="X27" s="239" t="str">
        <f aca="false">IFERROR((X28-X29)/X28,"")</f>
        <v/>
      </c>
      <c r="Y27" s="239"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0" t="str">
        <f aca="false">IFERROR((AJ28-AJ29)/AJ28,"")</f>
        <v/>
      </c>
      <c r="AK27" s="240" t="str">
        <f aca="false">IFERROR((AK28-AK29)/AK28,"")</f>
        <v/>
      </c>
      <c r="AL27" s="240" t="str">
        <f aca="false">IFERROR((AL28-AL29)/AL28,"")</f>
        <v/>
      </c>
      <c r="AM27" s="240" t="str">
        <f aca="false">IFERROR((AM28-AM29)/AM28,"")</f>
        <v/>
      </c>
      <c r="AN27" s="241" t="str">
        <f aca="false">IFERROR((AN28-AN29)/AN28,"")</f>
        <v/>
      </c>
      <c r="AO27" s="242" t="str">
        <f aca="false">IFERROR((AO28-AO29)/AO28,"")</f>
        <v/>
      </c>
      <c r="AP27" s="243" t="str">
        <f aca="false">IFERROR((AP28-AP29)/AP28,"")</f>
        <v/>
      </c>
      <c r="AQ27" s="243" t="str">
        <f aca="false">IFERROR((AQ28-AQ29)/AQ28,"")</f>
        <v/>
      </c>
      <c r="AR27" s="243" t="str">
        <f aca="false">IFERROR((AR28-AR29)/AR28,"")</f>
        <v/>
      </c>
      <c r="AS27" s="243" t="str">
        <f aca="false">IFERROR((AS28-AS29)/AS28,"")</f>
        <v/>
      </c>
      <c r="AT27" s="243" t="str">
        <f aca="false">IFERROR((AT28-AT29)/AT28,"")</f>
        <v/>
      </c>
      <c r="AU27" s="244" t="str">
        <f aca="false">IFERROR((AU28-AU29)/AU28,"")</f>
        <v/>
      </c>
      <c r="AV27" s="245" t="str">
        <f aca="false">IFERROR((AV28-AV29)/AV28,"")</f>
        <v/>
      </c>
    </row>
    <row r="28" customFormat="false" ht="14.25" hidden="false" customHeight="false" outlineLevel="0" collapsed="false">
      <c r="A28" s="217" t="str">
        <f aca="false">+IF(C28+C29=0,"[ocultar]","")</f>
        <v>[ocultar]</v>
      </c>
      <c r="B28" s="323" t="s">
        <v>371</v>
      </c>
      <c r="C28" s="247" t="n">
        <f aca="false" t="array" ref="C28:C28">SUM(IF($B28=DATOS_[Sexo], IF($B27=DATOS_[AGRUP. CLAS. PROF.], IF("Dentro"=DATOS_[Check Periodo Ref.], 1/(COUNTIFS(DATOS_[Sexo],$B28,DATOS_[AGRUP. CLAS. PROF.],$B27,DATOS_[Check Periodo Ref.],"Dentro",DATOS_[id],DATOS_[id]))))))</f>
        <v>0</v>
      </c>
      <c r="D28" s="248" t="n">
        <f aca="false">COUNTIFS(DATOS_[AGRUP. CLAS. PROF.],$B27,DATOS_[Sexo],$B28,DATOS_[Check Periodo Ref.],"Dentro")</f>
        <v>0</v>
      </c>
      <c r="E28" s="248" t="n">
        <f aca="false">COUNTIFS(DATOS_[AGRUP. CLAS. PROF.],$B27,DATOS_[Sexo],$B28,DATOS_[Check Periodo Ref.],"Dentro",DATOS_[Check Nº SC Norm],"Sí")</f>
        <v>0</v>
      </c>
      <c r="F28" s="248" t="n">
        <f aca="false">COUNTIFS(DATOS_[AGRUP. CLAS. PROF.],$B27,DATOS_[Sexo],$B28,DATOS_[Check Periodo Ref.],"Dentro",DATOS_[Check Nº SC Anualiz],"Sí")</f>
        <v>0</v>
      </c>
      <c r="G28" s="248" t="n">
        <f aca="false">COUNTIFS(DATOS_[AGRUP. CLAS. PROF.],$B27,DATOS_[Sexo],$B28,DATOS_[Check Periodo Ref.],"Dentro",DATOS_[Check Nº SC Norm y Anualiz],"Sí")</f>
        <v>0</v>
      </c>
      <c r="H28" s="248" t="n">
        <f aca="false">COUNTIFS(DATOS_[AGRUP. CLAS. PROF.],$B27,DATOS_[Sexo],$B28,DATOS_[Check Periodo Ref.],"Dentro",DATOS_[Check Equiparación],"Sí")</f>
        <v>0</v>
      </c>
      <c r="I28" s="249" t="n">
        <f aca="false" t="array" ref="I28:I28">IFERROR( MEDIAN(IF(DATOS_[Sexo]=$B28,IF(DATOS_[[AGRUP. CLAS. PROF.]:[AGRUP. CLAS. PROF.]]=$B27,IF(DATOS_[Check Equiparado]="Sí",IF(DATOS_[Check Periodo Ref.]="Dentro",DATOS_[SALARIO BASE Eq],0))))), 0)</f>
        <v>0</v>
      </c>
      <c r="J28" s="250" t="n">
        <f aca="false" t="array" ref="J28:J28">IFERROR( (MEDIAN((IF(DATOS_[[Sexo]:[Sexo]]=$B28,IF(DATOS_[[AGRUP. CLAS. PROF.]:[AGRUP. CLAS. PROF.]]=$B27,IF(DATOS_[[Check Periodo Ref.]:[Check Periodo Ref.]]="Dentro",IF(DATOS_[[Check Equiparado]:[Check Equiparado]]="Sí",IF(DATOS!AE$4="Sí",(1/DATOS_[[% anualiz]:[% anualiz]]),1)*IF(DATOS!AE$5="Sí",1/DATOS_[[% normaliz]:[% normaliz]],1)*(DATOS_[Conc.Sal.01])))))))), 0)</f>
        <v>0</v>
      </c>
      <c r="K28" s="250" t="n">
        <f aca="false" t="array" ref="K28:K28">IFERROR( (MEDIAN((IF(DATOS_[[Sexo]:[Sexo]]=$B28,IF(DATOS_[[AGRUP. CLAS. PROF.]:[AGRUP. CLAS. PROF.]]=$B27,IF(DATOS_[[Check Periodo Ref.]:[Check Periodo Ref.]]="Dentro",IF(DATOS_[[Check Equiparado]:[Check Equiparado]]="Sí",IF(DATOS!AF$4="Sí",(1/DATOS_[[% anualiz]:[% anualiz]]),1)*IF(DATOS!AF$5="Sí",1/DATOS_[[% normaliz]:[% normaliz]],1)*(DATOS_[Conc.Sal.02])))))))), 0)</f>
        <v>0</v>
      </c>
      <c r="L28" s="250" t="n">
        <f aca="false" t="array" ref="L28:L28">IFERROR( (MEDIAN((IF(DATOS_[[Sexo]:[Sexo]]=$B28,IF(DATOS_[[AGRUP. CLAS. PROF.]:[AGRUP. CLAS. PROF.]]=$B27,IF(DATOS_[[Check Periodo Ref.]:[Check Periodo Ref.]]="Dentro",IF(DATOS_[[Check Equiparado]:[Check Equiparado]]="Sí",IF(DATOS!AG$4="Sí",(1/DATOS_[[% anualiz]:[% anualiz]]),1)*IF(DATOS!AG$5="Sí",1/DATOS_[[% normaliz]:[% normaliz]],1)*(DATOS_[Conc.Sal.03])))))))), 0)</f>
        <v>0</v>
      </c>
      <c r="M28" s="250" t="n">
        <f aca="false" t="array" ref="M28:M28">IFERROR( (MEDIAN((IF(DATOS_[[Sexo]:[Sexo]]=$B28,IF(DATOS_[[AGRUP. CLAS. PROF.]:[AGRUP. CLAS. PROF.]]=$B27,IF(DATOS_[[Check Periodo Ref.]:[Check Periodo Ref.]]="Dentro",IF(DATOS_[[Check Equiparado]:[Check Equiparado]]="Sí",IF(DATOS!AH$4="Sí",(1/DATOS_[[% anualiz]:[% anualiz]]),1)*IF(DATOS!AH$5="Sí",1/DATOS_[[% normaliz]:[% normaliz]],1)*(DATOS_[Conc.Sal.04])))))))), 0)</f>
        <v>0</v>
      </c>
      <c r="N28" s="250" t="n">
        <f aca="false" t="array" ref="N28:N28">IFERROR( (MEDIAN((IF(DATOS_[[Sexo]:[Sexo]]=$B28,IF(DATOS_[[AGRUP. CLAS. PROF.]:[AGRUP. CLAS. PROF.]]=$B27,IF(DATOS_[[Check Periodo Ref.]:[Check Periodo Ref.]]="Dentro",IF(DATOS_[[Check Equiparado]:[Check Equiparado]]="Sí",IF(DATOS!AI$4="Sí",(1/DATOS_[[% anualiz]:[% anualiz]]),1)*IF(DATOS!AI$5="Sí",1/DATOS_[[% normaliz]:[% normaliz]],1)*(DATOS_[Conc.Sal.05])))))))), 0)</f>
        <v>0</v>
      </c>
      <c r="O28" s="250" t="n">
        <f aca="false" t="array" ref="O28:O28">IFERROR( (MEDIAN((IF(DATOS_[[Sexo]:[Sexo]]=$B28,IF(DATOS_[[AGRUP. CLAS. PROF.]:[AGRUP. CLAS. PROF.]]=$B27,IF(DATOS_[[Check Periodo Ref.]:[Check Periodo Ref.]]="Dentro",IF(DATOS_[[Check Equiparado]:[Check Equiparado]]="Sí",IF(DATOS!AJ$4="Sí",(1/DATOS_[[% anualiz]:[% anualiz]]),1)*IF(DATOS!AJ$5="Sí",1/DATOS_[[% normaliz]:[% normaliz]],1)*(DATOS_[Conc.Sal.06])))))))), 0)</f>
        <v>0</v>
      </c>
      <c r="P28" s="250" t="n">
        <f aca="false" t="array" ref="P28:P28">IFERROR( (MEDIAN((IF(DATOS_[[Sexo]:[Sexo]]=$B28,IF(DATOS_[[AGRUP. CLAS. PROF.]:[AGRUP. CLAS. PROF.]]=$B27,IF(DATOS_[[Check Periodo Ref.]:[Check Periodo Ref.]]="Dentro",IF(DATOS_[[Check Equiparado]:[Check Equiparado]]="Sí",IF(DATOS!AK$4="Sí",(1/DATOS_[[% anualiz]:[% anualiz]]),1)*IF(DATOS!AK$5="Sí",1/DATOS_[[% normaliz]:[% normaliz]],1)*(DATOS_[Conc.Sal.07])))))))), 0)</f>
        <v>0</v>
      </c>
      <c r="Q28" s="250" t="n">
        <f aca="false" t="array" ref="Q28:Q28">IFERROR( (MEDIAN((IF(DATOS_[[Sexo]:[Sexo]]=$B28,IF(DATOS_[[AGRUP. CLAS. PROF.]:[AGRUP. CLAS. PROF.]]=$B27,IF(DATOS_[[Check Periodo Ref.]:[Check Periodo Ref.]]="Dentro",IF(DATOS_[[Check Equiparado]:[Check Equiparado]]="Sí",IF(DATOS!AL$4="Sí",(1/DATOS_[[% anualiz]:[% anualiz]]),1)*IF(DATOS!AL$5="Sí",1/DATOS_[[% normaliz]:[% normaliz]],1)*(DATOS_[Conc.Sal.08])))))))), 0)</f>
        <v>0</v>
      </c>
      <c r="R28" s="250" t="n">
        <f aca="false" t="array" ref="R28:R28">IFERROR( (MEDIAN((IF(DATOS_[[Sexo]:[Sexo]]=$B28,IF(DATOS_[[AGRUP. CLAS. PROF.]:[AGRUP. CLAS. PROF.]]=$B27,IF(DATOS_[[Check Periodo Ref.]:[Check Periodo Ref.]]="Dentro",IF(DATOS_[[Check Equiparado]:[Check Equiparado]]="Sí",IF(DATOS!AM$4="Sí",(1/DATOS_[[% anualiz]:[% anualiz]]),1)*IF(DATOS!AM$5="Sí",1/DATOS_[[% normaliz]:[% normaliz]],1)*(DATOS_[Conc.Sal.09])))))))), 0)</f>
        <v>0</v>
      </c>
      <c r="S28" s="250" t="n">
        <f aca="false" t="array" ref="S28:S28">IFERROR( (MEDIAN((IF(DATOS_[[Sexo]:[Sexo]]=$B28,IF(DATOS_[[AGRUP. CLAS. PROF.]:[AGRUP. CLAS. PROF.]]=$B27,IF(DATOS_[[Check Periodo Ref.]:[Check Periodo Ref.]]="Dentro",IF(DATOS_[[Check Equiparado]:[Check Equiparado]]="Sí",IF(DATOS!AN$4="Sí",(1/DATOS_[[% anualiz]:[% anualiz]]),1)*IF(DATOS!AN$5="Sí",1/DATOS_[[% normaliz]:[% normaliz]],1)*(DATOS_[Conc.Sal.10])))))))), 0)</f>
        <v>0</v>
      </c>
      <c r="T28" s="250" t="n">
        <f aca="false" t="array" ref="T28:T28">IFERROR( (MEDIAN((IF(DATOS_[[Sexo]:[Sexo]]=$B28,IF(DATOS_[[AGRUP. CLAS. PROF.]:[AGRUP. CLAS. PROF.]]=$B27,IF(DATOS_[[Check Periodo Ref.]:[Check Periodo Ref.]]="Dentro",IF(DATOS_[[Check Equiparado]:[Check Equiparado]]="Sí",IF(DATOS!AO$4="Sí",(1/DATOS_[[% anualiz]:[% anualiz]]),1)*IF(DATOS!AO$5="Sí",1/DATOS_[[% normaliz]:[% normaliz]],1)*(DATOS_[Conc.Sal.11])))))))), 0)</f>
        <v>0</v>
      </c>
      <c r="U28" s="250" t="n">
        <f aca="false" t="array" ref="U28:U28">IFERROR( (MEDIAN((IF(DATOS_[[Sexo]:[Sexo]]=$B28,IF(DATOS_[[AGRUP. CLAS. PROF.]:[AGRUP. CLAS. PROF.]]=$B27,IF(DATOS_[[Check Periodo Ref.]:[Check Periodo Ref.]]="Dentro",IF(DATOS_[[Check Equiparado]:[Check Equiparado]]="Sí",IF(DATOS!AP$4="Sí",(1/DATOS_[[% anualiz]:[% anualiz]]),1)*IF(DATOS!AP$5="Sí",1/DATOS_[[% normaliz]:[% normaliz]],1)*(DATOS_[Conc.Sal.12])))))))), 0)</f>
        <v>0</v>
      </c>
      <c r="V28" s="250" t="n">
        <f aca="false" t="array" ref="V28:V28">IFERROR( (MEDIAN((IF(DATOS_[[Sexo]:[Sexo]]=$B28,IF(DATOS_[[AGRUP. CLAS. PROF.]:[AGRUP. CLAS. PROF.]]=$B27,IF(DATOS_[[Check Periodo Ref.]:[Check Periodo Ref.]]="Dentro",IF(DATOS_[[Check Equiparado]:[Check Equiparado]]="Sí",IF(DATOS!AQ$4="Sí",(1/DATOS_[[% anualiz]:[% anualiz]]),1)*IF(DATOS!AQ$5="Sí",1/DATOS_[[% normaliz]:[% normaliz]],1)*(DATOS_[Conc.Sal.13])))))))), 0)</f>
        <v>0</v>
      </c>
      <c r="W28" s="250" t="n">
        <f aca="false" t="array" ref="W28:W28">IFERROR( (MEDIAN((IF(DATOS_[[Sexo]:[Sexo]]=$B28,IF(DATOS_[[AGRUP. CLAS. PROF.]:[AGRUP. CLAS. PROF.]]=$B27,IF(DATOS_[[Check Periodo Ref.]:[Check Periodo Ref.]]="Dentro",IF(DATOS_[[Check Equiparado]:[Check Equiparado]]="Sí",IF(DATOS!AR$4="Sí",(1/DATOS_[[% anualiz]:[% anualiz]]),1)*IF(DATOS!AR$5="Sí",1/DATOS_[[% normaliz]:[% normaliz]],1)*(DATOS_[Conc.Sal.14])))))))), 0)</f>
        <v>0</v>
      </c>
      <c r="X28" s="250" t="n">
        <f aca="false" t="array" ref="X28:X28">IFERROR( (MEDIAN((IF(DATOS_[[Sexo]:[Sexo]]=$B28,IF(DATOS_[[AGRUP. CLAS. PROF.]:[AGRUP. CLAS. PROF.]]=$B27,IF(DATOS_[[Check Periodo Ref.]:[Check Periodo Ref.]]="Dentro",IF(DATOS_[[Check Equiparado]:[Check Equiparado]]="Sí",IF(DATOS!AS$4="Sí",(1/DATOS_[[% anualiz]:[% anualiz]]),1)*IF(DATOS!AS$5="Sí",1/DATOS_[[% normaliz]:[% normaliz]],1)*(DATOS_[Conc.Sal.15])))))))), 0)</f>
        <v>0</v>
      </c>
      <c r="Y28" s="250" t="n">
        <f aca="false" t="array" ref="Y28:Y28">IFERROR( (MEDIAN((IF(DATOS_[[Sexo]:[Sexo]]=$B28,IF(DATOS_[[AGRUP. CLAS. PROF.]:[AGRUP. CLAS. PROF.]]=$B27,IF(DATOS_[[Check Periodo Ref.]:[Check Periodo Ref.]]="Dentro",IF(DATOS_[[Check Equiparado]:[Check Equiparado]]="Sí",IF(DATOS!AT$4="Sí",(1/DATOS_[[% anualiz]:[% anualiz]]),1)*IF(DATOS!AT$5="Sí",1/DATOS_[[% normaliz]:[% normaliz]],1)*(DATOS_[Conc.Sal.16])))))))), 0)</f>
        <v>0</v>
      </c>
      <c r="Z28" s="250" t="n">
        <f aca="false" t="array" ref="Z28:Z28">IFERROR( (MEDIAN((IF(DATOS_[[Sexo]:[Sexo]]=$B28,IF(DATOS_[[AGRUP. CLAS. PROF.]:[AGRUP. CLAS. PROF.]]=$B27,IF(DATOS_[[Check Periodo Ref.]:[Check Periodo Ref.]]="Dentro",IF(DATOS_[[Check Equiparado]:[Check Equiparado]]="Sí",IF(DATOS!AU$4="Sí",(1/DATOS_[[% anualiz]:[% anualiz]]),1)*IF(DATOS!AU$5="Sí",1/DATOS_[[% normaliz]:[% normaliz]],1)*(DATOS_[Conc.Sal.17])))))))), 0)</f>
        <v>0</v>
      </c>
      <c r="AA28" s="250" t="n">
        <f aca="false" t="array" ref="AA28:AA28">IFERROR( (MEDIAN((IF(DATOS_[[Sexo]:[Sexo]]=$B28,IF(DATOS_[[AGRUP. CLAS. PROF.]:[AGRUP. CLAS. PROF.]]=$B27,IF(DATOS_[[Check Periodo Ref.]:[Check Periodo Ref.]]="Dentro",IF(DATOS_[[Check Equiparado]:[Check Equiparado]]="Sí",IF(DATOS!AV$4="Sí",(1/DATOS_[[% anualiz]:[% anualiz]]),1)*IF(DATOS!AV$5="Sí",1/DATOS_[[% normaliz]:[% normaliz]],1)*(DATOS_[Conc.Sal.18])))))))), 0)</f>
        <v>0</v>
      </c>
      <c r="AB28" s="250" t="n">
        <f aca="false" t="array" ref="AB28:AB28">IFERROR( (MEDIAN((IF(DATOS_[[Sexo]:[Sexo]]=$B28,IF(DATOS_[[AGRUP. CLAS. PROF.]:[AGRUP. CLAS. PROF.]]=$B27,IF(DATOS_[[Check Periodo Ref.]:[Check Periodo Ref.]]="Dentro",IF(DATOS_[[Check Equiparado]:[Check Equiparado]]="Sí",IF(DATOS!AW$4="Sí",(1/DATOS_[[% anualiz]:[% anualiz]]),1)*IF(DATOS!AW$5="Sí",1/DATOS_[[% normaliz]:[% normaliz]],1)*(DATOS_[Conc.Sal.19])))))))), 0)</f>
        <v>0</v>
      </c>
      <c r="AC28" s="250" t="n">
        <f aca="false" t="array" ref="AC28:AC28">IFERROR( (MEDIAN((IF(DATOS_[[Sexo]:[Sexo]]=$B28,IF(DATOS_[[AGRUP. CLAS. PROF.]:[AGRUP. CLAS. PROF.]]=$B27,IF(DATOS_[[Check Periodo Ref.]:[Check Periodo Ref.]]="Dentro",IF(DATOS_[[Check Equiparado]:[Check Equiparado]]="Sí",IF(DATOS!AX$4="Sí",(1/DATOS_[[% anualiz]:[% anualiz]]),1)*IF(DATOS!AX$5="Sí",1/DATOS_[[% normaliz]:[% normaliz]],1)*(DATOS_[Conc.Sal.20])))))))), 0)</f>
        <v>0</v>
      </c>
      <c r="AD28" s="250" t="n">
        <f aca="false" t="array" ref="AD28:AD28">IFERROR( (MEDIAN((IF(DATOS_[[Sexo]:[Sexo]]=$B28,IF(DATOS_[[AGRUP. CLAS. PROF.]:[AGRUP. CLAS. PROF.]]=$B27,IF(DATOS_[[Check Periodo Ref.]:[Check Periodo Ref.]]="Dentro",IF(DATOS_[[Check Equiparado]:[Check Equiparado]]="Sí",IF(DATOS!AY$4="Sí",(1/DATOS_[[% anualiz]:[% anualiz]]),1)*IF(DATOS!AY$5="Sí",1/DATOS_[[% normaliz]:[% normaliz]],1)*(DATOS_[Conc.Sal.21])))))))), 0)</f>
        <v>0</v>
      </c>
      <c r="AE28" s="250" t="n">
        <f aca="false" t="array" ref="AE28:AE28">IFERROR( (MEDIAN((IF(DATOS_[[Sexo]:[Sexo]]=$B28,IF(DATOS_[[AGRUP. CLAS. PROF.]:[AGRUP. CLAS. PROF.]]=$B27,IF(DATOS_[[Check Periodo Ref.]:[Check Periodo Ref.]]="Dentro",IF(DATOS_[[Check Equiparado]:[Check Equiparado]]="Sí",IF(DATOS!AZ$4="Sí",(1/DATOS_[[% anualiz]:[% anualiz]]),1)*IF(DATOS!AZ$5="Sí",1/DATOS_[[% normaliz]:[% normaliz]],1)*(DATOS_[Conc.Sal.22])))))))), 0)</f>
        <v>0</v>
      </c>
      <c r="AF28" s="250" t="n">
        <f aca="false" t="array" ref="AF28:AF28">IFERROR( (MEDIAN((IF(DATOS_[[Sexo]:[Sexo]]=$B28,IF(DATOS_[[AGRUP. CLAS. PROF.]:[AGRUP. CLAS. PROF.]]=$B27,IF(DATOS_[[Check Periodo Ref.]:[Check Periodo Ref.]]="Dentro",IF(DATOS_[[Check Equiparado]:[Check Equiparado]]="Sí",IF(DATOS!BA$4="Sí",(1/DATOS_[[% anualiz]:[% anualiz]]),1)*IF(DATOS!BA$5="Sí",1/DATOS_[[% normaliz]:[% normaliz]],1)*(DATOS_[Conc.Sal.23])))))))), 0)</f>
        <v>0</v>
      </c>
      <c r="AG28" s="250" t="n">
        <f aca="false" t="array" ref="AG28:AG28">IFERROR( (MEDIAN((IF(DATOS_[[Sexo]:[Sexo]]=$B28,IF(DATOS_[[AGRUP. CLAS. PROF.]:[AGRUP. CLAS. PROF.]]=$B27,IF(DATOS_[[Check Periodo Ref.]:[Check Periodo Ref.]]="Dentro",IF(DATOS_[[Check Equiparado]:[Check Equiparado]]="Sí",IF(DATOS!BB$4="Sí",(1/DATOS_[[% anualiz]:[% anualiz]]),1)*IF(DATOS!BB$5="Sí",1/DATOS_[[% normaliz]:[% normaliz]],1)*(DATOS_[Conc.Sal.24])))))))), 0)</f>
        <v>0</v>
      </c>
      <c r="AH28" s="250" t="n">
        <f aca="false" t="array" ref="AH28:AH28">IFERROR( (MEDIAN((IF(DATOS_[[Sexo]:[Sexo]]=$B28,IF(DATOS_[[AGRUP. CLAS. PROF.]:[AGRUP. CLAS. PROF.]]=$B27,IF(DATOS_[[Check Periodo Ref.]:[Check Periodo Ref.]]="Dentro",IF(DATOS_[[Check Equiparado]:[Check Equiparado]]="Sí",IF(DATOS!BC$4="Sí",(1/DATOS_[[% anualiz]:[% anualiz]]),1)*IF(DATOS!BC$5="Sí",1/DATOS_[[% normaliz]:[% normaliz]],1)*(DATOS_[Conc.Sal.25])))))))), 0)</f>
        <v>0</v>
      </c>
      <c r="AI28" s="250" t="n">
        <f aca="false" t="array" ref="AI28:AI28">IFERROR( (MEDIAN((IF(DATOS_[[Sexo]:[Sexo]]=$B28,IF(DATOS_[[AGRUP. CLAS. PROF.]:[AGRUP. CLAS. PROF.]]=$B27,IF(DATOS_[[Check Periodo Ref.]:[Check Periodo Ref.]]="Dentro",IF(DATOS_[[Check Equiparado]:[Check Equiparado]]="Sí",IF(DATOS!BD$4="Sí",(1/DATOS_[[% anualiz]:[% anualiz]]),1)*IF(DATOS!BD$5="Sí",1/DATOS_[[% normaliz]:[% normaliz]],1)*(DATOS_[Conc.Sal.26])))))))), 0)</f>
        <v>0</v>
      </c>
      <c r="AJ28" s="250" t="n">
        <f aca="false" t="array" ref="AJ28:AJ28">IFERROR( (MEDIAN((IF(DATOS_[[Sexo]:[Sexo]]=$B28,IF(DATOS_[[AGRUP. CLAS. PROF.]:[AGRUP. CLAS. PROF.]]=$B27,IF(DATOS_[[Check Periodo Ref.]:[Check Periodo Ref.]]="Dentro",IF(DATOS_[[Check Equiparado]:[Check Equiparado]]="Sí",IF(DATOS!BE$4="Sí",(1/DATOS_[[% anualiz]:[% anualiz]]),1)*IF(DATOS!BE$5="Sí",1/DATOS_[[% normaliz]:[% normaliz]],1)*(DATOS_[Conc.Sal.27])))))))), 0)</f>
        <v>0</v>
      </c>
      <c r="AK28" s="250" t="n">
        <f aca="false" t="array" ref="AK28:AK28">IFERROR( (MEDIAN((IF(DATOS_[[Sexo]:[Sexo]]=$B28,IF(DATOS_[[AGRUP. CLAS. PROF.]:[AGRUP. CLAS. PROF.]]=$B27,IF(DATOS_[[Check Periodo Ref.]:[Check Periodo Ref.]]="Dentro",IF(DATOS_[[Check Equiparado]:[Check Equiparado]]="Sí",IF(DATOS!BF$4="Sí",(1/DATOS_[[% anualiz]:[% anualiz]]),1)*IF(DATOS!BF$5="Sí",1/DATOS_[[% normaliz]:[% normaliz]],1)*(DATOS_[Conc.Sal.28])))))))), 0)</f>
        <v>0</v>
      </c>
      <c r="AL28" s="250" t="n">
        <f aca="false" t="array" ref="AL28:AL28">IFERROR( (MEDIAN((IF(DATOS_[[Sexo]:[Sexo]]=$B28,IF(DATOS_[[AGRUP. CLAS. PROF.]:[AGRUP. CLAS. PROF.]]=$B27,IF(DATOS_[[Check Periodo Ref.]:[Check Periodo Ref.]]="Dentro",IF(DATOS_[[Check Equiparado]:[Check Equiparado]]="Sí",IF(DATOS!BG$4="Sí",(1/DATOS_[[% anualiz]:[% anualiz]]),1)*IF(DATOS!BG$5="Sí",1/DATOS_[[% normaliz]:[% normaliz]],1)*(DATOS_[Conc.Sal.29])))))))), 0)</f>
        <v>0</v>
      </c>
      <c r="AM28" s="250" t="n">
        <f aca="false" t="array" ref="AM28:AM28">IFERROR( (MEDIAN((IF(DATOS_[[Sexo]:[Sexo]]=$B28,IF(DATOS_[[AGRUP. CLAS. PROF.]:[AGRUP. CLAS. PROF.]]=$B27,IF(DATOS_[[Check Periodo Ref.]:[Check Periodo Ref.]]="Dentro",IF(DATOS_[[Check Equiparado]:[Check Equiparado]]="Sí",IF(DATOS!BH$4="Sí",(1/DATOS_[[% anualiz]:[% anualiz]]),1)*IF(DATOS!BH$5="Sí",1/DATOS_[[% normaliz]:[% normaliz]],1)*(DATOS_[Conc.Sal.30])))))))), 0)</f>
        <v>0</v>
      </c>
      <c r="AN28" s="251" t="n">
        <f aca="false" t="array" ref="AN28:AN28">IFERROR( MEDIAN(IF(DATOS_[Sexo]=$B28,IF(DATOS_[[AGRUP. CLAS. PROF.]:[AGRUP. CLAS. PROF.]]=$B27,IF(DATOS_[Check Equiparado]="Sí",IF(DATOS_[Check Periodo Ref.]="Dentro",DATOS_[Tot COMPL.SAL Eq],0))))), 0)</f>
        <v>0</v>
      </c>
      <c r="AO28" s="252" t="n">
        <f aca="false" t="array" ref="AO28:AO28">IFERROR( MEDIAN(IF(DATOS_[Sexo]=$B28,IF(DATOS_[[AGRUP. CLAS. PROF.]:[AGRUP. CLAS. PROF.]]=$B27,IF(DATOS_[Check Equiparado]="Sí",IF(DATOS_[Check Periodo Ref.]="Dentro",DATOS_[TOTAL SALARIO Eq],0))))), 0)</f>
        <v>0</v>
      </c>
      <c r="AP28" s="259" t="n">
        <f aca="false" t="array" ref="AP28:AP28">IFERROR( (MEDIAN((IF(DATOS_[[Sexo]:[Sexo]]=$B28,IF(DATOS_[[AGRUP. CLAS. PROF.]:[AGRUP. CLAS. PROF.]]=$B27,IF(DATOS_[[Check Periodo Ref.]:[Check Periodo Ref.]]="Dentro",IF(DATOS_[[Check Equiparado]:[Check Equiparado]]="Sí",IF(DATOS!BI$4="Sí",(1/DATOS_[[% anualiz]:[% anualiz]]),1)*IF(DATOS!BI$5="Sí",1/DATOS_[[% normaliz]:[% normaliz]],1)*(DATOS_[C.Extra.01])))))))), 0)</f>
        <v>0</v>
      </c>
      <c r="AQ28" s="259" t="n">
        <f aca="false" t="array" ref="AQ28:AQ28">IFERROR( (MEDIAN((IF(DATOS_[[Sexo]:[Sexo]]=$B28,IF(DATOS_[[AGRUP. CLAS. PROF.]:[AGRUP. CLAS. PROF.]]=$B27,IF(DATOS_[[Check Periodo Ref.]:[Check Periodo Ref.]]="Dentro",IF(DATOS_[[Check Equiparado]:[Check Equiparado]]="Sí",IF(DATOS!BJ$4="Sí",(1/DATOS_[[% anualiz]:[% anualiz]]),1)*IF(DATOS!BJ$5="Sí",1/DATOS_[[% normaliz]:[% normaliz]],1)*(DATOS_[C.Extra.02])))))))), 0)</f>
        <v>0</v>
      </c>
      <c r="AR28" s="259" t="n">
        <f aca="false" t="array" ref="AR28:AR28">IFERROR( (MEDIAN((IF(DATOS_[[Sexo]:[Sexo]]=$B28,IF(DATOS_[[AGRUP. CLAS. PROF.]:[AGRUP. CLAS. PROF.]]=$B27,IF(DATOS_[[Check Periodo Ref.]:[Check Periodo Ref.]]="Dentro",IF(DATOS_[[Check Equiparado]:[Check Equiparado]]="Sí",IF(DATOS!BK$4="Sí",(1/DATOS_[[% anualiz]:[% anualiz]]),1)*IF(DATOS!BK$5="Sí",1/DATOS_[[% normaliz]:[% normaliz]],1)*(DATOS_[C.Extra.03])))))))), 0)</f>
        <v>0</v>
      </c>
      <c r="AS28" s="259" t="n">
        <f aca="false" t="array" ref="AS28:AS28">IFERROR( (MEDIAN((IF(DATOS_[[Sexo]:[Sexo]]=$B28,IF(DATOS_[[AGRUP. CLAS. PROF.]:[AGRUP. CLAS. PROF.]]=$B27,IF(DATOS_[[Check Periodo Ref.]:[Check Periodo Ref.]]="Dentro",IF(DATOS_[[Check Equiparado]:[Check Equiparado]]="Sí",IF(DATOS!BL$4="Sí",(1/DATOS_[[% anualiz]:[% anualiz]]),1)*IF(DATOS!BL$5="Sí",1/DATOS_[[% normaliz]:[% normaliz]],1)*(DATOS_[C.Extra.04])))))))), 0)</f>
        <v>0</v>
      </c>
      <c r="AT28" s="259" t="n">
        <f aca="false" t="array" ref="AT28:AT28">IFERROR( (MEDIAN((IF(DATOS_[[Sexo]:[Sexo]]=$B28,IF(DATOS_[[AGRUP. CLAS. PROF.]:[AGRUP. CLAS. PROF.]]=$B27,IF(DATOS_[[Check Periodo Ref.]:[Check Periodo Ref.]]="Dentro",IF(DATOS_[[Check Equiparado]:[Check Equiparado]]="Sí",IF(DATOS!BM$4="Sí",(1/DATOS_[[% anualiz]:[% anualiz]]),1)*IF(DATOS!BM$5="Sí",1/DATOS_[[% normaliz]:[% normaliz]],1)*(DATOS_[C.Extra.05])))))))), 0)</f>
        <v>0</v>
      </c>
      <c r="AU28" s="254" t="n">
        <f aca="false" t="array" ref="AU28:AU28">IFERROR( MEDIAN(IF(DATOS_[Sexo]=$B28,IF(DATOS_[[AGRUP. CLAS. PROF.]:[AGRUP. CLAS. PROF.]]=$B27,IF(DATOS_[Check Equiparado]="Sí",IF(DATOS_[Check Periodo Ref.]="Dentro",DATOS_[Tot Extrasalarial Eq],0))))), 0)</f>
        <v>0</v>
      </c>
      <c r="AV28" s="255" t="n">
        <f aca="false" t="array" ref="AV28:AV28">IFERROR( MEDIAN(IF(DATOS_[Sexo]=$B28,IF(DATOS_[[AGRUP. CLAS. PROF.]:[AGRUP. CLAS. PROF.]]=$B27,IF(DATOS_[Check Equiparado]="Sí",IF(DATOS_[Check Periodo Ref.]="Dentro",DATOS_[TOTAL Retrib Eq],0))))), 0)</f>
        <v>0</v>
      </c>
    </row>
    <row r="29" customFormat="false" ht="14.25" hidden="false" customHeight="false" outlineLevel="0" collapsed="false">
      <c r="A29" s="217" t="str">
        <f aca="false">+A28</f>
        <v>[ocultar]</v>
      </c>
      <c r="B29" s="323" t="s">
        <v>372</v>
      </c>
      <c r="C29" s="247" t="n">
        <f aca="false" t="array" ref="C29:C29">SUM(IF($B29=DATOS_[Sexo], IF($B27=DATOS_[AGRUP. CLAS. PROF.], IF("Dentro"=DATOS_[Check Periodo Ref.], 1/(COUNTIFS(DATOS_[Sexo],$B29,DATOS_[AGRUP. CLAS. PROF.],$B27,DATOS_[Check Periodo Ref.],"Dentro",DATOS_[id],DATOS_[id]))))))</f>
        <v>0</v>
      </c>
      <c r="D29" s="248" t="n">
        <f aca="false">COUNTIFS(DATOS_[AGRUP. CLAS. PROF.],$B27,DATOS_[Sexo],$B29,DATOS_[Check Periodo Ref.],"Dentro")</f>
        <v>0</v>
      </c>
      <c r="E29" s="248" t="n">
        <f aca="false">COUNTIFS(DATOS_[AGRUP. CLAS. PROF.],$B27,DATOS_[Sexo],$B29,DATOS_[Check Periodo Ref.],"Dentro",DATOS_[Check Nº SC Norm],"Sí")</f>
        <v>0</v>
      </c>
      <c r="F29" s="248" t="n">
        <f aca="false">COUNTIFS(DATOS_[AGRUP. CLAS. PROF.],$B27,DATOS_[Sexo],$B29,DATOS_[Check Periodo Ref.],"Dentro",DATOS_[Check Nº SC Anualiz],"Sí")</f>
        <v>0</v>
      </c>
      <c r="G29" s="248" t="n">
        <f aca="false">COUNTIFS(DATOS_[AGRUP. CLAS. PROF.],$B27,DATOS_[Sexo],$B29,DATOS_[Check Periodo Ref.],"Dentro",DATOS_[Check Nº SC Norm y Anualiz],"Sí")</f>
        <v>0</v>
      </c>
      <c r="H29" s="248" t="n">
        <f aca="false">COUNTIFS(DATOS_[AGRUP. CLAS. PROF.],$B27,DATOS_[Sexo],$B29,DATOS_[Check Periodo Ref.],"Dentro",DATOS_[Check Equiparación],"Sí")</f>
        <v>0</v>
      </c>
      <c r="I29" s="249" t="n">
        <f aca="false" t="array" ref="I29:I29">IFERROR( MEDIAN(IF(DATOS_[Sexo]=$B29,IF(DATOS_[[AGRUP. CLAS. PROF.]:[AGRUP. CLAS. PROF.]]=$B27,IF(DATOS_[Check Equiparado]="Sí",IF(DATOS_[Check Periodo Ref.]="Dentro",DATOS_[SALARIO BASE Eq],0))))), 0)</f>
        <v>0</v>
      </c>
      <c r="J29" s="250" t="n">
        <f aca="false" t="array" ref="J29:J29">IFERROR( (MEDIAN((IF(DATOS_[[Sexo]:[Sexo]]=$B29,IF(DATOS_[[AGRUP. CLAS. PROF.]:[AGRUP. CLAS. PROF.]]=$B27,IF(DATOS_[[Check Periodo Ref.]:[Check Periodo Ref.]]="Dentro",IF(DATOS_[[Check Equiparado]:[Check Equiparado]]="Sí",IF(DATOS!AE$4="Sí",(1/DATOS_[[% anualiz]:[% anualiz]]),1)*IF(DATOS!AE$5="Sí",1/DATOS_[[% normaliz]:[% normaliz]],1)*(DATOS_[Conc.Sal.01])))))))), 0)</f>
        <v>0</v>
      </c>
      <c r="K29" s="250" t="n">
        <f aca="false" t="array" ref="K29:K29">IFERROR( (MEDIAN((IF(DATOS_[[Sexo]:[Sexo]]=$B29,IF(DATOS_[[AGRUP. CLAS. PROF.]:[AGRUP. CLAS. PROF.]]=$B27,IF(DATOS_[[Check Periodo Ref.]:[Check Periodo Ref.]]="Dentro",IF(DATOS_[[Check Equiparado]:[Check Equiparado]]="Sí",IF(DATOS!AF$4="Sí",(1/DATOS_[[% anualiz]:[% anualiz]]),1)*IF(DATOS!AF$5="Sí",1/DATOS_[[% normaliz]:[% normaliz]],1)*(DATOS_[Conc.Sal.02])))))))), 0)</f>
        <v>0</v>
      </c>
      <c r="L29" s="250" t="n">
        <f aca="false" t="array" ref="L29:L29">IFERROR( (MEDIAN((IF(DATOS_[[Sexo]:[Sexo]]=$B29,IF(DATOS_[[AGRUP. CLAS. PROF.]:[AGRUP. CLAS. PROF.]]=$B27,IF(DATOS_[[Check Periodo Ref.]:[Check Periodo Ref.]]="Dentro",IF(DATOS_[[Check Equiparado]:[Check Equiparado]]="Sí",IF(DATOS!AG$4="Sí",(1/DATOS_[[% anualiz]:[% anualiz]]),1)*IF(DATOS!AG$5="Sí",1/DATOS_[[% normaliz]:[% normaliz]],1)*(DATOS_[Conc.Sal.03])))))))), 0)</f>
        <v>0</v>
      </c>
      <c r="M29" s="250" t="n">
        <f aca="false" t="array" ref="M29:M29">IFERROR( (MEDIAN((IF(DATOS_[[Sexo]:[Sexo]]=$B29,IF(DATOS_[[AGRUP. CLAS. PROF.]:[AGRUP. CLAS. PROF.]]=$B27,IF(DATOS_[[Check Periodo Ref.]:[Check Periodo Ref.]]="Dentro",IF(DATOS_[[Check Equiparado]:[Check Equiparado]]="Sí",IF(DATOS!AH$4="Sí",(1/DATOS_[[% anualiz]:[% anualiz]]),1)*IF(DATOS!AH$5="Sí",1/DATOS_[[% normaliz]:[% normaliz]],1)*(DATOS_[Conc.Sal.04])))))))), 0)</f>
        <v>0</v>
      </c>
      <c r="N29" s="250" t="n">
        <f aca="false" t="array" ref="N29:N29">IFERROR( (MEDIAN((IF(DATOS_[[Sexo]:[Sexo]]=$B29,IF(DATOS_[[AGRUP. CLAS. PROF.]:[AGRUP. CLAS. PROF.]]=$B27,IF(DATOS_[[Check Periodo Ref.]:[Check Periodo Ref.]]="Dentro",IF(DATOS_[[Check Equiparado]:[Check Equiparado]]="Sí",IF(DATOS!AI$4="Sí",(1/DATOS_[[% anualiz]:[% anualiz]]),1)*IF(DATOS!AI$5="Sí",1/DATOS_[[% normaliz]:[% normaliz]],1)*(DATOS_[Conc.Sal.05])))))))), 0)</f>
        <v>0</v>
      </c>
      <c r="O29" s="250" t="n">
        <f aca="false" t="array" ref="O29:O29">IFERROR( (MEDIAN((IF(DATOS_[[Sexo]:[Sexo]]=$B29,IF(DATOS_[[AGRUP. CLAS. PROF.]:[AGRUP. CLAS. PROF.]]=$B27,IF(DATOS_[[Check Periodo Ref.]:[Check Periodo Ref.]]="Dentro",IF(DATOS_[[Check Equiparado]:[Check Equiparado]]="Sí",IF(DATOS!AJ$4="Sí",(1/DATOS_[[% anualiz]:[% anualiz]]),1)*IF(DATOS!AJ$5="Sí",1/DATOS_[[% normaliz]:[% normaliz]],1)*(DATOS_[Conc.Sal.06])))))))), 0)</f>
        <v>0</v>
      </c>
      <c r="P29" s="250" t="n">
        <f aca="false" t="array" ref="P29:P29">IFERROR( (MEDIAN((IF(DATOS_[[Sexo]:[Sexo]]=$B29,IF(DATOS_[[AGRUP. CLAS. PROF.]:[AGRUP. CLAS. PROF.]]=$B27,IF(DATOS_[[Check Periodo Ref.]:[Check Periodo Ref.]]="Dentro",IF(DATOS_[[Check Equiparado]:[Check Equiparado]]="Sí",IF(DATOS!AK$4="Sí",(1/DATOS_[[% anualiz]:[% anualiz]]),1)*IF(DATOS!AK$5="Sí",1/DATOS_[[% normaliz]:[% normaliz]],1)*(DATOS_[Conc.Sal.07])))))))), 0)</f>
        <v>0</v>
      </c>
      <c r="Q29" s="250" t="n">
        <f aca="false" t="array" ref="Q29:Q29">IFERROR( (MEDIAN((IF(DATOS_[[Sexo]:[Sexo]]=$B29,IF(DATOS_[[AGRUP. CLAS. PROF.]:[AGRUP. CLAS. PROF.]]=$B27,IF(DATOS_[[Check Periodo Ref.]:[Check Periodo Ref.]]="Dentro",IF(DATOS_[[Check Equiparado]:[Check Equiparado]]="Sí",IF(DATOS!AL$4="Sí",(1/DATOS_[[% anualiz]:[% anualiz]]),1)*IF(DATOS!AL$5="Sí",1/DATOS_[[% normaliz]:[% normaliz]],1)*(DATOS_[Conc.Sal.08])))))))), 0)</f>
        <v>0</v>
      </c>
      <c r="R29" s="250" t="n">
        <f aca="false" t="array" ref="R29:R29">IFERROR( (MEDIAN((IF(DATOS_[[Sexo]:[Sexo]]=$B29,IF(DATOS_[[AGRUP. CLAS. PROF.]:[AGRUP. CLAS. PROF.]]=$B27,IF(DATOS_[[Check Periodo Ref.]:[Check Periodo Ref.]]="Dentro",IF(DATOS_[[Check Equiparado]:[Check Equiparado]]="Sí",IF(DATOS!AM$4="Sí",(1/DATOS_[[% anualiz]:[% anualiz]]),1)*IF(DATOS!AM$5="Sí",1/DATOS_[[% normaliz]:[% normaliz]],1)*(DATOS_[Conc.Sal.09])))))))), 0)</f>
        <v>0</v>
      </c>
      <c r="S29" s="250" t="n">
        <f aca="false" t="array" ref="S29:S29">IFERROR( (MEDIAN((IF(DATOS_[[Sexo]:[Sexo]]=$B29,IF(DATOS_[[AGRUP. CLAS. PROF.]:[AGRUP. CLAS. PROF.]]=$B27,IF(DATOS_[[Check Periodo Ref.]:[Check Periodo Ref.]]="Dentro",IF(DATOS_[[Check Equiparado]:[Check Equiparado]]="Sí",IF(DATOS!AN$4="Sí",(1/DATOS_[[% anualiz]:[% anualiz]]),1)*IF(DATOS!AN$5="Sí",1/DATOS_[[% normaliz]:[% normaliz]],1)*(DATOS_[Conc.Sal.10])))))))), 0)</f>
        <v>0</v>
      </c>
      <c r="T29" s="250" t="n">
        <f aca="false" t="array" ref="T29:T29">IFERROR( (MEDIAN((IF(DATOS_[[Sexo]:[Sexo]]=$B29,IF(DATOS_[[AGRUP. CLAS. PROF.]:[AGRUP. CLAS. PROF.]]=$B27,IF(DATOS_[[Check Periodo Ref.]:[Check Periodo Ref.]]="Dentro",IF(DATOS_[[Check Equiparado]:[Check Equiparado]]="Sí",IF(DATOS!AO$4="Sí",(1/DATOS_[[% anualiz]:[% anualiz]]),1)*IF(DATOS!AO$5="Sí",1/DATOS_[[% normaliz]:[% normaliz]],1)*(DATOS_[Conc.Sal.11])))))))), 0)</f>
        <v>0</v>
      </c>
      <c r="U29" s="250" t="n">
        <f aca="false" t="array" ref="U29:U29">IFERROR( (MEDIAN((IF(DATOS_[[Sexo]:[Sexo]]=$B29,IF(DATOS_[[AGRUP. CLAS. PROF.]:[AGRUP. CLAS. PROF.]]=$B27,IF(DATOS_[[Check Periodo Ref.]:[Check Periodo Ref.]]="Dentro",IF(DATOS_[[Check Equiparado]:[Check Equiparado]]="Sí",IF(DATOS!AP$4="Sí",(1/DATOS_[[% anualiz]:[% anualiz]]),1)*IF(DATOS!AP$5="Sí",1/DATOS_[[% normaliz]:[% normaliz]],1)*(DATOS_[Conc.Sal.12])))))))), 0)</f>
        <v>0</v>
      </c>
      <c r="V29" s="250" t="n">
        <f aca="false" t="array" ref="V29:V29">IFERROR( (MEDIAN((IF(DATOS_[[Sexo]:[Sexo]]=$B29,IF(DATOS_[[AGRUP. CLAS. PROF.]:[AGRUP. CLAS. PROF.]]=$B27,IF(DATOS_[[Check Periodo Ref.]:[Check Periodo Ref.]]="Dentro",IF(DATOS_[[Check Equiparado]:[Check Equiparado]]="Sí",IF(DATOS!AQ$4="Sí",(1/DATOS_[[% anualiz]:[% anualiz]]),1)*IF(DATOS!AQ$5="Sí",1/DATOS_[[% normaliz]:[% normaliz]],1)*(DATOS_[Conc.Sal.13])))))))), 0)</f>
        <v>0</v>
      </c>
      <c r="W29" s="250" t="n">
        <f aca="false" t="array" ref="W29:W29">IFERROR( (MEDIAN((IF(DATOS_[[Sexo]:[Sexo]]=$B29,IF(DATOS_[[AGRUP. CLAS. PROF.]:[AGRUP. CLAS. PROF.]]=$B27,IF(DATOS_[[Check Periodo Ref.]:[Check Periodo Ref.]]="Dentro",IF(DATOS_[[Check Equiparado]:[Check Equiparado]]="Sí",IF(DATOS!AR$4="Sí",(1/DATOS_[[% anualiz]:[% anualiz]]),1)*IF(DATOS!AR$5="Sí",1/DATOS_[[% normaliz]:[% normaliz]],1)*(DATOS_[Conc.Sal.14])))))))), 0)</f>
        <v>0</v>
      </c>
      <c r="X29" s="250" t="n">
        <f aca="false" t="array" ref="X29:X29">IFERROR( (MEDIAN((IF(DATOS_[[Sexo]:[Sexo]]=$B29,IF(DATOS_[[AGRUP. CLAS. PROF.]:[AGRUP. CLAS. PROF.]]=$B27,IF(DATOS_[[Check Periodo Ref.]:[Check Periodo Ref.]]="Dentro",IF(DATOS_[[Check Equiparado]:[Check Equiparado]]="Sí",IF(DATOS!AS$4="Sí",(1/DATOS_[[% anualiz]:[% anualiz]]),1)*IF(DATOS!AS$5="Sí",1/DATOS_[[% normaliz]:[% normaliz]],1)*(DATOS_[Conc.Sal.15])))))))), 0)</f>
        <v>0</v>
      </c>
      <c r="Y29" s="250" t="n">
        <f aca="false" t="array" ref="Y29:Y29">IFERROR( (MEDIAN((IF(DATOS_[[Sexo]:[Sexo]]=$B29,IF(DATOS_[[AGRUP. CLAS. PROF.]:[AGRUP. CLAS. PROF.]]=$B27,IF(DATOS_[[Check Periodo Ref.]:[Check Periodo Ref.]]="Dentro",IF(DATOS_[[Check Equiparado]:[Check Equiparado]]="Sí",IF(DATOS!AT$4="Sí",(1/DATOS_[[% anualiz]:[% anualiz]]),1)*IF(DATOS!AT$5="Sí",1/DATOS_[[% normaliz]:[% normaliz]],1)*(DATOS_[Conc.Sal.16])))))))), 0)</f>
        <v>0</v>
      </c>
      <c r="Z29" s="250" t="n">
        <f aca="false" t="array" ref="Z29:Z29">IFERROR( (MEDIAN((IF(DATOS_[[Sexo]:[Sexo]]=$B29,IF(DATOS_[[AGRUP. CLAS. PROF.]:[AGRUP. CLAS. PROF.]]=$B27,IF(DATOS_[[Check Periodo Ref.]:[Check Periodo Ref.]]="Dentro",IF(DATOS_[[Check Equiparado]:[Check Equiparado]]="Sí",IF(DATOS!AU$4="Sí",(1/DATOS_[[% anualiz]:[% anualiz]]),1)*IF(DATOS!AU$5="Sí",1/DATOS_[[% normaliz]:[% normaliz]],1)*(DATOS_[Conc.Sal.17])))))))), 0)</f>
        <v>0</v>
      </c>
      <c r="AA29" s="250" t="n">
        <f aca="false" t="array" ref="AA29:AA29">IFERROR( (MEDIAN((IF(DATOS_[[Sexo]:[Sexo]]=$B29,IF(DATOS_[[AGRUP. CLAS. PROF.]:[AGRUP. CLAS. PROF.]]=$B27,IF(DATOS_[[Check Periodo Ref.]:[Check Periodo Ref.]]="Dentro",IF(DATOS_[[Check Equiparado]:[Check Equiparado]]="Sí",IF(DATOS!AV$4="Sí",(1/DATOS_[[% anualiz]:[% anualiz]]),1)*IF(DATOS!AV$5="Sí",1/DATOS_[[% normaliz]:[% normaliz]],1)*(DATOS_[Conc.Sal.18])))))))), 0)</f>
        <v>0</v>
      </c>
      <c r="AB29" s="250" t="n">
        <f aca="false" t="array" ref="AB29:AB29">IFERROR( (MEDIAN((IF(DATOS_[[Sexo]:[Sexo]]=$B29,IF(DATOS_[[AGRUP. CLAS. PROF.]:[AGRUP. CLAS. PROF.]]=$B27,IF(DATOS_[[Check Periodo Ref.]:[Check Periodo Ref.]]="Dentro",IF(DATOS_[[Check Equiparado]:[Check Equiparado]]="Sí",IF(DATOS!AW$4="Sí",(1/DATOS_[[% anualiz]:[% anualiz]]),1)*IF(DATOS!AW$5="Sí",1/DATOS_[[% normaliz]:[% normaliz]],1)*(DATOS_[Conc.Sal.19])))))))), 0)</f>
        <v>0</v>
      </c>
      <c r="AC29" s="250" t="n">
        <f aca="false" t="array" ref="AC29:AC29">IFERROR( (MEDIAN((IF(DATOS_[[Sexo]:[Sexo]]=$B29,IF(DATOS_[[AGRUP. CLAS. PROF.]:[AGRUP. CLAS. PROF.]]=$B27,IF(DATOS_[[Check Periodo Ref.]:[Check Periodo Ref.]]="Dentro",IF(DATOS_[[Check Equiparado]:[Check Equiparado]]="Sí",IF(DATOS!AX$4="Sí",(1/DATOS_[[% anualiz]:[% anualiz]]),1)*IF(DATOS!AX$5="Sí",1/DATOS_[[% normaliz]:[% normaliz]],1)*(DATOS_[Conc.Sal.20])))))))), 0)</f>
        <v>0</v>
      </c>
      <c r="AD29" s="250" t="n">
        <f aca="false" t="array" ref="AD29:AD29">IFERROR( (MEDIAN((IF(DATOS_[[Sexo]:[Sexo]]=$B29,IF(DATOS_[[AGRUP. CLAS. PROF.]:[AGRUP. CLAS. PROF.]]=$B27,IF(DATOS_[[Check Periodo Ref.]:[Check Periodo Ref.]]="Dentro",IF(DATOS_[[Check Equiparado]:[Check Equiparado]]="Sí",IF(DATOS!AY$4="Sí",(1/DATOS_[[% anualiz]:[% anualiz]]),1)*IF(DATOS!AY$5="Sí",1/DATOS_[[% normaliz]:[% normaliz]],1)*(DATOS_[Conc.Sal.21])))))))), 0)</f>
        <v>0</v>
      </c>
      <c r="AE29" s="250" t="n">
        <f aca="false" t="array" ref="AE29:AE29">IFERROR( (MEDIAN((IF(DATOS_[[Sexo]:[Sexo]]=$B29,IF(DATOS_[[AGRUP. CLAS. PROF.]:[AGRUP. CLAS. PROF.]]=$B27,IF(DATOS_[[Check Periodo Ref.]:[Check Periodo Ref.]]="Dentro",IF(DATOS_[[Check Equiparado]:[Check Equiparado]]="Sí",IF(DATOS!AZ$4="Sí",(1/DATOS_[[% anualiz]:[% anualiz]]),1)*IF(DATOS!AZ$5="Sí",1/DATOS_[[% normaliz]:[% normaliz]],1)*(DATOS_[Conc.Sal.22])))))))), 0)</f>
        <v>0</v>
      </c>
      <c r="AF29" s="250" t="n">
        <f aca="false" t="array" ref="AF29:AF29">IFERROR( (MEDIAN((IF(DATOS_[[Sexo]:[Sexo]]=$B29,IF(DATOS_[[AGRUP. CLAS. PROF.]:[AGRUP. CLAS. PROF.]]=$B27,IF(DATOS_[[Check Periodo Ref.]:[Check Periodo Ref.]]="Dentro",IF(DATOS_[[Check Equiparado]:[Check Equiparado]]="Sí",IF(DATOS!BA$4="Sí",(1/DATOS_[[% anualiz]:[% anualiz]]),1)*IF(DATOS!BA$5="Sí",1/DATOS_[[% normaliz]:[% normaliz]],1)*(DATOS_[Conc.Sal.23])))))))), 0)</f>
        <v>0</v>
      </c>
      <c r="AG29" s="250" t="n">
        <f aca="false" t="array" ref="AG29:AG29">IFERROR( (MEDIAN((IF(DATOS_[[Sexo]:[Sexo]]=$B29,IF(DATOS_[[AGRUP. CLAS. PROF.]:[AGRUP. CLAS. PROF.]]=$B27,IF(DATOS_[[Check Periodo Ref.]:[Check Periodo Ref.]]="Dentro",IF(DATOS_[[Check Equiparado]:[Check Equiparado]]="Sí",IF(DATOS!BB$4="Sí",(1/DATOS_[[% anualiz]:[% anualiz]]),1)*IF(DATOS!BB$5="Sí",1/DATOS_[[% normaliz]:[% normaliz]],1)*(DATOS_[Conc.Sal.24])))))))), 0)</f>
        <v>0</v>
      </c>
      <c r="AH29" s="250" t="n">
        <f aca="false" t="array" ref="AH29:AH29">IFERROR( (MEDIAN((IF(DATOS_[[Sexo]:[Sexo]]=$B29,IF(DATOS_[[AGRUP. CLAS. PROF.]:[AGRUP. CLAS. PROF.]]=$B27,IF(DATOS_[[Check Periodo Ref.]:[Check Periodo Ref.]]="Dentro",IF(DATOS_[[Check Equiparado]:[Check Equiparado]]="Sí",IF(DATOS!BC$4="Sí",(1/DATOS_[[% anualiz]:[% anualiz]]),1)*IF(DATOS!BC$5="Sí",1/DATOS_[[% normaliz]:[% normaliz]],1)*(DATOS_[Conc.Sal.25])))))))), 0)</f>
        <v>0</v>
      </c>
      <c r="AI29" s="250" t="n">
        <f aca="false" t="array" ref="AI29:AI29">IFERROR( (MEDIAN((IF(DATOS_[[Sexo]:[Sexo]]=$B29,IF(DATOS_[[AGRUP. CLAS. PROF.]:[AGRUP. CLAS. PROF.]]=$B27,IF(DATOS_[[Check Periodo Ref.]:[Check Periodo Ref.]]="Dentro",IF(DATOS_[[Check Equiparado]:[Check Equiparado]]="Sí",IF(DATOS!BD$4="Sí",(1/DATOS_[[% anualiz]:[% anualiz]]),1)*IF(DATOS!BD$5="Sí",1/DATOS_[[% normaliz]:[% normaliz]],1)*(DATOS_[Conc.Sal.26])))))))), 0)</f>
        <v>0</v>
      </c>
      <c r="AJ29" s="250" t="n">
        <f aca="false" t="array" ref="AJ29:AJ29">IFERROR( (MEDIAN((IF(DATOS_[[Sexo]:[Sexo]]=$B29,IF(DATOS_[[AGRUP. CLAS. PROF.]:[AGRUP. CLAS. PROF.]]=$B27,IF(DATOS_[[Check Periodo Ref.]:[Check Periodo Ref.]]="Dentro",IF(DATOS_[[Check Equiparado]:[Check Equiparado]]="Sí",IF(DATOS!BE$4="Sí",(1/DATOS_[[% anualiz]:[% anualiz]]),1)*IF(DATOS!BE$5="Sí",1/DATOS_[[% normaliz]:[% normaliz]],1)*(DATOS_[Conc.Sal.27])))))))), 0)</f>
        <v>0</v>
      </c>
      <c r="AK29" s="250" t="n">
        <f aca="false" t="array" ref="AK29:AK29">IFERROR( (MEDIAN((IF(DATOS_[[Sexo]:[Sexo]]=$B29,IF(DATOS_[[AGRUP. CLAS. PROF.]:[AGRUP. CLAS. PROF.]]=$B27,IF(DATOS_[[Check Periodo Ref.]:[Check Periodo Ref.]]="Dentro",IF(DATOS_[[Check Equiparado]:[Check Equiparado]]="Sí",IF(DATOS!BF$4="Sí",(1/DATOS_[[% anualiz]:[% anualiz]]),1)*IF(DATOS!BF$5="Sí",1/DATOS_[[% normaliz]:[% normaliz]],1)*(DATOS_[Conc.Sal.28])))))))), 0)</f>
        <v>0</v>
      </c>
      <c r="AL29" s="250" t="n">
        <f aca="false" t="array" ref="AL29:AL29">IFERROR( (MEDIAN((IF(DATOS_[[Sexo]:[Sexo]]=$B29,IF(DATOS_[[AGRUP. CLAS. PROF.]:[AGRUP. CLAS. PROF.]]=$B27,IF(DATOS_[[Check Periodo Ref.]:[Check Periodo Ref.]]="Dentro",IF(DATOS_[[Check Equiparado]:[Check Equiparado]]="Sí",IF(DATOS!BG$4="Sí",(1/DATOS_[[% anualiz]:[% anualiz]]),1)*IF(DATOS!BG$5="Sí",1/DATOS_[[% normaliz]:[% normaliz]],1)*(DATOS_[Conc.Sal.29])))))))), 0)</f>
        <v>0</v>
      </c>
      <c r="AM29" s="250" t="n">
        <f aca="false" t="array" ref="AM29:AM29">IFERROR( (MEDIAN((IF(DATOS_[[Sexo]:[Sexo]]=$B29,IF(DATOS_[[AGRUP. CLAS. PROF.]:[AGRUP. CLAS. PROF.]]=$B27,IF(DATOS_[[Check Periodo Ref.]:[Check Periodo Ref.]]="Dentro",IF(DATOS_[[Check Equiparado]:[Check Equiparado]]="Sí",IF(DATOS!BH$4="Sí",(1/DATOS_[[% anualiz]:[% anualiz]]),1)*IF(DATOS!BH$5="Sí",1/DATOS_[[% normaliz]:[% normaliz]],1)*(DATOS_[Conc.Sal.30])))))))), 0)</f>
        <v>0</v>
      </c>
      <c r="AN29" s="251" t="n">
        <f aca="false" t="array" ref="AN29:AN29">IFERROR( MEDIAN(IF(DATOS_[Sexo]=$B29,IF(DATOS_[[AGRUP. CLAS. PROF.]:[AGRUP. CLAS. PROF.]]=$B27,IF(DATOS_[Check Equiparado]="Sí",IF(DATOS_[Check Periodo Ref.]="Dentro",DATOS_[Tot COMPL.SAL Eq],0))))), 0)</f>
        <v>0</v>
      </c>
      <c r="AO29" s="252" t="n">
        <f aca="false" t="array" ref="AO29:AO29">IFERROR( MEDIAN(IF(DATOS_[Sexo]=$B29,IF(DATOS_[[AGRUP. CLAS. PROF.]:[AGRUP. CLAS. PROF.]]=$B27,IF(DATOS_[Check Equiparado]="Sí",IF(DATOS_[Check Periodo Ref.]="Dentro",DATOS_[TOTAL SALARIO Eq],0))))), 0)</f>
        <v>0</v>
      </c>
      <c r="AP29" s="259" t="n">
        <f aca="false" t="array" ref="AP29:AP29">IFERROR( (MEDIAN((IF(DATOS_[[Sexo]:[Sexo]]=$B29,IF(DATOS_[[AGRUP. CLAS. PROF.]:[AGRUP. CLAS. PROF.]]=$B28,IF(DATOS_[[Check Periodo Ref.]:[Check Periodo Ref.]]="Dentro",IF(DATOS_[[Check Equiparado]:[Check Equiparado]]="Sí",IF(DATOS!BI$4="Sí",(1/DATOS_[[% anualiz]:[% anualiz]]),1)*IF(DATOS!BI$5="Sí",1/DATOS_[[% normaliz]:[% normaliz]],1)*(DATOS_[C.Extra.01])))))))), 0)</f>
        <v>0</v>
      </c>
      <c r="AQ29" s="259" t="n">
        <f aca="false" t="array" ref="AQ29:AQ29">IFERROR( (MEDIAN((IF(DATOS_[[Sexo]:[Sexo]]=$B29,IF(DATOS_[[AGRUP. CLAS. PROF.]:[AGRUP. CLAS. PROF.]]=$B28,IF(DATOS_[[Check Periodo Ref.]:[Check Periodo Ref.]]="Dentro",IF(DATOS_[[Check Equiparado]:[Check Equiparado]]="Sí",IF(DATOS!BJ$4="Sí",(1/DATOS_[[% anualiz]:[% anualiz]]),1)*IF(DATOS!BJ$5="Sí",1/DATOS_[[% normaliz]:[% normaliz]],1)*(DATOS_[C.Extra.02])))))))), 0)</f>
        <v>0</v>
      </c>
      <c r="AR29" s="259" t="n">
        <f aca="false" t="array" ref="AR29:AR29">IFERROR( (MEDIAN((IF(DATOS_[[Sexo]:[Sexo]]=$B29,IF(DATOS_[[AGRUP. CLAS. PROF.]:[AGRUP. CLAS. PROF.]]=$B28,IF(DATOS_[[Check Periodo Ref.]:[Check Periodo Ref.]]="Dentro",IF(DATOS_[[Check Equiparado]:[Check Equiparado]]="Sí",IF(DATOS!BK$4="Sí",(1/DATOS_[[% anualiz]:[% anualiz]]),1)*IF(DATOS!BK$5="Sí",1/DATOS_[[% normaliz]:[% normaliz]],1)*(DATOS_[C.Extra.03])))))))), 0)</f>
        <v>0</v>
      </c>
      <c r="AS29" s="259" t="n">
        <f aca="false" t="array" ref="AS29:AS29">IFERROR( (MEDIAN((IF(DATOS_[[Sexo]:[Sexo]]=$B29,IF(DATOS_[[AGRUP. CLAS. PROF.]:[AGRUP. CLAS. PROF.]]=$B28,IF(DATOS_[[Check Periodo Ref.]:[Check Periodo Ref.]]="Dentro",IF(DATOS_[[Check Equiparado]:[Check Equiparado]]="Sí",IF(DATOS!BL$4="Sí",(1/DATOS_[[% anualiz]:[% anualiz]]),1)*IF(DATOS!BL$5="Sí",1/DATOS_[[% normaliz]:[% normaliz]],1)*(DATOS_[C.Extra.04])))))))), 0)</f>
        <v>0</v>
      </c>
      <c r="AT29" s="259" t="n">
        <f aca="false" t="array" ref="AT29:AT29">IFERROR( (MEDIAN((IF(DATOS_[[Sexo]:[Sexo]]=$B29,IF(DATOS_[[AGRUP. CLAS. PROF.]:[AGRUP. CLAS. PROF.]]=$B28,IF(DATOS_[[Check Periodo Ref.]:[Check Periodo Ref.]]="Dentro",IF(DATOS_[[Check Equiparado]:[Check Equiparado]]="Sí",IF(DATOS!BM$4="Sí",(1/DATOS_[[% anualiz]:[% anualiz]]),1)*IF(DATOS!BM$5="Sí",1/DATOS_[[% normaliz]:[% normaliz]],1)*(DATOS_[C.Extra.05])))))))), 0)</f>
        <v>0</v>
      </c>
      <c r="AU29" s="254" t="n">
        <f aca="false" t="array" ref="AU29:AU29">IFERROR( MEDIAN(IF(DATOS_[Sexo]=$B29,IF(DATOS_[[AGRUP. CLAS. PROF.]:[AGRUP. CLAS. PROF.]]=$B27,IF(DATOS_[Check Equiparado]="Sí",IF(DATOS_[Check Periodo Ref.]="Dentro",DATOS_[Tot Extrasalarial Eq],0))))), 0)</f>
        <v>0</v>
      </c>
      <c r="AV29" s="255" t="n">
        <f aca="false" t="array" ref="AV29:AV29">IFERROR( MEDIAN(IF(DATOS_[Sexo]=$B29,IF(DATOS_[[AGRUP. CLAS. PROF.]:[AGRUP. CLAS. PROF.]]=$B27,IF(DATOS_[Check Equiparado]="Sí",IF(DATOS_[Check Periodo Ref.]="Dentro",DATOS_[TOTAL Retrib Eq],0))))), 0)</f>
        <v>0</v>
      </c>
    </row>
    <row r="30" customFormat="false" ht="15.75" hidden="false" customHeight="false" outlineLevel="0" collapsed="false">
      <c r="A30" s="217" t="str">
        <f aca="false">+A31</f>
        <v>[ocultar]</v>
      </c>
      <c r="B30" s="320" t="s">
        <v>183</v>
      </c>
      <c r="C30" s="236"/>
      <c r="D30" s="237"/>
      <c r="E30" s="237"/>
      <c r="F30" s="237"/>
      <c r="G30" s="237"/>
      <c r="H30" s="237"/>
      <c r="I30" s="238"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39" t="str">
        <f aca="false">IFERROR((V31-V32)/V31,"")</f>
        <v/>
      </c>
      <c r="W30" s="239" t="str">
        <f aca="false">IFERROR((W31-W32)/W31,"")</f>
        <v/>
      </c>
      <c r="X30" s="239" t="str">
        <f aca="false">IFERROR((X31-X32)/X31,"")</f>
        <v/>
      </c>
      <c r="Y30" s="239"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0" t="str">
        <f aca="false">IFERROR((AJ31-AJ32)/AJ31,"")</f>
        <v/>
      </c>
      <c r="AK30" s="240" t="str">
        <f aca="false">IFERROR((AK31-AK32)/AK31,"")</f>
        <v/>
      </c>
      <c r="AL30" s="240" t="str">
        <f aca="false">IFERROR((AL31-AL32)/AL31,"")</f>
        <v/>
      </c>
      <c r="AM30" s="240" t="str">
        <f aca="false">IFERROR((AM31-AM32)/AM31,"")</f>
        <v/>
      </c>
      <c r="AN30" s="241" t="str">
        <f aca="false">IFERROR((AN31-AN32)/AN31,"")</f>
        <v/>
      </c>
      <c r="AO30" s="242" t="str">
        <f aca="false">IFERROR((AO31-AO32)/AO31,"")</f>
        <v/>
      </c>
      <c r="AP30" s="243" t="str">
        <f aca="false">IFERROR((AP31-AP32)/AP31,"")</f>
        <v/>
      </c>
      <c r="AQ30" s="243" t="str">
        <f aca="false">IFERROR((AQ31-AQ32)/AQ31,"")</f>
        <v/>
      </c>
      <c r="AR30" s="243" t="str">
        <f aca="false">IFERROR((AR31-AR32)/AR31,"")</f>
        <v/>
      </c>
      <c r="AS30" s="243" t="str">
        <f aca="false">IFERROR((AS31-AS32)/AS31,"")</f>
        <v/>
      </c>
      <c r="AT30" s="243" t="str">
        <f aca="false">IFERROR((AT31-AT32)/AT31,"")</f>
        <v/>
      </c>
      <c r="AU30" s="244" t="str">
        <f aca="false">IFERROR((AU31-AU32)/AU31,"")</f>
        <v/>
      </c>
      <c r="AV30" s="245" t="str">
        <f aca="false">IFERROR((AV31-AV32)/AV31,"")</f>
        <v/>
      </c>
    </row>
    <row r="31" customFormat="false" ht="14.25" hidden="false" customHeight="false" outlineLevel="0" collapsed="false">
      <c r="A31" s="217" t="str">
        <f aca="false">+IF(C31+C32=0,"[ocultar]","")</f>
        <v>[ocultar]</v>
      </c>
      <c r="B31" s="323" t="s">
        <v>371</v>
      </c>
      <c r="C31" s="247" t="n">
        <f aca="false" t="array" ref="C31:C31">SUM(IF($B31=DATOS_[Sexo], IF($B30=DATOS_[AGRUP. CLAS. PROF.], IF("Dentro"=DATOS_[Check Periodo Ref.], 1/(COUNTIFS(DATOS_[Sexo],$B31,DATOS_[AGRUP. CLAS. PROF.],$B30,DATOS_[Check Periodo Ref.],"Dentro",DATOS_[id],DATOS_[id]))))))</f>
        <v>0</v>
      </c>
      <c r="D31" s="248" t="n">
        <f aca="false">COUNTIFS(DATOS_[AGRUP. CLAS. PROF.],$B30,DATOS_[Sexo],$B31,DATOS_[Check Periodo Ref.],"Dentro")</f>
        <v>0</v>
      </c>
      <c r="E31" s="248" t="n">
        <f aca="false">COUNTIFS(DATOS_[AGRUP. CLAS. PROF.],$B30,DATOS_[Sexo],$B31,DATOS_[Check Periodo Ref.],"Dentro",DATOS_[Check Nº SC Norm],"Sí")</f>
        <v>0</v>
      </c>
      <c r="F31" s="248" t="n">
        <f aca="false">COUNTIFS(DATOS_[AGRUP. CLAS. PROF.],$B30,DATOS_[Sexo],$B31,DATOS_[Check Periodo Ref.],"Dentro",DATOS_[Check Nº SC Anualiz],"Sí")</f>
        <v>0</v>
      </c>
      <c r="G31" s="248" t="n">
        <f aca="false">COUNTIFS(DATOS_[AGRUP. CLAS. PROF.],$B30,DATOS_[Sexo],$B31,DATOS_[Check Periodo Ref.],"Dentro",DATOS_[Check Nº SC Norm y Anualiz],"Sí")</f>
        <v>0</v>
      </c>
      <c r="H31" s="248" t="n">
        <f aca="false">COUNTIFS(DATOS_[AGRUP. CLAS. PROF.],$B30,DATOS_[Sexo],$B31,DATOS_[Check Periodo Ref.],"Dentro",DATOS_[Check Equiparación],"Sí")</f>
        <v>0</v>
      </c>
      <c r="I31" s="249" t="n">
        <f aca="false" t="array" ref="I31:I31">IFERROR( MEDIAN(IF(DATOS_[Sexo]=$B31,IF(DATOS_[[AGRUP. CLAS. PROF.]:[AGRUP. CLAS. PROF.]]=$B30,IF(DATOS_[Check Equiparado]="Sí",IF(DATOS_[Check Periodo Ref.]="Dentro",DATOS_[SALARIO BASE Eq],0))))), 0)</f>
        <v>0</v>
      </c>
      <c r="J31" s="250" t="n">
        <f aca="false" t="array" ref="J31:J31">IFERROR( (MEDIAN((IF(DATOS_[[Sexo]:[Sexo]]=$B31,IF(DATOS_[[AGRUP. CLAS. PROF.]:[AGRUP. CLAS. PROF.]]=$B30,IF(DATOS_[[Check Periodo Ref.]:[Check Periodo Ref.]]="Dentro",IF(DATOS_[[Check Equiparado]:[Check Equiparado]]="Sí",IF(DATOS!AE$4="Sí",(1/DATOS_[[% anualiz]:[% anualiz]]),1)*IF(DATOS!AE$5="Sí",1/DATOS_[[% normaliz]:[% normaliz]],1)*(DATOS_[Conc.Sal.01])))))))), 0)</f>
        <v>0</v>
      </c>
      <c r="K31" s="250" t="n">
        <f aca="false" t="array" ref="K31:K31">IFERROR( (MEDIAN((IF(DATOS_[[Sexo]:[Sexo]]=$B31,IF(DATOS_[[AGRUP. CLAS. PROF.]:[AGRUP. CLAS. PROF.]]=$B30,IF(DATOS_[[Check Periodo Ref.]:[Check Periodo Ref.]]="Dentro",IF(DATOS_[[Check Equiparado]:[Check Equiparado]]="Sí",IF(DATOS!AF$4="Sí",(1/DATOS_[[% anualiz]:[% anualiz]]),1)*IF(DATOS!AF$5="Sí",1/DATOS_[[% normaliz]:[% normaliz]],1)*(DATOS_[Conc.Sal.02])))))))), 0)</f>
        <v>0</v>
      </c>
      <c r="L31" s="250" t="n">
        <f aca="false" t="array" ref="L31:L31">IFERROR( (MEDIAN((IF(DATOS_[[Sexo]:[Sexo]]=$B31,IF(DATOS_[[AGRUP. CLAS. PROF.]:[AGRUP. CLAS. PROF.]]=$B30,IF(DATOS_[[Check Periodo Ref.]:[Check Periodo Ref.]]="Dentro",IF(DATOS_[[Check Equiparado]:[Check Equiparado]]="Sí",IF(DATOS!AG$4="Sí",(1/DATOS_[[% anualiz]:[% anualiz]]),1)*IF(DATOS!AG$5="Sí",1/DATOS_[[% normaliz]:[% normaliz]],1)*(DATOS_[Conc.Sal.03])))))))), 0)</f>
        <v>0</v>
      </c>
      <c r="M31" s="250" t="n">
        <f aca="false" t="array" ref="M31:M31">IFERROR( (MEDIAN((IF(DATOS_[[Sexo]:[Sexo]]=$B31,IF(DATOS_[[AGRUP. CLAS. PROF.]:[AGRUP. CLAS. PROF.]]=$B30,IF(DATOS_[[Check Periodo Ref.]:[Check Periodo Ref.]]="Dentro",IF(DATOS_[[Check Equiparado]:[Check Equiparado]]="Sí",IF(DATOS!AH$4="Sí",(1/DATOS_[[% anualiz]:[% anualiz]]),1)*IF(DATOS!AH$5="Sí",1/DATOS_[[% normaliz]:[% normaliz]],1)*(DATOS_[Conc.Sal.04])))))))), 0)</f>
        <v>0</v>
      </c>
      <c r="N31" s="250" t="n">
        <f aca="false" t="array" ref="N31:N31">IFERROR( (MEDIAN((IF(DATOS_[[Sexo]:[Sexo]]=$B31,IF(DATOS_[[AGRUP. CLAS. PROF.]:[AGRUP. CLAS. PROF.]]=$B30,IF(DATOS_[[Check Periodo Ref.]:[Check Periodo Ref.]]="Dentro",IF(DATOS_[[Check Equiparado]:[Check Equiparado]]="Sí",IF(DATOS!AI$4="Sí",(1/DATOS_[[% anualiz]:[% anualiz]]),1)*IF(DATOS!AI$5="Sí",1/DATOS_[[% normaliz]:[% normaliz]],1)*(DATOS_[Conc.Sal.05])))))))), 0)</f>
        <v>0</v>
      </c>
      <c r="O31" s="250" t="n">
        <f aca="false" t="array" ref="O31:O31">IFERROR( (MEDIAN((IF(DATOS_[[Sexo]:[Sexo]]=$B31,IF(DATOS_[[AGRUP. CLAS. PROF.]:[AGRUP. CLAS. PROF.]]=$B30,IF(DATOS_[[Check Periodo Ref.]:[Check Periodo Ref.]]="Dentro",IF(DATOS_[[Check Equiparado]:[Check Equiparado]]="Sí",IF(DATOS!AJ$4="Sí",(1/DATOS_[[% anualiz]:[% anualiz]]),1)*IF(DATOS!AJ$5="Sí",1/DATOS_[[% normaliz]:[% normaliz]],1)*(DATOS_[Conc.Sal.06])))))))), 0)</f>
        <v>0</v>
      </c>
      <c r="P31" s="250" t="n">
        <f aca="false" t="array" ref="P31:P31">IFERROR( (MEDIAN((IF(DATOS_[[Sexo]:[Sexo]]=$B31,IF(DATOS_[[AGRUP. CLAS. PROF.]:[AGRUP. CLAS. PROF.]]=$B30,IF(DATOS_[[Check Periodo Ref.]:[Check Periodo Ref.]]="Dentro",IF(DATOS_[[Check Equiparado]:[Check Equiparado]]="Sí",IF(DATOS!AK$4="Sí",(1/DATOS_[[% anualiz]:[% anualiz]]),1)*IF(DATOS!AK$5="Sí",1/DATOS_[[% normaliz]:[% normaliz]],1)*(DATOS_[Conc.Sal.07])))))))), 0)</f>
        <v>0</v>
      </c>
      <c r="Q31" s="250" t="n">
        <f aca="false" t="array" ref="Q31:Q31">IFERROR( (MEDIAN((IF(DATOS_[[Sexo]:[Sexo]]=$B31,IF(DATOS_[[AGRUP. CLAS. PROF.]:[AGRUP. CLAS. PROF.]]=$B30,IF(DATOS_[[Check Periodo Ref.]:[Check Periodo Ref.]]="Dentro",IF(DATOS_[[Check Equiparado]:[Check Equiparado]]="Sí",IF(DATOS!AL$4="Sí",(1/DATOS_[[% anualiz]:[% anualiz]]),1)*IF(DATOS!AL$5="Sí",1/DATOS_[[% normaliz]:[% normaliz]],1)*(DATOS_[Conc.Sal.08])))))))), 0)</f>
        <v>0</v>
      </c>
      <c r="R31" s="250" t="n">
        <f aca="false" t="array" ref="R31:R31">IFERROR( (MEDIAN((IF(DATOS_[[Sexo]:[Sexo]]=$B31,IF(DATOS_[[AGRUP. CLAS. PROF.]:[AGRUP. CLAS. PROF.]]=$B30,IF(DATOS_[[Check Periodo Ref.]:[Check Periodo Ref.]]="Dentro",IF(DATOS_[[Check Equiparado]:[Check Equiparado]]="Sí",IF(DATOS!AM$4="Sí",(1/DATOS_[[% anualiz]:[% anualiz]]),1)*IF(DATOS!AM$5="Sí",1/DATOS_[[% normaliz]:[% normaliz]],1)*(DATOS_[Conc.Sal.09])))))))), 0)</f>
        <v>0</v>
      </c>
      <c r="S31" s="250" t="n">
        <f aca="false" t="array" ref="S31:S31">IFERROR( (MEDIAN((IF(DATOS_[[Sexo]:[Sexo]]=$B31,IF(DATOS_[[AGRUP. CLAS. PROF.]:[AGRUP. CLAS. PROF.]]=$B30,IF(DATOS_[[Check Periodo Ref.]:[Check Periodo Ref.]]="Dentro",IF(DATOS_[[Check Equiparado]:[Check Equiparado]]="Sí",IF(DATOS!AN$4="Sí",(1/DATOS_[[% anualiz]:[% anualiz]]),1)*IF(DATOS!AN$5="Sí",1/DATOS_[[% normaliz]:[% normaliz]],1)*(DATOS_[Conc.Sal.10])))))))), 0)</f>
        <v>0</v>
      </c>
      <c r="T31" s="250" t="n">
        <f aca="false" t="array" ref="T31:T31">IFERROR( (MEDIAN((IF(DATOS_[[Sexo]:[Sexo]]=$B31,IF(DATOS_[[AGRUP. CLAS. PROF.]:[AGRUP. CLAS. PROF.]]=$B30,IF(DATOS_[[Check Periodo Ref.]:[Check Periodo Ref.]]="Dentro",IF(DATOS_[[Check Equiparado]:[Check Equiparado]]="Sí",IF(DATOS!AO$4="Sí",(1/DATOS_[[% anualiz]:[% anualiz]]),1)*IF(DATOS!AO$5="Sí",1/DATOS_[[% normaliz]:[% normaliz]],1)*(DATOS_[Conc.Sal.11])))))))), 0)</f>
        <v>0</v>
      </c>
      <c r="U31" s="250" t="n">
        <f aca="false" t="array" ref="U31:U31">IFERROR( (MEDIAN((IF(DATOS_[[Sexo]:[Sexo]]=$B31,IF(DATOS_[[AGRUP. CLAS. PROF.]:[AGRUP. CLAS. PROF.]]=$B30,IF(DATOS_[[Check Periodo Ref.]:[Check Periodo Ref.]]="Dentro",IF(DATOS_[[Check Equiparado]:[Check Equiparado]]="Sí",IF(DATOS!AP$4="Sí",(1/DATOS_[[% anualiz]:[% anualiz]]),1)*IF(DATOS!AP$5="Sí",1/DATOS_[[% normaliz]:[% normaliz]],1)*(DATOS_[Conc.Sal.12])))))))), 0)</f>
        <v>0</v>
      </c>
      <c r="V31" s="250" t="n">
        <f aca="false" t="array" ref="V31:V31">IFERROR( (MEDIAN((IF(DATOS_[[Sexo]:[Sexo]]=$B31,IF(DATOS_[[AGRUP. CLAS. PROF.]:[AGRUP. CLAS. PROF.]]=$B30,IF(DATOS_[[Check Periodo Ref.]:[Check Periodo Ref.]]="Dentro",IF(DATOS_[[Check Equiparado]:[Check Equiparado]]="Sí",IF(DATOS!AQ$4="Sí",(1/DATOS_[[% anualiz]:[% anualiz]]),1)*IF(DATOS!AQ$5="Sí",1/DATOS_[[% normaliz]:[% normaliz]],1)*(DATOS_[Conc.Sal.13])))))))), 0)</f>
        <v>0</v>
      </c>
      <c r="W31" s="250" t="n">
        <f aca="false" t="array" ref="W31:W31">IFERROR( (MEDIAN((IF(DATOS_[[Sexo]:[Sexo]]=$B31,IF(DATOS_[[AGRUP. CLAS. PROF.]:[AGRUP. CLAS. PROF.]]=$B30,IF(DATOS_[[Check Periodo Ref.]:[Check Periodo Ref.]]="Dentro",IF(DATOS_[[Check Equiparado]:[Check Equiparado]]="Sí",IF(DATOS!AR$4="Sí",(1/DATOS_[[% anualiz]:[% anualiz]]),1)*IF(DATOS!AR$5="Sí",1/DATOS_[[% normaliz]:[% normaliz]],1)*(DATOS_[Conc.Sal.14])))))))), 0)</f>
        <v>0</v>
      </c>
      <c r="X31" s="250" t="n">
        <f aca="false" t="array" ref="X31:X31">IFERROR( (MEDIAN((IF(DATOS_[[Sexo]:[Sexo]]=$B31,IF(DATOS_[[AGRUP. CLAS. PROF.]:[AGRUP. CLAS. PROF.]]=$B30,IF(DATOS_[[Check Periodo Ref.]:[Check Periodo Ref.]]="Dentro",IF(DATOS_[[Check Equiparado]:[Check Equiparado]]="Sí",IF(DATOS!AS$4="Sí",(1/DATOS_[[% anualiz]:[% anualiz]]),1)*IF(DATOS!AS$5="Sí",1/DATOS_[[% normaliz]:[% normaliz]],1)*(DATOS_[Conc.Sal.15])))))))), 0)</f>
        <v>0</v>
      </c>
      <c r="Y31" s="250" t="n">
        <f aca="false" t="array" ref="Y31:Y31">IFERROR( (MEDIAN((IF(DATOS_[[Sexo]:[Sexo]]=$B31,IF(DATOS_[[AGRUP. CLAS. PROF.]:[AGRUP. CLAS. PROF.]]=$B30,IF(DATOS_[[Check Periodo Ref.]:[Check Periodo Ref.]]="Dentro",IF(DATOS_[[Check Equiparado]:[Check Equiparado]]="Sí",IF(DATOS!AT$4="Sí",(1/DATOS_[[% anualiz]:[% anualiz]]),1)*IF(DATOS!AT$5="Sí",1/DATOS_[[% normaliz]:[% normaliz]],1)*(DATOS_[Conc.Sal.16])))))))), 0)</f>
        <v>0</v>
      </c>
      <c r="Z31" s="250" t="n">
        <f aca="false" t="array" ref="Z31:Z31">IFERROR( (MEDIAN((IF(DATOS_[[Sexo]:[Sexo]]=$B31,IF(DATOS_[[AGRUP. CLAS. PROF.]:[AGRUP. CLAS. PROF.]]=$B30,IF(DATOS_[[Check Periodo Ref.]:[Check Periodo Ref.]]="Dentro",IF(DATOS_[[Check Equiparado]:[Check Equiparado]]="Sí",IF(DATOS!AU$4="Sí",(1/DATOS_[[% anualiz]:[% anualiz]]),1)*IF(DATOS!AU$5="Sí",1/DATOS_[[% normaliz]:[% normaliz]],1)*(DATOS_[Conc.Sal.17])))))))), 0)</f>
        <v>0</v>
      </c>
      <c r="AA31" s="250" t="n">
        <f aca="false" t="array" ref="AA31:AA31">IFERROR( (MEDIAN((IF(DATOS_[[Sexo]:[Sexo]]=$B31,IF(DATOS_[[AGRUP. CLAS. PROF.]:[AGRUP. CLAS. PROF.]]=$B30,IF(DATOS_[[Check Periodo Ref.]:[Check Periodo Ref.]]="Dentro",IF(DATOS_[[Check Equiparado]:[Check Equiparado]]="Sí",IF(DATOS!AV$4="Sí",(1/DATOS_[[% anualiz]:[% anualiz]]),1)*IF(DATOS!AV$5="Sí",1/DATOS_[[% normaliz]:[% normaliz]],1)*(DATOS_[Conc.Sal.18])))))))), 0)</f>
        <v>0</v>
      </c>
      <c r="AB31" s="250" t="n">
        <f aca="false" t="array" ref="AB31:AB31">IFERROR( (MEDIAN((IF(DATOS_[[Sexo]:[Sexo]]=$B31,IF(DATOS_[[AGRUP. CLAS. PROF.]:[AGRUP. CLAS. PROF.]]=$B30,IF(DATOS_[[Check Periodo Ref.]:[Check Periodo Ref.]]="Dentro",IF(DATOS_[[Check Equiparado]:[Check Equiparado]]="Sí",IF(DATOS!AW$4="Sí",(1/DATOS_[[% anualiz]:[% anualiz]]),1)*IF(DATOS!AW$5="Sí",1/DATOS_[[% normaliz]:[% normaliz]],1)*(DATOS_[Conc.Sal.19])))))))), 0)</f>
        <v>0</v>
      </c>
      <c r="AC31" s="250" t="n">
        <f aca="false" t="array" ref="AC31:AC31">IFERROR( (MEDIAN((IF(DATOS_[[Sexo]:[Sexo]]=$B31,IF(DATOS_[[AGRUP. CLAS. PROF.]:[AGRUP. CLAS. PROF.]]=$B30,IF(DATOS_[[Check Periodo Ref.]:[Check Periodo Ref.]]="Dentro",IF(DATOS_[[Check Equiparado]:[Check Equiparado]]="Sí",IF(DATOS!AX$4="Sí",(1/DATOS_[[% anualiz]:[% anualiz]]),1)*IF(DATOS!AX$5="Sí",1/DATOS_[[% normaliz]:[% normaliz]],1)*(DATOS_[Conc.Sal.20])))))))), 0)</f>
        <v>0</v>
      </c>
      <c r="AD31" s="250" t="n">
        <f aca="false" t="array" ref="AD31:AD31">IFERROR( (MEDIAN((IF(DATOS_[[Sexo]:[Sexo]]=$B31,IF(DATOS_[[AGRUP. CLAS. PROF.]:[AGRUP. CLAS. PROF.]]=$B30,IF(DATOS_[[Check Periodo Ref.]:[Check Periodo Ref.]]="Dentro",IF(DATOS_[[Check Equiparado]:[Check Equiparado]]="Sí",IF(DATOS!AY$4="Sí",(1/DATOS_[[% anualiz]:[% anualiz]]),1)*IF(DATOS!AY$5="Sí",1/DATOS_[[% normaliz]:[% normaliz]],1)*(DATOS_[Conc.Sal.21])))))))), 0)</f>
        <v>0</v>
      </c>
      <c r="AE31" s="250" t="n">
        <f aca="false" t="array" ref="AE31:AE31">IFERROR( (MEDIAN((IF(DATOS_[[Sexo]:[Sexo]]=$B31,IF(DATOS_[[AGRUP. CLAS. PROF.]:[AGRUP. CLAS. PROF.]]=$B30,IF(DATOS_[[Check Periodo Ref.]:[Check Periodo Ref.]]="Dentro",IF(DATOS_[[Check Equiparado]:[Check Equiparado]]="Sí",IF(DATOS!AZ$4="Sí",(1/DATOS_[[% anualiz]:[% anualiz]]),1)*IF(DATOS!AZ$5="Sí",1/DATOS_[[% normaliz]:[% normaliz]],1)*(DATOS_[Conc.Sal.22])))))))), 0)</f>
        <v>0</v>
      </c>
      <c r="AF31" s="250" t="n">
        <f aca="false" t="array" ref="AF31:AF31">IFERROR( (MEDIAN((IF(DATOS_[[Sexo]:[Sexo]]=$B31,IF(DATOS_[[AGRUP. CLAS. PROF.]:[AGRUP. CLAS. PROF.]]=$B30,IF(DATOS_[[Check Periodo Ref.]:[Check Periodo Ref.]]="Dentro",IF(DATOS_[[Check Equiparado]:[Check Equiparado]]="Sí",IF(DATOS!BA$4="Sí",(1/DATOS_[[% anualiz]:[% anualiz]]),1)*IF(DATOS!BA$5="Sí",1/DATOS_[[% normaliz]:[% normaliz]],1)*(DATOS_[Conc.Sal.23])))))))), 0)</f>
        <v>0</v>
      </c>
      <c r="AG31" s="250" t="n">
        <f aca="false" t="array" ref="AG31:AG31">IFERROR( (MEDIAN((IF(DATOS_[[Sexo]:[Sexo]]=$B31,IF(DATOS_[[AGRUP. CLAS. PROF.]:[AGRUP. CLAS. PROF.]]=$B30,IF(DATOS_[[Check Periodo Ref.]:[Check Periodo Ref.]]="Dentro",IF(DATOS_[[Check Equiparado]:[Check Equiparado]]="Sí",IF(DATOS!BB$4="Sí",(1/DATOS_[[% anualiz]:[% anualiz]]),1)*IF(DATOS!BB$5="Sí",1/DATOS_[[% normaliz]:[% normaliz]],1)*(DATOS_[Conc.Sal.24])))))))), 0)</f>
        <v>0</v>
      </c>
      <c r="AH31" s="250" t="n">
        <f aca="false" t="array" ref="AH31:AH31">IFERROR( (MEDIAN((IF(DATOS_[[Sexo]:[Sexo]]=$B31,IF(DATOS_[[AGRUP. CLAS. PROF.]:[AGRUP. CLAS. PROF.]]=$B30,IF(DATOS_[[Check Periodo Ref.]:[Check Periodo Ref.]]="Dentro",IF(DATOS_[[Check Equiparado]:[Check Equiparado]]="Sí",IF(DATOS!BC$4="Sí",(1/DATOS_[[% anualiz]:[% anualiz]]),1)*IF(DATOS!BC$5="Sí",1/DATOS_[[% normaliz]:[% normaliz]],1)*(DATOS_[Conc.Sal.25])))))))), 0)</f>
        <v>0</v>
      </c>
      <c r="AI31" s="250" t="n">
        <f aca="false" t="array" ref="AI31:AI31">IFERROR( (MEDIAN((IF(DATOS_[[Sexo]:[Sexo]]=$B31,IF(DATOS_[[AGRUP. CLAS. PROF.]:[AGRUP. CLAS. PROF.]]=$B30,IF(DATOS_[[Check Periodo Ref.]:[Check Periodo Ref.]]="Dentro",IF(DATOS_[[Check Equiparado]:[Check Equiparado]]="Sí",IF(DATOS!BD$4="Sí",(1/DATOS_[[% anualiz]:[% anualiz]]),1)*IF(DATOS!BD$5="Sí",1/DATOS_[[% normaliz]:[% normaliz]],1)*(DATOS_[Conc.Sal.26])))))))), 0)</f>
        <v>0</v>
      </c>
      <c r="AJ31" s="250" t="n">
        <f aca="false" t="array" ref="AJ31:AJ31">IFERROR( (MEDIAN((IF(DATOS_[[Sexo]:[Sexo]]=$B31,IF(DATOS_[[AGRUP. CLAS. PROF.]:[AGRUP. CLAS. PROF.]]=$B30,IF(DATOS_[[Check Periodo Ref.]:[Check Periodo Ref.]]="Dentro",IF(DATOS_[[Check Equiparado]:[Check Equiparado]]="Sí",IF(DATOS!BE$4="Sí",(1/DATOS_[[% anualiz]:[% anualiz]]),1)*IF(DATOS!BE$5="Sí",1/DATOS_[[% normaliz]:[% normaliz]],1)*(DATOS_[Conc.Sal.27])))))))), 0)</f>
        <v>0</v>
      </c>
      <c r="AK31" s="250" t="n">
        <f aca="false" t="array" ref="AK31:AK31">IFERROR( (MEDIAN((IF(DATOS_[[Sexo]:[Sexo]]=$B31,IF(DATOS_[[AGRUP. CLAS. PROF.]:[AGRUP. CLAS. PROF.]]=$B30,IF(DATOS_[[Check Periodo Ref.]:[Check Periodo Ref.]]="Dentro",IF(DATOS_[[Check Equiparado]:[Check Equiparado]]="Sí",IF(DATOS!BF$4="Sí",(1/DATOS_[[% anualiz]:[% anualiz]]),1)*IF(DATOS!BF$5="Sí",1/DATOS_[[% normaliz]:[% normaliz]],1)*(DATOS_[Conc.Sal.28])))))))), 0)</f>
        <v>0</v>
      </c>
      <c r="AL31" s="250" t="n">
        <f aca="false" t="array" ref="AL31:AL31">IFERROR( (MEDIAN((IF(DATOS_[[Sexo]:[Sexo]]=$B31,IF(DATOS_[[AGRUP. CLAS. PROF.]:[AGRUP. CLAS. PROF.]]=$B30,IF(DATOS_[[Check Periodo Ref.]:[Check Periodo Ref.]]="Dentro",IF(DATOS_[[Check Equiparado]:[Check Equiparado]]="Sí",IF(DATOS!BG$4="Sí",(1/DATOS_[[% anualiz]:[% anualiz]]),1)*IF(DATOS!BG$5="Sí",1/DATOS_[[% normaliz]:[% normaliz]],1)*(DATOS_[Conc.Sal.29])))))))), 0)</f>
        <v>0</v>
      </c>
      <c r="AM31" s="250" t="n">
        <f aca="false" t="array" ref="AM31:AM31">IFERROR( (MEDIAN((IF(DATOS_[[Sexo]:[Sexo]]=$B31,IF(DATOS_[[AGRUP. CLAS. PROF.]:[AGRUP. CLAS. PROF.]]=$B30,IF(DATOS_[[Check Periodo Ref.]:[Check Periodo Ref.]]="Dentro",IF(DATOS_[[Check Equiparado]:[Check Equiparado]]="Sí",IF(DATOS!BH$4="Sí",(1/DATOS_[[% anualiz]:[% anualiz]]),1)*IF(DATOS!BH$5="Sí",1/DATOS_[[% normaliz]:[% normaliz]],1)*(DATOS_[Conc.Sal.30])))))))), 0)</f>
        <v>0</v>
      </c>
      <c r="AN31" s="251" t="n">
        <f aca="false" t="array" ref="AN31:AN31">IFERROR( MEDIAN(IF(DATOS_[Sexo]=$B31,IF(DATOS_[[AGRUP. CLAS. PROF.]:[AGRUP. CLAS. PROF.]]=$B30,IF(DATOS_[Check Equiparado]="Sí",IF(DATOS_[Check Periodo Ref.]="Dentro",DATOS_[Tot COMPL.SAL Eq],0))))), 0)</f>
        <v>0</v>
      </c>
      <c r="AO31" s="252" t="n">
        <f aca="false" t="array" ref="AO31:AO31">IFERROR( MEDIAN(IF(DATOS_[Sexo]=$B31,IF(DATOS_[[AGRUP. CLAS. PROF.]:[AGRUP. CLAS. PROF.]]=$B30,IF(DATOS_[Check Equiparado]="Sí",IF(DATOS_[Check Periodo Ref.]="Dentro",DATOS_[TOTAL SALARIO Eq],0))))), 0)</f>
        <v>0</v>
      </c>
      <c r="AP31" s="259" t="n">
        <f aca="false" t="array" ref="AP31:AP31">IFERROR( (MEDIAN((IF(DATOS_[[Sexo]:[Sexo]]=$B31,IF(DATOS_[[AGRUP. CLAS. PROF.]:[AGRUP. CLAS. PROF.]]=$B30,IF(DATOS_[[Check Periodo Ref.]:[Check Periodo Ref.]]="Dentro",IF(DATOS_[[Check Equiparado]:[Check Equiparado]]="Sí",IF(DATOS!BI$4="Sí",(1/DATOS_[[% anualiz]:[% anualiz]]),1)*IF(DATOS!BI$5="Sí",1/DATOS_[[% normaliz]:[% normaliz]],1)*(DATOS_[C.Extra.01])))))))), 0)</f>
        <v>0</v>
      </c>
      <c r="AQ31" s="259" t="n">
        <f aca="false" t="array" ref="AQ31:AQ31">IFERROR( (MEDIAN((IF(DATOS_[[Sexo]:[Sexo]]=$B31,IF(DATOS_[[AGRUP. CLAS. PROF.]:[AGRUP. CLAS. PROF.]]=$B30,IF(DATOS_[[Check Periodo Ref.]:[Check Periodo Ref.]]="Dentro",IF(DATOS_[[Check Equiparado]:[Check Equiparado]]="Sí",IF(DATOS!BJ$4="Sí",(1/DATOS_[[% anualiz]:[% anualiz]]),1)*IF(DATOS!BJ$5="Sí",1/DATOS_[[% normaliz]:[% normaliz]],1)*(DATOS_[C.Extra.02])))))))), 0)</f>
        <v>0</v>
      </c>
      <c r="AR31" s="259" t="n">
        <f aca="false" t="array" ref="AR31:AR31">IFERROR( (MEDIAN((IF(DATOS_[[Sexo]:[Sexo]]=$B31,IF(DATOS_[[AGRUP. CLAS. PROF.]:[AGRUP. CLAS. PROF.]]=$B30,IF(DATOS_[[Check Periodo Ref.]:[Check Periodo Ref.]]="Dentro",IF(DATOS_[[Check Equiparado]:[Check Equiparado]]="Sí",IF(DATOS!BK$4="Sí",(1/DATOS_[[% anualiz]:[% anualiz]]),1)*IF(DATOS!BK$5="Sí",1/DATOS_[[% normaliz]:[% normaliz]],1)*(DATOS_[C.Extra.03])))))))), 0)</f>
        <v>0</v>
      </c>
      <c r="AS31" s="259" t="n">
        <f aca="false" t="array" ref="AS31:AS31">IFERROR( (MEDIAN((IF(DATOS_[[Sexo]:[Sexo]]=$B31,IF(DATOS_[[AGRUP. CLAS. PROF.]:[AGRUP. CLAS. PROF.]]=$B30,IF(DATOS_[[Check Periodo Ref.]:[Check Periodo Ref.]]="Dentro",IF(DATOS_[[Check Equiparado]:[Check Equiparado]]="Sí",IF(DATOS!BL$4="Sí",(1/DATOS_[[% anualiz]:[% anualiz]]),1)*IF(DATOS!BL$5="Sí",1/DATOS_[[% normaliz]:[% normaliz]],1)*(DATOS_[C.Extra.04])))))))), 0)</f>
        <v>0</v>
      </c>
      <c r="AT31" s="259" t="n">
        <f aca="false" t="array" ref="AT31:AT31">IFERROR( (MEDIAN((IF(DATOS_[[Sexo]:[Sexo]]=$B31,IF(DATOS_[[AGRUP. CLAS. PROF.]:[AGRUP. CLAS. PROF.]]=$B30,IF(DATOS_[[Check Periodo Ref.]:[Check Periodo Ref.]]="Dentro",IF(DATOS_[[Check Equiparado]:[Check Equiparado]]="Sí",IF(DATOS!BM$4="Sí",(1/DATOS_[[% anualiz]:[% anualiz]]),1)*IF(DATOS!BM$5="Sí",1/DATOS_[[% normaliz]:[% normaliz]],1)*(DATOS_[C.Extra.05])))))))), 0)</f>
        <v>0</v>
      </c>
      <c r="AU31" s="254" t="n">
        <f aca="false" t="array" ref="AU31:AU31">IFERROR( MEDIAN(IF(DATOS_[Sexo]=$B31,IF(DATOS_[[AGRUP. CLAS. PROF.]:[AGRUP. CLAS. PROF.]]=$B30,IF(DATOS_[Check Equiparado]="Sí",IF(DATOS_[Check Periodo Ref.]="Dentro",DATOS_[Tot Extrasalarial Eq],0))))), 0)</f>
        <v>0</v>
      </c>
      <c r="AV31" s="255" t="n">
        <f aca="false" t="array" ref="AV31:AV31">IFERROR( MEDIAN(IF(DATOS_[Sexo]=$B31,IF(DATOS_[[AGRUP. CLAS. PROF.]:[AGRUP. CLAS. PROF.]]=$B30,IF(DATOS_[Check Equiparado]="Sí",IF(DATOS_[Check Periodo Ref.]="Dentro",DATOS_[TOTAL Retrib Eq],0))))), 0)</f>
        <v>0</v>
      </c>
    </row>
    <row r="32" customFormat="false" ht="14.25" hidden="false" customHeight="false" outlineLevel="0" collapsed="false">
      <c r="A32" s="217" t="str">
        <f aca="false">+A31</f>
        <v>[ocultar]</v>
      </c>
      <c r="B32" s="323" t="s">
        <v>372</v>
      </c>
      <c r="C32" s="247" t="n">
        <f aca="false" t="array" ref="C32:C32">SUM(IF($B32=DATOS_[Sexo], IF($B30=DATOS_[AGRUP. CLAS. PROF.], IF("Dentro"=DATOS_[Check Periodo Ref.], 1/(COUNTIFS(DATOS_[Sexo],$B32,DATOS_[AGRUP. CLAS. PROF.],$B30,DATOS_[Check Periodo Ref.],"Dentro",DATOS_[id],DATOS_[id]))))))</f>
        <v>0</v>
      </c>
      <c r="D32" s="248" t="n">
        <f aca="false">COUNTIFS(DATOS_[AGRUP. CLAS. PROF.],$B30,DATOS_[Sexo],$B32,DATOS_[Check Periodo Ref.],"Dentro")</f>
        <v>0</v>
      </c>
      <c r="E32" s="248" t="n">
        <f aca="false">COUNTIFS(DATOS_[AGRUP. CLAS. PROF.],$B30,DATOS_[Sexo],$B32,DATOS_[Check Periodo Ref.],"Dentro",DATOS_[Check Nº SC Norm],"Sí")</f>
        <v>0</v>
      </c>
      <c r="F32" s="248" t="n">
        <f aca="false">COUNTIFS(DATOS_[AGRUP. CLAS. PROF.],$B30,DATOS_[Sexo],$B32,DATOS_[Check Periodo Ref.],"Dentro",DATOS_[Check Nº SC Anualiz],"Sí")</f>
        <v>0</v>
      </c>
      <c r="G32" s="248" t="n">
        <f aca="false">COUNTIFS(DATOS_[AGRUP. CLAS. PROF.],$B30,DATOS_[Sexo],$B32,DATOS_[Check Periodo Ref.],"Dentro",DATOS_[Check Nº SC Norm y Anualiz],"Sí")</f>
        <v>0</v>
      </c>
      <c r="H32" s="248" t="n">
        <f aca="false">COUNTIFS(DATOS_[AGRUP. CLAS. PROF.],$B30,DATOS_[Sexo],$B32,DATOS_[Check Periodo Ref.],"Dentro",DATOS_[Check Equiparación],"Sí")</f>
        <v>0</v>
      </c>
      <c r="I32" s="249" t="n">
        <f aca="false" t="array" ref="I32:I32">IFERROR( MEDIAN(IF(DATOS_[Sexo]=$B32,IF(DATOS_[[AGRUP. CLAS. PROF.]:[AGRUP. CLAS. PROF.]]=$B30,IF(DATOS_[Check Equiparado]="Sí",IF(DATOS_[Check Periodo Ref.]="Dentro",DATOS_[SALARIO BASE Eq],0))))), 0)</f>
        <v>0</v>
      </c>
      <c r="J32" s="250" t="n">
        <f aca="false" t="array" ref="J32:J32">IFERROR( (MEDIAN((IF(DATOS_[[Sexo]:[Sexo]]=$B32,IF(DATOS_[[AGRUP. CLAS. PROF.]:[AGRUP. CLAS. PROF.]]=$B30,IF(DATOS_[[Check Periodo Ref.]:[Check Periodo Ref.]]="Dentro",IF(DATOS_[[Check Equiparado]:[Check Equiparado]]="Sí",IF(DATOS!AE$4="Sí",(1/DATOS_[[% anualiz]:[% anualiz]]),1)*IF(DATOS!AE$5="Sí",1/DATOS_[[% normaliz]:[% normaliz]],1)*(DATOS_[Conc.Sal.01])))))))), 0)</f>
        <v>0</v>
      </c>
      <c r="K32" s="250" t="n">
        <f aca="false" t="array" ref="K32:K32">IFERROR( (MEDIAN((IF(DATOS_[[Sexo]:[Sexo]]=$B32,IF(DATOS_[[AGRUP. CLAS. PROF.]:[AGRUP. CLAS. PROF.]]=$B30,IF(DATOS_[[Check Periodo Ref.]:[Check Periodo Ref.]]="Dentro",IF(DATOS_[[Check Equiparado]:[Check Equiparado]]="Sí",IF(DATOS!AF$4="Sí",(1/DATOS_[[% anualiz]:[% anualiz]]),1)*IF(DATOS!AF$5="Sí",1/DATOS_[[% normaliz]:[% normaliz]],1)*(DATOS_[Conc.Sal.02])))))))), 0)</f>
        <v>0</v>
      </c>
      <c r="L32" s="250" t="n">
        <f aca="false" t="array" ref="L32:L32">IFERROR( (MEDIAN((IF(DATOS_[[Sexo]:[Sexo]]=$B32,IF(DATOS_[[AGRUP. CLAS. PROF.]:[AGRUP. CLAS. PROF.]]=$B30,IF(DATOS_[[Check Periodo Ref.]:[Check Periodo Ref.]]="Dentro",IF(DATOS_[[Check Equiparado]:[Check Equiparado]]="Sí",IF(DATOS!AG$4="Sí",(1/DATOS_[[% anualiz]:[% anualiz]]),1)*IF(DATOS!AG$5="Sí",1/DATOS_[[% normaliz]:[% normaliz]],1)*(DATOS_[Conc.Sal.03])))))))), 0)</f>
        <v>0</v>
      </c>
      <c r="M32" s="250" t="n">
        <f aca="false" t="array" ref="M32:M32">IFERROR( (MEDIAN((IF(DATOS_[[Sexo]:[Sexo]]=$B32,IF(DATOS_[[AGRUP. CLAS. PROF.]:[AGRUP. CLAS. PROF.]]=$B30,IF(DATOS_[[Check Periodo Ref.]:[Check Periodo Ref.]]="Dentro",IF(DATOS_[[Check Equiparado]:[Check Equiparado]]="Sí",IF(DATOS!AH$4="Sí",(1/DATOS_[[% anualiz]:[% anualiz]]),1)*IF(DATOS!AH$5="Sí",1/DATOS_[[% normaliz]:[% normaliz]],1)*(DATOS_[Conc.Sal.04])))))))), 0)</f>
        <v>0</v>
      </c>
      <c r="N32" s="250" t="n">
        <f aca="false" t="array" ref="N32:N32">IFERROR( (MEDIAN((IF(DATOS_[[Sexo]:[Sexo]]=$B32,IF(DATOS_[[AGRUP. CLAS. PROF.]:[AGRUP. CLAS. PROF.]]=$B30,IF(DATOS_[[Check Periodo Ref.]:[Check Periodo Ref.]]="Dentro",IF(DATOS_[[Check Equiparado]:[Check Equiparado]]="Sí",IF(DATOS!AI$4="Sí",(1/DATOS_[[% anualiz]:[% anualiz]]),1)*IF(DATOS!AI$5="Sí",1/DATOS_[[% normaliz]:[% normaliz]],1)*(DATOS_[Conc.Sal.05])))))))), 0)</f>
        <v>0</v>
      </c>
      <c r="O32" s="250" t="n">
        <f aca="false" t="array" ref="O32:O32">IFERROR( (MEDIAN((IF(DATOS_[[Sexo]:[Sexo]]=$B32,IF(DATOS_[[AGRUP. CLAS. PROF.]:[AGRUP. CLAS. PROF.]]=$B30,IF(DATOS_[[Check Periodo Ref.]:[Check Periodo Ref.]]="Dentro",IF(DATOS_[[Check Equiparado]:[Check Equiparado]]="Sí",IF(DATOS!AJ$4="Sí",(1/DATOS_[[% anualiz]:[% anualiz]]),1)*IF(DATOS!AJ$5="Sí",1/DATOS_[[% normaliz]:[% normaliz]],1)*(DATOS_[Conc.Sal.06])))))))), 0)</f>
        <v>0</v>
      </c>
      <c r="P32" s="250" t="n">
        <f aca="false" t="array" ref="P32:P32">IFERROR( (MEDIAN((IF(DATOS_[[Sexo]:[Sexo]]=$B32,IF(DATOS_[[AGRUP. CLAS. PROF.]:[AGRUP. CLAS. PROF.]]=$B30,IF(DATOS_[[Check Periodo Ref.]:[Check Periodo Ref.]]="Dentro",IF(DATOS_[[Check Equiparado]:[Check Equiparado]]="Sí",IF(DATOS!AK$4="Sí",(1/DATOS_[[% anualiz]:[% anualiz]]),1)*IF(DATOS!AK$5="Sí",1/DATOS_[[% normaliz]:[% normaliz]],1)*(DATOS_[Conc.Sal.07])))))))), 0)</f>
        <v>0</v>
      </c>
      <c r="Q32" s="250" t="n">
        <f aca="false" t="array" ref="Q32:Q32">IFERROR( (MEDIAN((IF(DATOS_[[Sexo]:[Sexo]]=$B32,IF(DATOS_[[AGRUP. CLAS. PROF.]:[AGRUP. CLAS. PROF.]]=$B30,IF(DATOS_[[Check Periodo Ref.]:[Check Periodo Ref.]]="Dentro",IF(DATOS_[[Check Equiparado]:[Check Equiparado]]="Sí",IF(DATOS!AL$4="Sí",(1/DATOS_[[% anualiz]:[% anualiz]]),1)*IF(DATOS!AL$5="Sí",1/DATOS_[[% normaliz]:[% normaliz]],1)*(DATOS_[Conc.Sal.08])))))))), 0)</f>
        <v>0</v>
      </c>
      <c r="R32" s="250" t="n">
        <f aca="false" t="array" ref="R32:R32">IFERROR( (MEDIAN((IF(DATOS_[[Sexo]:[Sexo]]=$B32,IF(DATOS_[[AGRUP. CLAS. PROF.]:[AGRUP. CLAS. PROF.]]=$B30,IF(DATOS_[[Check Periodo Ref.]:[Check Periodo Ref.]]="Dentro",IF(DATOS_[[Check Equiparado]:[Check Equiparado]]="Sí",IF(DATOS!AM$4="Sí",(1/DATOS_[[% anualiz]:[% anualiz]]),1)*IF(DATOS!AM$5="Sí",1/DATOS_[[% normaliz]:[% normaliz]],1)*(DATOS_[Conc.Sal.09])))))))), 0)</f>
        <v>0</v>
      </c>
      <c r="S32" s="250" t="n">
        <f aca="false" t="array" ref="S32:S32">IFERROR( (MEDIAN((IF(DATOS_[[Sexo]:[Sexo]]=$B32,IF(DATOS_[[AGRUP. CLAS. PROF.]:[AGRUP. CLAS. PROF.]]=$B30,IF(DATOS_[[Check Periodo Ref.]:[Check Periodo Ref.]]="Dentro",IF(DATOS_[[Check Equiparado]:[Check Equiparado]]="Sí",IF(DATOS!AN$4="Sí",(1/DATOS_[[% anualiz]:[% anualiz]]),1)*IF(DATOS!AN$5="Sí",1/DATOS_[[% normaliz]:[% normaliz]],1)*(DATOS_[Conc.Sal.10])))))))), 0)</f>
        <v>0</v>
      </c>
      <c r="T32" s="250" t="n">
        <f aca="false" t="array" ref="T32:T32">IFERROR( (MEDIAN((IF(DATOS_[[Sexo]:[Sexo]]=$B32,IF(DATOS_[[AGRUP. CLAS. PROF.]:[AGRUP. CLAS. PROF.]]=$B30,IF(DATOS_[[Check Periodo Ref.]:[Check Periodo Ref.]]="Dentro",IF(DATOS_[[Check Equiparado]:[Check Equiparado]]="Sí",IF(DATOS!AO$4="Sí",(1/DATOS_[[% anualiz]:[% anualiz]]),1)*IF(DATOS!AO$5="Sí",1/DATOS_[[% normaliz]:[% normaliz]],1)*(DATOS_[Conc.Sal.11])))))))), 0)</f>
        <v>0</v>
      </c>
      <c r="U32" s="250" t="n">
        <f aca="false" t="array" ref="U32:U32">IFERROR( (MEDIAN((IF(DATOS_[[Sexo]:[Sexo]]=$B32,IF(DATOS_[[AGRUP. CLAS. PROF.]:[AGRUP. CLAS. PROF.]]=$B30,IF(DATOS_[[Check Periodo Ref.]:[Check Periodo Ref.]]="Dentro",IF(DATOS_[[Check Equiparado]:[Check Equiparado]]="Sí",IF(DATOS!AP$4="Sí",(1/DATOS_[[% anualiz]:[% anualiz]]),1)*IF(DATOS!AP$5="Sí",1/DATOS_[[% normaliz]:[% normaliz]],1)*(DATOS_[Conc.Sal.12])))))))), 0)</f>
        <v>0</v>
      </c>
      <c r="V32" s="250" t="n">
        <f aca="false" t="array" ref="V32:V32">IFERROR( (MEDIAN((IF(DATOS_[[Sexo]:[Sexo]]=$B32,IF(DATOS_[[AGRUP. CLAS. PROF.]:[AGRUP. CLAS. PROF.]]=$B30,IF(DATOS_[[Check Periodo Ref.]:[Check Periodo Ref.]]="Dentro",IF(DATOS_[[Check Equiparado]:[Check Equiparado]]="Sí",IF(DATOS!AQ$4="Sí",(1/DATOS_[[% anualiz]:[% anualiz]]),1)*IF(DATOS!AQ$5="Sí",1/DATOS_[[% normaliz]:[% normaliz]],1)*(DATOS_[Conc.Sal.13])))))))), 0)</f>
        <v>0</v>
      </c>
      <c r="W32" s="250" t="n">
        <f aca="false" t="array" ref="W32:W32">IFERROR( (MEDIAN((IF(DATOS_[[Sexo]:[Sexo]]=$B32,IF(DATOS_[[AGRUP. CLAS. PROF.]:[AGRUP. CLAS. PROF.]]=$B30,IF(DATOS_[[Check Periodo Ref.]:[Check Periodo Ref.]]="Dentro",IF(DATOS_[[Check Equiparado]:[Check Equiparado]]="Sí",IF(DATOS!AR$4="Sí",(1/DATOS_[[% anualiz]:[% anualiz]]),1)*IF(DATOS!AR$5="Sí",1/DATOS_[[% normaliz]:[% normaliz]],1)*(DATOS_[Conc.Sal.14])))))))), 0)</f>
        <v>0</v>
      </c>
      <c r="X32" s="250" t="n">
        <f aca="false" t="array" ref="X32:X32">IFERROR( (MEDIAN((IF(DATOS_[[Sexo]:[Sexo]]=$B32,IF(DATOS_[[AGRUP. CLAS. PROF.]:[AGRUP. CLAS. PROF.]]=$B30,IF(DATOS_[[Check Periodo Ref.]:[Check Periodo Ref.]]="Dentro",IF(DATOS_[[Check Equiparado]:[Check Equiparado]]="Sí",IF(DATOS!AS$4="Sí",(1/DATOS_[[% anualiz]:[% anualiz]]),1)*IF(DATOS!AS$5="Sí",1/DATOS_[[% normaliz]:[% normaliz]],1)*(DATOS_[Conc.Sal.15])))))))), 0)</f>
        <v>0</v>
      </c>
      <c r="Y32" s="250" t="n">
        <f aca="false" t="array" ref="Y32:Y32">IFERROR( (MEDIAN((IF(DATOS_[[Sexo]:[Sexo]]=$B32,IF(DATOS_[[AGRUP. CLAS. PROF.]:[AGRUP. CLAS. PROF.]]=$B30,IF(DATOS_[[Check Periodo Ref.]:[Check Periodo Ref.]]="Dentro",IF(DATOS_[[Check Equiparado]:[Check Equiparado]]="Sí",IF(DATOS!AT$4="Sí",(1/DATOS_[[% anualiz]:[% anualiz]]),1)*IF(DATOS!AT$5="Sí",1/DATOS_[[% normaliz]:[% normaliz]],1)*(DATOS_[Conc.Sal.16])))))))), 0)</f>
        <v>0</v>
      </c>
      <c r="Z32" s="250" t="n">
        <f aca="false" t="array" ref="Z32:Z32">IFERROR( (MEDIAN((IF(DATOS_[[Sexo]:[Sexo]]=$B32,IF(DATOS_[[AGRUP. CLAS. PROF.]:[AGRUP. CLAS. PROF.]]=$B30,IF(DATOS_[[Check Periodo Ref.]:[Check Periodo Ref.]]="Dentro",IF(DATOS_[[Check Equiparado]:[Check Equiparado]]="Sí",IF(DATOS!AU$4="Sí",(1/DATOS_[[% anualiz]:[% anualiz]]),1)*IF(DATOS!AU$5="Sí",1/DATOS_[[% normaliz]:[% normaliz]],1)*(DATOS_[Conc.Sal.17])))))))), 0)</f>
        <v>0</v>
      </c>
      <c r="AA32" s="250" t="n">
        <f aca="false" t="array" ref="AA32:AA32">IFERROR( (MEDIAN((IF(DATOS_[[Sexo]:[Sexo]]=$B32,IF(DATOS_[[AGRUP. CLAS. PROF.]:[AGRUP. CLAS. PROF.]]=$B30,IF(DATOS_[[Check Periodo Ref.]:[Check Periodo Ref.]]="Dentro",IF(DATOS_[[Check Equiparado]:[Check Equiparado]]="Sí",IF(DATOS!AV$4="Sí",(1/DATOS_[[% anualiz]:[% anualiz]]),1)*IF(DATOS!AV$5="Sí",1/DATOS_[[% normaliz]:[% normaliz]],1)*(DATOS_[Conc.Sal.18])))))))), 0)</f>
        <v>0</v>
      </c>
      <c r="AB32" s="250" t="n">
        <f aca="false" t="array" ref="AB32:AB32">IFERROR( (MEDIAN((IF(DATOS_[[Sexo]:[Sexo]]=$B32,IF(DATOS_[[AGRUP. CLAS. PROF.]:[AGRUP. CLAS. PROF.]]=$B30,IF(DATOS_[[Check Periodo Ref.]:[Check Periodo Ref.]]="Dentro",IF(DATOS_[[Check Equiparado]:[Check Equiparado]]="Sí",IF(DATOS!AW$4="Sí",(1/DATOS_[[% anualiz]:[% anualiz]]),1)*IF(DATOS!AW$5="Sí",1/DATOS_[[% normaliz]:[% normaliz]],1)*(DATOS_[Conc.Sal.19])))))))), 0)</f>
        <v>0</v>
      </c>
      <c r="AC32" s="250" t="n">
        <f aca="false" t="array" ref="AC32:AC32">IFERROR( (MEDIAN((IF(DATOS_[[Sexo]:[Sexo]]=$B32,IF(DATOS_[[AGRUP. CLAS. PROF.]:[AGRUP. CLAS. PROF.]]=$B30,IF(DATOS_[[Check Periodo Ref.]:[Check Periodo Ref.]]="Dentro",IF(DATOS_[[Check Equiparado]:[Check Equiparado]]="Sí",IF(DATOS!AX$4="Sí",(1/DATOS_[[% anualiz]:[% anualiz]]),1)*IF(DATOS!AX$5="Sí",1/DATOS_[[% normaliz]:[% normaliz]],1)*(DATOS_[Conc.Sal.20])))))))), 0)</f>
        <v>0</v>
      </c>
      <c r="AD32" s="250" t="n">
        <f aca="false" t="array" ref="AD32:AD32">IFERROR( (MEDIAN((IF(DATOS_[[Sexo]:[Sexo]]=$B32,IF(DATOS_[[AGRUP. CLAS. PROF.]:[AGRUP. CLAS. PROF.]]=$B30,IF(DATOS_[[Check Periodo Ref.]:[Check Periodo Ref.]]="Dentro",IF(DATOS_[[Check Equiparado]:[Check Equiparado]]="Sí",IF(DATOS!AY$4="Sí",(1/DATOS_[[% anualiz]:[% anualiz]]),1)*IF(DATOS!AY$5="Sí",1/DATOS_[[% normaliz]:[% normaliz]],1)*(DATOS_[Conc.Sal.21])))))))), 0)</f>
        <v>0</v>
      </c>
      <c r="AE32" s="250" t="n">
        <f aca="false" t="array" ref="AE32:AE32">IFERROR( (MEDIAN((IF(DATOS_[[Sexo]:[Sexo]]=$B32,IF(DATOS_[[AGRUP. CLAS. PROF.]:[AGRUP. CLAS. PROF.]]=$B30,IF(DATOS_[[Check Periodo Ref.]:[Check Periodo Ref.]]="Dentro",IF(DATOS_[[Check Equiparado]:[Check Equiparado]]="Sí",IF(DATOS!AZ$4="Sí",(1/DATOS_[[% anualiz]:[% anualiz]]),1)*IF(DATOS!AZ$5="Sí",1/DATOS_[[% normaliz]:[% normaliz]],1)*(DATOS_[Conc.Sal.22])))))))), 0)</f>
        <v>0</v>
      </c>
      <c r="AF32" s="250" t="n">
        <f aca="false" t="array" ref="AF32:AF32">IFERROR( (MEDIAN((IF(DATOS_[[Sexo]:[Sexo]]=$B32,IF(DATOS_[[AGRUP. CLAS. PROF.]:[AGRUP. CLAS. PROF.]]=$B30,IF(DATOS_[[Check Periodo Ref.]:[Check Periodo Ref.]]="Dentro",IF(DATOS_[[Check Equiparado]:[Check Equiparado]]="Sí",IF(DATOS!BA$4="Sí",(1/DATOS_[[% anualiz]:[% anualiz]]),1)*IF(DATOS!BA$5="Sí",1/DATOS_[[% normaliz]:[% normaliz]],1)*(DATOS_[Conc.Sal.23])))))))), 0)</f>
        <v>0</v>
      </c>
      <c r="AG32" s="250" t="n">
        <f aca="false" t="array" ref="AG32:AG32">IFERROR( (MEDIAN((IF(DATOS_[[Sexo]:[Sexo]]=$B32,IF(DATOS_[[AGRUP. CLAS. PROF.]:[AGRUP. CLAS. PROF.]]=$B30,IF(DATOS_[[Check Periodo Ref.]:[Check Periodo Ref.]]="Dentro",IF(DATOS_[[Check Equiparado]:[Check Equiparado]]="Sí",IF(DATOS!BB$4="Sí",(1/DATOS_[[% anualiz]:[% anualiz]]),1)*IF(DATOS!BB$5="Sí",1/DATOS_[[% normaliz]:[% normaliz]],1)*(DATOS_[Conc.Sal.24])))))))), 0)</f>
        <v>0</v>
      </c>
      <c r="AH32" s="250" t="n">
        <f aca="false" t="array" ref="AH32:AH32">IFERROR( (MEDIAN((IF(DATOS_[[Sexo]:[Sexo]]=$B32,IF(DATOS_[[AGRUP. CLAS. PROF.]:[AGRUP. CLAS. PROF.]]=$B30,IF(DATOS_[[Check Periodo Ref.]:[Check Periodo Ref.]]="Dentro",IF(DATOS_[[Check Equiparado]:[Check Equiparado]]="Sí",IF(DATOS!BC$4="Sí",(1/DATOS_[[% anualiz]:[% anualiz]]),1)*IF(DATOS!BC$5="Sí",1/DATOS_[[% normaliz]:[% normaliz]],1)*(DATOS_[Conc.Sal.25])))))))), 0)</f>
        <v>0</v>
      </c>
      <c r="AI32" s="250" t="n">
        <f aca="false" t="array" ref="AI32:AI32">IFERROR( (MEDIAN((IF(DATOS_[[Sexo]:[Sexo]]=$B32,IF(DATOS_[[AGRUP. CLAS. PROF.]:[AGRUP. CLAS. PROF.]]=$B30,IF(DATOS_[[Check Periodo Ref.]:[Check Periodo Ref.]]="Dentro",IF(DATOS_[[Check Equiparado]:[Check Equiparado]]="Sí",IF(DATOS!BD$4="Sí",(1/DATOS_[[% anualiz]:[% anualiz]]),1)*IF(DATOS!BD$5="Sí",1/DATOS_[[% normaliz]:[% normaliz]],1)*(DATOS_[Conc.Sal.26])))))))), 0)</f>
        <v>0</v>
      </c>
      <c r="AJ32" s="250" t="n">
        <f aca="false" t="array" ref="AJ32:AJ32">IFERROR( (MEDIAN((IF(DATOS_[[Sexo]:[Sexo]]=$B32,IF(DATOS_[[AGRUP. CLAS. PROF.]:[AGRUP. CLAS. PROF.]]=$B30,IF(DATOS_[[Check Periodo Ref.]:[Check Periodo Ref.]]="Dentro",IF(DATOS_[[Check Equiparado]:[Check Equiparado]]="Sí",IF(DATOS!BE$4="Sí",(1/DATOS_[[% anualiz]:[% anualiz]]),1)*IF(DATOS!BE$5="Sí",1/DATOS_[[% normaliz]:[% normaliz]],1)*(DATOS_[Conc.Sal.27])))))))), 0)</f>
        <v>0</v>
      </c>
      <c r="AK32" s="250" t="n">
        <f aca="false" t="array" ref="AK32:AK32">IFERROR( (MEDIAN((IF(DATOS_[[Sexo]:[Sexo]]=$B32,IF(DATOS_[[AGRUP. CLAS. PROF.]:[AGRUP. CLAS. PROF.]]=$B30,IF(DATOS_[[Check Periodo Ref.]:[Check Periodo Ref.]]="Dentro",IF(DATOS_[[Check Equiparado]:[Check Equiparado]]="Sí",IF(DATOS!BF$4="Sí",(1/DATOS_[[% anualiz]:[% anualiz]]),1)*IF(DATOS!BF$5="Sí",1/DATOS_[[% normaliz]:[% normaliz]],1)*(DATOS_[Conc.Sal.28])))))))), 0)</f>
        <v>0</v>
      </c>
      <c r="AL32" s="250" t="n">
        <f aca="false" t="array" ref="AL32:AL32">IFERROR( (MEDIAN((IF(DATOS_[[Sexo]:[Sexo]]=$B32,IF(DATOS_[[AGRUP. CLAS. PROF.]:[AGRUP. CLAS. PROF.]]=$B30,IF(DATOS_[[Check Periodo Ref.]:[Check Periodo Ref.]]="Dentro",IF(DATOS_[[Check Equiparado]:[Check Equiparado]]="Sí",IF(DATOS!BG$4="Sí",(1/DATOS_[[% anualiz]:[% anualiz]]),1)*IF(DATOS!BG$5="Sí",1/DATOS_[[% normaliz]:[% normaliz]],1)*(DATOS_[Conc.Sal.29])))))))), 0)</f>
        <v>0</v>
      </c>
      <c r="AM32" s="250" t="n">
        <f aca="false" t="array" ref="AM32:AM32">IFERROR( (MEDIAN((IF(DATOS_[[Sexo]:[Sexo]]=$B32,IF(DATOS_[[AGRUP. CLAS. PROF.]:[AGRUP. CLAS. PROF.]]=$B30,IF(DATOS_[[Check Periodo Ref.]:[Check Periodo Ref.]]="Dentro",IF(DATOS_[[Check Equiparado]:[Check Equiparado]]="Sí",IF(DATOS!BH$4="Sí",(1/DATOS_[[% anualiz]:[% anualiz]]),1)*IF(DATOS!BH$5="Sí",1/DATOS_[[% normaliz]:[% normaliz]],1)*(DATOS_[Conc.Sal.30])))))))), 0)</f>
        <v>0</v>
      </c>
      <c r="AN32" s="251" t="n">
        <f aca="false" t="array" ref="AN32:AN32">IFERROR( MEDIAN(IF(DATOS_[Sexo]=$B32,IF(DATOS_[[AGRUP. CLAS. PROF.]:[AGRUP. CLAS. PROF.]]=$B30,IF(DATOS_[Check Equiparado]="Sí",IF(DATOS_[Check Periodo Ref.]="Dentro",DATOS_[Tot COMPL.SAL Eq],0))))), 0)</f>
        <v>0</v>
      </c>
      <c r="AO32" s="252" t="n">
        <f aca="false" t="array" ref="AO32:AO32">IFERROR( MEDIAN(IF(DATOS_[Sexo]=$B32,IF(DATOS_[[AGRUP. CLAS. PROF.]:[AGRUP. CLAS. PROF.]]=$B30,IF(DATOS_[Check Equiparado]="Sí",IF(DATOS_[Check Periodo Ref.]="Dentro",DATOS_[TOTAL SALARIO Eq],0))))), 0)</f>
        <v>0</v>
      </c>
      <c r="AP32" s="259" t="n">
        <f aca="false" t="array" ref="AP32:AP32">IFERROR( (MEDIAN((IF(DATOS_[[Sexo]:[Sexo]]=$B32,IF(DATOS_[[AGRUP. CLAS. PROF.]:[AGRUP. CLAS. PROF.]]=$B31,IF(DATOS_[[Check Periodo Ref.]:[Check Periodo Ref.]]="Dentro",IF(DATOS_[[Check Equiparado]:[Check Equiparado]]="Sí",IF(DATOS!BI$4="Sí",(1/DATOS_[[% anualiz]:[% anualiz]]),1)*IF(DATOS!BI$5="Sí",1/DATOS_[[% normaliz]:[% normaliz]],1)*(DATOS_[C.Extra.01])))))))), 0)</f>
        <v>0</v>
      </c>
      <c r="AQ32" s="259" t="n">
        <f aca="false" t="array" ref="AQ32:AQ32">IFERROR( (MEDIAN((IF(DATOS_[[Sexo]:[Sexo]]=$B32,IF(DATOS_[[AGRUP. CLAS. PROF.]:[AGRUP. CLAS. PROF.]]=$B31,IF(DATOS_[[Check Periodo Ref.]:[Check Periodo Ref.]]="Dentro",IF(DATOS_[[Check Equiparado]:[Check Equiparado]]="Sí",IF(DATOS!BJ$4="Sí",(1/DATOS_[[% anualiz]:[% anualiz]]),1)*IF(DATOS!BJ$5="Sí",1/DATOS_[[% normaliz]:[% normaliz]],1)*(DATOS_[C.Extra.02])))))))), 0)</f>
        <v>0</v>
      </c>
      <c r="AR32" s="259" t="n">
        <f aca="false" t="array" ref="AR32:AR32">IFERROR( (MEDIAN((IF(DATOS_[[Sexo]:[Sexo]]=$B32,IF(DATOS_[[AGRUP. CLAS. PROF.]:[AGRUP. CLAS. PROF.]]=$B31,IF(DATOS_[[Check Periodo Ref.]:[Check Periodo Ref.]]="Dentro",IF(DATOS_[[Check Equiparado]:[Check Equiparado]]="Sí",IF(DATOS!BK$4="Sí",(1/DATOS_[[% anualiz]:[% anualiz]]),1)*IF(DATOS!BK$5="Sí",1/DATOS_[[% normaliz]:[% normaliz]],1)*(DATOS_[C.Extra.03])))))))), 0)</f>
        <v>0</v>
      </c>
      <c r="AS32" s="259" t="n">
        <f aca="false" t="array" ref="AS32:AS32">IFERROR( (MEDIAN((IF(DATOS_[[Sexo]:[Sexo]]=$B32,IF(DATOS_[[AGRUP. CLAS. PROF.]:[AGRUP. CLAS. PROF.]]=$B31,IF(DATOS_[[Check Periodo Ref.]:[Check Periodo Ref.]]="Dentro",IF(DATOS_[[Check Equiparado]:[Check Equiparado]]="Sí",IF(DATOS!BL$4="Sí",(1/DATOS_[[% anualiz]:[% anualiz]]),1)*IF(DATOS!BL$5="Sí",1/DATOS_[[% normaliz]:[% normaliz]],1)*(DATOS_[C.Extra.04])))))))), 0)</f>
        <v>0</v>
      </c>
      <c r="AT32" s="259" t="n">
        <f aca="false" t="array" ref="AT32:AT32">IFERROR( (MEDIAN((IF(DATOS_[[Sexo]:[Sexo]]=$B32,IF(DATOS_[[AGRUP. CLAS. PROF.]:[AGRUP. CLAS. PROF.]]=$B31,IF(DATOS_[[Check Periodo Ref.]:[Check Periodo Ref.]]="Dentro",IF(DATOS_[[Check Equiparado]:[Check Equiparado]]="Sí",IF(DATOS!BM$4="Sí",(1/DATOS_[[% anualiz]:[% anualiz]]),1)*IF(DATOS!BM$5="Sí",1/DATOS_[[% normaliz]:[% normaliz]],1)*(DATOS_[C.Extra.05])))))))), 0)</f>
        <v>0</v>
      </c>
      <c r="AU32" s="254" t="n">
        <f aca="false" t="array" ref="AU32:AU32">IFERROR( MEDIAN(IF(DATOS_[Sexo]=$B32,IF(DATOS_[[AGRUP. CLAS. PROF.]:[AGRUP. CLAS. PROF.]]=$B30,IF(DATOS_[Check Equiparado]="Sí",IF(DATOS_[Check Periodo Ref.]="Dentro",DATOS_[Tot Extrasalarial Eq],0))))), 0)</f>
        <v>0</v>
      </c>
      <c r="AV32" s="255" t="n">
        <f aca="false" t="array" ref="AV32:AV32">IFERROR( MEDIAN(IF(DATOS_[Sexo]=$B32,IF(DATOS_[[AGRUP. CLAS. PROF.]:[AGRUP. CLAS. PROF.]]=$B30,IF(DATOS_[Check Equiparado]="Sí",IF(DATOS_[Check Periodo Ref.]="Dentro",DATOS_[TOTAL Retrib Eq],0))))), 0)</f>
        <v>0</v>
      </c>
    </row>
    <row r="33" customFormat="false" ht="15.75" hidden="false" customHeight="false" outlineLevel="0" collapsed="false">
      <c r="A33" s="217" t="str">
        <f aca="false">+A34</f>
        <v>[ocultar]</v>
      </c>
      <c r="B33" s="320" t="s">
        <v>186</v>
      </c>
      <c r="C33" s="236"/>
      <c r="D33" s="237"/>
      <c r="E33" s="237"/>
      <c r="F33" s="237"/>
      <c r="G33" s="237"/>
      <c r="H33" s="237"/>
      <c r="I33" s="238"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39" t="str">
        <f aca="false">IFERROR((V34-V35)/V34,"")</f>
        <v/>
      </c>
      <c r="W33" s="239" t="str">
        <f aca="false">IFERROR((W34-W35)/W34,"")</f>
        <v/>
      </c>
      <c r="X33" s="239" t="str">
        <f aca="false">IFERROR((X34-X35)/X34,"")</f>
        <v/>
      </c>
      <c r="Y33" s="239"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0" t="str">
        <f aca="false">IFERROR((AJ34-AJ35)/AJ34,"")</f>
        <v/>
      </c>
      <c r="AK33" s="240" t="str">
        <f aca="false">IFERROR((AK34-AK35)/AK34,"")</f>
        <v/>
      </c>
      <c r="AL33" s="240" t="str">
        <f aca="false">IFERROR((AL34-AL35)/AL34,"")</f>
        <v/>
      </c>
      <c r="AM33" s="240" t="str">
        <f aca="false">IFERROR((AM34-AM35)/AM34,"")</f>
        <v/>
      </c>
      <c r="AN33" s="241" t="str">
        <f aca="false">IFERROR((AN34-AN35)/AN34,"")</f>
        <v/>
      </c>
      <c r="AO33" s="242" t="str">
        <f aca="false">IFERROR((AO34-AO35)/AO34,"")</f>
        <v/>
      </c>
      <c r="AP33" s="243" t="str">
        <f aca="false">IFERROR((AP34-AP35)/AP34,"")</f>
        <v/>
      </c>
      <c r="AQ33" s="243" t="str">
        <f aca="false">IFERROR((AQ34-AQ35)/AQ34,"")</f>
        <v/>
      </c>
      <c r="AR33" s="243" t="str">
        <f aca="false">IFERROR((AR34-AR35)/AR34,"")</f>
        <v/>
      </c>
      <c r="AS33" s="243" t="str">
        <f aca="false">IFERROR((AS34-AS35)/AS34,"")</f>
        <v/>
      </c>
      <c r="AT33" s="243" t="str">
        <f aca="false">IFERROR((AT34-AT35)/AT34,"")</f>
        <v/>
      </c>
      <c r="AU33" s="244" t="str">
        <f aca="false">IFERROR((AU34-AU35)/AU34,"")</f>
        <v/>
      </c>
      <c r="AV33" s="245" t="str">
        <f aca="false">IFERROR((AV34-AV35)/AV34,"")</f>
        <v/>
      </c>
    </row>
    <row r="34" customFormat="false" ht="14.25" hidden="false" customHeight="false" outlineLevel="0" collapsed="false">
      <c r="A34" s="217" t="str">
        <f aca="false">+IF(C34+C35=0,"[ocultar]","")</f>
        <v>[ocultar]</v>
      </c>
      <c r="B34" s="323" t="s">
        <v>371</v>
      </c>
      <c r="C34" s="247" t="n">
        <f aca="false" t="array" ref="C34:C34">SUM(IF($B34=DATOS_[Sexo], IF($B33=DATOS_[AGRUP. CLAS. PROF.], IF("Dentro"=DATOS_[Check Periodo Ref.], 1/(COUNTIFS(DATOS_[Sexo],$B34,DATOS_[AGRUP. CLAS. PROF.],$B33,DATOS_[Check Periodo Ref.],"Dentro",DATOS_[id],DATOS_[id]))))))</f>
        <v>0</v>
      </c>
      <c r="D34" s="248" t="n">
        <f aca="false">COUNTIFS(DATOS_[AGRUP. CLAS. PROF.],$B33,DATOS_[Sexo],$B34,DATOS_[Check Periodo Ref.],"Dentro")</f>
        <v>0</v>
      </c>
      <c r="E34" s="248" t="n">
        <f aca="false">COUNTIFS(DATOS_[AGRUP. CLAS. PROF.],$B33,DATOS_[Sexo],$B34,DATOS_[Check Periodo Ref.],"Dentro",DATOS_[Check Nº SC Norm],"Sí")</f>
        <v>0</v>
      </c>
      <c r="F34" s="248" t="n">
        <f aca="false">COUNTIFS(DATOS_[AGRUP. CLAS. PROF.],$B33,DATOS_[Sexo],$B34,DATOS_[Check Periodo Ref.],"Dentro",DATOS_[Check Nº SC Anualiz],"Sí")</f>
        <v>0</v>
      </c>
      <c r="G34" s="248" t="n">
        <f aca="false">COUNTIFS(DATOS_[AGRUP. CLAS. PROF.],$B33,DATOS_[Sexo],$B34,DATOS_[Check Periodo Ref.],"Dentro",DATOS_[Check Nº SC Norm y Anualiz],"Sí")</f>
        <v>0</v>
      </c>
      <c r="H34" s="248" t="n">
        <f aca="false">COUNTIFS(DATOS_[AGRUP. CLAS. PROF.],$B33,DATOS_[Sexo],$B34,DATOS_[Check Periodo Ref.],"Dentro",DATOS_[Check Equiparación],"Sí")</f>
        <v>0</v>
      </c>
      <c r="I34" s="249" t="n">
        <f aca="false" t="array" ref="I34:I34">IFERROR( MEDIAN(IF(DATOS_[Sexo]=$B34,IF(DATOS_[[AGRUP. CLAS. PROF.]:[AGRUP. CLAS. PROF.]]=$B33,IF(DATOS_[Check Equiparado]="Sí",IF(DATOS_[Check Periodo Ref.]="Dentro",DATOS_[SALARIO BASE Eq],0))))), 0)</f>
        <v>0</v>
      </c>
      <c r="J34" s="250" t="n">
        <f aca="false" t="array" ref="J34:J34">IFERROR( (MEDIAN((IF(DATOS_[[Sexo]:[Sexo]]=$B34,IF(DATOS_[[AGRUP. CLAS. PROF.]:[AGRUP. CLAS. PROF.]]=$B33,IF(DATOS_[[Check Periodo Ref.]:[Check Periodo Ref.]]="Dentro",IF(DATOS_[[Check Equiparado]:[Check Equiparado]]="Sí",IF(DATOS!AE$4="Sí",(1/DATOS_[[% anualiz]:[% anualiz]]),1)*IF(DATOS!AE$5="Sí",1/DATOS_[[% normaliz]:[% normaliz]],1)*(DATOS_[Conc.Sal.01])))))))), 0)</f>
        <v>0</v>
      </c>
      <c r="K34" s="250" t="n">
        <f aca="false" t="array" ref="K34:K34">IFERROR( (MEDIAN((IF(DATOS_[[Sexo]:[Sexo]]=$B34,IF(DATOS_[[AGRUP. CLAS. PROF.]:[AGRUP. CLAS. PROF.]]=$B33,IF(DATOS_[[Check Periodo Ref.]:[Check Periodo Ref.]]="Dentro",IF(DATOS_[[Check Equiparado]:[Check Equiparado]]="Sí",IF(DATOS!AF$4="Sí",(1/DATOS_[[% anualiz]:[% anualiz]]),1)*IF(DATOS!AF$5="Sí",1/DATOS_[[% normaliz]:[% normaliz]],1)*(DATOS_[Conc.Sal.02])))))))), 0)</f>
        <v>0</v>
      </c>
      <c r="L34" s="250" t="n">
        <f aca="false" t="array" ref="L34:L34">IFERROR( (MEDIAN((IF(DATOS_[[Sexo]:[Sexo]]=$B34,IF(DATOS_[[AGRUP. CLAS. PROF.]:[AGRUP. CLAS. PROF.]]=$B33,IF(DATOS_[[Check Periodo Ref.]:[Check Periodo Ref.]]="Dentro",IF(DATOS_[[Check Equiparado]:[Check Equiparado]]="Sí",IF(DATOS!AG$4="Sí",(1/DATOS_[[% anualiz]:[% anualiz]]),1)*IF(DATOS!AG$5="Sí",1/DATOS_[[% normaliz]:[% normaliz]],1)*(DATOS_[Conc.Sal.03])))))))), 0)</f>
        <v>0</v>
      </c>
      <c r="M34" s="250" t="n">
        <f aca="false" t="array" ref="M34:M34">IFERROR( (MEDIAN((IF(DATOS_[[Sexo]:[Sexo]]=$B34,IF(DATOS_[[AGRUP. CLAS. PROF.]:[AGRUP. CLAS. PROF.]]=$B33,IF(DATOS_[[Check Periodo Ref.]:[Check Periodo Ref.]]="Dentro",IF(DATOS_[[Check Equiparado]:[Check Equiparado]]="Sí",IF(DATOS!AH$4="Sí",(1/DATOS_[[% anualiz]:[% anualiz]]),1)*IF(DATOS!AH$5="Sí",1/DATOS_[[% normaliz]:[% normaliz]],1)*(DATOS_[Conc.Sal.04])))))))), 0)</f>
        <v>0</v>
      </c>
      <c r="N34" s="250" t="n">
        <f aca="false" t="array" ref="N34:N34">IFERROR( (MEDIAN((IF(DATOS_[[Sexo]:[Sexo]]=$B34,IF(DATOS_[[AGRUP. CLAS. PROF.]:[AGRUP. CLAS. PROF.]]=$B33,IF(DATOS_[[Check Periodo Ref.]:[Check Periodo Ref.]]="Dentro",IF(DATOS_[[Check Equiparado]:[Check Equiparado]]="Sí",IF(DATOS!AI$4="Sí",(1/DATOS_[[% anualiz]:[% anualiz]]),1)*IF(DATOS!AI$5="Sí",1/DATOS_[[% normaliz]:[% normaliz]],1)*(DATOS_[Conc.Sal.05])))))))), 0)</f>
        <v>0</v>
      </c>
      <c r="O34" s="250" t="n">
        <f aca="false" t="array" ref="O34:O34">IFERROR( (MEDIAN((IF(DATOS_[[Sexo]:[Sexo]]=$B34,IF(DATOS_[[AGRUP. CLAS. PROF.]:[AGRUP. CLAS. PROF.]]=$B33,IF(DATOS_[[Check Periodo Ref.]:[Check Periodo Ref.]]="Dentro",IF(DATOS_[[Check Equiparado]:[Check Equiparado]]="Sí",IF(DATOS!AJ$4="Sí",(1/DATOS_[[% anualiz]:[% anualiz]]),1)*IF(DATOS!AJ$5="Sí",1/DATOS_[[% normaliz]:[% normaliz]],1)*(DATOS_[Conc.Sal.06])))))))), 0)</f>
        <v>0</v>
      </c>
      <c r="P34" s="250" t="n">
        <f aca="false" t="array" ref="P34:P34">IFERROR( (MEDIAN((IF(DATOS_[[Sexo]:[Sexo]]=$B34,IF(DATOS_[[AGRUP. CLAS. PROF.]:[AGRUP. CLAS. PROF.]]=$B33,IF(DATOS_[[Check Periodo Ref.]:[Check Periodo Ref.]]="Dentro",IF(DATOS_[[Check Equiparado]:[Check Equiparado]]="Sí",IF(DATOS!AK$4="Sí",(1/DATOS_[[% anualiz]:[% anualiz]]),1)*IF(DATOS!AK$5="Sí",1/DATOS_[[% normaliz]:[% normaliz]],1)*(DATOS_[Conc.Sal.07])))))))), 0)</f>
        <v>0</v>
      </c>
      <c r="Q34" s="250" t="n">
        <f aca="false" t="array" ref="Q34:Q34">IFERROR( (MEDIAN((IF(DATOS_[[Sexo]:[Sexo]]=$B34,IF(DATOS_[[AGRUP. CLAS. PROF.]:[AGRUP. CLAS. PROF.]]=$B33,IF(DATOS_[[Check Periodo Ref.]:[Check Periodo Ref.]]="Dentro",IF(DATOS_[[Check Equiparado]:[Check Equiparado]]="Sí",IF(DATOS!AL$4="Sí",(1/DATOS_[[% anualiz]:[% anualiz]]),1)*IF(DATOS!AL$5="Sí",1/DATOS_[[% normaliz]:[% normaliz]],1)*(DATOS_[Conc.Sal.08])))))))), 0)</f>
        <v>0</v>
      </c>
      <c r="R34" s="250" t="n">
        <f aca="false" t="array" ref="R34:R34">IFERROR( (MEDIAN((IF(DATOS_[[Sexo]:[Sexo]]=$B34,IF(DATOS_[[AGRUP. CLAS. PROF.]:[AGRUP. CLAS. PROF.]]=$B33,IF(DATOS_[[Check Periodo Ref.]:[Check Periodo Ref.]]="Dentro",IF(DATOS_[[Check Equiparado]:[Check Equiparado]]="Sí",IF(DATOS!AM$4="Sí",(1/DATOS_[[% anualiz]:[% anualiz]]),1)*IF(DATOS!AM$5="Sí",1/DATOS_[[% normaliz]:[% normaliz]],1)*(DATOS_[Conc.Sal.09])))))))), 0)</f>
        <v>0</v>
      </c>
      <c r="S34" s="250" t="n">
        <f aca="false" t="array" ref="S34:S34">IFERROR( (MEDIAN((IF(DATOS_[[Sexo]:[Sexo]]=$B34,IF(DATOS_[[AGRUP. CLAS. PROF.]:[AGRUP. CLAS. PROF.]]=$B33,IF(DATOS_[[Check Periodo Ref.]:[Check Periodo Ref.]]="Dentro",IF(DATOS_[[Check Equiparado]:[Check Equiparado]]="Sí",IF(DATOS!AN$4="Sí",(1/DATOS_[[% anualiz]:[% anualiz]]),1)*IF(DATOS!AN$5="Sí",1/DATOS_[[% normaliz]:[% normaliz]],1)*(DATOS_[Conc.Sal.10])))))))), 0)</f>
        <v>0</v>
      </c>
      <c r="T34" s="250" t="n">
        <f aca="false" t="array" ref="T34:T34">IFERROR( (MEDIAN((IF(DATOS_[[Sexo]:[Sexo]]=$B34,IF(DATOS_[[AGRUP. CLAS. PROF.]:[AGRUP. CLAS. PROF.]]=$B33,IF(DATOS_[[Check Periodo Ref.]:[Check Periodo Ref.]]="Dentro",IF(DATOS_[[Check Equiparado]:[Check Equiparado]]="Sí",IF(DATOS!AO$4="Sí",(1/DATOS_[[% anualiz]:[% anualiz]]),1)*IF(DATOS!AO$5="Sí",1/DATOS_[[% normaliz]:[% normaliz]],1)*(DATOS_[Conc.Sal.11])))))))), 0)</f>
        <v>0</v>
      </c>
      <c r="U34" s="250" t="n">
        <f aca="false" t="array" ref="U34:U34">IFERROR( (MEDIAN((IF(DATOS_[[Sexo]:[Sexo]]=$B34,IF(DATOS_[[AGRUP. CLAS. PROF.]:[AGRUP. CLAS. PROF.]]=$B33,IF(DATOS_[[Check Periodo Ref.]:[Check Periodo Ref.]]="Dentro",IF(DATOS_[[Check Equiparado]:[Check Equiparado]]="Sí",IF(DATOS!AP$4="Sí",(1/DATOS_[[% anualiz]:[% anualiz]]),1)*IF(DATOS!AP$5="Sí",1/DATOS_[[% normaliz]:[% normaliz]],1)*(DATOS_[Conc.Sal.12])))))))), 0)</f>
        <v>0</v>
      </c>
      <c r="V34" s="250" t="n">
        <f aca="false" t="array" ref="V34:V34">IFERROR( (MEDIAN((IF(DATOS_[[Sexo]:[Sexo]]=$B34,IF(DATOS_[[AGRUP. CLAS. PROF.]:[AGRUP. CLAS. PROF.]]=$B33,IF(DATOS_[[Check Periodo Ref.]:[Check Periodo Ref.]]="Dentro",IF(DATOS_[[Check Equiparado]:[Check Equiparado]]="Sí",IF(DATOS!AQ$4="Sí",(1/DATOS_[[% anualiz]:[% anualiz]]),1)*IF(DATOS!AQ$5="Sí",1/DATOS_[[% normaliz]:[% normaliz]],1)*(DATOS_[Conc.Sal.13])))))))), 0)</f>
        <v>0</v>
      </c>
      <c r="W34" s="250" t="n">
        <f aca="false" t="array" ref="W34:W34">IFERROR( (MEDIAN((IF(DATOS_[[Sexo]:[Sexo]]=$B34,IF(DATOS_[[AGRUP. CLAS. PROF.]:[AGRUP. CLAS. PROF.]]=$B33,IF(DATOS_[[Check Periodo Ref.]:[Check Periodo Ref.]]="Dentro",IF(DATOS_[[Check Equiparado]:[Check Equiparado]]="Sí",IF(DATOS!AR$4="Sí",(1/DATOS_[[% anualiz]:[% anualiz]]),1)*IF(DATOS!AR$5="Sí",1/DATOS_[[% normaliz]:[% normaliz]],1)*(DATOS_[Conc.Sal.14])))))))), 0)</f>
        <v>0</v>
      </c>
      <c r="X34" s="250" t="n">
        <f aca="false" t="array" ref="X34:X34">IFERROR( (MEDIAN((IF(DATOS_[[Sexo]:[Sexo]]=$B34,IF(DATOS_[[AGRUP. CLAS. PROF.]:[AGRUP. CLAS. PROF.]]=$B33,IF(DATOS_[[Check Periodo Ref.]:[Check Periodo Ref.]]="Dentro",IF(DATOS_[[Check Equiparado]:[Check Equiparado]]="Sí",IF(DATOS!AS$4="Sí",(1/DATOS_[[% anualiz]:[% anualiz]]),1)*IF(DATOS!AS$5="Sí",1/DATOS_[[% normaliz]:[% normaliz]],1)*(DATOS_[Conc.Sal.15])))))))), 0)</f>
        <v>0</v>
      </c>
      <c r="Y34" s="250" t="n">
        <f aca="false" t="array" ref="Y34:Y34">IFERROR( (MEDIAN((IF(DATOS_[[Sexo]:[Sexo]]=$B34,IF(DATOS_[[AGRUP. CLAS. PROF.]:[AGRUP. CLAS. PROF.]]=$B33,IF(DATOS_[[Check Periodo Ref.]:[Check Periodo Ref.]]="Dentro",IF(DATOS_[[Check Equiparado]:[Check Equiparado]]="Sí",IF(DATOS!AT$4="Sí",(1/DATOS_[[% anualiz]:[% anualiz]]),1)*IF(DATOS!AT$5="Sí",1/DATOS_[[% normaliz]:[% normaliz]],1)*(DATOS_[Conc.Sal.16])))))))), 0)</f>
        <v>0</v>
      </c>
      <c r="Z34" s="250" t="n">
        <f aca="false" t="array" ref="Z34:Z34">IFERROR( (MEDIAN((IF(DATOS_[[Sexo]:[Sexo]]=$B34,IF(DATOS_[[AGRUP. CLAS. PROF.]:[AGRUP. CLAS. PROF.]]=$B33,IF(DATOS_[[Check Periodo Ref.]:[Check Periodo Ref.]]="Dentro",IF(DATOS_[[Check Equiparado]:[Check Equiparado]]="Sí",IF(DATOS!AU$4="Sí",(1/DATOS_[[% anualiz]:[% anualiz]]),1)*IF(DATOS!AU$5="Sí",1/DATOS_[[% normaliz]:[% normaliz]],1)*(DATOS_[Conc.Sal.17])))))))), 0)</f>
        <v>0</v>
      </c>
      <c r="AA34" s="250" t="n">
        <f aca="false" t="array" ref="AA34:AA34">IFERROR( (MEDIAN((IF(DATOS_[[Sexo]:[Sexo]]=$B34,IF(DATOS_[[AGRUP. CLAS. PROF.]:[AGRUP. CLAS. PROF.]]=$B33,IF(DATOS_[[Check Periodo Ref.]:[Check Periodo Ref.]]="Dentro",IF(DATOS_[[Check Equiparado]:[Check Equiparado]]="Sí",IF(DATOS!AV$4="Sí",(1/DATOS_[[% anualiz]:[% anualiz]]),1)*IF(DATOS!AV$5="Sí",1/DATOS_[[% normaliz]:[% normaliz]],1)*(DATOS_[Conc.Sal.18])))))))), 0)</f>
        <v>0</v>
      </c>
      <c r="AB34" s="250" t="n">
        <f aca="false" t="array" ref="AB34:AB34">IFERROR( (MEDIAN((IF(DATOS_[[Sexo]:[Sexo]]=$B34,IF(DATOS_[[AGRUP. CLAS. PROF.]:[AGRUP. CLAS. PROF.]]=$B33,IF(DATOS_[[Check Periodo Ref.]:[Check Periodo Ref.]]="Dentro",IF(DATOS_[[Check Equiparado]:[Check Equiparado]]="Sí",IF(DATOS!AW$4="Sí",(1/DATOS_[[% anualiz]:[% anualiz]]),1)*IF(DATOS!AW$5="Sí",1/DATOS_[[% normaliz]:[% normaliz]],1)*(DATOS_[Conc.Sal.19])))))))), 0)</f>
        <v>0</v>
      </c>
      <c r="AC34" s="250" t="n">
        <f aca="false" t="array" ref="AC34:AC34">IFERROR( (MEDIAN((IF(DATOS_[[Sexo]:[Sexo]]=$B34,IF(DATOS_[[AGRUP. CLAS. PROF.]:[AGRUP. CLAS. PROF.]]=$B33,IF(DATOS_[[Check Periodo Ref.]:[Check Periodo Ref.]]="Dentro",IF(DATOS_[[Check Equiparado]:[Check Equiparado]]="Sí",IF(DATOS!AX$4="Sí",(1/DATOS_[[% anualiz]:[% anualiz]]),1)*IF(DATOS!AX$5="Sí",1/DATOS_[[% normaliz]:[% normaliz]],1)*(DATOS_[Conc.Sal.20])))))))), 0)</f>
        <v>0</v>
      </c>
      <c r="AD34" s="250" t="n">
        <f aca="false" t="array" ref="AD34:AD34">IFERROR( (MEDIAN((IF(DATOS_[[Sexo]:[Sexo]]=$B34,IF(DATOS_[[AGRUP. CLAS. PROF.]:[AGRUP. CLAS. PROF.]]=$B33,IF(DATOS_[[Check Periodo Ref.]:[Check Periodo Ref.]]="Dentro",IF(DATOS_[[Check Equiparado]:[Check Equiparado]]="Sí",IF(DATOS!AY$4="Sí",(1/DATOS_[[% anualiz]:[% anualiz]]),1)*IF(DATOS!AY$5="Sí",1/DATOS_[[% normaliz]:[% normaliz]],1)*(DATOS_[Conc.Sal.21])))))))), 0)</f>
        <v>0</v>
      </c>
      <c r="AE34" s="250" t="n">
        <f aca="false" t="array" ref="AE34:AE34">IFERROR( (MEDIAN((IF(DATOS_[[Sexo]:[Sexo]]=$B34,IF(DATOS_[[AGRUP. CLAS. PROF.]:[AGRUP. CLAS. PROF.]]=$B33,IF(DATOS_[[Check Periodo Ref.]:[Check Periodo Ref.]]="Dentro",IF(DATOS_[[Check Equiparado]:[Check Equiparado]]="Sí",IF(DATOS!AZ$4="Sí",(1/DATOS_[[% anualiz]:[% anualiz]]),1)*IF(DATOS!AZ$5="Sí",1/DATOS_[[% normaliz]:[% normaliz]],1)*(DATOS_[Conc.Sal.22])))))))), 0)</f>
        <v>0</v>
      </c>
      <c r="AF34" s="250" t="n">
        <f aca="false" t="array" ref="AF34:AF34">IFERROR( (MEDIAN((IF(DATOS_[[Sexo]:[Sexo]]=$B34,IF(DATOS_[[AGRUP. CLAS. PROF.]:[AGRUP. CLAS. PROF.]]=$B33,IF(DATOS_[[Check Periodo Ref.]:[Check Periodo Ref.]]="Dentro",IF(DATOS_[[Check Equiparado]:[Check Equiparado]]="Sí",IF(DATOS!BA$4="Sí",(1/DATOS_[[% anualiz]:[% anualiz]]),1)*IF(DATOS!BA$5="Sí",1/DATOS_[[% normaliz]:[% normaliz]],1)*(DATOS_[Conc.Sal.23])))))))), 0)</f>
        <v>0</v>
      </c>
      <c r="AG34" s="250" t="n">
        <f aca="false" t="array" ref="AG34:AG34">IFERROR( (MEDIAN((IF(DATOS_[[Sexo]:[Sexo]]=$B34,IF(DATOS_[[AGRUP. CLAS. PROF.]:[AGRUP. CLAS. PROF.]]=$B33,IF(DATOS_[[Check Periodo Ref.]:[Check Periodo Ref.]]="Dentro",IF(DATOS_[[Check Equiparado]:[Check Equiparado]]="Sí",IF(DATOS!BB$4="Sí",(1/DATOS_[[% anualiz]:[% anualiz]]),1)*IF(DATOS!BB$5="Sí",1/DATOS_[[% normaliz]:[% normaliz]],1)*(DATOS_[Conc.Sal.24])))))))), 0)</f>
        <v>0</v>
      </c>
      <c r="AH34" s="250" t="n">
        <f aca="false" t="array" ref="AH34:AH34">IFERROR( (MEDIAN((IF(DATOS_[[Sexo]:[Sexo]]=$B34,IF(DATOS_[[AGRUP. CLAS. PROF.]:[AGRUP. CLAS. PROF.]]=$B33,IF(DATOS_[[Check Periodo Ref.]:[Check Periodo Ref.]]="Dentro",IF(DATOS_[[Check Equiparado]:[Check Equiparado]]="Sí",IF(DATOS!BC$4="Sí",(1/DATOS_[[% anualiz]:[% anualiz]]),1)*IF(DATOS!BC$5="Sí",1/DATOS_[[% normaliz]:[% normaliz]],1)*(DATOS_[Conc.Sal.25])))))))), 0)</f>
        <v>0</v>
      </c>
      <c r="AI34" s="250" t="n">
        <f aca="false" t="array" ref="AI34:AI34">IFERROR( (MEDIAN((IF(DATOS_[[Sexo]:[Sexo]]=$B34,IF(DATOS_[[AGRUP. CLAS. PROF.]:[AGRUP. CLAS. PROF.]]=$B33,IF(DATOS_[[Check Periodo Ref.]:[Check Periodo Ref.]]="Dentro",IF(DATOS_[[Check Equiparado]:[Check Equiparado]]="Sí",IF(DATOS!BD$4="Sí",(1/DATOS_[[% anualiz]:[% anualiz]]),1)*IF(DATOS!BD$5="Sí",1/DATOS_[[% normaliz]:[% normaliz]],1)*(DATOS_[Conc.Sal.26])))))))), 0)</f>
        <v>0</v>
      </c>
      <c r="AJ34" s="250" t="n">
        <f aca="false" t="array" ref="AJ34:AJ34">IFERROR( (MEDIAN((IF(DATOS_[[Sexo]:[Sexo]]=$B34,IF(DATOS_[[AGRUP. CLAS. PROF.]:[AGRUP. CLAS. PROF.]]=$B33,IF(DATOS_[[Check Periodo Ref.]:[Check Periodo Ref.]]="Dentro",IF(DATOS_[[Check Equiparado]:[Check Equiparado]]="Sí",IF(DATOS!BE$4="Sí",(1/DATOS_[[% anualiz]:[% anualiz]]),1)*IF(DATOS!BE$5="Sí",1/DATOS_[[% normaliz]:[% normaliz]],1)*(DATOS_[Conc.Sal.27])))))))), 0)</f>
        <v>0</v>
      </c>
      <c r="AK34" s="250" t="n">
        <f aca="false" t="array" ref="AK34:AK34">IFERROR( (MEDIAN((IF(DATOS_[[Sexo]:[Sexo]]=$B34,IF(DATOS_[[AGRUP. CLAS. PROF.]:[AGRUP. CLAS. PROF.]]=$B33,IF(DATOS_[[Check Periodo Ref.]:[Check Periodo Ref.]]="Dentro",IF(DATOS_[[Check Equiparado]:[Check Equiparado]]="Sí",IF(DATOS!BF$4="Sí",(1/DATOS_[[% anualiz]:[% anualiz]]),1)*IF(DATOS!BF$5="Sí",1/DATOS_[[% normaliz]:[% normaliz]],1)*(DATOS_[Conc.Sal.28])))))))), 0)</f>
        <v>0</v>
      </c>
      <c r="AL34" s="250" t="n">
        <f aca="false" t="array" ref="AL34:AL34">IFERROR( (MEDIAN((IF(DATOS_[[Sexo]:[Sexo]]=$B34,IF(DATOS_[[AGRUP. CLAS. PROF.]:[AGRUP. CLAS. PROF.]]=$B33,IF(DATOS_[[Check Periodo Ref.]:[Check Periodo Ref.]]="Dentro",IF(DATOS_[[Check Equiparado]:[Check Equiparado]]="Sí",IF(DATOS!BG$4="Sí",(1/DATOS_[[% anualiz]:[% anualiz]]),1)*IF(DATOS!BG$5="Sí",1/DATOS_[[% normaliz]:[% normaliz]],1)*(DATOS_[Conc.Sal.29])))))))), 0)</f>
        <v>0</v>
      </c>
      <c r="AM34" s="250" t="n">
        <f aca="false" t="array" ref="AM34:AM34">IFERROR( (MEDIAN((IF(DATOS_[[Sexo]:[Sexo]]=$B34,IF(DATOS_[[AGRUP. CLAS. PROF.]:[AGRUP. CLAS. PROF.]]=$B33,IF(DATOS_[[Check Periodo Ref.]:[Check Periodo Ref.]]="Dentro",IF(DATOS_[[Check Equiparado]:[Check Equiparado]]="Sí",IF(DATOS!BH$4="Sí",(1/DATOS_[[% anualiz]:[% anualiz]]),1)*IF(DATOS!BH$5="Sí",1/DATOS_[[% normaliz]:[% normaliz]],1)*(DATOS_[Conc.Sal.30])))))))), 0)</f>
        <v>0</v>
      </c>
      <c r="AN34" s="251" t="n">
        <f aca="false" t="array" ref="AN34:AN34">IFERROR( MEDIAN(IF(DATOS_[Sexo]=$B34,IF(DATOS_[[AGRUP. CLAS. PROF.]:[AGRUP. CLAS. PROF.]]=$B33,IF(DATOS_[Check Equiparado]="Sí",IF(DATOS_[Check Periodo Ref.]="Dentro",DATOS_[Tot COMPL.SAL Eq],0))))), 0)</f>
        <v>0</v>
      </c>
      <c r="AO34" s="252" t="n">
        <f aca="false" t="array" ref="AO34:AO34">IFERROR( MEDIAN(IF(DATOS_[Sexo]=$B34,IF(DATOS_[[AGRUP. CLAS. PROF.]:[AGRUP. CLAS. PROF.]]=$B33,IF(DATOS_[Check Equiparado]="Sí",IF(DATOS_[Check Periodo Ref.]="Dentro",DATOS_[TOTAL SALARIO Eq],0))))), 0)</f>
        <v>0</v>
      </c>
      <c r="AP34" s="259" t="n">
        <f aca="false" t="array" ref="AP34:AP34">IFERROR( (MEDIAN((IF(DATOS_[[Sexo]:[Sexo]]=$B34,IF(DATOS_[[AGRUP. CLAS. PROF.]:[AGRUP. CLAS. PROF.]]=$B33,IF(DATOS_[[Check Periodo Ref.]:[Check Periodo Ref.]]="Dentro",IF(DATOS_[[Check Equiparado]:[Check Equiparado]]="Sí",IF(DATOS!BI$4="Sí",(1/DATOS_[[% anualiz]:[% anualiz]]),1)*IF(DATOS!BI$5="Sí",1/DATOS_[[% normaliz]:[% normaliz]],1)*(DATOS_[C.Extra.01])))))))), 0)</f>
        <v>0</v>
      </c>
      <c r="AQ34" s="259" t="n">
        <f aca="false" t="array" ref="AQ34:AQ34">IFERROR( (MEDIAN((IF(DATOS_[[Sexo]:[Sexo]]=$B34,IF(DATOS_[[AGRUP. CLAS. PROF.]:[AGRUP. CLAS. PROF.]]=$B33,IF(DATOS_[[Check Periodo Ref.]:[Check Periodo Ref.]]="Dentro",IF(DATOS_[[Check Equiparado]:[Check Equiparado]]="Sí",IF(DATOS!BJ$4="Sí",(1/DATOS_[[% anualiz]:[% anualiz]]),1)*IF(DATOS!BJ$5="Sí",1/DATOS_[[% normaliz]:[% normaliz]],1)*(DATOS_[C.Extra.02])))))))), 0)</f>
        <v>0</v>
      </c>
      <c r="AR34" s="259" t="n">
        <f aca="false" t="array" ref="AR34:AR34">IFERROR( (MEDIAN((IF(DATOS_[[Sexo]:[Sexo]]=$B34,IF(DATOS_[[AGRUP. CLAS. PROF.]:[AGRUP. CLAS. PROF.]]=$B33,IF(DATOS_[[Check Periodo Ref.]:[Check Periodo Ref.]]="Dentro",IF(DATOS_[[Check Equiparado]:[Check Equiparado]]="Sí",IF(DATOS!BK$4="Sí",(1/DATOS_[[% anualiz]:[% anualiz]]),1)*IF(DATOS!BK$5="Sí",1/DATOS_[[% normaliz]:[% normaliz]],1)*(DATOS_[C.Extra.03])))))))), 0)</f>
        <v>0</v>
      </c>
      <c r="AS34" s="259" t="n">
        <f aca="false" t="array" ref="AS34:AS34">IFERROR( (MEDIAN((IF(DATOS_[[Sexo]:[Sexo]]=$B34,IF(DATOS_[[AGRUP. CLAS. PROF.]:[AGRUP. CLAS. PROF.]]=$B33,IF(DATOS_[[Check Periodo Ref.]:[Check Periodo Ref.]]="Dentro",IF(DATOS_[[Check Equiparado]:[Check Equiparado]]="Sí",IF(DATOS!BL$4="Sí",(1/DATOS_[[% anualiz]:[% anualiz]]),1)*IF(DATOS!BL$5="Sí",1/DATOS_[[% normaliz]:[% normaliz]],1)*(DATOS_[C.Extra.04])))))))), 0)</f>
        <v>0</v>
      </c>
      <c r="AT34" s="259" t="n">
        <f aca="false" t="array" ref="AT34:AT34">IFERROR( (MEDIAN((IF(DATOS_[[Sexo]:[Sexo]]=$B34,IF(DATOS_[[AGRUP. CLAS. PROF.]:[AGRUP. CLAS. PROF.]]=$B33,IF(DATOS_[[Check Periodo Ref.]:[Check Periodo Ref.]]="Dentro",IF(DATOS_[[Check Equiparado]:[Check Equiparado]]="Sí",IF(DATOS!BM$4="Sí",(1/DATOS_[[% anualiz]:[% anualiz]]),1)*IF(DATOS!BM$5="Sí",1/DATOS_[[% normaliz]:[% normaliz]],1)*(DATOS_[C.Extra.05])))))))), 0)</f>
        <v>0</v>
      </c>
      <c r="AU34" s="254" t="n">
        <f aca="false" t="array" ref="AU34:AU34">IFERROR( MEDIAN(IF(DATOS_[Sexo]=$B34,IF(DATOS_[[AGRUP. CLAS. PROF.]:[AGRUP. CLAS. PROF.]]=$B33,IF(DATOS_[Check Equiparado]="Sí",IF(DATOS_[Check Periodo Ref.]="Dentro",DATOS_[Tot Extrasalarial Eq],0))))), 0)</f>
        <v>0</v>
      </c>
      <c r="AV34" s="255" t="n">
        <f aca="false" t="array" ref="AV34:AV34">IFERROR( MEDIAN(IF(DATOS_[Sexo]=$B34,IF(DATOS_[[AGRUP. CLAS. PROF.]:[AGRUP. CLAS. PROF.]]=$B33,IF(DATOS_[Check Equiparado]="Sí",IF(DATOS_[Check Periodo Ref.]="Dentro",DATOS_[TOTAL Retrib Eq],0))))), 0)</f>
        <v>0</v>
      </c>
    </row>
    <row r="35" customFormat="false" ht="14.25" hidden="false" customHeight="false" outlineLevel="0" collapsed="false">
      <c r="A35" s="217" t="str">
        <f aca="false">+A34</f>
        <v>[ocultar]</v>
      </c>
      <c r="B35" s="323" t="s">
        <v>372</v>
      </c>
      <c r="C35" s="247" t="n">
        <f aca="false" t="array" ref="C35:C35">SUM(IF($B35=DATOS_[Sexo], IF($B33=DATOS_[AGRUP. CLAS. PROF.], IF("Dentro"=DATOS_[Check Periodo Ref.], 1/(COUNTIFS(DATOS_[Sexo],$B35,DATOS_[AGRUP. CLAS. PROF.],$B33,DATOS_[Check Periodo Ref.],"Dentro",DATOS_[id],DATOS_[id]))))))</f>
        <v>0</v>
      </c>
      <c r="D35" s="248" t="n">
        <f aca="false">COUNTIFS(DATOS_[AGRUP. CLAS. PROF.],$B33,DATOS_[Sexo],$B35,DATOS_[Check Periodo Ref.],"Dentro")</f>
        <v>0</v>
      </c>
      <c r="E35" s="248" t="n">
        <f aca="false">COUNTIFS(DATOS_[AGRUP. CLAS. PROF.],$B33,DATOS_[Sexo],$B35,DATOS_[Check Periodo Ref.],"Dentro",DATOS_[Check Nº SC Norm],"Sí")</f>
        <v>0</v>
      </c>
      <c r="F35" s="248" t="n">
        <f aca="false">COUNTIFS(DATOS_[AGRUP. CLAS. PROF.],$B33,DATOS_[Sexo],$B35,DATOS_[Check Periodo Ref.],"Dentro",DATOS_[Check Nº SC Anualiz],"Sí")</f>
        <v>0</v>
      </c>
      <c r="G35" s="248" t="n">
        <f aca="false">COUNTIFS(DATOS_[AGRUP. CLAS. PROF.],$B33,DATOS_[Sexo],$B35,DATOS_[Check Periodo Ref.],"Dentro",DATOS_[Check Nº SC Norm y Anualiz],"Sí")</f>
        <v>0</v>
      </c>
      <c r="H35" s="248" t="n">
        <f aca="false">COUNTIFS(DATOS_[AGRUP. CLAS. PROF.],$B33,DATOS_[Sexo],$B35,DATOS_[Check Periodo Ref.],"Dentro",DATOS_[Check Equiparación],"Sí")</f>
        <v>0</v>
      </c>
      <c r="I35" s="249" t="n">
        <f aca="false" t="array" ref="I35:I35">IFERROR( MEDIAN(IF(DATOS_[Sexo]=$B35,IF(DATOS_[[AGRUP. CLAS. PROF.]:[AGRUP. CLAS. PROF.]]=$B33,IF(DATOS_[Check Equiparado]="Sí",IF(DATOS_[Check Periodo Ref.]="Dentro",DATOS_[SALARIO BASE Eq],0))))), 0)</f>
        <v>0</v>
      </c>
      <c r="J35" s="250" t="n">
        <f aca="false" t="array" ref="J35:J35">IFERROR( (MEDIAN((IF(DATOS_[[Sexo]:[Sexo]]=$B35,IF(DATOS_[[AGRUP. CLAS. PROF.]:[AGRUP. CLAS. PROF.]]=$B33,IF(DATOS_[[Check Periodo Ref.]:[Check Periodo Ref.]]="Dentro",IF(DATOS_[[Check Equiparado]:[Check Equiparado]]="Sí",IF(DATOS!AE$4="Sí",(1/DATOS_[[% anualiz]:[% anualiz]]),1)*IF(DATOS!AE$5="Sí",1/DATOS_[[% normaliz]:[% normaliz]],1)*(DATOS_[Conc.Sal.01])))))))), 0)</f>
        <v>0</v>
      </c>
      <c r="K35" s="250" t="n">
        <f aca="false" t="array" ref="K35:K35">IFERROR( (MEDIAN((IF(DATOS_[[Sexo]:[Sexo]]=$B35,IF(DATOS_[[AGRUP. CLAS. PROF.]:[AGRUP. CLAS. PROF.]]=$B33,IF(DATOS_[[Check Periodo Ref.]:[Check Periodo Ref.]]="Dentro",IF(DATOS_[[Check Equiparado]:[Check Equiparado]]="Sí",IF(DATOS!AF$4="Sí",(1/DATOS_[[% anualiz]:[% anualiz]]),1)*IF(DATOS!AF$5="Sí",1/DATOS_[[% normaliz]:[% normaliz]],1)*(DATOS_[Conc.Sal.02])))))))), 0)</f>
        <v>0</v>
      </c>
      <c r="L35" s="250" t="n">
        <f aca="false" t="array" ref="L35:L35">IFERROR( (MEDIAN((IF(DATOS_[[Sexo]:[Sexo]]=$B35,IF(DATOS_[[AGRUP. CLAS. PROF.]:[AGRUP. CLAS. PROF.]]=$B33,IF(DATOS_[[Check Periodo Ref.]:[Check Periodo Ref.]]="Dentro",IF(DATOS_[[Check Equiparado]:[Check Equiparado]]="Sí",IF(DATOS!AG$4="Sí",(1/DATOS_[[% anualiz]:[% anualiz]]),1)*IF(DATOS!AG$5="Sí",1/DATOS_[[% normaliz]:[% normaliz]],1)*(DATOS_[Conc.Sal.03])))))))), 0)</f>
        <v>0</v>
      </c>
      <c r="M35" s="250" t="n">
        <f aca="false" t="array" ref="M35:M35">IFERROR( (MEDIAN((IF(DATOS_[[Sexo]:[Sexo]]=$B35,IF(DATOS_[[AGRUP. CLAS. PROF.]:[AGRUP. CLAS. PROF.]]=$B33,IF(DATOS_[[Check Periodo Ref.]:[Check Periodo Ref.]]="Dentro",IF(DATOS_[[Check Equiparado]:[Check Equiparado]]="Sí",IF(DATOS!AH$4="Sí",(1/DATOS_[[% anualiz]:[% anualiz]]),1)*IF(DATOS!AH$5="Sí",1/DATOS_[[% normaliz]:[% normaliz]],1)*(DATOS_[Conc.Sal.04])))))))), 0)</f>
        <v>0</v>
      </c>
      <c r="N35" s="250" t="n">
        <f aca="false" t="array" ref="N35:N35">IFERROR( (MEDIAN((IF(DATOS_[[Sexo]:[Sexo]]=$B35,IF(DATOS_[[AGRUP. CLAS. PROF.]:[AGRUP. CLAS. PROF.]]=$B33,IF(DATOS_[[Check Periodo Ref.]:[Check Periodo Ref.]]="Dentro",IF(DATOS_[[Check Equiparado]:[Check Equiparado]]="Sí",IF(DATOS!AI$4="Sí",(1/DATOS_[[% anualiz]:[% anualiz]]),1)*IF(DATOS!AI$5="Sí",1/DATOS_[[% normaliz]:[% normaliz]],1)*(DATOS_[Conc.Sal.05])))))))), 0)</f>
        <v>0</v>
      </c>
      <c r="O35" s="250" t="n">
        <f aca="false" t="array" ref="O35:O35">IFERROR( (MEDIAN((IF(DATOS_[[Sexo]:[Sexo]]=$B35,IF(DATOS_[[AGRUP. CLAS. PROF.]:[AGRUP. CLAS. PROF.]]=$B33,IF(DATOS_[[Check Periodo Ref.]:[Check Periodo Ref.]]="Dentro",IF(DATOS_[[Check Equiparado]:[Check Equiparado]]="Sí",IF(DATOS!AJ$4="Sí",(1/DATOS_[[% anualiz]:[% anualiz]]),1)*IF(DATOS!AJ$5="Sí",1/DATOS_[[% normaliz]:[% normaliz]],1)*(DATOS_[Conc.Sal.06])))))))), 0)</f>
        <v>0</v>
      </c>
      <c r="P35" s="250" t="n">
        <f aca="false" t="array" ref="P35:P35">IFERROR( (MEDIAN((IF(DATOS_[[Sexo]:[Sexo]]=$B35,IF(DATOS_[[AGRUP. CLAS. PROF.]:[AGRUP. CLAS. PROF.]]=$B33,IF(DATOS_[[Check Periodo Ref.]:[Check Periodo Ref.]]="Dentro",IF(DATOS_[[Check Equiparado]:[Check Equiparado]]="Sí",IF(DATOS!AK$4="Sí",(1/DATOS_[[% anualiz]:[% anualiz]]),1)*IF(DATOS!AK$5="Sí",1/DATOS_[[% normaliz]:[% normaliz]],1)*(DATOS_[Conc.Sal.07])))))))), 0)</f>
        <v>0</v>
      </c>
      <c r="Q35" s="250" t="n">
        <f aca="false" t="array" ref="Q35:Q35">IFERROR( (MEDIAN((IF(DATOS_[[Sexo]:[Sexo]]=$B35,IF(DATOS_[[AGRUP. CLAS. PROF.]:[AGRUP. CLAS. PROF.]]=$B33,IF(DATOS_[[Check Periodo Ref.]:[Check Periodo Ref.]]="Dentro",IF(DATOS_[[Check Equiparado]:[Check Equiparado]]="Sí",IF(DATOS!AL$4="Sí",(1/DATOS_[[% anualiz]:[% anualiz]]),1)*IF(DATOS!AL$5="Sí",1/DATOS_[[% normaliz]:[% normaliz]],1)*(DATOS_[Conc.Sal.08])))))))), 0)</f>
        <v>0</v>
      </c>
      <c r="R35" s="250" t="n">
        <f aca="false" t="array" ref="R35:R35">IFERROR( (MEDIAN((IF(DATOS_[[Sexo]:[Sexo]]=$B35,IF(DATOS_[[AGRUP. CLAS. PROF.]:[AGRUP. CLAS. PROF.]]=$B33,IF(DATOS_[[Check Periodo Ref.]:[Check Periodo Ref.]]="Dentro",IF(DATOS_[[Check Equiparado]:[Check Equiparado]]="Sí",IF(DATOS!AM$4="Sí",(1/DATOS_[[% anualiz]:[% anualiz]]),1)*IF(DATOS!AM$5="Sí",1/DATOS_[[% normaliz]:[% normaliz]],1)*(DATOS_[Conc.Sal.09])))))))), 0)</f>
        <v>0</v>
      </c>
      <c r="S35" s="250" t="n">
        <f aca="false" t="array" ref="S35:S35">IFERROR( (MEDIAN((IF(DATOS_[[Sexo]:[Sexo]]=$B35,IF(DATOS_[[AGRUP. CLAS. PROF.]:[AGRUP. CLAS. PROF.]]=$B33,IF(DATOS_[[Check Periodo Ref.]:[Check Periodo Ref.]]="Dentro",IF(DATOS_[[Check Equiparado]:[Check Equiparado]]="Sí",IF(DATOS!AN$4="Sí",(1/DATOS_[[% anualiz]:[% anualiz]]),1)*IF(DATOS!AN$5="Sí",1/DATOS_[[% normaliz]:[% normaliz]],1)*(DATOS_[Conc.Sal.10])))))))), 0)</f>
        <v>0</v>
      </c>
      <c r="T35" s="250" t="n">
        <f aca="false" t="array" ref="T35:T35">IFERROR( (MEDIAN((IF(DATOS_[[Sexo]:[Sexo]]=$B35,IF(DATOS_[[AGRUP. CLAS. PROF.]:[AGRUP. CLAS. PROF.]]=$B33,IF(DATOS_[[Check Periodo Ref.]:[Check Periodo Ref.]]="Dentro",IF(DATOS_[[Check Equiparado]:[Check Equiparado]]="Sí",IF(DATOS!AO$4="Sí",(1/DATOS_[[% anualiz]:[% anualiz]]),1)*IF(DATOS!AO$5="Sí",1/DATOS_[[% normaliz]:[% normaliz]],1)*(DATOS_[Conc.Sal.11])))))))), 0)</f>
        <v>0</v>
      </c>
      <c r="U35" s="250" t="n">
        <f aca="false" t="array" ref="U35:U35">IFERROR( (MEDIAN((IF(DATOS_[[Sexo]:[Sexo]]=$B35,IF(DATOS_[[AGRUP. CLAS. PROF.]:[AGRUP. CLAS. PROF.]]=$B33,IF(DATOS_[[Check Periodo Ref.]:[Check Periodo Ref.]]="Dentro",IF(DATOS_[[Check Equiparado]:[Check Equiparado]]="Sí",IF(DATOS!AP$4="Sí",(1/DATOS_[[% anualiz]:[% anualiz]]),1)*IF(DATOS!AP$5="Sí",1/DATOS_[[% normaliz]:[% normaliz]],1)*(DATOS_[Conc.Sal.12])))))))), 0)</f>
        <v>0</v>
      </c>
      <c r="V35" s="250" t="n">
        <f aca="false" t="array" ref="V35:V35">IFERROR( (MEDIAN((IF(DATOS_[[Sexo]:[Sexo]]=$B35,IF(DATOS_[[AGRUP. CLAS. PROF.]:[AGRUP. CLAS. PROF.]]=$B33,IF(DATOS_[[Check Periodo Ref.]:[Check Periodo Ref.]]="Dentro",IF(DATOS_[[Check Equiparado]:[Check Equiparado]]="Sí",IF(DATOS!AQ$4="Sí",(1/DATOS_[[% anualiz]:[% anualiz]]),1)*IF(DATOS!AQ$5="Sí",1/DATOS_[[% normaliz]:[% normaliz]],1)*(DATOS_[Conc.Sal.13])))))))), 0)</f>
        <v>0</v>
      </c>
      <c r="W35" s="250" t="n">
        <f aca="false" t="array" ref="W35:W35">IFERROR( (MEDIAN((IF(DATOS_[[Sexo]:[Sexo]]=$B35,IF(DATOS_[[AGRUP. CLAS. PROF.]:[AGRUP. CLAS. PROF.]]=$B33,IF(DATOS_[[Check Periodo Ref.]:[Check Periodo Ref.]]="Dentro",IF(DATOS_[[Check Equiparado]:[Check Equiparado]]="Sí",IF(DATOS!AR$4="Sí",(1/DATOS_[[% anualiz]:[% anualiz]]),1)*IF(DATOS!AR$5="Sí",1/DATOS_[[% normaliz]:[% normaliz]],1)*(DATOS_[Conc.Sal.14])))))))), 0)</f>
        <v>0</v>
      </c>
      <c r="X35" s="250" t="n">
        <f aca="false" t="array" ref="X35:X35">IFERROR( (MEDIAN((IF(DATOS_[[Sexo]:[Sexo]]=$B35,IF(DATOS_[[AGRUP. CLAS. PROF.]:[AGRUP. CLAS. PROF.]]=$B33,IF(DATOS_[[Check Periodo Ref.]:[Check Periodo Ref.]]="Dentro",IF(DATOS_[[Check Equiparado]:[Check Equiparado]]="Sí",IF(DATOS!AS$4="Sí",(1/DATOS_[[% anualiz]:[% anualiz]]),1)*IF(DATOS!AS$5="Sí",1/DATOS_[[% normaliz]:[% normaliz]],1)*(DATOS_[Conc.Sal.15])))))))), 0)</f>
        <v>0</v>
      </c>
      <c r="Y35" s="250" t="n">
        <f aca="false" t="array" ref="Y35:Y35">IFERROR( (MEDIAN((IF(DATOS_[[Sexo]:[Sexo]]=$B35,IF(DATOS_[[AGRUP. CLAS. PROF.]:[AGRUP. CLAS. PROF.]]=$B33,IF(DATOS_[[Check Periodo Ref.]:[Check Periodo Ref.]]="Dentro",IF(DATOS_[[Check Equiparado]:[Check Equiparado]]="Sí",IF(DATOS!AT$4="Sí",(1/DATOS_[[% anualiz]:[% anualiz]]),1)*IF(DATOS!AT$5="Sí",1/DATOS_[[% normaliz]:[% normaliz]],1)*(DATOS_[Conc.Sal.16])))))))), 0)</f>
        <v>0</v>
      </c>
      <c r="Z35" s="250" t="n">
        <f aca="false" t="array" ref="Z35:Z35">IFERROR( (MEDIAN((IF(DATOS_[[Sexo]:[Sexo]]=$B35,IF(DATOS_[[AGRUP. CLAS. PROF.]:[AGRUP. CLAS. PROF.]]=$B33,IF(DATOS_[[Check Periodo Ref.]:[Check Periodo Ref.]]="Dentro",IF(DATOS_[[Check Equiparado]:[Check Equiparado]]="Sí",IF(DATOS!AU$4="Sí",(1/DATOS_[[% anualiz]:[% anualiz]]),1)*IF(DATOS!AU$5="Sí",1/DATOS_[[% normaliz]:[% normaliz]],1)*(DATOS_[Conc.Sal.17])))))))), 0)</f>
        <v>0</v>
      </c>
      <c r="AA35" s="250" t="n">
        <f aca="false" t="array" ref="AA35:AA35">IFERROR( (MEDIAN((IF(DATOS_[[Sexo]:[Sexo]]=$B35,IF(DATOS_[[AGRUP. CLAS. PROF.]:[AGRUP. CLAS. PROF.]]=$B33,IF(DATOS_[[Check Periodo Ref.]:[Check Periodo Ref.]]="Dentro",IF(DATOS_[[Check Equiparado]:[Check Equiparado]]="Sí",IF(DATOS!AV$4="Sí",(1/DATOS_[[% anualiz]:[% anualiz]]),1)*IF(DATOS!AV$5="Sí",1/DATOS_[[% normaliz]:[% normaliz]],1)*(DATOS_[Conc.Sal.18])))))))), 0)</f>
        <v>0</v>
      </c>
      <c r="AB35" s="250" t="n">
        <f aca="false" t="array" ref="AB35:AB35">IFERROR( (MEDIAN((IF(DATOS_[[Sexo]:[Sexo]]=$B35,IF(DATOS_[[AGRUP. CLAS. PROF.]:[AGRUP. CLAS. PROF.]]=$B33,IF(DATOS_[[Check Periodo Ref.]:[Check Periodo Ref.]]="Dentro",IF(DATOS_[[Check Equiparado]:[Check Equiparado]]="Sí",IF(DATOS!AW$4="Sí",(1/DATOS_[[% anualiz]:[% anualiz]]),1)*IF(DATOS!AW$5="Sí",1/DATOS_[[% normaliz]:[% normaliz]],1)*(DATOS_[Conc.Sal.19])))))))), 0)</f>
        <v>0</v>
      </c>
      <c r="AC35" s="250" t="n">
        <f aca="false" t="array" ref="AC35:AC35">IFERROR( (MEDIAN((IF(DATOS_[[Sexo]:[Sexo]]=$B35,IF(DATOS_[[AGRUP. CLAS. PROF.]:[AGRUP. CLAS. PROF.]]=$B33,IF(DATOS_[[Check Periodo Ref.]:[Check Periodo Ref.]]="Dentro",IF(DATOS_[[Check Equiparado]:[Check Equiparado]]="Sí",IF(DATOS!AX$4="Sí",(1/DATOS_[[% anualiz]:[% anualiz]]),1)*IF(DATOS!AX$5="Sí",1/DATOS_[[% normaliz]:[% normaliz]],1)*(DATOS_[Conc.Sal.20])))))))), 0)</f>
        <v>0</v>
      </c>
      <c r="AD35" s="250" t="n">
        <f aca="false" t="array" ref="AD35:AD35">IFERROR( (MEDIAN((IF(DATOS_[[Sexo]:[Sexo]]=$B35,IF(DATOS_[[AGRUP. CLAS. PROF.]:[AGRUP. CLAS. PROF.]]=$B33,IF(DATOS_[[Check Periodo Ref.]:[Check Periodo Ref.]]="Dentro",IF(DATOS_[[Check Equiparado]:[Check Equiparado]]="Sí",IF(DATOS!AY$4="Sí",(1/DATOS_[[% anualiz]:[% anualiz]]),1)*IF(DATOS!AY$5="Sí",1/DATOS_[[% normaliz]:[% normaliz]],1)*(DATOS_[Conc.Sal.21])))))))), 0)</f>
        <v>0</v>
      </c>
      <c r="AE35" s="250" t="n">
        <f aca="false" t="array" ref="AE35:AE35">IFERROR( (MEDIAN((IF(DATOS_[[Sexo]:[Sexo]]=$B35,IF(DATOS_[[AGRUP. CLAS. PROF.]:[AGRUP. CLAS. PROF.]]=$B33,IF(DATOS_[[Check Periodo Ref.]:[Check Periodo Ref.]]="Dentro",IF(DATOS_[[Check Equiparado]:[Check Equiparado]]="Sí",IF(DATOS!AZ$4="Sí",(1/DATOS_[[% anualiz]:[% anualiz]]),1)*IF(DATOS!AZ$5="Sí",1/DATOS_[[% normaliz]:[% normaliz]],1)*(DATOS_[Conc.Sal.22])))))))), 0)</f>
        <v>0</v>
      </c>
      <c r="AF35" s="250" t="n">
        <f aca="false" t="array" ref="AF35:AF35">IFERROR( (MEDIAN((IF(DATOS_[[Sexo]:[Sexo]]=$B35,IF(DATOS_[[AGRUP. CLAS. PROF.]:[AGRUP. CLAS. PROF.]]=$B33,IF(DATOS_[[Check Periodo Ref.]:[Check Periodo Ref.]]="Dentro",IF(DATOS_[[Check Equiparado]:[Check Equiparado]]="Sí",IF(DATOS!BA$4="Sí",(1/DATOS_[[% anualiz]:[% anualiz]]),1)*IF(DATOS!BA$5="Sí",1/DATOS_[[% normaliz]:[% normaliz]],1)*(DATOS_[Conc.Sal.23])))))))), 0)</f>
        <v>0</v>
      </c>
      <c r="AG35" s="250" t="n">
        <f aca="false" t="array" ref="AG35:AG35">IFERROR( (MEDIAN((IF(DATOS_[[Sexo]:[Sexo]]=$B35,IF(DATOS_[[AGRUP. CLAS. PROF.]:[AGRUP. CLAS. PROF.]]=$B33,IF(DATOS_[[Check Periodo Ref.]:[Check Periodo Ref.]]="Dentro",IF(DATOS_[[Check Equiparado]:[Check Equiparado]]="Sí",IF(DATOS!BB$4="Sí",(1/DATOS_[[% anualiz]:[% anualiz]]),1)*IF(DATOS!BB$5="Sí",1/DATOS_[[% normaliz]:[% normaliz]],1)*(DATOS_[Conc.Sal.24])))))))), 0)</f>
        <v>0</v>
      </c>
      <c r="AH35" s="250" t="n">
        <f aca="false" t="array" ref="AH35:AH35">IFERROR( (MEDIAN((IF(DATOS_[[Sexo]:[Sexo]]=$B35,IF(DATOS_[[AGRUP. CLAS. PROF.]:[AGRUP. CLAS. PROF.]]=$B33,IF(DATOS_[[Check Periodo Ref.]:[Check Periodo Ref.]]="Dentro",IF(DATOS_[[Check Equiparado]:[Check Equiparado]]="Sí",IF(DATOS!BC$4="Sí",(1/DATOS_[[% anualiz]:[% anualiz]]),1)*IF(DATOS!BC$5="Sí",1/DATOS_[[% normaliz]:[% normaliz]],1)*(DATOS_[Conc.Sal.25])))))))), 0)</f>
        <v>0</v>
      </c>
      <c r="AI35" s="250" t="n">
        <f aca="false" t="array" ref="AI35:AI35">IFERROR( (MEDIAN((IF(DATOS_[[Sexo]:[Sexo]]=$B35,IF(DATOS_[[AGRUP. CLAS. PROF.]:[AGRUP. CLAS. PROF.]]=$B33,IF(DATOS_[[Check Periodo Ref.]:[Check Periodo Ref.]]="Dentro",IF(DATOS_[[Check Equiparado]:[Check Equiparado]]="Sí",IF(DATOS!BD$4="Sí",(1/DATOS_[[% anualiz]:[% anualiz]]),1)*IF(DATOS!BD$5="Sí",1/DATOS_[[% normaliz]:[% normaliz]],1)*(DATOS_[Conc.Sal.26])))))))), 0)</f>
        <v>0</v>
      </c>
      <c r="AJ35" s="250" t="n">
        <f aca="false" t="array" ref="AJ35:AJ35">IFERROR( (MEDIAN((IF(DATOS_[[Sexo]:[Sexo]]=$B35,IF(DATOS_[[AGRUP. CLAS. PROF.]:[AGRUP. CLAS. PROF.]]=$B33,IF(DATOS_[[Check Periodo Ref.]:[Check Periodo Ref.]]="Dentro",IF(DATOS_[[Check Equiparado]:[Check Equiparado]]="Sí",IF(DATOS!BE$4="Sí",(1/DATOS_[[% anualiz]:[% anualiz]]),1)*IF(DATOS!BE$5="Sí",1/DATOS_[[% normaliz]:[% normaliz]],1)*(DATOS_[Conc.Sal.27])))))))), 0)</f>
        <v>0</v>
      </c>
      <c r="AK35" s="250" t="n">
        <f aca="false" t="array" ref="AK35:AK35">IFERROR( (MEDIAN((IF(DATOS_[[Sexo]:[Sexo]]=$B35,IF(DATOS_[[AGRUP. CLAS. PROF.]:[AGRUP. CLAS. PROF.]]=$B33,IF(DATOS_[[Check Periodo Ref.]:[Check Periodo Ref.]]="Dentro",IF(DATOS_[[Check Equiparado]:[Check Equiparado]]="Sí",IF(DATOS!BF$4="Sí",(1/DATOS_[[% anualiz]:[% anualiz]]),1)*IF(DATOS!BF$5="Sí",1/DATOS_[[% normaliz]:[% normaliz]],1)*(DATOS_[Conc.Sal.28])))))))), 0)</f>
        <v>0</v>
      </c>
      <c r="AL35" s="250" t="n">
        <f aca="false" t="array" ref="AL35:AL35">IFERROR( (MEDIAN((IF(DATOS_[[Sexo]:[Sexo]]=$B35,IF(DATOS_[[AGRUP. CLAS. PROF.]:[AGRUP. CLAS. PROF.]]=$B33,IF(DATOS_[[Check Periodo Ref.]:[Check Periodo Ref.]]="Dentro",IF(DATOS_[[Check Equiparado]:[Check Equiparado]]="Sí",IF(DATOS!BG$4="Sí",(1/DATOS_[[% anualiz]:[% anualiz]]),1)*IF(DATOS!BG$5="Sí",1/DATOS_[[% normaliz]:[% normaliz]],1)*(DATOS_[Conc.Sal.29])))))))), 0)</f>
        <v>0</v>
      </c>
      <c r="AM35" s="250" t="n">
        <f aca="false" t="array" ref="AM35:AM35">IFERROR( (MEDIAN((IF(DATOS_[[Sexo]:[Sexo]]=$B35,IF(DATOS_[[AGRUP. CLAS. PROF.]:[AGRUP. CLAS. PROF.]]=$B33,IF(DATOS_[[Check Periodo Ref.]:[Check Periodo Ref.]]="Dentro",IF(DATOS_[[Check Equiparado]:[Check Equiparado]]="Sí",IF(DATOS!BH$4="Sí",(1/DATOS_[[% anualiz]:[% anualiz]]),1)*IF(DATOS!BH$5="Sí",1/DATOS_[[% normaliz]:[% normaliz]],1)*(DATOS_[Conc.Sal.30])))))))), 0)</f>
        <v>0</v>
      </c>
      <c r="AN35" s="251" t="n">
        <f aca="false" t="array" ref="AN35:AN35">IFERROR( MEDIAN(IF(DATOS_[Sexo]=$B35,IF(DATOS_[[AGRUP. CLAS. PROF.]:[AGRUP. CLAS. PROF.]]=$B33,IF(DATOS_[Check Equiparado]="Sí",IF(DATOS_[Check Periodo Ref.]="Dentro",DATOS_[Tot COMPL.SAL Eq],0))))), 0)</f>
        <v>0</v>
      </c>
      <c r="AO35" s="252" t="n">
        <f aca="false" t="array" ref="AO35:AO35">IFERROR( MEDIAN(IF(DATOS_[Sexo]=$B35,IF(DATOS_[[AGRUP. CLAS. PROF.]:[AGRUP. CLAS. PROF.]]=$B33,IF(DATOS_[Check Equiparado]="Sí",IF(DATOS_[Check Periodo Ref.]="Dentro",DATOS_[TOTAL SALARIO Eq],0))))), 0)</f>
        <v>0</v>
      </c>
      <c r="AP35" s="259" t="n">
        <f aca="false" t="array" ref="AP35:AP35">IFERROR( (MEDIAN((IF(DATOS_[[Sexo]:[Sexo]]=$B35,IF(DATOS_[[AGRUP. CLAS. PROF.]:[AGRUP. CLAS. PROF.]]=$B34,IF(DATOS_[[Check Periodo Ref.]:[Check Periodo Ref.]]="Dentro",IF(DATOS_[[Check Equiparado]:[Check Equiparado]]="Sí",IF(DATOS!BI$4="Sí",(1/DATOS_[[% anualiz]:[% anualiz]]),1)*IF(DATOS!BI$5="Sí",1/DATOS_[[% normaliz]:[% normaliz]],1)*(DATOS_[C.Extra.01])))))))), 0)</f>
        <v>0</v>
      </c>
      <c r="AQ35" s="259" t="n">
        <f aca="false" t="array" ref="AQ35:AQ35">IFERROR( (MEDIAN((IF(DATOS_[[Sexo]:[Sexo]]=$B35,IF(DATOS_[[AGRUP. CLAS. PROF.]:[AGRUP. CLAS. PROF.]]=$B34,IF(DATOS_[[Check Periodo Ref.]:[Check Periodo Ref.]]="Dentro",IF(DATOS_[[Check Equiparado]:[Check Equiparado]]="Sí",IF(DATOS!BJ$4="Sí",(1/DATOS_[[% anualiz]:[% anualiz]]),1)*IF(DATOS!BJ$5="Sí",1/DATOS_[[% normaliz]:[% normaliz]],1)*(DATOS_[C.Extra.02])))))))), 0)</f>
        <v>0</v>
      </c>
      <c r="AR35" s="259" t="n">
        <f aca="false" t="array" ref="AR35:AR35">IFERROR( (MEDIAN((IF(DATOS_[[Sexo]:[Sexo]]=$B35,IF(DATOS_[[AGRUP. CLAS. PROF.]:[AGRUP. CLAS. PROF.]]=$B34,IF(DATOS_[[Check Periodo Ref.]:[Check Periodo Ref.]]="Dentro",IF(DATOS_[[Check Equiparado]:[Check Equiparado]]="Sí",IF(DATOS!BK$4="Sí",(1/DATOS_[[% anualiz]:[% anualiz]]),1)*IF(DATOS!BK$5="Sí",1/DATOS_[[% normaliz]:[% normaliz]],1)*(DATOS_[C.Extra.03])))))))), 0)</f>
        <v>0</v>
      </c>
      <c r="AS35" s="259" t="n">
        <f aca="false" t="array" ref="AS35:AS35">IFERROR( (MEDIAN((IF(DATOS_[[Sexo]:[Sexo]]=$B35,IF(DATOS_[[AGRUP. CLAS. PROF.]:[AGRUP. CLAS. PROF.]]=$B34,IF(DATOS_[[Check Periodo Ref.]:[Check Periodo Ref.]]="Dentro",IF(DATOS_[[Check Equiparado]:[Check Equiparado]]="Sí",IF(DATOS!BL$4="Sí",(1/DATOS_[[% anualiz]:[% anualiz]]),1)*IF(DATOS!BL$5="Sí",1/DATOS_[[% normaliz]:[% normaliz]],1)*(DATOS_[C.Extra.04])))))))), 0)</f>
        <v>0</v>
      </c>
      <c r="AT35" s="259" t="n">
        <f aca="false" t="array" ref="AT35:AT35">IFERROR( (MEDIAN((IF(DATOS_[[Sexo]:[Sexo]]=$B35,IF(DATOS_[[AGRUP. CLAS. PROF.]:[AGRUP. CLAS. PROF.]]=$B34,IF(DATOS_[[Check Periodo Ref.]:[Check Periodo Ref.]]="Dentro",IF(DATOS_[[Check Equiparado]:[Check Equiparado]]="Sí",IF(DATOS!BM$4="Sí",(1/DATOS_[[% anualiz]:[% anualiz]]),1)*IF(DATOS!BM$5="Sí",1/DATOS_[[% normaliz]:[% normaliz]],1)*(DATOS_[C.Extra.05])))))))), 0)</f>
        <v>0</v>
      </c>
      <c r="AU35" s="254" t="n">
        <f aca="false" t="array" ref="AU35:AU35">IFERROR( MEDIAN(IF(DATOS_[Sexo]=$B35,IF(DATOS_[[AGRUP. CLAS. PROF.]:[AGRUP. CLAS. PROF.]]=$B33,IF(DATOS_[Check Equiparado]="Sí",IF(DATOS_[Check Periodo Ref.]="Dentro",DATOS_[Tot Extrasalarial Eq],0))))), 0)</f>
        <v>0</v>
      </c>
      <c r="AV35" s="255" t="n">
        <f aca="false" t="array" ref="AV35:AV35">IFERROR( MEDIAN(IF(DATOS_[Sexo]=$B35,IF(DATOS_[[AGRUP. CLAS. PROF.]:[AGRUP. CLAS. PROF.]]=$B33,IF(DATOS_[Check Equiparado]="Sí",IF(DATOS_[Check Periodo Ref.]="Dentro",DATOS_[TOTAL Retrib Eq],0))))), 0)</f>
        <v>0</v>
      </c>
    </row>
    <row r="36" customFormat="false" ht="15.75" hidden="false" customHeight="false" outlineLevel="0" collapsed="false">
      <c r="A36" s="217" t="str">
        <f aca="false">+A37</f>
        <v>[ocultar]</v>
      </c>
      <c r="B36" s="320" t="s">
        <v>189</v>
      </c>
      <c r="C36" s="236"/>
      <c r="D36" s="237"/>
      <c r="E36" s="237"/>
      <c r="F36" s="237"/>
      <c r="G36" s="237"/>
      <c r="H36" s="237"/>
      <c r="I36" s="238"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39" t="str">
        <f aca="false">IFERROR((V37-V38)/V37,"")</f>
        <v/>
      </c>
      <c r="W36" s="239" t="str">
        <f aca="false">IFERROR((W37-W38)/W37,"")</f>
        <v/>
      </c>
      <c r="X36" s="239" t="str">
        <f aca="false">IFERROR((X37-X38)/X37,"")</f>
        <v/>
      </c>
      <c r="Y36" s="239"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0" t="str">
        <f aca="false">IFERROR((AJ37-AJ38)/AJ37,"")</f>
        <v/>
      </c>
      <c r="AK36" s="240" t="str">
        <f aca="false">IFERROR((AK37-AK38)/AK37,"")</f>
        <v/>
      </c>
      <c r="AL36" s="240" t="str">
        <f aca="false">IFERROR((AL37-AL38)/AL37,"")</f>
        <v/>
      </c>
      <c r="AM36" s="240" t="str">
        <f aca="false">IFERROR((AM37-AM38)/AM37,"")</f>
        <v/>
      </c>
      <c r="AN36" s="241" t="str">
        <f aca="false">IFERROR((AN37-AN38)/AN37,"")</f>
        <v/>
      </c>
      <c r="AO36" s="242" t="str">
        <f aca="false">IFERROR((AO37-AO38)/AO37,"")</f>
        <v/>
      </c>
      <c r="AP36" s="243" t="str">
        <f aca="false">IFERROR((AP37-AP38)/AP37,"")</f>
        <v/>
      </c>
      <c r="AQ36" s="243" t="str">
        <f aca="false">IFERROR((AQ37-AQ38)/AQ37,"")</f>
        <v/>
      </c>
      <c r="AR36" s="243" t="str">
        <f aca="false">IFERROR((AR37-AR38)/AR37,"")</f>
        <v/>
      </c>
      <c r="AS36" s="243" t="str">
        <f aca="false">IFERROR((AS37-AS38)/AS37,"")</f>
        <v/>
      </c>
      <c r="AT36" s="243" t="str">
        <f aca="false">IFERROR((AT37-AT38)/AT37,"")</f>
        <v/>
      </c>
      <c r="AU36" s="244" t="str">
        <f aca="false">IFERROR((AU37-AU38)/AU37,"")</f>
        <v/>
      </c>
      <c r="AV36" s="245" t="str">
        <f aca="false">IFERROR((AV37-AV38)/AV37,"")</f>
        <v/>
      </c>
    </row>
    <row r="37" customFormat="false" ht="14.25" hidden="false" customHeight="false" outlineLevel="0" collapsed="false">
      <c r="A37" s="217" t="str">
        <f aca="false">+IF(C37+C38=0,"[ocultar]","")</f>
        <v>[ocultar]</v>
      </c>
      <c r="B37" s="323" t="s">
        <v>371</v>
      </c>
      <c r="C37" s="247" t="n">
        <f aca="false" t="array" ref="C37:C37">SUM(IF($B37=DATOS_[Sexo], IF($B36=DATOS_[AGRUP. CLAS. PROF.], IF("Dentro"=DATOS_[Check Periodo Ref.], 1/(COUNTIFS(DATOS_[Sexo],$B37,DATOS_[AGRUP. CLAS. PROF.],$B36,DATOS_[Check Periodo Ref.],"Dentro",DATOS_[id],DATOS_[id]))))))</f>
        <v>0</v>
      </c>
      <c r="D37" s="248" t="n">
        <f aca="false">COUNTIFS(DATOS_[AGRUP. CLAS. PROF.],$B36,DATOS_[Sexo],$B37,DATOS_[Check Periodo Ref.],"Dentro")</f>
        <v>0</v>
      </c>
      <c r="E37" s="248" t="n">
        <f aca="false">COUNTIFS(DATOS_[AGRUP. CLAS. PROF.],$B36,DATOS_[Sexo],$B37,DATOS_[Check Periodo Ref.],"Dentro",DATOS_[Check Nº SC Norm],"Sí")</f>
        <v>0</v>
      </c>
      <c r="F37" s="248" t="n">
        <f aca="false">COUNTIFS(DATOS_[AGRUP. CLAS. PROF.],$B36,DATOS_[Sexo],$B37,DATOS_[Check Periodo Ref.],"Dentro",DATOS_[Check Nº SC Anualiz],"Sí")</f>
        <v>0</v>
      </c>
      <c r="G37" s="248" t="n">
        <f aca="false">COUNTIFS(DATOS_[AGRUP. CLAS. PROF.],$B36,DATOS_[Sexo],$B37,DATOS_[Check Periodo Ref.],"Dentro",DATOS_[Check Nº SC Norm y Anualiz],"Sí")</f>
        <v>0</v>
      </c>
      <c r="H37" s="248" t="n">
        <f aca="false">COUNTIFS(DATOS_[AGRUP. CLAS. PROF.],$B36,DATOS_[Sexo],$B37,DATOS_[Check Periodo Ref.],"Dentro",DATOS_[Check Equiparación],"Sí")</f>
        <v>0</v>
      </c>
      <c r="I37" s="249" t="n">
        <f aca="false" t="array" ref="I37:I37">IFERROR( MEDIAN(IF(DATOS_[Sexo]=$B37,IF(DATOS_[[AGRUP. CLAS. PROF.]:[AGRUP. CLAS. PROF.]]=$B36,IF(DATOS_[Check Equiparado]="Sí",IF(DATOS_[Check Periodo Ref.]="Dentro",DATOS_[SALARIO BASE Eq],0))))), 0)</f>
        <v>0</v>
      </c>
      <c r="J37" s="250" t="n">
        <f aca="false" t="array" ref="J37:J37">IFERROR( (MEDIAN((IF(DATOS_[[Sexo]:[Sexo]]=$B37,IF(DATOS_[[AGRUP. CLAS. PROF.]:[AGRUP. CLAS. PROF.]]=$B36,IF(DATOS_[[Check Periodo Ref.]:[Check Periodo Ref.]]="Dentro",IF(DATOS_[[Check Equiparado]:[Check Equiparado]]="Sí",IF(DATOS!AE$4="Sí",(1/DATOS_[[% anualiz]:[% anualiz]]),1)*IF(DATOS!AE$5="Sí",1/DATOS_[[% normaliz]:[% normaliz]],1)*(DATOS_[Conc.Sal.01])))))))), 0)</f>
        <v>0</v>
      </c>
      <c r="K37" s="250" t="n">
        <f aca="false" t="array" ref="K37:K37">IFERROR( (MEDIAN((IF(DATOS_[[Sexo]:[Sexo]]=$B37,IF(DATOS_[[AGRUP. CLAS. PROF.]:[AGRUP. CLAS. PROF.]]=$B36,IF(DATOS_[[Check Periodo Ref.]:[Check Periodo Ref.]]="Dentro",IF(DATOS_[[Check Equiparado]:[Check Equiparado]]="Sí",IF(DATOS!AF$4="Sí",(1/DATOS_[[% anualiz]:[% anualiz]]),1)*IF(DATOS!AF$5="Sí",1/DATOS_[[% normaliz]:[% normaliz]],1)*(DATOS_[Conc.Sal.02])))))))), 0)</f>
        <v>0</v>
      </c>
      <c r="L37" s="250" t="n">
        <f aca="false" t="array" ref="L37:L37">IFERROR( (MEDIAN((IF(DATOS_[[Sexo]:[Sexo]]=$B37,IF(DATOS_[[AGRUP. CLAS. PROF.]:[AGRUP. CLAS. PROF.]]=$B36,IF(DATOS_[[Check Periodo Ref.]:[Check Periodo Ref.]]="Dentro",IF(DATOS_[[Check Equiparado]:[Check Equiparado]]="Sí",IF(DATOS!AG$4="Sí",(1/DATOS_[[% anualiz]:[% anualiz]]),1)*IF(DATOS!AG$5="Sí",1/DATOS_[[% normaliz]:[% normaliz]],1)*(DATOS_[Conc.Sal.03])))))))), 0)</f>
        <v>0</v>
      </c>
      <c r="M37" s="250" t="n">
        <f aca="false" t="array" ref="M37:M37">IFERROR( (MEDIAN((IF(DATOS_[[Sexo]:[Sexo]]=$B37,IF(DATOS_[[AGRUP. CLAS. PROF.]:[AGRUP. CLAS. PROF.]]=$B36,IF(DATOS_[[Check Periodo Ref.]:[Check Periodo Ref.]]="Dentro",IF(DATOS_[[Check Equiparado]:[Check Equiparado]]="Sí",IF(DATOS!AH$4="Sí",(1/DATOS_[[% anualiz]:[% anualiz]]),1)*IF(DATOS!AH$5="Sí",1/DATOS_[[% normaliz]:[% normaliz]],1)*(DATOS_[Conc.Sal.04])))))))), 0)</f>
        <v>0</v>
      </c>
      <c r="N37" s="250" t="n">
        <f aca="false" t="array" ref="N37:N37">IFERROR( (MEDIAN((IF(DATOS_[[Sexo]:[Sexo]]=$B37,IF(DATOS_[[AGRUP. CLAS. PROF.]:[AGRUP. CLAS. PROF.]]=$B36,IF(DATOS_[[Check Periodo Ref.]:[Check Periodo Ref.]]="Dentro",IF(DATOS_[[Check Equiparado]:[Check Equiparado]]="Sí",IF(DATOS!AI$4="Sí",(1/DATOS_[[% anualiz]:[% anualiz]]),1)*IF(DATOS!AI$5="Sí",1/DATOS_[[% normaliz]:[% normaliz]],1)*(DATOS_[Conc.Sal.05])))))))), 0)</f>
        <v>0</v>
      </c>
      <c r="O37" s="250" t="n">
        <f aca="false" t="array" ref="O37:O37">IFERROR( (MEDIAN((IF(DATOS_[[Sexo]:[Sexo]]=$B37,IF(DATOS_[[AGRUP. CLAS. PROF.]:[AGRUP. CLAS. PROF.]]=$B36,IF(DATOS_[[Check Periodo Ref.]:[Check Periodo Ref.]]="Dentro",IF(DATOS_[[Check Equiparado]:[Check Equiparado]]="Sí",IF(DATOS!AJ$4="Sí",(1/DATOS_[[% anualiz]:[% anualiz]]),1)*IF(DATOS!AJ$5="Sí",1/DATOS_[[% normaliz]:[% normaliz]],1)*(DATOS_[Conc.Sal.06])))))))), 0)</f>
        <v>0</v>
      </c>
      <c r="P37" s="250" t="n">
        <f aca="false" t="array" ref="P37:P37">IFERROR( (MEDIAN((IF(DATOS_[[Sexo]:[Sexo]]=$B37,IF(DATOS_[[AGRUP. CLAS. PROF.]:[AGRUP. CLAS. PROF.]]=$B36,IF(DATOS_[[Check Periodo Ref.]:[Check Periodo Ref.]]="Dentro",IF(DATOS_[[Check Equiparado]:[Check Equiparado]]="Sí",IF(DATOS!AK$4="Sí",(1/DATOS_[[% anualiz]:[% anualiz]]),1)*IF(DATOS!AK$5="Sí",1/DATOS_[[% normaliz]:[% normaliz]],1)*(DATOS_[Conc.Sal.07])))))))), 0)</f>
        <v>0</v>
      </c>
      <c r="Q37" s="250" t="n">
        <f aca="false" t="array" ref="Q37:Q37">IFERROR( (MEDIAN((IF(DATOS_[[Sexo]:[Sexo]]=$B37,IF(DATOS_[[AGRUP. CLAS. PROF.]:[AGRUP. CLAS. PROF.]]=$B36,IF(DATOS_[[Check Periodo Ref.]:[Check Periodo Ref.]]="Dentro",IF(DATOS_[[Check Equiparado]:[Check Equiparado]]="Sí",IF(DATOS!AL$4="Sí",(1/DATOS_[[% anualiz]:[% anualiz]]),1)*IF(DATOS!AL$5="Sí",1/DATOS_[[% normaliz]:[% normaliz]],1)*(DATOS_[Conc.Sal.08])))))))), 0)</f>
        <v>0</v>
      </c>
      <c r="R37" s="250" t="n">
        <f aca="false" t="array" ref="R37:R37">IFERROR( (MEDIAN((IF(DATOS_[[Sexo]:[Sexo]]=$B37,IF(DATOS_[[AGRUP. CLAS. PROF.]:[AGRUP. CLAS. PROF.]]=$B36,IF(DATOS_[[Check Periodo Ref.]:[Check Periodo Ref.]]="Dentro",IF(DATOS_[[Check Equiparado]:[Check Equiparado]]="Sí",IF(DATOS!AM$4="Sí",(1/DATOS_[[% anualiz]:[% anualiz]]),1)*IF(DATOS!AM$5="Sí",1/DATOS_[[% normaliz]:[% normaliz]],1)*(DATOS_[Conc.Sal.09])))))))), 0)</f>
        <v>0</v>
      </c>
      <c r="S37" s="250" t="n">
        <f aca="false" t="array" ref="S37:S37">IFERROR( (MEDIAN((IF(DATOS_[[Sexo]:[Sexo]]=$B37,IF(DATOS_[[AGRUP. CLAS. PROF.]:[AGRUP. CLAS. PROF.]]=$B36,IF(DATOS_[[Check Periodo Ref.]:[Check Periodo Ref.]]="Dentro",IF(DATOS_[[Check Equiparado]:[Check Equiparado]]="Sí",IF(DATOS!AN$4="Sí",(1/DATOS_[[% anualiz]:[% anualiz]]),1)*IF(DATOS!AN$5="Sí",1/DATOS_[[% normaliz]:[% normaliz]],1)*(DATOS_[Conc.Sal.10])))))))), 0)</f>
        <v>0</v>
      </c>
      <c r="T37" s="250" t="n">
        <f aca="false" t="array" ref="T37:T37">IFERROR( (MEDIAN((IF(DATOS_[[Sexo]:[Sexo]]=$B37,IF(DATOS_[[AGRUP. CLAS. PROF.]:[AGRUP. CLAS. PROF.]]=$B36,IF(DATOS_[[Check Periodo Ref.]:[Check Periodo Ref.]]="Dentro",IF(DATOS_[[Check Equiparado]:[Check Equiparado]]="Sí",IF(DATOS!AO$4="Sí",(1/DATOS_[[% anualiz]:[% anualiz]]),1)*IF(DATOS!AO$5="Sí",1/DATOS_[[% normaliz]:[% normaliz]],1)*(DATOS_[Conc.Sal.11])))))))), 0)</f>
        <v>0</v>
      </c>
      <c r="U37" s="250" t="n">
        <f aca="false" t="array" ref="U37:U37">IFERROR( (MEDIAN((IF(DATOS_[[Sexo]:[Sexo]]=$B37,IF(DATOS_[[AGRUP. CLAS. PROF.]:[AGRUP. CLAS. PROF.]]=$B36,IF(DATOS_[[Check Periodo Ref.]:[Check Periodo Ref.]]="Dentro",IF(DATOS_[[Check Equiparado]:[Check Equiparado]]="Sí",IF(DATOS!AP$4="Sí",(1/DATOS_[[% anualiz]:[% anualiz]]),1)*IF(DATOS!AP$5="Sí",1/DATOS_[[% normaliz]:[% normaliz]],1)*(DATOS_[Conc.Sal.12])))))))), 0)</f>
        <v>0</v>
      </c>
      <c r="V37" s="250" t="n">
        <f aca="false" t="array" ref="V37:V37">IFERROR( (MEDIAN((IF(DATOS_[[Sexo]:[Sexo]]=$B37,IF(DATOS_[[AGRUP. CLAS. PROF.]:[AGRUP. CLAS. PROF.]]=$B36,IF(DATOS_[[Check Periodo Ref.]:[Check Periodo Ref.]]="Dentro",IF(DATOS_[[Check Equiparado]:[Check Equiparado]]="Sí",IF(DATOS!AQ$4="Sí",(1/DATOS_[[% anualiz]:[% anualiz]]),1)*IF(DATOS!AQ$5="Sí",1/DATOS_[[% normaliz]:[% normaliz]],1)*(DATOS_[Conc.Sal.13])))))))), 0)</f>
        <v>0</v>
      </c>
      <c r="W37" s="250" t="n">
        <f aca="false" t="array" ref="W37:W37">IFERROR( (MEDIAN((IF(DATOS_[[Sexo]:[Sexo]]=$B37,IF(DATOS_[[AGRUP. CLAS. PROF.]:[AGRUP. CLAS. PROF.]]=$B36,IF(DATOS_[[Check Periodo Ref.]:[Check Periodo Ref.]]="Dentro",IF(DATOS_[[Check Equiparado]:[Check Equiparado]]="Sí",IF(DATOS!AR$4="Sí",(1/DATOS_[[% anualiz]:[% anualiz]]),1)*IF(DATOS!AR$5="Sí",1/DATOS_[[% normaliz]:[% normaliz]],1)*(DATOS_[Conc.Sal.14])))))))), 0)</f>
        <v>0</v>
      </c>
      <c r="X37" s="250" t="n">
        <f aca="false" t="array" ref="X37:X37">IFERROR( (MEDIAN((IF(DATOS_[[Sexo]:[Sexo]]=$B37,IF(DATOS_[[AGRUP. CLAS. PROF.]:[AGRUP. CLAS. PROF.]]=$B36,IF(DATOS_[[Check Periodo Ref.]:[Check Periodo Ref.]]="Dentro",IF(DATOS_[[Check Equiparado]:[Check Equiparado]]="Sí",IF(DATOS!AS$4="Sí",(1/DATOS_[[% anualiz]:[% anualiz]]),1)*IF(DATOS!AS$5="Sí",1/DATOS_[[% normaliz]:[% normaliz]],1)*(DATOS_[Conc.Sal.15])))))))), 0)</f>
        <v>0</v>
      </c>
      <c r="Y37" s="250" t="n">
        <f aca="false" t="array" ref="Y37:Y37">IFERROR( (MEDIAN((IF(DATOS_[[Sexo]:[Sexo]]=$B37,IF(DATOS_[[AGRUP. CLAS. PROF.]:[AGRUP. CLAS. PROF.]]=$B36,IF(DATOS_[[Check Periodo Ref.]:[Check Periodo Ref.]]="Dentro",IF(DATOS_[[Check Equiparado]:[Check Equiparado]]="Sí",IF(DATOS!AT$4="Sí",(1/DATOS_[[% anualiz]:[% anualiz]]),1)*IF(DATOS!AT$5="Sí",1/DATOS_[[% normaliz]:[% normaliz]],1)*(DATOS_[Conc.Sal.16])))))))), 0)</f>
        <v>0</v>
      </c>
      <c r="Z37" s="250" t="n">
        <f aca="false" t="array" ref="Z37:Z37">IFERROR( (MEDIAN((IF(DATOS_[[Sexo]:[Sexo]]=$B37,IF(DATOS_[[AGRUP. CLAS. PROF.]:[AGRUP. CLAS. PROF.]]=$B36,IF(DATOS_[[Check Periodo Ref.]:[Check Periodo Ref.]]="Dentro",IF(DATOS_[[Check Equiparado]:[Check Equiparado]]="Sí",IF(DATOS!AU$4="Sí",(1/DATOS_[[% anualiz]:[% anualiz]]),1)*IF(DATOS!AU$5="Sí",1/DATOS_[[% normaliz]:[% normaliz]],1)*(DATOS_[Conc.Sal.17])))))))), 0)</f>
        <v>0</v>
      </c>
      <c r="AA37" s="250" t="n">
        <f aca="false" t="array" ref="AA37:AA37">IFERROR( (MEDIAN((IF(DATOS_[[Sexo]:[Sexo]]=$B37,IF(DATOS_[[AGRUP. CLAS. PROF.]:[AGRUP. CLAS. PROF.]]=$B36,IF(DATOS_[[Check Periodo Ref.]:[Check Periodo Ref.]]="Dentro",IF(DATOS_[[Check Equiparado]:[Check Equiparado]]="Sí",IF(DATOS!AV$4="Sí",(1/DATOS_[[% anualiz]:[% anualiz]]),1)*IF(DATOS!AV$5="Sí",1/DATOS_[[% normaliz]:[% normaliz]],1)*(DATOS_[Conc.Sal.18])))))))), 0)</f>
        <v>0</v>
      </c>
      <c r="AB37" s="250" t="n">
        <f aca="false" t="array" ref="AB37:AB37">IFERROR( (MEDIAN((IF(DATOS_[[Sexo]:[Sexo]]=$B37,IF(DATOS_[[AGRUP. CLAS. PROF.]:[AGRUP. CLAS. PROF.]]=$B36,IF(DATOS_[[Check Periodo Ref.]:[Check Periodo Ref.]]="Dentro",IF(DATOS_[[Check Equiparado]:[Check Equiparado]]="Sí",IF(DATOS!AW$4="Sí",(1/DATOS_[[% anualiz]:[% anualiz]]),1)*IF(DATOS!AW$5="Sí",1/DATOS_[[% normaliz]:[% normaliz]],1)*(DATOS_[Conc.Sal.19])))))))), 0)</f>
        <v>0</v>
      </c>
      <c r="AC37" s="250" t="n">
        <f aca="false" t="array" ref="AC37:AC37">IFERROR( (MEDIAN((IF(DATOS_[[Sexo]:[Sexo]]=$B37,IF(DATOS_[[AGRUP. CLAS. PROF.]:[AGRUP. CLAS. PROF.]]=$B36,IF(DATOS_[[Check Periodo Ref.]:[Check Periodo Ref.]]="Dentro",IF(DATOS_[[Check Equiparado]:[Check Equiparado]]="Sí",IF(DATOS!AX$4="Sí",(1/DATOS_[[% anualiz]:[% anualiz]]),1)*IF(DATOS!AX$5="Sí",1/DATOS_[[% normaliz]:[% normaliz]],1)*(DATOS_[Conc.Sal.20])))))))), 0)</f>
        <v>0</v>
      </c>
      <c r="AD37" s="250" t="n">
        <f aca="false" t="array" ref="AD37:AD37">IFERROR( (MEDIAN((IF(DATOS_[[Sexo]:[Sexo]]=$B37,IF(DATOS_[[AGRUP. CLAS. PROF.]:[AGRUP. CLAS. PROF.]]=$B36,IF(DATOS_[[Check Periodo Ref.]:[Check Periodo Ref.]]="Dentro",IF(DATOS_[[Check Equiparado]:[Check Equiparado]]="Sí",IF(DATOS!AY$4="Sí",(1/DATOS_[[% anualiz]:[% anualiz]]),1)*IF(DATOS!AY$5="Sí",1/DATOS_[[% normaliz]:[% normaliz]],1)*(DATOS_[Conc.Sal.21])))))))), 0)</f>
        <v>0</v>
      </c>
      <c r="AE37" s="250" t="n">
        <f aca="false" t="array" ref="AE37:AE37">IFERROR( (MEDIAN((IF(DATOS_[[Sexo]:[Sexo]]=$B37,IF(DATOS_[[AGRUP. CLAS. PROF.]:[AGRUP. CLAS. PROF.]]=$B36,IF(DATOS_[[Check Periodo Ref.]:[Check Periodo Ref.]]="Dentro",IF(DATOS_[[Check Equiparado]:[Check Equiparado]]="Sí",IF(DATOS!AZ$4="Sí",(1/DATOS_[[% anualiz]:[% anualiz]]),1)*IF(DATOS!AZ$5="Sí",1/DATOS_[[% normaliz]:[% normaliz]],1)*(DATOS_[Conc.Sal.22])))))))), 0)</f>
        <v>0</v>
      </c>
      <c r="AF37" s="250" t="n">
        <f aca="false" t="array" ref="AF37:AF37">IFERROR( (MEDIAN((IF(DATOS_[[Sexo]:[Sexo]]=$B37,IF(DATOS_[[AGRUP. CLAS. PROF.]:[AGRUP. CLAS. PROF.]]=$B36,IF(DATOS_[[Check Periodo Ref.]:[Check Periodo Ref.]]="Dentro",IF(DATOS_[[Check Equiparado]:[Check Equiparado]]="Sí",IF(DATOS!BA$4="Sí",(1/DATOS_[[% anualiz]:[% anualiz]]),1)*IF(DATOS!BA$5="Sí",1/DATOS_[[% normaliz]:[% normaliz]],1)*(DATOS_[Conc.Sal.23])))))))), 0)</f>
        <v>0</v>
      </c>
      <c r="AG37" s="250" t="n">
        <f aca="false" t="array" ref="AG37:AG37">IFERROR( (MEDIAN((IF(DATOS_[[Sexo]:[Sexo]]=$B37,IF(DATOS_[[AGRUP. CLAS. PROF.]:[AGRUP. CLAS. PROF.]]=$B36,IF(DATOS_[[Check Periodo Ref.]:[Check Periodo Ref.]]="Dentro",IF(DATOS_[[Check Equiparado]:[Check Equiparado]]="Sí",IF(DATOS!BB$4="Sí",(1/DATOS_[[% anualiz]:[% anualiz]]),1)*IF(DATOS!BB$5="Sí",1/DATOS_[[% normaliz]:[% normaliz]],1)*(DATOS_[Conc.Sal.24])))))))), 0)</f>
        <v>0</v>
      </c>
      <c r="AH37" s="250" t="n">
        <f aca="false" t="array" ref="AH37:AH37">IFERROR( (MEDIAN((IF(DATOS_[[Sexo]:[Sexo]]=$B37,IF(DATOS_[[AGRUP. CLAS. PROF.]:[AGRUP. CLAS. PROF.]]=$B36,IF(DATOS_[[Check Periodo Ref.]:[Check Periodo Ref.]]="Dentro",IF(DATOS_[[Check Equiparado]:[Check Equiparado]]="Sí",IF(DATOS!BC$4="Sí",(1/DATOS_[[% anualiz]:[% anualiz]]),1)*IF(DATOS!BC$5="Sí",1/DATOS_[[% normaliz]:[% normaliz]],1)*(DATOS_[Conc.Sal.25])))))))), 0)</f>
        <v>0</v>
      </c>
      <c r="AI37" s="250" t="n">
        <f aca="false" t="array" ref="AI37:AI37">IFERROR( (MEDIAN((IF(DATOS_[[Sexo]:[Sexo]]=$B37,IF(DATOS_[[AGRUP. CLAS. PROF.]:[AGRUP. CLAS. PROF.]]=$B36,IF(DATOS_[[Check Periodo Ref.]:[Check Periodo Ref.]]="Dentro",IF(DATOS_[[Check Equiparado]:[Check Equiparado]]="Sí",IF(DATOS!BD$4="Sí",(1/DATOS_[[% anualiz]:[% anualiz]]),1)*IF(DATOS!BD$5="Sí",1/DATOS_[[% normaliz]:[% normaliz]],1)*(DATOS_[Conc.Sal.26])))))))), 0)</f>
        <v>0</v>
      </c>
      <c r="AJ37" s="250" t="n">
        <f aca="false" t="array" ref="AJ37:AJ37">IFERROR( (MEDIAN((IF(DATOS_[[Sexo]:[Sexo]]=$B37,IF(DATOS_[[AGRUP. CLAS. PROF.]:[AGRUP. CLAS. PROF.]]=$B36,IF(DATOS_[[Check Periodo Ref.]:[Check Periodo Ref.]]="Dentro",IF(DATOS_[[Check Equiparado]:[Check Equiparado]]="Sí",IF(DATOS!BE$4="Sí",(1/DATOS_[[% anualiz]:[% anualiz]]),1)*IF(DATOS!BE$5="Sí",1/DATOS_[[% normaliz]:[% normaliz]],1)*(DATOS_[Conc.Sal.27])))))))), 0)</f>
        <v>0</v>
      </c>
      <c r="AK37" s="250" t="n">
        <f aca="false" t="array" ref="AK37:AK37">IFERROR( (MEDIAN((IF(DATOS_[[Sexo]:[Sexo]]=$B37,IF(DATOS_[[AGRUP. CLAS. PROF.]:[AGRUP. CLAS. PROF.]]=$B36,IF(DATOS_[[Check Periodo Ref.]:[Check Periodo Ref.]]="Dentro",IF(DATOS_[[Check Equiparado]:[Check Equiparado]]="Sí",IF(DATOS!BF$4="Sí",(1/DATOS_[[% anualiz]:[% anualiz]]),1)*IF(DATOS!BF$5="Sí",1/DATOS_[[% normaliz]:[% normaliz]],1)*(DATOS_[Conc.Sal.28])))))))), 0)</f>
        <v>0</v>
      </c>
      <c r="AL37" s="250" t="n">
        <f aca="false" t="array" ref="AL37:AL37">IFERROR( (MEDIAN((IF(DATOS_[[Sexo]:[Sexo]]=$B37,IF(DATOS_[[AGRUP. CLAS. PROF.]:[AGRUP. CLAS. PROF.]]=$B36,IF(DATOS_[[Check Periodo Ref.]:[Check Periodo Ref.]]="Dentro",IF(DATOS_[[Check Equiparado]:[Check Equiparado]]="Sí",IF(DATOS!BG$4="Sí",(1/DATOS_[[% anualiz]:[% anualiz]]),1)*IF(DATOS!BG$5="Sí",1/DATOS_[[% normaliz]:[% normaliz]],1)*(DATOS_[Conc.Sal.29])))))))), 0)</f>
        <v>0</v>
      </c>
      <c r="AM37" s="250" t="n">
        <f aca="false" t="array" ref="AM37:AM37">IFERROR( (MEDIAN((IF(DATOS_[[Sexo]:[Sexo]]=$B37,IF(DATOS_[[AGRUP. CLAS. PROF.]:[AGRUP. CLAS. PROF.]]=$B36,IF(DATOS_[[Check Periodo Ref.]:[Check Periodo Ref.]]="Dentro",IF(DATOS_[[Check Equiparado]:[Check Equiparado]]="Sí",IF(DATOS!BH$4="Sí",(1/DATOS_[[% anualiz]:[% anualiz]]),1)*IF(DATOS!BH$5="Sí",1/DATOS_[[% normaliz]:[% normaliz]],1)*(DATOS_[Conc.Sal.30])))))))), 0)</f>
        <v>0</v>
      </c>
      <c r="AN37" s="251" t="n">
        <f aca="false" t="array" ref="AN37:AN37">IFERROR( MEDIAN(IF(DATOS_[Sexo]=$B37,IF(DATOS_[[AGRUP. CLAS. PROF.]:[AGRUP. CLAS. PROF.]]=$B36,IF(DATOS_[Check Equiparado]="Sí",IF(DATOS_[Check Periodo Ref.]="Dentro",DATOS_[Tot COMPL.SAL Eq],0))))), 0)</f>
        <v>0</v>
      </c>
      <c r="AO37" s="252" t="n">
        <f aca="false" t="array" ref="AO37:AO37">IFERROR( MEDIAN(IF(DATOS_[Sexo]=$B37,IF(DATOS_[[AGRUP. CLAS. PROF.]:[AGRUP. CLAS. PROF.]]=$B36,IF(DATOS_[Check Equiparado]="Sí",IF(DATOS_[Check Periodo Ref.]="Dentro",DATOS_[TOTAL SALARIO Eq],0))))), 0)</f>
        <v>0</v>
      </c>
      <c r="AP37" s="259" t="n">
        <f aca="false" t="array" ref="AP37:AP37">IFERROR( (MEDIAN((IF(DATOS_[[Sexo]:[Sexo]]=$B37,IF(DATOS_[[AGRUP. CLAS. PROF.]:[AGRUP. CLAS. PROF.]]=$B36,IF(DATOS_[[Check Periodo Ref.]:[Check Periodo Ref.]]="Dentro",IF(DATOS_[[Check Equiparado]:[Check Equiparado]]="Sí",IF(DATOS!BI$4="Sí",(1/DATOS_[[% anualiz]:[% anualiz]]),1)*IF(DATOS!BI$5="Sí",1/DATOS_[[% normaliz]:[% normaliz]],1)*(DATOS_[C.Extra.01])))))))), 0)</f>
        <v>0</v>
      </c>
      <c r="AQ37" s="259" t="n">
        <f aca="false" t="array" ref="AQ37:AQ37">IFERROR( (MEDIAN((IF(DATOS_[[Sexo]:[Sexo]]=$B37,IF(DATOS_[[AGRUP. CLAS. PROF.]:[AGRUP. CLAS. PROF.]]=$B36,IF(DATOS_[[Check Periodo Ref.]:[Check Periodo Ref.]]="Dentro",IF(DATOS_[[Check Equiparado]:[Check Equiparado]]="Sí",IF(DATOS!BJ$4="Sí",(1/DATOS_[[% anualiz]:[% anualiz]]),1)*IF(DATOS!BJ$5="Sí",1/DATOS_[[% normaliz]:[% normaliz]],1)*(DATOS_[C.Extra.02])))))))), 0)</f>
        <v>0</v>
      </c>
      <c r="AR37" s="259" t="n">
        <f aca="false" t="array" ref="AR37:AR37">IFERROR( (MEDIAN((IF(DATOS_[[Sexo]:[Sexo]]=$B37,IF(DATOS_[[AGRUP. CLAS. PROF.]:[AGRUP. CLAS. PROF.]]=$B36,IF(DATOS_[[Check Periodo Ref.]:[Check Periodo Ref.]]="Dentro",IF(DATOS_[[Check Equiparado]:[Check Equiparado]]="Sí",IF(DATOS!BK$4="Sí",(1/DATOS_[[% anualiz]:[% anualiz]]),1)*IF(DATOS!BK$5="Sí",1/DATOS_[[% normaliz]:[% normaliz]],1)*(DATOS_[C.Extra.03])))))))), 0)</f>
        <v>0</v>
      </c>
      <c r="AS37" s="259" t="n">
        <f aca="false" t="array" ref="AS37:AS37">IFERROR( (MEDIAN((IF(DATOS_[[Sexo]:[Sexo]]=$B37,IF(DATOS_[[AGRUP. CLAS. PROF.]:[AGRUP. CLAS. PROF.]]=$B36,IF(DATOS_[[Check Periodo Ref.]:[Check Periodo Ref.]]="Dentro",IF(DATOS_[[Check Equiparado]:[Check Equiparado]]="Sí",IF(DATOS!BL$4="Sí",(1/DATOS_[[% anualiz]:[% anualiz]]),1)*IF(DATOS!BL$5="Sí",1/DATOS_[[% normaliz]:[% normaliz]],1)*(DATOS_[C.Extra.04])))))))), 0)</f>
        <v>0</v>
      </c>
      <c r="AT37" s="259" t="n">
        <f aca="false" t="array" ref="AT37:AT37">IFERROR( (MEDIAN((IF(DATOS_[[Sexo]:[Sexo]]=$B37,IF(DATOS_[[AGRUP. CLAS. PROF.]:[AGRUP. CLAS. PROF.]]=$B36,IF(DATOS_[[Check Periodo Ref.]:[Check Periodo Ref.]]="Dentro",IF(DATOS_[[Check Equiparado]:[Check Equiparado]]="Sí",IF(DATOS!BM$4="Sí",(1/DATOS_[[% anualiz]:[% anualiz]]),1)*IF(DATOS!BM$5="Sí",1/DATOS_[[% normaliz]:[% normaliz]],1)*(DATOS_[C.Extra.05])))))))), 0)</f>
        <v>0</v>
      </c>
      <c r="AU37" s="254" t="n">
        <f aca="false" t="array" ref="AU37:AU37">IFERROR( MEDIAN(IF(DATOS_[Sexo]=$B37,IF(DATOS_[[AGRUP. CLAS. PROF.]:[AGRUP. CLAS. PROF.]]=$B36,IF(DATOS_[Check Equiparado]="Sí",IF(DATOS_[Check Periodo Ref.]="Dentro",DATOS_[Tot Extrasalarial Eq],0))))), 0)</f>
        <v>0</v>
      </c>
      <c r="AV37" s="255" t="n">
        <f aca="false" t="array" ref="AV37:AV37">IFERROR( MEDIAN(IF(DATOS_[Sexo]=$B37,IF(DATOS_[[AGRUP. CLAS. PROF.]:[AGRUP. CLAS. PROF.]]=$B36,IF(DATOS_[Check Equiparado]="Sí",IF(DATOS_[Check Periodo Ref.]="Dentro",DATOS_[TOTAL Retrib Eq],0))))), 0)</f>
        <v>0</v>
      </c>
    </row>
    <row r="38" customFormat="false" ht="14.25" hidden="false" customHeight="false" outlineLevel="0" collapsed="false">
      <c r="A38" s="217" t="str">
        <f aca="false">+A37</f>
        <v>[ocultar]</v>
      </c>
      <c r="B38" s="323" t="s">
        <v>372</v>
      </c>
      <c r="C38" s="247" t="n">
        <f aca="false" t="array" ref="C38:C38">SUM(IF($B38=DATOS_[Sexo], IF($B36=DATOS_[AGRUP. CLAS. PROF.], IF("Dentro"=DATOS_[Check Periodo Ref.], 1/(COUNTIFS(DATOS_[Sexo],$B38,DATOS_[AGRUP. CLAS. PROF.],$B36,DATOS_[Check Periodo Ref.],"Dentro",DATOS_[id],DATOS_[id]))))))</f>
        <v>0</v>
      </c>
      <c r="D38" s="248" t="n">
        <f aca="false">COUNTIFS(DATOS_[AGRUP. CLAS. PROF.],$B36,DATOS_[Sexo],$B38,DATOS_[Check Periodo Ref.],"Dentro")</f>
        <v>0</v>
      </c>
      <c r="E38" s="248" t="n">
        <f aca="false">COUNTIFS(DATOS_[AGRUP. CLAS. PROF.],$B36,DATOS_[Sexo],$B38,DATOS_[Check Periodo Ref.],"Dentro",DATOS_[Check Nº SC Norm],"Sí")</f>
        <v>0</v>
      </c>
      <c r="F38" s="248" t="n">
        <f aca="false">COUNTIFS(DATOS_[AGRUP. CLAS. PROF.],$B36,DATOS_[Sexo],$B38,DATOS_[Check Periodo Ref.],"Dentro",DATOS_[Check Nº SC Anualiz],"Sí")</f>
        <v>0</v>
      </c>
      <c r="G38" s="248" t="n">
        <f aca="false">COUNTIFS(DATOS_[AGRUP. CLAS. PROF.],$B36,DATOS_[Sexo],$B38,DATOS_[Check Periodo Ref.],"Dentro",DATOS_[Check Nº SC Norm y Anualiz],"Sí")</f>
        <v>0</v>
      </c>
      <c r="H38" s="248" t="n">
        <f aca="false">COUNTIFS(DATOS_[AGRUP. CLAS. PROF.],$B36,DATOS_[Sexo],$B38,DATOS_[Check Periodo Ref.],"Dentro",DATOS_[Check Equiparación],"Sí")</f>
        <v>0</v>
      </c>
      <c r="I38" s="249" t="n">
        <f aca="false" t="array" ref="I38:I38">IFERROR( MEDIAN(IF(DATOS_[Sexo]=$B38,IF(DATOS_[[AGRUP. CLAS. PROF.]:[AGRUP. CLAS. PROF.]]=$B36,IF(DATOS_[Check Equiparado]="Sí",IF(DATOS_[Check Periodo Ref.]="Dentro",DATOS_[SALARIO BASE Eq],0))))), 0)</f>
        <v>0</v>
      </c>
      <c r="J38" s="250" t="n">
        <f aca="false" t="array" ref="J38:J38">IFERROR( (MEDIAN((IF(DATOS_[[Sexo]:[Sexo]]=$B38,IF(DATOS_[[AGRUP. CLAS. PROF.]:[AGRUP. CLAS. PROF.]]=$B36,IF(DATOS_[[Check Periodo Ref.]:[Check Periodo Ref.]]="Dentro",IF(DATOS_[[Check Equiparado]:[Check Equiparado]]="Sí",IF(DATOS!AE$4="Sí",(1/DATOS_[[% anualiz]:[% anualiz]]),1)*IF(DATOS!AE$5="Sí",1/DATOS_[[% normaliz]:[% normaliz]],1)*(DATOS_[Conc.Sal.01])))))))), 0)</f>
        <v>0</v>
      </c>
      <c r="K38" s="250" t="n">
        <f aca="false" t="array" ref="K38:K38">IFERROR( (MEDIAN((IF(DATOS_[[Sexo]:[Sexo]]=$B38,IF(DATOS_[[AGRUP. CLAS. PROF.]:[AGRUP. CLAS. PROF.]]=$B36,IF(DATOS_[[Check Periodo Ref.]:[Check Periodo Ref.]]="Dentro",IF(DATOS_[[Check Equiparado]:[Check Equiparado]]="Sí",IF(DATOS!AF$4="Sí",(1/DATOS_[[% anualiz]:[% anualiz]]),1)*IF(DATOS!AF$5="Sí",1/DATOS_[[% normaliz]:[% normaliz]],1)*(DATOS_[Conc.Sal.02])))))))), 0)</f>
        <v>0</v>
      </c>
      <c r="L38" s="250" t="n">
        <f aca="false" t="array" ref="L38:L38">IFERROR( (MEDIAN((IF(DATOS_[[Sexo]:[Sexo]]=$B38,IF(DATOS_[[AGRUP. CLAS. PROF.]:[AGRUP. CLAS. PROF.]]=$B36,IF(DATOS_[[Check Periodo Ref.]:[Check Periodo Ref.]]="Dentro",IF(DATOS_[[Check Equiparado]:[Check Equiparado]]="Sí",IF(DATOS!AG$4="Sí",(1/DATOS_[[% anualiz]:[% anualiz]]),1)*IF(DATOS!AG$5="Sí",1/DATOS_[[% normaliz]:[% normaliz]],1)*(DATOS_[Conc.Sal.03])))))))), 0)</f>
        <v>0</v>
      </c>
      <c r="M38" s="250" t="n">
        <f aca="false" t="array" ref="M38:M38">IFERROR( (MEDIAN((IF(DATOS_[[Sexo]:[Sexo]]=$B38,IF(DATOS_[[AGRUP. CLAS. PROF.]:[AGRUP. CLAS. PROF.]]=$B36,IF(DATOS_[[Check Periodo Ref.]:[Check Periodo Ref.]]="Dentro",IF(DATOS_[[Check Equiparado]:[Check Equiparado]]="Sí",IF(DATOS!AH$4="Sí",(1/DATOS_[[% anualiz]:[% anualiz]]),1)*IF(DATOS!AH$5="Sí",1/DATOS_[[% normaliz]:[% normaliz]],1)*(DATOS_[Conc.Sal.04])))))))), 0)</f>
        <v>0</v>
      </c>
      <c r="N38" s="250" t="n">
        <f aca="false" t="array" ref="N38:N38">IFERROR( (MEDIAN((IF(DATOS_[[Sexo]:[Sexo]]=$B38,IF(DATOS_[[AGRUP. CLAS. PROF.]:[AGRUP. CLAS. PROF.]]=$B36,IF(DATOS_[[Check Periodo Ref.]:[Check Periodo Ref.]]="Dentro",IF(DATOS_[[Check Equiparado]:[Check Equiparado]]="Sí",IF(DATOS!AI$4="Sí",(1/DATOS_[[% anualiz]:[% anualiz]]),1)*IF(DATOS!AI$5="Sí",1/DATOS_[[% normaliz]:[% normaliz]],1)*(DATOS_[Conc.Sal.05])))))))), 0)</f>
        <v>0</v>
      </c>
      <c r="O38" s="250" t="n">
        <f aca="false" t="array" ref="O38:O38">IFERROR( (MEDIAN((IF(DATOS_[[Sexo]:[Sexo]]=$B38,IF(DATOS_[[AGRUP. CLAS. PROF.]:[AGRUP. CLAS. PROF.]]=$B36,IF(DATOS_[[Check Periodo Ref.]:[Check Periodo Ref.]]="Dentro",IF(DATOS_[[Check Equiparado]:[Check Equiparado]]="Sí",IF(DATOS!AJ$4="Sí",(1/DATOS_[[% anualiz]:[% anualiz]]),1)*IF(DATOS!AJ$5="Sí",1/DATOS_[[% normaliz]:[% normaliz]],1)*(DATOS_[Conc.Sal.06])))))))), 0)</f>
        <v>0</v>
      </c>
      <c r="P38" s="250" t="n">
        <f aca="false" t="array" ref="P38:P38">IFERROR( (MEDIAN((IF(DATOS_[[Sexo]:[Sexo]]=$B38,IF(DATOS_[[AGRUP. CLAS. PROF.]:[AGRUP. CLAS. PROF.]]=$B36,IF(DATOS_[[Check Periodo Ref.]:[Check Periodo Ref.]]="Dentro",IF(DATOS_[[Check Equiparado]:[Check Equiparado]]="Sí",IF(DATOS!AK$4="Sí",(1/DATOS_[[% anualiz]:[% anualiz]]),1)*IF(DATOS!AK$5="Sí",1/DATOS_[[% normaliz]:[% normaliz]],1)*(DATOS_[Conc.Sal.07])))))))), 0)</f>
        <v>0</v>
      </c>
      <c r="Q38" s="250" t="n">
        <f aca="false" t="array" ref="Q38:Q38">IFERROR( (MEDIAN((IF(DATOS_[[Sexo]:[Sexo]]=$B38,IF(DATOS_[[AGRUP. CLAS. PROF.]:[AGRUP. CLAS. PROF.]]=$B36,IF(DATOS_[[Check Periodo Ref.]:[Check Periodo Ref.]]="Dentro",IF(DATOS_[[Check Equiparado]:[Check Equiparado]]="Sí",IF(DATOS!AL$4="Sí",(1/DATOS_[[% anualiz]:[% anualiz]]),1)*IF(DATOS!AL$5="Sí",1/DATOS_[[% normaliz]:[% normaliz]],1)*(DATOS_[Conc.Sal.08])))))))), 0)</f>
        <v>0</v>
      </c>
      <c r="R38" s="250" t="n">
        <f aca="false" t="array" ref="R38:R38">IFERROR( (MEDIAN((IF(DATOS_[[Sexo]:[Sexo]]=$B38,IF(DATOS_[[AGRUP. CLAS. PROF.]:[AGRUP. CLAS. PROF.]]=$B36,IF(DATOS_[[Check Periodo Ref.]:[Check Periodo Ref.]]="Dentro",IF(DATOS_[[Check Equiparado]:[Check Equiparado]]="Sí",IF(DATOS!AM$4="Sí",(1/DATOS_[[% anualiz]:[% anualiz]]),1)*IF(DATOS!AM$5="Sí",1/DATOS_[[% normaliz]:[% normaliz]],1)*(DATOS_[Conc.Sal.09])))))))), 0)</f>
        <v>0</v>
      </c>
      <c r="S38" s="250" t="n">
        <f aca="false" t="array" ref="S38:S38">IFERROR( (MEDIAN((IF(DATOS_[[Sexo]:[Sexo]]=$B38,IF(DATOS_[[AGRUP. CLAS. PROF.]:[AGRUP. CLAS. PROF.]]=$B36,IF(DATOS_[[Check Periodo Ref.]:[Check Periodo Ref.]]="Dentro",IF(DATOS_[[Check Equiparado]:[Check Equiparado]]="Sí",IF(DATOS!AN$4="Sí",(1/DATOS_[[% anualiz]:[% anualiz]]),1)*IF(DATOS!AN$5="Sí",1/DATOS_[[% normaliz]:[% normaliz]],1)*(DATOS_[Conc.Sal.10])))))))), 0)</f>
        <v>0</v>
      </c>
      <c r="T38" s="250" t="n">
        <f aca="false" t="array" ref="T38:T38">IFERROR( (MEDIAN((IF(DATOS_[[Sexo]:[Sexo]]=$B38,IF(DATOS_[[AGRUP. CLAS. PROF.]:[AGRUP. CLAS. PROF.]]=$B36,IF(DATOS_[[Check Periodo Ref.]:[Check Periodo Ref.]]="Dentro",IF(DATOS_[[Check Equiparado]:[Check Equiparado]]="Sí",IF(DATOS!AO$4="Sí",(1/DATOS_[[% anualiz]:[% anualiz]]),1)*IF(DATOS!AO$5="Sí",1/DATOS_[[% normaliz]:[% normaliz]],1)*(DATOS_[Conc.Sal.11])))))))), 0)</f>
        <v>0</v>
      </c>
      <c r="U38" s="250" t="n">
        <f aca="false" t="array" ref="U38:U38">IFERROR( (MEDIAN((IF(DATOS_[[Sexo]:[Sexo]]=$B38,IF(DATOS_[[AGRUP. CLAS. PROF.]:[AGRUP. CLAS. PROF.]]=$B36,IF(DATOS_[[Check Periodo Ref.]:[Check Periodo Ref.]]="Dentro",IF(DATOS_[[Check Equiparado]:[Check Equiparado]]="Sí",IF(DATOS!AP$4="Sí",(1/DATOS_[[% anualiz]:[% anualiz]]),1)*IF(DATOS!AP$5="Sí",1/DATOS_[[% normaliz]:[% normaliz]],1)*(DATOS_[Conc.Sal.12])))))))), 0)</f>
        <v>0</v>
      </c>
      <c r="V38" s="250" t="n">
        <f aca="false" t="array" ref="V38:V38">IFERROR( (MEDIAN((IF(DATOS_[[Sexo]:[Sexo]]=$B38,IF(DATOS_[[AGRUP. CLAS. PROF.]:[AGRUP. CLAS. PROF.]]=$B36,IF(DATOS_[[Check Periodo Ref.]:[Check Periodo Ref.]]="Dentro",IF(DATOS_[[Check Equiparado]:[Check Equiparado]]="Sí",IF(DATOS!AQ$4="Sí",(1/DATOS_[[% anualiz]:[% anualiz]]),1)*IF(DATOS!AQ$5="Sí",1/DATOS_[[% normaliz]:[% normaliz]],1)*(DATOS_[Conc.Sal.13])))))))), 0)</f>
        <v>0</v>
      </c>
      <c r="W38" s="250" t="n">
        <f aca="false" t="array" ref="W38:W38">IFERROR( (MEDIAN((IF(DATOS_[[Sexo]:[Sexo]]=$B38,IF(DATOS_[[AGRUP. CLAS. PROF.]:[AGRUP. CLAS. PROF.]]=$B36,IF(DATOS_[[Check Periodo Ref.]:[Check Periodo Ref.]]="Dentro",IF(DATOS_[[Check Equiparado]:[Check Equiparado]]="Sí",IF(DATOS!AR$4="Sí",(1/DATOS_[[% anualiz]:[% anualiz]]),1)*IF(DATOS!AR$5="Sí",1/DATOS_[[% normaliz]:[% normaliz]],1)*(DATOS_[Conc.Sal.14])))))))), 0)</f>
        <v>0</v>
      </c>
      <c r="X38" s="250" t="n">
        <f aca="false" t="array" ref="X38:X38">IFERROR( (MEDIAN((IF(DATOS_[[Sexo]:[Sexo]]=$B38,IF(DATOS_[[AGRUP. CLAS. PROF.]:[AGRUP. CLAS. PROF.]]=$B36,IF(DATOS_[[Check Periodo Ref.]:[Check Periodo Ref.]]="Dentro",IF(DATOS_[[Check Equiparado]:[Check Equiparado]]="Sí",IF(DATOS!AS$4="Sí",(1/DATOS_[[% anualiz]:[% anualiz]]),1)*IF(DATOS!AS$5="Sí",1/DATOS_[[% normaliz]:[% normaliz]],1)*(DATOS_[Conc.Sal.15])))))))), 0)</f>
        <v>0</v>
      </c>
      <c r="Y38" s="250" t="n">
        <f aca="false" t="array" ref="Y38:Y38">IFERROR( (MEDIAN((IF(DATOS_[[Sexo]:[Sexo]]=$B38,IF(DATOS_[[AGRUP. CLAS. PROF.]:[AGRUP. CLAS. PROF.]]=$B36,IF(DATOS_[[Check Periodo Ref.]:[Check Periodo Ref.]]="Dentro",IF(DATOS_[[Check Equiparado]:[Check Equiparado]]="Sí",IF(DATOS!AT$4="Sí",(1/DATOS_[[% anualiz]:[% anualiz]]),1)*IF(DATOS!AT$5="Sí",1/DATOS_[[% normaliz]:[% normaliz]],1)*(DATOS_[Conc.Sal.16])))))))), 0)</f>
        <v>0</v>
      </c>
      <c r="Z38" s="250" t="n">
        <f aca="false" t="array" ref="Z38:Z38">IFERROR( (MEDIAN((IF(DATOS_[[Sexo]:[Sexo]]=$B38,IF(DATOS_[[AGRUP. CLAS. PROF.]:[AGRUP. CLAS. PROF.]]=$B36,IF(DATOS_[[Check Periodo Ref.]:[Check Periodo Ref.]]="Dentro",IF(DATOS_[[Check Equiparado]:[Check Equiparado]]="Sí",IF(DATOS!AU$4="Sí",(1/DATOS_[[% anualiz]:[% anualiz]]),1)*IF(DATOS!AU$5="Sí",1/DATOS_[[% normaliz]:[% normaliz]],1)*(DATOS_[Conc.Sal.17])))))))), 0)</f>
        <v>0</v>
      </c>
      <c r="AA38" s="250" t="n">
        <f aca="false" t="array" ref="AA38:AA38">IFERROR( (MEDIAN((IF(DATOS_[[Sexo]:[Sexo]]=$B38,IF(DATOS_[[AGRUP. CLAS. PROF.]:[AGRUP. CLAS. PROF.]]=$B36,IF(DATOS_[[Check Periodo Ref.]:[Check Periodo Ref.]]="Dentro",IF(DATOS_[[Check Equiparado]:[Check Equiparado]]="Sí",IF(DATOS!AV$4="Sí",(1/DATOS_[[% anualiz]:[% anualiz]]),1)*IF(DATOS!AV$5="Sí",1/DATOS_[[% normaliz]:[% normaliz]],1)*(DATOS_[Conc.Sal.18])))))))), 0)</f>
        <v>0</v>
      </c>
      <c r="AB38" s="250" t="n">
        <f aca="false" t="array" ref="AB38:AB38">IFERROR( (MEDIAN((IF(DATOS_[[Sexo]:[Sexo]]=$B38,IF(DATOS_[[AGRUP. CLAS. PROF.]:[AGRUP. CLAS. PROF.]]=$B36,IF(DATOS_[[Check Periodo Ref.]:[Check Periodo Ref.]]="Dentro",IF(DATOS_[[Check Equiparado]:[Check Equiparado]]="Sí",IF(DATOS!AW$4="Sí",(1/DATOS_[[% anualiz]:[% anualiz]]),1)*IF(DATOS!AW$5="Sí",1/DATOS_[[% normaliz]:[% normaliz]],1)*(DATOS_[Conc.Sal.19])))))))), 0)</f>
        <v>0</v>
      </c>
      <c r="AC38" s="250" t="n">
        <f aca="false" t="array" ref="AC38:AC38">IFERROR( (MEDIAN((IF(DATOS_[[Sexo]:[Sexo]]=$B38,IF(DATOS_[[AGRUP. CLAS. PROF.]:[AGRUP. CLAS. PROF.]]=$B36,IF(DATOS_[[Check Periodo Ref.]:[Check Periodo Ref.]]="Dentro",IF(DATOS_[[Check Equiparado]:[Check Equiparado]]="Sí",IF(DATOS!AX$4="Sí",(1/DATOS_[[% anualiz]:[% anualiz]]),1)*IF(DATOS!AX$5="Sí",1/DATOS_[[% normaliz]:[% normaliz]],1)*(DATOS_[Conc.Sal.20])))))))), 0)</f>
        <v>0</v>
      </c>
      <c r="AD38" s="250" t="n">
        <f aca="false" t="array" ref="AD38:AD38">IFERROR( (MEDIAN((IF(DATOS_[[Sexo]:[Sexo]]=$B38,IF(DATOS_[[AGRUP. CLAS. PROF.]:[AGRUP. CLAS. PROF.]]=$B36,IF(DATOS_[[Check Periodo Ref.]:[Check Periodo Ref.]]="Dentro",IF(DATOS_[[Check Equiparado]:[Check Equiparado]]="Sí",IF(DATOS!AY$4="Sí",(1/DATOS_[[% anualiz]:[% anualiz]]),1)*IF(DATOS!AY$5="Sí",1/DATOS_[[% normaliz]:[% normaliz]],1)*(DATOS_[Conc.Sal.21])))))))), 0)</f>
        <v>0</v>
      </c>
      <c r="AE38" s="250" t="n">
        <f aca="false" t="array" ref="AE38:AE38">IFERROR( (MEDIAN((IF(DATOS_[[Sexo]:[Sexo]]=$B38,IF(DATOS_[[AGRUP. CLAS. PROF.]:[AGRUP. CLAS. PROF.]]=$B36,IF(DATOS_[[Check Periodo Ref.]:[Check Periodo Ref.]]="Dentro",IF(DATOS_[[Check Equiparado]:[Check Equiparado]]="Sí",IF(DATOS!AZ$4="Sí",(1/DATOS_[[% anualiz]:[% anualiz]]),1)*IF(DATOS!AZ$5="Sí",1/DATOS_[[% normaliz]:[% normaliz]],1)*(DATOS_[Conc.Sal.22])))))))), 0)</f>
        <v>0</v>
      </c>
      <c r="AF38" s="250" t="n">
        <f aca="false" t="array" ref="AF38:AF38">IFERROR( (MEDIAN((IF(DATOS_[[Sexo]:[Sexo]]=$B38,IF(DATOS_[[AGRUP. CLAS. PROF.]:[AGRUP. CLAS. PROF.]]=$B36,IF(DATOS_[[Check Periodo Ref.]:[Check Periodo Ref.]]="Dentro",IF(DATOS_[[Check Equiparado]:[Check Equiparado]]="Sí",IF(DATOS!BA$4="Sí",(1/DATOS_[[% anualiz]:[% anualiz]]),1)*IF(DATOS!BA$5="Sí",1/DATOS_[[% normaliz]:[% normaliz]],1)*(DATOS_[Conc.Sal.23])))))))), 0)</f>
        <v>0</v>
      </c>
      <c r="AG38" s="250" t="n">
        <f aca="false" t="array" ref="AG38:AG38">IFERROR( (MEDIAN((IF(DATOS_[[Sexo]:[Sexo]]=$B38,IF(DATOS_[[AGRUP. CLAS. PROF.]:[AGRUP. CLAS. PROF.]]=$B36,IF(DATOS_[[Check Periodo Ref.]:[Check Periodo Ref.]]="Dentro",IF(DATOS_[[Check Equiparado]:[Check Equiparado]]="Sí",IF(DATOS!BB$4="Sí",(1/DATOS_[[% anualiz]:[% anualiz]]),1)*IF(DATOS!BB$5="Sí",1/DATOS_[[% normaliz]:[% normaliz]],1)*(DATOS_[Conc.Sal.24])))))))), 0)</f>
        <v>0</v>
      </c>
      <c r="AH38" s="250" t="n">
        <f aca="false" t="array" ref="AH38:AH38">IFERROR( (MEDIAN((IF(DATOS_[[Sexo]:[Sexo]]=$B38,IF(DATOS_[[AGRUP. CLAS. PROF.]:[AGRUP. CLAS. PROF.]]=$B36,IF(DATOS_[[Check Periodo Ref.]:[Check Periodo Ref.]]="Dentro",IF(DATOS_[[Check Equiparado]:[Check Equiparado]]="Sí",IF(DATOS!BC$4="Sí",(1/DATOS_[[% anualiz]:[% anualiz]]),1)*IF(DATOS!BC$5="Sí",1/DATOS_[[% normaliz]:[% normaliz]],1)*(DATOS_[Conc.Sal.25])))))))), 0)</f>
        <v>0</v>
      </c>
      <c r="AI38" s="250" t="n">
        <f aca="false" t="array" ref="AI38:AI38">IFERROR( (MEDIAN((IF(DATOS_[[Sexo]:[Sexo]]=$B38,IF(DATOS_[[AGRUP. CLAS. PROF.]:[AGRUP. CLAS. PROF.]]=$B36,IF(DATOS_[[Check Periodo Ref.]:[Check Periodo Ref.]]="Dentro",IF(DATOS_[[Check Equiparado]:[Check Equiparado]]="Sí",IF(DATOS!BD$4="Sí",(1/DATOS_[[% anualiz]:[% anualiz]]),1)*IF(DATOS!BD$5="Sí",1/DATOS_[[% normaliz]:[% normaliz]],1)*(DATOS_[Conc.Sal.26])))))))), 0)</f>
        <v>0</v>
      </c>
      <c r="AJ38" s="250" t="n">
        <f aca="false" t="array" ref="AJ38:AJ38">IFERROR( (MEDIAN((IF(DATOS_[[Sexo]:[Sexo]]=$B38,IF(DATOS_[[AGRUP. CLAS. PROF.]:[AGRUP. CLAS. PROF.]]=$B36,IF(DATOS_[[Check Periodo Ref.]:[Check Periodo Ref.]]="Dentro",IF(DATOS_[[Check Equiparado]:[Check Equiparado]]="Sí",IF(DATOS!BE$4="Sí",(1/DATOS_[[% anualiz]:[% anualiz]]),1)*IF(DATOS!BE$5="Sí",1/DATOS_[[% normaliz]:[% normaliz]],1)*(DATOS_[Conc.Sal.27])))))))), 0)</f>
        <v>0</v>
      </c>
      <c r="AK38" s="250" t="n">
        <f aca="false" t="array" ref="AK38:AK38">IFERROR( (MEDIAN((IF(DATOS_[[Sexo]:[Sexo]]=$B38,IF(DATOS_[[AGRUP. CLAS. PROF.]:[AGRUP. CLAS. PROF.]]=$B36,IF(DATOS_[[Check Periodo Ref.]:[Check Periodo Ref.]]="Dentro",IF(DATOS_[[Check Equiparado]:[Check Equiparado]]="Sí",IF(DATOS!BF$4="Sí",(1/DATOS_[[% anualiz]:[% anualiz]]),1)*IF(DATOS!BF$5="Sí",1/DATOS_[[% normaliz]:[% normaliz]],1)*(DATOS_[Conc.Sal.28])))))))), 0)</f>
        <v>0</v>
      </c>
      <c r="AL38" s="250" t="n">
        <f aca="false" t="array" ref="AL38:AL38">IFERROR( (MEDIAN((IF(DATOS_[[Sexo]:[Sexo]]=$B38,IF(DATOS_[[AGRUP. CLAS. PROF.]:[AGRUP. CLAS. PROF.]]=$B36,IF(DATOS_[[Check Periodo Ref.]:[Check Periodo Ref.]]="Dentro",IF(DATOS_[[Check Equiparado]:[Check Equiparado]]="Sí",IF(DATOS!BG$4="Sí",(1/DATOS_[[% anualiz]:[% anualiz]]),1)*IF(DATOS!BG$5="Sí",1/DATOS_[[% normaliz]:[% normaliz]],1)*(DATOS_[Conc.Sal.29])))))))), 0)</f>
        <v>0</v>
      </c>
      <c r="AM38" s="250" t="n">
        <f aca="false" t="array" ref="AM38:AM38">IFERROR( (MEDIAN((IF(DATOS_[[Sexo]:[Sexo]]=$B38,IF(DATOS_[[AGRUP. CLAS. PROF.]:[AGRUP. CLAS. PROF.]]=$B36,IF(DATOS_[[Check Periodo Ref.]:[Check Periodo Ref.]]="Dentro",IF(DATOS_[[Check Equiparado]:[Check Equiparado]]="Sí",IF(DATOS!BH$4="Sí",(1/DATOS_[[% anualiz]:[% anualiz]]),1)*IF(DATOS!BH$5="Sí",1/DATOS_[[% normaliz]:[% normaliz]],1)*(DATOS_[Conc.Sal.30])))))))), 0)</f>
        <v>0</v>
      </c>
      <c r="AN38" s="251" t="n">
        <f aca="false" t="array" ref="AN38:AN38">IFERROR( MEDIAN(IF(DATOS_[Sexo]=$B38,IF(DATOS_[[AGRUP. CLAS. PROF.]:[AGRUP. CLAS. PROF.]]=$B36,IF(DATOS_[Check Equiparado]="Sí",IF(DATOS_[Check Periodo Ref.]="Dentro",DATOS_[Tot COMPL.SAL Eq],0))))), 0)</f>
        <v>0</v>
      </c>
      <c r="AO38" s="252" t="n">
        <f aca="false" t="array" ref="AO38:AO38">IFERROR( MEDIAN(IF(DATOS_[Sexo]=$B38,IF(DATOS_[[AGRUP. CLAS. PROF.]:[AGRUP. CLAS. PROF.]]=$B36,IF(DATOS_[Check Equiparado]="Sí",IF(DATOS_[Check Periodo Ref.]="Dentro",DATOS_[TOTAL SALARIO Eq],0))))), 0)</f>
        <v>0</v>
      </c>
      <c r="AP38" s="259" t="n">
        <f aca="false" t="array" ref="AP38:AP38">IFERROR( (MEDIAN((IF(DATOS_[[Sexo]:[Sexo]]=$B38,IF(DATOS_[[AGRUP. CLAS. PROF.]:[AGRUP. CLAS. PROF.]]=$B37,IF(DATOS_[[Check Periodo Ref.]:[Check Periodo Ref.]]="Dentro",IF(DATOS_[[Check Equiparado]:[Check Equiparado]]="Sí",IF(DATOS!BI$4="Sí",(1/DATOS_[[% anualiz]:[% anualiz]]),1)*IF(DATOS!BI$5="Sí",1/DATOS_[[% normaliz]:[% normaliz]],1)*(DATOS_[C.Extra.01])))))))), 0)</f>
        <v>0</v>
      </c>
      <c r="AQ38" s="259" t="n">
        <f aca="false" t="array" ref="AQ38:AQ38">IFERROR( (MEDIAN((IF(DATOS_[[Sexo]:[Sexo]]=$B38,IF(DATOS_[[AGRUP. CLAS. PROF.]:[AGRUP. CLAS. PROF.]]=$B37,IF(DATOS_[[Check Periodo Ref.]:[Check Periodo Ref.]]="Dentro",IF(DATOS_[[Check Equiparado]:[Check Equiparado]]="Sí",IF(DATOS!BJ$4="Sí",(1/DATOS_[[% anualiz]:[% anualiz]]),1)*IF(DATOS!BJ$5="Sí",1/DATOS_[[% normaliz]:[% normaliz]],1)*(DATOS_[C.Extra.02])))))))), 0)</f>
        <v>0</v>
      </c>
      <c r="AR38" s="259" t="n">
        <f aca="false" t="array" ref="AR38:AR38">IFERROR( (MEDIAN((IF(DATOS_[[Sexo]:[Sexo]]=$B38,IF(DATOS_[[AGRUP. CLAS. PROF.]:[AGRUP. CLAS. PROF.]]=$B37,IF(DATOS_[[Check Periodo Ref.]:[Check Periodo Ref.]]="Dentro",IF(DATOS_[[Check Equiparado]:[Check Equiparado]]="Sí",IF(DATOS!BK$4="Sí",(1/DATOS_[[% anualiz]:[% anualiz]]),1)*IF(DATOS!BK$5="Sí",1/DATOS_[[% normaliz]:[% normaliz]],1)*(DATOS_[C.Extra.03])))))))), 0)</f>
        <v>0</v>
      </c>
      <c r="AS38" s="259" t="n">
        <f aca="false" t="array" ref="AS38:AS38">IFERROR( (MEDIAN((IF(DATOS_[[Sexo]:[Sexo]]=$B38,IF(DATOS_[[AGRUP. CLAS. PROF.]:[AGRUP. CLAS. PROF.]]=$B37,IF(DATOS_[[Check Periodo Ref.]:[Check Periodo Ref.]]="Dentro",IF(DATOS_[[Check Equiparado]:[Check Equiparado]]="Sí",IF(DATOS!BL$4="Sí",(1/DATOS_[[% anualiz]:[% anualiz]]),1)*IF(DATOS!BL$5="Sí",1/DATOS_[[% normaliz]:[% normaliz]],1)*(DATOS_[C.Extra.04])))))))), 0)</f>
        <v>0</v>
      </c>
      <c r="AT38" s="259" t="n">
        <f aca="false" t="array" ref="AT38:AT38">IFERROR( (MEDIAN((IF(DATOS_[[Sexo]:[Sexo]]=$B38,IF(DATOS_[[AGRUP. CLAS. PROF.]:[AGRUP. CLAS. PROF.]]=$B37,IF(DATOS_[[Check Periodo Ref.]:[Check Periodo Ref.]]="Dentro",IF(DATOS_[[Check Equiparado]:[Check Equiparado]]="Sí",IF(DATOS!BM$4="Sí",(1/DATOS_[[% anualiz]:[% anualiz]]),1)*IF(DATOS!BM$5="Sí",1/DATOS_[[% normaliz]:[% normaliz]],1)*(DATOS_[C.Extra.05])))))))), 0)</f>
        <v>0</v>
      </c>
      <c r="AU38" s="254" t="n">
        <f aca="false" t="array" ref="AU38:AU38">IFERROR( MEDIAN(IF(DATOS_[Sexo]=$B38,IF(DATOS_[[AGRUP. CLAS. PROF.]:[AGRUP. CLAS. PROF.]]=$B36,IF(DATOS_[Check Equiparado]="Sí",IF(DATOS_[Check Periodo Ref.]="Dentro",DATOS_[Tot Extrasalarial Eq],0))))), 0)</f>
        <v>0</v>
      </c>
      <c r="AV38" s="255" t="n">
        <f aca="false" t="array" ref="AV38:AV38">IFERROR( MEDIAN(IF(DATOS_[Sexo]=$B38,IF(DATOS_[[AGRUP. CLAS. PROF.]:[AGRUP. CLAS. PROF.]]=$B36,IF(DATOS_[Check Equiparado]="Sí",IF(DATOS_[Check Periodo Ref.]="Dentro",DATOS_[TOTAL Retrib Eq],0))))), 0)</f>
        <v>0</v>
      </c>
    </row>
    <row r="39" customFormat="false" ht="15.75" hidden="false" customHeight="false" outlineLevel="0" collapsed="false">
      <c r="A39" s="217" t="str">
        <f aca="false">+A40</f>
        <v>[ocultar]</v>
      </c>
      <c r="B39" s="320" t="s">
        <v>192</v>
      </c>
      <c r="C39" s="236"/>
      <c r="D39" s="237"/>
      <c r="E39" s="237"/>
      <c r="F39" s="237"/>
      <c r="G39" s="237"/>
      <c r="H39" s="237"/>
      <c r="I39" s="238"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39" t="str">
        <f aca="false">IFERROR((V40-V41)/V40,"")</f>
        <v/>
      </c>
      <c r="W39" s="239" t="str">
        <f aca="false">IFERROR((W40-W41)/W40,"")</f>
        <v/>
      </c>
      <c r="X39" s="239" t="str">
        <f aca="false">IFERROR((X40-X41)/X40,"")</f>
        <v/>
      </c>
      <c r="Y39" s="239"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0" t="str">
        <f aca="false">IFERROR((AJ40-AJ41)/AJ40,"")</f>
        <v/>
      </c>
      <c r="AK39" s="240" t="str">
        <f aca="false">IFERROR((AK40-AK41)/AK40,"")</f>
        <v/>
      </c>
      <c r="AL39" s="240" t="str">
        <f aca="false">IFERROR((AL40-AL41)/AL40,"")</f>
        <v/>
      </c>
      <c r="AM39" s="240" t="str">
        <f aca="false">IFERROR((AM40-AM41)/AM40,"")</f>
        <v/>
      </c>
      <c r="AN39" s="241" t="str">
        <f aca="false">IFERROR((AN40-AN41)/AN40,"")</f>
        <v/>
      </c>
      <c r="AO39" s="242" t="str">
        <f aca="false">IFERROR((AO40-AO41)/AO40,"")</f>
        <v/>
      </c>
      <c r="AP39" s="243" t="str">
        <f aca="false">IFERROR((AP40-AP41)/AP40,"")</f>
        <v/>
      </c>
      <c r="AQ39" s="243" t="str">
        <f aca="false">IFERROR((AQ40-AQ41)/AQ40,"")</f>
        <v/>
      </c>
      <c r="AR39" s="243" t="str">
        <f aca="false">IFERROR((AR40-AR41)/AR40,"")</f>
        <v/>
      </c>
      <c r="AS39" s="243" t="str">
        <f aca="false">IFERROR((AS40-AS41)/AS40,"")</f>
        <v/>
      </c>
      <c r="AT39" s="243" t="str">
        <f aca="false">IFERROR((AT40-AT41)/AT40,"")</f>
        <v/>
      </c>
      <c r="AU39" s="244" t="str">
        <f aca="false">IFERROR((AU40-AU41)/AU40,"")</f>
        <v/>
      </c>
      <c r="AV39" s="245" t="str">
        <f aca="false">IFERROR((AV40-AV41)/AV40,"")</f>
        <v/>
      </c>
    </row>
    <row r="40" customFormat="false" ht="14.25" hidden="false" customHeight="false" outlineLevel="0" collapsed="false">
      <c r="A40" s="217" t="str">
        <f aca="false">+IF(C40+C41=0,"[ocultar]","")</f>
        <v>[ocultar]</v>
      </c>
      <c r="B40" s="323" t="s">
        <v>371</v>
      </c>
      <c r="C40" s="247" t="n">
        <f aca="false" t="array" ref="C40:C40">SUM(IF($B40=DATOS_[Sexo], IF($B39=DATOS_[AGRUP. CLAS. PROF.], IF("Dentro"=DATOS_[Check Periodo Ref.], 1/(COUNTIFS(DATOS_[Sexo],$B40,DATOS_[AGRUP. CLAS. PROF.],$B39,DATOS_[Check Periodo Ref.],"Dentro",DATOS_[id],DATOS_[id]))))))</f>
        <v>0</v>
      </c>
      <c r="D40" s="248" t="n">
        <f aca="false">COUNTIFS(DATOS_[AGRUP. CLAS. PROF.],$B39,DATOS_[Sexo],$B40,DATOS_[Check Periodo Ref.],"Dentro")</f>
        <v>0</v>
      </c>
      <c r="E40" s="248" t="n">
        <f aca="false">COUNTIFS(DATOS_[AGRUP. CLAS. PROF.],$B39,DATOS_[Sexo],$B40,DATOS_[Check Periodo Ref.],"Dentro",DATOS_[Check Nº SC Norm],"Sí")</f>
        <v>0</v>
      </c>
      <c r="F40" s="248" t="n">
        <f aca="false">COUNTIFS(DATOS_[AGRUP. CLAS. PROF.],$B39,DATOS_[Sexo],$B40,DATOS_[Check Periodo Ref.],"Dentro",DATOS_[Check Nº SC Anualiz],"Sí")</f>
        <v>0</v>
      </c>
      <c r="G40" s="248" t="n">
        <f aca="false">COUNTIFS(DATOS_[AGRUP. CLAS. PROF.],$B39,DATOS_[Sexo],$B40,DATOS_[Check Periodo Ref.],"Dentro",DATOS_[Check Nº SC Norm y Anualiz],"Sí")</f>
        <v>0</v>
      </c>
      <c r="H40" s="248" t="n">
        <f aca="false">COUNTIFS(DATOS_[AGRUP. CLAS. PROF.],$B39,DATOS_[Sexo],$B40,DATOS_[Check Periodo Ref.],"Dentro",DATOS_[Check Equiparación],"Sí")</f>
        <v>0</v>
      </c>
      <c r="I40" s="249" t="n">
        <f aca="false" t="array" ref="I40:I40">IFERROR( MEDIAN(IF(DATOS_[Sexo]=$B40,IF(DATOS_[[AGRUP. CLAS. PROF.]:[AGRUP. CLAS. PROF.]]=$B39,IF(DATOS_[Check Equiparado]="Sí",IF(DATOS_[Check Periodo Ref.]="Dentro",DATOS_[SALARIO BASE Eq],0))))), 0)</f>
        <v>0</v>
      </c>
      <c r="J40" s="250" t="n">
        <f aca="false" t="array" ref="J40:J40">IFERROR( (MEDIAN((IF(DATOS_[[Sexo]:[Sexo]]=$B40,IF(DATOS_[[AGRUP. CLAS. PROF.]:[AGRUP. CLAS. PROF.]]=$B39,IF(DATOS_[[Check Periodo Ref.]:[Check Periodo Ref.]]="Dentro",IF(DATOS_[[Check Equiparado]:[Check Equiparado]]="Sí",IF(DATOS!AE$4="Sí",(1/DATOS_[[% anualiz]:[% anualiz]]),1)*IF(DATOS!AE$5="Sí",1/DATOS_[[% normaliz]:[% normaliz]],1)*(DATOS_[Conc.Sal.01])))))))), 0)</f>
        <v>0</v>
      </c>
      <c r="K40" s="250" t="n">
        <f aca="false" t="array" ref="K40:K40">IFERROR( (MEDIAN((IF(DATOS_[[Sexo]:[Sexo]]=$B40,IF(DATOS_[[AGRUP. CLAS. PROF.]:[AGRUP. CLAS. PROF.]]=$B39,IF(DATOS_[[Check Periodo Ref.]:[Check Periodo Ref.]]="Dentro",IF(DATOS_[[Check Equiparado]:[Check Equiparado]]="Sí",IF(DATOS!AF$4="Sí",(1/DATOS_[[% anualiz]:[% anualiz]]),1)*IF(DATOS!AF$5="Sí",1/DATOS_[[% normaliz]:[% normaliz]],1)*(DATOS_[Conc.Sal.02])))))))), 0)</f>
        <v>0</v>
      </c>
      <c r="L40" s="250" t="n">
        <f aca="false" t="array" ref="L40:L40">IFERROR( (MEDIAN((IF(DATOS_[[Sexo]:[Sexo]]=$B40,IF(DATOS_[[AGRUP. CLAS. PROF.]:[AGRUP. CLAS. PROF.]]=$B39,IF(DATOS_[[Check Periodo Ref.]:[Check Periodo Ref.]]="Dentro",IF(DATOS_[[Check Equiparado]:[Check Equiparado]]="Sí",IF(DATOS!AG$4="Sí",(1/DATOS_[[% anualiz]:[% anualiz]]),1)*IF(DATOS!AG$5="Sí",1/DATOS_[[% normaliz]:[% normaliz]],1)*(DATOS_[Conc.Sal.03])))))))), 0)</f>
        <v>0</v>
      </c>
      <c r="M40" s="250" t="n">
        <f aca="false" t="array" ref="M40:M40">IFERROR( (MEDIAN((IF(DATOS_[[Sexo]:[Sexo]]=$B40,IF(DATOS_[[AGRUP. CLAS. PROF.]:[AGRUP. CLAS. PROF.]]=$B39,IF(DATOS_[[Check Periodo Ref.]:[Check Periodo Ref.]]="Dentro",IF(DATOS_[[Check Equiparado]:[Check Equiparado]]="Sí",IF(DATOS!AH$4="Sí",(1/DATOS_[[% anualiz]:[% anualiz]]),1)*IF(DATOS!AH$5="Sí",1/DATOS_[[% normaliz]:[% normaliz]],1)*(DATOS_[Conc.Sal.04])))))))), 0)</f>
        <v>0</v>
      </c>
      <c r="N40" s="250" t="n">
        <f aca="false" t="array" ref="N40:N40">IFERROR( (MEDIAN((IF(DATOS_[[Sexo]:[Sexo]]=$B40,IF(DATOS_[[AGRUP. CLAS. PROF.]:[AGRUP. CLAS. PROF.]]=$B39,IF(DATOS_[[Check Periodo Ref.]:[Check Periodo Ref.]]="Dentro",IF(DATOS_[[Check Equiparado]:[Check Equiparado]]="Sí",IF(DATOS!AI$4="Sí",(1/DATOS_[[% anualiz]:[% anualiz]]),1)*IF(DATOS!AI$5="Sí",1/DATOS_[[% normaliz]:[% normaliz]],1)*(DATOS_[Conc.Sal.05])))))))), 0)</f>
        <v>0</v>
      </c>
      <c r="O40" s="250" t="n">
        <f aca="false" t="array" ref="O40:O40">IFERROR( (MEDIAN((IF(DATOS_[[Sexo]:[Sexo]]=$B40,IF(DATOS_[[AGRUP. CLAS. PROF.]:[AGRUP. CLAS. PROF.]]=$B39,IF(DATOS_[[Check Periodo Ref.]:[Check Periodo Ref.]]="Dentro",IF(DATOS_[[Check Equiparado]:[Check Equiparado]]="Sí",IF(DATOS!AJ$4="Sí",(1/DATOS_[[% anualiz]:[% anualiz]]),1)*IF(DATOS!AJ$5="Sí",1/DATOS_[[% normaliz]:[% normaliz]],1)*(DATOS_[Conc.Sal.06])))))))), 0)</f>
        <v>0</v>
      </c>
      <c r="P40" s="250" t="n">
        <f aca="false" t="array" ref="P40:P40">IFERROR( (MEDIAN((IF(DATOS_[[Sexo]:[Sexo]]=$B40,IF(DATOS_[[AGRUP. CLAS. PROF.]:[AGRUP. CLAS. PROF.]]=$B39,IF(DATOS_[[Check Periodo Ref.]:[Check Periodo Ref.]]="Dentro",IF(DATOS_[[Check Equiparado]:[Check Equiparado]]="Sí",IF(DATOS!AK$4="Sí",(1/DATOS_[[% anualiz]:[% anualiz]]),1)*IF(DATOS!AK$5="Sí",1/DATOS_[[% normaliz]:[% normaliz]],1)*(DATOS_[Conc.Sal.07])))))))), 0)</f>
        <v>0</v>
      </c>
      <c r="Q40" s="250" t="n">
        <f aca="false" t="array" ref="Q40:Q40">IFERROR( (MEDIAN((IF(DATOS_[[Sexo]:[Sexo]]=$B40,IF(DATOS_[[AGRUP. CLAS. PROF.]:[AGRUP. CLAS. PROF.]]=$B39,IF(DATOS_[[Check Periodo Ref.]:[Check Periodo Ref.]]="Dentro",IF(DATOS_[[Check Equiparado]:[Check Equiparado]]="Sí",IF(DATOS!AL$4="Sí",(1/DATOS_[[% anualiz]:[% anualiz]]),1)*IF(DATOS!AL$5="Sí",1/DATOS_[[% normaliz]:[% normaliz]],1)*(DATOS_[Conc.Sal.08])))))))), 0)</f>
        <v>0</v>
      </c>
      <c r="R40" s="250" t="n">
        <f aca="false" t="array" ref="R40:R40">IFERROR( (MEDIAN((IF(DATOS_[[Sexo]:[Sexo]]=$B40,IF(DATOS_[[AGRUP. CLAS. PROF.]:[AGRUP. CLAS. PROF.]]=$B39,IF(DATOS_[[Check Periodo Ref.]:[Check Periodo Ref.]]="Dentro",IF(DATOS_[[Check Equiparado]:[Check Equiparado]]="Sí",IF(DATOS!AM$4="Sí",(1/DATOS_[[% anualiz]:[% anualiz]]),1)*IF(DATOS!AM$5="Sí",1/DATOS_[[% normaliz]:[% normaliz]],1)*(DATOS_[Conc.Sal.09])))))))), 0)</f>
        <v>0</v>
      </c>
      <c r="S40" s="250" t="n">
        <f aca="false" t="array" ref="S40:S40">IFERROR( (MEDIAN((IF(DATOS_[[Sexo]:[Sexo]]=$B40,IF(DATOS_[[AGRUP. CLAS. PROF.]:[AGRUP. CLAS. PROF.]]=$B39,IF(DATOS_[[Check Periodo Ref.]:[Check Periodo Ref.]]="Dentro",IF(DATOS_[[Check Equiparado]:[Check Equiparado]]="Sí",IF(DATOS!AN$4="Sí",(1/DATOS_[[% anualiz]:[% anualiz]]),1)*IF(DATOS!AN$5="Sí",1/DATOS_[[% normaliz]:[% normaliz]],1)*(DATOS_[Conc.Sal.10])))))))), 0)</f>
        <v>0</v>
      </c>
      <c r="T40" s="250" t="n">
        <f aca="false" t="array" ref="T40:T40">IFERROR( (MEDIAN((IF(DATOS_[[Sexo]:[Sexo]]=$B40,IF(DATOS_[[AGRUP. CLAS. PROF.]:[AGRUP. CLAS. PROF.]]=$B39,IF(DATOS_[[Check Periodo Ref.]:[Check Periodo Ref.]]="Dentro",IF(DATOS_[[Check Equiparado]:[Check Equiparado]]="Sí",IF(DATOS!AO$4="Sí",(1/DATOS_[[% anualiz]:[% anualiz]]),1)*IF(DATOS!AO$5="Sí",1/DATOS_[[% normaliz]:[% normaliz]],1)*(DATOS_[Conc.Sal.11])))))))), 0)</f>
        <v>0</v>
      </c>
      <c r="U40" s="250" t="n">
        <f aca="false" t="array" ref="U40:U40">IFERROR( (MEDIAN((IF(DATOS_[[Sexo]:[Sexo]]=$B40,IF(DATOS_[[AGRUP. CLAS. PROF.]:[AGRUP. CLAS. PROF.]]=$B39,IF(DATOS_[[Check Periodo Ref.]:[Check Periodo Ref.]]="Dentro",IF(DATOS_[[Check Equiparado]:[Check Equiparado]]="Sí",IF(DATOS!AP$4="Sí",(1/DATOS_[[% anualiz]:[% anualiz]]),1)*IF(DATOS!AP$5="Sí",1/DATOS_[[% normaliz]:[% normaliz]],1)*(DATOS_[Conc.Sal.12])))))))), 0)</f>
        <v>0</v>
      </c>
      <c r="V40" s="250" t="n">
        <f aca="false" t="array" ref="V40:V40">IFERROR( (MEDIAN((IF(DATOS_[[Sexo]:[Sexo]]=$B40,IF(DATOS_[[AGRUP. CLAS. PROF.]:[AGRUP. CLAS. PROF.]]=$B39,IF(DATOS_[[Check Periodo Ref.]:[Check Periodo Ref.]]="Dentro",IF(DATOS_[[Check Equiparado]:[Check Equiparado]]="Sí",IF(DATOS!AQ$4="Sí",(1/DATOS_[[% anualiz]:[% anualiz]]),1)*IF(DATOS!AQ$5="Sí",1/DATOS_[[% normaliz]:[% normaliz]],1)*(DATOS_[Conc.Sal.13])))))))), 0)</f>
        <v>0</v>
      </c>
      <c r="W40" s="250" t="n">
        <f aca="false" t="array" ref="W40:W40">IFERROR( (MEDIAN((IF(DATOS_[[Sexo]:[Sexo]]=$B40,IF(DATOS_[[AGRUP. CLAS. PROF.]:[AGRUP. CLAS. PROF.]]=$B39,IF(DATOS_[[Check Periodo Ref.]:[Check Periodo Ref.]]="Dentro",IF(DATOS_[[Check Equiparado]:[Check Equiparado]]="Sí",IF(DATOS!AR$4="Sí",(1/DATOS_[[% anualiz]:[% anualiz]]),1)*IF(DATOS!AR$5="Sí",1/DATOS_[[% normaliz]:[% normaliz]],1)*(DATOS_[Conc.Sal.14])))))))), 0)</f>
        <v>0</v>
      </c>
      <c r="X40" s="250" t="n">
        <f aca="false" t="array" ref="X40:X40">IFERROR( (MEDIAN((IF(DATOS_[[Sexo]:[Sexo]]=$B40,IF(DATOS_[[AGRUP. CLAS. PROF.]:[AGRUP. CLAS. PROF.]]=$B39,IF(DATOS_[[Check Periodo Ref.]:[Check Periodo Ref.]]="Dentro",IF(DATOS_[[Check Equiparado]:[Check Equiparado]]="Sí",IF(DATOS!AS$4="Sí",(1/DATOS_[[% anualiz]:[% anualiz]]),1)*IF(DATOS!AS$5="Sí",1/DATOS_[[% normaliz]:[% normaliz]],1)*(DATOS_[Conc.Sal.15])))))))), 0)</f>
        <v>0</v>
      </c>
      <c r="Y40" s="250" t="n">
        <f aca="false" t="array" ref="Y40:Y40">IFERROR( (MEDIAN((IF(DATOS_[[Sexo]:[Sexo]]=$B40,IF(DATOS_[[AGRUP. CLAS. PROF.]:[AGRUP. CLAS. PROF.]]=$B39,IF(DATOS_[[Check Periodo Ref.]:[Check Periodo Ref.]]="Dentro",IF(DATOS_[[Check Equiparado]:[Check Equiparado]]="Sí",IF(DATOS!AT$4="Sí",(1/DATOS_[[% anualiz]:[% anualiz]]),1)*IF(DATOS!AT$5="Sí",1/DATOS_[[% normaliz]:[% normaliz]],1)*(DATOS_[Conc.Sal.16])))))))), 0)</f>
        <v>0</v>
      </c>
      <c r="Z40" s="250" t="n">
        <f aca="false" t="array" ref="Z40:Z40">IFERROR( (MEDIAN((IF(DATOS_[[Sexo]:[Sexo]]=$B40,IF(DATOS_[[AGRUP. CLAS. PROF.]:[AGRUP. CLAS. PROF.]]=$B39,IF(DATOS_[[Check Periodo Ref.]:[Check Periodo Ref.]]="Dentro",IF(DATOS_[[Check Equiparado]:[Check Equiparado]]="Sí",IF(DATOS!AU$4="Sí",(1/DATOS_[[% anualiz]:[% anualiz]]),1)*IF(DATOS!AU$5="Sí",1/DATOS_[[% normaliz]:[% normaliz]],1)*(DATOS_[Conc.Sal.17])))))))), 0)</f>
        <v>0</v>
      </c>
      <c r="AA40" s="250" t="n">
        <f aca="false" t="array" ref="AA40:AA40">IFERROR( (MEDIAN((IF(DATOS_[[Sexo]:[Sexo]]=$B40,IF(DATOS_[[AGRUP. CLAS. PROF.]:[AGRUP. CLAS. PROF.]]=$B39,IF(DATOS_[[Check Periodo Ref.]:[Check Periodo Ref.]]="Dentro",IF(DATOS_[[Check Equiparado]:[Check Equiparado]]="Sí",IF(DATOS!AV$4="Sí",(1/DATOS_[[% anualiz]:[% anualiz]]),1)*IF(DATOS!AV$5="Sí",1/DATOS_[[% normaliz]:[% normaliz]],1)*(DATOS_[Conc.Sal.18])))))))), 0)</f>
        <v>0</v>
      </c>
      <c r="AB40" s="250" t="n">
        <f aca="false" t="array" ref="AB40:AB40">IFERROR( (MEDIAN((IF(DATOS_[[Sexo]:[Sexo]]=$B40,IF(DATOS_[[AGRUP. CLAS. PROF.]:[AGRUP. CLAS. PROF.]]=$B39,IF(DATOS_[[Check Periodo Ref.]:[Check Periodo Ref.]]="Dentro",IF(DATOS_[[Check Equiparado]:[Check Equiparado]]="Sí",IF(DATOS!AW$4="Sí",(1/DATOS_[[% anualiz]:[% anualiz]]),1)*IF(DATOS!AW$5="Sí",1/DATOS_[[% normaliz]:[% normaliz]],1)*(DATOS_[Conc.Sal.19])))))))), 0)</f>
        <v>0</v>
      </c>
      <c r="AC40" s="250" t="n">
        <f aca="false" t="array" ref="AC40:AC40">IFERROR( (MEDIAN((IF(DATOS_[[Sexo]:[Sexo]]=$B40,IF(DATOS_[[AGRUP. CLAS. PROF.]:[AGRUP. CLAS. PROF.]]=$B39,IF(DATOS_[[Check Periodo Ref.]:[Check Periodo Ref.]]="Dentro",IF(DATOS_[[Check Equiparado]:[Check Equiparado]]="Sí",IF(DATOS!AX$4="Sí",(1/DATOS_[[% anualiz]:[% anualiz]]),1)*IF(DATOS!AX$5="Sí",1/DATOS_[[% normaliz]:[% normaliz]],1)*(DATOS_[Conc.Sal.20])))))))), 0)</f>
        <v>0</v>
      </c>
      <c r="AD40" s="250" t="n">
        <f aca="false" t="array" ref="AD40:AD40">IFERROR( (MEDIAN((IF(DATOS_[[Sexo]:[Sexo]]=$B40,IF(DATOS_[[AGRUP. CLAS. PROF.]:[AGRUP. CLAS. PROF.]]=$B39,IF(DATOS_[[Check Periodo Ref.]:[Check Periodo Ref.]]="Dentro",IF(DATOS_[[Check Equiparado]:[Check Equiparado]]="Sí",IF(DATOS!AY$4="Sí",(1/DATOS_[[% anualiz]:[% anualiz]]),1)*IF(DATOS!AY$5="Sí",1/DATOS_[[% normaliz]:[% normaliz]],1)*(DATOS_[Conc.Sal.21])))))))), 0)</f>
        <v>0</v>
      </c>
      <c r="AE40" s="250" t="n">
        <f aca="false" t="array" ref="AE40:AE40">IFERROR( (MEDIAN((IF(DATOS_[[Sexo]:[Sexo]]=$B40,IF(DATOS_[[AGRUP. CLAS. PROF.]:[AGRUP. CLAS. PROF.]]=$B39,IF(DATOS_[[Check Periodo Ref.]:[Check Periodo Ref.]]="Dentro",IF(DATOS_[[Check Equiparado]:[Check Equiparado]]="Sí",IF(DATOS!AZ$4="Sí",(1/DATOS_[[% anualiz]:[% anualiz]]),1)*IF(DATOS!AZ$5="Sí",1/DATOS_[[% normaliz]:[% normaliz]],1)*(DATOS_[Conc.Sal.22])))))))), 0)</f>
        <v>0</v>
      </c>
      <c r="AF40" s="250" t="n">
        <f aca="false" t="array" ref="AF40:AF40">IFERROR( (MEDIAN((IF(DATOS_[[Sexo]:[Sexo]]=$B40,IF(DATOS_[[AGRUP. CLAS. PROF.]:[AGRUP. CLAS. PROF.]]=$B39,IF(DATOS_[[Check Periodo Ref.]:[Check Periodo Ref.]]="Dentro",IF(DATOS_[[Check Equiparado]:[Check Equiparado]]="Sí",IF(DATOS!BA$4="Sí",(1/DATOS_[[% anualiz]:[% anualiz]]),1)*IF(DATOS!BA$5="Sí",1/DATOS_[[% normaliz]:[% normaliz]],1)*(DATOS_[Conc.Sal.23])))))))), 0)</f>
        <v>0</v>
      </c>
      <c r="AG40" s="250" t="n">
        <f aca="false" t="array" ref="AG40:AG40">IFERROR( (MEDIAN((IF(DATOS_[[Sexo]:[Sexo]]=$B40,IF(DATOS_[[AGRUP. CLAS. PROF.]:[AGRUP. CLAS. PROF.]]=$B39,IF(DATOS_[[Check Periodo Ref.]:[Check Periodo Ref.]]="Dentro",IF(DATOS_[[Check Equiparado]:[Check Equiparado]]="Sí",IF(DATOS!BB$4="Sí",(1/DATOS_[[% anualiz]:[% anualiz]]),1)*IF(DATOS!BB$5="Sí",1/DATOS_[[% normaliz]:[% normaliz]],1)*(DATOS_[Conc.Sal.24])))))))), 0)</f>
        <v>0</v>
      </c>
      <c r="AH40" s="250" t="n">
        <f aca="false" t="array" ref="AH40:AH40">IFERROR( (MEDIAN((IF(DATOS_[[Sexo]:[Sexo]]=$B40,IF(DATOS_[[AGRUP. CLAS. PROF.]:[AGRUP. CLAS. PROF.]]=$B39,IF(DATOS_[[Check Periodo Ref.]:[Check Periodo Ref.]]="Dentro",IF(DATOS_[[Check Equiparado]:[Check Equiparado]]="Sí",IF(DATOS!BC$4="Sí",(1/DATOS_[[% anualiz]:[% anualiz]]),1)*IF(DATOS!BC$5="Sí",1/DATOS_[[% normaliz]:[% normaliz]],1)*(DATOS_[Conc.Sal.25])))))))), 0)</f>
        <v>0</v>
      </c>
      <c r="AI40" s="250" t="n">
        <f aca="false" t="array" ref="AI40:AI40">IFERROR( (MEDIAN((IF(DATOS_[[Sexo]:[Sexo]]=$B40,IF(DATOS_[[AGRUP. CLAS. PROF.]:[AGRUP. CLAS. PROF.]]=$B39,IF(DATOS_[[Check Periodo Ref.]:[Check Periodo Ref.]]="Dentro",IF(DATOS_[[Check Equiparado]:[Check Equiparado]]="Sí",IF(DATOS!BD$4="Sí",(1/DATOS_[[% anualiz]:[% anualiz]]),1)*IF(DATOS!BD$5="Sí",1/DATOS_[[% normaliz]:[% normaliz]],1)*(DATOS_[Conc.Sal.26])))))))), 0)</f>
        <v>0</v>
      </c>
      <c r="AJ40" s="250" t="n">
        <f aca="false" t="array" ref="AJ40:AJ40">IFERROR( (MEDIAN((IF(DATOS_[[Sexo]:[Sexo]]=$B40,IF(DATOS_[[AGRUP. CLAS. PROF.]:[AGRUP. CLAS. PROF.]]=$B39,IF(DATOS_[[Check Periodo Ref.]:[Check Periodo Ref.]]="Dentro",IF(DATOS_[[Check Equiparado]:[Check Equiparado]]="Sí",IF(DATOS!BE$4="Sí",(1/DATOS_[[% anualiz]:[% anualiz]]),1)*IF(DATOS!BE$5="Sí",1/DATOS_[[% normaliz]:[% normaliz]],1)*(DATOS_[Conc.Sal.27])))))))), 0)</f>
        <v>0</v>
      </c>
      <c r="AK40" s="250" t="n">
        <f aca="false" t="array" ref="AK40:AK40">IFERROR( (MEDIAN((IF(DATOS_[[Sexo]:[Sexo]]=$B40,IF(DATOS_[[AGRUP. CLAS. PROF.]:[AGRUP. CLAS. PROF.]]=$B39,IF(DATOS_[[Check Periodo Ref.]:[Check Periodo Ref.]]="Dentro",IF(DATOS_[[Check Equiparado]:[Check Equiparado]]="Sí",IF(DATOS!BF$4="Sí",(1/DATOS_[[% anualiz]:[% anualiz]]),1)*IF(DATOS!BF$5="Sí",1/DATOS_[[% normaliz]:[% normaliz]],1)*(DATOS_[Conc.Sal.28])))))))), 0)</f>
        <v>0</v>
      </c>
      <c r="AL40" s="250" t="n">
        <f aca="false" t="array" ref="AL40:AL40">IFERROR( (MEDIAN((IF(DATOS_[[Sexo]:[Sexo]]=$B40,IF(DATOS_[[AGRUP. CLAS. PROF.]:[AGRUP. CLAS. PROF.]]=$B39,IF(DATOS_[[Check Periodo Ref.]:[Check Periodo Ref.]]="Dentro",IF(DATOS_[[Check Equiparado]:[Check Equiparado]]="Sí",IF(DATOS!BG$4="Sí",(1/DATOS_[[% anualiz]:[% anualiz]]),1)*IF(DATOS!BG$5="Sí",1/DATOS_[[% normaliz]:[% normaliz]],1)*(DATOS_[Conc.Sal.29])))))))), 0)</f>
        <v>0</v>
      </c>
      <c r="AM40" s="250" t="n">
        <f aca="false" t="array" ref="AM40:AM40">IFERROR( (MEDIAN((IF(DATOS_[[Sexo]:[Sexo]]=$B40,IF(DATOS_[[AGRUP. CLAS. PROF.]:[AGRUP. CLAS. PROF.]]=$B39,IF(DATOS_[[Check Periodo Ref.]:[Check Periodo Ref.]]="Dentro",IF(DATOS_[[Check Equiparado]:[Check Equiparado]]="Sí",IF(DATOS!BH$4="Sí",(1/DATOS_[[% anualiz]:[% anualiz]]),1)*IF(DATOS!BH$5="Sí",1/DATOS_[[% normaliz]:[% normaliz]],1)*(DATOS_[Conc.Sal.30])))))))), 0)</f>
        <v>0</v>
      </c>
      <c r="AN40" s="251" t="n">
        <f aca="false" t="array" ref="AN40:AN40">IFERROR( MEDIAN(IF(DATOS_[Sexo]=$B40,IF(DATOS_[[AGRUP. CLAS. PROF.]:[AGRUP. CLAS. PROF.]]=$B39,IF(DATOS_[Check Equiparado]="Sí",IF(DATOS_[Check Periodo Ref.]="Dentro",DATOS_[Tot COMPL.SAL Eq],0))))), 0)</f>
        <v>0</v>
      </c>
      <c r="AO40" s="252" t="n">
        <f aca="false" t="array" ref="AO40:AO40">IFERROR( MEDIAN(IF(DATOS_[Sexo]=$B40,IF(DATOS_[[AGRUP. CLAS. PROF.]:[AGRUP. CLAS. PROF.]]=$B39,IF(DATOS_[Check Equiparado]="Sí",IF(DATOS_[Check Periodo Ref.]="Dentro",DATOS_[TOTAL SALARIO Eq],0))))), 0)</f>
        <v>0</v>
      </c>
      <c r="AP40" s="259" t="n">
        <f aca="false" t="array" ref="AP40:AP40">IFERROR( (MEDIAN((IF(DATOS_[[Sexo]:[Sexo]]=$B40,IF(DATOS_[[AGRUP. CLAS. PROF.]:[AGRUP. CLAS. PROF.]]=$B39,IF(DATOS_[[Check Periodo Ref.]:[Check Periodo Ref.]]="Dentro",IF(DATOS_[[Check Equiparado]:[Check Equiparado]]="Sí",IF(DATOS!BI$4="Sí",(1/DATOS_[[% anualiz]:[% anualiz]]),1)*IF(DATOS!BI$5="Sí",1/DATOS_[[% normaliz]:[% normaliz]],1)*(DATOS_[C.Extra.01])))))))), 0)</f>
        <v>0</v>
      </c>
      <c r="AQ40" s="259" t="n">
        <f aca="false" t="array" ref="AQ40:AQ40">IFERROR( (MEDIAN((IF(DATOS_[[Sexo]:[Sexo]]=$B40,IF(DATOS_[[AGRUP. CLAS. PROF.]:[AGRUP. CLAS. PROF.]]=$B39,IF(DATOS_[[Check Periodo Ref.]:[Check Periodo Ref.]]="Dentro",IF(DATOS_[[Check Equiparado]:[Check Equiparado]]="Sí",IF(DATOS!BJ$4="Sí",(1/DATOS_[[% anualiz]:[% anualiz]]),1)*IF(DATOS!BJ$5="Sí",1/DATOS_[[% normaliz]:[% normaliz]],1)*(DATOS_[C.Extra.02])))))))), 0)</f>
        <v>0</v>
      </c>
      <c r="AR40" s="259" t="n">
        <f aca="false" t="array" ref="AR40:AR40">IFERROR( (MEDIAN((IF(DATOS_[[Sexo]:[Sexo]]=$B40,IF(DATOS_[[AGRUP. CLAS. PROF.]:[AGRUP. CLAS. PROF.]]=$B39,IF(DATOS_[[Check Periodo Ref.]:[Check Periodo Ref.]]="Dentro",IF(DATOS_[[Check Equiparado]:[Check Equiparado]]="Sí",IF(DATOS!BK$4="Sí",(1/DATOS_[[% anualiz]:[% anualiz]]),1)*IF(DATOS!BK$5="Sí",1/DATOS_[[% normaliz]:[% normaliz]],1)*(DATOS_[C.Extra.03])))))))), 0)</f>
        <v>0</v>
      </c>
      <c r="AS40" s="259" t="n">
        <f aca="false" t="array" ref="AS40:AS40">IFERROR( (MEDIAN((IF(DATOS_[[Sexo]:[Sexo]]=$B40,IF(DATOS_[[AGRUP. CLAS. PROF.]:[AGRUP. CLAS. PROF.]]=$B39,IF(DATOS_[[Check Periodo Ref.]:[Check Periodo Ref.]]="Dentro",IF(DATOS_[[Check Equiparado]:[Check Equiparado]]="Sí",IF(DATOS!BL$4="Sí",(1/DATOS_[[% anualiz]:[% anualiz]]),1)*IF(DATOS!BL$5="Sí",1/DATOS_[[% normaliz]:[% normaliz]],1)*(DATOS_[C.Extra.04])))))))), 0)</f>
        <v>0</v>
      </c>
      <c r="AT40" s="259" t="n">
        <f aca="false" t="array" ref="AT40:AT40">IFERROR( (MEDIAN((IF(DATOS_[[Sexo]:[Sexo]]=$B40,IF(DATOS_[[AGRUP. CLAS. PROF.]:[AGRUP. CLAS. PROF.]]=$B39,IF(DATOS_[[Check Periodo Ref.]:[Check Periodo Ref.]]="Dentro",IF(DATOS_[[Check Equiparado]:[Check Equiparado]]="Sí",IF(DATOS!BM$4="Sí",(1/DATOS_[[% anualiz]:[% anualiz]]),1)*IF(DATOS!BM$5="Sí",1/DATOS_[[% normaliz]:[% normaliz]],1)*(DATOS_[C.Extra.05])))))))), 0)</f>
        <v>0</v>
      </c>
      <c r="AU40" s="254" t="n">
        <f aca="false" t="array" ref="AU40:AU40">IFERROR( MEDIAN(IF(DATOS_[Sexo]=$B40,IF(DATOS_[[AGRUP. CLAS. PROF.]:[AGRUP. CLAS. PROF.]]=$B39,IF(DATOS_[Check Equiparado]="Sí",IF(DATOS_[Check Periodo Ref.]="Dentro",DATOS_[Tot Extrasalarial Eq],0))))), 0)</f>
        <v>0</v>
      </c>
      <c r="AV40" s="255" t="n">
        <f aca="false" t="array" ref="AV40:AV40">IFERROR( MEDIAN(IF(DATOS_[Sexo]=$B40,IF(DATOS_[[AGRUP. CLAS. PROF.]:[AGRUP. CLAS. PROF.]]=$B39,IF(DATOS_[Check Equiparado]="Sí",IF(DATOS_[Check Periodo Ref.]="Dentro",DATOS_[TOTAL Retrib Eq],0))))), 0)</f>
        <v>0</v>
      </c>
    </row>
    <row r="41" customFormat="false" ht="14.25" hidden="false" customHeight="false" outlineLevel="0" collapsed="false">
      <c r="A41" s="217" t="str">
        <f aca="false">+A40</f>
        <v>[ocultar]</v>
      </c>
      <c r="B41" s="323" t="s">
        <v>372</v>
      </c>
      <c r="C41" s="247" t="n">
        <f aca="false" t="array" ref="C41:C41">SUM(IF($B41=DATOS_[Sexo], IF($B39=DATOS_[AGRUP. CLAS. PROF.], IF("Dentro"=DATOS_[Check Periodo Ref.], 1/(COUNTIFS(DATOS_[Sexo],$B41,DATOS_[AGRUP. CLAS. PROF.],$B39,DATOS_[Check Periodo Ref.],"Dentro",DATOS_[id],DATOS_[id]))))))</f>
        <v>0</v>
      </c>
      <c r="D41" s="248" t="n">
        <f aca="false">COUNTIFS(DATOS_[AGRUP. CLAS. PROF.],$B39,DATOS_[Sexo],$B41,DATOS_[Check Periodo Ref.],"Dentro")</f>
        <v>0</v>
      </c>
      <c r="E41" s="248" t="n">
        <f aca="false">COUNTIFS(DATOS_[AGRUP. CLAS. PROF.],$B39,DATOS_[Sexo],$B41,DATOS_[Check Periodo Ref.],"Dentro",DATOS_[Check Nº SC Norm],"Sí")</f>
        <v>0</v>
      </c>
      <c r="F41" s="248" t="n">
        <f aca="false">COUNTIFS(DATOS_[AGRUP. CLAS. PROF.],$B39,DATOS_[Sexo],$B41,DATOS_[Check Periodo Ref.],"Dentro",DATOS_[Check Nº SC Anualiz],"Sí")</f>
        <v>0</v>
      </c>
      <c r="G41" s="248" t="n">
        <f aca="false">COUNTIFS(DATOS_[AGRUP. CLAS. PROF.],$B39,DATOS_[Sexo],$B41,DATOS_[Check Periodo Ref.],"Dentro",DATOS_[Check Nº SC Norm y Anualiz],"Sí")</f>
        <v>0</v>
      </c>
      <c r="H41" s="248" t="n">
        <f aca="false">COUNTIFS(DATOS_[AGRUP. CLAS. PROF.],$B39,DATOS_[Sexo],$B41,DATOS_[Check Periodo Ref.],"Dentro",DATOS_[Check Equiparación],"Sí")</f>
        <v>0</v>
      </c>
      <c r="I41" s="249" t="n">
        <f aca="false" t="array" ref="I41:I41">IFERROR( MEDIAN(IF(DATOS_[Sexo]=$B41,IF(DATOS_[[AGRUP. CLAS. PROF.]:[AGRUP. CLAS. PROF.]]=$B39,IF(DATOS_[Check Equiparado]="Sí",IF(DATOS_[Check Periodo Ref.]="Dentro",DATOS_[SALARIO BASE Eq],0))))), 0)</f>
        <v>0</v>
      </c>
      <c r="J41" s="250" t="n">
        <f aca="false" t="array" ref="J41:J41">IFERROR( (MEDIAN((IF(DATOS_[[Sexo]:[Sexo]]=$B41,IF(DATOS_[[AGRUP. CLAS. PROF.]:[AGRUP. CLAS. PROF.]]=$B39,IF(DATOS_[[Check Periodo Ref.]:[Check Periodo Ref.]]="Dentro",IF(DATOS_[[Check Equiparado]:[Check Equiparado]]="Sí",IF(DATOS!AE$4="Sí",(1/DATOS_[[% anualiz]:[% anualiz]]),1)*IF(DATOS!AE$5="Sí",1/DATOS_[[% normaliz]:[% normaliz]],1)*(DATOS_[Conc.Sal.01])))))))), 0)</f>
        <v>0</v>
      </c>
      <c r="K41" s="250" t="n">
        <f aca="false" t="array" ref="K41:K41">IFERROR( (MEDIAN((IF(DATOS_[[Sexo]:[Sexo]]=$B41,IF(DATOS_[[AGRUP. CLAS. PROF.]:[AGRUP. CLAS. PROF.]]=$B39,IF(DATOS_[[Check Periodo Ref.]:[Check Periodo Ref.]]="Dentro",IF(DATOS_[[Check Equiparado]:[Check Equiparado]]="Sí",IF(DATOS!AF$4="Sí",(1/DATOS_[[% anualiz]:[% anualiz]]),1)*IF(DATOS!AF$5="Sí",1/DATOS_[[% normaliz]:[% normaliz]],1)*(DATOS_[Conc.Sal.02])))))))), 0)</f>
        <v>0</v>
      </c>
      <c r="L41" s="250" t="n">
        <f aca="false" t="array" ref="L41:L41">IFERROR( (MEDIAN((IF(DATOS_[[Sexo]:[Sexo]]=$B41,IF(DATOS_[[AGRUP. CLAS. PROF.]:[AGRUP. CLAS. PROF.]]=$B39,IF(DATOS_[[Check Periodo Ref.]:[Check Periodo Ref.]]="Dentro",IF(DATOS_[[Check Equiparado]:[Check Equiparado]]="Sí",IF(DATOS!AG$4="Sí",(1/DATOS_[[% anualiz]:[% anualiz]]),1)*IF(DATOS!AG$5="Sí",1/DATOS_[[% normaliz]:[% normaliz]],1)*(DATOS_[Conc.Sal.03])))))))), 0)</f>
        <v>0</v>
      </c>
      <c r="M41" s="250" t="n">
        <f aca="false" t="array" ref="M41:M41">IFERROR( (MEDIAN((IF(DATOS_[[Sexo]:[Sexo]]=$B41,IF(DATOS_[[AGRUP. CLAS. PROF.]:[AGRUP. CLAS. PROF.]]=$B39,IF(DATOS_[[Check Periodo Ref.]:[Check Periodo Ref.]]="Dentro",IF(DATOS_[[Check Equiparado]:[Check Equiparado]]="Sí",IF(DATOS!AH$4="Sí",(1/DATOS_[[% anualiz]:[% anualiz]]),1)*IF(DATOS!AH$5="Sí",1/DATOS_[[% normaliz]:[% normaliz]],1)*(DATOS_[Conc.Sal.04])))))))), 0)</f>
        <v>0</v>
      </c>
      <c r="N41" s="250" t="n">
        <f aca="false" t="array" ref="N41:N41">IFERROR( (MEDIAN((IF(DATOS_[[Sexo]:[Sexo]]=$B41,IF(DATOS_[[AGRUP. CLAS. PROF.]:[AGRUP. CLAS. PROF.]]=$B39,IF(DATOS_[[Check Periodo Ref.]:[Check Periodo Ref.]]="Dentro",IF(DATOS_[[Check Equiparado]:[Check Equiparado]]="Sí",IF(DATOS!AI$4="Sí",(1/DATOS_[[% anualiz]:[% anualiz]]),1)*IF(DATOS!AI$5="Sí",1/DATOS_[[% normaliz]:[% normaliz]],1)*(DATOS_[Conc.Sal.05])))))))), 0)</f>
        <v>0</v>
      </c>
      <c r="O41" s="250" t="n">
        <f aca="false" t="array" ref="O41:O41">IFERROR( (MEDIAN((IF(DATOS_[[Sexo]:[Sexo]]=$B41,IF(DATOS_[[AGRUP. CLAS. PROF.]:[AGRUP. CLAS. PROF.]]=$B39,IF(DATOS_[[Check Periodo Ref.]:[Check Periodo Ref.]]="Dentro",IF(DATOS_[[Check Equiparado]:[Check Equiparado]]="Sí",IF(DATOS!AJ$4="Sí",(1/DATOS_[[% anualiz]:[% anualiz]]),1)*IF(DATOS!AJ$5="Sí",1/DATOS_[[% normaliz]:[% normaliz]],1)*(DATOS_[Conc.Sal.06])))))))), 0)</f>
        <v>0</v>
      </c>
      <c r="P41" s="250" t="n">
        <f aca="false" t="array" ref="P41:P41">IFERROR( (MEDIAN((IF(DATOS_[[Sexo]:[Sexo]]=$B41,IF(DATOS_[[AGRUP. CLAS. PROF.]:[AGRUP. CLAS. PROF.]]=$B39,IF(DATOS_[[Check Periodo Ref.]:[Check Periodo Ref.]]="Dentro",IF(DATOS_[[Check Equiparado]:[Check Equiparado]]="Sí",IF(DATOS!AK$4="Sí",(1/DATOS_[[% anualiz]:[% anualiz]]),1)*IF(DATOS!AK$5="Sí",1/DATOS_[[% normaliz]:[% normaliz]],1)*(DATOS_[Conc.Sal.07])))))))), 0)</f>
        <v>0</v>
      </c>
      <c r="Q41" s="250" t="n">
        <f aca="false" t="array" ref="Q41:Q41">IFERROR( (MEDIAN((IF(DATOS_[[Sexo]:[Sexo]]=$B41,IF(DATOS_[[AGRUP. CLAS. PROF.]:[AGRUP. CLAS. PROF.]]=$B39,IF(DATOS_[[Check Periodo Ref.]:[Check Periodo Ref.]]="Dentro",IF(DATOS_[[Check Equiparado]:[Check Equiparado]]="Sí",IF(DATOS!AL$4="Sí",(1/DATOS_[[% anualiz]:[% anualiz]]),1)*IF(DATOS!AL$5="Sí",1/DATOS_[[% normaliz]:[% normaliz]],1)*(DATOS_[Conc.Sal.08])))))))), 0)</f>
        <v>0</v>
      </c>
      <c r="R41" s="250" t="n">
        <f aca="false" t="array" ref="R41:R41">IFERROR( (MEDIAN((IF(DATOS_[[Sexo]:[Sexo]]=$B41,IF(DATOS_[[AGRUP. CLAS. PROF.]:[AGRUP. CLAS. PROF.]]=$B39,IF(DATOS_[[Check Periodo Ref.]:[Check Periodo Ref.]]="Dentro",IF(DATOS_[[Check Equiparado]:[Check Equiparado]]="Sí",IF(DATOS!AM$4="Sí",(1/DATOS_[[% anualiz]:[% anualiz]]),1)*IF(DATOS!AM$5="Sí",1/DATOS_[[% normaliz]:[% normaliz]],1)*(DATOS_[Conc.Sal.09])))))))), 0)</f>
        <v>0</v>
      </c>
      <c r="S41" s="250" t="n">
        <f aca="false" t="array" ref="S41:S41">IFERROR( (MEDIAN((IF(DATOS_[[Sexo]:[Sexo]]=$B41,IF(DATOS_[[AGRUP. CLAS. PROF.]:[AGRUP. CLAS. PROF.]]=$B39,IF(DATOS_[[Check Periodo Ref.]:[Check Periodo Ref.]]="Dentro",IF(DATOS_[[Check Equiparado]:[Check Equiparado]]="Sí",IF(DATOS!AN$4="Sí",(1/DATOS_[[% anualiz]:[% anualiz]]),1)*IF(DATOS!AN$5="Sí",1/DATOS_[[% normaliz]:[% normaliz]],1)*(DATOS_[Conc.Sal.10])))))))), 0)</f>
        <v>0</v>
      </c>
      <c r="T41" s="250" t="n">
        <f aca="false" t="array" ref="T41:T41">IFERROR( (MEDIAN((IF(DATOS_[[Sexo]:[Sexo]]=$B41,IF(DATOS_[[AGRUP. CLAS. PROF.]:[AGRUP. CLAS. PROF.]]=$B39,IF(DATOS_[[Check Periodo Ref.]:[Check Periodo Ref.]]="Dentro",IF(DATOS_[[Check Equiparado]:[Check Equiparado]]="Sí",IF(DATOS!AO$4="Sí",(1/DATOS_[[% anualiz]:[% anualiz]]),1)*IF(DATOS!AO$5="Sí",1/DATOS_[[% normaliz]:[% normaliz]],1)*(DATOS_[Conc.Sal.11])))))))), 0)</f>
        <v>0</v>
      </c>
      <c r="U41" s="250" t="n">
        <f aca="false" t="array" ref="U41:U41">IFERROR( (MEDIAN((IF(DATOS_[[Sexo]:[Sexo]]=$B41,IF(DATOS_[[AGRUP. CLAS. PROF.]:[AGRUP. CLAS. PROF.]]=$B39,IF(DATOS_[[Check Periodo Ref.]:[Check Periodo Ref.]]="Dentro",IF(DATOS_[[Check Equiparado]:[Check Equiparado]]="Sí",IF(DATOS!AP$4="Sí",(1/DATOS_[[% anualiz]:[% anualiz]]),1)*IF(DATOS!AP$5="Sí",1/DATOS_[[% normaliz]:[% normaliz]],1)*(DATOS_[Conc.Sal.12])))))))), 0)</f>
        <v>0</v>
      </c>
      <c r="V41" s="250" t="n">
        <f aca="false" t="array" ref="V41:V41">IFERROR( (MEDIAN((IF(DATOS_[[Sexo]:[Sexo]]=$B41,IF(DATOS_[[AGRUP. CLAS. PROF.]:[AGRUP. CLAS. PROF.]]=$B39,IF(DATOS_[[Check Periodo Ref.]:[Check Periodo Ref.]]="Dentro",IF(DATOS_[[Check Equiparado]:[Check Equiparado]]="Sí",IF(DATOS!AQ$4="Sí",(1/DATOS_[[% anualiz]:[% anualiz]]),1)*IF(DATOS!AQ$5="Sí",1/DATOS_[[% normaliz]:[% normaliz]],1)*(DATOS_[Conc.Sal.13])))))))), 0)</f>
        <v>0</v>
      </c>
      <c r="W41" s="250" t="n">
        <f aca="false" t="array" ref="W41:W41">IFERROR( (MEDIAN((IF(DATOS_[[Sexo]:[Sexo]]=$B41,IF(DATOS_[[AGRUP. CLAS. PROF.]:[AGRUP. CLAS. PROF.]]=$B39,IF(DATOS_[[Check Periodo Ref.]:[Check Periodo Ref.]]="Dentro",IF(DATOS_[[Check Equiparado]:[Check Equiparado]]="Sí",IF(DATOS!AR$4="Sí",(1/DATOS_[[% anualiz]:[% anualiz]]),1)*IF(DATOS!AR$5="Sí",1/DATOS_[[% normaliz]:[% normaliz]],1)*(DATOS_[Conc.Sal.14])))))))), 0)</f>
        <v>0</v>
      </c>
      <c r="X41" s="250" t="n">
        <f aca="false" t="array" ref="X41:X41">IFERROR( (MEDIAN((IF(DATOS_[[Sexo]:[Sexo]]=$B41,IF(DATOS_[[AGRUP. CLAS. PROF.]:[AGRUP. CLAS. PROF.]]=$B39,IF(DATOS_[[Check Periodo Ref.]:[Check Periodo Ref.]]="Dentro",IF(DATOS_[[Check Equiparado]:[Check Equiparado]]="Sí",IF(DATOS!AS$4="Sí",(1/DATOS_[[% anualiz]:[% anualiz]]),1)*IF(DATOS!AS$5="Sí",1/DATOS_[[% normaliz]:[% normaliz]],1)*(DATOS_[Conc.Sal.15])))))))), 0)</f>
        <v>0</v>
      </c>
      <c r="Y41" s="250" t="n">
        <f aca="false" t="array" ref="Y41:Y41">IFERROR( (MEDIAN((IF(DATOS_[[Sexo]:[Sexo]]=$B41,IF(DATOS_[[AGRUP. CLAS. PROF.]:[AGRUP. CLAS. PROF.]]=$B39,IF(DATOS_[[Check Periodo Ref.]:[Check Periodo Ref.]]="Dentro",IF(DATOS_[[Check Equiparado]:[Check Equiparado]]="Sí",IF(DATOS!AT$4="Sí",(1/DATOS_[[% anualiz]:[% anualiz]]),1)*IF(DATOS!AT$5="Sí",1/DATOS_[[% normaliz]:[% normaliz]],1)*(DATOS_[Conc.Sal.16])))))))), 0)</f>
        <v>0</v>
      </c>
      <c r="Z41" s="250" t="n">
        <f aca="false" t="array" ref="Z41:Z41">IFERROR( (MEDIAN((IF(DATOS_[[Sexo]:[Sexo]]=$B41,IF(DATOS_[[AGRUP. CLAS. PROF.]:[AGRUP. CLAS. PROF.]]=$B39,IF(DATOS_[[Check Periodo Ref.]:[Check Periodo Ref.]]="Dentro",IF(DATOS_[[Check Equiparado]:[Check Equiparado]]="Sí",IF(DATOS!AU$4="Sí",(1/DATOS_[[% anualiz]:[% anualiz]]),1)*IF(DATOS!AU$5="Sí",1/DATOS_[[% normaliz]:[% normaliz]],1)*(DATOS_[Conc.Sal.17])))))))), 0)</f>
        <v>0</v>
      </c>
      <c r="AA41" s="250" t="n">
        <f aca="false" t="array" ref="AA41:AA41">IFERROR( (MEDIAN((IF(DATOS_[[Sexo]:[Sexo]]=$B41,IF(DATOS_[[AGRUP. CLAS. PROF.]:[AGRUP. CLAS. PROF.]]=$B39,IF(DATOS_[[Check Periodo Ref.]:[Check Periodo Ref.]]="Dentro",IF(DATOS_[[Check Equiparado]:[Check Equiparado]]="Sí",IF(DATOS!AV$4="Sí",(1/DATOS_[[% anualiz]:[% anualiz]]),1)*IF(DATOS!AV$5="Sí",1/DATOS_[[% normaliz]:[% normaliz]],1)*(DATOS_[Conc.Sal.18])))))))), 0)</f>
        <v>0</v>
      </c>
      <c r="AB41" s="250" t="n">
        <f aca="false" t="array" ref="AB41:AB41">IFERROR( (MEDIAN((IF(DATOS_[[Sexo]:[Sexo]]=$B41,IF(DATOS_[[AGRUP. CLAS. PROF.]:[AGRUP. CLAS. PROF.]]=$B39,IF(DATOS_[[Check Periodo Ref.]:[Check Periodo Ref.]]="Dentro",IF(DATOS_[[Check Equiparado]:[Check Equiparado]]="Sí",IF(DATOS!AW$4="Sí",(1/DATOS_[[% anualiz]:[% anualiz]]),1)*IF(DATOS!AW$5="Sí",1/DATOS_[[% normaliz]:[% normaliz]],1)*(DATOS_[Conc.Sal.19])))))))), 0)</f>
        <v>0</v>
      </c>
      <c r="AC41" s="250" t="n">
        <f aca="false" t="array" ref="AC41:AC41">IFERROR( (MEDIAN((IF(DATOS_[[Sexo]:[Sexo]]=$B41,IF(DATOS_[[AGRUP. CLAS. PROF.]:[AGRUP. CLAS. PROF.]]=$B39,IF(DATOS_[[Check Periodo Ref.]:[Check Periodo Ref.]]="Dentro",IF(DATOS_[[Check Equiparado]:[Check Equiparado]]="Sí",IF(DATOS!AX$4="Sí",(1/DATOS_[[% anualiz]:[% anualiz]]),1)*IF(DATOS!AX$5="Sí",1/DATOS_[[% normaliz]:[% normaliz]],1)*(DATOS_[Conc.Sal.20])))))))), 0)</f>
        <v>0</v>
      </c>
      <c r="AD41" s="250" t="n">
        <f aca="false" t="array" ref="AD41:AD41">IFERROR( (MEDIAN((IF(DATOS_[[Sexo]:[Sexo]]=$B41,IF(DATOS_[[AGRUP. CLAS. PROF.]:[AGRUP. CLAS. PROF.]]=$B39,IF(DATOS_[[Check Periodo Ref.]:[Check Periodo Ref.]]="Dentro",IF(DATOS_[[Check Equiparado]:[Check Equiparado]]="Sí",IF(DATOS!AY$4="Sí",(1/DATOS_[[% anualiz]:[% anualiz]]),1)*IF(DATOS!AY$5="Sí",1/DATOS_[[% normaliz]:[% normaliz]],1)*(DATOS_[Conc.Sal.21])))))))), 0)</f>
        <v>0</v>
      </c>
      <c r="AE41" s="250" t="n">
        <f aca="false" t="array" ref="AE41:AE41">IFERROR( (MEDIAN((IF(DATOS_[[Sexo]:[Sexo]]=$B41,IF(DATOS_[[AGRUP. CLAS. PROF.]:[AGRUP. CLAS. PROF.]]=$B39,IF(DATOS_[[Check Periodo Ref.]:[Check Periodo Ref.]]="Dentro",IF(DATOS_[[Check Equiparado]:[Check Equiparado]]="Sí",IF(DATOS!AZ$4="Sí",(1/DATOS_[[% anualiz]:[% anualiz]]),1)*IF(DATOS!AZ$5="Sí",1/DATOS_[[% normaliz]:[% normaliz]],1)*(DATOS_[Conc.Sal.22])))))))), 0)</f>
        <v>0</v>
      </c>
      <c r="AF41" s="250" t="n">
        <f aca="false" t="array" ref="AF41:AF41">IFERROR( (MEDIAN((IF(DATOS_[[Sexo]:[Sexo]]=$B41,IF(DATOS_[[AGRUP. CLAS. PROF.]:[AGRUP. CLAS. PROF.]]=$B39,IF(DATOS_[[Check Periodo Ref.]:[Check Periodo Ref.]]="Dentro",IF(DATOS_[[Check Equiparado]:[Check Equiparado]]="Sí",IF(DATOS!BA$4="Sí",(1/DATOS_[[% anualiz]:[% anualiz]]),1)*IF(DATOS!BA$5="Sí",1/DATOS_[[% normaliz]:[% normaliz]],1)*(DATOS_[Conc.Sal.23])))))))), 0)</f>
        <v>0</v>
      </c>
      <c r="AG41" s="250" t="n">
        <f aca="false" t="array" ref="AG41:AG41">IFERROR( (MEDIAN((IF(DATOS_[[Sexo]:[Sexo]]=$B41,IF(DATOS_[[AGRUP. CLAS. PROF.]:[AGRUP. CLAS. PROF.]]=$B39,IF(DATOS_[[Check Periodo Ref.]:[Check Periodo Ref.]]="Dentro",IF(DATOS_[[Check Equiparado]:[Check Equiparado]]="Sí",IF(DATOS!BB$4="Sí",(1/DATOS_[[% anualiz]:[% anualiz]]),1)*IF(DATOS!BB$5="Sí",1/DATOS_[[% normaliz]:[% normaliz]],1)*(DATOS_[Conc.Sal.24])))))))), 0)</f>
        <v>0</v>
      </c>
      <c r="AH41" s="250" t="n">
        <f aca="false" t="array" ref="AH41:AH41">IFERROR( (MEDIAN((IF(DATOS_[[Sexo]:[Sexo]]=$B41,IF(DATOS_[[AGRUP. CLAS. PROF.]:[AGRUP. CLAS. PROF.]]=$B39,IF(DATOS_[[Check Periodo Ref.]:[Check Periodo Ref.]]="Dentro",IF(DATOS_[[Check Equiparado]:[Check Equiparado]]="Sí",IF(DATOS!BC$4="Sí",(1/DATOS_[[% anualiz]:[% anualiz]]),1)*IF(DATOS!BC$5="Sí",1/DATOS_[[% normaliz]:[% normaliz]],1)*(DATOS_[Conc.Sal.25])))))))), 0)</f>
        <v>0</v>
      </c>
      <c r="AI41" s="250" t="n">
        <f aca="false" t="array" ref="AI41:AI41">IFERROR( (MEDIAN((IF(DATOS_[[Sexo]:[Sexo]]=$B41,IF(DATOS_[[AGRUP. CLAS. PROF.]:[AGRUP. CLAS. PROF.]]=$B39,IF(DATOS_[[Check Periodo Ref.]:[Check Periodo Ref.]]="Dentro",IF(DATOS_[[Check Equiparado]:[Check Equiparado]]="Sí",IF(DATOS!BD$4="Sí",(1/DATOS_[[% anualiz]:[% anualiz]]),1)*IF(DATOS!BD$5="Sí",1/DATOS_[[% normaliz]:[% normaliz]],1)*(DATOS_[Conc.Sal.26])))))))), 0)</f>
        <v>0</v>
      </c>
      <c r="AJ41" s="250" t="n">
        <f aca="false" t="array" ref="AJ41:AJ41">IFERROR( (MEDIAN((IF(DATOS_[[Sexo]:[Sexo]]=$B41,IF(DATOS_[[AGRUP. CLAS. PROF.]:[AGRUP. CLAS. PROF.]]=$B39,IF(DATOS_[[Check Periodo Ref.]:[Check Periodo Ref.]]="Dentro",IF(DATOS_[[Check Equiparado]:[Check Equiparado]]="Sí",IF(DATOS!BE$4="Sí",(1/DATOS_[[% anualiz]:[% anualiz]]),1)*IF(DATOS!BE$5="Sí",1/DATOS_[[% normaliz]:[% normaliz]],1)*(DATOS_[Conc.Sal.27])))))))), 0)</f>
        <v>0</v>
      </c>
      <c r="AK41" s="250" t="n">
        <f aca="false" t="array" ref="AK41:AK41">IFERROR( (MEDIAN((IF(DATOS_[[Sexo]:[Sexo]]=$B41,IF(DATOS_[[AGRUP. CLAS. PROF.]:[AGRUP. CLAS. PROF.]]=$B39,IF(DATOS_[[Check Periodo Ref.]:[Check Periodo Ref.]]="Dentro",IF(DATOS_[[Check Equiparado]:[Check Equiparado]]="Sí",IF(DATOS!BF$4="Sí",(1/DATOS_[[% anualiz]:[% anualiz]]),1)*IF(DATOS!BF$5="Sí",1/DATOS_[[% normaliz]:[% normaliz]],1)*(DATOS_[Conc.Sal.28])))))))), 0)</f>
        <v>0</v>
      </c>
      <c r="AL41" s="250" t="n">
        <f aca="false" t="array" ref="AL41:AL41">IFERROR( (MEDIAN((IF(DATOS_[[Sexo]:[Sexo]]=$B41,IF(DATOS_[[AGRUP. CLAS. PROF.]:[AGRUP. CLAS. PROF.]]=$B39,IF(DATOS_[[Check Periodo Ref.]:[Check Periodo Ref.]]="Dentro",IF(DATOS_[[Check Equiparado]:[Check Equiparado]]="Sí",IF(DATOS!BG$4="Sí",(1/DATOS_[[% anualiz]:[% anualiz]]),1)*IF(DATOS!BG$5="Sí",1/DATOS_[[% normaliz]:[% normaliz]],1)*(DATOS_[Conc.Sal.29])))))))), 0)</f>
        <v>0</v>
      </c>
      <c r="AM41" s="250" t="n">
        <f aca="false" t="array" ref="AM41:AM41">IFERROR( (MEDIAN((IF(DATOS_[[Sexo]:[Sexo]]=$B41,IF(DATOS_[[AGRUP. CLAS. PROF.]:[AGRUP. CLAS. PROF.]]=$B39,IF(DATOS_[[Check Periodo Ref.]:[Check Periodo Ref.]]="Dentro",IF(DATOS_[[Check Equiparado]:[Check Equiparado]]="Sí",IF(DATOS!BH$4="Sí",(1/DATOS_[[% anualiz]:[% anualiz]]),1)*IF(DATOS!BH$5="Sí",1/DATOS_[[% normaliz]:[% normaliz]],1)*(DATOS_[Conc.Sal.30])))))))), 0)</f>
        <v>0</v>
      </c>
      <c r="AN41" s="251" t="n">
        <f aca="false" t="array" ref="AN41:AN41">IFERROR( MEDIAN(IF(DATOS_[Sexo]=$B41,IF(DATOS_[[AGRUP. CLAS. PROF.]:[AGRUP. CLAS. PROF.]]=$B39,IF(DATOS_[Check Equiparado]="Sí",IF(DATOS_[Check Periodo Ref.]="Dentro",DATOS_[Tot COMPL.SAL Eq],0))))), 0)</f>
        <v>0</v>
      </c>
      <c r="AO41" s="252" t="n">
        <f aca="false" t="array" ref="AO41:AO41">IFERROR( MEDIAN(IF(DATOS_[Sexo]=$B41,IF(DATOS_[[AGRUP. CLAS. PROF.]:[AGRUP. CLAS. PROF.]]=$B39,IF(DATOS_[Check Equiparado]="Sí",IF(DATOS_[Check Periodo Ref.]="Dentro",DATOS_[TOTAL SALARIO Eq],0))))), 0)</f>
        <v>0</v>
      </c>
      <c r="AP41" s="259" t="n">
        <f aca="false" t="array" ref="AP41:AP41">IFERROR( (MEDIAN((IF(DATOS_[[Sexo]:[Sexo]]=$B41,IF(DATOS_[[AGRUP. CLAS. PROF.]:[AGRUP. CLAS. PROF.]]=$B40,IF(DATOS_[[Check Periodo Ref.]:[Check Periodo Ref.]]="Dentro",IF(DATOS_[[Check Equiparado]:[Check Equiparado]]="Sí",IF(DATOS!BI$4="Sí",(1/DATOS_[[% anualiz]:[% anualiz]]),1)*IF(DATOS!BI$5="Sí",1/DATOS_[[% normaliz]:[% normaliz]],1)*(DATOS_[C.Extra.01])))))))), 0)</f>
        <v>0</v>
      </c>
      <c r="AQ41" s="259" t="n">
        <f aca="false" t="array" ref="AQ41:AQ41">IFERROR( (MEDIAN((IF(DATOS_[[Sexo]:[Sexo]]=$B41,IF(DATOS_[[AGRUP. CLAS. PROF.]:[AGRUP. CLAS. PROF.]]=$B40,IF(DATOS_[[Check Periodo Ref.]:[Check Periodo Ref.]]="Dentro",IF(DATOS_[[Check Equiparado]:[Check Equiparado]]="Sí",IF(DATOS!BJ$4="Sí",(1/DATOS_[[% anualiz]:[% anualiz]]),1)*IF(DATOS!BJ$5="Sí",1/DATOS_[[% normaliz]:[% normaliz]],1)*(DATOS_[C.Extra.02])))))))), 0)</f>
        <v>0</v>
      </c>
      <c r="AR41" s="259" t="n">
        <f aca="false" t="array" ref="AR41:AR41">IFERROR( (MEDIAN((IF(DATOS_[[Sexo]:[Sexo]]=$B41,IF(DATOS_[[AGRUP. CLAS. PROF.]:[AGRUP. CLAS. PROF.]]=$B40,IF(DATOS_[[Check Periodo Ref.]:[Check Periodo Ref.]]="Dentro",IF(DATOS_[[Check Equiparado]:[Check Equiparado]]="Sí",IF(DATOS!BK$4="Sí",(1/DATOS_[[% anualiz]:[% anualiz]]),1)*IF(DATOS!BK$5="Sí",1/DATOS_[[% normaliz]:[% normaliz]],1)*(DATOS_[C.Extra.03])))))))), 0)</f>
        <v>0</v>
      </c>
      <c r="AS41" s="259" t="n">
        <f aca="false" t="array" ref="AS41:AS41">IFERROR( (MEDIAN((IF(DATOS_[[Sexo]:[Sexo]]=$B41,IF(DATOS_[[AGRUP. CLAS. PROF.]:[AGRUP. CLAS. PROF.]]=$B40,IF(DATOS_[[Check Periodo Ref.]:[Check Periodo Ref.]]="Dentro",IF(DATOS_[[Check Equiparado]:[Check Equiparado]]="Sí",IF(DATOS!BL$4="Sí",(1/DATOS_[[% anualiz]:[% anualiz]]),1)*IF(DATOS!BL$5="Sí",1/DATOS_[[% normaliz]:[% normaliz]],1)*(DATOS_[C.Extra.04])))))))), 0)</f>
        <v>0</v>
      </c>
      <c r="AT41" s="259" t="n">
        <f aca="false" t="array" ref="AT41:AT41">IFERROR( (MEDIAN((IF(DATOS_[[Sexo]:[Sexo]]=$B41,IF(DATOS_[[AGRUP. CLAS. PROF.]:[AGRUP. CLAS. PROF.]]=$B40,IF(DATOS_[[Check Periodo Ref.]:[Check Periodo Ref.]]="Dentro",IF(DATOS_[[Check Equiparado]:[Check Equiparado]]="Sí",IF(DATOS!BM$4="Sí",(1/DATOS_[[% anualiz]:[% anualiz]]),1)*IF(DATOS!BM$5="Sí",1/DATOS_[[% normaliz]:[% normaliz]],1)*(DATOS_[C.Extra.05])))))))), 0)</f>
        <v>0</v>
      </c>
      <c r="AU41" s="254" t="n">
        <f aca="false" t="array" ref="AU41:AU41">IFERROR( MEDIAN(IF(DATOS_[Sexo]=$B41,IF(DATOS_[[AGRUP. CLAS. PROF.]:[AGRUP. CLAS. PROF.]]=$B39,IF(DATOS_[Check Equiparado]="Sí",IF(DATOS_[Check Periodo Ref.]="Dentro",DATOS_[Tot Extrasalarial Eq],0))))), 0)</f>
        <v>0</v>
      </c>
      <c r="AV41" s="255" t="n">
        <f aca="false" t="array" ref="AV41:AV41">IFERROR( MEDIAN(IF(DATOS_[Sexo]=$B41,IF(DATOS_[[AGRUP. CLAS. PROF.]:[AGRUP. CLAS. PROF.]]=$B39,IF(DATOS_[Check Equiparado]="Sí",IF(DATOS_[Check Periodo Ref.]="Dentro",DATOS_[TOTAL Retrib Eq],0))))), 0)</f>
        <v>0</v>
      </c>
    </row>
    <row r="42" customFormat="false" ht="15.75" hidden="false" customHeight="false" outlineLevel="0" collapsed="false">
      <c r="A42" s="217" t="str">
        <f aca="false">+A43</f>
        <v>[ocultar]</v>
      </c>
      <c r="B42" s="320" t="s">
        <v>195</v>
      </c>
      <c r="C42" s="236"/>
      <c r="D42" s="237"/>
      <c r="E42" s="237"/>
      <c r="F42" s="237"/>
      <c r="G42" s="237"/>
      <c r="H42" s="237"/>
      <c r="I42" s="238"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39" t="str">
        <f aca="false">IFERROR((V43-V44)/V43,"")</f>
        <v/>
      </c>
      <c r="W42" s="239" t="str">
        <f aca="false">IFERROR((W43-W44)/W43,"")</f>
        <v/>
      </c>
      <c r="X42" s="239" t="str">
        <f aca="false">IFERROR((X43-X44)/X43,"")</f>
        <v/>
      </c>
      <c r="Y42" s="239"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0" t="str">
        <f aca="false">IFERROR((AJ43-AJ44)/AJ43,"")</f>
        <v/>
      </c>
      <c r="AK42" s="240" t="str">
        <f aca="false">IFERROR((AK43-AK44)/AK43,"")</f>
        <v/>
      </c>
      <c r="AL42" s="240" t="str">
        <f aca="false">IFERROR((AL43-AL44)/AL43,"")</f>
        <v/>
      </c>
      <c r="AM42" s="240" t="str">
        <f aca="false">IFERROR((AM43-AM44)/AM43,"")</f>
        <v/>
      </c>
      <c r="AN42" s="241" t="str">
        <f aca="false">IFERROR((AN43-AN44)/AN43,"")</f>
        <v/>
      </c>
      <c r="AO42" s="242" t="str">
        <f aca="false">IFERROR((AO43-AO44)/AO43,"")</f>
        <v/>
      </c>
      <c r="AP42" s="243" t="str">
        <f aca="false">IFERROR((AP43-AP44)/AP43,"")</f>
        <v/>
      </c>
      <c r="AQ42" s="243" t="str">
        <f aca="false">IFERROR((AQ43-AQ44)/AQ43,"")</f>
        <v/>
      </c>
      <c r="AR42" s="243" t="str">
        <f aca="false">IFERROR((AR43-AR44)/AR43,"")</f>
        <v/>
      </c>
      <c r="AS42" s="243" t="str">
        <f aca="false">IFERROR((AS43-AS44)/AS43,"")</f>
        <v/>
      </c>
      <c r="AT42" s="243" t="str">
        <f aca="false">IFERROR((AT43-AT44)/AT43,"")</f>
        <v/>
      </c>
      <c r="AU42" s="244" t="str">
        <f aca="false">IFERROR((AU43-AU44)/AU43,"")</f>
        <v/>
      </c>
      <c r="AV42" s="245" t="str">
        <f aca="false">IFERROR((AV43-AV44)/AV43,"")</f>
        <v/>
      </c>
    </row>
    <row r="43" customFormat="false" ht="14.25" hidden="false" customHeight="false" outlineLevel="0" collapsed="false">
      <c r="A43" s="217" t="str">
        <f aca="false">+IF(C43+C44=0,"[ocultar]","")</f>
        <v>[ocultar]</v>
      </c>
      <c r="B43" s="323" t="s">
        <v>371</v>
      </c>
      <c r="C43" s="247" t="n">
        <f aca="false" t="array" ref="C43:C43">SUM(IF($B43=DATOS_[Sexo], IF($B42=DATOS_[AGRUP. CLAS. PROF.], IF("Dentro"=DATOS_[Check Periodo Ref.], 1/(COUNTIFS(DATOS_[Sexo],$B43,DATOS_[AGRUP. CLAS. PROF.],$B42,DATOS_[Check Periodo Ref.],"Dentro",DATOS_[id],DATOS_[id]))))))</f>
        <v>0</v>
      </c>
      <c r="D43" s="248" t="n">
        <f aca="false">COUNTIFS(DATOS_[AGRUP. CLAS. PROF.],$B42,DATOS_[Sexo],$B43,DATOS_[Check Periodo Ref.],"Dentro")</f>
        <v>0</v>
      </c>
      <c r="E43" s="248" t="n">
        <f aca="false">COUNTIFS(DATOS_[AGRUP. CLAS. PROF.],$B42,DATOS_[Sexo],$B43,DATOS_[Check Periodo Ref.],"Dentro",DATOS_[Check Nº SC Norm],"Sí")</f>
        <v>0</v>
      </c>
      <c r="F43" s="248" t="n">
        <f aca="false">COUNTIFS(DATOS_[AGRUP. CLAS. PROF.],$B42,DATOS_[Sexo],$B43,DATOS_[Check Periodo Ref.],"Dentro",DATOS_[Check Nº SC Anualiz],"Sí")</f>
        <v>0</v>
      </c>
      <c r="G43" s="248" t="n">
        <f aca="false">COUNTIFS(DATOS_[AGRUP. CLAS. PROF.],$B42,DATOS_[Sexo],$B43,DATOS_[Check Periodo Ref.],"Dentro",DATOS_[Check Nº SC Norm y Anualiz],"Sí")</f>
        <v>0</v>
      </c>
      <c r="H43" s="248" t="n">
        <f aca="false">COUNTIFS(DATOS_[AGRUP. CLAS. PROF.],$B42,DATOS_[Sexo],$B43,DATOS_[Check Periodo Ref.],"Dentro",DATOS_[Check Equiparación],"Sí")</f>
        <v>0</v>
      </c>
      <c r="I43" s="249" t="n">
        <f aca="false" t="array" ref="I43:I43">IFERROR( MEDIAN(IF(DATOS_[Sexo]=$B43,IF(DATOS_[[AGRUP. CLAS. PROF.]:[AGRUP. CLAS. PROF.]]=$B42,IF(DATOS_[Check Equiparado]="Sí",IF(DATOS_[Check Periodo Ref.]="Dentro",DATOS_[SALARIO BASE Eq],0))))), 0)</f>
        <v>0</v>
      </c>
      <c r="J43" s="250" t="n">
        <f aca="false" t="array" ref="J43:J43">IFERROR( (MEDIAN((IF(DATOS_[[Sexo]:[Sexo]]=$B43,IF(DATOS_[[AGRUP. CLAS. PROF.]:[AGRUP. CLAS. PROF.]]=$B42,IF(DATOS_[[Check Periodo Ref.]:[Check Periodo Ref.]]="Dentro",IF(DATOS_[[Check Equiparado]:[Check Equiparado]]="Sí",IF(DATOS!AE$4="Sí",(1/DATOS_[[% anualiz]:[% anualiz]]),1)*IF(DATOS!AE$5="Sí",1/DATOS_[[% normaliz]:[% normaliz]],1)*(DATOS_[Conc.Sal.01])))))))), 0)</f>
        <v>0</v>
      </c>
      <c r="K43" s="250" t="n">
        <f aca="false" t="array" ref="K43:K43">IFERROR( (MEDIAN((IF(DATOS_[[Sexo]:[Sexo]]=$B43,IF(DATOS_[[AGRUP. CLAS. PROF.]:[AGRUP. CLAS. PROF.]]=$B42,IF(DATOS_[[Check Periodo Ref.]:[Check Periodo Ref.]]="Dentro",IF(DATOS_[[Check Equiparado]:[Check Equiparado]]="Sí",IF(DATOS!AF$4="Sí",(1/DATOS_[[% anualiz]:[% anualiz]]),1)*IF(DATOS!AF$5="Sí",1/DATOS_[[% normaliz]:[% normaliz]],1)*(DATOS_[Conc.Sal.02])))))))), 0)</f>
        <v>0</v>
      </c>
      <c r="L43" s="250" t="n">
        <f aca="false" t="array" ref="L43:L43">IFERROR( (MEDIAN((IF(DATOS_[[Sexo]:[Sexo]]=$B43,IF(DATOS_[[AGRUP. CLAS. PROF.]:[AGRUP. CLAS. PROF.]]=$B42,IF(DATOS_[[Check Periodo Ref.]:[Check Periodo Ref.]]="Dentro",IF(DATOS_[[Check Equiparado]:[Check Equiparado]]="Sí",IF(DATOS!AG$4="Sí",(1/DATOS_[[% anualiz]:[% anualiz]]),1)*IF(DATOS!AG$5="Sí",1/DATOS_[[% normaliz]:[% normaliz]],1)*(DATOS_[Conc.Sal.03])))))))), 0)</f>
        <v>0</v>
      </c>
      <c r="M43" s="250" t="n">
        <f aca="false" t="array" ref="M43:M43">IFERROR( (MEDIAN((IF(DATOS_[[Sexo]:[Sexo]]=$B43,IF(DATOS_[[AGRUP. CLAS. PROF.]:[AGRUP. CLAS. PROF.]]=$B42,IF(DATOS_[[Check Periodo Ref.]:[Check Periodo Ref.]]="Dentro",IF(DATOS_[[Check Equiparado]:[Check Equiparado]]="Sí",IF(DATOS!AH$4="Sí",(1/DATOS_[[% anualiz]:[% anualiz]]),1)*IF(DATOS!AH$5="Sí",1/DATOS_[[% normaliz]:[% normaliz]],1)*(DATOS_[Conc.Sal.04])))))))), 0)</f>
        <v>0</v>
      </c>
      <c r="N43" s="250" t="n">
        <f aca="false" t="array" ref="N43:N43">IFERROR( (MEDIAN((IF(DATOS_[[Sexo]:[Sexo]]=$B43,IF(DATOS_[[AGRUP. CLAS. PROF.]:[AGRUP. CLAS. PROF.]]=$B42,IF(DATOS_[[Check Periodo Ref.]:[Check Periodo Ref.]]="Dentro",IF(DATOS_[[Check Equiparado]:[Check Equiparado]]="Sí",IF(DATOS!AI$4="Sí",(1/DATOS_[[% anualiz]:[% anualiz]]),1)*IF(DATOS!AI$5="Sí",1/DATOS_[[% normaliz]:[% normaliz]],1)*(DATOS_[Conc.Sal.05])))))))), 0)</f>
        <v>0</v>
      </c>
      <c r="O43" s="250" t="n">
        <f aca="false" t="array" ref="O43:O43">IFERROR( (MEDIAN((IF(DATOS_[[Sexo]:[Sexo]]=$B43,IF(DATOS_[[AGRUP. CLAS. PROF.]:[AGRUP. CLAS. PROF.]]=$B42,IF(DATOS_[[Check Periodo Ref.]:[Check Periodo Ref.]]="Dentro",IF(DATOS_[[Check Equiparado]:[Check Equiparado]]="Sí",IF(DATOS!AJ$4="Sí",(1/DATOS_[[% anualiz]:[% anualiz]]),1)*IF(DATOS!AJ$5="Sí",1/DATOS_[[% normaliz]:[% normaliz]],1)*(DATOS_[Conc.Sal.06])))))))), 0)</f>
        <v>0</v>
      </c>
      <c r="P43" s="250" t="n">
        <f aca="false" t="array" ref="P43:P43">IFERROR( (MEDIAN((IF(DATOS_[[Sexo]:[Sexo]]=$B43,IF(DATOS_[[AGRUP. CLAS. PROF.]:[AGRUP. CLAS. PROF.]]=$B42,IF(DATOS_[[Check Periodo Ref.]:[Check Periodo Ref.]]="Dentro",IF(DATOS_[[Check Equiparado]:[Check Equiparado]]="Sí",IF(DATOS!AK$4="Sí",(1/DATOS_[[% anualiz]:[% anualiz]]),1)*IF(DATOS!AK$5="Sí",1/DATOS_[[% normaliz]:[% normaliz]],1)*(DATOS_[Conc.Sal.07])))))))), 0)</f>
        <v>0</v>
      </c>
      <c r="Q43" s="250" t="n">
        <f aca="false" t="array" ref="Q43:Q43">IFERROR( (MEDIAN((IF(DATOS_[[Sexo]:[Sexo]]=$B43,IF(DATOS_[[AGRUP. CLAS. PROF.]:[AGRUP. CLAS. PROF.]]=$B42,IF(DATOS_[[Check Periodo Ref.]:[Check Periodo Ref.]]="Dentro",IF(DATOS_[[Check Equiparado]:[Check Equiparado]]="Sí",IF(DATOS!AL$4="Sí",(1/DATOS_[[% anualiz]:[% anualiz]]),1)*IF(DATOS!AL$5="Sí",1/DATOS_[[% normaliz]:[% normaliz]],1)*(DATOS_[Conc.Sal.08])))))))), 0)</f>
        <v>0</v>
      </c>
      <c r="R43" s="250" t="n">
        <f aca="false" t="array" ref="R43:R43">IFERROR( (MEDIAN((IF(DATOS_[[Sexo]:[Sexo]]=$B43,IF(DATOS_[[AGRUP. CLAS. PROF.]:[AGRUP. CLAS. PROF.]]=$B42,IF(DATOS_[[Check Periodo Ref.]:[Check Periodo Ref.]]="Dentro",IF(DATOS_[[Check Equiparado]:[Check Equiparado]]="Sí",IF(DATOS!AM$4="Sí",(1/DATOS_[[% anualiz]:[% anualiz]]),1)*IF(DATOS!AM$5="Sí",1/DATOS_[[% normaliz]:[% normaliz]],1)*(DATOS_[Conc.Sal.09])))))))), 0)</f>
        <v>0</v>
      </c>
      <c r="S43" s="250" t="n">
        <f aca="false" t="array" ref="S43:S43">IFERROR( (MEDIAN((IF(DATOS_[[Sexo]:[Sexo]]=$B43,IF(DATOS_[[AGRUP. CLAS. PROF.]:[AGRUP. CLAS. PROF.]]=$B42,IF(DATOS_[[Check Periodo Ref.]:[Check Periodo Ref.]]="Dentro",IF(DATOS_[[Check Equiparado]:[Check Equiparado]]="Sí",IF(DATOS!AN$4="Sí",(1/DATOS_[[% anualiz]:[% anualiz]]),1)*IF(DATOS!AN$5="Sí",1/DATOS_[[% normaliz]:[% normaliz]],1)*(DATOS_[Conc.Sal.10])))))))), 0)</f>
        <v>0</v>
      </c>
      <c r="T43" s="250" t="n">
        <f aca="false" t="array" ref="T43:T43">IFERROR( (MEDIAN((IF(DATOS_[[Sexo]:[Sexo]]=$B43,IF(DATOS_[[AGRUP. CLAS. PROF.]:[AGRUP. CLAS. PROF.]]=$B42,IF(DATOS_[[Check Periodo Ref.]:[Check Periodo Ref.]]="Dentro",IF(DATOS_[[Check Equiparado]:[Check Equiparado]]="Sí",IF(DATOS!AO$4="Sí",(1/DATOS_[[% anualiz]:[% anualiz]]),1)*IF(DATOS!AO$5="Sí",1/DATOS_[[% normaliz]:[% normaliz]],1)*(DATOS_[Conc.Sal.11])))))))), 0)</f>
        <v>0</v>
      </c>
      <c r="U43" s="250" t="n">
        <f aca="false" t="array" ref="U43:U43">IFERROR( (MEDIAN((IF(DATOS_[[Sexo]:[Sexo]]=$B43,IF(DATOS_[[AGRUP. CLAS. PROF.]:[AGRUP. CLAS. PROF.]]=$B42,IF(DATOS_[[Check Periodo Ref.]:[Check Periodo Ref.]]="Dentro",IF(DATOS_[[Check Equiparado]:[Check Equiparado]]="Sí",IF(DATOS!AP$4="Sí",(1/DATOS_[[% anualiz]:[% anualiz]]),1)*IF(DATOS!AP$5="Sí",1/DATOS_[[% normaliz]:[% normaliz]],1)*(DATOS_[Conc.Sal.12])))))))), 0)</f>
        <v>0</v>
      </c>
      <c r="V43" s="250" t="n">
        <f aca="false" t="array" ref="V43:V43">IFERROR( (MEDIAN((IF(DATOS_[[Sexo]:[Sexo]]=$B43,IF(DATOS_[[AGRUP. CLAS. PROF.]:[AGRUP. CLAS. PROF.]]=$B42,IF(DATOS_[[Check Periodo Ref.]:[Check Periodo Ref.]]="Dentro",IF(DATOS_[[Check Equiparado]:[Check Equiparado]]="Sí",IF(DATOS!AQ$4="Sí",(1/DATOS_[[% anualiz]:[% anualiz]]),1)*IF(DATOS!AQ$5="Sí",1/DATOS_[[% normaliz]:[% normaliz]],1)*(DATOS_[Conc.Sal.13])))))))), 0)</f>
        <v>0</v>
      </c>
      <c r="W43" s="250" t="n">
        <f aca="false" t="array" ref="W43:W43">IFERROR( (MEDIAN((IF(DATOS_[[Sexo]:[Sexo]]=$B43,IF(DATOS_[[AGRUP. CLAS. PROF.]:[AGRUP. CLAS. PROF.]]=$B42,IF(DATOS_[[Check Periodo Ref.]:[Check Periodo Ref.]]="Dentro",IF(DATOS_[[Check Equiparado]:[Check Equiparado]]="Sí",IF(DATOS!AR$4="Sí",(1/DATOS_[[% anualiz]:[% anualiz]]),1)*IF(DATOS!AR$5="Sí",1/DATOS_[[% normaliz]:[% normaliz]],1)*(DATOS_[Conc.Sal.14])))))))), 0)</f>
        <v>0</v>
      </c>
      <c r="X43" s="250" t="n">
        <f aca="false" t="array" ref="X43:X43">IFERROR( (MEDIAN((IF(DATOS_[[Sexo]:[Sexo]]=$B43,IF(DATOS_[[AGRUP. CLAS. PROF.]:[AGRUP. CLAS. PROF.]]=$B42,IF(DATOS_[[Check Periodo Ref.]:[Check Periodo Ref.]]="Dentro",IF(DATOS_[[Check Equiparado]:[Check Equiparado]]="Sí",IF(DATOS!AS$4="Sí",(1/DATOS_[[% anualiz]:[% anualiz]]),1)*IF(DATOS!AS$5="Sí",1/DATOS_[[% normaliz]:[% normaliz]],1)*(DATOS_[Conc.Sal.15])))))))), 0)</f>
        <v>0</v>
      </c>
      <c r="Y43" s="250" t="n">
        <f aca="false" t="array" ref="Y43:Y43">IFERROR( (MEDIAN((IF(DATOS_[[Sexo]:[Sexo]]=$B43,IF(DATOS_[[AGRUP. CLAS. PROF.]:[AGRUP. CLAS. PROF.]]=$B42,IF(DATOS_[[Check Periodo Ref.]:[Check Periodo Ref.]]="Dentro",IF(DATOS_[[Check Equiparado]:[Check Equiparado]]="Sí",IF(DATOS!AT$4="Sí",(1/DATOS_[[% anualiz]:[% anualiz]]),1)*IF(DATOS!AT$5="Sí",1/DATOS_[[% normaliz]:[% normaliz]],1)*(DATOS_[Conc.Sal.16])))))))), 0)</f>
        <v>0</v>
      </c>
      <c r="Z43" s="250" t="n">
        <f aca="false" t="array" ref="Z43:Z43">IFERROR( (MEDIAN((IF(DATOS_[[Sexo]:[Sexo]]=$B43,IF(DATOS_[[AGRUP. CLAS. PROF.]:[AGRUP. CLAS. PROF.]]=$B42,IF(DATOS_[[Check Periodo Ref.]:[Check Periodo Ref.]]="Dentro",IF(DATOS_[[Check Equiparado]:[Check Equiparado]]="Sí",IF(DATOS!AU$4="Sí",(1/DATOS_[[% anualiz]:[% anualiz]]),1)*IF(DATOS!AU$5="Sí",1/DATOS_[[% normaliz]:[% normaliz]],1)*(DATOS_[Conc.Sal.17])))))))), 0)</f>
        <v>0</v>
      </c>
      <c r="AA43" s="250" t="n">
        <f aca="false" t="array" ref="AA43:AA43">IFERROR( (MEDIAN((IF(DATOS_[[Sexo]:[Sexo]]=$B43,IF(DATOS_[[AGRUP. CLAS. PROF.]:[AGRUP. CLAS. PROF.]]=$B42,IF(DATOS_[[Check Periodo Ref.]:[Check Periodo Ref.]]="Dentro",IF(DATOS_[[Check Equiparado]:[Check Equiparado]]="Sí",IF(DATOS!AV$4="Sí",(1/DATOS_[[% anualiz]:[% anualiz]]),1)*IF(DATOS!AV$5="Sí",1/DATOS_[[% normaliz]:[% normaliz]],1)*(DATOS_[Conc.Sal.18])))))))), 0)</f>
        <v>0</v>
      </c>
      <c r="AB43" s="250" t="n">
        <f aca="false" t="array" ref="AB43:AB43">IFERROR( (MEDIAN((IF(DATOS_[[Sexo]:[Sexo]]=$B43,IF(DATOS_[[AGRUP. CLAS. PROF.]:[AGRUP. CLAS. PROF.]]=$B42,IF(DATOS_[[Check Periodo Ref.]:[Check Periodo Ref.]]="Dentro",IF(DATOS_[[Check Equiparado]:[Check Equiparado]]="Sí",IF(DATOS!AW$4="Sí",(1/DATOS_[[% anualiz]:[% anualiz]]),1)*IF(DATOS!AW$5="Sí",1/DATOS_[[% normaliz]:[% normaliz]],1)*(DATOS_[Conc.Sal.19])))))))), 0)</f>
        <v>0</v>
      </c>
      <c r="AC43" s="250" t="n">
        <f aca="false" t="array" ref="AC43:AC43">IFERROR( (MEDIAN((IF(DATOS_[[Sexo]:[Sexo]]=$B43,IF(DATOS_[[AGRUP. CLAS. PROF.]:[AGRUP. CLAS. PROF.]]=$B42,IF(DATOS_[[Check Periodo Ref.]:[Check Periodo Ref.]]="Dentro",IF(DATOS_[[Check Equiparado]:[Check Equiparado]]="Sí",IF(DATOS!AX$4="Sí",(1/DATOS_[[% anualiz]:[% anualiz]]),1)*IF(DATOS!AX$5="Sí",1/DATOS_[[% normaliz]:[% normaliz]],1)*(DATOS_[Conc.Sal.20])))))))), 0)</f>
        <v>0</v>
      </c>
      <c r="AD43" s="250" t="n">
        <f aca="false" t="array" ref="AD43:AD43">IFERROR( (MEDIAN((IF(DATOS_[[Sexo]:[Sexo]]=$B43,IF(DATOS_[[AGRUP. CLAS. PROF.]:[AGRUP. CLAS. PROF.]]=$B42,IF(DATOS_[[Check Periodo Ref.]:[Check Periodo Ref.]]="Dentro",IF(DATOS_[[Check Equiparado]:[Check Equiparado]]="Sí",IF(DATOS!AY$4="Sí",(1/DATOS_[[% anualiz]:[% anualiz]]),1)*IF(DATOS!AY$5="Sí",1/DATOS_[[% normaliz]:[% normaliz]],1)*(DATOS_[Conc.Sal.21])))))))), 0)</f>
        <v>0</v>
      </c>
      <c r="AE43" s="250" t="n">
        <f aca="false" t="array" ref="AE43:AE43">IFERROR( (MEDIAN((IF(DATOS_[[Sexo]:[Sexo]]=$B43,IF(DATOS_[[AGRUP. CLAS. PROF.]:[AGRUP. CLAS. PROF.]]=$B42,IF(DATOS_[[Check Periodo Ref.]:[Check Periodo Ref.]]="Dentro",IF(DATOS_[[Check Equiparado]:[Check Equiparado]]="Sí",IF(DATOS!AZ$4="Sí",(1/DATOS_[[% anualiz]:[% anualiz]]),1)*IF(DATOS!AZ$5="Sí",1/DATOS_[[% normaliz]:[% normaliz]],1)*(DATOS_[Conc.Sal.22])))))))), 0)</f>
        <v>0</v>
      </c>
      <c r="AF43" s="250" t="n">
        <f aca="false" t="array" ref="AF43:AF43">IFERROR( (MEDIAN((IF(DATOS_[[Sexo]:[Sexo]]=$B43,IF(DATOS_[[AGRUP. CLAS. PROF.]:[AGRUP. CLAS. PROF.]]=$B42,IF(DATOS_[[Check Periodo Ref.]:[Check Periodo Ref.]]="Dentro",IF(DATOS_[[Check Equiparado]:[Check Equiparado]]="Sí",IF(DATOS!BA$4="Sí",(1/DATOS_[[% anualiz]:[% anualiz]]),1)*IF(DATOS!BA$5="Sí",1/DATOS_[[% normaliz]:[% normaliz]],1)*(DATOS_[Conc.Sal.23])))))))), 0)</f>
        <v>0</v>
      </c>
      <c r="AG43" s="250" t="n">
        <f aca="false" t="array" ref="AG43:AG43">IFERROR( (MEDIAN((IF(DATOS_[[Sexo]:[Sexo]]=$B43,IF(DATOS_[[AGRUP. CLAS. PROF.]:[AGRUP. CLAS. PROF.]]=$B42,IF(DATOS_[[Check Periodo Ref.]:[Check Periodo Ref.]]="Dentro",IF(DATOS_[[Check Equiparado]:[Check Equiparado]]="Sí",IF(DATOS!BB$4="Sí",(1/DATOS_[[% anualiz]:[% anualiz]]),1)*IF(DATOS!BB$5="Sí",1/DATOS_[[% normaliz]:[% normaliz]],1)*(DATOS_[Conc.Sal.24])))))))), 0)</f>
        <v>0</v>
      </c>
      <c r="AH43" s="250" t="n">
        <f aca="false" t="array" ref="AH43:AH43">IFERROR( (MEDIAN((IF(DATOS_[[Sexo]:[Sexo]]=$B43,IF(DATOS_[[AGRUP. CLAS. PROF.]:[AGRUP. CLAS. PROF.]]=$B42,IF(DATOS_[[Check Periodo Ref.]:[Check Periodo Ref.]]="Dentro",IF(DATOS_[[Check Equiparado]:[Check Equiparado]]="Sí",IF(DATOS!BC$4="Sí",(1/DATOS_[[% anualiz]:[% anualiz]]),1)*IF(DATOS!BC$5="Sí",1/DATOS_[[% normaliz]:[% normaliz]],1)*(DATOS_[Conc.Sal.25])))))))), 0)</f>
        <v>0</v>
      </c>
      <c r="AI43" s="250" t="n">
        <f aca="false" t="array" ref="AI43:AI43">IFERROR( (MEDIAN((IF(DATOS_[[Sexo]:[Sexo]]=$B43,IF(DATOS_[[AGRUP. CLAS. PROF.]:[AGRUP. CLAS. PROF.]]=$B42,IF(DATOS_[[Check Periodo Ref.]:[Check Periodo Ref.]]="Dentro",IF(DATOS_[[Check Equiparado]:[Check Equiparado]]="Sí",IF(DATOS!BD$4="Sí",(1/DATOS_[[% anualiz]:[% anualiz]]),1)*IF(DATOS!BD$5="Sí",1/DATOS_[[% normaliz]:[% normaliz]],1)*(DATOS_[Conc.Sal.26])))))))), 0)</f>
        <v>0</v>
      </c>
      <c r="AJ43" s="250" t="n">
        <f aca="false" t="array" ref="AJ43:AJ43">IFERROR( (MEDIAN((IF(DATOS_[[Sexo]:[Sexo]]=$B43,IF(DATOS_[[AGRUP. CLAS. PROF.]:[AGRUP. CLAS. PROF.]]=$B42,IF(DATOS_[[Check Periodo Ref.]:[Check Periodo Ref.]]="Dentro",IF(DATOS_[[Check Equiparado]:[Check Equiparado]]="Sí",IF(DATOS!BE$4="Sí",(1/DATOS_[[% anualiz]:[% anualiz]]),1)*IF(DATOS!BE$5="Sí",1/DATOS_[[% normaliz]:[% normaliz]],1)*(DATOS_[Conc.Sal.27])))))))), 0)</f>
        <v>0</v>
      </c>
      <c r="AK43" s="250" t="n">
        <f aca="false" t="array" ref="AK43:AK43">IFERROR( (MEDIAN((IF(DATOS_[[Sexo]:[Sexo]]=$B43,IF(DATOS_[[AGRUP. CLAS. PROF.]:[AGRUP. CLAS. PROF.]]=$B42,IF(DATOS_[[Check Periodo Ref.]:[Check Periodo Ref.]]="Dentro",IF(DATOS_[[Check Equiparado]:[Check Equiparado]]="Sí",IF(DATOS!BF$4="Sí",(1/DATOS_[[% anualiz]:[% anualiz]]),1)*IF(DATOS!BF$5="Sí",1/DATOS_[[% normaliz]:[% normaliz]],1)*(DATOS_[Conc.Sal.28])))))))), 0)</f>
        <v>0</v>
      </c>
      <c r="AL43" s="250" t="n">
        <f aca="false" t="array" ref="AL43:AL43">IFERROR( (MEDIAN((IF(DATOS_[[Sexo]:[Sexo]]=$B43,IF(DATOS_[[AGRUP. CLAS. PROF.]:[AGRUP. CLAS. PROF.]]=$B42,IF(DATOS_[[Check Periodo Ref.]:[Check Periodo Ref.]]="Dentro",IF(DATOS_[[Check Equiparado]:[Check Equiparado]]="Sí",IF(DATOS!BG$4="Sí",(1/DATOS_[[% anualiz]:[% anualiz]]),1)*IF(DATOS!BG$5="Sí",1/DATOS_[[% normaliz]:[% normaliz]],1)*(DATOS_[Conc.Sal.29])))))))), 0)</f>
        <v>0</v>
      </c>
      <c r="AM43" s="250" t="n">
        <f aca="false" t="array" ref="AM43:AM43">IFERROR( (MEDIAN((IF(DATOS_[[Sexo]:[Sexo]]=$B43,IF(DATOS_[[AGRUP. CLAS. PROF.]:[AGRUP. CLAS. PROF.]]=$B42,IF(DATOS_[[Check Periodo Ref.]:[Check Periodo Ref.]]="Dentro",IF(DATOS_[[Check Equiparado]:[Check Equiparado]]="Sí",IF(DATOS!BH$4="Sí",(1/DATOS_[[% anualiz]:[% anualiz]]),1)*IF(DATOS!BH$5="Sí",1/DATOS_[[% normaliz]:[% normaliz]],1)*(DATOS_[Conc.Sal.30])))))))), 0)</f>
        <v>0</v>
      </c>
      <c r="AN43" s="251" t="n">
        <f aca="false" t="array" ref="AN43:AN43">IFERROR( MEDIAN(IF(DATOS_[Sexo]=$B43,IF(DATOS_[[AGRUP. CLAS. PROF.]:[AGRUP. CLAS. PROF.]]=$B42,IF(DATOS_[Check Equiparado]="Sí",IF(DATOS_[Check Periodo Ref.]="Dentro",DATOS_[Tot COMPL.SAL Eq],0))))), 0)</f>
        <v>0</v>
      </c>
      <c r="AO43" s="252" t="n">
        <f aca="false" t="array" ref="AO43:AO43">IFERROR( MEDIAN(IF(DATOS_[Sexo]=$B43,IF(DATOS_[[AGRUP. CLAS. PROF.]:[AGRUP. CLAS. PROF.]]=$B42,IF(DATOS_[Check Equiparado]="Sí",IF(DATOS_[Check Periodo Ref.]="Dentro",DATOS_[TOTAL SALARIO Eq],0))))), 0)</f>
        <v>0</v>
      </c>
      <c r="AP43" s="259" t="n">
        <f aca="false" t="array" ref="AP43:AP43">IFERROR( (MEDIAN((IF(DATOS_[[Sexo]:[Sexo]]=$B43,IF(DATOS_[[AGRUP. CLAS. PROF.]:[AGRUP. CLAS. PROF.]]=$B42,IF(DATOS_[[Check Periodo Ref.]:[Check Periodo Ref.]]="Dentro",IF(DATOS_[[Check Equiparado]:[Check Equiparado]]="Sí",IF(DATOS!BI$4="Sí",(1/DATOS_[[% anualiz]:[% anualiz]]),1)*IF(DATOS!BI$5="Sí",1/DATOS_[[% normaliz]:[% normaliz]],1)*(DATOS_[C.Extra.01])))))))), 0)</f>
        <v>0</v>
      </c>
      <c r="AQ43" s="259" t="n">
        <f aca="false" t="array" ref="AQ43:AQ43">IFERROR( (MEDIAN((IF(DATOS_[[Sexo]:[Sexo]]=$B43,IF(DATOS_[[AGRUP. CLAS. PROF.]:[AGRUP. CLAS. PROF.]]=$B42,IF(DATOS_[[Check Periodo Ref.]:[Check Periodo Ref.]]="Dentro",IF(DATOS_[[Check Equiparado]:[Check Equiparado]]="Sí",IF(DATOS!BJ$4="Sí",(1/DATOS_[[% anualiz]:[% anualiz]]),1)*IF(DATOS!BJ$5="Sí",1/DATOS_[[% normaliz]:[% normaliz]],1)*(DATOS_[C.Extra.02])))))))), 0)</f>
        <v>0</v>
      </c>
      <c r="AR43" s="259" t="n">
        <f aca="false" t="array" ref="AR43:AR43">IFERROR( (MEDIAN((IF(DATOS_[[Sexo]:[Sexo]]=$B43,IF(DATOS_[[AGRUP. CLAS. PROF.]:[AGRUP. CLAS. PROF.]]=$B42,IF(DATOS_[[Check Periodo Ref.]:[Check Periodo Ref.]]="Dentro",IF(DATOS_[[Check Equiparado]:[Check Equiparado]]="Sí",IF(DATOS!BK$4="Sí",(1/DATOS_[[% anualiz]:[% anualiz]]),1)*IF(DATOS!BK$5="Sí",1/DATOS_[[% normaliz]:[% normaliz]],1)*(DATOS_[C.Extra.03])))))))), 0)</f>
        <v>0</v>
      </c>
      <c r="AS43" s="259" t="n">
        <f aca="false" t="array" ref="AS43:AS43">IFERROR( (MEDIAN((IF(DATOS_[[Sexo]:[Sexo]]=$B43,IF(DATOS_[[AGRUP. CLAS. PROF.]:[AGRUP. CLAS. PROF.]]=$B42,IF(DATOS_[[Check Periodo Ref.]:[Check Periodo Ref.]]="Dentro",IF(DATOS_[[Check Equiparado]:[Check Equiparado]]="Sí",IF(DATOS!BL$4="Sí",(1/DATOS_[[% anualiz]:[% anualiz]]),1)*IF(DATOS!BL$5="Sí",1/DATOS_[[% normaliz]:[% normaliz]],1)*(DATOS_[C.Extra.04])))))))), 0)</f>
        <v>0</v>
      </c>
      <c r="AT43" s="259" t="n">
        <f aca="false" t="array" ref="AT43:AT43">IFERROR( (MEDIAN((IF(DATOS_[[Sexo]:[Sexo]]=$B43,IF(DATOS_[[AGRUP. CLAS. PROF.]:[AGRUP. CLAS. PROF.]]=$B42,IF(DATOS_[[Check Periodo Ref.]:[Check Periodo Ref.]]="Dentro",IF(DATOS_[[Check Equiparado]:[Check Equiparado]]="Sí",IF(DATOS!BM$4="Sí",(1/DATOS_[[% anualiz]:[% anualiz]]),1)*IF(DATOS!BM$5="Sí",1/DATOS_[[% normaliz]:[% normaliz]],1)*(DATOS_[C.Extra.05])))))))), 0)</f>
        <v>0</v>
      </c>
      <c r="AU43" s="254" t="n">
        <f aca="false" t="array" ref="AU43:AU43">IFERROR( MEDIAN(IF(DATOS_[Sexo]=$B43,IF(DATOS_[[AGRUP. CLAS. PROF.]:[AGRUP. CLAS. PROF.]]=$B42,IF(DATOS_[Check Equiparado]="Sí",IF(DATOS_[Check Periodo Ref.]="Dentro",DATOS_[Tot Extrasalarial Eq],0))))), 0)</f>
        <v>0</v>
      </c>
      <c r="AV43" s="255" t="n">
        <f aca="false" t="array" ref="AV43:AV43">IFERROR( MEDIAN(IF(DATOS_[Sexo]=$B43,IF(DATOS_[[AGRUP. CLAS. PROF.]:[AGRUP. CLAS. PROF.]]=$B42,IF(DATOS_[Check Equiparado]="Sí",IF(DATOS_[Check Periodo Ref.]="Dentro",DATOS_[TOTAL Retrib Eq],0))))), 0)</f>
        <v>0</v>
      </c>
    </row>
    <row r="44" customFormat="false" ht="14.25" hidden="false" customHeight="false" outlineLevel="0" collapsed="false">
      <c r="A44" s="217" t="str">
        <f aca="false">+A43</f>
        <v>[ocultar]</v>
      </c>
      <c r="B44" s="323" t="s">
        <v>372</v>
      </c>
      <c r="C44" s="247" t="n">
        <f aca="false" t="array" ref="C44:C44">SUM(IF($B44=DATOS_[Sexo], IF($B42=DATOS_[AGRUP. CLAS. PROF.], IF("Dentro"=DATOS_[Check Periodo Ref.], 1/(COUNTIFS(DATOS_[Sexo],$B44,DATOS_[AGRUP. CLAS. PROF.],$B42,DATOS_[Check Periodo Ref.],"Dentro",DATOS_[id],DATOS_[id]))))))</f>
        <v>0</v>
      </c>
      <c r="D44" s="248" t="n">
        <f aca="false">COUNTIFS(DATOS_[AGRUP. CLAS. PROF.],$B42,DATOS_[Sexo],$B44,DATOS_[Check Periodo Ref.],"Dentro")</f>
        <v>0</v>
      </c>
      <c r="E44" s="248" t="n">
        <f aca="false">COUNTIFS(DATOS_[AGRUP. CLAS. PROF.],$B42,DATOS_[Sexo],$B44,DATOS_[Check Periodo Ref.],"Dentro",DATOS_[Check Nº SC Norm],"Sí")</f>
        <v>0</v>
      </c>
      <c r="F44" s="248" t="n">
        <f aca="false">COUNTIFS(DATOS_[AGRUP. CLAS. PROF.],$B42,DATOS_[Sexo],$B44,DATOS_[Check Periodo Ref.],"Dentro",DATOS_[Check Nº SC Anualiz],"Sí")</f>
        <v>0</v>
      </c>
      <c r="G44" s="248" t="n">
        <f aca="false">COUNTIFS(DATOS_[AGRUP. CLAS. PROF.],$B42,DATOS_[Sexo],$B44,DATOS_[Check Periodo Ref.],"Dentro",DATOS_[Check Nº SC Norm y Anualiz],"Sí")</f>
        <v>0</v>
      </c>
      <c r="H44" s="248" t="n">
        <f aca="false">COUNTIFS(DATOS_[AGRUP. CLAS. PROF.],$B42,DATOS_[Sexo],$B44,DATOS_[Check Periodo Ref.],"Dentro",DATOS_[Check Equiparación],"Sí")</f>
        <v>0</v>
      </c>
      <c r="I44" s="249" t="n">
        <f aca="false" t="array" ref="I44:I44">IFERROR( MEDIAN(IF(DATOS_[Sexo]=$B44,IF(DATOS_[[AGRUP. CLAS. PROF.]:[AGRUP. CLAS. PROF.]]=$B42,IF(DATOS_[Check Equiparado]="Sí",IF(DATOS_[Check Periodo Ref.]="Dentro",DATOS_[SALARIO BASE Eq],0))))), 0)</f>
        <v>0</v>
      </c>
      <c r="J44" s="250" t="n">
        <f aca="false" t="array" ref="J44:J44">IFERROR( (MEDIAN((IF(DATOS_[[Sexo]:[Sexo]]=$B44,IF(DATOS_[[AGRUP. CLAS. PROF.]:[AGRUP. CLAS. PROF.]]=$B42,IF(DATOS_[[Check Periodo Ref.]:[Check Periodo Ref.]]="Dentro",IF(DATOS_[[Check Equiparado]:[Check Equiparado]]="Sí",IF(DATOS!AE$4="Sí",(1/DATOS_[[% anualiz]:[% anualiz]]),1)*IF(DATOS!AE$5="Sí",1/DATOS_[[% normaliz]:[% normaliz]],1)*(DATOS_[Conc.Sal.01])))))))), 0)</f>
        <v>0</v>
      </c>
      <c r="K44" s="250" t="n">
        <f aca="false" t="array" ref="K44:K44">IFERROR( (MEDIAN((IF(DATOS_[[Sexo]:[Sexo]]=$B44,IF(DATOS_[[AGRUP. CLAS. PROF.]:[AGRUP. CLAS. PROF.]]=$B42,IF(DATOS_[[Check Periodo Ref.]:[Check Periodo Ref.]]="Dentro",IF(DATOS_[[Check Equiparado]:[Check Equiparado]]="Sí",IF(DATOS!AF$4="Sí",(1/DATOS_[[% anualiz]:[% anualiz]]),1)*IF(DATOS!AF$5="Sí",1/DATOS_[[% normaliz]:[% normaliz]],1)*(DATOS_[Conc.Sal.02])))))))), 0)</f>
        <v>0</v>
      </c>
      <c r="L44" s="250" t="n">
        <f aca="false" t="array" ref="L44:L44">IFERROR( (MEDIAN((IF(DATOS_[[Sexo]:[Sexo]]=$B44,IF(DATOS_[[AGRUP. CLAS. PROF.]:[AGRUP. CLAS. PROF.]]=$B42,IF(DATOS_[[Check Periodo Ref.]:[Check Periodo Ref.]]="Dentro",IF(DATOS_[[Check Equiparado]:[Check Equiparado]]="Sí",IF(DATOS!AG$4="Sí",(1/DATOS_[[% anualiz]:[% anualiz]]),1)*IF(DATOS!AG$5="Sí",1/DATOS_[[% normaliz]:[% normaliz]],1)*(DATOS_[Conc.Sal.03])))))))), 0)</f>
        <v>0</v>
      </c>
      <c r="M44" s="250" t="n">
        <f aca="false" t="array" ref="M44:M44">IFERROR( (MEDIAN((IF(DATOS_[[Sexo]:[Sexo]]=$B44,IF(DATOS_[[AGRUP. CLAS. PROF.]:[AGRUP. CLAS. PROF.]]=$B42,IF(DATOS_[[Check Periodo Ref.]:[Check Periodo Ref.]]="Dentro",IF(DATOS_[[Check Equiparado]:[Check Equiparado]]="Sí",IF(DATOS!AH$4="Sí",(1/DATOS_[[% anualiz]:[% anualiz]]),1)*IF(DATOS!AH$5="Sí",1/DATOS_[[% normaliz]:[% normaliz]],1)*(DATOS_[Conc.Sal.04])))))))), 0)</f>
        <v>0</v>
      </c>
      <c r="N44" s="250" t="n">
        <f aca="false" t="array" ref="N44:N44">IFERROR( (MEDIAN((IF(DATOS_[[Sexo]:[Sexo]]=$B44,IF(DATOS_[[AGRUP. CLAS. PROF.]:[AGRUP. CLAS. PROF.]]=$B42,IF(DATOS_[[Check Periodo Ref.]:[Check Periodo Ref.]]="Dentro",IF(DATOS_[[Check Equiparado]:[Check Equiparado]]="Sí",IF(DATOS!AI$4="Sí",(1/DATOS_[[% anualiz]:[% anualiz]]),1)*IF(DATOS!AI$5="Sí",1/DATOS_[[% normaliz]:[% normaliz]],1)*(DATOS_[Conc.Sal.05])))))))), 0)</f>
        <v>0</v>
      </c>
      <c r="O44" s="250" t="n">
        <f aca="false" t="array" ref="O44:O44">IFERROR( (MEDIAN((IF(DATOS_[[Sexo]:[Sexo]]=$B44,IF(DATOS_[[AGRUP. CLAS. PROF.]:[AGRUP. CLAS. PROF.]]=$B42,IF(DATOS_[[Check Periodo Ref.]:[Check Periodo Ref.]]="Dentro",IF(DATOS_[[Check Equiparado]:[Check Equiparado]]="Sí",IF(DATOS!AJ$4="Sí",(1/DATOS_[[% anualiz]:[% anualiz]]),1)*IF(DATOS!AJ$5="Sí",1/DATOS_[[% normaliz]:[% normaliz]],1)*(DATOS_[Conc.Sal.06])))))))), 0)</f>
        <v>0</v>
      </c>
      <c r="P44" s="250" t="n">
        <f aca="false" t="array" ref="P44:P44">IFERROR( (MEDIAN((IF(DATOS_[[Sexo]:[Sexo]]=$B44,IF(DATOS_[[AGRUP. CLAS. PROF.]:[AGRUP. CLAS. PROF.]]=$B42,IF(DATOS_[[Check Periodo Ref.]:[Check Periodo Ref.]]="Dentro",IF(DATOS_[[Check Equiparado]:[Check Equiparado]]="Sí",IF(DATOS!AK$4="Sí",(1/DATOS_[[% anualiz]:[% anualiz]]),1)*IF(DATOS!AK$5="Sí",1/DATOS_[[% normaliz]:[% normaliz]],1)*(DATOS_[Conc.Sal.07])))))))), 0)</f>
        <v>0</v>
      </c>
      <c r="Q44" s="250" t="n">
        <f aca="false" t="array" ref="Q44:Q44">IFERROR( (MEDIAN((IF(DATOS_[[Sexo]:[Sexo]]=$B44,IF(DATOS_[[AGRUP. CLAS. PROF.]:[AGRUP. CLAS. PROF.]]=$B42,IF(DATOS_[[Check Periodo Ref.]:[Check Periodo Ref.]]="Dentro",IF(DATOS_[[Check Equiparado]:[Check Equiparado]]="Sí",IF(DATOS!AL$4="Sí",(1/DATOS_[[% anualiz]:[% anualiz]]),1)*IF(DATOS!AL$5="Sí",1/DATOS_[[% normaliz]:[% normaliz]],1)*(DATOS_[Conc.Sal.08])))))))), 0)</f>
        <v>0</v>
      </c>
      <c r="R44" s="250" t="n">
        <f aca="false" t="array" ref="R44:R44">IFERROR( (MEDIAN((IF(DATOS_[[Sexo]:[Sexo]]=$B44,IF(DATOS_[[AGRUP. CLAS. PROF.]:[AGRUP. CLAS. PROF.]]=$B42,IF(DATOS_[[Check Periodo Ref.]:[Check Periodo Ref.]]="Dentro",IF(DATOS_[[Check Equiparado]:[Check Equiparado]]="Sí",IF(DATOS!AM$4="Sí",(1/DATOS_[[% anualiz]:[% anualiz]]),1)*IF(DATOS!AM$5="Sí",1/DATOS_[[% normaliz]:[% normaliz]],1)*(DATOS_[Conc.Sal.09])))))))), 0)</f>
        <v>0</v>
      </c>
      <c r="S44" s="250" t="n">
        <f aca="false" t="array" ref="S44:S44">IFERROR( (MEDIAN((IF(DATOS_[[Sexo]:[Sexo]]=$B44,IF(DATOS_[[AGRUP. CLAS. PROF.]:[AGRUP. CLAS. PROF.]]=$B42,IF(DATOS_[[Check Periodo Ref.]:[Check Periodo Ref.]]="Dentro",IF(DATOS_[[Check Equiparado]:[Check Equiparado]]="Sí",IF(DATOS!AN$4="Sí",(1/DATOS_[[% anualiz]:[% anualiz]]),1)*IF(DATOS!AN$5="Sí",1/DATOS_[[% normaliz]:[% normaliz]],1)*(DATOS_[Conc.Sal.10])))))))), 0)</f>
        <v>0</v>
      </c>
      <c r="T44" s="250" t="n">
        <f aca="false" t="array" ref="T44:T44">IFERROR( (MEDIAN((IF(DATOS_[[Sexo]:[Sexo]]=$B44,IF(DATOS_[[AGRUP. CLAS. PROF.]:[AGRUP. CLAS. PROF.]]=$B42,IF(DATOS_[[Check Periodo Ref.]:[Check Periodo Ref.]]="Dentro",IF(DATOS_[[Check Equiparado]:[Check Equiparado]]="Sí",IF(DATOS!AO$4="Sí",(1/DATOS_[[% anualiz]:[% anualiz]]),1)*IF(DATOS!AO$5="Sí",1/DATOS_[[% normaliz]:[% normaliz]],1)*(DATOS_[Conc.Sal.11])))))))), 0)</f>
        <v>0</v>
      </c>
      <c r="U44" s="250" t="n">
        <f aca="false" t="array" ref="U44:U44">IFERROR( (MEDIAN((IF(DATOS_[[Sexo]:[Sexo]]=$B44,IF(DATOS_[[AGRUP. CLAS. PROF.]:[AGRUP. CLAS. PROF.]]=$B42,IF(DATOS_[[Check Periodo Ref.]:[Check Periodo Ref.]]="Dentro",IF(DATOS_[[Check Equiparado]:[Check Equiparado]]="Sí",IF(DATOS!AP$4="Sí",(1/DATOS_[[% anualiz]:[% anualiz]]),1)*IF(DATOS!AP$5="Sí",1/DATOS_[[% normaliz]:[% normaliz]],1)*(DATOS_[Conc.Sal.12])))))))), 0)</f>
        <v>0</v>
      </c>
      <c r="V44" s="250" t="n">
        <f aca="false" t="array" ref="V44:V44">IFERROR( (MEDIAN((IF(DATOS_[[Sexo]:[Sexo]]=$B44,IF(DATOS_[[AGRUP. CLAS. PROF.]:[AGRUP. CLAS. PROF.]]=$B42,IF(DATOS_[[Check Periodo Ref.]:[Check Periodo Ref.]]="Dentro",IF(DATOS_[[Check Equiparado]:[Check Equiparado]]="Sí",IF(DATOS!AQ$4="Sí",(1/DATOS_[[% anualiz]:[% anualiz]]),1)*IF(DATOS!AQ$5="Sí",1/DATOS_[[% normaliz]:[% normaliz]],1)*(DATOS_[Conc.Sal.13])))))))), 0)</f>
        <v>0</v>
      </c>
      <c r="W44" s="250" t="n">
        <f aca="false" t="array" ref="W44:W44">IFERROR( (MEDIAN((IF(DATOS_[[Sexo]:[Sexo]]=$B44,IF(DATOS_[[AGRUP. CLAS. PROF.]:[AGRUP. CLAS. PROF.]]=$B42,IF(DATOS_[[Check Periodo Ref.]:[Check Periodo Ref.]]="Dentro",IF(DATOS_[[Check Equiparado]:[Check Equiparado]]="Sí",IF(DATOS!AR$4="Sí",(1/DATOS_[[% anualiz]:[% anualiz]]),1)*IF(DATOS!AR$5="Sí",1/DATOS_[[% normaliz]:[% normaliz]],1)*(DATOS_[Conc.Sal.14])))))))), 0)</f>
        <v>0</v>
      </c>
      <c r="X44" s="250" t="n">
        <f aca="false" t="array" ref="X44:X44">IFERROR( (MEDIAN((IF(DATOS_[[Sexo]:[Sexo]]=$B44,IF(DATOS_[[AGRUP. CLAS. PROF.]:[AGRUP. CLAS. PROF.]]=$B42,IF(DATOS_[[Check Periodo Ref.]:[Check Periodo Ref.]]="Dentro",IF(DATOS_[[Check Equiparado]:[Check Equiparado]]="Sí",IF(DATOS!AS$4="Sí",(1/DATOS_[[% anualiz]:[% anualiz]]),1)*IF(DATOS!AS$5="Sí",1/DATOS_[[% normaliz]:[% normaliz]],1)*(DATOS_[Conc.Sal.15])))))))), 0)</f>
        <v>0</v>
      </c>
      <c r="Y44" s="250" t="n">
        <f aca="false" t="array" ref="Y44:Y44">IFERROR( (MEDIAN((IF(DATOS_[[Sexo]:[Sexo]]=$B44,IF(DATOS_[[AGRUP. CLAS. PROF.]:[AGRUP. CLAS. PROF.]]=$B42,IF(DATOS_[[Check Periodo Ref.]:[Check Periodo Ref.]]="Dentro",IF(DATOS_[[Check Equiparado]:[Check Equiparado]]="Sí",IF(DATOS!AT$4="Sí",(1/DATOS_[[% anualiz]:[% anualiz]]),1)*IF(DATOS!AT$5="Sí",1/DATOS_[[% normaliz]:[% normaliz]],1)*(DATOS_[Conc.Sal.16])))))))), 0)</f>
        <v>0</v>
      </c>
      <c r="Z44" s="250" t="n">
        <f aca="false" t="array" ref="Z44:Z44">IFERROR( (MEDIAN((IF(DATOS_[[Sexo]:[Sexo]]=$B44,IF(DATOS_[[AGRUP. CLAS. PROF.]:[AGRUP. CLAS. PROF.]]=$B42,IF(DATOS_[[Check Periodo Ref.]:[Check Periodo Ref.]]="Dentro",IF(DATOS_[[Check Equiparado]:[Check Equiparado]]="Sí",IF(DATOS!AU$4="Sí",(1/DATOS_[[% anualiz]:[% anualiz]]),1)*IF(DATOS!AU$5="Sí",1/DATOS_[[% normaliz]:[% normaliz]],1)*(DATOS_[Conc.Sal.17])))))))), 0)</f>
        <v>0</v>
      </c>
      <c r="AA44" s="250" t="n">
        <f aca="false" t="array" ref="AA44:AA44">IFERROR( (MEDIAN((IF(DATOS_[[Sexo]:[Sexo]]=$B44,IF(DATOS_[[AGRUP. CLAS. PROF.]:[AGRUP. CLAS. PROF.]]=$B42,IF(DATOS_[[Check Periodo Ref.]:[Check Periodo Ref.]]="Dentro",IF(DATOS_[[Check Equiparado]:[Check Equiparado]]="Sí",IF(DATOS!AV$4="Sí",(1/DATOS_[[% anualiz]:[% anualiz]]),1)*IF(DATOS!AV$5="Sí",1/DATOS_[[% normaliz]:[% normaliz]],1)*(DATOS_[Conc.Sal.18])))))))), 0)</f>
        <v>0</v>
      </c>
      <c r="AB44" s="250" t="n">
        <f aca="false" t="array" ref="AB44:AB44">IFERROR( (MEDIAN((IF(DATOS_[[Sexo]:[Sexo]]=$B44,IF(DATOS_[[AGRUP. CLAS. PROF.]:[AGRUP. CLAS. PROF.]]=$B42,IF(DATOS_[[Check Periodo Ref.]:[Check Periodo Ref.]]="Dentro",IF(DATOS_[[Check Equiparado]:[Check Equiparado]]="Sí",IF(DATOS!AW$4="Sí",(1/DATOS_[[% anualiz]:[% anualiz]]),1)*IF(DATOS!AW$5="Sí",1/DATOS_[[% normaliz]:[% normaliz]],1)*(DATOS_[Conc.Sal.19])))))))), 0)</f>
        <v>0</v>
      </c>
      <c r="AC44" s="250" t="n">
        <f aca="false" t="array" ref="AC44:AC44">IFERROR( (MEDIAN((IF(DATOS_[[Sexo]:[Sexo]]=$B44,IF(DATOS_[[AGRUP. CLAS. PROF.]:[AGRUP. CLAS. PROF.]]=$B42,IF(DATOS_[[Check Periodo Ref.]:[Check Periodo Ref.]]="Dentro",IF(DATOS_[[Check Equiparado]:[Check Equiparado]]="Sí",IF(DATOS!AX$4="Sí",(1/DATOS_[[% anualiz]:[% anualiz]]),1)*IF(DATOS!AX$5="Sí",1/DATOS_[[% normaliz]:[% normaliz]],1)*(DATOS_[Conc.Sal.20])))))))), 0)</f>
        <v>0</v>
      </c>
      <c r="AD44" s="250" t="n">
        <f aca="false" t="array" ref="AD44:AD44">IFERROR( (MEDIAN((IF(DATOS_[[Sexo]:[Sexo]]=$B44,IF(DATOS_[[AGRUP. CLAS. PROF.]:[AGRUP. CLAS. PROF.]]=$B42,IF(DATOS_[[Check Periodo Ref.]:[Check Periodo Ref.]]="Dentro",IF(DATOS_[[Check Equiparado]:[Check Equiparado]]="Sí",IF(DATOS!AY$4="Sí",(1/DATOS_[[% anualiz]:[% anualiz]]),1)*IF(DATOS!AY$5="Sí",1/DATOS_[[% normaliz]:[% normaliz]],1)*(DATOS_[Conc.Sal.21])))))))), 0)</f>
        <v>0</v>
      </c>
      <c r="AE44" s="250" t="n">
        <f aca="false" t="array" ref="AE44:AE44">IFERROR( (MEDIAN((IF(DATOS_[[Sexo]:[Sexo]]=$B44,IF(DATOS_[[AGRUP. CLAS. PROF.]:[AGRUP. CLAS. PROF.]]=$B42,IF(DATOS_[[Check Periodo Ref.]:[Check Periodo Ref.]]="Dentro",IF(DATOS_[[Check Equiparado]:[Check Equiparado]]="Sí",IF(DATOS!AZ$4="Sí",(1/DATOS_[[% anualiz]:[% anualiz]]),1)*IF(DATOS!AZ$5="Sí",1/DATOS_[[% normaliz]:[% normaliz]],1)*(DATOS_[Conc.Sal.22])))))))), 0)</f>
        <v>0</v>
      </c>
      <c r="AF44" s="250" t="n">
        <f aca="false" t="array" ref="AF44:AF44">IFERROR( (MEDIAN((IF(DATOS_[[Sexo]:[Sexo]]=$B44,IF(DATOS_[[AGRUP. CLAS. PROF.]:[AGRUP. CLAS. PROF.]]=$B42,IF(DATOS_[[Check Periodo Ref.]:[Check Periodo Ref.]]="Dentro",IF(DATOS_[[Check Equiparado]:[Check Equiparado]]="Sí",IF(DATOS!BA$4="Sí",(1/DATOS_[[% anualiz]:[% anualiz]]),1)*IF(DATOS!BA$5="Sí",1/DATOS_[[% normaliz]:[% normaliz]],1)*(DATOS_[Conc.Sal.23])))))))), 0)</f>
        <v>0</v>
      </c>
      <c r="AG44" s="250" t="n">
        <f aca="false" t="array" ref="AG44:AG44">IFERROR( (MEDIAN((IF(DATOS_[[Sexo]:[Sexo]]=$B44,IF(DATOS_[[AGRUP. CLAS. PROF.]:[AGRUP. CLAS. PROF.]]=$B42,IF(DATOS_[[Check Periodo Ref.]:[Check Periodo Ref.]]="Dentro",IF(DATOS_[[Check Equiparado]:[Check Equiparado]]="Sí",IF(DATOS!BB$4="Sí",(1/DATOS_[[% anualiz]:[% anualiz]]),1)*IF(DATOS!BB$5="Sí",1/DATOS_[[% normaliz]:[% normaliz]],1)*(DATOS_[Conc.Sal.24])))))))), 0)</f>
        <v>0</v>
      </c>
      <c r="AH44" s="250" t="n">
        <f aca="false" t="array" ref="AH44:AH44">IFERROR( (MEDIAN((IF(DATOS_[[Sexo]:[Sexo]]=$B44,IF(DATOS_[[AGRUP. CLAS. PROF.]:[AGRUP. CLAS. PROF.]]=$B42,IF(DATOS_[[Check Periodo Ref.]:[Check Periodo Ref.]]="Dentro",IF(DATOS_[[Check Equiparado]:[Check Equiparado]]="Sí",IF(DATOS!BC$4="Sí",(1/DATOS_[[% anualiz]:[% anualiz]]),1)*IF(DATOS!BC$5="Sí",1/DATOS_[[% normaliz]:[% normaliz]],1)*(DATOS_[Conc.Sal.25])))))))), 0)</f>
        <v>0</v>
      </c>
      <c r="AI44" s="250" t="n">
        <f aca="false" t="array" ref="AI44:AI44">IFERROR( (MEDIAN((IF(DATOS_[[Sexo]:[Sexo]]=$B44,IF(DATOS_[[AGRUP. CLAS. PROF.]:[AGRUP. CLAS. PROF.]]=$B42,IF(DATOS_[[Check Periodo Ref.]:[Check Periodo Ref.]]="Dentro",IF(DATOS_[[Check Equiparado]:[Check Equiparado]]="Sí",IF(DATOS!BD$4="Sí",(1/DATOS_[[% anualiz]:[% anualiz]]),1)*IF(DATOS!BD$5="Sí",1/DATOS_[[% normaliz]:[% normaliz]],1)*(DATOS_[Conc.Sal.26])))))))), 0)</f>
        <v>0</v>
      </c>
      <c r="AJ44" s="250" t="n">
        <f aca="false" t="array" ref="AJ44:AJ44">IFERROR( (MEDIAN((IF(DATOS_[[Sexo]:[Sexo]]=$B44,IF(DATOS_[[AGRUP. CLAS. PROF.]:[AGRUP. CLAS. PROF.]]=$B42,IF(DATOS_[[Check Periodo Ref.]:[Check Periodo Ref.]]="Dentro",IF(DATOS_[[Check Equiparado]:[Check Equiparado]]="Sí",IF(DATOS!BE$4="Sí",(1/DATOS_[[% anualiz]:[% anualiz]]),1)*IF(DATOS!BE$5="Sí",1/DATOS_[[% normaliz]:[% normaliz]],1)*(DATOS_[Conc.Sal.27])))))))), 0)</f>
        <v>0</v>
      </c>
      <c r="AK44" s="250" t="n">
        <f aca="false" t="array" ref="AK44:AK44">IFERROR( (MEDIAN((IF(DATOS_[[Sexo]:[Sexo]]=$B44,IF(DATOS_[[AGRUP. CLAS. PROF.]:[AGRUP. CLAS. PROF.]]=$B42,IF(DATOS_[[Check Periodo Ref.]:[Check Periodo Ref.]]="Dentro",IF(DATOS_[[Check Equiparado]:[Check Equiparado]]="Sí",IF(DATOS!BF$4="Sí",(1/DATOS_[[% anualiz]:[% anualiz]]),1)*IF(DATOS!BF$5="Sí",1/DATOS_[[% normaliz]:[% normaliz]],1)*(DATOS_[Conc.Sal.28])))))))), 0)</f>
        <v>0</v>
      </c>
      <c r="AL44" s="250" t="n">
        <f aca="false" t="array" ref="AL44:AL44">IFERROR( (MEDIAN((IF(DATOS_[[Sexo]:[Sexo]]=$B44,IF(DATOS_[[AGRUP. CLAS. PROF.]:[AGRUP. CLAS. PROF.]]=$B42,IF(DATOS_[[Check Periodo Ref.]:[Check Periodo Ref.]]="Dentro",IF(DATOS_[[Check Equiparado]:[Check Equiparado]]="Sí",IF(DATOS!BG$4="Sí",(1/DATOS_[[% anualiz]:[% anualiz]]),1)*IF(DATOS!BG$5="Sí",1/DATOS_[[% normaliz]:[% normaliz]],1)*(DATOS_[Conc.Sal.29])))))))), 0)</f>
        <v>0</v>
      </c>
      <c r="AM44" s="250" t="n">
        <f aca="false" t="array" ref="AM44:AM44">IFERROR( (MEDIAN((IF(DATOS_[[Sexo]:[Sexo]]=$B44,IF(DATOS_[[AGRUP. CLAS. PROF.]:[AGRUP. CLAS. PROF.]]=$B42,IF(DATOS_[[Check Periodo Ref.]:[Check Periodo Ref.]]="Dentro",IF(DATOS_[[Check Equiparado]:[Check Equiparado]]="Sí",IF(DATOS!BH$4="Sí",(1/DATOS_[[% anualiz]:[% anualiz]]),1)*IF(DATOS!BH$5="Sí",1/DATOS_[[% normaliz]:[% normaliz]],1)*(DATOS_[Conc.Sal.30])))))))), 0)</f>
        <v>0</v>
      </c>
      <c r="AN44" s="251" t="n">
        <f aca="false" t="array" ref="AN44:AN44">IFERROR( MEDIAN(IF(DATOS_[Sexo]=$B44,IF(DATOS_[[AGRUP. CLAS. PROF.]:[AGRUP. CLAS. PROF.]]=$B42,IF(DATOS_[Check Equiparado]="Sí",IF(DATOS_[Check Periodo Ref.]="Dentro",DATOS_[Tot COMPL.SAL Eq],0))))), 0)</f>
        <v>0</v>
      </c>
      <c r="AO44" s="252" t="n">
        <f aca="false" t="array" ref="AO44:AO44">IFERROR( MEDIAN(IF(DATOS_[Sexo]=$B44,IF(DATOS_[[AGRUP. CLAS. PROF.]:[AGRUP. CLAS. PROF.]]=$B42,IF(DATOS_[Check Equiparado]="Sí",IF(DATOS_[Check Periodo Ref.]="Dentro",DATOS_[TOTAL SALARIO Eq],0))))), 0)</f>
        <v>0</v>
      </c>
      <c r="AP44" s="259" t="n">
        <f aca="false" t="array" ref="AP44:AP44">IFERROR( (MEDIAN((IF(DATOS_[[Sexo]:[Sexo]]=$B44,IF(DATOS_[[AGRUP. CLAS. PROF.]:[AGRUP. CLAS. PROF.]]=$B43,IF(DATOS_[[Check Periodo Ref.]:[Check Periodo Ref.]]="Dentro",IF(DATOS_[[Check Equiparado]:[Check Equiparado]]="Sí",IF(DATOS!BI$4="Sí",(1/DATOS_[[% anualiz]:[% anualiz]]),1)*IF(DATOS!BI$5="Sí",1/DATOS_[[% normaliz]:[% normaliz]],1)*(DATOS_[C.Extra.01])))))))), 0)</f>
        <v>0</v>
      </c>
      <c r="AQ44" s="259" t="n">
        <f aca="false" t="array" ref="AQ44:AQ44">IFERROR( (MEDIAN((IF(DATOS_[[Sexo]:[Sexo]]=$B44,IF(DATOS_[[AGRUP. CLAS. PROF.]:[AGRUP. CLAS. PROF.]]=$B43,IF(DATOS_[[Check Periodo Ref.]:[Check Periodo Ref.]]="Dentro",IF(DATOS_[[Check Equiparado]:[Check Equiparado]]="Sí",IF(DATOS!BJ$4="Sí",(1/DATOS_[[% anualiz]:[% anualiz]]),1)*IF(DATOS!BJ$5="Sí",1/DATOS_[[% normaliz]:[% normaliz]],1)*(DATOS_[C.Extra.02])))))))), 0)</f>
        <v>0</v>
      </c>
      <c r="AR44" s="259" t="n">
        <f aca="false" t="array" ref="AR44:AR44">IFERROR( (MEDIAN((IF(DATOS_[[Sexo]:[Sexo]]=$B44,IF(DATOS_[[AGRUP. CLAS. PROF.]:[AGRUP. CLAS. PROF.]]=$B43,IF(DATOS_[[Check Periodo Ref.]:[Check Periodo Ref.]]="Dentro",IF(DATOS_[[Check Equiparado]:[Check Equiparado]]="Sí",IF(DATOS!BK$4="Sí",(1/DATOS_[[% anualiz]:[% anualiz]]),1)*IF(DATOS!BK$5="Sí",1/DATOS_[[% normaliz]:[% normaliz]],1)*(DATOS_[C.Extra.03])))))))), 0)</f>
        <v>0</v>
      </c>
      <c r="AS44" s="259" t="n">
        <f aca="false" t="array" ref="AS44:AS44">IFERROR( (MEDIAN((IF(DATOS_[[Sexo]:[Sexo]]=$B44,IF(DATOS_[[AGRUP. CLAS. PROF.]:[AGRUP. CLAS. PROF.]]=$B43,IF(DATOS_[[Check Periodo Ref.]:[Check Periodo Ref.]]="Dentro",IF(DATOS_[[Check Equiparado]:[Check Equiparado]]="Sí",IF(DATOS!BL$4="Sí",(1/DATOS_[[% anualiz]:[% anualiz]]),1)*IF(DATOS!BL$5="Sí",1/DATOS_[[% normaliz]:[% normaliz]],1)*(DATOS_[C.Extra.04])))))))), 0)</f>
        <v>0</v>
      </c>
      <c r="AT44" s="259" t="n">
        <f aca="false" t="array" ref="AT44:AT44">IFERROR( (MEDIAN((IF(DATOS_[[Sexo]:[Sexo]]=$B44,IF(DATOS_[[AGRUP. CLAS. PROF.]:[AGRUP. CLAS. PROF.]]=$B43,IF(DATOS_[[Check Periodo Ref.]:[Check Periodo Ref.]]="Dentro",IF(DATOS_[[Check Equiparado]:[Check Equiparado]]="Sí",IF(DATOS!BM$4="Sí",(1/DATOS_[[% anualiz]:[% anualiz]]),1)*IF(DATOS!BM$5="Sí",1/DATOS_[[% normaliz]:[% normaliz]],1)*(DATOS_[C.Extra.05])))))))), 0)</f>
        <v>0</v>
      </c>
      <c r="AU44" s="254" t="n">
        <f aca="false" t="array" ref="AU44:AU44">IFERROR( MEDIAN(IF(DATOS_[Sexo]=$B44,IF(DATOS_[[AGRUP. CLAS. PROF.]:[AGRUP. CLAS. PROF.]]=$B42,IF(DATOS_[Check Equiparado]="Sí",IF(DATOS_[Check Periodo Ref.]="Dentro",DATOS_[Tot Extrasalarial Eq],0))))), 0)</f>
        <v>0</v>
      </c>
      <c r="AV44" s="255" t="n">
        <f aca="false" t="array" ref="AV44:AV44">IFERROR( MEDIAN(IF(DATOS_[Sexo]=$B44,IF(DATOS_[[AGRUP. CLAS. PROF.]:[AGRUP. CLAS. PROF.]]=$B42,IF(DATOS_[Check Equiparado]="Sí",IF(DATOS_[Check Periodo Ref.]="Dentro",DATOS_[TOTAL Retrib Eq],0))))), 0)</f>
        <v>0</v>
      </c>
    </row>
    <row r="45" customFormat="false" ht="15.75" hidden="false" customHeight="false" outlineLevel="0" collapsed="false">
      <c r="A45" s="217" t="str">
        <f aca="false">+A46</f>
        <v>[ocultar]</v>
      </c>
      <c r="B45" s="320" t="s">
        <v>198</v>
      </c>
      <c r="C45" s="236"/>
      <c r="D45" s="237"/>
      <c r="E45" s="237"/>
      <c r="F45" s="237"/>
      <c r="G45" s="237"/>
      <c r="H45" s="237"/>
      <c r="I45" s="238"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39" t="str">
        <f aca="false">IFERROR((V46-V47)/V46,"")</f>
        <v/>
      </c>
      <c r="W45" s="239" t="str">
        <f aca="false">IFERROR((W46-W47)/W46,"")</f>
        <v/>
      </c>
      <c r="X45" s="239" t="str">
        <f aca="false">IFERROR((X46-X47)/X46,"")</f>
        <v/>
      </c>
      <c r="Y45" s="239"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0" t="str">
        <f aca="false">IFERROR((AJ46-AJ47)/AJ46,"")</f>
        <v/>
      </c>
      <c r="AK45" s="240" t="str">
        <f aca="false">IFERROR((AK46-AK47)/AK46,"")</f>
        <v/>
      </c>
      <c r="AL45" s="240" t="str">
        <f aca="false">IFERROR((AL46-AL47)/AL46,"")</f>
        <v/>
      </c>
      <c r="AM45" s="240" t="str">
        <f aca="false">IFERROR((AM46-AM47)/AM46,"")</f>
        <v/>
      </c>
      <c r="AN45" s="241" t="str">
        <f aca="false">IFERROR((AN46-AN47)/AN46,"")</f>
        <v/>
      </c>
      <c r="AO45" s="242" t="str">
        <f aca="false">IFERROR((AO46-AO47)/AO46,"")</f>
        <v/>
      </c>
      <c r="AP45" s="243" t="str">
        <f aca="false">IFERROR((AP46-AP47)/AP46,"")</f>
        <v/>
      </c>
      <c r="AQ45" s="243" t="str">
        <f aca="false">IFERROR((AQ46-AQ47)/AQ46,"")</f>
        <v/>
      </c>
      <c r="AR45" s="243" t="str">
        <f aca="false">IFERROR((AR46-AR47)/AR46,"")</f>
        <v/>
      </c>
      <c r="AS45" s="243" t="str">
        <f aca="false">IFERROR((AS46-AS47)/AS46,"")</f>
        <v/>
      </c>
      <c r="AT45" s="243" t="str">
        <f aca="false">IFERROR((AT46-AT47)/AT46,"")</f>
        <v/>
      </c>
      <c r="AU45" s="244" t="str">
        <f aca="false">IFERROR((AU46-AU47)/AU46,"")</f>
        <v/>
      </c>
      <c r="AV45" s="245" t="str">
        <f aca="false">IFERROR((AV46-AV47)/AV46,"")</f>
        <v/>
      </c>
    </row>
    <row r="46" customFormat="false" ht="14.25" hidden="false" customHeight="false" outlineLevel="0" collapsed="false">
      <c r="A46" s="217" t="str">
        <f aca="false">+IF(C46+C47=0,"[ocultar]","")</f>
        <v>[ocultar]</v>
      </c>
      <c r="B46" s="323" t="s">
        <v>371</v>
      </c>
      <c r="C46" s="247" t="n">
        <f aca="false" t="array" ref="C46:C46">SUM(IF($B46=DATOS_[Sexo], IF($B45=DATOS_[AGRUP. CLAS. PROF.], IF("Dentro"=DATOS_[Check Periodo Ref.], 1/(COUNTIFS(DATOS_[Sexo],$B46,DATOS_[AGRUP. CLAS. PROF.],$B45,DATOS_[Check Periodo Ref.],"Dentro",DATOS_[id],DATOS_[id]))))))</f>
        <v>0</v>
      </c>
      <c r="D46" s="248" t="n">
        <f aca="false">COUNTIFS(DATOS_[AGRUP. CLAS. PROF.],$B45,DATOS_[Sexo],$B46,DATOS_[Check Periodo Ref.],"Dentro")</f>
        <v>0</v>
      </c>
      <c r="E46" s="248" t="n">
        <f aca="false">COUNTIFS(DATOS_[AGRUP. CLAS. PROF.],$B45,DATOS_[Sexo],$B46,DATOS_[Check Periodo Ref.],"Dentro",DATOS_[Check Nº SC Norm],"Sí")</f>
        <v>0</v>
      </c>
      <c r="F46" s="248" t="n">
        <f aca="false">COUNTIFS(DATOS_[AGRUP. CLAS. PROF.],$B45,DATOS_[Sexo],$B46,DATOS_[Check Periodo Ref.],"Dentro",DATOS_[Check Nº SC Anualiz],"Sí")</f>
        <v>0</v>
      </c>
      <c r="G46" s="248" t="n">
        <f aca="false">COUNTIFS(DATOS_[AGRUP. CLAS. PROF.],$B45,DATOS_[Sexo],$B46,DATOS_[Check Periodo Ref.],"Dentro",DATOS_[Check Nº SC Norm y Anualiz],"Sí")</f>
        <v>0</v>
      </c>
      <c r="H46" s="248" t="n">
        <f aca="false">COUNTIFS(DATOS_[AGRUP. CLAS. PROF.],$B45,DATOS_[Sexo],$B46,DATOS_[Check Periodo Ref.],"Dentro",DATOS_[Check Equiparación],"Sí")</f>
        <v>0</v>
      </c>
      <c r="I46" s="249" t="n">
        <f aca="false" t="array" ref="I46:I46">IFERROR( MEDIAN(IF(DATOS_[Sexo]=$B46,IF(DATOS_[[AGRUP. CLAS. PROF.]:[AGRUP. CLAS. PROF.]]=$B45,IF(DATOS_[Check Equiparado]="Sí",IF(DATOS_[Check Periodo Ref.]="Dentro",DATOS_[SALARIO BASE Eq],0))))), 0)</f>
        <v>0</v>
      </c>
      <c r="J46" s="250" t="n">
        <f aca="false" t="array" ref="J46:J46">IFERROR( (MEDIAN((IF(DATOS_[[Sexo]:[Sexo]]=$B46,IF(DATOS_[[AGRUP. CLAS. PROF.]:[AGRUP. CLAS. PROF.]]=$B45,IF(DATOS_[[Check Periodo Ref.]:[Check Periodo Ref.]]="Dentro",IF(DATOS_[[Check Equiparado]:[Check Equiparado]]="Sí",IF(DATOS!AE$4="Sí",(1/DATOS_[[% anualiz]:[% anualiz]]),1)*IF(DATOS!AE$5="Sí",1/DATOS_[[% normaliz]:[% normaliz]],1)*(DATOS_[Conc.Sal.01])))))))), 0)</f>
        <v>0</v>
      </c>
      <c r="K46" s="250" t="n">
        <f aca="false" t="array" ref="K46:K46">IFERROR( (MEDIAN((IF(DATOS_[[Sexo]:[Sexo]]=$B46,IF(DATOS_[[AGRUP. CLAS. PROF.]:[AGRUP. CLAS. PROF.]]=$B45,IF(DATOS_[[Check Periodo Ref.]:[Check Periodo Ref.]]="Dentro",IF(DATOS_[[Check Equiparado]:[Check Equiparado]]="Sí",IF(DATOS!AF$4="Sí",(1/DATOS_[[% anualiz]:[% anualiz]]),1)*IF(DATOS!AF$5="Sí",1/DATOS_[[% normaliz]:[% normaliz]],1)*(DATOS_[Conc.Sal.02])))))))), 0)</f>
        <v>0</v>
      </c>
      <c r="L46" s="250" t="n">
        <f aca="false" t="array" ref="L46:L46">IFERROR( (MEDIAN((IF(DATOS_[[Sexo]:[Sexo]]=$B46,IF(DATOS_[[AGRUP. CLAS. PROF.]:[AGRUP. CLAS. PROF.]]=$B45,IF(DATOS_[[Check Periodo Ref.]:[Check Periodo Ref.]]="Dentro",IF(DATOS_[[Check Equiparado]:[Check Equiparado]]="Sí",IF(DATOS!AG$4="Sí",(1/DATOS_[[% anualiz]:[% anualiz]]),1)*IF(DATOS!AG$5="Sí",1/DATOS_[[% normaliz]:[% normaliz]],1)*(DATOS_[Conc.Sal.03])))))))), 0)</f>
        <v>0</v>
      </c>
      <c r="M46" s="250" t="n">
        <f aca="false" t="array" ref="M46:M46">IFERROR( (MEDIAN((IF(DATOS_[[Sexo]:[Sexo]]=$B46,IF(DATOS_[[AGRUP. CLAS. PROF.]:[AGRUP. CLAS. PROF.]]=$B45,IF(DATOS_[[Check Periodo Ref.]:[Check Periodo Ref.]]="Dentro",IF(DATOS_[[Check Equiparado]:[Check Equiparado]]="Sí",IF(DATOS!AH$4="Sí",(1/DATOS_[[% anualiz]:[% anualiz]]),1)*IF(DATOS!AH$5="Sí",1/DATOS_[[% normaliz]:[% normaliz]],1)*(DATOS_[Conc.Sal.04])))))))), 0)</f>
        <v>0</v>
      </c>
      <c r="N46" s="250" t="n">
        <f aca="false" t="array" ref="N46:N46">IFERROR( (MEDIAN((IF(DATOS_[[Sexo]:[Sexo]]=$B46,IF(DATOS_[[AGRUP. CLAS. PROF.]:[AGRUP. CLAS. PROF.]]=$B45,IF(DATOS_[[Check Periodo Ref.]:[Check Periodo Ref.]]="Dentro",IF(DATOS_[[Check Equiparado]:[Check Equiparado]]="Sí",IF(DATOS!AI$4="Sí",(1/DATOS_[[% anualiz]:[% anualiz]]),1)*IF(DATOS!AI$5="Sí",1/DATOS_[[% normaliz]:[% normaliz]],1)*(DATOS_[Conc.Sal.05])))))))), 0)</f>
        <v>0</v>
      </c>
      <c r="O46" s="250" t="n">
        <f aca="false" t="array" ref="O46:O46">IFERROR( (MEDIAN((IF(DATOS_[[Sexo]:[Sexo]]=$B46,IF(DATOS_[[AGRUP. CLAS. PROF.]:[AGRUP. CLAS. PROF.]]=$B45,IF(DATOS_[[Check Periodo Ref.]:[Check Periodo Ref.]]="Dentro",IF(DATOS_[[Check Equiparado]:[Check Equiparado]]="Sí",IF(DATOS!AJ$4="Sí",(1/DATOS_[[% anualiz]:[% anualiz]]),1)*IF(DATOS!AJ$5="Sí",1/DATOS_[[% normaliz]:[% normaliz]],1)*(DATOS_[Conc.Sal.06])))))))), 0)</f>
        <v>0</v>
      </c>
      <c r="P46" s="250" t="n">
        <f aca="false" t="array" ref="P46:P46">IFERROR( (MEDIAN((IF(DATOS_[[Sexo]:[Sexo]]=$B46,IF(DATOS_[[AGRUP. CLAS. PROF.]:[AGRUP. CLAS. PROF.]]=$B45,IF(DATOS_[[Check Periodo Ref.]:[Check Periodo Ref.]]="Dentro",IF(DATOS_[[Check Equiparado]:[Check Equiparado]]="Sí",IF(DATOS!AK$4="Sí",(1/DATOS_[[% anualiz]:[% anualiz]]),1)*IF(DATOS!AK$5="Sí",1/DATOS_[[% normaliz]:[% normaliz]],1)*(DATOS_[Conc.Sal.07])))))))), 0)</f>
        <v>0</v>
      </c>
      <c r="Q46" s="250" t="n">
        <f aca="false" t="array" ref="Q46:Q46">IFERROR( (MEDIAN((IF(DATOS_[[Sexo]:[Sexo]]=$B46,IF(DATOS_[[AGRUP. CLAS. PROF.]:[AGRUP. CLAS. PROF.]]=$B45,IF(DATOS_[[Check Periodo Ref.]:[Check Periodo Ref.]]="Dentro",IF(DATOS_[[Check Equiparado]:[Check Equiparado]]="Sí",IF(DATOS!AL$4="Sí",(1/DATOS_[[% anualiz]:[% anualiz]]),1)*IF(DATOS!AL$5="Sí",1/DATOS_[[% normaliz]:[% normaliz]],1)*(DATOS_[Conc.Sal.08])))))))), 0)</f>
        <v>0</v>
      </c>
      <c r="R46" s="250" t="n">
        <f aca="false" t="array" ref="R46:R46">IFERROR( (MEDIAN((IF(DATOS_[[Sexo]:[Sexo]]=$B46,IF(DATOS_[[AGRUP. CLAS. PROF.]:[AGRUP. CLAS. PROF.]]=$B45,IF(DATOS_[[Check Periodo Ref.]:[Check Periodo Ref.]]="Dentro",IF(DATOS_[[Check Equiparado]:[Check Equiparado]]="Sí",IF(DATOS!AM$4="Sí",(1/DATOS_[[% anualiz]:[% anualiz]]),1)*IF(DATOS!AM$5="Sí",1/DATOS_[[% normaliz]:[% normaliz]],1)*(DATOS_[Conc.Sal.09])))))))), 0)</f>
        <v>0</v>
      </c>
      <c r="S46" s="250" t="n">
        <f aca="false" t="array" ref="S46:S46">IFERROR( (MEDIAN((IF(DATOS_[[Sexo]:[Sexo]]=$B46,IF(DATOS_[[AGRUP. CLAS. PROF.]:[AGRUP. CLAS. PROF.]]=$B45,IF(DATOS_[[Check Periodo Ref.]:[Check Periodo Ref.]]="Dentro",IF(DATOS_[[Check Equiparado]:[Check Equiparado]]="Sí",IF(DATOS!AN$4="Sí",(1/DATOS_[[% anualiz]:[% anualiz]]),1)*IF(DATOS!AN$5="Sí",1/DATOS_[[% normaliz]:[% normaliz]],1)*(DATOS_[Conc.Sal.10])))))))), 0)</f>
        <v>0</v>
      </c>
      <c r="T46" s="250" t="n">
        <f aca="false" t="array" ref="T46:T46">IFERROR( (MEDIAN((IF(DATOS_[[Sexo]:[Sexo]]=$B46,IF(DATOS_[[AGRUP. CLAS. PROF.]:[AGRUP. CLAS. PROF.]]=$B45,IF(DATOS_[[Check Periodo Ref.]:[Check Periodo Ref.]]="Dentro",IF(DATOS_[[Check Equiparado]:[Check Equiparado]]="Sí",IF(DATOS!AO$4="Sí",(1/DATOS_[[% anualiz]:[% anualiz]]),1)*IF(DATOS!AO$5="Sí",1/DATOS_[[% normaliz]:[% normaliz]],1)*(DATOS_[Conc.Sal.11])))))))), 0)</f>
        <v>0</v>
      </c>
      <c r="U46" s="250" t="n">
        <f aca="false" t="array" ref="U46:U46">IFERROR( (MEDIAN((IF(DATOS_[[Sexo]:[Sexo]]=$B46,IF(DATOS_[[AGRUP. CLAS. PROF.]:[AGRUP. CLAS. PROF.]]=$B45,IF(DATOS_[[Check Periodo Ref.]:[Check Periodo Ref.]]="Dentro",IF(DATOS_[[Check Equiparado]:[Check Equiparado]]="Sí",IF(DATOS!AP$4="Sí",(1/DATOS_[[% anualiz]:[% anualiz]]),1)*IF(DATOS!AP$5="Sí",1/DATOS_[[% normaliz]:[% normaliz]],1)*(DATOS_[Conc.Sal.12])))))))), 0)</f>
        <v>0</v>
      </c>
      <c r="V46" s="250" t="n">
        <f aca="false" t="array" ref="V46:V46">IFERROR( (MEDIAN((IF(DATOS_[[Sexo]:[Sexo]]=$B46,IF(DATOS_[[AGRUP. CLAS. PROF.]:[AGRUP. CLAS. PROF.]]=$B45,IF(DATOS_[[Check Periodo Ref.]:[Check Periodo Ref.]]="Dentro",IF(DATOS_[[Check Equiparado]:[Check Equiparado]]="Sí",IF(DATOS!AQ$4="Sí",(1/DATOS_[[% anualiz]:[% anualiz]]),1)*IF(DATOS!AQ$5="Sí",1/DATOS_[[% normaliz]:[% normaliz]],1)*(DATOS_[Conc.Sal.13])))))))), 0)</f>
        <v>0</v>
      </c>
      <c r="W46" s="250" t="n">
        <f aca="false" t="array" ref="W46:W46">IFERROR( (MEDIAN((IF(DATOS_[[Sexo]:[Sexo]]=$B46,IF(DATOS_[[AGRUP. CLAS. PROF.]:[AGRUP. CLAS. PROF.]]=$B45,IF(DATOS_[[Check Periodo Ref.]:[Check Periodo Ref.]]="Dentro",IF(DATOS_[[Check Equiparado]:[Check Equiparado]]="Sí",IF(DATOS!AR$4="Sí",(1/DATOS_[[% anualiz]:[% anualiz]]),1)*IF(DATOS!AR$5="Sí",1/DATOS_[[% normaliz]:[% normaliz]],1)*(DATOS_[Conc.Sal.14])))))))), 0)</f>
        <v>0</v>
      </c>
      <c r="X46" s="250" t="n">
        <f aca="false" t="array" ref="X46:X46">IFERROR( (MEDIAN((IF(DATOS_[[Sexo]:[Sexo]]=$B46,IF(DATOS_[[AGRUP. CLAS. PROF.]:[AGRUP. CLAS. PROF.]]=$B45,IF(DATOS_[[Check Periodo Ref.]:[Check Periodo Ref.]]="Dentro",IF(DATOS_[[Check Equiparado]:[Check Equiparado]]="Sí",IF(DATOS!AS$4="Sí",(1/DATOS_[[% anualiz]:[% anualiz]]),1)*IF(DATOS!AS$5="Sí",1/DATOS_[[% normaliz]:[% normaliz]],1)*(DATOS_[Conc.Sal.15])))))))), 0)</f>
        <v>0</v>
      </c>
      <c r="Y46" s="250" t="n">
        <f aca="false" t="array" ref="Y46:Y46">IFERROR( (MEDIAN((IF(DATOS_[[Sexo]:[Sexo]]=$B46,IF(DATOS_[[AGRUP. CLAS. PROF.]:[AGRUP. CLAS. PROF.]]=$B45,IF(DATOS_[[Check Periodo Ref.]:[Check Periodo Ref.]]="Dentro",IF(DATOS_[[Check Equiparado]:[Check Equiparado]]="Sí",IF(DATOS!AT$4="Sí",(1/DATOS_[[% anualiz]:[% anualiz]]),1)*IF(DATOS!AT$5="Sí",1/DATOS_[[% normaliz]:[% normaliz]],1)*(DATOS_[Conc.Sal.16])))))))), 0)</f>
        <v>0</v>
      </c>
      <c r="Z46" s="250" t="n">
        <f aca="false" t="array" ref="Z46:Z46">IFERROR( (MEDIAN((IF(DATOS_[[Sexo]:[Sexo]]=$B46,IF(DATOS_[[AGRUP. CLAS. PROF.]:[AGRUP. CLAS. PROF.]]=$B45,IF(DATOS_[[Check Periodo Ref.]:[Check Periodo Ref.]]="Dentro",IF(DATOS_[[Check Equiparado]:[Check Equiparado]]="Sí",IF(DATOS!AU$4="Sí",(1/DATOS_[[% anualiz]:[% anualiz]]),1)*IF(DATOS!AU$5="Sí",1/DATOS_[[% normaliz]:[% normaliz]],1)*(DATOS_[Conc.Sal.17])))))))), 0)</f>
        <v>0</v>
      </c>
      <c r="AA46" s="250" t="n">
        <f aca="false" t="array" ref="AA46:AA46">IFERROR( (MEDIAN((IF(DATOS_[[Sexo]:[Sexo]]=$B46,IF(DATOS_[[AGRUP. CLAS. PROF.]:[AGRUP. CLAS. PROF.]]=$B45,IF(DATOS_[[Check Periodo Ref.]:[Check Periodo Ref.]]="Dentro",IF(DATOS_[[Check Equiparado]:[Check Equiparado]]="Sí",IF(DATOS!AV$4="Sí",(1/DATOS_[[% anualiz]:[% anualiz]]),1)*IF(DATOS!AV$5="Sí",1/DATOS_[[% normaliz]:[% normaliz]],1)*(DATOS_[Conc.Sal.18])))))))), 0)</f>
        <v>0</v>
      </c>
      <c r="AB46" s="250" t="n">
        <f aca="false" t="array" ref="AB46:AB46">IFERROR( (MEDIAN((IF(DATOS_[[Sexo]:[Sexo]]=$B46,IF(DATOS_[[AGRUP. CLAS. PROF.]:[AGRUP. CLAS. PROF.]]=$B45,IF(DATOS_[[Check Periodo Ref.]:[Check Periodo Ref.]]="Dentro",IF(DATOS_[[Check Equiparado]:[Check Equiparado]]="Sí",IF(DATOS!AW$4="Sí",(1/DATOS_[[% anualiz]:[% anualiz]]),1)*IF(DATOS!AW$5="Sí",1/DATOS_[[% normaliz]:[% normaliz]],1)*(DATOS_[Conc.Sal.19])))))))), 0)</f>
        <v>0</v>
      </c>
      <c r="AC46" s="250" t="n">
        <f aca="false" t="array" ref="AC46:AC46">IFERROR( (MEDIAN((IF(DATOS_[[Sexo]:[Sexo]]=$B46,IF(DATOS_[[AGRUP. CLAS. PROF.]:[AGRUP. CLAS. PROF.]]=$B45,IF(DATOS_[[Check Periodo Ref.]:[Check Periodo Ref.]]="Dentro",IF(DATOS_[[Check Equiparado]:[Check Equiparado]]="Sí",IF(DATOS!AX$4="Sí",(1/DATOS_[[% anualiz]:[% anualiz]]),1)*IF(DATOS!AX$5="Sí",1/DATOS_[[% normaliz]:[% normaliz]],1)*(DATOS_[Conc.Sal.20])))))))), 0)</f>
        <v>0</v>
      </c>
      <c r="AD46" s="250" t="n">
        <f aca="false" t="array" ref="AD46:AD46">IFERROR( (MEDIAN((IF(DATOS_[[Sexo]:[Sexo]]=$B46,IF(DATOS_[[AGRUP. CLAS. PROF.]:[AGRUP. CLAS. PROF.]]=$B45,IF(DATOS_[[Check Periodo Ref.]:[Check Periodo Ref.]]="Dentro",IF(DATOS_[[Check Equiparado]:[Check Equiparado]]="Sí",IF(DATOS!AY$4="Sí",(1/DATOS_[[% anualiz]:[% anualiz]]),1)*IF(DATOS!AY$5="Sí",1/DATOS_[[% normaliz]:[% normaliz]],1)*(DATOS_[Conc.Sal.21])))))))), 0)</f>
        <v>0</v>
      </c>
      <c r="AE46" s="250" t="n">
        <f aca="false" t="array" ref="AE46:AE46">IFERROR( (MEDIAN((IF(DATOS_[[Sexo]:[Sexo]]=$B46,IF(DATOS_[[AGRUP. CLAS. PROF.]:[AGRUP. CLAS. PROF.]]=$B45,IF(DATOS_[[Check Periodo Ref.]:[Check Periodo Ref.]]="Dentro",IF(DATOS_[[Check Equiparado]:[Check Equiparado]]="Sí",IF(DATOS!AZ$4="Sí",(1/DATOS_[[% anualiz]:[% anualiz]]),1)*IF(DATOS!AZ$5="Sí",1/DATOS_[[% normaliz]:[% normaliz]],1)*(DATOS_[Conc.Sal.22])))))))), 0)</f>
        <v>0</v>
      </c>
      <c r="AF46" s="250" t="n">
        <f aca="false" t="array" ref="AF46:AF46">IFERROR( (MEDIAN((IF(DATOS_[[Sexo]:[Sexo]]=$B46,IF(DATOS_[[AGRUP. CLAS. PROF.]:[AGRUP. CLAS. PROF.]]=$B45,IF(DATOS_[[Check Periodo Ref.]:[Check Periodo Ref.]]="Dentro",IF(DATOS_[[Check Equiparado]:[Check Equiparado]]="Sí",IF(DATOS!BA$4="Sí",(1/DATOS_[[% anualiz]:[% anualiz]]),1)*IF(DATOS!BA$5="Sí",1/DATOS_[[% normaliz]:[% normaliz]],1)*(DATOS_[Conc.Sal.23])))))))), 0)</f>
        <v>0</v>
      </c>
      <c r="AG46" s="250" t="n">
        <f aca="false" t="array" ref="AG46:AG46">IFERROR( (MEDIAN((IF(DATOS_[[Sexo]:[Sexo]]=$B46,IF(DATOS_[[AGRUP. CLAS. PROF.]:[AGRUP. CLAS. PROF.]]=$B45,IF(DATOS_[[Check Periodo Ref.]:[Check Periodo Ref.]]="Dentro",IF(DATOS_[[Check Equiparado]:[Check Equiparado]]="Sí",IF(DATOS!BB$4="Sí",(1/DATOS_[[% anualiz]:[% anualiz]]),1)*IF(DATOS!BB$5="Sí",1/DATOS_[[% normaliz]:[% normaliz]],1)*(DATOS_[Conc.Sal.24])))))))), 0)</f>
        <v>0</v>
      </c>
      <c r="AH46" s="250" t="n">
        <f aca="false" t="array" ref="AH46:AH46">IFERROR( (MEDIAN((IF(DATOS_[[Sexo]:[Sexo]]=$B46,IF(DATOS_[[AGRUP. CLAS. PROF.]:[AGRUP. CLAS. PROF.]]=$B45,IF(DATOS_[[Check Periodo Ref.]:[Check Periodo Ref.]]="Dentro",IF(DATOS_[[Check Equiparado]:[Check Equiparado]]="Sí",IF(DATOS!BC$4="Sí",(1/DATOS_[[% anualiz]:[% anualiz]]),1)*IF(DATOS!BC$5="Sí",1/DATOS_[[% normaliz]:[% normaliz]],1)*(DATOS_[Conc.Sal.25])))))))), 0)</f>
        <v>0</v>
      </c>
      <c r="AI46" s="250" t="n">
        <f aca="false" t="array" ref="AI46:AI46">IFERROR( (MEDIAN((IF(DATOS_[[Sexo]:[Sexo]]=$B46,IF(DATOS_[[AGRUP. CLAS. PROF.]:[AGRUP. CLAS. PROF.]]=$B45,IF(DATOS_[[Check Periodo Ref.]:[Check Periodo Ref.]]="Dentro",IF(DATOS_[[Check Equiparado]:[Check Equiparado]]="Sí",IF(DATOS!BD$4="Sí",(1/DATOS_[[% anualiz]:[% anualiz]]),1)*IF(DATOS!BD$5="Sí",1/DATOS_[[% normaliz]:[% normaliz]],1)*(DATOS_[Conc.Sal.26])))))))), 0)</f>
        <v>0</v>
      </c>
      <c r="AJ46" s="250" t="n">
        <f aca="false" t="array" ref="AJ46:AJ46">IFERROR( (MEDIAN((IF(DATOS_[[Sexo]:[Sexo]]=$B46,IF(DATOS_[[AGRUP. CLAS. PROF.]:[AGRUP. CLAS. PROF.]]=$B45,IF(DATOS_[[Check Periodo Ref.]:[Check Periodo Ref.]]="Dentro",IF(DATOS_[[Check Equiparado]:[Check Equiparado]]="Sí",IF(DATOS!BE$4="Sí",(1/DATOS_[[% anualiz]:[% anualiz]]),1)*IF(DATOS!BE$5="Sí",1/DATOS_[[% normaliz]:[% normaliz]],1)*(DATOS_[Conc.Sal.27])))))))), 0)</f>
        <v>0</v>
      </c>
      <c r="AK46" s="250" t="n">
        <f aca="false" t="array" ref="AK46:AK46">IFERROR( (MEDIAN((IF(DATOS_[[Sexo]:[Sexo]]=$B46,IF(DATOS_[[AGRUP. CLAS. PROF.]:[AGRUP. CLAS. PROF.]]=$B45,IF(DATOS_[[Check Periodo Ref.]:[Check Periodo Ref.]]="Dentro",IF(DATOS_[[Check Equiparado]:[Check Equiparado]]="Sí",IF(DATOS!BF$4="Sí",(1/DATOS_[[% anualiz]:[% anualiz]]),1)*IF(DATOS!BF$5="Sí",1/DATOS_[[% normaliz]:[% normaliz]],1)*(DATOS_[Conc.Sal.28])))))))), 0)</f>
        <v>0</v>
      </c>
      <c r="AL46" s="250" t="n">
        <f aca="false" t="array" ref="AL46:AL46">IFERROR( (MEDIAN((IF(DATOS_[[Sexo]:[Sexo]]=$B46,IF(DATOS_[[AGRUP. CLAS. PROF.]:[AGRUP. CLAS. PROF.]]=$B45,IF(DATOS_[[Check Periodo Ref.]:[Check Periodo Ref.]]="Dentro",IF(DATOS_[[Check Equiparado]:[Check Equiparado]]="Sí",IF(DATOS!BG$4="Sí",(1/DATOS_[[% anualiz]:[% anualiz]]),1)*IF(DATOS!BG$5="Sí",1/DATOS_[[% normaliz]:[% normaliz]],1)*(DATOS_[Conc.Sal.29])))))))), 0)</f>
        <v>0</v>
      </c>
      <c r="AM46" s="250" t="n">
        <f aca="false" t="array" ref="AM46:AM46">IFERROR( (MEDIAN((IF(DATOS_[[Sexo]:[Sexo]]=$B46,IF(DATOS_[[AGRUP. CLAS. PROF.]:[AGRUP. CLAS. PROF.]]=$B45,IF(DATOS_[[Check Periodo Ref.]:[Check Periodo Ref.]]="Dentro",IF(DATOS_[[Check Equiparado]:[Check Equiparado]]="Sí",IF(DATOS!BH$4="Sí",(1/DATOS_[[% anualiz]:[% anualiz]]),1)*IF(DATOS!BH$5="Sí",1/DATOS_[[% normaliz]:[% normaliz]],1)*(DATOS_[Conc.Sal.30])))))))), 0)</f>
        <v>0</v>
      </c>
      <c r="AN46" s="251" t="n">
        <f aca="false" t="array" ref="AN46:AN46">IFERROR( MEDIAN(IF(DATOS_[Sexo]=$B46,IF(DATOS_[[AGRUP. CLAS. PROF.]:[AGRUP. CLAS. PROF.]]=$B45,IF(DATOS_[Check Equiparado]="Sí",IF(DATOS_[Check Periodo Ref.]="Dentro",DATOS_[Tot COMPL.SAL Eq],0))))), 0)</f>
        <v>0</v>
      </c>
      <c r="AO46" s="252" t="n">
        <f aca="false" t="array" ref="AO46:AO46">IFERROR( MEDIAN(IF(DATOS_[Sexo]=$B46,IF(DATOS_[[AGRUP. CLAS. PROF.]:[AGRUP. CLAS. PROF.]]=$B45,IF(DATOS_[Check Equiparado]="Sí",IF(DATOS_[Check Periodo Ref.]="Dentro",DATOS_[TOTAL SALARIO Eq],0))))), 0)</f>
        <v>0</v>
      </c>
      <c r="AP46" s="259" t="n">
        <f aca="false" t="array" ref="AP46:AP46">IFERROR( (MEDIAN((IF(DATOS_[[Sexo]:[Sexo]]=$B46,IF(DATOS_[[AGRUP. CLAS. PROF.]:[AGRUP. CLAS. PROF.]]=$B45,IF(DATOS_[[Check Periodo Ref.]:[Check Periodo Ref.]]="Dentro",IF(DATOS_[[Check Equiparado]:[Check Equiparado]]="Sí",IF(DATOS!BI$4="Sí",(1/DATOS_[[% anualiz]:[% anualiz]]),1)*IF(DATOS!BI$5="Sí",1/DATOS_[[% normaliz]:[% normaliz]],1)*(DATOS_[C.Extra.01])))))))), 0)</f>
        <v>0</v>
      </c>
      <c r="AQ46" s="259" t="n">
        <f aca="false" t="array" ref="AQ46:AQ46">IFERROR( (MEDIAN((IF(DATOS_[[Sexo]:[Sexo]]=$B46,IF(DATOS_[[AGRUP. CLAS. PROF.]:[AGRUP. CLAS. PROF.]]=$B45,IF(DATOS_[[Check Periodo Ref.]:[Check Periodo Ref.]]="Dentro",IF(DATOS_[[Check Equiparado]:[Check Equiparado]]="Sí",IF(DATOS!BJ$4="Sí",(1/DATOS_[[% anualiz]:[% anualiz]]),1)*IF(DATOS!BJ$5="Sí",1/DATOS_[[% normaliz]:[% normaliz]],1)*(DATOS_[C.Extra.02])))))))), 0)</f>
        <v>0</v>
      </c>
      <c r="AR46" s="259" t="n">
        <f aca="false" t="array" ref="AR46:AR46">IFERROR( (MEDIAN((IF(DATOS_[[Sexo]:[Sexo]]=$B46,IF(DATOS_[[AGRUP. CLAS. PROF.]:[AGRUP. CLAS. PROF.]]=$B45,IF(DATOS_[[Check Periodo Ref.]:[Check Periodo Ref.]]="Dentro",IF(DATOS_[[Check Equiparado]:[Check Equiparado]]="Sí",IF(DATOS!BK$4="Sí",(1/DATOS_[[% anualiz]:[% anualiz]]),1)*IF(DATOS!BK$5="Sí",1/DATOS_[[% normaliz]:[% normaliz]],1)*(DATOS_[C.Extra.03])))))))), 0)</f>
        <v>0</v>
      </c>
      <c r="AS46" s="259" t="n">
        <f aca="false" t="array" ref="AS46:AS46">IFERROR( (MEDIAN((IF(DATOS_[[Sexo]:[Sexo]]=$B46,IF(DATOS_[[AGRUP. CLAS. PROF.]:[AGRUP. CLAS. PROF.]]=$B45,IF(DATOS_[[Check Periodo Ref.]:[Check Periodo Ref.]]="Dentro",IF(DATOS_[[Check Equiparado]:[Check Equiparado]]="Sí",IF(DATOS!BL$4="Sí",(1/DATOS_[[% anualiz]:[% anualiz]]),1)*IF(DATOS!BL$5="Sí",1/DATOS_[[% normaliz]:[% normaliz]],1)*(DATOS_[C.Extra.04])))))))), 0)</f>
        <v>0</v>
      </c>
      <c r="AT46" s="259" t="n">
        <f aca="false" t="array" ref="AT46:AT46">IFERROR( (MEDIAN((IF(DATOS_[[Sexo]:[Sexo]]=$B46,IF(DATOS_[[AGRUP. CLAS. PROF.]:[AGRUP. CLAS. PROF.]]=$B45,IF(DATOS_[[Check Periodo Ref.]:[Check Periodo Ref.]]="Dentro",IF(DATOS_[[Check Equiparado]:[Check Equiparado]]="Sí",IF(DATOS!BM$4="Sí",(1/DATOS_[[% anualiz]:[% anualiz]]),1)*IF(DATOS!BM$5="Sí",1/DATOS_[[% normaliz]:[% normaliz]],1)*(DATOS_[C.Extra.05])))))))), 0)</f>
        <v>0</v>
      </c>
      <c r="AU46" s="254" t="n">
        <f aca="false" t="array" ref="AU46:AU46">IFERROR( MEDIAN(IF(DATOS_[Sexo]=$B46,IF(DATOS_[[AGRUP. CLAS. PROF.]:[AGRUP. CLAS. PROF.]]=$B45,IF(DATOS_[Check Equiparado]="Sí",IF(DATOS_[Check Periodo Ref.]="Dentro",DATOS_[Tot Extrasalarial Eq],0))))), 0)</f>
        <v>0</v>
      </c>
      <c r="AV46" s="255" t="n">
        <f aca="false" t="array" ref="AV46:AV46">IFERROR( MEDIAN(IF(DATOS_[Sexo]=$B46,IF(DATOS_[[AGRUP. CLAS. PROF.]:[AGRUP. CLAS. PROF.]]=$B45,IF(DATOS_[Check Equiparado]="Sí",IF(DATOS_[Check Periodo Ref.]="Dentro",DATOS_[TOTAL Retrib Eq],0))))), 0)</f>
        <v>0</v>
      </c>
    </row>
    <row r="47" customFormat="false" ht="14.25" hidden="false" customHeight="false" outlineLevel="0" collapsed="false">
      <c r="A47" s="217" t="str">
        <f aca="false">+A46</f>
        <v>[ocultar]</v>
      </c>
      <c r="B47" s="323" t="s">
        <v>372</v>
      </c>
      <c r="C47" s="247" t="n">
        <f aca="false" t="array" ref="C47:C47">SUM(IF($B47=DATOS_[Sexo], IF($B45=DATOS_[AGRUP. CLAS. PROF.], IF("Dentro"=DATOS_[Check Periodo Ref.], 1/(COUNTIFS(DATOS_[Sexo],$B47,DATOS_[AGRUP. CLAS. PROF.],$B45,DATOS_[Check Periodo Ref.],"Dentro",DATOS_[id],DATOS_[id]))))))</f>
        <v>0</v>
      </c>
      <c r="D47" s="248" t="n">
        <f aca="false">COUNTIFS(DATOS_[AGRUP. CLAS. PROF.],$B45,DATOS_[Sexo],$B47,DATOS_[Check Periodo Ref.],"Dentro")</f>
        <v>0</v>
      </c>
      <c r="E47" s="248" t="n">
        <f aca="false">COUNTIFS(DATOS_[AGRUP. CLAS. PROF.],$B45,DATOS_[Sexo],$B47,DATOS_[Check Periodo Ref.],"Dentro",DATOS_[Check Nº SC Norm],"Sí")</f>
        <v>0</v>
      </c>
      <c r="F47" s="248" t="n">
        <f aca="false">COUNTIFS(DATOS_[AGRUP. CLAS. PROF.],$B45,DATOS_[Sexo],$B47,DATOS_[Check Periodo Ref.],"Dentro",DATOS_[Check Nº SC Anualiz],"Sí")</f>
        <v>0</v>
      </c>
      <c r="G47" s="248" t="n">
        <f aca="false">COUNTIFS(DATOS_[AGRUP. CLAS. PROF.],$B45,DATOS_[Sexo],$B47,DATOS_[Check Periodo Ref.],"Dentro",DATOS_[Check Nº SC Norm y Anualiz],"Sí")</f>
        <v>0</v>
      </c>
      <c r="H47" s="248" t="n">
        <f aca="false">COUNTIFS(DATOS_[AGRUP. CLAS. PROF.],$B45,DATOS_[Sexo],$B47,DATOS_[Check Periodo Ref.],"Dentro",DATOS_[Check Equiparación],"Sí")</f>
        <v>0</v>
      </c>
      <c r="I47" s="249" t="n">
        <f aca="false" t="array" ref="I47:I47">IFERROR( MEDIAN(IF(DATOS_[Sexo]=$B47,IF(DATOS_[[AGRUP. CLAS. PROF.]:[AGRUP. CLAS. PROF.]]=$B45,IF(DATOS_[Check Equiparado]="Sí",IF(DATOS_[Check Periodo Ref.]="Dentro",DATOS_[SALARIO BASE Eq],0))))), 0)</f>
        <v>0</v>
      </c>
      <c r="J47" s="250" t="n">
        <f aca="false" t="array" ref="J47:J47">IFERROR( (MEDIAN((IF(DATOS_[[Sexo]:[Sexo]]=$B47,IF(DATOS_[[AGRUP. CLAS. PROF.]:[AGRUP. CLAS. PROF.]]=$B45,IF(DATOS_[[Check Periodo Ref.]:[Check Periodo Ref.]]="Dentro",IF(DATOS_[[Check Equiparado]:[Check Equiparado]]="Sí",IF(DATOS!AE$4="Sí",(1/DATOS_[[% anualiz]:[% anualiz]]),1)*IF(DATOS!AE$5="Sí",1/DATOS_[[% normaliz]:[% normaliz]],1)*(DATOS_[Conc.Sal.01])))))))), 0)</f>
        <v>0</v>
      </c>
      <c r="K47" s="250" t="n">
        <f aca="false" t="array" ref="K47:K47">IFERROR( (MEDIAN((IF(DATOS_[[Sexo]:[Sexo]]=$B47,IF(DATOS_[[AGRUP. CLAS. PROF.]:[AGRUP. CLAS. PROF.]]=$B45,IF(DATOS_[[Check Periodo Ref.]:[Check Periodo Ref.]]="Dentro",IF(DATOS_[[Check Equiparado]:[Check Equiparado]]="Sí",IF(DATOS!AF$4="Sí",(1/DATOS_[[% anualiz]:[% anualiz]]),1)*IF(DATOS!AF$5="Sí",1/DATOS_[[% normaliz]:[% normaliz]],1)*(DATOS_[Conc.Sal.02])))))))), 0)</f>
        <v>0</v>
      </c>
      <c r="L47" s="250" t="n">
        <f aca="false" t="array" ref="L47:L47">IFERROR( (MEDIAN((IF(DATOS_[[Sexo]:[Sexo]]=$B47,IF(DATOS_[[AGRUP. CLAS. PROF.]:[AGRUP. CLAS. PROF.]]=$B45,IF(DATOS_[[Check Periodo Ref.]:[Check Periodo Ref.]]="Dentro",IF(DATOS_[[Check Equiparado]:[Check Equiparado]]="Sí",IF(DATOS!AG$4="Sí",(1/DATOS_[[% anualiz]:[% anualiz]]),1)*IF(DATOS!AG$5="Sí",1/DATOS_[[% normaliz]:[% normaliz]],1)*(DATOS_[Conc.Sal.03])))))))), 0)</f>
        <v>0</v>
      </c>
      <c r="M47" s="250" t="n">
        <f aca="false" t="array" ref="M47:M47">IFERROR( (MEDIAN((IF(DATOS_[[Sexo]:[Sexo]]=$B47,IF(DATOS_[[AGRUP. CLAS. PROF.]:[AGRUP. CLAS. PROF.]]=$B45,IF(DATOS_[[Check Periodo Ref.]:[Check Periodo Ref.]]="Dentro",IF(DATOS_[[Check Equiparado]:[Check Equiparado]]="Sí",IF(DATOS!AH$4="Sí",(1/DATOS_[[% anualiz]:[% anualiz]]),1)*IF(DATOS!AH$5="Sí",1/DATOS_[[% normaliz]:[% normaliz]],1)*(DATOS_[Conc.Sal.04])))))))), 0)</f>
        <v>0</v>
      </c>
      <c r="N47" s="250" t="n">
        <f aca="false" t="array" ref="N47:N47">IFERROR( (MEDIAN((IF(DATOS_[[Sexo]:[Sexo]]=$B47,IF(DATOS_[[AGRUP. CLAS. PROF.]:[AGRUP. CLAS. PROF.]]=$B45,IF(DATOS_[[Check Periodo Ref.]:[Check Periodo Ref.]]="Dentro",IF(DATOS_[[Check Equiparado]:[Check Equiparado]]="Sí",IF(DATOS!AI$4="Sí",(1/DATOS_[[% anualiz]:[% anualiz]]),1)*IF(DATOS!AI$5="Sí",1/DATOS_[[% normaliz]:[% normaliz]],1)*(DATOS_[Conc.Sal.05])))))))), 0)</f>
        <v>0</v>
      </c>
      <c r="O47" s="250" t="n">
        <f aca="false" t="array" ref="O47:O47">IFERROR( (MEDIAN((IF(DATOS_[[Sexo]:[Sexo]]=$B47,IF(DATOS_[[AGRUP. CLAS. PROF.]:[AGRUP. CLAS. PROF.]]=$B45,IF(DATOS_[[Check Periodo Ref.]:[Check Periodo Ref.]]="Dentro",IF(DATOS_[[Check Equiparado]:[Check Equiparado]]="Sí",IF(DATOS!AJ$4="Sí",(1/DATOS_[[% anualiz]:[% anualiz]]),1)*IF(DATOS!AJ$5="Sí",1/DATOS_[[% normaliz]:[% normaliz]],1)*(DATOS_[Conc.Sal.06])))))))), 0)</f>
        <v>0</v>
      </c>
      <c r="P47" s="250" t="n">
        <f aca="false" t="array" ref="P47:P47">IFERROR( (MEDIAN((IF(DATOS_[[Sexo]:[Sexo]]=$B47,IF(DATOS_[[AGRUP. CLAS. PROF.]:[AGRUP. CLAS. PROF.]]=$B45,IF(DATOS_[[Check Periodo Ref.]:[Check Periodo Ref.]]="Dentro",IF(DATOS_[[Check Equiparado]:[Check Equiparado]]="Sí",IF(DATOS!AK$4="Sí",(1/DATOS_[[% anualiz]:[% anualiz]]),1)*IF(DATOS!AK$5="Sí",1/DATOS_[[% normaliz]:[% normaliz]],1)*(DATOS_[Conc.Sal.07])))))))), 0)</f>
        <v>0</v>
      </c>
      <c r="Q47" s="250" t="n">
        <f aca="false" t="array" ref="Q47:Q47">IFERROR( (MEDIAN((IF(DATOS_[[Sexo]:[Sexo]]=$B47,IF(DATOS_[[AGRUP. CLAS. PROF.]:[AGRUP. CLAS. PROF.]]=$B45,IF(DATOS_[[Check Periodo Ref.]:[Check Periodo Ref.]]="Dentro",IF(DATOS_[[Check Equiparado]:[Check Equiparado]]="Sí",IF(DATOS!AL$4="Sí",(1/DATOS_[[% anualiz]:[% anualiz]]),1)*IF(DATOS!AL$5="Sí",1/DATOS_[[% normaliz]:[% normaliz]],1)*(DATOS_[Conc.Sal.08])))))))), 0)</f>
        <v>0</v>
      </c>
      <c r="R47" s="250" t="n">
        <f aca="false" t="array" ref="R47:R47">IFERROR( (MEDIAN((IF(DATOS_[[Sexo]:[Sexo]]=$B47,IF(DATOS_[[AGRUP. CLAS. PROF.]:[AGRUP. CLAS. PROF.]]=$B45,IF(DATOS_[[Check Periodo Ref.]:[Check Periodo Ref.]]="Dentro",IF(DATOS_[[Check Equiparado]:[Check Equiparado]]="Sí",IF(DATOS!AM$4="Sí",(1/DATOS_[[% anualiz]:[% anualiz]]),1)*IF(DATOS!AM$5="Sí",1/DATOS_[[% normaliz]:[% normaliz]],1)*(DATOS_[Conc.Sal.09])))))))), 0)</f>
        <v>0</v>
      </c>
      <c r="S47" s="250" t="n">
        <f aca="false" t="array" ref="S47:S47">IFERROR( (MEDIAN((IF(DATOS_[[Sexo]:[Sexo]]=$B47,IF(DATOS_[[AGRUP. CLAS. PROF.]:[AGRUP. CLAS. PROF.]]=$B45,IF(DATOS_[[Check Periodo Ref.]:[Check Periodo Ref.]]="Dentro",IF(DATOS_[[Check Equiparado]:[Check Equiparado]]="Sí",IF(DATOS!AN$4="Sí",(1/DATOS_[[% anualiz]:[% anualiz]]),1)*IF(DATOS!AN$5="Sí",1/DATOS_[[% normaliz]:[% normaliz]],1)*(DATOS_[Conc.Sal.10])))))))), 0)</f>
        <v>0</v>
      </c>
      <c r="T47" s="250" t="n">
        <f aca="false" t="array" ref="T47:T47">IFERROR( (MEDIAN((IF(DATOS_[[Sexo]:[Sexo]]=$B47,IF(DATOS_[[AGRUP. CLAS. PROF.]:[AGRUP. CLAS. PROF.]]=$B45,IF(DATOS_[[Check Periodo Ref.]:[Check Periodo Ref.]]="Dentro",IF(DATOS_[[Check Equiparado]:[Check Equiparado]]="Sí",IF(DATOS!AO$4="Sí",(1/DATOS_[[% anualiz]:[% anualiz]]),1)*IF(DATOS!AO$5="Sí",1/DATOS_[[% normaliz]:[% normaliz]],1)*(DATOS_[Conc.Sal.11])))))))), 0)</f>
        <v>0</v>
      </c>
      <c r="U47" s="250" t="n">
        <f aca="false" t="array" ref="U47:U47">IFERROR( (MEDIAN((IF(DATOS_[[Sexo]:[Sexo]]=$B47,IF(DATOS_[[AGRUP. CLAS. PROF.]:[AGRUP. CLAS. PROF.]]=$B45,IF(DATOS_[[Check Periodo Ref.]:[Check Periodo Ref.]]="Dentro",IF(DATOS_[[Check Equiparado]:[Check Equiparado]]="Sí",IF(DATOS!AP$4="Sí",(1/DATOS_[[% anualiz]:[% anualiz]]),1)*IF(DATOS!AP$5="Sí",1/DATOS_[[% normaliz]:[% normaliz]],1)*(DATOS_[Conc.Sal.12])))))))), 0)</f>
        <v>0</v>
      </c>
      <c r="V47" s="250" t="n">
        <f aca="false" t="array" ref="V47:V47">IFERROR( (MEDIAN((IF(DATOS_[[Sexo]:[Sexo]]=$B47,IF(DATOS_[[AGRUP. CLAS. PROF.]:[AGRUP. CLAS. PROF.]]=$B45,IF(DATOS_[[Check Periodo Ref.]:[Check Periodo Ref.]]="Dentro",IF(DATOS_[[Check Equiparado]:[Check Equiparado]]="Sí",IF(DATOS!AQ$4="Sí",(1/DATOS_[[% anualiz]:[% anualiz]]),1)*IF(DATOS!AQ$5="Sí",1/DATOS_[[% normaliz]:[% normaliz]],1)*(DATOS_[Conc.Sal.13])))))))), 0)</f>
        <v>0</v>
      </c>
      <c r="W47" s="250" t="n">
        <f aca="false" t="array" ref="W47:W47">IFERROR( (MEDIAN((IF(DATOS_[[Sexo]:[Sexo]]=$B47,IF(DATOS_[[AGRUP. CLAS. PROF.]:[AGRUP. CLAS. PROF.]]=$B45,IF(DATOS_[[Check Periodo Ref.]:[Check Periodo Ref.]]="Dentro",IF(DATOS_[[Check Equiparado]:[Check Equiparado]]="Sí",IF(DATOS!AR$4="Sí",(1/DATOS_[[% anualiz]:[% anualiz]]),1)*IF(DATOS!AR$5="Sí",1/DATOS_[[% normaliz]:[% normaliz]],1)*(DATOS_[Conc.Sal.14])))))))), 0)</f>
        <v>0</v>
      </c>
      <c r="X47" s="250" t="n">
        <f aca="false" t="array" ref="X47:X47">IFERROR( (MEDIAN((IF(DATOS_[[Sexo]:[Sexo]]=$B47,IF(DATOS_[[AGRUP. CLAS. PROF.]:[AGRUP. CLAS. PROF.]]=$B45,IF(DATOS_[[Check Periodo Ref.]:[Check Periodo Ref.]]="Dentro",IF(DATOS_[[Check Equiparado]:[Check Equiparado]]="Sí",IF(DATOS!AS$4="Sí",(1/DATOS_[[% anualiz]:[% anualiz]]),1)*IF(DATOS!AS$5="Sí",1/DATOS_[[% normaliz]:[% normaliz]],1)*(DATOS_[Conc.Sal.15])))))))), 0)</f>
        <v>0</v>
      </c>
      <c r="Y47" s="250" t="n">
        <f aca="false" t="array" ref="Y47:Y47">IFERROR( (MEDIAN((IF(DATOS_[[Sexo]:[Sexo]]=$B47,IF(DATOS_[[AGRUP. CLAS. PROF.]:[AGRUP. CLAS. PROF.]]=$B45,IF(DATOS_[[Check Periodo Ref.]:[Check Periodo Ref.]]="Dentro",IF(DATOS_[[Check Equiparado]:[Check Equiparado]]="Sí",IF(DATOS!AT$4="Sí",(1/DATOS_[[% anualiz]:[% anualiz]]),1)*IF(DATOS!AT$5="Sí",1/DATOS_[[% normaliz]:[% normaliz]],1)*(DATOS_[Conc.Sal.16])))))))), 0)</f>
        <v>0</v>
      </c>
      <c r="Z47" s="250" t="n">
        <f aca="false" t="array" ref="Z47:Z47">IFERROR( (MEDIAN((IF(DATOS_[[Sexo]:[Sexo]]=$B47,IF(DATOS_[[AGRUP. CLAS. PROF.]:[AGRUP. CLAS. PROF.]]=$B45,IF(DATOS_[[Check Periodo Ref.]:[Check Periodo Ref.]]="Dentro",IF(DATOS_[[Check Equiparado]:[Check Equiparado]]="Sí",IF(DATOS!AU$4="Sí",(1/DATOS_[[% anualiz]:[% anualiz]]),1)*IF(DATOS!AU$5="Sí",1/DATOS_[[% normaliz]:[% normaliz]],1)*(DATOS_[Conc.Sal.17])))))))), 0)</f>
        <v>0</v>
      </c>
      <c r="AA47" s="250" t="n">
        <f aca="false" t="array" ref="AA47:AA47">IFERROR( (MEDIAN((IF(DATOS_[[Sexo]:[Sexo]]=$B47,IF(DATOS_[[AGRUP. CLAS. PROF.]:[AGRUP. CLAS. PROF.]]=$B45,IF(DATOS_[[Check Periodo Ref.]:[Check Periodo Ref.]]="Dentro",IF(DATOS_[[Check Equiparado]:[Check Equiparado]]="Sí",IF(DATOS!AV$4="Sí",(1/DATOS_[[% anualiz]:[% anualiz]]),1)*IF(DATOS!AV$5="Sí",1/DATOS_[[% normaliz]:[% normaliz]],1)*(DATOS_[Conc.Sal.18])))))))), 0)</f>
        <v>0</v>
      </c>
      <c r="AB47" s="250" t="n">
        <f aca="false" t="array" ref="AB47:AB47">IFERROR( (MEDIAN((IF(DATOS_[[Sexo]:[Sexo]]=$B47,IF(DATOS_[[AGRUP. CLAS. PROF.]:[AGRUP. CLAS. PROF.]]=$B45,IF(DATOS_[[Check Periodo Ref.]:[Check Periodo Ref.]]="Dentro",IF(DATOS_[[Check Equiparado]:[Check Equiparado]]="Sí",IF(DATOS!AW$4="Sí",(1/DATOS_[[% anualiz]:[% anualiz]]),1)*IF(DATOS!AW$5="Sí",1/DATOS_[[% normaliz]:[% normaliz]],1)*(DATOS_[Conc.Sal.19])))))))), 0)</f>
        <v>0</v>
      </c>
      <c r="AC47" s="250" t="n">
        <f aca="false" t="array" ref="AC47:AC47">IFERROR( (MEDIAN((IF(DATOS_[[Sexo]:[Sexo]]=$B47,IF(DATOS_[[AGRUP. CLAS. PROF.]:[AGRUP. CLAS. PROF.]]=$B45,IF(DATOS_[[Check Periodo Ref.]:[Check Periodo Ref.]]="Dentro",IF(DATOS_[[Check Equiparado]:[Check Equiparado]]="Sí",IF(DATOS!AX$4="Sí",(1/DATOS_[[% anualiz]:[% anualiz]]),1)*IF(DATOS!AX$5="Sí",1/DATOS_[[% normaliz]:[% normaliz]],1)*(DATOS_[Conc.Sal.20])))))))), 0)</f>
        <v>0</v>
      </c>
      <c r="AD47" s="250" t="n">
        <f aca="false" t="array" ref="AD47:AD47">IFERROR( (MEDIAN((IF(DATOS_[[Sexo]:[Sexo]]=$B47,IF(DATOS_[[AGRUP. CLAS. PROF.]:[AGRUP. CLAS. PROF.]]=$B45,IF(DATOS_[[Check Periodo Ref.]:[Check Periodo Ref.]]="Dentro",IF(DATOS_[[Check Equiparado]:[Check Equiparado]]="Sí",IF(DATOS!AY$4="Sí",(1/DATOS_[[% anualiz]:[% anualiz]]),1)*IF(DATOS!AY$5="Sí",1/DATOS_[[% normaliz]:[% normaliz]],1)*(DATOS_[Conc.Sal.21])))))))), 0)</f>
        <v>0</v>
      </c>
      <c r="AE47" s="250" t="n">
        <f aca="false" t="array" ref="AE47:AE47">IFERROR( (MEDIAN((IF(DATOS_[[Sexo]:[Sexo]]=$B47,IF(DATOS_[[AGRUP. CLAS. PROF.]:[AGRUP. CLAS. PROF.]]=$B45,IF(DATOS_[[Check Periodo Ref.]:[Check Periodo Ref.]]="Dentro",IF(DATOS_[[Check Equiparado]:[Check Equiparado]]="Sí",IF(DATOS!AZ$4="Sí",(1/DATOS_[[% anualiz]:[% anualiz]]),1)*IF(DATOS!AZ$5="Sí",1/DATOS_[[% normaliz]:[% normaliz]],1)*(DATOS_[Conc.Sal.22])))))))), 0)</f>
        <v>0</v>
      </c>
      <c r="AF47" s="250" t="n">
        <f aca="false" t="array" ref="AF47:AF47">IFERROR( (MEDIAN((IF(DATOS_[[Sexo]:[Sexo]]=$B47,IF(DATOS_[[AGRUP. CLAS. PROF.]:[AGRUP. CLAS. PROF.]]=$B45,IF(DATOS_[[Check Periodo Ref.]:[Check Periodo Ref.]]="Dentro",IF(DATOS_[[Check Equiparado]:[Check Equiparado]]="Sí",IF(DATOS!BA$4="Sí",(1/DATOS_[[% anualiz]:[% anualiz]]),1)*IF(DATOS!BA$5="Sí",1/DATOS_[[% normaliz]:[% normaliz]],1)*(DATOS_[Conc.Sal.23])))))))), 0)</f>
        <v>0</v>
      </c>
      <c r="AG47" s="250" t="n">
        <f aca="false" t="array" ref="AG47:AG47">IFERROR( (MEDIAN((IF(DATOS_[[Sexo]:[Sexo]]=$B47,IF(DATOS_[[AGRUP. CLAS. PROF.]:[AGRUP. CLAS. PROF.]]=$B45,IF(DATOS_[[Check Periodo Ref.]:[Check Periodo Ref.]]="Dentro",IF(DATOS_[[Check Equiparado]:[Check Equiparado]]="Sí",IF(DATOS!BB$4="Sí",(1/DATOS_[[% anualiz]:[% anualiz]]),1)*IF(DATOS!BB$5="Sí",1/DATOS_[[% normaliz]:[% normaliz]],1)*(DATOS_[Conc.Sal.24])))))))), 0)</f>
        <v>0</v>
      </c>
      <c r="AH47" s="250" t="n">
        <f aca="false" t="array" ref="AH47:AH47">IFERROR( (MEDIAN((IF(DATOS_[[Sexo]:[Sexo]]=$B47,IF(DATOS_[[AGRUP. CLAS. PROF.]:[AGRUP. CLAS. PROF.]]=$B45,IF(DATOS_[[Check Periodo Ref.]:[Check Periodo Ref.]]="Dentro",IF(DATOS_[[Check Equiparado]:[Check Equiparado]]="Sí",IF(DATOS!BC$4="Sí",(1/DATOS_[[% anualiz]:[% anualiz]]),1)*IF(DATOS!BC$5="Sí",1/DATOS_[[% normaliz]:[% normaliz]],1)*(DATOS_[Conc.Sal.25])))))))), 0)</f>
        <v>0</v>
      </c>
      <c r="AI47" s="250" t="n">
        <f aca="false" t="array" ref="AI47:AI47">IFERROR( (MEDIAN((IF(DATOS_[[Sexo]:[Sexo]]=$B47,IF(DATOS_[[AGRUP. CLAS. PROF.]:[AGRUP. CLAS. PROF.]]=$B45,IF(DATOS_[[Check Periodo Ref.]:[Check Periodo Ref.]]="Dentro",IF(DATOS_[[Check Equiparado]:[Check Equiparado]]="Sí",IF(DATOS!BD$4="Sí",(1/DATOS_[[% anualiz]:[% anualiz]]),1)*IF(DATOS!BD$5="Sí",1/DATOS_[[% normaliz]:[% normaliz]],1)*(DATOS_[Conc.Sal.26])))))))), 0)</f>
        <v>0</v>
      </c>
      <c r="AJ47" s="250" t="n">
        <f aca="false" t="array" ref="AJ47:AJ47">IFERROR( (MEDIAN((IF(DATOS_[[Sexo]:[Sexo]]=$B47,IF(DATOS_[[AGRUP. CLAS. PROF.]:[AGRUP. CLAS. PROF.]]=$B45,IF(DATOS_[[Check Periodo Ref.]:[Check Periodo Ref.]]="Dentro",IF(DATOS_[[Check Equiparado]:[Check Equiparado]]="Sí",IF(DATOS!BE$4="Sí",(1/DATOS_[[% anualiz]:[% anualiz]]),1)*IF(DATOS!BE$5="Sí",1/DATOS_[[% normaliz]:[% normaliz]],1)*(DATOS_[Conc.Sal.27])))))))), 0)</f>
        <v>0</v>
      </c>
      <c r="AK47" s="250" t="n">
        <f aca="false" t="array" ref="AK47:AK47">IFERROR( (MEDIAN((IF(DATOS_[[Sexo]:[Sexo]]=$B47,IF(DATOS_[[AGRUP. CLAS. PROF.]:[AGRUP. CLAS. PROF.]]=$B45,IF(DATOS_[[Check Periodo Ref.]:[Check Periodo Ref.]]="Dentro",IF(DATOS_[[Check Equiparado]:[Check Equiparado]]="Sí",IF(DATOS!BF$4="Sí",(1/DATOS_[[% anualiz]:[% anualiz]]),1)*IF(DATOS!BF$5="Sí",1/DATOS_[[% normaliz]:[% normaliz]],1)*(DATOS_[Conc.Sal.28])))))))), 0)</f>
        <v>0</v>
      </c>
      <c r="AL47" s="250" t="n">
        <f aca="false" t="array" ref="AL47:AL47">IFERROR( (MEDIAN((IF(DATOS_[[Sexo]:[Sexo]]=$B47,IF(DATOS_[[AGRUP. CLAS. PROF.]:[AGRUP. CLAS. PROF.]]=$B45,IF(DATOS_[[Check Periodo Ref.]:[Check Periodo Ref.]]="Dentro",IF(DATOS_[[Check Equiparado]:[Check Equiparado]]="Sí",IF(DATOS!BG$4="Sí",(1/DATOS_[[% anualiz]:[% anualiz]]),1)*IF(DATOS!BG$5="Sí",1/DATOS_[[% normaliz]:[% normaliz]],1)*(DATOS_[Conc.Sal.29])))))))), 0)</f>
        <v>0</v>
      </c>
      <c r="AM47" s="250" t="n">
        <f aca="false" t="array" ref="AM47:AM47">IFERROR( (MEDIAN((IF(DATOS_[[Sexo]:[Sexo]]=$B47,IF(DATOS_[[AGRUP. CLAS. PROF.]:[AGRUP. CLAS. PROF.]]=$B45,IF(DATOS_[[Check Periodo Ref.]:[Check Periodo Ref.]]="Dentro",IF(DATOS_[[Check Equiparado]:[Check Equiparado]]="Sí",IF(DATOS!BH$4="Sí",(1/DATOS_[[% anualiz]:[% anualiz]]),1)*IF(DATOS!BH$5="Sí",1/DATOS_[[% normaliz]:[% normaliz]],1)*(DATOS_[Conc.Sal.30])))))))), 0)</f>
        <v>0</v>
      </c>
      <c r="AN47" s="251" t="n">
        <f aca="false" t="array" ref="AN47:AN47">IFERROR( MEDIAN(IF(DATOS_[Sexo]=$B47,IF(DATOS_[[AGRUP. CLAS. PROF.]:[AGRUP. CLAS. PROF.]]=$B45,IF(DATOS_[Check Equiparado]="Sí",IF(DATOS_[Check Periodo Ref.]="Dentro",DATOS_[Tot COMPL.SAL Eq],0))))), 0)</f>
        <v>0</v>
      </c>
      <c r="AO47" s="252" t="n">
        <f aca="false" t="array" ref="AO47:AO47">IFERROR( MEDIAN(IF(DATOS_[Sexo]=$B47,IF(DATOS_[[AGRUP. CLAS. PROF.]:[AGRUP. CLAS. PROF.]]=$B45,IF(DATOS_[Check Equiparado]="Sí",IF(DATOS_[Check Periodo Ref.]="Dentro",DATOS_[TOTAL SALARIO Eq],0))))), 0)</f>
        <v>0</v>
      </c>
      <c r="AP47" s="259" t="n">
        <f aca="false" t="array" ref="AP47:AP47">IFERROR( (MEDIAN((IF(DATOS_[[Sexo]:[Sexo]]=$B47,IF(DATOS_[[AGRUP. CLAS. PROF.]:[AGRUP. CLAS. PROF.]]=$B46,IF(DATOS_[[Check Periodo Ref.]:[Check Periodo Ref.]]="Dentro",IF(DATOS_[[Check Equiparado]:[Check Equiparado]]="Sí",IF(DATOS!BI$4="Sí",(1/DATOS_[[% anualiz]:[% anualiz]]),1)*IF(DATOS!BI$5="Sí",1/DATOS_[[% normaliz]:[% normaliz]],1)*(DATOS_[C.Extra.01])))))))), 0)</f>
        <v>0</v>
      </c>
      <c r="AQ47" s="259" t="n">
        <f aca="false" t="array" ref="AQ47:AQ47">IFERROR( (MEDIAN((IF(DATOS_[[Sexo]:[Sexo]]=$B47,IF(DATOS_[[AGRUP. CLAS. PROF.]:[AGRUP. CLAS. PROF.]]=$B46,IF(DATOS_[[Check Periodo Ref.]:[Check Periodo Ref.]]="Dentro",IF(DATOS_[[Check Equiparado]:[Check Equiparado]]="Sí",IF(DATOS!BJ$4="Sí",(1/DATOS_[[% anualiz]:[% anualiz]]),1)*IF(DATOS!BJ$5="Sí",1/DATOS_[[% normaliz]:[% normaliz]],1)*(DATOS_[C.Extra.02])))))))), 0)</f>
        <v>0</v>
      </c>
      <c r="AR47" s="259" t="n">
        <f aca="false" t="array" ref="AR47:AR47">IFERROR( (MEDIAN((IF(DATOS_[[Sexo]:[Sexo]]=$B47,IF(DATOS_[[AGRUP. CLAS. PROF.]:[AGRUP. CLAS. PROF.]]=$B46,IF(DATOS_[[Check Periodo Ref.]:[Check Periodo Ref.]]="Dentro",IF(DATOS_[[Check Equiparado]:[Check Equiparado]]="Sí",IF(DATOS!BK$4="Sí",(1/DATOS_[[% anualiz]:[% anualiz]]),1)*IF(DATOS!BK$5="Sí",1/DATOS_[[% normaliz]:[% normaliz]],1)*(DATOS_[C.Extra.03])))))))), 0)</f>
        <v>0</v>
      </c>
      <c r="AS47" s="259" t="n">
        <f aca="false" t="array" ref="AS47:AS47">IFERROR( (MEDIAN((IF(DATOS_[[Sexo]:[Sexo]]=$B47,IF(DATOS_[[AGRUP. CLAS. PROF.]:[AGRUP. CLAS. PROF.]]=$B46,IF(DATOS_[[Check Periodo Ref.]:[Check Periodo Ref.]]="Dentro",IF(DATOS_[[Check Equiparado]:[Check Equiparado]]="Sí",IF(DATOS!BL$4="Sí",(1/DATOS_[[% anualiz]:[% anualiz]]),1)*IF(DATOS!BL$5="Sí",1/DATOS_[[% normaliz]:[% normaliz]],1)*(DATOS_[C.Extra.04])))))))), 0)</f>
        <v>0</v>
      </c>
      <c r="AT47" s="259" t="n">
        <f aca="false" t="array" ref="AT47:AT47">IFERROR( (MEDIAN((IF(DATOS_[[Sexo]:[Sexo]]=$B47,IF(DATOS_[[AGRUP. CLAS. PROF.]:[AGRUP. CLAS. PROF.]]=$B46,IF(DATOS_[[Check Periodo Ref.]:[Check Periodo Ref.]]="Dentro",IF(DATOS_[[Check Equiparado]:[Check Equiparado]]="Sí",IF(DATOS!BM$4="Sí",(1/DATOS_[[% anualiz]:[% anualiz]]),1)*IF(DATOS!BM$5="Sí",1/DATOS_[[% normaliz]:[% normaliz]],1)*(DATOS_[C.Extra.05])))))))), 0)</f>
        <v>0</v>
      </c>
      <c r="AU47" s="254" t="n">
        <f aca="false" t="array" ref="AU47:AU47">IFERROR( MEDIAN(IF(DATOS_[Sexo]=$B47,IF(DATOS_[[AGRUP. CLAS. PROF.]:[AGRUP. CLAS. PROF.]]=$B45,IF(DATOS_[Check Equiparado]="Sí",IF(DATOS_[Check Periodo Ref.]="Dentro",DATOS_[Tot Extrasalarial Eq],0))))), 0)</f>
        <v>0</v>
      </c>
      <c r="AV47" s="255" t="n">
        <f aca="false" t="array" ref="AV47:AV47">IFERROR( MEDIAN(IF(DATOS_[Sexo]=$B47,IF(DATOS_[[AGRUP. CLAS. PROF.]:[AGRUP. CLAS. PROF.]]=$B45,IF(DATOS_[Check Equiparado]="Sí",IF(DATOS_[Check Periodo Ref.]="Dentro",DATOS_[TOTAL Retrib Eq],0))))), 0)</f>
        <v>0</v>
      </c>
    </row>
    <row r="48" customFormat="false" ht="15.75" hidden="false" customHeight="false" outlineLevel="0" collapsed="false">
      <c r="A48" s="217" t="str">
        <f aca="false">+A49</f>
        <v>[ocultar]</v>
      </c>
      <c r="B48" s="320" t="s">
        <v>201</v>
      </c>
      <c r="C48" s="236"/>
      <c r="D48" s="237"/>
      <c r="E48" s="237"/>
      <c r="F48" s="237"/>
      <c r="G48" s="237"/>
      <c r="H48" s="237"/>
      <c r="I48" s="238"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39" t="str">
        <f aca="false">IFERROR((V49-V50)/V49,"")</f>
        <v/>
      </c>
      <c r="W48" s="239" t="str">
        <f aca="false">IFERROR((W49-W50)/W49,"")</f>
        <v/>
      </c>
      <c r="X48" s="239" t="str">
        <f aca="false">IFERROR((X49-X50)/X49,"")</f>
        <v/>
      </c>
      <c r="Y48" s="239"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0" t="str">
        <f aca="false">IFERROR((AJ49-AJ50)/AJ49,"")</f>
        <v/>
      </c>
      <c r="AK48" s="240" t="str">
        <f aca="false">IFERROR((AK49-AK50)/AK49,"")</f>
        <v/>
      </c>
      <c r="AL48" s="240" t="str">
        <f aca="false">IFERROR((AL49-AL50)/AL49,"")</f>
        <v/>
      </c>
      <c r="AM48" s="240" t="str">
        <f aca="false">IFERROR((AM49-AM50)/AM49,"")</f>
        <v/>
      </c>
      <c r="AN48" s="241" t="str">
        <f aca="false">IFERROR((AN49-AN50)/AN49,"")</f>
        <v/>
      </c>
      <c r="AO48" s="242" t="str">
        <f aca="false">IFERROR((AO49-AO50)/AO49,"")</f>
        <v/>
      </c>
      <c r="AP48" s="243" t="str">
        <f aca="false">IFERROR((AP49-AP50)/AP49,"")</f>
        <v/>
      </c>
      <c r="AQ48" s="243" t="str">
        <f aca="false">IFERROR((AQ49-AQ50)/AQ49,"")</f>
        <v/>
      </c>
      <c r="AR48" s="243" t="str">
        <f aca="false">IFERROR((AR49-AR50)/AR49,"")</f>
        <v/>
      </c>
      <c r="AS48" s="243" t="str">
        <f aca="false">IFERROR((AS49-AS50)/AS49,"")</f>
        <v/>
      </c>
      <c r="AT48" s="243" t="str">
        <f aca="false">IFERROR((AT49-AT50)/AT49,"")</f>
        <v/>
      </c>
      <c r="AU48" s="244" t="str">
        <f aca="false">IFERROR((AU49-AU50)/AU49,"")</f>
        <v/>
      </c>
      <c r="AV48" s="245" t="str">
        <f aca="false">IFERROR((AV49-AV50)/AV49,"")</f>
        <v/>
      </c>
    </row>
    <row r="49" customFormat="false" ht="14.25" hidden="false" customHeight="false" outlineLevel="0" collapsed="false">
      <c r="A49" s="217" t="str">
        <f aca="false">+IF(C49+C50=0,"[ocultar]","")</f>
        <v>[ocultar]</v>
      </c>
      <c r="B49" s="323" t="s">
        <v>371</v>
      </c>
      <c r="C49" s="247" t="n">
        <f aca="false" t="array" ref="C49:C49">SUM(IF($B49=DATOS_[Sexo], IF($B48=DATOS_[AGRUP. CLAS. PROF.], IF("Dentro"=DATOS_[Check Periodo Ref.], 1/(COUNTIFS(DATOS_[Sexo],$B49,DATOS_[AGRUP. CLAS. PROF.],$B48,DATOS_[Check Periodo Ref.],"Dentro",DATOS_[id],DATOS_[id]))))))</f>
        <v>0</v>
      </c>
      <c r="D49" s="248" t="n">
        <f aca="false">COUNTIFS(DATOS_[AGRUP. CLAS. PROF.],$B48,DATOS_[Sexo],$B49,DATOS_[Check Periodo Ref.],"Dentro")</f>
        <v>0</v>
      </c>
      <c r="E49" s="248" t="n">
        <f aca="false">COUNTIFS(DATOS_[AGRUP. CLAS. PROF.],$B48,DATOS_[Sexo],$B49,DATOS_[Check Periodo Ref.],"Dentro",DATOS_[Check Nº SC Norm],"Sí")</f>
        <v>0</v>
      </c>
      <c r="F49" s="248" t="n">
        <f aca="false">COUNTIFS(DATOS_[AGRUP. CLAS. PROF.],$B48,DATOS_[Sexo],$B49,DATOS_[Check Periodo Ref.],"Dentro",DATOS_[Check Nº SC Anualiz],"Sí")</f>
        <v>0</v>
      </c>
      <c r="G49" s="248" t="n">
        <f aca="false">COUNTIFS(DATOS_[AGRUP. CLAS. PROF.],$B48,DATOS_[Sexo],$B49,DATOS_[Check Periodo Ref.],"Dentro",DATOS_[Check Nº SC Norm y Anualiz],"Sí")</f>
        <v>0</v>
      </c>
      <c r="H49" s="248" t="n">
        <f aca="false">COUNTIFS(DATOS_[AGRUP. CLAS. PROF.],$B48,DATOS_[Sexo],$B49,DATOS_[Check Periodo Ref.],"Dentro",DATOS_[Check Equiparación],"Sí")</f>
        <v>0</v>
      </c>
      <c r="I49" s="249" t="n">
        <f aca="false" t="array" ref="I49:I49">IFERROR( MEDIAN(IF(DATOS_[Sexo]=$B49,IF(DATOS_[[AGRUP. CLAS. PROF.]:[AGRUP. CLAS. PROF.]]=$B48,IF(DATOS_[Check Equiparado]="Sí",IF(DATOS_[Check Periodo Ref.]="Dentro",DATOS_[SALARIO BASE Eq],0))))), 0)</f>
        <v>0</v>
      </c>
      <c r="J49" s="250" t="n">
        <f aca="false" t="array" ref="J49:J49">IFERROR( (MEDIAN((IF(DATOS_[[Sexo]:[Sexo]]=$B49,IF(DATOS_[[AGRUP. CLAS. PROF.]:[AGRUP. CLAS. PROF.]]=$B48,IF(DATOS_[[Check Periodo Ref.]:[Check Periodo Ref.]]="Dentro",IF(DATOS_[[Check Equiparado]:[Check Equiparado]]="Sí",IF(DATOS!AE$4="Sí",(1/DATOS_[[% anualiz]:[% anualiz]]),1)*IF(DATOS!AE$5="Sí",1/DATOS_[[% normaliz]:[% normaliz]],1)*(DATOS_[Conc.Sal.01])))))))), 0)</f>
        <v>0</v>
      </c>
      <c r="K49" s="250" t="n">
        <f aca="false" t="array" ref="K49:K49">IFERROR( (MEDIAN((IF(DATOS_[[Sexo]:[Sexo]]=$B49,IF(DATOS_[[AGRUP. CLAS. PROF.]:[AGRUP. CLAS. PROF.]]=$B48,IF(DATOS_[[Check Periodo Ref.]:[Check Periodo Ref.]]="Dentro",IF(DATOS_[[Check Equiparado]:[Check Equiparado]]="Sí",IF(DATOS!AF$4="Sí",(1/DATOS_[[% anualiz]:[% anualiz]]),1)*IF(DATOS!AF$5="Sí",1/DATOS_[[% normaliz]:[% normaliz]],1)*(DATOS_[Conc.Sal.02])))))))), 0)</f>
        <v>0</v>
      </c>
      <c r="L49" s="250" t="n">
        <f aca="false" t="array" ref="L49:L49">IFERROR( (MEDIAN((IF(DATOS_[[Sexo]:[Sexo]]=$B49,IF(DATOS_[[AGRUP. CLAS. PROF.]:[AGRUP. CLAS. PROF.]]=$B48,IF(DATOS_[[Check Periodo Ref.]:[Check Periodo Ref.]]="Dentro",IF(DATOS_[[Check Equiparado]:[Check Equiparado]]="Sí",IF(DATOS!AG$4="Sí",(1/DATOS_[[% anualiz]:[% anualiz]]),1)*IF(DATOS!AG$5="Sí",1/DATOS_[[% normaliz]:[% normaliz]],1)*(DATOS_[Conc.Sal.03])))))))), 0)</f>
        <v>0</v>
      </c>
      <c r="M49" s="250" t="n">
        <f aca="false" t="array" ref="M49:M49">IFERROR( (MEDIAN((IF(DATOS_[[Sexo]:[Sexo]]=$B49,IF(DATOS_[[AGRUP. CLAS. PROF.]:[AGRUP. CLAS. PROF.]]=$B48,IF(DATOS_[[Check Periodo Ref.]:[Check Periodo Ref.]]="Dentro",IF(DATOS_[[Check Equiparado]:[Check Equiparado]]="Sí",IF(DATOS!AH$4="Sí",(1/DATOS_[[% anualiz]:[% anualiz]]),1)*IF(DATOS!AH$5="Sí",1/DATOS_[[% normaliz]:[% normaliz]],1)*(DATOS_[Conc.Sal.04])))))))), 0)</f>
        <v>0</v>
      </c>
      <c r="N49" s="250" t="n">
        <f aca="false" t="array" ref="N49:N49">IFERROR( (MEDIAN((IF(DATOS_[[Sexo]:[Sexo]]=$B49,IF(DATOS_[[AGRUP. CLAS. PROF.]:[AGRUP. CLAS. PROF.]]=$B48,IF(DATOS_[[Check Periodo Ref.]:[Check Periodo Ref.]]="Dentro",IF(DATOS_[[Check Equiparado]:[Check Equiparado]]="Sí",IF(DATOS!AI$4="Sí",(1/DATOS_[[% anualiz]:[% anualiz]]),1)*IF(DATOS!AI$5="Sí",1/DATOS_[[% normaliz]:[% normaliz]],1)*(DATOS_[Conc.Sal.05])))))))), 0)</f>
        <v>0</v>
      </c>
      <c r="O49" s="250" t="n">
        <f aca="false" t="array" ref="O49:O49">IFERROR( (MEDIAN((IF(DATOS_[[Sexo]:[Sexo]]=$B49,IF(DATOS_[[AGRUP. CLAS. PROF.]:[AGRUP. CLAS. PROF.]]=$B48,IF(DATOS_[[Check Periodo Ref.]:[Check Periodo Ref.]]="Dentro",IF(DATOS_[[Check Equiparado]:[Check Equiparado]]="Sí",IF(DATOS!AJ$4="Sí",(1/DATOS_[[% anualiz]:[% anualiz]]),1)*IF(DATOS!AJ$5="Sí",1/DATOS_[[% normaliz]:[% normaliz]],1)*(DATOS_[Conc.Sal.06])))))))), 0)</f>
        <v>0</v>
      </c>
      <c r="P49" s="250" t="n">
        <f aca="false" t="array" ref="P49:P49">IFERROR( (MEDIAN((IF(DATOS_[[Sexo]:[Sexo]]=$B49,IF(DATOS_[[AGRUP. CLAS. PROF.]:[AGRUP. CLAS. PROF.]]=$B48,IF(DATOS_[[Check Periodo Ref.]:[Check Periodo Ref.]]="Dentro",IF(DATOS_[[Check Equiparado]:[Check Equiparado]]="Sí",IF(DATOS!AK$4="Sí",(1/DATOS_[[% anualiz]:[% anualiz]]),1)*IF(DATOS!AK$5="Sí",1/DATOS_[[% normaliz]:[% normaliz]],1)*(DATOS_[Conc.Sal.07])))))))), 0)</f>
        <v>0</v>
      </c>
      <c r="Q49" s="250" t="n">
        <f aca="false" t="array" ref="Q49:Q49">IFERROR( (MEDIAN((IF(DATOS_[[Sexo]:[Sexo]]=$B49,IF(DATOS_[[AGRUP. CLAS. PROF.]:[AGRUP. CLAS. PROF.]]=$B48,IF(DATOS_[[Check Periodo Ref.]:[Check Periodo Ref.]]="Dentro",IF(DATOS_[[Check Equiparado]:[Check Equiparado]]="Sí",IF(DATOS!AL$4="Sí",(1/DATOS_[[% anualiz]:[% anualiz]]),1)*IF(DATOS!AL$5="Sí",1/DATOS_[[% normaliz]:[% normaliz]],1)*(DATOS_[Conc.Sal.08])))))))), 0)</f>
        <v>0</v>
      </c>
      <c r="R49" s="250" t="n">
        <f aca="false" t="array" ref="R49:R49">IFERROR( (MEDIAN((IF(DATOS_[[Sexo]:[Sexo]]=$B49,IF(DATOS_[[AGRUP. CLAS. PROF.]:[AGRUP. CLAS. PROF.]]=$B48,IF(DATOS_[[Check Periodo Ref.]:[Check Periodo Ref.]]="Dentro",IF(DATOS_[[Check Equiparado]:[Check Equiparado]]="Sí",IF(DATOS!AM$4="Sí",(1/DATOS_[[% anualiz]:[% anualiz]]),1)*IF(DATOS!AM$5="Sí",1/DATOS_[[% normaliz]:[% normaliz]],1)*(DATOS_[Conc.Sal.09])))))))), 0)</f>
        <v>0</v>
      </c>
      <c r="S49" s="250" t="n">
        <f aca="false" t="array" ref="S49:S49">IFERROR( (MEDIAN((IF(DATOS_[[Sexo]:[Sexo]]=$B49,IF(DATOS_[[AGRUP. CLAS. PROF.]:[AGRUP. CLAS. PROF.]]=$B48,IF(DATOS_[[Check Periodo Ref.]:[Check Periodo Ref.]]="Dentro",IF(DATOS_[[Check Equiparado]:[Check Equiparado]]="Sí",IF(DATOS!AN$4="Sí",(1/DATOS_[[% anualiz]:[% anualiz]]),1)*IF(DATOS!AN$5="Sí",1/DATOS_[[% normaliz]:[% normaliz]],1)*(DATOS_[Conc.Sal.10])))))))), 0)</f>
        <v>0</v>
      </c>
      <c r="T49" s="250" t="n">
        <f aca="false" t="array" ref="T49:T49">IFERROR( (MEDIAN((IF(DATOS_[[Sexo]:[Sexo]]=$B49,IF(DATOS_[[AGRUP. CLAS. PROF.]:[AGRUP. CLAS. PROF.]]=$B48,IF(DATOS_[[Check Periodo Ref.]:[Check Periodo Ref.]]="Dentro",IF(DATOS_[[Check Equiparado]:[Check Equiparado]]="Sí",IF(DATOS!AO$4="Sí",(1/DATOS_[[% anualiz]:[% anualiz]]),1)*IF(DATOS!AO$5="Sí",1/DATOS_[[% normaliz]:[% normaliz]],1)*(DATOS_[Conc.Sal.11])))))))), 0)</f>
        <v>0</v>
      </c>
      <c r="U49" s="250" t="n">
        <f aca="false" t="array" ref="U49:U49">IFERROR( (MEDIAN((IF(DATOS_[[Sexo]:[Sexo]]=$B49,IF(DATOS_[[AGRUP. CLAS. PROF.]:[AGRUP. CLAS. PROF.]]=$B48,IF(DATOS_[[Check Periodo Ref.]:[Check Periodo Ref.]]="Dentro",IF(DATOS_[[Check Equiparado]:[Check Equiparado]]="Sí",IF(DATOS!AP$4="Sí",(1/DATOS_[[% anualiz]:[% anualiz]]),1)*IF(DATOS!AP$5="Sí",1/DATOS_[[% normaliz]:[% normaliz]],1)*(DATOS_[Conc.Sal.12])))))))), 0)</f>
        <v>0</v>
      </c>
      <c r="V49" s="250" t="n">
        <f aca="false" t="array" ref="V49:V49">IFERROR( (MEDIAN((IF(DATOS_[[Sexo]:[Sexo]]=$B49,IF(DATOS_[[AGRUP. CLAS. PROF.]:[AGRUP. CLAS. PROF.]]=$B48,IF(DATOS_[[Check Periodo Ref.]:[Check Periodo Ref.]]="Dentro",IF(DATOS_[[Check Equiparado]:[Check Equiparado]]="Sí",IF(DATOS!AQ$4="Sí",(1/DATOS_[[% anualiz]:[% anualiz]]),1)*IF(DATOS!AQ$5="Sí",1/DATOS_[[% normaliz]:[% normaliz]],1)*(DATOS_[Conc.Sal.13])))))))), 0)</f>
        <v>0</v>
      </c>
      <c r="W49" s="250" t="n">
        <f aca="false" t="array" ref="W49:W49">IFERROR( (MEDIAN((IF(DATOS_[[Sexo]:[Sexo]]=$B49,IF(DATOS_[[AGRUP. CLAS. PROF.]:[AGRUP. CLAS. PROF.]]=$B48,IF(DATOS_[[Check Periodo Ref.]:[Check Periodo Ref.]]="Dentro",IF(DATOS_[[Check Equiparado]:[Check Equiparado]]="Sí",IF(DATOS!AR$4="Sí",(1/DATOS_[[% anualiz]:[% anualiz]]),1)*IF(DATOS!AR$5="Sí",1/DATOS_[[% normaliz]:[% normaliz]],1)*(DATOS_[Conc.Sal.14])))))))), 0)</f>
        <v>0</v>
      </c>
      <c r="X49" s="250" t="n">
        <f aca="false" t="array" ref="X49:X49">IFERROR( (MEDIAN((IF(DATOS_[[Sexo]:[Sexo]]=$B49,IF(DATOS_[[AGRUP. CLAS. PROF.]:[AGRUP. CLAS. PROF.]]=$B48,IF(DATOS_[[Check Periodo Ref.]:[Check Periodo Ref.]]="Dentro",IF(DATOS_[[Check Equiparado]:[Check Equiparado]]="Sí",IF(DATOS!AS$4="Sí",(1/DATOS_[[% anualiz]:[% anualiz]]),1)*IF(DATOS!AS$5="Sí",1/DATOS_[[% normaliz]:[% normaliz]],1)*(DATOS_[Conc.Sal.15])))))))), 0)</f>
        <v>0</v>
      </c>
      <c r="Y49" s="250" t="n">
        <f aca="false" t="array" ref="Y49:Y49">IFERROR( (MEDIAN((IF(DATOS_[[Sexo]:[Sexo]]=$B49,IF(DATOS_[[AGRUP. CLAS. PROF.]:[AGRUP. CLAS. PROF.]]=$B48,IF(DATOS_[[Check Periodo Ref.]:[Check Periodo Ref.]]="Dentro",IF(DATOS_[[Check Equiparado]:[Check Equiparado]]="Sí",IF(DATOS!AT$4="Sí",(1/DATOS_[[% anualiz]:[% anualiz]]),1)*IF(DATOS!AT$5="Sí",1/DATOS_[[% normaliz]:[% normaliz]],1)*(DATOS_[Conc.Sal.16])))))))), 0)</f>
        <v>0</v>
      </c>
      <c r="Z49" s="250" t="n">
        <f aca="false" t="array" ref="Z49:Z49">IFERROR( (MEDIAN((IF(DATOS_[[Sexo]:[Sexo]]=$B49,IF(DATOS_[[AGRUP. CLAS. PROF.]:[AGRUP. CLAS. PROF.]]=$B48,IF(DATOS_[[Check Periodo Ref.]:[Check Periodo Ref.]]="Dentro",IF(DATOS_[[Check Equiparado]:[Check Equiparado]]="Sí",IF(DATOS!AU$4="Sí",(1/DATOS_[[% anualiz]:[% anualiz]]),1)*IF(DATOS!AU$5="Sí",1/DATOS_[[% normaliz]:[% normaliz]],1)*(DATOS_[Conc.Sal.17])))))))), 0)</f>
        <v>0</v>
      </c>
      <c r="AA49" s="250" t="n">
        <f aca="false" t="array" ref="AA49:AA49">IFERROR( (MEDIAN((IF(DATOS_[[Sexo]:[Sexo]]=$B49,IF(DATOS_[[AGRUP. CLAS. PROF.]:[AGRUP. CLAS. PROF.]]=$B48,IF(DATOS_[[Check Periodo Ref.]:[Check Periodo Ref.]]="Dentro",IF(DATOS_[[Check Equiparado]:[Check Equiparado]]="Sí",IF(DATOS!AV$4="Sí",(1/DATOS_[[% anualiz]:[% anualiz]]),1)*IF(DATOS!AV$5="Sí",1/DATOS_[[% normaliz]:[% normaliz]],1)*(DATOS_[Conc.Sal.18])))))))), 0)</f>
        <v>0</v>
      </c>
      <c r="AB49" s="250" t="n">
        <f aca="false" t="array" ref="AB49:AB49">IFERROR( (MEDIAN((IF(DATOS_[[Sexo]:[Sexo]]=$B49,IF(DATOS_[[AGRUP. CLAS. PROF.]:[AGRUP. CLAS. PROF.]]=$B48,IF(DATOS_[[Check Periodo Ref.]:[Check Periodo Ref.]]="Dentro",IF(DATOS_[[Check Equiparado]:[Check Equiparado]]="Sí",IF(DATOS!AW$4="Sí",(1/DATOS_[[% anualiz]:[% anualiz]]),1)*IF(DATOS!AW$5="Sí",1/DATOS_[[% normaliz]:[% normaliz]],1)*(DATOS_[Conc.Sal.19])))))))), 0)</f>
        <v>0</v>
      </c>
      <c r="AC49" s="250" t="n">
        <f aca="false" t="array" ref="AC49:AC49">IFERROR( (MEDIAN((IF(DATOS_[[Sexo]:[Sexo]]=$B49,IF(DATOS_[[AGRUP. CLAS. PROF.]:[AGRUP. CLAS. PROF.]]=$B48,IF(DATOS_[[Check Periodo Ref.]:[Check Periodo Ref.]]="Dentro",IF(DATOS_[[Check Equiparado]:[Check Equiparado]]="Sí",IF(DATOS!AX$4="Sí",(1/DATOS_[[% anualiz]:[% anualiz]]),1)*IF(DATOS!AX$5="Sí",1/DATOS_[[% normaliz]:[% normaliz]],1)*(DATOS_[Conc.Sal.20])))))))), 0)</f>
        <v>0</v>
      </c>
      <c r="AD49" s="250" t="n">
        <f aca="false" t="array" ref="AD49:AD49">IFERROR( (MEDIAN((IF(DATOS_[[Sexo]:[Sexo]]=$B49,IF(DATOS_[[AGRUP. CLAS. PROF.]:[AGRUP. CLAS. PROF.]]=$B48,IF(DATOS_[[Check Periodo Ref.]:[Check Periodo Ref.]]="Dentro",IF(DATOS_[[Check Equiparado]:[Check Equiparado]]="Sí",IF(DATOS!AY$4="Sí",(1/DATOS_[[% anualiz]:[% anualiz]]),1)*IF(DATOS!AY$5="Sí",1/DATOS_[[% normaliz]:[% normaliz]],1)*(DATOS_[Conc.Sal.21])))))))), 0)</f>
        <v>0</v>
      </c>
      <c r="AE49" s="250" t="n">
        <f aca="false" t="array" ref="AE49:AE49">IFERROR( (MEDIAN((IF(DATOS_[[Sexo]:[Sexo]]=$B49,IF(DATOS_[[AGRUP. CLAS. PROF.]:[AGRUP. CLAS. PROF.]]=$B48,IF(DATOS_[[Check Periodo Ref.]:[Check Periodo Ref.]]="Dentro",IF(DATOS_[[Check Equiparado]:[Check Equiparado]]="Sí",IF(DATOS!AZ$4="Sí",(1/DATOS_[[% anualiz]:[% anualiz]]),1)*IF(DATOS!AZ$5="Sí",1/DATOS_[[% normaliz]:[% normaliz]],1)*(DATOS_[Conc.Sal.22])))))))), 0)</f>
        <v>0</v>
      </c>
      <c r="AF49" s="250" t="n">
        <f aca="false" t="array" ref="AF49:AF49">IFERROR( (MEDIAN((IF(DATOS_[[Sexo]:[Sexo]]=$B49,IF(DATOS_[[AGRUP. CLAS. PROF.]:[AGRUP. CLAS. PROF.]]=$B48,IF(DATOS_[[Check Periodo Ref.]:[Check Periodo Ref.]]="Dentro",IF(DATOS_[[Check Equiparado]:[Check Equiparado]]="Sí",IF(DATOS!BA$4="Sí",(1/DATOS_[[% anualiz]:[% anualiz]]),1)*IF(DATOS!BA$5="Sí",1/DATOS_[[% normaliz]:[% normaliz]],1)*(DATOS_[Conc.Sal.23])))))))), 0)</f>
        <v>0</v>
      </c>
      <c r="AG49" s="250" t="n">
        <f aca="false" t="array" ref="AG49:AG49">IFERROR( (MEDIAN((IF(DATOS_[[Sexo]:[Sexo]]=$B49,IF(DATOS_[[AGRUP. CLAS. PROF.]:[AGRUP. CLAS. PROF.]]=$B48,IF(DATOS_[[Check Periodo Ref.]:[Check Periodo Ref.]]="Dentro",IF(DATOS_[[Check Equiparado]:[Check Equiparado]]="Sí",IF(DATOS!BB$4="Sí",(1/DATOS_[[% anualiz]:[% anualiz]]),1)*IF(DATOS!BB$5="Sí",1/DATOS_[[% normaliz]:[% normaliz]],1)*(DATOS_[Conc.Sal.24])))))))), 0)</f>
        <v>0</v>
      </c>
      <c r="AH49" s="250" t="n">
        <f aca="false" t="array" ref="AH49:AH49">IFERROR( (MEDIAN((IF(DATOS_[[Sexo]:[Sexo]]=$B49,IF(DATOS_[[AGRUP. CLAS. PROF.]:[AGRUP. CLAS. PROF.]]=$B48,IF(DATOS_[[Check Periodo Ref.]:[Check Periodo Ref.]]="Dentro",IF(DATOS_[[Check Equiparado]:[Check Equiparado]]="Sí",IF(DATOS!BC$4="Sí",(1/DATOS_[[% anualiz]:[% anualiz]]),1)*IF(DATOS!BC$5="Sí",1/DATOS_[[% normaliz]:[% normaliz]],1)*(DATOS_[Conc.Sal.25])))))))), 0)</f>
        <v>0</v>
      </c>
      <c r="AI49" s="250" t="n">
        <f aca="false" t="array" ref="AI49:AI49">IFERROR( (MEDIAN((IF(DATOS_[[Sexo]:[Sexo]]=$B49,IF(DATOS_[[AGRUP. CLAS. PROF.]:[AGRUP. CLAS. PROF.]]=$B48,IF(DATOS_[[Check Periodo Ref.]:[Check Periodo Ref.]]="Dentro",IF(DATOS_[[Check Equiparado]:[Check Equiparado]]="Sí",IF(DATOS!BD$4="Sí",(1/DATOS_[[% anualiz]:[% anualiz]]),1)*IF(DATOS!BD$5="Sí",1/DATOS_[[% normaliz]:[% normaliz]],1)*(DATOS_[Conc.Sal.26])))))))), 0)</f>
        <v>0</v>
      </c>
      <c r="AJ49" s="250" t="n">
        <f aca="false" t="array" ref="AJ49:AJ49">IFERROR( (MEDIAN((IF(DATOS_[[Sexo]:[Sexo]]=$B49,IF(DATOS_[[AGRUP. CLAS. PROF.]:[AGRUP. CLAS. PROF.]]=$B48,IF(DATOS_[[Check Periodo Ref.]:[Check Periodo Ref.]]="Dentro",IF(DATOS_[[Check Equiparado]:[Check Equiparado]]="Sí",IF(DATOS!BE$4="Sí",(1/DATOS_[[% anualiz]:[% anualiz]]),1)*IF(DATOS!BE$5="Sí",1/DATOS_[[% normaliz]:[% normaliz]],1)*(DATOS_[Conc.Sal.27])))))))), 0)</f>
        <v>0</v>
      </c>
      <c r="AK49" s="250" t="n">
        <f aca="false" t="array" ref="AK49:AK49">IFERROR( (MEDIAN((IF(DATOS_[[Sexo]:[Sexo]]=$B49,IF(DATOS_[[AGRUP. CLAS. PROF.]:[AGRUP. CLAS. PROF.]]=$B48,IF(DATOS_[[Check Periodo Ref.]:[Check Periodo Ref.]]="Dentro",IF(DATOS_[[Check Equiparado]:[Check Equiparado]]="Sí",IF(DATOS!BF$4="Sí",(1/DATOS_[[% anualiz]:[% anualiz]]),1)*IF(DATOS!BF$5="Sí",1/DATOS_[[% normaliz]:[% normaliz]],1)*(DATOS_[Conc.Sal.28])))))))), 0)</f>
        <v>0</v>
      </c>
      <c r="AL49" s="250" t="n">
        <f aca="false" t="array" ref="AL49:AL49">IFERROR( (MEDIAN((IF(DATOS_[[Sexo]:[Sexo]]=$B49,IF(DATOS_[[AGRUP. CLAS. PROF.]:[AGRUP. CLAS. PROF.]]=$B48,IF(DATOS_[[Check Periodo Ref.]:[Check Periodo Ref.]]="Dentro",IF(DATOS_[[Check Equiparado]:[Check Equiparado]]="Sí",IF(DATOS!BG$4="Sí",(1/DATOS_[[% anualiz]:[% anualiz]]),1)*IF(DATOS!BG$5="Sí",1/DATOS_[[% normaliz]:[% normaliz]],1)*(DATOS_[Conc.Sal.29])))))))), 0)</f>
        <v>0</v>
      </c>
      <c r="AM49" s="250" t="n">
        <f aca="false" t="array" ref="AM49:AM49">IFERROR( (MEDIAN((IF(DATOS_[[Sexo]:[Sexo]]=$B49,IF(DATOS_[[AGRUP. CLAS. PROF.]:[AGRUP. CLAS. PROF.]]=$B48,IF(DATOS_[[Check Periodo Ref.]:[Check Periodo Ref.]]="Dentro",IF(DATOS_[[Check Equiparado]:[Check Equiparado]]="Sí",IF(DATOS!BH$4="Sí",(1/DATOS_[[% anualiz]:[% anualiz]]),1)*IF(DATOS!BH$5="Sí",1/DATOS_[[% normaliz]:[% normaliz]],1)*(DATOS_[Conc.Sal.30])))))))), 0)</f>
        <v>0</v>
      </c>
      <c r="AN49" s="251" t="n">
        <f aca="false" t="array" ref="AN49:AN49">IFERROR( MEDIAN(IF(DATOS_[Sexo]=$B49,IF(DATOS_[[AGRUP. CLAS. PROF.]:[AGRUP. CLAS. PROF.]]=$B48,IF(DATOS_[Check Equiparado]="Sí",IF(DATOS_[Check Periodo Ref.]="Dentro",DATOS_[Tot COMPL.SAL Eq],0))))), 0)</f>
        <v>0</v>
      </c>
      <c r="AO49" s="252" t="n">
        <f aca="false" t="array" ref="AO49:AO49">IFERROR( MEDIAN(IF(DATOS_[Sexo]=$B49,IF(DATOS_[[AGRUP. CLAS. PROF.]:[AGRUP. CLAS. PROF.]]=$B48,IF(DATOS_[Check Equiparado]="Sí",IF(DATOS_[Check Periodo Ref.]="Dentro",DATOS_[TOTAL SALARIO Eq],0))))), 0)</f>
        <v>0</v>
      </c>
      <c r="AP49" s="259" t="n">
        <f aca="false" t="array" ref="AP49:AP49">IFERROR( (MEDIAN((IF(DATOS_[[Sexo]:[Sexo]]=$B49,IF(DATOS_[[AGRUP. CLAS. PROF.]:[AGRUP. CLAS. PROF.]]=$B48,IF(DATOS_[[Check Periodo Ref.]:[Check Periodo Ref.]]="Dentro",IF(DATOS_[[Check Equiparado]:[Check Equiparado]]="Sí",IF(DATOS!BI$4="Sí",(1/DATOS_[[% anualiz]:[% anualiz]]),1)*IF(DATOS!BI$5="Sí",1/DATOS_[[% normaliz]:[% normaliz]],1)*(DATOS_[C.Extra.01])))))))), 0)</f>
        <v>0</v>
      </c>
      <c r="AQ49" s="259" t="n">
        <f aca="false" t="array" ref="AQ49:AQ49">IFERROR( (MEDIAN((IF(DATOS_[[Sexo]:[Sexo]]=$B49,IF(DATOS_[[AGRUP. CLAS. PROF.]:[AGRUP. CLAS. PROF.]]=$B48,IF(DATOS_[[Check Periodo Ref.]:[Check Periodo Ref.]]="Dentro",IF(DATOS_[[Check Equiparado]:[Check Equiparado]]="Sí",IF(DATOS!BJ$4="Sí",(1/DATOS_[[% anualiz]:[% anualiz]]),1)*IF(DATOS!BJ$5="Sí",1/DATOS_[[% normaliz]:[% normaliz]],1)*(DATOS_[C.Extra.02])))))))), 0)</f>
        <v>0</v>
      </c>
      <c r="AR49" s="259" t="n">
        <f aca="false" t="array" ref="AR49:AR49">IFERROR( (MEDIAN((IF(DATOS_[[Sexo]:[Sexo]]=$B49,IF(DATOS_[[AGRUP. CLAS. PROF.]:[AGRUP. CLAS. PROF.]]=$B48,IF(DATOS_[[Check Periodo Ref.]:[Check Periodo Ref.]]="Dentro",IF(DATOS_[[Check Equiparado]:[Check Equiparado]]="Sí",IF(DATOS!BK$4="Sí",(1/DATOS_[[% anualiz]:[% anualiz]]),1)*IF(DATOS!BK$5="Sí",1/DATOS_[[% normaliz]:[% normaliz]],1)*(DATOS_[C.Extra.03])))))))), 0)</f>
        <v>0</v>
      </c>
      <c r="AS49" s="259" t="n">
        <f aca="false" t="array" ref="AS49:AS49">IFERROR( (MEDIAN((IF(DATOS_[[Sexo]:[Sexo]]=$B49,IF(DATOS_[[AGRUP. CLAS. PROF.]:[AGRUP. CLAS. PROF.]]=$B48,IF(DATOS_[[Check Periodo Ref.]:[Check Periodo Ref.]]="Dentro",IF(DATOS_[[Check Equiparado]:[Check Equiparado]]="Sí",IF(DATOS!BL$4="Sí",(1/DATOS_[[% anualiz]:[% anualiz]]),1)*IF(DATOS!BL$5="Sí",1/DATOS_[[% normaliz]:[% normaliz]],1)*(DATOS_[C.Extra.04])))))))), 0)</f>
        <v>0</v>
      </c>
      <c r="AT49" s="259" t="n">
        <f aca="false" t="array" ref="AT49:AT49">IFERROR( (MEDIAN((IF(DATOS_[[Sexo]:[Sexo]]=$B49,IF(DATOS_[[AGRUP. CLAS. PROF.]:[AGRUP. CLAS. PROF.]]=$B48,IF(DATOS_[[Check Periodo Ref.]:[Check Periodo Ref.]]="Dentro",IF(DATOS_[[Check Equiparado]:[Check Equiparado]]="Sí",IF(DATOS!BM$4="Sí",(1/DATOS_[[% anualiz]:[% anualiz]]),1)*IF(DATOS!BM$5="Sí",1/DATOS_[[% normaliz]:[% normaliz]],1)*(DATOS_[C.Extra.05])))))))), 0)</f>
        <v>0</v>
      </c>
      <c r="AU49" s="254" t="n">
        <f aca="false" t="array" ref="AU49:AU49">IFERROR( MEDIAN(IF(DATOS_[Sexo]=$B49,IF(DATOS_[[AGRUP. CLAS. PROF.]:[AGRUP. CLAS. PROF.]]=$B48,IF(DATOS_[Check Equiparado]="Sí",IF(DATOS_[Check Periodo Ref.]="Dentro",DATOS_[Tot Extrasalarial Eq],0))))), 0)</f>
        <v>0</v>
      </c>
      <c r="AV49" s="255" t="n">
        <f aca="false" t="array" ref="AV49:AV49">IFERROR( MEDIAN(IF(DATOS_[Sexo]=$B49,IF(DATOS_[[AGRUP. CLAS. PROF.]:[AGRUP. CLAS. PROF.]]=$B48,IF(DATOS_[Check Equiparado]="Sí",IF(DATOS_[Check Periodo Ref.]="Dentro",DATOS_[TOTAL Retrib Eq],0))))), 0)</f>
        <v>0</v>
      </c>
    </row>
    <row r="50" customFormat="false" ht="14.25" hidden="false" customHeight="false" outlineLevel="0" collapsed="false">
      <c r="A50" s="217" t="str">
        <f aca="false">+A49</f>
        <v>[ocultar]</v>
      </c>
      <c r="B50" s="323" t="s">
        <v>372</v>
      </c>
      <c r="C50" s="247" t="n">
        <f aca="false" t="array" ref="C50:C50">SUM(IF($B50=DATOS_[Sexo], IF($B48=DATOS_[AGRUP. CLAS. PROF.], IF("Dentro"=DATOS_[Check Periodo Ref.], 1/(COUNTIFS(DATOS_[Sexo],$B50,DATOS_[AGRUP. CLAS. PROF.],$B48,DATOS_[Check Periodo Ref.],"Dentro",DATOS_[id],DATOS_[id]))))))</f>
        <v>0</v>
      </c>
      <c r="D50" s="248" t="n">
        <f aca="false">COUNTIFS(DATOS_[AGRUP. CLAS. PROF.],$B48,DATOS_[Sexo],$B50,DATOS_[Check Periodo Ref.],"Dentro")</f>
        <v>0</v>
      </c>
      <c r="E50" s="248" t="n">
        <f aca="false">COUNTIFS(DATOS_[AGRUP. CLAS. PROF.],$B48,DATOS_[Sexo],$B50,DATOS_[Check Periodo Ref.],"Dentro",DATOS_[Check Nº SC Norm],"Sí")</f>
        <v>0</v>
      </c>
      <c r="F50" s="248" t="n">
        <f aca="false">COUNTIFS(DATOS_[AGRUP. CLAS. PROF.],$B48,DATOS_[Sexo],$B50,DATOS_[Check Periodo Ref.],"Dentro",DATOS_[Check Nº SC Anualiz],"Sí")</f>
        <v>0</v>
      </c>
      <c r="G50" s="248" t="n">
        <f aca="false">COUNTIFS(DATOS_[AGRUP. CLAS. PROF.],$B48,DATOS_[Sexo],$B50,DATOS_[Check Periodo Ref.],"Dentro",DATOS_[Check Nº SC Norm y Anualiz],"Sí")</f>
        <v>0</v>
      </c>
      <c r="H50" s="248" t="n">
        <f aca="false">COUNTIFS(DATOS_[AGRUP. CLAS. PROF.],$B48,DATOS_[Sexo],$B50,DATOS_[Check Periodo Ref.],"Dentro",DATOS_[Check Equiparación],"Sí")</f>
        <v>0</v>
      </c>
      <c r="I50" s="249" t="n">
        <f aca="false" t="array" ref="I50:I50">IFERROR( MEDIAN(IF(DATOS_[Sexo]=$B50,IF(DATOS_[[AGRUP. CLAS. PROF.]:[AGRUP. CLAS. PROF.]]=$B48,IF(DATOS_[Check Equiparado]="Sí",IF(DATOS_[Check Periodo Ref.]="Dentro",DATOS_[SALARIO BASE Eq],0))))), 0)</f>
        <v>0</v>
      </c>
      <c r="J50" s="250" t="n">
        <f aca="false" t="array" ref="J50:J50">IFERROR( (MEDIAN((IF(DATOS_[[Sexo]:[Sexo]]=$B50,IF(DATOS_[[AGRUP. CLAS. PROF.]:[AGRUP. CLAS. PROF.]]=$B48,IF(DATOS_[[Check Periodo Ref.]:[Check Periodo Ref.]]="Dentro",IF(DATOS_[[Check Equiparado]:[Check Equiparado]]="Sí",IF(DATOS!AE$4="Sí",(1/DATOS_[[% anualiz]:[% anualiz]]),1)*IF(DATOS!AE$5="Sí",1/DATOS_[[% normaliz]:[% normaliz]],1)*(DATOS_[Conc.Sal.01])))))))), 0)</f>
        <v>0</v>
      </c>
      <c r="K50" s="250" t="n">
        <f aca="false" t="array" ref="K50:K50">IFERROR( (MEDIAN((IF(DATOS_[[Sexo]:[Sexo]]=$B50,IF(DATOS_[[AGRUP. CLAS. PROF.]:[AGRUP. CLAS. PROF.]]=$B48,IF(DATOS_[[Check Periodo Ref.]:[Check Periodo Ref.]]="Dentro",IF(DATOS_[[Check Equiparado]:[Check Equiparado]]="Sí",IF(DATOS!AF$4="Sí",(1/DATOS_[[% anualiz]:[% anualiz]]),1)*IF(DATOS!AF$5="Sí",1/DATOS_[[% normaliz]:[% normaliz]],1)*(DATOS_[Conc.Sal.02])))))))), 0)</f>
        <v>0</v>
      </c>
      <c r="L50" s="250" t="n">
        <f aca="false" t="array" ref="L50:L50">IFERROR( (MEDIAN((IF(DATOS_[[Sexo]:[Sexo]]=$B50,IF(DATOS_[[AGRUP. CLAS. PROF.]:[AGRUP. CLAS. PROF.]]=$B48,IF(DATOS_[[Check Periodo Ref.]:[Check Periodo Ref.]]="Dentro",IF(DATOS_[[Check Equiparado]:[Check Equiparado]]="Sí",IF(DATOS!AG$4="Sí",(1/DATOS_[[% anualiz]:[% anualiz]]),1)*IF(DATOS!AG$5="Sí",1/DATOS_[[% normaliz]:[% normaliz]],1)*(DATOS_[Conc.Sal.03])))))))), 0)</f>
        <v>0</v>
      </c>
      <c r="M50" s="250" t="n">
        <f aca="false" t="array" ref="M50:M50">IFERROR( (MEDIAN((IF(DATOS_[[Sexo]:[Sexo]]=$B50,IF(DATOS_[[AGRUP. CLAS. PROF.]:[AGRUP. CLAS. PROF.]]=$B48,IF(DATOS_[[Check Periodo Ref.]:[Check Periodo Ref.]]="Dentro",IF(DATOS_[[Check Equiparado]:[Check Equiparado]]="Sí",IF(DATOS!AH$4="Sí",(1/DATOS_[[% anualiz]:[% anualiz]]),1)*IF(DATOS!AH$5="Sí",1/DATOS_[[% normaliz]:[% normaliz]],1)*(DATOS_[Conc.Sal.04])))))))), 0)</f>
        <v>0</v>
      </c>
      <c r="N50" s="250" t="n">
        <f aca="false" t="array" ref="N50:N50">IFERROR( (MEDIAN((IF(DATOS_[[Sexo]:[Sexo]]=$B50,IF(DATOS_[[AGRUP. CLAS. PROF.]:[AGRUP. CLAS. PROF.]]=$B48,IF(DATOS_[[Check Periodo Ref.]:[Check Periodo Ref.]]="Dentro",IF(DATOS_[[Check Equiparado]:[Check Equiparado]]="Sí",IF(DATOS!AI$4="Sí",(1/DATOS_[[% anualiz]:[% anualiz]]),1)*IF(DATOS!AI$5="Sí",1/DATOS_[[% normaliz]:[% normaliz]],1)*(DATOS_[Conc.Sal.05])))))))), 0)</f>
        <v>0</v>
      </c>
      <c r="O50" s="250" t="n">
        <f aca="false" t="array" ref="O50:O50">IFERROR( (MEDIAN((IF(DATOS_[[Sexo]:[Sexo]]=$B50,IF(DATOS_[[AGRUP. CLAS. PROF.]:[AGRUP. CLAS. PROF.]]=$B48,IF(DATOS_[[Check Periodo Ref.]:[Check Periodo Ref.]]="Dentro",IF(DATOS_[[Check Equiparado]:[Check Equiparado]]="Sí",IF(DATOS!AJ$4="Sí",(1/DATOS_[[% anualiz]:[% anualiz]]),1)*IF(DATOS!AJ$5="Sí",1/DATOS_[[% normaliz]:[% normaliz]],1)*(DATOS_[Conc.Sal.06])))))))), 0)</f>
        <v>0</v>
      </c>
      <c r="P50" s="250" t="n">
        <f aca="false" t="array" ref="P50:P50">IFERROR( (MEDIAN((IF(DATOS_[[Sexo]:[Sexo]]=$B50,IF(DATOS_[[AGRUP. CLAS. PROF.]:[AGRUP. CLAS. PROF.]]=$B48,IF(DATOS_[[Check Periodo Ref.]:[Check Periodo Ref.]]="Dentro",IF(DATOS_[[Check Equiparado]:[Check Equiparado]]="Sí",IF(DATOS!AK$4="Sí",(1/DATOS_[[% anualiz]:[% anualiz]]),1)*IF(DATOS!AK$5="Sí",1/DATOS_[[% normaliz]:[% normaliz]],1)*(DATOS_[Conc.Sal.07])))))))), 0)</f>
        <v>0</v>
      </c>
      <c r="Q50" s="250" t="n">
        <f aca="false" t="array" ref="Q50:Q50">IFERROR( (MEDIAN((IF(DATOS_[[Sexo]:[Sexo]]=$B50,IF(DATOS_[[AGRUP. CLAS. PROF.]:[AGRUP. CLAS. PROF.]]=$B48,IF(DATOS_[[Check Periodo Ref.]:[Check Periodo Ref.]]="Dentro",IF(DATOS_[[Check Equiparado]:[Check Equiparado]]="Sí",IF(DATOS!AL$4="Sí",(1/DATOS_[[% anualiz]:[% anualiz]]),1)*IF(DATOS!AL$5="Sí",1/DATOS_[[% normaliz]:[% normaliz]],1)*(DATOS_[Conc.Sal.08])))))))), 0)</f>
        <v>0</v>
      </c>
      <c r="R50" s="250" t="n">
        <f aca="false" t="array" ref="R50:R50">IFERROR( (MEDIAN((IF(DATOS_[[Sexo]:[Sexo]]=$B50,IF(DATOS_[[AGRUP. CLAS. PROF.]:[AGRUP. CLAS. PROF.]]=$B48,IF(DATOS_[[Check Periodo Ref.]:[Check Periodo Ref.]]="Dentro",IF(DATOS_[[Check Equiparado]:[Check Equiparado]]="Sí",IF(DATOS!AM$4="Sí",(1/DATOS_[[% anualiz]:[% anualiz]]),1)*IF(DATOS!AM$5="Sí",1/DATOS_[[% normaliz]:[% normaliz]],1)*(DATOS_[Conc.Sal.09])))))))), 0)</f>
        <v>0</v>
      </c>
      <c r="S50" s="250" t="n">
        <f aca="false" t="array" ref="S50:S50">IFERROR( (MEDIAN((IF(DATOS_[[Sexo]:[Sexo]]=$B50,IF(DATOS_[[AGRUP. CLAS. PROF.]:[AGRUP. CLAS. PROF.]]=$B48,IF(DATOS_[[Check Periodo Ref.]:[Check Periodo Ref.]]="Dentro",IF(DATOS_[[Check Equiparado]:[Check Equiparado]]="Sí",IF(DATOS!AN$4="Sí",(1/DATOS_[[% anualiz]:[% anualiz]]),1)*IF(DATOS!AN$5="Sí",1/DATOS_[[% normaliz]:[% normaliz]],1)*(DATOS_[Conc.Sal.10])))))))), 0)</f>
        <v>0</v>
      </c>
      <c r="T50" s="250" t="n">
        <f aca="false" t="array" ref="T50:T50">IFERROR( (MEDIAN((IF(DATOS_[[Sexo]:[Sexo]]=$B50,IF(DATOS_[[AGRUP. CLAS. PROF.]:[AGRUP. CLAS. PROF.]]=$B48,IF(DATOS_[[Check Periodo Ref.]:[Check Periodo Ref.]]="Dentro",IF(DATOS_[[Check Equiparado]:[Check Equiparado]]="Sí",IF(DATOS!AO$4="Sí",(1/DATOS_[[% anualiz]:[% anualiz]]),1)*IF(DATOS!AO$5="Sí",1/DATOS_[[% normaliz]:[% normaliz]],1)*(DATOS_[Conc.Sal.11])))))))), 0)</f>
        <v>0</v>
      </c>
      <c r="U50" s="250" t="n">
        <f aca="false" t="array" ref="U50:U50">IFERROR( (MEDIAN((IF(DATOS_[[Sexo]:[Sexo]]=$B50,IF(DATOS_[[AGRUP. CLAS. PROF.]:[AGRUP. CLAS. PROF.]]=$B48,IF(DATOS_[[Check Periodo Ref.]:[Check Periodo Ref.]]="Dentro",IF(DATOS_[[Check Equiparado]:[Check Equiparado]]="Sí",IF(DATOS!AP$4="Sí",(1/DATOS_[[% anualiz]:[% anualiz]]),1)*IF(DATOS!AP$5="Sí",1/DATOS_[[% normaliz]:[% normaliz]],1)*(DATOS_[Conc.Sal.12])))))))), 0)</f>
        <v>0</v>
      </c>
      <c r="V50" s="250" t="n">
        <f aca="false" t="array" ref="V50:V50">IFERROR( (MEDIAN((IF(DATOS_[[Sexo]:[Sexo]]=$B50,IF(DATOS_[[AGRUP. CLAS. PROF.]:[AGRUP. CLAS. PROF.]]=$B48,IF(DATOS_[[Check Periodo Ref.]:[Check Periodo Ref.]]="Dentro",IF(DATOS_[[Check Equiparado]:[Check Equiparado]]="Sí",IF(DATOS!AQ$4="Sí",(1/DATOS_[[% anualiz]:[% anualiz]]),1)*IF(DATOS!AQ$5="Sí",1/DATOS_[[% normaliz]:[% normaliz]],1)*(DATOS_[Conc.Sal.13])))))))), 0)</f>
        <v>0</v>
      </c>
      <c r="W50" s="250" t="n">
        <f aca="false" t="array" ref="W50:W50">IFERROR( (MEDIAN((IF(DATOS_[[Sexo]:[Sexo]]=$B50,IF(DATOS_[[AGRUP. CLAS. PROF.]:[AGRUP. CLAS. PROF.]]=$B48,IF(DATOS_[[Check Periodo Ref.]:[Check Periodo Ref.]]="Dentro",IF(DATOS_[[Check Equiparado]:[Check Equiparado]]="Sí",IF(DATOS!AR$4="Sí",(1/DATOS_[[% anualiz]:[% anualiz]]),1)*IF(DATOS!AR$5="Sí",1/DATOS_[[% normaliz]:[% normaliz]],1)*(DATOS_[Conc.Sal.14])))))))), 0)</f>
        <v>0</v>
      </c>
      <c r="X50" s="250" t="n">
        <f aca="false" t="array" ref="X50:X50">IFERROR( (MEDIAN((IF(DATOS_[[Sexo]:[Sexo]]=$B50,IF(DATOS_[[AGRUP. CLAS. PROF.]:[AGRUP. CLAS. PROF.]]=$B48,IF(DATOS_[[Check Periodo Ref.]:[Check Periodo Ref.]]="Dentro",IF(DATOS_[[Check Equiparado]:[Check Equiparado]]="Sí",IF(DATOS!AS$4="Sí",(1/DATOS_[[% anualiz]:[% anualiz]]),1)*IF(DATOS!AS$5="Sí",1/DATOS_[[% normaliz]:[% normaliz]],1)*(DATOS_[Conc.Sal.15])))))))), 0)</f>
        <v>0</v>
      </c>
      <c r="Y50" s="250" t="n">
        <f aca="false" t="array" ref="Y50:Y50">IFERROR( (MEDIAN((IF(DATOS_[[Sexo]:[Sexo]]=$B50,IF(DATOS_[[AGRUP. CLAS. PROF.]:[AGRUP. CLAS. PROF.]]=$B48,IF(DATOS_[[Check Periodo Ref.]:[Check Periodo Ref.]]="Dentro",IF(DATOS_[[Check Equiparado]:[Check Equiparado]]="Sí",IF(DATOS!AT$4="Sí",(1/DATOS_[[% anualiz]:[% anualiz]]),1)*IF(DATOS!AT$5="Sí",1/DATOS_[[% normaliz]:[% normaliz]],1)*(DATOS_[Conc.Sal.16])))))))), 0)</f>
        <v>0</v>
      </c>
      <c r="Z50" s="250" t="n">
        <f aca="false" t="array" ref="Z50:Z50">IFERROR( (MEDIAN((IF(DATOS_[[Sexo]:[Sexo]]=$B50,IF(DATOS_[[AGRUP. CLAS. PROF.]:[AGRUP. CLAS. PROF.]]=$B48,IF(DATOS_[[Check Periodo Ref.]:[Check Periodo Ref.]]="Dentro",IF(DATOS_[[Check Equiparado]:[Check Equiparado]]="Sí",IF(DATOS!AU$4="Sí",(1/DATOS_[[% anualiz]:[% anualiz]]),1)*IF(DATOS!AU$5="Sí",1/DATOS_[[% normaliz]:[% normaliz]],1)*(DATOS_[Conc.Sal.17])))))))), 0)</f>
        <v>0</v>
      </c>
      <c r="AA50" s="250" t="n">
        <f aca="false" t="array" ref="AA50:AA50">IFERROR( (MEDIAN((IF(DATOS_[[Sexo]:[Sexo]]=$B50,IF(DATOS_[[AGRUP. CLAS. PROF.]:[AGRUP. CLAS. PROF.]]=$B48,IF(DATOS_[[Check Periodo Ref.]:[Check Periodo Ref.]]="Dentro",IF(DATOS_[[Check Equiparado]:[Check Equiparado]]="Sí",IF(DATOS!AV$4="Sí",(1/DATOS_[[% anualiz]:[% anualiz]]),1)*IF(DATOS!AV$5="Sí",1/DATOS_[[% normaliz]:[% normaliz]],1)*(DATOS_[Conc.Sal.18])))))))), 0)</f>
        <v>0</v>
      </c>
      <c r="AB50" s="250" t="n">
        <f aca="false" t="array" ref="AB50:AB50">IFERROR( (MEDIAN((IF(DATOS_[[Sexo]:[Sexo]]=$B50,IF(DATOS_[[AGRUP. CLAS. PROF.]:[AGRUP. CLAS. PROF.]]=$B48,IF(DATOS_[[Check Periodo Ref.]:[Check Periodo Ref.]]="Dentro",IF(DATOS_[[Check Equiparado]:[Check Equiparado]]="Sí",IF(DATOS!AW$4="Sí",(1/DATOS_[[% anualiz]:[% anualiz]]),1)*IF(DATOS!AW$5="Sí",1/DATOS_[[% normaliz]:[% normaliz]],1)*(DATOS_[Conc.Sal.19])))))))), 0)</f>
        <v>0</v>
      </c>
      <c r="AC50" s="250" t="n">
        <f aca="false" t="array" ref="AC50:AC50">IFERROR( (MEDIAN((IF(DATOS_[[Sexo]:[Sexo]]=$B50,IF(DATOS_[[AGRUP. CLAS. PROF.]:[AGRUP. CLAS. PROF.]]=$B48,IF(DATOS_[[Check Periodo Ref.]:[Check Periodo Ref.]]="Dentro",IF(DATOS_[[Check Equiparado]:[Check Equiparado]]="Sí",IF(DATOS!AX$4="Sí",(1/DATOS_[[% anualiz]:[% anualiz]]),1)*IF(DATOS!AX$5="Sí",1/DATOS_[[% normaliz]:[% normaliz]],1)*(DATOS_[Conc.Sal.20])))))))), 0)</f>
        <v>0</v>
      </c>
      <c r="AD50" s="250" t="n">
        <f aca="false" t="array" ref="AD50:AD50">IFERROR( (MEDIAN((IF(DATOS_[[Sexo]:[Sexo]]=$B50,IF(DATOS_[[AGRUP. CLAS. PROF.]:[AGRUP. CLAS. PROF.]]=$B48,IF(DATOS_[[Check Periodo Ref.]:[Check Periodo Ref.]]="Dentro",IF(DATOS_[[Check Equiparado]:[Check Equiparado]]="Sí",IF(DATOS!AY$4="Sí",(1/DATOS_[[% anualiz]:[% anualiz]]),1)*IF(DATOS!AY$5="Sí",1/DATOS_[[% normaliz]:[% normaliz]],1)*(DATOS_[Conc.Sal.21])))))))), 0)</f>
        <v>0</v>
      </c>
      <c r="AE50" s="250" t="n">
        <f aca="false" t="array" ref="AE50:AE50">IFERROR( (MEDIAN((IF(DATOS_[[Sexo]:[Sexo]]=$B50,IF(DATOS_[[AGRUP. CLAS. PROF.]:[AGRUP. CLAS. PROF.]]=$B48,IF(DATOS_[[Check Periodo Ref.]:[Check Periodo Ref.]]="Dentro",IF(DATOS_[[Check Equiparado]:[Check Equiparado]]="Sí",IF(DATOS!AZ$4="Sí",(1/DATOS_[[% anualiz]:[% anualiz]]),1)*IF(DATOS!AZ$5="Sí",1/DATOS_[[% normaliz]:[% normaliz]],1)*(DATOS_[Conc.Sal.22])))))))), 0)</f>
        <v>0</v>
      </c>
      <c r="AF50" s="250" t="n">
        <f aca="false" t="array" ref="AF50:AF50">IFERROR( (MEDIAN((IF(DATOS_[[Sexo]:[Sexo]]=$B50,IF(DATOS_[[AGRUP. CLAS. PROF.]:[AGRUP. CLAS. PROF.]]=$B48,IF(DATOS_[[Check Periodo Ref.]:[Check Periodo Ref.]]="Dentro",IF(DATOS_[[Check Equiparado]:[Check Equiparado]]="Sí",IF(DATOS!BA$4="Sí",(1/DATOS_[[% anualiz]:[% anualiz]]),1)*IF(DATOS!BA$5="Sí",1/DATOS_[[% normaliz]:[% normaliz]],1)*(DATOS_[Conc.Sal.23])))))))), 0)</f>
        <v>0</v>
      </c>
      <c r="AG50" s="250" t="n">
        <f aca="false" t="array" ref="AG50:AG50">IFERROR( (MEDIAN((IF(DATOS_[[Sexo]:[Sexo]]=$B50,IF(DATOS_[[AGRUP. CLAS. PROF.]:[AGRUP. CLAS. PROF.]]=$B48,IF(DATOS_[[Check Periodo Ref.]:[Check Periodo Ref.]]="Dentro",IF(DATOS_[[Check Equiparado]:[Check Equiparado]]="Sí",IF(DATOS!BB$4="Sí",(1/DATOS_[[% anualiz]:[% anualiz]]),1)*IF(DATOS!BB$5="Sí",1/DATOS_[[% normaliz]:[% normaliz]],1)*(DATOS_[Conc.Sal.24])))))))), 0)</f>
        <v>0</v>
      </c>
      <c r="AH50" s="250" t="n">
        <f aca="false" t="array" ref="AH50:AH50">IFERROR( (MEDIAN((IF(DATOS_[[Sexo]:[Sexo]]=$B50,IF(DATOS_[[AGRUP. CLAS. PROF.]:[AGRUP. CLAS. PROF.]]=$B48,IF(DATOS_[[Check Periodo Ref.]:[Check Periodo Ref.]]="Dentro",IF(DATOS_[[Check Equiparado]:[Check Equiparado]]="Sí",IF(DATOS!BC$4="Sí",(1/DATOS_[[% anualiz]:[% anualiz]]),1)*IF(DATOS!BC$5="Sí",1/DATOS_[[% normaliz]:[% normaliz]],1)*(DATOS_[Conc.Sal.25])))))))), 0)</f>
        <v>0</v>
      </c>
      <c r="AI50" s="250" t="n">
        <f aca="false" t="array" ref="AI50:AI50">IFERROR( (MEDIAN((IF(DATOS_[[Sexo]:[Sexo]]=$B50,IF(DATOS_[[AGRUP. CLAS. PROF.]:[AGRUP. CLAS. PROF.]]=$B48,IF(DATOS_[[Check Periodo Ref.]:[Check Periodo Ref.]]="Dentro",IF(DATOS_[[Check Equiparado]:[Check Equiparado]]="Sí",IF(DATOS!BD$4="Sí",(1/DATOS_[[% anualiz]:[% anualiz]]),1)*IF(DATOS!BD$5="Sí",1/DATOS_[[% normaliz]:[% normaliz]],1)*(DATOS_[Conc.Sal.26])))))))), 0)</f>
        <v>0</v>
      </c>
      <c r="AJ50" s="250" t="n">
        <f aca="false" t="array" ref="AJ50:AJ50">IFERROR( (MEDIAN((IF(DATOS_[[Sexo]:[Sexo]]=$B50,IF(DATOS_[[AGRUP. CLAS. PROF.]:[AGRUP. CLAS. PROF.]]=$B48,IF(DATOS_[[Check Periodo Ref.]:[Check Periodo Ref.]]="Dentro",IF(DATOS_[[Check Equiparado]:[Check Equiparado]]="Sí",IF(DATOS!BE$4="Sí",(1/DATOS_[[% anualiz]:[% anualiz]]),1)*IF(DATOS!BE$5="Sí",1/DATOS_[[% normaliz]:[% normaliz]],1)*(DATOS_[Conc.Sal.27])))))))), 0)</f>
        <v>0</v>
      </c>
      <c r="AK50" s="250" t="n">
        <f aca="false" t="array" ref="AK50:AK50">IFERROR( (MEDIAN((IF(DATOS_[[Sexo]:[Sexo]]=$B50,IF(DATOS_[[AGRUP. CLAS. PROF.]:[AGRUP. CLAS. PROF.]]=$B48,IF(DATOS_[[Check Periodo Ref.]:[Check Periodo Ref.]]="Dentro",IF(DATOS_[[Check Equiparado]:[Check Equiparado]]="Sí",IF(DATOS!BF$4="Sí",(1/DATOS_[[% anualiz]:[% anualiz]]),1)*IF(DATOS!BF$5="Sí",1/DATOS_[[% normaliz]:[% normaliz]],1)*(DATOS_[Conc.Sal.28])))))))), 0)</f>
        <v>0</v>
      </c>
      <c r="AL50" s="250" t="n">
        <f aca="false" t="array" ref="AL50:AL50">IFERROR( (MEDIAN((IF(DATOS_[[Sexo]:[Sexo]]=$B50,IF(DATOS_[[AGRUP. CLAS. PROF.]:[AGRUP. CLAS. PROF.]]=$B48,IF(DATOS_[[Check Periodo Ref.]:[Check Periodo Ref.]]="Dentro",IF(DATOS_[[Check Equiparado]:[Check Equiparado]]="Sí",IF(DATOS!BG$4="Sí",(1/DATOS_[[% anualiz]:[% anualiz]]),1)*IF(DATOS!BG$5="Sí",1/DATOS_[[% normaliz]:[% normaliz]],1)*(DATOS_[Conc.Sal.29])))))))), 0)</f>
        <v>0</v>
      </c>
      <c r="AM50" s="250" t="n">
        <f aca="false" t="array" ref="AM50:AM50">IFERROR( (MEDIAN((IF(DATOS_[[Sexo]:[Sexo]]=$B50,IF(DATOS_[[AGRUP. CLAS. PROF.]:[AGRUP. CLAS. PROF.]]=$B48,IF(DATOS_[[Check Periodo Ref.]:[Check Periodo Ref.]]="Dentro",IF(DATOS_[[Check Equiparado]:[Check Equiparado]]="Sí",IF(DATOS!BH$4="Sí",(1/DATOS_[[% anualiz]:[% anualiz]]),1)*IF(DATOS!BH$5="Sí",1/DATOS_[[% normaliz]:[% normaliz]],1)*(DATOS_[Conc.Sal.30])))))))), 0)</f>
        <v>0</v>
      </c>
      <c r="AN50" s="251" t="n">
        <f aca="false" t="array" ref="AN50:AN50">IFERROR( MEDIAN(IF(DATOS_[Sexo]=$B50,IF(DATOS_[[AGRUP. CLAS. PROF.]:[AGRUP. CLAS. PROF.]]=$B48,IF(DATOS_[Check Equiparado]="Sí",IF(DATOS_[Check Periodo Ref.]="Dentro",DATOS_[Tot COMPL.SAL Eq],0))))), 0)</f>
        <v>0</v>
      </c>
      <c r="AO50" s="252" t="n">
        <f aca="false" t="array" ref="AO50:AO50">IFERROR( MEDIAN(IF(DATOS_[Sexo]=$B50,IF(DATOS_[[AGRUP. CLAS. PROF.]:[AGRUP. CLAS. PROF.]]=$B48,IF(DATOS_[Check Equiparado]="Sí",IF(DATOS_[Check Periodo Ref.]="Dentro",DATOS_[TOTAL SALARIO Eq],0))))), 0)</f>
        <v>0</v>
      </c>
      <c r="AP50" s="259" t="n">
        <f aca="false" t="array" ref="AP50:AP50">IFERROR( (MEDIAN((IF(DATOS_[[Sexo]:[Sexo]]=$B50,IF(DATOS_[[AGRUP. CLAS. PROF.]:[AGRUP. CLAS. PROF.]]=$B49,IF(DATOS_[[Check Periodo Ref.]:[Check Periodo Ref.]]="Dentro",IF(DATOS_[[Check Equiparado]:[Check Equiparado]]="Sí",IF(DATOS!BI$4="Sí",(1/DATOS_[[% anualiz]:[% anualiz]]),1)*IF(DATOS!BI$5="Sí",1/DATOS_[[% normaliz]:[% normaliz]],1)*(DATOS_[C.Extra.01])))))))), 0)</f>
        <v>0</v>
      </c>
      <c r="AQ50" s="259" t="n">
        <f aca="false" t="array" ref="AQ50:AQ50">IFERROR( (MEDIAN((IF(DATOS_[[Sexo]:[Sexo]]=$B50,IF(DATOS_[[AGRUP. CLAS. PROF.]:[AGRUP. CLAS. PROF.]]=$B49,IF(DATOS_[[Check Periodo Ref.]:[Check Periodo Ref.]]="Dentro",IF(DATOS_[[Check Equiparado]:[Check Equiparado]]="Sí",IF(DATOS!BJ$4="Sí",(1/DATOS_[[% anualiz]:[% anualiz]]),1)*IF(DATOS!BJ$5="Sí",1/DATOS_[[% normaliz]:[% normaliz]],1)*(DATOS_[C.Extra.02])))))))), 0)</f>
        <v>0</v>
      </c>
      <c r="AR50" s="259" t="n">
        <f aca="false" t="array" ref="AR50:AR50">IFERROR( (MEDIAN((IF(DATOS_[[Sexo]:[Sexo]]=$B50,IF(DATOS_[[AGRUP. CLAS. PROF.]:[AGRUP. CLAS. PROF.]]=$B49,IF(DATOS_[[Check Periodo Ref.]:[Check Periodo Ref.]]="Dentro",IF(DATOS_[[Check Equiparado]:[Check Equiparado]]="Sí",IF(DATOS!BK$4="Sí",(1/DATOS_[[% anualiz]:[% anualiz]]),1)*IF(DATOS!BK$5="Sí",1/DATOS_[[% normaliz]:[% normaliz]],1)*(DATOS_[C.Extra.03])))))))), 0)</f>
        <v>0</v>
      </c>
      <c r="AS50" s="259" t="n">
        <f aca="false" t="array" ref="AS50:AS50">IFERROR( (MEDIAN((IF(DATOS_[[Sexo]:[Sexo]]=$B50,IF(DATOS_[[AGRUP. CLAS. PROF.]:[AGRUP. CLAS. PROF.]]=$B49,IF(DATOS_[[Check Periodo Ref.]:[Check Periodo Ref.]]="Dentro",IF(DATOS_[[Check Equiparado]:[Check Equiparado]]="Sí",IF(DATOS!BL$4="Sí",(1/DATOS_[[% anualiz]:[% anualiz]]),1)*IF(DATOS!BL$5="Sí",1/DATOS_[[% normaliz]:[% normaliz]],1)*(DATOS_[C.Extra.04])))))))), 0)</f>
        <v>0</v>
      </c>
      <c r="AT50" s="259" t="n">
        <f aca="false" t="array" ref="AT50:AT50">IFERROR( (MEDIAN((IF(DATOS_[[Sexo]:[Sexo]]=$B50,IF(DATOS_[[AGRUP. CLAS. PROF.]:[AGRUP. CLAS. PROF.]]=$B49,IF(DATOS_[[Check Periodo Ref.]:[Check Periodo Ref.]]="Dentro",IF(DATOS_[[Check Equiparado]:[Check Equiparado]]="Sí",IF(DATOS!BM$4="Sí",(1/DATOS_[[% anualiz]:[% anualiz]]),1)*IF(DATOS!BM$5="Sí",1/DATOS_[[% normaliz]:[% normaliz]],1)*(DATOS_[C.Extra.05])))))))), 0)</f>
        <v>0</v>
      </c>
      <c r="AU50" s="254" t="n">
        <f aca="false" t="array" ref="AU50:AU50">IFERROR( MEDIAN(IF(DATOS_[Sexo]=$B50,IF(DATOS_[[AGRUP. CLAS. PROF.]:[AGRUP. CLAS. PROF.]]=$B48,IF(DATOS_[Check Equiparado]="Sí",IF(DATOS_[Check Periodo Ref.]="Dentro",DATOS_[Tot Extrasalarial Eq],0))))), 0)</f>
        <v>0</v>
      </c>
      <c r="AV50" s="255" t="n">
        <f aca="false" t="array" ref="AV50:AV50">IFERROR( MEDIAN(IF(DATOS_[Sexo]=$B50,IF(DATOS_[[AGRUP. CLAS. PROF.]:[AGRUP. CLAS. PROF.]]=$B48,IF(DATOS_[Check Equiparado]="Sí",IF(DATOS_[Check Periodo Ref.]="Dentro",DATOS_[TOTAL Retrib Eq],0))))), 0)</f>
        <v>0</v>
      </c>
    </row>
    <row r="51" customFormat="false" ht="15.75" hidden="false" customHeight="false" outlineLevel="0" collapsed="false">
      <c r="A51" s="217" t="str">
        <f aca="false">+A52</f>
        <v>[ocultar]</v>
      </c>
      <c r="B51" s="320" t="s">
        <v>204</v>
      </c>
      <c r="C51" s="236"/>
      <c r="D51" s="237"/>
      <c r="E51" s="237"/>
      <c r="F51" s="237"/>
      <c r="G51" s="237"/>
      <c r="H51" s="237"/>
      <c r="I51" s="238"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39" t="str">
        <f aca="false">IFERROR((V52-V53)/V52,"")</f>
        <v/>
      </c>
      <c r="W51" s="239" t="str">
        <f aca="false">IFERROR((W52-W53)/W52,"")</f>
        <v/>
      </c>
      <c r="X51" s="239" t="str">
        <f aca="false">IFERROR((X52-X53)/X52,"")</f>
        <v/>
      </c>
      <c r="Y51" s="239"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0" t="str">
        <f aca="false">IFERROR((AJ52-AJ53)/AJ52,"")</f>
        <v/>
      </c>
      <c r="AK51" s="240" t="str">
        <f aca="false">IFERROR((AK52-AK53)/AK52,"")</f>
        <v/>
      </c>
      <c r="AL51" s="240" t="str">
        <f aca="false">IFERROR((AL52-AL53)/AL52,"")</f>
        <v/>
      </c>
      <c r="AM51" s="240" t="str">
        <f aca="false">IFERROR((AM52-AM53)/AM52,"")</f>
        <v/>
      </c>
      <c r="AN51" s="241" t="str">
        <f aca="false">IFERROR((AN52-AN53)/AN52,"")</f>
        <v/>
      </c>
      <c r="AO51" s="242" t="str">
        <f aca="false">IFERROR((AO52-AO53)/AO52,"")</f>
        <v/>
      </c>
      <c r="AP51" s="243" t="str">
        <f aca="false">IFERROR((AP52-AP53)/AP52,"")</f>
        <v/>
      </c>
      <c r="AQ51" s="243" t="str">
        <f aca="false">IFERROR((AQ52-AQ53)/AQ52,"")</f>
        <v/>
      </c>
      <c r="AR51" s="243" t="str">
        <f aca="false">IFERROR((AR52-AR53)/AR52,"")</f>
        <v/>
      </c>
      <c r="AS51" s="243" t="str">
        <f aca="false">IFERROR((AS52-AS53)/AS52,"")</f>
        <v/>
      </c>
      <c r="AT51" s="243" t="str">
        <f aca="false">IFERROR((AT52-AT53)/AT52,"")</f>
        <v/>
      </c>
      <c r="AU51" s="244" t="str">
        <f aca="false">IFERROR((AU52-AU53)/AU52,"")</f>
        <v/>
      </c>
      <c r="AV51" s="245" t="str">
        <f aca="false">IFERROR((AV52-AV53)/AV52,"")</f>
        <v/>
      </c>
    </row>
    <row r="52" customFormat="false" ht="14.25" hidden="false" customHeight="false" outlineLevel="0" collapsed="false">
      <c r="A52" s="217" t="str">
        <f aca="false">+IF(C52+C53=0,"[ocultar]","")</f>
        <v>[ocultar]</v>
      </c>
      <c r="B52" s="323" t="s">
        <v>371</v>
      </c>
      <c r="C52" s="247" t="n">
        <f aca="false" t="array" ref="C52:C52">SUM(IF($B52=DATOS_[Sexo], IF($B51=DATOS_[AGRUP. CLAS. PROF.], IF("Dentro"=DATOS_[Check Periodo Ref.], 1/(COUNTIFS(DATOS_[Sexo],$B52,DATOS_[AGRUP. CLAS. PROF.],$B51,DATOS_[Check Periodo Ref.],"Dentro",DATOS_[id],DATOS_[id]))))))</f>
        <v>0</v>
      </c>
      <c r="D52" s="248" t="n">
        <f aca="false">COUNTIFS(DATOS_[AGRUP. CLAS. PROF.],$B51,DATOS_[Sexo],$B52,DATOS_[Check Periodo Ref.],"Dentro")</f>
        <v>0</v>
      </c>
      <c r="E52" s="248" t="n">
        <f aca="false">COUNTIFS(DATOS_[AGRUP. CLAS. PROF.],$B51,DATOS_[Sexo],$B52,DATOS_[Check Periodo Ref.],"Dentro",DATOS_[Check Nº SC Norm],"Sí")</f>
        <v>0</v>
      </c>
      <c r="F52" s="248" t="n">
        <f aca="false">COUNTIFS(DATOS_[AGRUP. CLAS. PROF.],$B51,DATOS_[Sexo],$B52,DATOS_[Check Periodo Ref.],"Dentro",DATOS_[Check Nº SC Anualiz],"Sí")</f>
        <v>0</v>
      </c>
      <c r="G52" s="248" t="n">
        <f aca="false">COUNTIFS(DATOS_[AGRUP. CLAS. PROF.],$B51,DATOS_[Sexo],$B52,DATOS_[Check Periodo Ref.],"Dentro",DATOS_[Check Nº SC Norm y Anualiz],"Sí")</f>
        <v>0</v>
      </c>
      <c r="H52" s="248" t="n">
        <f aca="false">COUNTIFS(DATOS_[AGRUP. CLAS. PROF.],$B51,DATOS_[Sexo],$B52,DATOS_[Check Periodo Ref.],"Dentro",DATOS_[Check Equiparación],"Sí")</f>
        <v>0</v>
      </c>
      <c r="I52" s="249" t="n">
        <f aca="false" t="array" ref="I52:I52">IFERROR( MEDIAN(IF(DATOS_[Sexo]=$B52,IF(DATOS_[[AGRUP. CLAS. PROF.]:[AGRUP. CLAS. PROF.]]=$B51,IF(DATOS_[Check Equiparado]="Sí",IF(DATOS_[Check Periodo Ref.]="Dentro",DATOS_[SALARIO BASE Eq],0))))), 0)</f>
        <v>0</v>
      </c>
      <c r="J52" s="250" t="n">
        <f aca="false" t="array" ref="J52:J52">IFERROR( (MEDIAN((IF(DATOS_[[Sexo]:[Sexo]]=$B52,IF(DATOS_[[AGRUP. CLAS. PROF.]:[AGRUP. CLAS. PROF.]]=$B51,IF(DATOS_[[Check Periodo Ref.]:[Check Periodo Ref.]]="Dentro",IF(DATOS_[[Check Equiparado]:[Check Equiparado]]="Sí",IF(DATOS!AE$4="Sí",(1/DATOS_[[% anualiz]:[% anualiz]]),1)*IF(DATOS!AE$5="Sí",1/DATOS_[[% normaliz]:[% normaliz]],1)*(DATOS_[Conc.Sal.01])))))))), 0)</f>
        <v>0</v>
      </c>
      <c r="K52" s="250" t="n">
        <f aca="false" t="array" ref="K52:K52">IFERROR( (MEDIAN((IF(DATOS_[[Sexo]:[Sexo]]=$B52,IF(DATOS_[[AGRUP. CLAS. PROF.]:[AGRUP. CLAS. PROF.]]=$B51,IF(DATOS_[[Check Periodo Ref.]:[Check Periodo Ref.]]="Dentro",IF(DATOS_[[Check Equiparado]:[Check Equiparado]]="Sí",IF(DATOS!AF$4="Sí",(1/DATOS_[[% anualiz]:[% anualiz]]),1)*IF(DATOS!AF$5="Sí",1/DATOS_[[% normaliz]:[% normaliz]],1)*(DATOS_[Conc.Sal.02])))))))), 0)</f>
        <v>0</v>
      </c>
      <c r="L52" s="250" t="n">
        <f aca="false" t="array" ref="L52:L52">IFERROR( (MEDIAN((IF(DATOS_[[Sexo]:[Sexo]]=$B52,IF(DATOS_[[AGRUP. CLAS. PROF.]:[AGRUP. CLAS. PROF.]]=$B51,IF(DATOS_[[Check Periodo Ref.]:[Check Periodo Ref.]]="Dentro",IF(DATOS_[[Check Equiparado]:[Check Equiparado]]="Sí",IF(DATOS!AG$4="Sí",(1/DATOS_[[% anualiz]:[% anualiz]]),1)*IF(DATOS!AG$5="Sí",1/DATOS_[[% normaliz]:[% normaliz]],1)*(DATOS_[Conc.Sal.03])))))))), 0)</f>
        <v>0</v>
      </c>
      <c r="M52" s="250" t="n">
        <f aca="false" t="array" ref="M52:M52">IFERROR( (MEDIAN((IF(DATOS_[[Sexo]:[Sexo]]=$B52,IF(DATOS_[[AGRUP. CLAS. PROF.]:[AGRUP. CLAS. PROF.]]=$B51,IF(DATOS_[[Check Periodo Ref.]:[Check Periodo Ref.]]="Dentro",IF(DATOS_[[Check Equiparado]:[Check Equiparado]]="Sí",IF(DATOS!AH$4="Sí",(1/DATOS_[[% anualiz]:[% anualiz]]),1)*IF(DATOS!AH$5="Sí",1/DATOS_[[% normaliz]:[% normaliz]],1)*(DATOS_[Conc.Sal.04])))))))), 0)</f>
        <v>0</v>
      </c>
      <c r="N52" s="250" t="n">
        <f aca="false" t="array" ref="N52:N52">IFERROR( (MEDIAN((IF(DATOS_[[Sexo]:[Sexo]]=$B52,IF(DATOS_[[AGRUP. CLAS. PROF.]:[AGRUP. CLAS. PROF.]]=$B51,IF(DATOS_[[Check Periodo Ref.]:[Check Periodo Ref.]]="Dentro",IF(DATOS_[[Check Equiparado]:[Check Equiparado]]="Sí",IF(DATOS!AI$4="Sí",(1/DATOS_[[% anualiz]:[% anualiz]]),1)*IF(DATOS!AI$5="Sí",1/DATOS_[[% normaliz]:[% normaliz]],1)*(DATOS_[Conc.Sal.05])))))))), 0)</f>
        <v>0</v>
      </c>
      <c r="O52" s="250" t="n">
        <f aca="false" t="array" ref="O52:O52">IFERROR( (MEDIAN((IF(DATOS_[[Sexo]:[Sexo]]=$B52,IF(DATOS_[[AGRUP. CLAS. PROF.]:[AGRUP. CLAS. PROF.]]=$B51,IF(DATOS_[[Check Periodo Ref.]:[Check Periodo Ref.]]="Dentro",IF(DATOS_[[Check Equiparado]:[Check Equiparado]]="Sí",IF(DATOS!AJ$4="Sí",(1/DATOS_[[% anualiz]:[% anualiz]]),1)*IF(DATOS!AJ$5="Sí",1/DATOS_[[% normaliz]:[% normaliz]],1)*(DATOS_[Conc.Sal.06])))))))), 0)</f>
        <v>0</v>
      </c>
      <c r="P52" s="250" t="n">
        <f aca="false" t="array" ref="P52:P52">IFERROR( (MEDIAN((IF(DATOS_[[Sexo]:[Sexo]]=$B52,IF(DATOS_[[AGRUP. CLAS. PROF.]:[AGRUP. CLAS. PROF.]]=$B51,IF(DATOS_[[Check Periodo Ref.]:[Check Periodo Ref.]]="Dentro",IF(DATOS_[[Check Equiparado]:[Check Equiparado]]="Sí",IF(DATOS!AK$4="Sí",(1/DATOS_[[% anualiz]:[% anualiz]]),1)*IF(DATOS!AK$5="Sí",1/DATOS_[[% normaliz]:[% normaliz]],1)*(DATOS_[Conc.Sal.07])))))))), 0)</f>
        <v>0</v>
      </c>
      <c r="Q52" s="250" t="n">
        <f aca="false" t="array" ref="Q52:Q52">IFERROR( (MEDIAN((IF(DATOS_[[Sexo]:[Sexo]]=$B52,IF(DATOS_[[AGRUP. CLAS. PROF.]:[AGRUP. CLAS. PROF.]]=$B51,IF(DATOS_[[Check Periodo Ref.]:[Check Periodo Ref.]]="Dentro",IF(DATOS_[[Check Equiparado]:[Check Equiparado]]="Sí",IF(DATOS!AL$4="Sí",(1/DATOS_[[% anualiz]:[% anualiz]]),1)*IF(DATOS!AL$5="Sí",1/DATOS_[[% normaliz]:[% normaliz]],1)*(DATOS_[Conc.Sal.08])))))))), 0)</f>
        <v>0</v>
      </c>
      <c r="R52" s="250" t="n">
        <f aca="false" t="array" ref="R52:R52">IFERROR( (MEDIAN((IF(DATOS_[[Sexo]:[Sexo]]=$B52,IF(DATOS_[[AGRUP. CLAS. PROF.]:[AGRUP. CLAS. PROF.]]=$B51,IF(DATOS_[[Check Periodo Ref.]:[Check Periodo Ref.]]="Dentro",IF(DATOS_[[Check Equiparado]:[Check Equiparado]]="Sí",IF(DATOS!AM$4="Sí",(1/DATOS_[[% anualiz]:[% anualiz]]),1)*IF(DATOS!AM$5="Sí",1/DATOS_[[% normaliz]:[% normaliz]],1)*(DATOS_[Conc.Sal.09])))))))), 0)</f>
        <v>0</v>
      </c>
      <c r="S52" s="250" t="n">
        <f aca="false" t="array" ref="S52:S52">IFERROR( (MEDIAN((IF(DATOS_[[Sexo]:[Sexo]]=$B52,IF(DATOS_[[AGRUP. CLAS. PROF.]:[AGRUP. CLAS. PROF.]]=$B51,IF(DATOS_[[Check Periodo Ref.]:[Check Periodo Ref.]]="Dentro",IF(DATOS_[[Check Equiparado]:[Check Equiparado]]="Sí",IF(DATOS!AN$4="Sí",(1/DATOS_[[% anualiz]:[% anualiz]]),1)*IF(DATOS!AN$5="Sí",1/DATOS_[[% normaliz]:[% normaliz]],1)*(DATOS_[Conc.Sal.10])))))))), 0)</f>
        <v>0</v>
      </c>
      <c r="T52" s="250" t="n">
        <f aca="false" t="array" ref="T52:T52">IFERROR( (MEDIAN((IF(DATOS_[[Sexo]:[Sexo]]=$B52,IF(DATOS_[[AGRUP. CLAS. PROF.]:[AGRUP. CLAS. PROF.]]=$B51,IF(DATOS_[[Check Periodo Ref.]:[Check Periodo Ref.]]="Dentro",IF(DATOS_[[Check Equiparado]:[Check Equiparado]]="Sí",IF(DATOS!AO$4="Sí",(1/DATOS_[[% anualiz]:[% anualiz]]),1)*IF(DATOS!AO$5="Sí",1/DATOS_[[% normaliz]:[% normaliz]],1)*(DATOS_[Conc.Sal.11])))))))), 0)</f>
        <v>0</v>
      </c>
      <c r="U52" s="250" t="n">
        <f aca="false" t="array" ref="U52:U52">IFERROR( (MEDIAN((IF(DATOS_[[Sexo]:[Sexo]]=$B52,IF(DATOS_[[AGRUP. CLAS. PROF.]:[AGRUP. CLAS. PROF.]]=$B51,IF(DATOS_[[Check Periodo Ref.]:[Check Periodo Ref.]]="Dentro",IF(DATOS_[[Check Equiparado]:[Check Equiparado]]="Sí",IF(DATOS!AP$4="Sí",(1/DATOS_[[% anualiz]:[% anualiz]]),1)*IF(DATOS!AP$5="Sí",1/DATOS_[[% normaliz]:[% normaliz]],1)*(DATOS_[Conc.Sal.12])))))))), 0)</f>
        <v>0</v>
      </c>
      <c r="V52" s="250" t="n">
        <f aca="false" t="array" ref="V52:V52">IFERROR( (MEDIAN((IF(DATOS_[[Sexo]:[Sexo]]=$B52,IF(DATOS_[[AGRUP. CLAS. PROF.]:[AGRUP. CLAS. PROF.]]=$B51,IF(DATOS_[[Check Periodo Ref.]:[Check Periodo Ref.]]="Dentro",IF(DATOS_[[Check Equiparado]:[Check Equiparado]]="Sí",IF(DATOS!AQ$4="Sí",(1/DATOS_[[% anualiz]:[% anualiz]]),1)*IF(DATOS!AQ$5="Sí",1/DATOS_[[% normaliz]:[% normaliz]],1)*(DATOS_[Conc.Sal.13])))))))), 0)</f>
        <v>0</v>
      </c>
      <c r="W52" s="250" t="n">
        <f aca="false" t="array" ref="W52:W52">IFERROR( (MEDIAN((IF(DATOS_[[Sexo]:[Sexo]]=$B52,IF(DATOS_[[AGRUP. CLAS. PROF.]:[AGRUP. CLAS. PROF.]]=$B51,IF(DATOS_[[Check Periodo Ref.]:[Check Periodo Ref.]]="Dentro",IF(DATOS_[[Check Equiparado]:[Check Equiparado]]="Sí",IF(DATOS!AR$4="Sí",(1/DATOS_[[% anualiz]:[% anualiz]]),1)*IF(DATOS!AR$5="Sí",1/DATOS_[[% normaliz]:[% normaliz]],1)*(DATOS_[Conc.Sal.14])))))))), 0)</f>
        <v>0</v>
      </c>
      <c r="X52" s="250" t="n">
        <f aca="false" t="array" ref="X52:X52">IFERROR( (MEDIAN((IF(DATOS_[[Sexo]:[Sexo]]=$B52,IF(DATOS_[[AGRUP. CLAS. PROF.]:[AGRUP. CLAS. PROF.]]=$B51,IF(DATOS_[[Check Periodo Ref.]:[Check Periodo Ref.]]="Dentro",IF(DATOS_[[Check Equiparado]:[Check Equiparado]]="Sí",IF(DATOS!AS$4="Sí",(1/DATOS_[[% anualiz]:[% anualiz]]),1)*IF(DATOS!AS$5="Sí",1/DATOS_[[% normaliz]:[% normaliz]],1)*(DATOS_[Conc.Sal.15])))))))), 0)</f>
        <v>0</v>
      </c>
      <c r="Y52" s="250" t="n">
        <f aca="false" t="array" ref="Y52:Y52">IFERROR( (MEDIAN((IF(DATOS_[[Sexo]:[Sexo]]=$B52,IF(DATOS_[[AGRUP. CLAS. PROF.]:[AGRUP. CLAS. PROF.]]=$B51,IF(DATOS_[[Check Periodo Ref.]:[Check Periodo Ref.]]="Dentro",IF(DATOS_[[Check Equiparado]:[Check Equiparado]]="Sí",IF(DATOS!AT$4="Sí",(1/DATOS_[[% anualiz]:[% anualiz]]),1)*IF(DATOS!AT$5="Sí",1/DATOS_[[% normaliz]:[% normaliz]],1)*(DATOS_[Conc.Sal.16])))))))), 0)</f>
        <v>0</v>
      </c>
      <c r="Z52" s="250" t="n">
        <f aca="false" t="array" ref="Z52:Z52">IFERROR( (MEDIAN((IF(DATOS_[[Sexo]:[Sexo]]=$B52,IF(DATOS_[[AGRUP. CLAS. PROF.]:[AGRUP. CLAS. PROF.]]=$B51,IF(DATOS_[[Check Periodo Ref.]:[Check Periodo Ref.]]="Dentro",IF(DATOS_[[Check Equiparado]:[Check Equiparado]]="Sí",IF(DATOS!AU$4="Sí",(1/DATOS_[[% anualiz]:[% anualiz]]),1)*IF(DATOS!AU$5="Sí",1/DATOS_[[% normaliz]:[% normaliz]],1)*(DATOS_[Conc.Sal.17])))))))), 0)</f>
        <v>0</v>
      </c>
      <c r="AA52" s="250" t="n">
        <f aca="false" t="array" ref="AA52:AA52">IFERROR( (MEDIAN((IF(DATOS_[[Sexo]:[Sexo]]=$B52,IF(DATOS_[[AGRUP. CLAS. PROF.]:[AGRUP. CLAS. PROF.]]=$B51,IF(DATOS_[[Check Periodo Ref.]:[Check Periodo Ref.]]="Dentro",IF(DATOS_[[Check Equiparado]:[Check Equiparado]]="Sí",IF(DATOS!AV$4="Sí",(1/DATOS_[[% anualiz]:[% anualiz]]),1)*IF(DATOS!AV$5="Sí",1/DATOS_[[% normaliz]:[% normaliz]],1)*(DATOS_[Conc.Sal.18])))))))), 0)</f>
        <v>0</v>
      </c>
      <c r="AB52" s="250" t="n">
        <f aca="false" t="array" ref="AB52:AB52">IFERROR( (MEDIAN((IF(DATOS_[[Sexo]:[Sexo]]=$B52,IF(DATOS_[[AGRUP. CLAS. PROF.]:[AGRUP. CLAS. PROF.]]=$B51,IF(DATOS_[[Check Periodo Ref.]:[Check Periodo Ref.]]="Dentro",IF(DATOS_[[Check Equiparado]:[Check Equiparado]]="Sí",IF(DATOS!AW$4="Sí",(1/DATOS_[[% anualiz]:[% anualiz]]),1)*IF(DATOS!AW$5="Sí",1/DATOS_[[% normaliz]:[% normaliz]],1)*(DATOS_[Conc.Sal.19])))))))), 0)</f>
        <v>0</v>
      </c>
      <c r="AC52" s="250" t="n">
        <f aca="false" t="array" ref="AC52:AC52">IFERROR( (MEDIAN((IF(DATOS_[[Sexo]:[Sexo]]=$B52,IF(DATOS_[[AGRUP. CLAS. PROF.]:[AGRUP. CLAS. PROF.]]=$B51,IF(DATOS_[[Check Periodo Ref.]:[Check Periodo Ref.]]="Dentro",IF(DATOS_[[Check Equiparado]:[Check Equiparado]]="Sí",IF(DATOS!AX$4="Sí",(1/DATOS_[[% anualiz]:[% anualiz]]),1)*IF(DATOS!AX$5="Sí",1/DATOS_[[% normaliz]:[% normaliz]],1)*(DATOS_[Conc.Sal.20])))))))), 0)</f>
        <v>0</v>
      </c>
      <c r="AD52" s="250" t="n">
        <f aca="false" t="array" ref="AD52:AD52">IFERROR( (MEDIAN((IF(DATOS_[[Sexo]:[Sexo]]=$B52,IF(DATOS_[[AGRUP. CLAS. PROF.]:[AGRUP. CLAS. PROF.]]=$B51,IF(DATOS_[[Check Periodo Ref.]:[Check Periodo Ref.]]="Dentro",IF(DATOS_[[Check Equiparado]:[Check Equiparado]]="Sí",IF(DATOS!AY$4="Sí",(1/DATOS_[[% anualiz]:[% anualiz]]),1)*IF(DATOS!AY$5="Sí",1/DATOS_[[% normaliz]:[% normaliz]],1)*(DATOS_[Conc.Sal.21])))))))), 0)</f>
        <v>0</v>
      </c>
      <c r="AE52" s="250" t="n">
        <f aca="false" t="array" ref="AE52:AE52">IFERROR( (MEDIAN((IF(DATOS_[[Sexo]:[Sexo]]=$B52,IF(DATOS_[[AGRUP. CLAS. PROF.]:[AGRUP. CLAS. PROF.]]=$B51,IF(DATOS_[[Check Periodo Ref.]:[Check Periodo Ref.]]="Dentro",IF(DATOS_[[Check Equiparado]:[Check Equiparado]]="Sí",IF(DATOS!AZ$4="Sí",(1/DATOS_[[% anualiz]:[% anualiz]]),1)*IF(DATOS!AZ$5="Sí",1/DATOS_[[% normaliz]:[% normaliz]],1)*(DATOS_[Conc.Sal.22])))))))), 0)</f>
        <v>0</v>
      </c>
      <c r="AF52" s="250" t="n">
        <f aca="false" t="array" ref="AF52:AF52">IFERROR( (MEDIAN((IF(DATOS_[[Sexo]:[Sexo]]=$B52,IF(DATOS_[[AGRUP. CLAS. PROF.]:[AGRUP. CLAS. PROF.]]=$B51,IF(DATOS_[[Check Periodo Ref.]:[Check Periodo Ref.]]="Dentro",IF(DATOS_[[Check Equiparado]:[Check Equiparado]]="Sí",IF(DATOS!BA$4="Sí",(1/DATOS_[[% anualiz]:[% anualiz]]),1)*IF(DATOS!BA$5="Sí",1/DATOS_[[% normaliz]:[% normaliz]],1)*(DATOS_[Conc.Sal.23])))))))), 0)</f>
        <v>0</v>
      </c>
      <c r="AG52" s="250" t="n">
        <f aca="false" t="array" ref="AG52:AG52">IFERROR( (MEDIAN((IF(DATOS_[[Sexo]:[Sexo]]=$B52,IF(DATOS_[[AGRUP. CLAS. PROF.]:[AGRUP. CLAS. PROF.]]=$B51,IF(DATOS_[[Check Periodo Ref.]:[Check Periodo Ref.]]="Dentro",IF(DATOS_[[Check Equiparado]:[Check Equiparado]]="Sí",IF(DATOS!BB$4="Sí",(1/DATOS_[[% anualiz]:[% anualiz]]),1)*IF(DATOS!BB$5="Sí",1/DATOS_[[% normaliz]:[% normaliz]],1)*(DATOS_[Conc.Sal.24])))))))), 0)</f>
        <v>0</v>
      </c>
      <c r="AH52" s="250" t="n">
        <f aca="false" t="array" ref="AH52:AH52">IFERROR( (MEDIAN((IF(DATOS_[[Sexo]:[Sexo]]=$B52,IF(DATOS_[[AGRUP. CLAS. PROF.]:[AGRUP. CLAS. PROF.]]=$B51,IF(DATOS_[[Check Periodo Ref.]:[Check Periodo Ref.]]="Dentro",IF(DATOS_[[Check Equiparado]:[Check Equiparado]]="Sí",IF(DATOS!BC$4="Sí",(1/DATOS_[[% anualiz]:[% anualiz]]),1)*IF(DATOS!BC$5="Sí",1/DATOS_[[% normaliz]:[% normaliz]],1)*(DATOS_[Conc.Sal.25])))))))), 0)</f>
        <v>0</v>
      </c>
      <c r="AI52" s="250" t="n">
        <f aca="false" t="array" ref="AI52:AI52">IFERROR( (MEDIAN((IF(DATOS_[[Sexo]:[Sexo]]=$B52,IF(DATOS_[[AGRUP. CLAS. PROF.]:[AGRUP. CLAS. PROF.]]=$B51,IF(DATOS_[[Check Periodo Ref.]:[Check Periodo Ref.]]="Dentro",IF(DATOS_[[Check Equiparado]:[Check Equiparado]]="Sí",IF(DATOS!BD$4="Sí",(1/DATOS_[[% anualiz]:[% anualiz]]),1)*IF(DATOS!BD$5="Sí",1/DATOS_[[% normaliz]:[% normaliz]],1)*(DATOS_[Conc.Sal.26])))))))), 0)</f>
        <v>0</v>
      </c>
      <c r="AJ52" s="250" t="n">
        <f aca="false" t="array" ref="AJ52:AJ52">IFERROR( (MEDIAN((IF(DATOS_[[Sexo]:[Sexo]]=$B52,IF(DATOS_[[AGRUP. CLAS. PROF.]:[AGRUP. CLAS. PROF.]]=$B51,IF(DATOS_[[Check Periodo Ref.]:[Check Periodo Ref.]]="Dentro",IF(DATOS_[[Check Equiparado]:[Check Equiparado]]="Sí",IF(DATOS!BE$4="Sí",(1/DATOS_[[% anualiz]:[% anualiz]]),1)*IF(DATOS!BE$5="Sí",1/DATOS_[[% normaliz]:[% normaliz]],1)*(DATOS_[Conc.Sal.27])))))))), 0)</f>
        <v>0</v>
      </c>
      <c r="AK52" s="250" t="n">
        <f aca="false" t="array" ref="AK52:AK52">IFERROR( (MEDIAN((IF(DATOS_[[Sexo]:[Sexo]]=$B52,IF(DATOS_[[AGRUP. CLAS. PROF.]:[AGRUP. CLAS. PROF.]]=$B51,IF(DATOS_[[Check Periodo Ref.]:[Check Periodo Ref.]]="Dentro",IF(DATOS_[[Check Equiparado]:[Check Equiparado]]="Sí",IF(DATOS!BF$4="Sí",(1/DATOS_[[% anualiz]:[% anualiz]]),1)*IF(DATOS!BF$5="Sí",1/DATOS_[[% normaliz]:[% normaliz]],1)*(DATOS_[Conc.Sal.28])))))))), 0)</f>
        <v>0</v>
      </c>
      <c r="AL52" s="250" t="n">
        <f aca="false" t="array" ref="AL52:AL52">IFERROR( (MEDIAN((IF(DATOS_[[Sexo]:[Sexo]]=$B52,IF(DATOS_[[AGRUP. CLAS. PROF.]:[AGRUP. CLAS. PROF.]]=$B51,IF(DATOS_[[Check Periodo Ref.]:[Check Periodo Ref.]]="Dentro",IF(DATOS_[[Check Equiparado]:[Check Equiparado]]="Sí",IF(DATOS!BG$4="Sí",(1/DATOS_[[% anualiz]:[% anualiz]]),1)*IF(DATOS!BG$5="Sí",1/DATOS_[[% normaliz]:[% normaliz]],1)*(DATOS_[Conc.Sal.29])))))))), 0)</f>
        <v>0</v>
      </c>
      <c r="AM52" s="250" t="n">
        <f aca="false" t="array" ref="AM52:AM52">IFERROR( (MEDIAN((IF(DATOS_[[Sexo]:[Sexo]]=$B52,IF(DATOS_[[AGRUP. CLAS. PROF.]:[AGRUP. CLAS. PROF.]]=$B51,IF(DATOS_[[Check Periodo Ref.]:[Check Periodo Ref.]]="Dentro",IF(DATOS_[[Check Equiparado]:[Check Equiparado]]="Sí",IF(DATOS!BH$4="Sí",(1/DATOS_[[% anualiz]:[% anualiz]]),1)*IF(DATOS!BH$5="Sí",1/DATOS_[[% normaliz]:[% normaliz]],1)*(DATOS_[Conc.Sal.30])))))))), 0)</f>
        <v>0</v>
      </c>
      <c r="AN52" s="251" t="n">
        <f aca="false" t="array" ref="AN52:AN52">IFERROR( MEDIAN(IF(DATOS_[Sexo]=$B52,IF(DATOS_[[AGRUP. CLAS. PROF.]:[AGRUP. CLAS. PROF.]]=$B51,IF(DATOS_[Check Equiparado]="Sí",IF(DATOS_[Check Periodo Ref.]="Dentro",DATOS_[Tot COMPL.SAL Eq],0))))), 0)</f>
        <v>0</v>
      </c>
      <c r="AO52" s="252" t="n">
        <f aca="false" t="array" ref="AO52:AO52">IFERROR( MEDIAN(IF(DATOS_[Sexo]=$B52,IF(DATOS_[[AGRUP. CLAS. PROF.]:[AGRUP. CLAS. PROF.]]=$B51,IF(DATOS_[Check Equiparado]="Sí",IF(DATOS_[Check Periodo Ref.]="Dentro",DATOS_[TOTAL SALARIO Eq],0))))), 0)</f>
        <v>0</v>
      </c>
      <c r="AP52" s="259" t="n">
        <f aca="false" t="array" ref="AP52:AP52">IFERROR( (MEDIAN((IF(DATOS_[[Sexo]:[Sexo]]=$B52,IF(DATOS_[[AGRUP. CLAS. PROF.]:[AGRUP. CLAS. PROF.]]=$B51,IF(DATOS_[[Check Periodo Ref.]:[Check Periodo Ref.]]="Dentro",IF(DATOS_[[Check Equiparado]:[Check Equiparado]]="Sí",IF(DATOS!BI$4="Sí",(1/DATOS_[[% anualiz]:[% anualiz]]),1)*IF(DATOS!BI$5="Sí",1/DATOS_[[% normaliz]:[% normaliz]],1)*(DATOS_[C.Extra.01])))))))), 0)</f>
        <v>0</v>
      </c>
      <c r="AQ52" s="259" t="n">
        <f aca="false" t="array" ref="AQ52:AQ52">IFERROR( (MEDIAN((IF(DATOS_[[Sexo]:[Sexo]]=$B52,IF(DATOS_[[AGRUP. CLAS. PROF.]:[AGRUP. CLAS. PROF.]]=$B51,IF(DATOS_[[Check Periodo Ref.]:[Check Periodo Ref.]]="Dentro",IF(DATOS_[[Check Equiparado]:[Check Equiparado]]="Sí",IF(DATOS!BJ$4="Sí",(1/DATOS_[[% anualiz]:[% anualiz]]),1)*IF(DATOS!BJ$5="Sí",1/DATOS_[[% normaliz]:[% normaliz]],1)*(DATOS_[C.Extra.02])))))))), 0)</f>
        <v>0</v>
      </c>
      <c r="AR52" s="259" t="n">
        <f aca="false" t="array" ref="AR52:AR52">IFERROR( (MEDIAN((IF(DATOS_[[Sexo]:[Sexo]]=$B52,IF(DATOS_[[AGRUP. CLAS. PROF.]:[AGRUP. CLAS. PROF.]]=$B51,IF(DATOS_[[Check Periodo Ref.]:[Check Periodo Ref.]]="Dentro",IF(DATOS_[[Check Equiparado]:[Check Equiparado]]="Sí",IF(DATOS!BK$4="Sí",(1/DATOS_[[% anualiz]:[% anualiz]]),1)*IF(DATOS!BK$5="Sí",1/DATOS_[[% normaliz]:[% normaliz]],1)*(DATOS_[C.Extra.03])))))))), 0)</f>
        <v>0</v>
      </c>
      <c r="AS52" s="259" t="n">
        <f aca="false" t="array" ref="AS52:AS52">IFERROR( (MEDIAN((IF(DATOS_[[Sexo]:[Sexo]]=$B52,IF(DATOS_[[AGRUP. CLAS. PROF.]:[AGRUP. CLAS. PROF.]]=$B51,IF(DATOS_[[Check Periodo Ref.]:[Check Periodo Ref.]]="Dentro",IF(DATOS_[[Check Equiparado]:[Check Equiparado]]="Sí",IF(DATOS!BL$4="Sí",(1/DATOS_[[% anualiz]:[% anualiz]]),1)*IF(DATOS!BL$5="Sí",1/DATOS_[[% normaliz]:[% normaliz]],1)*(DATOS_[C.Extra.04])))))))), 0)</f>
        <v>0</v>
      </c>
      <c r="AT52" s="259" t="n">
        <f aca="false" t="array" ref="AT52:AT52">IFERROR( (MEDIAN((IF(DATOS_[[Sexo]:[Sexo]]=$B52,IF(DATOS_[[AGRUP. CLAS. PROF.]:[AGRUP. CLAS. PROF.]]=$B51,IF(DATOS_[[Check Periodo Ref.]:[Check Periodo Ref.]]="Dentro",IF(DATOS_[[Check Equiparado]:[Check Equiparado]]="Sí",IF(DATOS!BM$4="Sí",(1/DATOS_[[% anualiz]:[% anualiz]]),1)*IF(DATOS!BM$5="Sí",1/DATOS_[[% normaliz]:[% normaliz]],1)*(DATOS_[C.Extra.05])))))))), 0)</f>
        <v>0</v>
      </c>
      <c r="AU52" s="254" t="n">
        <f aca="false" t="array" ref="AU52:AU52">IFERROR( MEDIAN(IF(DATOS_[Sexo]=$B52,IF(DATOS_[[AGRUP. CLAS. PROF.]:[AGRUP. CLAS. PROF.]]=$B51,IF(DATOS_[Check Equiparado]="Sí",IF(DATOS_[Check Periodo Ref.]="Dentro",DATOS_[Tot Extrasalarial Eq],0))))), 0)</f>
        <v>0</v>
      </c>
      <c r="AV52" s="255" t="n">
        <f aca="false" t="array" ref="AV52:AV52">IFERROR( MEDIAN(IF(DATOS_[Sexo]=$B52,IF(DATOS_[[AGRUP. CLAS. PROF.]:[AGRUP. CLAS. PROF.]]=$B51,IF(DATOS_[Check Equiparado]="Sí",IF(DATOS_[Check Periodo Ref.]="Dentro",DATOS_[TOTAL Retrib Eq],0))))), 0)</f>
        <v>0</v>
      </c>
    </row>
    <row r="53" customFormat="false" ht="14.25" hidden="false" customHeight="false" outlineLevel="0" collapsed="false">
      <c r="A53" s="217" t="str">
        <f aca="false">+A52</f>
        <v>[ocultar]</v>
      </c>
      <c r="B53" s="323" t="s">
        <v>372</v>
      </c>
      <c r="C53" s="247" t="n">
        <f aca="false" t="array" ref="C53:C53">SUM(IF($B53=DATOS_[Sexo], IF($B51=DATOS_[AGRUP. CLAS. PROF.], IF("Dentro"=DATOS_[Check Periodo Ref.], 1/(COUNTIFS(DATOS_[Sexo],$B53,DATOS_[AGRUP. CLAS. PROF.],$B51,DATOS_[Check Periodo Ref.],"Dentro",DATOS_[id],DATOS_[id]))))))</f>
        <v>0</v>
      </c>
      <c r="D53" s="248" t="n">
        <f aca="false">COUNTIFS(DATOS_[AGRUP. CLAS. PROF.],$B51,DATOS_[Sexo],$B53,DATOS_[Check Periodo Ref.],"Dentro")</f>
        <v>0</v>
      </c>
      <c r="E53" s="248" t="n">
        <f aca="false">COUNTIFS(DATOS_[AGRUP. CLAS. PROF.],$B51,DATOS_[Sexo],$B53,DATOS_[Check Periodo Ref.],"Dentro",DATOS_[Check Nº SC Norm],"Sí")</f>
        <v>0</v>
      </c>
      <c r="F53" s="248" t="n">
        <f aca="false">COUNTIFS(DATOS_[AGRUP. CLAS. PROF.],$B51,DATOS_[Sexo],$B53,DATOS_[Check Periodo Ref.],"Dentro",DATOS_[Check Nº SC Anualiz],"Sí")</f>
        <v>0</v>
      </c>
      <c r="G53" s="248" t="n">
        <f aca="false">COUNTIFS(DATOS_[AGRUP. CLAS. PROF.],$B51,DATOS_[Sexo],$B53,DATOS_[Check Periodo Ref.],"Dentro",DATOS_[Check Nº SC Norm y Anualiz],"Sí")</f>
        <v>0</v>
      </c>
      <c r="H53" s="248" t="n">
        <f aca="false">COUNTIFS(DATOS_[AGRUP. CLAS. PROF.],$B51,DATOS_[Sexo],$B53,DATOS_[Check Periodo Ref.],"Dentro",DATOS_[Check Equiparación],"Sí")</f>
        <v>0</v>
      </c>
      <c r="I53" s="249" t="n">
        <f aca="false" t="array" ref="I53:I53">IFERROR( MEDIAN(IF(DATOS_[Sexo]=$B53,IF(DATOS_[[AGRUP. CLAS. PROF.]:[AGRUP. CLAS. PROF.]]=$B51,IF(DATOS_[Check Equiparado]="Sí",IF(DATOS_[Check Periodo Ref.]="Dentro",DATOS_[SALARIO BASE Eq],0))))), 0)</f>
        <v>0</v>
      </c>
      <c r="J53" s="250" t="n">
        <f aca="false" t="array" ref="J53:J53">IFERROR( (MEDIAN((IF(DATOS_[[Sexo]:[Sexo]]=$B53,IF(DATOS_[[AGRUP. CLAS. PROF.]:[AGRUP. CLAS. PROF.]]=$B51,IF(DATOS_[[Check Periodo Ref.]:[Check Periodo Ref.]]="Dentro",IF(DATOS_[[Check Equiparado]:[Check Equiparado]]="Sí",IF(DATOS!AE$4="Sí",(1/DATOS_[[% anualiz]:[% anualiz]]),1)*IF(DATOS!AE$5="Sí",1/DATOS_[[% normaliz]:[% normaliz]],1)*(DATOS_[Conc.Sal.01])))))))), 0)</f>
        <v>0</v>
      </c>
      <c r="K53" s="250" t="n">
        <f aca="false" t="array" ref="K53:K53">IFERROR( (MEDIAN((IF(DATOS_[[Sexo]:[Sexo]]=$B53,IF(DATOS_[[AGRUP. CLAS. PROF.]:[AGRUP. CLAS. PROF.]]=$B51,IF(DATOS_[[Check Periodo Ref.]:[Check Periodo Ref.]]="Dentro",IF(DATOS_[[Check Equiparado]:[Check Equiparado]]="Sí",IF(DATOS!AF$4="Sí",(1/DATOS_[[% anualiz]:[% anualiz]]),1)*IF(DATOS!AF$5="Sí",1/DATOS_[[% normaliz]:[% normaliz]],1)*(DATOS_[Conc.Sal.02])))))))), 0)</f>
        <v>0</v>
      </c>
      <c r="L53" s="250" t="n">
        <f aca="false" t="array" ref="L53:L53">IFERROR( (MEDIAN((IF(DATOS_[[Sexo]:[Sexo]]=$B53,IF(DATOS_[[AGRUP. CLAS. PROF.]:[AGRUP. CLAS. PROF.]]=$B51,IF(DATOS_[[Check Periodo Ref.]:[Check Periodo Ref.]]="Dentro",IF(DATOS_[[Check Equiparado]:[Check Equiparado]]="Sí",IF(DATOS!AG$4="Sí",(1/DATOS_[[% anualiz]:[% anualiz]]),1)*IF(DATOS!AG$5="Sí",1/DATOS_[[% normaliz]:[% normaliz]],1)*(DATOS_[Conc.Sal.03])))))))), 0)</f>
        <v>0</v>
      </c>
      <c r="M53" s="250" t="n">
        <f aca="false" t="array" ref="M53:M53">IFERROR( (MEDIAN((IF(DATOS_[[Sexo]:[Sexo]]=$B53,IF(DATOS_[[AGRUP. CLAS. PROF.]:[AGRUP. CLAS. PROF.]]=$B51,IF(DATOS_[[Check Periodo Ref.]:[Check Periodo Ref.]]="Dentro",IF(DATOS_[[Check Equiparado]:[Check Equiparado]]="Sí",IF(DATOS!AH$4="Sí",(1/DATOS_[[% anualiz]:[% anualiz]]),1)*IF(DATOS!AH$5="Sí",1/DATOS_[[% normaliz]:[% normaliz]],1)*(DATOS_[Conc.Sal.04])))))))), 0)</f>
        <v>0</v>
      </c>
      <c r="N53" s="250" t="n">
        <f aca="false" t="array" ref="N53:N53">IFERROR( (MEDIAN((IF(DATOS_[[Sexo]:[Sexo]]=$B53,IF(DATOS_[[AGRUP. CLAS. PROF.]:[AGRUP. CLAS. PROF.]]=$B51,IF(DATOS_[[Check Periodo Ref.]:[Check Periodo Ref.]]="Dentro",IF(DATOS_[[Check Equiparado]:[Check Equiparado]]="Sí",IF(DATOS!AI$4="Sí",(1/DATOS_[[% anualiz]:[% anualiz]]),1)*IF(DATOS!AI$5="Sí",1/DATOS_[[% normaliz]:[% normaliz]],1)*(DATOS_[Conc.Sal.05])))))))), 0)</f>
        <v>0</v>
      </c>
      <c r="O53" s="250" t="n">
        <f aca="false" t="array" ref="O53:O53">IFERROR( (MEDIAN((IF(DATOS_[[Sexo]:[Sexo]]=$B53,IF(DATOS_[[AGRUP. CLAS. PROF.]:[AGRUP. CLAS. PROF.]]=$B51,IF(DATOS_[[Check Periodo Ref.]:[Check Periodo Ref.]]="Dentro",IF(DATOS_[[Check Equiparado]:[Check Equiparado]]="Sí",IF(DATOS!AJ$4="Sí",(1/DATOS_[[% anualiz]:[% anualiz]]),1)*IF(DATOS!AJ$5="Sí",1/DATOS_[[% normaliz]:[% normaliz]],1)*(DATOS_[Conc.Sal.06])))))))), 0)</f>
        <v>0</v>
      </c>
      <c r="P53" s="250" t="n">
        <f aca="false" t="array" ref="P53:P53">IFERROR( (MEDIAN((IF(DATOS_[[Sexo]:[Sexo]]=$B53,IF(DATOS_[[AGRUP. CLAS. PROF.]:[AGRUP. CLAS. PROF.]]=$B51,IF(DATOS_[[Check Periodo Ref.]:[Check Periodo Ref.]]="Dentro",IF(DATOS_[[Check Equiparado]:[Check Equiparado]]="Sí",IF(DATOS!AK$4="Sí",(1/DATOS_[[% anualiz]:[% anualiz]]),1)*IF(DATOS!AK$5="Sí",1/DATOS_[[% normaliz]:[% normaliz]],1)*(DATOS_[Conc.Sal.07])))))))), 0)</f>
        <v>0</v>
      </c>
      <c r="Q53" s="250" t="n">
        <f aca="false" t="array" ref="Q53:Q53">IFERROR( (MEDIAN((IF(DATOS_[[Sexo]:[Sexo]]=$B53,IF(DATOS_[[AGRUP. CLAS. PROF.]:[AGRUP. CLAS. PROF.]]=$B51,IF(DATOS_[[Check Periodo Ref.]:[Check Periodo Ref.]]="Dentro",IF(DATOS_[[Check Equiparado]:[Check Equiparado]]="Sí",IF(DATOS!AL$4="Sí",(1/DATOS_[[% anualiz]:[% anualiz]]),1)*IF(DATOS!AL$5="Sí",1/DATOS_[[% normaliz]:[% normaliz]],1)*(DATOS_[Conc.Sal.08])))))))), 0)</f>
        <v>0</v>
      </c>
      <c r="R53" s="250" t="n">
        <f aca="false" t="array" ref="R53:R53">IFERROR( (MEDIAN((IF(DATOS_[[Sexo]:[Sexo]]=$B53,IF(DATOS_[[AGRUP. CLAS. PROF.]:[AGRUP. CLAS. PROF.]]=$B51,IF(DATOS_[[Check Periodo Ref.]:[Check Periodo Ref.]]="Dentro",IF(DATOS_[[Check Equiparado]:[Check Equiparado]]="Sí",IF(DATOS!AM$4="Sí",(1/DATOS_[[% anualiz]:[% anualiz]]),1)*IF(DATOS!AM$5="Sí",1/DATOS_[[% normaliz]:[% normaliz]],1)*(DATOS_[Conc.Sal.09])))))))), 0)</f>
        <v>0</v>
      </c>
      <c r="S53" s="250" t="n">
        <f aca="false" t="array" ref="S53:S53">IFERROR( (MEDIAN((IF(DATOS_[[Sexo]:[Sexo]]=$B53,IF(DATOS_[[AGRUP. CLAS. PROF.]:[AGRUP. CLAS. PROF.]]=$B51,IF(DATOS_[[Check Periodo Ref.]:[Check Periodo Ref.]]="Dentro",IF(DATOS_[[Check Equiparado]:[Check Equiparado]]="Sí",IF(DATOS!AN$4="Sí",(1/DATOS_[[% anualiz]:[% anualiz]]),1)*IF(DATOS!AN$5="Sí",1/DATOS_[[% normaliz]:[% normaliz]],1)*(DATOS_[Conc.Sal.10])))))))), 0)</f>
        <v>0</v>
      </c>
      <c r="T53" s="250" t="n">
        <f aca="false" t="array" ref="T53:T53">IFERROR( (MEDIAN((IF(DATOS_[[Sexo]:[Sexo]]=$B53,IF(DATOS_[[AGRUP. CLAS. PROF.]:[AGRUP. CLAS. PROF.]]=$B51,IF(DATOS_[[Check Periodo Ref.]:[Check Periodo Ref.]]="Dentro",IF(DATOS_[[Check Equiparado]:[Check Equiparado]]="Sí",IF(DATOS!AO$4="Sí",(1/DATOS_[[% anualiz]:[% anualiz]]),1)*IF(DATOS!AO$5="Sí",1/DATOS_[[% normaliz]:[% normaliz]],1)*(DATOS_[Conc.Sal.11])))))))), 0)</f>
        <v>0</v>
      </c>
      <c r="U53" s="250" t="n">
        <f aca="false" t="array" ref="U53:U53">IFERROR( (MEDIAN((IF(DATOS_[[Sexo]:[Sexo]]=$B53,IF(DATOS_[[AGRUP. CLAS. PROF.]:[AGRUP. CLAS. PROF.]]=$B51,IF(DATOS_[[Check Periodo Ref.]:[Check Periodo Ref.]]="Dentro",IF(DATOS_[[Check Equiparado]:[Check Equiparado]]="Sí",IF(DATOS!AP$4="Sí",(1/DATOS_[[% anualiz]:[% anualiz]]),1)*IF(DATOS!AP$5="Sí",1/DATOS_[[% normaliz]:[% normaliz]],1)*(DATOS_[Conc.Sal.12])))))))), 0)</f>
        <v>0</v>
      </c>
      <c r="V53" s="250" t="n">
        <f aca="false" t="array" ref="V53:V53">IFERROR( (MEDIAN((IF(DATOS_[[Sexo]:[Sexo]]=$B53,IF(DATOS_[[AGRUP. CLAS. PROF.]:[AGRUP. CLAS. PROF.]]=$B51,IF(DATOS_[[Check Periodo Ref.]:[Check Periodo Ref.]]="Dentro",IF(DATOS_[[Check Equiparado]:[Check Equiparado]]="Sí",IF(DATOS!AQ$4="Sí",(1/DATOS_[[% anualiz]:[% anualiz]]),1)*IF(DATOS!AQ$5="Sí",1/DATOS_[[% normaliz]:[% normaliz]],1)*(DATOS_[Conc.Sal.13])))))))), 0)</f>
        <v>0</v>
      </c>
      <c r="W53" s="250" t="n">
        <f aca="false" t="array" ref="W53:W53">IFERROR( (MEDIAN((IF(DATOS_[[Sexo]:[Sexo]]=$B53,IF(DATOS_[[AGRUP. CLAS. PROF.]:[AGRUP. CLAS. PROF.]]=$B51,IF(DATOS_[[Check Periodo Ref.]:[Check Periodo Ref.]]="Dentro",IF(DATOS_[[Check Equiparado]:[Check Equiparado]]="Sí",IF(DATOS!AR$4="Sí",(1/DATOS_[[% anualiz]:[% anualiz]]),1)*IF(DATOS!AR$5="Sí",1/DATOS_[[% normaliz]:[% normaliz]],1)*(DATOS_[Conc.Sal.14])))))))), 0)</f>
        <v>0</v>
      </c>
      <c r="X53" s="250" t="n">
        <f aca="false" t="array" ref="X53:X53">IFERROR( (MEDIAN((IF(DATOS_[[Sexo]:[Sexo]]=$B53,IF(DATOS_[[AGRUP. CLAS. PROF.]:[AGRUP. CLAS. PROF.]]=$B51,IF(DATOS_[[Check Periodo Ref.]:[Check Periodo Ref.]]="Dentro",IF(DATOS_[[Check Equiparado]:[Check Equiparado]]="Sí",IF(DATOS!AS$4="Sí",(1/DATOS_[[% anualiz]:[% anualiz]]),1)*IF(DATOS!AS$5="Sí",1/DATOS_[[% normaliz]:[% normaliz]],1)*(DATOS_[Conc.Sal.15])))))))), 0)</f>
        <v>0</v>
      </c>
      <c r="Y53" s="250" t="n">
        <f aca="false" t="array" ref="Y53:Y53">IFERROR( (MEDIAN((IF(DATOS_[[Sexo]:[Sexo]]=$B53,IF(DATOS_[[AGRUP. CLAS. PROF.]:[AGRUP. CLAS. PROF.]]=$B51,IF(DATOS_[[Check Periodo Ref.]:[Check Periodo Ref.]]="Dentro",IF(DATOS_[[Check Equiparado]:[Check Equiparado]]="Sí",IF(DATOS!AT$4="Sí",(1/DATOS_[[% anualiz]:[% anualiz]]),1)*IF(DATOS!AT$5="Sí",1/DATOS_[[% normaliz]:[% normaliz]],1)*(DATOS_[Conc.Sal.16])))))))), 0)</f>
        <v>0</v>
      </c>
      <c r="Z53" s="250" t="n">
        <f aca="false" t="array" ref="Z53:Z53">IFERROR( (MEDIAN((IF(DATOS_[[Sexo]:[Sexo]]=$B53,IF(DATOS_[[AGRUP. CLAS. PROF.]:[AGRUP. CLAS. PROF.]]=$B51,IF(DATOS_[[Check Periodo Ref.]:[Check Periodo Ref.]]="Dentro",IF(DATOS_[[Check Equiparado]:[Check Equiparado]]="Sí",IF(DATOS!AU$4="Sí",(1/DATOS_[[% anualiz]:[% anualiz]]),1)*IF(DATOS!AU$5="Sí",1/DATOS_[[% normaliz]:[% normaliz]],1)*(DATOS_[Conc.Sal.17])))))))), 0)</f>
        <v>0</v>
      </c>
      <c r="AA53" s="250" t="n">
        <f aca="false" t="array" ref="AA53:AA53">IFERROR( (MEDIAN((IF(DATOS_[[Sexo]:[Sexo]]=$B53,IF(DATOS_[[AGRUP. CLAS. PROF.]:[AGRUP. CLAS. PROF.]]=$B51,IF(DATOS_[[Check Periodo Ref.]:[Check Periodo Ref.]]="Dentro",IF(DATOS_[[Check Equiparado]:[Check Equiparado]]="Sí",IF(DATOS!AV$4="Sí",(1/DATOS_[[% anualiz]:[% anualiz]]),1)*IF(DATOS!AV$5="Sí",1/DATOS_[[% normaliz]:[% normaliz]],1)*(DATOS_[Conc.Sal.18])))))))), 0)</f>
        <v>0</v>
      </c>
      <c r="AB53" s="250" t="n">
        <f aca="false" t="array" ref="AB53:AB53">IFERROR( (MEDIAN((IF(DATOS_[[Sexo]:[Sexo]]=$B53,IF(DATOS_[[AGRUP. CLAS. PROF.]:[AGRUP. CLAS. PROF.]]=$B51,IF(DATOS_[[Check Periodo Ref.]:[Check Periodo Ref.]]="Dentro",IF(DATOS_[[Check Equiparado]:[Check Equiparado]]="Sí",IF(DATOS!AW$4="Sí",(1/DATOS_[[% anualiz]:[% anualiz]]),1)*IF(DATOS!AW$5="Sí",1/DATOS_[[% normaliz]:[% normaliz]],1)*(DATOS_[Conc.Sal.19])))))))), 0)</f>
        <v>0</v>
      </c>
      <c r="AC53" s="250" t="n">
        <f aca="false" t="array" ref="AC53:AC53">IFERROR( (MEDIAN((IF(DATOS_[[Sexo]:[Sexo]]=$B53,IF(DATOS_[[AGRUP. CLAS. PROF.]:[AGRUP. CLAS. PROF.]]=$B51,IF(DATOS_[[Check Periodo Ref.]:[Check Periodo Ref.]]="Dentro",IF(DATOS_[[Check Equiparado]:[Check Equiparado]]="Sí",IF(DATOS!AX$4="Sí",(1/DATOS_[[% anualiz]:[% anualiz]]),1)*IF(DATOS!AX$5="Sí",1/DATOS_[[% normaliz]:[% normaliz]],1)*(DATOS_[Conc.Sal.20])))))))), 0)</f>
        <v>0</v>
      </c>
      <c r="AD53" s="250" t="n">
        <f aca="false" t="array" ref="AD53:AD53">IFERROR( (MEDIAN((IF(DATOS_[[Sexo]:[Sexo]]=$B53,IF(DATOS_[[AGRUP. CLAS. PROF.]:[AGRUP. CLAS. PROF.]]=$B51,IF(DATOS_[[Check Periodo Ref.]:[Check Periodo Ref.]]="Dentro",IF(DATOS_[[Check Equiparado]:[Check Equiparado]]="Sí",IF(DATOS!AY$4="Sí",(1/DATOS_[[% anualiz]:[% anualiz]]),1)*IF(DATOS!AY$5="Sí",1/DATOS_[[% normaliz]:[% normaliz]],1)*(DATOS_[Conc.Sal.21])))))))), 0)</f>
        <v>0</v>
      </c>
      <c r="AE53" s="250" t="n">
        <f aca="false" t="array" ref="AE53:AE53">IFERROR( (MEDIAN((IF(DATOS_[[Sexo]:[Sexo]]=$B53,IF(DATOS_[[AGRUP. CLAS. PROF.]:[AGRUP. CLAS. PROF.]]=$B51,IF(DATOS_[[Check Periodo Ref.]:[Check Periodo Ref.]]="Dentro",IF(DATOS_[[Check Equiparado]:[Check Equiparado]]="Sí",IF(DATOS!AZ$4="Sí",(1/DATOS_[[% anualiz]:[% anualiz]]),1)*IF(DATOS!AZ$5="Sí",1/DATOS_[[% normaliz]:[% normaliz]],1)*(DATOS_[Conc.Sal.22])))))))), 0)</f>
        <v>0</v>
      </c>
      <c r="AF53" s="250" t="n">
        <f aca="false" t="array" ref="AF53:AF53">IFERROR( (MEDIAN((IF(DATOS_[[Sexo]:[Sexo]]=$B53,IF(DATOS_[[AGRUP. CLAS. PROF.]:[AGRUP. CLAS. PROF.]]=$B51,IF(DATOS_[[Check Periodo Ref.]:[Check Periodo Ref.]]="Dentro",IF(DATOS_[[Check Equiparado]:[Check Equiparado]]="Sí",IF(DATOS!BA$4="Sí",(1/DATOS_[[% anualiz]:[% anualiz]]),1)*IF(DATOS!BA$5="Sí",1/DATOS_[[% normaliz]:[% normaliz]],1)*(DATOS_[Conc.Sal.23])))))))), 0)</f>
        <v>0</v>
      </c>
      <c r="AG53" s="250" t="n">
        <f aca="false" t="array" ref="AG53:AG53">IFERROR( (MEDIAN((IF(DATOS_[[Sexo]:[Sexo]]=$B53,IF(DATOS_[[AGRUP. CLAS. PROF.]:[AGRUP. CLAS. PROF.]]=$B51,IF(DATOS_[[Check Periodo Ref.]:[Check Periodo Ref.]]="Dentro",IF(DATOS_[[Check Equiparado]:[Check Equiparado]]="Sí",IF(DATOS!BB$4="Sí",(1/DATOS_[[% anualiz]:[% anualiz]]),1)*IF(DATOS!BB$5="Sí",1/DATOS_[[% normaliz]:[% normaliz]],1)*(DATOS_[Conc.Sal.24])))))))), 0)</f>
        <v>0</v>
      </c>
      <c r="AH53" s="250" t="n">
        <f aca="false" t="array" ref="AH53:AH53">IFERROR( (MEDIAN((IF(DATOS_[[Sexo]:[Sexo]]=$B53,IF(DATOS_[[AGRUP. CLAS. PROF.]:[AGRUP. CLAS. PROF.]]=$B51,IF(DATOS_[[Check Periodo Ref.]:[Check Periodo Ref.]]="Dentro",IF(DATOS_[[Check Equiparado]:[Check Equiparado]]="Sí",IF(DATOS!BC$4="Sí",(1/DATOS_[[% anualiz]:[% anualiz]]),1)*IF(DATOS!BC$5="Sí",1/DATOS_[[% normaliz]:[% normaliz]],1)*(DATOS_[Conc.Sal.25])))))))), 0)</f>
        <v>0</v>
      </c>
      <c r="AI53" s="250" t="n">
        <f aca="false" t="array" ref="AI53:AI53">IFERROR( (MEDIAN((IF(DATOS_[[Sexo]:[Sexo]]=$B53,IF(DATOS_[[AGRUP. CLAS. PROF.]:[AGRUP. CLAS. PROF.]]=$B51,IF(DATOS_[[Check Periodo Ref.]:[Check Periodo Ref.]]="Dentro",IF(DATOS_[[Check Equiparado]:[Check Equiparado]]="Sí",IF(DATOS!BD$4="Sí",(1/DATOS_[[% anualiz]:[% anualiz]]),1)*IF(DATOS!BD$5="Sí",1/DATOS_[[% normaliz]:[% normaliz]],1)*(DATOS_[Conc.Sal.26])))))))), 0)</f>
        <v>0</v>
      </c>
      <c r="AJ53" s="250" t="n">
        <f aca="false" t="array" ref="AJ53:AJ53">IFERROR( (MEDIAN((IF(DATOS_[[Sexo]:[Sexo]]=$B53,IF(DATOS_[[AGRUP. CLAS. PROF.]:[AGRUP. CLAS. PROF.]]=$B51,IF(DATOS_[[Check Periodo Ref.]:[Check Periodo Ref.]]="Dentro",IF(DATOS_[[Check Equiparado]:[Check Equiparado]]="Sí",IF(DATOS!BE$4="Sí",(1/DATOS_[[% anualiz]:[% anualiz]]),1)*IF(DATOS!BE$5="Sí",1/DATOS_[[% normaliz]:[% normaliz]],1)*(DATOS_[Conc.Sal.27])))))))), 0)</f>
        <v>0</v>
      </c>
      <c r="AK53" s="250" t="n">
        <f aca="false" t="array" ref="AK53:AK53">IFERROR( (MEDIAN((IF(DATOS_[[Sexo]:[Sexo]]=$B53,IF(DATOS_[[AGRUP. CLAS. PROF.]:[AGRUP. CLAS. PROF.]]=$B51,IF(DATOS_[[Check Periodo Ref.]:[Check Periodo Ref.]]="Dentro",IF(DATOS_[[Check Equiparado]:[Check Equiparado]]="Sí",IF(DATOS!BF$4="Sí",(1/DATOS_[[% anualiz]:[% anualiz]]),1)*IF(DATOS!BF$5="Sí",1/DATOS_[[% normaliz]:[% normaliz]],1)*(DATOS_[Conc.Sal.28])))))))), 0)</f>
        <v>0</v>
      </c>
      <c r="AL53" s="250" t="n">
        <f aca="false" t="array" ref="AL53:AL53">IFERROR( (MEDIAN((IF(DATOS_[[Sexo]:[Sexo]]=$B53,IF(DATOS_[[AGRUP. CLAS. PROF.]:[AGRUP. CLAS. PROF.]]=$B51,IF(DATOS_[[Check Periodo Ref.]:[Check Periodo Ref.]]="Dentro",IF(DATOS_[[Check Equiparado]:[Check Equiparado]]="Sí",IF(DATOS!BG$4="Sí",(1/DATOS_[[% anualiz]:[% anualiz]]),1)*IF(DATOS!BG$5="Sí",1/DATOS_[[% normaliz]:[% normaliz]],1)*(DATOS_[Conc.Sal.29])))))))), 0)</f>
        <v>0</v>
      </c>
      <c r="AM53" s="250" t="n">
        <f aca="false" t="array" ref="AM53:AM53">IFERROR( (MEDIAN((IF(DATOS_[[Sexo]:[Sexo]]=$B53,IF(DATOS_[[AGRUP. CLAS. PROF.]:[AGRUP. CLAS. PROF.]]=$B51,IF(DATOS_[[Check Periodo Ref.]:[Check Periodo Ref.]]="Dentro",IF(DATOS_[[Check Equiparado]:[Check Equiparado]]="Sí",IF(DATOS!BH$4="Sí",(1/DATOS_[[% anualiz]:[% anualiz]]),1)*IF(DATOS!BH$5="Sí",1/DATOS_[[% normaliz]:[% normaliz]],1)*(DATOS_[Conc.Sal.30])))))))), 0)</f>
        <v>0</v>
      </c>
      <c r="AN53" s="251" t="n">
        <f aca="false" t="array" ref="AN53:AN53">IFERROR( MEDIAN(IF(DATOS_[Sexo]=$B53,IF(DATOS_[[AGRUP. CLAS. PROF.]:[AGRUP. CLAS. PROF.]]=$B51,IF(DATOS_[Check Equiparado]="Sí",IF(DATOS_[Check Periodo Ref.]="Dentro",DATOS_[Tot COMPL.SAL Eq],0))))), 0)</f>
        <v>0</v>
      </c>
      <c r="AO53" s="252" t="n">
        <f aca="false" t="array" ref="AO53:AO53">IFERROR( MEDIAN(IF(DATOS_[Sexo]=$B53,IF(DATOS_[[AGRUP. CLAS. PROF.]:[AGRUP. CLAS. PROF.]]=$B51,IF(DATOS_[Check Equiparado]="Sí",IF(DATOS_[Check Periodo Ref.]="Dentro",DATOS_[TOTAL SALARIO Eq],0))))), 0)</f>
        <v>0</v>
      </c>
      <c r="AP53" s="259" t="n">
        <f aca="false" t="array" ref="AP53:AP53">IFERROR( (MEDIAN((IF(DATOS_[[Sexo]:[Sexo]]=$B53,IF(DATOS_[[AGRUP. CLAS. PROF.]:[AGRUP. CLAS. PROF.]]=$B52,IF(DATOS_[[Check Periodo Ref.]:[Check Periodo Ref.]]="Dentro",IF(DATOS_[[Check Equiparado]:[Check Equiparado]]="Sí",IF(DATOS!BI$4="Sí",(1/DATOS_[[% anualiz]:[% anualiz]]),1)*IF(DATOS!BI$5="Sí",1/DATOS_[[% normaliz]:[% normaliz]],1)*(DATOS_[C.Extra.01])))))))), 0)</f>
        <v>0</v>
      </c>
      <c r="AQ53" s="259" t="n">
        <f aca="false" t="array" ref="AQ53:AQ53">IFERROR( (MEDIAN((IF(DATOS_[[Sexo]:[Sexo]]=$B53,IF(DATOS_[[AGRUP. CLAS. PROF.]:[AGRUP. CLAS. PROF.]]=$B52,IF(DATOS_[[Check Periodo Ref.]:[Check Periodo Ref.]]="Dentro",IF(DATOS_[[Check Equiparado]:[Check Equiparado]]="Sí",IF(DATOS!BJ$4="Sí",(1/DATOS_[[% anualiz]:[% anualiz]]),1)*IF(DATOS!BJ$5="Sí",1/DATOS_[[% normaliz]:[% normaliz]],1)*(DATOS_[C.Extra.02])))))))), 0)</f>
        <v>0</v>
      </c>
      <c r="AR53" s="259" t="n">
        <f aca="false" t="array" ref="AR53:AR53">IFERROR( (MEDIAN((IF(DATOS_[[Sexo]:[Sexo]]=$B53,IF(DATOS_[[AGRUP. CLAS. PROF.]:[AGRUP. CLAS. PROF.]]=$B52,IF(DATOS_[[Check Periodo Ref.]:[Check Periodo Ref.]]="Dentro",IF(DATOS_[[Check Equiparado]:[Check Equiparado]]="Sí",IF(DATOS!BK$4="Sí",(1/DATOS_[[% anualiz]:[% anualiz]]),1)*IF(DATOS!BK$5="Sí",1/DATOS_[[% normaliz]:[% normaliz]],1)*(DATOS_[C.Extra.03])))))))), 0)</f>
        <v>0</v>
      </c>
      <c r="AS53" s="259" t="n">
        <f aca="false" t="array" ref="AS53:AS53">IFERROR( (MEDIAN((IF(DATOS_[[Sexo]:[Sexo]]=$B53,IF(DATOS_[[AGRUP. CLAS. PROF.]:[AGRUP. CLAS. PROF.]]=$B52,IF(DATOS_[[Check Periodo Ref.]:[Check Periodo Ref.]]="Dentro",IF(DATOS_[[Check Equiparado]:[Check Equiparado]]="Sí",IF(DATOS!BL$4="Sí",(1/DATOS_[[% anualiz]:[% anualiz]]),1)*IF(DATOS!BL$5="Sí",1/DATOS_[[% normaliz]:[% normaliz]],1)*(DATOS_[C.Extra.04])))))))), 0)</f>
        <v>0</v>
      </c>
      <c r="AT53" s="259" t="n">
        <f aca="false" t="array" ref="AT53:AT53">IFERROR( (MEDIAN((IF(DATOS_[[Sexo]:[Sexo]]=$B53,IF(DATOS_[[AGRUP. CLAS. PROF.]:[AGRUP. CLAS. PROF.]]=$B52,IF(DATOS_[[Check Periodo Ref.]:[Check Periodo Ref.]]="Dentro",IF(DATOS_[[Check Equiparado]:[Check Equiparado]]="Sí",IF(DATOS!BM$4="Sí",(1/DATOS_[[% anualiz]:[% anualiz]]),1)*IF(DATOS!BM$5="Sí",1/DATOS_[[% normaliz]:[% normaliz]],1)*(DATOS_[C.Extra.05])))))))), 0)</f>
        <v>0</v>
      </c>
      <c r="AU53" s="254" t="n">
        <f aca="false" t="array" ref="AU53:AU53">IFERROR( MEDIAN(IF(DATOS_[Sexo]=$B53,IF(DATOS_[[AGRUP. CLAS. PROF.]:[AGRUP. CLAS. PROF.]]=$B51,IF(DATOS_[Check Equiparado]="Sí",IF(DATOS_[Check Periodo Ref.]="Dentro",DATOS_[Tot Extrasalarial Eq],0))))), 0)</f>
        <v>0</v>
      </c>
      <c r="AV53" s="255" t="n">
        <f aca="false" t="array" ref="AV53:AV53">IFERROR( MEDIAN(IF(DATOS_[Sexo]=$B53,IF(DATOS_[[AGRUP. CLAS. PROF.]:[AGRUP. CLAS. PROF.]]=$B51,IF(DATOS_[Check Equiparado]="Sí",IF(DATOS_[Check Periodo Ref.]="Dentro",DATOS_[TOTAL Retrib Eq],0))))), 0)</f>
        <v>0</v>
      </c>
    </row>
    <row r="54" customFormat="false" ht="15.75" hidden="false" customHeight="false" outlineLevel="0" collapsed="false">
      <c r="A54" s="217" t="str">
        <f aca="false">+A55</f>
        <v>[ocultar]</v>
      </c>
      <c r="B54" s="320" t="s">
        <v>207</v>
      </c>
      <c r="C54" s="236"/>
      <c r="D54" s="237"/>
      <c r="E54" s="237"/>
      <c r="F54" s="237"/>
      <c r="G54" s="237"/>
      <c r="H54" s="237"/>
      <c r="I54" s="238"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39" t="str">
        <f aca="false">IFERROR((V55-V56)/V55,"")</f>
        <v/>
      </c>
      <c r="W54" s="239" t="str">
        <f aca="false">IFERROR((W55-W56)/W55,"")</f>
        <v/>
      </c>
      <c r="X54" s="239" t="str">
        <f aca="false">IFERROR((X55-X56)/X55,"")</f>
        <v/>
      </c>
      <c r="Y54" s="239"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0" t="str">
        <f aca="false">IFERROR((AJ55-AJ56)/AJ55,"")</f>
        <v/>
      </c>
      <c r="AK54" s="240" t="str">
        <f aca="false">IFERROR((AK55-AK56)/AK55,"")</f>
        <v/>
      </c>
      <c r="AL54" s="240" t="str">
        <f aca="false">IFERROR((AL55-AL56)/AL55,"")</f>
        <v/>
      </c>
      <c r="AM54" s="240" t="str">
        <f aca="false">IFERROR((AM55-AM56)/AM55,"")</f>
        <v/>
      </c>
      <c r="AN54" s="241" t="str">
        <f aca="false">IFERROR((AN55-AN56)/AN55,"")</f>
        <v/>
      </c>
      <c r="AO54" s="242" t="str">
        <f aca="false">IFERROR((AO55-AO56)/AO55,"")</f>
        <v/>
      </c>
      <c r="AP54" s="243" t="str">
        <f aca="false">IFERROR((AP55-AP56)/AP55,"")</f>
        <v/>
      </c>
      <c r="AQ54" s="243" t="str">
        <f aca="false">IFERROR((AQ55-AQ56)/AQ55,"")</f>
        <v/>
      </c>
      <c r="AR54" s="243" t="str">
        <f aca="false">IFERROR((AR55-AR56)/AR55,"")</f>
        <v/>
      </c>
      <c r="AS54" s="243" t="str">
        <f aca="false">IFERROR((AS55-AS56)/AS55,"")</f>
        <v/>
      </c>
      <c r="AT54" s="243" t="str">
        <f aca="false">IFERROR((AT55-AT56)/AT55,"")</f>
        <v/>
      </c>
      <c r="AU54" s="244" t="str">
        <f aca="false">IFERROR((AU55-AU56)/AU55,"")</f>
        <v/>
      </c>
      <c r="AV54" s="245" t="str">
        <f aca="false">IFERROR((AV55-AV56)/AV55,"")</f>
        <v/>
      </c>
    </row>
    <row r="55" customFormat="false" ht="14.25" hidden="false" customHeight="false" outlineLevel="0" collapsed="false">
      <c r="A55" s="217" t="str">
        <f aca="false">+IF(C55+C56=0,"[ocultar]","")</f>
        <v>[ocultar]</v>
      </c>
      <c r="B55" s="323" t="s">
        <v>371</v>
      </c>
      <c r="C55" s="247" t="n">
        <f aca="false" t="array" ref="C55:C55">SUM(IF($B55=DATOS_[Sexo], IF($B54=DATOS_[AGRUP. CLAS. PROF.], IF("Dentro"=DATOS_[Check Periodo Ref.], 1/(COUNTIFS(DATOS_[Sexo],$B55,DATOS_[AGRUP. CLAS. PROF.],$B54,DATOS_[Check Periodo Ref.],"Dentro",DATOS_[id],DATOS_[id]))))))</f>
        <v>0</v>
      </c>
      <c r="D55" s="248" t="n">
        <f aca="false">COUNTIFS(DATOS_[AGRUP. CLAS. PROF.],$B54,DATOS_[Sexo],$B55,DATOS_[Check Periodo Ref.],"Dentro")</f>
        <v>0</v>
      </c>
      <c r="E55" s="248" t="n">
        <f aca="false">COUNTIFS(DATOS_[AGRUP. CLAS. PROF.],$B54,DATOS_[Sexo],$B55,DATOS_[Check Periodo Ref.],"Dentro",DATOS_[Check Nº SC Norm],"Sí")</f>
        <v>0</v>
      </c>
      <c r="F55" s="248" t="n">
        <f aca="false">COUNTIFS(DATOS_[AGRUP. CLAS. PROF.],$B54,DATOS_[Sexo],$B55,DATOS_[Check Periodo Ref.],"Dentro",DATOS_[Check Nº SC Anualiz],"Sí")</f>
        <v>0</v>
      </c>
      <c r="G55" s="248" t="n">
        <f aca="false">COUNTIFS(DATOS_[AGRUP. CLAS. PROF.],$B54,DATOS_[Sexo],$B55,DATOS_[Check Periodo Ref.],"Dentro",DATOS_[Check Nº SC Norm y Anualiz],"Sí")</f>
        <v>0</v>
      </c>
      <c r="H55" s="248" t="n">
        <f aca="false">COUNTIFS(DATOS_[AGRUP. CLAS. PROF.],$B54,DATOS_[Sexo],$B55,DATOS_[Check Periodo Ref.],"Dentro",DATOS_[Check Equiparación],"Sí")</f>
        <v>0</v>
      </c>
      <c r="I55" s="249" t="n">
        <f aca="false" t="array" ref="I55:I55">IFERROR( MEDIAN(IF(DATOS_[Sexo]=$B55,IF(DATOS_[[AGRUP. CLAS. PROF.]:[AGRUP. CLAS. PROF.]]=$B54,IF(DATOS_[Check Equiparado]="Sí",IF(DATOS_[Check Periodo Ref.]="Dentro",DATOS_[SALARIO BASE Eq],0))))), 0)</f>
        <v>0</v>
      </c>
      <c r="J55" s="250" t="n">
        <f aca="false" t="array" ref="J55:J55">IFERROR( (MEDIAN((IF(DATOS_[[Sexo]:[Sexo]]=$B55,IF(DATOS_[[AGRUP. CLAS. PROF.]:[AGRUP. CLAS. PROF.]]=$B54,IF(DATOS_[[Check Periodo Ref.]:[Check Periodo Ref.]]="Dentro",IF(DATOS_[[Check Equiparado]:[Check Equiparado]]="Sí",IF(DATOS!AE$4="Sí",(1/DATOS_[[% anualiz]:[% anualiz]]),1)*IF(DATOS!AE$5="Sí",1/DATOS_[[% normaliz]:[% normaliz]],1)*(DATOS_[Conc.Sal.01])))))))), 0)</f>
        <v>0</v>
      </c>
      <c r="K55" s="250" t="n">
        <f aca="false" t="array" ref="K55:K55">IFERROR( (MEDIAN((IF(DATOS_[[Sexo]:[Sexo]]=$B55,IF(DATOS_[[AGRUP. CLAS. PROF.]:[AGRUP. CLAS. PROF.]]=$B54,IF(DATOS_[[Check Periodo Ref.]:[Check Periodo Ref.]]="Dentro",IF(DATOS_[[Check Equiparado]:[Check Equiparado]]="Sí",IF(DATOS!AF$4="Sí",(1/DATOS_[[% anualiz]:[% anualiz]]),1)*IF(DATOS!AF$5="Sí",1/DATOS_[[% normaliz]:[% normaliz]],1)*(DATOS_[Conc.Sal.02])))))))), 0)</f>
        <v>0</v>
      </c>
      <c r="L55" s="250" t="n">
        <f aca="false" t="array" ref="L55:L55">IFERROR( (MEDIAN((IF(DATOS_[[Sexo]:[Sexo]]=$B55,IF(DATOS_[[AGRUP. CLAS. PROF.]:[AGRUP. CLAS. PROF.]]=$B54,IF(DATOS_[[Check Periodo Ref.]:[Check Periodo Ref.]]="Dentro",IF(DATOS_[[Check Equiparado]:[Check Equiparado]]="Sí",IF(DATOS!AG$4="Sí",(1/DATOS_[[% anualiz]:[% anualiz]]),1)*IF(DATOS!AG$5="Sí",1/DATOS_[[% normaliz]:[% normaliz]],1)*(DATOS_[Conc.Sal.03])))))))), 0)</f>
        <v>0</v>
      </c>
      <c r="M55" s="250" t="n">
        <f aca="false" t="array" ref="M55:M55">IFERROR( (MEDIAN((IF(DATOS_[[Sexo]:[Sexo]]=$B55,IF(DATOS_[[AGRUP. CLAS. PROF.]:[AGRUP. CLAS. PROF.]]=$B54,IF(DATOS_[[Check Periodo Ref.]:[Check Periodo Ref.]]="Dentro",IF(DATOS_[[Check Equiparado]:[Check Equiparado]]="Sí",IF(DATOS!AH$4="Sí",(1/DATOS_[[% anualiz]:[% anualiz]]),1)*IF(DATOS!AH$5="Sí",1/DATOS_[[% normaliz]:[% normaliz]],1)*(DATOS_[Conc.Sal.04])))))))), 0)</f>
        <v>0</v>
      </c>
      <c r="N55" s="250" t="n">
        <f aca="false" t="array" ref="N55:N55">IFERROR( (MEDIAN((IF(DATOS_[[Sexo]:[Sexo]]=$B55,IF(DATOS_[[AGRUP. CLAS. PROF.]:[AGRUP. CLAS. PROF.]]=$B54,IF(DATOS_[[Check Periodo Ref.]:[Check Periodo Ref.]]="Dentro",IF(DATOS_[[Check Equiparado]:[Check Equiparado]]="Sí",IF(DATOS!AI$4="Sí",(1/DATOS_[[% anualiz]:[% anualiz]]),1)*IF(DATOS!AI$5="Sí",1/DATOS_[[% normaliz]:[% normaliz]],1)*(DATOS_[Conc.Sal.05])))))))), 0)</f>
        <v>0</v>
      </c>
      <c r="O55" s="250" t="n">
        <f aca="false" t="array" ref="O55:O55">IFERROR( (MEDIAN((IF(DATOS_[[Sexo]:[Sexo]]=$B55,IF(DATOS_[[AGRUP. CLAS. PROF.]:[AGRUP. CLAS. PROF.]]=$B54,IF(DATOS_[[Check Periodo Ref.]:[Check Periodo Ref.]]="Dentro",IF(DATOS_[[Check Equiparado]:[Check Equiparado]]="Sí",IF(DATOS!AJ$4="Sí",(1/DATOS_[[% anualiz]:[% anualiz]]),1)*IF(DATOS!AJ$5="Sí",1/DATOS_[[% normaliz]:[% normaliz]],1)*(DATOS_[Conc.Sal.06])))))))), 0)</f>
        <v>0</v>
      </c>
      <c r="P55" s="250" t="n">
        <f aca="false" t="array" ref="P55:P55">IFERROR( (MEDIAN((IF(DATOS_[[Sexo]:[Sexo]]=$B55,IF(DATOS_[[AGRUP. CLAS. PROF.]:[AGRUP. CLAS. PROF.]]=$B54,IF(DATOS_[[Check Periodo Ref.]:[Check Periodo Ref.]]="Dentro",IF(DATOS_[[Check Equiparado]:[Check Equiparado]]="Sí",IF(DATOS!AK$4="Sí",(1/DATOS_[[% anualiz]:[% anualiz]]),1)*IF(DATOS!AK$5="Sí",1/DATOS_[[% normaliz]:[% normaliz]],1)*(DATOS_[Conc.Sal.07])))))))), 0)</f>
        <v>0</v>
      </c>
      <c r="Q55" s="250" t="n">
        <f aca="false" t="array" ref="Q55:Q55">IFERROR( (MEDIAN((IF(DATOS_[[Sexo]:[Sexo]]=$B55,IF(DATOS_[[AGRUP. CLAS. PROF.]:[AGRUP. CLAS. PROF.]]=$B54,IF(DATOS_[[Check Periodo Ref.]:[Check Periodo Ref.]]="Dentro",IF(DATOS_[[Check Equiparado]:[Check Equiparado]]="Sí",IF(DATOS!AL$4="Sí",(1/DATOS_[[% anualiz]:[% anualiz]]),1)*IF(DATOS!AL$5="Sí",1/DATOS_[[% normaliz]:[% normaliz]],1)*(DATOS_[Conc.Sal.08])))))))), 0)</f>
        <v>0</v>
      </c>
      <c r="R55" s="250" t="n">
        <f aca="false" t="array" ref="R55:R55">IFERROR( (MEDIAN((IF(DATOS_[[Sexo]:[Sexo]]=$B55,IF(DATOS_[[AGRUP. CLAS. PROF.]:[AGRUP. CLAS. PROF.]]=$B54,IF(DATOS_[[Check Periodo Ref.]:[Check Periodo Ref.]]="Dentro",IF(DATOS_[[Check Equiparado]:[Check Equiparado]]="Sí",IF(DATOS!AM$4="Sí",(1/DATOS_[[% anualiz]:[% anualiz]]),1)*IF(DATOS!AM$5="Sí",1/DATOS_[[% normaliz]:[% normaliz]],1)*(DATOS_[Conc.Sal.09])))))))), 0)</f>
        <v>0</v>
      </c>
      <c r="S55" s="250" t="n">
        <f aca="false" t="array" ref="S55:S55">IFERROR( (MEDIAN((IF(DATOS_[[Sexo]:[Sexo]]=$B55,IF(DATOS_[[AGRUP. CLAS. PROF.]:[AGRUP. CLAS. PROF.]]=$B54,IF(DATOS_[[Check Periodo Ref.]:[Check Periodo Ref.]]="Dentro",IF(DATOS_[[Check Equiparado]:[Check Equiparado]]="Sí",IF(DATOS!AN$4="Sí",(1/DATOS_[[% anualiz]:[% anualiz]]),1)*IF(DATOS!AN$5="Sí",1/DATOS_[[% normaliz]:[% normaliz]],1)*(DATOS_[Conc.Sal.10])))))))), 0)</f>
        <v>0</v>
      </c>
      <c r="T55" s="250" t="n">
        <f aca="false" t="array" ref="T55:T55">IFERROR( (MEDIAN((IF(DATOS_[[Sexo]:[Sexo]]=$B55,IF(DATOS_[[AGRUP. CLAS. PROF.]:[AGRUP. CLAS. PROF.]]=$B54,IF(DATOS_[[Check Periodo Ref.]:[Check Periodo Ref.]]="Dentro",IF(DATOS_[[Check Equiparado]:[Check Equiparado]]="Sí",IF(DATOS!AO$4="Sí",(1/DATOS_[[% anualiz]:[% anualiz]]),1)*IF(DATOS!AO$5="Sí",1/DATOS_[[% normaliz]:[% normaliz]],1)*(DATOS_[Conc.Sal.11])))))))), 0)</f>
        <v>0</v>
      </c>
      <c r="U55" s="250" t="n">
        <f aca="false" t="array" ref="U55:U55">IFERROR( (MEDIAN((IF(DATOS_[[Sexo]:[Sexo]]=$B55,IF(DATOS_[[AGRUP. CLAS. PROF.]:[AGRUP. CLAS. PROF.]]=$B54,IF(DATOS_[[Check Periodo Ref.]:[Check Periodo Ref.]]="Dentro",IF(DATOS_[[Check Equiparado]:[Check Equiparado]]="Sí",IF(DATOS!AP$4="Sí",(1/DATOS_[[% anualiz]:[% anualiz]]),1)*IF(DATOS!AP$5="Sí",1/DATOS_[[% normaliz]:[% normaliz]],1)*(DATOS_[Conc.Sal.12])))))))), 0)</f>
        <v>0</v>
      </c>
      <c r="V55" s="250" t="n">
        <f aca="false" t="array" ref="V55:V55">IFERROR( (MEDIAN((IF(DATOS_[[Sexo]:[Sexo]]=$B55,IF(DATOS_[[AGRUP. CLAS. PROF.]:[AGRUP. CLAS. PROF.]]=$B54,IF(DATOS_[[Check Periodo Ref.]:[Check Periodo Ref.]]="Dentro",IF(DATOS_[[Check Equiparado]:[Check Equiparado]]="Sí",IF(DATOS!AQ$4="Sí",(1/DATOS_[[% anualiz]:[% anualiz]]),1)*IF(DATOS!AQ$5="Sí",1/DATOS_[[% normaliz]:[% normaliz]],1)*(DATOS_[Conc.Sal.13])))))))), 0)</f>
        <v>0</v>
      </c>
      <c r="W55" s="250" t="n">
        <f aca="false" t="array" ref="W55:W55">IFERROR( (MEDIAN((IF(DATOS_[[Sexo]:[Sexo]]=$B55,IF(DATOS_[[AGRUP. CLAS. PROF.]:[AGRUP. CLAS. PROF.]]=$B54,IF(DATOS_[[Check Periodo Ref.]:[Check Periodo Ref.]]="Dentro",IF(DATOS_[[Check Equiparado]:[Check Equiparado]]="Sí",IF(DATOS!AR$4="Sí",(1/DATOS_[[% anualiz]:[% anualiz]]),1)*IF(DATOS!AR$5="Sí",1/DATOS_[[% normaliz]:[% normaliz]],1)*(DATOS_[Conc.Sal.14])))))))), 0)</f>
        <v>0</v>
      </c>
      <c r="X55" s="250" t="n">
        <f aca="false" t="array" ref="X55:X55">IFERROR( (MEDIAN((IF(DATOS_[[Sexo]:[Sexo]]=$B55,IF(DATOS_[[AGRUP. CLAS. PROF.]:[AGRUP. CLAS. PROF.]]=$B54,IF(DATOS_[[Check Periodo Ref.]:[Check Periodo Ref.]]="Dentro",IF(DATOS_[[Check Equiparado]:[Check Equiparado]]="Sí",IF(DATOS!AS$4="Sí",(1/DATOS_[[% anualiz]:[% anualiz]]),1)*IF(DATOS!AS$5="Sí",1/DATOS_[[% normaliz]:[% normaliz]],1)*(DATOS_[Conc.Sal.15])))))))), 0)</f>
        <v>0</v>
      </c>
      <c r="Y55" s="250" t="n">
        <f aca="false" t="array" ref="Y55:Y55">IFERROR( (MEDIAN((IF(DATOS_[[Sexo]:[Sexo]]=$B55,IF(DATOS_[[AGRUP. CLAS. PROF.]:[AGRUP. CLAS. PROF.]]=$B54,IF(DATOS_[[Check Periodo Ref.]:[Check Periodo Ref.]]="Dentro",IF(DATOS_[[Check Equiparado]:[Check Equiparado]]="Sí",IF(DATOS!AT$4="Sí",(1/DATOS_[[% anualiz]:[% anualiz]]),1)*IF(DATOS!AT$5="Sí",1/DATOS_[[% normaliz]:[% normaliz]],1)*(DATOS_[Conc.Sal.16])))))))), 0)</f>
        <v>0</v>
      </c>
      <c r="Z55" s="250" t="n">
        <f aca="false" t="array" ref="Z55:Z55">IFERROR( (MEDIAN((IF(DATOS_[[Sexo]:[Sexo]]=$B55,IF(DATOS_[[AGRUP. CLAS. PROF.]:[AGRUP. CLAS. PROF.]]=$B54,IF(DATOS_[[Check Periodo Ref.]:[Check Periodo Ref.]]="Dentro",IF(DATOS_[[Check Equiparado]:[Check Equiparado]]="Sí",IF(DATOS!AU$4="Sí",(1/DATOS_[[% anualiz]:[% anualiz]]),1)*IF(DATOS!AU$5="Sí",1/DATOS_[[% normaliz]:[% normaliz]],1)*(DATOS_[Conc.Sal.17])))))))), 0)</f>
        <v>0</v>
      </c>
      <c r="AA55" s="250" t="n">
        <f aca="false" t="array" ref="AA55:AA55">IFERROR( (MEDIAN((IF(DATOS_[[Sexo]:[Sexo]]=$B55,IF(DATOS_[[AGRUP. CLAS. PROF.]:[AGRUP. CLAS. PROF.]]=$B54,IF(DATOS_[[Check Periodo Ref.]:[Check Periodo Ref.]]="Dentro",IF(DATOS_[[Check Equiparado]:[Check Equiparado]]="Sí",IF(DATOS!AV$4="Sí",(1/DATOS_[[% anualiz]:[% anualiz]]),1)*IF(DATOS!AV$5="Sí",1/DATOS_[[% normaliz]:[% normaliz]],1)*(DATOS_[Conc.Sal.18])))))))), 0)</f>
        <v>0</v>
      </c>
      <c r="AB55" s="250" t="n">
        <f aca="false" t="array" ref="AB55:AB55">IFERROR( (MEDIAN((IF(DATOS_[[Sexo]:[Sexo]]=$B55,IF(DATOS_[[AGRUP. CLAS. PROF.]:[AGRUP. CLAS. PROF.]]=$B54,IF(DATOS_[[Check Periodo Ref.]:[Check Periodo Ref.]]="Dentro",IF(DATOS_[[Check Equiparado]:[Check Equiparado]]="Sí",IF(DATOS!AW$4="Sí",(1/DATOS_[[% anualiz]:[% anualiz]]),1)*IF(DATOS!AW$5="Sí",1/DATOS_[[% normaliz]:[% normaliz]],1)*(DATOS_[Conc.Sal.19])))))))), 0)</f>
        <v>0</v>
      </c>
      <c r="AC55" s="250" t="n">
        <f aca="false" t="array" ref="AC55:AC55">IFERROR( (MEDIAN((IF(DATOS_[[Sexo]:[Sexo]]=$B55,IF(DATOS_[[AGRUP. CLAS. PROF.]:[AGRUP. CLAS. PROF.]]=$B54,IF(DATOS_[[Check Periodo Ref.]:[Check Periodo Ref.]]="Dentro",IF(DATOS_[[Check Equiparado]:[Check Equiparado]]="Sí",IF(DATOS!AX$4="Sí",(1/DATOS_[[% anualiz]:[% anualiz]]),1)*IF(DATOS!AX$5="Sí",1/DATOS_[[% normaliz]:[% normaliz]],1)*(DATOS_[Conc.Sal.20])))))))), 0)</f>
        <v>0</v>
      </c>
      <c r="AD55" s="250" t="n">
        <f aca="false" t="array" ref="AD55:AD55">IFERROR( (MEDIAN((IF(DATOS_[[Sexo]:[Sexo]]=$B55,IF(DATOS_[[AGRUP. CLAS. PROF.]:[AGRUP. CLAS. PROF.]]=$B54,IF(DATOS_[[Check Periodo Ref.]:[Check Periodo Ref.]]="Dentro",IF(DATOS_[[Check Equiparado]:[Check Equiparado]]="Sí",IF(DATOS!AY$4="Sí",(1/DATOS_[[% anualiz]:[% anualiz]]),1)*IF(DATOS!AY$5="Sí",1/DATOS_[[% normaliz]:[% normaliz]],1)*(DATOS_[Conc.Sal.21])))))))), 0)</f>
        <v>0</v>
      </c>
      <c r="AE55" s="250" t="n">
        <f aca="false" t="array" ref="AE55:AE55">IFERROR( (MEDIAN((IF(DATOS_[[Sexo]:[Sexo]]=$B55,IF(DATOS_[[AGRUP. CLAS. PROF.]:[AGRUP. CLAS. PROF.]]=$B54,IF(DATOS_[[Check Periodo Ref.]:[Check Periodo Ref.]]="Dentro",IF(DATOS_[[Check Equiparado]:[Check Equiparado]]="Sí",IF(DATOS!AZ$4="Sí",(1/DATOS_[[% anualiz]:[% anualiz]]),1)*IF(DATOS!AZ$5="Sí",1/DATOS_[[% normaliz]:[% normaliz]],1)*(DATOS_[Conc.Sal.22])))))))), 0)</f>
        <v>0</v>
      </c>
      <c r="AF55" s="250" t="n">
        <f aca="false" t="array" ref="AF55:AF55">IFERROR( (MEDIAN((IF(DATOS_[[Sexo]:[Sexo]]=$B55,IF(DATOS_[[AGRUP. CLAS. PROF.]:[AGRUP. CLAS. PROF.]]=$B54,IF(DATOS_[[Check Periodo Ref.]:[Check Periodo Ref.]]="Dentro",IF(DATOS_[[Check Equiparado]:[Check Equiparado]]="Sí",IF(DATOS!BA$4="Sí",(1/DATOS_[[% anualiz]:[% anualiz]]),1)*IF(DATOS!BA$5="Sí",1/DATOS_[[% normaliz]:[% normaliz]],1)*(DATOS_[Conc.Sal.23])))))))), 0)</f>
        <v>0</v>
      </c>
      <c r="AG55" s="250" t="n">
        <f aca="false" t="array" ref="AG55:AG55">IFERROR( (MEDIAN((IF(DATOS_[[Sexo]:[Sexo]]=$B55,IF(DATOS_[[AGRUP. CLAS. PROF.]:[AGRUP. CLAS. PROF.]]=$B54,IF(DATOS_[[Check Periodo Ref.]:[Check Periodo Ref.]]="Dentro",IF(DATOS_[[Check Equiparado]:[Check Equiparado]]="Sí",IF(DATOS!BB$4="Sí",(1/DATOS_[[% anualiz]:[% anualiz]]),1)*IF(DATOS!BB$5="Sí",1/DATOS_[[% normaliz]:[% normaliz]],1)*(DATOS_[Conc.Sal.24])))))))), 0)</f>
        <v>0</v>
      </c>
      <c r="AH55" s="250" t="n">
        <f aca="false" t="array" ref="AH55:AH55">IFERROR( (MEDIAN((IF(DATOS_[[Sexo]:[Sexo]]=$B55,IF(DATOS_[[AGRUP. CLAS. PROF.]:[AGRUP. CLAS. PROF.]]=$B54,IF(DATOS_[[Check Periodo Ref.]:[Check Periodo Ref.]]="Dentro",IF(DATOS_[[Check Equiparado]:[Check Equiparado]]="Sí",IF(DATOS!BC$4="Sí",(1/DATOS_[[% anualiz]:[% anualiz]]),1)*IF(DATOS!BC$5="Sí",1/DATOS_[[% normaliz]:[% normaliz]],1)*(DATOS_[Conc.Sal.25])))))))), 0)</f>
        <v>0</v>
      </c>
      <c r="AI55" s="250" t="n">
        <f aca="false" t="array" ref="AI55:AI55">IFERROR( (MEDIAN((IF(DATOS_[[Sexo]:[Sexo]]=$B55,IF(DATOS_[[AGRUP. CLAS. PROF.]:[AGRUP. CLAS. PROF.]]=$B54,IF(DATOS_[[Check Periodo Ref.]:[Check Periodo Ref.]]="Dentro",IF(DATOS_[[Check Equiparado]:[Check Equiparado]]="Sí",IF(DATOS!BD$4="Sí",(1/DATOS_[[% anualiz]:[% anualiz]]),1)*IF(DATOS!BD$5="Sí",1/DATOS_[[% normaliz]:[% normaliz]],1)*(DATOS_[Conc.Sal.26])))))))), 0)</f>
        <v>0</v>
      </c>
      <c r="AJ55" s="250" t="n">
        <f aca="false" t="array" ref="AJ55:AJ55">IFERROR( (MEDIAN((IF(DATOS_[[Sexo]:[Sexo]]=$B55,IF(DATOS_[[AGRUP. CLAS. PROF.]:[AGRUP. CLAS. PROF.]]=$B54,IF(DATOS_[[Check Periodo Ref.]:[Check Periodo Ref.]]="Dentro",IF(DATOS_[[Check Equiparado]:[Check Equiparado]]="Sí",IF(DATOS!BE$4="Sí",(1/DATOS_[[% anualiz]:[% anualiz]]),1)*IF(DATOS!BE$5="Sí",1/DATOS_[[% normaliz]:[% normaliz]],1)*(DATOS_[Conc.Sal.27])))))))), 0)</f>
        <v>0</v>
      </c>
      <c r="AK55" s="250" t="n">
        <f aca="false" t="array" ref="AK55:AK55">IFERROR( (MEDIAN((IF(DATOS_[[Sexo]:[Sexo]]=$B55,IF(DATOS_[[AGRUP. CLAS. PROF.]:[AGRUP. CLAS. PROF.]]=$B54,IF(DATOS_[[Check Periodo Ref.]:[Check Periodo Ref.]]="Dentro",IF(DATOS_[[Check Equiparado]:[Check Equiparado]]="Sí",IF(DATOS!BF$4="Sí",(1/DATOS_[[% anualiz]:[% anualiz]]),1)*IF(DATOS!BF$5="Sí",1/DATOS_[[% normaliz]:[% normaliz]],1)*(DATOS_[Conc.Sal.28])))))))), 0)</f>
        <v>0</v>
      </c>
      <c r="AL55" s="250" t="n">
        <f aca="false" t="array" ref="AL55:AL55">IFERROR( (MEDIAN((IF(DATOS_[[Sexo]:[Sexo]]=$B55,IF(DATOS_[[AGRUP. CLAS. PROF.]:[AGRUP. CLAS. PROF.]]=$B54,IF(DATOS_[[Check Periodo Ref.]:[Check Periodo Ref.]]="Dentro",IF(DATOS_[[Check Equiparado]:[Check Equiparado]]="Sí",IF(DATOS!BG$4="Sí",(1/DATOS_[[% anualiz]:[% anualiz]]),1)*IF(DATOS!BG$5="Sí",1/DATOS_[[% normaliz]:[% normaliz]],1)*(DATOS_[Conc.Sal.29])))))))), 0)</f>
        <v>0</v>
      </c>
      <c r="AM55" s="250" t="n">
        <f aca="false" t="array" ref="AM55:AM55">IFERROR( (MEDIAN((IF(DATOS_[[Sexo]:[Sexo]]=$B55,IF(DATOS_[[AGRUP. CLAS. PROF.]:[AGRUP. CLAS. PROF.]]=$B54,IF(DATOS_[[Check Periodo Ref.]:[Check Periodo Ref.]]="Dentro",IF(DATOS_[[Check Equiparado]:[Check Equiparado]]="Sí",IF(DATOS!BH$4="Sí",(1/DATOS_[[% anualiz]:[% anualiz]]),1)*IF(DATOS!BH$5="Sí",1/DATOS_[[% normaliz]:[% normaliz]],1)*(DATOS_[Conc.Sal.30])))))))), 0)</f>
        <v>0</v>
      </c>
      <c r="AN55" s="251" t="n">
        <f aca="false" t="array" ref="AN55:AN55">IFERROR( MEDIAN(IF(DATOS_[Sexo]=$B55,IF(DATOS_[[AGRUP. CLAS. PROF.]:[AGRUP. CLAS. PROF.]]=$B54,IF(DATOS_[Check Equiparado]="Sí",IF(DATOS_[Check Periodo Ref.]="Dentro",DATOS_[Tot COMPL.SAL Eq],0))))), 0)</f>
        <v>0</v>
      </c>
      <c r="AO55" s="252" t="n">
        <f aca="false" t="array" ref="AO55:AO55">IFERROR( MEDIAN(IF(DATOS_[Sexo]=$B55,IF(DATOS_[[AGRUP. CLAS. PROF.]:[AGRUP. CLAS. PROF.]]=$B54,IF(DATOS_[Check Equiparado]="Sí",IF(DATOS_[Check Periodo Ref.]="Dentro",DATOS_[TOTAL SALARIO Eq],0))))), 0)</f>
        <v>0</v>
      </c>
      <c r="AP55" s="259" t="n">
        <f aca="false" t="array" ref="AP55:AP55">IFERROR( (MEDIAN((IF(DATOS_[[Sexo]:[Sexo]]=$B55,IF(DATOS_[[AGRUP. CLAS. PROF.]:[AGRUP. CLAS. PROF.]]=$B54,IF(DATOS_[[Check Periodo Ref.]:[Check Periodo Ref.]]="Dentro",IF(DATOS_[[Check Equiparado]:[Check Equiparado]]="Sí",IF(DATOS!BI$4="Sí",(1/DATOS_[[% anualiz]:[% anualiz]]),1)*IF(DATOS!BI$5="Sí",1/DATOS_[[% normaliz]:[% normaliz]],1)*(DATOS_[C.Extra.01])))))))), 0)</f>
        <v>0</v>
      </c>
      <c r="AQ55" s="259" t="n">
        <f aca="false" t="array" ref="AQ55:AQ55">IFERROR( (MEDIAN((IF(DATOS_[[Sexo]:[Sexo]]=$B55,IF(DATOS_[[AGRUP. CLAS. PROF.]:[AGRUP. CLAS. PROF.]]=$B54,IF(DATOS_[[Check Periodo Ref.]:[Check Periodo Ref.]]="Dentro",IF(DATOS_[[Check Equiparado]:[Check Equiparado]]="Sí",IF(DATOS!BJ$4="Sí",(1/DATOS_[[% anualiz]:[% anualiz]]),1)*IF(DATOS!BJ$5="Sí",1/DATOS_[[% normaliz]:[% normaliz]],1)*(DATOS_[C.Extra.02])))))))), 0)</f>
        <v>0</v>
      </c>
      <c r="AR55" s="259" t="n">
        <f aca="false" t="array" ref="AR55:AR55">IFERROR( (MEDIAN((IF(DATOS_[[Sexo]:[Sexo]]=$B55,IF(DATOS_[[AGRUP. CLAS. PROF.]:[AGRUP. CLAS. PROF.]]=$B54,IF(DATOS_[[Check Periodo Ref.]:[Check Periodo Ref.]]="Dentro",IF(DATOS_[[Check Equiparado]:[Check Equiparado]]="Sí",IF(DATOS!BK$4="Sí",(1/DATOS_[[% anualiz]:[% anualiz]]),1)*IF(DATOS!BK$5="Sí",1/DATOS_[[% normaliz]:[% normaliz]],1)*(DATOS_[C.Extra.03])))))))), 0)</f>
        <v>0</v>
      </c>
      <c r="AS55" s="259" t="n">
        <f aca="false" t="array" ref="AS55:AS55">IFERROR( (MEDIAN((IF(DATOS_[[Sexo]:[Sexo]]=$B55,IF(DATOS_[[AGRUP. CLAS. PROF.]:[AGRUP. CLAS. PROF.]]=$B54,IF(DATOS_[[Check Periodo Ref.]:[Check Periodo Ref.]]="Dentro",IF(DATOS_[[Check Equiparado]:[Check Equiparado]]="Sí",IF(DATOS!BL$4="Sí",(1/DATOS_[[% anualiz]:[% anualiz]]),1)*IF(DATOS!BL$5="Sí",1/DATOS_[[% normaliz]:[% normaliz]],1)*(DATOS_[C.Extra.04])))))))), 0)</f>
        <v>0</v>
      </c>
      <c r="AT55" s="259" t="n">
        <f aca="false" t="array" ref="AT55:AT55">IFERROR( (MEDIAN((IF(DATOS_[[Sexo]:[Sexo]]=$B55,IF(DATOS_[[AGRUP. CLAS. PROF.]:[AGRUP. CLAS. PROF.]]=$B54,IF(DATOS_[[Check Periodo Ref.]:[Check Periodo Ref.]]="Dentro",IF(DATOS_[[Check Equiparado]:[Check Equiparado]]="Sí",IF(DATOS!BM$4="Sí",(1/DATOS_[[% anualiz]:[% anualiz]]),1)*IF(DATOS!BM$5="Sí",1/DATOS_[[% normaliz]:[% normaliz]],1)*(DATOS_[C.Extra.05])))))))), 0)</f>
        <v>0</v>
      </c>
      <c r="AU55" s="254" t="n">
        <f aca="false" t="array" ref="AU55:AU55">IFERROR( MEDIAN(IF(DATOS_[Sexo]=$B55,IF(DATOS_[[AGRUP. CLAS. PROF.]:[AGRUP. CLAS. PROF.]]=$B54,IF(DATOS_[Check Equiparado]="Sí",IF(DATOS_[Check Periodo Ref.]="Dentro",DATOS_[Tot Extrasalarial Eq],0))))), 0)</f>
        <v>0</v>
      </c>
      <c r="AV55" s="255" t="n">
        <f aca="false" t="array" ref="AV55:AV55">IFERROR( MEDIAN(IF(DATOS_[Sexo]=$B55,IF(DATOS_[[AGRUP. CLAS. PROF.]:[AGRUP. CLAS. PROF.]]=$B54,IF(DATOS_[Check Equiparado]="Sí",IF(DATOS_[Check Periodo Ref.]="Dentro",DATOS_[TOTAL Retrib Eq],0))))), 0)</f>
        <v>0</v>
      </c>
    </row>
    <row r="56" customFormat="false" ht="14.25" hidden="false" customHeight="false" outlineLevel="0" collapsed="false">
      <c r="A56" s="217" t="str">
        <f aca="false">+A55</f>
        <v>[ocultar]</v>
      </c>
      <c r="B56" s="323" t="s">
        <v>372</v>
      </c>
      <c r="C56" s="247" t="n">
        <f aca="false" t="array" ref="C56:C56">SUM(IF($B56=DATOS_[Sexo], IF($B54=DATOS_[AGRUP. CLAS. PROF.], IF("Dentro"=DATOS_[Check Periodo Ref.], 1/(COUNTIFS(DATOS_[Sexo],$B56,DATOS_[AGRUP. CLAS. PROF.],$B54,DATOS_[Check Periodo Ref.],"Dentro",DATOS_[id],DATOS_[id]))))))</f>
        <v>0</v>
      </c>
      <c r="D56" s="248" t="n">
        <f aca="false">COUNTIFS(DATOS_[AGRUP. CLAS. PROF.],$B54,DATOS_[Sexo],$B56,DATOS_[Check Periodo Ref.],"Dentro")</f>
        <v>0</v>
      </c>
      <c r="E56" s="248" t="n">
        <f aca="false">COUNTIFS(DATOS_[AGRUP. CLAS. PROF.],$B54,DATOS_[Sexo],$B56,DATOS_[Check Periodo Ref.],"Dentro",DATOS_[Check Nº SC Norm],"Sí")</f>
        <v>0</v>
      </c>
      <c r="F56" s="248" t="n">
        <f aca="false">COUNTIFS(DATOS_[AGRUP. CLAS. PROF.],$B54,DATOS_[Sexo],$B56,DATOS_[Check Periodo Ref.],"Dentro",DATOS_[Check Nº SC Anualiz],"Sí")</f>
        <v>0</v>
      </c>
      <c r="G56" s="248" t="n">
        <f aca="false">COUNTIFS(DATOS_[AGRUP. CLAS. PROF.],$B54,DATOS_[Sexo],$B56,DATOS_[Check Periodo Ref.],"Dentro",DATOS_[Check Nº SC Norm y Anualiz],"Sí")</f>
        <v>0</v>
      </c>
      <c r="H56" s="248" t="n">
        <f aca="false">COUNTIFS(DATOS_[AGRUP. CLAS. PROF.],$B54,DATOS_[Sexo],$B56,DATOS_[Check Periodo Ref.],"Dentro",DATOS_[Check Equiparación],"Sí")</f>
        <v>0</v>
      </c>
      <c r="I56" s="249" t="n">
        <f aca="false" t="array" ref="I56:I56">IFERROR( MEDIAN(IF(DATOS_[Sexo]=$B56,IF(DATOS_[[AGRUP. CLAS. PROF.]:[AGRUP. CLAS. PROF.]]=$B54,IF(DATOS_[Check Equiparado]="Sí",IF(DATOS_[Check Periodo Ref.]="Dentro",DATOS_[SALARIO BASE Eq],0))))), 0)</f>
        <v>0</v>
      </c>
      <c r="J56" s="250" t="n">
        <f aca="false" t="array" ref="J56:J56">IFERROR( (MEDIAN((IF(DATOS_[[Sexo]:[Sexo]]=$B56,IF(DATOS_[[AGRUP. CLAS. PROF.]:[AGRUP. CLAS. PROF.]]=$B54,IF(DATOS_[[Check Periodo Ref.]:[Check Periodo Ref.]]="Dentro",IF(DATOS_[[Check Equiparado]:[Check Equiparado]]="Sí",IF(DATOS!AE$4="Sí",(1/DATOS_[[% anualiz]:[% anualiz]]),1)*IF(DATOS!AE$5="Sí",1/DATOS_[[% normaliz]:[% normaliz]],1)*(DATOS_[Conc.Sal.01])))))))), 0)</f>
        <v>0</v>
      </c>
      <c r="K56" s="250" t="n">
        <f aca="false" t="array" ref="K56:K56">IFERROR( (MEDIAN((IF(DATOS_[[Sexo]:[Sexo]]=$B56,IF(DATOS_[[AGRUP. CLAS. PROF.]:[AGRUP. CLAS. PROF.]]=$B54,IF(DATOS_[[Check Periodo Ref.]:[Check Periodo Ref.]]="Dentro",IF(DATOS_[[Check Equiparado]:[Check Equiparado]]="Sí",IF(DATOS!AF$4="Sí",(1/DATOS_[[% anualiz]:[% anualiz]]),1)*IF(DATOS!AF$5="Sí",1/DATOS_[[% normaliz]:[% normaliz]],1)*(DATOS_[Conc.Sal.02])))))))), 0)</f>
        <v>0</v>
      </c>
      <c r="L56" s="250" t="n">
        <f aca="false" t="array" ref="L56:L56">IFERROR( (MEDIAN((IF(DATOS_[[Sexo]:[Sexo]]=$B56,IF(DATOS_[[AGRUP. CLAS. PROF.]:[AGRUP. CLAS. PROF.]]=$B54,IF(DATOS_[[Check Periodo Ref.]:[Check Periodo Ref.]]="Dentro",IF(DATOS_[[Check Equiparado]:[Check Equiparado]]="Sí",IF(DATOS!AG$4="Sí",(1/DATOS_[[% anualiz]:[% anualiz]]),1)*IF(DATOS!AG$5="Sí",1/DATOS_[[% normaliz]:[% normaliz]],1)*(DATOS_[Conc.Sal.03])))))))), 0)</f>
        <v>0</v>
      </c>
      <c r="M56" s="250" t="n">
        <f aca="false" t="array" ref="M56:M56">IFERROR( (MEDIAN((IF(DATOS_[[Sexo]:[Sexo]]=$B56,IF(DATOS_[[AGRUP. CLAS. PROF.]:[AGRUP. CLAS. PROF.]]=$B54,IF(DATOS_[[Check Periodo Ref.]:[Check Periodo Ref.]]="Dentro",IF(DATOS_[[Check Equiparado]:[Check Equiparado]]="Sí",IF(DATOS!AH$4="Sí",(1/DATOS_[[% anualiz]:[% anualiz]]),1)*IF(DATOS!AH$5="Sí",1/DATOS_[[% normaliz]:[% normaliz]],1)*(DATOS_[Conc.Sal.04])))))))), 0)</f>
        <v>0</v>
      </c>
      <c r="N56" s="250" t="n">
        <f aca="false" t="array" ref="N56:N56">IFERROR( (MEDIAN((IF(DATOS_[[Sexo]:[Sexo]]=$B56,IF(DATOS_[[AGRUP. CLAS. PROF.]:[AGRUP. CLAS. PROF.]]=$B54,IF(DATOS_[[Check Periodo Ref.]:[Check Periodo Ref.]]="Dentro",IF(DATOS_[[Check Equiparado]:[Check Equiparado]]="Sí",IF(DATOS!AI$4="Sí",(1/DATOS_[[% anualiz]:[% anualiz]]),1)*IF(DATOS!AI$5="Sí",1/DATOS_[[% normaliz]:[% normaliz]],1)*(DATOS_[Conc.Sal.05])))))))), 0)</f>
        <v>0</v>
      </c>
      <c r="O56" s="250" t="n">
        <f aca="false" t="array" ref="O56:O56">IFERROR( (MEDIAN((IF(DATOS_[[Sexo]:[Sexo]]=$B56,IF(DATOS_[[AGRUP. CLAS. PROF.]:[AGRUP. CLAS. PROF.]]=$B54,IF(DATOS_[[Check Periodo Ref.]:[Check Periodo Ref.]]="Dentro",IF(DATOS_[[Check Equiparado]:[Check Equiparado]]="Sí",IF(DATOS!AJ$4="Sí",(1/DATOS_[[% anualiz]:[% anualiz]]),1)*IF(DATOS!AJ$5="Sí",1/DATOS_[[% normaliz]:[% normaliz]],1)*(DATOS_[Conc.Sal.06])))))))), 0)</f>
        <v>0</v>
      </c>
      <c r="P56" s="250" t="n">
        <f aca="false" t="array" ref="P56:P56">IFERROR( (MEDIAN((IF(DATOS_[[Sexo]:[Sexo]]=$B56,IF(DATOS_[[AGRUP. CLAS. PROF.]:[AGRUP. CLAS. PROF.]]=$B54,IF(DATOS_[[Check Periodo Ref.]:[Check Periodo Ref.]]="Dentro",IF(DATOS_[[Check Equiparado]:[Check Equiparado]]="Sí",IF(DATOS!AK$4="Sí",(1/DATOS_[[% anualiz]:[% anualiz]]),1)*IF(DATOS!AK$5="Sí",1/DATOS_[[% normaliz]:[% normaliz]],1)*(DATOS_[Conc.Sal.07])))))))), 0)</f>
        <v>0</v>
      </c>
      <c r="Q56" s="250" t="n">
        <f aca="false" t="array" ref="Q56:Q56">IFERROR( (MEDIAN((IF(DATOS_[[Sexo]:[Sexo]]=$B56,IF(DATOS_[[AGRUP. CLAS. PROF.]:[AGRUP. CLAS. PROF.]]=$B54,IF(DATOS_[[Check Periodo Ref.]:[Check Periodo Ref.]]="Dentro",IF(DATOS_[[Check Equiparado]:[Check Equiparado]]="Sí",IF(DATOS!AL$4="Sí",(1/DATOS_[[% anualiz]:[% anualiz]]),1)*IF(DATOS!AL$5="Sí",1/DATOS_[[% normaliz]:[% normaliz]],1)*(DATOS_[Conc.Sal.08])))))))), 0)</f>
        <v>0</v>
      </c>
      <c r="R56" s="250" t="n">
        <f aca="false" t="array" ref="R56:R56">IFERROR( (MEDIAN((IF(DATOS_[[Sexo]:[Sexo]]=$B56,IF(DATOS_[[AGRUP. CLAS. PROF.]:[AGRUP. CLAS. PROF.]]=$B54,IF(DATOS_[[Check Periodo Ref.]:[Check Periodo Ref.]]="Dentro",IF(DATOS_[[Check Equiparado]:[Check Equiparado]]="Sí",IF(DATOS!AM$4="Sí",(1/DATOS_[[% anualiz]:[% anualiz]]),1)*IF(DATOS!AM$5="Sí",1/DATOS_[[% normaliz]:[% normaliz]],1)*(DATOS_[Conc.Sal.09])))))))), 0)</f>
        <v>0</v>
      </c>
      <c r="S56" s="250" t="n">
        <f aca="false" t="array" ref="S56:S56">IFERROR( (MEDIAN((IF(DATOS_[[Sexo]:[Sexo]]=$B56,IF(DATOS_[[AGRUP. CLAS. PROF.]:[AGRUP. CLAS. PROF.]]=$B54,IF(DATOS_[[Check Periodo Ref.]:[Check Periodo Ref.]]="Dentro",IF(DATOS_[[Check Equiparado]:[Check Equiparado]]="Sí",IF(DATOS!AN$4="Sí",(1/DATOS_[[% anualiz]:[% anualiz]]),1)*IF(DATOS!AN$5="Sí",1/DATOS_[[% normaliz]:[% normaliz]],1)*(DATOS_[Conc.Sal.10])))))))), 0)</f>
        <v>0</v>
      </c>
      <c r="T56" s="250" t="n">
        <f aca="false" t="array" ref="T56:T56">IFERROR( (MEDIAN((IF(DATOS_[[Sexo]:[Sexo]]=$B56,IF(DATOS_[[AGRUP. CLAS. PROF.]:[AGRUP. CLAS. PROF.]]=$B54,IF(DATOS_[[Check Periodo Ref.]:[Check Periodo Ref.]]="Dentro",IF(DATOS_[[Check Equiparado]:[Check Equiparado]]="Sí",IF(DATOS!AO$4="Sí",(1/DATOS_[[% anualiz]:[% anualiz]]),1)*IF(DATOS!AO$5="Sí",1/DATOS_[[% normaliz]:[% normaliz]],1)*(DATOS_[Conc.Sal.11])))))))), 0)</f>
        <v>0</v>
      </c>
      <c r="U56" s="250" t="n">
        <f aca="false" t="array" ref="U56:U56">IFERROR( (MEDIAN((IF(DATOS_[[Sexo]:[Sexo]]=$B56,IF(DATOS_[[AGRUP. CLAS. PROF.]:[AGRUP. CLAS. PROF.]]=$B54,IF(DATOS_[[Check Periodo Ref.]:[Check Periodo Ref.]]="Dentro",IF(DATOS_[[Check Equiparado]:[Check Equiparado]]="Sí",IF(DATOS!AP$4="Sí",(1/DATOS_[[% anualiz]:[% anualiz]]),1)*IF(DATOS!AP$5="Sí",1/DATOS_[[% normaliz]:[% normaliz]],1)*(DATOS_[Conc.Sal.12])))))))), 0)</f>
        <v>0</v>
      </c>
      <c r="V56" s="250" t="n">
        <f aca="false" t="array" ref="V56:V56">IFERROR( (MEDIAN((IF(DATOS_[[Sexo]:[Sexo]]=$B56,IF(DATOS_[[AGRUP. CLAS. PROF.]:[AGRUP. CLAS. PROF.]]=$B54,IF(DATOS_[[Check Periodo Ref.]:[Check Periodo Ref.]]="Dentro",IF(DATOS_[[Check Equiparado]:[Check Equiparado]]="Sí",IF(DATOS!AQ$4="Sí",(1/DATOS_[[% anualiz]:[% anualiz]]),1)*IF(DATOS!AQ$5="Sí",1/DATOS_[[% normaliz]:[% normaliz]],1)*(DATOS_[Conc.Sal.13])))))))), 0)</f>
        <v>0</v>
      </c>
      <c r="W56" s="250" t="n">
        <f aca="false" t="array" ref="W56:W56">IFERROR( (MEDIAN((IF(DATOS_[[Sexo]:[Sexo]]=$B56,IF(DATOS_[[AGRUP. CLAS. PROF.]:[AGRUP. CLAS. PROF.]]=$B54,IF(DATOS_[[Check Periodo Ref.]:[Check Periodo Ref.]]="Dentro",IF(DATOS_[[Check Equiparado]:[Check Equiparado]]="Sí",IF(DATOS!AR$4="Sí",(1/DATOS_[[% anualiz]:[% anualiz]]),1)*IF(DATOS!AR$5="Sí",1/DATOS_[[% normaliz]:[% normaliz]],1)*(DATOS_[Conc.Sal.14])))))))), 0)</f>
        <v>0</v>
      </c>
      <c r="X56" s="250" t="n">
        <f aca="false" t="array" ref="X56:X56">IFERROR( (MEDIAN((IF(DATOS_[[Sexo]:[Sexo]]=$B56,IF(DATOS_[[AGRUP. CLAS. PROF.]:[AGRUP. CLAS. PROF.]]=$B54,IF(DATOS_[[Check Periodo Ref.]:[Check Periodo Ref.]]="Dentro",IF(DATOS_[[Check Equiparado]:[Check Equiparado]]="Sí",IF(DATOS!AS$4="Sí",(1/DATOS_[[% anualiz]:[% anualiz]]),1)*IF(DATOS!AS$5="Sí",1/DATOS_[[% normaliz]:[% normaliz]],1)*(DATOS_[Conc.Sal.15])))))))), 0)</f>
        <v>0</v>
      </c>
      <c r="Y56" s="250" t="n">
        <f aca="false" t="array" ref="Y56:Y56">IFERROR( (MEDIAN((IF(DATOS_[[Sexo]:[Sexo]]=$B56,IF(DATOS_[[AGRUP. CLAS. PROF.]:[AGRUP. CLAS. PROF.]]=$B54,IF(DATOS_[[Check Periodo Ref.]:[Check Periodo Ref.]]="Dentro",IF(DATOS_[[Check Equiparado]:[Check Equiparado]]="Sí",IF(DATOS!AT$4="Sí",(1/DATOS_[[% anualiz]:[% anualiz]]),1)*IF(DATOS!AT$5="Sí",1/DATOS_[[% normaliz]:[% normaliz]],1)*(DATOS_[Conc.Sal.16])))))))), 0)</f>
        <v>0</v>
      </c>
      <c r="Z56" s="250" t="n">
        <f aca="false" t="array" ref="Z56:Z56">IFERROR( (MEDIAN((IF(DATOS_[[Sexo]:[Sexo]]=$B56,IF(DATOS_[[AGRUP. CLAS. PROF.]:[AGRUP. CLAS. PROF.]]=$B54,IF(DATOS_[[Check Periodo Ref.]:[Check Periodo Ref.]]="Dentro",IF(DATOS_[[Check Equiparado]:[Check Equiparado]]="Sí",IF(DATOS!AU$4="Sí",(1/DATOS_[[% anualiz]:[% anualiz]]),1)*IF(DATOS!AU$5="Sí",1/DATOS_[[% normaliz]:[% normaliz]],1)*(DATOS_[Conc.Sal.17])))))))), 0)</f>
        <v>0</v>
      </c>
      <c r="AA56" s="250" t="n">
        <f aca="false" t="array" ref="AA56:AA56">IFERROR( (MEDIAN((IF(DATOS_[[Sexo]:[Sexo]]=$B56,IF(DATOS_[[AGRUP. CLAS. PROF.]:[AGRUP. CLAS. PROF.]]=$B54,IF(DATOS_[[Check Periodo Ref.]:[Check Periodo Ref.]]="Dentro",IF(DATOS_[[Check Equiparado]:[Check Equiparado]]="Sí",IF(DATOS!AV$4="Sí",(1/DATOS_[[% anualiz]:[% anualiz]]),1)*IF(DATOS!AV$5="Sí",1/DATOS_[[% normaliz]:[% normaliz]],1)*(DATOS_[Conc.Sal.18])))))))), 0)</f>
        <v>0</v>
      </c>
      <c r="AB56" s="250" t="n">
        <f aca="false" t="array" ref="AB56:AB56">IFERROR( (MEDIAN((IF(DATOS_[[Sexo]:[Sexo]]=$B56,IF(DATOS_[[AGRUP. CLAS. PROF.]:[AGRUP. CLAS. PROF.]]=$B54,IF(DATOS_[[Check Periodo Ref.]:[Check Periodo Ref.]]="Dentro",IF(DATOS_[[Check Equiparado]:[Check Equiparado]]="Sí",IF(DATOS!AW$4="Sí",(1/DATOS_[[% anualiz]:[% anualiz]]),1)*IF(DATOS!AW$5="Sí",1/DATOS_[[% normaliz]:[% normaliz]],1)*(DATOS_[Conc.Sal.19])))))))), 0)</f>
        <v>0</v>
      </c>
      <c r="AC56" s="250" t="n">
        <f aca="false" t="array" ref="AC56:AC56">IFERROR( (MEDIAN((IF(DATOS_[[Sexo]:[Sexo]]=$B56,IF(DATOS_[[AGRUP. CLAS. PROF.]:[AGRUP. CLAS. PROF.]]=$B54,IF(DATOS_[[Check Periodo Ref.]:[Check Periodo Ref.]]="Dentro",IF(DATOS_[[Check Equiparado]:[Check Equiparado]]="Sí",IF(DATOS!AX$4="Sí",(1/DATOS_[[% anualiz]:[% anualiz]]),1)*IF(DATOS!AX$5="Sí",1/DATOS_[[% normaliz]:[% normaliz]],1)*(DATOS_[Conc.Sal.20])))))))), 0)</f>
        <v>0</v>
      </c>
      <c r="AD56" s="250" t="n">
        <f aca="false" t="array" ref="AD56:AD56">IFERROR( (MEDIAN((IF(DATOS_[[Sexo]:[Sexo]]=$B56,IF(DATOS_[[AGRUP. CLAS. PROF.]:[AGRUP. CLAS. PROF.]]=$B54,IF(DATOS_[[Check Periodo Ref.]:[Check Periodo Ref.]]="Dentro",IF(DATOS_[[Check Equiparado]:[Check Equiparado]]="Sí",IF(DATOS!AY$4="Sí",(1/DATOS_[[% anualiz]:[% anualiz]]),1)*IF(DATOS!AY$5="Sí",1/DATOS_[[% normaliz]:[% normaliz]],1)*(DATOS_[Conc.Sal.21])))))))), 0)</f>
        <v>0</v>
      </c>
      <c r="AE56" s="250" t="n">
        <f aca="false" t="array" ref="AE56:AE56">IFERROR( (MEDIAN((IF(DATOS_[[Sexo]:[Sexo]]=$B56,IF(DATOS_[[AGRUP. CLAS. PROF.]:[AGRUP. CLAS. PROF.]]=$B54,IF(DATOS_[[Check Periodo Ref.]:[Check Periodo Ref.]]="Dentro",IF(DATOS_[[Check Equiparado]:[Check Equiparado]]="Sí",IF(DATOS!AZ$4="Sí",(1/DATOS_[[% anualiz]:[% anualiz]]),1)*IF(DATOS!AZ$5="Sí",1/DATOS_[[% normaliz]:[% normaliz]],1)*(DATOS_[Conc.Sal.22])))))))), 0)</f>
        <v>0</v>
      </c>
      <c r="AF56" s="250" t="n">
        <f aca="false" t="array" ref="AF56:AF56">IFERROR( (MEDIAN((IF(DATOS_[[Sexo]:[Sexo]]=$B56,IF(DATOS_[[AGRUP. CLAS. PROF.]:[AGRUP. CLAS. PROF.]]=$B54,IF(DATOS_[[Check Periodo Ref.]:[Check Periodo Ref.]]="Dentro",IF(DATOS_[[Check Equiparado]:[Check Equiparado]]="Sí",IF(DATOS!BA$4="Sí",(1/DATOS_[[% anualiz]:[% anualiz]]),1)*IF(DATOS!BA$5="Sí",1/DATOS_[[% normaliz]:[% normaliz]],1)*(DATOS_[Conc.Sal.23])))))))), 0)</f>
        <v>0</v>
      </c>
      <c r="AG56" s="250" t="n">
        <f aca="false" t="array" ref="AG56:AG56">IFERROR( (MEDIAN((IF(DATOS_[[Sexo]:[Sexo]]=$B56,IF(DATOS_[[AGRUP. CLAS. PROF.]:[AGRUP. CLAS. PROF.]]=$B54,IF(DATOS_[[Check Periodo Ref.]:[Check Periodo Ref.]]="Dentro",IF(DATOS_[[Check Equiparado]:[Check Equiparado]]="Sí",IF(DATOS!BB$4="Sí",(1/DATOS_[[% anualiz]:[% anualiz]]),1)*IF(DATOS!BB$5="Sí",1/DATOS_[[% normaliz]:[% normaliz]],1)*(DATOS_[Conc.Sal.24])))))))), 0)</f>
        <v>0</v>
      </c>
      <c r="AH56" s="250" t="n">
        <f aca="false" t="array" ref="AH56:AH56">IFERROR( (MEDIAN((IF(DATOS_[[Sexo]:[Sexo]]=$B56,IF(DATOS_[[AGRUP. CLAS. PROF.]:[AGRUP. CLAS. PROF.]]=$B54,IF(DATOS_[[Check Periodo Ref.]:[Check Periodo Ref.]]="Dentro",IF(DATOS_[[Check Equiparado]:[Check Equiparado]]="Sí",IF(DATOS!BC$4="Sí",(1/DATOS_[[% anualiz]:[% anualiz]]),1)*IF(DATOS!BC$5="Sí",1/DATOS_[[% normaliz]:[% normaliz]],1)*(DATOS_[Conc.Sal.25])))))))), 0)</f>
        <v>0</v>
      </c>
      <c r="AI56" s="250" t="n">
        <f aca="false" t="array" ref="AI56:AI56">IFERROR( (MEDIAN((IF(DATOS_[[Sexo]:[Sexo]]=$B56,IF(DATOS_[[AGRUP. CLAS. PROF.]:[AGRUP. CLAS. PROF.]]=$B54,IF(DATOS_[[Check Periodo Ref.]:[Check Periodo Ref.]]="Dentro",IF(DATOS_[[Check Equiparado]:[Check Equiparado]]="Sí",IF(DATOS!BD$4="Sí",(1/DATOS_[[% anualiz]:[% anualiz]]),1)*IF(DATOS!BD$5="Sí",1/DATOS_[[% normaliz]:[% normaliz]],1)*(DATOS_[Conc.Sal.26])))))))), 0)</f>
        <v>0</v>
      </c>
      <c r="AJ56" s="250" t="n">
        <f aca="false" t="array" ref="AJ56:AJ56">IFERROR( (MEDIAN((IF(DATOS_[[Sexo]:[Sexo]]=$B56,IF(DATOS_[[AGRUP. CLAS. PROF.]:[AGRUP. CLAS. PROF.]]=$B54,IF(DATOS_[[Check Periodo Ref.]:[Check Periodo Ref.]]="Dentro",IF(DATOS_[[Check Equiparado]:[Check Equiparado]]="Sí",IF(DATOS!BE$4="Sí",(1/DATOS_[[% anualiz]:[% anualiz]]),1)*IF(DATOS!BE$5="Sí",1/DATOS_[[% normaliz]:[% normaliz]],1)*(DATOS_[Conc.Sal.27])))))))), 0)</f>
        <v>0</v>
      </c>
      <c r="AK56" s="250" t="n">
        <f aca="false" t="array" ref="AK56:AK56">IFERROR( (MEDIAN((IF(DATOS_[[Sexo]:[Sexo]]=$B56,IF(DATOS_[[AGRUP. CLAS. PROF.]:[AGRUP. CLAS. PROF.]]=$B54,IF(DATOS_[[Check Periodo Ref.]:[Check Periodo Ref.]]="Dentro",IF(DATOS_[[Check Equiparado]:[Check Equiparado]]="Sí",IF(DATOS!BF$4="Sí",(1/DATOS_[[% anualiz]:[% anualiz]]),1)*IF(DATOS!BF$5="Sí",1/DATOS_[[% normaliz]:[% normaliz]],1)*(DATOS_[Conc.Sal.28])))))))), 0)</f>
        <v>0</v>
      </c>
      <c r="AL56" s="250" t="n">
        <f aca="false" t="array" ref="AL56:AL56">IFERROR( (MEDIAN((IF(DATOS_[[Sexo]:[Sexo]]=$B56,IF(DATOS_[[AGRUP. CLAS. PROF.]:[AGRUP. CLAS. PROF.]]=$B54,IF(DATOS_[[Check Periodo Ref.]:[Check Periodo Ref.]]="Dentro",IF(DATOS_[[Check Equiparado]:[Check Equiparado]]="Sí",IF(DATOS!BG$4="Sí",(1/DATOS_[[% anualiz]:[% anualiz]]),1)*IF(DATOS!BG$5="Sí",1/DATOS_[[% normaliz]:[% normaliz]],1)*(DATOS_[Conc.Sal.29])))))))), 0)</f>
        <v>0</v>
      </c>
      <c r="AM56" s="250" t="n">
        <f aca="false" t="array" ref="AM56:AM56">IFERROR( (MEDIAN((IF(DATOS_[[Sexo]:[Sexo]]=$B56,IF(DATOS_[[AGRUP. CLAS. PROF.]:[AGRUP. CLAS. PROF.]]=$B54,IF(DATOS_[[Check Periodo Ref.]:[Check Periodo Ref.]]="Dentro",IF(DATOS_[[Check Equiparado]:[Check Equiparado]]="Sí",IF(DATOS!BH$4="Sí",(1/DATOS_[[% anualiz]:[% anualiz]]),1)*IF(DATOS!BH$5="Sí",1/DATOS_[[% normaliz]:[% normaliz]],1)*(DATOS_[Conc.Sal.30])))))))), 0)</f>
        <v>0</v>
      </c>
      <c r="AN56" s="251" t="n">
        <f aca="false" t="array" ref="AN56:AN56">IFERROR( MEDIAN(IF(DATOS_[Sexo]=$B56,IF(DATOS_[[AGRUP. CLAS. PROF.]:[AGRUP. CLAS. PROF.]]=$B54,IF(DATOS_[Check Equiparado]="Sí",IF(DATOS_[Check Periodo Ref.]="Dentro",DATOS_[Tot COMPL.SAL Eq],0))))), 0)</f>
        <v>0</v>
      </c>
      <c r="AO56" s="252" t="n">
        <f aca="false" t="array" ref="AO56:AO56">IFERROR( MEDIAN(IF(DATOS_[Sexo]=$B56,IF(DATOS_[[AGRUP. CLAS. PROF.]:[AGRUP. CLAS. PROF.]]=$B54,IF(DATOS_[Check Equiparado]="Sí",IF(DATOS_[Check Periodo Ref.]="Dentro",DATOS_[TOTAL SALARIO Eq],0))))), 0)</f>
        <v>0</v>
      </c>
      <c r="AP56" s="259" t="n">
        <f aca="false" t="array" ref="AP56:AP56">IFERROR( (MEDIAN((IF(DATOS_[[Sexo]:[Sexo]]=$B56,IF(DATOS_[[AGRUP. CLAS. PROF.]:[AGRUP. CLAS. PROF.]]=$B55,IF(DATOS_[[Check Periodo Ref.]:[Check Periodo Ref.]]="Dentro",IF(DATOS_[[Check Equiparado]:[Check Equiparado]]="Sí",IF(DATOS!BI$4="Sí",(1/DATOS_[[% anualiz]:[% anualiz]]),1)*IF(DATOS!BI$5="Sí",1/DATOS_[[% normaliz]:[% normaliz]],1)*(DATOS_[C.Extra.01])))))))), 0)</f>
        <v>0</v>
      </c>
      <c r="AQ56" s="259" t="n">
        <f aca="false" t="array" ref="AQ56:AQ56">IFERROR( (MEDIAN((IF(DATOS_[[Sexo]:[Sexo]]=$B56,IF(DATOS_[[AGRUP. CLAS. PROF.]:[AGRUP. CLAS. PROF.]]=$B55,IF(DATOS_[[Check Periodo Ref.]:[Check Periodo Ref.]]="Dentro",IF(DATOS_[[Check Equiparado]:[Check Equiparado]]="Sí",IF(DATOS!BJ$4="Sí",(1/DATOS_[[% anualiz]:[% anualiz]]),1)*IF(DATOS!BJ$5="Sí",1/DATOS_[[% normaliz]:[% normaliz]],1)*(DATOS_[C.Extra.02])))))))), 0)</f>
        <v>0</v>
      </c>
      <c r="AR56" s="259" t="n">
        <f aca="false" t="array" ref="AR56:AR56">IFERROR( (MEDIAN((IF(DATOS_[[Sexo]:[Sexo]]=$B56,IF(DATOS_[[AGRUP. CLAS. PROF.]:[AGRUP. CLAS. PROF.]]=$B55,IF(DATOS_[[Check Periodo Ref.]:[Check Periodo Ref.]]="Dentro",IF(DATOS_[[Check Equiparado]:[Check Equiparado]]="Sí",IF(DATOS!BK$4="Sí",(1/DATOS_[[% anualiz]:[% anualiz]]),1)*IF(DATOS!BK$5="Sí",1/DATOS_[[% normaliz]:[% normaliz]],1)*(DATOS_[C.Extra.03])))))))), 0)</f>
        <v>0</v>
      </c>
      <c r="AS56" s="259" t="n">
        <f aca="false" t="array" ref="AS56:AS56">IFERROR( (MEDIAN((IF(DATOS_[[Sexo]:[Sexo]]=$B56,IF(DATOS_[[AGRUP. CLAS. PROF.]:[AGRUP. CLAS. PROF.]]=$B55,IF(DATOS_[[Check Periodo Ref.]:[Check Periodo Ref.]]="Dentro",IF(DATOS_[[Check Equiparado]:[Check Equiparado]]="Sí",IF(DATOS!BL$4="Sí",(1/DATOS_[[% anualiz]:[% anualiz]]),1)*IF(DATOS!BL$5="Sí",1/DATOS_[[% normaliz]:[% normaliz]],1)*(DATOS_[C.Extra.04])))))))), 0)</f>
        <v>0</v>
      </c>
      <c r="AT56" s="259" t="n">
        <f aca="false" t="array" ref="AT56:AT56">IFERROR( (MEDIAN((IF(DATOS_[[Sexo]:[Sexo]]=$B56,IF(DATOS_[[AGRUP. CLAS. PROF.]:[AGRUP. CLAS. PROF.]]=$B55,IF(DATOS_[[Check Periodo Ref.]:[Check Periodo Ref.]]="Dentro",IF(DATOS_[[Check Equiparado]:[Check Equiparado]]="Sí",IF(DATOS!BM$4="Sí",(1/DATOS_[[% anualiz]:[% anualiz]]),1)*IF(DATOS!BM$5="Sí",1/DATOS_[[% normaliz]:[% normaliz]],1)*(DATOS_[C.Extra.05])))))))), 0)</f>
        <v>0</v>
      </c>
      <c r="AU56" s="254" t="n">
        <f aca="false" t="array" ref="AU56:AU56">IFERROR( MEDIAN(IF(DATOS_[Sexo]=$B56,IF(DATOS_[[AGRUP. CLAS. PROF.]:[AGRUP. CLAS. PROF.]]=$B54,IF(DATOS_[Check Equiparado]="Sí",IF(DATOS_[Check Periodo Ref.]="Dentro",DATOS_[Tot Extrasalarial Eq],0))))), 0)</f>
        <v>0</v>
      </c>
      <c r="AV56" s="255" t="n">
        <f aca="false" t="array" ref="AV56:AV56">IFERROR( MEDIAN(IF(DATOS_[Sexo]=$B56,IF(DATOS_[[AGRUP. CLAS. PROF.]:[AGRUP. CLAS. PROF.]]=$B54,IF(DATOS_[Check Equiparado]="Sí",IF(DATOS_[Check Periodo Ref.]="Dentro",DATOS_[TOTAL Retrib Eq],0))))), 0)</f>
        <v>0</v>
      </c>
    </row>
    <row r="57" customFormat="false" ht="15.75" hidden="false" customHeight="false" outlineLevel="0" collapsed="false">
      <c r="A57" s="217" t="str">
        <f aca="false">+A58</f>
        <v>[ocultar]</v>
      </c>
      <c r="B57" s="320" t="s">
        <v>210</v>
      </c>
      <c r="C57" s="236"/>
      <c r="D57" s="237"/>
      <c r="E57" s="237"/>
      <c r="F57" s="237"/>
      <c r="G57" s="237"/>
      <c r="H57" s="237"/>
      <c r="I57" s="238"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39" t="str">
        <f aca="false">IFERROR((V58-V59)/V58,"")</f>
        <v/>
      </c>
      <c r="W57" s="239" t="str">
        <f aca="false">IFERROR((W58-W59)/W58,"")</f>
        <v/>
      </c>
      <c r="X57" s="239" t="str">
        <f aca="false">IFERROR((X58-X59)/X58,"")</f>
        <v/>
      </c>
      <c r="Y57" s="239"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0" t="str">
        <f aca="false">IFERROR((AJ58-AJ59)/AJ58,"")</f>
        <v/>
      </c>
      <c r="AK57" s="240" t="str">
        <f aca="false">IFERROR((AK58-AK59)/AK58,"")</f>
        <v/>
      </c>
      <c r="AL57" s="240" t="str">
        <f aca="false">IFERROR((AL58-AL59)/AL58,"")</f>
        <v/>
      </c>
      <c r="AM57" s="240" t="str">
        <f aca="false">IFERROR((AM58-AM59)/AM58,"")</f>
        <v/>
      </c>
      <c r="AN57" s="241" t="str">
        <f aca="false">IFERROR((AN58-AN59)/AN58,"")</f>
        <v/>
      </c>
      <c r="AO57" s="242" t="str">
        <f aca="false">IFERROR((AO58-AO59)/AO58,"")</f>
        <v/>
      </c>
      <c r="AP57" s="243" t="str">
        <f aca="false">IFERROR((AP58-AP59)/AP58,"")</f>
        <v/>
      </c>
      <c r="AQ57" s="243" t="str">
        <f aca="false">IFERROR((AQ58-AQ59)/AQ58,"")</f>
        <v/>
      </c>
      <c r="AR57" s="243" t="str">
        <f aca="false">IFERROR((AR58-AR59)/AR58,"")</f>
        <v/>
      </c>
      <c r="AS57" s="243" t="str">
        <f aca="false">IFERROR((AS58-AS59)/AS58,"")</f>
        <v/>
      </c>
      <c r="AT57" s="243" t="str">
        <f aca="false">IFERROR((AT58-AT59)/AT58,"")</f>
        <v/>
      </c>
      <c r="AU57" s="244" t="str">
        <f aca="false">IFERROR((AU58-AU59)/AU58,"")</f>
        <v/>
      </c>
      <c r="AV57" s="245" t="str">
        <f aca="false">IFERROR((AV58-AV59)/AV58,"")</f>
        <v/>
      </c>
    </row>
    <row r="58" customFormat="false" ht="14.25" hidden="false" customHeight="false" outlineLevel="0" collapsed="false">
      <c r="A58" s="217" t="str">
        <f aca="false">+IF(C58+C59=0,"[ocultar]","")</f>
        <v>[ocultar]</v>
      </c>
      <c r="B58" s="323" t="s">
        <v>371</v>
      </c>
      <c r="C58" s="247" t="n">
        <f aca="false" t="array" ref="C58:C58">SUM(IF($B58=DATOS_[Sexo], IF($B57=DATOS_[AGRUP. CLAS. PROF.], IF("Dentro"=DATOS_[Check Periodo Ref.], 1/(COUNTIFS(DATOS_[Sexo],$B58,DATOS_[AGRUP. CLAS. PROF.],$B57,DATOS_[Check Periodo Ref.],"Dentro",DATOS_[id],DATOS_[id]))))))</f>
        <v>0</v>
      </c>
      <c r="D58" s="248" t="n">
        <f aca="false">COUNTIFS(DATOS_[AGRUP. CLAS. PROF.],$B57,DATOS_[Sexo],$B58,DATOS_[Check Periodo Ref.],"Dentro")</f>
        <v>0</v>
      </c>
      <c r="E58" s="248" t="n">
        <f aca="false">COUNTIFS(DATOS_[AGRUP. CLAS. PROF.],$B57,DATOS_[Sexo],$B58,DATOS_[Check Periodo Ref.],"Dentro",DATOS_[Check Nº SC Norm],"Sí")</f>
        <v>0</v>
      </c>
      <c r="F58" s="248" t="n">
        <f aca="false">COUNTIFS(DATOS_[AGRUP. CLAS. PROF.],$B57,DATOS_[Sexo],$B58,DATOS_[Check Periodo Ref.],"Dentro",DATOS_[Check Nº SC Anualiz],"Sí")</f>
        <v>0</v>
      </c>
      <c r="G58" s="248" t="n">
        <f aca="false">COUNTIFS(DATOS_[AGRUP. CLAS. PROF.],$B57,DATOS_[Sexo],$B58,DATOS_[Check Periodo Ref.],"Dentro",DATOS_[Check Nº SC Norm y Anualiz],"Sí")</f>
        <v>0</v>
      </c>
      <c r="H58" s="248" t="n">
        <f aca="false">COUNTIFS(DATOS_[AGRUP. CLAS. PROF.],$B57,DATOS_[Sexo],$B58,DATOS_[Check Periodo Ref.],"Dentro",DATOS_[Check Equiparación],"Sí")</f>
        <v>0</v>
      </c>
      <c r="I58" s="249" t="n">
        <f aca="false" t="array" ref="I58:I58">IFERROR( MEDIAN(IF(DATOS_[Sexo]=$B58,IF(DATOS_[[AGRUP. CLAS. PROF.]:[AGRUP. CLAS. PROF.]]=$B57,IF(DATOS_[Check Equiparado]="Sí",IF(DATOS_[Check Periodo Ref.]="Dentro",DATOS_[SALARIO BASE Eq],0))))), 0)</f>
        <v>0</v>
      </c>
      <c r="J58" s="250" t="n">
        <f aca="false" t="array" ref="J58:J58">IFERROR( (MEDIAN((IF(DATOS_[[Sexo]:[Sexo]]=$B58,IF(DATOS_[[AGRUP. CLAS. PROF.]:[AGRUP. CLAS. PROF.]]=$B57,IF(DATOS_[[Check Periodo Ref.]:[Check Periodo Ref.]]="Dentro",IF(DATOS_[[Check Equiparado]:[Check Equiparado]]="Sí",IF(DATOS!AE$4="Sí",(1/DATOS_[[% anualiz]:[% anualiz]]),1)*IF(DATOS!AE$5="Sí",1/DATOS_[[% normaliz]:[% normaliz]],1)*(DATOS_[Conc.Sal.01])))))))), 0)</f>
        <v>0</v>
      </c>
      <c r="K58" s="250" t="n">
        <f aca="false" t="array" ref="K58:K58">IFERROR( (MEDIAN((IF(DATOS_[[Sexo]:[Sexo]]=$B58,IF(DATOS_[[AGRUP. CLAS. PROF.]:[AGRUP. CLAS. PROF.]]=$B57,IF(DATOS_[[Check Periodo Ref.]:[Check Periodo Ref.]]="Dentro",IF(DATOS_[[Check Equiparado]:[Check Equiparado]]="Sí",IF(DATOS!AF$4="Sí",(1/DATOS_[[% anualiz]:[% anualiz]]),1)*IF(DATOS!AF$5="Sí",1/DATOS_[[% normaliz]:[% normaliz]],1)*(DATOS_[Conc.Sal.02])))))))), 0)</f>
        <v>0</v>
      </c>
      <c r="L58" s="250" t="n">
        <f aca="false" t="array" ref="L58:L58">IFERROR( (MEDIAN((IF(DATOS_[[Sexo]:[Sexo]]=$B58,IF(DATOS_[[AGRUP. CLAS. PROF.]:[AGRUP. CLAS. PROF.]]=$B57,IF(DATOS_[[Check Periodo Ref.]:[Check Periodo Ref.]]="Dentro",IF(DATOS_[[Check Equiparado]:[Check Equiparado]]="Sí",IF(DATOS!AG$4="Sí",(1/DATOS_[[% anualiz]:[% anualiz]]),1)*IF(DATOS!AG$5="Sí",1/DATOS_[[% normaliz]:[% normaliz]],1)*(DATOS_[Conc.Sal.03])))))))), 0)</f>
        <v>0</v>
      </c>
      <c r="M58" s="250" t="n">
        <f aca="false" t="array" ref="M58:M58">IFERROR( (MEDIAN((IF(DATOS_[[Sexo]:[Sexo]]=$B58,IF(DATOS_[[AGRUP. CLAS. PROF.]:[AGRUP. CLAS. PROF.]]=$B57,IF(DATOS_[[Check Periodo Ref.]:[Check Periodo Ref.]]="Dentro",IF(DATOS_[[Check Equiparado]:[Check Equiparado]]="Sí",IF(DATOS!AH$4="Sí",(1/DATOS_[[% anualiz]:[% anualiz]]),1)*IF(DATOS!AH$5="Sí",1/DATOS_[[% normaliz]:[% normaliz]],1)*(DATOS_[Conc.Sal.04])))))))), 0)</f>
        <v>0</v>
      </c>
      <c r="N58" s="250" t="n">
        <f aca="false" t="array" ref="N58:N58">IFERROR( (MEDIAN((IF(DATOS_[[Sexo]:[Sexo]]=$B58,IF(DATOS_[[AGRUP. CLAS. PROF.]:[AGRUP. CLAS. PROF.]]=$B57,IF(DATOS_[[Check Periodo Ref.]:[Check Periodo Ref.]]="Dentro",IF(DATOS_[[Check Equiparado]:[Check Equiparado]]="Sí",IF(DATOS!AI$4="Sí",(1/DATOS_[[% anualiz]:[% anualiz]]),1)*IF(DATOS!AI$5="Sí",1/DATOS_[[% normaliz]:[% normaliz]],1)*(DATOS_[Conc.Sal.05])))))))), 0)</f>
        <v>0</v>
      </c>
      <c r="O58" s="250" t="n">
        <f aca="false" t="array" ref="O58:O58">IFERROR( (MEDIAN((IF(DATOS_[[Sexo]:[Sexo]]=$B58,IF(DATOS_[[AGRUP. CLAS. PROF.]:[AGRUP. CLAS. PROF.]]=$B57,IF(DATOS_[[Check Periodo Ref.]:[Check Periodo Ref.]]="Dentro",IF(DATOS_[[Check Equiparado]:[Check Equiparado]]="Sí",IF(DATOS!AJ$4="Sí",(1/DATOS_[[% anualiz]:[% anualiz]]),1)*IF(DATOS!AJ$5="Sí",1/DATOS_[[% normaliz]:[% normaliz]],1)*(DATOS_[Conc.Sal.06])))))))), 0)</f>
        <v>0</v>
      </c>
      <c r="P58" s="250" t="n">
        <f aca="false" t="array" ref="P58:P58">IFERROR( (MEDIAN((IF(DATOS_[[Sexo]:[Sexo]]=$B58,IF(DATOS_[[AGRUP. CLAS. PROF.]:[AGRUP. CLAS. PROF.]]=$B57,IF(DATOS_[[Check Periodo Ref.]:[Check Periodo Ref.]]="Dentro",IF(DATOS_[[Check Equiparado]:[Check Equiparado]]="Sí",IF(DATOS!AK$4="Sí",(1/DATOS_[[% anualiz]:[% anualiz]]),1)*IF(DATOS!AK$5="Sí",1/DATOS_[[% normaliz]:[% normaliz]],1)*(DATOS_[Conc.Sal.07])))))))), 0)</f>
        <v>0</v>
      </c>
      <c r="Q58" s="250" t="n">
        <f aca="false" t="array" ref="Q58:Q58">IFERROR( (MEDIAN((IF(DATOS_[[Sexo]:[Sexo]]=$B58,IF(DATOS_[[AGRUP. CLAS. PROF.]:[AGRUP. CLAS. PROF.]]=$B57,IF(DATOS_[[Check Periodo Ref.]:[Check Periodo Ref.]]="Dentro",IF(DATOS_[[Check Equiparado]:[Check Equiparado]]="Sí",IF(DATOS!AL$4="Sí",(1/DATOS_[[% anualiz]:[% anualiz]]),1)*IF(DATOS!AL$5="Sí",1/DATOS_[[% normaliz]:[% normaliz]],1)*(DATOS_[Conc.Sal.08])))))))), 0)</f>
        <v>0</v>
      </c>
      <c r="R58" s="250" t="n">
        <f aca="false" t="array" ref="R58:R58">IFERROR( (MEDIAN((IF(DATOS_[[Sexo]:[Sexo]]=$B58,IF(DATOS_[[AGRUP. CLAS. PROF.]:[AGRUP. CLAS. PROF.]]=$B57,IF(DATOS_[[Check Periodo Ref.]:[Check Periodo Ref.]]="Dentro",IF(DATOS_[[Check Equiparado]:[Check Equiparado]]="Sí",IF(DATOS!AM$4="Sí",(1/DATOS_[[% anualiz]:[% anualiz]]),1)*IF(DATOS!AM$5="Sí",1/DATOS_[[% normaliz]:[% normaliz]],1)*(DATOS_[Conc.Sal.09])))))))), 0)</f>
        <v>0</v>
      </c>
      <c r="S58" s="250" t="n">
        <f aca="false" t="array" ref="S58:S58">IFERROR( (MEDIAN((IF(DATOS_[[Sexo]:[Sexo]]=$B58,IF(DATOS_[[AGRUP. CLAS. PROF.]:[AGRUP. CLAS. PROF.]]=$B57,IF(DATOS_[[Check Periodo Ref.]:[Check Periodo Ref.]]="Dentro",IF(DATOS_[[Check Equiparado]:[Check Equiparado]]="Sí",IF(DATOS!AN$4="Sí",(1/DATOS_[[% anualiz]:[% anualiz]]),1)*IF(DATOS!AN$5="Sí",1/DATOS_[[% normaliz]:[% normaliz]],1)*(DATOS_[Conc.Sal.10])))))))), 0)</f>
        <v>0</v>
      </c>
      <c r="T58" s="250" t="n">
        <f aca="false" t="array" ref="T58:T58">IFERROR( (MEDIAN((IF(DATOS_[[Sexo]:[Sexo]]=$B58,IF(DATOS_[[AGRUP. CLAS. PROF.]:[AGRUP. CLAS. PROF.]]=$B57,IF(DATOS_[[Check Periodo Ref.]:[Check Periodo Ref.]]="Dentro",IF(DATOS_[[Check Equiparado]:[Check Equiparado]]="Sí",IF(DATOS!AO$4="Sí",(1/DATOS_[[% anualiz]:[% anualiz]]),1)*IF(DATOS!AO$5="Sí",1/DATOS_[[% normaliz]:[% normaliz]],1)*(DATOS_[Conc.Sal.11])))))))), 0)</f>
        <v>0</v>
      </c>
      <c r="U58" s="250" t="n">
        <f aca="false" t="array" ref="U58:U58">IFERROR( (MEDIAN((IF(DATOS_[[Sexo]:[Sexo]]=$B58,IF(DATOS_[[AGRUP. CLAS. PROF.]:[AGRUP. CLAS. PROF.]]=$B57,IF(DATOS_[[Check Periodo Ref.]:[Check Periodo Ref.]]="Dentro",IF(DATOS_[[Check Equiparado]:[Check Equiparado]]="Sí",IF(DATOS!AP$4="Sí",(1/DATOS_[[% anualiz]:[% anualiz]]),1)*IF(DATOS!AP$5="Sí",1/DATOS_[[% normaliz]:[% normaliz]],1)*(DATOS_[Conc.Sal.12])))))))), 0)</f>
        <v>0</v>
      </c>
      <c r="V58" s="250" t="n">
        <f aca="false" t="array" ref="V58:V58">IFERROR( (MEDIAN((IF(DATOS_[[Sexo]:[Sexo]]=$B58,IF(DATOS_[[AGRUP. CLAS. PROF.]:[AGRUP. CLAS. PROF.]]=$B57,IF(DATOS_[[Check Periodo Ref.]:[Check Periodo Ref.]]="Dentro",IF(DATOS_[[Check Equiparado]:[Check Equiparado]]="Sí",IF(DATOS!AQ$4="Sí",(1/DATOS_[[% anualiz]:[% anualiz]]),1)*IF(DATOS!AQ$5="Sí",1/DATOS_[[% normaliz]:[% normaliz]],1)*(DATOS_[Conc.Sal.13])))))))), 0)</f>
        <v>0</v>
      </c>
      <c r="W58" s="250" t="n">
        <f aca="false" t="array" ref="W58:W58">IFERROR( (MEDIAN((IF(DATOS_[[Sexo]:[Sexo]]=$B58,IF(DATOS_[[AGRUP. CLAS. PROF.]:[AGRUP. CLAS. PROF.]]=$B57,IF(DATOS_[[Check Periodo Ref.]:[Check Periodo Ref.]]="Dentro",IF(DATOS_[[Check Equiparado]:[Check Equiparado]]="Sí",IF(DATOS!AR$4="Sí",(1/DATOS_[[% anualiz]:[% anualiz]]),1)*IF(DATOS!AR$5="Sí",1/DATOS_[[% normaliz]:[% normaliz]],1)*(DATOS_[Conc.Sal.14])))))))), 0)</f>
        <v>0</v>
      </c>
      <c r="X58" s="250" t="n">
        <f aca="false" t="array" ref="X58:X58">IFERROR( (MEDIAN((IF(DATOS_[[Sexo]:[Sexo]]=$B58,IF(DATOS_[[AGRUP. CLAS. PROF.]:[AGRUP. CLAS. PROF.]]=$B57,IF(DATOS_[[Check Periodo Ref.]:[Check Periodo Ref.]]="Dentro",IF(DATOS_[[Check Equiparado]:[Check Equiparado]]="Sí",IF(DATOS!AS$4="Sí",(1/DATOS_[[% anualiz]:[% anualiz]]),1)*IF(DATOS!AS$5="Sí",1/DATOS_[[% normaliz]:[% normaliz]],1)*(DATOS_[Conc.Sal.15])))))))), 0)</f>
        <v>0</v>
      </c>
      <c r="Y58" s="250" t="n">
        <f aca="false" t="array" ref="Y58:Y58">IFERROR( (MEDIAN((IF(DATOS_[[Sexo]:[Sexo]]=$B58,IF(DATOS_[[AGRUP. CLAS. PROF.]:[AGRUP. CLAS. PROF.]]=$B57,IF(DATOS_[[Check Periodo Ref.]:[Check Periodo Ref.]]="Dentro",IF(DATOS_[[Check Equiparado]:[Check Equiparado]]="Sí",IF(DATOS!AT$4="Sí",(1/DATOS_[[% anualiz]:[% anualiz]]),1)*IF(DATOS!AT$5="Sí",1/DATOS_[[% normaliz]:[% normaliz]],1)*(DATOS_[Conc.Sal.16])))))))), 0)</f>
        <v>0</v>
      </c>
      <c r="Z58" s="250" t="n">
        <f aca="false" t="array" ref="Z58:Z58">IFERROR( (MEDIAN((IF(DATOS_[[Sexo]:[Sexo]]=$B58,IF(DATOS_[[AGRUP. CLAS. PROF.]:[AGRUP. CLAS. PROF.]]=$B57,IF(DATOS_[[Check Periodo Ref.]:[Check Periodo Ref.]]="Dentro",IF(DATOS_[[Check Equiparado]:[Check Equiparado]]="Sí",IF(DATOS!AU$4="Sí",(1/DATOS_[[% anualiz]:[% anualiz]]),1)*IF(DATOS!AU$5="Sí",1/DATOS_[[% normaliz]:[% normaliz]],1)*(DATOS_[Conc.Sal.17])))))))), 0)</f>
        <v>0</v>
      </c>
      <c r="AA58" s="250" t="n">
        <f aca="false" t="array" ref="AA58:AA58">IFERROR( (MEDIAN((IF(DATOS_[[Sexo]:[Sexo]]=$B58,IF(DATOS_[[AGRUP. CLAS. PROF.]:[AGRUP. CLAS. PROF.]]=$B57,IF(DATOS_[[Check Periodo Ref.]:[Check Periodo Ref.]]="Dentro",IF(DATOS_[[Check Equiparado]:[Check Equiparado]]="Sí",IF(DATOS!AV$4="Sí",(1/DATOS_[[% anualiz]:[% anualiz]]),1)*IF(DATOS!AV$5="Sí",1/DATOS_[[% normaliz]:[% normaliz]],1)*(DATOS_[Conc.Sal.18])))))))), 0)</f>
        <v>0</v>
      </c>
      <c r="AB58" s="250" t="n">
        <f aca="false" t="array" ref="AB58:AB58">IFERROR( (MEDIAN((IF(DATOS_[[Sexo]:[Sexo]]=$B58,IF(DATOS_[[AGRUP. CLAS. PROF.]:[AGRUP. CLAS. PROF.]]=$B57,IF(DATOS_[[Check Periodo Ref.]:[Check Periodo Ref.]]="Dentro",IF(DATOS_[[Check Equiparado]:[Check Equiparado]]="Sí",IF(DATOS!AW$4="Sí",(1/DATOS_[[% anualiz]:[% anualiz]]),1)*IF(DATOS!AW$5="Sí",1/DATOS_[[% normaliz]:[% normaliz]],1)*(DATOS_[Conc.Sal.19])))))))), 0)</f>
        <v>0</v>
      </c>
      <c r="AC58" s="250" t="n">
        <f aca="false" t="array" ref="AC58:AC58">IFERROR( (MEDIAN((IF(DATOS_[[Sexo]:[Sexo]]=$B58,IF(DATOS_[[AGRUP. CLAS. PROF.]:[AGRUP. CLAS. PROF.]]=$B57,IF(DATOS_[[Check Periodo Ref.]:[Check Periodo Ref.]]="Dentro",IF(DATOS_[[Check Equiparado]:[Check Equiparado]]="Sí",IF(DATOS!AX$4="Sí",(1/DATOS_[[% anualiz]:[% anualiz]]),1)*IF(DATOS!AX$5="Sí",1/DATOS_[[% normaliz]:[% normaliz]],1)*(DATOS_[Conc.Sal.20])))))))), 0)</f>
        <v>0</v>
      </c>
      <c r="AD58" s="250" t="n">
        <f aca="false" t="array" ref="AD58:AD58">IFERROR( (MEDIAN((IF(DATOS_[[Sexo]:[Sexo]]=$B58,IF(DATOS_[[AGRUP. CLAS. PROF.]:[AGRUP. CLAS. PROF.]]=$B57,IF(DATOS_[[Check Periodo Ref.]:[Check Periodo Ref.]]="Dentro",IF(DATOS_[[Check Equiparado]:[Check Equiparado]]="Sí",IF(DATOS!AY$4="Sí",(1/DATOS_[[% anualiz]:[% anualiz]]),1)*IF(DATOS!AY$5="Sí",1/DATOS_[[% normaliz]:[% normaliz]],1)*(DATOS_[Conc.Sal.21])))))))), 0)</f>
        <v>0</v>
      </c>
      <c r="AE58" s="250" t="n">
        <f aca="false" t="array" ref="AE58:AE58">IFERROR( (MEDIAN((IF(DATOS_[[Sexo]:[Sexo]]=$B58,IF(DATOS_[[AGRUP. CLAS. PROF.]:[AGRUP. CLAS. PROF.]]=$B57,IF(DATOS_[[Check Periodo Ref.]:[Check Periodo Ref.]]="Dentro",IF(DATOS_[[Check Equiparado]:[Check Equiparado]]="Sí",IF(DATOS!AZ$4="Sí",(1/DATOS_[[% anualiz]:[% anualiz]]),1)*IF(DATOS!AZ$5="Sí",1/DATOS_[[% normaliz]:[% normaliz]],1)*(DATOS_[Conc.Sal.22])))))))), 0)</f>
        <v>0</v>
      </c>
      <c r="AF58" s="250" t="n">
        <f aca="false" t="array" ref="AF58:AF58">IFERROR( (MEDIAN((IF(DATOS_[[Sexo]:[Sexo]]=$B58,IF(DATOS_[[AGRUP. CLAS. PROF.]:[AGRUP. CLAS. PROF.]]=$B57,IF(DATOS_[[Check Periodo Ref.]:[Check Periodo Ref.]]="Dentro",IF(DATOS_[[Check Equiparado]:[Check Equiparado]]="Sí",IF(DATOS!BA$4="Sí",(1/DATOS_[[% anualiz]:[% anualiz]]),1)*IF(DATOS!BA$5="Sí",1/DATOS_[[% normaliz]:[% normaliz]],1)*(DATOS_[Conc.Sal.23])))))))), 0)</f>
        <v>0</v>
      </c>
      <c r="AG58" s="250" t="n">
        <f aca="false" t="array" ref="AG58:AG58">IFERROR( (MEDIAN((IF(DATOS_[[Sexo]:[Sexo]]=$B58,IF(DATOS_[[AGRUP. CLAS. PROF.]:[AGRUP. CLAS. PROF.]]=$B57,IF(DATOS_[[Check Periodo Ref.]:[Check Periodo Ref.]]="Dentro",IF(DATOS_[[Check Equiparado]:[Check Equiparado]]="Sí",IF(DATOS!BB$4="Sí",(1/DATOS_[[% anualiz]:[% anualiz]]),1)*IF(DATOS!BB$5="Sí",1/DATOS_[[% normaliz]:[% normaliz]],1)*(DATOS_[Conc.Sal.24])))))))), 0)</f>
        <v>0</v>
      </c>
      <c r="AH58" s="250" t="n">
        <f aca="false" t="array" ref="AH58:AH58">IFERROR( (MEDIAN((IF(DATOS_[[Sexo]:[Sexo]]=$B58,IF(DATOS_[[AGRUP. CLAS. PROF.]:[AGRUP. CLAS. PROF.]]=$B57,IF(DATOS_[[Check Periodo Ref.]:[Check Periodo Ref.]]="Dentro",IF(DATOS_[[Check Equiparado]:[Check Equiparado]]="Sí",IF(DATOS!BC$4="Sí",(1/DATOS_[[% anualiz]:[% anualiz]]),1)*IF(DATOS!BC$5="Sí",1/DATOS_[[% normaliz]:[% normaliz]],1)*(DATOS_[Conc.Sal.25])))))))), 0)</f>
        <v>0</v>
      </c>
      <c r="AI58" s="250" t="n">
        <f aca="false" t="array" ref="AI58:AI58">IFERROR( (MEDIAN((IF(DATOS_[[Sexo]:[Sexo]]=$B58,IF(DATOS_[[AGRUP. CLAS. PROF.]:[AGRUP. CLAS. PROF.]]=$B57,IF(DATOS_[[Check Periodo Ref.]:[Check Periodo Ref.]]="Dentro",IF(DATOS_[[Check Equiparado]:[Check Equiparado]]="Sí",IF(DATOS!BD$4="Sí",(1/DATOS_[[% anualiz]:[% anualiz]]),1)*IF(DATOS!BD$5="Sí",1/DATOS_[[% normaliz]:[% normaliz]],1)*(DATOS_[Conc.Sal.26])))))))), 0)</f>
        <v>0</v>
      </c>
      <c r="AJ58" s="250" t="n">
        <f aca="false" t="array" ref="AJ58:AJ58">IFERROR( (MEDIAN((IF(DATOS_[[Sexo]:[Sexo]]=$B58,IF(DATOS_[[AGRUP. CLAS. PROF.]:[AGRUP. CLAS. PROF.]]=$B57,IF(DATOS_[[Check Periodo Ref.]:[Check Periodo Ref.]]="Dentro",IF(DATOS_[[Check Equiparado]:[Check Equiparado]]="Sí",IF(DATOS!BE$4="Sí",(1/DATOS_[[% anualiz]:[% anualiz]]),1)*IF(DATOS!BE$5="Sí",1/DATOS_[[% normaliz]:[% normaliz]],1)*(DATOS_[Conc.Sal.27])))))))), 0)</f>
        <v>0</v>
      </c>
      <c r="AK58" s="250" t="n">
        <f aca="false" t="array" ref="AK58:AK58">IFERROR( (MEDIAN((IF(DATOS_[[Sexo]:[Sexo]]=$B58,IF(DATOS_[[AGRUP. CLAS. PROF.]:[AGRUP. CLAS. PROF.]]=$B57,IF(DATOS_[[Check Periodo Ref.]:[Check Periodo Ref.]]="Dentro",IF(DATOS_[[Check Equiparado]:[Check Equiparado]]="Sí",IF(DATOS!BF$4="Sí",(1/DATOS_[[% anualiz]:[% anualiz]]),1)*IF(DATOS!BF$5="Sí",1/DATOS_[[% normaliz]:[% normaliz]],1)*(DATOS_[Conc.Sal.28])))))))), 0)</f>
        <v>0</v>
      </c>
      <c r="AL58" s="250" t="n">
        <f aca="false" t="array" ref="AL58:AL58">IFERROR( (MEDIAN((IF(DATOS_[[Sexo]:[Sexo]]=$B58,IF(DATOS_[[AGRUP. CLAS. PROF.]:[AGRUP. CLAS. PROF.]]=$B57,IF(DATOS_[[Check Periodo Ref.]:[Check Periodo Ref.]]="Dentro",IF(DATOS_[[Check Equiparado]:[Check Equiparado]]="Sí",IF(DATOS!BG$4="Sí",(1/DATOS_[[% anualiz]:[% anualiz]]),1)*IF(DATOS!BG$5="Sí",1/DATOS_[[% normaliz]:[% normaliz]],1)*(DATOS_[Conc.Sal.29])))))))), 0)</f>
        <v>0</v>
      </c>
      <c r="AM58" s="250" t="n">
        <f aca="false" t="array" ref="AM58:AM58">IFERROR( (MEDIAN((IF(DATOS_[[Sexo]:[Sexo]]=$B58,IF(DATOS_[[AGRUP. CLAS. PROF.]:[AGRUP. CLAS. PROF.]]=$B57,IF(DATOS_[[Check Periodo Ref.]:[Check Periodo Ref.]]="Dentro",IF(DATOS_[[Check Equiparado]:[Check Equiparado]]="Sí",IF(DATOS!BH$4="Sí",(1/DATOS_[[% anualiz]:[% anualiz]]),1)*IF(DATOS!BH$5="Sí",1/DATOS_[[% normaliz]:[% normaliz]],1)*(DATOS_[Conc.Sal.30])))))))), 0)</f>
        <v>0</v>
      </c>
      <c r="AN58" s="251" t="n">
        <f aca="false" t="array" ref="AN58:AN58">IFERROR( MEDIAN(IF(DATOS_[Sexo]=$B58,IF(DATOS_[[AGRUP. CLAS. PROF.]:[AGRUP. CLAS. PROF.]]=$B57,IF(DATOS_[Check Equiparado]="Sí",IF(DATOS_[Check Periodo Ref.]="Dentro",DATOS_[Tot COMPL.SAL Eq],0))))), 0)</f>
        <v>0</v>
      </c>
      <c r="AO58" s="252" t="n">
        <f aca="false" t="array" ref="AO58:AO58">IFERROR( MEDIAN(IF(DATOS_[Sexo]=$B58,IF(DATOS_[[AGRUP. CLAS. PROF.]:[AGRUP. CLAS. PROF.]]=$B57,IF(DATOS_[Check Equiparado]="Sí",IF(DATOS_[Check Periodo Ref.]="Dentro",DATOS_[TOTAL SALARIO Eq],0))))), 0)</f>
        <v>0</v>
      </c>
      <c r="AP58" s="259" t="n">
        <f aca="false" t="array" ref="AP58:AP58">IFERROR( (MEDIAN((IF(DATOS_[[Sexo]:[Sexo]]=$B58,IF(DATOS_[[AGRUP. CLAS. PROF.]:[AGRUP. CLAS. PROF.]]=$B57,IF(DATOS_[[Check Periodo Ref.]:[Check Periodo Ref.]]="Dentro",IF(DATOS_[[Check Equiparado]:[Check Equiparado]]="Sí",IF(DATOS!BI$4="Sí",(1/DATOS_[[% anualiz]:[% anualiz]]),1)*IF(DATOS!BI$5="Sí",1/DATOS_[[% normaliz]:[% normaliz]],1)*(DATOS_[C.Extra.01])))))))), 0)</f>
        <v>0</v>
      </c>
      <c r="AQ58" s="259" t="n">
        <f aca="false" t="array" ref="AQ58:AQ58">IFERROR( (MEDIAN((IF(DATOS_[[Sexo]:[Sexo]]=$B58,IF(DATOS_[[AGRUP. CLAS. PROF.]:[AGRUP. CLAS. PROF.]]=$B57,IF(DATOS_[[Check Periodo Ref.]:[Check Periodo Ref.]]="Dentro",IF(DATOS_[[Check Equiparado]:[Check Equiparado]]="Sí",IF(DATOS!BJ$4="Sí",(1/DATOS_[[% anualiz]:[% anualiz]]),1)*IF(DATOS!BJ$5="Sí",1/DATOS_[[% normaliz]:[% normaliz]],1)*(DATOS_[C.Extra.02])))))))), 0)</f>
        <v>0</v>
      </c>
      <c r="AR58" s="259" t="n">
        <f aca="false" t="array" ref="AR58:AR58">IFERROR( (MEDIAN((IF(DATOS_[[Sexo]:[Sexo]]=$B58,IF(DATOS_[[AGRUP. CLAS. PROF.]:[AGRUP. CLAS. PROF.]]=$B57,IF(DATOS_[[Check Periodo Ref.]:[Check Periodo Ref.]]="Dentro",IF(DATOS_[[Check Equiparado]:[Check Equiparado]]="Sí",IF(DATOS!BK$4="Sí",(1/DATOS_[[% anualiz]:[% anualiz]]),1)*IF(DATOS!BK$5="Sí",1/DATOS_[[% normaliz]:[% normaliz]],1)*(DATOS_[C.Extra.03])))))))), 0)</f>
        <v>0</v>
      </c>
      <c r="AS58" s="259" t="n">
        <f aca="false" t="array" ref="AS58:AS58">IFERROR( (MEDIAN((IF(DATOS_[[Sexo]:[Sexo]]=$B58,IF(DATOS_[[AGRUP. CLAS. PROF.]:[AGRUP. CLAS. PROF.]]=$B57,IF(DATOS_[[Check Periodo Ref.]:[Check Periodo Ref.]]="Dentro",IF(DATOS_[[Check Equiparado]:[Check Equiparado]]="Sí",IF(DATOS!BL$4="Sí",(1/DATOS_[[% anualiz]:[% anualiz]]),1)*IF(DATOS!BL$5="Sí",1/DATOS_[[% normaliz]:[% normaliz]],1)*(DATOS_[C.Extra.04])))))))), 0)</f>
        <v>0</v>
      </c>
      <c r="AT58" s="259" t="n">
        <f aca="false" t="array" ref="AT58:AT58">IFERROR( (MEDIAN((IF(DATOS_[[Sexo]:[Sexo]]=$B58,IF(DATOS_[[AGRUP. CLAS. PROF.]:[AGRUP. CLAS. PROF.]]=$B57,IF(DATOS_[[Check Periodo Ref.]:[Check Periodo Ref.]]="Dentro",IF(DATOS_[[Check Equiparado]:[Check Equiparado]]="Sí",IF(DATOS!BM$4="Sí",(1/DATOS_[[% anualiz]:[% anualiz]]),1)*IF(DATOS!BM$5="Sí",1/DATOS_[[% normaliz]:[% normaliz]],1)*(DATOS_[C.Extra.05])))))))), 0)</f>
        <v>0</v>
      </c>
      <c r="AU58" s="254" t="n">
        <f aca="false" t="array" ref="AU58:AU58">IFERROR( MEDIAN(IF(DATOS_[Sexo]=$B58,IF(DATOS_[[AGRUP. CLAS. PROF.]:[AGRUP. CLAS. PROF.]]=$B57,IF(DATOS_[Check Equiparado]="Sí",IF(DATOS_[Check Periodo Ref.]="Dentro",DATOS_[Tot Extrasalarial Eq],0))))), 0)</f>
        <v>0</v>
      </c>
      <c r="AV58" s="255" t="n">
        <f aca="false" t="array" ref="AV58:AV58">IFERROR( MEDIAN(IF(DATOS_[Sexo]=$B58,IF(DATOS_[[AGRUP. CLAS. PROF.]:[AGRUP. CLAS. PROF.]]=$B57,IF(DATOS_[Check Equiparado]="Sí",IF(DATOS_[Check Periodo Ref.]="Dentro",DATOS_[TOTAL Retrib Eq],0))))), 0)</f>
        <v>0</v>
      </c>
    </row>
    <row r="59" customFormat="false" ht="14.25" hidden="false" customHeight="false" outlineLevel="0" collapsed="false">
      <c r="A59" s="217" t="str">
        <f aca="false">+A58</f>
        <v>[ocultar]</v>
      </c>
      <c r="B59" s="323" t="s">
        <v>372</v>
      </c>
      <c r="C59" s="247" t="n">
        <f aca="false" t="array" ref="C59:C59">SUM(IF($B59=DATOS_[Sexo], IF($B57=DATOS_[AGRUP. CLAS. PROF.], IF("Dentro"=DATOS_[Check Periodo Ref.], 1/(COUNTIFS(DATOS_[Sexo],$B59,DATOS_[AGRUP. CLAS. PROF.],$B57,DATOS_[Check Periodo Ref.],"Dentro",DATOS_[id],DATOS_[id]))))))</f>
        <v>0</v>
      </c>
      <c r="D59" s="248" t="n">
        <f aca="false">COUNTIFS(DATOS_[AGRUP. CLAS. PROF.],$B57,DATOS_[Sexo],$B59,DATOS_[Check Periodo Ref.],"Dentro")</f>
        <v>0</v>
      </c>
      <c r="E59" s="248" t="n">
        <f aca="false">COUNTIFS(DATOS_[AGRUP. CLAS. PROF.],$B57,DATOS_[Sexo],$B59,DATOS_[Check Periodo Ref.],"Dentro",DATOS_[Check Nº SC Norm],"Sí")</f>
        <v>0</v>
      </c>
      <c r="F59" s="248" t="n">
        <f aca="false">COUNTIFS(DATOS_[AGRUP. CLAS. PROF.],$B57,DATOS_[Sexo],$B59,DATOS_[Check Periodo Ref.],"Dentro",DATOS_[Check Nº SC Anualiz],"Sí")</f>
        <v>0</v>
      </c>
      <c r="G59" s="248" t="n">
        <f aca="false">COUNTIFS(DATOS_[AGRUP. CLAS. PROF.],$B57,DATOS_[Sexo],$B59,DATOS_[Check Periodo Ref.],"Dentro",DATOS_[Check Nº SC Norm y Anualiz],"Sí")</f>
        <v>0</v>
      </c>
      <c r="H59" s="248" t="n">
        <f aca="false">COUNTIFS(DATOS_[AGRUP. CLAS. PROF.],$B57,DATOS_[Sexo],$B59,DATOS_[Check Periodo Ref.],"Dentro",DATOS_[Check Equiparación],"Sí")</f>
        <v>0</v>
      </c>
      <c r="I59" s="249" t="n">
        <f aca="false" t="array" ref="I59:I59">IFERROR( MEDIAN(IF(DATOS_[Sexo]=$B59,IF(DATOS_[[AGRUP. CLAS. PROF.]:[AGRUP. CLAS. PROF.]]=$B57,IF(DATOS_[Check Equiparado]="Sí",IF(DATOS_[Check Periodo Ref.]="Dentro",DATOS_[SALARIO BASE Eq],0))))), 0)</f>
        <v>0</v>
      </c>
      <c r="J59" s="250" t="n">
        <f aca="false" t="array" ref="J59:J59">IFERROR( (MEDIAN((IF(DATOS_[[Sexo]:[Sexo]]=$B59,IF(DATOS_[[AGRUP. CLAS. PROF.]:[AGRUP. CLAS. PROF.]]=$B57,IF(DATOS_[[Check Periodo Ref.]:[Check Periodo Ref.]]="Dentro",IF(DATOS_[[Check Equiparado]:[Check Equiparado]]="Sí",IF(DATOS!AE$4="Sí",(1/DATOS_[[% anualiz]:[% anualiz]]),1)*IF(DATOS!AE$5="Sí",1/DATOS_[[% normaliz]:[% normaliz]],1)*(DATOS_[Conc.Sal.01])))))))), 0)</f>
        <v>0</v>
      </c>
      <c r="K59" s="250" t="n">
        <f aca="false" t="array" ref="K59:K59">IFERROR( (MEDIAN((IF(DATOS_[[Sexo]:[Sexo]]=$B59,IF(DATOS_[[AGRUP. CLAS. PROF.]:[AGRUP. CLAS. PROF.]]=$B57,IF(DATOS_[[Check Periodo Ref.]:[Check Periodo Ref.]]="Dentro",IF(DATOS_[[Check Equiparado]:[Check Equiparado]]="Sí",IF(DATOS!AF$4="Sí",(1/DATOS_[[% anualiz]:[% anualiz]]),1)*IF(DATOS!AF$5="Sí",1/DATOS_[[% normaliz]:[% normaliz]],1)*(DATOS_[Conc.Sal.02])))))))), 0)</f>
        <v>0</v>
      </c>
      <c r="L59" s="250" t="n">
        <f aca="false" t="array" ref="L59:L59">IFERROR( (MEDIAN((IF(DATOS_[[Sexo]:[Sexo]]=$B59,IF(DATOS_[[AGRUP. CLAS. PROF.]:[AGRUP. CLAS. PROF.]]=$B57,IF(DATOS_[[Check Periodo Ref.]:[Check Periodo Ref.]]="Dentro",IF(DATOS_[[Check Equiparado]:[Check Equiparado]]="Sí",IF(DATOS!AG$4="Sí",(1/DATOS_[[% anualiz]:[% anualiz]]),1)*IF(DATOS!AG$5="Sí",1/DATOS_[[% normaliz]:[% normaliz]],1)*(DATOS_[Conc.Sal.03])))))))), 0)</f>
        <v>0</v>
      </c>
      <c r="M59" s="250" t="n">
        <f aca="false" t="array" ref="M59:M59">IFERROR( (MEDIAN((IF(DATOS_[[Sexo]:[Sexo]]=$B59,IF(DATOS_[[AGRUP. CLAS. PROF.]:[AGRUP. CLAS. PROF.]]=$B57,IF(DATOS_[[Check Periodo Ref.]:[Check Periodo Ref.]]="Dentro",IF(DATOS_[[Check Equiparado]:[Check Equiparado]]="Sí",IF(DATOS!AH$4="Sí",(1/DATOS_[[% anualiz]:[% anualiz]]),1)*IF(DATOS!AH$5="Sí",1/DATOS_[[% normaliz]:[% normaliz]],1)*(DATOS_[Conc.Sal.04])))))))), 0)</f>
        <v>0</v>
      </c>
      <c r="N59" s="250" t="n">
        <f aca="false" t="array" ref="N59:N59">IFERROR( (MEDIAN((IF(DATOS_[[Sexo]:[Sexo]]=$B59,IF(DATOS_[[AGRUP. CLAS. PROF.]:[AGRUP. CLAS. PROF.]]=$B57,IF(DATOS_[[Check Periodo Ref.]:[Check Periodo Ref.]]="Dentro",IF(DATOS_[[Check Equiparado]:[Check Equiparado]]="Sí",IF(DATOS!AI$4="Sí",(1/DATOS_[[% anualiz]:[% anualiz]]),1)*IF(DATOS!AI$5="Sí",1/DATOS_[[% normaliz]:[% normaliz]],1)*(DATOS_[Conc.Sal.05])))))))), 0)</f>
        <v>0</v>
      </c>
      <c r="O59" s="250" t="n">
        <f aca="false" t="array" ref="O59:O59">IFERROR( (MEDIAN((IF(DATOS_[[Sexo]:[Sexo]]=$B59,IF(DATOS_[[AGRUP. CLAS. PROF.]:[AGRUP. CLAS. PROF.]]=$B57,IF(DATOS_[[Check Periodo Ref.]:[Check Periodo Ref.]]="Dentro",IF(DATOS_[[Check Equiparado]:[Check Equiparado]]="Sí",IF(DATOS!AJ$4="Sí",(1/DATOS_[[% anualiz]:[% anualiz]]),1)*IF(DATOS!AJ$5="Sí",1/DATOS_[[% normaliz]:[% normaliz]],1)*(DATOS_[Conc.Sal.06])))))))), 0)</f>
        <v>0</v>
      </c>
      <c r="P59" s="250" t="n">
        <f aca="false" t="array" ref="P59:P59">IFERROR( (MEDIAN((IF(DATOS_[[Sexo]:[Sexo]]=$B59,IF(DATOS_[[AGRUP. CLAS. PROF.]:[AGRUP. CLAS. PROF.]]=$B57,IF(DATOS_[[Check Periodo Ref.]:[Check Periodo Ref.]]="Dentro",IF(DATOS_[[Check Equiparado]:[Check Equiparado]]="Sí",IF(DATOS!AK$4="Sí",(1/DATOS_[[% anualiz]:[% anualiz]]),1)*IF(DATOS!AK$5="Sí",1/DATOS_[[% normaliz]:[% normaliz]],1)*(DATOS_[Conc.Sal.07])))))))), 0)</f>
        <v>0</v>
      </c>
      <c r="Q59" s="250" t="n">
        <f aca="false" t="array" ref="Q59:Q59">IFERROR( (MEDIAN((IF(DATOS_[[Sexo]:[Sexo]]=$B59,IF(DATOS_[[AGRUP. CLAS. PROF.]:[AGRUP. CLAS. PROF.]]=$B57,IF(DATOS_[[Check Periodo Ref.]:[Check Periodo Ref.]]="Dentro",IF(DATOS_[[Check Equiparado]:[Check Equiparado]]="Sí",IF(DATOS!AL$4="Sí",(1/DATOS_[[% anualiz]:[% anualiz]]),1)*IF(DATOS!AL$5="Sí",1/DATOS_[[% normaliz]:[% normaliz]],1)*(DATOS_[Conc.Sal.08])))))))), 0)</f>
        <v>0</v>
      </c>
      <c r="R59" s="250" t="n">
        <f aca="false" t="array" ref="R59:R59">IFERROR( (MEDIAN((IF(DATOS_[[Sexo]:[Sexo]]=$B59,IF(DATOS_[[AGRUP. CLAS. PROF.]:[AGRUP. CLAS. PROF.]]=$B57,IF(DATOS_[[Check Periodo Ref.]:[Check Periodo Ref.]]="Dentro",IF(DATOS_[[Check Equiparado]:[Check Equiparado]]="Sí",IF(DATOS!AM$4="Sí",(1/DATOS_[[% anualiz]:[% anualiz]]),1)*IF(DATOS!AM$5="Sí",1/DATOS_[[% normaliz]:[% normaliz]],1)*(DATOS_[Conc.Sal.09])))))))), 0)</f>
        <v>0</v>
      </c>
      <c r="S59" s="250" t="n">
        <f aca="false" t="array" ref="S59:S59">IFERROR( (MEDIAN((IF(DATOS_[[Sexo]:[Sexo]]=$B59,IF(DATOS_[[AGRUP. CLAS. PROF.]:[AGRUP. CLAS. PROF.]]=$B57,IF(DATOS_[[Check Periodo Ref.]:[Check Periodo Ref.]]="Dentro",IF(DATOS_[[Check Equiparado]:[Check Equiparado]]="Sí",IF(DATOS!AN$4="Sí",(1/DATOS_[[% anualiz]:[% anualiz]]),1)*IF(DATOS!AN$5="Sí",1/DATOS_[[% normaliz]:[% normaliz]],1)*(DATOS_[Conc.Sal.10])))))))), 0)</f>
        <v>0</v>
      </c>
      <c r="T59" s="250" t="n">
        <f aca="false" t="array" ref="T59:T59">IFERROR( (MEDIAN((IF(DATOS_[[Sexo]:[Sexo]]=$B59,IF(DATOS_[[AGRUP. CLAS. PROF.]:[AGRUP. CLAS. PROF.]]=$B57,IF(DATOS_[[Check Periodo Ref.]:[Check Periodo Ref.]]="Dentro",IF(DATOS_[[Check Equiparado]:[Check Equiparado]]="Sí",IF(DATOS!AO$4="Sí",(1/DATOS_[[% anualiz]:[% anualiz]]),1)*IF(DATOS!AO$5="Sí",1/DATOS_[[% normaliz]:[% normaliz]],1)*(DATOS_[Conc.Sal.11])))))))), 0)</f>
        <v>0</v>
      </c>
      <c r="U59" s="250" t="n">
        <f aca="false" t="array" ref="U59:U59">IFERROR( (MEDIAN((IF(DATOS_[[Sexo]:[Sexo]]=$B59,IF(DATOS_[[AGRUP. CLAS. PROF.]:[AGRUP. CLAS. PROF.]]=$B57,IF(DATOS_[[Check Periodo Ref.]:[Check Periodo Ref.]]="Dentro",IF(DATOS_[[Check Equiparado]:[Check Equiparado]]="Sí",IF(DATOS!AP$4="Sí",(1/DATOS_[[% anualiz]:[% anualiz]]),1)*IF(DATOS!AP$5="Sí",1/DATOS_[[% normaliz]:[% normaliz]],1)*(DATOS_[Conc.Sal.12])))))))), 0)</f>
        <v>0</v>
      </c>
      <c r="V59" s="250" t="n">
        <f aca="false" t="array" ref="V59:V59">IFERROR( (MEDIAN((IF(DATOS_[[Sexo]:[Sexo]]=$B59,IF(DATOS_[[AGRUP. CLAS. PROF.]:[AGRUP. CLAS. PROF.]]=$B57,IF(DATOS_[[Check Periodo Ref.]:[Check Periodo Ref.]]="Dentro",IF(DATOS_[[Check Equiparado]:[Check Equiparado]]="Sí",IF(DATOS!AQ$4="Sí",(1/DATOS_[[% anualiz]:[% anualiz]]),1)*IF(DATOS!AQ$5="Sí",1/DATOS_[[% normaliz]:[% normaliz]],1)*(DATOS_[Conc.Sal.13])))))))), 0)</f>
        <v>0</v>
      </c>
      <c r="W59" s="250" t="n">
        <f aca="false" t="array" ref="W59:W59">IFERROR( (MEDIAN((IF(DATOS_[[Sexo]:[Sexo]]=$B59,IF(DATOS_[[AGRUP. CLAS. PROF.]:[AGRUP. CLAS. PROF.]]=$B57,IF(DATOS_[[Check Periodo Ref.]:[Check Periodo Ref.]]="Dentro",IF(DATOS_[[Check Equiparado]:[Check Equiparado]]="Sí",IF(DATOS!AR$4="Sí",(1/DATOS_[[% anualiz]:[% anualiz]]),1)*IF(DATOS!AR$5="Sí",1/DATOS_[[% normaliz]:[% normaliz]],1)*(DATOS_[Conc.Sal.14])))))))), 0)</f>
        <v>0</v>
      </c>
      <c r="X59" s="250" t="n">
        <f aca="false" t="array" ref="X59:X59">IFERROR( (MEDIAN((IF(DATOS_[[Sexo]:[Sexo]]=$B59,IF(DATOS_[[AGRUP. CLAS. PROF.]:[AGRUP. CLAS. PROF.]]=$B57,IF(DATOS_[[Check Periodo Ref.]:[Check Periodo Ref.]]="Dentro",IF(DATOS_[[Check Equiparado]:[Check Equiparado]]="Sí",IF(DATOS!AS$4="Sí",(1/DATOS_[[% anualiz]:[% anualiz]]),1)*IF(DATOS!AS$5="Sí",1/DATOS_[[% normaliz]:[% normaliz]],1)*(DATOS_[Conc.Sal.15])))))))), 0)</f>
        <v>0</v>
      </c>
      <c r="Y59" s="250" t="n">
        <f aca="false" t="array" ref="Y59:Y59">IFERROR( (MEDIAN((IF(DATOS_[[Sexo]:[Sexo]]=$B59,IF(DATOS_[[AGRUP. CLAS. PROF.]:[AGRUP. CLAS. PROF.]]=$B57,IF(DATOS_[[Check Periodo Ref.]:[Check Periodo Ref.]]="Dentro",IF(DATOS_[[Check Equiparado]:[Check Equiparado]]="Sí",IF(DATOS!AT$4="Sí",(1/DATOS_[[% anualiz]:[% anualiz]]),1)*IF(DATOS!AT$5="Sí",1/DATOS_[[% normaliz]:[% normaliz]],1)*(DATOS_[Conc.Sal.16])))))))), 0)</f>
        <v>0</v>
      </c>
      <c r="Z59" s="250" t="n">
        <f aca="false" t="array" ref="Z59:Z59">IFERROR( (MEDIAN((IF(DATOS_[[Sexo]:[Sexo]]=$B59,IF(DATOS_[[AGRUP. CLAS. PROF.]:[AGRUP. CLAS. PROF.]]=$B57,IF(DATOS_[[Check Periodo Ref.]:[Check Periodo Ref.]]="Dentro",IF(DATOS_[[Check Equiparado]:[Check Equiparado]]="Sí",IF(DATOS!AU$4="Sí",(1/DATOS_[[% anualiz]:[% anualiz]]),1)*IF(DATOS!AU$5="Sí",1/DATOS_[[% normaliz]:[% normaliz]],1)*(DATOS_[Conc.Sal.17])))))))), 0)</f>
        <v>0</v>
      </c>
      <c r="AA59" s="250" t="n">
        <f aca="false" t="array" ref="AA59:AA59">IFERROR( (MEDIAN((IF(DATOS_[[Sexo]:[Sexo]]=$B59,IF(DATOS_[[AGRUP. CLAS. PROF.]:[AGRUP. CLAS. PROF.]]=$B57,IF(DATOS_[[Check Periodo Ref.]:[Check Periodo Ref.]]="Dentro",IF(DATOS_[[Check Equiparado]:[Check Equiparado]]="Sí",IF(DATOS!AV$4="Sí",(1/DATOS_[[% anualiz]:[% anualiz]]),1)*IF(DATOS!AV$5="Sí",1/DATOS_[[% normaliz]:[% normaliz]],1)*(DATOS_[Conc.Sal.18])))))))), 0)</f>
        <v>0</v>
      </c>
      <c r="AB59" s="250" t="n">
        <f aca="false" t="array" ref="AB59:AB59">IFERROR( (MEDIAN((IF(DATOS_[[Sexo]:[Sexo]]=$B59,IF(DATOS_[[AGRUP. CLAS. PROF.]:[AGRUP. CLAS. PROF.]]=$B57,IF(DATOS_[[Check Periodo Ref.]:[Check Periodo Ref.]]="Dentro",IF(DATOS_[[Check Equiparado]:[Check Equiparado]]="Sí",IF(DATOS!AW$4="Sí",(1/DATOS_[[% anualiz]:[% anualiz]]),1)*IF(DATOS!AW$5="Sí",1/DATOS_[[% normaliz]:[% normaliz]],1)*(DATOS_[Conc.Sal.19])))))))), 0)</f>
        <v>0</v>
      </c>
      <c r="AC59" s="250" t="n">
        <f aca="false" t="array" ref="AC59:AC59">IFERROR( (MEDIAN((IF(DATOS_[[Sexo]:[Sexo]]=$B59,IF(DATOS_[[AGRUP. CLAS. PROF.]:[AGRUP. CLAS. PROF.]]=$B57,IF(DATOS_[[Check Periodo Ref.]:[Check Periodo Ref.]]="Dentro",IF(DATOS_[[Check Equiparado]:[Check Equiparado]]="Sí",IF(DATOS!AX$4="Sí",(1/DATOS_[[% anualiz]:[% anualiz]]),1)*IF(DATOS!AX$5="Sí",1/DATOS_[[% normaliz]:[% normaliz]],1)*(DATOS_[Conc.Sal.20])))))))), 0)</f>
        <v>0</v>
      </c>
      <c r="AD59" s="250" t="n">
        <f aca="false" t="array" ref="AD59:AD59">IFERROR( (MEDIAN((IF(DATOS_[[Sexo]:[Sexo]]=$B59,IF(DATOS_[[AGRUP. CLAS. PROF.]:[AGRUP. CLAS. PROF.]]=$B57,IF(DATOS_[[Check Periodo Ref.]:[Check Periodo Ref.]]="Dentro",IF(DATOS_[[Check Equiparado]:[Check Equiparado]]="Sí",IF(DATOS!AY$4="Sí",(1/DATOS_[[% anualiz]:[% anualiz]]),1)*IF(DATOS!AY$5="Sí",1/DATOS_[[% normaliz]:[% normaliz]],1)*(DATOS_[Conc.Sal.21])))))))), 0)</f>
        <v>0</v>
      </c>
      <c r="AE59" s="250" t="n">
        <f aca="false" t="array" ref="AE59:AE59">IFERROR( (MEDIAN((IF(DATOS_[[Sexo]:[Sexo]]=$B59,IF(DATOS_[[AGRUP. CLAS. PROF.]:[AGRUP. CLAS. PROF.]]=$B57,IF(DATOS_[[Check Periodo Ref.]:[Check Periodo Ref.]]="Dentro",IF(DATOS_[[Check Equiparado]:[Check Equiparado]]="Sí",IF(DATOS!AZ$4="Sí",(1/DATOS_[[% anualiz]:[% anualiz]]),1)*IF(DATOS!AZ$5="Sí",1/DATOS_[[% normaliz]:[% normaliz]],1)*(DATOS_[Conc.Sal.22])))))))), 0)</f>
        <v>0</v>
      </c>
      <c r="AF59" s="250" t="n">
        <f aca="false" t="array" ref="AF59:AF59">IFERROR( (MEDIAN((IF(DATOS_[[Sexo]:[Sexo]]=$B59,IF(DATOS_[[AGRUP. CLAS. PROF.]:[AGRUP. CLAS. PROF.]]=$B57,IF(DATOS_[[Check Periodo Ref.]:[Check Periodo Ref.]]="Dentro",IF(DATOS_[[Check Equiparado]:[Check Equiparado]]="Sí",IF(DATOS!BA$4="Sí",(1/DATOS_[[% anualiz]:[% anualiz]]),1)*IF(DATOS!BA$5="Sí",1/DATOS_[[% normaliz]:[% normaliz]],1)*(DATOS_[Conc.Sal.23])))))))), 0)</f>
        <v>0</v>
      </c>
      <c r="AG59" s="250" t="n">
        <f aca="false" t="array" ref="AG59:AG59">IFERROR( (MEDIAN((IF(DATOS_[[Sexo]:[Sexo]]=$B59,IF(DATOS_[[AGRUP. CLAS. PROF.]:[AGRUP. CLAS. PROF.]]=$B57,IF(DATOS_[[Check Periodo Ref.]:[Check Periodo Ref.]]="Dentro",IF(DATOS_[[Check Equiparado]:[Check Equiparado]]="Sí",IF(DATOS!BB$4="Sí",(1/DATOS_[[% anualiz]:[% anualiz]]),1)*IF(DATOS!BB$5="Sí",1/DATOS_[[% normaliz]:[% normaliz]],1)*(DATOS_[Conc.Sal.24])))))))), 0)</f>
        <v>0</v>
      </c>
      <c r="AH59" s="250" t="n">
        <f aca="false" t="array" ref="AH59:AH59">IFERROR( (MEDIAN((IF(DATOS_[[Sexo]:[Sexo]]=$B59,IF(DATOS_[[AGRUP. CLAS. PROF.]:[AGRUP. CLAS. PROF.]]=$B57,IF(DATOS_[[Check Periodo Ref.]:[Check Periodo Ref.]]="Dentro",IF(DATOS_[[Check Equiparado]:[Check Equiparado]]="Sí",IF(DATOS!BC$4="Sí",(1/DATOS_[[% anualiz]:[% anualiz]]),1)*IF(DATOS!BC$5="Sí",1/DATOS_[[% normaliz]:[% normaliz]],1)*(DATOS_[Conc.Sal.25])))))))), 0)</f>
        <v>0</v>
      </c>
      <c r="AI59" s="250" t="n">
        <f aca="false" t="array" ref="AI59:AI59">IFERROR( (MEDIAN((IF(DATOS_[[Sexo]:[Sexo]]=$B59,IF(DATOS_[[AGRUP. CLAS. PROF.]:[AGRUP. CLAS. PROF.]]=$B57,IF(DATOS_[[Check Periodo Ref.]:[Check Periodo Ref.]]="Dentro",IF(DATOS_[[Check Equiparado]:[Check Equiparado]]="Sí",IF(DATOS!BD$4="Sí",(1/DATOS_[[% anualiz]:[% anualiz]]),1)*IF(DATOS!BD$5="Sí",1/DATOS_[[% normaliz]:[% normaliz]],1)*(DATOS_[Conc.Sal.26])))))))), 0)</f>
        <v>0</v>
      </c>
      <c r="AJ59" s="250" t="n">
        <f aca="false" t="array" ref="AJ59:AJ59">IFERROR( (MEDIAN((IF(DATOS_[[Sexo]:[Sexo]]=$B59,IF(DATOS_[[AGRUP. CLAS. PROF.]:[AGRUP. CLAS. PROF.]]=$B57,IF(DATOS_[[Check Periodo Ref.]:[Check Periodo Ref.]]="Dentro",IF(DATOS_[[Check Equiparado]:[Check Equiparado]]="Sí",IF(DATOS!BE$4="Sí",(1/DATOS_[[% anualiz]:[% anualiz]]),1)*IF(DATOS!BE$5="Sí",1/DATOS_[[% normaliz]:[% normaliz]],1)*(DATOS_[Conc.Sal.27])))))))), 0)</f>
        <v>0</v>
      </c>
      <c r="AK59" s="250" t="n">
        <f aca="false" t="array" ref="AK59:AK59">IFERROR( (MEDIAN((IF(DATOS_[[Sexo]:[Sexo]]=$B59,IF(DATOS_[[AGRUP. CLAS. PROF.]:[AGRUP. CLAS. PROF.]]=$B57,IF(DATOS_[[Check Periodo Ref.]:[Check Periodo Ref.]]="Dentro",IF(DATOS_[[Check Equiparado]:[Check Equiparado]]="Sí",IF(DATOS!BF$4="Sí",(1/DATOS_[[% anualiz]:[% anualiz]]),1)*IF(DATOS!BF$5="Sí",1/DATOS_[[% normaliz]:[% normaliz]],1)*(DATOS_[Conc.Sal.28])))))))), 0)</f>
        <v>0</v>
      </c>
      <c r="AL59" s="250" t="n">
        <f aca="false" t="array" ref="AL59:AL59">IFERROR( (MEDIAN((IF(DATOS_[[Sexo]:[Sexo]]=$B59,IF(DATOS_[[AGRUP. CLAS. PROF.]:[AGRUP. CLAS. PROF.]]=$B57,IF(DATOS_[[Check Periodo Ref.]:[Check Periodo Ref.]]="Dentro",IF(DATOS_[[Check Equiparado]:[Check Equiparado]]="Sí",IF(DATOS!BG$4="Sí",(1/DATOS_[[% anualiz]:[% anualiz]]),1)*IF(DATOS!BG$5="Sí",1/DATOS_[[% normaliz]:[% normaliz]],1)*(DATOS_[Conc.Sal.29])))))))), 0)</f>
        <v>0</v>
      </c>
      <c r="AM59" s="250" t="n">
        <f aca="false" t="array" ref="AM59:AM59">IFERROR( (MEDIAN((IF(DATOS_[[Sexo]:[Sexo]]=$B59,IF(DATOS_[[AGRUP. CLAS. PROF.]:[AGRUP. CLAS. PROF.]]=$B57,IF(DATOS_[[Check Periodo Ref.]:[Check Periodo Ref.]]="Dentro",IF(DATOS_[[Check Equiparado]:[Check Equiparado]]="Sí",IF(DATOS!BH$4="Sí",(1/DATOS_[[% anualiz]:[% anualiz]]),1)*IF(DATOS!BH$5="Sí",1/DATOS_[[% normaliz]:[% normaliz]],1)*(DATOS_[Conc.Sal.30])))))))), 0)</f>
        <v>0</v>
      </c>
      <c r="AN59" s="251" t="n">
        <f aca="false" t="array" ref="AN59:AN59">IFERROR( MEDIAN(IF(DATOS_[Sexo]=$B59,IF(DATOS_[[AGRUP. CLAS. PROF.]:[AGRUP. CLAS. PROF.]]=$B57,IF(DATOS_[Check Equiparado]="Sí",IF(DATOS_[Check Periodo Ref.]="Dentro",DATOS_[Tot COMPL.SAL Eq],0))))), 0)</f>
        <v>0</v>
      </c>
      <c r="AO59" s="252" t="n">
        <f aca="false" t="array" ref="AO59:AO59">IFERROR( MEDIAN(IF(DATOS_[Sexo]=$B59,IF(DATOS_[[AGRUP. CLAS. PROF.]:[AGRUP. CLAS. PROF.]]=$B57,IF(DATOS_[Check Equiparado]="Sí",IF(DATOS_[Check Periodo Ref.]="Dentro",DATOS_[TOTAL SALARIO Eq],0))))), 0)</f>
        <v>0</v>
      </c>
      <c r="AP59" s="259" t="n">
        <f aca="false" t="array" ref="AP59:AP59">IFERROR( (MEDIAN((IF(DATOS_[[Sexo]:[Sexo]]=$B59,IF(DATOS_[[AGRUP. CLAS. PROF.]:[AGRUP. CLAS. PROF.]]=$B58,IF(DATOS_[[Check Periodo Ref.]:[Check Periodo Ref.]]="Dentro",IF(DATOS_[[Check Equiparado]:[Check Equiparado]]="Sí",IF(DATOS!BI$4="Sí",(1/DATOS_[[% anualiz]:[% anualiz]]),1)*IF(DATOS!BI$5="Sí",1/DATOS_[[% normaliz]:[% normaliz]],1)*(DATOS_[C.Extra.01])))))))), 0)</f>
        <v>0</v>
      </c>
      <c r="AQ59" s="259" t="n">
        <f aca="false" t="array" ref="AQ59:AQ59">IFERROR( (MEDIAN((IF(DATOS_[[Sexo]:[Sexo]]=$B59,IF(DATOS_[[AGRUP. CLAS. PROF.]:[AGRUP. CLAS. PROF.]]=$B58,IF(DATOS_[[Check Periodo Ref.]:[Check Periodo Ref.]]="Dentro",IF(DATOS_[[Check Equiparado]:[Check Equiparado]]="Sí",IF(DATOS!BJ$4="Sí",(1/DATOS_[[% anualiz]:[% anualiz]]),1)*IF(DATOS!BJ$5="Sí",1/DATOS_[[% normaliz]:[% normaliz]],1)*(DATOS_[C.Extra.02])))))))), 0)</f>
        <v>0</v>
      </c>
      <c r="AR59" s="259" t="n">
        <f aca="false" t="array" ref="AR59:AR59">IFERROR( (MEDIAN((IF(DATOS_[[Sexo]:[Sexo]]=$B59,IF(DATOS_[[AGRUP. CLAS. PROF.]:[AGRUP. CLAS. PROF.]]=$B58,IF(DATOS_[[Check Periodo Ref.]:[Check Periodo Ref.]]="Dentro",IF(DATOS_[[Check Equiparado]:[Check Equiparado]]="Sí",IF(DATOS!BK$4="Sí",(1/DATOS_[[% anualiz]:[% anualiz]]),1)*IF(DATOS!BK$5="Sí",1/DATOS_[[% normaliz]:[% normaliz]],1)*(DATOS_[C.Extra.03])))))))), 0)</f>
        <v>0</v>
      </c>
      <c r="AS59" s="259" t="n">
        <f aca="false" t="array" ref="AS59:AS59">IFERROR( (MEDIAN((IF(DATOS_[[Sexo]:[Sexo]]=$B59,IF(DATOS_[[AGRUP. CLAS. PROF.]:[AGRUP. CLAS. PROF.]]=$B58,IF(DATOS_[[Check Periodo Ref.]:[Check Periodo Ref.]]="Dentro",IF(DATOS_[[Check Equiparado]:[Check Equiparado]]="Sí",IF(DATOS!BL$4="Sí",(1/DATOS_[[% anualiz]:[% anualiz]]),1)*IF(DATOS!BL$5="Sí",1/DATOS_[[% normaliz]:[% normaliz]],1)*(DATOS_[C.Extra.04])))))))), 0)</f>
        <v>0</v>
      </c>
      <c r="AT59" s="259" t="n">
        <f aca="false" t="array" ref="AT59:AT59">IFERROR( (MEDIAN((IF(DATOS_[[Sexo]:[Sexo]]=$B59,IF(DATOS_[[AGRUP. CLAS. PROF.]:[AGRUP. CLAS. PROF.]]=$B58,IF(DATOS_[[Check Periodo Ref.]:[Check Periodo Ref.]]="Dentro",IF(DATOS_[[Check Equiparado]:[Check Equiparado]]="Sí",IF(DATOS!BM$4="Sí",(1/DATOS_[[% anualiz]:[% anualiz]]),1)*IF(DATOS!BM$5="Sí",1/DATOS_[[% normaliz]:[% normaliz]],1)*(DATOS_[C.Extra.05])))))))), 0)</f>
        <v>0</v>
      </c>
      <c r="AU59" s="254" t="n">
        <f aca="false" t="array" ref="AU59:AU59">IFERROR( MEDIAN(IF(DATOS_[Sexo]=$B59,IF(DATOS_[[AGRUP. CLAS. PROF.]:[AGRUP. CLAS. PROF.]]=$B57,IF(DATOS_[Check Equiparado]="Sí",IF(DATOS_[Check Periodo Ref.]="Dentro",DATOS_[Tot Extrasalarial Eq],0))))), 0)</f>
        <v>0</v>
      </c>
      <c r="AV59" s="255" t="n">
        <f aca="false" t="array" ref="AV59:AV59">IFERROR( MEDIAN(IF(DATOS_[Sexo]=$B59,IF(DATOS_[[AGRUP. CLAS. PROF.]:[AGRUP. CLAS. PROF.]]=$B57,IF(DATOS_[Check Equiparado]="Sí",IF(DATOS_[Check Periodo Ref.]="Dentro",DATOS_[TOTAL Retrib Eq],0))))), 0)</f>
        <v>0</v>
      </c>
    </row>
    <row r="60" customFormat="false" ht="15.75" hidden="false" customHeight="false" outlineLevel="0" collapsed="false">
      <c r="A60" s="217" t="str">
        <f aca="false">+A61</f>
        <v>[ocultar]</v>
      </c>
      <c r="B60" s="320" t="s">
        <v>213</v>
      </c>
      <c r="C60" s="236"/>
      <c r="D60" s="237"/>
      <c r="E60" s="237"/>
      <c r="F60" s="237"/>
      <c r="G60" s="237"/>
      <c r="H60" s="237"/>
      <c r="I60" s="238"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39" t="str">
        <f aca="false">IFERROR((V61-V62)/V61,"")</f>
        <v/>
      </c>
      <c r="W60" s="239" t="str">
        <f aca="false">IFERROR((W61-W62)/W61,"")</f>
        <v/>
      </c>
      <c r="X60" s="239" t="str">
        <f aca="false">IFERROR((X61-X62)/X61,"")</f>
        <v/>
      </c>
      <c r="Y60" s="239"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0" t="str">
        <f aca="false">IFERROR((AJ61-AJ62)/AJ61,"")</f>
        <v/>
      </c>
      <c r="AK60" s="240" t="str">
        <f aca="false">IFERROR((AK61-AK62)/AK61,"")</f>
        <v/>
      </c>
      <c r="AL60" s="240" t="str">
        <f aca="false">IFERROR((AL61-AL62)/AL61,"")</f>
        <v/>
      </c>
      <c r="AM60" s="240" t="str">
        <f aca="false">IFERROR((AM61-AM62)/AM61,"")</f>
        <v/>
      </c>
      <c r="AN60" s="241" t="str">
        <f aca="false">IFERROR((AN61-AN62)/AN61,"")</f>
        <v/>
      </c>
      <c r="AO60" s="242" t="str">
        <f aca="false">IFERROR((AO61-AO62)/AO61,"")</f>
        <v/>
      </c>
      <c r="AP60" s="243" t="str">
        <f aca="false">IFERROR((AP61-AP62)/AP61,"")</f>
        <v/>
      </c>
      <c r="AQ60" s="243" t="str">
        <f aca="false">IFERROR((AQ61-AQ62)/AQ61,"")</f>
        <v/>
      </c>
      <c r="AR60" s="243" t="str">
        <f aca="false">IFERROR((AR61-AR62)/AR61,"")</f>
        <v/>
      </c>
      <c r="AS60" s="243" t="str">
        <f aca="false">IFERROR((AS61-AS62)/AS61,"")</f>
        <v/>
      </c>
      <c r="AT60" s="243" t="str">
        <f aca="false">IFERROR((AT61-AT62)/AT61,"")</f>
        <v/>
      </c>
      <c r="AU60" s="244" t="str">
        <f aca="false">IFERROR((AU61-AU62)/AU61,"")</f>
        <v/>
      </c>
      <c r="AV60" s="245" t="str">
        <f aca="false">IFERROR((AV61-AV62)/AV61,"")</f>
        <v/>
      </c>
    </row>
    <row r="61" customFormat="false" ht="14.25" hidden="false" customHeight="false" outlineLevel="0" collapsed="false">
      <c r="A61" s="217" t="str">
        <f aca="false">+IF(C61+C62=0,"[ocultar]","")</f>
        <v>[ocultar]</v>
      </c>
      <c r="B61" s="323" t="s">
        <v>371</v>
      </c>
      <c r="C61" s="247" t="n">
        <f aca="false" t="array" ref="C61:C61">SUM(IF($B61=DATOS_[Sexo], IF($B60=DATOS_[AGRUP. CLAS. PROF.], IF("Dentro"=DATOS_[Check Periodo Ref.], 1/(COUNTIFS(DATOS_[Sexo],$B61,DATOS_[AGRUP. CLAS. PROF.],$B60,DATOS_[Check Periodo Ref.],"Dentro",DATOS_[id],DATOS_[id]))))))</f>
        <v>0</v>
      </c>
      <c r="D61" s="248" t="n">
        <f aca="false">COUNTIFS(DATOS_[AGRUP. CLAS. PROF.],$B60,DATOS_[Sexo],$B61,DATOS_[Check Periodo Ref.],"Dentro")</f>
        <v>0</v>
      </c>
      <c r="E61" s="248" t="n">
        <f aca="false">COUNTIFS(DATOS_[AGRUP. CLAS. PROF.],$B60,DATOS_[Sexo],$B61,DATOS_[Check Periodo Ref.],"Dentro",DATOS_[Check Nº SC Norm],"Sí")</f>
        <v>0</v>
      </c>
      <c r="F61" s="248" t="n">
        <f aca="false">COUNTIFS(DATOS_[AGRUP. CLAS. PROF.],$B60,DATOS_[Sexo],$B61,DATOS_[Check Periodo Ref.],"Dentro",DATOS_[Check Nº SC Anualiz],"Sí")</f>
        <v>0</v>
      </c>
      <c r="G61" s="248" t="n">
        <f aca="false">COUNTIFS(DATOS_[AGRUP. CLAS. PROF.],$B60,DATOS_[Sexo],$B61,DATOS_[Check Periodo Ref.],"Dentro",DATOS_[Check Nº SC Norm y Anualiz],"Sí")</f>
        <v>0</v>
      </c>
      <c r="H61" s="248" t="n">
        <f aca="false">COUNTIFS(DATOS_[AGRUP. CLAS. PROF.],$B60,DATOS_[Sexo],$B61,DATOS_[Check Periodo Ref.],"Dentro",DATOS_[Check Equiparación],"Sí")</f>
        <v>0</v>
      </c>
      <c r="I61" s="249" t="n">
        <f aca="false" t="array" ref="I61:I61">IFERROR( MEDIAN(IF(DATOS_[Sexo]=$B61,IF(DATOS_[[AGRUP. CLAS. PROF.]:[AGRUP. CLAS. PROF.]]=$B60,IF(DATOS_[Check Equiparado]="Sí",IF(DATOS_[Check Periodo Ref.]="Dentro",DATOS_[SALARIO BASE Eq],0))))), 0)</f>
        <v>0</v>
      </c>
      <c r="J61" s="250" t="n">
        <f aca="false" t="array" ref="J61:J61">IFERROR( (MEDIAN((IF(DATOS_[[Sexo]:[Sexo]]=$B61,IF(DATOS_[[AGRUP. CLAS. PROF.]:[AGRUP. CLAS. PROF.]]=$B60,IF(DATOS_[[Check Periodo Ref.]:[Check Periodo Ref.]]="Dentro",IF(DATOS_[[Check Equiparado]:[Check Equiparado]]="Sí",IF(DATOS!AE$4="Sí",(1/DATOS_[[% anualiz]:[% anualiz]]),1)*IF(DATOS!AE$5="Sí",1/DATOS_[[% normaliz]:[% normaliz]],1)*(DATOS_[Conc.Sal.01])))))))), 0)</f>
        <v>0</v>
      </c>
      <c r="K61" s="250" t="n">
        <f aca="false" t="array" ref="K61:K61">IFERROR( (MEDIAN((IF(DATOS_[[Sexo]:[Sexo]]=$B61,IF(DATOS_[[AGRUP. CLAS. PROF.]:[AGRUP. CLAS. PROF.]]=$B60,IF(DATOS_[[Check Periodo Ref.]:[Check Periodo Ref.]]="Dentro",IF(DATOS_[[Check Equiparado]:[Check Equiparado]]="Sí",IF(DATOS!AF$4="Sí",(1/DATOS_[[% anualiz]:[% anualiz]]),1)*IF(DATOS!AF$5="Sí",1/DATOS_[[% normaliz]:[% normaliz]],1)*(DATOS_[Conc.Sal.02])))))))), 0)</f>
        <v>0</v>
      </c>
      <c r="L61" s="250" t="n">
        <f aca="false" t="array" ref="L61:L61">IFERROR( (MEDIAN((IF(DATOS_[[Sexo]:[Sexo]]=$B61,IF(DATOS_[[AGRUP. CLAS. PROF.]:[AGRUP. CLAS. PROF.]]=$B60,IF(DATOS_[[Check Periodo Ref.]:[Check Periodo Ref.]]="Dentro",IF(DATOS_[[Check Equiparado]:[Check Equiparado]]="Sí",IF(DATOS!AG$4="Sí",(1/DATOS_[[% anualiz]:[% anualiz]]),1)*IF(DATOS!AG$5="Sí",1/DATOS_[[% normaliz]:[% normaliz]],1)*(DATOS_[Conc.Sal.03])))))))), 0)</f>
        <v>0</v>
      </c>
      <c r="M61" s="250" t="n">
        <f aca="false" t="array" ref="M61:M61">IFERROR( (MEDIAN((IF(DATOS_[[Sexo]:[Sexo]]=$B61,IF(DATOS_[[AGRUP. CLAS. PROF.]:[AGRUP. CLAS. PROF.]]=$B60,IF(DATOS_[[Check Periodo Ref.]:[Check Periodo Ref.]]="Dentro",IF(DATOS_[[Check Equiparado]:[Check Equiparado]]="Sí",IF(DATOS!AH$4="Sí",(1/DATOS_[[% anualiz]:[% anualiz]]),1)*IF(DATOS!AH$5="Sí",1/DATOS_[[% normaliz]:[% normaliz]],1)*(DATOS_[Conc.Sal.04])))))))), 0)</f>
        <v>0</v>
      </c>
      <c r="N61" s="250" t="n">
        <f aca="false" t="array" ref="N61:N61">IFERROR( (MEDIAN((IF(DATOS_[[Sexo]:[Sexo]]=$B61,IF(DATOS_[[AGRUP. CLAS. PROF.]:[AGRUP. CLAS. PROF.]]=$B60,IF(DATOS_[[Check Periodo Ref.]:[Check Periodo Ref.]]="Dentro",IF(DATOS_[[Check Equiparado]:[Check Equiparado]]="Sí",IF(DATOS!AI$4="Sí",(1/DATOS_[[% anualiz]:[% anualiz]]),1)*IF(DATOS!AI$5="Sí",1/DATOS_[[% normaliz]:[% normaliz]],1)*(DATOS_[Conc.Sal.05])))))))), 0)</f>
        <v>0</v>
      </c>
      <c r="O61" s="250" t="n">
        <f aca="false" t="array" ref="O61:O61">IFERROR( (MEDIAN((IF(DATOS_[[Sexo]:[Sexo]]=$B61,IF(DATOS_[[AGRUP. CLAS. PROF.]:[AGRUP. CLAS. PROF.]]=$B60,IF(DATOS_[[Check Periodo Ref.]:[Check Periodo Ref.]]="Dentro",IF(DATOS_[[Check Equiparado]:[Check Equiparado]]="Sí",IF(DATOS!AJ$4="Sí",(1/DATOS_[[% anualiz]:[% anualiz]]),1)*IF(DATOS!AJ$5="Sí",1/DATOS_[[% normaliz]:[% normaliz]],1)*(DATOS_[Conc.Sal.06])))))))), 0)</f>
        <v>0</v>
      </c>
      <c r="P61" s="250" t="n">
        <f aca="false" t="array" ref="P61:P61">IFERROR( (MEDIAN((IF(DATOS_[[Sexo]:[Sexo]]=$B61,IF(DATOS_[[AGRUP. CLAS. PROF.]:[AGRUP. CLAS. PROF.]]=$B60,IF(DATOS_[[Check Periodo Ref.]:[Check Periodo Ref.]]="Dentro",IF(DATOS_[[Check Equiparado]:[Check Equiparado]]="Sí",IF(DATOS!AK$4="Sí",(1/DATOS_[[% anualiz]:[% anualiz]]),1)*IF(DATOS!AK$5="Sí",1/DATOS_[[% normaliz]:[% normaliz]],1)*(DATOS_[Conc.Sal.07])))))))), 0)</f>
        <v>0</v>
      </c>
      <c r="Q61" s="250" t="n">
        <f aca="false" t="array" ref="Q61:Q61">IFERROR( (MEDIAN((IF(DATOS_[[Sexo]:[Sexo]]=$B61,IF(DATOS_[[AGRUP. CLAS. PROF.]:[AGRUP. CLAS. PROF.]]=$B60,IF(DATOS_[[Check Periodo Ref.]:[Check Periodo Ref.]]="Dentro",IF(DATOS_[[Check Equiparado]:[Check Equiparado]]="Sí",IF(DATOS!AL$4="Sí",(1/DATOS_[[% anualiz]:[% anualiz]]),1)*IF(DATOS!AL$5="Sí",1/DATOS_[[% normaliz]:[% normaliz]],1)*(DATOS_[Conc.Sal.08])))))))), 0)</f>
        <v>0</v>
      </c>
      <c r="R61" s="250" t="n">
        <f aca="false" t="array" ref="R61:R61">IFERROR( (MEDIAN((IF(DATOS_[[Sexo]:[Sexo]]=$B61,IF(DATOS_[[AGRUP. CLAS. PROF.]:[AGRUP. CLAS. PROF.]]=$B60,IF(DATOS_[[Check Periodo Ref.]:[Check Periodo Ref.]]="Dentro",IF(DATOS_[[Check Equiparado]:[Check Equiparado]]="Sí",IF(DATOS!AM$4="Sí",(1/DATOS_[[% anualiz]:[% anualiz]]),1)*IF(DATOS!AM$5="Sí",1/DATOS_[[% normaliz]:[% normaliz]],1)*(DATOS_[Conc.Sal.09])))))))), 0)</f>
        <v>0</v>
      </c>
      <c r="S61" s="250" t="n">
        <f aca="false" t="array" ref="S61:S61">IFERROR( (MEDIAN((IF(DATOS_[[Sexo]:[Sexo]]=$B61,IF(DATOS_[[AGRUP. CLAS. PROF.]:[AGRUP. CLAS. PROF.]]=$B60,IF(DATOS_[[Check Periodo Ref.]:[Check Periodo Ref.]]="Dentro",IF(DATOS_[[Check Equiparado]:[Check Equiparado]]="Sí",IF(DATOS!AN$4="Sí",(1/DATOS_[[% anualiz]:[% anualiz]]),1)*IF(DATOS!AN$5="Sí",1/DATOS_[[% normaliz]:[% normaliz]],1)*(DATOS_[Conc.Sal.10])))))))), 0)</f>
        <v>0</v>
      </c>
      <c r="T61" s="250" t="n">
        <f aca="false" t="array" ref="T61:T61">IFERROR( (MEDIAN((IF(DATOS_[[Sexo]:[Sexo]]=$B61,IF(DATOS_[[AGRUP. CLAS. PROF.]:[AGRUP. CLAS. PROF.]]=$B60,IF(DATOS_[[Check Periodo Ref.]:[Check Periodo Ref.]]="Dentro",IF(DATOS_[[Check Equiparado]:[Check Equiparado]]="Sí",IF(DATOS!AO$4="Sí",(1/DATOS_[[% anualiz]:[% anualiz]]),1)*IF(DATOS!AO$5="Sí",1/DATOS_[[% normaliz]:[% normaliz]],1)*(DATOS_[Conc.Sal.11])))))))), 0)</f>
        <v>0</v>
      </c>
      <c r="U61" s="250" t="n">
        <f aca="false" t="array" ref="U61:U61">IFERROR( (MEDIAN((IF(DATOS_[[Sexo]:[Sexo]]=$B61,IF(DATOS_[[AGRUP. CLAS. PROF.]:[AGRUP. CLAS. PROF.]]=$B60,IF(DATOS_[[Check Periodo Ref.]:[Check Periodo Ref.]]="Dentro",IF(DATOS_[[Check Equiparado]:[Check Equiparado]]="Sí",IF(DATOS!AP$4="Sí",(1/DATOS_[[% anualiz]:[% anualiz]]),1)*IF(DATOS!AP$5="Sí",1/DATOS_[[% normaliz]:[% normaliz]],1)*(DATOS_[Conc.Sal.12])))))))), 0)</f>
        <v>0</v>
      </c>
      <c r="V61" s="250" t="n">
        <f aca="false" t="array" ref="V61:V61">IFERROR( (MEDIAN((IF(DATOS_[[Sexo]:[Sexo]]=$B61,IF(DATOS_[[AGRUP. CLAS. PROF.]:[AGRUP. CLAS. PROF.]]=$B60,IF(DATOS_[[Check Periodo Ref.]:[Check Periodo Ref.]]="Dentro",IF(DATOS_[[Check Equiparado]:[Check Equiparado]]="Sí",IF(DATOS!AQ$4="Sí",(1/DATOS_[[% anualiz]:[% anualiz]]),1)*IF(DATOS!AQ$5="Sí",1/DATOS_[[% normaliz]:[% normaliz]],1)*(DATOS_[Conc.Sal.13])))))))), 0)</f>
        <v>0</v>
      </c>
      <c r="W61" s="250" t="n">
        <f aca="false" t="array" ref="W61:W61">IFERROR( (MEDIAN((IF(DATOS_[[Sexo]:[Sexo]]=$B61,IF(DATOS_[[AGRUP. CLAS. PROF.]:[AGRUP. CLAS. PROF.]]=$B60,IF(DATOS_[[Check Periodo Ref.]:[Check Periodo Ref.]]="Dentro",IF(DATOS_[[Check Equiparado]:[Check Equiparado]]="Sí",IF(DATOS!AR$4="Sí",(1/DATOS_[[% anualiz]:[% anualiz]]),1)*IF(DATOS!AR$5="Sí",1/DATOS_[[% normaliz]:[% normaliz]],1)*(DATOS_[Conc.Sal.14])))))))), 0)</f>
        <v>0</v>
      </c>
      <c r="X61" s="250" t="n">
        <f aca="false" t="array" ref="X61:X61">IFERROR( (MEDIAN((IF(DATOS_[[Sexo]:[Sexo]]=$B61,IF(DATOS_[[AGRUP. CLAS. PROF.]:[AGRUP. CLAS. PROF.]]=$B60,IF(DATOS_[[Check Periodo Ref.]:[Check Periodo Ref.]]="Dentro",IF(DATOS_[[Check Equiparado]:[Check Equiparado]]="Sí",IF(DATOS!AS$4="Sí",(1/DATOS_[[% anualiz]:[% anualiz]]),1)*IF(DATOS!AS$5="Sí",1/DATOS_[[% normaliz]:[% normaliz]],1)*(DATOS_[Conc.Sal.15])))))))), 0)</f>
        <v>0</v>
      </c>
      <c r="Y61" s="250" t="n">
        <f aca="false" t="array" ref="Y61:Y61">IFERROR( (MEDIAN((IF(DATOS_[[Sexo]:[Sexo]]=$B61,IF(DATOS_[[AGRUP. CLAS. PROF.]:[AGRUP. CLAS. PROF.]]=$B60,IF(DATOS_[[Check Periodo Ref.]:[Check Periodo Ref.]]="Dentro",IF(DATOS_[[Check Equiparado]:[Check Equiparado]]="Sí",IF(DATOS!AT$4="Sí",(1/DATOS_[[% anualiz]:[% anualiz]]),1)*IF(DATOS!AT$5="Sí",1/DATOS_[[% normaliz]:[% normaliz]],1)*(DATOS_[Conc.Sal.16])))))))), 0)</f>
        <v>0</v>
      </c>
      <c r="Z61" s="250" t="n">
        <f aca="false" t="array" ref="Z61:Z61">IFERROR( (MEDIAN((IF(DATOS_[[Sexo]:[Sexo]]=$B61,IF(DATOS_[[AGRUP. CLAS. PROF.]:[AGRUP. CLAS. PROF.]]=$B60,IF(DATOS_[[Check Periodo Ref.]:[Check Periodo Ref.]]="Dentro",IF(DATOS_[[Check Equiparado]:[Check Equiparado]]="Sí",IF(DATOS!AU$4="Sí",(1/DATOS_[[% anualiz]:[% anualiz]]),1)*IF(DATOS!AU$5="Sí",1/DATOS_[[% normaliz]:[% normaliz]],1)*(DATOS_[Conc.Sal.17])))))))), 0)</f>
        <v>0</v>
      </c>
      <c r="AA61" s="250" t="n">
        <f aca="false" t="array" ref="AA61:AA61">IFERROR( (MEDIAN((IF(DATOS_[[Sexo]:[Sexo]]=$B61,IF(DATOS_[[AGRUP. CLAS. PROF.]:[AGRUP. CLAS. PROF.]]=$B60,IF(DATOS_[[Check Periodo Ref.]:[Check Periodo Ref.]]="Dentro",IF(DATOS_[[Check Equiparado]:[Check Equiparado]]="Sí",IF(DATOS!AV$4="Sí",(1/DATOS_[[% anualiz]:[% anualiz]]),1)*IF(DATOS!AV$5="Sí",1/DATOS_[[% normaliz]:[% normaliz]],1)*(DATOS_[Conc.Sal.18])))))))), 0)</f>
        <v>0</v>
      </c>
      <c r="AB61" s="250" t="n">
        <f aca="false" t="array" ref="AB61:AB61">IFERROR( (MEDIAN((IF(DATOS_[[Sexo]:[Sexo]]=$B61,IF(DATOS_[[AGRUP. CLAS. PROF.]:[AGRUP. CLAS. PROF.]]=$B60,IF(DATOS_[[Check Periodo Ref.]:[Check Periodo Ref.]]="Dentro",IF(DATOS_[[Check Equiparado]:[Check Equiparado]]="Sí",IF(DATOS!AW$4="Sí",(1/DATOS_[[% anualiz]:[% anualiz]]),1)*IF(DATOS!AW$5="Sí",1/DATOS_[[% normaliz]:[% normaliz]],1)*(DATOS_[Conc.Sal.19])))))))), 0)</f>
        <v>0</v>
      </c>
      <c r="AC61" s="250" t="n">
        <f aca="false" t="array" ref="AC61:AC61">IFERROR( (MEDIAN((IF(DATOS_[[Sexo]:[Sexo]]=$B61,IF(DATOS_[[AGRUP. CLAS. PROF.]:[AGRUP. CLAS. PROF.]]=$B60,IF(DATOS_[[Check Periodo Ref.]:[Check Periodo Ref.]]="Dentro",IF(DATOS_[[Check Equiparado]:[Check Equiparado]]="Sí",IF(DATOS!AX$4="Sí",(1/DATOS_[[% anualiz]:[% anualiz]]),1)*IF(DATOS!AX$5="Sí",1/DATOS_[[% normaliz]:[% normaliz]],1)*(DATOS_[Conc.Sal.20])))))))), 0)</f>
        <v>0</v>
      </c>
      <c r="AD61" s="250" t="n">
        <f aca="false" t="array" ref="AD61:AD61">IFERROR( (MEDIAN((IF(DATOS_[[Sexo]:[Sexo]]=$B61,IF(DATOS_[[AGRUP. CLAS. PROF.]:[AGRUP. CLAS. PROF.]]=$B60,IF(DATOS_[[Check Periodo Ref.]:[Check Periodo Ref.]]="Dentro",IF(DATOS_[[Check Equiparado]:[Check Equiparado]]="Sí",IF(DATOS!AY$4="Sí",(1/DATOS_[[% anualiz]:[% anualiz]]),1)*IF(DATOS!AY$5="Sí",1/DATOS_[[% normaliz]:[% normaliz]],1)*(DATOS_[Conc.Sal.21])))))))), 0)</f>
        <v>0</v>
      </c>
      <c r="AE61" s="250" t="n">
        <f aca="false" t="array" ref="AE61:AE61">IFERROR( (MEDIAN((IF(DATOS_[[Sexo]:[Sexo]]=$B61,IF(DATOS_[[AGRUP. CLAS. PROF.]:[AGRUP. CLAS. PROF.]]=$B60,IF(DATOS_[[Check Periodo Ref.]:[Check Periodo Ref.]]="Dentro",IF(DATOS_[[Check Equiparado]:[Check Equiparado]]="Sí",IF(DATOS!AZ$4="Sí",(1/DATOS_[[% anualiz]:[% anualiz]]),1)*IF(DATOS!AZ$5="Sí",1/DATOS_[[% normaliz]:[% normaliz]],1)*(DATOS_[Conc.Sal.22])))))))), 0)</f>
        <v>0</v>
      </c>
      <c r="AF61" s="250" t="n">
        <f aca="false" t="array" ref="AF61:AF61">IFERROR( (MEDIAN((IF(DATOS_[[Sexo]:[Sexo]]=$B61,IF(DATOS_[[AGRUP. CLAS. PROF.]:[AGRUP. CLAS. PROF.]]=$B60,IF(DATOS_[[Check Periodo Ref.]:[Check Periodo Ref.]]="Dentro",IF(DATOS_[[Check Equiparado]:[Check Equiparado]]="Sí",IF(DATOS!BA$4="Sí",(1/DATOS_[[% anualiz]:[% anualiz]]),1)*IF(DATOS!BA$5="Sí",1/DATOS_[[% normaliz]:[% normaliz]],1)*(DATOS_[Conc.Sal.23])))))))), 0)</f>
        <v>0</v>
      </c>
      <c r="AG61" s="250" t="n">
        <f aca="false" t="array" ref="AG61:AG61">IFERROR( (MEDIAN((IF(DATOS_[[Sexo]:[Sexo]]=$B61,IF(DATOS_[[AGRUP. CLAS. PROF.]:[AGRUP. CLAS. PROF.]]=$B60,IF(DATOS_[[Check Periodo Ref.]:[Check Periodo Ref.]]="Dentro",IF(DATOS_[[Check Equiparado]:[Check Equiparado]]="Sí",IF(DATOS!BB$4="Sí",(1/DATOS_[[% anualiz]:[% anualiz]]),1)*IF(DATOS!BB$5="Sí",1/DATOS_[[% normaliz]:[% normaliz]],1)*(DATOS_[Conc.Sal.24])))))))), 0)</f>
        <v>0</v>
      </c>
      <c r="AH61" s="250" t="n">
        <f aca="false" t="array" ref="AH61:AH61">IFERROR( (MEDIAN((IF(DATOS_[[Sexo]:[Sexo]]=$B61,IF(DATOS_[[AGRUP. CLAS. PROF.]:[AGRUP. CLAS. PROF.]]=$B60,IF(DATOS_[[Check Periodo Ref.]:[Check Periodo Ref.]]="Dentro",IF(DATOS_[[Check Equiparado]:[Check Equiparado]]="Sí",IF(DATOS!BC$4="Sí",(1/DATOS_[[% anualiz]:[% anualiz]]),1)*IF(DATOS!BC$5="Sí",1/DATOS_[[% normaliz]:[% normaliz]],1)*(DATOS_[Conc.Sal.25])))))))), 0)</f>
        <v>0</v>
      </c>
      <c r="AI61" s="250" t="n">
        <f aca="false" t="array" ref="AI61:AI61">IFERROR( (MEDIAN((IF(DATOS_[[Sexo]:[Sexo]]=$B61,IF(DATOS_[[AGRUP. CLAS. PROF.]:[AGRUP. CLAS. PROF.]]=$B60,IF(DATOS_[[Check Periodo Ref.]:[Check Periodo Ref.]]="Dentro",IF(DATOS_[[Check Equiparado]:[Check Equiparado]]="Sí",IF(DATOS!BD$4="Sí",(1/DATOS_[[% anualiz]:[% anualiz]]),1)*IF(DATOS!BD$5="Sí",1/DATOS_[[% normaliz]:[% normaliz]],1)*(DATOS_[Conc.Sal.26])))))))), 0)</f>
        <v>0</v>
      </c>
      <c r="AJ61" s="250" t="n">
        <f aca="false" t="array" ref="AJ61:AJ61">IFERROR( (MEDIAN((IF(DATOS_[[Sexo]:[Sexo]]=$B61,IF(DATOS_[[AGRUP. CLAS. PROF.]:[AGRUP. CLAS. PROF.]]=$B60,IF(DATOS_[[Check Periodo Ref.]:[Check Periodo Ref.]]="Dentro",IF(DATOS_[[Check Equiparado]:[Check Equiparado]]="Sí",IF(DATOS!BE$4="Sí",(1/DATOS_[[% anualiz]:[% anualiz]]),1)*IF(DATOS!BE$5="Sí",1/DATOS_[[% normaliz]:[% normaliz]],1)*(DATOS_[Conc.Sal.27])))))))), 0)</f>
        <v>0</v>
      </c>
      <c r="AK61" s="250" t="n">
        <f aca="false" t="array" ref="AK61:AK61">IFERROR( (MEDIAN((IF(DATOS_[[Sexo]:[Sexo]]=$B61,IF(DATOS_[[AGRUP. CLAS. PROF.]:[AGRUP. CLAS. PROF.]]=$B60,IF(DATOS_[[Check Periodo Ref.]:[Check Periodo Ref.]]="Dentro",IF(DATOS_[[Check Equiparado]:[Check Equiparado]]="Sí",IF(DATOS!BF$4="Sí",(1/DATOS_[[% anualiz]:[% anualiz]]),1)*IF(DATOS!BF$5="Sí",1/DATOS_[[% normaliz]:[% normaliz]],1)*(DATOS_[Conc.Sal.28])))))))), 0)</f>
        <v>0</v>
      </c>
      <c r="AL61" s="250" t="n">
        <f aca="false" t="array" ref="AL61:AL61">IFERROR( (MEDIAN((IF(DATOS_[[Sexo]:[Sexo]]=$B61,IF(DATOS_[[AGRUP. CLAS. PROF.]:[AGRUP. CLAS. PROF.]]=$B60,IF(DATOS_[[Check Periodo Ref.]:[Check Periodo Ref.]]="Dentro",IF(DATOS_[[Check Equiparado]:[Check Equiparado]]="Sí",IF(DATOS!BG$4="Sí",(1/DATOS_[[% anualiz]:[% anualiz]]),1)*IF(DATOS!BG$5="Sí",1/DATOS_[[% normaliz]:[% normaliz]],1)*(DATOS_[Conc.Sal.29])))))))), 0)</f>
        <v>0</v>
      </c>
      <c r="AM61" s="250" t="n">
        <f aca="false" t="array" ref="AM61:AM61">IFERROR( (MEDIAN((IF(DATOS_[[Sexo]:[Sexo]]=$B61,IF(DATOS_[[AGRUP. CLAS. PROF.]:[AGRUP. CLAS. PROF.]]=$B60,IF(DATOS_[[Check Periodo Ref.]:[Check Periodo Ref.]]="Dentro",IF(DATOS_[[Check Equiparado]:[Check Equiparado]]="Sí",IF(DATOS!BH$4="Sí",(1/DATOS_[[% anualiz]:[% anualiz]]),1)*IF(DATOS!BH$5="Sí",1/DATOS_[[% normaliz]:[% normaliz]],1)*(DATOS_[Conc.Sal.30])))))))), 0)</f>
        <v>0</v>
      </c>
      <c r="AN61" s="251" t="n">
        <f aca="false" t="array" ref="AN61:AN61">IFERROR( MEDIAN(IF(DATOS_[Sexo]=$B61,IF(DATOS_[[AGRUP. CLAS. PROF.]:[AGRUP. CLAS. PROF.]]=$B60,IF(DATOS_[Check Equiparado]="Sí",IF(DATOS_[Check Periodo Ref.]="Dentro",DATOS_[Tot COMPL.SAL Eq],0))))), 0)</f>
        <v>0</v>
      </c>
      <c r="AO61" s="252" t="n">
        <f aca="false" t="array" ref="AO61:AO61">IFERROR( MEDIAN(IF(DATOS_[Sexo]=$B61,IF(DATOS_[[AGRUP. CLAS. PROF.]:[AGRUP. CLAS. PROF.]]=$B60,IF(DATOS_[Check Equiparado]="Sí",IF(DATOS_[Check Periodo Ref.]="Dentro",DATOS_[TOTAL SALARIO Eq],0))))), 0)</f>
        <v>0</v>
      </c>
      <c r="AP61" s="259" t="n">
        <f aca="false" t="array" ref="AP61:AP61">IFERROR( (MEDIAN((IF(DATOS_[[Sexo]:[Sexo]]=$B61,IF(DATOS_[[AGRUP. CLAS. PROF.]:[AGRUP. CLAS. PROF.]]=$B60,IF(DATOS_[[Check Periodo Ref.]:[Check Periodo Ref.]]="Dentro",IF(DATOS_[[Check Equiparado]:[Check Equiparado]]="Sí",IF(DATOS!BI$4="Sí",(1/DATOS_[[% anualiz]:[% anualiz]]),1)*IF(DATOS!BI$5="Sí",1/DATOS_[[% normaliz]:[% normaliz]],1)*(DATOS_[C.Extra.01])))))))), 0)</f>
        <v>0</v>
      </c>
      <c r="AQ61" s="259" t="n">
        <f aca="false" t="array" ref="AQ61:AQ61">IFERROR( (MEDIAN((IF(DATOS_[[Sexo]:[Sexo]]=$B61,IF(DATOS_[[AGRUP. CLAS. PROF.]:[AGRUP. CLAS. PROF.]]=$B60,IF(DATOS_[[Check Periodo Ref.]:[Check Periodo Ref.]]="Dentro",IF(DATOS_[[Check Equiparado]:[Check Equiparado]]="Sí",IF(DATOS!BJ$4="Sí",(1/DATOS_[[% anualiz]:[% anualiz]]),1)*IF(DATOS!BJ$5="Sí",1/DATOS_[[% normaliz]:[% normaliz]],1)*(DATOS_[C.Extra.02])))))))), 0)</f>
        <v>0</v>
      </c>
      <c r="AR61" s="259" t="n">
        <f aca="false" t="array" ref="AR61:AR61">IFERROR( (MEDIAN((IF(DATOS_[[Sexo]:[Sexo]]=$B61,IF(DATOS_[[AGRUP. CLAS. PROF.]:[AGRUP. CLAS. PROF.]]=$B60,IF(DATOS_[[Check Periodo Ref.]:[Check Periodo Ref.]]="Dentro",IF(DATOS_[[Check Equiparado]:[Check Equiparado]]="Sí",IF(DATOS!BK$4="Sí",(1/DATOS_[[% anualiz]:[% anualiz]]),1)*IF(DATOS!BK$5="Sí",1/DATOS_[[% normaliz]:[% normaliz]],1)*(DATOS_[C.Extra.03])))))))), 0)</f>
        <v>0</v>
      </c>
      <c r="AS61" s="259" t="n">
        <f aca="false" t="array" ref="AS61:AS61">IFERROR( (MEDIAN((IF(DATOS_[[Sexo]:[Sexo]]=$B61,IF(DATOS_[[AGRUP. CLAS. PROF.]:[AGRUP. CLAS. PROF.]]=$B60,IF(DATOS_[[Check Periodo Ref.]:[Check Periodo Ref.]]="Dentro",IF(DATOS_[[Check Equiparado]:[Check Equiparado]]="Sí",IF(DATOS!BL$4="Sí",(1/DATOS_[[% anualiz]:[% anualiz]]),1)*IF(DATOS!BL$5="Sí",1/DATOS_[[% normaliz]:[% normaliz]],1)*(DATOS_[C.Extra.04])))))))), 0)</f>
        <v>0</v>
      </c>
      <c r="AT61" s="259" t="n">
        <f aca="false" t="array" ref="AT61:AT61">IFERROR( (MEDIAN((IF(DATOS_[[Sexo]:[Sexo]]=$B61,IF(DATOS_[[AGRUP. CLAS. PROF.]:[AGRUP. CLAS. PROF.]]=$B60,IF(DATOS_[[Check Periodo Ref.]:[Check Periodo Ref.]]="Dentro",IF(DATOS_[[Check Equiparado]:[Check Equiparado]]="Sí",IF(DATOS!BM$4="Sí",(1/DATOS_[[% anualiz]:[% anualiz]]),1)*IF(DATOS!BM$5="Sí",1/DATOS_[[% normaliz]:[% normaliz]],1)*(DATOS_[C.Extra.05])))))))), 0)</f>
        <v>0</v>
      </c>
      <c r="AU61" s="254" t="n">
        <f aca="false" t="array" ref="AU61:AU61">IFERROR( MEDIAN(IF(DATOS_[Sexo]=$B61,IF(DATOS_[[AGRUP. CLAS. PROF.]:[AGRUP. CLAS. PROF.]]=$B60,IF(DATOS_[Check Equiparado]="Sí",IF(DATOS_[Check Periodo Ref.]="Dentro",DATOS_[Tot Extrasalarial Eq],0))))), 0)</f>
        <v>0</v>
      </c>
      <c r="AV61" s="255" t="n">
        <f aca="false" t="array" ref="AV61:AV61">IFERROR( MEDIAN(IF(DATOS_[Sexo]=$B61,IF(DATOS_[[AGRUP. CLAS. PROF.]:[AGRUP. CLAS. PROF.]]=$B60,IF(DATOS_[Check Equiparado]="Sí",IF(DATOS_[Check Periodo Ref.]="Dentro",DATOS_[TOTAL Retrib Eq],0))))), 0)</f>
        <v>0</v>
      </c>
    </row>
    <row r="62" customFormat="false" ht="14.25" hidden="false" customHeight="false" outlineLevel="0" collapsed="false">
      <c r="A62" s="217" t="str">
        <f aca="false">+A61</f>
        <v>[ocultar]</v>
      </c>
      <c r="B62" s="323" t="s">
        <v>372</v>
      </c>
      <c r="C62" s="247" t="n">
        <f aca="false" t="array" ref="C62:C62">SUM(IF($B62=DATOS_[Sexo], IF($B60=DATOS_[AGRUP. CLAS. PROF.], IF("Dentro"=DATOS_[Check Periodo Ref.], 1/(COUNTIFS(DATOS_[Sexo],$B62,DATOS_[AGRUP. CLAS. PROF.],$B60,DATOS_[Check Periodo Ref.],"Dentro",DATOS_[id],DATOS_[id]))))))</f>
        <v>0</v>
      </c>
      <c r="D62" s="248" t="n">
        <f aca="false">COUNTIFS(DATOS_[AGRUP. CLAS. PROF.],$B60,DATOS_[Sexo],$B62,DATOS_[Check Periodo Ref.],"Dentro")</f>
        <v>0</v>
      </c>
      <c r="E62" s="248" t="n">
        <f aca="false">COUNTIFS(DATOS_[AGRUP. CLAS. PROF.],$B60,DATOS_[Sexo],$B62,DATOS_[Check Periodo Ref.],"Dentro",DATOS_[Check Nº SC Norm],"Sí")</f>
        <v>0</v>
      </c>
      <c r="F62" s="248" t="n">
        <f aca="false">COUNTIFS(DATOS_[AGRUP. CLAS. PROF.],$B60,DATOS_[Sexo],$B62,DATOS_[Check Periodo Ref.],"Dentro",DATOS_[Check Nº SC Anualiz],"Sí")</f>
        <v>0</v>
      </c>
      <c r="G62" s="248" t="n">
        <f aca="false">COUNTIFS(DATOS_[AGRUP. CLAS. PROF.],$B60,DATOS_[Sexo],$B62,DATOS_[Check Periodo Ref.],"Dentro",DATOS_[Check Nº SC Norm y Anualiz],"Sí")</f>
        <v>0</v>
      </c>
      <c r="H62" s="248" t="n">
        <f aca="false">COUNTIFS(DATOS_[AGRUP. CLAS. PROF.],$B60,DATOS_[Sexo],$B62,DATOS_[Check Periodo Ref.],"Dentro",DATOS_[Check Equiparación],"Sí")</f>
        <v>0</v>
      </c>
      <c r="I62" s="249" t="n">
        <f aca="false" t="array" ref="I62:I62">IFERROR( MEDIAN(IF(DATOS_[Sexo]=$B62,IF(DATOS_[[AGRUP. CLAS. PROF.]:[AGRUP. CLAS. PROF.]]=$B60,IF(DATOS_[Check Equiparado]="Sí",IF(DATOS_[Check Periodo Ref.]="Dentro",DATOS_[SALARIO BASE Eq],0))))), 0)</f>
        <v>0</v>
      </c>
      <c r="J62" s="250" t="n">
        <f aca="false" t="array" ref="J62:J62">IFERROR( (MEDIAN((IF(DATOS_[[Sexo]:[Sexo]]=$B62,IF(DATOS_[[AGRUP. CLAS. PROF.]:[AGRUP. CLAS. PROF.]]=$B60,IF(DATOS_[[Check Periodo Ref.]:[Check Periodo Ref.]]="Dentro",IF(DATOS_[[Check Equiparado]:[Check Equiparado]]="Sí",IF(DATOS!AE$4="Sí",(1/DATOS_[[% anualiz]:[% anualiz]]),1)*IF(DATOS!AE$5="Sí",1/DATOS_[[% normaliz]:[% normaliz]],1)*(DATOS_[Conc.Sal.01])))))))), 0)</f>
        <v>0</v>
      </c>
      <c r="K62" s="250" t="n">
        <f aca="false" t="array" ref="K62:K62">IFERROR( (MEDIAN((IF(DATOS_[[Sexo]:[Sexo]]=$B62,IF(DATOS_[[AGRUP. CLAS. PROF.]:[AGRUP. CLAS. PROF.]]=$B60,IF(DATOS_[[Check Periodo Ref.]:[Check Periodo Ref.]]="Dentro",IF(DATOS_[[Check Equiparado]:[Check Equiparado]]="Sí",IF(DATOS!AF$4="Sí",(1/DATOS_[[% anualiz]:[% anualiz]]),1)*IF(DATOS!AF$5="Sí",1/DATOS_[[% normaliz]:[% normaliz]],1)*(DATOS_[Conc.Sal.02])))))))), 0)</f>
        <v>0</v>
      </c>
      <c r="L62" s="250" t="n">
        <f aca="false" t="array" ref="L62:L62">IFERROR( (MEDIAN((IF(DATOS_[[Sexo]:[Sexo]]=$B62,IF(DATOS_[[AGRUP. CLAS. PROF.]:[AGRUP. CLAS. PROF.]]=$B60,IF(DATOS_[[Check Periodo Ref.]:[Check Periodo Ref.]]="Dentro",IF(DATOS_[[Check Equiparado]:[Check Equiparado]]="Sí",IF(DATOS!AG$4="Sí",(1/DATOS_[[% anualiz]:[% anualiz]]),1)*IF(DATOS!AG$5="Sí",1/DATOS_[[% normaliz]:[% normaliz]],1)*(DATOS_[Conc.Sal.03])))))))), 0)</f>
        <v>0</v>
      </c>
      <c r="M62" s="250" t="n">
        <f aca="false" t="array" ref="M62:M62">IFERROR( (MEDIAN((IF(DATOS_[[Sexo]:[Sexo]]=$B62,IF(DATOS_[[AGRUP. CLAS. PROF.]:[AGRUP. CLAS. PROF.]]=$B60,IF(DATOS_[[Check Periodo Ref.]:[Check Periodo Ref.]]="Dentro",IF(DATOS_[[Check Equiparado]:[Check Equiparado]]="Sí",IF(DATOS!AH$4="Sí",(1/DATOS_[[% anualiz]:[% anualiz]]),1)*IF(DATOS!AH$5="Sí",1/DATOS_[[% normaliz]:[% normaliz]],1)*(DATOS_[Conc.Sal.04])))))))), 0)</f>
        <v>0</v>
      </c>
      <c r="N62" s="250" t="n">
        <f aca="false" t="array" ref="N62:N62">IFERROR( (MEDIAN((IF(DATOS_[[Sexo]:[Sexo]]=$B62,IF(DATOS_[[AGRUP. CLAS. PROF.]:[AGRUP. CLAS. PROF.]]=$B60,IF(DATOS_[[Check Periodo Ref.]:[Check Periodo Ref.]]="Dentro",IF(DATOS_[[Check Equiparado]:[Check Equiparado]]="Sí",IF(DATOS!AI$4="Sí",(1/DATOS_[[% anualiz]:[% anualiz]]),1)*IF(DATOS!AI$5="Sí",1/DATOS_[[% normaliz]:[% normaliz]],1)*(DATOS_[Conc.Sal.05])))))))), 0)</f>
        <v>0</v>
      </c>
      <c r="O62" s="250" t="n">
        <f aca="false" t="array" ref="O62:O62">IFERROR( (MEDIAN((IF(DATOS_[[Sexo]:[Sexo]]=$B62,IF(DATOS_[[AGRUP. CLAS. PROF.]:[AGRUP. CLAS. PROF.]]=$B60,IF(DATOS_[[Check Periodo Ref.]:[Check Periodo Ref.]]="Dentro",IF(DATOS_[[Check Equiparado]:[Check Equiparado]]="Sí",IF(DATOS!AJ$4="Sí",(1/DATOS_[[% anualiz]:[% anualiz]]),1)*IF(DATOS!AJ$5="Sí",1/DATOS_[[% normaliz]:[% normaliz]],1)*(DATOS_[Conc.Sal.06])))))))), 0)</f>
        <v>0</v>
      </c>
      <c r="P62" s="250" t="n">
        <f aca="false" t="array" ref="P62:P62">IFERROR( (MEDIAN((IF(DATOS_[[Sexo]:[Sexo]]=$B62,IF(DATOS_[[AGRUP. CLAS. PROF.]:[AGRUP. CLAS. PROF.]]=$B60,IF(DATOS_[[Check Periodo Ref.]:[Check Periodo Ref.]]="Dentro",IF(DATOS_[[Check Equiparado]:[Check Equiparado]]="Sí",IF(DATOS!AK$4="Sí",(1/DATOS_[[% anualiz]:[% anualiz]]),1)*IF(DATOS!AK$5="Sí",1/DATOS_[[% normaliz]:[% normaliz]],1)*(DATOS_[Conc.Sal.07])))))))), 0)</f>
        <v>0</v>
      </c>
      <c r="Q62" s="250" t="n">
        <f aca="false" t="array" ref="Q62:Q62">IFERROR( (MEDIAN((IF(DATOS_[[Sexo]:[Sexo]]=$B62,IF(DATOS_[[AGRUP. CLAS. PROF.]:[AGRUP. CLAS. PROF.]]=$B60,IF(DATOS_[[Check Periodo Ref.]:[Check Periodo Ref.]]="Dentro",IF(DATOS_[[Check Equiparado]:[Check Equiparado]]="Sí",IF(DATOS!AL$4="Sí",(1/DATOS_[[% anualiz]:[% anualiz]]),1)*IF(DATOS!AL$5="Sí",1/DATOS_[[% normaliz]:[% normaliz]],1)*(DATOS_[Conc.Sal.08])))))))), 0)</f>
        <v>0</v>
      </c>
      <c r="R62" s="250" t="n">
        <f aca="false" t="array" ref="R62:R62">IFERROR( (MEDIAN((IF(DATOS_[[Sexo]:[Sexo]]=$B62,IF(DATOS_[[AGRUP. CLAS. PROF.]:[AGRUP. CLAS. PROF.]]=$B60,IF(DATOS_[[Check Periodo Ref.]:[Check Periodo Ref.]]="Dentro",IF(DATOS_[[Check Equiparado]:[Check Equiparado]]="Sí",IF(DATOS!AM$4="Sí",(1/DATOS_[[% anualiz]:[% anualiz]]),1)*IF(DATOS!AM$5="Sí",1/DATOS_[[% normaliz]:[% normaliz]],1)*(DATOS_[Conc.Sal.09])))))))), 0)</f>
        <v>0</v>
      </c>
      <c r="S62" s="250" t="n">
        <f aca="false" t="array" ref="S62:S62">IFERROR( (MEDIAN((IF(DATOS_[[Sexo]:[Sexo]]=$B62,IF(DATOS_[[AGRUP. CLAS. PROF.]:[AGRUP. CLAS. PROF.]]=$B60,IF(DATOS_[[Check Periodo Ref.]:[Check Periodo Ref.]]="Dentro",IF(DATOS_[[Check Equiparado]:[Check Equiparado]]="Sí",IF(DATOS!AN$4="Sí",(1/DATOS_[[% anualiz]:[% anualiz]]),1)*IF(DATOS!AN$5="Sí",1/DATOS_[[% normaliz]:[% normaliz]],1)*(DATOS_[Conc.Sal.10])))))))), 0)</f>
        <v>0</v>
      </c>
      <c r="T62" s="250" t="n">
        <f aca="false" t="array" ref="T62:T62">IFERROR( (MEDIAN((IF(DATOS_[[Sexo]:[Sexo]]=$B62,IF(DATOS_[[AGRUP. CLAS. PROF.]:[AGRUP. CLAS. PROF.]]=$B60,IF(DATOS_[[Check Periodo Ref.]:[Check Periodo Ref.]]="Dentro",IF(DATOS_[[Check Equiparado]:[Check Equiparado]]="Sí",IF(DATOS!AO$4="Sí",(1/DATOS_[[% anualiz]:[% anualiz]]),1)*IF(DATOS!AO$5="Sí",1/DATOS_[[% normaliz]:[% normaliz]],1)*(DATOS_[Conc.Sal.11])))))))), 0)</f>
        <v>0</v>
      </c>
      <c r="U62" s="250" t="n">
        <f aca="false" t="array" ref="U62:U62">IFERROR( (MEDIAN((IF(DATOS_[[Sexo]:[Sexo]]=$B62,IF(DATOS_[[AGRUP. CLAS. PROF.]:[AGRUP. CLAS. PROF.]]=$B60,IF(DATOS_[[Check Periodo Ref.]:[Check Periodo Ref.]]="Dentro",IF(DATOS_[[Check Equiparado]:[Check Equiparado]]="Sí",IF(DATOS!AP$4="Sí",(1/DATOS_[[% anualiz]:[% anualiz]]),1)*IF(DATOS!AP$5="Sí",1/DATOS_[[% normaliz]:[% normaliz]],1)*(DATOS_[Conc.Sal.12])))))))), 0)</f>
        <v>0</v>
      </c>
      <c r="V62" s="250" t="n">
        <f aca="false" t="array" ref="V62:V62">IFERROR( (MEDIAN((IF(DATOS_[[Sexo]:[Sexo]]=$B62,IF(DATOS_[[AGRUP. CLAS. PROF.]:[AGRUP. CLAS. PROF.]]=$B60,IF(DATOS_[[Check Periodo Ref.]:[Check Periodo Ref.]]="Dentro",IF(DATOS_[[Check Equiparado]:[Check Equiparado]]="Sí",IF(DATOS!AQ$4="Sí",(1/DATOS_[[% anualiz]:[% anualiz]]),1)*IF(DATOS!AQ$5="Sí",1/DATOS_[[% normaliz]:[% normaliz]],1)*(DATOS_[Conc.Sal.13])))))))), 0)</f>
        <v>0</v>
      </c>
      <c r="W62" s="250" t="n">
        <f aca="false" t="array" ref="W62:W62">IFERROR( (MEDIAN((IF(DATOS_[[Sexo]:[Sexo]]=$B62,IF(DATOS_[[AGRUP. CLAS. PROF.]:[AGRUP. CLAS. PROF.]]=$B60,IF(DATOS_[[Check Periodo Ref.]:[Check Periodo Ref.]]="Dentro",IF(DATOS_[[Check Equiparado]:[Check Equiparado]]="Sí",IF(DATOS!AR$4="Sí",(1/DATOS_[[% anualiz]:[% anualiz]]),1)*IF(DATOS!AR$5="Sí",1/DATOS_[[% normaliz]:[% normaliz]],1)*(DATOS_[Conc.Sal.14])))))))), 0)</f>
        <v>0</v>
      </c>
      <c r="X62" s="250" t="n">
        <f aca="false" t="array" ref="X62:X62">IFERROR( (MEDIAN((IF(DATOS_[[Sexo]:[Sexo]]=$B62,IF(DATOS_[[AGRUP. CLAS. PROF.]:[AGRUP. CLAS. PROF.]]=$B60,IF(DATOS_[[Check Periodo Ref.]:[Check Periodo Ref.]]="Dentro",IF(DATOS_[[Check Equiparado]:[Check Equiparado]]="Sí",IF(DATOS!AS$4="Sí",(1/DATOS_[[% anualiz]:[% anualiz]]),1)*IF(DATOS!AS$5="Sí",1/DATOS_[[% normaliz]:[% normaliz]],1)*(DATOS_[Conc.Sal.15])))))))), 0)</f>
        <v>0</v>
      </c>
      <c r="Y62" s="250" t="n">
        <f aca="false" t="array" ref="Y62:Y62">IFERROR( (MEDIAN((IF(DATOS_[[Sexo]:[Sexo]]=$B62,IF(DATOS_[[AGRUP. CLAS. PROF.]:[AGRUP. CLAS. PROF.]]=$B60,IF(DATOS_[[Check Periodo Ref.]:[Check Periodo Ref.]]="Dentro",IF(DATOS_[[Check Equiparado]:[Check Equiparado]]="Sí",IF(DATOS!AT$4="Sí",(1/DATOS_[[% anualiz]:[% anualiz]]),1)*IF(DATOS!AT$5="Sí",1/DATOS_[[% normaliz]:[% normaliz]],1)*(DATOS_[Conc.Sal.16])))))))), 0)</f>
        <v>0</v>
      </c>
      <c r="Z62" s="250" t="n">
        <f aca="false" t="array" ref="Z62:Z62">IFERROR( (MEDIAN((IF(DATOS_[[Sexo]:[Sexo]]=$B62,IF(DATOS_[[AGRUP. CLAS. PROF.]:[AGRUP. CLAS. PROF.]]=$B60,IF(DATOS_[[Check Periodo Ref.]:[Check Periodo Ref.]]="Dentro",IF(DATOS_[[Check Equiparado]:[Check Equiparado]]="Sí",IF(DATOS!AU$4="Sí",(1/DATOS_[[% anualiz]:[% anualiz]]),1)*IF(DATOS!AU$5="Sí",1/DATOS_[[% normaliz]:[% normaliz]],1)*(DATOS_[Conc.Sal.17])))))))), 0)</f>
        <v>0</v>
      </c>
      <c r="AA62" s="250" t="n">
        <f aca="false" t="array" ref="AA62:AA62">IFERROR( (MEDIAN((IF(DATOS_[[Sexo]:[Sexo]]=$B62,IF(DATOS_[[AGRUP. CLAS. PROF.]:[AGRUP. CLAS. PROF.]]=$B60,IF(DATOS_[[Check Periodo Ref.]:[Check Periodo Ref.]]="Dentro",IF(DATOS_[[Check Equiparado]:[Check Equiparado]]="Sí",IF(DATOS!AV$4="Sí",(1/DATOS_[[% anualiz]:[% anualiz]]),1)*IF(DATOS!AV$5="Sí",1/DATOS_[[% normaliz]:[% normaliz]],1)*(DATOS_[Conc.Sal.18])))))))), 0)</f>
        <v>0</v>
      </c>
      <c r="AB62" s="250" t="n">
        <f aca="false" t="array" ref="AB62:AB62">IFERROR( (MEDIAN((IF(DATOS_[[Sexo]:[Sexo]]=$B62,IF(DATOS_[[AGRUP. CLAS. PROF.]:[AGRUP. CLAS. PROF.]]=$B60,IF(DATOS_[[Check Periodo Ref.]:[Check Periodo Ref.]]="Dentro",IF(DATOS_[[Check Equiparado]:[Check Equiparado]]="Sí",IF(DATOS!AW$4="Sí",(1/DATOS_[[% anualiz]:[% anualiz]]),1)*IF(DATOS!AW$5="Sí",1/DATOS_[[% normaliz]:[% normaliz]],1)*(DATOS_[Conc.Sal.19])))))))), 0)</f>
        <v>0</v>
      </c>
      <c r="AC62" s="250" t="n">
        <f aca="false" t="array" ref="AC62:AC62">IFERROR( (MEDIAN((IF(DATOS_[[Sexo]:[Sexo]]=$B62,IF(DATOS_[[AGRUP. CLAS. PROF.]:[AGRUP. CLAS. PROF.]]=$B60,IF(DATOS_[[Check Periodo Ref.]:[Check Periodo Ref.]]="Dentro",IF(DATOS_[[Check Equiparado]:[Check Equiparado]]="Sí",IF(DATOS!AX$4="Sí",(1/DATOS_[[% anualiz]:[% anualiz]]),1)*IF(DATOS!AX$5="Sí",1/DATOS_[[% normaliz]:[% normaliz]],1)*(DATOS_[Conc.Sal.20])))))))), 0)</f>
        <v>0</v>
      </c>
      <c r="AD62" s="250" t="n">
        <f aca="false" t="array" ref="AD62:AD62">IFERROR( (MEDIAN((IF(DATOS_[[Sexo]:[Sexo]]=$B62,IF(DATOS_[[AGRUP. CLAS. PROF.]:[AGRUP. CLAS. PROF.]]=$B60,IF(DATOS_[[Check Periodo Ref.]:[Check Periodo Ref.]]="Dentro",IF(DATOS_[[Check Equiparado]:[Check Equiparado]]="Sí",IF(DATOS!AY$4="Sí",(1/DATOS_[[% anualiz]:[% anualiz]]),1)*IF(DATOS!AY$5="Sí",1/DATOS_[[% normaliz]:[% normaliz]],1)*(DATOS_[Conc.Sal.21])))))))), 0)</f>
        <v>0</v>
      </c>
      <c r="AE62" s="250" t="n">
        <f aca="false" t="array" ref="AE62:AE62">IFERROR( (MEDIAN((IF(DATOS_[[Sexo]:[Sexo]]=$B62,IF(DATOS_[[AGRUP. CLAS. PROF.]:[AGRUP. CLAS. PROF.]]=$B60,IF(DATOS_[[Check Periodo Ref.]:[Check Periodo Ref.]]="Dentro",IF(DATOS_[[Check Equiparado]:[Check Equiparado]]="Sí",IF(DATOS!AZ$4="Sí",(1/DATOS_[[% anualiz]:[% anualiz]]),1)*IF(DATOS!AZ$5="Sí",1/DATOS_[[% normaliz]:[% normaliz]],1)*(DATOS_[Conc.Sal.22])))))))), 0)</f>
        <v>0</v>
      </c>
      <c r="AF62" s="250" t="n">
        <f aca="false" t="array" ref="AF62:AF62">IFERROR( (MEDIAN((IF(DATOS_[[Sexo]:[Sexo]]=$B62,IF(DATOS_[[AGRUP. CLAS. PROF.]:[AGRUP. CLAS. PROF.]]=$B60,IF(DATOS_[[Check Periodo Ref.]:[Check Periodo Ref.]]="Dentro",IF(DATOS_[[Check Equiparado]:[Check Equiparado]]="Sí",IF(DATOS!BA$4="Sí",(1/DATOS_[[% anualiz]:[% anualiz]]),1)*IF(DATOS!BA$5="Sí",1/DATOS_[[% normaliz]:[% normaliz]],1)*(DATOS_[Conc.Sal.23])))))))), 0)</f>
        <v>0</v>
      </c>
      <c r="AG62" s="250" t="n">
        <f aca="false" t="array" ref="AG62:AG62">IFERROR( (MEDIAN((IF(DATOS_[[Sexo]:[Sexo]]=$B62,IF(DATOS_[[AGRUP. CLAS. PROF.]:[AGRUP. CLAS. PROF.]]=$B60,IF(DATOS_[[Check Periodo Ref.]:[Check Periodo Ref.]]="Dentro",IF(DATOS_[[Check Equiparado]:[Check Equiparado]]="Sí",IF(DATOS!BB$4="Sí",(1/DATOS_[[% anualiz]:[% anualiz]]),1)*IF(DATOS!BB$5="Sí",1/DATOS_[[% normaliz]:[% normaliz]],1)*(DATOS_[Conc.Sal.24])))))))), 0)</f>
        <v>0</v>
      </c>
      <c r="AH62" s="250" t="n">
        <f aca="false" t="array" ref="AH62:AH62">IFERROR( (MEDIAN((IF(DATOS_[[Sexo]:[Sexo]]=$B62,IF(DATOS_[[AGRUP. CLAS. PROF.]:[AGRUP. CLAS. PROF.]]=$B60,IF(DATOS_[[Check Periodo Ref.]:[Check Periodo Ref.]]="Dentro",IF(DATOS_[[Check Equiparado]:[Check Equiparado]]="Sí",IF(DATOS!BC$4="Sí",(1/DATOS_[[% anualiz]:[% anualiz]]),1)*IF(DATOS!BC$5="Sí",1/DATOS_[[% normaliz]:[% normaliz]],1)*(DATOS_[Conc.Sal.25])))))))), 0)</f>
        <v>0</v>
      </c>
      <c r="AI62" s="250" t="n">
        <f aca="false" t="array" ref="AI62:AI62">IFERROR( (MEDIAN((IF(DATOS_[[Sexo]:[Sexo]]=$B62,IF(DATOS_[[AGRUP. CLAS. PROF.]:[AGRUP. CLAS. PROF.]]=$B60,IF(DATOS_[[Check Periodo Ref.]:[Check Periodo Ref.]]="Dentro",IF(DATOS_[[Check Equiparado]:[Check Equiparado]]="Sí",IF(DATOS!BD$4="Sí",(1/DATOS_[[% anualiz]:[% anualiz]]),1)*IF(DATOS!BD$5="Sí",1/DATOS_[[% normaliz]:[% normaliz]],1)*(DATOS_[Conc.Sal.26])))))))), 0)</f>
        <v>0</v>
      </c>
      <c r="AJ62" s="250" t="n">
        <f aca="false" t="array" ref="AJ62:AJ62">IFERROR( (MEDIAN((IF(DATOS_[[Sexo]:[Sexo]]=$B62,IF(DATOS_[[AGRUP. CLAS. PROF.]:[AGRUP. CLAS. PROF.]]=$B60,IF(DATOS_[[Check Periodo Ref.]:[Check Periodo Ref.]]="Dentro",IF(DATOS_[[Check Equiparado]:[Check Equiparado]]="Sí",IF(DATOS!BE$4="Sí",(1/DATOS_[[% anualiz]:[% anualiz]]),1)*IF(DATOS!BE$5="Sí",1/DATOS_[[% normaliz]:[% normaliz]],1)*(DATOS_[Conc.Sal.27])))))))), 0)</f>
        <v>0</v>
      </c>
      <c r="AK62" s="250" t="n">
        <f aca="false" t="array" ref="AK62:AK62">IFERROR( (MEDIAN((IF(DATOS_[[Sexo]:[Sexo]]=$B62,IF(DATOS_[[AGRUP. CLAS. PROF.]:[AGRUP. CLAS. PROF.]]=$B60,IF(DATOS_[[Check Periodo Ref.]:[Check Periodo Ref.]]="Dentro",IF(DATOS_[[Check Equiparado]:[Check Equiparado]]="Sí",IF(DATOS!BF$4="Sí",(1/DATOS_[[% anualiz]:[% anualiz]]),1)*IF(DATOS!BF$5="Sí",1/DATOS_[[% normaliz]:[% normaliz]],1)*(DATOS_[Conc.Sal.28])))))))), 0)</f>
        <v>0</v>
      </c>
      <c r="AL62" s="250" t="n">
        <f aca="false" t="array" ref="AL62:AL62">IFERROR( (MEDIAN((IF(DATOS_[[Sexo]:[Sexo]]=$B62,IF(DATOS_[[AGRUP. CLAS. PROF.]:[AGRUP. CLAS. PROF.]]=$B60,IF(DATOS_[[Check Periodo Ref.]:[Check Periodo Ref.]]="Dentro",IF(DATOS_[[Check Equiparado]:[Check Equiparado]]="Sí",IF(DATOS!BG$4="Sí",(1/DATOS_[[% anualiz]:[% anualiz]]),1)*IF(DATOS!BG$5="Sí",1/DATOS_[[% normaliz]:[% normaliz]],1)*(DATOS_[Conc.Sal.29])))))))), 0)</f>
        <v>0</v>
      </c>
      <c r="AM62" s="250" t="n">
        <f aca="false" t="array" ref="AM62:AM62">IFERROR( (MEDIAN((IF(DATOS_[[Sexo]:[Sexo]]=$B62,IF(DATOS_[[AGRUP. CLAS. PROF.]:[AGRUP. CLAS. PROF.]]=$B60,IF(DATOS_[[Check Periodo Ref.]:[Check Periodo Ref.]]="Dentro",IF(DATOS_[[Check Equiparado]:[Check Equiparado]]="Sí",IF(DATOS!BH$4="Sí",(1/DATOS_[[% anualiz]:[% anualiz]]),1)*IF(DATOS!BH$5="Sí",1/DATOS_[[% normaliz]:[% normaliz]],1)*(DATOS_[Conc.Sal.30])))))))), 0)</f>
        <v>0</v>
      </c>
      <c r="AN62" s="251" t="n">
        <f aca="false" t="array" ref="AN62:AN62">IFERROR( MEDIAN(IF(DATOS_[Sexo]=$B62,IF(DATOS_[[AGRUP. CLAS. PROF.]:[AGRUP. CLAS. PROF.]]=$B60,IF(DATOS_[Check Equiparado]="Sí",IF(DATOS_[Check Periodo Ref.]="Dentro",DATOS_[Tot COMPL.SAL Eq],0))))), 0)</f>
        <v>0</v>
      </c>
      <c r="AO62" s="252" t="n">
        <f aca="false" t="array" ref="AO62:AO62">IFERROR( MEDIAN(IF(DATOS_[Sexo]=$B62,IF(DATOS_[[AGRUP. CLAS. PROF.]:[AGRUP. CLAS. PROF.]]=$B60,IF(DATOS_[Check Equiparado]="Sí",IF(DATOS_[Check Periodo Ref.]="Dentro",DATOS_[TOTAL SALARIO Eq],0))))), 0)</f>
        <v>0</v>
      </c>
      <c r="AP62" s="259" t="n">
        <f aca="false" t="array" ref="AP62:AP62">IFERROR( (MEDIAN((IF(DATOS_[[Sexo]:[Sexo]]=$B62,IF(DATOS_[[AGRUP. CLAS. PROF.]:[AGRUP. CLAS. PROF.]]=$B61,IF(DATOS_[[Check Periodo Ref.]:[Check Periodo Ref.]]="Dentro",IF(DATOS_[[Check Equiparado]:[Check Equiparado]]="Sí",IF(DATOS!BI$4="Sí",(1/DATOS_[[% anualiz]:[% anualiz]]),1)*IF(DATOS!BI$5="Sí",1/DATOS_[[% normaliz]:[% normaliz]],1)*(DATOS_[C.Extra.01])))))))), 0)</f>
        <v>0</v>
      </c>
      <c r="AQ62" s="259" t="n">
        <f aca="false" t="array" ref="AQ62:AQ62">IFERROR( (MEDIAN((IF(DATOS_[[Sexo]:[Sexo]]=$B62,IF(DATOS_[[AGRUP. CLAS. PROF.]:[AGRUP. CLAS. PROF.]]=$B61,IF(DATOS_[[Check Periodo Ref.]:[Check Periodo Ref.]]="Dentro",IF(DATOS_[[Check Equiparado]:[Check Equiparado]]="Sí",IF(DATOS!BJ$4="Sí",(1/DATOS_[[% anualiz]:[% anualiz]]),1)*IF(DATOS!BJ$5="Sí",1/DATOS_[[% normaliz]:[% normaliz]],1)*(DATOS_[C.Extra.02])))))))), 0)</f>
        <v>0</v>
      </c>
      <c r="AR62" s="259" t="n">
        <f aca="false" t="array" ref="AR62:AR62">IFERROR( (MEDIAN((IF(DATOS_[[Sexo]:[Sexo]]=$B62,IF(DATOS_[[AGRUP. CLAS. PROF.]:[AGRUP. CLAS. PROF.]]=$B61,IF(DATOS_[[Check Periodo Ref.]:[Check Periodo Ref.]]="Dentro",IF(DATOS_[[Check Equiparado]:[Check Equiparado]]="Sí",IF(DATOS!BK$4="Sí",(1/DATOS_[[% anualiz]:[% anualiz]]),1)*IF(DATOS!BK$5="Sí",1/DATOS_[[% normaliz]:[% normaliz]],1)*(DATOS_[C.Extra.03])))))))), 0)</f>
        <v>0</v>
      </c>
      <c r="AS62" s="259" t="n">
        <f aca="false" t="array" ref="AS62:AS62">IFERROR( (MEDIAN((IF(DATOS_[[Sexo]:[Sexo]]=$B62,IF(DATOS_[[AGRUP. CLAS. PROF.]:[AGRUP. CLAS. PROF.]]=$B61,IF(DATOS_[[Check Periodo Ref.]:[Check Periodo Ref.]]="Dentro",IF(DATOS_[[Check Equiparado]:[Check Equiparado]]="Sí",IF(DATOS!BL$4="Sí",(1/DATOS_[[% anualiz]:[% anualiz]]),1)*IF(DATOS!BL$5="Sí",1/DATOS_[[% normaliz]:[% normaliz]],1)*(DATOS_[C.Extra.04])))))))), 0)</f>
        <v>0</v>
      </c>
      <c r="AT62" s="259" t="n">
        <f aca="false" t="array" ref="AT62:AT62">IFERROR( (MEDIAN((IF(DATOS_[[Sexo]:[Sexo]]=$B62,IF(DATOS_[[AGRUP. CLAS. PROF.]:[AGRUP. CLAS. PROF.]]=$B61,IF(DATOS_[[Check Periodo Ref.]:[Check Periodo Ref.]]="Dentro",IF(DATOS_[[Check Equiparado]:[Check Equiparado]]="Sí",IF(DATOS!BM$4="Sí",(1/DATOS_[[% anualiz]:[% anualiz]]),1)*IF(DATOS!BM$5="Sí",1/DATOS_[[% normaliz]:[% normaliz]],1)*(DATOS_[C.Extra.05])))))))), 0)</f>
        <v>0</v>
      </c>
      <c r="AU62" s="254" t="n">
        <f aca="false" t="array" ref="AU62:AU62">IFERROR( MEDIAN(IF(DATOS_[Sexo]=$B62,IF(DATOS_[[AGRUP. CLAS. PROF.]:[AGRUP. CLAS. PROF.]]=$B60,IF(DATOS_[Check Equiparado]="Sí",IF(DATOS_[Check Periodo Ref.]="Dentro",DATOS_[Tot Extrasalarial Eq],0))))), 0)</f>
        <v>0</v>
      </c>
      <c r="AV62" s="255" t="n">
        <f aca="false" t="array" ref="AV62:AV62">IFERROR( MEDIAN(IF(DATOS_[Sexo]=$B62,IF(DATOS_[[AGRUP. CLAS. PROF.]:[AGRUP. CLAS. PROF.]]=$B60,IF(DATOS_[Check Equiparado]="Sí",IF(DATOS_[Check Periodo Ref.]="Dentro",DATOS_[TOTAL Retrib Eq],0))))), 0)</f>
        <v>0</v>
      </c>
    </row>
    <row r="63" customFormat="false" ht="15.75" hidden="false" customHeight="false" outlineLevel="0" collapsed="false">
      <c r="A63" s="217" t="str">
        <f aca="false">+A64</f>
        <v>[ocultar]</v>
      </c>
      <c r="B63" s="320" t="s">
        <v>216</v>
      </c>
      <c r="C63" s="236"/>
      <c r="D63" s="237"/>
      <c r="E63" s="237"/>
      <c r="F63" s="237"/>
      <c r="G63" s="237"/>
      <c r="H63" s="237"/>
      <c r="I63" s="238"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39" t="str">
        <f aca="false">IFERROR((V64-V65)/V64,"")</f>
        <v/>
      </c>
      <c r="W63" s="239" t="str">
        <f aca="false">IFERROR((W64-W65)/W64,"")</f>
        <v/>
      </c>
      <c r="X63" s="239" t="str">
        <f aca="false">IFERROR((X64-X65)/X64,"")</f>
        <v/>
      </c>
      <c r="Y63" s="239"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0" t="str">
        <f aca="false">IFERROR((AJ64-AJ65)/AJ64,"")</f>
        <v/>
      </c>
      <c r="AK63" s="240" t="str">
        <f aca="false">IFERROR((AK64-AK65)/AK64,"")</f>
        <v/>
      </c>
      <c r="AL63" s="240" t="str">
        <f aca="false">IFERROR((AL64-AL65)/AL64,"")</f>
        <v/>
      </c>
      <c r="AM63" s="240" t="str">
        <f aca="false">IFERROR((AM64-AM65)/AM64,"")</f>
        <v/>
      </c>
      <c r="AN63" s="241" t="str">
        <f aca="false">IFERROR((AN64-AN65)/AN64,"")</f>
        <v/>
      </c>
      <c r="AO63" s="242" t="str">
        <f aca="false">IFERROR((AO64-AO65)/AO64,"")</f>
        <v/>
      </c>
      <c r="AP63" s="243" t="str">
        <f aca="false">IFERROR((AP64-AP65)/AP64,"")</f>
        <v/>
      </c>
      <c r="AQ63" s="243" t="str">
        <f aca="false">IFERROR((AQ64-AQ65)/AQ64,"")</f>
        <v/>
      </c>
      <c r="AR63" s="243" t="str">
        <f aca="false">IFERROR((AR64-AR65)/AR64,"")</f>
        <v/>
      </c>
      <c r="AS63" s="243" t="str">
        <f aca="false">IFERROR((AS64-AS65)/AS64,"")</f>
        <v/>
      </c>
      <c r="AT63" s="243" t="str">
        <f aca="false">IFERROR((AT64-AT65)/AT64,"")</f>
        <v/>
      </c>
      <c r="AU63" s="244" t="str">
        <f aca="false">IFERROR((AU64-AU65)/AU64,"")</f>
        <v/>
      </c>
      <c r="AV63" s="245" t="str">
        <f aca="false">IFERROR((AV64-AV65)/AV64,"")</f>
        <v/>
      </c>
    </row>
    <row r="64" customFormat="false" ht="14.25" hidden="false" customHeight="false" outlineLevel="0" collapsed="false">
      <c r="A64" s="217" t="str">
        <f aca="false">+IF(C64+C65=0,"[ocultar]","")</f>
        <v>[ocultar]</v>
      </c>
      <c r="B64" s="323" t="s">
        <v>371</v>
      </c>
      <c r="C64" s="247" t="n">
        <f aca="false" t="array" ref="C64:C64">SUM(IF($B64=DATOS_[Sexo], IF($B63=DATOS_[AGRUP. CLAS. PROF.], IF("Dentro"=DATOS_[Check Periodo Ref.], 1/(COUNTIFS(DATOS_[Sexo],$B64,DATOS_[AGRUP. CLAS. PROF.],$B63,DATOS_[Check Periodo Ref.],"Dentro",DATOS_[id],DATOS_[id]))))))</f>
        <v>0</v>
      </c>
      <c r="D64" s="248" t="n">
        <f aca="false">COUNTIFS(DATOS_[AGRUP. CLAS. PROF.],$B63,DATOS_[Sexo],$B64,DATOS_[Check Periodo Ref.],"Dentro")</f>
        <v>0</v>
      </c>
      <c r="E64" s="248" t="n">
        <f aca="false">COUNTIFS(DATOS_[AGRUP. CLAS. PROF.],$B63,DATOS_[Sexo],$B64,DATOS_[Check Periodo Ref.],"Dentro",DATOS_[Check Nº SC Norm],"Sí")</f>
        <v>0</v>
      </c>
      <c r="F64" s="248" t="n">
        <f aca="false">COUNTIFS(DATOS_[AGRUP. CLAS. PROF.],$B63,DATOS_[Sexo],$B64,DATOS_[Check Periodo Ref.],"Dentro",DATOS_[Check Nº SC Anualiz],"Sí")</f>
        <v>0</v>
      </c>
      <c r="G64" s="248" t="n">
        <f aca="false">COUNTIFS(DATOS_[AGRUP. CLAS. PROF.],$B63,DATOS_[Sexo],$B64,DATOS_[Check Periodo Ref.],"Dentro",DATOS_[Check Nº SC Norm y Anualiz],"Sí")</f>
        <v>0</v>
      </c>
      <c r="H64" s="248" t="n">
        <f aca="false">COUNTIFS(DATOS_[AGRUP. CLAS. PROF.],$B63,DATOS_[Sexo],$B64,DATOS_[Check Periodo Ref.],"Dentro",DATOS_[Check Equiparación],"Sí")</f>
        <v>0</v>
      </c>
      <c r="I64" s="249" t="n">
        <f aca="false" t="array" ref="I64:I64">IFERROR( MEDIAN(IF(DATOS_[Sexo]=$B64,IF(DATOS_[[AGRUP. CLAS. PROF.]:[AGRUP. CLAS. PROF.]]=$B63,IF(DATOS_[Check Equiparado]="Sí",IF(DATOS_[Check Periodo Ref.]="Dentro",DATOS_[SALARIO BASE Eq],0))))), 0)</f>
        <v>0</v>
      </c>
      <c r="J64" s="250" t="n">
        <f aca="false" t="array" ref="J64:J64">IFERROR( (MEDIAN((IF(DATOS_[[Sexo]:[Sexo]]=$B64,IF(DATOS_[[AGRUP. CLAS. PROF.]:[AGRUP. CLAS. PROF.]]=$B63,IF(DATOS_[[Check Periodo Ref.]:[Check Periodo Ref.]]="Dentro",IF(DATOS_[[Check Equiparado]:[Check Equiparado]]="Sí",IF(DATOS!AE$4="Sí",(1/DATOS_[[% anualiz]:[% anualiz]]),1)*IF(DATOS!AE$5="Sí",1/DATOS_[[% normaliz]:[% normaliz]],1)*(DATOS_[Conc.Sal.01])))))))), 0)</f>
        <v>0</v>
      </c>
      <c r="K64" s="250" t="n">
        <f aca="false" t="array" ref="K64:K64">IFERROR( (MEDIAN((IF(DATOS_[[Sexo]:[Sexo]]=$B64,IF(DATOS_[[AGRUP. CLAS. PROF.]:[AGRUP. CLAS. PROF.]]=$B63,IF(DATOS_[[Check Periodo Ref.]:[Check Periodo Ref.]]="Dentro",IF(DATOS_[[Check Equiparado]:[Check Equiparado]]="Sí",IF(DATOS!AF$4="Sí",(1/DATOS_[[% anualiz]:[% anualiz]]),1)*IF(DATOS!AF$5="Sí",1/DATOS_[[% normaliz]:[% normaliz]],1)*(DATOS_[Conc.Sal.02])))))))), 0)</f>
        <v>0</v>
      </c>
      <c r="L64" s="250" t="n">
        <f aca="false" t="array" ref="L64:L64">IFERROR( (MEDIAN((IF(DATOS_[[Sexo]:[Sexo]]=$B64,IF(DATOS_[[AGRUP. CLAS. PROF.]:[AGRUP. CLAS. PROF.]]=$B63,IF(DATOS_[[Check Periodo Ref.]:[Check Periodo Ref.]]="Dentro",IF(DATOS_[[Check Equiparado]:[Check Equiparado]]="Sí",IF(DATOS!AG$4="Sí",(1/DATOS_[[% anualiz]:[% anualiz]]),1)*IF(DATOS!AG$5="Sí",1/DATOS_[[% normaliz]:[% normaliz]],1)*(DATOS_[Conc.Sal.03])))))))), 0)</f>
        <v>0</v>
      </c>
      <c r="M64" s="250" t="n">
        <f aca="false" t="array" ref="M64:M64">IFERROR( (MEDIAN((IF(DATOS_[[Sexo]:[Sexo]]=$B64,IF(DATOS_[[AGRUP. CLAS. PROF.]:[AGRUP. CLAS. PROF.]]=$B63,IF(DATOS_[[Check Periodo Ref.]:[Check Periodo Ref.]]="Dentro",IF(DATOS_[[Check Equiparado]:[Check Equiparado]]="Sí",IF(DATOS!AH$4="Sí",(1/DATOS_[[% anualiz]:[% anualiz]]),1)*IF(DATOS!AH$5="Sí",1/DATOS_[[% normaliz]:[% normaliz]],1)*(DATOS_[Conc.Sal.04])))))))), 0)</f>
        <v>0</v>
      </c>
      <c r="N64" s="250" t="n">
        <f aca="false" t="array" ref="N64:N64">IFERROR( (MEDIAN((IF(DATOS_[[Sexo]:[Sexo]]=$B64,IF(DATOS_[[AGRUP. CLAS. PROF.]:[AGRUP. CLAS. PROF.]]=$B63,IF(DATOS_[[Check Periodo Ref.]:[Check Periodo Ref.]]="Dentro",IF(DATOS_[[Check Equiparado]:[Check Equiparado]]="Sí",IF(DATOS!AI$4="Sí",(1/DATOS_[[% anualiz]:[% anualiz]]),1)*IF(DATOS!AI$5="Sí",1/DATOS_[[% normaliz]:[% normaliz]],1)*(DATOS_[Conc.Sal.05])))))))), 0)</f>
        <v>0</v>
      </c>
      <c r="O64" s="250" t="n">
        <f aca="false" t="array" ref="O64:O64">IFERROR( (MEDIAN((IF(DATOS_[[Sexo]:[Sexo]]=$B64,IF(DATOS_[[AGRUP. CLAS. PROF.]:[AGRUP. CLAS. PROF.]]=$B63,IF(DATOS_[[Check Periodo Ref.]:[Check Periodo Ref.]]="Dentro",IF(DATOS_[[Check Equiparado]:[Check Equiparado]]="Sí",IF(DATOS!AJ$4="Sí",(1/DATOS_[[% anualiz]:[% anualiz]]),1)*IF(DATOS!AJ$5="Sí",1/DATOS_[[% normaliz]:[% normaliz]],1)*(DATOS_[Conc.Sal.06])))))))), 0)</f>
        <v>0</v>
      </c>
      <c r="P64" s="250" t="n">
        <f aca="false" t="array" ref="P64:P64">IFERROR( (MEDIAN((IF(DATOS_[[Sexo]:[Sexo]]=$B64,IF(DATOS_[[AGRUP. CLAS. PROF.]:[AGRUP. CLAS. PROF.]]=$B63,IF(DATOS_[[Check Periodo Ref.]:[Check Periodo Ref.]]="Dentro",IF(DATOS_[[Check Equiparado]:[Check Equiparado]]="Sí",IF(DATOS!AK$4="Sí",(1/DATOS_[[% anualiz]:[% anualiz]]),1)*IF(DATOS!AK$5="Sí",1/DATOS_[[% normaliz]:[% normaliz]],1)*(DATOS_[Conc.Sal.07])))))))), 0)</f>
        <v>0</v>
      </c>
      <c r="Q64" s="250" t="n">
        <f aca="false" t="array" ref="Q64:Q64">IFERROR( (MEDIAN((IF(DATOS_[[Sexo]:[Sexo]]=$B64,IF(DATOS_[[AGRUP. CLAS. PROF.]:[AGRUP. CLAS. PROF.]]=$B63,IF(DATOS_[[Check Periodo Ref.]:[Check Periodo Ref.]]="Dentro",IF(DATOS_[[Check Equiparado]:[Check Equiparado]]="Sí",IF(DATOS!AL$4="Sí",(1/DATOS_[[% anualiz]:[% anualiz]]),1)*IF(DATOS!AL$5="Sí",1/DATOS_[[% normaliz]:[% normaliz]],1)*(DATOS_[Conc.Sal.08])))))))), 0)</f>
        <v>0</v>
      </c>
      <c r="R64" s="250" t="n">
        <f aca="false" t="array" ref="R64:R64">IFERROR( (MEDIAN((IF(DATOS_[[Sexo]:[Sexo]]=$B64,IF(DATOS_[[AGRUP. CLAS. PROF.]:[AGRUP. CLAS. PROF.]]=$B63,IF(DATOS_[[Check Periodo Ref.]:[Check Periodo Ref.]]="Dentro",IF(DATOS_[[Check Equiparado]:[Check Equiparado]]="Sí",IF(DATOS!AM$4="Sí",(1/DATOS_[[% anualiz]:[% anualiz]]),1)*IF(DATOS!AM$5="Sí",1/DATOS_[[% normaliz]:[% normaliz]],1)*(DATOS_[Conc.Sal.09])))))))), 0)</f>
        <v>0</v>
      </c>
      <c r="S64" s="250" t="n">
        <f aca="false" t="array" ref="S64:S64">IFERROR( (MEDIAN((IF(DATOS_[[Sexo]:[Sexo]]=$B64,IF(DATOS_[[AGRUP. CLAS. PROF.]:[AGRUP. CLAS. PROF.]]=$B63,IF(DATOS_[[Check Periodo Ref.]:[Check Periodo Ref.]]="Dentro",IF(DATOS_[[Check Equiparado]:[Check Equiparado]]="Sí",IF(DATOS!AN$4="Sí",(1/DATOS_[[% anualiz]:[% anualiz]]),1)*IF(DATOS!AN$5="Sí",1/DATOS_[[% normaliz]:[% normaliz]],1)*(DATOS_[Conc.Sal.10])))))))), 0)</f>
        <v>0</v>
      </c>
      <c r="T64" s="250" t="n">
        <f aca="false" t="array" ref="T64:T64">IFERROR( (MEDIAN((IF(DATOS_[[Sexo]:[Sexo]]=$B64,IF(DATOS_[[AGRUP. CLAS. PROF.]:[AGRUP. CLAS. PROF.]]=$B63,IF(DATOS_[[Check Periodo Ref.]:[Check Periodo Ref.]]="Dentro",IF(DATOS_[[Check Equiparado]:[Check Equiparado]]="Sí",IF(DATOS!AO$4="Sí",(1/DATOS_[[% anualiz]:[% anualiz]]),1)*IF(DATOS!AO$5="Sí",1/DATOS_[[% normaliz]:[% normaliz]],1)*(DATOS_[Conc.Sal.11])))))))), 0)</f>
        <v>0</v>
      </c>
      <c r="U64" s="250" t="n">
        <f aca="false" t="array" ref="U64:U64">IFERROR( (MEDIAN((IF(DATOS_[[Sexo]:[Sexo]]=$B64,IF(DATOS_[[AGRUP. CLAS. PROF.]:[AGRUP. CLAS. PROF.]]=$B63,IF(DATOS_[[Check Periodo Ref.]:[Check Periodo Ref.]]="Dentro",IF(DATOS_[[Check Equiparado]:[Check Equiparado]]="Sí",IF(DATOS!AP$4="Sí",(1/DATOS_[[% anualiz]:[% anualiz]]),1)*IF(DATOS!AP$5="Sí",1/DATOS_[[% normaliz]:[% normaliz]],1)*(DATOS_[Conc.Sal.12])))))))), 0)</f>
        <v>0</v>
      </c>
      <c r="V64" s="250" t="n">
        <f aca="false" t="array" ref="V64:V64">IFERROR( (MEDIAN((IF(DATOS_[[Sexo]:[Sexo]]=$B64,IF(DATOS_[[AGRUP. CLAS. PROF.]:[AGRUP. CLAS. PROF.]]=$B63,IF(DATOS_[[Check Periodo Ref.]:[Check Periodo Ref.]]="Dentro",IF(DATOS_[[Check Equiparado]:[Check Equiparado]]="Sí",IF(DATOS!AQ$4="Sí",(1/DATOS_[[% anualiz]:[% anualiz]]),1)*IF(DATOS!AQ$5="Sí",1/DATOS_[[% normaliz]:[% normaliz]],1)*(DATOS_[Conc.Sal.13])))))))), 0)</f>
        <v>0</v>
      </c>
      <c r="W64" s="250" t="n">
        <f aca="false" t="array" ref="W64:W64">IFERROR( (MEDIAN((IF(DATOS_[[Sexo]:[Sexo]]=$B64,IF(DATOS_[[AGRUP. CLAS. PROF.]:[AGRUP. CLAS. PROF.]]=$B63,IF(DATOS_[[Check Periodo Ref.]:[Check Periodo Ref.]]="Dentro",IF(DATOS_[[Check Equiparado]:[Check Equiparado]]="Sí",IF(DATOS!AR$4="Sí",(1/DATOS_[[% anualiz]:[% anualiz]]),1)*IF(DATOS!AR$5="Sí",1/DATOS_[[% normaliz]:[% normaliz]],1)*(DATOS_[Conc.Sal.14])))))))), 0)</f>
        <v>0</v>
      </c>
      <c r="X64" s="250" t="n">
        <f aca="false" t="array" ref="X64:X64">IFERROR( (MEDIAN((IF(DATOS_[[Sexo]:[Sexo]]=$B64,IF(DATOS_[[AGRUP. CLAS. PROF.]:[AGRUP. CLAS. PROF.]]=$B63,IF(DATOS_[[Check Periodo Ref.]:[Check Periodo Ref.]]="Dentro",IF(DATOS_[[Check Equiparado]:[Check Equiparado]]="Sí",IF(DATOS!AS$4="Sí",(1/DATOS_[[% anualiz]:[% anualiz]]),1)*IF(DATOS!AS$5="Sí",1/DATOS_[[% normaliz]:[% normaliz]],1)*(DATOS_[Conc.Sal.15])))))))), 0)</f>
        <v>0</v>
      </c>
      <c r="Y64" s="250" t="n">
        <f aca="false" t="array" ref="Y64:Y64">IFERROR( (MEDIAN((IF(DATOS_[[Sexo]:[Sexo]]=$B64,IF(DATOS_[[AGRUP. CLAS. PROF.]:[AGRUP. CLAS. PROF.]]=$B63,IF(DATOS_[[Check Periodo Ref.]:[Check Periodo Ref.]]="Dentro",IF(DATOS_[[Check Equiparado]:[Check Equiparado]]="Sí",IF(DATOS!AT$4="Sí",(1/DATOS_[[% anualiz]:[% anualiz]]),1)*IF(DATOS!AT$5="Sí",1/DATOS_[[% normaliz]:[% normaliz]],1)*(DATOS_[Conc.Sal.16])))))))), 0)</f>
        <v>0</v>
      </c>
      <c r="Z64" s="250" t="n">
        <f aca="false" t="array" ref="Z64:Z64">IFERROR( (MEDIAN((IF(DATOS_[[Sexo]:[Sexo]]=$B64,IF(DATOS_[[AGRUP. CLAS. PROF.]:[AGRUP. CLAS. PROF.]]=$B63,IF(DATOS_[[Check Periodo Ref.]:[Check Periodo Ref.]]="Dentro",IF(DATOS_[[Check Equiparado]:[Check Equiparado]]="Sí",IF(DATOS!AU$4="Sí",(1/DATOS_[[% anualiz]:[% anualiz]]),1)*IF(DATOS!AU$5="Sí",1/DATOS_[[% normaliz]:[% normaliz]],1)*(DATOS_[Conc.Sal.17])))))))), 0)</f>
        <v>0</v>
      </c>
      <c r="AA64" s="250" t="n">
        <f aca="false" t="array" ref="AA64:AA64">IFERROR( (MEDIAN((IF(DATOS_[[Sexo]:[Sexo]]=$B64,IF(DATOS_[[AGRUP. CLAS. PROF.]:[AGRUP. CLAS. PROF.]]=$B63,IF(DATOS_[[Check Periodo Ref.]:[Check Periodo Ref.]]="Dentro",IF(DATOS_[[Check Equiparado]:[Check Equiparado]]="Sí",IF(DATOS!AV$4="Sí",(1/DATOS_[[% anualiz]:[% anualiz]]),1)*IF(DATOS!AV$5="Sí",1/DATOS_[[% normaliz]:[% normaliz]],1)*(DATOS_[Conc.Sal.18])))))))), 0)</f>
        <v>0</v>
      </c>
      <c r="AB64" s="250" t="n">
        <f aca="false" t="array" ref="AB64:AB64">IFERROR( (MEDIAN((IF(DATOS_[[Sexo]:[Sexo]]=$B64,IF(DATOS_[[AGRUP. CLAS. PROF.]:[AGRUP. CLAS. PROF.]]=$B63,IF(DATOS_[[Check Periodo Ref.]:[Check Periodo Ref.]]="Dentro",IF(DATOS_[[Check Equiparado]:[Check Equiparado]]="Sí",IF(DATOS!AW$4="Sí",(1/DATOS_[[% anualiz]:[% anualiz]]),1)*IF(DATOS!AW$5="Sí",1/DATOS_[[% normaliz]:[% normaliz]],1)*(DATOS_[Conc.Sal.19])))))))), 0)</f>
        <v>0</v>
      </c>
      <c r="AC64" s="250" t="n">
        <f aca="false" t="array" ref="AC64:AC64">IFERROR( (MEDIAN((IF(DATOS_[[Sexo]:[Sexo]]=$B64,IF(DATOS_[[AGRUP. CLAS. PROF.]:[AGRUP. CLAS. PROF.]]=$B63,IF(DATOS_[[Check Periodo Ref.]:[Check Periodo Ref.]]="Dentro",IF(DATOS_[[Check Equiparado]:[Check Equiparado]]="Sí",IF(DATOS!AX$4="Sí",(1/DATOS_[[% anualiz]:[% anualiz]]),1)*IF(DATOS!AX$5="Sí",1/DATOS_[[% normaliz]:[% normaliz]],1)*(DATOS_[Conc.Sal.20])))))))), 0)</f>
        <v>0</v>
      </c>
      <c r="AD64" s="250" t="n">
        <f aca="false" t="array" ref="AD64:AD64">IFERROR( (MEDIAN((IF(DATOS_[[Sexo]:[Sexo]]=$B64,IF(DATOS_[[AGRUP. CLAS. PROF.]:[AGRUP. CLAS. PROF.]]=$B63,IF(DATOS_[[Check Periodo Ref.]:[Check Periodo Ref.]]="Dentro",IF(DATOS_[[Check Equiparado]:[Check Equiparado]]="Sí",IF(DATOS!AY$4="Sí",(1/DATOS_[[% anualiz]:[% anualiz]]),1)*IF(DATOS!AY$5="Sí",1/DATOS_[[% normaliz]:[% normaliz]],1)*(DATOS_[Conc.Sal.21])))))))), 0)</f>
        <v>0</v>
      </c>
      <c r="AE64" s="250" t="n">
        <f aca="false" t="array" ref="AE64:AE64">IFERROR( (MEDIAN((IF(DATOS_[[Sexo]:[Sexo]]=$B64,IF(DATOS_[[AGRUP. CLAS. PROF.]:[AGRUP. CLAS. PROF.]]=$B63,IF(DATOS_[[Check Periodo Ref.]:[Check Periodo Ref.]]="Dentro",IF(DATOS_[[Check Equiparado]:[Check Equiparado]]="Sí",IF(DATOS!AZ$4="Sí",(1/DATOS_[[% anualiz]:[% anualiz]]),1)*IF(DATOS!AZ$5="Sí",1/DATOS_[[% normaliz]:[% normaliz]],1)*(DATOS_[Conc.Sal.22])))))))), 0)</f>
        <v>0</v>
      </c>
      <c r="AF64" s="250" t="n">
        <f aca="false" t="array" ref="AF64:AF64">IFERROR( (MEDIAN((IF(DATOS_[[Sexo]:[Sexo]]=$B64,IF(DATOS_[[AGRUP. CLAS. PROF.]:[AGRUP. CLAS. PROF.]]=$B63,IF(DATOS_[[Check Periodo Ref.]:[Check Periodo Ref.]]="Dentro",IF(DATOS_[[Check Equiparado]:[Check Equiparado]]="Sí",IF(DATOS!BA$4="Sí",(1/DATOS_[[% anualiz]:[% anualiz]]),1)*IF(DATOS!BA$5="Sí",1/DATOS_[[% normaliz]:[% normaliz]],1)*(DATOS_[Conc.Sal.23])))))))), 0)</f>
        <v>0</v>
      </c>
      <c r="AG64" s="250" t="n">
        <f aca="false" t="array" ref="AG64:AG64">IFERROR( (MEDIAN((IF(DATOS_[[Sexo]:[Sexo]]=$B64,IF(DATOS_[[AGRUP. CLAS. PROF.]:[AGRUP. CLAS. PROF.]]=$B63,IF(DATOS_[[Check Periodo Ref.]:[Check Periodo Ref.]]="Dentro",IF(DATOS_[[Check Equiparado]:[Check Equiparado]]="Sí",IF(DATOS!BB$4="Sí",(1/DATOS_[[% anualiz]:[% anualiz]]),1)*IF(DATOS!BB$5="Sí",1/DATOS_[[% normaliz]:[% normaliz]],1)*(DATOS_[Conc.Sal.24])))))))), 0)</f>
        <v>0</v>
      </c>
      <c r="AH64" s="250" t="n">
        <f aca="false" t="array" ref="AH64:AH64">IFERROR( (MEDIAN((IF(DATOS_[[Sexo]:[Sexo]]=$B64,IF(DATOS_[[AGRUP. CLAS. PROF.]:[AGRUP. CLAS. PROF.]]=$B63,IF(DATOS_[[Check Periodo Ref.]:[Check Periodo Ref.]]="Dentro",IF(DATOS_[[Check Equiparado]:[Check Equiparado]]="Sí",IF(DATOS!BC$4="Sí",(1/DATOS_[[% anualiz]:[% anualiz]]),1)*IF(DATOS!BC$5="Sí",1/DATOS_[[% normaliz]:[% normaliz]],1)*(DATOS_[Conc.Sal.25])))))))), 0)</f>
        <v>0</v>
      </c>
      <c r="AI64" s="250" t="n">
        <f aca="false" t="array" ref="AI64:AI64">IFERROR( (MEDIAN((IF(DATOS_[[Sexo]:[Sexo]]=$B64,IF(DATOS_[[AGRUP. CLAS. PROF.]:[AGRUP. CLAS. PROF.]]=$B63,IF(DATOS_[[Check Periodo Ref.]:[Check Periodo Ref.]]="Dentro",IF(DATOS_[[Check Equiparado]:[Check Equiparado]]="Sí",IF(DATOS!BD$4="Sí",(1/DATOS_[[% anualiz]:[% anualiz]]),1)*IF(DATOS!BD$5="Sí",1/DATOS_[[% normaliz]:[% normaliz]],1)*(DATOS_[Conc.Sal.26])))))))), 0)</f>
        <v>0</v>
      </c>
      <c r="AJ64" s="250" t="n">
        <f aca="false" t="array" ref="AJ64:AJ64">IFERROR( (MEDIAN((IF(DATOS_[[Sexo]:[Sexo]]=$B64,IF(DATOS_[[AGRUP. CLAS. PROF.]:[AGRUP. CLAS. PROF.]]=$B63,IF(DATOS_[[Check Periodo Ref.]:[Check Periodo Ref.]]="Dentro",IF(DATOS_[[Check Equiparado]:[Check Equiparado]]="Sí",IF(DATOS!BE$4="Sí",(1/DATOS_[[% anualiz]:[% anualiz]]),1)*IF(DATOS!BE$5="Sí",1/DATOS_[[% normaliz]:[% normaliz]],1)*(DATOS_[Conc.Sal.27])))))))), 0)</f>
        <v>0</v>
      </c>
      <c r="AK64" s="250" t="n">
        <f aca="false" t="array" ref="AK64:AK64">IFERROR( (MEDIAN((IF(DATOS_[[Sexo]:[Sexo]]=$B64,IF(DATOS_[[AGRUP. CLAS. PROF.]:[AGRUP. CLAS. PROF.]]=$B63,IF(DATOS_[[Check Periodo Ref.]:[Check Periodo Ref.]]="Dentro",IF(DATOS_[[Check Equiparado]:[Check Equiparado]]="Sí",IF(DATOS!BF$4="Sí",(1/DATOS_[[% anualiz]:[% anualiz]]),1)*IF(DATOS!BF$5="Sí",1/DATOS_[[% normaliz]:[% normaliz]],1)*(DATOS_[Conc.Sal.28])))))))), 0)</f>
        <v>0</v>
      </c>
      <c r="AL64" s="250" t="n">
        <f aca="false" t="array" ref="AL64:AL64">IFERROR( (MEDIAN((IF(DATOS_[[Sexo]:[Sexo]]=$B64,IF(DATOS_[[AGRUP. CLAS. PROF.]:[AGRUP. CLAS. PROF.]]=$B63,IF(DATOS_[[Check Periodo Ref.]:[Check Periodo Ref.]]="Dentro",IF(DATOS_[[Check Equiparado]:[Check Equiparado]]="Sí",IF(DATOS!BG$4="Sí",(1/DATOS_[[% anualiz]:[% anualiz]]),1)*IF(DATOS!BG$5="Sí",1/DATOS_[[% normaliz]:[% normaliz]],1)*(DATOS_[Conc.Sal.29])))))))), 0)</f>
        <v>0</v>
      </c>
      <c r="AM64" s="250" t="n">
        <f aca="false" t="array" ref="AM64:AM64">IFERROR( (MEDIAN((IF(DATOS_[[Sexo]:[Sexo]]=$B64,IF(DATOS_[[AGRUP. CLAS. PROF.]:[AGRUP. CLAS. PROF.]]=$B63,IF(DATOS_[[Check Periodo Ref.]:[Check Periodo Ref.]]="Dentro",IF(DATOS_[[Check Equiparado]:[Check Equiparado]]="Sí",IF(DATOS!BH$4="Sí",(1/DATOS_[[% anualiz]:[% anualiz]]),1)*IF(DATOS!BH$5="Sí",1/DATOS_[[% normaliz]:[% normaliz]],1)*(DATOS_[Conc.Sal.30])))))))), 0)</f>
        <v>0</v>
      </c>
      <c r="AN64" s="251" t="n">
        <f aca="false" t="array" ref="AN64:AN64">IFERROR( MEDIAN(IF(DATOS_[Sexo]=$B64,IF(DATOS_[[AGRUP. CLAS. PROF.]:[AGRUP. CLAS. PROF.]]=$B63,IF(DATOS_[Check Equiparado]="Sí",IF(DATOS_[Check Periodo Ref.]="Dentro",DATOS_[Tot COMPL.SAL Eq],0))))), 0)</f>
        <v>0</v>
      </c>
      <c r="AO64" s="252" t="n">
        <f aca="false" t="array" ref="AO64:AO64">IFERROR( MEDIAN(IF(DATOS_[Sexo]=$B64,IF(DATOS_[[AGRUP. CLAS. PROF.]:[AGRUP. CLAS. PROF.]]=$B63,IF(DATOS_[Check Equiparado]="Sí",IF(DATOS_[Check Periodo Ref.]="Dentro",DATOS_[TOTAL SALARIO Eq],0))))), 0)</f>
        <v>0</v>
      </c>
      <c r="AP64" s="259" t="n">
        <f aca="false" t="array" ref="AP64:AP64">IFERROR( (MEDIAN((IF(DATOS_[[Sexo]:[Sexo]]=$B64,IF(DATOS_[[AGRUP. CLAS. PROF.]:[AGRUP. CLAS. PROF.]]=$B63,IF(DATOS_[[Check Periodo Ref.]:[Check Periodo Ref.]]="Dentro",IF(DATOS_[[Check Equiparado]:[Check Equiparado]]="Sí",IF(DATOS!BI$4="Sí",(1/DATOS_[[% anualiz]:[% anualiz]]),1)*IF(DATOS!BI$5="Sí",1/DATOS_[[% normaliz]:[% normaliz]],1)*(DATOS_[C.Extra.01])))))))), 0)</f>
        <v>0</v>
      </c>
      <c r="AQ64" s="259" t="n">
        <f aca="false" t="array" ref="AQ64:AQ64">IFERROR( (MEDIAN((IF(DATOS_[[Sexo]:[Sexo]]=$B64,IF(DATOS_[[AGRUP. CLAS. PROF.]:[AGRUP. CLAS. PROF.]]=$B63,IF(DATOS_[[Check Periodo Ref.]:[Check Periodo Ref.]]="Dentro",IF(DATOS_[[Check Equiparado]:[Check Equiparado]]="Sí",IF(DATOS!BJ$4="Sí",(1/DATOS_[[% anualiz]:[% anualiz]]),1)*IF(DATOS!BJ$5="Sí",1/DATOS_[[% normaliz]:[% normaliz]],1)*(DATOS_[C.Extra.02])))))))), 0)</f>
        <v>0</v>
      </c>
      <c r="AR64" s="259" t="n">
        <f aca="false" t="array" ref="AR64:AR64">IFERROR( (MEDIAN((IF(DATOS_[[Sexo]:[Sexo]]=$B64,IF(DATOS_[[AGRUP. CLAS. PROF.]:[AGRUP. CLAS. PROF.]]=$B63,IF(DATOS_[[Check Periodo Ref.]:[Check Periodo Ref.]]="Dentro",IF(DATOS_[[Check Equiparado]:[Check Equiparado]]="Sí",IF(DATOS!BK$4="Sí",(1/DATOS_[[% anualiz]:[% anualiz]]),1)*IF(DATOS!BK$5="Sí",1/DATOS_[[% normaliz]:[% normaliz]],1)*(DATOS_[C.Extra.03])))))))), 0)</f>
        <v>0</v>
      </c>
      <c r="AS64" s="259" t="n">
        <f aca="false" t="array" ref="AS64:AS64">IFERROR( (MEDIAN((IF(DATOS_[[Sexo]:[Sexo]]=$B64,IF(DATOS_[[AGRUP. CLAS. PROF.]:[AGRUP. CLAS. PROF.]]=$B63,IF(DATOS_[[Check Periodo Ref.]:[Check Periodo Ref.]]="Dentro",IF(DATOS_[[Check Equiparado]:[Check Equiparado]]="Sí",IF(DATOS!BL$4="Sí",(1/DATOS_[[% anualiz]:[% anualiz]]),1)*IF(DATOS!BL$5="Sí",1/DATOS_[[% normaliz]:[% normaliz]],1)*(DATOS_[C.Extra.04])))))))), 0)</f>
        <v>0</v>
      </c>
      <c r="AT64" s="259" t="n">
        <f aca="false" t="array" ref="AT64:AT64">IFERROR( (MEDIAN((IF(DATOS_[[Sexo]:[Sexo]]=$B64,IF(DATOS_[[AGRUP. CLAS. PROF.]:[AGRUP. CLAS. PROF.]]=$B63,IF(DATOS_[[Check Periodo Ref.]:[Check Periodo Ref.]]="Dentro",IF(DATOS_[[Check Equiparado]:[Check Equiparado]]="Sí",IF(DATOS!BM$4="Sí",(1/DATOS_[[% anualiz]:[% anualiz]]),1)*IF(DATOS!BM$5="Sí",1/DATOS_[[% normaliz]:[% normaliz]],1)*(DATOS_[C.Extra.05])))))))), 0)</f>
        <v>0</v>
      </c>
      <c r="AU64" s="254" t="n">
        <f aca="false" t="array" ref="AU64:AU64">IFERROR( MEDIAN(IF(DATOS_[Sexo]=$B64,IF(DATOS_[[AGRUP. CLAS. PROF.]:[AGRUP. CLAS. PROF.]]=$B63,IF(DATOS_[Check Equiparado]="Sí",IF(DATOS_[Check Periodo Ref.]="Dentro",DATOS_[Tot Extrasalarial Eq],0))))), 0)</f>
        <v>0</v>
      </c>
      <c r="AV64" s="255" t="n">
        <f aca="false" t="array" ref="AV64:AV64">IFERROR( MEDIAN(IF(DATOS_[Sexo]=$B64,IF(DATOS_[[AGRUP. CLAS. PROF.]:[AGRUP. CLAS. PROF.]]=$B63,IF(DATOS_[Check Equiparado]="Sí",IF(DATOS_[Check Periodo Ref.]="Dentro",DATOS_[TOTAL Retrib Eq],0))))), 0)</f>
        <v>0</v>
      </c>
    </row>
    <row r="65" customFormat="false" ht="14.25" hidden="false" customHeight="false" outlineLevel="0" collapsed="false">
      <c r="A65" s="217" t="str">
        <f aca="false">+A64</f>
        <v>[ocultar]</v>
      </c>
      <c r="B65" s="323" t="s">
        <v>372</v>
      </c>
      <c r="C65" s="247" t="n">
        <f aca="false" t="array" ref="C65:C65">SUM(IF($B65=DATOS_[Sexo], IF($B63=DATOS_[AGRUP. CLAS. PROF.], IF("Dentro"=DATOS_[Check Periodo Ref.], 1/(COUNTIFS(DATOS_[Sexo],$B65,DATOS_[AGRUP. CLAS. PROF.],$B63,DATOS_[Check Periodo Ref.],"Dentro",DATOS_[id],DATOS_[id]))))))</f>
        <v>0</v>
      </c>
      <c r="D65" s="248" t="n">
        <f aca="false">COUNTIFS(DATOS_[AGRUP. CLAS. PROF.],$B63,DATOS_[Sexo],$B65,DATOS_[Check Periodo Ref.],"Dentro")</f>
        <v>0</v>
      </c>
      <c r="E65" s="248" t="n">
        <f aca="false">COUNTIFS(DATOS_[AGRUP. CLAS. PROF.],$B63,DATOS_[Sexo],$B65,DATOS_[Check Periodo Ref.],"Dentro",DATOS_[Check Nº SC Norm],"Sí")</f>
        <v>0</v>
      </c>
      <c r="F65" s="248" t="n">
        <f aca="false">COUNTIFS(DATOS_[AGRUP. CLAS. PROF.],$B63,DATOS_[Sexo],$B65,DATOS_[Check Periodo Ref.],"Dentro",DATOS_[Check Nº SC Anualiz],"Sí")</f>
        <v>0</v>
      </c>
      <c r="G65" s="248" t="n">
        <f aca="false">COUNTIFS(DATOS_[AGRUP. CLAS. PROF.],$B63,DATOS_[Sexo],$B65,DATOS_[Check Periodo Ref.],"Dentro",DATOS_[Check Nº SC Norm y Anualiz],"Sí")</f>
        <v>0</v>
      </c>
      <c r="H65" s="248" t="n">
        <f aca="false">COUNTIFS(DATOS_[AGRUP. CLAS. PROF.],$B63,DATOS_[Sexo],$B65,DATOS_[Check Periodo Ref.],"Dentro",DATOS_[Check Equiparación],"Sí")</f>
        <v>0</v>
      </c>
      <c r="I65" s="249" t="n">
        <f aca="false" t="array" ref="I65:I65">IFERROR( MEDIAN(IF(DATOS_[Sexo]=$B65,IF(DATOS_[[AGRUP. CLAS. PROF.]:[AGRUP. CLAS. PROF.]]=$B63,IF(DATOS_[Check Equiparado]="Sí",IF(DATOS_[Check Periodo Ref.]="Dentro",DATOS_[SALARIO BASE Eq],0))))), 0)</f>
        <v>0</v>
      </c>
      <c r="J65" s="250" t="n">
        <f aca="false" t="array" ref="J65:J65">IFERROR( (MEDIAN((IF(DATOS_[[Sexo]:[Sexo]]=$B65,IF(DATOS_[[AGRUP. CLAS. PROF.]:[AGRUP. CLAS. PROF.]]=$B63,IF(DATOS_[[Check Periodo Ref.]:[Check Periodo Ref.]]="Dentro",IF(DATOS_[[Check Equiparado]:[Check Equiparado]]="Sí",IF(DATOS!AE$4="Sí",(1/DATOS_[[% anualiz]:[% anualiz]]),1)*IF(DATOS!AE$5="Sí",1/DATOS_[[% normaliz]:[% normaliz]],1)*(DATOS_[Conc.Sal.01])))))))), 0)</f>
        <v>0</v>
      </c>
      <c r="K65" s="250" t="n">
        <f aca="false" t="array" ref="K65:K65">IFERROR( (MEDIAN((IF(DATOS_[[Sexo]:[Sexo]]=$B65,IF(DATOS_[[AGRUP. CLAS. PROF.]:[AGRUP. CLAS. PROF.]]=$B63,IF(DATOS_[[Check Periodo Ref.]:[Check Periodo Ref.]]="Dentro",IF(DATOS_[[Check Equiparado]:[Check Equiparado]]="Sí",IF(DATOS!AF$4="Sí",(1/DATOS_[[% anualiz]:[% anualiz]]),1)*IF(DATOS!AF$5="Sí",1/DATOS_[[% normaliz]:[% normaliz]],1)*(DATOS_[Conc.Sal.02])))))))), 0)</f>
        <v>0</v>
      </c>
      <c r="L65" s="250" t="n">
        <f aca="false" t="array" ref="L65:L65">IFERROR( (MEDIAN((IF(DATOS_[[Sexo]:[Sexo]]=$B65,IF(DATOS_[[AGRUP. CLAS. PROF.]:[AGRUP. CLAS. PROF.]]=$B63,IF(DATOS_[[Check Periodo Ref.]:[Check Periodo Ref.]]="Dentro",IF(DATOS_[[Check Equiparado]:[Check Equiparado]]="Sí",IF(DATOS!AG$4="Sí",(1/DATOS_[[% anualiz]:[% anualiz]]),1)*IF(DATOS!AG$5="Sí",1/DATOS_[[% normaliz]:[% normaliz]],1)*(DATOS_[Conc.Sal.03])))))))), 0)</f>
        <v>0</v>
      </c>
      <c r="M65" s="250" t="n">
        <f aca="false" t="array" ref="M65:M65">IFERROR( (MEDIAN((IF(DATOS_[[Sexo]:[Sexo]]=$B65,IF(DATOS_[[AGRUP. CLAS. PROF.]:[AGRUP. CLAS. PROF.]]=$B63,IF(DATOS_[[Check Periodo Ref.]:[Check Periodo Ref.]]="Dentro",IF(DATOS_[[Check Equiparado]:[Check Equiparado]]="Sí",IF(DATOS!AH$4="Sí",(1/DATOS_[[% anualiz]:[% anualiz]]),1)*IF(DATOS!AH$5="Sí",1/DATOS_[[% normaliz]:[% normaliz]],1)*(DATOS_[Conc.Sal.04])))))))), 0)</f>
        <v>0</v>
      </c>
      <c r="N65" s="250" t="n">
        <f aca="false" t="array" ref="N65:N65">IFERROR( (MEDIAN((IF(DATOS_[[Sexo]:[Sexo]]=$B65,IF(DATOS_[[AGRUP. CLAS. PROF.]:[AGRUP. CLAS. PROF.]]=$B63,IF(DATOS_[[Check Periodo Ref.]:[Check Periodo Ref.]]="Dentro",IF(DATOS_[[Check Equiparado]:[Check Equiparado]]="Sí",IF(DATOS!AI$4="Sí",(1/DATOS_[[% anualiz]:[% anualiz]]),1)*IF(DATOS!AI$5="Sí",1/DATOS_[[% normaliz]:[% normaliz]],1)*(DATOS_[Conc.Sal.05])))))))), 0)</f>
        <v>0</v>
      </c>
      <c r="O65" s="250" t="n">
        <f aca="false" t="array" ref="O65:O65">IFERROR( (MEDIAN((IF(DATOS_[[Sexo]:[Sexo]]=$B65,IF(DATOS_[[AGRUP. CLAS. PROF.]:[AGRUP. CLAS. PROF.]]=$B63,IF(DATOS_[[Check Periodo Ref.]:[Check Periodo Ref.]]="Dentro",IF(DATOS_[[Check Equiparado]:[Check Equiparado]]="Sí",IF(DATOS!AJ$4="Sí",(1/DATOS_[[% anualiz]:[% anualiz]]),1)*IF(DATOS!AJ$5="Sí",1/DATOS_[[% normaliz]:[% normaliz]],1)*(DATOS_[Conc.Sal.06])))))))), 0)</f>
        <v>0</v>
      </c>
      <c r="P65" s="250" t="n">
        <f aca="false" t="array" ref="P65:P65">IFERROR( (MEDIAN((IF(DATOS_[[Sexo]:[Sexo]]=$B65,IF(DATOS_[[AGRUP. CLAS. PROF.]:[AGRUP. CLAS. PROF.]]=$B63,IF(DATOS_[[Check Periodo Ref.]:[Check Periodo Ref.]]="Dentro",IF(DATOS_[[Check Equiparado]:[Check Equiparado]]="Sí",IF(DATOS!AK$4="Sí",(1/DATOS_[[% anualiz]:[% anualiz]]),1)*IF(DATOS!AK$5="Sí",1/DATOS_[[% normaliz]:[% normaliz]],1)*(DATOS_[Conc.Sal.07])))))))), 0)</f>
        <v>0</v>
      </c>
      <c r="Q65" s="250" t="n">
        <f aca="false" t="array" ref="Q65:Q65">IFERROR( (MEDIAN((IF(DATOS_[[Sexo]:[Sexo]]=$B65,IF(DATOS_[[AGRUP. CLAS. PROF.]:[AGRUP. CLAS. PROF.]]=$B63,IF(DATOS_[[Check Periodo Ref.]:[Check Periodo Ref.]]="Dentro",IF(DATOS_[[Check Equiparado]:[Check Equiparado]]="Sí",IF(DATOS!AL$4="Sí",(1/DATOS_[[% anualiz]:[% anualiz]]),1)*IF(DATOS!AL$5="Sí",1/DATOS_[[% normaliz]:[% normaliz]],1)*(DATOS_[Conc.Sal.08])))))))), 0)</f>
        <v>0</v>
      </c>
      <c r="R65" s="250" t="n">
        <f aca="false" t="array" ref="R65:R65">IFERROR( (MEDIAN((IF(DATOS_[[Sexo]:[Sexo]]=$B65,IF(DATOS_[[AGRUP. CLAS. PROF.]:[AGRUP. CLAS. PROF.]]=$B63,IF(DATOS_[[Check Periodo Ref.]:[Check Periodo Ref.]]="Dentro",IF(DATOS_[[Check Equiparado]:[Check Equiparado]]="Sí",IF(DATOS!AM$4="Sí",(1/DATOS_[[% anualiz]:[% anualiz]]),1)*IF(DATOS!AM$5="Sí",1/DATOS_[[% normaliz]:[% normaliz]],1)*(DATOS_[Conc.Sal.09])))))))), 0)</f>
        <v>0</v>
      </c>
      <c r="S65" s="250" t="n">
        <f aca="false" t="array" ref="S65:S65">IFERROR( (MEDIAN((IF(DATOS_[[Sexo]:[Sexo]]=$B65,IF(DATOS_[[AGRUP. CLAS. PROF.]:[AGRUP. CLAS. PROF.]]=$B63,IF(DATOS_[[Check Periodo Ref.]:[Check Periodo Ref.]]="Dentro",IF(DATOS_[[Check Equiparado]:[Check Equiparado]]="Sí",IF(DATOS!AN$4="Sí",(1/DATOS_[[% anualiz]:[% anualiz]]),1)*IF(DATOS!AN$5="Sí",1/DATOS_[[% normaliz]:[% normaliz]],1)*(DATOS_[Conc.Sal.10])))))))), 0)</f>
        <v>0</v>
      </c>
      <c r="T65" s="250" t="n">
        <f aca="false" t="array" ref="T65:T65">IFERROR( (MEDIAN((IF(DATOS_[[Sexo]:[Sexo]]=$B65,IF(DATOS_[[AGRUP. CLAS. PROF.]:[AGRUP. CLAS. PROF.]]=$B63,IF(DATOS_[[Check Periodo Ref.]:[Check Periodo Ref.]]="Dentro",IF(DATOS_[[Check Equiparado]:[Check Equiparado]]="Sí",IF(DATOS!AO$4="Sí",(1/DATOS_[[% anualiz]:[% anualiz]]),1)*IF(DATOS!AO$5="Sí",1/DATOS_[[% normaliz]:[% normaliz]],1)*(DATOS_[Conc.Sal.11])))))))), 0)</f>
        <v>0</v>
      </c>
      <c r="U65" s="250" t="n">
        <f aca="false" t="array" ref="U65:U65">IFERROR( (MEDIAN((IF(DATOS_[[Sexo]:[Sexo]]=$B65,IF(DATOS_[[AGRUP. CLAS. PROF.]:[AGRUP. CLAS. PROF.]]=$B63,IF(DATOS_[[Check Periodo Ref.]:[Check Periodo Ref.]]="Dentro",IF(DATOS_[[Check Equiparado]:[Check Equiparado]]="Sí",IF(DATOS!AP$4="Sí",(1/DATOS_[[% anualiz]:[% anualiz]]),1)*IF(DATOS!AP$5="Sí",1/DATOS_[[% normaliz]:[% normaliz]],1)*(DATOS_[Conc.Sal.12])))))))), 0)</f>
        <v>0</v>
      </c>
      <c r="V65" s="250" t="n">
        <f aca="false" t="array" ref="V65:V65">IFERROR( (MEDIAN((IF(DATOS_[[Sexo]:[Sexo]]=$B65,IF(DATOS_[[AGRUP. CLAS. PROF.]:[AGRUP. CLAS. PROF.]]=$B63,IF(DATOS_[[Check Periodo Ref.]:[Check Periodo Ref.]]="Dentro",IF(DATOS_[[Check Equiparado]:[Check Equiparado]]="Sí",IF(DATOS!AQ$4="Sí",(1/DATOS_[[% anualiz]:[% anualiz]]),1)*IF(DATOS!AQ$5="Sí",1/DATOS_[[% normaliz]:[% normaliz]],1)*(DATOS_[Conc.Sal.13])))))))), 0)</f>
        <v>0</v>
      </c>
      <c r="W65" s="250" t="n">
        <f aca="false" t="array" ref="W65:W65">IFERROR( (MEDIAN((IF(DATOS_[[Sexo]:[Sexo]]=$B65,IF(DATOS_[[AGRUP. CLAS. PROF.]:[AGRUP. CLAS. PROF.]]=$B63,IF(DATOS_[[Check Periodo Ref.]:[Check Periodo Ref.]]="Dentro",IF(DATOS_[[Check Equiparado]:[Check Equiparado]]="Sí",IF(DATOS!AR$4="Sí",(1/DATOS_[[% anualiz]:[% anualiz]]),1)*IF(DATOS!AR$5="Sí",1/DATOS_[[% normaliz]:[% normaliz]],1)*(DATOS_[Conc.Sal.14])))))))), 0)</f>
        <v>0</v>
      </c>
      <c r="X65" s="250" t="n">
        <f aca="false" t="array" ref="X65:X65">IFERROR( (MEDIAN((IF(DATOS_[[Sexo]:[Sexo]]=$B65,IF(DATOS_[[AGRUP. CLAS. PROF.]:[AGRUP. CLAS. PROF.]]=$B63,IF(DATOS_[[Check Periodo Ref.]:[Check Periodo Ref.]]="Dentro",IF(DATOS_[[Check Equiparado]:[Check Equiparado]]="Sí",IF(DATOS!AS$4="Sí",(1/DATOS_[[% anualiz]:[% anualiz]]),1)*IF(DATOS!AS$5="Sí",1/DATOS_[[% normaliz]:[% normaliz]],1)*(DATOS_[Conc.Sal.15])))))))), 0)</f>
        <v>0</v>
      </c>
      <c r="Y65" s="250" t="n">
        <f aca="false" t="array" ref="Y65:Y65">IFERROR( (MEDIAN((IF(DATOS_[[Sexo]:[Sexo]]=$B65,IF(DATOS_[[AGRUP. CLAS. PROF.]:[AGRUP. CLAS. PROF.]]=$B63,IF(DATOS_[[Check Periodo Ref.]:[Check Periodo Ref.]]="Dentro",IF(DATOS_[[Check Equiparado]:[Check Equiparado]]="Sí",IF(DATOS!AT$4="Sí",(1/DATOS_[[% anualiz]:[% anualiz]]),1)*IF(DATOS!AT$5="Sí",1/DATOS_[[% normaliz]:[% normaliz]],1)*(DATOS_[Conc.Sal.16])))))))), 0)</f>
        <v>0</v>
      </c>
      <c r="Z65" s="250" t="n">
        <f aca="false" t="array" ref="Z65:Z65">IFERROR( (MEDIAN((IF(DATOS_[[Sexo]:[Sexo]]=$B65,IF(DATOS_[[AGRUP. CLAS. PROF.]:[AGRUP. CLAS. PROF.]]=$B63,IF(DATOS_[[Check Periodo Ref.]:[Check Periodo Ref.]]="Dentro",IF(DATOS_[[Check Equiparado]:[Check Equiparado]]="Sí",IF(DATOS!AU$4="Sí",(1/DATOS_[[% anualiz]:[% anualiz]]),1)*IF(DATOS!AU$5="Sí",1/DATOS_[[% normaliz]:[% normaliz]],1)*(DATOS_[Conc.Sal.17])))))))), 0)</f>
        <v>0</v>
      </c>
      <c r="AA65" s="250" t="n">
        <f aca="false" t="array" ref="AA65:AA65">IFERROR( (MEDIAN((IF(DATOS_[[Sexo]:[Sexo]]=$B65,IF(DATOS_[[AGRUP. CLAS. PROF.]:[AGRUP. CLAS. PROF.]]=$B63,IF(DATOS_[[Check Periodo Ref.]:[Check Periodo Ref.]]="Dentro",IF(DATOS_[[Check Equiparado]:[Check Equiparado]]="Sí",IF(DATOS!AV$4="Sí",(1/DATOS_[[% anualiz]:[% anualiz]]),1)*IF(DATOS!AV$5="Sí",1/DATOS_[[% normaliz]:[% normaliz]],1)*(DATOS_[Conc.Sal.18])))))))), 0)</f>
        <v>0</v>
      </c>
      <c r="AB65" s="250" t="n">
        <f aca="false" t="array" ref="AB65:AB65">IFERROR( (MEDIAN((IF(DATOS_[[Sexo]:[Sexo]]=$B65,IF(DATOS_[[AGRUP. CLAS. PROF.]:[AGRUP. CLAS. PROF.]]=$B63,IF(DATOS_[[Check Periodo Ref.]:[Check Periodo Ref.]]="Dentro",IF(DATOS_[[Check Equiparado]:[Check Equiparado]]="Sí",IF(DATOS!AW$4="Sí",(1/DATOS_[[% anualiz]:[% anualiz]]),1)*IF(DATOS!AW$5="Sí",1/DATOS_[[% normaliz]:[% normaliz]],1)*(DATOS_[Conc.Sal.19])))))))), 0)</f>
        <v>0</v>
      </c>
      <c r="AC65" s="250" t="n">
        <f aca="false" t="array" ref="AC65:AC65">IFERROR( (MEDIAN((IF(DATOS_[[Sexo]:[Sexo]]=$B65,IF(DATOS_[[AGRUP. CLAS. PROF.]:[AGRUP. CLAS. PROF.]]=$B63,IF(DATOS_[[Check Periodo Ref.]:[Check Periodo Ref.]]="Dentro",IF(DATOS_[[Check Equiparado]:[Check Equiparado]]="Sí",IF(DATOS!AX$4="Sí",(1/DATOS_[[% anualiz]:[% anualiz]]),1)*IF(DATOS!AX$5="Sí",1/DATOS_[[% normaliz]:[% normaliz]],1)*(DATOS_[Conc.Sal.20])))))))), 0)</f>
        <v>0</v>
      </c>
      <c r="AD65" s="250" t="n">
        <f aca="false" t="array" ref="AD65:AD65">IFERROR( (MEDIAN((IF(DATOS_[[Sexo]:[Sexo]]=$B65,IF(DATOS_[[AGRUP. CLAS. PROF.]:[AGRUP. CLAS. PROF.]]=$B63,IF(DATOS_[[Check Periodo Ref.]:[Check Periodo Ref.]]="Dentro",IF(DATOS_[[Check Equiparado]:[Check Equiparado]]="Sí",IF(DATOS!AY$4="Sí",(1/DATOS_[[% anualiz]:[% anualiz]]),1)*IF(DATOS!AY$5="Sí",1/DATOS_[[% normaliz]:[% normaliz]],1)*(DATOS_[Conc.Sal.21])))))))), 0)</f>
        <v>0</v>
      </c>
      <c r="AE65" s="250" t="n">
        <f aca="false" t="array" ref="AE65:AE65">IFERROR( (MEDIAN((IF(DATOS_[[Sexo]:[Sexo]]=$B65,IF(DATOS_[[AGRUP. CLAS. PROF.]:[AGRUP. CLAS. PROF.]]=$B63,IF(DATOS_[[Check Periodo Ref.]:[Check Periodo Ref.]]="Dentro",IF(DATOS_[[Check Equiparado]:[Check Equiparado]]="Sí",IF(DATOS!AZ$4="Sí",(1/DATOS_[[% anualiz]:[% anualiz]]),1)*IF(DATOS!AZ$5="Sí",1/DATOS_[[% normaliz]:[% normaliz]],1)*(DATOS_[Conc.Sal.22])))))))), 0)</f>
        <v>0</v>
      </c>
      <c r="AF65" s="250" t="n">
        <f aca="false" t="array" ref="AF65:AF65">IFERROR( (MEDIAN((IF(DATOS_[[Sexo]:[Sexo]]=$B65,IF(DATOS_[[AGRUP. CLAS. PROF.]:[AGRUP. CLAS. PROF.]]=$B63,IF(DATOS_[[Check Periodo Ref.]:[Check Periodo Ref.]]="Dentro",IF(DATOS_[[Check Equiparado]:[Check Equiparado]]="Sí",IF(DATOS!BA$4="Sí",(1/DATOS_[[% anualiz]:[% anualiz]]),1)*IF(DATOS!BA$5="Sí",1/DATOS_[[% normaliz]:[% normaliz]],1)*(DATOS_[Conc.Sal.23])))))))), 0)</f>
        <v>0</v>
      </c>
      <c r="AG65" s="250" t="n">
        <f aca="false" t="array" ref="AG65:AG65">IFERROR( (MEDIAN((IF(DATOS_[[Sexo]:[Sexo]]=$B65,IF(DATOS_[[AGRUP. CLAS. PROF.]:[AGRUP. CLAS. PROF.]]=$B63,IF(DATOS_[[Check Periodo Ref.]:[Check Periodo Ref.]]="Dentro",IF(DATOS_[[Check Equiparado]:[Check Equiparado]]="Sí",IF(DATOS!BB$4="Sí",(1/DATOS_[[% anualiz]:[% anualiz]]),1)*IF(DATOS!BB$5="Sí",1/DATOS_[[% normaliz]:[% normaliz]],1)*(DATOS_[Conc.Sal.24])))))))), 0)</f>
        <v>0</v>
      </c>
      <c r="AH65" s="250" t="n">
        <f aca="false" t="array" ref="AH65:AH65">IFERROR( (MEDIAN((IF(DATOS_[[Sexo]:[Sexo]]=$B65,IF(DATOS_[[AGRUP. CLAS. PROF.]:[AGRUP. CLAS. PROF.]]=$B63,IF(DATOS_[[Check Periodo Ref.]:[Check Periodo Ref.]]="Dentro",IF(DATOS_[[Check Equiparado]:[Check Equiparado]]="Sí",IF(DATOS!BC$4="Sí",(1/DATOS_[[% anualiz]:[% anualiz]]),1)*IF(DATOS!BC$5="Sí",1/DATOS_[[% normaliz]:[% normaliz]],1)*(DATOS_[Conc.Sal.25])))))))), 0)</f>
        <v>0</v>
      </c>
      <c r="AI65" s="250" t="n">
        <f aca="false" t="array" ref="AI65:AI65">IFERROR( (MEDIAN((IF(DATOS_[[Sexo]:[Sexo]]=$B65,IF(DATOS_[[AGRUP. CLAS. PROF.]:[AGRUP. CLAS. PROF.]]=$B63,IF(DATOS_[[Check Periodo Ref.]:[Check Periodo Ref.]]="Dentro",IF(DATOS_[[Check Equiparado]:[Check Equiparado]]="Sí",IF(DATOS!BD$4="Sí",(1/DATOS_[[% anualiz]:[% anualiz]]),1)*IF(DATOS!BD$5="Sí",1/DATOS_[[% normaliz]:[% normaliz]],1)*(DATOS_[Conc.Sal.26])))))))), 0)</f>
        <v>0</v>
      </c>
      <c r="AJ65" s="250" t="n">
        <f aca="false" t="array" ref="AJ65:AJ65">IFERROR( (MEDIAN((IF(DATOS_[[Sexo]:[Sexo]]=$B65,IF(DATOS_[[AGRUP. CLAS. PROF.]:[AGRUP. CLAS. PROF.]]=$B63,IF(DATOS_[[Check Periodo Ref.]:[Check Periodo Ref.]]="Dentro",IF(DATOS_[[Check Equiparado]:[Check Equiparado]]="Sí",IF(DATOS!BE$4="Sí",(1/DATOS_[[% anualiz]:[% anualiz]]),1)*IF(DATOS!BE$5="Sí",1/DATOS_[[% normaliz]:[% normaliz]],1)*(DATOS_[Conc.Sal.27])))))))), 0)</f>
        <v>0</v>
      </c>
      <c r="AK65" s="250" t="n">
        <f aca="false" t="array" ref="AK65:AK65">IFERROR( (MEDIAN((IF(DATOS_[[Sexo]:[Sexo]]=$B65,IF(DATOS_[[AGRUP. CLAS. PROF.]:[AGRUP. CLAS. PROF.]]=$B63,IF(DATOS_[[Check Periodo Ref.]:[Check Periodo Ref.]]="Dentro",IF(DATOS_[[Check Equiparado]:[Check Equiparado]]="Sí",IF(DATOS!BF$4="Sí",(1/DATOS_[[% anualiz]:[% anualiz]]),1)*IF(DATOS!BF$5="Sí",1/DATOS_[[% normaliz]:[% normaliz]],1)*(DATOS_[Conc.Sal.28])))))))), 0)</f>
        <v>0</v>
      </c>
      <c r="AL65" s="250" t="n">
        <f aca="false" t="array" ref="AL65:AL65">IFERROR( (MEDIAN((IF(DATOS_[[Sexo]:[Sexo]]=$B65,IF(DATOS_[[AGRUP. CLAS. PROF.]:[AGRUP. CLAS. PROF.]]=$B63,IF(DATOS_[[Check Periodo Ref.]:[Check Periodo Ref.]]="Dentro",IF(DATOS_[[Check Equiparado]:[Check Equiparado]]="Sí",IF(DATOS!BG$4="Sí",(1/DATOS_[[% anualiz]:[% anualiz]]),1)*IF(DATOS!BG$5="Sí",1/DATOS_[[% normaliz]:[% normaliz]],1)*(DATOS_[Conc.Sal.29])))))))), 0)</f>
        <v>0</v>
      </c>
      <c r="AM65" s="250" t="n">
        <f aca="false" t="array" ref="AM65:AM65">IFERROR( (MEDIAN((IF(DATOS_[[Sexo]:[Sexo]]=$B65,IF(DATOS_[[AGRUP. CLAS. PROF.]:[AGRUP. CLAS. PROF.]]=$B63,IF(DATOS_[[Check Periodo Ref.]:[Check Periodo Ref.]]="Dentro",IF(DATOS_[[Check Equiparado]:[Check Equiparado]]="Sí",IF(DATOS!BH$4="Sí",(1/DATOS_[[% anualiz]:[% anualiz]]),1)*IF(DATOS!BH$5="Sí",1/DATOS_[[% normaliz]:[% normaliz]],1)*(DATOS_[Conc.Sal.30])))))))), 0)</f>
        <v>0</v>
      </c>
      <c r="AN65" s="251" t="n">
        <f aca="false" t="array" ref="AN65:AN65">IFERROR( MEDIAN(IF(DATOS_[Sexo]=$B65,IF(DATOS_[[AGRUP. CLAS. PROF.]:[AGRUP. CLAS. PROF.]]=$B63,IF(DATOS_[Check Equiparado]="Sí",IF(DATOS_[Check Periodo Ref.]="Dentro",DATOS_[Tot COMPL.SAL Eq],0))))), 0)</f>
        <v>0</v>
      </c>
      <c r="AO65" s="252" t="n">
        <f aca="false" t="array" ref="AO65:AO65">IFERROR( MEDIAN(IF(DATOS_[Sexo]=$B65,IF(DATOS_[[AGRUP. CLAS. PROF.]:[AGRUP. CLAS. PROF.]]=$B63,IF(DATOS_[Check Equiparado]="Sí",IF(DATOS_[Check Periodo Ref.]="Dentro",DATOS_[TOTAL SALARIO Eq],0))))), 0)</f>
        <v>0</v>
      </c>
      <c r="AP65" s="259" t="n">
        <f aca="false" t="array" ref="AP65:AP65">IFERROR( (MEDIAN((IF(DATOS_[[Sexo]:[Sexo]]=$B65,IF(DATOS_[[AGRUP. CLAS. PROF.]:[AGRUP. CLAS. PROF.]]=$B64,IF(DATOS_[[Check Periodo Ref.]:[Check Periodo Ref.]]="Dentro",IF(DATOS_[[Check Equiparado]:[Check Equiparado]]="Sí",IF(DATOS!BI$4="Sí",(1/DATOS_[[% anualiz]:[% anualiz]]),1)*IF(DATOS!BI$5="Sí",1/DATOS_[[% normaliz]:[% normaliz]],1)*(DATOS_[C.Extra.01])))))))), 0)</f>
        <v>0</v>
      </c>
      <c r="AQ65" s="259" t="n">
        <f aca="false" t="array" ref="AQ65:AQ65">IFERROR( (MEDIAN((IF(DATOS_[[Sexo]:[Sexo]]=$B65,IF(DATOS_[[AGRUP. CLAS. PROF.]:[AGRUP. CLAS. PROF.]]=$B64,IF(DATOS_[[Check Periodo Ref.]:[Check Periodo Ref.]]="Dentro",IF(DATOS_[[Check Equiparado]:[Check Equiparado]]="Sí",IF(DATOS!BJ$4="Sí",(1/DATOS_[[% anualiz]:[% anualiz]]),1)*IF(DATOS!BJ$5="Sí",1/DATOS_[[% normaliz]:[% normaliz]],1)*(DATOS_[C.Extra.02])))))))), 0)</f>
        <v>0</v>
      </c>
      <c r="AR65" s="259" t="n">
        <f aca="false" t="array" ref="AR65:AR65">IFERROR( (MEDIAN((IF(DATOS_[[Sexo]:[Sexo]]=$B65,IF(DATOS_[[AGRUP. CLAS. PROF.]:[AGRUP. CLAS. PROF.]]=$B64,IF(DATOS_[[Check Periodo Ref.]:[Check Periodo Ref.]]="Dentro",IF(DATOS_[[Check Equiparado]:[Check Equiparado]]="Sí",IF(DATOS!BK$4="Sí",(1/DATOS_[[% anualiz]:[% anualiz]]),1)*IF(DATOS!BK$5="Sí",1/DATOS_[[% normaliz]:[% normaliz]],1)*(DATOS_[C.Extra.03])))))))), 0)</f>
        <v>0</v>
      </c>
      <c r="AS65" s="259" t="n">
        <f aca="false" t="array" ref="AS65:AS65">IFERROR( (MEDIAN((IF(DATOS_[[Sexo]:[Sexo]]=$B65,IF(DATOS_[[AGRUP. CLAS. PROF.]:[AGRUP. CLAS. PROF.]]=$B64,IF(DATOS_[[Check Periodo Ref.]:[Check Periodo Ref.]]="Dentro",IF(DATOS_[[Check Equiparado]:[Check Equiparado]]="Sí",IF(DATOS!BL$4="Sí",(1/DATOS_[[% anualiz]:[% anualiz]]),1)*IF(DATOS!BL$5="Sí",1/DATOS_[[% normaliz]:[% normaliz]],1)*(DATOS_[C.Extra.04])))))))), 0)</f>
        <v>0</v>
      </c>
      <c r="AT65" s="259" t="n">
        <f aca="false" t="array" ref="AT65:AT65">IFERROR( (MEDIAN((IF(DATOS_[[Sexo]:[Sexo]]=$B65,IF(DATOS_[[AGRUP. CLAS. PROF.]:[AGRUP. CLAS. PROF.]]=$B64,IF(DATOS_[[Check Periodo Ref.]:[Check Periodo Ref.]]="Dentro",IF(DATOS_[[Check Equiparado]:[Check Equiparado]]="Sí",IF(DATOS!BM$4="Sí",(1/DATOS_[[% anualiz]:[% anualiz]]),1)*IF(DATOS!BM$5="Sí",1/DATOS_[[% normaliz]:[% normaliz]],1)*(DATOS_[C.Extra.05])))))))), 0)</f>
        <v>0</v>
      </c>
      <c r="AU65" s="254" t="n">
        <f aca="false" t="array" ref="AU65:AU65">IFERROR( MEDIAN(IF(DATOS_[Sexo]=$B65,IF(DATOS_[[AGRUP. CLAS. PROF.]:[AGRUP. CLAS. PROF.]]=$B63,IF(DATOS_[Check Equiparado]="Sí",IF(DATOS_[Check Periodo Ref.]="Dentro",DATOS_[Tot Extrasalarial Eq],0))))), 0)</f>
        <v>0</v>
      </c>
      <c r="AV65" s="255" t="n">
        <f aca="false" t="array" ref="AV65:AV65">IFERROR( MEDIAN(IF(DATOS_[Sexo]=$B65,IF(DATOS_[[AGRUP. CLAS. PROF.]:[AGRUP. CLAS. PROF.]]=$B63,IF(DATOS_[Check Equiparado]="Sí",IF(DATOS_[Check Periodo Ref.]="Dentro",DATOS_[TOTAL Retrib Eq],0))))), 0)</f>
        <v>0</v>
      </c>
    </row>
    <row r="66" customFormat="false" ht="15.75" hidden="false" customHeight="false" outlineLevel="0" collapsed="false">
      <c r="A66" s="217" t="str">
        <f aca="false">+A67</f>
        <v>[ocultar]</v>
      </c>
      <c r="B66" s="320" t="s">
        <v>219</v>
      </c>
      <c r="C66" s="236"/>
      <c r="D66" s="237"/>
      <c r="E66" s="237"/>
      <c r="F66" s="237"/>
      <c r="G66" s="237"/>
      <c r="H66" s="237"/>
      <c r="I66" s="238"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39" t="str">
        <f aca="false">IFERROR((V67-V68)/V67,"")</f>
        <v/>
      </c>
      <c r="W66" s="239" t="str">
        <f aca="false">IFERROR((W67-W68)/W67,"")</f>
        <v/>
      </c>
      <c r="X66" s="239" t="str">
        <f aca="false">IFERROR((X67-X68)/X67,"")</f>
        <v/>
      </c>
      <c r="Y66" s="239"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0" t="str">
        <f aca="false">IFERROR((AJ67-AJ68)/AJ67,"")</f>
        <v/>
      </c>
      <c r="AK66" s="240" t="str">
        <f aca="false">IFERROR((AK67-AK68)/AK67,"")</f>
        <v/>
      </c>
      <c r="AL66" s="240" t="str">
        <f aca="false">IFERROR((AL67-AL68)/AL67,"")</f>
        <v/>
      </c>
      <c r="AM66" s="240" t="str">
        <f aca="false">IFERROR((AM67-AM68)/AM67,"")</f>
        <v/>
      </c>
      <c r="AN66" s="241" t="str">
        <f aca="false">IFERROR((AN67-AN68)/AN67,"")</f>
        <v/>
      </c>
      <c r="AO66" s="242" t="str">
        <f aca="false">IFERROR((AO67-AO68)/AO67,"")</f>
        <v/>
      </c>
      <c r="AP66" s="243" t="str">
        <f aca="false">IFERROR((AP67-AP68)/AP67,"")</f>
        <v/>
      </c>
      <c r="AQ66" s="243" t="str">
        <f aca="false">IFERROR((AQ67-AQ68)/AQ67,"")</f>
        <v/>
      </c>
      <c r="AR66" s="243" t="str">
        <f aca="false">IFERROR((AR67-AR68)/AR67,"")</f>
        <v/>
      </c>
      <c r="AS66" s="243" t="str">
        <f aca="false">IFERROR((AS67-AS68)/AS67,"")</f>
        <v/>
      </c>
      <c r="AT66" s="243" t="str">
        <f aca="false">IFERROR((AT67-AT68)/AT67,"")</f>
        <v/>
      </c>
      <c r="AU66" s="244" t="str">
        <f aca="false">IFERROR((AU67-AU68)/AU67,"")</f>
        <v/>
      </c>
      <c r="AV66" s="245" t="str">
        <f aca="false">IFERROR((AV67-AV68)/AV67,"")</f>
        <v/>
      </c>
    </row>
    <row r="67" customFormat="false" ht="14.25" hidden="false" customHeight="false" outlineLevel="0" collapsed="false">
      <c r="A67" s="217" t="str">
        <f aca="false">+IF(C67+C68=0,"[ocultar]","")</f>
        <v>[ocultar]</v>
      </c>
      <c r="B67" s="323" t="s">
        <v>371</v>
      </c>
      <c r="C67" s="247" t="n">
        <f aca="false" t="array" ref="C67:C67">SUM(IF($B67=DATOS_[Sexo], IF($B66=DATOS_[AGRUP. CLAS. PROF.], IF("Dentro"=DATOS_[Check Periodo Ref.], 1/(COUNTIFS(DATOS_[Sexo],$B67,DATOS_[AGRUP. CLAS. PROF.],$B66,DATOS_[Check Periodo Ref.],"Dentro",DATOS_[id],DATOS_[id]))))))</f>
        <v>0</v>
      </c>
      <c r="D67" s="248" t="n">
        <f aca="false">COUNTIFS(DATOS_[AGRUP. CLAS. PROF.],$B66,DATOS_[Sexo],$B67,DATOS_[Check Periodo Ref.],"Dentro")</f>
        <v>0</v>
      </c>
      <c r="E67" s="248" t="n">
        <f aca="false">COUNTIFS(DATOS_[AGRUP. CLAS. PROF.],$B66,DATOS_[Sexo],$B67,DATOS_[Check Periodo Ref.],"Dentro",DATOS_[Check Nº SC Norm],"Sí")</f>
        <v>0</v>
      </c>
      <c r="F67" s="248" t="n">
        <f aca="false">COUNTIFS(DATOS_[AGRUP. CLAS. PROF.],$B66,DATOS_[Sexo],$B67,DATOS_[Check Periodo Ref.],"Dentro",DATOS_[Check Nº SC Anualiz],"Sí")</f>
        <v>0</v>
      </c>
      <c r="G67" s="248" t="n">
        <f aca="false">COUNTIFS(DATOS_[AGRUP. CLAS. PROF.],$B66,DATOS_[Sexo],$B67,DATOS_[Check Periodo Ref.],"Dentro",DATOS_[Check Nº SC Norm y Anualiz],"Sí")</f>
        <v>0</v>
      </c>
      <c r="H67" s="248" t="n">
        <f aca="false">COUNTIFS(DATOS_[AGRUP. CLAS. PROF.],$B66,DATOS_[Sexo],$B67,DATOS_[Check Periodo Ref.],"Dentro",DATOS_[Check Equiparación],"Sí")</f>
        <v>0</v>
      </c>
      <c r="I67" s="249" t="n">
        <f aca="false" t="array" ref="I67:I67">IFERROR( MEDIAN(IF(DATOS_[Sexo]=$B67,IF(DATOS_[[AGRUP. CLAS. PROF.]:[AGRUP. CLAS. PROF.]]=$B66,IF(DATOS_[Check Equiparado]="Sí",IF(DATOS_[Check Periodo Ref.]="Dentro",DATOS_[SALARIO BASE Eq],0))))), 0)</f>
        <v>0</v>
      </c>
      <c r="J67" s="250" t="n">
        <f aca="false" t="array" ref="J67:J67">IFERROR( (MEDIAN((IF(DATOS_[[Sexo]:[Sexo]]=$B67,IF(DATOS_[[AGRUP. CLAS. PROF.]:[AGRUP. CLAS. PROF.]]=$B66,IF(DATOS_[[Check Periodo Ref.]:[Check Periodo Ref.]]="Dentro",IF(DATOS_[[Check Equiparado]:[Check Equiparado]]="Sí",IF(DATOS!AE$4="Sí",(1/DATOS_[[% anualiz]:[% anualiz]]),1)*IF(DATOS!AE$5="Sí",1/DATOS_[[% normaliz]:[% normaliz]],1)*(DATOS_[Conc.Sal.01])))))))), 0)</f>
        <v>0</v>
      </c>
      <c r="K67" s="250" t="n">
        <f aca="false" t="array" ref="K67:K67">IFERROR( (MEDIAN((IF(DATOS_[[Sexo]:[Sexo]]=$B67,IF(DATOS_[[AGRUP. CLAS. PROF.]:[AGRUP. CLAS. PROF.]]=$B66,IF(DATOS_[[Check Periodo Ref.]:[Check Periodo Ref.]]="Dentro",IF(DATOS_[[Check Equiparado]:[Check Equiparado]]="Sí",IF(DATOS!AF$4="Sí",(1/DATOS_[[% anualiz]:[% anualiz]]),1)*IF(DATOS!AF$5="Sí",1/DATOS_[[% normaliz]:[% normaliz]],1)*(DATOS_[Conc.Sal.02])))))))), 0)</f>
        <v>0</v>
      </c>
      <c r="L67" s="250" t="n">
        <f aca="false" t="array" ref="L67:L67">IFERROR( (MEDIAN((IF(DATOS_[[Sexo]:[Sexo]]=$B67,IF(DATOS_[[AGRUP. CLAS. PROF.]:[AGRUP. CLAS. PROF.]]=$B66,IF(DATOS_[[Check Periodo Ref.]:[Check Periodo Ref.]]="Dentro",IF(DATOS_[[Check Equiparado]:[Check Equiparado]]="Sí",IF(DATOS!AG$4="Sí",(1/DATOS_[[% anualiz]:[% anualiz]]),1)*IF(DATOS!AG$5="Sí",1/DATOS_[[% normaliz]:[% normaliz]],1)*(DATOS_[Conc.Sal.03])))))))), 0)</f>
        <v>0</v>
      </c>
      <c r="M67" s="250" t="n">
        <f aca="false" t="array" ref="M67:M67">IFERROR( (MEDIAN((IF(DATOS_[[Sexo]:[Sexo]]=$B67,IF(DATOS_[[AGRUP. CLAS. PROF.]:[AGRUP. CLAS. PROF.]]=$B66,IF(DATOS_[[Check Periodo Ref.]:[Check Periodo Ref.]]="Dentro",IF(DATOS_[[Check Equiparado]:[Check Equiparado]]="Sí",IF(DATOS!AH$4="Sí",(1/DATOS_[[% anualiz]:[% anualiz]]),1)*IF(DATOS!AH$5="Sí",1/DATOS_[[% normaliz]:[% normaliz]],1)*(DATOS_[Conc.Sal.04])))))))), 0)</f>
        <v>0</v>
      </c>
      <c r="N67" s="250" t="n">
        <f aca="false" t="array" ref="N67:N67">IFERROR( (MEDIAN((IF(DATOS_[[Sexo]:[Sexo]]=$B67,IF(DATOS_[[AGRUP. CLAS. PROF.]:[AGRUP. CLAS. PROF.]]=$B66,IF(DATOS_[[Check Periodo Ref.]:[Check Periodo Ref.]]="Dentro",IF(DATOS_[[Check Equiparado]:[Check Equiparado]]="Sí",IF(DATOS!AI$4="Sí",(1/DATOS_[[% anualiz]:[% anualiz]]),1)*IF(DATOS!AI$5="Sí",1/DATOS_[[% normaliz]:[% normaliz]],1)*(DATOS_[Conc.Sal.05])))))))), 0)</f>
        <v>0</v>
      </c>
      <c r="O67" s="250" t="n">
        <f aca="false" t="array" ref="O67:O67">IFERROR( (MEDIAN((IF(DATOS_[[Sexo]:[Sexo]]=$B67,IF(DATOS_[[AGRUP. CLAS. PROF.]:[AGRUP. CLAS. PROF.]]=$B66,IF(DATOS_[[Check Periodo Ref.]:[Check Periodo Ref.]]="Dentro",IF(DATOS_[[Check Equiparado]:[Check Equiparado]]="Sí",IF(DATOS!AJ$4="Sí",(1/DATOS_[[% anualiz]:[% anualiz]]),1)*IF(DATOS!AJ$5="Sí",1/DATOS_[[% normaliz]:[% normaliz]],1)*(DATOS_[Conc.Sal.06])))))))), 0)</f>
        <v>0</v>
      </c>
      <c r="P67" s="250" t="n">
        <f aca="false" t="array" ref="P67:P67">IFERROR( (MEDIAN((IF(DATOS_[[Sexo]:[Sexo]]=$B67,IF(DATOS_[[AGRUP. CLAS. PROF.]:[AGRUP. CLAS. PROF.]]=$B66,IF(DATOS_[[Check Periodo Ref.]:[Check Periodo Ref.]]="Dentro",IF(DATOS_[[Check Equiparado]:[Check Equiparado]]="Sí",IF(DATOS!AK$4="Sí",(1/DATOS_[[% anualiz]:[% anualiz]]),1)*IF(DATOS!AK$5="Sí",1/DATOS_[[% normaliz]:[% normaliz]],1)*(DATOS_[Conc.Sal.07])))))))), 0)</f>
        <v>0</v>
      </c>
      <c r="Q67" s="250" t="n">
        <f aca="false" t="array" ref="Q67:Q67">IFERROR( (MEDIAN((IF(DATOS_[[Sexo]:[Sexo]]=$B67,IF(DATOS_[[AGRUP. CLAS. PROF.]:[AGRUP. CLAS. PROF.]]=$B66,IF(DATOS_[[Check Periodo Ref.]:[Check Periodo Ref.]]="Dentro",IF(DATOS_[[Check Equiparado]:[Check Equiparado]]="Sí",IF(DATOS!AL$4="Sí",(1/DATOS_[[% anualiz]:[% anualiz]]),1)*IF(DATOS!AL$5="Sí",1/DATOS_[[% normaliz]:[% normaliz]],1)*(DATOS_[Conc.Sal.08])))))))), 0)</f>
        <v>0</v>
      </c>
      <c r="R67" s="250" t="n">
        <f aca="false" t="array" ref="R67:R67">IFERROR( (MEDIAN((IF(DATOS_[[Sexo]:[Sexo]]=$B67,IF(DATOS_[[AGRUP. CLAS. PROF.]:[AGRUP. CLAS. PROF.]]=$B66,IF(DATOS_[[Check Periodo Ref.]:[Check Periodo Ref.]]="Dentro",IF(DATOS_[[Check Equiparado]:[Check Equiparado]]="Sí",IF(DATOS!AM$4="Sí",(1/DATOS_[[% anualiz]:[% anualiz]]),1)*IF(DATOS!AM$5="Sí",1/DATOS_[[% normaliz]:[% normaliz]],1)*(DATOS_[Conc.Sal.09])))))))), 0)</f>
        <v>0</v>
      </c>
      <c r="S67" s="250" t="n">
        <f aca="false" t="array" ref="S67:S67">IFERROR( (MEDIAN((IF(DATOS_[[Sexo]:[Sexo]]=$B67,IF(DATOS_[[AGRUP. CLAS. PROF.]:[AGRUP. CLAS. PROF.]]=$B66,IF(DATOS_[[Check Periodo Ref.]:[Check Periodo Ref.]]="Dentro",IF(DATOS_[[Check Equiparado]:[Check Equiparado]]="Sí",IF(DATOS!AN$4="Sí",(1/DATOS_[[% anualiz]:[% anualiz]]),1)*IF(DATOS!AN$5="Sí",1/DATOS_[[% normaliz]:[% normaliz]],1)*(DATOS_[Conc.Sal.10])))))))), 0)</f>
        <v>0</v>
      </c>
      <c r="T67" s="250" t="n">
        <f aca="false" t="array" ref="T67:T67">IFERROR( (MEDIAN((IF(DATOS_[[Sexo]:[Sexo]]=$B67,IF(DATOS_[[AGRUP. CLAS. PROF.]:[AGRUP. CLAS. PROF.]]=$B66,IF(DATOS_[[Check Periodo Ref.]:[Check Periodo Ref.]]="Dentro",IF(DATOS_[[Check Equiparado]:[Check Equiparado]]="Sí",IF(DATOS!AO$4="Sí",(1/DATOS_[[% anualiz]:[% anualiz]]),1)*IF(DATOS!AO$5="Sí",1/DATOS_[[% normaliz]:[% normaliz]],1)*(DATOS_[Conc.Sal.11])))))))), 0)</f>
        <v>0</v>
      </c>
      <c r="U67" s="250" t="n">
        <f aca="false" t="array" ref="U67:U67">IFERROR( (MEDIAN((IF(DATOS_[[Sexo]:[Sexo]]=$B67,IF(DATOS_[[AGRUP. CLAS. PROF.]:[AGRUP. CLAS. PROF.]]=$B66,IF(DATOS_[[Check Periodo Ref.]:[Check Periodo Ref.]]="Dentro",IF(DATOS_[[Check Equiparado]:[Check Equiparado]]="Sí",IF(DATOS!AP$4="Sí",(1/DATOS_[[% anualiz]:[% anualiz]]),1)*IF(DATOS!AP$5="Sí",1/DATOS_[[% normaliz]:[% normaliz]],1)*(DATOS_[Conc.Sal.12])))))))), 0)</f>
        <v>0</v>
      </c>
      <c r="V67" s="250" t="n">
        <f aca="false" t="array" ref="V67:V67">IFERROR( (MEDIAN((IF(DATOS_[[Sexo]:[Sexo]]=$B67,IF(DATOS_[[AGRUP. CLAS. PROF.]:[AGRUP. CLAS. PROF.]]=$B66,IF(DATOS_[[Check Periodo Ref.]:[Check Periodo Ref.]]="Dentro",IF(DATOS_[[Check Equiparado]:[Check Equiparado]]="Sí",IF(DATOS!AQ$4="Sí",(1/DATOS_[[% anualiz]:[% anualiz]]),1)*IF(DATOS!AQ$5="Sí",1/DATOS_[[% normaliz]:[% normaliz]],1)*(DATOS_[Conc.Sal.13])))))))), 0)</f>
        <v>0</v>
      </c>
      <c r="W67" s="250" t="n">
        <f aca="false" t="array" ref="W67:W67">IFERROR( (MEDIAN((IF(DATOS_[[Sexo]:[Sexo]]=$B67,IF(DATOS_[[AGRUP. CLAS. PROF.]:[AGRUP. CLAS. PROF.]]=$B66,IF(DATOS_[[Check Periodo Ref.]:[Check Periodo Ref.]]="Dentro",IF(DATOS_[[Check Equiparado]:[Check Equiparado]]="Sí",IF(DATOS!AR$4="Sí",(1/DATOS_[[% anualiz]:[% anualiz]]),1)*IF(DATOS!AR$5="Sí",1/DATOS_[[% normaliz]:[% normaliz]],1)*(DATOS_[Conc.Sal.14])))))))), 0)</f>
        <v>0</v>
      </c>
      <c r="X67" s="250" t="n">
        <f aca="false" t="array" ref="X67:X67">IFERROR( (MEDIAN((IF(DATOS_[[Sexo]:[Sexo]]=$B67,IF(DATOS_[[AGRUP. CLAS. PROF.]:[AGRUP. CLAS. PROF.]]=$B66,IF(DATOS_[[Check Periodo Ref.]:[Check Periodo Ref.]]="Dentro",IF(DATOS_[[Check Equiparado]:[Check Equiparado]]="Sí",IF(DATOS!AS$4="Sí",(1/DATOS_[[% anualiz]:[% anualiz]]),1)*IF(DATOS!AS$5="Sí",1/DATOS_[[% normaliz]:[% normaliz]],1)*(DATOS_[Conc.Sal.15])))))))), 0)</f>
        <v>0</v>
      </c>
      <c r="Y67" s="250" t="n">
        <f aca="false" t="array" ref="Y67:Y67">IFERROR( (MEDIAN((IF(DATOS_[[Sexo]:[Sexo]]=$B67,IF(DATOS_[[AGRUP. CLAS. PROF.]:[AGRUP. CLAS. PROF.]]=$B66,IF(DATOS_[[Check Periodo Ref.]:[Check Periodo Ref.]]="Dentro",IF(DATOS_[[Check Equiparado]:[Check Equiparado]]="Sí",IF(DATOS!AT$4="Sí",(1/DATOS_[[% anualiz]:[% anualiz]]),1)*IF(DATOS!AT$5="Sí",1/DATOS_[[% normaliz]:[% normaliz]],1)*(DATOS_[Conc.Sal.16])))))))), 0)</f>
        <v>0</v>
      </c>
      <c r="Z67" s="250" t="n">
        <f aca="false" t="array" ref="Z67:Z67">IFERROR( (MEDIAN((IF(DATOS_[[Sexo]:[Sexo]]=$B67,IF(DATOS_[[AGRUP. CLAS. PROF.]:[AGRUP. CLAS. PROF.]]=$B66,IF(DATOS_[[Check Periodo Ref.]:[Check Periodo Ref.]]="Dentro",IF(DATOS_[[Check Equiparado]:[Check Equiparado]]="Sí",IF(DATOS!AU$4="Sí",(1/DATOS_[[% anualiz]:[% anualiz]]),1)*IF(DATOS!AU$5="Sí",1/DATOS_[[% normaliz]:[% normaliz]],1)*(DATOS_[Conc.Sal.17])))))))), 0)</f>
        <v>0</v>
      </c>
      <c r="AA67" s="250" t="n">
        <f aca="false" t="array" ref="AA67:AA67">IFERROR( (MEDIAN((IF(DATOS_[[Sexo]:[Sexo]]=$B67,IF(DATOS_[[AGRUP. CLAS. PROF.]:[AGRUP. CLAS. PROF.]]=$B66,IF(DATOS_[[Check Periodo Ref.]:[Check Periodo Ref.]]="Dentro",IF(DATOS_[[Check Equiparado]:[Check Equiparado]]="Sí",IF(DATOS!AV$4="Sí",(1/DATOS_[[% anualiz]:[% anualiz]]),1)*IF(DATOS!AV$5="Sí",1/DATOS_[[% normaliz]:[% normaliz]],1)*(DATOS_[Conc.Sal.18])))))))), 0)</f>
        <v>0</v>
      </c>
      <c r="AB67" s="250" t="n">
        <f aca="false" t="array" ref="AB67:AB67">IFERROR( (MEDIAN((IF(DATOS_[[Sexo]:[Sexo]]=$B67,IF(DATOS_[[AGRUP. CLAS. PROF.]:[AGRUP. CLAS. PROF.]]=$B66,IF(DATOS_[[Check Periodo Ref.]:[Check Periodo Ref.]]="Dentro",IF(DATOS_[[Check Equiparado]:[Check Equiparado]]="Sí",IF(DATOS!AW$4="Sí",(1/DATOS_[[% anualiz]:[% anualiz]]),1)*IF(DATOS!AW$5="Sí",1/DATOS_[[% normaliz]:[% normaliz]],1)*(DATOS_[Conc.Sal.19])))))))), 0)</f>
        <v>0</v>
      </c>
      <c r="AC67" s="250" t="n">
        <f aca="false" t="array" ref="AC67:AC67">IFERROR( (MEDIAN((IF(DATOS_[[Sexo]:[Sexo]]=$B67,IF(DATOS_[[AGRUP. CLAS. PROF.]:[AGRUP. CLAS. PROF.]]=$B66,IF(DATOS_[[Check Periodo Ref.]:[Check Periodo Ref.]]="Dentro",IF(DATOS_[[Check Equiparado]:[Check Equiparado]]="Sí",IF(DATOS!AX$4="Sí",(1/DATOS_[[% anualiz]:[% anualiz]]),1)*IF(DATOS!AX$5="Sí",1/DATOS_[[% normaliz]:[% normaliz]],1)*(DATOS_[Conc.Sal.20])))))))), 0)</f>
        <v>0</v>
      </c>
      <c r="AD67" s="250" t="n">
        <f aca="false" t="array" ref="AD67:AD67">IFERROR( (MEDIAN((IF(DATOS_[[Sexo]:[Sexo]]=$B67,IF(DATOS_[[AGRUP. CLAS. PROF.]:[AGRUP. CLAS. PROF.]]=$B66,IF(DATOS_[[Check Periodo Ref.]:[Check Periodo Ref.]]="Dentro",IF(DATOS_[[Check Equiparado]:[Check Equiparado]]="Sí",IF(DATOS!AY$4="Sí",(1/DATOS_[[% anualiz]:[% anualiz]]),1)*IF(DATOS!AY$5="Sí",1/DATOS_[[% normaliz]:[% normaliz]],1)*(DATOS_[Conc.Sal.21])))))))), 0)</f>
        <v>0</v>
      </c>
      <c r="AE67" s="250" t="n">
        <f aca="false" t="array" ref="AE67:AE67">IFERROR( (MEDIAN((IF(DATOS_[[Sexo]:[Sexo]]=$B67,IF(DATOS_[[AGRUP. CLAS. PROF.]:[AGRUP. CLAS. PROF.]]=$B66,IF(DATOS_[[Check Periodo Ref.]:[Check Periodo Ref.]]="Dentro",IF(DATOS_[[Check Equiparado]:[Check Equiparado]]="Sí",IF(DATOS!AZ$4="Sí",(1/DATOS_[[% anualiz]:[% anualiz]]),1)*IF(DATOS!AZ$5="Sí",1/DATOS_[[% normaliz]:[% normaliz]],1)*(DATOS_[Conc.Sal.22])))))))), 0)</f>
        <v>0</v>
      </c>
      <c r="AF67" s="250" t="n">
        <f aca="false" t="array" ref="AF67:AF67">IFERROR( (MEDIAN((IF(DATOS_[[Sexo]:[Sexo]]=$B67,IF(DATOS_[[AGRUP. CLAS. PROF.]:[AGRUP. CLAS. PROF.]]=$B66,IF(DATOS_[[Check Periodo Ref.]:[Check Periodo Ref.]]="Dentro",IF(DATOS_[[Check Equiparado]:[Check Equiparado]]="Sí",IF(DATOS!BA$4="Sí",(1/DATOS_[[% anualiz]:[% anualiz]]),1)*IF(DATOS!BA$5="Sí",1/DATOS_[[% normaliz]:[% normaliz]],1)*(DATOS_[Conc.Sal.23])))))))), 0)</f>
        <v>0</v>
      </c>
      <c r="AG67" s="250" t="n">
        <f aca="false" t="array" ref="AG67:AG67">IFERROR( (MEDIAN((IF(DATOS_[[Sexo]:[Sexo]]=$B67,IF(DATOS_[[AGRUP. CLAS. PROF.]:[AGRUP. CLAS. PROF.]]=$B66,IF(DATOS_[[Check Periodo Ref.]:[Check Periodo Ref.]]="Dentro",IF(DATOS_[[Check Equiparado]:[Check Equiparado]]="Sí",IF(DATOS!BB$4="Sí",(1/DATOS_[[% anualiz]:[% anualiz]]),1)*IF(DATOS!BB$5="Sí",1/DATOS_[[% normaliz]:[% normaliz]],1)*(DATOS_[Conc.Sal.24])))))))), 0)</f>
        <v>0</v>
      </c>
      <c r="AH67" s="250" t="n">
        <f aca="false" t="array" ref="AH67:AH67">IFERROR( (MEDIAN((IF(DATOS_[[Sexo]:[Sexo]]=$B67,IF(DATOS_[[AGRUP. CLAS. PROF.]:[AGRUP. CLAS. PROF.]]=$B66,IF(DATOS_[[Check Periodo Ref.]:[Check Periodo Ref.]]="Dentro",IF(DATOS_[[Check Equiparado]:[Check Equiparado]]="Sí",IF(DATOS!BC$4="Sí",(1/DATOS_[[% anualiz]:[% anualiz]]),1)*IF(DATOS!BC$5="Sí",1/DATOS_[[% normaliz]:[% normaliz]],1)*(DATOS_[Conc.Sal.25])))))))), 0)</f>
        <v>0</v>
      </c>
      <c r="AI67" s="250" t="n">
        <f aca="false" t="array" ref="AI67:AI67">IFERROR( (MEDIAN((IF(DATOS_[[Sexo]:[Sexo]]=$B67,IF(DATOS_[[AGRUP. CLAS. PROF.]:[AGRUP. CLAS. PROF.]]=$B66,IF(DATOS_[[Check Periodo Ref.]:[Check Periodo Ref.]]="Dentro",IF(DATOS_[[Check Equiparado]:[Check Equiparado]]="Sí",IF(DATOS!BD$4="Sí",(1/DATOS_[[% anualiz]:[% anualiz]]),1)*IF(DATOS!BD$5="Sí",1/DATOS_[[% normaliz]:[% normaliz]],1)*(DATOS_[Conc.Sal.26])))))))), 0)</f>
        <v>0</v>
      </c>
      <c r="AJ67" s="250" t="n">
        <f aca="false" t="array" ref="AJ67:AJ67">IFERROR( (MEDIAN((IF(DATOS_[[Sexo]:[Sexo]]=$B67,IF(DATOS_[[AGRUP. CLAS. PROF.]:[AGRUP. CLAS. PROF.]]=$B66,IF(DATOS_[[Check Periodo Ref.]:[Check Periodo Ref.]]="Dentro",IF(DATOS_[[Check Equiparado]:[Check Equiparado]]="Sí",IF(DATOS!BE$4="Sí",(1/DATOS_[[% anualiz]:[% anualiz]]),1)*IF(DATOS!BE$5="Sí",1/DATOS_[[% normaliz]:[% normaliz]],1)*(DATOS_[Conc.Sal.27])))))))), 0)</f>
        <v>0</v>
      </c>
      <c r="AK67" s="250" t="n">
        <f aca="false" t="array" ref="AK67:AK67">IFERROR( (MEDIAN((IF(DATOS_[[Sexo]:[Sexo]]=$B67,IF(DATOS_[[AGRUP. CLAS. PROF.]:[AGRUP. CLAS. PROF.]]=$B66,IF(DATOS_[[Check Periodo Ref.]:[Check Periodo Ref.]]="Dentro",IF(DATOS_[[Check Equiparado]:[Check Equiparado]]="Sí",IF(DATOS!BF$4="Sí",(1/DATOS_[[% anualiz]:[% anualiz]]),1)*IF(DATOS!BF$5="Sí",1/DATOS_[[% normaliz]:[% normaliz]],1)*(DATOS_[Conc.Sal.28])))))))), 0)</f>
        <v>0</v>
      </c>
      <c r="AL67" s="250" t="n">
        <f aca="false" t="array" ref="AL67:AL67">IFERROR( (MEDIAN((IF(DATOS_[[Sexo]:[Sexo]]=$B67,IF(DATOS_[[AGRUP. CLAS. PROF.]:[AGRUP. CLAS. PROF.]]=$B66,IF(DATOS_[[Check Periodo Ref.]:[Check Periodo Ref.]]="Dentro",IF(DATOS_[[Check Equiparado]:[Check Equiparado]]="Sí",IF(DATOS!BG$4="Sí",(1/DATOS_[[% anualiz]:[% anualiz]]),1)*IF(DATOS!BG$5="Sí",1/DATOS_[[% normaliz]:[% normaliz]],1)*(DATOS_[Conc.Sal.29])))))))), 0)</f>
        <v>0</v>
      </c>
      <c r="AM67" s="250" t="n">
        <f aca="false" t="array" ref="AM67:AM67">IFERROR( (MEDIAN((IF(DATOS_[[Sexo]:[Sexo]]=$B67,IF(DATOS_[[AGRUP. CLAS. PROF.]:[AGRUP. CLAS. PROF.]]=$B66,IF(DATOS_[[Check Periodo Ref.]:[Check Periodo Ref.]]="Dentro",IF(DATOS_[[Check Equiparado]:[Check Equiparado]]="Sí",IF(DATOS!BH$4="Sí",(1/DATOS_[[% anualiz]:[% anualiz]]),1)*IF(DATOS!BH$5="Sí",1/DATOS_[[% normaliz]:[% normaliz]],1)*(DATOS_[Conc.Sal.30])))))))), 0)</f>
        <v>0</v>
      </c>
      <c r="AN67" s="251" t="n">
        <f aca="false" t="array" ref="AN67:AN67">IFERROR( MEDIAN(IF(DATOS_[Sexo]=$B67,IF(DATOS_[[AGRUP. CLAS. PROF.]:[AGRUP. CLAS. PROF.]]=$B66,IF(DATOS_[Check Equiparado]="Sí",IF(DATOS_[Check Periodo Ref.]="Dentro",DATOS_[Tot COMPL.SAL Eq],0))))), 0)</f>
        <v>0</v>
      </c>
      <c r="AO67" s="252" t="n">
        <f aca="false" t="array" ref="AO67:AO67">IFERROR( MEDIAN(IF(DATOS_[Sexo]=$B67,IF(DATOS_[[AGRUP. CLAS. PROF.]:[AGRUP. CLAS. PROF.]]=$B66,IF(DATOS_[Check Equiparado]="Sí",IF(DATOS_[Check Periodo Ref.]="Dentro",DATOS_[TOTAL SALARIO Eq],0))))), 0)</f>
        <v>0</v>
      </c>
      <c r="AP67" s="259" t="n">
        <f aca="false" t="array" ref="AP67:AP67">IFERROR( (MEDIAN((IF(DATOS_[[Sexo]:[Sexo]]=$B67,IF(DATOS_[[AGRUP. CLAS. PROF.]:[AGRUP. CLAS. PROF.]]=$B66,IF(DATOS_[[Check Periodo Ref.]:[Check Periodo Ref.]]="Dentro",IF(DATOS_[[Check Equiparado]:[Check Equiparado]]="Sí",IF(DATOS!BI$4="Sí",(1/DATOS_[[% anualiz]:[% anualiz]]),1)*IF(DATOS!BI$5="Sí",1/DATOS_[[% normaliz]:[% normaliz]],1)*(DATOS_[C.Extra.01])))))))), 0)</f>
        <v>0</v>
      </c>
      <c r="AQ67" s="259" t="n">
        <f aca="false" t="array" ref="AQ67:AQ67">IFERROR( (MEDIAN((IF(DATOS_[[Sexo]:[Sexo]]=$B67,IF(DATOS_[[AGRUP. CLAS. PROF.]:[AGRUP. CLAS. PROF.]]=$B66,IF(DATOS_[[Check Periodo Ref.]:[Check Periodo Ref.]]="Dentro",IF(DATOS_[[Check Equiparado]:[Check Equiparado]]="Sí",IF(DATOS!BJ$4="Sí",(1/DATOS_[[% anualiz]:[% anualiz]]),1)*IF(DATOS!BJ$5="Sí",1/DATOS_[[% normaliz]:[% normaliz]],1)*(DATOS_[C.Extra.02])))))))), 0)</f>
        <v>0</v>
      </c>
      <c r="AR67" s="259" t="n">
        <f aca="false" t="array" ref="AR67:AR67">IFERROR( (MEDIAN((IF(DATOS_[[Sexo]:[Sexo]]=$B67,IF(DATOS_[[AGRUP. CLAS. PROF.]:[AGRUP. CLAS. PROF.]]=$B66,IF(DATOS_[[Check Periodo Ref.]:[Check Periodo Ref.]]="Dentro",IF(DATOS_[[Check Equiparado]:[Check Equiparado]]="Sí",IF(DATOS!BK$4="Sí",(1/DATOS_[[% anualiz]:[% anualiz]]),1)*IF(DATOS!BK$5="Sí",1/DATOS_[[% normaliz]:[% normaliz]],1)*(DATOS_[C.Extra.03])))))))), 0)</f>
        <v>0</v>
      </c>
      <c r="AS67" s="259" t="n">
        <f aca="false" t="array" ref="AS67:AS67">IFERROR( (MEDIAN((IF(DATOS_[[Sexo]:[Sexo]]=$B67,IF(DATOS_[[AGRUP. CLAS. PROF.]:[AGRUP. CLAS. PROF.]]=$B66,IF(DATOS_[[Check Periodo Ref.]:[Check Periodo Ref.]]="Dentro",IF(DATOS_[[Check Equiparado]:[Check Equiparado]]="Sí",IF(DATOS!BL$4="Sí",(1/DATOS_[[% anualiz]:[% anualiz]]),1)*IF(DATOS!BL$5="Sí",1/DATOS_[[% normaliz]:[% normaliz]],1)*(DATOS_[C.Extra.04])))))))), 0)</f>
        <v>0</v>
      </c>
      <c r="AT67" s="259" t="n">
        <f aca="false" t="array" ref="AT67:AT67">IFERROR( (MEDIAN((IF(DATOS_[[Sexo]:[Sexo]]=$B67,IF(DATOS_[[AGRUP. CLAS. PROF.]:[AGRUP. CLAS. PROF.]]=$B66,IF(DATOS_[[Check Periodo Ref.]:[Check Periodo Ref.]]="Dentro",IF(DATOS_[[Check Equiparado]:[Check Equiparado]]="Sí",IF(DATOS!BM$4="Sí",(1/DATOS_[[% anualiz]:[% anualiz]]),1)*IF(DATOS!BM$5="Sí",1/DATOS_[[% normaliz]:[% normaliz]],1)*(DATOS_[C.Extra.05])))))))), 0)</f>
        <v>0</v>
      </c>
      <c r="AU67" s="254" t="n">
        <f aca="false" t="array" ref="AU67:AU67">IFERROR( MEDIAN(IF(DATOS_[Sexo]=$B67,IF(DATOS_[[AGRUP. CLAS. PROF.]:[AGRUP. CLAS. PROF.]]=$B66,IF(DATOS_[Check Equiparado]="Sí",IF(DATOS_[Check Periodo Ref.]="Dentro",DATOS_[Tot Extrasalarial Eq],0))))), 0)</f>
        <v>0</v>
      </c>
      <c r="AV67" s="255" t="n">
        <f aca="false" t="array" ref="AV67:AV67">IFERROR( MEDIAN(IF(DATOS_[Sexo]=$B67,IF(DATOS_[[AGRUP. CLAS. PROF.]:[AGRUP. CLAS. PROF.]]=$B66,IF(DATOS_[Check Equiparado]="Sí",IF(DATOS_[Check Periodo Ref.]="Dentro",DATOS_[TOTAL Retrib Eq],0))))), 0)</f>
        <v>0</v>
      </c>
    </row>
    <row r="68" customFormat="false" ht="14.25" hidden="false" customHeight="false" outlineLevel="0" collapsed="false">
      <c r="A68" s="217" t="str">
        <f aca="false">+A67</f>
        <v>[ocultar]</v>
      </c>
      <c r="B68" s="323" t="s">
        <v>372</v>
      </c>
      <c r="C68" s="247" t="n">
        <f aca="false" t="array" ref="C68:C68">SUM(IF($B68=DATOS_[Sexo], IF($B66=DATOS_[AGRUP. CLAS. PROF.], IF("Dentro"=DATOS_[Check Periodo Ref.], 1/(COUNTIFS(DATOS_[Sexo],$B68,DATOS_[AGRUP. CLAS. PROF.],$B66,DATOS_[Check Periodo Ref.],"Dentro",DATOS_[id],DATOS_[id]))))))</f>
        <v>0</v>
      </c>
      <c r="D68" s="248" t="n">
        <f aca="false">COUNTIFS(DATOS_[AGRUP. CLAS. PROF.],$B66,DATOS_[Sexo],$B68,DATOS_[Check Periodo Ref.],"Dentro")</f>
        <v>0</v>
      </c>
      <c r="E68" s="248" t="n">
        <f aca="false">COUNTIFS(DATOS_[AGRUP. CLAS. PROF.],$B66,DATOS_[Sexo],$B68,DATOS_[Check Periodo Ref.],"Dentro",DATOS_[Check Nº SC Norm],"Sí")</f>
        <v>0</v>
      </c>
      <c r="F68" s="248" t="n">
        <f aca="false">COUNTIFS(DATOS_[AGRUP. CLAS. PROF.],$B66,DATOS_[Sexo],$B68,DATOS_[Check Periodo Ref.],"Dentro",DATOS_[Check Nº SC Anualiz],"Sí")</f>
        <v>0</v>
      </c>
      <c r="G68" s="248" t="n">
        <f aca="false">COUNTIFS(DATOS_[AGRUP. CLAS. PROF.],$B66,DATOS_[Sexo],$B68,DATOS_[Check Periodo Ref.],"Dentro",DATOS_[Check Nº SC Norm y Anualiz],"Sí")</f>
        <v>0</v>
      </c>
      <c r="H68" s="248" t="n">
        <f aca="false">COUNTIFS(DATOS_[AGRUP. CLAS. PROF.],$B66,DATOS_[Sexo],$B68,DATOS_[Check Periodo Ref.],"Dentro",DATOS_[Check Equiparación],"Sí")</f>
        <v>0</v>
      </c>
      <c r="I68" s="249" t="n">
        <f aca="false" t="array" ref="I68:I68">IFERROR( MEDIAN(IF(DATOS_[Sexo]=$B68,IF(DATOS_[[AGRUP. CLAS. PROF.]:[AGRUP. CLAS. PROF.]]=$B66,IF(DATOS_[Check Equiparado]="Sí",IF(DATOS_[Check Periodo Ref.]="Dentro",DATOS_[SALARIO BASE Eq],0))))), 0)</f>
        <v>0</v>
      </c>
      <c r="J68" s="250" t="n">
        <f aca="false" t="array" ref="J68:J68">IFERROR( (MEDIAN((IF(DATOS_[[Sexo]:[Sexo]]=$B68,IF(DATOS_[[AGRUP. CLAS. PROF.]:[AGRUP. CLAS. PROF.]]=$B66,IF(DATOS_[[Check Periodo Ref.]:[Check Periodo Ref.]]="Dentro",IF(DATOS_[[Check Equiparado]:[Check Equiparado]]="Sí",IF(DATOS!AE$4="Sí",(1/DATOS_[[% anualiz]:[% anualiz]]),1)*IF(DATOS!AE$5="Sí",1/DATOS_[[% normaliz]:[% normaliz]],1)*(DATOS_[Conc.Sal.01])))))))), 0)</f>
        <v>0</v>
      </c>
      <c r="K68" s="250" t="n">
        <f aca="false" t="array" ref="K68:K68">IFERROR( (MEDIAN((IF(DATOS_[[Sexo]:[Sexo]]=$B68,IF(DATOS_[[AGRUP. CLAS. PROF.]:[AGRUP. CLAS. PROF.]]=$B66,IF(DATOS_[[Check Periodo Ref.]:[Check Periodo Ref.]]="Dentro",IF(DATOS_[[Check Equiparado]:[Check Equiparado]]="Sí",IF(DATOS!AF$4="Sí",(1/DATOS_[[% anualiz]:[% anualiz]]),1)*IF(DATOS!AF$5="Sí",1/DATOS_[[% normaliz]:[% normaliz]],1)*(DATOS_[Conc.Sal.02])))))))), 0)</f>
        <v>0</v>
      </c>
      <c r="L68" s="250" t="n">
        <f aca="false" t="array" ref="L68:L68">IFERROR( (MEDIAN((IF(DATOS_[[Sexo]:[Sexo]]=$B68,IF(DATOS_[[AGRUP. CLAS. PROF.]:[AGRUP. CLAS. PROF.]]=$B66,IF(DATOS_[[Check Periodo Ref.]:[Check Periodo Ref.]]="Dentro",IF(DATOS_[[Check Equiparado]:[Check Equiparado]]="Sí",IF(DATOS!AG$4="Sí",(1/DATOS_[[% anualiz]:[% anualiz]]),1)*IF(DATOS!AG$5="Sí",1/DATOS_[[% normaliz]:[% normaliz]],1)*(DATOS_[Conc.Sal.03])))))))), 0)</f>
        <v>0</v>
      </c>
      <c r="M68" s="250" t="n">
        <f aca="false" t="array" ref="M68:M68">IFERROR( (MEDIAN((IF(DATOS_[[Sexo]:[Sexo]]=$B68,IF(DATOS_[[AGRUP. CLAS. PROF.]:[AGRUP. CLAS. PROF.]]=$B66,IF(DATOS_[[Check Periodo Ref.]:[Check Periodo Ref.]]="Dentro",IF(DATOS_[[Check Equiparado]:[Check Equiparado]]="Sí",IF(DATOS!AH$4="Sí",(1/DATOS_[[% anualiz]:[% anualiz]]),1)*IF(DATOS!AH$5="Sí",1/DATOS_[[% normaliz]:[% normaliz]],1)*(DATOS_[Conc.Sal.04])))))))), 0)</f>
        <v>0</v>
      </c>
      <c r="N68" s="250" t="n">
        <f aca="false" t="array" ref="N68:N68">IFERROR( (MEDIAN((IF(DATOS_[[Sexo]:[Sexo]]=$B68,IF(DATOS_[[AGRUP. CLAS. PROF.]:[AGRUP. CLAS. PROF.]]=$B66,IF(DATOS_[[Check Periodo Ref.]:[Check Periodo Ref.]]="Dentro",IF(DATOS_[[Check Equiparado]:[Check Equiparado]]="Sí",IF(DATOS!AI$4="Sí",(1/DATOS_[[% anualiz]:[% anualiz]]),1)*IF(DATOS!AI$5="Sí",1/DATOS_[[% normaliz]:[% normaliz]],1)*(DATOS_[Conc.Sal.05])))))))), 0)</f>
        <v>0</v>
      </c>
      <c r="O68" s="250" t="n">
        <f aca="false" t="array" ref="O68:O68">IFERROR( (MEDIAN((IF(DATOS_[[Sexo]:[Sexo]]=$B68,IF(DATOS_[[AGRUP. CLAS. PROF.]:[AGRUP. CLAS. PROF.]]=$B66,IF(DATOS_[[Check Periodo Ref.]:[Check Periodo Ref.]]="Dentro",IF(DATOS_[[Check Equiparado]:[Check Equiparado]]="Sí",IF(DATOS!AJ$4="Sí",(1/DATOS_[[% anualiz]:[% anualiz]]),1)*IF(DATOS!AJ$5="Sí",1/DATOS_[[% normaliz]:[% normaliz]],1)*(DATOS_[Conc.Sal.06])))))))), 0)</f>
        <v>0</v>
      </c>
      <c r="P68" s="250" t="n">
        <f aca="false" t="array" ref="P68:P68">IFERROR( (MEDIAN((IF(DATOS_[[Sexo]:[Sexo]]=$B68,IF(DATOS_[[AGRUP. CLAS. PROF.]:[AGRUP. CLAS. PROF.]]=$B66,IF(DATOS_[[Check Periodo Ref.]:[Check Periodo Ref.]]="Dentro",IF(DATOS_[[Check Equiparado]:[Check Equiparado]]="Sí",IF(DATOS!AK$4="Sí",(1/DATOS_[[% anualiz]:[% anualiz]]),1)*IF(DATOS!AK$5="Sí",1/DATOS_[[% normaliz]:[% normaliz]],1)*(DATOS_[Conc.Sal.07])))))))), 0)</f>
        <v>0</v>
      </c>
      <c r="Q68" s="250" t="n">
        <f aca="false" t="array" ref="Q68:Q68">IFERROR( (MEDIAN((IF(DATOS_[[Sexo]:[Sexo]]=$B68,IF(DATOS_[[AGRUP. CLAS. PROF.]:[AGRUP. CLAS. PROF.]]=$B66,IF(DATOS_[[Check Periodo Ref.]:[Check Periodo Ref.]]="Dentro",IF(DATOS_[[Check Equiparado]:[Check Equiparado]]="Sí",IF(DATOS!AL$4="Sí",(1/DATOS_[[% anualiz]:[% anualiz]]),1)*IF(DATOS!AL$5="Sí",1/DATOS_[[% normaliz]:[% normaliz]],1)*(DATOS_[Conc.Sal.08])))))))), 0)</f>
        <v>0</v>
      </c>
      <c r="R68" s="250" t="n">
        <f aca="false" t="array" ref="R68:R68">IFERROR( (MEDIAN((IF(DATOS_[[Sexo]:[Sexo]]=$B68,IF(DATOS_[[AGRUP. CLAS. PROF.]:[AGRUP. CLAS. PROF.]]=$B66,IF(DATOS_[[Check Periodo Ref.]:[Check Periodo Ref.]]="Dentro",IF(DATOS_[[Check Equiparado]:[Check Equiparado]]="Sí",IF(DATOS!AM$4="Sí",(1/DATOS_[[% anualiz]:[% anualiz]]),1)*IF(DATOS!AM$5="Sí",1/DATOS_[[% normaliz]:[% normaliz]],1)*(DATOS_[Conc.Sal.09])))))))), 0)</f>
        <v>0</v>
      </c>
      <c r="S68" s="250" t="n">
        <f aca="false" t="array" ref="S68:S68">IFERROR( (MEDIAN((IF(DATOS_[[Sexo]:[Sexo]]=$B68,IF(DATOS_[[AGRUP. CLAS. PROF.]:[AGRUP. CLAS. PROF.]]=$B66,IF(DATOS_[[Check Periodo Ref.]:[Check Periodo Ref.]]="Dentro",IF(DATOS_[[Check Equiparado]:[Check Equiparado]]="Sí",IF(DATOS!AN$4="Sí",(1/DATOS_[[% anualiz]:[% anualiz]]),1)*IF(DATOS!AN$5="Sí",1/DATOS_[[% normaliz]:[% normaliz]],1)*(DATOS_[Conc.Sal.10])))))))), 0)</f>
        <v>0</v>
      </c>
      <c r="T68" s="250" t="n">
        <f aca="false" t="array" ref="T68:T68">IFERROR( (MEDIAN((IF(DATOS_[[Sexo]:[Sexo]]=$B68,IF(DATOS_[[AGRUP. CLAS. PROF.]:[AGRUP. CLAS. PROF.]]=$B66,IF(DATOS_[[Check Periodo Ref.]:[Check Periodo Ref.]]="Dentro",IF(DATOS_[[Check Equiparado]:[Check Equiparado]]="Sí",IF(DATOS!AO$4="Sí",(1/DATOS_[[% anualiz]:[% anualiz]]),1)*IF(DATOS!AO$5="Sí",1/DATOS_[[% normaliz]:[% normaliz]],1)*(DATOS_[Conc.Sal.11])))))))), 0)</f>
        <v>0</v>
      </c>
      <c r="U68" s="250" t="n">
        <f aca="false" t="array" ref="U68:U68">IFERROR( (MEDIAN((IF(DATOS_[[Sexo]:[Sexo]]=$B68,IF(DATOS_[[AGRUP. CLAS. PROF.]:[AGRUP. CLAS. PROF.]]=$B66,IF(DATOS_[[Check Periodo Ref.]:[Check Periodo Ref.]]="Dentro",IF(DATOS_[[Check Equiparado]:[Check Equiparado]]="Sí",IF(DATOS!AP$4="Sí",(1/DATOS_[[% anualiz]:[% anualiz]]),1)*IF(DATOS!AP$5="Sí",1/DATOS_[[% normaliz]:[% normaliz]],1)*(DATOS_[Conc.Sal.12])))))))), 0)</f>
        <v>0</v>
      </c>
      <c r="V68" s="250" t="n">
        <f aca="false" t="array" ref="V68:V68">IFERROR( (MEDIAN((IF(DATOS_[[Sexo]:[Sexo]]=$B68,IF(DATOS_[[AGRUP. CLAS. PROF.]:[AGRUP. CLAS. PROF.]]=$B66,IF(DATOS_[[Check Periodo Ref.]:[Check Periodo Ref.]]="Dentro",IF(DATOS_[[Check Equiparado]:[Check Equiparado]]="Sí",IF(DATOS!AQ$4="Sí",(1/DATOS_[[% anualiz]:[% anualiz]]),1)*IF(DATOS!AQ$5="Sí",1/DATOS_[[% normaliz]:[% normaliz]],1)*(DATOS_[Conc.Sal.13])))))))), 0)</f>
        <v>0</v>
      </c>
      <c r="W68" s="250" t="n">
        <f aca="false" t="array" ref="W68:W68">IFERROR( (MEDIAN((IF(DATOS_[[Sexo]:[Sexo]]=$B68,IF(DATOS_[[AGRUP. CLAS. PROF.]:[AGRUP. CLAS. PROF.]]=$B66,IF(DATOS_[[Check Periodo Ref.]:[Check Periodo Ref.]]="Dentro",IF(DATOS_[[Check Equiparado]:[Check Equiparado]]="Sí",IF(DATOS!AR$4="Sí",(1/DATOS_[[% anualiz]:[% anualiz]]),1)*IF(DATOS!AR$5="Sí",1/DATOS_[[% normaliz]:[% normaliz]],1)*(DATOS_[Conc.Sal.14])))))))), 0)</f>
        <v>0</v>
      </c>
      <c r="X68" s="250" t="n">
        <f aca="false" t="array" ref="X68:X68">IFERROR( (MEDIAN((IF(DATOS_[[Sexo]:[Sexo]]=$B68,IF(DATOS_[[AGRUP. CLAS. PROF.]:[AGRUP. CLAS. PROF.]]=$B66,IF(DATOS_[[Check Periodo Ref.]:[Check Periodo Ref.]]="Dentro",IF(DATOS_[[Check Equiparado]:[Check Equiparado]]="Sí",IF(DATOS!AS$4="Sí",(1/DATOS_[[% anualiz]:[% anualiz]]),1)*IF(DATOS!AS$5="Sí",1/DATOS_[[% normaliz]:[% normaliz]],1)*(DATOS_[Conc.Sal.15])))))))), 0)</f>
        <v>0</v>
      </c>
      <c r="Y68" s="250" t="n">
        <f aca="false" t="array" ref="Y68:Y68">IFERROR( (MEDIAN((IF(DATOS_[[Sexo]:[Sexo]]=$B68,IF(DATOS_[[AGRUP. CLAS. PROF.]:[AGRUP. CLAS. PROF.]]=$B66,IF(DATOS_[[Check Periodo Ref.]:[Check Periodo Ref.]]="Dentro",IF(DATOS_[[Check Equiparado]:[Check Equiparado]]="Sí",IF(DATOS!AT$4="Sí",(1/DATOS_[[% anualiz]:[% anualiz]]),1)*IF(DATOS!AT$5="Sí",1/DATOS_[[% normaliz]:[% normaliz]],1)*(DATOS_[Conc.Sal.16])))))))), 0)</f>
        <v>0</v>
      </c>
      <c r="Z68" s="250" t="n">
        <f aca="false" t="array" ref="Z68:Z68">IFERROR( (MEDIAN((IF(DATOS_[[Sexo]:[Sexo]]=$B68,IF(DATOS_[[AGRUP. CLAS. PROF.]:[AGRUP. CLAS. PROF.]]=$B66,IF(DATOS_[[Check Periodo Ref.]:[Check Periodo Ref.]]="Dentro",IF(DATOS_[[Check Equiparado]:[Check Equiparado]]="Sí",IF(DATOS!AU$4="Sí",(1/DATOS_[[% anualiz]:[% anualiz]]),1)*IF(DATOS!AU$5="Sí",1/DATOS_[[% normaliz]:[% normaliz]],1)*(DATOS_[Conc.Sal.17])))))))), 0)</f>
        <v>0</v>
      </c>
      <c r="AA68" s="250" t="n">
        <f aca="false" t="array" ref="AA68:AA68">IFERROR( (MEDIAN((IF(DATOS_[[Sexo]:[Sexo]]=$B68,IF(DATOS_[[AGRUP. CLAS. PROF.]:[AGRUP. CLAS. PROF.]]=$B66,IF(DATOS_[[Check Periodo Ref.]:[Check Periodo Ref.]]="Dentro",IF(DATOS_[[Check Equiparado]:[Check Equiparado]]="Sí",IF(DATOS!AV$4="Sí",(1/DATOS_[[% anualiz]:[% anualiz]]),1)*IF(DATOS!AV$5="Sí",1/DATOS_[[% normaliz]:[% normaliz]],1)*(DATOS_[Conc.Sal.18])))))))), 0)</f>
        <v>0</v>
      </c>
      <c r="AB68" s="250" t="n">
        <f aca="false" t="array" ref="AB68:AB68">IFERROR( (MEDIAN((IF(DATOS_[[Sexo]:[Sexo]]=$B68,IF(DATOS_[[AGRUP. CLAS. PROF.]:[AGRUP. CLAS. PROF.]]=$B66,IF(DATOS_[[Check Periodo Ref.]:[Check Periodo Ref.]]="Dentro",IF(DATOS_[[Check Equiparado]:[Check Equiparado]]="Sí",IF(DATOS!AW$4="Sí",(1/DATOS_[[% anualiz]:[% anualiz]]),1)*IF(DATOS!AW$5="Sí",1/DATOS_[[% normaliz]:[% normaliz]],1)*(DATOS_[Conc.Sal.19])))))))), 0)</f>
        <v>0</v>
      </c>
      <c r="AC68" s="250" t="n">
        <f aca="false" t="array" ref="AC68:AC68">IFERROR( (MEDIAN((IF(DATOS_[[Sexo]:[Sexo]]=$B68,IF(DATOS_[[AGRUP. CLAS. PROF.]:[AGRUP. CLAS. PROF.]]=$B66,IF(DATOS_[[Check Periodo Ref.]:[Check Periodo Ref.]]="Dentro",IF(DATOS_[[Check Equiparado]:[Check Equiparado]]="Sí",IF(DATOS!AX$4="Sí",(1/DATOS_[[% anualiz]:[% anualiz]]),1)*IF(DATOS!AX$5="Sí",1/DATOS_[[% normaliz]:[% normaliz]],1)*(DATOS_[Conc.Sal.20])))))))), 0)</f>
        <v>0</v>
      </c>
      <c r="AD68" s="250" t="n">
        <f aca="false" t="array" ref="AD68:AD68">IFERROR( (MEDIAN((IF(DATOS_[[Sexo]:[Sexo]]=$B68,IF(DATOS_[[AGRUP. CLAS. PROF.]:[AGRUP. CLAS. PROF.]]=$B66,IF(DATOS_[[Check Periodo Ref.]:[Check Periodo Ref.]]="Dentro",IF(DATOS_[[Check Equiparado]:[Check Equiparado]]="Sí",IF(DATOS!AY$4="Sí",(1/DATOS_[[% anualiz]:[% anualiz]]),1)*IF(DATOS!AY$5="Sí",1/DATOS_[[% normaliz]:[% normaliz]],1)*(DATOS_[Conc.Sal.21])))))))), 0)</f>
        <v>0</v>
      </c>
      <c r="AE68" s="250" t="n">
        <f aca="false" t="array" ref="AE68:AE68">IFERROR( (MEDIAN((IF(DATOS_[[Sexo]:[Sexo]]=$B68,IF(DATOS_[[AGRUP. CLAS. PROF.]:[AGRUP. CLAS. PROF.]]=$B66,IF(DATOS_[[Check Periodo Ref.]:[Check Periodo Ref.]]="Dentro",IF(DATOS_[[Check Equiparado]:[Check Equiparado]]="Sí",IF(DATOS!AZ$4="Sí",(1/DATOS_[[% anualiz]:[% anualiz]]),1)*IF(DATOS!AZ$5="Sí",1/DATOS_[[% normaliz]:[% normaliz]],1)*(DATOS_[Conc.Sal.22])))))))), 0)</f>
        <v>0</v>
      </c>
      <c r="AF68" s="250" t="n">
        <f aca="false" t="array" ref="AF68:AF68">IFERROR( (MEDIAN((IF(DATOS_[[Sexo]:[Sexo]]=$B68,IF(DATOS_[[AGRUP. CLAS. PROF.]:[AGRUP. CLAS. PROF.]]=$B66,IF(DATOS_[[Check Periodo Ref.]:[Check Periodo Ref.]]="Dentro",IF(DATOS_[[Check Equiparado]:[Check Equiparado]]="Sí",IF(DATOS!BA$4="Sí",(1/DATOS_[[% anualiz]:[% anualiz]]),1)*IF(DATOS!BA$5="Sí",1/DATOS_[[% normaliz]:[% normaliz]],1)*(DATOS_[Conc.Sal.23])))))))), 0)</f>
        <v>0</v>
      </c>
      <c r="AG68" s="250" t="n">
        <f aca="false" t="array" ref="AG68:AG68">IFERROR( (MEDIAN((IF(DATOS_[[Sexo]:[Sexo]]=$B68,IF(DATOS_[[AGRUP. CLAS. PROF.]:[AGRUP. CLAS. PROF.]]=$B66,IF(DATOS_[[Check Periodo Ref.]:[Check Periodo Ref.]]="Dentro",IF(DATOS_[[Check Equiparado]:[Check Equiparado]]="Sí",IF(DATOS!BB$4="Sí",(1/DATOS_[[% anualiz]:[% anualiz]]),1)*IF(DATOS!BB$5="Sí",1/DATOS_[[% normaliz]:[% normaliz]],1)*(DATOS_[Conc.Sal.24])))))))), 0)</f>
        <v>0</v>
      </c>
      <c r="AH68" s="250" t="n">
        <f aca="false" t="array" ref="AH68:AH68">IFERROR( (MEDIAN((IF(DATOS_[[Sexo]:[Sexo]]=$B68,IF(DATOS_[[AGRUP. CLAS. PROF.]:[AGRUP. CLAS. PROF.]]=$B66,IF(DATOS_[[Check Periodo Ref.]:[Check Periodo Ref.]]="Dentro",IF(DATOS_[[Check Equiparado]:[Check Equiparado]]="Sí",IF(DATOS!BC$4="Sí",(1/DATOS_[[% anualiz]:[% anualiz]]),1)*IF(DATOS!BC$5="Sí",1/DATOS_[[% normaliz]:[% normaliz]],1)*(DATOS_[Conc.Sal.25])))))))), 0)</f>
        <v>0</v>
      </c>
      <c r="AI68" s="250" t="n">
        <f aca="false" t="array" ref="AI68:AI68">IFERROR( (MEDIAN((IF(DATOS_[[Sexo]:[Sexo]]=$B68,IF(DATOS_[[AGRUP. CLAS. PROF.]:[AGRUP. CLAS. PROF.]]=$B66,IF(DATOS_[[Check Periodo Ref.]:[Check Periodo Ref.]]="Dentro",IF(DATOS_[[Check Equiparado]:[Check Equiparado]]="Sí",IF(DATOS!BD$4="Sí",(1/DATOS_[[% anualiz]:[% anualiz]]),1)*IF(DATOS!BD$5="Sí",1/DATOS_[[% normaliz]:[% normaliz]],1)*(DATOS_[Conc.Sal.26])))))))), 0)</f>
        <v>0</v>
      </c>
      <c r="AJ68" s="250" t="n">
        <f aca="false" t="array" ref="AJ68:AJ68">IFERROR( (MEDIAN((IF(DATOS_[[Sexo]:[Sexo]]=$B68,IF(DATOS_[[AGRUP. CLAS. PROF.]:[AGRUP. CLAS. PROF.]]=$B66,IF(DATOS_[[Check Periodo Ref.]:[Check Periodo Ref.]]="Dentro",IF(DATOS_[[Check Equiparado]:[Check Equiparado]]="Sí",IF(DATOS!BE$4="Sí",(1/DATOS_[[% anualiz]:[% anualiz]]),1)*IF(DATOS!BE$5="Sí",1/DATOS_[[% normaliz]:[% normaliz]],1)*(DATOS_[Conc.Sal.27])))))))), 0)</f>
        <v>0</v>
      </c>
      <c r="AK68" s="250" t="n">
        <f aca="false" t="array" ref="AK68:AK68">IFERROR( (MEDIAN((IF(DATOS_[[Sexo]:[Sexo]]=$B68,IF(DATOS_[[AGRUP. CLAS. PROF.]:[AGRUP. CLAS. PROF.]]=$B66,IF(DATOS_[[Check Periodo Ref.]:[Check Periodo Ref.]]="Dentro",IF(DATOS_[[Check Equiparado]:[Check Equiparado]]="Sí",IF(DATOS!BF$4="Sí",(1/DATOS_[[% anualiz]:[% anualiz]]),1)*IF(DATOS!BF$5="Sí",1/DATOS_[[% normaliz]:[% normaliz]],1)*(DATOS_[Conc.Sal.28])))))))), 0)</f>
        <v>0</v>
      </c>
      <c r="AL68" s="250" t="n">
        <f aca="false" t="array" ref="AL68:AL68">IFERROR( (MEDIAN((IF(DATOS_[[Sexo]:[Sexo]]=$B68,IF(DATOS_[[AGRUP. CLAS. PROF.]:[AGRUP. CLAS. PROF.]]=$B66,IF(DATOS_[[Check Periodo Ref.]:[Check Periodo Ref.]]="Dentro",IF(DATOS_[[Check Equiparado]:[Check Equiparado]]="Sí",IF(DATOS!BG$4="Sí",(1/DATOS_[[% anualiz]:[% anualiz]]),1)*IF(DATOS!BG$5="Sí",1/DATOS_[[% normaliz]:[% normaliz]],1)*(DATOS_[Conc.Sal.29])))))))), 0)</f>
        <v>0</v>
      </c>
      <c r="AM68" s="250" t="n">
        <f aca="false" t="array" ref="AM68:AM68">IFERROR( (MEDIAN((IF(DATOS_[[Sexo]:[Sexo]]=$B68,IF(DATOS_[[AGRUP. CLAS. PROF.]:[AGRUP. CLAS. PROF.]]=$B66,IF(DATOS_[[Check Periodo Ref.]:[Check Periodo Ref.]]="Dentro",IF(DATOS_[[Check Equiparado]:[Check Equiparado]]="Sí",IF(DATOS!BH$4="Sí",(1/DATOS_[[% anualiz]:[% anualiz]]),1)*IF(DATOS!BH$5="Sí",1/DATOS_[[% normaliz]:[% normaliz]],1)*(DATOS_[Conc.Sal.30])))))))), 0)</f>
        <v>0</v>
      </c>
      <c r="AN68" s="251" t="n">
        <f aca="false" t="array" ref="AN68:AN68">IFERROR( MEDIAN(IF(DATOS_[Sexo]=$B68,IF(DATOS_[[AGRUP. CLAS. PROF.]:[AGRUP. CLAS. PROF.]]=$B66,IF(DATOS_[Check Equiparado]="Sí",IF(DATOS_[Check Periodo Ref.]="Dentro",DATOS_[Tot COMPL.SAL Eq],0))))), 0)</f>
        <v>0</v>
      </c>
      <c r="AO68" s="252" t="n">
        <f aca="false" t="array" ref="AO68:AO68">IFERROR( MEDIAN(IF(DATOS_[Sexo]=$B68,IF(DATOS_[[AGRUP. CLAS. PROF.]:[AGRUP. CLAS. PROF.]]=$B66,IF(DATOS_[Check Equiparado]="Sí",IF(DATOS_[Check Periodo Ref.]="Dentro",DATOS_[TOTAL SALARIO Eq],0))))), 0)</f>
        <v>0</v>
      </c>
      <c r="AP68" s="259" t="n">
        <f aca="false" t="array" ref="AP68:AP68">IFERROR( (MEDIAN((IF(DATOS_[[Sexo]:[Sexo]]=$B68,IF(DATOS_[[AGRUP. CLAS. PROF.]:[AGRUP. CLAS. PROF.]]=$B67,IF(DATOS_[[Check Periodo Ref.]:[Check Periodo Ref.]]="Dentro",IF(DATOS_[[Check Equiparado]:[Check Equiparado]]="Sí",IF(DATOS!BI$4="Sí",(1/DATOS_[[% anualiz]:[% anualiz]]),1)*IF(DATOS!BI$5="Sí",1/DATOS_[[% normaliz]:[% normaliz]],1)*(DATOS_[C.Extra.01])))))))), 0)</f>
        <v>0</v>
      </c>
      <c r="AQ68" s="259" t="n">
        <f aca="false" t="array" ref="AQ68:AQ68">IFERROR( (MEDIAN((IF(DATOS_[[Sexo]:[Sexo]]=$B68,IF(DATOS_[[AGRUP. CLAS. PROF.]:[AGRUP. CLAS. PROF.]]=$B67,IF(DATOS_[[Check Periodo Ref.]:[Check Periodo Ref.]]="Dentro",IF(DATOS_[[Check Equiparado]:[Check Equiparado]]="Sí",IF(DATOS!BJ$4="Sí",(1/DATOS_[[% anualiz]:[% anualiz]]),1)*IF(DATOS!BJ$5="Sí",1/DATOS_[[% normaliz]:[% normaliz]],1)*(DATOS_[C.Extra.02])))))))), 0)</f>
        <v>0</v>
      </c>
      <c r="AR68" s="259" t="n">
        <f aca="false" t="array" ref="AR68:AR68">IFERROR( (MEDIAN((IF(DATOS_[[Sexo]:[Sexo]]=$B68,IF(DATOS_[[AGRUP. CLAS. PROF.]:[AGRUP. CLAS. PROF.]]=$B67,IF(DATOS_[[Check Periodo Ref.]:[Check Periodo Ref.]]="Dentro",IF(DATOS_[[Check Equiparado]:[Check Equiparado]]="Sí",IF(DATOS!BK$4="Sí",(1/DATOS_[[% anualiz]:[% anualiz]]),1)*IF(DATOS!BK$5="Sí",1/DATOS_[[% normaliz]:[% normaliz]],1)*(DATOS_[C.Extra.03])))))))), 0)</f>
        <v>0</v>
      </c>
      <c r="AS68" s="259" t="n">
        <f aca="false" t="array" ref="AS68:AS68">IFERROR( (MEDIAN((IF(DATOS_[[Sexo]:[Sexo]]=$B68,IF(DATOS_[[AGRUP. CLAS. PROF.]:[AGRUP. CLAS. PROF.]]=$B67,IF(DATOS_[[Check Periodo Ref.]:[Check Periodo Ref.]]="Dentro",IF(DATOS_[[Check Equiparado]:[Check Equiparado]]="Sí",IF(DATOS!BL$4="Sí",(1/DATOS_[[% anualiz]:[% anualiz]]),1)*IF(DATOS!BL$5="Sí",1/DATOS_[[% normaliz]:[% normaliz]],1)*(DATOS_[C.Extra.04])))))))), 0)</f>
        <v>0</v>
      </c>
      <c r="AT68" s="259" t="n">
        <f aca="false" t="array" ref="AT68:AT68">IFERROR( (MEDIAN((IF(DATOS_[[Sexo]:[Sexo]]=$B68,IF(DATOS_[[AGRUP. CLAS. PROF.]:[AGRUP. CLAS. PROF.]]=$B67,IF(DATOS_[[Check Periodo Ref.]:[Check Periodo Ref.]]="Dentro",IF(DATOS_[[Check Equiparado]:[Check Equiparado]]="Sí",IF(DATOS!BM$4="Sí",(1/DATOS_[[% anualiz]:[% anualiz]]),1)*IF(DATOS!BM$5="Sí",1/DATOS_[[% normaliz]:[% normaliz]],1)*(DATOS_[C.Extra.05])))))))), 0)</f>
        <v>0</v>
      </c>
      <c r="AU68" s="254" t="n">
        <f aca="false" t="array" ref="AU68:AU68">IFERROR( MEDIAN(IF(DATOS_[Sexo]=$B68,IF(DATOS_[[AGRUP. CLAS. PROF.]:[AGRUP. CLAS. PROF.]]=$B66,IF(DATOS_[Check Equiparado]="Sí",IF(DATOS_[Check Periodo Ref.]="Dentro",DATOS_[Tot Extrasalarial Eq],0))))), 0)</f>
        <v>0</v>
      </c>
      <c r="AV68" s="255" t="n">
        <f aca="false" t="array" ref="AV68:AV68">IFERROR( MEDIAN(IF(DATOS_[Sexo]=$B68,IF(DATOS_[[AGRUP. CLAS. PROF.]:[AGRUP. CLAS. PROF.]]=$B66,IF(DATOS_[Check Equiparado]="Sí",IF(DATOS_[Check Periodo Ref.]="Dentro",DATOS_[TOTAL Retrib Eq],0))))), 0)</f>
        <v>0</v>
      </c>
    </row>
    <row r="69" customFormat="false" ht="15.75" hidden="false" customHeight="false" outlineLevel="0" collapsed="false">
      <c r="A69" s="217" t="str">
        <f aca="false">+A70</f>
        <v>[ocultar]</v>
      </c>
      <c r="B69" s="320" t="s">
        <v>222</v>
      </c>
      <c r="C69" s="236"/>
      <c r="D69" s="237"/>
      <c r="E69" s="237"/>
      <c r="F69" s="237"/>
      <c r="G69" s="237"/>
      <c r="H69" s="237"/>
      <c r="I69" s="238"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39" t="str">
        <f aca="false">IFERROR((V70-V71)/V70,"")</f>
        <v/>
      </c>
      <c r="W69" s="239" t="str">
        <f aca="false">IFERROR((W70-W71)/W70,"")</f>
        <v/>
      </c>
      <c r="X69" s="239" t="str">
        <f aca="false">IFERROR((X70-X71)/X70,"")</f>
        <v/>
      </c>
      <c r="Y69" s="239"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0" t="str">
        <f aca="false">IFERROR((AJ70-AJ71)/AJ70,"")</f>
        <v/>
      </c>
      <c r="AK69" s="240" t="str">
        <f aca="false">IFERROR((AK70-AK71)/AK70,"")</f>
        <v/>
      </c>
      <c r="AL69" s="240" t="str">
        <f aca="false">IFERROR((AL70-AL71)/AL70,"")</f>
        <v/>
      </c>
      <c r="AM69" s="240" t="str">
        <f aca="false">IFERROR((AM70-AM71)/AM70,"")</f>
        <v/>
      </c>
      <c r="AN69" s="241" t="str">
        <f aca="false">IFERROR((AN70-AN71)/AN70,"")</f>
        <v/>
      </c>
      <c r="AO69" s="242" t="str">
        <f aca="false">IFERROR((AO70-AO71)/AO70,"")</f>
        <v/>
      </c>
      <c r="AP69" s="243" t="str">
        <f aca="false">IFERROR((AP70-AP71)/AP70,"")</f>
        <v/>
      </c>
      <c r="AQ69" s="243" t="str">
        <f aca="false">IFERROR((AQ70-AQ71)/AQ70,"")</f>
        <v/>
      </c>
      <c r="AR69" s="243" t="str">
        <f aca="false">IFERROR((AR70-AR71)/AR70,"")</f>
        <v/>
      </c>
      <c r="AS69" s="243" t="str">
        <f aca="false">IFERROR((AS70-AS71)/AS70,"")</f>
        <v/>
      </c>
      <c r="AT69" s="243" t="str">
        <f aca="false">IFERROR((AT70-AT71)/AT70,"")</f>
        <v/>
      </c>
      <c r="AU69" s="244" t="str">
        <f aca="false">IFERROR((AU70-AU71)/AU70,"")</f>
        <v/>
      </c>
      <c r="AV69" s="245" t="str">
        <f aca="false">IFERROR((AV70-AV71)/AV70,"")</f>
        <v/>
      </c>
    </row>
    <row r="70" customFormat="false" ht="14.25" hidden="false" customHeight="false" outlineLevel="0" collapsed="false">
      <c r="A70" s="217" t="str">
        <f aca="false">+IF(C70+C71=0,"[ocultar]","")</f>
        <v>[ocultar]</v>
      </c>
      <c r="B70" s="323" t="s">
        <v>371</v>
      </c>
      <c r="C70" s="247" t="n">
        <f aca="false" t="array" ref="C70:C70">SUM(IF($B70=DATOS_[Sexo], IF($B69=DATOS_[AGRUP. CLAS. PROF.], IF("Dentro"=DATOS_[Check Periodo Ref.], 1/(COUNTIFS(DATOS_[Sexo],$B70,DATOS_[AGRUP. CLAS. PROF.],$B69,DATOS_[Check Periodo Ref.],"Dentro",DATOS_[id],DATOS_[id]))))))</f>
        <v>0</v>
      </c>
      <c r="D70" s="248" t="n">
        <f aca="false">COUNTIFS(DATOS_[AGRUP. CLAS. PROF.],$B69,DATOS_[Sexo],$B70,DATOS_[Check Periodo Ref.],"Dentro")</f>
        <v>0</v>
      </c>
      <c r="E70" s="248" t="n">
        <f aca="false">COUNTIFS(DATOS_[AGRUP. CLAS. PROF.],$B69,DATOS_[Sexo],$B70,DATOS_[Check Periodo Ref.],"Dentro",DATOS_[Check Nº SC Norm],"Sí")</f>
        <v>0</v>
      </c>
      <c r="F70" s="248" t="n">
        <f aca="false">COUNTIFS(DATOS_[AGRUP. CLAS. PROF.],$B69,DATOS_[Sexo],$B70,DATOS_[Check Periodo Ref.],"Dentro",DATOS_[Check Nº SC Anualiz],"Sí")</f>
        <v>0</v>
      </c>
      <c r="G70" s="248" t="n">
        <f aca="false">COUNTIFS(DATOS_[AGRUP. CLAS. PROF.],$B69,DATOS_[Sexo],$B70,DATOS_[Check Periodo Ref.],"Dentro",DATOS_[Check Nº SC Norm y Anualiz],"Sí")</f>
        <v>0</v>
      </c>
      <c r="H70" s="248" t="n">
        <f aca="false">COUNTIFS(DATOS_[AGRUP. CLAS. PROF.],$B69,DATOS_[Sexo],$B70,DATOS_[Check Periodo Ref.],"Dentro",DATOS_[Check Equiparación],"Sí")</f>
        <v>0</v>
      </c>
      <c r="I70" s="249" t="n">
        <f aca="false" t="array" ref="I70:I70">IFERROR( MEDIAN(IF(DATOS_[Sexo]=$B70,IF(DATOS_[[AGRUP. CLAS. PROF.]:[AGRUP. CLAS. PROF.]]=$B69,IF(DATOS_[Check Equiparado]="Sí",IF(DATOS_[Check Periodo Ref.]="Dentro",DATOS_[SALARIO BASE Eq],0))))), 0)</f>
        <v>0</v>
      </c>
      <c r="J70" s="250" t="n">
        <f aca="false" t="array" ref="J70:J70">IFERROR( (MEDIAN((IF(DATOS_[[Sexo]:[Sexo]]=$B70,IF(DATOS_[[AGRUP. CLAS. PROF.]:[AGRUP. CLAS. PROF.]]=$B69,IF(DATOS_[[Check Periodo Ref.]:[Check Periodo Ref.]]="Dentro",IF(DATOS_[[Check Equiparado]:[Check Equiparado]]="Sí",IF(DATOS!AE$4="Sí",(1/DATOS_[[% anualiz]:[% anualiz]]),1)*IF(DATOS!AE$5="Sí",1/DATOS_[[% normaliz]:[% normaliz]],1)*(DATOS_[Conc.Sal.01])))))))), 0)</f>
        <v>0</v>
      </c>
      <c r="K70" s="250" t="n">
        <f aca="false" t="array" ref="K70:K70">IFERROR( (MEDIAN((IF(DATOS_[[Sexo]:[Sexo]]=$B70,IF(DATOS_[[AGRUP. CLAS. PROF.]:[AGRUP. CLAS. PROF.]]=$B69,IF(DATOS_[[Check Periodo Ref.]:[Check Periodo Ref.]]="Dentro",IF(DATOS_[[Check Equiparado]:[Check Equiparado]]="Sí",IF(DATOS!AF$4="Sí",(1/DATOS_[[% anualiz]:[% anualiz]]),1)*IF(DATOS!AF$5="Sí",1/DATOS_[[% normaliz]:[% normaliz]],1)*(DATOS_[Conc.Sal.02])))))))), 0)</f>
        <v>0</v>
      </c>
      <c r="L70" s="250" t="n">
        <f aca="false" t="array" ref="L70:L70">IFERROR( (MEDIAN((IF(DATOS_[[Sexo]:[Sexo]]=$B70,IF(DATOS_[[AGRUP. CLAS. PROF.]:[AGRUP. CLAS. PROF.]]=$B69,IF(DATOS_[[Check Periodo Ref.]:[Check Periodo Ref.]]="Dentro",IF(DATOS_[[Check Equiparado]:[Check Equiparado]]="Sí",IF(DATOS!AG$4="Sí",(1/DATOS_[[% anualiz]:[% anualiz]]),1)*IF(DATOS!AG$5="Sí",1/DATOS_[[% normaliz]:[% normaliz]],1)*(DATOS_[Conc.Sal.03])))))))), 0)</f>
        <v>0</v>
      </c>
      <c r="M70" s="250" t="n">
        <f aca="false" t="array" ref="M70:M70">IFERROR( (MEDIAN((IF(DATOS_[[Sexo]:[Sexo]]=$B70,IF(DATOS_[[AGRUP. CLAS. PROF.]:[AGRUP. CLAS. PROF.]]=$B69,IF(DATOS_[[Check Periodo Ref.]:[Check Periodo Ref.]]="Dentro",IF(DATOS_[[Check Equiparado]:[Check Equiparado]]="Sí",IF(DATOS!AH$4="Sí",(1/DATOS_[[% anualiz]:[% anualiz]]),1)*IF(DATOS!AH$5="Sí",1/DATOS_[[% normaliz]:[% normaliz]],1)*(DATOS_[Conc.Sal.04])))))))), 0)</f>
        <v>0</v>
      </c>
      <c r="N70" s="250" t="n">
        <f aca="false" t="array" ref="N70:N70">IFERROR( (MEDIAN((IF(DATOS_[[Sexo]:[Sexo]]=$B70,IF(DATOS_[[AGRUP. CLAS. PROF.]:[AGRUP. CLAS. PROF.]]=$B69,IF(DATOS_[[Check Periodo Ref.]:[Check Periodo Ref.]]="Dentro",IF(DATOS_[[Check Equiparado]:[Check Equiparado]]="Sí",IF(DATOS!AI$4="Sí",(1/DATOS_[[% anualiz]:[% anualiz]]),1)*IF(DATOS!AI$5="Sí",1/DATOS_[[% normaliz]:[% normaliz]],1)*(DATOS_[Conc.Sal.05])))))))), 0)</f>
        <v>0</v>
      </c>
      <c r="O70" s="250" t="n">
        <f aca="false" t="array" ref="O70:O70">IFERROR( (MEDIAN((IF(DATOS_[[Sexo]:[Sexo]]=$B70,IF(DATOS_[[AGRUP. CLAS. PROF.]:[AGRUP. CLAS. PROF.]]=$B69,IF(DATOS_[[Check Periodo Ref.]:[Check Periodo Ref.]]="Dentro",IF(DATOS_[[Check Equiparado]:[Check Equiparado]]="Sí",IF(DATOS!AJ$4="Sí",(1/DATOS_[[% anualiz]:[% anualiz]]),1)*IF(DATOS!AJ$5="Sí",1/DATOS_[[% normaliz]:[% normaliz]],1)*(DATOS_[Conc.Sal.06])))))))), 0)</f>
        <v>0</v>
      </c>
      <c r="P70" s="250" t="n">
        <f aca="false" t="array" ref="P70:P70">IFERROR( (MEDIAN((IF(DATOS_[[Sexo]:[Sexo]]=$B70,IF(DATOS_[[AGRUP. CLAS. PROF.]:[AGRUP. CLAS. PROF.]]=$B69,IF(DATOS_[[Check Periodo Ref.]:[Check Periodo Ref.]]="Dentro",IF(DATOS_[[Check Equiparado]:[Check Equiparado]]="Sí",IF(DATOS!AK$4="Sí",(1/DATOS_[[% anualiz]:[% anualiz]]),1)*IF(DATOS!AK$5="Sí",1/DATOS_[[% normaliz]:[% normaliz]],1)*(DATOS_[Conc.Sal.07])))))))), 0)</f>
        <v>0</v>
      </c>
      <c r="Q70" s="250" t="n">
        <f aca="false" t="array" ref="Q70:Q70">IFERROR( (MEDIAN((IF(DATOS_[[Sexo]:[Sexo]]=$B70,IF(DATOS_[[AGRUP. CLAS. PROF.]:[AGRUP. CLAS. PROF.]]=$B69,IF(DATOS_[[Check Periodo Ref.]:[Check Periodo Ref.]]="Dentro",IF(DATOS_[[Check Equiparado]:[Check Equiparado]]="Sí",IF(DATOS!AL$4="Sí",(1/DATOS_[[% anualiz]:[% anualiz]]),1)*IF(DATOS!AL$5="Sí",1/DATOS_[[% normaliz]:[% normaliz]],1)*(DATOS_[Conc.Sal.08])))))))), 0)</f>
        <v>0</v>
      </c>
      <c r="R70" s="250" t="n">
        <f aca="false" t="array" ref="R70:R70">IFERROR( (MEDIAN((IF(DATOS_[[Sexo]:[Sexo]]=$B70,IF(DATOS_[[AGRUP. CLAS. PROF.]:[AGRUP. CLAS. PROF.]]=$B69,IF(DATOS_[[Check Periodo Ref.]:[Check Periodo Ref.]]="Dentro",IF(DATOS_[[Check Equiparado]:[Check Equiparado]]="Sí",IF(DATOS!AM$4="Sí",(1/DATOS_[[% anualiz]:[% anualiz]]),1)*IF(DATOS!AM$5="Sí",1/DATOS_[[% normaliz]:[% normaliz]],1)*(DATOS_[Conc.Sal.09])))))))), 0)</f>
        <v>0</v>
      </c>
      <c r="S70" s="250" t="n">
        <f aca="false" t="array" ref="S70:S70">IFERROR( (MEDIAN((IF(DATOS_[[Sexo]:[Sexo]]=$B70,IF(DATOS_[[AGRUP. CLAS. PROF.]:[AGRUP. CLAS. PROF.]]=$B69,IF(DATOS_[[Check Periodo Ref.]:[Check Periodo Ref.]]="Dentro",IF(DATOS_[[Check Equiparado]:[Check Equiparado]]="Sí",IF(DATOS!AN$4="Sí",(1/DATOS_[[% anualiz]:[% anualiz]]),1)*IF(DATOS!AN$5="Sí",1/DATOS_[[% normaliz]:[% normaliz]],1)*(DATOS_[Conc.Sal.10])))))))), 0)</f>
        <v>0</v>
      </c>
      <c r="T70" s="250" t="n">
        <f aca="false" t="array" ref="T70:T70">IFERROR( (MEDIAN((IF(DATOS_[[Sexo]:[Sexo]]=$B70,IF(DATOS_[[AGRUP. CLAS. PROF.]:[AGRUP. CLAS. PROF.]]=$B69,IF(DATOS_[[Check Periodo Ref.]:[Check Periodo Ref.]]="Dentro",IF(DATOS_[[Check Equiparado]:[Check Equiparado]]="Sí",IF(DATOS!AO$4="Sí",(1/DATOS_[[% anualiz]:[% anualiz]]),1)*IF(DATOS!AO$5="Sí",1/DATOS_[[% normaliz]:[% normaliz]],1)*(DATOS_[Conc.Sal.11])))))))), 0)</f>
        <v>0</v>
      </c>
      <c r="U70" s="250" t="n">
        <f aca="false" t="array" ref="U70:U70">IFERROR( (MEDIAN((IF(DATOS_[[Sexo]:[Sexo]]=$B70,IF(DATOS_[[AGRUP. CLAS. PROF.]:[AGRUP. CLAS. PROF.]]=$B69,IF(DATOS_[[Check Periodo Ref.]:[Check Periodo Ref.]]="Dentro",IF(DATOS_[[Check Equiparado]:[Check Equiparado]]="Sí",IF(DATOS!AP$4="Sí",(1/DATOS_[[% anualiz]:[% anualiz]]),1)*IF(DATOS!AP$5="Sí",1/DATOS_[[% normaliz]:[% normaliz]],1)*(DATOS_[Conc.Sal.12])))))))), 0)</f>
        <v>0</v>
      </c>
      <c r="V70" s="250" t="n">
        <f aca="false" t="array" ref="V70:V70">IFERROR( (MEDIAN((IF(DATOS_[[Sexo]:[Sexo]]=$B70,IF(DATOS_[[AGRUP. CLAS. PROF.]:[AGRUP. CLAS. PROF.]]=$B69,IF(DATOS_[[Check Periodo Ref.]:[Check Periodo Ref.]]="Dentro",IF(DATOS_[[Check Equiparado]:[Check Equiparado]]="Sí",IF(DATOS!AQ$4="Sí",(1/DATOS_[[% anualiz]:[% anualiz]]),1)*IF(DATOS!AQ$5="Sí",1/DATOS_[[% normaliz]:[% normaliz]],1)*(DATOS_[Conc.Sal.13])))))))), 0)</f>
        <v>0</v>
      </c>
      <c r="W70" s="250" t="n">
        <f aca="false" t="array" ref="W70:W70">IFERROR( (MEDIAN((IF(DATOS_[[Sexo]:[Sexo]]=$B70,IF(DATOS_[[AGRUP. CLAS. PROF.]:[AGRUP. CLAS. PROF.]]=$B69,IF(DATOS_[[Check Periodo Ref.]:[Check Periodo Ref.]]="Dentro",IF(DATOS_[[Check Equiparado]:[Check Equiparado]]="Sí",IF(DATOS!AR$4="Sí",(1/DATOS_[[% anualiz]:[% anualiz]]),1)*IF(DATOS!AR$5="Sí",1/DATOS_[[% normaliz]:[% normaliz]],1)*(DATOS_[Conc.Sal.14])))))))), 0)</f>
        <v>0</v>
      </c>
      <c r="X70" s="250" t="n">
        <f aca="false" t="array" ref="X70:X70">IFERROR( (MEDIAN((IF(DATOS_[[Sexo]:[Sexo]]=$B70,IF(DATOS_[[AGRUP. CLAS. PROF.]:[AGRUP. CLAS. PROF.]]=$B69,IF(DATOS_[[Check Periodo Ref.]:[Check Periodo Ref.]]="Dentro",IF(DATOS_[[Check Equiparado]:[Check Equiparado]]="Sí",IF(DATOS!AS$4="Sí",(1/DATOS_[[% anualiz]:[% anualiz]]),1)*IF(DATOS!AS$5="Sí",1/DATOS_[[% normaliz]:[% normaliz]],1)*(DATOS_[Conc.Sal.15])))))))), 0)</f>
        <v>0</v>
      </c>
      <c r="Y70" s="250" t="n">
        <f aca="false" t="array" ref="Y70:Y70">IFERROR( (MEDIAN((IF(DATOS_[[Sexo]:[Sexo]]=$B70,IF(DATOS_[[AGRUP. CLAS. PROF.]:[AGRUP. CLAS. PROF.]]=$B69,IF(DATOS_[[Check Periodo Ref.]:[Check Periodo Ref.]]="Dentro",IF(DATOS_[[Check Equiparado]:[Check Equiparado]]="Sí",IF(DATOS!AT$4="Sí",(1/DATOS_[[% anualiz]:[% anualiz]]),1)*IF(DATOS!AT$5="Sí",1/DATOS_[[% normaliz]:[% normaliz]],1)*(DATOS_[Conc.Sal.16])))))))), 0)</f>
        <v>0</v>
      </c>
      <c r="Z70" s="250" t="n">
        <f aca="false" t="array" ref="Z70:Z70">IFERROR( (MEDIAN((IF(DATOS_[[Sexo]:[Sexo]]=$B70,IF(DATOS_[[AGRUP. CLAS. PROF.]:[AGRUP. CLAS. PROF.]]=$B69,IF(DATOS_[[Check Periodo Ref.]:[Check Periodo Ref.]]="Dentro",IF(DATOS_[[Check Equiparado]:[Check Equiparado]]="Sí",IF(DATOS!AU$4="Sí",(1/DATOS_[[% anualiz]:[% anualiz]]),1)*IF(DATOS!AU$5="Sí",1/DATOS_[[% normaliz]:[% normaliz]],1)*(DATOS_[Conc.Sal.17])))))))), 0)</f>
        <v>0</v>
      </c>
      <c r="AA70" s="250" t="n">
        <f aca="false" t="array" ref="AA70:AA70">IFERROR( (MEDIAN((IF(DATOS_[[Sexo]:[Sexo]]=$B70,IF(DATOS_[[AGRUP. CLAS. PROF.]:[AGRUP. CLAS. PROF.]]=$B69,IF(DATOS_[[Check Periodo Ref.]:[Check Periodo Ref.]]="Dentro",IF(DATOS_[[Check Equiparado]:[Check Equiparado]]="Sí",IF(DATOS!AV$4="Sí",(1/DATOS_[[% anualiz]:[% anualiz]]),1)*IF(DATOS!AV$5="Sí",1/DATOS_[[% normaliz]:[% normaliz]],1)*(DATOS_[Conc.Sal.18])))))))), 0)</f>
        <v>0</v>
      </c>
      <c r="AB70" s="250" t="n">
        <f aca="false" t="array" ref="AB70:AB70">IFERROR( (MEDIAN((IF(DATOS_[[Sexo]:[Sexo]]=$B70,IF(DATOS_[[AGRUP. CLAS. PROF.]:[AGRUP. CLAS. PROF.]]=$B69,IF(DATOS_[[Check Periodo Ref.]:[Check Periodo Ref.]]="Dentro",IF(DATOS_[[Check Equiparado]:[Check Equiparado]]="Sí",IF(DATOS!AW$4="Sí",(1/DATOS_[[% anualiz]:[% anualiz]]),1)*IF(DATOS!AW$5="Sí",1/DATOS_[[% normaliz]:[% normaliz]],1)*(DATOS_[Conc.Sal.19])))))))), 0)</f>
        <v>0</v>
      </c>
      <c r="AC70" s="250" t="n">
        <f aca="false" t="array" ref="AC70:AC70">IFERROR( (MEDIAN((IF(DATOS_[[Sexo]:[Sexo]]=$B70,IF(DATOS_[[AGRUP. CLAS. PROF.]:[AGRUP. CLAS. PROF.]]=$B69,IF(DATOS_[[Check Periodo Ref.]:[Check Periodo Ref.]]="Dentro",IF(DATOS_[[Check Equiparado]:[Check Equiparado]]="Sí",IF(DATOS!AX$4="Sí",(1/DATOS_[[% anualiz]:[% anualiz]]),1)*IF(DATOS!AX$5="Sí",1/DATOS_[[% normaliz]:[% normaliz]],1)*(DATOS_[Conc.Sal.20])))))))), 0)</f>
        <v>0</v>
      </c>
      <c r="AD70" s="250" t="n">
        <f aca="false" t="array" ref="AD70:AD70">IFERROR( (MEDIAN((IF(DATOS_[[Sexo]:[Sexo]]=$B70,IF(DATOS_[[AGRUP. CLAS. PROF.]:[AGRUP. CLAS. PROF.]]=$B69,IF(DATOS_[[Check Periodo Ref.]:[Check Periodo Ref.]]="Dentro",IF(DATOS_[[Check Equiparado]:[Check Equiparado]]="Sí",IF(DATOS!AY$4="Sí",(1/DATOS_[[% anualiz]:[% anualiz]]),1)*IF(DATOS!AY$5="Sí",1/DATOS_[[% normaliz]:[% normaliz]],1)*(DATOS_[Conc.Sal.21])))))))), 0)</f>
        <v>0</v>
      </c>
      <c r="AE70" s="250" t="n">
        <f aca="false" t="array" ref="AE70:AE70">IFERROR( (MEDIAN((IF(DATOS_[[Sexo]:[Sexo]]=$B70,IF(DATOS_[[AGRUP. CLAS. PROF.]:[AGRUP. CLAS. PROF.]]=$B69,IF(DATOS_[[Check Periodo Ref.]:[Check Periodo Ref.]]="Dentro",IF(DATOS_[[Check Equiparado]:[Check Equiparado]]="Sí",IF(DATOS!AZ$4="Sí",(1/DATOS_[[% anualiz]:[% anualiz]]),1)*IF(DATOS!AZ$5="Sí",1/DATOS_[[% normaliz]:[% normaliz]],1)*(DATOS_[Conc.Sal.22])))))))), 0)</f>
        <v>0</v>
      </c>
      <c r="AF70" s="250" t="n">
        <f aca="false" t="array" ref="AF70:AF70">IFERROR( (MEDIAN((IF(DATOS_[[Sexo]:[Sexo]]=$B70,IF(DATOS_[[AGRUP. CLAS. PROF.]:[AGRUP. CLAS. PROF.]]=$B69,IF(DATOS_[[Check Periodo Ref.]:[Check Periodo Ref.]]="Dentro",IF(DATOS_[[Check Equiparado]:[Check Equiparado]]="Sí",IF(DATOS!BA$4="Sí",(1/DATOS_[[% anualiz]:[% anualiz]]),1)*IF(DATOS!BA$5="Sí",1/DATOS_[[% normaliz]:[% normaliz]],1)*(DATOS_[Conc.Sal.23])))))))), 0)</f>
        <v>0</v>
      </c>
      <c r="AG70" s="250" t="n">
        <f aca="false" t="array" ref="AG70:AG70">IFERROR( (MEDIAN((IF(DATOS_[[Sexo]:[Sexo]]=$B70,IF(DATOS_[[AGRUP. CLAS. PROF.]:[AGRUP. CLAS. PROF.]]=$B69,IF(DATOS_[[Check Periodo Ref.]:[Check Periodo Ref.]]="Dentro",IF(DATOS_[[Check Equiparado]:[Check Equiparado]]="Sí",IF(DATOS!BB$4="Sí",(1/DATOS_[[% anualiz]:[% anualiz]]),1)*IF(DATOS!BB$5="Sí",1/DATOS_[[% normaliz]:[% normaliz]],1)*(DATOS_[Conc.Sal.24])))))))), 0)</f>
        <v>0</v>
      </c>
      <c r="AH70" s="250" t="n">
        <f aca="false" t="array" ref="AH70:AH70">IFERROR( (MEDIAN((IF(DATOS_[[Sexo]:[Sexo]]=$B70,IF(DATOS_[[AGRUP. CLAS. PROF.]:[AGRUP. CLAS. PROF.]]=$B69,IF(DATOS_[[Check Periodo Ref.]:[Check Periodo Ref.]]="Dentro",IF(DATOS_[[Check Equiparado]:[Check Equiparado]]="Sí",IF(DATOS!BC$4="Sí",(1/DATOS_[[% anualiz]:[% anualiz]]),1)*IF(DATOS!BC$5="Sí",1/DATOS_[[% normaliz]:[% normaliz]],1)*(DATOS_[Conc.Sal.25])))))))), 0)</f>
        <v>0</v>
      </c>
      <c r="AI70" s="250" t="n">
        <f aca="false" t="array" ref="AI70:AI70">IFERROR( (MEDIAN((IF(DATOS_[[Sexo]:[Sexo]]=$B70,IF(DATOS_[[AGRUP. CLAS. PROF.]:[AGRUP. CLAS. PROF.]]=$B69,IF(DATOS_[[Check Periodo Ref.]:[Check Periodo Ref.]]="Dentro",IF(DATOS_[[Check Equiparado]:[Check Equiparado]]="Sí",IF(DATOS!BD$4="Sí",(1/DATOS_[[% anualiz]:[% anualiz]]),1)*IF(DATOS!BD$5="Sí",1/DATOS_[[% normaliz]:[% normaliz]],1)*(DATOS_[Conc.Sal.26])))))))), 0)</f>
        <v>0</v>
      </c>
      <c r="AJ70" s="250" t="n">
        <f aca="false" t="array" ref="AJ70:AJ70">IFERROR( (MEDIAN((IF(DATOS_[[Sexo]:[Sexo]]=$B70,IF(DATOS_[[AGRUP. CLAS. PROF.]:[AGRUP. CLAS. PROF.]]=$B69,IF(DATOS_[[Check Periodo Ref.]:[Check Periodo Ref.]]="Dentro",IF(DATOS_[[Check Equiparado]:[Check Equiparado]]="Sí",IF(DATOS!BE$4="Sí",(1/DATOS_[[% anualiz]:[% anualiz]]),1)*IF(DATOS!BE$5="Sí",1/DATOS_[[% normaliz]:[% normaliz]],1)*(DATOS_[Conc.Sal.27])))))))), 0)</f>
        <v>0</v>
      </c>
      <c r="AK70" s="250" t="n">
        <f aca="false" t="array" ref="AK70:AK70">IFERROR( (MEDIAN((IF(DATOS_[[Sexo]:[Sexo]]=$B70,IF(DATOS_[[AGRUP. CLAS. PROF.]:[AGRUP. CLAS. PROF.]]=$B69,IF(DATOS_[[Check Periodo Ref.]:[Check Periodo Ref.]]="Dentro",IF(DATOS_[[Check Equiparado]:[Check Equiparado]]="Sí",IF(DATOS!BF$4="Sí",(1/DATOS_[[% anualiz]:[% anualiz]]),1)*IF(DATOS!BF$5="Sí",1/DATOS_[[% normaliz]:[% normaliz]],1)*(DATOS_[Conc.Sal.28])))))))), 0)</f>
        <v>0</v>
      </c>
      <c r="AL70" s="250" t="n">
        <f aca="false" t="array" ref="AL70:AL70">IFERROR( (MEDIAN((IF(DATOS_[[Sexo]:[Sexo]]=$B70,IF(DATOS_[[AGRUP. CLAS. PROF.]:[AGRUP. CLAS. PROF.]]=$B69,IF(DATOS_[[Check Periodo Ref.]:[Check Periodo Ref.]]="Dentro",IF(DATOS_[[Check Equiparado]:[Check Equiparado]]="Sí",IF(DATOS!BG$4="Sí",(1/DATOS_[[% anualiz]:[% anualiz]]),1)*IF(DATOS!BG$5="Sí",1/DATOS_[[% normaliz]:[% normaliz]],1)*(DATOS_[Conc.Sal.29])))))))), 0)</f>
        <v>0</v>
      </c>
      <c r="AM70" s="250" t="n">
        <f aca="false" t="array" ref="AM70:AM70">IFERROR( (MEDIAN((IF(DATOS_[[Sexo]:[Sexo]]=$B70,IF(DATOS_[[AGRUP. CLAS. PROF.]:[AGRUP. CLAS. PROF.]]=$B69,IF(DATOS_[[Check Periodo Ref.]:[Check Periodo Ref.]]="Dentro",IF(DATOS_[[Check Equiparado]:[Check Equiparado]]="Sí",IF(DATOS!BH$4="Sí",(1/DATOS_[[% anualiz]:[% anualiz]]),1)*IF(DATOS!BH$5="Sí",1/DATOS_[[% normaliz]:[% normaliz]],1)*(DATOS_[Conc.Sal.30])))))))), 0)</f>
        <v>0</v>
      </c>
      <c r="AN70" s="251" t="n">
        <f aca="false" t="array" ref="AN70:AN70">IFERROR( MEDIAN(IF(DATOS_[Sexo]=$B70,IF(DATOS_[[AGRUP. CLAS. PROF.]:[AGRUP. CLAS. PROF.]]=$B69,IF(DATOS_[Check Equiparado]="Sí",IF(DATOS_[Check Periodo Ref.]="Dentro",DATOS_[Tot COMPL.SAL Eq],0))))), 0)</f>
        <v>0</v>
      </c>
      <c r="AO70" s="252" t="n">
        <f aca="false" t="array" ref="AO70:AO70">IFERROR( MEDIAN(IF(DATOS_[Sexo]=$B70,IF(DATOS_[[AGRUP. CLAS. PROF.]:[AGRUP. CLAS. PROF.]]=$B69,IF(DATOS_[Check Equiparado]="Sí",IF(DATOS_[Check Periodo Ref.]="Dentro",DATOS_[TOTAL SALARIO Eq],0))))), 0)</f>
        <v>0</v>
      </c>
      <c r="AP70" s="259" t="n">
        <f aca="false" t="array" ref="AP70:AP70">IFERROR( (MEDIAN((IF(DATOS_[[Sexo]:[Sexo]]=$B70,IF(DATOS_[[AGRUP. CLAS. PROF.]:[AGRUP. CLAS. PROF.]]=$B69,IF(DATOS_[[Check Periodo Ref.]:[Check Periodo Ref.]]="Dentro",IF(DATOS_[[Check Equiparado]:[Check Equiparado]]="Sí",IF(DATOS!BI$4="Sí",(1/DATOS_[[% anualiz]:[% anualiz]]),1)*IF(DATOS!BI$5="Sí",1/DATOS_[[% normaliz]:[% normaliz]],1)*(DATOS_[C.Extra.01])))))))), 0)</f>
        <v>0</v>
      </c>
      <c r="AQ70" s="259" t="n">
        <f aca="false" t="array" ref="AQ70:AQ70">IFERROR( (MEDIAN((IF(DATOS_[[Sexo]:[Sexo]]=$B70,IF(DATOS_[[AGRUP. CLAS. PROF.]:[AGRUP. CLAS. PROF.]]=$B69,IF(DATOS_[[Check Periodo Ref.]:[Check Periodo Ref.]]="Dentro",IF(DATOS_[[Check Equiparado]:[Check Equiparado]]="Sí",IF(DATOS!BJ$4="Sí",(1/DATOS_[[% anualiz]:[% anualiz]]),1)*IF(DATOS!BJ$5="Sí",1/DATOS_[[% normaliz]:[% normaliz]],1)*(DATOS_[C.Extra.02])))))))), 0)</f>
        <v>0</v>
      </c>
      <c r="AR70" s="259" t="n">
        <f aca="false" t="array" ref="AR70:AR70">IFERROR( (MEDIAN((IF(DATOS_[[Sexo]:[Sexo]]=$B70,IF(DATOS_[[AGRUP. CLAS. PROF.]:[AGRUP. CLAS. PROF.]]=$B69,IF(DATOS_[[Check Periodo Ref.]:[Check Periodo Ref.]]="Dentro",IF(DATOS_[[Check Equiparado]:[Check Equiparado]]="Sí",IF(DATOS!BK$4="Sí",(1/DATOS_[[% anualiz]:[% anualiz]]),1)*IF(DATOS!BK$5="Sí",1/DATOS_[[% normaliz]:[% normaliz]],1)*(DATOS_[C.Extra.03])))))))), 0)</f>
        <v>0</v>
      </c>
      <c r="AS70" s="259" t="n">
        <f aca="false" t="array" ref="AS70:AS70">IFERROR( (MEDIAN((IF(DATOS_[[Sexo]:[Sexo]]=$B70,IF(DATOS_[[AGRUP. CLAS. PROF.]:[AGRUP. CLAS. PROF.]]=$B69,IF(DATOS_[[Check Periodo Ref.]:[Check Periodo Ref.]]="Dentro",IF(DATOS_[[Check Equiparado]:[Check Equiparado]]="Sí",IF(DATOS!BL$4="Sí",(1/DATOS_[[% anualiz]:[% anualiz]]),1)*IF(DATOS!BL$5="Sí",1/DATOS_[[% normaliz]:[% normaliz]],1)*(DATOS_[C.Extra.04])))))))), 0)</f>
        <v>0</v>
      </c>
      <c r="AT70" s="259" t="n">
        <f aca="false" t="array" ref="AT70:AT70">IFERROR( (MEDIAN((IF(DATOS_[[Sexo]:[Sexo]]=$B70,IF(DATOS_[[AGRUP. CLAS. PROF.]:[AGRUP. CLAS. PROF.]]=$B69,IF(DATOS_[[Check Periodo Ref.]:[Check Periodo Ref.]]="Dentro",IF(DATOS_[[Check Equiparado]:[Check Equiparado]]="Sí",IF(DATOS!BM$4="Sí",(1/DATOS_[[% anualiz]:[% anualiz]]),1)*IF(DATOS!BM$5="Sí",1/DATOS_[[% normaliz]:[% normaliz]],1)*(DATOS_[C.Extra.05])))))))), 0)</f>
        <v>0</v>
      </c>
      <c r="AU70" s="254" t="n">
        <f aca="false" t="array" ref="AU70:AU70">IFERROR( MEDIAN(IF(DATOS_[Sexo]=$B70,IF(DATOS_[[AGRUP. CLAS. PROF.]:[AGRUP. CLAS. PROF.]]=$B69,IF(DATOS_[Check Equiparado]="Sí",IF(DATOS_[Check Periodo Ref.]="Dentro",DATOS_[Tot Extrasalarial Eq],0))))), 0)</f>
        <v>0</v>
      </c>
      <c r="AV70" s="255" t="n">
        <f aca="false" t="array" ref="AV70:AV70">IFERROR( MEDIAN(IF(DATOS_[Sexo]=$B70,IF(DATOS_[[AGRUP. CLAS. PROF.]:[AGRUP. CLAS. PROF.]]=$B69,IF(DATOS_[Check Equiparado]="Sí",IF(DATOS_[Check Periodo Ref.]="Dentro",DATOS_[TOTAL Retrib Eq],0))))), 0)</f>
        <v>0</v>
      </c>
    </row>
    <row r="71" customFormat="false" ht="14.25" hidden="false" customHeight="false" outlineLevel="0" collapsed="false">
      <c r="A71" s="217" t="str">
        <f aca="false">+A70</f>
        <v>[ocultar]</v>
      </c>
      <c r="B71" s="323" t="s">
        <v>372</v>
      </c>
      <c r="C71" s="247" t="n">
        <f aca="false" t="array" ref="C71:C71">SUM(IF($B71=DATOS_[Sexo], IF($B69=DATOS_[AGRUP. CLAS. PROF.], IF("Dentro"=DATOS_[Check Periodo Ref.], 1/(COUNTIFS(DATOS_[Sexo],$B71,DATOS_[AGRUP. CLAS. PROF.],$B69,DATOS_[Check Periodo Ref.],"Dentro",DATOS_[id],DATOS_[id]))))))</f>
        <v>0</v>
      </c>
      <c r="D71" s="248" t="n">
        <f aca="false">COUNTIFS(DATOS_[AGRUP. CLAS. PROF.],$B69,DATOS_[Sexo],$B71,DATOS_[Check Periodo Ref.],"Dentro")</f>
        <v>0</v>
      </c>
      <c r="E71" s="248" t="n">
        <f aca="false">COUNTIFS(DATOS_[AGRUP. CLAS. PROF.],$B69,DATOS_[Sexo],$B71,DATOS_[Check Periodo Ref.],"Dentro",DATOS_[Check Nº SC Norm],"Sí")</f>
        <v>0</v>
      </c>
      <c r="F71" s="248" t="n">
        <f aca="false">COUNTIFS(DATOS_[AGRUP. CLAS. PROF.],$B69,DATOS_[Sexo],$B71,DATOS_[Check Periodo Ref.],"Dentro",DATOS_[Check Nº SC Anualiz],"Sí")</f>
        <v>0</v>
      </c>
      <c r="G71" s="248" t="n">
        <f aca="false">COUNTIFS(DATOS_[AGRUP. CLAS. PROF.],$B69,DATOS_[Sexo],$B71,DATOS_[Check Periodo Ref.],"Dentro",DATOS_[Check Nº SC Norm y Anualiz],"Sí")</f>
        <v>0</v>
      </c>
      <c r="H71" s="248" t="n">
        <f aca="false">COUNTIFS(DATOS_[AGRUP. CLAS. PROF.],$B69,DATOS_[Sexo],$B71,DATOS_[Check Periodo Ref.],"Dentro",DATOS_[Check Equiparación],"Sí")</f>
        <v>0</v>
      </c>
      <c r="I71" s="249" t="n">
        <f aca="false" t="array" ref="I71:I71">IFERROR( MEDIAN(IF(DATOS_[Sexo]=$B71,IF(DATOS_[[AGRUP. CLAS. PROF.]:[AGRUP. CLAS. PROF.]]=$B69,IF(DATOS_[Check Equiparado]="Sí",IF(DATOS_[Check Periodo Ref.]="Dentro",DATOS_[SALARIO BASE Eq],0))))), 0)</f>
        <v>0</v>
      </c>
      <c r="J71" s="250" t="n">
        <f aca="false" t="array" ref="J71:J71">IFERROR( (MEDIAN((IF(DATOS_[[Sexo]:[Sexo]]=$B71,IF(DATOS_[[AGRUP. CLAS. PROF.]:[AGRUP. CLAS. PROF.]]=$B69,IF(DATOS_[[Check Periodo Ref.]:[Check Periodo Ref.]]="Dentro",IF(DATOS_[[Check Equiparado]:[Check Equiparado]]="Sí",IF(DATOS!AE$4="Sí",(1/DATOS_[[% anualiz]:[% anualiz]]),1)*IF(DATOS!AE$5="Sí",1/DATOS_[[% normaliz]:[% normaliz]],1)*(DATOS_[Conc.Sal.01])))))))), 0)</f>
        <v>0</v>
      </c>
      <c r="K71" s="250" t="n">
        <f aca="false" t="array" ref="K71:K71">IFERROR( (MEDIAN((IF(DATOS_[[Sexo]:[Sexo]]=$B71,IF(DATOS_[[AGRUP. CLAS. PROF.]:[AGRUP. CLAS. PROF.]]=$B69,IF(DATOS_[[Check Periodo Ref.]:[Check Periodo Ref.]]="Dentro",IF(DATOS_[[Check Equiparado]:[Check Equiparado]]="Sí",IF(DATOS!AF$4="Sí",(1/DATOS_[[% anualiz]:[% anualiz]]),1)*IF(DATOS!AF$5="Sí",1/DATOS_[[% normaliz]:[% normaliz]],1)*(DATOS_[Conc.Sal.02])))))))), 0)</f>
        <v>0</v>
      </c>
      <c r="L71" s="250" t="n">
        <f aca="false" t="array" ref="L71:L71">IFERROR( (MEDIAN((IF(DATOS_[[Sexo]:[Sexo]]=$B71,IF(DATOS_[[AGRUP. CLAS. PROF.]:[AGRUP. CLAS. PROF.]]=$B69,IF(DATOS_[[Check Periodo Ref.]:[Check Periodo Ref.]]="Dentro",IF(DATOS_[[Check Equiparado]:[Check Equiparado]]="Sí",IF(DATOS!AG$4="Sí",(1/DATOS_[[% anualiz]:[% anualiz]]),1)*IF(DATOS!AG$5="Sí",1/DATOS_[[% normaliz]:[% normaliz]],1)*(DATOS_[Conc.Sal.03])))))))), 0)</f>
        <v>0</v>
      </c>
      <c r="M71" s="250" t="n">
        <f aca="false" t="array" ref="M71:M71">IFERROR( (MEDIAN((IF(DATOS_[[Sexo]:[Sexo]]=$B71,IF(DATOS_[[AGRUP. CLAS. PROF.]:[AGRUP. CLAS. PROF.]]=$B69,IF(DATOS_[[Check Periodo Ref.]:[Check Periodo Ref.]]="Dentro",IF(DATOS_[[Check Equiparado]:[Check Equiparado]]="Sí",IF(DATOS!AH$4="Sí",(1/DATOS_[[% anualiz]:[% anualiz]]),1)*IF(DATOS!AH$5="Sí",1/DATOS_[[% normaliz]:[% normaliz]],1)*(DATOS_[Conc.Sal.04])))))))), 0)</f>
        <v>0</v>
      </c>
      <c r="N71" s="250" t="n">
        <f aca="false" t="array" ref="N71:N71">IFERROR( (MEDIAN((IF(DATOS_[[Sexo]:[Sexo]]=$B71,IF(DATOS_[[AGRUP. CLAS. PROF.]:[AGRUP. CLAS. PROF.]]=$B69,IF(DATOS_[[Check Periodo Ref.]:[Check Periodo Ref.]]="Dentro",IF(DATOS_[[Check Equiparado]:[Check Equiparado]]="Sí",IF(DATOS!AI$4="Sí",(1/DATOS_[[% anualiz]:[% anualiz]]),1)*IF(DATOS!AI$5="Sí",1/DATOS_[[% normaliz]:[% normaliz]],1)*(DATOS_[Conc.Sal.05])))))))), 0)</f>
        <v>0</v>
      </c>
      <c r="O71" s="250" t="n">
        <f aca="false" t="array" ref="O71:O71">IFERROR( (MEDIAN((IF(DATOS_[[Sexo]:[Sexo]]=$B71,IF(DATOS_[[AGRUP. CLAS. PROF.]:[AGRUP. CLAS. PROF.]]=$B69,IF(DATOS_[[Check Periodo Ref.]:[Check Periodo Ref.]]="Dentro",IF(DATOS_[[Check Equiparado]:[Check Equiparado]]="Sí",IF(DATOS!AJ$4="Sí",(1/DATOS_[[% anualiz]:[% anualiz]]),1)*IF(DATOS!AJ$5="Sí",1/DATOS_[[% normaliz]:[% normaliz]],1)*(DATOS_[Conc.Sal.06])))))))), 0)</f>
        <v>0</v>
      </c>
      <c r="P71" s="250" t="n">
        <f aca="false" t="array" ref="P71:P71">IFERROR( (MEDIAN((IF(DATOS_[[Sexo]:[Sexo]]=$B71,IF(DATOS_[[AGRUP. CLAS. PROF.]:[AGRUP. CLAS. PROF.]]=$B69,IF(DATOS_[[Check Periodo Ref.]:[Check Periodo Ref.]]="Dentro",IF(DATOS_[[Check Equiparado]:[Check Equiparado]]="Sí",IF(DATOS!AK$4="Sí",(1/DATOS_[[% anualiz]:[% anualiz]]),1)*IF(DATOS!AK$5="Sí",1/DATOS_[[% normaliz]:[% normaliz]],1)*(DATOS_[Conc.Sal.07])))))))), 0)</f>
        <v>0</v>
      </c>
      <c r="Q71" s="250" t="n">
        <f aca="false" t="array" ref="Q71:Q71">IFERROR( (MEDIAN((IF(DATOS_[[Sexo]:[Sexo]]=$B71,IF(DATOS_[[AGRUP. CLAS. PROF.]:[AGRUP. CLAS. PROF.]]=$B69,IF(DATOS_[[Check Periodo Ref.]:[Check Periodo Ref.]]="Dentro",IF(DATOS_[[Check Equiparado]:[Check Equiparado]]="Sí",IF(DATOS!AL$4="Sí",(1/DATOS_[[% anualiz]:[% anualiz]]),1)*IF(DATOS!AL$5="Sí",1/DATOS_[[% normaliz]:[% normaliz]],1)*(DATOS_[Conc.Sal.08])))))))), 0)</f>
        <v>0</v>
      </c>
      <c r="R71" s="250" t="n">
        <f aca="false" t="array" ref="R71:R71">IFERROR( (MEDIAN((IF(DATOS_[[Sexo]:[Sexo]]=$B71,IF(DATOS_[[AGRUP. CLAS. PROF.]:[AGRUP. CLAS. PROF.]]=$B69,IF(DATOS_[[Check Periodo Ref.]:[Check Periodo Ref.]]="Dentro",IF(DATOS_[[Check Equiparado]:[Check Equiparado]]="Sí",IF(DATOS!AM$4="Sí",(1/DATOS_[[% anualiz]:[% anualiz]]),1)*IF(DATOS!AM$5="Sí",1/DATOS_[[% normaliz]:[% normaliz]],1)*(DATOS_[Conc.Sal.09])))))))), 0)</f>
        <v>0</v>
      </c>
      <c r="S71" s="250" t="n">
        <f aca="false" t="array" ref="S71:S71">IFERROR( (MEDIAN((IF(DATOS_[[Sexo]:[Sexo]]=$B71,IF(DATOS_[[AGRUP. CLAS. PROF.]:[AGRUP. CLAS. PROF.]]=$B69,IF(DATOS_[[Check Periodo Ref.]:[Check Periodo Ref.]]="Dentro",IF(DATOS_[[Check Equiparado]:[Check Equiparado]]="Sí",IF(DATOS!AN$4="Sí",(1/DATOS_[[% anualiz]:[% anualiz]]),1)*IF(DATOS!AN$5="Sí",1/DATOS_[[% normaliz]:[% normaliz]],1)*(DATOS_[Conc.Sal.10])))))))), 0)</f>
        <v>0</v>
      </c>
      <c r="T71" s="250" t="n">
        <f aca="false" t="array" ref="T71:T71">IFERROR( (MEDIAN((IF(DATOS_[[Sexo]:[Sexo]]=$B71,IF(DATOS_[[AGRUP. CLAS. PROF.]:[AGRUP. CLAS. PROF.]]=$B69,IF(DATOS_[[Check Periodo Ref.]:[Check Periodo Ref.]]="Dentro",IF(DATOS_[[Check Equiparado]:[Check Equiparado]]="Sí",IF(DATOS!AO$4="Sí",(1/DATOS_[[% anualiz]:[% anualiz]]),1)*IF(DATOS!AO$5="Sí",1/DATOS_[[% normaliz]:[% normaliz]],1)*(DATOS_[Conc.Sal.11])))))))), 0)</f>
        <v>0</v>
      </c>
      <c r="U71" s="250" t="n">
        <f aca="false" t="array" ref="U71:U71">IFERROR( (MEDIAN((IF(DATOS_[[Sexo]:[Sexo]]=$B71,IF(DATOS_[[AGRUP. CLAS. PROF.]:[AGRUP. CLAS. PROF.]]=$B69,IF(DATOS_[[Check Periodo Ref.]:[Check Periodo Ref.]]="Dentro",IF(DATOS_[[Check Equiparado]:[Check Equiparado]]="Sí",IF(DATOS!AP$4="Sí",(1/DATOS_[[% anualiz]:[% anualiz]]),1)*IF(DATOS!AP$5="Sí",1/DATOS_[[% normaliz]:[% normaliz]],1)*(DATOS_[Conc.Sal.12])))))))), 0)</f>
        <v>0</v>
      </c>
      <c r="V71" s="250" t="n">
        <f aca="false" t="array" ref="V71:V71">IFERROR( (MEDIAN((IF(DATOS_[[Sexo]:[Sexo]]=$B71,IF(DATOS_[[AGRUP. CLAS. PROF.]:[AGRUP. CLAS. PROF.]]=$B69,IF(DATOS_[[Check Periodo Ref.]:[Check Periodo Ref.]]="Dentro",IF(DATOS_[[Check Equiparado]:[Check Equiparado]]="Sí",IF(DATOS!AQ$4="Sí",(1/DATOS_[[% anualiz]:[% anualiz]]),1)*IF(DATOS!AQ$5="Sí",1/DATOS_[[% normaliz]:[% normaliz]],1)*(DATOS_[Conc.Sal.13])))))))), 0)</f>
        <v>0</v>
      </c>
      <c r="W71" s="250" t="n">
        <f aca="false" t="array" ref="W71:W71">IFERROR( (MEDIAN((IF(DATOS_[[Sexo]:[Sexo]]=$B71,IF(DATOS_[[AGRUP. CLAS. PROF.]:[AGRUP. CLAS. PROF.]]=$B69,IF(DATOS_[[Check Periodo Ref.]:[Check Periodo Ref.]]="Dentro",IF(DATOS_[[Check Equiparado]:[Check Equiparado]]="Sí",IF(DATOS!AR$4="Sí",(1/DATOS_[[% anualiz]:[% anualiz]]),1)*IF(DATOS!AR$5="Sí",1/DATOS_[[% normaliz]:[% normaliz]],1)*(DATOS_[Conc.Sal.14])))))))), 0)</f>
        <v>0</v>
      </c>
      <c r="X71" s="250" t="n">
        <f aca="false" t="array" ref="X71:X71">IFERROR( (MEDIAN((IF(DATOS_[[Sexo]:[Sexo]]=$B71,IF(DATOS_[[AGRUP. CLAS. PROF.]:[AGRUP. CLAS. PROF.]]=$B69,IF(DATOS_[[Check Periodo Ref.]:[Check Periodo Ref.]]="Dentro",IF(DATOS_[[Check Equiparado]:[Check Equiparado]]="Sí",IF(DATOS!AS$4="Sí",(1/DATOS_[[% anualiz]:[% anualiz]]),1)*IF(DATOS!AS$5="Sí",1/DATOS_[[% normaliz]:[% normaliz]],1)*(DATOS_[Conc.Sal.15])))))))), 0)</f>
        <v>0</v>
      </c>
      <c r="Y71" s="250" t="n">
        <f aca="false" t="array" ref="Y71:Y71">IFERROR( (MEDIAN((IF(DATOS_[[Sexo]:[Sexo]]=$B71,IF(DATOS_[[AGRUP. CLAS. PROF.]:[AGRUP. CLAS. PROF.]]=$B69,IF(DATOS_[[Check Periodo Ref.]:[Check Periodo Ref.]]="Dentro",IF(DATOS_[[Check Equiparado]:[Check Equiparado]]="Sí",IF(DATOS!AT$4="Sí",(1/DATOS_[[% anualiz]:[% anualiz]]),1)*IF(DATOS!AT$5="Sí",1/DATOS_[[% normaliz]:[% normaliz]],1)*(DATOS_[Conc.Sal.16])))))))), 0)</f>
        <v>0</v>
      </c>
      <c r="Z71" s="250" t="n">
        <f aca="false" t="array" ref="Z71:Z71">IFERROR( (MEDIAN((IF(DATOS_[[Sexo]:[Sexo]]=$B71,IF(DATOS_[[AGRUP. CLAS. PROF.]:[AGRUP. CLAS. PROF.]]=$B69,IF(DATOS_[[Check Periodo Ref.]:[Check Periodo Ref.]]="Dentro",IF(DATOS_[[Check Equiparado]:[Check Equiparado]]="Sí",IF(DATOS!AU$4="Sí",(1/DATOS_[[% anualiz]:[% anualiz]]),1)*IF(DATOS!AU$5="Sí",1/DATOS_[[% normaliz]:[% normaliz]],1)*(DATOS_[Conc.Sal.17])))))))), 0)</f>
        <v>0</v>
      </c>
      <c r="AA71" s="250" t="n">
        <f aca="false" t="array" ref="AA71:AA71">IFERROR( (MEDIAN((IF(DATOS_[[Sexo]:[Sexo]]=$B71,IF(DATOS_[[AGRUP. CLAS. PROF.]:[AGRUP. CLAS. PROF.]]=$B69,IF(DATOS_[[Check Periodo Ref.]:[Check Periodo Ref.]]="Dentro",IF(DATOS_[[Check Equiparado]:[Check Equiparado]]="Sí",IF(DATOS!AV$4="Sí",(1/DATOS_[[% anualiz]:[% anualiz]]),1)*IF(DATOS!AV$5="Sí",1/DATOS_[[% normaliz]:[% normaliz]],1)*(DATOS_[Conc.Sal.18])))))))), 0)</f>
        <v>0</v>
      </c>
      <c r="AB71" s="250" t="n">
        <f aca="false" t="array" ref="AB71:AB71">IFERROR( (MEDIAN((IF(DATOS_[[Sexo]:[Sexo]]=$B71,IF(DATOS_[[AGRUP. CLAS. PROF.]:[AGRUP. CLAS. PROF.]]=$B69,IF(DATOS_[[Check Periodo Ref.]:[Check Periodo Ref.]]="Dentro",IF(DATOS_[[Check Equiparado]:[Check Equiparado]]="Sí",IF(DATOS!AW$4="Sí",(1/DATOS_[[% anualiz]:[% anualiz]]),1)*IF(DATOS!AW$5="Sí",1/DATOS_[[% normaliz]:[% normaliz]],1)*(DATOS_[Conc.Sal.19])))))))), 0)</f>
        <v>0</v>
      </c>
      <c r="AC71" s="250" t="n">
        <f aca="false" t="array" ref="AC71:AC71">IFERROR( (MEDIAN((IF(DATOS_[[Sexo]:[Sexo]]=$B71,IF(DATOS_[[AGRUP. CLAS. PROF.]:[AGRUP. CLAS. PROF.]]=$B69,IF(DATOS_[[Check Periodo Ref.]:[Check Periodo Ref.]]="Dentro",IF(DATOS_[[Check Equiparado]:[Check Equiparado]]="Sí",IF(DATOS!AX$4="Sí",(1/DATOS_[[% anualiz]:[% anualiz]]),1)*IF(DATOS!AX$5="Sí",1/DATOS_[[% normaliz]:[% normaliz]],1)*(DATOS_[Conc.Sal.20])))))))), 0)</f>
        <v>0</v>
      </c>
      <c r="AD71" s="250" t="n">
        <f aca="false" t="array" ref="AD71:AD71">IFERROR( (MEDIAN((IF(DATOS_[[Sexo]:[Sexo]]=$B71,IF(DATOS_[[AGRUP. CLAS. PROF.]:[AGRUP. CLAS. PROF.]]=$B69,IF(DATOS_[[Check Periodo Ref.]:[Check Periodo Ref.]]="Dentro",IF(DATOS_[[Check Equiparado]:[Check Equiparado]]="Sí",IF(DATOS!AY$4="Sí",(1/DATOS_[[% anualiz]:[% anualiz]]),1)*IF(DATOS!AY$5="Sí",1/DATOS_[[% normaliz]:[% normaliz]],1)*(DATOS_[Conc.Sal.21])))))))), 0)</f>
        <v>0</v>
      </c>
      <c r="AE71" s="250" t="n">
        <f aca="false" t="array" ref="AE71:AE71">IFERROR( (MEDIAN((IF(DATOS_[[Sexo]:[Sexo]]=$B71,IF(DATOS_[[AGRUP. CLAS. PROF.]:[AGRUP. CLAS. PROF.]]=$B69,IF(DATOS_[[Check Periodo Ref.]:[Check Periodo Ref.]]="Dentro",IF(DATOS_[[Check Equiparado]:[Check Equiparado]]="Sí",IF(DATOS!AZ$4="Sí",(1/DATOS_[[% anualiz]:[% anualiz]]),1)*IF(DATOS!AZ$5="Sí",1/DATOS_[[% normaliz]:[% normaliz]],1)*(DATOS_[Conc.Sal.22])))))))), 0)</f>
        <v>0</v>
      </c>
      <c r="AF71" s="250" t="n">
        <f aca="false" t="array" ref="AF71:AF71">IFERROR( (MEDIAN((IF(DATOS_[[Sexo]:[Sexo]]=$B71,IF(DATOS_[[AGRUP. CLAS. PROF.]:[AGRUP. CLAS. PROF.]]=$B69,IF(DATOS_[[Check Periodo Ref.]:[Check Periodo Ref.]]="Dentro",IF(DATOS_[[Check Equiparado]:[Check Equiparado]]="Sí",IF(DATOS!BA$4="Sí",(1/DATOS_[[% anualiz]:[% anualiz]]),1)*IF(DATOS!BA$5="Sí",1/DATOS_[[% normaliz]:[% normaliz]],1)*(DATOS_[Conc.Sal.23])))))))), 0)</f>
        <v>0</v>
      </c>
      <c r="AG71" s="250" t="n">
        <f aca="false" t="array" ref="AG71:AG71">IFERROR( (MEDIAN((IF(DATOS_[[Sexo]:[Sexo]]=$B71,IF(DATOS_[[AGRUP. CLAS. PROF.]:[AGRUP. CLAS. PROF.]]=$B69,IF(DATOS_[[Check Periodo Ref.]:[Check Periodo Ref.]]="Dentro",IF(DATOS_[[Check Equiparado]:[Check Equiparado]]="Sí",IF(DATOS!BB$4="Sí",(1/DATOS_[[% anualiz]:[% anualiz]]),1)*IF(DATOS!BB$5="Sí",1/DATOS_[[% normaliz]:[% normaliz]],1)*(DATOS_[Conc.Sal.24])))))))), 0)</f>
        <v>0</v>
      </c>
      <c r="AH71" s="250" t="n">
        <f aca="false" t="array" ref="AH71:AH71">IFERROR( (MEDIAN((IF(DATOS_[[Sexo]:[Sexo]]=$B71,IF(DATOS_[[AGRUP. CLAS. PROF.]:[AGRUP. CLAS. PROF.]]=$B69,IF(DATOS_[[Check Periodo Ref.]:[Check Periodo Ref.]]="Dentro",IF(DATOS_[[Check Equiparado]:[Check Equiparado]]="Sí",IF(DATOS!BC$4="Sí",(1/DATOS_[[% anualiz]:[% anualiz]]),1)*IF(DATOS!BC$5="Sí",1/DATOS_[[% normaliz]:[% normaliz]],1)*(DATOS_[Conc.Sal.25])))))))), 0)</f>
        <v>0</v>
      </c>
      <c r="AI71" s="250" t="n">
        <f aca="false" t="array" ref="AI71:AI71">IFERROR( (MEDIAN((IF(DATOS_[[Sexo]:[Sexo]]=$B71,IF(DATOS_[[AGRUP. CLAS. PROF.]:[AGRUP. CLAS. PROF.]]=$B69,IF(DATOS_[[Check Periodo Ref.]:[Check Periodo Ref.]]="Dentro",IF(DATOS_[[Check Equiparado]:[Check Equiparado]]="Sí",IF(DATOS!BD$4="Sí",(1/DATOS_[[% anualiz]:[% anualiz]]),1)*IF(DATOS!BD$5="Sí",1/DATOS_[[% normaliz]:[% normaliz]],1)*(DATOS_[Conc.Sal.26])))))))), 0)</f>
        <v>0</v>
      </c>
      <c r="AJ71" s="250" t="n">
        <f aca="false" t="array" ref="AJ71:AJ71">IFERROR( (MEDIAN((IF(DATOS_[[Sexo]:[Sexo]]=$B71,IF(DATOS_[[AGRUP. CLAS. PROF.]:[AGRUP. CLAS. PROF.]]=$B69,IF(DATOS_[[Check Periodo Ref.]:[Check Periodo Ref.]]="Dentro",IF(DATOS_[[Check Equiparado]:[Check Equiparado]]="Sí",IF(DATOS!BE$4="Sí",(1/DATOS_[[% anualiz]:[% anualiz]]),1)*IF(DATOS!BE$5="Sí",1/DATOS_[[% normaliz]:[% normaliz]],1)*(DATOS_[Conc.Sal.27])))))))), 0)</f>
        <v>0</v>
      </c>
      <c r="AK71" s="250" t="n">
        <f aca="false" t="array" ref="AK71:AK71">IFERROR( (MEDIAN((IF(DATOS_[[Sexo]:[Sexo]]=$B71,IF(DATOS_[[AGRUP. CLAS. PROF.]:[AGRUP. CLAS. PROF.]]=$B69,IF(DATOS_[[Check Periodo Ref.]:[Check Periodo Ref.]]="Dentro",IF(DATOS_[[Check Equiparado]:[Check Equiparado]]="Sí",IF(DATOS!BF$4="Sí",(1/DATOS_[[% anualiz]:[% anualiz]]),1)*IF(DATOS!BF$5="Sí",1/DATOS_[[% normaliz]:[% normaliz]],1)*(DATOS_[Conc.Sal.28])))))))), 0)</f>
        <v>0</v>
      </c>
      <c r="AL71" s="250" t="n">
        <f aca="false" t="array" ref="AL71:AL71">IFERROR( (MEDIAN((IF(DATOS_[[Sexo]:[Sexo]]=$B71,IF(DATOS_[[AGRUP. CLAS. PROF.]:[AGRUP. CLAS. PROF.]]=$B69,IF(DATOS_[[Check Periodo Ref.]:[Check Periodo Ref.]]="Dentro",IF(DATOS_[[Check Equiparado]:[Check Equiparado]]="Sí",IF(DATOS!BG$4="Sí",(1/DATOS_[[% anualiz]:[% anualiz]]),1)*IF(DATOS!BG$5="Sí",1/DATOS_[[% normaliz]:[% normaliz]],1)*(DATOS_[Conc.Sal.29])))))))), 0)</f>
        <v>0</v>
      </c>
      <c r="AM71" s="250" t="n">
        <f aca="false" t="array" ref="AM71:AM71">IFERROR( (MEDIAN((IF(DATOS_[[Sexo]:[Sexo]]=$B71,IF(DATOS_[[AGRUP. CLAS. PROF.]:[AGRUP. CLAS. PROF.]]=$B69,IF(DATOS_[[Check Periodo Ref.]:[Check Periodo Ref.]]="Dentro",IF(DATOS_[[Check Equiparado]:[Check Equiparado]]="Sí",IF(DATOS!BH$4="Sí",(1/DATOS_[[% anualiz]:[% anualiz]]),1)*IF(DATOS!BH$5="Sí",1/DATOS_[[% normaliz]:[% normaliz]],1)*(DATOS_[Conc.Sal.30])))))))), 0)</f>
        <v>0</v>
      </c>
      <c r="AN71" s="251" t="n">
        <f aca="false" t="array" ref="AN71:AN71">IFERROR( MEDIAN(IF(DATOS_[Sexo]=$B71,IF(DATOS_[[AGRUP. CLAS. PROF.]:[AGRUP. CLAS. PROF.]]=$B69,IF(DATOS_[Check Equiparado]="Sí",IF(DATOS_[Check Periodo Ref.]="Dentro",DATOS_[Tot COMPL.SAL Eq],0))))), 0)</f>
        <v>0</v>
      </c>
      <c r="AO71" s="252" t="n">
        <f aca="false" t="array" ref="AO71:AO71">IFERROR( MEDIAN(IF(DATOS_[Sexo]=$B71,IF(DATOS_[[AGRUP. CLAS. PROF.]:[AGRUP. CLAS. PROF.]]=$B69,IF(DATOS_[Check Equiparado]="Sí",IF(DATOS_[Check Periodo Ref.]="Dentro",DATOS_[TOTAL SALARIO Eq],0))))), 0)</f>
        <v>0</v>
      </c>
      <c r="AP71" s="259" t="n">
        <f aca="false" t="array" ref="AP71:AP71">IFERROR( (MEDIAN((IF(DATOS_[[Sexo]:[Sexo]]=$B71,IF(DATOS_[[AGRUP. CLAS. PROF.]:[AGRUP. CLAS. PROF.]]=$B70,IF(DATOS_[[Check Periodo Ref.]:[Check Periodo Ref.]]="Dentro",IF(DATOS_[[Check Equiparado]:[Check Equiparado]]="Sí",IF(DATOS!BI$4="Sí",(1/DATOS_[[% anualiz]:[% anualiz]]),1)*IF(DATOS!BI$5="Sí",1/DATOS_[[% normaliz]:[% normaliz]],1)*(DATOS_[C.Extra.01])))))))), 0)</f>
        <v>0</v>
      </c>
      <c r="AQ71" s="259" t="n">
        <f aca="false" t="array" ref="AQ71:AQ71">IFERROR( (MEDIAN((IF(DATOS_[[Sexo]:[Sexo]]=$B71,IF(DATOS_[[AGRUP. CLAS. PROF.]:[AGRUP. CLAS. PROF.]]=$B70,IF(DATOS_[[Check Periodo Ref.]:[Check Periodo Ref.]]="Dentro",IF(DATOS_[[Check Equiparado]:[Check Equiparado]]="Sí",IF(DATOS!BJ$4="Sí",(1/DATOS_[[% anualiz]:[% anualiz]]),1)*IF(DATOS!BJ$5="Sí",1/DATOS_[[% normaliz]:[% normaliz]],1)*(DATOS_[C.Extra.02])))))))), 0)</f>
        <v>0</v>
      </c>
      <c r="AR71" s="259" t="n">
        <f aca="false" t="array" ref="AR71:AR71">IFERROR( (MEDIAN((IF(DATOS_[[Sexo]:[Sexo]]=$B71,IF(DATOS_[[AGRUP. CLAS. PROF.]:[AGRUP. CLAS. PROF.]]=$B70,IF(DATOS_[[Check Periodo Ref.]:[Check Periodo Ref.]]="Dentro",IF(DATOS_[[Check Equiparado]:[Check Equiparado]]="Sí",IF(DATOS!BK$4="Sí",(1/DATOS_[[% anualiz]:[% anualiz]]),1)*IF(DATOS!BK$5="Sí",1/DATOS_[[% normaliz]:[% normaliz]],1)*(DATOS_[C.Extra.03])))))))), 0)</f>
        <v>0</v>
      </c>
      <c r="AS71" s="259" t="n">
        <f aca="false" t="array" ref="AS71:AS71">IFERROR( (MEDIAN((IF(DATOS_[[Sexo]:[Sexo]]=$B71,IF(DATOS_[[AGRUP. CLAS. PROF.]:[AGRUP. CLAS. PROF.]]=$B70,IF(DATOS_[[Check Periodo Ref.]:[Check Periodo Ref.]]="Dentro",IF(DATOS_[[Check Equiparado]:[Check Equiparado]]="Sí",IF(DATOS!BL$4="Sí",(1/DATOS_[[% anualiz]:[% anualiz]]),1)*IF(DATOS!BL$5="Sí",1/DATOS_[[% normaliz]:[% normaliz]],1)*(DATOS_[C.Extra.04])))))))), 0)</f>
        <v>0</v>
      </c>
      <c r="AT71" s="259" t="n">
        <f aca="false" t="array" ref="AT71:AT71">IFERROR( (MEDIAN((IF(DATOS_[[Sexo]:[Sexo]]=$B71,IF(DATOS_[[AGRUP. CLAS. PROF.]:[AGRUP. CLAS. PROF.]]=$B70,IF(DATOS_[[Check Periodo Ref.]:[Check Periodo Ref.]]="Dentro",IF(DATOS_[[Check Equiparado]:[Check Equiparado]]="Sí",IF(DATOS!BM$4="Sí",(1/DATOS_[[% anualiz]:[% anualiz]]),1)*IF(DATOS!BM$5="Sí",1/DATOS_[[% normaliz]:[% normaliz]],1)*(DATOS_[C.Extra.05])))))))), 0)</f>
        <v>0</v>
      </c>
      <c r="AU71" s="254" t="n">
        <f aca="false" t="array" ref="AU71:AU71">IFERROR( MEDIAN(IF(DATOS_[Sexo]=$B71,IF(DATOS_[[AGRUP. CLAS. PROF.]:[AGRUP. CLAS. PROF.]]=$B69,IF(DATOS_[Check Equiparado]="Sí",IF(DATOS_[Check Periodo Ref.]="Dentro",DATOS_[Tot Extrasalarial Eq],0))))), 0)</f>
        <v>0</v>
      </c>
      <c r="AV71" s="255" t="n">
        <f aca="false" t="array" ref="AV71:AV71">IFERROR( MEDIAN(IF(DATOS_[Sexo]=$B71,IF(DATOS_[[AGRUP. CLAS. PROF.]:[AGRUP. CLAS. PROF.]]=$B69,IF(DATOS_[Check Equiparado]="Sí",IF(DATOS_[Check Periodo Ref.]="Dentro",DATOS_[TOTAL Retrib Eq],0))))), 0)</f>
        <v>0</v>
      </c>
    </row>
    <row r="72" customFormat="false" ht="15.75" hidden="false" customHeight="false" outlineLevel="0" collapsed="false">
      <c r="A72" s="217" t="str">
        <f aca="false">+A73</f>
        <v>[ocultar]</v>
      </c>
      <c r="B72" s="320" t="s">
        <v>225</v>
      </c>
      <c r="C72" s="236"/>
      <c r="D72" s="237"/>
      <c r="E72" s="237"/>
      <c r="F72" s="237"/>
      <c r="G72" s="237"/>
      <c r="H72" s="237"/>
      <c r="I72" s="238"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39" t="str">
        <f aca="false">IFERROR((V73-V74)/V73,"")</f>
        <v/>
      </c>
      <c r="W72" s="239" t="str">
        <f aca="false">IFERROR((W73-W74)/W73,"")</f>
        <v/>
      </c>
      <c r="X72" s="239" t="str">
        <f aca="false">IFERROR((X73-X74)/X73,"")</f>
        <v/>
      </c>
      <c r="Y72" s="239"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0" t="str">
        <f aca="false">IFERROR((AJ73-AJ74)/AJ73,"")</f>
        <v/>
      </c>
      <c r="AK72" s="240" t="str">
        <f aca="false">IFERROR((AK73-AK74)/AK73,"")</f>
        <v/>
      </c>
      <c r="AL72" s="240" t="str">
        <f aca="false">IFERROR((AL73-AL74)/AL73,"")</f>
        <v/>
      </c>
      <c r="AM72" s="240" t="str">
        <f aca="false">IFERROR((AM73-AM74)/AM73,"")</f>
        <v/>
      </c>
      <c r="AN72" s="241" t="str">
        <f aca="false">IFERROR((AN73-AN74)/AN73,"")</f>
        <v/>
      </c>
      <c r="AO72" s="242" t="str">
        <f aca="false">IFERROR((AO73-AO74)/AO73,"")</f>
        <v/>
      </c>
      <c r="AP72" s="243" t="str">
        <f aca="false">IFERROR((AP73-AP74)/AP73,"")</f>
        <v/>
      </c>
      <c r="AQ72" s="243" t="str">
        <f aca="false">IFERROR((AQ73-AQ74)/AQ73,"")</f>
        <v/>
      </c>
      <c r="AR72" s="243" t="str">
        <f aca="false">IFERROR((AR73-AR74)/AR73,"")</f>
        <v/>
      </c>
      <c r="AS72" s="243" t="str">
        <f aca="false">IFERROR((AS73-AS74)/AS73,"")</f>
        <v/>
      </c>
      <c r="AT72" s="243" t="str">
        <f aca="false">IFERROR((AT73-AT74)/AT73,"")</f>
        <v/>
      </c>
      <c r="AU72" s="244" t="str">
        <f aca="false">IFERROR((AU73-AU74)/AU73,"")</f>
        <v/>
      </c>
      <c r="AV72" s="245" t="str">
        <f aca="false">IFERROR((AV73-AV74)/AV73,"")</f>
        <v/>
      </c>
    </row>
    <row r="73" customFormat="false" ht="14.25" hidden="false" customHeight="false" outlineLevel="0" collapsed="false">
      <c r="A73" s="217" t="str">
        <f aca="false">+IF(C73+C74=0,"[ocultar]","")</f>
        <v>[ocultar]</v>
      </c>
      <c r="B73" s="323" t="s">
        <v>371</v>
      </c>
      <c r="C73" s="247" t="n">
        <f aca="false" t="array" ref="C73:C73">SUM(IF($B73=DATOS_[Sexo], IF($B72=DATOS_[AGRUP. CLAS. PROF.], IF("Dentro"=DATOS_[Check Periodo Ref.], 1/(COUNTIFS(DATOS_[Sexo],$B73,DATOS_[AGRUP. CLAS. PROF.],$B72,DATOS_[Check Periodo Ref.],"Dentro",DATOS_[id],DATOS_[id]))))))</f>
        <v>0</v>
      </c>
      <c r="D73" s="248" t="n">
        <f aca="false">COUNTIFS(DATOS_[AGRUP. CLAS. PROF.],$B72,DATOS_[Sexo],$B73,DATOS_[Check Periodo Ref.],"Dentro")</f>
        <v>0</v>
      </c>
      <c r="E73" s="248" t="n">
        <f aca="false">COUNTIFS(DATOS_[AGRUP. CLAS. PROF.],$B72,DATOS_[Sexo],$B73,DATOS_[Check Periodo Ref.],"Dentro",DATOS_[Check Nº SC Norm],"Sí")</f>
        <v>0</v>
      </c>
      <c r="F73" s="248" t="n">
        <f aca="false">COUNTIFS(DATOS_[AGRUP. CLAS. PROF.],$B72,DATOS_[Sexo],$B73,DATOS_[Check Periodo Ref.],"Dentro",DATOS_[Check Nº SC Anualiz],"Sí")</f>
        <v>0</v>
      </c>
      <c r="G73" s="248" t="n">
        <f aca="false">COUNTIFS(DATOS_[AGRUP. CLAS. PROF.],$B72,DATOS_[Sexo],$B73,DATOS_[Check Periodo Ref.],"Dentro",DATOS_[Check Nº SC Norm y Anualiz],"Sí")</f>
        <v>0</v>
      </c>
      <c r="H73" s="248" t="n">
        <f aca="false">COUNTIFS(DATOS_[AGRUP. CLAS. PROF.],$B72,DATOS_[Sexo],$B73,DATOS_[Check Periodo Ref.],"Dentro",DATOS_[Check Equiparación],"Sí")</f>
        <v>0</v>
      </c>
      <c r="I73" s="249" t="n">
        <f aca="false" t="array" ref="I73:I73">IFERROR( MEDIAN(IF(DATOS_[Sexo]=$B73,IF(DATOS_[[AGRUP. CLAS. PROF.]:[AGRUP. CLAS. PROF.]]=$B72,IF(DATOS_[Check Equiparado]="Sí",IF(DATOS_[Check Periodo Ref.]="Dentro",DATOS_[SALARIO BASE Eq],0))))), 0)</f>
        <v>0</v>
      </c>
      <c r="J73" s="250" t="n">
        <f aca="false" t="array" ref="J73:J73">IFERROR( (MEDIAN((IF(DATOS_[[Sexo]:[Sexo]]=$B73,IF(DATOS_[[AGRUP. CLAS. PROF.]:[AGRUP. CLAS. PROF.]]=$B72,IF(DATOS_[[Check Periodo Ref.]:[Check Periodo Ref.]]="Dentro",IF(DATOS_[[Check Equiparado]:[Check Equiparado]]="Sí",IF(DATOS!AE$4="Sí",(1/DATOS_[[% anualiz]:[% anualiz]]),1)*IF(DATOS!AE$5="Sí",1/DATOS_[[% normaliz]:[% normaliz]],1)*(DATOS_[Conc.Sal.01])))))))), 0)</f>
        <v>0</v>
      </c>
      <c r="K73" s="250" t="n">
        <f aca="false" t="array" ref="K73:K73">IFERROR( (MEDIAN((IF(DATOS_[[Sexo]:[Sexo]]=$B73,IF(DATOS_[[AGRUP. CLAS. PROF.]:[AGRUP. CLAS. PROF.]]=$B72,IF(DATOS_[[Check Periodo Ref.]:[Check Periodo Ref.]]="Dentro",IF(DATOS_[[Check Equiparado]:[Check Equiparado]]="Sí",IF(DATOS!AF$4="Sí",(1/DATOS_[[% anualiz]:[% anualiz]]),1)*IF(DATOS!AF$5="Sí",1/DATOS_[[% normaliz]:[% normaliz]],1)*(DATOS_[Conc.Sal.02])))))))), 0)</f>
        <v>0</v>
      </c>
      <c r="L73" s="250" t="n">
        <f aca="false" t="array" ref="L73:L73">IFERROR( (MEDIAN((IF(DATOS_[[Sexo]:[Sexo]]=$B73,IF(DATOS_[[AGRUP. CLAS. PROF.]:[AGRUP. CLAS. PROF.]]=$B72,IF(DATOS_[[Check Periodo Ref.]:[Check Periodo Ref.]]="Dentro",IF(DATOS_[[Check Equiparado]:[Check Equiparado]]="Sí",IF(DATOS!AG$4="Sí",(1/DATOS_[[% anualiz]:[% anualiz]]),1)*IF(DATOS!AG$5="Sí",1/DATOS_[[% normaliz]:[% normaliz]],1)*(DATOS_[Conc.Sal.03])))))))), 0)</f>
        <v>0</v>
      </c>
      <c r="M73" s="250" t="n">
        <f aca="false" t="array" ref="M73:M73">IFERROR( (MEDIAN((IF(DATOS_[[Sexo]:[Sexo]]=$B73,IF(DATOS_[[AGRUP. CLAS. PROF.]:[AGRUP. CLAS. PROF.]]=$B72,IF(DATOS_[[Check Periodo Ref.]:[Check Periodo Ref.]]="Dentro",IF(DATOS_[[Check Equiparado]:[Check Equiparado]]="Sí",IF(DATOS!AH$4="Sí",(1/DATOS_[[% anualiz]:[% anualiz]]),1)*IF(DATOS!AH$5="Sí",1/DATOS_[[% normaliz]:[% normaliz]],1)*(DATOS_[Conc.Sal.04])))))))), 0)</f>
        <v>0</v>
      </c>
      <c r="N73" s="250" t="n">
        <f aca="false" t="array" ref="N73:N73">IFERROR( (MEDIAN((IF(DATOS_[[Sexo]:[Sexo]]=$B73,IF(DATOS_[[AGRUP. CLAS. PROF.]:[AGRUP. CLAS. PROF.]]=$B72,IF(DATOS_[[Check Periodo Ref.]:[Check Periodo Ref.]]="Dentro",IF(DATOS_[[Check Equiparado]:[Check Equiparado]]="Sí",IF(DATOS!AI$4="Sí",(1/DATOS_[[% anualiz]:[% anualiz]]),1)*IF(DATOS!AI$5="Sí",1/DATOS_[[% normaliz]:[% normaliz]],1)*(DATOS_[Conc.Sal.05])))))))), 0)</f>
        <v>0</v>
      </c>
      <c r="O73" s="250" t="n">
        <f aca="false" t="array" ref="O73:O73">IFERROR( (MEDIAN((IF(DATOS_[[Sexo]:[Sexo]]=$B73,IF(DATOS_[[AGRUP. CLAS. PROF.]:[AGRUP. CLAS. PROF.]]=$B72,IF(DATOS_[[Check Periodo Ref.]:[Check Periodo Ref.]]="Dentro",IF(DATOS_[[Check Equiparado]:[Check Equiparado]]="Sí",IF(DATOS!AJ$4="Sí",(1/DATOS_[[% anualiz]:[% anualiz]]),1)*IF(DATOS!AJ$5="Sí",1/DATOS_[[% normaliz]:[% normaliz]],1)*(DATOS_[Conc.Sal.06])))))))), 0)</f>
        <v>0</v>
      </c>
      <c r="P73" s="250" t="n">
        <f aca="false" t="array" ref="P73:P73">IFERROR( (MEDIAN((IF(DATOS_[[Sexo]:[Sexo]]=$B73,IF(DATOS_[[AGRUP. CLAS. PROF.]:[AGRUP. CLAS. PROF.]]=$B72,IF(DATOS_[[Check Periodo Ref.]:[Check Periodo Ref.]]="Dentro",IF(DATOS_[[Check Equiparado]:[Check Equiparado]]="Sí",IF(DATOS!AK$4="Sí",(1/DATOS_[[% anualiz]:[% anualiz]]),1)*IF(DATOS!AK$5="Sí",1/DATOS_[[% normaliz]:[% normaliz]],1)*(DATOS_[Conc.Sal.07])))))))), 0)</f>
        <v>0</v>
      </c>
      <c r="Q73" s="250" t="n">
        <f aca="false" t="array" ref="Q73:Q73">IFERROR( (MEDIAN((IF(DATOS_[[Sexo]:[Sexo]]=$B73,IF(DATOS_[[AGRUP. CLAS. PROF.]:[AGRUP. CLAS. PROF.]]=$B72,IF(DATOS_[[Check Periodo Ref.]:[Check Periodo Ref.]]="Dentro",IF(DATOS_[[Check Equiparado]:[Check Equiparado]]="Sí",IF(DATOS!AL$4="Sí",(1/DATOS_[[% anualiz]:[% anualiz]]),1)*IF(DATOS!AL$5="Sí",1/DATOS_[[% normaliz]:[% normaliz]],1)*(DATOS_[Conc.Sal.08])))))))), 0)</f>
        <v>0</v>
      </c>
      <c r="R73" s="250" t="n">
        <f aca="false" t="array" ref="R73:R73">IFERROR( (MEDIAN((IF(DATOS_[[Sexo]:[Sexo]]=$B73,IF(DATOS_[[AGRUP. CLAS. PROF.]:[AGRUP. CLAS. PROF.]]=$B72,IF(DATOS_[[Check Periodo Ref.]:[Check Periodo Ref.]]="Dentro",IF(DATOS_[[Check Equiparado]:[Check Equiparado]]="Sí",IF(DATOS!AM$4="Sí",(1/DATOS_[[% anualiz]:[% anualiz]]),1)*IF(DATOS!AM$5="Sí",1/DATOS_[[% normaliz]:[% normaliz]],1)*(DATOS_[Conc.Sal.09])))))))), 0)</f>
        <v>0</v>
      </c>
      <c r="S73" s="250" t="n">
        <f aca="false" t="array" ref="S73:S73">IFERROR( (MEDIAN((IF(DATOS_[[Sexo]:[Sexo]]=$B73,IF(DATOS_[[AGRUP. CLAS. PROF.]:[AGRUP. CLAS. PROF.]]=$B72,IF(DATOS_[[Check Periodo Ref.]:[Check Periodo Ref.]]="Dentro",IF(DATOS_[[Check Equiparado]:[Check Equiparado]]="Sí",IF(DATOS!AN$4="Sí",(1/DATOS_[[% anualiz]:[% anualiz]]),1)*IF(DATOS!AN$5="Sí",1/DATOS_[[% normaliz]:[% normaliz]],1)*(DATOS_[Conc.Sal.10])))))))), 0)</f>
        <v>0</v>
      </c>
      <c r="T73" s="250" t="n">
        <f aca="false" t="array" ref="T73:T73">IFERROR( (MEDIAN((IF(DATOS_[[Sexo]:[Sexo]]=$B73,IF(DATOS_[[AGRUP. CLAS. PROF.]:[AGRUP. CLAS. PROF.]]=$B72,IF(DATOS_[[Check Periodo Ref.]:[Check Periodo Ref.]]="Dentro",IF(DATOS_[[Check Equiparado]:[Check Equiparado]]="Sí",IF(DATOS!AO$4="Sí",(1/DATOS_[[% anualiz]:[% anualiz]]),1)*IF(DATOS!AO$5="Sí",1/DATOS_[[% normaliz]:[% normaliz]],1)*(DATOS_[Conc.Sal.11])))))))), 0)</f>
        <v>0</v>
      </c>
      <c r="U73" s="250" t="n">
        <f aca="false" t="array" ref="U73:U73">IFERROR( (MEDIAN((IF(DATOS_[[Sexo]:[Sexo]]=$B73,IF(DATOS_[[AGRUP. CLAS. PROF.]:[AGRUP. CLAS. PROF.]]=$B72,IF(DATOS_[[Check Periodo Ref.]:[Check Periodo Ref.]]="Dentro",IF(DATOS_[[Check Equiparado]:[Check Equiparado]]="Sí",IF(DATOS!AP$4="Sí",(1/DATOS_[[% anualiz]:[% anualiz]]),1)*IF(DATOS!AP$5="Sí",1/DATOS_[[% normaliz]:[% normaliz]],1)*(DATOS_[Conc.Sal.12])))))))), 0)</f>
        <v>0</v>
      </c>
      <c r="V73" s="250" t="n">
        <f aca="false" t="array" ref="V73:V73">IFERROR( (MEDIAN((IF(DATOS_[[Sexo]:[Sexo]]=$B73,IF(DATOS_[[AGRUP. CLAS. PROF.]:[AGRUP. CLAS. PROF.]]=$B72,IF(DATOS_[[Check Periodo Ref.]:[Check Periodo Ref.]]="Dentro",IF(DATOS_[[Check Equiparado]:[Check Equiparado]]="Sí",IF(DATOS!AQ$4="Sí",(1/DATOS_[[% anualiz]:[% anualiz]]),1)*IF(DATOS!AQ$5="Sí",1/DATOS_[[% normaliz]:[% normaliz]],1)*(DATOS_[Conc.Sal.13])))))))), 0)</f>
        <v>0</v>
      </c>
      <c r="W73" s="250" t="n">
        <f aca="false" t="array" ref="W73:W73">IFERROR( (MEDIAN((IF(DATOS_[[Sexo]:[Sexo]]=$B73,IF(DATOS_[[AGRUP. CLAS. PROF.]:[AGRUP. CLAS. PROF.]]=$B72,IF(DATOS_[[Check Periodo Ref.]:[Check Periodo Ref.]]="Dentro",IF(DATOS_[[Check Equiparado]:[Check Equiparado]]="Sí",IF(DATOS!AR$4="Sí",(1/DATOS_[[% anualiz]:[% anualiz]]),1)*IF(DATOS!AR$5="Sí",1/DATOS_[[% normaliz]:[% normaliz]],1)*(DATOS_[Conc.Sal.14])))))))), 0)</f>
        <v>0</v>
      </c>
      <c r="X73" s="250" t="n">
        <f aca="false" t="array" ref="X73:X73">IFERROR( (MEDIAN((IF(DATOS_[[Sexo]:[Sexo]]=$B73,IF(DATOS_[[AGRUP. CLAS. PROF.]:[AGRUP. CLAS. PROF.]]=$B72,IF(DATOS_[[Check Periodo Ref.]:[Check Periodo Ref.]]="Dentro",IF(DATOS_[[Check Equiparado]:[Check Equiparado]]="Sí",IF(DATOS!AS$4="Sí",(1/DATOS_[[% anualiz]:[% anualiz]]),1)*IF(DATOS!AS$5="Sí",1/DATOS_[[% normaliz]:[% normaliz]],1)*(DATOS_[Conc.Sal.15])))))))), 0)</f>
        <v>0</v>
      </c>
      <c r="Y73" s="250" t="n">
        <f aca="false" t="array" ref="Y73:Y73">IFERROR( (MEDIAN((IF(DATOS_[[Sexo]:[Sexo]]=$B73,IF(DATOS_[[AGRUP. CLAS. PROF.]:[AGRUP. CLAS. PROF.]]=$B72,IF(DATOS_[[Check Periodo Ref.]:[Check Periodo Ref.]]="Dentro",IF(DATOS_[[Check Equiparado]:[Check Equiparado]]="Sí",IF(DATOS!AT$4="Sí",(1/DATOS_[[% anualiz]:[% anualiz]]),1)*IF(DATOS!AT$5="Sí",1/DATOS_[[% normaliz]:[% normaliz]],1)*(DATOS_[Conc.Sal.16])))))))), 0)</f>
        <v>0</v>
      </c>
      <c r="Z73" s="250" t="n">
        <f aca="false" t="array" ref="Z73:Z73">IFERROR( (MEDIAN((IF(DATOS_[[Sexo]:[Sexo]]=$B73,IF(DATOS_[[AGRUP. CLAS. PROF.]:[AGRUP. CLAS. PROF.]]=$B72,IF(DATOS_[[Check Periodo Ref.]:[Check Periodo Ref.]]="Dentro",IF(DATOS_[[Check Equiparado]:[Check Equiparado]]="Sí",IF(DATOS!AU$4="Sí",(1/DATOS_[[% anualiz]:[% anualiz]]),1)*IF(DATOS!AU$5="Sí",1/DATOS_[[% normaliz]:[% normaliz]],1)*(DATOS_[Conc.Sal.17])))))))), 0)</f>
        <v>0</v>
      </c>
      <c r="AA73" s="250" t="n">
        <f aca="false" t="array" ref="AA73:AA73">IFERROR( (MEDIAN((IF(DATOS_[[Sexo]:[Sexo]]=$B73,IF(DATOS_[[AGRUP. CLAS. PROF.]:[AGRUP. CLAS. PROF.]]=$B72,IF(DATOS_[[Check Periodo Ref.]:[Check Periodo Ref.]]="Dentro",IF(DATOS_[[Check Equiparado]:[Check Equiparado]]="Sí",IF(DATOS!AV$4="Sí",(1/DATOS_[[% anualiz]:[% anualiz]]),1)*IF(DATOS!AV$5="Sí",1/DATOS_[[% normaliz]:[% normaliz]],1)*(DATOS_[Conc.Sal.18])))))))), 0)</f>
        <v>0</v>
      </c>
      <c r="AB73" s="250" t="n">
        <f aca="false" t="array" ref="AB73:AB73">IFERROR( (MEDIAN((IF(DATOS_[[Sexo]:[Sexo]]=$B73,IF(DATOS_[[AGRUP. CLAS. PROF.]:[AGRUP. CLAS. PROF.]]=$B72,IF(DATOS_[[Check Periodo Ref.]:[Check Periodo Ref.]]="Dentro",IF(DATOS_[[Check Equiparado]:[Check Equiparado]]="Sí",IF(DATOS!AW$4="Sí",(1/DATOS_[[% anualiz]:[% anualiz]]),1)*IF(DATOS!AW$5="Sí",1/DATOS_[[% normaliz]:[% normaliz]],1)*(DATOS_[Conc.Sal.19])))))))), 0)</f>
        <v>0</v>
      </c>
      <c r="AC73" s="250" t="n">
        <f aca="false" t="array" ref="AC73:AC73">IFERROR( (MEDIAN((IF(DATOS_[[Sexo]:[Sexo]]=$B73,IF(DATOS_[[AGRUP. CLAS. PROF.]:[AGRUP. CLAS. PROF.]]=$B72,IF(DATOS_[[Check Periodo Ref.]:[Check Periodo Ref.]]="Dentro",IF(DATOS_[[Check Equiparado]:[Check Equiparado]]="Sí",IF(DATOS!AX$4="Sí",(1/DATOS_[[% anualiz]:[% anualiz]]),1)*IF(DATOS!AX$5="Sí",1/DATOS_[[% normaliz]:[% normaliz]],1)*(DATOS_[Conc.Sal.20])))))))), 0)</f>
        <v>0</v>
      </c>
      <c r="AD73" s="250" t="n">
        <f aca="false" t="array" ref="AD73:AD73">IFERROR( (MEDIAN((IF(DATOS_[[Sexo]:[Sexo]]=$B73,IF(DATOS_[[AGRUP. CLAS. PROF.]:[AGRUP. CLAS. PROF.]]=$B72,IF(DATOS_[[Check Periodo Ref.]:[Check Periodo Ref.]]="Dentro",IF(DATOS_[[Check Equiparado]:[Check Equiparado]]="Sí",IF(DATOS!AY$4="Sí",(1/DATOS_[[% anualiz]:[% anualiz]]),1)*IF(DATOS!AY$5="Sí",1/DATOS_[[% normaliz]:[% normaliz]],1)*(DATOS_[Conc.Sal.21])))))))), 0)</f>
        <v>0</v>
      </c>
      <c r="AE73" s="250" t="n">
        <f aca="false" t="array" ref="AE73:AE73">IFERROR( (MEDIAN((IF(DATOS_[[Sexo]:[Sexo]]=$B73,IF(DATOS_[[AGRUP. CLAS. PROF.]:[AGRUP. CLAS. PROF.]]=$B72,IF(DATOS_[[Check Periodo Ref.]:[Check Periodo Ref.]]="Dentro",IF(DATOS_[[Check Equiparado]:[Check Equiparado]]="Sí",IF(DATOS!AZ$4="Sí",(1/DATOS_[[% anualiz]:[% anualiz]]),1)*IF(DATOS!AZ$5="Sí",1/DATOS_[[% normaliz]:[% normaliz]],1)*(DATOS_[Conc.Sal.22])))))))), 0)</f>
        <v>0</v>
      </c>
      <c r="AF73" s="250" t="n">
        <f aca="false" t="array" ref="AF73:AF73">IFERROR( (MEDIAN((IF(DATOS_[[Sexo]:[Sexo]]=$B73,IF(DATOS_[[AGRUP. CLAS. PROF.]:[AGRUP. CLAS. PROF.]]=$B72,IF(DATOS_[[Check Periodo Ref.]:[Check Periodo Ref.]]="Dentro",IF(DATOS_[[Check Equiparado]:[Check Equiparado]]="Sí",IF(DATOS!BA$4="Sí",(1/DATOS_[[% anualiz]:[% anualiz]]),1)*IF(DATOS!BA$5="Sí",1/DATOS_[[% normaliz]:[% normaliz]],1)*(DATOS_[Conc.Sal.23])))))))), 0)</f>
        <v>0</v>
      </c>
      <c r="AG73" s="250" t="n">
        <f aca="false" t="array" ref="AG73:AG73">IFERROR( (MEDIAN((IF(DATOS_[[Sexo]:[Sexo]]=$B73,IF(DATOS_[[AGRUP. CLAS. PROF.]:[AGRUP. CLAS. PROF.]]=$B72,IF(DATOS_[[Check Periodo Ref.]:[Check Periodo Ref.]]="Dentro",IF(DATOS_[[Check Equiparado]:[Check Equiparado]]="Sí",IF(DATOS!BB$4="Sí",(1/DATOS_[[% anualiz]:[% anualiz]]),1)*IF(DATOS!BB$5="Sí",1/DATOS_[[% normaliz]:[% normaliz]],1)*(DATOS_[Conc.Sal.24])))))))), 0)</f>
        <v>0</v>
      </c>
      <c r="AH73" s="250" t="n">
        <f aca="false" t="array" ref="AH73:AH73">IFERROR( (MEDIAN((IF(DATOS_[[Sexo]:[Sexo]]=$B73,IF(DATOS_[[AGRUP. CLAS. PROF.]:[AGRUP. CLAS. PROF.]]=$B72,IF(DATOS_[[Check Periodo Ref.]:[Check Periodo Ref.]]="Dentro",IF(DATOS_[[Check Equiparado]:[Check Equiparado]]="Sí",IF(DATOS!BC$4="Sí",(1/DATOS_[[% anualiz]:[% anualiz]]),1)*IF(DATOS!BC$5="Sí",1/DATOS_[[% normaliz]:[% normaliz]],1)*(DATOS_[Conc.Sal.25])))))))), 0)</f>
        <v>0</v>
      </c>
      <c r="AI73" s="250" t="n">
        <f aca="false" t="array" ref="AI73:AI73">IFERROR( (MEDIAN((IF(DATOS_[[Sexo]:[Sexo]]=$B73,IF(DATOS_[[AGRUP. CLAS. PROF.]:[AGRUP. CLAS. PROF.]]=$B72,IF(DATOS_[[Check Periodo Ref.]:[Check Periodo Ref.]]="Dentro",IF(DATOS_[[Check Equiparado]:[Check Equiparado]]="Sí",IF(DATOS!BD$4="Sí",(1/DATOS_[[% anualiz]:[% anualiz]]),1)*IF(DATOS!BD$5="Sí",1/DATOS_[[% normaliz]:[% normaliz]],1)*(DATOS_[Conc.Sal.26])))))))), 0)</f>
        <v>0</v>
      </c>
      <c r="AJ73" s="250" t="n">
        <f aca="false" t="array" ref="AJ73:AJ73">IFERROR( (MEDIAN((IF(DATOS_[[Sexo]:[Sexo]]=$B73,IF(DATOS_[[AGRUP. CLAS. PROF.]:[AGRUP. CLAS. PROF.]]=$B72,IF(DATOS_[[Check Periodo Ref.]:[Check Periodo Ref.]]="Dentro",IF(DATOS_[[Check Equiparado]:[Check Equiparado]]="Sí",IF(DATOS!BE$4="Sí",(1/DATOS_[[% anualiz]:[% anualiz]]),1)*IF(DATOS!BE$5="Sí",1/DATOS_[[% normaliz]:[% normaliz]],1)*(DATOS_[Conc.Sal.27])))))))), 0)</f>
        <v>0</v>
      </c>
      <c r="AK73" s="250" t="n">
        <f aca="false" t="array" ref="AK73:AK73">IFERROR( (MEDIAN((IF(DATOS_[[Sexo]:[Sexo]]=$B73,IF(DATOS_[[AGRUP. CLAS. PROF.]:[AGRUP. CLAS. PROF.]]=$B72,IF(DATOS_[[Check Periodo Ref.]:[Check Periodo Ref.]]="Dentro",IF(DATOS_[[Check Equiparado]:[Check Equiparado]]="Sí",IF(DATOS!BF$4="Sí",(1/DATOS_[[% anualiz]:[% anualiz]]),1)*IF(DATOS!BF$5="Sí",1/DATOS_[[% normaliz]:[% normaliz]],1)*(DATOS_[Conc.Sal.28])))))))), 0)</f>
        <v>0</v>
      </c>
      <c r="AL73" s="250" t="n">
        <f aca="false" t="array" ref="AL73:AL73">IFERROR( (MEDIAN((IF(DATOS_[[Sexo]:[Sexo]]=$B73,IF(DATOS_[[AGRUP. CLAS. PROF.]:[AGRUP. CLAS. PROF.]]=$B72,IF(DATOS_[[Check Periodo Ref.]:[Check Periodo Ref.]]="Dentro",IF(DATOS_[[Check Equiparado]:[Check Equiparado]]="Sí",IF(DATOS!BG$4="Sí",(1/DATOS_[[% anualiz]:[% anualiz]]),1)*IF(DATOS!BG$5="Sí",1/DATOS_[[% normaliz]:[% normaliz]],1)*(DATOS_[Conc.Sal.29])))))))), 0)</f>
        <v>0</v>
      </c>
      <c r="AM73" s="250" t="n">
        <f aca="false" t="array" ref="AM73:AM73">IFERROR( (MEDIAN((IF(DATOS_[[Sexo]:[Sexo]]=$B73,IF(DATOS_[[AGRUP. CLAS. PROF.]:[AGRUP. CLAS. PROF.]]=$B72,IF(DATOS_[[Check Periodo Ref.]:[Check Periodo Ref.]]="Dentro",IF(DATOS_[[Check Equiparado]:[Check Equiparado]]="Sí",IF(DATOS!BH$4="Sí",(1/DATOS_[[% anualiz]:[% anualiz]]),1)*IF(DATOS!BH$5="Sí",1/DATOS_[[% normaliz]:[% normaliz]],1)*(DATOS_[Conc.Sal.30])))))))), 0)</f>
        <v>0</v>
      </c>
      <c r="AN73" s="251" t="n">
        <f aca="false" t="array" ref="AN73:AN73">IFERROR( MEDIAN(IF(DATOS_[Sexo]=$B73,IF(DATOS_[[AGRUP. CLAS. PROF.]:[AGRUP. CLAS. PROF.]]=$B72,IF(DATOS_[Check Equiparado]="Sí",IF(DATOS_[Check Periodo Ref.]="Dentro",DATOS_[Tot COMPL.SAL Eq],0))))), 0)</f>
        <v>0</v>
      </c>
      <c r="AO73" s="252" t="n">
        <f aca="false" t="array" ref="AO73:AO73">IFERROR( MEDIAN(IF(DATOS_[Sexo]=$B73,IF(DATOS_[[AGRUP. CLAS. PROF.]:[AGRUP. CLAS. PROF.]]=$B72,IF(DATOS_[Check Equiparado]="Sí",IF(DATOS_[Check Periodo Ref.]="Dentro",DATOS_[TOTAL SALARIO Eq],0))))), 0)</f>
        <v>0</v>
      </c>
      <c r="AP73" s="259" t="n">
        <f aca="false" t="array" ref="AP73:AP73">IFERROR( (MEDIAN((IF(DATOS_[[Sexo]:[Sexo]]=$B73,IF(DATOS_[[AGRUP. CLAS. PROF.]:[AGRUP. CLAS. PROF.]]=$B72,IF(DATOS_[[Check Periodo Ref.]:[Check Periodo Ref.]]="Dentro",IF(DATOS_[[Check Equiparado]:[Check Equiparado]]="Sí",IF(DATOS!BI$4="Sí",(1/DATOS_[[% anualiz]:[% anualiz]]),1)*IF(DATOS!BI$5="Sí",1/DATOS_[[% normaliz]:[% normaliz]],1)*(DATOS_[C.Extra.01])))))))), 0)</f>
        <v>0</v>
      </c>
      <c r="AQ73" s="259" t="n">
        <f aca="false" t="array" ref="AQ73:AQ73">IFERROR( (MEDIAN((IF(DATOS_[[Sexo]:[Sexo]]=$B73,IF(DATOS_[[AGRUP. CLAS. PROF.]:[AGRUP. CLAS. PROF.]]=$B72,IF(DATOS_[[Check Periodo Ref.]:[Check Periodo Ref.]]="Dentro",IF(DATOS_[[Check Equiparado]:[Check Equiparado]]="Sí",IF(DATOS!BJ$4="Sí",(1/DATOS_[[% anualiz]:[% anualiz]]),1)*IF(DATOS!BJ$5="Sí",1/DATOS_[[% normaliz]:[% normaliz]],1)*(DATOS_[C.Extra.02])))))))), 0)</f>
        <v>0</v>
      </c>
      <c r="AR73" s="259" t="n">
        <f aca="false" t="array" ref="AR73:AR73">IFERROR( (MEDIAN((IF(DATOS_[[Sexo]:[Sexo]]=$B73,IF(DATOS_[[AGRUP. CLAS. PROF.]:[AGRUP. CLAS. PROF.]]=$B72,IF(DATOS_[[Check Periodo Ref.]:[Check Periodo Ref.]]="Dentro",IF(DATOS_[[Check Equiparado]:[Check Equiparado]]="Sí",IF(DATOS!BK$4="Sí",(1/DATOS_[[% anualiz]:[% anualiz]]),1)*IF(DATOS!BK$5="Sí",1/DATOS_[[% normaliz]:[% normaliz]],1)*(DATOS_[C.Extra.03])))))))), 0)</f>
        <v>0</v>
      </c>
      <c r="AS73" s="259" t="n">
        <f aca="false" t="array" ref="AS73:AS73">IFERROR( (MEDIAN((IF(DATOS_[[Sexo]:[Sexo]]=$B73,IF(DATOS_[[AGRUP. CLAS. PROF.]:[AGRUP. CLAS. PROF.]]=$B72,IF(DATOS_[[Check Periodo Ref.]:[Check Periodo Ref.]]="Dentro",IF(DATOS_[[Check Equiparado]:[Check Equiparado]]="Sí",IF(DATOS!BL$4="Sí",(1/DATOS_[[% anualiz]:[% anualiz]]),1)*IF(DATOS!BL$5="Sí",1/DATOS_[[% normaliz]:[% normaliz]],1)*(DATOS_[C.Extra.04])))))))), 0)</f>
        <v>0</v>
      </c>
      <c r="AT73" s="259" t="n">
        <f aca="false" t="array" ref="AT73:AT73">IFERROR( (MEDIAN((IF(DATOS_[[Sexo]:[Sexo]]=$B73,IF(DATOS_[[AGRUP. CLAS. PROF.]:[AGRUP. CLAS. PROF.]]=$B72,IF(DATOS_[[Check Periodo Ref.]:[Check Periodo Ref.]]="Dentro",IF(DATOS_[[Check Equiparado]:[Check Equiparado]]="Sí",IF(DATOS!BM$4="Sí",(1/DATOS_[[% anualiz]:[% anualiz]]),1)*IF(DATOS!BM$5="Sí",1/DATOS_[[% normaliz]:[% normaliz]],1)*(DATOS_[C.Extra.05])))))))), 0)</f>
        <v>0</v>
      </c>
      <c r="AU73" s="254" t="n">
        <f aca="false" t="array" ref="AU73:AU73">IFERROR( MEDIAN(IF(DATOS_[Sexo]=$B73,IF(DATOS_[[AGRUP. CLAS. PROF.]:[AGRUP. CLAS. PROF.]]=$B72,IF(DATOS_[Check Equiparado]="Sí",IF(DATOS_[Check Periodo Ref.]="Dentro",DATOS_[Tot Extrasalarial Eq],0))))), 0)</f>
        <v>0</v>
      </c>
      <c r="AV73" s="255" t="n">
        <f aca="false" t="array" ref="AV73:AV73">IFERROR( MEDIAN(IF(DATOS_[Sexo]=$B73,IF(DATOS_[[AGRUP. CLAS. PROF.]:[AGRUP. CLAS. PROF.]]=$B72,IF(DATOS_[Check Equiparado]="Sí",IF(DATOS_[Check Periodo Ref.]="Dentro",DATOS_[TOTAL Retrib Eq],0))))), 0)</f>
        <v>0</v>
      </c>
    </row>
    <row r="74" customFormat="false" ht="14.25" hidden="false" customHeight="false" outlineLevel="0" collapsed="false">
      <c r="A74" s="217" t="str">
        <f aca="false">+A73</f>
        <v>[ocultar]</v>
      </c>
      <c r="B74" s="323" t="s">
        <v>372</v>
      </c>
      <c r="C74" s="247" t="n">
        <f aca="false" t="array" ref="C74:C74">SUM(IF($B74=DATOS_[Sexo], IF($B72=DATOS_[AGRUP. CLAS. PROF.], IF("Dentro"=DATOS_[Check Periodo Ref.], 1/(COUNTIFS(DATOS_[Sexo],$B74,DATOS_[AGRUP. CLAS. PROF.],$B72,DATOS_[Check Periodo Ref.],"Dentro",DATOS_[id],DATOS_[id]))))))</f>
        <v>0</v>
      </c>
      <c r="D74" s="248" t="n">
        <f aca="false">COUNTIFS(DATOS_[AGRUP. CLAS. PROF.],$B72,DATOS_[Sexo],$B74,DATOS_[Check Periodo Ref.],"Dentro")</f>
        <v>0</v>
      </c>
      <c r="E74" s="248" t="n">
        <f aca="false">COUNTIFS(DATOS_[AGRUP. CLAS. PROF.],$B72,DATOS_[Sexo],$B74,DATOS_[Check Periodo Ref.],"Dentro",DATOS_[Check Nº SC Norm],"Sí")</f>
        <v>0</v>
      </c>
      <c r="F74" s="248" t="n">
        <f aca="false">COUNTIFS(DATOS_[AGRUP. CLAS. PROF.],$B72,DATOS_[Sexo],$B74,DATOS_[Check Periodo Ref.],"Dentro",DATOS_[Check Nº SC Anualiz],"Sí")</f>
        <v>0</v>
      </c>
      <c r="G74" s="248" t="n">
        <f aca="false">COUNTIFS(DATOS_[AGRUP. CLAS. PROF.],$B72,DATOS_[Sexo],$B74,DATOS_[Check Periodo Ref.],"Dentro",DATOS_[Check Nº SC Norm y Anualiz],"Sí")</f>
        <v>0</v>
      </c>
      <c r="H74" s="248" t="n">
        <f aca="false">COUNTIFS(DATOS_[AGRUP. CLAS. PROF.],$B72,DATOS_[Sexo],$B74,DATOS_[Check Periodo Ref.],"Dentro",DATOS_[Check Equiparación],"Sí")</f>
        <v>0</v>
      </c>
      <c r="I74" s="249" t="n">
        <f aca="false" t="array" ref="I74:I74">IFERROR( MEDIAN(IF(DATOS_[Sexo]=$B74,IF(DATOS_[[AGRUP. CLAS. PROF.]:[AGRUP. CLAS. PROF.]]=$B72,IF(DATOS_[Check Equiparado]="Sí",IF(DATOS_[Check Periodo Ref.]="Dentro",DATOS_[SALARIO BASE Eq],0))))), 0)</f>
        <v>0</v>
      </c>
      <c r="J74" s="250" t="n">
        <f aca="false" t="array" ref="J74:J74">IFERROR( (MEDIAN((IF(DATOS_[[Sexo]:[Sexo]]=$B74,IF(DATOS_[[AGRUP. CLAS. PROF.]:[AGRUP. CLAS. PROF.]]=$B72,IF(DATOS_[[Check Periodo Ref.]:[Check Periodo Ref.]]="Dentro",IF(DATOS_[[Check Equiparado]:[Check Equiparado]]="Sí",IF(DATOS!AE$4="Sí",(1/DATOS_[[% anualiz]:[% anualiz]]),1)*IF(DATOS!AE$5="Sí",1/DATOS_[[% normaliz]:[% normaliz]],1)*(DATOS_[Conc.Sal.01])))))))), 0)</f>
        <v>0</v>
      </c>
      <c r="K74" s="250" t="n">
        <f aca="false" t="array" ref="K74:K74">IFERROR( (MEDIAN((IF(DATOS_[[Sexo]:[Sexo]]=$B74,IF(DATOS_[[AGRUP. CLAS. PROF.]:[AGRUP. CLAS. PROF.]]=$B72,IF(DATOS_[[Check Periodo Ref.]:[Check Periodo Ref.]]="Dentro",IF(DATOS_[[Check Equiparado]:[Check Equiparado]]="Sí",IF(DATOS!AF$4="Sí",(1/DATOS_[[% anualiz]:[% anualiz]]),1)*IF(DATOS!AF$5="Sí",1/DATOS_[[% normaliz]:[% normaliz]],1)*(DATOS_[Conc.Sal.02])))))))), 0)</f>
        <v>0</v>
      </c>
      <c r="L74" s="250" t="n">
        <f aca="false" t="array" ref="L74:L74">IFERROR( (MEDIAN((IF(DATOS_[[Sexo]:[Sexo]]=$B74,IF(DATOS_[[AGRUP. CLAS. PROF.]:[AGRUP. CLAS. PROF.]]=$B72,IF(DATOS_[[Check Periodo Ref.]:[Check Periodo Ref.]]="Dentro",IF(DATOS_[[Check Equiparado]:[Check Equiparado]]="Sí",IF(DATOS!AG$4="Sí",(1/DATOS_[[% anualiz]:[% anualiz]]),1)*IF(DATOS!AG$5="Sí",1/DATOS_[[% normaliz]:[% normaliz]],1)*(DATOS_[Conc.Sal.03])))))))), 0)</f>
        <v>0</v>
      </c>
      <c r="M74" s="250" t="n">
        <f aca="false" t="array" ref="M74:M74">IFERROR( (MEDIAN((IF(DATOS_[[Sexo]:[Sexo]]=$B74,IF(DATOS_[[AGRUP. CLAS. PROF.]:[AGRUP. CLAS. PROF.]]=$B72,IF(DATOS_[[Check Periodo Ref.]:[Check Periodo Ref.]]="Dentro",IF(DATOS_[[Check Equiparado]:[Check Equiparado]]="Sí",IF(DATOS!AH$4="Sí",(1/DATOS_[[% anualiz]:[% anualiz]]),1)*IF(DATOS!AH$5="Sí",1/DATOS_[[% normaliz]:[% normaliz]],1)*(DATOS_[Conc.Sal.04])))))))), 0)</f>
        <v>0</v>
      </c>
      <c r="N74" s="250" t="n">
        <f aca="false" t="array" ref="N74:N74">IFERROR( (MEDIAN((IF(DATOS_[[Sexo]:[Sexo]]=$B74,IF(DATOS_[[AGRUP. CLAS. PROF.]:[AGRUP. CLAS. PROF.]]=$B72,IF(DATOS_[[Check Periodo Ref.]:[Check Periodo Ref.]]="Dentro",IF(DATOS_[[Check Equiparado]:[Check Equiparado]]="Sí",IF(DATOS!AI$4="Sí",(1/DATOS_[[% anualiz]:[% anualiz]]),1)*IF(DATOS!AI$5="Sí",1/DATOS_[[% normaliz]:[% normaliz]],1)*(DATOS_[Conc.Sal.05])))))))), 0)</f>
        <v>0</v>
      </c>
      <c r="O74" s="250" t="n">
        <f aca="false" t="array" ref="O74:O74">IFERROR( (MEDIAN((IF(DATOS_[[Sexo]:[Sexo]]=$B74,IF(DATOS_[[AGRUP. CLAS. PROF.]:[AGRUP. CLAS. PROF.]]=$B72,IF(DATOS_[[Check Periodo Ref.]:[Check Periodo Ref.]]="Dentro",IF(DATOS_[[Check Equiparado]:[Check Equiparado]]="Sí",IF(DATOS!AJ$4="Sí",(1/DATOS_[[% anualiz]:[% anualiz]]),1)*IF(DATOS!AJ$5="Sí",1/DATOS_[[% normaliz]:[% normaliz]],1)*(DATOS_[Conc.Sal.06])))))))), 0)</f>
        <v>0</v>
      </c>
      <c r="P74" s="250" t="n">
        <f aca="false" t="array" ref="P74:P74">IFERROR( (MEDIAN((IF(DATOS_[[Sexo]:[Sexo]]=$B74,IF(DATOS_[[AGRUP. CLAS. PROF.]:[AGRUP. CLAS. PROF.]]=$B72,IF(DATOS_[[Check Periodo Ref.]:[Check Periodo Ref.]]="Dentro",IF(DATOS_[[Check Equiparado]:[Check Equiparado]]="Sí",IF(DATOS!AK$4="Sí",(1/DATOS_[[% anualiz]:[% anualiz]]),1)*IF(DATOS!AK$5="Sí",1/DATOS_[[% normaliz]:[% normaliz]],1)*(DATOS_[Conc.Sal.07])))))))), 0)</f>
        <v>0</v>
      </c>
      <c r="Q74" s="250" t="n">
        <f aca="false" t="array" ref="Q74:Q74">IFERROR( (MEDIAN((IF(DATOS_[[Sexo]:[Sexo]]=$B74,IF(DATOS_[[AGRUP. CLAS. PROF.]:[AGRUP. CLAS. PROF.]]=$B72,IF(DATOS_[[Check Periodo Ref.]:[Check Periodo Ref.]]="Dentro",IF(DATOS_[[Check Equiparado]:[Check Equiparado]]="Sí",IF(DATOS!AL$4="Sí",(1/DATOS_[[% anualiz]:[% anualiz]]),1)*IF(DATOS!AL$5="Sí",1/DATOS_[[% normaliz]:[% normaliz]],1)*(DATOS_[Conc.Sal.08])))))))), 0)</f>
        <v>0</v>
      </c>
      <c r="R74" s="250" t="n">
        <f aca="false" t="array" ref="R74:R74">IFERROR( (MEDIAN((IF(DATOS_[[Sexo]:[Sexo]]=$B74,IF(DATOS_[[AGRUP. CLAS. PROF.]:[AGRUP. CLAS. PROF.]]=$B72,IF(DATOS_[[Check Periodo Ref.]:[Check Periodo Ref.]]="Dentro",IF(DATOS_[[Check Equiparado]:[Check Equiparado]]="Sí",IF(DATOS!AM$4="Sí",(1/DATOS_[[% anualiz]:[% anualiz]]),1)*IF(DATOS!AM$5="Sí",1/DATOS_[[% normaliz]:[% normaliz]],1)*(DATOS_[Conc.Sal.09])))))))), 0)</f>
        <v>0</v>
      </c>
      <c r="S74" s="250" t="n">
        <f aca="false" t="array" ref="S74:S74">IFERROR( (MEDIAN((IF(DATOS_[[Sexo]:[Sexo]]=$B74,IF(DATOS_[[AGRUP. CLAS. PROF.]:[AGRUP. CLAS. PROF.]]=$B72,IF(DATOS_[[Check Periodo Ref.]:[Check Periodo Ref.]]="Dentro",IF(DATOS_[[Check Equiparado]:[Check Equiparado]]="Sí",IF(DATOS!AN$4="Sí",(1/DATOS_[[% anualiz]:[% anualiz]]),1)*IF(DATOS!AN$5="Sí",1/DATOS_[[% normaliz]:[% normaliz]],1)*(DATOS_[Conc.Sal.10])))))))), 0)</f>
        <v>0</v>
      </c>
      <c r="T74" s="250" t="n">
        <f aca="false" t="array" ref="T74:T74">IFERROR( (MEDIAN((IF(DATOS_[[Sexo]:[Sexo]]=$B74,IF(DATOS_[[AGRUP. CLAS. PROF.]:[AGRUP. CLAS. PROF.]]=$B72,IF(DATOS_[[Check Periodo Ref.]:[Check Periodo Ref.]]="Dentro",IF(DATOS_[[Check Equiparado]:[Check Equiparado]]="Sí",IF(DATOS!AO$4="Sí",(1/DATOS_[[% anualiz]:[% anualiz]]),1)*IF(DATOS!AO$5="Sí",1/DATOS_[[% normaliz]:[% normaliz]],1)*(DATOS_[Conc.Sal.11])))))))), 0)</f>
        <v>0</v>
      </c>
      <c r="U74" s="250" t="n">
        <f aca="false" t="array" ref="U74:U74">IFERROR( (MEDIAN((IF(DATOS_[[Sexo]:[Sexo]]=$B74,IF(DATOS_[[AGRUP. CLAS. PROF.]:[AGRUP. CLAS. PROF.]]=$B72,IF(DATOS_[[Check Periodo Ref.]:[Check Periodo Ref.]]="Dentro",IF(DATOS_[[Check Equiparado]:[Check Equiparado]]="Sí",IF(DATOS!AP$4="Sí",(1/DATOS_[[% anualiz]:[% anualiz]]),1)*IF(DATOS!AP$5="Sí",1/DATOS_[[% normaliz]:[% normaliz]],1)*(DATOS_[Conc.Sal.12])))))))), 0)</f>
        <v>0</v>
      </c>
      <c r="V74" s="250" t="n">
        <f aca="false" t="array" ref="V74:V74">IFERROR( (MEDIAN((IF(DATOS_[[Sexo]:[Sexo]]=$B74,IF(DATOS_[[AGRUP. CLAS. PROF.]:[AGRUP. CLAS. PROF.]]=$B72,IF(DATOS_[[Check Periodo Ref.]:[Check Periodo Ref.]]="Dentro",IF(DATOS_[[Check Equiparado]:[Check Equiparado]]="Sí",IF(DATOS!AQ$4="Sí",(1/DATOS_[[% anualiz]:[% anualiz]]),1)*IF(DATOS!AQ$5="Sí",1/DATOS_[[% normaliz]:[% normaliz]],1)*(DATOS_[Conc.Sal.13])))))))), 0)</f>
        <v>0</v>
      </c>
      <c r="W74" s="250" t="n">
        <f aca="false" t="array" ref="W74:W74">IFERROR( (MEDIAN((IF(DATOS_[[Sexo]:[Sexo]]=$B74,IF(DATOS_[[AGRUP. CLAS. PROF.]:[AGRUP. CLAS. PROF.]]=$B72,IF(DATOS_[[Check Periodo Ref.]:[Check Periodo Ref.]]="Dentro",IF(DATOS_[[Check Equiparado]:[Check Equiparado]]="Sí",IF(DATOS!AR$4="Sí",(1/DATOS_[[% anualiz]:[% anualiz]]),1)*IF(DATOS!AR$5="Sí",1/DATOS_[[% normaliz]:[% normaliz]],1)*(DATOS_[Conc.Sal.14])))))))), 0)</f>
        <v>0</v>
      </c>
      <c r="X74" s="250" t="n">
        <f aca="false" t="array" ref="X74:X74">IFERROR( (MEDIAN((IF(DATOS_[[Sexo]:[Sexo]]=$B74,IF(DATOS_[[AGRUP. CLAS. PROF.]:[AGRUP. CLAS. PROF.]]=$B72,IF(DATOS_[[Check Periodo Ref.]:[Check Periodo Ref.]]="Dentro",IF(DATOS_[[Check Equiparado]:[Check Equiparado]]="Sí",IF(DATOS!AS$4="Sí",(1/DATOS_[[% anualiz]:[% anualiz]]),1)*IF(DATOS!AS$5="Sí",1/DATOS_[[% normaliz]:[% normaliz]],1)*(DATOS_[Conc.Sal.15])))))))), 0)</f>
        <v>0</v>
      </c>
      <c r="Y74" s="250" t="n">
        <f aca="false" t="array" ref="Y74:Y74">IFERROR( (MEDIAN((IF(DATOS_[[Sexo]:[Sexo]]=$B74,IF(DATOS_[[AGRUP. CLAS. PROF.]:[AGRUP. CLAS. PROF.]]=$B72,IF(DATOS_[[Check Periodo Ref.]:[Check Periodo Ref.]]="Dentro",IF(DATOS_[[Check Equiparado]:[Check Equiparado]]="Sí",IF(DATOS!AT$4="Sí",(1/DATOS_[[% anualiz]:[% anualiz]]),1)*IF(DATOS!AT$5="Sí",1/DATOS_[[% normaliz]:[% normaliz]],1)*(DATOS_[Conc.Sal.16])))))))), 0)</f>
        <v>0</v>
      </c>
      <c r="Z74" s="250" t="n">
        <f aca="false" t="array" ref="Z74:Z74">IFERROR( (MEDIAN((IF(DATOS_[[Sexo]:[Sexo]]=$B74,IF(DATOS_[[AGRUP. CLAS. PROF.]:[AGRUP. CLAS. PROF.]]=$B72,IF(DATOS_[[Check Periodo Ref.]:[Check Periodo Ref.]]="Dentro",IF(DATOS_[[Check Equiparado]:[Check Equiparado]]="Sí",IF(DATOS!AU$4="Sí",(1/DATOS_[[% anualiz]:[% anualiz]]),1)*IF(DATOS!AU$5="Sí",1/DATOS_[[% normaliz]:[% normaliz]],1)*(DATOS_[Conc.Sal.17])))))))), 0)</f>
        <v>0</v>
      </c>
      <c r="AA74" s="250" t="n">
        <f aca="false" t="array" ref="AA74:AA74">IFERROR( (MEDIAN((IF(DATOS_[[Sexo]:[Sexo]]=$B74,IF(DATOS_[[AGRUP. CLAS. PROF.]:[AGRUP. CLAS. PROF.]]=$B72,IF(DATOS_[[Check Periodo Ref.]:[Check Periodo Ref.]]="Dentro",IF(DATOS_[[Check Equiparado]:[Check Equiparado]]="Sí",IF(DATOS!AV$4="Sí",(1/DATOS_[[% anualiz]:[% anualiz]]),1)*IF(DATOS!AV$5="Sí",1/DATOS_[[% normaliz]:[% normaliz]],1)*(DATOS_[Conc.Sal.18])))))))), 0)</f>
        <v>0</v>
      </c>
      <c r="AB74" s="250" t="n">
        <f aca="false" t="array" ref="AB74:AB74">IFERROR( (MEDIAN((IF(DATOS_[[Sexo]:[Sexo]]=$B74,IF(DATOS_[[AGRUP. CLAS. PROF.]:[AGRUP. CLAS. PROF.]]=$B72,IF(DATOS_[[Check Periodo Ref.]:[Check Periodo Ref.]]="Dentro",IF(DATOS_[[Check Equiparado]:[Check Equiparado]]="Sí",IF(DATOS!AW$4="Sí",(1/DATOS_[[% anualiz]:[% anualiz]]),1)*IF(DATOS!AW$5="Sí",1/DATOS_[[% normaliz]:[% normaliz]],1)*(DATOS_[Conc.Sal.19])))))))), 0)</f>
        <v>0</v>
      </c>
      <c r="AC74" s="250" t="n">
        <f aca="false" t="array" ref="AC74:AC74">IFERROR( (MEDIAN((IF(DATOS_[[Sexo]:[Sexo]]=$B74,IF(DATOS_[[AGRUP. CLAS. PROF.]:[AGRUP. CLAS. PROF.]]=$B72,IF(DATOS_[[Check Periodo Ref.]:[Check Periodo Ref.]]="Dentro",IF(DATOS_[[Check Equiparado]:[Check Equiparado]]="Sí",IF(DATOS!AX$4="Sí",(1/DATOS_[[% anualiz]:[% anualiz]]),1)*IF(DATOS!AX$5="Sí",1/DATOS_[[% normaliz]:[% normaliz]],1)*(DATOS_[Conc.Sal.20])))))))), 0)</f>
        <v>0</v>
      </c>
      <c r="AD74" s="250" t="n">
        <f aca="false" t="array" ref="AD74:AD74">IFERROR( (MEDIAN((IF(DATOS_[[Sexo]:[Sexo]]=$B74,IF(DATOS_[[AGRUP. CLAS. PROF.]:[AGRUP. CLAS. PROF.]]=$B72,IF(DATOS_[[Check Periodo Ref.]:[Check Periodo Ref.]]="Dentro",IF(DATOS_[[Check Equiparado]:[Check Equiparado]]="Sí",IF(DATOS!AY$4="Sí",(1/DATOS_[[% anualiz]:[% anualiz]]),1)*IF(DATOS!AY$5="Sí",1/DATOS_[[% normaliz]:[% normaliz]],1)*(DATOS_[Conc.Sal.21])))))))), 0)</f>
        <v>0</v>
      </c>
      <c r="AE74" s="250" t="n">
        <f aca="false" t="array" ref="AE74:AE74">IFERROR( (MEDIAN((IF(DATOS_[[Sexo]:[Sexo]]=$B74,IF(DATOS_[[AGRUP. CLAS. PROF.]:[AGRUP. CLAS. PROF.]]=$B72,IF(DATOS_[[Check Periodo Ref.]:[Check Periodo Ref.]]="Dentro",IF(DATOS_[[Check Equiparado]:[Check Equiparado]]="Sí",IF(DATOS!AZ$4="Sí",(1/DATOS_[[% anualiz]:[% anualiz]]),1)*IF(DATOS!AZ$5="Sí",1/DATOS_[[% normaliz]:[% normaliz]],1)*(DATOS_[Conc.Sal.22])))))))), 0)</f>
        <v>0</v>
      </c>
      <c r="AF74" s="250" t="n">
        <f aca="false" t="array" ref="AF74:AF74">IFERROR( (MEDIAN((IF(DATOS_[[Sexo]:[Sexo]]=$B74,IF(DATOS_[[AGRUP. CLAS. PROF.]:[AGRUP. CLAS. PROF.]]=$B72,IF(DATOS_[[Check Periodo Ref.]:[Check Periodo Ref.]]="Dentro",IF(DATOS_[[Check Equiparado]:[Check Equiparado]]="Sí",IF(DATOS!BA$4="Sí",(1/DATOS_[[% anualiz]:[% anualiz]]),1)*IF(DATOS!BA$5="Sí",1/DATOS_[[% normaliz]:[% normaliz]],1)*(DATOS_[Conc.Sal.23])))))))), 0)</f>
        <v>0</v>
      </c>
      <c r="AG74" s="250" t="n">
        <f aca="false" t="array" ref="AG74:AG74">IFERROR( (MEDIAN((IF(DATOS_[[Sexo]:[Sexo]]=$B74,IF(DATOS_[[AGRUP. CLAS. PROF.]:[AGRUP. CLAS. PROF.]]=$B72,IF(DATOS_[[Check Periodo Ref.]:[Check Periodo Ref.]]="Dentro",IF(DATOS_[[Check Equiparado]:[Check Equiparado]]="Sí",IF(DATOS!BB$4="Sí",(1/DATOS_[[% anualiz]:[% anualiz]]),1)*IF(DATOS!BB$5="Sí",1/DATOS_[[% normaliz]:[% normaliz]],1)*(DATOS_[Conc.Sal.24])))))))), 0)</f>
        <v>0</v>
      </c>
      <c r="AH74" s="250" t="n">
        <f aca="false" t="array" ref="AH74:AH74">IFERROR( (MEDIAN((IF(DATOS_[[Sexo]:[Sexo]]=$B74,IF(DATOS_[[AGRUP. CLAS. PROF.]:[AGRUP. CLAS. PROF.]]=$B72,IF(DATOS_[[Check Periodo Ref.]:[Check Periodo Ref.]]="Dentro",IF(DATOS_[[Check Equiparado]:[Check Equiparado]]="Sí",IF(DATOS!BC$4="Sí",(1/DATOS_[[% anualiz]:[% anualiz]]),1)*IF(DATOS!BC$5="Sí",1/DATOS_[[% normaliz]:[% normaliz]],1)*(DATOS_[Conc.Sal.25])))))))), 0)</f>
        <v>0</v>
      </c>
      <c r="AI74" s="250" t="n">
        <f aca="false" t="array" ref="AI74:AI74">IFERROR( (MEDIAN((IF(DATOS_[[Sexo]:[Sexo]]=$B74,IF(DATOS_[[AGRUP. CLAS. PROF.]:[AGRUP. CLAS. PROF.]]=$B72,IF(DATOS_[[Check Periodo Ref.]:[Check Periodo Ref.]]="Dentro",IF(DATOS_[[Check Equiparado]:[Check Equiparado]]="Sí",IF(DATOS!BD$4="Sí",(1/DATOS_[[% anualiz]:[% anualiz]]),1)*IF(DATOS!BD$5="Sí",1/DATOS_[[% normaliz]:[% normaliz]],1)*(DATOS_[Conc.Sal.26])))))))), 0)</f>
        <v>0</v>
      </c>
      <c r="AJ74" s="250" t="n">
        <f aca="false" t="array" ref="AJ74:AJ74">IFERROR( (MEDIAN((IF(DATOS_[[Sexo]:[Sexo]]=$B74,IF(DATOS_[[AGRUP. CLAS. PROF.]:[AGRUP. CLAS. PROF.]]=$B72,IF(DATOS_[[Check Periodo Ref.]:[Check Periodo Ref.]]="Dentro",IF(DATOS_[[Check Equiparado]:[Check Equiparado]]="Sí",IF(DATOS!BE$4="Sí",(1/DATOS_[[% anualiz]:[% anualiz]]),1)*IF(DATOS!BE$5="Sí",1/DATOS_[[% normaliz]:[% normaliz]],1)*(DATOS_[Conc.Sal.27])))))))), 0)</f>
        <v>0</v>
      </c>
      <c r="AK74" s="250" t="n">
        <f aca="false" t="array" ref="AK74:AK74">IFERROR( (MEDIAN((IF(DATOS_[[Sexo]:[Sexo]]=$B74,IF(DATOS_[[AGRUP. CLAS. PROF.]:[AGRUP. CLAS. PROF.]]=$B72,IF(DATOS_[[Check Periodo Ref.]:[Check Periodo Ref.]]="Dentro",IF(DATOS_[[Check Equiparado]:[Check Equiparado]]="Sí",IF(DATOS!BF$4="Sí",(1/DATOS_[[% anualiz]:[% anualiz]]),1)*IF(DATOS!BF$5="Sí",1/DATOS_[[% normaliz]:[% normaliz]],1)*(DATOS_[Conc.Sal.28])))))))), 0)</f>
        <v>0</v>
      </c>
      <c r="AL74" s="250" t="n">
        <f aca="false" t="array" ref="AL74:AL74">IFERROR( (MEDIAN((IF(DATOS_[[Sexo]:[Sexo]]=$B74,IF(DATOS_[[AGRUP. CLAS. PROF.]:[AGRUP. CLAS. PROF.]]=$B72,IF(DATOS_[[Check Periodo Ref.]:[Check Periodo Ref.]]="Dentro",IF(DATOS_[[Check Equiparado]:[Check Equiparado]]="Sí",IF(DATOS!BG$4="Sí",(1/DATOS_[[% anualiz]:[% anualiz]]),1)*IF(DATOS!BG$5="Sí",1/DATOS_[[% normaliz]:[% normaliz]],1)*(DATOS_[Conc.Sal.29])))))))), 0)</f>
        <v>0</v>
      </c>
      <c r="AM74" s="250" t="n">
        <f aca="false" t="array" ref="AM74:AM74">IFERROR( (MEDIAN((IF(DATOS_[[Sexo]:[Sexo]]=$B74,IF(DATOS_[[AGRUP. CLAS. PROF.]:[AGRUP. CLAS. PROF.]]=$B72,IF(DATOS_[[Check Periodo Ref.]:[Check Periodo Ref.]]="Dentro",IF(DATOS_[[Check Equiparado]:[Check Equiparado]]="Sí",IF(DATOS!BH$4="Sí",(1/DATOS_[[% anualiz]:[% anualiz]]),1)*IF(DATOS!BH$5="Sí",1/DATOS_[[% normaliz]:[% normaliz]],1)*(DATOS_[Conc.Sal.30])))))))), 0)</f>
        <v>0</v>
      </c>
      <c r="AN74" s="251" t="n">
        <f aca="false" t="array" ref="AN74:AN74">IFERROR( MEDIAN(IF(DATOS_[Sexo]=$B74,IF(DATOS_[[AGRUP. CLAS. PROF.]:[AGRUP. CLAS. PROF.]]=$B72,IF(DATOS_[Check Equiparado]="Sí",IF(DATOS_[Check Periodo Ref.]="Dentro",DATOS_[Tot COMPL.SAL Eq],0))))), 0)</f>
        <v>0</v>
      </c>
      <c r="AO74" s="252" t="n">
        <f aca="false" t="array" ref="AO74:AO74">IFERROR( MEDIAN(IF(DATOS_[Sexo]=$B74,IF(DATOS_[[AGRUP. CLAS. PROF.]:[AGRUP. CLAS. PROF.]]=$B72,IF(DATOS_[Check Equiparado]="Sí",IF(DATOS_[Check Periodo Ref.]="Dentro",DATOS_[TOTAL SALARIO Eq],0))))), 0)</f>
        <v>0</v>
      </c>
      <c r="AP74" s="259" t="n">
        <f aca="false" t="array" ref="AP74:AP74">IFERROR( (MEDIAN((IF(DATOS_[[Sexo]:[Sexo]]=$B74,IF(DATOS_[[AGRUP. CLAS. PROF.]:[AGRUP. CLAS. PROF.]]=$B73,IF(DATOS_[[Check Periodo Ref.]:[Check Periodo Ref.]]="Dentro",IF(DATOS_[[Check Equiparado]:[Check Equiparado]]="Sí",IF(DATOS!BI$4="Sí",(1/DATOS_[[% anualiz]:[% anualiz]]),1)*IF(DATOS!BI$5="Sí",1/DATOS_[[% normaliz]:[% normaliz]],1)*(DATOS_[C.Extra.01])))))))), 0)</f>
        <v>0</v>
      </c>
      <c r="AQ74" s="259" t="n">
        <f aca="false" t="array" ref="AQ74:AQ74">IFERROR( (MEDIAN((IF(DATOS_[[Sexo]:[Sexo]]=$B74,IF(DATOS_[[AGRUP. CLAS. PROF.]:[AGRUP. CLAS. PROF.]]=$B73,IF(DATOS_[[Check Periodo Ref.]:[Check Periodo Ref.]]="Dentro",IF(DATOS_[[Check Equiparado]:[Check Equiparado]]="Sí",IF(DATOS!BJ$4="Sí",(1/DATOS_[[% anualiz]:[% anualiz]]),1)*IF(DATOS!BJ$5="Sí",1/DATOS_[[% normaliz]:[% normaliz]],1)*(DATOS_[C.Extra.02])))))))), 0)</f>
        <v>0</v>
      </c>
      <c r="AR74" s="259" t="n">
        <f aca="false" t="array" ref="AR74:AR74">IFERROR( (MEDIAN((IF(DATOS_[[Sexo]:[Sexo]]=$B74,IF(DATOS_[[AGRUP. CLAS. PROF.]:[AGRUP. CLAS. PROF.]]=$B73,IF(DATOS_[[Check Periodo Ref.]:[Check Periodo Ref.]]="Dentro",IF(DATOS_[[Check Equiparado]:[Check Equiparado]]="Sí",IF(DATOS!BK$4="Sí",(1/DATOS_[[% anualiz]:[% anualiz]]),1)*IF(DATOS!BK$5="Sí",1/DATOS_[[% normaliz]:[% normaliz]],1)*(DATOS_[C.Extra.03])))))))), 0)</f>
        <v>0</v>
      </c>
      <c r="AS74" s="259" t="n">
        <f aca="false" t="array" ref="AS74:AS74">IFERROR( (MEDIAN((IF(DATOS_[[Sexo]:[Sexo]]=$B74,IF(DATOS_[[AGRUP. CLAS. PROF.]:[AGRUP. CLAS. PROF.]]=$B73,IF(DATOS_[[Check Periodo Ref.]:[Check Periodo Ref.]]="Dentro",IF(DATOS_[[Check Equiparado]:[Check Equiparado]]="Sí",IF(DATOS!BL$4="Sí",(1/DATOS_[[% anualiz]:[% anualiz]]),1)*IF(DATOS!BL$5="Sí",1/DATOS_[[% normaliz]:[% normaliz]],1)*(DATOS_[C.Extra.04])))))))), 0)</f>
        <v>0</v>
      </c>
      <c r="AT74" s="259" t="n">
        <f aca="false" t="array" ref="AT74:AT74">IFERROR( (MEDIAN((IF(DATOS_[[Sexo]:[Sexo]]=$B74,IF(DATOS_[[AGRUP. CLAS. PROF.]:[AGRUP. CLAS. PROF.]]=$B73,IF(DATOS_[[Check Periodo Ref.]:[Check Periodo Ref.]]="Dentro",IF(DATOS_[[Check Equiparado]:[Check Equiparado]]="Sí",IF(DATOS!BM$4="Sí",(1/DATOS_[[% anualiz]:[% anualiz]]),1)*IF(DATOS!BM$5="Sí",1/DATOS_[[% normaliz]:[% normaliz]],1)*(DATOS_[C.Extra.05])))))))), 0)</f>
        <v>0</v>
      </c>
      <c r="AU74" s="254" t="n">
        <f aca="false" t="array" ref="AU74:AU74">IFERROR( MEDIAN(IF(DATOS_[Sexo]=$B74,IF(DATOS_[[AGRUP. CLAS. PROF.]:[AGRUP. CLAS. PROF.]]=$B72,IF(DATOS_[Check Equiparado]="Sí",IF(DATOS_[Check Periodo Ref.]="Dentro",DATOS_[Tot Extrasalarial Eq],0))))), 0)</f>
        <v>0</v>
      </c>
      <c r="AV74" s="255" t="n">
        <f aca="false" t="array" ref="AV74:AV74">IFERROR( MEDIAN(IF(DATOS_[Sexo]=$B74,IF(DATOS_[[AGRUP. CLAS. PROF.]:[AGRUP. CLAS. PROF.]]=$B72,IF(DATOS_[Check Equiparado]="Sí",IF(DATOS_[Check Periodo Ref.]="Dentro",DATOS_[TOTAL Retrib Eq],0))))), 0)</f>
        <v>0</v>
      </c>
    </row>
    <row r="75" customFormat="false" ht="15.75" hidden="false" customHeight="false" outlineLevel="0" collapsed="false">
      <c r="A75" s="217" t="str">
        <f aca="false">+A76</f>
        <v>[ocultar]</v>
      </c>
      <c r="B75" s="320" t="s">
        <v>228</v>
      </c>
      <c r="C75" s="236"/>
      <c r="D75" s="237"/>
      <c r="E75" s="237"/>
      <c r="F75" s="237"/>
      <c r="G75" s="237"/>
      <c r="H75" s="237"/>
      <c r="I75" s="238"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39" t="str">
        <f aca="false">IFERROR((V76-V77)/V76,"")</f>
        <v/>
      </c>
      <c r="W75" s="239" t="str">
        <f aca="false">IFERROR((W76-W77)/W76,"")</f>
        <v/>
      </c>
      <c r="X75" s="239" t="str">
        <f aca="false">IFERROR((X76-X77)/X76,"")</f>
        <v/>
      </c>
      <c r="Y75" s="239"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0" t="str">
        <f aca="false">IFERROR((AJ76-AJ77)/AJ76,"")</f>
        <v/>
      </c>
      <c r="AK75" s="240" t="str">
        <f aca="false">IFERROR((AK76-AK77)/AK76,"")</f>
        <v/>
      </c>
      <c r="AL75" s="240" t="str">
        <f aca="false">IFERROR((AL76-AL77)/AL76,"")</f>
        <v/>
      </c>
      <c r="AM75" s="240" t="str">
        <f aca="false">IFERROR((AM76-AM77)/AM76,"")</f>
        <v/>
      </c>
      <c r="AN75" s="241" t="str">
        <f aca="false">IFERROR((AN76-AN77)/AN76,"")</f>
        <v/>
      </c>
      <c r="AO75" s="242" t="str">
        <f aca="false">IFERROR((AO76-AO77)/AO76,"")</f>
        <v/>
      </c>
      <c r="AP75" s="243" t="str">
        <f aca="false">IFERROR((AP76-AP77)/AP76,"")</f>
        <v/>
      </c>
      <c r="AQ75" s="243" t="str">
        <f aca="false">IFERROR((AQ76-AQ77)/AQ76,"")</f>
        <v/>
      </c>
      <c r="AR75" s="243" t="str">
        <f aca="false">IFERROR((AR76-AR77)/AR76,"")</f>
        <v/>
      </c>
      <c r="AS75" s="243" t="str">
        <f aca="false">IFERROR((AS76-AS77)/AS76,"")</f>
        <v/>
      </c>
      <c r="AT75" s="243" t="str">
        <f aca="false">IFERROR((AT76-AT77)/AT76,"")</f>
        <v/>
      </c>
      <c r="AU75" s="244" t="str">
        <f aca="false">IFERROR((AU76-AU77)/AU76,"")</f>
        <v/>
      </c>
      <c r="AV75" s="245" t="str">
        <f aca="false">IFERROR((AV76-AV77)/AV76,"")</f>
        <v/>
      </c>
    </row>
    <row r="76" customFormat="false" ht="14.25" hidden="false" customHeight="false" outlineLevel="0" collapsed="false">
      <c r="A76" s="217" t="str">
        <f aca="false">+IF(C76+C77=0,"[ocultar]","")</f>
        <v>[ocultar]</v>
      </c>
      <c r="B76" s="323" t="s">
        <v>371</v>
      </c>
      <c r="C76" s="247" t="n">
        <f aca="false" t="array" ref="C76:C76">SUM(IF($B76=DATOS_[Sexo], IF($B75=DATOS_[AGRUP. CLAS. PROF.], IF("Dentro"=DATOS_[Check Periodo Ref.], 1/(COUNTIFS(DATOS_[Sexo],$B76,DATOS_[AGRUP. CLAS. PROF.],$B75,DATOS_[Check Periodo Ref.],"Dentro",DATOS_[id],DATOS_[id]))))))</f>
        <v>0</v>
      </c>
      <c r="D76" s="248" t="n">
        <f aca="false">COUNTIFS(DATOS_[AGRUP. CLAS. PROF.],$B75,DATOS_[Sexo],$B76,DATOS_[Check Periodo Ref.],"Dentro")</f>
        <v>0</v>
      </c>
      <c r="E76" s="248" t="n">
        <f aca="false">COUNTIFS(DATOS_[AGRUP. CLAS. PROF.],$B75,DATOS_[Sexo],$B76,DATOS_[Check Periodo Ref.],"Dentro",DATOS_[Check Nº SC Norm],"Sí")</f>
        <v>0</v>
      </c>
      <c r="F76" s="248" t="n">
        <f aca="false">COUNTIFS(DATOS_[AGRUP. CLAS. PROF.],$B75,DATOS_[Sexo],$B76,DATOS_[Check Periodo Ref.],"Dentro",DATOS_[Check Nº SC Anualiz],"Sí")</f>
        <v>0</v>
      </c>
      <c r="G76" s="248" t="n">
        <f aca="false">COUNTIFS(DATOS_[AGRUP. CLAS. PROF.],$B75,DATOS_[Sexo],$B76,DATOS_[Check Periodo Ref.],"Dentro",DATOS_[Check Nº SC Norm y Anualiz],"Sí")</f>
        <v>0</v>
      </c>
      <c r="H76" s="248" t="n">
        <f aca="false">COUNTIFS(DATOS_[AGRUP. CLAS. PROF.],$B75,DATOS_[Sexo],$B76,DATOS_[Check Periodo Ref.],"Dentro",DATOS_[Check Equiparación],"Sí")</f>
        <v>0</v>
      </c>
      <c r="I76" s="249" t="n">
        <f aca="false" t="array" ref="I76:I76">IFERROR( MEDIAN(IF(DATOS_[Sexo]=$B76,IF(DATOS_[[AGRUP. CLAS. PROF.]:[AGRUP. CLAS. PROF.]]=$B75,IF(DATOS_[Check Equiparado]="Sí",IF(DATOS_[Check Periodo Ref.]="Dentro",DATOS_[SALARIO BASE Eq],0))))), 0)</f>
        <v>0</v>
      </c>
      <c r="J76" s="250" t="n">
        <f aca="false" t="array" ref="J76:J76">IFERROR( (MEDIAN((IF(DATOS_[[Sexo]:[Sexo]]=$B76,IF(DATOS_[[AGRUP. CLAS. PROF.]:[AGRUP. CLAS. PROF.]]=$B75,IF(DATOS_[[Check Periodo Ref.]:[Check Periodo Ref.]]="Dentro",IF(DATOS_[[Check Equiparado]:[Check Equiparado]]="Sí",IF(DATOS!AE$4="Sí",(1/DATOS_[[% anualiz]:[% anualiz]]),1)*IF(DATOS!AE$5="Sí",1/DATOS_[[% normaliz]:[% normaliz]],1)*(DATOS_[Conc.Sal.01])))))))), 0)</f>
        <v>0</v>
      </c>
      <c r="K76" s="250" t="n">
        <f aca="false" t="array" ref="K76:K76">IFERROR( (MEDIAN((IF(DATOS_[[Sexo]:[Sexo]]=$B76,IF(DATOS_[[AGRUP. CLAS. PROF.]:[AGRUP. CLAS. PROF.]]=$B75,IF(DATOS_[[Check Periodo Ref.]:[Check Periodo Ref.]]="Dentro",IF(DATOS_[[Check Equiparado]:[Check Equiparado]]="Sí",IF(DATOS!AF$4="Sí",(1/DATOS_[[% anualiz]:[% anualiz]]),1)*IF(DATOS!AF$5="Sí",1/DATOS_[[% normaliz]:[% normaliz]],1)*(DATOS_[Conc.Sal.02])))))))), 0)</f>
        <v>0</v>
      </c>
      <c r="L76" s="250" t="n">
        <f aca="false" t="array" ref="L76:L76">IFERROR( (MEDIAN((IF(DATOS_[[Sexo]:[Sexo]]=$B76,IF(DATOS_[[AGRUP. CLAS. PROF.]:[AGRUP. CLAS. PROF.]]=$B75,IF(DATOS_[[Check Periodo Ref.]:[Check Periodo Ref.]]="Dentro",IF(DATOS_[[Check Equiparado]:[Check Equiparado]]="Sí",IF(DATOS!AG$4="Sí",(1/DATOS_[[% anualiz]:[% anualiz]]),1)*IF(DATOS!AG$5="Sí",1/DATOS_[[% normaliz]:[% normaliz]],1)*(DATOS_[Conc.Sal.03])))))))), 0)</f>
        <v>0</v>
      </c>
      <c r="M76" s="250" t="n">
        <f aca="false" t="array" ref="M76:M76">IFERROR( (MEDIAN((IF(DATOS_[[Sexo]:[Sexo]]=$B76,IF(DATOS_[[AGRUP. CLAS. PROF.]:[AGRUP. CLAS. PROF.]]=$B75,IF(DATOS_[[Check Periodo Ref.]:[Check Periodo Ref.]]="Dentro",IF(DATOS_[[Check Equiparado]:[Check Equiparado]]="Sí",IF(DATOS!AH$4="Sí",(1/DATOS_[[% anualiz]:[% anualiz]]),1)*IF(DATOS!AH$5="Sí",1/DATOS_[[% normaliz]:[% normaliz]],1)*(DATOS_[Conc.Sal.04])))))))), 0)</f>
        <v>0</v>
      </c>
      <c r="N76" s="250" t="n">
        <f aca="false" t="array" ref="N76:N76">IFERROR( (MEDIAN((IF(DATOS_[[Sexo]:[Sexo]]=$B76,IF(DATOS_[[AGRUP. CLAS. PROF.]:[AGRUP. CLAS. PROF.]]=$B75,IF(DATOS_[[Check Periodo Ref.]:[Check Periodo Ref.]]="Dentro",IF(DATOS_[[Check Equiparado]:[Check Equiparado]]="Sí",IF(DATOS!AI$4="Sí",(1/DATOS_[[% anualiz]:[% anualiz]]),1)*IF(DATOS!AI$5="Sí",1/DATOS_[[% normaliz]:[% normaliz]],1)*(DATOS_[Conc.Sal.05])))))))), 0)</f>
        <v>0</v>
      </c>
      <c r="O76" s="250" t="n">
        <f aca="false" t="array" ref="O76:O76">IFERROR( (MEDIAN((IF(DATOS_[[Sexo]:[Sexo]]=$B76,IF(DATOS_[[AGRUP. CLAS. PROF.]:[AGRUP. CLAS. PROF.]]=$B75,IF(DATOS_[[Check Periodo Ref.]:[Check Periodo Ref.]]="Dentro",IF(DATOS_[[Check Equiparado]:[Check Equiparado]]="Sí",IF(DATOS!AJ$4="Sí",(1/DATOS_[[% anualiz]:[% anualiz]]),1)*IF(DATOS!AJ$5="Sí",1/DATOS_[[% normaliz]:[% normaliz]],1)*(DATOS_[Conc.Sal.06])))))))), 0)</f>
        <v>0</v>
      </c>
      <c r="P76" s="250" t="n">
        <f aca="false" t="array" ref="P76:P76">IFERROR( (MEDIAN((IF(DATOS_[[Sexo]:[Sexo]]=$B76,IF(DATOS_[[AGRUP. CLAS. PROF.]:[AGRUP. CLAS. PROF.]]=$B75,IF(DATOS_[[Check Periodo Ref.]:[Check Periodo Ref.]]="Dentro",IF(DATOS_[[Check Equiparado]:[Check Equiparado]]="Sí",IF(DATOS!AK$4="Sí",(1/DATOS_[[% anualiz]:[% anualiz]]),1)*IF(DATOS!AK$5="Sí",1/DATOS_[[% normaliz]:[% normaliz]],1)*(DATOS_[Conc.Sal.07])))))))), 0)</f>
        <v>0</v>
      </c>
      <c r="Q76" s="250" t="n">
        <f aca="false" t="array" ref="Q76:Q76">IFERROR( (MEDIAN((IF(DATOS_[[Sexo]:[Sexo]]=$B76,IF(DATOS_[[AGRUP. CLAS. PROF.]:[AGRUP. CLAS. PROF.]]=$B75,IF(DATOS_[[Check Periodo Ref.]:[Check Periodo Ref.]]="Dentro",IF(DATOS_[[Check Equiparado]:[Check Equiparado]]="Sí",IF(DATOS!AL$4="Sí",(1/DATOS_[[% anualiz]:[% anualiz]]),1)*IF(DATOS!AL$5="Sí",1/DATOS_[[% normaliz]:[% normaliz]],1)*(DATOS_[Conc.Sal.08])))))))), 0)</f>
        <v>0</v>
      </c>
      <c r="R76" s="250" t="n">
        <f aca="false" t="array" ref="R76:R76">IFERROR( (MEDIAN((IF(DATOS_[[Sexo]:[Sexo]]=$B76,IF(DATOS_[[AGRUP. CLAS. PROF.]:[AGRUP. CLAS. PROF.]]=$B75,IF(DATOS_[[Check Periodo Ref.]:[Check Periodo Ref.]]="Dentro",IF(DATOS_[[Check Equiparado]:[Check Equiparado]]="Sí",IF(DATOS!AM$4="Sí",(1/DATOS_[[% anualiz]:[% anualiz]]),1)*IF(DATOS!AM$5="Sí",1/DATOS_[[% normaliz]:[% normaliz]],1)*(DATOS_[Conc.Sal.09])))))))), 0)</f>
        <v>0</v>
      </c>
      <c r="S76" s="250" t="n">
        <f aca="false" t="array" ref="S76:S76">IFERROR( (MEDIAN((IF(DATOS_[[Sexo]:[Sexo]]=$B76,IF(DATOS_[[AGRUP. CLAS. PROF.]:[AGRUP. CLAS. PROF.]]=$B75,IF(DATOS_[[Check Periodo Ref.]:[Check Periodo Ref.]]="Dentro",IF(DATOS_[[Check Equiparado]:[Check Equiparado]]="Sí",IF(DATOS!AN$4="Sí",(1/DATOS_[[% anualiz]:[% anualiz]]),1)*IF(DATOS!AN$5="Sí",1/DATOS_[[% normaliz]:[% normaliz]],1)*(DATOS_[Conc.Sal.10])))))))), 0)</f>
        <v>0</v>
      </c>
      <c r="T76" s="250" t="n">
        <f aca="false" t="array" ref="T76:T76">IFERROR( (MEDIAN((IF(DATOS_[[Sexo]:[Sexo]]=$B76,IF(DATOS_[[AGRUP. CLAS. PROF.]:[AGRUP. CLAS. PROF.]]=$B75,IF(DATOS_[[Check Periodo Ref.]:[Check Periodo Ref.]]="Dentro",IF(DATOS_[[Check Equiparado]:[Check Equiparado]]="Sí",IF(DATOS!AO$4="Sí",(1/DATOS_[[% anualiz]:[% anualiz]]),1)*IF(DATOS!AO$5="Sí",1/DATOS_[[% normaliz]:[% normaliz]],1)*(DATOS_[Conc.Sal.11])))))))), 0)</f>
        <v>0</v>
      </c>
      <c r="U76" s="250" t="n">
        <f aca="false" t="array" ref="U76:U76">IFERROR( (MEDIAN((IF(DATOS_[[Sexo]:[Sexo]]=$B76,IF(DATOS_[[AGRUP. CLAS. PROF.]:[AGRUP. CLAS. PROF.]]=$B75,IF(DATOS_[[Check Periodo Ref.]:[Check Periodo Ref.]]="Dentro",IF(DATOS_[[Check Equiparado]:[Check Equiparado]]="Sí",IF(DATOS!AP$4="Sí",(1/DATOS_[[% anualiz]:[% anualiz]]),1)*IF(DATOS!AP$5="Sí",1/DATOS_[[% normaliz]:[% normaliz]],1)*(DATOS_[Conc.Sal.12])))))))), 0)</f>
        <v>0</v>
      </c>
      <c r="V76" s="250" t="n">
        <f aca="false" t="array" ref="V76:V76">IFERROR( (MEDIAN((IF(DATOS_[[Sexo]:[Sexo]]=$B76,IF(DATOS_[[AGRUP. CLAS. PROF.]:[AGRUP. CLAS. PROF.]]=$B75,IF(DATOS_[[Check Periodo Ref.]:[Check Periodo Ref.]]="Dentro",IF(DATOS_[[Check Equiparado]:[Check Equiparado]]="Sí",IF(DATOS!AQ$4="Sí",(1/DATOS_[[% anualiz]:[% anualiz]]),1)*IF(DATOS!AQ$5="Sí",1/DATOS_[[% normaliz]:[% normaliz]],1)*(DATOS_[Conc.Sal.13])))))))), 0)</f>
        <v>0</v>
      </c>
      <c r="W76" s="250" t="n">
        <f aca="false" t="array" ref="W76:W76">IFERROR( (MEDIAN((IF(DATOS_[[Sexo]:[Sexo]]=$B76,IF(DATOS_[[AGRUP. CLAS. PROF.]:[AGRUP. CLAS. PROF.]]=$B75,IF(DATOS_[[Check Periodo Ref.]:[Check Periodo Ref.]]="Dentro",IF(DATOS_[[Check Equiparado]:[Check Equiparado]]="Sí",IF(DATOS!AR$4="Sí",(1/DATOS_[[% anualiz]:[% anualiz]]),1)*IF(DATOS!AR$5="Sí",1/DATOS_[[% normaliz]:[% normaliz]],1)*(DATOS_[Conc.Sal.14])))))))), 0)</f>
        <v>0</v>
      </c>
      <c r="X76" s="250" t="n">
        <f aca="false" t="array" ref="X76:X76">IFERROR( (MEDIAN((IF(DATOS_[[Sexo]:[Sexo]]=$B76,IF(DATOS_[[AGRUP. CLAS. PROF.]:[AGRUP. CLAS. PROF.]]=$B75,IF(DATOS_[[Check Periodo Ref.]:[Check Periodo Ref.]]="Dentro",IF(DATOS_[[Check Equiparado]:[Check Equiparado]]="Sí",IF(DATOS!AS$4="Sí",(1/DATOS_[[% anualiz]:[% anualiz]]),1)*IF(DATOS!AS$5="Sí",1/DATOS_[[% normaliz]:[% normaliz]],1)*(DATOS_[Conc.Sal.15])))))))), 0)</f>
        <v>0</v>
      </c>
      <c r="Y76" s="250" t="n">
        <f aca="false" t="array" ref="Y76:Y76">IFERROR( (MEDIAN((IF(DATOS_[[Sexo]:[Sexo]]=$B76,IF(DATOS_[[AGRUP. CLAS. PROF.]:[AGRUP. CLAS. PROF.]]=$B75,IF(DATOS_[[Check Periodo Ref.]:[Check Periodo Ref.]]="Dentro",IF(DATOS_[[Check Equiparado]:[Check Equiparado]]="Sí",IF(DATOS!AT$4="Sí",(1/DATOS_[[% anualiz]:[% anualiz]]),1)*IF(DATOS!AT$5="Sí",1/DATOS_[[% normaliz]:[% normaliz]],1)*(DATOS_[Conc.Sal.16])))))))), 0)</f>
        <v>0</v>
      </c>
      <c r="Z76" s="250" t="n">
        <f aca="false" t="array" ref="Z76:Z76">IFERROR( (MEDIAN((IF(DATOS_[[Sexo]:[Sexo]]=$B76,IF(DATOS_[[AGRUP. CLAS. PROF.]:[AGRUP. CLAS. PROF.]]=$B75,IF(DATOS_[[Check Periodo Ref.]:[Check Periodo Ref.]]="Dentro",IF(DATOS_[[Check Equiparado]:[Check Equiparado]]="Sí",IF(DATOS!AU$4="Sí",(1/DATOS_[[% anualiz]:[% anualiz]]),1)*IF(DATOS!AU$5="Sí",1/DATOS_[[% normaliz]:[% normaliz]],1)*(DATOS_[Conc.Sal.17])))))))), 0)</f>
        <v>0</v>
      </c>
      <c r="AA76" s="250" t="n">
        <f aca="false" t="array" ref="AA76:AA76">IFERROR( (MEDIAN((IF(DATOS_[[Sexo]:[Sexo]]=$B76,IF(DATOS_[[AGRUP. CLAS. PROF.]:[AGRUP. CLAS. PROF.]]=$B75,IF(DATOS_[[Check Periodo Ref.]:[Check Periodo Ref.]]="Dentro",IF(DATOS_[[Check Equiparado]:[Check Equiparado]]="Sí",IF(DATOS!AV$4="Sí",(1/DATOS_[[% anualiz]:[% anualiz]]),1)*IF(DATOS!AV$5="Sí",1/DATOS_[[% normaliz]:[% normaliz]],1)*(DATOS_[Conc.Sal.18])))))))), 0)</f>
        <v>0</v>
      </c>
      <c r="AB76" s="250" t="n">
        <f aca="false" t="array" ref="AB76:AB76">IFERROR( (MEDIAN((IF(DATOS_[[Sexo]:[Sexo]]=$B76,IF(DATOS_[[AGRUP. CLAS. PROF.]:[AGRUP. CLAS. PROF.]]=$B75,IF(DATOS_[[Check Periodo Ref.]:[Check Periodo Ref.]]="Dentro",IF(DATOS_[[Check Equiparado]:[Check Equiparado]]="Sí",IF(DATOS!AW$4="Sí",(1/DATOS_[[% anualiz]:[% anualiz]]),1)*IF(DATOS!AW$5="Sí",1/DATOS_[[% normaliz]:[% normaliz]],1)*(DATOS_[Conc.Sal.19])))))))), 0)</f>
        <v>0</v>
      </c>
      <c r="AC76" s="250" t="n">
        <f aca="false" t="array" ref="AC76:AC76">IFERROR( (MEDIAN((IF(DATOS_[[Sexo]:[Sexo]]=$B76,IF(DATOS_[[AGRUP. CLAS. PROF.]:[AGRUP. CLAS. PROF.]]=$B75,IF(DATOS_[[Check Periodo Ref.]:[Check Periodo Ref.]]="Dentro",IF(DATOS_[[Check Equiparado]:[Check Equiparado]]="Sí",IF(DATOS!AX$4="Sí",(1/DATOS_[[% anualiz]:[% anualiz]]),1)*IF(DATOS!AX$5="Sí",1/DATOS_[[% normaliz]:[% normaliz]],1)*(DATOS_[Conc.Sal.20])))))))), 0)</f>
        <v>0</v>
      </c>
      <c r="AD76" s="250" t="n">
        <f aca="false" t="array" ref="AD76:AD76">IFERROR( (MEDIAN((IF(DATOS_[[Sexo]:[Sexo]]=$B76,IF(DATOS_[[AGRUP. CLAS. PROF.]:[AGRUP. CLAS. PROF.]]=$B75,IF(DATOS_[[Check Periodo Ref.]:[Check Periodo Ref.]]="Dentro",IF(DATOS_[[Check Equiparado]:[Check Equiparado]]="Sí",IF(DATOS!AY$4="Sí",(1/DATOS_[[% anualiz]:[% anualiz]]),1)*IF(DATOS!AY$5="Sí",1/DATOS_[[% normaliz]:[% normaliz]],1)*(DATOS_[Conc.Sal.21])))))))), 0)</f>
        <v>0</v>
      </c>
      <c r="AE76" s="250" t="n">
        <f aca="false" t="array" ref="AE76:AE76">IFERROR( (MEDIAN((IF(DATOS_[[Sexo]:[Sexo]]=$B76,IF(DATOS_[[AGRUP. CLAS. PROF.]:[AGRUP. CLAS. PROF.]]=$B75,IF(DATOS_[[Check Periodo Ref.]:[Check Periodo Ref.]]="Dentro",IF(DATOS_[[Check Equiparado]:[Check Equiparado]]="Sí",IF(DATOS!AZ$4="Sí",(1/DATOS_[[% anualiz]:[% anualiz]]),1)*IF(DATOS!AZ$5="Sí",1/DATOS_[[% normaliz]:[% normaliz]],1)*(DATOS_[Conc.Sal.22])))))))), 0)</f>
        <v>0</v>
      </c>
      <c r="AF76" s="250" t="n">
        <f aca="false" t="array" ref="AF76:AF76">IFERROR( (MEDIAN((IF(DATOS_[[Sexo]:[Sexo]]=$B76,IF(DATOS_[[AGRUP. CLAS. PROF.]:[AGRUP. CLAS. PROF.]]=$B75,IF(DATOS_[[Check Periodo Ref.]:[Check Periodo Ref.]]="Dentro",IF(DATOS_[[Check Equiparado]:[Check Equiparado]]="Sí",IF(DATOS!BA$4="Sí",(1/DATOS_[[% anualiz]:[% anualiz]]),1)*IF(DATOS!BA$5="Sí",1/DATOS_[[% normaliz]:[% normaliz]],1)*(DATOS_[Conc.Sal.23])))))))), 0)</f>
        <v>0</v>
      </c>
      <c r="AG76" s="250" t="n">
        <f aca="false" t="array" ref="AG76:AG76">IFERROR( (MEDIAN((IF(DATOS_[[Sexo]:[Sexo]]=$B76,IF(DATOS_[[AGRUP. CLAS. PROF.]:[AGRUP. CLAS. PROF.]]=$B75,IF(DATOS_[[Check Periodo Ref.]:[Check Periodo Ref.]]="Dentro",IF(DATOS_[[Check Equiparado]:[Check Equiparado]]="Sí",IF(DATOS!BB$4="Sí",(1/DATOS_[[% anualiz]:[% anualiz]]),1)*IF(DATOS!BB$5="Sí",1/DATOS_[[% normaliz]:[% normaliz]],1)*(DATOS_[Conc.Sal.24])))))))), 0)</f>
        <v>0</v>
      </c>
      <c r="AH76" s="250" t="n">
        <f aca="false" t="array" ref="AH76:AH76">IFERROR( (MEDIAN((IF(DATOS_[[Sexo]:[Sexo]]=$B76,IF(DATOS_[[AGRUP. CLAS. PROF.]:[AGRUP. CLAS. PROF.]]=$B75,IF(DATOS_[[Check Periodo Ref.]:[Check Periodo Ref.]]="Dentro",IF(DATOS_[[Check Equiparado]:[Check Equiparado]]="Sí",IF(DATOS!BC$4="Sí",(1/DATOS_[[% anualiz]:[% anualiz]]),1)*IF(DATOS!BC$5="Sí",1/DATOS_[[% normaliz]:[% normaliz]],1)*(DATOS_[Conc.Sal.25])))))))), 0)</f>
        <v>0</v>
      </c>
      <c r="AI76" s="250" t="n">
        <f aca="false" t="array" ref="AI76:AI76">IFERROR( (MEDIAN((IF(DATOS_[[Sexo]:[Sexo]]=$B76,IF(DATOS_[[AGRUP. CLAS. PROF.]:[AGRUP. CLAS. PROF.]]=$B75,IF(DATOS_[[Check Periodo Ref.]:[Check Periodo Ref.]]="Dentro",IF(DATOS_[[Check Equiparado]:[Check Equiparado]]="Sí",IF(DATOS!BD$4="Sí",(1/DATOS_[[% anualiz]:[% anualiz]]),1)*IF(DATOS!BD$5="Sí",1/DATOS_[[% normaliz]:[% normaliz]],1)*(DATOS_[Conc.Sal.26])))))))), 0)</f>
        <v>0</v>
      </c>
      <c r="AJ76" s="250" t="n">
        <f aca="false" t="array" ref="AJ76:AJ76">IFERROR( (MEDIAN((IF(DATOS_[[Sexo]:[Sexo]]=$B76,IF(DATOS_[[AGRUP. CLAS. PROF.]:[AGRUP. CLAS. PROF.]]=$B75,IF(DATOS_[[Check Periodo Ref.]:[Check Periodo Ref.]]="Dentro",IF(DATOS_[[Check Equiparado]:[Check Equiparado]]="Sí",IF(DATOS!BE$4="Sí",(1/DATOS_[[% anualiz]:[% anualiz]]),1)*IF(DATOS!BE$5="Sí",1/DATOS_[[% normaliz]:[% normaliz]],1)*(DATOS_[Conc.Sal.27])))))))), 0)</f>
        <v>0</v>
      </c>
      <c r="AK76" s="250" t="n">
        <f aca="false" t="array" ref="AK76:AK76">IFERROR( (MEDIAN((IF(DATOS_[[Sexo]:[Sexo]]=$B76,IF(DATOS_[[AGRUP. CLAS. PROF.]:[AGRUP. CLAS. PROF.]]=$B75,IF(DATOS_[[Check Periodo Ref.]:[Check Periodo Ref.]]="Dentro",IF(DATOS_[[Check Equiparado]:[Check Equiparado]]="Sí",IF(DATOS!BF$4="Sí",(1/DATOS_[[% anualiz]:[% anualiz]]),1)*IF(DATOS!BF$5="Sí",1/DATOS_[[% normaliz]:[% normaliz]],1)*(DATOS_[Conc.Sal.28])))))))), 0)</f>
        <v>0</v>
      </c>
      <c r="AL76" s="250" t="n">
        <f aca="false" t="array" ref="AL76:AL76">IFERROR( (MEDIAN((IF(DATOS_[[Sexo]:[Sexo]]=$B76,IF(DATOS_[[AGRUP. CLAS. PROF.]:[AGRUP. CLAS. PROF.]]=$B75,IF(DATOS_[[Check Periodo Ref.]:[Check Periodo Ref.]]="Dentro",IF(DATOS_[[Check Equiparado]:[Check Equiparado]]="Sí",IF(DATOS!BG$4="Sí",(1/DATOS_[[% anualiz]:[% anualiz]]),1)*IF(DATOS!BG$5="Sí",1/DATOS_[[% normaliz]:[% normaliz]],1)*(DATOS_[Conc.Sal.29])))))))), 0)</f>
        <v>0</v>
      </c>
      <c r="AM76" s="250" t="n">
        <f aca="false" t="array" ref="AM76:AM76">IFERROR( (MEDIAN((IF(DATOS_[[Sexo]:[Sexo]]=$B76,IF(DATOS_[[AGRUP. CLAS. PROF.]:[AGRUP. CLAS. PROF.]]=$B75,IF(DATOS_[[Check Periodo Ref.]:[Check Periodo Ref.]]="Dentro",IF(DATOS_[[Check Equiparado]:[Check Equiparado]]="Sí",IF(DATOS!BH$4="Sí",(1/DATOS_[[% anualiz]:[% anualiz]]),1)*IF(DATOS!BH$5="Sí",1/DATOS_[[% normaliz]:[% normaliz]],1)*(DATOS_[Conc.Sal.30])))))))), 0)</f>
        <v>0</v>
      </c>
      <c r="AN76" s="251" t="n">
        <f aca="false" t="array" ref="AN76:AN76">IFERROR( MEDIAN(IF(DATOS_[Sexo]=$B76,IF(DATOS_[[AGRUP. CLAS. PROF.]:[AGRUP. CLAS. PROF.]]=$B75,IF(DATOS_[Check Equiparado]="Sí",IF(DATOS_[Check Periodo Ref.]="Dentro",DATOS_[Tot COMPL.SAL Eq],0))))), 0)</f>
        <v>0</v>
      </c>
      <c r="AO76" s="252" t="n">
        <f aca="false" t="array" ref="AO76:AO76">IFERROR( MEDIAN(IF(DATOS_[Sexo]=$B76,IF(DATOS_[[AGRUP. CLAS. PROF.]:[AGRUP. CLAS. PROF.]]=$B75,IF(DATOS_[Check Equiparado]="Sí",IF(DATOS_[Check Periodo Ref.]="Dentro",DATOS_[TOTAL SALARIO Eq],0))))), 0)</f>
        <v>0</v>
      </c>
      <c r="AP76" s="259" t="n">
        <f aca="false" t="array" ref="AP76:AP76">IFERROR( (MEDIAN((IF(DATOS_[[Sexo]:[Sexo]]=$B76,IF(DATOS_[[AGRUP. CLAS. PROF.]:[AGRUP. CLAS. PROF.]]=$B75,IF(DATOS_[[Check Periodo Ref.]:[Check Periodo Ref.]]="Dentro",IF(DATOS_[[Check Equiparado]:[Check Equiparado]]="Sí",IF(DATOS!BI$4="Sí",(1/DATOS_[[% anualiz]:[% anualiz]]),1)*IF(DATOS!BI$5="Sí",1/DATOS_[[% normaliz]:[% normaliz]],1)*(DATOS_[C.Extra.01])))))))), 0)</f>
        <v>0</v>
      </c>
      <c r="AQ76" s="259" t="n">
        <f aca="false" t="array" ref="AQ76:AQ76">IFERROR( (MEDIAN((IF(DATOS_[[Sexo]:[Sexo]]=$B76,IF(DATOS_[[AGRUP. CLAS. PROF.]:[AGRUP. CLAS. PROF.]]=$B75,IF(DATOS_[[Check Periodo Ref.]:[Check Periodo Ref.]]="Dentro",IF(DATOS_[[Check Equiparado]:[Check Equiparado]]="Sí",IF(DATOS!BJ$4="Sí",(1/DATOS_[[% anualiz]:[% anualiz]]),1)*IF(DATOS!BJ$5="Sí",1/DATOS_[[% normaliz]:[% normaliz]],1)*(DATOS_[C.Extra.02])))))))), 0)</f>
        <v>0</v>
      </c>
      <c r="AR76" s="259" t="n">
        <f aca="false" t="array" ref="AR76:AR76">IFERROR( (MEDIAN((IF(DATOS_[[Sexo]:[Sexo]]=$B76,IF(DATOS_[[AGRUP. CLAS. PROF.]:[AGRUP. CLAS. PROF.]]=$B75,IF(DATOS_[[Check Periodo Ref.]:[Check Periodo Ref.]]="Dentro",IF(DATOS_[[Check Equiparado]:[Check Equiparado]]="Sí",IF(DATOS!BK$4="Sí",(1/DATOS_[[% anualiz]:[% anualiz]]),1)*IF(DATOS!BK$5="Sí",1/DATOS_[[% normaliz]:[% normaliz]],1)*(DATOS_[C.Extra.03])))))))), 0)</f>
        <v>0</v>
      </c>
      <c r="AS76" s="259" t="n">
        <f aca="false" t="array" ref="AS76:AS76">IFERROR( (MEDIAN((IF(DATOS_[[Sexo]:[Sexo]]=$B76,IF(DATOS_[[AGRUP. CLAS. PROF.]:[AGRUP. CLAS. PROF.]]=$B75,IF(DATOS_[[Check Periodo Ref.]:[Check Periodo Ref.]]="Dentro",IF(DATOS_[[Check Equiparado]:[Check Equiparado]]="Sí",IF(DATOS!BL$4="Sí",(1/DATOS_[[% anualiz]:[% anualiz]]),1)*IF(DATOS!BL$5="Sí",1/DATOS_[[% normaliz]:[% normaliz]],1)*(DATOS_[C.Extra.04])))))))), 0)</f>
        <v>0</v>
      </c>
      <c r="AT76" s="259" t="n">
        <f aca="false" t="array" ref="AT76:AT76">IFERROR( (MEDIAN((IF(DATOS_[[Sexo]:[Sexo]]=$B76,IF(DATOS_[[AGRUP. CLAS. PROF.]:[AGRUP. CLAS. PROF.]]=$B75,IF(DATOS_[[Check Periodo Ref.]:[Check Periodo Ref.]]="Dentro",IF(DATOS_[[Check Equiparado]:[Check Equiparado]]="Sí",IF(DATOS!BM$4="Sí",(1/DATOS_[[% anualiz]:[% anualiz]]),1)*IF(DATOS!BM$5="Sí",1/DATOS_[[% normaliz]:[% normaliz]],1)*(DATOS_[C.Extra.05])))))))), 0)</f>
        <v>0</v>
      </c>
      <c r="AU76" s="254" t="n">
        <f aca="false" t="array" ref="AU76:AU76">IFERROR( MEDIAN(IF(DATOS_[Sexo]=$B76,IF(DATOS_[[AGRUP. CLAS. PROF.]:[AGRUP. CLAS. PROF.]]=$B75,IF(DATOS_[Check Equiparado]="Sí",IF(DATOS_[Check Periodo Ref.]="Dentro",DATOS_[Tot Extrasalarial Eq],0))))), 0)</f>
        <v>0</v>
      </c>
      <c r="AV76" s="255" t="n">
        <f aca="false" t="array" ref="AV76:AV76">IFERROR( MEDIAN(IF(DATOS_[Sexo]=$B76,IF(DATOS_[[AGRUP. CLAS. PROF.]:[AGRUP. CLAS. PROF.]]=$B75,IF(DATOS_[Check Equiparado]="Sí",IF(DATOS_[Check Periodo Ref.]="Dentro",DATOS_[TOTAL Retrib Eq],0))))), 0)</f>
        <v>0</v>
      </c>
    </row>
    <row r="77" customFormat="false" ht="14.25" hidden="false" customHeight="false" outlineLevel="0" collapsed="false">
      <c r="A77" s="217" t="str">
        <f aca="false">+A76</f>
        <v>[ocultar]</v>
      </c>
      <c r="B77" s="323" t="s">
        <v>372</v>
      </c>
      <c r="C77" s="247" t="n">
        <f aca="false" t="array" ref="C77:C77">SUM(IF($B77=DATOS_[Sexo], IF($B75=DATOS_[AGRUP. CLAS. PROF.], IF("Dentro"=DATOS_[Check Periodo Ref.], 1/(COUNTIFS(DATOS_[Sexo],$B77,DATOS_[AGRUP. CLAS. PROF.],$B75,DATOS_[Check Periodo Ref.],"Dentro",DATOS_[id],DATOS_[id]))))))</f>
        <v>0</v>
      </c>
      <c r="D77" s="248" t="n">
        <f aca="false">COUNTIFS(DATOS_[AGRUP. CLAS. PROF.],$B75,DATOS_[Sexo],$B77,DATOS_[Check Periodo Ref.],"Dentro")</f>
        <v>0</v>
      </c>
      <c r="E77" s="248" t="n">
        <f aca="false">COUNTIFS(DATOS_[AGRUP. CLAS. PROF.],$B75,DATOS_[Sexo],$B77,DATOS_[Check Periodo Ref.],"Dentro",DATOS_[Check Nº SC Norm],"Sí")</f>
        <v>0</v>
      </c>
      <c r="F77" s="248" t="n">
        <f aca="false">COUNTIFS(DATOS_[AGRUP. CLAS. PROF.],$B75,DATOS_[Sexo],$B77,DATOS_[Check Periodo Ref.],"Dentro",DATOS_[Check Nº SC Anualiz],"Sí")</f>
        <v>0</v>
      </c>
      <c r="G77" s="248" t="n">
        <f aca="false">COUNTIFS(DATOS_[AGRUP. CLAS. PROF.],$B75,DATOS_[Sexo],$B77,DATOS_[Check Periodo Ref.],"Dentro",DATOS_[Check Nº SC Norm y Anualiz],"Sí")</f>
        <v>0</v>
      </c>
      <c r="H77" s="248" t="n">
        <f aca="false">COUNTIFS(DATOS_[AGRUP. CLAS. PROF.],$B75,DATOS_[Sexo],$B77,DATOS_[Check Periodo Ref.],"Dentro",DATOS_[Check Equiparación],"Sí")</f>
        <v>0</v>
      </c>
      <c r="I77" s="249" t="n">
        <f aca="false" t="array" ref="I77:I77">IFERROR( MEDIAN(IF(DATOS_[Sexo]=$B77,IF(DATOS_[[AGRUP. CLAS. PROF.]:[AGRUP. CLAS. PROF.]]=$B75,IF(DATOS_[Check Equiparado]="Sí",IF(DATOS_[Check Periodo Ref.]="Dentro",DATOS_[SALARIO BASE Eq],0))))), 0)</f>
        <v>0</v>
      </c>
      <c r="J77" s="250" t="n">
        <f aca="false" t="array" ref="J77:J77">IFERROR( (MEDIAN((IF(DATOS_[[Sexo]:[Sexo]]=$B77,IF(DATOS_[[AGRUP. CLAS. PROF.]:[AGRUP. CLAS. PROF.]]=$B75,IF(DATOS_[[Check Periodo Ref.]:[Check Periodo Ref.]]="Dentro",IF(DATOS_[[Check Equiparado]:[Check Equiparado]]="Sí",IF(DATOS!AE$4="Sí",(1/DATOS_[[% anualiz]:[% anualiz]]),1)*IF(DATOS!AE$5="Sí",1/DATOS_[[% normaliz]:[% normaliz]],1)*(DATOS_[Conc.Sal.01])))))))), 0)</f>
        <v>0</v>
      </c>
      <c r="K77" s="250" t="n">
        <f aca="false" t="array" ref="K77:K77">IFERROR( (MEDIAN((IF(DATOS_[[Sexo]:[Sexo]]=$B77,IF(DATOS_[[AGRUP. CLAS. PROF.]:[AGRUP. CLAS. PROF.]]=$B75,IF(DATOS_[[Check Periodo Ref.]:[Check Periodo Ref.]]="Dentro",IF(DATOS_[[Check Equiparado]:[Check Equiparado]]="Sí",IF(DATOS!AF$4="Sí",(1/DATOS_[[% anualiz]:[% anualiz]]),1)*IF(DATOS!AF$5="Sí",1/DATOS_[[% normaliz]:[% normaliz]],1)*(DATOS_[Conc.Sal.02])))))))), 0)</f>
        <v>0</v>
      </c>
      <c r="L77" s="250" t="n">
        <f aca="false" t="array" ref="L77:L77">IFERROR( (MEDIAN((IF(DATOS_[[Sexo]:[Sexo]]=$B77,IF(DATOS_[[AGRUP. CLAS. PROF.]:[AGRUP. CLAS. PROF.]]=$B75,IF(DATOS_[[Check Periodo Ref.]:[Check Periodo Ref.]]="Dentro",IF(DATOS_[[Check Equiparado]:[Check Equiparado]]="Sí",IF(DATOS!AG$4="Sí",(1/DATOS_[[% anualiz]:[% anualiz]]),1)*IF(DATOS!AG$5="Sí",1/DATOS_[[% normaliz]:[% normaliz]],1)*(DATOS_[Conc.Sal.03])))))))), 0)</f>
        <v>0</v>
      </c>
      <c r="M77" s="250" t="n">
        <f aca="false" t="array" ref="M77:M77">IFERROR( (MEDIAN((IF(DATOS_[[Sexo]:[Sexo]]=$B77,IF(DATOS_[[AGRUP. CLAS. PROF.]:[AGRUP. CLAS. PROF.]]=$B75,IF(DATOS_[[Check Periodo Ref.]:[Check Periodo Ref.]]="Dentro",IF(DATOS_[[Check Equiparado]:[Check Equiparado]]="Sí",IF(DATOS!AH$4="Sí",(1/DATOS_[[% anualiz]:[% anualiz]]),1)*IF(DATOS!AH$5="Sí",1/DATOS_[[% normaliz]:[% normaliz]],1)*(DATOS_[Conc.Sal.04])))))))), 0)</f>
        <v>0</v>
      </c>
      <c r="N77" s="250" t="n">
        <f aca="false" t="array" ref="N77:N77">IFERROR( (MEDIAN((IF(DATOS_[[Sexo]:[Sexo]]=$B77,IF(DATOS_[[AGRUP. CLAS. PROF.]:[AGRUP. CLAS. PROF.]]=$B75,IF(DATOS_[[Check Periodo Ref.]:[Check Periodo Ref.]]="Dentro",IF(DATOS_[[Check Equiparado]:[Check Equiparado]]="Sí",IF(DATOS!AI$4="Sí",(1/DATOS_[[% anualiz]:[% anualiz]]),1)*IF(DATOS!AI$5="Sí",1/DATOS_[[% normaliz]:[% normaliz]],1)*(DATOS_[Conc.Sal.05])))))))), 0)</f>
        <v>0</v>
      </c>
      <c r="O77" s="250" t="n">
        <f aca="false" t="array" ref="O77:O77">IFERROR( (MEDIAN((IF(DATOS_[[Sexo]:[Sexo]]=$B77,IF(DATOS_[[AGRUP. CLAS. PROF.]:[AGRUP. CLAS. PROF.]]=$B75,IF(DATOS_[[Check Periodo Ref.]:[Check Periodo Ref.]]="Dentro",IF(DATOS_[[Check Equiparado]:[Check Equiparado]]="Sí",IF(DATOS!AJ$4="Sí",(1/DATOS_[[% anualiz]:[% anualiz]]),1)*IF(DATOS!AJ$5="Sí",1/DATOS_[[% normaliz]:[% normaliz]],1)*(DATOS_[Conc.Sal.06])))))))), 0)</f>
        <v>0</v>
      </c>
      <c r="P77" s="250" t="n">
        <f aca="false" t="array" ref="P77:P77">IFERROR( (MEDIAN((IF(DATOS_[[Sexo]:[Sexo]]=$B77,IF(DATOS_[[AGRUP. CLAS. PROF.]:[AGRUP. CLAS. PROF.]]=$B75,IF(DATOS_[[Check Periodo Ref.]:[Check Periodo Ref.]]="Dentro",IF(DATOS_[[Check Equiparado]:[Check Equiparado]]="Sí",IF(DATOS!AK$4="Sí",(1/DATOS_[[% anualiz]:[% anualiz]]),1)*IF(DATOS!AK$5="Sí",1/DATOS_[[% normaliz]:[% normaliz]],1)*(DATOS_[Conc.Sal.07])))))))), 0)</f>
        <v>0</v>
      </c>
      <c r="Q77" s="250" t="n">
        <f aca="false" t="array" ref="Q77:Q77">IFERROR( (MEDIAN((IF(DATOS_[[Sexo]:[Sexo]]=$B77,IF(DATOS_[[AGRUP. CLAS. PROF.]:[AGRUP. CLAS. PROF.]]=$B75,IF(DATOS_[[Check Periodo Ref.]:[Check Periodo Ref.]]="Dentro",IF(DATOS_[[Check Equiparado]:[Check Equiparado]]="Sí",IF(DATOS!AL$4="Sí",(1/DATOS_[[% anualiz]:[% anualiz]]),1)*IF(DATOS!AL$5="Sí",1/DATOS_[[% normaliz]:[% normaliz]],1)*(DATOS_[Conc.Sal.08])))))))), 0)</f>
        <v>0</v>
      </c>
      <c r="R77" s="250" t="n">
        <f aca="false" t="array" ref="R77:R77">IFERROR( (MEDIAN((IF(DATOS_[[Sexo]:[Sexo]]=$B77,IF(DATOS_[[AGRUP. CLAS. PROF.]:[AGRUP. CLAS. PROF.]]=$B75,IF(DATOS_[[Check Periodo Ref.]:[Check Periodo Ref.]]="Dentro",IF(DATOS_[[Check Equiparado]:[Check Equiparado]]="Sí",IF(DATOS!AM$4="Sí",(1/DATOS_[[% anualiz]:[% anualiz]]),1)*IF(DATOS!AM$5="Sí",1/DATOS_[[% normaliz]:[% normaliz]],1)*(DATOS_[Conc.Sal.09])))))))), 0)</f>
        <v>0</v>
      </c>
      <c r="S77" s="250" t="n">
        <f aca="false" t="array" ref="S77:S77">IFERROR( (MEDIAN((IF(DATOS_[[Sexo]:[Sexo]]=$B77,IF(DATOS_[[AGRUP. CLAS. PROF.]:[AGRUP. CLAS. PROF.]]=$B75,IF(DATOS_[[Check Periodo Ref.]:[Check Periodo Ref.]]="Dentro",IF(DATOS_[[Check Equiparado]:[Check Equiparado]]="Sí",IF(DATOS!AN$4="Sí",(1/DATOS_[[% anualiz]:[% anualiz]]),1)*IF(DATOS!AN$5="Sí",1/DATOS_[[% normaliz]:[% normaliz]],1)*(DATOS_[Conc.Sal.10])))))))), 0)</f>
        <v>0</v>
      </c>
      <c r="T77" s="250" t="n">
        <f aca="false" t="array" ref="T77:T77">IFERROR( (MEDIAN((IF(DATOS_[[Sexo]:[Sexo]]=$B77,IF(DATOS_[[AGRUP. CLAS. PROF.]:[AGRUP. CLAS. PROF.]]=$B75,IF(DATOS_[[Check Periodo Ref.]:[Check Periodo Ref.]]="Dentro",IF(DATOS_[[Check Equiparado]:[Check Equiparado]]="Sí",IF(DATOS!AO$4="Sí",(1/DATOS_[[% anualiz]:[% anualiz]]),1)*IF(DATOS!AO$5="Sí",1/DATOS_[[% normaliz]:[% normaliz]],1)*(DATOS_[Conc.Sal.11])))))))), 0)</f>
        <v>0</v>
      </c>
      <c r="U77" s="250" t="n">
        <f aca="false" t="array" ref="U77:U77">IFERROR( (MEDIAN((IF(DATOS_[[Sexo]:[Sexo]]=$B77,IF(DATOS_[[AGRUP. CLAS. PROF.]:[AGRUP. CLAS. PROF.]]=$B75,IF(DATOS_[[Check Periodo Ref.]:[Check Periodo Ref.]]="Dentro",IF(DATOS_[[Check Equiparado]:[Check Equiparado]]="Sí",IF(DATOS!AP$4="Sí",(1/DATOS_[[% anualiz]:[% anualiz]]),1)*IF(DATOS!AP$5="Sí",1/DATOS_[[% normaliz]:[% normaliz]],1)*(DATOS_[Conc.Sal.12])))))))), 0)</f>
        <v>0</v>
      </c>
      <c r="V77" s="250" t="n">
        <f aca="false" t="array" ref="V77:V77">IFERROR( (MEDIAN((IF(DATOS_[[Sexo]:[Sexo]]=$B77,IF(DATOS_[[AGRUP. CLAS. PROF.]:[AGRUP. CLAS. PROF.]]=$B75,IF(DATOS_[[Check Periodo Ref.]:[Check Periodo Ref.]]="Dentro",IF(DATOS_[[Check Equiparado]:[Check Equiparado]]="Sí",IF(DATOS!AQ$4="Sí",(1/DATOS_[[% anualiz]:[% anualiz]]),1)*IF(DATOS!AQ$5="Sí",1/DATOS_[[% normaliz]:[% normaliz]],1)*(DATOS_[Conc.Sal.13])))))))), 0)</f>
        <v>0</v>
      </c>
      <c r="W77" s="250" t="n">
        <f aca="false" t="array" ref="W77:W77">IFERROR( (MEDIAN((IF(DATOS_[[Sexo]:[Sexo]]=$B77,IF(DATOS_[[AGRUP. CLAS. PROF.]:[AGRUP. CLAS. PROF.]]=$B75,IF(DATOS_[[Check Periodo Ref.]:[Check Periodo Ref.]]="Dentro",IF(DATOS_[[Check Equiparado]:[Check Equiparado]]="Sí",IF(DATOS!AR$4="Sí",(1/DATOS_[[% anualiz]:[% anualiz]]),1)*IF(DATOS!AR$5="Sí",1/DATOS_[[% normaliz]:[% normaliz]],1)*(DATOS_[Conc.Sal.14])))))))), 0)</f>
        <v>0</v>
      </c>
      <c r="X77" s="250" t="n">
        <f aca="false" t="array" ref="X77:X77">IFERROR( (MEDIAN((IF(DATOS_[[Sexo]:[Sexo]]=$B77,IF(DATOS_[[AGRUP. CLAS. PROF.]:[AGRUP. CLAS. PROF.]]=$B75,IF(DATOS_[[Check Periodo Ref.]:[Check Periodo Ref.]]="Dentro",IF(DATOS_[[Check Equiparado]:[Check Equiparado]]="Sí",IF(DATOS!AS$4="Sí",(1/DATOS_[[% anualiz]:[% anualiz]]),1)*IF(DATOS!AS$5="Sí",1/DATOS_[[% normaliz]:[% normaliz]],1)*(DATOS_[Conc.Sal.15])))))))), 0)</f>
        <v>0</v>
      </c>
      <c r="Y77" s="250" t="n">
        <f aca="false" t="array" ref="Y77:Y77">IFERROR( (MEDIAN((IF(DATOS_[[Sexo]:[Sexo]]=$B77,IF(DATOS_[[AGRUP. CLAS. PROF.]:[AGRUP. CLAS. PROF.]]=$B75,IF(DATOS_[[Check Periodo Ref.]:[Check Periodo Ref.]]="Dentro",IF(DATOS_[[Check Equiparado]:[Check Equiparado]]="Sí",IF(DATOS!AT$4="Sí",(1/DATOS_[[% anualiz]:[% anualiz]]),1)*IF(DATOS!AT$5="Sí",1/DATOS_[[% normaliz]:[% normaliz]],1)*(DATOS_[Conc.Sal.16])))))))), 0)</f>
        <v>0</v>
      </c>
      <c r="Z77" s="250" t="n">
        <f aca="false" t="array" ref="Z77:Z77">IFERROR( (MEDIAN((IF(DATOS_[[Sexo]:[Sexo]]=$B77,IF(DATOS_[[AGRUP. CLAS. PROF.]:[AGRUP. CLAS. PROF.]]=$B75,IF(DATOS_[[Check Periodo Ref.]:[Check Periodo Ref.]]="Dentro",IF(DATOS_[[Check Equiparado]:[Check Equiparado]]="Sí",IF(DATOS!AU$4="Sí",(1/DATOS_[[% anualiz]:[% anualiz]]),1)*IF(DATOS!AU$5="Sí",1/DATOS_[[% normaliz]:[% normaliz]],1)*(DATOS_[Conc.Sal.17])))))))), 0)</f>
        <v>0</v>
      </c>
      <c r="AA77" s="250" t="n">
        <f aca="false" t="array" ref="AA77:AA77">IFERROR( (MEDIAN((IF(DATOS_[[Sexo]:[Sexo]]=$B77,IF(DATOS_[[AGRUP. CLAS. PROF.]:[AGRUP. CLAS. PROF.]]=$B75,IF(DATOS_[[Check Periodo Ref.]:[Check Periodo Ref.]]="Dentro",IF(DATOS_[[Check Equiparado]:[Check Equiparado]]="Sí",IF(DATOS!AV$4="Sí",(1/DATOS_[[% anualiz]:[% anualiz]]),1)*IF(DATOS!AV$5="Sí",1/DATOS_[[% normaliz]:[% normaliz]],1)*(DATOS_[Conc.Sal.18])))))))), 0)</f>
        <v>0</v>
      </c>
      <c r="AB77" s="250" t="n">
        <f aca="false" t="array" ref="AB77:AB77">IFERROR( (MEDIAN((IF(DATOS_[[Sexo]:[Sexo]]=$B77,IF(DATOS_[[AGRUP. CLAS. PROF.]:[AGRUP. CLAS. PROF.]]=$B75,IF(DATOS_[[Check Periodo Ref.]:[Check Periodo Ref.]]="Dentro",IF(DATOS_[[Check Equiparado]:[Check Equiparado]]="Sí",IF(DATOS!AW$4="Sí",(1/DATOS_[[% anualiz]:[% anualiz]]),1)*IF(DATOS!AW$5="Sí",1/DATOS_[[% normaliz]:[% normaliz]],1)*(DATOS_[Conc.Sal.19])))))))), 0)</f>
        <v>0</v>
      </c>
      <c r="AC77" s="250" t="n">
        <f aca="false" t="array" ref="AC77:AC77">IFERROR( (MEDIAN((IF(DATOS_[[Sexo]:[Sexo]]=$B77,IF(DATOS_[[AGRUP. CLAS. PROF.]:[AGRUP. CLAS. PROF.]]=$B75,IF(DATOS_[[Check Periodo Ref.]:[Check Periodo Ref.]]="Dentro",IF(DATOS_[[Check Equiparado]:[Check Equiparado]]="Sí",IF(DATOS!AX$4="Sí",(1/DATOS_[[% anualiz]:[% anualiz]]),1)*IF(DATOS!AX$5="Sí",1/DATOS_[[% normaliz]:[% normaliz]],1)*(DATOS_[Conc.Sal.20])))))))), 0)</f>
        <v>0</v>
      </c>
      <c r="AD77" s="250" t="n">
        <f aca="false" t="array" ref="AD77:AD77">IFERROR( (MEDIAN((IF(DATOS_[[Sexo]:[Sexo]]=$B77,IF(DATOS_[[AGRUP. CLAS. PROF.]:[AGRUP. CLAS. PROF.]]=$B75,IF(DATOS_[[Check Periodo Ref.]:[Check Periodo Ref.]]="Dentro",IF(DATOS_[[Check Equiparado]:[Check Equiparado]]="Sí",IF(DATOS!AY$4="Sí",(1/DATOS_[[% anualiz]:[% anualiz]]),1)*IF(DATOS!AY$5="Sí",1/DATOS_[[% normaliz]:[% normaliz]],1)*(DATOS_[Conc.Sal.21])))))))), 0)</f>
        <v>0</v>
      </c>
      <c r="AE77" s="250" t="n">
        <f aca="false" t="array" ref="AE77:AE77">IFERROR( (MEDIAN((IF(DATOS_[[Sexo]:[Sexo]]=$B77,IF(DATOS_[[AGRUP. CLAS. PROF.]:[AGRUP. CLAS. PROF.]]=$B75,IF(DATOS_[[Check Periodo Ref.]:[Check Periodo Ref.]]="Dentro",IF(DATOS_[[Check Equiparado]:[Check Equiparado]]="Sí",IF(DATOS!AZ$4="Sí",(1/DATOS_[[% anualiz]:[% anualiz]]),1)*IF(DATOS!AZ$5="Sí",1/DATOS_[[% normaliz]:[% normaliz]],1)*(DATOS_[Conc.Sal.22])))))))), 0)</f>
        <v>0</v>
      </c>
      <c r="AF77" s="250" t="n">
        <f aca="false" t="array" ref="AF77:AF77">IFERROR( (MEDIAN((IF(DATOS_[[Sexo]:[Sexo]]=$B77,IF(DATOS_[[AGRUP. CLAS. PROF.]:[AGRUP. CLAS. PROF.]]=$B75,IF(DATOS_[[Check Periodo Ref.]:[Check Periodo Ref.]]="Dentro",IF(DATOS_[[Check Equiparado]:[Check Equiparado]]="Sí",IF(DATOS!BA$4="Sí",(1/DATOS_[[% anualiz]:[% anualiz]]),1)*IF(DATOS!BA$5="Sí",1/DATOS_[[% normaliz]:[% normaliz]],1)*(DATOS_[Conc.Sal.23])))))))), 0)</f>
        <v>0</v>
      </c>
      <c r="AG77" s="250" t="n">
        <f aca="false" t="array" ref="AG77:AG77">IFERROR( (MEDIAN((IF(DATOS_[[Sexo]:[Sexo]]=$B77,IF(DATOS_[[AGRUP. CLAS. PROF.]:[AGRUP. CLAS. PROF.]]=$B75,IF(DATOS_[[Check Periodo Ref.]:[Check Periodo Ref.]]="Dentro",IF(DATOS_[[Check Equiparado]:[Check Equiparado]]="Sí",IF(DATOS!BB$4="Sí",(1/DATOS_[[% anualiz]:[% anualiz]]),1)*IF(DATOS!BB$5="Sí",1/DATOS_[[% normaliz]:[% normaliz]],1)*(DATOS_[Conc.Sal.24])))))))), 0)</f>
        <v>0</v>
      </c>
      <c r="AH77" s="250" t="n">
        <f aca="false" t="array" ref="AH77:AH77">IFERROR( (MEDIAN((IF(DATOS_[[Sexo]:[Sexo]]=$B77,IF(DATOS_[[AGRUP. CLAS. PROF.]:[AGRUP. CLAS. PROF.]]=$B75,IF(DATOS_[[Check Periodo Ref.]:[Check Periodo Ref.]]="Dentro",IF(DATOS_[[Check Equiparado]:[Check Equiparado]]="Sí",IF(DATOS!BC$4="Sí",(1/DATOS_[[% anualiz]:[% anualiz]]),1)*IF(DATOS!BC$5="Sí",1/DATOS_[[% normaliz]:[% normaliz]],1)*(DATOS_[Conc.Sal.25])))))))), 0)</f>
        <v>0</v>
      </c>
      <c r="AI77" s="250" t="n">
        <f aca="false" t="array" ref="AI77:AI77">IFERROR( (MEDIAN((IF(DATOS_[[Sexo]:[Sexo]]=$B77,IF(DATOS_[[AGRUP. CLAS. PROF.]:[AGRUP. CLAS. PROF.]]=$B75,IF(DATOS_[[Check Periodo Ref.]:[Check Periodo Ref.]]="Dentro",IF(DATOS_[[Check Equiparado]:[Check Equiparado]]="Sí",IF(DATOS!BD$4="Sí",(1/DATOS_[[% anualiz]:[% anualiz]]),1)*IF(DATOS!BD$5="Sí",1/DATOS_[[% normaliz]:[% normaliz]],1)*(DATOS_[Conc.Sal.26])))))))), 0)</f>
        <v>0</v>
      </c>
      <c r="AJ77" s="250" t="n">
        <f aca="false" t="array" ref="AJ77:AJ77">IFERROR( (MEDIAN((IF(DATOS_[[Sexo]:[Sexo]]=$B77,IF(DATOS_[[AGRUP. CLAS. PROF.]:[AGRUP. CLAS. PROF.]]=$B75,IF(DATOS_[[Check Periodo Ref.]:[Check Periodo Ref.]]="Dentro",IF(DATOS_[[Check Equiparado]:[Check Equiparado]]="Sí",IF(DATOS!BE$4="Sí",(1/DATOS_[[% anualiz]:[% anualiz]]),1)*IF(DATOS!BE$5="Sí",1/DATOS_[[% normaliz]:[% normaliz]],1)*(DATOS_[Conc.Sal.27])))))))), 0)</f>
        <v>0</v>
      </c>
      <c r="AK77" s="250" t="n">
        <f aca="false" t="array" ref="AK77:AK77">IFERROR( (MEDIAN((IF(DATOS_[[Sexo]:[Sexo]]=$B77,IF(DATOS_[[AGRUP. CLAS. PROF.]:[AGRUP. CLAS. PROF.]]=$B75,IF(DATOS_[[Check Periodo Ref.]:[Check Periodo Ref.]]="Dentro",IF(DATOS_[[Check Equiparado]:[Check Equiparado]]="Sí",IF(DATOS!BF$4="Sí",(1/DATOS_[[% anualiz]:[% anualiz]]),1)*IF(DATOS!BF$5="Sí",1/DATOS_[[% normaliz]:[% normaliz]],1)*(DATOS_[Conc.Sal.28])))))))), 0)</f>
        <v>0</v>
      </c>
      <c r="AL77" s="250" t="n">
        <f aca="false" t="array" ref="AL77:AL77">IFERROR( (MEDIAN((IF(DATOS_[[Sexo]:[Sexo]]=$B77,IF(DATOS_[[AGRUP. CLAS. PROF.]:[AGRUP. CLAS. PROF.]]=$B75,IF(DATOS_[[Check Periodo Ref.]:[Check Periodo Ref.]]="Dentro",IF(DATOS_[[Check Equiparado]:[Check Equiparado]]="Sí",IF(DATOS!BG$4="Sí",(1/DATOS_[[% anualiz]:[% anualiz]]),1)*IF(DATOS!BG$5="Sí",1/DATOS_[[% normaliz]:[% normaliz]],1)*(DATOS_[Conc.Sal.29])))))))), 0)</f>
        <v>0</v>
      </c>
      <c r="AM77" s="250" t="n">
        <f aca="false" t="array" ref="AM77:AM77">IFERROR( (MEDIAN((IF(DATOS_[[Sexo]:[Sexo]]=$B77,IF(DATOS_[[AGRUP. CLAS. PROF.]:[AGRUP. CLAS. PROF.]]=$B75,IF(DATOS_[[Check Periodo Ref.]:[Check Periodo Ref.]]="Dentro",IF(DATOS_[[Check Equiparado]:[Check Equiparado]]="Sí",IF(DATOS!BH$4="Sí",(1/DATOS_[[% anualiz]:[% anualiz]]),1)*IF(DATOS!BH$5="Sí",1/DATOS_[[% normaliz]:[% normaliz]],1)*(DATOS_[Conc.Sal.30])))))))), 0)</f>
        <v>0</v>
      </c>
      <c r="AN77" s="251" t="n">
        <f aca="false" t="array" ref="AN77:AN77">IFERROR( MEDIAN(IF(DATOS_[Sexo]=$B77,IF(DATOS_[[AGRUP. CLAS. PROF.]:[AGRUP. CLAS. PROF.]]=$B75,IF(DATOS_[Check Equiparado]="Sí",IF(DATOS_[Check Periodo Ref.]="Dentro",DATOS_[Tot COMPL.SAL Eq],0))))), 0)</f>
        <v>0</v>
      </c>
      <c r="AO77" s="252" t="n">
        <f aca="false" t="array" ref="AO77:AO77">IFERROR( MEDIAN(IF(DATOS_[Sexo]=$B77,IF(DATOS_[[AGRUP. CLAS. PROF.]:[AGRUP. CLAS. PROF.]]=$B75,IF(DATOS_[Check Equiparado]="Sí",IF(DATOS_[Check Periodo Ref.]="Dentro",DATOS_[TOTAL SALARIO Eq],0))))), 0)</f>
        <v>0</v>
      </c>
      <c r="AP77" s="259" t="n">
        <f aca="false" t="array" ref="AP77:AP77">IFERROR( (MEDIAN((IF(DATOS_[[Sexo]:[Sexo]]=$B77,IF(DATOS_[[AGRUP. CLAS. PROF.]:[AGRUP. CLAS. PROF.]]=$B76,IF(DATOS_[[Check Periodo Ref.]:[Check Periodo Ref.]]="Dentro",IF(DATOS_[[Check Equiparado]:[Check Equiparado]]="Sí",IF(DATOS!BI$4="Sí",(1/DATOS_[[% anualiz]:[% anualiz]]),1)*IF(DATOS!BI$5="Sí",1/DATOS_[[% normaliz]:[% normaliz]],1)*(DATOS_[C.Extra.01])))))))), 0)</f>
        <v>0</v>
      </c>
      <c r="AQ77" s="259" t="n">
        <f aca="false" t="array" ref="AQ77:AQ77">IFERROR( (MEDIAN((IF(DATOS_[[Sexo]:[Sexo]]=$B77,IF(DATOS_[[AGRUP. CLAS. PROF.]:[AGRUP. CLAS. PROF.]]=$B76,IF(DATOS_[[Check Periodo Ref.]:[Check Periodo Ref.]]="Dentro",IF(DATOS_[[Check Equiparado]:[Check Equiparado]]="Sí",IF(DATOS!BJ$4="Sí",(1/DATOS_[[% anualiz]:[% anualiz]]),1)*IF(DATOS!BJ$5="Sí",1/DATOS_[[% normaliz]:[% normaliz]],1)*(DATOS_[C.Extra.02])))))))), 0)</f>
        <v>0</v>
      </c>
      <c r="AR77" s="259" t="n">
        <f aca="false" t="array" ref="AR77:AR77">IFERROR( (MEDIAN((IF(DATOS_[[Sexo]:[Sexo]]=$B77,IF(DATOS_[[AGRUP. CLAS. PROF.]:[AGRUP. CLAS. PROF.]]=$B76,IF(DATOS_[[Check Periodo Ref.]:[Check Periodo Ref.]]="Dentro",IF(DATOS_[[Check Equiparado]:[Check Equiparado]]="Sí",IF(DATOS!BK$4="Sí",(1/DATOS_[[% anualiz]:[% anualiz]]),1)*IF(DATOS!BK$5="Sí",1/DATOS_[[% normaliz]:[% normaliz]],1)*(DATOS_[C.Extra.03])))))))), 0)</f>
        <v>0</v>
      </c>
      <c r="AS77" s="259" t="n">
        <f aca="false" t="array" ref="AS77:AS77">IFERROR( (MEDIAN((IF(DATOS_[[Sexo]:[Sexo]]=$B77,IF(DATOS_[[AGRUP. CLAS. PROF.]:[AGRUP. CLAS. PROF.]]=$B76,IF(DATOS_[[Check Periodo Ref.]:[Check Periodo Ref.]]="Dentro",IF(DATOS_[[Check Equiparado]:[Check Equiparado]]="Sí",IF(DATOS!BL$4="Sí",(1/DATOS_[[% anualiz]:[% anualiz]]),1)*IF(DATOS!BL$5="Sí",1/DATOS_[[% normaliz]:[% normaliz]],1)*(DATOS_[C.Extra.04])))))))), 0)</f>
        <v>0</v>
      </c>
      <c r="AT77" s="259" t="n">
        <f aca="false" t="array" ref="AT77:AT77">IFERROR( (MEDIAN((IF(DATOS_[[Sexo]:[Sexo]]=$B77,IF(DATOS_[[AGRUP. CLAS. PROF.]:[AGRUP. CLAS. PROF.]]=$B76,IF(DATOS_[[Check Periodo Ref.]:[Check Periodo Ref.]]="Dentro",IF(DATOS_[[Check Equiparado]:[Check Equiparado]]="Sí",IF(DATOS!BM$4="Sí",(1/DATOS_[[% anualiz]:[% anualiz]]),1)*IF(DATOS!BM$5="Sí",1/DATOS_[[% normaliz]:[% normaliz]],1)*(DATOS_[C.Extra.05])))))))), 0)</f>
        <v>0</v>
      </c>
      <c r="AU77" s="254" t="n">
        <f aca="false" t="array" ref="AU77:AU77">IFERROR( MEDIAN(IF(DATOS_[Sexo]=$B77,IF(DATOS_[[AGRUP. CLAS. PROF.]:[AGRUP. CLAS. PROF.]]=$B75,IF(DATOS_[Check Equiparado]="Sí",IF(DATOS_[Check Periodo Ref.]="Dentro",DATOS_[Tot Extrasalarial Eq],0))))), 0)</f>
        <v>0</v>
      </c>
      <c r="AV77" s="255" t="n">
        <f aca="false" t="array" ref="AV77:AV77">IFERROR( MEDIAN(IF(DATOS_[Sexo]=$B77,IF(DATOS_[[AGRUP. CLAS. PROF.]:[AGRUP. CLAS. PROF.]]=$B75,IF(DATOS_[Check Equiparado]="Sí",IF(DATOS_[Check Periodo Ref.]="Dentro",DATOS_[TOTAL Retrib Eq],0))))), 0)</f>
        <v>0</v>
      </c>
    </row>
    <row r="78" customFormat="false" ht="15.75" hidden="false" customHeight="false" outlineLevel="0" collapsed="false">
      <c r="A78" s="217" t="str">
        <f aca="false">+A79</f>
        <v>[ocultar]</v>
      </c>
      <c r="B78" s="320" t="s">
        <v>231</v>
      </c>
      <c r="C78" s="236"/>
      <c r="D78" s="237"/>
      <c r="E78" s="237"/>
      <c r="F78" s="237"/>
      <c r="G78" s="237"/>
      <c r="H78" s="237"/>
      <c r="I78" s="238"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39" t="str">
        <f aca="false">IFERROR((V79-V80)/V79,"")</f>
        <v/>
      </c>
      <c r="W78" s="239" t="str">
        <f aca="false">IFERROR((W79-W80)/W79,"")</f>
        <v/>
      </c>
      <c r="X78" s="239" t="str">
        <f aca="false">IFERROR((X79-X80)/X79,"")</f>
        <v/>
      </c>
      <c r="Y78" s="239"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0" t="str">
        <f aca="false">IFERROR((AJ79-AJ80)/AJ79,"")</f>
        <v/>
      </c>
      <c r="AK78" s="240" t="str">
        <f aca="false">IFERROR((AK79-AK80)/AK79,"")</f>
        <v/>
      </c>
      <c r="AL78" s="240" t="str">
        <f aca="false">IFERROR((AL79-AL80)/AL79,"")</f>
        <v/>
      </c>
      <c r="AM78" s="240" t="str">
        <f aca="false">IFERROR((AM79-AM80)/AM79,"")</f>
        <v/>
      </c>
      <c r="AN78" s="241" t="str">
        <f aca="false">IFERROR((AN79-AN80)/AN79,"")</f>
        <v/>
      </c>
      <c r="AO78" s="242" t="str">
        <f aca="false">IFERROR((AO79-AO80)/AO79,"")</f>
        <v/>
      </c>
      <c r="AP78" s="243" t="str">
        <f aca="false">IFERROR((AP79-AP80)/AP79,"")</f>
        <v/>
      </c>
      <c r="AQ78" s="243" t="str">
        <f aca="false">IFERROR((AQ79-AQ80)/AQ79,"")</f>
        <v/>
      </c>
      <c r="AR78" s="243" t="str">
        <f aca="false">IFERROR((AR79-AR80)/AR79,"")</f>
        <v/>
      </c>
      <c r="AS78" s="243" t="str">
        <f aca="false">IFERROR((AS79-AS80)/AS79,"")</f>
        <v/>
      </c>
      <c r="AT78" s="243" t="str">
        <f aca="false">IFERROR((AT79-AT80)/AT79,"")</f>
        <v/>
      </c>
      <c r="AU78" s="244" t="str">
        <f aca="false">IFERROR((AU79-AU80)/AU79,"")</f>
        <v/>
      </c>
      <c r="AV78" s="245" t="str">
        <f aca="false">IFERROR((AV79-AV80)/AV79,"")</f>
        <v/>
      </c>
    </row>
    <row r="79" customFormat="false" ht="14.25" hidden="false" customHeight="false" outlineLevel="0" collapsed="false">
      <c r="A79" s="217" t="str">
        <f aca="false">+IF(C79+C80=0,"[ocultar]","")</f>
        <v>[ocultar]</v>
      </c>
      <c r="B79" s="323" t="s">
        <v>371</v>
      </c>
      <c r="C79" s="247" t="n">
        <f aca="false" t="array" ref="C79:C79">SUM(IF($B79=DATOS_[Sexo], IF($B78=DATOS_[AGRUP. CLAS. PROF.], IF("Dentro"=DATOS_[Check Periodo Ref.], 1/(COUNTIFS(DATOS_[Sexo],$B79,DATOS_[AGRUP. CLAS. PROF.],$B78,DATOS_[Check Periodo Ref.],"Dentro",DATOS_[id],DATOS_[id]))))))</f>
        <v>0</v>
      </c>
      <c r="D79" s="248" t="n">
        <f aca="false">COUNTIFS(DATOS_[AGRUP. CLAS. PROF.],$B78,DATOS_[Sexo],$B79,DATOS_[Check Periodo Ref.],"Dentro")</f>
        <v>0</v>
      </c>
      <c r="E79" s="248" t="n">
        <f aca="false">COUNTIFS(DATOS_[AGRUP. CLAS. PROF.],$B78,DATOS_[Sexo],$B79,DATOS_[Check Periodo Ref.],"Dentro",DATOS_[Check Nº SC Norm],"Sí")</f>
        <v>0</v>
      </c>
      <c r="F79" s="248" t="n">
        <f aca="false">COUNTIFS(DATOS_[AGRUP. CLAS. PROF.],$B78,DATOS_[Sexo],$B79,DATOS_[Check Periodo Ref.],"Dentro",DATOS_[Check Nº SC Anualiz],"Sí")</f>
        <v>0</v>
      </c>
      <c r="G79" s="248" t="n">
        <f aca="false">COUNTIFS(DATOS_[AGRUP. CLAS. PROF.],$B78,DATOS_[Sexo],$B79,DATOS_[Check Periodo Ref.],"Dentro",DATOS_[Check Nº SC Norm y Anualiz],"Sí")</f>
        <v>0</v>
      </c>
      <c r="H79" s="248" t="n">
        <f aca="false">COUNTIFS(DATOS_[AGRUP. CLAS. PROF.],$B78,DATOS_[Sexo],$B79,DATOS_[Check Periodo Ref.],"Dentro",DATOS_[Check Equiparación],"Sí")</f>
        <v>0</v>
      </c>
      <c r="I79" s="249" t="n">
        <f aca="false" t="array" ref="I79:I79">IFERROR( MEDIAN(IF(DATOS_[Sexo]=$B79,IF(DATOS_[[AGRUP. CLAS. PROF.]:[AGRUP. CLAS. PROF.]]=$B78,IF(DATOS_[Check Equiparado]="Sí",IF(DATOS_[Check Periodo Ref.]="Dentro",DATOS_[SALARIO BASE Eq],0))))), 0)</f>
        <v>0</v>
      </c>
      <c r="J79" s="250" t="n">
        <f aca="false" t="array" ref="J79:J79">IFERROR( (MEDIAN((IF(DATOS_[[Sexo]:[Sexo]]=$B79,IF(DATOS_[[AGRUP. CLAS. PROF.]:[AGRUP. CLAS. PROF.]]=$B78,IF(DATOS_[[Check Periodo Ref.]:[Check Periodo Ref.]]="Dentro",IF(DATOS_[[Check Equiparado]:[Check Equiparado]]="Sí",IF(DATOS!AE$4="Sí",(1/DATOS_[[% anualiz]:[% anualiz]]),1)*IF(DATOS!AE$5="Sí",1/DATOS_[[% normaliz]:[% normaliz]],1)*(DATOS_[Conc.Sal.01])))))))), 0)</f>
        <v>0</v>
      </c>
      <c r="K79" s="250" t="n">
        <f aca="false" t="array" ref="K79:K79">IFERROR( (MEDIAN((IF(DATOS_[[Sexo]:[Sexo]]=$B79,IF(DATOS_[[AGRUP. CLAS. PROF.]:[AGRUP. CLAS. PROF.]]=$B78,IF(DATOS_[[Check Periodo Ref.]:[Check Periodo Ref.]]="Dentro",IF(DATOS_[[Check Equiparado]:[Check Equiparado]]="Sí",IF(DATOS!AF$4="Sí",(1/DATOS_[[% anualiz]:[% anualiz]]),1)*IF(DATOS!AF$5="Sí",1/DATOS_[[% normaliz]:[% normaliz]],1)*(DATOS_[Conc.Sal.02])))))))), 0)</f>
        <v>0</v>
      </c>
      <c r="L79" s="250" t="n">
        <f aca="false" t="array" ref="L79:L79">IFERROR( (MEDIAN((IF(DATOS_[[Sexo]:[Sexo]]=$B79,IF(DATOS_[[AGRUP. CLAS. PROF.]:[AGRUP. CLAS. PROF.]]=$B78,IF(DATOS_[[Check Periodo Ref.]:[Check Periodo Ref.]]="Dentro",IF(DATOS_[[Check Equiparado]:[Check Equiparado]]="Sí",IF(DATOS!AG$4="Sí",(1/DATOS_[[% anualiz]:[% anualiz]]),1)*IF(DATOS!AG$5="Sí",1/DATOS_[[% normaliz]:[% normaliz]],1)*(DATOS_[Conc.Sal.03])))))))), 0)</f>
        <v>0</v>
      </c>
      <c r="M79" s="250" t="n">
        <f aca="false" t="array" ref="M79:M79">IFERROR( (MEDIAN((IF(DATOS_[[Sexo]:[Sexo]]=$B79,IF(DATOS_[[AGRUP. CLAS. PROF.]:[AGRUP. CLAS. PROF.]]=$B78,IF(DATOS_[[Check Periodo Ref.]:[Check Periodo Ref.]]="Dentro",IF(DATOS_[[Check Equiparado]:[Check Equiparado]]="Sí",IF(DATOS!AH$4="Sí",(1/DATOS_[[% anualiz]:[% anualiz]]),1)*IF(DATOS!AH$5="Sí",1/DATOS_[[% normaliz]:[% normaliz]],1)*(DATOS_[Conc.Sal.04])))))))), 0)</f>
        <v>0</v>
      </c>
      <c r="N79" s="250" t="n">
        <f aca="false" t="array" ref="N79:N79">IFERROR( (MEDIAN((IF(DATOS_[[Sexo]:[Sexo]]=$B79,IF(DATOS_[[AGRUP. CLAS. PROF.]:[AGRUP. CLAS. PROF.]]=$B78,IF(DATOS_[[Check Periodo Ref.]:[Check Periodo Ref.]]="Dentro",IF(DATOS_[[Check Equiparado]:[Check Equiparado]]="Sí",IF(DATOS!AI$4="Sí",(1/DATOS_[[% anualiz]:[% anualiz]]),1)*IF(DATOS!AI$5="Sí",1/DATOS_[[% normaliz]:[% normaliz]],1)*(DATOS_[Conc.Sal.05])))))))), 0)</f>
        <v>0</v>
      </c>
      <c r="O79" s="250" t="n">
        <f aca="false" t="array" ref="O79:O79">IFERROR( (MEDIAN((IF(DATOS_[[Sexo]:[Sexo]]=$B79,IF(DATOS_[[AGRUP. CLAS. PROF.]:[AGRUP. CLAS. PROF.]]=$B78,IF(DATOS_[[Check Periodo Ref.]:[Check Periodo Ref.]]="Dentro",IF(DATOS_[[Check Equiparado]:[Check Equiparado]]="Sí",IF(DATOS!AJ$4="Sí",(1/DATOS_[[% anualiz]:[% anualiz]]),1)*IF(DATOS!AJ$5="Sí",1/DATOS_[[% normaliz]:[% normaliz]],1)*(DATOS_[Conc.Sal.06])))))))), 0)</f>
        <v>0</v>
      </c>
      <c r="P79" s="250" t="n">
        <f aca="false" t="array" ref="P79:P79">IFERROR( (MEDIAN((IF(DATOS_[[Sexo]:[Sexo]]=$B79,IF(DATOS_[[AGRUP. CLAS. PROF.]:[AGRUP. CLAS. PROF.]]=$B78,IF(DATOS_[[Check Periodo Ref.]:[Check Periodo Ref.]]="Dentro",IF(DATOS_[[Check Equiparado]:[Check Equiparado]]="Sí",IF(DATOS!AK$4="Sí",(1/DATOS_[[% anualiz]:[% anualiz]]),1)*IF(DATOS!AK$5="Sí",1/DATOS_[[% normaliz]:[% normaliz]],1)*(DATOS_[Conc.Sal.07])))))))), 0)</f>
        <v>0</v>
      </c>
      <c r="Q79" s="250" t="n">
        <f aca="false" t="array" ref="Q79:Q79">IFERROR( (MEDIAN((IF(DATOS_[[Sexo]:[Sexo]]=$B79,IF(DATOS_[[AGRUP. CLAS. PROF.]:[AGRUP. CLAS. PROF.]]=$B78,IF(DATOS_[[Check Periodo Ref.]:[Check Periodo Ref.]]="Dentro",IF(DATOS_[[Check Equiparado]:[Check Equiparado]]="Sí",IF(DATOS!AL$4="Sí",(1/DATOS_[[% anualiz]:[% anualiz]]),1)*IF(DATOS!AL$5="Sí",1/DATOS_[[% normaliz]:[% normaliz]],1)*(DATOS_[Conc.Sal.08])))))))), 0)</f>
        <v>0</v>
      </c>
      <c r="R79" s="250" t="n">
        <f aca="false" t="array" ref="R79:R79">IFERROR( (MEDIAN((IF(DATOS_[[Sexo]:[Sexo]]=$B79,IF(DATOS_[[AGRUP. CLAS. PROF.]:[AGRUP. CLAS. PROF.]]=$B78,IF(DATOS_[[Check Periodo Ref.]:[Check Periodo Ref.]]="Dentro",IF(DATOS_[[Check Equiparado]:[Check Equiparado]]="Sí",IF(DATOS!AM$4="Sí",(1/DATOS_[[% anualiz]:[% anualiz]]),1)*IF(DATOS!AM$5="Sí",1/DATOS_[[% normaliz]:[% normaliz]],1)*(DATOS_[Conc.Sal.09])))))))), 0)</f>
        <v>0</v>
      </c>
      <c r="S79" s="250" t="n">
        <f aca="false" t="array" ref="S79:S79">IFERROR( (MEDIAN((IF(DATOS_[[Sexo]:[Sexo]]=$B79,IF(DATOS_[[AGRUP. CLAS. PROF.]:[AGRUP. CLAS. PROF.]]=$B78,IF(DATOS_[[Check Periodo Ref.]:[Check Periodo Ref.]]="Dentro",IF(DATOS_[[Check Equiparado]:[Check Equiparado]]="Sí",IF(DATOS!AN$4="Sí",(1/DATOS_[[% anualiz]:[% anualiz]]),1)*IF(DATOS!AN$5="Sí",1/DATOS_[[% normaliz]:[% normaliz]],1)*(DATOS_[Conc.Sal.10])))))))), 0)</f>
        <v>0</v>
      </c>
      <c r="T79" s="250" t="n">
        <f aca="false" t="array" ref="T79:T79">IFERROR( (MEDIAN((IF(DATOS_[[Sexo]:[Sexo]]=$B79,IF(DATOS_[[AGRUP. CLAS. PROF.]:[AGRUP. CLAS. PROF.]]=$B78,IF(DATOS_[[Check Periodo Ref.]:[Check Periodo Ref.]]="Dentro",IF(DATOS_[[Check Equiparado]:[Check Equiparado]]="Sí",IF(DATOS!AO$4="Sí",(1/DATOS_[[% anualiz]:[% anualiz]]),1)*IF(DATOS!AO$5="Sí",1/DATOS_[[% normaliz]:[% normaliz]],1)*(DATOS_[Conc.Sal.11])))))))), 0)</f>
        <v>0</v>
      </c>
      <c r="U79" s="250" t="n">
        <f aca="false" t="array" ref="U79:U79">IFERROR( (MEDIAN((IF(DATOS_[[Sexo]:[Sexo]]=$B79,IF(DATOS_[[AGRUP. CLAS. PROF.]:[AGRUP. CLAS. PROF.]]=$B78,IF(DATOS_[[Check Periodo Ref.]:[Check Periodo Ref.]]="Dentro",IF(DATOS_[[Check Equiparado]:[Check Equiparado]]="Sí",IF(DATOS!AP$4="Sí",(1/DATOS_[[% anualiz]:[% anualiz]]),1)*IF(DATOS!AP$5="Sí",1/DATOS_[[% normaliz]:[% normaliz]],1)*(DATOS_[Conc.Sal.12])))))))), 0)</f>
        <v>0</v>
      </c>
      <c r="V79" s="250" t="n">
        <f aca="false" t="array" ref="V79:V79">IFERROR( (MEDIAN((IF(DATOS_[[Sexo]:[Sexo]]=$B79,IF(DATOS_[[AGRUP. CLAS. PROF.]:[AGRUP. CLAS. PROF.]]=$B78,IF(DATOS_[[Check Periodo Ref.]:[Check Periodo Ref.]]="Dentro",IF(DATOS_[[Check Equiparado]:[Check Equiparado]]="Sí",IF(DATOS!AQ$4="Sí",(1/DATOS_[[% anualiz]:[% anualiz]]),1)*IF(DATOS!AQ$5="Sí",1/DATOS_[[% normaliz]:[% normaliz]],1)*(DATOS_[Conc.Sal.13])))))))), 0)</f>
        <v>0</v>
      </c>
      <c r="W79" s="250" t="n">
        <f aca="false" t="array" ref="W79:W79">IFERROR( (MEDIAN((IF(DATOS_[[Sexo]:[Sexo]]=$B79,IF(DATOS_[[AGRUP. CLAS. PROF.]:[AGRUP. CLAS. PROF.]]=$B78,IF(DATOS_[[Check Periodo Ref.]:[Check Periodo Ref.]]="Dentro",IF(DATOS_[[Check Equiparado]:[Check Equiparado]]="Sí",IF(DATOS!AR$4="Sí",(1/DATOS_[[% anualiz]:[% anualiz]]),1)*IF(DATOS!AR$5="Sí",1/DATOS_[[% normaliz]:[% normaliz]],1)*(DATOS_[Conc.Sal.14])))))))), 0)</f>
        <v>0</v>
      </c>
      <c r="X79" s="250" t="n">
        <f aca="false" t="array" ref="X79:X79">IFERROR( (MEDIAN((IF(DATOS_[[Sexo]:[Sexo]]=$B79,IF(DATOS_[[AGRUP. CLAS. PROF.]:[AGRUP. CLAS. PROF.]]=$B78,IF(DATOS_[[Check Periodo Ref.]:[Check Periodo Ref.]]="Dentro",IF(DATOS_[[Check Equiparado]:[Check Equiparado]]="Sí",IF(DATOS!AS$4="Sí",(1/DATOS_[[% anualiz]:[% anualiz]]),1)*IF(DATOS!AS$5="Sí",1/DATOS_[[% normaliz]:[% normaliz]],1)*(DATOS_[Conc.Sal.15])))))))), 0)</f>
        <v>0</v>
      </c>
      <c r="Y79" s="250" t="n">
        <f aca="false" t="array" ref="Y79:Y79">IFERROR( (MEDIAN((IF(DATOS_[[Sexo]:[Sexo]]=$B79,IF(DATOS_[[AGRUP. CLAS. PROF.]:[AGRUP. CLAS. PROF.]]=$B78,IF(DATOS_[[Check Periodo Ref.]:[Check Periodo Ref.]]="Dentro",IF(DATOS_[[Check Equiparado]:[Check Equiparado]]="Sí",IF(DATOS!AT$4="Sí",(1/DATOS_[[% anualiz]:[% anualiz]]),1)*IF(DATOS!AT$5="Sí",1/DATOS_[[% normaliz]:[% normaliz]],1)*(DATOS_[Conc.Sal.16])))))))), 0)</f>
        <v>0</v>
      </c>
      <c r="Z79" s="250" t="n">
        <f aca="false" t="array" ref="Z79:Z79">IFERROR( (MEDIAN((IF(DATOS_[[Sexo]:[Sexo]]=$B79,IF(DATOS_[[AGRUP. CLAS. PROF.]:[AGRUP. CLAS. PROF.]]=$B78,IF(DATOS_[[Check Periodo Ref.]:[Check Periodo Ref.]]="Dentro",IF(DATOS_[[Check Equiparado]:[Check Equiparado]]="Sí",IF(DATOS!AU$4="Sí",(1/DATOS_[[% anualiz]:[% anualiz]]),1)*IF(DATOS!AU$5="Sí",1/DATOS_[[% normaliz]:[% normaliz]],1)*(DATOS_[Conc.Sal.17])))))))), 0)</f>
        <v>0</v>
      </c>
      <c r="AA79" s="250" t="n">
        <f aca="false" t="array" ref="AA79:AA79">IFERROR( (MEDIAN((IF(DATOS_[[Sexo]:[Sexo]]=$B79,IF(DATOS_[[AGRUP. CLAS. PROF.]:[AGRUP. CLAS. PROF.]]=$B78,IF(DATOS_[[Check Periodo Ref.]:[Check Periodo Ref.]]="Dentro",IF(DATOS_[[Check Equiparado]:[Check Equiparado]]="Sí",IF(DATOS!AV$4="Sí",(1/DATOS_[[% anualiz]:[% anualiz]]),1)*IF(DATOS!AV$5="Sí",1/DATOS_[[% normaliz]:[% normaliz]],1)*(DATOS_[Conc.Sal.18])))))))), 0)</f>
        <v>0</v>
      </c>
      <c r="AB79" s="250" t="n">
        <f aca="false" t="array" ref="AB79:AB79">IFERROR( (MEDIAN((IF(DATOS_[[Sexo]:[Sexo]]=$B79,IF(DATOS_[[AGRUP. CLAS. PROF.]:[AGRUP. CLAS. PROF.]]=$B78,IF(DATOS_[[Check Periodo Ref.]:[Check Periodo Ref.]]="Dentro",IF(DATOS_[[Check Equiparado]:[Check Equiparado]]="Sí",IF(DATOS!AW$4="Sí",(1/DATOS_[[% anualiz]:[% anualiz]]),1)*IF(DATOS!AW$5="Sí",1/DATOS_[[% normaliz]:[% normaliz]],1)*(DATOS_[Conc.Sal.19])))))))), 0)</f>
        <v>0</v>
      </c>
      <c r="AC79" s="250" t="n">
        <f aca="false" t="array" ref="AC79:AC79">IFERROR( (MEDIAN((IF(DATOS_[[Sexo]:[Sexo]]=$B79,IF(DATOS_[[AGRUP. CLAS. PROF.]:[AGRUP. CLAS. PROF.]]=$B78,IF(DATOS_[[Check Periodo Ref.]:[Check Periodo Ref.]]="Dentro",IF(DATOS_[[Check Equiparado]:[Check Equiparado]]="Sí",IF(DATOS!AX$4="Sí",(1/DATOS_[[% anualiz]:[% anualiz]]),1)*IF(DATOS!AX$5="Sí",1/DATOS_[[% normaliz]:[% normaliz]],1)*(DATOS_[Conc.Sal.20])))))))), 0)</f>
        <v>0</v>
      </c>
      <c r="AD79" s="250" t="n">
        <f aca="false" t="array" ref="AD79:AD79">IFERROR( (MEDIAN((IF(DATOS_[[Sexo]:[Sexo]]=$B79,IF(DATOS_[[AGRUP. CLAS. PROF.]:[AGRUP. CLAS. PROF.]]=$B78,IF(DATOS_[[Check Periodo Ref.]:[Check Periodo Ref.]]="Dentro",IF(DATOS_[[Check Equiparado]:[Check Equiparado]]="Sí",IF(DATOS!AY$4="Sí",(1/DATOS_[[% anualiz]:[% anualiz]]),1)*IF(DATOS!AY$5="Sí",1/DATOS_[[% normaliz]:[% normaliz]],1)*(DATOS_[Conc.Sal.21])))))))), 0)</f>
        <v>0</v>
      </c>
      <c r="AE79" s="250" t="n">
        <f aca="false" t="array" ref="AE79:AE79">IFERROR( (MEDIAN((IF(DATOS_[[Sexo]:[Sexo]]=$B79,IF(DATOS_[[AGRUP. CLAS. PROF.]:[AGRUP. CLAS. PROF.]]=$B78,IF(DATOS_[[Check Periodo Ref.]:[Check Periodo Ref.]]="Dentro",IF(DATOS_[[Check Equiparado]:[Check Equiparado]]="Sí",IF(DATOS!AZ$4="Sí",(1/DATOS_[[% anualiz]:[% anualiz]]),1)*IF(DATOS!AZ$5="Sí",1/DATOS_[[% normaliz]:[% normaliz]],1)*(DATOS_[Conc.Sal.22])))))))), 0)</f>
        <v>0</v>
      </c>
      <c r="AF79" s="250" t="n">
        <f aca="false" t="array" ref="AF79:AF79">IFERROR( (MEDIAN((IF(DATOS_[[Sexo]:[Sexo]]=$B79,IF(DATOS_[[AGRUP. CLAS. PROF.]:[AGRUP. CLAS. PROF.]]=$B78,IF(DATOS_[[Check Periodo Ref.]:[Check Periodo Ref.]]="Dentro",IF(DATOS_[[Check Equiparado]:[Check Equiparado]]="Sí",IF(DATOS!BA$4="Sí",(1/DATOS_[[% anualiz]:[% anualiz]]),1)*IF(DATOS!BA$5="Sí",1/DATOS_[[% normaliz]:[% normaliz]],1)*(DATOS_[Conc.Sal.23])))))))), 0)</f>
        <v>0</v>
      </c>
      <c r="AG79" s="250" t="n">
        <f aca="false" t="array" ref="AG79:AG79">IFERROR( (MEDIAN((IF(DATOS_[[Sexo]:[Sexo]]=$B79,IF(DATOS_[[AGRUP. CLAS. PROF.]:[AGRUP. CLAS. PROF.]]=$B78,IF(DATOS_[[Check Periodo Ref.]:[Check Periodo Ref.]]="Dentro",IF(DATOS_[[Check Equiparado]:[Check Equiparado]]="Sí",IF(DATOS!BB$4="Sí",(1/DATOS_[[% anualiz]:[% anualiz]]),1)*IF(DATOS!BB$5="Sí",1/DATOS_[[% normaliz]:[% normaliz]],1)*(DATOS_[Conc.Sal.24])))))))), 0)</f>
        <v>0</v>
      </c>
      <c r="AH79" s="250" t="n">
        <f aca="false" t="array" ref="AH79:AH79">IFERROR( (MEDIAN((IF(DATOS_[[Sexo]:[Sexo]]=$B79,IF(DATOS_[[AGRUP. CLAS. PROF.]:[AGRUP. CLAS. PROF.]]=$B78,IF(DATOS_[[Check Periodo Ref.]:[Check Periodo Ref.]]="Dentro",IF(DATOS_[[Check Equiparado]:[Check Equiparado]]="Sí",IF(DATOS!BC$4="Sí",(1/DATOS_[[% anualiz]:[% anualiz]]),1)*IF(DATOS!BC$5="Sí",1/DATOS_[[% normaliz]:[% normaliz]],1)*(DATOS_[Conc.Sal.25])))))))), 0)</f>
        <v>0</v>
      </c>
      <c r="AI79" s="250" t="n">
        <f aca="false" t="array" ref="AI79:AI79">IFERROR( (MEDIAN((IF(DATOS_[[Sexo]:[Sexo]]=$B79,IF(DATOS_[[AGRUP. CLAS. PROF.]:[AGRUP. CLAS. PROF.]]=$B78,IF(DATOS_[[Check Periodo Ref.]:[Check Periodo Ref.]]="Dentro",IF(DATOS_[[Check Equiparado]:[Check Equiparado]]="Sí",IF(DATOS!BD$4="Sí",(1/DATOS_[[% anualiz]:[% anualiz]]),1)*IF(DATOS!BD$5="Sí",1/DATOS_[[% normaliz]:[% normaliz]],1)*(DATOS_[Conc.Sal.26])))))))), 0)</f>
        <v>0</v>
      </c>
      <c r="AJ79" s="250" t="n">
        <f aca="false" t="array" ref="AJ79:AJ79">IFERROR( (MEDIAN((IF(DATOS_[[Sexo]:[Sexo]]=$B79,IF(DATOS_[[AGRUP. CLAS. PROF.]:[AGRUP. CLAS. PROF.]]=$B78,IF(DATOS_[[Check Periodo Ref.]:[Check Periodo Ref.]]="Dentro",IF(DATOS_[[Check Equiparado]:[Check Equiparado]]="Sí",IF(DATOS!BE$4="Sí",(1/DATOS_[[% anualiz]:[% anualiz]]),1)*IF(DATOS!BE$5="Sí",1/DATOS_[[% normaliz]:[% normaliz]],1)*(DATOS_[Conc.Sal.27])))))))), 0)</f>
        <v>0</v>
      </c>
      <c r="AK79" s="250" t="n">
        <f aca="false" t="array" ref="AK79:AK79">IFERROR( (MEDIAN((IF(DATOS_[[Sexo]:[Sexo]]=$B79,IF(DATOS_[[AGRUP. CLAS. PROF.]:[AGRUP. CLAS. PROF.]]=$B78,IF(DATOS_[[Check Periodo Ref.]:[Check Periodo Ref.]]="Dentro",IF(DATOS_[[Check Equiparado]:[Check Equiparado]]="Sí",IF(DATOS!BF$4="Sí",(1/DATOS_[[% anualiz]:[% anualiz]]),1)*IF(DATOS!BF$5="Sí",1/DATOS_[[% normaliz]:[% normaliz]],1)*(DATOS_[Conc.Sal.28])))))))), 0)</f>
        <v>0</v>
      </c>
      <c r="AL79" s="250" t="n">
        <f aca="false" t="array" ref="AL79:AL79">IFERROR( (MEDIAN((IF(DATOS_[[Sexo]:[Sexo]]=$B79,IF(DATOS_[[AGRUP. CLAS. PROF.]:[AGRUP. CLAS. PROF.]]=$B78,IF(DATOS_[[Check Periodo Ref.]:[Check Periodo Ref.]]="Dentro",IF(DATOS_[[Check Equiparado]:[Check Equiparado]]="Sí",IF(DATOS!BG$4="Sí",(1/DATOS_[[% anualiz]:[% anualiz]]),1)*IF(DATOS!BG$5="Sí",1/DATOS_[[% normaliz]:[% normaliz]],1)*(DATOS_[Conc.Sal.29])))))))), 0)</f>
        <v>0</v>
      </c>
      <c r="AM79" s="250" t="n">
        <f aca="false" t="array" ref="AM79:AM79">IFERROR( (MEDIAN((IF(DATOS_[[Sexo]:[Sexo]]=$B79,IF(DATOS_[[AGRUP. CLAS. PROF.]:[AGRUP. CLAS. PROF.]]=$B78,IF(DATOS_[[Check Periodo Ref.]:[Check Periodo Ref.]]="Dentro",IF(DATOS_[[Check Equiparado]:[Check Equiparado]]="Sí",IF(DATOS!BH$4="Sí",(1/DATOS_[[% anualiz]:[% anualiz]]),1)*IF(DATOS!BH$5="Sí",1/DATOS_[[% normaliz]:[% normaliz]],1)*(DATOS_[Conc.Sal.30])))))))), 0)</f>
        <v>0</v>
      </c>
      <c r="AN79" s="251" t="n">
        <f aca="false" t="array" ref="AN79:AN79">IFERROR( MEDIAN(IF(DATOS_[Sexo]=$B79,IF(DATOS_[[AGRUP. CLAS. PROF.]:[AGRUP. CLAS. PROF.]]=$B78,IF(DATOS_[Check Equiparado]="Sí",IF(DATOS_[Check Periodo Ref.]="Dentro",DATOS_[Tot COMPL.SAL Eq],0))))), 0)</f>
        <v>0</v>
      </c>
      <c r="AO79" s="252" t="n">
        <f aca="false" t="array" ref="AO79:AO79">IFERROR( MEDIAN(IF(DATOS_[Sexo]=$B79,IF(DATOS_[[AGRUP. CLAS. PROF.]:[AGRUP. CLAS. PROF.]]=$B78,IF(DATOS_[Check Equiparado]="Sí",IF(DATOS_[Check Periodo Ref.]="Dentro",DATOS_[TOTAL SALARIO Eq],0))))), 0)</f>
        <v>0</v>
      </c>
      <c r="AP79" s="259" t="n">
        <f aca="false" t="array" ref="AP79:AP79">IFERROR( (MEDIAN((IF(DATOS_[[Sexo]:[Sexo]]=$B79,IF(DATOS_[[AGRUP. CLAS. PROF.]:[AGRUP. CLAS. PROF.]]=$B78,IF(DATOS_[[Check Periodo Ref.]:[Check Periodo Ref.]]="Dentro",IF(DATOS_[[Check Equiparado]:[Check Equiparado]]="Sí",IF(DATOS!BI$4="Sí",(1/DATOS_[[% anualiz]:[% anualiz]]),1)*IF(DATOS!BI$5="Sí",1/DATOS_[[% normaliz]:[% normaliz]],1)*(DATOS_[C.Extra.01])))))))), 0)</f>
        <v>0</v>
      </c>
      <c r="AQ79" s="259" t="n">
        <f aca="false" t="array" ref="AQ79:AQ79">IFERROR( (MEDIAN((IF(DATOS_[[Sexo]:[Sexo]]=$B79,IF(DATOS_[[AGRUP. CLAS. PROF.]:[AGRUP. CLAS. PROF.]]=$B78,IF(DATOS_[[Check Periodo Ref.]:[Check Periodo Ref.]]="Dentro",IF(DATOS_[[Check Equiparado]:[Check Equiparado]]="Sí",IF(DATOS!BJ$4="Sí",(1/DATOS_[[% anualiz]:[% anualiz]]),1)*IF(DATOS!BJ$5="Sí",1/DATOS_[[% normaliz]:[% normaliz]],1)*(DATOS_[C.Extra.02])))))))), 0)</f>
        <v>0</v>
      </c>
      <c r="AR79" s="259" t="n">
        <f aca="false" t="array" ref="AR79:AR79">IFERROR( (MEDIAN((IF(DATOS_[[Sexo]:[Sexo]]=$B79,IF(DATOS_[[AGRUP. CLAS. PROF.]:[AGRUP. CLAS. PROF.]]=$B78,IF(DATOS_[[Check Periodo Ref.]:[Check Periodo Ref.]]="Dentro",IF(DATOS_[[Check Equiparado]:[Check Equiparado]]="Sí",IF(DATOS!BK$4="Sí",(1/DATOS_[[% anualiz]:[% anualiz]]),1)*IF(DATOS!BK$5="Sí",1/DATOS_[[% normaliz]:[% normaliz]],1)*(DATOS_[C.Extra.03])))))))), 0)</f>
        <v>0</v>
      </c>
      <c r="AS79" s="259" t="n">
        <f aca="false" t="array" ref="AS79:AS79">IFERROR( (MEDIAN((IF(DATOS_[[Sexo]:[Sexo]]=$B79,IF(DATOS_[[AGRUP. CLAS. PROF.]:[AGRUP. CLAS. PROF.]]=$B78,IF(DATOS_[[Check Periodo Ref.]:[Check Periodo Ref.]]="Dentro",IF(DATOS_[[Check Equiparado]:[Check Equiparado]]="Sí",IF(DATOS!BL$4="Sí",(1/DATOS_[[% anualiz]:[% anualiz]]),1)*IF(DATOS!BL$5="Sí",1/DATOS_[[% normaliz]:[% normaliz]],1)*(DATOS_[C.Extra.04])))))))), 0)</f>
        <v>0</v>
      </c>
      <c r="AT79" s="259" t="n">
        <f aca="false" t="array" ref="AT79:AT79">IFERROR( (MEDIAN((IF(DATOS_[[Sexo]:[Sexo]]=$B79,IF(DATOS_[[AGRUP. CLAS. PROF.]:[AGRUP. CLAS. PROF.]]=$B78,IF(DATOS_[[Check Periodo Ref.]:[Check Periodo Ref.]]="Dentro",IF(DATOS_[[Check Equiparado]:[Check Equiparado]]="Sí",IF(DATOS!BM$4="Sí",(1/DATOS_[[% anualiz]:[% anualiz]]),1)*IF(DATOS!BM$5="Sí",1/DATOS_[[% normaliz]:[% normaliz]],1)*(DATOS_[C.Extra.05])))))))), 0)</f>
        <v>0</v>
      </c>
      <c r="AU79" s="254" t="n">
        <f aca="false" t="array" ref="AU79:AU79">IFERROR( MEDIAN(IF(DATOS_[Sexo]=$B79,IF(DATOS_[[AGRUP. CLAS. PROF.]:[AGRUP. CLAS. PROF.]]=$B78,IF(DATOS_[Check Equiparado]="Sí",IF(DATOS_[Check Periodo Ref.]="Dentro",DATOS_[Tot Extrasalarial Eq],0))))), 0)</f>
        <v>0</v>
      </c>
      <c r="AV79" s="255" t="n">
        <f aca="false" t="array" ref="AV79:AV79">IFERROR( MEDIAN(IF(DATOS_[Sexo]=$B79,IF(DATOS_[[AGRUP. CLAS. PROF.]:[AGRUP. CLAS. PROF.]]=$B78,IF(DATOS_[Check Equiparado]="Sí",IF(DATOS_[Check Periodo Ref.]="Dentro",DATOS_[TOTAL Retrib Eq],0))))), 0)</f>
        <v>0</v>
      </c>
    </row>
    <row r="80" customFormat="false" ht="14.25" hidden="false" customHeight="false" outlineLevel="0" collapsed="false">
      <c r="A80" s="217" t="str">
        <f aca="false">+A79</f>
        <v>[ocultar]</v>
      </c>
      <c r="B80" s="323" t="s">
        <v>372</v>
      </c>
      <c r="C80" s="247" t="n">
        <f aca="false" t="array" ref="C80:C80">SUM(IF($B80=DATOS_[Sexo], IF($B78=DATOS_[AGRUP. CLAS. PROF.], IF("Dentro"=DATOS_[Check Periodo Ref.], 1/(COUNTIFS(DATOS_[Sexo],$B80,DATOS_[AGRUP. CLAS. PROF.],$B78,DATOS_[Check Periodo Ref.],"Dentro",DATOS_[id],DATOS_[id]))))))</f>
        <v>0</v>
      </c>
      <c r="D80" s="248" t="n">
        <f aca="false">COUNTIFS(DATOS_[AGRUP. CLAS. PROF.],$B78,DATOS_[Sexo],$B80,DATOS_[Check Periodo Ref.],"Dentro")</f>
        <v>0</v>
      </c>
      <c r="E80" s="248" t="n">
        <f aca="false">COUNTIFS(DATOS_[AGRUP. CLAS. PROF.],$B78,DATOS_[Sexo],$B80,DATOS_[Check Periodo Ref.],"Dentro",DATOS_[Check Nº SC Norm],"Sí")</f>
        <v>0</v>
      </c>
      <c r="F80" s="248" t="n">
        <f aca="false">COUNTIFS(DATOS_[AGRUP. CLAS. PROF.],$B78,DATOS_[Sexo],$B80,DATOS_[Check Periodo Ref.],"Dentro",DATOS_[Check Nº SC Anualiz],"Sí")</f>
        <v>0</v>
      </c>
      <c r="G80" s="248" t="n">
        <f aca="false">COUNTIFS(DATOS_[AGRUP. CLAS. PROF.],$B78,DATOS_[Sexo],$B80,DATOS_[Check Periodo Ref.],"Dentro",DATOS_[Check Nº SC Norm y Anualiz],"Sí")</f>
        <v>0</v>
      </c>
      <c r="H80" s="248" t="n">
        <f aca="false">COUNTIFS(DATOS_[AGRUP. CLAS. PROF.],$B78,DATOS_[Sexo],$B80,DATOS_[Check Periodo Ref.],"Dentro",DATOS_[Check Equiparación],"Sí")</f>
        <v>0</v>
      </c>
      <c r="I80" s="249" t="n">
        <f aca="false" t="array" ref="I80:I80">IFERROR( MEDIAN(IF(DATOS_[Sexo]=$B80,IF(DATOS_[[AGRUP. CLAS. PROF.]:[AGRUP. CLAS. PROF.]]=$B78,IF(DATOS_[Check Equiparado]="Sí",IF(DATOS_[Check Periodo Ref.]="Dentro",DATOS_[SALARIO BASE Eq],0))))), 0)</f>
        <v>0</v>
      </c>
      <c r="J80" s="250" t="n">
        <f aca="false" t="array" ref="J80:J80">IFERROR( (MEDIAN((IF(DATOS_[[Sexo]:[Sexo]]=$B80,IF(DATOS_[[AGRUP. CLAS. PROF.]:[AGRUP. CLAS. PROF.]]=$B78,IF(DATOS_[[Check Periodo Ref.]:[Check Periodo Ref.]]="Dentro",IF(DATOS_[[Check Equiparado]:[Check Equiparado]]="Sí",IF(DATOS!AE$4="Sí",(1/DATOS_[[% anualiz]:[% anualiz]]),1)*IF(DATOS!AE$5="Sí",1/DATOS_[[% normaliz]:[% normaliz]],1)*(DATOS_[Conc.Sal.01])))))))), 0)</f>
        <v>0</v>
      </c>
      <c r="K80" s="250" t="n">
        <f aca="false" t="array" ref="K80:K80">IFERROR( (MEDIAN((IF(DATOS_[[Sexo]:[Sexo]]=$B80,IF(DATOS_[[AGRUP. CLAS. PROF.]:[AGRUP. CLAS. PROF.]]=$B78,IF(DATOS_[[Check Periodo Ref.]:[Check Periodo Ref.]]="Dentro",IF(DATOS_[[Check Equiparado]:[Check Equiparado]]="Sí",IF(DATOS!AF$4="Sí",(1/DATOS_[[% anualiz]:[% anualiz]]),1)*IF(DATOS!AF$5="Sí",1/DATOS_[[% normaliz]:[% normaliz]],1)*(DATOS_[Conc.Sal.02])))))))), 0)</f>
        <v>0</v>
      </c>
      <c r="L80" s="250" t="n">
        <f aca="false" t="array" ref="L80:L80">IFERROR( (MEDIAN((IF(DATOS_[[Sexo]:[Sexo]]=$B80,IF(DATOS_[[AGRUP. CLAS. PROF.]:[AGRUP. CLAS. PROF.]]=$B78,IF(DATOS_[[Check Periodo Ref.]:[Check Periodo Ref.]]="Dentro",IF(DATOS_[[Check Equiparado]:[Check Equiparado]]="Sí",IF(DATOS!AG$4="Sí",(1/DATOS_[[% anualiz]:[% anualiz]]),1)*IF(DATOS!AG$5="Sí",1/DATOS_[[% normaliz]:[% normaliz]],1)*(DATOS_[Conc.Sal.03])))))))), 0)</f>
        <v>0</v>
      </c>
      <c r="M80" s="250" t="n">
        <f aca="false" t="array" ref="M80:M80">IFERROR( (MEDIAN((IF(DATOS_[[Sexo]:[Sexo]]=$B80,IF(DATOS_[[AGRUP. CLAS. PROF.]:[AGRUP. CLAS. PROF.]]=$B78,IF(DATOS_[[Check Periodo Ref.]:[Check Periodo Ref.]]="Dentro",IF(DATOS_[[Check Equiparado]:[Check Equiparado]]="Sí",IF(DATOS!AH$4="Sí",(1/DATOS_[[% anualiz]:[% anualiz]]),1)*IF(DATOS!AH$5="Sí",1/DATOS_[[% normaliz]:[% normaliz]],1)*(DATOS_[Conc.Sal.04])))))))), 0)</f>
        <v>0</v>
      </c>
      <c r="N80" s="250" t="n">
        <f aca="false" t="array" ref="N80:N80">IFERROR( (MEDIAN((IF(DATOS_[[Sexo]:[Sexo]]=$B80,IF(DATOS_[[AGRUP. CLAS. PROF.]:[AGRUP. CLAS. PROF.]]=$B78,IF(DATOS_[[Check Periodo Ref.]:[Check Periodo Ref.]]="Dentro",IF(DATOS_[[Check Equiparado]:[Check Equiparado]]="Sí",IF(DATOS!AI$4="Sí",(1/DATOS_[[% anualiz]:[% anualiz]]),1)*IF(DATOS!AI$5="Sí",1/DATOS_[[% normaliz]:[% normaliz]],1)*(DATOS_[Conc.Sal.05])))))))), 0)</f>
        <v>0</v>
      </c>
      <c r="O80" s="250" t="n">
        <f aca="false" t="array" ref="O80:O80">IFERROR( (MEDIAN((IF(DATOS_[[Sexo]:[Sexo]]=$B80,IF(DATOS_[[AGRUP. CLAS. PROF.]:[AGRUP. CLAS. PROF.]]=$B78,IF(DATOS_[[Check Periodo Ref.]:[Check Periodo Ref.]]="Dentro",IF(DATOS_[[Check Equiparado]:[Check Equiparado]]="Sí",IF(DATOS!AJ$4="Sí",(1/DATOS_[[% anualiz]:[% anualiz]]),1)*IF(DATOS!AJ$5="Sí",1/DATOS_[[% normaliz]:[% normaliz]],1)*(DATOS_[Conc.Sal.06])))))))), 0)</f>
        <v>0</v>
      </c>
      <c r="P80" s="250" t="n">
        <f aca="false" t="array" ref="P80:P80">IFERROR( (MEDIAN((IF(DATOS_[[Sexo]:[Sexo]]=$B80,IF(DATOS_[[AGRUP. CLAS. PROF.]:[AGRUP. CLAS. PROF.]]=$B78,IF(DATOS_[[Check Periodo Ref.]:[Check Periodo Ref.]]="Dentro",IF(DATOS_[[Check Equiparado]:[Check Equiparado]]="Sí",IF(DATOS!AK$4="Sí",(1/DATOS_[[% anualiz]:[% anualiz]]),1)*IF(DATOS!AK$5="Sí",1/DATOS_[[% normaliz]:[% normaliz]],1)*(DATOS_[Conc.Sal.07])))))))), 0)</f>
        <v>0</v>
      </c>
      <c r="Q80" s="250" t="n">
        <f aca="false" t="array" ref="Q80:Q80">IFERROR( (MEDIAN((IF(DATOS_[[Sexo]:[Sexo]]=$B80,IF(DATOS_[[AGRUP. CLAS. PROF.]:[AGRUP. CLAS. PROF.]]=$B78,IF(DATOS_[[Check Periodo Ref.]:[Check Periodo Ref.]]="Dentro",IF(DATOS_[[Check Equiparado]:[Check Equiparado]]="Sí",IF(DATOS!AL$4="Sí",(1/DATOS_[[% anualiz]:[% anualiz]]),1)*IF(DATOS!AL$5="Sí",1/DATOS_[[% normaliz]:[% normaliz]],1)*(DATOS_[Conc.Sal.08])))))))), 0)</f>
        <v>0</v>
      </c>
      <c r="R80" s="250" t="n">
        <f aca="false" t="array" ref="R80:R80">IFERROR( (MEDIAN((IF(DATOS_[[Sexo]:[Sexo]]=$B80,IF(DATOS_[[AGRUP. CLAS. PROF.]:[AGRUP. CLAS. PROF.]]=$B78,IF(DATOS_[[Check Periodo Ref.]:[Check Periodo Ref.]]="Dentro",IF(DATOS_[[Check Equiparado]:[Check Equiparado]]="Sí",IF(DATOS!AM$4="Sí",(1/DATOS_[[% anualiz]:[% anualiz]]),1)*IF(DATOS!AM$5="Sí",1/DATOS_[[% normaliz]:[% normaliz]],1)*(DATOS_[Conc.Sal.09])))))))), 0)</f>
        <v>0</v>
      </c>
      <c r="S80" s="250" t="n">
        <f aca="false" t="array" ref="S80:S80">IFERROR( (MEDIAN((IF(DATOS_[[Sexo]:[Sexo]]=$B80,IF(DATOS_[[AGRUP. CLAS. PROF.]:[AGRUP. CLAS. PROF.]]=$B78,IF(DATOS_[[Check Periodo Ref.]:[Check Periodo Ref.]]="Dentro",IF(DATOS_[[Check Equiparado]:[Check Equiparado]]="Sí",IF(DATOS!AN$4="Sí",(1/DATOS_[[% anualiz]:[% anualiz]]),1)*IF(DATOS!AN$5="Sí",1/DATOS_[[% normaliz]:[% normaliz]],1)*(DATOS_[Conc.Sal.10])))))))), 0)</f>
        <v>0</v>
      </c>
      <c r="T80" s="250" t="n">
        <f aca="false" t="array" ref="T80:T80">IFERROR( (MEDIAN((IF(DATOS_[[Sexo]:[Sexo]]=$B80,IF(DATOS_[[AGRUP. CLAS. PROF.]:[AGRUP. CLAS. PROF.]]=$B78,IF(DATOS_[[Check Periodo Ref.]:[Check Periodo Ref.]]="Dentro",IF(DATOS_[[Check Equiparado]:[Check Equiparado]]="Sí",IF(DATOS!AO$4="Sí",(1/DATOS_[[% anualiz]:[% anualiz]]),1)*IF(DATOS!AO$5="Sí",1/DATOS_[[% normaliz]:[% normaliz]],1)*(DATOS_[Conc.Sal.11])))))))), 0)</f>
        <v>0</v>
      </c>
      <c r="U80" s="250" t="n">
        <f aca="false" t="array" ref="U80:U80">IFERROR( (MEDIAN((IF(DATOS_[[Sexo]:[Sexo]]=$B80,IF(DATOS_[[AGRUP. CLAS. PROF.]:[AGRUP. CLAS. PROF.]]=$B78,IF(DATOS_[[Check Periodo Ref.]:[Check Periodo Ref.]]="Dentro",IF(DATOS_[[Check Equiparado]:[Check Equiparado]]="Sí",IF(DATOS!AP$4="Sí",(1/DATOS_[[% anualiz]:[% anualiz]]),1)*IF(DATOS!AP$5="Sí",1/DATOS_[[% normaliz]:[% normaliz]],1)*(DATOS_[Conc.Sal.12])))))))), 0)</f>
        <v>0</v>
      </c>
      <c r="V80" s="250" t="n">
        <f aca="false" t="array" ref="V80:V80">IFERROR( (MEDIAN((IF(DATOS_[[Sexo]:[Sexo]]=$B80,IF(DATOS_[[AGRUP. CLAS. PROF.]:[AGRUP. CLAS. PROF.]]=$B78,IF(DATOS_[[Check Periodo Ref.]:[Check Periodo Ref.]]="Dentro",IF(DATOS_[[Check Equiparado]:[Check Equiparado]]="Sí",IF(DATOS!AQ$4="Sí",(1/DATOS_[[% anualiz]:[% anualiz]]),1)*IF(DATOS!AQ$5="Sí",1/DATOS_[[% normaliz]:[% normaliz]],1)*(DATOS_[Conc.Sal.13])))))))), 0)</f>
        <v>0</v>
      </c>
      <c r="W80" s="250" t="n">
        <f aca="false" t="array" ref="W80:W80">IFERROR( (MEDIAN((IF(DATOS_[[Sexo]:[Sexo]]=$B80,IF(DATOS_[[AGRUP. CLAS. PROF.]:[AGRUP. CLAS. PROF.]]=$B78,IF(DATOS_[[Check Periodo Ref.]:[Check Periodo Ref.]]="Dentro",IF(DATOS_[[Check Equiparado]:[Check Equiparado]]="Sí",IF(DATOS!AR$4="Sí",(1/DATOS_[[% anualiz]:[% anualiz]]),1)*IF(DATOS!AR$5="Sí",1/DATOS_[[% normaliz]:[% normaliz]],1)*(DATOS_[Conc.Sal.14])))))))), 0)</f>
        <v>0</v>
      </c>
      <c r="X80" s="250" t="n">
        <f aca="false" t="array" ref="X80:X80">IFERROR( (MEDIAN((IF(DATOS_[[Sexo]:[Sexo]]=$B80,IF(DATOS_[[AGRUP. CLAS. PROF.]:[AGRUP. CLAS. PROF.]]=$B78,IF(DATOS_[[Check Periodo Ref.]:[Check Periodo Ref.]]="Dentro",IF(DATOS_[[Check Equiparado]:[Check Equiparado]]="Sí",IF(DATOS!AS$4="Sí",(1/DATOS_[[% anualiz]:[% anualiz]]),1)*IF(DATOS!AS$5="Sí",1/DATOS_[[% normaliz]:[% normaliz]],1)*(DATOS_[Conc.Sal.15])))))))), 0)</f>
        <v>0</v>
      </c>
      <c r="Y80" s="250" t="n">
        <f aca="false" t="array" ref="Y80:Y80">IFERROR( (MEDIAN((IF(DATOS_[[Sexo]:[Sexo]]=$B80,IF(DATOS_[[AGRUP. CLAS. PROF.]:[AGRUP. CLAS. PROF.]]=$B78,IF(DATOS_[[Check Periodo Ref.]:[Check Periodo Ref.]]="Dentro",IF(DATOS_[[Check Equiparado]:[Check Equiparado]]="Sí",IF(DATOS!AT$4="Sí",(1/DATOS_[[% anualiz]:[% anualiz]]),1)*IF(DATOS!AT$5="Sí",1/DATOS_[[% normaliz]:[% normaliz]],1)*(DATOS_[Conc.Sal.16])))))))), 0)</f>
        <v>0</v>
      </c>
      <c r="Z80" s="250" t="n">
        <f aca="false" t="array" ref="Z80:Z80">IFERROR( (MEDIAN((IF(DATOS_[[Sexo]:[Sexo]]=$B80,IF(DATOS_[[AGRUP. CLAS. PROF.]:[AGRUP. CLAS. PROF.]]=$B78,IF(DATOS_[[Check Periodo Ref.]:[Check Periodo Ref.]]="Dentro",IF(DATOS_[[Check Equiparado]:[Check Equiparado]]="Sí",IF(DATOS!AU$4="Sí",(1/DATOS_[[% anualiz]:[% anualiz]]),1)*IF(DATOS!AU$5="Sí",1/DATOS_[[% normaliz]:[% normaliz]],1)*(DATOS_[Conc.Sal.17])))))))), 0)</f>
        <v>0</v>
      </c>
      <c r="AA80" s="250" t="n">
        <f aca="false" t="array" ref="AA80:AA80">IFERROR( (MEDIAN((IF(DATOS_[[Sexo]:[Sexo]]=$B80,IF(DATOS_[[AGRUP. CLAS. PROF.]:[AGRUP. CLAS. PROF.]]=$B78,IF(DATOS_[[Check Periodo Ref.]:[Check Periodo Ref.]]="Dentro",IF(DATOS_[[Check Equiparado]:[Check Equiparado]]="Sí",IF(DATOS!AV$4="Sí",(1/DATOS_[[% anualiz]:[% anualiz]]),1)*IF(DATOS!AV$5="Sí",1/DATOS_[[% normaliz]:[% normaliz]],1)*(DATOS_[Conc.Sal.18])))))))), 0)</f>
        <v>0</v>
      </c>
      <c r="AB80" s="250" t="n">
        <f aca="false" t="array" ref="AB80:AB80">IFERROR( (MEDIAN((IF(DATOS_[[Sexo]:[Sexo]]=$B80,IF(DATOS_[[AGRUP. CLAS. PROF.]:[AGRUP. CLAS. PROF.]]=$B78,IF(DATOS_[[Check Periodo Ref.]:[Check Periodo Ref.]]="Dentro",IF(DATOS_[[Check Equiparado]:[Check Equiparado]]="Sí",IF(DATOS!AW$4="Sí",(1/DATOS_[[% anualiz]:[% anualiz]]),1)*IF(DATOS!AW$5="Sí",1/DATOS_[[% normaliz]:[% normaliz]],1)*(DATOS_[Conc.Sal.19])))))))), 0)</f>
        <v>0</v>
      </c>
      <c r="AC80" s="250" t="n">
        <f aca="false" t="array" ref="AC80:AC80">IFERROR( (MEDIAN((IF(DATOS_[[Sexo]:[Sexo]]=$B80,IF(DATOS_[[AGRUP. CLAS. PROF.]:[AGRUP. CLAS. PROF.]]=$B78,IF(DATOS_[[Check Periodo Ref.]:[Check Periodo Ref.]]="Dentro",IF(DATOS_[[Check Equiparado]:[Check Equiparado]]="Sí",IF(DATOS!AX$4="Sí",(1/DATOS_[[% anualiz]:[% anualiz]]),1)*IF(DATOS!AX$5="Sí",1/DATOS_[[% normaliz]:[% normaliz]],1)*(DATOS_[Conc.Sal.20])))))))), 0)</f>
        <v>0</v>
      </c>
      <c r="AD80" s="250" t="n">
        <f aca="false" t="array" ref="AD80:AD80">IFERROR( (MEDIAN((IF(DATOS_[[Sexo]:[Sexo]]=$B80,IF(DATOS_[[AGRUP. CLAS. PROF.]:[AGRUP. CLAS. PROF.]]=$B78,IF(DATOS_[[Check Periodo Ref.]:[Check Periodo Ref.]]="Dentro",IF(DATOS_[[Check Equiparado]:[Check Equiparado]]="Sí",IF(DATOS!AY$4="Sí",(1/DATOS_[[% anualiz]:[% anualiz]]),1)*IF(DATOS!AY$5="Sí",1/DATOS_[[% normaliz]:[% normaliz]],1)*(DATOS_[Conc.Sal.21])))))))), 0)</f>
        <v>0</v>
      </c>
      <c r="AE80" s="250" t="n">
        <f aca="false" t="array" ref="AE80:AE80">IFERROR( (MEDIAN((IF(DATOS_[[Sexo]:[Sexo]]=$B80,IF(DATOS_[[AGRUP. CLAS. PROF.]:[AGRUP. CLAS. PROF.]]=$B78,IF(DATOS_[[Check Periodo Ref.]:[Check Periodo Ref.]]="Dentro",IF(DATOS_[[Check Equiparado]:[Check Equiparado]]="Sí",IF(DATOS!AZ$4="Sí",(1/DATOS_[[% anualiz]:[% anualiz]]),1)*IF(DATOS!AZ$5="Sí",1/DATOS_[[% normaliz]:[% normaliz]],1)*(DATOS_[Conc.Sal.22])))))))), 0)</f>
        <v>0</v>
      </c>
      <c r="AF80" s="250" t="n">
        <f aca="false" t="array" ref="AF80:AF80">IFERROR( (MEDIAN((IF(DATOS_[[Sexo]:[Sexo]]=$B80,IF(DATOS_[[AGRUP. CLAS. PROF.]:[AGRUP. CLAS. PROF.]]=$B78,IF(DATOS_[[Check Periodo Ref.]:[Check Periodo Ref.]]="Dentro",IF(DATOS_[[Check Equiparado]:[Check Equiparado]]="Sí",IF(DATOS!BA$4="Sí",(1/DATOS_[[% anualiz]:[% anualiz]]),1)*IF(DATOS!BA$5="Sí",1/DATOS_[[% normaliz]:[% normaliz]],1)*(DATOS_[Conc.Sal.23])))))))), 0)</f>
        <v>0</v>
      </c>
      <c r="AG80" s="250" t="n">
        <f aca="false" t="array" ref="AG80:AG80">IFERROR( (MEDIAN((IF(DATOS_[[Sexo]:[Sexo]]=$B80,IF(DATOS_[[AGRUP. CLAS. PROF.]:[AGRUP. CLAS. PROF.]]=$B78,IF(DATOS_[[Check Periodo Ref.]:[Check Periodo Ref.]]="Dentro",IF(DATOS_[[Check Equiparado]:[Check Equiparado]]="Sí",IF(DATOS!BB$4="Sí",(1/DATOS_[[% anualiz]:[% anualiz]]),1)*IF(DATOS!BB$5="Sí",1/DATOS_[[% normaliz]:[% normaliz]],1)*(DATOS_[Conc.Sal.24])))))))), 0)</f>
        <v>0</v>
      </c>
      <c r="AH80" s="250" t="n">
        <f aca="false" t="array" ref="AH80:AH80">IFERROR( (MEDIAN((IF(DATOS_[[Sexo]:[Sexo]]=$B80,IF(DATOS_[[AGRUP. CLAS. PROF.]:[AGRUP. CLAS. PROF.]]=$B78,IF(DATOS_[[Check Periodo Ref.]:[Check Periodo Ref.]]="Dentro",IF(DATOS_[[Check Equiparado]:[Check Equiparado]]="Sí",IF(DATOS!BC$4="Sí",(1/DATOS_[[% anualiz]:[% anualiz]]),1)*IF(DATOS!BC$5="Sí",1/DATOS_[[% normaliz]:[% normaliz]],1)*(DATOS_[Conc.Sal.25])))))))), 0)</f>
        <v>0</v>
      </c>
      <c r="AI80" s="250" t="n">
        <f aca="false" t="array" ref="AI80:AI80">IFERROR( (MEDIAN((IF(DATOS_[[Sexo]:[Sexo]]=$B80,IF(DATOS_[[AGRUP. CLAS. PROF.]:[AGRUP. CLAS. PROF.]]=$B78,IF(DATOS_[[Check Periodo Ref.]:[Check Periodo Ref.]]="Dentro",IF(DATOS_[[Check Equiparado]:[Check Equiparado]]="Sí",IF(DATOS!BD$4="Sí",(1/DATOS_[[% anualiz]:[% anualiz]]),1)*IF(DATOS!BD$5="Sí",1/DATOS_[[% normaliz]:[% normaliz]],1)*(DATOS_[Conc.Sal.26])))))))), 0)</f>
        <v>0</v>
      </c>
      <c r="AJ80" s="250" t="n">
        <f aca="false" t="array" ref="AJ80:AJ80">IFERROR( (MEDIAN((IF(DATOS_[[Sexo]:[Sexo]]=$B80,IF(DATOS_[[AGRUP. CLAS. PROF.]:[AGRUP. CLAS. PROF.]]=$B78,IF(DATOS_[[Check Periodo Ref.]:[Check Periodo Ref.]]="Dentro",IF(DATOS_[[Check Equiparado]:[Check Equiparado]]="Sí",IF(DATOS!BE$4="Sí",(1/DATOS_[[% anualiz]:[% anualiz]]),1)*IF(DATOS!BE$5="Sí",1/DATOS_[[% normaliz]:[% normaliz]],1)*(DATOS_[Conc.Sal.27])))))))), 0)</f>
        <v>0</v>
      </c>
      <c r="AK80" s="250" t="n">
        <f aca="false" t="array" ref="AK80:AK80">IFERROR( (MEDIAN((IF(DATOS_[[Sexo]:[Sexo]]=$B80,IF(DATOS_[[AGRUP. CLAS. PROF.]:[AGRUP. CLAS. PROF.]]=$B78,IF(DATOS_[[Check Periodo Ref.]:[Check Periodo Ref.]]="Dentro",IF(DATOS_[[Check Equiparado]:[Check Equiparado]]="Sí",IF(DATOS!BF$4="Sí",(1/DATOS_[[% anualiz]:[% anualiz]]),1)*IF(DATOS!BF$5="Sí",1/DATOS_[[% normaliz]:[% normaliz]],1)*(DATOS_[Conc.Sal.28])))))))), 0)</f>
        <v>0</v>
      </c>
      <c r="AL80" s="250" t="n">
        <f aca="false" t="array" ref="AL80:AL80">IFERROR( (MEDIAN((IF(DATOS_[[Sexo]:[Sexo]]=$B80,IF(DATOS_[[AGRUP. CLAS. PROF.]:[AGRUP. CLAS. PROF.]]=$B78,IF(DATOS_[[Check Periodo Ref.]:[Check Periodo Ref.]]="Dentro",IF(DATOS_[[Check Equiparado]:[Check Equiparado]]="Sí",IF(DATOS!BG$4="Sí",(1/DATOS_[[% anualiz]:[% anualiz]]),1)*IF(DATOS!BG$5="Sí",1/DATOS_[[% normaliz]:[% normaliz]],1)*(DATOS_[Conc.Sal.29])))))))), 0)</f>
        <v>0</v>
      </c>
      <c r="AM80" s="250" t="n">
        <f aca="false" t="array" ref="AM80:AM80">IFERROR( (MEDIAN((IF(DATOS_[[Sexo]:[Sexo]]=$B80,IF(DATOS_[[AGRUP. CLAS. PROF.]:[AGRUP. CLAS. PROF.]]=$B78,IF(DATOS_[[Check Periodo Ref.]:[Check Periodo Ref.]]="Dentro",IF(DATOS_[[Check Equiparado]:[Check Equiparado]]="Sí",IF(DATOS!BH$4="Sí",(1/DATOS_[[% anualiz]:[% anualiz]]),1)*IF(DATOS!BH$5="Sí",1/DATOS_[[% normaliz]:[% normaliz]],1)*(DATOS_[Conc.Sal.30])))))))), 0)</f>
        <v>0</v>
      </c>
      <c r="AN80" s="251" t="n">
        <f aca="false" t="array" ref="AN80:AN80">IFERROR( MEDIAN(IF(DATOS_[Sexo]=$B80,IF(DATOS_[[AGRUP. CLAS. PROF.]:[AGRUP. CLAS. PROF.]]=$B78,IF(DATOS_[Check Equiparado]="Sí",IF(DATOS_[Check Periodo Ref.]="Dentro",DATOS_[Tot COMPL.SAL Eq],0))))), 0)</f>
        <v>0</v>
      </c>
      <c r="AO80" s="252" t="n">
        <f aca="false" t="array" ref="AO80:AO80">IFERROR( MEDIAN(IF(DATOS_[Sexo]=$B80,IF(DATOS_[[AGRUP. CLAS. PROF.]:[AGRUP. CLAS. PROF.]]=$B78,IF(DATOS_[Check Equiparado]="Sí",IF(DATOS_[Check Periodo Ref.]="Dentro",DATOS_[TOTAL SALARIO Eq],0))))), 0)</f>
        <v>0</v>
      </c>
      <c r="AP80" s="259" t="n">
        <f aca="false" t="array" ref="AP80:AP80">IFERROR( (MEDIAN((IF(DATOS_[[Sexo]:[Sexo]]=$B80,IF(DATOS_[[AGRUP. CLAS. PROF.]:[AGRUP. CLAS. PROF.]]=$B79,IF(DATOS_[[Check Periodo Ref.]:[Check Periodo Ref.]]="Dentro",IF(DATOS_[[Check Equiparado]:[Check Equiparado]]="Sí",IF(DATOS!BI$4="Sí",(1/DATOS_[[% anualiz]:[% anualiz]]),1)*IF(DATOS!BI$5="Sí",1/DATOS_[[% normaliz]:[% normaliz]],1)*(DATOS_[C.Extra.01])))))))), 0)</f>
        <v>0</v>
      </c>
      <c r="AQ80" s="259" t="n">
        <f aca="false" t="array" ref="AQ80:AQ80">IFERROR( (MEDIAN((IF(DATOS_[[Sexo]:[Sexo]]=$B80,IF(DATOS_[[AGRUP. CLAS. PROF.]:[AGRUP. CLAS. PROF.]]=$B79,IF(DATOS_[[Check Periodo Ref.]:[Check Periodo Ref.]]="Dentro",IF(DATOS_[[Check Equiparado]:[Check Equiparado]]="Sí",IF(DATOS!BJ$4="Sí",(1/DATOS_[[% anualiz]:[% anualiz]]),1)*IF(DATOS!BJ$5="Sí",1/DATOS_[[% normaliz]:[% normaliz]],1)*(DATOS_[C.Extra.02])))))))), 0)</f>
        <v>0</v>
      </c>
      <c r="AR80" s="259" t="n">
        <f aca="false" t="array" ref="AR80:AR80">IFERROR( (MEDIAN((IF(DATOS_[[Sexo]:[Sexo]]=$B80,IF(DATOS_[[AGRUP. CLAS. PROF.]:[AGRUP. CLAS. PROF.]]=$B79,IF(DATOS_[[Check Periodo Ref.]:[Check Periodo Ref.]]="Dentro",IF(DATOS_[[Check Equiparado]:[Check Equiparado]]="Sí",IF(DATOS!BK$4="Sí",(1/DATOS_[[% anualiz]:[% anualiz]]),1)*IF(DATOS!BK$5="Sí",1/DATOS_[[% normaliz]:[% normaliz]],1)*(DATOS_[C.Extra.03])))))))), 0)</f>
        <v>0</v>
      </c>
      <c r="AS80" s="259" t="n">
        <f aca="false" t="array" ref="AS80:AS80">IFERROR( (MEDIAN((IF(DATOS_[[Sexo]:[Sexo]]=$B80,IF(DATOS_[[AGRUP. CLAS. PROF.]:[AGRUP. CLAS. PROF.]]=$B79,IF(DATOS_[[Check Periodo Ref.]:[Check Periodo Ref.]]="Dentro",IF(DATOS_[[Check Equiparado]:[Check Equiparado]]="Sí",IF(DATOS!BL$4="Sí",(1/DATOS_[[% anualiz]:[% anualiz]]),1)*IF(DATOS!BL$5="Sí",1/DATOS_[[% normaliz]:[% normaliz]],1)*(DATOS_[C.Extra.04])))))))), 0)</f>
        <v>0</v>
      </c>
      <c r="AT80" s="259" t="n">
        <f aca="false" t="array" ref="AT80:AT80">IFERROR( (MEDIAN((IF(DATOS_[[Sexo]:[Sexo]]=$B80,IF(DATOS_[[AGRUP. CLAS. PROF.]:[AGRUP. CLAS. PROF.]]=$B79,IF(DATOS_[[Check Periodo Ref.]:[Check Periodo Ref.]]="Dentro",IF(DATOS_[[Check Equiparado]:[Check Equiparado]]="Sí",IF(DATOS!BM$4="Sí",(1/DATOS_[[% anualiz]:[% anualiz]]),1)*IF(DATOS!BM$5="Sí",1/DATOS_[[% normaliz]:[% normaliz]],1)*(DATOS_[C.Extra.05])))))))), 0)</f>
        <v>0</v>
      </c>
      <c r="AU80" s="254" t="n">
        <f aca="false" t="array" ref="AU80:AU80">IFERROR( MEDIAN(IF(DATOS_[Sexo]=$B80,IF(DATOS_[[AGRUP. CLAS. PROF.]:[AGRUP. CLAS. PROF.]]=$B78,IF(DATOS_[Check Equiparado]="Sí",IF(DATOS_[Check Periodo Ref.]="Dentro",DATOS_[Tot Extrasalarial Eq],0))))), 0)</f>
        <v>0</v>
      </c>
      <c r="AV80" s="255" t="n">
        <f aca="false" t="array" ref="AV80:AV80">IFERROR( MEDIAN(IF(DATOS_[Sexo]=$B80,IF(DATOS_[[AGRUP. CLAS. PROF.]:[AGRUP. CLAS. PROF.]]=$B78,IF(DATOS_[Check Equiparado]="Sí",IF(DATOS_[Check Periodo Ref.]="Dentro",DATOS_[TOTAL Retrib Eq],0))))), 0)</f>
        <v>0</v>
      </c>
    </row>
    <row r="81" customFormat="false" ht="15.75" hidden="false" customHeight="false" outlineLevel="0" collapsed="false">
      <c r="A81" s="217" t="str">
        <f aca="false">+A82</f>
        <v>[ocultar]</v>
      </c>
      <c r="B81" s="320" t="s">
        <v>234</v>
      </c>
      <c r="C81" s="236"/>
      <c r="D81" s="237"/>
      <c r="E81" s="237"/>
      <c r="F81" s="237"/>
      <c r="G81" s="237"/>
      <c r="H81" s="237"/>
      <c r="I81" s="238"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39" t="str">
        <f aca="false">IFERROR((V82-V83)/V82,"")</f>
        <v/>
      </c>
      <c r="W81" s="239" t="str">
        <f aca="false">IFERROR((W82-W83)/W82,"")</f>
        <v/>
      </c>
      <c r="X81" s="239" t="str">
        <f aca="false">IFERROR((X82-X83)/X82,"")</f>
        <v/>
      </c>
      <c r="Y81" s="239"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0" t="str">
        <f aca="false">IFERROR((AJ82-AJ83)/AJ82,"")</f>
        <v/>
      </c>
      <c r="AK81" s="240" t="str">
        <f aca="false">IFERROR((AK82-AK83)/AK82,"")</f>
        <v/>
      </c>
      <c r="AL81" s="240" t="str">
        <f aca="false">IFERROR((AL82-AL83)/AL82,"")</f>
        <v/>
      </c>
      <c r="AM81" s="240" t="str">
        <f aca="false">IFERROR((AM82-AM83)/AM82,"")</f>
        <v/>
      </c>
      <c r="AN81" s="241" t="str">
        <f aca="false">IFERROR((AN82-AN83)/AN82,"")</f>
        <v/>
      </c>
      <c r="AO81" s="242" t="str">
        <f aca="false">IFERROR((AO82-AO83)/AO82,"")</f>
        <v/>
      </c>
      <c r="AP81" s="243" t="str">
        <f aca="false">IFERROR((AP82-AP83)/AP82,"")</f>
        <v/>
      </c>
      <c r="AQ81" s="243" t="str">
        <f aca="false">IFERROR((AQ82-AQ83)/AQ82,"")</f>
        <v/>
      </c>
      <c r="AR81" s="243" t="str">
        <f aca="false">IFERROR((AR82-AR83)/AR82,"")</f>
        <v/>
      </c>
      <c r="AS81" s="243" t="str">
        <f aca="false">IFERROR((AS82-AS83)/AS82,"")</f>
        <v/>
      </c>
      <c r="AT81" s="243" t="str">
        <f aca="false">IFERROR((AT82-AT83)/AT82,"")</f>
        <v/>
      </c>
      <c r="AU81" s="244" t="str">
        <f aca="false">IFERROR((AU82-AU83)/AU82,"")</f>
        <v/>
      </c>
      <c r="AV81" s="245" t="str">
        <f aca="false">IFERROR((AV82-AV83)/AV82,"")</f>
        <v/>
      </c>
    </row>
    <row r="82" customFormat="false" ht="14.25" hidden="false" customHeight="false" outlineLevel="0" collapsed="false">
      <c r="A82" s="217" t="str">
        <f aca="false">+IF(C82+C83=0,"[ocultar]","")</f>
        <v>[ocultar]</v>
      </c>
      <c r="B82" s="323" t="s">
        <v>371</v>
      </c>
      <c r="C82" s="247" t="n">
        <f aca="false" t="array" ref="C82:C82">SUM(IF($B82=DATOS_[Sexo], IF($B81=DATOS_[AGRUP. CLAS. PROF.], IF("Dentro"=DATOS_[Check Periodo Ref.], 1/(COUNTIFS(DATOS_[Sexo],$B82,DATOS_[AGRUP. CLAS. PROF.],$B81,DATOS_[Check Periodo Ref.],"Dentro",DATOS_[id],DATOS_[id]))))))</f>
        <v>0</v>
      </c>
      <c r="D82" s="248" t="n">
        <f aca="false">COUNTIFS(DATOS_[AGRUP. CLAS. PROF.],$B81,DATOS_[Sexo],$B82,DATOS_[Check Periodo Ref.],"Dentro")</f>
        <v>0</v>
      </c>
      <c r="E82" s="248" t="n">
        <f aca="false">COUNTIFS(DATOS_[AGRUP. CLAS. PROF.],$B81,DATOS_[Sexo],$B82,DATOS_[Check Periodo Ref.],"Dentro",DATOS_[Check Nº SC Norm],"Sí")</f>
        <v>0</v>
      </c>
      <c r="F82" s="248" t="n">
        <f aca="false">COUNTIFS(DATOS_[AGRUP. CLAS. PROF.],$B81,DATOS_[Sexo],$B82,DATOS_[Check Periodo Ref.],"Dentro",DATOS_[Check Nº SC Anualiz],"Sí")</f>
        <v>0</v>
      </c>
      <c r="G82" s="248" t="n">
        <f aca="false">COUNTIFS(DATOS_[AGRUP. CLAS. PROF.],$B81,DATOS_[Sexo],$B82,DATOS_[Check Periodo Ref.],"Dentro",DATOS_[Check Nº SC Norm y Anualiz],"Sí")</f>
        <v>0</v>
      </c>
      <c r="H82" s="248" t="n">
        <f aca="false">COUNTIFS(DATOS_[AGRUP. CLAS. PROF.],$B81,DATOS_[Sexo],$B82,DATOS_[Check Periodo Ref.],"Dentro",DATOS_[Check Equiparación],"Sí")</f>
        <v>0</v>
      </c>
      <c r="I82" s="249" t="n">
        <f aca="false" t="array" ref="I82:I82">IFERROR( MEDIAN(IF(DATOS_[Sexo]=$B82,IF(DATOS_[[AGRUP. CLAS. PROF.]:[AGRUP. CLAS. PROF.]]=$B81,IF(DATOS_[Check Equiparado]="Sí",IF(DATOS_[Check Periodo Ref.]="Dentro",DATOS_[SALARIO BASE Eq],0))))), 0)</f>
        <v>0</v>
      </c>
      <c r="J82" s="250" t="n">
        <f aca="false" t="array" ref="J82:J82">IFERROR( (MEDIAN((IF(DATOS_[[Sexo]:[Sexo]]=$B82,IF(DATOS_[[AGRUP. CLAS. PROF.]:[AGRUP. CLAS. PROF.]]=$B81,IF(DATOS_[[Check Periodo Ref.]:[Check Periodo Ref.]]="Dentro",IF(DATOS_[[Check Equiparado]:[Check Equiparado]]="Sí",IF(DATOS!AE$4="Sí",(1/DATOS_[[% anualiz]:[% anualiz]]),1)*IF(DATOS!AE$5="Sí",1/DATOS_[[% normaliz]:[% normaliz]],1)*(DATOS_[Conc.Sal.01])))))))), 0)</f>
        <v>0</v>
      </c>
      <c r="K82" s="250" t="n">
        <f aca="false" t="array" ref="K82:K82">IFERROR( (MEDIAN((IF(DATOS_[[Sexo]:[Sexo]]=$B82,IF(DATOS_[[AGRUP. CLAS. PROF.]:[AGRUP. CLAS. PROF.]]=$B81,IF(DATOS_[[Check Periodo Ref.]:[Check Periodo Ref.]]="Dentro",IF(DATOS_[[Check Equiparado]:[Check Equiparado]]="Sí",IF(DATOS!AF$4="Sí",(1/DATOS_[[% anualiz]:[% anualiz]]),1)*IF(DATOS!AF$5="Sí",1/DATOS_[[% normaliz]:[% normaliz]],1)*(DATOS_[Conc.Sal.02])))))))), 0)</f>
        <v>0</v>
      </c>
      <c r="L82" s="250" t="n">
        <f aca="false" t="array" ref="L82:L82">IFERROR( (MEDIAN((IF(DATOS_[[Sexo]:[Sexo]]=$B82,IF(DATOS_[[AGRUP. CLAS. PROF.]:[AGRUP. CLAS. PROF.]]=$B81,IF(DATOS_[[Check Periodo Ref.]:[Check Periodo Ref.]]="Dentro",IF(DATOS_[[Check Equiparado]:[Check Equiparado]]="Sí",IF(DATOS!AG$4="Sí",(1/DATOS_[[% anualiz]:[% anualiz]]),1)*IF(DATOS!AG$5="Sí",1/DATOS_[[% normaliz]:[% normaliz]],1)*(DATOS_[Conc.Sal.03])))))))), 0)</f>
        <v>0</v>
      </c>
      <c r="M82" s="250" t="n">
        <f aca="false" t="array" ref="M82:M82">IFERROR( (MEDIAN((IF(DATOS_[[Sexo]:[Sexo]]=$B82,IF(DATOS_[[AGRUP. CLAS. PROF.]:[AGRUP. CLAS. PROF.]]=$B81,IF(DATOS_[[Check Periodo Ref.]:[Check Periodo Ref.]]="Dentro",IF(DATOS_[[Check Equiparado]:[Check Equiparado]]="Sí",IF(DATOS!AH$4="Sí",(1/DATOS_[[% anualiz]:[% anualiz]]),1)*IF(DATOS!AH$5="Sí",1/DATOS_[[% normaliz]:[% normaliz]],1)*(DATOS_[Conc.Sal.04])))))))), 0)</f>
        <v>0</v>
      </c>
      <c r="N82" s="250" t="n">
        <f aca="false" t="array" ref="N82:N82">IFERROR( (MEDIAN((IF(DATOS_[[Sexo]:[Sexo]]=$B82,IF(DATOS_[[AGRUP. CLAS. PROF.]:[AGRUP. CLAS. PROF.]]=$B81,IF(DATOS_[[Check Periodo Ref.]:[Check Periodo Ref.]]="Dentro",IF(DATOS_[[Check Equiparado]:[Check Equiparado]]="Sí",IF(DATOS!AI$4="Sí",(1/DATOS_[[% anualiz]:[% anualiz]]),1)*IF(DATOS!AI$5="Sí",1/DATOS_[[% normaliz]:[% normaliz]],1)*(DATOS_[Conc.Sal.05])))))))), 0)</f>
        <v>0</v>
      </c>
      <c r="O82" s="250" t="n">
        <f aca="false" t="array" ref="O82:O82">IFERROR( (MEDIAN((IF(DATOS_[[Sexo]:[Sexo]]=$B82,IF(DATOS_[[AGRUP. CLAS. PROF.]:[AGRUP. CLAS. PROF.]]=$B81,IF(DATOS_[[Check Periodo Ref.]:[Check Periodo Ref.]]="Dentro",IF(DATOS_[[Check Equiparado]:[Check Equiparado]]="Sí",IF(DATOS!AJ$4="Sí",(1/DATOS_[[% anualiz]:[% anualiz]]),1)*IF(DATOS!AJ$5="Sí",1/DATOS_[[% normaliz]:[% normaliz]],1)*(DATOS_[Conc.Sal.06])))))))), 0)</f>
        <v>0</v>
      </c>
      <c r="P82" s="250" t="n">
        <f aca="false" t="array" ref="P82:P82">IFERROR( (MEDIAN((IF(DATOS_[[Sexo]:[Sexo]]=$B82,IF(DATOS_[[AGRUP. CLAS. PROF.]:[AGRUP. CLAS. PROF.]]=$B81,IF(DATOS_[[Check Periodo Ref.]:[Check Periodo Ref.]]="Dentro",IF(DATOS_[[Check Equiparado]:[Check Equiparado]]="Sí",IF(DATOS!AK$4="Sí",(1/DATOS_[[% anualiz]:[% anualiz]]),1)*IF(DATOS!AK$5="Sí",1/DATOS_[[% normaliz]:[% normaliz]],1)*(DATOS_[Conc.Sal.07])))))))), 0)</f>
        <v>0</v>
      </c>
      <c r="Q82" s="250" t="n">
        <f aca="false" t="array" ref="Q82:Q82">IFERROR( (MEDIAN((IF(DATOS_[[Sexo]:[Sexo]]=$B82,IF(DATOS_[[AGRUP. CLAS. PROF.]:[AGRUP. CLAS. PROF.]]=$B81,IF(DATOS_[[Check Periodo Ref.]:[Check Periodo Ref.]]="Dentro",IF(DATOS_[[Check Equiparado]:[Check Equiparado]]="Sí",IF(DATOS!AL$4="Sí",(1/DATOS_[[% anualiz]:[% anualiz]]),1)*IF(DATOS!AL$5="Sí",1/DATOS_[[% normaliz]:[% normaliz]],1)*(DATOS_[Conc.Sal.08])))))))), 0)</f>
        <v>0</v>
      </c>
      <c r="R82" s="250" t="n">
        <f aca="false" t="array" ref="R82:R82">IFERROR( (MEDIAN((IF(DATOS_[[Sexo]:[Sexo]]=$B82,IF(DATOS_[[AGRUP. CLAS. PROF.]:[AGRUP. CLAS. PROF.]]=$B81,IF(DATOS_[[Check Periodo Ref.]:[Check Periodo Ref.]]="Dentro",IF(DATOS_[[Check Equiparado]:[Check Equiparado]]="Sí",IF(DATOS!AM$4="Sí",(1/DATOS_[[% anualiz]:[% anualiz]]),1)*IF(DATOS!AM$5="Sí",1/DATOS_[[% normaliz]:[% normaliz]],1)*(DATOS_[Conc.Sal.09])))))))), 0)</f>
        <v>0</v>
      </c>
      <c r="S82" s="250" t="n">
        <f aca="false" t="array" ref="S82:S82">IFERROR( (MEDIAN((IF(DATOS_[[Sexo]:[Sexo]]=$B82,IF(DATOS_[[AGRUP. CLAS. PROF.]:[AGRUP. CLAS. PROF.]]=$B81,IF(DATOS_[[Check Periodo Ref.]:[Check Periodo Ref.]]="Dentro",IF(DATOS_[[Check Equiparado]:[Check Equiparado]]="Sí",IF(DATOS!AN$4="Sí",(1/DATOS_[[% anualiz]:[% anualiz]]),1)*IF(DATOS!AN$5="Sí",1/DATOS_[[% normaliz]:[% normaliz]],1)*(DATOS_[Conc.Sal.10])))))))), 0)</f>
        <v>0</v>
      </c>
      <c r="T82" s="250" t="n">
        <f aca="false" t="array" ref="T82:T82">IFERROR( (MEDIAN((IF(DATOS_[[Sexo]:[Sexo]]=$B82,IF(DATOS_[[AGRUP. CLAS. PROF.]:[AGRUP. CLAS. PROF.]]=$B81,IF(DATOS_[[Check Periodo Ref.]:[Check Periodo Ref.]]="Dentro",IF(DATOS_[[Check Equiparado]:[Check Equiparado]]="Sí",IF(DATOS!AO$4="Sí",(1/DATOS_[[% anualiz]:[% anualiz]]),1)*IF(DATOS!AO$5="Sí",1/DATOS_[[% normaliz]:[% normaliz]],1)*(DATOS_[Conc.Sal.11])))))))), 0)</f>
        <v>0</v>
      </c>
      <c r="U82" s="250" t="n">
        <f aca="false" t="array" ref="U82:U82">IFERROR( (MEDIAN((IF(DATOS_[[Sexo]:[Sexo]]=$B82,IF(DATOS_[[AGRUP. CLAS. PROF.]:[AGRUP. CLAS. PROF.]]=$B81,IF(DATOS_[[Check Periodo Ref.]:[Check Periodo Ref.]]="Dentro",IF(DATOS_[[Check Equiparado]:[Check Equiparado]]="Sí",IF(DATOS!AP$4="Sí",(1/DATOS_[[% anualiz]:[% anualiz]]),1)*IF(DATOS!AP$5="Sí",1/DATOS_[[% normaliz]:[% normaliz]],1)*(DATOS_[Conc.Sal.12])))))))), 0)</f>
        <v>0</v>
      </c>
      <c r="V82" s="250" t="n">
        <f aca="false" t="array" ref="V82:V82">IFERROR( (MEDIAN((IF(DATOS_[[Sexo]:[Sexo]]=$B82,IF(DATOS_[[AGRUP. CLAS. PROF.]:[AGRUP. CLAS. PROF.]]=$B81,IF(DATOS_[[Check Periodo Ref.]:[Check Periodo Ref.]]="Dentro",IF(DATOS_[[Check Equiparado]:[Check Equiparado]]="Sí",IF(DATOS!AQ$4="Sí",(1/DATOS_[[% anualiz]:[% anualiz]]),1)*IF(DATOS!AQ$5="Sí",1/DATOS_[[% normaliz]:[% normaliz]],1)*(DATOS_[Conc.Sal.13])))))))), 0)</f>
        <v>0</v>
      </c>
      <c r="W82" s="250" t="n">
        <f aca="false" t="array" ref="W82:W82">IFERROR( (MEDIAN((IF(DATOS_[[Sexo]:[Sexo]]=$B82,IF(DATOS_[[AGRUP. CLAS. PROF.]:[AGRUP. CLAS. PROF.]]=$B81,IF(DATOS_[[Check Periodo Ref.]:[Check Periodo Ref.]]="Dentro",IF(DATOS_[[Check Equiparado]:[Check Equiparado]]="Sí",IF(DATOS!AR$4="Sí",(1/DATOS_[[% anualiz]:[% anualiz]]),1)*IF(DATOS!AR$5="Sí",1/DATOS_[[% normaliz]:[% normaliz]],1)*(DATOS_[Conc.Sal.14])))))))), 0)</f>
        <v>0</v>
      </c>
      <c r="X82" s="250" t="n">
        <f aca="false" t="array" ref="X82:X82">IFERROR( (MEDIAN((IF(DATOS_[[Sexo]:[Sexo]]=$B82,IF(DATOS_[[AGRUP. CLAS. PROF.]:[AGRUP. CLAS. PROF.]]=$B81,IF(DATOS_[[Check Periodo Ref.]:[Check Periodo Ref.]]="Dentro",IF(DATOS_[[Check Equiparado]:[Check Equiparado]]="Sí",IF(DATOS!AS$4="Sí",(1/DATOS_[[% anualiz]:[% anualiz]]),1)*IF(DATOS!AS$5="Sí",1/DATOS_[[% normaliz]:[% normaliz]],1)*(DATOS_[Conc.Sal.15])))))))), 0)</f>
        <v>0</v>
      </c>
      <c r="Y82" s="250" t="n">
        <f aca="false" t="array" ref="Y82:Y82">IFERROR( (MEDIAN((IF(DATOS_[[Sexo]:[Sexo]]=$B82,IF(DATOS_[[AGRUP. CLAS. PROF.]:[AGRUP. CLAS. PROF.]]=$B81,IF(DATOS_[[Check Periodo Ref.]:[Check Periodo Ref.]]="Dentro",IF(DATOS_[[Check Equiparado]:[Check Equiparado]]="Sí",IF(DATOS!AT$4="Sí",(1/DATOS_[[% anualiz]:[% anualiz]]),1)*IF(DATOS!AT$5="Sí",1/DATOS_[[% normaliz]:[% normaliz]],1)*(DATOS_[Conc.Sal.16])))))))), 0)</f>
        <v>0</v>
      </c>
      <c r="Z82" s="250" t="n">
        <f aca="false" t="array" ref="Z82:Z82">IFERROR( (MEDIAN((IF(DATOS_[[Sexo]:[Sexo]]=$B82,IF(DATOS_[[AGRUP. CLAS. PROF.]:[AGRUP. CLAS. PROF.]]=$B81,IF(DATOS_[[Check Periodo Ref.]:[Check Periodo Ref.]]="Dentro",IF(DATOS_[[Check Equiparado]:[Check Equiparado]]="Sí",IF(DATOS!AU$4="Sí",(1/DATOS_[[% anualiz]:[% anualiz]]),1)*IF(DATOS!AU$5="Sí",1/DATOS_[[% normaliz]:[% normaliz]],1)*(DATOS_[Conc.Sal.17])))))))), 0)</f>
        <v>0</v>
      </c>
      <c r="AA82" s="250" t="n">
        <f aca="false" t="array" ref="AA82:AA82">IFERROR( (MEDIAN((IF(DATOS_[[Sexo]:[Sexo]]=$B82,IF(DATOS_[[AGRUP. CLAS. PROF.]:[AGRUP. CLAS. PROF.]]=$B81,IF(DATOS_[[Check Periodo Ref.]:[Check Periodo Ref.]]="Dentro",IF(DATOS_[[Check Equiparado]:[Check Equiparado]]="Sí",IF(DATOS!AV$4="Sí",(1/DATOS_[[% anualiz]:[% anualiz]]),1)*IF(DATOS!AV$5="Sí",1/DATOS_[[% normaliz]:[% normaliz]],1)*(DATOS_[Conc.Sal.18])))))))), 0)</f>
        <v>0</v>
      </c>
      <c r="AB82" s="250" t="n">
        <f aca="false" t="array" ref="AB82:AB82">IFERROR( (MEDIAN((IF(DATOS_[[Sexo]:[Sexo]]=$B82,IF(DATOS_[[AGRUP. CLAS. PROF.]:[AGRUP. CLAS. PROF.]]=$B81,IF(DATOS_[[Check Periodo Ref.]:[Check Periodo Ref.]]="Dentro",IF(DATOS_[[Check Equiparado]:[Check Equiparado]]="Sí",IF(DATOS!AW$4="Sí",(1/DATOS_[[% anualiz]:[% anualiz]]),1)*IF(DATOS!AW$5="Sí",1/DATOS_[[% normaliz]:[% normaliz]],1)*(DATOS_[Conc.Sal.19])))))))), 0)</f>
        <v>0</v>
      </c>
      <c r="AC82" s="250" t="n">
        <f aca="false" t="array" ref="AC82:AC82">IFERROR( (MEDIAN((IF(DATOS_[[Sexo]:[Sexo]]=$B82,IF(DATOS_[[AGRUP. CLAS. PROF.]:[AGRUP. CLAS. PROF.]]=$B81,IF(DATOS_[[Check Periodo Ref.]:[Check Periodo Ref.]]="Dentro",IF(DATOS_[[Check Equiparado]:[Check Equiparado]]="Sí",IF(DATOS!AX$4="Sí",(1/DATOS_[[% anualiz]:[% anualiz]]),1)*IF(DATOS!AX$5="Sí",1/DATOS_[[% normaliz]:[% normaliz]],1)*(DATOS_[Conc.Sal.20])))))))), 0)</f>
        <v>0</v>
      </c>
      <c r="AD82" s="250" t="n">
        <f aca="false" t="array" ref="AD82:AD82">IFERROR( (MEDIAN((IF(DATOS_[[Sexo]:[Sexo]]=$B82,IF(DATOS_[[AGRUP. CLAS. PROF.]:[AGRUP. CLAS. PROF.]]=$B81,IF(DATOS_[[Check Periodo Ref.]:[Check Periodo Ref.]]="Dentro",IF(DATOS_[[Check Equiparado]:[Check Equiparado]]="Sí",IF(DATOS!AY$4="Sí",(1/DATOS_[[% anualiz]:[% anualiz]]),1)*IF(DATOS!AY$5="Sí",1/DATOS_[[% normaliz]:[% normaliz]],1)*(DATOS_[Conc.Sal.21])))))))), 0)</f>
        <v>0</v>
      </c>
      <c r="AE82" s="250" t="n">
        <f aca="false" t="array" ref="AE82:AE82">IFERROR( (MEDIAN((IF(DATOS_[[Sexo]:[Sexo]]=$B82,IF(DATOS_[[AGRUP. CLAS. PROF.]:[AGRUP. CLAS. PROF.]]=$B81,IF(DATOS_[[Check Periodo Ref.]:[Check Periodo Ref.]]="Dentro",IF(DATOS_[[Check Equiparado]:[Check Equiparado]]="Sí",IF(DATOS!AZ$4="Sí",(1/DATOS_[[% anualiz]:[% anualiz]]),1)*IF(DATOS!AZ$5="Sí",1/DATOS_[[% normaliz]:[% normaliz]],1)*(DATOS_[Conc.Sal.22])))))))), 0)</f>
        <v>0</v>
      </c>
      <c r="AF82" s="250" t="n">
        <f aca="false" t="array" ref="AF82:AF82">IFERROR( (MEDIAN((IF(DATOS_[[Sexo]:[Sexo]]=$B82,IF(DATOS_[[AGRUP. CLAS. PROF.]:[AGRUP. CLAS. PROF.]]=$B81,IF(DATOS_[[Check Periodo Ref.]:[Check Periodo Ref.]]="Dentro",IF(DATOS_[[Check Equiparado]:[Check Equiparado]]="Sí",IF(DATOS!BA$4="Sí",(1/DATOS_[[% anualiz]:[% anualiz]]),1)*IF(DATOS!BA$5="Sí",1/DATOS_[[% normaliz]:[% normaliz]],1)*(DATOS_[Conc.Sal.23])))))))), 0)</f>
        <v>0</v>
      </c>
      <c r="AG82" s="250" t="n">
        <f aca="false" t="array" ref="AG82:AG82">IFERROR( (MEDIAN((IF(DATOS_[[Sexo]:[Sexo]]=$B82,IF(DATOS_[[AGRUP. CLAS. PROF.]:[AGRUP. CLAS. PROF.]]=$B81,IF(DATOS_[[Check Periodo Ref.]:[Check Periodo Ref.]]="Dentro",IF(DATOS_[[Check Equiparado]:[Check Equiparado]]="Sí",IF(DATOS!BB$4="Sí",(1/DATOS_[[% anualiz]:[% anualiz]]),1)*IF(DATOS!BB$5="Sí",1/DATOS_[[% normaliz]:[% normaliz]],1)*(DATOS_[Conc.Sal.24])))))))), 0)</f>
        <v>0</v>
      </c>
      <c r="AH82" s="250" t="n">
        <f aca="false" t="array" ref="AH82:AH82">IFERROR( (MEDIAN((IF(DATOS_[[Sexo]:[Sexo]]=$B82,IF(DATOS_[[AGRUP. CLAS. PROF.]:[AGRUP. CLAS. PROF.]]=$B81,IF(DATOS_[[Check Periodo Ref.]:[Check Periodo Ref.]]="Dentro",IF(DATOS_[[Check Equiparado]:[Check Equiparado]]="Sí",IF(DATOS!BC$4="Sí",(1/DATOS_[[% anualiz]:[% anualiz]]),1)*IF(DATOS!BC$5="Sí",1/DATOS_[[% normaliz]:[% normaliz]],1)*(DATOS_[Conc.Sal.25])))))))), 0)</f>
        <v>0</v>
      </c>
      <c r="AI82" s="250" t="n">
        <f aca="false" t="array" ref="AI82:AI82">IFERROR( (MEDIAN((IF(DATOS_[[Sexo]:[Sexo]]=$B82,IF(DATOS_[[AGRUP. CLAS. PROF.]:[AGRUP. CLAS. PROF.]]=$B81,IF(DATOS_[[Check Periodo Ref.]:[Check Periodo Ref.]]="Dentro",IF(DATOS_[[Check Equiparado]:[Check Equiparado]]="Sí",IF(DATOS!BD$4="Sí",(1/DATOS_[[% anualiz]:[% anualiz]]),1)*IF(DATOS!BD$5="Sí",1/DATOS_[[% normaliz]:[% normaliz]],1)*(DATOS_[Conc.Sal.26])))))))), 0)</f>
        <v>0</v>
      </c>
      <c r="AJ82" s="250" t="n">
        <f aca="false" t="array" ref="AJ82:AJ82">IFERROR( (MEDIAN((IF(DATOS_[[Sexo]:[Sexo]]=$B82,IF(DATOS_[[AGRUP. CLAS. PROF.]:[AGRUP. CLAS. PROF.]]=$B81,IF(DATOS_[[Check Periodo Ref.]:[Check Periodo Ref.]]="Dentro",IF(DATOS_[[Check Equiparado]:[Check Equiparado]]="Sí",IF(DATOS!BE$4="Sí",(1/DATOS_[[% anualiz]:[% anualiz]]),1)*IF(DATOS!BE$5="Sí",1/DATOS_[[% normaliz]:[% normaliz]],1)*(DATOS_[Conc.Sal.27])))))))), 0)</f>
        <v>0</v>
      </c>
      <c r="AK82" s="250" t="n">
        <f aca="false" t="array" ref="AK82:AK82">IFERROR( (MEDIAN((IF(DATOS_[[Sexo]:[Sexo]]=$B82,IF(DATOS_[[AGRUP. CLAS. PROF.]:[AGRUP. CLAS. PROF.]]=$B81,IF(DATOS_[[Check Periodo Ref.]:[Check Periodo Ref.]]="Dentro",IF(DATOS_[[Check Equiparado]:[Check Equiparado]]="Sí",IF(DATOS!BF$4="Sí",(1/DATOS_[[% anualiz]:[% anualiz]]),1)*IF(DATOS!BF$5="Sí",1/DATOS_[[% normaliz]:[% normaliz]],1)*(DATOS_[Conc.Sal.28])))))))), 0)</f>
        <v>0</v>
      </c>
      <c r="AL82" s="250" t="n">
        <f aca="false" t="array" ref="AL82:AL82">IFERROR( (MEDIAN((IF(DATOS_[[Sexo]:[Sexo]]=$B82,IF(DATOS_[[AGRUP. CLAS. PROF.]:[AGRUP. CLAS. PROF.]]=$B81,IF(DATOS_[[Check Periodo Ref.]:[Check Periodo Ref.]]="Dentro",IF(DATOS_[[Check Equiparado]:[Check Equiparado]]="Sí",IF(DATOS!BG$4="Sí",(1/DATOS_[[% anualiz]:[% anualiz]]),1)*IF(DATOS!BG$5="Sí",1/DATOS_[[% normaliz]:[% normaliz]],1)*(DATOS_[Conc.Sal.29])))))))), 0)</f>
        <v>0</v>
      </c>
      <c r="AM82" s="250" t="n">
        <f aca="false" t="array" ref="AM82:AM82">IFERROR( (MEDIAN((IF(DATOS_[[Sexo]:[Sexo]]=$B82,IF(DATOS_[[AGRUP. CLAS. PROF.]:[AGRUP. CLAS. PROF.]]=$B81,IF(DATOS_[[Check Periodo Ref.]:[Check Periodo Ref.]]="Dentro",IF(DATOS_[[Check Equiparado]:[Check Equiparado]]="Sí",IF(DATOS!BH$4="Sí",(1/DATOS_[[% anualiz]:[% anualiz]]),1)*IF(DATOS!BH$5="Sí",1/DATOS_[[% normaliz]:[% normaliz]],1)*(DATOS_[Conc.Sal.30])))))))), 0)</f>
        <v>0</v>
      </c>
      <c r="AN82" s="251" t="n">
        <f aca="false" t="array" ref="AN82:AN82">IFERROR( MEDIAN(IF(DATOS_[Sexo]=$B82,IF(DATOS_[[AGRUP. CLAS. PROF.]:[AGRUP. CLAS. PROF.]]=$B81,IF(DATOS_[Check Equiparado]="Sí",IF(DATOS_[Check Periodo Ref.]="Dentro",DATOS_[Tot COMPL.SAL Eq],0))))), 0)</f>
        <v>0</v>
      </c>
      <c r="AO82" s="252" t="n">
        <f aca="false" t="array" ref="AO82:AO82">IFERROR( MEDIAN(IF(DATOS_[Sexo]=$B82,IF(DATOS_[[AGRUP. CLAS. PROF.]:[AGRUP. CLAS. PROF.]]=$B81,IF(DATOS_[Check Equiparado]="Sí",IF(DATOS_[Check Periodo Ref.]="Dentro",DATOS_[TOTAL SALARIO Eq],0))))), 0)</f>
        <v>0</v>
      </c>
      <c r="AP82" s="259" t="n">
        <f aca="false" t="array" ref="AP82:AP82">IFERROR( (MEDIAN((IF(DATOS_[[Sexo]:[Sexo]]=$B82,IF(DATOS_[[AGRUP. CLAS. PROF.]:[AGRUP. CLAS. PROF.]]=$B81,IF(DATOS_[[Check Periodo Ref.]:[Check Periodo Ref.]]="Dentro",IF(DATOS_[[Check Equiparado]:[Check Equiparado]]="Sí",IF(DATOS!BI$4="Sí",(1/DATOS_[[% anualiz]:[% anualiz]]),1)*IF(DATOS!BI$5="Sí",1/DATOS_[[% normaliz]:[% normaliz]],1)*(DATOS_[C.Extra.01])))))))), 0)</f>
        <v>0</v>
      </c>
      <c r="AQ82" s="259" t="n">
        <f aca="false" t="array" ref="AQ82:AQ82">IFERROR( (MEDIAN((IF(DATOS_[[Sexo]:[Sexo]]=$B82,IF(DATOS_[[AGRUP. CLAS. PROF.]:[AGRUP. CLAS. PROF.]]=$B81,IF(DATOS_[[Check Periodo Ref.]:[Check Periodo Ref.]]="Dentro",IF(DATOS_[[Check Equiparado]:[Check Equiparado]]="Sí",IF(DATOS!BJ$4="Sí",(1/DATOS_[[% anualiz]:[% anualiz]]),1)*IF(DATOS!BJ$5="Sí",1/DATOS_[[% normaliz]:[% normaliz]],1)*(DATOS_[C.Extra.02])))))))), 0)</f>
        <v>0</v>
      </c>
      <c r="AR82" s="259" t="n">
        <f aca="false" t="array" ref="AR82:AR82">IFERROR( (MEDIAN((IF(DATOS_[[Sexo]:[Sexo]]=$B82,IF(DATOS_[[AGRUP. CLAS. PROF.]:[AGRUP. CLAS. PROF.]]=$B81,IF(DATOS_[[Check Periodo Ref.]:[Check Periodo Ref.]]="Dentro",IF(DATOS_[[Check Equiparado]:[Check Equiparado]]="Sí",IF(DATOS!BK$4="Sí",(1/DATOS_[[% anualiz]:[% anualiz]]),1)*IF(DATOS!BK$5="Sí",1/DATOS_[[% normaliz]:[% normaliz]],1)*(DATOS_[C.Extra.03])))))))), 0)</f>
        <v>0</v>
      </c>
      <c r="AS82" s="259" t="n">
        <f aca="false" t="array" ref="AS82:AS82">IFERROR( (MEDIAN((IF(DATOS_[[Sexo]:[Sexo]]=$B82,IF(DATOS_[[AGRUP. CLAS. PROF.]:[AGRUP. CLAS. PROF.]]=$B81,IF(DATOS_[[Check Periodo Ref.]:[Check Periodo Ref.]]="Dentro",IF(DATOS_[[Check Equiparado]:[Check Equiparado]]="Sí",IF(DATOS!BL$4="Sí",(1/DATOS_[[% anualiz]:[% anualiz]]),1)*IF(DATOS!BL$5="Sí",1/DATOS_[[% normaliz]:[% normaliz]],1)*(DATOS_[C.Extra.04])))))))), 0)</f>
        <v>0</v>
      </c>
      <c r="AT82" s="259" t="n">
        <f aca="false" t="array" ref="AT82:AT82">IFERROR( (MEDIAN((IF(DATOS_[[Sexo]:[Sexo]]=$B82,IF(DATOS_[[AGRUP. CLAS. PROF.]:[AGRUP. CLAS. PROF.]]=$B81,IF(DATOS_[[Check Periodo Ref.]:[Check Periodo Ref.]]="Dentro",IF(DATOS_[[Check Equiparado]:[Check Equiparado]]="Sí",IF(DATOS!BM$4="Sí",(1/DATOS_[[% anualiz]:[% anualiz]]),1)*IF(DATOS!BM$5="Sí",1/DATOS_[[% normaliz]:[% normaliz]],1)*(DATOS_[C.Extra.05])))))))), 0)</f>
        <v>0</v>
      </c>
      <c r="AU82" s="254" t="n">
        <f aca="false" t="array" ref="AU82:AU82">IFERROR( MEDIAN(IF(DATOS_[Sexo]=$B82,IF(DATOS_[[AGRUP. CLAS. PROF.]:[AGRUP. CLAS. PROF.]]=$B81,IF(DATOS_[Check Equiparado]="Sí",IF(DATOS_[Check Periodo Ref.]="Dentro",DATOS_[Tot Extrasalarial Eq],0))))), 0)</f>
        <v>0</v>
      </c>
      <c r="AV82" s="255" t="n">
        <f aca="false" t="array" ref="AV82:AV82">IFERROR( MEDIAN(IF(DATOS_[Sexo]=$B82,IF(DATOS_[[AGRUP. CLAS. PROF.]:[AGRUP. CLAS. PROF.]]=$B81,IF(DATOS_[Check Equiparado]="Sí",IF(DATOS_[Check Periodo Ref.]="Dentro",DATOS_[TOTAL Retrib Eq],0))))), 0)</f>
        <v>0</v>
      </c>
    </row>
    <row r="83" customFormat="false" ht="14.25" hidden="false" customHeight="false" outlineLevel="0" collapsed="false">
      <c r="A83" s="217" t="str">
        <f aca="false">+A82</f>
        <v>[ocultar]</v>
      </c>
      <c r="B83" s="323" t="s">
        <v>372</v>
      </c>
      <c r="C83" s="247" t="n">
        <f aca="false" t="array" ref="C83:C83">SUM(IF($B83=DATOS_[Sexo], IF($B81=DATOS_[AGRUP. CLAS. PROF.], IF("Dentro"=DATOS_[Check Periodo Ref.], 1/(COUNTIFS(DATOS_[Sexo],$B83,DATOS_[AGRUP. CLAS. PROF.],$B81,DATOS_[Check Periodo Ref.],"Dentro",DATOS_[id],DATOS_[id]))))))</f>
        <v>0</v>
      </c>
      <c r="D83" s="248" t="n">
        <f aca="false">COUNTIFS(DATOS_[AGRUP. CLAS. PROF.],$B81,DATOS_[Sexo],$B83,DATOS_[Check Periodo Ref.],"Dentro")</f>
        <v>0</v>
      </c>
      <c r="E83" s="248" t="n">
        <f aca="false">COUNTIFS(DATOS_[AGRUP. CLAS. PROF.],$B81,DATOS_[Sexo],$B83,DATOS_[Check Periodo Ref.],"Dentro",DATOS_[Check Nº SC Norm],"Sí")</f>
        <v>0</v>
      </c>
      <c r="F83" s="248" t="n">
        <f aca="false">COUNTIFS(DATOS_[AGRUP. CLAS. PROF.],$B81,DATOS_[Sexo],$B83,DATOS_[Check Periodo Ref.],"Dentro",DATOS_[Check Nº SC Anualiz],"Sí")</f>
        <v>0</v>
      </c>
      <c r="G83" s="248" t="n">
        <f aca="false">COUNTIFS(DATOS_[AGRUP. CLAS. PROF.],$B81,DATOS_[Sexo],$B83,DATOS_[Check Periodo Ref.],"Dentro",DATOS_[Check Nº SC Norm y Anualiz],"Sí")</f>
        <v>0</v>
      </c>
      <c r="H83" s="248" t="n">
        <f aca="false">COUNTIFS(DATOS_[AGRUP. CLAS. PROF.],$B81,DATOS_[Sexo],$B83,DATOS_[Check Periodo Ref.],"Dentro",DATOS_[Check Equiparación],"Sí")</f>
        <v>0</v>
      </c>
      <c r="I83" s="249" t="n">
        <f aca="false" t="array" ref="I83:I83">IFERROR( MEDIAN(IF(DATOS_[Sexo]=$B83,IF(DATOS_[[AGRUP. CLAS. PROF.]:[AGRUP. CLAS. PROF.]]=$B81,IF(DATOS_[Check Equiparado]="Sí",IF(DATOS_[Check Periodo Ref.]="Dentro",DATOS_[SALARIO BASE Eq],0))))), 0)</f>
        <v>0</v>
      </c>
      <c r="J83" s="250" t="n">
        <f aca="false" t="array" ref="J83:J83">IFERROR( (MEDIAN((IF(DATOS_[[Sexo]:[Sexo]]=$B83,IF(DATOS_[[AGRUP. CLAS. PROF.]:[AGRUP. CLAS. PROF.]]=$B81,IF(DATOS_[[Check Periodo Ref.]:[Check Periodo Ref.]]="Dentro",IF(DATOS_[[Check Equiparado]:[Check Equiparado]]="Sí",IF(DATOS!AE$4="Sí",(1/DATOS_[[% anualiz]:[% anualiz]]),1)*IF(DATOS!AE$5="Sí",1/DATOS_[[% normaliz]:[% normaliz]],1)*(DATOS_[Conc.Sal.01])))))))), 0)</f>
        <v>0</v>
      </c>
      <c r="K83" s="250" t="n">
        <f aca="false" t="array" ref="K83:K83">IFERROR( (MEDIAN((IF(DATOS_[[Sexo]:[Sexo]]=$B83,IF(DATOS_[[AGRUP. CLAS. PROF.]:[AGRUP. CLAS. PROF.]]=$B81,IF(DATOS_[[Check Periodo Ref.]:[Check Periodo Ref.]]="Dentro",IF(DATOS_[[Check Equiparado]:[Check Equiparado]]="Sí",IF(DATOS!AF$4="Sí",(1/DATOS_[[% anualiz]:[% anualiz]]),1)*IF(DATOS!AF$5="Sí",1/DATOS_[[% normaliz]:[% normaliz]],1)*(DATOS_[Conc.Sal.02])))))))), 0)</f>
        <v>0</v>
      </c>
      <c r="L83" s="250" t="n">
        <f aca="false" t="array" ref="L83:L83">IFERROR( (MEDIAN((IF(DATOS_[[Sexo]:[Sexo]]=$B83,IF(DATOS_[[AGRUP. CLAS. PROF.]:[AGRUP. CLAS. PROF.]]=$B81,IF(DATOS_[[Check Periodo Ref.]:[Check Periodo Ref.]]="Dentro",IF(DATOS_[[Check Equiparado]:[Check Equiparado]]="Sí",IF(DATOS!AG$4="Sí",(1/DATOS_[[% anualiz]:[% anualiz]]),1)*IF(DATOS!AG$5="Sí",1/DATOS_[[% normaliz]:[% normaliz]],1)*(DATOS_[Conc.Sal.03])))))))), 0)</f>
        <v>0</v>
      </c>
      <c r="M83" s="250" t="n">
        <f aca="false" t="array" ref="M83:M83">IFERROR( (MEDIAN((IF(DATOS_[[Sexo]:[Sexo]]=$B83,IF(DATOS_[[AGRUP. CLAS. PROF.]:[AGRUP. CLAS. PROF.]]=$B81,IF(DATOS_[[Check Periodo Ref.]:[Check Periodo Ref.]]="Dentro",IF(DATOS_[[Check Equiparado]:[Check Equiparado]]="Sí",IF(DATOS!AH$4="Sí",(1/DATOS_[[% anualiz]:[% anualiz]]),1)*IF(DATOS!AH$5="Sí",1/DATOS_[[% normaliz]:[% normaliz]],1)*(DATOS_[Conc.Sal.04])))))))), 0)</f>
        <v>0</v>
      </c>
      <c r="N83" s="250" t="n">
        <f aca="false" t="array" ref="N83:N83">IFERROR( (MEDIAN((IF(DATOS_[[Sexo]:[Sexo]]=$B83,IF(DATOS_[[AGRUP. CLAS. PROF.]:[AGRUP. CLAS. PROF.]]=$B81,IF(DATOS_[[Check Periodo Ref.]:[Check Periodo Ref.]]="Dentro",IF(DATOS_[[Check Equiparado]:[Check Equiparado]]="Sí",IF(DATOS!AI$4="Sí",(1/DATOS_[[% anualiz]:[% anualiz]]),1)*IF(DATOS!AI$5="Sí",1/DATOS_[[% normaliz]:[% normaliz]],1)*(DATOS_[Conc.Sal.05])))))))), 0)</f>
        <v>0</v>
      </c>
      <c r="O83" s="250" t="n">
        <f aca="false" t="array" ref="O83:O83">IFERROR( (MEDIAN((IF(DATOS_[[Sexo]:[Sexo]]=$B83,IF(DATOS_[[AGRUP. CLAS. PROF.]:[AGRUP. CLAS. PROF.]]=$B81,IF(DATOS_[[Check Periodo Ref.]:[Check Periodo Ref.]]="Dentro",IF(DATOS_[[Check Equiparado]:[Check Equiparado]]="Sí",IF(DATOS!AJ$4="Sí",(1/DATOS_[[% anualiz]:[% anualiz]]),1)*IF(DATOS!AJ$5="Sí",1/DATOS_[[% normaliz]:[% normaliz]],1)*(DATOS_[Conc.Sal.06])))))))), 0)</f>
        <v>0</v>
      </c>
      <c r="P83" s="250" t="n">
        <f aca="false" t="array" ref="P83:P83">IFERROR( (MEDIAN((IF(DATOS_[[Sexo]:[Sexo]]=$B83,IF(DATOS_[[AGRUP. CLAS. PROF.]:[AGRUP. CLAS. PROF.]]=$B81,IF(DATOS_[[Check Periodo Ref.]:[Check Periodo Ref.]]="Dentro",IF(DATOS_[[Check Equiparado]:[Check Equiparado]]="Sí",IF(DATOS!AK$4="Sí",(1/DATOS_[[% anualiz]:[% anualiz]]),1)*IF(DATOS!AK$5="Sí",1/DATOS_[[% normaliz]:[% normaliz]],1)*(DATOS_[Conc.Sal.07])))))))), 0)</f>
        <v>0</v>
      </c>
      <c r="Q83" s="250" t="n">
        <f aca="false" t="array" ref="Q83:Q83">IFERROR( (MEDIAN((IF(DATOS_[[Sexo]:[Sexo]]=$B83,IF(DATOS_[[AGRUP. CLAS. PROF.]:[AGRUP. CLAS. PROF.]]=$B81,IF(DATOS_[[Check Periodo Ref.]:[Check Periodo Ref.]]="Dentro",IF(DATOS_[[Check Equiparado]:[Check Equiparado]]="Sí",IF(DATOS!AL$4="Sí",(1/DATOS_[[% anualiz]:[% anualiz]]),1)*IF(DATOS!AL$5="Sí",1/DATOS_[[% normaliz]:[% normaliz]],1)*(DATOS_[Conc.Sal.08])))))))), 0)</f>
        <v>0</v>
      </c>
      <c r="R83" s="250" t="n">
        <f aca="false" t="array" ref="R83:R83">IFERROR( (MEDIAN((IF(DATOS_[[Sexo]:[Sexo]]=$B83,IF(DATOS_[[AGRUP. CLAS. PROF.]:[AGRUP. CLAS. PROF.]]=$B81,IF(DATOS_[[Check Periodo Ref.]:[Check Periodo Ref.]]="Dentro",IF(DATOS_[[Check Equiparado]:[Check Equiparado]]="Sí",IF(DATOS!AM$4="Sí",(1/DATOS_[[% anualiz]:[% anualiz]]),1)*IF(DATOS!AM$5="Sí",1/DATOS_[[% normaliz]:[% normaliz]],1)*(DATOS_[Conc.Sal.09])))))))), 0)</f>
        <v>0</v>
      </c>
      <c r="S83" s="250" t="n">
        <f aca="false" t="array" ref="S83:S83">IFERROR( (MEDIAN((IF(DATOS_[[Sexo]:[Sexo]]=$B83,IF(DATOS_[[AGRUP. CLAS. PROF.]:[AGRUP. CLAS. PROF.]]=$B81,IF(DATOS_[[Check Periodo Ref.]:[Check Periodo Ref.]]="Dentro",IF(DATOS_[[Check Equiparado]:[Check Equiparado]]="Sí",IF(DATOS!AN$4="Sí",(1/DATOS_[[% anualiz]:[% anualiz]]),1)*IF(DATOS!AN$5="Sí",1/DATOS_[[% normaliz]:[% normaliz]],1)*(DATOS_[Conc.Sal.10])))))))), 0)</f>
        <v>0</v>
      </c>
      <c r="T83" s="250" t="n">
        <f aca="false" t="array" ref="T83:T83">IFERROR( (MEDIAN((IF(DATOS_[[Sexo]:[Sexo]]=$B83,IF(DATOS_[[AGRUP. CLAS. PROF.]:[AGRUP. CLAS. PROF.]]=$B81,IF(DATOS_[[Check Periodo Ref.]:[Check Periodo Ref.]]="Dentro",IF(DATOS_[[Check Equiparado]:[Check Equiparado]]="Sí",IF(DATOS!AO$4="Sí",(1/DATOS_[[% anualiz]:[% anualiz]]),1)*IF(DATOS!AO$5="Sí",1/DATOS_[[% normaliz]:[% normaliz]],1)*(DATOS_[Conc.Sal.11])))))))), 0)</f>
        <v>0</v>
      </c>
      <c r="U83" s="250" t="n">
        <f aca="false" t="array" ref="U83:U83">IFERROR( (MEDIAN((IF(DATOS_[[Sexo]:[Sexo]]=$B83,IF(DATOS_[[AGRUP. CLAS. PROF.]:[AGRUP. CLAS. PROF.]]=$B81,IF(DATOS_[[Check Periodo Ref.]:[Check Periodo Ref.]]="Dentro",IF(DATOS_[[Check Equiparado]:[Check Equiparado]]="Sí",IF(DATOS!AP$4="Sí",(1/DATOS_[[% anualiz]:[% anualiz]]),1)*IF(DATOS!AP$5="Sí",1/DATOS_[[% normaliz]:[% normaliz]],1)*(DATOS_[Conc.Sal.12])))))))), 0)</f>
        <v>0</v>
      </c>
      <c r="V83" s="250" t="n">
        <f aca="false" t="array" ref="V83:V83">IFERROR( (MEDIAN((IF(DATOS_[[Sexo]:[Sexo]]=$B83,IF(DATOS_[[AGRUP. CLAS. PROF.]:[AGRUP. CLAS. PROF.]]=$B81,IF(DATOS_[[Check Periodo Ref.]:[Check Periodo Ref.]]="Dentro",IF(DATOS_[[Check Equiparado]:[Check Equiparado]]="Sí",IF(DATOS!AQ$4="Sí",(1/DATOS_[[% anualiz]:[% anualiz]]),1)*IF(DATOS!AQ$5="Sí",1/DATOS_[[% normaliz]:[% normaliz]],1)*(DATOS_[Conc.Sal.13])))))))), 0)</f>
        <v>0</v>
      </c>
      <c r="W83" s="250" t="n">
        <f aca="false" t="array" ref="W83:W83">IFERROR( (MEDIAN((IF(DATOS_[[Sexo]:[Sexo]]=$B83,IF(DATOS_[[AGRUP. CLAS. PROF.]:[AGRUP. CLAS. PROF.]]=$B81,IF(DATOS_[[Check Periodo Ref.]:[Check Periodo Ref.]]="Dentro",IF(DATOS_[[Check Equiparado]:[Check Equiparado]]="Sí",IF(DATOS!AR$4="Sí",(1/DATOS_[[% anualiz]:[% anualiz]]),1)*IF(DATOS!AR$5="Sí",1/DATOS_[[% normaliz]:[% normaliz]],1)*(DATOS_[Conc.Sal.14])))))))), 0)</f>
        <v>0</v>
      </c>
      <c r="X83" s="250" t="n">
        <f aca="false" t="array" ref="X83:X83">IFERROR( (MEDIAN((IF(DATOS_[[Sexo]:[Sexo]]=$B83,IF(DATOS_[[AGRUP. CLAS. PROF.]:[AGRUP. CLAS. PROF.]]=$B81,IF(DATOS_[[Check Periodo Ref.]:[Check Periodo Ref.]]="Dentro",IF(DATOS_[[Check Equiparado]:[Check Equiparado]]="Sí",IF(DATOS!AS$4="Sí",(1/DATOS_[[% anualiz]:[% anualiz]]),1)*IF(DATOS!AS$5="Sí",1/DATOS_[[% normaliz]:[% normaliz]],1)*(DATOS_[Conc.Sal.15])))))))), 0)</f>
        <v>0</v>
      </c>
      <c r="Y83" s="250" t="n">
        <f aca="false" t="array" ref="Y83:Y83">IFERROR( (MEDIAN((IF(DATOS_[[Sexo]:[Sexo]]=$B83,IF(DATOS_[[AGRUP. CLAS. PROF.]:[AGRUP. CLAS. PROF.]]=$B81,IF(DATOS_[[Check Periodo Ref.]:[Check Periodo Ref.]]="Dentro",IF(DATOS_[[Check Equiparado]:[Check Equiparado]]="Sí",IF(DATOS!AT$4="Sí",(1/DATOS_[[% anualiz]:[% anualiz]]),1)*IF(DATOS!AT$5="Sí",1/DATOS_[[% normaliz]:[% normaliz]],1)*(DATOS_[Conc.Sal.16])))))))), 0)</f>
        <v>0</v>
      </c>
      <c r="Z83" s="250" t="n">
        <f aca="false" t="array" ref="Z83:Z83">IFERROR( (MEDIAN((IF(DATOS_[[Sexo]:[Sexo]]=$B83,IF(DATOS_[[AGRUP. CLAS. PROF.]:[AGRUP. CLAS. PROF.]]=$B81,IF(DATOS_[[Check Periodo Ref.]:[Check Periodo Ref.]]="Dentro",IF(DATOS_[[Check Equiparado]:[Check Equiparado]]="Sí",IF(DATOS!AU$4="Sí",(1/DATOS_[[% anualiz]:[% anualiz]]),1)*IF(DATOS!AU$5="Sí",1/DATOS_[[% normaliz]:[% normaliz]],1)*(DATOS_[Conc.Sal.17])))))))), 0)</f>
        <v>0</v>
      </c>
      <c r="AA83" s="250" t="n">
        <f aca="false" t="array" ref="AA83:AA83">IFERROR( (MEDIAN((IF(DATOS_[[Sexo]:[Sexo]]=$B83,IF(DATOS_[[AGRUP. CLAS. PROF.]:[AGRUP. CLAS. PROF.]]=$B81,IF(DATOS_[[Check Periodo Ref.]:[Check Periodo Ref.]]="Dentro",IF(DATOS_[[Check Equiparado]:[Check Equiparado]]="Sí",IF(DATOS!AV$4="Sí",(1/DATOS_[[% anualiz]:[% anualiz]]),1)*IF(DATOS!AV$5="Sí",1/DATOS_[[% normaliz]:[% normaliz]],1)*(DATOS_[Conc.Sal.18])))))))), 0)</f>
        <v>0</v>
      </c>
      <c r="AB83" s="250" t="n">
        <f aca="false" t="array" ref="AB83:AB83">IFERROR( (MEDIAN((IF(DATOS_[[Sexo]:[Sexo]]=$B83,IF(DATOS_[[AGRUP. CLAS. PROF.]:[AGRUP. CLAS. PROF.]]=$B81,IF(DATOS_[[Check Periodo Ref.]:[Check Periodo Ref.]]="Dentro",IF(DATOS_[[Check Equiparado]:[Check Equiparado]]="Sí",IF(DATOS!AW$4="Sí",(1/DATOS_[[% anualiz]:[% anualiz]]),1)*IF(DATOS!AW$5="Sí",1/DATOS_[[% normaliz]:[% normaliz]],1)*(DATOS_[Conc.Sal.19])))))))), 0)</f>
        <v>0</v>
      </c>
      <c r="AC83" s="250" t="n">
        <f aca="false" t="array" ref="AC83:AC83">IFERROR( (MEDIAN((IF(DATOS_[[Sexo]:[Sexo]]=$B83,IF(DATOS_[[AGRUP. CLAS. PROF.]:[AGRUP. CLAS. PROF.]]=$B81,IF(DATOS_[[Check Periodo Ref.]:[Check Periodo Ref.]]="Dentro",IF(DATOS_[[Check Equiparado]:[Check Equiparado]]="Sí",IF(DATOS!AX$4="Sí",(1/DATOS_[[% anualiz]:[% anualiz]]),1)*IF(DATOS!AX$5="Sí",1/DATOS_[[% normaliz]:[% normaliz]],1)*(DATOS_[Conc.Sal.20])))))))), 0)</f>
        <v>0</v>
      </c>
      <c r="AD83" s="250" t="n">
        <f aca="false" t="array" ref="AD83:AD83">IFERROR( (MEDIAN((IF(DATOS_[[Sexo]:[Sexo]]=$B83,IF(DATOS_[[AGRUP. CLAS. PROF.]:[AGRUP. CLAS. PROF.]]=$B81,IF(DATOS_[[Check Periodo Ref.]:[Check Periodo Ref.]]="Dentro",IF(DATOS_[[Check Equiparado]:[Check Equiparado]]="Sí",IF(DATOS!AY$4="Sí",(1/DATOS_[[% anualiz]:[% anualiz]]),1)*IF(DATOS!AY$5="Sí",1/DATOS_[[% normaliz]:[% normaliz]],1)*(DATOS_[Conc.Sal.21])))))))), 0)</f>
        <v>0</v>
      </c>
      <c r="AE83" s="250" t="n">
        <f aca="false" t="array" ref="AE83:AE83">IFERROR( (MEDIAN((IF(DATOS_[[Sexo]:[Sexo]]=$B83,IF(DATOS_[[AGRUP. CLAS. PROF.]:[AGRUP. CLAS. PROF.]]=$B81,IF(DATOS_[[Check Periodo Ref.]:[Check Periodo Ref.]]="Dentro",IF(DATOS_[[Check Equiparado]:[Check Equiparado]]="Sí",IF(DATOS!AZ$4="Sí",(1/DATOS_[[% anualiz]:[% anualiz]]),1)*IF(DATOS!AZ$5="Sí",1/DATOS_[[% normaliz]:[% normaliz]],1)*(DATOS_[Conc.Sal.22])))))))), 0)</f>
        <v>0</v>
      </c>
      <c r="AF83" s="250" t="n">
        <f aca="false" t="array" ref="AF83:AF83">IFERROR( (MEDIAN((IF(DATOS_[[Sexo]:[Sexo]]=$B83,IF(DATOS_[[AGRUP. CLAS. PROF.]:[AGRUP. CLAS. PROF.]]=$B81,IF(DATOS_[[Check Periodo Ref.]:[Check Periodo Ref.]]="Dentro",IF(DATOS_[[Check Equiparado]:[Check Equiparado]]="Sí",IF(DATOS!BA$4="Sí",(1/DATOS_[[% anualiz]:[% anualiz]]),1)*IF(DATOS!BA$5="Sí",1/DATOS_[[% normaliz]:[% normaliz]],1)*(DATOS_[Conc.Sal.23])))))))), 0)</f>
        <v>0</v>
      </c>
      <c r="AG83" s="250" t="n">
        <f aca="false" t="array" ref="AG83:AG83">IFERROR( (MEDIAN((IF(DATOS_[[Sexo]:[Sexo]]=$B83,IF(DATOS_[[AGRUP. CLAS. PROF.]:[AGRUP. CLAS. PROF.]]=$B81,IF(DATOS_[[Check Periodo Ref.]:[Check Periodo Ref.]]="Dentro",IF(DATOS_[[Check Equiparado]:[Check Equiparado]]="Sí",IF(DATOS!BB$4="Sí",(1/DATOS_[[% anualiz]:[% anualiz]]),1)*IF(DATOS!BB$5="Sí",1/DATOS_[[% normaliz]:[% normaliz]],1)*(DATOS_[Conc.Sal.24])))))))), 0)</f>
        <v>0</v>
      </c>
      <c r="AH83" s="250" t="n">
        <f aca="false" t="array" ref="AH83:AH83">IFERROR( (MEDIAN((IF(DATOS_[[Sexo]:[Sexo]]=$B83,IF(DATOS_[[AGRUP. CLAS. PROF.]:[AGRUP. CLAS. PROF.]]=$B81,IF(DATOS_[[Check Periodo Ref.]:[Check Periodo Ref.]]="Dentro",IF(DATOS_[[Check Equiparado]:[Check Equiparado]]="Sí",IF(DATOS!BC$4="Sí",(1/DATOS_[[% anualiz]:[% anualiz]]),1)*IF(DATOS!BC$5="Sí",1/DATOS_[[% normaliz]:[% normaliz]],1)*(DATOS_[Conc.Sal.25])))))))), 0)</f>
        <v>0</v>
      </c>
      <c r="AI83" s="250" t="n">
        <f aca="false" t="array" ref="AI83:AI83">IFERROR( (MEDIAN((IF(DATOS_[[Sexo]:[Sexo]]=$B83,IF(DATOS_[[AGRUP. CLAS. PROF.]:[AGRUP. CLAS. PROF.]]=$B81,IF(DATOS_[[Check Periodo Ref.]:[Check Periodo Ref.]]="Dentro",IF(DATOS_[[Check Equiparado]:[Check Equiparado]]="Sí",IF(DATOS!BD$4="Sí",(1/DATOS_[[% anualiz]:[% anualiz]]),1)*IF(DATOS!BD$5="Sí",1/DATOS_[[% normaliz]:[% normaliz]],1)*(DATOS_[Conc.Sal.26])))))))), 0)</f>
        <v>0</v>
      </c>
      <c r="AJ83" s="250" t="n">
        <f aca="false" t="array" ref="AJ83:AJ83">IFERROR( (MEDIAN((IF(DATOS_[[Sexo]:[Sexo]]=$B83,IF(DATOS_[[AGRUP. CLAS. PROF.]:[AGRUP. CLAS. PROF.]]=$B81,IF(DATOS_[[Check Periodo Ref.]:[Check Periodo Ref.]]="Dentro",IF(DATOS_[[Check Equiparado]:[Check Equiparado]]="Sí",IF(DATOS!BE$4="Sí",(1/DATOS_[[% anualiz]:[% anualiz]]),1)*IF(DATOS!BE$5="Sí",1/DATOS_[[% normaliz]:[% normaliz]],1)*(DATOS_[Conc.Sal.27])))))))), 0)</f>
        <v>0</v>
      </c>
      <c r="AK83" s="250" t="n">
        <f aca="false" t="array" ref="AK83:AK83">IFERROR( (MEDIAN((IF(DATOS_[[Sexo]:[Sexo]]=$B83,IF(DATOS_[[AGRUP. CLAS. PROF.]:[AGRUP. CLAS. PROF.]]=$B81,IF(DATOS_[[Check Periodo Ref.]:[Check Periodo Ref.]]="Dentro",IF(DATOS_[[Check Equiparado]:[Check Equiparado]]="Sí",IF(DATOS!BF$4="Sí",(1/DATOS_[[% anualiz]:[% anualiz]]),1)*IF(DATOS!BF$5="Sí",1/DATOS_[[% normaliz]:[% normaliz]],1)*(DATOS_[Conc.Sal.28])))))))), 0)</f>
        <v>0</v>
      </c>
      <c r="AL83" s="250" t="n">
        <f aca="false" t="array" ref="AL83:AL83">IFERROR( (MEDIAN((IF(DATOS_[[Sexo]:[Sexo]]=$B83,IF(DATOS_[[AGRUP. CLAS. PROF.]:[AGRUP. CLAS. PROF.]]=$B81,IF(DATOS_[[Check Periodo Ref.]:[Check Periodo Ref.]]="Dentro",IF(DATOS_[[Check Equiparado]:[Check Equiparado]]="Sí",IF(DATOS!BG$4="Sí",(1/DATOS_[[% anualiz]:[% anualiz]]),1)*IF(DATOS!BG$5="Sí",1/DATOS_[[% normaliz]:[% normaliz]],1)*(DATOS_[Conc.Sal.29])))))))), 0)</f>
        <v>0</v>
      </c>
      <c r="AM83" s="250" t="n">
        <f aca="false" t="array" ref="AM83:AM83">IFERROR( (MEDIAN((IF(DATOS_[[Sexo]:[Sexo]]=$B83,IF(DATOS_[[AGRUP. CLAS. PROF.]:[AGRUP. CLAS. PROF.]]=$B81,IF(DATOS_[[Check Periodo Ref.]:[Check Periodo Ref.]]="Dentro",IF(DATOS_[[Check Equiparado]:[Check Equiparado]]="Sí",IF(DATOS!BH$4="Sí",(1/DATOS_[[% anualiz]:[% anualiz]]),1)*IF(DATOS!BH$5="Sí",1/DATOS_[[% normaliz]:[% normaliz]],1)*(DATOS_[Conc.Sal.30])))))))), 0)</f>
        <v>0</v>
      </c>
      <c r="AN83" s="251" t="n">
        <f aca="false" t="array" ref="AN83:AN83">IFERROR( MEDIAN(IF(DATOS_[Sexo]=$B83,IF(DATOS_[[AGRUP. CLAS. PROF.]:[AGRUP. CLAS. PROF.]]=$B81,IF(DATOS_[Check Equiparado]="Sí",IF(DATOS_[Check Periodo Ref.]="Dentro",DATOS_[Tot COMPL.SAL Eq],0))))), 0)</f>
        <v>0</v>
      </c>
      <c r="AO83" s="252" t="n">
        <f aca="false" t="array" ref="AO83:AO83">IFERROR( MEDIAN(IF(DATOS_[Sexo]=$B83,IF(DATOS_[[AGRUP. CLAS. PROF.]:[AGRUP. CLAS. PROF.]]=$B81,IF(DATOS_[Check Equiparado]="Sí",IF(DATOS_[Check Periodo Ref.]="Dentro",DATOS_[TOTAL SALARIO Eq],0))))), 0)</f>
        <v>0</v>
      </c>
      <c r="AP83" s="259" t="n">
        <f aca="false" t="array" ref="AP83:AP83">IFERROR( (MEDIAN((IF(DATOS_[[Sexo]:[Sexo]]=$B83,IF(DATOS_[[AGRUP. CLAS. PROF.]:[AGRUP. CLAS. PROF.]]=$B82,IF(DATOS_[[Check Periodo Ref.]:[Check Periodo Ref.]]="Dentro",IF(DATOS_[[Check Equiparado]:[Check Equiparado]]="Sí",IF(DATOS!BI$4="Sí",(1/DATOS_[[% anualiz]:[% anualiz]]),1)*IF(DATOS!BI$5="Sí",1/DATOS_[[% normaliz]:[% normaliz]],1)*(DATOS_[C.Extra.01])))))))), 0)</f>
        <v>0</v>
      </c>
      <c r="AQ83" s="259" t="n">
        <f aca="false" t="array" ref="AQ83:AQ83">IFERROR( (MEDIAN((IF(DATOS_[[Sexo]:[Sexo]]=$B83,IF(DATOS_[[AGRUP. CLAS. PROF.]:[AGRUP. CLAS. PROF.]]=$B82,IF(DATOS_[[Check Periodo Ref.]:[Check Periodo Ref.]]="Dentro",IF(DATOS_[[Check Equiparado]:[Check Equiparado]]="Sí",IF(DATOS!BJ$4="Sí",(1/DATOS_[[% anualiz]:[% anualiz]]),1)*IF(DATOS!BJ$5="Sí",1/DATOS_[[% normaliz]:[% normaliz]],1)*(DATOS_[C.Extra.02])))))))), 0)</f>
        <v>0</v>
      </c>
      <c r="AR83" s="259" t="n">
        <f aca="false" t="array" ref="AR83:AR83">IFERROR( (MEDIAN((IF(DATOS_[[Sexo]:[Sexo]]=$B83,IF(DATOS_[[AGRUP. CLAS. PROF.]:[AGRUP. CLAS. PROF.]]=$B82,IF(DATOS_[[Check Periodo Ref.]:[Check Periodo Ref.]]="Dentro",IF(DATOS_[[Check Equiparado]:[Check Equiparado]]="Sí",IF(DATOS!BK$4="Sí",(1/DATOS_[[% anualiz]:[% anualiz]]),1)*IF(DATOS!BK$5="Sí",1/DATOS_[[% normaliz]:[% normaliz]],1)*(DATOS_[C.Extra.03])))))))), 0)</f>
        <v>0</v>
      </c>
      <c r="AS83" s="259" t="n">
        <f aca="false" t="array" ref="AS83:AS83">IFERROR( (MEDIAN((IF(DATOS_[[Sexo]:[Sexo]]=$B83,IF(DATOS_[[AGRUP. CLAS. PROF.]:[AGRUP. CLAS. PROF.]]=$B82,IF(DATOS_[[Check Periodo Ref.]:[Check Periodo Ref.]]="Dentro",IF(DATOS_[[Check Equiparado]:[Check Equiparado]]="Sí",IF(DATOS!BL$4="Sí",(1/DATOS_[[% anualiz]:[% anualiz]]),1)*IF(DATOS!BL$5="Sí",1/DATOS_[[% normaliz]:[% normaliz]],1)*(DATOS_[C.Extra.04])))))))), 0)</f>
        <v>0</v>
      </c>
      <c r="AT83" s="259" t="n">
        <f aca="false" t="array" ref="AT83:AT83">IFERROR( (MEDIAN((IF(DATOS_[[Sexo]:[Sexo]]=$B83,IF(DATOS_[[AGRUP. CLAS. PROF.]:[AGRUP. CLAS. PROF.]]=$B82,IF(DATOS_[[Check Periodo Ref.]:[Check Periodo Ref.]]="Dentro",IF(DATOS_[[Check Equiparado]:[Check Equiparado]]="Sí",IF(DATOS!BM$4="Sí",(1/DATOS_[[% anualiz]:[% anualiz]]),1)*IF(DATOS!BM$5="Sí",1/DATOS_[[% normaliz]:[% normaliz]],1)*(DATOS_[C.Extra.05])))))))), 0)</f>
        <v>0</v>
      </c>
      <c r="AU83" s="254" t="n">
        <f aca="false" t="array" ref="AU83:AU83">IFERROR( MEDIAN(IF(DATOS_[Sexo]=$B83,IF(DATOS_[[AGRUP. CLAS. PROF.]:[AGRUP. CLAS. PROF.]]=$B81,IF(DATOS_[Check Equiparado]="Sí",IF(DATOS_[Check Periodo Ref.]="Dentro",DATOS_[Tot Extrasalarial Eq],0))))), 0)</f>
        <v>0</v>
      </c>
      <c r="AV83" s="255" t="n">
        <f aca="false" t="array" ref="AV83:AV83">IFERROR( MEDIAN(IF(DATOS_[Sexo]=$B83,IF(DATOS_[[AGRUP. CLAS. PROF.]:[AGRUP. CLAS. PROF.]]=$B81,IF(DATOS_[Check Equiparado]="Sí",IF(DATOS_[Check Periodo Ref.]="Dentro",DATOS_[TOTAL Retrib Eq],0))))), 0)</f>
        <v>0</v>
      </c>
    </row>
    <row r="84" customFormat="false" ht="15.75" hidden="false" customHeight="false" outlineLevel="0" collapsed="false">
      <c r="A84" s="217" t="str">
        <f aca="false">+A85</f>
        <v>[ocultar]</v>
      </c>
      <c r="B84" s="320" t="s">
        <v>237</v>
      </c>
      <c r="C84" s="236"/>
      <c r="D84" s="237"/>
      <c r="E84" s="237"/>
      <c r="F84" s="237"/>
      <c r="G84" s="237"/>
      <c r="H84" s="237"/>
      <c r="I84" s="238"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39" t="str">
        <f aca="false">IFERROR((V85-V86)/V85,"")</f>
        <v/>
      </c>
      <c r="W84" s="239" t="str">
        <f aca="false">IFERROR((W85-W86)/W85,"")</f>
        <v/>
      </c>
      <c r="X84" s="239" t="str">
        <f aca="false">IFERROR((X85-X86)/X85,"")</f>
        <v/>
      </c>
      <c r="Y84" s="239"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0" t="str">
        <f aca="false">IFERROR((AJ85-AJ86)/AJ85,"")</f>
        <v/>
      </c>
      <c r="AK84" s="240" t="str">
        <f aca="false">IFERROR((AK85-AK86)/AK85,"")</f>
        <v/>
      </c>
      <c r="AL84" s="240" t="str">
        <f aca="false">IFERROR((AL85-AL86)/AL85,"")</f>
        <v/>
      </c>
      <c r="AM84" s="240" t="str">
        <f aca="false">IFERROR((AM85-AM86)/AM85,"")</f>
        <v/>
      </c>
      <c r="AN84" s="241" t="str">
        <f aca="false">IFERROR((AN85-AN86)/AN85,"")</f>
        <v/>
      </c>
      <c r="AO84" s="242" t="str">
        <f aca="false">IFERROR((AO85-AO86)/AO85,"")</f>
        <v/>
      </c>
      <c r="AP84" s="243" t="str">
        <f aca="false">IFERROR((AP85-AP86)/AP85,"")</f>
        <v/>
      </c>
      <c r="AQ84" s="243" t="str">
        <f aca="false">IFERROR((AQ85-AQ86)/AQ85,"")</f>
        <v/>
      </c>
      <c r="AR84" s="243" t="str">
        <f aca="false">IFERROR((AR85-AR86)/AR85,"")</f>
        <v/>
      </c>
      <c r="AS84" s="243" t="str">
        <f aca="false">IFERROR((AS85-AS86)/AS85,"")</f>
        <v/>
      </c>
      <c r="AT84" s="243" t="str">
        <f aca="false">IFERROR((AT85-AT86)/AT85,"")</f>
        <v/>
      </c>
      <c r="AU84" s="244" t="str">
        <f aca="false">IFERROR((AU85-AU86)/AU85,"")</f>
        <v/>
      </c>
      <c r="AV84" s="245" t="str">
        <f aca="false">IFERROR((AV85-AV86)/AV85,"")</f>
        <v/>
      </c>
    </row>
    <row r="85" customFormat="false" ht="14.25" hidden="false" customHeight="false" outlineLevel="0" collapsed="false">
      <c r="A85" s="217" t="str">
        <f aca="false">+IF(C85+C86=0,"[ocultar]","")</f>
        <v>[ocultar]</v>
      </c>
      <c r="B85" s="323" t="s">
        <v>371</v>
      </c>
      <c r="C85" s="247" t="n">
        <f aca="false" t="array" ref="C85:C85">SUM(IF($B85=DATOS_[Sexo], IF($B84=DATOS_[AGRUP. CLAS. PROF.], IF("Dentro"=DATOS_[Check Periodo Ref.], 1/(COUNTIFS(DATOS_[Sexo],$B85,DATOS_[AGRUP. CLAS. PROF.],$B84,DATOS_[Check Periodo Ref.],"Dentro",DATOS_[id],DATOS_[id]))))))</f>
        <v>0</v>
      </c>
      <c r="D85" s="248" t="n">
        <f aca="false">COUNTIFS(DATOS_[AGRUP. CLAS. PROF.],$B84,DATOS_[Sexo],$B85,DATOS_[Check Periodo Ref.],"Dentro")</f>
        <v>0</v>
      </c>
      <c r="E85" s="248" t="n">
        <f aca="false">COUNTIFS(DATOS_[AGRUP. CLAS. PROF.],$B84,DATOS_[Sexo],$B85,DATOS_[Check Periodo Ref.],"Dentro",DATOS_[Check Nº SC Norm],"Sí")</f>
        <v>0</v>
      </c>
      <c r="F85" s="248" t="n">
        <f aca="false">COUNTIFS(DATOS_[AGRUP. CLAS. PROF.],$B84,DATOS_[Sexo],$B85,DATOS_[Check Periodo Ref.],"Dentro",DATOS_[Check Nº SC Anualiz],"Sí")</f>
        <v>0</v>
      </c>
      <c r="G85" s="248" t="n">
        <f aca="false">COUNTIFS(DATOS_[AGRUP. CLAS. PROF.],$B84,DATOS_[Sexo],$B85,DATOS_[Check Periodo Ref.],"Dentro",DATOS_[Check Nº SC Norm y Anualiz],"Sí")</f>
        <v>0</v>
      </c>
      <c r="H85" s="248" t="n">
        <f aca="false">COUNTIFS(DATOS_[AGRUP. CLAS. PROF.],$B84,DATOS_[Sexo],$B85,DATOS_[Check Periodo Ref.],"Dentro",DATOS_[Check Equiparación],"Sí")</f>
        <v>0</v>
      </c>
      <c r="I85" s="249" t="n">
        <f aca="false" t="array" ref="I85:I85">IFERROR( MEDIAN(IF(DATOS_[Sexo]=$B85,IF(DATOS_[[AGRUP. CLAS. PROF.]:[AGRUP. CLAS. PROF.]]=$B84,IF(DATOS_[Check Equiparado]="Sí",IF(DATOS_[Check Periodo Ref.]="Dentro",DATOS_[SALARIO BASE Eq],0))))), 0)</f>
        <v>0</v>
      </c>
      <c r="J85" s="250" t="n">
        <f aca="false" t="array" ref="J85:J85">IFERROR( (MEDIAN((IF(DATOS_[[Sexo]:[Sexo]]=$B85,IF(DATOS_[[AGRUP. CLAS. PROF.]:[AGRUP. CLAS. PROF.]]=$B84,IF(DATOS_[[Check Periodo Ref.]:[Check Periodo Ref.]]="Dentro",IF(DATOS_[[Check Equiparado]:[Check Equiparado]]="Sí",IF(DATOS!AE$4="Sí",(1/DATOS_[[% anualiz]:[% anualiz]]),1)*IF(DATOS!AE$5="Sí",1/DATOS_[[% normaliz]:[% normaliz]],1)*(DATOS_[Conc.Sal.01])))))))), 0)</f>
        <v>0</v>
      </c>
      <c r="K85" s="250" t="n">
        <f aca="false" t="array" ref="K85:K85">IFERROR( (MEDIAN((IF(DATOS_[[Sexo]:[Sexo]]=$B85,IF(DATOS_[[AGRUP. CLAS. PROF.]:[AGRUP. CLAS. PROF.]]=$B84,IF(DATOS_[[Check Periodo Ref.]:[Check Periodo Ref.]]="Dentro",IF(DATOS_[[Check Equiparado]:[Check Equiparado]]="Sí",IF(DATOS!AF$4="Sí",(1/DATOS_[[% anualiz]:[% anualiz]]),1)*IF(DATOS!AF$5="Sí",1/DATOS_[[% normaliz]:[% normaliz]],1)*(DATOS_[Conc.Sal.02])))))))), 0)</f>
        <v>0</v>
      </c>
      <c r="L85" s="250" t="n">
        <f aca="false" t="array" ref="L85:L85">IFERROR( (MEDIAN((IF(DATOS_[[Sexo]:[Sexo]]=$B85,IF(DATOS_[[AGRUP. CLAS. PROF.]:[AGRUP. CLAS. PROF.]]=$B84,IF(DATOS_[[Check Periodo Ref.]:[Check Periodo Ref.]]="Dentro",IF(DATOS_[[Check Equiparado]:[Check Equiparado]]="Sí",IF(DATOS!AG$4="Sí",(1/DATOS_[[% anualiz]:[% anualiz]]),1)*IF(DATOS!AG$5="Sí",1/DATOS_[[% normaliz]:[% normaliz]],1)*(DATOS_[Conc.Sal.03])))))))), 0)</f>
        <v>0</v>
      </c>
      <c r="M85" s="250" t="n">
        <f aca="false" t="array" ref="M85:M85">IFERROR( (MEDIAN((IF(DATOS_[[Sexo]:[Sexo]]=$B85,IF(DATOS_[[AGRUP. CLAS. PROF.]:[AGRUP. CLAS. PROF.]]=$B84,IF(DATOS_[[Check Periodo Ref.]:[Check Periodo Ref.]]="Dentro",IF(DATOS_[[Check Equiparado]:[Check Equiparado]]="Sí",IF(DATOS!AH$4="Sí",(1/DATOS_[[% anualiz]:[% anualiz]]),1)*IF(DATOS!AH$5="Sí",1/DATOS_[[% normaliz]:[% normaliz]],1)*(DATOS_[Conc.Sal.04])))))))), 0)</f>
        <v>0</v>
      </c>
      <c r="N85" s="250" t="n">
        <f aca="false" t="array" ref="N85:N85">IFERROR( (MEDIAN((IF(DATOS_[[Sexo]:[Sexo]]=$B85,IF(DATOS_[[AGRUP. CLAS. PROF.]:[AGRUP. CLAS. PROF.]]=$B84,IF(DATOS_[[Check Periodo Ref.]:[Check Periodo Ref.]]="Dentro",IF(DATOS_[[Check Equiparado]:[Check Equiparado]]="Sí",IF(DATOS!AI$4="Sí",(1/DATOS_[[% anualiz]:[% anualiz]]),1)*IF(DATOS!AI$5="Sí",1/DATOS_[[% normaliz]:[% normaliz]],1)*(DATOS_[Conc.Sal.05])))))))), 0)</f>
        <v>0</v>
      </c>
      <c r="O85" s="250" t="n">
        <f aca="false" t="array" ref="O85:O85">IFERROR( (MEDIAN((IF(DATOS_[[Sexo]:[Sexo]]=$B85,IF(DATOS_[[AGRUP. CLAS. PROF.]:[AGRUP. CLAS. PROF.]]=$B84,IF(DATOS_[[Check Periodo Ref.]:[Check Periodo Ref.]]="Dentro",IF(DATOS_[[Check Equiparado]:[Check Equiparado]]="Sí",IF(DATOS!AJ$4="Sí",(1/DATOS_[[% anualiz]:[% anualiz]]),1)*IF(DATOS!AJ$5="Sí",1/DATOS_[[% normaliz]:[% normaliz]],1)*(DATOS_[Conc.Sal.06])))))))), 0)</f>
        <v>0</v>
      </c>
      <c r="P85" s="250" t="n">
        <f aca="false" t="array" ref="P85:P85">IFERROR( (MEDIAN((IF(DATOS_[[Sexo]:[Sexo]]=$B85,IF(DATOS_[[AGRUP. CLAS. PROF.]:[AGRUP. CLAS. PROF.]]=$B84,IF(DATOS_[[Check Periodo Ref.]:[Check Periodo Ref.]]="Dentro",IF(DATOS_[[Check Equiparado]:[Check Equiparado]]="Sí",IF(DATOS!AK$4="Sí",(1/DATOS_[[% anualiz]:[% anualiz]]),1)*IF(DATOS!AK$5="Sí",1/DATOS_[[% normaliz]:[% normaliz]],1)*(DATOS_[Conc.Sal.07])))))))), 0)</f>
        <v>0</v>
      </c>
      <c r="Q85" s="250" t="n">
        <f aca="false" t="array" ref="Q85:Q85">IFERROR( (MEDIAN((IF(DATOS_[[Sexo]:[Sexo]]=$B85,IF(DATOS_[[AGRUP. CLAS. PROF.]:[AGRUP. CLAS. PROF.]]=$B84,IF(DATOS_[[Check Periodo Ref.]:[Check Periodo Ref.]]="Dentro",IF(DATOS_[[Check Equiparado]:[Check Equiparado]]="Sí",IF(DATOS!AL$4="Sí",(1/DATOS_[[% anualiz]:[% anualiz]]),1)*IF(DATOS!AL$5="Sí",1/DATOS_[[% normaliz]:[% normaliz]],1)*(DATOS_[Conc.Sal.08])))))))), 0)</f>
        <v>0</v>
      </c>
      <c r="R85" s="250" t="n">
        <f aca="false" t="array" ref="R85:R85">IFERROR( (MEDIAN((IF(DATOS_[[Sexo]:[Sexo]]=$B85,IF(DATOS_[[AGRUP. CLAS. PROF.]:[AGRUP. CLAS. PROF.]]=$B84,IF(DATOS_[[Check Periodo Ref.]:[Check Periodo Ref.]]="Dentro",IF(DATOS_[[Check Equiparado]:[Check Equiparado]]="Sí",IF(DATOS!AM$4="Sí",(1/DATOS_[[% anualiz]:[% anualiz]]),1)*IF(DATOS!AM$5="Sí",1/DATOS_[[% normaliz]:[% normaliz]],1)*(DATOS_[Conc.Sal.09])))))))), 0)</f>
        <v>0</v>
      </c>
      <c r="S85" s="250" t="n">
        <f aca="false" t="array" ref="S85:S85">IFERROR( (MEDIAN((IF(DATOS_[[Sexo]:[Sexo]]=$B85,IF(DATOS_[[AGRUP. CLAS. PROF.]:[AGRUP. CLAS. PROF.]]=$B84,IF(DATOS_[[Check Periodo Ref.]:[Check Periodo Ref.]]="Dentro",IF(DATOS_[[Check Equiparado]:[Check Equiparado]]="Sí",IF(DATOS!AN$4="Sí",(1/DATOS_[[% anualiz]:[% anualiz]]),1)*IF(DATOS!AN$5="Sí",1/DATOS_[[% normaliz]:[% normaliz]],1)*(DATOS_[Conc.Sal.10])))))))), 0)</f>
        <v>0</v>
      </c>
      <c r="T85" s="250" t="n">
        <f aca="false" t="array" ref="T85:T85">IFERROR( (MEDIAN((IF(DATOS_[[Sexo]:[Sexo]]=$B85,IF(DATOS_[[AGRUP. CLAS. PROF.]:[AGRUP. CLAS. PROF.]]=$B84,IF(DATOS_[[Check Periodo Ref.]:[Check Periodo Ref.]]="Dentro",IF(DATOS_[[Check Equiparado]:[Check Equiparado]]="Sí",IF(DATOS!AO$4="Sí",(1/DATOS_[[% anualiz]:[% anualiz]]),1)*IF(DATOS!AO$5="Sí",1/DATOS_[[% normaliz]:[% normaliz]],1)*(DATOS_[Conc.Sal.11])))))))), 0)</f>
        <v>0</v>
      </c>
      <c r="U85" s="250" t="n">
        <f aca="false" t="array" ref="U85:U85">IFERROR( (MEDIAN((IF(DATOS_[[Sexo]:[Sexo]]=$B85,IF(DATOS_[[AGRUP. CLAS. PROF.]:[AGRUP. CLAS. PROF.]]=$B84,IF(DATOS_[[Check Periodo Ref.]:[Check Periodo Ref.]]="Dentro",IF(DATOS_[[Check Equiparado]:[Check Equiparado]]="Sí",IF(DATOS!AP$4="Sí",(1/DATOS_[[% anualiz]:[% anualiz]]),1)*IF(DATOS!AP$5="Sí",1/DATOS_[[% normaliz]:[% normaliz]],1)*(DATOS_[Conc.Sal.12])))))))), 0)</f>
        <v>0</v>
      </c>
      <c r="V85" s="250" t="n">
        <f aca="false" t="array" ref="V85:V85">IFERROR( (MEDIAN((IF(DATOS_[[Sexo]:[Sexo]]=$B85,IF(DATOS_[[AGRUP. CLAS. PROF.]:[AGRUP. CLAS. PROF.]]=$B84,IF(DATOS_[[Check Periodo Ref.]:[Check Periodo Ref.]]="Dentro",IF(DATOS_[[Check Equiparado]:[Check Equiparado]]="Sí",IF(DATOS!AQ$4="Sí",(1/DATOS_[[% anualiz]:[% anualiz]]),1)*IF(DATOS!AQ$5="Sí",1/DATOS_[[% normaliz]:[% normaliz]],1)*(DATOS_[Conc.Sal.13])))))))), 0)</f>
        <v>0</v>
      </c>
      <c r="W85" s="250" t="n">
        <f aca="false" t="array" ref="W85:W85">IFERROR( (MEDIAN((IF(DATOS_[[Sexo]:[Sexo]]=$B85,IF(DATOS_[[AGRUP. CLAS. PROF.]:[AGRUP. CLAS. PROF.]]=$B84,IF(DATOS_[[Check Periodo Ref.]:[Check Periodo Ref.]]="Dentro",IF(DATOS_[[Check Equiparado]:[Check Equiparado]]="Sí",IF(DATOS!AR$4="Sí",(1/DATOS_[[% anualiz]:[% anualiz]]),1)*IF(DATOS!AR$5="Sí",1/DATOS_[[% normaliz]:[% normaliz]],1)*(DATOS_[Conc.Sal.14])))))))), 0)</f>
        <v>0</v>
      </c>
      <c r="X85" s="250" t="n">
        <f aca="false" t="array" ref="X85:X85">IFERROR( (MEDIAN((IF(DATOS_[[Sexo]:[Sexo]]=$B85,IF(DATOS_[[AGRUP. CLAS. PROF.]:[AGRUP. CLAS. PROF.]]=$B84,IF(DATOS_[[Check Periodo Ref.]:[Check Periodo Ref.]]="Dentro",IF(DATOS_[[Check Equiparado]:[Check Equiparado]]="Sí",IF(DATOS!AS$4="Sí",(1/DATOS_[[% anualiz]:[% anualiz]]),1)*IF(DATOS!AS$5="Sí",1/DATOS_[[% normaliz]:[% normaliz]],1)*(DATOS_[Conc.Sal.15])))))))), 0)</f>
        <v>0</v>
      </c>
      <c r="Y85" s="250" t="n">
        <f aca="false" t="array" ref="Y85:Y85">IFERROR( (MEDIAN((IF(DATOS_[[Sexo]:[Sexo]]=$B85,IF(DATOS_[[AGRUP. CLAS. PROF.]:[AGRUP. CLAS. PROF.]]=$B84,IF(DATOS_[[Check Periodo Ref.]:[Check Periodo Ref.]]="Dentro",IF(DATOS_[[Check Equiparado]:[Check Equiparado]]="Sí",IF(DATOS!AT$4="Sí",(1/DATOS_[[% anualiz]:[% anualiz]]),1)*IF(DATOS!AT$5="Sí",1/DATOS_[[% normaliz]:[% normaliz]],1)*(DATOS_[Conc.Sal.16])))))))), 0)</f>
        <v>0</v>
      </c>
      <c r="Z85" s="250" t="n">
        <f aca="false" t="array" ref="Z85:Z85">IFERROR( (MEDIAN((IF(DATOS_[[Sexo]:[Sexo]]=$B85,IF(DATOS_[[AGRUP. CLAS. PROF.]:[AGRUP. CLAS. PROF.]]=$B84,IF(DATOS_[[Check Periodo Ref.]:[Check Periodo Ref.]]="Dentro",IF(DATOS_[[Check Equiparado]:[Check Equiparado]]="Sí",IF(DATOS!AU$4="Sí",(1/DATOS_[[% anualiz]:[% anualiz]]),1)*IF(DATOS!AU$5="Sí",1/DATOS_[[% normaliz]:[% normaliz]],1)*(DATOS_[Conc.Sal.17])))))))), 0)</f>
        <v>0</v>
      </c>
      <c r="AA85" s="250" t="n">
        <f aca="false" t="array" ref="AA85:AA85">IFERROR( (MEDIAN((IF(DATOS_[[Sexo]:[Sexo]]=$B85,IF(DATOS_[[AGRUP. CLAS. PROF.]:[AGRUP. CLAS. PROF.]]=$B84,IF(DATOS_[[Check Periodo Ref.]:[Check Periodo Ref.]]="Dentro",IF(DATOS_[[Check Equiparado]:[Check Equiparado]]="Sí",IF(DATOS!AV$4="Sí",(1/DATOS_[[% anualiz]:[% anualiz]]),1)*IF(DATOS!AV$5="Sí",1/DATOS_[[% normaliz]:[% normaliz]],1)*(DATOS_[Conc.Sal.18])))))))), 0)</f>
        <v>0</v>
      </c>
      <c r="AB85" s="250" t="n">
        <f aca="false" t="array" ref="AB85:AB85">IFERROR( (MEDIAN((IF(DATOS_[[Sexo]:[Sexo]]=$B85,IF(DATOS_[[AGRUP. CLAS. PROF.]:[AGRUP. CLAS. PROF.]]=$B84,IF(DATOS_[[Check Periodo Ref.]:[Check Periodo Ref.]]="Dentro",IF(DATOS_[[Check Equiparado]:[Check Equiparado]]="Sí",IF(DATOS!AW$4="Sí",(1/DATOS_[[% anualiz]:[% anualiz]]),1)*IF(DATOS!AW$5="Sí",1/DATOS_[[% normaliz]:[% normaliz]],1)*(DATOS_[Conc.Sal.19])))))))), 0)</f>
        <v>0</v>
      </c>
      <c r="AC85" s="250" t="n">
        <f aca="false" t="array" ref="AC85:AC85">IFERROR( (MEDIAN((IF(DATOS_[[Sexo]:[Sexo]]=$B85,IF(DATOS_[[AGRUP. CLAS. PROF.]:[AGRUP. CLAS. PROF.]]=$B84,IF(DATOS_[[Check Periodo Ref.]:[Check Periodo Ref.]]="Dentro",IF(DATOS_[[Check Equiparado]:[Check Equiparado]]="Sí",IF(DATOS!AX$4="Sí",(1/DATOS_[[% anualiz]:[% anualiz]]),1)*IF(DATOS!AX$5="Sí",1/DATOS_[[% normaliz]:[% normaliz]],1)*(DATOS_[Conc.Sal.20])))))))), 0)</f>
        <v>0</v>
      </c>
      <c r="AD85" s="250" t="n">
        <f aca="false" t="array" ref="AD85:AD85">IFERROR( (MEDIAN((IF(DATOS_[[Sexo]:[Sexo]]=$B85,IF(DATOS_[[AGRUP. CLAS. PROF.]:[AGRUP. CLAS. PROF.]]=$B84,IF(DATOS_[[Check Periodo Ref.]:[Check Periodo Ref.]]="Dentro",IF(DATOS_[[Check Equiparado]:[Check Equiparado]]="Sí",IF(DATOS!AY$4="Sí",(1/DATOS_[[% anualiz]:[% anualiz]]),1)*IF(DATOS!AY$5="Sí",1/DATOS_[[% normaliz]:[% normaliz]],1)*(DATOS_[Conc.Sal.21])))))))), 0)</f>
        <v>0</v>
      </c>
      <c r="AE85" s="250" t="n">
        <f aca="false" t="array" ref="AE85:AE85">IFERROR( (MEDIAN((IF(DATOS_[[Sexo]:[Sexo]]=$B85,IF(DATOS_[[AGRUP. CLAS. PROF.]:[AGRUP. CLAS. PROF.]]=$B84,IF(DATOS_[[Check Periodo Ref.]:[Check Periodo Ref.]]="Dentro",IF(DATOS_[[Check Equiparado]:[Check Equiparado]]="Sí",IF(DATOS!AZ$4="Sí",(1/DATOS_[[% anualiz]:[% anualiz]]),1)*IF(DATOS!AZ$5="Sí",1/DATOS_[[% normaliz]:[% normaliz]],1)*(DATOS_[Conc.Sal.22])))))))), 0)</f>
        <v>0</v>
      </c>
      <c r="AF85" s="250" t="n">
        <f aca="false" t="array" ref="AF85:AF85">IFERROR( (MEDIAN((IF(DATOS_[[Sexo]:[Sexo]]=$B85,IF(DATOS_[[AGRUP. CLAS. PROF.]:[AGRUP. CLAS. PROF.]]=$B84,IF(DATOS_[[Check Periodo Ref.]:[Check Periodo Ref.]]="Dentro",IF(DATOS_[[Check Equiparado]:[Check Equiparado]]="Sí",IF(DATOS!BA$4="Sí",(1/DATOS_[[% anualiz]:[% anualiz]]),1)*IF(DATOS!BA$5="Sí",1/DATOS_[[% normaliz]:[% normaliz]],1)*(DATOS_[Conc.Sal.23])))))))), 0)</f>
        <v>0</v>
      </c>
      <c r="AG85" s="250" t="n">
        <f aca="false" t="array" ref="AG85:AG85">IFERROR( (MEDIAN((IF(DATOS_[[Sexo]:[Sexo]]=$B85,IF(DATOS_[[AGRUP. CLAS. PROF.]:[AGRUP. CLAS. PROF.]]=$B84,IF(DATOS_[[Check Periodo Ref.]:[Check Periodo Ref.]]="Dentro",IF(DATOS_[[Check Equiparado]:[Check Equiparado]]="Sí",IF(DATOS!BB$4="Sí",(1/DATOS_[[% anualiz]:[% anualiz]]),1)*IF(DATOS!BB$5="Sí",1/DATOS_[[% normaliz]:[% normaliz]],1)*(DATOS_[Conc.Sal.24])))))))), 0)</f>
        <v>0</v>
      </c>
      <c r="AH85" s="250" t="n">
        <f aca="false" t="array" ref="AH85:AH85">IFERROR( (MEDIAN((IF(DATOS_[[Sexo]:[Sexo]]=$B85,IF(DATOS_[[AGRUP. CLAS. PROF.]:[AGRUP. CLAS. PROF.]]=$B84,IF(DATOS_[[Check Periodo Ref.]:[Check Periodo Ref.]]="Dentro",IF(DATOS_[[Check Equiparado]:[Check Equiparado]]="Sí",IF(DATOS!BC$4="Sí",(1/DATOS_[[% anualiz]:[% anualiz]]),1)*IF(DATOS!BC$5="Sí",1/DATOS_[[% normaliz]:[% normaliz]],1)*(DATOS_[Conc.Sal.25])))))))), 0)</f>
        <v>0</v>
      </c>
      <c r="AI85" s="250" t="n">
        <f aca="false" t="array" ref="AI85:AI85">IFERROR( (MEDIAN((IF(DATOS_[[Sexo]:[Sexo]]=$B85,IF(DATOS_[[AGRUP. CLAS. PROF.]:[AGRUP. CLAS. PROF.]]=$B84,IF(DATOS_[[Check Periodo Ref.]:[Check Periodo Ref.]]="Dentro",IF(DATOS_[[Check Equiparado]:[Check Equiparado]]="Sí",IF(DATOS!BD$4="Sí",(1/DATOS_[[% anualiz]:[% anualiz]]),1)*IF(DATOS!BD$5="Sí",1/DATOS_[[% normaliz]:[% normaliz]],1)*(DATOS_[Conc.Sal.26])))))))), 0)</f>
        <v>0</v>
      </c>
      <c r="AJ85" s="250" t="n">
        <f aca="false" t="array" ref="AJ85:AJ85">IFERROR( (MEDIAN((IF(DATOS_[[Sexo]:[Sexo]]=$B85,IF(DATOS_[[AGRUP. CLAS. PROF.]:[AGRUP. CLAS. PROF.]]=$B84,IF(DATOS_[[Check Periodo Ref.]:[Check Periodo Ref.]]="Dentro",IF(DATOS_[[Check Equiparado]:[Check Equiparado]]="Sí",IF(DATOS!BE$4="Sí",(1/DATOS_[[% anualiz]:[% anualiz]]),1)*IF(DATOS!BE$5="Sí",1/DATOS_[[% normaliz]:[% normaliz]],1)*(DATOS_[Conc.Sal.27])))))))), 0)</f>
        <v>0</v>
      </c>
      <c r="AK85" s="250" t="n">
        <f aca="false" t="array" ref="AK85:AK85">IFERROR( (MEDIAN((IF(DATOS_[[Sexo]:[Sexo]]=$B85,IF(DATOS_[[AGRUP. CLAS. PROF.]:[AGRUP. CLAS. PROF.]]=$B84,IF(DATOS_[[Check Periodo Ref.]:[Check Periodo Ref.]]="Dentro",IF(DATOS_[[Check Equiparado]:[Check Equiparado]]="Sí",IF(DATOS!BF$4="Sí",(1/DATOS_[[% anualiz]:[% anualiz]]),1)*IF(DATOS!BF$5="Sí",1/DATOS_[[% normaliz]:[% normaliz]],1)*(DATOS_[Conc.Sal.28])))))))), 0)</f>
        <v>0</v>
      </c>
      <c r="AL85" s="250" t="n">
        <f aca="false" t="array" ref="AL85:AL85">IFERROR( (MEDIAN((IF(DATOS_[[Sexo]:[Sexo]]=$B85,IF(DATOS_[[AGRUP. CLAS. PROF.]:[AGRUP. CLAS. PROF.]]=$B84,IF(DATOS_[[Check Periodo Ref.]:[Check Periodo Ref.]]="Dentro",IF(DATOS_[[Check Equiparado]:[Check Equiparado]]="Sí",IF(DATOS!BG$4="Sí",(1/DATOS_[[% anualiz]:[% anualiz]]),1)*IF(DATOS!BG$5="Sí",1/DATOS_[[% normaliz]:[% normaliz]],1)*(DATOS_[Conc.Sal.29])))))))), 0)</f>
        <v>0</v>
      </c>
      <c r="AM85" s="250" t="n">
        <f aca="false" t="array" ref="AM85:AM85">IFERROR( (MEDIAN((IF(DATOS_[[Sexo]:[Sexo]]=$B85,IF(DATOS_[[AGRUP. CLAS. PROF.]:[AGRUP. CLAS. PROF.]]=$B84,IF(DATOS_[[Check Periodo Ref.]:[Check Periodo Ref.]]="Dentro",IF(DATOS_[[Check Equiparado]:[Check Equiparado]]="Sí",IF(DATOS!BH$4="Sí",(1/DATOS_[[% anualiz]:[% anualiz]]),1)*IF(DATOS!BH$5="Sí",1/DATOS_[[% normaliz]:[% normaliz]],1)*(DATOS_[Conc.Sal.30])))))))), 0)</f>
        <v>0</v>
      </c>
      <c r="AN85" s="251" t="n">
        <f aca="false" t="array" ref="AN85:AN85">IFERROR( MEDIAN(IF(DATOS_[Sexo]=$B85,IF(DATOS_[[AGRUP. CLAS. PROF.]:[AGRUP. CLAS. PROF.]]=$B84,IF(DATOS_[Check Equiparado]="Sí",IF(DATOS_[Check Periodo Ref.]="Dentro",DATOS_[Tot COMPL.SAL Eq],0))))), 0)</f>
        <v>0</v>
      </c>
      <c r="AO85" s="252" t="n">
        <f aca="false" t="array" ref="AO85:AO85">IFERROR( MEDIAN(IF(DATOS_[Sexo]=$B85,IF(DATOS_[[AGRUP. CLAS. PROF.]:[AGRUP. CLAS. PROF.]]=$B84,IF(DATOS_[Check Equiparado]="Sí",IF(DATOS_[Check Periodo Ref.]="Dentro",DATOS_[TOTAL SALARIO Eq],0))))), 0)</f>
        <v>0</v>
      </c>
      <c r="AP85" s="259" t="n">
        <f aca="false" t="array" ref="AP85:AP85">IFERROR( (MEDIAN((IF(DATOS_[[Sexo]:[Sexo]]=$B85,IF(DATOS_[[AGRUP. CLAS. PROF.]:[AGRUP. CLAS. PROF.]]=$B84,IF(DATOS_[[Check Periodo Ref.]:[Check Periodo Ref.]]="Dentro",IF(DATOS_[[Check Equiparado]:[Check Equiparado]]="Sí",IF(DATOS!BI$4="Sí",(1/DATOS_[[% anualiz]:[% anualiz]]),1)*IF(DATOS!BI$5="Sí",1/DATOS_[[% normaliz]:[% normaliz]],1)*(DATOS_[C.Extra.01])))))))), 0)</f>
        <v>0</v>
      </c>
      <c r="AQ85" s="259" t="n">
        <f aca="false" t="array" ref="AQ85:AQ85">IFERROR( (MEDIAN((IF(DATOS_[[Sexo]:[Sexo]]=$B85,IF(DATOS_[[AGRUP. CLAS. PROF.]:[AGRUP. CLAS. PROF.]]=$B84,IF(DATOS_[[Check Periodo Ref.]:[Check Periodo Ref.]]="Dentro",IF(DATOS_[[Check Equiparado]:[Check Equiparado]]="Sí",IF(DATOS!BJ$4="Sí",(1/DATOS_[[% anualiz]:[% anualiz]]),1)*IF(DATOS!BJ$5="Sí",1/DATOS_[[% normaliz]:[% normaliz]],1)*(DATOS_[C.Extra.02])))))))), 0)</f>
        <v>0</v>
      </c>
      <c r="AR85" s="259" t="n">
        <f aca="false" t="array" ref="AR85:AR85">IFERROR( (MEDIAN((IF(DATOS_[[Sexo]:[Sexo]]=$B85,IF(DATOS_[[AGRUP. CLAS. PROF.]:[AGRUP. CLAS. PROF.]]=$B84,IF(DATOS_[[Check Periodo Ref.]:[Check Periodo Ref.]]="Dentro",IF(DATOS_[[Check Equiparado]:[Check Equiparado]]="Sí",IF(DATOS!BK$4="Sí",(1/DATOS_[[% anualiz]:[% anualiz]]),1)*IF(DATOS!BK$5="Sí",1/DATOS_[[% normaliz]:[% normaliz]],1)*(DATOS_[C.Extra.03])))))))), 0)</f>
        <v>0</v>
      </c>
      <c r="AS85" s="259" t="n">
        <f aca="false" t="array" ref="AS85:AS85">IFERROR( (MEDIAN((IF(DATOS_[[Sexo]:[Sexo]]=$B85,IF(DATOS_[[AGRUP. CLAS. PROF.]:[AGRUP. CLAS. PROF.]]=$B84,IF(DATOS_[[Check Periodo Ref.]:[Check Periodo Ref.]]="Dentro",IF(DATOS_[[Check Equiparado]:[Check Equiparado]]="Sí",IF(DATOS!BL$4="Sí",(1/DATOS_[[% anualiz]:[% anualiz]]),1)*IF(DATOS!BL$5="Sí",1/DATOS_[[% normaliz]:[% normaliz]],1)*(DATOS_[C.Extra.04])))))))), 0)</f>
        <v>0</v>
      </c>
      <c r="AT85" s="259" t="n">
        <f aca="false" t="array" ref="AT85:AT85">IFERROR( (MEDIAN((IF(DATOS_[[Sexo]:[Sexo]]=$B85,IF(DATOS_[[AGRUP. CLAS. PROF.]:[AGRUP. CLAS. PROF.]]=$B84,IF(DATOS_[[Check Periodo Ref.]:[Check Periodo Ref.]]="Dentro",IF(DATOS_[[Check Equiparado]:[Check Equiparado]]="Sí",IF(DATOS!BM$4="Sí",(1/DATOS_[[% anualiz]:[% anualiz]]),1)*IF(DATOS!BM$5="Sí",1/DATOS_[[% normaliz]:[% normaliz]],1)*(DATOS_[C.Extra.05])))))))), 0)</f>
        <v>0</v>
      </c>
      <c r="AU85" s="254" t="n">
        <f aca="false" t="array" ref="AU85:AU85">IFERROR( MEDIAN(IF(DATOS_[Sexo]=$B85,IF(DATOS_[[AGRUP. CLAS. PROF.]:[AGRUP. CLAS. PROF.]]=$B84,IF(DATOS_[Check Equiparado]="Sí",IF(DATOS_[Check Periodo Ref.]="Dentro",DATOS_[Tot Extrasalarial Eq],0))))), 0)</f>
        <v>0</v>
      </c>
      <c r="AV85" s="255" t="n">
        <f aca="false" t="array" ref="AV85:AV85">IFERROR( MEDIAN(IF(DATOS_[Sexo]=$B85,IF(DATOS_[[AGRUP. CLAS. PROF.]:[AGRUP. CLAS. PROF.]]=$B84,IF(DATOS_[Check Equiparado]="Sí",IF(DATOS_[Check Periodo Ref.]="Dentro",DATOS_[TOTAL Retrib Eq],0))))), 0)</f>
        <v>0</v>
      </c>
    </row>
    <row r="86" customFormat="false" ht="14.25" hidden="false" customHeight="false" outlineLevel="0" collapsed="false">
      <c r="A86" s="217" t="str">
        <f aca="false">+A85</f>
        <v>[ocultar]</v>
      </c>
      <c r="B86" s="323" t="s">
        <v>372</v>
      </c>
      <c r="C86" s="247" t="n">
        <f aca="false" t="array" ref="C86:C86">SUM(IF($B86=DATOS_[Sexo], IF($B84=DATOS_[AGRUP. CLAS. PROF.], IF("Dentro"=DATOS_[Check Periodo Ref.], 1/(COUNTIFS(DATOS_[Sexo],$B86,DATOS_[AGRUP. CLAS. PROF.],$B84,DATOS_[Check Periodo Ref.],"Dentro",DATOS_[id],DATOS_[id]))))))</f>
        <v>0</v>
      </c>
      <c r="D86" s="248" t="n">
        <f aca="false">COUNTIFS(DATOS_[AGRUP. CLAS. PROF.],$B84,DATOS_[Sexo],$B86,DATOS_[Check Periodo Ref.],"Dentro")</f>
        <v>0</v>
      </c>
      <c r="E86" s="248" t="n">
        <f aca="false">COUNTIFS(DATOS_[AGRUP. CLAS. PROF.],$B84,DATOS_[Sexo],$B86,DATOS_[Check Periodo Ref.],"Dentro",DATOS_[Check Nº SC Norm],"Sí")</f>
        <v>0</v>
      </c>
      <c r="F86" s="248" t="n">
        <f aca="false">COUNTIFS(DATOS_[AGRUP. CLAS. PROF.],$B84,DATOS_[Sexo],$B86,DATOS_[Check Periodo Ref.],"Dentro",DATOS_[Check Nº SC Anualiz],"Sí")</f>
        <v>0</v>
      </c>
      <c r="G86" s="248" t="n">
        <f aca="false">COUNTIFS(DATOS_[AGRUP. CLAS. PROF.],$B84,DATOS_[Sexo],$B86,DATOS_[Check Periodo Ref.],"Dentro",DATOS_[Check Nº SC Norm y Anualiz],"Sí")</f>
        <v>0</v>
      </c>
      <c r="H86" s="248" t="n">
        <f aca="false">COUNTIFS(DATOS_[AGRUP. CLAS. PROF.],$B84,DATOS_[Sexo],$B86,DATOS_[Check Periodo Ref.],"Dentro",DATOS_[Check Equiparación],"Sí")</f>
        <v>0</v>
      </c>
      <c r="I86" s="249" t="n">
        <f aca="false" t="array" ref="I86:I86">IFERROR( MEDIAN(IF(DATOS_[Sexo]=$B86,IF(DATOS_[[AGRUP. CLAS. PROF.]:[AGRUP. CLAS. PROF.]]=$B84,IF(DATOS_[Check Equiparado]="Sí",IF(DATOS_[Check Periodo Ref.]="Dentro",DATOS_[SALARIO BASE Eq],0))))), 0)</f>
        <v>0</v>
      </c>
      <c r="J86" s="250" t="n">
        <f aca="false" t="array" ref="J86:J86">IFERROR( (MEDIAN((IF(DATOS_[[Sexo]:[Sexo]]=$B86,IF(DATOS_[[AGRUP. CLAS. PROF.]:[AGRUP. CLAS. PROF.]]=$B84,IF(DATOS_[[Check Periodo Ref.]:[Check Periodo Ref.]]="Dentro",IF(DATOS_[[Check Equiparado]:[Check Equiparado]]="Sí",IF(DATOS!AE$4="Sí",(1/DATOS_[[% anualiz]:[% anualiz]]),1)*IF(DATOS!AE$5="Sí",1/DATOS_[[% normaliz]:[% normaliz]],1)*(DATOS_[Conc.Sal.01])))))))), 0)</f>
        <v>0</v>
      </c>
      <c r="K86" s="250" t="n">
        <f aca="false" t="array" ref="K86:K86">IFERROR( (MEDIAN((IF(DATOS_[[Sexo]:[Sexo]]=$B86,IF(DATOS_[[AGRUP. CLAS. PROF.]:[AGRUP. CLAS. PROF.]]=$B84,IF(DATOS_[[Check Periodo Ref.]:[Check Periodo Ref.]]="Dentro",IF(DATOS_[[Check Equiparado]:[Check Equiparado]]="Sí",IF(DATOS!AF$4="Sí",(1/DATOS_[[% anualiz]:[% anualiz]]),1)*IF(DATOS!AF$5="Sí",1/DATOS_[[% normaliz]:[% normaliz]],1)*(DATOS_[Conc.Sal.02])))))))), 0)</f>
        <v>0</v>
      </c>
      <c r="L86" s="250" t="n">
        <f aca="false" t="array" ref="L86:L86">IFERROR( (MEDIAN((IF(DATOS_[[Sexo]:[Sexo]]=$B86,IF(DATOS_[[AGRUP. CLAS. PROF.]:[AGRUP. CLAS. PROF.]]=$B84,IF(DATOS_[[Check Periodo Ref.]:[Check Periodo Ref.]]="Dentro",IF(DATOS_[[Check Equiparado]:[Check Equiparado]]="Sí",IF(DATOS!AG$4="Sí",(1/DATOS_[[% anualiz]:[% anualiz]]),1)*IF(DATOS!AG$5="Sí",1/DATOS_[[% normaliz]:[% normaliz]],1)*(DATOS_[Conc.Sal.03])))))))), 0)</f>
        <v>0</v>
      </c>
      <c r="M86" s="250" t="n">
        <f aca="false" t="array" ref="M86:M86">IFERROR( (MEDIAN((IF(DATOS_[[Sexo]:[Sexo]]=$B86,IF(DATOS_[[AGRUP. CLAS. PROF.]:[AGRUP. CLAS. PROF.]]=$B84,IF(DATOS_[[Check Periodo Ref.]:[Check Periodo Ref.]]="Dentro",IF(DATOS_[[Check Equiparado]:[Check Equiparado]]="Sí",IF(DATOS!AH$4="Sí",(1/DATOS_[[% anualiz]:[% anualiz]]),1)*IF(DATOS!AH$5="Sí",1/DATOS_[[% normaliz]:[% normaliz]],1)*(DATOS_[Conc.Sal.04])))))))), 0)</f>
        <v>0</v>
      </c>
      <c r="N86" s="250" t="n">
        <f aca="false" t="array" ref="N86:N86">IFERROR( (MEDIAN((IF(DATOS_[[Sexo]:[Sexo]]=$B86,IF(DATOS_[[AGRUP. CLAS. PROF.]:[AGRUP. CLAS. PROF.]]=$B84,IF(DATOS_[[Check Periodo Ref.]:[Check Periodo Ref.]]="Dentro",IF(DATOS_[[Check Equiparado]:[Check Equiparado]]="Sí",IF(DATOS!AI$4="Sí",(1/DATOS_[[% anualiz]:[% anualiz]]),1)*IF(DATOS!AI$5="Sí",1/DATOS_[[% normaliz]:[% normaliz]],1)*(DATOS_[Conc.Sal.05])))))))), 0)</f>
        <v>0</v>
      </c>
      <c r="O86" s="250" t="n">
        <f aca="false" t="array" ref="O86:O86">IFERROR( (MEDIAN((IF(DATOS_[[Sexo]:[Sexo]]=$B86,IF(DATOS_[[AGRUP. CLAS. PROF.]:[AGRUP. CLAS. PROF.]]=$B84,IF(DATOS_[[Check Periodo Ref.]:[Check Periodo Ref.]]="Dentro",IF(DATOS_[[Check Equiparado]:[Check Equiparado]]="Sí",IF(DATOS!AJ$4="Sí",(1/DATOS_[[% anualiz]:[% anualiz]]),1)*IF(DATOS!AJ$5="Sí",1/DATOS_[[% normaliz]:[% normaliz]],1)*(DATOS_[Conc.Sal.06])))))))), 0)</f>
        <v>0</v>
      </c>
      <c r="P86" s="250" t="n">
        <f aca="false" t="array" ref="P86:P86">IFERROR( (MEDIAN((IF(DATOS_[[Sexo]:[Sexo]]=$B86,IF(DATOS_[[AGRUP. CLAS. PROF.]:[AGRUP. CLAS. PROF.]]=$B84,IF(DATOS_[[Check Periodo Ref.]:[Check Periodo Ref.]]="Dentro",IF(DATOS_[[Check Equiparado]:[Check Equiparado]]="Sí",IF(DATOS!AK$4="Sí",(1/DATOS_[[% anualiz]:[% anualiz]]),1)*IF(DATOS!AK$5="Sí",1/DATOS_[[% normaliz]:[% normaliz]],1)*(DATOS_[Conc.Sal.07])))))))), 0)</f>
        <v>0</v>
      </c>
      <c r="Q86" s="250" t="n">
        <f aca="false" t="array" ref="Q86:Q86">IFERROR( (MEDIAN((IF(DATOS_[[Sexo]:[Sexo]]=$B86,IF(DATOS_[[AGRUP. CLAS. PROF.]:[AGRUP. CLAS. PROF.]]=$B84,IF(DATOS_[[Check Periodo Ref.]:[Check Periodo Ref.]]="Dentro",IF(DATOS_[[Check Equiparado]:[Check Equiparado]]="Sí",IF(DATOS!AL$4="Sí",(1/DATOS_[[% anualiz]:[% anualiz]]),1)*IF(DATOS!AL$5="Sí",1/DATOS_[[% normaliz]:[% normaliz]],1)*(DATOS_[Conc.Sal.08])))))))), 0)</f>
        <v>0</v>
      </c>
      <c r="R86" s="250" t="n">
        <f aca="false" t="array" ref="R86:R86">IFERROR( (MEDIAN((IF(DATOS_[[Sexo]:[Sexo]]=$B86,IF(DATOS_[[AGRUP. CLAS. PROF.]:[AGRUP. CLAS. PROF.]]=$B84,IF(DATOS_[[Check Periodo Ref.]:[Check Periodo Ref.]]="Dentro",IF(DATOS_[[Check Equiparado]:[Check Equiparado]]="Sí",IF(DATOS!AM$4="Sí",(1/DATOS_[[% anualiz]:[% anualiz]]),1)*IF(DATOS!AM$5="Sí",1/DATOS_[[% normaliz]:[% normaliz]],1)*(DATOS_[Conc.Sal.09])))))))), 0)</f>
        <v>0</v>
      </c>
      <c r="S86" s="250" t="n">
        <f aca="false" t="array" ref="S86:S86">IFERROR( (MEDIAN((IF(DATOS_[[Sexo]:[Sexo]]=$B86,IF(DATOS_[[AGRUP. CLAS. PROF.]:[AGRUP. CLAS. PROF.]]=$B84,IF(DATOS_[[Check Periodo Ref.]:[Check Periodo Ref.]]="Dentro",IF(DATOS_[[Check Equiparado]:[Check Equiparado]]="Sí",IF(DATOS!AN$4="Sí",(1/DATOS_[[% anualiz]:[% anualiz]]),1)*IF(DATOS!AN$5="Sí",1/DATOS_[[% normaliz]:[% normaliz]],1)*(DATOS_[Conc.Sal.10])))))))), 0)</f>
        <v>0</v>
      </c>
      <c r="T86" s="250" t="n">
        <f aca="false" t="array" ref="T86:T86">IFERROR( (MEDIAN((IF(DATOS_[[Sexo]:[Sexo]]=$B86,IF(DATOS_[[AGRUP. CLAS. PROF.]:[AGRUP. CLAS. PROF.]]=$B84,IF(DATOS_[[Check Periodo Ref.]:[Check Periodo Ref.]]="Dentro",IF(DATOS_[[Check Equiparado]:[Check Equiparado]]="Sí",IF(DATOS!AO$4="Sí",(1/DATOS_[[% anualiz]:[% anualiz]]),1)*IF(DATOS!AO$5="Sí",1/DATOS_[[% normaliz]:[% normaliz]],1)*(DATOS_[Conc.Sal.11])))))))), 0)</f>
        <v>0</v>
      </c>
      <c r="U86" s="250" t="n">
        <f aca="false" t="array" ref="U86:U86">IFERROR( (MEDIAN((IF(DATOS_[[Sexo]:[Sexo]]=$B86,IF(DATOS_[[AGRUP. CLAS. PROF.]:[AGRUP. CLAS. PROF.]]=$B84,IF(DATOS_[[Check Periodo Ref.]:[Check Periodo Ref.]]="Dentro",IF(DATOS_[[Check Equiparado]:[Check Equiparado]]="Sí",IF(DATOS!AP$4="Sí",(1/DATOS_[[% anualiz]:[% anualiz]]),1)*IF(DATOS!AP$5="Sí",1/DATOS_[[% normaliz]:[% normaliz]],1)*(DATOS_[Conc.Sal.12])))))))), 0)</f>
        <v>0</v>
      </c>
      <c r="V86" s="250" t="n">
        <f aca="false" t="array" ref="V86:V86">IFERROR( (MEDIAN((IF(DATOS_[[Sexo]:[Sexo]]=$B86,IF(DATOS_[[AGRUP. CLAS. PROF.]:[AGRUP. CLAS. PROF.]]=$B84,IF(DATOS_[[Check Periodo Ref.]:[Check Periodo Ref.]]="Dentro",IF(DATOS_[[Check Equiparado]:[Check Equiparado]]="Sí",IF(DATOS!AQ$4="Sí",(1/DATOS_[[% anualiz]:[% anualiz]]),1)*IF(DATOS!AQ$5="Sí",1/DATOS_[[% normaliz]:[% normaliz]],1)*(DATOS_[Conc.Sal.13])))))))), 0)</f>
        <v>0</v>
      </c>
      <c r="W86" s="250" t="n">
        <f aca="false" t="array" ref="W86:W86">IFERROR( (MEDIAN((IF(DATOS_[[Sexo]:[Sexo]]=$B86,IF(DATOS_[[AGRUP. CLAS. PROF.]:[AGRUP. CLAS. PROF.]]=$B84,IF(DATOS_[[Check Periodo Ref.]:[Check Periodo Ref.]]="Dentro",IF(DATOS_[[Check Equiparado]:[Check Equiparado]]="Sí",IF(DATOS!AR$4="Sí",(1/DATOS_[[% anualiz]:[% anualiz]]),1)*IF(DATOS!AR$5="Sí",1/DATOS_[[% normaliz]:[% normaliz]],1)*(DATOS_[Conc.Sal.14])))))))), 0)</f>
        <v>0</v>
      </c>
      <c r="X86" s="250" t="n">
        <f aca="false" t="array" ref="X86:X86">IFERROR( (MEDIAN((IF(DATOS_[[Sexo]:[Sexo]]=$B86,IF(DATOS_[[AGRUP. CLAS. PROF.]:[AGRUP. CLAS. PROF.]]=$B84,IF(DATOS_[[Check Periodo Ref.]:[Check Periodo Ref.]]="Dentro",IF(DATOS_[[Check Equiparado]:[Check Equiparado]]="Sí",IF(DATOS!AS$4="Sí",(1/DATOS_[[% anualiz]:[% anualiz]]),1)*IF(DATOS!AS$5="Sí",1/DATOS_[[% normaliz]:[% normaliz]],1)*(DATOS_[Conc.Sal.15])))))))), 0)</f>
        <v>0</v>
      </c>
      <c r="Y86" s="250" t="n">
        <f aca="false" t="array" ref="Y86:Y86">IFERROR( (MEDIAN((IF(DATOS_[[Sexo]:[Sexo]]=$B86,IF(DATOS_[[AGRUP. CLAS. PROF.]:[AGRUP. CLAS. PROF.]]=$B84,IF(DATOS_[[Check Periodo Ref.]:[Check Periodo Ref.]]="Dentro",IF(DATOS_[[Check Equiparado]:[Check Equiparado]]="Sí",IF(DATOS!AT$4="Sí",(1/DATOS_[[% anualiz]:[% anualiz]]),1)*IF(DATOS!AT$5="Sí",1/DATOS_[[% normaliz]:[% normaliz]],1)*(DATOS_[Conc.Sal.16])))))))), 0)</f>
        <v>0</v>
      </c>
      <c r="Z86" s="250" t="n">
        <f aca="false" t="array" ref="Z86:Z86">IFERROR( (MEDIAN((IF(DATOS_[[Sexo]:[Sexo]]=$B86,IF(DATOS_[[AGRUP. CLAS. PROF.]:[AGRUP. CLAS. PROF.]]=$B84,IF(DATOS_[[Check Periodo Ref.]:[Check Periodo Ref.]]="Dentro",IF(DATOS_[[Check Equiparado]:[Check Equiparado]]="Sí",IF(DATOS!AU$4="Sí",(1/DATOS_[[% anualiz]:[% anualiz]]),1)*IF(DATOS!AU$5="Sí",1/DATOS_[[% normaliz]:[% normaliz]],1)*(DATOS_[Conc.Sal.17])))))))), 0)</f>
        <v>0</v>
      </c>
      <c r="AA86" s="250" t="n">
        <f aca="false" t="array" ref="AA86:AA86">IFERROR( (MEDIAN((IF(DATOS_[[Sexo]:[Sexo]]=$B86,IF(DATOS_[[AGRUP. CLAS. PROF.]:[AGRUP. CLAS. PROF.]]=$B84,IF(DATOS_[[Check Periodo Ref.]:[Check Periodo Ref.]]="Dentro",IF(DATOS_[[Check Equiparado]:[Check Equiparado]]="Sí",IF(DATOS!AV$4="Sí",(1/DATOS_[[% anualiz]:[% anualiz]]),1)*IF(DATOS!AV$5="Sí",1/DATOS_[[% normaliz]:[% normaliz]],1)*(DATOS_[Conc.Sal.18])))))))), 0)</f>
        <v>0</v>
      </c>
      <c r="AB86" s="250" t="n">
        <f aca="false" t="array" ref="AB86:AB86">IFERROR( (MEDIAN((IF(DATOS_[[Sexo]:[Sexo]]=$B86,IF(DATOS_[[AGRUP. CLAS. PROF.]:[AGRUP. CLAS. PROF.]]=$B84,IF(DATOS_[[Check Periodo Ref.]:[Check Periodo Ref.]]="Dentro",IF(DATOS_[[Check Equiparado]:[Check Equiparado]]="Sí",IF(DATOS!AW$4="Sí",(1/DATOS_[[% anualiz]:[% anualiz]]),1)*IF(DATOS!AW$5="Sí",1/DATOS_[[% normaliz]:[% normaliz]],1)*(DATOS_[Conc.Sal.19])))))))), 0)</f>
        <v>0</v>
      </c>
      <c r="AC86" s="250" t="n">
        <f aca="false" t="array" ref="AC86:AC86">IFERROR( (MEDIAN((IF(DATOS_[[Sexo]:[Sexo]]=$B86,IF(DATOS_[[AGRUP. CLAS. PROF.]:[AGRUP. CLAS. PROF.]]=$B84,IF(DATOS_[[Check Periodo Ref.]:[Check Periodo Ref.]]="Dentro",IF(DATOS_[[Check Equiparado]:[Check Equiparado]]="Sí",IF(DATOS!AX$4="Sí",(1/DATOS_[[% anualiz]:[% anualiz]]),1)*IF(DATOS!AX$5="Sí",1/DATOS_[[% normaliz]:[% normaliz]],1)*(DATOS_[Conc.Sal.20])))))))), 0)</f>
        <v>0</v>
      </c>
      <c r="AD86" s="250" t="n">
        <f aca="false" t="array" ref="AD86:AD86">IFERROR( (MEDIAN((IF(DATOS_[[Sexo]:[Sexo]]=$B86,IF(DATOS_[[AGRUP. CLAS. PROF.]:[AGRUP. CLAS. PROF.]]=$B84,IF(DATOS_[[Check Periodo Ref.]:[Check Periodo Ref.]]="Dentro",IF(DATOS_[[Check Equiparado]:[Check Equiparado]]="Sí",IF(DATOS!AY$4="Sí",(1/DATOS_[[% anualiz]:[% anualiz]]),1)*IF(DATOS!AY$5="Sí",1/DATOS_[[% normaliz]:[% normaliz]],1)*(DATOS_[Conc.Sal.21])))))))), 0)</f>
        <v>0</v>
      </c>
      <c r="AE86" s="250" t="n">
        <f aca="false" t="array" ref="AE86:AE86">IFERROR( (MEDIAN((IF(DATOS_[[Sexo]:[Sexo]]=$B86,IF(DATOS_[[AGRUP. CLAS. PROF.]:[AGRUP. CLAS. PROF.]]=$B84,IF(DATOS_[[Check Periodo Ref.]:[Check Periodo Ref.]]="Dentro",IF(DATOS_[[Check Equiparado]:[Check Equiparado]]="Sí",IF(DATOS!AZ$4="Sí",(1/DATOS_[[% anualiz]:[% anualiz]]),1)*IF(DATOS!AZ$5="Sí",1/DATOS_[[% normaliz]:[% normaliz]],1)*(DATOS_[Conc.Sal.22])))))))), 0)</f>
        <v>0</v>
      </c>
      <c r="AF86" s="250" t="n">
        <f aca="false" t="array" ref="AF86:AF86">IFERROR( (MEDIAN((IF(DATOS_[[Sexo]:[Sexo]]=$B86,IF(DATOS_[[AGRUP. CLAS. PROF.]:[AGRUP. CLAS. PROF.]]=$B84,IF(DATOS_[[Check Periodo Ref.]:[Check Periodo Ref.]]="Dentro",IF(DATOS_[[Check Equiparado]:[Check Equiparado]]="Sí",IF(DATOS!BA$4="Sí",(1/DATOS_[[% anualiz]:[% anualiz]]),1)*IF(DATOS!BA$5="Sí",1/DATOS_[[% normaliz]:[% normaliz]],1)*(DATOS_[Conc.Sal.23])))))))), 0)</f>
        <v>0</v>
      </c>
      <c r="AG86" s="250" t="n">
        <f aca="false" t="array" ref="AG86:AG86">IFERROR( (MEDIAN((IF(DATOS_[[Sexo]:[Sexo]]=$B86,IF(DATOS_[[AGRUP. CLAS. PROF.]:[AGRUP. CLAS. PROF.]]=$B84,IF(DATOS_[[Check Periodo Ref.]:[Check Periodo Ref.]]="Dentro",IF(DATOS_[[Check Equiparado]:[Check Equiparado]]="Sí",IF(DATOS!BB$4="Sí",(1/DATOS_[[% anualiz]:[% anualiz]]),1)*IF(DATOS!BB$5="Sí",1/DATOS_[[% normaliz]:[% normaliz]],1)*(DATOS_[Conc.Sal.24])))))))), 0)</f>
        <v>0</v>
      </c>
      <c r="AH86" s="250" t="n">
        <f aca="false" t="array" ref="AH86:AH86">IFERROR( (MEDIAN((IF(DATOS_[[Sexo]:[Sexo]]=$B86,IF(DATOS_[[AGRUP. CLAS. PROF.]:[AGRUP. CLAS. PROF.]]=$B84,IF(DATOS_[[Check Periodo Ref.]:[Check Periodo Ref.]]="Dentro",IF(DATOS_[[Check Equiparado]:[Check Equiparado]]="Sí",IF(DATOS!BC$4="Sí",(1/DATOS_[[% anualiz]:[% anualiz]]),1)*IF(DATOS!BC$5="Sí",1/DATOS_[[% normaliz]:[% normaliz]],1)*(DATOS_[Conc.Sal.25])))))))), 0)</f>
        <v>0</v>
      </c>
      <c r="AI86" s="250" t="n">
        <f aca="false" t="array" ref="AI86:AI86">IFERROR( (MEDIAN((IF(DATOS_[[Sexo]:[Sexo]]=$B86,IF(DATOS_[[AGRUP. CLAS. PROF.]:[AGRUP. CLAS. PROF.]]=$B84,IF(DATOS_[[Check Periodo Ref.]:[Check Periodo Ref.]]="Dentro",IF(DATOS_[[Check Equiparado]:[Check Equiparado]]="Sí",IF(DATOS!BD$4="Sí",(1/DATOS_[[% anualiz]:[% anualiz]]),1)*IF(DATOS!BD$5="Sí",1/DATOS_[[% normaliz]:[% normaliz]],1)*(DATOS_[Conc.Sal.26])))))))), 0)</f>
        <v>0</v>
      </c>
      <c r="AJ86" s="250" t="n">
        <f aca="false" t="array" ref="AJ86:AJ86">IFERROR( (MEDIAN((IF(DATOS_[[Sexo]:[Sexo]]=$B86,IF(DATOS_[[AGRUP. CLAS. PROF.]:[AGRUP. CLAS. PROF.]]=$B84,IF(DATOS_[[Check Periodo Ref.]:[Check Periodo Ref.]]="Dentro",IF(DATOS_[[Check Equiparado]:[Check Equiparado]]="Sí",IF(DATOS!BE$4="Sí",(1/DATOS_[[% anualiz]:[% anualiz]]),1)*IF(DATOS!BE$5="Sí",1/DATOS_[[% normaliz]:[% normaliz]],1)*(DATOS_[Conc.Sal.27])))))))), 0)</f>
        <v>0</v>
      </c>
      <c r="AK86" s="250" t="n">
        <f aca="false" t="array" ref="AK86:AK86">IFERROR( (MEDIAN((IF(DATOS_[[Sexo]:[Sexo]]=$B86,IF(DATOS_[[AGRUP. CLAS. PROF.]:[AGRUP. CLAS. PROF.]]=$B84,IF(DATOS_[[Check Periodo Ref.]:[Check Periodo Ref.]]="Dentro",IF(DATOS_[[Check Equiparado]:[Check Equiparado]]="Sí",IF(DATOS!BF$4="Sí",(1/DATOS_[[% anualiz]:[% anualiz]]),1)*IF(DATOS!BF$5="Sí",1/DATOS_[[% normaliz]:[% normaliz]],1)*(DATOS_[Conc.Sal.28])))))))), 0)</f>
        <v>0</v>
      </c>
      <c r="AL86" s="250" t="n">
        <f aca="false" t="array" ref="AL86:AL86">IFERROR( (MEDIAN((IF(DATOS_[[Sexo]:[Sexo]]=$B86,IF(DATOS_[[AGRUP. CLAS. PROF.]:[AGRUP. CLAS. PROF.]]=$B84,IF(DATOS_[[Check Periodo Ref.]:[Check Periodo Ref.]]="Dentro",IF(DATOS_[[Check Equiparado]:[Check Equiparado]]="Sí",IF(DATOS!BG$4="Sí",(1/DATOS_[[% anualiz]:[% anualiz]]),1)*IF(DATOS!BG$5="Sí",1/DATOS_[[% normaliz]:[% normaliz]],1)*(DATOS_[Conc.Sal.29])))))))), 0)</f>
        <v>0</v>
      </c>
      <c r="AM86" s="250" t="n">
        <f aca="false" t="array" ref="AM86:AM86">IFERROR( (MEDIAN((IF(DATOS_[[Sexo]:[Sexo]]=$B86,IF(DATOS_[[AGRUP. CLAS. PROF.]:[AGRUP. CLAS. PROF.]]=$B84,IF(DATOS_[[Check Periodo Ref.]:[Check Periodo Ref.]]="Dentro",IF(DATOS_[[Check Equiparado]:[Check Equiparado]]="Sí",IF(DATOS!BH$4="Sí",(1/DATOS_[[% anualiz]:[% anualiz]]),1)*IF(DATOS!BH$5="Sí",1/DATOS_[[% normaliz]:[% normaliz]],1)*(DATOS_[Conc.Sal.30])))))))), 0)</f>
        <v>0</v>
      </c>
      <c r="AN86" s="251" t="n">
        <f aca="false" t="array" ref="AN86:AN86">IFERROR( MEDIAN(IF(DATOS_[Sexo]=$B86,IF(DATOS_[[AGRUP. CLAS. PROF.]:[AGRUP. CLAS. PROF.]]=$B84,IF(DATOS_[Check Equiparado]="Sí",IF(DATOS_[Check Periodo Ref.]="Dentro",DATOS_[Tot COMPL.SAL Eq],0))))), 0)</f>
        <v>0</v>
      </c>
      <c r="AO86" s="252" t="n">
        <f aca="false" t="array" ref="AO86:AO86">IFERROR( MEDIAN(IF(DATOS_[Sexo]=$B86,IF(DATOS_[[AGRUP. CLAS. PROF.]:[AGRUP. CLAS. PROF.]]=$B84,IF(DATOS_[Check Equiparado]="Sí",IF(DATOS_[Check Periodo Ref.]="Dentro",DATOS_[TOTAL SALARIO Eq],0))))), 0)</f>
        <v>0</v>
      </c>
      <c r="AP86" s="259" t="n">
        <f aca="false" t="array" ref="AP86:AP86">IFERROR( (MEDIAN((IF(DATOS_[[Sexo]:[Sexo]]=$B86,IF(DATOS_[[AGRUP. CLAS. PROF.]:[AGRUP. CLAS. PROF.]]=$B85,IF(DATOS_[[Check Periodo Ref.]:[Check Periodo Ref.]]="Dentro",IF(DATOS_[[Check Equiparado]:[Check Equiparado]]="Sí",IF(DATOS!BI$4="Sí",(1/DATOS_[[% anualiz]:[% anualiz]]),1)*IF(DATOS!BI$5="Sí",1/DATOS_[[% normaliz]:[% normaliz]],1)*(DATOS_[C.Extra.01])))))))), 0)</f>
        <v>0</v>
      </c>
      <c r="AQ86" s="259" t="n">
        <f aca="false" t="array" ref="AQ86:AQ86">IFERROR( (MEDIAN((IF(DATOS_[[Sexo]:[Sexo]]=$B86,IF(DATOS_[[AGRUP. CLAS. PROF.]:[AGRUP. CLAS. PROF.]]=$B85,IF(DATOS_[[Check Periodo Ref.]:[Check Periodo Ref.]]="Dentro",IF(DATOS_[[Check Equiparado]:[Check Equiparado]]="Sí",IF(DATOS!BJ$4="Sí",(1/DATOS_[[% anualiz]:[% anualiz]]),1)*IF(DATOS!BJ$5="Sí",1/DATOS_[[% normaliz]:[% normaliz]],1)*(DATOS_[C.Extra.02])))))))), 0)</f>
        <v>0</v>
      </c>
      <c r="AR86" s="259" t="n">
        <f aca="false" t="array" ref="AR86:AR86">IFERROR( (MEDIAN((IF(DATOS_[[Sexo]:[Sexo]]=$B86,IF(DATOS_[[AGRUP. CLAS. PROF.]:[AGRUP. CLAS. PROF.]]=$B85,IF(DATOS_[[Check Periodo Ref.]:[Check Periodo Ref.]]="Dentro",IF(DATOS_[[Check Equiparado]:[Check Equiparado]]="Sí",IF(DATOS!BK$4="Sí",(1/DATOS_[[% anualiz]:[% anualiz]]),1)*IF(DATOS!BK$5="Sí",1/DATOS_[[% normaliz]:[% normaliz]],1)*(DATOS_[C.Extra.03])))))))), 0)</f>
        <v>0</v>
      </c>
      <c r="AS86" s="259" t="n">
        <f aca="false" t="array" ref="AS86:AS86">IFERROR( (MEDIAN((IF(DATOS_[[Sexo]:[Sexo]]=$B86,IF(DATOS_[[AGRUP. CLAS. PROF.]:[AGRUP. CLAS. PROF.]]=$B85,IF(DATOS_[[Check Periodo Ref.]:[Check Periodo Ref.]]="Dentro",IF(DATOS_[[Check Equiparado]:[Check Equiparado]]="Sí",IF(DATOS!BL$4="Sí",(1/DATOS_[[% anualiz]:[% anualiz]]),1)*IF(DATOS!BL$5="Sí",1/DATOS_[[% normaliz]:[% normaliz]],1)*(DATOS_[C.Extra.04])))))))), 0)</f>
        <v>0</v>
      </c>
      <c r="AT86" s="259" t="n">
        <f aca="false" t="array" ref="AT86:AT86">IFERROR( (MEDIAN((IF(DATOS_[[Sexo]:[Sexo]]=$B86,IF(DATOS_[[AGRUP. CLAS. PROF.]:[AGRUP. CLAS. PROF.]]=$B85,IF(DATOS_[[Check Periodo Ref.]:[Check Periodo Ref.]]="Dentro",IF(DATOS_[[Check Equiparado]:[Check Equiparado]]="Sí",IF(DATOS!BM$4="Sí",(1/DATOS_[[% anualiz]:[% anualiz]]),1)*IF(DATOS!BM$5="Sí",1/DATOS_[[% normaliz]:[% normaliz]],1)*(DATOS_[C.Extra.05])))))))), 0)</f>
        <v>0</v>
      </c>
      <c r="AU86" s="254" t="n">
        <f aca="false" t="array" ref="AU86:AU86">IFERROR( MEDIAN(IF(DATOS_[Sexo]=$B86,IF(DATOS_[[AGRUP. CLAS. PROF.]:[AGRUP. CLAS. PROF.]]=$B84,IF(DATOS_[Check Equiparado]="Sí",IF(DATOS_[Check Periodo Ref.]="Dentro",DATOS_[Tot Extrasalarial Eq],0))))), 0)</f>
        <v>0</v>
      </c>
      <c r="AV86" s="255" t="n">
        <f aca="false" t="array" ref="AV86:AV86">IFERROR( MEDIAN(IF(DATOS_[Sexo]=$B86,IF(DATOS_[[AGRUP. CLAS. PROF.]:[AGRUP. CLAS. PROF.]]=$B84,IF(DATOS_[Check Equiparado]="Sí",IF(DATOS_[Check Periodo Ref.]="Dentro",DATOS_[TOTAL Retrib Eq],0))))), 0)</f>
        <v>0</v>
      </c>
    </row>
    <row r="87" customFormat="false" ht="15.75" hidden="false" customHeight="false" outlineLevel="0" collapsed="false">
      <c r="A87" s="217" t="str">
        <f aca="false">+A88</f>
        <v>[ocultar]</v>
      </c>
      <c r="B87" s="320" t="s">
        <v>240</v>
      </c>
      <c r="C87" s="236"/>
      <c r="D87" s="237"/>
      <c r="E87" s="237"/>
      <c r="F87" s="237"/>
      <c r="G87" s="237"/>
      <c r="H87" s="237"/>
      <c r="I87" s="238"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39" t="str">
        <f aca="false">IFERROR((V88-V89)/V88,"")</f>
        <v/>
      </c>
      <c r="W87" s="239" t="str">
        <f aca="false">IFERROR((W88-W89)/W88,"")</f>
        <v/>
      </c>
      <c r="X87" s="239" t="str">
        <f aca="false">IFERROR((X88-X89)/X88,"")</f>
        <v/>
      </c>
      <c r="Y87" s="239"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0" t="str">
        <f aca="false">IFERROR((AJ88-AJ89)/AJ88,"")</f>
        <v/>
      </c>
      <c r="AK87" s="240" t="str">
        <f aca="false">IFERROR((AK88-AK89)/AK88,"")</f>
        <v/>
      </c>
      <c r="AL87" s="240" t="str">
        <f aca="false">IFERROR((AL88-AL89)/AL88,"")</f>
        <v/>
      </c>
      <c r="AM87" s="240" t="str">
        <f aca="false">IFERROR((AM88-AM89)/AM88,"")</f>
        <v/>
      </c>
      <c r="AN87" s="241" t="str">
        <f aca="false">IFERROR((AN88-AN89)/AN88,"")</f>
        <v/>
      </c>
      <c r="AO87" s="242" t="str">
        <f aca="false">IFERROR((AO88-AO89)/AO88,"")</f>
        <v/>
      </c>
      <c r="AP87" s="243" t="str">
        <f aca="false">IFERROR((AP88-AP89)/AP88,"")</f>
        <v/>
      </c>
      <c r="AQ87" s="243" t="str">
        <f aca="false">IFERROR((AQ88-AQ89)/AQ88,"")</f>
        <v/>
      </c>
      <c r="AR87" s="243" t="str">
        <f aca="false">IFERROR((AR88-AR89)/AR88,"")</f>
        <v/>
      </c>
      <c r="AS87" s="243" t="str">
        <f aca="false">IFERROR((AS88-AS89)/AS88,"")</f>
        <v/>
      </c>
      <c r="AT87" s="243" t="str">
        <f aca="false">IFERROR((AT88-AT89)/AT88,"")</f>
        <v/>
      </c>
      <c r="AU87" s="244" t="str">
        <f aca="false">IFERROR((AU88-AU89)/AU88,"")</f>
        <v/>
      </c>
      <c r="AV87" s="245" t="str">
        <f aca="false">IFERROR((AV88-AV89)/AV88,"")</f>
        <v/>
      </c>
    </row>
    <row r="88" customFormat="false" ht="14.25" hidden="false" customHeight="false" outlineLevel="0" collapsed="false">
      <c r="A88" s="217" t="str">
        <f aca="false">+IF(C88+C89=0,"[ocultar]","")</f>
        <v>[ocultar]</v>
      </c>
      <c r="B88" s="323" t="s">
        <v>371</v>
      </c>
      <c r="C88" s="247" t="n">
        <f aca="false" t="array" ref="C88:C88">SUM(IF($B88=DATOS_[Sexo], IF($B87=DATOS_[AGRUP. CLAS. PROF.], IF("Dentro"=DATOS_[Check Periodo Ref.], 1/(COUNTIFS(DATOS_[Sexo],$B88,DATOS_[AGRUP. CLAS. PROF.],$B87,DATOS_[Check Periodo Ref.],"Dentro",DATOS_[id],DATOS_[id]))))))</f>
        <v>0</v>
      </c>
      <c r="D88" s="248" t="n">
        <f aca="false">COUNTIFS(DATOS_[AGRUP. CLAS. PROF.],$B87,DATOS_[Sexo],$B88,DATOS_[Check Periodo Ref.],"Dentro")</f>
        <v>0</v>
      </c>
      <c r="E88" s="248" t="n">
        <f aca="false">COUNTIFS(DATOS_[AGRUP. CLAS. PROF.],$B87,DATOS_[Sexo],$B88,DATOS_[Check Periodo Ref.],"Dentro",DATOS_[Check Nº SC Norm],"Sí")</f>
        <v>0</v>
      </c>
      <c r="F88" s="248" t="n">
        <f aca="false">COUNTIFS(DATOS_[AGRUP. CLAS. PROF.],$B87,DATOS_[Sexo],$B88,DATOS_[Check Periodo Ref.],"Dentro",DATOS_[Check Nº SC Anualiz],"Sí")</f>
        <v>0</v>
      </c>
      <c r="G88" s="248" t="n">
        <f aca="false">COUNTIFS(DATOS_[AGRUP. CLAS. PROF.],$B87,DATOS_[Sexo],$B88,DATOS_[Check Periodo Ref.],"Dentro",DATOS_[Check Nº SC Norm y Anualiz],"Sí")</f>
        <v>0</v>
      </c>
      <c r="H88" s="248" t="n">
        <f aca="false">COUNTIFS(DATOS_[AGRUP. CLAS. PROF.],$B87,DATOS_[Sexo],$B88,DATOS_[Check Periodo Ref.],"Dentro",DATOS_[Check Equiparación],"Sí")</f>
        <v>0</v>
      </c>
      <c r="I88" s="249" t="n">
        <f aca="false" t="array" ref="I88:I88">IFERROR( MEDIAN(IF(DATOS_[Sexo]=$B88,IF(DATOS_[[AGRUP. CLAS. PROF.]:[AGRUP. CLAS. PROF.]]=$B87,IF(DATOS_[Check Equiparado]="Sí",IF(DATOS_[Check Periodo Ref.]="Dentro",DATOS_[SALARIO BASE Eq],0))))), 0)</f>
        <v>0</v>
      </c>
      <c r="J88" s="250" t="n">
        <f aca="false" t="array" ref="J88:J88">IFERROR( (MEDIAN((IF(DATOS_[[Sexo]:[Sexo]]=$B88,IF(DATOS_[[AGRUP. CLAS. PROF.]:[AGRUP. CLAS. PROF.]]=$B87,IF(DATOS_[[Check Periodo Ref.]:[Check Periodo Ref.]]="Dentro",IF(DATOS_[[Check Equiparado]:[Check Equiparado]]="Sí",IF(DATOS!AE$4="Sí",(1/DATOS_[[% anualiz]:[% anualiz]]),1)*IF(DATOS!AE$5="Sí",1/DATOS_[[% normaliz]:[% normaliz]],1)*(DATOS_[Conc.Sal.01])))))))), 0)</f>
        <v>0</v>
      </c>
      <c r="K88" s="250" t="n">
        <f aca="false" t="array" ref="K88:K88">IFERROR( (MEDIAN((IF(DATOS_[[Sexo]:[Sexo]]=$B88,IF(DATOS_[[AGRUP. CLAS. PROF.]:[AGRUP. CLAS. PROF.]]=$B87,IF(DATOS_[[Check Periodo Ref.]:[Check Periodo Ref.]]="Dentro",IF(DATOS_[[Check Equiparado]:[Check Equiparado]]="Sí",IF(DATOS!AF$4="Sí",(1/DATOS_[[% anualiz]:[% anualiz]]),1)*IF(DATOS!AF$5="Sí",1/DATOS_[[% normaliz]:[% normaliz]],1)*(DATOS_[Conc.Sal.02])))))))), 0)</f>
        <v>0</v>
      </c>
      <c r="L88" s="250" t="n">
        <f aca="false" t="array" ref="L88:L88">IFERROR( (MEDIAN((IF(DATOS_[[Sexo]:[Sexo]]=$B88,IF(DATOS_[[AGRUP. CLAS. PROF.]:[AGRUP. CLAS. PROF.]]=$B87,IF(DATOS_[[Check Periodo Ref.]:[Check Periodo Ref.]]="Dentro",IF(DATOS_[[Check Equiparado]:[Check Equiparado]]="Sí",IF(DATOS!AG$4="Sí",(1/DATOS_[[% anualiz]:[% anualiz]]),1)*IF(DATOS!AG$5="Sí",1/DATOS_[[% normaliz]:[% normaliz]],1)*(DATOS_[Conc.Sal.03])))))))), 0)</f>
        <v>0</v>
      </c>
      <c r="M88" s="250" t="n">
        <f aca="false" t="array" ref="M88:M88">IFERROR( (MEDIAN((IF(DATOS_[[Sexo]:[Sexo]]=$B88,IF(DATOS_[[AGRUP. CLAS. PROF.]:[AGRUP. CLAS. PROF.]]=$B87,IF(DATOS_[[Check Periodo Ref.]:[Check Periodo Ref.]]="Dentro",IF(DATOS_[[Check Equiparado]:[Check Equiparado]]="Sí",IF(DATOS!AH$4="Sí",(1/DATOS_[[% anualiz]:[% anualiz]]),1)*IF(DATOS!AH$5="Sí",1/DATOS_[[% normaliz]:[% normaliz]],1)*(DATOS_[Conc.Sal.04])))))))), 0)</f>
        <v>0</v>
      </c>
      <c r="N88" s="250" t="n">
        <f aca="false" t="array" ref="N88:N88">IFERROR( (MEDIAN((IF(DATOS_[[Sexo]:[Sexo]]=$B88,IF(DATOS_[[AGRUP. CLAS. PROF.]:[AGRUP. CLAS. PROF.]]=$B87,IF(DATOS_[[Check Periodo Ref.]:[Check Periodo Ref.]]="Dentro",IF(DATOS_[[Check Equiparado]:[Check Equiparado]]="Sí",IF(DATOS!AI$4="Sí",(1/DATOS_[[% anualiz]:[% anualiz]]),1)*IF(DATOS!AI$5="Sí",1/DATOS_[[% normaliz]:[% normaliz]],1)*(DATOS_[Conc.Sal.05])))))))), 0)</f>
        <v>0</v>
      </c>
      <c r="O88" s="250" t="n">
        <f aca="false" t="array" ref="O88:O88">IFERROR( (MEDIAN((IF(DATOS_[[Sexo]:[Sexo]]=$B88,IF(DATOS_[[AGRUP. CLAS. PROF.]:[AGRUP. CLAS. PROF.]]=$B87,IF(DATOS_[[Check Periodo Ref.]:[Check Periodo Ref.]]="Dentro",IF(DATOS_[[Check Equiparado]:[Check Equiparado]]="Sí",IF(DATOS!AJ$4="Sí",(1/DATOS_[[% anualiz]:[% anualiz]]),1)*IF(DATOS!AJ$5="Sí",1/DATOS_[[% normaliz]:[% normaliz]],1)*(DATOS_[Conc.Sal.06])))))))), 0)</f>
        <v>0</v>
      </c>
      <c r="P88" s="250" t="n">
        <f aca="false" t="array" ref="P88:P88">IFERROR( (MEDIAN((IF(DATOS_[[Sexo]:[Sexo]]=$B88,IF(DATOS_[[AGRUP. CLAS. PROF.]:[AGRUP. CLAS. PROF.]]=$B87,IF(DATOS_[[Check Periodo Ref.]:[Check Periodo Ref.]]="Dentro",IF(DATOS_[[Check Equiparado]:[Check Equiparado]]="Sí",IF(DATOS!AK$4="Sí",(1/DATOS_[[% anualiz]:[% anualiz]]),1)*IF(DATOS!AK$5="Sí",1/DATOS_[[% normaliz]:[% normaliz]],1)*(DATOS_[Conc.Sal.07])))))))), 0)</f>
        <v>0</v>
      </c>
      <c r="Q88" s="250" t="n">
        <f aca="false" t="array" ref="Q88:Q88">IFERROR( (MEDIAN((IF(DATOS_[[Sexo]:[Sexo]]=$B88,IF(DATOS_[[AGRUP. CLAS. PROF.]:[AGRUP. CLAS. PROF.]]=$B87,IF(DATOS_[[Check Periodo Ref.]:[Check Periodo Ref.]]="Dentro",IF(DATOS_[[Check Equiparado]:[Check Equiparado]]="Sí",IF(DATOS!AL$4="Sí",(1/DATOS_[[% anualiz]:[% anualiz]]),1)*IF(DATOS!AL$5="Sí",1/DATOS_[[% normaliz]:[% normaliz]],1)*(DATOS_[Conc.Sal.08])))))))), 0)</f>
        <v>0</v>
      </c>
      <c r="R88" s="250" t="n">
        <f aca="false" t="array" ref="R88:R88">IFERROR( (MEDIAN((IF(DATOS_[[Sexo]:[Sexo]]=$B88,IF(DATOS_[[AGRUP. CLAS. PROF.]:[AGRUP. CLAS. PROF.]]=$B87,IF(DATOS_[[Check Periodo Ref.]:[Check Periodo Ref.]]="Dentro",IF(DATOS_[[Check Equiparado]:[Check Equiparado]]="Sí",IF(DATOS!AM$4="Sí",(1/DATOS_[[% anualiz]:[% anualiz]]),1)*IF(DATOS!AM$5="Sí",1/DATOS_[[% normaliz]:[% normaliz]],1)*(DATOS_[Conc.Sal.09])))))))), 0)</f>
        <v>0</v>
      </c>
      <c r="S88" s="250" t="n">
        <f aca="false" t="array" ref="S88:S88">IFERROR( (MEDIAN((IF(DATOS_[[Sexo]:[Sexo]]=$B88,IF(DATOS_[[AGRUP. CLAS. PROF.]:[AGRUP. CLAS. PROF.]]=$B87,IF(DATOS_[[Check Periodo Ref.]:[Check Periodo Ref.]]="Dentro",IF(DATOS_[[Check Equiparado]:[Check Equiparado]]="Sí",IF(DATOS!AN$4="Sí",(1/DATOS_[[% anualiz]:[% anualiz]]),1)*IF(DATOS!AN$5="Sí",1/DATOS_[[% normaliz]:[% normaliz]],1)*(DATOS_[Conc.Sal.10])))))))), 0)</f>
        <v>0</v>
      </c>
      <c r="T88" s="250" t="n">
        <f aca="false" t="array" ref="T88:T88">IFERROR( (MEDIAN((IF(DATOS_[[Sexo]:[Sexo]]=$B88,IF(DATOS_[[AGRUP. CLAS. PROF.]:[AGRUP. CLAS. PROF.]]=$B87,IF(DATOS_[[Check Periodo Ref.]:[Check Periodo Ref.]]="Dentro",IF(DATOS_[[Check Equiparado]:[Check Equiparado]]="Sí",IF(DATOS!AO$4="Sí",(1/DATOS_[[% anualiz]:[% anualiz]]),1)*IF(DATOS!AO$5="Sí",1/DATOS_[[% normaliz]:[% normaliz]],1)*(DATOS_[Conc.Sal.11])))))))), 0)</f>
        <v>0</v>
      </c>
      <c r="U88" s="250" t="n">
        <f aca="false" t="array" ref="U88:U88">IFERROR( (MEDIAN((IF(DATOS_[[Sexo]:[Sexo]]=$B88,IF(DATOS_[[AGRUP. CLAS. PROF.]:[AGRUP. CLAS. PROF.]]=$B87,IF(DATOS_[[Check Periodo Ref.]:[Check Periodo Ref.]]="Dentro",IF(DATOS_[[Check Equiparado]:[Check Equiparado]]="Sí",IF(DATOS!AP$4="Sí",(1/DATOS_[[% anualiz]:[% anualiz]]),1)*IF(DATOS!AP$5="Sí",1/DATOS_[[% normaliz]:[% normaliz]],1)*(DATOS_[Conc.Sal.12])))))))), 0)</f>
        <v>0</v>
      </c>
      <c r="V88" s="250" t="n">
        <f aca="false" t="array" ref="V88:V88">IFERROR( (MEDIAN((IF(DATOS_[[Sexo]:[Sexo]]=$B88,IF(DATOS_[[AGRUP. CLAS. PROF.]:[AGRUP. CLAS. PROF.]]=$B87,IF(DATOS_[[Check Periodo Ref.]:[Check Periodo Ref.]]="Dentro",IF(DATOS_[[Check Equiparado]:[Check Equiparado]]="Sí",IF(DATOS!AQ$4="Sí",(1/DATOS_[[% anualiz]:[% anualiz]]),1)*IF(DATOS!AQ$5="Sí",1/DATOS_[[% normaliz]:[% normaliz]],1)*(DATOS_[Conc.Sal.13])))))))), 0)</f>
        <v>0</v>
      </c>
      <c r="W88" s="250" t="n">
        <f aca="false" t="array" ref="W88:W88">IFERROR( (MEDIAN((IF(DATOS_[[Sexo]:[Sexo]]=$B88,IF(DATOS_[[AGRUP. CLAS. PROF.]:[AGRUP. CLAS. PROF.]]=$B87,IF(DATOS_[[Check Periodo Ref.]:[Check Periodo Ref.]]="Dentro",IF(DATOS_[[Check Equiparado]:[Check Equiparado]]="Sí",IF(DATOS!AR$4="Sí",(1/DATOS_[[% anualiz]:[% anualiz]]),1)*IF(DATOS!AR$5="Sí",1/DATOS_[[% normaliz]:[% normaliz]],1)*(DATOS_[Conc.Sal.14])))))))), 0)</f>
        <v>0</v>
      </c>
      <c r="X88" s="250" t="n">
        <f aca="false" t="array" ref="X88:X88">IFERROR( (MEDIAN((IF(DATOS_[[Sexo]:[Sexo]]=$B88,IF(DATOS_[[AGRUP. CLAS. PROF.]:[AGRUP. CLAS. PROF.]]=$B87,IF(DATOS_[[Check Periodo Ref.]:[Check Periodo Ref.]]="Dentro",IF(DATOS_[[Check Equiparado]:[Check Equiparado]]="Sí",IF(DATOS!AS$4="Sí",(1/DATOS_[[% anualiz]:[% anualiz]]),1)*IF(DATOS!AS$5="Sí",1/DATOS_[[% normaliz]:[% normaliz]],1)*(DATOS_[Conc.Sal.15])))))))), 0)</f>
        <v>0</v>
      </c>
      <c r="Y88" s="250" t="n">
        <f aca="false" t="array" ref="Y88:Y88">IFERROR( (MEDIAN((IF(DATOS_[[Sexo]:[Sexo]]=$B88,IF(DATOS_[[AGRUP. CLAS. PROF.]:[AGRUP. CLAS. PROF.]]=$B87,IF(DATOS_[[Check Periodo Ref.]:[Check Periodo Ref.]]="Dentro",IF(DATOS_[[Check Equiparado]:[Check Equiparado]]="Sí",IF(DATOS!AT$4="Sí",(1/DATOS_[[% anualiz]:[% anualiz]]),1)*IF(DATOS!AT$5="Sí",1/DATOS_[[% normaliz]:[% normaliz]],1)*(DATOS_[Conc.Sal.16])))))))), 0)</f>
        <v>0</v>
      </c>
      <c r="Z88" s="250" t="n">
        <f aca="false" t="array" ref="Z88:Z88">IFERROR( (MEDIAN((IF(DATOS_[[Sexo]:[Sexo]]=$B88,IF(DATOS_[[AGRUP. CLAS. PROF.]:[AGRUP. CLAS. PROF.]]=$B87,IF(DATOS_[[Check Periodo Ref.]:[Check Periodo Ref.]]="Dentro",IF(DATOS_[[Check Equiparado]:[Check Equiparado]]="Sí",IF(DATOS!AU$4="Sí",(1/DATOS_[[% anualiz]:[% anualiz]]),1)*IF(DATOS!AU$5="Sí",1/DATOS_[[% normaliz]:[% normaliz]],1)*(DATOS_[Conc.Sal.17])))))))), 0)</f>
        <v>0</v>
      </c>
      <c r="AA88" s="250" t="n">
        <f aca="false" t="array" ref="AA88:AA88">IFERROR( (MEDIAN((IF(DATOS_[[Sexo]:[Sexo]]=$B88,IF(DATOS_[[AGRUP. CLAS. PROF.]:[AGRUP. CLAS. PROF.]]=$B87,IF(DATOS_[[Check Periodo Ref.]:[Check Periodo Ref.]]="Dentro",IF(DATOS_[[Check Equiparado]:[Check Equiparado]]="Sí",IF(DATOS!AV$4="Sí",(1/DATOS_[[% anualiz]:[% anualiz]]),1)*IF(DATOS!AV$5="Sí",1/DATOS_[[% normaliz]:[% normaliz]],1)*(DATOS_[Conc.Sal.18])))))))), 0)</f>
        <v>0</v>
      </c>
      <c r="AB88" s="250" t="n">
        <f aca="false" t="array" ref="AB88:AB88">IFERROR( (MEDIAN((IF(DATOS_[[Sexo]:[Sexo]]=$B88,IF(DATOS_[[AGRUP. CLAS. PROF.]:[AGRUP. CLAS. PROF.]]=$B87,IF(DATOS_[[Check Periodo Ref.]:[Check Periodo Ref.]]="Dentro",IF(DATOS_[[Check Equiparado]:[Check Equiparado]]="Sí",IF(DATOS!AW$4="Sí",(1/DATOS_[[% anualiz]:[% anualiz]]),1)*IF(DATOS!AW$5="Sí",1/DATOS_[[% normaliz]:[% normaliz]],1)*(DATOS_[Conc.Sal.19])))))))), 0)</f>
        <v>0</v>
      </c>
      <c r="AC88" s="250" t="n">
        <f aca="false" t="array" ref="AC88:AC88">IFERROR( (MEDIAN((IF(DATOS_[[Sexo]:[Sexo]]=$B88,IF(DATOS_[[AGRUP. CLAS. PROF.]:[AGRUP. CLAS. PROF.]]=$B87,IF(DATOS_[[Check Periodo Ref.]:[Check Periodo Ref.]]="Dentro",IF(DATOS_[[Check Equiparado]:[Check Equiparado]]="Sí",IF(DATOS!AX$4="Sí",(1/DATOS_[[% anualiz]:[% anualiz]]),1)*IF(DATOS!AX$5="Sí",1/DATOS_[[% normaliz]:[% normaliz]],1)*(DATOS_[Conc.Sal.20])))))))), 0)</f>
        <v>0</v>
      </c>
      <c r="AD88" s="250" t="n">
        <f aca="false" t="array" ref="AD88:AD88">IFERROR( (MEDIAN((IF(DATOS_[[Sexo]:[Sexo]]=$B88,IF(DATOS_[[AGRUP. CLAS. PROF.]:[AGRUP. CLAS. PROF.]]=$B87,IF(DATOS_[[Check Periodo Ref.]:[Check Periodo Ref.]]="Dentro",IF(DATOS_[[Check Equiparado]:[Check Equiparado]]="Sí",IF(DATOS!AY$4="Sí",(1/DATOS_[[% anualiz]:[% anualiz]]),1)*IF(DATOS!AY$5="Sí",1/DATOS_[[% normaliz]:[% normaliz]],1)*(DATOS_[Conc.Sal.21])))))))), 0)</f>
        <v>0</v>
      </c>
      <c r="AE88" s="250" t="n">
        <f aca="false" t="array" ref="AE88:AE88">IFERROR( (MEDIAN((IF(DATOS_[[Sexo]:[Sexo]]=$B88,IF(DATOS_[[AGRUP. CLAS. PROF.]:[AGRUP. CLAS. PROF.]]=$B87,IF(DATOS_[[Check Periodo Ref.]:[Check Periodo Ref.]]="Dentro",IF(DATOS_[[Check Equiparado]:[Check Equiparado]]="Sí",IF(DATOS!AZ$4="Sí",(1/DATOS_[[% anualiz]:[% anualiz]]),1)*IF(DATOS!AZ$5="Sí",1/DATOS_[[% normaliz]:[% normaliz]],1)*(DATOS_[Conc.Sal.22])))))))), 0)</f>
        <v>0</v>
      </c>
      <c r="AF88" s="250" t="n">
        <f aca="false" t="array" ref="AF88:AF88">IFERROR( (MEDIAN((IF(DATOS_[[Sexo]:[Sexo]]=$B88,IF(DATOS_[[AGRUP. CLAS. PROF.]:[AGRUP. CLAS. PROF.]]=$B87,IF(DATOS_[[Check Periodo Ref.]:[Check Periodo Ref.]]="Dentro",IF(DATOS_[[Check Equiparado]:[Check Equiparado]]="Sí",IF(DATOS!BA$4="Sí",(1/DATOS_[[% anualiz]:[% anualiz]]),1)*IF(DATOS!BA$5="Sí",1/DATOS_[[% normaliz]:[% normaliz]],1)*(DATOS_[Conc.Sal.23])))))))), 0)</f>
        <v>0</v>
      </c>
      <c r="AG88" s="250" t="n">
        <f aca="false" t="array" ref="AG88:AG88">IFERROR( (MEDIAN((IF(DATOS_[[Sexo]:[Sexo]]=$B88,IF(DATOS_[[AGRUP. CLAS. PROF.]:[AGRUP. CLAS. PROF.]]=$B87,IF(DATOS_[[Check Periodo Ref.]:[Check Periodo Ref.]]="Dentro",IF(DATOS_[[Check Equiparado]:[Check Equiparado]]="Sí",IF(DATOS!BB$4="Sí",(1/DATOS_[[% anualiz]:[% anualiz]]),1)*IF(DATOS!BB$5="Sí",1/DATOS_[[% normaliz]:[% normaliz]],1)*(DATOS_[Conc.Sal.24])))))))), 0)</f>
        <v>0</v>
      </c>
      <c r="AH88" s="250" t="n">
        <f aca="false" t="array" ref="AH88:AH88">IFERROR( (MEDIAN((IF(DATOS_[[Sexo]:[Sexo]]=$B88,IF(DATOS_[[AGRUP. CLAS. PROF.]:[AGRUP. CLAS. PROF.]]=$B87,IF(DATOS_[[Check Periodo Ref.]:[Check Periodo Ref.]]="Dentro",IF(DATOS_[[Check Equiparado]:[Check Equiparado]]="Sí",IF(DATOS!BC$4="Sí",(1/DATOS_[[% anualiz]:[% anualiz]]),1)*IF(DATOS!BC$5="Sí",1/DATOS_[[% normaliz]:[% normaliz]],1)*(DATOS_[Conc.Sal.25])))))))), 0)</f>
        <v>0</v>
      </c>
      <c r="AI88" s="250" t="n">
        <f aca="false" t="array" ref="AI88:AI88">IFERROR( (MEDIAN((IF(DATOS_[[Sexo]:[Sexo]]=$B88,IF(DATOS_[[AGRUP. CLAS. PROF.]:[AGRUP. CLAS. PROF.]]=$B87,IF(DATOS_[[Check Periodo Ref.]:[Check Periodo Ref.]]="Dentro",IF(DATOS_[[Check Equiparado]:[Check Equiparado]]="Sí",IF(DATOS!BD$4="Sí",(1/DATOS_[[% anualiz]:[% anualiz]]),1)*IF(DATOS!BD$5="Sí",1/DATOS_[[% normaliz]:[% normaliz]],1)*(DATOS_[Conc.Sal.26])))))))), 0)</f>
        <v>0</v>
      </c>
      <c r="AJ88" s="250" t="n">
        <f aca="false" t="array" ref="AJ88:AJ88">IFERROR( (MEDIAN((IF(DATOS_[[Sexo]:[Sexo]]=$B88,IF(DATOS_[[AGRUP. CLAS. PROF.]:[AGRUP. CLAS. PROF.]]=$B87,IF(DATOS_[[Check Periodo Ref.]:[Check Periodo Ref.]]="Dentro",IF(DATOS_[[Check Equiparado]:[Check Equiparado]]="Sí",IF(DATOS!BE$4="Sí",(1/DATOS_[[% anualiz]:[% anualiz]]),1)*IF(DATOS!BE$5="Sí",1/DATOS_[[% normaliz]:[% normaliz]],1)*(DATOS_[Conc.Sal.27])))))))), 0)</f>
        <v>0</v>
      </c>
      <c r="AK88" s="250" t="n">
        <f aca="false" t="array" ref="AK88:AK88">IFERROR( (MEDIAN((IF(DATOS_[[Sexo]:[Sexo]]=$B88,IF(DATOS_[[AGRUP. CLAS. PROF.]:[AGRUP. CLAS. PROF.]]=$B87,IF(DATOS_[[Check Periodo Ref.]:[Check Periodo Ref.]]="Dentro",IF(DATOS_[[Check Equiparado]:[Check Equiparado]]="Sí",IF(DATOS!BF$4="Sí",(1/DATOS_[[% anualiz]:[% anualiz]]),1)*IF(DATOS!BF$5="Sí",1/DATOS_[[% normaliz]:[% normaliz]],1)*(DATOS_[Conc.Sal.28])))))))), 0)</f>
        <v>0</v>
      </c>
      <c r="AL88" s="250" t="n">
        <f aca="false" t="array" ref="AL88:AL88">IFERROR( (MEDIAN((IF(DATOS_[[Sexo]:[Sexo]]=$B88,IF(DATOS_[[AGRUP. CLAS. PROF.]:[AGRUP. CLAS. PROF.]]=$B87,IF(DATOS_[[Check Periodo Ref.]:[Check Periodo Ref.]]="Dentro",IF(DATOS_[[Check Equiparado]:[Check Equiparado]]="Sí",IF(DATOS!BG$4="Sí",(1/DATOS_[[% anualiz]:[% anualiz]]),1)*IF(DATOS!BG$5="Sí",1/DATOS_[[% normaliz]:[% normaliz]],1)*(DATOS_[Conc.Sal.29])))))))), 0)</f>
        <v>0</v>
      </c>
      <c r="AM88" s="250" t="n">
        <f aca="false" t="array" ref="AM88:AM88">IFERROR( (MEDIAN((IF(DATOS_[[Sexo]:[Sexo]]=$B88,IF(DATOS_[[AGRUP. CLAS. PROF.]:[AGRUP. CLAS. PROF.]]=$B87,IF(DATOS_[[Check Periodo Ref.]:[Check Periodo Ref.]]="Dentro",IF(DATOS_[[Check Equiparado]:[Check Equiparado]]="Sí",IF(DATOS!BH$4="Sí",(1/DATOS_[[% anualiz]:[% anualiz]]),1)*IF(DATOS!BH$5="Sí",1/DATOS_[[% normaliz]:[% normaliz]],1)*(DATOS_[Conc.Sal.30])))))))), 0)</f>
        <v>0</v>
      </c>
      <c r="AN88" s="251" t="n">
        <f aca="false" t="array" ref="AN88:AN88">IFERROR( MEDIAN(IF(DATOS_[Sexo]=$B88,IF(DATOS_[[AGRUP. CLAS. PROF.]:[AGRUP. CLAS. PROF.]]=$B87,IF(DATOS_[Check Equiparado]="Sí",IF(DATOS_[Check Periodo Ref.]="Dentro",DATOS_[Tot COMPL.SAL Eq],0))))), 0)</f>
        <v>0</v>
      </c>
      <c r="AO88" s="252" t="n">
        <f aca="false" t="array" ref="AO88:AO88">IFERROR( MEDIAN(IF(DATOS_[Sexo]=$B88,IF(DATOS_[[AGRUP. CLAS. PROF.]:[AGRUP. CLAS. PROF.]]=$B87,IF(DATOS_[Check Equiparado]="Sí",IF(DATOS_[Check Periodo Ref.]="Dentro",DATOS_[TOTAL SALARIO Eq],0))))), 0)</f>
        <v>0</v>
      </c>
      <c r="AP88" s="259" t="n">
        <f aca="false" t="array" ref="AP88:AP88">IFERROR( (MEDIAN((IF(DATOS_[[Sexo]:[Sexo]]=$B88,IF(DATOS_[[AGRUP. CLAS. PROF.]:[AGRUP. CLAS. PROF.]]=$B87,IF(DATOS_[[Check Periodo Ref.]:[Check Periodo Ref.]]="Dentro",IF(DATOS_[[Check Equiparado]:[Check Equiparado]]="Sí",IF(DATOS!BI$4="Sí",(1/DATOS_[[% anualiz]:[% anualiz]]),1)*IF(DATOS!BI$5="Sí",1/DATOS_[[% normaliz]:[% normaliz]],1)*(DATOS_[C.Extra.01])))))))), 0)</f>
        <v>0</v>
      </c>
      <c r="AQ88" s="259" t="n">
        <f aca="false" t="array" ref="AQ88:AQ88">IFERROR( (MEDIAN((IF(DATOS_[[Sexo]:[Sexo]]=$B88,IF(DATOS_[[AGRUP. CLAS. PROF.]:[AGRUP. CLAS. PROF.]]=$B87,IF(DATOS_[[Check Periodo Ref.]:[Check Periodo Ref.]]="Dentro",IF(DATOS_[[Check Equiparado]:[Check Equiparado]]="Sí",IF(DATOS!BJ$4="Sí",(1/DATOS_[[% anualiz]:[% anualiz]]),1)*IF(DATOS!BJ$5="Sí",1/DATOS_[[% normaliz]:[% normaliz]],1)*(DATOS_[C.Extra.02])))))))), 0)</f>
        <v>0</v>
      </c>
      <c r="AR88" s="259" t="n">
        <f aca="false" t="array" ref="AR88:AR88">IFERROR( (MEDIAN((IF(DATOS_[[Sexo]:[Sexo]]=$B88,IF(DATOS_[[AGRUP. CLAS. PROF.]:[AGRUP. CLAS. PROF.]]=$B87,IF(DATOS_[[Check Periodo Ref.]:[Check Periodo Ref.]]="Dentro",IF(DATOS_[[Check Equiparado]:[Check Equiparado]]="Sí",IF(DATOS!BK$4="Sí",(1/DATOS_[[% anualiz]:[% anualiz]]),1)*IF(DATOS!BK$5="Sí",1/DATOS_[[% normaliz]:[% normaliz]],1)*(DATOS_[C.Extra.03])))))))), 0)</f>
        <v>0</v>
      </c>
      <c r="AS88" s="259" t="n">
        <f aca="false" t="array" ref="AS88:AS88">IFERROR( (MEDIAN((IF(DATOS_[[Sexo]:[Sexo]]=$B88,IF(DATOS_[[AGRUP. CLAS. PROF.]:[AGRUP. CLAS. PROF.]]=$B87,IF(DATOS_[[Check Periodo Ref.]:[Check Periodo Ref.]]="Dentro",IF(DATOS_[[Check Equiparado]:[Check Equiparado]]="Sí",IF(DATOS!BL$4="Sí",(1/DATOS_[[% anualiz]:[% anualiz]]),1)*IF(DATOS!BL$5="Sí",1/DATOS_[[% normaliz]:[% normaliz]],1)*(DATOS_[C.Extra.04])))))))), 0)</f>
        <v>0</v>
      </c>
      <c r="AT88" s="259" t="n">
        <f aca="false" t="array" ref="AT88:AT88">IFERROR( (MEDIAN((IF(DATOS_[[Sexo]:[Sexo]]=$B88,IF(DATOS_[[AGRUP. CLAS. PROF.]:[AGRUP. CLAS. PROF.]]=$B87,IF(DATOS_[[Check Periodo Ref.]:[Check Periodo Ref.]]="Dentro",IF(DATOS_[[Check Equiparado]:[Check Equiparado]]="Sí",IF(DATOS!BM$4="Sí",(1/DATOS_[[% anualiz]:[% anualiz]]),1)*IF(DATOS!BM$5="Sí",1/DATOS_[[% normaliz]:[% normaliz]],1)*(DATOS_[C.Extra.05])))))))), 0)</f>
        <v>0</v>
      </c>
      <c r="AU88" s="254" t="n">
        <f aca="false" t="array" ref="AU88:AU88">IFERROR( MEDIAN(IF(DATOS_[Sexo]=$B88,IF(DATOS_[[AGRUP. CLAS. PROF.]:[AGRUP. CLAS. PROF.]]=$B87,IF(DATOS_[Check Equiparado]="Sí",IF(DATOS_[Check Periodo Ref.]="Dentro",DATOS_[Tot Extrasalarial Eq],0))))), 0)</f>
        <v>0</v>
      </c>
      <c r="AV88" s="255" t="n">
        <f aca="false" t="array" ref="AV88:AV88">IFERROR( MEDIAN(IF(DATOS_[Sexo]=$B88,IF(DATOS_[[AGRUP. CLAS. PROF.]:[AGRUP. CLAS. PROF.]]=$B87,IF(DATOS_[Check Equiparado]="Sí",IF(DATOS_[Check Periodo Ref.]="Dentro",DATOS_[TOTAL Retrib Eq],0))))), 0)</f>
        <v>0</v>
      </c>
    </row>
    <row r="89" customFormat="false" ht="14.25" hidden="false" customHeight="false" outlineLevel="0" collapsed="false">
      <c r="A89" s="217" t="str">
        <f aca="false">+A88</f>
        <v>[ocultar]</v>
      </c>
      <c r="B89" s="323" t="s">
        <v>372</v>
      </c>
      <c r="C89" s="247" t="n">
        <f aca="false" t="array" ref="C89:C89">SUM(IF($B89=DATOS_[Sexo], IF($B87=DATOS_[AGRUP. CLAS. PROF.], IF("Dentro"=DATOS_[Check Periodo Ref.], 1/(COUNTIFS(DATOS_[Sexo],$B89,DATOS_[AGRUP. CLAS. PROF.],$B87,DATOS_[Check Periodo Ref.],"Dentro",DATOS_[id],DATOS_[id]))))))</f>
        <v>0</v>
      </c>
      <c r="D89" s="248" t="n">
        <f aca="false">COUNTIFS(DATOS_[AGRUP. CLAS. PROF.],$B87,DATOS_[Sexo],$B89,DATOS_[Check Periodo Ref.],"Dentro")</f>
        <v>0</v>
      </c>
      <c r="E89" s="248" t="n">
        <f aca="false">COUNTIFS(DATOS_[AGRUP. CLAS. PROF.],$B87,DATOS_[Sexo],$B89,DATOS_[Check Periodo Ref.],"Dentro",DATOS_[Check Nº SC Norm],"Sí")</f>
        <v>0</v>
      </c>
      <c r="F89" s="248" t="n">
        <f aca="false">COUNTIFS(DATOS_[AGRUP. CLAS. PROF.],$B87,DATOS_[Sexo],$B89,DATOS_[Check Periodo Ref.],"Dentro",DATOS_[Check Nº SC Anualiz],"Sí")</f>
        <v>0</v>
      </c>
      <c r="G89" s="248" t="n">
        <f aca="false">COUNTIFS(DATOS_[AGRUP. CLAS. PROF.],$B87,DATOS_[Sexo],$B89,DATOS_[Check Periodo Ref.],"Dentro",DATOS_[Check Nº SC Norm y Anualiz],"Sí")</f>
        <v>0</v>
      </c>
      <c r="H89" s="248" t="n">
        <f aca="false">COUNTIFS(DATOS_[AGRUP. CLAS. PROF.],$B87,DATOS_[Sexo],$B89,DATOS_[Check Periodo Ref.],"Dentro",DATOS_[Check Equiparación],"Sí")</f>
        <v>0</v>
      </c>
      <c r="I89" s="249" t="n">
        <f aca="false" t="array" ref="I89:I89">IFERROR( MEDIAN(IF(DATOS_[Sexo]=$B89,IF(DATOS_[[AGRUP. CLAS. PROF.]:[AGRUP. CLAS. PROF.]]=$B87,IF(DATOS_[Check Equiparado]="Sí",IF(DATOS_[Check Periodo Ref.]="Dentro",DATOS_[SALARIO BASE Eq],0))))), 0)</f>
        <v>0</v>
      </c>
      <c r="J89" s="250" t="n">
        <f aca="false" t="array" ref="J89:J89">IFERROR( (MEDIAN((IF(DATOS_[[Sexo]:[Sexo]]=$B89,IF(DATOS_[[AGRUP. CLAS. PROF.]:[AGRUP. CLAS. PROF.]]=$B87,IF(DATOS_[[Check Periodo Ref.]:[Check Periodo Ref.]]="Dentro",IF(DATOS_[[Check Equiparado]:[Check Equiparado]]="Sí",IF(DATOS!AE$4="Sí",(1/DATOS_[[% anualiz]:[% anualiz]]),1)*IF(DATOS!AE$5="Sí",1/DATOS_[[% normaliz]:[% normaliz]],1)*(DATOS_[Conc.Sal.01])))))))), 0)</f>
        <v>0</v>
      </c>
      <c r="K89" s="250" t="n">
        <f aca="false" t="array" ref="K89:K89">IFERROR( (MEDIAN((IF(DATOS_[[Sexo]:[Sexo]]=$B89,IF(DATOS_[[AGRUP. CLAS. PROF.]:[AGRUP. CLAS. PROF.]]=$B87,IF(DATOS_[[Check Periodo Ref.]:[Check Periodo Ref.]]="Dentro",IF(DATOS_[[Check Equiparado]:[Check Equiparado]]="Sí",IF(DATOS!AF$4="Sí",(1/DATOS_[[% anualiz]:[% anualiz]]),1)*IF(DATOS!AF$5="Sí",1/DATOS_[[% normaliz]:[% normaliz]],1)*(DATOS_[Conc.Sal.02])))))))), 0)</f>
        <v>0</v>
      </c>
      <c r="L89" s="250" t="n">
        <f aca="false" t="array" ref="L89:L89">IFERROR( (MEDIAN((IF(DATOS_[[Sexo]:[Sexo]]=$B89,IF(DATOS_[[AGRUP. CLAS. PROF.]:[AGRUP. CLAS. PROF.]]=$B87,IF(DATOS_[[Check Periodo Ref.]:[Check Periodo Ref.]]="Dentro",IF(DATOS_[[Check Equiparado]:[Check Equiparado]]="Sí",IF(DATOS!AG$4="Sí",(1/DATOS_[[% anualiz]:[% anualiz]]),1)*IF(DATOS!AG$5="Sí",1/DATOS_[[% normaliz]:[% normaliz]],1)*(DATOS_[Conc.Sal.03])))))))), 0)</f>
        <v>0</v>
      </c>
      <c r="M89" s="250" t="n">
        <f aca="false" t="array" ref="M89:M89">IFERROR( (MEDIAN((IF(DATOS_[[Sexo]:[Sexo]]=$B89,IF(DATOS_[[AGRUP. CLAS. PROF.]:[AGRUP. CLAS. PROF.]]=$B87,IF(DATOS_[[Check Periodo Ref.]:[Check Periodo Ref.]]="Dentro",IF(DATOS_[[Check Equiparado]:[Check Equiparado]]="Sí",IF(DATOS!AH$4="Sí",(1/DATOS_[[% anualiz]:[% anualiz]]),1)*IF(DATOS!AH$5="Sí",1/DATOS_[[% normaliz]:[% normaliz]],1)*(DATOS_[Conc.Sal.04])))))))), 0)</f>
        <v>0</v>
      </c>
      <c r="N89" s="250" t="n">
        <f aca="false" t="array" ref="N89:N89">IFERROR( (MEDIAN((IF(DATOS_[[Sexo]:[Sexo]]=$B89,IF(DATOS_[[AGRUP. CLAS. PROF.]:[AGRUP. CLAS. PROF.]]=$B87,IF(DATOS_[[Check Periodo Ref.]:[Check Periodo Ref.]]="Dentro",IF(DATOS_[[Check Equiparado]:[Check Equiparado]]="Sí",IF(DATOS!AI$4="Sí",(1/DATOS_[[% anualiz]:[% anualiz]]),1)*IF(DATOS!AI$5="Sí",1/DATOS_[[% normaliz]:[% normaliz]],1)*(DATOS_[Conc.Sal.05])))))))), 0)</f>
        <v>0</v>
      </c>
      <c r="O89" s="250" t="n">
        <f aca="false" t="array" ref="O89:O89">IFERROR( (MEDIAN((IF(DATOS_[[Sexo]:[Sexo]]=$B89,IF(DATOS_[[AGRUP. CLAS. PROF.]:[AGRUP. CLAS. PROF.]]=$B87,IF(DATOS_[[Check Periodo Ref.]:[Check Periodo Ref.]]="Dentro",IF(DATOS_[[Check Equiparado]:[Check Equiparado]]="Sí",IF(DATOS!AJ$4="Sí",(1/DATOS_[[% anualiz]:[% anualiz]]),1)*IF(DATOS!AJ$5="Sí",1/DATOS_[[% normaliz]:[% normaliz]],1)*(DATOS_[Conc.Sal.06])))))))), 0)</f>
        <v>0</v>
      </c>
      <c r="P89" s="250" t="n">
        <f aca="false" t="array" ref="P89:P89">IFERROR( (MEDIAN((IF(DATOS_[[Sexo]:[Sexo]]=$B89,IF(DATOS_[[AGRUP. CLAS. PROF.]:[AGRUP. CLAS. PROF.]]=$B87,IF(DATOS_[[Check Periodo Ref.]:[Check Periodo Ref.]]="Dentro",IF(DATOS_[[Check Equiparado]:[Check Equiparado]]="Sí",IF(DATOS!AK$4="Sí",(1/DATOS_[[% anualiz]:[% anualiz]]),1)*IF(DATOS!AK$5="Sí",1/DATOS_[[% normaliz]:[% normaliz]],1)*(DATOS_[Conc.Sal.07])))))))), 0)</f>
        <v>0</v>
      </c>
      <c r="Q89" s="250" t="n">
        <f aca="false" t="array" ref="Q89:Q89">IFERROR( (MEDIAN((IF(DATOS_[[Sexo]:[Sexo]]=$B89,IF(DATOS_[[AGRUP. CLAS. PROF.]:[AGRUP. CLAS. PROF.]]=$B87,IF(DATOS_[[Check Periodo Ref.]:[Check Periodo Ref.]]="Dentro",IF(DATOS_[[Check Equiparado]:[Check Equiparado]]="Sí",IF(DATOS!AL$4="Sí",(1/DATOS_[[% anualiz]:[% anualiz]]),1)*IF(DATOS!AL$5="Sí",1/DATOS_[[% normaliz]:[% normaliz]],1)*(DATOS_[Conc.Sal.08])))))))), 0)</f>
        <v>0</v>
      </c>
      <c r="R89" s="250" t="n">
        <f aca="false" t="array" ref="R89:R89">IFERROR( (MEDIAN((IF(DATOS_[[Sexo]:[Sexo]]=$B89,IF(DATOS_[[AGRUP. CLAS. PROF.]:[AGRUP. CLAS. PROF.]]=$B87,IF(DATOS_[[Check Periodo Ref.]:[Check Periodo Ref.]]="Dentro",IF(DATOS_[[Check Equiparado]:[Check Equiparado]]="Sí",IF(DATOS!AM$4="Sí",(1/DATOS_[[% anualiz]:[% anualiz]]),1)*IF(DATOS!AM$5="Sí",1/DATOS_[[% normaliz]:[% normaliz]],1)*(DATOS_[Conc.Sal.09])))))))), 0)</f>
        <v>0</v>
      </c>
      <c r="S89" s="250" t="n">
        <f aca="false" t="array" ref="S89:S89">IFERROR( (MEDIAN((IF(DATOS_[[Sexo]:[Sexo]]=$B89,IF(DATOS_[[AGRUP. CLAS. PROF.]:[AGRUP. CLAS. PROF.]]=$B87,IF(DATOS_[[Check Periodo Ref.]:[Check Periodo Ref.]]="Dentro",IF(DATOS_[[Check Equiparado]:[Check Equiparado]]="Sí",IF(DATOS!AN$4="Sí",(1/DATOS_[[% anualiz]:[% anualiz]]),1)*IF(DATOS!AN$5="Sí",1/DATOS_[[% normaliz]:[% normaliz]],1)*(DATOS_[Conc.Sal.10])))))))), 0)</f>
        <v>0</v>
      </c>
      <c r="T89" s="250" t="n">
        <f aca="false" t="array" ref="T89:T89">IFERROR( (MEDIAN((IF(DATOS_[[Sexo]:[Sexo]]=$B89,IF(DATOS_[[AGRUP. CLAS. PROF.]:[AGRUP. CLAS. PROF.]]=$B87,IF(DATOS_[[Check Periodo Ref.]:[Check Periodo Ref.]]="Dentro",IF(DATOS_[[Check Equiparado]:[Check Equiparado]]="Sí",IF(DATOS!AO$4="Sí",(1/DATOS_[[% anualiz]:[% anualiz]]),1)*IF(DATOS!AO$5="Sí",1/DATOS_[[% normaliz]:[% normaliz]],1)*(DATOS_[Conc.Sal.11])))))))), 0)</f>
        <v>0</v>
      </c>
      <c r="U89" s="250" t="n">
        <f aca="false" t="array" ref="U89:U89">IFERROR( (MEDIAN((IF(DATOS_[[Sexo]:[Sexo]]=$B89,IF(DATOS_[[AGRUP. CLAS. PROF.]:[AGRUP. CLAS. PROF.]]=$B87,IF(DATOS_[[Check Periodo Ref.]:[Check Periodo Ref.]]="Dentro",IF(DATOS_[[Check Equiparado]:[Check Equiparado]]="Sí",IF(DATOS!AP$4="Sí",(1/DATOS_[[% anualiz]:[% anualiz]]),1)*IF(DATOS!AP$5="Sí",1/DATOS_[[% normaliz]:[% normaliz]],1)*(DATOS_[Conc.Sal.12])))))))), 0)</f>
        <v>0</v>
      </c>
      <c r="V89" s="250" t="n">
        <f aca="false" t="array" ref="V89:V89">IFERROR( (MEDIAN((IF(DATOS_[[Sexo]:[Sexo]]=$B89,IF(DATOS_[[AGRUP. CLAS. PROF.]:[AGRUP. CLAS. PROF.]]=$B87,IF(DATOS_[[Check Periodo Ref.]:[Check Periodo Ref.]]="Dentro",IF(DATOS_[[Check Equiparado]:[Check Equiparado]]="Sí",IF(DATOS!AQ$4="Sí",(1/DATOS_[[% anualiz]:[% anualiz]]),1)*IF(DATOS!AQ$5="Sí",1/DATOS_[[% normaliz]:[% normaliz]],1)*(DATOS_[Conc.Sal.13])))))))), 0)</f>
        <v>0</v>
      </c>
      <c r="W89" s="250" t="n">
        <f aca="false" t="array" ref="W89:W89">IFERROR( (MEDIAN((IF(DATOS_[[Sexo]:[Sexo]]=$B89,IF(DATOS_[[AGRUP. CLAS. PROF.]:[AGRUP. CLAS. PROF.]]=$B87,IF(DATOS_[[Check Periodo Ref.]:[Check Periodo Ref.]]="Dentro",IF(DATOS_[[Check Equiparado]:[Check Equiparado]]="Sí",IF(DATOS!AR$4="Sí",(1/DATOS_[[% anualiz]:[% anualiz]]),1)*IF(DATOS!AR$5="Sí",1/DATOS_[[% normaliz]:[% normaliz]],1)*(DATOS_[Conc.Sal.14])))))))), 0)</f>
        <v>0</v>
      </c>
      <c r="X89" s="250" t="n">
        <f aca="false" t="array" ref="X89:X89">IFERROR( (MEDIAN((IF(DATOS_[[Sexo]:[Sexo]]=$B89,IF(DATOS_[[AGRUP. CLAS. PROF.]:[AGRUP. CLAS. PROF.]]=$B87,IF(DATOS_[[Check Periodo Ref.]:[Check Periodo Ref.]]="Dentro",IF(DATOS_[[Check Equiparado]:[Check Equiparado]]="Sí",IF(DATOS!AS$4="Sí",(1/DATOS_[[% anualiz]:[% anualiz]]),1)*IF(DATOS!AS$5="Sí",1/DATOS_[[% normaliz]:[% normaliz]],1)*(DATOS_[Conc.Sal.15])))))))), 0)</f>
        <v>0</v>
      </c>
      <c r="Y89" s="250" t="n">
        <f aca="false" t="array" ref="Y89:Y89">IFERROR( (MEDIAN((IF(DATOS_[[Sexo]:[Sexo]]=$B89,IF(DATOS_[[AGRUP. CLAS. PROF.]:[AGRUP. CLAS. PROF.]]=$B87,IF(DATOS_[[Check Periodo Ref.]:[Check Periodo Ref.]]="Dentro",IF(DATOS_[[Check Equiparado]:[Check Equiparado]]="Sí",IF(DATOS!AT$4="Sí",(1/DATOS_[[% anualiz]:[% anualiz]]),1)*IF(DATOS!AT$5="Sí",1/DATOS_[[% normaliz]:[% normaliz]],1)*(DATOS_[Conc.Sal.16])))))))), 0)</f>
        <v>0</v>
      </c>
      <c r="Z89" s="250" t="n">
        <f aca="false" t="array" ref="Z89:Z89">IFERROR( (MEDIAN((IF(DATOS_[[Sexo]:[Sexo]]=$B89,IF(DATOS_[[AGRUP. CLAS. PROF.]:[AGRUP. CLAS. PROF.]]=$B87,IF(DATOS_[[Check Periodo Ref.]:[Check Periodo Ref.]]="Dentro",IF(DATOS_[[Check Equiparado]:[Check Equiparado]]="Sí",IF(DATOS!AU$4="Sí",(1/DATOS_[[% anualiz]:[% anualiz]]),1)*IF(DATOS!AU$5="Sí",1/DATOS_[[% normaliz]:[% normaliz]],1)*(DATOS_[Conc.Sal.17])))))))), 0)</f>
        <v>0</v>
      </c>
      <c r="AA89" s="250" t="n">
        <f aca="false" t="array" ref="AA89:AA89">IFERROR( (MEDIAN((IF(DATOS_[[Sexo]:[Sexo]]=$B89,IF(DATOS_[[AGRUP. CLAS. PROF.]:[AGRUP. CLAS. PROF.]]=$B87,IF(DATOS_[[Check Periodo Ref.]:[Check Periodo Ref.]]="Dentro",IF(DATOS_[[Check Equiparado]:[Check Equiparado]]="Sí",IF(DATOS!AV$4="Sí",(1/DATOS_[[% anualiz]:[% anualiz]]),1)*IF(DATOS!AV$5="Sí",1/DATOS_[[% normaliz]:[% normaliz]],1)*(DATOS_[Conc.Sal.18])))))))), 0)</f>
        <v>0</v>
      </c>
      <c r="AB89" s="250" t="n">
        <f aca="false" t="array" ref="AB89:AB89">IFERROR( (MEDIAN((IF(DATOS_[[Sexo]:[Sexo]]=$B89,IF(DATOS_[[AGRUP. CLAS. PROF.]:[AGRUP. CLAS. PROF.]]=$B87,IF(DATOS_[[Check Periodo Ref.]:[Check Periodo Ref.]]="Dentro",IF(DATOS_[[Check Equiparado]:[Check Equiparado]]="Sí",IF(DATOS!AW$4="Sí",(1/DATOS_[[% anualiz]:[% anualiz]]),1)*IF(DATOS!AW$5="Sí",1/DATOS_[[% normaliz]:[% normaliz]],1)*(DATOS_[Conc.Sal.19])))))))), 0)</f>
        <v>0</v>
      </c>
      <c r="AC89" s="250" t="n">
        <f aca="false" t="array" ref="AC89:AC89">IFERROR( (MEDIAN((IF(DATOS_[[Sexo]:[Sexo]]=$B89,IF(DATOS_[[AGRUP. CLAS. PROF.]:[AGRUP. CLAS. PROF.]]=$B87,IF(DATOS_[[Check Periodo Ref.]:[Check Periodo Ref.]]="Dentro",IF(DATOS_[[Check Equiparado]:[Check Equiparado]]="Sí",IF(DATOS!AX$4="Sí",(1/DATOS_[[% anualiz]:[% anualiz]]),1)*IF(DATOS!AX$5="Sí",1/DATOS_[[% normaliz]:[% normaliz]],1)*(DATOS_[Conc.Sal.20])))))))), 0)</f>
        <v>0</v>
      </c>
      <c r="AD89" s="250" t="n">
        <f aca="false" t="array" ref="AD89:AD89">IFERROR( (MEDIAN((IF(DATOS_[[Sexo]:[Sexo]]=$B89,IF(DATOS_[[AGRUP. CLAS. PROF.]:[AGRUP. CLAS. PROF.]]=$B87,IF(DATOS_[[Check Periodo Ref.]:[Check Periodo Ref.]]="Dentro",IF(DATOS_[[Check Equiparado]:[Check Equiparado]]="Sí",IF(DATOS!AY$4="Sí",(1/DATOS_[[% anualiz]:[% anualiz]]),1)*IF(DATOS!AY$5="Sí",1/DATOS_[[% normaliz]:[% normaliz]],1)*(DATOS_[Conc.Sal.21])))))))), 0)</f>
        <v>0</v>
      </c>
      <c r="AE89" s="250" t="n">
        <f aca="false" t="array" ref="AE89:AE89">IFERROR( (MEDIAN((IF(DATOS_[[Sexo]:[Sexo]]=$B89,IF(DATOS_[[AGRUP. CLAS. PROF.]:[AGRUP. CLAS. PROF.]]=$B87,IF(DATOS_[[Check Periodo Ref.]:[Check Periodo Ref.]]="Dentro",IF(DATOS_[[Check Equiparado]:[Check Equiparado]]="Sí",IF(DATOS!AZ$4="Sí",(1/DATOS_[[% anualiz]:[% anualiz]]),1)*IF(DATOS!AZ$5="Sí",1/DATOS_[[% normaliz]:[% normaliz]],1)*(DATOS_[Conc.Sal.22])))))))), 0)</f>
        <v>0</v>
      </c>
      <c r="AF89" s="250" t="n">
        <f aca="false" t="array" ref="AF89:AF89">IFERROR( (MEDIAN((IF(DATOS_[[Sexo]:[Sexo]]=$B89,IF(DATOS_[[AGRUP. CLAS. PROF.]:[AGRUP. CLAS. PROF.]]=$B87,IF(DATOS_[[Check Periodo Ref.]:[Check Periodo Ref.]]="Dentro",IF(DATOS_[[Check Equiparado]:[Check Equiparado]]="Sí",IF(DATOS!BA$4="Sí",(1/DATOS_[[% anualiz]:[% anualiz]]),1)*IF(DATOS!BA$5="Sí",1/DATOS_[[% normaliz]:[% normaliz]],1)*(DATOS_[Conc.Sal.23])))))))), 0)</f>
        <v>0</v>
      </c>
      <c r="AG89" s="250" t="n">
        <f aca="false" t="array" ref="AG89:AG89">IFERROR( (MEDIAN((IF(DATOS_[[Sexo]:[Sexo]]=$B89,IF(DATOS_[[AGRUP. CLAS. PROF.]:[AGRUP. CLAS. PROF.]]=$B87,IF(DATOS_[[Check Periodo Ref.]:[Check Periodo Ref.]]="Dentro",IF(DATOS_[[Check Equiparado]:[Check Equiparado]]="Sí",IF(DATOS!BB$4="Sí",(1/DATOS_[[% anualiz]:[% anualiz]]),1)*IF(DATOS!BB$5="Sí",1/DATOS_[[% normaliz]:[% normaliz]],1)*(DATOS_[Conc.Sal.24])))))))), 0)</f>
        <v>0</v>
      </c>
      <c r="AH89" s="250" t="n">
        <f aca="false" t="array" ref="AH89:AH89">IFERROR( (MEDIAN((IF(DATOS_[[Sexo]:[Sexo]]=$B89,IF(DATOS_[[AGRUP. CLAS. PROF.]:[AGRUP. CLAS. PROF.]]=$B87,IF(DATOS_[[Check Periodo Ref.]:[Check Periodo Ref.]]="Dentro",IF(DATOS_[[Check Equiparado]:[Check Equiparado]]="Sí",IF(DATOS!BC$4="Sí",(1/DATOS_[[% anualiz]:[% anualiz]]),1)*IF(DATOS!BC$5="Sí",1/DATOS_[[% normaliz]:[% normaliz]],1)*(DATOS_[Conc.Sal.25])))))))), 0)</f>
        <v>0</v>
      </c>
      <c r="AI89" s="250" t="n">
        <f aca="false" t="array" ref="AI89:AI89">IFERROR( (MEDIAN((IF(DATOS_[[Sexo]:[Sexo]]=$B89,IF(DATOS_[[AGRUP. CLAS. PROF.]:[AGRUP. CLAS. PROF.]]=$B87,IF(DATOS_[[Check Periodo Ref.]:[Check Periodo Ref.]]="Dentro",IF(DATOS_[[Check Equiparado]:[Check Equiparado]]="Sí",IF(DATOS!BD$4="Sí",(1/DATOS_[[% anualiz]:[% anualiz]]),1)*IF(DATOS!BD$5="Sí",1/DATOS_[[% normaliz]:[% normaliz]],1)*(DATOS_[Conc.Sal.26])))))))), 0)</f>
        <v>0</v>
      </c>
      <c r="AJ89" s="250" t="n">
        <f aca="false" t="array" ref="AJ89:AJ89">IFERROR( (MEDIAN((IF(DATOS_[[Sexo]:[Sexo]]=$B89,IF(DATOS_[[AGRUP. CLAS. PROF.]:[AGRUP. CLAS. PROF.]]=$B87,IF(DATOS_[[Check Periodo Ref.]:[Check Periodo Ref.]]="Dentro",IF(DATOS_[[Check Equiparado]:[Check Equiparado]]="Sí",IF(DATOS!BE$4="Sí",(1/DATOS_[[% anualiz]:[% anualiz]]),1)*IF(DATOS!BE$5="Sí",1/DATOS_[[% normaliz]:[% normaliz]],1)*(DATOS_[Conc.Sal.27])))))))), 0)</f>
        <v>0</v>
      </c>
      <c r="AK89" s="250" t="n">
        <f aca="false" t="array" ref="AK89:AK89">IFERROR( (MEDIAN((IF(DATOS_[[Sexo]:[Sexo]]=$B89,IF(DATOS_[[AGRUP. CLAS. PROF.]:[AGRUP. CLAS. PROF.]]=$B87,IF(DATOS_[[Check Periodo Ref.]:[Check Periodo Ref.]]="Dentro",IF(DATOS_[[Check Equiparado]:[Check Equiparado]]="Sí",IF(DATOS!BF$4="Sí",(1/DATOS_[[% anualiz]:[% anualiz]]),1)*IF(DATOS!BF$5="Sí",1/DATOS_[[% normaliz]:[% normaliz]],1)*(DATOS_[Conc.Sal.28])))))))), 0)</f>
        <v>0</v>
      </c>
      <c r="AL89" s="250" t="n">
        <f aca="false" t="array" ref="AL89:AL89">IFERROR( (MEDIAN((IF(DATOS_[[Sexo]:[Sexo]]=$B89,IF(DATOS_[[AGRUP. CLAS. PROF.]:[AGRUP. CLAS. PROF.]]=$B87,IF(DATOS_[[Check Periodo Ref.]:[Check Periodo Ref.]]="Dentro",IF(DATOS_[[Check Equiparado]:[Check Equiparado]]="Sí",IF(DATOS!BG$4="Sí",(1/DATOS_[[% anualiz]:[% anualiz]]),1)*IF(DATOS!BG$5="Sí",1/DATOS_[[% normaliz]:[% normaliz]],1)*(DATOS_[Conc.Sal.29])))))))), 0)</f>
        <v>0</v>
      </c>
      <c r="AM89" s="250" t="n">
        <f aca="false" t="array" ref="AM89:AM89">IFERROR( (MEDIAN((IF(DATOS_[[Sexo]:[Sexo]]=$B89,IF(DATOS_[[AGRUP. CLAS. PROF.]:[AGRUP. CLAS. PROF.]]=$B87,IF(DATOS_[[Check Periodo Ref.]:[Check Periodo Ref.]]="Dentro",IF(DATOS_[[Check Equiparado]:[Check Equiparado]]="Sí",IF(DATOS!BH$4="Sí",(1/DATOS_[[% anualiz]:[% anualiz]]),1)*IF(DATOS!BH$5="Sí",1/DATOS_[[% normaliz]:[% normaliz]],1)*(DATOS_[Conc.Sal.30])))))))), 0)</f>
        <v>0</v>
      </c>
      <c r="AN89" s="251" t="n">
        <f aca="false" t="array" ref="AN89:AN89">IFERROR( MEDIAN(IF(DATOS_[Sexo]=$B89,IF(DATOS_[[AGRUP. CLAS. PROF.]:[AGRUP. CLAS. PROF.]]=$B87,IF(DATOS_[Check Equiparado]="Sí",IF(DATOS_[Check Periodo Ref.]="Dentro",DATOS_[Tot COMPL.SAL Eq],0))))), 0)</f>
        <v>0</v>
      </c>
      <c r="AO89" s="252" t="n">
        <f aca="false" t="array" ref="AO89:AO89">IFERROR( MEDIAN(IF(DATOS_[Sexo]=$B89,IF(DATOS_[[AGRUP. CLAS. PROF.]:[AGRUP. CLAS. PROF.]]=$B87,IF(DATOS_[Check Equiparado]="Sí",IF(DATOS_[Check Periodo Ref.]="Dentro",DATOS_[TOTAL SALARIO Eq],0))))), 0)</f>
        <v>0</v>
      </c>
      <c r="AP89" s="259" t="n">
        <f aca="false" t="array" ref="AP89:AP89">IFERROR( (MEDIAN((IF(DATOS_[[Sexo]:[Sexo]]=$B89,IF(DATOS_[[AGRUP. CLAS. PROF.]:[AGRUP. CLAS. PROF.]]=$B88,IF(DATOS_[[Check Periodo Ref.]:[Check Periodo Ref.]]="Dentro",IF(DATOS_[[Check Equiparado]:[Check Equiparado]]="Sí",IF(DATOS!BI$4="Sí",(1/DATOS_[[% anualiz]:[% anualiz]]),1)*IF(DATOS!BI$5="Sí",1/DATOS_[[% normaliz]:[% normaliz]],1)*(DATOS_[C.Extra.01])))))))), 0)</f>
        <v>0</v>
      </c>
      <c r="AQ89" s="259" t="n">
        <f aca="false" t="array" ref="AQ89:AQ89">IFERROR( (MEDIAN((IF(DATOS_[[Sexo]:[Sexo]]=$B89,IF(DATOS_[[AGRUP. CLAS. PROF.]:[AGRUP. CLAS. PROF.]]=$B88,IF(DATOS_[[Check Periodo Ref.]:[Check Periodo Ref.]]="Dentro",IF(DATOS_[[Check Equiparado]:[Check Equiparado]]="Sí",IF(DATOS!BJ$4="Sí",(1/DATOS_[[% anualiz]:[% anualiz]]),1)*IF(DATOS!BJ$5="Sí",1/DATOS_[[% normaliz]:[% normaliz]],1)*(DATOS_[C.Extra.02])))))))), 0)</f>
        <v>0</v>
      </c>
      <c r="AR89" s="259" t="n">
        <f aca="false" t="array" ref="AR89:AR89">IFERROR( (MEDIAN((IF(DATOS_[[Sexo]:[Sexo]]=$B89,IF(DATOS_[[AGRUP. CLAS. PROF.]:[AGRUP. CLAS. PROF.]]=$B88,IF(DATOS_[[Check Periodo Ref.]:[Check Periodo Ref.]]="Dentro",IF(DATOS_[[Check Equiparado]:[Check Equiparado]]="Sí",IF(DATOS!BK$4="Sí",(1/DATOS_[[% anualiz]:[% anualiz]]),1)*IF(DATOS!BK$5="Sí",1/DATOS_[[% normaliz]:[% normaliz]],1)*(DATOS_[C.Extra.03])))))))), 0)</f>
        <v>0</v>
      </c>
      <c r="AS89" s="259" t="n">
        <f aca="false" t="array" ref="AS89:AS89">IFERROR( (MEDIAN((IF(DATOS_[[Sexo]:[Sexo]]=$B89,IF(DATOS_[[AGRUP. CLAS. PROF.]:[AGRUP. CLAS. PROF.]]=$B88,IF(DATOS_[[Check Periodo Ref.]:[Check Periodo Ref.]]="Dentro",IF(DATOS_[[Check Equiparado]:[Check Equiparado]]="Sí",IF(DATOS!BL$4="Sí",(1/DATOS_[[% anualiz]:[% anualiz]]),1)*IF(DATOS!BL$5="Sí",1/DATOS_[[% normaliz]:[% normaliz]],1)*(DATOS_[C.Extra.04])))))))), 0)</f>
        <v>0</v>
      </c>
      <c r="AT89" s="259" t="n">
        <f aca="false" t="array" ref="AT89:AT89">IFERROR( (MEDIAN((IF(DATOS_[[Sexo]:[Sexo]]=$B89,IF(DATOS_[[AGRUP. CLAS. PROF.]:[AGRUP. CLAS. PROF.]]=$B88,IF(DATOS_[[Check Periodo Ref.]:[Check Periodo Ref.]]="Dentro",IF(DATOS_[[Check Equiparado]:[Check Equiparado]]="Sí",IF(DATOS!BM$4="Sí",(1/DATOS_[[% anualiz]:[% anualiz]]),1)*IF(DATOS!BM$5="Sí",1/DATOS_[[% normaliz]:[% normaliz]],1)*(DATOS_[C.Extra.05])))))))), 0)</f>
        <v>0</v>
      </c>
      <c r="AU89" s="254" t="n">
        <f aca="false" t="array" ref="AU89:AU89">IFERROR( MEDIAN(IF(DATOS_[Sexo]=$B89,IF(DATOS_[[AGRUP. CLAS. PROF.]:[AGRUP. CLAS. PROF.]]=$B87,IF(DATOS_[Check Equiparado]="Sí",IF(DATOS_[Check Periodo Ref.]="Dentro",DATOS_[Tot Extrasalarial Eq],0))))), 0)</f>
        <v>0</v>
      </c>
      <c r="AV89" s="255" t="n">
        <f aca="false" t="array" ref="AV89:AV89">IFERROR( MEDIAN(IF(DATOS_[Sexo]=$B89,IF(DATOS_[[AGRUP. CLAS. PROF.]:[AGRUP. CLAS. PROF.]]=$B87,IF(DATOS_[Check Equiparado]="Sí",IF(DATOS_[Check Periodo Ref.]="Dentro",DATOS_[TOTAL Retrib Eq],0))))), 0)</f>
        <v>0</v>
      </c>
    </row>
    <row r="90" customFormat="false" ht="15.75" hidden="false" customHeight="false" outlineLevel="0" collapsed="false">
      <c r="A90" s="217" t="str">
        <f aca="false">+A91</f>
        <v>[ocultar]</v>
      </c>
      <c r="B90" s="320" t="s">
        <v>243</v>
      </c>
      <c r="C90" s="236"/>
      <c r="D90" s="237"/>
      <c r="E90" s="237"/>
      <c r="F90" s="237"/>
      <c r="G90" s="237"/>
      <c r="H90" s="237"/>
      <c r="I90" s="238"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39" t="str">
        <f aca="false">IFERROR((V91-V92)/V91,"")</f>
        <v/>
      </c>
      <c r="W90" s="239" t="str">
        <f aca="false">IFERROR((W91-W92)/W91,"")</f>
        <v/>
      </c>
      <c r="X90" s="239" t="str">
        <f aca="false">IFERROR((X91-X92)/X91,"")</f>
        <v/>
      </c>
      <c r="Y90" s="239"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0" t="str">
        <f aca="false">IFERROR((AJ91-AJ92)/AJ91,"")</f>
        <v/>
      </c>
      <c r="AK90" s="240" t="str">
        <f aca="false">IFERROR((AK91-AK92)/AK91,"")</f>
        <v/>
      </c>
      <c r="AL90" s="240" t="str">
        <f aca="false">IFERROR((AL91-AL92)/AL91,"")</f>
        <v/>
      </c>
      <c r="AM90" s="240" t="str">
        <f aca="false">IFERROR((AM91-AM92)/AM91,"")</f>
        <v/>
      </c>
      <c r="AN90" s="241" t="str">
        <f aca="false">IFERROR((AN91-AN92)/AN91,"")</f>
        <v/>
      </c>
      <c r="AO90" s="242" t="str">
        <f aca="false">IFERROR((AO91-AO92)/AO91,"")</f>
        <v/>
      </c>
      <c r="AP90" s="243" t="str">
        <f aca="false">IFERROR((AP91-AP92)/AP91,"")</f>
        <v/>
      </c>
      <c r="AQ90" s="243" t="str">
        <f aca="false">IFERROR((AQ91-AQ92)/AQ91,"")</f>
        <v/>
      </c>
      <c r="AR90" s="243" t="str">
        <f aca="false">IFERROR((AR91-AR92)/AR91,"")</f>
        <v/>
      </c>
      <c r="AS90" s="243" t="str">
        <f aca="false">IFERROR((AS91-AS92)/AS91,"")</f>
        <v/>
      </c>
      <c r="AT90" s="243" t="str">
        <f aca="false">IFERROR((AT91-AT92)/AT91,"")</f>
        <v/>
      </c>
      <c r="AU90" s="244" t="str">
        <f aca="false">IFERROR((AU91-AU92)/AU91,"")</f>
        <v/>
      </c>
      <c r="AV90" s="245" t="str">
        <f aca="false">IFERROR((AV91-AV92)/AV91,"")</f>
        <v/>
      </c>
    </row>
    <row r="91" customFormat="false" ht="14.25" hidden="false" customHeight="false" outlineLevel="0" collapsed="false">
      <c r="A91" s="217" t="str">
        <f aca="false">+IF(C91+C92=0,"[ocultar]","")</f>
        <v>[ocultar]</v>
      </c>
      <c r="B91" s="323" t="s">
        <v>371</v>
      </c>
      <c r="C91" s="247" t="n">
        <f aca="false" t="array" ref="C91:C91">SUM(IF($B91=DATOS_[Sexo], IF($B90=DATOS_[AGRUP. CLAS. PROF.], IF("Dentro"=DATOS_[Check Periodo Ref.], 1/(COUNTIFS(DATOS_[Sexo],$B91,DATOS_[AGRUP. CLAS. PROF.],$B90,DATOS_[Check Periodo Ref.],"Dentro",DATOS_[id],DATOS_[id]))))))</f>
        <v>0</v>
      </c>
      <c r="D91" s="248" t="n">
        <f aca="false">COUNTIFS(DATOS_[AGRUP. CLAS. PROF.],$B90,DATOS_[Sexo],$B91,DATOS_[Check Periodo Ref.],"Dentro")</f>
        <v>0</v>
      </c>
      <c r="E91" s="248" t="n">
        <f aca="false">COUNTIFS(DATOS_[AGRUP. CLAS. PROF.],$B90,DATOS_[Sexo],$B91,DATOS_[Check Periodo Ref.],"Dentro",DATOS_[Check Nº SC Norm],"Sí")</f>
        <v>0</v>
      </c>
      <c r="F91" s="248" t="n">
        <f aca="false">COUNTIFS(DATOS_[AGRUP. CLAS. PROF.],$B90,DATOS_[Sexo],$B91,DATOS_[Check Periodo Ref.],"Dentro",DATOS_[Check Nº SC Anualiz],"Sí")</f>
        <v>0</v>
      </c>
      <c r="G91" s="248" t="n">
        <f aca="false">COUNTIFS(DATOS_[AGRUP. CLAS. PROF.],$B90,DATOS_[Sexo],$B91,DATOS_[Check Periodo Ref.],"Dentro",DATOS_[Check Nº SC Norm y Anualiz],"Sí")</f>
        <v>0</v>
      </c>
      <c r="H91" s="248" t="n">
        <f aca="false">COUNTIFS(DATOS_[AGRUP. CLAS. PROF.],$B90,DATOS_[Sexo],$B91,DATOS_[Check Periodo Ref.],"Dentro",DATOS_[Check Equiparación],"Sí")</f>
        <v>0</v>
      </c>
      <c r="I91" s="249" t="n">
        <f aca="false" t="array" ref="I91:I91">IFERROR( MEDIAN(IF(DATOS_[Sexo]=$B91,IF(DATOS_[[AGRUP. CLAS. PROF.]:[AGRUP. CLAS. PROF.]]=$B90,IF(DATOS_[Check Equiparado]="Sí",IF(DATOS_[Check Periodo Ref.]="Dentro",DATOS_[SALARIO BASE Eq],0))))), 0)</f>
        <v>0</v>
      </c>
      <c r="J91" s="250" t="n">
        <f aca="false" t="array" ref="J91:J91">IFERROR( (MEDIAN((IF(DATOS_[[Sexo]:[Sexo]]=$B91,IF(DATOS_[[AGRUP. CLAS. PROF.]:[AGRUP. CLAS. PROF.]]=$B90,IF(DATOS_[[Check Periodo Ref.]:[Check Periodo Ref.]]="Dentro",IF(DATOS_[[Check Equiparado]:[Check Equiparado]]="Sí",IF(DATOS!AE$4="Sí",(1/DATOS_[[% anualiz]:[% anualiz]]),1)*IF(DATOS!AE$5="Sí",1/DATOS_[[% normaliz]:[% normaliz]],1)*(DATOS_[Conc.Sal.01])))))))), 0)</f>
        <v>0</v>
      </c>
      <c r="K91" s="250" t="n">
        <f aca="false" t="array" ref="K91:K91">IFERROR( (MEDIAN((IF(DATOS_[[Sexo]:[Sexo]]=$B91,IF(DATOS_[[AGRUP. CLAS. PROF.]:[AGRUP. CLAS. PROF.]]=$B90,IF(DATOS_[[Check Periodo Ref.]:[Check Periodo Ref.]]="Dentro",IF(DATOS_[[Check Equiparado]:[Check Equiparado]]="Sí",IF(DATOS!AF$4="Sí",(1/DATOS_[[% anualiz]:[% anualiz]]),1)*IF(DATOS!AF$5="Sí",1/DATOS_[[% normaliz]:[% normaliz]],1)*(DATOS_[Conc.Sal.02])))))))), 0)</f>
        <v>0</v>
      </c>
      <c r="L91" s="250" t="n">
        <f aca="false" t="array" ref="L91:L91">IFERROR( (MEDIAN((IF(DATOS_[[Sexo]:[Sexo]]=$B91,IF(DATOS_[[AGRUP. CLAS. PROF.]:[AGRUP. CLAS. PROF.]]=$B90,IF(DATOS_[[Check Periodo Ref.]:[Check Periodo Ref.]]="Dentro",IF(DATOS_[[Check Equiparado]:[Check Equiparado]]="Sí",IF(DATOS!AG$4="Sí",(1/DATOS_[[% anualiz]:[% anualiz]]),1)*IF(DATOS!AG$5="Sí",1/DATOS_[[% normaliz]:[% normaliz]],1)*(DATOS_[Conc.Sal.03])))))))), 0)</f>
        <v>0</v>
      </c>
      <c r="M91" s="250" t="n">
        <f aca="false" t="array" ref="M91:M91">IFERROR( (MEDIAN((IF(DATOS_[[Sexo]:[Sexo]]=$B91,IF(DATOS_[[AGRUP. CLAS. PROF.]:[AGRUP. CLAS. PROF.]]=$B90,IF(DATOS_[[Check Periodo Ref.]:[Check Periodo Ref.]]="Dentro",IF(DATOS_[[Check Equiparado]:[Check Equiparado]]="Sí",IF(DATOS!AH$4="Sí",(1/DATOS_[[% anualiz]:[% anualiz]]),1)*IF(DATOS!AH$5="Sí",1/DATOS_[[% normaliz]:[% normaliz]],1)*(DATOS_[Conc.Sal.04])))))))), 0)</f>
        <v>0</v>
      </c>
      <c r="N91" s="250" t="n">
        <f aca="false" t="array" ref="N91:N91">IFERROR( (MEDIAN((IF(DATOS_[[Sexo]:[Sexo]]=$B91,IF(DATOS_[[AGRUP. CLAS. PROF.]:[AGRUP. CLAS. PROF.]]=$B90,IF(DATOS_[[Check Periodo Ref.]:[Check Periodo Ref.]]="Dentro",IF(DATOS_[[Check Equiparado]:[Check Equiparado]]="Sí",IF(DATOS!AI$4="Sí",(1/DATOS_[[% anualiz]:[% anualiz]]),1)*IF(DATOS!AI$5="Sí",1/DATOS_[[% normaliz]:[% normaliz]],1)*(DATOS_[Conc.Sal.05])))))))), 0)</f>
        <v>0</v>
      </c>
      <c r="O91" s="250" t="n">
        <f aca="false" t="array" ref="O91:O91">IFERROR( (MEDIAN((IF(DATOS_[[Sexo]:[Sexo]]=$B91,IF(DATOS_[[AGRUP. CLAS. PROF.]:[AGRUP. CLAS. PROF.]]=$B90,IF(DATOS_[[Check Periodo Ref.]:[Check Periodo Ref.]]="Dentro",IF(DATOS_[[Check Equiparado]:[Check Equiparado]]="Sí",IF(DATOS!AJ$4="Sí",(1/DATOS_[[% anualiz]:[% anualiz]]),1)*IF(DATOS!AJ$5="Sí",1/DATOS_[[% normaliz]:[% normaliz]],1)*(DATOS_[Conc.Sal.06])))))))), 0)</f>
        <v>0</v>
      </c>
      <c r="P91" s="250" t="n">
        <f aca="false" t="array" ref="P91:P91">IFERROR( (MEDIAN((IF(DATOS_[[Sexo]:[Sexo]]=$B91,IF(DATOS_[[AGRUP. CLAS. PROF.]:[AGRUP. CLAS. PROF.]]=$B90,IF(DATOS_[[Check Periodo Ref.]:[Check Periodo Ref.]]="Dentro",IF(DATOS_[[Check Equiparado]:[Check Equiparado]]="Sí",IF(DATOS!AK$4="Sí",(1/DATOS_[[% anualiz]:[% anualiz]]),1)*IF(DATOS!AK$5="Sí",1/DATOS_[[% normaliz]:[% normaliz]],1)*(DATOS_[Conc.Sal.07])))))))), 0)</f>
        <v>0</v>
      </c>
      <c r="Q91" s="250" t="n">
        <f aca="false" t="array" ref="Q91:Q91">IFERROR( (MEDIAN((IF(DATOS_[[Sexo]:[Sexo]]=$B91,IF(DATOS_[[AGRUP. CLAS. PROF.]:[AGRUP. CLAS. PROF.]]=$B90,IF(DATOS_[[Check Periodo Ref.]:[Check Periodo Ref.]]="Dentro",IF(DATOS_[[Check Equiparado]:[Check Equiparado]]="Sí",IF(DATOS!AL$4="Sí",(1/DATOS_[[% anualiz]:[% anualiz]]),1)*IF(DATOS!AL$5="Sí",1/DATOS_[[% normaliz]:[% normaliz]],1)*(DATOS_[Conc.Sal.08])))))))), 0)</f>
        <v>0</v>
      </c>
      <c r="R91" s="250" t="n">
        <f aca="false" t="array" ref="R91:R91">IFERROR( (MEDIAN((IF(DATOS_[[Sexo]:[Sexo]]=$B91,IF(DATOS_[[AGRUP. CLAS. PROF.]:[AGRUP. CLAS. PROF.]]=$B90,IF(DATOS_[[Check Periodo Ref.]:[Check Periodo Ref.]]="Dentro",IF(DATOS_[[Check Equiparado]:[Check Equiparado]]="Sí",IF(DATOS!AM$4="Sí",(1/DATOS_[[% anualiz]:[% anualiz]]),1)*IF(DATOS!AM$5="Sí",1/DATOS_[[% normaliz]:[% normaliz]],1)*(DATOS_[Conc.Sal.09])))))))), 0)</f>
        <v>0</v>
      </c>
      <c r="S91" s="250" t="n">
        <f aca="false" t="array" ref="S91:S91">IFERROR( (MEDIAN((IF(DATOS_[[Sexo]:[Sexo]]=$B91,IF(DATOS_[[AGRUP. CLAS. PROF.]:[AGRUP. CLAS. PROF.]]=$B90,IF(DATOS_[[Check Periodo Ref.]:[Check Periodo Ref.]]="Dentro",IF(DATOS_[[Check Equiparado]:[Check Equiparado]]="Sí",IF(DATOS!AN$4="Sí",(1/DATOS_[[% anualiz]:[% anualiz]]),1)*IF(DATOS!AN$5="Sí",1/DATOS_[[% normaliz]:[% normaliz]],1)*(DATOS_[Conc.Sal.10])))))))), 0)</f>
        <v>0</v>
      </c>
      <c r="T91" s="250" t="n">
        <f aca="false" t="array" ref="T91:T91">IFERROR( (MEDIAN((IF(DATOS_[[Sexo]:[Sexo]]=$B91,IF(DATOS_[[AGRUP. CLAS. PROF.]:[AGRUP. CLAS. PROF.]]=$B90,IF(DATOS_[[Check Periodo Ref.]:[Check Periodo Ref.]]="Dentro",IF(DATOS_[[Check Equiparado]:[Check Equiparado]]="Sí",IF(DATOS!AO$4="Sí",(1/DATOS_[[% anualiz]:[% anualiz]]),1)*IF(DATOS!AO$5="Sí",1/DATOS_[[% normaliz]:[% normaliz]],1)*(DATOS_[Conc.Sal.11])))))))), 0)</f>
        <v>0</v>
      </c>
      <c r="U91" s="250" t="n">
        <f aca="false" t="array" ref="U91:U91">IFERROR( (MEDIAN((IF(DATOS_[[Sexo]:[Sexo]]=$B91,IF(DATOS_[[AGRUP. CLAS. PROF.]:[AGRUP. CLAS. PROF.]]=$B90,IF(DATOS_[[Check Periodo Ref.]:[Check Periodo Ref.]]="Dentro",IF(DATOS_[[Check Equiparado]:[Check Equiparado]]="Sí",IF(DATOS!AP$4="Sí",(1/DATOS_[[% anualiz]:[% anualiz]]),1)*IF(DATOS!AP$5="Sí",1/DATOS_[[% normaliz]:[% normaliz]],1)*(DATOS_[Conc.Sal.12])))))))), 0)</f>
        <v>0</v>
      </c>
      <c r="V91" s="250" t="n">
        <f aca="false" t="array" ref="V91:V91">IFERROR( (MEDIAN((IF(DATOS_[[Sexo]:[Sexo]]=$B91,IF(DATOS_[[AGRUP. CLAS. PROF.]:[AGRUP. CLAS. PROF.]]=$B90,IF(DATOS_[[Check Periodo Ref.]:[Check Periodo Ref.]]="Dentro",IF(DATOS_[[Check Equiparado]:[Check Equiparado]]="Sí",IF(DATOS!AQ$4="Sí",(1/DATOS_[[% anualiz]:[% anualiz]]),1)*IF(DATOS!AQ$5="Sí",1/DATOS_[[% normaliz]:[% normaliz]],1)*(DATOS_[Conc.Sal.13])))))))), 0)</f>
        <v>0</v>
      </c>
      <c r="W91" s="250" t="n">
        <f aca="false" t="array" ref="W91:W91">IFERROR( (MEDIAN((IF(DATOS_[[Sexo]:[Sexo]]=$B91,IF(DATOS_[[AGRUP. CLAS. PROF.]:[AGRUP. CLAS. PROF.]]=$B90,IF(DATOS_[[Check Periodo Ref.]:[Check Periodo Ref.]]="Dentro",IF(DATOS_[[Check Equiparado]:[Check Equiparado]]="Sí",IF(DATOS!AR$4="Sí",(1/DATOS_[[% anualiz]:[% anualiz]]),1)*IF(DATOS!AR$5="Sí",1/DATOS_[[% normaliz]:[% normaliz]],1)*(DATOS_[Conc.Sal.14])))))))), 0)</f>
        <v>0</v>
      </c>
      <c r="X91" s="250" t="n">
        <f aca="false" t="array" ref="X91:X91">IFERROR( (MEDIAN((IF(DATOS_[[Sexo]:[Sexo]]=$B91,IF(DATOS_[[AGRUP. CLAS. PROF.]:[AGRUP. CLAS. PROF.]]=$B90,IF(DATOS_[[Check Periodo Ref.]:[Check Periodo Ref.]]="Dentro",IF(DATOS_[[Check Equiparado]:[Check Equiparado]]="Sí",IF(DATOS!AS$4="Sí",(1/DATOS_[[% anualiz]:[% anualiz]]),1)*IF(DATOS!AS$5="Sí",1/DATOS_[[% normaliz]:[% normaliz]],1)*(DATOS_[Conc.Sal.15])))))))), 0)</f>
        <v>0</v>
      </c>
      <c r="Y91" s="250" t="n">
        <f aca="false" t="array" ref="Y91:Y91">IFERROR( (MEDIAN((IF(DATOS_[[Sexo]:[Sexo]]=$B91,IF(DATOS_[[AGRUP. CLAS. PROF.]:[AGRUP. CLAS. PROF.]]=$B90,IF(DATOS_[[Check Periodo Ref.]:[Check Periodo Ref.]]="Dentro",IF(DATOS_[[Check Equiparado]:[Check Equiparado]]="Sí",IF(DATOS!AT$4="Sí",(1/DATOS_[[% anualiz]:[% anualiz]]),1)*IF(DATOS!AT$5="Sí",1/DATOS_[[% normaliz]:[% normaliz]],1)*(DATOS_[Conc.Sal.16])))))))), 0)</f>
        <v>0</v>
      </c>
      <c r="Z91" s="250" t="n">
        <f aca="false" t="array" ref="Z91:Z91">IFERROR( (MEDIAN((IF(DATOS_[[Sexo]:[Sexo]]=$B91,IF(DATOS_[[AGRUP. CLAS. PROF.]:[AGRUP. CLAS. PROF.]]=$B90,IF(DATOS_[[Check Periodo Ref.]:[Check Periodo Ref.]]="Dentro",IF(DATOS_[[Check Equiparado]:[Check Equiparado]]="Sí",IF(DATOS!AU$4="Sí",(1/DATOS_[[% anualiz]:[% anualiz]]),1)*IF(DATOS!AU$5="Sí",1/DATOS_[[% normaliz]:[% normaliz]],1)*(DATOS_[Conc.Sal.17])))))))), 0)</f>
        <v>0</v>
      </c>
      <c r="AA91" s="250" t="n">
        <f aca="false" t="array" ref="AA91:AA91">IFERROR( (MEDIAN((IF(DATOS_[[Sexo]:[Sexo]]=$B91,IF(DATOS_[[AGRUP. CLAS. PROF.]:[AGRUP. CLAS. PROF.]]=$B90,IF(DATOS_[[Check Periodo Ref.]:[Check Periodo Ref.]]="Dentro",IF(DATOS_[[Check Equiparado]:[Check Equiparado]]="Sí",IF(DATOS!AV$4="Sí",(1/DATOS_[[% anualiz]:[% anualiz]]),1)*IF(DATOS!AV$5="Sí",1/DATOS_[[% normaliz]:[% normaliz]],1)*(DATOS_[Conc.Sal.18])))))))), 0)</f>
        <v>0</v>
      </c>
      <c r="AB91" s="250" t="n">
        <f aca="false" t="array" ref="AB91:AB91">IFERROR( (MEDIAN((IF(DATOS_[[Sexo]:[Sexo]]=$B91,IF(DATOS_[[AGRUP. CLAS. PROF.]:[AGRUP. CLAS. PROF.]]=$B90,IF(DATOS_[[Check Periodo Ref.]:[Check Periodo Ref.]]="Dentro",IF(DATOS_[[Check Equiparado]:[Check Equiparado]]="Sí",IF(DATOS!AW$4="Sí",(1/DATOS_[[% anualiz]:[% anualiz]]),1)*IF(DATOS!AW$5="Sí",1/DATOS_[[% normaliz]:[% normaliz]],1)*(DATOS_[Conc.Sal.19])))))))), 0)</f>
        <v>0</v>
      </c>
      <c r="AC91" s="250" t="n">
        <f aca="false" t="array" ref="AC91:AC91">IFERROR( (MEDIAN((IF(DATOS_[[Sexo]:[Sexo]]=$B91,IF(DATOS_[[AGRUP. CLAS. PROF.]:[AGRUP. CLAS. PROF.]]=$B90,IF(DATOS_[[Check Periodo Ref.]:[Check Periodo Ref.]]="Dentro",IF(DATOS_[[Check Equiparado]:[Check Equiparado]]="Sí",IF(DATOS!AX$4="Sí",(1/DATOS_[[% anualiz]:[% anualiz]]),1)*IF(DATOS!AX$5="Sí",1/DATOS_[[% normaliz]:[% normaliz]],1)*(DATOS_[Conc.Sal.20])))))))), 0)</f>
        <v>0</v>
      </c>
      <c r="AD91" s="250" t="n">
        <f aca="false" t="array" ref="AD91:AD91">IFERROR( (MEDIAN((IF(DATOS_[[Sexo]:[Sexo]]=$B91,IF(DATOS_[[AGRUP. CLAS. PROF.]:[AGRUP. CLAS. PROF.]]=$B90,IF(DATOS_[[Check Periodo Ref.]:[Check Periodo Ref.]]="Dentro",IF(DATOS_[[Check Equiparado]:[Check Equiparado]]="Sí",IF(DATOS!AY$4="Sí",(1/DATOS_[[% anualiz]:[% anualiz]]),1)*IF(DATOS!AY$5="Sí",1/DATOS_[[% normaliz]:[% normaliz]],1)*(DATOS_[Conc.Sal.21])))))))), 0)</f>
        <v>0</v>
      </c>
      <c r="AE91" s="250" t="n">
        <f aca="false" t="array" ref="AE91:AE91">IFERROR( (MEDIAN((IF(DATOS_[[Sexo]:[Sexo]]=$B91,IF(DATOS_[[AGRUP. CLAS. PROF.]:[AGRUP. CLAS. PROF.]]=$B90,IF(DATOS_[[Check Periodo Ref.]:[Check Periodo Ref.]]="Dentro",IF(DATOS_[[Check Equiparado]:[Check Equiparado]]="Sí",IF(DATOS!AZ$4="Sí",(1/DATOS_[[% anualiz]:[% anualiz]]),1)*IF(DATOS!AZ$5="Sí",1/DATOS_[[% normaliz]:[% normaliz]],1)*(DATOS_[Conc.Sal.22])))))))), 0)</f>
        <v>0</v>
      </c>
      <c r="AF91" s="250" t="n">
        <f aca="false" t="array" ref="AF91:AF91">IFERROR( (MEDIAN((IF(DATOS_[[Sexo]:[Sexo]]=$B91,IF(DATOS_[[AGRUP. CLAS. PROF.]:[AGRUP. CLAS. PROF.]]=$B90,IF(DATOS_[[Check Periodo Ref.]:[Check Periodo Ref.]]="Dentro",IF(DATOS_[[Check Equiparado]:[Check Equiparado]]="Sí",IF(DATOS!BA$4="Sí",(1/DATOS_[[% anualiz]:[% anualiz]]),1)*IF(DATOS!BA$5="Sí",1/DATOS_[[% normaliz]:[% normaliz]],1)*(DATOS_[Conc.Sal.23])))))))), 0)</f>
        <v>0</v>
      </c>
      <c r="AG91" s="250" t="n">
        <f aca="false" t="array" ref="AG91:AG91">IFERROR( (MEDIAN((IF(DATOS_[[Sexo]:[Sexo]]=$B91,IF(DATOS_[[AGRUP. CLAS. PROF.]:[AGRUP. CLAS. PROF.]]=$B90,IF(DATOS_[[Check Periodo Ref.]:[Check Periodo Ref.]]="Dentro",IF(DATOS_[[Check Equiparado]:[Check Equiparado]]="Sí",IF(DATOS!BB$4="Sí",(1/DATOS_[[% anualiz]:[% anualiz]]),1)*IF(DATOS!BB$5="Sí",1/DATOS_[[% normaliz]:[% normaliz]],1)*(DATOS_[Conc.Sal.24])))))))), 0)</f>
        <v>0</v>
      </c>
      <c r="AH91" s="250" t="n">
        <f aca="false" t="array" ref="AH91:AH91">IFERROR( (MEDIAN((IF(DATOS_[[Sexo]:[Sexo]]=$B91,IF(DATOS_[[AGRUP. CLAS. PROF.]:[AGRUP. CLAS. PROF.]]=$B90,IF(DATOS_[[Check Periodo Ref.]:[Check Periodo Ref.]]="Dentro",IF(DATOS_[[Check Equiparado]:[Check Equiparado]]="Sí",IF(DATOS!BC$4="Sí",(1/DATOS_[[% anualiz]:[% anualiz]]),1)*IF(DATOS!BC$5="Sí",1/DATOS_[[% normaliz]:[% normaliz]],1)*(DATOS_[Conc.Sal.25])))))))), 0)</f>
        <v>0</v>
      </c>
      <c r="AI91" s="250" t="n">
        <f aca="false" t="array" ref="AI91:AI91">IFERROR( (MEDIAN((IF(DATOS_[[Sexo]:[Sexo]]=$B91,IF(DATOS_[[AGRUP. CLAS. PROF.]:[AGRUP. CLAS. PROF.]]=$B90,IF(DATOS_[[Check Periodo Ref.]:[Check Periodo Ref.]]="Dentro",IF(DATOS_[[Check Equiparado]:[Check Equiparado]]="Sí",IF(DATOS!BD$4="Sí",(1/DATOS_[[% anualiz]:[% anualiz]]),1)*IF(DATOS!BD$5="Sí",1/DATOS_[[% normaliz]:[% normaliz]],1)*(DATOS_[Conc.Sal.26])))))))), 0)</f>
        <v>0</v>
      </c>
      <c r="AJ91" s="250" t="n">
        <f aca="false" t="array" ref="AJ91:AJ91">IFERROR( (MEDIAN((IF(DATOS_[[Sexo]:[Sexo]]=$B91,IF(DATOS_[[AGRUP. CLAS. PROF.]:[AGRUP. CLAS. PROF.]]=$B90,IF(DATOS_[[Check Periodo Ref.]:[Check Periodo Ref.]]="Dentro",IF(DATOS_[[Check Equiparado]:[Check Equiparado]]="Sí",IF(DATOS!BE$4="Sí",(1/DATOS_[[% anualiz]:[% anualiz]]),1)*IF(DATOS!BE$5="Sí",1/DATOS_[[% normaliz]:[% normaliz]],1)*(DATOS_[Conc.Sal.27])))))))), 0)</f>
        <v>0</v>
      </c>
      <c r="AK91" s="250" t="n">
        <f aca="false" t="array" ref="AK91:AK91">IFERROR( (MEDIAN((IF(DATOS_[[Sexo]:[Sexo]]=$B91,IF(DATOS_[[AGRUP. CLAS. PROF.]:[AGRUP. CLAS. PROF.]]=$B90,IF(DATOS_[[Check Periodo Ref.]:[Check Periodo Ref.]]="Dentro",IF(DATOS_[[Check Equiparado]:[Check Equiparado]]="Sí",IF(DATOS!BF$4="Sí",(1/DATOS_[[% anualiz]:[% anualiz]]),1)*IF(DATOS!BF$5="Sí",1/DATOS_[[% normaliz]:[% normaliz]],1)*(DATOS_[Conc.Sal.28])))))))), 0)</f>
        <v>0</v>
      </c>
      <c r="AL91" s="250" t="n">
        <f aca="false" t="array" ref="AL91:AL91">IFERROR( (MEDIAN((IF(DATOS_[[Sexo]:[Sexo]]=$B91,IF(DATOS_[[AGRUP. CLAS. PROF.]:[AGRUP. CLAS. PROF.]]=$B90,IF(DATOS_[[Check Periodo Ref.]:[Check Periodo Ref.]]="Dentro",IF(DATOS_[[Check Equiparado]:[Check Equiparado]]="Sí",IF(DATOS!BG$4="Sí",(1/DATOS_[[% anualiz]:[% anualiz]]),1)*IF(DATOS!BG$5="Sí",1/DATOS_[[% normaliz]:[% normaliz]],1)*(DATOS_[Conc.Sal.29])))))))), 0)</f>
        <v>0</v>
      </c>
      <c r="AM91" s="250" t="n">
        <f aca="false" t="array" ref="AM91:AM91">IFERROR( (MEDIAN((IF(DATOS_[[Sexo]:[Sexo]]=$B91,IF(DATOS_[[AGRUP. CLAS. PROF.]:[AGRUP. CLAS. PROF.]]=$B90,IF(DATOS_[[Check Periodo Ref.]:[Check Periodo Ref.]]="Dentro",IF(DATOS_[[Check Equiparado]:[Check Equiparado]]="Sí",IF(DATOS!BH$4="Sí",(1/DATOS_[[% anualiz]:[% anualiz]]),1)*IF(DATOS!BH$5="Sí",1/DATOS_[[% normaliz]:[% normaliz]],1)*(DATOS_[Conc.Sal.30])))))))), 0)</f>
        <v>0</v>
      </c>
      <c r="AN91" s="251" t="n">
        <f aca="false" t="array" ref="AN91:AN91">IFERROR( MEDIAN(IF(DATOS_[Sexo]=$B91,IF(DATOS_[[AGRUP. CLAS. PROF.]:[AGRUP. CLAS. PROF.]]=$B90,IF(DATOS_[Check Equiparado]="Sí",IF(DATOS_[Check Periodo Ref.]="Dentro",DATOS_[Tot COMPL.SAL Eq],0))))), 0)</f>
        <v>0</v>
      </c>
      <c r="AO91" s="252" t="n">
        <f aca="false" t="array" ref="AO91:AO91">IFERROR( MEDIAN(IF(DATOS_[Sexo]=$B91,IF(DATOS_[[AGRUP. CLAS. PROF.]:[AGRUP. CLAS. PROF.]]=$B90,IF(DATOS_[Check Equiparado]="Sí",IF(DATOS_[Check Periodo Ref.]="Dentro",DATOS_[TOTAL SALARIO Eq],0))))), 0)</f>
        <v>0</v>
      </c>
      <c r="AP91" s="259" t="n">
        <f aca="false" t="array" ref="AP91:AP91">IFERROR( (MEDIAN((IF(DATOS_[[Sexo]:[Sexo]]=$B91,IF(DATOS_[[AGRUP. CLAS. PROF.]:[AGRUP. CLAS. PROF.]]=$B90,IF(DATOS_[[Check Periodo Ref.]:[Check Periodo Ref.]]="Dentro",IF(DATOS_[[Check Equiparado]:[Check Equiparado]]="Sí",IF(DATOS!BI$4="Sí",(1/DATOS_[[% anualiz]:[% anualiz]]),1)*IF(DATOS!BI$5="Sí",1/DATOS_[[% normaliz]:[% normaliz]],1)*(DATOS_[C.Extra.01])))))))), 0)</f>
        <v>0</v>
      </c>
      <c r="AQ91" s="259" t="n">
        <f aca="false" t="array" ref="AQ91:AQ91">IFERROR( (MEDIAN((IF(DATOS_[[Sexo]:[Sexo]]=$B91,IF(DATOS_[[AGRUP. CLAS. PROF.]:[AGRUP. CLAS. PROF.]]=$B90,IF(DATOS_[[Check Periodo Ref.]:[Check Periodo Ref.]]="Dentro",IF(DATOS_[[Check Equiparado]:[Check Equiparado]]="Sí",IF(DATOS!BJ$4="Sí",(1/DATOS_[[% anualiz]:[% anualiz]]),1)*IF(DATOS!BJ$5="Sí",1/DATOS_[[% normaliz]:[% normaliz]],1)*(DATOS_[C.Extra.02])))))))), 0)</f>
        <v>0</v>
      </c>
      <c r="AR91" s="259" t="n">
        <f aca="false" t="array" ref="AR91:AR91">IFERROR( (MEDIAN((IF(DATOS_[[Sexo]:[Sexo]]=$B91,IF(DATOS_[[AGRUP. CLAS. PROF.]:[AGRUP. CLAS. PROF.]]=$B90,IF(DATOS_[[Check Periodo Ref.]:[Check Periodo Ref.]]="Dentro",IF(DATOS_[[Check Equiparado]:[Check Equiparado]]="Sí",IF(DATOS!BK$4="Sí",(1/DATOS_[[% anualiz]:[% anualiz]]),1)*IF(DATOS!BK$5="Sí",1/DATOS_[[% normaliz]:[% normaliz]],1)*(DATOS_[C.Extra.03])))))))), 0)</f>
        <v>0</v>
      </c>
      <c r="AS91" s="259" t="n">
        <f aca="false" t="array" ref="AS91:AS91">IFERROR( (MEDIAN((IF(DATOS_[[Sexo]:[Sexo]]=$B91,IF(DATOS_[[AGRUP. CLAS. PROF.]:[AGRUP. CLAS. PROF.]]=$B90,IF(DATOS_[[Check Periodo Ref.]:[Check Periodo Ref.]]="Dentro",IF(DATOS_[[Check Equiparado]:[Check Equiparado]]="Sí",IF(DATOS!BL$4="Sí",(1/DATOS_[[% anualiz]:[% anualiz]]),1)*IF(DATOS!BL$5="Sí",1/DATOS_[[% normaliz]:[% normaliz]],1)*(DATOS_[C.Extra.04])))))))), 0)</f>
        <v>0</v>
      </c>
      <c r="AT91" s="259" t="n">
        <f aca="false" t="array" ref="AT91:AT91">IFERROR( (MEDIAN((IF(DATOS_[[Sexo]:[Sexo]]=$B91,IF(DATOS_[[AGRUP. CLAS. PROF.]:[AGRUP. CLAS. PROF.]]=$B90,IF(DATOS_[[Check Periodo Ref.]:[Check Periodo Ref.]]="Dentro",IF(DATOS_[[Check Equiparado]:[Check Equiparado]]="Sí",IF(DATOS!BM$4="Sí",(1/DATOS_[[% anualiz]:[% anualiz]]),1)*IF(DATOS!BM$5="Sí",1/DATOS_[[% normaliz]:[% normaliz]],1)*(DATOS_[C.Extra.05])))))))), 0)</f>
        <v>0</v>
      </c>
      <c r="AU91" s="254" t="n">
        <f aca="false" t="array" ref="AU91:AU91">IFERROR( MEDIAN(IF(DATOS_[Sexo]=$B91,IF(DATOS_[[AGRUP. CLAS. PROF.]:[AGRUP. CLAS. PROF.]]=$B90,IF(DATOS_[Check Equiparado]="Sí",IF(DATOS_[Check Periodo Ref.]="Dentro",DATOS_[Tot Extrasalarial Eq],0))))), 0)</f>
        <v>0</v>
      </c>
      <c r="AV91" s="255" t="n">
        <f aca="false" t="array" ref="AV91:AV91">IFERROR( MEDIAN(IF(DATOS_[Sexo]=$B91,IF(DATOS_[[AGRUP. CLAS. PROF.]:[AGRUP. CLAS. PROF.]]=$B90,IF(DATOS_[Check Equiparado]="Sí",IF(DATOS_[Check Periodo Ref.]="Dentro",DATOS_[TOTAL Retrib Eq],0))))), 0)</f>
        <v>0</v>
      </c>
    </row>
    <row r="92" customFormat="false" ht="14.25" hidden="false" customHeight="false" outlineLevel="0" collapsed="false">
      <c r="A92" s="217" t="str">
        <f aca="false">+A91</f>
        <v>[ocultar]</v>
      </c>
      <c r="B92" s="323" t="s">
        <v>372</v>
      </c>
      <c r="C92" s="247" t="n">
        <f aca="false" t="array" ref="C92:C92">SUM(IF($B92=DATOS_[Sexo], IF($B90=DATOS_[AGRUP. CLAS. PROF.], IF("Dentro"=DATOS_[Check Periodo Ref.], 1/(COUNTIFS(DATOS_[Sexo],$B92,DATOS_[AGRUP. CLAS. PROF.],$B90,DATOS_[Check Periodo Ref.],"Dentro",DATOS_[id],DATOS_[id]))))))</f>
        <v>0</v>
      </c>
      <c r="D92" s="248" t="n">
        <f aca="false">COUNTIFS(DATOS_[AGRUP. CLAS. PROF.],$B90,DATOS_[Sexo],$B92,DATOS_[Check Periodo Ref.],"Dentro")</f>
        <v>0</v>
      </c>
      <c r="E92" s="248" t="n">
        <f aca="false">COUNTIFS(DATOS_[AGRUP. CLAS. PROF.],$B90,DATOS_[Sexo],$B92,DATOS_[Check Periodo Ref.],"Dentro",DATOS_[Check Nº SC Norm],"Sí")</f>
        <v>0</v>
      </c>
      <c r="F92" s="248" t="n">
        <f aca="false">COUNTIFS(DATOS_[AGRUP. CLAS. PROF.],$B90,DATOS_[Sexo],$B92,DATOS_[Check Periodo Ref.],"Dentro",DATOS_[Check Nº SC Anualiz],"Sí")</f>
        <v>0</v>
      </c>
      <c r="G92" s="248" t="n">
        <f aca="false">COUNTIFS(DATOS_[AGRUP. CLAS. PROF.],$B90,DATOS_[Sexo],$B92,DATOS_[Check Periodo Ref.],"Dentro",DATOS_[Check Nº SC Norm y Anualiz],"Sí")</f>
        <v>0</v>
      </c>
      <c r="H92" s="248" t="n">
        <f aca="false">COUNTIFS(DATOS_[AGRUP. CLAS. PROF.],$B90,DATOS_[Sexo],$B92,DATOS_[Check Periodo Ref.],"Dentro",DATOS_[Check Equiparación],"Sí")</f>
        <v>0</v>
      </c>
      <c r="I92" s="249" t="n">
        <f aca="false" t="array" ref="I92:I92">IFERROR( MEDIAN(IF(DATOS_[Sexo]=$B92,IF(DATOS_[[AGRUP. CLAS. PROF.]:[AGRUP. CLAS. PROF.]]=$B90,IF(DATOS_[Check Equiparado]="Sí",IF(DATOS_[Check Periodo Ref.]="Dentro",DATOS_[SALARIO BASE Eq],0))))), 0)</f>
        <v>0</v>
      </c>
      <c r="J92" s="250" t="n">
        <f aca="false" t="array" ref="J92:J92">IFERROR( (MEDIAN((IF(DATOS_[[Sexo]:[Sexo]]=$B92,IF(DATOS_[[AGRUP. CLAS. PROF.]:[AGRUP. CLAS. PROF.]]=$B90,IF(DATOS_[[Check Periodo Ref.]:[Check Periodo Ref.]]="Dentro",IF(DATOS_[[Check Equiparado]:[Check Equiparado]]="Sí",IF(DATOS!AE$4="Sí",(1/DATOS_[[% anualiz]:[% anualiz]]),1)*IF(DATOS!AE$5="Sí",1/DATOS_[[% normaliz]:[% normaliz]],1)*(DATOS_[Conc.Sal.01])))))))), 0)</f>
        <v>0</v>
      </c>
      <c r="K92" s="250" t="n">
        <f aca="false" t="array" ref="K92:K92">IFERROR( (MEDIAN((IF(DATOS_[[Sexo]:[Sexo]]=$B92,IF(DATOS_[[AGRUP. CLAS. PROF.]:[AGRUP. CLAS. PROF.]]=$B90,IF(DATOS_[[Check Periodo Ref.]:[Check Periodo Ref.]]="Dentro",IF(DATOS_[[Check Equiparado]:[Check Equiparado]]="Sí",IF(DATOS!AF$4="Sí",(1/DATOS_[[% anualiz]:[% anualiz]]),1)*IF(DATOS!AF$5="Sí",1/DATOS_[[% normaliz]:[% normaliz]],1)*(DATOS_[Conc.Sal.02])))))))), 0)</f>
        <v>0</v>
      </c>
      <c r="L92" s="250" t="n">
        <f aca="false" t="array" ref="L92:L92">IFERROR( (MEDIAN((IF(DATOS_[[Sexo]:[Sexo]]=$B92,IF(DATOS_[[AGRUP. CLAS. PROF.]:[AGRUP. CLAS. PROF.]]=$B90,IF(DATOS_[[Check Periodo Ref.]:[Check Periodo Ref.]]="Dentro",IF(DATOS_[[Check Equiparado]:[Check Equiparado]]="Sí",IF(DATOS!AG$4="Sí",(1/DATOS_[[% anualiz]:[% anualiz]]),1)*IF(DATOS!AG$5="Sí",1/DATOS_[[% normaliz]:[% normaliz]],1)*(DATOS_[Conc.Sal.03])))))))), 0)</f>
        <v>0</v>
      </c>
      <c r="M92" s="250" t="n">
        <f aca="false" t="array" ref="M92:M92">IFERROR( (MEDIAN((IF(DATOS_[[Sexo]:[Sexo]]=$B92,IF(DATOS_[[AGRUP. CLAS. PROF.]:[AGRUP. CLAS. PROF.]]=$B90,IF(DATOS_[[Check Periodo Ref.]:[Check Periodo Ref.]]="Dentro",IF(DATOS_[[Check Equiparado]:[Check Equiparado]]="Sí",IF(DATOS!AH$4="Sí",(1/DATOS_[[% anualiz]:[% anualiz]]),1)*IF(DATOS!AH$5="Sí",1/DATOS_[[% normaliz]:[% normaliz]],1)*(DATOS_[Conc.Sal.04])))))))), 0)</f>
        <v>0</v>
      </c>
      <c r="N92" s="250" t="n">
        <f aca="false" t="array" ref="N92:N92">IFERROR( (MEDIAN((IF(DATOS_[[Sexo]:[Sexo]]=$B92,IF(DATOS_[[AGRUP. CLAS. PROF.]:[AGRUP. CLAS. PROF.]]=$B90,IF(DATOS_[[Check Periodo Ref.]:[Check Periodo Ref.]]="Dentro",IF(DATOS_[[Check Equiparado]:[Check Equiparado]]="Sí",IF(DATOS!AI$4="Sí",(1/DATOS_[[% anualiz]:[% anualiz]]),1)*IF(DATOS!AI$5="Sí",1/DATOS_[[% normaliz]:[% normaliz]],1)*(DATOS_[Conc.Sal.05])))))))), 0)</f>
        <v>0</v>
      </c>
      <c r="O92" s="250" t="n">
        <f aca="false" t="array" ref="O92:O92">IFERROR( (MEDIAN((IF(DATOS_[[Sexo]:[Sexo]]=$B92,IF(DATOS_[[AGRUP. CLAS. PROF.]:[AGRUP. CLAS. PROF.]]=$B90,IF(DATOS_[[Check Periodo Ref.]:[Check Periodo Ref.]]="Dentro",IF(DATOS_[[Check Equiparado]:[Check Equiparado]]="Sí",IF(DATOS!AJ$4="Sí",(1/DATOS_[[% anualiz]:[% anualiz]]),1)*IF(DATOS!AJ$5="Sí",1/DATOS_[[% normaliz]:[% normaliz]],1)*(DATOS_[Conc.Sal.06])))))))), 0)</f>
        <v>0</v>
      </c>
      <c r="P92" s="250" t="n">
        <f aca="false" t="array" ref="P92:P92">IFERROR( (MEDIAN((IF(DATOS_[[Sexo]:[Sexo]]=$B92,IF(DATOS_[[AGRUP. CLAS. PROF.]:[AGRUP. CLAS. PROF.]]=$B90,IF(DATOS_[[Check Periodo Ref.]:[Check Periodo Ref.]]="Dentro",IF(DATOS_[[Check Equiparado]:[Check Equiparado]]="Sí",IF(DATOS!AK$4="Sí",(1/DATOS_[[% anualiz]:[% anualiz]]),1)*IF(DATOS!AK$5="Sí",1/DATOS_[[% normaliz]:[% normaliz]],1)*(DATOS_[Conc.Sal.07])))))))), 0)</f>
        <v>0</v>
      </c>
      <c r="Q92" s="250" t="n">
        <f aca="false" t="array" ref="Q92:Q92">IFERROR( (MEDIAN((IF(DATOS_[[Sexo]:[Sexo]]=$B92,IF(DATOS_[[AGRUP. CLAS. PROF.]:[AGRUP. CLAS. PROF.]]=$B90,IF(DATOS_[[Check Periodo Ref.]:[Check Periodo Ref.]]="Dentro",IF(DATOS_[[Check Equiparado]:[Check Equiparado]]="Sí",IF(DATOS!AL$4="Sí",(1/DATOS_[[% anualiz]:[% anualiz]]),1)*IF(DATOS!AL$5="Sí",1/DATOS_[[% normaliz]:[% normaliz]],1)*(DATOS_[Conc.Sal.08])))))))), 0)</f>
        <v>0</v>
      </c>
      <c r="R92" s="250" t="n">
        <f aca="false" t="array" ref="R92:R92">IFERROR( (MEDIAN((IF(DATOS_[[Sexo]:[Sexo]]=$B92,IF(DATOS_[[AGRUP. CLAS. PROF.]:[AGRUP. CLAS. PROF.]]=$B90,IF(DATOS_[[Check Periodo Ref.]:[Check Periodo Ref.]]="Dentro",IF(DATOS_[[Check Equiparado]:[Check Equiparado]]="Sí",IF(DATOS!AM$4="Sí",(1/DATOS_[[% anualiz]:[% anualiz]]),1)*IF(DATOS!AM$5="Sí",1/DATOS_[[% normaliz]:[% normaliz]],1)*(DATOS_[Conc.Sal.09])))))))), 0)</f>
        <v>0</v>
      </c>
      <c r="S92" s="250" t="n">
        <f aca="false" t="array" ref="S92:S92">IFERROR( (MEDIAN((IF(DATOS_[[Sexo]:[Sexo]]=$B92,IF(DATOS_[[AGRUP. CLAS. PROF.]:[AGRUP. CLAS. PROF.]]=$B90,IF(DATOS_[[Check Periodo Ref.]:[Check Periodo Ref.]]="Dentro",IF(DATOS_[[Check Equiparado]:[Check Equiparado]]="Sí",IF(DATOS!AN$4="Sí",(1/DATOS_[[% anualiz]:[% anualiz]]),1)*IF(DATOS!AN$5="Sí",1/DATOS_[[% normaliz]:[% normaliz]],1)*(DATOS_[Conc.Sal.10])))))))), 0)</f>
        <v>0</v>
      </c>
      <c r="T92" s="250" t="n">
        <f aca="false" t="array" ref="T92:T92">IFERROR( (MEDIAN((IF(DATOS_[[Sexo]:[Sexo]]=$B92,IF(DATOS_[[AGRUP. CLAS. PROF.]:[AGRUP. CLAS. PROF.]]=$B90,IF(DATOS_[[Check Periodo Ref.]:[Check Periodo Ref.]]="Dentro",IF(DATOS_[[Check Equiparado]:[Check Equiparado]]="Sí",IF(DATOS!AO$4="Sí",(1/DATOS_[[% anualiz]:[% anualiz]]),1)*IF(DATOS!AO$5="Sí",1/DATOS_[[% normaliz]:[% normaliz]],1)*(DATOS_[Conc.Sal.11])))))))), 0)</f>
        <v>0</v>
      </c>
      <c r="U92" s="250" t="n">
        <f aca="false" t="array" ref="U92:U92">IFERROR( (MEDIAN((IF(DATOS_[[Sexo]:[Sexo]]=$B92,IF(DATOS_[[AGRUP. CLAS. PROF.]:[AGRUP. CLAS. PROF.]]=$B90,IF(DATOS_[[Check Periodo Ref.]:[Check Periodo Ref.]]="Dentro",IF(DATOS_[[Check Equiparado]:[Check Equiparado]]="Sí",IF(DATOS!AP$4="Sí",(1/DATOS_[[% anualiz]:[% anualiz]]),1)*IF(DATOS!AP$5="Sí",1/DATOS_[[% normaliz]:[% normaliz]],1)*(DATOS_[Conc.Sal.12])))))))), 0)</f>
        <v>0</v>
      </c>
      <c r="V92" s="250" t="n">
        <f aca="false" t="array" ref="V92:V92">IFERROR( (MEDIAN((IF(DATOS_[[Sexo]:[Sexo]]=$B92,IF(DATOS_[[AGRUP. CLAS. PROF.]:[AGRUP. CLAS. PROF.]]=$B90,IF(DATOS_[[Check Periodo Ref.]:[Check Periodo Ref.]]="Dentro",IF(DATOS_[[Check Equiparado]:[Check Equiparado]]="Sí",IF(DATOS!AQ$4="Sí",(1/DATOS_[[% anualiz]:[% anualiz]]),1)*IF(DATOS!AQ$5="Sí",1/DATOS_[[% normaliz]:[% normaliz]],1)*(DATOS_[Conc.Sal.13])))))))), 0)</f>
        <v>0</v>
      </c>
      <c r="W92" s="250" t="n">
        <f aca="false" t="array" ref="W92:W92">IFERROR( (MEDIAN((IF(DATOS_[[Sexo]:[Sexo]]=$B92,IF(DATOS_[[AGRUP. CLAS. PROF.]:[AGRUP. CLAS. PROF.]]=$B90,IF(DATOS_[[Check Periodo Ref.]:[Check Periodo Ref.]]="Dentro",IF(DATOS_[[Check Equiparado]:[Check Equiparado]]="Sí",IF(DATOS!AR$4="Sí",(1/DATOS_[[% anualiz]:[% anualiz]]),1)*IF(DATOS!AR$5="Sí",1/DATOS_[[% normaliz]:[% normaliz]],1)*(DATOS_[Conc.Sal.14])))))))), 0)</f>
        <v>0</v>
      </c>
      <c r="X92" s="250" t="n">
        <f aca="false" t="array" ref="X92:X92">IFERROR( (MEDIAN((IF(DATOS_[[Sexo]:[Sexo]]=$B92,IF(DATOS_[[AGRUP. CLAS. PROF.]:[AGRUP. CLAS. PROF.]]=$B90,IF(DATOS_[[Check Periodo Ref.]:[Check Periodo Ref.]]="Dentro",IF(DATOS_[[Check Equiparado]:[Check Equiparado]]="Sí",IF(DATOS!AS$4="Sí",(1/DATOS_[[% anualiz]:[% anualiz]]),1)*IF(DATOS!AS$5="Sí",1/DATOS_[[% normaliz]:[% normaliz]],1)*(DATOS_[Conc.Sal.15])))))))), 0)</f>
        <v>0</v>
      </c>
      <c r="Y92" s="250" t="n">
        <f aca="false" t="array" ref="Y92:Y92">IFERROR( (MEDIAN((IF(DATOS_[[Sexo]:[Sexo]]=$B92,IF(DATOS_[[AGRUP. CLAS. PROF.]:[AGRUP. CLAS. PROF.]]=$B90,IF(DATOS_[[Check Periodo Ref.]:[Check Periodo Ref.]]="Dentro",IF(DATOS_[[Check Equiparado]:[Check Equiparado]]="Sí",IF(DATOS!AT$4="Sí",(1/DATOS_[[% anualiz]:[% anualiz]]),1)*IF(DATOS!AT$5="Sí",1/DATOS_[[% normaliz]:[% normaliz]],1)*(DATOS_[Conc.Sal.16])))))))), 0)</f>
        <v>0</v>
      </c>
      <c r="Z92" s="250" t="n">
        <f aca="false" t="array" ref="Z92:Z92">IFERROR( (MEDIAN((IF(DATOS_[[Sexo]:[Sexo]]=$B92,IF(DATOS_[[AGRUP. CLAS. PROF.]:[AGRUP. CLAS. PROF.]]=$B90,IF(DATOS_[[Check Periodo Ref.]:[Check Periodo Ref.]]="Dentro",IF(DATOS_[[Check Equiparado]:[Check Equiparado]]="Sí",IF(DATOS!AU$4="Sí",(1/DATOS_[[% anualiz]:[% anualiz]]),1)*IF(DATOS!AU$5="Sí",1/DATOS_[[% normaliz]:[% normaliz]],1)*(DATOS_[Conc.Sal.17])))))))), 0)</f>
        <v>0</v>
      </c>
      <c r="AA92" s="250" t="n">
        <f aca="false" t="array" ref="AA92:AA92">IFERROR( (MEDIAN((IF(DATOS_[[Sexo]:[Sexo]]=$B92,IF(DATOS_[[AGRUP. CLAS. PROF.]:[AGRUP. CLAS. PROF.]]=$B90,IF(DATOS_[[Check Periodo Ref.]:[Check Periodo Ref.]]="Dentro",IF(DATOS_[[Check Equiparado]:[Check Equiparado]]="Sí",IF(DATOS!AV$4="Sí",(1/DATOS_[[% anualiz]:[% anualiz]]),1)*IF(DATOS!AV$5="Sí",1/DATOS_[[% normaliz]:[% normaliz]],1)*(DATOS_[Conc.Sal.18])))))))), 0)</f>
        <v>0</v>
      </c>
      <c r="AB92" s="250" t="n">
        <f aca="false" t="array" ref="AB92:AB92">IFERROR( (MEDIAN((IF(DATOS_[[Sexo]:[Sexo]]=$B92,IF(DATOS_[[AGRUP. CLAS. PROF.]:[AGRUP. CLAS. PROF.]]=$B90,IF(DATOS_[[Check Periodo Ref.]:[Check Periodo Ref.]]="Dentro",IF(DATOS_[[Check Equiparado]:[Check Equiparado]]="Sí",IF(DATOS!AW$4="Sí",(1/DATOS_[[% anualiz]:[% anualiz]]),1)*IF(DATOS!AW$5="Sí",1/DATOS_[[% normaliz]:[% normaliz]],1)*(DATOS_[Conc.Sal.19])))))))), 0)</f>
        <v>0</v>
      </c>
      <c r="AC92" s="250" t="n">
        <f aca="false" t="array" ref="AC92:AC92">IFERROR( (MEDIAN((IF(DATOS_[[Sexo]:[Sexo]]=$B92,IF(DATOS_[[AGRUP. CLAS. PROF.]:[AGRUP. CLAS. PROF.]]=$B90,IF(DATOS_[[Check Periodo Ref.]:[Check Periodo Ref.]]="Dentro",IF(DATOS_[[Check Equiparado]:[Check Equiparado]]="Sí",IF(DATOS!AX$4="Sí",(1/DATOS_[[% anualiz]:[% anualiz]]),1)*IF(DATOS!AX$5="Sí",1/DATOS_[[% normaliz]:[% normaliz]],1)*(DATOS_[Conc.Sal.20])))))))), 0)</f>
        <v>0</v>
      </c>
      <c r="AD92" s="250" t="n">
        <f aca="false" t="array" ref="AD92:AD92">IFERROR( (MEDIAN((IF(DATOS_[[Sexo]:[Sexo]]=$B92,IF(DATOS_[[AGRUP. CLAS. PROF.]:[AGRUP. CLAS. PROF.]]=$B90,IF(DATOS_[[Check Periodo Ref.]:[Check Periodo Ref.]]="Dentro",IF(DATOS_[[Check Equiparado]:[Check Equiparado]]="Sí",IF(DATOS!AY$4="Sí",(1/DATOS_[[% anualiz]:[% anualiz]]),1)*IF(DATOS!AY$5="Sí",1/DATOS_[[% normaliz]:[% normaliz]],1)*(DATOS_[Conc.Sal.21])))))))), 0)</f>
        <v>0</v>
      </c>
      <c r="AE92" s="250" t="n">
        <f aca="false" t="array" ref="AE92:AE92">IFERROR( (MEDIAN((IF(DATOS_[[Sexo]:[Sexo]]=$B92,IF(DATOS_[[AGRUP. CLAS. PROF.]:[AGRUP. CLAS. PROF.]]=$B90,IF(DATOS_[[Check Periodo Ref.]:[Check Periodo Ref.]]="Dentro",IF(DATOS_[[Check Equiparado]:[Check Equiparado]]="Sí",IF(DATOS!AZ$4="Sí",(1/DATOS_[[% anualiz]:[% anualiz]]),1)*IF(DATOS!AZ$5="Sí",1/DATOS_[[% normaliz]:[% normaliz]],1)*(DATOS_[Conc.Sal.22])))))))), 0)</f>
        <v>0</v>
      </c>
      <c r="AF92" s="250" t="n">
        <f aca="false" t="array" ref="AF92:AF92">IFERROR( (MEDIAN((IF(DATOS_[[Sexo]:[Sexo]]=$B92,IF(DATOS_[[AGRUP. CLAS. PROF.]:[AGRUP. CLAS. PROF.]]=$B90,IF(DATOS_[[Check Periodo Ref.]:[Check Periodo Ref.]]="Dentro",IF(DATOS_[[Check Equiparado]:[Check Equiparado]]="Sí",IF(DATOS!BA$4="Sí",(1/DATOS_[[% anualiz]:[% anualiz]]),1)*IF(DATOS!BA$5="Sí",1/DATOS_[[% normaliz]:[% normaliz]],1)*(DATOS_[Conc.Sal.23])))))))), 0)</f>
        <v>0</v>
      </c>
      <c r="AG92" s="250" t="n">
        <f aca="false" t="array" ref="AG92:AG92">IFERROR( (MEDIAN((IF(DATOS_[[Sexo]:[Sexo]]=$B92,IF(DATOS_[[AGRUP. CLAS. PROF.]:[AGRUP. CLAS. PROF.]]=$B90,IF(DATOS_[[Check Periodo Ref.]:[Check Periodo Ref.]]="Dentro",IF(DATOS_[[Check Equiparado]:[Check Equiparado]]="Sí",IF(DATOS!BB$4="Sí",(1/DATOS_[[% anualiz]:[% anualiz]]),1)*IF(DATOS!BB$5="Sí",1/DATOS_[[% normaliz]:[% normaliz]],1)*(DATOS_[Conc.Sal.24])))))))), 0)</f>
        <v>0</v>
      </c>
      <c r="AH92" s="250" t="n">
        <f aca="false" t="array" ref="AH92:AH92">IFERROR( (MEDIAN((IF(DATOS_[[Sexo]:[Sexo]]=$B92,IF(DATOS_[[AGRUP. CLAS. PROF.]:[AGRUP. CLAS. PROF.]]=$B90,IF(DATOS_[[Check Periodo Ref.]:[Check Periodo Ref.]]="Dentro",IF(DATOS_[[Check Equiparado]:[Check Equiparado]]="Sí",IF(DATOS!BC$4="Sí",(1/DATOS_[[% anualiz]:[% anualiz]]),1)*IF(DATOS!BC$5="Sí",1/DATOS_[[% normaliz]:[% normaliz]],1)*(DATOS_[Conc.Sal.25])))))))), 0)</f>
        <v>0</v>
      </c>
      <c r="AI92" s="250" t="n">
        <f aca="false" t="array" ref="AI92:AI92">IFERROR( (MEDIAN((IF(DATOS_[[Sexo]:[Sexo]]=$B92,IF(DATOS_[[AGRUP. CLAS. PROF.]:[AGRUP. CLAS. PROF.]]=$B90,IF(DATOS_[[Check Periodo Ref.]:[Check Periodo Ref.]]="Dentro",IF(DATOS_[[Check Equiparado]:[Check Equiparado]]="Sí",IF(DATOS!BD$4="Sí",(1/DATOS_[[% anualiz]:[% anualiz]]),1)*IF(DATOS!BD$5="Sí",1/DATOS_[[% normaliz]:[% normaliz]],1)*(DATOS_[Conc.Sal.26])))))))), 0)</f>
        <v>0</v>
      </c>
      <c r="AJ92" s="250" t="n">
        <f aca="false" t="array" ref="AJ92:AJ92">IFERROR( (MEDIAN((IF(DATOS_[[Sexo]:[Sexo]]=$B92,IF(DATOS_[[AGRUP. CLAS. PROF.]:[AGRUP. CLAS. PROF.]]=$B90,IF(DATOS_[[Check Periodo Ref.]:[Check Periodo Ref.]]="Dentro",IF(DATOS_[[Check Equiparado]:[Check Equiparado]]="Sí",IF(DATOS!BE$4="Sí",(1/DATOS_[[% anualiz]:[% anualiz]]),1)*IF(DATOS!BE$5="Sí",1/DATOS_[[% normaliz]:[% normaliz]],1)*(DATOS_[Conc.Sal.27])))))))), 0)</f>
        <v>0</v>
      </c>
      <c r="AK92" s="250" t="n">
        <f aca="false" t="array" ref="AK92:AK92">IFERROR( (MEDIAN((IF(DATOS_[[Sexo]:[Sexo]]=$B92,IF(DATOS_[[AGRUP. CLAS. PROF.]:[AGRUP. CLAS. PROF.]]=$B90,IF(DATOS_[[Check Periodo Ref.]:[Check Periodo Ref.]]="Dentro",IF(DATOS_[[Check Equiparado]:[Check Equiparado]]="Sí",IF(DATOS!BF$4="Sí",(1/DATOS_[[% anualiz]:[% anualiz]]),1)*IF(DATOS!BF$5="Sí",1/DATOS_[[% normaliz]:[% normaliz]],1)*(DATOS_[Conc.Sal.28])))))))), 0)</f>
        <v>0</v>
      </c>
      <c r="AL92" s="250" t="n">
        <f aca="false" t="array" ref="AL92:AL92">IFERROR( (MEDIAN((IF(DATOS_[[Sexo]:[Sexo]]=$B92,IF(DATOS_[[AGRUP. CLAS. PROF.]:[AGRUP. CLAS. PROF.]]=$B90,IF(DATOS_[[Check Periodo Ref.]:[Check Periodo Ref.]]="Dentro",IF(DATOS_[[Check Equiparado]:[Check Equiparado]]="Sí",IF(DATOS!BG$4="Sí",(1/DATOS_[[% anualiz]:[% anualiz]]),1)*IF(DATOS!BG$5="Sí",1/DATOS_[[% normaliz]:[% normaliz]],1)*(DATOS_[Conc.Sal.29])))))))), 0)</f>
        <v>0</v>
      </c>
      <c r="AM92" s="250" t="n">
        <f aca="false" t="array" ref="AM92:AM92">IFERROR( (MEDIAN((IF(DATOS_[[Sexo]:[Sexo]]=$B92,IF(DATOS_[[AGRUP. CLAS. PROF.]:[AGRUP. CLAS. PROF.]]=$B90,IF(DATOS_[[Check Periodo Ref.]:[Check Periodo Ref.]]="Dentro",IF(DATOS_[[Check Equiparado]:[Check Equiparado]]="Sí",IF(DATOS!BH$4="Sí",(1/DATOS_[[% anualiz]:[% anualiz]]),1)*IF(DATOS!BH$5="Sí",1/DATOS_[[% normaliz]:[% normaliz]],1)*(DATOS_[Conc.Sal.30])))))))), 0)</f>
        <v>0</v>
      </c>
      <c r="AN92" s="251" t="n">
        <f aca="false" t="array" ref="AN92:AN92">IFERROR( MEDIAN(IF(DATOS_[Sexo]=$B92,IF(DATOS_[[AGRUP. CLAS. PROF.]:[AGRUP. CLAS. PROF.]]=$B90,IF(DATOS_[Check Equiparado]="Sí",IF(DATOS_[Check Periodo Ref.]="Dentro",DATOS_[Tot COMPL.SAL Eq],0))))), 0)</f>
        <v>0</v>
      </c>
      <c r="AO92" s="252" t="n">
        <f aca="false" t="array" ref="AO92:AO92">IFERROR( MEDIAN(IF(DATOS_[Sexo]=$B92,IF(DATOS_[[AGRUP. CLAS. PROF.]:[AGRUP. CLAS. PROF.]]=$B90,IF(DATOS_[Check Equiparado]="Sí",IF(DATOS_[Check Periodo Ref.]="Dentro",DATOS_[TOTAL SALARIO Eq],0))))), 0)</f>
        <v>0</v>
      </c>
      <c r="AP92" s="259" t="n">
        <f aca="false" t="array" ref="AP92:AP92">IFERROR( (MEDIAN((IF(DATOS_[[Sexo]:[Sexo]]=$B92,IF(DATOS_[[AGRUP. CLAS. PROF.]:[AGRUP. CLAS. PROF.]]=$B91,IF(DATOS_[[Check Periodo Ref.]:[Check Periodo Ref.]]="Dentro",IF(DATOS_[[Check Equiparado]:[Check Equiparado]]="Sí",IF(DATOS!BI$4="Sí",(1/DATOS_[[% anualiz]:[% anualiz]]),1)*IF(DATOS!BI$5="Sí",1/DATOS_[[% normaliz]:[% normaliz]],1)*(DATOS_[C.Extra.01])))))))), 0)</f>
        <v>0</v>
      </c>
      <c r="AQ92" s="259" t="n">
        <f aca="false" t="array" ref="AQ92:AQ92">IFERROR( (MEDIAN((IF(DATOS_[[Sexo]:[Sexo]]=$B92,IF(DATOS_[[AGRUP. CLAS. PROF.]:[AGRUP. CLAS. PROF.]]=$B91,IF(DATOS_[[Check Periodo Ref.]:[Check Periodo Ref.]]="Dentro",IF(DATOS_[[Check Equiparado]:[Check Equiparado]]="Sí",IF(DATOS!BJ$4="Sí",(1/DATOS_[[% anualiz]:[% anualiz]]),1)*IF(DATOS!BJ$5="Sí",1/DATOS_[[% normaliz]:[% normaliz]],1)*(DATOS_[C.Extra.02])))))))), 0)</f>
        <v>0</v>
      </c>
      <c r="AR92" s="259" t="n">
        <f aca="false" t="array" ref="AR92:AR92">IFERROR( (MEDIAN((IF(DATOS_[[Sexo]:[Sexo]]=$B92,IF(DATOS_[[AGRUP. CLAS. PROF.]:[AGRUP. CLAS. PROF.]]=$B91,IF(DATOS_[[Check Periodo Ref.]:[Check Periodo Ref.]]="Dentro",IF(DATOS_[[Check Equiparado]:[Check Equiparado]]="Sí",IF(DATOS!BK$4="Sí",(1/DATOS_[[% anualiz]:[% anualiz]]),1)*IF(DATOS!BK$5="Sí",1/DATOS_[[% normaliz]:[% normaliz]],1)*(DATOS_[C.Extra.03])))))))), 0)</f>
        <v>0</v>
      </c>
      <c r="AS92" s="259" t="n">
        <f aca="false" t="array" ref="AS92:AS92">IFERROR( (MEDIAN((IF(DATOS_[[Sexo]:[Sexo]]=$B92,IF(DATOS_[[AGRUP. CLAS. PROF.]:[AGRUP. CLAS. PROF.]]=$B91,IF(DATOS_[[Check Periodo Ref.]:[Check Periodo Ref.]]="Dentro",IF(DATOS_[[Check Equiparado]:[Check Equiparado]]="Sí",IF(DATOS!BL$4="Sí",(1/DATOS_[[% anualiz]:[% anualiz]]),1)*IF(DATOS!BL$5="Sí",1/DATOS_[[% normaliz]:[% normaliz]],1)*(DATOS_[C.Extra.04])))))))), 0)</f>
        <v>0</v>
      </c>
      <c r="AT92" s="259" t="n">
        <f aca="false" t="array" ref="AT92:AT92">IFERROR( (MEDIAN((IF(DATOS_[[Sexo]:[Sexo]]=$B92,IF(DATOS_[[AGRUP. CLAS. PROF.]:[AGRUP. CLAS. PROF.]]=$B91,IF(DATOS_[[Check Periodo Ref.]:[Check Periodo Ref.]]="Dentro",IF(DATOS_[[Check Equiparado]:[Check Equiparado]]="Sí",IF(DATOS!BM$4="Sí",(1/DATOS_[[% anualiz]:[% anualiz]]),1)*IF(DATOS!BM$5="Sí",1/DATOS_[[% normaliz]:[% normaliz]],1)*(DATOS_[C.Extra.05])))))))), 0)</f>
        <v>0</v>
      </c>
      <c r="AU92" s="254" t="n">
        <f aca="false" t="array" ref="AU92:AU92">IFERROR( MEDIAN(IF(DATOS_[Sexo]=$B92,IF(DATOS_[[AGRUP. CLAS. PROF.]:[AGRUP. CLAS. PROF.]]=$B90,IF(DATOS_[Check Equiparado]="Sí",IF(DATOS_[Check Periodo Ref.]="Dentro",DATOS_[Tot Extrasalarial Eq],0))))), 0)</f>
        <v>0</v>
      </c>
      <c r="AV92" s="255" t="n">
        <f aca="false" t="array" ref="AV92:AV92">IFERROR( MEDIAN(IF(DATOS_[Sexo]=$B92,IF(DATOS_[[AGRUP. CLAS. PROF.]:[AGRUP. CLAS. PROF.]]=$B90,IF(DATOS_[Check Equiparado]="Sí",IF(DATOS_[Check Periodo Ref.]="Dentro",DATOS_[TOTAL Retrib Eq],0))))), 0)</f>
        <v>0</v>
      </c>
    </row>
    <row r="93" customFormat="false" ht="15.75" hidden="false" customHeight="false" outlineLevel="0" collapsed="false">
      <c r="A93" s="217" t="str">
        <f aca="false">+A94</f>
        <v>[ocultar]</v>
      </c>
      <c r="B93" s="320" t="s">
        <v>246</v>
      </c>
      <c r="C93" s="236"/>
      <c r="D93" s="237"/>
      <c r="E93" s="237"/>
      <c r="F93" s="237"/>
      <c r="G93" s="237"/>
      <c r="H93" s="237"/>
      <c r="I93" s="238"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39" t="str">
        <f aca="false">IFERROR((V94-V95)/V94,"")</f>
        <v/>
      </c>
      <c r="W93" s="239" t="str">
        <f aca="false">IFERROR((W94-W95)/W94,"")</f>
        <v/>
      </c>
      <c r="X93" s="239" t="str">
        <f aca="false">IFERROR((X94-X95)/X94,"")</f>
        <v/>
      </c>
      <c r="Y93" s="239"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0" t="str">
        <f aca="false">IFERROR((AJ94-AJ95)/AJ94,"")</f>
        <v/>
      </c>
      <c r="AK93" s="240" t="str">
        <f aca="false">IFERROR((AK94-AK95)/AK94,"")</f>
        <v/>
      </c>
      <c r="AL93" s="240" t="str">
        <f aca="false">IFERROR((AL94-AL95)/AL94,"")</f>
        <v/>
      </c>
      <c r="AM93" s="240" t="str">
        <f aca="false">IFERROR((AM94-AM95)/AM94,"")</f>
        <v/>
      </c>
      <c r="AN93" s="241" t="str">
        <f aca="false">IFERROR((AN94-AN95)/AN94,"")</f>
        <v/>
      </c>
      <c r="AO93" s="242" t="str">
        <f aca="false">IFERROR((AO94-AO95)/AO94,"")</f>
        <v/>
      </c>
      <c r="AP93" s="243" t="str">
        <f aca="false">IFERROR((AP94-AP95)/AP94,"")</f>
        <v/>
      </c>
      <c r="AQ93" s="243" t="str">
        <f aca="false">IFERROR((AQ94-AQ95)/AQ94,"")</f>
        <v/>
      </c>
      <c r="AR93" s="243" t="str">
        <f aca="false">IFERROR((AR94-AR95)/AR94,"")</f>
        <v/>
      </c>
      <c r="AS93" s="243" t="str">
        <f aca="false">IFERROR((AS94-AS95)/AS94,"")</f>
        <v/>
      </c>
      <c r="AT93" s="243" t="str">
        <f aca="false">IFERROR((AT94-AT95)/AT94,"")</f>
        <v/>
      </c>
      <c r="AU93" s="244" t="str">
        <f aca="false">IFERROR((AU94-AU95)/AU94,"")</f>
        <v/>
      </c>
      <c r="AV93" s="245" t="str">
        <f aca="false">IFERROR((AV94-AV95)/AV94,"")</f>
        <v/>
      </c>
    </row>
    <row r="94" customFormat="false" ht="14.25" hidden="false" customHeight="false" outlineLevel="0" collapsed="false">
      <c r="A94" s="217" t="str">
        <f aca="false">+IF(C94+C95=0,"[ocultar]","")</f>
        <v>[ocultar]</v>
      </c>
      <c r="B94" s="323" t="s">
        <v>371</v>
      </c>
      <c r="C94" s="247" t="n">
        <f aca="false" t="array" ref="C94:C94">SUM(IF($B94=DATOS_[Sexo], IF($B93=DATOS_[AGRUP. CLAS. PROF.], IF("Dentro"=DATOS_[Check Periodo Ref.], 1/(COUNTIFS(DATOS_[Sexo],$B94,DATOS_[AGRUP. CLAS. PROF.],$B93,DATOS_[Check Periodo Ref.],"Dentro",DATOS_[id],DATOS_[id]))))))</f>
        <v>0</v>
      </c>
      <c r="D94" s="248" t="n">
        <f aca="false">COUNTIFS(DATOS_[AGRUP. CLAS. PROF.],$B93,DATOS_[Sexo],$B94,DATOS_[Check Periodo Ref.],"Dentro")</f>
        <v>0</v>
      </c>
      <c r="E94" s="248" t="n">
        <f aca="false">COUNTIFS(DATOS_[AGRUP. CLAS. PROF.],$B93,DATOS_[Sexo],$B94,DATOS_[Check Periodo Ref.],"Dentro",DATOS_[Check Nº SC Norm],"Sí")</f>
        <v>0</v>
      </c>
      <c r="F94" s="248" t="n">
        <f aca="false">COUNTIFS(DATOS_[AGRUP. CLAS. PROF.],$B93,DATOS_[Sexo],$B94,DATOS_[Check Periodo Ref.],"Dentro",DATOS_[Check Nº SC Anualiz],"Sí")</f>
        <v>0</v>
      </c>
      <c r="G94" s="248" t="n">
        <f aca="false">COUNTIFS(DATOS_[AGRUP. CLAS. PROF.],$B93,DATOS_[Sexo],$B94,DATOS_[Check Periodo Ref.],"Dentro",DATOS_[Check Nº SC Norm y Anualiz],"Sí")</f>
        <v>0</v>
      </c>
      <c r="H94" s="248" t="n">
        <f aca="false">COUNTIFS(DATOS_[AGRUP. CLAS. PROF.],$B93,DATOS_[Sexo],$B94,DATOS_[Check Periodo Ref.],"Dentro",DATOS_[Check Equiparación],"Sí")</f>
        <v>0</v>
      </c>
      <c r="I94" s="249" t="n">
        <f aca="false" t="array" ref="I94:I94">IFERROR( MEDIAN(IF(DATOS_[Sexo]=$B94,IF(DATOS_[[AGRUP. CLAS. PROF.]:[AGRUP. CLAS. PROF.]]=$B93,IF(DATOS_[Check Equiparado]="Sí",IF(DATOS_[Check Periodo Ref.]="Dentro",DATOS_[SALARIO BASE Eq],0))))), 0)</f>
        <v>0</v>
      </c>
      <c r="J94" s="250" t="n">
        <f aca="false" t="array" ref="J94:J94">IFERROR( (MEDIAN((IF(DATOS_[[Sexo]:[Sexo]]=$B94,IF(DATOS_[[AGRUP. CLAS. PROF.]:[AGRUP. CLAS. PROF.]]=$B93,IF(DATOS_[[Check Periodo Ref.]:[Check Periodo Ref.]]="Dentro",IF(DATOS_[[Check Equiparado]:[Check Equiparado]]="Sí",IF(DATOS!AE$4="Sí",(1/DATOS_[[% anualiz]:[% anualiz]]),1)*IF(DATOS!AE$5="Sí",1/DATOS_[[% normaliz]:[% normaliz]],1)*(DATOS_[Conc.Sal.01])))))))), 0)</f>
        <v>0</v>
      </c>
      <c r="K94" s="250" t="n">
        <f aca="false" t="array" ref="K94:K94">IFERROR( (MEDIAN((IF(DATOS_[[Sexo]:[Sexo]]=$B94,IF(DATOS_[[AGRUP. CLAS. PROF.]:[AGRUP. CLAS. PROF.]]=$B93,IF(DATOS_[[Check Periodo Ref.]:[Check Periodo Ref.]]="Dentro",IF(DATOS_[[Check Equiparado]:[Check Equiparado]]="Sí",IF(DATOS!AF$4="Sí",(1/DATOS_[[% anualiz]:[% anualiz]]),1)*IF(DATOS!AF$5="Sí",1/DATOS_[[% normaliz]:[% normaliz]],1)*(DATOS_[Conc.Sal.02])))))))), 0)</f>
        <v>0</v>
      </c>
      <c r="L94" s="250" t="n">
        <f aca="false" t="array" ref="L94:L94">IFERROR( (MEDIAN((IF(DATOS_[[Sexo]:[Sexo]]=$B94,IF(DATOS_[[AGRUP. CLAS. PROF.]:[AGRUP. CLAS. PROF.]]=$B93,IF(DATOS_[[Check Periodo Ref.]:[Check Periodo Ref.]]="Dentro",IF(DATOS_[[Check Equiparado]:[Check Equiparado]]="Sí",IF(DATOS!AG$4="Sí",(1/DATOS_[[% anualiz]:[% anualiz]]),1)*IF(DATOS!AG$5="Sí",1/DATOS_[[% normaliz]:[% normaliz]],1)*(DATOS_[Conc.Sal.03])))))))), 0)</f>
        <v>0</v>
      </c>
      <c r="M94" s="250" t="n">
        <f aca="false" t="array" ref="M94:M94">IFERROR( (MEDIAN((IF(DATOS_[[Sexo]:[Sexo]]=$B94,IF(DATOS_[[AGRUP. CLAS. PROF.]:[AGRUP. CLAS. PROF.]]=$B93,IF(DATOS_[[Check Periodo Ref.]:[Check Periodo Ref.]]="Dentro",IF(DATOS_[[Check Equiparado]:[Check Equiparado]]="Sí",IF(DATOS!AH$4="Sí",(1/DATOS_[[% anualiz]:[% anualiz]]),1)*IF(DATOS!AH$5="Sí",1/DATOS_[[% normaliz]:[% normaliz]],1)*(DATOS_[Conc.Sal.04])))))))), 0)</f>
        <v>0</v>
      </c>
      <c r="N94" s="250" t="n">
        <f aca="false" t="array" ref="N94:N94">IFERROR( (MEDIAN((IF(DATOS_[[Sexo]:[Sexo]]=$B94,IF(DATOS_[[AGRUP. CLAS. PROF.]:[AGRUP. CLAS. PROF.]]=$B93,IF(DATOS_[[Check Periodo Ref.]:[Check Periodo Ref.]]="Dentro",IF(DATOS_[[Check Equiparado]:[Check Equiparado]]="Sí",IF(DATOS!AI$4="Sí",(1/DATOS_[[% anualiz]:[% anualiz]]),1)*IF(DATOS!AI$5="Sí",1/DATOS_[[% normaliz]:[% normaliz]],1)*(DATOS_[Conc.Sal.05])))))))), 0)</f>
        <v>0</v>
      </c>
      <c r="O94" s="250" t="n">
        <f aca="false" t="array" ref="O94:O94">IFERROR( (MEDIAN((IF(DATOS_[[Sexo]:[Sexo]]=$B94,IF(DATOS_[[AGRUP. CLAS. PROF.]:[AGRUP. CLAS. PROF.]]=$B93,IF(DATOS_[[Check Periodo Ref.]:[Check Periodo Ref.]]="Dentro",IF(DATOS_[[Check Equiparado]:[Check Equiparado]]="Sí",IF(DATOS!AJ$4="Sí",(1/DATOS_[[% anualiz]:[% anualiz]]),1)*IF(DATOS!AJ$5="Sí",1/DATOS_[[% normaliz]:[% normaliz]],1)*(DATOS_[Conc.Sal.06])))))))), 0)</f>
        <v>0</v>
      </c>
      <c r="P94" s="250" t="n">
        <f aca="false" t="array" ref="P94:P94">IFERROR( (MEDIAN((IF(DATOS_[[Sexo]:[Sexo]]=$B94,IF(DATOS_[[AGRUP. CLAS. PROF.]:[AGRUP. CLAS. PROF.]]=$B93,IF(DATOS_[[Check Periodo Ref.]:[Check Periodo Ref.]]="Dentro",IF(DATOS_[[Check Equiparado]:[Check Equiparado]]="Sí",IF(DATOS!AK$4="Sí",(1/DATOS_[[% anualiz]:[% anualiz]]),1)*IF(DATOS!AK$5="Sí",1/DATOS_[[% normaliz]:[% normaliz]],1)*(DATOS_[Conc.Sal.07])))))))), 0)</f>
        <v>0</v>
      </c>
      <c r="Q94" s="250" t="n">
        <f aca="false" t="array" ref="Q94:Q94">IFERROR( (MEDIAN((IF(DATOS_[[Sexo]:[Sexo]]=$B94,IF(DATOS_[[AGRUP. CLAS. PROF.]:[AGRUP. CLAS. PROF.]]=$B93,IF(DATOS_[[Check Periodo Ref.]:[Check Periodo Ref.]]="Dentro",IF(DATOS_[[Check Equiparado]:[Check Equiparado]]="Sí",IF(DATOS!AL$4="Sí",(1/DATOS_[[% anualiz]:[% anualiz]]),1)*IF(DATOS!AL$5="Sí",1/DATOS_[[% normaliz]:[% normaliz]],1)*(DATOS_[Conc.Sal.08])))))))), 0)</f>
        <v>0</v>
      </c>
      <c r="R94" s="250" t="n">
        <f aca="false" t="array" ref="R94:R94">IFERROR( (MEDIAN((IF(DATOS_[[Sexo]:[Sexo]]=$B94,IF(DATOS_[[AGRUP. CLAS. PROF.]:[AGRUP. CLAS. PROF.]]=$B93,IF(DATOS_[[Check Periodo Ref.]:[Check Periodo Ref.]]="Dentro",IF(DATOS_[[Check Equiparado]:[Check Equiparado]]="Sí",IF(DATOS!AM$4="Sí",(1/DATOS_[[% anualiz]:[% anualiz]]),1)*IF(DATOS!AM$5="Sí",1/DATOS_[[% normaliz]:[% normaliz]],1)*(DATOS_[Conc.Sal.09])))))))), 0)</f>
        <v>0</v>
      </c>
      <c r="S94" s="250" t="n">
        <f aca="false" t="array" ref="S94:S94">IFERROR( (MEDIAN((IF(DATOS_[[Sexo]:[Sexo]]=$B94,IF(DATOS_[[AGRUP. CLAS. PROF.]:[AGRUP. CLAS. PROF.]]=$B93,IF(DATOS_[[Check Periodo Ref.]:[Check Periodo Ref.]]="Dentro",IF(DATOS_[[Check Equiparado]:[Check Equiparado]]="Sí",IF(DATOS!AN$4="Sí",(1/DATOS_[[% anualiz]:[% anualiz]]),1)*IF(DATOS!AN$5="Sí",1/DATOS_[[% normaliz]:[% normaliz]],1)*(DATOS_[Conc.Sal.10])))))))), 0)</f>
        <v>0</v>
      </c>
      <c r="T94" s="250" t="n">
        <f aca="false" t="array" ref="T94:T94">IFERROR( (MEDIAN((IF(DATOS_[[Sexo]:[Sexo]]=$B94,IF(DATOS_[[AGRUP. CLAS. PROF.]:[AGRUP. CLAS. PROF.]]=$B93,IF(DATOS_[[Check Periodo Ref.]:[Check Periodo Ref.]]="Dentro",IF(DATOS_[[Check Equiparado]:[Check Equiparado]]="Sí",IF(DATOS!AO$4="Sí",(1/DATOS_[[% anualiz]:[% anualiz]]),1)*IF(DATOS!AO$5="Sí",1/DATOS_[[% normaliz]:[% normaliz]],1)*(DATOS_[Conc.Sal.11])))))))), 0)</f>
        <v>0</v>
      </c>
      <c r="U94" s="250" t="n">
        <f aca="false" t="array" ref="U94:U94">IFERROR( (MEDIAN((IF(DATOS_[[Sexo]:[Sexo]]=$B94,IF(DATOS_[[AGRUP. CLAS. PROF.]:[AGRUP. CLAS. PROF.]]=$B93,IF(DATOS_[[Check Periodo Ref.]:[Check Periodo Ref.]]="Dentro",IF(DATOS_[[Check Equiparado]:[Check Equiparado]]="Sí",IF(DATOS!AP$4="Sí",(1/DATOS_[[% anualiz]:[% anualiz]]),1)*IF(DATOS!AP$5="Sí",1/DATOS_[[% normaliz]:[% normaliz]],1)*(DATOS_[Conc.Sal.12])))))))), 0)</f>
        <v>0</v>
      </c>
      <c r="V94" s="250" t="n">
        <f aca="false" t="array" ref="V94:V94">IFERROR( (MEDIAN((IF(DATOS_[[Sexo]:[Sexo]]=$B94,IF(DATOS_[[AGRUP. CLAS. PROF.]:[AGRUP. CLAS. PROF.]]=$B93,IF(DATOS_[[Check Periodo Ref.]:[Check Periodo Ref.]]="Dentro",IF(DATOS_[[Check Equiparado]:[Check Equiparado]]="Sí",IF(DATOS!AQ$4="Sí",(1/DATOS_[[% anualiz]:[% anualiz]]),1)*IF(DATOS!AQ$5="Sí",1/DATOS_[[% normaliz]:[% normaliz]],1)*(DATOS_[Conc.Sal.13])))))))), 0)</f>
        <v>0</v>
      </c>
      <c r="W94" s="250" t="n">
        <f aca="false" t="array" ref="W94:W94">IFERROR( (MEDIAN((IF(DATOS_[[Sexo]:[Sexo]]=$B94,IF(DATOS_[[AGRUP. CLAS. PROF.]:[AGRUP. CLAS. PROF.]]=$B93,IF(DATOS_[[Check Periodo Ref.]:[Check Periodo Ref.]]="Dentro",IF(DATOS_[[Check Equiparado]:[Check Equiparado]]="Sí",IF(DATOS!AR$4="Sí",(1/DATOS_[[% anualiz]:[% anualiz]]),1)*IF(DATOS!AR$5="Sí",1/DATOS_[[% normaliz]:[% normaliz]],1)*(DATOS_[Conc.Sal.14])))))))), 0)</f>
        <v>0</v>
      </c>
      <c r="X94" s="250" t="n">
        <f aca="false" t="array" ref="X94:X94">IFERROR( (MEDIAN((IF(DATOS_[[Sexo]:[Sexo]]=$B94,IF(DATOS_[[AGRUP. CLAS. PROF.]:[AGRUP. CLAS. PROF.]]=$B93,IF(DATOS_[[Check Periodo Ref.]:[Check Periodo Ref.]]="Dentro",IF(DATOS_[[Check Equiparado]:[Check Equiparado]]="Sí",IF(DATOS!AS$4="Sí",(1/DATOS_[[% anualiz]:[% anualiz]]),1)*IF(DATOS!AS$5="Sí",1/DATOS_[[% normaliz]:[% normaliz]],1)*(DATOS_[Conc.Sal.15])))))))), 0)</f>
        <v>0</v>
      </c>
      <c r="Y94" s="250" t="n">
        <f aca="false" t="array" ref="Y94:Y94">IFERROR( (MEDIAN((IF(DATOS_[[Sexo]:[Sexo]]=$B94,IF(DATOS_[[AGRUP. CLAS. PROF.]:[AGRUP. CLAS. PROF.]]=$B93,IF(DATOS_[[Check Periodo Ref.]:[Check Periodo Ref.]]="Dentro",IF(DATOS_[[Check Equiparado]:[Check Equiparado]]="Sí",IF(DATOS!AT$4="Sí",(1/DATOS_[[% anualiz]:[% anualiz]]),1)*IF(DATOS!AT$5="Sí",1/DATOS_[[% normaliz]:[% normaliz]],1)*(DATOS_[Conc.Sal.16])))))))), 0)</f>
        <v>0</v>
      </c>
      <c r="Z94" s="250" t="n">
        <f aca="false" t="array" ref="Z94:Z94">IFERROR( (MEDIAN((IF(DATOS_[[Sexo]:[Sexo]]=$B94,IF(DATOS_[[AGRUP. CLAS. PROF.]:[AGRUP. CLAS. PROF.]]=$B93,IF(DATOS_[[Check Periodo Ref.]:[Check Periodo Ref.]]="Dentro",IF(DATOS_[[Check Equiparado]:[Check Equiparado]]="Sí",IF(DATOS!AU$4="Sí",(1/DATOS_[[% anualiz]:[% anualiz]]),1)*IF(DATOS!AU$5="Sí",1/DATOS_[[% normaliz]:[% normaliz]],1)*(DATOS_[Conc.Sal.17])))))))), 0)</f>
        <v>0</v>
      </c>
      <c r="AA94" s="250" t="n">
        <f aca="false" t="array" ref="AA94:AA94">IFERROR( (MEDIAN((IF(DATOS_[[Sexo]:[Sexo]]=$B94,IF(DATOS_[[AGRUP. CLAS. PROF.]:[AGRUP. CLAS. PROF.]]=$B93,IF(DATOS_[[Check Periodo Ref.]:[Check Periodo Ref.]]="Dentro",IF(DATOS_[[Check Equiparado]:[Check Equiparado]]="Sí",IF(DATOS!AV$4="Sí",(1/DATOS_[[% anualiz]:[% anualiz]]),1)*IF(DATOS!AV$5="Sí",1/DATOS_[[% normaliz]:[% normaliz]],1)*(DATOS_[Conc.Sal.18])))))))), 0)</f>
        <v>0</v>
      </c>
      <c r="AB94" s="250" t="n">
        <f aca="false" t="array" ref="AB94:AB94">IFERROR( (MEDIAN((IF(DATOS_[[Sexo]:[Sexo]]=$B94,IF(DATOS_[[AGRUP. CLAS. PROF.]:[AGRUP. CLAS. PROF.]]=$B93,IF(DATOS_[[Check Periodo Ref.]:[Check Periodo Ref.]]="Dentro",IF(DATOS_[[Check Equiparado]:[Check Equiparado]]="Sí",IF(DATOS!AW$4="Sí",(1/DATOS_[[% anualiz]:[% anualiz]]),1)*IF(DATOS!AW$5="Sí",1/DATOS_[[% normaliz]:[% normaliz]],1)*(DATOS_[Conc.Sal.19])))))))), 0)</f>
        <v>0</v>
      </c>
      <c r="AC94" s="250" t="n">
        <f aca="false" t="array" ref="AC94:AC94">IFERROR( (MEDIAN((IF(DATOS_[[Sexo]:[Sexo]]=$B94,IF(DATOS_[[AGRUP. CLAS. PROF.]:[AGRUP. CLAS. PROF.]]=$B93,IF(DATOS_[[Check Periodo Ref.]:[Check Periodo Ref.]]="Dentro",IF(DATOS_[[Check Equiparado]:[Check Equiparado]]="Sí",IF(DATOS!AX$4="Sí",(1/DATOS_[[% anualiz]:[% anualiz]]),1)*IF(DATOS!AX$5="Sí",1/DATOS_[[% normaliz]:[% normaliz]],1)*(DATOS_[Conc.Sal.20])))))))), 0)</f>
        <v>0</v>
      </c>
      <c r="AD94" s="250" t="n">
        <f aca="false" t="array" ref="AD94:AD94">IFERROR( (MEDIAN((IF(DATOS_[[Sexo]:[Sexo]]=$B94,IF(DATOS_[[AGRUP. CLAS. PROF.]:[AGRUP. CLAS. PROF.]]=$B93,IF(DATOS_[[Check Periodo Ref.]:[Check Periodo Ref.]]="Dentro",IF(DATOS_[[Check Equiparado]:[Check Equiparado]]="Sí",IF(DATOS!AY$4="Sí",(1/DATOS_[[% anualiz]:[% anualiz]]),1)*IF(DATOS!AY$5="Sí",1/DATOS_[[% normaliz]:[% normaliz]],1)*(DATOS_[Conc.Sal.21])))))))), 0)</f>
        <v>0</v>
      </c>
      <c r="AE94" s="250" t="n">
        <f aca="false" t="array" ref="AE94:AE94">IFERROR( (MEDIAN((IF(DATOS_[[Sexo]:[Sexo]]=$B94,IF(DATOS_[[AGRUP. CLAS. PROF.]:[AGRUP. CLAS. PROF.]]=$B93,IF(DATOS_[[Check Periodo Ref.]:[Check Periodo Ref.]]="Dentro",IF(DATOS_[[Check Equiparado]:[Check Equiparado]]="Sí",IF(DATOS!AZ$4="Sí",(1/DATOS_[[% anualiz]:[% anualiz]]),1)*IF(DATOS!AZ$5="Sí",1/DATOS_[[% normaliz]:[% normaliz]],1)*(DATOS_[Conc.Sal.22])))))))), 0)</f>
        <v>0</v>
      </c>
      <c r="AF94" s="250" t="n">
        <f aca="false" t="array" ref="AF94:AF94">IFERROR( (MEDIAN((IF(DATOS_[[Sexo]:[Sexo]]=$B94,IF(DATOS_[[AGRUP. CLAS. PROF.]:[AGRUP. CLAS. PROF.]]=$B93,IF(DATOS_[[Check Periodo Ref.]:[Check Periodo Ref.]]="Dentro",IF(DATOS_[[Check Equiparado]:[Check Equiparado]]="Sí",IF(DATOS!BA$4="Sí",(1/DATOS_[[% anualiz]:[% anualiz]]),1)*IF(DATOS!BA$5="Sí",1/DATOS_[[% normaliz]:[% normaliz]],1)*(DATOS_[Conc.Sal.23])))))))), 0)</f>
        <v>0</v>
      </c>
      <c r="AG94" s="250" t="n">
        <f aca="false" t="array" ref="AG94:AG94">IFERROR( (MEDIAN((IF(DATOS_[[Sexo]:[Sexo]]=$B94,IF(DATOS_[[AGRUP. CLAS. PROF.]:[AGRUP. CLAS. PROF.]]=$B93,IF(DATOS_[[Check Periodo Ref.]:[Check Periodo Ref.]]="Dentro",IF(DATOS_[[Check Equiparado]:[Check Equiparado]]="Sí",IF(DATOS!BB$4="Sí",(1/DATOS_[[% anualiz]:[% anualiz]]),1)*IF(DATOS!BB$5="Sí",1/DATOS_[[% normaliz]:[% normaliz]],1)*(DATOS_[Conc.Sal.24])))))))), 0)</f>
        <v>0</v>
      </c>
      <c r="AH94" s="250" t="n">
        <f aca="false" t="array" ref="AH94:AH94">IFERROR( (MEDIAN((IF(DATOS_[[Sexo]:[Sexo]]=$B94,IF(DATOS_[[AGRUP. CLAS. PROF.]:[AGRUP. CLAS. PROF.]]=$B93,IF(DATOS_[[Check Periodo Ref.]:[Check Periodo Ref.]]="Dentro",IF(DATOS_[[Check Equiparado]:[Check Equiparado]]="Sí",IF(DATOS!BC$4="Sí",(1/DATOS_[[% anualiz]:[% anualiz]]),1)*IF(DATOS!BC$5="Sí",1/DATOS_[[% normaliz]:[% normaliz]],1)*(DATOS_[Conc.Sal.25])))))))), 0)</f>
        <v>0</v>
      </c>
      <c r="AI94" s="250" t="n">
        <f aca="false" t="array" ref="AI94:AI94">IFERROR( (MEDIAN((IF(DATOS_[[Sexo]:[Sexo]]=$B94,IF(DATOS_[[AGRUP. CLAS. PROF.]:[AGRUP. CLAS. PROF.]]=$B93,IF(DATOS_[[Check Periodo Ref.]:[Check Periodo Ref.]]="Dentro",IF(DATOS_[[Check Equiparado]:[Check Equiparado]]="Sí",IF(DATOS!BD$4="Sí",(1/DATOS_[[% anualiz]:[% anualiz]]),1)*IF(DATOS!BD$5="Sí",1/DATOS_[[% normaliz]:[% normaliz]],1)*(DATOS_[Conc.Sal.26])))))))), 0)</f>
        <v>0</v>
      </c>
      <c r="AJ94" s="250" t="n">
        <f aca="false" t="array" ref="AJ94:AJ94">IFERROR( (MEDIAN((IF(DATOS_[[Sexo]:[Sexo]]=$B94,IF(DATOS_[[AGRUP. CLAS. PROF.]:[AGRUP. CLAS. PROF.]]=$B93,IF(DATOS_[[Check Periodo Ref.]:[Check Periodo Ref.]]="Dentro",IF(DATOS_[[Check Equiparado]:[Check Equiparado]]="Sí",IF(DATOS!BE$4="Sí",(1/DATOS_[[% anualiz]:[% anualiz]]),1)*IF(DATOS!BE$5="Sí",1/DATOS_[[% normaliz]:[% normaliz]],1)*(DATOS_[Conc.Sal.27])))))))), 0)</f>
        <v>0</v>
      </c>
      <c r="AK94" s="250" t="n">
        <f aca="false" t="array" ref="AK94:AK94">IFERROR( (MEDIAN((IF(DATOS_[[Sexo]:[Sexo]]=$B94,IF(DATOS_[[AGRUP. CLAS. PROF.]:[AGRUP. CLAS. PROF.]]=$B93,IF(DATOS_[[Check Periodo Ref.]:[Check Periodo Ref.]]="Dentro",IF(DATOS_[[Check Equiparado]:[Check Equiparado]]="Sí",IF(DATOS!BF$4="Sí",(1/DATOS_[[% anualiz]:[% anualiz]]),1)*IF(DATOS!BF$5="Sí",1/DATOS_[[% normaliz]:[% normaliz]],1)*(DATOS_[Conc.Sal.28])))))))), 0)</f>
        <v>0</v>
      </c>
      <c r="AL94" s="250" t="n">
        <f aca="false" t="array" ref="AL94:AL94">IFERROR( (MEDIAN((IF(DATOS_[[Sexo]:[Sexo]]=$B94,IF(DATOS_[[AGRUP. CLAS. PROF.]:[AGRUP. CLAS. PROF.]]=$B93,IF(DATOS_[[Check Periodo Ref.]:[Check Periodo Ref.]]="Dentro",IF(DATOS_[[Check Equiparado]:[Check Equiparado]]="Sí",IF(DATOS!BG$4="Sí",(1/DATOS_[[% anualiz]:[% anualiz]]),1)*IF(DATOS!BG$5="Sí",1/DATOS_[[% normaliz]:[% normaliz]],1)*(DATOS_[Conc.Sal.29])))))))), 0)</f>
        <v>0</v>
      </c>
      <c r="AM94" s="250" t="n">
        <f aca="false" t="array" ref="AM94:AM94">IFERROR( (MEDIAN((IF(DATOS_[[Sexo]:[Sexo]]=$B94,IF(DATOS_[[AGRUP. CLAS. PROF.]:[AGRUP. CLAS. PROF.]]=$B93,IF(DATOS_[[Check Periodo Ref.]:[Check Periodo Ref.]]="Dentro",IF(DATOS_[[Check Equiparado]:[Check Equiparado]]="Sí",IF(DATOS!BH$4="Sí",(1/DATOS_[[% anualiz]:[% anualiz]]),1)*IF(DATOS!BH$5="Sí",1/DATOS_[[% normaliz]:[% normaliz]],1)*(DATOS_[Conc.Sal.30])))))))), 0)</f>
        <v>0</v>
      </c>
      <c r="AN94" s="251" t="n">
        <f aca="false" t="array" ref="AN94:AN94">IFERROR( MEDIAN(IF(DATOS_[Sexo]=$B94,IF(DATOS_[[AGRUP. CLAS. PROF.]:[AGRUP. CLAS. PROF.]]=$B93,IF(DATOS_[Check Equiparado]="Sí",IF(DATOS_[Check Periodo Ref.]="Dentro",DATOS_[Tot COMPL.SAL Eq],0))))), 0)</f>
        <v>0</v>
      </c>
      <c r="AO94" s="252" t="n">
        <f aca="false" t="array" ref="AO94:AO94">IFERROR( MEDIAN(IF(DATOS_[Sexo]=$B94,IF(DATOS_[[AGRUP. CLAS. PROF.]:[AGRUP. CLAS. PROF.]]=$B93,IF(DATOS_[Check Equiparado]="Sí",IF(DATOS_[Check Periodo Ref.]="Dentro",DATOS_[TOTAL SALARIO Eq],0))))), 0)</f>
        <v>0</v>
      </c>
      <c r="AP94" s="259" t="n">
        <f aca="false" t="array" ref="AP94:AP94">IFERROR( (MEDIAN((IF(DATOS_[[Sexo]:[Sexo]]=$B94,IF(DATOS_[[AGRUP. CLAS. PROF.]:[AGRUP. CLAS. PROF.]]=$B93,IF(DATOS_[[Check Periodo Ref.]:[Check Periodo Ref.]]="Dentro",IF(DATOS_[[Check Equiparado]:[Check Equiparado]]="Sí",IF(DATOS!BI$4="Sí",(1/DATOS_[[% anualiz]:[% anualiz]]),1)*IF(DATOS!BI$5="Sí",1/DATOS_[[% normaliz]:[% normaliz]],1)*(DATOS_[C.Extra.01])))))))), 0)</f>
        <v>0</v>
      </c>
      <c r="AQ94" s="259" t="n">
        <f aca="false" t="array" ref="AQ94:AQ94">IFERROR( (MEDIAN((IF(DATOS_[[Sexo]:[Sexo]]=$B94,IF(DATOS_[[AGRUP. CLAS. PROF.]:[AGRUP. CLAS. PROF.]]=$B93,IF(DATOS_[[Check Periodo Ref.]:[Check Periodo Ref.]]="Dentro",IF(DATOS_[[Check Equiparado]:[Check Equiparado]]="Sí",IF(DATOS!BJ$4="Sí",(1/DATOS_[[% anualiz]:[% anualiz]]),1)*IF(DATOS!BJ$5="Sí",1/DATOS_[[% normaliz]:[% normaliz]],1)*(DATOS_[C.Extra.02])))))))), 0)</f>
        <v>0</v>
      </c>
      <c r="AR94" s="259" t="n">
        <f aca="false" t="array" ref="AR94:AR94">IFERROR( (MEDIAN((IF(DATOS_[[Sexo]:[Sexo]]=$B94,IF(DATOS_[[AGRUP. CLAS. PROF.]:[AGRUP. CLAS. PROF.]]=$B93,IF(DATOS_[[Check Periodo Ref.]:[Check Periodo Ref.]]="Dentro",IF(DATOS_[[Check Equiparado]:[Check Equiparado]]="Sí",IF(DATOS!BK$4="Sí",(1/DATOS_[[% anualiz]:[% anualiz]]),1)*IF(DATOS!BK$5="Sí",1/DATOS_[[% normaliz]:[% normaliz]],1)*(DATOS_[C.Extra.03])))))))), 0)</f>
        <v>0</v>
      </c>
      <c r="AS94" s="259" t="n">
        <f aca="false" t="array" ref="AS94:AS94">IFERROR( (MEDIAN((IF(DATOS_[[Sexo]:[Sexo]]=$B94,IF(DATOS_[[AGRUP. CLAS. PROF.]:[AGRUP. CLAS. PROF.]]=$B93,IF(DATOS_[[Check Periodo Ref.]:[Check Periodo Ref.]]="Dentro",IF(DATOS_[[Check Equiparado]:[Check Equiparado]]="Sí",IF(DATOS!BL$4="Sí",(1/DATOS_[[% anualiz]:[% anualiz]]),1)*IF(DATOS!BL$5="Sí",1/DATOS_[[% normaliz]:[% normaliz]],1)*(DATOS_[C.Extra.04])))))))), 0)</f>
        <v>0</v>
      </c>
      <c r="AT94" s="259" t="n">
        <f aca="false" t="array" ref="AT94:AT94">IFERROR( (MEDIAN((IF(DATOS_[[Sexo]:[Sexo]]=$B94,IF(DATOS_[[AGRUP. CLAS. PROF.]:[AGRUP. CLAS. PROF.]]=$B93,IF(DATOS_[[Check Periodo Ref.]:[Check Periodo Ref.]]="Dentro",IF(DATOS_[[Check Equiparado]:[Check Equiparado]]="Sí",IF(DATOS!BM$4="Sí",(1/DATOS_[[% anualiz]:[% anualiz]]),1)*IF(DATOS!BM$5="Sí",1/DATOS_[[% normaliz]:[% normaliz]],1)*(DATOS_[C.Extra.05])))))))), 0)</f>
        <v>0</v>
      </c>
      <c r="AU94" s="254" t="n">
        <f aca="false" t="array" ref="AU94:AU94">IFERROR( MEDIAN(IF(DATOS_[Sexo]=$B94,IF(DATOS_[[AGRUP. CLAS. PROF.]:[AGRUP. CLAS. PROF.]]=$B93,IF(DATOS_[Check Equiparado]="Sí",IF(DATOS_[Check Periodo Ref.]="Dentro",DATOS_[Tot Extrasalarial Eq],0))))), 0)</f>
        <v>0</v>
      </c>
      <c r="AV94" s="255" t="n">
        <f aca="false" t="array" ref="AV94:AV94">IFERROR( MEDIAN(IF(DATOS_[Sexo]=$B94,IF(DATOS_[[AGRUP. CLAS. PROF.]:[AGRUP. CLAS. PROF.]]=$B93,IF(DATOS_[Check Equiparado]="Sí",IF(DATOS_[Check Periodo Ref.]="Dentro",DATOS_[TOTAL Retrib Eq],0))))), 0)</f>
        <v>0</v>
      </c>
    </row>
    <row r="95" customFormat="false" ht="14.25" hidden="false" customHeight="false" outlineLevel="0" collapsed="false">
      <c r="A95" s="217" t="str">
        <f aca="false">+A94</f>
        <v>[ocultar]</v>
      </c>
      <c r="B95" s="323" t="s">
        <v>372</v>
      </c>
      <c r="C95" s="247" t="n">
        <f aca="false" t="array" ref="C95:C95">SUM(IF($B95=DATOS_[Sexo], IF($B93=DATOS_[AGRUP. CLAS. PROF.], IF("Dentro"=DATOS_[Check Periodo Ref.], 1/(COUNTIFS(DATOS_[Sexo],$B95,DATOS_[AGRUP. CLAS. PROF.],$B93,DATOS_[Check Periodo Ref.],"Dentro",DATOS_[id],DATOS_[id]))))))</f>
        <v>0</v>
      </c>
      <c r="D95" s="248" t="n">
        <f aca="false">COUNTIFS(DATOS_[AGRUP. CLAS. PROF.],$B93,DATOS_[Sexo],$B95,DATOS_[Check Periodo Ref.],"Dentro")</f>
        <v>0</v>
      </c>
      <c r="E95" s="248" t="n">
        <f aca="false">COUNTIFS(DATOS_[AGRUP. CLAS. PROF.],$B93,DATOS_[Sexo],$B95,DATOS_[Check Periodo Ref.],"Dentro",DATOS_[Check Nº SC Norm],"Sí")</f>
        <v>0</v>
      </c>
      <c r="F95" s="248" t="n">
        <f aca="false">COUNTIFS(DATOS_[AGRUP. CLAS. PROF.],$B93,DATOS_[Sexo],$B95,DATOS_[Check Periodo Ref.],"Dentro",DATOS_[Check Nº SC Anualiz],"Sí")</f>
        <v>0</v>
      </c>
      <c r="G95" s="248" t="n">
        <f aca="false">COUNTIFS(DATOS_[AGRUP. CLAS. PROF.],$B93,DATOS_[Sexo],$B95,DATOS_[Check Periodo Ref.],"Dentro",DATOS_[Check Nº SC Norm y Anualiz],"Sí")</f>
        <v>0</v>
      </c>
      <c r="H95" s="248" t="n">
        <f aca="false">COUNTIFS(DATOS_[AGRUP. CLAS. PROF.],$B93,DATOS_[Sexo],$B95,DATOS_[Check Periodo Ref.],"Dentro",DATOS_[Check Equiparación],"Sí")</f>
        <v>0</v>
      </c>
      <c r="I95" s="249" t="n">
        <f aca="false" t="array" ref="I95:I95">IFERROR( MEDIAN(IF(DATOS_[Sexo]=$B95,IF(DATOS_[[AGRUP. CLAS. PROF.]:[AGRUP. CLAS. PROF.]]=$B93,IF(DATOS_[Check Equiparado]="Sí",IF(DATOS_[Check Periodo Ref.]="Dentro",DATOS_[SALARIO BASE Eq],0))))), 0)</f>
        <v>0</v>
      </c>
      <c r="J95" s="250" t="n">
        <f aca="false" t="array" ref="J95:J95">IFERROR( (MEDIAN((IF(DATOS_[[Sexo]:[Sexo]]=$B95,IF(DATOS_[[AGRUP. CLAS. PROF.]:[AGRUP. CLAS. PROF.]]=$B93,IF(DATOS_[[Check Periodo Ref.]:[Check Periodo Ref.]]="Dentro",IF(DATOS_[[Check Equiparado]:[Check Equiparado]]="Sí",IF(DATOS!AE$4="Sí",(1/DATOS_[[% anualiz]:[% anualiz]]),1)*IF(DATOS!AE$5="Sí",1/DATOS_[[% normaliz]:[% normaliz]],1)*(DATOS_[Conc.Sal.01])))))))), 0)</f>
        <v>0</v>
      </c>
      <c r="K95" s="250" t="n">
        <f aca="false" t="array" ref="K95:K95">IFERROR( (MEDIAN((IF(DATOS_[[Sexo]:[Sexo]]=$B95,IF(DATOS_[[AGRUP. CLAS. PROF.]:[AGRUP. CLAS. PROF.]]=$B93,IF(DATOS_[[Check Periodo Ref.]:[Check Periodo Ref.]]="Dentro",IF(DATOS_[[Check Equiparado]:[Check Equiparado]]="Sí",IF(DATOS!AF$4="Sí",(1/DATOS_[[% anualiz]:[% anualiz]]),1)*IF(DATOS!AF$5="Sí",1/DATOS_[[% normaliz]:[% normaliz]],1)*(DATOS_[Conc.Sal.02])))))))), 0)</f>
        <v>0</v>
      </c>
      <c r="L95" s="250" t="n">
        <f aca="false" t="array" ref="L95:L95">IFERROR( (MEDIAN((IF(DATOS_[[Sexo]:[Sexo]]=$B95,IF(DATOS_[[AGRUP. CLAS. PROF.]:[AGRUP. CLAS. PROF.]]=$B93,IF(DATOS_[[Check Periodo Ref.]:[Check Periodo Ref.]]="Dentro",IF(DATOS_[[Check Equiparado]:[Check Equiparado]]="Sí",IF(DATOS!AG$4="Sí",(1/DATOS_[[% anualiz]:[% anualiz]]),1)*IF(DATOS!AG$5="Sí",1/DATOS_[[% normaliz]:[% normaliz]],1)*(DATOS_[Conc.Sal.03])))))))), 0)</f>
        <v>0</v>
      </c>
      <c r="M95" s="250" t="n">
        <f aca="false" t="array" ref="M95:M95">IFERROR( (MEDIAN((IF(DATOS_[[Sexo]:[Sexo]]=$B95,IF(DATOS_[[AGRUP. CLAS. PROF.]:[AGRUP. CLAS. PROF.]]=$B93,IF(DATOS_[[Check Periodo Ref.]:[Check Periodo Ref.]]="Dentro",IF(DATOS_[[Check Equiparado]:[Check Equiparado]]="Sí",IF(DATOS!AH$4="Sí",(1/DATOS_[[% anualiz]:[% anualiz]]),1)*IF(DATOS!AH$5="Sí",1/DATOS_[[% normaliz]:[% normaliz]],1)*(DATOS_[Conc.Sal.04])))))))), 0)</f>
        <v>0</v>
      </c>
      <c r="N95" s="250" t="n">
        <f aca="false" t="array" ref="N95:N95">IFERROR( (MEDIAN((IF(DATOS_[[Sexo]:[Sexo]]=$B95,IF(DATOS_[[AGRUP. CLAS. PROF.]:[AGRUP. CLAS. PROF.]]=$B93,IF(DATOS_[[Check Periodo Ref.]:[Check Periodo Ref.]]="Dentro",IF(DATOS_[[Check Equiparado]:[Check Equiparado]]="Sí",IF(DATOS!AI$4="Sí",(1/DATOS_[[% anualiz]:[% anualiz]]),1)*IF(DATOS!AI$5="Sí",1/DATOS_[[% normaliz]:[% normaliz]],1)*(DATOS_[Conc.Sal.05])))))))), 0)</f>
        <v>0</v>
      </c>
      <c r="O95" s="250" t="n">
        <f aca="false" t="array" ref="O95:O95">IFERROR( (MEDIAN((IF(DATOS_[[Sexo]:[Sexo]]=$B95,IF(DATOS_[[AGRUP. CLAS. PROF.]:[AGRUP. CLAS. PROF.]]=$B93,IF(DATOS_[[Check Periodo Ref.]:[Check Periodo Ref.]]="Dentro",IF(DATOS_[[Check Equiparado]:[Check Equiparado]]="Sí",IF(DATOS!AJ$4="Sí",(1/DATOS_[[% anualiz]:[% anualiz]]),1)*IF(DATOS!AJ$5="Sí",1/DATOS_[[% normaliz]:[% normaliz]],1)*(DATOS_[Conc.Sal.06])))))))), 0)</f>
        <v>0</v>
      </c>
      <c r="P95" s="250" t="n">
        <f aca="false" t="array" ref="P95:P95">IFERROR( (MEDIAN((IF(DATOS_[[Sexo]:[Sexo]]=$B95,IF(DATOS_[[AGRUP. CLAS. PROF.]:[AGRUP. CLAS. PROF.]]=$B93,IF(DATOS_[[Check Periodo Ref.]:[Check Periodo Ref.]]="Dentro",IF(DATOS_[[Check Equiparado]:[Check Equiparado]]="Sí",IF(DATOS!AK$4="Sí",(1/DATOS_[[% anualiz]:[% anualiz]]),1)*IF(DATOS!AK$5="Sí",1/DATOS_[[% normaliz]:[% normaliz]],1)*(DATOS_[Conc.Sal.07])))))))), 0)</f>
        <v>0</v>
      </c>
      <c r="Q95" s="250" t="n">
        <f aca="false" t="array" ref="Q95:Q95">IFERROR( (MEDIAN((IF(DATOS_[[Sexo]:[Sexo]]=$B95,IF(DATOS_[[AGRUP. CLAS. PROF.]:[AGRUP. CLAS. PROF.]]=$B93,IF(DATOS_[[Check Periodo Ref.]:[Check Periodo Ref.]]="Dentro",IF(DATOS_[[Check Equiparado]:[Check Equiparado]]="Sí",IF(DATOS!AL$4="Sí",(1/DATOS_[[% anualiz]:[% anualiz]]),1)*IF(DATOS!AL$5="Sí",1/DATOS_[[% normaliz]:[% normaliz]],1)*(DATOS_[Conc.Sal.08])))))))), 0)</f>
        <v>0</v>
      </c>
      <c r="R95" s="250" t="n">
        <f aca="false" t="array" ref="R95:R95">IFERROR( (MEDIAN((IF(DATOS_[[Sexo]:[Sexo]]=$B95,IF(DATOS_[[AGRUP. CLAS. PROF.]:[AGRUP. CLAS. PROF.]]=$B93,IF(DATOS_[[Check Periodo Ref.]:[Check Periodo Ref.]]="Dentro",IF(DATOS_[[Check Equiparado]:[Check Equiparado]]="Sí",IF(DATOS!AM$4="Sí",(1/DATOS_[[% anualiz]:[% anualiz]]),1)*IF(DATOS!AM$5="Sí",1/DATOS_[[% normaliz]:[% normaliz]],1)*(DATOS_[Conc.Sal.09])))))))), 0)</f>
        <v>0</v>
      </c>
      <c r="S95" s="250" t="n">
        <f aca="false" t="array" ref="S95:S95">IFERROR( (MEDIAN((IF(DATOS_[[Sexo]:[Sexo]]=$B95,IF(DATOS_[[AGRUP. CLAS. PROF.]:[AGRUP. CLAS. PROF.]]=$B93,IF(DATOS_[[Check Periodo Ref.]:[Check Periodo Ref.]]="Dentro",IF(DATOS_[[Check Equiparado]:[Check Equiparado]]="Sí",IF(DATOS!AN$4="Sí",(1/DATOS_[[% anualiz]:[% anualiz]]),1)*IF(DATOS!AN$5="Sí",1/DATOS_[[% normaliz]:[% normaliz]],1)*(DATOS_[Conc.Sal.10])))))))), 0)</f>
        <v>0</v>
      </c>
      <c r="T95" s="250" t="n">
        <f aca="false" t="array" ref="T95:T95">IFERROR( (MEDIAN((IF(DATOS_[[Sexo]:[Sexo]]=$B95,IF(DATOS_[[AGRUP. CLAS. PROF.]:[AGRUP. CLAS. PROF.]]=$B93,IF(DATOS_[[Check Periodo Ref.]:[Check Periodo Ref.]]="Dentro",IF(DATOS_[[Check Equiparado]:[Check Equiparado]]="Sí",IF(DATOS!AO$4="Sí",(1/DATOS_[[% anualiz]:[% anualiz]]),1)*IF(DATOS!AO$5="Sí",1/DATOS_[[% normaliz]:[% normaliz]],1)*(DATOS_[Conc.Sal.11])))))))), 0)</f>
        <v>0</v>
      </c>
      <c r="U95" s="250" t="n">
        <f aca="false" t="array" ref="U95:U95">IFERROR( (MEDIAN((IF(DATOS_[[Sexo]:[Sexo]]=$B95,IF(DATOS_[[AGRUP. CLAS. PROF.]:[AGRUP. CLAS. PROF.]]=$B93,IF(DATOS_[[Check Periodo Ref.]:[Check Periodo Ref.]]="Dentro",IF(DATOS_[[Check Equiparado]:[Check Equiparado]]="Sí",IF(DATOS!AP$4="Sí",(1/DATOS_[[% anualiz]:[% anualiz]]),1)*IF(DATOS!AP$5="Sí",1/DATOS_[[% normaliz]:[% normaliz]],1)*(DATOS_[Conc.Sal.12])))))))), 0)</f>
        <v>0</v>
      </c>
      <c r="V95" s="250" t="n">
        <f aca="false" t="array" ref="V95:V95">IFERROR( (MEDIAN((IF(DATOS_[[Sexo]:[Sexo]]=$B95,IF(DATOS_[[AGRUP. CLAS. PROF.]:[AGRUP. CLAS. PROF.]]=$B93,IF(DATOS_[[Check Periodo Ref.]:[Check Periodo Ref.]]="Dentro",IF(DATOS_[[Check Equiparado]:[Check Equiparado]]="Sí",IF(DATOS!AQ$4="Sí",(1/DATOS_[[% anualiz]:[% anualiz]]),1)*IF(DATOS!AQ$5="Sí",1/DATOS_[[% normaliz]:[% normaliz]],1)*(DATOS_[Conc.Sal.13])))))))), 0)</f>
        <v>0</v>
      </c>
      <c r="W95" s="250" t="n">
        <f aca="false" t="array" ref="W95:W95">IFERROR( (MEDIAN((IF(DATOS_[[Sexo]:[Sexo]]=$B95,IF(DATOS_[[AGRUP. CLAS. PROF.]:[AGRUP. CLAS. PROF.]]=$B93,IF(DATOS_[[Check Periodo Ref.]:[Check Periodo Ref.]]="Dentro",IF(DATOS_[[Check Equiparado]:[Check Equiparado]]="Sí",IF(DATOS!AR$4="Sí",(1/DATOS_[[% anualiz]:[% anualiz]]),1)*IF(DATOS!AR$5="Sí",1/DATOS_[[% normaliz]:[% normaliz]],1)*(DATOS_[Conc.Sal.14])))))))), 0)</f>
        <v>0</v>
      </c>
      <c r="X95" s="250" t="n">
        <f aca="false" t="array" ref="X95:X95">IFERROR( (MEDIAN((IF(DATOS_[[Sexo]:[Sexo]]=$B95,IF(DATOS_[[AGRUP. CLAS. PROF.]:[AGRUP. CLAS. PROF.]]=$B93,IF(DATOS_[[Check Periodo Ref.]:[Check Periodo Ref.]]="Dentro",IF(DATOS_[[Check Equiparado]:[Check Equiparado]]="Sí",IF(DATOS!AS$4="Sí",(1/DATOS_[[% anualiz]:[% anualiz]]),1)*IF(DATOS!AS$5="Sí",1/DATOS_[[% normaliz]:[% normaliz]],1)*(DATOS_[Conc.Sal.15])))))))), 0)</f>
        <v>0</v>
      </c>
      <c r="Y95" s="250" t="n">
        <f aca="false" t="array" ref="Y95:Y95">IFERROR( (MEDIAN((IF(DATOS_[[Sexo]:[Sexo]]=$B95,IF(DATOS_[[AGRUP. CLAS. PROF.]:[AGRUP. CLAS. PROF.]]=$B93,IF(DATOS_[[Check Periodo Ref.]:[Check Periodo Ref.]]="Dentro",IF(DATOS_[[Check Equiparado]:[Check Equiparado]]="Sí",IF(DATOS!AT$4="Sí",(1/DATOS_[[% anualiz]:[% anualiz]]),1)*IF(DATOS!AT$5="Sí",1/DATOS_[[% normaliz]:[% normaliz]],1)*(DATOS_[Conc.Sal.16])))))))), 0)</f>
        <v>0</v>
      </c>
      <c r="Z95" s="250" t="n">
        <f aca="false" t="array" ref="Z95:Z95">IFERROR( (MEDIAN((IF(DATOS_[[Sexo]:[Sexo]]=$B95,IF(DATOS_[[AGRUP. CLAS. PROF.]:[AGRUP. CLAS. PROF.]]=$B93,IF(DATOS_[[Check Periodo Ref.]:[Check Periodo Ref.]]="Dentro",IF(DATOS_[[Check Equiparado]:[Check Equiparado]]="Sí",IF(DATOS!AU$4="Sí",(1/DATOS_[[% anualiz]:[% anualiz]]),1)*IF(DATOS!AU$5="Sí",1/DATOS_[[% normaliz]:[% normaliz]],1)*(DATOS_[Conc.Sal.17])))))))), 0)</f>
        <v>0</v>
      </c>
      <c r="AA95" s="250" t="n">
        <f aca="false" t="array" ref="AA95:AA95">IFERROR( (MEDIAN((IF(DATOS_[[Sexo]:[Sexo]]=$B95,IF(DATOS_[[AGRUP. CLAS. PROF.]:[AGRUP. CLAS. PROF.]]=$B93,IF(DATOS_[[Check Periodo Ref.]:[Check Periodo Ref.]]="Dentro",IF(DATOS_[[Check Equiparado]:[Check Equiparado]]="Sí",IF(DATOS!AV$4="Sí",(1/DATOS_[[% anualiz]:[% anualiz]]),1)*IF(DATOS!AV$5="Sí",1/DATOS_[[% normaliz]:[% normaliz]],1)*(DATOS_[Conc.Sal.18])))))))), 0)</f>
        <v>0</v>
      </c>
      <c r="AB95" s="250" t="n">
        <f aca="false" t="array" ref="AB95:AB95">IFERROR( (MEDIAN((IF(DATOS_[[Sexo]:[Sexo]]=$B95,IF(DATOS_[[AGRUP. CLAS. PROF.]:[AGRUP. CLAS. PROF.]]=$B93,IF(DATOS_[[Check Periodo Ref.]:[Check Periodo Ref.]]="Dentro",IF(DATOS_[[Check Equiparado]:[Check Equiparado]]="Sí",IF(DATOS!AW$4="Sí",(1/DATOS_[[% anualiz]:[% anualiz]]),1)*IF(DATOS!AW$5="Sí",1/DATOS_[[% normaliz]:[% normaliz]],1)*(DATOS_[Conc.Sal.19])))))))), 0)</f>
        <v>0</v>
      </c>
      <c r="AC95" s="250" t="n">
        <f aca="false" t="array" ref="AC95:AC95">IFERROR( (MEDIAN((IF(DATOS_[[Sexo]:[Sexo]]=$B95,IF(DATOS_[[AGRUP. CLAS. PROF.]:[AGRUP. CLAS. PROF.]]=$B93,IF(DATOS_[[Check Periodo Ref.]:[Check Periodo Ref.]]="Dentro",IF(DATOS_[[Check Equiparado]:[Check Equiparado]]="Sí",IF(DATOS!AX$4="Sí",(1/DATOS_[[% anualiz]:[% anualiz]]),1)*IF(DATOS!AX$5="Sí",1/DATOS_[[% normaliz]:[% normaliz]],1)*(DATOS_[Conc.Sal.20])))))))), 0)</f>
        <v>0</v>
      </c>
      <c r="AD95" s="250" t="n">
        <f aca="false" t="array" ref="AD95:AD95">IFERROR( (MEDIAN((IF(DATOS_[[Sexo]:[Sexo]]=$B95,IF(DATOS_[[AGRUP. CLAS. PROF.]:[AGRUP. CLAS. PROF.]]=$B93,IF(DATOS_[[Check Periodo Ref.]:[Check Periodo Ref.]]="Dentro",IF(DATOS_[[Check Equiparado]:[Check Equiparado]]="Sí",IF(DATOS!AY$4="Sí",(1/DATOS_[[% anualiz]:[% anualiz]]),1)*IF(DATOS!AY$5="Sí",1/DATOS_[[% normaliz]:[% normaliz]],1)*(DATOS_[Conc.Sal.21])))))))), 0)</f>
        <v>0</v>
      </c>
      <c r="AE95" s="250" t="n">
        <f aca="false" t="array" ref="AE95:AE95">IFERROR( (MEDIAN((IF(DATOS_[[Sexo]:[Sexo]]=$B95,IF(DATOS_[[AGRUP. CLAS. PROF.]:[AGRUP. CLAS. PROF.]]=$B93,IF(DATOS_[[Check Periodo Ref.]:[Check Periodo Ref.]]="Dentro",IF(DATOS_[[Check Equiparado]:[Check Equiparado]]="Sí",IF(DATOS!AZ$4="Sí",(1/DATOS_[[% anualiz]:[% anualiz]]),1)*IF(DATOS!AZ$5="Sí",1/DATOS_[[% normaliz]:[% normaliz]],1)*(DATOS_[Conc.Sal.22])))))))), 0)</f>
        <v>0</v>
      </c>
      <c r="AF95" s="250" t="n">
        <f aca="false" t="array" ref="AF95:AF95">IFERROR( (MEDIAN((IF(DATOS_[[Sexo]:[Sexo]]=$B95,IF(DATOS_[[AGRUP. CLAS. PROF.]:[AGRUP. CLAS. PROF.]]=$B93,IF(DATOS_[[Check Periodo Ref.]:[Check Periodo Ref.]]="Dentro",IF(DATOS_[[Check Equiparado]:[Check Equiparado]]="Sí",IF(DATOS!BA$4="Sí",(1/DATOS_[[% anualiz]:[% anualiz]]),1)*IF(DATOS!BA$5="Sí",1/DATOS_[[% normaliz]:[% normaliz]],1)*(DATOS_[Conc.Sal.23])))))))), 0)</f>
        <v>0</v>
      </c>
      <c r="AG95" s="250" t="n">
        <f aca="false" t="array" ref="AG95:AG95">IFERROR( (MEDIAN((IF(DATOS_[[Sexo]:[Sexo]]=$B95,IF(DATOS_[[AGRUP. CLAS. PROF.]:[AGRUP. CLAS. PROF.]]=$B93,IF(DATOS_[[Check Periodo Ref.]:[Check Periodo Ref.]]="Dentro",IF(DATOS_[[Check Equiparado]:[Check Equiparado]]="Sí",IF(DATOS!BB$4="Sí",(1/DATOS_[[% anualiz]:[% anualiz]]),1)*IF(DATOS!BB$5="Sí",1/DATOS_[[% normaliz]:[% normaliz]],1)*(DATOS_[Conc.Sal.24])))))))), 0)</f>
        <v>0</v>
      </c>
      <c r="AH95" s="250" t="n">
        <f aca="false" t="array" ref="AH95:AH95">IFERROR( (MEDIAN((IF(DATOS_[[Sexo]:[Sexo]]=$B95,IF(DATOS_[[AGRUP. CLAS. PROF.]:[AGRUP. CLAS. PROF.]]=$B93,IF(DATOS_[[Check Periodo Ref.]:[Check Periodo Ref.]]="Dentro",IF(DATOS_[[Check Equiparado]:[Check Equiparado]]="Sí",IF(DATOS!BC$4="Sí",(1/DATOS_[[% anualiz]:[% anualiz]]),1)*IF(DATOS!BC$5="Sí",1/DATOS_[[% normaliz]:[% normaliz]],1)*(DATOS_[Conc.Sal.25])))))))), 0)</f>
        <v>0</v>
      </c>
      <c r="AI95" s="250" t="n">
        <f aca="false" t="array" ref="AI95:AI95">IFERROR( (MEDIAN((IF(DATOS_[[Sexo]:[Sexo]]=$B95,IF(DATOS_[[AGRUP. CLAS. PROF.]:[AGRUP. CLAS. PROF.]]=$B93,IF(DATOS_[[Check Periodo Ref.]:[Check Periodo Ref.]]="Dentro",IF(DATOS_[[Check Equiparado]:[Check Equiparado]]="Sí",IF(DATOS!BD$4="Sí",(1/DATOS_[[% anualiz]:[% anualiz]]),1)*IF(DATOS!BD$5="Sí",1/DATOS_[[% normaliz]:[% normaliz]],1)*(DATOS_[Conc.Sal.26])))))))), 0)</f>
        <v>0</v>
      </c>
      <c r="AJ95" s="250" t="n">
        <f aca="false" t="array" ref="AJ95:AJ95">IFERROR( (MEDIAN((IF(DATOS_[[Sexo]:[Sexo]]=$B95,IF(DATOS_[[AGRUP. CLAS. PROF.]:[AGRUP. CLAS. PROF.]]=$B93,IF(DATOS_[[Check Periodo Ref.]:[Check Periodo Ref.]]="Dentro",IF(DATOS_[[Check Equiparado]:[Check Equiparado]]="Sí",IF(DATOS!BE$4="Sí",(1/DATOS_[[% anualiz]:[% anualiz]]),1)*IF(DATOS!BE$5="Sí",1/DATOS_[[% normaliz]:[% normaliz]],1)*(DATOS_[Conc.Sal.27])))))))), 0)</f>
        <v>0</v>
      </c>
      <c r="AK95" s="250" t="n">
        <f aca="false" t="array" ref="AK95:AK95">IFERROR( (MEDIAN((IF(DATOS_[[Sexo]:[Sexo]]=$B95,IF(DATOS_[[AGRUP. CLAS. PROF.]:[AGRUP. CLAS. PROF.]]=$B93,IF(DATOS_[[Check Periodo Ref.]:[Check Periodo Ref.]]="Dentro",IF(DATOS_[[Check Equiparado]:[Check Equiparado]]="Sí",IF(DATOS!BF$4="Sí",(1/DATOS_[[% anualiz]:[% anualiz]]),1)*IF(DATOS!BF$5="Sí",1/DATOS_[[% normaliz]:[% normaliz]],1)*(DATOS_[Conc.Sal.28])))))))), 0)</f>
        <v>0</v>
      </c>
      <c r="AL95" s="250" t="n">
        <f aca="false" t="array" ref="AL95:AL95">IFERROR( (MEDIAN((IF(DATOS_[[Sexo]:[Sexo]]=$B95,IF(DATOS_[[AGRUP. CLAS. PROF.]:[AGRUP. CLAS. PROF.]]=$B93,IF(DATOS_[[Check Periodo Ref.]:[Check Periodo Ref.]]="Dentro",IF(DATOS_[[Check Equiparado]:[Check Equiparado]]="Sí",IF(DATOS!BG$4="Sí",(1/DATOS_[[% anualiz]:[% anualiz]]),1)*IF(DATOS!BG$5="Sí",1/DATOS_[[% normaliz]:[% normaliz]],1)*(DATOS_[Conc.Sal.29])))))))), 0)</f>
        <v>0</v>
      </c>
      <c r="AM95" s="250" t="n">
        <f aca="false" t="array" ref="AM95:AM95">IFERROR( (MEDIAN((IF(DATOS_[[Sexo]:[Sexo]]=$B95,IF(DATOS_[[AGRUP. CLAS. PROF.]:[AGRUP. CLAS. PROF.]]=$B93,IF(DATOS_[[Check Periodo Ref.]:[Check Periodo Ref.]]="Dentro",IF(DATOS_[[Check Equiparado]:[Check Equiparado]]="Sí",IF(DATOS!BH$4="Sí",(1/DATOS_[[% anualiz]:[% anualiz]]),1)*IF(DATOS!BH$5="Sí",1/DATOS_[[% normaliz]:[% normaliz]],1)*(DATOS_[Conc.Sal.30])))))))), 0)</f>
        <v>0</v>
      </c>
      <c r="AN95" s="251" t="n">
        <f aca="false" t="array" ref="AN95:AN95">IFERROR( MEDIAN(IF(DATOS_[Sexo]=$B95,IF(DATOS_[[AGRUP. CLAS. PROF.]:[AGRUP. CLAS. PROF.]]=$B93,IF(DATOS_[Check Equiparado]="Sí",IF(DATOS_[Check Periodo Ref.]="Dentro",DATOS_[Tot COMPL.SAL Eq],0))))), 0)</f>
        <v>0</v>
      </c>
      <c r="AO95" s="252" t="n">
        <f aca="false" t="array" ref="AO95:AO95">IFERROR( MEDIAN(IF(DATOS_[Sexo]=$B95,IF(DATOS_[[AGRUP. CLAS. PROF.]:[AGRUP. CLAS. PROF.]]=$B93,IF(DATOS_[Check Equiparado]="Sí",IF(DATOS_[Check Periodo Ref.]="Dentro",DATOS_[TOTAL SALARIO Eq],0))))), 0)</f>
        <v>0</v>
      </c>
      <c r="AP95" s="259" t="n">
        <f aca="false" t="array" ref="AP95:AP95">IFERROR( (MEDIAN((IF(DATOS_[[Sexo]:[Sexo]]=$B95,IF(DATOS_[[AGRUP. CLAS. PROF.]:[AGRUP. CLAS. PROF.]]=$B94,IF(DATOS_[[Check Periodo Ref.]:[Check Periodo Ref.]]="Dentro",IF(DATOS_[[Check Equiparado]:[Check Equiparado]]="Sí",IF(DATOS!BI$4="Sí",(1/DATOS_[[% anualiz]:[% anualiz]]),1)*IF(DATOS!BI$5="Sí",1/DATOS_[[% normaliz]:[% normaliz]],1)*(DATOS_[C.Extra.01])))))))), 0)</f>
        <v>0</v>
      </c>
      <c r="AQ95" s="259" t="n">
        <f aca="false" t="array" ref="AQ95:AQ95">IFERROR( (MEDIAN((IF(DATOS_[[Sexo]:[Sexo]]=$B95,IF(DATOS_[[AGRUP. CLAS. PROF.]:[AGRUP. CLAS. PROF.]]=$B94,IF(DATOS_[[Check Periodo Ref.]:[Check Periodo Ref.]]="Dentro",IF(DATOS_[[Check Equiparado]:[Check Equiparado]]="Sí",IF(DATOS!BJ$4="Sí",(1/DATOS_[[% anualiz]:[% anualiz]]),1)*IF(DATOS!BJ$5="Sí",1/DATOS_[[% normaliz]:[% normaliz]],1)*(DATOS_[C.Extra.02])))))))), 0)</f>
        <v>0</v>
      </c>
      <c r="AR95" s="259" t="n">
        <f aca="false" t="array" ref="AR95:AR95">IFERROR( (MEDIAN((IF(DATOS_[[Sexo]:[Sexo]]=$B95,IF(DATOS_[[AGRUP. CLAS. PROF.]:[AGRUP. CLAS. PROF.]]=$B94,IF(DATOS_[[Check Periodo Ref.]:[Check Periodo Ref.]]="Dentro",IF(DATOS_[[Check Equiparado]:[Check Equiparado]]="Sí",IF(DATOS!BK$4="Sí",(1/DATOS_[[% anualiz]:[% anualiz]]),1)*IF(DATOS!BK$5="Sí",1/DATOS_[[% normaliz]:[% normaliz]],1)*(DATOS_[C.Extra.03])))))))), 0)</f>
        <v>0</v>
      </c>
      <c r="AS95" s="259" t="n">
        <f aca="false" t="array" ref="AS95:AS95">IFERROR( (MEDIAN((IF(DATOS_[[Sexo]:[Sexo]]=$B95,IF(DATOS_[[AGRUP. CLAS. PROF.]:[AGRUP. CLAS. PROF.]]=$B94,IF(DATOS_[[Check Periodo Ref.]:[Check Periodo Ref.]]="Dentro",IF(DATOS_[[Check Equiparado]:[Check Equiparado]]="Sí",IF(DATOS!BL$4="Sí",(1/DATOS_[[% anualiz]:[% anualiz]]),1)*IF(DATOS!BL$5="Sí",1/DATOS_[[% normaliz]:[% normaliz]],1)*(DATOS_[C.Extra.04])))))))), 0)</f>
        <v>0</v>
      </c>
      <c r="AT95" s="259" t="n">
        <f aca="false" t="array" ref="AT95:AT95">IFERROR( (MEDIAN((IF(DATOS_[[Sexo]:[Sexo]]=$B95,IF(DATOS_[[AGRUP. CLAS. PROF.]:[AGRUP. CLAS. PROF.]]=$B94,IF(DATOS_[[Check Periodo Ref.]:[Check Periodo Ref.]]="Dentro",IF(DATOS_[[Check Equiparado]:[Check Equiparado]]="Sí",IF(DATOS!BM$4="Sí",(1/DATOS_[[% anualiz]:[% anualiz]]),1)*IF(DATOS!BM$5="Sí",1/DATOS_[[% normaliz]:[% normaliz]],1)*(DATOS_[C.Extra.05])))))))), 0)</f>
        <v>0</v>
      </c>
      <c r="AU95" s="254" t="n">
        <f aca="false" t="array" ref="AU95:AU95">IFERROR( MEDIAN(IF(DATOS_[Sexo]=$B95,IF(DATOS_[[AGRUP. CLAS. PROF.]:[AGRUP. CLAS. PROF.]]=$B93,IF(DATOS_[Check Equiparado]="Sí",IF(DATOS_[Check Periodo Ref.]="Dentro",DATOS_[Tot Extrasalarial Eq],0))))), 0)</f>
        <v>0</v>
      </c>
      <c r="AV95" s="255" t="n">
        <f aca="false" t="array" ref="AV95:AV95">IFERROR( MEDIAN(IF(DATOS_[Sexo]=$B95,IF(DATOS_[[AGRUP. CLAS. PROF.]:[AGRUP. CLAS. PROF.]]=$B93,IF(DATOS_[Check Equiparado]="Sí",IF(DATOS_[Check Periodo Ref.]="Dentro",DATOS_[TOTAL Retrib Eq],0))))), 0)</f>
        <v>0</v>
      </c>
    </row>
    <row r="96" customFormat="false" ht="15.75" hidden="false" customHeight="false" outlineLevel="0" collapsed="false">
      <c r="A96" s="217" t="str">
        <f aca="false">+A97</f>
        <v>[ocultar]</v>
      </c>
      <c r="B96" s="320" t="s">
        <v>249</v>
      </c>
      <c r="C96" s="236"/>
      <c r="D96" s="237"/>
      <c r="E96" s="237"/>
      <c r="F96" s="237"/>
      <c r="G96" s="237"/>
      <c r="H96" s="237"/>
      <c r="I96" s="238"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39" t="str">
        <f aca="false">IFERROR((V97-V98)/V97,"")</f>
        <v/>
      </c>
      <c r="W96" s="239" t="str">
        <f aca="false">IFERROR((W97-W98)/W97,"")</f>
        <v/>
      </c>
      <c r="X96" s="239" t="str">
        <f aca="false">IFERROR((X97-X98)/X97,"")</f>
        <v/>
      </c>
      <c r="Y96" s="239"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0" t="str">
        <f aca="false">IFERROR((AJ97-AJ98)/AJ97,"")</f>
        <v/>
      </c>
      <c r="AK96" s="240" t="str">
        <f aca="false">IFERROR((AK97-AK98)/AK97,"")</f>
        <v/>
      </c>
      <c r="AL96" s="240" t="str">
        <f aca="false">IFERROR((AL97-AL98)/AL97,"")</f>
        <v/>
      </c>
      <c r="AM96" s="240" t="str">
        <f aca="false">IFERROR((AM97-AM98)/AM97,"")</f>
        <v/>
      </c>
      <c r="AN96" s="241" t="str">
        <f aca="false">IFERROR((AN97-AN98)/AN97,"")</f>
        <v/>
      </c>
      <c r="AO96" s="242" t="str">
        <f aca="false">IFERROR((AO97-AO98)/AO97,"")</f>
        <v/>
      </c>
      <c r="AP96" s="243" t="str">
        <f aca="false">IFERROR((AP97-AP98)/AP97,"")</f>
        <v/>
      </c>
      <c r="AQ96" s="243" t="str">
        <f aca="false">IFERROR((AQ97-AQ98)/AQ97,"")</f>
        <v/>
      </c>
      <c r="AR96" s="243" t="str">
        <f aca="false">IFERROR((AR97-AR98)/AR97,"")</f>
        <v/>
      </c>
      <c r="AS96" s="243" t="str">
        <f aca="false">IFERROR((AS97-AS98)/AS97,"")</f>
        <v/>
      </c>
      <c r="AT96" s="243" t="str">
        <f aca="false">IFERROR((AT97-AT98)/AT97,"")</f>
        <v/>
      </c>
      <c r="AU96" s="244" t="str">
        <f aca="false">IFERROR((AU97-AU98)/AU97,"")</f>
        <v/>
      </c>
      <c r="AV96" s="245" t="str">
        <f aca="false">IFERROR((AV97-AV98)/AV97,"")</f>
        <v/>
      </c>
    </row>
    <row r="97" customFormat="false" ht="14.25" hidden="false" customHeight="false" outlineLevel="0" collapsed="false">
      <c r="A97" s="217" t="str">
        <f aca="false">+IF(C97+C98=0,"[ocultar]","")</f>
        <v>[ocultar]</v>
      </c>
      <c r="B97" s="323" t="s">
        <v>371</v>
      </c>
      <c r="C97" s="247" t="n">
        <f aca="false" t="array" ref="C97:C97">SUM(IF($B97=DATOS_[Sexo], IF($B96=DATOS_[AGRUP. CLAS. PROF.], IF("Dentro"=DATOS_[Check Periodo Ref.], 1/(COUNTIFS(DATOS_[Sexo],$B97,DATOS_[AGRUP. CLAS. PROF.],$B96,DATOS_[Check Periodo Ref.],"Dentro",DATOS_[id],DATOS_[id]))))))</f>
        <v>0</v>
      </c>
      <c r="D97" s="248" t="n">
        <f aca="false">COUNTIFS(DATOS_[AGRUP. CLAS. PROF.],$B96,DATOS_[Sexo],$B97,DATOS_[Check Periodo Ref.],"Dentro")</f>
        <v>0</v>
      </c>
      <c r="E97" s="248" t="n">
        <f aca="false">COUNTIFS(DATOS_[AGRUP. CLAS. PROF.],$B96,DATOS_[Sexo],$B97,DATOS_[Check Periodo Ref.],"Dentro",DATOS_[Check Nº SC Norm],"Sí")</f>
        <v>0</v>
      </c>
      <c r="F97" s="248" t="n">
        <f aca="false">COUNTIFS(DATOS_[AGRUP. CLAS. PROF.],$B96,DATOS_[Sexo],$B97,DATOS_[Check Periodo Ref.],"Dentro",DATOS_[Check Nº SC Anualiz],"Sí")</f>
        <v>0</v>
      </c>
      <c r="G97" s="248" t="n">
        <f aca="false">COUNTIFS(DATOS_[AGRUP. CLAS. PROF.],$B96,DATOS_[Sexo],$B97,DATOS_[Check Periodo Ref.],"Dentro",DATOS_[Check Nº SC Norm y Anualiz],"Sí")</f>
        <v>0</v>
      </c>
      <c r="H97" s="248" t="n">
        <f aca="false">COUNTIFS(DATOS_[AGRUP. CLAS. PROF.],$B96,DATOS_[Sexo],$B97,DATOS_[Check Periodo Ref.],"Dentro",DATOS_[Check Equiparación],"Sí")</f>
        <v>0</v>
      </c>
      <c r="I97" s="249" t="n">
        <f aca="false" t="array" ref="I97:I97">IFERROR( MEDIAN(IF(DATOS_[Sexo]=$B97,IF(DATOS_[[AGRUP. CLAS. PROF.]:[AGRUP. CLAS. PROF.]]=$B96,IF(DATOS_[Check Equiparado]="Sí",IF(DATOS_[Check Periodo Ref.]="Dentro",DATOS_[SALARIO BASE Eq],0))))), 0)</f>
        <v>0</v>
      </c>
      <c r="J97" s="250" t="n">
        <f aca="false" t="array" ref="J97:J97">IFERROR( (MEDIAN((IF(DATOS_[[Sexo]:[Sexo]]=$B97,IF(DATOS_[[AGRUP. CLAS. PROF.]:[AGRUP. CLAS. PROF.]]=$B96,IF(DATOS_[[Check Periodo Ref.]:[Check Periodo Ref.]]="Dentro",IF(DATOS_[[Check Equiparado]:[Check Equiparado]]="Sí",IF(DATOS!AE$4="Sí",(1/DATOS_[[% anualiz]:[% anualiz]]),1)*IF(DATOS!AE$5="Sí",1/DATOS_[[% normaliz]:[% normaliz]],1)*(DATOS_[Conc.Sal.01])))))))), 0)</f>
        <v>0</v>
      </c>
      <c r="K97" s="250" t="n">
        <f aca="false" t="array" ref="K97:K97">IFERROR( (MEDIAN((IF(DATOS_[[Sexo]:[Sexo]]=$B97,IF(DATOS_[[AGRUP. CLAS. PROF.]:[AGRUP. CLAS. PROF.]]=$B96,IF(DATOS_[[Check Periodo Ref.]:[Check Periodo Ref.]]="Dentro",IF(DATOS_[[Check Equiparado]:[Check Equiparado]]="Sí",IF(DATOS!AF$4="Sí",(1/DATOS_[[% anualiz]:[% anualiz]]),1)*IF(DATOS!AF$5="Sí",1/DATOS_[[% normaliz]:[% normaliz]],1)*(DATOS_[Conc.Sal.02])))))))), 0)</f>
        <v>0</v>
      </c>
      <c r="L97" s="250" t="n">
        <f aca="false" t="array" ref="L97:L97">IFERROR( (MEDIAN((IF(DATOS_[[Sexo]:[Sexo]]=$B97,IF(DATOS_[[AGRUP. CLAS. PROF.]:[AGRUP. CLAS. PROF.]]=$B96,IF(DATOS_[[Check Periodo Ref.]:[Check Periodo Ref.]]="Dentro",IF(DATOS_[[Check Equiparado]:[Check Equiparado]]="Sí",IF(DATOS!AG$4="Sí",(1/DATOS_[[% anualiz]:[% anualiz]]),1)*IF(DATOS!AG$5="Sí",1/DATOS_[[% normaliz]:[% normaliz]],1)*(DATOS_[Conc.Sal.03])))))))), 0)</f>
        <v>0</v>
      </c>
      <c r="M97" s="250" t="n">
        <f aca="false" t="array" ref="M97:M97">IFERROR( (MEDIAN((IF(DATOS_[[Sexo]:[Sexo]]=$B97,IF(DATOS_[[AGRUP. CLAS. PROF.]:[AGRUP. CLAS. PROF.]]=$B96,IF(DATOS_[[Check Periodo Ref.]:[Check Periodo Ref.]]="Dentro",IF(DATOS_[[Check Equiparado]:[Check Equiparado]]="Sí",IF(DATOS!AH$4="Sí",(1/DATOS_[[% anualiz]:[% anualiz]]),1)*IF(DATOS!AH$5="Sí",1/DATOS_[[% normaliz]:[% normaliz]],1)*(DATOS_[Conc.Sal.04])))))))), 0)</f>
        <v>0</v>
      </c>
      <c r="N97" s="250" t="n">
        <f aca="false" t="array" ref="N97:N97">IFERROR( (MEDIAN((IF(DATOS_[[Sexo]:[Sexo]]=$B97,IF(DATOS_[[AGRUP. CLAS. PROF.]:[AGRUP. CLAS. PROF.]]=$B96,IF(DATOS_[[Check Periodo Ref.]:[Check Periodo Ref.]]="Dentro",IF(DATOS_[[Check Equiparado]:[Check Equiparado]]="Sí",IF(DATOS!AI$4="Sí",(1/DATOS_[[% anualiz]:[% anualiz]]),1)*IF(DATOS!AI$5="Sí",1/DATOS_[[% normaliz]:[% normaliz]],1)*(DATOS_[Conc.Sal.05])))))))), 0)</f>
        <v>0</v>
      </c>
      <c r="O97" s="250" t="n">
        <f aca="false" t="array" ref="O97:O97">IFERROR( (MEDIAN((IF(DATOS_[[Sexo]:[Sexo]]=$B97,IF(DATOS_[[AGRUP. CLAS. PROF.]:[AGRUP. CLAS. PROF.]]=$B96,IF(DATOS_[[Check Periodo Ref.]:[Check Periodo Ref.]]="Dentro",IF(DATOS_[[Check Equiparado]:[Check Equiparado]]="Sí",IF(DATOS!AJ$4="Sí",(1/DATOS_[[% anualiz]:[% anualiz]]),1)*IF(DATOS!AJ$5="Sí",1/DATOS_[[% normaliz]:[% normaliz]],1)*(DATOS_[Conc.Sal.06])))))))), 0)</f>
        <v>0</v>
      </c>
      <c r="P97" s="250" t="n">
        <f aca="false" t="array" ref="P97:P97">IFERROR( (MEDIAN((IF(DATOS_[[Sexo]:[Sexo]]=$B97,IF(DATOS_[[AGRUP. CLAS. PROF.]:[AGRUP. CLAS. PROF.]]=$B96,IF(DATOS_[[Check Periodo Ref.]:[Check Periodo Ref.]]="Dentro",IF(DATOS_[[Check Equiparado]:[Check Equiparado]]="Sí",IF(DATOS!AK$4="Sí",(1/DATOS_[[% anualiz]:[% anualiz]]),1)*IF(DATOS!AK$5="Sí",1/DATOS_[[% normaliz]:[% normaliz]],1)*(DATOS_[Conc.Sal.07])))))))), 0)</f>
        <v>0</v>
      </c>
      <c r="Q97" s="250" t="n">
        <f aca="false" t="array" ref="Q97:Q97">IFERROR( (MEDIAN((IF(DATOS_[[Sexo]:[Sexo]]=$B97,IF(DATOS_[[AGRUP. CLAS. PROF.]:[AGRUP. CLAS. PROF.]]=$B96,IF(DATOS_[[Check Periodo Ref.]:[Check Periodo Ref.]]="Dentro",IF(DATOS_[[Check Equiparado]:[Check Equiparado]]="Sí",IF(DATOS!AL$4="Sí",(1/DATOS_[[% anualiz]:[% anualiz]]),1)*IF(DATOS!AL$5="Sí",1/DATOS_[[% normaliz]:[% normaliz]],1)*(DATOS_[Conc.Sal.08])))))))), 0)</f>
        <v>0</v>
      </c>
      <c r="R97" s="250" t="n">
        <f aca="false" t="array" ref="R97:R97">IFERROR( (MEDIAN((IF(DATOS_[[Sexo]:[Sexo]]=$B97,IF(DATOS_[[AGRUP. CLAS. PROF.]:[AGRUP. CLAS. PROF.]]=$B96,IF(DATOS_[[Check Periodo Ref.]:[Check Periodo Ref.]]="Dentro",IF(DATOS_[[Check Equiparado]:[Check Equiparado]]="Sí",IF(DATOS!AM$4="Sí",(1/DATOS_[[% anualiz]:[% anualiz]]),1)*IF(DATOS!AM$5="Sí",1/DATOS_[[% normaliz]:[% normaliz]],1)*(DATOS_[Conc.Sal.09])))))))), 0)</f>
        <v>0</v>
      </c>
      <c r="S97" s="250" t="n">
        <f aca="false" t="array" ref="S97:S97">IFERROR( (MEDIAN((IF(DATOS_[[Sexo]:[Sexo]]=$B97,IF(DATOS_[[AGRUP. CLAS. PROF.]:[AGRUP. CLAS. PROF.]]=$B96,IF(DATOS_[[Check Periodo Ref.]:[Check Periodo Ref.]]="Dentro",IF(DATOS_[[Check Equiparado]:[Check Equiparado]]="Sí",IF(DATOS!AN$4="Sí",(1/DATOS_[[% anualiz]:[% anualiz]]),1)*IF(DATOS!AN$5="Sí",1/DATOS_[[% normaliz]:[% normaliz]],1)*(DATOS_[Conc.Sal.10])))))))), 0)</f>
        <v>0</v>
      </c>
      <c r="T97" s="250" t="n">
        <f aca="false" t="array" ref="T97:T97">IFERROR( (MEDIAN((IF(DATOS_[[Sexo]:[Sexo]]=$B97,IF(DATOS_[[AGRUP. CLAS. PROF.]:[AGRUP. CLAS. PROF.]]=$B96,IF(DATOS_[[Check Periodo Ref.]:[Check Periodo Ref.]]="Dentro",IF(DATOS_[[Check Equiparado]:[Check Equiparado]]="Sí",IF(DATOS!AO$4="Sí",(1/DATOS_[[% anualiz]:[% anualiz]]),1)*IF(DATOS!AO$5="Sí",1/DATOS_[[% normaliz]:[% normaliz]],1)*(DATOS_[Conc.Sal.11])))))))), 0)</f>
        <v>0</v>
      </c>
      <c r="U97" s="250" t="n">
        <f aca="false" t="array" ref="U97:U97">IFERROR( (MEDIAN((IF(DATOS_[[Sexo]:[Sexo]]=$B97,IF(DATOS_[[AGRUP. CLAS. PROF.]:[AGRUP. CLAS. PROF.]]=$B96,IF(DATOS_[[Check Periodo Ref.]:[Check Periodo Ref.]]="Dentro",IF(DATOS_[[Check Equiparado]:[Check Equiparado]]="Sí",IF(DATOS!AP$4="Sí",(1/DATOS_[[% anualiz]:[% anualiz]]),1)*IF(DATOS!AP$5="Sí",1/DATOS_[[% normaliz]:[% normaliz]],1)*(DATOS_[Conc.Sal.12])))))))), 0)</f>
        <v>0</v>
      </c>
      <c r="V97" s="250" t="n">
        <f aca="false" t="array" ref="V97:V97">IFERROR( (MEDIAN((IF(DATOS_[[Sexo]:[Sexo]]=$B97,IF(DATOS_[[AGRUP. CLAS. PROF.]:[AGRUP. CLAS. PROF.]]=$B96,IF(DATOS_[[Check Periodo Ref.]:[Check Periodo Ref.]]="Dentro",IF(DATOS_[[Check Equiparado]:[Check Equiparado]]="Sí",IF(DATOS!AQ$4="Sí",(1/DATOS_[[% anualiz]:[% anualiz]]),1)*IF(DATOS!AQ$5="Sí",1/DATOS_[[% normaliz]:[% normaliz]],1)*(DATOS_[Conc.Sal.13])))))))), 0)</f>
        <v>0</v>
      </c>
      <c r="W97" s="250" t="n">
        <f aca="false" t="array" ref="W97:W97">IFERROR( (MEDIAN((IF(DATOS_[[Sexo]:[Sexo]]=$B97,IF(DATOS_[[AGRUP. CLAS. PROF.]:[AGRUP. CLAS. PROF.]]=$B96,IF(DATOS_[[Check Periodo Ref.]:[Check Periodo Ref.]]="Dentro",IF(DATOS_[[Check Equiparado]:[Check Equiparado]]="Sí",IF(DATOS!AR$4="Sí",(1/DATOS_[[% anualiz]:[% anualiz]]),1)*IF(DATOS!AR$5="Sí",1/DATOS_[[% normaliz]:[% normaliz]],1)*(DATOS_[Conc.Sal.14])))))))), 0)</f>
        <v>0</v>
      </c>
      <c r="X97" s="250" t="n">
        <f aca="false" t="array" ref="X97:X97">IFERROR( (MEDIAN((IF(DATOS_[[Sexo]:[Sexo]]=$B97,IF(DATOS_[[AGRUP. CLAS. PROF.]:[AGRUP. CLAS. PROF.]]=$B96,IF(DATOS_[[Check Periodo Ref.]:[Check Periodo Ref.]]="Dentro",IF(DATOS_[[Check Equiparado]:[Check Equiparado]]="Sí",IF(DATOS!AS$4="Sí",(1/DATOS_[[% anualiz]:[% anualiz]]),1)*IF(DATOS!AS$5="Sí",1/DATOS_[[% normaliz]:[% normaliz]],1)*(DATOS_[Conc.Sal.15])))))))), 0)</f>
        <v>0</v>
      </c>
      <c r="Y97" s="250" t="n">
        <f aca="false" t="array" ref="Y97:Y97">IFERROR( (MEDIAN((IF(DATOS_[[Sexo]:[Sexo]]=$B97,IF(DATOS_[[AGRUP. CLAS. PROF.]:[AGRUP. CLAS. PROF.]]=$B96,IF(DATOS_[[Check Periodo Ref.]:[Check Periodo Ref.]]="Dentro",IF(DATOS_[[Check Equiparado]:[Check Equiparado]]="Sí",IF(DATOS!AT$4="Sí",(1/DATOS_[[% anualiz]:[% anualiz]]),1)*IF(DATOS!AT$5="Sí",1/DATOS_[[% normaliz]:[% normaliz]],1)*(DATOS_[Conc.Sal.16])))))))), 0)</f>
        <v>0</v>
      </c>
      <c r="Z97" s="250" t="n">
        <f aca="false" t="array" ref="Z97:Z97">IFERROR( (MEDIAN((IF(DATOS_[[Sexo]:[Sexo]]=$B97,IF(DATOS_[[AGRUP. CLAS. PROF.]:[AGRUP. CLAS. PROF.]]=$B96,IF(DATOS_[[Check Periodo Ref.]:[Check Periodo Ref.]]="Dentro",IF(DATOS_[[Check Equiparado]:[Check Equiparado]]="Sí",IF(DATOS!AU$4="Sí",(1/DATOS_[[% anualiz]:[% anualiz]]),1)*IF(DATOS!AU$5="Sí",1/DATOS_[[% normaliz]:[% normaliz]],1)*(DATOS_[Conc.Sal.17])))))))), 0)</f>
        <v>0</v>
      </c>
      <c r="AA97" s="250" t="n">
        <f aca="false" t="array" ref="AA97:AA97">IFERROR( (MEDIAN((IF(DATOS_[[Sexo]:[Sexo]]=$B97,IF(DATOS_[[AGRUP. CLAS. PROF.]:[AGRUP. CLAS. PROF.]]=$B96,IF(DATOS_[[Check Periodo Ref.]:[Check Periodo Ref.]]="Dentro",IF(DATOS_[[Check Equiparado]:[Check Equiparado]]="Sí",IF(DATOS!AV$4="Sí",(1/DATOS_[[% anualiz]:[% anualiz]]),1)*IF(DATOS!AV$5="Sí",1/DATOS_[[% normaliz]:[% normaliz]],1)*(DATOS_[Conc.Sal.18])))))))), 0)</f>
        <v>0</v>
      </c>
      <c r="AB97" s="250" t="n">
        <f aca="false" t="array" ref="AB97:AB97">IFERROR( (MEDIAN((IF(DATOS_[[Sexo]:[Sexo]]=$B97,IF(DATOS_[[AGRUP. CLAS. PROF.]:[AGRUP. CLAS. PROF.]]=$B96,IF(DATOS_[[Check Periodo Ref.]:[Check Periodo Ref.]]="Dentro",IF(DATOS_[[Check Equiparado]:[Check Equiparado]]="Sí",IF(DATOS!AW$4="Sí",(1/DATOS_[[% anualiz]:[% anualiz]]),1)*IF(DATOS!AW$5="Sí",1/DATOS_[[% normaliz]:[% normaliz]],1)*(DATOS_[Conc.Sal.19])))))))), 0)</f>
        <v>0</v>
      </c>
      <c r="AC97" s="250" t="n">
        <f aca="false" t="array" ref="AC97:AC97">IFERROR( (MEDIAN((IF(DATOS_[[Sexo]:[Sexo]]=$B97,IF(DATOS_[[AGRUP. CLAS. PROF.]:[AGRUP. CLAS. PROF.]]=$B96,IF(DATOS_[[Check Periodo Ref.]:[Check Periodo Ref.]]="Dentro",IF(DATOS_[[Check Equiparado]:[Check Equiparado]]="Sí",IF(DATOS!AX$4="Sí",(1/DATOS_[[% anualiz]:[% anualiz]]),1)*IF(DATOS!AX$5="Sí",1/DATOS_[[% normaliz]:[% normaliz]],1)*(DATOS_[Conc.Sal.20])))))))), 0)</f>
        <v>0</v>
      </c>
      <c r="AD97" s="250" t="n">
        <f aca="false" t="array" ref="AD97:AD97">IFERROR( (MEDIAN((IF(DATOS_[[Sexo]:[Sexo]]=$B97,IF(DATOS_[[AGRUP. CLAS. PROF.]:[AGRUP. CLAS. PROF.]]=$B96,IF(DATOS_[[Check Periodo Ref.]:[Check Periodo Ref.]]="Dentro",IF(DATOS_[[Check Equiparado]:[Check Equiparado]]="Sí",IF(DATOS!AY$4="Sí",(1/DATOS_[[% anualiz]:[% anualiz]]),1)*IF(DATOS!AY$5="Sí",1/DATOS_[[% normaliz]:[% normaliz]],1)*(DATOS_[Conc.Sal.21])))))))), 0)</f>
        <v>0</v>
      </c>
      <c r="AE97" s="250" t="n">
        <f aca="false" t="array" ref="AE97:AE97">IFERROR( (MEDIAN((IF(DATOS_[[Sexo]:[Sexo]]=$B97,IF(DATOS_[[AGRUP. CLAS. PROF.]:[AGRUP. CLAS. PROF.]]=$B96,IF(DATOS_[[Check Periodo Ref.]:[Check Periodo Ref.]]="Dentro",IF(DATOS_[[Check Equiparado]:[Check Equiparado]]="Sí",IF(DATOS!AZ$4="Sí",(1/DATOS_[[% anualiz]:[% anualiz]]),1)*IF(DATOS!AZ$5="Sí",1/DATOS_[[% normaliz]:[% normaliz]],1)*(DATOS_[Conc.Sal.22])))))))), 0)</f>
        <v>0</v>
      </c>
      <c r="AF97" s="250" t="n">
        <f aca="false" t="array" ref="AF97:AF97">IFERROR( (MEDIAN((IF(DATOS_[[Sexo]:[Sexo]]=$B97,IF(DATOS_[[AGRUP. CLAS. PROF.]:[AGRUP. CLAS. PROF.]]=$B96,IF(DATOS_[[Check Periodo Ref.]:[Check Periodo Ref.]]="Dentro",IF(DATOS_[[Check Equiparado]:[Check Equiparado]]="Sí",IF(DATOS!BA$4="Sí",(1/DATOS_[[% anualiz]:[% anualiz]]),1)*IF(DATOS!BA$5="Sí",1/DATOS_[[% normaliz]:[% normaliz]],1)*(DATOS_[Conc.Sal.23])))))))), 0)</f>
        <v>0</v>
      </c>
      <c r="AG97" s="250" t="n">
        <f aca="false" t="array" ref="AG97:AG97">IFERROR( (MEDIAN((IF(DATOS_[[Sexo]:[Sexo]]=$B97,IF(DATOS_[[AGRUP. CLAS. PROF.]:[AGRUP. CLAS. PROF.]]=$B96,IF(DATOS_[[Check Periodo Ref.]:[Check Periodo Ref.]]="Dentro",IF(DATOS_[[Check Equiparado]:[Check Equiparado]]="Sí",IF(DATOS!BB$4="Sí",(1/DATOS_[[% anualiz]:[% anualiz]]),1)*IF(DATOS!BB$5="Sí",1/DATOS_[[% normaliz]:[% normaliz]],1)*(DATOS_[Conc.Sal.24])))))))), 0)</f>
        <v>0</v>
      </c>
      <c r="AH97" s="250" t="n">
        <f aca="false" t="array" ref="AH97:AH97">IFERROR( (MEDIAN((IF(DATOS_[[Sexo]:[Sexo]]=$B97,IF(DATOS_[[AGRUP. CLAS. PROF.]:[AGRUP. CLAS. PROF.]]=$B96,IF(DATOS_[[Check Periodo Ref.]:[Check Periodo Ref.]]="Dentro",IF(DATOS_[[Check Equiparado]:[Check Equiparado]]="Sí",IF(DATOS!BC$4="Sí",(1/DATOS_[[% anualiz]:[% anualiz]]),1)*IF(DATOS!BC$5="Sí",1/DATOS_[[% normaliz]:[% normaliz]],1)*(DATOS_[Conc.Sal.25])))))))), 0)</f>
        <v>0</v>
      </c>
      <c r="AI97" s="250" t="n">
        <f aca="false" t="array" ref="AI97:AI97">IFERROR( (MEDIAN((IF(DATOS_[[Sexo]:[Sexo]]=$B97,IF(DATOS_[[AGRUP. CLAS. PROF.]:[AGRUP. CLAS. PROF.]]=$B96,IF(DATOS_[[Check Periodo Ref.]:[Check Periodo Ref.]]="Dentro",IF(DATOS_[[Check Equiparado]:[Check Equiparado]]="Sí",IF(DATOS!BD$4="Sí",(1/DATOS_[[% anualiz]:[% anualiz]]),1)*IF(DATOS!BD$5="Sí",1/DATOS_[[% normaliz]:[% normaliz]],1)*(DATOS_[Conc.Sal.26])))))))), 0)</f>
        <v>0</v>
      </c>
      <c r="AJ97" s="250" t="n">
        <f aca="false" t="array" ref="AJ97:AJ97">IFERROR( (MEDIAN((IF(DATOS_[[Sexo]:[Sexo]]=$B97,IF(DATOS_[[AGRUP. CLAS. PROF.]:[AGRUP. CLAS. PROF.]]=$B96,IF(DATOS_[[Check Periodo Ref.]:[Check Periodo Ref.]]="Dentro",IF(DATOS_[[Check Equiparado]:[Check Equiparado]]="Sí",IF(DATOS!BE$4="Sí",(1/DATOS_[[% anualiz]:[% anualiz]]),1)*IF(DATOS!BE$5="Sí",1/DATOS_[[% normaliz]:[% normaliz]],1)*(DATOS_[Conc.Sal.27])))))))), 0)</f>
        <v>0</v>
      </c>
      <c r="AK97" s="250" t="n">
        <f aca="false" t="array" ref="AK97:AK97">IFERROR( (MEDIAN((IF(DATOS_[[Sexo]:[Sexo]]=$B97,IF(DATOS_[[AGRUP. CLAS. PROF.]:[AGRUP. CLAS. PROF.]]=$B96,IF(DATOS_[[Check Periodo Ref.]:[Check Periodo Ref.]]="Dentro",IF(DATOS_[[Check Equiparado]:[Check Equiparado]]="Sí",IF(DATOS!BF$4="Sí",(1/DATOS_[[% anualiz]:[% anualiz]]),1)*IF(DATOS!BF$5="Sí",1/DATOS_[[% normaliz]:[% normaliz]],1)*(DATOS_[Conc.Sal.28])))))))), 0)</f>
        <v>0</v>
      </c>
      <c r="AL97" s="250" t="n">
        <f aca="false" t="array" ref="AL97:AL97">IFERROR( (MEDIAN((IF(DATOS_[[Sexo]:[Sexo]]=$B97,IF(DATOS_[[AGRUP. CLAS. PROF.]:[AGRUP. CLAS. PROF.]]=$B96,IF(DATOS_[[Check Periodo Ref.]:[Check Periodo Ref.]]="Dentro",IF(DATOS_[[Check Equiparado]:[Check Equiparado]]="Sí",IF(DATOS!BG$4="Sí",(1/DATOS_[[% anualiz]:[% anualiz]]),1)*IF(DATOS!BG$5="Sí",1/DATOS_[[% normaliz]:[% normaliz]],1)*(DATOS_[Conc.Sal.29])))))))), 0)</f>
        <v>0</v>
      </c>
      <c r="AM97" s="250" t="n">
        <f aca="false" t="array" ref="AM97:AM97">IFERROR( (MEDIAN((IF(DATOS_[[Sexo]:[Sexo]]=$B97,IF(DATOS_[[AGRUP. CLAS. PROF.]:[AGRUP. CLAS. PROF.]]=$B96,IF(DATOS_[[Check Periodo Ref.]:[Check Periodo Ref.]]="Dentro",IF(DATOS_[[Check Equiparado]:[Check Equiparado]]="Sí",IF(DATOS!BH$4="Sí",(1/DATOS_[[% anualiz]:[% anualiz]]),1)*IF(DATOS!BH$5="Sí",1/DATOS_[[% normaliz]:[% normaliz]],1)*(DATOS_[Conc.Sal.30])))))))), 0)</f>
        <v>0</v>
      </c>
      <c r="AN97" s="251" t="n">
        <f aca="false" t="array" ref="AN97:AN97">IFERROR( MEDIAN(IF(DATOS_[Sexo]=$B97,IF(DATOS_[[AGRUP. CLAS. PROF.]:[AGRUP. CLAS. PROF.]]=$B96,IF(DATOS_[Check Equiparado]="Sí",IF(DATOS_[Check Periodo Ref.]="Dentro",DATOS_[Tot COMPL.SAL Eq],0))))), 0)</f>
        <v>0</v>
      </c>
      <c r="AO97" s="252" t="n">
        <f aca="false" t="array" ref="AO97:AO97">IFERROR( MEDIAN(IF(DATOS_[Sexo]=$B97,IF(DATOS_[[AGRUP. CLAS. PROF.]:[AGRUP. CLAS. PROF.]]=$B96,IF(DATOS_[Check Equiparado]="Sí",IF(DATOS_[Check Periodo Ref.]="Dentro",DATOS_[TOTAL SALARIO Eq],0))))), 0)</f>
        <v>0</v>
      </c>
      <c r="AP97" s="259" t="n">
        <f aca="false" t="array" ref="AP97:AP97">IFERROR( (MEDIAN((IF(DATOS_[[Sexo]:[Sexo]]=$B97,IF(DATOS_[[AGRUP. CLAS. PROF.]:[AGRUP. CLAS. PROF.]]=$B96,IF(DATOS_[[Check Periodo Ref.]:[Check Periodo Ref.]]="Dentro",IF(DATOS_[[Check Equiparado]:[Check Equiparado]]="Sí",IF(DATOS!BI$4="Sí",(1/DATOS_[[% anualiz]:[% anualiz]]),1)*IF(DATOS!BI$5="Sí",1/DATOS_[[% normaliz]:[% normaliz]],1)*(DATOS_[C.Extra.01])))))))), 0)</f>
        <v>0</v>
      </c>
      <c r="AQ97" s="259" t="n">
        <f aca="false" t="array" ref="AQ97:AQ97">IFERROR( (MEDIAN((IF(DATOS_[[Sexo]:[Sexo]]=$B97,IF(DATOS_[[AGRUP. CLAS. PROF.]:[AGRUP. CLAS. PROF.]]=$B96,IF(DATOS_[[Check Periodo Ref.]:[Check Periodo Ref.]]="Dentro",IF(DATOS_[[Check Equiparado]:[Check Equiparado]]="Sí",IF(DATOS!BJ$4="Sí",(1/DATOS_[[% anualiz]:[% anualiz]]),1)*IF(DATOS!BJ$5="Sí",1/DATOS_[[% normaliz]:[% normaliz]],1)*(DATOS_[C.Extra.02])))))))), 0)</f>
        <v>0</v>
      </c>
      <c r="AR97" s="259" t="n">
        <f aca="false" t="array" ref="AR97:AR97">IFERROR( (MEDIAN((IF(DATOS_[[Sexo]:[Sexo]]=$B97,IF(DATOS_[[AGRUP. CLAS. PROF.]:[AGRUP. CLAS. PROF.]]=$B96,IF(DATOS_[[Check Periodo Ref.]:[Check Periodo Ref.]]="Dentro",IF(DATOS_[[Check Equiparado]:[Check Equiparado]]="Sí",IF(DATOS!BK$4="Sí",(1/DATOS_[[% anualiz]:[% anualiz]]),1)*IF(DATOS!BK$5="Sí",1/DATOS_[[% normaliz]:[% normaliz]],1)*(DATOS_[C.Extra.03])))))))), 0)</f>
        <v>0</v>
      </c>
      <c r="AS97" s="259" t="n">
        <f aca="false" t="array" ref="AS97:AS97">IFERROR( (MEDIAN((IF(DATOS_[[Sexo]:[Sexo]]=$B97,IF(DATOS_[[AGRUP. CLAS. PROF.]:[AGRUP. CLAS. PROF.]]=$B96,IF(DATOS_[[Check Periodo Ref.]:[Check Periodo Ref.]]="Dentro",IF(DATOS_[[Check Equiparado]:[Check Equiparado]]="Sí",IF(DATOS!BL$4="Sí",(1/DATOS_[[% anualiz]:[% anualiz]]),1)*IF(DATOS!BL$5="Sí",1/DATOS_[[% normaliz]:[% normaliz]],1)*(DATOS_[C.Extra.04])))))))), 0)</f>
        <v>0</v>
      </c>
      <c r="AT97" s="259" t="n">
        <f aca="false" t="array" ref="AT97:AT97">IFERROR( (MEDIAN((IF(DATOS_[[Sexo]:[Sexo]]=$B97,IF(DATOS_[[AGRUP. CLAS. PROF.]:[AGRUP. CLAS. PROF.]]=$B96,IF(DATOS_[[Check Periodo Ref.]:[Check Periodo Ref.]]="Dentro",IF(DATOS_[[Check Equiparado]:[Check Equiparado]]="Sí",IF(DATOS!BM$4="Sí",(1/DATOS_[[% anualiz]:[% anualiz]]),1)*IF(DATOS!BM$5="Sí",1/DATOS_[[% normaliz]:[% normaliz]],1)*(DATOS_[C.Extra.05])))))))), 0)</f>
        <v>0</v>
      </c>
      <c r="AU97" s="254" t="n">
        <f aca="false" t="array" ref="AU97:AU97">IFERROR( MEDIAN(IF(DATOS_[Sexo]=$B97,IF(DATOS_[[AGRUP. CLAS. PROF.]:[AGRUP. CLAS. PROF.]]=$B96,IF(DATOS_[Check Equiparado]="Sí",IF(DATOS_[Check Periodo Ref.]="Dentro",DATOS_[Tot Extrasalarial Eq],0))))), 0)</f>
        <v>0</v>
      </c>
      <c r="AV97" s="255" t="n">
        <f aca="false" t="array" ref="AV97:AV97">IFERROR( MEDIAN(IF(DATOS_[Sexo]=$B97,IF(DATOS_[[AGRUP. CLAS. PROF.]:[AGRUP. CLAS. PROF.]]=$B96,IF(DATOS_[Check Equiparado]="Sí",IF(DATOS_[Check Periodo Ref.]="Dentro",DATOS_[TOTAL Retrib Eq],0))))), 0)</f>
        <v>0</v>
      </c>
    </row>
    <row r="98" customFormat="false" ht="14.25" hidden="false" customHeight="false" outlineLevel="0" collapsed="false">
      <c r="A98" s="217" t="str">
        <f aca="false">+A97</f>
        <v>[ocultar]</v>
      </c>
      <c r="B98" s="323" t="s">
        <v>372</v>
      </c>
      <c r="C98" s="247" t="n">
        <f aca="false" t="array" ref="C98:C98">SUM(IF($B98=DATOS_[Sexo], IF($B96=DATOS_[AGRUP. CLAS. PROF.], IF("Dentro"=DATOS_[Check Periodo Ref.], 1/(COUNTIFS(DATOS_[Sexo],$B98,DATOS_[AGRUP. CLAS. PROF.],$B96,DATOS_[Check Periodo Ref.],"Dentro",DATOS_[id],DATOS_[id]))))))</f>
        <v>0</v>
      </c>
      <c r="D98" s="248" t="n">
        <f aca="false">COUNTIFS(DATOS_[AGRUP. CLAS. PROF.],$B96,DATOS_[Sexo],$B98,DATOS_[Check Periodo Ref.],"Dentro")</f>
        <v>0</v>
      </c>
      <c r="E98" s="248" t="n">
        <f aca="false">COUNTIFS(DATOS_[AGRUP. CLAS. PROF.],$B96,DATOS_[Sexo],$B98,DATOS_[Check Periodo Ref.],"Dentro",DATOS_[Check Nº SC Norm],"Sí")</f>
        <v>0</v>
      </c>
      <c r="F98" s="248" t="n">
        <f aca="false">COUNTIFS(DATOS_[AGRUP. CLAS. PROF.],$B96,DATOS_[Sexo],$B98,DATOS_[Check Periodo Ref.],"Dentro",DATOS_[Check Nº SC Anualiz],"Sí")</f>
        <v>0</v>
      </c>
      <c r="G98" s="248" t="n">
        <f aca="false">COUNTIFS(DATOS_[AGRUP. CLAS. PROF.],$B96,DATOS_[Sexo],$B98,DATOS_[Check Periodo Ref.],"Dentro",DATOS_[Check Nº SC Norm y Anualiz],"Sí")</f>
        <v>0</v>
      </c>
      <c r="H98" s="248" t="n">
        <f aca="false">COUNTIFS(DATOS_[AGRUP. CLAS. PROF.],$B96,DATOS_[Sexo],$B98,DATOS_[Check Periodo Ref.],"Dentro",DATOS_[Check Equiparación],"Sí")</f>
        <v>0</v>
      </c>
      <c r="I98" s="249" t="n">
        <f aca="false" t="array" ref="I98:I98">IFERROR( MEDIAN(IF(DATOS_[Sexo]=$B98,IF(DATOS_[[AGRUP. CLAS. PROF.]:[AGRUP. CLAS. PROF.]]=$B96,IF(DATOS_[Check Equiparado]="Sí",IF(DATOS_[Check Periodo Ref.]="Dentro",DATOS_[SALARIO BASE Eq],0))))), 0)</f>
        <v>0</v>
      </c>
      <c r="J98" s="250" t="n">
        <f aca="false" t="array" ref="J98:J98">IFERROR( (MEDIAN((IF(DATOS_[[Sexo]:[Sexo]]=$B98,IF(DATOS_[[AGRUP. CLAS. PROF.]:[AGRUP. CLAS. PROF.]]=$B96,IF(DATOS_[[Check Periodo Ref.]:[Check Periodo Ref.]]="Dentro",IF(DATOS_[[Check Equiparado]:[Check Equiparado]]="Sí",IF(DATOS!AE$4="Sí",(1/DATOS_[[% anualiz]:[% anualiz]]),1)*IF(DATOS!AE$5="Sí",1/DATOS_[[% normaliz]:[% normaliz]],1)*(DATOS_[Conc.Sal.01])))))))), 0)</f>
        <v>0</v>
      </c>
      <c r="K98" s="250" t="n">
        <f aca="false" t="array" ref="K98:K98">IFERROR( (MEDIAN((IF(DATOS_[[Sexo]:[Sexo]]=$B98,IF(DATOS_[[AGRUP. CLAS. PROF.]:[AGRUP. CLAS. PROF.]]=$B96,IF(DATOS_[[Check Periodo Ref.]:[Check Periodo Ref.]]="Dentro",IF(DATOS_[[Check Equiparado]:[Check Equiparado]]="Sí",IF(DATOS!AF$4="Sí",(1/DATOS_[[% anualiz]:[% anualiz]]),1)*IF(DATOS!AF$5="Sí",1/DATOS_[[% normaliz]:[% normaliz]],1)*(DATOS_[Conc.Sal.02])))))))), 0)</f>
        <v>0</v>
      </c>
      <c r="L98" s="250" t="n">
        <f aca="false" t="array" ref="L98:L98">IFERROR( (MEDIAN((IF(DATOS_[[Sexo]:[Sexo]]=$B98,IF(DATOS_[[AGRUP. CLAS. PROF.]:[AGRUP. CLAS. PROF.]]=$B96,IF(DATOS_[[Check Periodo Ref.]:[Check Periodo Ref.]]="Dentro",IF(DATOS_[[Check Equiparado]:[Check Equiparado]]="Sí",IF(DATOS!AG$4="Sí",(1/DATOS_[[% anualiz]:[% anualiz]]),1)*IF(DATOS!AG$5="Sí",1/DATOS_[[% normaliz]:[% normaliz]],1)*(DATOS_[Conc.Sal.03])))))))), 0)</f>
        <v>0</v>
      </c>
      <c r="M98" s="250" t="n">
        <f aca="false" t="array" ref="M98:M98">IFERROR( (MEDIAN((IF(DATOS_[[Sexo]:[Sexo]]=$B98,IF(DATOS_[[AGRUP. CLAS. PROF.]:[AGRUP. CLAS. PROF.]]=$B96,IF(DATOS_[[Check Periodo Ref.]:[Check Periodo Ref.]]="Dentro",IF(DATOS_[[Check Equiparado]:[Check Equiparado]]="Sí",IF(DATOS!AH$4="Sí",(1/DATOS_[[% anualiz]:[% anualiz]]),1)*IF(DATOS!AH$5="Sí",1/DATOS_[[% normaliz]:[% normaliz]],1)*(DATOS_[Conc.Sal.04])))))))), 0)</f>
        <v>0</v>
      </c>
      <c r="N98" s="250" t="n">
        <f aca="false" t="array" ref="N98:N98">IFERROR( (MEDIAN((IF(DATOS_[[Sexo]:[Sexo]]=$B98,IF(DATOS_[[AGRUP. CLAS. PROF.]:[AGRUP. CLAS. PROF.]]=$B96,IF(DATOS_[[Check Periodo Ref.]:[Check Periodo Ref.]]="Dentro",IF(DATOS_[[Check Equiparado]:[Check Equiparado]]="Sí",IF(DATOS!AI$4="Sí",(1/DATOS_[[% anualiz]:[% anualiz]]),1)*IF(DATOS!AI$5="Sí",1/DATOS_[[% normaliz]:[% normaliz]],1)*(DATOS_[Conc.Sal.05])))))))), 0)</f>
        <v>0</v>
      </c>
      <c r="O98" s="250" t="n">
        <f aca="false" t="array" ref="O98:O98">IFERROR( (MEDIAN((IF(DATOS_[[Sexo]:[Sexo]]=$B98,IF(DATOS_[[AGRUP. CLAS. PROF.]:[AGRUP. CLAS. PROF.]]=$B96,IF(DATOS_[[Check Periodo Ref.]:[Check Periodo Ref.]]="Dentro",IF(DATOS_[[Check Equiparado]:[Check Equiparado]]="Sí",IF(DATOS!AJ$4="Sí",(1/DATOS_[[% anualiz]:[% anualiz]]),1)*IF(DATOS!AJ$5="Sí",1/DATOS_[[% normaliz]:[% normaliz]],1)*(DATOS_[Conc.Sal.06])))))))), 0)</f>
        <v>0</v>
      </c>
      <c r="P98" s="250" t="n">
        <f aca="false" t="array" ref="P98:P98">IFERROR( (MEDIAN((IF(DATOS_[[Sexo]:[Sexo]]=$B98,IF(DATOS_[[AGRUP. CLAS. PROF.]:[AGRUP. CLAS. PROF.]]=$B96,IF(DATOS_[[Check Periodo Ref.]:[Check Periodo Ref.]]="Dentro",IF(DATOS_[[Check Equiparado]:[Check Equiparado]]="Sí",IF(DATOS!AK$4="Sí",(1/DATOS_[[% anualiz]:[% anualiz]]),1)*IF(DATOS!AK$5="Sí",1/DATOS_[[% normaliz]:[% normaliz]],1)*(DATOS_[Conc.Sal.07])))))))), 0)</f>
        <v>0</v>
      </c>
      <c r="Q98" s="250" t="n">
        <f aca="false" t="array" ref="Q98:Q98">IFERROR( (MEDIAN((IF(DATOS_[[Sexo]:[Sexo]]=$B98,IF(DATOS_[[AGRUP. CLAS. PROF.]:[AGRUP. CLAS. PROF.]]=$B96,IF(DATOS_[[Check Periodo Ref.]:[Check Periodo Ref.]]="Dentro",IF(DATOS_[[Check Equiparado]:[Check Equiparado]]="Sí",IF(DATOS!AL$4="Sí",(1/DATOS_[[% anualiz]:[% anualiz]]),1)*IF(DATOS!AL$5="Sí",1/DATOS_[[% normaliz]:[% normaliz]],1)*(DATOS_[Conc.Sal.08])))))))), 0)</f>
        <v>0</v>
      </c>
      <c r="R98" s="250" t="n">
        <f aca="false" t="array" ref="R98:R98">IFERROR( (MEDIAN((IF(DATOS_[[Sexo]:[Sexo]]=$B98,IF(DATOS_[[AGRUP. CLAS. PROF.]:[AGRUP. CLAS. PROF.]]=$B96,IF(DATOS_[[Check Periodo Ref.]:[Check Periodo Ref.]]="Dentro",IF(DATOS_[[Check Equiparado]:[Check Equiparado]]="Sí",IF(DATOS!AM$4="Sí",(1/DATOS_[[% anualiz]:[% anualiz]]),1)*IF(DATOS!AM$5="Sí",1/DATOS_[[% normaliz]:[% normaliz]],1)*(DATOS_[Conc.Sal.09])))))))), 0)</f>
        <v>0</v>
      </c>
      <c r="S98" s="250" t="n">
        <f aca="false" t="array" ref="S98:S98">IFERROR( (MEDIAN((IF(DATOS_[[Sexo]:[Sexo]]=$B98,IF(DATOS_[[AGRUP. CLAS. PROF.]:[AGRUP. CLAS. PROF.]]=$B96,IF(DATOS_[[Check Periodo Ref.]:[Check Periodo Ref.]]="Dentro",IF(DATOS_[[Check Equiparado]:[Check Equiparado]]="Sí",IF(DATOS!AN$4="Sí",(1/DATOS_[[% anualiz]:[% anualiz]]),1)*IF(DATOS!AN$5="Sí",1/DATOS_[[% normaliz]:[% normaliz]],1)*(DATOS_[Conc.Sal.10])))))))), 0)</f>
        <v>0</v>
      </c>
      <c r="T98" s="250" t="n">
        <f aca="false" t="array" ref="T98:T98">IFERROR( (MEDIAN((IF(DATOS_[[Sexo]:[Sexo]]=$B98,IF(DATOS_[[AGRUP. CLAS. PROF.]:[AGRUP. CLAS. PROF.]]=$B96,IF(DATOS_[[Check Periodo Ref.]:[Check Periodo Ref.]]="Dentro",IF(DATOS_[[Check Equiparado]:[Check Equiparado]]="Sí",IF(DATOS!AO$4="Sí",(1/DATOS_[[% anualiz]:[% anualiz]]),1)*IF(DATOS!AO$5="Sí",1/DATOS_[[% normaliz]:[% normaliz]],1)*(DATOS_[Conc.Sal.11])))))))), 0)</f>
        <v>0</v>
      </c>
      <c r="U98" s="250" t="n">
        <f aca="false" t="array" ref="U98:U98">IFERROR( (MEDIAN((IF(DATOS_[[Sexo]:[Sexo]]=$B98,IF(DATOS_[[AGRUP. CLAS. PROF.]:[AGRUP. CLAS. PROF.]]=$B96,IF(DATOS_[[Check Periodo Ref.]:[Check Periodo Ref.]]="Dentro",IF(DATOS_[[Check Equiparado]:[Check Equiparado]]="Sí",IF(DATOS!AP$4="Sí",(1/DATOS_[[% anualiz]:[% anualiz]]),1)*IF(DATOS!AP$5="Sí",1/DATOS_[[% normaliz]:[% normaliz]],1)*(DATOS_[Conc.Sal.12])))))))), 0)</f>
        <v>0</v>
      </c>
      <c r="V98" s="250" t="n">
        <f aca="false" t="array" ref="V98:V98">IFERROR( (MEDIAN((IF(DATOS_[[Sexo]:[Sexo]]=$B98,IF(DATOS_[[AGRUP. CLAS. PROF.]:[AGRUP. CLAS. PROF.]]=$B96,IF(DATOS_[[Check Periodo Ref.]:[Check Periodo Ref.]]="Dentro",IF(DATOS_[[Check Equiparado]:[Check Equiparado]]="Sí",IF(DATOS!AQ$4="Sí",(1/DATOS_[[% anualiz]:[% anualiz]]),1)*IF(DATOS!AQ$5="Sí",1/DATOS_[[% normaliz]:[% normaliz]],1)*(DATOS_[Conc.Sal.13])))))))), 0)</f>
        <v>0</v>
      </c>
      <c r="W98" s="250" t="n">
        <f aca="false" t="array" ref="W98:W98">IFERROR( (MEDIAN((IF(DATOS_[[Sexo]:[Sexo]]=$B98,IF(DATOS_[[AGRUP. CLAS. PROF.]:[AGRUP. CLAS. PROF.]]=$B96,IF(DATOS_[[Check Periodo Ref.]:[Check Periodo Ref.]]="Dentro",IF(DATOS_[[Check Equiparado]:[Check Equiparado]]="Sí",IF(DATOS!AR$4="Sí",(1/DATOS_[[% anualiz]:[% anualiz]]),1)*IF(DATOS!AR$5="Sí",1/DATOS_[[% normaliz]:[% normaliz]],1)*(DATOS_[Conc.Sal.14])))))))), 0)</f>
        <v>0</v>
      </c>
      <c r="X98" s="250" t="n">
        <f aca="false" t="array" ref="X98:X98">IFERROR( (MEDIAN((IF(DATOS_[[Sexo]:[Sexo]]=$B98,IF(DATOS_[[AGRUP. CLAS. PROF.]:[AGRUP. CLAS. PROF.]]=$B96,IF(DATOS_[[Check Periodo Ref.]:[Check Periodo Ref.]]="Dentro",IF(DATOS_[[Check Equiparado]:[Check Equiparado]]="Sí",IF(DATOS!AS$4="Sí",(1/DATOS_[[% anualiz]:[% anualiz]]),1)*IF(DATOS!AS$5="Sí",1/DATOS_[[% normaliz]:[% normaliz]],1)*(DATOS_[Conc.Sal.15])))))))), 0)</f>
        <v>0</v>
      </c>
      <c r="Y98" s="250" t="n">
        <f aca="false" t="array" ref="Y98:Y98">IFERROR( (MEDIAN((IF(DATOS_[[Sexo]:[Sexo]]=$B98,IF(DATOS_[[AGRUP. CLAS. PROF.]:[AGRUP. CLAS. PROF.]]=$B96,IF(DATOS_[[Check Periodo Ref.]:[Check Periodo Ref.]]="Dentro",IF(DATOS_[[Check Equiparado]:[Check Equiparado]]="Sí",IF(DATOS!AT$4="Sí",(1/DATOS_[[% anualiz]:[% anualiz]]),1)*IF(DATOS!AT$5="Sí",1/DATOS_[[% normaliz]:[% normaliz]],1)*(DATOS_[Conc.Sal.16])))))))), 0)</f>
        <v>0</v>
      </c>
      <c r="Z98" s="250" t="n">
        <f aca="false" t="array" ref="Z98:Z98">IFERROR( (MEDIAN((IF(DATOS_[[Sexo]:[Sexo]]=$B98,IF(DATOS_[[AGRUP. CLAS. PROF.]:[AGRUP. CLAS. PROF.]]=$B96,IF(DATOS_[[Check Periodo Ref.]:[Check Periodo Ref.]]="Dentro",IF(DATOS_[[Check Equiparado]:[Check Equiparado]]="Sí",IF(DATOS!AU$4="Sí",(1/DATOS_[[% anualiz]:[% anualiz]]),1)*IF(DATOS!AU$5="Sí",1/DATOS_[[% normaliz]:[% normaliz]],1)*(DATOS_[Conc.Sal.17])))))))), 0)</f>
        <v>0</v>
      </c>
      <c r="AA98" s="250" t="n">
        <f aca="false" t="array" ref="AA98:AA98">IFERROR( (MEDIAN((IF(DATOS_[[Sexo]:[Sexo]]=$B98,IF(DATOS_[[AGRUP. CLAS. PROF.]:[AGRUP. CLAS. PROF.]]=$B96,IF(DATOS_[[Check Periodo Ref.]:[Check Periodo Ref.]]="Dentro",IF(DATOS_[[Check Equiparado]:[Check Equiparado]]="Sí",IF(DATOS!AV$4="Sí",(1/DATOS_[[% anualiz]:[% anualiz]]),1)*IF(DATOS!AV$5="Sí",1/DATOS_[[% normaliz]:[% normaliz]],1)*(DATOS_[Conc.Sal.18])))))))), 0)</f>
        <v>0</v>
      </c>
      <c r="AB98" s="250" t="n">
        <f aca="false" t="array" ref="AB98:AB98">IFERROR( (MEDIAN((IF(DATOS_[[Sexo]:[Sexo]]=$B98,IF(DATOS_[[AGRUP. CLAS. PROF.]:[AGRUP. CLAS. PROF.]]=$B96,IF(DATOS_[[Check Periodo Ref.]:[Check Periodo Ref.]]="Dentro",IF(DATOS_[[Check Equiparado]:[Check Equiparado]]="Sí",IF(DATOS!AW$4="Sí",(1/DATOS_[[% anualiz]:[% anualiz]]),1)*IF(DATOS!AW$5="Sí",1/DATOS_[[% normaliz]:[% normaliz]],1)*(DATOS_[Conc.Sal.19])))))))), 0)</f>
        <v>0</v>
      </c>
      <c r="AC98" s="250" t="n">
        <f aca="false" t="array" ref="AC98:AC98">IFERROR( (MEDIAN((IF(DATOS_[[Sexo]:[Sexo]]=$B98,IF(DATOS_[[AGRUP. CLAS. PROF.]:[AGRUP. CLAS. PROF.]]=$B96,IF(DATOS_[[Check Periodo Ref.]:[Check Periodo Ref.]]="Dentro",IF(DATOS_[[Check Equiparado]:[Check Equiparado]]="Sí",IF(DATOS!AX$4="Sí",(1/DATOS_[[% anualiz]:[% anualiz]]),1)*IF(DATOS!AX$5="Sí",1/DATOS_[[% normaliz]:[% normaliz]],1)*(DATOS_[Conc.Sal.20])))))))), 0)</f>
        <v>0</v>
      </c>
      <c r="AD98" s="250" t="n">
        <f aca="false" t="array" ref="AD98:AD98">IFERROR( (MEDIAN((IF(DATOS_[[Sexo]:[Sexo]]=$B98,IF(DATOS_[[AGRUP. CLAS. PROF.]:[AGRUP. CLAS. PROF.]]=$B96,IF(DATOS_[[Check Periodo Ref.]:[Check Periodo Ref.]]="Dentro",IF(DATOS_[[Check Equiparado]:[Check Equiparado]]="Sí",IF(DATOS!AY$4="Sí",(1/DATOS_[[% anualiz]:[% anualiz]]),1)*IF(DATOS!AY$5="Sí",1/DATOS_[[% normaliz]:[% normaliz]],1)*(DATOS_[Conc.Sal.21])))))))), 0)</f>
        <v>0</v>
      </c>
      <c r="AE98" s="250" t="n">
        <f aca="false" t="array" ref="AE98:AE98">IFERROR( (MEDIAN((IF(DATOS_[[Sexo]:[Sexo]]=$B98,IF(DATOS_[[AGRUP. CLAS. PROF.]:[AGRUP. CLAS. PROF.]]=$B96,IF(DATOS_[[Check Periodo Ref.]:[Check Periodo Ref.]]="Dentro",IF(DATOS_[[Check Equiparado]:[Check Equiparado]]="Sí",IF(DATOS!AZ$4="Sí",(1/DATOS_[[% anualiz]:[% anualiz]]),1)*IF(DATOS!AZ$5="Sí",1/DATOS_[[% normaliz]:[% normaliz]],1)*(DATOS_[Conc.Sal.22])))))))), 0)</f>
        <v>0</v>
      </c>
      <c r="AF98" s="250" t="n">
        <f aca="false" t="array" ref="AF98:AF98">IFERROR( (MEDIAN((IF(DATOS_[[Sexo]:[Sexo]]=$B98,IF(DATOS_[[AGRUP. CLAS. PROF.]:[AGRUP. CLAS. PROF.]]=$B96,IF(DATOS_[[Check Periodo Ref.]:[Check Periodo Ref.]]="Dentro",IF(DATOS_[[Check Equiparado]:[Check Equiparado]]="Sí",IF(DATOS!BA$4="Sí",(1/DATOS_[[% anualiz]:[% anualiz]]),1)*IF(DATOS!BA$5="Sí",1/DATOS_[[% normaliz]:[% normaliz]],1)*(DATOS_[Conc.Sal.23])))))))), 0)</f>
        <v>0</v>
      </c>
      <c r="AG98" s="250" t="n">
        <f aca="false" t="array" ref="AG98:AG98">IFERROR( (MEDIAN((IF(DATOS_[[Sexo]:[Sexo]]=$B98,IF(DATOS_[[AGRUP. CLAS. PROF.]:[AGRUP. CLAS. PROF.]]=$B96,IF(DATOS_[[Check Periodo Ref.]:[Check Periodo Ref.]]="Dentro",IF(DATOS_[[Check Equiparado]:[Check Equiparado]]="Sí",IF(DATOS!BB$4="Sí",(1/DATOS_[[% anualiz]:[% anualiz]]),1)*IF(DATOS!BB$5="Sí",1/DATOS_[[% normaliz]:[% normaliz]],1)*(DATOS_[Conc.Sal.24])))))))), 0)</f>
        <v>0</v>
      </c>
      <c r="AH98" s="250" t="n">
        <f aca="false" t="array" ref="AH98:AH98">IFERROR( (MEDIAN((IF(DATOS_[[Sexo]:[Sexo]]=$B98,IF(DATOS_[[AGRUP. CLAS. PROF.]:[AGRUP. CLAS. PROF.]]=$B96,IF(DATOS_[[Check Periodo Ref.]:[Check Periodo Ref.]]="Dentro",IF(DATOS_[[Check Equiparado]:[Check Equiparado]]="Sí",IF(DATOS!BC$4="Sí",(1/DATOS_[[% anualiz]:[% anualiz]]),1)*IF(DATOS!BC$5="Sí",1/DATOS_[[% normaliz]:[% normaliz]],1)*(DATOS_[Conc.Sal.25])))))))), 0)</f>
        <v>0</v>
      </c>
      <c r="AI98" s="250" t="n">
        <f aca="false" t="array" ref="AI98:AI98">IFERROR( (MEDIAN((IF(DATOS_[[Sexo]:[Sexo]]=$B98,IF(DATOS_[[AGRUP. CLAS. PROF.]:[AGRUP. CLAS. PROF.]]=$B96,IF(DATOS_[[Check Periodo Ref.]:[Check Periodo Ref.]]="Dentro",IF(DATOS_[[Check Equiparado]:[Check Equiparado]]="Sí",IF(DATOS!BD$4="Sí",(1/DATOS_[[% anualiz]:[% anualiz]]),1)*IF(DATOS!BD$5="Sí",1/DATOS_[[% normaliz]:[% normaliz]],1)*(DATOS_[Conc.Sal.26])))))))), 0)</f>
        <v>0</v>
      </c>
      <c r="AJ98" s="250" t="n">
        <f aca="false" t="array" ref="AJ98:AJ98">IFERROR( (MEDIAN((IF(DATOS_[[Sexo]:[Sexo]]=$B98,IF(DATOS_[[AGRUP. CLAS. PROF.]:[AGRUP. CLAS. PROF.]]=$B96,IF(DATOS_[[Check Periodo Ref.]:[Check Periodo Ref.]]="Dentro",IF(DATOS_[[Check Equiparado]:[Check Equiparado]]="Sí",IF(DATOS!BE$4="Sí",(1/DATOS_[[% anualiz]:[% anualiz]]),1)*IF(DATOS!BE$5="Sí",1/DATOS_[[% normaliz]:[% normaliz]],1)*(DATOS_[Conc.Sal.27])))))))), 0)</f>
        <v>0</v>
      </c>
      <c r="AK98" s="250" t="n">
        <f aca="false" t="array" ref="AK98:AK98">IFERROR( (MEDIAN((IF(DATOS_[[Sexo]:[Sexo]]=$B98,IF(DATOS_[[AGRUP. CLAS. PROF.]:[AGRUP. CLAS. PROF.]]=$B96,IF(DATOS_[[Check Periodo Ref.]:[Check Periodo Ref.]]="Dentro",IF(DATOS_[[Check Equiparado]:[Check Equiparado]]="Sí",IF(DATOS!BF$4="Sí",(1/DATOS_[[% anualiz]:[% anualiz]]),1)*IF(DATOS!BF$5="Sí",1/DATOS_[[% normaliz]:[% normaliz]],1)*(DATOS_[Conc.Sal.28])))))))), 0)</f>
        <v>0</v>
      </c>
      <c r="AL98" s="250" t="n">
        <f aca="false" t="array" ref="AL98:AL98">IFERROR( (MEDIAN((IF(DATOS_[[Sexo]:[Sexo]]=$B98,IF(DATOS_[[AGRUP. CLAS. PROF.]:[AGRUP. CLAS. PROF.]]=$B96,IF(DATOS_[[Check Periodo Ref.]:[Check Periodo Ref.]]="Dentro",IF(DATOS_[[Check Equiparado]:[Check Equiparado]]="Sí",IF(DATOS!BG$4="Sí",(1/DATOS_[[% anualiz]:[% anualiz]]),1)*IF(DATOS!BG$5="Sí",1/DATOS_[[% normaliz]:[% normaliz]],1)*(DATOS_[Conc.Sal.29])))))))), 0)</f>
        <v>0</v>
      </c>
      <c r="AM98" s="250" t="n">
        <f aca="false" t="array" ref="AM98:AM98">IFERROR( (MEDIAN((IF(DATOS_[[Sexo]:[Sexo]]=$B98,IF(DATOS_[[AGRUP. CLAS. PROF.]:[AGRUP. CLAS. PROF.]]=$B96,IF(DATOS_[[Check Periodo Ref.]:[Check Periodo Ref.]]="Dentro",IF(DATOS_[[Check Equiparado]:[Check Equiparado]]="Sí",IF(DATOS!BH$4="Sí",(1/DATOS_[[% anualiz]:[% anualiz]]),1)*IF(DATOS!BH$5="Sí",1/DATOS_[[% normaliz]:[% normaliz]],1)*(DATOS_[Conc.Sal.30])))))))), 0)</f>
        <v>0</v>
      </c>
      <c r="AN98" s="251" t="n">
        <f aca="false" t="array" ref="AN98:AN98">IFERROR( MEDIAN(IF(DATOS_[Sexo]=$B98,IF(DATOS_[[AGRUP. CLAS. PROF.]:[AGRUP. CLAS. PROF.]]=$B96,IF(DATOS_[Check Equiparado]="Sí",IF(DATOS_[Check Periodo Ref.]="Dentro",DATOS_[Tot COMPL.SAL Eq],0))))), 0)</f>
        <v>0</v>
      </c>
      <c r="AO98" s="252" t="n">
        <f aca="false" t="array" ref="AO98:AO98">IFERROR( MEDIAN(IF(DATOS_[Sexo]=$B98,IF(DATOS_[[AGRUP. CLAS. PROF.]:[AGRUP. CLAS. PROF.]]=$B96,IF(DATOS_[Check Equiparado]="Sí",IF(DATOS_[Check Periodo Ref.]="Dentro",DATOS_[TOTAL SALARIO Eq],0))))), 0)</f>
        <v>0</v>
      </c>
      <c r="AP98" s="259" t="n">
        <f aca="false" t="array" ref="AP98:AP98">IFERROR( (MEDIAN((IF(DATOS_[[Sexo]:[Sexo]]=$B98,IF(DATOS_[[AGRUP. CLAS. PROF.]:[AGRUP. CLAS. PROF.]]=$B97,IF(DATOS_[[Check Periodo Ref.]:[Check Periodo Ref.]]="Dentro",IF(DATOS_[[Check Equiparado]:[Check Equiparado]]="Sí",IF(DATOS!BI$4="Sí",(1/DATOS_[[% anualiz]:[% anualiz]]),1)*IF(DATOS!BI$5="Sí",1/DATOS_[[% normaliz]:[% normaliz]],1)*(DATOS_[C.Extra.01])))))))), 0)</f>
        <v>0</v>
      </c>
      <c r="AQ98" s="259" t="n">
        <f aca="false" t="array" ref="AQ98:AQ98">IFERROR( (MEDIAN((IF(DATOS_[[Sexo]:[Sexo]]=$B98,IF(DATOS_[[AGRUP. CLAS. PROF.]:[AGRUP. CLAS. PROF.]]=$B97,IF(DATOS_[[Check Periodo Ref.]:[Check Periodo Ref.]]="Dentro",IF(DATOS_[[Check Equiparado]:[Check Equiparado]]="Sí",IF(DATOS!BJ$4="Sí",(1/DATOS_[[% anualiz]:[% anualiz]]),1)*IF(DATOS!BJ$5="Sí",1/DATOS_[[% normaliz]:[% normaliz]],1)*(DATOS_[C.Extra.02])))))))), 0)</f>
        <v>0</v>
      </c>
      <c r="AR98" s="259" t="n">
        <f aca="false" t="array" ref="AR98:AR98">IFERROR( (MEDIAN((IF(DATOS_[[Sexo]:[Sexo]]=$B98,IF(DATOS_[[AGRUP. CLAS. PROF.]:[AGRUP. CLAS. PROF.]]=$B97,IF(DATOS_[[Check Periodo Ref.]:[Check Periodo Ref.]]="Dentro",IF(DATOS_[[Check Equiparado]:[Check Equiparado]]="Sí",IF(DATOS!BK$4="Sí",(1/DATOS_[[% anualiz]:[% anualiz]]),1)*IF(DATOS!BK$5="Sí",1/DATOS_[[% normaliz]:[% normaliz]],1)*(DATOS_[C.Extra.03])))))))), 0)</f>
        <v>0</v>
      </c>
      <c r="AS98" s="259" t="n">
        <f aca="false" t="array" ref="AS98:AS98">IFERROR( (MEDIAN((IF(DATOS_[[Sexo]:[Sexo]]=$B98,IF(DATOS_[[AGRUP. CLAS. PROF.]:[AGRUP. CLAS. PROF.]]=$B97,IF(DATOS_[[Check Periodo Ref.]:[Check Periodo Ref.]]="Dentro",IF(DATOS_[[Check Equiparado]:[Check Equiparado]]="Sí",IF(DATOS!BL$4="Sí",(1/DATOS_[[% anualiz]:[% anualiz]]),1)*IF(DATOS!BL$5="Sí",1/DATOS_[[% normaliz]:[% normaliz]],1)*(DATOS_[C.Extra.04])))))))), 0)</f>
        <v>0</v>
      </c>
      <c r="AT98" s="259" t="n">
        <f aca="false" t="array" ref="AT98:AT98">IFERROR( (MEDIAN((IF(DATOS_[[Sexo]:[Sexo]]=$B98,IF(DATOS_[[AGRUP. CLAS. PROF.]:[AGRUP. CLAS. PROF.]]=$B97,IF(DATOS_[[Check Periodo Ref.]:[Check Periodo Ref.]]="Dentro",IF(DATOS_[[Check Equiparado]:[Check Equiparado]]="Sí",IF(DATOS!BM$4="Sí",(1/DATOS_[[% anualiz]:[% anualiz]]),1)*IF(DATOS!BM$5="Sí",1/DATOS_[[% normaliz]:[% normaliz]],1)*(DATOS_[C.Extra.05])))))))), 0)</f>
        <v>0</v>
      </c>
      <c r="AU98" s="254" t="n">
        <f aca="false" t="array" ref="AU98:AU98">IFERROR( MEDIAN(IF(DATOS_[Sexo]=$B98,IF(DATOS_[[AGRUP. CLAS. PROF.]:[AGRUP. CLAS. PROF.]]=$B96,IF(DATOS_[Check Equiparado]="Sí",IF(DATOS_[Check Periodo Ref.]="Dentro",DATOS_[Tot Extrasalarial Eq],0))))), 0)</f>
        <v>0</v>
      </c>
      <c r="AV98" s="255" t="n">
        <f aca="false" t="array" ref="AV98:AV98">IFERROR( MEDIAN(IF(DATOS_[Sexo]=$B98,IF(DATOS_[[AGRUP. CLAS. PROF.]:[AGRUP. CLAS. PROF.]]=$B96,IF(DATOS_[Check Equiparado]="Sí",IF(DATOS_[Check Periodo Ref.]="Dentro",DATOS_[TOTAL Retrib Eq],0))))), 0)</f>
        <v>0</v>
      </c>
    </row>
    <row r="99" customFormat="false" ht="15.75" hidden="false" customHeight="false" outlineLevel="0" collapsed="false">
      <c r="A99" s="217" t="str">
        <f aca="false">+A100</f>
        <v>[ocultar]</v>
      </c>
      <c r="B99" s="320" t="s">
        <v>252</v>
      </c>
      <c r="C99" s="236"/>
      <c r="D99" s="237"/>
      <c r="E99" s="237"/>
      <c r="F99" s="237"/>
      <c r="G99" s="237"/>
      <c r="H99" s="237"/>
      <c r="I99" s="238"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39" t="str">
        <f aca="false">IFERROR((V100-V101)/V100,"")</f>
        <v/>
      </c>
      <c r="W99" s="239" t="str">
        <f aca="false">IFERROR((W100-W101)/W100,"")</f>
        <v/>
      </c>
      <c r="X99" s="239" t="str">
        <f aca="false">IFERROR((X100-X101)/X100,"")</f>
        <v/>
      </c>
      <c r="Y99" s="239"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0" t="str">
        <f aca="false">IFERROR((AJ100-AJ101)/AJ100,"")</f>
        <v/>
      </c>
      <c r="AK99" s="240" t="str">
        <f aca="false">IFERROR((AK100-AK101)/AK100,"")</f>
        <v/>
      </c>
      <c r="AL99" s="240" t="str">
        <f aca="false">IFERROR((AL100-AL101)/AL100,"")</f>
        <v/>
      </c>
      <c r="AM99" s="240" t="str">
        <f aca="false">IFERROR((AM100-AM101)/AM100,"")</f>
        <v/>
      </c>
      <c r="AN99" s="241" t="str">
        <f aca="false">IFERROR((AN100-AN101)/AN100,"")</f>
        <v/>
      </c>
      <c r="AO99" s="242" t="str">
        <f aca="false">IFERROR((AO100-AO101)/AO100,"")</f>
        <v/>
      </c>
      <c r="AP99" s="243" t="str">
        <f aca="false">IFERROR((AP100-AP101)/AP100,"")</f>
        <v/>
      </c>
      <c r="AQ99" s="243" t="str">
        <f aca="false">IFERROR((AQ100-AQ101)/AQ100,"")</f>
        <v/>
      </c>
      <c r="AR99" s="243" t="str">
        <f aca="false">IFERROR((AR100-AR101)/AR100,"")</f>
        <v/>
      </c>
      <c r="AS99" s="243" t="str">
        <f aca="false">IFERROR((AS100-AS101)/AS100,"")</f>
        <v/>
      </c>
      <c r="AT99" s="243" t="str">
        <f aca="false">IFERROR((AT100-AT101)/AT100,"")</f>
        <v/>
      </c>
      <c r="AU99" s="244" t="str">
        <f aca="false">IFERROR((AU100-AU101)/AU100,"")</f>
        <v/>
      </c>
      <c r="AV99" s="245" t="str">
        <f aca="false">IFERROR((AV100-AV101)/AV100,"")</f>
        <v/>
      </c>
    </row>
    <row r="100" customFormat="false" ht="14.25" hidden="false" customHeight="false" outlineLevel="0" collapsed="false">
      <c r="A100" s="217" t="str">
        <f aca="false">+IF(C100+C101=0,"[ocultar]","")</f>
        <v>[ocultar]</v>
      </c>
      <c r="B100" s="323" t="s">
        <v>371</v>
      </c>
      <c r="C100" s="247" t="n">
        <f aca="false" t="array" ref="C100:C100">SUM(IF($B100=DATOS_[Sexo], IF($B99=DATOS_[AGRUP. CLAS. PROF.], IF("Dentro"=DATOS_[Check Periodo Ref.], 1/(COUNTIFS(DATOS_[Sexo],$B100,DATOS_[AGRUP. CLAS. PROF.],$B99,DATOS_[Check Periodo Ref.],"Dentro",DATOS_[id],DATOS_[id]))))))</f>
        <v>0</v>
      </c>
      <c r="D100" s="248" t="n">
        <f aca="false">COUNTIFS(DATOS_[AGRUP. CLAS. PROF.],$B99,DATOS_[Sexo],$B100,DATOS_[Check Periodo Ref.],"Dentro")</f>
        <v>0</v>
      </c>
      <c r="E100" s="248" t="n">
        <f aca="false">COUNTIFS(DATOS_[AGRUP. CLAS. PROF.],$B99,DATOS_[Sexo],$B100,DATOS_[Check Periodo Ref.],"Dentro",DATOS_[Check Nº SC Norm],"Sí")</f>
        <v>0</v>
      </c>
      <c r="F100" s="248" t="n">
        <f aca="false">COUNTIFS(DATOS_[AGRUP. CLAS. PROF.],$B99,DATOS_[Sexo],$B100,DATOS_[Check Periodo Ref.],"Dentro",DATOS_[Check Nº SC Anualiz],"Sí")</f>
        <v>0</v>
      </c>
      <c r="G100" s="248" t="n">
        <f aca="false">COUNTIFS(DATOS_[AGRUP. CLAS. PROF.],$B99,DATOS_[Sexo],$B100,DATOS_[Check Periodo Ref.],"Dentro",DATOS_[Check Nº SC Norm y Anualiz],"Sí")</f>
        <v>0</v>
      </c>
      <c r="H100" s="248" t="n">
        <f aca="false">COUNTIFS(DATOS_[AGRUP. CLAS. PROF.],$B99,DATOS_[Sexo],$B100,DATOS_[Check Periodo Ref.],"Dentro",DATOS_[Check Equiparación],"Sí")</f>
        <v>0</v>
      </c>
      <c r="I100" s="249" t="n">
        <f aca="false" t="array" ref="I100:I100">IFERROR( MEDIAN(IF(DATOS_[Sexo]=$B100,IF(DATOS_[[AGRUP. CLAS. PROF.]:[AGRUP. CLAS. PROF.]]=$B99,IF(DATOS_[Check Equiparado]="Sí",IF(DATOS_[Check Periodo Ref.]="Dentro",DATOS_[SALARIO BASE Eq],0))))), 0)</f>
        <v>0</v>
      </c>
      <c r="J100" s="250" t="n">
        <f aca="false" t="array" ref="J100:J100">IFERROR( (MEDIAN((IF(DATOS_[[Sexo]:[Sexo]]=$B100,IF(DATOS_[[AGRUP. CLAS. PROF.]:[AGRUP. CLAS. PROF.]]=$B99,IF(DATOS_[[Check Periodo Ref.]:[Check Periodo Ref.]]="Dentro",IF(DATOS_[[Check Equiparado]:[Check Equiparado]]="Sí",IF(DATOS!AE$4="Sí",(1/DATOS_[[% anualiz]:[% anualiz]]),1)*IF(DATOS!AE$5="Sí",1/DATOS_[[% normaliz]:[% normaliz]],1)*(DATOS_[Conc.Sal.01])))))))), 0)</f>
        <v>0</v>
      </c>
      <c r="K100" s="250" t="n">
        <f aca="false" t="array" ref="K100:K100">IFERROR( (MEDIAN((IF(DATOS_[[Sexo]:[Sexo]]=$B100,IF(DATOS_[[AGRUP. CLAS. PROF.]:[AGRUP. CLAS. PROF.]]=$B99,IF(DATOS_[[Check Periodo Ref.]:[Check Periodo Ref.]]="Dentro",IF(DATOS_[[Check Equiparado]:[Check Equiparado]]="Sí",IF(DATOS!AF$4="Sí",(1/DATOS_[[% anualiz]:[% anualiz]]),1)*IF(DATOS!AF$5="Sí",1/DATOS_[[% normaliz]:[% normaliz]],1)*(DATOS_[Conc.Sal.02])))))))), 0)</f>
        <v>0</v>
      </c>
      <c r="L100" s="250" t="n">
        <f aca="false" t="array" ref="L100:L100">IFERROR( (MEDIAN((IF(DATOS_[[Sexo]:[Sexo]]=$B100,IF(DATOS_[[AGRUP. CLAS. PROF.]:[AGRUP. CLAS. PROF.]]=$B99,IF(DATOS_[[Check Periodo Ref.]:[Check Periodo Ref.]]="Dentro",IF(DATOS_[[Check Equiparado]:[Check Equiparado]]="Sí",IF(DATOS!AG$4="Sí",(1/DATOS_[[% anualiz]:[% anualiz]]),1)*IF(DATOS!AG$5="Sí",1/DATOS_[[% normaliz]:[% normaliz]],1)*(DATOS_[Conc.Sal.03])))))))), 0)</f>
        <v>0</v>
      </c>
      <c r="M100" s="250" t="n">
        <f aca="false" t="array" ref="M100:M100">IFERROR( (MEDIAN((IF(DATOS_[[Sexo]:[Sexo]]=$B100,IF(DATOS_[[AGRUP. CLAS. PROF.]:[AGRUP. CLAS. PROF.]]=$B99,IF(DATOS_[[Check Periodo Ref.]:[Check Periodo Ref.]]="Dentro",IF(DATOS_[[Check Equiparado]:[Check Equiparado]]="Sí",IF(DATOS!AH$4="Sí",(1/DATOS_[[% anualiz]:[% anualiz]]),1)*IF(DATOS!AH$5="Sí",1/DATOS_[[% normaliz]:[% normaliz]],1)*(DATOS_[Conc.Sal.04])))))))), 0)</f>
        <v>0</v>
      </c>
      <c r="N100" s="250" t="n">
        <f aca="false" t="array" ref="N100:N100">IFERROR( (MEDIAN((IF(DATOS_[[Sexo]:[Sexo]]=$B100,IF(DATOS_[[AGRUP. CLAS. PROF.]:[AGRUP. CLAS. PROF.]]=$B99,IF(DATOS_[[Check Periodo Ref.]:[Check Periodo Ref.]]="Dentro",IF(DATOS_[[Check Equiparado]:[Check Equiparado]]="Sí",IF(DATOS!AI$4="Sí",(1/DATOS_[[% anualiz]:[% anualiz]]),1)*IF(DATOS!AI$5="Sí",1/DATOS_[[% normaliz]:[% normaliz]],1)*(DATOS_[Conc.Sal.05])))))))), 0)</f>
        <v>0</v>
      </c>
      <c r="O100" s="250" t="n">
        <f aca="false" t="array" ref="O100:O100">IFERROR( (MEDIAN((IF(DATOS_[[Sexo]:[Sexo]]=$B100,IF(DATOS_[[AGRUP. CLAS. PROF.]:[AGRUP. CLAS. PROF.]]=$B99,IF(DATOS_[[Check Periodo Ref.]:[Check Periodo Ref.]]="Dentro",IF(DATOS_[[Check Equiparado]:[Check Equiparado]]="Sí",IF(DATOS!AJ$4="Sí",(1/DATOS_[[% anualiz]:[% anualiz]]),1)*IF(DATOS!AJ$5="Sí",1/DATOS_[[% normaliz]:[% normaliz]],1)*(DATOS_[Conc.Sal.06])))))))), 0)</f>
        <v>0</v>
      </c>
      <c r="P100" s="250" t="n">
        <f aca="false" t="array" ref="P100:P100">IFERROR( (MEDIAN((IF(DATOS_[[Sexo]:[Sexo]]=$B100,IF(DATOS_[[AGRUP. CLAS. PROF.]:[AGRUP. CLAS. PROF.]]=$B99,IF(DATOS_[[Check Periodo Ref.]:[Check Periodo Ref.]]="Dentro",IF(DATOS_[[Check Equiparado]:[Check Equiparado]]="Sí",IF(DATOS!AK$4="Sí",(1/DATOS_[[% anualiz]:[% anualiz]]),1)*IF(DATOS!AK$5="Sí",1/DATOS_[[% normaliz]:[% normaliz]],1)*(DATOS_[Conc.Sal.07])))))))), 0)</f>
        <v>0</v>
      </c>
      <c r="Q100" s="250" t="n">
        <f aca="false" t="array" ref="Q100:Q100">IFERROR( (MEDIAN((IF(DATOS_[[Sexo]:[Sexo]]=$B100,IF(DATOS_[[AGRUP. CLAS. PROF.]:[AGRUP. CLAS. PROF.]]=$B99,IF(DATOS_[[Check Periodo Ref.]:[Check Periodo Ref.]]="Dentro",IF(DATOS_[[Check Equiparado]:[Check Equiparado]]="Sí",IF(DATOS!AL$4="Sí",(1/DATOS_[[% anualiz]:[% anualiz]]),1)*IF(DATOS!AL$5="Sí",1/DATOS_[[% normaliz]:[% normaliz]],1)*(DATOS_[Conc.Sal.08])))))))), 0)</f>
        <v>0</v>
      </c>
      <c r="R100" s="250" t="n">
        <f aca="false" t="array" ref="R100:R100">IFERROR( (MEDIAN((IF(DATOS_[[Sexo]:[Sexo]]=$B100,IF(DATOS_[[AGRUP. CLAS. PROF.]:[AGRUP. CLAS. PROF.]]=$B99,IF(DATOS_[[Check Periodo Ref.]:[Check Periodo Ref.]]="Dentro",IF(DATOS_[[Check Equiparado]:[Check Equiparado]]="Sí",IF(DATOS!AM$4="Sí",(1/DATOS_[[% anualiz]:[% anualiz]]),1)*IF(DATOS!AM$5="Sí",1/DATOS_[[% normaliz]:[% normaliz]],1)*(DATOS_[Conc.Sal.09])))))))), 0)</f>
        <v>0</v>
      </c>
      <c r="S100" s="250" t="n">
        <f aca="false" t="array" ref="S100:S100">IFERROR( (MEDIAN((IF(DATOS_[[Sexo]:[Sexo]]=$B100,IF(DATOS_[[AGRUP. CLAS. PROF.]:[AGRUP. CLAS. PROF.]]=$B99,IF(DATOS_[[Check Periodo Ref.]:[Check Periodo Ref.]]="Dentro",IF(DATOS_[[Check Equiparado]:[Check Equiparado]]="Sí",IF(DATOS!AN$4="Sí",(1/DATOS_[[% anualiz]:[% anualiz]]),1)*IF(DATOS!AN$5="Sí",1/DATOS_[[% normaliz]:[% normaliz]],1)*(DATOS_[Conc.Sal.10])))))))), 0)</f>
        <v>0</v>
      </c>
      <c r="T100" s="250" t="n">
        <f aca="false" t="array" ref="T100:T100">IFERROR( (MEDIAN((IF(DATOS_[[Sexo]:[Sexo]]=$B100,IF(DATOS_[[AGRUP. CLAS. PROF.]:[AGRUP. CLAS. PROF.]]=$B99,IF(DATOS_[[Check Periodo Ref.]:[Check Periodo Ref.]]="Dentro",IF(DATOS_[[Check Equiparado]:[Check Equiparado]]="Sí",IF(DATOS!AO$4="Sí",(1/DATOS_[[% anualiz]:[% anualiz]]),1)*IF(DATOS!AO$5="Sí",1/DATOS_[[% normaliz]:[% normaliz]],1)*(DATOS_[Conc.Sal.11])))))))), 0)</f>
        <v>0</v>
      </c>
      <c r="U100" s="250" t="n">
        <f aca="false" t="array" ref="U100:U100">IFERROR( (MEDIAN((IF(DATOS_[[Sexo]:[Sexo]]=$B100,IF(DATOS_[[AGRUP. CLAS. PROF.]:[AGRUP. CLAS. PROF.]]=$B99,IF(DATOS_[[Check Periodo Ref.]:[Check Periodo Ref.]]="Dentro",IF(DATOS_[[Check Equiparado]:[Check Equiparado]]="Sí",IF(DATOS!AP$4="Sí",(1/DATOS_[[% anualiz]:[% anualiz]]),1)*IF(DATOS!AP$5="Sí",1/DATOS_[[% normaliz]:[% normaliz]],1)*(DATOS_[Conc.Sal.12])))))))), 0)</f>
        <v>0</v>
      </c>
      <c r="V100" s="250" t="n">
        <f aca="false" t="array" ref="V100:V100">IFERROR( (MEDIAN((IF(DATOS_[[Sexo]:[Sexo]]=$B100,IF(DATOS_[[AGRUP. CLAS. PROF.]:[AGRUP. CLAS. PROF.]]=$B99,IF(DATOS_[[Check Periodo Ref.]:[Check Periodo Ref.]]="Dentro",IF(DATOS_[[Check Equiparado]:[Check Equiparado]]="Sí",IF(DATOS!AQ$4="Sí",(1/DATOS_[[% anualiz]:[% anualiz]]),1)*IF(DATOS!AQ$5="Sí",1/DATOS_[[% normaliz]:[% normaliz]],1)*(DATOS_[Conc.Sal.13])))))))), 0)</f>
        <v>0</v>
      </c>
      <c r="W100" s="250" t="n">
        <f aca="false" t="array" ref="W100:W100">IFERROR( (MEDIAN((IF(DATOS_[[Sexo]:[Sexo]]=$B100,IF(DATOS_[[AGRUP. CLAS. PROF.]:[AGRUP. CLAS. PROF.]]=$B99,IF(DATOS_[[Check Periodo Ref.]:[Check Periodo Ref.]]="Dentro",IF(DATOS_[[Check Equiparado]:[Check Equiparado]]="Sí",IF(DATOS!AR$4="Sí",(1/DATOS_[[% anualiz]:[% anualiz]]),1)*IF(DATOS!AR$5="Sí",1/DATOS_[[% normaliz]:[% normaliz]],1)*(DATOS_[Conc.Sal.14])))))))), 0)</f>
        <v>0</v>
      </c>
      <c r="X100" s="250" t="n">
        <f aca="false" t="array" ref="X100:X100">IFERROR( (MEDIAN((IF(DATOS_[[Sexo]:[Sexo]]=$B100,IF(DATOS_[[AGRUP. CLAS. PROF.]:[AGRUP. CLAS. PROF.]]=$B99,IF(DATOS_[[Check Periodo Ref.]:[Check Periodo Ref.]]="Dentro",IF(DATOS_[[Check Equiparado]:[Check Equiparado]]="Sí",IF(DATOS!AS$4="Sí",(1/DATOS_[[% anualiz]:[% anualiz]]),1)*IF(DATOS!AS$5="Sí",1/DATOS_[[% normaliz]:[% normaliz]],1)*(DATOS_[Conc.Sal.15])))))))), 0)</f>
        <v>0</v>
      </c>
      <c r="Y100" s="250" t="n">
        <f aca="false" t="array" ref="Y100:Y100">IFERROR( (MEDIAN((IF(DATOS_[[Sexo]:[Sexo]]=$B100,IF(DATOS_[[AGRUP. CLAS. PROF.]:[AGRUP. CLAS. PROF.]]=$B99,IF(DATOS_[[Check Periodo Ref.]:[Check Periodo Ref.]]="Dentro",IF(DATOS_[[Check Equiparado]:[Check Equiparado]]="Sí",IF(DATOS!AT$4="Sí",(1/DATOS_[[% anualiz]:[% anualiz]]),1)*IF(DATOS!AT$5="Sí",1/DATOS_[[% normaliz]:[% normaliz]],1)*(DATOS_[Conc.Sal.16])))))))), 0)</f>
        <v>0</v>
      </c>
      <c r="Z100" s="250" t="n">
        <f aca="false" t="array" ref="Z100:Z100">IFERROR( (MEDIAN((IF(DATOS_[[Sexo]:[Sexo]]=$B100,IF(DATOS_[[AGRUP. CLAS. PROF.]:[AGRUP. CLAS. PROF.]]=$B99,IF(DATOS_[[Check Periodo Ref.]:[Check Periodo Ref.]]="Dentro",IF(DATOS_[[Check Equiparado]:[Check Equiparado]]="Sí",IF(DATOS!AU$4="Sí",(1/DATOS_[[% anualiz]:[% anualiz]]),1)*IF(DATOS!AU$5="Sí",1/DATOS_[[% normaliz]:[% normaliz]],1)*(DATOS_[Conc.Sal.17])))))))), 0)</f>
        <v>0</v>
      </c>
      <c r="AA100" s="250" t="n">
        <f aca="false" t="array" ref="AA100:AA100">IFERROR( (MEDIAN((IF(DATOS_[[Sexo]:[Sexo]]=$B100,IF(DATOS_[[AGRUP. CLAS. PROF.]:[AGRUP. CLAS. PROF.]]=$B99,IF(DATOS_[[Check Periodo Ref.]:[Check Periodo Ref.]]="Dentro",IF(DATOS_[[Check Equiparado]:[Check Equiparado]]="Sí",IF(DATOS!AV$4="Sí",(1/DATOS_[[% anualiz]:[% anualiz]]),1)*IF(DATOS!AV$5="Sí",1/DATOS_[[% normaliz]:[% normaliz]],1)*(DATOS_[Conc.Sal.18])))))))), 0)</f>
        <v>0</v>
      </c>
      <c r="AB100" s="250" t="n">
        <f aca="false" t="array" ref="AB100:AB100">IFERROR( (MEDIAN((IF(DATOS_[[Sexo]:[Sexo]]=$B100,IF(DATOS_[[AGRUP. CLAS. PROF.]:[AGRUP. CLAS. PROF.]]=$B99,IF(DATOS_[[Check Periodo Ref.]:[Check Periodo Ref.]]="Dentro",IF(DATOS_[[Check Equiparado]:[Check Equiparado]]="Sí",IF(DATOS!AW$4="Sí",(1/DATOS_[[% anualiz]:[% anualiz]]),1)*IF(DATOS!AW$5="Sí",1/DATOS_[[% normaliz]:[% normaliz]],1)*(DATOS_[Conc.Sal.19])))))))), 0)</f>
        <v>0</v>
      </c>
      <c r="AC100" s="250" t="n">
        <f aca="false" t="array" ref="AC100:AC100">IFERROR( (MEDIAN((IF(DATOS_[[Sexo]:[Sexo]]=$B100,IF(DATOS_[[AGRUP. CLAS. PROF.]:[AGRUP. CLAS. PROF.]]=$B99,IF(DATOS_[[Check Periodo Ref.]:[Check Periodo Ref.]]="Dentro",IF(DATOS_[[Check Equiparado]:[Check Equiparado]]="Sí",IF(DATOS!AX$4="Sí",(1/DATOS_[[% anualiz]:[% anualiz]]),1)*IF(DATOS!AX$5="Sí",1/DATOS_[[% normaliz]:[% normaliz]],1)*(DATOS_[Conc.Sal.20])))))))), 0)</f>
        <v>0</v>
      </c>
      <c r="AD100" s="250" t="n">
        <f aca="false" t="array" ref="AD100:AD100">IFERROR( (MEDIAN((IF(DATOS_[[Sexo]:[Sexo]]=$B100,IF(DATOS_[[AGRUP. CLAS. PROF.]:[AGRUP. CLAS. PROF.]]=$B99,IF(DATOS_[[Check Periodo Ref.]:[Check Periodo Ref.]]="Dentro",IF(DATOS_[[Check Equiparado]:[Check Equiparado]]="Sí",IF(DATOS!AY$4="Sí",(1/DATOS_[[% anualiz]:[% anualiz]]),1)*IF(DATOS!AY$5="Sí",1/DATOS_[[% normaliz]:[% normaliz]],1)*(DATOS_[Conc.Sal.21])))))))), 0)</f>
        <v>0</v>
      </c>
      <c r="AE100" s="250" t="n">
        <f aca="false" t="array" ref="AE100:AE100">IFERROR( (MEDIAN((IF(DATOS_[[Sexo]:[Sexo]]=$B100,IF(DATOS_[[AGRUP. CLAS. PROF.]:[AGRUP. CLAS. PROF.]]=$B99,IF(DATOS_[[Check Periodo Ref.]:[Check Periodo Ref.]]="Dentro",IF(DATOS_[[Check Equiparado]:[Check Equiparado]]="Sí",IF(DATOS!AZ$4="Sí",(1/DATOS_[[% anualiz]:[% anualiz]]),1)*IF(DATOS!AZ$5="Sí",1/DATOS_[[% normaliz]:[% normaliz]],1)*(DATOS_[Conc.Sal.22])))))))), 0)</f>
        <v>0</v>
      </c>
      <c r="AF100" s="250" t="n">
        <f aca="false" t="array" ref="AF100:AF100">IFERROR( (MEDIAN((IF(DATOS_[[Sexo]:[Sexo]]=$B100,IF(DATOS_[[AGRUP. CLAS. PROF.]:[AGRUP. CLAS. PROF.]]=$B99,IF(DATOS_[[Check Periodo Ref.]:[Check Periodo Ref.]]="Dentro",IF(DATOS_[[Check Equiparado]:[Check Equiparado]]="Sí",IF(DATOS!BA$4="Sí",(1/DATOS_[[% anualiz]:[% anualiz]]),1)*IF(DATOS!BA$5="Sí",1/DATOS_[[% normaliz]:[% normaliz]],1)*(DATOS_[Conc.Sal.23])))))))), 0)</f>
        <v>0</v>
      </c>
      <c r="AG100" s="250" t="n">
        <f aca="false" t="array" ref="AG100:AG100">IFERROR( (MEDIAN((IF(DATOS_[[Sexo]:[Sexo]]=$B100,IF(DATOS_[[AGRUP. CLAS. PROF.]:[AGRUP. CLAS. PROF.]]=$B99,IF(DATOS_[[Check Periodo Ref.]:[Check Periodo Ref.]]="Dentro",IF(DATOS_[[Check Equiparado]:[Check Equiparado]]="Sí",IF(DATOS!BB$4="Sí",(1/DATOS_[[% anualiz]:[% anualiz]]),1)*IF(DATOS!BB$5="Sí",1/DATOS_[[% normaliz]:[% normaliz]],1)*(DATOS_[Conc.Sal.24])))))))), 0)</f>
        <v>0</v>
      </c>
      <c r="AH100" s="250" t="n">
        <f aca="false" t="array" ref="AH100:AH100">IFERROR( (MEDIAN((IF(DATOS_[[Sexo]:[Sexo]]=$B100,IF(DATOS_[[AGRUP. CLAS. PROF.]:[AGRUP. CLAS. PROF.]]=$B99,IF(DATOS_[[Check Periodo Ref.]:[Check Periodo Ref.]]="Dentro",IF(DATOS_[[Check Equiparado]:[Check Equiparado]]="Sí",IF(DATOS!BC$4="Sí",(1/DATOS_[[% anualiz]:[% anualiz]]),1)*IF(DATOS!BC$5="Sí",1/DATOS_[[% normaliz]:[% normaliz]],1)*(DATOS_[Conc.Sal.25])))))))), 0)</f>
        <v>0</v>
      </c>
      <c r="AI100" s="250" t="n">
        <f aca="false" t="array" ref="AI100:AI100">IFERROR( (MEDIAN((IF(DATOS_[[Sexo]:[Sexo]]=$B100,IF(DATOS_[[AGRUP. CLAS. PROF.]:[AGRUP. CLAS. PROF.]]=$B99,IF(DATOS_[[Check Periodo Ref.]:[Check Periodo Ref.]]="Dentro",IF(DATOS_[[Check Equiparado]:[Check Equiparado]]="Sí",IF(DATOS!BD$4="Sí",(1/DATOS_[[% anualiz]:[% anualiz]]),1)*IF(DATOS!BD$5="Sí",1/DATOS_[[% normaliz]:[% normaliz]],1)*(DATOS_[Conc.Sal.26])))))))), 0)</f>
        <v>0</v>
      </c>
      <c r="AJ100" s="250" t="n">
        <f aca="false" t="array" ref="AJ100:AJ100">IFERROR( (MEDIAN((IF(DATOS_[[Sexo]:[Sexo]]=$B100,IF(DATOS_[[AGRUP. CLAS. PROF.]:[AGRUP. CLAS. PROF.]]=$B99,IF(DATOS_[[Check Periodo Ref.]:[Check Periodo Ref.]]="Dentro",IF(DATOS_[[Check Equiparado]:[Check Equiparado]]="Sí",IF(DATOS!BE$4="Sí",(1/DATOS_[[% anualiz]:[% anualiz]]),1)*IF(DATOS!BE$5="Sí",1/DATOS_[[% normaliz]:[% normaliz]],1)*(DATOS_[Conc.Sal.27])))))))), 0)</f>
        <v>0</v>
      </c>
      <c r="AK100" s="250" t="n">
        <f aca="false" t="array" ref="AK100:AK100">IFERROR( (MEDIAN((IF(DATOS_[[Sexo]:[Sexo]]=$B100,IF(DATOS_[[AGRUP. CLAS. PROF.]:[AGRUP. CLAS. PROF.]]=$B99,IF(DATOS_[[Check Periodo Ref.]:[Check Periodo Ref.]]="Dentro",IF(DATOS_[[Check Equiparado]:[Check Equiparado]]="Sí",IF(DATOS!BF$4="Sí",(1/DATOS_[[% anualiz]:[% anualiz]]),1)*IF(DATOS!BF$5="Sí",1/DATOS_[[% normaliz]:[% normaliz]],1)*(DATOS_[Conc.Sal.28])))))))), 0)</f>
        <v>0</v>
      </c>
      <c r="AL100" s="250" t="n">
        <f aca="false" t="array" ref="AL100:AL100">IFERROR( (MEDIAN((IF(DATOS_[[Sexo]:[Sexo]]=$B100,IF(DATOS_[[AGRUP. CLAS. PROF.]:[AGRUP. CLAS. PROF.]]=$B99,IF(DATOS_[[Check Periodo Ref.]:[Check Periodo Ref.]]="Dentro",IF(DATOS_[[Check Equiparado]:[Check Equiparado]]="Sí",IF(DATOS!BG$4="Sí",(1/DATOS_[[% anualiz]:[% anualiz]]),1)*IF(DATOS!BG$5="Sí",1/DATOS_[[% normaliz]:[% normaliz]],1)*(DATOS_[Conc.Sal.29])))))))), 0)</f>
        <v>0</v>
      </c>
      <c r="AM100" s="250" t="n">
        <f aca="false" t="array" ref="AM100:AM100">IFERROR( (MEDIAN((IF(DATOS_[[Sexo]:[Sexo]]=$B100,IF(DATOS_[[AGRUP. CLAS. PROF.]:[AGRUP. CLAS. PROF.]]=$B99,IF(DATOS_[[Check Periodo Ref.]:[Check Periodo Ref.]]="Dentro",IF(DATOS_[[Check Equiparado]:[Check Equiparado]]="Sí",IF(DATOS!BH$4="Sí",(1/DATOS_[[% anualiz]:[% anualiz]]),1)*IF(DATOS!BH$5="Sí",1/DATOS_[[% normaliz]:[% normaliz]],1)*(DATOS_[Conc.Sal.30])))))))), 0)</f>
        <v>0</v>
      </c>
      <c r="AN100" s="251" t="n">
        <f aca="false" t="array" ref="AN100:AN100">IFERROR( MEDIAN(IF(DATOS_[Sexo]=$B100,IF(DATOS_[[AGRUP. CLAS. PROF.]:[AGRUP. CLAS. PROF.]]=$B99,IF(DATOS_[Check Equiparado]="Sí",IF(DATOS_[Check Periodo Ref.]="Dentro",DATOS_[Tot COMPL.SAL Eq],0))))), 0)</f>
        <v>0</v>
      </c>
      <c r="AO100" s="252" t="n">
        <f aca="false" t="array" ref="AO100:AO100">IFERROR( MEDIAN(IF(DATOS_[Sexo]=$B100,IF(DATOS_[[AGRUP. CLAS. PROF.]:[AGRUP. CLAS. PROF.]]=$B99,IF(DATOS_[Check Equiparado]="Sí",IF(DATOS_[Check Periodo Ref.]="Dentro",DATOS_[TOTAL SALARIO Eq],0))))), 0)</f>
        <v>0</v>
      </c>
      <c r="AP100" s="259" t="n">
        <f aca="false" t="array" ref="AP100:AP100">IFERROR( (MEDIAN((IF(DATOS_[[Sexo]:[Sexo]]=$B100,IF(DATOS_[[AGRUP. CLAS. PROF.]:[AGRUP. CLAS. PROF.]]=$B99,IF(DATOS_[[Check Periodo Ref.]:[Check Periodo Ref.]]="Dentro",IF(DATOS_[[Check Equiparado]:[Check Equiparado]]="Sí",IF(DATOS!BI$4="Sí",(1/DATOS_[[% anualiz]:[% anualiz]]),1)*IF(DATOS!BI$5="Sí",1/DATOS_[[% normaliz]:[% normaliz]],1)*(DATOS_[C.Extra.01])))))))), 0)</f>
        <v>0</v>
      </c>
      <c r="AQ100" s="259" t="n">
        <f aca="false" t="array" ref="AQ100:AQ100">IFERROR( (MEDIAN((IF(DATOS_[[Sexo]:[Sexo]]=$B100,IF(DATOS_[[AGRUP. CLAS. PROF.]:[AGRUP. CLAS. PROF.]]=$B99,IF(DATOS_[[Check Periodo Ref.]:[Check Periodo Ref.]]="Dentro",IF(DATOS_[[Check Equiparado]:[Check Equiparado]]="Sí",IF(DATOS!BJ$4="Sí",(1/DATOS_[[% anualiz]:[% anualiz]]),1)*IF(DATOS!BJ$5="Sí",1/DATOS_[[% normaliz]:[% normaliz]],1)*(DATOS_[C.Extra.02])))))))), 0)</f>
        <v>0</v>
      </c>
      <c r="AR100" s="259" t="n">
        <f aca="false" t="array" ref="AR100:AR100">IFERROR( (MEDIAN((IF(DATOS_[[Sexo]:[Sexo]]=$B100,IF(DATOS_[[AGRUP. CLAS. PROF.]:[AGRUP. CLAS. PROF.]]=$B99,IF(DATOS_[[Check Periodo Ref.]:[Check Periodo Ref.]]="Dentro",IF(DATOS_[[Check Equiparado]:[Check Equiparado]]="Sí",IF(DATOS!BK$4="Sí",(1/DATOS_[[% anualiz]:[% anualiz]]),1)*IF(DATOS!BK$5="Sí",1/DATOS_[[% normaliz]:[% normaliz]],1)*(DATOS_[C.Extra.03])))))))), 0)</f>
        <v>0</v>
      </c>
      <c r="AS100" s="259" t="n">
        <f aca="false" t="array" ref="AS100:AS100">IFERROR( (MEDIAN((IF(DATOS_[[Sexo]:[Sexo]]=$B100,IF(DATOS_[[AGRUP. CLAS. PROF.]:[AGRUP. CLAS. PROF.]]=$B99,IF(DATOS_[[Check Periodo Ref.]:[Check Periodo Ref.]]="Dentro",IF(DATOS_[[Check Equiparado]:[Check Equiparado]]="Sí",IF(DATOS!BL$4="Sí",(1/DATOS_[[% anualiz]:[% anualiz]]),1)*IF(DATOS!BL$5="Sí",1/DATOS_[[% normaliz]:[% normaliz]],1)*(DATOS_[C.Extra.04])))))))), 0)</f>
        <v>0</v>
      </c>
      <c r="AT100" s="259" t="n">
        <f aca="false" t="array" ref="AT100:AT100">IFERROR( (MEDIAN((IF(DATOS_[[Sexo]:[Sexo]]=$B100,IF(DATOS_[[AGRUP. CLAS. PROF.]:[AGRUP. CLAS. PROF.]]=$B99,IF(DATOS_[[Check Periodo Ref.]:[Check Periodo Ref.]]="Dentro",IF(DATOS_[[Check Equiparado]:[Check Equiparado]]="Sí",IF(DATOS!BM$4="Sí",(1/DATOS_[[% anualiz]:[% anualiz]]),1)*IF(DATOS!BM$5="Sí",1/DATOS_[[% normaliz]:[% normaliz]],1)*(DATOS_[C.Extra.05])))))))), 0)</f>
        <v>0</v>
      </c>
      <c r="AU100" s="254" t="n">
        <f aca="false" t="array" ref="AU100:AU100">IFERROR( MEDIAN(IF(DATOS_[Sexo]=$B100,IF(DATOS_[[AGRUP. CLAS. PROF.]:[AGRUP. CLAS. PROF.]]=$B99,IF(DATOS_[Check Equiparado]="Sí",IF(DATOS_[Check Periodo Ref.]="Dentro",DATOS_[Tot Extrasalarial Eq],0))))), 0)</f>
        <v>0</v>
      </c>
      <c r="AV100" s="255" t="n">
        <f aca="false" t="array" ref="AV100:AV100">IFERROR( MEDIAN(IF(DATOS_[Sexo]=$B100,IF(DATOS_[[AGRUP. CLAS. PROF.]:[AGRUP. CLAS. PROF.]]=$B99,IF(DATOS_[Check Equiparado]="Sí",IF(DATOS_[Check Periodo Ref.]="Dentro",DATOS_[TOTAL Retrib Eq],0))))), 0)</f>
        <v>0</v>
      </c>
    </row>
    <row r="101" customFormat="false" ht="14.25" hidden="false" customHeight="false" outlineLevel="0" collapsed="false">
      <c r="A101" s="217" t="str">
        <f aca="false">+A100</f>
        <v>[ocultar]</v>
      </c>
      <c r="B101" s="323" t="s">
        <v>372</v>
      </c>
      <c r="C101" s="247" t="n">
        <f aca="false" t="array" ref="C101:C101">SUM(IF($B101=DATOS_[Sexo], IF($B99=DATOS_[AGRUP. CLAS. PROF.], IF("Dentro"=DATOS_[Check Periodo Ref.], 1/(COUNTIFS(DATOS_[Sexo],$B101,DATOS_[AGRUP. CLAS. PROF.],$B99,DATOS_[Check Periodo Ref.],"Dentro",DATOS_[id],DATOS_[id]))))))</f>
        <v>0</v>
      </c>
      <c r="D101" s="248" t="n">
        <f aca="false">COUNTIFS(DATOS_[AGRUP. CLAS. PROF.],$B99,DATOS_[Sexo],$B101,DATOS_[Check Periodo Ref.],"Dentro")</f>
        <v>0</v>
      </c>
      <c r="E101" s="248" t="n">
        <f aca="false">COUNTIFS(DATOS_[AGRUP. CLAS. PROF.],$B99,DATOS_[Sexo],$B101,DATOS_[Check Periodo Ref.],"Dentro",DATOS_[Check Nº SC Norm],"Sí")</f>
        <v>0</v>
      </c>
      <c r="F101" s="248" t="n">
        <f aca="false">COUNTIFS(DATOS_[AGRUP. CLAS. PROF.],$B99,DATOS_[Sexo],$B101,DATOS_[Check Periodo Ref.],"Dentro",DATOS_[Check Nº SC Anualiz],"Sí")</f>
        <v>0</v>
      </c>
      <c r="G101" s="248" t="n">
        <f aca="false">COUNTIFS(DATOS_[AGRUP. CLAS. PROF.],$B99,DATOS_[Sexo],$B101,DATOS_[Check Periodo Ref.],"Dentro",DATOS_[Check Nº SC Norm y Anualiz],"Sí")</f>
        <v>0</v>
      </c>
      <c r="H101" s="248" t="n">
        <f aca="false">COUNTIFS(DATOS_[AGRUP. CLAS. PROF.],$B99,DATOS_[Sexo],$B101,DATOS_[Check Periodo Ref.],"Dentro",DATOS_[Check Equiparación],"Sí")</f>
        <v>0</v>
      </c>
      <c r="I101" s="249" t="n">
        <f aca="false" t="array" ref="I101:I101">IFERROR( MEDIAN(IF(DATOS_[Sexo]=$B101,IF(DATOS_[[AGRUP. CLAS. PROF.]:[AGRUP. CLAS. PROF.]]=$B99,IF(DATOS_[Check Equiparado]="Sí",IF(DATOS_[Check Periodo Ref.]="Dentro",DATOS_[SALARIO BASE Eq],0))))), 0)</f>
        <v>0</v>
      </c>
      <c r="J101" s="250" t="n">
        <f aca="false" t="array" ref="J101:J101">IFERROR( (MEDIAN((IF(DATOS_[[Sexo]:[Sexo]]=$B101,IF(DATOS_[[AGRUP. CLAS. PROF.]:[AGRUP. CLAS. PROF.]]=$B99,IF(DATOS_[[Check Periodo Ref.]:[Check Periodo Ref.]]="Dentro",IF(DATOS_[[Check Equiparado]:[Check Equiparado]]="Sí",IF(DATOS!AE$4="Sí",(1/DATOS_[[% anualiz]:[% anualiz]]),1)*IF(DATOS!AE$5="Sí",1/DATOS_[[% normaliz]:[% normaliz]],1)*(DATOS_[Conc.Sal.01])))))))), 0)</f>
        <v>0</v>
      </c>
      <c r="K101" s="250" t="n">
        <f aca="false" t="array" ref="K101:K101">IFERROR( (MEDIAN((IF(DATOS_[[Sexo]:[Sexo]]=$B101,IF(DATOS_[[AGRUP. CLAS. PROF.]:[AGRUP. CLAS. PROF.]]=$B99,IF(DATOS_[[Check Periodo Ref.]:[Check Periodo Ref.]]="Dentro",IF(DATOS_[[Check Equiparado]:[Check Equiparado]]="Sí",IF(DATOS!AF$4="Sí",(1/DATOS_[[% anualiz]:[% anualiz]]),1)*IF(DATOS!AF$5="Sí",1/DATOS_[[% normaliz]:[% normaliz]],1)*(DATOS_[Conc.Sal.02])))))))), 0)</f>
        <v>0</v>
      </c>
      <c r="L101" s="250" t="n">
        <f aca="false" t="array" ref="L101:L101">IFERROR( (MEDIAN((IF(DATOS_[[Sexo]:[Sexo]]=$B101,IF(DATOS_[[AGRUP. CLAS. PROF.]:[AGRUP. CLAS. PROF.]]=$B99,IF(DATOS_[[Check Periodo Ref.]:[Check Periodo Ref.]]="Dentro",IF(DATOS_[[Check Equiparado]:[Check Equiparado]]="Sí",IF(DATOS!AG$4="Sí",(1/DATOS_[[% anualiz]:[% anualiz]]),1)*IF(DATOS!AG$5="Sí",1/DATOS_[[% normaliz]:[% normaliz]],1)*(DATOS_[Conc.Sal.03])))))))), 0)</f>
        <v>0</v>
      </c>
      <c r="M101" s="250" t="n">
        <f aca="false" t="array" ref="M101:M101">IFERROR( (MEDIAN((IF(DATOS_[[Sexo]:[Sexo]]=$B101,IF(DATOS_[[AGRUP. CLAS. PROF.]:[AGRUP. CLAS. PROF.]]=$B99,IF(DATOS_[[Check Periodo Ref.]:[Check Periodo Ref.]]="Dentro",IF(DATOS_[[Check Equiparado]:[Check Equiparado]]="Sí",IF(DATOS!AH$4="Sí",(1/DATOS_[[% anualiz]:[% anualiz]]),1)*IF(DATOS!AH$5="Sí",1/DATOS_[[% normaliz]:[% normaliz]],1)*(DATOS_[Conc.Sal.04])))))))), 0)</f>
        <v>0</v>
      </c>
      <c r="N101" s="250" t="n">
        <f aca="false" t="array" ref="N101:N101">IFERROR( (MEDIAN((IF(DATOS_[[Sexo]:[Sexo]]=$B101,IF(DATOS_[[AGRUP. CLAS. PROF.]:[AGRUP. CLAS. PROF.]]=$B99,IF(DATOS_[[Check Periodo Ref.]:[Check Periodo Ref.]]="Dentro",IF(DATOS_[[Check Equiparado]:[Check Equiparado]]="Sí",IF(DATOS!AI$4="Sí",(1/DATOS_[[% anualiz]:[% anualiz]]),1)*IF(DATOS!AI$5="Sí",1/DATOS_[[% normaliz]:[% normaliz]],1)*(DATOS_[Conc.Sal.05])))))))), 0)</f>
        <v>0</v>
      </c>
      <c r="O101" s="250" t="n">
        <f aca="false" t="array" ref="O101:O101">IFERROR( (MEDIAN((IF(DATOS_[[Sexo]:[Sexo]]=$B101,IF(DATOS_[[AGRUP. CLAS. PROF.]:[AGRUP. CLAS. PROF.]]=$B99,IF(DATOS_[[Check Periodo Ref.]:[Check Periodo Ref.]]="Dentro",IF(DATOS_[[Check Equiparado]:[Check Equiparado]]="Sí",IF(DATOS!AJ$4="Sí",(1/DATOS_[[% anualiz]:[% anualiz]]),1)*IF(DATOS!AJ$5="Sí",1/DATOS_[[% normaliz]:[% normaliz]],1)*(DATOS_[Conc.Sal.06])))))))), 0)</f>
        <v>0</v>
      </c>
      <c r="P101" s="250" t="n">
        <f aca="false" t="array" ref="P101:P101">IFERROR( (MEDIAN((IF(DATOS_[[Sexo]:[Sexo]]=$B101,IF(DATOS_[[AGRUP. CLAS. PROF.]:[AGRUP. CLAS. PROF.]]=$B99,IF(DATOS_[[Check Periodo Ref.]:[Check Periodo Ref.]]="Dentro",IF(DATOS_[[Check Equiparado]:[Check Equiparado]]="Sí",IF(DATOS!AK$4="Sí",(1/DATOS_[[% anualiz]:[% anualiz]]),1)*IF(DATOS!AK$5="Sí",1/DATOS_[[% normaliz]:[% normaliz]],1)*(DATOS_[Conc.Sal.07])))))))), 0)</f>
        <v>0</v>
      </c>
      <c r="Q101" s="250" t="n">
        <f aca="false" t="array" ref="Q101:Q101">IFERROR( (MEDIAN((IF(DATOS_[[Sexo]:[Sexo]]=$B101,IF(DATOS_[[AGRUP. CLAS. PROF.]:[AGRUP. CLAS. PROF.]]=$B99,IF(DATOS_[[Check Periodo Ref.]:[Check Periodo Ref.]]="Dentro",IF(DATOS_[[Check Equiparado]:[Check Equiparado]]="Sí",IF(DATOS!AL$4="Sí",(1/DATOS_[[% anualiz]:[% anualiz]]),1)*IF(DATOS!AL$5="Sí",1/DATOS_[[% normaliz]:[% normaliz]],1)*(DATOS_[Conc.Sal.08])))))))), 0)</f>
        <v>0</v>
      </c>
      <c r="R101" s="250" t="n">
        <f aca="false" t="array" ref="R101:R101">IFERROR( (MEDIAN((IF(DATOS_[[Sexo]:[Sexo]]=$B101,IF(DATOS_[[AGRUP. CLAS. PROF.]:[AGRUP. CLAS. PROF.]]=$B99,IF(DATOS_[[Check Periodo Ref.]:[Check Periodo Ref.]]="Dentro",IF(DATOS_[[Check Equiparado]:[Check Equiparado]]="Sí",IF(DATOS!AM$4="Sí",(1/DATOS_[[% anualiz]:[% anualiz]]),1)*IF(DATOS!AM$5="Sí",1/DATOS_[[% normaliz]:[% normaliz]],1)*(DATOS_[Conc.Sal.09])))))))), 0)</f>
        <v>0</v>
      </c>
      <c r="S101" s="250" t="n">
        <f aca="false" t="array" ref="S101:S101">IFERROR( (MEDIAN((IF(DATOS_[[Sexo]:[Sexo]]=$B101,IF(DATOS_[[AGRUP. CLAS. PROF.]:[AGRUP. CLAS. PROF.]]=$B99,IF(DATOS_[[Check Periodo Ref.]:[Check Periodo Ref.]]="Dentro",IF(DATOS_[[Check Equiparado]:[Check Equiparado]]="Sí",IF(DATOS!AN$4="Sí",(1/DATOS_[[% anualiz]:[% anualiz]]),1)*IF(DATOS!AN$5="Sí",1/DATOS_[[% normaliz]:[% normaliz]],1)*(DATOS_[Conc.Sal.10])))))))), 0)</f>
        <v>0</v>
      </c>
      <c r="T101" s="250" t="n">
        <f aca="false" t="array" ref="T101:T101">IFERROR( (MEDIAN((IF(DATOS_[[Sexo]:[Sexo]]=$B101,IF(DATOS_[[AGRUP. CLAS. PROF.]:[AGRUP. CLAS. PROF.]]=$B99,IF(DATOS_[[Check Periodo Ref.]:[Check Periodo Ref.]]="Dentro",IF(DATOS_[[Check Equiparado]:[Check Equiparado]]="Sí",IF(DATOS!AO$4="Sí",(1/DATOS_[[% anualiz]:[% anualiz]]),1)*IF(DATOS!AO$5="Sí",1/DATOS_[[% normaliz]:[% normaliz]],1)*(DATOS_[Conc.Sal.11])))))))), 0)</f>
        <v>0</v>
      </c>
      <c r="U101" s="250" t="n">
        <f aca="false" t="array" ref="U101:U101">IFERROR( (MEDIAN((IF(DATOS_[[Sexo]:[Sexo]]=$B101,IF(DATOS_[[AGRUP. CLAS. PROF.]:[AGRUP. CLAS. PROF.]]=$B99,IF(DATOS_[[Check Periodo Ref.]:[Check Periodo Ref.]]="Dentro",IF(DATOS_[[Check Equiparado]:[Check Equiparado]]="Sí",IF(DATOS!AP$4="Sí",(1/DATOS_[[% anualiz]:[% anualiz]]),1)*IF(DATOS!AP$5="Sí",1/DATOS_[[% normaliz]:[% normaliz]],1)*(DATOS_[Conc.Sal.12])))))))), 0)</f>
        <v>0</v>
      </c>
      <c r="V101" s="250" t="n">
        <f aca="false" t="array" ref="V101:V101">IFERROR( (MEDIAN((IF(DATOS_[[Sexo]:[Sexo]]=$B101,IF(DATOS_[[AGRUP. CLAS. PROF.]:[AGRUP. CLAS. PROF.]]=$B99,IF(DATOS_[[Check Periodo Ref.]:[Check Periodo Ref.]]="Dentro",IF(DATOS_[[Check Equiparado]:[Check Equiparado]]="Sí",IF(DATOS!AQ$4="Sí",(1/DATOS_[[% anualiz]:[% anualiz]]),1)*IF(DATOS!AQ$5="Sí",1/DATOS_[[% normaliz]:[% normaliz]],1)*(DATOS_[Conc.Sal.13])))))))), 0)</f>
        <v>0</v>
      </c>
      <c r="W101" s="250" t="n">
        <f aca="false" t="array" ref="W101:W101">IFERROR( (MEDIAN((IF(DATOS_[[Sexo]:[Sexo]]=$B101,IF(DATOS_[[AGRUP. CLAS. PROF.]:[AGRUP. CLAS. PROF.]]=$B99,IF(DATOS_[[Check Periodo Ref.]:[Check Periodo Ref.]]="Dentro",IF(DATOS_[[Check Equiparado]:[Check Equiparado]]="Sí",IF(DATOS!AR$4="Sí",(1/DATOS_[[% anualiz]:[% anualiz]]),1)*IF(DATOS!AR$5="Sí",1/DATOS_[[% normaliz]:[% normaliz]],1)*(DATOS_[Conc.Sal.14])))))))), 0)</f>
        <v>0</v>
      </c>
      <c r="X101" s="250" t="n">
        <f aca="false" t="array" ref="X101:X101">IFERROR( (MEDIAN((IF(DATOS_[[Sexo]:[Sexo]]=$B101,IF(DATOS_[[AGRUP. CLAS. PROF.]:[AGRUP. CLAS. PROF.]]=$B99,IF(DATOS_[[Check Periodo Ref.]:[Check Periodo Ref.]]="Dentro",IF(DATOS_[[Check Equiparado]:[Check Equiparado]]="Sí",IF(DATOS!AS$4="Sí",(1/DATOS_[[% anualiz]:[% anualiz]]),1)*IF(DATOS!AS$5="Sí",1/DATOS_[[% normaliz]:[% normaliz]],1)*(DATOS_[Conc.Sal.15])))))))), 0)</f>
        <v>0</v>
      </c>
      <c r="Y101" s="250" t="n">
        <f aca="false" t="array" ref="Y101:Y101">IFERROR( (MEDIAN((IF(DATOS_[[Sexo]:[Sexo]]=$B101,IF(DATOS_[[AGRUP. CLAS. PROF.]:[AGRUP. CLAS. PROF.]]=$B99,IF(DATOS_[[Check Periodo Ref.]:[Check Periodo Ref.]]="Dentro",IF(DATOS_[[Check Equiparado]:[Check Equiparado]]="Sí",IF(DATOS!AT$4="Sí",(1/DATOS_[[% anualiz]:[% anualiz]]),1)*IF(DATOS!AT$5="Sí",1/DATOS_[[% normaliz]:[% normaliz]],1)*(DATOS_[Conc.Sal.16])))))))), 0)</f>
        <v>0</v>
      </c>
      <c r="Z101" s="250" t="n">
        <f aca="false" t="array" ref="Z101:Z101">IFERROR( (MEDIAN((IF(DATOS_[[Sexo]:[Sexo]]=$B101,IF(DATOS_[[AGRUP. CLAS. PROF.]:[AGRUP. CLAS. PROF.]]=$B99,IF(DATOS_[[Check Periodo Ref.]:[Check Periodo Ref.]]="Dentro",IF(DATOS_[[Check Equiparado]:[Check Equiparado]]="Sí",IF(DATOS!AU$4="Sí",(1/DATOS_[[% anualiz]:[% anualiz]]),1)*IF(DATOS!AU$5="Sí",1/DATOS_[[% normaliz]:[% normaliz]],1)*(DATOS_[Conc.Sal.17])))))))), 0)</f>
        <v>0</v>
      </c>
      <c r="AA101" s="250" t="n">
        <f aca="false" t="array" ref="AA101:AA101">IFERROR( (MEDIAN((IF(DATOS_[[Sexo]:[Sexo]]=$B101,IF(DATOS_[[AGRUP. CLAS. PROF.]:[AGRUP. CLAS. PROF.]]=$B99,IF(DATOS_[[Check Periodo Ref.]:[Check Periodo Ref.]]="Dentro",IF(DATOS_[[Check Equiparado]:[Check Equiparado]]="Sí",IF(DATOS!AV$4="Sí",(1/DATOS_[[% anualiz]:[% anualiz]]),1)*IF(DATOS!AV$5="Sí",1/DATOS_[[% normaliz]:[% normaliz]],1)*(DATOS_[Conc.Sal.18])))))))), 0)</f>
        <v>0</v>
      </c>
      <c r="AB101" s="250" t="n">
        <f aca="false" t="array" ref="AB101:AB101">IFERROR( (MEDIAN((IF(DATOS_[[Sexo]:[Sexo]]=$B101,IF(DATOS_[[AGRUP. CLAS. PROF.]:[AGRUP. CLAS. PROF.]]=$B99,IF(DATOS_[[Check Periodo Ref.]:[Check Periodo Ref.]]="Dentro",IF(DATOS_[[Check Equiparado]:[Check Equiparado]]="Sí",IF(DATOS!AW$4="Sí",(1/DATOS_[[% anualiz]:[% anualiz]]),1)*IF(DATOS!AW$5="Sí",1/DATOS_[[% normaliz]:[% normaliz]],1)*(DATOS_[Conc.Sal.19])))))))), 0)</f>
        <v>0</v>
      </c>
      <c r="AC101" s="250" t="n">
        <f aca="false" t="array" ref="AC101:AC101">IFERROR( (MEDIAN((IF(DATOS_[[Sexo]:[Sexo]]=$B101,IF(DATOS_[[AGRUP. CLAS. PROF.]:[AGRUP. CLAS. PROF.]]=$B99,IF(DATOS_[[Check Periodo Ref.]:[Check Periodo Ref.]]="Dentro",IF(DATOS_[[Check Equiparado]:[Check Equiparado]]="Sí",IF(DATOS!AX$4="Sí",(1/DATOS_[[% anualiz]:[% anualiz]]),1)*IF(DATOS!AX$5="Sí",1/DATOS_[[% normaliz]:[% normaliz]],1)*(DATOS_[Conc.Sal.20])))))))), 0)</f>
        <v>0</v>
      </c>
      <c r="AD101" s="250" t="n">
        <f aca="false" t="array" ref="AD101:AD101">IFERROR( (MEDIAN((IF(DATOS_[[Sexo]:[Sexo]]=$B101,IF(DATOS_[[AGRUP. CLAS. PROF.]:[AGRUP. CLAS. PROF.]]=$B99,IF(DATOS_[[Check Periodo Ref.]:[Check Periodo Ref.]]="Dentro",IF(DATOS_[[Check Equiparado]:[Check Equiparado]]="Sí",IF(DATOS!AY$4="Sí",(1/DATOS_[[% anualiz]:[% anualiz]]),1)*IF(DATOS!AY$5="Sí",1/DATOS_[[% normaliz]:[% normaliz]],1)*(DATOS_[Conc.Sal.21])))))))), 0)</f>
        <v>0</v>
      </c>
      <c r="AE101" s="250" t="n">
        <f aca="false" t="array" ref="AE101:AE101">IFERROR( (MEDIAN((IF(DATOS_[[Sexo]:[Sexo]]=$B101,IF(DATOS_[[AGRUP. CLAS. PROF.]:[AGRUP. CLAS. PROF.]]=$B99,IF(DATOS_[[Check Periodo Ref.]:[Check Periodo Ref.]]="Dentro",IF(DATOS_[[Check Equiparado]:[Check Equiparado]]="Sí",IF(DATOS!AZ$4="Sí",(1/DATOS_[[% anualiz]:[% anualiz]]),1)*IF(DATOS!AZ$5="Sí",1/DATOS_[[% normaliz]:[% normaliz]],1)*(DATOS_[Conc.Sal.22])))))))), 0)</f>
        <v>0</v>
      </c>
      <c r="AF101" s="250" t="n">
        <f aca="false" t="array" ref="AF101:AF101">IFERROR( (MEDIAN((IF(DATOS_[[Sexo]:[Sexo]]=$B101,IF(DATOS_[[AGRUP. CLAS. PROF.]:[AGRUP. CLAS. PROF.]]=$B99,IF(DATOS_[[Check Periodo Ref.]:[Check Periodo Ref.]]="Dentro",IF(DATOS_[[Check Equiparado]:[Check Equiparado]]="Sí",IF(DATOS!BA$4="Sí",(1/DATOS_[[% anualiz]:[% anualiz]]),1)*IF(DATOS!BA$5="Sí",1/DATOS_[[% normaliz]:[% normaliz]],1)*(DATOS_[Conc.Sal.23])))))))), 0)</f>
        <v>0</v>
      </c>
      <c r="AG101" s="250" t="n">
        <f aca="false" t="array" ref="AG101:AG101">IFERROR( (MEDIAN((IF(DATOS_[[Sexo]:[Sexo]]=$B101,IF(DATOS_[[AGRUP. CLAS. PROF.]:[AGRUP. CLAS. PROF.]]=$B99,IF(DATOS_[[Check Periodo Ref.]:[Check Periodo Ref.]]="Dentro",IF(DATOS_[[Check Equiparado]:[Check Equiparado]]="Sí",IF(DATOS!BB$4="Sí",(1/DATOS_[[% anualiz]:[% anualiz]]),1)*IF(DATOS!BB$5="Sí",1/DATOS_[[% normaliz]:[% normaliz]],1)*(DATOS_[Conc.Sal.24])))))))), 0)</f>
        <v>0</v>
      </c>
      <c r="AH101" s="250" t="n">
        <f aca="false" t="array" ref="AH101:AH101">IFERROR( (MEDIAN((IF(DATOS_[[Sexo]:[Sexo]]=$B101,IF(DATOS_[[AGRUP. CLAS. PROF.]:[AGRUP. CLAS. PROF.]]=$B99,IF(DATOS_[[Check Periodo Ref.]:[Check Periodo Ref.]]="Dentro",IF(DATOS_[[Check Equiparado]:[Check Equiparado]]="Sí",IF(DATOS!BC$4="Sí",(1/DATOS_[[% anualiz]:[% anualiz]]),1)*IF(DATOS!BC$5="Sí",1/DATOS_[[% normaliz]:[% normaliz]],1)*(DATOS_[Conc.Sal.25])))))))), 0)</f>
        <v>0</v>
      </c>
      <c r="AI101" s="250" t="n">
        <f aca="false" t="array" ref="AI101:AI101">IFERROR( (MEDIAN((IF(DATOS_[[Sexo]:[Sexo]]=$B101,IF(DATOS_[[AGRUP. CLAS. PROF.]:[AGRUP. CLAS. PROF.]]=$B99,IF(DATOS_[[Check Periodo Ref.]:[Check Periodo Ref.]]="Dentro",IF(DATOS_[[Check Equiparado]:[Check Equiparado]]="Sí",IF(DATOS!BD$4="Sí",(1/DATOS_[[% anualiz]:[% anualiz]]),1)*IF(DATOS!BD$5="Sí",1/DATOS_[[% normaliz]:[% normaliz]],1)*(DATOS_[Conc.Sal.26])))))))), 0)</f>
        <v>0</v>
      </c>
      <c r="AJ101" s="250" t="n">
        <f aca="false" t="array" ref="AJ101:AJ101">IFERROR( (MEDIAN((IF(DATOS_[[Sexo]:[Sexo]]=$B101,IF(DATOS_[[AGRUP. CLAS. PROF.]:[AGRUP. CLAS. PROF.]]=$B99,IF(DATOS_[[Check Periodo Ref.]:[Check Periodo Ref.]]="Dentro",IF(DATOS_[[Check Equiparado]:[Check Equiparado]]="Sí",IF(DATOS!BE$4="Sí",(1/DATOS_[[% anualiz]:[% anualiz]]),1)*IF(DATOS!BE$5="Sí",1/DATOS_[[% normaliz]:[% normaliz]],1)*(DATOS_[Conc.Sal.27])))))))), 0)</f>
        <v>0</v>
      </c>
      <c r="AK101" s="250" t="n">
        <f aca="false" t="array" ref="AK101:AK101">IFERROR( (MEDIAN((IF(DATOS_[[Sexo]:[Sexo]]=$B101,IF(DATOS_[[AGRUP. CLAS. PROF.]:[AGRUP. CLAS. PROF.]]=$B99,IF(DATOS_[[Check Periodo Ref.]:[Check Periodo Ref.]]="Dentro",IF(DATOS_[[Check Equiparado]:[Check Equiparado]]="Sí",IF(DATOS!BF$4="Sí",(1/DATOS_[[% anualiz]:[% anualiz]]),1)*IF(DATOS!BF$5="Sí",1/DATOS_[[% normaliz]:[% normaliz]],1)*(DATOS_[Conc.Sal.28])))))))), 0)</f>
        <v>0</v>
      </c>
      <c r="AL101" s="250" t="n">
        <f aca="false" t="array" ref="AL101:AL101">IFERROR( (MEDIAN((IF(DATOS_[[Sexo]:[Sexo]]=$B101,IF(DATOS_[[AGRUP. CLAS. PROF.]:[AGRUP. CLAS. PROF.]]=$B99,IF(DATOS_[[Check Periodo Ref.]:[Check Periodo Ref.]]="Dentro",IF(DATOS_[[Check Equiparado]:[Check Equiparado]]="Sí",IF(DATOS!BG$4="Sí",(1/DATOS_[[% anualiz]:[% anualiz]]),1)*IF(DATOS!BG$5="Sí",1/DATOS_[[% normaliz]:[% normaliz]],1)*(DATOS_[Conc.Sal.29])))))))), 0)</f>
        <v>0</v>
      </c>
      <c r="AM101" s="250" t="n">
        <f aca="false" t="array" ref="AM101:AM101">IFERROR( (MEDIAN((IF(DATOS_[[Sexo]:[Sexo]]=$B101,IF(DATOS_[[AGRUP. CLAS. PROF.]:[AGRUP. CLAS. PROF.]]=$B99,IF(DATOS_[[Check Periodo Ref.]:[Check Periodo Ref.]]="Dentro",IF(DATOS_[[Check Equiparado]:[Check Equiparado]]="Sí",IF(DATOS!BH$4="Sí",(1/DATOS_[[% anualiz]:[% anualiz]]),1)*IF(DATOS!BH$5="Sí",1/DATOS_[[% normaliz]:[% normaliz]],1)*(DATOS_[Conc.Sal.30])))))))), 0)</f>
        <v>0</v>
      </c>
      <c r="AN101" s="251" t="n">
        <f aca="false" t="array" ref="AN101:AN101">IFERROR( MEDIAN(IF(DATOS_[Sexo]=$B101,IF(DATOS_[[AGRUP. CLAS. PROF.]:[AGRUP. CLAS. PROF.]]=$B99,IF(DATOS_[Check Equiparado]="Sí",IF(DATOS_[Check Periodo Ref.]="Dentro",DATOS_[Tot COMPL.SAL Eq],0))))), 0)</f>
        <v>0</v>
      </c>
      <c r="AO101" s="252" t="n">
        <f aca="false" t="array" ref="AO101:AO101">IFERROR( MEDIAN(IF(DATOS_[Sexo]=$B101,IF(DATOS_[[AGRUP. CLAS. PROF.]:[AGRUP. CLAS. PROF.]]=$B99,IF(DATOS_[Check Equiparado]="Sí",IF(DATOS_[Check Periodo Ref.]="Dentro",DATOS_[TOTAL SALARIO Eq],0))))), 0)</f>
        <v>0</v>
      </c>
      <c r="AP101" s="259" t="n">
        <f aca="false" t="array" ref="AP101:AP101">IFERROR( (MEDIAN((IF(DATOS_[[Sexo]:[Sexo]]=$B101,IF(DATOS_[[AGRUP. CLAS. PROF.]:[AGRUP. CLAS. PROF.]]=$B100,IF(DATOS_[[Check Periodo Ref.]:[Check Periodo Ref.]]="Dentro",IF(DATOS_[[Check Equiparado]:[Check Equiparado]]="Sí",IF(DATOS!BI$4="Sí",(1/DATOS_[[% anualiz]:[% anualiz]]),1)*IF(DATOS!BI$5="Sí",1/DATOS_[[% normaliz]:[% normaliz]],1)*(DATOS_[C.Extra.01])))))))), 0)</f>
        <v>0</v>
      </c>
      <c r="AQ101" s="259" t="n">
        <f aca="false" t="array" ref="AQ101:AQ101">IFERROR( (MEDIAN((IF(DATOS_[[Sexo]:[Sexo]]=$B101,IF(DATOS_[[AGRUP. CLAS. PROF.]:[AGRUP. CLAS. PROF.]]=$B100,IF(DATOS_[[Check Periodo Ref.]:[Check Periodo Ref.]]="Dentro",IF(DATOS_[[Check Equiparado]:[Check Equiparado]]="Sí",IF(DATOS!BJ$4="Sí",(1/DATOS_[[% anualiz]:[% anualiz]]),1)*IF(DATOS!BJ$5="Sí",1/DATOS_[[% normaliz]:[% normaliz]],1)*(DATOS_[C.Extra.02])))))))), 0)</f>
        <v>0</v>
      </c>
      <c r="AR101" s="259" t="n">
        <f aca="false" t="array" ref="AR101:AR101">IFERROR( (MEDIAN((IF(DATOS_[[Sexo]:[Sexo]]=$B101,IF(DATOS_[[AGRUP. CLAS. PROF.]:[AGRUP. CLAS. PROF.]]=$B100,IF(DATOS_[[Check Periodo Ref.]:[Check Periodo Ref.]]="Dentro",IF(DATOS_[[Check Equiparado]:[Check Equiparado]]="Sí",IF(DATOS!BK$4="Sí",(1/DATOS_[[% anualiz]:[% anualiz]]),1)*IF(DATOS!BK$5="Sí",1/DATOS_[[% normaliz]:[% normaliz]],1)*(DATOS_[C.Extra.03])))))))), 0)</f>
        <v>0</v>
      </c>
      <c r="AS101" s="259" t="n">
        <f aca="false" t="array" ref="AS101:AS101">IFERROR( (MEDIAN((IF(DATOS_[[Sexo]:[Sexo]]=$B101,IF(DATOS_[[AGRUP. CLAS. PROF.]:[AGRUP. CLAS. PROF.]]=$B100,IF(DATOS_[[Check Periodo Ref.]:[Check Periodo Ref.]]="Dentro",IF(DATOS_[[Check Equiparado]:[Check Equiparado]]="Sí",IF(DATOS!BL$4="Sí",(1/DATOS_[[% anualiz]:[% anualiz]]),1)*IF(DATOS!BL$5="Sí",1/DATOS_[[% normaliz]:[% normaliz]],1)*(DATOS_[C.Extra.04])))))))), 0)</f>
        <v>0</v>
      </c>
      <c r="AT101" s="259" t="n">
        <f aca="false" t="array" ref="AT101:AT101">IFERROR( (MEDIAN((IF(DATOS_[[Sexo]:[Sexo]]=$B101,IF(DATOS_[[AGRUP. CLAS. PROF.]:[AGRUP. CLAS. PROF.]]=$B100,IF(DATOS_[[Check Periodo Ref.]:[Check Periodo Ref.]]="Dentro",IF(DATOS_[[Check Equiparado]:[Check Equiparado]]="Sí",IF(DATOS!BM$4="Sí",(1/DATOS_[[% anualiz]:[% anualiz]]),1)*IF(DATOS!BM$5="Sí",1/DATOS_[[% normaliz]:[% normaliz]],1)*(DATOS_[C.Extra.05])))))))), 0)</f>
        <v>0</v>
      </c>
      <c r="AU101" s="254" t="n">
        <f aca="false" t="array" ref="AU101:AU101">IFERROR( MEDIAN(IF(DATOS_[Sexo]=$B101,IF(DATOS_[[AGRUP. CLAS. PROF.]:[AGRUP. CLAS. PROF.]]=$B99,IF(DATOS_[Check Equiparado]="Sí",IF(DATOS_[Check Periodo Ref.]="Dentro",DATOS_[Tot Extrasalarial Eq],0))))), 0)</f>
        <v>0</v>
      </c>
      <c r="AV101" s="255" t="n">
        <f aca="false" t="array" ref="AV101:AV101">IFERROR( MEDIAN(IF(DATOS_[Sexo]=$B101,IF(DATOS_[[AGRUP. CLAS. PROF.]:[AGRUP. CLAS. PROF.]]=$B99,IF(DATOS_[Check Equiparado]="Sí",IF(DATOS_[Check Periodo Ref.]="Dentro",DATOS_[TOTAL Retrib Eq],0))))), 0)</f>
        <v>0</v>
      </c>
    </row>
    <row r="102" customFormat="false" ht="15.75" hidden="false" customHeight="false" outlineLevel="0" collapsed="false">
      <c r="A102" s="217" t="str">
        <f aca="false">+A103</f>
        <v>[ocultar]</v>
      </c>
      <c r="B102" s="320" t="s">
        <v>255</v>
      </c>
      <c r="C102" s="236"/>
      <c r="D102" s="237"/>
      <c r="E102" s="237"/>
      <c r="F102" s="237"/>
      <c r="G102" s="237"/>
      <c r="H102" s="237"/>
      <c r="I102" s="238"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39" t="str">
        <f aca="false">IFERROR((V103-V104)/V103,"")</f>
        <v/>
      </c>
      <c r="W102" s="239" t="str">
        <f aca="false">IFERROR((W103-W104)/W103,"")</f>
        <v/>
      </c>
      <c r="X102" s="239" t="str">
        <f aca="false">IFERROR((X103-X104)/X103,"")</f>
        <v/>
      </c>
      <c r="Y102" s="239"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0" t="str">
        <f aca="false">IFERROR((AJ103-AJ104)/AJ103,"")</f>
        <v/>
      </c>
      <c r="AK102" s="240" t="str">
        <f aca="false">IFERROR((AK103-AK104)/AK103,"")</f>
        <v/>
      </c>
      <c r="AL102" s="240" t="str">
        <f aca="false">IFERROR((AL103-AL104)/AL103,"")</f>
        <v/>
      </c>
      <c r="AM102" s="240" t="str">
        <f aca="false">IFERROR((AM103-AM104)/AM103,"")</f>
        <v/>
      </c>
      <c r="AN102" s="241" t="str">
        <f aca="false">IFERROR((AN103-AN104)/AN103,"")</f>
        <v/>
      </c>
      <c r="AO102" s="242" t="str">
        <f aca="false">IFERROR((AO103-AO104)/AO103,"")</f>
        <v/>
      </c>
      <c r="AP102" s="243" t="str">
        <f aca="false">IFERROR((AP103-AP104)/AP103,"")</f>
        <v/>
      </c>
      <c r="AQ102" s="243" t="str">
        <f aca="false">IFERROR((AQ103-AQ104)/AQ103,"")</f>
        <v/>
      </c>
      <c r="AR102" s="243" t="str">
        <f aca="false">IFERROR((AR103-AR104)/AR103,"")</f>
        <v/>
      </c>
      <c r="AS102" s="243" t="str">
        <f aca="false">IFERROR((AS103-AS104)/AS103,"")</f>
        <v/>
      </c>
      <c r="AT102" s="243" t="str">
        <f aca="false">IFERROR((AT103-AT104)/AT103,"")</f>
        <v/>
      </c>
      <c r="AU102" s="244" t="str">
        <f aca="false">IFERROR((AU103-AU104)/AU103,"")</f>
        <v/>
      </c>
      <c r="AV102" s="245" t="str">
        <f aca="false">IFERROR((AV103-AV104)/AV103,"")</f>
        <v/>
      </c>
    </row>
    <row r="103" customFormat="false" ht="14.25" hidden="false" customHeight="false" outlineLevel="0" collapsed="false">
      <c r="A103" s="217" t="str">
        <f aca="false">+IF(C103+C104=0,"[ocultar]","")</f>
        <v>[ocultar]</v>
      </c>
      <c r="B103" s="323" t="s">
        <v>371</v>
      </c>
      <c r="C103" s="247" t="n">
        <f aca="false" t="array" ref="C103:C103">SUM(IF($B103=DATOS_[Sexo], IF($B102=DATOS_[AGRUP. CLAS. PROF.], IF("Dentro"=DATOS_[Check Periodo Ref.], 1/(COUNTIFS(DATOS_[Sexo],$B103,DATOS_[AGRUP. CLAS. PROF.],$B102,DATOS_[Check Periodo Ref.],"Dentro",DATOS_[id],DATOS_[id]))))))</f>
        <v>0</v>
      </c>
      <c r="D103" s="248" t="n">
        <f aca="false">COUNTIFS(DATOS_[AGRUP. CLAS. PROF.],$B102,DATOS_[Sexo],$B103,DATOS_[Check Periodo Ref.],"Dentro")</f>
        <v>0</v>
      </c>
      <c r="E103" s="248" t="n">
        <f aca="false">COUNTIFS(DATOS_[AGRUP. CLAS. PROF.],$B102,DATOS_[Sexo],$B103,DATOS_[Check Periodo Ref.],"Dentro",DATOS_[Check Nº SC Norm],"Sí")</f>
        <v>0</v>
      </c>
      <c r="F103" s="248" t="n">
        <f aca="false">COUNTIFS(DATOS_[AGRUP. CLAS. PROF.],$B102,DATOS_[Sexo],$B103,DATOS_[Check Periodo Ref.],"Dentro",DATOS_[Check Nº SC Anualiz],"Sí")</f>
        <v>0</v>
      </c>
      <c r="G103" s="248" t="n">
        <f aca="false">COUNTIFS(DATOS_[AGRUP. CLAS. PROF.],$B102,DATOS_[Sexo],$B103,DATOS_[Check Periodo Ref.],"Dentro",DATOS_[Check Nº SC Norm y Anualiz],"Sí")</f>
        <v>0</v>
      </c>
      <c r="H103" s="248" t="n">
        <f aca="false">COUNTIFS(DATOS_[AGRUP. CLAS. PROF.],$B102,DATOS_[Sexo],$B103,DATOS_[Check Periodo Ref.],"Dentro",DATOS_[Check Equiparación],"Sí")</f>
        <v>0</v>
      </c>
      <c r="I103" s="249" t="n">
        <f aca="false" t="array" ref="I103:I103">IFERROR( MEDIAN(IF(DATOS_[Sexo]=$B103,IF(DATOS_[[AGRUP. CLAS. PROF.]:[AGRUP. CLAS. PROF.]]=$B102,IF(DATOS_[Check Equiparado]="Sí",IF(DATOS_[Check Periodo Ref.]="Dentro",DATOS_[SALARIO BASE Eq],0))))), 0)</f>
        <v>0</v>
      </c>
      <c r="J103" s="250" t="n">
        <f aca="false" t="array" ref="J103:J103">IFERROR( (MEDIAN((IF(DATOS_[[Sexo]:[Sexo]]=$B103,IF(DATOS_[[AGRUP. CLAS. PROF.]:[AGRUP. CLAS. PROF.]]=$B102,IF(DATOS_[[Check Periodo Ref.]:[Check Periodo Ref.]]="Dentro",IF(DATOS_[[Check Equiparado]:[Check Equiparado]]="Sí",IF(DATOS!AE$4="Sí",(1/DATOS_[[% anualiz]:[% anualiz]]),1)*IF(DATOS!AE$5="Sí",1/DATOS_[[% normaliz]:[% normaliz]],1)*(DATOS_[Conc.Sal.01])))))))), 0)</f>
        <v>0</v>
      </c>
      <c r="K103" s="250" t="n">
        <f aca="false" t="array" ref="K103:K103">IFERROR( (MEDIAN((IF(DATOS_[[Sexo]:[Sexo]]=$B103,IF(DATOS_[[AGRUP. CLAS. PROF.]:[AGRUP. CLAS. PROF.]]=$B102,IF(DATOS_[[Check Periodo Ref.]:[Check Periodo Ref.]]="Dentro",IF(DATOS_[[Check Equiparado]:[Check Equiparado]]="Sí",IF(DATOS!AF$4="Sí",(1/DATOS_[[% anualiz]:[% anualiz]]),1)*IF(DATOS!AF$5="Sí",1/DATOS_[[% normaliz]:[% normaliz]],1)*(DATOS_[Conc.Sal.02])))))))), 0)</f>
        <v>0</v>
      </c>
      <c r="L103" s="250" t="n">
        <f aca="false" t="array" ref="L103:L103">IFERROR( (MEDIAN((IF(DATOS_[[Sexo]:[Sexo]]=$B103,IF(DATOS_[[AGRUP. CLAS. PROF.]:[AGRUP. CLAS. PROF.]]=$B102,IF(DATOS_[[Check Periodo Ref.]:[Check Periodo Ref.]]="Dentro",IF(DATOS_[[Check Equiparado]:[Check Equiparado]]="Sí",IF(DATOS!AG$4="Sí",(1/DATOS_[[% anualiz]:[% anualiz]]),1)*IF(DATOS!AG$5="Sí",1/DATOS_[[% normaliz]:[% normaliz]],1)*(DATOS_[Conc.Sal.03])))))))), 0)</f>
        <v>0</v>
      </c>
      <c r="M103" s="250" t="n">
        <f aca="false" t="array" ref="M103:M103">IFERROR( (MEDIAN((IF(DATOS_[[Sexo]:[Sexo]]=$B103,IF(DATOS_[[AGRUP. CLAS. PROF.]:[AGRUP. CLAS. PROF.]]=$B102,IF(DATOS_[[Check Periodo Ref.]:[Check Periodo Ref.]]="Dentro",IF(DATOS_[[Check Equiparado]:[Check Equiparado]]="Sí",IF(DATOS!AH$4="Sí",(1/DATOS_[[% anualiz]:[% anualiz]]),1)*IF(DATOS!AH$5="Sí",1/DATOS_[[% normaliz]:[% normaliz]],1)*(DATOS_[Conc.Sal.04])))))))), 0)</f>
        <v>0</v>
      </c>
      <c r="N103" s="250" t="n">
        <f aca="false" t="array" ref="N103:N103">IFERROR( (MEDIAN((IF(DATOS_[[Sexo]:[Sexo]]=$B103,IF(DATOS_[[AGRUP. CLAS. PROF.]:[AGRUP. CLAS. PROF.]]=$B102,IF(DATOS_[[Check Periodo Ref.]:[Check Periodo Ref.]]="Dentro",IF(DATOS_[[Check Equiparado]:[Check Equiparado]]="Sí",IF(DATOS!AI$4="Sí",(1/DATOS_[[% anualiz]:[% anualiz]]),1)*IF(DATOS!AI$5="Sí",1/DATOS_[[% normaliz]:[% normaliz]],1)*(DATOS_[Conc.Sal.05])))))))), 0)</f>
        <v>0</v>
      </c>
      <c r="O103" s="250" t="n">
        <f aca="false" t="array" ref="O103:O103">IFERROR( (MEDIAN((IF(DATOS_[[Sexo]:[Sexo]]=$B103,IF(DATOS_[[AGRUP. CLAS. PROF.]:[AGRUP. CLAS. PROF.]]=$B102,IF(DATOS_[[Check Periodo Ref.]:[Check Periodo Ref.]]="Dentro",IF(DATOS_[[Check Equiparado]:[Check Equiparado]]="Sí",IF(DATOS!AJ$4="Sí",(1/DATOS_[[% anualiz]:[% anualiz]]),1)*IF(DATOS!AJ$5="Sí",1/DATOS_[[% normaliz]:[% normaliz]],1)*(DATOS_[Conc.Sal.06])))))))), 0)</f>
        <v>0</v>
      </c>
      <c r="P103" s="250" t="n">
        <f aca="false" t="array" ref="P103:P103">IFERROR( (MEDIAN((IF(DATOS_[[Sexo]:[Sexo]]=$B103,IF(DATOS_[[AGRUP. CLAS. PROF.]:[AGRUP. CLAS. PROF.]]=$B102,IF(DATOS_[[Check Periodo Ref.]:[Check Periodo Ref.]]="Dentro",IF(DATOS_[[Check Equiparado]:[Check Equiparado]]="Sí",IF(DATOS!AK$4="Sí",(1/DATOS_[[% anualiz]:[% anualiz]]),1)*IF(DATOS!AK$5="Sí",1/DATOS_[[% normaliz]:[% normaliz]],1)*(DATOS_[Conc.Sal.07])))))))), 0)</f>
        <v>0</v>
      </c>
      <c r="Q103" s="250" t="n">
        <f aca="false" t="array" ref="Q103:Q103">IFERROR( (MEDIAN((IF(DATOS_[[Sexo]:[Sexo]]=$B103,IF(DATOS_[[AGRUP. CLAS. PROF.]:[AGRUP. CLAS. PROF.]]=$B102,IF(DATOS_[[Check Periodo Ref.]:[Check Periodo Ref.]]="Dentro",IF(DATOS_[[Check Equiparado]:[Check Equiparado]]="Sí",IF(DATOS!AL$4="Sí",(1/DATOS_[[% anualiz]:[% anualiz]]),1)*IF(DATOS!AL$5="Sí",1/DATOS_[[% normaliz]:[% normaliz]],1)*(DATOS_[Conc.Sal.08])))))))), 0)</f>
        <v>0</v>
      </c>
      <c r="R103" s="250" t="n">
        <f aca="false" t="array" ref="R103:R103">IFERROR( (MEDIAN((IF(DATOS_[[Sexo]:[Sexo]]=$B103,IF(DATOS_[[AGRUP. CLAS. PROF.]:[AGRUP. CLAS. PROF.]]=$B102,IF(DATOS_[[Check Periodo Ref.]:[Check Periodo Ref.]]="Dentro",IF(DATOS_[[Check Equiparado]:[Check Equiparado]]="Sí",IF(DATOS!AM$4="Sí",(1/DATOS_[[% anualiz]:[% anualiz]]),1)*IF(DATOS!AM$5="Sí",1/DATOS_[[% normaliz]:[% normaliz]],1)*(DATOS_[Conc.Sal.09])))))))), 0)</f>
        <v>0</v>
      </c>
      <c r="S103" s="250" t="n">
        <f aca="false" t="array" ref="S103:S103">IFERROR( (MEDIAN((IF(DATOS_[[Sexo]:[Sexo]]=$B103,IF(DATOS_[[AGRUP. CLAS. PROF.]:[AGRUP. CLAS. PROF.]]=$B102,IF(DATOS_[[Check Periodo Ref.]:[Check Periodo Ref.]]="Dentro",IF(DATOS_[[Check Equiparado]:[Check Equiparado]]="Sí",IF(DATOS!AN$4="Sí",(1/DATOS_[[% anualiz]:[% anualiz]]),1)*IF(DATOS!AN$5="Sí",1/DATOS_[[% normaliz]:[% normaliz]],1)*(DATOS_[Conc.Sal.10])))))))), 0)</f>
        <v>0</v>
      </c>
      <c r="T103" s="250" t="n">
        <f aca="false" t="array" ref="T103:T103">IFERROR( (MEDIAN((IF(DATOS_[[Sexo]:[Sexo]]=$B103,IF(DATOS_[[AGRUP. CLAS. PROF.]:[AGRUP. CLAS. PROF.]]=$B102,IF(DATOS_[[Check Periodo Ref.]:[Check Periodo Ref.]]="Dentro",IF(DATOS_[[Check Equiparado]:[Check Equiparado]]="Sí",IF(DATOS!AO$4="Sí",(1/DATOS_[[% anualiz]:[% anualiz]]),1)*IF(DATOS!AO$5="Sí",1/DATOS_[[% normaliz]:[% normaliz]],1)*(DATOS_[Conc.Sal.11])))))))), 0)</f>
        <v>0</v>
      </c>
      <c r="U103" s="250" t="n">
        <f aca="false" t="array" ref="U103:U103">IFERROR( (MEDIAN((IF(DATOS_[[Sexo]:[Sexo]]=$B103,IF(DATOS_[[AGRUP. CLAS. PROF.]:[AGRUP. CLAS. PROF.]]=$B102,IF(DATOS_[[Check Periodo Ref.]:[Check Periodo Ref.]]="Dentro",IF(DATOS_[[Check Equiparado]:[Check Equiparado]]="Sí",IF(DATOS!AP$4="Sí",(1/DATOS_[[% anualiz]:[% anualiz]]),1)*IF(DATOS!AP$5="Sí",1/DATOS_[[% normaliz]:[% normaliz]],1)*(DATOS_[Conc.Sal.12])))))))), 0)</f>
        <v>0</v>
      </c>
      <c r="V103" s="250" t="n">
        <f aca="false" t="array" ref="V103:V103">IFERROR( (MEDIAN((IF(DATOS_[[Sexo]:[Sexo]]=$B103,IF(DATOS_[[AGRUP. CLAS. PROF.]:[AGRUP. CLAS. PROF.]]=$B102,IF(DATOS_[[Check Periodo Ref.]:[Check Periodo Ref.]]="Dentro",IF(DATOS_[[Check Equiparado]:[Check Equiparado]]="Sí",IF(DATOS!AQ$4="Sí",(1/DATOS_[[% anualiz]:[% anualiz]]),1)*IF(DATOS!AQ$5="Sí",1/DATOS_[[% normaliz]:[% normaliz]],1)*(DATOS_[Conc.Sal.13])))))))), 0)</f>
        <v>0</v>
      </c>
      <c r="W103" s="250" t="n">
        <f aca="false" t="array" ref="W103:W103">IFERROR( (MEDIAN((IF(DATOS_[[Sexo]:[Sexo]]=$B103,IF(DATOS_[[AGRUP. CLAS. PROF.]:[AGRUP. CLAS. PROF.]]=$B102,IF(DATOS_[[Check Periodo Ref.]:[Check Periodo Ref.]]="Dentro",IF(DATOS_[[Check Equiparado]:[Check Equiparado]]="Sí",IF(DATOS!AR$4="Sí",(1/DATOS_[[% anualiz]:[% anualiz]]),1)*IF(DATOS!AR$5="Sí",1/DATOS_[[% normaliz]:[% normaliz]],1)*(DATOS_[Conc.Sal.14])))))))), 0)</f>
        <v>0</v>
      </c>
      <c r="X103" s="250" t="n">
        <f aca="false" t="array" ref="X103:X103">IFERROR( (MEDIAN((IF(DATOS_[[Sexo]:[Sexo]]=$B103,IF(DATOS_[[AGRUP. CLAS. PROF.]:[AGRUP. CLAS. PROF.]]=$B102,IF(DATOS_[[Check Periodo Ref.]:[Check Periodo Ref.]]="Dentro",IF(DATOS_[[Check Equiparado]:[Check Equiparado]]="Sí",IF(DATOS!AS$4="Sí",(1/DATOS_[[% anualiz]:[% anualiz]]),1)*IF(DATOS!AS$5="Sí",1/DATOS_[[% normaliz]:[% normaliz]],1)*(DATOS_[Conc.Sal.15])))))))), 0)</f>
        <v>0</v>
      </c>
      <c r="Y103" s="250" t="n">
        <f aca="false" t="array" ref="Y103:Y103">IFERROR( (MEDIAN((IF(DATOS_[[Sexo]:[Sexo]]=$B103,IF(DATOS_[[AGRUP. CLAS. PROF.]:[AGRUP. CLAS. PROF.]]=$B102,IF(DATOS_[[Check Periodo Ref.]:[Check Periodo Ref.]]="Dentro",IF(DATOS_[[Check Equiparado]:[Check Equiparado]]="Sí",IF(DATOS!AT$4="Sí",(1/DATOS_[[% anualiz]:[% anualiz]]),1)*IF(DATOS!AT$5="Sí",1/DATOS_[[% normaliz]:[% normaliz]],1)*(DATOS_[Conc.Sal.16])))))))), 0)</f>
        <v>0</v>
      </c>
      <c r="Z103" s="250" t="n">
        <f aca="false" t="array" ref="Z103:Z103">IFERROR( (MEDIAN((IF(DATOS_[[Sexo]:[Sexo]]=$B103,IF(DATOS_[[AGRUP. CLAS. PROF.]:[AGRUP. CLAS. PROF.]]=$B102,IF(DATOS_[[Check Periodo Ref.]:[Check Periodo Ref.]]="Dentro",IF(DATOS_[[Check Equiparado]:[Check Equiparado]]="Sí",IF(DATOS!AU$4="Sí",(1/DATOS_[[% anualiz]:[% anualiz]]),1)*IF(DATOS!AU$5="Sí",1/DATOS_[[% normaliz]:[% normaliz]],1)*(DATOS_[Conc.Sal.17])))))))), 0)</f>
        <v>0</v>
      </c>
      <c r="AA103" s="250" t="n">
        <f aca="false" t="array" ref="AA103:AA103">IFERROR( (MEDIAN((IF(DATOS_[[Sexo]:[Sexo]]=$B103,IF(DATOS_[[AGRUP. CLAS. PROF.]:[AGRUP. CLAS. PROF.]]=$B102,IF(DATOS_[[Check Periodo Ref.]:[Check Periodo Ref.]]="Dentro",IF(DATOS_[[Check Equiparado]:[Check Equiparado]]="Sí",IF(DATOS!AV$4="Sí",(1/DATOS_[[% anualiz]:[% anualiz]]),1)*IF(DATOS!AV$5="Sí",1/DATOS_[[% normaliz]:[% normaliz]],1)*(DATOS_[Conc.Sal.18])))))))), 0)</f>
        <v>0</v>
      </c>
      <c r="AB103" s="250" t="n">
        <f aca="false" t="array" ref="AB103:AB103">IFERROR( (MEDIAN((IF(DATOS_[[Sexo]:[Sexo]]=$B103,IF(DATOS_[[AGRUP. CLAS. PROF.]:[AGRUP. CLAS. PROF.]]=$B102,IF(DATOS_[[Check Periodo Ref.]:[Check Periodo Ref.]]="Dentro",IF(DATOS_[[Check Equiparado]:[Check Equiparado]]="Sí",IF(DATOS!AW$4="Sí",(1/DATOS_[[% anualiz]:[% anualiz]]),1)*IF(DATOS!AW$5="Sí",1/DATOS_[[% normaliz]:[% normaliz]],1)*(DATOS_[Conc.Sal.19])))))))), 0)</f>
        <v>0</v>
      </c>
      <c r="AC103" s="250" t="n">
        <f aca="false" t="array" ref="AC103:AC103">IFERROR( (MEDIAN((IF(DATOS_[[Sexo]:[Sexo]]=$B103,IF(DATOS_[[AGRUP. CLAS. PROF.]:[AGRUP. CLAS. PROF.]]=$B102,IF(DATOS_[[Check Periodo Ref.]:[Check Periodo Ref.]]="Dentro",IF(DATOS_[[Check Equiparado]:[Check Equiparado]]="Sí",IF(DATOS!AX$4="Sí",(1/DATOS_[[% anualiz]:[% anualiz]]),1)*IF(DATOS!AX$5="Sí",1/DATOS_[[% normaliz]:[% normaliz]],1)*(DATOS_[Conc.Sal.20])))))))), 0)</f>
        <v>0</v>
      </c>
      <c r="AD103" s="250" t="n">
        <f aca="false" t="array" ref="AD103:AD103">IFERROR( (MEDIAN((IF(DATOS_[[Sexo]:[Sexo]]=$B103,IF(DATOS_[[AGRUP. CLAS. PROF.]:[AGRUP. CLAS. PROF.]]=$B102,IF(DATOS_[[Check Periodo Ref.]:[Check Periodo Ref.]]="Dentro",IF(DATOS_[[Check Equiparado]:[Check Equiparado]]="Sí",IF(DATOS!AY$4="Sí",(1/DATOS_[[% anualiz]:[% anualiz]]),1)*IF(DATOS!AY$5="Sí",1/DATOS_[[% normaliz]:[% normaliz]],1)*(DATOS_[Conc.Sal.21])))))))), 0)</f>
        <v>0</v>
      </c>
      <c r="AE103" s="250" t="n">
        <f aca="false" t="array" ref="AE103:AE103">IFERROR( (MEDIAN((IF(DATOS_[[Sexo]:[Sexo]]=$B103,IF(DATOS_[[AGRUP. CLAS. PROF.]:[AGRUP. CLAS. PROF.]]=$B102,IF(DATOS_[[Check Periodo Ref.]:[Check Periodo Ref.]]="Dentro",IF(DATOS_[[Check Equiparado]:[Check Equiparado]]="Sí",IF(DATOS!AZ$4="Sí",(1/DATOS_[[% anualiz]:[% anualiz]]),1)*IF(DATOS!AZ$5="Sí",1/DATOS_[[% normaliz]:[% normaliz]],1)*(DATOS_[Conc.Sal.22])))))))), 0)</f>
        <v>0</v>
      </c>
      <c r="AF103" s="250" t="n">
        <f aca="false" t="array" ref="AF103:AF103">IFERROR( (MEDIAN((IF(DATOS_[[Sexo]:[Sexo]]=$B103,IF(DATOS_[[AGRUP. CLAS. PROF.]:[AGRUP. CLAS. PROF.]]=$B102,IF(DATOS_[[Check Periodo Ref.]:[Check Periodo Ref.]]="Dentro",IF(DATOS_[[Check Equiparado]:[Check Equiparado]]="Sí",IF(DATOS!BA$4="Sí",(1/DATOS_[[% anualiz]:[% anualiz]]),1)*IF(DATOS!BA$5="Sí",1/DATOS_[[% normaliz]:[% normaliz]],1)*(DATOS_[Conc.Sal.23])))))))), 0)</f>
        <v>0</v>
      </c>
      <c r="AG103" s="250" t="n">
        <f aca="false" t="array" ref="AG103:AG103">IFERROR( (MEDIAN((IF(DATOS_[[Sexo]:[Sexo]]=$B103,IF(DATOS_[[AGRUP. CLAS. PROF.]:[AGRUP. CLAS. PROF.]]=$B102,IF(DATOS_[[Check Periodo Ref.]:[Check Periodo Ref.]]="Dentro",IF(DATOS_[[Check Equiparado]:[Check Equiparado]]="Sí",IF(DATOS!BB$4="Sí",(1/DATOS_[[% anualiz]:[% anualiz]]),1)*IF(DATOS!BB$5="Sí",1/DATOS_[[% normaliz]:[% normaliz]],1)*(DATOS_[Conc.Sal.24])))))))), 0)</f>
        <v>0</v>
      </c>
      <c r="AH103" s="250" t="n">
        <f aca="false" t="array" ref="AH103:AH103">IFERROR( (MEDIAN((IF(DATOS_[[Sexo]:[Sexo]]=$B103,IF(DATOS_[[AGRUP. CLAS. PROF.]:[AGRUP. CLAS. PROF.]]=$B102,IF(DATOS_[[Check Periodo Ref.]:[Check Periodo Ref.]]="Dentro",IF(DATOS_[[Check Equiparado]:[Check Equiparado]]="Sí",IF(DATOS!BC$4="Sí",(1/DATOS_[[% anualiz]:[% anualiz]]),1)*IF(DATOS!BC$5="Sí",1/DATOS_[[% normaliz]:[% normaliz]],1)*(DATOS_[Conc.Sal.25])))))))), 0)</f>
        <v>0</v>
      </c>
      <c r="AI103" s="250" t="n">
        <f aca="false" t="array" ref="AI103:AI103">IFERROR( (MEDIAN((IF(DATOS_[[Sexo]:[Sexo]]=$B103,IF(DATOS_[[AGRUP. CLAS. PROF.]:[AGRUP. CLAS. PROF.]]=$B102,IF(DATOS_[[Check Periodo Ref.]:[Check Periodo Ref.]]="Dentro",IF(DATOS_[[Check Equiparado]:[Check Equiparado]]="Sí",IF(DATOS!BD$4="Sí",(1/DATOS_[[% anualiz]:[% anualiz]]),1)*IF(DATOS!BD$5="Sí",1/DATOS_[[% normaliz]:[% normaliz]],1)*(DATOS_[Conc.Sal.26])))))))), 0)</f>
        <v>0</v>
      </c>
      <c r="AJ103" s="250" t="n">
        <f aca="false" t="array" ref="AJ103:AJ103">IFERROR( (MEDIAN((IF(DATOS_[[Sexo]:[Sexo]]=$B103,IF(DATOS_[[AGRUP. CLAS. PROF.]:[AGRUP. CLAS. PROF.]]=$B102,IF(DATOS_[[Check Periodo Ref.]:[Check Periodo Ref.]]="Dentro",IF(DATOS_[[Check Equiparado]:[Check Equiparado]]="Sí",IF(DATOS!BE$4="Sí",(1/DATOS_[[% anualiz]:[% anualiz]]),1)*IF(DATOS!BE$5="Sí",1/DATOS_[[% normaliz]:[% normaliz]],1)*(DATOS_[Conc.Sal.27])))))))), 0)</f>
        <v>0</v>
      </c>
      <c r="AK103" s="250" t="n">
        <f aca="false" t="array" ref="AK103:AK103">IFERROR( (MEDIAN((IF(DATOS_[[Sexo]:[Sexo]]=$B103,IF(DATOS_[[AGRUP. CLAS. PROF.]:[AGRUP. CLAS. PROF.]]=$B102,IF(DATOS_[[Check Periodo Ref.]:[Check Periodo Ref.]]="Dentro",IF(DATOS_[[Check Equiparado]:[Check Equiparado]]="Sí",IF(DATOS!BF$4="Sí",(1/DATOS_[[% anualiz]:[% anualiz]]),1)*IF(DATOS!BF$5="Sí",1/DATOS_[[% normaliz]:[% normaliz]],1)*(DATOS_[Conc.Sal.28])))))))), 0)</f>
        <v>0</v>
      </c>
      <c r="AL103" s="250" t="n">
        <f aca="false" t="array" ref="AL103:AL103">IFERROR( (MEDIAN((IF(DATOS_[[Sexo]:[Sexo]]=$B103,IF(DATOS_[[AGRUP. CLAS. PROF.]:[AGRUP. CLAS. PROF.]]=$B102,IF(DATOS_[[Check Periodo Ref.]:[Check Periodo Ref.]]="Dentro",IF(DATOS_[[Check Equiparado]:[Check Equiparado]]="Sí",IF(DATOS!BG$4="Sí",(1/DATOS_[[% anualiz]:[% anualiz]]),1)*IF(DATOS!BG$5="Sí",1/DATOS_[[% normaliz]:[% normaliz]],1)*(DATOS_[Conc.Sal.29])))))))), 0)</f>
        <v>0</v>
      </c>
      <c r="AM103" s="250" t="n">
        <f aca="false" t="array" ref="AM103:AM103">IFERROR( (MEDIAN((IF(DATOS_[[Sexo]:[Sexo]]=$B103,IF(DATOS_[[AGRUP. CLAS. PROF.]:[AGRUP. CLAS. PROF.]]=$B102,IF(DATOS_[[Check Periodo Ref.]:[Check Periodo Ref.]]="Dentro",IF(DATOS_[[Check Equiparado]:[Check Equiparado]]="Sí",IF(DATOS!BH$4="Sí",(1/DATOS_[[% anualiz]:[% anualiz]]),1)*IF(DATOS!BH$5="Sí",1/DATOS_[[% normaliz]:[% normaliz]],1)*(DATOS_[Conc.Sal.30])))))))), 0)</f>
        <v>0</v>
      </c>
      <c r="AN103" s="251" t="n">
        <f aca="false" t="array" ref="AN103:AN103">IFERROR( MEDIAN(IF(DATOS_[Sexo]=$B103,IF(DATOS_[[AGRUP. CLAS. PROF.]:[AGRUP. CLAS. PROF.]]=$B102,IF(DATOS_[Check Equiparado]="Sí",IF(DATOS_[Check Periodo Ref.]="Dentro",DATOS_[Tot COMPL.SAL Eq],0))))), 0)</f>
        <v>0</v>
      </c>
      <c r="AO103" s="252" t="n">
        <f aca="false" t="array" ref="AO103:AO103">IFERROR( MEDIAN(IF(DATOS_[Sexo]=$B103,IF(DATOS_[[AGRUP. CLAS. PROF.]:[AGRUP. CLAS. PROF.]]=$B102,IF(DATOS_[Check Equiparado]="Sí",IF(DATOS_[Check Periodo Ref.]="Dentro",DATOS_[TOTAL SALARIO Eq],0))))), 0)</f>
        <v>0</v>
      </c>
      <c r="AP103" s="259" t="n">
        <f aca="false" t="array" ref="AP103:AP103">IFERROR( (MEDIAN((IF(DATOS_[[Sexo]:[Sexo]]=$B103,IF(DATOS_[[AGRUP. CLAS. PROF.]:[AGRUP. CLAS. PROF.]]=$B102,IF(DATOS_[[Check Periodo Ref.]:[Check Periodo Ref.]]="Dentro",IF(DATOS_[[Check Equiparado]:[Check Equiparado]]="Sí",IF(DATOS!BI$4="Sí",(1/DATOS_[[% anualiz]:[% anualiz]]),1)*IF(DATOS!BI$5="Sí",1/DATOS_[[% normaliz]:[% normaliz]],1)*(DATOS_[C.Extra.01])))))))), 0)</f>
        <v>0</v>
      </c>
      <c r="AQ103" s="259" t="n">
        <f aca="false" t="array" ref="AQ103:AQ103">IFERROR( (MEDIAN((IF(DATOS_[[Sexo]:[Sexo]]=$B103,IF(DATOS_[[AGRUP. CLAS. PROF.]:[AGRUP. CLAS. PROF.]]=$B102,IF(DATOS_[[Check Periodo Ref.]:[Check Periodo Ref.]]="Dentro",IF(DATOS_[[Check Equiparado]:[Check Equiparado]]="Sí",IF(DATOS!BJ$4="Sí",(1/DATOS_[[% anualiz]:[% anualiz]]),1)*IF(DATOS!BJ$5="Sí",1/DATOS_[[% normaliz]:[% normaliz]],1)*(DATOS_[C.Extra.02])))))))), 0)</f>
        <v>0</v>
      </c>
      <c r="AR103" s="259" t="n">
        <f aca="false" t="array" ref="AR103:AR103">IFERROR( (MEDIAN((IF(DATOS_[[Sexo]:[Sexo]]=$B103,IF(DATOS_[[AGRUP. CLAS. PROF.]:[AGRUP. CLAS. PROF.]]=$B102,IF(DATOS_[[Check Periodo Ref.]:[Check Periodo Ref.]]="Dentro",IF(DATOS_[[Check Equiparado]:[Check Equiparado]]="Sí",IF(DATOS!BK$4="Sí",(1/DATOS_[[% anualiz]:[% anualiz]]),1)*IF(DATOS!BK$5="Sí",1/DATOS_[[% normaliz]:[% normaliz]],1)*(DATOS_[C.Extra.03])))))))), 0)</f>
        <v>0</v>
      </c>
      <c r="AS103" s="259" t="n">
        <f aca="false" t="array" ref="AS103:AS103">IFERROR( (MEDIAN((IF(DATOS_[[Sexo]:[Sexo]]=$B103,IF(DATOS_[[AGRUP. CLAS. PROF.]:[AGRUP. CLAS. PROF.]]=$B102,IF(DATOS_[[Check Periodo Ref.]:[Check Periodo Ref.]]="Dentro",IF(DATOS_[[Check Equiparado]:[Check Equiparado]]="Sí",IF(DATOS!BL$4="Sí",(1/DATOS_[[% anualiz]:[% anualiz]]),1)*IF(DATOS!BL$5="Sí",1/DATOS_[[% normaliz]:[% normaliz]],1)*(DATOS_[C.Extra.04])))))))), 0)</f>
        <v>0</v>
      </c>
      <c r="AT103" s="259" t="n">
        <f aca="false" t="array" ref="AT103:AT103">IFERROR( (MEDIAN((IF(DATOS_[[Sexo]:[Sexo]]=$B103,IF(DATOS_[[AGRUP. CLAS. PROF.]:[AGRUP. CLAS. PROF.]]=$B102,IF(DATOS_[[Check Periodo Ref.]:[Check Periodo Ref.]]="Dentro",IF(DATOS_[[Check Equiparado]:[Check Equiparado]]="Sí",IF(DATOS!BM$4="Sí",(1/DATOS_[[% anualiz]:[% anualiz]]),1)*IF(DATOS!BM$5="Sí",1/DATOS_[[% normaliz]:[% normaliz]],1)*(DATOS_[C.Extra.05])))))))), 0)</f>
        <v>0</v>
      </c>
      <c r="AU103" s="254" t="n">
        <f aca="false" t="array" ref="AU103:AU103">IFERROR( MEDIAN(IF(DATOS_[Sexo]=$B103,IF(DATOS_[[AGRUP. CLAS. PROF.]:[AGRUP. CLAS. PROF.]]=$B102,IF(DATOS_[Check Equiparado]="Sí",IF(DATOS_[Check Periodo Ref.]="Dentro",DATOS_[Tot Extrasalarial Eq],0))))), 0)</f>
        <v>0</v>
      </c>
      <c r="AV103" s="255" t="n">
        <f aca="false" t="array" ref="AV103:AV103">IFERROR( MEDIAN(IF(DATOS_[Sexo]=$B103,IF(DATOS_[[AGRUP. CLAS. PROF.]:[AGRUP. CLAS. PROF.]]=$B102,IF(DATOS_[Check Equiparado]="Sí",IF(DATOS_[Check Periodo Ref.]="Dentro",DATOS_[TOTAL Retrib Eq],0))))), 0)</f>
        <v>0</v>
      </c>
    </row>
    <row r="104" customFormat="false" ht="14.25" hidden="false" customHeight="false" outlineLevel="0" collapsed="false">
      <c r="A104" s="217" t="str">
        <f aca="false">+A103</f>
        <v>[ocultar]</v>
      </c>
      <c r="B104" s="323" t="s">
        <v>372</v>
      </c>
      <c r="C104" s="247" t="n">
        <f aca="false" t="array" ref="C104:C104">SUM(IF($B104=DATOS_[Sexo], IF($B102=DATOS_[AGRUP. CLAS. PROF.], IF("Dentro"=DATOS_[Check Periodo Ref.], 1/(COUNTIFS(DATOS_[Sexo],$B104,DATOS_[AGRUP. CLAS. PROF.],$B102,DATOS_[Check Periodo Ref.],"Dentro",DATOS_[id],DATOS_[id]))))))</f>
        <v>0</v>
      </c>
      <c r="D104" s="248" t="n">
        <f aca="false">COUNTIFS(DATOS_[AGRUP. CLAS. PROF.],$B102,DATOS_[Sexo],$B104,DATOS_[Check Periodo Ref.],"Dentro")</f>
        <v>0</v>
      </c>
      <c r="E104" s="248" t="n">
        <f aca="false">COUNTIFS(DATOS_[AGRUP. CLAS. PROF.],$B102,DATOS_[Sexo],$B104,DATOS_[Check Periodo Ref.],"Dentro",DATOS_[Check Nº SC Norm],"Sí")</f>
        <v>0</v>
      </c>
      <c r="F104" s="248" t="n">
        <f aca="false">COUNTIFS(DATOS_[AGRUP. CLAS. PROF.],$B102,DATOS_[Sexo],$B104,DATOS_[Check Periodo Ref.],"Dentro",DATOS_[Check Nº SC Anualiz],"Sí")</f>
        <v>0</v>
      </c>
      <c r="G104" s="248" t="n">
        <f aca="false">COUNTIFS(DATOS_[AGRUP. CLAS. PROF.],$B102,DATOS_[Sexo],$B104,DATOS_[Check Periodo Ref.],"Dentro",DATOS_[Check Nº SC Norm y Anualiz],"Sí")</f>
        <v>0</v>
      </c>
      <c r="H104" s="248" t="n">
        <f aca="false">COUNTIFS(DATOS_[AGRUP. CLAS. PROF.],$B102,DATOS_[Sexo],$B104,DATOS_[Check Periodo Ref.],"Dentro",DATOS_[Check Equiparación],"Sí")</f>
        <v>0</v>
      </c>
      <c r="I104" s="249" t="n">
        <f aca="false" t="array" ref="I104:I104">IFERROR( MEDIAN(IF(DATOS_[Sexo]=$B104,IF(DATOS_[[AGRUP. CLAS. PROF.]:[AGRUP. CLAS. PROF.]]=$B102,IF(DATOS_[Check Equiparado]="Sí",IF(DATOS_[Check Periodo Ref.]="Dentro",DATOS_[SALARIO BASE Eq],0))))), 0)</f>
        <v>0</v>
      </c>
      <c r="J104" s="250" t="n">
        <f aca="false" t="array" ref="J104:J104">IFERROR( (MEDIAN((IF(DATOS_[[Sexo]:[Sexo]]=$B104,IF(DATOS_[[AGRUP. CLAS. PROF.]:[AGRUP. CLAS. PROF.]]=$B102,IF(DATOS_[[Check Periodo Ref.]:[Check Periodo Ref.]]="Dentro",IF(DATOS_[[Check Equiparado]:[Check Equiparado]]="Sí",IF(DATOS!AE$4="Sí",(1/DATOS_[[% anualiz]:[% anualiz]]),1)*IF(DATOS!AE$5="Sí",1/DATOS_[[% normaliz]:[% normaliz]],1)*(DATOS_[Conc.Sal.01])))))))), 0)</f>
        <v>0</v>
      </c>
      <c r="K104" s="250" t="n">
        <f aca="false" t="array" ref="K104:K104">IFERROR( (MEDIAN((IF(DATOS_[[Sexo]:[Sexo]]=$B104,IF(DATOS_[[AGRUP. CLAS. PROF.]:[AGRUP. CLAS. PROF.]]=$B102,IF(DATOS_[[Check Periodo Ref.]:[Check Periodo Ref.]]="Dentro",IF(DATOS_[[Check Equiparado]:[Check Equiparado]]="Sí",IF(DATOS!AF$4="Sí",(1/DATOS_[[% anualiz]:[% anualiz]]),1)*IF(DATOS!AF$5="Sí",1/DATOS_[[% normaliz]:[% normaliz]],1)*(DATOS_[Conc.Sal.02])))))))), 0)</f>
        <v>0</v>
      </c>
      <c r="L104" s="250" t="n">
        <f aca="false" t="array" ref="L104:L104">IFERROR( (MEDIAN((IF(DATOS_[[Sexo]:[Sexo]]=$B104,IF(DATOS_[[AGRUP. CLAS. PROF.]:[AGRUP. CLAS. PROF.]]=$B102,IF(DATOS_[[Check Periodo Ref.]:[Check Periodo Ref.]]="Dentro",IF(DATOS_[[Check Equiparado]:[Check Equiparado]]="Sí",IF(DATOS!AG$4="Sí",(1/DATOS_[[% anualiz]:[% anualiz]]),1)*IF(DATOS!AG$5="Sí",1/DATOS_[[% normaliz]:[% normaliz]],1)*(DATOS_[Conc.Sal.03])))))))), 0)</f>
        <v>0</v>
      </c>
      <c r="M104" s="250" t="n">
        <f aca="false" t="array" ref="M104:M104">IFERROR( (MEDIAN((IF(DATOS_[[Sexo]:[Sexo]]=$B104,IF(DATOS_[[AGRUP. CLAS. PROF.]:[AGRUP. CLAS. PROF.]]=$B102,IF(DATOS_[[Check Periodo Ref.]:[Check Periodo Ref.]]="Dentro",IF(DATOS_[[Check Equiparado]:[Check Equiparado]]="Sí",IF(DATOS!AH$4="Sí",(1/DATOS_[[% anualiz]:[% anualiz]]),1)*IF(DATOS!AH$5="Sí",1/DATOS_[[% normaliz]:[% normaliz]],1)*(DATOS_[Conc.Sal.04])))))))), 0)</f>
        <v>0</v>
      </c>
      <c r="N104" s="250" t="n">
        <f aca="false" t="array" ref="N104:N104">IFERROR( (MEDIAN((IF(DATOS_[[Sexo]:[Sexo]]=$B104,IF(DATOS_[[AGRUP. CLAS. PROF.]:[AGRUP. CLAS. PROF.]]=$B102,IF(DATOS_[[Check Periodo Ref.]:[Check Periodo Ref.]]="Dentro",IF(DATOS_[[Check Equiparado]:[Check Equiparado]]="Sí",IF(DATOS!AI$4="Sí",(1/DATOS_[[% anualiz]:[% anualiz]]),1)*IF(DATOS!AI$5="Sí",1/DATOS_[[% normaliz]:[% normaliz]],1)*(DATOS_[Conc.Sal.05])))))))), 0)</f>
        <v>0</v>
      </c>
      <c r="O104" s="250" t="n">
        <f aca="false" t="array" ref="O104:O104">IFERROR( (MEDIAN((IF(DATOS_[[Sexo]:[Sexo]]=$B104,IF(DATOS_[[AGRUP. CLAS. PROF.]:[AGRUP. CLAS. PROF.]]=$B102,IF(DATOS_[[Check Periodo Ref.]:[Check Periodo Ref.]]="Dentro",IF(DATOS_[[Check Equiparado]:[Check Equiparado]]="Sí",IF(DATOS!AJ$4="Sí",(1/DATOS_[[% anualiz]:[% anualiz]]),1)*IF(DATOS!AJ$5="Sí",1/DATOS_[[% normaliz]:[% normaliz]],1)*(DATOS_[Conc.Sal.06])))))))), 0)</f>
        <v>0</v>
      </c>
      <c r="P104" s="250" t="n">
        <f aca="false" t="array" ref="P104:P104">IFERROR( (MEDIAN((IF(DATOS_[[Sexo]:[Sexo]]=$B104,IF(DATOS_[[AGRUP. CLAS. PROF.]:[AGRUP. CLAS. PROF.]]=$B102,IF(DATOS_[[Check Periodo Ref.]:[Check Periodo Ref.]]="Dentro",IF(DATOS_[[Check Equiparado]:[Check Equiparado]]="Sí",IF(DATOS!AK$4="Sí",(1/DATOS_[[% anualiz]:[% anualiz]]),1)*IF(DATOS!AK$5="Sí",1/DATOS_[[% normaliz]:[% normaliz]],1)*(DATOS_[Conc.Sal.07])))))))), 0)</f>
        <v>0</v>
      </c>
      <c r="Q104" s="250" t="n">
        <f aca="false" t="array" ref="Q104:Q104">IFERROR( (MEDIAN((IF(DATOS_[[Sexo]:[Sexo]]=$B104,IF(DATOS_[[AGRUP. CLAS. PROF.]:[AGRUP. CLAS. PROF.]]=$B102,IF(DATOS_[[Check Periodo Ref.]:[Check Periodo Ref.]]="Dentro",IF(DATOS_[[Check Equiparado]:[Check Equiparado]]="Sí",IF(DATOS!AL$4="Sí",(1/DATOS_[[% anualiz]:[% anualiz]]),1)*IF(DATOS!AL$5="Sí",1/DATOS_[[% normaliz]:[% normaliz]],1)*(DATOS_[Conc.Sal.08])))))))), 0)</f>
        <v>0</v>
      </c>
      <c r="R104" s="250" t="n">
        <f aca="false" t="array" ref="R104:R104">IFERROR( (MEDIAN((IF(DATOS_[[Sexo]:[Sexo]]=$B104,IF(DATOS_[[AGRUP. CLAS. PROF.]:[AGRUP. CLAS. PROF.]]=$B102,IF(DATOS_[[Check Periodo Ref.]:[Check Periodo Ref.]]="Dentro",IF(DATOS_[[Check Equiparado]:[Check Equiparado]]="Sí",IF(DATOS!AM$4="Sí",(1/DATOS_[[% anualiz]:[% anualiz]]),1)*IF(DATOS!AM$5="Sí",1/DATOS_[[% normaliz]:[% normaliz]],1)*(DATOS_[Conc.Sal.09])))))))), 0)</f>
        <v>0</v>
      </c>
      <c r="S104" s="250" t="n">
        <f aca="false" t="array" ref="S104:S104">IFERROR( (MEDIAN((IF(DATOS_[[Sexo]:[Sexo]]=$B104,IF(DATOS_[[AGRUP. CLAS. PROF.]:[AGRUP. CLAS. PROF.]]=$B102,IF(DATOS_[[Check Periodo Ref.]:[Check Periodo Ref.]]="Dentro",IF(DATOS_[[Check Equiparado]:[Check Equiparado]]="Sí",IF(DATOS!AN$4="Sí",(1/DATOS_[[% anualiz]:[% anualiz]]),1)*IF(DATOS!AN$5="Sí",1/DATOS_[[% normaliz]:[% normaliz]],1)*(DATOS_[Conc.Sal.10])))))))), 0)</f>
        <v>0</v>
      </c>
      <c r="T104" s="250" t="n">
        <f aca="false" t="array" ref="T104:T104">IFERROR( (MEDIAN((IF(DATOS_[[Sexo]:[Sexo]]=$B104,IF(DATOS_[[AGRUP. CLAS. PROF.]:[AGRUP. CLAS. PROF.]]=$B102,IF(DATOS_[[Check Periodo Ref.]:[Check Periodo Ref.]]="Dentro",IF(DATOS_[[Check Equiparado]:[Check Equiparado]]="Sí",IF(DATOS!AO$4="Sí",(1/DATOS_[[% anualiz]:[% anualiz]]),1)*IF(DATOS!AO$5="Sí",1/DATOS_[[% normaliz]:[% normaliz]],1)*(DATOS_[Conc.Sal.11])))))))), 0)</f>
        <v>0</v>
      </c>
      <c r="U104" s="250" t="n">
        <f aca="false" t="array" ref="U104:U104">IFERROR( (MEDIAN((IF(DATOS_[[Sexo]:[Sexo]]=$B104,IF(DATOS_[[AGRUP. CLAS. PROF.]:[AGRUP. CLAS. PROF.]]=$B102,IF(DATOS_[[Check Periodo Ref.]:[Check Periodo Ref.]]="Dentro",IF(DATOS_[[Check Equiparado]:[Check Equiparado]]="Sí",IF(DATOS!AP$4="Sí",(1/DATOS_[[% anualiz]:[% anualiz]]),1)*IF(DATOS!AP$5="Sí",1/DATOS_[[% normaliz]:[% normaliz]],1)*(DATOS_[Conc.Sal.12])))))))), 0)</f>
        <v>0</v>
      </c>
      <c r="V104" s="250" t="n">
        <f aca="false" t="array" ref="V104:V104">IFERROR( (MEDIAN((IF(DATOS_[[Sexo]:[Sexo]]=$B104,IF(DATOS_[[AGRUP. CLAS. PROF.]:[AGRUP. CLAS. PROF.]]=$B102,IF(DATOS_[[Check Periodo Ref.]:[Check Periodo Ref.]]="Dentro",IF(DATOS_[[Check Equiparado]:[Check Equiparado]]="Sí",IF(DATOS!AQ$4="Sí",(1/DATOS_[[% anualiz]:[% anualiz]]),1)*IF(DATOS!AQ$5="Sí",1/DATOS_[[% normaliz]:[% normaliz]],1)*(DATOS_[Conc.Sal.13])))))))), 0)</f>
        <v>0</v>
      </c>
      <c r="W104" s="250" t="n">
        <f aca="false" t="array" ref="W104:W104">IFERROR( (MEDIAN((IF(DATOS_[[Sexo]:[Sexo]]=$B104,IF(DATOS_[[AGRUP. CLAS. PROF.]:[AGRUP. CLAS. PROF.]]=$B102,IF(DATOS_[[Check Periodo Ref.]:[Check Periodo Ref.]]="Dentro",IF(DATOS_[[Check Equiparado]:[Check Equiparado]]="Sí",IF(DATOS!AR$4="Sí",(1/DATOS_[[% anualiz]:[% anualiz]]),1)*IF(DATOS!AR$5="Sí",1/DATOS_[[% normaliz]:[% normaliz]],1)*(DATOS_[Conc.Sal.14])))))))), 0)</f>
        <v>0</v>
      </c>
      <c r="X104" s="250" t="n">
        <f aca="false" t="array" ref="X104:X104">IFERROR( (MEDIAN((IF(DATOS_[[Sexo]:[Sexo]]=$B104,IF(DATOS_[[AGRUP. CLAS. PROF.]:[AGRUP. CLAS. PROF.]]=$B102,IF(DATOS_[[Check Periodo Ref.]:[Check Periodo Ref.]]="Dentro",IF(DATOS_[[Check Equiparado]:[Check Equiparado]]="Sí",IF(DATOS!AS$4="Sí",(1/DATOS_[[% anualiz]:[% anualiz]]),1)*IF(DATOS!AS$5="Sí",1/DATOS_[[% normaliz]:[% normaliz]],1)*(DATOS_[Conc.Sal.15])))))))), 0)</f>
        <v>0</v>
      </c>
      <c r="Y104" s="250" t="n">
        <f aca="false" t="array" ref="Y104:Y104">IFERROR( (MEDIAN((IF(DATOS_[[Sexo]:[Sexo]]=$B104,IF(DATOS_[[AGRUP. CLAS. PROF.]:[AGRUP. CLAS. PROF.]]=$B102,IF(DATOS_[[Check Periodo Ref.]:[Check Periodo Ref.]]="Dentro",IF(DATOS_[[Check Equiparado]:[Check Equiparado]]="Sí",IF(DATOS!AT$4="Sí",(1/DATOS_[[% anualiz]:[% anualiz]]),1)*IF(DATOS!AT$5="Sí",1/DATOS_[[% normaliz]:[% normaliz]],1)*(DATOS_[Conc.Sal.16])))))))), 0)</f>
        <v>0</v>
      </c>
      <c r="Z104" s="250" t="n">
        <f aca="false" t="array" ref="Z104:Z104">IFERROR( (MEDIAN((IF(DATOS_[[Sexo]:[Sexo]]=$B104,IF(DATOS_[[AGRUP. CLAS. PROF.]:[AGRUP. CLAS. PROF.]]=$B102,IF(DATOS_[[Check Periodo Ref.]:[Check Periodo Ref.]]="Dentro",IF(DATOS_[[Check Equiparado]:[Check Equiparado]]="Sí",IF(DATOS!AU$4="Sí",(1/DATOS_[[% anualiz]:[% anualiz]]),1)*IF(DATOS!AU$5="Sí",1/DATOS_[[% normaliz]:[% normaliz]],1)*(DATOS_[Conc.Sal.17])))))))), 0)</f>
        <v>0</v>
      </c>
      <c r="AA104" s="250" t="n">
        <f aca="false" t="array" ref="AA104:AA104">IFERROR( (MEDIAN((IF(DATOS_[[Sexo]:[Sexo]]=$B104,IF(DATOS_[[AGRUP. CLAS. PROF.]:[AGRUP. CLAS. PROF.]]=$B102,IF(DATOS_[[Check Periodo Ref.]:[Check Periodo Ref.]]="Dentro",IF(DATOS_[[Check Equiparado]:[Check Equiparado]]="Sí",IF(DATOS!AV$4="Sí",(1/DATOS_[[% anualiz]:[% anualiz]]),1)*IF(DATOS!AV$5="Sí",1/DATOS_[[% normaliz]:[% normaliz]],1)*(DATOS_[Conc.Sal.18])))))))), 0)</f>
        <v>0</v>
      </c>
      <c r="AB104" s="250" t="n">
        <f aca="false" t="array" ref="AB104:AB104">IFERROR( (MEDIAN((IF(DATOS_[[Sexo]:[Sexo]]=$B104,IF(DATOS_[[AGRUP. CLAS. PROF.]:[AGRUP. CLAS. PROF.]]=$B102,IF(DATOS_[[Check Periodo Ref.]:[Check Periodo Ref.]]="Dentro",IF(DATOS_[[Check Equiparado]:[Check Equiparado]]="Sí",IF(DATOS!AW$4="Sí",(1/DATOS_[[% anualiz]:[% anualiz]]),1)*IF(DATOS!AW$5="Sí",1/DATOS_[[% normaliz]:[% normaliz]],1)*(DATOS_[Conc.Sal.19])))))))), 0)</f>
        <v>0</v>
      </c>
      <c r="AC104" s="250" t="n">
        <f aca="false" t="array" ref="AC104:AC104">IFERROR( (MEDIAN((IF(DATOS_[[Sexo]:[Sexo]]=$B104,IF(DATOS_[[AGRUP. CLAS. PROF.]:[AGRUP. CLAS. PROF.]]=$B102,IF(DATOS_[[Check Periodo Ref.]:[Check Periodo Ref.]]="Dentro",IF(DATOS_[[Check Equiparado]:[Check Equiparado]]="Sí",IF(DATOS!AX$4="Sí",(1/DATOS_[[% anualiz]:[% anualiz]]),1)*IF(DATOS!AX$5="Sí",1/DATOS_[[% normaliz]:[% normaliz]],1)*(DATOS_[Conc.Sal.20])))))))), 0)</f>
        <v>0</v>
      </c>
      <c r="AD104" s="250" t="n">
        <f aca="false" t="array" ref="AD104:AD104">IFERROR( (MEDIAN((IF(DATOS_[[Sexo]:[Sexo]]=$B104,IF(DATOS_[[AGRUP. CLAS. PROF.]:[AGRUP. CLAS. PROF.]]=$B102,IF(DATOS_[[Check Periodo Ref.]:[Check Periodo Ref.]]="Dentro",IF(DATOS_[[Check Equiparado]:[Check Equiparado]]="Sí",IF(DATOS!AY$4="Sí",(1/DATOS_[[% anualiz]:[% anualiz]]),1)*IF(DATOS!AY$5="Sí",1/DATOS_[[% normaliz]:[% normaliz]],1)*(DATOS_[Conc.Sal.21])))))))), 0)</f>
        <v>0</v>
      </c>
      <c r="AE104" s="250" t="n">
        <f aca="false" t="array" ref="AE104:AE104">IFERROR( (MEDIAN((IF(DATOS_[[Sexo]:[Sexo]]=$B104,IF(DATOS_[[AGRUP. CLAS. PROF.]:[AGRUP. CLAS. PROF.]]=$B102,IF(DATOS_[[Check Periodo Ref.]:[Check Periodo Ref.]]="Dentro",IF(DATOS_[[Check Equiparado]:[Check Equiparado]]="Sí",IF(DATOS!AZ$4="Sí",(1/DATOS_[[% anualiz]:[% anualiz]]),1)*IF(DATOS!AZ$5="Sí",1/DATOS_[[% normaliz]:[% normaliz]],1)*(DATOS_[Conc.Sal.22])))))))), 0)</f>
        <v>0</v>
      </c>
      <c r="AF104" s="250" t="n">
        <f aca="false" t="array" ref="AF104:AF104">IFERROR( (MEDIAN((IF(DATOS_[[Sexo]:[Sexo]]=$B104,IF(DATOS_[[AGRUP. CLAS. PROF.]:[AGRUP. CLAS. PROF.]]=$B102,IF(DATOS_[[Check Periodo Ref.]:[Check Periodo Ref.]]="Dentro",IF(DATOS_[[Check Equiparado]:[Check Equiparado]]="Sí",IF(DATOS!BA$4="Sí",(1/DATOS_[[% anualiz]:[% anualiz]]),1)*IF(DATOS!BA$5="Sí",1/DATOS_[[% normaliz]:[% normaliz]],1)*(DATOS_[Conc.Sal.23])))))))), 0)</f>
        <v>0</v>
      </c>
      <c r="AG104" s="250" t="n">
        <f aca="false" t="array" ref="AG104:AG104">IFERROR( (MEDIAN((IF(DATOS_[[Sexo]:[Sexo]]=$B104,IF(DATOS_[[AGRUP. CLAS. PROF.]:[AGRUP. CLAS. PROF.]]=$B102,IF(DATOS_[[Check Periodo Ref.]:[Check Periodo Ref.]]="Dentro",IF(DATOS_[[Check Equiparado]:[Check Equiparado]]="Sí",IF(DATOS!BB$4="Sí",(1/DATOS_[[% anualiz]:[% anualiz]]),1)*IF(DATOS!BB$5="Sí",1/DATOS_[[% normaliz]:[% normaliz]],1)*(DATOS_[Conc.Sal.24])))))))), 0)</f>
        <v>0</v>
      </c>
      <c r="AH104" s="250" t="n">
        <f aca="false" t="array" ref="AH104:AH104">IFERROR( (MEDIAN((IF(DATOS_[[Sexo]:[Sexo]]=$B104,IF(DATOS_[[AGRUP. CLAS. PROF.]:[AGRUP. CLAS. PROF.]]=$B102,IF(DATOS_[[Check Periodo Ref.]:[Check Periodo Ref.]]="Dentro",IF(DATOS_[[Check Equiparado]:[Check Equiparado]]="Sí",IF(DATOS!BC$4="Sí",(1/DATOS_[[% anualiz]:[% anualiz]]),1)*IF(DATOS!BC$5="Sí",1/DATOS_[[% normaliz]:[% normaliz]],1)*(DATOS_[Conc.Sal.25])))))))), 0)</f>
        <v>0</v>
      </c>
      <c r="AI104" s="250" t="n">
        <f aca="false" t="array" ref="AI104:AI104">IFERROR( (MEDIAN((IF(DATOS_[[Sexo]:[Sexo]]=$B104,IF(DATOS_[[AGRUP. CLAS. PROF.]:[AGRUP. CLAS. PROF.]]=$B102,IF(DATOS_[[Check Periodo Ref.]:[Check Periodo Ref.]]="Dentro",IF(DATOS_[[Check Equiparado]:[Check Equiparado]]="Sí",IF(DATOS!BD$4="Sí",(1/DATOS_[[% anualiz]:[% anualiz]]),1)*IF(DATOS!BD$5="Sí",1/DATOS_[[% normaliz]:[% normaliz]],1)*(DATOS_[Conc.Sal.26])))))))), 0)</f>
        <v>0</v>
      </c>
      <c r="AJ104" s="250" t="n">
        <f aca="false" t="array" ref="AJ104:AJ104">IFERROR( (MEDIAN((IF(DATOS_[[Sexo]:[Sexo]]=$B104,IF(DATOS_[[AGRUP. CLAS. PROF.]:[AGRUP. CLAS. PROF.]]=$B102,IF(DATOS_[[Check Periodo Ref.]:[Check Periodo Ref.]]="Dentro",IF(DATOS_[[Check Equiparado]:[Check Equiparado]]="Sí",IF(DATOS!BE$4="Sí",(1/DATOS_[[% anualiz]:[% anualiz]]),1)*IF(DATOS!BE$5="Sí",1/DATOS_[[% normaliz]:[% normaliz]],1)*(DATOS_[Conc.Sal.27])))))))), 0)</f>
        <v>0</v>
      </c>
      <c r="AK104" s="250" t="n">
        <f aca="false" t="array" ref="AK104:AK104">IFERROR( (MEDIAN((IF(DATOS_[[Sexo]:[Sexo]]=$B104,IF(DATOS_[[AGRUP. CLAS. PROF.]:[AGRUP. CLAS. PROF.]]=$B102,IF(DATOS_[[Check Periodo Ref.]:[Check Periodo Ref.]]="Dentro",IF(DATOS_[[Check Equiparado]:[Check Equiparado]]="Sí",IF(DATOS!BF$4="Sí",(1/DATOS_[[% anualiz]:[% anualiz]]),1)*IF(DATOS!BF$5="Sí",1/DATOS_[[% normaliz]:[% normaliz]],1)*(DATOS_[Conc.Sal.28])))))))), 0)</f>
        <v>0</v>
      </c>
      <c r="AL104" s="250" t="n">
        <f aca="false" t="array" ref="AL104:AL104">IFERROR( (MEDIAN((IF(DATOS_[[Sexo]:[Sexo]]=$B104,IF(DATOS_[[AGRUP. CLAS. PROF.]:[AGRUP. CLAS. PROF.]]=$B102,IF(DATOS_[[Check Periodo Ref.]:[Check Periodo Ref.]]="Dentro",IF(DATOS_[[Check Equiparado]:[Check Equiparado]]="Sí",IF(DATOS!BG$4="Sí",(1/DATOS_[[% anualiz]:[% anualiz]]),1)*IF(DATOS!BG$5="Sí",1/DATOS_[[% normaliz]:[% normaliz]],1)*(DATOS_[Conc.Sal.29])))))))), 0)</f>
        <v>0</v>
      </c>
      <c r="AM104" s="250" t="n">
        <f aca="false" t="array" ref="AM104:AM104">IFERROR( (MEDIAN((IF(DATOS_[[Sexo]:[Sexo]]=$B104,IF(DATOS_[[AGRUP. CLAS. PROF.]:[AGRUP. CLAS. PROF.]]=$B102,IF(DATOS_[[Check Periodo Ref.]:[Check Periodo Ref.]]="Dentro",IF(DATOS_[[Check Equiparado]:[Check Equiparado]]="Sí",IF(DATOS!BH$4="Sí",(1/DATOS_[[% anualiz]:[% anualiz]]),1)*IF(DATOS!BH$5="Sí",1/DATOS_[[% normaliz]:[% normaliz]],1)*(DATOS_[Conc.Sal.30])))))))), 0)</f>
        <v>0</v>
      </c>
      <c r="AN104" s="251" t="n">
        <f aca="false" t="array" ref="AN104:AN104">IFERROR( MEDIAN(IF(DATOS_[Sexo]=$B104,IF(DATOS_[[AGRUP. CLAS. PROF.]:[AGRUP. CLAS. PROF.]]=$B102,IF(DATOS_[Check Equiparado]="Sí",IF(DATOS_[Check Periodo Ref.]="Dentro",DATOS_[Tot COMPL.SAL Eq],0))))), 0)</f>
        <v>0</v>
      </c>
      <c r="AO104" s="252" t="n">
        <f aca="false" t="array" ref="AO104:AO104">IFERROR( MEDIAN(IF(DATOS_[Sexo]=$B104,IF(DATOS_[[AGRUP. CLAS. PROF.]:[AGRUP. CLAS. PROF.]]=$B102,IF(DATOS_[Check Equiparado]="Sí",IF(DATOS_[Check Periodo Ref.]="Dentro",DATOS_[TOTAL SALARIO Eq],0))))), 0)</f>
        <v>0</v>
      </c>
      <c r="AP104" s="259" t="n">
        <f aca="false" t="array" ref="AP104:AP104">IFERROR( (MEDIAN((IF(DATOS_[[Sexo]:[Sexo]]=$B104,IF(DATOS_[[AGRUP. CLAS. PROF.]:[AGRUP. CLAS. PROF.]]=$B103,IF(DATOS_[[Check Periodo Ref.]:[Check Periodo Ref.]]="Dentro",IF(DATOS_[[Check Equiparado]:[Check Equiparado]]="Sí",IF(DATOS!BI$4="Sí",(1/DATOS_[[% anualiz]:[% anualiz]]),1)*IF(DATOS!BI$5="Sí",1/DATOS_[[% normaliz]:[% normaliz]],1)*(DATOS_[C.Extra.01])))))))), 0)</f>
        <v>0</v>
      </c>
      <c r="AQ104" s="259" t="n">
        <f aca="false" t="array" ref="AQ104:AQ104">IFERROR( (MEDIAN((IF(DATOS_[[Sexo]:[Sexo]]=$B104,IF(DATOS_[[AGRUP. CLAS. PROF.]:[AGRUP. CLAS. PROF.]]=$B103,IF(DATOS_[[Check Periodo Ref.]:[Check Periodo Ref.]]="Dentro",IF(DATOS_[[Check Equiparado]:[Check Equiparado]]="Sí",IF(DATOS!BJ$4="Sí",(1/DATOS_[[% anualiz]:[% anualiz]]),1)*IF(DATOS!BJ$5="Sí",1/DATOS_[[% normaliz]:[% normaliz]],1)*(DATOS_[C.Extra.02])))))))), 0)</f>
        <v>0</v>
      </c>
      <c r="AR104" s="259" t="n">
        <f aca="false" t="array" ref="AR104:AR104">IFERROR( (MEDIAN((IF(DATOS_[[Sexo]:[Sexo]]=$B104,IF(DATOS_[[AGRUP. CLAS. PROF.]:[AGRUP. CLAS. PROF.]]=$B103,IF(DATOS_[[Check Periodo Ref.]:[Check Periodo Ref.]]="Dentro",IF(DATOS_[[Check Equiparado]:[Check Equiparado]]="Sí",IF(DATOS!BK$4="Sí",(1/DATOS_[[% anualiz]:[% anualiz]]),1)*IF(DATOS!BK$5="Sí",1/DATOS_[[% normaliz]:[% normaliz]],1)*(DATOS_[C.Extra.03])))))))), 0)</f>
        <v>0</v>
      </c>
      <c r="AS104" s="259" t="n">
        <f aca="false" t="array" ref="AS104:AS104">IFERROR( (MEDIAN((IF(DATOS_[[Sexo]:[Sexo]]=$B104,IF(DATOS_[[AGRUP. CLAS. PROF.]:[AGRUP. CLAS. PROF.]]=$B103,IF(DATOS_[[Check Periodo Ref.]:[Check Periodo Ref.]]="Dentro",IF(DATOS_[[Check Equiparado]:[Check Equiparado]]="Sí",IF(DATOS!BL$4="Sí",(1/DATOS_[[% anualiz]:[% anualiz]]),1)*IF(DATOS!BL$5="Sí",1/DATOS_[[% normaliz]:[% normaliz]],1)*(DATOS_[C.Extra.04])))))))), 0)</f>
        <v>0</v>
      </c>
      <c r="AT104" s="259" t="n">
        <f aca="false" t="array" ref="AT104:AT104">IFERROR( (MEDIAN((IF(DATOS_[[Sexo]:[Sexo]]=$B104,IF(DATOS_[[AGRUP. CLAS. PROF.]:[AGRUP. CLAS. PROF.]]=$B103,IF(DATOS_[[Check Periodo Ref.]:[Check Periodo Ref.]]="Dentro",IF(DATOS_[[Check Equiparado]:[Check Equiparado]]="Sí",IF(DATOS!BM$4="Sí",(1/DATOS_[[% anualiz]:[% anualiz]]),1)*IF(DATOS!BM$5="Sí",1/DATOS_[[% normaliz]:[% normaliz]],1)*(DATOS_[C.Extra.05])))))))), 0)</f>
        <v>0</v>
      </c>
      <c r="AU104" s="254" t="n">
        <f aca="false" t="array" ref="AU104:AU104">IFERROR( MEDIAN(IF(DATOS_[Sexo]=$B104,IF(DATOS_[[AGRUP. CLAS. PROF.]:[AGRUP. CLAS. PROF.]]=$B102,IF(DATOS_[Check Equiparado]="Sí",IF(DATOS_[Check Periodo Ref.]="Dentro",DATOS_[Tot Extrasalarial Eq],0))))), 0)</f>
        <v>0</v>
      </c>
      <c r="AV104" s="255" t="n">
        <f aca="false" t="array" ref="AV104:AV104">IFERROR( MEDIAN(IF(DATOS_[Sexo]=$B104,IF(DATOS_[[AGRUP. CLAS. PROF.]:[AGRUP. CLAS. PROF.]]=$B102,IF(DATOS_[Check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1" min="1" style="166" width="8.87"/>
    <col collapsed="false" customWidth="true" hidden="false" outlineLevel="0" max="2" min="2" style="166" width="10.76"/>
    <col collapsed="false" customWidth="false" hidden="false" outlineLevel="0" max="4" min="3" style="166" width="7.26"/>
    <col collapsed="false" customWidth="true" hidden="false" outlineLevel="0" max="5" min="5" style="166" width="10.35"/>
    <col collapsed="false" customWidth="false" hidden="false" outlineLevel="0" max="14" min="6" style="166" width="7.26"/>
    <col collapsed="false" customWidth="false" hidden="true" outlineLevel="0" max="15" min="15" style="166" width="7.26"/>
    <col collapsed="false" customWidth="false" hidden="true" outlineLevel="1" max="35" min="16" style="166" width="7.26"/>
    <col collapsed="false" customWidth="true" hidden="false" outlineLevel="0" max="37" min="36" style="166" width="8.87"/>
    <col collapsed="false" customWidth="false" hidden="false" outlineLevel="0" max="38" min="38" style="166" width="7.26"/>
    <col collapsed="false" customWidth="false" hidden="true" outlineLevel="0" max="42" min="39" style="166" width="7.26"/>
    <col collapsed="false" customWidth="true" hidden="false" outlineLevel="0" max="44" min="43" style="166" width="8.87"/>
    <col collapsed="false" customWidth="false" hidden="false" outlineLevel="0" max="1024" min="45" style="166" width="7.26"/>
  </cols>
  <sheetData>
    <row r="1" customFormat="false" ht="42.6" hidden="false" customHeight="true" outlineLevel="0" collapsed="false">
      <c r="E1" s="167" t="s">
        <v>374</v>
      </c>
    </row>
    <row r="2" customFormat="false" ht="13.9" hidden="false" customHeight="true" outlineLevel="0" collapsed="false">
      <c r="G2" s="166" t="str">
        <f aca="false">+IF(G8="[ocultar]",G8,"")</f>
        <v>[ocultar]</v>
      </c>
      <c r="H2" s="166" t="str">
        <f aca="false">+IF(H8="[ocultar]",H8,"")</f>
        <v>[ocultar]</v>
      </c>
      <c r="I2" s="166" t="str">
        <f aca="false">+IF(I8="[ocultar]",I8,"")</f>
        <v>[ocultar]</v>
      </c>
      <c r="J2" s="166" t="str">
        <f aca="false">+IF(J8="[ocultar]",J8,"")</f>
        <v>[ocultar]</v>
      </c>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
      </c>
      <c r="AK2" s="166" t="str">
        <f aca="false">+IF(AK8="[ocultar]",AK8,"")</f>
        <v/>
      </c>
      <c r="AL2" s="166" t="str">
        <f aca="false">+IF(AL8="[ocultar]",AL8,"")</f>
        <v>[ocultar]</v>
      </c>
      <c r="AM2" s="166" t="str">
        <f aca="false">+IF(AM8="[ocultar]",AM8,"")</f>
        <v>[ocultar]</v>
      </c>
      <c r="AN2" s="166" t="str">
        <f aca="false">+IF(AN8="[ocultar]",AN8,"")</f>
        <v>[ocultar]</v>
      </c>
      <c r="AO2" s="166" t="str">
        <f aca="false">+IF(AO8="[ocultar]",AO8,"")</f>
        <v>[ocultar]</v>
      </c>
      <c r="AP2" s="166" t="str">
        <f aca="false">+IF(AP8="[ocultar]",AP8,"")</f>
        <v>[ocultar]</v>
      </c>
    </row>
    <row r="3" customFormat="false" ht="13.9" hidden="false" customHeight="true" outlineLevel="0" collapsed="false">
      <c r="E3" s="168" t="str">
        <f aca="false">+"Razón Social: "&amp;Inicio!C6&amp;"  -  NIF: "&amp;Inicio!C8</f>
        <v>Razón Social:   -  NIF:</v>
      </c>
      <c r="F3" s="169"/>
      <c r="G3" s="170"/>
      <c r="H3" s="170"/>
    </row>
    <row r="4" customFormat="false" ht="13.9" hidden="false" customHeight="true" outlineLevel="0" collapsed="false">
      <c r="E4" s="171" t="s">
        <v>2</v>
      </c>
      <c r="F4" s="172"/>
      <c r="G4" s="173"/>
      <c r="H4" s="173"/>
      <c r="I4" s="173"/>
      <c r="J4" s="173"/>
      <c r="K4" s="173"/>
    </row>
    <row r="5" customFormat="false" ht="13.9" hidden="false" customHeight="true" outlineLevel="0" collapsed="false">
      <c r="E5" s="174" t="n">
        <f aca="false">+Inicio!E10</f>
        <v>0</v>
      </c>
      <c r="F5" s="175" t="str">
        <f aca="false">+Inicio!D10</f>
        <v>fecha inicio</v>
      </c>
      <c r="H5" s="170"/>
      <c r="L5" s="170"/>
    </row>
    <row r="6" customFormat="false" ht="13.9" hidden="false" customHeight="true" outlineLevel="0" collapsed="false">
      <c r="E6" s="174" t="n">
        <f aca="false">+Inicio!G10</f>
        <v>0</v>
      </c>
      <c r="F6" s="176" t="s">
        <v>4</v>
      </c>
      <c r="G6" s="177"/>
      <c r="H6" s="177"/>
      <c r="I6" s="170"/>
      <c r="J6" s="170"/>
      <c r="K6" s="178"/>
      <c r="L6" s="170"/>
    </row>
    <row r="7" s="179" customFormat="true" ht="13.9" hidden="false" customHeight="true" outlineLevel="0" collapsed="false">
      <c r="G7" s="180"/>
      <c r="H7" s="180"/>
      <c r="I7" s="180"/>
      <c r="J7" s="180"/>
      <c r="K7" s="181"/>
      <c r="L7" s="180"/>
    </row>
    <row r="8" s="182" customFormat="true" ht="46.15" hidden="false" customHeight="true" outlineLevel="0" collapsed="false">
      <c r="B8" s="183"/>
      <c r="C8" s="183" t="s">
        <v>368</v>
      </c>
      <c r="D8" s="183" t="s">
        <v>369</v>
      </c>
      <c r="E8" s="184" t="s">
        <v>148</v>
      </c>
      <c r="F8" s="185" t="str">
        <f aca="false">+IF(DATOS!AE6="","[ocultar]",DATOS!AE6)</f>
        <v>[ocultar]</v>
      </c>
      <c r="G8" s="185" t="str">
        <f aca="false">+IF(DATOS!AF6="","[ocultar]",DATOS!AF6)</f>
        <v>[ocultar]</v>
      </c>
      <c r="H8" s="185" t="str">
        <f aca="false">+IF(DATOS!AG6="","[ocultar]",DATOS!AG6)</f>
        <v>[ocultar]</v>
      </c>
      <c r="I8" s="185" t="str">
        <f aca="false">+IF(DATOS!AH6="","[ocultar]",DATOS!AH6)</f>
        <v>[ocultar]</v>
      </c>
      <c r="J8" s="185" t="str">
        <f aca="false">+IF(DATOS!AI6="","[ocultar]",DATOS!AI6)</f>
        <v>[ocultar]</v>
      </c>
      <c r="K8" s="185" t="str">
        <f aca="false">+IF(DATOS!AJ6="","[ocultar]",DATOS!AJ6)</f>
        <v>[ocultar]</v>
      </c>
      <c r="L8" s="185" t="str">
        <f aca="false">+IF(DATOS!AK6="","[ocultar]",DATOS!AK6)</f>
        <v>[ocultar]</v>
      </c>
      <c r="M8" s="185" t="str">
        <f aca="false">+IF(DATOS!AL6="","[ocultar]",DATOS!AL6)</f>
        <v>[ocultar]</v>
      </c>
      <c r="N8" s="185" t="str">
        <f aca="false">+IF(DATOS!AM6="","[ocultar]",DATOS!AM6)</f>
        <v>[ocultar]</v>
      </c>
      <c r="O8" s="185" t="str">
        <f aca="false">+IF(DATOS!AN6="","[ocultar]",DATOS!AN6)</f>
        <v>[ocultar]</v>
      </c>
      <c r="P8" s="185" t="str">
        <f aca="false">+IF(DATOS!AO6="","[ocultar]",DATOS!AO6)</f>
        <v>[ocultar]</v>
      </c>
      <c r="Q8" s="185" t="str">
        <f aca="false">+IF(DATOS!AP6="","[ocultar]",DATOS!AP6)</f>
        <v>[ocultar]</v>
      </c>
      <c r="R8" s="185" t="str">
        <f aca="false">+IF(DATOS!AQ6="","[ocultar]",DATOS!AQ6)</f>
        <v>[ocultar]</v>
      </c>
      <c r="S8" s="185" t="str">
        <f aca="false">+IF(DATOS!AR6="","[ocultar]",DATOS!AR6)</f>
        <v>[ocultar]</v>
      </c>
      <c r="T8" s="185" t="str">
        <f aca="false">+IF(DATOS!AS6="","[ocultar]",DATOS!AS6)</f>
        <v>[ocultar]</v>
      </c>
      <c r="U8" s="185" t="str">
        <f aca="false">+IF(DATOS!AT6="","[ocultar]",DATOS!AT6)</f>
        <v>[ocultar]</v>
      </c>
      <c r="V8" s="185" t="str">
        <f aca="false">+IF(DATOS!AU6="","[ocultar]",DATOS!AU6)</f>
        <v>[ocultar]</v>
      </c>
      <c r="W8" s="185" t="str">
        <f aca="false">+IF(DATOS!AV6="","[ocultar]",DATOS!AV6)</f>
        <v>[ocultar]</v>
      </c>
      <c r="X8" s="185" t="str">
        <f aca="false">+IF(DATOS!AW6="","[ocultar]",DATOS!AW6)</f>
        <v>[ocultar]</v>
      </c>
      <c r="Y8" s="185" t="str">
        <f aca="false">+IF(DATOS!AX6="","[ocultar]",DATOS!AX6)</f>
        <v>[ocultar]</v>
      </c>
      <c r="Z8" s="185" t="str">
        <f aca="false">+IF(DATOS!AY6="","[ocultar]",DATOS!AY6)</f>
        <v>[ocultar]</v>
      </c>
      <c r="AA8" s="185" t="str">
        <f aca="false">+IF(DATOS!AZ6="","[ocultar]",DATOS!AZ6)</f>
        <v>[ocultar]</v>
      </c>
      <c r="AB8" s="185" t="str">
        <f aca="false">+IF(DATOS!BA6="","[ocultar]",DATOS!BA6)</f>
        <v>[ocultar]</v>
      </c>
      <c r="AC8" s="185" t="str">
        <f aca="false">+IF(DATOS!BB6="","[ocultar]",DATOS!BB6)</f>
        <v>[ocultar]</v>
      </c>
      <c r="AD8" s="185" t="str">
        <f aca="false">+IF(DATOS!BC6="","[ocultar]",DATOS!BC6)</f>
        <v>[ocultar]</v>
      </c>
      <c r="AE8" s="185" t="str">
        <f aca="false">+IF(DATOS!BD6="","[ocultar]",DATOS!BD6)</f>
        <v>[ocultar]</v>
      </c>
      <c r="AF8" s="185" t="str">
        <f aca="false">+IF(DATOS!BE6="","[ocultar]",DATOS!BE6)</f>
        <v>[ocultar]</v>
      </c>
      <c r="AG8" s="185" t="str">
        <f aca="false">+IF(DATOS!BF6="","[ocultar]",DATOS!BF6)</f>
        <v>[ocultar]</v>
      </c>
      <c r="AH8" s="185" t="str">
        <f aca="false">+IF(DATOS!BG6="","[ocultar]",DATOS!BG6)</f>
        <v>[ocultar]</v>
      </c>
      <c r="AI8" s="185" t="str">
        <f aca="false">+IF(DATOS!BH6="","[ocultar]",DATOS!BH6)</f>
        <v>[ocultar]</v>
      </c>
      <c r="AJ8" s="186" t="s">
        <v>150</v>
      </c>
      <c r="AK8" s="187" t="s">
        <v>152</v>
      </c>
      <c r="AL8" s="188" t="str">
        <f aca="false">+IF(DATOS!BI6="","[ocultar]",DATOS!BI6)</f>
        <v>[ocultar]</v>
      </c>
      <c r="AM8" s="188" t="str">
        <f aca="false">+IF(DATOS!BJ6="","[ocultar]",DATOS!BJ6)</f>
        <v>[ocultar]</v>
      </c>
      <c r="AN8" s="188" t="str">
        <f aca="false">+IF(DATOS!BK6="","[ocultar]",DATOS!BK6)</f>
        <v>[ocultar]</v>
      </c>
      <c r="AO8" s="188" t="str">
        <f aca="false">+IF(DATOS!BL6="","[ocultar]",DATOS!BL6)</f>
        <v>[ocultar]</v>
      </c>
      <c r="AP8" s="188" t="str">
        <f aca="false">+IF(DATOS!BM6="","[ocultar]",DATOS!BM6)</f>
        <v>[ocultar]</v>
      </c>
      <c r="AQ8" s="189" t="s">
        <v>154</v>
      </c>
      <c r="AR8" s="190" t="s">
        <v>156</v>
      </c>
    </row>
    <row r="9" s="191" customFormat="true" ht="15.75" hidden="false" customHeight="false" outlineLevel="0" collapsed="false">
      <c r="B9" s="192" t="s">
        <v>370</v>
      </c>
      <c r="C9" s="193"/>
      <c r="D9" s="194"/>
      <c r="E9" s="195" t="str">
        <f aca="false">IFERROR((E10-E11)/E10,"")</f>
        <v/>
      </c>
      <c r="F9" s="196" t="str">
        <f aca="false">IFERROR((F10-F11)/F10,"")</f>
        <v/>
      </c>
      <c r="G9" s="197" t="str">
        <f aca="false">IFERROR((G10-G11)/G10,"")</f>
        <v/>
      </c>
      <c r="H9" s="197" t="str">
        <f aca="false">IFERROR((H10-H11)/H10,"")</f>
        <v/>
      </c>
      <c r="I9" s="197" t="str">
        <f aca="false">IFERROR((I10-I11)/I10,"")</f>
        <v/>
      </c>
      <c r="J9" s="198" t="str">
        <f aca="false">IFERROR((J10-J11)/J10,"")</f>
        <v/>
      </c>
      <c r="K9" s="199" t="str">
        <f aca="false">IFERROR((K10-K11)/K10,"")</f>
        <v/>
      </c>
      <c r="L9" s="199" t="str">
        <f aca="false">IFERROR((L10-L11)/L10,"")</f>
        <v/>
      </c>
      <c r="M9" s="199" t="str">
        <f aca="false">IFERROR((M10-M11)/M10,"")</f>
        <v/>
      </c>
      <c r="N9" s="199" t="str">
        <f aca="false">IFERROR((N10-N11)/N10,"")</f>
        <v/>
      </c>
      <c r="O9" s="199" t="str">
        <f aca="false">IFERROR((O10-O11)/O10,"")</f>
        <v/>
      </c>
      <c r="P9" s="199" t="str">
        <f aca="false">IFERROR((P10-P11)/P10,"")</f>
        <v/>
      </c>
      <c r="Q9" s="199" t="str">
        <f aca="false">IFERROR((Q10-Q11)/Q10,"")</f>
        <v/>
      </c>
      <c r="R9" s="199" t="str">
        <f aca="false">IFERROR((R10-R11)/R10,"")</f>
        <v/>
      </c>
      <c r="S9" s="199" t="str">
        <f aca="false">IFERROR((S10-S11)/S10,"")</f>
        <v/>
      </c>
      <c r="T9" s="199" t="str">
        <f aca="false">IFERROR((T10-T11)/T10,"")</f>
        <v/>
      </c>
      <c r="U9" s="199" t="str">
        <f aca="false">IFERROR((U10-U11)/U10,"")</f>
        <v/>
      </c>
      <c r="V9" s="198" t="str">
        <f aca="false">IFERROR((V10-V11)/V10,"")</f>
        <v/>
      </c>
      <c r="W9" s="198" t="str">
        <f aca="false">IFERROR((W10-W11)/W10,"")</f>
        <v/>
      </c>
      <c r="X9" s="198" t="str">
        <f aca="false">IFERROR((X10-X11)/X10,"")</f>
        <v/>
      </c>
      <c r="Y9" s="198" t="str">
        <f aca="false">IFERROR((Y10-Y11)/Y10,"")</f>
        <v/>
      </c>
      <c r="Z9" s="198" t="str">
        <f aca="false">IFERROR((Z10-Z11)/Z10,"")</f>
        <v/>
      </c>
      <c r="AA9" s="198" t="str">
        <f aca="false">IFERROR((AA10-AA11)/AA10,"")</f>
        <v/>
      </c>
      <c r="AB9" s="198" t="str">
        <f aca="false">IFERROR((AB10-AB11)/AB10,"")</f>
        <v/>
      </c>
      <c r="AC9" s="198" t="str">
        <f aca="false">IFERROR((AC10-AC11)/AC10,"")</f>
        <v/>
      </c>
      <c r="AD9" s="198" t="str">
        <f aca="false">IFERROR((AD10-AD11)/AD10,"")</f>
        <v/>
      </c>
      <c r="AE9" s="198" t="str">
        <f aca="false">IFERROR((AE10-AE11)/AE10,"")</f>
        <v/>
      </c>
      <c r="AF9" s="198" t="str">
        <f aca="false">IFERROR((AF10-AF11)/AF10,"")</f>
        <v/>
      </c>
      <c r="AG9" s="198" t="str">
        <f aca="false">IFERROR((AG10-AG11)/AG10,"")</f>
        <v/>
      </c>
      <c r="AH9" s="198" t="str">
        <f aca="false">IFERROR((AH10-AH11)/AH10,"")</f>
        <v/>
      </c>
      <c r="AI9" s="198" t="str">
        <f aca="false">IFERROR((AI10-AI11)/AI10,"")</f>
        <v/>
      </c>
      <c r="AJ9" s="200" t="str">
        <f aca="false">IFERROR((AJ10-AJ11)/AJ10,"")</f>
        <v/>
      </c>
      <c r="AK9" s="201" t="str">
        <f aca="false">IFERROR((AK10-AK11)/AK10,"")</f>
        <v/>
      </c>
      <c r="AL9" s="202" t="str">
        <f aca="false">IFERROR((AL10-AL11)/AL10,"")</f>
        <v/>
      </c>
      <c r="AM9" s="202" t="str">
        <f aca="false">IFERROR((AM10-AM11)/AM10,"")</f>
        <v/>
      </c>
      <c r="AN9" s="202" t="str">
        <f aca="false">IFERROR((AN10-AN11)/AN10,"")</f>
        <v/>
      </c>
      <c r="AO9" s="202" t="str">
        <f aca="false">IFERROR((AO10-AO11)/AO10,"")</f>
        <v/>
      </c>
      <c r="AP9" s="202" t="str">
        <f aca="false">IFERROR((AP10-AP11)/AP10,"")</f>
        <v/>
      </c>
      <c r="AQ9" s="203" t="str">
        <f aca="false">IFERROR((AQ10-AQ11)/AQ10,"")</f>
        <v/>
      </c>
      <c r="AR9" s="204" t="str">
        <f aca="false">IFERROR((AR10-AR11)/AR10,"")</f>
        <v/>
      </c>
    </row>
    <row r="10" s="191" customFormat="true" ht="14.25" hidden="false" customHeight="false" outlineLevel="0" collapsed="false">
      <c r="B10" s="205" t="s">
        <v>371</v>
      </c>
      <c r="C10" s="206" t="n">
        <f aca="false" t="array" ref="C10:C10">SUM(IF($B10=DATOS_[Sexo], IF("Dentro"=DATOS_[Check Periodo Ref.], 1/(COUNTIFS(DATOS_[Sexo],$B10,DATOS_[Check Periodo Ref.],"Dentro",DATOS_[id],DATOS_[id])))))</f>
        <v>0</v>
      </c>
      <c r="D10" s="207" t="n">
        <f aca="false">COUNTIFS(DATOS_[AGRUP. VALOR. PTO.],"&lt;&gt;",DATOS_[Sexo],$B10,DATOS_[Check Periodo Ref.],"Dentro")</f>
        <v>0</v>
      </c>
      <c r="E10" s="208" t="n">
        <f aca="false" t="array" ref="E10:E10">IFERROR( AVERAGE(IF(DATOS_[Sexo]=$B10,IF(DATOS_[Check Periodo Ref.]="Dentro",DATOS_[SALARIO BASE Ef],0))), 0)</f>
        <v>0</v>
      </c>
      <c r="F10" s="209" t="n">
        <f aca="false" t="array" ref="F10:F10">IFERROR( (AVERAGE((IF(DATOS_[[Sexo]:[Sexo]]=$B10,IF(DATOS_[[Check Periodo Ref.]:[Check Periodo Ref.]]="Dentro",DATOS_[Conc.Sal.01]))))), 0)</f>
        <v>0</v>
      </c>
      <c r="G10" s="209" t="n">
        <f aca="false" t="array" ref="G10:G10">IFERROR( (AVERAGE((IF(DATOS_[[Sexo]:[Sexo]]=$B10,IF(DATOS_[[Check Periodo Ref.]:[Check Periodo Ref.]]="Dentro",DATOS_[Conc.Sal.02]))))), 0)</f>
        <v>0</v>
      </c>
      <c r="H10" s="209" t="n">
        <f aca="false" t="array" ref="H10:H10">IFERROR( (AVERAGE((IF(DATOS_[[Sexo]:[Sexo]]=$B10,IF(DATOS_[[Check Periodo Ref.]:[Check Periodo Ref.]]="Dentro",DATOS_[Conc.Sal.03]))))), 0)</f>
        <v>0</v>
      </c>
      <c r="I10" s="209" t="n">
        <f aca="false" t="array" ref="I10:I10">IFERROR( (AVERAGE((IF(DATOS_[[Sexo]:[Sexo]]=$B10,IF(DATOS_[[Check Periodo Ref.]:[Check Periodo Ref.]]="Dentro",DATOS_[Conc.Sal.04]))))), 0)</f>
        <v>0</v>
      </c>
      <c r="J10" s="209" t="n">
        <f aca="false" t="array" ref="J10:J10">IFERROR( (AVERAGE((IF(DATOS_[[Sexo]:[Sexo]]=$B10,IF(DATOS_[[Check Periodo Ref.]:[Check Periodo Ref.]]="Dentro",DATOS_[Conc.Sal.05]))))), 0)</f>
        <v>0</v>
      </c>
      <c r="K10" s="209" t="n">
        <f aca="false" t="array" ref="K10:K10">IFERROR( (AVERAGE((IF(DATOS_[[Sexo]:[Sexo]]=$B10,IF(DATOS_[[Check Periodo Ref.]:[Check Periodo Ref.]]="Dentro",DATOS_[Conc.Sal.06]))))), 0)</f>
        <v>0</v>
      </c>
      <c r="L10" s="209" t="n">
        <f aca="false" t="array" ref="L10:L10">IFERROR( (AVERAGE((IF(DATOS_[[Sexo]:[Sexo]]=$B10,IF(DATOS_[[Check Periodo Ref.]:[Check Periodo Ref.]]="Dentro",DATOS_[Conc.Sal.07]))))), 0)</f>
        <v>0</v>
      </c>
      <c r="M10" s="209" t="n">
        <f aca="false" t="array" ref="M10:M10">IFERROR( (AVERAGE((IF(DATOS_[[Sexo]:[Sexo]]=$B10,IF(DATOS_[[Check Periodo Ref.]:[Check Periodo Ref.]]="Dentro",DATOS_[Conc.Sal.08]))))), 0)</f>
        <v>0</v>
      </c>
      <c r="N10" s="209" t="n">
        <f aca="false" t="array" ref="N10:N10">IFERROR( (AVERAGE((IF(DATOS_[[Sexo]:[Sexo]]=$B10,IF(DATOS_[[Check Periodo Ref.]:[Check Periodo Ref.]]="Dentro",DATOS_[Conc.Sal.09]))))), 0)</f>
        <v>0</v>
      </c>
      <c r="O10" s="209" t="n">
        <f aca="false" t="array" ref="O10:O10">IFERROR( (AVERAGE((IF(DATOS_[[Sexo]:[Sexo]]=$B10,IF(DATOS_[[Check Periodo Ref.]:[Check Periodo Ref.]]="Dentro",DATOS_[Conc.Sal.10]))))), 0)</f>
        <v>0</v>
      </c>
      <c r="P10" s="209" t="n">
        <f aca="false" t="array" ref="P10:P10">IFERROR( (AVERAGE((IF(DATOS_[[Sexo]:[Sexo]]=$B10,IF(DATOS_[[Check Periodo Ref.]:[Check Periodo Ref.]]="Dentro",DATOS_[Conc.Sal.11]))))), 0)</f>
        <v>0</v>
      </c>
      <c r="Q10" s="209" t="n">
        <f aca="false" t="array" ref="Q10:Q10">IFERROR( (AVERAGE((IF(DATOS_[[Sexo]:[Sexo]]=$B10,IF(DATOS_[[Check Periodo Ref.]:[Check Periodo Ref.]]="Dentro",DATOS_[Conc.Sal.12]))))), 0)</f>
        <v>0</v>
      </c>
      <c r="R10" s="209" t="n">
        <f aca="false" t="array" ref="R10:R10">IFERROR( (AVERAGE((IF(DATOS_[[Sexo]:[Sexo]]=$B10,IF(DATOS_[[Check Periodo Ref.]:[Check Periodo Ref.]]="Dentro",DATOS_[Conc.Sal.13]))))), 0)</f>
        <v>0</v>
      </c>
      <c r="S10" s="209" t="n">
        <f aca="false" t="array" ref="S10:S10">IFERROR( (AVERAGE((IF(DATOS_[[Sexo]:[Sexo]]=$B10,IF(DATOS_[[Check Periodo Ref.]:[Check Periodo Ref.]]="Dentro",DATOS_[Conc.Sal.14]))))), 0)</f>
        <v>0</v>
      </c>
      <c r="T10" s="209" t="n">
        <f aca="false" t="array" ref="T10:T10">IFERROR( (AVERAGE((IF(DATOS_[[Sexo]:[Sexo]]=$B10,IF(DATOS_[[Check Periodo Ref.]:[Check Periodo Ref.]]="Dentro",DATOS_[Conc.Sal.15]))))), 0)</f>
        <v>0</v>
      </c>
      <c r="U10" s="209" t="n">
        <f aca="false" t="array" ref="U10:U10">IFERROR( (AVERAGE((IF(DATOS_[[Sexo]:[Sexo]]=$B10,IF(DATOS_[[Check Periodo Ref.]:[Check Periodo Ref.]]="Dentro",DATOS_[Conc.Sal.16]))))), 0)</f>
        <v>0</v>
      </c>
      <c r="V10" s="209" t="n">
        <f aca="false" t="array" ref="V10:V10">IFERROR( (AVERAGE((IF(DATOS_[[Sexo]:[Sexo]]=$B10,IF(DATOS_[[Check Periodo Ref.]:[Check Periodo Ref.]]="Dentro",DATOS_[Conc.Sal.17]))))), 0)</f>
        <v>0</v>
      </c>
      <c r="W10" s="209" t="n">
        <f aca="false" t="array" ref="W10:W10">IFERROR( (AVERAGE((IF(DATOS_[[Sexo]:[Sexo]]=$B10,IF(DATOS_[[Check Periodo Ref.]:[Check Periodo Ref.]]="Dentro",DATOS_[Conc.Sal.18]))))), 0)</f>
        <v>0</v>
      </c>
      <c r="X10" s="209" t="n">
        <f aca="false" t="array" ref="X10:X10">IFERROR( (AVERAGE((IF(DATOS_[[Sexo]:[Sexo]]=$B10,IF(DATOS_[[Check Periodo Ref.]:[Check Periodo Ref.]]="Dentro",DATOS_[Conc.Sal.19]))))), 0)</f>
        <v>0</v>
      </c>
      <c r="Y10" s="209" t="n">
        <f aca="false" t="array" ref="Y10:Y10">IFERROR( (AVERAGE((IF(DATOS_[[Sexo]:[Sexo]]=$B10,IF(DATOS_[[Check Periodo Ref.]:[Check Periodo Ref.]]="Dentro",DATOS_[Conc.Sal.20]))))), 0)</f>
        <v>0</v>
      </c>
      <c r="Z10" s="209" t="n">
        <f aca="false" t="array" ref="Z10:Z10">IFERROR( (AVERAGE((IF(DATOS_[[Sexo]:[Sexo]]=$B10,IF(DATOS_[[Check Periodo Ref.]:[Check Periodo Ref.]]="Dentro",DATOS_[Conc.Sal.21]))))), 0)</f>
        <v>0</v>
      </c>
      <c r="AA10" s="209" t="n">
        <f aca="false" t="array" ref="AA10:AA10">IFERROR( (AVERAGE((IF(DATOS_[[Sexo]:[Sexo]]=$B10,IF(DATOS_[[Check Periodo Ref.]:[Check Periodo Ref.]]="Dentro",DATOS_[Conc.Sal.22]))))), 0)</f>
        <v>0</v>
      </c>
      <c r="AB10" s="209" t="n">
        <f aca="false" t="array" ref="AB10:AB10">IFERROR( (AVERAGE((IF(DATOS_[[Sexo]:[Sexo]]=$B10,IF(DATOS_[[Check Periodo Ref.]:[Check Periodo Ref.]]="Dentro",DATOS_[Conc.Sal.23]))))), 0)</f>
        <v>0</v>
      </c>
      <c r="AC10" s="209" t="n">
        <f aca="false" t="array" ref="AC10:AC10">IFERROR( (AVERAGE((IF(DATOS_[[Sexo]:[Sexo]]=$B10,IF(DATOS_[[Check Periodo Ref.]:[Check Periodo Ref.]]="Dentro",DATOS_[Conc.Sal.24]))))), 0)</f>
        <v>0</v>
      </c>
      <c r="AD10" s="209" t="n">
        <f aca="false" t="array" ref="AD10:AD10">IFERROR( (AVERAGE((IF(DATOS_[[Sexo]:[Sexo]]=$B10,IF(DATOS_[[Check Periodo Ref.]:[Check Periodo Ref.]]="Dentro",DATOS_[Conc.Sal.25]))))), 0)</f>
        <v>0</v>
      </c>
      <c r="AE10" s="209" t="n">
        <f aca="false" t="array" ref="AE10:AE10">IFERROR( (AVERAGE((IF(DATOS_[[Sexo]:[Sexo]]=$B10,IF(DATOS_[[Check Periodo Ref.]:[Check Periodo Ref.]]="Dentro",DATOS_[Conc.Sal.26]))))), 0)</f>
        <v>0</v>
      </c>
      <c r="AF10" s="209" t="n">
        <f aca="false" t="array" ref="AF10:AF10">IFERROR( (AVERAGE((IF(DATOS_[[Sexo]:[Sexo]]=$B10,IF(DATOS_[[Check Periodo Ref.]:[Check Periodo Ref.]]="Dentro",DATOS_[Conc.Sal.27]))))), 0)</f>
        <v>0</v>
      </c>
      <c r="AG10" s="209" t="n">
        <f aca="false" t="array" ref="AG10:AG10">IFERROR( (AVERAGE((IF(DATOS_[[Sexo]:[Sexo]]=$B10,IF(DATOS_[[Check Periodo Ref.]:[Check Periodo Ref.]]="Dentro",DATOS_[Conc.Sal.28]))))), 0)</f>
        <v>0</v>
      </c>
      <c r="AH10" s="209" t="n">
        <f aca="false" t="array" ref="AH10:AH10">IFERROR( (AVERAGE((IF(DATOS_[[Sexo]:[Sexo]]=$B10,IF(DATOS_[[Check Periodo Ref.]:[Check Periodo Ref.]]="Dentro",DATOS_[Conc.Sal.29]))))), 0)</f>
        <v>0</v>
      </c>
      <c r="AI10" s="209" t="n">
        <f aca="false" t="array" ref="AI10:AI10">IFERROR( (AVERAGE((IF(DATOS_[[Sexo]:[Sexo]]=$B10,IF(DATOS_[[Check Periodo Ref.]:[Check Periodo Ref.]]="Dentro",DATOS_[Conc.Sal.30]))))), 0)</f>
        <v>0</v>
      </c>
      <c r="AJ10" s="210" t="n">
        <f aca="false" t="array" ref="AJ10:AJ10">IFERROR( AVERAGE(IF(DATOS_[Sexo]=$B10,IF(DATOS_[Check Periodo Ref.]="Dentro",DATOS_[Tot COMPL.SAL Ef],0))), 0)</f>
        <v>0</v>
      </c>
      <c r="AK10" s="211" t="n">
        <f aca="false" t="array" ref="AK10:AK10">IFERROR( AVERAGE(IF(DATOS_[Sexo]=$B10,IF(DATOS_[Check Periodo Ref.]="Dentro",DATOS_[TOTAL SALARIO Ef],0))), 0)</f>
        <v>0</v>
      </c>
      <c r="AL10" s="212" t="n">
        <f aca="false" t="array" ref="AL10:AL10">IFERROR( (AVERAGE((IF(DATOS_[[Sexo]:[Sexo]]=$B10,IF(DATOS_[[Check Periodo Ref.]:[Check Periodo Ref.]]="Dentro",DATOS_[C.Extra.01]))))), 0)</f>
        <v>0</v>
      </c>
      <c r="AM10" s="212" t="n">
        <f aca="false" t="array" ref="AM10:AM10">IFERROR( (AVERAGE((IF(DATOS_[[Sexo]:[Sexo]]=$B10,IF(DATOS_[[Check Periodo Ref.]:[Check Periodo Ref.]]="Dentro",DATOS_[C.Extra.02]))))), 0)</f>
        <v>0</v>
      </c>
      <c r="AN10" s="212" t="n">
        <f aca="false" t="array" ref="AN10:AN10">IFERROR( (AVERAGE((IF(DATOS_[[Sexo]:[Sexo]]=$B10,IF(DATOS_[[Check Periodo Ref.]:[Check Periodo Ref.]]="Dentro",DATOS_[C.Extra.03]))))), 0)</f>
        <v>0</v>
      </c>
      <c r="AO10" s="212" t="n">
        <f aca="false" t="array" ref="AO10:AO10">IFERROR( (AVERAGE((IF(DATOS_[[Sexo]:[Sexo]]=$B10,IF(DATOS_[[Check Periodo Ref.]:[Check Periodo Ref.]]="Dentro",DATOS_[C.Extra.04]))))), 0)</f>
        <v>0</v>
      </c>
      <c r="AP10" s="212" t="n">
        <f aca="false" t="array" ref="AP10:AP10">IFERROR( (AVERAGE((IF(DATOS_[[Sexo]:[Sexo]]=$B10,IF(DATOS_[[Check Periodo Ref.]:[Check Periodo Ref.]]="Dentro",DATOS_[C.Extra.05]))))), 0)</f>
        <v>0</v>
      </c>
      <c r="AQ10" s="213" t="n">
        <f aca="false" t="array" ref="AQ10:AQ10">IFERROR( AVERAGE(IF(DATOS_[Sexo]=$B10,IF(DATOS_[Check Periodo Ref.]="Dentro",DATOS_[Tot Extrasalarial Ef],0))), 0)</f>
        <v>0</v>
      </c>
      <c r="AR10" s="214" t="n">
        <f aca="false" t="array" ref="AR10:AR10">IFERROR( AVERAGE(IF(DATOS_[Sexo]=$B10,IF(DATOS_[Check Periodo Ref.]="Dentro",DATOS_[TOTAL Retrib Ef],0))), 0)</f>
        <v>0</v>
      </c>
    </row>
    <row r="11" s="191" customFormat="true" ht="14.25" hidden="false" customHeight="false" outlineLevel="0" collapsed="false">
      <c r="B11" s="205" t="s">
        <v>372</v>
      </c>
      <c r="C11" s="206" t="n">
        <f aca="false" t="array" ref="C11:C11">SUM(IF($B11=DATOS_[Sexo], IF("Dentro"=DATOS_[Check Periodo Ref.], 1/(COUNTIFS(DATOS_[Sexo],$B11,DATOS_[Check Periodo Ref.],"Dentro",DATOS_[id],DATOS_[id])))))</f>
        <v>0</v>
      </c>
      <c r="D11" s="207" t="n">
        <f aca="false">COUNTIFS(DATOS_[AGRUP. VALOR. PTO.],"&lt;&gt;",DATOS_[Sexo],$B11,DATOS_[Check Periodo Ref.],"Dentro")</f>
        <v>0</v>
      </c>
      <c r="E11" s="208" t="n">
        <f aca="false" t="array" ref="E11:E11">IFERROR( AVERAGE(IF(DATOS_[Sexo]=$B11,IF(DATOS_[Check Periodo Ref.]="Dentro",DATOS_[SALARIO BASE Ef],0))), 0)</f>
        <v>0</v>
      </c>
      <c r="F11" s="209" t="n">
        <f aca="false" t="array" ref="F11:F11">IFERROR( (AVERAGE((IF(DATOS_[[Sexo]:[Sexo]]=$B11,IF(DATOS_[[Check Periodo Ref.]:[Check Periodo Ref.]]="Dentro",DATOS_[Conc.Sal.01]))))), 0)</f>
        <v>0</v>
      </c>
      <c r="G11" s="209" t="n">
        <f aca="false" t="array" ref="G11:G11">IFERROR( (AVERAGE((IF(DATOS_[[Sexo]:[Sexo]]=$B11,IF(DATOS_[[Check Periodo Ref.]:[Check Periodo Ref.]]="Dentro",DATOS_[Conc.Sal.02]))))), 0)</f>
        <v>0</v>
      </c>
      <c r="H11" s="209" t="n">
        <f aca="false" t="array" ref="H11:H11">IFERROR( (AVERAGE((IF(DATOS_[[Sexo]:[Sexo]]=$B11,IF(DATOS_[[Check Periodo Ref.]:[Check Periodo Ref.]]="Dentro",DATOS_[Conc.Sal.03]))))), 0)</f>
        <v>0</v>
      </c>
      <c r="I11" s="209" t="n">
        <f aca="false" t="array" ref="I11:I11">IFERROR( (AVERAGE((IF(DATOS_[[Sexo]:[Sexo]]=$B11,IF(DATOS_[[Check Periodo Ref.]:[Check Periodo Ref.]]="Dentro",DATOS_[Conc.Sal.04]))))), 0)</f>
        <v>0</v>
      </c>
      <c r="J11" s="209" t="n">
        <f aca="false" t="array" ref="J11:J11">IFERROR( (AVERAGE((IF(DATOS_[[Sexo]:[Sexo]]=$B11,IF(DATOS_[[Check Periodo Ref.]:[Check Periodo Ref.]]="Dentro",DATOS_[Conc.Sal.05]))))), 0)</f>
        <v>0</v>
      </c>
      <c r="K11" s="209" t="n">
        <f aca="false" t="array" ref="K11:K11">IFERROR( (AVERAGE((IF(DATOS_[[Sexo]:[Sexo]]=$B11,IF(DATOS_[[Check Periodo Ref.]:[Check Periodo Ref.]]="Dentro",DATOS_[Conc.Sal.06]))))), 0)</f>
        <v>0</v>
      </c>
      <c r="L11" s="209" t="n">
        <f aca="false" t="array" ref="L11:L11">IFERROR( (AVERAGE((IF(DATOS_[[Sexo]:[Sexo]]=$B11,IF(DATOS_[[Check Periodo Ref.]:[Check Periodo Ref.]]="Dentro",DATOS_[Conc.Sal.07]))))), 0)</f>
        <v>0</v>
      </c>
      <c r="M11" s="209" t="n">
        <f aca="false" t="array" ref="M11:M11">IFERROR( (AVERAGE((IF(DATOS_[[Sexo]:[Sexo]]=$B11,IF(DATOS_[[Check Periodo Ref.]:[Check Periodo Ref.]]="Dentro",DATOS_[Conc.Sal.08]))))), 0)</f>
        <v>0</v>
      </c>
      <c r="N11" s="209" t="n">
        <f aca="false" t="array" ref="N11:N11">IFERROR( (AVERAGE((IF(DATOS_[[Sexo]:[Sexo]]=$B11,IF(DATOS_[[Check Periodo Ref.]:[Check Periodo Ref.]]="Dentro",DATOS_[Conc.Sal.09]))))), 0)</f>
        <v>0</v>
      </c>
      <c r="O11" s="209" t="n">
        <f aca="false" t="array" ref="O11:O11">IFERROR( (AVERAGE((IF(DATOS_[[Sexo]:[Sexo]]=$B11,IF(DATOS_[[Check Periodo Ref.]:[Check Periodo Ref.]]="Dentro",DATOS_[Conc.Sal.10]))))), 0)</f>
        <v>0</v>
      </c>
      <c r="P11" s="209" t="n">
        <f aca="false" t="array" ref="P11:P11">IFERROR( (AVERAGE((IF(DATOS_[[Sexo]:[Sexo]]=$B11,IF(DATOS_[[Check Periodo Ref.]:[Check Periodo Ref.]]="Dentro",DATOS_[Conc.Sal.11]))))), 0)</f>
        <v>0</v>
      </c>
      <c r="Q11" s="209" t="n">
        <f aca="false" t="array" ref="Q11:Q11">IFERROR( (AVERAGE((IF(DATOS_[[Sexo]:[Sexo]]=$B11,IF(DATOS_[[Check Periodo Ref.]:[Check Periodo Ref.]]="Dentro",DATOS_[Conc.Sal.12]))))), 0)</f>
        <v>0</v>
      </c>
      <c r="R11" s="209" t="n">
        <f aca="false" t="array" ref="R11:R11">IFERROR( (AVERAGE((IF(DATOS_[[Sexo]:[Sexo]]=$B11,IF(DATOS_[[Check Periodo Ref.]:[Check Periodo Ref.]]="Dentro",DATOS_[Conc.Sal.13]))))), 0)</f>
        <v>0</v>
      </c>
      <c r="S11" s="209" t="n">
        <f aca="false" t="array" ref="S11:S11">IFERROR( (AVERAGE((IF(DATOS_[[Sexo]:[Sexo]]=$B11,IF(DATOS_[[Check Periodo Ref.]:[Check Periodo Ref.]]="Dentro",DATOS_[Conc.Sal.14]))))), 0)</f>
        <v>0</v>
      </c>
      <c r="T11" s="209" t="n">
        <f aca="false" t="array" ref="T11:T11">IFERROR( (AVERAGE((IF(DATOS_[[Sexo]:[Sexo]]=$B11,IF(DATOS_[[Check Periodo Ref.]:[Check Periodo Ref.]]="Dentro",DATOS_[Conc.Sal.15]))))), 0)</f>
        <v>0</v>
      </c>
      <c r="U11" s="209" t="n">
        <f aca="false" t="array" ref="U11:U11">IFERROR( (AVERAGE((IF(DATOS_[[Sexo]:[Sexo]]=$B11,IF(DATOS_[[Check Periodo Ref.]:[Check Periodo Ref.]]="Dentro",DATOS_[Conc.Sal.16]))))), 0)</f>
        <v>0</v>
      </c>
      <c r="V11" s="209" t="n">
        <f aca="false" t="array" ref="V11:V11">IFERROR( (AVERAGE((IF(DATOS_[[Sexo]:[Sexo]]=$B11,IF(DATOS_[[Check Periodo Ref.]:[Check Periodo Ref.]]="Dentro",DATOS_[Conc.Sal.17]))))), 0)</f>
        <v>0</v>
      </c>
      <c r="W11" s="209" t="n">
        <f aca="false" t="array" ref="W11:W11">IFERROR( (AVERAGE((IF(DATOS_[[Sexo]:[Sexo]]=$B11,IF(DATOS_[[Check Periodo Ref.]:[Check Periodo Ref.]]="Dentro",DATOS_[Conc.Sal.18]))))), 0)</f>
        <v>0</v>
      </c>
      <c r="X11" s="209" t="n">
        <f aca="false" t="array" ref="X11:X11">IFERROR( (AVERAGE((IF(DATOS_[[Sexo]:[Sexo]]=$B11,IF(DATOS_[[Check Periodo Ref.]:[Check Periodo Ref.]]="Dentro",DATOS_[Conc.Sal.19]))))), 0)</f>
        <v>0</v>
      </c>
      <c r="Y11" s="209" t="n">
        <f aca="false" t="array" ref="Y11:Y11">IFERROR( (AVERAGE((IF(DATOS_[[Sexo]:[Sexo]]=$B11,IF(DATOS_[[Check Periodo Ref.]:[Check Periodo Ref.]]="Dentro",DATOS_[Conc.Sal.20]))))), 0)</f>
        <v>0</v>
      </c>
      <c r="Z11" s="209" t="n">
        <f aca="false" t="array" ref="Z11:Z11">IFERROR( (AVERAGE((IF(DATOS_[[Sexo]:[Sexo]]=$B11,IF(DATOS_[[Check Periodo Ref.]:[Check Periodo Ref.]]="Dentro",DATOS_[Conc.Sal.21]))))), 0)</f>
        <v>0</v>
      </c>
      <c r="AA11" s="209" t="n">
        <f aca="false" t="array" ref="AA11:AA11">IFERROR( (AVERAGE((IF(DATOS_[[Sexo]:[Sexo]]=$B11,IF(DATOS_[[Check Periodo Ref.]:[Check Periodo Ref.]]="Dentro",DATOS_[Conc.Sal.22]))))), 0)</f>
        <v>0</v>
      </c>
      <c r="AB11" s="209" t="n">
        <f aca="false" t="array" ref="AB11:AB11">IFERROR( (AVERAGE((IF(DATOS_[[Sexo]:[Sexo]]=$B11,IF(DATOS_[[Check Periodo Ref.]:[Check Periodo Ref.]]="Dentro",DATOS_[Conc.Sal.23]))))), 0)</f>
        <v>0</v>
      </c>
      <c r="AC11" s="209" t="n">
        <f aca="false" t="array" ref="AC11:AC11">IFERROR( (AVERAGE((IF(DATOS_[[Sexo]:[Sexo]]=$B11,IF(DATOS_[[Check Periodo Ref.]:[Check Periodo Ref.]]="Dentro",DATOS_[Conc.Sal.24]))))), 0)</f>
        <v>0</v>
      </c>
      <c r="AD11" s="209" t="n">
        <f aca="false" t="array" ref="AD11:AD11">IFERROR( (AVERAGE((IF(DATOS_[[Sexo]:[Sexo]]=$B11,IF(DATOS_[[Check Periodo Ref.]:[Check Periodo Ref.]]="Dentro",DATOS_[Conc.Sal.25]))))), 0)</f>
        <v>0</v>
      </c>
      <c r="AE11" s="209" t="n">
        <f aca="false" t="array" ref="AE11:AE11">IFERROR( (AVERAGE((IF(DATOS_[[Sexo]:[Sexo]]=$B11,IF(DATOS_[[Check Periodo Ref.]:[Check Periodo Ref.]]="Dentro",DATOS_[Conc.Sal.26]))))), 0)</f>
        <v>0</v>
      </c>
      <c r="AF11" s="209" t="n">
        <f aca="false" t="array" ref="AF11:AF11">IFERROR( (AVERAGE((IF(DATOS_[[Sexo]:[Sexo]]=$B11,IF(DATOS_[[Check Periodo Ref.]:[Check Periodo Ref.]]="Dentro",DATOS_[Conc.Sal.27]))))), 0)</f>
        <v>0</v>
      </c>
      <c r="AG11" s="209" t="n">
        <f aca="false" t="array" ref="AG11:AG11">IFERROR( (AVERAGE((IF(DATOS_[[Sexo]:[Sexo]]=$B11,IF(DATOS_[[Check Periodo Ref.]:[Check Periodo Ref.]]="Dentro",DATOS_[Conc.Sal.28]))))), 0)</f>
        <v>0</v>
      </c>
      <c r="AH11" s="209" t="n">
        <f aca="false" t="array" ref="AH11:AH11">IFERROR( (AVERAGE((IF(DATOS_[[Sexo]:[Sexo]]=$B11,IF(DATOS_[[Check Periodo Ref.]:[Check Periodo Ref.]]="Dentro",DATOS_[Conc.Sal.29]))))), 0)</f>
        <v>0</v>
      </c>
      <c r="AI11" s="209" t="n">
        <f aca="false" t="array" ref="AI11:AI11">IFERROR( (AVERAGE((IF(DATOS_[[Sexo]:[Sexo]]=$B11,IF(DATOS_[[Check Periodo Ref.]:[Check Periodo Ref.]]="Dentro",DATOS_[Conc.Sal.30]))))), 0)</f>
        <v>0</v>
      </c>
      <c r="AJ11" s="210" t="n">
        <f aca="false" t="array" ref="AJ11:AJ11">IFERROR( AVERAGE(IF(DATOS_[Sexo]=$B11,IF(DATOS_[Check Periodo Ref.]="Dentro",DATOS_[Tot COMPL.SAL Ef],0))), 0)</f>
        <v>0</v>
      </c>
      <c r="AK11" s="211" t="n">
        <f aca="false" t="array" ref="AK11:AK11">IFERROR( AVERAGE(IF(DATOS_[Sexo]=$B11,IF(DATOS_[Check Periodo Ref.]="Dentro",DATOS_[TOTAL SALARIO Ef],0))), 0)</f>
        <v>0</v>
      </c>
      <c r="AL11" s="212" t="n">
        <f aca="false" t="array" ref="AL11:AL11">IFERROR( (AVERAGE((IF(DATOS_[[Sexo]:[Sexo]]=$B11,IF(DATOS_[[Check Periodo Ref.]:[Check Periodo Ref.]]="Dentro",DATOS_[C.Extra.01]))))), 0)</f>
        <v>0</v>
      </c>
      <c r="AM11" s="212" t="n">
        <f aca="false" t="array" ref="AM11:AM11">IFERROR( (AVERAGE((IF(DATOS_[[Sexo]:[Sexo]]=$B11,IF(DATOS_[[Check Periodo Ref.]:[Check Periodo Ref.]]="Dentro",DATOS_[C.Extra.02]))))), 0)</f>
        <v>0</v>
      </c>
      <c r="AN11" s="212" t="n">
        <f aca="false" t="array" ref="AN11:AN11">IFERROR( (AVERAGE((IF(DATOS_[[Sexo]:[Sexo]]=$B11,IF(DATOS_[[Check Periodo Ref.]:[Check Periodo Ref.]]="Dentro",DATOS_[C.Extra.03]))))), 0)</f>
        <v>0</v>
      </c>
      <c r="AO11" s="212" t="n">
        <f aca="false" t="array" ref="AO11:AO11">IFERROR( (AVERAGE((IF(DATOS_[[Sexo]:[Sexo]]=$B11,IF(DATOS_[[Check Periodo Ref.]:[Check Periodo Ref.]]="Dentro",DATOS_[C.Extra.04]))))), 0)</f>
        <v>0</v>
      </c>
      <c r="AP11" s="212" t="n">
        <f aca="false" t="array" ref="AP11:AP11">IFERROR( (AVERAGE((IF(DATOS_[[Sexo]:[Sexo]]=$B11,IF(DATOS_[[Check Periodo Ref.]:[Check Periodo Ref.]]="Dentro",DATOS_[C.Extra.05]))))), 0)</f>
        <v>0</v>
      </c>
      <c r="AQ11" s="213" t="n">
        <f aca="false" t="array" ref="AQ11:AQ11">IFERROR( AVERAGE(IF(DATOS_[Sexo]=$B11,IF(DATOS_[Check Periodo Ref.]="Dentro",DATOS_[Tot Extrasalarial Ef],0))), 0)</f>
        <v>0</v>
      </c>
      <c r="AR11" s="214" t="n">
        <f aca="false" t="array" ref="AR11:AR11">IFERROR( AVERAGE(IF(DATOS_[Sexo]=$B11,IF(DATOS_[Check Periodo Ref.]="Dentro",DATOS_[TOTAL Retrib Ef],0))), 0)</f>
        <v>0</v>
      </c>
    </row>
    <row r="12" s="191" customFormat="true" ht="13.5" hidden="false" customHeight="false" outlineLevel="0" collapsed="false">
      <c r="D12" s="215"/>
      <c r="J12" s="215"/>
      <c r="K12" s="216"/>
      <c r="L12" s="216"/>
      <c r="M12" s="216"/>
      <c r="N12" s="216"/>
      <c r="O12" s="216"/>
      <c r="P12" s="216"/>
      <c r="Q12" s="216"/>
      <c r="R12" s="216"/>
      <c r="S12" s="216"/>
      <c r="T12" s="216"/>
      <c r="U12" s="216"/>
      <c r="V12" s="215"/>
      <c r="W12" s="215"/>
      <c r="X12" s="215"/>
      <c r="Y12" s="215"/>
      <c r="Z12" s="215"/>
      <c r="AA12" s="215"/>
      <c r="AB12" s="215"/>
      <c r="AC12" s="215"/>
      <c r="AD12" s="215"/>
      <c r="AE12" s="215"/>
      <c r="AF12" s="215"/>
      <c r="AG12" s="215"/>
      <c r="AH12" s="215"/>
      <c r="AI12" s="215"/>
      <c r="AL12" s="216"/>
      <c r="AM12" s="216"/>
      <c r="AN12" s="216"/>
      <c r="AO12" s="216"/>
      <c r="AP12" s="216"/>
    </row>
    <row r="13" s="191" customFormat="true" ht="13.5" hidden="false" customHeight="false" outlineLevel="0" collapsed="false">
      <c r="D13" s="215"/>
      <c r="J13" s="215"/>
      <c r="K13" s="216"/>
      <c r="L13" s="216"/>
      <c r="M13" s="216"/>
      <c r="N13" s="216"/>
      <c r="O13" s="216"/>
      <c r="P13" s="216"/>
      <c r="Q13" s="216"/>
      <c r="R13" s="216"/>
      <c r="S13" s="216"/>
      <c r="T13" s="216"/>
      <c r="U13" s="216"/>
      <c r="V13" s="215"/>
      <c r="W13" s="215"/>
      <c r="X13" s="215"/>
      <c r="Y13" s="215"/>
      <c r="Z13" s="215"/>
      <c r="AA13" s="215"/>
      <c r="AB13" s="215"/>
      <c r="AC13" s="215"/>
      <c r="AD13" s="215"/>
      <c r="AE13" s="215"/>
      <c r="AF13" s="215"/>
      <c r="AG13" s="215"/>
      <c r="AH13" s="215"/>
      <c r="AI13" s="215"/>
      <c r="AL13" s="216"/>
      <c r="AM13" s="216"/>
      <c r="AN13" s="216"/>
      <c r="AO13" s="216"/>
      <c r="AP13" s="216"/>
    </row>
    <row r="14" s="182" customFormat="true" ht="46.15" hidden="false" customHeight="true" outlineLevel="0" collapsed="false">
      <c r="B14" s="183"/>
      <c r="C14" s="183" t="s">
        <v>368</v>
      </c>
      <c r="D14" s="183" t="s">
        <v>369</v>
      </c>
      <c r="E14" s="184" t="s">
        <v>148</v>
      </c>
      <c r="F14" s="185" t="str">
        <f aca="false">+F8</f>
        <v>[ocultar]</v>
      </c>
      <c r="G14" s="185" t="str">
        <f aca="false">+G8</f>
        <v>[ocultar]</v>
      </c>
      <c r="H14" s="185" t="str">
        <f aca="false">+H8</f>
        <v>[ocultar]</v>
      </c>
      <c r="I14" s="185" t="str">
        <f aca="false">+I8</f>
        <v>[ocultar]</v>
      </c>
      <c r="J14" s="185" t="str">
        <f aca="false">+J8</f>
        <v>[ocultar]</v>
      </c>
      <c r="K14" s="185" t="str">
        <f aca="false">+K8</f>
        <v>[ocultar]</v>
      </c>
      <c r="L14" s="185" t="str">
        <f aca="false">+L8</f>
        <v>[ocultar]</v>
      </c>
      <c r="M14" s="185" t="str">
        <f aca="false">+M8</f>
        <v>[ocultar]</v>
      </c>
      <c r="N14" s="185" t="str">
        <f aca="false">+N8</f>
        <v>[ocultar]</v>
      </c>
      <c r="O14" s="185" t="str">
        <f aca="false">+O8</f>
        <v>[ocultar]</v>
      </c>
      <c r="P14" s="185" t="str">
        <f aca="false">+P8</f>
        <v>[ocultar]</v>
      </c>
      <c r="Q14" s="185" t="str">
        <f aca="false">+Q8</f>
        <v>[ocultar]</v>
      </c>
      <c r="R14" s="185" t="str">
        <f aca="false">+R8</f>
        <v>[ocultar]</v>
      </c>
      <c r="S14" s="185" t="str">
        <f aca="false">+S8</f>
        <v>[ocultar]</v>
      </c>
      <c r="T14" s="185" t="str">
        <f aca="false">+T8</f>
        <v>[ocultar]</v>
      </c>
      <c r="U14" s="185" t="str">
        <f aca="false">+U8</f>
        <v>[ocultar]</v>
      </c>
      <c r="V14" s="185" t="str">
        <f aca="false">+V8</f>
        <v>[ocultar]</v>
      </c>
      <c r="W14" s="185" t="str">
        <f aca="false">+W8</f>
        <v>[ocultar]</v>
      </c>
      <c r="X14" s="185" t="str">
        <f aca="false">+X8</f>
        <v>[ocultar]</v>
      </c>
      <c r="Y14" s="185" t="str">
        <f aca="false">+Y8</f>
        <v>[ocultar]</v>
      </c>
      <c r="Z14" s="185" t="str">
        <f aca="false">+Z8</f>
        <v>[ocultar]</v>
      </c>
      <c r="AA14" s="185" t="str">
        <f aca="false">+AA8</f>
        <v>[ocultar]</v>
      </c>
      <c r="AB14" s="185" t="str">
        <f aca="false">+AB8</f>
        <v>[ocultar]</v>
      </c>
      <c r="AC14" s="185" t="str">
        <f aca="false">+AC8</f>
        <v>[ocultar]</v>
      </c>
      <c r="AD14" s="185" t="str">
        <f aca="false">+AD8</f>
        <v>[ocultar]</v>
      </c>
      <c r="AE14" s="185" t="str">
        <f aca="false">+AE8</f>
        <v>[ocultar]</v>
      </c>
      <c r="AF14" s="185" t="str">
        <f aca="false">+AF8</f>
        <v>[ocultar]</v>
      </c>
      <c r="AG14" s="185" t="str">
        <f aca="false">+AG8</f>
        <v>[ocultar]</v>
      </c>
      <c r="AH14" s="185" t="str">
        <f aca="false">+AH8</f>
        <v>[ocultar]</v>
      </c>
      <c r="AI14" s="185" t="str">
        <f aca="false">+AI8</f>
        <v>[ocultar]</v>
      </c>
      <c r="AJ14" s="186" t="s">
        <v>150</v>
      </c>
      <c r="AK14" s="187" t="s">
        <v>152</v>
      </c>
      <c r="AL14" s="188" t="str">
        <f aca="false">+AL8</f>
        <v>[ocultar]</v>
      </c>
      <c r="AM14" s="188" t="str">
        <f aca="false">+AM8</f>
        <v>[ocultar]</v>
      </c>
      <c r="AN14" s="188" t="str">
        <f aca="false">+AN8</f>
        <v>[ocultar]</v>
      </c>
      <c r="AO14" s="188" t="str">
        <f aca="false">+AO8</f>
        <v>[ocultar]</v>
      </c>
      <c r="AP14" s="188" t="str">
        <f aca="false">+AP8</f>
        <v>[ocultar]</v>
      </c>
      <c r="AQ14" s="189" t="s">
        <v>154</v>
      </c>
      <c r="AR14" s="190" t="s">
        <v>156</v>
      </c>
    </row>
    <row r="15" s="191" customFormat="true" ht="15.75" hidden="false" customHeight="false" outlineLevel="0" collapsed="false">
      <c r="A15" s="191" t="str">
        <f aca="false">+A16</f>
        <v>[ocultar]</v>
      </c>
      <c r="B15" s="192" t="s">
        <v>174</v>
      </c>
      <c r="C15" s="193"/>
      <c r="D15" s="194"/>
      <c r="E15" s="195" t="str">
        <f aca="false">IFERROR((E16-E17)/E16,"")</f>
        <v/>
      </c>
      <c r="F15" s="196" t="str">
        <f aca="false">IFERROR((F16-F17)/F16,"")</f>
        <v/>
      </c>
      <c r="G15" s="197" t="str">
        <f aca="false">IFERROR((G16-G17)/G16,"")</f>
        <v/>
      </c>
      <c r="H15" s="197" t="str">
        <f aca="false">IFERROR((H16-H17)/H16,"")</f>
        <v/>
      </c>
      <c r="I15" s="197" t="str">
        <f aca="false">IFERROR((I16-I17)/I16,"")</f>
        <v/>
      </c>
      <c r="J15" s="198" t="str">
        <f aca="false">IFERROR((J16-J17)/J16,"")</f>
        <v/>
      </c>
      <c r="K15" s="199" t="str">
        <f aca="false">IFERROR((K16-K17)/K16,"")</f>
        <v/>
      </c>
      <c r="L15" s="199" t="str">
        <f aca="false">IFERROR((L16-L17)/L16,"")</f>
        <v/>
      </c>
      <c r="M15" s="199" t="str">
        <f aca="false">IFERROR((M16-M17)/M16,"")</f>
        <v/>
      </c>
      <c r="N15" s="199" t="str">
        <f aca="false">IFERROR((N16-N17)/N16,"")</f>
        <v/>
      </c>
      <c r="O15" s="199" t="str">
        <f aca="false">IFERROR((O16-O17)/O16,"")</f>
        <v/>
      </c>
      <c r="P15" s="199" t="str">
        <f aca="false">IFERROR((P16-P17)/P16,"")</f>
        <v/>
      </c>
      <c r="Q15" s="199" t="str">
        <f aca="false">IFERROR((Q16-Q17)/Q16,"")</f>
        <v/>
      </c>
      <c r="R15" s="199" t="str">
        <f aca="false">IFERROR((R16-R17)/R16,"")</f>
        <v/>
      </c>
      <c r="S15" s="199" t="str">
        <f aca="false">IFERROR((S16-S17)/S16,"")</f>
        <v/>
      </c>
      <c r="T15" s="199" t="str">
        <f aca="false">IFERROR((T16-T17)/T16,"")</f>
        <v/>
      </c>
      <c r="U15" s="199" t="str">
        <f aca="false">IFERROR((U16-U17)/U16,"")</f>
        <v/>
      </c>
      <c r="V15" s="198" t="str">
        <f aca="false">IFERROR((V16-V17)/V16,"")</f>
        <v/>
      </c>
      <c r="W15" s="198" t="str">
        <f aca="false">IFERROR((W16-W17)/W16,"")</f>
        <v/>
      </c>
      <c r="X15" s="198" t="str">
        <f aca="false">IFERROR((X16-X17)/X16,"")</f>
        <v/>
      </c>
      <c r="Y15" s="198" t="str">
        <f aca="false">IFERROR((Y16-Y17)/Y16,"")</f>
        <v/>
      </c>
      <c r="Z15" s="198" t="str">
        <f aca="false">IFERROR((Z16-Z17)/Z16,"")</f>
        <v/>
      </c>
      <c r="AA15" s="198" t="str">
        <f aca="false">IFERROR((AA16-AA17)/AA16,"")</f>
        <v/>
      </c>
      <c r="AB15" s="198" t="str">
        <f aca="false">IFERROR((AB16-AB17)/AB16,"")</f>
        <v/>
      </c>
      <c r="AC15" s="198" t="str">
        <f aca="false">IFERROR((AC16-AC17)/AC16,"")</f>
        <v/>
      </c>
      <c r="AD15" s="198" t="str">
        <f aca="false">IFERROR((AD16-AD17)/AD16,"")</f>
        <v/>
      </c>
      <c r="AE15" s="198" t="str">
        <f aca="false">IFERROR((AE16-AE17)/AE16,"")</f>
        <v/>
      </c>
      <c r="AF15" s="198" t="str">
        <f aca="false">IFERROR((AF16-AF17)/AF16,"")</f>
        <v/>
      </c>
      <c r="AG15" s="198" t="str">
        <f aca="false">IFERROR((AG16-AG17)/AG16,"")</f>
        <v/>
      </c>
      <c r="AH15" s="198" t="str">
        <f aca="false">IFERROR((AH16-AH17)/AH16,"")</f>
        <v/>
      </c>
      <c r="AI15" s="198" t="str">
        <f aca="false">IFERROR((AI16-AI17)/AI16,"")</f>
        <v/>
      </c>
      <c r="AJ15" s="200" t="str">
        <f aca="false">IFERROR((AJ16-AJ17)/AJ16,"")</f>
        <v/>
      </c>
      <c r="AK15" s="201" t="str">
        <f aca="false">IFERROR((AK16-AK17)/AK16,"")</f>
        <v/>
      </c>
      <c r="AL15" s="202" t="str">
        <f aca="false">IFERROR((AL16-AL17)/AL16,"")</f>
        <v/>
      </c>
      <c r="AM15" s="202" t="str">
        <f aca="false">IFERROR((AM16-AM17)/AM16,"")</f>
        <v/>
      </c>
      <c r="AN15" s="202" t="str">
        <f aca="false">IFERROR((AN16-AN17)/AN16,"")</f>
        <v/>
      </c>
      <c r="AO15" s="202" t="str">
        <f aca="false">IFERROR((AO16-AO17)/AO16,"")</f>
        <v/>
      </c>
      <c r="AP15" s="202" t="str">
        <f aca="false">IFERROR((AP16-AP17)/AP16,"")</f>
        <v/>
      </c>
      <c r="AQ15" s="203" t="str">
        <f aca="false">IFERROR((AQ16-AQ17)/AQ16,"")</f>
        <v/>
      </c>
      <c r="AR15" s="204" t="str">
        <f aca="false">IFERROR((AR16-AR17)/AR16,"")</f>
        <v/>
      </c>
    </row>
    <row r="16" s="191" customFormat="true" ht="14.25" hidden="false" customHeight="false" outlineLevel="0" collapsed="false">
      <c r="A16" s="191" t="str">
        <f aca="false">+IF(C16+C17=0,"[ocultar]","")</f>
        <v>[ocultar]</v>
      </c>
      <c r="B16" s="205" t="s">
        <v>371</v>
      </c>
      <c r="C16" s="206" t="n">
        <f aca="false" t="array" ref="C16:C16">SUM(IF($B16=DATOS_[Sexo], IF($B15=DATOS_[AGRUP. VALOR. PTO.], IF("Dentro"=DATOS_[Check Periodo Ref.], 1/(COUNTIFS(DATOS_[Sexo],$B16,DATOS_[AGRUP. VALOR. PTO.],$B15,DATOS_[Check Periodo Ref.],"Dentro",DATOS_[id],DATOS_[id]))))))</f>
        <v>0</v>
      </c>
      <c r="D16" s="207" t="n">
        <f aca="false">COUNTIFS(DATOS_[AGRUP. VALOR. PTO.],$B15,DATOS_[Sexo],$B16,DATOS_[Check Periodo Ref.],"Dentro")</f>
        <v>0</v>
      </c>
      <c r="E16" s="208" t="n">
        <f aca="false" t="array" ref="E16:E16">IFERROR( AVERAGE(IF(DATOS_[Sexo]=$B16,IF(DATOS_[AGRUP. VALOR. PTO.]=$B15,IF(DATOS_[Check Periodo Ref.]="Dentro",DATOS_[SALARIO BASE Ef],0)))), 0)</f>
        <v>0</v>
      </c>
      <c r="F16" s="209" t="n">
        <f aca="false" t="array" ref="F16:F16">IFERROR( AVERAGE((IF(DATOS_[[Sexo]:[Sexo]]=$B16,IF(DATOS_[[AGRUP. VALOR. PTO.]:[AGRUP. VALOR. PTO.]]=$B15,IF(DATOS_[[Check Periodo Ref.]:[Check Periodo Ref.]]="Dentro",DATOS_[Conc.Sal.01]))))), 0)</f>
        <v>0</v>
      </c>
      <c r="G16" s="209" t="n">
        <f aca="false" t="array" ref="G16:G16">IFERROR( AVERAGE((IF(DATOS_[[Sexo]:[Sexo]]=$B16,IF(DATOS_[[AGRUP. VALOR. PTO.]:[AGRUP. VALOR. PTO.]]=$B15,IF(DATOS_[[Check Periodo Ref.]:[Check Periodo Ref.]]="Dentro",DATOS_[Conc.Sal.02]))))), 0)</f>
        <v>0</v>
      </c>
      <c r="H16" s="209" t="n">
        <f aca="false" t="array" ref="H16:H16">IFERROR( AVERAGE((IF(DATOS_[[Sexo]:[Sexo]]=$B16,IF(DATOS_[[AGRUP. VALOR. PTO.]:[AGRUP. VALOR. PTO.]]=$B15,IF(DATOS_[[Check Periodo Ref.]:[Check Periodo Ref.]]="Dentro",DATOS_[Conc.Sal.03]))))), 0)</f>
        <v>0</v>
      </c>
      <c r="I16" s="209" t="n">
        <f aca="false" t="array" ref="I16:I16">IFERROR( AVERAGE((IF(DATOS_[[Sexo]:[Sexo]]=$B16,IF(DATOS_[[AGRUP. VALOR. PTO.]:[AGRUP. VALOR. PTO.]]=$B15,IF(DATOS_[[Check Periodo Ref.]:[Check Periodo Ref.]]="Dentro",DATOS_[Conc.Sal.04]))))), 0)</f>
        <v>0</v>
      </c>
      <c r="J16" s="209" t="n">
        <f aca="false" t="array" ref="J16:J16">IFERROR( AVERAGE((IF(DATOS_[[Sexo]:[Sexo]]=$B16,IF(DATOS_[[AGRUP. VALOR. PTO.]:[AGRUP. VALOR. PTO.]]=$B15,IF(DATOS_[[Check Periodo Ref.]:[Check Periodo Ref.]]="Dentro",DATOS_[Conc.Sal.05]))))), 0)</f>
        <v>0</v>
      </c>
      <c r="K16" s="209" t="n">
        <f aca="false" t="array" ref="K16:K16">IFERROR( AVERAGE((IF(DATOS_[[Sexo]:[Sexo]]=$B16,IF(DATOS_[[AGRUP. VALOR. PTO.]:[AGRUP. VALOR. PTO.]]=$B15,IF(DATOS_[[Check Periodo Ref.]:[Check Periodo Ref.]]="Dentro",DATOS_[Conc.Sal.06]))))), 0)</f>
        <v>0</v>
      </c>
      <c r="L16" s="209" t="n">
        <f aca="false" t="array" ref="L16:L16">IFERROR( AVERAGE((IF(DATOS_[[Sexo]:[Sexo]]=$B16,IF(DATOS_[[AGRUP. VALOR. PTO.]:[AGRUP. VALOR. PTO.]]=$B15,IF(DATOS_[[Check Periodo Ref.]:[Check Periodo Ref.]]="Dentro",DATOS_[Conc.Sal.07]))))), 0)</f>
        <v>0</v>
      </c>
      <c r="M16" s="209" t="n">
        <f aca="false" t="array" ref="M16:M16">IFERROR( AVERAGE((IF(DATOS_[[Sexo]:[Sexo]]=$B16,IF(DATOS_[[AGRUP. VALOR. PTO.]:[AGRUP. VALOR. PTO.]]=$B15,IF(DATOS_[[Check Periodo Ref.]:[Check Periodo Ref.]]="Dentro",DATOS_[Conc.Sal.08]))))), 0)</f>
        <v>0</v>
      </c>
      <c r="N16" s="209" t="n">
        <f aca="false" t="array" ref="N16:N16">IFERROR( AVERAGE((IF(DATOS_[[Sexo]:[Sexo]]=$B16,IF(DATOS_[[AGRUP. VALOR. PTO.]:[AGRUP. VALOR. PTO.]]=$B15,IF(DATOS_[[Check Periodo Ref.]:[Check Periodo Ref.]]="Dentro",DATOS_[Conc.Sal.09]))))), 0)</f>
        <v>0</v>
      </c>
      <c r="O16" s="209" t="n">
        <f aca="false" t="array" ref="O16:O16">IFERROR( AVERAGE((IF(DATOS_[[Sexo]:[Sexo]]=$B16,IF(DATOS_[[AGRUP. VALOR. PTO.]:[AGRUP. VALOR. PTO.]]=$B15,IF(DATOS_[[Check Periodo Ref.]:[Check Periodo Ref.]]="Dentro",DATOS_[Conc.Sal.10]))))), 0)</f>
        <v>0</v>
      </c>
      <c r="P16" s="209" t="n">
        <f aca="false" t="array" ref="P16:P16">IFERROR( AVERAGE((IF(DATOS_[[Sexo]:[Sexo]]=$B16,IF(DATOS_[[AGRUP. VALOR. PTO.]:[AGRUP. VALOR. PTO.]]=$B15,IF(DATOS_[[Check Periodo Ref.]:[Check Periodo Ref.]]="Dentro",DATOS_[Conc.Sal.11]))))), 0)</f>
        <v>0</v>
      </c>
      <c r="Q16" s="209" t="n">
        <f aca="false" t="array" ref="Q16:Q16">IFERROR( AVERAGE((IF(DATOS_[[Sexo]:[Sexo]]=$B16,IF(DATOS_[[AGRUP. VALOR. PTO.]:[AGRUP. VALOR. PTO.]]=$B15,IF(DATOS_[[Check Periodo Ref.]:[Check Periodo Ref.]]="Dentro",DATOS_[Conc.Sal.12]))))), 0)</f>
        <v>0</v>
      </c>
      <c r="R16" s="209" t="n">
        <f aca="false" t="array" ref="R16:R16">IFERROR( AVERAGE((IF(DATOS_[[Sexo]:[Sexo]]=$B16,IF(DATOS_[[AGRUP. VALOR. PTO.]:[AGRUP. VALOR. PTO.]]=$B15,IF(DATOS_[[Check Periodo Ref.]:[Check Periodo Ref.]]="Dentro",DATOS_[Conc.Sal.13]))))), 0)</f>
        <v>0</v>
      </c>
      <c r="S16" s="209" t="n">
        <f aca="false" t="array" ref="S16:S16">IFERROR( AVERAGE((IF(DATOS_[[Sexo]:[Sexo]]=$B16,IF(DATOS_[[AGRUP. VALOR. PTO.]:[AGRUP. VALOR. PTO.]]=$B15,IF(DATOS_[[Check Periodo Ref.]:[Check Periodo Ref.]]="Dentro",DATOS_[Conc.Sal.14]))))), 0)</f>
        <v>0</v>
      </c>
      <c r="T16" s="209" t="n">
        <f aca="false" t="array" ref="T16:T16">IFERROR( AVERAGE((IF(DATOS_[[Sexo]:[Sexo]]=$B16,IF(DATOS_[[AGRUP. VALOR. PTO.]:[AGRUP. VALOR. PTO.]]=$B15,IF(DATOS_[[Check Periodo Ref.]:[Check Periodo Ref.]]="Dentro",DATOS_[Conc.Sal.15]))))), 0)</f>
        <v>0</v>
      </c>
      <c r="U16" s="209" t="n">
        <f aca="false" t="array" ref="U16:U16">IFERROR( AVERAGE((IF(DATOS_[[Sexo]:[Sexo]]=$B16,IF(DATOS_[[AGRUP. VALOR. PTO.]:[AGRUP. VALOR. PTO.]]=$B15,IF(DATOS_[[Check Periodo Ref.]:[Check Periodo Ref.]]="Dentro",DATOS_[Conc.Sal.16]))))), 0)</f>
        <v>0</v>
      </c>
      <c r="V16" s="209" t="n">
        <f aca="false" t="array" ref="V16:V16">IFERROR( AVERAGE((IF(DATOS_[[Sexo]:[Sexo]]=$B16,IF(DATOS_[[AGRUP. VALOR. PTO.]:[AGRUP. VALOR. PTO.]]=$B15,IF(DATOS_[[Check Periodo Ref.]:[Check Periodo Ref.]]="Dentro",DATOS_[Conc.Sal.17]))))), 0)</f>
        <v>0</v>
      </c>
      <c r="W16" s="209" t="n">
        <f aca="false" t="array" ref="W16:W16">IFERROR( AVERAGE((IF(DATOS_[[Sexo]:[Sexo]]=$B16,IF(DATOS_[[AGRUP. VALOR. PTO.]:[AGRUP. VALOR. PTO.]]=$B15,IF(DATOS_[[Check Periodo Ref.]:[Check Periodo Ref.]]="Dentro",DATOS_[Conc.Sal.18]))))), 0)</f>
        <v>0</v>
      </c>
      <c r="X16" s="209" t="n">
        <f aca="false" t="array" ref="X16:X16">IFERROR( AVERAGE((IF(DATOS_[[Sexo]:[Sexo]]=$B16,IF(DATOS_[[AGRUP. VALOR. PTO.]:[AGRUP. VALOR. PTO.]]=$B15,IF(DATOS_[[Check Periodo Ref.]:[Check Periodo Ref.]]="Dentro",DATOS_[Conc.Sal.19]))))), 0)</f>
        <v>0</v>
      </c>
      <c r="Y16" s="209" t="n">
        <f aca="false" t="array" ref="Y16:Y16">IFERROR( AVERAGE((IF(DATOS_[[Sexo]:[Sexo]]=$B16,IF(DATOS_[[AGRUP. VALOR. PTO.]:[AGRUP. VALOR. PTO.]]=$B15,IF(DATOS_[[Check Periodo Ref.]:[Check Periodo Ref.]]="Dentro",DATOS_[Conc.Sal.20]))))), 0)</f>
        <v>0</v>
      </c>
      <c r="Z16" s="209" t="n">
        <f aca="false" t="array" ref="Z16:Z16">IFERROR( AVERAGE((IF(DATOS_[[Sexo]:[Sexo]]=$B16,IF(DATOS_[[AGRUP. VALOR. PTO.]:[AGRUP. VALOR. PTO.]]=$B15,IF(DATOS_[[Check Periodo Ref.]:[Check Periodo Ref.]]="Dentro",DATOS_[Conc.Sal.21]))))), 0)</f>
        <v>0</v>
      </c>
      <c r="AA16" s="209" t="n">
        <f aca="false" t="array" ref="AA16:AA16">IFERROR( AVERAGE((IF(DATOS_[[Sexo]:[Sexo]]=$B16,IF(DATOS_[[AGRUP. VALOR. PTO.]:[AGRUP. VALOR. PTO.]]=$B15,IF(DATOS_[[Check Periodo Ref.]:[Check Periodo Ref.]]="Dentro",DATOS_[Conc.Sal.22]))))), 0)</f>
        <v>0</v>
      </c>
      <c r="AB16" s="209" t="n">
        <f aca="false" t="array" ref="AB16:AB16">IFERROR( AVERAGE((IF(DATOS_[[Sexo]:[Sexo]]=$B16,IF(DATOS_[[AGRUP. VALOR. PTO.]:[AGRUP. VALOR. PTO.]]=$B15,IF(DATOS_[[Check Periodo Ref.]:[Check Periodo Ref.]]="Dentro",DATOS_[Conc.Sal.23]))))), 0)</f>
        <v>0</v>
      </c>
      <c r="AC16" s="209" t="n">
        <f aca="false" t="array" ref="AC16:AC16">IFERROR( AVERAGE((IF(DATOS_[[Sexo]:[Sexo]]=$B16,IF(DATOS_[[AGRUP. VALOR. PTO.]:[AGRUP. VALOR. PTO.]]=$B15,IF(DATOS_[[Check Periodo Ref.]:[Check Periodo Ref.]]="Dentro",DATOS_[Conc.Sal.24]))))), 0)</f>
        <v>0</v>
      </c>
      <c r="AD16" s="209" t="n">
        <f aca="false" t="array" ref="AD16:AD16">IFERROR( AVERAGE((IF(DATOS_[[Sexo]:[Sexo]]=$B16,IF(DATOS_[[AGRUP. VALOR. PTO.]:[AGRUP. VALOR. PTO.]]=$B15,IF(DATOS_[[Check Periodo Ref.]:[Check Periodo Ref.]]="Dentro",DATOS_[Conc.Sal.25]))))), 0)</f>
        <v>0</v>
      </c>
      <c r="AE16" s="209" t="n">
        <f aca="false" t="array" ref="AE16:AE16">IFERROR( AVERAGE((IF(DATOS_[[Sexo]:[Sexo]]=$B16,IF(DATOS_[[AGRUP. VALOR. PTO.]:[AGRUP. VALOR. PTO.]]=$B15,IF(DATOS_[[Check Periodo Ref.]:[Check Periodo Ref.]]="Dentro",DATOS_[Conc.Sal.26]))))), 0)</f>
        <v>0</v>
      </c>
      <c r="AF16" s="209" t="n">
        <f aca="false" t="array" ref="AF16:AF16">IFERROR( AVERAGE((IF(DATOS_[[Sexo]:[Sexo]]=$B16,IF(DATOS_[[AGRUP. VALOR. PTO.]:[AGRUP. VALOR. PTO.]]=$B15,IF(DATOS_[[Check Periodo Ref.]:[Check Periodo Ref.]]="Dentro",DATOS_[Conc.Sal.27]))))), 0)</f>
        <v>0</v>
      </c>
      <c r="AG16" s="209" t="n">
        <f aca="false" t="array" ref="AG16:AG16">IFERROR( AVERAGE((IF(DATOS_[[Sexo]:[Sexo]]=$B16,IF(DATOS_[[AGRUP. VALOR. PTO.]:[AGRUP. VALOR. PTO.]]=$B15,IF(DATOS_[[Check Periodo Ref.]:[Check Periodo Ref.]]="Dentro",DATOS_[Conc.Sal.28]))))), 0)</f>
        <v>0</v>
      </c>
      <c r="AH16" s="209" t="n">
        <f aca="false" t="array" ref="AH16:AH16">IFERROR( AVERAGE((IF(DATOS_[[Sexo]:[Sexo]]=$B16,IF(DATOS_[[AGRUP. VALOR. PTO.]:[AGRUP. VALOR. PTO.]]=$B15,IF(DATOS_[[Check Periodo Ref.]:[Check Periodo Ref.]]="Dentro",DATOS_[Conc.Sal.29]))))), 0)</f>
        <v>0</v>
      </c>
      <c r="AI16" s="209" t="n">
        <f aca="false" t="array" ref="AI16:AI16">IFERROR( AVERAGE((IF(DATOS_[[Sexo]:[Sexo]]=$B16,IF(DATOS_[[AGRUP. VALOR. PTO.]:[AGRUP. VALOR. PTO.]]=$B15,IF(DATOS_[[Check Periodo Ref.]:[Check Periodo Ref.]]="Dentro",DATOS_[Conc.Sal.30]))))), 0)</f>
        <v>0</v>
      </c>
      <c r="AJ16" s="210" t="n">
        <f aca="false" t="array" ref="AJ16:AJ16">IFERROR( AVERAGE(IF(DATOS_[Sexo]=$B16,IF(DATOS_[AGRUP. VALOR. PTO.]=$B15,IF(DATOS_[Check Periodo Ref.]="Dentro",DATOS_[Tot COMPL.SAL Ef],0)))), 0)</f>
        <v>0</v>
      </c>
      <c r="AK16" s="211" t="n">
        <f aca="false" t="array" ref="AK16:AK16">IFERROR( AVERAGE(IF(DATOS_[Sexo]=$B16,IF(DATOS_[AGRUP. VALOR. PTO.]=$B15,IF(DATOS_[Check Periodo Ref.]="Dentro",DATOS_[TOTAL SALARIO Ef],0)))), 0)</f>
        <v>0</v>
      </c>
      <c r="AL16" s="212" t="n">
        <f aca="false" t="array" ref="AL16:AL16">IFERROR( AVERAGE((IF(DATOS_[[Sexo]:[Sexo]]=$B16,IF(DATOS_[[AGRUP. VALOR. PTO.]:[AGRUP. VALOR. PTO.]]=$B15,IF(DATOS_[[Check Periodo Ref.]:[Check Periodo Ref.]]="Dentro",DATOS_[C.Extra.01]))))), 0)</f>
        <v>0</v>
      </c>
      <c r="AM16" s="212" t="n">
        <f aca="false" t="array" ref="AM16:AM16">IFERROR( AVERAGE((IF(DATOS_[[Sexo]:[Sexo]]=$B16,IF(DATOS_[[AGRUP. VALOR. PTO.]:[AGRUP. VALOR. PTO.]]=$B15,IF(DATOS_[[Check Periodo Ref.]:[Check Periodo Ref.]]="Dentro",DATOS_[C.Extra.02]))))), 0)</f>
        <v>0</v>
      </c>
      <c r="AN16" s="212" t="n">
        <f aca="false" t="array" ref="AN16:AN16">IFERROR( AVERAGE((IF(DATOS_[[Sexo]:[Sexo]]=$B16,IF(DATOS_[[AGRUP. VALOR. PTO.]:[AGRUP. VALOR. PTO.]]=$B15,IF(DATOS_[[Check Periodo Ref.]:[Check Periodo Ref.]]="Dentro",DATOS_[C.Extra.03]))))), 0)</f>
        <v>0</v>
      </c>
      <c r="AO16" s="212" t="n">
        <f aca="false" t="array" ref="AO16:AO16">IFERROR( AVERAGE((IF(DATOS_[[Sexo]:[Sexo]]=$B16,IF(DATOS_[[AGRUP. VALOR. PTO.]:[AGRUP. VALOR. PTO.]]=$B15,IF(DATOS_[[Check Periodo Ref.]:[Check Periodo Ref.]]="Dentro",DATOS_[C.Extra.04]))))), 0)</f>
        <v>0</v>
      </c>
      <c r="AP16" s="212" t="n">
        <f aca="false" t="array" ref="AP16:AP16">IFERROR( AVERAGE((IF(DATOS_[[Sexo]:[Sexo]]=$B16,IF(DATOS_[[AGRUP. VALOR. PTO.]:[AGRUP. VALOR. PTO.]]=$B15,IF(DATOS_[[Check Periodo Ref.]:[Check Periodo Ref.]]="Dentro",DATOS_[C.Extra.05]))))), 0)</f>
        <v>0</v>
      </c>
      <c r="AQ16" s="213" t="n">
        <f aca="false" t="array" ref="AQ16:AQ16">IFERROR( AVERAGE(IF(DATOS_[Sexo]=$B16,IF(DATOS_[AGRUP. VALOR. PTO.]=$B15,IF(DATOS_[Check Periodo Ref.]="Dentro",DATOS_[Tot Extrasalarial Ef],0)))), 0)</f>
        <v>0</v>
      </c>
      <c r="AR16" s="214" t="n">
        <f aca="false" t="array" ref="AR16:AR16">IFERROR( AVERAGE(IF(DATOS_[Sexo]=$B16,IF(DATOS_[AGRUP. VALOR. PTO.]=$B15,IF(DATOS_[Check Periodo Ref.]="Dentro",DATOS_[TOTAL Retrib Ef],0)))), 0)</f>
        <v>0</v>
      </c>
    </row>
    <row r="17" s="191" customFormat="true" ht="14.25" hidden="false" customHeight="false" outlineLevel="0" collapsed="false">
      <c r="A17" s="191" t="str">
        <f aca="false">+A16</f>
        <v>[ocultar]</v>
      </c>
      <c r="B17" s="205" t="s">
        <v>372</v>
      </c>
      <c r="C17" s="206" t="n">
        <f aca="false" t="array" ref="C17:C17">SUM(IF($B17=DATOS_[Sexo], IF($B15=DATOS_[AGRUP. VALOR. PTO.], IF("Dentro"=DATOS_[Check Periodo Ref.], 1/(COUNTIFS(DATOS_[Sexo],$B17,DATOS_[AGRUP. VALOR. PTO.],$B15,DATOS_[Check Periodo Ref.],"Dentro",DATOS_[id],DATOS_[id]))))))</f>
        <v>0</v>
      </c>
      <c r="D17" s="207" t="n">
        <f aca="false">COUNTIFS(DATOS_[AGRUP. VALOR. PTO.],$B15,DATOS_[Sexo],$B17,DATOS_[Check Periodo Ref.],"Dentro")</f>
        <v>0</v>
      </c>
      <c r="E17" s="208" t="n">
        <f aca="false" t="array" ref="E17:E17">IFERROR( AVERAGE(IF(DATOS_[Sexo]=$B17,IF(DATOS_[AGRUP. VALOR. PTO.]=$B15,IF(DATOS_[Check Periodo Ref.]="Dentro",DATOS_[SALARIO BASE Ef],0)))), 0)</f>
        <v>0</v>
      </c>
      <c r="F17" s="209" t="n">
        <f aca="false" t="array" ref="F17:F17">IFERROR( AVERAGE((IF(DATOS_[[Sexo]:[Sexo]]=$B17,IF(DATOS_[[AGRUP. VALOR. PTO.]:[AGRUP. VALOR. PTO.]]=$B15,IF(DATOS_[[Check Periodo Ref.]:[Check Periodo Ref.]]="Dentro",DATOS_[Conc.Sal.01]))))), 0)</f>
        <v>0</v>
      </c>
      <c r="G17" s="209" t="n">
        <f aca="false" t="array" ref="G17:G17">IFERROR( AVERAGE((IF(DATOS_[[Sexo]:[Sexo]]=$B17,IF(DATOS_[[AGRUP. VALOR. PTO.]:[AGRUP. VALOR. PTO.]]=$B15,IF(DATOS_[[Check Periodo Ref.]:[Check Periodo Ref.]]="Dentro",DATOS_[Conc.Sal.02]))))), 0)</f>
        <v>0</v>
      </c>
      <c r="H17" s="209" t="n">
        <f aca="false" t="array" ref="H17:H17">IFERROR( AVERAGE((IF(DATOS_[[Sexo]:[Sexo]]=$B17,IF(DATOS_[[AGRUP. VALOR. PTO.]:[AGRUP. VALOR. PTO.]]=$B15,IF(DATOS_[[Check Periodo Ref.]:[Check Periodo Ref.]]="Dentro",DATOS_[Conc.Sal.03]))))), 0)</f>
        <v>0</v>
      </c>
      <c r="I17" s="209" t="n">
        <f aca="false" t="array" ref="I17:I17">IFERROR( AVERAGE((IF(DATOS_[[Sexo]:[Sexo]]=$B17,IF(DATOS_[[AGRUP. VALOR. PTO.]:[AGRUP. VALOR. PTO.]]=$B15,IF(DATOS_[[Check Periodo Ref.]:[Check Periodo Ref.]]="Dentro",DATOS_[Conc.Sal.04]))))), 0)</f>
        <v>0</v>
      </c>
      <c r="J17" s="209" t="n">
        <f aca="false" t="array" ref="J17:J17">IFERROR( AVERAGE((IF(DATOS_[[Sexo]:[Sexo]]=$B17,IF(DATOS_[[AGRUP. VALOR. PTO.]:[AGRUP. VALOR. PTO.]]=$B15,IF(DATOS_[[Check Periodo Ref.]:[Check Periodo Ref.]]="Dentro",DATOS_[Conc.Sal.05]))))), 0)</f>
        <v>0</v>
      </c>
      <c r="K17" s="209" t="n">
        <f aca="false" t="array" ref="K17:K17">IFERROR( AVERAGE((IF(DATOS_[[Sexo]:[Sexo]]=$B17,IF(DATOS_[[AGRUP. VALOR. PTO.]:[AGRUP. VALOR. PTO.]]=$B15,IF(DATOS_[[Check Periodo Ref.]:[Check Periodo Ref.]]="Dentro",DATOS_[Conc.Sal.06]))))), 0)</f>
        <v>0</v>
      </c>
      <c r="L17" s="209" t="n">
        <f aca="false" t="array" ref="L17:L17">IFERROR( AVERAGE((IF(DATOS_[[Sexo]:[Sexo]]=$B17,IF(DATOS_[[AGRUP. VALOR. PTO.]:[AGRUP. VALOR. PTO.]]=$B15,IF(DATOS_[[Check Periodo Ref.]:[Check Periodo Ref.]]="Dentro",DATOS_[Conc.Sal.07]))))), 0)</f>
        <v>0</v>
      </c>
      <c r="M17" s="209" t="n">
        <f aca="false" t="array" ref="M17:M17">IFERROR( AVERAGE((IF(DATOS_[[Sexo]:[Sexo]]=$B17,IF(DATOS_[[AGRUP. VALOR. PTO.]:[AGRUP. VALOR. PTO.]]=$B15,IF(DATOS_[[Check Periodo Ref.]:[Check Periodo Ref.]]="Dentro",DATOS_[Conc.Sal.08]))))), 0)</f>
        <v>0</v>
      </c>
      <c r="N17" s="209" t="n">
        <f aca="false" t="array" ref="N17:N17">IFERROR( AVERAGE((IF(DATOS_[[Sexo]:[Sexo]]=$B17,IF(DATOS_[[AGRUP. VALOR. PTO.]:[AGRUP. VALOR. PTO.]]=$B15,IF(DATOS_[[Check Periodo Ref.]:[Check Periodo Ref.]]="Dentro",DATOS_[Conc.Sal.09]))))), 0)</f>
        <v>0</v>
      </c>
      <c r="O17" s="209" t="n">
        <f aca="false" t="array" ref="O17:O17">IFERROR( AVERAGE((IF(DATOS_[[Sexo]:[Sexo]]=$B17,IF(DATOS_[[AGRUP. VALOR. PTO.]:[AGRUP. VALOR. PTO.]]=$B15,IF(DATOS_[[Check Periodo Ref.]:[Check Periodo Ref.]]="Dentro",DATOS_[Conc.Sal.10]))))), 0)</f>
        <v>0</v>
      </c>
      <c r="P17" s="209" t="n">
        <f aca="false" t="array" ref="P17:P17">IFERROR( AVERAGE((IF(DATOS_[[Sexo]:[Sexo]]=$B17,IF(DATOS_[[AGRUP. VALOR. PTO.]:[AGRUP. VALOR. PTO.]]=$B15,IF(DATOS_[[Check Periodo Ref.]:[Check Periodo Ref.]]="Dentro",DATOS_[Conc.Sal.11]))))), 0)</f>
        <v>0</v>
      </c>
      <c r="Q17" s="209" t="n">
        <f aca="false" t="array" ref="Q17:Q17">IFERROR( AVERAGE((IF(DATOS_[[Sexo]:[Sexo]]=$B17,IF(DATOS_[[AGRUP. VALOR. PTO.]:[AGRUP. VALOR. PTO.]]=$B15,IF(DATOS_[[Check Periodo Ref.]:[Check Periodo Ref.]]="Dentro",DATOS_[Conc.Sal.12]))))), 0)</f>
        <v>0</v>
      </c>
      <c r="R17" s="209" t="n">
        <f aca="false" t="array" ref="R17:R17">IFERROR( AVERAGE((IF(DATOS_[[Sexo]:[Sexo]]=$B17,IF(DATOS_[[AGRUP. VALOR. PTO.]:[AGRUP. VALOR. PTO.]]=$B15,IF(DATOS_[[Check Periodo Ref.]:[Check Periodo Ref.]]="Dentro",DATOS_[Conc.Sal.13]))))), 0)</f>
        <v>0</v>
      </c>
      <c r="S17" s="209" t="n">
        <f aca="false" t="array" ref="S17:S17">IFERROR( AVERAGE((IF(DATOS_[[Sexo]:[Sexo]]=$B17,IF(DATOS_[[AGRUP. VALOR. PTO.]:[AGRUP. VALOR. PTO.]]=$B15,IF(DATOS_[[Check Periodo Ref.]:[Check Periodo Ref.]]="Dentro",DATOS_[Conc.Sal.14]))))), 0)</f>
        <v>0</v>
      </c>
      <c r="T17" s="209" t="n">
        <f aca="false" t="array" ref="T17:T17">IFERROR( AVERAGE((IF(DATOS_[[Sexo]:[Sexo]]=$B17,IF(DATOS_[[AGRUP. VALOR. PTO.]:[AGRUP. VALOR. PTO.]]=$B15,IF(DATOS_[[Check Periodo Ref.]:[Check Periodo Ref.]]="Dentro",DATOS_[Conc.Sal.15]))))), 0)</f>
        <v>0</v>
      </c>
      <c r="U17" s="209" t="n">
        <f aca="false" t="array" ref="U17:U17">IFERROR( AVERAGE((IF(DATOS_[[Sexo]:[Sexo]]=$B17,IF(DATOS_[[AGRUP. VALOR. PTO.]:[AGRUP. VALOR. PTO.]]=$B15,IF(DATOS_[[Check Periodo Ref.]:[Check Periodo Ref.]]="Dentro",DATOS_[Conc.Sal.16]))))), 0)</f>
        <v>0</v>
      </c>
      <c r="V17" s="209" t="n">
        <f aca="false" t="array" ref="V17:V17">IFERROR( AVERAGE((IF(DATOS_[[Sexo]:[Sexo]]=$B17,IF(DATOS_[[AGRUP. VALOR. PTO.]:[AGRUP. VALOR. PTO.]]=$B15,IF(DATOS_[[Check Periodo Ref.]:[Check Periodo Ref.]]="Dentro",DATOS_[Conc.Sal.17]))))), 0)</f>
        <v>0</v>
      </c>
      <c r="W17" s="209" t="n">
        <f aca="false" t="array" ref="W17:W17">IFERROR( AVERAGE((IF(DATOS_[[Sexo]:[Sexo]]=$B17,IF(DATOS_[[AGRUP. VALOR. PTO.]:[AGRUP. VALOR. PTO.]]=$B15,IF(DATOS_[[Check Periodo Ref.]:[Check Periodo Ref.]]="Dentro",DATOS_[Conc.Sal.18]))))), 0)</f>
        <v>0</v>
      </c>
      <c r="X17" s="209" t="n">
        <f aca="false" t="array" ref="X17:X17">IFERROR( AVERAGE((IF(DATOS_[[Sexo]:[Sexo]]=$B17,IF(DATOS_[[AGRUP. VALOR. PTO.]:[AGRUP. VALOR. PTO.]]=$B15,IF(DATOS_[[Check Periodo Ref.]:[Check Periodo Ref.]]="Dentro",DATOS_[Conc.Sal.19]))))), 0)</f>
        <v>0</v>
      </c>
      <c r="Y17" s="209" t="n">
        <f aca="false" t="array" ref="Y17:Y17">IFERROR( AVERAGE((IF(DATOS_[[Sexo]:[Sexo]]=$B17,IF(DATOS_[[AGRUP. VALOR. PTO.]:[AGRUP. VALOR. PTO.]]=$B15,IF(DATOS_[[Check Periodo Ref.]:[Check Periodo Ref.]]="Dentro",DATOS_[Conc.Sal.20]))))), 0)</f>
        <v>0</v>
      </c>
      <c r="Z17" s="209" t="n">
        <f aca="false" t="array" ref="Z17:Z17">IFERROR( AVERAGE((IF(DATOS_[[Sexo]:[Sexo]]=$B17,IF(DATOS_[[AGRUP. VALOR. PTO.]:[AGRUP. VALOR. PTO.]]=$B15,IF(DATOS_[[Check Periodo Ref.]:[Check Periodo Ref.]]="Dentro",DATOS_[Conc.Sal.21]))))), 0)</f>
        <v>0</v>
      </c>
      <c r="AA17" s="209" t="n">
        <f aca="false" t="array" ref="AA17:AA17">IFERROR( AVERAGE((IF(DATOS_[[Sexo]:[Sexo]]=$B17,IF(DATOS_[[AGRUP. VALOR. PTO.]:[AGRUP. VALOR. PTO.]]=$B15,IF(DATOS_[[Check Periodo Ref.]:[Check Periodo Ref.]]="Dentro",DATOS_[Conc.Sal.22]))))), 0)</f>
        <v>0</v>
      </c>
      <c r="AB17" s="209" t="n">
        <f aca="false" t="array" ref="AB17:AB17">IFERROR( AVERAGE((IF(DATOS_[[Sexo]:[Sexo]]=$B17,IF(DATOS_[[AGRUP. VALOR. PTO.]:[AGRUP. VALOR. PTO.]]=$B15,IF(DATOS_[[Check Periodo Ref.]:[Check Periodo Ref.]]="Dentro",DATOS_[Conc.Sal.23]))))), 0)</f>
        <v>0</v>
      </c>
      <c r="AC17" s="209" t="n">
        <f aca="false" t="array" ref="AC17:AC17">IFERROR( AVERAGE((IF(DATOS_[[Sexo]:[Sexo]]=$B17,IF(DATOS_[[AGRUP. VALOR. PTO.]:[AGRUP. VALOR. PTO.]]=$B15,IF(DATOS_[[Check Periodo Ref.]:[Check Periodo Ref.]]="Dentro",DATOS_[Conc.Sal.24]))))), 0)</f>
        <v>0</v>
      </c>
      <c r="AD17" s="209" t="n">
        <f aca="false" t="array" ref="AD17:AD17">IFERROR( AVERAGE((IF(DATOS_[[Sexo]:[Sexo]]=$B17,IF(DATOS_[[AGRUP. VALOR. PTO.]:[AGRUP. VALOR. PTO.]]=$B15,IF(DATOS_[[Check Periodo Ref.]:[Check Periodo Ref.]]="Dentro",DATOS_[Conc.Sal.25]))))), 0)</f>
        <v>0</v>
      </c>
      <c r="AE17" s="209" t="n">
        <f aca="false" t="array" ref="AE17:AE17">IFERROR( AVERAGE((IF(DATOS_[[Sexo]:[Sexo]]=$B17,IF(DATOS_[[AGRUP. VALOR. PTO.]:[AGRUP. VALOR. PTO.]]=$B15,IF(DATOS_[[Check Periodo Ref.]:[Check Periodo Ref.]]="Dentro",DATOS_[Conc.Sal.26]))))), 0)</f>
        <v>0</v>
      </c>
      <c r="AF17" s="209" t="n">
        <f aca="false" t="array" ref="AF17:AF17">IFERROR( AVERAGE((IF(DATOS_[[Sexo]:[Sexo]]=$B17,IF(DATOS_[[AGRUP. VALOR. PTO.]:[AGRUP. VALOR. PTO.]]=$B15,IF(DATOS_[[Check Periodo Ref.]:[Check Periodo Ref.]]="Dentro",DATOS_[Conc.Sal.27]))))), 0)</f>
        <v>0</v>
      </c>
      <c r="AG17" s="209" t="n">
        <f aca="false" t="array" ref="AG17:AG17">IFERROR( AVERAGE((IF(DATOS_[[Sexo]:[Sexo]]=$B17,IF(DATOS_[[AGRUP. VALOR. PTO.]:[AGRUP. VALOR. PTO.]]=$B15,IF(DATOS_[[Check Periodo Ref.]:[Check Periodo Ref.]]="Dentro",DATOS_[Conc.Sal.28]))))), 0)</f>
        <v>0</v>
      </c>
      <c r="AH17" s="209" t="n">
        <f aca="false" t="array" ref="AH17:AH17">IFERROR( AVERAGE((IF(DATOS_[[Sexo]:[Sexo]]=$B17,IF(DATOS_[[AGRUP. VALOR. PTO.]:[AGRUP. VALOR. PTO.]]=$B15,IF(DATOS_[[Check Periodo Ref.]:[Check Periodo Ref.]]="Dentro",DATOS_[Conc.Sal.29]))))), 0)</f>
        <v>0</v>
      </c>
      <c r="AI17" s="209" t="n">
        <f aca="false" t="array" ref="AI17:AI17">IFERROR( AVERAGE((IF(DATOS_[[Sexo]:[Sexo]]=$B17,IF(DATOS_[[AGRUP. VALOR. PTO.]:[AGRUP. VALOR. PTO.]]=$B15,IF(DATOS_[[Check Periodo Ref.]:[Check Periodo Ref.]]="Dentro",DATOS_[Conc.Sal.30]))))), 0)</f>
        <v>0</v>
      </c>
      <c r="AJ17" s="210" t="n">
        <f aca="false" t="array" ref="AJ17:AJ17">IFERROR( AVERAGE(IF(DATOS_[Sexo]=$B17,IF(DATOS_[AGRUP. VALOR. PTO.]=$B15,IF(DATOS_[Check Periodo Ref.]="Dentro",DATOS_[Tot COMPL.SAL Ef],0)))), 0)</f>
        <v>0</v>
      </c>
      <c r="AK17" s="211" t="n">
        <f aca="false" t="array" ref="AK17:AK17">IFERROR( AVERAGE(IF(DATOS_[Sexo]=$B17,IF(DATOS_[AGRUP. VALOR. PTO.]=$B15,IF(DATOS_[Check Periodo Ref.]="Dentro",DATOS_[TOTAL SALARIO Ef],0)))), 0)</f>
        <v>0</v>
      </c>
      <c r="AL17" s="212" t="n">
        <f aca="false" t="array" ref="AL17:AL17">IFERROR( AVERAGE((IF(DATOS_[[Sexo]:[Sexo]]=$B17,IF(DATOS_[[AGRUP. VALOR. PTO.]:[AGRUP. VALOR. PTO.]]=$B15,IF(DATOS_[[Check Periodo Ref.]:[Check Periodo Ref.]]="Dentro",DATOS_[C.Extra.01]))))), 0)</f>
        <v>0</v>
      </c>
      <c r="AM17" s="212" t="n">
        <f aca="false" t="array" ref="AM17:AM17">IFERROR( AVERAGE((IF(DATOS_[[Sexo]:[Sexo]]=$B17,IF(DATOS_[[AGRUP. VALOR. PTO.]:[AGRUP. VALOR. PTO.]]=$B15,IF(DATOS_[[Check Periodo Ref.]:[Check Periodo Ref.]]="Dentro",DATOS_[C.Extra.02]))))), 0)</f>
        <v>0</v>
      </c>
      <c r="AN17" s="212" t="n">
        <f aca="false" t="array" ref="AN17:AN17">IFERROR( AVERAGE((IF(DATOS_[[Sexo]:[Sexo]]=$B17,IF(DATOS_[[AGRUP. VALOR. PTO.]:[AGRUP. VALOR. PTO.]]=$B15,IF(DATOS_[[Check Periodo Ref.]:[Check Periodo Ref.]]="Dentro",DATOS_[C.Extra.03]))))), 0)</f>
        <v>0</v>
      </c>
      <c r="AO17" s="212" t="n">
        <f aca="false" t="array" ref="AO17:AO17">IFERROR( AVERAGE((IF(DATOS_[[Sexo]:[Sexo]]=$B17,IF(DATOS_[[AGRUP. VALOR. PTO.]:[AGRUP. VALOR. PTO.]]=$B15,IF(DATOS_[[Check Periodo Ref.]:[Check Periodo Ref.]]="Dentro",DATOS_[C.Extra.04]))))), 0)</f>
        <v>0</v>
      </c>
      <c r="AP17" s="212" t="n">
        <f aca="false" t="array" ref="AP17:AP17">IFERROR( AVERAGE((IF(DATOS_[[Sexo]:[Sexo]]=$B17,IF(DATOS_[[AGRUP. VALOR. PTO.]:[AGRUP. VALOR. PTO.]]=$B15,IF(DATOS_[[Check Periodo Ref.]:[Check Periodo Ref.]]="Dentro",DATOS_[C.Extra.05]))))), 0)</f>
        <v>0</v>
      </c>
      <c r="AQ17" s="213" t="n">
        <f aca="false" t="array" ref="AQ17:AQ17">IFERROR( AVERAGE(IF(DATOS_[Sexo]=$B17,IF(DATOS_[AGRUP. VALOR. PTO.]=$B15,IF(DATOS_[Check Periodo Ref.]="Dentro",DATOS_[Tot Extrasalarial Ef],0)))), 0)</f>
        <v>0</v>
      </c>
      <c r="AR17" s="214" t="n">
        <f aca="false" t="array" ref="AR17:AR17">IFERROR( AVERAGE(IF(DATOS_[Sexo]=$B17,IF(DATOS_[AGRUP. VALOR. PTO.]=$B15,IF(DATOS_[Check Periodo Ref.]="Dentro",DATOS_[TOTAL Retrib Ef],0)))), 0)</f>
        <v>0</v>
      </c>
    </row>
    <row r="18" s="191" customFormat="true" ht="15.75" hidden="false" customHeight="false" outlineLevel="0" collapsed="false">
      <c r="A18" s="191" t="str">
        <f aca="false">+A19</f>
        <v>[ocultar]</v>
      </c>
      <c r="B18" s="192" t="s">
        <v>176</v>
      </c>
      <c r="C18" s="193"/>
      <c r="D18" s="194"/>
      <c r="E18" s="195" t="str">
        <f aca="false">IFERROR((E19-E20)/E19,"")</f>
        <v/>
      </c>
      <c r="F18" s="196" t="str">
        <f aca="false">IFERROR((F19-F20)/F19,"")</f>
        <v/>
      </c>
      <c r="G18" s="197" t="str">
        <f aca="false">IFERROR((G19-G20)/G19,"")</f>
        <v/>
      </c>
      <c r="H18" s="197" t="str">
        <f aca="false">IFERROR((H19-H20)/H19,"")</f>
        <v/>
      </c>
      <c r="I18" s="197" t="str">
        <f aca="false">IFERROR((I19-I20)/I19,"")</f>
        <v/>
      </c>
      <c r="J18" s="198" t="str">
        <f aca="false">IFERROR((J19-J20)/J19,"")</f>
        <v/>
      </c>
      <c r="K18" s="199" t="str">
        <f aca="false">IFERROR((K19-K20)/K19,"")</f>
        <v/>
      </c>
      <c r="L18" s="199" t="str">
        <f aca="false">IFERROR((L19-L20)/L19,"")</f>
        <v/>
      </c>
      <c r="M18" s="199" t="str">
        <f aca="false">IFERROR((M19-M20)/M19,"")</f>
        <v/>
      </c>
      <c r="N18" s="199" t="str">
        <f aca="false">IFERROR((N19-N20)/N19,"")</f>
        <v/>
      </c>
      <c r="O18" s="199" t="str">
        <f aca="false">IFERROR((O19-O20)/O19,"")</f>
        <v/>
      </c>
      <c r="P18" s="199" t="str">
        <f aca="false">IFERROR((P19-P20)/P19,"")</f>
        <v/>
      </c>
      <c r="Q18" s="199" t="str">
        <f aca="false">IFERROR((Q19-Q20)/Q19,"")</f>
        <v/>
      </c>
      <c r="R18" s="199" t="str">
        <f aca="false">IFERROR((R19-R20)/R19,"")</f>
        <v/>
      </c>
      <c r="S18" s="199" t="str">
        <f aca="false">IFERROR((S19-S20)/S19,"")</f>
        <v/>
      </c>
      <c r="T18" s="199" t="str">
        <f aca="false">IFERROR((T19-T20)/T19,"")</f>
        <v/>
      </c>
      <c r="U18" s="199" t="str">
        <f aca="false">IFERROR((U19-U20)/U19,"")</f>
        <v/>
      </c>
      <c r="V18" s="198" t="str">
        <f aca="false">IFERROR((V19-V20)/V19,"")</f>
        <v/>
      </c>
      <c r="W18" s="198" t="str">
        <f aca="false">IFERROR((W19-W20)/W19,"")</f>
        <v/>
      </c>
      <c r="X18" s="198" t="str">
        <f aca="false">IFERROR((X19-X20)/X19,"")</f>
        <v/>
      </c>
      <c r="Y18" s="198" t="str">
        <f aca="false">IFERROR((Y19-Y20)/Y19,"")</f>
        <v/>
      </c>
      <c r="Z18" s="198" t="str">
        <f aca="false">IFERROR((Z19-Z20)/Z19,"")</f>
        <v/>
      </c>
      <c r="AA18" s="198" t="str">
        <f aca="false">IFERROR((AA19-AA20)/AA19,"")</f>
        <v/>
      </c>
      <c r="AB18" s="198" t="str">
        <f aca="false">IFERROR((AB19-AB20)/AB19,"")</f>
        <v/>
      </c>
      <c r="AC18" s="198" t="str">
        <f aca="false">IFERROR((AC19-AC20)/AC19,"")</f>
        <v/>
      </c>
      <c r="AD18" s="198" t="str">
        <f aca="false">IFERROR((AD19-AD20)/AD19,"")</f>
        <v/>
      </c>
      <c r="AE18" s="198" t="str">
        <f aca="false">IFERROR((AE19-AE20)/AE19,"")</f>
        <v/>
      </c>
      <c r="AF18" s="198" t="str">
        <f aca="false">IFERROR((AF19-AF20)/AF19,"")</f>
        <v/>
      </c>
      <c r="AG18" s="198" t="str">
        <f aca="false">IFERROR((AG19-AG20)/AG19,"")</f>
        <v/>
      </c>
      <c r="AH18" s="198" t="str">
        <f aca="false">IFERROR((AH19-AH20)/AH19,"")</f>
        <v/>
      </c>
      <c r="AI18" s="198" t="str">
        <f aca="false">IFERROR((AI19-AI20)/AI19,"")</f>
        <v/>
      </c>
      <c r="AJ18" s="200" t="str">
        <f aca="false">IFERROR((AJ19-AJ20)/AJ19,"")</f>
        <v/>
      </c>
      <c r="AK18" s="201" t="str">
        <f aca="false">IFERROR((AK19-AK20)/AK19,"")</f>
        <v/>
      </c>
      <c r="AL18" s="202" t="str">
        <f aca="false">IFERROR((AL19-AL20)/AL19,"")</f>
        <v/>
      </c>
      <c r="AM18" s="202" t="str">
        <f aca="false">IFERROR((AM19-AM20)/AM19,"")</f>
        <v/>
      </c>
      <c r="AN18" s="202" t="str">
        <f aca="false">IFERROR((AN19-AN20)/AN19,"")</f>
        <v/>
      </c>
      <c r="AO18" s="202" t="str">
        <f aca="false">IFERROR((AO19-AO20)/AO19,"")</f>
        <v/>
      </c>
      <c r="AP18" s="202" t="str">
        <f aca="false">IFERROR((AP19-AP20)/AP19,"")</f>
        <v/>
      </c>
      <c r="AQ18" s="203" t="str">
        <f aca="false">IFERROR((AQ19-AQ20)/AQ19,"")</f>
        <v/>
      </c>
      <c r="AR18" s="204" t="str">
        <f aca="false">IFERROR((AR19-AR20)/AR19,"")</f>
        <v/>
      </c>
    </row>
    <row r="19" s="191" customFormat="true" ht="14.25" hidden="false" customHeight="false" outlineLevel="0" collapsed="false">
      <c r="A19" s="191" t="str">
        <f aca="false">+IF(C19+C20=0,"[ocultar]","")</f>
        <v>[ocultar]</v>
      </c>
      <c r="B19" s="205" t="s">
        <v>371</v>
      </c>
      <c r="C19" s="206" t="n">
        <f aca="false" t="array" ref="C19:C19">SUM(IF($B19=DATOS_[Sexo], IF($B18=DATOS_[AGRUP. VALOR. PTO.], IF("Dentro"=DATOS_[Check Periodo Ref.], 1/(COUNTIFS(DATOS_[Sexo],$B19,DATOS_[AGRUP. VALOR. PTO.],$B18,DATOS_[Check Periodo Ref.],"Dentro",DATOS_[id],DATOS_[id]))))))</f>
        <v>0</v>
      </c>
      <c r="D19" s="207" t="n">
        <f aca="false">COUNTIFS(DATOS_[AGRUP. VALOR. PTO.],$B18,DATOS_[Sexo],$B19,DATOS_[Check Periodo Ref.],"Dentro")</f>
        <v>0</v>
      </c>
      <c r="E19" s="208" t="n">
        <f aca="false" t="array" ref="E19:E19">IFERROR( AVERAGE(IF(DATOS_[Sexo]=$B19,IF(DATOS_[AGRUP. VALOR. PTO.]=$B18,IF(DATOS_[Check Periodo Ref.]="Dentro",DATOS_[SALARIO BASE Ef],0)))), 0)</f>
        <v>0</v>
      </c>
      <c r="F19" s="209" t="n">
        <f aca="false" t="array" ref="F19:F19">IFERROR( AVERAGE((IF(DATOS_[[Sexo]:[Sexo]]=$B19,IF(DATOS_[[AGRUP. VALOR. PTO.]:[AGRUP. VALOR. PTO.]]=$B18,IF(DATOS_[[Check Periodo Ref.]:[Check Periodo Ref.]]="Dentro",DATOS_[Conc.Sal.01]))))), 0)</f>
        <v>0</v>
      </c>
      <c r="G19" s="209" t="n">
        <f aca="false" t="array" ref="G19:G19">IFERROR( AVERAGE((IF(DATOS_[[Sexo]:[Sexo]]=$B19,IF(DATOS_[[AGRUP. VALOR. PTO.]:[AGRUP. VALOR. PTO.]]=$B18,IF(DATOS_[[Check Periodo Ref.]:[Check Periodo Ref.]]="Dentro",DATOS_[Conc.Sal.02]))))), 0)</f>
        <v>0</v>
      </c>
      <c r="H19" s="209" t="n">
        <f aca="false" t="array" ref="H19:H19">IFERROR( AVERAGE((IF(DATOS_[[Sexo]:[Sexo]]=$B19,IF(DATOS_[[AGRUP. VALOR. PTO.]:[AGRUP. VALOR. PTO.]]=$B18,IF(DATOS_[[Check Periodo Ref.]:[Check Periodo Ref.]]="Dentro",DATOS_[Conc.Sal.03]))))), 0)</f>
        <v>0</v>
      </c>
      <c r="I19" s="209" t="n">
        <f aca="false" t="array" ref="I19:I19">IFERROR( AVERAGE((IF(DATOS_[[Sexo]:[Sexo]]=$B19,IF(DATOS_[[AGRUP. VALOR. PTO.]:[AGRUP. VALOR. PTO.]]=$B18,IF(DATOS_[[Check Periodo Ref.]:[Check Periodo Ref.]]="Dentro",DATOS_[Conc.Sal.04]))))), 0)</f>
        <v>0</v>
      </c>
      <c r="J19" s="209" t="n">
        <f aca="false" t="array" ref="J19:J19">IFERROR( AVERAGE((IF(DATOS_[[Sexo]:[Sexo]]=$B19,IF(DATOS_[[AGRUP. VALOR. PTO.]:[AGRUP. VALOR. PTO.]]=$B18,IF(DATOS_[[Check Periodo Ref.]:[Check Periodo Ref.]]="Dentro",DATOS_[Conc.Sal.05]))))), 0)</f>
        <v>0</v>
      </c>
      <c r="K19" s="209" t="n">
        <f aca="false" t="array" ref="K19:K19">IFERROR( AVERAGE((IF(DATOS_[[Sexo]:[Sexo]]=$B19,IF(DATOS_[[AGRUP. VALOR. PTO.]:[AGRUP. VALOR. PTO.]]=$B18,IF(DATOS_[[Check Periodo Ref.]:[Check Periodo Ref.]]="Dentro",DATOS_[Conc.Sal.06]))))), 0)</f>
        <v>0</v>
      </c>
      <c r="L19" s="209" t="n">
        <f aca="false" t="array" ref="L19:L19">IFERROR( AVERAGE((IF(DATOS_[[Sexo]:[Sexo]]=$B19,IF(DATOS_[[AGRUP. VALOR. PTO.]:[AGRUP. VALOR. PTO.]]=$B18,IF(DATOS_[[Check Periodo Ref.]:[Check Periodo Ref.]]="Dentro",DATOS_[Conc.Sal.07]))))), 0)</f>
        <v>0</v>
      </c>
      <c r="M19" s="209" t="n">
        <f aca="false" t="array" ref="M19:M19">IFERROR( AVERAGE((IF(DATOS_[[Sexo]:[Sexo]]=$B19,IF(DATOS_[[AGRUP. VALOR. PTO.]:[AGRUP. VALOR. PTO.]]=$B18,IF(DATOS_[[Check Periodo Ref.]:[Check Periodo Ref.]]="Dentro",DATOS_[Conc.Sal.08]))))), 0)</f>
        <v>0</v>
      </c>
      <c r="N19" s="209" t="n">
        <f aca="false" t="array" ref="N19:N19">IFERROR( AVERAGE((IF(DATOS_[[Sexo]:[Sexo]]=$B19,IF(DATOS_[[AGRUP. VALOR. PTO.]:[AGRUP. VALOR. PTO.]]=$B18,IF(DATOS_[[Check Periodo Ref.]:[Check Periodo Ref.]]="Dentro",DATOS_[Conc.Sal.09]))))), 0)</f>
        <v>0</v>
      </c>
      <c r="O19" s="209" t="n">
        <f aca="false" t="array" ref="O19:O19">IFERROR( AVERAGE((IF(DATOS_[[Sexo]:[Sexo]]=$B19,IF(DATOS_[[AGRUP. VALOR. PTO.]:[AGRUP. VALOR. PTO.]]=$B18,IF(DATOS_[[Check Periodo Ref.]:[Check Periodo Ref.]]="Dentro",DATOS_[Conc.Sal.10]))))), 0)</f>
        <v>0</v>
      </c>
      <c r="P19" s="209" t="n">
        <f aca="false" t="array" ref="P19:P19">IFERROR( AVERAGE((IF(DATOS_[[Sexo]:[Sexo]]=$B19,IF(DATOS_[[AGRUP. VALOR. PTO.]:[AGRUP. VALOR. PTO.]]=$B18,IF(DATOS_[[Check Periodo Ref.]:[Check Periodo Ref.]]="Dentro",DATOS_[Conc.Sal.11]))))), 0)</f>
        <v>0</v>
      </c>
      <c r="Q19" s="209" t="n">
        <f aca="false" t="array" ref="Q19:Q19">IFERROR( AVERAGE((IF(DATOS_[[Sexo]:[Sexo]]=$B19,IF(DATOS_[[AGRUP. VALOR. PTO.]:[AGRUP. VALOR. PTO.]]=$B18,IF(DATOS_[[Check Periodo Ref.]:[Check Periodo Ref.]]="Dentro",DATOS_[Conc.Sal.12]))))), 0)</f>
        <v>0</v>
      </c>
      <c r="R19" s="209" t="n">
        <f aca="false" t="array" ref="R19:R19">IFERROR( AVERAGE((IF(DATOS_[[Sexo]:[Sexo]]=$B19,IF(DATOS_[[AGRUP. VALOR. PTO.]:[AGRUP. VALOR. PTO.]]=$B18,IF(DATOS_[[Check Periodo Ref.]:[Check Periodo Ref.]]="Dentro",DATOS_[Conc.Sal.13]))))), 0)</f>
        <v>0</v>
      </c>
      <c r="S19" s="209" t="n">
        <f aca="false" t="array" ref="S19:S19">IFERROR( AVERAGE((IF(DATOS_[[Sexo]:[Sexo]]=$B19,IF(DATOS_[[AGRUP. VALOR. PTO.]:[AGRUP. VALOR. PTO.]]=$B18,IF(DATOS_[[Check Periodo Ref.]:[Check Periodo Ref.]]="Dentro",DATOS_[Conc.Sal.14]))))), 0)</f>
        <v>0</v>
      </c>
      <c r="T19" s="209" t="n">
        <f aca="false" t="array" ref="T19:T19">IFERROR( AVERAGE((IF(DATOS_[[Sexo]:[Sexo]]=$B19,IF(DATOS_[[AGRUP. VALOR. PTO.]:[AGRUP. VALOR. PTO.]]=$B18,IF(DATOS_[[Check Periodo Ref.]:[Check Periodo Ref.]]="Dentro",DATOS_[Conc.Sal.15]))))), 0)</f>
        <v>0</v>
      </c>
      <c r="U19" s="209" t="n">
        <f aca="false" t="array" ref="U19:U19">IFERROR( AVERAGE((IF(DATOS_[[Sexo]:[Sexo]]=$B19,IF(DATOS_[[AGRUP. VALOR. PTO.]:[AGRUP. VALOR. PTO.]]=$B18,IF(DATOS_[[Check Periodo Ref.]:[Check Periodo Ref.]]="Dentro",DATOS_[Conc.Sal.16]))))), 0)</f>
        <v>0</v>
      </c>
      <c r="V19" s="209" t="n">
        <f aca="false" t="array" ref="V19:V19">IFERROR( AVERAGE((IF(DATOS_[[Sexo]:[Sexo]]=$B19,IF(DATOS_[[AGRUP. VALOR. PTO.]:[AGRUP. VALOR. PTO.]]=$B18,IF(DATOS_[[Check Periodo Ref.]:[Check Periodo Ref.]]="Dentro",DATOS_[Conc.Sal.17]))))), 0)</f>
        <v>0</v>
      </c>
      <c r="W19" s="209" t="n">
        <f aca="false" t="array" ref="W19:W19">IFERROR( AVERAGE((IF(DATOS_[[Sexo]:[Sexo]]=$B19,IF(DATOS_[[AGRUP. VALOR. PTO.]:[AGRUP. VALOR. PTO.]]=$B18,IF(DATOS_[[Check Periodo Ref.]:[Check Periodo Ref.]]="Dentro",DATOS_[Conc.Sal.18]))))), 0)</f>
        <v>0</v>
      </c>
      <c r="X19" s="209" t="n">
        <f aca="false" t="array" ref="X19:X19">IFERROR( AVERAGE((IF(DATOS_[[Sexo]:[Sexo]]=$B19,IF(DATOS_[[AGRUP. VALOR. PTO.]:[AGRUP. VALOR. PTO.]]=$B18,IF(DATOS_[[Check Periodo Ref.]:[Check Periodo Ref.]]="Dentro",DATOS_[Conc.Sal.19]))))), 0)</f>
        <v>0</v>
      </c>
      <c r="Y19" s="209" t="n">
        <f aca="false" t="array" ref="Y19:Y19">IFERROR( AVERAGE((IF(DATOS_[[Sexo]:[Sexo]]=$B19,IF(DATOS_[[AGRUP. VALOR. PTO.]:[AGRUP. VALOR. PTO.]]=$B18,IF(DATOS_[[Check Periodo Ref.]:[Check Periodo Ref.]]="Dentro",DATOS_[Conc.Sal.20]))))), 0)</f>
        <v>0</v>
      </c>
      <c r="Z19" s="209" t="n">
        <f aca="false" t="array" ref="Z19:Z19">IFERROR( AVERAGE((IF(DATOS_[[Sexo]:[Sexo]]=$B19,IF(DATOS_[[AGRUP. VALOR. PTO.]:[AGRUP. VALOR. PTO.]]=$B18,IF(DATOS_[[Check Periodo Ref.]:[Check Periodo Ref.]]="Dentro",DATOS_[Conc.Sal.21]))))), 0)</f>
        <v>0</v>
      </c>
      <c r="AA19" s="209" t="n">
        <f aca="false" t="array" ref="AA19:AA19">IFERROR( AVERAGE((IF(DATOS_[[Sexo]:[Sexo]]=$B19,IF(DATOS_[[AGRUP. VALOR. PTO.]:[AGRUP. VALOR. PTO.]]=$B18,IF(DATOS_[[Check Periodo Ref.]:[Check Periodo Ref.]]="Dentro",DATOS_[Conc.Sal.22]))))), 0)</f>
        <v>0</v>
      </c>
      <c r="AB19" s="209" t="n">
        <f aca="false" t="array" ref="AB19:AB19">IFERROR( AVERAGE((IF(DATOS_[[Sexo]:[Sexo]]=$B19,IF(DATOS_[[AGRUP. VALOR. PTO.]:[AGRUP. VALOR. PTO.]]=$B18,IF(DATOS_[[Check Periodo Ref.]:[Check Periodo Ref.]]="Dentro",DATOS_[Conc.Sal.23]))))), 0)</f>
        <v>0</v>
      </c>
      <c r="AC19" s="209" t="n">
        <f aca="false" t="array" ref="AC19:AC19">IFERROR( AVERAGE((IF(DATOS_[[Sexo]:[Sexo]]=$B19,IF(DATOS_[[AGRUP. VALOR. PTO.]:[AGRUP. VALOR. PTO.]]=$B18,IF(DATOS_[[Check Periodo Ref.]:[Check Periodo Ref.]]="Dentro",DATOS_[Conc.Sal.24]))))), 0)</f>
        <v>0</v>
      </c>
      <c r="AD19" s="209" t="n">
        <f aca="false" t="array" ref="AD19:AD19">IFERROR( AVERAGE((IF(DATOS_[[Sexo]:[Sexo]]=$B19,IF(DATOS_[[AGRUP. VALOR. PTO.]:[AGRUP. VALOR. PTO.]]=$B18,IF(DATOS_[[Check Periodo Ref.]:[Check Periodo Ref.]]="Dentro",DATOS_[Conc.Sal.25]))))), 0)</f>
        <v>0</v>
      </c>
      <c r="AE19" s="209" t="n">
        <f aca="false" t="array" ref="AE19:AE19">IFERROR( AVERAGE((IF(DATOS_[[Sexo]:[Sexo]]=$B19,IF(DATOS_[[AGRUP. VALOR. PTO.]:[AGRUP. VALOR. PTO.]]=$B18,IF(DATOS_[[Check Periodo Ref.]:[Check Periodo Ref.]]="Dentro",DATOS_[Conc.Sal.26]))))), 0)</f>
        <v>0</v>
      </c>
      <c r="AF19" s="209" t="n">
        <f aca="false" t="array" ref="AF19:AF19">IFERROR( AVERAGE((IF(DATOS_[[Sexo]:[Sexo]]=$B19,IF(DATOS_[[AGRUP. VALOR. PTO.]:[AGRUP. VALOR. PTO.]]=$B18,IF(DATOS_[[Check Periodo Ref.]:[Check Periodo Ref.]]="Dentro",DATOS_[Conc.Sal.27]))))), 0)</f>
        <v>0</v>
      </c>
      <c r="AG19" s="209" t="n">
        <f aca="false" t="array" ref="AG19:AG19">IFERROR( AVERAGE((IF(DATOS_[[Sexo]:[Sexo]]=$B19,IF(DATOS_[[AGRUP. VALOR. PTO.]:[AGRUP. VALOR. PTO.]]=$B18,IF(DATOS_[[Check Periodo Ref.]:[Check Periodo Ref.]]="Dentro",DATOS_[Conc.Sal.28]))))), 0)</f>
        <v>0</v>
      </c>
      <c r="AH19" s="209" t="n">
        <f aca="false" t="array" ref="AH19:AH19">IFERROR( AVERAGE((IF(DATOS_[[Sexo]:[Sexo]]=$B19,IF(DATOS_[[AGRUP. VALOR. PTO.]:[AGRUP. VALOR. PTO.]]=$B18,IF(DATOS_[[Check Periodo Ref.]:[Check Periodo Ref.]]="Dentro",DATOS_[Conc.Sal.29]))))), 0)</f>
        <v>0</v>
      </c>
      <c r="AI19" s="209" t="n">
        <f aca="false" t="array" ref="AI19:AI19">IFERROR( AVERAGE((IF(DATOS_[[Sexo]:[Sexo]]=$B19,IF(DATOS_[[AGRUP. VALOR. PTO.]:[AGRUP. VALOR. PTO.]]=$B18,IF(DATOS_[[Check Periodo Ref.]:[Check Periodo Ref.]]="Dentro",DATOS_[Conc.Sal.30]))))), 0)</f>
        <v>0</v>
      </c>
      <c r="AJ19" s="210" t="n">
        <f aca="false" t="array" ref="AJ19:AJ19">IFERROR( AVERAGE(IF(DATOS_[Sexo]=$B19,IF(DATOS_[AGRUP. VALOR. PTO.]=$B18,IF(DATOS_[Check Periodo Ref.]="Dentro",DATOS_[Tot COMPL.SAL Ef],0)))), 0)</f>
        <v>0</v>
      </c>
      <c r="AK19" s="211" t="n">
        <f aca="false" t="array" ref="AK19:AK19">IFERROR( AVERAGE(IF(DATOS_[Sexo]=$B19,IF(DATOS_[AGRUP. VALOR. PTO.]=$B18,IF(DATOS_[Check Periodo Ref.]="Dentro",DATOS_[TOTAL SALARIO Ef],0)))), 0)</f>
        <v>0</v>
      </c>
      <c r="AL19" s="212" t="n">
        <f aca="false" t="array" ref="AL19:AL19">IFERROR( AVERAGE((IF(DATOS_[[Sexo]:[Sexo]]=$B19,IF(DATOS_[[AGRUP. VALOR. PTO.]:[AGRUP. VALOR. PTO.]]=$B18,IF(DATOS_[[Check Periodo Ref.]:[Check Periodo Ref.]]="Dentro",DATOS_[C.Extra.01]))))), 0)</f>
        <v>0</v>
      </c>
      <c r="AM19" s="212" t="n">
        <f aca="false" t="array" ref="AM19:AM19">IFERROR( AVERAGE((IF(DATOS_[[Sexo]:[Sexo]]=$B19,IF(DATOS_[[AGRUP. VALOR. PTO.]:[AGRUP. VALOR. PTO.]]=$B18,IF(DATOS_[[Check Periodo Ref.]:[Check Periodo Ref.]]="Dentro",DATOS_[C.Extra.02]))))), 0)</f>
        <v>0</v>
      </c>
      <c r="AN19" s="212" t="n">
        <f aca="false" t="array" ref="AN19:AN19">IFERROR( AVERAGE((IF(DATOS_[[Sexo]:[Sexo]]=$B19,IF(DATOS_[[AGRUP. VALOR. PTO.]:[AGRUP. VALOR. PTO.]]=$B18,IF(DATOS_[[Check Periodo Ref.]:[Check Periodo Ref.]]="Dentro",DATOS_[C.Extra.03]))))), 0)</f>
        <v>0</v>
      </c>
      <c r="AO19" s="212" t="n">
        <f aca="false" t="array" ref="AO19:AO19">IFERROR( AVERAGE((IF(DATOS_[[Sexo]:[Sexo]]=$B19,IF(DATOS_[[AGRUP. VALOR. PTO.]:[AGRUP. VALOR. PTO.]]=$B18,IF(DATOS_[[Check Periodo Ref.]:[Check Periodo Ref.]]="Dentro",DATOS_[C.Extra.04]))))), 0)</f>
        <v>0</v>
      </c>
      <c r="AP19" s="212" t="n">
        <f aca="false" t="array" ref="AP19:AP19">IFERROR( AVERAGE((IF(DATOS_[[Sexo]:[Sexo]]=$B19,IF(DATOS_[[AGRUP. VALOR. PTO.]:[AGRUP. VALOR. PTO.]]=$B18,IF(DATOS_[[Check Periodo Ref.]:[Check Periodo Ref.]]="Dentro",DATOS_[C.Extra.05]))))), 0)</f>
        <v>0</v>
      </c>
      <c r="AQ19" s="213" t="n">
        <f aca="false" t="array" ref="AQ19:AQ19">IFERROR( AVERAGE(IF(DATOS_[Sexo]=$B19,IF(DATOS_[AGRUP. VALOR. PTO.]=$B18,IF(DATOS_[Check Periodo Ref.]="Dentro",DATOS_[Tot Extrasalarial Ef],0)))), 0)</f>
        <v>0</v>
      </c>
      <c r="AR19" s="214" t="n">
        <f aca="false" t="array" ref="AR19:AR19">IFERROR( AVERAGE(IF(DATOS_[Sexo]=$B19,IF(DATOS_[AGRUP. VALOR. PTO.]=$B18,IF(DATOS_[Check Periodo Ref.]="Dentro",DATOS_[TOTAL Retrib Ef],0)))), 0)</f>
        <v>0</v>
      </c>
    </row>
    <row r="20" s="191" customFormat="true" ht="14.25" hidden="false" customHeight="false" outlineLevel="0" collapsed="false">
      <c r="A20" s="191" t="str">
        <f aca="false">+A19</f>
        <v>[ocultar]</v>
      </c>
      <c r="B20" s="205" t="s">
        <v>372</v>
      </c>
      <c r="C20" s="206" t="n">
        <f aca="false" t="array" ref="C20:C20">SUM(IF($B20=DATOS_[Sexo], IF($B18=DATOS_[AGRUP. VALOR. PTO.], IF("Dentro"=DATOS_[Check Periodo Ref.], 1/(COUNTIFS(DATOS_[Sexo],$B20,DATOS_[AGRUP. VALOR. PTO.],$B18,DATOS_[Check Periodo Ref.],"Dentro",DATOS_[id],DATOS_[id]))))))</f>
        <v>0</v>
      </c>
      <c r="D20" s="207" t="n">
        <f aca="false">COUNTIFS(DATOS_[AGRUP. VALOR. PTO.],$B18,DATOS_[Sexo],$B20,DATOS_[Check Periodo Ref.],"Dentro")</f>
        <v>0</v>
      </c>
      <c r="E20" s="208" t="n">
        <f aca="false" t="array" ref="E20:E20">IFERROR( AVERAGE(IF(DATOS_[Sexo]=$B20,IF(DATOS_[AGRUP. VALOR. PTO.]=$B18,IF(DATOS_[Check Periodo Ref.]="Dentro",DATOS_[SALARIO BASE Ef],0)))), 0)</f>
        <v>0</v>
      </c>
      <c r="F20" s="209" t="n">
        <f aca="false" t="array" ref="F20:F20">IFERROR( AVERAGE((IF(DATOS_[[Sexo]:[Sexo]]=$B20,IF(DATOS_[[AGRUP. VALOR. PTO.]:[AGRUP. VALOR. PTO.]]=$B18,IF(DATOS_[[Check Periodo Ref.]:[Check Periodo Ref.]]="Dentro",DATOS_[Conc.Sal.01]))))), 0)</f>
        <v>0</v>
      </c>
      <c r="G20" s="209" t="n">
        <f aca="false" t="array" ref="G20:G20">IFERROR( AVERAGE((IF(DATOS_[[Sexo]:[Sexo]]=$B20,IF(DATOS_[[AGRUP. VALOR. PTO.]:[AGRUP. VALOR. PTO.]]=$B18,IF(DATOS_[[Check Periodo Ref.]:[Check Periodo Ref.]]="Dentro",DATOS_[Conc.Sal.02]))))), 0)</f>
        <v>0</v>
      </c>
      <c r="H20" s="209" t="n">
        <f aca="false" t="array" ref="H20:H20">IFERROR( AVERAGE((IF(DATOS_[[Sexo]:[Sexo]]=$B20,IF(DATOS_[[AGRUP. VALOR. PTO.]:[AGRUP. VALOR. PTO.]]=$B18,IF(DATOS_[[Check Periodo Ref.]:[Check Periodo Ref.]]="Dentro",DATOS_[Conc.Sal.03]))))), 0)</f>
        <v>0</v>
      </c>
      <c r="I20" s="209" t="n">
        <f aca="false" t="array" ref="I20:I20">IFERROR( AVERAGE((IF(DATOS_[[Sexo]:[Sexo]]=$B20,IF(DATOS_[[AGRUP. VALOR. PTO.]:[AGRUP. VALOR. PTO.]]=$B18,IF(DATOS_[[Check Periodo Ref.]:[Check Periodo Ref.]]="Dentro",DATOS_[Conc.Sal.04]))))), 0)</f>
        <v>0</v>
      </c>
      <c r="J20" s="209" t="n">
        <f aca="false" t="array" ref="J20:J20">IFERROR( AVERAGE((IF(DATOS_[[Sexo]:[Sexo]]=$B20,IF(DATOS_[[AGRUP. VALOR. PTO.]:[AGRUP. VALOR. PTO.]]=$B18,IF(DATOS_[[Check Periodo Ref.]:[Check Periodo Ref.]]="Dentro",DATOS_[Conc.Sal.05]))))), 0)</f>
        <v>0</v>
      </c>
      <c r="K20" s="209" t="n">
        <f aca="false" t="array" ref="K20:K20">IFERROR( AVERAGE((IF(DATOS_[[Sexo]:[Sexo]]=$B20,IF(DATOS_[[AGRUP. VALOR. PTO.]:[AGRUP. VALOR. PTO.]]=$B18,IF(DATOS_[[Check Periodo Ref.]:[Check Periodo Ref.]]="Dentro",DATOS_[Conc.Sal.06]))))), 0)</f>
        <v>0</v>
      </c>
      <c r="L20" s="209" t="n">
        <f aca="false" t="array" ref="L20:L20">IFERROR( AVERAGE((IF(DATOS_[[Sexo]:[Sexo]]=$B20,IF(DATOS_[[AGRUP. VALOR. PTO.]:[AGRUP. VALOR. PTO.]]=$B18,IF(DATOS_[[Check Periodo Ref.]:[Check Periodo Ref.]]="Dentro",DATOS_[Conc.Sal.07]))))), 0)</f>
        <v>0</v>
      </c>
      <c r="M20" s="209" t="n">
        <f aca="false" t="array" ref="M20:M20">IFERROR( AVERAGE((IF(DATOS_[[Sexo]:[Sexo]]=$B20,IF(DATOS_[[AGRUP. VALOR. PTO.]:[AGRUP. VALOR. PTO.]]=$B18,IF(DATOS_[[Check Periodo Ref.]:[Check Periodo Ref.]]="Dentro",DATOS_[Conc.Sal.08]))))), 0)</f>
        <v>0</v>
      </c>
      <c r="N20" s="209" t="n">
        <f aca="false" t="array" ref="N20:N20">IFERROR( AVERAGE((IF(DATOS_[[Sexo]:[Sexo]]=$B20,IF(DATOS_[[AGRUP. VALOR. PTO.]:[AGRUP. VALOR. PTO.]]=$B18,IF(DATOS_[[Check Periodo Ref.]:[Check Periodo Ref.]]="Dentro",DATOS_[Conc.Sal.09]))))), 0)</f>
        <v>0</v>
      </c>
      <c r="O20" s="209" t="n">
        <f aca="false" t="array" ref="O20:O20">IFERROR( AVERAGE((IF(DATOS_[[Sexo]:[Sexo]]=$B20,IF(DATOS_[[AGRUP. VALOR. PTO.]:[AGRUP. VALOR. PTO.]]=$B18,IF(DATOS_[[Check Periodo Ref.]:[Check Periodo Ref.]]="Dentro",DATOS_[Conc.Sal.10]))))), 0)</f>
        <v>0</v>
      </c>
      <c r="P20" s="209" t="n">
        <f aca="false" t="array" ref="P20:P20">IFERROR( AVERAGE((IF(DATOS_[[Sexo]:[Sexo]]=$B20,IF(DATOS_[[AGRUP. VALOR. PTO.]:[AGRUP. VALOR. PTO.]]=$B18,IF(DATOS_[[Check Periodo Ref.]:[Check Periodo Ref.]]="Dentro",DATOS_[Conc.Sal.11]))))), 0)</f>
        <v>0</v>
      </c>
      <c r="Q20" s="209" t="n">
        <f aca="false" t="array" ref="Q20:Q20">IFERROR( AVERAGE((IF(DATOS_[[Sexo]:[Sexo]]=$B20,IF(DATOS_[[AGRUP. VALOR. PTO.]:[AGRUP. VALOR. PTO.]]=$B18,IF(DATOS_[[Check Periodo Ref.]:[Check Periodo Ref.]]="Dentro",DATOS_[Conc.Sal.12]))))), 0)</f>
        <v>0</v>
      </c>
      <c r="R20" s="209" t="n">
        <f aca="false" t="array" ref="R20:R20">IFERROR( AVERAGE((IF(DATOS_[[Sexo]:[Sexo]]=$B20,IF(DATOS_[[AGRUP. VALOR. PTO.]:[AGRUP. VALOR. PTO.]]=$B18,IF(DATOS_[[Check Periodo Ref.]:[Check Periodo Ref.]]="Dentro",DATOS_[Conc.Sal.13]))))), 0)</f>
        <v>0</v>
      </c>
      <c r="S20" s="209" t="n">
        <f aca="false" t="array" ref="S20:S20">IFERROR( AVERAGE((IF(DATOS_[[Sexo]:[Sexo]]=$B20,IF(DATOS_[[AGRUP. VALOR. PTO.]:[AGRUP. VALOR. PTO.]]=$B18,IF(DATOS_[[Check Periodo Ref.]:[Check Periodo Ref.]]="Dentro",DATOS_[Conc.Sal.14]))))), 0)</f>
        <v>0</v>
      </c>
      <c r="T20" s="209" t="n">
        <f aca="false" t="array" ref="T20:T20">IFERROR( AVERAGE((IF(DATOS_[[Sexo]:[Sexo]]=$B20,IF(DATOS_[[AGRUP. VALOR. PTO.]:[AGRUP. VALOR. PTO.]]=$B18,IF(DATOS_[[Check Periodo Ref.]:[Check Periodo Ref.]]="Dentro",DATOS_[Conc.Sal.15]))))), 0)</f>
        <v>0</v>
      </c>
      <c r="U20" s="209" t="n">
        <f aca="false" t="array" ref="U20:U20">IFERROR( AVERAGE((IF(DATOS_[[Sexo]:[Sexo]]=$B20,IF(DATOS_[[AGRUP. VALOR. PTO.]:[AGRUP. VALOR. PTO.]]=$B18,IF(DATOS_[[Check Periodo Ref.]:[Check Periodo Ref.]]="Dentro",DATOS_[Conc.Sal.16]))))), 0)</f>
        <v>0</v>
      </c>
      <c r="V20" s="209" t="n">
        <f aca="false" t="array" ref="V20:V20">IFERROR( AVERAGE((IF(DATOS_[[Sexo]:[Sexo]]=$B20,IF(DATOS_[[AGRUP. VALOR. PTO.]:[AGRUP. VALOR. PTO.]]=$B18,IF(DATOS_[[Check Periodo Ref.]:[Check Periodo Ref.]]="Dentro",DATOS_[Conc.Sal.17]))))), 0)</f>
        <v>0</v>
      </c>
      <c r="W20" s="209" t="n">
        <f aca="false" t="array" ref="W20:W20">IFERROR( AVERAGE((IF(DATOS_[[Sexo]:[Sexo]]=$B20,IF(DATOS_[[AGRUP. VALOR. PTO.]:[AGRUP. VALOR. PTO.]]=$B18,IF(DATOS_[[Check Periodo Ref.]:[Check Periodo Ref.]]="Dentro",DATOS_[Conc.Sal.18]))))), 0)</f>
        <v>0</v>
      </c>
      <c r="X20" s="209" t="n">
        <f aca="false" t="array" ref="X20:X20">IFERROR( AVERAGE((IF(DATOS_[[Sexo]:[Sexo]]=$B20,IF(DATOS_[[AGRUP. VALOR. PTO.]:[AGRUP. VALOR. PTO.]]=$B18,IF(DATOS_[[Check Periodo Ref.]:[Check Periodo Ref.]]="Dentro",DATOS_[Conc.Sal.19]))))), 0)</f>
        <v>0</v>
      </c>
      <c r="Y20" s="209" t="n">
        <f aca="false" t="array" ref="Y20:Y20">IFERROR( AVERAGE((IF(DATOS_[[Sexo]:[Sexo]]=$B20,IF(DATOS_[[AGRUP. VALOR. PTO.]:[AGRUP. VALOR. PTO.]]=$B18,IF(DATOS_[[Check Periodo Ref.]:[Check Periodo Ref.]]="Dentro",DATOS_[Conc.Sal.20]))))), 0)</f>
        <v>0</v>
      </c>
      <c r="Z20" s="209" t="n">
        <f aca="false" t="array" ref="Z20:Z20">IFERROR( AVERAGE((IF(DATOS_[[Sexo]:[Sexo]]=$B20,IF(DATOS_[[AGRUP. VALOR. PTO.]:[AGRUP. VALOR. PTO.]]=$B18,IF(DATOS_[[Check Periodo Ref.]:[Check Periodo Ref.]]="Dentro",DATOS_[Conc.Sal.21]))))), 0)</f>
        <v>0</v>
      </c>
      <c r="AA20" s="209" t="n">
        <f aca="false" t="array" ref="AA20:AA20">IFERROR( AVERAGE((IF(DATOS_[[Sexo]:[Sexo]]=$B20,IF(DATOS_[[AGRUP. VALOR. PTO.]:[AGRUP. VALOR. PTO.]]=$B18,IF(DATOS_[[Check Periodo Ref.]:[Check Periodo Ref.]]="Dentro",DATOS_[Conc.Sal.22]))))), 0)</f>
        <v>0</v>
      </c>
      <c r="AB20" s="209" t="n">
        <f aca="false" t="array" ref="AB20:AB20">IFERROR( AVERAGE((IF(DATOS_[[Sexo]:[Sexo]]=$B20,IF(DATOS_[[AGRUP. VALOR. PTO.]:[AGRUP. VALOR. PTO.]]=$B18,IF(DATOS_[[Check Periodo Ref.]:[Check Periodo Ref.]]="Dentro",DATOS_[Conc.Sal.23]))))), 0)</f>
        <v>0</v>
      </c>
      <c r="AC20" s="209" t="n">
        <f aca="false" t="array" ref="AC20:AC20">IFERROR( AVERAGE((IF(DATOS_[[Sexo]:[Sexo]]=$B20,IF(DATOS_[[AGRUP. VALOR. PTO.]:[AGRUP. VALOR. PTO.]]=$B18,IF(DATOS_[[Check Periodo Ref.]:[Check Periodo Ref.]]="Dentro",DATOS_[Conc.Sal.24]))))), 0)</f>
        <v>0</v>
      </c>
      <c r="AD20" s="209" t="n">
        <f aca="false" t="array" ref="AD20:AD20">IFERROR( AVERAGE((IF(DATOS_[[Sexo]:[Sexo]]=$B20,IF(DATOS_[[AGRUP. VALOR. PTO.]:[AGRUP. VALOR. PTO.]]=$B18,IF(DATOS_[[Check Periodo Ref.]:[Check Periodo Ref.]]="Dentro",DATOS_[Conc.Sal.25]))))), 0)</f>
        <v>0</v>
      </c>
      <c r="AE20" s="209" t="n">
        <f aca="false" t="array" ref="AE20:AE20">IFERROR( AVERAGE((IF(DATOS_[[Sexo]:[Sexo]]=$B20,IF(DATOS_[[AGRUP. VALOR. PTO.]:[AGRUP. VALOR. PTO.]]=$B18,IF(DATOS_[[Check Periodo Ref.]:[Check Periodo Ref.]]="Dentro",DATOS_[Conc.Sal.26]))))), 0)</f>
        <v>0</v>
      </c>
      <c r="AF20" s="209" t="n">
        <f aca="false" t="array" ref="AF20:AF20">IFERROR( AVERAGE((IF(DATOS_[[Sexo]:[Sexo]]=$B20,IF(DATOS_[[AGRUP. VALOR. PTO.]:[AGRUP. VALOR. PTO.]]=$B18,IF(DATOS_[[Check Periodo Ref.]:[Check Periodo Ref.]]="Dentro",DATOS_[Conc.Sal.27]))))), 0)</f>
        <v>0</v>
      </c>
      <c r="AG20" s="209" t="n">
        <f aca="false" t="array" ref="AG20:AG20">IFERROR( AVERAGE((IF(DATOS_[[Sexo]:[Sexo]]=$B20,IF(DATOS_[[AGRUP. VALOR. PTO.]:[AGRUP. VALOR. PTO.]]=$B18,IF(DATOS_[[Check Periodo Ref.]:[Check Periodo Ref.]]="Dentro",DATOS_[Conc.Sal.28]))))), 0)</f>
        <v>0</v>
      </c>
      <c r="AH20" s="209" t="n">
        <f aca="false" t="array" ref="AH20:AH20">IFERROR( AVERAGE((IF(DATOS_[[Sexo]:[Sexo]]=$B20,IF(DATOS_[[AGRUP. VALOR. PTO.]:[AGRUP. VALOR. PTO.]]=$B18,IF(DATOS_[[Check Periodo Ref.]:[Check Periodo Ref.]]="Dentro",DATOS_[Conc.Sal.29]))))), 0)</f>
        <v>0</v>
      </c>
      <c r="AI20" s="209" t="n">
        <f aca="false" t="array" ref="AI20:AI20">IFERROR( AVERAGE((IF(DATOS_[[Sexo]:[Sexo]]=$B20,IF(DATOS_[[AGRUP. VALOR. PTO.]:[AGRUP. VALOR. PTO.]]=$B18,IF(DATOS_[[Check Periodo Ref.]:[Check Periodo Ref.]]="Dentro",DATOS_[Conc.Sal.30]))))), 0)</f>
        <v>0</v>
      </c>
      <c r="AJ20" s="210" t="n">
        <f aca="false" t="array" ref="AJ20:AJ20">IFERROR( AVERAGE(IF(DATOS_[Sexo]=$B20,IF(DATOS_[AGRUP. VALOR. PTO.]=$B18,IF(DATOS_[Check Periodo Ref.]="Dentro",DATOS_[Tot COMPL.SAL Ef],0)))), 0)</f>
        <v>0</v>
      </c>
      <c r="AK20" s="211" t="n">
        <f aca="false" t="array" ref="AK20:AK20">IFERROR( AVERAGE(IF(DATOS_[Sexo]=$B20,IF(DATOS_[AGRUP. VALOR. PTO.]=$B18,IF(DATOS_[Check Periodo Ref.]="Dentro",DATOS_[TOTAL SALARIO Ef],0)))), 0)</f>
        <v>0</v>
      </c>
      <c r="AL20" s="212" t="n">
        <f aca="false" t="array" ref="AL20:AL20">IFERROR( AVERAGE((IF(DATOS_[[Sexo]:[Sexo]]=$B20,IF(DATOS_[[AGRUP. VALOR. PTO.]:[AGRUP. VALOR. PTO.]]=$B18,IF(DATOS_[[Check Periodo Ref.]:[Check Periodo Ref.]]="Dentro",DATOS_[C.Extra.01]))))), 0)</f>
        <v>0</v>
      </c>
      <c r="AM20" s="212" t="n">
        <f aca="false" t="array" ref="AM20:AM20">IFERROR( AVERAGE((IF(DATOS_[[Sexo]:[Sexo]]=$B20,IF(DATOS_[[AGRUP. VALOR. PTO.]:[AGRUP. VALOR. PTO.]]=$B18,IF(DATOS_[[Check Periodo Ref.]:[Check Periodo Ref.]]="Dentro",DATOS_[C.Extra.02]))))), 0)</f>
        <v>0</v>
      </c>
      <c r="AN20" s="212" t="n">
        <f aca="false" t="array" ref="AN20:AN20">IFERROR( AVERAGE((IF(DATOS_[[Sexo]:[Sexo]]=$B20,IF(DATOS_[[AGRUP. VALOR. PTO.]:[AGRUP. VALOR. PTO.]]=$B18,IF(DATOS_[[Check Periodo Ref.]:[Check Periodo Ref.]]="Dentro",DATOS_[C.Extra.03]))))), 0)</f>
        <v>0</v>
      </c>
      <c r="AO20" s="212" t="n">
        <f aca="false" t="array" ref="AO20:AO20">IFERROR( AVERAGE((IF(DATOS_[[Sexo]:[Sexo]]=$B20,IF(DATOS_[[AGRUP. VALOR. PTO.]:[AGRUP. VALOR. PTO.]]=$B18,IF(DATOS_[[Check Periodo Ref.]:[Check Periodo Ref.]]="Dentro",DATOS_[C.Extra.04]))))), 0)</f>
        <v>0</v>
      </c>
      <c r="AP20" s="212" t="n">
        <f aca="false" t="array" ref="AP20:AP20">IFERROR( AVERAGE((IF(DATOS_[[Sexo]:[Sexo]]=$B20,IF(DATOS_[[AGRUP. VALOR. PTO.]:[AGRUP. VALOR. PTO.]]=$B18,IF(DATOS_[[Check Periodo Ref.]:[Check Periodo Ref.]]="Dentro",DATOS_[C.Extra.05]))))), 0)</f>
        <v>0</v>
      </c>
      <c r="AQ20" s="213" t="n">
        <f aca="false" t="array" ref="AQ20:AQ20">IFERROR( AVERAGE(IF(DATOS_[Sexo]=$B20,IF(DATOS_[AGRUP. VALOR. PTO.]=$B18,IF(DATOS_[Check Periodo Ref.]="Dentro",DATOS_[Tot Extrasalarial Ef],0)))), 0)</f>
        <v>0</v>
      </c>
      <c r="AR20" s="214" t="n">
        <f aca="false" t="array" ref="AR20:AR20">IFERROR( AVERAGE(IF(DATOS_[Sexo]=$B20,IF(DATOS_[AGRUP. VALOR. PTO.]=$B18,IF(DATOS_[Check Periodo Ref.]="Dentro",DATOS_[TOTAL Retrib Ef],0)))), 0)</f>
        <v>0</v>
      </c>
    </row>
    <row r="21" customFormat="false" ht="15.75" hidden="false" customHeight="false" outlineLevel="0" collapsed="false">
      <c r="A21" s="191" t="str">
        <f aca="false">+A22</f>
        <v>[ocultar]</v>
      </c>
      <c r="B21" s="192" t="s">
        <v>178</v>
      </c>
      <c r="C21" s="193"/>
      <c r="D21" s="194"/>
      <c r="E21" s="195" t="str">
        <f aca="false">IFERROR((E22-E23)/E22,"")</f>
        <v/>
      </c>
      <c r="F21" s="196" t="str">
        <f aca="false">IFERROR((F22-F23)/F22,"")</f>
        <v/>
      </c>
      <c r="G21" s="197" t="str">
        <f aca="false">IFERROR((G22-G23)/G22,"")</f>
        <v/>
      </c>
      <c r="H21" s="197" t="str">
        <f aca="false">IFERROR((H22-H23)/H22,"")</f>
        <v/>
      </c>
      <c r="I21" s="197" t="str">
        <f aca="false">IFERROR((I22-I23)/I22,"")</f>
        <v/>
      </c>
      <c r="J21" s="198" t="str">
        <f aca="false">IFERROR((J22-J23)/J22,"")</f>
        <v/>
      </c>
      <c r="K21" s="199" t="str">
        <f aca="false">IFERROR((K22-K23)/K22,"")</f>
        <v/>
      </c>
      <c r="L21" s="199" t="str">
        <f aca="false">IFERROR((L22-L23)/L22,"")</f>
        <v/>
      </c>
      <c r="M21" s="199" t="str">
        <f aca="false">IFERROR((M22-M23)/M22,"")</f>
        <v/>
      </c>
      <c r="N21" s="199" t="str">
        <f aca="false">IFERROR((N22-N23)/N22,"")</f>
        <v/>
      </c>
      <c r="O21" s="199" t="str">
        <f aca="false">IFERROR((O22-O23)/O22,"")</f>
        <v/>
      </c>
      <c r="P21" s="199" t="str">
        <f aca="false">IFERROR((P22-P23)/P22,"")</f>
        <v/>
      </c>
      <c r="Q21" s="199" t="str">
        <f aca="false">IFERROR((Q22-Q23)/Q22,"")</f>
        <v/>
      </c>
      <c r="R21" s="199" t="str">
        <f aca="false">IFERROR((R22-R23)/R22,"")</f>
        <v/>
      </c>
      <c r="S21" s="199" t="str">
        <f aca="false">IFERROR((S22-S23)/S22,"")</f>
        <v/>
      </c>
      <c r="T21" s="199" t="str">
        <f aca="false">IFERROR((T22-T23)/T22,"")</f>
        <v/>
      </c>
      <c r="U21" s="199" t="str">
        <f aca="false">IFERROR((U22-U23)/U22,"")</f>
        <v/>
      </c>
      <c r="V21" s="198" t="str">
        <f aca="false">IFERROR((V22-V23)/V22,"")</f>
        <v/>
      </c>
      <c r="W21" s="198" t="str">
        <f aca="false">IFERROR((W22-W23)/W22,"")</f>
        <v/>
      </c>
      <c r="X21" s="198" t="str">
        <f aca="false">IFERROR((X22-X23)/X22,"")</f>
        <v/>
      </c>
      <c r="Y21" s="198" t="str">
        <f aca="false">IFERROR((Y22-Y23)/Y22,"")</f>
        <v/>
      </c>
      <c r="Z21" s="198" t="str">
        <f aca="false">IFERROR((Z22-Z23)/Z22,"")</f>
        <v/>
      </c>
      <c r="AA21" s="198" t="str">
        <f aca="false">IFERROR((AA22-AA23)/AA22,"")</f>
        <v/>
      </c>
      <c r="AB21" s="198" t="str">
        <f aca="false">IFERROR((AB22-AB23)/AB22,"")</f>
        <v/>
      </c>
      <c r="AC21" s="198" t="str">
        <f aca="false">IFERROR((AC22-AC23)/AC22,"")</f>
        <v/>
      </c>
      <c r="AD21" s="198" t="str">
        <f aca="false">IFERROR((AD22-AD23)/AD22,"")</f>
        <v/>
      </c>
      <c r="AE21" s="198" t="str">
        <f aca="false">IFERROR((AE22-AE23)/AE22,"")</f>
        <v/>
      </c>
      <c r="AF21" s="198" t="str">
        <f aca="false">IFERROR((AF22-AF23)/AF22,"")</f>
        <v/>
      </c>
      <c r="AG21" s="198" t="str">
        <f aca="false">IFERROR((AG22-AG23)/AG22,"")</f>
        <v/>
      </c>
      <c r="AH21" s="198" t="str">
        <f aca="false">IFERROR((AH22-AH23)/AH22,"")</f>
        <v/>
      </c>
      <c r="AI21" s="198" t="str">
        <f aca="false">IFERROR((AI22-AI23)/AI22,"")</f>
        <v/>
      </c>
      <c r="AJ21" s="200" t="str">
        <f aca="false">IFERROR((AJ22-AJ23)/AJ22,"")</f>
        <v/>
      </c>
      <c r="AK21" s="201" t="str">
        <f aca="false">IFERROR((AK22-AK23)/AK22,"")</f>
        <v/>
      </c>
      <c r="AL21" s="202" t="str">
        <f aca="false">IFERROR((AL22-AL23)/AL22,"")</f>
        <v/>
      </c>
      <c r="AM21" s="202" t="str">
        <f aca="false">IFERROR((AM22-AM23)/AM22,"")</f>
        <v/>
      </c>
      <c r="AN21" s="202" t="str">
        <f aca="false">IFERROR((AN22-AN23)/AN22,"")</f>
        <v/>
      </c>
      <c r="AO21" s="202" t="str">
        <f aca="false">IFERROR((AO22-AO23)/AO22,"")</f>
        <v/>
      </c>
      <c r="AP21" s="202" t="str">
        <f aca="false">IFERROR((AP22-AP23)/AP22,"")</f>
        <v/>
      </c>
      <c r="AQ21" s="203" t="str">
        <f aca="false">IFERROR((AQ22-AQ23)/AQ22,"")</f>
        <v/>
      </c>
      <c r="AR21" s="204" t="str">
        <f aca="false">IFERROR((AR22-AR23)/AR22,"")</f>
        <v/>
      </c>
    </row>
    <row r="22" customFormat="false" ht="14.25" hidden="false" customHeight="false" outlineLevel="0" collapsed="false">
      <c r="A22" s="191" t="str">
        <f aca="false">+IF(C22+C23=0,"[ocultar]","")</f>
        <v>[ocultar]</v>
      </c>
      <c r="B22" s="205" t="s">
        <v>371</v>
      </c>
      <c r="C22" s="206" t="n">
        <f aca="false" t="array" ref="C22:C22">SUM(IF($B22=DATOS_[Sexo], IF($B21=DATOS_[AGRUP. VALOR. PTO.], IF("Dentro"=DATOS_[Check Periodo Ref.], 1/(COUNTIFS(DATOS_[Sexo],$B22,DATOS_[AGRUP. VALOR. PTO.],$B21,DATOS_[Check Periodo Ref.],"Dentro",DATOS_[id],DATOS_[id]))))))</f>
        <v>0</v>
      </c>
      <c r="D22" s="207" t="n">
        <f aca="false">COUNTIFS(DATOS_[AGRUP. VALOR. PTO.],$B21,DATOS_[Sexo],$B22,DATOS_[Check Periodo Ref.],"Dentro")</f>
        <v>0</v>
      </c>
      <c r="E22" s="208" t="n">
        <f aca="false" t="array" ref="E22:E22">IFERROR( AVERAGE(IF(DATOS_[Sexo]=$B22,IF(DATOS_[AGRUP. VALOR. PTO.]=$B21,IF(DATOS_[Check Periodo Ref.]="Dentro",DATOS_[SALARIO BASE Ef],0)))), 0)</f>
        <v>0</v>
      </c>
      <c r="F22" s="209" t="n">
        <f aca="false" t="array" ref="F22:F22">IFERROR( AVERAGE((IF(DATOS_[[Sexo]:[Sexo]]=$B22,IF(DATOS_[[AGRUP. VALOR. PTO.]:[AGRUP. VALOR. PTO.]]=$B21,IF(DATOS_[[Check Periodo Ref.]:[Check Periodo Ref.]]="Dentro",DATOS_[Conc.Sal.01]))))), 0)</f>
        <v>0</v>
      </c>
      <c r="G22" s="209" t="n">
        <f aca="false" t="array" ref="G22:G22">IFERROR( AVERAGE((IF(DATOS_[[Sexo]:[Sexo]]=$B22,IF(DATOS_[[AGRUP. VALOR. PTO.]:[AGRUP. VALOR. PTO.]]=$B21,IF(DATOS_[[Check Periodo Ref.]:[Check Periodo Ref.]]="Dentro",DATOS_[Conc.Sal.02]))))), 0)</f>
        <v>0</v>
      </c>
      <c r="H22" s="209" t="n">
        <f aca="false" t="array" ref="H22:H22">IFERROR( AVERAGE((IF(DATOS_[[Sexo]:[Sexo]]=$B22,IF(DATOS_[[AGRUP. VALOR. PTO.]:[AGRUP. VALOR. PTO.]]=$B21,IF(DATOS_[[Check Periodo Ref.]:[Check Periodo Ref.]]="Dentro",DATOS_[Conc.Sal.03]))))), 0)</f>
        <v>0</v>
      </c>
      <c r="I22" s="209" t="n">
        <f aca="false" t="array" ref="I22:I22">IFERROR( AVERAGE((IF(DATOS_[[Sexo]:[Sexo]]=$B22,IF(DATOS_[[AGRUP. VALOR. PTO.]:[AGRUP. VALOR. PTO.]]=$B21,IF(DATOS_[[Check Periodo Ref.]:[Check Periodo Ref.]]="Dentro",DATOS_[Conc.Sal.04]))))), 0)</f>
        <v>0</v>
      </c>
      <c r="J22" s="209" t="n">
        <f aca="false" t="array" ref="J22:J22">IFERROR( AVERAGE((IF(DATOS_[[Sexo]:[Sexo]]=$B22,IF(DATOS_[[AGRUP. VALOR. PTO.]:[AGRUP. VALOR. PTO.]]=$B21,IF(DATOS_[[Check Periodo Ref.]:[Check Periodo Ref.]]="Dentro",DATOS_[Conc.Sal.05]))))), 0)</f>
        <v>0</v>
      </c>
      <c r="K22" s="209" t="n">
        <f aca="false" t="array" ref="K22:K22">IFERROR( AVERAGE((IF(DATOS_[[Sexo]:[Sexo]]=$B22,IF(DATOS_[[AGRUP. VALOR. PTO.]:[AGRUP. VALOR. PTO.]]=$B21,IF(DATOS_[[Check Periodo Ref.]:[Check Periodo Ref.]]="Dentro",DATOS_[Conc.Sal.06]))))), 0)</f>
        <v>0</v>
      </c>
      <c r="L22" s="209" t="n">
        <f aca="false" t="array" ref="L22:L22">IFERROR( AVERAGE((IF(DATOS_[[Sexo]:[Sexo]]=$B22,IF(DATOS_[[AGRUP. VALOR. PTO.]:[AGRUP. VALOR. PTO.]]=$B21,IF(DATOS_[[Check Periodo Ref.]:[Check Periodo Ref.]]="Dentro",DATOS_[Conc.Sal.07]))))), 0)</f>
        <v>0</v>
      </c>
      <c r="M22" s="209" t="n">
        <f aca="false" t="array" ref="M22:M22">IFERROR( AVERAGE((IF(DATOS_[[Sexo]:[Sexo]]=$B22,IF(DATOS_[[AGRUP. VALOR. PTO.]:[AGRUP. VALOR. PTO.]]=$B21,IF(DATOS_[[Check Periodo Ref.]:[Check Periodo Ref.]]="Dentro",DATOS_[Conc.Sal.08]))))), 0)</f>
        <v>0</v>
      </c>
      <c r="N22" s="209" t="n">
        <f aca="false" t="array" ref="N22:N22">IFERROR( AVERAGE((IF(DATOS_[[Sexo]:[Sexo]]=$B22,IF(DATOS_[[AGRUP. VALOR. PTO.]:[AGRUP. VALOR. PTO.]]=$B21,IF(DATOS_[[Check Periodo Ref.]:[Check Periodo Ref.]]="Dentro",DATOS_[Conc.Sal.09]))))), 0)</f>
        <v>0</v>
      </c>
      <c r="O22" s="209" t="n">
        <f aca="false" t="array" ref="O22:O22">IFERROR( AVERAGE((IF(DATOS_[[Sexo]:[Sexo]]=$B22,IF(DATOS_[[AGRUP. VALOR. PTO.]:[AGRUP. VALOR. PTO.]]=$B21,IF(DATOS_[[Check Periodo Ref.]:[Check Periodo Ref.]]="Dentro",DATOS_[Conc.Sal.10]))))), 0)</f>
        <v>0</v>
      </c>
      <c r="P22" s="209" t="n">
        <f aca="false" t="array" ref="P22:P22">IFERROR( AVERAGE((IF(DATOS_[[Sexo]:[Sexo]]=$B22,IF(DATOS_[[AGRUP. VALOR. PTO.]:[AGRUP. VALOR. PTO.]]=$B21,IF(DATOS_[[Check Periodo Ref.]:[Check Periodo Ref.]]="Dentro",DATOS_[Conc.Sal.11]))))), 0)</f>
        <v>0</v>
      </c>
      <c r="Q22" s="209" t="n">
        <f aca="false" t="array" ref="Q22:Q22">IFERROR( AVERAGE((IF(DATOS_[[Sexo]:[Sexo]]=$B22,IF(DATOS_[[AGRUP. VALOR. PTO.]:[AGRUP. VALOR. PTO.]]=$B21,IF(DATOS_[[Check Periodo Ref.]:[Check Periodo Ref.]]="Dentro",DATOS_[Conc.Sal.12]))))), 0)</f>
        <v>0</v>
      </c>
      <c r="R22" s="209" t="n">
        <f aca="false" t="array" ref="R22:R22">IFERROR( AVERAGE((IF(DATOS_[[Sexo]:[Sexo]]=$B22,IF(DATOS_[[AGRUP. VALOR. PTO.]:[AGRUP. VALOR. PTO.]]=$B21,IF(DATOS_[[Check Periodo Ref.]:[Check Periodo Ref.]]="Dentro",DATOS_[Conc.Sal.13]))))), 0)</f>
        <v>0</v>
      </c>
      <c r="S22" s="209" t="n">
        <f aca="false" t="array" ref="S22:S22">IFERROR( AVERAGE((IF(DATOS_[[Sexo]:[Sexo]]=$B22,IF(DATOS_[[AGRUP. VALOR. PTO.]:[AGRUP. VALOR. PTO.]]=$B21,IF(DATOS_[[Check Periodo Ref.]:[Check Periodo Ref.]]="Dentro",DATOS_[Conc.Sal.14]))))), 0)</f>
        <v>0</v>
      </c>
      <c r="T22" s="209" t="n">
        <f aca="false" t="array" ref="T22:T22">IFERROR( AVERAGE((IF(DATOS_[[Sexo]:[Sexo]]=$B22,IF(DATOS_[[AGRUP. VALOR. PTO.]:[AGRUP. VALOR. PTO.]]=$B21,IF(DATOS_[[Check Periodo Ref.]:[Check Periodo Ref.]]="Dentro",DATOS_[Conc.Sal.15]))))), 0)</f>
        <v>0</v>
      </c>
      <c r="U22" s="209" t="n">
        <f aca="false" t="array" ref="U22:U22">IFERROR( AVERAGE((IF(DATOS_[[Sexo]:[Sexo]]=$B22,IF(DATOS_[[AGRUP. VALOR. PTO.]:[AGRUP. VALOR. PTO.]]=$B21,IF(DATOS_[[Check Periodo Ref.]:[Check Periodo Ref.]]="Dentro",DATOS_[Conc.Sal.16]))))), 0)</f>
        <v>0</v>
      </c>
      <c r="V22" s="209" t="n">
        <f aca="false" t="array" ref="V22:V22">IFERROR( AVERAGE((IF(DATOS_[[Sexo]:[Sexo]]=$B22,IF(DATOS_[[AGRUP. VALOR. PTO.]:[AGRUP. VALOR. PTO.]]=$B21,IF(DATOS_[[Check Periodo Ref.]:[Check Periodo Ref.]]="Dentro",DATOS_[Conc.Sal.17]))))), 0)</f>
        <v>0</v>
      </c>
      <c r="W22" s="209" t="n">
        <f aca="false" t="array" ref="W22:W22">IFERROR( AVERAGE((IF(DATOS_[[Sexo]:[Sexo]]=$B22,IF(DATOS_[[AGRUP. VALOR. PTO.]:[AGRUP. VALOR. PTO.]]=$B21,IF(DATOS_[[Check Periodo Ref.]:[Check Periodo Ref.]]="Dentro",DATOS_[Conc.Sal.18]))))), 0)</f>
        <v>0</v>
      </c>
      <c r="X22" s="209" t="n">
        <f aca="false" t="array" ref="X22:X22">IFERROR( AVERAGE((IF(DATOS_[[Sexo]:[Sexo]]=$B22,IF(DATOS_[[AGRUP. VALOR. PTO.]:[AGRUP. VALOR. PTO.]]=$B21,IF(DATOS_[[Check Periodo Ref.]:[Check Periodo Ref.]]="Dentro",DATOS_[Conc.Sal.19]))))), 0)</f>
        <v>0</v>
      </c>
      <c r="Y22" s="209" t="n">
        <f aca="false" t="array" ref="Y22:Y22">IFERROR( AVERAGE((IF(DATOS_[[Sexo]:[Sexo]]=$B22,IF(DATOS_[[AGRUP. VALOR. PTO.]:[AGRUP. VALOR. PTO.]]=$B21,IF(DATOS_[[Check Periodo Ref.]:[Check Periodo Ref.]]="Dentro",DATOS_[Conc.Sal.20]))))), 0)</f>
        <v>0</v>
      </c>
      <c r="Z22" s="209" t="n">
        <f aca="false" t="array" ref="Z22:Z22">IFERROR( AVERAGE((IF(DATOS_[[Sexo]:[Sexo]]=$B22,IF(DATOS_[[AGRUP. VALOR. PTO.]:[AGRUP. VALOR. PTO.]]=$B21,IF(DATOS_[[Check Periodo Ref.]:[Check Periodo Ref.]]="Dentro",DATOS_[Conc.Sal.21]))))), 0)</f>
        <v>0</v>
      </c>
      <c r="AA22" s="209" t="n">
        <f aca="false" t="array" ref="AA22:AA22">IFERROR( AVERAGE((IF(DATOS_[[Sexo]:[Sexo]]=$B22,IF(DATOS_[[AGRUP. VALOR. PTO.]:[AGRUP. VALOR. PTO.]]=$B21,IF(DATOS_[[Check Periodo Ref.]:[Check Periodo Ref.]]="Dentro",DATOS_[Conc.Sal.22]))))), 0)</f>
        <v>0</v>
      </c>
      <c r="AB22" s="209" t="n">
        <f aca="false" t="array" ref="AB22:AB22">IFERROR( AVERAGE((IF(DATOS_[[Sexo]:[Sexo]]=$B22,IF(DATOS_[[AGRUP. VALOR. PTO.]:[AGRUP. VALOR. PTO.]]=$B21,IF(DATOS_[[Check Periodo Ref.]:[Check Periodo Ref.]]="Dentro",DATOS_[Conc.Sal.23]))))), 0)</f>
        <v>0</v>
      </c>
      <c r="AC22" s="209" t="n">
        <f aca="false" t="array" ref="AC22:AC22">IFERROR( AVERAGE((IF(DATOS_[[Sexo]:[Sexo]]=$B22,IF(DATOS_[[AGRUP. VALOR. PTO.]:[AGRUP. VALOR. PTO.]]=$B21,IF(DATOS_[[Check Periodo Ref.]:[Check Periodo Ref.]]="Dentro",DATOS_[Conc.Sal.24]))))), 0)</f>
        <v>0</v>
      </c>
      <c r="AD22" s="209" t="n">
        <f aca="false" t="array" ref="AD22:AD22">IFERROR( AVERAGE((IF(DATOS_[[Sexo]:[Sexo]]=$B22,IF(DATOS_[[AGRUP. VALOR. PTO.]:[AGRUP. VALOR. PTO.]]=$B21,IF(DATOS_[[Check Periodo Ref.]:[Check Periodo Ref.]]="Dentro",DATOS_[Conc.Sal.25]))))), 0)</f>
        <v>0</v>
      </c>
      <c r="AE22" s="209" t="n">
        <f aca="false" t="array" ref="AE22:AE22">IFERROR( AVERAGE((IF(DATOS_[[Sexo]:[Sexo]]=$B22,IF(DATOS_[[AGRUP. VALOR. PTO.]:[AGRUP. VALOR. PTO.]]=$B21,IF(DATOS_[[Check Periodo Ref.]:[Check Periodo Ref.]]="Dentro",DATOS_[Conc.Sal.26]))))), 0)</f>
        <v>0</v>
      </c>
      <c r="AF22" s="209" t="n">
        <f aca="false" t="array" ref="AF22:AF22">IFERROR( AVERAGE((IF(DATOS_[[Sexo]:[Sexo]]=$B22,IF(DATOS_[[AGRUP. VALOR. PTO.]:[AGRUP. VALOR. PTO.]]=$B21,IF(DATOS_[[Check Periodo Ref.]:[Check Periodo Ref.]]="Dentro",DATOS_[Conc.Sal.27]))))), 0)</f>
        <v>0</v>
      </c>
      <c r="AG22" s="209" t="n">
        <f aca="false" t="array" ref="AG22:AG22">IFERROR( AVERAGE((IF(DATOS_[[Sexo]:[Sexo]]=$B22,IF(DATOS_[[AGRUP. VALOR. PTO.]:[AGRUP. VALOR. PTO.]]=$B21,IF(DATOS_[[Check Periodo Ref.]:[Check Periodo Ref.]]="Dentro",DATOS_[Conc.Sal.28]))))), 0)</f>
        <v>0</v>
      </c>
      <c r="AH22" s="209" t="n">
        <f aca="false" t="array" ref="AH22:AH22">IFERROR( AVERAGE((IF(DATOS_[[Sexo]:[Sexo]]=$B22,IF(DATOS_[[AGRUP. VALOR. PTO.]:[AGRUP. VALOR. PTO.]]=$B21,IF(DATOS_[[Check Periodo Ref.]:[Check Periodo Ref.]]="Dentro",DATOS_[Conc.Sal.29]))))), 0)</f>
        <v>0</v>
      </c>
      <c r="AI22" s="209" t="n">
        <f aca="false" t="array" ref="AI22:AI22">IFERROR( AVERAGE((IF(DATOS_[[Sexo]:[Sexo]]=$B22,IF(DATOS_[[AGRUP. VALOR. PTO.]:[AGRUP. VALOR. PTO.]]=$B21,IF(DATOS_[[Check Periodo Ref.]:[Check Periodo Ref.]]="Dentro",DATOS_[Conc.Sal.30]))))), 0)</f>
        <v>0</v>
      </c>
      <c r="AJ22" s="210" t="n">
        <f aca="false" t="array" ref="AJ22:AJ22">IFERROR( AVERAGE(IF(DATOS_[Sexo]=$B22,IF(DATOS_[AGRUP. VALOR. PTO.]=$B21,IF(DATOS_[Check Periodo Ref.]="Dentro",DATOS_[Tot COMPL.SAL Ef],0)))), 0)</f>
        <v>0</v>
      </c>
      <c r="AK22" s="211" t="n">
        <f aca="false" t="array" ref="AK22:AK22">IFERROR( AVERAGE(IF(DATOS_[Sexo]=$B22,IF(DATOS_[AGRUP. VALOR. PTO.]=$B21,IF(DATOS_[Check Periodo Ref.]="Dentro",DATOS_[TOTAL SALARIO Ef],0)))), 0)</f>
        <v>0</v>
      </c>
      <c r="AL22" s="212" t="n">
        <f aca="false" t="array" ref="AL22:AL22">IFERROR( AVERAGE((IF(DATOS_[[Sexo]:[Sexo]]=$B22,IF(DATOS_[[AGRUP. VALOR. PTO.]:[AGRUP. VALOR. PTO.]]=$B21,IF(DATOS_[[Check Periodo Ref.]:[Check Periodo Ref.]]="Dentro",DATOS_[C.Extra.01]))))), 0)</f>
        <v>0</v>
      </c>
      <c r="AM22" s="212" t="n">
        <f aca="false" t="array" ref="AM22:AM22">IFERROR( AVERAGE((IF(DATOS_[[Sexo]:[Sexo]]=$B22,IF(DATOS_[[AGRUP. VALOR. PTO.]:[AGRUP. VALOR. PTO.]]=$B21,IF(DATOS_[[Check Periodo Ref.]:[Check Periodo Ref.]]="Dentro",DATOS_[C.Extra.02]))))), 0)</f>
        <v>0</v>
      </c>
      <c r="AN22" s="212" t="n">
        <f aca="false" t="array" ref="AN22:AN22">IFERROR( AVERAGE((IF(DATOS_[[Sexo]:[Sexo]]=$B22,IF(DATOS_[[AGRUP. VALOR. PTO.]:[AGRUP. VALOR. PTO.]]=$B21,IF(DATOS_[[Check Periodo Ref.]:[Check Periodo Ref.]]="Dentro",DATOS_[C.Extra.03]))))), 0)</f>
        <v>0</v>
      </c>
      <c r="AO22" s="212" t="n">
        <f aca="false" t="array" ref="AO22:AO22">IFERROR( AVERAGE((IF(DATOS_[[Sexo]:[Sexo]]=$B22,IF(DATOS_[[AGRUP. VALOR. PTO.]:[AGRUP. VALOR. PTO.]]=$B21,IF(DATOS_[[Check Periodo Ref.]:[Check Periodo Ref.]]="Dentro",DATOS_[C.Extra.04]))))), 0)</f>
        <v>0</v>
      </c>
      <c r="AP22" s="212" t="n">
        <f aca="false" t="array" ref="AP22:AP22">IFERROR( AVERAGE((IF(DATOS_[[Sexo]:[Sexo]]=$B22,IF(DATOS_[[AGRUP. VALOR. PTO.]:[AGRUP. VALOR. PTO.]]=$B21,IF(DATOS_[[Check Periodo Ref.]:[Check Periodo Ref.]]="Dentro",DATOS_[C.Extra.05]))))), 0)</f>
        <v>0</v>
      </c>
      <c r="AQ22" s="213" t="n">
        <f aca="false" t="array" ref="AQ22:AQ22">IFERROR( AVERAGE(IF(DATOS_[Sexo]=$B22,IF(DATOS_[AGRUP. VALOR. PTO.]=$B21,IF(DATOS_[Check Periodo Ref.]="Dentro",DATOS_[Tot Extrasalarial Ef],0)))), 0)</f>
        <v>0</v>
      </c>
      <c r="AR22" s="214" t="n">
        <f aca="false" t="array" ref="AR22:AR22">IFERROR( AVERAGE(IF(DATOS_[Sexo]=$B22,IF(DATOS_[AGRUP. VALOR. PTO.]=$B21,IF(DATOS_[Check Periodo Ref.]="Dentro",DATOS_[TOTAL Retrib Ef],0)))), 0)</f>
        <v>0</v>
      </c>
    </row>
    <row r="23" customFormat="false" ht="14.25" hidden="false" customHeight="false" outlineLevel="0" collapsed="false">
      <c r="A23" s="191" t="str">
        <f aca="false">+A22</f>
        <v>[ocultar]</v>
      </c>
      <c r="B23" s="205" t="s">
        <v>372</v>
      </c>
      <c r="C23" s="206" t="n">
        <f aca="false" t="array" ref="C23:C23">SUM(IF($B23=DATOS_[Sexo], IF($B21=DATOS_[AGRUP. VALOR. PTO.], IF("Dentro"=DATOS_[Check Periodo Ref.], 1/(COUNTIFS(DATOS_[Sexo],$B23,DATOS_[AGRUP. VALOR. PTO.],$B21,DATOS_[Check Periodo Ref.],"Dentro",DATOS_[id],DATOS_[id]))))))</f>
        <v>0</v>
      </c>
      <c r="D23" s="207" t="n">
        <f aca="false">COUNTIFS(DATOS_[AGRUP. VALOR. PTO.],$B21,DATOS_[Sexo],$B23,DATOS_[Check Periodo Ref.],"Dentro")</f>
        <v>0</v>
      </c>
      <c r="E23" s="208" t="n">
        <f aca="false" t="array" ref="E23:E23">IFERROR( AVERAGE(IF(DATOS_[Sexo]=$B23,IF(DATOS_[AGRUP. VALOR. PTO.]=$B21,IF(DATOS_[Check Periodo Ref.]="Dentro",DATOS_[SALARIO BASE Ef],0)))), 0)</f>
        <v>0</v>
      </c>
      <c r="F23" s="209" t="n">
        <f aca="false" t="array" ref="F23:F23">IFERROR( AVERAGE((IF(DATOS_[[Sexo]:[Sexo]]=$B23,IF(DATOS_[[AGRUP. VALOR. PTO.]:[AGRUP. VALOR. PTO.]]=$B21,IF(DATOS_[[Check Periodo Ref.]:[Check Periodo Ref.]]="Dentro",DATOS_[Conc.Sal.01]))))), 0)</f>
        <v>0</v>
      </c>
      <c r="G23" s="209" t="n">
        <f aca="false" t="array" ref="G23:G23">IFERROR( AVERAGE((IF(DATOS_[[Sexo]:[Sexo]]=$B23,IF(DATOS_[[AGRUP. VALOR. PTO.]:[AGRUP. VALOR. PTO.]]=$B21,IF(DATOS_[[Check Periodo Ref.]:[Check Periodo Ref.]]="Dentro",DATOS_[Conc.Sal.02]))))), 0)</f>
        <v>0</v>
      </c>
      <c r="H23" s="209" t="n">
        <f aca="false" t="array" ref="H23:H23">IFERROR( AVERAGE((IF(DATOS_[[Sexo]:[Sexo]]=$B23,IF(DATOS_[[AGRUP. VALOR. PTO.]:[AGRUP. VALOR. PTO.]]=$B21,IF(DATOS_[[Check Periodo Ref.]:[Check Periodo Ref.]]="Dentro",DATOS_[Conc.Sal.03]))))), 0)</f>
        <v>0</v>
      </c>
      <c r="I23" s="209" t="n">
        <f aca="false" t="array" ref="I23:I23">IFERROR( AVERAGE((IF(DATOS_[[Sexo]:[Sexo]]=$B23,IF(DATOS_[[AGRUP. VALOR. PTO.]:[AGRUP. VALOR. PTO.]]=$B21,IF(DATOS_[[Check Periodo Ref.]:[Check Periodo Ref.]]="Dentro",DATOS_[Conc.Sal.04]))))), 0)</f>
        <v>0</v>
      </c>
      <c r="J23" s="209" t="n">
        <f aca="false" t="array" ref="J23:J23">IFERROR( AVERAGE((IF(DATOS_[[Sexo]:[Sexo]]=$B23,IF(DATOS_[[AGRUP. VALOR. PTO.]:[AGRUP. VALOR. PTO.]]=$B21,IF(DATOS_[[Check Periodo Ref.]:[Check Periodo Ref.]]="Dentro",DATOS_[Conc.Sal.05]))))), 0)</f>
        <v>0</v>
      </c>
      <c r="K23" s="209" t="n">
        <f aca="false" t="array" ref="K23:K23">IFERROR( AVERAGE((IF(DATOS_[[Sexo]:[Sexo]]=$B23,IF(DATOS_[[AGRUP. VALOR. PTO.]:[AGRUP. VALOR. PTO.]]=$B21,IF(DATOS_[[Check Periodo Ref.]:[Check Periodo Ref.]]="Dentro",DATOS_[Conc.Sal.06]))))), 0)</f>
        <v>0</v>
      </c>
      <c r="L23" s="209" t="n">
        <f aca="false" t="array" ref="L23:L23">IFERROR( AVERAGE((IF(DATOS_[[Sexo]:[Sexo]]=$B23,IF(DATOS_[[AGRUP. VALOR. PTO.]:[AGRUP. VALOR. PTO.]]=$B21,IF(DATOS_[[Check Periodo Ref.]:[Check Periodo Ref.]]="Dentro",DATOS_[Conc.Sal.07]))))), 0)</f>
        <v>0</v>
      </c>
      <c r="M23" s="209" t="n">
        <f aca="false" t="array" ref="M23:M23">IFERROR( AVERAGE((IF(DATOS_[[Sexo]:[Sexo]]=$B23,IF(DATOS_[[AGRUP. VALOR. PTO.]:[AGRUP. VALOR. PTO.]]=$B21,IF(DATOS_[[Check Periodo Ref.]:[Check Periodo Ref.]]="Dentro",DATOS_[Conc.Sal.08]))))), 0)</f>
        <v>0</v>
      </c>
      <c r="N23" s="209" t="n">
        <f aca="false" t="array" ref="N23:N23">IFERROR( AVERAGE((IF(DATOS_[[Sexo]:[Sexo]]=$B23,IF(DATOS_[[AGRUP. VALOR. PTO.]:[AGRUP. VALOR. PTO.]]=$B21,IF(DATOS_[[Check Periodo Ref.]:[Check Periodo Ref.]]="Dentro",DATOS_[Conc.Sal.09]))))), 0)</f>
        <v>0</v>
      </c>
      <c r="O23" s="209" t="n">
        <f aca="false" t="array" ref="O23:O23">IFERROR( AVERAGE((IF(DATOS_[[Sexo]:[Sexo]]=$B23,IF(DATOS_[[AGRUP. VALOR. PTO.]:[AGRUP. VALOR. PTO.]]=$B21,IF(DATOS_[[Check Periodo Ref.]:[Check Periodo Ref.]]="Dentro",DATOS_[Conc.Sal.10]))))), 0)</f>
        <v>0</v>
      </c>
      <c r="P23" s="209" t="n">
        <f aca="false" t="array" ref="P23:P23">IFERROR( AVERAGE((IF(DATOS_[[Sexo]:[Sexo]]=$B23,IF(DATOS_[[AGRUP. VALOR. PTO.]:[AGRUP. VALOR. PTO.]]=$B21,IF(DATOS_[[Check Periodo Ref.]:[Check Periodo Ref.]]="Dentro",DATOS_[Conc.Sal.11]))))), 0)</f>
        <v>0</v>
      </c>
      <c r="Q23" s="209" t="n">
        <f aca="false" t="array" ref="Q23:Q23">IFERROR( AVERAGE((IF(DATOS_[[Sexo]:[Sexo]]=$B23,IF(DATOS_[[AGRUP. VALOR. PTO.]:[AGRUP. VALOR. PTO.]]=$B21,IF(DATOS_[[Check Periodo Ref.]:[Check Periodo Ref.]]="Dentro",DATOS_[Conc.Sal.12]))))), 0)</f>
        <v>0</v>
      </c>
      <c r="R23" s="209" t="n">
        <f aca="false" t="array" ref="R23:R23">IFERROR( AVERAGE((IF(DATOS_[[Sexo]:[Sexo]]=$B23,IF(DATOS_[[AGRUP. VALOR. PTO.]:[AGRUP. VALOR. PTO.]]=$B21,IF(DATOS_[[Check Periodo Ref.]:[Check Periodo Ref.]]="Dentro",DATOS_[Conc.Sal.13]))))), 0)</f>
        <v>0</v>
      </c>
      <c r="S23" s="209" t="n">
        <f aca="false" t="array" ref="S23:S23">IFERROR( AVERAGE((IF(DATOS_[[Sexo]:[Sexo]]=$B23,IF(DATOS_[[AGRUP. VALOR. PTO.]:[AGRUP. VALOR. PTO.]]=$B21,IF(DATOS_[[Check Periodo Ref.]:[Check Periodo Ref.]]="Dentro",DATOS_[Conc.Sal.14]))))), 0)</f>
        <v>0</v>
      </c>
      <c r="T23" s="209" t="n">
        <f aca="false" t="array" ref="T23:T23">IFERROR( AVERAGE((IF(DATOS_[[Sexo]:[Sexo]]=$B23,IF(DATOS_[[AGRUP. VALOR. PTO.]:[AGRUP. VALOR. PTO.]]=$B21,IF(DATOS_[[Check Periodo Ref.]:[Check Periodo Ref.]]="Dentro",DATOS_[Conc.Sal.15]))))), 0)</f>
        <v>0</v>
      </c>
      <c r="U23" s="209" t="n">
        <f aca="false" t="array" ref="U23:U23">IFERROR( AVERAGE((IF(DATOS_[[Sexo]:[Sexo]]=$B23,IF(DATOS_[[AGRUP. VALOR. PTO.]:[AGRUP. VALOR. PTO.]]=$B21,IF(DATOS_[[Check Periodo Ref.]:[Check Periodo Ref.]]="Dentro",DATOS_[Conc.Sal.16]))))), 0)</f>
        <v>0</v>
      </c>
      <c r="V23" s="209" t="n">
        <f aca="false" t="array" ref="V23:V23">IFERROR( AVERAGE((IF(DATOS_[[Sexo]:[Sexo]]=$B23,IF(DATOS_[[AGRUP. VALOR. PTO.]:[AGRUP. VALOR. PTO.]]=$B21,IF(DATOS_[[Check Periodo Ref.]:[Check Periodo Ref.]]="Dentro",DATOS_[Conc.Sal.17]))))), 0)</f>
        <v>0</v>
      </c>
      <c r="W23" s="209" t="n">
        <f aca="false" t="array" ref="W23:W23">IFERROR( AVERAGE((IF(DATOS_[[Sexo]:[Sexo]]=$B23,IF(DATOS_[[AGRUP. VALOR. PTO.]:[AGRUP. VALOR. PTO.]]=$B21,IF(DATOS_[[Check Periodo Ref.]:[Check Periodo Ref.]]="Dentro",DATOS_[Conc.Sal.18]))))), 0)</f>
        <v>0</v>
      </c>
      <c r="X23" s="209" t="n">
        <f aca="false" t="array" ref="X23:X23">IFERROR( AVERAGE((IF(DATOS_[[Sexo]:[Sexo]]=$B23,IF(DATOS_[[AGRUP. VALOR. PTO.]:[AGRUP. VALOR. PTO.]]=$B21,IF(DATOS_[[Check Periodo Ref.]:[Check Periodo Ref.]]="Dentro",DATOS_[Conc.Sal.19]))))), 0)</f>
        <v>0</v>
      </c>
      <c r="Y23" s="209" t="n">
        <f aca="false" t="array" ref="Y23:Y23">IFERROR( AVERAGE((IF(DATOS_[[Sexo]:[Sexo]]=$B23,IF(DATOS_[[AGRUP. VALOR. PTO.]:[AGRUP. VALOR. PTO.]]=$B21,IF(DATOS_[[Check Periodo Ref.]:[Check Periodo Ref.]]="Dentro",DATOS_[Conc.Sal.20]))))), 0)</f>
        <v>0</v>
      </c>
      <c r="Z23" s="209" t="n">
        <f aca="false" t="array" ref="Z23:Z23">IFERROR( AVERAGE((IF(DATOS_[[Sexo]:[Sexo]]=$B23,IF(DATOS_[[AGRUP. VALOR. PTO.]:[AGRUP. VALOR. PTO.]]=$B21,IF(DATOS_[[Check Periodo Ref.]:[Check Periodo Ref.]]="Dentro",DATOS_[Conc.Sal.21]))))), 0)</f>
        <v>0</v>
      </c>
      <c r="AA23" s="209" t="n">
        <f aca="false" t="array" ref="AA23:AA23">IFERROR( AVERAGE((IF(DATOS_[[Sexo]:[Sexo]]=$B23,IF(DATOS_[[AGRUP. VALOR. PTO.]:[AGRUP. VALOR. PTO.]]=$B21,IF(DATOS_[[Check Periodo Ref.]:[Check Periodo Ref.]]="Dentro",DATOS_[Conc.Sal.22]))))), 0)</f>
        <v>0</v>
      </c>
      <c r="AB23" s="209" t="n">
        <f aca="false" t="array" ref="AB23:AB23">IFERROR( AVERAGE((IF(DATOS_[[Sexo]:[Sexo]]=$B23,IF(DATOS_[[AGRUP. VALOR. PTO.]:[AGRUP. VALOR. PTO.]]=$B21,IF(DATOS_[[Check Periodo Ref.]:[Check Periodo Ref.]]="Dentro",DATOS_[Conc.Sal.23]))))), 0)</f>
        <v>0</v>
      </c>
      <c r="AC23" s="209" t="n">
        <f aca="false" t="array" ref="AC23:AC23">IFERROR( AVERAGE((IF(DATOS_[[Sexo]:[Sexo]]=$B23,IF(DATOS_[[AGRUP. VALOR. PTO.]:[AGRUP. VALOR. PTO.]]=$B21,IF(DATOS_[[Check Periodo Ref.]:[Check Periodo Ref.]]="Dentro",DATOS_[Conc.Sal.24]))))), 0)</f>
        <v>0</v>
      </c>
      <c r="AD23" s="209" t="n">
        <f aca="false" t="array" ref="AD23:AD23">IFERROR( AVERAGE((IF(DATOS_[[Sexo]:[Sexo]]=$B23,IF(DATOS_[[AGRUP. VALOR. PTO.]:[AGRUP. VALOR. PTO.]]=$B21,IF(DATOS_[[Check Periodo Ref.]:[Check Periodo Ref.]]="Dentro",DATOS_[Conc.Sal.25]))))), 0)</f>
        <v>0</v>
      </c>
      <c r="AE23" s="209" t="n">
        <f aca="false" t="array" ref="AE23:AE23">IFERROR( AVERAGE((IF(DATOS_[[Sexo]:[Sexo]]=$B23,IF(DATOS_[[AGRUP. VALOR. PTO.]:[AGRUP. VALOR. PTO.]]=$B21,IF(DATOS_[[Check Periodo Ref.]:[Check Periodo Ref.]]="Dentro",DATOS_[Conc.Sal.26]))))), 0)</f>
        <v>0</v>
      </c>
      <c r="AF23" s="209" t="n">
        <f aca="false" t="array" ref="AF23:AF23">IFERROR( AVERAGE((IF(DATOS_[[Sexo]:[Sexo]]=$B23,IF(DATOS_[[AGRUP. VALOR. PTO.]:[AGRUP. VALOR. PTO.]]=$B21,IF(DATOS_[[Check Periodo Ref.]:[Check Periodo Ref.]]="Dentro",DATOS_[Conc.Sal.27]))))), 0)</f>
        <v>0</v>
      </c>
      <c r="AG23" s="209" t="n">
        <f aca="false" t="array" ref="AG23:AG23">IFERROR( AVERAGE((IF(DATOS_[[Sexo]:[Sexo]]=$B23,IF(DATOS_[[AGRUP. VALOR. PTO.]:[AGRUP. VALOR. PTO.]]=$B21,IF(DATOS_[[Check Periodo Ref.]:[Check Periodo Ref.]]="Dentro",DATOS_[Conc.Sal.28]))))), 0)</f>
        <v>0</v>
      </c>
      <c r="AH23" s="209" t="n">
        <f aca="false" t="array" ref="AH23:AH23">IFERROR( AVERAGE((IF(DATOS_[[Sexo]:[Sexo]]=$B23,IF(DATOS_[[AGRUP. VALOR. PTO.]:[AGRUP. VALOR. PTO.]]=$B21,IF(DATOS_[[Check Periodo Ref.]:[Check Periodo Ref.]]="Dentro",DATOS_[Conc.Sal.29]))))), 0)</f>
        <v>0</v>
      </c>
      <c r="AI23" s="209" t="n">
        <f aca="false" t="array" ref="AI23:AI23">IFERROR( AVERAGE((IF(DATOS_[[Sexo]:[Sexo]]=$B23,IF(DATOS_[[AGRUP. VALOR. PTO.]:[AGRUP. VALOR. PTO.]]=$B21,IF(DATOS_[[Check Periodo Ref.]:[Check Periodo Ref.]]="Dentro",DATOS_[Conc.Sal.30]))))), 0)</f>
        <v>0</v>
      </c>
      <c r="AJ23" s="210" t="n">
        <f aca="false" t="array" ref="AJ23:AJ23">IFERROR( AVERAGE(IF(DATOS_[Sexo]=$B23,IF(DATOS_[AGRUP. VALOR. PTO.]=$B21,IF(DATOS_[Check Periodo Ref.]="Dentro",DATOS_[Tot COMPL.SAL Ef],0)))), 0)</f>
        <v>0</v>
      </c>
      <c r="AK23" s="211" t="n">
        <f aca="false" t="array" ref="AK23:AK23">IFERROR( AVERAGE(IF(DATOS_[Sexo]=$B23,IF(DATOS_[AGRUP. VALOR. PTO.]=$B21,IF(DATOS_[Check Periodo Ref.]="Dentro",DATOS_[TOTAL SALARIO Ef],0)))), 0)</f>
        <v>0</v>
      </c>
      <c r="AL23" s="212" t="n">
        <f aca="false" t="array" ref="AL23:AL23">IFERROR( AVERAGE((IF(DATOS_[[Sexo]:[Sexo]]=$B23,IF(DATOS_[[AGRUP. VALOR. PTO.]:[AGRUP. VALOR. PTO.]]=$B21,IF(DATOS_[[Check Periodo Ref.]:[Check Periodo Ref.]]="Dentro",DATOS_[C.Extra.01]))))), 0)</f>
        <v>0</v>
      </c>
      <c r="AM23" s="212" t="n">
        <f aca="false" t="array" ref="AM23:AM23">IFERROR( AVERAGE((IF(DATOS_[[Sexo]:[Sexo]]=$B23,IF(DATOS_[[AGRUP. VALOR. PTO.]:[AGRUP. VALOR. PTO.]]=$B21,IF(DATOS_[[Check Periodo Ref.]:[Check Periodo Ref.]]="Dentro",DATOS_[C.Extra.02]))))), 0)</f>
        <v>0</v>
      </c>
      <c r="AN23" s="212" t="n">
        <f aca="false" t="array" ref="AN23:AN23">IFERROR( AVERAGE((IF(DATOS_[[Sexo]:[Sexo]]=$B23,IF(DATOS_[[AGRUP. VALOR. PTO.]:[AGRUP. VALOR. PTO.]]=$B21,IF(DATOS_[[Check Periodo Ref.]:[Check Periodo Ref.]]="Dentro",DATOS_[C.Extra.03]))))), 0)</f>
        <v>0</v>
      </c>
      <c r="AO23" s="212" t="n">
        <f aca="false" t="array" ref="AO23:AO23">IFERROR( AVERAGE((IF(DATOS_[[Sexo]:[Sexo]]=$B23,IF(DATOS_[[AGRUP. VALOR. PTO.]:[AGRUP. VALOR. PTO.]]=$B21,IF(DATOS_[[Check Periodo Ref.]:[Check Periodo Ref.]]="Dentro",DATOS_[C.Extra.04]))))), 0)</f>
        <v>0</v>
      </c>
      <c r="AP23" s="212" t="n">
        <f aca="false" t="array" ref="AP23:AP23">IFERROR( AVERAGE((IF(DATOS_[[Sexo]:[Sexo]]=$B23,IF(DATOS_[[AGRUP. VALOR. PTO.]:[AGRUP. VALOR. PTO.]]=$B21,IF(DATOS_[[Check Periodo Ref.]:[Check Periodo Ref.]]="Dentro",DATOS_[C.Extra.05]))))), 0)</f>
        <v>0</v>
      </c>
      <c r="AQ23" s="213" t="n">
        <f aca="false" t="array" ref="AQ23:AQ23">IFERROR( AVERAGE(IF(DATOS_[Sexo]=$B23,IF(DATOS_[AGRUP. VALOR. PTO.]=$B21,IF(DATOS_[Check Periodo Ref.]="Dentro",DATOS_[Tot Extrasalarial Ef],0)))), 0)</f>
        <v>0</v>
      </c>
      <c r="AR23" s="214" t="n">
        <f aca="false" t="array" ref="AR23:AR23">IFERROR( AVERAGE(IF(DATOS_[Sexo]=$B23,IF(DATOS_[AGRUP. VALOR. PTO.]=$B21,IF(DATOS_[Check Periodo Ref.]="Dentro",DATOS_[TOTAL Retrib Ef],0)))), 0)</f>
        <v>0</v>
      </c>
    </row>
    <row r="24" customFormat="false" ht="15.75" hidden="false" customHeight="false" outlineLevel="0" collapsed="false">
      <c r="A24" s="191" t="str">
        <f aca="false">+A25</f>
        <v>[ocultar]</v>
      </c>
      <c r="B24" s="192" t="s">
        <v>180</v>
      </c>
      <c r="C24" s="193"/>
      <c r="D24" s="194"/>
      <c r="E24" s="195" t="str">
        <f aca="false">IFERROR((E25-E26)/E25,"")</f>
        <v/>
      </c>
      <c r="F24" s="196" t="str">
        <f aca="false">IFERROR((F25-F26)/F25,"")</f>
        <v/>
      </c>
      <c r="G24" s="197" t="str">
        <f aca="false">IFERROR((G25-G26)/G25,"")</f>
        <v/>
      </c>
      <c r="H24" s="197" t="str">
        <f aca="false">IFERROR((H25-H26)/H25,"")</f>
        <v/>
      </c>
      <c r="I24" s="197" t="str">
        <f aca="false">IFERROR((I25-I26)/I25,"")</f>
        <v/>
      </c>
      <c r="J24" s="198" t="str">
        <f aca="false">IFERROR((J25-J26)/J25,"")</f>
        <v/>
      </c>
      <c r="K24" s="199" t="str">
        <f aca="false">IFERROR((K25-K26)/K25,"")</f>
        <v/>
      </c>
      <c r="L24" s="199" t="str">
        <f aca="false">IFERROR((L25-L26)/L25,"")</f>
        <v/>
      </c>
      <c r="M24" s="199" t="str">
        <f aca="false">IFERROR((M25-M26)/M25,"")</f>
        <v/>
      </c>
      <c r="N24" s="199" t="str">
        <f aca="false">IFERROR((N25-N26)/N25,"")</f>
        <v/>
      </c>
      <c r="O24" s="199" t="str">
        <f aca="false">IFERROR((O25-O26)/O25,"")</f>
        <v/>
      </c>
      <c r="P24" s="199" t="str">
        <f aca="false">IFERROR((P25-P26)/P25,"")</f>
        <v/>
      </c>
      <c r="Q24" s="199" t="str">
        <f aca="false">IFERROR((Q25-Q26)/Q25,"")</f>
        <v/>
      </c>
      <c r="R24" s="199" t="str">
        <f aca="false">IFERROR((R25-R26)/R25,"")</f>
        <v/>
      </c>
      <c r="S24" s="199" t="str">
        <f aca="false">IFERROR((S25-S26)/S25,"")</f>
        <v/>
      </c>
      <c r="T24" s="199" t="str">
        <f aca="false">IFERROR((T25-T26)/T25,"")</f>
        <v/>
      </c>
      <c r="U24" s="199" t="str">
        <f aca="false">IFERROR((U25-U26)/U25,"")</f>
        <v/>
      </c>
      <c r="V24" s="198" t="str">
        <f aca="false">IFERROR((V25-V26)/V25,"")</f>
        <v/>
      </c>
      <c r="W24" s="198" t="str">
        <f aca="false">IFERROR((W25-W26)/W25,"")</f>
        <v/>
      </c>
      <c r="X24" s="198" t="str">
        <f aca="false">IFERROR((X25-X26)/X25,"")</f>
        <v/>
      </c>
      <c r="Y24" s="198" t="str">
        <f aca="false">IFERROR((Y25-Y26)/Y25,"")</f>
        <v/>
      </c>
      <c r="Z24" s="198" t="str">
        <f aca="false">IFERROR((Z25-Z26)/Z25,"")</f>
        <v/>
      </c>
      <c r="AA24" s="198" t="str">
        <f aca="false">IFERROR((AA25-AA26)/AA25,"")</f>
        <v/>
      </c>
      <c r="AB24" s="198" t="str">
        <f aca="false">IFERROR((AB25-AB26)/AB25,"")</f>
        <v/>
      </c>
      <c r="AC24" s="198" t="str">
        <f aca="false">IFERROR((AC25-AC26)/AC25,"")</f>
        <v/>
      </c>
      <c r="AD24" s="198" t="str">
        <f aca="false">IFERROR((AD25-AD26)/AD25,"")</f>
        <v/>
      </c>
      <c r="AE24" s="198" t="str">
        <f aca="false">IFERROR((AE25-AE26)/AE25,"")</f>
        <v/>
      </c>
      <c r="AF24" s="198" t="str">
        <f aca="false">IFERROR((AF25-AF26)/AF25,"")</f>
        <v/>
      </c>
      <c r="AG24" s="198" t="str">
        <f aca="false">IFERROR((AG25-AG26)/AG25,"")</f>
        <v/>
      </c>
      <c r="AH24" s="198" t="str">
        <f aca="false">IFERROR((AH25-AH26)/AH25,"")</f>
        <v/>
      </c>
      <c r="AI24" s="198" t="str">
        <f aca="false">IFERROR((AI25-AI26)/AI25,"")</f>
        <v/>
      </c>
      <c r="AJ24" s="200" t="str">
        <f aca="false">IFERROR((AJ25-AJ26)/AJ25,"")</f>
        <v/>
      </c>
      <c r="AK24" s="201" t="str">
        <f aca="false">IFERROR((AK25-AK26)/AK25,"")</f>
        <v/>
      </c>
      <c r="AL24" s="202" t="str">
        <f aca="false">IFERROR((AL25-AL26)/AL25,"")</f>
        <v/>
      </c>
      <c r="AM24" s="202" t="str">
        <f aca="false">IFERROR((AM25-AM26)/AM25,"")</f>
        <v/>
      </c>
      <c r="AN24" s="202" t="str">
        <f aca="false">IFERROR((AN25-AN26)/AN25,"")</f>
        <v/>
      </c>
      <c r="AO24" s="202" t="str">
        <f aca="false">IFERROR((AO25-AO26)/AO25,"")</f>
        <v/>
      </c>
      <c r="AP24" s="202" t="str">
        <f aca="false">IFERROR((AP25-AP26)/AP25,"")</f>
        <v/>
      </c>
      <c r="AQ24" s="203" t="str">
        <f aca="false">IFERROR((AQ25-AQ26)/AQ25,"")</f>
        <v/>
      </c>
      <c r="AR24" s="204" t="str">
        <f aca="false">IFERROR((AR25-AR26)/AR25,"")</f>
        <v/>
      </c>
    </row>
    <row r="25" customFormat="false" ht="14.25" hidden="false" customHeight="false" outlineLevel="0" collapsed="false">
      <c r="A25" s="191" t="str">
        <f aca="false">+IF(C25+C26=0,"[ocultar]","")</f>
        <v>[ocultar]</v>
      </c>
      <c r="B25" s="205" t="s">
        <v>371</v>
      </c>
      <c r="C25" s="206" t="n">
        <f aca="false" t="array" ref="C25:C25">SUM(IF($B25=DATOS_[Sexo], IF($B24=DATOS_[AGRUP. VALOR. PTO.], IF("Dentro"=DATOS_[Check Periodo Ref.], 1/(COUNTIFS(DATOS_[Sexo],$B25,DATOS_[AGRUP. VALOR. PTO.],$B24,DATOS_[Check Periodo Ref.],"Dentro",DATOS_[id],DATOS_[id]))))))</f>
        <v>0</v>
      </c>
      <c r="D25" s="207" t="n">
        <f aca="false">COUNTIFS(DATOS_[AGRUP. VALOR. PTO.],$B24,DATOS_[Sexo],$B25,DATOS_[Check Periodo Ref.],"Dentro")</f>
        <v>0</v>
      </c>
      <c r="E25" s="208" t="n">
        <f aca="false" t="array" ref="E25:E25">IFERROR( AVERAGE(IF(DATOS_[Sexo]=$B25,IF(DATOS_[AGRUP. VALOR. PTO.]=$B24,IF(DATOS_[Check Periodo Ref.]="Dentro",DATOS_[SALARIO BASE Ef],0)))), 0)</f>
        <v>0</v>
      </c>
      <c r="F25" s="209" t="n">
        <f aca="false" t="array" ref="F25:F25">IFERROR( AVERAGE((IF(DATOS_[[Sexo]:[Sexo]]=$B25,IF(DATOS_[[AGRUP. VALOR. PTO.]:[AGRUP. VALOR. PTO.]]=$B24,IF(DATOS_[[Check Periodo Ref.]:[Check Periodo Ref.]]="Dentro",DATOS_[Conc.Sal.01]))))), 0)</f>
        <v>0</v>
      </c>
      <c r="G25" s="209" t="n">
        <f aca="false" t="array" ref="G25:G25">IFERROR( AVERAGE((IF(DATOS_[[Sexo]:[Sexo]]=$B25,IF(DATOS_[[AGRUP. VALOR. PTO.]:[AGRUP. VALOR. PTO.]]=$B24,IF(DATOS_[[Check Periodo Ref.]:[Check Periodo Ref.]]="Dentro",DATOS_[Conc.Sal.02]))))), 0)</f>
        <v>0</v>
      </c>
      <c r="H25" s="209" t="n">
        <f aca="false" t="array" ref="H25:H25">IFERROR( AVERAGE((IF(DATOS_[[Sexo]:[Sexo]]=$B25,IF(DATOS_[[AGRUP. VALOR. PTO.]:[AGRUP. VALOR. PTO.]]=$B24,IF(DATOS_[[Check Periodo Ref.]:[Check Periodo Ref.]]="Dentro",DATOS_[Conc.Sal.03]))))), 0)</f>
        <v>0</v>
      </c>
      <c r="I25" s="209" t="n">
        <f aca="false" t="array" ref="I25:I25">IFERROR( AVERAGE((IF(DATOS_[[Sexo]:[Sexo]]=$B25,IF(DATOS_[[AGRUP. VALOR. PTO.]:[AGRUP. VALOR. PTO.]]=$B24,IF(DATOS_[[Check Periodo Ref.]:[Check Periodo Ref.]]="Dentro",DATOS_[Conc.Sal.04]))))), 0)</f>
        <v>0</v>
      </c>
      <c r="J25" s="209" t="n">
        <f aca="false" t="array" ref="J25:J25">IFERROR( AVERAGE((IF(DATOS_[[Sexo]:[Sexo]]=$B25,IF(DATOS_[[AGRUP. VALOR. PTO.]:[AGRUP. VALOR. PTO.]]=$B24,IF(DATOS_[[Check Periodo Ref.]:[Check Periodo Ref.]]="Dentro",DATOS_[Conc.Sal.05]))))), 0)</f>
        <v>0</v>
      </c>
      <c r="K25" s="209" t="n">
        <f aca="false" t="array" ref="K25:K25">IFERROR( AVERAGE((IF(DATOS_[[Sexo]:[Sexo]]=$B25,IF(DATOS_[[AGRUP. VALOR. PTO.]:[AGRUP. VALOR. PTO.]]=$B24,IF(DATOS_[[Check Periodo Ref.]:[Check Periodo Ref.]]="Dentro",DATOS_[Conc.Sal.06]))))), 0)</f>
        <v>0</v>
      </c>
      <c r="L25" s="209" t="n">
        <f aca="false" t="array" ref="L25:L25">IFERROR( AVERAGE((IF(DATOS_[[Sexo]:[Sexo]]=$B25,IF(DATOS_[[AGRUP. VALOR. PTO.]:[AGRUP. VALOR. PTO.]]=$B24,IF(DATOS_[[Check Periodo Ref.]:[Check Periodo Ref.]]="Dentro",DATOS_[Conc.Sal.07]))))), 0)</f>
        <v>0</v>
      </c>
      <c r="M25" s="209" t="n">
        <f aca="false" t="array" ref="M25:M25">IFERROR( AVERAGE((IF(DATOS_[[Sexo]:[Sexo]]=$B25,IF(DATOS_[[AGRUP. VALOR. PTO.]:[AGRUP. VALOR. PTO.]]=$B24,IF(DATOS_[[Check Periodo Ref.]:[Check Periodo Ref.]]="Dentro",DATOS_[Conc.Sal.08]))))), 0)</f>
        <v>0</v>
      </c>
      <c r="N25" s="209" t="n">
        <f aca="false" t="array" ref="N25:N25">IFERROR( AVERAGE((IF(DATOS_[[Sexo]:[Sexo]]=$B25,IF(DATOS_[[AGRUP. VALOR. PTO.]:[AGRUP. VALOR. PTO.]]=$B24,IF(DATOS_[[Check Periodo Ref.]:[Check Periodo Ref.]]="Dentro",DATOS_[Conc.Sal.09]))))), 0)</f>
        <v>0</v>
      </c>
      <c r="O25" s="209" t="n">
        <f aca="false" t="array" ref="O25:O25">IFERROR( AVERAGE((IF(DATOS_[[Sexo]:[Sexo]]=$B25,IF(DATOS_[[AGRUP. VALOR. PTO.]:[AGRUP. VALOR. PTO.]]=$B24,IF(DATOS_[[Check Periodo Ref.]:[Check Periodo Ref.]]="Dentro",DATOS_[Conc.Sal.10]))))), 0)</f>
        <v>0</v>
      </c>
      <c r="P25" s="209" t="n">
        <f aca="false" t="array" ref="P25:P25">IFERROR( AVERAGE((IF(DATOS_[[Sexo]:[Sexo]]=$B25,IF(DATOS_[[AGRUP. VALOR. PTO.]:[AGRUP. VALOR. PTO.]]=$B24,IF(DATOS_[[Check Periodo Ref.]:[Check Periodo Ref.]]="Dentro",DATOS_[Conc.Sal.11]))))), 0)</f>
        <v>0</v>
      </c>
      <c r="Q25" s="209" t="n">
        <f aca="false" t="array" ref="Q25:Q25">IFERROR( AVERAGE((IF(DATOS_[[Sexo]:[Sexo]]=$B25,IF(DATOS_[[AGRUP. VALOR. PTO.]:[AGRUP. VALOR. PTO.]]=$B24,IF(DATOS_[[Check Periodo Ref.]:[Check Periodo Ref.]]="Dentro",DATOS_[Conc.Sal.12]))))), 0)</f>
        <v>0</v>
      </c>
      <c r="R25" s="209" t="n">
        <f aca="false" t="array" ref="R25:R25">IFERROR( AVERAGE((IF(DATOS_[[Sexo]:[Sexo]]=$B25,IF(DATOS_[[AGRUP. VALOR. PTO.]:[AGRUP. VALOR. PTO.]]=$B24,IF(DATOS_[[Check Periodo Ref.]:[Check Periodo Ref.]]="Dentro",DATOS_[Conc.Sal.13]))))), 0)</f>
        <v>0</v>
      </c>
      <c r="S25" s="209" t="n">
        <f aca="false" t="array" ref="S25:S25">IFERROR( AVERAGE((IF(DATOS_[[Sexo]:[Sexo]]=$B25,IF(DATOS_[[AGRUP. VALOR. PTO.]:[AGRUP. VALOR. PTO.]]=$B24,IF(DATOS_[[Check Periodo Ref.]:[Check Periodo Ref.]]="Dentro",DATOS_[Conc.Sal.14]))))), 0)</f>
        <v>0</v>
      </c>
      <c r="T25" s="209" t="n">
        <f aca="false" t="array" ref="T25:T25">IFERROR( AVERAGE((IF(DATOS_[[Sexo]:[Sexo]]=$B25,IF(DATOS_[[AGRUP. VALOR. PTO.]:[AGRUP. VALOR. PTO.]]=$B24,IF(DATOS_[[Check Periodo Ref.]:[Check Periodo Ref.]]="Dentro",DATOS_[Conc.Sal.15]))))), 0)</f>
        <v>0</v>
      </c>
      <c r="U25" s="209" t="n">
        <f aca="false" t="array" ref="U25:U25">IFERROR( AVERAGE((IF(DATOS_[[Sexo]:[Sexo]]=$B25,IF(DATOS_[[AGRUP. VALOR. PTO.]:[AGRUP. VALOR. PTO.]]=$B24,IF(DATOS_[[Check Periodo Ref.]:[Check Periodo Ref.]]="Dentro",DATOS_[Conc.Sal.16]))))), 0)</f>
        <v>0</v>
      </c>
      <c r="V25" s="209" t="n">
        <f aca="false" t="array" ref="V25:V25">IFERROR( AVERAGE((IF(DATOS_[[Sexo]:[Sexo]]=$B25,IF(DATOS_[[AGRUP. VALOR. PTO.]:[AGRUP. VALOR. PTO.]]=$B24,IF(DATOS_[[Check Periodo Ref.]:[Check Periodo Ref.]]="Dentro",DATOS_[Conc.Sal.17]))))), 0)</f>
        <v>0</v>
      </c>
      <c r="W25" s="209" t="n">
        <f aca="false" t="array" ref="W25:W25">IFERROR( AVERAGE((IF(DATOS_[[Sexo]:[Sexo]]=$B25,IF(DATOS_[[AGRUP. VALOR. PTO.]:[AGRUP. VALOR. PTO.]]=$B24,IF(DATOS_[[Check Periodo Ref.]:[Check Periodo Ref.]]="Dentro",DATOS_[Conc.Sal.18]))))), 0)</f>
        <v>0</v>
      </c>
      <c r="X25" s="209" t="n">
        <f aca="false" t="array" ref="X25:X25">IFERROR( AVERAGE((IF(DATOS_[[Sexo]:[Sexo]]=$B25,IF(DATOS_[[AGRUP. VALOR. PTO.]:[AGRUP. VALOR. PTO.]]=$B24,IF(DATOS_[[Check Periodo Ref.]:[Check Periodo Ref.]]="Dentro",DATOS_[Conc.Sal.19]))))), 0)</f>
        <v>0</v>
      </c>
      <c r="Y25" s="209" t="n">
        <f aca="false" t="array" ref="Y25:Y25">IFERROR( AVERAGE((IF(DATOS_[[Sexo]:[Sexo]]=$B25,IF(DATOS_[[AGRUP. VALOR. PTO.]:[AGRUP. VALOR. PTO.]]=$B24,IF(DATOS_[[Check Periodo Ref.]:[Check Periodo Ref.]]="Dentro",DATOS_[Conc.Sal.20]))))), 0)</f>
        <v>0</v>
      </c>
      <c r="Z25" s="209" t="n">
        <f aca="false" t="array" ref="Z25:Z25">IFERROR( AVERAGE((IF(DATOS_[[Sexo]:[Sexo]]=$B25,IF(DATOS_[[AGRUP. VALOR. PTO.]:[AGRUP. VALOR. PTO.]]=$B24,IF(DATOS_[[Check Periodo Ref.]:[Check Periodo Ref.]]="Dentro",DATOS_[Conc.Sal.21]))))), 0)</f>
        <v>0</v>
      </c>
      <c r="AA25" s="209" t="n">
        <f aca="false" t="array" ref="AA25:AA25">IFERROR( AVERAGE((IF(DATOS_[[Sexo]:[Sexo]]=$B25,IF(DATOS_[[AGRUP. VALOR. PTO.]:[AGRUP. VALOR. PTO.]]=$B24,IF(DATOS_[[Check Periodo Ref.]:[Check Periodo Ref.]]="Dentro",DATOS_[Conc.Sal.22]))))), 0)</f>
        <v>0</v>
      </c>
      <c r="AB25" s="209" t="n">
        <f aca="false" t="array" ref="AB25:AB25">IFERROR( AVERAGE((IF(DATOS_[[Sexo]:[Sexo]]=$B25,IF(DATOS_[[AGRUP. VALOR. PTO.]:[AGRUP. VALOR. PTO.]]=$B24,IF(DATOS_[[Check Periodo Ref.]:[Check Periodo Ref.]]="Dentro",DATOS_[Conc.Sal.23]))))), 0)</f>
        <v>0</v>
      </c>
      <c r="AC25" s="209" t="n">
        <f aca="false" t="array" ref="AC25:AC25">IFERROR( AVERAGE((IF(DATOS_[[Sexo]:[Sexo]]=$B25,IF(DATOS_[[AGRUP. VALOR. PTO.]:[AGRUP. VALOR. PTO.]]=$B24,IF(DATOS_[[Check Periodo Ref.]:[Check Periodo Ref.]]="Dentro",DATOS_[Conc.Sal.24]))))), 0)</f>
        <v>0</v>
      </c>
      <c r="AD25" s="209" t="n">
        <f aca="false" t="array" ref="AD25:AD25">IFERROR( AVERAGE((IF(DATOS_[[Sexo]:[Sexo]]=$B25,IF(DATOS_[[AGRUP. VALOR. PTO.]:[AGRUP. VALOR. PTO.]]=$B24,IF(DATOS_[[Check Periodo Ref.]:[Check Periodo Ref.]]="Dentro",DATOS_[Conc.Sal.25]))))), 0)</f>
        <v>0</v>
      </c>
      <c r="AE25" s="209" t="n">
        <f aca="false" t="array" ref="AE25:AE25">IFERROR( AVERAGE((IF(DATOS_[[Sexo]:[Sexo]]=$B25,IF(DATOS_[[AGRUP. VALOR. PTO.]:[AGRUP. VALOR. PTO.]]=$B24,IF(DATOS_[[Check Periodo Ref.]:[Check Periodo Ref.]]="Dentro",DATOS_[Conc.Sal.26]))))), 0)</f>
        <v>0</v>
      </c>
      <c r="AF25" s="209" t="n">
        <f aca="false" t="array" ref="AF25:AF25">IFERROR( AVERAGE((IF(DATOS_[[Sexo]:[Sexo]]=$B25,IF(DATOS_[[AGRUP. VALOR. PTO.]:[AGRUP. VALOR. PTO.]]=$B24,IF(DATOS_[[Check Periodo Ref.]:[Check Periodo Ref.]]="Dentro",DATOS_[Conc.Sal.27]))))), 0)</f>
        <v>0</v>
      </c>
      <c r="AG25" s="209" t="n">
        <f aca="false" t="array" ref="AG25:AG25">IFERROR( AVERAGE((IF(DATOS_[[Sexo]:[Sexo]]=$B25,IF(DATOS_[[AGRUP. VALOR. PTO.]:[AGRUP. VALOR. PTO.]]=$B24,IF(DATOS_[[Check Periodo Ref.]:[Check Periodo Ref.]]="Dentro",DATOS_[Conc.Sal.28]))))), 0)</f>
        <v>0</v>
      </c>
      <c r="AH25" s="209" t="n">
        <f aca="false" t="array" ref="AH25:AH25">IFERROR( AVERAGE((IF(DATOS_[[Sexo]:[Sexo]]=$B25,IF(DATOS_[[AGRUP. VALOR. PTO.]:[AGRUP. VALOR. PTO.]]=$B24,IF(DATOS_[[Check Periodo Ref.]:[Check Periodo Ref.]]="Dentro",DATOS_[Conc.Sal.29]))))), 0)</f>
        <v>0</v>
      </c>
      <c r="AI25" s="209" t="n">
        <f aca="false" t="array" ref="AI25:AI25">IFERROR( AVERAGE((IF(DATOS_[[Sexo]:[Sexo]]=$B25,IF(DATOS_[[AGRUP. VALOR. PTO.]:[AGRUP. VALOR. PTO.]]=$B24,IF(DATOS_[[Check Periodo Ref.]:[Check Periodo Ref.]]="Dentro",DATOS_[Conc.Sal.30]))))), 0)</f>
        <v>0</v>
      </c>
      <c r="AJ25" s="210" t="n">
        <f aca="false" t="array" ref="AJ25:AJ25">IFERROR( AVERAGE(IF(DATOS_[Sexo]=$B25,IF(DATOS_[AGRUP. VALOR. PTO.]=$B24,IF(DATOS_[Check Periodo Ref.]="Dentro",DATOS_[Tot COMPL.SAL Ef],0)))), 0)</f>
        <v>0</v>
      </c>
      <c r="AK25" s="211" t="n">
        <f aca="false" t="array" ref="AK25:AK25">IFERROR( AVERAGE(IF(DATOS_[Sexo]=$B25,IF(DATOS_[AGRUP. VALOR. PTO.]=$B24,IF(DATOS_[Check Periodo Ref.]="Dentro",DATOS_[TOTAL SALARIO Ef],0)))), 0)</f>
        <v>0</v>
      </c>
      <c r="AL25" s="212" t="n">
        <f aca="false" t="array" ref="AL25:AL25">IFERROR( AVERAGE((IF(DATOS_[[Sexo]:[Sexo]]=$B25,IF(DATOS_[[AGRUP. VALOR. PTO.]:[AGRUP. VALOR. PTO.]]=$B24,IF(DATOS_[[Check Periodo Ref.]:[Check Periodo Ref.]]="Dentro",DATOS_[C.Extra.01]))))), 0)</f>
        <v>0</v>
      </c>
      <c r="AM25" s="212" t="n">
        <f aca="false" t="array" ref="AM25:AM25">IFERROR( AVERAGE((IF(DATOS_[[Sexo]:[Sexo]]=$B25,IF(DATOS_[[AGRUP. VALOR. PTO.]:[AGRUP. VALOR. PTO.]]=$B24,IF(DATOS_[[Check Periodo Ref.]:[Check Periodo Ref.]]="Dentro",DATOS_[C.Extra.02]))))), 0)</f>
        <v>0</v>
      </c>
      <c r="AN25" s="212" t="n">
        <f aca="false" t="array" ref="AN25:AN25">IFERROR( AVERAGE((IF(DATOS_[[Sexo]:[Sexo]]=$B25,IF(DATOS_[[AGRUP. VALOR. PTO.]:[AGRUP. VALOR. PTO.]]=$B24,IF(DATOS_[[Check Periodo Ref.]:[Check Periodo Ref.]]="Dentro",DATOS_[C.Extra.03]))))), 0)</f>
        <v>0</v>
      </c>
      <c r="AO25" s="212" t="n">
        <f aca="false" t="array" ref="AO25:AO25">IFERROR( AVERAGE((IF(DATOS_[[Sexo]:[Sexo]]=$B25,IF(DATOS_[[AGRUP. VALOR. PTO.]:[AGRUP. VALOR. PTO.]]=$B24,IF(DATOS_[[Check Periodo Ref.]:[Check Periodo Ref.]]="Dentro",DATOS_[C.Extra.04]))))), 0)</f>
        <v>0</v>
      </c>
      <c r="AP25" s="212" t="n">
        <f aca="false" t="array" ref="AP25:AP25">IFERROR( AVERAGE((IF(DATOS_[[Sexo]:[Sexo]]=$B25,IF(DATOS_[[AGRUP. VALOR. PTO.]:[AGRUP. VALOR. PTO.]]=$B24,IF(DATOS_[[Check Periodo Ref.]:[Check Periodo Ref.]]="Dentro",DATOS_[C.Extra.05]))))), 0)</f>
        <v>0</v>
      </c>
      <c r="AQ25" s="213" t="n">
        <f aca="false" t="array" ref="AQ25:AQ25">IFERROR( AVERAGE(IF(DATOS_[Sexo]=$B25,IF(DATOS_[AGRUP. VALOR. PTO.]=$B24,IF(DATOS_[Check Periodo Ref.]="Dentro",DATOS_[Tot Extrasalarial Ef],0)))), 0)</f>
        <v>0</v>
      </c>
      <c r="AR25" s="214" t="n">
        <f aca="false" t="array" ref="AR25:AR25">IFERROR( AVERAGE(IF(DATOS_[Sexo]=$B25,IF(DATOS_[AGRUP. VALOR. PTO.]=$B24,IF(DATOS_[Check Periodo Ref.]="Dentro",DATOS_[TOTAL Retrib Ef],0)))), 0)</f>
        <v>0</v>
      </c>
    </row>
    <row r="26" customFormat="false" ht="14.25" hidden="false" customHeight="false" outlineLevel="0" collapsed="false">
      <c r="A26" s="191" t="str">
        <f aca="false">+A25</f>
        <v>[ocultar]</v>
      </c>
      <c r="B26" s="205" t="s">
        <v>372</v>
      </c>
      <c r="C26" s="206" t="n">
        <f aca="false" t="array" ref="C26:C26">SUM(IF($B26=DATOS_[Sexo], IF($B24=DATOS_[AGRUP. VALOR. PTO.], IF("Dentro"=DATOS_[Check Periodo Ref.], 1/(COUNTIFS(DATOS_[Sexo],$B26,DATOS_[AGRUP. VALOR. PTO.],$B24,DATOS_[Check Periodo Ref.],"Dentro",DATOS_[id],DATOS_[id]))))))</f>
        <v>0</v>
      </c>
      <c r="D26" s="207" t="n">
        <f aca="false">COUNTIFS(DATOS_[AGRUP. VALOR. PTO.],$B24,DATOS_[Sexo],$B26,DATOS_[Check Periodo Ref.],"Dentro")</f>
        <v>0</v>
      </c>
      <c r="E26" s="208" t="n">
        <f aca="false" t="array" ref="E26:E26">IFERROR( AVERAGE(IF(DATOS_[Sexo]=$B26,IF(DATOS_[AGRUP. VALOR. PTO.]=$B24,IF(DATOS_[Check Periodo Ref.]="Dentro",DATOS_[SALARIO BASE Ef],0)))), 0)</f>
        <v>0</v>
      </c>
      <c r="F26" s="209" t="n">
        <f aca="false" t="array" ref="F26:F26">IFERROR( AVERAGE((IF(DATOS_[[Sexo]:[Sexo]]=$B26,IF(DATOS_[[AGRUP. VALOR. PTO.]:[AGRUP. VALOR. PTO.]]=$B24,IF(DATOS_[[Check Periodo Ref.]:[Check Periodo Ref.]]="Dentro",DATOS_[Conc.Sal.01]))))), 0)</f>
        <v>0</v>
      </c>
      <c r="G26" s="209" t="n">
        <f aca="false" t="array" ref="G26:G26">IFERROR( AVERAGE((IF(DATOS_[[Sexo]:[Sexo]]=$B26,IF(DATOS_[[AGRUP. VALOR. PTO.]:[AGRUP. VALOR. PTO.]]=$B24,IF(DATOS_[[Check Periodo Ref.]:[Check Periodo Ref.]]="Dentro",DATOS_[Conc.Sal.02]))))), 0)</f>
        <v>0</v>
      </c>
      <c r="H26" s="209" t="n">
        <f aca="false" t="array" ref="H26:H26">IFERROR( AVERAGE((IF(DATOS_[[Sexo]:[Sexo]]=$B26,IF(DATOS_[[AGRUP. VALOR. PTO.]:[AGRUP. VALOR. PTO.]]=$B24,IF(DATOS_[[Check Periodo Ref.]:[Check Periodo Ref.]]="Dentro",DATOS_[Conc.Sal.03]))))), 0)</f>
        <v>0</v>
      </c>
      <c r="I26" s="209" t="n">
        <f aca="false" t="array" ref="I26:I26">IFERROR( AVERAGE((IF(DATOS_[[Sexo]:[Sexo]]=$B26,IF(DATOS_[[AGRUP. VALOR. PTO.]:[AGRUP. VALOR. PTO.]]=$B24,IF(DATOS_[[Check Periodo Ref.]:[Check Periodo Ref.]]="Dentro",DATOS_[Conc.Sal.04]))))), 0)</f>
        <v>0</v>
      </c>
      <c r="J26" s="209" t="n">
        <f aca="false" t="array" ref="J26:J26">IFERROR( AVERAGE((IF(DATOS_[[Sexo]:[Sexo]]=$B26,IF(DATOS_[[AGRUP. VALOR. PTO.]:[AGRUP. VALOR. PTO.]]=$B24,IF(DATOS_[[Check Periodo Ref.]:[Check Periodo Ref.]]="Dentro",DATOS_[Conc.Sal.05]))))), 0)</f>
        <v>0</v>
      </c>
      <c r="K26" s="209" t="n">
        <f aca="false" t="array" ref="K26:K26">IFERROR( AVERAGE((IF(DATOS_[[Sexo]:[Sexo]]=$B26,IF(DATOS_[[AGRUP. VALOR. PTO.]:[AGRUP. VALOR. PTO.]]=$B24,IF(DATOS_[[Check Periodo Ref.]:[Check Periodo Ref.]]="Dentro",DATOS_[Conc.Sal.06]))))), 0)</f>
        <v>0</v>
      </c>
      <c r="L26" s="209" t="n">
        <f aca="false" t="array" ref="L26:L26">IFERROR( AVERAGE((IF(DATOS_[[Sexo]:[Sexo]]=$B26,IF(DATOS_[[AGRUP. VALOR. PTO.]:[AGRUP. VALOR. PTO.]]=$B24,IF(DATOS_[[Check Periodo Ref.]:[Check Periodo Ref.]]="Dentro",DATOS_[Conc.Sal.07]))))), 0)</f>
        <v>0</v>
      </c>
      <c r="M26" s="209" t="n">
        <f aca="false" t="array" ref="M26:M26">IFERROR( AVERAGE((IF(DATOS_[[Sexo]:[Sexo]]=$B26,IF(DATOS_[[AGRUP. VALOR. PTO.]:[AGRUP. VALOR. PTO.]]=$B24,IF(DATOS_[[Check Periodo Ref.]:[Check Periodo Ref.]]="Dentro",DATOS_[Conc.Sal.08]))))), 0)</f>
        <v>0</v>
      </c>
      <c r="N26" s="209" t="n">
        <f aca="false" t="array" ref="N26:N26">IFERROR( AVERAGE((IF(DATOS_[[Sexo]:[Sexo]]=$B26,IF(DATOS_[[AGRUP. VALOR. PTO.]:[AGRUP. VALOR. PTO.]]=$B24,IF(DATOS_[[Check Periodo Ref.]:[Check Periodo Ref.]]="Dentro",DATOS_[Conc.Sal.09]))))), 0)</f>
        <v>0</v>
      </c>
      <c r="O26" s="209" t="n">
        <f aca="false" t="array" ref="O26:O26">IFERROR( AVERAGE((IF(DATOS_[[Sexo]:[Sexo]]=$B26,IF(DATOS_[[AGRUP. VALOR. PTO.]:[AGRUP. VALOR. PTO.]]=$B24,IF(DATOS_[[Check Periodo Ref.]:[Check Periodo Ref.]]="Dentro",DATOS_[Conc.Sal.10]))))), 0)</f>
        <v>0</v>
      </c>
      <c r="P26" s="209" t="n">
        <f aca="false" t="array" ref="P26:P26">IFERROR( AVERAGE((IF(DATOS_[[Sexo]:[Sexo]]=$B26,IF(DATOS_[[AGRUP. VALOR. PTO.]:[AGRUP. VALOR. PTO.]]=$B24,IF(DATOS_[[Check Periodo Ref.]:[Check Periodo Ref.]]="Dentro",DATOS_[Conc.Sal.11]))))), 0)</f>
        <v>0</v>
      </c>
      <c r="Q26" s="209" t="n">
        <f aca="false" t="array" ref="Q26:Q26">IFERROR( AVERAGE((IF(DATOS_[[Sexo]:[Sexo]]=$B26,IF(DATOS_[[AGRUP. VALOR. PTO.]:[AGRUP. VALOR. PTO.]]=$B24,IF(DATOS_[[Check Periodo Ref.]:[Check Periodo Ref.]]="Dentro",DATOS_[Conc.Sal.12]))))), 0)</f>
        <v>0</v>
      </c>
      <c r="R26" s="209" t="n">
        <f aca="false" t="array" ref="R26:R26">IFERROR( AVERAGE((IF(DATOS_[[Sexo]:[Sexo]]=$B26,IF(DATOS_[[AGRUP. VALOR. PTO.]:[AGRUP. VALOR. PTO.]]=$B24,IF(DATOS_[[Check Periodo Ref.]:[Check Periodo Ref.]]="Dentro",DATOS_[Conc.Sal.13]))))), 0)</f>
        <v>0</v>
      </c>
      <c r="S26" s="209" t="n">
        <f aca="false" t="array" ref="S26:S26">IFERROR( AVERAGE((IF(DATOS_[[Sexo]:[Sexo]]=$B26,IF(DATOS_[[AGRUP. VALOR. PTO.]:[AGRUP. VALOR. PTO.]]=$B24,IF(DATOS_[[Check Periodo Ref.]:[Check Periodo Ref.]]="Dentro",DATOS_[Conc.Sal.14]))))), 0)</f>
        <v>0</v>
      </c>
      <c r="T26" s="209" t="n">
        <f aca="false" t="array" ref="T26:T26">IFERROR( AVERAGE((IF(DATOS_[[Sexo]:[Sexo]]=$B26,IF(DATOS_[[AGRUP. VALOR. PTO.]:[AGRUP. VALOR. PTO.]]=$B24,IF(DATOS_[[Check Periodo Ref.]:[Check Periodo Ref.]]="Dentro",DATOS_[Conc.Sal.15]))))), 0)</f>
        <v>0</v>
      </c>
      <c r="U26" s="209" t="n">
        <f aca="false" t="array" ref="U26:U26">IFERROR( AVERAGE((IF(DATOS_[[Sexo]:[Sexo]]=$B26,IF(DATOS_[[AGRUP. VALOR. PTO.]:[AGRUP. VALOR. PTO.]]=$B24,IF(DATOS_[[Check Periodo Ref.]:[Check Periodo Ref.]]="Dentro",DATOS_[Conc.Sal.16]))))), 0)</f>
        <v>0</v>
      </c>
      <c r="V26" s="209" t="n">
        <f aca="false" t="array" ref="V26:V26">IFERROR( AVERAGE((IF(DATOS_[[Sexo]:[Sexo]]=$B26,IF(DATOS_[[AGRUP. VALOR. PTO.]:[AGRUP. VALOR. PTO.]]=$B24,IF(DATOS_[[Check Periodo Ref.]:[Check Periodo Ref.]]="Dentro",DATOS_[Conc.Sal.17]))))), 0)</f>
        <v>0</v>
      </c>
      <c r="W26" s="209" t="n">
        <f aca="false" t="array" ref="W26:W26">IFERROR( AVERAGE((IF(DATOS_[[Sexo]:[Sexo]]=$B26,IF(DATOS_[[AGRUP. VALOR. PTO.]:[AGRUP. VALOR. PTO.]]=$B24,IF(DATOS_[[Check Periodo Ref.]:[Check Periodo Ref.]]="Dentro",DATOS_[Conc.Sal.18]))))), 0)</f>
        <v>0</v>
      </c>
      <c r="X26" s="209" t="n">
        <f aca="false" t="array" ref="X26:X26">IFERROR( AVERAGE((IF(DATOS_[[Sexo]:[Sexo]]=$B26,IF(DATOS_[[AGRUP. VALOR. PTO.]:[AGRUP. VALOR. PTO.]]=$B24,IF(DATOS_[[Check Periodo Ref.]:[Check Periodo Ref.]]="Dentro",DATOS_[Conc.Sal.19]))))), 0)</f>
        <v>0</v>
      </c>
      <c r="Y26" s="209" t="n">
        <f aca="false" t="array" ref="Y26:Y26">IFERROR( AVERAGE((IF(DATOS_[[Sexo]:[Sexo]]=$B26,IF(DATOS_[[AGRUP. VALOR. PTO.]:[AGRUP. VALOR. PTO.]]=$B24,IF(DATOS_[[Check Periodo Ref.]:[Check Periodo Ref.]]="Dentro",DATOS_[Conc.Sal.20]))))), 0)</f>
        <v>0</v>
      </c>
      <c r="Z26" s="209" t="n">
        <f aca="false" t="array" ref="Z26:Z26">IFERROR( AVERAGE((IF(DATOS_[[Sexo]:[Sexo]]=$B26,IF(DATOS_[[AGRUP. VALOR. PTO.]:[AGRUP. VALOR. PTO.]]=$B24,IF(DATOS_[[Check Periodo Ref.]:[Check Periodo Ref.]]="Dentro",DATOS_[Conc.Sal.21]))))), 0)</f>
        <v>0</v>
      </c>
      <c r="AA26" s="209" t="n">
        <f aca="false" t="array" ref="AA26:AA26">IFERROR( AVERAGE((IF(DATOS_[[Sexo]:[Sexo]]=$B26,IF(DATOS_[[AGRUP. VALOR. PTO.]:[AGRUP. VALOR. PTO.]]=$B24,IF(DATOS_[[Check Periodo Ref.]:[Check Periodo Ref.]]="Dentro",DATOS_[Conc.Sal.22]))))), 0)</f>
        <v>0</v>
      </c>
      <c r="AB26" s="209" t="n">
        <f aca="false" t="array" ref="AB26:AB26">IFERROR( AVERAGE((IF(DATOS_[[Sexo]:[Sexo]]=$B26,IF(DATOS_[[AGRUP. VALOR. PTO.]:[AGRUP. VALOR. PTO.]]=$B24,IF(DATOS_[[Check Periodo Ref.]:[Check Periodo Ref.]]="Dentro",DATOS_[Conc.Sal.23]))))), 0)</f>
        <v>0</v>
      </c>
      <c r="AC26" s="209" t="n">
        <f aca="false" t="array" ref="AC26:AC26">IFERROR( AVERAGE((IF(DATOS_[[Sexo]:[Sexo]]=$B26,IF(DATOS_[[AGRUP. VALOR. PTO.]:[AGRUP. VALOR. PTO.]]=$B24,IF(DATOS_[[Check Periodo Ref.]:[Check Periodo Ref.]]="Dentro",DATOS_[Conc.Sal.24]))))), 0)</f>
        <v>0</v>
      </c>
      <c r="AD26" s="209" t="n">
        <f aca="false" t="array" ref="AD26:AD26">IFERROR( AVERAGE((IF(DATOS_[[Sexo]:[Sexo]]=$B26,IF(DATOS_[[AGRUP. VALOR. PTO.]:[AGRUP. VALOR. PTO.]]=$B24,IF(DATOS_[[Check Periodo Ref.]:[Check Periodo Ref.]]="Dentro",DATOS_[Conc.Sal.25]))))), 0)</f>
        <v>0</v>
      </c>
      <c r="AE26" s="209" t="n">
        <f aca="false" t="array" ref="AE26:AE26">IFERROR( AVERAGE((IF(DATOS_[[Sexo]:[Sexo]]=$B26,IF(DATOS_[[AGRUP. VALOR. PTO.]:[AGRUP. VALOR. PTO.]]=$B24,IF(DATOS_[[Check Periodo Ref.]:[Check Periodo Ref.]]="Dentro",DATOS_[Conc.Sal.26]))))), 0)</f>
        <v>0</v>
      </c>
      <c r="AF26" s="209" t="n">
        <f aca="false" t="array" ref="AF26:AF26">IFERROR( AVERAGE((IF(DATOS_[[Sexo]:[Sexo]]=$B26,IF(DATOS_[[AGRUP. VALOR. PTO.]:[AGRUP. VALOR. PTO.]]=$B24,IF(DATOS_[[Check Periodo Ref.]:[Check Periodo Ref.]]="Dentro",DATOS_[Conc.Sal.27]))))), 0)</f>
        <v>0</v>
      </c>
      <c r="AG26" s="209" t="n">
        <f aca="false" t="array" ref="AG26:AG26">IFERROR( AVERAGE((IF(DATOS_[[Sexo]:[Sexo]]=$B26,IF(DATOS_[[AGRUP. VALOR. PTO.]:[AGRUP. VALOR. PTO.]]=$B24,IF(DATOS_[[Check Periodo Ref.]:[Check Periodo Ref.]]="Dentro",DATOS_[Conc.Sal.28]))))), 0)</f>
        <v>0</v>
      </c>
      <c r="AH26" s="209" t="n">
        <f aca="false" t="array" ref="AH26:AH26">IFERROR( AVERAGE((IF(DATOS_[[Sexo]:[Sexo]]=$B26,IF(DATOS_[[AGRUP. VALOR. PTO.]:[AGRUP. VALOR. PTO.]]=$B24,IF(DATOS_[[Check Periodo Ref.]:[Check Periodo Ref.]]="Dentro",DATOS_[Conc.Sal.29]))))), 0)</f>
        <v>0</v>
      </c>
      <c r="AI26" s="209" t="n">
        <f aca="false" t="array" ref="AI26:AI26">IFERROR( AVERAGE((IF(DATOS_[[Sexo]:[Sexo]]=$B26,IF(DATOS_[[AGRUP. VALOR. PTO.]:[AGRUP. VALOR. PTO.]]=$B24,IF(DATOS_[[Check Periodo Ref.]:[Check Periodo Ref.]]="Dentro",DATOS_[Conc.Sal.30]))))), 0)</f>
        <v>0</v>
      </c>
      <c r="AJ26" s="210" t="n">
        <f aca="false" t="array" ref="AJ26:AJ26">IFERROR( AVERAGE(IF(DATOS_[Sexo]=$B26,IF(DATOS_[AGRUP. VALOR. PTO.]=$B24,IF(DATOS_[Check Periodo Ref.]="Dentro",DATOS_[Tot COMPL.SAL Ef],0)))), 0)</f>
        <v>0</v>
      </c>
      <c r="AK26" s="211" t="n">
        <f aca="false" t="array" ref="AK26:AK26">IFERROR( AVERAGE(IF(DATOS_[Sexo]=$B26,IF(DATOS_[AGRUP. VALOR. PTO.]=$B24,IF(DATOS_[Check Periodo Ref.]="Dentro",DATOS_[TOTAL SALARIO Ef],0)))), 0)</f>
        <v>0</v>
      </c>
      <c r="AL26" s="212" t="n">
        <f aca="false" t="array" ref="AL26:AL26">IFERROR( AVERAGE((IF(DATOS_[[Sexo]:[Sexo]]=$B26,IF(DATOS_[[AGRUP. VALOR. PTO.]:[AGRUP. VALOR. PTO.]]=$B24,IF(DATOS_[[Check Periodo Ref.]:[Check Periodo Ref.]]="Dentro",DATOS_[C.Extra.01]))))), 0)</f>
        <v>0</v>
      </c>
      <c r="AM26" s="212" t="n">
        <f aca="false" t="array" ref="AM26:AM26">IFERROR( AVERAGE((IF(DATOS_[[Sexo]:[Sexo]]=$B26,IF(DATOS_[[AGRUP. VALOR. PTO.]:[AGRUP. VALOR. PTO.]]=$B24,IF(DATOS_[[Check Periodo Ref.]:[Check Periodo Ref.]]="Dentro",DATOS_[C.Extra.02]))))), 0)</f>
        <v>0</v>
      </c>
      <c r="AN26" s="212" t="n">
        <f aca="false" t="array" ref="AN26:AN26">IFERROR( AVERAGE((IF(DATOS_[[Sexo]:[Sexo]]=$B26,IF(DATOS_[[AGRUP. VALOR. PTO.]:[AGRUP. VALOR. PTO.]]=$B24,IF(DATOS_[[Check Periodo Ref.]:[Check Periodo Ref.]]="Dentro",DATOS_[C.Extra.03]))))), 0)</f>
        <v>0</v>
      </c>
      <c r="AO26" s="212" t="n">
        <f aca="false" t="array" ref="AO26:AO26">IFERROR( AVERAGE((IF(DATOS_[[Sexo]:[Sexo]]=$B26,IF(DATOS_[[AGRUP. VALOR. PTO.]:[AGRUP. VALOR. PTO.]]=$B24,IF(DATOS_[[Check Periodo Ref.]:[Check Periodo Ref.]]="Dentro",DATOS_[C.Extra.04]))))), 0)</f>
        <v>0</v>
      </c>
      <c r="AP26" s="212" t="n">
        <f aca="false" t="array" ref="AP26:AP26">IFERROR( AVERAGE((IF(DATOS_[[Sexo]:[Sexo]]=$B26,IF(DATOS_[[AGRUP. VALOR. PTO.]:[AGRUP. VALOR. PTO.]]=$B24,IF(DATOS_[[Check Periodo Ref.]:[Check Periodo Ref.]]="Dentro",DATOS_[C.Extra.05]))))), 0)</f>
        <v>0</v>
      </c>
      <c r="AQ26" s="213" t="n">
        <f aca="false" t="array" ref="AQ26:AQ26">IFERROR( AVERAGE(IF(DATOS_[Sexo]=$B26,IF(DATOS_[AGRUP. VALOR. PTO.]=$B24,IF(DATOS_[Check Periodo Ref.]="Dentro",DATOS_[Tot Extrasalarial Ef],0)))), 0)</f>
        <v>0</v>
      </c>
      <c r="AR26" s="214" t="n">
        <f aca="false" t="array" ref="AR26:AR26">IFERROR( AVERAGE(IF(DATOS_[Sexo]=$B26,IF(DATOS_[AGRUP. VALOR. PTO.]=$B24,IF(DATOS_[Check Periodo Ref.]="Dentro",DATOS_[TOTAL Retrib Ef],0)))), 0)</f>
        <v>0</v>
      </c>
    </row>
    <row r="27" customFormat="false" ht="15.75" hidden="false" customHeight="false" outlineLevel="0" collapsed="false">
      <c r="A27" s="191" t="str">
        <f aca="false">+A28</f>
        <v>[ocultar]</v>
      </c>
      <c r="B27" s="192" t="s">
        <v>182</v>
      </c>
      <c r="C27" s="193"/>
      <c r="D27" s="194"/>
      <c r="E27" s="195" t="str">
        <f aca="false">IFERROR((E28-E29)/E28,"")</f>
        <v/>
      </c>
      <c r="F27" s="196" t="str">
        <f aca="false">IFERROR((F28-F29)/F28,"")</f>
        <v/>
      </c>
      <c r="G27" s="197" t="str">
        <f aca="false">IFERROR((G28-G29)/G28,"")</f>
        <v/>
      </c>
      <c r="H27" s="197" t="str">
        <f aca="false">IFERROR((H28-H29)/H28,"")</f>
        <v/>
      </c>
      <c r="I27" s="197" t="str">
        <f aca="false">IFERROR((I28-I29)/I28,"")</f>
        <v/>
      </c>
      <c r="J27" s="198" t="str">
        <f aca="false">IFERROR((J28-J29)/J28,"")</f>
        <v/>
      </c>
      <c r="K27" s="199" t="str">
        <f aca="false">IFERROR((K28-K29)/K28,"")</f>
        <v/>
      </c>
      <c r="L27" s="199" t="str">
        <f aca="false">IFERROR((L28-L29)/L28,"")</f>
        <v/>
      </c>
      <c r="M27" s="199" t="str">
        <f aca="false">IFERROR((M28-M29)/M28,"")</f>
        <v/>
      </c>
      <c r="N27" s="199" t="str">
        <f aca="false">IFERROR((N28-N29)/N28,"")</f>
        <v/>
      </c>
      <c r="O27" s="199" t="str">
        <f aca="false">IFERROR((O28-O29)/O28,"")</f>
        <v/>
      </c>
      <c r="P27" s="199" t="str">
        <f aca="false">IFERROR((P28-P29)/P28,"")</f>
        <v/>
      </c>
      <c r="Q27" s="199" t="str">
        <f aca="false">IFERROR((Q28-Q29)/Q28,"")</f>
        <v/>
      </c>
      <c r="R27" s="199" t="str">
        <f aca="false">IFERROR((R28-R29)/R28,"")</f>
        <v/>
      </c>
      <c r="S27" s="199" t="str">
        <f aca="false">IFERROR((S28-S29)/S28,"")</f>
        <v/>
      </c>
      <c r="T27" s="199" t="str">
        <f aca="false">IFERROR((T28-T29)/T28,"")</f>
        <v/>
      </c>
      <c r="U27" s="199" t="str">
        <f aca="false">IFERROR((U28-U29)/U28,"")</f>
        <v/>
      </c>
      <c r="V27" s="198" t="str">
        <f aca="false">IFERROR((V28-V29)/V28,"")</f>
        <v/>
      </c>
      <c r="W27" s="198" t="str">
        <f aca="false">IFERROR((W28-W29)/W28,"")</f>
        <v/>
      </c>
      <c r="X27" s="198" t="str">
        <f aca="false">IFERROR((X28-X29)/X28,"")</f>
        <v/>
      </c>
      <c r="Y27" s="198" t="str">
        <f aca="false">IFERROR((Y28-Y29)/Y28,"")</f>
        <v/>
      </c>
      <c r="Z27" s="198" t="str">
        <f aca="false">IFERROR((Z28-Z29)/Z28,"")</f>
        <v/>
      </c>
      <c r="AA27" s="198" t="str">
        <f aca="false">IFERROR((AA28-AA29)/AA28,"")</f>
        <v/>
      </c>
      <c r="AB27" s="198" t="str">
        <f aca="false">IFERROR((AB28-AB29)/AB28,"")</f>
        <v/>
      </c>
      <c r="AC27" s="198" t="str">
        <f aca="false">IFERROR((AC28-AC29)/AC28,"")</f>
        <v/>
      </c>
      <c r="AD27" s="198" t="str">
        <f aca="false">IFERROR((AD28-AD29)/AD28,"")</f>
        <v/>
      </c>
      <c r="AE27" s="198" t="str">
        <f aca="false">IFERROR((AE28-AE29)/AE28,"")</f>
        <v/>
      </c>
      <c r="AF27" s="198" t="str">
        <f aca="false">IFERROR((AF28-AF29)/AF28,"")</f>
        <v/>
      </c>
      <c r="AG27" s="198" t="str">
        <f aca="false">IFERROR((AG28-AG29)/AG28,"")</f>
        <v/>
      </c>
      <c r="AH27" s="198" t="str">
        <f aca="false">IFERROR((AH28-AH29)/AH28,"")</f>
        <v/>
      </c>
      <c r="AI27" s="198" t="str">
        <f aca="false">IFERROR((AI28-AI29)/AI28,"")</f>
        <v/>
      </c>
      <c r="AJ27" s="200" t="str">
        <f aca="false">IFERROR((AJ28-AJ29)/AJ28,"")</f>
        <v/>
      </c>
      <c r="AK27" s="201" t="str">
        <f aca="false">IFERROR((AK28-AK29)/AK28,"")</f>
        <v/>
      </c>
      <c r="AL27" s="202" t="str">
        <f aca="false">IFERROR((AL28-AL29)/AL28,"")</f>
        <v/>
      </c>
      <c r="AM27" s="202" t="str">
        <f aca="false">IFERROR((AM28-AM29)/AM28,"")</f>
        <v/>
      </c>
      <c r="AN27" s="202" t="str">
        <f aca="false">IFERROR((AN28-AN29)/AN28,"")</f>
        <v/>
      </c>
      <c r="AO27" s="202" t="str">
        <f aca="false">IFERROR((AO28-AO29)/AO28,"")</f>
        <v/>
      </c>
      <c r="AP27" s="202" t="str">
        <f aca="false">IFERROR((AP28-AP29)/AP28,"")</f>
        <v/>
      </c>
      <c r="AQ27" s="203" t="str">
        <f aca="false">IFERROR((AQ28-AQ29)/AQ28,"")</f>
        <v/>
      </c>
      <c r="AR27" s="204" t="str">
        <f aca="false">IFERROR((AR28-AR29)/AR28,"")</f>
        <v/>
      </c>
    </row>
    <row r="28" customFormat="false" ht="14.25" hidden="false" customHeight="false" outlineLevel="0" collapsed="false">
      <c r="A28" s="191" t="str">
        <f aca="false">+IF(C28+C29=0,"[ocultar]","")</f>
        <v>[ocultar]</v>
      </c>
      <c r="B28" s="205" t="s">
        <v>371</v>
      </c>
      <c r="C28" s="206" t="n">
        <f aca="false" t="array" ref="C28:C28">SUM(IF($B28=DATOS_[Sexo], IF($B27=DATOS_[AGRUP. VALOR. PTO.], IF("Dentro"=DATOS_[Check Periodo Ref.], 1/(COUNTIFS(DATOS_[Sexo],$B28,DATOS_[AGRUP. VALOR. PTO.],$B27,DATOS_[Check Periodo Ref.],"Dentro",DATOS_[id],DATOS_[id]))))))</f>
        <v>0</v>
      </c>
      <c r="D28" s="207" t="n">
        <f aca="false">COUNTIFS(DATOS_[AGRUP. VALOR. PTO.],$B27,DATOS_[Sexo],$B28,DATOS_[Check Periodo Ref.],"Dentro")</f>
        <v>0</v>
      </c>
      <c r="E28" s="208" t="n">
        <f aca="false" t="array" ref="E28:E28">IFERROR( AVERAGE(IF(DATOS_[Sexo]=$B28,IF(DATOS_[AGRUP. VALOR. PTO.]=$B27,IF(DATOS_[Check Periodo Ref.]="Dentro",DATOS_[SALARIO BASE Ef],0)))), 0)</f>
        <v>0</v>
      </c>
      <c r="F28" s="209" t="n">
        <f aca="false" t="array" ref="F28:F28">IFERROR( AVERAGE((IF(DATOS_[[Sexo]:[Sexo]]=$B28,IF(DATOS_[[AGRUP. VALOR. PTO.]:[AGRUP. VALOR. PTO.]]=$B27,IF(DATOS_[[Check Periodo Ref.]:[Check Periodo Ref.]]="Dentro",DATOS_[Conc.Sal.01]))))), 0)</f>
        <v>0</v>
      </c>
      <c r="G28" s="209" t="n">
        <f aca="false" t="array" ref="G28:G28">IFERROR( AVERAGE((IF(DATOS_[[Sexo]:[Sexo]]=$B28,IF(DATOS_[[AGRUP. VALOR. PTO.]:[AGRUP. VALOR. PTO.]]=$B27,IF(DATOS_[[Check Periodo Ref.]:[Check Periodo Ref.]]="Dentro",DATOS_[Conc.Sal.02]))))), 0)</f>
        <v>0</v>
      </c>
      <c r="H28" s="209" t="n">
        <f aca="false" t="array" ref="H28:H28">IFERROR( AVERAGE((IF(DATOS_[[Sexo]:[Sexo]]=$B28,IF(DATOS_[[AGRUP. VALOR. PTO.]:[AGRUP. VALOR. PTO.]]=$B27,IF(DATOS_[[Check Periodo Ref.]:[Check Periodo Ref.]]="Dentro",DATOS_[Conc.Sal.03]))))), 0)</f>
        <v>0</v>
      </c>
      <c r="I28" s="209" t="n">
        <f aca="false" t="array" ref="I28:I28">IFERROR( AVERAGE((IF(DATOS_[[Sexo]:[Sexo]]=$B28,IF(DATOS_[[AGRUP. VALOR. PTO.]:[AGRUP. VALOR. PTO.]]=$B27,IF(DATOS_[[Check Periodo Ref.]:[Check Periodo Ref.]]="Dentro",DATOS_[Conc.Sal.04]))))), 0)</f>
        <v>0</v>
      </c>
      <c r="J28" s="209" t="n">
        <f aca="false" t="array" ref="J28:J28">IFERROR( AVERAGE((IF(DATOS_[[Sexo]:[Sexo]]=$B28,IF(DATOS_[[AGRUP. VALOR. PTO.]:[AGRUP. VALOR. PTO.]]=$B27,IF(DATOS_[[Check Periodo Ref.]:[Check Periodo Ref.]]="Dentro",DATOS_[Conc.Sal.05]))))), 0)</f>
        <v>0</v>
      </c>
      <c r="K28" s="209" t="n">
        <f aca="false" t="array" ref="K28:K28">IFERROR( AVERAGE((IF(DATOS_[[Sexo]:[Sexo]]=$B28,IF(DATOS_[[AGRUP. VALOR. PTO.]:[AGRUP. VALOR. PTO.]]=$B27,IF(DATOS_[[Check Periodo Ref.]:[Check Periodo Ref.]]="Dentro",DATOS_[Conc.Sal.06]))))), 0)</f>
        <v>0</v>
      </c>
      <c r="L28" s="209" t="n">
        <f aca="false" t="array" ref="L28:L28">IFERROR( AVERAGE((IF(DATOS_[[Sexo]:[Sexo]]=$B28,IF(DATOS_[[AGRUP. VALOR. PTO.]:[AGRUP. VALOR. PTO.]]=$B27,IF(DATOS_[[Check Periodo Ref.]:[Check Periodo Ref.]]="Dentro",DATOS_[Conc.Sal.07]))))), 0)</f>
        <v>0</v>
      </c>
      <c r="M28" s="209" t="n">
        <f aca="false" t="array" ref="M28:M28">IFERROR( AVERAGE((IF(DATOS_[[Sexo]:[Sexo]]=$B28,IF(DATOS_[[AGRUP. VALOR. PTO.]:[AGRUP. VALOR. PTO.]]=$B27,IF(DATOS_[[Check Periodo Ref.]:[Check Periodo Ref.]]="Dentro",DATOS_[Conc.Sal.08]))))), 0)</f>
        <v>0</v>
      </c>
      <c r="N28" s="209" t="n">
        <f aca="false" t="array" ref="N28:N28">IFERROR( AVERAGE((IF(DATOS_[[Sexo]:[Sexo]]=$B28,IF(DATOS_[[AGRUP. VALOR. PTO.]:[AGRUP. VALOR. PTO.]]=$B27,IF(DATOS_[[Check Periodo Ref.]:[Check Periodo Ref.]]="Dentro",DATOS_[Conc.Sal.09]))))), 0)</f>
        <v>0</v>
      </c>
      <c r="O28" s="209" t="n">
        <f aca="false" t="array" ref="O28:O28">IFERROR( AVERAGE((IF(DATOS_[[Sexo]:[Sexo]]=$B28,IF(DATOS_[[AGRUP. VALOR. PTO.]:[AGRUP. VALOR. PTO.]]=$B27,IF(DATOS_[[Check Periodo Ref.]:[Check Periodo Ref.]]="Dentro",DATOS_[Conc.Sal.10]))))), 0)</f>
        <v>0</v>
      </c>
      <c r="P28" s="209" t="n">
        <f aca="false" t="array" ref="P28:P28">IFERROR( AVERAGE((IF(DATOS_[[Sexo]:[Sexo]]=$B28,IF(DATOS_[[AGRUP. VALOR. PTO.]:[AGRUP. VALOR. PTO.]]=$B27,IF(DATOS_[[Check Periodo Ref.]:[Check Periodo Ref.]]="Dentro",DATOS_[Conc.Sal.11]))))), 0)</f>
        <v>0</v>
      </c>
      <c r="Q28" s="209" t="n">
        <f aca="false" t="array" ref="Q28:Q28">IFERROR( AVERAGE((IF(DATOS_[[Sexo]:[Sexo]]=$B28,IF(DATOS_[[AGRUP. VALOR. PTO.]:[AGRUP. VALOR. PTO.]]=$B27,IF(DATOS_[[Check Periodo Ref.]:[Check Periodo Ref.]]="Dentro",DATOS_[Conc.Sal.12]))))), 0)</f>
        <v>0</v>
      </c>
      <c r="R28" s="209" t="n">
        <f aca="false" t="array" ref="R28:R28">IFERROR( AVERAGE((IF(DATOS_[[Sexo]:[Sexo]]=$B28,IF(DATOS_[[AGRUP. VALOR. PTO.]:[AGRUP. VALOR. PTO.]]=$B27,IF(DATOS_[[Check Periodo Ref.]:[Check Periodo Ref.]]="Dentro",DATOS_[Conc.Sal.13]))))), 0)</f>
        <v>0</v>
      </c>
      <c r="S28" s="209" t="n">
        <f aca="false" t="array" ref="S28:S28">IFERROR( AVERAGE((IF(DATOS_[[Sexo]:[Sexo]]=$B28,IF(DATOS_[[AGRUP. VALOR. PTO.]:[AGRUP. VALOR. PTO.]]=$B27,IF(DATOS_[[Check Periodo Ref.]:[Check Periodo Ref.]]="Dentro",DATOS_[Conc.Sal.14]))))), 0)</f>
        <v>0</v>
      </c>
      <c r="T28" s="209" t="n">
        <f aca="false" t="array" ref="T28:T28">IFERROR( AVERAGE((IF(DATOS_[[Sexo]:[Sexo]]=$B28,IF(DATOS_[[AGRUP. VALOR. PTO.]:[AGRUP. VALOR. PTO.]]=$B27,IF(DATOS_[[Check Periodo Ref.]:[Check Periodo Ref.]]="Dentro",DATOS_[Conc.Sal.15]))))), 0)</f>
        <v>0</v>
      </c>
      <c r="U28" s="209" t="n">
        <f aca="false" t="array" ref="U28:U28">IFERROR( AVERAGE((IF(DATOS_[[Sexo]:[Sexo]]=$B28,IF(DATOS_[[AGRUP. VALOR. PTO.]:[AGRUP. VALOR. PTO.]]=$B27,IF(DATOS_[[Check Periodo Ref.]:[Check Periodo Ref.]]="Dentro",DATOS_[Conc.Sal.16]))))), 0)</f>
        <v>0</v>
      </c>
      <c r="V28" s="209" t="n">
        <f aca="false" t="array" ref="V28:V28">IFERROR( AVERAGE((IF(DATOS_[[Sexo]:[Sexo]]=$B28,IF(DATOS_[[AGRUP. VALOR. PTO.]:[AGRUP. VALOR. PTO.]]=$B27,IF(DATOS_[[Check Periodo Ref.]:[Check Periodo Ref.]]="Dentro",DATOS_[Conc.Sal.17]))))), 0)</f>
        <v>0</v>
      </c>
      <c r="W28" s="209" t="n">
        <f aca="false" t="array" ref="W28:W28">IFERROR( AVERAGE((IF(DATOS_[[Sexo]:[Sexo]]=$B28,IF(DATOS_[[AGRUP. VALOR. PTO.]:[AGRUP. VALOR. PTO.]]=$B27,IF(DATOS_[[Check Periodo Ref.]:[Check Periodo Ref.]]="Dentro",DATOS_[Conc.Sal.18]))))), 0)</f>
        <v>0</v>
      </c>
      <c r="X28" s="209" t="n">
        <f aca="false" t="array" ref="X28:X28">IFERROR( AVERAGE((IF(DATOS_[[Sexo]:[Sexo]]=$B28,IF(DATOS_[[AGRUP. VALOR. PTO.]:[AGRUP. VALOR. PTO.]]=$B27,IF(DATOS_[[Check Periodo Ref.]:[Check Periodo Ref.]]="Dentro",DATOS_[Conc.Sal.19]))))), 0)</f>
        <v>0</v>
      </c>
      <c r="Y28" s="209" t="n">
        <f aca="false" t="array" ref="Y28:Y28">IFERROR( AVERAGE((IF(DATOS_[[Sexo]:[Sexo]]=$B28,IF(DATOS_[[AGRUP. VALOR. PTO.]:[AGRUP. VALOR. PTO.]]=$B27,IF(DATOS_[[Check Periodo Ref.]:[Check Periodo Ref.]]="Dentro",DATOS_[Conc.Sal.20]))))), 0)</f>
        <v>0</v>
      </c>
      <c r="Z28" s="209" t="n">
        <f aca="false" t="array" ref="Z28:Z28">IFERROR( AVERAGE((IF(DATOS_[[Sexo]:[Sexo]]=$B28,IF(DATOS_[[AGRUP. VALOR. PTO.]:[AGRUP. VALOR. PTO.]]=$B27,IF(DATOS_[[Check Periodo Ref.]:[Check Periodo Ref.]]="Dentro",DATOS_[Conc.Sal.21]))))), 0)</f>
        <v>0</v>
      </c>
      <c r="AA28" s="209" t="n">
        <f aca="false" t="array" ref="AA28:AA28">IFERROR( AVERAGE((IF(DATOS_[[Sexo]:[Sexo]]=$B28,IF(DATOS_[[AGRUP. VALOR. PTO.]:[AGRUP. VALOR. PTO.]]=$B27,IF(DATOS_[[Check Periodo Ref.]:[Check Periodo Ref.]]="Dentro",DATOS_[Conc.Sal.22]))))), 0)</f>
        <v>0</v>
      </c>
      <c r="AB28" s="209" t="n">
        <f aca="false" t="array" ref="AB28:AB28">IFERROR( AVERAGE((IF(DATOS_[[Sexo]:[Sexo]]=$B28,IF(DATOS_[[AGRUP. VALOR. PTO.]:[AGRUP. VALOR. PTO.]]=$B27,IF(DATOS_[[Check Periodo Ref.]:[Check Periodo Ref.]]="Dentro",DATOS_[Conc.Sal.23]))))), 0)</f>
        <v>0</v>
      </c>
      <c r="AC28" s="209" t="n">
        <f aca="false" t="array" ref="AC28:AC28">IFERROR( AVERAGE((IF(DATOS_[[Sexo]:[Sexo]]=$B28,IF(DATOS_[[AGRUP. VALOR. PTO.]:[AGRUP. VALOR. PTO.]]=$B27,IF(DATOS_[[Check Periodo Ref.]:[Check Periodo Ref.]]="Dentro",DATOS_[Conc.Sal.24]))))), 0)</f>
        <v>0</v>
      </c>
      <c r="AD28" s="209" t="n">
        <f aca="false" t="array" ref="AD28:AD28">IFERROR( AVERAGE((IF(DATOS_[[Sexo]:[Sexo]]=$B28,IF(DATOS_[[AGRUP. VALOR. PTO.]:[AGRUP. VALOR. PTO.]]=$B27,IF(DATOS_[[Check Periodo Ref.]:[Check Periodo Ref.]]="Dentro",DATOS_[Conc.Sal.25]))))), 0)</f>
        <v>0</v>
      </c>
      <c r="AE28" s="209" t="n">
        <f aca="false" t="array" ref="AE28:AE28">IFERROR( AVERAGE((IF(DATOS_[[Sexo]:[Sexo]]=$B28,IF(DATOS_[[AGRUP. VALOR. PTO.]:[AGRUP. VALOR. PTO.]]=$B27,IF(DATOS_[[Check Periodo Ref.]:[Check Periodo Ref.]]="Dentro",DATOS_[Conc.Sal.26]))))), 0)</f>
        <v>0</v>
      </c>
      <c r="AF28" s="209" t="n">
        <f aca="false" t="array" ref="AF28:AF28">IFERROR( AVERAGE((IF(DATOS_[[Sexo]:[Sexo]]=$B28,IF(DATOS_[[AGRUP. VALOR. PTO.]:[AGRUP. VALOR. PTO.]]=$B27,IF(DATOS_[[Check Periodo Ref.]:[Check Periodo Ref.]]="Dentro",DATOS_[Conc.Sal.27]))))), 0)</f>
        <v>0</v>
      </c>
      <c r="AG28" s="209" t="n">
        <f aca="false" t="array" ref="AG28:AG28">IFERROR( AVERAGE((IF(DATOS_[[Sexo]:[Sexo]]=$B28,IF(DATOS_[[AGRUP. VALOR. PTO.]:[AGRUP. VALOR. PTO.]]=$B27,IF(DATOS_[[Check Periodo Ref.]:[Check Periodo Ref.]]="Dentro",DATOS_[Conc.Sal.28]))))), 0)</f>
        <v>0</v>
      </c>
      <c r="AH28" s="209" t="n">
        <f aca="false" t="array" ref="AH28:AH28">IFERROR( AVERAGE((IF(DATOS_[[Sexo]:[Sexo]]=$B28,IF(DATOS_[[AGRUP. VALOR. PTO.]:[AGRUP. VALOR. PTO.]]=$B27,IF(DATOS_[[Check Periodo Ref.]:[Check Periodo Ref.]]="Dentro",DATOS_[Conc.Sal.29]))))), 0)</f>
        <v>0</v>
      </c>
      <c r="AI28" s="209" t="n">
        <f aca="false" t="array" ref="AI28:AI28">IFERROR( AVERAGE((IF(DATOS_[[Sexo]:[Sexo]]=$B28,IF(DATOS_[[AGRUP. VALOR. PTO.]:[AGRUP. VALOR. PTO.]]=$B27,IF(DATOS_[[Check Periodo Ref.]:[Check Periodo Ref.]]="Dentro",DATOS_[Conc.Sal.30]))))), 0)</f>
        <v>0</v>
      </c>
      <c r="AJ28" s="210" t="n">
        <f aca="false" t="array" ref="AJ28:AJ28">IFERROR( AVERAGE(IF(DATOS_[Sexo]=$B28,IF(DATOS_[AGRUP. VALOR. PTO.]=$B27,IF(DATOS_[Check Periodo Ref.]="Dentro",DATOS_[Tot COMPL.SAL Ef],0)))), 0)</f>
        <v>0</v>
      </c>
      <c r="AK28" s="211" t="n">
        <f aca="false" t="array" ref="AK28:AK28">IFERROR( AVERAGE(IF(DATOS_[Sexo]=$B28,IF(DATOS_[AGRUP. VALOR. PTO.]=$B27,IF(DATOS_[Check Periodo Ref.]="Dentro",DATOS_[TOTAL SALARIO Ef],0)))), 0)</f>
        <v>0</v>
      </c>
      <c r="AL28" s="212" t="n">
        <f aca="false" t="array" ref="AL28:AL28">IFERROR( AVERAGE((IF(DATOS_[[Sexo]:[Sexo]]=$B28,IF(DATOS_[[AGRUP. VALOR. PTO.]:[AGRUP. VALOR. PTO.]]=$B27,IF(DATOS_[[Check Periodo Ref.]:[Check Periodo Ref.]]="Dentro",DATOS_[C.Extra.01]))))), 0)</f>
        <v>0</v>
      </c>
      <c r="AM28" s="212" t="n">
        <f aca="false" t="array" ref="AM28:AM28">IFERROR( AVERAGE((IF(DATOS_[[Sexo]:[Sexo]]=$B28,IF(DATOS_[[AGRUP. VALOR. PTO.]:[AGRUP. VALOR. PTO.]]=$B27,IF(DATOS_[[Check Periodo Ref.]:[Check Periodo Ref.]]="Dentro",DATOS_[C.Extra.02]))))), 0)</f>
        <v>0</v>
      </c>
      <c r="AN28" s="212" t="n">
        <f aca="false" t="array" ref="AN28:AN28">IFERROR( AVERAGE((IF(DATOS_[[Sexo]:[Sexo]]=$B28,IF(DATOS_[[AGRUP. VALOR. PTO.]:[AGRUP. VALOR. PTO.]]=$B27,IF(DATOS_[[Check Periodo Ref.]:[Check Periodo Ref.]]="Dentro",DATOS_[C.Extra.03]))))), 0)</f>
        <v>0</v>
      </c>
      <c r="AO28" s="212" t="n">
        <f aca="false" t="array" ref="AO28:AO28">IFERROR( AVERAGE((IF(DATOS_[[Sexo]:[Sexo]]=$B28,IF(DATOS_[[AGRUP. VALOR. PTO.]:[AGRUP. VALOR. PTO.]]=$B27,IF(DATOS_[[Check Periodo Ref.]:[Check Periodo Ref.]]="Dentro",DATOS_[C.Extra.04]))))), 0)</f>
        <v>0</v>
      </c>
      <c r="AP28" s="212" t="n">
        <f aca="false" t="array" ref="AP28:AP28">IFERROR( AVERAGE((IF(DATOS_[[Sexo]:[Sexo]]=$B28,IF(DATOS_[[AGRUP. VALOR. PTO.]:[AGRUP. VALOR. PTO.]]=$B27,IF(DATOS_[[Check Periodo Ref.]:[Check Periodo Ref.]]="Dentro",DATOS_[C.Extra.05]))))), 0)</f>
        <v>0</v>
      </c>
      <c r="AQ28" s="213" t="n">
        <f aca="false" t="array" ref="AQ28:AQ28">IFERROR( AVERAGE(IF(DATOS_[Sexo]=$B28,IF(DATOS_[AGRUP. VALOR. PTO.]=$B27,IF(DATOS_[Check Periodo Ref.]="Dentro",DATOS_[Tot Extrasalarial Ef],0)))), 0)</f>
        <v>0</v>
      </c>
      <c r="AR28" s="214" t="n">
        <f aca="false" t="array" ref="AR28:AR28">IFERROR( AVERAGE(IF(DATOS_[Sexo]=$B28,IF(DATOS_[AGRUP. VALOR. PTO.]=$B27,IF(DATOS_[Check Periodo Ref.]="Dentro",DATOS_[TOTAL Retrib Ef],0)))), 0)</f>
        <v>0</v>
      </c>
    </row>
    <row r="29" customFormat="false" ht="14.25" hidden="false" customHeight="false" outlineLevel="0" collapsed="false">
      <c r="A29" s="191" t="str">
        <f aca="false">+A28</f>
        <v>[ocultar]</v>
      </c>
      <c r="B29" s="205" t="s">
        <v>372</v>
      </c>
      <c r="C29" s="206" t="n">
        <f aca="false" t="array" ref="C29:C29">SUM(IF($B29=DATOS_[Sexo], IF($B27=DATOS_[AGRUP. VALOR. PTO.], IF("Dentro"=DATOS_[Check Periodo Ref.], 1/(COUNTIFS(DATOS_[Sexo],$B29,DATOS_[AGRUP. VALOR. PTO.],$B27,DATOS_[Check Periodo Ref.],"Dentro",DATOS_[id],DATOS_[id]))))))</f>
        <v>0</v>
      </c>
      <c r="D29" s="207" t="n">
        <f aca="false">COUNTIFS(DATOS_[AGRUP. VALOR. PTO.],$B27,DATOS_[Sexo],$B29,DATOS_[Check Periodo Ref.],"Dentro")</f>
        <v>0</v>
      </c>
      <c r="E29" s="208" t="n">
        <f aca="false" t="array" ref="E29:E29">IFERROR( AVERAGE(IF(DATOS_[Sexo]=$B29,IF(DATOS_[AGRUP. VALOR. PTO.]=$B27,IF(DATOS_[Check Periodo Ref.]="Dentro",DATOS_[SALARIO BASE Ef],0)))), 0)</f>
        <v>0</v>
      </c>
      <c r="F29" s="209" t="n">
        <f aca="false" t="array" ref="F29:F29">IFERROR( AVERAGE((IF(DATOS_[[Sexo]:[Sexo]]=$B29,IF(DATOS_[[AGRUP. VALOR. PTO.]:[AGRUP. VALOR. PTO.]]=$B27,IF(DATOS_[[Check Periodo Ref.]:[Check Periodo Ref.]]="Dentro",DATOS_[Conc.Sal.01]))))), 0)</f>
        <v>0</v>
      </c>
      <c r="G29" s="209" t="n">
        <f aca="false" t="array" ref="G29:G29">IFERROR( AVERAGE((IF(DATOS_[[Sexo]:[Sexo]]=$B29,IF(DATOS_[[AGRUP. VALOR. PTO.]:[AGRUP. VALOR. PTO.]]=$B27,IF(DATOS_[[Check Periodo Ref.]:[Check Periodo Ref.]]="Dentro",DATOS_[Conc.Sal.02]))))), 0)</f>
        <v>0</v>
      </c>
      <c r="H29" s="209" t="n">
        <f aca="false" t="array" ref="H29:H29">IFERROR( AVERAGE((IF(DATOS_[[Sexo]:[Sexo]]=$B29,IF(DATOS_[[AGRUP. VALOR. PTO.]:[AGRUP. VALOR. PTO.]]=$B27,IF(DATOS_[[Check Periodo Ref.]:[Check Periodo Ref.]]="Dentro",DATOS_[Conc.Sal.03]))))), 0)</f>
        <v>0</v>
      </c>
      <c r="I29" s="209" t="n">
        <f aca="false" t="array" ref="I29:I29">IFERROR( AVERAGE((IF(DATOS_[[Sexo]:[Sexo]]=$B29,IF(DATOS_[[AGRUP. VALOR. PTO.]:[AGRUP. VALOR. PTO.]]=$B27,IF(DATOS_[[Check Periodo Ref.]:[Check Periodo Ref.]]="Dentro",DATOS_[Conc.Sal.04]))))), 0)</f>
        <v>0</v>
      </c>
      <c r="J29" s="209" t="n">
        <f aca="false" t="array" ref="J29:J29">IFERROR( AVERAGE((IF(DATOS_[[Sexo]:[Sexo]]=$B29,IF(DATOS_[[AGRUP. VALOR. PTO.]:[AGRUP. VALOR. PTO.]]=$B27,IF(DATOS_[[Check Periodo Ref.]:[Check Periodo Ref.]]="Dentro",DATOS_[Conc.Sal.05]))))), 0)</f>
        <v>0</v>
      </c>
      <c r="K29" s="209" t="n">
        <f aca="false" t="array" ref="K29:K29">IFERROR( AVERAGE((IF(DATOS_[[Sexo]:[Sexo]]=$B29,IF(DATOS_[[AGRUP. VALOR. PTO.]:[AGRUP. VALOR. PTO.]]=$B27,IF(DATOS_[[Check Periodo Ref.]:[Check Periodo Ref.]]="Dentro",DATOS_[Conc.Sal.06]))))), 0)</f>
        <v>0</v>
      </c>
      <c r="L29" s="209" t="n">
        <f aca="false" t="array" ref="L29:L29">IFERROR( AVERAGE((IF(DATOS_[[Sexo]:[Sexo]]=$B29,IF(DATOS_[[AGRUP. VALOR. PTO.]:[AGRUP. VALOR. PTO.]]=$B27,IF(DATOS_[[Check Periodo Ref.]:[Check Periodo Ref.]]="Dentro",DATOS_[Conc.Sal.07]))))), 0)</f>
        <v>0</v>
      </c>
      <c r="M29" s="209" t="n">
        <f aca="false" t="array" ref="M29:M29">IFERROR( AVERAGE((IF(DATOS_[[Sexo]:[Sexo]]=$B29,IF(DATOS_[[AGRUP. VALOR. PTO.]:[AGRUP. VALOR. PTO.]]=$B27,IF(DATOS_[[Check Periodo Ref.]:[Check Periodo Ref.]]="Dentro",DATOS_[Conc.Sal.08]))))), 0)</f>
        <v>0</v>
      </c>
      <c r="N29" s="209" t="n">
        <f aca="false" t="array" ref="N29:N29">IFERROR( AVERAGE((IF(DATOS_[[Sexo]:[Sexo]]=$B29,IF(DATOS_[[AGRUP. VALOR. PTO.]:[AGRUP. VALOR. PTO.]]=$B27,IF(DATOS_[[Check Periodo Ref.]:[Check Periodo Ref.]]="Dentro",DATOS_[Conc.Sal.09]))))), 0)</f>
        <v>0</v>
      </c>
      <c r="O29" s="209" t="n">
        <f aca="false" t="array" ref="O29:O29">IFERROR( AVERAGE((IF(DATOS_[[Sexo]:[Sexo]]=$B29,IF(DATOS_[[AGRUP. VALOR. PTO.]:[AGRUP. VALOR. PTO.]]=$B27,IF(DATOS_[[Check Periodo Ref.]:[Check Periodo Ref.]]="Dentro",DATOS_[Conc.Sal.10]))))), 0)</f>
        <v>0</v>
      </c>
      <c r="P29" s="209" t="n">
        <f aca="false" t="array" ref="P29:P29">IFERROR( AVERAGE((IF(DATOS_[[Sexo]:[Sexo]]=$B29,IF(DATOS_[[AGRUP. VALOR. PTO.]:[AGRUP. VALOR. PTO.]]=$B27,IF(DATOS_[[Check Periodo Ref.]:[Check Periodo Ref.]]="Dentro",DATOS_[Conc.Sal.11]))))), 0)</f>
        <v>0</v>
      </c>
      <c r="Q29" s="209" t="n">
        <f aca="false" t="array" ref="Q29:Q29">IFERROR( AVERAGE((IF(DATOS_[[Sexo]:[Sexo]]=$B29,IF(DATOS_[[AGRUP. VALOR. PTO.]:[AGRUP. VALOR. PTO.]]=$B27,IF(DATOS_[[Check Periodo Ref.]:[Check Periodo Ref.]]="Dentro",DATOS_[Conc.Sal.12]))))), 0)</f>
        <v>0</v>
      </c>
      <c r="R29" s="209" t="n">
        <f aca="false" t="array" ref="R29:R29">IFERROR( AVERAGE((IF(DATOS_[[Sexo]:[Sexo]]=$B29,IF(DATOS_[[AGRUP. VALOR. PTO.]:[AGRUP. VALOR. PTO.]]=$B27,IF(DATOS_[[Check Periodo Ref.]:[Check Periodo Ref.]]="Dentro",DATOS_[Conc.Sal.13]))))), 0)</f>
        <v>0</v>
      </c>
      <c r="S29" s="209" t="n">
        <f aca="false" t="array" ref="S29:S29">IFERROR( AVERAGE((IF(DATOS_[[Sexo]:[Sexo]]=$B29,IF(DATOS_[[AGRUP. VALOR. PTO.]:[AGRUP. VALOR. PTO.]]=$B27,IF(DATOS_[[Check Periodo Ref.]:[Check Periodo Ref.]]="Dentro",DATOS_[Conc.Sal.14]))))), 0)</f>
        <v>0</v>
      </c>
      <c r="T29" s="209" t="n">
        <f aca="false" t="array" ref="T29:T29">IFERROR( AVERAGE((IF(DATOS_[[Sexo]:[Sexo]]=$B29,IF(DATOS_[[AGRUP. VALOR. PTO.]:[AGRUP. VALOR. PTO.]]=$B27,IF(DATOS_[[Check Periodo Ref.]:[Check Periodo Ref.]]="Dentro",DATOS_[Conc.Sal.15]))))), 0)</f>
        <v>0</v>
      </c>
      <c r="U29" s="209" t="n">
        <f aca="false" t="array" ref="U29:U29">IFERROR( AVERAGE((IF(DATOS_[[Sexo]:[Sexo]]=$B29,IF(DATOS_[[AGRUP. VALOR. PTO.]:[AGRUP. VALOR. PTO.]]=$B27,IF(DATOS_[[Check Periodo Ref.]:[Check Periodo Ref.]]="Dentro",DATOS_[Conc.Sal.16]))))), 0)</f>
        <v>0</v>
      </c>
      <c r="V29" s="209" t="n">
        <f aca="false" t="array" ref="V29:V29">IFERROR( AVERAGE((IF(DATOS_[[Sexo]:[Sexo]]=$B29,IF(DATOS_[[AGRUP. VALOR. PTO.]:[AGRUP. VALOR. PTO.]]=$B27,IF(DATOS_[[Check Periodo Ref.]:[Check Periodo Ref.]]="Dentro",DATOS_[Conc.Sal.17]))))), 0)</f>
        <v>0</v>
      </c>
      <c r="W29" s="209" t="n">
        <f aca="false" t="array" ref="W29:W29">IFERROR( AVERAGE((IF(DATOS_[[Sexo]:[Sexo]]=$B29,IF(DATOS_[[AGRUP. VALOR. PTO.]:[AGRUP. VALOR. PTO.]]=$B27,IF(DATOS_[[Check Periodo Ref.]:[Check Periodo Ref.]]="Dentro",DATOS_[Conc.Sal.18]))))), 0)</f>
        <v>0</v>
      </c>
      <c r="X29" s="209" t="n">
        <f aca="false" t="array" ref="X29:X29">IFERROR( AVERAGE((IF(DATOS_[[Sexo]:[Sexo]]=$B29,IF(DATOS_[[AGRUP. VALOR. PTO.]:[AGRUP. VALOR. PTO.]]=$B27,IF(DATOS_[[Check Periodo Ref.]:[Check Periodo Ref.]]="Dentro",DATOS_[Conc.Sal.19]))))), 0)</f>
        <v>0</v>
      </c>
      <c r="Y29" s="209" t="n">
        <f aca="false" t="array" ref="Y29:Y29">IFERROR( AVERAGE((IF(DATOS_[[Sexo]:[Sexo]]=$B29,IF(DATOS_[[AGRUP. VALOR. PTO.]:[AGRUP. VALOR. PTO.]]=$B27,IF(DATOS_[[Check Periodo Ref.]:[Check Periodo Ref.]]="Dentro",DATOS_[Conc.Sal.20]))))), 0)</f>
        <v>0</v>
      </c>
      <c r="Z29" s="209" t="n">
        <f aca="false" t="array" ref="Z29:Z29">IFERROR( AVERAGE((IF(DATOS_[[Sexo]:[Sexo]]=$B29,IF(DATOS_[[AGRUP. VALOR. PTO.]:[AGRUP. VALOR. PTO.]]=$B27,IF(DATOS_[[Check Periodo Ref.]:[Check Periodo Ref.]]="Dentro",DATOS_[Conc.Sal.21]))))), 0)</f>
        <v>0</v>
      </c>
      <c r="AA29" s="209" t="n">
        <f aca="false" t="array" ref="AA29:AA29">IFERROR( AVERAGE((IF(DATOS_[[Sexo]:[Sexo]]=$B29,IF(DATOS_[[AGRUP. VALOR. PTO.]:[AGRUP. VALOR. PTO.]]=$B27,IF(DATOS_[[Check Periodo Ref.]:[Check Periodo Ref.]]="Dentro",DATOS_[Conc.Sal.22]))))), 0)</f>
        <v>0</v>
      </c>
      <c r="AB29" s="209" t="n">
        <f aca="false" t="array" ref="AB29:AB29">IFERROR( AVERAGE((IF(DATOS_[[Sexo]:[Sexo]]=$B29,IF(DATOS_[[AGRUP. VALOR. PTO.]:[AGRUP. VALOR. PTO.]]=$B27,IF(DATOS_[[Check Periodo Ref.]:[Check Periodo Ref.]]="Dentro",DATOS_[Conc.Sal.23]))))), 0)</f>
        <v>0</v>
      </c>
      <c r="AC29" s="209" t="n">
        <f aca="false" t="array" ref="AC29:AC29">IFERROR( AVERAGE((IF(DATOS_[[Sexo]:[Sexo]]=$B29,IF(DATOS_[[AGRUP. VALOR. PTO.]:[AGRUP. VALOR. PTO.]]=$B27,IF(DATOS_[[Check Periodo Ref.]:[Check Periodo Ref.]]="Dentro",DATOS_[Conc.Sal.24]))))), 0)</f>
        <v>0</v>
      </c>
      <c r="AD29" s="209" t="n">
        <f aca="false" t="array" ref="AD29:AD29">IFERROR( AVERAGE((IF(DATOS_[[Sexo]:[Sexo]]=$B29,IF(DATOS_[[AGRUP. VALOR. PTO.]:[AGRUP. VALOR. PTO.]]=$B27,IF(DATOS_[[Check Periodo Ref.]:[Check Periodo Ref.]]="Dentro",DATOS_[Conc.Sal.25]))))), 0)</f>
        <v>0</v>
      </c>
      <c r="AE29" s="209" t="n">
        <f aca="false" t="array" ref="AE29:AE29">IFERROR( AVERAGE((IF(DATOS_[[Sexo]:[Sexo]]=$B29,IF(DATOS_[[AGRUP. VALOR. PTO.]:[AGRUP. VALOR. PTO.]]=$B27,IF(DATOS_[[Check Periodo Ref.]:[Check Periodo Ref.]]="Dentro",DATOS_[Conc.Sal.26]))))), 0)</f>
        <v>0</v>
      </c>
      <c r="AF29" s="209" t="n">
        <f aca="false" t="array" ref="AF29:AF29">IFERROR( AVERAGE((IF(DATOS_[[Sexo]:[Sexo]]=$B29,IF(DATOS_[[AGRUP. VALOR. PTO.]:[AGRUP. VALOR. PTO.]]=$B27,IF(DATOS_[[Check Periodo Ref.]:[Check Periodo Ref.]]="Dentro",DATOS_[Conc.Sal.27]))))), 0)</f>
        <v>0</v>
      </c>
      <c r="AG29" s="209" t="n">
        <f aca="false" t="array" ref="AG29:AG29">IFERROR( AVERAGE((IF(DATOS_[[Sexo]:[Sexo]]=$B29,IF(DATOS_[[AGRUP. VALOR. PTO.]:[AGRUP. VALOR. PTO.]]=$B27,IF(DATOS_[[Check Periodo Ref.]:[Check Periodo Ref.]]="Dentro",DATOS_[Conc.Sal.28]))))), 0)</f>
        <v>0</v>
      </c>
      <c r="AH29" s="209" t="n">
        <f aca="false" t="array" ref="AH29:AH29">IFERROR( AVERAGE((IF(DATOS_[[Sexo]:[Sexo]]=$B29,IF(DATOS_[[AGRUP. VALOR. PTO.]:[AGRUP. VALOR. PTO.]]=$B27,IF(DATOS_[[Check Periodo Ref.]:[Check Periodo Ref.]]="Dentro",DATOS_[Conc.Sal.29]))))), 0)</f>
        <v>0</v>
      </c>
      <c r="AI29" s="209" t="n">
        <f aca="false" t="array" ref="AI29:AI29">IFERROR( AVERAGE((IF(DATOS_[[Sexo]:[Sexo]]=$B29,IF(DATOS_[[AGRUP. VALOR. PTO.]:[AGRUP. VALOR. PTO.]]=$B27,IF(DATOS_[[Check Periodo Ref.]:[Check Periodo Ref.]]="Dentro",DATOS_[Conc.Sal.30]))))), 0)</f>
        <v>0</v>
      </c>
      <c r="AJ29" s="210" t="n">
        <f aca="false" t="array" ref="AJ29:AJ29">IFERROR( AVERAGE(IF(DATOS_[Sexo]=$B29,IF(DATOS_[AGRUP. VALOR. PTO.]=$B27,IF(DATOS_[Check Periodo Ref.]="Dentro",DATOS_[Tot COMPL.SAL Ef],0)))), 0)</f>
        <v>0</v>
      </c>
      <c r="AK29" s="211" t="n">
        <f aca="false" t="array" ref="AK29:AK29">IFERROR( AVERAGE(IF(DATOS_[Sexo]=$B29,IF(DATOS_[AGRUP. VALOR. PTO.]=$B27,IF(DATOS_[Check Periodo Ref.]="Dentro",DATOS_[TOTAL SALARIO Ef],0)))), 0)</f>
        <v>0</v>
      </c>
      <c r="AL29" s="212" t="n">
        <f aca="false" t="array" ref="AL29:AL29">IFERROR( AVERAGE((IF(DATOS_[[Sexo]:[Sexo]]=$B29,IF(DATOS_[[AGRUP. VALOR. PTO.]:[AGRUP. VALOR. PTO.]]=$B27,IF(DATOS_[[Check Periodo Ref.]:[Check Periodo Ref.]]="Dentro",DATOS_[C.Extra.01]))))), 0)</f>
        <v>0</v>
      </c>
      <c r="AM29" s="212" t="n">
        <f aca="false" t="array" ref="AM29:AM29">IFERROR( AVERAGE((IF(DATOS_[[Sexo]:[Sexo]]=$B29,IF(DATOS_[[AGRUP. VALOR. PTO.]:[AGRUP. VALOR. PTO.]]=$B27,IF(DATOS_[[Check Periodo Ref.]:[Check Periodo Ref.]]="Dentro",DATOS_[C.Extra.02]))))), 0)</f>
        <v>0</v>
      </c>
      <c r="AN29" s="212" t="n">
        <f aca="false" t="array" ref="AN29:AN29">IFERROR( AVERAGE((IF(DATOS_[[Sexo]:[Sexo]]=$B29,IF(DATOS_[[AGRUP. VALOR. PTO.]:[AGRUP. VALOR. PTO.]]=$B27,IF(DATOS_[[Check Periodo Ref.]:[Check Periodo Ref.]]="Dentro",DATOS_[C.Extra.03]))))), 0)</f>
        <v>0</v>
      </c>
      <c r="AO29" s="212" t="n">
        <f aca="false" t="array" ref="AO29:AO29">IFERROR( AVERAGE((IF(DATOS_[[Sexo]:[Sexo]]=$B29,IF(DATOS_[[AGRUP. VALOR. PTO.]:[AGRUP. VALOR. PTO.]]=$B27,IF(DATOS_[[Check Periodo Ref.]:[Check Periodo Ref.]]="Dentro",DATOS_[C.Extra.04]))))), 0)</f>
        <v>0</v>
      </c>
      <c r="AP29" s="212" t="n">
        <f aca="false" t="array" ref="AP29:AP29">IFERROR( AVERAGE((IF(DATOS_[[Sexo]:[Sexo]]=$B29,IF(DATOS_[[AGRUP. VALOR. PTO.]:[AGRUP. VALOR. PTO.]]=$B27,IF(DATOS_[[Check Periodo Ref.]:[Check Periodo Ref.]]="Dentro",DATOS_[C.Extra.05]))))), 0)</f>
        <v>0</v>
      </c>
      <c r="AQ29" s="213" t="n">
        <f aca="false" t="array" ref="AQ29:AQ29">IFERROR( AVERAGE(IF(DATOS_[Sexo]=$B29,IF(DATOS_[AGRUP. VALOR. PTO.]=$B27,IF(DATOS_[Check Periodo Ref.]="Dentro",DATOS_[Tot Extrasalarial Ef],0)))), 0)</f>
        <v>0</v>
      </c>
      <c r="AR29" s="214" t="n">
        <f aca="false" t="array" ref="AR29:AR29">IFERROR( AVERAGE(IF(DATOS_[Sexo]=$B29,IF(DATOS_[AGRUP. VALOR. PTO.]=$B27,IF(DATOS_[Check Periodo Ref.]="Dentro",DATOS_[TOTAL Retrib Ef],0)))), 0)</f>
        <v>0</v>
      </c>
    </row>
    <row r="30" customFormat="false" ht="15.75" hidden="false" customHeight="false" outlineLevel="0" collapsed="false">
      <c r="A30" s="191" t="str">
        <f aca="false">+A31</f>
        <v>[ocultar]</v>
      </c>
      <c r="B30" s="192" t="s">
        <v>184</v>
      </c>
      <c r="C30" s="193"/>
      <c r="D30" s="194"/>
      <c r="E30" s="195" t="str">
        <f aca="false">IFERROR((E31-E32)/E31,"")</f>
        <v/>
      </c>
      <c r="F30" s="196" t="str">
        <f aca="false">IFERROR((F31-F32)/F31,"")</f>
        <v/>
      </c>
      <c r="G30" s="197" t="str">
        <f aca="false">IFERROR((G31-G32)/G31,"")</f>
        <v/>
      </c>
      <c r="H30" s="197" t="str">
        <f aca="false">IFERROR((H31-H32)/H31,"")</f>
        <v/>
      </c>
      <c r="I30" s="197" t="str">
        <f aca="false">IFERROR((I31-I32)/I31,"")</f>
        <v/>
      </c>
      <c r="J30" s="198" t="str">
        <f aca="false">IFERROR((J31-J32)/J31,"")</f>
        <v/>
      </c>
      <c r="K30" s="199" t="str">
        <f aca="false">IFERROR((K31-K32)/K31,"")</f>
        <v/>
      </c>
      <c r="L30" s="199" t="str">
        <f aca="false">IFERROR((L31-L32)/L31,"")</f>
        <v/>
      </c>
      <c r="M30" s="199" t="str">
        <f aca="false">IFERROR((M31-M32)/M31,"")</f>
        <v/>
      </c>
      <c r="N30" s="199" t="str">
        <f aca="false">IFERROR((N31-N32)/N31,"")</f>
        <v/>
      </c>
      <c r="O30" s="199" t="str">
        <f aca="false">IFERROR((O31-O32)/O31,"")</f>
        <v/>
      </c>
      <c r="P30" s="199" t="str">
        <f aca="false">IFERROR((P31-P32)/P31,"")</f>
        <v/>
      </c>
      <c r="Q30" s="199" t="str">
        <f aca="false">IFERROR((Q31-Q32)/Q31,"")</f>
        <v/>
      </c>
      <c r="R30" s="199" t="str">
        <f aca="false">IFERROR((R31-R32)/R31,"")</f>
        <v/>
      </c>
      <c r="S30" s="199" t="str">
        <f aca="false">IFERROR((S31-S32)/S31,"")</f>
        <v/>
      </c>
      <c r="T30" s="199" t="str">
        <f aca="false">IFERROR((T31-T32)/T31,"")</f>
        <v/>
      </c>
      <c r="U30" s="199" t="str">
        <f aca="false">IFERROR((U31-U32)/U31,"")</f>
        <v/>
      </c>
      <c r="V30" s="198" t="str">
        <f aca="false">IFERROR((V31-V32)/V31,"")</f>
        <v/>
      </c>
      <c r="W30" s="198" t="str">
        <f aca="false">IFERROR((W31-W32)/W31,"")</f>
        <v/>
      </c>
      <c r="X30" s="198" t="str">
        <f aca="false">IFERROR((X31-X32)/X31,"")</f>
        <v/>
      </c>
      <c r="Y30" s="198" t="str">
        <f aca="false">IFERROR((Y31-Y32)/Y31,"")</f>
        <v/>
      </c>
      <c r="Z30" s="198" t="str">
        <f aca="false">IFERROR((Z31-Z32)/Z31,"")</f>
        <v/>
      </c>
      <c r="AA30" s="198" t="str">
        <f aca="false">IFERROR((AA31-AA32)/AA31,"")</f>
        <v/>
      </c>
      <c r="AB30" s="198" t="str">
        <f aca="false">IFERROR((AB31-AB32)/AB31,"")</f>
        <v/>
      </c>
      <c r="AC30" s="198" t="str">
        <f aca="false">IFERROR((AC31-AC32)/AC31,"")</f>
        <v/>
      </c>
      <c r="AD30" s="198" t="str">
        <f aca="false">IFERROR((AD31-AD32)/AD31,"")</f>
        <v/>
      </c>
      <c r="AE30" s="198" t="str">
        <f aca="false">IFERROR((AE31-AE32)/AE31,"")</f>
        <v/>
      </c>
      <c r="AF30" s="198" t="str">
        <f aca="false">IFERROR((AF31-AF32)/AF31,"")</f>
        <v/>
      </c>
      <c r="AG30" s="198" t="str">
        <f aca="false">IFERROR((AG31-AG32)/AG31,"")</f>
        <v/>
      </c>
      <c r="AH30" s="198" t="str">
        <f aca="false">IFERROR((AH31-AH32)/AH31,"")</f>
        <v/>
      </c>
      <c r="AI30" s="198" t="str">
        <f aca="false">IFERROR((AI31-AI32)/AI31,"")</f>
        <v/>
      </c>
      <c r="AJ30" s="200" t="str">
        <f aca="false">IFERROR((AJ31-AJ32)/AJ31,"")</f>
        <v/>
      </c>
      <c r="AK30" s="201" t="str">
        <f aca="false">IFERROR((AK31-AK32)/AK31,"")</f>
        <v/>
      </c>
      <c r="AL30" s="202" t="str">
        <f aca="false">IFERROR((AL31-AL32)/AL31,"")</f>
        <v/>
      </c>
      <c r="AM30" s="202" t="str">
        <f aca="false">IFERROR((AM31-AM32)/AM31,"")</f>
        <v/>
      </c>
      <c r="AN30" s="202" t="str">
        <f aca="false">IFERROR((AN31-AN32)/AN31,"")</f>
        <v/>
      </c>
      <c r="AO30" s="202" t="str">
        <f aca="false">IFERROR((AO31-AO32)/AO31,"")</f>
        <v/>
      </c>
      <c r="AP30" s="202" t="str">
        <f aca="false">IFERROR((AP31-AP32)/AP31,"")</f>
        <v/>
      </c>
      <c r="AQ30" s="203" t="str">
        <f aca="false">IFERROR((AQ31-AQ32)/AQ31,"")</f>
        <v/>
      </c>
      <c r="AR30" s="204" t="str">
        <f aca="false">IFERROR((AR31-AR32)/AR31,"")</f>
        <v/>
      </c>
    </row>
    <row r="31" customFormat="false" ht="14.25" hidden="false" customHeight="false" outlineLevel="0" collapsed="false">
      <c r="A31" s="191" t="str">
        <f aca="false">+IF(C31+C32=0,"[ocultar]","")</f>
        <v>[ocultar]</v>
      </c>
      <c r="B31" s="205" t="s">
        <v>371</v>
      </c>
      <c r="C31" s="206" t="n">
        <f aca="false" t="array" ref="C31:C31">SUM(IF($B31=DATOS_[Sexo], IF($B30=DATOS_[AGRUP. VALOR. PTO.], IF("Dentro"=DATOS_[Check Periodo Ref.], 1/(COUNTIFS(DATOS_[Sexo],$B31,DATOS_[AGRUP. VALOR. PTO.],$B30,DATOS_[Check Periodo Ref.],"Dentro",DATOS_[id],DATOS_[id]))))))</f>
        <v>0</v>
      </c>
      <c r="D31" s="207" t="n">
        <f aca="false">COUNTIFS(DATOS_[AGRUP. VALOR. PTO.],$B30,DATOS_[Sexo],$B31,DATOS_[Check Periodo Ref.],"Dentro")</f>
        <v>0</v>
      </c>
      <c r="E31" s="208" t="n">
        <f aca="false" t="array" ref="E31:E31">IFERROR( AVERAGE(IF(DATOS_[Sexo]=$B31,IF(DATOS_[AGRUP. VALOR. PTO.]=$B30,IF(DATOS_[Check Periodo Ref.]="Dentro",DATOS_[SALARIO BASE Ef],0)))), 0)</f>
        <v>0</v>
      </c>
      <c r="F31" s="209" t="n">
        <f aca="false" t="array" ref="F31:F31">IFERROR( AVERAGE((IF(DATOS_[[Sexo]:[Sexo]]=$B31,IF(DATOS_[[AGRUP. VALOR. PTO.]:[AGRUP. VALOR. PTO.]]=$B30,IF(DATOS_[[Check Periodo Ref.]:[Check Periodo Ref.]]="Dentro",DATOS_[Conc.Sal.01]))))), 0)</f>
        <v>0</v>
      </c>
      <c r="G31" s="209" t="n">
        <f aca="false" t="array" ref="G31:G31">IFERROR( AVERAGE((IF(DATOS_[[Sexo]:[Sexo]]=$B31,IF(DATOS_[[AGRUP. VALOR. PTO.]:[AGRUP. VALOR. PTO.]]=$B30,IF(DATOS_[[Check Periodo Ref.]:[Check Periodo Ref.]]="Dentro",DATOS_[Conc.Sal.02]))))), 0)</f>
        <v>0</v>
      </c>
      <c r="H31" s="209" t="n">
        <f aca="false" t="array" ref="H31:H31">IFERROR( AVERAGE((IF(DATOS_[[Sexo]:[Sexo]]=$B31,IF(DATOS_[[AGRUP. VALOR. PTO.]:[AGRUP. VALOR. PTO.]]=$B30,IF(DATOS_[[Check Periodo Ref.]:[Check Periodo Ref.]]="Dentro",DATOS_[Conc.Sal.03]))))), 0)</f>
        <v>0</v>
      </c>
      <c r="I31" s="209" t="n">
        <f aca="false" t="array" ref="I31:I31">IFERROR( AVERAGE((IF(DATOS_[[Sexo]:[Sexo]]=$B31,IF(DATOS_[[AGRUP. VALOR. PTO.]:[AGRUP. VALOR. PTO.]]=$B30,IF(DATOS_[[Check Periodo Ref.]:[Check Periodo Ref.]]="Dentro",DATOS_[Conc.Sal.04]))))), 0)</f>
        <v>0</v>
      </c>
      <c r="J31" s="209" t="n">
        <f aca="false" t="array" ref="J31:J31">IFERROR( AVERAGE((IF(DATOS_[[Sexo]:[Sexo]]=$B31,IF(DATOS_[[AGRUP. VALOR. PTO.]:[AGRUP. VALOR. PTO.]]=$B30,IF(DATOS_[[Check Periodo Ref.]:[Check Periodo Ref.]]="Dentro",DATOS_[Conc.Sal.05]))))), 0)</f>
        <v>0</v>
      </c>
      <c r="K31" s="209" t="n">
        <f aca="false" t="array" ref="K31:K31">IFERROR( AVERAGE((IF(DATOS_[[Sexo]:[Sexo]]=$B31,IF(DATOS_[[AGRUP. VALOR. PTO.]:[AGRUP. VALOR. PTO.]]=$B30,IF(DATOS_[[Check Periodo Ref.]:[Check Periodo Ref.]]="Dentro",DATOS_[Conc.Sal.06]))))), 0)</f>
        <v>0</v>
      </c>
      <c r="L31" s="209" t="n">
        <f aca="false" t="array" ref="L31:L31">IFERROR( AVERAGE((IF(DATOS_[[Sexo]:[Sexo]]=$B31,IF(DATOS_[[AGRUP. VALOR. PTO.]:[AGRUP. VALOR. PTO.]]=$B30,IF(DATOS_[[Check Periodo Ref.]:[Check Periodo Ref.]]="Dentro",DATOS_[Conc.Sal.07]))))), 0)</f>
        <v>0</v>
      </c>
      <c r="M31" s="209" t="n">
        <f aca="false" t="array" ref="M31:M31">IFERROR( AVERAGE((IF(DATOS_[[Sexo]:[Sexo]]=$B31,IF(DATOS_[[AGRUP. VALOR. PTO.]:[AGRUP. VALOR. PTO.]]=$B30,IF(DATOS_[[Check Periodo Ref.]:[Check Periodo Ref.]]="Dentro",DATOS_[Conc.Sal.08]))))), 0)</f>
        <v>0</v>
      </c>
      <c r="N31" s="209" t="n">
        <f aca="false" t="array" ref="N31:N31">IFERROR( AVERAGE((IF(DATOS_[[Sexo]:[Sexo]]=$B31,IF(DATOS_[[AGRUP. VALOR. PTO.]:[AGRUP. VALOR. PTO.]]=$B30,IF(DATOS_[[Check Periodo Ref.]:[Check Periodo Ref.]]="Dentro",DATOS_[Conc.Sal.09]))))), 0)</f>
        <v>0</v>
      </c>
      <c r="O31" s="209" t="n">
        <f aca="false" t="array" ref="O31:O31">IFERROR( AVERAGE((IF(DATOS_[[Sexo]:[Sexo]]=$B31,IF(DATOS_[[AGRUP. VALOR. PTO.]:[AGRUP. VALOR. PTO.]]=$B30,IF(DATOS_[[Check Periodo Ref.]:[Check Periodo Ref.]]="Dentro",DATOS_[Conc.Sal.10]))))), 0)</f>
        <v>0</v>
      </c>
      <c r="P31" s="209" t="n">
        <f aca="false" t="array" ref="P31:P31">IFERROR( AVERAGE((IF(DATOS_[[Sexo]:[Sexo]]=$B31,IF(DATOS_[[AGRUP. VALOR. PTO.]:[AGRUP. VALOR. PTO.]]=$B30,IF(DATOS_[[Check Periodo Ref.]:[Check Periodo Ref.]]="Dentro",DATOS_[Conc.Sal.11]))))), 0)</f>
        <v>0</v>
      </c>
      <c r="Q31" s="209" t="n">
        <f aca="false" t="array" ref="Q31:Q31">IFERROR( AVERAGE((IF(DATOS_[[Sexo]:[Sexo]]=$B31,IF(DATOS_[[AGRUP. VALOR. PTO.]:[AGRUP. VALOR. PTO.]]=$B30,IF(DATOS_[[Check Periodo Ref.]:[Check Periodo Ref.]]="Dentro",DATOS_[Conc.Sal.12]))))), 0)</f>
        <v>0</v>
      </c>
      <c r="R31" s="209" t="n">
        <f aca="false" t="array" ref="R31:R31">IFERROR( AVERAGE((IF(DATOS_[[Sexo]:[Sexo]]=$B31,IF(DATOS_[[AGRUP. VALOR. PTO.]:[AGRUP. VALOR. PTO.]]=$B30,IF(DATOS_[[Check Periodo Ref.]:[Check Periodo Ref.]]="Dentro",DATOS_[Conc.Sal.13]))))), 0)</f>
        <v>0</v>
      </c>
      <c r="S31" s="209" t="n">
        <f aca="false" t="array" ref="S31:S31">IFERROR( AVERAGE((IF(DATOS_[[Sexo]:[Sexo]]=$B31,IF(DATOS_[[AGRUP. VALOR. PTO.]:[AGRUP. VALOR. PTO.]]=$B30,IF(DATOS_[[Check Periodo Ref.]:[Check Periodo Ref.]]="Dentro",DATOS_[Conc.Sal.14]))))), 0)</f>
        <v>0</v>
      </c>
      <c r="T31" s="209" t="n">
        <f aca="false" t="array" ref="T31:T31">IFERROR( AVERAGE((IF(DATOS_[[Sexo]:[Sexo]]=$B31,IF(DATOS_[[AGRUP. VALOR. PTO.]:[AGRUP. VALOR. PTO.]]=$B30,IF(DATOS_[[Check Periodo Ref.]:[Check Periodo Ref.]]="Dentro",DATOS_[Conc.Sal.15]))))), 0)</f>
        <v>0</v>
      </c>
      <c r="U31" s="209" t="n">
        <f aca="false" t="array" ref="U31:U31">IFERROR( AVERAGE((IF(DATOS_[[Sexo]:[Sexo]]=$B31,IF(DATOS_[[AGRUP. VALOR. PTO.]:[AGRUP. VALOR. PTO.]]=$B30,IF(DATOS_[[Check Periodo Ref.]:[Check Periodo Ref.]]="Dentro",DATOS_[Conc.Sal.16]))))), 0)</f>
        <v>0</v>
      </c>
      <c r="V31" s="209" t="n">
        <f aca="false" t="array" ref="V31:V31">IFERROR( AVERAGE((IF(DATOS_[[Sexo]:[Sexo]]=$B31,IF(DATOS_[[AGRUP. VALOR. PTO.]:[AGRUP. VALOR. PTO.]]=$B30,IF(DATOS_[[Check Periodo Ref.]:[Check Periodo Ref.]]="Dentro",DATOS_[Conc.Sal.17]))))), 0)</f>
        <v>0</v>
      </c>
      <c r="W31" s="209" t="n">
        <f aca="false" t="array" ref="W31:W31">IFERROR( AVERAGE((IF(DATOS_[[Sexo]:[Sexo]]=$B31,IF(DATOS_[[AGRUP. VALOR. PTO.]:[AGRUP. VALOR. PTO.]]=$B30,IF(DATOS_[[Check Periodo Ref.]:[Check Periodo Ref.]]="Dentro",DATOS_[Conc.Sal.18]))))), 0)</f>
        <v>0</v>
      </c>
      <c r="X31" s="209" t="n">
        <f aca="false" t="array" ref="X31:X31">IFERROR( AVERAGE((IF(DATOS_[[Sexo]:[Sexo]]=$B31,IF(DATOS_[[AGRUP. VALOR. PTO.]:[AGRUP. VALOR. PTO.]]=$B30,IF(DATOS_[[Check Periodo Ref.]:[Check Periodo Ref.]]="Dentro",DATOS_[Conc.Sal.19]))))), 0)</f>
        <v>0</v>
      </c>
      <c r="Y31" s="209" t="n">
        <f aca="false" t="array" ref="Y31:Y31">IFERROR( AVERAGE((IF(DATOS_[[Sexo]:[Sexo]]=$B31,IF(DATOS_[[AGRUP. VALOR. PTO.]:[AGRUP. VALOR. PTO.]]=$B30,IF(DATOS_[[Check Periodo Ref.]:[Check Periodo Ref.]]="Dentro",DATOS_[Conc.Sal.20]))))), 0)</f>
        <v>0</v>
      </c>
      <c r="Z31" s="209" t="n">
        <f aca="false" t="array" ref="Z31:Z31">IFERROR( AVERAGE((IF(DATOS_[[Sexo]:[Sexo]]=$B31,IF(DATOS_[[AGRUP. VALOR. PTO.]:[AGRUP. VALOR. PTO.]]=$B30,IF(DATOS_[[Check Periodo Ref.]:[Check Periodo Ref.]]="Dentro",DATOS_[Conc.Sal.21]))))), 0)</f>
        <v>0</v>
      </c>
      <c r="AA31" s="209" t="n">
        <f aca="false" t="array" ref="AA31:AA31">IFERROR( AVERAGE((IF(DATOS_[[Sexo]:[Sexo]]=$B31,IF(DATOS_[[AGRUP. VALOR. PTO.]:[AGRUP. VALOR. PTO.]]=$B30,IF(DATOS_[[Check Periodo Ref.]:[Check Periodo Ref.]]="Dentro",DATOS_[Conc.Sal.22]))))), 0)</f>
        <v>0</v>
      </c>
      <c r="AB31" s="209" t="n">
        <f aca="false" t="array" ref="AB31:AB31">IFERROR( AVERAGE((IF(DATOS_[[Sexo]:[Sexo]]=$B31,IF(DATOS_[[AGRUP. VALOR. PTO.]:[AGRUP. VALOR. PTO.]]=$B30,IF(DATOS_[[Check Periodo Ref.]:[Check Periodo Ref.]]="Dentro",DATOS_[Conc.Sal.23]))))), 0)</f>
        <v>0</v>
      </c>
      <c r="AC31" s="209" t="n">
        <f aca="false" t="array" ref="AC31:AC31">IFERROR( AVERAGE((IF(DATOS_[[Sexo]:[Sexo]]=$B31,IF(DATOS_[[AGRUP. VALOR. PTO.]:[AGRUP. VALOR. PTO.]]=$B30,IF(DATOS_[[Check Periodo Ref.]:[Check Periodo Ref.]]="Dentro",DATOS_[Conc.Sal.24]))))), 0)</f>
        <v>0</v>
      </c>
      <c r="AD31" s="209" t="n">
        <f aca="false" t="array" ref="AD31:AD31">IFERROR( AVERAGE((IF(DATOS_[[Sexo]:[Sexo]]=$B31,IF(DATOS_[[AGRUP. VALOR. PTO.]:[AGRUP. VALOR. PTO.]]=$B30,IF(DATOS_[[Check Periodo Ref.]:[Check Periodo Ref.]]="Dentro",DATOS_[Conc.Sal.25]))))), 0)</f>
        <v>0</v>
      </c>
      <c r="AE31" s="209" t="n">
        <f aca="false" t="array" ref="AE31:AE31">IFERROR( AVERAGE((IF(DATOS_[[Sexo]:[Sexo]]=$B31,IF(DATOS_[[AGRUP. VALOR. PTO.]:[AGRUP. VALOR. PTO.]]=$B30,IF(DATOS_[[Check Periodo Ref.]:[Check Periodo Ref.]]="Dentro",DATOS_[Conc.Sal.26]))))), 0)</f>
        <v>0</v>
      </c>
      <c r="AF31" s="209" t="n">
        <f aca="false" t="array" ref="AF31:AF31">IFERROR( AVERAGE((IF(DATOS_[[Sexo]:[Sexo]]=$B31,IF(DATOS_[[AGRUP. VALOR. PTO.]:[AGRUP. VALOR. PTO.]]=$B30,IF(DATOS_[[Check Periodo Ref.]:[Check Periodo Ref.]]="Dentro",DATOS_[Conc.Sal.27]))))), 0)</f>
        <v>0</v>
      </c>
      <c r="AG31" s="209" t="n">
        <f aca="false" t="array" ref="AG31:AG31">IFERROR( AVERAGE((IF(DATOS_[[Sexo]:[Sexo]]=$B31,IF(DATOS_[[AGRUP. VALOR. PTO.]:[AGRUP. VALOR. PTO.]]=$B30,IF(DATOS_[[Check Periodo Ref.]:[Check Periodo Ref.]]="Dentro",DATOS_[Conc.Sal.28]))))), 0)</f>
        <v>0</v>
      </c>
      <c r="AH31" s="209" t="n">
        <f aca="false" t="array" ref="AH31:AH31">IFERROR( AVERAGE((IF(DATOS_[[Sexo]:[Sexo]]=$B31,IF(DATOS_[[AGRUP. VALOR. PTO.]:[AGRUP. VALOR. PTO.]]=$B30,IF(DATOS_[[Check Periodo Ref.]:[Check Periodo Ref.]]="Dentro",DATOS_[Conc.Sal.29]))))), 0)</f>
        <v>0</v>
      </c>
      <c r="AI31" s="209" t="n">
        <f aca="false" t="array" ref="AI31:AI31">IFERROR( AVERAGE((IF(DATOS_[[Sexo]:[Sexo]]=$B31,IF(DATOS_[[AGRUP. VALOR. PTO.]:[AGRUP. VALOR. PTO.]]=$B30,IF(DATOS_[[Check Periodo Ref.]:[Check Periodo Ref.]]="Dentro",DATOS_[Conc.Sal.30]))))), 0)</f>
        <v>0</v>
      </c>
      <c r="AJ31" s="210" t="n">
        <f aca="false" t="array" ref="AJ31:AJ31">IFERROR( AVERAGE(IF(DATOS_[Sexo]=$B31,IF(DATOS_[AGRUP. VALOR. PTO.]=$B30,IF(DATOS_[Check Periodo Ref.]="Dentro",DATOS_[Tot COMPL.SAL Ef],0)))), 0)</f>
        <v>0</v>
      </c>
      <c r="AK31" s="211" t="n">
        <f aca="false" t="array" ref="AK31:AK31">IFERROR( AVERAGE(IF(DATOS_[Sexo]=$B31,IF(DATOS_[AGRUP. VALOR. PTO.]=$B30,IF(DATOS_[Check Periodo Ref.]="Dentro",DATOS_[TOTAL SALARIO Ef],0)))), 0)</f>
        <v>0</v>
      </c>
      <c r="AL31" s="212" t="n">
        <f aca="false" t="array" ref="AL31:AL31">IFERROR( AVERAGE((IF(DATOS_[[Sexo]:[Sexo]]=$B31,IF(DATOS_[[AGRUP. VALOR. PTO.]:[AGRUP. VALOR. PTO.]]=$B30,IF(DATOS_[[Check Periodo Ref.]:[Check Periodo Ref.]]="Dentro",DATOS_[C.Extra.01]))))), 0)</f>
        <v>0</v>
      </c>
      <c r="AM31" s="212" t="n">
        <f aca="false" t="array" ref="AM31:AM31">IFERROR( AVERAGE((IF(DATOS_[[Sexo]:[Sexo]]=$B31,IF(DATOS_[[AGRUP. VALOR. PTO.]:[AGRUP. VALOR. PTO.]]=$B30,IF(DATOS_[[Check Periodo Ref.]:[Check Periodo Ref.]]="Dentro",DATOS_[C.Extra.02]))))), 0)</f>
        <v>0</v>
      </c>
      <c r="AN31" s="212" t="n">
        <f aca="false" t="array" ref="AN31:AN31">IFERROR( AVERAGE((IF(DATOS_[[Sexo]:[Sexo]]=$B31,IF(DATOS_[[AGRUP. VALOR. PTO.]:[AGRUP. VALOR. PTO.]]=$B30,IF(DATOS_[[Check Periodo Ref.]:[Check Periodo Ref.]]="Dentro",DATOS_[C.Extra.03]))))), 0)</f>
        <v>0</v>
      </c>
      <c r="AO31" s="212" t="n">
        <f aca="false" t="array" ref="AO31:AO31">IFERROR( AVERAGE((IF(DATOS_[[Sexo]:[Sexo]]=$B31,IF(DATOS_[[AGRUP. VALOR. PTO.]:[AGRUP. VALOR. PTO.]]=$B30,IF(DATOS_[[Check Periodo Ref.]:[Check Periodo Ref.]]="Dentro",DATOS_[C.Extra.04]))))), 0)</f>
        <v>0</v>
      </c>
      <c r="AP31" s="212" t="n">
        <f aca="false" t="array" ref="AP31:AP31">IFERROR( AVERAGE((IF(DATOS_[[Sexo]:[Sexo]]=$B31,IF(DATOS_[[AGRUP. VALOR. PTO.]:[AGRUP. VALOR. PTO.]]=$B30,IF(DATOS_[[Check Periodo Ref.]:[Check Periodo Ref.]]="Dentro",DATOS_[C.Extra.05]))))), 0)</f>
        <v>0</v>
      </c>
      <c r="AQ31" s="213" t="n">
        <f aca="false" t="array" ref="AQ31:AQ31">IFERROR( AVERAGE(IF(DATOS_[Sexo]=$B31,IF(DATOS_[AGRUP. VALOR. PTO.]=$B30,IF(DATOS_[Check Periodo Ref.]="Dentro",DATOS_[Tot Extrasalarial Ef],0)))), 0)</f>
        <v>0</v>
      </c>
      <c r="AR31" s="214" t="n">
        <f aca="false" t="array" ref="AR31:AR31">IFERROR( AVERAGE(IF(DATOS_[Sexo]=$B31,IF(DATOS_[AGRUP. VALOR. PTO.]=$B30,IF(DATOS_[Check Periodo Ref.]="Dentro",DATOS_[TOTAL Retrib Ef],0)))), 0)</f>
        <v>0</v>
      </c>
    </row>
    <row r="32" customFormat="false" ht="14.25" hidden="false" customHeight="false" outlineLevel="0" collapsed="false">
      <c r="A32" s="191" t="str">
        <f aca="false">+A31</f>
        <v>[ocultar]</v>
      </c>
      <c r="B32" s="205" t="s">
        <v>372</v>
      </c>
      <c r="C32" s="206" t="n">
        <f aca="false" t="array" ref="C32:C32">SUM(IF($B32=DATOS_[Sexo], IF($B30=DATOS_[AGRUP. VALOR. PTO.], IF("Dentro"=DATOS_[Check Periodo Ref.], 1/(COUNTIFS(DATOS_[Sexo],$B32,DATOS_[AGRUP. VALOR. PTO.],$B30,DATOS_[Check Periodo Ref.],"Dentro",DATOS_[id],DATOS_[id]))))))</f>
        <v>0</v>
      </c>
      <c r="D32" s="207" t="n">
        <f aca="false">COUNTIFS(DATOS_[AGRUP. VALOR. PTO.],$B30,DATOS_[Sexo],$B32,DATOS_[Check Periodo Ref.],"Dentro")</f>
        <v>0</v>
      </c>
      <c r="E32" s="208" t="n">
        <f aca="false" t="array" ref="E32:E32">IFERROR( AVERAGE(IF(DATOS_[Sexo]=$B32,IF(DATOS_[AGRUP. VALOR. PTO.]=$B30,IF(DATOS_[Check Periodo Ref.]="Dentro",DATOS_[SALARIO BASE Ef],0)))), 0)</f>
        <v>0</v>
      </c>
      <c r="F32" s="209" t="n">
        <f aca="false" t="array" ref="F32:F32">IFERROR( AVERAGE((IF(DATOS_[[Sexo]:[Sexo]]=$B32,IF(DATOS_[[AGRUP. VALOR. PTO.]:[AGRUP. VALOR. PTO.]]=$B30,IF(DATOS_[[Check Periodo Ref.]:[Check Periodo Ref.]]="Dentro",DATOS_[Conc.Sal.01]))))), 0)</f>
        <v>0</v>
      </c>
      <c r="G32" s="209" t="n">
        <f aca="false" t="array" ref="G32:G32">IFERROR( AVERAGE((IF(DATOS_[[Sexo]:[Sexo]]=$B32,IF(DATOS_[[AGRUP. VALOR. PTO.]:[AGRUP. VALOR. PTO.]]=$B30,IF(DATOS_[[Check Periodo Ref.]:[Check Periodo Ref.]]="Dentro",DATOS_[Conc.Sal.02]))))), 0)</f>
        <v>0</v>
      </c>
      <c r="H32" s="209" t="n">
        <f aca="false" t="array" ref="H32:H32">IFERROR( AVERAGE((IF(DATOS_[[Sexo]:[Sexo]]=$B32,IF(DATOS_[[AGRUP. VALOR. PTO.]:[AGRUP. VALOR. PTO.]]=$B30,IF(DATOS_[[Check Periodo Ref.]:[Check Periodo Ref.]]="Dentro",DATOS_[Conc.Sal.03]))))), 0)</f>
        <v>0</v>
      </c>
      <c r="I32" s="209" t="n">
        <f aca="false" t="array" ref="I32:I32">IFERROR( AVERAGE((IF(DATOS_[[Sexo]:[Sexo]]=$B32,IF(DATOS_[[AGRUP. VALOR. PTO.]:[AGRUP. VALOR. PTO.]]=$B30,IF(DATOS_[[Check Periodo Ref.]:[Check Periodo Ref.]]="Dentro",DATOS_[Conc.Sal.04]))))), 0)</f>
        <v>0</v>
      </c>
      <c r="J32" s="209" t="n">
        <f aca="false" t="array" ref="J32:J32">IFERROR( AVERAGE((IF(DATOS_[[Sexo]:[Sexo]]=$B32,IF(DATOS_[[AGRUP. VALOR. PTO.]:[AGRUP. VALOR. PTO.]]=$B30,IF(DATOS_[[Check Periodo Ref.]:[Check Periodo Ref.]]="Dentro",DATOS_[Conc.Sal.05]))))), 0)</f>
        <v>0</v>
      </c>
      <c r="K32" s="209" t="n">
        <f aca="false" t="array" ref="K32:K32">IFERROR( AVERAGE((IF(DATOS_[[Sexo]:[Sexo]]=$B32,IF(DATOS_[[AGRUP. VALOR. PTO.]:[AGRUP. VALOR. PTO.]]=$B30,IF(DATOS_[[Check Periodo Ref.]:[Check Periodo Ref.]]="Dentro",DATOS_[Conc.Sal.06]))))), 0)</f>
        <v>0</v>
      </c>
      <c r="L32" s="209" t="n">
        <f aca="false" t="array" ref="L32:L32">IFERROR( AVERAGE((IF(DATOS_[[Sexo]:[Sexo]]=$B32,IF(DATOS_[[AGRUP. VALOR. PTO.]:[AGRUP. VALOR. PTO.]]=$B30,IF(DATOS_[[Check Periodo Ref.]:[Check Periodo Ref.]]="Dentro",DATOS_[Conc.Sal.07]))))), 0)</f>
        <v>0</v>
      </c>
      <c r="M32" s="209" t="n">
        <f aca="false" t="array" ref="M32:M32">IFERROR( AVERAGE((IF(DATOS_[[Sexo]:[Sexo]]=$B32,IF(DATOS_[[AGRUP. VALOR. PTO.]:[AGRUP. VALOR. PTO.]]=$B30,IF(DATOS_[[Check Periodo Ref.]:[Check Periodo Ref.]]="Dentro",DATOS_[Conc.Sal.08]))))), 0)</f>
        <v>0</v>
      </c>
      <c r="N32" s="209" t="n">
        <f aca="false" t="array" ref="N32:N32">IFERROR( AVERAGE((IF(DATOS_[[Sexo]:[Sexo]]=$B32,IF(DATOS_[[AGRUP. VALOR. PTO.]:[AGRUP. VALOR. PTO.]]=$B30,IF(DATOS_[[Check Periodo Ref.]:[Check Periodo Ref.]]="Dentro",DATOS_[Conc.Sal.09]))))), 0)</f>
        <v>0</v>
      </c>
      <c r="O32" s="209" t="n">
        <f aca="false" t="array" ref="O32:O32">IFERROR( AVERAGE((IF(DATOS_[[Sexo]:[Sexo]]=$B32,IF(DATOS_[[AGRUP. VALOR. PTO.]:[AGRUP. VALOR. PTO.]]=$B30,IF(DATOS_[[Check Periodo Ref.]:[Check Periodo Ref.]]="Dentro",DATOS_[Conc.Sal.10]))))), 0)</f>
        <v>0</v>
      </c>
      <c r="P32" s="209" t="n">
        <f aca="false" t="array" ref="P32:P32">IFERROR( AVERAGE((IF(DATOS_[[Sexo]:[Sexo]]=$B32,IF(DATOS_[[AGRUP. VALOR. PTO.]:[AGRUP. VALOR. PTO.]]=$B30,IF(DATOS_[[Check Periodo Ref.]:[Check Periodo Ref.]]="Dentro",DATOS_[Conc.Sal.11]))))), 0)</f>
        <v>0</v>
      </c>
      <c r="Q32" s="209" t="n">
        <f aca="false" t="array" ref="Q32:Q32">IFERROR( AVERAGE((IF(DATOS_[[Sexo]:[Sexo]]=$B32,IF(DATOS_[[AGRUP. VALOR. PTO.]:[AGRUP. VALOR. PTO.]]=$B30,IF(DATOS_[[Check Periodo Ref.]:[Check Periodo Ref.]]="Dentro",DATOS_[Conc.Sal.12]))))), 0)</f>
        <v>0</v>
      </c>
      <c r="R32" s="209" t="n">
        <f aca="false" t="array" ref="R32:R32">IFERROR( AVERAGE((IF(DATOS_[[Sexo]:[Sexo]]=$B32,IF(DATOS_[[AGRUP. VALOR. PTO.]:[AGRUP. VALOR. PTO.]]=$B30,IF(DATOS_[[Check Periodo Ref.]:[Check Periodo Ref.]]="Dentro",DATOS_[Conc.Sal.13]))))), 0)</f>
        <v>0</v>
      </c>
      <c r="S32" s="209" t="n">
        <f aca="false" t="array" ref="S32:S32">IFERROR( AVERAGE((IF(DATOS_[[Sexo]:[Sexo]]=$B32,IF(DATOS_[[AGRUP. VALOR. PTO.]:[AGRUP. VALOR. PTO.]]=$B30,IF(DATOS_[[Check Periodo Ref.]:[Check Periodo Ref.]]="Dentro",DATOS_[Conc.Sal.14]))))), 0)</f>
        <v>0</v>
      </c>
      <c r="T32" s="209" t="n">
        <f aca="false" t="array" ref="T32:T32">IFERROR( AVERAGE((IF(DATOS_[[Sexo]:[Sexo]]=$B32,IF(DATOS_[[AGRUP. VALOR. PTO.]:[AGRUP. VALOR. PTO.]]=$B30,IF(DATOS_[[Check Periodo Ref.]:[Check Periodo Ref.]]="Dentro",DATOS_[Conc.Sal.15]))))), 0)</f>
        <v>0</v>
      </c>
      <c r="U32" s="209" t="n">
        <f aca="false" t="array" ref="U32:U32">IFERROR( AVERAGE((IF(DATOS_[[Sexo]:[Sexo]]=$B32,IF(DATOS_[[AGRUP. VALOR. PTO.]:[AGRUP. VALOR. PTO.]]=$B30,IF(DATOS_[[Check Periodo Ref.]:[Check Periodo Ref.]]="Dentro",DATOS_[Conc.Sal.16]))))), 0)</f>
        <v>0</v>
      </c>
      <c r="V32" s="209" t="n">
        <f aca="false" t="array" ref="V32:V32">IFERROR( AVERAGE((IF(DATOS_[[Sexo]:[Sexo]]=$B32,IF(DATOS_[[AGRUP. VALOR. PTO.]:[AGRUP. VALOR. PTO.]]=$B30,IF(DATOS_[[Check Periodo Ref.]:[Check Periodo Ref.]]="Dentro",DATOS_[Conc.Sal.17]))))), 0)</f>
        <v>0</v>
      </c>
      <c r="W32" s="209" t="n">
        <f aca="false" t="array" ref="W32:W32">IFERROR( AVERAGE((IF(DATOS_[[Sexo]:[Sexo]]=$B32,IF(DATOS_[[AGRUP. VALOR. PTO.]:[AGRUP. VALOR. PTO.]]=$B30,IF(DATOS_[[Check Periodo Ref.]:[Check Periodo Ref.]]="Dentro",DATOS_[Conc.Sal.18]))))), 0)</f>
        <v>0</v>
      </c>
      <c r="X32" s="209" t="n">
        <f aca="false" t="array" ref="X32:X32">IFERROR( AVERAGE((IF(DATOS_[[Sexo]:[Sexo]]=$B32,IF(DATOS_[[AGRUP. VALOR. PTO.]:[AGRUP. VALOR. PTO.]]=$B30,IF(DATOS_[[Check Periodo Ref.]:[Check Periodo Ref.]]="Dentro",DATOS_[Conc.Sal.19]))))), 0)</f>
        <v>0</v>
      </c>
      <c r="Y32" s="209" t="n">
        <f aca="false" t="array" ref="Y32:Y32">IFERROR( AVERAGE((IF(DATOS_[[Sexo]:[Sexo]]=$B32,IF(DATOS_[[AGRUP. VALOR. PTO.]:[AGRUP. VALOR. PTO.]]=$B30,IF(DATOS_[[Check Periodo Ref.]:[Check Periodo Ref.]]="Dentro",DATOS_[Conc.Sal.20]))))), 0)</f>
        <v>0</v>
      </c>
      <c r="Z32" s="209" t="n">
        <f aca="false" t="array" ref="Z32:Z32">IFERROR( AVERAGE((IF(DATOS_[[Sexo]:[Sexo]]=$B32,IF(DATOS_[[AGRUP. VALOR. PTO.]:[AGRUP. VALOR. PTO.]]=$B30,IF(DATOS_[[Check Periodo Ref.]:[Check Periodo Ref.]]="Dentro",DATOS_[Conc.Sal.21]))))), 0)</f>
        <v>0</v>
      </c>
      <c r="AA32" s="209" t="n">
        <f aca="false" t="array" ref="AA32:AA32">IFERROR( AVERAGE((IF(DATOS_[[Sexo]:[Sexo]]=$B32,IF(DATOS_[[AGRUP. VALOR. PTO.]:[AGRUP. VALOR. PTO.]]=$B30,IF(DATOS_[[Check Periodo Ref.]:[Check Periodo Ref.]]="Dentro",DATOS_[Conc.Sal.22]))))), 0)</f>
        <v>0</v>
      </c>
      <c r="AB32" s="209" t="n">
        <f aca="false" t="array" ref="AB32:AB32">IFERROR( AVERAGE((IF(DATOS_[[Sexo]:[Sexo]]=$B32,IF(DATOS_[[AGRUP. VALOR. PTO.]:[AGRUP. VALOR. PTO.]]=$B30,IF(DATOS_[[Check Periodo Ref.]:[Check Periodo Ref.]]="Dentro",DATOS_[Conc.Sal.23]))))), 0)</f>
        <v>0</v>
      </c>
      <c r="AC32" s="209" t="n">
        <f aca="false" t="array" ref="AC32:AC32">IFERROR( AVERAGE((IF(DATOS_[[Sexo]:[Sexo]]=$B32,IF(DATOS_[[AGRUP. VALOR. PTO.]:[AGRUP. VALOR. PTO.]]=$B30,IF(DATOS_[[Check Periodo Ref.]:[Check Periodo Ref.]]="Dentro",DATOS_[Conc.Sal.24]))))), 0)</f>
        <v>0</v>
      </c>
      <c r="AD32" s="209" t="n">
        <f aca="false" t="array" ref="AD32:AD32">IFERROR( AVERAGE((IF(DATOS_[[Sexo]:[Sexo]]=$B32,IF(DATOS_[[AGRUP. VALOR. PTO.]:[AGRUP. VALOR. PTO.]]=$B30,IF(DATOS_[[Check Periodo Ref.]:[Check Periodo Ref.]]="Dentro",DATOS_[Conc.Sal.25]))))), 0)</f>
        <v>0</v>
      </c>
      <c r="AE32" s="209" t="n">
        <f aca="false" t="array" ref="AE32:AE32">IFERROR( AVERAGE((IF(DATOS_[[Sexo]:[Sexo]]=$B32,IF(DATOS_[[AGRUP. VALOR. PTO.]:[AGRUP. VALOR. PTO.]]=$B30,IF(DATOS_[[Check Periodo Ref.]:[Check Periodo Ref.]]="Dentro",DATOS_[Conc.Sal.26]))))), 0)</f>
        <v>0</v>
      </c>
      <c r="AF32" s="209" t="n">
        <f aca="false" t="array" ref="AF32:AF32">IFERROR( AVERAGE((IF(DATOS_[[Sexo]:[Sexo]]=$B32,IF(DATOS_[[AGRUP. VALOR. PTO.]:[AGRUP. VALOR. PTO.]]=$B30,IF(DATOS_[[Check Periodo Ref.]:[Check Periodo Ref.]]="Dentro",DATOS_[Conc.Sal.27]))))), 0)</f>
        <v>0</v>
      </c>
      <c r="AG32" s="209" t="n">
        <f aca="false" t="array" ref="AG32:AG32">IFERROR( AVERAGE((IF(DATOS_[[Sexo]:[Sexo]]=$B32,IF(DATOS_[[AGRUP. VALOR. PTO.]:[AGRUP. VALOR. PTO.]]=$B30,IF(DATOS_[[Check Periodo Ref.]:[Check Periodo Ref.]]="Dentro",DATOS_[Conc.Sal.28]))))), 0)</f>
        <v>0</v>
      </c>
      <c r="AH32" s="209" t="n">
        <f aca="false" t="array" ref="AH32:AH32">IFERROR( AVERAGE((IF(DATOS_[[Sexo]:[Sexo]]=$B32,IF(DATOS_[[AGRUP. VALOR. PTO.]:[AGRUP. VALOR. PTO.]]=$B30,IF(DATOS_[[Check Periodo Ref.]:[Check Periodo Ref.]]="Dentro",DATOS_[Conc.Sal.29]))))), 0)</f>
        <v>0</v>
      </c>
      <c r="AI32" s="209" t="n">
        <f aca="false" t="array" ref="AI32:AI32">IFERROR( AVERAGE((IF(DATOS_[[Sexo]:[Sexo]]=$B32,IF(DATOS_[[AGRUP. VALOR. PTO.]:[AGRUP. VALOR. PTO.]]=$B30,IF(DATOS_[[Check Periodo Ref.]:[Check Periodo Ref.]]="Dentro",DATOS_[Conc.Sal.30]))))), 0)</f>
        <v>0</v>
      </c>
      <c r="AJ32" s="210" t="n">
        <f aca="false" t="array" ref="AJ32:AJ32">IFERROR( AVERAGE(IF(DATOS_[Sexo]=$B32,IF(DATOS_[AGRUP. VALOR. PTO.]=$B30,IF(DATOS_[Check Periodo Ref.]="Dentro",DATOS_[Tot COMPL.SAL Ef],0)))), 0)</f>
        <v>0</v>
      </c>
      <c r="AK32" s="211" t="n">
        <f aca="false" t="array" ref="AK32:AK32">IFERROR( AVERAGE(IF(DATOS_[Sexo]=$B32,IF(DATOS_[AGRUP. VALOR. PTO.]=$B30,IF(DATOS_[Check Periodo Ref.]="Dentro",DATOS_[TOTAL SALARIO Ef],0)))), 0)</f>
        <v>0</v>
      </c>
      <c r="AL32" s="212" t="n">
        <f aca="false" t="array" ref="AL32:AL32">IFERROR( AVERAGE((IF(DATOS_[[Sexo]:[Sexo]]=$B32,IF(DATOS_[[AGRUP. VALOR. PTO.]:[AGRUP. VALOR. PTO.]]=$B30,IF(DATOS_[[Check Periodo Ref.]:[Check Periodo Ref.]]="Dentro",DATOS_[C.Extra.01]))))), 0)</f>
        <v>0</v>
      </c>
      <c r="AM32" s="212" t="n">
        <f aca="false" t="array" ref="AM32:AM32">IFERROR( AVERAGE((IF(DATOS_[[Sexo]:[Sexo]]=$B32,IF(DATOS_[[AGRUP. VALOR. PTO.]:[AGRUP. VALOR. PTO.]]=$B30,IF(DATOS_[[Check Periodo Ref.]:[Check Periodo Ref.]]="Dentro",DATOS_[C.Extra.02]))))), 0)</f>
        <v>0</v>
      </c>
      <c r="AN32" s="212" t="n">
        <f aca="false" t="array" ref="AN32:AN32">IFERROR( AVERAGE((IF(DATOS_[[Sexo]:[Sexo]]=$B32,IF(DATOS_[[AGRUP. VALOR. PTO.]:[AGRUP. VALOR. PTO.]]=$B30,IF(DATOS_[[Check Periodo Ref.]:[Check Periodo Ref.]]="Dentro",DATOS_[C.Extra.03]))))), 0)</f>
        <v>0</v>
      </c>
      <c r="AO32" s="212" t="n">
        <f aca="false" t="array" ref="AO32:AO32">IFERROR( AVERAGE((IF(DATOS_[[Sexo]:[Sexo]]=$B32,IF(DATOS_[[AGRUP. VALOR. PTO.]:[AGRUP. VALOR. PTO.]]=$B30,IF(DATOS_[[Check Periodo Ref.]:[Check Periodo Ref.]]="Dentro",DATOS_[C.Extra.04]))))), 0)</f>
        <v>0</v>
      </c>
      <c r="AP32" s="212" t="n">
        <f aca="false" t="array" ref="AP32:AP32">IFERROR( AVERAGE((IF(DATOS_[[Sexo]:[Sexo]]=$B32,IF(DATOS_[[AGRUP. VALOR. PTO.]:[AGRUP. VALOR. PTO.]]=$B30,IF(DATOS_[[Check Periodo Ref.]:[Check Periodo Ref.]]="Dentro",DATOS_[C.Extra.05]))))), 0)</f>
        <v>0</v>
      </c>
      <c r="AQ32" s="213" t="n">
        <f aca="false" t="array" ref="AQ32:AQ32">IFERROR( AVERAGE(IF(DATOS_[Sexo]=$B32,IF(DATOS_[AGRUP. VALOR. PTO.]=$B30,IF(DATOS_[Check Periodo Ref.]="Dentro",DATOS_[Tot Extrasalarial Ef],0)))), 0)</f>
        <v>0</v>
      </c>
      <c r="AR32" s="214" t="n">
        <f aca="false" t="array" ref="AR32:AR32">IFERROR( AVERAGE(IF(DATOS_[Sexo]=$B32,IF(DATOS_[AGRUP. VALOR. PTO.]=$B30,IF(DATOS_[Check Periodo Ref.]="Dentro",DATOS_[TOTAL Retrib Ef],0)))), 0)</f>
        <v>0</v>
      </c>
    </row>
    <row r="33" customFormat="false" ht="15.75" hidden="false" customHeight="false" outlineLevel="0" collapsed="false">
      <c r="A33" s="191" t="str">
        <f aca="false">+A34</f>
        <v>[ocultar]</v>
      </c>
      <c r="B33" s="192" t="s">
        <v>187</v>
      </c>
      <c r="C33" s="193"/>
      <c r="D33" s="194"/>
      <c r="E33" s="195" t="str">
        <f aca="false">IFERROR((E34-E35)/E34,"")</f>
        <v/>
      </c>
      <c r="F33" s="196" t="str">
        <f aca="false">IFERROR((F34-F35)/F34,"")</f>
        <v/>
      </c>
      <c r="G33" s="197" t="str">
        <f aca="false">IFERROR((G34-G35)/G34,"")</f>
        <v/>
      </c>
      <c r="H33" s="197" t="str">
        <f aca="false">IFERROR((H34-H35)/H34,"")</f>
        <v/>
      </c>
      <c r="I33" s="197" t="str">
        <f aca="false">IFERROR((I34-I35)/I34,"")</f>
        <v/>
      </c>
      <c r="J33" s="198" t="str">
        <f aca="false">IFERROR((J34-J35)/J34,"")</f>
        <v/>
      </c>
      <c r="K33" s="199" t="str">
        <f aca="false">IFERROR((K34-K35)/K34,"")</f>
        <v/>
      </c>
      <c r="L33" s="199" t="str">
        <f aca="false">IFERROR((L34-L35)/L34,"")</f>
        <v/>
      </c>
      <c r="M33" s="199" t="str">
        <f aca="false">IFERROR((M34-M35)/M34,"")</f>
        <v/>
      </c>
      <c r="N33" s="199" t="str">
        <f aca="false">IFERROR((N34-N35)/N34,"")</f>
        <v/>
      </c>
      <c r="O33" s="199" t="str">
        <f aca="false">IFERROR((O34-O35)/O34,"")</f>
        <v/>
      </c>
      <c r="P33" s="199" t="str">
        <f aca="false">IFERROR((P34-P35)/P34,"")</f>
        <v/>
      </c>
      <c r="Q33" s="199" t="str">
        <f aca="false">IFERROR((Q34-Q35)/Q34,"")</f>
        <v/>
      </c>
      <c r="R33" s="199" t="str">
        <f aca="false">IFERROR((R34-R35)/R34,"")</f>
        <v/>
      </c>
      <c r="S33" s="199" t="str">
        <f aca="false">IFERROR((S34-S35)/S34,"")</f>
        <v/>
      </c>
      <c r="T33" s="199" t="str">
        <f aca="false">IFERROR((T34-T35)/T34,"")</f>
        <v/>
      </c>
      <c r="U33" s="199" t="str">
        <f aca="false">IFERROR((U34-U35)/U34,"")</f>
        <v/>
      </c>
      <c r="V33" s="198" t="str">
        <f aca="false">IFERROR((V34-V35)/V34,"")</f>
        <v/>
      </c>
      <c r="W33" s="198" t="str">
        <f aca="false">IFERROR((W34-W35)/W34,"")</f>
        <v/>
      </c>
      <c r="X33" s="198" t="str">
        <f aca="false">IFERROR((X34-X35)/X34,"")</f>
        <v/>
      </c>
      <c r="Y33" s="198" t="str">
        <f aca="false">IFERROR((Y34-Y35)/Y34,"")</f>
        <v/>
      </c>
      <c r="Z33" s="198" t="str">
        <f aca="false">IFERROR((Z34-Z35)/Z34,"")</f>
        <v/>
      </c>
      <c r="AA33" s="198" t="str">
        <f aca="false">IFERROR((AA34-AA35)/AA34,"")</f>
        <v/>
      </c>
      <c r="AB33" s="198" t="str">
        <f aca="false">IFERROR((AB34-AB35)/AB34,"")</f>
        <v/>
      </c>
      <c r="AC33" s="198" t="str">
        <f aca="false">IFERROR((AC34-AC35)/AC34,"")</f>
        <v/>
      </c>
      <c r="AD33" s="198" t="str">
        <f aca="false">IFERROR((AD34-AD35)/AD34,"")</f>
        <v/>
      </c>
      <c r="AE33" s="198" t="str">
        <f aca="false">IFERROR((AE34-AE35)/AE34,"")</f>
        <v/>
      </c>
      <c r="AF33" s="198" t="str">
        <f aca="false">IFERROR((AF34-AF35)/AF34,"")</f>
        <v/>
      </c>
      <c r="AG33" s="198" t="str">
        <f aca="false">IFERROR((AG34-AG35)/AG34,"")</f>
        <v/>
      </c>
      <c r="AH33" s="198" t="str">
        <f aca="false">IFERROR((AH34-AH35)/AH34,"")</f>
        <v/>
      </c>
      <c r="AI33" s="198" t="str">
        <f aca="false">IFERROR((AI34-AI35)/AI34,"")</f>
        <v/>
      </c>
      <c r="AJ33" s="200" t="str">
        <f aca="false">IFERROR((AJ34-AJ35)/AJ34,"")</f>
        <v/>
      </c>
      <c r="AK33" s="201" t="str">
        <f aca="false">IFERROR((AK34-AK35)/AK34,"")</f>
        <v/>
      </c>
      <c r="AL33" s="202" t="str">
        <f aca="false">IFERROR((AL34-AL35)/AL34,"")</f>
        <v/>
      </c>
      <c r="AM33" s="202" t="str">
        <f aca="false">IFERROR((AM34-AM35)/AM34,"")</f>
        <v/>
      </c>
      <c r="AN33" s="202" t="str">
        <f aca="false">IFERROR((AN34-AN35)/AN34,"")</f>
        <v/>
      </c>
      <c r="AO33" s="202" t="str">
        <f aca="false">IFERROR((AO34-AO35)/AO34,"")</f>
        <v/>
      </c>
      <c r="AP33" s="202" t="str">
        <f aca="false">IFERROR((AP34-AP35)/AP34,"")</f>
        <v/>
      </c>
      <c r="AQ33" s="203" t="str">
        <f aca="false">IFERROR((AQ34-AQ35)/AQ34,"")</f>
        <v/>
      </c>
      <c r="AR33" s="204" t="str">
        <f aca="false">IFERROR((AR34-AR35)/AR34,"")</f>
        <v/>
      </c>
    </row>
    <row r="34" customFormat="false" ht="14.25" hidden="false" customHeight="false" outlineLevel="0" collapsed="false">
      <c r="A34" s="191" t="str">
        <f aca="false">+IF(C34+C35=0,"[ocultar]","")</f>
        <v>[ocultar]</v>
      </c>
      <c r="B34" s="205" t="s">
        <v>371</v>
      </c>
      <c r="C34" s="206" t="n">
        <f aca="false" t="array" ref="C34:C34">SUM(IF($B34=DATOS_[Sexo], IF($B33=DATOS_[AGRUP. VALOR. PTO.], IF("Dentro"=DATOS_[Check Periodo Ref.], 1/(COUNTIFS(DATOS_[Sexo],$B34,DATOS_[AGRUP. VALOR. PTO.],$B33,DATOS_[Check Periodo Ref.],"Dentro",DATOS_[id],DATOS_[id]))))))</f>
        <v>0</v>
      </c>
      <c r="D34" s="207" t="n">
        <f aca="false">COUNTIFS(DATOS_[AGRUP. VALOR. PTO.],$B33,DATOS_[Sexo],$B34,DATOS_[Check Periodo Ref.],"Dentro")</f>
        <v>0</v>
      </c>
      <c r="E34" s="208" t="n">
        <f aca="false" t="array" ref="E34:E34">IFERROR( AVERAGE(IF(DATOS_[Sexo]=$B34,IF(DATOS_[AGRUP. VALOR. PTO.]=$B33,IF(DATOS_[Check Periodo Ref.]="Dentro",DATOS_[SALARIO BASE Ef],0)))), 0)</f>
        <v>0</v>
      </c>
      <c r="F34" s="209" t="n">
        <f aca="false" t="array" ref="F34:F34">IFERROR( AVERAGE((IF(DATOS_[[Sexo]:[Sexo]]=$B34,IF(DATOS_[[AGRUP. VALOR. PTO.]:[AGRUP. VALOR. PTO.]]=$B33,IF(DATOS_[[Check Periodo Ref.]:[Check Periodo Ref.]]="Dentro",DATOS_[Conc.Sal.01]))))), 0)</f>
        <v>0</v>
      </c>
      <c r="G34" s="209" t="n">
        <f aca="false" t="array" ref="G34:G34">IFERROR( AVERAGE((IF(DATOS_[[Sexo]:[Sexo]]=$B34,IF(DATOS_[[AGRUP. VALOR. PTO.]:[AGRUP. VALOR. PTO.]]=$B33,IF(DATOS_[[Check Periodo Ref.]:[Check Periodo Ref.]]="Dentro",DATOS_[Conc.Sal.02]))))), 0)</f>
        <v>0</v>
      </c>
      <c r="H34" s="209" t="n">
        <f aca="false" t="array" ref="H34:H34">IFERROR( AVERAGE((IF(DATOS_[[Sexo]:[Sexo]]=$B34,IF(DATOS_[[AGRUP. VALOR. PTO.]:[AGRUP. VALOR. PTO.]]=$B33,IF(DATOS_[[Check Periodo Ref.]:[Check Periodo Ref.]]="Dentro",DATOS_[Conc.Sal.03]))))), 0)</f>
        <v>0</v>
      </c>
      <c r="I34" s="209" t="n">
        <f aca="false" t="array" ref="I34:I34">IFERROR( AVERAGE((IF(DATOS_[[Sexo]:[Sexo]]=$B34,IF(DATOS_[[AGRUP. VALOR. PTO.]:[AGRUP. VALOR. PTO.]]=$B33,IF(DATOS_[[Check Periodo Ref.]:[Check Periodo Ref.]]="Dentro",DATOS_[Conc.Sal.04]))))), 0)</f>
        <v>0</v>
      </c>
      <c r="J34" s="209" t="n">
        <f aca="false" t="array" ref="J34:J34">IFERROR( AVERAGE((IF(DATOS_[[Sexo]:[Sexo]]=$B34,IF(DATOS_[[AGRUP. VALOR. PTO.]:[AGRUP. VALOR. PTO.]]=$B33,IF(DATOS_[[Check Periodo Ref.]:[Check Periodo Ref.]]="Dentro",DATOS_[Conc.Sal.05]))))), 0)</f>
        <v>0</v>
      </c>
      <c r="K34" s="209" t="n">
        <f aca="false" t="array" ref="K34:K34">IFERROR( AVERAGE((IF(DATOS_[[Sexo]:[Sexo]]=$B34,IF(DATOS_[[AGRUP. VALOR. PTO.]:[AGRUP. VALOR. PTO.]]=$B33,IF(DATOS_[[Check Periodo Ref.]:[Check Periodo Ref.]]="Dentro",DATOS_[Conc.Sal.06]))))), 0)</f>
        <v>0</v>
      </c>
      <c r="L34" s="209" t="n">
        <f aca="false" t="array" ref="L34:L34">IFERROR( AVERAGE((IF(DATOS_[[Sexo]:[Sexo]]=$B34,IF(DATOS_[[AGRUP. VALOR. PTO.]:[AGRUP. VALOR. PTO.]]=$B33,IF(DATOS_[[Check Periodo Ref.]:[Check Periodo Ref.]]="Dentro",DATOS_[Conc.Sal.07]))))), 0)</f>
        <v>0</v>
      </c>
      <c r="M34" s="209" t="n">
        <f aca="false" t="array" ref="M34:M34">IFERROR( AVERAGE((IF(DATOS_[[Sexo]:[Sexo]]=$B34,IF(DATOS_[[AGRUP. VALOR. PTO.]:[AGRUP. VALOR. PTO.]]=$B33,IF(DATOS_[[Check Periodo Ref.]:[Check Periodo Ref.]]="Dentro",DATOS_[Conc.Sal.08]))))), 0)</f>
        <v>0</v>
      </c>
      <c r="N34" s="209" t="n">
        <f aca="false" t="array" ref="N34:N34">IFERROR( AVERAGE((IF(DATOS_[[Sexo]:[Sexo]]=$B34,IF(DATOS_[[AGRUP. VALOR. PTO.]:[AGRUP. VALOR. PTO.]]=$B33,IF(DATOS_[[Check Periodo Ref.]:[Check Periodo Ref.]]="Dentro",DATOS_[Conc.Sal.09]))))), 0)</f>
        <v>0</v>
      </c>
      <c r="O34" s="209" t="n">
        <f aca="false" t="array" ref="O34:O34">IFERROR( AVERAGE((IF(DATOS_[[Sexo]:[Sexo]]=$B34,IF(DATOS_[[AGRUP. VALOR. PTO.]:[AGRUP. VALOR. PTO.]]=$B33,IF(DATOS_[[Check Periodo Ref.]:[Check Periodo Ref.]]="Dentro",DATOS_[Conc.Sal.10]))))), 0)</f>
        <v>0</v>
      </c>
      <c r="P34" s="209" t="n">
        <f aca="false" t="array" ref="P34:P34">IFERROR( AVERAGE((IF(DATOS_[[Sexo]:[Sexo]]=$B34,IF(DATOS_[[AGRUP. VALOR. PTO.]:[AGRUP. VALOR. PTO.]]=$B33,IF(DATOS_[[Check Periodo Ref.]:[Check Periodo Ref.]]="Dentro",DATOS_[Conc.Sal.11]))))), 0)</f>
        <v>0</v>
      </c>
      <c r="Q34" s="209" t="n">
        <f aca="false" t="array" ref="Q34:Q34">IFERROR( AVERAGE((IF(DATOS_[[Sexo]:[Sexo]]=$B34,IF(DATOS_[[AGRUP. VALOR. PTO.]:[AGRUP. VALOR. PTO.]]=$B33,IF(DATOS_[[Check Periodo Ref.]:[Check Periodo Ref.]]="Dentro",DATOS_[Conc.Sal.12]))))), 0)</f>
        <v>0</v>
      </c>
      <c r="R34" s="209" t="n">
        <f aca="false" t="array" ref="R34:R34">IFERROR( AVERAGE((IF(DATOS_[[Sexo]:[Sexo]]=$B34,IF(DATOS_[[AGRUP. VALOR. PTO.]:[AGRUP. VALOR. PTO.]]=$B33,IF(DATOS_[[Check Periodo Ref.]:[Check Periodo Ref.]]="Dentro",DATOS_[Conc.Sal.13]))))), 0)</f>
        <v>0</v>
      </c>
      <c r="S34" s="209" t="n">
        <f aca="false" t="array" ref="S34:S34">IFERROR( AVERAGE((IF(DATOS_[[Sexo]:[Sexo]]=$B34,IF(DATOS_[[AGRUP. VALOR. PTO.]:[AGRUP. VALOR. PTO.]]=$B33,IF(DATOS_[[Check Periodo Ref.]:[Check Periodo Ref.]]="Dentro",DATOS_[Conc.Sal.14]))))), 0)</f>
        <v>0</v>
      </c>
      <c r="T34" s="209" t="n">
        <f aca="false" t="array" ref="T34:T34">IFERROR( AVERAGE((IF(DATOS_[[Sexo]:[Sexo]]=$B34,IF(DATOS_[[AGRUP. VALOR. PTO.]:[AGRUP. VALOR. PTO.]]=$B33,IF(DATOS_[[Check Periodo Ref.]:[Check Periodo Ref.]]="Dentro",DATOS_[Conc.Sal.15]))))), 0)</f>
        <v>0</v>
      </c>
      <c r="U34" s="209" t="n">
        <f aca="false" t="array" ref="U34:U34">IFERROR( AVERAGE((IF(DATOS_[[Sexo]:[Sexo]]=$B34,IF(DATOS_[[AGRUP. VALOR. PTO.]:[AGRUP. VALOR. PTO.]]=$B33,IF(DATOS_[[Check Periodo Ref.]:[Check Periodo Ref.]]="Dentro",DATOS_[Conc.Sal.16]))))), 0)</f>
        <v>0</v>
      </c>
      <c r="V34" s="209" t="n">
        <f aca="false" t="array" ref="V34:V34">IFERROR( AVERAGE((IF(DATOS_[[Sexo]:[Sexo]]=$B34,IF(DATOS_[[AGRUP. VALOR. PTO.]:[AGRUP. VALOR. PTO.]]=$B33,IF(DATOS_[[Check Periodo Ref.]:[Check Periodo Ref.]]="Dentro",DATOS_[Conc.Sal.17]))))), 0)</f>
        <v>0</v>
      </c>
      <c r="W34" s="209" t="n">
        <f aca="false" t="array" ref="W34:W34">IFERROR( AVERAGE((IF(DATOS_[[Sexo]:[Sexo]]=$B34,IF(DATOS_[[AGRUP. VALOR. PTO.]:[AGRUP. VALOR. PTO.]]=$B33,IF(DATOS_[[Check Periodo Ref.]:[Check Periodo Ref.]]="Dentro",DATOS_[Conc.Sal.18]))))), 0)</f>
        <v>0</v>
      </c>
      <c r="X34" s="209" t="n">
        <f aca="false" t="array" ref="X34:X34">IFERROR( AVERAGE((IF(DATOS_[[Sexo]:[Sexo]]=$B34,IF(DATOS_[[AGRUP. VALOR. PTO.]:[AGRUP. VALOR. PTO.]]=$B33,IF(DATOS_[[Check Periodo Ref.]:[Check Periodo Ref.]]="Dentro",DATOS_[Conc.Sal.19]))))), 0)</f>
        <v>0</v>
      </c>
      <c r="Y34" s="209" t="n">
        <f aca="false" t="array" ref="Y34:Y34">IFERROR( AVERAGE((IF(DATOS_[[Sexo]:[Sexo]]=$B34,IF(DATOS_[[AGRUP. VALOR. PTO.]:[AGRUP. VALOR. PTO.]]=$B33,IF(DATOS_[[Check Periodo Ref.]:[Check Periodo Ref.]]="Dentro",DATOS_[Conc.Sal.20]))))), 0)</f>
        <v>0</v>
      </c>
      <c r="Z34" s="209" t="n">
        <f aca="false" t="array" ref="Z34:Z34">IFERROR( AVERAGE((IF(DATOS_[[Sexo]:[Sexo]]=$B34,IF(DATOS_[[AGRUP. VALOR. PTO.]:[AGRUP. VALOR. PTO.]]=$B33,IF(DATOS_[[Check Periodo Ref.]:[Check Periodo Ref.]]="Dentro",DATOS_[Conc.Sal.21]))))), 0)</f>
        <v>0</v>
      </c>
      <c r="AA34" s="209" t="n">
        <f aca="false" t="array" ref="AA34:AA34">IFERROR( AVERAGE((IF(DATOS_[[Sexo]:[Sexo]]=$B34,IF(DATOS_[[AGRUP. VALOR. PTO.]:[AGRUP. VALOR. PTO.]]=$B33,IF(DATOS_[[Check Periodo Ref.]:[Check Periodo Ref.]]="Dentro",DATOS_[Conc.Sal.22]))))), 0)</f>
        <v>0</v>
      </c>
      <c r="AB34" s="209" t="n">
        <f aca="false" t="array" ref="AB34:AB34">IFERROR( AVERAGE((IF(DATOS_[[Sexo]:[Sexo]]=$B34,IF(DATOS_[[AGRUP. VALOR. PTO.]:[AGRUP. VALOR. PTO.]]=$B33,IF(DATOS_[[Check Periodo Ref.]:[Check Periodo Ref.]]="Dentro",DATOS_[Conc.Sal.23]))))), 0)</f>
        <v>0</v>
      </c>
      <c r="AC34" s="209" t="n">
        <f aca="false" t="array" ref="AC34:AC34">IFERROR( AVERAGE((IF(DATOS_[[Sexo]:[Sexo]]=$B34,IF(DATOS_[[AGRUP. VALOR. PTO.]:[AGRUP. VALOR. PTO.]]=$B33,IF(DATOS_[[Check Periodo Ref.]:[Check Periodo Ref.]]="Dentro",DATOS_[Conc.Sal.24]))))), 0)</f>
        <v>0</v>
      </c>
      <c r="AD34" s="209" t="n">
        <f aca="false" t="array" ref="AD34:AD34">IFERROR( AVERAGE((IF(DATOS_[[Sexo]:[Sexo]]=$B34,IF(DATOS_[[AGRUP. VALOR. PTO.]:[AGRUP. VALOR. PTO.]]=$B33,IF(DATOS_[[Check Periodo Ref.]:[Check Periodo Ref.]]="Dentro",DATOS_[Conc.Sal.25]))))), 0)</f>
        <v>0</v>
      </c>
      <c r="AE34" s="209" t="n">
        <f aca="false" t="array" ref="AE34:AE34">IFERROR( AVERAGE((IF(DATOS_[[Sexo]:[Sexo]]=$B34,IF(DATOS_[[AGRUP. VALOR. PTO.]:[AGRUP. VALOR. PTO.]]=$B33,IF(DATOS_[[Check Periodo Ref.]:[Check Periodo Ref.]]="Dentro",DATOS_[Conc.Sal.26]))))), 0)</f>
        <v>0</v>
      </c>
      <c r="AF34" s="209" t="n">
        <f aca="false" t="array" ref="AF34:AF34">IFERROR( AVERAGE((IF(DATOS_[[Sexo]:[Sexo]]=$B34,IF(DATOS_[[AGRUP. VALOR. PTO.]:[AGRUP. VALOR. PTO.]]=$B33,IF(DATOS_[[Check Periodo Ref.]:[Check Periodo Ref.]]="Dentro",DATOS_[Conc.Sal.27]))))), 0)</f>
        <v>0</v>
      </c>
      <c r="AG34" s="209" t="n">
        <f aca="false" t="array" ref="AG34:AG34">IFERROR( AVERAGE((IF(DATOS_[[Sexo]:[Sexo]]=$B34,IF(DATOS_[[AGRUP. VALOR. PTO.]:[AGRUP. VALOR. PTO.]]=$B33,IF(DATOS_[[Check Periodo Ref.]:[Check Periodo Ref.]]="Dentro",DATOS_[Conc.Sal.28]))))), 0)</f>
        <v>0</v>
      </c>
      <c r="AH34" s="209" t="n">
        <f aca="false" t="array" ref="AH34:AH34">IFERROR( AVERAGE((IF(DATOS_[[Sexo]:[Sexo]]=$B34,IF(DATOS_[[AGRUP. VALOR. PTO.]:[AGRUP. VALOR. PTO.]]=$B33,IF(DATOS_[[Check Periodo Ref.]:[Check Periodo Ref.]]="Dentro",DATOS_[Conc.Sal.29]))))), 0)</f>
        <v>0</v>
      </c>
      <c r="AI34" s="209" t="n">
        <f aca="false" t="array" ref="AI34:AI34">IFERROR( AVERAGE((IF(DATOS_[[Sexo]:[Sexo]]=$B34,IF(DATOS_[[AGRUP. VALOR. PTO.]:[AGRUP. VALOR. PTO.]]=$B33,IF(DATOS_[[Check Periodo Ref.]:[Check Periodo Ref.]]="Dentro",DATOS_[Conc.Sal.30]))))), 0)</f>
        <v>0</v>
      </c>
      <c r="AJ34" s="210" t="n">
        <f aca="false" t="array" ref="AJ34:AJ34">IFERROR( AVERAGE(IF(DATOS_[Sexo]=$B34,IF(DATOS_[AGRUP. VALOR. PTO.]=$B33,IF(DATOS_[Check Periodo Ref.]="Dentro",DATOS_[Tot COMPL.SAL Ef],0)))), 0)</f>
        <v>0</v>
      </c>
      <c r="AK34" s="211" t="n">
        <f aca="false" t="array" ref="AK34:AK34">IFERROR( AVERAGE(IF(DATOS_[Sexo]=$B34,IF(DATOS_[AGRUP. VALOR. PTO.]=$B33,IF(DATOS_[Check Periodo Ref.]="Dentro",DATOS_[TOTAL SALARIO Ef],0)))), 0)</f>
        <v>0</v>
      </c>
      <c r="AL34" s="212" t="n">
        <f aca="false" t="array" ref="AL34:AL34">IFERROR( AVERAGE((IF(DATOS_[[Sexo]:[Sexo]]=$B34,IF(DATOS_[[AGRUP. VALOR. PTO.]:[AGRUP. VALOR. PTO.]]=$B33,IF(DATOS_[[Check Periodo Ref.]:[Check Periodo Ref.]]="Dentro",DATOS_[C.Extra.01]))))), 0)</f>
        <v>0</v>
      </c>
      <c r="AM34" s="212" t="n">
        <f aca="false" t="array" ref="AM34:AM34">IFERROR( AVERAGE((IF(DATOS_[[Sexo]:[Sexo]]=$B34,IF(DATOS_[[AGRUP. VALOR. PTO.]:[AGRUP. VALOR. PTO.]]=$B33,IF(DATOS_[[Check Periodo Ref.]:[Check Periodo Ref.]]="Dentro",DATOS_[C.Extra.02]))))), 0)</f>
        <v>0</v>
      </c>
      <c r="AN34" s="212" t="n">
        <f aca="false" t="array" ref="AN34:AN34">IFERROR( AVERAGE((IF(DATOS_[[Sexo]:[Sexo]]=$B34,IF(DATOS_[[AGRUP. VALOR. PTO.]:[AGRUP. VALOR. PTO.]]=$B33,IF(DATOS_[[Check Periodo Ref.]:[Check Periodo Ref.]]="Dentro",DATOS_[C.Extra.03]))))), 0)</f>
        <v>0</v>
      </c>
      <c r="AO34" s="212" t="n">
        <f aca="false" t="array" ref="AO34:AO34">IFERROR( AVERAGE((IF(DATOS_[[Sexo]:[Sexo]]=$B34,IF(DATOS_[[AGRUP. VALOR. PTO.]:[AGRUP. VALOR. PTO.]]=$B33,IF(DATOS_[[Check Periodo Ref.]:[Check Periodo Ref.]]="Dentro",DATOS_[C.Extra.04]))))), 0)</f>
        <v>0</v>
      </c>
      <c r="AP34" s="212" t="n">
        <f aca="false" t="array" ref="AP34:AP34">IFERROR( AVERAGE((IF(DATOS_[[Sexo]:[Sexo]]=$B34,IF(DATOS_[[AGRUP. VALOR. PTO.]:[AGRUP. VALOR. PTO.]]=$B33,IF(DATOS_[[Check Periodo Ref.]:[Check Periodo Ref.]]="Dentro",DATOS_[C.Extra.05]))))), 0)</f>
        <v>0</v>
      </c>
      <c r="AQ34" s="213" t="n">
        <f aca="false" t="array" ref="AQ34:AQ34">IFERROR( AVERAGE(IF(DATOS_[Sexo]=$B34,IF(DATOS_[AGRUP. VALOR. PTO.]=$B33,IF(DATOS_[Check Periodo Ref.]="Dentro",DATOS_[Tot Extrasalarial Ef],0)))), 0)</f>
        <v>0</v>
      </c>
      <c r="AR34" s="214" t="n">
        <f aca="false" t="array" ref="AR34:AR34">IFERROR( AVERAGE(IF(DATOS_[Sexo]=$B34,IF(DATOS_[AGRUP. VALOR. PTO.]=$B33,IF(DATOS_[Check Periodo Ref.]="Dentro",DATOS_[TOTAL Retrib Ef],0)))), 0)</f>
        <v>0</v>
      </c>
    </row>
    <row r="35" customFormat="false" ht="14.25" hidden="false" customHeight="false" outlineLevel="0" collapsed="false">
      <c r="A35" s="191" t="str">
        <f aca="false">+A34</f>
        <v>[ocultar]</v>
      </c>
      <c r="B35" s="205" t="s">
        <v>372</v>
      </c>
      <c r="C35" s="206" t="n">
        <f aca="false" t="array" ref="C35:C35">SUM(IF($B35=DATOS_[Sexo], IF($B33=DATOS_[AGRUP. VALOR. PTO.], IF("Dentro"=DATOS_[Check Periodo Ref.], 1/(COUNTIFS(DATOS_[Sexo],$B35,DATOS_[AGRUP. VALOR. PTO.],$B33,DATOS_[Check Periodo Ref.],"Dentro",DATOS_[id],DATOS_[id]))))))</f>
        <v>0</v>
      </c>
      <c r="D35" s="207" t="n">
        <f aca="false">COUNTIFS(DATOS_[AGRUP. VALOR. PTO.],$B33,DATOS_[Sexo],$B35,DATOS_[Check Periodo Ref.],"Dentro")</f>
        <v>0</v>
      </c>
      <c r="E35" s="208" t="n">
        <f aca="false" t="array" ref="E35:E35">IFERROR( AVERAGE(IF(DATOS_[Sexo]=$B35,IF(DATOS_[AGRUP. VALOR. PTO.]=$B33,IF(DATOS_[Check Periodo Ref.]="Dentro",DATOS_[SALARIO BASE Ef],0)))), 0)</f>
        <v>0</v>
      </c>
      <c r="F35" s="209" t="n">
        <f aca="false" t="array" ref="F35:F35">IFERROR( AVERAGE((IF(DATOS_[[Sexo]:[Sexo]]=$B35,IF(DATOS_[[AGRUP. VALOR. PTO.]:[AGRUP. VALOR. PTO.]]=$B33,IF(DATOS_[[Check Periodo Ref.]:[Check Periodo Ref.]]="Dentro",DATOS_[Conc.Sal.01]))))), 0)</f>
        <v>0</v>
      </c>
      <c r="G35" s="209" t="n">
        <f aca="false" t="array" ref="G35:G35">IFERROR( AVERAGE((IF(DATOS_[[Sexo]:[Sexo]]=$B35,IF(DATOS_[[AGRUP. VALOR. PTO.]:[AGRUP. VALOR. PTO.]]=$B33,IF(DATOS_[[Check Periodo Ref.]:[Check Periodo Ref.]]="Dentro",DATOS_[Conc.Sal.02]))))), 0)</f>
        <v>0</v>
      </c>
      <c r="H35" s="209" t="n">
        <f aca="false" t="array" ref="H35:H35">IFERROR( AVERAGE((IF(DATOS_[[Sexo]:[Sexo]]=$B35,IF(DATOS_[[AGRUP. VALOR. PTO.]:[AGRUP. VALOR. PTO.]]=$B33,IF(DATOS_[[Check Periodo Ref.]:[Check Periodo Ref.]]="Dentro",DATOS_[Conc.Sal.03]))))), 0)</f>
        <v>0</v>
      </c>
      <c r="I35" s="209" t="n">
        <f aca="false" t="array" ref="I35:I35">IFERROR( AVERAGE((IF(DATOS_[[Sexo]:[Sexo]]=$B35,IF(DATOS_[[AGRUP. VALOR. PTO.]:[AGRUP. VALOR. PTO.]]=$B33,IF(DATOS_[[Check Periodo Ref.]:[Check Periodo Ref.]]="Dentro",DATOS_[Conc.Sal.04]))))), 0)</f>
        <v>0</v>
      </c>
      <c r="J35" s="209" t="n">
        <f aca="false" t="array" ref="J35:J35">IFERROR( AVERAGE((IF(DATOS_[[Sexo]:[Sexo]]=$B35,IF(DATOS_[[AGRUP. VALOR. PTO.]:[AGRUP. VALOR. PTO.]]=$B33,IF(DATOS_[[Check Periodo Ref.]:[Check Periodo Ref.]]="Dentro",DATOS_[Conc.Sal.05]))))), 0)</f>
        <v>0</v>
      </c>
      <c r="K35" s="209" t="n">
        <f aca="false" t="array" ref="K35:K35">IFERROR( AVERAGE((IF(DATOS_[[Sexo]:[Sexo]]=$B35,IF(DATOS_[[AGRUP. VALOR. PTO.]:[AGRUP. VALOR. PTO.]]=$B33,IF(DATOS_[[Check Periodo Ref.]:[Check Periodo Ref.]]="Dentro",DATOS_[Conc.Sal.06]))))), 0)</f>
        <v>0</v>
      </c>
      <c r="L35" s="209" t="n">
        <f aca="false" t="array" ref="L35:L35">IFERROR( AVERAGE((IF(DATOS_[[Sexo]:[Sexo]]=$B35,IF(DATOS_[[AGRUP. VALOR. PTO.]:[AGRUP. VALOR. PTO.]]=$B33,IF(DATOS_[[Check Periodo Ref.]:[Check Periodo Ref.]]="Dentro",DATOS_[Conc.Sal.07]))))), 0)</f>
        <v>0</v>
      </c>
      <c r="M35" s="209" t="n">
        <f aca="false" t="array" ref="M35:M35">IFERROR( AVERAGE((IF(DATOS_[[Sexo]:[Sexo]]=$B35,IF(DATOS_[[AGRUP. VALOR. PTO.]:[AGRUP. VALOR. PTO.]]=$B33,IF(DATOS_[[Check Periodo Ref.]:[Check Periodo Ref.]]="Dentro",DATOS_[Conc.Sal.08]))))), 0)</f>
        <v>0</v>
      </c>
      <c r="N35" s="209" t="n">
        <f aca="false" t="array" ref="N35:N35">IFERROR( AVERAGE((IF(DATOS_[[Sexo]:[Sexo]]=$B35,IF(DATOS_[[AGRUP. VALOR. PTO.]:[AGRUP. VALOR. PTO.]]=$B33,IF(DATOS_[[Check Periodo Ref.]:[Check Periodo Ref.]]="Dentro",DATOS_[Conc.Sal.09]))))), 0)</f>
        <v>0</v>
      </c>
      <c r="O35" s="209" t="n">
        <f aca="false" t="array" ref="O35:O35">IFERROR( AVERAGE((IF(DATOS_[[Sexo]:[Sexo]]=$B35,IF(DATOS_[[AGRUP. VALOR. PTO.]:[AGRUP. VALOR. PTO.]]=$B33,IF(DATOS_[[Check Periodo Ref.]:[Check Periodo Ref.]]="Dentro",DATOS_[Conc.Sal.10]))))), 0)</f>
        <v>0</v>
      </c>
      <c r="P35" s="209" t="n">
        <f aca="false" t="array" ref="P35:P35">IFERROR( AVERAGE((IF(DATOS_[[Sexo]:[Sexo]]=$B35,IF(DATOS_[[AGRUP. VALOR. PTO.]:[AGRUP. VALOR. PTO.]]=$B33,IF(DATOS_[[Check Periodo Ref.]:[Check Periodo Ref.]]="Dentro",DATOS_[Conc.Sal.11]))))), 0)</f>
        <v>0</v>
      </c>
      <c r="Q35" s="209" t="n">
        <f aca="false" t="array" ref="Q35:Q35">IFERROR( AVERAGE((IF(DATOS_[[Sexo]:[Sexo]]=$B35,IF(DATOS_[[AGRUP. VALOR. PTO.]:[AGRUP. VALOR. PTO.]]=$B33,IF(DATOS_[[Check Periodo Ref.]:[Check Periodo Ref.]]="Dentro",DATOS_[Conc.Sal.12]))))), 0)</f>
        <v>0</v>
      </c>
      <c r="R35" s="209" t="n">
        <f aca="false" t="array" ref="R35:R35">IFERROR( AVERAGE((IF(DATOS_[[Sexo]:[Sexo]]=$B35,IF(DATOS_[[AGRUP. VALOR. PTO.]:[AGRUP. VALOR. PTO.]]=$B33,IF(DATOS_[[Check Periodo Ref.]:[Check Periodo Ref.]]="Dentro",DATOS_[Conc.Sal.13]))))), 0)</f>
        <v>0</v>
      </c>
      <c r="S35" s="209" t="n">
        <f aca="false" t="array" ref="S35:S35">IFERROR( AVERAGE((IF(DATOS_[[Sexo]:[Sexo]]=$B35,IF(DATOS_[[AGRUP. VALOR. PTO.]:[AGRUP. VALOR. PTO.]]=$B33,IF(DATOS_[[Check Periodo Ref.]:[Check Periodo Ref.]]="Dentro",DATOS_[Conc.Sal.14]))))), 0)</f>
        <v>0</v>
      </c>
      <c r="T35" s="209" t="n">
        <f aca="false" t="array" ref="T35:T35">IFERROR( AVERAGE((IF(DATOS_[[Sexo]:[Sexo]]=$B35,IF(DATOS_[[AGRUP. VALOR. PTO.]:[AGRUP. VALOR. PTO.]]=$B33,IF(DATOS_[[Check Periodo Ref.]:[Check Periodo Ref.]]="Dentro",DATOS_[Conc.Sal.15]))))), 0)</f>
        <v>0</v>
      </c>
      <c r="U35" s="209" t="n">
        <f aca="false" t="array" ref="U35:U35">IFERROR( AVERAGE((IF(DATOS_[[Sexo]:[Sexo]]=$B35,IF(DATOS_[[AGRUP. VALOR. PTO.]:[AGRUP. VALOR. PTO.]]=$B33,IF(DATOS_[[Check Periodo Ref.]:[Check Periodo Ref.]]="Dentro",DATOS_[Conc.Sal.16]))))), 0)</f>
        <v>0</v>
      </c>
      <c r="V35" s="209" t="n">
        <f aca="false" t="array" ref="V35:V35">IFERROR( AVERAGE((IF(DATOS_[[Sexo]:[Sexo]]=$B35,IF(DATOS_[[AGRUP. VALOR. PTO.]:[AGRUP. VALOR. PTO.]]=$B33,IF(DATOS_[[Check Periodo Ref.]:[Check Periodo Ref.]]="Dentro",DATOS_[Conc.Sal.17]))))), 0)</f>
        <v>0</v>
      </c>
      <c r="W35" s="209" t="n">
        <f aca="false" t="array" ref="W35:W35">IFERROR( AVERAGE((IF(DATOS_[[Sexo]:[Sexo]]=$B35,IF(DATOS_[[AGRUP. VALOR. PTO.]:[AGRUP. VALOR. PTO.]]=$B33,IF(DATOS_[[Check Periodo Ref.]:[Check Periodo Ref.]]="Dentro",DATOS_[Conc.Sal.18]))))), 0)</f>
        <v>0</v>
      </c>
      <c r="X35" s="209" t="n">
        <f aca="false" t="array" ref="X35:X35">IFERROR( AVERAGE((IF(DATOS_[[Sexo]:[Sexo]]=$B35,IF(DATOS_[[AGRUP. VALOR. PTO.]:[AGRUP. VALOR. PTO.]]=$B33,IF(DATOS_[[Check Periodo Ref.]:[Check Periodo Ref.]]="Dentro",DATOS_[Conc.Sal.19]))))), 0)</f>
        <v>0</v>
      </c>
      <c r="Y35" s="209" t="n">
        <f aca="false" t="array" ref="Y35:Y35">IFERROR( AVERAGE((IF(DATOS_[[Sexo]:[Sexo]]=$B35,IF(DATOS_[[AGRUP. VALOR. PTO.]:[AGRUP. VALOR. PTO.]]=$B33,IF(DATOS_[[Check Periodo Ref.]:[Check Periodo Ref.]]="Dentro",DATOS_[Conc.Sal.20]))))), 0)</f>
        <v>0</v>
      </c>
      <c r="Z35" s="209" t="n">
        <f aca="false" t="array" ref="Z35:Z35">IFERROR( AVERAGE((IF(DATOS_[[Sexo]:[Sexo]]=$B35,IF(DATOS_[[AGRUP. VALOR. PTO.]:[AGRUP. VALOR. PTO.]]=$B33,IF(DATOS_[[Check Periodo Ref.]:[Check Periodo Ref.]]="Dentro",DATOS_[Conc.Sal.21]))))), 0)</f>
        <v>0</v>
      </c>
      <c r="AA35" s="209" t="n">
        <f aca="false" t="array" ref="AA35:AA35">IFERROR( AVERAGE((IF(DATOS_[[Sexo]:[Sexo]]=$B35,IF(DATOS_[[AGRUP. VALOR. PTO.]:[AGRUP. VALOR. PTO.]]=$B33,IF(DATOS_[[Check Periodo Ref.]:[Check Periodo Ref.]]="Dentro",DATOS_[Conc.Sal.22]))))), 0)</f>
        <v>0</v>
      </c>
      <c r="AB35" s="209" t="n">
        <f aca="false" t="array" ref="AB35:AB35">IFERROR( AVERAGE((IF(DATOS_[[Sexo]:[Sexo]]=$B35,IF(DATOS_[[AGRUP. VALOR. PTO.]:[AGRUP. VALOR. PTO.]]=$B33,IF(DATOS_[[Check Periodo Ref.]:[Check Periodo Ref.]]="Dentro",DATOS_[Conc.Sal.23]))))), 0)</f>
        <v>0</v>
      </c>
      <c r="AC35" s="209" t="n">
        <f aca="false" t="array" ref="AC35:AC35">IFERROR( AVERAGE((IF(DATOS_[[Sexo]:[Sexo]]=$B35,IF(DATOS_[[AGRUP. VALOR. PTO.]:[AGRUP. VALOR. PTO.]]=$B33,IF(DATOS_[[Check Periodo Ref.]:[Check Periodo Ref.]]="Dentro",DATOS_[Conc.Sal.24]))))), 0)</f>
        <v>0</v>
      </c>
      <c r="AD35" s="209" t="n">
        <f aca="false" t="array" ref="AD35:AD35">IFERROR( AVERAGE((IF(DATOS_[[Sexo]:[Sexo]]=$B35,IF(DATOS_[[AGRUP. VALOR. PTO.]:[AGRUP. VALOR. PTO.]]=$B33,IF(DATOS_[[Check Periodo Ref.]:[Check Periodo Ref.]]="Dentro",DATOS_[Conc.Sal.25]))))), 0)</f>
        <v>0</v>
      </c>
      <c r="AE35" s="209" t="n">
        <f aca="false" t="array" ref="AE35:AE35">IFERROR( AVERAGE((IF(DATOS_[[Sexo]:[Sexo]]=$B35,IF(DATOS_[[AGRUP. VALOR. PTO.]:[AGRUP. VALOR. PTO.]]=$B33,IF(DATOS_[[Check Periodo Ref.]:[Check Periodo Ref.]]="Dentro",DATOS_[Conc.Sal.26]))))), 0)</f>
        <v>0</v>
      </c>
      <c r="AF35" s="209" t="n">
        <f aca="false" t="array" ref="AF35:AF35">IFERROR( AVERAGE((IF(DATOS_[[Sexo]:[Sexo]]=$B35,IF(DATOS_[[AGRUP. VALOR. PTO.]:[AGRUP. VALOR. PTO.]]=$B33,IF(DATOS_[[Check Periodo Ref.]:[Check Periodo Ref.]]="Dentro",DATOS_[Conc.Sal.27]))))), 0)</f>
        <v>0</v>
      </c>
      <c r="AG35" s="209" t="n">
        <f aca="false" t="array" ref="AG35:AG35">IFERROR( AVERAGE((IF(DATOS_[[Sexo]:[Sexo]]=$B35,IF(DATOS_[[AGRUP. VALOR. PTO.]:[AGRUP. VALOR. PTO.]]=$B33,IF(DATOS_[[Check Periodo Ref.]:[Check Periodo Ref.]]="Dentro",DATOS_[Conc.Sal.28]))))), 0)</f>
        <v>0</v>
      </c>
      <c r="AH35" s="209" t="n">
        <f aca="false" t="array" ref="AH35:AH35">IFERROR( AVERAGE((IF(DATOS_[[Sexo]:[Sexo]]=$B35,IF(DATOS_[[AGRUP. VALOR. PTO.]:[AGRUP. VALOR. PTO.]]=$B33,IF(DATOS_[[Check Periodo Ref.]:[Check Periodo Ref.]]="Dentro",DATOS_[Conc.Sal.29]))))), 0)</f>
        <v>0</v>
      </c>
      <c r="AI35" s="209" t="n">
        <f aca="false" t="array" ref="AI35:AI35">IFERROR( AVERAGE((IF(DATOS_[[Sexo]:[Sexo]]=$B35,IF(DATOS_[[AGRUP. VALOR. PTO.]:[AGRUP. VALOR. PTO.]]=$B33,IF(DATOS_[[Check Periodo Ref.]:[Check Periodo Ref.]]="Dentro",DATOS_[Conc.Sal.30]))))), 0)</f>
        <v>0</v>
      </c>
      <c r="AJ35" s="210" t="n">
        <f aca="false" t="array" ref="AJ35:AJ35">IFERROR( AVERAGE(IF(DATOS_[Sexo]=$B35,IF(DATOS_[AGRUP. VALOR. PTO.]=$B33,IF(DATOS_[Check Periodo Ref.]="Dentro",DATOS_[Tot COMPL.SAL Ef],0)))), 0)</f>
        <v>0</v>
      </c>
      <c r="AK35" s="211" t="n">
        <f aca="false" t="array" ref="AK35:AK35">IFERROR( AVERAGE(IF(DATOS_[Sexo]=$B35,IF(DATOS_[AGRUP. VALOR. PTO.]=$B33,IF(DATOS_[Check Periodo Ref.]="Dentro",DATOS_[TOTAL SALARIO Ef],0)))), 0)</f>
        <v>0</v>
      </c>
      <c r="AL35" s="212" t="n">
        <f aca="false" t="array" ref="AL35:AL35">IFERROR( AVERAGE((IF(DATOS_[[Sexo]:[Sexo]]=$B35,IF(DATOS_[[AGRUP. VALOR. PTO.]:[AGRUP. VALOR. PTO.]]=$B33,IF(DATOS_[[Check Periodo Ref.]:[Check Periodo Ref.]]="Dentro",DATOS_[C.Extra.01]))))), 0)</f>
        <v>0</v>
      </c>
      <c r="AM35" s="212" t="n">
        <f aca="false" t="array" ref="AM35:AM35">IFERROR( AVERAGE((IF(DATOS_[[Sexo]:[Sexo]]=$B35,IF(DATOS_[[AGRUP. VALOR. PTO.]:[AGRUP. VALOR. PTO.]]=$B33,IF(DATOS_[[Check Periodo Ref.]:[Check Periodo Ref.]]="Dentro",DATOS_[C.Extra.02]))))), 0)</f>
        <v>0</v>
      </c>
      <c r="AN35" s="212" t="n">
        <f aca="false" t="array" ref="AN35:AN35">IFERROR( AVERAGE((IF(DATOS_[[Sexo]:[Sexo]]=$B35,IF(DATOS_[[AGRUP. VALOR. PTO.]:[AGRUP. VALOR. PTO.]]=$B33,IF(DATOS_[[Check Periodo Ref.]:[Check Periodo Ref.]]="Dentro",DATOS_[C.Extra.03]))))), 0)</f>
        <v>0</v>
      </c>
      <c r="AO35" s="212" t="n">
        <f aca="false" t="array" ref="AO35:AO35">IFERROR( AVERAGE((IF(DATOS_[[Sexo]:[Sexo]]=$B35,IF(DATOS_[[AGRUP. VALOR. PTO.]:[AGRUP. VALOR. PTO.]]=$B33,IF(DATOS_[[Check Periodo Ref.]:[Check Periodo Ref.]]="Dentro",DATOS_[C.Extra.04]))))), 0)</f>
        <v>0</v>
      </c>
      <c r="AP35" s="212" t="n">
        <f aca="false" t="array" ref="AP35:AP35">IFERROR( AVERAGE((IF(DATOS_[[Sexo]:[Sexo]]=$B35,IF(DATOS_[[AGRUP. VALOR. PTO.]:[AGRUP. VALOR. PTO.]]=$B33,IF(DATOS_[[Check Periodo Ref.]:[Check Periodo Ref.]]="Dentro",DATOS_[C.Extra.05]))))), 0)</f>
        <v>0</v>
      </c>
      <c r="AQ35" s="213" t="n">
        <f aca="false" t="array" ref="AQ35:AQ35">IFERROR( AVERAGE(IF(DATOS_[Sexo]=$B35,IF(DATOS_[AGRUP. VALOR. PTO.]=$B33,IF(DATOS_[Check Periodo Ref.]="Dentro",DATOS_[Tot Extrasalarial Ef],0)))), 0)</f>
        <v>0</v>
      </c>
      <c r="AR35" s="214" t="n">
        <f aca="false" t="array" ref="AR35:AR35">IFERROR( AVERAGE(IF(DATOS_[Sexo]=$B35,IF(DATOS_[AGRUP. VALOR. PTO.]=$B33,IF(DATOS_[Check Periodo Ref.]="Dentro",DATOS_[TOTAL Retrib Ef],0)))), 0)</f>
        <v>0</v>
      </c>
    </row>
    <row r="36" customFormat="false" ht="15.75" hidden="false" customHeight="false" outlineLevel="0" collapsed="false">
      <c r="A36" s="191" t="str">
        <f aca="false">+A37</f>
        <v>[ocultar]</v>
      </c>
      <c r="B36" s="192" t="s">
        <v>190</v>
      </c>
      <c r="C36" s="193"/>
      <c r="D36" s="194"/>
      <c r="E36" s="195" t="str">
        <f aca="false">IFERROR((E37-E38)/E37,"")</f>
        <v/>
      </c>
      <c r="F36" s="196" t="str">
        <f aca="false">IFERROR((F37-F38)/F37,"")</f>
        <v/>
      </c>
      <c r="G36" s="197" t="str">
        <f aca="false">IFERROR((G37-G38)/G37,"")</f>
        <v/>
      </c>
      <c r="H36" s="197" t="str">
        <f aca="false">IFERROR((H37-H38)/H37,"")</f>
        <v/>
      </c>
      <c r="I36" s="197" t="str">
        <f aca="false">IFERROR((I37-I38)/I37,"")</f>
        <v/>
      </c>
      <c r="J36" s="198" t="str">
        <f aca="false">IFERROR((J37-J38)/J37,"")</f>
        <v/>
      </c>
      <c r="K36" s="199" t="str">
        <f aca="false">IFERROR((K37-K38)/K37,"")</f>
        <v/>
      </c>
      <c r="L36" s="199" t="str">
        <f aca="false">IFERROR((L37-L38)/L37,"")</f>
        <v/>
      </c>
      <c r="M36" s="199" t="str">
        <f aca="false">IFERROR((M37-M38)/M37,"")</f>
        <v/>
      </c>
      <c r="N36" s="199" t="str">
        <f aca="false">IFERROR((N37-N38)/N37,"")</f>
        <v/>
      </c>
      <c r="O36" s="199" t="str">
        <f aca="false">IFERROR((O37-O38)/O37,"")</f>
        <v/>
      </c>
      <c r="P36" s="199" t="str">
        <f aca="false">IFERROR((P37-P38)/P37,"")</f>
        <v/>
      </c>
      <c r="Q36" s="199" t="str">
        <f aca="false">IFERROR((Q37-Q38)/Q37,"")</f>
        <v/>
      </c>
      <c r="R36" s="199" t="str">
        <f aca="false">IFERROR((R37-R38)/R37,"")</f>
        <v/>
      </c>
      <c r="S36" s="199" t="str">
        <f aca="false">IFERROR((S37-S38)/S37,"")</f>
        <v/>
      </c>
      <c r="T36" s="199" t="str">
        <f aca="false">IFERROR((T37-T38)/T37,"")</f>
        <v/>
      </c>
      <c r="U36" s="199" t="str">
        <f aca="false">IFERROR((U37-U38)/U37,"")</f>
        <v/>
      </c>
      <c r="V36" s="198" t="str">
        <f aca="false">IFERROR((V37-V38)/V37,"")</f>
        <v/>
      </c>
      <c r="W36" s="198" t="str">
        <f aca="false">IFERROR((W37-W38)/W37,"")</f>
        <v/>
      </c>
      <c r="X36" s="198" t="str">
        <f aca="false">IFERROR((X37-X38)/X37,"")</f>
        <v/>
      </c>
      <c r="Y36" s="198" t="str">
        <f aca="false">IFERROR((Y37-Y38)/Y37,"")</f>
        <v/>
      </c>
      <c r="Z36" s="198" t="str">
        <f aca="false">IFERROR((Z37-Z38)/Z37,"")</f>
        <v/>
      </c>
      <c r="AA36" s="198" t="str">
        <f aca="false">IFERROR((AA37-AA38)/AA37,"")</f>
        <v/>
      </c>
      <c r="AB36" s="198" t="str">
        <f aca="false">IFERROR((AB37-AB38)/AB37,"")</f>
        <v/>
      </c>
      <c r="AC36" s="198" t="str">
        <f aca="false">IFERROR((AC37-AC38)/AC37,"")</f>
        <v/>
      </c>
      <c r="AD36" s="198" t="str">
        <f aca="false">IFERROR((AD37-AD38)/AD37,"")</f>
        <v/>
      </c>
      <c r="AE36" s="198" t="str">
        <f aca="false">IFERROR((AE37-AE38)/AE37,"")</f>
        <v/>
      </c>
      <c r="AF36" s="198" t="str">
        <f aca="false">IFERROR((AF37-AF38)/AF37,"")</f>
        <v/>
      </c>
      <c r="AG36" s="198" t="str">
        <f aca="false">IFERROR((AG37-AG38)/AG37,"")</f>
        <v/>
      </c>
      <c r="AH36" s="198" t="str">
        <f aca="false">IFERROR((AH37-AH38)/AH37,"")</f>
        <v/>
      </c>
      <c r="AI36" s="198" t="str">
        <f aca="false">IFERROR((AI37-AI38)/AI37,"")</f>
        <v/>
      </c>
      <c r="AJ36" s="200" t="str">
        <f aca="false">IFERROR((AJ37-AJ38)/AJ37,"")</f>
        <v/>
      </c>
      <c r="AK36" s="201" t="str">
        <f aca="false">IFERROR((AK37-AK38)/AK37,"")</f>
        <v/>
      </c>
      <c r="AL36" s="202" t="str">
        <f aca="false">IFERROR((AL37-AL38)/AL37,"")</f>
        <v/>
      </c>
      <c r="AM36" s="202" t="str">
        <f aca="false">IFERROR((AM37-AM38)/AM37,"")</f>
        <v/>
      </c>
      <c r="AN36" s="202" t="str">
        <f aca="false">IFERROR((AN37-AN38)/AN37,"")</f>
        <v/>
      </c>
      <c r="AO36" s="202" t="str">
        <f aca="false">IFERROR((AO37-AO38)/AO37,"")</f>
        <v/>
      </c>
      <c r="AP36" s="202" t="str">
        <f aca="false">IFERROR((AP37-AP38)/AP37,"")</f>
        <v/>
      </c>
      <c r="AQ36" s="203" t="str">
        <f aca="false">IFERROR((AQ37-AQ38)/AQ37,"")</f>
        <v/>
      </c>
      <c r="AR36" s="204" t="str">
        <f aca="false">IFERROR((AR37-AR38)/AR37,"")</f>
        <v/>
      </c>
    </row>
    <row r="37" customFormat="false" ht="14.25" hidden="false" customHeight="false" outlineLevel="0" collapsed="false">
      <c r="A37" s="191" t="str">
        <f aca="false">+IF(C37+C38=0,"[ocultar]","")</f>
        <v>[ocultar]</v>
      </c>
      <c r="B37" s="205" t="s">
        <v>371</v>
      </c>
      <c r="C37" s="206" t="n">
        <f aca="false" t="array" ref="C37:C37">SUM(IF($B37=DATOS_[Sexo], IF($B36=DATOS_[AGRUP. VALOR. PTO.], IF("Dentro"=DATOS_[Check Periodo Ref.], 1/(COUNTIFS(DATOS_[Sexo],$B37,DATOS_[AGRUP. VALOR. PTO.],$B36,DATOS_[Check Periodo Ref.],"Dentro",DATOS_[id],DATOS_[id]))))))</f>
        <v>0</v>
      </c>
      <c r="D37" s="207" t="n">
        <f aca="false">COUNTIFS(DATOS_[AGRUP. VALOR. PTO.],$B36,DATOS_[Sexo],$B37,DATOS_[Check Periodo Ref.],"Dentro")</f>
        <v>0</v>
      </c>
      <c r="E37" s="208" t="n">
        <f aca="false" t="array" ref="E37:E37">IFERROR( AVERAGE(IF(DATOS_[Sexo]=$B37,IF(DATOS_[AGRUP. VALOR. PTO.]=$B36,IF(DATOS_[Check Periodo Ref.]="Dentro",DATOS_[SALARIO BASE Ef],0)))), 0)</f>
        <v>0</v>
      </c>
      <c r="F37" s="209" t="n">
        <f aca="false" t="array" ref="F37:F37">IFERROR( AVERAGE((IF(DATOS_[[Sexo]:[Sexo]]=$B37,IF(DATOS_[[AGRUP. VALOR. PTO.]:[AGRUP. VALOR. PTO.]]=$B36,IF(DATOS_[[Check Periodo Ref.]:[Check Periodo Ref.]]="Dentro",DATOS_[Conc.Sal.01]))))), 0)</f>
        <v>0</v>
      </c>
      <c r="G37" s="209" t="n">
        <f aca="false" t="array" ref="G37:G37">IFERROR( AVERAGE((IF(DATOS_[[Sexo]:[Sexo]]=$B37,IF(DATOS_[[AGRUP. VALOR. PTO.]:[AGRUP. VALOR. PTO.]]=$B36,IF(DATOS_[[Check Periodo Ref.]:[Check Periodo Ref.]]="Dentro",DATOS_[Conc.Sal.02]))))), 0)</f>
        <v>0</v>
      </c>
      <c r="H37" s="209" t="n">
        <f aca="false" t="array" ref="H37:H37">IFERROR( AVERAGE((IF(DATOS_[[Sexo]:[Sexo]]=$B37,IF(DATOS_[[AGRUP. VALOR. PTO.]:[AGRUP. VALOR. PTO.]]=$B36,IF(DATOS_[[Check Periodo Ref.]:[Check Periodo Ref.]]="Dentro",DATOS_[Conc.Sal.03]))))), 0)</f>
        <v>0</v>
      </c>
      <c r="I37" s="209" t="n">
        <f aca="false" t="array" ref="I37:I37">IFERROR( AVERAGE((IF(DATOS_[[Sexo]:[Sexo]]=$B37,IF(DATOS_[[AGRUP. VALOR. PTO.]:[AGRUP. VALOR. PTO.]]=$B36,IF(DATOS_[[Check Periodo Ref.]:[Check Periodo Ref.]]="Dentro",DATOS_[Conc.Sal.04]))))), 0)</f>
        <v>0</v>
      </c>
      <c r="J37" s="209" t="n">
        <f aca="false" t="array" ref="J37:J37">IFERROR( AVERAGE((IF(DATOS_[[Sexo]:[Sexo]]=$B37,IF(DATOS_[[AGRUP. VALOR. PTO.]:[AGRUP. VALOR. PTO.]]=$B36,IF(DATOS_[[Check Periodo Ref.]:[Check Periodo Ref.]]="Dentro",DATOS_[Conc.Sal.05]))))), 0)</f>
        <v>0</v>
      </c>
      <c r="K37" s="209" t="n">
        <f aca="false" t="array" ref="K37:K37">IFERROR( AVERAGE((IF(DATOS_[[Sexo]:[Sexo]]=$B37,IF(DATOS_[[AGRUP. VALOR. PTO.]:[AGRUP. VALOR. PTO.]]=$B36,IF(DATOS_[[Check Periodo Ref.]:[Check Periodo Ref.]]="Dentro",DATOS_[Conc.Sal.06]))))), 0)</f>
        <v>0</v>
      </c>
      <c r="L37" s="209" t="n">
        <f aca="false" t="array" ref="L37:L37">IFERROR( AVERAGE((IF(DATOS_[[Sexo]:[Sexo]]=$B37,IF(DATOS_[[AGRUP. VALOR. PTO.]:[AGRUP. VALOR. PTO.]]=$B36,IF(DATOS_[[Check Periodo Ref.]:[Check Periodo Ref.]]="Dentro",DATOS_[Conc.Sal.07]))))), 0)</f>
        <v>0</v>
      </c>
      <c r="M37" s="209" t="n">
        <f aca="false" t="array" ref="M37:M37">IFERROR( AVERAGE((IF(DATOS_[[Sexo]:[Sexo]]=$B37,IF(DATOS_[[AGRUP. VALOR. PTO.]:[AGRUP. VALOR. PTO.]]=$B36,IF(DATOS_[[Check Periodo Ref.]:[Check Periodo Ref.]]="Dentro",DATOS_[Conc.Sal.08]))))), 0)</f>
        <v>0</v>
      </c>
      <c r="N37" s="209" t="n">
        <f aca="false" t="array" ref="N37:N37">IFERROR( AVERAGE((IF(DATOS_[[Sexo]:[Sexo]]=$B37,IF(DATOS_[[AGRUP. VALOR. PTO.]:[AGRUP. VALOR. PTO.]]=$B36,IF(DATOS_[[Check Periodo Ref.]:[Check Periodo Ref.]]="Dentro",DATOS_[Conc.Sal.09]))))), 0)</f>
        <v>0</v>
      </c>
      <c r="O37" s="209" t="n">
        <f aca="false" t="array" ref="O37:O37">IFERROR( AVERAGE((IF(DATOS_[[Sexo]:[Sexo]]=$B37,IF(DATOS_[[AGRUP. VALOR. PTO.]:[AGRUP. VALOR. PTO.]]=$B36,IF(DATOS_[[Check Periodo Ref.]:[Check Periodo Ref.]]="Dentro",DATOS_[Conc.Sal.10]))))), 0)</f>
        <v>0</v>
      </c>
      <c r="P37" s="209" t="n">
        <f aca="false" t="array" ref="P37:P37">IFERROR( AVERAGE((IF(DATOS_[[Sexo]:[Sexo]]=$B37,IF(DATOS_[[AGRUP. VALOR. PTO.]:[AGRUP. VALOR. PTO.]]=$B36,IF(DATOS_[[Check Periodo Ref.]:[Check Periodo Ref.]]="Dentro",DATOS_[Conc.Sal.11]))))), 0)</f>
        <v>0</v>
      </c>
      <c r="Q37" s="209" t="n">
        <f aca="false" t="array" ref="Q37:Q37">IFERROR( AVERAGE((IF(DATOS_[[Sexo]:[Sexo]]=$B37,IF(DATOS_[[AGRUP. VALOR. PTO.]:[AGRUP. VALOR. PTO.]]=$B36,IF(DATOS_[[Check Periodo Ref.]:[Check Periodo Ref.]]="Dentro",DATOS_[Conc.Sal.12]))))), 0)</f>
        <v>0</v>
      </c>
      <c r="R37" s="209" t="n">
        <f aca="false" t="array" ref="R37:R37">IFERROR( AVERAGE((IF(DATOS_[[Sexo]:[Sexo]]=$B37,IF(DATOS_[[AGRUP. VALOR. PTO.]:[AGRUP. VALOR. PTO.]]=$B36,IF(DATOS_[[Check Periodo Ref.]:[Check Periodo Ref.]]="Dentro",DATOS_[Conc.Sal.13]))))), 0)</f>
        <v>0</v>
      </c>
      <c r="S37" s="209" t="n">
        <f aca="false" t="array" ref="S37:S37">IFERROR( AVERAGE((IF(DATOS_[[Sexo]:[Sexo]]=$B37,IF(DATOS_[[AGRUP. VALOR. PTO.]:[AGRUP. VALOR. PTO.]]=$B36,IF(DATOS_[[Check Periodo Ref.]:[Check Periodo Ref.]]="Dentro",DATOS_[Conc.Sal.14]))))), 0)</f>
        <v>0</v>
      </c>
      <c r="T37" s="209" t="n">
        <f aca="false" t="array" ref="T37:T37">IFERROR( AVERAGE((IF(DATOS_[[Sexo]:[Sexo]]=$B37,IF(DATOS_[[AGRUP. VALOR. PTO.]:[AGRUP. VALOR. PTO.]]=$B36,IF(DATOS_[[Check Periodo Ref.]:[Check Periodo Ref.]]="Dentro",DATOS_[Conc.Sal.15]))))), 0)</f>
        <v>0</v>
      </c>
      <c r="U37" s="209" t="n">
        <f aca="false" t="array" ref="U37:U37">IFERROR( AVERAGE((IF(DATOS_[[Sexo]:[Sexo]]=$B37,IF(DATOS_[[AGRUP. VALOR. PTO.]:[AGRUP. VALOR. PTO.]]=$B36,IF(DATOS_[[Check Periodo Ref.]:[Check Periodo Ref.]]="Dentro",DATOS_[Conc.Sal.16]))))), 0)</f>
        <v>0</v>
      </c>
      <c r="V37" s="209" t="n">
        <f aca="false" t="array" ref="V37:V37">IFERROR( AVERAGE((IF(DATOS_[[Sexo]:[Sexo]]=$B37,IF(DATOS_[[AGRUP. VALOR. PTO.]:[AGRUP. VALOR. PTO.]]=$B36,IF(DATOS_[[Check Periodo Ref.]:[Check Periodo Ref.]]="Dentro",DATOS_[Conc.Sal.17]))))), 0)</f>
        <v>0</v>
      </c>
      <c r="W37" s="209" t="n">
        <f aca="false" t="array" ref="W37:W37">IFERROR( AVERAGE((IF(DATOS_[[Sexo]:[Sexo]]=$B37,IF(DATOS_[[AGRUP. VALOR. PTO.]:[AGRUP. VALOR. PTO.]]=$B36,IF(DATOS_[[Check Periodo Ref.]:[Check Periodo Ref.]]="Dentro",DATOS_[Conc.Sal.18]))))), 0)</f>
        <v>0</v>
      </c>
      <c r="X37" s="209" t="n">
        <f aca="false" t="array" ref="X37:X37">IFERROR( AVERAGE((IF(DATOS_[[Sexo]:[Sexo]]=$B37,IF(DATOS_[[AGRUP. VALOR. PTO.]:[AGRUP. VALOR. PTO.]]=$B36,IF(DATOS_[[Check Periodo Ref.]:[Check Periodo Ref.]]="Dentro",DATOS_[Conc.Sal.19]))))), 0)</f>
        <v>0</v>
      </c>
      <c r="Y37" s="209" t="n">
        <f aca="false" t="array" ref="Y37:Y37">IFERROR( AVERAGE((IF(DATOS_[[Sexo]:[Sexo]]=$B37,IF(DATOS_[[AGRUP. VALOR. PTO.]:[AGRUP. VALOR. PTO.]]=$B36,IF(DATOS_[[Check Periodo Ref.]:[Check Periodo Ref.]]="Dentro",DATOS_[Conc.Sal.20]))))), 0)</f>
        <v>0</v>
      </c>
      <c r="Z37" s="209" t="n">
        <f aca="false" t="array" ref="Z37:Z37">IFERROR( AVERAGE((IF(DATOS_[[Sexo]:[Sexo]]=$B37,IF(DATOS_[[AGRUP. VALOR. PTO.]:[AGRUP. VALOR. PTO.]]=$B36,IF(DATOS_[[Check Periodo Ref.]:[Check Periodo Ref.]]="Dentro",DATOS_[Conc.Sal.21]))))), 0)</f>
        <v>0</v>
      </c>
      <c r="AA37" s="209" t="n">
        <f aca="false" t="array" ref="AA37:AA37">IFERROR( AVERAGE((IF(DATOS_[[Sexo]:[Sexo]]=$B37,IF(DATOS_[[AGRUP. VALOR. PTO.]:[AGRUP. VALOR. PTO.]]=$B36,IF(DATOS_[[Check Periodo Ref.]:[Check Periodo Ref.]]="Dentro",DATOS_[Conc.Sal.22]))))), 0)</f>
        <v>0</v>
      </c>
      <c r="AB37" s="209" t="n">
        <f aca="false" t="array" ref="AB37:AB37">IFERROR( AVERAGE((IF(DATOS_[[Sexo]:[Sexo]]=$B37,IF(DATOS_[[AGRUP. VALOR. PTO.]:[AGRUP. VALOR. PTO.]]=$B36,IF(DATOS_[[Check Periodo Ref.]:[Check Periodo Ref.]]="Dentro",DATOS_[Conc.Sal.23]))))), 0)</f>
        <v>0</v>
      </c>
      <c r="AC37" s="209" t="n">
        <f aca="false" t="array" ref="AC37:AC37">IFERROR( AVERAGE((IF(DATOS_[[Sexo]:[Sexo]]=$B37,IF(DATOS_[[AGRUP. VALOR. PTO.]:[AGRUP. VALOR. PTO.]]=$B36,IF(DATOS_[[Check Periodo Ref.]:[Check Periodo Ref.]]="Dentro",DATOS_[Conc.Sal.24]))))), 0)</f>
        <v>0</v>
      </c>
      <c r="AD37" s="209" t="n">
        <f aca="false" t="array" ref="AD37:AD37">IFERROR( AVERAGE((IF(DATOS_[[Sexo]:[Sexo]]=$B37,IF(DATOS_[[AGRUP. VALOR. PTO.]:[AGRUP. VALOR. PTO.]]=$B36,IF(DATOS_[[Check Periodo Ref.]:[Check Periodo Ref.]]="Dentro",DATOS_[Conc.Sal.25]))))), 0)</f>
        <v>0</v>
      </c>
      <c r="AE37" s="209" t="n">
        <f aca="false" t="array" ref="AE37:AE37">IFERROR( AVERAGE((IF(DATOS_[[Sexo]:[Sexo]]=$B37,IF(DATOS_[[AGRUP. VALOR. PTO.]:[AGRUP. VALOR. PTO.]]=$B36,IF(DATOS_[[Check Periodo Ref.]:[Check Periodo Ref.]]="Dentro",DATOS_[Conc.Sal.26]))))), 0)</f>
        <v>0</v>
      </c>
      <c r="AF37" s="209" t="n">
        <f aca="false" t="array" ref="AF37:AF37">IFERROR( AVERAGE((IF(DATOS_[[Sexo]:[Sexo]]=$B37,IF(DATOS_[[AGRUP. VALOR. PTO.]:[AGRUP. VALOR. PTO.]]=$B36,IF(DATOS_[[Check Periodo Ref.]:[Check Periodo Ref.]]="Dentro",DATOS_[Conc.Sal.27]))))), 0)</f>
        <v>0</v>
      </c>
      <c r="AG37" s="209" t="n">
        <f aca="false" t="array" ref="AG37:AG37">IFERROR( AVERAGE((IF(DATOS_[[Sexo]:[Sexo]]=$B37,IF(DATOS_[[AGRUP. VALOR. PTO.]:[AGRUP. VALOR. PTO.]]=$B36,IF(DATOS_[[Check Periodo Ref.]:[Check Periodo Ref.]]="Dentro",DATOS_[Conc.Sal.28]))))), 0)</f>
        <v>0</v>
      </c>
      <c r="AH37" s="209" t="n">
        <f aca="false" t="array" ref="AH37:AH37">IFERROR( AVERAGE((IF(DATOS_[[Sexo]:[Sexo]]=$B37,IF(DATOS_[[AGRUP. VALOR. PTO.]:[AGRUP. VALOR. PTO.]]=$B36,IF(DATOS_[[Check Periodo Ref.]:[Check Periodo Ref.]]="Dentro",DATOS_[Conc.Sal.29]))))), 0)</f>
        <v>0</v>
      </c>
      <c r="AI37" s="209" t="n">
        <f aca="false" t="array" ref="AI37:AI37">IFERROR( AVERAGE((IF(DATOS_[[Sexo]:[Sexo]]=$B37,IF(DATOS_[[AGRUP. VALOR. PTO.]:[AGRUP. VALOR. PTO.]]=$B36,IF(DATOS_[[Check Periodo Ref.]:[Check Periodo Ref.]]="Dentro",DATOS_[Conc.Sal.30]))))), 0)</f>
        <v>0</v>
      </c>
      <c r="AJ37" s="210" t="n">
        <f aca="false" t="array" ref="AJ37:AJ37">IFERROR( AVERAGE(IF(DATOS_[Sexo]=$B37,IF(DATOS_[AGRUP. VALOR. PTO.]=$B36,IF(DATOS_[Check Periodo Ref.]="Dentro",DATOS_[Tot COMPL.SAL Ef],0)))), 0)</f>
        <v>0</v>
      </c>
      <c r="AK37" s="211" t="n">
        <f aca="false" t="array" ref="AK37:AK37">IFERROR( AVERAGE(IF(DATOS_[Sexo]=$B37,IF(DATOS_[AGRUP. VALOR. PTO.]=$B36,IF(DATOS_[Check Periodo Ref.]="Dentro",DATOS_[TOTAL SALARIO Ef],0)))), 0)</f>
        <v>0</v>
      </c>
      <c r="AL37" s="212" t="n">
        <f aca="false" t="array" ref="AL37:AL37">IFERROR( AVERAGE((IF(DATOS_[[Sexo]:[Sexo]]=$B37,IF(DATOS_[[AGRUP. VALOR. PTO.]:[AGRUP. VALOR. PTO.]]=$B36,IF(DATOS_[[Check Periodo Ref.]:[Check Periodo Ref.]]="Dentro",DATOS_[C.Extra.01]))))), 0)</f>
        <v>0</v>
      </c>
      <c r="AM37" s="212" t="n">
        <f aca="false" t="array" ref="AM37:AM37">IFERROR( AVERAGE((IF(DATOS_[[Sexo]:[Sexo]]=$B37,IF(DATOS_[[AGRUP. VALOR. PTO.]:[AGRUP. VALOR. PTO.]]=$B36,IF(DATOS_[[Check Periodo Ref.]:[Check Periodo Ref.]]="Dentro",DATOS_[C.Extra.02]))))), 0)</f>
        <v>0</v>
      </c>
      <c r="AN37" s="212" t="n">
        <f aca="false" t="array" ref="AN37:AN37">IFERROR( AVERAGE((IF(DATOS_[[Sexo]:[Sexo]]=$B37,IF(DATOS_[[AGRUP. VALOR. PTO.]:[AGRUP. VALOR. PTO.]]=$B36,IF(DATOS_[[Check Periodo Ref.]:[Check Periodo Ref.]]="Dentro",DATOS_[C.Extra.03]))))), 0)</f>
        <v>0</v>
      </c>
      <c r="AO37" s="212" t="n">
        <f aca="false" t="array" ref="AO37:AO37">IFERROR( AVERAGE((IF(DATOS_[[Sexo]:[Sexo]]=$B37,IF(DATOS_[[AGRUP. VALOR. PTO.]:[AGRUP. VALOR. PTO.]]=$B36,IF(DATOS_[[Check Periodo Ref.]:[Check Periodo Ref.]]="Dentro",DATOS_[C.Extra.04]))))), 0)</f>
        <v>0</v>
      </c>
      <c r="AP37" s="212" t="n">
        <f aca="false" t="array" ref="AP37:AP37">IFERROR( AVERAGE((IF(DATOS_[[Sexo]:[Sexo]]=$B37,IF(DATOS_[[AGRUP. VALOR. PTO.]:[AGRUP. VALOR. PTO.]]=$B36,IF(DATOS_[[Check Periodo Ref.]:[Check Periodo Ref.]]="Dentro",DATOS_[C.Extra.05]))))), 0)</f>
        <v>0</v>
      </c>
      <c r="AQ37" s="213" t="n">
        <f aca="false" t="array" ref="AQ37:AQ37">IFERROR( AVERAGE(IF(DATOS_[Sexo]=$B37,IF(DATOS_[AGRUP. VALOR. PTO.]=$B36,IF(DATOS_[Check Periodo Ref.]="Dentro",DATOS_[Tot Extrasalarial Ef],0)))), 0)</f>
        <v>0</v>
      </c>
      <c r="AR37" s="214" t="n">
        <f aca="false" t="array" ref="AR37:AR37">IFERROR( AVERAGE(IF(DATOS_[Sexo]=$B37,IF(DATOS_[AGRUP. VALOR. PTO.]=$B36,IF(DATOS_[Check Periodo Ref.]="Dentro",DATOS_[TOTAL Retrib Ef],0)))), 0)</f>
        <v>0</v>
      </c>
    </row>
    <row r="38" customFormat="false" ht="14.25" hidden="false" customHeight="false" outlineLevel="0" collapsed="false">
      <c r="A38" s="191" t="str">
        <f aca="false">+A37</f>
        <v>[ocultar]</v>
      </c>
      <c r="B38" s="205" t="s">
        <v>372</v>
      </c>
      <c r="C38" s="206" t="n">
        <f aca="false" t="array" ref="C38:C38">SUM(IF($B38=DATOS_[Sexo], IF($B36=DATOS_[AGRUP. VALOR. PTO.], IF("Dentro"=DATOS_[Check Periodo Ref.], 1/(COUNTIFS(DATOS_[Sexo],$B38,DATOS_[AGRUP. VALOR. PTO.],$B36,DATOS_[Check Periodo Ref.],"Dentro",DATOS_[id],DATOS_[id]))))))</f>
        <v>0</v>
      </c>
      <c r="D38" s="207" t="n">
        <f aca="false">COUNTIFS(DATOS_[AGRUP. VALOR. PTO.],$B36,DATOS_[Sexo],$B38,DATOS_[Check Periodo Ref.],"Dentro")</f>
        <v>0</v>
      </c>
      <c r="E38" s="208" t="n">
        <f aca="false" t="array" ref="E38:E38">IFERROR( AVERAGE(IF(DATOS_[Sexo]=$B38,IF(DATOS_[AGRUP. VALOR. PTO.]=$B36,IF(DATOS_[Check Periodo Ref.]="Dentro",DATOS_[SALARIO BASE Ef],0)))), 0)</f>
        <v>0</v>
      </c>
      <c r="F38" s="209" t="n">
        <f aca="false" t="array" ref="F38:F38">IFERROR( AVERAGE((IF(DATOS_[[Sexo]:[Sexo]]=$B38,IF(DATOS_[[AGRUP. VALOR. PTO.]:[AGRUP. VALOR. PTO.]]=$B36,IF(DATOS_[[Check Periodo Ref.]:[Check Periodo Ref.]]="Dentro",DATOS_[Conc.Sal.01]))))), 0)</f>
        <v>0</v>
      </c>
      <c r="G38" s="209" t="n">
        <f aca="false" t="array" ref="G38:G38">IFERROR( AVERAGE((IF(DATOS_[[Sexo]:[Sexo]]=$B38,IF(DATOS_[[AGRUP. VALOR. PTO.]:[AGRUP. VALOR. PTO.]]=$B36,IF(DATOS_[[Check Periodo Ref.]:[Check Periodo Ref.]]="Dentro",DATOS_[Conc.Sal.02]))))), 0)</f>
        <v>0</v>
      </c>
      <c r="H38" s="209" t="n">
        <f aca="false" t="array" ref="H38:H38">IFERROR( AVERAGE((IF(DATOS_[[Sexo]:[Sexo]]=$B38,IF(DATOS_[[AGRUP. VALOR. PTO.]:[AGRUP. VALOR. PTO.]]=$B36,IF(DATOS_[[Check Periodo Ref.]:[Check Periodo Ref.]]="Dentro",DATOS_[Conc.Sal.03]))))), 0)</f>
        <v>0</v>
      </c>
      <c r="I38" s="209" t="n">
        <f aca="false" t="array" ref="I38:I38">IFERROR( AVERAGE((IF(DATOS_[[Sexo]:[Sexo]]=$B38,IF(DATOS_[[AGRUP. VALOR. PTO.]:[AGRUP. VALOR. PTO.]]=$B36,IF(DATOS_[[Check Periodo Ref.]:[Check Periodo Ref.]]="Dentro",DATOS_[Conc.Sal.04]))))), 0)</f>
        <v>0</v>
      </c>
      <c r="J38" s="209" t="n">
        <f aca="false" t="array" ref="J38:J38">IFERROR( AVERAGE((IF(DATOS_[[Sexo]:[Sexo]]=$B38,IF(DATOS_[[AGRUP. VALOR. PTO.]:[AGRUP. VALOR. PTO.]]=$B36,IF(DATOS_[[Check Periodo Ref.]:[Check Periodo Ref.]]="Dentro",DATOS_[Conc.Sal.05]))))), 0)</f>
        <v>0</v>
      </c>
      <c r="K38" s="209" t="n">
        <f aca="false" t="array" ref="K38:K38">IFERROR( AVERAGE((IF(DATOS_[[Sexo]:[Sexo]]=$B38,IF(DATOS_[[AGRUP. VALOR. PTO.]:[AGRUP. VALOR. PTO.]]=$B36,IF(DATOS_[[Check Periodo Ref.]:[Check Periodo Ref.]]="Dentro",DATOS_[Conc.Sal.06]))))), 0)</f>
        <v>0</v>
      </c>
      <c r="L38" s="209" t="n">
        <f aca="false" t="array" ref="L38:L38">IFERROR( AVERAGE((IF(DATOS_[[Sexo]:[Sexo]]=$B38,IF(DATOS_[[AGRUP. VALOR. PTO.]:[AGRUP. VALOR. PTO.]]=$B36,IF(DATOS_[[Check Periodo Ref.]:[Check Periodo Ref.]]="Dentro",DATOS_[Conc.Sal.07]))))), 0)</f>
        <v>0</v>
      </c>
      <c r="M38" s="209" t="n">
        <f aca="false" t="array" ref="M38:M38">IFERROR( AVERAGE((IF(DATOS_[[Sexo]:[Sexo]]=$B38,IF(DATOS_[[AGRUP. VALOR. PTO.]:[AGRUP. VALOR. PTO.]]=$B36,IF(DATOS_[[Check Periodo Ref.]:[Check Periodo Ref.]]="Dentro",DATOS_[Conc.Sal.08]))))), 0)</f>
        <v>0</v>
      </c>
      <c r="N38" s="209" t="n">
        <f aca="false" t="array" ref="N38:N38">IFERROR( AVERAGE((IF(DATOS_[[Sexo]:[Sexo]]=$B38,IF(DATOS_[[AGRUP. VALOR. PTO.]:[AGRUP. VALOR. PTO.]]=$B36,IF(DATOS_[[Check Periodo Ref.]:[Check Periodo Ref.]]="Dentro",DATOS_[Conc.Sal.09]))))), 0)</f>
        <v>0</v>
      </c>
      <c r="O38" s="209" t="n">
        <f aca="false" t="array" ref="O38:O38">IFERROR( AVERAGE((IF(DATOS_[[Sexo]:[Sexo]]=$B38,IF(DATOS_[[AGRUP. VALOR. PTO.]:[AGRUP. VALOR. PTO.]]=$B36,IF(DATOS_[[Check Periodo Ref.]:[Check Periodo Ref.]]="Dentro",DATOS_[Conc.Sal.10]))))), 0)</f>
        <v>0</v>
      </c>
      <c r="P38" s="209" t="n">
        <f aca="false" t="array" ref="P38:P38">IFERROR( AVERAGE((IF(DATOS_[[Sexo]:[Sexo]]=$B38,IF(DATOS_[[AGRUP. VALOR. PTO.]:[AGRUP. VALOR. PTO.]]=$B36,IF(DATOS_[[Check Periodo Ref.]:[Check Periodo Ref.]]="Dentro",DATOS_[Conc.Sal.11]))))), 0)</f>
        <v>0</v>
      </c>
      <c r="Q38" s="209" t="n">
        <f aca="false" t="array" ref="Q38:Q38">IFERROR( AVERAGE((IF(DATOS_[[Sexo]:[Sexo]]=$B38,IF(DATOS_[[AGRUP. VALOR. PTO.]:[AGRUP. VALOR. PTO.]]=$B36,IF(DATOS_[[Check Periodo Ref.]:[Check Periodo Ref.]]="Dentro",DATOS_[Conc.Sal.12]))))), 0)</f>
        <v>0</v>
      </c>
      <c r="R38" s="209" t="n">
        <f aca="false" t="array" ref="R38:R38">IFERROR( AVERAGE((IF(DATOS_[[Sexo]:[Sexo]]=$B38,IF(DATOS_[[AGRUP. VALOR. PTO.]:[AGRUP. VALOR. PTO.]]=$B36,IF(DATOS_[[Check Periodo Ref.]:[Check Periodo Ref.]]="Dentro",DATOS_[Conc.Sal.13]))))), 0)</f>
        <v>0</v>
      </c>
      <c r="S38" s="209" t="n">
        <f aca="false" t="array" ref="S38:S38">IFERROR( AVERAGE((IF(DATOS_[[Sexo]:[Sexo]]=$B38,IF(DATOS_[[AGRUP. VALOR. PTO.]:[AGRUP. VALOR. PTO.]]=$B36,IF(DATOS_[[Check Periodo Ref.]:[Check Periodo Ref.]]="Dentro",DATOS_[Conc.Sal.14]))))), 0)</f>
        <v>0</v>
      </c>
      <c r="T38" s="209" t="n">
        <f aca="false" t="array" ref="T38:T38">IFERROR( AVERAGE((IF(DATOS_[[Sexo]:[Sexo]]=$B38,IF(DATOS_[[AGRUP. VALOR. PTO.]:[AGRUP. VALOR. PTO.]]=$B36,IF(DATOS_[[Check Periodo Ref.]:[Check Periodo Ref.]]="Dentro",DATOS_[Conc.Sal.15]))))), 0)</f>
        <v>0</v>
      </c>
      <c r="U38" s="209" t="n">
        <f aca="false" t="array" ref="U38:U38">IFERROR( AVERAGE((IF(DATOS_[[Sexo]:[Sexo]]=$B38,IF(DATOS_[[AGRUP. VALOR. PTO.]:[AGRUP. VALOR. PTO.]]=$B36,IF(DATOS_[[Check Periodo Ref.]:[Check Periodo Ref.]]="Dentro",DATOS_[Conc.Sal.16]))))), 0)</f>
        <v>0</v>
      </c>
      <c r="V38" s="209" t="n">
        <f aca="false" t="array" ref="V38:V38">IFERROR( AVERAGE((IF(DATOS_[[Sexo]:[Sexo]]=$B38,IF(DATOS_[[AGRUP. VALOR. PTO.]:[AGRUP. VALOR. PTO.]]=$B36,IF(DATOS_[[Check Periodo Ref.]:[Check Periodo Ref.]]="Dentro",DATOS_[Conc.Sal.17]))))), 0)</f>
        <v>0</v>
      </c>
      <c r="W38" s="209" t="n">
        <f aca="false" t="array" ref="W38:W38">IFERROR( AVERAGE((IF(DATOS_[[Sexo]:[Sexo]]=$B38,IF(DATOS_[[AGRUP. VALOR. PTO.]:[AGRUP. VALOR. PTO.]]=$B36,IF(DATOS_[[Check Periodo Ref.]:[Check Periodo Ref.]]="Dentro",DATOS_[Conc.Sal.18]))))), 0)</f>
        <v>0</v>
      </c>
      <c r="X38" s="209" t="n">
        <f aca="false" t="array" ref="X38:X38">IFERROR( AVERAGE((IF(DATOS_[[Sexo]:[Sexo]]=$B38,IF(DATOS_[[AGRUP. VALOR. PTO.]:[AGRUP. VALOR. PTO.]]=$B36,IF(DATOS_[[Check Periodo Ref.]:[Check Periodo Ref.]]="Dentro",DATOS_[Conc.Sal.19]))))), 0)</f>
        <v>0</v>
      </c>
      <c r="Y38" s="209" t="n">
        <f aca="false" t="array" ref="Y38:Y38">IFERROR( AVERAGE((IF(DATOS_[[Sexo]:[Sexo]]=$B38,IF(DATOS_[[AGRUP. VALOR. PTO.]:[AGRUP. VALOR. PTO.]]=$B36,IF(DATOS_[[Check Periodo Ref.]:[Check Periodo Ref.]]="Dentro",DATOS_[Conc.Sal.20]))))), 0)</f>
        <v>0</v>
      </c>
      <c r="Z38" s="209" t="n">
        <f aca="false" t="array" ref="Z38:Z38">IFERROR( AVERAGE((IF(DATOS_[[Sexo]:[Sexo]]=$B38,IF(DATOS_[[AGRUP. VALOR. PTO.]:[AGRUP. VALOR. PTO.]]=$B36,IF(DATOS_[[Check Periodo Ref.]:[Check Periodo Ref.]]="Dentro",DATOS_[Conc.Sal.21]))))), 0)</f>
        <v>0</v>
      </c>
      <c r="AA38" s="209" t="n">
        <f aca="false" t="array" ref="AA38:AA38">IFERROR( AVERAGE((IF(DATOS_[[Sexo]:[Sexo]]=$B38,IF(DATOS_[[AGRUP. VALOR. PTO.]:[AGRUP. VALOR. PTO.]]=$B36,IF(DATOS_[[Check Periodo Ref.]:[Check Periodo Ref.]]="Dentro",DATOS_[Conc.Sal.22]))))), 0)</f>
        <v>0</v>
      </c>
      <c r="AB38" s="209" t="n">
        <f aca="false" t="array" ref="AB38:AB38">IFERROR( AVERAGE((IF(DATOS_[[Sexo]:[Sexo]]=$B38,IF(DATOS_[[AGRUP. VALOR. PTO.]:[AGRUP. VALOR. PTO.]]=$B36,IF(DATOS_[[Check Periodo Ref.]:[Check Periodo Ref.]]="Dentro",DATOS_[Conc.Sal.23]))))), 0)</f>
        <v>0</v>
      </c>
      <c r="AC38" s="209" t="n">
        <f aca="false" t="array" ref="AC38:AC38">IFERROR( AVERAGE((IF(DATOS_[[Sexo]:[Sexo]]=$B38,IF(DATOS_[[AGRUP. VALOR. PTO.]:[AGRUP. VALOR. PTO.]]=$B36,IF(DATOS_[[Check Periodo Ref.]:[Check Periodo Ref.]]="Dentro",DATOS_[Conc.Sal.24]))))), 0)</f>
        <v>0</v>
      </c>
      <c r="AD38" s="209" t="n">
        <f aca="false" t="array" ref="AD38:AD38">IFERROR( AVERAGE((IF(DATOS_[[Sexo]:[Sexo]]=$B38,IF(DATOS_[[AGRUP. VALOR. PTO.]:[AGRUP. VALOR. PTO.]]=$B36,IF(DATOS_[[Check Periodo Ref.]:[Check Periodo Ref.]]="Dentro",DATOS_[Conc.Sal.25]))))), 0)</f>
        <v>0</v>
      </c>
      <c r="AE38" s="209" t="n">
        <f aca="false" t="array" ref="AE38:AE38">IFERROR( AVERAGE((IF(DATOS_[[Sexo]:[Sexo]]=$B38,IF(DATOS_[[AGRUP. VALOR. PTO.]:[AGRUP. VALOR. PTO.]]=$B36,IF(DATOS_[[Check Periodo Ref.]:[Check Periodo Ref.]]="Dentro",DATOS_[Conc.Sal.26]))))), 0)</f>
        <v>0</v>
      </c>
      <c r="AF38" s="209" t="n">
        <f aca="false" t="array" ref="AF38:AF38">IFERROR( AVERAGE((IF(DATOS_[[Sexo]:[Sexo]]=$B38,IF(DATOS_[[AGRUP. VALOR. PTO.]:[AGRUP. VALOR. PTO.]]=$B36,IF(DATOS_[[Check Periodo Ref.]:[Check Periodo Ref.]]="Dentro",DATOS_[Conc.Sal.27]))))), 0)</f>
        <v>0</v>
      </c>
      <c r="AG38" s="209" t="n">
        <f aca="false" t="array" ref="AG38:AG38">IFERROR( AVERAGE((IF(DATOS_[[Sexo]:[Sexo]]=$B38,IF(DATOS_[[AGRUP. VALOR. PTO.]:[AGRUP. VALOR. PTO.]]=$B36,IF(DATOS_[[Check Periodo Ref.]:[Check Periodo Ref.]]="Dentro",DATOS_[Conc.Sal.28]))))), 0)</f>
        <v>0</v>
      </c>
      <c r="AH38" s="209" t="n">
        <f aca="false" t="array" ref="AH38:AH38">IFERROR( AVERAGE((IF(DATOS_[[Sexo]:[Sexo]]=$B38,IF(DATOS_[[AGRUP. VALOR. PTO.]:[AGRUP. VALOR. PTO.]]=$B36,IF(DATOS_[[Check Periodo Ref.]:[Check Periodo Ref.]]="Dentro",DATOS_[Conc.Sal.29]))))), 0)</f>
        <v>0</v>
      </c>
      <c r="AI38" s="209" t="n">
        <f aca="false" t="array" ref="AI38:AI38">IFERROR( AVERAGE((IF(DATOS_[[Sexo]:[Sexo]]=$B38,IF(DATOS_[[AGRUP. VALOR. PTO.]:[AGRUP. VALOR. PTO.]]=$B36,IF(DATOS_[[Check Periodo Ref.]:[Check Periodo Ref.]]="Dentro",DATOS_[Conc.Sal.30]))))), 0)</f>
        <v>0</v>
      </c>
      <c r="AJ38" s="210" t="n">
        <f aca="false" t="array" ref="AJ38:AJ38">IFERROR( AVERAGE(IF(DATOS_[Sexo]=$B38,IF(DATOS_[AGRUP. VALOR. PTO.]=$B36,IF(DATOS_[Check Periodo Ref.]="Dentro",DATOS_[Tot COMPL.SAL Ef],0)))), 0)</f>
        <v>0</v>
      </c>
      <c r="AK38" s="211" t="n">
        <f aca="false" t="array" ref="AK38:AK38">IFERROR( AVERAGE(IF(DATOS_[Sexo]=$B38,IF(DATOS_[AGRUP. VALOR. PTO.]=$B36,IF(DATOS_[Check Periodo Ref.]="Dentro",DATOS_[TOTAL SALARIO Ef],0)))), 0)</f>
        <v>0</v>
      </c>
      <c r="AL38" s="212" t="n">
        <f aca="false" t="array" ref="AL38:AL38">IFERROR( AVERAGE((IF(DATOS_[[Sexo]:[Sexo]]=$B38,IF(DATOS_[[AGRUP. VALOR. PTO.]:[AGRUP. VALOR. PTO.]]=$B36,IF(DATOS_[[Check Periodo Ref.]:[Check Periodo Ref.]]="Dentro",DATOS_[C.Extra.01]))))), 0)</f>
        <v>0</v>
      </c>
      <c r="AM38" s="212" t="n">
        <f aca="false" t="array" ref="AM38:AM38">IFERROR( AVERAGE((IF(DATOS_[[Sexo]:[Sexo]]=$B38,IF(DATOS_[[AGRUP. VALOR. PTO.]:[AGRUP. VALOR. PTO.]]=$B36,IF(DATOS_[[Check Periodo Ref.]:[Check Periodo Ref.]]="Dentro",DATOS_[C.Extra.02]))))), 0)</f>
        <v>0</v>
      </c>
      <c r="AN38" s="212" t="n">
        <f aca="false" t="array" ref="AN38:AN38">IFERROR( AVERAGE((IF(DATOS_[[Sexo]:[Sexo]]=$B38,IF(DATOS_[[AGRUP. VALOR. PTO.]:[AGRUP. VALOR. PTO.]]=$B36,IF(DATOS_[[Check Periodo Ref.]:[Check Periodo Ref.]]="Dentro",DATOS_[C.Extra.03]))))), 0)</f>
        <v>0</v>
      </c>
      <c r="AO38" s="212" t="n">
        <f aca="false" t="array" ref="AO38:AO38">IFERROR( AVERAGE((IF(DATOS_[[Sexo]:[Sexo]]=$B38,IF(DATOS_[[AGRUP. VALOR. PTO.]:[AGRUP. VALOR. PTO.]]=$B36,IF(DATOS_[[Check Periodo Ref.]:[Check Periodo Ref.]]="Dentro",DATOS_[C.Extra.04]))))), 0)</f>
        <v>0</v>
      </c>
      <c r="AP38" s="212" t="n">
        <f aca="false" t="array" ref="AP38:AP38">IFERROR( AVERAGE((IF(DATOS_[[Sexo]:[Sexo]]=$B38,IF(DATOS_[[AGRUP. VALOR. PTO.]:[AGRUP. VALOR. PTO.]]=$B36,IF(DATOS_[[Check Periodo Ref.]:[Check Periodo Ref.]]="Dentro",DATOS_[C.Extra.05]))))), 0)</f>
        <v>0</v>
      </c>
      <c r="AQ38" s="213" t="n">
        <f aca="false" t="array" ref="AQ38:AQ38">IFERROR( AVERAGE(IF(DATOS_[Sexo]=$B38,IF(DATOS_[AGRUP. VALOR. PTO.]=$B36,IF(DATOS_[Check Periodo Ref.]="Dentro",DATOS_[Tot Extrasalarial Ef],0)))), 0)</f>
        <v>0</v>
      </c>
      <c r="AR38" s="214" t="n">
        <f aca="false" t="array" ref="AR38:AR38">IFERROR( AVERAGE(IF(DATOS_[Sexo]=$B38,IF(DATOS_[AGRUP. VALOR. PTO.]=$B36,IF(DATOS_[Check Periodo Ref.]="Dentro",DATOS_[TOTAL Retrib Ef],0)))), 0)</f>
        <v>0</v>
      </c>
    </row>
    <row r="39" customFormat="false" ht="15.75" hidden="false" customHeight="false" outlineLevel="0" collapsed="false">
      <c r="A39" s="191" t="str">
        <f aca="false">+A40</f>
        <v>[ocultar]</v>
      </c>
      <c r="B39" s="192" t="s">
        <v>193</v>
      </c>
      <c r="C39" s="193"/>
      <c r="D39" s="194"/>
      <c r="E39" s="195" t="str">
        <f aca="false">IFERROR((E40-E41)/E40,"")</f>
        <v/>
      </c>
      <c r="F39" s="196" t="str">
        <f aca="false">IFERROR((F40-F41)/F40,"")</f>
        <v/>
      </c>
      <c r="G39" s="197" t="str">
        <f aca="false">IFERROR((G40-G41)/G40,"")</f>
        <v/>
      </c>
      <c r="H39" s="197" t="str">
        <f aca="false">IFERROR((H40-H41)/H40,"")</f>
        <v/>
      </c>
      <c r="I39" s="197" t="str">
        <f aca="false">IFERROR((I40-I41)/I40,"")</f>
        <v/>
      </c>
      <c r="J39" s="198" t="str">
        <f aca="false">IFERROR((J40-J41)/J40,"")</f>
        <v/>
      </c>
      <c r="K39" s="199" t="str">
        <f aca="false">IFERROR((K40-K41)/K40,"")</f>
        <v/>
      </c>
      <c r="L39" s="199" t="str">
        <f aca="false">IFERROR((L40-L41)/L40,"")</f>
        <v/>
      </c>
      <c r="M39" s="199" t="str">
        <f aca="false">IFERROR((M40-M41)/M40,"")</f>
        <v/>
      </c>
      <c r="N39" s="199" t="str">
        <f aca="false">IFERROR((N40-N41)/N40,"")</f>
        <v/>
      </c>
      <c r="O39" s="199" t="str">
        <f aca="false">IFERROR((O40-O41)/O40,"")</f>
        <v/>
      </c>
      <c r="P39" s="199" t="str">
        <f aca="false">IFERROR((P40-P41)/P40,"")</f>
        <v/>
      </c>
      <c r="Q39" s="199" t="str">
        <f aca="false">IFERROR((Q40-Q41)/Q40,"")</f>
        <v/>
      </c>
      <c r="R39" s="199" t="str">
        <f aca="false">IFERROR((R40-R41)/R40,"")</f>
        <v/>
      </c>
      <c r="S39" s="199" t="str">
        <f aca="false">IFERROR((S40-S41)/S40,"")</f>
        <v/>
      </c>
      <c r="T39" s="199" t="str">
        <f aca="false">IFERROR((T40-T41)/T40,"")</f>
        <v/>
      </c>
      <c r="U39" s="199" t="str">
        <f aca="false">IFERROR((U40-U41)/U40,"")</f>
        <v/>
      </c>
      <c r="V39" s="198" t="str">
        <f aca="false">IFERROR((V40-V41)/V40,"")</f>
        <v/>
      </c>
      <c r="W39" s="198" t="str">
        <f aca="false">IFERROR((W40-W41)/W40,"")</f>
        <v/>
      </c>
      <c r="X39" s="198" t="str">
        <f aca="false">IFERROR((X40-X41)/X40,"")</f>
        <v/>
      </c>
      <c r="Y39" s="198" t="str">
        <f aca="false">IFERROR((Y40-Y41)/Y40,"")</f>
        <v/>
      </c>
      <c r="Z39" s="198" t="str">
        <f aca="false">IFERROR((Z40-Z41)/Z40,"")</f>
        <v/>
      </c>
      <c r="AA39" s="198" t="str">
        <f aca="false">IFERROR((AA40-AA41)/AA40,"")</f>
        <v/>
      </c>
      <c r="AB39" s="198" t="str">
        <f aca="false">IFERROR((AB40-AB41)/AB40,"")</f>
        <v/>
      </c>
      <c r="AC39" s="198" t="str">
        <f aca="false">IFERROR((AC40-AC41)/AC40,"")</f>
        <v/>
      </c>
      <c r="AD39" s="198" t="str">
        <f aca="false">IFERROR((AD40-AD41)/AD40,"")</f>
        <v/>
      </c>
      <c r="AE39" s="198" t="str">
        <f aca="false">IFERROR((AE40-AE41)/AE40,"")</f>
        <v/>
      </c>
      <c r="AF39" s="198" t="str">
        <f aca="false">IFERROR((AF40-AF41)/AF40,"")</f>
        <v/>
      </c>
      <c r="AG39" s="198" t="str">
        <f aca="false">IFERROR((AG40-AG41)/AG40,"")</f>
        <v/>
      </c>
      <c r="AH39" s="198" t="str">
        <f aca="false">IFERROR((AH40-AH41)/AH40,"")</f>
        <v/>
      </c>
      <c r="AI39" s="198" t="str">
        <f aca="false">IFERROR((AI40-AI41)/AI40,"")</f>
        <v/>
      </c>
      <c r="AJ39" s="200" t="str">
        <f aca="false">IFERROR((AJ40-AJ41)/AJ40,"")</f>
        <v/>
      </c>
      <c r="AK39" s="201" t="str">
        <f aca="false">IFERROR((AK40-AK41)/AK40,"")</f>
        <v/>
      </c>
      <c r="AL39" s="202" t="str">
        <f aca="false">IFERROR((AL40-AL41)/AL40,"")</f>
        <v/>
      </c>
      <c r="AM39" s="202" t="str">
        <f aca="false">IFERROR((AM40-AM41)/AM40,"")</f>
        <v/>
      </c>
      <c r="AN39" s="202" t="str">
        <f aca="false">IFERROR((AN40-AN41)/AN40,"")</f>
        <v/>
      </c>
      <c r="AO39" s="202" t="str">
        <f aca="false">IFERROR((AO40-AO41)/AO40,"")</f>
        <v/>
      </c>
      <c r="AP39" s="202" t="str">
        <f aca="false">IFERROR((AP40-AP41)/AP40,"")</f>
        <v/>
      </c>
      <c r="AQ39" s="203" t="str">
        <f aca="false">IFERROR((AQ40-AQ41)/AQ40,"")</f>
        <v/>
      </c>
      <c r="AR39" s="204" t="str">
        <f aca="false">IFERROR((AR40-AR41)/AR40,"")</f>
        <v/>
      </c>
    </row>
    <row r="40" customFormat="false" ht="14.25" hidden="false" customHeight="false" outlineLevel="0" collapsed="false">
      <c r="A40" s="191" t="str">
        <f aca="false">+IF(C40+C41=0,"[ocultar]","")</f>
        <v>[ocultar]</v>
      </c>
      <c r="B40" s="205" t="s">
        <v>371</v>
      </c>
      <c r="C40" s="206" t="n">
        <f aca="false" t="array" ref="C40:C40">SUM(IF($B40=DATOS_[Sexo], IF($B39=DATOS_[AGRUP. VALOR. PTO.], IF("Dentro"=DATOS_[Check Periodo Ref.], 1/(COUNTIFS(DATOS_[Sexo],$B40,DATOS_[AGRUP. VALOR. PTO.],$B39,DATOS_[Check Periodo Ref.],"Dentro",DATOS_[id],DATOS_[id]))))))</f>
        <v>0</v>
      </c>
      <c r="D40" s="207" t="n">
        <f aca="false">COUNTIFS(DATOS_[AGRUP. VALOR. PTO.],$B39,DATOS_[Sexo],$B40,DATOS_[Check Periodo Ref.],"Dentro")</f>
        <v>0</v>
      </c>
      <c r="E40" s="208" t="n">
        <f aca="false" t="array" ref="E40:E40">IFERROR( AVERAGE(IF(DATOS_[Sexo]=$B40,IF(DATOS_[AGRUP. VALOR. PTO.]=$B39,IF(DATOS_[Check Periodo Ref.]="Dentro",DATOS_[SALARIO BASE Ef],0)))), 0)</f>
        <v>0</v>
      </c>
      <c r="F40" s="209" t="n">
        <f aca="false" t="array" ref="F40:F40">IFERROR( AVERAGE((IF(DATOS_[[Sexo]:[Sexo]]=$B40,IF(DATOS_[[AGRUP. VALOR. PTO.]:[AGRUP. VALOR. PTO.]]=$B39,IF(DATOS_[[Check Periodo Ref.]:[Check Periodo Ref.]]="Dentro",DATOS_[Conc.Sal.01]))))), 0)</f>
        <v>0</v>
      </c>
      <c r="G40" s="209" t="n">
        <f aca="false" t="array" ref="G40:G40">IFERROR( AVERAGE((IF(DATOS_[[Sexo]:[Sexo]]=$B40,IF(DATOS_[[AGRUP. VALOR. PTO.]:[AGRUP. VALOR. PTO.]]=$B39,IF(DATOS_[[Check Periodo Ref.]:[Check Periodo Ref.]]="Dentro",DATOS_[Conc.Sal.02]))))), 0)</f>
        <v>0</v>
      </c>
      <c r="H40" s="209" t="n">
        <f aca="false" t="array" ref="H40:H40">IFERROR( AVERAGE((IF(DATOS_[[Sexo]:[Sexo]]=$B40,IF(DATOS_[[AGRUP. VALOR. PTO.]:[AGRUP. VALOR. PTO.]]=$B39,IF(DATOS_[[Check Periodo Ref.]:[Check Periodo Ref.]]="Dentro",DATOS_[Conc.Sal.03]))))), 0)</f>
        <v>0</v>
      </c>
      <c r="I40" s="209" t="n">
        <f aca="false" t="array" ref="I40:I40">IFERROR( AVERAGE((IF(DATOS_[[Sexo]:[Sexo]]=$B40,IF(DATOS_[[AGRUP. VALOR. PTO.]:[AGRUP. VALOR. PTO.]]=$B39,IF(DATOS_[[Check Periodo Ref.]:[Check Periodo Ref.]]="Dentro",DATOS_[Conc.Sal.04]))))), 0)</f>
        <v>0</v>
      </c>
      <c r="J40" s="209" t="n">
        <f aca="false" t="array" ref="J40:J40">IFERROR( AVERAGE((IF(DATOS_[[Sexo]:[Sexo]]=$B40,IF(DATOS_[[AGRUP. VALOR. PTO.]:[AGRUP. VALOR. PTO.]]=$B39,IF(DATOS_[[Check Periodo Ref.]:[Check Periodo Ref.]]="Dentro",DATOS_[Conc.Sal.05]))))), 0)</f>
        <v>0</v>
      </c>
      <c r="K40" s="209" t="n">
        <f aca="false" t="array" ref="K40:K40">IFERROR( AVERAGE((IF(DATOS_[[Sexo]:[Sexo]]=$B40,IF(DATOS_[[AGRUP. VALOR. PTO.]:[AGRUP. VALOR. PTO.]]=$B39,IF(DATOS_[[Check Periodo Ref.]:[Check Periodo Ref.]]="Dentro",DATOS_[Conc.Sal.06]))))), 0)</f>
        <v>0</v>
      </c>
      <c r="L40" s="209" t="n">
        <f aca="false" t="array" ref="L40:L40">IFERROR( AVERAGE((IF(DATOS_[[Sexo]:[Sexo]]=$B40,IF(DATOS_[[AGRUP. VALOR. PTO.]:[AGRUP. VALOR. PTO.]]=$B39,IF(DATOS_[[Check Periodo Ref.]:[Check Periodo Ref.]]="Dentro",DATOS_[Conc.Sal.07]))))), 0)</f>
        <v>0</v>
      </c>
      <c r="M40" s="209" t="n">
        <f aca="false" t="array" ref="M40:M40">IFERROR( AVERAGE((IF(DATOS_[[Sexo]:[Sexo]]=$B40,IF(DATOS_[[AGRUP. VALOR. PTO.]:[AGRUP. VALOR. PTO.]]=$B39,IF(DATOS_[[Check Periodo Ref.]:[Check Periodo Ref.]]="Dentro",DATOS_[Conc.Sal.08]))))), 0)</f>
        <v>0</v>
      </c>
      <c r="N40" s="209" t="n">
        <f aca="false" t="array" ref="N40:N40">IFERROR( AVERAGE((IF(DATOS_[[Sexo]:[Sexo]]=$B40,IF(DATOS_[[AGRUP. VALOR. PTO.]:[AGRUP. VALOR. PTO.]]=$B39,IF(DATOS_[[Check Periodo Ref.]:[Check Periodo Ref.]]="Dentro",DATOS_[Conc.Sal.09]))))), 0)</f>
        <v>0</v>
      </c>
      <c r="O40" s="209" t="n">
        <f aca="false" t="array" ref="O40:O40">IFERROR( AVERAGE((IF(DATOS_[[Sexo]:[Sexo]]=$B40,IF(DATOS_[[AGRUP. VALOR. PTO.]:[AGRUP. VALOR. PTO.]]=$B39,IF(DATOS_[[Check Periodo Ref.]:[Check Periodo Ref.]]="Dentro",DATOS_[Conc.Sal.10]))))), 0)</f>
        <v>0</v>
      </c>
      <c r="P40" s="209" t="n">
        <f aca="false" t="array" ref="P40:P40">IFERROR( AVERAGE((IF(DATOS_[[Sexo]:[Sexo]]=$B40,IF(DATOS_[[AGRUP. VALOR. PTO.]:[AGRUP. VALOR. PTO.]]=$B39,IF(DATOS_[[Check Periodo Ref.]:[Check Periodo Ref.]]="Dentro",DATOS_[Conc.Sal.11]))))), 0)</f>
        <v>0</v>
      </c>
      <c r="Q40" s="209" t="n">
        <f aca="false" t="array" ref="Q40:Q40">IFERROR( AVERAGE((IF(DATOS_[[Sexo]:[Sexo]]=$B40,IF(DATOS_[[AGRUP. VALOR. PTO.]:[AGRUP. VALOR. PTO.]]=$B39,IF(DATOS_[[Check Periodo Ref.]:[Check Periodo Ref.]]="Dentro",DATOS_[Conc.Sal.12]))))), 0)</f>
        <v>0</v>
      </c>
      <c r="R40" s="209" t="n">
        <f aca="false" t="array" ref="R40:R40">IFERROR( AVERAGE((IF(DATOS_[[Sexo]:[Sexo]]=$B40,IF(DATOS_[[AGRUP. VALOR. PTO.]:[AGRUP. VALOR. PTO.]]=$B39,IF(DATOS_[[Check Periodo Ref.]:[Check Periodo Ref.]]="Dentro",DATOS_[Conc.Sal.13]))))), 0)</f>
        <v>0</v>
      </c>
      <c r="S40" s="209" t="n">
        <f aca="false" t="array" ref="S40:S40">IFERROR( AVERAGE((IF(DATOS_[[Sexo]:[Sexo]]=$B40,IF(DATOS_[[AGRUP. VALOR. PTO.]:[AGRUP. VALOR. PTO.]]=$B39,IF(DATOS_[[Check Periodo Ref.]:[Check Periodo Ref.]]="Dentro",DATOS_[Conc.Sal.14]))))), 0)</f>
        <v>0</v>
      </c>
      <c r="T40" s="209" t="n">
        <f aca="false" t="array" ref="T40:T40">IFERROR( AVERAGE((IF(DATOS_[[Sexo]:[Sexo]]=$B40,IF(DATOS_[[AGRUP. VALOR. PTO.]:[AGRUP. VALOR. PTO.]]=$B39,IF(DATOS_[[Check Periodo Ref.]:[Check Periodo Ref.]]="Dentro",DATOS_[Conc.Sal.15]))))), 0)</f>
        <v>0</v>
      </c>
      <c r="U40" s="209" t="n">
        <f aca="false" t="array" ref="U40:U40">IFERROR( AVERAGE((IF(DATOS_[[Sexo]:[Sexo]]=$B40,IF(DATOS_[[AGRUP. VALOR. PTO.]:[AGRUP. VALOR. PTO.]]=$B39,IF(DATOS_[[Check Periodo Ref.]:[Check Periodo Ref.]]="Dentro",DATOS_[Conc.Sal.16]))))), 0)</f>
        <v>0</v>
      </c>
      <c r="V40" s="209" t="n">
        <f aca="false" t="array" ref="V40:V40">IFERROR( AVERAGE((IF(DATOS_[[Sexo]:[Sexo]]=$B40,IF(DATOS_[[AGRUP. VALOR. PTO.]:[AGRUP. VALOR. PTO.]]=$B39,IF(DATOS_[[Check Periodo Ref.]:[Check Periodo Ref.]]="Dentro",DATOS_[Conc.Sal.17]))))), 0)</f>
        <v>0</v>
      </c>
      <c r="W40" s="209" t="n">
        <f aca="false" t="array" ref="W40:W40">IFERROR( AVERAGE((IF(DATOS_[[Sexo]:[Sexo]]=$B40,IF(DATOS_[[AGRUP. VALOR. PTO.]:[AGRUP. VALOR. PTO.]]=$B39,IF(DATOS_[[Check Periodo Ref.]:[Check Periodo Ref.]]="Dentro",DATOS_[Conc.Sal.18]))))), 0)</f>
        <v>0</v>
      </c>
      <c r="X40" s="209" t="n">
        <f aca="false" t="array" ref="X40:X40">IFERROR( AVERAGE((IF(DATOS_[[Sexo]:[Sexo]]=$B40,IF(DATOS_[[AGRUP. VALOR. PTO.]:[AGRUP. VALOR. PTO.]]=$B39,IF(DATOS_[[Check Periodo Ref.]:[Check Periodo Ref.]]="Dentro",DATOS_[Conc.Sal.19]))))), 0)</f>
        <v>0</v>
      </c>
      <c r="Y40" s="209" t="n">
        <f aca="false" t="array" ref="Y40:Y40">IFERROR( AVERAGE((IF(DATOS_[[Sexo]:[Sexo]]=$B40,IF(DATOS_[[AGRUP. VALOR. PTO.]:[AGRUP. VALOR. PTO.]]=$B39,IF(DATOS_[[Check Periodo Ref.]:[Check Periodo Ref.]]="Dentro",DATOS_[Conc.Sal.20]))))), 0)</f>
        <v>0</v>
      </c>
      <c r="Z40" s="209" t="n">
        <f aca="false" t="array" ref="Z40:Z40">IFERROR( AVERAGE((IF(DATOS_[[Sexo]:[Sexo]]=$B40,IF(DATOS_[[AGRUP. VALOR. PTO.]:[AGRUP. VALOR. PTO.]]=$B39,IF(DATOS_[[Check Periodo Ref.]:[Check Periodo Ref.]]="Dentro",DATOS_[Conc.Sal.21]))))), 0)</f>
        <v>0</v>
      </c>
      <c r="AA40" s="209" t="n">
        <f aca="false" t="array" ref="AA40:AA40">IFERROR( AVERAGE((IF(DATOS_[[Sexo]:[Sexo]]=$B40,IF(DATOS_[[AGRUP. VALOR. PTO.]:[AGRUP. VALOR. PTO.]]=$B39,IF(DATOS_[[Check Periodo Ref.]:[Check Periodo Ref.]]="Dentro",DATOS_[Conc.Sal.22]))))), 0)</f>
        <v>0</v>
      </c>
      <c r="AB40" s="209" t="n">
        <f aca="false" t="array" ref="AB40:AB40">IFERROR( AVERAGE((IF(DATOS_[[Sexo]:[Sexo]]=$B40,IF(DATOS_[[AGRUP. VALOR. PTO.]:[AGRUP. VALOR. PTO.]]=$B39,IF(DATOS_[[Check Periodo Ref.]:[Check Periodo Ref.]]="Dentro",DATOS_[Conc.Sal.23]))))), 0)</f>
        <v>0</v>
      </c>
      <c r="AC40" s="209" t="n">
        <f aca="false" t="array" ref="AC40:AC40">IFERROR( AVERAGE((IF(DATOS_[[Sexo]:[Sexo]]=$B40,IF(DATOS_[[AGRUP. VALOR. PTO.]:[AGRUP. VALOR. PTO.]]=$B39,IF(DATOS_[[Check Periodo Ref.]:[Check Periodo Ref.]]="Dentro",DATOS_[Conc.Sal.24]))))), 0)</f>
        <v>0</v>
      </c>
      <c r="AD40" s="209" t="n">
        <f aca="false" t="array" ref="AD40:AD40">IFERROR( AVERAGE((IF(DATOS_[[Sexo]:[Sexo]]=$B40,IF(DATOS_[[AGRUP. VALOR. PTO.]:[AGRUP. VALOR. PTO.]]=$B39,IF(DATOS_[[Check Periodo Ref.]:[Check Periodo Ref.]]="Dentro",DATOS_[Conc.Sal.25]))))), 0)</f>
        <v>0</v>
      </c>
      <c r="AE40" s="209" t="n">
        <f aca="false" t="array" ref="AE40:AE40">IFERROR( AVERAGE((IF(DATOS_[[Sexo]:[Sexo]]=$B40,IF(DATOS_[[AGRUP. VALOR. PTO.]:[AGRUP. VALOR. PTO.]]=$B39,IF(DATOS_[[Check Periodo Ref.]:[Check Periodo Ref.]]="Dentro",DATOS_[Conc.Sal.26]))))), 0)</f>
        <v>0</v>
      </c>
      <c r="AF40" s="209" t="n">
        <f aca="false" t="array" ref="AF40:AF40">IFERROR( AVERAGE((IF(DATOS_[[Sexo]:[Sexo]]=$B40,IF(DATOS_[[AGRUP. VALOR. PTO.]:[AGRUP. VALOR. PTO.]]=$B39,IF(DATOS_[[Check Periodo Ref.]:[Check Periodo Ref.]]="Dentro",DATOS_[Conc.Sal.27]))))), 0)</f>
        <v>0</v>
      </c>
      <c r="AG40" s="209" t="n">
        <f aca="false" t="array" ref="AG40:AG40">IFERROR( AVERAGE((IF(DATOS_[[Sexo]:[Sexo]]=$B40,IF(DATOS_[[AGRUP. VALOR. PTO.]:[AGRUP. VALOR. PTO.]]=$B39,IF(DATOS_[[Check Periodo Ref.]:[Check Periodo Ref.]]="Dentro",DATOS_[Conc.Sal.28]))))), 0)</f>
        <v>0</v>
      </c>
      <c r="AH40" s="209" t="n">
        <f aca="false" t="array" ref="AH40:AH40">IFERROR( AVERAGE((IF(DATOS_[[Sexo]:[Sexo]]=$B40,IF(DATOS_[[AGRUP. VALOR. PTO.]:[AGRUP. VALOR. PTO.]]=$B39,IF(DATOS_[[Check Periodo Ref.]:[Check Periodo Ref.]]="Dentro",DATOS_[Conc.Sal.29]))))), 0)</f>
        <v>0</v>
      </c>
      <c r="AI40" s="209" t="n">
        <f aca="false" t="array" ref="AI40:AI40">IFERROR( AVERAGE((IF(DATOS_[[Sexo]:[Sexo]]=$B40,IF(DATOS_[[AGRUP. VALOR. PTO.]:[AGRUP. VALOR. PTO.]]=$B39,IF(DATOS_[[Check Periodo Ref.]:[Check Periodo Ref.]]="Dentro",DATOS_[Conc.Sal.30]))))), 0)</f>
        <v>0</v>
      </c>
      <c r="AJ40" s="210" t="n">
        <f aca="false" t="array" ref="AJ40:AJ40">IFERROR( AVERAGE(IF(DATOS_[Sexo]=$B40,IF(DATOS_[AGRUP. VALOR. PTO.]=$B39,IF(DATOS_[Check Periodo Ref.]="Dentro",DATOS_[Tot COMPL.SAL Ef],0)))), 0)</f>
        <v>0</v>
      </c>
      <c r="AK40" s="211" t="n">
        <f aca="false" t="array" ref="AK40:AK40">IFERROR( AVERAGE(IF(DATOS_[Sexo]=$B40,IF(DATOS_[AGRUP. VALOR. PTO.]=$B39,IF(DATOS_[Check Periodo Ref.]="Dentro",DATOS_[TOTAL SALARIO Ef],0)))), 0)</f>
        <v>0</v>
      </c>
      <c r="AL40" s="212" t="n">
        <f aca="false" t="array" ref="AL40:AL40">IFERROR( AVERAGE((IF(DATOS_[[Sexo]:[Sexo]]=$B40,IF(DATOS_[[AGRUP. VALOR. PTO.]:[AGRUP. VALOR. PTO.]]=$B39,IF(DATOS_[[Check Periodo Ref.]:[Check Periodo Ref.]]="Dentro",DATOS_[C.Extra.01]))))), 0)</f>
        <v>0</v>
      </c>
      <c r="AM40" s="212" t="n">
        <f aca="false" t="array" ref="AM40:AM40">IFERROR( AVERAGE((IF(DATOS_[[Sexo]:[Sexo]]=$B40,IF(DATOS_[[AGRUP. VALOR. PTO.]:[AGRUP. VALOR. PTO.]]=$B39,IF(DATOS_[[Check Periodo Ref.]:[Check Periodo Ref.]]="Dentro",DATOS_[C.Extra.02]))))), 0)</f>
        <v>0</v>
      </c>
      <c r="AN40" s="212" t="n">
        <f aca="false" t="array" ref="AN40:AN40">IFERROR( AVERAGE((IF(DATOS_[[Sexo]:[Sexo]]=$B40,IF(DATOS_[[AGRUP. VALOR. PTO.]:[AGRUP. VALOR. PTO.]]=$B39,IF(DATOS_[[Check Periodo Ref.]:[Check Periodo Ref.]]="Dentro",DATOS_[C.Extra.03]))))), 0)</f>
        <v>0</v>
      </c>
      <c r="AO40" s="212" t="n">
        <f aca="false" t="array" ref="AO40:AO40">IFERROR( AVERAGE((IF(DATOS_[[Sexo]:[Sexo]]=$B40,IF(DATOS_[[AGRUP. VALOR. PTO.]:[AGRUP. VALOR. PTO.]]=$B39,IF(DATOS_[[Check Periodo Ref.]:[Check Periodo Ref.]]="Dentro",DATOS_[C.Extra.04]))))), 0)</f>
        <v>0</v>
      </c>
      <c r="AP40" s="212" t="n">
        <f aca="false" t="array" ref="AP40:AP40">IFERROR( AVERAGE((IF(DATOS_[[Sexo]:[Sexo]]=$B40,IF(DATOS_[[AGRUP. VALOR. PTO.]:[AGRUP. VALOR. PTO.]]=$B39,IF(DATOS_[[Check Periodo Ref.]:[Check Periodo Ref.]]="Dentro",DATOS_[C.Extra.05]))))), 0)</f>
        <v>0</v>
      </c>
      <c r="AQ40" s="213" t="n">
        <f aca="false" t="array" ref="AQ40:AQ40">IFERROR( AVERAGE(IF(DATOS_[Sexo]=$B40,IF(DATOS_[AGRUP. VALOR. PTO.]=$B39,IF(DATOS_[Check Periodo Ref.]="Dentro",DATOS_[Tot Extrasalarial Ef],0)))), 0)</f>
        <v>0</v>
      </c>
      <c r="AR40" s="214" t="n">
        <f aca="false" t="array" ref="AR40:AR40">IFERROR( AVERAGE(IF(DATOS_[Sexo]=$B40,IF(DATOS_[AGRUP. VALOR. PTO.]=$B39,IF(DATOS_[Check Periodo Ref.]="Dentro",DATOS_[TOTAL Retrib Ef],0)))), 0)</f>
        <v>0</v>
      </c>
    </row>
    <row r="41" customFormat="false" ht="14.25" hidden="false" customHeight="false" outlineLevel="0" collapsed="false">
      <c r="A41" s="191" t="str">
        <f aca="false">+A40</f>
        <v>[ocultar]</v>
      </c>
      <c r="B41" s="205" t="s">
        <v>372</v>
      </c>
      <c r="C41" s="206" t="n">
        <f aca="false" t="array" ref="C41:C41">SUM(IF($B41=DATOS_[Sexo], IF($B39=DATOS_[AGRUP. VALOR. PTO.], IF("Dentro"=DATOS_[Check Periodo Ref.], 1/(COUNTIFS(DATOS_[Sexo],$B41,DATOS_[AGRUP. VALOR. PTO.],$B39,DATOS_[Check Periodo Ref.],"Dentro",DATOS_[id],DATOS_[id]))))))</f>
        <v>0</v>
      </c>
      <c r="D41" s="207" t="n">
        <f aca="false">COUNTIFS(DATOS_[AGRUP. VALOR. PTO.],$B39,DATOS_[Sexo],$B41,DATOS_[Check Periodo Ref.],"Dentro")</f>
        <v>0</v>
      </c>
      <c r="E41" s="208" t="n">
        <f aca="false" t="array" ref="E41:E41">IFERROR( AVERAGE(IF(DATOS_[Sexo]=$B41,IF(DATOS_[AGRUP. VALOR. PTO.]=$B39,IF(DATOS_[Check Periodo Ref.]="Dentro",DATOS_[SALARIO BASE Ef],0)))), 0)</f>
        <v>0</v>
      </c>
      <c r="F41" s="209" t="n">
        <f aca="false" t="array" ref="F41:F41">IFERROR( AVERAGE((IF(DATOS_[[Sexo]:[Sexo]]=$B41,IF(DATOS_[[AGRUP. VALOR. PTO.]:[AGRUP. VALOR. PTO.]]=$B39,IF(DATOS_[[Check Periodo Ref.]:[Check Periodo Ref.]]="Dentro",DATOS_[Conc.Sal.01]))))), 0)</f>
        <v>0</v>
      </c>
      <c r="G41" s="209" t="n">
        <f aca="false" t="array" ref="G41:G41">IFERROR( AVERAGE((IF(DATOS_[[Sexo]:[Sexo]]=$B41,IF(DATOS_[[AGRUP. VALOR. PTO.]:[AGRUP. VALOR. PTO.]]=$B39,IF(DATOS_[[Check Periodo Ref.]:[Check Periodo Ref.]]="Dentro",DATOS_[Conc.Sal.02]))))), 0)</f>
        <v>0</v>
      </c>
      <c r="H41" s="209" t="n">
        <f aca="false" t="array" ref="H41:H41">IFERROR( AVERAGE((IF(DATOS_[[Sexo]:[Sexo]]=$B41,IF(DATOS_[[AGRUP. VALOR. PTO.]:[AGRUP. VALOR. PTO.]]=$B39,IF(DATOS_[[Check Periodo Ref.]:[Check Periodo Ref.]]="Dentro",DATOS_[Conc.Sal.03]))))), 0)</f>
        <v>0</v>
      </c>
      <c r="I41" s="209" t="n">
        <f aca="false" t="array" ref="I41:I41">IFERROR( AVERAGE((IF(DATOS_[[Sexo]:[Sexo]]=$B41,IF(DATOS_[[AGRUP. VALOR. PTO.]:[AGRUP. VALOR. PTO.]]=$B39,IF(DATOS_[[Check Periodo Ref.]:[Check Periodo Ref.]]="Dentro",DATOS_[Conc.Sal.04]))))), 0)</f>
        <v>0</v>
      </c>
      <c r="J41" s="209" t="n">
        <f aca="false" t="array" ref="J41:J41">IFERROR( AVERAGE((IF(DATOS_[[Sexo]:[Sexo]]=$B41,IF(DATOS_[[AGRUP. VALOR. PTO.]:[AGRUP. VALOR. PTO.]]=$B39,IF(DATOS_[[Check Periodo Ref.]:[Check Periodo Ref.]]="Dentro",DATOS_[Conc.Sal.05]))))), 0)</f>
        <v>0</v>
      </c>
      <c r="K41" s="209" t="n">
        <f aca="false" t="array" ref="K41:K41">IFERROR( AVERAGE((IF(DATOS_[[Sexo]:[Sexo]]=$B41,IF(DATOS_[[AGRUP. VALOR. PTO.]:[AGRUP. VALOR. PTO.]]=$B39,IF(DATOS_[[Check Periodo Ref.]:[Check Periodo Ref.]]="Dentro",DATOS_[Conc.Sal.06]))))), 0)</f>
        <v>0</v>
      </c>
      <c r="L41" s="209" t="n">
        <f aca="false" t="array" ref="L41:L41">IFERROR( AVERAGE((IF(DATOS_[[Sexo]:[Sexo]]=$B41,IF(DATOS_[[AGRUP. VALOR. PTO.]:[AGRUP. VALOR. PTO.]]=$B39,IF(DATOS_[[Check Periodo Ref.]:[Check Periodo Ref.]]="Dentro",DATOS_[Conc.Sal.07]))))), 0)</f>
        <v>0</v>
      </c>
      <c r="M41" s="209" t="n">
        <f aca="false" t="array" ref="M41:M41">IFERROR( AVERAGE((IF(DATOS_[[Sexo]:[Sexo]]=$B41,IF(DATOS_[[AGRUP. VALOR. PTO.]:[AGRUP. VALOR. PTO.]]=$B39,IF(DATOS_[[Check Periodo Ref.]:[Check Periodo Ref.]]="Dentro",DATOS_[Conc.Sal.08]))))), 0)</f>
        <v>0</v>
      </c>
      <c r="N41" s="209" t="n">
        <f aca="false" t="array" ref="N41:N41">IFERROR( AVERAGE((IF(DATOS_[[Sexo]:[Sexo]]=$B41,IF(DATOS_[[AGRUP. VALOR. PTO.]:[AGRUP. VALOR. PTO.]]=$B39,IF(DATOS_[[Check Periodo Ref.]:[Check Periodo Ref.]]="Dentro",DATOS_[Conc.Sal.09]))))), 0)</f>
        <v>0</v>
      </c>
      <c r="O41" s="209" t="n">
        <f aca="false" t="array" ref="O41:O41">IFERROR( AVERAGE((IF(DATOS_[[Sexo]:[Sexo]]=$B41,IF(DATOS_[[AGRUP. VALOR. PTO.]:[AGRUP. VALOR. PTO.]]=$B39,IF(DATOS_[[Check Periodo Ref.]:[Check Periodo Ref.]]="Dentro",DATOS_[Conc.Sal.10]))))), 0)</f>
        <v>0</v>
      </c>
      <c r="P41" s="209" t="n">
        <f aca="false" t="array" ref="P41:P41">IFERROR( AVERAGE((IF(DATOS_[[Sexo]:[Sexo]]=$B41,IF(DATOS_[[AGRUP. VALOR. PTO.]:[AGRUP. VALOR. PTO.]]=$B39,IF(DATOS_[[Check Periodo Ref.]:[Check Periodo Ref.]]="Dentro",DATOS_[Conc.Sal.11]))))), 0)</f>
        <v>0</v>
      </c>
      <c r="Q41" s="209" t="n">
        <f aca="false" t="array" ref="Q41:Q41">IFERROR( AVERAGE((IF(DATOS_[[Sexo]:[Sexo]]=$B41,IF(DATOS_[[AGRUP. VALOR. PTO.]:[AGRUP. VALOR. PTO.]]=$B39,IF(DATOS_[[Check Periodo Ref.]:[Check Periodo Ref.]]="Dentro",DATOS_[Conc.Sal.12]))))), 0)</f>
        <v>0</v>
      </c>
      <c r="R41" s="209" t="n">
        <f aca="false" t="array" ref="R41:R41">IFERROR( AVERAGE((IF(DATOS_[[Sexo]:[Sexo]]=$B41,IF(DATOS_[[AGRUP. VALOR. PTO.]:[AGRUP. VALOR. PTO.]]=$B39,IF(DATOS_[[Check Periodo Ref.]:[Check Periodo Ref.]]="Dentro",DATOS_[Conc.Sal.13]))))), 0)</f>
        <v>0</v>
      </c>
      <c r="S41" s="209" t="n">
        <f aca="false" t="array" ref="S41:S41">IFERROR( AVERAGE((IF(DATOS_[[Sexo]:[Sexo]]=$B41,IF(DATOS_[[AGRUP. VALOR. PTO.]:[AGRUP. VALOR. PTO.]]=$B39,IF(DATOS_[[Check Periodo Ref.]:[Check Periodo Ref.]]="Dentro",DATOS_[Conc.Sal.14]))))), 0)</f>
        <v>0</v>
      </c>
      <c r="T41" s="209" t="n">
        <f aca="false" t="array" ref="T41:T41">IFERROR( AVERAGE((IF(DATOS_[[Sexo]:[Sexo]]=$B41,IF(DATOS_[[AGRUP. VALOR. PTO.]:[AGRUP. VALOR. PTO.]]=$B39,IF(DATOS_[[Check Periodo Ref.]:[Check Periodo Ref.]]="Dentro",DATOS_[Conc.Sal.15]))))), 0)</f>
        <v>0</v>
      </c>
      <c r="U41" s="209" t="n">
        <f aca="false" t="array" ref="U41:U41">IFERROR( AVERAGE((IF(DATOS_[[Sexo]:[Sexo]]=$B41,IF(DATOS_[[AGRUP. VALOR. PTO.]:[AGRUP. VALOR. PTO.]]=$B39,IF(DATOS_[[Check Periodo Ref.]:[Check Periodo Ref.]]="Dentro",DATOS_[Conc.Sal.16]))))), 0)</f>
        <v>0</v>
      </c>
      <c r="V41" s="209" t="n">
        <f aca="false" t="array" ref="V41:V41">IFERROR( AVERAGE((IF(DATOS_[[Sexo]:[Sexo]]=$B41,IF(DATOS_[[AGRUP. VALOR. PTO.]:[AGRUP. VALOR. PTO.]]=$B39,IF(DATOS_[[Check Periodo Ref.]:[Check Periodo Ref.]]="Dentro",DATOS_[Conc.Sal.17]))))), 0)</f>
        <v>0</v>
      </c>
      <c r="W41" s="209" t="n">
        <f aca="false" t="array" ref="W41:W41">IFERROR( AVERAGE((IF(DATOS_[[Sexo]:[Sexo]]=$B41,IF(DATOS_[[AGRUP. VALOR. PTO.]:[AGRUP. VALOR. PTO.]]=$B39,IF(DATOS_[[Check Periodo Ref.]:[Check Periodo Ref.]]="Dentro",DATOS_[Conc.Sal.18]))))), 0)</f>
        <v>0</v>
      </c>
      <c r="X41" s="209" t="n">
        <f aca="false" t="array" ref="X41:X41">IFERROR( AVERAGE((IF(DATOS_[[Sexo]:[Sexo]]=$B41,IF(DATOS_[[AGRUP. VALOR. PTO.]:[AGRUP. VALOR. PTO.]]=$B39,IF(DATOS_[[Check Periodo Ref.]:[Check Periodo Ref.]]="Dentro",DATOS_[Conc.Sal.19]))))), 0)</f>
        <v>0</v>
      </c>
      <c r="Y41" s="209" t="n">
        <f aca="false" t="array" ref="Y41:Y41">IFERROR( AVERAGE((IF(DATOS_[[Sexo]:[Sexo]]=$B41,IF(DATOS_[[AGRUP. VALOR. PTO.]:[AGRUP. VALOR. PTO.]]=$B39,IF(DATOS_[[Check Periodo Ref.]:[Check Periodo Ref.]]="Dentro",DATOS_[Conc.Sal.20]))))), 0)</f>
        <v>0</v>
      </c>
      <c r="Z41" s="209" t="n">
        <f aca="false" t="array" ref="Z41:Z41">IFERROR( AVERAGE((IF(DATOS_[[Sexo]:[Sexo]]=$B41,IF(DATOS_[[AGRUP. VALOR. PTO.]:[AGRUP. VALOR. PTO.]]=$B39,IF(DATOS_[[Check Periodo Ref.]:[Check Periodo Ref.]]="Dentro",DATOS_[Conc.Sal.21]))))), 0)</f>
        <v>0</v>
      </c>
      <c r="AA41" s="209" t="n">
        <f aca="false" t="array" ref="AA41:AA41">IFERROR( AVERAGE((IF(DATOS_[[Sexo]:[Sexo]]=$B41,IF(DATOS_[[AGRUP. VALOR. PTO.]:[AGRUP. VALOR. PTO.]]=$B39,IF(DATOS_[[Check Periodo Ref.]:[Check Periodo Ref.]]="Dentro",DATOS_[Conc.Sal.22]))))), 0)</f>
        <v>0</v>
      </c>
      <c r="AB41" s="209" t="n">
        <f aca="false" t="array" ref="AB41:AB41">IFERROR( AVERAGE((IF(DATOS_[[Sexo]:[Sexo]]=$B41,IF(DATOS_[[AGRUP. VALOR. PTO.]:[AGRUP. VALOR. PTO.]]=$B39,IF(DATOS_[[Check Periodo Ref.]:[Check Periodo Ref.]]="Dentro",DATOS_[Conc.Sal.23]))))), 0)</f>
        <v>0</v>
      </c>
      <c r="AC41" s="209" t="n">
        <f aca="false" t="array" ref="AC41:AC41">IFERROR( AVERAGE((IF(DATOS_[[Sexo]:[Sexo]]=$B41,IF(DATOS_[[AGRUP. VALOR. PTO.]:[AGRUP. VALOR. PTO.]]=$B39,IF(DATOS_[[Check Periodo Ref.]:[Check Periodo Ref.]]="Dentro",DATOS_[Conc.Sal.24]))))), 0)</f>
        <v>0</v>
      </c>
      <c r="AD41" s="209" t="n">
        <f aca="false" t="array" ref="AD41:AD41">IFERROR( AVERAGE((IF(DATOS_[[Sexo]:[Sexo]]=$B41,IF(DATOS_[[AGRUP. VALOR. PTO.]:[AGRUP. VALOR. PTO.]]=$B39,IF(DATOS_[[Check Periodo Ref.]:[Check Periodo Ref.]]="Dentro",DATOS_[Conc.Sal.25]))))), 0)</f>
        <v>0</v>
      </c>
      <c r="AE41" s="209" t="n">
        <f aca="false" t="array" ref="AE41:AE41">IFERROR( AVERAGE((IF(DATOS_[[Sexo]:[Sexo]]=$B41,IF(DATOS_[[AGRUP. VALOR. PTO.]:[AGRUP. VALOR. PTO.]]=$B39,IF(DATOS_[[Check Periodo Ref.]:[Check Periodo Ref.]]="Dentro",DATOS_[Conc.Sal.26]))))), 0)</f>
        <v>0</v>
      </c>
      <c r="AF41" s="209" t="n">
        <f aca="false" t="array" ref="AF41:AF41">IFERROR( AVERAGE((IF(DATOS_[[Sexo]:[Sexo]]=$B41,IF(DATOS_[[AGRUP. VALOR. PTO.]:[AGRUP. VALOR. PTO.]]=$B39,IF(DATOS_[[Check Periodo Ref.]:[Check Periodo Ref.]]="Dentro",DATOS_[Conc.Sal.27]))))), 0)</f>
        <v>0</v>
      </c>
      <c r="AG41" s="209" t="n">
        <f aca="false" t="array" ref="AG41:AG41">IFERROR( AVERAGE((IF(DATOS_[[Sexo]:[Sexo]]=$B41,IF(DATOS_[[AGRUP. VALOR. PTO.]:[AGRUP. VALOR. PTO.]]=$B39,IF(DATOS_[[Check Periodo Ref.]:[Check Periodo Ref.]]="Dentro",DATOS_[Conc.Sal.28]))))), 0)</f>
        <v>0</v>
      </c>
      <c r="AH41" s="209" t="n">
        <f aca="false" t="array" ref="AH41:AH41">IFERROR( AVERAGE((IF(DATOS_[[Sexo]:[Sexo]]=$B41,IF(DATOS_[[AGRUP. VALOR. PTO.]:[AGRUP. VALOR. PTO.]]=$B39,IF(DATOS_[[Check Periodo Ref.]:[Check Periodo Ref.]]="Dentro",DATOS_[Conc.Sal.29]))))), 0)</f>
        <v>0</v>
      </c>
      <c r="AI41" s="209" t="n">
        <f aca="false" t="array" ref="AI41:AI41">IFERROR( AVERAGE((IF(DATOS_[[Sexo]:[Sexo]]=$B41,IF(DATOS_[[AGRUP. VALOR. PTO.]:[AGRUP. VALOR. PTO.]]=$B39,IF(DATOS_[[Check Periodo Ref.]:[Check Periodo Ref.]]="Dentro",DATOS_[Conc.Sal.30]))))), 0)</f>
        <v>0</v>
      </c>
      <c r="AJ41" s="210" t="n">
        <f aca="false" t="array" ref="AJ41:AJ41">IFERROR( AVERAGE(IF(DATOS_[Sexo]=$B41,IF(DATOS_[AGRUP. VALOR. PTO.]=$B39,IF(DATOS_[Check Periodo Ref.]="Dentro",DATOS_[Tot COMPL.SAL Ef],0)))), 0)</f>
        <v>0</v>
      </c>
      <c r="AK41" s="211" t="n">
        <f aca="false" t="array" ref="AK41:AK41">IFERROR( AVERAGE(IF(DATOS_[Sexo]=$B41,IF(DATOS_[AGRUP. VALOR. PTO.]=$B39,IF(DATOS_[Check Periodo Ref.]="Dentro",DATOS_[TOTAL SALARIO Ef],0)))), 0)</f>
        <v>0</v>
      </c>
      <c r="AL41" s="212" t="n">
        <f aca="false" t="array" ref="AL41:AL41">IFERROR( AVERAGE((IF(DATOS_[[Sexo]:[Sexo]]=$B41,IF(DATOS_[[AGRUP. VALOR. PTO.]:[AGRUP. VALOR. PTO.]]=$B39,IF(DATOS_[[Check Periodo Ref.]:[Check Periodo Ref.]]="Dentro",DATOS_[C.Extra.01]))))), 0)</f>
        <v>0</v>
      </c>
      <c r="AM41" s="212" t="n">
        <f aca="false" t="array" ref="AM41:AM41">IFERROR( AVERAGE((IF(DATOS_[[Sexo]:[Sexo]]=$B41,IF(DATOS_[[AGRUP. VALOR. PTO.]:[AGRUP. VALOR. PTO.]]=$B39,IF(DATOS_[[Check Periodo Ref.]:[Check Periodo Ref.]]="Dentro",DATOS_[C.Extra.02]))))), 0)</f>
        <v>0</v>
      </c>
      <c r="AN41" s="212" t="n">
        <f aca="false" t="array" ref="AN41:AN41">IFERROR( AVERAGE((IF(DATOS_[[Sexo]:[Sexo]]=$B41,IF(DATOS_[[AGRUP. VALOR. PTO.]:[AGRUP. VALOR. PTO.]]=$B39,IF(DATOS_[[Check Periodo Ref.]:[Check Periodo Ref.]]="Dentro",DATOS_[C.Extra.03]))))), 0)</f>
        <v>0</v>
      </c>
      <c r="AO41" s="212" t="n">
        <f aca="false" t="array" ref="AO41:AO41">IFERROR( AVERAGE((IF(DATOS_[[Sexo]:[Sexo]]=$B41,IF(DATOS_[[AGRUP. VALOR. PTO.]:[AGRUP. VALOR. PTO.]]=$B39,IF(DATOS_[[Check Periodo Ref.]:[Check Periodo Ref.]]="Dentro",DATOS_[C.Extra.04]))))), 0)</f>
        <v>0</v>
      </c>
      <c r="AP41" s="212" t="n">
        <f aca="false" t="array" ref="AP41:AP41">IFERROR( AVERAGE((IF(DATOS_[[Sexo]:[Sexo]]=$B41,IF(DATOS_[[AGRUP. VALOR. PTO.]:[AGRUP. VALOR. PTO.]]=$B39,IF(DATOS_[[Check Periodo Ref.]:[Check Periodo Ref.]]="Dentro",DATOS_[C.Extra.05]))))), 0)</f>
        <v>0</v>
      </c>
      <c r="AQ41" s="213" t="n">
        <f aca="false" t="array" ref="AQ41:AQ41">IFERROR( AVERAGE(IF(DATOS_[Sexo]=$B41,IF(DATOS_[AGRUP. VALOR. PTO.]=$B39,IF(DATOS_[Check Periodo Ref.]="Dentro",DATOS_[Tot Extrasalarial Ef],0)))), 0)</f>
        <v>0</v>
      </c>
      <c r="AR41" s="214" t="n">
        <f aca="false" t="array" ref="AR41:AR41">IFERROR( AVERAGE(IF(DATOS_[Sexo]=$B41,IF(DATOS_[AGRUP. VALOR. PTO.]=$B39,IF(DATOS_[Check Periodo Ref.]="Dentro",DATOS_[TOTAL Retrib Ef],0)))), 0)</f>
        <v>0</v>
      </c>
    </row>
    <row r="42" customFormat="false" ht="15.75" hidden="false" customHeight="false" outlineLevel="0" collapsed="false">
      <c r="A42" s="191" t="str">
        <f aca="false">+A43</f>
        <v>[ocultar]</v>
      </c>
      <c r="B42" s="192" t="s">
        <v>196</v>
      </c>
      <c r="C42" s="193"/>
      <c r="D42" s="194"/>
      <c r="E42" s="195" t="str">
        <f aca="false">IFERROR((E43-E44)/E43,"")</f>
        <v/>
      </c>
      <c r="F42" s="196" t="str">
        <f aca="false">IFERROR((F43-F44)/F43,"")</f>
        <v/>
      </c>
      <c r="G42" s="197" t="str">
        <f aca="false">IFERROR((G43-G44)/G43,"")</f>
        <v/>
      </c>
      <c r="H42" s="197" t="str">
        <f aca="false">IFERROR((H43-H44)/H43,"")</f>
        <v/>
      </c>
      <c r="I42" s="197" t="str">
        <f aca="false">IFERROR((I43-I44)/I43,"")</f>
        <v/>
      </c>
      <c r="J42" s="198" t="str">
        <f aca="false">IFERROR((J43-J44)/J43,"")</f>
        <v/>
      </c>
      <c r="K42" s="199" t="str">
        <f aca="false">IFERROR((K43-K44)/K43,"")</f>
        <v/>
      </c>
      <c r="L42" s="199" t="str">
        <f aca="false">IFERROR((L43-L44)/L43,"")</f>
        <v/>
      </c>
      <c r="M42" s="199" t="str">
        <f aca="false">IFERROR((M43-M44)/M43,"")</f>
        <v/>
      </c>
      <c r="N42" s="199" t="str">
        <f aca="false">IFERROR((N43-N44)/N43,"")</f>
        <v/>
      </c>
      <c r="O42" s="199" t="str">
        <f aca="false">IFERROR((O43-O44)/O43,"")</f>
        <v/>
      </c>
      <c r="P42" s="199" t="str">
        <f aca="false">IFERROR((P43-P44)/P43,"")</f>
        <v/>
      </c>
      <c r="Q42" s="199" t="str">
        <f aca="false">IFERROR((Q43-Q44)/Q43,"")</f>
        <v/>
      </c>
      <c r="R42" s="199" t="str">
        <f aca="false">IFERROR((R43-R44)/R43,"")</f>
        <v/>
      </c>
      <c r="S42" s="199" t="str">
        <f aca="false">IFERROR((S43-S44)/S43,"")</f>
        <v/>
      </c>
      <c r="T42" s="199" t="str">
        <f aca="false">IFERROR((T43-T44)/T43,"")</f>
        <v/>
      </c>
      <c r="U42" s="199" t="str">
        <f aca="false">IFERROR((U43-U44)/U43,"")</f>
        <v/>
      </c>
      <c r="V42" s="198" t="str">
        <f aca="false">IFERROR((V43-V44)/V43,"")</f>
        <v/>
      </c>
      <c r="W42" s="198" t="str">
        <f aca="false">IFERROR((W43-W44)/W43,"")</f>
        <v/>
      </c>
      <c r="X42" s="198" t="str">
        <f aca="false">IFERROR((X43-X44)/X43,"")</f>
        <v/>
      </c>
      <c r="Y42" s="198" t="str">
        <f aca="false">IFERROR((Y43-Y44)/Y43,"")</f>
        <v/>
      </c>
      <c r="Z42" s="198" t="str">
        <f aca="false">IFERROR((Z43-Z44)/Z43,"")</f>
        <v/>
      </c>
      <c r="AA42" s="198" t="str">
        <f aca="false">IFERROR((AA43-AA44)/AA43,"")</f>
        <v/>
      </c>
      <c r="AB42" s="198" t="str">
        <f aca="false">IFERROR((AB43-AB44)/AB43,"")</f>
        <v/>
      </c>
      <c r="AC42" s="198" t="str">
        <f aca="false">IFERROR((AC43-AC44)/AC43,"")</f>
        <v/>
      </c>
      <c r="AD42" s="198" t="str">
        <f aca="false">IFERROR((AD43-AD44)/AD43,"")</f>
        <v/>
      </c>
      <c r="AE42" s="198" t="str">
        <f aca="false">IFERROR((AE43-AE44)/AE43,"")</f>
        <v/>
      </c>
      <c r="AF42" s="198" t="str">
        <f aca="false">IFERROR((AF43-AF44)/AF43,"")</f>
        <v/>
      </c>
      <c r="AG42" s="198" t="str">
        <f aca="false">IFERROR((AG43-AG44)/AG43,"")</f>
        <v/>
      </c>
      <c r="AH42" s="198" t="str">
        <f aca="false">IFERROR((AH43-AH44)/AH43,"")</f>
        <v/>
      </c>
      <c r="AI42" s="198" t="str">
        <f aca="false">IFERROR((AI43-AI44)/AI43,"")</f>
        <v/>
      </c>
      <c r="AJ42" s="200" t="str">
        <f aca="false">IFERROR((AJ43-AJ44)/AJ43,"")</f>
        <v/>
      </c>
      <c r="AK42" s="201" t="str">
        <f aca="false">IFERROR((AK43-AK44)/AK43,"")</f>
        <v/>
      </c>
      <c r="AL42" s="202" t="str">
        <f aca="false">IFERROR((AL43-AL44)/AL43,"")</f>
        <v/>
      </c>
      <c r="AM42" s="202" t="str">
        <f aca="false">IFERROR((AM43-AM44)/AM43,"")</f>
        <v/>
      </c>
      <c r="AN42" s="202" t="str">
        <f aca="false">IFERROR((AN43-AN44)/AN43,"")</f>
        <v/>
      </c>
      <c r="AO42" s="202" t="str">
        <f aca="false">IFERROR((AO43-AO44)/AO43,"")</f>
        <v/>
      </c>
      <c r="AP42" s="202" t="str">
        <f aca="false">IFERROR((AP43-AP44)/AP43,"")</f>
        <v/>
      </c>
      <c r="AQ42" s="203" t="str">
        <f aca="false">IFERROR((AQ43-AQ44)/AQ43,"")</f>
        <v/>
      </c>
      <c r="AR42" s="204" t="str">
        <f aca="false">IFERROR((AR43-AR44)/AR43,"")</f>
        <v/>
      </c>
    </row>
    <row r="43" customFormat="false" ht="14.25" hidden="false" customHeight="false" outlineLevel="0" collapsed="false">
      <c r="A43" s="191" t="str">
        <f aca="false">+IF(C43+C44=0,"[ocultar]","")</f>
        <v>[ocultar]</v>
      </c>
      <c r="B43" s="205" t="s">
        <v>371</v>
      </c>
      <c r="C43" s="206" t="n">
        <f aca="false" t="array" ref="C43:C43">SUM(IF($B43=DATOS_[Sexo], IF($B42=DATOS_[AGRUP. VALOR. PTO.], IF("Dentro"=DATOS_[Check Periodo Ref.], 1/(COUNTIFS(DATOS_[Sexo],$B43,DATOS_[AGRUP. VALOR. PTO.],$B42,DATOS_[Check Periodo Ref.],"Dentro",DATOS_[id],DATOS_[id]))))))</f>
        <v>0</v>
      </c>
      <c r="D43" s="207" t="n">
        <f aca="false">COUNTIFS(DATOS_[AGRUP. VALOR. PTO.],$B42,DATOS_[Sexo],$B43,DATOS_[Check Periodo Ref.],"Dentro")</f>
        <v>0</v>
      </c>
      <c r="E43" s="208" t="n">
        <f aca="false" t="array" ref="E43:E43">IFERROR( AVERAGE(IF(DATOS_[Sexo]=$B43,IF(DATOS_[AGRUP. VALOR. PTO.]=$B42,IF(DATOS_[Check Periodo Ref.]="Dentro",DATOS_[SALARIO BASE Ef],0)))), 0)</f>
        <v>0</v>
      </c>
      <c r="F43" s="209" t="n">
        <f aca="false" t="array" ref="F43:F43">IFERROR( AVERAGE((IF(DATOS_[[Sexo]:[Sexo]]=$B43,IF(DATOS_[[AGRUP. VALOR. PTO.]:[AGRUP. VALOR. PTO.]]=$B42,IF(DATOS_[[Check Periodo Ref.]:[Check Periodo Ref.]]="Dentro",DATOS_[Conc.Sal.01]))))), 0)</f>
        <v>0</v>
      </c>
      <c r="G43" s="209" t="n">
        <f aca="false" t="array" ref="G43:G43">IFERROR( AVERAGE((IF(DATOS_[[Sexo]:[Sexo]]=$B43,IF(DATOS_[[AGRUP. VALOR. PTO.]:[AGRUP. VALOR. PTO.]]=$B42,IF(DATOS_[[Check Periodo Ref.]:[Check Periodo Ref.]]="Dentro",DATOS_[Conc.Sal.02]))))), 0)</f>
        <v>0</v>
      </c>
      <c r="H43" s="209" t="n">
        <f aca="false" t="array" ref="H43:H43">IFERROR( AVERAGE((IF(DATOS_[[Sexo]:[Sexo]]=$B43,IF(DATOS_[[AGRUP. VALOR. PTO.]:[AGRUP. VALOR. PTO.]]=$B42,IF(DATOS_[[Check Periodo Ref.]:[Check Periodo Ref.]]="Dentro",DATOS_[Conc.Sal.03]))))), 0)</f>
        <v>0</v>
      </c>
      <c r="I43" s="209" t="n">
        <f aca="false" t="array" ref="I43:I43">IFERROR( AVERAGE((IF(DATOS_[[Sexo]:[Sexo]]=$B43,IF(DATOS_[[AGRUP. VALOR. PTO.]:[AGRUP. VALOR. PTO.]]=$B42,IF(DATOS_[[Check Periodo Ref.]:[Check Periodo Ref.]]="Dentro",DATOS_[Conc.Sal.04]))))), 0)</f>
        <v>0</v>
      </c>
      <c r="J43" s="209" t="n">
        <f aca="false" t="array" ref="J43:J43">IFERROR( AVERAGE((IF(DATOS_[[Sexo]:[Sexo]]=$B43,IF(DATOS_[[AGRUP. VALOR. PTO.]:[AGRUP. VALOR. PTO.]]=$B42,IF(DATOS_[[Check Periodo Ref.]:[Check Periodo Ref.]]="Dentro",DATOS_[Conc.Sal.05]))))), 0)</f>
        <v>0</v>
      </c>
      <c r="K43" s="209" t="n">
        <f aca="false" t="array" ref="K43:K43">IFERROR( AVERAGE((IF(DATOS_[[Sexo]:[Sexo]]=$B43,IF(DATOS_[[AGRUP. VALOR. PTO.]:[AGRUP. VALOR. PTO.]]=$B42,IF(DATOS_[[Check Periodo Ref.]:[Check Periodo Ref.]]="Dentro",DATOS_[Conc.Sal.06]))))), 0)</f>
        <v>0</v>
      </c>
      <c r="L43" s="209" t="n">
        <f aca="false" t="array" ref="L43:L43">IFERROR( AVERAGE((IF(DATOS_[[Sexo]:[Sexo]]=$B43,IF(DATOS_[[AGRUP. VALOR. PTO.]:[AGRUP. VALOR. PTO.]]=$B42,IF(DATOS_[[Check Periodo Ref.]:[Check Periodo Ref.]]="Dentro",DATOS_[Conc.Sal.07]))))), 0)</f>
        <v>0</v>
      </c>
      <c r="M43" s="209" t="n">
        <f aca="false" t="array" ref="M43:M43">IFERROR( AVERAGE((IF(DATOS_[[Sexo]:[Sexo]]=$B43,IF(DATOS_[[AGRUP. VALOR. PTO.]:[AGRUP. VALOR. PTO.]]=$B42,IF(DATOS_[[Check Periodo Ref.]:[Check Periodo Ref.]]="Dentro",DATOS_[Conc.Sal.08]))))), 0)</f>
        <v>0</v>
      </c>
      <c r="N43" s="209" t="n">
        <f aca="false" t="array" ref="N43:N43">IFERROR( AVERAGE((IF(DATOS_[[Sexo]:[Sexo]]=$B43,IF(DATOS_[[AGRUP. VALOR. PTO.]:[AGRUP. VALOR. PTO.]]=$B42,IF(DATOS_[[Check Periodo Ref.]:[Check Periodo Ref.]]="Dentro",DATOS_[Conc.Sal.09]))))), 0)</f>
        <v>0</v>
      </c>
      <c r="O43" s="209" t="n">
        <f aca="false" t="array" ref="O43:O43">IFERROR( AVERAGE((IF(DATOS_[[Sexo]:[Sexo]]=$B43,IF(DATOS_[[AGRUP. VALOR. PTO.]:[AGRUP. VALOR. PTO.]]=$B42,IF(DATOS_[[Check Periodo Ref.]:[Check Periodo Ref.]]="Dentro",DATOS_[Conc.Sal.10]))))), 0)</f>
        <v>0</v>
      </c>
      <c r="P43" s="209" t="n">
        <f aca="false" t="array" ref="P43:P43">IFERROR( AVERAGE((IF(DATOS_[[Sexo]:[Sexo]]=$B43,IF(DATOS_[[AGRUP. VALOR. PTO.]:[AGRUP. VALOR. PTO.]]=$B42,IF(DATOS_[[Check Periodo Ref.]:[Check Periodo Ref.]]="Dentro",DATOS_[Conc.Sal.11]))))), 0)</f>
        <v>0</v>
      </c>
      <c r="Q43" s="209" t="n">
        <f aca="false" t="array" ref="Q43:Q43">IFERROR( AVERAGE((IF(DATOS_[[Sexo]:[Sexo]]=$B43,IF(DATOS_[[AGRUP. VALOR. PTO.]:[AGRUP. VALOR. PTO.]]=$B42,IF(DATOS_[[Check Periodo Ref.]:[Check Periodo Ref.]]="Dentro",DATOS_[Conc.Sal.12]))))), 0)</f>
        <v>0</v>
      </c>
      <c r="R43" s="209" t="n">
        <f aca="false" t="array" ref="R43:R43">IFERROR( AVERAGE((IF(DATOS_[[Sexo]:[Sexo]]=$B43,IF(DATOS_[[AGRUP. VALOR. PTO.]:[AGRUP. VALOR. PTO.]]=$B42,IF(DATOS_[[Check Periodo Ref.]:[Check Periodo Ref.]]="Dentro",DATOS_[Conc.Sal.13]))))), 0)</f>
        <v>0</v>
      </c>
      <c r="S43" s="209" t="n">
        <f aca="false" t="array" ref="S43:S43">IFERROR( AVERAGE((IF(DATOS_[[Sexo]:[Sexo]]=$B43,IF(DATOS_[[AGRUP. VALOR. PTO.]:[AGRUP. VALOR. PTO.]]=$B42,IF(DATOS_[[Check Periodo Ref.]:[Check Periodo Ref.]]="Dentro",DATOS_[Conc.Sal.14]))))), 0)</f>
        <v>0</v>
      </c>
      <c r="T43" s="209" t="n">
        <f aca="false" t="array" ref="T43:T43">IFERROR( AVERAGE((IF(DATOS_[[Sexo]:[Sexo]]=$B43,IF(DATOS_[[AGRUP. VALOR. PTO.]:[AGRUP. VALOR. PTO.]]=$B42,IF(DATOS_[[Check Periodo Ref.]:[Check Periodo Ref.]]="Dentro",DATOS_[Conc.Sal.15]))))), 0)</f>
        <v>0</v>
      </c>
      <c r="U43" s="209" t="n">
        <f aca="false" t="array" ref="U43:U43">IFERROR( AVERAGE((IF(DATOS_[[Sexo]:[Sexo]]=$B43,IF(DATOS_[[AGRUP. VALOR. PTO.]:[AGRUP. VALOR. PTO.]]=$B42,IF(DATOS_[[Check Periodo Ref.]:[Check Periodo Ref.]]="Dentro",DATOS_[Conc.Sal.16]))))), 0)</f>
        <v>0</v>
      </c>
      <c r="V43" s="209" t="n">
        <f aca="false" t="array" ref="V43:V43">IFERROR( AVERAGE((IF(DATOS_[[Sexo]:[Sexo]]=$B43,IF(DATOS_[[AGRUP. VALOR. PTO.]:[AGRUP. VALOR. PTO.]]=$B42,IF(DATOS_[[Check Periodo Ref.]:[Check Periodo Ref.]]="Dentro",DATOS_[Conc.Sal.17]))))), 0)</f>
        <v>0</v>
      </c>
      <c r="W43" s="209" t="n">
        <f aca="false" t="array" ref="W43:W43">IFERROR( AVERAGE((IF(DATOS_[[Sexo]:[Sexo]]=$B43,IF(DATOS_[[AGRUP. VALOR. PTO.]:[AGRUP. VALOR. PTO.]]=$B42,IF(DATOS_[[Check Periodo Ref.]:[Check Periodo Ref.]]="Dentro",DATOS_[Conc.Sal.18]))))), 0)</f>
        <v>0</v>
      </c>
      <c r="X43" s="209" t="n">
        <f aca="false" t="array" ref="X43:X43">IFERROR( AVERAGE((IF(DATOS_[[Sexo]:[Sexo]]=$B43,IF(DATOS_[[AGRUP. VALOR. PTO.]:[AGRUP. VALOR. PTO.]]=$B42,IF(DATOS_[[Check Periodo Ref.]:[Check Periodo Ref.]]="Dentro",DATOS_[Conc.Sal.19]))))), 0)</f>
        <v>0</v>
      </c>
      <c r="Y43" s="209" t="n">
        <f aca="false" t="array" ref="Y43:Y43">IFERROR( AVERAGE((IF(DATOS_[[Sexo]:[Sexo]]=$B43,IF(DATOS_[[AGRUP. VALOR. PTO.]:[AGRUP. VALOR. PTO.]]=$B42,IF(DATOS_[[Check Periodo Ref.]:[Check Periodo Ref.]]="Dentro",DATOS_[Conc.Sal.20]))))), 0)</f>
        <v>0</v>
      </c>
      <c r="Z43" s="209" t="n">
        <f aca="false" t="array" ref="Z43:Z43">IFERROR( AVERAGE((IF(DATOS_[[Sexo]:[Sexo]]=$B43,IF(DATOS_[[AGRUP. VALOR. PTO.]:[AGRUP. VALOR. PTO.]]=$B42,IF(DATOS_[[Check Periodo Ref.]:[Check Periodo Ref.]]="Dentro",DATOS_[Conc.Sal.21]))))), 0)</f>
        <v>0</v>
      </c>
      <c r="AA43" s="209" t="n">
        <f aca="false" t="array" ref="AA43:AA43">IFERROR( AVERAGE((IF(DATOS_[[Sexo]:[Sexo]]=$B43,IF(DATOS_[[AGRUP. VALOR. PTO.]:[AGRUP. VALOR. PTO.]]=$B42,IF(DATOS_[[Check Periodo Ref.]:[Check Periodo Ref.]]="Dentro",DATOS_[Conc.Sal.22]))))), 0)</f>
        <v>0</v>
      </c>
      <c r="AB43" s="209" t="n">
        <f aca="false" t="array" ref="AB43:AB43">IFERROR( AVERAGE((IF(DATOS_[[Sexo]:[Sexo]]=$B43,IF(DATOS_[[AGRUP. VALOR. PTO.]:[AGRUP. VALOR. PTO.]]=$B42,IF(DATOS_[[Check Periodo Ref.]:[Check Periodo Ref.]]="Dentro",DATOS_[Conc.Sal.23]))))), 0)</f>
        <v>0</v>
      </c>
      <c r="AC43" s="209" t="n">
        <f aca="false" t="array" ref="AC43:AC43">IFERROR( AVERAGE((IF(DATOS_[[Sexo]:[Sexo]]=$B43,IF(DATOS_[[AGRUP. VALOR. PTO.]:[AGRUP. VALOR. PTO.]]=$B42,IF(DATOS_[[Check Periodo Ref.]:[Check Periodo Ref.]]="Dentro",DATOS_[Conc.Sal.24]))))), 0)</f>
        <v>0</v>
      </c>
      <c r="AD43" s="209" t="n">
        <f aca="false" t="array" ref="AD43:AD43">IFERROR( AVERAGE((IF(DATOS_[[Sexo]:[Sexo]]=$B43,IF(DATOS_[[AGRUP. VALOR. PTO.]:[AGRUP. VALOR. PTO.]]=$B42,IF(DATOS_[[Check Periodo Ref.]:[Check Periodo Ref.]]="Dentro",DATOS_[Conc.Sal.25]))))), 0)</f>
        <v>0</v>
      </c>
      <c r="AE43" s="209" t="n">
        <f aca="false" t="array" ref="AE43:AE43">IFERROR( AVERAGE((IF(DATOS_[[Sexo]:[Sexo]]=$B43,IF(DATOS_[[AGRUP. VALOR. PTO.]:[AGRUP. VALOR. PTO.]]=$B42,IF(DATOS_[[Check Periodo Ref.]:[Check Periodo Ref.]]="Dentro",DATOS_[Conc.Sal.26]))))), 0)</f>
        <v>0</v>
      </c>
      <c r="AF43" s="209" t="n">
        <f aca="false" t="array" ref="AF43:AF43">IFERROR( AVERAGE((IF(DATOS_[[Sexo]:[Sexo]]=$B43,IF(DATOS_[[AGRUP. VALOR. PTO.]:[AGRUP. VALOR. PTO.]]=$B42,IF(DATOS_[[Check Periodo Ref.]:[Check Periodo Ref.]]="Dentro",DATOS_[Conc.Sal.27]))))), 0)</f>
        <v>0</v>
      </c>
      <c r="AG43" s="209" t="n">
        <f aca="false" t="array" ref="AG43:AG43">IFERROR( AVERAGE((IF(DATOS_[[Sexo]:[Sexo]]=$B43,IF(DATOS_[[AGRUP. VALOR. PTO.]:[AGRUP. VALOR. PTO.]]=$B42,IF(DATOS_[[Check Periodo Ref.]:[Check Periodo Ref.]]="Dentro",DATOS_[Conc.Sal.28]))))), 0)</f>
        <v>0</v>
      </c>
      <c r="AH43" s="209" t="n">
        <f aca="false" t="array" ref="AH43:AH43">IFERROR( AVERAGE((IF(DATOS_[[Sexo]:[Sexo]]=$B43,IF(DATOS_[[AGRUP. VALOR. PTO.]:[AGRUP. VALOR. PTO.]]=$B42,IF(DATOS_[[Check Periodo Ref.]:[Check Periodo Ref.]]="Dentro",DATOS_[Conc.Sal.29]))))), 0)</f>
        <v>0</v>
      </c>
      <c r="AI43" s="209" t="n">
        <f aca="false" t="array" ref="AI43:AI43">IFERROR( AVERAGE((IF(DATOS_[[Sexo]:[Sexo]]=$B43,IF(DATOS_[[AGRUP. VALOR. PTO.]:[AGRUP. VALOR. PTO.]]=$B42,IF(DATOS_[[Check Periodo Ref.]:[Check Periodo Ref.]]="Dentro",DATOS_[Conc.Sal.30]))))), 0)</f>
        <v>0</v>
      </c>
      <c r="AJ43" s="210" t="n">
        <f aca="false" t="array" ref="AJ43:AJ43">IFERROR( AVERAGE(IF(DATOS_[Sexo]=$B43,IF(DATOS_[AGRUP. VALOR. PTO.]=$B42,IF(DATOS_[Check Periodo Ref.]="Dentro",DATOS_[Tot COMPL.SAL Ef],0)))), 0)</f>
        <v>0</v>
      </c>
      <c r="AK43" s="211" t="n">
        <f aca="false" t="array" ref="AK43:AK43">IFERROR( AVERAGE(IF(DATOS_[Sexo]=$B43,IF(DATOS_[AGRUP. VALOR. PTO.]=$B42,IF(DATOS_[Check Periodo Ref.]="Dentro",DATOS_[TOTAL SALARIO Ef],0)))), 0)</f>
        <v>0</v>
      </c>
      <c r="AL43" s="212" t="n">
        <f aca="false" t="array" ref="AL43:AL43">IFERROR( AVERAGE((IF(DATOS_[[Sexo]:[Sexo]]=$B43,IF(DATOS_[[AGRUP. VALOR. PTO.]:[AGRUP. VALOR. PTO.]]=$B42,IF(DATOS_[[Check Periodo Ref.]:[Check Periodo Ref.]]="Dentro",DATOS_[C.Extra.01]))))), 0)</f>
        <v>0</v>
      </c>
      <c r="AM43" s="212" t="n">
        <f aca="false" t="array" ref="AM43:AM43">IFERROR( AVERAGE((IF(DATOS_[[Sexo]:[Sexo]]=$B43,IF(DATOS_[[AGRUP. VALOR. PTO.]:[AGRUP. VALOR. PTO.]]=$B42,IF(DATOS_[[Check Periodo Ref.]:[Check Periodo Ref.]]="Dentro",DATOS_[C.Extra.02]))))), 0)</f>
        <v>0</v>
      </c>
      <c r="AN43" s="212" t="n">
        <f aca="false" t="array" ref="AN43:AN43">IFERROR( AVERAGE((IF(DATOS_[[Sexo]:[Sexo]]=$B43,IF(DATOS_[[AGRUP. VALOR. PTO.]:[AGRUP. VALOR. PTO.]]=$B42,IF(DATOS_[[Check Periodo Ref.]:[Check Periodo Ref.]]="Dentro",DATOS_[C.Extra.03]))))), 0)</f>
        <v>0</v>
      </c>
      <c r="AO43" s="212" t="n">
        <f aca="false" t="array" ref="AO43:AO43">IFERROR( AVERAGE((IF(DATOS_[[Sexo]:[Sexo]]=$B43,IF(DATOS_[[AGRUP. VALOR. PTO.]:[AGRUP. VALOR. PTO.]]=$B42,IF(DATOS_[[Check Periodo Ref.]:[Check Periodo Ref.]]="Dentro",DATOS_[C.Extra.04]))))), 0)</f>
        <v>0</v>
      </c>
      <c r="AP43" s="212" t="n">
        <f aca="false" t="array" ref="AP43:AP43">IFERROR( AVERAGE((IF(DATOS_[[Sexo]:[Sexo]]=$B43,IF(DATOS_[[AGRUP. VALOR. PTO.]:[AGRUP. VALOR. PTO.]]=$B42,IF(DATOS_[[Check Periodo Ref.]:[Check Periodo Ref.]]="Dentro",DATOS_[C.Extra.05]))))), 0)</f>
        <v>0</v>
      </c>
      <c r="AQ43" s="213" t="n">
        <f aca="false" t="array" ref="AQ43:AQ43">IFERROR( AVERAGE(IF(DATOS_[Sexo]=$B43,IF(DATOS_[AGRUP. VALOR. PTO.]=$B42,IF(DATOS_[Check Periodo Ref.]="Dentro",DATOS_[Tot Extrasalarial Ef],0)))), 0)</f>
        <v>0</v>
      </c>
      <c r="AR43" s="214" t="n">
        <f aca="false" t="array" ref="AR43:AR43">IFERROR( AVERAGE(IF(DATOS_[Sexo]=$B43,IF(DATOS_[AGRUP. VALOR. PTO.]=$B42,IF(DATOS_[Check Periodo Ref.]="Dentro",DATOS_[TOTAL Retrib Ef],0)))), 0)</f>
        <v>0</v>
      </c>
    </row>
    <row r="44" customFormat="false" ht="14.25" hidden="false" customHeight="false" outlineLevel="0" collapsed="false">
      <c r="A44" s="191" t="str">
        <f aca="false">+A43</f>
        <v>[ocultar]</v>
      </c>
      <c r="B44" s="205" t="s">
        <v>372</v>
      </c>
      <c r="C44" s="206" t="n">
        <f aca="false" t="array" ref="C44:C44">SUM(IF($B44=DATOS_[Sexo], IF($B42=DATOS_[AGRUP. VALOR. PTO.], IF("Dentro"=DATOS_[Check Periodo Ref.], 1/(COUNTIFS(DATOS_[Sexo],$B44,DATOS_[AGRUP. VALOR. PTO.],$B42,DATOS_[Check Periodo Ref.],"Dentro",DATOS_[id],DATOS_[id]))))))</f>
        <v>0</v>
      </c>
      <c r="D44" s="207" t="n">
        <f aca="false">COUNTIFS(DATOS_[AGRUP. VALOR. PTO.],$B42,DATOS_[Sexo],$B44,DATOS_[Check Periodo Ref.],"Dentro")</f>
        <v>0</v>
      </c>
      <c r="E44" s="208" t="n">
        <f aca="false" t="array" ref="E44:E44">IFERROR( AVERAGE(IF(DATOS_[Sexo]=$B44,IF(DATOS_[AGRUP. VALOR. PTO.]=$B42,IF(DATOS_[Check Periodo Ref.]="Dentro",DATOS_[SALARIO BASE Ef],0)))), 0)</f>
        <v>0</v>
      </c>
      <c r="F44" s="209" t="n">
        <f aca="false" t="array" ref="F44:F44">IFERROR( AVERAGE((IF(DATOS_[[Sexo]:[Sexo]]=$B44,IF(DATOS_[[AGRUP. VALOR. PTO.]:[AGRUP. VALOR. PTO.]]=$B42,IF(DATOS_[[Check Periodo Ref.]:[Check Periodo Ref.]]="Dentro",DATOS_[Conc.Sal.01]))))), 0)</f>
        <v>0</v>
      </c>
      <c r="G44" s="209" t="n">
        <f aca="false" t="array" ref="G44:G44">IFERROR( AVERAGE((IF(DATOS_[[Sexo]:[Sexo]]=$B44,IF(DATOS_[[AGRUP. VALOR. PTO.]:[AGRUP. VALOR. PTO.]]=$B42,IF(DATOS_[[Check Periodo Ref.]:[Check Periodo Ref.]]="Dentro",DATOS_[Conc.Sal.02]))))), 0)</f>
        <v>0</v>
      </c>
      <c r="H44" s="209" t="n">
        <f aca="false" t="array" ref="H44:H44">IFERROR( AVERAGE((IF(DATOS_[[Sexo]:[Sexo]]=$B44,IF(DATOS_[[AGRUP. VALOR. PTO.]:[AGRUP. VALOR. PTO.]]=$B42,IF(DATOS_[[Check Periodo Ref.]:[Check Periodo Ref.]]="Dentro",DATOS_[Conc.Sal.03]))))), 0)</f>
        <v>0</v>
      </c>
      <c r="I44" s="209" t="n">
        <f aca="false" t="array" ref="I44:I44">IFERROR( AVERAGE((IF(DATOS_[[Sexo]:[Sexo]]=$B44,IF(DATOS_[[AGRUP. VALOR. PTO.]:[AGRUP. VALOR. PTO.]]=$B42,IF(DATOS_[[Check Periodo Ref.]:[Check Periodo Ref.]]="Dentro",DATOS_[Conc.Sal.04]))))), 0)</f>
        <v>0</v>
      </c>
      <c r="J44" s="209" t="n">
        <f aca="false" t="array" ref="J44:J44">IFERROR( AVERAGE((IF(DATOS_[[Sexo]:[Sexo]]=$B44,IF(DATOS_[[AGRUP. VALOR. PTO.]:[AGRUP. VALOR. PTO.]]=$B42,IF(DATOS_[[Check Periodo Ref.]:[Check Periodo Ref.]]="Dentro",DATOS_[Conc.Sal.05]))))), 0)</f>
        <v>0</v>
      </c>
      <c r="K44" s="209" t="n">
        <f aca="false" t="array" ref="K44:K44">IFERROR( AVERAGE((IF(DATOS_[[Sexo]:[Sexo]]=$B44,IF(DATOS_[[AGRUP. VALOR. PTO.]:[AGRUP. VALOR. PTO.]]=$B42,IF(DATOS_[[Check Periodo Ref.]:[Check Periodo Ref.]]="Dentro",DATOS_[Conc.Sal.06]))))), 0)</f>
        <v>0</v>
      </c>
      <c r="L44" s="209" t="n">
        <f aca="false" t="array" ref="L44:L44">IFERROR( AVERAGE((IF(DATOS_[[Sexo]:[Sexo]]=$B44,IF(DATOS_[[AGRUP. VALOR. PTO.]:[AGRUP. VALOR. PTO.]]=$B42,IF(DATOS_[[Check Periodo Ref.]:[Check Periodo Ref.]]="Dentro",DATOS_[Conc.Sal.07]))))), 0)</f>
        <v>0</v>
      </c>
      <c r="M44" s="209" t="n">
        <f aca="false" t="array" ref="M44:M44">IFERROR( AVERAGE((IF(DATOS_[[Sexo]:[Sexo]]=$B44,IF(DATOS_[[AGRUP. VALOR. PTO.]:[AGRUP. VALOR. PTO.]]=$B42,IF(DATOS_[[Check Periodo Ref.]:[Check Periodo Ref.]]="Dentro",DATOS_[Conc.Sal.08]))))), 0)</f>
        <v>0</v>
      </c>
      <c r="N44" s="209" t="n">
        <f aca="false" t="array" ref="N44:N44">IFERROR( AVERAGE((IF(DATOS_[[Sexo]:[Sexo]]=$B44,IF(DATOS_[[AGRUP. VALOR. PTO.]:[AGRUP. VALOR. PTO.]]=$B42,IF(DATOS_[[Check Periodo Ref.]:[Check Periodo Ref.]]="Dentro",DATOS_[Conc.Sal.09]))))), 0)</f>
        <v>0</v>
      </c>
      <c r="O44" s="209" t="n">
        <f aca="false" t="array" ref="O44:O44">IFERROR( AVERAGE((IF(DATOS_[[Sexo]:[Sexo]]=$B44,IF(DATOS_[[AGRUP. VALOR. PTO.]:[AGRUP. VALOR. PTO.]]=$B42,IF(DATOS_[[Check Periodo Ref.]:[Check Periodo Ref.]]="Dentro",DATOS_[Conc.Sal.10]))))), 0)</f>
        <v>0</v>
      </c>
      <c r="P44" s="209" t="n">
        <f aca="false" t="array" ref="P44:P44">IFERROR( AVERAGE((IF(DATOS_[[Sexo]:[Sexo]]=$B44,IF(DATOS_[[AGRUP. VALOR. PTO.]:[AGRUP. VALOR. PTO.]]=$B42,IF(DATOS_[[Check Periodo Ref.]:[Check Periodo Ref.]]="Dentro",DATOS_[Conc.Sal.11]))))), 0)</f>
        <v>0</v>
      </c>
      <c r="Q44" s="209" t="n">
        <f aca="false" t="array" ref="Q44:Q44">IFERROR( AVERAGE((IF(DATOS_[[Sexo]:[Sexo]]=$B44,IF(DATOS_[[AGRUP. VALOR. PTO.]:[AGRUP. VALOR. PTO.]]=$B42,IF(DATOS_[[Check Periodo Ref.]:[Check Periodo Ref.]]="Dentro",DATOS_[Conc.Sal.12]))))), 0)</f>
        <v>0</v>
      </c>
      <c r="R44" s="209" t="n">
        <f aca="false" t="array" ref="R44:R44">IFERROR( AVERAGE((IF(DATOS_[[Sexo]:[Sexo]]=$B44,IF(DATOS_[[AGRUP. VALOR. PTO.]:[AGRUP. VALOR. PTO.]]=$B42,IF(DATOS_[[Check Periodo Ref.]:[Check Periodo Ref.]]="Dentro",DATOS_[Conc.Sal.13]))))), 0)</f>
        <v>0</v>
      </c>
      <c r="S44" s="209" t="n">
        <f aca="false" t="array" ref="S44:S44">IFERROR( AVERAGE((IF(DATOS_[[Sexo]:[Sexo]]=$B44,IF(DATOS_[[AGRUP. VALOR. PTO.]:[AGRUP. VALOR. PTO.]]=$B42,IF(DATOS_[[Check Periodo Ref.]:[Check Periodo Ref.]]="Dentro",DATOS_[Conc.Sal.14]))))), 0)</f>
        <v>0</v>
      </c>
      <c r="T44" s="209" t="n">
        <f aca="false" t="array" ref="T44:T44">IFERROR( AVERAGE((IF(DATOS_[[Sexo]:[Sexo]]=$B44,IF(DATOS_[[AGRUP. VALOR. PTO.]:[AGRUP. VALOR. PTO.]]=$B42,IF(DATOS_[[Check Periodo Ref.]:[Check Periodo Ref.]]="Dentro",DATOS_[Conc.Sal.15]))))), 0)</f>
        <v>0</v>
      </c>
      <c r="U44" s="209" t="n">
        <f aca="false" t="array" ref="U44:U44">IFERROR( AVERAGE((IF(DATOS_[[Sexo]:[Sexo]]=$B44,IF(DATOS_[[AGRUP. VALOR. PTO.]:[AGRUP. VALOR. PTO.]]=$B42,IF(DATOS_[[Check Periodo Ref.]:[Check Periodo Ref.]]="Dentro",DATOS_[Conc.Sal.16]))))), 0)</f>
        <v>0</v>
      </c>
      <c r="V44" s="209" t="n">
        <f aca="false" t="array" ref="V44:V44">IFERROR( AVERAGE((IF(DATOS_[[Sexo]:[Sexo]]=$B44,IF(DATOS_[[AGRUP. VALOR. PTO.]:[AGRUP. VALOR. PTO.]]=$B42,IF(DATOS_[[Check Periodo Ref.]:[Check Periodo Ref.]]="Dentro",DATOS_[Conc.Sal.17]))))), 0)</f>
        <v>0</v>
      </c>
      <c r="W44" s="209" t="n">
        <f aca="false" t="array" ref="W44:W44">IFERROR( AVERAGE((IF(DATOS_[[Sexo]:[Sexo]]=$B44,IF(DATOS_[[AGRUP. VALOR. PTO.]:[AGRUP. VALOR. PTO.]]=$B42,IF(DATOS_[[Check Periodo Ref.]:[Check Periodo Ref.]]="Dentro",DATOS_[Conc.Sal.18]))))), 0)</f>
        <v>0</v>
      </c>
      <c r="X44" s="209" t="n">
        <f aca="false" t="array" ref="X44:X44">IFERROR( AVERAGE((IF(DATOS_[[Sexo]:[Sexo]]=$B44,IF(DATOS_[[AGRUP. VALOR. PTO.]:[AGRUP. VALOR. PTO.]]=$B42,IF(DATOS_[[Check Periodo Ref.]:[Check Periodo Ref.]]="Dentro",DATOS_[Conc.Sal.19]))))), 0)</f>
        <v>0</v>
      </c>
      <c r="Y44" s="209" t="n">
        <f aca="false" t="array" ref="Y44:Y44">IFERROR( AVERAGE((IF(DATOS_[[Sexo]:[Sexo]]=$B44,IF(DATOS_[[AGRUP. VALOR. PTO.]:[AGRUP. VALOR. PTO.]]=$B42,IF(DATOS_[[Check Periodo Ref.]:[Check Periodo Ref.]]="Dentro",DATOS_[Conc.Sal.20]))))), 0)</f>
        <v>0</v>
      </c>
      <c r="Z44" s="209" t="n">
        <f aca="false" t="array" ref="Z44:Z44">IFERROR( AVERAGE((IF(DATOS_[[Sexo]:[Sexo]]=$B44,IF(DATOS_[[AGRUP. VALOR. PTO.]:[AGRUP. VALOR. PTO.]]=$B42,IF(DATOS_[[Check Periodo Ref.]:[Check Periodo Ref.]]="Dentro",DATOS_[Conc.Sal.21]))))), 0)</f>
        <v>0</v>
      </c>
      <c r="AA44" s="209" t="n">
        <f aca="false" t="array" ref="AA44:AA44">IFERROR( AVERAGE((IF(DATOS_[[Sexo]:[Sexo]]=$B44,IF(DATOS_[[AGRUP. VALOR. PTO.]:[AGRUP. VALOR. PTO.]]=$B42,IF(DATOS_[[Check Periodo Ref.]:[Check Periodo Ref.]]="Dentro",DATOS_[Conc.Sal.22]))))), 0)</f>
        <v>0</v>
      </c>
      <c r="AB44" s="209" t="n">
        <f aca="false" t="array" ref="AB44:AB44">IFERROR( AVERAGE((IF(DATOS_[[Sexo]:[Sexo]]=$B44,IF(DATOS_[[AGRUP. VALOR. PTO.]:[AGRUP. VALOR. PTO.]]=$B42,IF(DATOS_[[Check Periodo Ref.]:[Check Periodo Ref.]]="Dentro",DATOS_[Conc.Sal.23]))))), 0)</f>
        <v>0</v>
      </c>
      <c r="AC44" s="209" t="n">
        <f aca="false" t="array" ref="AC44:AC44">IFERROR( AVERAGE((IF(DATOS_[[Sexo]:[Sexo]]=$B44,IF(DATOS_[[AGRUP. VALOR. PTO.]:[AGRUP. VALOR. PTO.]]=$B42,IF(DATOS_[[Check Periodo Ref.]:[Check Periodo Ref.]]="Dentro",DATOS_[Conc.Sal.24]))))), 0)</f>
        <v>0</v>
      </c>
      <c r="AD44" s="209" t="n">
        <f aca="false" t="array" ref="AD44:AD44">IFERROR( AVERAGE((IF(DATOS_[[Sexo]:[Sexo]]=$B44,IF(DATOS_[[AGRUP. VALOR. PTO.]:[AGRUP. VALOR. PTO.]]=$B42,IF(DATOS_[[Check Periodo Ref.]:[Check Periodo Ref.]]="Dentro",DATOS_[Conc.Sal.25]))))), 0)</f>
        <v>0</v>
      </c>
      <c r="AE44" s="209" t="n">
        <f aca="false" t="array" ref="AE44:AE44">IFERROR( AVERAGE((IF(DATOS_[[Sexo]:[Sexo]]=$B44,IF(DATOS_[[AGRUP. VALOR. PTO.]:[AGRUP. VALOR. PTO.]]=$B42,IF(DATOS_[[Check Periodo Ref.]:[Check Periodo Ref.]]="Dentro",DATOS_[Conc.Sal.26]))))), 0)</f>
        <v>0</v>
      </c>
      <c r="AF44" s="209" t="n">
        <f aca="false" t="array" ref="AF44:AF44">IFERROR( AVERAGE((IF(DATOS_[[Sexo]:[Sexo]]=$B44,IF(DATOS_[[AGRUP. VALOR. PTO.]:[AGRUP. VALOR. PTO.]]=$B42,IF(DATOS_[[Check Periodo Ref.]:[Check Periodo Ref.]]="Dentro",DATOS_[Conc.Sal.27]))))), 0)</f>
        <v>0</v>
      </c>
      <c r="AG44" s="209" t="n">
        <f aca="false" t="array" ref="AG44:AG44">IFERROR( AVERAGE((IF(DATOS_[[Sexo]:[Sexo]]=$B44,IF(DATOS_[[AGRUP. VALOR. PTO.]:[AGRUP. VALOR. PTO.]]=$B42,IF(DATOS_[[Check Periodo Ref.]:[Check Periodo Ref.]]="Dentro",DATOS_[Conc.Sal.28]))))), 0)</f>
        <v>0</v>
      </c>
      <c r="AH44" s="209" t="n">
        <f aca="false" t="array" ref="AH44:AH44">IFERROR( AVERAGE((IF(DATOS_[[Sexo]:[Sexo]]=$B44,IF(DATOS_[[AGRUP. VALOR. PTO.]:[AGRUP. VALOR. PTO.]]=$B42,IF(DATOS_[[Check Periodo Ref.]:[Check Periodo Ref.]]="Dentro",DATOS_[Conc.Sal.29]))))), 0)</f>
        <v>0</v>
      </c>
      <c r="AI44" s="209" t="n">
        <f aca="false" t="array" ref="AI44:AI44">IFERROR( AVERAGE((IF(DATOS_[[Sexo]:[Sexo]]=$B44,IF(DATOS_[[AGRUP. VALOR. PTO.]:[AGRUP. VALOR. PTO.]]=$B42,IF(DATOS_[[Check Periodo Ref.]:[Check Periodo Ref.]]="Dentro",DATOS_[Conc.Sal.30]))))), 0)</f>
        <v>0</v>
      </c>
      <c r="AJ44" s="210" t="n">
        <f aca="false" t="array" ref="AJ44:AJ44">IFERROR( AVERAGE(IF(DATOS_[Sexo]=$B44,IF(DATOS_[AGRUP. VALOR. PTO.]=$B42,IF(DATOS_[Check Periodo Ref.]="Dentro",DATOS_[Tot COMPL.SAL Ef],0)))), 0)</f>
        <v>0</v>
      </c>
      <c r="AK44" s="211" t="n">
        <f aca="false" t="array" ref="AK44:AK44">IFERROR( AVERAGE(IF(DATOS_[Sexo]=$B44,IF(DATOS_[AGRUP. VALOR. PTO.]=$B42,IF(DATOS_[Check Periodo Ref.]="Dentro",DATOS_[TOTAL SALARIO Ef],0)))), 0)</f>
        <v>0</v>
      </c>
      <c r="AL44" s="212" t="n">
        <f aca="false" t="array" ref="AL44:AL44">IFERROR( AVERAGE((IF(DATOS_[[Sexo]:[Sexo]]=$B44,IF(DATOS_[[AGRUP. VALOR. PTO.]:[AGRUP. VALOR. PTO.]]=$B42,IF(DATOS_[[Check Periodo Ref.]:[Check Periodo Ref.]]="Dentro",DATOS_[C.Extra.01]))))), 0)</f>
        <v>0</v>
      </c>
      <c r="AM44" s="212" t="n">
        <f aca="false" t="array" ref="AM44:AM44">IFERROR( AVERAGE((IF(DATOS_[[Sexo]:[Sexo]]=$B44,IF(DATOS_[[AGRUP. VALOR. PTO.]:[AGRUP. VALOR. PTO.]]=$B42,IF(DATOS_[[Check Periodo Ref.]:[Check Periodo Ref.]]="Dentro",DATOS_[C.Extra.02]))))), 0)</f>
        <v>0</v>
      </c>
      <c r="AN44" s="212" t="n">
        <f aca="false" t="array" ref="AN44:AN44">IFERROR( AVERAGE((IF(DATOS_[[Sexo]:[Sexo]]=$B44,IF(DATOS_[[AGRUP. VALOR. PTO.]:[AGRUP. VALOR. PTO.]]=$B42,IF(DATOS_[[Check Periodo Ref.]:[Check Periodo Ref.]]="Dentro",DATOS_[C.Extra.03]))))), 0)</f>
        <v>0</v>
      </c>
      <c r="AO44" s="212" t="n">
        <f aca="false" t="array" ref="AO44:AO44">IFERROR( AVERAGE((IF(DATOS_[[Sexo]:[Sexo]]=$B44,IF(DATOS_[[AGRUP. VALOR. PTO.]:[AGRUP. VALOR. PTO.]]=$B42,IF(DATOS_[[Check Periodo Ref.]:[Check Periodo Ref.]]="Dentro",DATOS_[C.Extra.04]))))), 0)</f>
        <v>0</v>
      </c>
      <c r="AP44" s="212" t="n">
        <f aca="false" t="array" ref="AP44:AP44">IFERROR( AVERAGE((IF(DATOS_[[Sexo]:[Sexo]]=$B44,IF(DATOS_[[AGRUP. VALOR. PTO.]:[AGRUP. VALOR. PTO.]]=$B42,IF(DATOS_[[Check Periodo Ref.]:[Check Periodo Ref.]]="Dentro",DATOS_[C.Extra.05]))))), 0)</f>
        <v>0</v>
      </c>
      <c r="AQ44" s="213" t="n">
        <f aca="false" t="array" ref="AQ44:AQ44">IFERROR( AVERAGE(IF(DATOS_[Sexo]=$B44,IF(DATOS_[AGRUP. VALOR. PTO.]=$B42,IF(DATOS_[Check Periodo Ref.]="Dentro",DATOS_[Tot Extrasalarial Ef],0)))), 0)</f>
        <v>0</v>
      </c>
      <c r="AR44" s="214" t="n">
        <f aca="false" t="array" ref="AR44:AR44">IFERROR( AVERAGE(IF(DATOS_[Sexo]=$B44,IF(DATOS_[AGRUP. VALOR. PTO.]=$B42,IF(DATOS_[Check Periodo Ref.]="Dentro",DATOS_[TOTAL Retrib Ef],0)))), 0)</f>
        <v>0</v>
      </c>
    </row>
    <row r="45" customFormat="false" ht="15.75" hidden="false" customHeight="false" outlineLevel="0" collapsed="false">
      <c r="A45" s="191" t="str">
        <f aca="false">+A46</f>
        <v>[ocultar]</v>
      </c>
      <c r="B45" s="192" t="s">
        <v>199</v>
      </c>
      <c r="C45" s="193"/>
      <c r="D45" s="194"/>
      <c r="E45" s="195" t="str">
        <f aca="false">IFERROR((E46-E47)/E46,"")</f>
        <v/>
      </c>
      <c r="F45" s="196" t="str">
        <f aca="false">IFERROR((F46-F47)/F46,"")</f>
        <v/>
      </c>
      <c r="G45" s="197" t="str">
        <f aca="false">IFERROR((G46-G47)/G46,"")</f>
        <v/>
      </c>
      <c r="H45" s="197" t="str">
        <f aca="false">IFERROR((H46-H47)/H46,"")</f>
        <v/>
      </c>
      <c r="I45" s="197" t="str">
        <f aca="false">IFERROR((I46-I47)/I46,"")</f>
        <v/>
      </c>
      <c r="J45" s="198" t="str">
        <f aca="false">IFERROR((J46-J47)/J46,"")</f>
        <v/>
      </c>
      <c r="K45" s="199" t="str">
        <f aca="false">IFERROR((K46-K47)/K46,"")</f>
        <v/>
      </c>
      <c r="L45" s="199" t="str">
        <f aca="false">IFERROR((L46-L47)/L46,"")</f>
        <v/>
      </c>
      <c r="M45" s="199" t="str">
        <f aca="false">IFERROR((M46-M47)/M46,"")</f>
        <v/>
      </c>
      <c r="N45" s="199" t="str">
        <f aca="false">IFERROR((N46-N47)/N46,"")</f>
        <v/>
      </c>
      <c r="O45" s="199" t="str">
        <f aca="false">IFERROR((O46-O47)/O46,"")</f>
        <v/>
      </c>
      <c r="P45" s="199" t="str">
        <f aca="false">IFERROR((P46-P47)/P46,"")</f>
        <v/>
      </c>
      <c r="Q45" s="199" t="str">
        <f aca="false">IFERROR((Q46-Q47)/Q46,"")</f>
        <v/>
      </c>
      <c r="R45" s="199" t="str">
        <f aca="false">IFERROR((R46-R47)/R46,"")</f>
        <v/>
      </c>
      <c r="S45" s="199" t="str">
        <f aca="false">IFERROR((S46-S47)/S46,"")</f>
        <v/>
      </c>
      <c r="T45" s="199" t="str">
        <f aca="false">IFERROR((T46-T47)/T46,"")</f>
        <v/>
      </c>
      <c r="U45" s="199" t="str">
        <f aca="false">IFERROR((U46-U47)/U46,"")</f>
        <v/>
      </c>
      <c r="V45" s="198" t="str">
        <f aca="false">IFERROR((V46-V47)/V46,"")</f>
        <v/>
      </c>
      <c r="W45" s="198" t="str">
        <f aca="false">IFERROR((W46-W47)/W46,"")</f>
        <v/>
      </c>
      <c r="X45" s="198" t="str">
        <f aca="false">IFERROR((X46-X47)/X46,"")</f>
        <v/>
      </c>
      <c r="Y45" s="198" t="str">
        <f aca="false">IFERROR((Y46-Y47)/Y46,"")</f>
        <v/>
      </c>
      <c r="Z45" s="198" t="str">
        <f aca="false">IFERROR((Z46-Z47)/Z46,"")</f>
        <v/>
      </c>
      <c r="AA45" s="198" t="str">
        <f aca="false">IFERROR((AA46-AA47)/AA46,"")</f>
        <v/>
      </c>
      <c r="AB45" s="198" t="str">
        <f aca="false">IFERROR((AB46-AB47)/AB46,"")</f>
        <v/>
      </c>
      <c r="AC45" s="198" t="str">
        <f aca="false">IFERROR((AC46-AC47)/AC46,"")</f>
        <v/>
      </c>
      <c r="AD45" s="198" t="str">
        <f aca="false">IFERROR((AD46-AD47)/AD46,"")</f>
        <v/>
      </c>
      <c r="AE45" s="198" t="str">
        <f aca="false">IFERROR((AE46-AE47)/AE46,"")</f>
        <v/>
      </c>
      <c r="AF45" s="198" t="str">
        <f aca="false">IFERROR((AF46-AF47)/AF46,"")</f>
        <v/>
      </c>
      <c r="AG45" s="198" t="str">
        <f aca="false">IFERROR((AG46-AG47)/AG46,"")</f>
        <v/>
      </c>
      <c r="AH45" s="198" t="str">
        <f aca="false">IFERROR((AH46-AH47)/AH46,"")</f>
        <v/>
      </c>
      <c r="AI45" s="198" t="str">
        <f aca="false">IFERROR((AI46-AI47)/AI46,"")</f>
        <v/>
      </c>
      <c r="AJ45" s="200" t="str">
        <f aca="false">IFERROR((AJ46-AJ47)/AJ46,"")</f>
        <v/>
      </c>
      <c r="AK45" s="201" t="str">
        <f aca="false">IFERROR((AK46-AK47)/AK46,"")</f>
        <v/>
      </c>
      <c r="AL45" s="202" t="str">
        <f aca="false">IFERROR((AL46-AL47)/AL46,"")</f>
        <v/>
      </c>
      <c r="AM45" s="202" t="str">
        <f aca="false">IFERROR((AM46-AM47)/AM46,"")</f>
        <v/>
      </c>
      <c r="AN45" s="202" t="str">
        <f aca="false">IFERROR((AN46-AN47)/AN46,"")</f>
        <v/>
      </c>
      <c r="AO45" s="202" t="str">
        <f aca="false">IFERROR((AO46-AO47)/AO46,"")</f>
        <v/>
      </c>
      <c r="AP45" s="202" t="str">
        <f aca="false">IFERROR((AP46-AP47)/AP46,"")</f>
        <v/>
      </c>
      <c r="AQ45" s="203" t="str">
        <f aca="false">IFERROR((AQ46-AQ47)/AQ46,"")</f>
        <v/>
      </c>
      <c r="AR45" s="204" t="str">
        <f aca="false">IFERROR((AR46-AR47)/AR46,"")</f>
        <v/>
      </c>
    </row>
    <row r="46" customFormat="false" ht="14.25" hidden="false" customHeight="false" outlineLevel="0" collapsed="false">
      <c r="A46" s="191" t="str">
        <f aca="false">+IF(C46+C47=0,"[ocultar]","")</f>
        <v>[ocultar]</v>
      </c>
      <c r="B46" s="205" t="s">
        <v>371</v>
      </c>
      <c r="C46" s="206" t="n">
        <f aca="false" t="array" ref="C46:C46">SUM(IF($B46=DATOS_[Sexo], IF($B45=DATOS_[AGRUP. VALOR. PTO.], IF("Dentro"=DATOS_[Check Periodo Ref.], 1/(COUNTIFS(DATOS_[Sexo],$B46,DATOS_[AGRUP. VALOR. PTO.],$B45,DATOS_[Check Periodo Ref.],"Dentro",DATOS_[id],DATOS_[id]))))))</f>
        <v>0</v>
      </c>
      <c r="D46" s="207" t="n">
        <f aca="false">COUNTIFS(DATOS_[AGRUP. VALOR. PTO.],$B45,DATOS_[Sexo],$B46,DATOS_[Check Periodo Ref.],"Dentro")</f>
        <v>0</v>
      </c>
      <c r="E46" s="208" t="n">
        <f aca="false" t="array" ref="E46:E46">IFERROR( AVERAGE(IF(DATOS_[Sexo]=$B46,IF(DATOS_[AGRUP. VALOR. PTO.]=$B45,IF(DATOS_[Check Periodo Ref.]="Dentro",DATOS_[SALARIO BASE Ef],0)))), 0)</f>
        <v>0</v>
      </c>
      <c r="F46" s="209" t="n">
        <f aca="false" t="array" ref="F46:F46">IFERROR( AVERAGE((IF(DATOS_[[Sexo]:[Sexo]]=$B46,IF(DATOS_[[AGRUP. VALOR. PTO.]:[AGRUP. VALOR. PTO.]]=$B45,IF(DATOS_[[Check Periodo Ref.]:[Check Periodo Ref.]]="Dentro",DATOS_[Conc.Sal.01]))))), 0)</f>
        <v>0</v>
      </c>
      <c r="G46" s="209" t="n">
        <f aca="false" t="array" ref="G46:G46">IFERROR( AVERAGE((IF(DATOS_[[Sexo]:[Sexo]]=$B46,IF(DATOS_[[AGRUP. VALOR. PTO.]:[AGRUP. VALOR. PTO.]]=$B45,IF(DATOS_[[Check Periodo Ref.]:[Check Periodo Ref.]]="Dentro",DATOS_[Conc.Sal.02]))))), 0)</f>
        <v>0</v>
      </c>
      <c r="H46" s="209" t="n">
        <f aca="false" t="array" ref="H46:H46">IFERROR( AVERAGE((IF(DATOS_[[Sexo]:[Sexo]]=$B46,IF(DATOS_[[AGRUP. VALOR. PTO.]:[AGRUP. VALOR. PTO.]]=$B45,IF(DATOS_[[Check Periodo Ref.]:[Check Periodo Ref.]]="Dentro",DATOS_[Conc.Sal.03]))))), 0)</f>
        <v>0</v>
      </c>
      <c r="I46" s="209" t="n">
        <f aca="false" t="array" ref="I46:I46">IFERROR( AVERAGE((IF(DATOS_[[Sexo]:[Sexo]]=$B46,IF(DATOS_[[AGRUP. VALOR. PTO.]:[AGRUP. VALOR. PTO.]]=$B45,IF(DATOS_[[Check Periodo Ref.]:[Check Periodo Ref.]]="Dentro",DATOS_[Conc.Sal.04]))))), 0)</f>
        <v>0</v>
      </c>
      <c r="J46" s="209" t="n">
        <f aca="false" t="array" ref="J46:J46">IFERROR( AVERAGE((IF(DATOS_[[Sexo]:[Sexo]]=$B46,IF(DATOS_[[AGRUP. VALOR. PTO.]:[AGRUP. VALOR. PTO.]]=$B45,IF(DATOS_[[Check Periodo Ref.]:[Check Periodo Ref.]]="Dentro",DATOS_[Conc.Sal.05]))))), 0)</f>
        <v>0</v>
      </c>
      <c r="K46" s="209" t="n">
        <f aca="false" t="array" ref="K46:K46">IFERROR( AVERAGE((IF(DATOS_[[Sexo]:[Sexo]]=$B46,IF(DATOS_[[AGRUP. VALOR. PTO.]:[AGRUP. VALOR. PTO.]]=$B45,IF(DATOS_[[Check Periodo Ref.]:[Check Periodo Ref.]]="Dentro",DATOS_[Conc.Sal.06]))))), 0)</f>
        <v>0</v>
      </c>
      <c r="L46" s="209" t="n">
        <f aca="false" t="array" ref="L46:L46">IFERROR( AVERAGE((IF(DATOS_[[Sexo]:[Sexo]]=$B46,IF(DATOS_[[AGRUP. VALOR. PTO.]:[AGRUP. VALOR. PTO.]]=$B45,IF(DATOS_[[Check Periodo Ref.]:[Check Periodo Ref.]]="Dentro",DATOS_[Conc.Sal.07]))))), 0)</f>
        <v>0</v>
      </c>
      <c r="M46" s="209" t="n">
        <f aca="false" t="array" ref="M46:M46">IFERROR( AVERAGE((IF(DATOS_[[Sexo]:[Sexo]]=$B46,IF(DATOS_[[AGRUP. VALOR. PTO.]:[AGRUP. VALOR. PTO.]]=$B45,IF(DATOS_[[Check Periodo Ref.]:[Check Periodo Ref.]]="Dentro",DATOS_[Conc.Sal.08]))))), 0)</f>
        <v>0</v>
      </c>
      <c r="N46" s="209" t="n">
        <f aca="false" t="array" ref="N46:N46">IFERROR( AVERAGE((IF(DATOS_[[Sexo]:[Sexo]]=$B46,IF(DATOS_[[AGRUP. VALOR. PTO.]:[AGRUP. VALOR. PTO.]]=$B45,IF(DATOS_[[Check Periodo Ref.]:[Check Periodo Ref.]]="Dentro",DATOS_[Conc.Sal.09]))))), 0)</f>
        <v>0</v>
      </c>
      <c r="O46" s="209" t="n">
        <f aca="false" t="array" ref="O46:O46">IFERROR( AVERAGE((IF(DATOS_[[Sexo]:[Sexo]]=$B46,IF(DATOS_[[AGRUP. VALOR. PTO.]:[AGRUP. VALOR. PTO.]]=$B45,IF(DATOS_[[Check Periodo Ref.]:[Check Periodo Ref.]]="Dentro",DATOS_[Conc.Sal.10]))))), 0)</f>
        <v>0</v>
      </c>
      <c r="P46" s="209" t="n">
        <f aca="false" t="array" ref="P46:P46">IFERROR( AVERAGE((IF(DATOS_[[Sexo]:[Sexo]]=$B46,IF(DATOS_[[AGRUP. VALOR. PTO.]:[AGRUP. VALOR. PTO.]]=$B45,IF(DATOS_[[Check Periodo Ref.]:[Check Periodo Ref.]]="Dentro",DATOS_[Conc.Sal.11]))))), 0)</f>
        <v>0</v>
      </c>
      <c r="Q46" s="209" t="n">
        <f aca="false" t="array" ref="Q46:Q46">IFERROR( AVERAGE((IF(DATOS_[[Sexo]:[Sexo]]=$B46,IF(DATOS_[[AGRUP. VALOR. PTO.]:[AGRUP. VALOR. PTO.]]=$B45,IF(DATOS_[[Check Periodo Ref.]:[Check Periodo Ref.]]="Dentro",DATOS_[Conc.Sal.12]))))), 0)</f>
        <v>0</v>
      </c>
      <c r="R46" s="209" t="n">
        <f aca="false" t="array" ref="R46:R46">IFERROR( AVERAGE((IF(DATOS_[[Sexo]:[Sexo]]=$B46,IF(DATOS_[[AGRUP. VALOR. PTO.]:[AGRUP. VALOR. PTO.]]=$B45,IF(DATOS_[[Check Periodo Ref.]:[Check Periodo Ref.]]="Dentro",DATOS_[Conc.Sal.13]))))), 0)</f>
        <v>0</v>
      </c>
      <c r="S46" s="209" t="n">
        <f aca="false" t="array" ref="S46:S46">IFERROR( AVERAGE((IF(DATOS_[[Sexo]:[Sexo]]=$B46,IF(DATOS_[[AGRUP. VALOR. PTO.]:[AGRUP. VALOR. PTO.]]=$B45,IF(DATOS_[[Check Periodo Ref.]:[Check Periodo Ref.]]="Dentro",DATOS_[Conc.Sal.14]))))), 0)</f>
        <v>0</v>
      </c>
      <c r="T46" s="209" t="n">
        <f aca="false" t="array" ref="T46:T46">IFERROR( AVERAGE((IF(DATOS_[[Sexo]:[Sexo]]=$B46,IF(DATOS_[[AGRUP. VALOR. PTO.]:[AGRUP. VALOR. PTO.]]=$B45,IF(DATOS_[[Check Periodo Ref.]:[Check Periodo Ref.]]="Dentro",DATOS_[Conc.Sal.15]))))), 0)</f>
        <v>0</v>
      </c>
      <c r="U46" s="209" t="n">
        <f aca="false" t="array" ref="U46:U46">IFERROR( AVERAGE((IF(DATOS_[[Sexo]:[Sexo]]=$B46,IF(DATOS_[[AGRUP. VALOR. PTO.]:[AGRUP. VALOR. PTO.]]=$B45,IF(DATOS_[[Check Periodo Ref.]:[Check Periodo Ref.]]="Dentro",DATOS_[Conc.Sal.16]))))), 0)</f>
        <v>0</v>
      </c>
      <c r="V46" s="209" t="n">
        <f aca="false" t="array" ref="V46:V46">IFERROR( AVERAGE((IF(DATOS_[[Sexo]:[Sexo]]=$B46,IF(DATOS_[[AGRUP. VALOR. PTO.]:[AGRUP. VALOR. PTO.]]=$B45,IF(DATOS_[[Check Periodo Ref.]:[Check Periodo Ref.]]="Dentro",DATOS_[Conc.Sal.17]))))), 0)</f>
        <v>0</v>
      </c>
      <c r="W46" s="209" t="n">
        <f aca="false" t="array" ref="W46:W46">IFERROR( AVERAGE((IF(DATOS_[[Sexo]:[Sexo]]=$B46,IF(DATOS_[[AGRUP. VALOR. PTO.]:[AGRUP. VALOR. PTO.]]=$B45,IF(DATOS_[[Check Periodo Ref.]:[Check Periodo Ref.]]="Dentro",DATOS_[Conc.Sal.18]))))), 0)</f>
        <v>0</v>
      </c>
      <c r="X46" s="209" t="n">
        <f aca="false" t="array" ref="X46:X46">IFERROR( AVERAGE((IF(DATOS_[[Sexo]:[Sexo]]=$B46,IF(DATOS_[[AGRUP. VALOR. PTO.]:[AGRUP. VALOR. PTO.]]=$B45,IF(DATOS_[[Check Periodo Ref.]:[Check Periodo Ref.]]="Dentro",DATOS_[Conc.Sal.19]))))), 0)</f>
        <v>0</v>
      </c>
      <c r="Y46" s="209" t="n">
        <f aca="false" t="array" ref="Y46:Y46">IFERROR( AVERAGE((IF(DATOS_[[Sexo]:[Sexo]]=$B46,IF(DATOS_[[AGRUP. VALOR. PTO.]:[AGRUP. VALOR. PTO.]]=$B45,IF(DATOS_[[Check Periodo Ref.]:[Check Periodo Ref.]]="Dentro",DATOS_[Conc.Sal.20]))))), 0)</f>
        <v>0</v>
      </c>
      <c r="Z46" s="209" t="n">
        <f aca="false" t="array" ref="Z46:Z46">IFERROR( AVERAGE((IF(DATOS_[[Sexo]:[Sexo]]=$B46,IF(DATOS_[[AGRUP. VALOR. PTO.]:[AGRUP. VALOR. PTO.]]=$B45,IF(DATOS_[[Check Periodo Ref.]:[Check Periodo Ref.]]="Dentro",DATOS_[Conc.Sal.21]))))), 0)</f>
        <v>0</v>
      </c>
      <c r="AA46" s="209" t="n">
        <f aca="false" t="array" ref="AA46:AA46">IFERROR( AVERAGE((IF(DATOS_[[Sexo]:[Sexo]]=$B46,IF(DATOS_[[AGRUP. VALOR. PTO.]:[AGRUP. VALOR. PTO.]]=$B45,IF(DATOS_[[Check Periodo Ref.]:[Check Periodo Ref.]]="Dentro",DATOS_[Conc.Sal.22]))))), 0)</f>
        <v>0</v>
      </c>
      <c r="AB46" s="209" t="n">
        <f aca="false" t="array" ref="AB46:AB46">IFERROR( AVERAGE((IF(DATOS_[[Sexo]:[Sexo]]=$B46,IF(DATOS_[[AGRUP. VALOR. PTO.]:[AGRUP. VALOR. PTO.]]=$B45,IF(DATOS_[[Check Periodo Ref.]:[Check Periodo Ref.]]="Dentro",DATOS_[Conc.Sal.23]))))), 0)</f>
        <v>0</v>
      </c>
      <c r="AC46" s="209" t="n">
        <f aca="false" t="array" ref="AC46:AC46">IFERROR( AVERAGE((IF(DATOS_[[Sexo]:[Sexo]]=$B46,IF(DATOS_[[AGRUP. VALOR. PTO.]:[AGRUP. VALOR. PTO.]]=$B45,IF(DATOS_[[Check Periodo Ref.]:[Check Periodo Ref.]]="Dentro",DATOS_[Conc.Sal.24]))))), 0)</f>
        <v>0</v>
      </c>
      <c r="AD46" s="209" t="n">
        <f aca="false" t="array" ref="AD46:AD46">IFERROR( AVERAGE((IF(DATOS_[[Sexo]:[Sexo]]=$B46,IF(DATOS_[[AGRUP. VALOR. PTO.]:[AGRUP. VALOR. PTO.]]=$B45,IF(DATOS_[[Check Periodo Ref.]:[Check Periodo Ref.]]="Dentro",DATOS_[Conc.Sal.25]))))), 0)</f>
        <v>0</v>
      </c>
      <c r="AE46" s="209" t="n">
        <f aca="false" t="array" ref="AE46:AE46">IFERROR( AVERAGE((IF(DATOS_[[Sexo]:[Sexo]]=$B46,IF(DATOS_[[AGRUP. VALOR. PTO.]:[AGRUP. VALOR. PTO.]]=$B45,IF(DATOS_[[Check Periodo Ref.]:[Check Periodo Ref.]]="Dentro",DATOS_[Conc.Sal.26]))))), 0)</f>
        <v>0</v>
      </c>
      <c r="AF46" s="209" t="n">
        <f aca="false" t="array" ref="AF46:AF46">IFERROR( AVERAGE((IF(DATOS_[[Sexo]:[Sexo]]=$B46,IF(DATOS_[[AGRUP. VALOR. PTO.]:[AGRUP. VALOR. PTO.]]=$B45,IF(DATOS_[[Check Periodo Ref.]:[Check Periodo Ref.]]="Dentro",DATOS_[Conc.Sal.27]))))), 0)</f>
        <v>0</v>
      </c>
      <c r="AG46" s="209" t="n">
        <f aca="false" t="array" ref="AG46:AG46">IFERROR( AVERAGE((IF(DATOS_[[Sexo]:[Sexo]]=$B46,IF(DATOS_[[AGRUP. VALOR. PTO.]:[AGRUP. VALOR. PTO.]]=$B45,IF(DATOS_[[Check Periodo Ref.]:[Check Periodo Ref.]]="Dentro",DATOS_[Conc.Sal.28]))))), 0)</f>
        <v>0</v>
      </c>
      <c r="AH46" s="209" t="n">
        <f aca="false" t="array" ref="AH46:AH46">IFERROR( AVERAGE((IF(DATOS_[[Sexo]:[Sexo]]=$B46,IF(DATOS_[[AGRUP. VALOR. PTO.]:[AGRUP. VALOR. PTO.]]=$B45,IF(DATOS_[[Check Periodo Ref.]:[Check Periodo Ref.]]="Dentro",DATOS_[Conc.Sal.29]))))), 0)</f>
        <v>0</v>
      </c>
      <c r="AI46" s="209" t="n">
        <f aca="false" t="array" ref="AI46:AI46">IFERROR( AVERAGE((IF(DATOS_[[Sexo]:[Sexo]]=$B46,IF(DATOS_[[AGRUP. VALOR. PTO.]:[AGRUP. VALOR. PTO.]]=$B45,IF(DATOS_[[Check Periodo Ref.]:[Check Periodo Ref.]]="Dentro",DATOS_[Conc.Sal.30]))))), 0)</f>
        <v>0</v>
      </c>
      <c r="AJ46" s="210" t="n">
        <f aca="false" t="array" ref="AJ46:AJ46">IFERROR( AVERAGE(IF(DATOS_[Sexo]=$B46,IF(DATOS_[AGRUP. VALOR. PTO.]=$B45,IF(DATOS_[Check Periodo Ref.]="Dentro",DATOS_[Tot COMPL.SAL Ef],0)))), 0)</f>
        <v>0</v>
      </c>
      <c r="AK46" s="211" t="n">
        <f aca="false" t="array" ref="AK46:AK46">IFERROR( AVERAGE(IF(DATOS_[Sexo]=$B46,IF(DATOS_[AGRUP. VALOR. PTO.]=$B45,IF(DATOS_[Check Periodo Ref.]="Dentro",DATOS_[TOTAL SALARIO Ef],0)))), 0)</f>
        <v>0</v>
      </c>
      <c r="AL46" s="212" t="n">
        <f aca="false" t="array" ref="AL46:AL46">IFERROR( AVERAGE((IF(DATOS_[[Sexo]:[Sexo]]=$B46,IF(DATOS_[[AGRUP. VALOR. PTO.]:[AGRUP. VALOR. PTO.]]=$B45,IF(DATOS_[[Check Periodo Ref.]:[Check Periodo Ref.]]="Dentro",DATOS_[C.Extra.01]))))), 0)</f>
        <v>0</v>
      </c>
      <c r="AM46" s="212" t="n">
        <f aca="false" t="array" ref="AM46:AM46">IFERROR( AVERAGE((IF(DATOS_[[Sexo]:[Sexo]]=$B46,IF(DATOS_[[AGRUP. VALOR. PTO.]:[AGRUP. VALOR. PTO.]]=$B45,IF(DATOS_[[Check Periodo Ref.]:[Check Periodo Ref.]]="Dentro",DATOS_[C.Extra.02]))))), 0)</f>
        <v>0</v>
      </c>
      <c r="AN46" s="212" t="n">
        <f aca="false" t="array" ref="AN46:AN46">IFERROR( AVERAGE((IF(DATOS_[[Sexo]:[Sexo]]=$B46,IF(DATOS_[[AGRUP. VALOR. PTO.]:[AGRUP. VALOR. PTO.]]=$B45,IF(DATOS_[[Check Periodo Ref.]:[Check Periodo Ref.]]="Dentro",DATOS_[C.Extra.03]))))), 0)</f>
        <v>0</v>
      </c>
      <c r="AO46" s="212" t="n">
        <f aca="false" t="array" ref="AO46:AO46">IFERROR( AVERAGE((IF(DATOS_[[Sexo]:[Sexo]]=$B46,IF(DATOS_[[AGRUP. VALOR. PTO.]:[AGRUP. VALOR. PTO.]]=$B45,IF(DATOS_[[Check Periodo Ref.]:[Check Periodo Ref.]]="Dentro",DATOS_[C.Extra.04]))))), 0)</f>
        <v>0</v>
      </c>
      <c r="AP46" s="212" t="n">
        <f aca="false" t="array" ref="AP46:AP46">IFERROR( AVERAGE((IF(DATOS_[[Sexo]:[Sexo]]=$B46,IF(DATOS_[[AGRUP. VALOR. PTO.]:[AGRUP. VALOR. PTO.]]=$B45,IF(DATOS_[[Check Periodo Ref.]:[Check Periodo Ref.]]="Dentro",DATOS_[C.Extra.05]))))), 0)</f>
        <v>0</v>
      </c>
      <c r="AQ46" s="213" t="n">
        <f aca="false" t="array" ref="AQ46:AQ46">IFERROR( AVERAGE(IF(DATOS_[Sexo]=$B46,IF(DATOS_[AGRUP. VALOR. PTO.]=$B45,IF(DATOS_[Check Periodo Ref.]="Dentro",DATOS_[Tot Extrasalarial Ef],0)))), 0)</f>
        <v>0</v>
      </c>
      <c r="AR46" s="214" t="n">
        <f aca="false" t="array" ref="AR46:AR46">IFERROR( AVERAGE(IF(DATOS_[Sexo]=$B46,IF(DATOS_[AGRUP. VALOR. PTO.]=$B45,IF(DATOS_[Check Periodo Ref.]="Dentro",DATOS_[TOTAL Retrib Ef],0)))), 0)</f>
        <v>0</v>
      </c>
    </row>
    <row r="47" customFormat="false" ht="14.25" hidden="false" customHeight="false" outlineLevel="0" collapsed="false">
      <c r="A47" s="191" t="str">
        <f aca="false">+A46</f>
        <v>[ocultar]</v>
      </c>
      <c r="B47" s="205" t="s">
        <v>372</v>
      </c>
      <c r="C47" s="206" t="n">
        <f aca="false" t="array" ref="C47:C47">SUM(IF($B47=DATOS_[Sexo], IF($B45=DATOS_[AGRUP. VALOR. PTO.], IF("Dentro"=DATOS_[Check Periodo Ref.], 1/(COUNTIFS(DATOS_[Sexo],$B47,DATOS_[AGRUP. VALOR. PTO.],$B45,DATOS_[Check Periodo Ref.],"Dentro",DATOS_[id],DATOS_[id]))))))</f>
        <v>0</v>
      </c>
      <c r="D47" s="207" t="n">
        <f aca="false">COUNTIFS(DATOS_[AGRUP. VALOR. PTO.],$B45,DATOS_[Sexo],$B47,DATOS_[Check Periodo Ref.],"Dentro")</f>
        <v>0</v>
      </c>
      <c r="E47" s="208" t="n">
        <f aca="false" t="array" ref="E47:E47">IFERROR( AVERAGE(IF(DATOS_[Sexo]=$B47,IF(DATOS_[AGRUP. VALOR. PTO.]=$B45,IF(DATOS_[Check Periodo Ref.]="Dentro",DATOS_[SALARIO BASE Ef],0)))), 0)</f>
        <v>0</v>
      </c>
      <c r="F47" s="209" t="n">
        <f aca="false" t="array" ref="F47:F47">IFERROR( AVERAGE((IF(DATOS_[[Sexo]:[Sexo]]=$B47,IF(DATOS_[[AGRUP. VALOR. PTO.]:[AGRUP. VALOR. PTO.]]=$B45,IF(DATOS_[[Check Periodo Ref.]:[Check Periodo Ref.]]="Dentro",DATOS_[Conc.Sal.01]))))), 0)</f>
        <v>0</v>
      </c>
      <c r="G47" s="209" t="n">
        <f aca="false" t="array" ref="G47:G47">IFERROR( AVERAGE((IF(DATOS_[[Sexo]:[Sexo]]=$B47,IF(DATOS_[[AGRUP. VALOR. PTO.]:[AGRUP. VALOR. PTO.]]=$B45,IF(DATOS_[[Check Periodo Ref.]:[Check Periodo Ref.]]="Dentro",DATOS_[Conc.Sal.02]))))), 0)</f>
        <v>0</v>
      </c>
      <c r="H47" s="209" t="n">
        <f aca="false" t="array" ref="H47:H47">IFERROR( AVERAGE((IF(DATOS_[[Sexo]:[Sexo]]=$B47,IF(DATOS_[[AGRUP. VALOR. PTO.]:[AGRUP. VALOR. PTO.]]=$B45,IF(DATOS_[[Check Periodo Ref.]:[Check Periodo Ref.]]="Dentro",DATOS_[Conc.Sal.03]))))), 0)</f>
        <v>0</v>
      </c>
      <c r="I47" s="209" t="n">
        <f aca="false" t="array" ref="I47:I47">IFERROR( AVERAGE((IF(DATOS_[[Sexo]:[Sexo]]=$B47,IF(DATOS_[[AGRUP. VALOR. PTO.]:[AGRUP. VALOR. PTO.]]=$B45,IF(DATOS_[[Check Periodo Ref.]:[Check Periodo Ref.]]="Dentro",DATOS_[Conc.Sal.04]))))), 0)</f>
        <v>0</v>
      </c>
      <c r="J47" s="209" t="n">
        <f aca="false" t="array" ref="J47:J47">IFERROR( AVERAGE((IF(DATOS_[[Sexo]:[Sexo]]=$B47,IF(DATOS_[[AGRUP. VALOR. PTO.]:[AGRUP. VALOR. PTO.]]=$B45,IF(DATOS_[[Check Periodo Ref.]:[Check Periodo Ref.]]="Dentro",DATOS_[Conc.Sal.05]))))), 0)</f>
        <v>0</v>
      </c>
      <c r="K47" s="209" t="n">
        <f aca="false" t="array" ref="K47:K47">IFERROR( AVERAGE((IF(DATOS_[[Sexo]:[Sexo]]=$B47,IF(DATOS_[[AGRUP. VALOR. PTO.]:[AGRUP. VALOR. PTO.]]=$B45,IF(DATOS_[[Check Periodo Ref.]:[Check Periodo Ref.]]="Dentro",DATOS_[Conc.Sal.06]))))), 0)</f>
        <v>0</v>
      </c>
      <c r="L47" s="209" t="n">
        <f aca="false" t="array" ref="L47:L47">IFERROR( AVERAGE((IF(DATOS_[[Sexo]:[Sexo]]=$B47,IF(DATOS_[[AGRUP. VALOR. PTO.]:[AGRUP. VALOR. PTO.]]=$B45,IF(DATOS_[[Check Periodo Ref.]:[Check Periodo Ref.]]="Dentro",DATOS_[Conc.Sal.07]))))), 0)</f>
        <v>0</v>
      </c>
      <c r="M47" s="209" t="n">
        <f aca="false" t="array" ref="M47:M47">IFERROR( AVERAGE((IF(DATOS_[[Sexo]:[Sexo]]=$B47,IF(DATOS_[[AGRUP. VALOR. PTO.]:[AGRUP. VALOR. PTO.]]=$B45,IF(DATOS_[[Check Periodo Ref.]:[Check Periodo Ref.]]="Dentro",DATOS_[Conc.Sal.08]))))), 0)</f>
        <v>0</v>
      </c>
      <c r="N47" s="209" t="n">
        <f aca="false" t="array" ref="N47:N47">IFERROR( AVERAGE((IF(DATOS_[[Sexo]:[Sexo]]=$B47,IF(DATOS_[[AGRUP. VALOR. PTO.]:[AGRUP. VALOR. PTO.]]=$B45,IF(DATOS_[[Check Periodo Ref.]:[Check Periodo Ref.]]="Dentro",DATOS_[Conc.Sal.09]))))), 0)</f>
        <v>0</v>
      </c>
      <c r="O47" s="209" t="n">
        <f aca="false" t="array" ref="O47:O47">IFERROR( AVERAGE((IF(DATOS_[[Sexo]:[Sexo]]=$B47,IF(DATOS_[[AGRUP. VALOR. PTO.]:[AGRUP. VALOR. PTO.]]=$B45,IF(DATOS_[[Check Periodo Ref.]:[Check Periodo Ref.]]="Dentro",DATOS_[Conc.Sal.10]))))), 0)</f>
        <v>0</v>
      </c>
      <c r="P47" s="209" t="n">
        <f aca="false" t="array" ref="P47:P47">IFERROR( AVERAGE((IF(DATOS_[[Sexo]:[Sexo]]=$B47,IF(DATOS_[[AGRUP. VALOR. PTO.]:[AGRUP. VALOR. PTO.]]=$B45,IF(DATOS_[[Check Periodo Ref.]:[Check Periodo Ref.]]="Dentro",DATOS_[Conc.Sal.11]))))), 0)</f>
        <v>0</v>
      </c>
      <c r="Q47" s="209" t="n">
        <f aca="false" t="array" ref="Q47:Q47">IFERROR( AVERAGE((IF(DATOS_[[Sexo]:[Sexo]]=$B47,IF(DATOS_[[AGRUP. VALOR. PTO.]:[AGRUP. VALOR. PTO.]]=$B45,IF(DATOS_[[Check Periodo Ref.]:[Check Periodo Ref.]]="Dentro",DATOS_[Conc.Sal.12]))))), 0)</f>
        <v>0</v>
      </c>
      <c r="R47" s="209" t="n">
        <f aca="false" t="array" ref="R47:R47">IFERROR( AVERAGE((IF(DATOS_[[Sexo]:[Sexo]]=$B47,IF(DATOS_[[AGRUP. VALOR. PTO.]:[AGRUP. VALOR. PTO.]]=$B45,IF(DATOS_[[Check Periodo Ref.]:[Check Periodo Ref.]]="Dentro",DATOS_[Conc.Sal.13]))))), 0)</f>
        <v>0</v>
      </c>
      <c r="S47" s="209" t="n">
        <f aca="false" t="array" ref="S47:S47">IFERROR( AVERAGE((IF(DATOS_[[Sexo]:[Sexo]]=$B47,IF(DATOS_[[AGRUP. VALOR. PTO.]:[AGRUP. VALOR. PTO.]]=$B45,IF(DATOS_[[Check Periodo Ref.]:[Check Periodo Ref.]]="Dentro",DATOS_[Conc.Sal.14]))))), 0)</f>
        <v>0</v>
      </c>
      <c r="T47" s="209" t="n">
        <f aca="false" t="array" ref="T47:T47">IFERROR( AVERAGE((IF(DATOS_[[Sexo]:[Sexo]]=$B47,IF(DATOS_[[AGRUP. VALOR. PTO.]:[AGRUP. VALOR. PTO.]]=$B45,IF(DATOS_[[Check Periodo Ref.]:[Check Periodo Ref.]]="Dentro",DATOS_[Conc.Sal.15]))))), 0)</f>
        <v>0</v>
      </c>
      <c r="U47" s="209" t="n">
        <f aca="false" t="array" ref="U47:U47">IFERROR( AVERAGE((IF(DATOS_[[Sexo]:[Sexo]]=$B47,IF(DATOS_[[AGRUP. VALOR. PTO.]:[AGRUP. VALOR. PTO.]]=$B45,IF(DATOS_[[Check Periodo Ref.]:[Check Periodo Ref.]]="Dentro",DATOS_[Conc.Sal.16]))))), 0)</f>
        <v>0</v>
      </c>
      <c r="V47" s="209" t="n">
        <f aca="false" t="array" ref="V47:V47">IFERROR( AVERAGE((IF(DATOS_[[Sexo]:[Sexo]]=$B47,IF(DATOS_[[AGRUP. VALOR. PTO.]:[AGRUP. VALOR. PTO.]]=$B45,IF(DATOS_[[Check Periodo Ref.]:[Check Periodo Ref.]]="Dentro",DATOS_[Conc.Sal.17]))))), 0)</f>
        <v>0</v>
      </c>
      <c r="W47" s="209" t="n">
        <f aca="false" t="array" ref="W47:W47">IFERROR( AVERAGE((IF(DATOS_[[Sexo]:[Sexo]]=$B47,IF(DATOS_[[AGRUP. VALOR. PTO.]:[AGRUP. VALOR. PTO.]]=$B45,IF(DATOS_[[Check Periodo Ref.]:[Check Periodo Ref.]]="Dentro",DATOS_[Conc.Sal.18]))))), 0)</f>
        <v>0</v>
      </c>
      <c r="X47" s="209" t="n">
        <f aca="false" t="array" ref="X47:X47">IFERROR( AVERAGE((IF(DATOS_[[Sexo]:[Sexo]]=$B47,IF(DATOS_[[AGRUP. VALOR. PTO.]:[AGRUP. VALOR. PTO.]]=$B45,IF(DATOS_[[Check Periodo Ref.]:[Check Periodo Ref.]]="Dentro",DATOS_[Conc.Sal.19]))))), 0)</f>
        <v>0</v>
      </c>
      <c r="Y47" s="209" t="n">
        <f aca="false" t="array" ref="Y47:Y47">IFERROR( AVERAGE((IF(DATOS_[[Sexo]:[Sexo]]=$B47,IF(DATOS_[[AGRUP. VALOR. PTO.]:[AGRUP. VALOR. PTO.]]=$B45,IF(DATOS_[[Check Periodo Ref.]:[Check Periodo Ref.]]="Dentro",DATOS_[Conc.Sal.20]))))), 0)</f>
        <v>0</v>
      </c>
      <c r="Z47" s="209" t="n">
        <f aca="false" t="array" ref="Z47:Z47">IFERROR( AVERAGE((IF(DATOS_[[Sexo]:[Sexo]]=$B47,IF(DATOS_[[AGRUP. VALOR. PTO.]:[AGRUP. VALOR. PTO.]]=$B45,IF(DATOS_[[Check Periodo Ref.]:[Check Periodo Ref.]]="Dentro",DATOS_[Conc.Sal.21]))))), 0)</f>
        <v>0</v>
      </c>
      <c r="AA47" s="209" t="n">
        <f aca="false" t="array" ref="AA47:AA47">IFERROR( AVERAGE((IF(DATOS_[[Sexo]:[Sexo]]=$B47,IF(DATOS_[[AGRUP. VALOR. PTO.]:[AGRUP. VALOR. PTO.]]=$B45,IF(DATOS_[[Check Periodo Ref.]:[Check Periodo Ref.]]="Dentro",DATOS_[Conc.Sal.22]))))), 0)</f>
        <v>0</v>
      </c>
      <c r="AB47" s="209" t="n">
        <f aca="false" t="array" ref="AB47:AB47">IFERROR( AVERAGE((IF(DATOS_[[Sexo]:[Sexo]]=$B47,IF(DATOS_[[AGRUP. VALOR. PTO.]:[AGRUP. VALOR. PTO.]]=$B45,IF(DATOS_[[Check Periodo Ref.]:[Check Periodo Ref.]]="Dentro",DATOS_[Conc.Sal.23]))))), 0)</f>
        <v>0</v>
      </c>
      <c r="AC47" s="209" t="n">
        <f aca="false" t="array" ref="AC47:AC47">IFERROR( AVERAGE((IF(DATOS_[[Sexo]:[Sexo]]=$B47,IF(DATOS_[[AGRUP. VALOR. PTO.]:[AGRUP. VALOR. PTO.]]=$B45,IF(DATOS_[[Check Periodo Ref.]:[Check Periodo Ref.]]="Dentro",DATOS_[Conc.Sal.24]))))), 0)</f>
        <v>0</v>
      </c>
      <c r="AD47" s="209" t="n">
        <f aca="false" t="array" ref="AD47:AD47">IFERROR( AVERAGE((IF(DATOS_[[Sexo]:[Sexo]]=$B47,IF(DATOS_[[AGRUP. VALOR. PTO.]:[AGRUP. VALOR. PTO.]]=$B45,IF(DATOS_[[Check Periodo Ref.]:[Check Periodo Ref.]]="Dentro",DATOS_[Conc.Sal.25]))))), 0)</f>
        <v>0</v>
      </c>
      <c r="AE47" s="209" t="n">
        <f aca="false" t="array" ref="AE47:AE47">IFERROR( AVERAGE((IF(DATOS_[[Sexo]:[Sexo]]=$B47,IF(DATOS_[[AGRUP. VALOR. PTO.]:[AGRUP. VALOR. PTO.]]=$B45,IF(DATOS_[[Check Periodo Ref.]:[Check Periodo Ref.]]="Dentro",DATOS_[Conc.Sal.26]))))), 0)</f>
        <v>0</v>
      </c>
      <c r="AF47" s="209" t="n">
        <f aca="false" t="array" ref="AF47:AF47">IFERROR( AVERAGE((IF(DATOS_[[Sexo]:[Sexo]]=$B47,IF(DATOS_[[AGRUP. VALOR. PTO.]:[AGRUP. VALOR. PTO.]]=$B45,IF(DATOS_[[Check Periodo Ref.]:[Check Periodo Ref.]]="Dentro",DATOS_[Conc.Sal.27]))))), 0)</f>
        <v>0</v>
      </c>
      <c r="AG47" s="209" t="n">
        <f aca="false" t="array" ref="AG47:AG47">IFERROR( AVERAGE((IF(DATOS_[[Sexo]:[Sexo]]=$B47,IF(DATOS_[[AGRUP. VALOR. PTO.]:[AGRUP. VALOR. PTO.]]=$B45,IF(DATOS_[[Check Periodo Ref.]:[Check Periodo Ref.]]="Dentro",DATOS_[Conc.Sal.28]))))), 0)</f>
        <v>0</v>
      </c>
      <c r="AH47" s="209" t="n">
        <f aca="false" t="array" ref="AH47:AH47">IFERROR( AVERAGE((IF(DATOS_[[Sexo]:[Sexo]]=$B47,IF(DATOS_[[AGRUP. VALOR. PTO.]:[AGRUP. VALOR. PTO.]]=$B45,IF(DATOS_[[Check Periodo Ref.]:[Check Periodo Ref.]]="Dentro",DATOS_[Conc.Sal.29]))))), 0)</f>
        <v>0</v>
      </c>
      <c r="AI47" s="209" t="n">
        <f aca="false" t="array" ref="AI47:AI47">IFERROR( AVERAGE((IF(DATOS_[[Sexo]:[Sexo]]=$B47,IF(DATOS_[[AGRUP. VALOR. PTO.]:[AGRUP. VALOR. PTO.]]=$B45,IF(DATOS_[[Check Periodo Ref.]:[Check Periodo Ref.]]="Dentro",DATOS_[Conc.Sal.30]))))), 0)</f>
        <v>0</v>
      </c>
      <c r="AJ47" s="210" t="n">
        <f aca="false" t="array" ref="AJ47:AJ47">IFERROR( AVERAGE(IF(DATOS_[Sexo]=$B47,IF(DATOS_[AGRUP. VALOR. PTO.]=$B45,IF(DATOS_[Check Periodo Ref.]="Dentro",DATOS_[Tot COMPL.SAL Ef],0)))), 0)</f>
        <v>0</v>
      </c>
      <c r="AK47" s="211" t="n">
        <f aca="false" t="array" ref="AK47:AK47">IFERROR( AVERAGE(IF(DATOS_[Sexo]=$B47,IF(DATOS_[AGRUP. VALOR. PTO.]=$B45,IF(DATOS_[Check Periodo Ref.]="Dentro",DATOS_[TOTAL SALARIO Ef],0)))), 0)</f>
        <v>0</v>
      </c>
      <c r="AL47" s="212" t="n">
        <f aca="false" t="array" ref="AL47:AL47">IFERROR( AVERAGE((IF(DATOS_[[Sexo]:[Sexo]]=$B47,IF(DATOS_[[AGRUP. VALOR. PTO.]:[AGRUP. VALOR. PTO.]]=$B45,IF(DATOS_[[Check Periodo Ref.]:[Check Periodo Ref.]]="Dentro",DATOS_[C.Extra.01]))))), 0)</f>
        <v>0</v>
      </c>
      <c r="AM47" s="212" t="n">
        <f aca="false" t="array" ref="AM47:AM47">IFERROR( AVERAGE((IF(DATOS_[[Sexo]:[Sexo]]=$B47,IF(DATOS_[[AGRUP. VALOR. PTO.]:[AGRUP. VALOR. PTO.]]=$B45,IF(DATOS_[[Check Periodo Ref.]:[Check Periodo Ref.]]="Dentro",DATOS_[C.Extra.02]))))), 0)</f>
        <v>0</v>
      </c>
      <c r="AN47" s="212" t="n">
        <f aca="false" t="array" ref="AN47:AN47">IFERROR( AVERAGE((IF(DATOS_[[Sexo]:[Sexo]]=$B47,IF(DATOS_[[AGRUP. VALOR. PTO.]:[AGRUP. VALOR. PTO.]]=$B45,IF(DATOS_[[Check Periodo Ref.]:[Check Periodo Ref.]]="Dentro",DATOS_[C.Extra.03]))))), 0)</f>
        <v>0</v>
      </c>
      <c r="AO47" s="212" t="n">
        <f aca="false" t="array" ref="AO47:AO47">IFERROR( AVERAGE((IF(DATOS_[[Sexo]:[Sexo]]=$B47,IF(DATOS_[[AGRUP. VALOR. PTO.]:[AGRUP. VALOR. PTO.]]=$B45,IF(DATOS_[[Check Periodo Ref.]:[Check Periodo Ref.]]="Dentro",DATOS_[C.Extra.04]))))), 0)</f>
        <v>0</v>
      </c>
      <c r="AP47" s="212" t="n">
        <f aca="false" t="array" ref="AP47:AP47">IFERROR( AVERAGE((IF(DATOS_[[Sexo]:[Sexo]]=$B47,IF(DATOS_[[AGRUP. VALOR. PTO.]:[AGRUP. VALOR. PTO.]]=$B45,IF(DATOS_[[Check Periodo Ref.]:[Check Periodo Ref.]]="Dentro",DATOS_[C.Extra.05]))))), 0)</f>
        <v>0</v>
      </c>
      <c r="AQ47" s="213" t="n">
        <f aca="false" t="array" ref="AQ47:AQ47">IFERROR( AVERAGE(IF(DATOS_[Sexo]=$B47,IF(DATOS_[AGRUP. VALOR. PTO.]=$B45,IF(DATOS_[Check Periodo Ref.]="Dentro",DATOS_[Tot Extrasalarial Ef],0)))), 0)</f>
        <v>0</v>
      </c>
      <c r="AR47" s="214" t="n">
        <f aca="false" t="array" ref="AR47:AR47">IFERROR( AVERAGE(IF(DATOS_[Sexo]=$B47,IF(DATOS_[AGRUP. VALOR. PTO.]=$B45,IF(DATOS_[Check Periodo Ref.]="Dentro",DATOS_[TOTAL Retrib Ef],0)))), 0)</f>
        <v>0</v>
      </c>
    </row>
    <row r="48" customFormat="false" ht="15.75" hidden="false" customHeight="false" outlineLevel="0" collapsed="false">
      <c r="A48" s="191" t="str">
        <f aca="false">+A49</f>
        <v>[ocultar]</v>
      </c>
      <c r="B48" s="192" t="s">
        <v>202</v>
      </c>
      <c r="C48" s="193"/>
      <c r="D48" s="194"/>
      <c r="E48" s="195" t="str">
        <f aca="false">IFERROR((E49-E50)/E49,"")</f>
        <v/>
      </c>
      <c r="F48" s="196" t="str">
        <f aca="false">IFERROR((F49-F50)/F49,"")</f>
        <v/>
      </c>
      <c r="G48" s="197" t="str">
        <f aca="false">IFERROR((G49-G50)/G49,"")</f>
        <v/>
      </c>
      <c r="H48" s="197" t="str">
        <f aca="false">IFERROR((H49-H50)/H49,"")</f>
        <v/>
      </c>
      <c r="I48" s="197" t="str">
        <f aca="false">IFERROR((I49-I50)/I49,"")</f>
        <v/>
      </c>
      <c r="J48" s="198" t="str">
        <f aca="false">IFERROR((J49-J50)/J49,"")</f>
        <v/>
      </c>
      <c r="K48" s="199" t="str">
        <f aca="false">IFERROR((K49-K50)/K49,"")</f>
        <v/>
      </c>
      <c r="L48" s="199" t="str">
        <f aca="false">IFERROR((L49-L50)/L49,"")</f>
        <v/>
      </c>
      <c r="M48" s="199" t="str">
        <f aca="false">IFERROR((M49-M50)/M49,"")</f>
        <v/>
      </c>
      <c r="N48" s="199" t="str">
        <f aca="false">IFERROR((N49-N50)/N49,"")</f>
        <v/>
      </c>
      <c r="O48" s="199" t="str">
        <f aca="false">IFERROR((O49-O50)/O49,"")</f>
        <v/>
      </c>
      <c r="P48" s="199" t="str">
        <f aca="false">IFERROR((P49-P50)/P49,"")</f>
        <v/>
      </c>
      <c r="Q48" s="199" t="str">
        <f aca="false">IFERROR((Q49-Q50)/Q49,"")</f>
        <v/>
      </c>
      <c r="R48" s="199" t="str">
        <f aca="false">IFERROR((R49-R50)/R49,"")</f>
        <v/>
      </c>
      <c r="S48" s="199" t="str">
        <f aca="false">IFERROR((S49-S50)/S49,"")</f>
        <v/>
      </c>
      <c r="T48" s="199" t="str">
        <f aca="false">IFERROR((T49-T50)/T49,"")</f>
        <v/>
      </c>
      <c r="U48" s="199" t="str">
        <f aca="false">IFERROR((U49-U50)/U49,"")</f>
        <v/>
      </c>
      <c r="V48" s="198" t="str">
        <f aca="false">IFERROR((V49-V50)/V49,"")</f>
        <v/>
      </c>
      <c r="W48" s="198" t="str">
        <f aca="false">IFERROR((W49-W50)/W49,"")</f>
        <v/>
      </c>
      <c r="X48" s="198" t="str">
        <f aca="false">IFERROR((X49-X50)/X49,"")</f>
        <v/>
      </c>
      <c r="Y48" s="198" t="str">
        <f aca="false">IFERROR((Y49-Y50)/Y49,"")</f>
        <v/>
      </c>
      <c r="Z48" s="198" t="str">
        <f aca="false">IFERROR((Z49-Z50)/Z49,"")</f>
        <v/>
      </c>
      <c r="AA48" s="198" t="str">
        <f aca="false">IFERROR((AA49-AA50)/AA49,"")</f>
        <v/>
      </c>
      <c r="AB48" s="198" t="str">
        <f aca="false">IFERROR((AB49-AB50)/AB49,"")</f>
        <v/>
      </c>
      <c r="AC48" s="198" t="str">
        <f aca="false">IFERROR((AC49-AC50)/AC49,"")</f>
        <v/>
      </c>
      <c r="AD48" s="198" t="str">
        <f aca="false">IFERROR((AD49-AD50)/AD49,"")</f>
        <v/>
      </c>
      <c r="AE48" s="198" t="str">
        <f aca="false">IFERROR((AE49-AE50)/AE49,"")</f>
        <v/>
      </c>
      <c r="AF48" s="198" t="str">
        <f aca="false">IFERROR((AF49-AF50)/AF49,"")</f>
        <v/>
      </c>
      <c r="AG48" s="198" t="str">
        <f aca="false">IFERROR((AG49-AG50)/AG49,"")</f>
        <v/>
      </c>
      <c r="AH48" s="198" t="str">
        <f aca="false">IFERROR((AH49-AH50)/AH49,"")</f>
        <v/>
      </c>
      <c r="AI48" s="198" t="str">
        <f aca="false">IFERROR((AI49-AI50)/AI49,"")</f>
        <v/>
      </c>
      <c r="AJ48" s="200" t="str">
        <f aca="false">IFERROR((AJ49-AJ50)/AJ49,"")</f>
        <v/>
      </c>
      <c r="AK48" s="201" t="str">
        <f aca="false">IFERROR((AK49-AK50)/AK49,"")</f>
        <v/>
      </c>
      <c r="AL48" s="202" t="str">
        <f aca="false">IFERROR((AL49-AL50)/AL49,"")</f>
        <v/>
      </c>
      <c r="AM48" s="202" t="str">
        <f aca="false">IFERROR((AM49-AM50)/AM49,"")</f>
        <v/>
      </c>
      <c r="AN48" s="202" t="str">
        <f aca="false">IFERROR((AN49-AN50)/AN49,"")</f>
        <v/>
      </c>
      <c r="AO48" s="202" t="str">
        <f aca="false">IFERROR((AO49-AO50)/AO49,"")</f>
        <v/>
      </c>
      <c r="AP48" s="202" t="str">
        <f aca="false">IFERROR((AP49-AP50)/AP49,"")</f>
        <v/>
      </c>
      <c r="AQ48" s="203" t="str">
        <f aca="false">IFERROR((AQ49-AQ50)/AQ49,"")</f>
        <v/>
      </c>
      <c r="AR48" s="204" t="str">
        <f aca="false">IFERROR((AR49-AR50)/AR49,"")</f>
        <v/>
      </c>
    </row>
    <row r="49" customFormat="false" ht="14.25" hidden="false" customHeight="false" outlineLevel="0" collapsed="false">
      <c r="A49" s="191" t="str">
        <f aca="false">+IF(C49+C50=0,"[ocultar]","")</f>
        <v>[ocultar]</v>
      </c>
      <c r="B49" s="205" t="s">
        <v>371</v>
      </c>
      <c r="C49" s="206" t="n">
        <f aca="false" t="array" ref="C49:C49">SUM(IF($B49=DATOS_[Sexo], IF($B48=DATOS_[AGRUP. VALOR. PTO.], IF("Dentro"=DATOS_[Check Periodo Ref.], 1/(COUNTIFS(DATOS_[Sexo],$B49,DATOS_[AGRUP. VALOR. PTO.],$B48,DATOS_[Check Periodo Ref.],"Dentro",DATOS_[id],DATOS_[id]))))))</f>
        <v>0</v>
      </c>
      <c r="D49" s="207" t="n">
        <f aca="false">COUNTIFS(DATOS_[AGRUP. VALOR. PTO.],$B48,DATOS_[Sexo],$B49,DATOS_[Check Periodo Ref.],"Dentro")</f>
        <v>0</v>
      </c>
      <c r="E49" s="208" t="n">
        <f aca="false" t="array" ref="E49:E49">IFERROR( AVERAGE(IF(DATOS_[Sexo]=$B49,IF(DATOS_[AGRUP. VALOR. PTO.]=$B48,IF(DATOS_[Check Periodo Ref.]="Dentro",DATOS_[SALARIO BASE Ef],0)))), 0)</f>
        <v>0</v>
      </c>
      <c r="F49" s="209" t="n">
        <f aca="false" t="array" ref="F49:F49">IFERROR( AVERAGE((IF(DATOS_[[Sexo]:[Sexo]]=$B49,IF(DATOS_[[AGRUP. VALOR. PTO.]:[AGRUP. VALOR. PTO.]]=$B48,IF(DATOS_[[Check Periodo Ref.]:[Check Periodo Ref.]]="Dentro",DATOS_[Conc.Sal.01]))))), 0)</f>
        <v>0</v>
      </c>
      <c r="G49" s="209" t="n">
        <f aca="false" t="array" ref="G49:G49">IFERROR( AVERAGE((IF(DATOS_[[Sexo]:[Sexo]]=$B49,IF(DATOS_[[AGRUP. VALOR. PTO.]:[AGRUP. VALOR. PTO.]]=$B48,IF(DATOS_[[Check Periodo Ref.]:[Check Periodo Ref.]]="Dentro",DATOS_[Conc.Sal.02]))))), 0)</f>
        <v>0</v>
      </c>
      <c r="H49" s="209" t="n">
        <f aca="false" t="array" ref="H49:H49">IFERROR( AVERAGE((IF(DATOS_[[Sexo]:[Sexo]]=$B49,IF(DATOS_[[AGRUP. VALOR. PTO.]:[AGRUP. VALOR. PTO.]]=$B48,IF(DATOS_[[Check Periodo Ref.]:[Check Periodo Ref.]]="Dentro",DATOS_[Conc.Sal.03]))))), 0)</f>
        <v>0</v>
      </c>
      <c r="I49" s="209" t="n">
        <f aca="false" t="array" ref="I49:I49">IFERROR( AVERAGE((IF(DATOS_[[Sexo]:[Sexo]]=$B49,IF(DATOS_[[AGRUP. VALOR. PTO.]:[AGRUP. VALOR. PTO.]]=$B48,IF(DATOS_[[Check Periodo Ref.]:[Check Periodo Ref.]]="Dentro",DATOS_[Conc.Sal.04]))))), 0)</f>
        <v>0</v>
      </c>
      <c r="J49" s="209" t="n">
        <f aca="false" t="array" ref="J49:J49">IFERROR( AVERAGE((IF(DATOS_[[Sexo]:[Sexo]]=$B49,IF(DATOS_[[AGRUP. VALOR. PTO.]:[AGRUP. VALOR. PTO.]]=$B48,IF(DATOS_[[Check Periodo Ref.]:[Check Periodo Ref.]]="Dentro",DATOS_[Conc.Sal.05]))))), 0)</f>
        <v>0</v>
      </c>
      <c r="K49" s="209" t="n">
        <f aca="false" t="array" ref="K49:K49">IFERROR( AVERAGE((IF(DATOS_[[Sexo]:[Sexo]]=$B49,IF(DATOS_[[AGRUP. VALOR. PTO.]:[AGRUP. VALOR. PTO.]]=$B48,IF(DATOS_[[Check Periodo Ref.]:[Check Periodo Ref.]]="Dentro",DATOS_[Conc.Sal.06]))))), 0)</f>
        <v>0</v>
      </c>
      <c r="L49" s="209" t="n">
        <f aca="false" t="array" ref="L49:L49">IFERROR( AVERAGE((IF(DATOS_[[Sexo]:[Sexo]]=$B49,IF(DATOS_[[AGRUP. VALOR. PTO.]:[AGRUP. VALOR. PTO.]]=$B48,IF(DATOS_[[Check Periodo Ref.]:[Check Periodo Ref.]]="Dentro",DATOS_[Conc.Sal.07]))))), 0)</f>
        <v>0</v>
      </c>
      <c r="M49" s="209" t="n">
        <f aca="false" t="array" ref="M49:M49">IFERROR( AVERAGE((IF(DATOS_[[Sexo]:[Sexo]]=$B49,IF(DATOS_[[AGRUP. VALOR. PTO.]:[AGRUP. VALOR. PTO.]]=$B48,IF(DATOS_[[Check Periodo Ref.]:[Check Periodo Ref.]]="Dentro",DATOS_[Conc.Sal.08]))))), 0)</f>
        <v>0</v>
      </c>
      <c r="N49" s="209" t="n">
        <f aca="false" t="array" ref="N49:N49">IFERROR( AVERAGE((IF(DATOS_[[Sexo]:[Sexo]]=$B49,IF(DATOS_[[AGRUP. VALOR. PTO.]:[AGRUP. VALOR. PTO.]]=$B48,IF(DATOS_[[Check Periodo Ref.]:[Check Periodo Ref.]]="Dentro",DATOS_[Conc.Sal.09]))))), 0)</f>
        <v>0</v>
      </c>
      <c r="O49" s="209" t="n">
        <f aca="false" t="array" ref="O49:O49">IFERROR( AVERAGE((IF(DATOS_[[Sexo]:[Sexo]]=$B49,IF(DATOS_[[AGRUP. VALOR. PTO.]:[AGRUP. VALOR. PTO.]]=$B48,IF(DATOS_[[Check Periodo Ref.]:[Check Periodo Ref.]]="Dentro",DATOS_[Conc.Sal.10]))))), 0)</f>
        <v>0</v>
      </c>
      <c r="P49" s="209" t="n">
        <f aca="false" t="array" ref="P49:P49">IFERROR( AVERAGE((IF(DATOS_[[Sexo]:[Sexo]]=$B49,IF(DATOS_[[AGRUP. VALOR. PTO.]:[AGRUP. VALOR. PTO.]]=$B48,IF(DATOS_[[Check Periodo Ref.]:[Check Periodo Ref.]]="Dentro",DATOS_[Conc.Sal.11]))))), 0)</f>
        <v>0</v>
      </c>
      <c r="Q49" s="209" t="n">
        <f aca="false" t="array" ref="Q49:Q49">IFERROR( AVERAGE((IF(DATOS_[[Sexo]:[Sexo]]=$B49,IF(DATOS_[[AGRUP. VALOR. PTO.]:[AGRUP. VALOR. PTO.]]=$B48,IF(DATOS_[[Check Periodo Ref.]:[Check Periodo Ref.]]="Dentro",DATOS_[Conc.Sal.12]))))), 0)</f>
        <v>0</v>
      </c>
      <c r="R49" s="209" t="n">
        <f aca="false" t="array" ref="R49:R49">IFERROR( AVERAGE((IF(DATOS_[[Sexo]:[Sexo]]=$B49,IF(DATOS_[[AGRUP. VALOR. PTO.]:[AGRUP. VALOR. PTO.]]=$B48,IF(DATOS_[[Check Periodo Ref.]:[Check Periodo Ref.]]="Dentro",DATOS_[Conc.Sal.13]))))), 0)</f>
        <v>0</v>
      </c>
      <c r="S49" s="209" t="n">
        <f aca="false" t="array" ref="S49:S49">IFERROR( AVERAGE((IF(DATOS_[[Sexo]:[Sexo]]=$B49,IF(DATOS_[[AGRUP. VALOR. PTO.]:[AGRUP. VALOR. PTO.]]=$B48,IF(DATOS_[[Check Periodo Ref.]:[Check Periodo Ref.]]="Dentro",DATOS_[Conc.Sal.14]))))), 0)</f>
        <v>0</v>
      </c>
      <c r="T49" s="209" t="n">
        <f aca="false" t="array" ref="T49:T49">IFERROR( AVERAGE((IF(DATOS_[[Sexo]:[Sexo]]=$B49,IF(DATOS_[[AGRUP. VALOR. PTO.]:[AGRUP. VALOR. PTO.]]=$B48,IF(DATOS_[[Check Periodo Ref.]:[Check Periodo Ref.]]="Dentro",DATOS_[Conc.Sal.15]))))), 0)</f>
        <v>0</v>
      </c>
      <c r="U49" s="209" t="n">
        <f aca="false" t="array" ref="U49:U49">IFERROR( AVERAGE((IF(DATOS_[[Sexo]:[Sexo]]=$B49,IF(DATOS_[[AGRUP. VALOR. PTO.]:[AGRUP. VALOR. PTO.]]=$B48,IF(DATOS_[[Check Periodo Ref.]:[Check Periodo Ref.]]="Dentro",DATOS_[Conc.Sal.16]))))), 0)</f>
        <v>0</v>
      </c>
      <c r="V49" s="209" t="n">
        <f aca="false" t="array" ref="V49:V49">IFERROR( AVERAGE((IF(DATOS_[[Sexo]:[Sexo]]=$B49,IF(DATOS_[[AGRUP. VALOR. PTO.]:[AGRUP. VALOR. PTO.]]=$B48,IF(DATOS_[[Check Periodo Ref.]:[Check Periodo Ref.]]="Dentro",DATOS_[Conc.Sal.17]))))), 0)</f>
        <v>0</v>
      </c>
      <c r="W49" s="209" t="n">
        <f aca="false" t="array" ref="W49:W49">IFERROR( AVERAGE((IF(DATOS_[[Sexo]:[Sexo]]=$B49,IF(DATOS_[[AGRUP. VALOR. PTO.]:[AGRUP. VALOR. PTO.]]=$B48,IF(DATOS_[[Check Periodo Ref.]:[Check Periodo Ref.]]="Dentro",DATOS_[Conc.Sal.18]))))), 0)</f>
        <v>0</v>
      </c>
      <c r="X49" s="209" t="n">
        <f aca="false" t="array" ref="X49:X49">IFERROR( AVERAGE((IF(DATOS_[[Sexo]:[Sexo]]=$B49,IF(DATOS_[[AGRUP. VALOR. PTO.]:[AGRUP. VALOR. PTO.]]=$B48,IF(DATOS_[[Check Periodo Ref.]:[Check Periodo Ref.]]="Dentro",DATOS_[Conc.Sal.19]))))), 0)</f>
        <v>0</v>
      </c>
      <c r="Y49" s="209" t="n">
        <f aca="false" t="array" ref="Y49:Y49">IFERROR( AVERAGE((IF(DATOS_[[Sexo]:[Sexo]]=$B49,IF(DATOS_[[AGRUP. VALOR. PTO.]:[AGRUP. VALOR. PTO.]]=$B48,IF(DATOS_[[Check Periodo Ref.]:[Check Periodo Ref.]]="Dentro",DATOS_[Conc.Sal.20]))))), 0)</f>
        <v>0</v>
      </c>
      <c r="Z49" s="209" t="n">
        <f aca="false" t="array" ref="Z49:Z49">IFERROR( AVERAGE((IF(DATOS_[[Sexo]:[Sexo]]=$B49,IF(DATOS_[[AGRUP. VALOR. PTO.]:[AGRUP. VALOR. PTO.]]=$B48,IF(DATOS_[[Check Periodo Ref.]:[Check Periodo Ref.]]="Dentro",DATOS_[Conc.Sal.21]))))), 0)</f>
        <v>0</v>
      </c>
      <c r="AA49" s="209" t="n">
        <f aca="false" t="array" ref="AA49:AA49">IFERROR( AVERAGE((IF(DATOS_[[Sexo]:[Sexo]]=$B49,IF(DATOS_[[AGRUP. VALOR. PTO.]:[AGRUP. VALOR. PTO.]]=$B48,IF(DATOS_[[Check Periodo Ref.]:[Check Periodo Ref.]]="Dentro",DATOS_[Conc.Sal.22]))))), 0)</f>
        <v>0</v>
      </c>
      <c r="AB49" s="209" t="n">
        <f aca="false" t="array" ref="AB49:AB49">IFERROR( AVERAGE((IF(DATOS_[[Sexo]:[Sexo]]=$B49,IF(DATOS_[[AGRUP. VALOR. PTO.]:[AGRUP. VALOR. PTO.]]=$B48,IF(DATOS_[[Check Periodo Ref.]:[Check Periodo Ref.]]="Dentro",DATOS_[Conc.Sal.23]))))), 0)</f>
        <v>0</v>
      </c>
      <c r="AC49" s="209" t="n">
        <f aca="false" t="array" ref="AC49:AC49">IFERROR( AVERAGE((IF(DATOS_[[Sexo]:[Sexo]]=$B49,IF(DATOS_[[AGRUP. VALOR. PTO.]:[AGRUP. VALOR. PTO.]]=$B48,IF(DATOS_[[Check Periodo Ref.]:[Check Periodo Ref.]]="Dentro",DATOS_[Conc.Sal.24]))))), 0)</f>
        <v>0</v>
      </c>
      <c r="AD49" s="209" t="n">
        <f aca="false" t="array" ref="AD49:AD49">IFERROR( AVERAGE((IF(DATOS_[[Sexo]:[Sexo]]=$B49,IF(DATOS_[[AGRUP. VALOR. PTO.]:[AGRUP. VALOR. PTO.]]=$B48,IF(DATOS_[[Check Periodo Ref.]:[Check Periodo Ref.]]="Dentro",DATOS_[Conc.Sal.25]))))), 0)</f>
        <v>0</v>
      </c>
      <c r="AE49" s="209" t="n">
        <f aca="false" t="array" ref="AE49:AE49">IFERROR( AVERAGE((IF(DATOS_[[Sexo]:[Sexo]]=$B49,IF(DATOS_[[AGRUP. VALOR. PTO.]:[AGRUP. VALOR. PTO.]]=$B48,IF(DATOS_[[Check Periodo Ref.]:[Check Periodo Ref.]]="Dentro",DATOS_[Conc.Sal.26]))))), 0)</f>
        <v>0</v>
      </c>
      <c r="AF49" s="209" t="n">
        <f aca="false" t="array" ref="AF49:AF49">IFERROR( AVERAGE((IF(DATOS_[[Sexo]:[Sexo]]=$B49,IF(DATOS_[[AGRUP. VALOR. PTO.]:[AGRUP. VALOR. PTO.]]=$B48,IF(DATOS_[[Check Periodo Ref.]:[Check Periodo Ref.]]="Dentro",DATOS_[Conc.Sal.27]))))), 0)</f>
        <v>0</v>
      </c>
      <c r="AG49" s="209" t="n">
        <f aca="false" t="array" ref="AG49:AG49">IFERROR( AVERAGE((IF(DATOS_[[Sexo]:[Sexo]]=$B49,IF(DATOS_[[AGRUP. VALOR. PTO.]:[AGRUP. VALOR. PTO.]]=$B48,IF(DATOS_[[Check Periodo Ref.]:[Check Periodo Ref.]]="Dentro",DATOS_[Conc.Sal.28]))))), 0)</f>
        <v>0</v>
      </c>
      <c r="AH49" s="209" t="n">
        <f aca="false" t="array" ref="AH49:AH49">IFERROR( AVERAGE((IF(DATOS_[[Sexo]:[Sexo]]=$B49,IF(DATOS_[[AGRUP. VALOR. PTO.]:[AGRUP. VALOR. PTO.]]=$B48,IF(DATOS_[[Check Periodo Ref.]:[Check Periodo Ref.]]="Dentro",DATOS_[Conc.Sal.29]))))), 0)</f>
        <v>0</v>
      </c>
      <c r="AI49" s="209" t="n">
        <f aca="false" t="array" ref="AI49:AI49">IFERROR( AVERAGE((IF(DATOS_[[Sexo]:[Sexo]]=$B49,IF(DATOS_[[AGRUP. VALOR. PTO.]:[AGRUP. VALOR. PTO.]]=$B48,IF(DATOS_[[Check Periodo Ref.]:[Check Periodo Ref.]]="Dentro",DATOS_[Conc.Sal.30]))))), 0)</f>
        <v>0</v>
      </c>
      <c r="AJ49" s="210" t="n">
        <f aca="false" t="array" ref="AJ49:AJ49">IFERROR( AVERAGE(IF(DATOS_[Sexo]=$B49,IF(DATOS_[AGRUP. VALOR. PTO.]=$B48,IF(DATOS_[Check Periodo Ref.]="Dentro",DATOS_[Tot COMPL.SAL Ef],0)))), 0)</f>
        <v>0</v>
      </c>
      <c r="AK49" s="211" t="n">
        <f aca="false" t="array" ref="AK49:AK49">IFERROR( AVERAGE(IF(DATOS_[Sexo]=$B49,IF(DATOS_[AGRUP. VALOR. PTO.]=$B48,IF(DATOS_[Check Periodo Ref.]="Dentro",DATOS_[TOTAL SALARIO Ef],0)))), 0)</f>
        <v>0</v>
      </c>
      <c r="AL49" s="212" t="n">
        <f aca="false" t="array" ref="AL49:AL49">IFERROR( AVERAGE((IF(DATOS_[[Sexo]:[Sexo]]=$B49,IF(DATOS_[[AGRUP. VALOR. PTO.]:[AGRUP. VALOR. PTO.]]=$B48,IF(DATOS_[[Check Periodo Ref.]:[Check Periodo Ref.]]="Dentro",DATOS_[C.Extra.01]))))), 0)</f>
        <v>0</v>
      </c>
      <c r="AM49" s="212" t="n">
        <f aca="false" t="array" ref="AM49:AM49">IFERROR( AVERAGE((IF(DATOS_[[Sexo]:[Sexo]]=$B49,IF(DATOS_[[AGRUP. VALOR. PTO.]:[AGRUP. VALOR. PTO.]]=$B48,IF(DATOS_[[Check Periodo Ref.]:[Check Periodo Ref.]]="Dentro",DATOS_[C.Extra.02]))))), 0)</f>
        <v>0</v>
      </c>
      <c r="AN49" s="212" t="n">
        <f aca="false" t="array" ref="AN49:AN49">IFERROR( AVERAGE((IF(DATOS_[[Sexo]:[Sexo]]=$B49,IF(DATOS_[[AGRUP. VALOR. PTO.]:[AGRUP. VALOR. PTO.]]=$B48,IF(DATOS_[[Check Periodo Ref.]:[Check Periodo Ref.]]="Dentro",DATOS_[C.Extra.03]))))), 0)</f>
        <v>0</v>
      </c>
      <c r="AO49" s="212" t="n">
        <f aca="false" t="array" ref="AO49:AO49">IFERROR( AVERAGE((IF(DATOS_[[Sexo]:[Sexo]]=$B49,IF(DATOS_[[AGRUP. VALOR. PTO.]:[AGRUP. VALOR. PTO.]]=$B48,IF(DATOS_[[Check Periodo Ref.]:[Check Periodo Ref.]]="Dentro",DATOS_[C.Extra.04]))))), 0)</f>
        <v>0</v>
      </c>
      <c r="AP49" s="212" t="n">
        <f aca="false" t="array" ref="AP49:AP49">IFERROR( AVERAGE((IF(DATOS_[[Sexo]:[Sexo]]=$B49,IF(DATOS_[[AGRUP. VALOR. PTO.]:[AGRUP. VALOR. PTO.]]=$B48,IF(DATOS_[[Check Periodo Ref.]:[Check Periodo Ref.]]="Dentro",DATOS_[C.Extra.05]))))), 0)</f>
        <v>0</v>
      </c>
      <c r="AQ49" s="213" t="n">
        <f aca="false" t="array" ref="AQ49:AQ49">IFERROR( AVERAGE(IF(DATOS_[Sexo]=$B49,IF(DATOS_[AGRUP. VALOR. PTO.]=$B48,IF(DATOS_[Check Periodo Ref.]="Dentro",DATOS_[Tot Extrasalarial Ef],0)))), 0)</f>
        <v>0</v>
      </c>
      <c r="AR49" s="214" t="n">
        <f aca="false" t="array" ref="AR49:AR49">IFERROR( AVERAGE(IF(DATOS_[Sexo]=$B49,IF(DATOS_[AGRUP. VALOR. PTO.]=$B48,IF(DATOS_[Check Periodo Ref.]="Dentro",DATOS_[TOTAL Retrib Ef],0)))), 0)</f>
        <v>0</v>
      </c>
    </row>
    <row r="50" customFormat="false" ht="14.25" hidden="false" customHeight="false" outlineLevel="0" collapsed="false">
      <c r="A50" s="191" t="str">
        <f aca="false">+A49</f>
        <v>[ocultar]</v>
      </c>
      <c r="B50" s="205" t="s">
        <v>372</v>
      </c>
      <c r="C50" s="206" t="n">
        <f aca="false" t="array" ref="C50:C50">SUM(IF($B50=DATOS_[Sexo], IF($B48=DATOS_[AGRUP. VALOR. PTO.], IF("Dentro"=DATOS_[Check Periodo Ref.], 1/(COUNTIFS(DATOS_[Sexo],$B50,DATOS_[AGRUP. VALOR. PTO.],$B48,DATOS_[Check Periodo Ref.],"Dentro",DATOS_[id],DATOS_[id]))))))</f>
        <v>0</v>
      </c>
      <c r="D50" s="207" t="n">
        <f aca="false">COUNTIFS(DATOS_[AGRUP. VALOR. PTO.],$B48,DATOS_[Sexo],$B50,DATOS_[Check Periodo Ref.],"Dentro")</f>
        <v>0</v>
      </c>
      <c r="E50" s="208" t="n">
        <f aca="false" t="array" ref="E50:E50">IFERROR( AVERAGE(IF(DATOS_[Sexo]=$B50,IF(DATOS_[AGRUP. VALOR. PTO.]=$B48,IF(DATOS_[Check Periodo Ref.]="Dentro",DATOS_[SALARIO BASE Ef],0)))), 0)</f>
        <v>0</v>
      </c>
      <c r="F50" s="209" t="n">
        <f aca="false" t="array" ref="F50:F50">IFERROR( AVERAGE((IF(DATOS_[[Sexo]:[Sexo]]=$B50,IF(DATOS_[[AGRUP. VALOR. PTO.]:[AGRUP. VALOR. PTO.]]=$B48,IF(DATOS_[[Check Periodo Ref.]:[Check Periodo Ref.]]="Dentro",DATOS_[Conc.Sal.01]))))), 0)</f>
        <v>0</v>
      </c>
      <c r="G50" s="209" t="n">
        <f aca="false" t="array" ref="G50:G50">IFERROR( AVERAGE((IF(DATOS_[[Sexo]:[Sexo]]=$B50,IF(DATOS_[[AGRUP. VALOR. PTO.]:[AGRUP. VALOR. PTO.]]=$B48,IF(DATOS_[[Check Periodo Ref.]:[Check Periodo Ref.]]="Dentro",DATOS_[Conc.Sal.02]))))), 0)</f>
        <v>0</v>
      </c>
      <c r="H50" s="209" t="n">
        <f aca="false" t="array" ref="H50:H50">IFERROR( AVERAGE((IF(DATOS_[[Sexo]:[Sexo]]=$B50,IF(DATOS_[[AGRUP. VALOR. PTO.]:[AGRUP. VALOR. PTO.]]=$B48,IF(DATOS_[[Check Periodo Ref.]:[Check Periodo Ref.]]="Dentro",DATOS_[Conc.Sal.03]))))), 0)</f>
        <v>0</v>
      </c>
      <c r="I50" s="209" t="n">
        <f aca="false" t="array" ref="I50:I50">IFERROR( AVERAGE((IF(DATOS_[[Sexo]:[Sexo]]=$B50,IF(DATOS_[[AGRUP. VALOR. PTO.]:[AGRUP. VALOR. PTO.]]=$B48,IF(DATOS_[[Check Periodo Ref.]:[Check Periodo Ref.]]="Dentro",DATOS_[Conc.Sal.04]))))), 0)</f>
        <v>0</v>
      </c>
      <c r="J50" s="209" t="n">
        <f aca="false" t="array" ref="J50:J50">IFERROR( AVERAGE((IF(DATOS_[[Sexo]:[Sexo]]=$B50,IF(DATOS_[[AGRUP. VALOR. PTO.]:[AGRUP. VALOR. PTO.]]=$B48,IF(DATOS_[[Check Periodo Ref.]:[Check Periodo Ref.]]="Dentro",DATOS_[Conc.Sal.05]))))), 0)</f>
        <v>0</v>
      </c>
      <c r="K50" s="209" t="n">
        <f aca="false" t="array" ref="K50:K50">IFERROR( AVERAGE((IF(DATOS_[[Sexo]:[Sexo]]=$B50,IF(DATOS_[[AGRUP. VALOR. PTO.]:[AGRUP. VALOR. PTO.]]=$B48,IF(DATOS_[[Check Periodo Ref.]:[Check Periodo Ref.]]="Dentro",DATOS_[Conc.Sal.06]))))), 0)</f>
        <v>0</v>
      </c>
      <c r="L50" s="209" t="n">
        <f aca="false" t="array" ref="L50:L50">IFERROR( AVERAGE((IF(DATOS_[[Sexo]:[Sexo]]=$B50,IF(DATOS_[[AGRUP. VALOR. PTO.]:[AGRUP. VALOR. PTO.]]=$B48,IF(DATOS_[[Check Periodo Ref.]:[Check Periodo Ref.]]="Dentro",DATOS_[Conc.Sal.07]))))), 0)</f>
        <v>0</v>
      </c>
      <c r="M50" s="209" t="n">
        <f aca="false" t="array" ref="M50:M50">IFERROR( AVERAGE((IF(DATOS_[[Sexo]:[Sexo]]=$B50,IF(DATOS_[[AGRUP. VALOR. PTO.]:[AGRUP. VALOR. PTO.]]=$B48,IF(DATOS_[[Check Periodo Ref.]:[Check Periodo Ref.]]="Dentro",DATOS_[Conc.Sal.08]))))), 0)</f>
        <v>0</v>
      </c>
      <c r="N50" s="209" t="n">
        <f aca="false" t="array" ref="N50:N50">IFERROR( AVERAGE((IF(DATOS_[[Sexo]:[Sexo]]=$B50,IF(DATOS_[[AGRUP. VALOR. PTO.]:[AGRUP. VALOR. PTO.]]=$B48,IF(DATOS_[[Check Periodo Ref.]:[Check Periodo Ref.]]="Dentro",DATOS_[Conc.Sal.09]))))), 0)</f>
        <v>0</v>
      </c>
      <c r="O50" s="209" t="n">
        <f aca="false" t="array" ref="O50:O50">IFERROR( AVERAGE((IF(DATOS_[[Sexo]:[Sexo]]=$B50,IF(DATOS_[[AGRUP. VALOR. PTO.]:[AGRUP. VALOR. PTO.]]=$B48,IF(DATOS_[[Check Periodo Ref.]:[Check Periodo Ref.]]="Dentro",DATOS_[Conc.Sal.10]))))), 0)</f>
        <v>0</v>
      </c>
      <c r="P50" s="209" t="n">
        <f aca="false" t="array" ref="P50:P50">IFERROR( AVERAGE((IF(DATOS_[[Sexo]:[Sexo]]=$B50,IF(DATOS_[[AGRUP. VALOR. PTO.]:[AGRUP. VALOR. PTO.]]=$B48,IF(DATOS_[[Check Periodo Ref.]:[Check Periodo Ref.]]="Dentro",DATOS_[Conc.Sal.11]))))), 0)</f>
        <v>0</v>
      </c>
      <c r="Q50" s="209" t="n">
        <f aca="false" t="array" ref="Q50:Q50">IFERROR( AVERAGE((IF(DATOS_[[Sexo]:[Sexo]]=$B50,IF(DATOS_[[AGRUP. VALOR. PTO.]:[AGRUP. VALOR. PTO.]]=$B48,IF(DATOS_[[Check Periodo Ref.]:[Check Periodo Ref.]]="Dentro",DATOS_[Conc.Sal.12]))))), 0)</f>
        <v>0</v>
      </c>
      <c r="R50" s="209" t="n">
        <f aca="false" t="array" ref="R50:R50">IFERROR( AVERAGE((IF(DATOS_[[Sexo]:[Sexo]]=$B50,IF(DATOS_[[AGRUP. VALOR. PTO.]:[AGRUP. VALOR. PTO.]]=$B48,IF(DATOS_[[Check Periodo Ref.]:[Check Periodo Ref.]]="Dentro",DATOS_[Conc.Sal.13]))))), 0)</f>
        <v>0</v>
      </c>
      <c r="S50" s="209" t="n">
        <f aca="false" t="array" ref="S50:S50">IFERROR( AVERAGE((IF(DATOS_[[Sexo]:[Sexo]]=$B50,IF(DATOS_[[AGRUP. VALOR. PTO.]:[AGRUP. VALOR. PTO.]]=$B48,IF(DATOS_[[Check Periodo Ref.]:[Check Periodo Ref.]]="Dentro",DATOS_[Conc.Sal.14]))))), 0)</f>
        <v>0</v>
      </c>
      <c r="T50" s="209" t="n">
        <f aca="false" t="array" ref="T50:T50">IFERROR( AVERAGE((IF(DATOS_[[Sexo]:[Sexo]]=$B50,IF(DATOS_[[AGRUP. VALOR. PTO.]:[AGRUP. VALOR. PTO.]]=$B48,IF(DATOS_[[Check Periodo Ref.]:[Check Periodo Ref.]]="Dentro",DATOS_[Conc.Sal.15]))))), 0)</f>
        <v>0</v>
      </c>
      <c r="U50" s="209" t="n">
        <f aca="false" t="array" ref="U50:U50">IFERROR( AVERAGE((IF(DATOS_[[Sexo]:[Sexo]]=$B50,IF(DATOS_[[AGRUP. VALOR. PTO.]:[AGRUP. VALOR. PTO.]]=$B48,IF(DATOS_[[Check Periodo Ref.]:[Check Periodo Ref.]]="Dentro",DATOS_[Conc.Sal.16]))))), 0)</f>
        <v>0</v>
      </c>
      <c r="V50" s="209" t="n">
        <f aca="false" t="array" ref="V50:V50">IFERROR( AVERAGE((IF(DATOS_[[Sexo]:[Sexo]]=$B50,IF(DATOS_[[AGRUP. VALOR. PTO.]:[AGRUP. VALOR. PTO.]]=$B48,IF(DATOS_[[Check Periodo Ref.]:[Check Periodo Ref.]]="Dentro",DATOS_[Conc.Sal.17]))))), 0)</f>
        <v>0</v>
      </c>
      <c r="W50" s="209" t="n">
        <f aca="false" t="array" ref="W50:W50">IFERROR( AVERAGE((IF(DATOS_[[Sexo]:[Sexo]]=$B50,IF(DATOS_[[AGRUP. VALOR. PTO.]:[AGRUP. VALOR. PTO.]]=$B48,IF(DATOS_[[Check Periodo Ref.]:[Check Periodo Ref.]]="Dentro",DATOS_[Conc.Sal.18]))))), 0)</f>
        <v>0</v>
      </c>
      <c r="X50" s="209" t="n">
        <f aca="false" t="array" ref="X50:X50">IFERROR( AVERAGE((IF(DATOS_[[Sexo]:[Sexo]]=$B50,IF(DATOS_[[AGRUP. VALOR. PTO.]:[AGRUP. VALOR. PTO.]]=$B48,IF(DATOS_[[Check Periodo Ref.]:[Check Periodo Ref.]]="Dentro",DATOS_[Conc.Sal.19]))))), 0)</f>
        <v>0</v>
      </c>
      <c r="Y50" s="209" t="n">
        <f aca="false" t="array" ref="Y50:Y50">IFERROR( AVERAGE((IF(DATOS_[[Sexo]:[Sexo]]=$B50,IF(DATOS_[[AGRUP. VALOR. PTO.]:[AGRUP. VALOR. PTO.]]=$B48,IF(DATOS_[[Check Periodo Ref.]:[Check Periodo Ref.]]="Dentro",DATOS_[Conc.Sal.20]))))), 0)</f>
        <v>0</v>
      </c>
      <c r="Z50" s="209" t="n">
        <f aca="false" t="array" ref="Z50:Z50">IFERROR( AVERAGE((IF(DATOS_[[Sexo]:[Sexo]]=$B50,IF(DATOS_[[AGRUP. VALOR. PTO.]:[AGRUP. VALOR. PTO.]]=$B48,IF(DATOS_[[Check Periodo Ref.]:[Check Periodo Ref.]]="Dentro",DATOS_[Conc.Sal.21]))))), 0)</f>
        <v>0</v>
      </c>
      <c r="AA50" s="209" t="n">
        <f aca="false" t="array" ref="AA50:AA50">IFERROR( AVERAGE((IF(DATOS_[[Sexo]:[Sexo]]=$B50,IF(DATOS_[[AGRUP. VALOR. PTO.]:[AGRUP. VALOR. PTO.]]=$B48,IF(DATOS_[[Check Periodo Ref.]:[Check Periodo Ref.]]="Dentro",DATOS_[Conc.Sal.22]))))), 0)</f>
        <v>0</v>
      </c>
      <c r="AB50" s="209" t="n">
        <f aca="false" t="array" ref="AB50:AB50">IFERROR( AVERAGE((IF(DATOS_[[Sexo]:[Sexo]]=$B50,IF(DATOS_[[AGRUP. VALOR. PTO.]:[AGRUP. VALOR. PTO.]]=$B48,IF(DATOS_[[Check Periodo Ref.]:[Check Periodo Ref.]]="Dentro",DATOS_[Conc.Sal.23]))))), 0)</f>
        <v>0</v>
      </c>
      <c r="AC50" s="209" t="n">
        <f aca="false" t="array" ref="AC50:AC50">IFERROR( AVERAGE((IF(DATOS_[[Sexo]:[Sexo]]=$B50,IF(DATOS_[[AGRUP. VALOR. PTO.]:[AGRUP. VALOR. PTO.]]=$B48,IF(DATOS_[[Check Periodo Ref.]:[Check Periodo Ref.]]="Dentro",DATOS_[Conc.Sal.24]))))), 0)</f>
        <v>0</v>
      </c>
      <c r="AD50" s="209" t="n">
        <f aca="false" t="array" ref="AD50:AD50">IFERROR( AVERAGE((IF(DATOS_[[Sexo]:[Sexo]]=$B50,IF(DATOS_[[AGRUP. VALOR. PTO.]:[AGRUP. VALOR. PTO.]]=$B48,IF(DATOS_[[Check Periodo Ref.]:[Check Periodo Ref.]]="Dentro",DATOS_[Conc.Sal.25]))))), 0)</f>
        <v>0</v>
      </c>
      <c r="AE50" s="209" t="n">
        <f aca="false" t="array" ref="AE50:AE50">IFERROR( AVERAGE((IF(DATOS_[[Sexo]:[Sexo]]=$B50,IF(DATOS_[[AGRUP. VALOR. PTO.]:[AGRUP. VALOR. PTO.]]=$B48,IF(DATOS_[[Check Periodo Ref.]:[Check Periodo Ref.]]="Dentro",DATOS_[Conc.Sal.26]))))), 0)</f>
        <v>0</v>
      </c>
      <c r="AF50" s="209" t="n">
        <f aca="false" t="array" ref="AF50:AF50">IFERROR( AVERAGE((IF(DATOS_[[Sexo]:[Sexo]]=$B50,IF(DATOS_[[AGRUP. VALOR. PTO.]:[AGRUP. VALOR. PTO.]]=$B48,IF(DATOS_[[Check Periodo Ref.]:[Check Periodo Ref.]]="Dentro",DATOS_[Conc.Sal.27]))))), 0)</f>
        <v>0</v>
      </c>
      <c r="AG50" s="209" t="n">
        <f aca="false" t="array" ref="AG50:AG50">IFERROR( AVERAGE((IF(DATOS_[[Sexo]:[Sexo]]=$B50,IF(DATOS_[[AGRUP. VALOR. PTO.]:[AGRUP. VALOR. PTO.]]=$B48,IF(DATOS_[[Check Periodo Ref.]:[Check Periodo Ref.]]="Dentro",DATOS_[Conc.Sal.28]))))), 0)</f>
        <v>0</v>
      </c>
      <c r="AH50" s="209" t="n">
        <f aca="false" t="array" ref="AH50:AH50">IFERROR( AVERAGE((IF(DATOS_[[Sexo]:[Sexo]]=$B50,IF(DATOS_[[AGRUP. VALOR. PTO.]:[AGRUP. VALOR. PTO.]]=$B48,IF(DATOS_[[Check Periodo Ref.]:[Check Periodo Ref.]]="Dentro",DATOS_[Conc.Sal.29]))))), 0)</f>
        <v>0</v>
      </c>
      <c r="AI50" s="209" t="n">
        <f aca="false" t="array" ref="AI50:AI50">IFERROR( AVERAGE((IF(DATOS_[[Sexo]:[Sexo]]=$B50,IF(DATOS_[[AGRUP. VALOR. PTO.]:[AGRUP. VALOR. PTO.]]=$B48,IF(DATOS_[[Check Periodo Ref.]:[Check Periodo Ref.]]="Dentro",DATOS_[Conc.Sal.30]))))), 0)</f>
        <v>0</v>
      </c>
      <c r="AJ50" s="210" t="n">
        <f aca="false" t="array" ref="AJ50:AJ50">IFERROR( AVERAGE(IF(DATOS_[Sexo]=$B50,IF(DATOS_[AGRUP. VALOR. PTO.]=$B48,IF(DATOS_[Check Periodo Ref.]="Dentro",DATOS_[Tot COMPL.SAL Ef],0)))), 0)</f>
        <v>0</v>
      </c>
      <c r="AK50" s="211" t="n">
        <f aca="false" t="array" ref="AK50:AK50">IFERROR( AVERAGE(IF(DATOS_[Sexo]=$B50,IF(DATOS_[AGRUP. VALOR. PTO.]=$B48,IF(DATOS_[Check Periodo Ref.]="Dentro",DATOS_[TOTAL SALARIO Ef],0)))), 0)</f>
        <v>0</v>
      </c>
      <c r="AL50" s="212" t="n">
        <f aca="false" t="array" ref="AL50:AL50">IFERROR( AVERAGE((IF(DATOS_[[Sexo]:[Sexo]]=$B50,IF(DATOS_[[AGRUP. VALOR. PTO.]:[AGRUP. VALOR. PTO.]]=$B48,IF(DATOS_[[Check Periodo Ref.]:[Check Periodo Ref.]]="Dentro",DATOS_[C.Extra.01]))))), 0)</f>
        <v>0</v>
      </c>
      <c r="AM50" s="212" t="n">
        <f aca="false" t="array" ref="AM50:AM50">IFERROR( AVERAGE((IF(DATOS_[[Sexo]:[Sexo]]=$B50,IF(DATOS_[[AGRUP. VALOR. PTO.]:[AGRUP. VALOR. PTO.]]=$B48,IF(DATOS_[[Check Periodo Ref.]:[Check Periodo Ref.]]="Dentro",DATOS_[C.Extra.02]))))), 0)</f>
        <v>0</v>
      </c>
      <c r="AN50" s="212" t="n">
        <f aca="false" t="array" ref="AN50:AN50">IFERROR( AVERAGE((IF(DATOS_[[Sexo]:[Sexo]]=$B50,IF(DATOS_[[AGRUP. VALOR. PTO.]:[AGRUP. VALOR. PTO.]]=$B48,IF(DATOS_[[Check Periodo Ref.]:[Check Periodo Ref.]]="Dentro",DATOS_[C.Extra.03]))))), 0)</f>
        <v>0</v>
      </c>
      <c r="AO50" s="212" t="n">
        <f aca="false" t="array" ref="AO50:AO50">IFERROR( AVERAGE((IF(DATOS_[[Sexo]:[Sexo]]=$B50,IF(DATOS_[[AGRUP. VALOR. PTO.]:[AGRUP. VALOR. PTO.]]=$B48,IF(DATOS_[[Check Periodo Ref.]:[Check Periodo Ref.]]="Dentro",DATOS_[C.Extra.04]))))), 0)</f>
        <v>0</v>
      </c>
      <c r="AP50" s="212" t="n">
        <f aca="false" t="array" ref="AP50:AP50">IFERROR( AVERAGE((IF(DATOS_[[Sexo]:[Sexo]]=$B50,IF(DATOS_[[AGRUP. VALOR. PTO.]:[AGRUP. VALOR. PTO.]]=$B48,IF(DATOS_[[Check Periodo Ref.]:[Check Periodo Ref.]]="Dentro",DATOS_[C.Extra.05]))))), 0)</f>
        <v>0</v>
      </c>
      <c r="AQ50" s="213" t="n">
        <f aca="false" t="array" ref="AQ50:AQ50">IFERROR( AVERAGE(IF(DATOS_[Sexo]=$B50,IF(DATOS_[AGRUP. VALOR. PTO.]=$B48,IF(DATOS_[Check Periodo Ref.]="Dentro",DATOS_[Tot Extrasalarial Ef],0)))), 0)</f>
        <v>0</v>
      </c>
      <c r="AR50" s="214" t="n">
        <f aca="false" t="array" ref="AR50:AR50">IFERROR( AVERAGE(IF(DATOS_[Sexo]=$B50,IF(DATOS_[AGRUP. VALOR. PTO.]=$B48,IF(DATOS_[Check Periodo Ref.]="Dentro",DATOS_[TOTAL Retrib Ef],0)))), 0)</f>
        <v>0</v>
      </c>
    </row>
    <row r="51" customFormat="false" ht="15.75" hidden="false" customHeight="false" outlineLevel="0" collapsed="false">
      <c r="A51" s="191" t="str">
        <f aca="false">+A52</f>
        <v>[ocultar]</v>
      </c>
      <c r="B51" s="192" t="s">
        <v>205</v>
      </c>
      <c r="C51" s="193"/>
      <c r="D51" s="194"/>
      <c r="E51" s="195" t="str">
        <f aca="false">IFERROR((E52-E53)/E52,"")</f>
        <v/>
      </c>
      <c r="F51" s="196" t="str">
        <f aca="false">IFERROR((F52-F53)/F52,"")</f>
        <v/>
      </c>
      <c r="G51" s="197" t="str">
        <f aca="false">IFERROR((G52-G53)/G52,"")</f>
        <v/>
      </c>
      <c r="H51" s="197" t="str">
        <f aca="false">IFERROR((H52-H53)/H52,"")</f>
        <v/>
      </c>
      <c r="I51" s="197" t="str">
        <f aca="false">IFERROR((I52-I53)/I52,"")</f>
        <v/>
      </c>
      <c r="J51" s="198" t="str">
        <f aca="false">IFERROR((J52-J53)/J52,"")</f>
        <v/>
      </c>
      <c r="K51" s="199" t="str">
        <f aca="false">IFERROR((K52-K53)/K52,"")</f>
        <v/>
      </c>
      <c r="L51" s="199" t="str">
        <f aca="false">IFERROR((L52-L53)/L52,"")</f>
        <v/>
      </c>
      <c r="M51" s="199" t="str">
        <f aca="false">IFERROR((M52-M53)/M52,"")</f>
        <v/>
      </c>
      <c r="N51" s="199" t="str">
        <f aca="false">IFERROR((N52-N53)/N52,"")</f>
        <v/>
      </c>
      <c r="O51" s="199" t="str">
        <f aca="false">IFERROR((O52-O53)/O52,"")</f>
        <v/>
      </c>
      <c r="P51" s="199" t="str">
        <f aca="false">IFERROR((P52-P53)/P52,"")</f>
        <v/>
      </c>
      <c r="Q51" s="199" t="str">
        <f aca="false">IFERROR((Q52-Q53)/Q52,"")</f>
        <v/>
      </c>
      <c r="R51" s="199" t="str">
        <f aca="false">IFERROR((R52-R53)/R52,"")</f>
        <v/>
      </c>
      <c r="S51" s="199" t="str">
        <f aca="false">IFERROR((S52-S53)/S52,"")</f>
        <v/>
      </c>
      <c r="T51" s="199" t="str">
        <f aca="false">IFERROR((T52-T53)/T52,"")</f>
        <v/>
      </c>
      <c r="U51" s="199" t="str">
        <f aca="false">IFERROR((U52-U53)/U52,"")</f>
        <v/>
      </c>
      <c r="V51" s="198" t="str">
        <f aca="false">IFERROR((V52-V53)/V52,"")</f>
        <v/>
      </c>
      <c r="W51" s="198" t="str">
        <f aca="false">IFERROR((W52-W53)/W52,"")</f>
        <v/>
      </c>
      <c r="X51" s="198" t="str">
        <f aca="false">IFERROR((X52-X53)/X52,"")</f>
        <v/>
      </c>
      <c r="Y51" s="198" t="str">
        <f aca="false">IFERROR((Y52-Y53)/Y52,"")</f>
        <v/>
      </c>
      <c r="Z51" s="198" t="str">
        <f aca="false">IFERROR((Z52-Z53)/Z52,"")</f>
        <v/>
      </c>
      <c r="AA51" s="198" t="str">
        <f aca="false">IFERROR((AA52-AA53)/AA52,"")</f>
        <v/>
      </c>
      <c r="AB51" s="198" t="str">
        <f aca="false">IFERROR((AB52-AB53)/AB52,"")</f>
        <v/>
      </c>
      <c r="AC51" s="198" t="str">
        <f aca="false">IFERROR((AC52-AC53)/AC52,"")</f>
        <v/>
      </c>
      <c r="AD51" s="198" t="str">
        <f aca="false">IFERROR((AD52-AD53)/AD52,"")</f>
        <v/>
      </c>
      <c r="AE51" s="198" t="str">
        <f aca="false">IFERROR((AE52-AE53)/AE52,"")</f>
        <v/>
      </c>
      <c r="AF51" s="198" t="str">
        <f aca="false">IFERROR((AF52-AF53)/AF52,"")</f>
        <v/>
      </c>
      <c r="AG51" s="198" t="str">
        <f aca="false">IFERROR((AG52-AG53)/AG52,"")</f>
        <v/>
      </c>
      <c r="AH51" s="198" t="str">
        <f aca="false">IFERROR((AH52-AH53)/AH52,"")</f>
        <v/>
      </c>
      <c r="AI51" s="198" t="str">
        <f aca="false">IFERROR((AI52-AI53)/AI52,"")</f>
        <v/>
      </c>
      <c r="AJ51" s="200" t="str">
        <f aca="false">IFERROR((AJ52-AJ53)/AJ52,"")</f>
        <v/>
      </c>
      <c r="AK51" s="201" t="str">
        <f aca="false">IFERROR((AK52-AK53)/AK52,"")</f>
        <v/>
      </c>
      <c r="AL51" s="202" t="str">
        <f aca="false">IFERROR((AL52-AL53)/AL52,"")</f>
        <v/>
      </c>
      <c r="AM51" s="202" t="str">
        <f aca="false">IFERROR((AM52-AM53)/AM52,"")</f>
        <v/>
      </c>
      <c r="AN51" s="202" t="str">
        <f aca="false">IFERROR((AN52-AN53)/AN52,"")</f>
        <v/>
      </c>
      <c r="AO51" s="202" t="str">
        <f aca="false">IFERROR((AO52-AO53)/AO52,"")</f>
        <v/>
      </c>
      <c r="AP51" s="202" t="str">
        <f aca="false">IFERROR((AP52-AP53)/AP52,"")</f>
        <v/>
      </c>
      <c r="AQ51" s="203" t="str">
        <f aca="false">IFERROR((AQ52-AQ53)/AQ52,"")</f>
        <v/>
      </c>
      <c r="AR51" s="204" t="str">
        <f aca="false">IFERROR((AR52-AR53)/AR52,"")</f>
        <v/>
      </c>
    </row>
    <row r="52" customFormat="false" ht="14.25" hidden="false" customHeight="false" outlineLevel="0" collapsed="false">
      <c r="A52" s="191" t="str">
        <f aca="false">+IF(C52+C53=0,"[ocultar]","")</f>
        <v>[ocultar]</v>
      </c>
      <c r="B52" s="205" t="s">
        <v>371</v>
      </c>
      <c r="C52" s="206" t="n">
        <f aca="false" t="array" ref="C52:C52">SUM(IF($B52=DATOS_[Sexo], IF($B51=DATOS_[AGRUP. VALOR. PTO.], IF("Dentro"=DATOS_[Check Periodo Ref.], 1/(COUNTIFS(DATOS_[Sexo],$B52,DATOS_[AGRUP. VALOR. PTO.],$B51,DATOS_[Check Periodo Ref.],"Dentro",DATOS_[id],DATOS_[id]))))))</f>
        <v>0</v>
      </c>
      <c r="D52" s="207" t="n">
        <f aca="false">COUNTIFS(DATOS_[AGRUP. VALOR. PTO.],$B51,DATOS_[Sexo],$B52,DATOS_[Check Periodo Ref.],"Dentro")</f>
        <v>0</v>
      </c>
      <c r="E52" s="208" t="n">
        <f aca="false" t="array" ref="E52:E52">IFERROR( AVERAGE(IF(DATOS_[Sexo]=$B52,IF(DATOS_[AGRUP. VALOR. PTO.]=$B51,IF(DATOS_[Check Periodo Ref.]="Dentro",DATOS_[SALARIO BASE Ef],0)))), 0)</f>
        <v>0</v>
      </c>
      <c r="F52" s="209" t="n">
        <f aca="false" t="array" ref="F52:F52">IFERROR( AVERAGE((IF(DATOS_[[Sexo]:[Sexo]]=$B52,IF(DATOS_[[AGRUP. VALOR. PTO.]:[AGRUP. VALOR. PTO.]]=$B51,IF(DATOS_[[Check Periodo Ref.]:[Check Periodo Ref.]]="Dentro",DATOS_[Conc.Sal.01]))))), 0)</f>
        <v>0</v>
      </c>
      <c r="G52" s="209" t="n">
        <f aca="false" t="array" ref="G52:G52">IFERROR( AVERAGE((IF(DATOS_[[Sexo]:[Sexo]]=$B52,IF(DATOS_[[AGRUP. VALOR. PTO.]:[AGRUP. VALOR. PTO.]]=$B51,IF(DATOS_[[Check Periodo Ref.]:[Check Periodo Ref.]]="Dentro",DATOS_[Conc.Sal.02]))))), 0)</f>
        <v>0</v>
      </c>
      <c r="H52" s="209" t="n">
        <f aca="false" t="array" ref="H52:H52">IFERROR( AVERAGE((IF(DATOS_[[Sexo]:[Sexo]]=$B52,IF(DATOS_[[AGRUP. VALOR. PTO.]:[AGRUP. VALOR. PTO.]]=$B51,IF(DATOS_[[Check Periodo Ref.]:[Check Periodo Ref.]]="Dentro",DATOS_[Conc.Sal.03]))))), 0)</f>
        <v>0</v>
      </c>
      <c r="I52" s="209" t="n">
        <f aca="false" t="array" ref="I52:I52">IFERROR( AVERAGE((IF(DATOS_[[Sexo]:[Sexo]]=$B52,IF(DATOS_[[AGRUP. VALOR. PTO.]:[AGRUP. VALOR. PTO.]]=$B51,IF(DATOS_[[Check Periodo Ref.]:[Check Periodo Ref.]]="Dentro",DATOS_[Conc.Sal.04]))))), 0)</f>
        <v>0</v>
      </c>
      <c r="J52" s="209" t="n">
        <f aca="false" t="array" ref="J52:J52">IFERROR( AVERAGE((IF(DATOS_[[Sexo]:[Sexo]]=$B52,IF(DATOS_[[AGRUP. VALOR. PTO.]:[AGRUP. VALOR. PTO.]]=$B51,IF(DATOS_[[Check Periodo Ref.]:[Check Periodo Ref.]]="Dentro",DATOS_[Conc.Sal.05]))))), 0)</f>
        <v>0</v>
      </c>
      <c r="K52" s="209" t="n">
        <f aca="false" t="array" ref="K52:K52">IFERROR( AVERAGE((IF(DATOS_[[Sexo]:[Sexo]]=$B52,IF(DATOS_[[AGRUP. VALOR. PTO.]:[AGRUP. VALOR. PTO.]]=$B51,IF(DATOS_[[Check Periodo Ref.]:[Check Periodo Ref.]]="Dentro",DATOS_[Conc.Sal.06]))))), 0)</f>
        <v>0</v>
      </c>
      <c r="L52" s="209" t="n">
        <f aca="false" t="array" ref="L52:L52">IFERROR( AVERAGE((IF(DATOS_[[Sexo]:[Sexo]]=$B52,IF(DATOS_[[AGRUP. VALOR. PTO.]:[AGRUP. VALOR. PTO.]]=$B51,IF(DATOS_[[Check Periodo Ref.]:[Check Periodo Ref.]]="Dentro",DATOS_[Conc.Sal.07]))))), 0)</f>
        <v>0</v>
      </c>
      <c r="M52" s="209" t="n">
        <f aca="false" t="array" ref="M52:M52">IFERROR( AVERAGE((IF(DATOS_[[Sexo]:[Sexo]]=$B52,IF(DATOS_[[AGRUP. VALOR. PTO.]:[AGRUP. VALOR. PTO.]]=$B51,IF(DATOS_[[Check Periodo Ref.]:[Check Periodo Ref.]]="Dentro",DATOS_[Conc.Sal.08]))))), 0)</f>
        <v>0</v>
      </c>
      <c r="N52" s="209" t="n">
        <f aca="false" t="array" ref="N52:N52">IFERROR( AVERAGE((IF(DATOS_[[Sexo]:[Sexo]]=$B52,IF(DATOS_[[AGRUP. VALOR. PTO.]:[AGRUP. VALOR. PTO.]]=$B51,IF(DATOS_[[Check Periodo Ref.]:[Check Periodo Ref.]]="Dentro",DATOS_[Conc.Sal.09]))))), 0)</f>
        <v>0</v>
      </c>
      <c r="O52" s="209" t="n">
        <f aca="false" t="array" ref="O52:O52">IFERROR( AVERAGE((IF(DATOS_[[Sexo]:[Sexo]]=$B52,IF(DATOS_[[AGRUP. VALOR. PTO.]:[AGRUP. VALOR. PTO.]]=$B51,IF(DATOS_[[Check Periodo Ref.]:[Check Periodo Ref.]]="Dentro",DATOS_[Conc.Sal.10]))))), 0)</f>
        <v>0</v>
      </c>
      <c r="P52" s="209" t="n">
        <f aca="false" t="array" ref="P52:P52">IFERROR( AVERAGE((IF(DATOS_[[Sexo]:[Sexo]]=$B52,IF(DATOS_[[AGRUP. VALOR. PTO.]:[AGRUP. VALOR. PTO.]]=$B51,IF(DATOS_[[Check Periodo Ref.]:[Check Periodo Ref.]]="Dentro",DATOS_[Conc.Sal.11]))))), 0)</f>
        <v>0</v>
      </c>
      <c r="Q52" s="209" t="n">
        <f aca="false" t="array" ref="Q52:Q52">IFERROR( AVERAGE((IF(DATOS_[[Sexo]:[Sexo]]=$B52,IF(DATOS_[[AGRUP. VALOR. PTO.]:[AGRUP. VALOR. PTO.]]=$B51,IF(DATOS_[[Check Periodo Ref.]:[Check Periodo Ref.]]="Dentro",DATOS_[Conc.Sal.12]))))), 0)</f>
        <v>0</v>
      </c>
      <c r="R52" s="209" t="n">
        <f aca="false" t="array" ref="R52:R52">IFERROR( AVERAGE((IF(DATOS_[[Sexo]:[Sexo]]=$B52,IF(DATOS_[[AGRUP. VALOR. PTO.]:[AGRUP. VALOR. PTO.]]=$B51,IF(DATOS_[[Check Periodo Ref.]:[Check Periodo Ref.]]="Dentro",DATOS_[Conc.Sal.13]))))), 0)</f>
        <v>0</v>
      </c>
      <c r="S52" s="209" t="n">
        <f aca="false" t="array" ref="S52:S52">IFERROR( AVERAGE((IF(DATOS_[[Sexo]:[Sexo]]=$B52,IF(DATOS_[[AGRUP. VALOR. PTO.]:[AGRUP. VALOR. PTO.]]=$B51,IF(DATOS_[[Check Periodo Ref.]:[Check Periodo Ref.]]="Dentro",DATOS_[Conc.Sal.14]))))), 0)</f>
        <v>0</v>
      </c>
      <c r="T52" s="209" t="n">
        <f aca="false" t="array" ref="T52:T52">IFERROR( AVERAGE((IF(DATOS_[[Sexo]:[Sexo]]=$B52,IF(DATOS_[[AGRUP. VALOR. PTO.]:[AGRUP. VALOR. PTO.]]=$B51,IF(DATOS_[[Check Periodo Ref.]:[Check Periodo Ref.]]="Dentro",DATOS_[Conc.Sal.15]))))), 0)</f>
        <v>0</v>
      </c>
      <c r="U52" s="209" t="n">
        <f aca="false" t="array" ref="U52:U52">IFERROR( AVERAGE((IF(DATOS_[[Sexo]:[Sexo]]=$B52,IF(DATOS_[[AGRUP. VALOR. PTO.]:[AGRUP. VALOR. PTO.]]=$B51,IF(DATOS_[[Check Periodo Ref.]:[Check Periodo Ref.]]="Dentro",DATOS_[Conc.Sal.16]))))), 0)</f>
        <v>0</v>
      </c>
      <c r="V52" s="209" t="n">
        <f aca="false" t="array" ref="V52:V52">IFERROR( AVERAGE((IF(DATOS_[[Sexo]:[Sexo]]=$B52,IF(DATOS_[[AGRUP. VALOR. PTO.]:[AGRUP. VALOR. PTO.]]=$B51,IF(DATOS_[[Check Periodo Ref.]:[Check Periodo Ref.]]="Dentro",DATOS_[Conc.Sal.17]))))), 0)</f>
        <v>0</v>
      </c>
      <c r="W52" s="209" t="n">
        <f aca="false" t="array" ref="W52:W52">IFERROR( AVERAGE((IF(DATOS_[[Sexo]:[Sexo]]=$B52,IF(DATOS_[[AGRUP. VALOR. PTO.]:[AGRUP. VALOR. PTO.]]=$B51,IF(DATOS_[[Check Periodo Ref.]:[Check Periodo Ref.]]="Dentro",DATOS_[Conc.Sal.18]))))), 0)</f>
        <v>0</v>
      </c>
      <c r="X52" s="209" t="n">
        <f aca="false" t="array" ref="X52:X52">IFERROR( AVERAGE((IF(DATOS_[[Sexo]:[Sexo]]=$B52,IF(DATOS_[[AGRUP. VALOR. PTO.]:[AGRUP. VALOR. PTO.]]=$B51,IF(DATOS_[[Check Periodo Ref.]:[Check Periodo Ref.]]="Dentro",DATOS_[Conc.Sal.19]))))), 0)</f>
        <v>0</v>
      </c>
      <c r="Y52" s="209" t="n">
        <f aca="false" t="array" ref="Y52:Y52">IFERROR( AVERAGE((IF(DATOS_[[Sexo]:[Sexo]]=$B52,IF(DATOS_[[AGRUP. VALOR. PTO.]:[AGRUP. VALOR. PTO.]]=$B51,IF(DATOS_[[Check Periodo Ref.]:[Check Periodo Ref.]]="Dentro",DATOS_[Conc.Sal.20]))))), 0)</f>
        <v>0</v>
      </c>
      <c r="Z52" s="209" t="n">
        <f aca="false" t="array" ref="Z52:Z52">IFERROR( AVERAGE((IF(DATOS_[[Sexo]:[Sexo]]=$B52,IF(DATOS_[[AGRUP. VALOR. PTO.]:[AGRUP. VALOR. PTO.]]=$B51,IF(DATOS_[[Check Periodo Ref.]:[Check Periodo Ref.]]="Dentro",DATOS_[Conc.Sal.21]))))), 0)</f>
        <v>0</v>
      </c>
      <c r="AA52" s="209" t="n">
        <f aca="false" t="array" ref="AA52:AA52">IFERROR( AVERAGE((IF(DATOS_[[Sexo]:[Sexo]]=$B52,IF(DATOS_[[AGRUP. VALOR. PTO.]:[AGRUP. VALOR. PTO.]]=$B51,IF(DATOS_[[Check Periodo Ref.]:[Check Periodo Ref.]]="Dentro",DATOS_[Conc.Sal.22]))))), 0)</f>
        <v>0</v>
      </c>
      <c r="AB52" s="209" t="n">
        <f aca="false" t="array" ref="AB52:AB52">IFERROR( AVERAGE((IF(DATOS_[[Sexo]:[Sexo]]=$B52,IF(DATOS_[[AGRUP. VALOR. PTO.]:[AGRUP. VALOR. PTO.]]=$B51,IF(DATOS_[[Check Periodo Ref.]:[Check Periodo Ref.]]="Dentro",DATOS_[Conc.Sal.23]))))), 0)</f>
        <v>0</v>
      </c>
      <c r="AC52" s="209" t="n">
        <f aca="false" t="array" ref="AC52:AC52">IFERROR( AVERAGE((IF(DATOS_[[Sexo]:[Sexo]]=$B52,IF(DATOS_[[AGRUP. VALOR. PTO.]:[AGRUP. VALOR. PTO.]]=$B51,IF(DATOS_[[Check Periodo Ref.]:[Check Periodo Ref.]]="Dentro",DATOS_[Conc.Sal.24]))))), 0)</f>
        <v>0</v>
      </c>
      <c r="AD52" s="209" t="n">
        <f aca="false" t="array" ref="AD52:AD52">IFERROR( AVERAGE((IF(DATOS_[[Sexo]:[Sexo]]=$B52,IF(DATOS_[[AGRUP. VALOR. PTO.]:[AGRUP. VALOR. PTO.]]=$B51,IF(DATOS_[[Check Periodo Ref.]:[Check Periodo Ref.]]="Dentro",DATOS_[Conc.Sal.25]))))), 0)</f>
        <v>0</v>
      </c>
      <c r="AE52" s="209" t="n">
        <f aca="false" t="array" ref="AE52:AE52">IFERROR( AVERAGE((IF(DATOS_[[Sexo]:[Sexo]]=$B52,IF(DATOS_[[AGRUP. VALOR. PTO.]:[AGRUP. VALOR. PTO.]]=$B51,IF(DATOS_[[Check Periodo Ref.]:[Check Periodo Ref.]]="Dentro",DATOS_[Conc.Sal.26]))))), 0)</f>
        <v>0</v>
      </c>
      <c r="AF52" s="209" t="n">
        <f aca="false" t="array" ref="AF52:AF52">IFERROR( AVERAGE((IF(DATOS_[[Sexo]:[Sexo]]=$B52,IF(DATOS_[[AGRUP. VALOR. PTO.]:[AGRUP. VALOR. PTO.]]=$B51,IF(DATOS_[[Check Periodo Ref.]:[Check Periodo Ref.]]="Dentro",DATOS_[Conc.Sal.27]))))), 0)</f>
        <v>0</v>
      </c>
      <c r="AG52" s="209" t="n">
        <f aca="false" t="array" ref="AG52:AG52">IFERROR( AVERAGE((IF(DATOS_[[Sexo]:[Sexo]]=$B52,IF(DATOS_[[AGRUP. VALOR. PTO.]:[AGRUP. VALOR. PTO.]]=$B51,IF(DATOS_[[Check Periodo Ref.]:[Check Periodo Ref.]]="Dentro",DATOS_[Conc.Sal.28]))))), 0)</f>
        <v>0</v>
      </c>
      <c r="AH52" s="209" t="n">
        <f aca="false" t="array" ref="AH52:AH52">IFERROR( AVERAGE((IF(DATOS_[[Sexo]:[Sexo]]=$B52,IF(DATOS_[[AGRUP. VALOR. PTO.]:[AGRUP. VALOR. PTO.]]=$B51,IF(DATOS_[[Check Periodo Ref.]:[Check Periodo Ref.]]="Dentro",DATOS_[Conc.Sal.29]))))), 0)</f>
        <v>0</v>
      </c>
      <c r="AI52" s="209" t="n">
        <f aca="false" t="array" ref="AI52:AI52">IFERROR( AVERAGE((IF(DATOS_[[Sexo]:[Sexo]]=$B52,IF(DATOS_[[AGRUP. VALOR. PTO.]:[AGRUP. VALOR. PTO.]]=$B51,IF(DATOS_[[Check Periodo Ref.]:[Check Periodo Ref.]]="Dentro",DATOS_[Conc.Sal.30]))))), 0)</f>
        <v>0</v>
      </c>
      <c r="AJ52" s="210" t="n">
        <f aca="false" t="array" ref="AJ52:AJ52">IFERROR( AVERAGE(IF(DATOS_[Sexo]=$B52,IF(DATOS_[AGRUP. VALOR. PTO.]=$B51,IF(DATOS_[Check Periodo Ref.]="Dentro",DATOS_[Tot COMPL.SAL Ef],0)))), 0)</f>
        <v>0</v>
      </c>
      <c r="AK52" s="211" t="n">
        <f aca="false" t="array" ref="AK52:AK52">IFERROR( AVERAGE(IF(DATOS_[Sexo]=$B52,IF(DATOS_[AGRUP. VALOR. PTO.]=$B51,IF(DATOS_[Check Periodo Ref.]="Dentro",DATOS_[TOTAL SALARIO Ef],0)))), 0)</f>
        <v>0</v>
      </c>
      <c r="AL52" s="212" t="n">
        <f aca="false" t="array" ref="AL52:AL52">IFERROR( AVERAGE((IF(DATOS_[[Sexo]:[Sexo]]=$B52,IF(DATOS_[[AGRUP. VALOR. PTO.]:[AGRUP. VALOR. PTO.]]=$B51,IF(DATOS_[[Check Periodo Ref.]:[Check Periodo Ref.]]="Dentro",DATOS_[C.Extra.01]))))), 0)</f>
        <v>0</v>
      </c>
      <c r="AM52" s="212" t="n">
        <f aca="false" t="array" ref="AM52:AM52">IFERROR( AVERAGE((IF(DATOS_[[Sexo]:[Sexo]]=$B52,IF(DATOS_[[AGRUP. VALOR. PTO.]:[AGRUP. VALOR. PTO.]]=$B51,IF(DATOS_[[Check Periodo Ref.]:[Check Periodo Ref.]]="Dentro",DATOS_[C.Extra.02]))))), 0)</f>
        <v>0</v>
      </c>
      <c r="AN52" s="212" t="n">
        <f aca="false" t="array" ref="AN52:AN52">IFERROR( AVERAGE((IF(DATOS_[[Sexo]:[Sexo]]=$B52,IF(DATOS_[[AGRUP. VALOR. PTO.]:[AGRUP. VALOR. PTO.]]=$B51,IF(DATOS_[[Check Periodo Ref.]:[Check Periodo Ref.]]="Dentro",DATOS_[C.Extra.03]))))), 0)</f>
        <v>0</v>
      </c>
      <c r="AO52" s="212" t="n">
        <f aca="false" t="array" ref="AO52:AO52">IFERROR( AVERAGE((IF(DATOS_[[Sexo]:[Sexo]]=$B52,IF(DATOS_[[AGRUP. VALOR. PTO.]:[AGRUP. VALOR. PTO.]]=$B51,IF(DATOS_[[Check Periodo Ref.]:[Check Periodo Ref.]]="Dentro",DATOS_[C.Extra.04]))))), 0)</f>
        <v>0</v>
      </c>
      <c r="AP52" s="212" t="n">
        <f aca="false" t="array" ref="AP52:AP52">IFERROR( AVERAGE((IF(DATOS_[[Sexo]:[Sexo]]=$B52,IF(DATOS_[[AGRUP. VALOR. PTO.]:[AGRUP. VALOR. PTO.]]=$B51,IF(DATOS_[[Check Periodo Ref.]:[Check Periodo Ref.]]="Dentro",DATOS_[C.Extra.05]))))), 0)</f>
        <v>0</v>
      </c>
      <c r="AQ52" s="213" t="n">
        <f aca="false" t="array" ref="AQ52:AQ52">IFERROR( AVERAGE(IF(DATOS_[Sexo]=$B52,IF(DATOS_[AGRUP. VALOR. PTO.]=$B51,IF(DATOS_[Check Periodo Ref.]="Dentro",DATOS_[Tot Extrasalarial Ef],0)))), 0)</f>
        <v>0</v>
      </c>
      <c r="AR52" s="214" t="n">
        <f aca="false" t="array" ref="AR52:AR52">IFERROR( AVERAGE(IF(DATOS_[Sexo]=$B52,IF(DATOS_[AGRUP. VALOR. PTO.]=$B51,IF(DATOS_[Check Periodo Ref.]="Dentro",DATOS_[TOTAL Retrib Ef],0)))), 0)</f>
        <v>0</v>
      </c>
    </row>
    <row r="53" customFormat="false" ht="14.25" hidden="false" customHeight="false" outlineLevel="0" collapsed="false">
      <c r="A53" s="191" t="str">
        <f aca="false">+A52</f>
        <v>[ocultar]</v>
      </c>
      <c r="B53" s="205" t="s">
        <v>372</v>
      </c>
      <c r="C53" s="206" t="n">
        <f aca="false" t="array" ref="C53:C53">SUM(IF($B53=DATOS_[Sexo], IF($B51=DATOS_[AGRUP. VALOR. PTO.], IF("Dentro"=DATOS_[Check Periodo Ref.], 1/(COUNTIFS(DATOS_[Sexo],$B53,DATOS_[AGRUP. VALOR. PTO.],$B51,DATOS_[Check Periodo Ref.],"Dentro",DATOS_[id],DATOS_[id]))))))</f>
        <v>0</v>
      </c>
      <c r="D53" s="207" t="n">
        <f aca="false">COUNTIFS(DATOS_[AGRUP. VALOR. PTO.],$B51,DATOS_[Sexo],$B53,DATOS_[Check Periodo Ref.],"Dentro")</f>
        <v>0</v>
      </c>
      <c r="E53" s="208" t="n">
        <f aca="false" t="array" ref="E53:E53">IFERROR( AVERAGE(IF(DATOS_[Sexo]=$B53,IF(DATOS_[AGRUP. VALOR. PTO.]=$B51,IF(DATOS_[Check Periodo Ref.]="Dentro",DATOS_[SALARIO BASE Ef],0)))), 0)</f>
        <v>0</v>
      </c>
      <c r="F53" s="209" t="n">
        <f aca="false" t="array" ref="F53:F53">IFERROR( AVERAGE((IF(DATOS_[[Sexo]:[Sexo]]=$B53,IF(DATOS_[[AGRUP. VALOR. PTO.]:[AGRUP. VALOR. PTO.]]=$B51,IF(DATOS_[[Check Periodo Ref.]:[Check Periodo Ref.]]="Dentro",DATOS_[Conc.Sal.01]))))), 0)</f>
        <v>0</v>
      </c>
      <c r="G53" s="209" t="n">
        <f aca="false" t="array" ref="G53:G53">IFERROR( AVERAGE((IF(DATOS_[[Sexo]:[Sexo]]=$B53,IF(DATOS_[[AGRUP. VALOR. PTO.]:[AGRUP. VALOR. PTO.]]=$B51,IF(DATOS_[[Check Periodo Ref.]:[Check Periodo Ref.]]="Dentro",DATOS_[Conc.Sal.02]))))), 0)</f>
        <v>0</v>
      </c>
      <c r="H53" s="209" t="n">
        <f aca="false" t="array" ref="H53:H53">IFERROR( AVERAGE((IF(DATOS_[[Sexo]:[Sexo]]=$B53,IF(DATOS_[[AGRUP. VALOR. PTO.]:[AGRUP. VALOR. PTO.]]=$B51,IF(DATOS_[[Check Periodo Ref.]:[Check Periodo Ref.]]="Dentro",DATOS_[Conc.Sal.03]))))), 0)</f>
        <v>0</v>
      </c>
      <c r="I53" s="209" t="n">
        <f aca="false" t="array" ref="I53:I53">IFERROR( AVERAGE((IF(DATOS_[[Sexo]:[Sexo]]=$B53,IF(DATOS_[[AGRUP. VALOR. PTO.]:[AGRUP. VALOR. PTO.]]=$B51,IF(DATOS_[[Check Periodo Ref.]:[Check Periodo Ref.]]="Dentro",DATOS_[Conc.Sal.04]))))), 0)</f>
        <v>0</v>
      </c>
      <c r="J53" s="209" t="n">
        <f aca="false" t="array" ref="J53:J53">IFERROR( AVERAGE((IF(DATOS_[[Sexo]:[Sexo]]=$B53,IF(DATOS_[[AGRUP. VALOR. PTO.]:[AGRUP. VALOR. PTO.]]=$B51,IF(DATOS_[[Check Periodo Ref.]:[Check Periodo Ref.]]="Dentro",DATOS_[Conc.Sal.05]))))), 0)</f>
        <v>0</v>
      </c>
      <c r="K53" s="209" t="n">
        <f aca="false" t="array" ref="K53:K53">IFERROR( AVERAGE((IF(DATOS_[[Sexo]:[Sexo]]=$B53,IF(DATOS_[[AGRUP. VALOR. PTO.]:[AGRUP. VALOR. PTO.]]=$B51,IF(DATOS_[[Check Periodo Ref.]:[Check Periodo Ref.]]="Dentro",DATOS_[Conc.Sal.06]))))), 0)</f>
        <v>0</v>
      </c>
      <c r="L53" s="209" t="n">
        <f aca="false" t="array" ref="L53:L53">IFERROR( AVERAGE((IF(DATOS_[[Sexo]:[Sexo]]=$B53,IF(DATOS_[[AGRUP. VALOR. PTO.]:[AGRUP. VALOR. PTO.]]=$B51,IF(DATOS_[[Check Periodo Ref.]:[Check Periodo Ref.]]="Dentro",DATOS_[Conc.Sal.07]))))), 0)</f>
        <v>0</v>
      </c>
      <c r="M53" s="209" t="n">
        <f aca="false" t="array" ref="M53:M53">IFERROR( AVERAGE((IF(DATOS_[[Sexo]:[Sexo]]=$B53,IF(DATOS_[[AGRUP. VALOR. PTO.]:[AGRUP. VALOR. PTO.]]=$B51,IF(DATOS_[[Check Periodo Ref.]:[Check Periodo Ref.]]="Dentro",DATOS_[Conc.Sal.08]))))), 0)</f>
        <v>0</v>
      </c>
      <c r="N53" s="209" t="n">
        <f aca="false" t="array" ref="N53:N53">IFERROR( AVERAGE((IF(DATOS_[[Sexo]:[Sexo]]=$B53,IF(DATOS_[[AGRUP. VALOR. PTO.]:[AGRUP. VALOR. PTO.]]=$B51,IF(DATOS_[[Check Periodo Ref.]:[Check Periodo Ref.]]="Dentro",DATOS_[Conc.Sal.09]))))), 0)</f>
        <v>0</v>
      </c>
      <c r="O53" s="209" t="n">
        <f aca="false" t="array" ref="O53:O53">IFERROR( AVERAGE((IF(DATOS_[[Sexo]:[Sexo]]=$B53,IF(DATOS_[[AGRUP. VALOR. PTO.]:[AGRUP. VALOR. PTO.]]=$B51,IF(DATOS_[[Check Periodo Ref.]:[Check Periodo Ref.]]="Dentro",DATOS_[Conc.Sal.10]))))), 0)</f>
        <v>0</v>
      </c>
      <c r="P53" s="209" t="n">
        <f aca="false" t="array" ref="P53:P53">IFERROR( AVERAGE((IF(DATOS_[[Sexo]:[Sexo]]=$B53,IF(DATOS_[[AGRUP. VALOR. PTO.]:[AGRUP. VALOR. PTO.]]=$B51,IF(DATOS_[[Check Periodo Ref.]:[Check Periodo Ref.]]="Dentro",DATOS_[Conc.Sal.11]))))), 0)</f>
        <v>0</v>
      </c>
      <c r="Q53" s="209" t="n">
        <f aca="false" t="array" ref="Q53:Q53">IFERROR( AVERAGE((IF(DATOS_[[Sexo]:[Sexo]]=$B53,IF(DATOS_[[AGRUP. VALOR. PTO.]:[AGRUP. VALOR. PTO.]]=$B51,IF(DATOS_[[Check Periodo Ref.]:[Check Periodo Ref.]]="Dentro",DATOS_[Conc.Sal.12]))))), 0)</f>
        <v>0</v>
      </c>
      <c r="R53" s="209" t="n">
        <f aca="false" t="array" ref="R53:R53">IFERROR( AVERAGE((IF(DATOS_[[Sexo]:[Sexo]]=$B53,IF(DATOS_[[AGRUP. VALOR. PTO.]:[AGRUP. VALOR. PTO.]]=$B51,IF(DATOS_[[Check Periodo Ref.]:[Check Periodo Ref.]]="Dentro",DATOS_[Conc.Sal.13]))))), 0)</f>
        <v>0</v>
      </c>
      <c r="S53" s="209" t="n">
        <f aca="false" t="array" ref="S53:S53">IFERROR( AVERAGE((IF(DATOS_[[Sexo]:[Sexo]]=$B53,IF(DATOS_[[AGRUP. VALOR. PTO.]:[AGRUP. VALOR. PTO.]]=$B51,IF(DATOS_[[Check Periodo Ref.]:[Check Periodo Ref.]]="Dentro",DATOS_[Conc.Sal.14]))))), 0)</f>
        <v>0</v>
      </c>
      <c r="T53" s="209" t="n">
        <f aca="false" t="array" ref="T53:T53">IFERROR( AVERAGE((IF(DATOS_[[Sexo]:[Sexo]]=$B53,IF(DATOS_[[AGRUP. VALOR. PTO.]:[AGRUP. VALOR. PTO.]]=$B51,IF(DATOS_[[Check Periodo Ref.]:[Check Periodo Ref.]]="Dentro",DATOS_[Conc.Sal.15]))))), 0)</f>
        <v>0</v>
      </c>
      <c r="U53" s="209" t="n">
        <f aca="false" t="array" ref="U53:U53">IFERROR( AVERAGE((IF(DATOS_[[Sexo]:[Sexo]]=$B53,IF(DATOS_[[AGRUP. VALOR. PTO.]:[AGRUP. VALOR. PTO.]]=$B51,IF(DATOS_[[Check Periodo Ref.]:[Check Periodo Ref.]]="Dentro",DATOS_[Conc.Sal.16]))))), 0)</f>
        <v>0</v>
      </c>
      <c r="V53" s="209" t="n">
        <f aca="false" t="array" ref="V53:V53">IFERROR( AVERAGE((IF(DATOS_[[Sexo]:[Sexo]]=$B53,IF(DATOS_[[AGRUP. VALOR. PTO.]:[AGRUP. VALOR. PTO.]]=$B51,IF(DATOS_[[Check Periodo Ref.]:[Check Periodo Ref.]]="Dentro",DATOS_[Conc.Sal.17]))))), 0)</f>
        <v>0</v>
      </c>
      <c r="W53" s="209" t="n">
        <f aca="false" t="array" ref="W53:W53">IFERROR( AVERAGE((IF(DATOS_[[Sexo]:[Sexo]]=$B53,IF(DATOS_[[AGRUP. VALOR. PTO.]:[AGRUP. VALOR. PTO.]]=$B51,IF(DATOS_[[Check Periodo Ref.]:[Check Periodo Ref.]]="Dentro",DATOS_[Conc.Sal.18]))))), 0)</f>
        <v>0</v>
      </c>
      <c r="X53" s="209" t="n">
        <f aca="false" t="array" ref="X53:X53">IFERROR( AVERAGE((IF(DATOS_[[Sexo]:[Sexo]]=$B53,IF(DATOS_[[AGRUP. VALOR. PTO.]:[AGRUP. VALOR. PTO.]]=$B51,IF(DATOS_[[Check Periodo Ref.]:[Check Periodo Ref.]]="Dentro",DATOS_[Conc.Sal.19]))))), 0)</f>
        <v>0</v>
      </c>
      <c r="Y53" s="209" t="n">
        <f aca="false" t="array" ref="Y53:Y53">IFERROR( AVERAGE((IF(DATOS_[[Sexo]:[Sexo]]=$B53,IF(DATOS_[[AGRUP. VALOR. PTO.]:[AGRUP. VALOR. PTO.]]=$B51,IF(DATOS_[[Check Periodo Ref.]:[Check Periodo Ref.]]="Dentro",DATOS_[Conc.Sal.20]))))), 0)</f>
        <v>0</v>
      </c>
      <c r="Z53" s="209" t="n">
        <f aca="false" t="array" ref="Z53:Z53">IFERROR( AVERAGE((IF(DATOS_[[Sexo]:[Sexo]]=$B53,IF(DATOS_[[AGRUP. VALOR. PTO.]:[AGRUP. VALOR. PTO.]]=$B51,IF(DATOS_[[Check Periodo Ref.]:[Check Periodo Ref.]]="Dentro",DATOS_[Conc.Sal.21]))))), 0)</f>
        <v>0</v>
      </c>
      <c r="AA53" s="209" t="n">
        <f aca="false" t="array" ref="AA53:AA53">IFERROR( AVERAGE((IF(DATOS_[[Sexo]:[Sexo]]=$B53,IF(DATOS_[[AGRUP. VALOR. PTO.]:[AGRUP. VALOR. PTO.]]=$B51,IF(DATOS_[[Check Periodo Ref.]:[Check Periodo Ref.]]="Dentro",DATOS_[Conc.Sal.22]))))), 0)</f>
        <v>0</v>
      </c>
      <c r="AB53" s="209" t="n">
        <f aca="false" t="array" ref="AB53:AB53">IFERROR( AVERAGE((IF(DATOS_[[Sexo]:[Sexo]]=$B53,IF(DATOS_[[AGRUP. VALOR. PTO.]:[AGRUP. VALOR. PTO.]]=$B51,IF(DATOS_[[Check Periodo Ref.]:[Check Periodo Ref.]]="Dentro",DATOS_[Conc.Sal.23]))))), 0)</f>
        <v>0</v>
      </c>
      <c r="AC53" s="209" t="n">
        <f aca="false" t="array" ref="AC53:AC53">IFERROR( AVERAGE((IF(DATOS_[[Sexo]:[Sexo]]=$B53,IF(DATOS_[[AGRUP. VALOR. PTO.]:[AGRUP. VALOR. PTO.]]=$B51,IF(DATOS_[[Check Periodo Ref.]:[Check Periodo Ref.]]="Dentro",DATOS_[Conc.Sal.24]))))), 0)</f>
        <v>0</v>
      </c>
      <c r="AD53" s="209" t="n">
        <f aca="false" t="array" ref="AD53:AD53">IFERROR( AVERAGE((IF(DATOS_[[Sexo]:[Sexo]]=$B53,IF(DATOS_[[AGRUP. VALOR. PTO.]:[AGRUP. VALOR. PTO.]]=$B51,IF(DATOS_[[Check Periodo Ref.]:[Check Periodo Ref.]]="Dentro",DATOS_[Conc.Sal.25]))))), 0)</f>
        <v>0</v>
      </c>
      <c r="AE53" s="209" t="n">
        <f aca="false" t="array" ref="AE53:AE53">IFERROR( AVERAGE((IF(DATOS_[[Sexo]:[Sexo]]=$B53,IF(DATOS_[[AGRUP. VALOR. PTO.]:[AGRUP. VALOR. PTO.]]=$B51,IF(DATOS_[[Check Periodo Ref.]:[Check Periodo Ref.]]="Dentro",DATOS_[Conc.Sal.26]))))), 0)</f>
        <v>0</v>
      </c>
      <c r="AF53" s="209" t="n">
        <f aca="false" t="array" ref="AF53:AF53">IFERROR( AVERAGE((IF(DATOS_[[Sexo]:[Sexo]]=$B53,IF(DATOS_[[AGRUP. VALOR. PTO.]:[AGRUP. VALOR. PTO.]]=$B51,IF(DATOS_[[Check Periodo Ref.]:[Check Periodo Ref.]]="Dentro",DATOS_[Conc.Sal.27]))))), 0)</f>
        <v>0</v>
      </c>
      <c r="AG53" s="209" t="n">
        <f aca="false" t="array" ref="AG53:AG53">IFERROR( AVERAGE((IF(DATOS_[[Sexo]:[Sexo]]=$B53,IF(DATOS_[[AGRUP. VALOR. PTO.]:[AGRUP. VALOR. PTO.]]=$B51,IF(DATOS_[[Check Periodo Ref.]:[Check Periodo Ref.]]="Dentro",DATOS_[Conc.Sal.28]))))), 0)</f>
        <v>0</v>
      </c>
      <c r="AH53" s="209" t="n">
        <f aca="false" t="array" ref="AH53:AH53">IFERROR( AVERAGE((IF(DATOS_[[Sexo]:[Sexo]]=$B53,IF(DATOS_[[AGRUP. VALOR. PTO.]:[AGRUP. VALOR. PTO.]]=$B51,IF(DATOS_[[Check Periodo Ref.]:[Check Periodo Ref.]]="Dentro",DATOS_[Conc.Sal.29]))))), 0)</f>
        <v>0</v>
      </c>
      <c r="AI53" s="209" t="n">
        <f aca="false" t="array" ref="AI53:AI53">IFERROR( AVERAGE((IF(DATOS_[[Sexo]:[Sexo]]=$B53,IF(DATOS_[[AGRUP. VALOR. PTO.]:[AGRUP. VALOR. PTO.]]=$B51,IF(DATOS_[[Check Periodo Ref.]:[Check Periodo Ref.]]="Dentro",DATOS_[Conc.Sal.30]))))), 0)</f>
        <v>0</v>
      </c>
      <c r="AJ53" s="210" t="n">
        <f aca="false" t="array" ref="AJ53:AJ53">IFERROR( AVERAGE(IF(DATOS_[Sexo]=$B53,IF(DATOS_[AGRUP. VALOR. PTO.]=$B51,IF(DATOS_[Check Periodo Ref.]="Dentro",DATOS_[Tot COMPL.SAL Ef],0)))), 0)</f>
        <v>0</v>
      </c>
      <c r="AK53" s="211" t="n">
        <f aca="false" t="array" ref="AK53:AK53">IFERROR( AVERAGE(IF(DATOS_[Sexo]=$B53,IF(DATOS_[AGRUP. VALOR. PTO.]=$B51,IF(DATOS_[Check Periodo Ref.]="Dentro",DATOS_[TOTAL SALARIO Ef],0)))), 0)</f>
        <v>0</v>
      </c>
      <c r="AL53" s="212" t="n">
        <f aca="false" t="array" ref="AL53:AL53">IFERROR( AVERAGE((IF(DATOS_[[Sexo]:[Sexo]]=$B53,IF(DATOS_[[AGRUP. VALOR. PTO.]:[AGRUP. VALOR. PTO.]]=$B51,IF(DATOS_[[Check Periodo Ref.]:[Check Periodo Ref.]]="Dentro",DATOS_[C.Extra.01]))))), 0)</f>
        <v>0</v>
      </c>
      <c r="AM53" s="212" t="n">
        <f aca="false" t="array" ref="AM53:AM53">IFERROR( AVERAGE((IF(DATOS_[[Sexo]:[Sexo]]=$B53,IF(DATOS_[[AGRUP. VALOR. PTO.]:[AGRUP. VALOR. PTO.]]=$B51,IF(DATOS_[[Check Periodo Ref.]:[Check Periodo Ref.]]="Dentro",DATOS_[C.Extra.02]))))), 0)</f>
        <v>0</v>
      </c>
      <c r="AN53" s="212" t="n">
        <f aca="false" t="array" ref="AN53:AN53">IFERROR( AVERAGE((IF(DATOS_[[Sexo]:[Sexo]]=$B53,IF(DATOS_[[AGRUP. VALOR. PTO.]:[AGRUP. VALOR. PTO.]]=$B51,IF(DATOS_[[Check Periodo Ref.]:[Check Periodo Ref.]]="Dentro",DATOS_[C.Extra.03]))))), 0)</f>
        <v>0</v>
      </c>
      <c r="AO53" s="212" t="n">
        <f aca="false" t="array" ref="AO53:AO53">IFERROR( AVERAGE((IF(DATOS_[[Sexo]:[Sexo]]=$B53,IF(DATOS_[[AGRUP. VALOR. PTO.]:[AGRUP. VALOR. PTO.]]=$B51,IF(DATOS_[[Check Periodo Ref.]:[Check Periodo Ref.]]="Dentro",DATOS_[C.Extra.04]))))), 0)</f>
        <v>0</v>
      </c>
      <c r="AP53" s="212" t="n">
        <f aca="false" t="array" ref="AP53:AP53">IFERROR( AVERAGE((IF(DATOS_[[Sexo]:[Sexo]]=$B53,IF(DATOS_[[AGRUP. VALOR. PTO.]:[AGRUP. VALOR. PTO.]]=$B51,IF(DATOS_[[Check Periodo Ref.]:[Check Periodo Ref.]]="Dentro",DATOS_[C.Extra.05]))))), 0)</f>
        <v>0</v>
      </c>
      <c r="AQ53" s="213" t="n">
        <f aca="false" t="array" ref="AQ53:AQ53">IFERROR( AVERAGE(IF(DATOS_[Sexo]=$B53,IF(DATOS_[AGRUP. VALOR. PTO.]=$B51,IF(DATOS_[Check Periodo Ref.]="Dentro",DATOS_[Tot Extrasalarial Ef],0)))), 0)</f>
        <v>0</v>
      </c>
      <c r="AR53" s="214" t="n">
        <f aca="false" t="array" ref="AR53:AR53">IFERROR( AVERAGE(IF(DATOS_[Sexo]=$B53,IF(DATOS_[AGRUP. VALOR. PTO.]=$B51,IF(DATOS_[Check Periodo Ref.]="Dentro",DATOS_[TOTAL Retrib Ef],0)))), 0)</f>
        <v>0</v>
      </c>
    </row>
    <row r="54" customFormat="false" ht="15.75" hidden="false" customHeight="false" outlineLevel="0" collapsed="false">
      <c r="A54" s="191" t="str">
        <f aca="false">+A55</f>
        <v>[ocultar]</v>
      </c>
      <c r="B54" s="192" t="s">
        <v>208</v>
      </c>
      <c r="C54" s="193"/>
      <c r="D54" s="194"/>
      <c r="E54" s="195" t="str">
        <f aca="false">IFERROR((E55-E56)/E55,"")</f>
        <v/>
      </c>
      <c r="F54" s="196" t="str">
        <f aca="false">IFERROR((F55-F56)/F55,"")</f>
        <v/>
      </c>
      <c r="G54" s="197" t="str">
        <f aca="false">IFERROR((G55-G56)/G55,"")</f>
        <v/>
      </c>
      <c r="H54" s="197" t="str">
        <f aca="false">IFERROR((H55-H56)/H55,"")</f>
        <v/>
      </c>
      <c r="I54" s="197" t="str">
        <f aca="false">IFERROR((I55-I56)/I55,"")</f>
        <v/>
      </c>
      <c r="J54" s="198" t="str">
        <f aca="false">IFERROR((J55-J56)/J55,"")</f>
        <v/>
      </c>
      <c r="K54" s="199" t="str">
        <f aca="false">IFERROR((K55-K56)/K55,"")</f>
        <v/>
      </c>
      <c r="L54" s="199" t="str">
        <f aca="false">IFERROR((L55-L56)/L55,"")</f>
        <v/>
      </c>
      <c r="M54" s="199" t="str">
        <f aca="false">IFERROR((M55-M56)/M55,"")</f>
        <v/>
      </c>
      <c r="N54" s="199" t="str">
        <f aca="false">IFERROR((N55-N56)/N55,"")</f>
        <v/>
      </c>
      <c r="O54" s="199" t="str">
        <f aca="false">IFERROR((O55-O56)/O55,"")</f>
        <v/>
      </c>
      <c r="P54" s="199" t="str">
        <f aca="false">IFERROR((P55-P56)/P55,"")</f>
        <v/>
      </c>
      <c r="Q54" s="199" t="str">
        <f aca="false">IFERROR((Q55-Q56)/Q55,"")</f>
        <v/>
      </c>
      <c r="R54" s="199" t="str">
        <f aca="false">IFERROR((R55-R56)/R55,"")</f>
        <v/>
      </c>
      <c r="S54" s="199" t="str">
        <f aca="false">IFERROR((S55-S56)/S55,"")</f>
        <v/>
      </c>
      <c r="T54" s="199" t="str">
        <f aca="false">IFERROR((T55-T56)/T55,"")</f>
        <v/>
      </c>
      <c r="U54" s="199" t="str">
        <f aca="false">IFERROR((U55-U56)/U55,"")</f>
        <v/>
      </c>
      <c r="V54" s="198" t="str">
        <f aca="false">IFERROR((V55-V56)/V55,"")</f>
        <v/>
      </c>
      <c r="W54" s="198" t="str">
        <f aca="false">IFERROR((W55-W56)/W55,"")</f>
        <v/>
      </c>
      <c r="X54" s="198" t="str">
        <f aca="false">IFERROR((X55-X56)/X55,"")</f>
        <v/>
      </c>
      <c r="Y54" s="198" t="str">
        <f aca="false">IFERROR((Y55-Y56)/Y55,"")</f>
        <v/>
      </c>
      <c r="Z54" s="198" t="str">
        <f aca="false">IFERROR((Z55-Z56)/Z55,"")</f>
        <v/>
      </c>
      <c r="AA54" s="198" t="str">
        <f aca="false">IFERROR((AA55-AA56)/AA55,"")</f>
        <v/>
      </c>
      <c r="AB54" s="198" t="str">
        <f aca="false">IFERROR((AB55-AB56)/AB55,"")</f>
        <v/>
      </c>
      <c r="AC54" s="198" t="str">
        <f aca="false">IFERROR((AC55-AC56)/AC55,"")</f>
        <v/>
      </c>
      <c r="AD54" s="198" t="str">
        <f aca="false">IFERROR((AD55-AD56)/AD55,"")</f>
        <v/>
      </c>
      <c r="AE54" s="198" t="str">
        <f aca="false">IFERROR((AE55-AE56)/AE55,"")</f>
        <v/>
      </c>
      <c r="AF54" s="198" t="str">
        <f aca="false">IFERROR((AF55-AF56)/AF55,"")</f>
        <v/>
      </c>
      <c r="AG54" s="198" t="str">
        <f aca="false">IFERROR((AG55-AG56)/AG55,"")</f>
        <v/>
      </c>
      <c r="AH54" s="198" t="str">
        <f aca="false">IFERROR((AH55-AH56)/AH55,"")</f>
        <v/>
      </c>
      <c r="AI54" s="198" t="str">
        <f aca="false">IFERROR((AI55-AI56)/AI55,"")</f>
        <v/>
      </c>
      <c r="AJ54" s="200" t="str">
        <f aca="false">IFERROR((AJ55-AJ56)/AJ55,"")</f>
        <v/>
      </c>
      <c r="AK54" s="201" t="str">
        <f aca="false">IFERROR((AK55-AK56)/AK55,"")</f>
        <v/>
      </c>
      <c r="AL54" s="202" t="str">
        <f aca="false">IFERROR((AL55-AL56)/AL55,"")</f>
        <v/>
      </c>
      <c r="AM54" s="202" t="str">
        <f aca="false">IFERROR((AM55-AM56)/AM55,"")</f>
        <v/>
      </c>
      <c r="AN54" s="202" t="str">
        <f aca="false">IFERROR((AN55-AN56)/AN55,"")</f>
        <v/>
      </c>
      <c r="AO54" s="202" t="str">
        <f aca="false">IFERROR((AO55-AO56)/AO55,"")</f>
        <v/>
      </c>
      <c r="AP54" s="202" t="str">
        <f aca="false">IFERROR((AP55-AP56)/AP55,"")</f>
        <v/>
      </c>
      <c r="AQ54" s="203" t="str">
        <f aca="false">IFERROR((AQ55-AQ56)/AQ55,"")</f>
        <v/>
      </c>
      <c r="AR54" s="204" t="str">
        <f aca="false">IFERROR((AR55-AR56)/AR55,"")</f>
        <v/>
      </c>
    </row>
    <row r="55" customFormat="false" ht="14.25" hidden="false" customHeight="false" outlineLevel="0" collapsed="false">
      <c r="A55" s="191" t="str">
        <f aca="false">+IF(C55+C56=0,"[ocultar]","")</f>
        <v>[ocultar]</v>
      </c>
      <c r="B55" s="205" t="s">
        <v>371</v>
      </c>
      <c r="C55" s="206" t="n">
        <f aca="false" t="array" ref="C55:C55">SUM(IF($B55=DATOS_[Sexo], IF($B54=DATOS_[AGRUP. VALOR. PTO.], IF("Dentro"=DATOS_[Check Periodo Ref.], 1/(COUNTIFS(DATOS_[Sexo],$B55,DATOS_[AGRUP. VALOR. PTO.],$B54,DATOS_[Check Periodo Ref.],"Dentro",DATOS_[id],DATOS_[id]))))))</f>
        <v>0</v>
      </c>
      <c r="D55" s="207" t="n">
        <f aca="false">COUNTIFS(DATOS_[AGRUP. VALOR. PTO.],$B54,DATOS_[Sexo],$B55,DATOS_[Check Periodo Ref.],"Dentro")</f>
        <v>0</v>
      </c>
      <c r="E55" s="208" t="n">
        <f aca="false" t="array" ref="E55:E55">IFERROR( AVERAGE(IF(DATOS_[Sexo]=$B55,IF(DATOS_[AGRUP. VALOR. PTO.]=$B54,IF(DATOS_[Check Periodo Ref.]="Dentro",DATOS_[SALARIO BASE Ef],0)))), 0)</f>
        <v>0</v>
      </c>
      <c r="F55" s="209" t="n">
        <f aca="false" t="array" ref="F55:F55">IFERROR( AVERAGE((IF(DATOS_[[Sexo]:[Sexo]]=$B55,IF(DATOS_[[AGRUP. VALOR. PTO.]:[AGRUP. VALOR. PTO.]]=$B54,IF(DATOS_[[Check Periodo Ref.]:[Check Periodo Ref.]]="Dentro",DATOS_[Conc.Sal.01]))))), 0)</f>
        <v>0</v>
      </c>
      <c r="G55" s="209" t="n">
        <f aca="false" t="array" ref="G55:G55">IFERROR( AVERAGE((IF(DATOS_[[Sexo]:[Sexo]]=$B55,IF(DATOS_[[AGRUP. VALOR. PTO.]:[AGRUP. VALOR. PTO.]]=$B54,IF(DATOS_[[Check Periodo Ref.]:[Check Periodo Ref.]]="Dentro",DATOS_[Conc.Sal.02]))))), 0)</f>
        <v>0</v>
      </c>
      <c r="H55" s="209" t="n">
        <f aca="false" t="array" ref="H55:H55">IFERROR( AVERAGE((IF(DATOS_[[Sexo]:[Sexo]]=$B55,IF(DATOS_[[AGRUP. VALOR. PTO.]:[AGRUP. VALOR. PTO.]]=$B54,IF(DATOS_[[Check Periodo Ref.]:[Check Periodo Ref.]]="Dentro",DATOS_[Conc.Sal.03]))))), 0)</f>
        <v>0</v>
      </c>
      <c r="I55" s="209" t="n">
        <f aca="false" t="array" ref="I55:I55">IFERROR( AVERAGE((IF(DATOS_[[Sexo]:[Sexo]]=$B55,IF(DATOS_[[AGRUP. VALOR. PTO.]:[AGRUP. VALOR. PTO.]]=$B54,IF(DATOS_[[Check Periodo Ref.]:[Check Periodo Ref.]]="Dentro",DATOS_[Conc.Sal.04]))))), 0)</f>
        <v>0</v>
      </c>
      <c r="J55" s="209" t="n">
        <f aca="false" t="array" ref="J55:J55">IFERROR( AVERAGE((IF(DATOS_[[Sexo]:[Sexo]]=$B55,IF(DATOS_[[AGRUP. VALOR. PTO.]:[AGRUP. VALOR. PTO.]]=$B54,IF(DATOS_[[Check Periodo Ref.]:[Check Periodo Ref.]]="Dentro",DATOS_[Conc.Sal.05]))))), 0)</f>
        <v>0</v>
      </c>
      <c r="K55" s="209" t="n">
        <f aca="false" t="array" ref="K55:K55">IFERROR( AVERAGE((IF(DATOS_[[Sexo]:[Sexo]]=$B55,IF(DATOS_[[AGRUP. VALOR. PTO.]:[AGRUP. VALOR. PTO.]]=$B54,IF(DATOS_[[Check Periodo Ref.]:[Check Periodo Ref.]]="Dentro",DATOS_[Conc.Sal.06]))))), 0)</f>
        <v>0</v>
      </c>
      <c r="L55" s="209" t="n">
        <f aca="false" t="array" ref="L55:L55">IFERROR( AVERAGE((IF(DATOS_[[Sexo]:[Sexo]]=$B55,IF(DATOS_[[AGRUP. VALOR. PTO.]:[AGRUP. VALOR. PTO.]]=$B54,IF(DATOS_[[Check Periodo Ref.]:[Check Periodo Ref.]]="Dentro",DATOS_[Conc.Sal.07]))))), 0)</f>
        <v>0</v>
      </c>
      <c r="M55" s="209" t="n">
        <f aca="false" t="array" ref="M55:M55">IFERROR( AVERAGE((IF(DATOS_[[Sexo]:[Sexo]]=$B55,IF(DATOS_[[AGRUP. VALOR. PTO.]:[AGRUP. VALOR. PTO.]]=$B54,IF(DATOS_[[Check Periodo Ref.]:[Check Periodo Ref.]]="Dentro",DATOS_[Conc.Sal.08]))))), 0)</f>
        <v>0</v>
      </c>
      <c r="N55" s="209" t="n">
        <f aca="false" t="array" ref="N55:N55">IFERROR( AVERAGE((IF(DATOS_[[Sexo]:[Sexo]]=$B55,IF(DATOS_[[AGRUP. VALOR. PTO.]:[AGRUP. VALOR. PTO.]]=$B54,IF(DATOS_[[Check Periodo Ref.]:[Check Periodo Ref.]]="Dentro",DATOS_[Conc.Sal.09]))))), 0)</f>
        <v>0</v>
      </c>
      <c r="O55" s="209" t="n">
        <f aca="false" t="array" ref="O55:O55">IFERROR( AVERAGE((IF(DATOS_[[Sexo]:[Sexo]]=$B55,IF(DATOS_[[AGRUP. VALOR. PTO.]:[AGRUP. VALOR. PTO.]]=$B54,IF(DATOS_[[Check Periodo Ref.]:[Check Periodo Ref.]]="Dentro",DATOS_[Conc.Sal.10]))))), 0)</f>
        <v>0</v>
      </c>
      <c r="P55" s="209" t="n">
        <f aca="false" t="array" ref="P55:P55">IFERROR( AVERAGE((IF(DATOS_[[Sexo]:[Sexo]]=$B55,IF(DATOS_[[AGRUP. VALOR. PTO.]:[AGRUP. VALOR. PTO.]]=$B54,IF(DATOS_[[Check Periodo Ref.]:[Check Periodo Ref.]]="Dentro",DATOS_[Conc.Sal.11]))))), 0)</f>
        <v>0</v>
      </c>
      <c r="Q55" s="209" t="n">
        <f aca="false" t="array" ref="Q55:Q55">IFERROR( AVERAGE((IF(DATOS_[[Sexo]:[Sexo]]=$B55,IF(DATOS_[[AGRUP. VALOR. PTO.]:[AGRUP. VALOR. PTO.]]=$B54,IF(DATOS_[[Check Periodo Ref.]:[Check Periodo Ref.]]="Dentro",DATOS_[Conc.Sal.12]))))), 0)</f>
        <v>0</v>
      </c>
      <c r="R55" s="209" t="n">
        <f aca="false" t="array" ref="R55:R55">IFERROR( AVERAGE((IF(DATOS_[[Sexo]:[Sexo]]=$B55,IF(DATOS_[[AGRUP. VALOR. PTO.]:[AGRUP. VALOR. PTO.]]=$B54,IF(DATOS_[[Check Periodo Ref.]:[Check Periodo Ref.]]="Dentro",DATOS_[Conc.Sal.13]))))), 0)</f>
        <v>0</v>
      </c>
      <c r="S55" s="209" t="n">
        <f aca="false" t="array" ref="S55:S55">IFERROR( AVERAGE((IF(DATOS_[[Sexo]:[Sexo]]=$B55,IF(DATOS_[[AGRUP. VALOR. PTO.]:[AGRUP. VALOR. PTO.]]=$B54,IF(DATOS_[[Check Periodo Ref.]:[Check Periodo Ref.]]="Dentro",DATOS_[Conc.Sal.14]))))), 0)</f>
        <v>0</v>
      </c>
      <c r="T55" s="209" t="n">
        <f aca="false" t="array" ref="T55:T55">IFERROR( AVERAGE((IF(DATOS_[[Sexo]:[Sexo]]=$B55,IF(DATOS_[[AGRUP. VALOR. PTO.]:[AGRUP. VALOR. PTO.]]=$B54,IF(DATOS_[[Check Periodo Ref.]:[Check Periodo Ref.]]="Dentro",DATOS_[Conc.Sal.15]))))), 0)</f>
        <v>0</v>
      </c>
      <c r="U55" s="209" t="n">
        <f aca="false" t="array" ref="U55:U55">IFERROR( AVERAGE((IF(DATOS_[[Sexo]:[Sexo]]=$B55,IF(DATOS_[[AGRUP. VALOR. PTO.]:[AGRUP. VALOR. PTO.]]=$B54,IF(DATOS_[[Check Periodo Ref.]:[Check Periodo Ref.]]="Dentro",DATOS_[Conc.Sal.16]))))), 0)</f>
        <v>0</v>
      </c>
      <c r="V55" s="209" t="n">
        <f aca="false" t="array" ref="V55:V55">IFERROR( AVERAGE((IF(DATOS_[[Sexo]:[Sexo]]=$B55,IF(DATOS_[[AGRUP. VALOR. PTO.]:[AGRUP. VALOR. PTO.]]=$B54,IF(DATOS_[[Check Periodo Ref.]:[Check Periodo Ref.]]="Dentro",DATOS_[Conc.Sal.17]))))), 0)</f>
        <v>0</v>
      </c>
      <c r="W55" s="209" t="n">
        <f aca="false" t="array" ref="W55:W55">IFERROR( AVERAGE((IF(DATOS_[[Sexo]:[Sexo]]=$B55,IF(DATOS_[[AGRUP. VALOR. PTO.]:[AGRUP. VALOR. PTO.]]=$B54,IF(DATOS_[[Check Periodo Ref.]:[Check Periodo Ref.]]="Dentro",DATOS_[Conc.Sal.18]))))), 0)</f>
        <v>0</v>
      </c>
      <c r="X55" s="209" t="n">
        <f aca="false" t="array" ref="X55:X55">IFERROR( AVERAGE((IF(DATOS_[[Sexo]:[Sexo]]=$B55,IF(DATOS_[[AGRUP. VALOR. PTO.]:[AGRUP. VALOR. PTO.]]=$B54,IF(DATOS_[[Check Periodo Ref.]:[Check Periodo Ref.]]="Dentro",DATOS_[Conc.Sal.19]))))), 0)</f>
        <v>0</v>
      </c>
      <c r="Y55" s="209" t="n">
        <f aca="false" t="array" ref="Y55:Y55">IFERROR( AVERAGE((IF(DATOS_[[Sexo]:[Sexo]]=$B55,IF(DATOS_[[AGRUP. VALOR. PTO.]:[AGRUP. VALOR. PTO.]]=$B54,IF(DATOS_[[Check Periodo Ref.]:[Check Periodo Ref.]]="Dentro",DATOS_[Conc.Sal.20]))))), 0)</f>
        <v>0</v>
      </c>
      <c r="Z55" s="209" t="n">
        <f aca="false" t="array" ref="Z55:Z55">IFERROR( AVERAGE((IF(DATOS_[[Sexo]:[Sexo]]=$B55,IF(DATOS_[[AGRUP. VALOR. PTO.]:[AGRUP. VALOR. PTO.]]=$B54,IF(DATOS_[[Check Periodo Ref.]:[Check Periodo Ref.]]="Dentro",DATOS_[Conc.Sal.21]))))), 0)</f>
        <v>0</v>
      </c>
      <c r="AA55" s="209" t="n">
        <f aca="false" t="array" ref="AA55:AA55">IFERROR( AVERAGE((IF(DATOS_[[Sexo]:[Sexo]]=$B55,IF(DATOS_[[AGRUP. VALOR. PTO.]:[AGRUP. VALOR. PTO.]]=$B54,IF(DATOS_[[Check Periodo Ref.]:[Check Periodo Ref.]]="Dentro",DATOS_[Conc.Sal.22]))))), 0)</f>
        <v>0</v>
      </c>
      <c r="AB55" s="209" t="n">
        <f aca="false" t="array" ref="AB55:AB55">IFERROR( AVERAGE((IF(DATOS_[[Sexo]:[Sexo]]=$B55,IF(DATOS_[[AGRUP. VALOR. PTO.]:[AGRUP. VALOR. PTO.]]=$B54,IF(DATOS_[[Check Periodo Ref.]:[Check Periodo Ref.]]="Dentro",DATOS_[Conc.Sal.23]))))), 0)</f>
        <v>0</v>
      </c>
      <c r="AC55" s="209" t="n">
        <f aca="false" t="array" ref="AC55:AC55">IFERROR( AVERAGE((IF(DATOS_[[Sexo]:[Sexo]]=$B55,IF(DATOS_[[AGRUP. VALOR. PTO.]:[AGRUP. VALOR. PTO.]]=$B54,IF(DATOS_[[Check Periodo Ref.]:[Check Periodo Ref.]]="Dentro",DATOS_[Conc.Sal.24]))))), 0)</f>
        <v>0</v>
      </c>
      <c r="AD55" s="209" t="n">
        <f aca="false" t="array" ref="AD55:AD55">IFERROR( AVERAGE((IF(DATOS_[[Sexo]:[Sexo]]=$B55,IF(DATOS_[[AGRUP. VALOR. PTO.]:[AGRUP. VALOR. PTO.]]=$B54,IF(DATOS_[[Check Periodo Ref.]:[Check Periodo Ref.]]="Dentro",DATOS_[Conc.Sal.25]))))), 0)</f>
        <v>0</v>
      </c>
      <c r="AE55" s="209" t="n">
        <f aca="false" t="array" ref="AE55:AE55">IFERROR( AVERAGE((IF(DATOS_[[Sexo]:[Sexo]]=$B55,IF(DATOS_[[AGRUP. VALOR. PTO.]:[AGRUP. VALOR. PTO.]]=$B54,IF(DATOS_[[Check Periodo Ref.]:[Check Periodo Ref.]]="Dentro",DATOS_[Conc.Sal.26]))))), 0)</f>
        <v>0</v>
      </c>
      <c r="AF55" s="209" t="n">
        <f aca="false" t="array" ref="AF55:AF55">IFERROR( AVERAGE((IF(DATOS_[[Sexo]:[Sexo]]=$B55,IF(DATOS_[[AGRUP. VALOR. PTO.]:[AGRUP. VALOR. PTO.]]=$B54,IF(DATOS_[[Check Periodo Ref.]:[Check Periodo Ref.]]="Dentro",DATOS_[Conc.Sal.27]))))), 0)</f>
        <v>0</v>
      </c>
      <c r="AG55" s="209" t="n">
        <f aca="false" t="array" ref="AG55:AG55">IFERROR( AVERAGE((IF(DATOS_[[Sexo]:[Sexo]]=$B55,IF(DATOS_[[AGRUP. VALOR. PTO.]:[AGRUP. VALOR. PTO.]]=$B54,IF(DATOS_[[Check Periodo Ref.]:[Check Periodo Ref.]]="Dentro",DATOS_[Conc.Sal.28]))))), 0)</f>
        <v>0</v>
      </c>
      <c r="AH55" s="209" t="n">
        <f aca="false" t="array" ref="AH55:AH55">IFERROR( AVERAGE((IF(DATOS_[[Sexo]:[Sexo]]=$B55,IF(DATOS_[[AGRUP. VALOR. PTO.]:[AGRUP. VALOR. PTO.]]=$B54,IF(DATOS_[[Check Periodo Ref.]:[Check Periodo Ref.]]="Dentro",DATOS_[Conc.Sal.29]))))), 0)</f>
        <v>0</v>
      </c>
      <c r="AI55" s="209" t="n">
        <f aca="false" t="array" ref="AI55:AI55">IFERROR( AVERAGE((IF(DATOS_[[Sexo]:[Sexo]]=$B55,IF(DATOS_[[AGRUP. VALOR. PTO.]:[AGRUP. VALOR. PTO.]]=$B54,IF(DATOS_[[Check Periodo Ref.]:[Check Periodo Ref.]]="Dentro",DATOS_[Conc.Sal.30]))))), 0)</f>
        <v>0</v>
      </c>
      <c r="AJ55" s="210" t="n">
        <f aca="false" t="array" ref="AJ55:AJ55">IFERROR( AVERAGE(IF(DATOS_[Sexo]=$B55,IF(DATOS_[AGRUP. VALOR. PTO.]=$B54,IF(DATOS_[Check Periodo Ref.]="Dentro",DATOS_[Tot COMPL.SAL Ef],0)))), 0)</f>
        <v>0</v>
      </c>
      <c r="AK55" s="211" t="n">
        <f aca="false" t="array" ref="AK55:AK55">IFERROR( AVERAGE(IF(DATOS_[Sexo]=$B55,IF(DATOS_[AGRUP. VALOR. PTO.]=$B54,IF(DATOS_[Check Periodo Ref.]="Dentro",DATOS_[TOTAL SALARIO Ef],0)))), 0)</f>
        <v>0</v>
      </c>
      <c r="AL55" s="212" t="n">
        <f aca="false" t="array" ref="AL55:AL55">IFERROR( AVERAGE((IF(DATOS_[[Sexo]:[Sexo]]=$B55,IF(DATOS_[[AGRUP. VALOR. PTO.]:[AGRUP. VALOR. PTO.]]=$B54,IF(DATOS_[[Check Periodo Ref.]:[Check Periodo Ref.]]="Dentro",DATOS_[C.Extra.01]))))), 0)</f>
        <v>0</v>
      </c>
      <c r="AM55" s="212" t="n">
        <f aca="false" t="array" ref="AM55:AM55">IFERROR( AVERAGE((IF(DATOS_[[Sexo]:[Sexo]]=$B55,IF(DATOS_[[AGRUP. VALOR. PTO.]:[AGRUP. VALOR. PTO.]]=$B54,IF(DATOS_[[Check Periodo Ref.]:[Check Periodo Ref.]]="Dentro",DATOS_[C.Extra.02]))))), 0)</f>
        <v>0</v>
      </c>
      <c r="AN55" s="212" t="n">
        <f aca="false" t="array" ref="AN55:AN55">IFERROR( AVERAGE((IF(DATOS_[[Sexo]:[Sexo]]=$B55,IF(DATOS_[[AGRUP. VALOR. PTO.]:[AGRUP. VALOR. PTO.]]=$B54,IF(DATOS_[[Check Periodo Ref.]:[Check Periodo Ref.]]="Dentro",DATOS_[C.Extra.03]))))), 0)</f>
        <v>0</v>
      </c>
      <c r="AO55" s="212" t="n">
        <f aca="false" t="array" ref="AO55:AO55">IFERROR( AVERAGE((IF(DATOS_[[Sexo]:[Sexo]]=$B55,IF(DATOS_[[AGRUP. VALOR. PTO.]:[AGRUP. VALOR. PTO.]]=$B54,IF(DATOS_[[Check Periodo Ref.]:[Check Periodo Ref.]]="Dentro",DATOS_[C.Extra.04]))))), 0)</f>
        <v>0</v>
      </c>
      <c r="AP55" s="212" t="n">
        <f aca="false" t="array" ref="AP55:AP55">IFERROR( AVERAGE((IF(DATOS_[[Sexo]:[Sexo]]=$B55,IF(DATOS_[[AGRUP. VALOR. PTO.]:[AGRUP. VALOR. PTO.]]=$B54,IF(DATOS_[[Check Periodo Ref.]:[Check Periodo Ref.]]="Dentro",DATOS_[C.Extra.05]))))), 0)</f>
        <v>0</v>
      </c>
      <c r="AQ55" s="213" t="n">
        <f aca="false" t="array" ref="AQ55:AQ55">IFERROR( AVERAGE(IF(DATOS_[Sexo]=$B55,IF(DATOS_[AGRUP. VALOR. PTO.]=$B54,IF(DATOS_[Check Periodo Ref.]="Dentro",DATOS_[Tot Extrasalarial Ef],0)))), 0)</f>
        <v>0</v>
      </c>
      <c r="AR55" s="214" t="n">
        <f aca="false" t="array" ref="AR55:AR55">IFERROR( AVERAGE(IF(DATOS_[Sexo]=$B55,IF(DATOS_[AGRUP. VALOR. PTO.]=$B54,IF(DATOS_[Check Periodo Ref.]="Dentro",DATOS_[TOTAL Retrib Ef],0)))), 0)</f>
        <v>0</v>
      </c>
    </row>
    <row r="56" customFormat="false" ht="14.25" hidden="false" customHeight="false" outlineLevel="0" collapsed="false">
      <c r="A56" s="191" t="str">
        <f aca="false">+A55</f>
        <v>[ocultar]</v>
      </c>
      <c r="B56" s="205" t="s">
        <v>372</v>
      </c>
      <c r="C56" s="206" t="n">
        <f aca="false" t="array" ref="C56:C56">SUM(IF($B56=DATOS_[Sexo], IF($B54=DATOS_[AGRUP. VALOR. PTO.], IF("Dentro"=DATOS_[Check Periodo Ref.], 1/(COUNTIFS(DATOS_[Sexo],$B56,DATOS_[AGRUP. VALOR. PTO.],$B54,DATOS_[Check Periodo Ref.],"Dentro",DATOS_[id],DATOS_[id]))))))</f>
        <v>0</v>
      </c>
      <c r="D56" s="207" t="n">
        <f aca="false">COUNTIFS(DATOS_[AGRUP. VALOR. PTO.],$B54,DATOS_[Sexo],$B56,DATOS_[Check Periodo Ref.],"Dentro")</f>
        <v>0</v>
      </c>
      <c r="E56" s="208" t="n">
        <f aca="false" t="array" ref="E56:E56">IFERROR( AVERAGE(IF(DATOS_[Sexo]=$B56,IF(DATOS_[AGRUP. VALOR. PTO.]=$B54,IF(DATOS_[Check Periodo Ref.]="Dentro",DATOS_[SALARIO BASE Ef],0)))), 0)</f>
        <v>0</v>
      </c>
      <c r="F56" s="209" t="n">
        <f aca="false" t="array" ref="F56:F56">IFERROR( AVERAGE((IF(DATOS_[[Sexo]:[Sexo]]=$B56,IF(DATOS_[[AGRUP. VALOR. PTO.]:[AGRUP. VALOR. PTO.]]=$B54,IF(DATOS_[[Check Periodo Ref.]:[Check Periodo Ref.]]="Dentro",DATOS_[Conc.Sal.01]))))), 0)</f>
        <v>0</v>
      </c>
      <c r="G56" s="209" t="n">
        <f aca="false" t="array" ref="G56:G56">IFERROR( AVERAGE((IF(DATOS_[[Sexo]:[Sexo]]=$B56,IF(DATOS_[[AGRUP. VALOR. PTO.]:[AGRUP. VALOR. PTO.]]=$B54,IF(DATOS_[[Check Periodo Ref.]:[Check Periodo Ref.]]="Dentro",DATOS_[Conc.Sal.02]))))), 0)</f>
        <v>0</v>
      </c>
      <c r="H56" s="209" t="n">
        <f aca="false" t="array" ref="H56:H56">IFERROR( AVERAGE((IF(DATOS_[[Sexo]:[Sexo]]=$B56,IF(DATOS_[[AGRUP. VALOR. PTO.]:[AGRUP. VALOR. PTO.]]=$B54,IF(DATOS_[[Check Periodo Ref.]:[Check Periodo Ref.]]="Dentro",DATOS_[Conc.Sal.03]))))), 0)</f>
        <v>0</v>
      </c>
      <c r="I56" s="209" t="n">
        <f aca="false" t="array" ref="I56:I56">IFERROR( AVERAGE((IF(DATOS_[[Sexo]:[Sexo]]=$B56,IF(DATOS_[[AGRUP. VALOR. PTO.]:[AGRUP. VALOR. PTO.]]=$B54,IF(DATOS_[[Check Periodo Ref.]:[Check Periodo Ref.]]="Dentro",DATOS_[Conc.Sal.04]))))), 0)</f>
        <v>0</v>
      </c>
      <c r="J56" s="209" t="n">
        <f aca="false" t="array" ref="J56:J56">IFERROR( AVERAGE((IF(DATOS_[[Sexo]:[Sexo]]=$B56,IF(DATOS_[[AGRUP. VALOR. PTO.]:[AGRUP. VALOR. PTO.]]=$B54,IF(DATOS_[[Check Periodo Ref.]:[Check Periodo Ref.]]="Dentro",DATOS_[Conc.Sal.05]))))), 0)</f>
        <v>0</v>
      </c>
      <c r="K56" s="209" t="n">
        <f aca="false" t="array" ref="K56:K56">IFERROR( AVERAGE((IF(DATOS_[[Sexo]:[Sexo]]=$B56,IF(DATOS_[[AGRUP. VALOR. PTO.]:[AGRUP. VALOR. PTO.]]=$B54,IF(DATOS_[[Check Periodo Ref.]:[Check Periodo Ref.]]="Dentro",DATOS_[Conc.Sal.06]))))), 0)</f>
        <v>0</v>
      </c>
      <c r="L56" s="209" t="n">
        <f aca="false" t="array" ref="L56:L56">IFERROR( AVERAGE((IF(DATOS_[[Sexo]:[Sexo]]=$B56,IF(DATOS_[[AGRUP. VALOR. PTO.]:[AGRUP. VALOR. PTO.]]=$B54,IF(DATOS_[[Check Periodo Ref.]:[Check Periodo Ref.]]="Dentro",DATOS_[Conc.Sal.07]))))), 0)</f>
        <v>0</v>
      </c>
      <c r="M56" s="209" t="n">
        <f aca="false" t="array" ref="M56:M56">IFERROR( AVERAGE((IF(DATOS_[[Sexo]:[Sexo]]=$B56,IF(DATOS_[[AGRUP. VALOR. PTO.]:[AGRUP. VALOR. PTO.]]=$B54,IF(DATOS_[[Check Periodo Ref.]:[Check Periodo Ref.]]="Dentro",DATOS_[Conc.Sal.08]))))), 0)</f>
        <v>0</v>
      </c>
      <c r="N56" s="209" t="n">
        <f aca="false" t="array" ref="N56:N56">IFERROR( AVERAGE((IF(DATOS_[[Sexo]:[Sexo]]=$B56,IF(DATOS_[[AGRUP. VALOR. PTO.]:[AGRUP. VALOR. PTO.]]=$B54,IF(DATOS_[[Check Periodo Ref.]:[Check Periodo Ref.]]="Dentro",DATOS_[Conc.Sal.09]))))), 0)</f>
        <v>0</v>
      </c>
      <c r="O56" s="209" t="n">
        <f aca="false" t="array" ref="O56:O56">IFERROR( AVERAGE((IF(DATOS_[[Sexo]:[Sexo]]=$B56,IF(DATOS_[[AGRUP. VALOR. PTO.]:[AGRUP. VALOR. PTO.]]=$B54,IF(DATOS_[[Check Periodo Ref.]:[Check Periodo Ref.]]="Dentro",DATOS_[Conc.Sal.10]))))), 0)</f>
        <v>0</v>
      </c>
      <c r="P56" s="209" t="n">
        <f aca="false" t="array" ref="P56:P56">IFERROR( AVERAGE((IF(DATOS_[[Sexo]:[Sexo]]=$B56,IF(DATOS_[[AGRUP. VALOR. PTO.]:[AGRUP. VALOR. PTO.]]=$B54,IF(DATOS_[[Check Periodo Ref.]:[Check Periodo Ref.]]="Dentro",DATOS_[Conc.Sal.11]))))), 0)</f>
        <v>0</v>
      </c>
      <c r="Q56" s="209" t="n">
        <f aca="false" t="array" ref="Q56:Q56">IFERROR( AVERAGE((IF(DATOS_[[Sexo]:[Sexo]]=$B56,IF(DATOS_[[AGRUP. VALOR. PTO.]:[AGRUP. VALOR. PTO.]]=$B54,IF(DATOS_[[Check Periodo Ref.]:[Check Periodo Ref.]]="Dentro",DATOS_[Conc.Sal.12]))))), 0)</f>
        <v>0</v>
      </c>
      <c r="R56" s="209" t="n">
        <f aca="false" t="array" ref="R56:R56">IFERROR( AVERAGE((IF(DATOS_[[Sexo]:[Sexo]]=$B56,IF(DATOS_[[AGRUP. VALOR. PTO.]:[AGRUP. VALOR. PTO.]]=$B54,IF(DATOS_[[Check Periodo Ref.]:[Check Periodo Ref.]]="Dentro",DATOS_[Conc.Sal.13]))))), 0)</f>
        <v>0</v>
      </c>
      <c r="S56" s="209" t="n">
        <f aca="false" t="array" ref="S56:S56">IFERROR( AVERAGE((IF(DATOS_[[Sexo]:[Sexo]]=$B56,IF(DATOS_[[AGRUP. VALOR. PTO.]:[AGRUP. VALOR. PTO.]]=$B54,IF(DATOS_[[Check Periodo Ref.]:[Check Periodo Ref.]]="Dentro",DATOS_[Conc.Sal.14]))))), 0)</f>
        <v>0</v>
      </c>
      <c r="T56" s="209" t="n">
        <f aca="false" t="array" ref="T56:T56">IFERROR( AVERAGE((IF(DATOS_[[Sexo]:[Sexo]]=$B56,IF(DATOS_[[AGRUP. VALOR. PTO.]:[AGRUP. VALOR. PTO.]]=$B54,IF(DATOS_[[Check Periodo Ref.]:[Check Periodo Ref.]]="Dentro",DATOS_[Conc.Sal.15]))))), 0)</f>
        <v>0</v>
      </c>
      <c r="U56" s="209" t="n">
        <f aca="false" t="array" ref="U56:U56">IFERROR( AVERAGE((IF(DATOS_[[Sexo]:[Sexo]]=$B56,IF(DATOS_[[AGRUP. VALOR. PTO.]:[AGRUP. VALOR. PTO.]]=$B54,IF(DATOS_[[Check Periodo Ref.]:[Check Periodo Ref.]]="Dentro",DATOS_[Conc.Sal.16]))))), 0)</f>
        <v>0</v>
      </c>
      <c r="V56" s="209" t="n">
        <f aca="false" t="array" ref="V56:V56">IFERROR( AVERAGE((IF(DATOS_[[Sexo]:[Sexo]]=$B56,IF(DATOS_[[AGRUP. VALOR. PTO.]:[AGRUP. VALOR. PTO.]]=$B54,IF(DATOS_[[Check Periodo Ref.]:[Check Periodo Ref.]]="Dentro",DATOS_[Conc.Sal.17]))))), 0)</f>
        <v>0</v>
      </c>
      <c r="W56" s="209" t="n">
        <f aca="false" t="array" ref="W56:W56">IFERROR( AVERAGE((IF(DATOS_[[Sexo]:[Sexo]]=$B56,IF(DATOS_[[AGRUP. VALOR. PTO.]:[AGRUP. VALOR. PTO.]]=$B54,IF(DATOS_[[Check Periodo Ref.]:[Check Periodo Ref.]]="Dentro",DATOS_[Conc.Sal.18]))))), 0)</f>
        <v>0</v>
      </c>
      <c r="X56" s="209" t="n">
        <f aca="false" t="array" ref="X56:X56">IFERROR( AVERAGE((IF(DATOS_[[Sexo]:[Sexo]]=$B56,IF(DATOS_[[AGRUP. VALOR. PTO.]:[AGRUP. VALOR. PTO.]]=$B54,IF(DATOS_[[Check Periodo Ref.]:[Check Periodo Ref.]]="Dentro",DATOS_[Conc.Sal.19]))))), 0)</f>
        <v>0</v>
      </c>
      <c r="Y56" s="209" t="n">
        <f aca="false" t="array" ref="Y56:Y56">IFERROR( AVERAGE((IF(DATOS_[[Sexo]:[Sexo]]=$B56,IF(DATOS_[[AGRUP. VALOR. PTO.]:[AGRUP. VALOR. PTO.]]=$B54,IF(DATOS_[[Check Periodo Ref.]:[Check Periodo Ref.]]="Dentro",DATOS_[Conc.Sal.20]))))), 0)</f>
        <v>0</v>
      </c>
      <c r="Z56" s="209" t="n">
        <f aca="false" t="array" ref="Z56:Z56">IFERROR( AVERAGE((IF(DATOS_[[Sexo]:[Sexo]]=$B56,IF(DATOS_[[AGRUP. VALOR. PTO.]:[AGRUP. VALOR. PTO.]]=$B54,IF(DATOS_[[Check Periodo Ref.]:[Check Periodo Ref.]]="Dentro",DATOS_[Conc.Sal.21]))))), 0)</f>
        <v>0</v>
      </c>
      <c r="AA56" s="209" t="n">
        <f aca="false" t="array" ref="AA56:AA56">IFERROR( AVERAGE((IF(DATOS_[[Sexo]:[Sexo]]=$B56,IF(DATOS_[[AGRUP. VALOR. PTO.]:[AGRUP. VALOR. PTO.]]=$B54,IF(DATOS_[[Check Periodo Ref.]:[Check Periodo Ref.]]="Dentro",DATOS_[Conc.Sal.22]))))), 0)</f>
        <v>0</v>
      </c>
      <c r="AB56" s="209" t="n">
        <f aca="false" t="array" ref="AB56:AB56">IFERROR( AVERAGE((IF(DATOS_[[Sexo]:[Sexo]]=$B56,IF(DATOS_[[AGRUP. VALOR. PTO.]:[AGRUP. VALOR. PTO.]]=$B54,IF(DATOS_[[Check Periodo Ref.]:[Check Periodo Ref.]]="Dentro",DATOS_[Conc.Sal.23]))))), 0)</f>
        <v>0</v>
      </c>
      <c r="AC56" s="209" t="n">
        <f aca="false" t="array" ref="AC56:AC56">IFERROR( AVERAGE((IF(DATOS_[[Sexo]:[Sexo]]=$B56,IF(DATOS_[[AGRUP. VALOR. PTO.]:[AGRUP. VALOR. PTO.]]=$B54,IF(DATOS_[[Check Periodo Ref.]:[Check Periodo Ref.]]="Dentro",DATOS_[Conc.Sal.24]))))), 0)</f>
        <v>0</v>
      </c>
      <c r="AD56" s="209" t="n">
        <f aca="false" t="array" ref="AD56:AD56">IFERROR( AVERAGE((IF(DATOS_[[Sexo]:[Sexo]]=$B56,IF(DATOS_[[AGRUP. VALOR. PTO.]:[AGRUP. VALOR. PTO.]]=$B54,IF(DATOS_[[Check Periodo Ref.]:[Check Periodo Ref.]]="Dentro",DATOS_[Conc.Sal.25]))))), 0)</f>
        <v>0</v>
      </c>
      <c r="AE56" s="209" t="n">
        <f aca="false" t="array" ref="AE56:AE56">IFERROR( AVERAGE((IF(DATOS_[[Sexo]:[Sexo]]=$B56,IF(DATOS_[[AGRUP. VALOR. PTO.]:[AGRUP. VALOR. PTO.]]=$B54,IF(DATOS_[[Check Periodo Ref.]:[Check Periodo Ref.]]="Dentro",DATOS_[Conc.Sal.26]))))), 0)</f>
        <v>0</v>
      </c>
      <c r="AF56" s="209" t="n">
        <f aca="false" t="array" ref="AF56:AF56">IFERROR( AVERAGE((IF(DATOS_[[Sexo]:[Sexo]]=$B56,IF(DATOS_[[AGRUP. VALOR. PTO.]:[AGRUP. VALOR. PTO.]]=$B54,IF(DATOS_[[Check Periodo Ref.]:[Check Periodo Ref.]]="Dentro",DATOS_[Conc.Sal.27]))))), 0)</f>
        <v>0</v>
      </c>
      <c r="AG56" s="209" t="n">
        <f aca="false" t="array" ref="AG56:AG56">IFERROR( AVERAGE((IF(DATOS_[[Sexo]:[Sexo]]=$B56,IF(DATOS_[[AGRUP. VALOR. PTO.]:[AGRUP. VALOR. PTO.]]=$B54,IF(DATOS_[[Check Periodo Ref.]:[Check Periodo Ref.]]="Dentro",DATOS_[Conc.Sal.28]))))), 0)</f>
        <v>0</v>
      </c>
      <c r="AH56" s="209" t="n">
        <f aca="false" t="array" ref="AH56:AH56">IFERROR( AVERAGE((IF(DATOS_[[Sexo]:[Sexo]]=$B56,IF(DATOS_[[AGRUP. VALOR. PTO.]:[AGRUP. VALOR. PTO.]]=$B54,IF(DATOS_[[Check Periodo Ref.]:[Check Periodo Ref.]]="Dentro",DATOS_[Conc.Sal.29]))))), 0)</f>
        <v>0</v>
      </c>
      <c r="AI56" s="209" t="n">
        <f aca="false" t="array" ref="AI56:AI56">IFERROR( AVERAGE((IF(DATOS_[[Sexo]:[Sexo]]=$B56,IF(DATOS_[[AGRUP. VALOR. PTO.]:[AGRUP. VALOR. PTO.]]=$B54,IF(DATOS_[[Check Periodo Ref.]:[Check Periodo Ref.]]="Dentro",DATOS_[Conc.Sal.30]))))), 0)</f>
        <v>0</v>
      </c>
      <c r="AJ56" s="210" t="n">
        <f aca="false" t="array" ref="AJ56:AJ56">IFERROR( AVERAGE(IF(DATOS_[Sexo]=$B56,IF(DATOS_[AGRUP. VALOR. PTO.]=$B54,IF(DATOS_[Check Periodo Ref.]="Dentro",DATOS_[Tot COMPL.SAL Ef],0)))), 0)</f>
        <v>0</v>
      </c>
      <c r="AK56" s="211" t="n">
        <f aca="false" t="array" ref="AK56:AK56">IFERROR( AVERAGE(IF(DATOS_[Sexo]=$B56,IF(DATOS_[AGRUP. VALOR. PTO.]=$B54,IF(DATOS_[Check Periodo Ref.]="Dentro",DATOS_[TOTAL SALARIO Ef],0)))), 0)</f>
        <v>0</v>
      </c>
      <c r="AL56" s="212" t="n">
        <f aca="false" t="array" ref="AL56:AL56">IFERROR( AVERAGE((IF(DATOS_[[Sexo]:[Sexo]]=$B56,IF(DATOS_[[AGRUP. VALOR. PTO.]:[AGRUP. VALOR. PTO.]]=$B54,IF(DATOS_[[Check Periodo Ref.]:[Check Periodo Ref.]]="Dentro",DATOS_[C.Extra.01]))))), 0)</f>
        <v>0</v>
      </c>
      <c r="AM56" s="212" t="n">
        <f aca="false" t="array" ref="AM56:AM56">IFERROR( AVERAGE((IF(DATOS_[[Sexo]:[Sexo]]=$B56,IF(DATOS_[[AGRUP. VALOR. PTO.]:[AGRUP. VALOR. PTO.]]=$B54,IF(DATOS_[[Check Periodo Ref.]:[Check Periodo Ref.]]="Dentro",DATOS_[C.Extra.02]))))), 0)</f>
        <v>0</v>
      </c>
      <c r="AN56" s="212" t="n">
        <f aca="false" t="array" ref="AN56:AN56">IFERROR( AVERAGE((IF(DATOS_[[Sexo]:[Sexo]]=$B56,IF(DATOS_[[AGRUP. VALOR. PTO.]:[AGRUP. VALOR. PTO.]]=$B54,IF(DATOS_[[Check Periodo Ref.]:[Check Periodo Ref.]]="Dentro",DATOS_[C.Extra.03]))))), 0)</f>
        <v>0</v>
      </c>
      <c r="AO56" s="212" t="n">
        <f aca="false" t="array" ref="AO56:AO56">IFERROR( AVERAGE((IF(DATOS_[[Sexo]:[Sexo]]=$B56,IF(DATOS_[[AGRUP. VALOR. PTO.]:[AGRUP. VALOR. PTO.]]=$B54,IF(DATOS_[[Check Periodo Ref.]:[Check Periodo Ref.]]="Dentro",DATOS_[C.Extra.04]))))), 0)</f>
        <v>0</v>
      </c>
      <c r="AP56" s="212" t="n">
        <f aca="false" t="array" ref="AP56:AP56">IFERROR( AVERAGE((IF(DATOS_[[Sexo]:[Sexo]]=$B56,IF(DATOS_[[AGRUP. VALOR. PTO.]:[AGRUP. VALOR. PTO.]]=$B54,IF(DATOS_[[Check Periodo Ref.]:[Check Periodo Ref.]]="Dentro",DATOS_[C.Extra.05]))))), 0)</f>
        <v>0</v>
      </c>
      <c r="AQ56" s="213" t="n">
        <f aca="false" t="array" ref="AQ56:AQ56">IFERROR( AVERAGE(IF(DATOS_[Sexo]=$B56,IF(DATOS_[AGRUP. VALOR. PTO.]=$B54,IF(DATOS_[Check Periodo Ref.]="Dentro",DATOS_[Tot Extrasalarial Ef],0)))), 0)</f>
        <v>0</v>
      </c>
      <c r="AR56" s="214" t="n">
        <f aca="false" t="array" ref="AR56:AR56">IFERROR( AVERAGE(IF(DATOS_[Sexo]=$B56,IF(DATOS_[AGRUP. VALOR. PTO.]=$B54,IF(DATOS_[Check Periodo Ref.]="Dentro",DATOS_[TOTAL Retrib Ef],0)))), 0)</f>
        <v>0</v>
      </c>
    </row>
    <row r="57" customFormat="false" ht="15.75" hidden="false" customHeight="false" outlineLevel="0" collapsed="false">
      <c r="A57" s="191" t="str">
        <f aca="false">+A58</f>
        <v>[ocultar]</v>
      </c>
      <c r="B57" s="192" t="s">
        <v>211</v>
      </c>
      <c r="C57" s="193"/>
      <c r="D57" s="194"/>
      <c r="E57" s="195" t="str">
        <f aca="false">IFERROR((E58-E59)/E58,"")</f>
        <v/>
      </c>
      <c r="F57" s="196" t="str">
        <f aca="false">IFERROR((F58-F59)/F58,"")</f>
        <v/>
      </c>
      <c r="G57" s="197" t="str">
        <f aca="false">IFERROR((G58-G59)/G58,"")</f>
        <v/>
      </c>
      <c r="H57" s="197" t="str">
        <f aca="false">IFERROR((H58-H59)/H58,"")</f>
        <v/>
      </c>
      <c r="I57" s="197" t="str">
        <f aca="false">IFERROR((I58-I59)/I58,"")</f>
        <v/>
      </c>
      <c r="J57" s="198" t="str">
        <f aca="false">IFERROR((J58-J59)/J58,"")</f>
        <v/>
      </c>
      <c r="K57" s="199" t="str">
        <f aca="false">IFERROR((K58-K59)/K58,"")</f>
        <v/>
      </c>
      <c r="L57" s="199" t="str">
        <f aca="false">IFERROR((L58-L59)/L58,"")</f>
        <v/>
      </c>
      <c r="M57" s="199" t="str">
        <f aca="false">IFERROR((M58-M59)/M58,"")</f>
        <v/>
      </c>
      <c r="N57" s="199" t="str">
        <f aca="false">IFERROR((N58-N59)/N58,"")</f>
        <v/>
      </c>
      <c r="O57" s="199" t="str">
        <f aca="false">IFERROR((O58-O59)/O58,"")</f>
        <v/>
      </c>
      <c r="P57" s="199" t="str">
        <f aca="false">IFERROR((P58-P59)/P58,"")</f>
        <v/>
      </c>
      <c r="Q57" s="199" t="str">
        <f aca="false">IFERROR((Q58-Q59)/Q58,"")</f>
        <v/>
      </c>
      <c r="R57" s="199" t="str">
        <f aca="false">IFERROR((R58-R59)/R58,"")</f>
        <v/>
      </c>
      <c r="S57" s="199" t="str">
        <f aca="false">IFERROR((S58-S59)/S58,"")</f>
        <v/>
      </c>
      <c r="T57" s="199" t="str">
        <f aca="false">IFERROR((T58-T59)/T58,"")</f>
        <v/>
      </c>
      <c r="U57" s="199" t="str">
        <f aca="false">IFERROR((U58-U59)/U58,"")</f>
        <v/>
      </c>
      <c r="V57" s="198" t="str">
        <f aca="false">IFERROR((V58-V59)/V58,"")</f>
        <v/>
      </c>
      <c r="W57" s="198" t="str">
        <f aca="false">IFERROR((W58-W59)/W58,"")</f>
        <v/>
      </c>
      <c r="X57" s="198" t="str">
        <f aca="false">IFERROR((X58-X59)/X58,"")</f>
        <v/>
      </c>
      <c r="Y57" s="198" t="str">
        <f aca="false">IFERROR((Y58-Y59)/Y58,"")</f>
        <v/>
      </c>
      <c r="Z57" s="198" t="str">
        <f aca="false">IFERROR((Z58-Z59)/Z58,"")</f>
        <v/>
      </c>
      <c r="AA57" s="198" t="str">
        <f aca="false">IFERROR((AA58-AA59)/AA58,"")</f>
        <v/>
      </c>
      <c r="AB57" s="198" t="str">
        <f aca="false">IFERROR((AB58-AB59)/AB58,"")</f>
        <v/>
      </c>
      <c r="AC57" s="198" t="str">
        <f aca="false">IFERROR((AC58-AC59)/AC58,"")</f>
        <v/>
      </c>
      <c r="AD57" s="198" t="str">
        <f aca="false">IFERROR((AD58-AD59)/AD58,"")</f>
        <v/>
      </c>
      <c r="AE57" s="198" t="str">
        <f aca="false">IFERROR((AE58-AE59)/AE58,"")</f>
        <v/>
      </c>
      <c r="AF57" s="198" t="str">
        <f aca="false">IFERROR((AF58-AF59)/AF58,"")</f>
        <v/>
      </c>
      <c r="AG57" s="198" t="str">
        <f aca="false">IFERROR((AG58-AG59)/AG58,"")</f>
        <v/>
      </c>
      <c r="AH57" s="198" t="str">
        <f aca="false">IFERROR((AH58-AH59)/AH58,"")</f>
        <v/>
      </c>
      <c r="AI57" s="198" t="str">
        <f aca="false">IFERROR((AI58-AI59)/AI58,"")</f>
        <v/>
      </c>
      <c r="AJ57" s="200" t="str">
        <f aca="false">IFERROR((AJ58-AJ59)/AJ58,"")</f>
        <v/>
      </c>
      <c r="AK57" s="201" t="str">
        <f aca="false">IFERROR((AK58-AK59)/AK58,"")</f>
        <v/>
      </c>
      <c r="AL57" s="202" t="str">
        <f aca="false">IFERROR((AL58-AL59)/AL58,"")</f>
        <v/>
      </c>
      <c r="AM57" s="202" t="str">
        <f aca="false">IFERROR((AM58-AM59)/AM58,"")</f>
        <v/>
      </c>
      <c r="AN57" s="202" t="str">
        <f aca="false">IFERROR((AN58-AN59)/AN58,"")</f>
        <v/>
      </c>
      <c r="AO57" s="202" t="str">
        <f aca="false">IFERROR((AO58-AO59)/AO58,"")</f>
        <v/>
      </c>
      <c r="AP57" s="202" t="str">
        <f aca="false">IFERROR((AP58-AP59)/AP58,"")</f>
        <v/>
      </c>
      <c r="AQ57" s="203" t="str">
        <f aca="false">IFERROR((AQ58-AQ59)/AQ58,"")</f>
        <v/>
      </c>
      <c r="AR57" s="204" t="str">
        <f aca="false">IFERROR((AR58-AR59)/AR58,"")</f>
        <v/>
      </c>
    </row>
    <row r="58" customFormat="false" ht="14.25" hidden="false" customHeight="false" outlineLevel="0" collapsed="false">
      <c r="A58" s="191" t="str">
        <f aca="false">+IF(C58+C59=0,"[ocultar]","")</f>
        <v>[ocultar]</v>
      </c>
      <c r="B58" s="205" t="s">
        <v>371</v>
      </c>
      <c r="C58" s="206" t="n">
        <f aca="false" t="array" ref="C58:C58">SUM(IF($B58=DATOS_[Sexo], IF($B57=DATOS_[AGRUP. VALOR. PTO.], IF("Dentro"=DATOS_[Check Periodo Ref.], 1/(COUNTIFS(DATOS_[Sexo],$B58,DATOS_[AGRUP. VALOR. PTO.],$B57,DATOS_[Check Periodo Ref.],"Dentro",DATOS_[id],DATOS_[id]))))))</f>
        <v>0</v>
      </c>
      <c r="D58" s="207" t="n">
        <f aca="false">COUNTIFS(DATOS_[AGRUP. VALOR. PTO.],$B57,DATOS_[Sexo],$B58,DATOS_[Check Periodo Ref.],"Dentro")</f>
        <v>0</v>
      </c>
      <c r="E58" s="208" t="n">
        <f aca="false" t="array" ref="E58:E58">IFERROR( AVERAGE(IF(DATOS_[Sexo]=$B58,IF(DATOS_[AGRUP. VALOR. PTO.]=$B57,IF(DATOS_[Check Periodo Ref.]="Dentro",DATOS_[SALARIO BASE Ef],0)))), 0)</f>
        <v>0</v>
      </c>
      <c r="F58" s="209" t="n">
        <f aca="false" t="array" ref="F58:F58">IFERROR( AVERAGE((IF(DATOS_[[Sexo]:[Sexo]]=$B58,IF(DATOS_[[AGRUP. VALOR. PTO.]:[AGRUP. VALOR. PTO.]]=$B57,IF(DATOS_[[Check Periodo Ref.]:[Check Periodo Ref.]]="Dentro",DATOS_[Conc.Sal.01]))))), 0)</f>
        <v>0</v>
      </c>
      <c r="G58" s="209" t="n">
        <f aca="false" t="array" ref="G58:G58">IFERROR( AVERAGE((IF(DATOS_[[Sexo]:[Sexo]]=$B58,IF(DATOS_[[AGRUP. VALOR. PTO.]:[AGRUP. VALOR. PTO.]]=$B57,IF(DATOS_[[Check Periodo Ref.]:[Check Periodo Ref.]]="Dentro",DATOS_[Conc.Sal.02]))))), 0)</f>
        <v>0</v>
      </c>
      <c r="H58" s="209" t="n">
        <f aca="false" t="array" ref="H58:H58">IFERROR( AVERAGE((IF(DATOS_[[Sexo]:[Sexo]]=$B58,IF(DATOS_[[AGRUP. VALOR. PTO.]:[AGRUP. VALOR. PTO.]]=$B57,IF(DATOS_[[Check Periodo Ref.]:[Check Periodo Ref.]]="Dentro",DATOS_[Conc.Sal.03]))))), 0)</f>
        <v>0</v>
      </c>
      <c r="I58" s="209" t="n">
        <f aca="false" t="array" ref="I58:I58">IFERROR( AVERAGE((IF(DATOS_[[Sexo]:[Sexo]]=$B58,IF(DATOS_[[AGRUP. VALOR. PTO.]:[AGRUP. VALOR. PTO.]]=$B57,IF(DATOS_[[Check Periodo Ref.]:[Check Periodo Ref.]]="Dentro",DATOS_[Conc.Sal.04]))))), 0)</f>
        <v>0</v>
      </c>
      <c r="J58" s="209" t="n">
        <f aca="false" t="array" ref="J58:J58">IFERROR( AVERAGE((IF(DATOS_[[Sexo]:[Sexo]]=$B58,IF(DATOS_[[AGRUP. VALOR. PTO.]:[AGRUP. VALOR. PTO.]]=$B57,IF(DATOS_[[Check Periodo Ref.]:[Check Periodo Ref.]]="Dentro",DATOS_[Conc.Sal.05]))))), 0)</f>
        <v>0</v>
      </c>
      <c r="K58" s="209" t="n">
        <f aca="false" t="array" ref="K58:K58">IFERROR( AVERAGE((IF(DATOS_[[Sexo]:[Sexo]]=$B58,IF(DATOS_[[AGRUP. VALOR. PTO.]:[AGRUP. VALOR. PTO.]]=$B57,IF(DATOS_[[Check Periodo Ref.]:[Check Periodo Ref.]]="Dentro",DATOS_[Conc.Sal.06]))))), 0)</f>
        <v>0</v>
      </c>
      <c r="L58" s="209" t="n">
        <f aca="false" t="array" ref="L58:L58">IFERROR( AVERAGE((IF(DATOS_[[Sexo]:[Sexo]]=$B58,IF(DATOS_[[AGRUP. VALOR. PTO.]:[AGRUP. VALOR. PTO.]]=$B57,IF(DATOS_[[Check Periodo Ref.]:[Check Periodo Ref.]]="Dentro",DATOS_[Conc.Sal.07]))))), 0)</f>
        <v>0</v>
      </c>
      <c r="M58" s="209" t="n">
        <f aca="false" t="array" ref="M58:M58">IFERROR( AVERAGE((IF(DATOS_[[Sexo]:[Sexo]]=$B58,IF(DATOS_[[AGRUP. VALOR. PTO.]:[AGRUP. VALOR. PTO.]]=$B57,IF(DATOS_[[Check Periodo Ref.]:[Check Periodo Ref.]]="Dentro",DATOS_[Conc.Sal.08]))))), 0)</f>
        <v>0</v>
      </c>
      <c r="N58" s="209" t="n">
        <f aca="false" t="array" ref="N58:N58">IFERROR( AVERAGE((IF(DATOS_[[Sexo]:[Sexo]]=$B58,IF(DATOS_[[AGRUP. VALOR. PTO.]:[AGRUP. VALOR. PTO.]]=$B57,IF(DATOS_[[Check Periodo Ref.]:[Check Periodo Ref.]]="Dentro",DATOS_[Conc.Sal.09]))))), 0)</f>
        <v>0</v>
      </c>
      <c r="O58" s="209" t="n">
        <f aca="false" t="array" ref="O58:O58">IFERROR( AVERAGE((IF(DATOS_[[Sexo]:[Sexo]]=$B58,IF(DATOS_[[AGRUP. VALOR. PTO.]:[AGRUP. VALOR. PTO.]]=$B57,IF(DATOS_[[Check Periodo Ref.]:[Check Periodo Ref.]]="Dentro",DATOS_[Conc.Sal.10]))))), 0)</f>
        <v>0</v>
      </c>
      <c r="P58" s="209" t="n">
        <f aca="false" t="array" ref="P58:P58">IFERROR( AVERAGE((IF(DATOS_[[Sexo]:[Sexo]]=$B58,IF(DATOS_[[AGRUP. VALOR. PTO.]:[AGRUP. VALOR. PTO.]]=$B57,IF(DATOS_[[Check Periodo Ref.]:[Check Periodo Ref.]]="Dentro",DATOS_[Conc.Sal.11]))))), 0)</f>
        <v>0</v>
      </c>
      <c r="Q58" s="209" t="n">
        <f aca="false" t="array" ref="Q58:Q58">IFERROR( AVERAGE((IF(DATOS_[[Sexo]:[Sexo]]=$B58,IF(DATOS_[[AGRUP. VALOR. PTO.]:[AGRUP. VALOR. PTO.]]=$B57,IF(DATOS_[[Check Periodo Ref.]:[Check Periodo Ref.]]="Dentro",DATOS_[Conc.Sal.12]))))), 0)</f>
        <v>0</v>
      </c>
      <c r="R58" s="209" t="n">
        <f aca="false" t="array" ref="R58:R58">IFERROR( AVERAGE((IF(DATOS_[[Sexo]:[Sexo]]=$B58,IF(DATOS_[[AGRUP. VALOR. PTO.]:[AGRUP. VALOR. PTO.]]=$B57,IF(DATOS_[[Check Periodo Ref.]:[Check Periodo Ref.]]="Dentro",DATOS_[Conc.Sal.13]))))), 0)</f>
        <v>0</v>
      </c>
      <c r="S58" s="209" t="n">
        <f aca="false" t="array" ref="S58:S58">IFERROR( AVERAGE((IF(DATOS_[[Sexo]:[Sexo]]=$B58,IF(DATOS_[[AGRUP. VALOR. PTO.]:[AGRUP. VALOR. PTO.]]=$B57,IF(DATOS_[[Check Periodo Ref.]:[Check Periodo Ref.]]="Dentro",DATOS_[Conc.Sal.14]))))), 0)</f>
        <v>0</v>
      </c>
      <c r="T58" s="209" t="n">
        <f aca="false" t="array" ref="T58:T58">IFERROR( AVERAGE((IF(DATOS_[[Sexo]:[Sexo]]=$B58,IF(DATOS_[[AGRUP. VALOR. PTO.]:[AGRUP. VALOR. PTO.]]=$B57,IF(DATOS_[[Check Periodo Ref.]:[Check Periodo Ref.]]="Dentro",DATOS_[Conc.Sal.15]))))), 0)</f>
        <v>0</v>
      </c>
      <c r="U58" s="209" t="n">
        <f aca="false" t="array" ref="U58:U58">IFERROR( AVERAGE((IF(DATOS_[[Sexo]:[Sexo]]=$B58,IF(DATOS_[[AGRUP. VALOR. PTO.]:[AGRUP. VALOR. PTO.]]=$B57,IF(DATOS_[[Check Periodo Ref.]:[Check Periodo Ref.]]="Dentro",DATOS_[Conc.Sal.16]))))), 0)</f>
        <v>0</v>
      </c>
      <c r="V58" s="209" t="n">
        <f aca="false" t="array" ref="V58:V58">IFERROR( AVERAGE((IF(DATOS_[[Sexo]:[Sexo]]=$B58,IF(DATOS_[[AGRUP. VALOR. PTO.]:[AGRUP. VALOR. PTO.]]=$B57,IF(DATOS_[[Check Periodo Ref.]:[Check Periodo Ref.]]="Dentro",DATOS_[Conc.Sal.17]))))), 0)</f>
        <v>0</v>
      </c>
      <c r="W58" s="209" t="n">
        <f aca="false" t="array" ref="W58:W58">IFERROR( AVERAGE((IF(DATOS_[[Sexo]:[Sexo]]=$B58,IF(DATOS_[[AGRUP. VALOR. PTO.]:[AGRUP. VALOR. PTO.]]=$B57,IF(DATOS_[[Check Periodo Ref.]:[Check Periodo Ref.]]="Dentro",DATOS_[Conc.Sal.18]))))), 0)</f>
        <v>0</v>
      </c>
      <c r="X58" s="209" t="n">
        <f aca="false" t="array" ref="X58:X58">IFERROR( AVERAGE((IF(DATOS_[[Sexo]:[Sexo]]=$B58,IF(DATOS_[[AGRUP. VALOR. PTO.]:[AGRUP. VALOR. PTO.]]=$B57,IF(DATOS_[[Check Periodo Ref.]:[Check Periodo Ref.]]="Dentro",DATOS_[Conc.Sal.19]))))), 0)</f>
        <v>0</v>
      </c>
      <c r="Y58" s="209" t="n">
        <f aca="false" t="array" ref="Y58:Y58">IFERROR( AVERAGE((IF(DATOS_[[Sexo]:[Sexo]]=$B58,IF(DATOS_[[AGRUP. VALOR. PTO.]:[AGRUP. VALOR. PTO.]]=$B57,IF(DATOS_[[Check Periodo Ref.]:[Check Periodo Ref.]]="Dentro",DATOS_[Conc.Sal.20]))))), 0)</f>
        <v>0</v>
      </c>
      <c r="Z58" s="209" t="n">
        <f aca="false" t="array" ref="Z58:Z58">IFERROR( AVERAGE((IF(DATOS_[[Sexo]:[Sexo]]=$B58,IF(DATOS_[[AGRUP. VALOR. PTO.]:[AGRUP. VALOR. PTO.]]=$B57,IF(DATOS_[[Check Periodo Ref.]:[Check Periodo Ref.]]="Dentro",DATOS_[Conc.Sal.21]))))), 0)</f>
        <v>0</v>
      </c>
      <c r="AA58" s="209" t="n">
        <f aca="false" t="array" ref="AA58:AA58">IFERROR( AVERAGE((IF(DATOS_[[Sexo]:[Sexo]]=$B58,IF(DATOS_[[AGRUP. VALOR. PTO.]:[AGRUP. VALOR. PTO.]]=$B57,IF(DATOS_[[Check Periodo Ref.]:[Check Periodo Ref.]]="Dentro",DATOS_[Conc.Sal.22]))))), 0)</f>
        <v>0</v>
      </c>
      <c r="AB58" s="209" t="n">
        <f aca="false" t="array" ref="AB58:AB58">IFERROR( AVERAGE((IF(DATOS_[[Sexo]:[Sexo]]=$B58,IF(DATOS_[[AGRUP. VALOR. PTO.]:[AGRUP. VALOR. PTO.]]=$B57,IF(DATOS_[[Check Periodo Ref.]:[Check Periodo Ref.]]="Dentro",DATOS_[Conc.Sal.23]))))), 0)</f>
        <v>0</v>
      </c>
      <c r="AC58" s="209" t="n">
        <f aca="false" t="array" ref="AC58:AC58">IFERROR( AVERAGE((IF(DATOS_[[Sexo]:[Sexo]]=$B58,IF(DATOS_[[AGRUP. VALOR. PTO.]:[AGRUP. VALOR. PTO.]]=$B57,IF(DATOS_[[Check Periodo Ref.]:[Check Periodo Ref.]]="Dentro",DATOS_[Conc.Sal.24]))))), 0)</f>
        <v>0</v>
      </c>
      <c r="AD58" s="209" t="n">
        <f aca="false" t="array" ref="AD58:AD58">IFERROR( AVERAGE((IF(DATOS_[[Sexo]:[Sexo]]=$B58,IF(DATOS_[[AGRUP. VALOR. PTO.]:[AGRUP. VALOR. PTO.]]=$B57,IF(DATOS_[[Check Periodo Ref.]:[Check Periodo Ref.]]="Dentro",DATOS_[Conc.Sal.25]))))), 0)</f>
        <v>0</v>
      </c>
      <c r="AE58" s="209" t="n">
        <f aca="false" t="array" ref="AE58:AE58">IFERROR( AVERAGE((IF(DATOS_[[Sexo]:[Sexo]]=$B58,IF(DATOS_[[AGRUP. VALOR. PTO.]:[AGRUP. VALOR. PTO.]]=$B57,IF(DATOS_[[Check Periodo Ref.]:[Check Periodo Ref.]]="Dentro",DATOS_[Conc.Sal.26]))))), 0)</f>
        <v>0</v>
      </c>
      <c r="AF58" s="209" t="n">
        <f aca="false" t="array" ref="AF58:AF58">IFERROR( AVERAGE((IF(DATOS_[[Sexo]:[Sexo]]=$B58,IF(DATOS_[[AGRUP. VALOR. PTO.]:[AGRUP. VALOR. PTO.]]=$B57,IF(DATOS_[[Check Periodo Ref.]:[Check Periodo Ref.]]="Dentro",DATOS_[Conc.Sal.27]))))), 0)</f>
        <v>0</v>
      </c>
      <c r="AG58" s="209" t="n">
        <f aca="false" t="array" ref="AG58:AG58">IFERROR( AVERAGE((IF(DATOS_[[Sexo]:[Sexo]]=$B58,IF(DATOS_[[AGRUP. VALOR. PTO.]:[AGRUP. VALOR. PTO.]]=$B57,IF(DATOS_[[Check Periodo Ref.]:[Check Periodo Ref.]]="Dentro",DATOS_[Conc.Sal.28]))))), 0)</f>
        <v>0</v>
      </c>
      <c r="AH58" s="209" t="n">
        <f aca="false" t="array" ref="AH58:AH58">IFERROR( AVERAGE((IF(DATOS_[[Sexo]:[Sexo]]=$B58,IF(DATOS_[[AGRUP. VALOR. PTO.]:[AGRUP. VALOR. PTO.]]=$B57,IF(DATOS_[[Check Periodo Ref.]:[Check Periodo Ref.]]="Dentro",DATOS_[Conc.Sal.29]))))), 0)</f>
        <v>0</v>
      </c>
      <c r="AI58" s="209" t="n">
        <f aca="false" t="array" ref="AI58:AI58">IFERROR( AVERAGE((IF(DATOS_[[Sexo]:[Sexo]]=$B58,IF(DATOS_[[AGRUP. VALOR. PTO.]:[AGRUP. VALOR. PTO.]]=$B57,IF(DATOS_[[Check Periodo Ref.]:[Check Periodo Ref.]]="Dentro",DATOS_[Conc.Sal.30]))))), 0)</f>
        <v>0</v>
      </c>
      <c r="AJ58" s="210" t="n">
        <f aca="false" t="array" ref="AJ58:AJ58">IFERROR( AVERAGE(IF(DATOS_[Sexo]=$B58,IF(DATOS_[AGRUP. VALOR. PTO.]=$B57,IF(DATOS_[Check Periodo Ref.]="Dentro",DATOS_[Tot COMPL.SAL Ef],0)))), 0)</f>
        <v>0</v>
      </c>
      <c r="AK58" s="211" t="n">
        <f aca="false" t="array" ref="AK58:AK58">IFERROR( AVERAGE(IF(DATOS_[Sexo]=$B58,IF(DATOS_[AGRUP. VALOR. PTO.]=$B57,IF(DATOS_[Check Periodo Ref.]="Dentro",DATOS_[TOTAL SALARIO Ef],0)))), 0)</f>
        <v>0</v>
      </c>
      <c r="AL58" s="212" t="n">
        <f aca="false" t="array" ref="AL58:AL58">IFERROR( AVERAGE((IF(DATOS_[[Sexo]:[Sexo]]=$B58,IF(DATOS_[[AGRUP. VALOR. PTO.]:[AGRUP. VALOR. PTO.]]=$B57,IF(DATOS_[[Check Periodo Ref.]:[Check Periodo Ref.]]="Dentro",DATOS_[C.Extra.01]))))), 0)</f>
        <v>0</v>
      </c>
      <c r="AM58" s="212" t="n">
        <f aca="false" t="array" ref="AM58:AM58">IFERROR( AVERAGE((IF(DATOS_[[Sexo]:[Sexo]]=$B58,IF(DATOS_[[AGRUP. VALOR. PTO.]:[AGRUP. VALOR. PTO.]]=$B57,IF(DATOS_[[Check Periodo Ref.]:[Check Periodo Ref.]]="Dentro",DATOS_[C.Extra.02]))))), 0)</f>
        <v>0</v>
      </c>
      <c r="AN58" s="212" t="n">
        <f aca="false" t="array" ref="AN58:AN58">IFERROR( AVERAGE((IF(DATOS_[[Sexo]:[Sexo]]=$B58,IF(DATOS_[[AGRUP. VALOR. PTO.]:[AGRUP. VALOR. PTO.]]=$B57,IF(DATOS_[[Check Periodo Ref.]:[Check Periodo Ref.]]="Dentro",DATOS_[C.Extra.03]))))), 0)</f>
        <v>0</v>
      </c>
      <c r="AO58" s="212" t="n">
        <f aca="false" t="array" ref="AO58:AO58">IFERROR( AVERAGE((IF(DATOS_[[Sexo]:[Sexo]]=$B58,IF(DATOS_[[AGRUP. VALOR. PTO.]:[AGRUP. VALOR. PTO.]]=$B57,IF(DATOS_[[Check Periodo Ref.]:[Check Periodo Ref.]]="Dentro",DATOS_[C.Extra.04]))))), 0)</f>
        <v>0</v>
      </c>
      <c r="AP58" s="212" t="n">
        <f aca="false" t="array" ref="AP58:AP58">IFERROR( AVERAGE((IF(DATOS_[[Sexo]:[Sexo]]=$B58,IF(DATOS_[[AGRUP. VALOR. PTO.]:[AGRUP. VALOR. PTO.]]=$B57,IF(DATOS_[[Check Periodo Ref.]:[Check Periodo Ref.]]="Dentro",DATOS_[C.Extra.05]))))), 0)</f>
        <v>0</v>
      </c>
      <c r="AQ58" s="213" t="n">
        <f aca="false" t="array" ref="AQ58:AQ58">IFERROR( AVERAGE(IF(DATOS_[Sexo]=$B58,IF(DATOS_[AGRUP. VALOR. PTO.]=$B57,IF(DATOS_[Check Periodo Ref.]="Dentro",DATOS_[Tot Extrasalarial Ef],0)))), 0)</f>
        <v>0</v>
      </c>
      <c r="AR58" s="214" t="n">
        <f aca="false" t="array" ref="AR58:AR58">IFERROR( AVERAGE(IF(DATOS_[Sexo]=$B58,IF(DATOS_[AGRUP. VALOR. PTO.]=$B57,IF(DATOS_[Check Periodo Ref.]="Dentro",DATOS_[TOTAL Retrib Ef],0)))), 0)</f>
        <v>0</v>
      </c>
    </row>
    <row r="59" customFormat="false" ht="14.25" hidden="false" customHeight="false" outlineLevel="0" collapsed="false">
      <c r="A59" s="191" t="str">
        <f aca="false">+A58</f>
        <v>[ocultar]</v>
      </c>
      <c r="B59" s="205" t="s">
        <v>372</v>
      </c>
      <c r="C59" s="206" t="n">
        <f aca="false" t="array" ref="C59:C59">SUM(IF($B59=DATOS_[Sexo], IF($B57=DATOS_[AGRUP. VALOR. PTO.], IF("Dentro"=DATOS_[Check Periodo Ref.], 1/(COUNTIFS(DATOS_[Sexo],$B59,DATOS_[AGRUP. VALOR. PTO.],$B57,DATOS_[Check Periodo Ref.],"Dentro",DATOS_[id],DATOS_[id]))))))</f>
        <v>0</v>
      </c>
      <c r="D59" s="207" t="n">
        <f aca="false">COUNTIFS(DATOS_[AGRUP. VALOR. PTO.],$B57,DATOS_[Sexo],$B59,DATOS_[Check Periodo Ref.],"Dentro")</f>
        <v>0</v>
      </c>
      <c r="E59" s="208" t="n">
        <f aca="false" t="array" ref="E59:E59">IFERROR( AVERAGE(IF(DATOS_[Sexo]=$B59,IF(DATOS_[AGRUP. VALOR. PTO.]=$B57,IF(DATOS_[Check Periodo Ref.]="Dentro",DATOS_[SALARIO BASE Ef],0)))), 0)</f>
        <v>0</v>
      </c>
      <c r="F59" s="209" t="n">
        <f aca="false" t="array" ref="F59:F59">IFERROR( AVERAGE((IF(DATOS_[[Sexo]:[Sexo]]=$B59,IF(DATOS_[[AGRUP. VALOR. PTO.]:[AGRUP. VALOR. PTO.]]=$B57,IF(DATOS_[[Check Periodo Ref.]:[Check Periodo Ref.]]="Dentro",DATOS_[Conc.Sal.01]))))), 0)</f>
        <v>0</v>
      </c>
      <c r="G59" s="209" t="n">
        <f aca="false" t="array" ref="G59:G59">IFERROR( AVERAGE((IF(DATOS_[[Sexo]:[Sexo]]=$B59,IF(DATOS_[[AGRUP. VALOR. PTO.]:[AGRUP. VALOR. PTO.]]=$B57,IF(DATOS_[[Check Periodo Ref.]:[Check Periodo Ref.]]="Dentro",DATOS_[Conc.Sal.02]))))), 0)</f>
        <v>0</v>
      </c>
      <c r="H59" s="209" t="n">
        <f aca="false" t="array" ref="H59:H59">IFERROR( AVERAGE((IF(DATOS_[[Sexo]:[Sexo]]=$B59,IF(DATOS_[[AGRUP. VALOR. PTO.]:[AGRUP. VALOR. PTO.]]=$B57,IF(DATOS_[[Check Periodo Ref.]:[Check Periodo Ref.]]="Dentro",DATOS_[Conc.Sal.03]))))), 0)</f>
        <v>0</v>
      </c>
      <c r="I59" s="209" t="n">
        <f aca="false" t="array" ref="I59:I59">IFERROR( AVERAGE((IF(DATOS_[[Sexo]:[Sexo]]=$B59,IF(DATOS_[[AGRUP. VALOR. PTO.]:[AGRUP. VALOR. PTO.]]=$B57,IF(DATOS_[[Check Periodo Ref.]:[Check Periodo Ref.]]="Dentro",DATOS_[Conc.Sal.04]))))), 0)</f>
        <v>0</v>
      </c>
      <c r="J59" s="209" t="n">
        <f aca="false" t="array" ref="J59:J59">IFERROR( AVERAGE((IF(DATOS_[[Sexo]:[Sexo]]=$B59,IF(DATOS_[[AGRUP. VALOR. PTO.]:[AGRUP. VALOR. PTO.]]=$B57,IF(DATOS_[[Check Periodo Ref.]:[Check Periodo Ref.]]="Dentro",DATOS_[Conc.Sal.05]))))), 0)</f>
        <v>0</v>
      </c>
      <c r="K59" s="209" t="n">
        <f aca="false" t="array" ref="K59:K59">IFERROR( AVERAGE((IF(DATOS_[[Sexo]:[Sexo]]=$B59,IF(DATOS_[[AGRUP. VALOR. PTO.]:[AGRUP. VALOR. PTO.]]=$B57,IF(DATOS_[[Check Periodo Ref.]:[Check Periodo Ref.]]="Dentro",DATOS_[Conc.Sal.06]))))), 0)</f>
        <v>0</v>
      </c>
      <c r="L59" s="209" t="n">
        <f aca="false" t="array" ref="L59:L59">IFERROR( AVERAGE((IF(DATOS_[[Sexo]:[Sexo]]=$B59,IF(DATOS_[[AGRUP. VALOR. PTO.]:[AGRUP. VALOR. PTO.]]=$B57,IF(DATOS_[[Check Periodo Ref.]:[Check Periodo Ref.]]="Dentro",DATOS_[Conc.Sal.07]))))), 0)</f>
        <v>0</v>
      </c>
      <c r="M59" s="209" t="n">
        <f aca="false" t="array" ref="M59:M59">IFERROR( AVERAGE((IF(DATOS_[[Sexo]:[Sexo]]=$B59,IF(DATOS_[[AGRUP. VALOR. PTO.]:[AGRUP. VALOR. PTO.]]=$B57,IF(DATOS_[[Check Periodo Ref.]:[Check Periodo Ref.]]="Dentro",DATOS_[Conc.Sal.08]))))), 0)</f>
        <v>0</v>
      </c>
      <c r="N59" s="209" t="n">
        <f aca="false" t="array" ref="N59:N59">IFERROR( AVERAGE((IF(DATOS_[[Sexo]:[Sexo]]=$B59,IF(DATOS_[[AGRUP. VALOR. PTO.]:[AGRUP. VALOR. PTO.]]=$B57,IF(DATOS_[[Check Periodo Ref.]:[Check Periodo Ref.]]="Dentro",DATOS_[Conc.Sal.09]))))), 0)</f>
        <v>0</v>
      </c>
      <c r="O59" s="209" t="n">
        <f aca="false" t="array" ref="O59:O59">IFERROR( AVERAGE((IF(DATOS_[[Sexo]:[Sexo]]=$B59,IF(DATOS_[[AGRUP. VALOR. PTO.]:[AGRUP. VALOR. PTO.]]=$B57,IF(DATOS_[[Check Periodo Ref.]:[Check Periodo Ref.]]="Dentro",DATOS_[Conc.Sal.10]))))), 0)</f>
        <v>0</v>
      </c>
      <c r="P59" s="209" t="n">
        <f aca="false" t="array" ref="P59:P59">IFERROR( AVERAGE((IF(DATOS_[[Sexo]:[Sexo]]=$B59,IF(DATOS_[[AGRUP. VALOR. PTO.]:[AGRUP. VALOR. PTO.]]=$B57,IF(DATOS_[[Check Periodo Ref.]:[Check Periodo Ref.]]="Dentro",DATOS_[Conc.Sal.11]))))), 0)</f>
        <v>0</v>
      </c>
      <c r="Q59" s="209" t="n">
        <f aca="false" t="array" ref="Q59:Q59">IFERROR( AVERAGE((IF(DATOS_[[Sexo]:[Sexo]]=$B59,IF(DATOS_[[AGRUP. VALOR. PTO.]:[AGRUP. VALOR. PTO.]]=$B57,IF(DATOS_[[Check Periodo Ref.]:[Check Periodo Ref.]]="Dentro",DATOS_[Conc.Sal.12]))))), 0)</f>
        <v>0</v>
      </c>
      <c r="R59" s="209" t="n">
        <f aca="false" t="array" ref="R59:R59">IFERROR( AVERAGE((IF(DATOS_[[Sexo]:[Sexo]]=$B59,IF(DATOS_[[AGRUP. VALOR. PTO.]:[AGRUP. VALOR. PTO.]]=$B57,IF(DATOS_[[Check Periodo Ref.]:[Check Periodo Ref.]]="Dentro",DATOS_[Conc.Sal.13]))))), 0)</f>
        <v>0</v>
      </c>
      <c r="S59" s="209" t="n">
        <f aca="false" t="array" ref="S59:S59">IFERROR( AVERAGE((IF(DATOS_[[Sexo]:[Sexo]]=$B59,IF(DATOS_[[AGRUP. VALOR. PTO.]:[AGRUP. VALOR. PTO.]]=$B57,IF(DATOS_[[Check Periodo Ref.]:[Check Periodo Ref.]]="Dentro",DATOS_[Conc.Sal.14]))))), 0)</f>
        <v>0</v>
      </c>
      <c r="T59" s="209" t="n">
        <f aca="false" t="array" ref="T59:T59">IFERROR( AVERAGE((IF(DATOS_[[Sexo]:[Sexo]]=$B59,IF(DATOS_[[AGRUP. VALOR. PTO.]:[AGRUP. VALOR. PTO.]]=$B57,IF(DATOS_[[Check Periodo Ref.]:[Check Periodo Ref.]]="Dentro",DATOS_[Conc.Sal.15]))))), 0)</f>
        <v>0</v>
      </c>
      <c r="U59" s="209" t="n">
        <f aca="false" t="array" ref="U59:U59">IFERROR( AVERAGE((IF(DATOS_[[Sexo]:[Sexo]]=$B59,IF(DATOS_[[AGRUP. VALOR. PTO.]:[AGRUP. VALOR. PTO.]]=$B57,IF(DATOS_[[Check Periodo Ref.]:[Check Periodo Ref.]]="Dentro",DATOS_[Conc.Sal.16]))))), 0)</f>
        <v>0</v>
      </c>
      <c r="V59" s="209" t="n">
        <f aca="false" t="array" ref="V59:V59">IFERROR( AVERAGE((IF(DATOS_[[Sexo]:[Sexo]]=$B59,IF(DATOS_[[AGRUP. VALOR. PTO.]:[AGRUP. VALOR. PTO.]]=$B57,IF(DATOS_[[Check Periodo Ref.]:[Check Periodo Ref.]]="Dentro",DATOS_[Conc.Sal.17]))))), 0)</f>
        <v>0</v>
      </c>
      <c r="W59" s="209" t="n">
        <f aca="false" t="array" ref="W59:W59">IFERROR( AVERAGE((IF(DATOS_[[Sexo]:[Sexo]]=$B59,IF(DATOS_[[AGRUP. VALOR. PTO.]:[AGRUP. VALOR. PTO.]]=$B57,IF(DATOS_[[Check Periodo Ref.]:[Check Periodo Ref.]]="Dentro",DATOS_[Conc.Sal.18]))))), 0)</f>
        <v>0</v>
      </c>
      <c r="X59" s="209" t="n">
        <f aca="false" t="array" ref="X59:X59">IFERROR( AVERAGE((IF(DATOS_[[Sexo]:[Sexo]]=$B59,IF(DATOS_[[AGRUP. VALOR. PTO.]:[AGRUP. VALOR. PTO.]]=$B57,IF(DATOS_[[Check Periodo Ref.]:[Check Periodo Ref.]]="Dentro",DATOS_[Conc.Sal.19]))))), 0)</f>
        <v>0</v>
      </c>
      <c r="Y59" s="209" t="n">
        <f aca="false" t="array" ref="Y59:Y59">IFERROR( AVERAGE((IF(DATOS_[[Sexo]:[Sexo]]=$B59,IF(DATOS_[[AGRUP. VALOR. PTO.]:[AGRUP. VALOR. PTO.]]=$B57,IF(DATOS_[[Check Periodo Ref.]:[Check Periodo Ref.]]="Dentro",DATOS_[Conc.Sal.20]))))), 0)</f>
        <v>0</v>
      </c>
      <c r="Z59" s="209" t="n">
        <f aca="false" t="array" ref="Z59:Z59">IFERROR( AVERAGE((IF(DATOS_[[Sexo]:[Sexo]]=$B59,IF(DATOS_[[AGRUP. VALOR. PTO.]:[AGRUP. VALOR. PTO.]]=$B57,IF(DATOS_[[Check Periodo Ref.]:[Check Periodo Ref.]]="Dentro",DATOS_[Conc.Sal.21]))))), 0)</f>
        <v>0</v>
      </c>
      <c r="AA59" s="209" t="n">
        <f aca="false" t="array" ref="AA59:AA59">IFERROR( AVERAGE((IF(DATOS_[[Sexo]:[Sexo]]=$B59,IF(DATOS_[[AGRUP. VALOR. PTO.]:[AGRUP. VALOR. PTO.]]=$B57,IF(DATOS_[[Check Periodo Ref.]:[Check Periodo Ref.]]="Dentro",DATOS_[Conc.Sal.22]))))), 0)</f>
        <v>0</v>
      </c>
      <c r="AB59" s="209" t="n">
        <f aca="false" t="array" ref="AB59:AB59">IFERROR( AVERAGE((IF(DATOS_[[Sexo]:[Sexo]]=$B59,IF(DATOS_[[AGRUP. VALOR. PTO.]:[AGRUP. VALOR. PTO.]]=$B57,IF(DATOS_[[Check Periodo Ref.]:[Check Periodo Ref.]]="Dentro",DATOS_[Conc.Sal.23]))))), 0)</f>
        <v>0</v>
      </c>
      <c r="AC59" s="209" t="n">
        <f aca="false" t="array" ref="AC59:AC59">IFERROR( AVERAGE((IF(DATOS_[[Sexo]:[Sexo]]=$B59,IF(DATOS_[[AGRUP. VALOR. PTO.]:[AGRUP. VALOR. PTO.]]=$B57,IF(DATOS_[[Check Periodo Ref.]:[Check Periodo Ref.]]="Dentro",DATOS_[Conc.Sal.24]))))), 0)</f>
        <v>0</v>
      </c>
      <c r="AD59" s="209" t="n">
        <f aca="false" t="array" ref="AD59:AD59">IFERROR( AVERAGE((IF(DATOS_[[Sexo]:[Sexo]]=$B59,IF(DATOS_[[AGRUP. VALOR. PTO.]:[AGRUP. VALOR. PTO.]]=$B57,IF(DATOS_[[Check Periodo Ref.]:[Check Periodo Ref.]]="Dentro",DATOS_[Conc.Sal.25]))))), 0)</f>
        <v>0</v>
      </c>
      <c r="AE59" s="209" t="n">
        <f aca="false" t="array" ref="AE59:AE59">IFERROR( AVERAGE((IF(DATOS_[[Sexo]:[Sexo]]=$B59,IF(DATOS_[[AGRUP. VALOR. PTO.]:[AGRUP. VALOR. PTO.]]=$B57,IF(DATOS_[[Check Periodo Ref.]:[Check Periodo Ref.]]="Dentro",DATOS_[Conc.Sal.26]))))), 0)</f>
        <v>0</v>
      </c>
      <c r="AF59" s="209" t="n">
        <f aca="false" t="array" ref="AF59:AF59">IFERROR( AVERAGE((IF(DATOS_[[Sexo]:[Sexo]]=$B59,IF(DATOS_[[AGRUP. VALOR. PTO.]:[AGRUP. VALOR. PTO.]]=$B57,IF(DATOS_[[Check Periodo Ref.]:[Check Periodo Ref.]]="Dentro",DATOS_[Conc.Sal.27]))))), 0)</f>
        <v>0</v>
      </c>
      <c r="AG59" s="209" t="n">
        <f aca="false" t="array" ref="AG59:AG59">IFERROR( AVERAGE((IF(DATOS_[[Sexo]:[Sexo]]=$B59,IF(DATOS_[[AGRUP. VALOR. PTO.]:[AGRUP. VALOR. PTO.]]=$B57,IF(DATOS_[[Check Periodo Ref.]:[Check Periodo Ref.]]="Dentro",DATOS_[Conc.Sal.28]))))), 0)</f>
        <v>0</v>
      </c>
      <c r="AH59" s="209" t="n">
        <f aca="false" t="array" ref="AH59:AH59">IFERROR( AVERAGE((IF(DATOS_[[Sexo]:[Sexo]]=$B59,IF(DATOS_[[AGRUP. VALOR. PTO.]:[AGRUP. VALOR. PTO.]]=$B57,IF(DATOS_[[Check Periodo Ref.]:[Check Periodo Ref.]]="Dentro",DATOS_[Conc.Sal.29]))))), 0)</f>
        <v>0</v>
      </c>
      <c r="AI59" s="209" t="n">
        <f aca="false" t="array" ref="AI59:AI59">IFERROR( AVERAGE((IF(DATOS_[[Sexo]:[Sexo]]=$B59,IF(DATOS_[[AGRUP. VALOR. PTO.]:[AGRUP. VALOR. PTO.]]=$B57,IF(DATOS_[[Check Periodo Ref.]:[Check Periodo Ref.]]="Dentro",DATOS_[Conc.Sal.30]))))), 0)</f>
        <v>0</v>
      </c>
      <c r="AJ59" s="210" t="n">
        <f aca="false" t="array" ref="AJ59:AJ59">IFERROR( AVERAGE(IF(DATOS_[Sexo]=$B59,IF(DATOS_[AGRUP. VALOR. PTO.]=$B57,IF(DATOS_[Check Periodo Ref.]="Dentro",DATOS_[Tot COMPL.SAL Ef],0)))), 0)</f>
        <v>0</v>
      </c>
      <c r="AK59" s="211" t="n">
        <f aca="false" t="array" ref="AK59:AK59">IFERROR( AVERAGE(IF(DATOS_[Sexo]=$B59,IF(DATOS_[AGRUP. VALOR. PTO.]=$B57,IF(DATOS_[Check Periodo Ref.]="Dentro",DATOS_[TOTAL SALARIO Ef],0)))), 0)</f>
        <v>0</v>
      </c>
      <c r="AL59" s="212" t="n">
        <f aca="false" t="array" ref="AL59:AL59">IFERROR( AVERAGE((IF(DATOS_[[Sexo]:[Sexo]]=$B59,IF(DATOS_[[AGRUP. VALOR. PTO.]:[AGRUP. VALOR. PTO.]]=$B57,IF(DATOS_[[Check Periodo Ref.]:[Check Periodo Ref.]]="Dentro",DATOS_[C.Extra.01]))))), 0)</f>
        <v>0</v>
      </c>
      <c r="AM59" s="212" t="n">
        <f aca="false" t="array" ref="AM59:AM59">IFERROR( AVERAGE((IF(DATOS_[[Sexo]:[Sexo]]=$B59,IF(DATOS_[[AGRUP. VALOR. PTO.]:[AGRUP. VALOR. PTO.]]=$B57,IF(DATOS_[[Check Periodo Ref.]:[Check Periodo Ref.]]="Dentro",DATOS_[C.Extra.02]))))), 0)</f>
        <v>0</v>
      </c>
      <c r="AN59" s="212" t="n">
        <f aca="false" t="array" ref="AN59:AN59">IFERROR( AVERAGE((IF(DATOS_[[Sexo]:[Sexo]]=$B59,IF(DATOS_[[AGRUP. VALOR. PTO.]:[AGRUP. VALOR. PTO.]]=$B57,IF(DATOS_[[Check Periodo Ref.]:[Check Periodo Ref.]]="Dentro",DATOS_[C.Extra.03]))))), 0)</f>
        <v>0</v>
      </c>
      <c r="AO59" s="212" t="n">
        <f aca="false" t="array" ref="AO59:AO59">IFERROR( AVERAGE((IF(DATOS_[[Sexo]:[Sexo]]=$B59,IF(DATOS_[[AGRUP. VALOR. PTO.]:[AGRUP. VALOR. PTO.]]=$B57,IF(DATOS_[[Check Periodo Ref.]:[Check Periodo Ref.]]="Dentro",DATOS_[C.Extra.04]))))), 0)</f>
        <v>0</v>
      </c>
      <c r="AP59" s="212" t="n">
        <f aca="false" t="array" ref="AP59:AP59">IFERROR( AVERAGE((IF(DATOS_[[Sexo]:[Sexo]]=$B59,IF(DATOS_[[AGRUP. VALOR. PTO.]:[AGRUP. VALOR. PTO.]]=$B57,IF(DATOS_[[Check Periodo Ref.]:[Check Periodo Ref.]]="Dentro",DATOS_[C.Extra.05]))))), 0)</f>
        <v>0</v>
      </c>
      <c r="AQ59" s="213" t="n">
        <f aca="false" t="array" ref="AQ59:AQ59">IFERROR( AVERAGE(IF(DATOS_[Sexo]=$B59,IF(DATOS_[AGRUP. VALOR. PTO.]=$B57,IF(DATOS_[Check Periodo Ref.]="Dentro",DATOS_[Tot Extrasalarial Ef],0)))), 0)</f>
        <v>0</v>
      </c>
      <c r="AR59" s="214" t="n">
        <f aca="false" t="array" ref="AR59:AR59">IFERROR( AVERAGE(IF(DATOS_[Sexo]=$B59,IF(DATOS_[AGRUP. VALOR. PTO.]=$B57,IF(DATOS_[Check Periodo Ref.]="Dentro",DATOS_[TOTAL Retrib Ef],0)))), 0)</f>
        <v>0</v>
      </c>
    </row>
    <row r="60" customFormat="false" ht="15.75" hidden="false" customHeight="false" outlineLevel="0" collapsed="false">
      <c r="A60" s="191" t="str">
        <f aca="false">+A61</f>
        <v>[ocultar]</v>
      </c>
      <c r="B60" s="192" t="s">
        <v>214</v>
      </c>
      <c r="C60" s="193"/>
      <c r="D60" s="194"/>
      <c r="E60" s="195" t="str">
        <f aca="false">IFERROR((E61-E62)/E61,"")</f>
        <v/>
      </c>
      <c r="F60" s="196" t="str">
        <f aca="false">IFERROR((F61-F62)/F61,"")</f>
        <v/>
      </c>
      <c r="G60" s="197" t="str">
        <f aca="false">IFERROR((G61-G62)/G61,"")</f>
        <v/>
      </c>
      <c r="H60" s="197" t="str">
        <f aca="false">IFERROR((H61-H62)/H61,"")</f>
        <v/>
      </c>
      <c r="I60" s="197" t="str">
        <f aca="false">IFERROR((I61-I62)/I61,"")</f>
        <v/>
      </c>
      <c r="J60" s="198" t="str">
        <f aca="false">IFERROR((J61-J62)/J61,"")</f>
        <v/>
      </c>
      <c r="K60" s="199" t="str">
        <f aca="false">IFERROR((K61-K62)/K61,"")</f>
        <v/>
      </c>
      <c r="L60" s="199" t="str">
        <f aca="false">IFERROR((L61-L62)/L61,"")</f>
        <v/>
      </c>
      <c r="M60" s="199" t="str">
        <f aca="false">IFERROR((M61-M62)/M61,"")</f>
        <v/>
      </c>
      <c r="N60" s="199" t="str">
        <f aca="false">IFERROR((N61-N62)/N61,"")</f>
        <v/>
      </c>
      <c r="O60" s="199" t="str">
        <f aca="false">IFERROR((O61-O62)/O61,"")</f>
        <v/>
      </c>
      <c r="P60" s="199" t="str">
        <f aca="false">IFERROR((P61-P62)/P61,"")</f>
        <v/>
      </c>
      <c r="Q60" s="199" t="str">
        <f aca="false">IFERROR((Q61-Q62)/Q61,"")</f>
        <v/>
      </c>
      <c r="R60" s="199" t="str">
        <f aca="false">IFERROR((R61-R62)/R61,"")</f>
        <v/>
      </c>
      <c r="S60" s="199" t="str">
        <f aca="false">IFERROR((S61-S62)/S61,"")</f>
        <v/>
      </c>
      <c r="T60" s="199" t="str">
        <f aca="false">IFERROR((T61-T62)/T61,"")</f>
        <v/>
      </c>
      <c r="U60" s="199" t="str">
        <f aca="false">IFERROR((U61-U62)/U61,"")</f>
        <v/>
      </c>
      <c r="V60" s="198" t="str">
        <f aca="false">IFERROR((V61-V62)/V61,"")</f>
        <v/>
      </c>
      <c r="W60" s="198" t="str">
        <f aca="false">IFERROR((W61-W62)/W61,"")</f>
        <v/>
      </c>
      <c r="X60" s="198" t="str">
        <f aca="false">IFERROR((X61-X62)/X61,"")</f>
        <v/>
      </c>
      <c r="Y60" s="198" t="str">
        <f aca="false">IFERROR((Y61-Y62)/Y61,"")</f>
        <v/>
      </c>
      <c r="Z60" s="198" t="str">
        <f aca="false">IFERROR((Z61-Z62)/Z61,"")</f>
        <v/>
      </c>
      <c r="AA60" s="198" t="str">
        <f aca="false">IFERROR((AA61-AA62)/AA61,"")</f>
        <v/>
      </c>
      <c r="AB60" s="198" t="str">
        <f aca="false">IFERROR((AB61-AB62)/AB61,"")</f>
        <v/>
      </c>
      <c r="AC60" s="198" t="str">
        <f aca="false">IFERROR((AC61-AC62)/AC61,"")</f>
        <v/>
      </c>
      <c r="AD60" s="198" t="str">
        <f aca="false">IFERROR((AD61-AD62)/AD61,"")</f>
        <v/>
      </c>
      <c r="AE60" s="198" t="str">
        <f aca="false">IFERROR((AE61-AE62)/AE61,"")</f>
        <v/>
      </c>
      <c r="AF60" s="198" t="str">
        <f aca="false">IFERROR((AF61-AF62)/AF61,"")</f>
        <v/>
      </c>
      <c r="AG60" s="198" t="str">
        <f aca="false">IFERROR((AG61-AG62)/AG61,"")</f>
        <v/>
      </c>
      <c r="AH60" s="198" t="str">
        <f aca="false">IFERROR((AH61-AH62)/AH61,"")</f>
        <v/>
      </c>
      <c r="AI60" s="198" t="str">
        <f aca="false">IFERROR((AI61-AI62)/AI61,"")</f>
        <v/>
      </c>
      <c r="AJ60" s="200" t="str">
        <f aca="false">IFERROR((AJ61-AJ62)/AJ61,"")</f>
        <v/>
      </c>
      <c r="AK60" s="201" t="str">
        <f aca="false">IFERROR((AK61-AK62)/AK61,"")</f>
        <v/>
      </c>
      <c r="AL60" s="202" t="str">
        <f aca="false">IFERROR((AL61-AL62)/AL61,"")</f>
        <v/>
      </c>
      <c r="AM60" s="202" t="str">
        <f aca="false">IFERROR((AM61-AM62)/AM61,"")</f>
        <v/>
      </c>
      <c r="AN60" s="202" t="str">
        <f aca="false">IFERROR((AN61-AN62)/AN61,"")</f>
        <v/>
      </c>
      <c r="AO60" s="202" t="str">
        <f aca="false">IFERROR((AO61-AO62)/AO61,"")</f>
        <v/>
      </c>
      <c r="AP60" s="202" t="str">
        <f aca="false">IFERROR((AP61-AP62)/AP61,"")</f>
        <v/>
      </c>
      <c r="AQ60" s="203" t="str">
        <f aca="false">IFERROR((AQ61-AQ62)/AQ61,"")</f>
        <v/>
      </c>
      <c r="AR60" s="204" t="str">
        <f aca="false">IFERROR((AR61-AR62)/AR61,"")</f>
        <v/>
      </c>
    </row>
    <row r="61" customFormat="false" ht="14.25" hidden="false" customHeight="false" outlineLevel="0" collapsed="false">
      <c r="A61" s="191" t="str">
        <f aca="false">+IF(C61+C62=0,"[ocultar]","")</f>
        <v>[ocultar]</v>
      </c>
      <c r="B61" s="205" t="s">
        <v>371</v>
      </c>
      <c r="C61" s="206" t="n">
        <f aca="false" t="array" ref="C61:C61">SUM(IF($B61=DATOS_[Sexo], IF($B60=DATOS_[AGRUP. VALOR. PTO.], IF("Dentro"=DATOS_[Check Periodo Ref.], 1/(COUNTIFS(DATOS_[Sexo],$B61,DATOS_[AGRUP. VALOR. PTO.],$B60,DATOS_[Check Periodo Ref.],"Dentro",DATOS_[id],DATOS_[id]))))))</f>
        <v>0</v>
      </c>
      <c r="D61" s="207" t="n">
        <f aca="false">COUNTIFS(DATOS_[AGRUP. VALOR. PTO.],$B60,DATOS_[Sexo],$B61,DATOS_[Check Periodo Ref.],"Dentro")</f>
        <v>0</v>
      </c>
      <c r="E61" s="208" t="n">
        <f aca="false" t="array" ref="E61:E61">IFERROR( AVERAGE(IF(DATOS_[Sexo]=$B61,IF(DATOS_[AGRUP. VALOR. PTO.]=$B60,IF(DATOS_[Check Periodo Ref.]="Dentro",DATOS_[SALARIO BASE Ef],0)))), 0)</f>
        <v>0</v>
      </c>
      <c r="F61" s="209" t="n">
        <f aca="false" t="array" ref="F61:F61">IFERROR( AVERAGE((IF(DATOS_[[Sexo]:[Sexo]]=$B61,IF(DATOS_[[AGRUP. VALOR. PTO.]:[AGRUP. VALOR. PTO.]]=$B60,IF(DATOS_[[Check Periodo Ref.]:[Check Periodo Ref.]]="Dentro",DATOS_[Conc.Sal.01]))))), 0)</f>
        <v>0</v>
      </c>
      <c r="G61" s="209" t="n">
        <f aca="false" t="array" ref="G61:G61">IFERROR( AVERAGE((IF(DATOS_[[Sexo]:[Sexo]]=$B61,IF(DATOS_[[AGRUP. VALOR. PTO.]:[AGRUP. VALOR. PTO.]]=$B60,IF(DATOS_[[Check Periodo Ref.]:[Check Periodo Ref.]]="Dentro",DATOS_[Conc.Sal.02]))))), 0)</f>
        <v>0</v>
      </c>
      <c r="H61" s="209" t="n">
        <f aca="false" t="array" ref="H61:H61">IFERROR( AVERAGE((IF(DATOS_[[Sexo]:[Sexo]]=$B61,IF(DATOS_[[AGRUP. VALOR. PTO.]:[AGRUP. VALOR. PTO.]]=$B60,IF(DATOS_[[Check Periodo Ref.]:[Check Periodo Ref.]]="Dentro",DATOS_[Conc.Sal.03]))))), 0)</f>
        <v>0</v>
      </c>
      <c r="I61" s="209" t="n">
        <f aca="false" t="array" ref="I61:I61">IFERROR( AVERAGE((IF(DATOS_[[Sexo]:[Sexo]]=$B61,IF(DATOS_[[AGRUP. VALOR. PTO.]:[AGRUP. VALOR. PTO.]]=$B60,IF(DATOS_[[Check Periodo Ref.]:[Check Periodo Ref.]]="Dentro",DATOS_[Conc.Sal.04]))))), 0)</f>
        <v>0</v>
      </c>
      <c r="J61" s="209" t="n">
        <f aca="false" t="array" ref="J61:J61">IFERROR( AVERAGE((IF(DATOS_[[Sexo]:[Sexo]]=$B61,IF(DATOS_[[AGRUP. VALOR. PTO.]:[AGRUP. VALOR. PTO.]]=$B60,IF(DATOS_[[Check Periodo Ref.]:[Check Periodo Ref.]]="Dentro",DATOS_[Conc.Sal.05]))))), 0)</f>
        <v>0</v>
      </c>
      <c r="K61" s="209" t="n">
        <f aca="false" t="array" ref="K61:K61">IFERROR( AVERAGE((IF(DATOS_[[Sexo]:[Sexo]]=$B61,IF(DATOS_[[AGRUP. VALOR. PTO.]:[AGRUP. VALOR. PTO.]]=$B60,IF(DATOS_[[Check Periodo Ref.]:[Check Periodo Ref.]]="Dentro",DATOS_[Conc.Sal.06]))))), 0)</f>
        <v>0</v>
      </c>
      <c r="L61" s="209" t="n">
        <f aca="false" t="array" ref="L61:L61">IFERROR( AVERAGE((IF(DATOS_[[Sexo]:[Sexo]]=$B61,IF(DATOS_[[AGRUP. VALOR. PTO.]:[AGRUP. VALOR. PTO.]]=$B60,IF(DATOS_[[Check Periodo Ref.]:[Check Periodo Ref.]]="Dentro",DATOS_[Conc.Sal.07]))))), 0)</f>
        <v>0</v>
      </c>
      <c r="M61" s="209" t="n">
        <f aca="false" t="array" ref="M61:M61">IFERROR( AVERAGE((IF(DATOS_[[Sexo]:[Sexo]]=$B61,IF(DATOS_[[AGRUP. VALOR. PTO.]:[AGRUP. VALOR. PTO.]]=$B60,IF(DATOS_[[Check Periodo Ref.]:[Check Periodo Ref.]]="Dentro",DATOS_[Conc.Sal.08]))))), 0)</f>
        <v>0</v>
      </c>
      <c r="N61" s="209" t="n">
        <f aca="false" t="array" ref="N61:N61">IFERROR( AVERAGE((IF(DATOS_[[Sexo]:[Sexo]]=$B61,IF(DATOS_[[AGRUP. VALOR. PTO.]:[AGRUP. VALOR. PTO.]]=$B60,IF(DATOS_[[Check Periodo Ref.]:[Check Periodo Ref.]]="Dentro",DATOS_[Conc.Sal.09]))))), 0)</f>
        <v>0</v>
      </c>
      <c r="O61" s="209" t="n">
        <f aca="false" t="array" ref="O61:O61">IFERROR( AVERAGE((IF(DATOS_[[Sexo]:[Sexo]]=$B61,IF(DATOS_[[AGRUP. VALOR. PTO.]:[AGRUP. VALOR. PTO.]]=$B60,IF(DATOS_[[Check Periodo Ref.]:[Check Periodo Ref.]]="Dentro",DATOS_[Conc.Sal.10]))))), 0)</f>
        <v>0</v>
      </c>
      <c r="P61" s="209" t="n">
        <f aca="false" t="array" ref="P61:P61">IFERROR( AVERAGE((IF(DATOS_[[Sexo]:[Sexo]]=$B61,IF(DATOS_[[AGRUP. VALOR. PTO.]:[AGRUP. VALOR. PTO.]]=$B60,IF(DATOS_[[Check Periodo Ref.]:[Check Periodo Ref.]]="Dentro",DATOS_[Conc.Sal.11]))))), 0)</f>
        <v>0</v>
      </c>
      <c r="Q61" s="209" t="n">
        <f aca="false" t="array" ref="Q61:Q61">IFERROR( AVERAGE((IF(DATOS_[[Sexo]:[Sexo]]=$B61,IF(DATOS_[[AGRUP. VALOR. PTO.]:[AGRUP. VALOR. PTO.]]=$B60,IF(DATOS_[[Check Periodo Ref.]:[Check Periodo Ref.]]="Dentro",DATOS_[Conc.Sal.12]))))), 0)</f>
        <v>0</v>
      </c>
      <c r="R61" s="209" t="n">
        <f aca="false" t="array" ref="R61:R61">IFERROR( AVERAGE((IF(DATOS_[[Sexo]:[Sexo]]=$B61,IF(DATOS_[[AGRUP. VALOR. PTO.]:[AGRUP. VALOR. PTO.]]=$B60,IF(DATOS_[[Check Periodo Ref.]:[Check Periodo Ref.]]="Dentro",DATOS_[Conc.Sal.13]))))), 0)</f>
        <v>0</v>
      </c>
      <c r="S61" s="209" t="n">
        <f aca="false" t="array" ref="S61:S61">IFERROR( AVERAGE((IF(DATOS_[[Sexo]:[Sexo]]=$B61,IF(DATOS_[[AGRUP. VALOR. PTO.]:[AGRUP. VALOR. PTO.]]=$B60,IF(DATOS_[[Check Periodo Ref.]:[Check Periodo Ref.]]="Dentro",DATOS_[Conc.Sal.14]))))), 0)</f>
        <v>0</v>
      </c>
      <c r="T61" s="209" t="n">
        <f aca="false" t="array" ref="T61:T61">IFERROR( AVERAGE((IF(DATOS_[[Sexo]:[Sexo]]=$B61,IF(DATOS_[[AGRUP. VALOR. PTO.]:[AGRUP. VALOR. PTO.]]=$B60,IF(DATOS_[[Check Periodo Ref.]:[Check Periodo Ref.]]="Dentro",DATOS_[Conc.Sal.15]))))), 0)</f>
        <v>0</v>
      </c>
      <c r="U61" s="209" t="n">
        <f aca="false" t="array" ref="U61:U61">IFERROR( AVERAGE((IF(DATOS_[[Sexo]:[Sexo]]=$B61,IF(DATOS_[[AGRUP. VALOR. PTO.]:[AGRUP. VALOR. PTO.]]=$B60,IF(DATOS_[[Check Periodo Ref.]:[Check Periodo Ref.]]="Dentro",DATOS_[Conc.Sal.16]))))), 0)</f>
        <v>0</v>
      </c>
      <c r="V61" s="209" t="n">
        <f aca="false" t="array" ref="V61:V61">IFERROR( AVERAGE((IF(DATOS_[[Sexo]:[Sexo]]=$B61,IF(DATOS_[[AGRUP. VALOR. PTO.]:[AGRUP. VALOR. PTO.]]=$B60,IF(DATOS_[[Check Periodo Ref.]:[Check Periodo Ref.]]="Dentro",DATOS_[Conc.Sal.17]))))), 0)</f>
        <v>0</v>
      </c>
      <c r="W61" s="209" t="n">
        <f aca="false" t="array" ref="W61:W61">IFERROR( AVERAGE((IF(DATOS_[[Sexo]:[Sexo]]=$B61,IF(DATOS_[[AGRUP. VALOR. PTO.]:[AGRUP. VALOR. PTO.]]=$B60,IF(DATOS_[[Check Periodo Ref.]:[Check Periodo Ref.]]="Dentro",DATOS_[Conc.Sal.18]))))), 0)</f>
        <v>0</v>
      </c>
      <c r="X61" s="209" t="n">
        <f aca="false" t="array" ref="X61:X61">IFERROR( AVERAGE((IF(DATOS_[[Sexo]:[Sexo]]=$B61,IF(DATOS_[[AGRUP. VALOR. PTO.]:[AGRUP. VALOR. PTO.]]=$B60,IF(DATOS_[[Check Periodo Ref.]:[Check Periodo Ref.]]="Dentro",DATOS_[Conc.Sal.19]))))), 0)</f>
        <v>0</v>
      </c>
      <c r="Y61" s="209" t="n">
        <f aca="false" t="array" ref="Y61:Y61">IFERROR( AVERAGE((IF(DATOS_[[Sexo]:[Sexo]]=$B61,IF(DATOS_[[AGRUP. VALOR. PTO.]:[AGRUP. VALOR. PTO.]]=$B60,IF(DATOS_[[Check Periodo Ref.]:[Check Periodo Ref.]]="Dentro",DATOS_[Conc.Sal.20]))))), 0)</f>
        <v>0</v>
      </c>
      <c r="Z61" s="209" t="n">
        <f aca="false" t="array" ref="Z61:Z61">IFERROR( AVERAGE((IF(DATOS_[[Sexo]:[Sexo]]=$B61,IF(DATOS_[[AGRUP. VALOR. PTO.]:[AGRUP. VALOR. PTO.]]=$B60,IF(DATOS_[[Check Periodo Ref.]:[Check Periodo Ref.]]="Dentro",DATOS_[Conc.Sal.21]))))), 0)</f>
        <v>0</v>
      </c>
      <c r="AA61" s="209" t="n">
        <f aca="false" t="array" ref="AA61:AA61">IFERROR( AVERAGE((IF(DATOS_[[Sexo]:[Sexo]]=$B61,IF(DATOS_[[AGRUP. VALOR. PTO.]:[AGRUP. VALOR. PTO.]]=$B60,IF(DATOS_[[Check Periodo Ref.]:[Check Periodo Ref.]]="Dentro",DATOS_[Conc.Sal.22]))))), 0)</f>
        <v>0</v>
      </c>
      <c r="AB61" s="209" t="n">
        <f aca="false" t="array" ref="AB61:AB61">IFERROR( AVERAGE((IF(DATOS_[[Sexo]:[Sexo]]=$B61,IF(DATOS_[[AGRUP. VALOR. PTO.]:[AGRUP. VALOR. PTO.]]=$B60,IF(DATOS_[[Check Periodo Ref.]:[Check Periodo Ref.]]="Dentro",DATOS_[Conc.Sal.23]))))), 0)</f>
        <v>0</v>
      </c>
      <c r="AC61" s="209" t="n">
        <f aca="false" t="array" ref="AC61:AC61">IFERROR( AVERAGE((IF(DATOS_[[Sexo]:[Sexo]]=$B61,IF(DATOS_[[AGRUP. VALOR. PTO.]:[AGRUP. VALOR. PTO.]]=$B60,IF(DATOS_[[Check Periodo Ref.]:[Check Periodo Ref.]]="Dentro",DATOS_[Conc.Sal.24]))))), 0)</f>
        <v>0</v>
      </c>
      <c r="AD61" s="209" t="n">
        <f aca="false" t="array" ref="AD61:AD61">IFERROR( AVERAGE((IF(DATOS_[[Sexo]:[Sexo]]=$B61,IF(DATOS_[[AGRUP. VALOR. PTO.]:[AGRUP. VALOR. PTO.]]=$B60,IF(DATOS_[[Check Periodo Ref.]:[Check Periodo Ref.]]="Dentro",DATOS_[Conc.Sal.25]))))), 0)</f>
        <v>0</v>
      </c>
      <c r="AE61" s="209" t="n">
        <f aca="false" t="array" ref="AE61:AE61">IFERROR( AVERAGE((IF(DATOS_[[Sexo]:[Sexo]]=$B61,IF(DATOS_[[AGRUP. VALOR. PTO.]:[AGRUP. VALOR. PTO.]]=$B60,IF(DATOS_[[Check Periodo Ref.]:[Check Periodo Ref.]]="Dentro",DATOS_[Conc.Sal.26]))))), 0)</f>
        <v>0</v>
      </c>
      <c r="AF61" s="209" t="n">
        <f aca="false" t="array" ref="AF61:AF61">IFERROR( AVERAGE((IF(DATOS_[[Sexo]:[Sexo]]=$B61,IF(DATOS_[[AGRUP. VALOR. PTO.]:[AGRUP. VALOR. PTO.]]=$B60,IF(DATOS_[[Check Periodo Ref.]:[Check Periodo Ref.]]="Dentro",DATOS_[Conc.Sal.27]))))), 0)</f>
        <v>0</v>
      </c>
      <c r="AG61" s="209" t="n">
        <f aca="false" t="array" ref="AG61:AG61">IFERROR( AVERAGE((IF(DATOS_[[Sexo]:[Sexo]]=$B61,IF(DATOS_[[AGRUP. VALOR. PTO.]:[AGRUP. VALOR. PTO.]]=$B60,IF(DATOS_[[Check Periodo Ref.]:[Check Periodo Ref.]]="Dentro",DATOS_[Conc.Sal.28]))))), 0)</f>
        <v>0</v>
      </c>
      <c r="AH61" s="209" t="n">
        <f aca="false" t="array" ref="AH61:AH61">IFERROR( AVERAGE((IF(DATOS_[[Sexo]:[Sexo]]=$B61,IF(DATOS_[[AGRUP. VALOR. PTO.]:[AGRUP. VALOR. PTO.]]=$B60,IF(DATOS_[[Check Periodo Ref.]:[Check Periodo Ref.]]="Dentro",DATOS_[Conc.Sal.29]))))), 0)</f>
        <v>0</v>
      </c>
      <c r="AI61" s="209" t="n">
        <f aca="false" t="array" ref="AI61:AI61">IFERROR( AVERAGE((IF(DATOS_[[Sexo]:[Sexo]]=$B61,IF(DATOS_[[AGRUP. VALOR. PTO.]:[AGRUP. VALOR. PTO.]]=$B60,IF(DATOS_[[Check Periodo Ref.]:[Check Periodo Ref.]]="Dentro",DATOS_[Conc.Sal.30]))))), 0)</f>
        <v>0</v>
      </c>
      <c r="AJ61" s="210" t="n">
        <f aca="false" t="array" ref="AJ61:AJ61">IFERROR( AVERAGE(IF(DATOS_[Sexo]=$B61,IF(DATOS_[AGRUP. VALOR. PTO.]=$B60,IF(DATOS_[Check Periodo Ref.]="Dentro",DATOS_[Tot COMPL.SAL Ef],0)))), 0)</f>
        <v>0</v>
      </c>
      <c r="AK61" s="211" t="n">
        <f aca="false" t="array" ref="AK61:AK61">IFERROR( AVERAGE(IF(DATOS_[Sexo]=$B61,IF(DATOS_[AGRUP. VALOR. PTO.]=$B60,IF(DATOS_[Check Periodo Ref.]="Dentro",DATOS_[TOTAL SALARIO Ef],0)))), 0)</f>
        <v>0</v>
      </c>
      <c r="AL61" s="212" t="n">
        <f aca="false" t="array" ref="AL61:AL61">IFERROR( AVERAGE((IF(DATOS_[[Sexo]:[Sexo]]=$B61,IF(DATOS_[[AGRUP. VALOR. PTO.]:[AGRUP. VALOR. PTO.]]=$B60,IF(DATOS_[[Check Periodo Ref.]:[Check Periodo Ref.]]="Dentro",DATOS_[C.Extra.01]))))), 0)</f>
        <v>0</v>
      </c>
      <c r="AM61" s="212" t="n">
        <f aca="false" t="array" ref="AM61:AM61">IFERROR( AVERAGE((IF(DATOS_[[Sexo]:[Sexo]]=$B61,IF(DATOS_[[AGRUP. VALOR. PTO.]:[AGRUP. VALOR. PTO.]]=$B60,IF(DATOS_[[Check Periodo Ref.]:[Check Periodo Ref.]]="Dentro",DATOS_[C.Extra.02]))))), 0)</f>
        <v>0</v>
      </c>
      <c r="AN61" s="212" t="n">
        <f aca="false" t="array" ref="AN61:AN61">IFERROR( AVERAGE((IF(DATOS_[[Sexo]:[Sexo]]=$B61,IF(DATOS_[[AGRUP. VALOR. PTO.]:[AGRUP. VALOR. PTO.]]=$B60,IF(DATOS_[[Check Periodo Ref.]:[Check Periodo Ref.]]="Dentro",DATOS_[C.Extra.03]))))), 0)</f>
        <v>0</v>
      </c>
      <c r="AO61" s="212" t="n">
        <f aca="false" t="array" ref="AO61:AO61">IFERROR( AVERAGE((IF(DATOS_[[Sexo]:[Sexo]]=$B61,IF(DATOS_[[AGRUP. VALOR. PTO.]:[AGRUP. VALOR. PTO.]]=$B60,IF(DATOS_[[Check Periodo Ref.]:[Check Periodo Ref.]]="Dentro",DATOS_[C.Extra.04]))))), 0)</f>
        <v>0</v>
      </c>
      <c r="AP61" s="212" t="n">
        <f aca="false" t="array" ref="AP61:AP61">IFERROR( AVERAGE((IF(DATOS_[[Sexo]:[Sexo]]=$B61,IF(DATOS_[[AGRUP. VALOR. PTO.]:[AGRUP. VALOR. PTO.]]=$B60,IF(DATOS_[[Check Periodo Ref.]:[Check Periodo Ref.]]="Dentro",DATOS_[C.Extra.05]))))), 0)</f>
        <v>0</v>
      </c>
      <c r="AQ61" s="213" t="n">
        <f aca="false" t="array" ref="AQ61:AQ61">IFERROR( AVERAGE(IF(DATOS_[Sexo]=$B61,IF(DATOS_[AGRUP. VALOR. PTO.]=$B60,IF(DATOS_[Check Periodo Ref.]="Dentro",DATOS_[Tot Extrasalarial Ef],0)))), 0)</f>
        <v>0</v>
      </c>
      <c r="AR61" s="214" t="n">
        <f aca="false" t="array" ref="AR61:AR61">IFERROR( AVERAGE(IF(DATOS_[Sexo]=$B61,IF(DATOS_[AGRUP. VALOR. PTO.]=$B60,IF(DATOS_[Check Periodo Ref.]="Dentro",DATOS_[TOTAL Retrib Ef],0)))), 0)</f>
        <v>0</v>
      </c>
    </row>
    <row r="62" customFormat="false" ht="14.25" hidden="false" customHeight="false" outlineLevel="0" collapsed="false">
      <c r="A62" s="191" t="str">
        <f aca="false">+A61</f>
        <v>[ocultar]</v>
      </c>
      <c r="B62" s="205" t="s">
        <v>372</v>
      </c>
      <c r="C62" s="206" t="n">
        <f aca="false" t="array" ref="C62:C62">SUM(IF($B62=DATOS_[Sexo], IF($B60=DATOS_[AGRUP. VALOR. PTO.], IF("Dentro"=DATOS_[Check Periodo Ref.], 1/(COUNTIFS(DATOS_[Sexo],$B62,DATOS_[AGRUP. VALOR. PTO.],$B60,DATOS_[Check Periodo Ref.],"Dentro",DATOS_[id],DATOS_[id]))))))</f>
        <v>0</v>
      </c>
      <c r="D62" s="207" t="n">
        <f aca="false">COUNTIFS(DATOS_[AGRUP. VALOR. PTO.],$B60,DATOS_[Sexo],$B62,DATOS_[Check Periodo Ref.],"Dentro")</f>
        <v>0</v>
      </c>
      <c r="E62" s="208" t="n">
        <f aca="false" t="array" ref="E62:E62">IFERROR( AVERAGE(IF(DATOS_[Sexo]=$B62,IF(DATOS_[AGRUP. VALOR. PTO.]=$B60,IF(DATOS_[Check Periodo Ref.]="Dentro",DATOS_[SALARIO BASE Ef],0)))), 0)</f>
        <v>0</v>
      </c>
      <c r="F62" s="209" t="n">
        <f aca="false" t="array" ref="F62:F62">IFERROR( AVERAGE((IF(DATOS_[[Sexo]:[Sexo]]=$B62,IF(DATOS_[[AGRUP. VALOR. PTO.]:[AGRUP. VALOR. PTO.]]=$B60,IF(DATOS_[[Check Periodo Ref.]:[Check Periodo Ref.]]="Dentro",DATOS_[Conc.Sal.01]))))), 0)</f>
        <v>0</v>
      </c>
      <c r="G62" s="209" t="n">
        <f aca="false" t="array" ref="G62:G62">IFERROR( AVERAGE((IF(DATOS_[[Sexo]:[Sexo]]=$B62,IF(DATOS_[[AGRUP. VALOR. PTO.]:[AGRUP. VALOR. PTO.]]=$B60,IF(DATOS_[[Check Periodo Ref.]:[Check Periodo Ref.]]="Dentro",DATOS_[Conc.Sal.02]))))), 0)</f>
        <v>0</v>
      </c>
      <c r="H62" s="209" t="n">
        <f aca="false" t="array" ref="H62:H62">IFERROR( AVERAGE((IF(DATOS_[[Sexo]:[Sexo]]=$B62,IF(DATOS_[[AGRUP. VALOR. PTO.]:[AGRUP. VALOR. PTO.]]=$B60,IF(DATOS_[[Check Periodo Ref.]:[Check Periodo Ref.]]="Dentro",DATOS_[Conc.Sal.03]))))), 0)</f>
        <v>0</v>
      </c>
      <c r="I62" s="209" t="n">
        <f aca="false" t="array" ref="I62:I62">IFERROR( AVERAGE((IF(DATOS_[[Sexo]:[Sexo]]=$B62,IF(DATOS_[[AGRUP. VALOR. PTO.]:[AGRUP. VALOR. PTO.]]=$B60,IF(DATOS_[[Check Periodo Ref.]:[Check Periodo Ref.]]="Dentro",DATOS_[Conc.Sal.04]))))), 0)</f>
        <v>0</v>
      </c>
      <c r="J62" s="209" t="n">
        <f aca="false" t="array" ref="J62:J62">IFERROR( AVERAGE((IF(DATOS_[[Sexo]:[Sexo]]=$B62,IF(DATOS_[[AGRUP. VALOR. PTO.]:[AGRUP. VALOR. PTO.]]=$B60,IF(DATOS_[[Check Periodo Ref.]:[Check Periodo Ref.]]="Dentro",DATOS_[Conc.Sal.05]))))), 0)</f>
        <v>0</v>
      </c>
      <c r="K62" s="209" t="n">
        <f aca="false" t="array" ref="K62:K62">IFERROR( AVERAGE((IF(DATOS_[[Sexo]:[Sexo]]=$B62,IF(DATOS_[[AGRUP. VALOR. PTO.]:[AGRUP. VALOR. PTO.]]=$B60,IF(DATOS_[[Check Periodo Ref.]:[Check Periodo Ref.]]="Dentro",DATOS_[Conc.Sal.06]))))), 0)</f>
        <v>0</v>
      </c>
      <c r="L62" s="209" t="n">
        <f aca="false" t="array" ref="L62:L62">IFERROR( AVERAGE((IF(DATOS_[[Sexo]:[Sexo]]=$B62,IF(DATOS_[[AGRUP. VALOR. PTO.]:[AGRUP. VALOR. PTO.]]=$B60,IF(DATOS_[[Check Periodo Ref.]:[Check Periodo Ref.]]="Dentro",DATOS_[Conc.Sal.07]))))), 0)</f>
        <v>0</v>
      </c>
      <c r="M62" s="209" t="n">
        <f aca="false" t="array" ref="M62:M62">IFERROR( AVERAGE((IF(DATOS_[[Sexo]:[Sexo]]=$B62,IF(DATOS_[[AGRUP. VALOR. PTO.]:[AGRUP. VALOR. PTO.]]=$B60,IF(DATOS_[[Check Periodo Ref.]:[Check Periodo Ref.]]="Dentro",DATOS_[Conc.Sal.08]))))), 0)</f>
        <v>0</v>
      </c>
      <c r="N62" s="209" t="n">
        <f aca="false" t="array" ref="N62:N62">IFERROR( AVERAGE((IF(DATOS_[[Sexo]:[Sexo]]=$B62,IF(DATOS_[[AGRUP. VALOR. PTO.]:[AGRUP. VALOR. PTO.]]=$B60,IF(DATOS_[[Check Periodo Ref.]:[Check Periodo Ref.]]="Dentro",DATOS_[Conc.Sal.09]))))), 0)</f>
        <v>0</v>
      </c>
      <c r="O62" s="209" t="n">
        <f aca="false" t="array" ref="O62:O62">IFERROR( AVERAGE((IF(DATOS_[[Sexo]:[Sexo]]=$B62,IF(DATOS_[[AGRUP. VALOR. PTO.]:[AGRUP. VALOR. PTO.]]=$B60,IF(DATOS_[[Check Periodo Ref.]:[Check Periodo Ref.]]="Dentro",DATOS_[Conc.Sal.10]))))), 0)</f>
        <v>0</v>
      </c>
      <c r="P62" s="209" t="n">
        <f aca="false" t="array" ref="P62:P62">IFERROR( AVERAGE((IF(DATOS_[[Sexo]:[Sexo]]=$B62,IF(DATOS_[[AGRUP. VALOR. PTO.]:[AGRUP. VALOR. PTO.]]=$B60,IF(DATOS_[[Check Periodo Ref.]:[Check Periodo Ref.]]="Dentro",DATOS_[Conc.Sal.11]))))), 0)</f>
        <v>0</v>
      </c>
      <c r="Q62" s="209" t="n">
        <f aca="false" t="array" ref="Q62:Q62">IFERROR( AVERAGE((IF(DATOS_[[Sexo]:[Sexo]]=$B62,IF(DATOS_[[AGRUP. VALOR. PTO.]:[AGRUP. VALOR. PTO.]]=$B60,IF(DATOS_[[Check Periodo Ref.]:[Check Periodo Ref.]]="Dentro",DATOS_[Conc.Sal.12]))))), 0)</f>
        <v>0</v>
      </c>
      <c r="R62" s="209" t="n">
        <f aca="false" t="array" ref="R62:R62">IFERROR( AVERAGE((IF(DATOS_[[Sexo]:[Sexo]]=$B62,IF(DATOS_[[AGRUP. VALOR. PTO.]:[AGRUP. VALOR. PTO.]]=$B60,IF(DATOS_[[Check Periodo Ref.]:[Check Periodo Ref.]]="Dentro",DATOS_[Conc.Sal.13]))))), 0)</f>
        <v>0</v>
      </c>
      <c r="S62" s="209" t="n">
        <f aca="false" t="array" ref="S62:S62">IFERROR( AVERAGE((IF(DATOS_[[Sexo]:[Sexo]]=$B62,IF(DATOS_[[AGRUP. VALOR. PTO.]:[AGRUP. VALOR. PTO.]]=$B60,IF(DATOS_[[Check Periodo Ref.]:[Check Periodo Ref.]]="Dentro",DATOS_[Conc.Sal.14]))))), 0)</f>
        <v>0</v>
      </c>
      <c r="T62" s="209" t="n">
        <f aca="false" t="array" ref="T62:T62">IFERROR( AVERAGE((IF(DATOS_[[Sexo]:[Sexo]]=$B62,IF(DATOS_[[AGRUP. VALOR. PTO.]:[AGRUP. VALOR. PTO.]]=$B60,IF(DATOS_[[Check Periodo Ref.]:[Check Periodo Ref.]]="Dentro",DATOS_[Conc.Sal.15]))))), 0)</f>
        <v>0</v>
      </c>
      <c r="U62" s="209" t="n">
        <f aca="false" t="array" ref="U62:U62">IFERROR( AVERAGE((IF(DATOS_[[Sexo]:[Sexo]]=$B62,IF(DATOS_[[AGRUP. VALOR. PTO.]:[AGRUP. VALOR. PTO.]]=$B60,IF(DATOS_[[Check Periodo Ref.]:[Check Periodo Ref.]]="Dentro",DATOS_[Conc.Sal.16]))))), 0)</f>
        <v>0</v>
      </c>
      <c r="V62" s="209" t="n">
        <f aca="false" t="array" ref="V62:V62">IFERROR( AVERAGE((IF(DATOS_[[Sexo]:[Sexo]]=$B62,IF(DATOS_[[AGRUP. VALOR. PTO.]:[AGRUP. VALOR. PTO.]]=$B60,IF(DATOS_[[Check Periodo Ref.]:[Check Periodo Ref.]]="Dentro",DATOS_[Conc.Sal.17]))))), 0)</f>
        <v>0</v>
      </c>
      <c r="W62" s="209" t="n">
        <f aca="false" t="array" ref="W62:W62">IFERROR( AVERAGE((IF(DATOS_[[Sexo]:[Sexo]]=$B62,IF(DATOS_[[AGRUP. VALOR. PTO.]:[AGRUP. VALOR. PTO.]]=$B60,IF(DATOS_[[Check Periodo Ref.]:[Check Periodo Ref.]]="Dentro",DATOS_[Conc.Sal.18]))))), 0)</f>
        <v>0</v>
      </c>
      <c r="X62" s="209" t="n">
        <f aca="false" t="array" ref="X62:X62">IFERROR( AVERAGE((IF(DATOS_[[Sexo]:[Sexo]]=$B62,IF(DATOS_[[AGRUP. VALOR. PTO.]:[AGRUP. VALOR. PTO.]]=$B60,IF(DATOS_[[Check Periodo Ref.]:[Check Periodo Ref.]]="Dentro",DATOS_[Conc.Sal.19]))))), 0)</f>
        <v>0</v>
      </c>
      <c r="Y62" s="209" t="n">
        <f aca="false" t="array" ref="Y62:Y62">IFERROR( AVERAGE((IF(DATOS_[[Sexo]:[Sexo]]=$B62,IF(DATOS_[[AGRUP. VALOR. PTO.]:[AGRUP. VALOR. PTO.]]=$B60,IF(DATOS_[[Check Periodo Ref.]:[Check Periodo Ref.]]="Dentro",DATOS_[Conc.Sal.20]))))), 0)</f>
        <v>0</v>
      </c>
      <c r="Z62" s="209" t="n">
        <f aca="false" t="array" ref="Z62:Z62">IFERROR( AVERAGE((IF(DATOS_[[Sexo]:[Sexo]]=$B62,IF(DATOS_[[AGRUP. VALOR. PTO.]:[AGRUP. VALOR. PTO.]]=$B60,IF(DATOS_[[Check Periodo Ref.]:[Check Periodo Ref.]]="Dentro",DATOS_[Conc.Sal.21]))))), 0)</f>
        <v>0</v>
      </c>
      <c r="AA62" s="209" t="n">
        <f aca="false" t="array" ref="AA62:AA62">IFERROR( AVERAGE((IF(DATOS_[[Sexo]:[Sexo]]=$B62,IF(DATOS_[[AGRUP. VALOR. PTO.]:[AGRUP. VALOR. PTO.]]=$B60,IF(DATOS_[[Check Periodo Ref.]:[Check Periodo Ref.]]="Dentro",DATOS_[Conc.Sal.22]))))), 0)</f>
        <v>0</v>
      </c>
      <c r="AB62" s="209" t="n">
        <f aca="false" t="array" ref="AB62:AB62">IFERROR( AVERAGE((IF(DATOS_[[Sexo]:[Sexo]]=$B62,IF(DATOS_[[AGRUP. VALOR. PTO.]:[AGRUP. VALOR. PTO.]]=$B60,IF(DATOS_[[Check Periodo Ref.]:[Check Periodo Ref.]]="Dentro",DATOS_[Conc.Sal.23]))))), 0)</f>
        <v>0</v>
      </c>
      <c r="AC62" s="209" t="n">
        <f aca="false" t="array" ref="AC62:AC62">IFERROR( AVERAGE((IF(DATOS_[[Sexo]:[Sexo]]=$B62,IF(DATOS_[[AGRUP. VALOR. PTO.]:[AGRUP. VALOR. PTO.]]=$B60,IF(DATOS_[[Check Periodo Ref.]:[Check Periodo Ref.]]="Dentro",DATOS_[Conc.Sal.24]))))), 0)</f>
        <v>0</v>
      </c>
      <c r="AD62" s="209" t="n">
        <f aca="false" t="array" ref="AD62:AD62">IFERROR( AVERAGE((IF(DATOS_[[Sexo]:[Sexo]]=$B62,IF(DATOS_[[AGRUP. VALOR. PTO.]:[AGRUP. VALOR. PTO.]]=$B60,IF(DATOS_[[Check Periodo Ref.]:[Check Periodo Ref.]]="Dentro",DATOS_[Conc.Sal.25]))))), 0)</f>
        <v>0</v>
      </c>
      <c r="AE62" s="209" t="n">
        <f aca="false" t="array" ref="AE62:AE62">IFERROR( AVERAGE((IF(DATOS_[[Sexo]:[Sexo]]=$B62,IF(DATOS_[[AGRUP. VALOR. PTO.]:[AGRUP. VALOR. PTO.]]=$B60,IF(DATOS_[[Check Periodo Ref.]:[Check Periodo Ref.]]="Dentro",DATOS_[Conc.Sal.26]))))), 0)</f>
        <v>0</v>
      </c>
      <c r="AF62" s="209" t="n">
        <f aca="false" t="array" ref="AF62:AF62">IFERROR( AVERAGE((IF(DATOS_[[Sexo]:[Sexo]]=$B62,IF(DATOS_[[AGRUP. VALOR. PTO.]:[AGRUP. VALOR. PTO.]]=$B60,IF(DATOS_[[Check Periodo Ref.]:[Check Periodo Ref.]]="Dentro",DATOS_[Conc.Sal.27]))))), 0)</f>
        <v>0</v>
      </c>
      <c r="AG62" s="209" t="n">
        <f aca="false" t="array" ref="AG62:AG62">IFERROR( AVERAGE((IF(DATOS_[[Sexo]:[Sexo]]=$B62,IF(DATOS_[[AGRUP. VALOR. PTO.]:[AGRUP. VALOR. PTO.]]=$B60,IF(DATOS_[[Check Periodo Ref.]:[Check Periodo Ref.]]="Dentro",DATOS_[Conc.Sal.28]))))), 0)</f>
        <v>0</v>
      </c>
      <c r="AH62" s="209" t="n">
        <f aca="false" t="array" ref="AH62:AH62">IFERROR( AVERAGE((IF(DATOS_[[Sexo]:[Sexo]]=$B62,IF(DATOS_[[AGRUP. VALOR. PTO.]:[AGRUP. VALOR. PTO.]]=$B60,IF(DATOS_[[Check Periodo Ref.]:[Check Periodo Ref.]]="Dentro",DATOS_[Conc.Sal.29]))))), 0)</f>
        <v>0</v>
      </c>
      <c r="AI62" s="209" t="n">
        <f aca="false" t="array" ref="AI62:AI62">IFERROR( AVERAGE((IF(DATOS_[[Sexo]:[Sexo]]=$B62,IF(DATOS_[[AGRUP. VALOR. PTO.]:[AGRUP. VALOR. PTO.]]=$B60,IF(DATOS_[[Check Periodo Ref.]:[Check Periodo Ref.]]="Dentro",DATOS_[Conc.Sal.30]))))), 0)</f>
        <v>0</v>
      </c>
      <c r="AJ62" s="210" t="n">
        <f aca="false" t="array" ref="AJ62:AJ62">IFERROR( AVERAGE(IF(DATOS_[Sexo]=$B62,IF(DATOS_[AGRUP. VALOR. PTO.]=$B60,IF(DATOS_[Check Periodo Ref.]="Dentro",DATOS_[Tot COMPL.SAL Ef],0)))), 0)</f>
        <v>0</v>
      </c>
      <c r="AK62" s="211" t="n">
        <f aca="false" t="array" ref="AK62:AK62">IFERROR( AVERAGE(IF(DATOS_[Sexo]=$B62,IF(DATOS_[AGRUP. VALOR. PTO.]=$B60,IF(DATOS_[Check Periodo Ref.]="Dentro",DATOS_[TOTAL SALARIO Ef],0)))), 0)</f>
        <v>0</v>
      </c>
      <c r="AL62" s="212" t="n">
        <f aca="false" t="array" ref="AL62:AL62">IFERROR( AVERAGE((IF(DATOS_[[Sexo]:[Sexo]]=$B62,IF(DATOS_[[AGRUP. VALOR. PTO.]:[AGRUP. VALOR. PTO.]]=$B60,IF(DATOS_[[Check Periodo Ref.]:[Check Periodo Ref.]]="Dentro",DATOS_[C.Extra.01]))))), 0)</f>
        <v>0</v>
      </c>
      <c r="AM62" s="212" t="n">
        <f aca="false" t="array" ref="AM62:AM62">IFERROR( AVERAGE((IF(DATOS_[[Sexo]:[Sexo]]=$B62,IF(DATOS_[[AGRUP. VALOR. PTO.]:[AGRUP. VALOR. PTO.]]=$B60,IF(DATOS_[[Check Periodo Ref.]:[Check Periodo Ref.]]="Dentro",DATOS_[C.Extra.02]))))), 0)</f>
        <v>0</v>
      </c>
      <c r="AN62" s="212" t="n">
        <f aca="false" t="array" ref="AN62:AN62">IFERROR( AVERAGE((IF(DATOS_[[Sexo]:[Sexo]]=$B62,IF(DATOS_[[AGRUP. VALOR. PTO.]:[AGRUP. VALOR. PTO.]]=$B60,IF(DATOS_[[Check Periodo Ref.]:[Check Periodo Ref.]]="Dentro",DATOS_[C.Extra.03]))))), 0)</f>
        <v>0</v>
      </c>
      <c r="AO62" s="212" t="n">
        <f aca="false" t="array" ref="AO62:AO62">IFERROR( AVERAGE((IF(DATOS_[[Sexo]:[Sexo]]=$B62,IF(DATOS_[[AGRUP. VALOR. PTO.]:[AGRUP. VALOR. PTO.]]=$B60,IF(DATOS_[[Check Periodo Ref.]:[Check Periodo Ref.]]="Dentro",DATOS_[C.Extra.04]))))), 0)</f>
        <v>0</v>
      </c>
      <c r="AP62" s="212" t="n">
        <f aca="false" t="array" ref="AP62:AP62">IFERROR( AVERAGE((IF(DATOS_[[Sexo]:[Sexo]]=$B62,IF(DATOS_[[AGRUP. VALOR. PTO.]:[AGRUP. VALOR. PTO.]]=$B60,IF(DATOS_[[Check Periodo Ref.]:[Check Periodo Ref.]]="Dentro",DATOS_[C.Extra.05]))))), 0)</f>
        <v>0</v>
      </c>
      <c r="AQ62" s="213" t="n">
        <f aca="false" t="array" ref="AQ62:AQ62">IFERROR( AVERAGE(IF(DATOS_[Sexo]=$B62,IF(DATOS_[AGRUP. VALOR. PTO.]=$B60,IF(DATOS_[Check Periodo Ref.]="Dentro",DATOS_[Tot Extrasalarial Ef],0)))), 0)</f>
        <v>0</v>
      </c>
      <c r="AR62" s="214" t="n">
        <f aca="false" t="array" ref="AR62:AR62">IFERROR( AVERAGE(IF(DATOS_[Sexo]=$B62,IF(DATOS_[AGRUP. VALOR. PTO.]=$B60,IF(DATOS_[Check Periodo Ref.]="Dentro",DATOS_[TOTAL Retrib Ef],0)))), 0)</f>
        <v>0</v>
      </c>
    </row>
    <row r="63" customFormat="false" ht="15.75" hidden="false" customHeight="false" outlineLevel="0" collapsed="false">
      <c r="A63" s="191" t="str">
        <f aca="false">+A64</f>
        <v>[ocultar]</v>
      </c>
      <c r="B63" s="192" t="s">
        <v>217</v>
      </c>
      <c r="C63" s="193"/>
      <c r="D63" s="194"/>
      <c r="E63" s="195" t="str">
        <f aca="false">IFERROR((E64-E65)/E64,"")</f>
        <v/>
      </c>
      <c r="F63" s="196" t="str">
        <f aca="false">IFERROR((F64-F65)/F64,"")</f>
        <v/>
      </c>
      <c r="G63" s="197" t="str">
        <f aca="false">IFERROR((G64-G65)/G64,"")</f>
        <v/>
      </c>
      <c r="H63" s="197" t="str">
        <f aca="false">IFERROR((H64-H65)/H64,"")</f>
        <v/>
      </c>
      <c r="I63" s="197" t="str">
        <f aca="false">IFERROR((I64-I65)/I64,"")</f>
        <v/>
      </c>
      <c r="J63" s="198" t="str">
        <f aca="false">IFERROR((J64-J65)/J64,"")</f>
        <v/>
      </c>
      <c r="K63" s="199" t="str">
        <f aca="false">IFERROR((K64-K65)/K64,"")</f>
        <v/>
      </c>
      <c r="L63" s="199" t="str">
        <f aca="false">IFERROR((L64-L65)/L64,"")</f>
        <v/>
      </c>
      <c r="M63" s="199" t="str">
        <f aca="false">IFERROR((M64-M65)/M64,"")</f>
        <v/>
      </c>
      <c r="N63" s="199" t="str">
        <f aca="false">IFERROR((N64-N65)/N64,"")</f>
        <v/>
      </c>
      <c r="O63" s="199" t="str">
        <f aca="false">IFERROR((O64-O65)/O64,"")</f>
        <v/>
      </c>
      <c r="P63" s="199" t="str">
        <f aca="false">IFERROR((P64-P65)/P64,"")</f>
        <v/>
      </c>
      <c r="Q63" s="199" t="str">
        <f aca="false">IFERROR((Q64-Q65)/Q64,"")</f>
        <v/>
      </c>
      <c r="R63" s="199" t="str">
        <f aca="false">IFERROR((R64-R65)/R64,"")</f>
        <v/>
      </c>
      <c r="S63" s="199" t="str">
        <f aca="false">IFERROR((S64-S65)/S64,"")</f>
        <v/>
      </c>
      <c r="T63" s="199" t="str">
        <f aca="false">IFERROR((T64-T65)/T64,"")</f>
        <v/>
      </c>
      <c r="U63" s="199" t="str">
        <f aca="false">IFERROR((U64-U65)/U64,"")</f>
        <v/>
      </c>
      <c r="V63" s="198" t="str">
        <f aca="false">IFERROR((V64-V65)/V64,"")</f>
        <v/>
      </c>
      <c r="W63" s="198" t="str">
        <f aca="false">IFERROR((W64-W65)/W64,"")</f>
        <v/>
      </c>
      <c r="X63" s="198" t="str">
        <f aca="false">IFERROR((X64-X65)/X64,"")</f>
        <v/>
      </c>
      <c r="Y63" s="198" t="str">
        <f aca="false">IFERROR((Y64-Y65)/Y64,"")</f>
        <v/>
      </c>
      <c r="Z63" s="198" t="str">
        <f aca="false">IFERROR((Z64-Z65)/Z64,"")</f>
        <v/>
      </c>
      <c r="AA63" s="198" t="str">
        <f aca="false">IFERROR((AA64-AA65)/AA64,"")</f>
        <v/>
      </c>
      <c r="AB63" s="198" t="str">
        <f aca="false">IFERROR((AB64-AB65)/AB64,"")</f>
        <v/>
      </c>
      <c r="AC63" s="198" t="str">
        <f aca="false">IFERROR((AC64-AC65)/AC64,"")</f>
        <v/>
      </c>
      <c r="AD63" s="198" t="str">
        <f aca="false">IFERROR((AD64-AD65)/AD64,"")</f>
        <v/>
      </c>
      <c r="AE63" s="198" t="str">
        <f aca="false">IFERROR((AE64-AE65)/AE64,"")</f>
        <v/>
      </c>
      <c r="AF63" s="198" t="str">
        <f aca="false">IFERROR((AF64-AF65)/AF64,"")</f>
        <v/>
      </c>
      <c r="AG63" s="198" t="str">
        <f aca="false">IFERROR((AG64-AG65)/AG64,"")</f>
        <v/>
      </c>
      <c r="AH63" s="198" t="str">
        <f aca="false">IFERROR((AH64-AH65)/AH64,"")</f>
        <v/>
      </c>
      <c r="AI63" s="198" t="str">
        <f aca="false">IFERROR((AI64-AI65)/AI64,"")</f>
        <v/>
      </c>
      <c r="AJ63" s="200" t="str">
        <f aca="false">IFERROR((AJ64-AJ65)/AJ64,"")</f>
        <v/>
      </c>
      <c r="AK63" s="201" t="str">
        <f aca="false">IFERROR((AK64-AK65)/AK64,"")</f>
        <v/>
      </c>
      <c r="AL63" s="202" t="str">
        <f aca="false">IFERROR((AL64-AL65)/AL64,"")</f>
        <v/>
      </c>
      <c r="AM63" s="202" t="str">
        <f aca="false">IFERROR((AM64-AM65)/AM64,"")</f>
        <v/>
      </c>
      <c r="AN63" s="202" t="str">
        <f aca="false">IFERROR((AN64-AN65)/AN64,"")</f>
        <v/>
      </c>
      <c r="AO63" s="202" t="str">
        <f aca="false">IFERROR((AO64-AO65)/AO64,"")</f>
        <v/>
      </c>
      <c r="AP63" s="202" t="str">
        <f aca="false">IFERROR((AP64-AP65)/AP64,"")</f>
        <v/>
      </c>
      <c r="AQ63" s="203" t="str">
        <f aca="false">IFERROR((AQ64-AQ65)/AQ64,"")</f>
        <v/>
      </c>
      <c r="AR63" s="204" t="str">
        <f aca="false">IFERROR((AR64-AR65)/AR64,"")</f>
        <v/>
      </c>
    </row>
    <row r="64" customFormat="false" ht="14.25" hidden="false" customHeight="false" outlineLevel="0" collapsed="false">
      <c r="A64" s="191" t="str">
        <f aca="false">+IF(C64+C65=0,"[ocultar]","")</f>
        <v>[ocultar]</v>
      </c>
      <c r="B64" s="205" t="s">
        <v>371</v>
      </c>
      <c r="C64" s="206" t="n">
        <f aca="false" t="array" ref="C64:C64">SUM(IF($B64=DATOS_[Sexo], IF($B63=DATOS_[AGRUP. VALOR. PTO.], IF("Dentro"=DATOS_[Check Periodo Ref.], 1/(COUNTIFS(DATOS_[Sexo],$B64,DATOS_[AGRUP. VALOR. PTO.],$B63,DATOS_[Check Periodo Ref.],"Dentro",DATOS_[id],DATOS_[id]))))))</f>
        <v>0</v>
      </c>
      <c r="D64" s="207" t="n">
        <f aca="false">COUNTIFS(DATOS_[AGRUP. VALOR. PTO.],$B63,DATOS_[Sexo],$B64,DATOS_[Check Periodo Ref.],"Dentro")</f>
        <v>0</v>
      </c>
      <c r="E64" s="208" t="n">
        <f aca="false" t="array" ref="E64:E64">IFERROR( AVERAGE(IF(DATOS_[Sexo]=$B64,IF(DATOS_[AGRUP. VALOR. PTO.]=$B63,IF(DATOS_[Check Periodo Ref.]="Dentro",DATOS_[SALARIO BASE Ef],0)))), 0)</f>
        <v>0</v>
      </c>
      <c r="F64" s="209" t="n">
        <f aca="false" t="array" ref="F64:F64">IFERROR( AVERAGE((IF(DATOS_[[Sexo]:[Sexo]]=$B64,IF(DATOS_[[AGRUP. VALOR. PTO.]:[AGRUP. VALOR. PTO.]]=$B63,IF(DATOS_[[Check Periodo Ref.]:[Check Periodo Ref.]]="Dentro",DATOS_[Conc.Sal.01]))))), 0)</f>
        <v>0</v>
      </c>
      <c r="G64" s="209" t="n">
        <f aca="false" t="array" ref="G64:G64">IFERROR( AVERAGE((IF(DATOS_[[Sexo]:[Sexo]]=$B64,IF(DATOS_[[AGRUP. VALOR. PTO.]:[AGRUP. VALOR. PTO.]]=$B63,IF(DATOS_[[Check Periodo Ref.]:[Check Periodo Ref.]]="Dentro",DATOS_[Conc.Sal.02]))))), 0)</f>
        <v>0</v>
      </c>
      <c r="H64" s="209" t="n">
        <f aca="false" t="array" ref="H64:H64">IFERROR( AVERAGE((IF(DATOS_[[Sexo]:[Sexo]]=$B64,IF(DATOS_[[AGRUP. VALOR. PTO.]:[AGRUP. VALOR. PTO.]]=$B63,IF(DATOS_[[Check Periodo Ref.]:[Check Periodo Ref.]]="Dentro",DATOS_[Conc.Sal.03]))))), 0)</f>
        <v>0</v>
      </c>
      <c r="I64" s="209" t="n">
        <f aca="false" t="array" ref="I64:I64">IFERROR( AVERAGE((IF(DATOS_[[Sexo]:[Sexo]]=$B64,IF(DATOS_[[AGRUP. VALOR. PTO.]:[AGRUP. VALOR. PTO.]]=$B63,IF(DATOS_[[Check Periodo Ref.]:[Check Periodo Ref.]]="Dentro",DATOS_[Conc.Sal.04]))))), 0)</f>
        <v>0</v>
      </c>
      <c r="J64" s="209" t="n">
        <f aca="false" t="array" ref="J64:J64">IFERROR( AVERAGE((IF(DATOS_[[Sexo]:[Sexo]]=$B64,IF(DATOS_[[AGRUP. VALOR. PTO.]:[AGRUP. VALOR. PTO.]]=$B63,IF(DATOS_[[Check Periodo Ref.]:[Check Periodo Ref.]]="Dentro",DATOS_[Conc.Sal.05]))))), 0)</f>
        <v>0</v>
      </c>
      <c r="K64" s="209" t="n">
        <f aca="false" t="array" ref="K64:K64">IFERROR( AVERAGE((IF(DATOS_[[Sexo]:[Sexo]]=$B64,IF(DATOS_[[AGRUP. VALOR. PTO.]:[AGRUP. VALOR. PTO.]]=$B63,IF(DATOS_[[Check Periodo Ref.]:[Check Periodo Ref.]]="Dentro",DATOS_[Conc.Sal.06]))))), 0)</f>
        <v>0</v>
      </c>
      <c r="L64" s="209" t="n">
        <f aca="false" t="array" ref="L64:L64">IFERROR( AVERAGE((IF(DATOS_[[Sexo]:[Sexo]]=$B64,IF(DATOS_[[AGRUP. VALOR. PTO.]:[AGRUP. VALOR. PTO.]]=$B63,IF(DATOS_[[Check Periodo Ref.]:[Check Periodo Ref.]]="Dentro",DATOS_[Conc.Sal.07]))))), 0)</f>
        <v>0</v>
      </c>
      <c r="M64" s="209" t="n">
        <f aca="false" t="array" ref="M64:M64">IFERROR( AVERAGE((IF(DATOS_[[Sexo]:[Sexo]]=$B64,IF(DATOS_[[AGRUP. VALOR. PTO.]:[AGRUP. VALOR. PTO.]]=$B63,IF(DATOS_[[Check Periodo Ref.]:[Check Periodo Ref.]]="Dentro",DATOS_[Conc.Sal.08]))))), 0)</f>
        <v>0</v>
      </c>
      <c r="N64" s="209" t="n">
        <f aca="false" t="array" ref="N64:N64">IFERROR( AVERAGE((IF(DATOS_[[Sexo]:[Sexo]]=$B64,IF(DATOS_[[AGRUP. VALOR. PTO.]:[AGRUP. VALOR. PTO.]]=$B63,IF(DATOS_[[Check Periodo Ref.]:[Check Periodo Ref.]]="Dentro",DATOS_[Conc.Sal.09]))))), 0)</f>
        <v>0</v>
      </c>
      <c r="O64" s="209" t="n">
        <f aca="false" t="array" ref="O64:O64">IFERROR( AVERAGE((IF(DATOS_[[Sexo]:[Sexo]]=$B64,IF(DATOS_[[AGRUP. VALOR. PTO.]:[AGRUP. VALOR. PTO.]]=$B63,IF(DATOS_[[Check Periodo Ref.]:[Check Periodo Ref.]]="Dentro",DATOS_[Conc.Sal.10]))))), 0)</f>
        <v>0</v>
      </c>
      <c r="P64" s="209" t="n">
        <f aca="false" t="array" ref="P64:P64">IFERROR( AVERAGE((IF(DATOS_[[Sexo]:[Sexo]]=$B64,IF(DATOS_[[AGRUP. VALOR. PTO.]:[AGRUP. VALOR. PTO.]]=$B63,IF(DATOS_[[Check Periodo Ref.]:[Check Periodo Ref.]]="Dentro",DATOS_[Conc.Sal.11]))))), 0)</f>
        <v>0</v>
      </c>
      <c r="Q64" s="209" t="n">
        <f aca="false" t="array" ref="Q64:Q64">IFERROR( AVERAGE((IF(DATOS_[[Sexo]:[Sexo]]=$B64,IF(DATOS_[[AGRUP. VALOR. PTO.]:[AGRUP. VALOR. PTO.]]=$B63,IF(DATOS_[[Check Periodo Ref.]:[Check Periodo Ref.]]="Dentro",DATOS_[Conc.Sal.12]))))), 0)</f>
        <v>0</v>
      </c>
      <c r="R64" s="209" t="n">
        <f aca="false" t="array" ref="R64:R64">IFERROR( AVERAGE((IF(DATOS_[[Sexo]:[Sexo]]=$B64,IF(DATOS_[[AGRUP. VALOR. PTO.]:[AGRUP. VALOR. PTO.]]=$B63,IF(DATOS_[[Check Periodo Ref.]:[Check Periodo Ref.]]="Dentro",DATOS_[Conc.Sal.13]))))), 0)</f>
        <v>0</v>
      </c>
      <c r="S64" s="209" t="n">
        <f aca="false" t="array" ref="S64:S64">IFERROR( AVERAGE((IF(DATOS_[[Sexo]:[Sexo]]=$B64,IF(DATOS_[[AGRUP. VALOR. PTO.]:[AGRUP. VALOR. PTO.]]=$B63,IF(DATOS_[[Check Periodo Ref.]:[Check Periodo Ref.]]="Dentro",DATOS_[Conc.Sal.14]))))), 0)</f>
        <v>0</v>
      </c>
      <c r="T64" s="209" t="n">
        <f aca="false" t="array" ref="T64:T64">IFERROR( AVERAGE((IF(DATOS_[[Sexo]:[Sexo]]=$B64,IF(DATOS_[[AGRUP. VALOR. PTO.]:[AGRUP. VALOR. PTO.]]=$B63,IF(DATOS_[[Check Periodo Ref.]:[Check Periodo Ref.]]="Dentro",DATOS_[Conc.Sal.15]))))), 0)</f>
        <v>0</v>
      </c>
      <c r="U64" s="209" t="n">
        <f aca="false" t="array" ref="U64:U64">IFERROR( AVERAGE((IF(DATOS_[[Sexo]:[Sexo]]=$B64,IF(DATOS_[[AGRUP. VALOR. PTO.]:[AGRUP. VALOR. PTO.]]=$B63,IF(DATOS_[[Check Periodo Ref.]:[Check Periodo Ref.]]="Dentro",DATOS_[Conc.Sal.16]))))), 0)</f>
        <v>0</v>
      </c>
      <c r="V64" s="209" t="n">
        <f aca="false" t="array" ref="V64:V64">IFERROR( AVERAGE((IF(DATOS_[[Sexo]:[Sexo]]=$B64,IF(DATOS_[[AGRUP. VALOR. PTO.]:[AGRUP. VALOR. PTO.]]=$B63,IF(DATOS_[[Check Periodo Ref.]:[Check Periodo Ref.]]="Dentro",DATOS_[Conc.Sal.17]))))), 0)</f>
        <v>0</v>
      </c>
      <c r="W64" s="209" t="n">
        <f aca="false" t="array" ref="W64:W64">IFERROR( AVERAGE((IF(DATOS_[[Sexo]:[Sexo]]=$B64,IF(DATOS_[[AGRUP. VALOR. PTO.]:[AGRUP. VALOR. PTO.]]=$B63,IF(DATOS_[[Check Periodo Ref.]:[Check Periodo Ref.]]="Dentro",DATOS_[Conc.Sal.18]))))), 0)</f>
        <v>0</v>
      </c>
      <c r="X64" s="209" t="n">
        <f aca="false" t="array" ref="X64:X64">IFERROR( AVERAGE((IF(DATOS_[[Sexo]:[Sexo]]=$B64,IF(DATOS_[[AGRUP. VALOR. PTO.]:[AGRUP. VALOR. PTO.]]=$B63,IF(DATOS_[[Check Periodo Ref.]:[Check Periodo Ref.]]="Dentro",DATOS_[Conc.Sal.19]))))), 0)</f>
        <v>0</v>
      </c>
      <c r="Y64" s="209" t="n">
        <f aca="false" t="array" ref="Y64:Y64">IFERROR( AVERAGE((IF(DATOS_[[Sexo]:[Sexo]]=$B64,IF(DATOS_[[AGRUP. VALOR. PTO.]:[AGRUP. VALOR. PTO.]]=$B63,IF(DATOS_[[Check Periodo Ref.]:[Check Periodo Ref.]]="Dentro",DATOS_[Conc.Sal.20]))))), 0)</f>
        <v>0</v>
      </c>
      <c r="Z64" s="209" t="n">
        <f aca="false" t="array" ref="Z64:Z64">IFERROR( AVERAGE((IF(DATOS_[[Sexo]:[Sexo]]=$B64,IF(DATOS_[[AGRUP. VALOR. PTO.]:[AGRUP. VALOR. PTO.]]=$B63,IF(DATOS_[[Check Periodo Ref.]:[Check Periodo Ref.]]="Dentro",DATOS_[Conc.Sal.21]))))), 0)</f>
        <v>0</v>
      </c>
      <c r="AA64" s="209" t="n">
        <f aca="false" t="array" ref="AA64:AA64">IFERROR( AVERAGE((IF(DATOS_[[Sexo]:[Sexo]]=$B64,IF(DATOS_[[AGRUP. VALOR. PTO.]:[AGRUP. VALOR. PTO.]]=$B63,IF(DATOS_[[Check Periodo Ref.]:[Check Periodo Ref.]]="Dentro",DATOS_[Conc.Sal.22]))))), 0)</f>
        <v>0</v>
      </c>
      <c r="AB64" s="209" t="n">
        <f aca="false" t="array" ref="AB64:AB64">IFERROR( AVERAGE((IF(DATOS_[[Sexo]:[Sexo]]=$B64,IF(DATOS_[[AGRUP. VALOR. PTO.]:[AGRUP. VALOR. PTO.]]=$B63,IF(DATOS_[[Check Periodo Ref.]:[Check Periodo Ref.]]="Dentro",DATOS_[Conc.Sal.23]))))), 0)</f>
        <v>0</v>
      </c>
      <c r="AC64" s="209" t="n">
        <f aca="false" t="array" ref="AC64:AC64">IFERROR( AVERAGE((IF(DATOS_[[Sexo]:[Sexo]]=$B64,IF(DATOS_[[AGRUP. VALOR. PTO.]:[AGRUP. VALOR. PTO.]]=$B63,IF(DATOS_[[Check Periodo Ref.]:[Check Periodo Ref.]]="Dentro",DATOS_[Conc.Sal.24]))))), 0)</f>
        <v>0</v>
      </c>
      <c r="AD64" s="209" t="n">
        <f aca="false" t="array" ref="AD64:AD64">IFERROR( AVERAGE((IF(DATOS_[[Sexo]:[Sexo]]=$B64,IF(DATOS_[[AGRUP. VALOR. PTO.]:[AGRUP. VALOR. PTO.]]=$B63,IF(DATOS_[[Check Periodo Ref.]:[Check Periodo Ref.]]="Dentro",DATOS_[Conc.Sal.25]))))), 0)</f>
        <v>0</v>
      </c>
      <c r="AE64" s="209" t="n">
        <f aca="false" t="array" ref="AE64:AE64">IFERROR( AVERAGE((IF(DATOS_[[Sexo]:[Sexo]]=$B64,IF(DATOS_[[AGRUP. VALOR. PTO.]:[AGRUP. VALOR. PTO.]]=$B63,IF(DATOS_[[Check Periodo Ref.]:[Check Periodo Ref.]]="Dentro",DATOS_[Conc.Sal.26]))))), 0)</f>
        <v>0</v>
      </c>
      <c r="AF64" s="209" t="n">
        <f aca="false" t="array" ref="AF64:AF64">IFERROR( AVERAGE((IF(DATOS_[[Sexo]:[Sexo]]=$B64,IF(DATOS_[[AGRUP. VALOR. PTO.]:[AGRUP. VALOR. PTO.]]=$B63,IF(DATOS_[[Check Periodo Ref.]:[Check Periodo Ref.]]="Dentro",DATOS_[Conc.Sal.27]))))), 0)</f>
        <v>0</v>
      </c>
      <c r="AG64" s="209" t="n">
        <f aca="false" t="array" ref="AG64:AG64">IFERROR( AVERAGE((IF(DATOS_[[Sexo]:[Sexo]]=$B64,IF(DATOS_[[AGRUP. VALOR. PTO.]:[AGRUP. VALOR. PTO.]]=$B63,IF(DATOS_[[Check Periodo Ref.]:[Check Periodo Ref.]]="Dentro",DATOS_[Conc.Sal.28]))))), 0)</f>
        <v>0</v>
      </c>
      <c r="AH64" s="209" t="n">
        <f aca="false" t="array" ref="AH64:AH64">IFERROR( AVERAGE((IF(DATOS_[[Sexo]:[Sexo]]=$B64,IF(DATOS_[[AGRUP. VALOR. PTO.]:[AGRUP. VALOR. PTO.]]=$B63,IF(DATOS_[[Check Periodo Ref.]:[Check Periodo Ref.]]="Dentro",DATOS_[Conc.Sal.29]))))), 0)</f>
        <v>0</v>
      </c>
      <c r="AI64" s="209" t="n">
        <f aca="false" t="array" ref="AI64:AI64">IFERROR( AVERAGE((IF(DATOS_[[Sexo]:[Sexo]]=$B64,IF(DATOS_[[AGRUP. VALOR. PTO.]:[AGRUP. VALOR. PTO.]]=$B63,IF(DATOS_[[Check Periodo Ref.]:[Check Periodo Ref.]]="Dentro",DATOS_[Conc.Sal.30]))))), 0)</f>
        <v>0</v>
      </c>
      <c r="AJ64" s="210" t="n">
        <f aca="false" t="array" ref="AJ64:AJ64">IFERROR( AVERAGE(IF(DATOS_[Sexo]=$B64,IF(DATOS_[AGRUP. VALOR. PTO.]=$B63,IF(DATOS_[Check Periodo Ref.]="Dentro",DATOS_[Tot COMPL.SAL Ef],0)))), 0)</f>
        <v>0</v>
      </c>
      <c r="AK64" s="211" t="n">
        <f aca="false" t="array" ref="AK64:AK64">IFERROR( AVERAGE(IF(DATOS_[Sexo]=$B64,IF(DATOS_[AGRUP. VALOR. PTO.]=$B63,IF(DATOS_[Check Periodo Ref.]="Dentro",DATOS_[TOTAL SALARIO Ef],0)))), 0)</f>
        <v>0</v>
      </c>
      <c r="AL64" s="212" t="n">
        <f aca="false" t="array" ref="AL64:AL64">IFERROR( AVERAGE((IF(DATOS_[[Sexo]:[Sexo]]=$B64,IF(DATOS_[[AGRUP. VALOR. PTO.]:[AGRUP. VALOR. PTO.]]=$B63,IF(DATOS_[[Check Periodo Ref.]:[Check Periodo Ref.]]="Dentro",DATOS_[C.Extra.01]))))), 0)</f>
        <v>0</v>
      </c>
      <c r="AM64" s="212" t="n">
        <f aca="false" t="array" ref="AM64:AM64">IFERROR( AVERAGE((IF(DATOS_[[Sexo]:[Sexo]]=$B64,IF(DATOS_[[AGRUP. VALOR. PTO.]:[AGRUP. VALOR. PTO.]]=$B63,IF(DATOS_[[Check Periodo Ref.]:[Check Periodo Ref.]]="Dentro",DATOS_[C.Extra.02]))))), 0)</f>
        <v>0</v>
      </c>
      <c r="AN64" s="212" t="n">
        <f aca="false" t="array" ref="AN64:AN64">IFERROR( AVERAGE((IF(DATOS_[[Sexo]:[Sexo]]=$B64,IF(DATOS_[[AGRUP. VALOR. PTO.]:[AGRUP. VALOR. PTO.]]=$B63,IF(DATOS_[[Check Periodo Ref.]:[Check Periodo Ref.]]="Dentro",DATOS_[C.Extra.03]))))), 0)</f>
        <v>0</v>
      </c>
      <c r="AO64" s="212" t="n">
        <f aca="false" t="array" ref="AO64:AO64">IFERROR( AVERAGE((IF(DATOS_[[Sexo]:[Sexo]]=$B64,IF(DATOS_[[AGRUP. VALOR. PTO.]:[AGRUP. VALOR. PTO.]]=$B63,IF(DATOS_[[Check Periodo Ref.]:[Check Periodo Ref.]]="Dentro",DATOS_[C.Extra.04]))))), 0)</f>
        <v>0</v>
      </c>
      <c r="AP64" s="212" t="n">
        <f aca="false" t="array" ref="AP64:AP64">IFERROR( AVERAGE((IF(DATOS_[[Sexo]:[Sexo]]=$B64,IF(DATOS_[[AGRUP. VALOR. PTO.]:[AGRUP. VALOR. PTO.]]=$B63,IF(DATOS_[[Check Periodo Ref.]:[Check Periodo Ref.]]="Dentro",DATOS_[C.Extra.05]))))), 0)</f>
        <v>0</v>
      </c>
      <c r="AQ64" s="213" t="n">
        <f aca="false" t="array" ref="AQ64:AQ64">IFERROR( AVERAGE(IF(DATOS_[Sexo]=$B64,IF(DATOS_[AGRUP. VALOR. PTO.]=$B63,IF(DATOS_[Check Periodo Ref.]="Dentro",DATOS_[Tot Extrasalarial Ef],0)))), 0)</f>
        <v>0</v>
      </c>
      <c r="AR64" s="214" t="n">
        <f aca="false" t="array" ref="AR64:AR64">IFERROR( AVERAGE(IF(DATOS_[Sexo]=$B64,IF(DATOS_[AGRUP. VALOR. PTO.]=$B63,IF(DATOS_[Check Periodo Ref.]="Dentro",DATOS_[TOTAL Retrib Ef],0)))), 0)</f>
        <v>0</v>
      </c>
    </row>
    <row r="65" customFormat="false" ht="14.25" hidden="false" customHeight="false" outlineLevel="0" collapsed="false">
      <c r="A65" s="191" t="str">
        <f aca="false">+A64</f>
        <v>[ocultar]</v>
      </c>
      <c r="B65" s="205" t="s">
        <v>372</v>
      </c>
      <c r="C65" s="206" t="n">
        <f aca="false" t="array" ref="C65:C65">SUM(IF($B65=DATOS_[Sexo], IF($B63=DATOS_[AGRUP. VALOR. PTO.], IF("Dentro"=DATOS_[Check Periodo Ref.], 1/(COUNTIFS(DATOS_[Sexo],$B65,DATOS_[AGRUP. VALOR. PTO.],$B63,DATOS_[Check Periodo Ref.],"Dentro",DATOS_[id],DATOS_[id]))))))</f>
        <v>0</v>
      </c>
      <c r="D65" s="207" t="n">
        <f aca="false">COUNTIFS(DATOS_[AGRUP. VALOR. PTO.],$B63,DATOS_[Sexo],$B65,DATOS_[Check Periodo Ref.],"Dentro")</f>
        <v>0</v>
      </c>
      <c r="E65" s="208" t="n">
        <f aca="false" t="array" ref="E65:E65">IFERROR( AVERAGE(IF(DATOS_[Sexo]=$B65,IF(DATOS_[AGRUP. VALOR. PTO.]=$B63,IF(DATOS_[Check Periodo Ref.]="Dentro",DATOS_[SALARIO BASE Ef],0)))), 0)</f>
        <v>0</v>
      </c>
      <c r="F65" s="209" t="n">
        <f aca="false" t="array" ref="F65:F65">IFERROR( AVERAGE((IF(DATOS_[[Sexo]:[Sexo]]=$B65,IF(DATOS_[[AGRUP. VALOR. PTO.]:[AGRUP. VALOR. PTO.]]=$B63,IF(DATOS_[[Check Periodo Ref.]:[Check Periodo Ref.]]="Dentro",DATOS_[Conc.Sal.01]))))), 0)</f>
        <v>0</v>
      </c>
      <c r="G65" s="209" t="n">
        <f aca="false" t="array" ref="G65:G65">IFERROR( AVERAGE((IF(DATOS_[[Sexo]:[Sexo]]=$B65,IF(DATOS_[[AGRUP. VALOR. PTO.]:[AGRUP. VALOR. PTO.]]=$B63,IF(DATOS_[[Check Periodo Ref.]:[Check Periodo Ref.]]="Dentro",DATOS_[Conc.Sal.02]))))), 0)</f>
        <v>0</v>
      </c>
      <c r="H65" s="209" t="n">
        <f aca="false" t="array" ref="H65:H65">IFERROR( AVERAGE((IF(DATOS_[[Sexo]:[Sexo]]=$B65,IF(DATOS_[[AGRUP. VALOR. PTO.]:[AGRUP. VALOR. PTO.]]=$B63,IF(DATOS_[[Check Periodo Ref.]:[Check Periodo Ref.]]="Dentro",DATOS_[Conc.Sal.03]))))), 0)</f>
        <v>0</v>
      </c>
      <c r="I65" s="209" t="n">
        <f aca="false" t="array" ref="I65:I65">IFERROR( AVERAGE((IF(DATOS_[[Sexo]:[Sexo]]=$B65,IF(DATOS_[[AGRUP. VALOR. PTO.]:[AGRUP. VALOR. PTO.]]=$B63,IF(DATOS_[[Check Periodo Ref.]:[Check Periodo Ref.]]="Dentro",DATOS_[Conc.Sal.04]))))), 0)</f>
        <v>0</v>
      </c>
      <c r="J65" s="209" t="n">
        <f aca="false" t="array" ref="J65:J65">IFERROR( AVERAGE((IF(DATOS_[[Sexo]:[Sexo]]=$B65,IF(DATOS_[[AGRUP. VALOR. PTO.]:[AGRUP. VALOR. PTO.]]=$B63,IF(DATOS_[[Check Periodo Ref.]:[Check Periodo Ref.]]="Dentro",DATOS_[Conc.Sal.05]))))), 0)</f>
        <v>0</v>
      </c>
      <c r="K65" s="209" t="n">
        <f aca="false" t="array" ref="K65:K65">IFERROR( AVERAGE((IF(DATOS_[[Sexo]:[Sexo]]=$B65,IF(DATOS_[[AGRUP. VALOR. PTO.]:[AGRUP. VALOR. PTO.]]=$B63,IF(DATOS_[[Check Periodo Ref.]:[Check Periodo Ref.]]="Dentro",DATOS_[Conc.Sal.06]))))), 0)</f>
        <v>0</v>
      </c>
      <c r="L65" s="209" t="n">
        <f aca="false" t="array" ref="L65:L65">IFERROR( AVERAGE((IF(DATOS_[[Sexo]:[Sexo]]=$B65,IF(DATOS_[[AGRUP. VALOR. PTO.]:[AGRUP. VALOR. PTO.]]=$B63,IF(DATOS_[[Check Periodo Ref.]:[Check Periodo Ref.]]="Dentro",DATOS_[Conc.Sal.07]))))), 0)</f>
        <v>0</v>
      </c>
      <c r="M65" s="209" t="n">
        <f aca="false" t="array" ref="M65:M65">IFERROR( AVERAGE((IF(DATOS_[[Sexo]:[Sexo]]=$B65,IF(DATOS_[[AGRUP. VALOR. PTO.]:[AGRUP. VALOR. PTO.]]=$B63,IF(DATOS_[[Check Periodo Ref.]:[Check Periodo Ref.]]="Dentro",DATOS_[Conc.Sal.08]))))), 0)</f>
        <v>0</v>
      </c>
      <c r="N65" s="209" t="n">
        <f aca="false" t="array" ref="N65:N65">IFERROR( AVERAGE((IF(DATOS_[[Sexo]:[Sexo]]=$B65,IF(DATOS_[[AGRUP. VALOR. PTO.]:[AGRUP. VALOR. PTO.]]=$B63,IF(DATOS_[[Check Periodo Ref.]:[Check Periodo Ref.]]="Dentro",DATOS_[Conc.Sal.09]))))), 0)</f>
        <v>0</v>
      </c>
      <c r="O65" s="209" t="n">
        <f aca="false" t="array" ref="O65:O65">IFERROR( AVERAGE((IF(DATOS_[[Sexo]:[Sexo]]=$B65,IF(DATOS_[[AGRUP. VALOR. PTO.]:[AGRUP. VALOR. PTO.]]=$B63,IF(DATOS_[[Check Periodo Ref.]:[Check Periodo Ref.]]="Dentro",DATOS_[Conc.Sal.10]))))), 0)</f>
        <v>0</v>
      </c>
      <c r="P65" s="209" t="n">
        <f aca="false" t="array" ref="P65:P65">IFERROR( AVERAGE((IF(DATOS_[[Sexo]:[Sexo]]=$B65,IF(DATOS_[[AGRUP. VALOR. PTO.]:[AGRUP. VALOR. PTO.]]=$B63,IF(DATOS_[[Check Periodo Ref.]:[Check Periodo Ref.]]="Dentro",DATOS_[Conc.Sal.11]))))), 0)</f>
        <v>0</v>
      </c>
      <c r="Q65" s="209" t="n">
        <f aca="false" t="array" ref="Q65:Q65">IFERROR( AVERAGE((IF(DATOS_[[Sexo]:[Sexo]]=$B65,IF(DATOS_[[AGRUP. VALOR. PTO.]:[AGRUP. VALOR. PTO.]]=$B63,IF(DATOS_[[Check Periodo Ref.]:[Check Periodo Ref.]]="Dentro",DATOS_[Conc.Sal.12]))))), 0)</f>
        <v>0</v>
      </c>
      <c r="R65" s="209" t="n">
        <f aca="false" t="array" ref="R65:R65">IFERROR( AVERAGE((IF(DATOS_[[Sexo]:[Sexo]]=$B65,IF(DATOS_[[AGRUP. VALOR. PTO.]:[AGRUP. VALOR. PTO.]]=$B63,IF(DATOS_[[Check Periodo Ref.]:[Check Periodo Ref.]]="Dentro",DATOS_[Conc.Sal.13]))))), 0)</f>
        <v>0</v>
      </c>
      <c r="S65" s="209" t="n">
        <f aca="false" t="array" ref="S65:S65">IFERROR( AVERAGE((IF(DATOS_[[Sexo]:[Sexo]]=$B65,IF(DATOS_[[AGRUP. VALOR. PTO.]:[AGRUP. VALOR. PTO.]]=$B63,IF(DATOS_[[Check Periodo Ref.]:[Check Periodo Ref.]]="Dentro",DATOS_[Conc.Sal.14]))))), 0)</f>
        <v>0</v>
      </c>
      <c r="T65" s="209" t="n">
        <f aca="false" t="array" ref="T65:T65">IFERROR( AVERAGE((IF(DATOS_[[Sexo]:[Sexo]]=$B65,IF(DATOS_[[AGRUP. VALOR. PTO.]:[AGRUP. VALOR. PTO.]]=$B63,IF(DATOS_[[Check Periodo Ref.]:[Check Periodo Ref.]]="Dentro",DATOS_[Conc.Sal.15]))))), 0)</f>
        <v>0</v>
      </c>
      <c r="U65" s="209" t="n">
        <f aca="false" t="array" ref="U65:U65">IFERROR( AVERAGE((IF(DATOS_[[Sexo]:[Sexo]]=$B65,IF(DATOS_[[AGRUP. VALOR. PTO.]:[AGRUP. VALOR. PTO.]]=$B63,IF(DATOS_[[Check Periodo Ref.]:[Check Periodo Ref.]]="Dentro",DATOS_[Conc.Sal.16]))))), 0)</f>
        <v>0</v>
      </c>
      <c r="V65" s="209" t="n">
        <f aca="false" t="array" ref="V65:V65">IFERROR( AVERAGE((IF(DATOS_[[Sexo]:[Sexo]]=$B65,IF(DATOS_[[AGRUP. VALOR. PTO.]:[AGRUP. VALOR. PTO.]]=$B63,IF(DATOS_[[Check Periodo Ref.]:[Check Periodo Ref.]]="Dentro",DATOS_[Conc.Sal.17]))))), 0)</f>
        <v>0</v>
      </c>
      <c r="W65" s="209" t="n">
        <f aca="false" t="array" ref="W65:W65">IFERROR( AVERAGE((IF(DATOS_[[Sexo]:[Sexo]]=$B65,IF(DATOS_[[AGRUP. VALOR. PTO.]:[AGRUP. VALOR. PTO.]]=$B63,IF(DATOS_[[Check Periodo Ref.]:[Check Periodo Ref.]]="Dentro",DATOS_[Conc.Sal.18]))))), 0)</f>
        <v>0</v>
      </c>
      <c r="X65" s="209" t="n">
        <f aca="false" t="array" ref="X65:X65">IFERROR( AVERAGE((IF(DATOS_[[Sexo]:[Sexo]]=$B65,IF(DATOS_[[AGRUP. VALOR. PTO.]:[AGRUP. VALOR. PTO.]]=$B63,IF(DATOS_[[Check Periodo Ref.]:[Check Periodo Ref.]]="Dentro",DATOS_[Conc.Sal.19]))))), 0)</f>
        <v>0</v>
      </c>
      <c r="Y65" s="209" t="n">
        <f aca="false" t="array" ref="Y65:Y65">IFERROR( AVERAGE((IF(DATOS_[[Sexo]:[Sexo]]=$B65,IF(DATOS_[[AGRUP. VALOR. PTO.]:[AGRUP. VALOR. PTO.]]=$B63,IF(DATOS_[[Check Periodo Ref.]:[Check Periodo Ref.]]="Dentro",DATOS_[Conc.Sal.20]))))), 0)</f>
        <v>0</v>
      </c>
      <c r="Z65" s="209" t="n">
        <f aca="false" t="array" ref="Z65:Z65">IFERROR( AVERAGE((IF(DATOS_[[Sexo]:[Sexo]]=$B65,IF(DATOS_[[AGRUP. VALOR. PTO.]:[AGRUP. VALOR. PTO.]]=$B63,IF(DATOS_[[Check Periodo Ref.]:[Check Periodo Ref.]]="Dentro",DATOS_[Conc.Sal.21]))))), 0)</f>
        <v>0</v>
      </c>
      <c r="AA65" s="209" t="n">
        <f aca="false" t="array" ref="AA65:AA65">IFERROR( AVERAGE((IF(DATOS_[[Sexo]:[Sexo]]=$B65,IF(DATOS_[[AGRUP. VALOR. PTO.]:[AGRUP. VALOR. PTO.]]=$B63,IF(DATOS_[[Check Periodo Ref.]:[Check Periodo Ref.]]="Dentro",DATOS_[Conc.Sal.22]))))), 0)</f>
        <v>0</v>
      </c>
      <c r="AB65" s="209" t="n">
        <f aca="false" t="array" ref="AB65:AB65">IFERROR( AVERAGE((IF(DATOS_[[Sexo]:[Sexo]]=$B65,IF(DATOS_[[AGRUP. VALOR. PTO.]:[AGRUP. VALOR. PTO.]]=$B63,IF(DATOS_[[Check Periodo Ref.]:[Check Periodo Ref.]]="Dentro",DATOS_[Conc.Sal.23]))))), 0)</f>
        <v>0</v>
      </c>
      <c r="AC65" s="209" t="n">
        <f aca="false" t="array" ref="AC65:AC65">IFERROR( AVERAGE((IF(DATOS_[[Sexo]:[Sexo]]=$B65,IF(DATOS_[[AGRUP. VALOR. PTO.]:[AGRUP. VALOR. PTO.]]=$B63,IF(DATOS_[[Check Periodo Ref.]:[Check Periodo Ref.]]="Dentro",DATOS_[Conc.Sal.24]))))), 0)</f>
        <v>0</v>
      </c>
      <c r="AD65" s="209" t="n">
        <f aca="false" t="array" ref="AD65:AD65">IFERROR( AVERAGE((IF(DATOS_[[Sexo]:[Sexo]]=$B65,IF(DATOS_[[AGRUP. VALOR. PTO.]:[AGRUP. VALOR. PTO.]]=$B63,IF(DATOS_[[Check Periodo Ref.]:[Check Periodo Ref.]]="Dentro",DATOS_[Conc.Sal.25]))))), 0)</f>
        <v>0</v>
      </c>
      <c r="AE65" s="209" t="n">
        <f aca="false" t="array" ref="AE65:AE65">IFERROR( AVERAGE((IF(DATOS_[[Sexo]:[Sexo]]=$B65,IF(DATOS_[[AGRUP. VALOR. PTO.]:[AGRUP. VALOR. PTO.]]=$B63,IF(DATOS_[[Check Periodo Ref.]:[Check Periodo Ref.]]="Dentro",DATOS_[Conc.Sal.26]))))), 0)</f>
        <v>0</v>
      </c>
      <c r="AF65" s="209" t="n">
        <f aca="false" t="array" ref="AF65:AF65">IFERROR( AVERAGE((IF(DATOS_[[Sexo]:[Sexo]]=$B65,IF(DATOS_[[AGRUP. VALOR. PTO.]:[AGRUP. VALOR. PTO.]]=$B63,IF(DATOS_[[Check Periodo Ref.]:[Check Periodo Ref.]]="Dentro",DATOS_[Conc.Sal.27]))))), 0)</f>
        <v>0</v>
      </c>
      <c r="AG65" s="209" t="n">
        <f aca="false" t="array" ref="AG65:AG65">IFERROR( AVERAGE((IF(DATOS_[[Sexo]:[Sexo]]=$B65,IF(DATOS_[[AGRUP. VALOR. PTO.]:[AGRUP. VALOR. PTO.]]=$B63,IF(DATOS_[[Check Periodo Ref.]:[Check Periodo Ref.]]="Dentro",DATOS_[Conc.Sal.28]))))), 0)</f>
        <v>0</v>
      </c>
      <c r="AH65" s="209" t="n">
        <f aca="false" t="array" ref="AH65:AH65">IFERROR( AVERAGE((IF(DATOS_[[Sexo]:[Sexo]]=$B65,IF(DATOS_[[AGRUP. VALOR. PTO.]:[AGRUP. VALOR. PTO.]]=$B63,IF(DATOS_[[Check Periodo Ref.]:[Check Periodo Ref.]]="Dentro",DATOS_[Conc.Sal.29]))))), 0)</f>
        <v>0</v>
      </c>
      <c r="AI65" s="209" t="n">
        <f aca="false" t="array" ref="AI65:AI65">IFERROR( AVERAGE((IF(DATOS_[[Sexo]:[Sexo]]=$B65,IF(DATOS_[[AGRUP. VALOR. PTO.]:[AGRUP. VALOR. PTO.]]=$B63,IF(DATOS_[[Check Periodo Ref.]:[Check Periodo Ref.]]="Dentro",DATOS_[Conc.Sal.30]))))), 0)</f>
        <v>0</v>
      </c>
      <c r="AJ65" s="210" t="n">
        <f aca="false" t="array" ref="AJ65:AJ65">IFERROR( AVERAGE(IF(DATOS_[Sexo]=$B65,IF(DATOS_[AGRUP. VALOR. PTO.]=$B63,IF(DATOS_[Check Periodo Ref.]="Dentro",DATOS_[Tot COMPL.SAL Ef],0)))), 0)</f>
        <v>0</v>
      </c>
      <c r="AK65" s="211" t="n">
        <f aca="false" t="array" ref="AK65:AK65">IFERROR( AVERAGE(IF(DATOS_[Sexo]=$B65,IF(DATOS_[AGRUP. VALOR. PTO.]=$B63,IF(DATOS_[Check Periodo Ref.]="Dentro",DATOS_[TOTAL SALARIO Ef],0)))), 0)</f>
        <v>0</v>
      </c>
      <c r="AL65" s="212" t="n">
        <f aca="false" t="array" ref="AL65:AL65">IFERROR( AVERAGE((IF(DATOS_[[Sexo]:[Sexo]]=$B65,IF(DATOS_[[AGRUP. VALOR. PTO.]:[AGRUP. VALOR. PTO.]]=$B63,IF(DATOS_[[Check Periodo Ref.]:[Check Periodo Ref.]]="Dentro",DATOS_[C.Extra.01]))))), 0)</f>
        <v>0</v>
      </c>
      <c r="AM65" s="212" t="n">
        <f aca="false" t="array" ref="AM65:AM65">IFERROR( AVERAGE((IF(DATOS_[[Sexo]:[Sexo]]=$B65,IF(DATOS_[[AGRUP. VALOR. PTO.]:[AGRUP. VALOR. PTO.]]=$B63,IF(DATOS_[[Check Periodo Ref.]:[Check Periodo Ref.]]="Dentro",DATOS_[C.Extra.02]))))), 0)</f>
        <v>0</v>
      </c>
      <c r="AN65" s="212" t="n">
        <f aca="false" t="array" ref="AN65:AN65">IFERROR( AVERAGE((IF(DATOS_[[Sexo]:[Sexo]]=$B65,IF(DATOS_[[AGRUP. VALOR. PTO.]:[AGRUP. VALOR. PTO.]]=$B63,IF(DATOS_[[Check Periodo Ref.]:[Check Periodo Ref.]]="Dentro",DATOS_[C.Extra.03]))))), 0)</f>
        <v>0</v>
      </c>
      <c r="AO65" s="212" t="n">
        <f aca="false" t="array" ref="AO65:AO65">IFERROR( AVERAGE((IF(DATOS_[[Sexo]:[Sexo]]=$B65,IF(DATOS_[[AGRUP. VALOR. PTO.]:[AGRUP. VALOR. PTO.]]=$B63,IF(DATOS_[[Check Periodo Ref.]:[Check Periodo Ref.]]="Dentro",DATOS_[C.Extra.04]))))), 0)</f>
        <v>0</v>
      </c>
      <c r="AP65" s="212" t="n">
        <f aca="false" t="array" ref="AP65:AP65">IFERROR( AVERAGE((IF(DATOS_[[Sexo]:[Sexo]]=$B65,IF(DATOS_[[AGRUP. VALOR. PTO.]:[AGRUP. VALOR. PTO.]]=$B63,IF(DATOS_[[Check Periodo Ref.]:[Check Periodo Ref.]]="Dentro",DATOS_[C.Extra.05]))))), 0)</f>
        <v>0</v>
      </c>
      <c r="AQ65" s="213" t="n">
        <f aca="false" t="array" ref="AQ65:AQ65">IFERROR( AVERAGE(IF(DATOS_[Sexo]=$B65,IF(DATOS_[AGRUP. VALOR. PTO.]=$B63,IF(DATOS_[Check Periodo Ref.]="Dentro",DATOS_[Tot Extrasalarial Ef],0)))), 0)</f>
        <v>0</v>
      </c>
      <c r="AR65" s="214" t="n">
        <f aca="false" t="array" ref="AR65:AR65">IFERROR( AVERAGE(IF(DATOS_[Sexo]=$B65,IF(DATOS_[AGRUP. VALOR. PTO.]=$B63,IF(DATOS_[Check Periodo Ref.]="Dentro",DATOS_[TOTAL Retrib Ef],0)))), 0)</f>
        <v>0</v>
      </c>
    </row>
    <row r="66" customFormat="false" ht="15.75" hidden="false" customHeight="false" outlineLevel="0" collapsed="false">
      <c r="A66" s="191" t="str">
        <f aca="false">+A67</f>
        <v>[ocultar]</v>
      </c>
      <c r="B66" s="192" t="s">
        <v>220</v>
      </c>
      <c r="C66" s="193"/>
      <c r="D66" s="194"/>
      <c r="E66" s="195" t="str">
        <f aca="false">IFERROR((E67-E68)/E67,"")</f>
        <v/>
      </c>
      <c r="F66" s="196" t="str">
        <f aca="false">IFERROR((F67-F68)/F67,"")</f>
        <v/>
      </c>
      <c r="G66" s="197" t="str">
        <f aca="false">IFERROR((G67-G68)/G67,"")</f>
        <v/>
      </c>
      <c r="H66" s="197" t="str">
        <f aca="false">IFERROR((H67-H68)/H67,"")</f>
        <v/>
      </c>
      <c r="I66" s="197" t="str">
        <f aca="false">IFERROR((I67-I68)/I67,"")</f>
        <v/>
      </c>
      <c r="J66" s="198" t="str">
        <f aca="false">IFERROR((J67-J68)/J67,"")</f>
        <v/>
      </c>
      <c r="K66" s="199" t="str">
        <f aca="false">IFERROR((K67-K68)/K67,"")</f>
        <v/>
      </c>
      <c r="L66" s="199" t="str">
        <f aca="false">IFERROR((L67-L68)/L67,"")</f>
        <v/>
      </c>
      <c r="M66" s="199" t="str">
        <f aca="false">IFERROR((M67-M68)/M67,"")</f>
        <v/>
      </c>
      <c r="N66" s="199" t="str">
        <f aca="false">IFERROR((N67-N68)/N67,"")</f>
        <v/>
      </c>
      <c r="O66" s="199" t="str">
        <f aca="false">IFERROR((O67-O68)/O67,"")</f>
        <v/>
      </c>
      <c r="P66" s="199" t="str">
        <f aca="false">IFERROR((P67-P68)/P67,"")</f>
        <v/>
      </c>
      <c r="Q66" s="199" t="str">
        <f aca="false">IFERROR((Q67-Q68)/Q67,"")</f>
        <v/>
      </c>
      <c r="R66" s="199" t="str">
        <f aca="false">IFERROR((R67-R68)/R67,"")</f>
        <v/>
      </c>
      <c r="S66" s="199" t="str">
        <f aca="false">IFERROR((S67-S68)/S67,"")</f>
        <v/>
      </c>
      <c r="T66" s="199" t="str">
        <f aca="false">IFERROR((T67-T68)/T67,"")</f>
        <v/>
      </c>
      <c r="U66" s="199" t="str">
        <f aca="false">IFERROR((U67-U68)/U67,"")</f>
        <v/>
      </c>
      <c r="V66" s="198" t="str">
        <f aca="false">IFERROR((V67-V68)/V67,"")</f>
        <v/>
      </c>
      <c r="W66" s="198" t="str">
        <f aca="false">IFERROR((W67-W68)/W67,"")</f>
        <v/>
      </c>
      <c r="X66" s="198" t="str">
        <f aca="false">IFERROR((X67-X68)/X67,"")</f>
        <v/>
      </c>
      <c r="Y66" s="198" t="str">
        <f aca="false">IFERROR((Y67-Y68)/Y67,"")</f>
        <v/>
      </c>
      <c r="Z66" s="198" t="str">
        <f aca="false">IFERROR((Z67-Z68)/Z67,"")</f>
        <v/>
      </c>
      <c r="AA66" s="198" t="str">
        <f aca="false">IFERROR((AA67-AA68)/AA67,"")</f>
        <v/>
      </c>
      <c r="AB66" s="198" t="str">
        <f aca="false">IFERROR((AB67-AB68)/AB67,"")</f>
        <v/>
      </c>
      <c r="AC66" s="198" t="str">
        <f aca="false">IFERROR((AC67-AC68)/AC67,"")</f>
        <v/>
      </c>
      <c r="AD66" s="198" t="str">
        <f aca="false">IFERROR((AD67-AD68)/AD67,"")</f>
        <v/>
      </c>
      <c r="AE66" s="198" t="str">
        <f aca="false">IFERROR((AE67-AE68)/AE67,"")</f>
        <v/>
      </c>
      <c r="AF66" s="198" t="str">
        <f aca="false">IFERROR((AF67-AF68)/AF67,"")</f>
        <v/>
      </c>
      <c r="AG66" s="198" t="str">
        <f aca="false">IFERROR((AG67-AG68)/AG67,"")</f>
        <v/>
      </c>
      <c r="AH66" s="198" t="str">
        <f aca="false">IFERROR((AH67-AH68)/AH67,"")</f>
        <v/>
      </c>
      <c r="AI66" s="198" t="str">
        <f aca="false">IFERROR((AI67-AI68)/AI67,"")</f>
        <v/>
      </c>
      <c r="AJ66" s="200" t="str">
        <f aca="false">IFERROR((AJ67-AJ68)/AJ67,"")</f>
        <v/>
      </c>
      <c r="AK66" s="201" t="str">
        <f aca="false">IFERROR((AK67-AK68)/AK67,"")</f>
        <v/>
      </c>
      <c r="AL66" s="202" t="str">
        <f aca="false">IFERROR((AL67-AL68)/AL67,"")</f>
        <v/>
      </c>
      <c r="AM66" s="202" t="str">
        <f aca="false">IFERROR((AM67-AM68)/AM67,"")</f>
        <v/>
      </c>
      <c r="AN66" s="202" t="str">
        <f aca="false">IFERROR((AN67-AN68)/AN67,"")</f>
        <v/>
      </c>
      <c r="AO66" s="202" t="str">
        <f aca="false">IFERROR((AO67-AO68)/AO67,"")</f>
        <v/>
      </c>
      <c r="AP66" s="202" t="str">
        <f aca="false">IFERROR((AP67-AP68)/AP67,"")</f>
        <v/>
      </c>
      <c r="AQ66" s="203" t="str">
        <f aca="false">IFERROR((AQ67-AQ68)/AQ67,"")</f>
        <v/>
      </c>
      <c r="AR66" s="204" t="str">
        <f aca="false">IFERROR((AR67-AR68)/AR67,"")</f>
        <v/>
      </c>
    </row>
    <row r="67" customFormat="false" ht="14.25" hidden="false" customHeight="false" outlineLevel="0" collapsed="false">
      <c r="A67" s="191" t="str">
        <f aca="false">+IF(C67+C68=0,"[ocultar]","")</f>
        <v>[ocultar]</v>
      </c>
      <c r="B67" s="205" t="s">
        <v>371</v>
      </c>
      <c r="C67" s="206" t="n">
        <f aca="false" t="array" ref="C67:C67">SUM(IF($B67=DATOS_[Sexo], IF($B66=DATOS_[AGRUP. VALOR. PTO.], IF("Dentro"=DATOS_[Check Periodo Ref.], 1/(COUNTIFS(DATOS_[Sexo],$B67,DATOS_[AGRUP. VALOR. PTO.],$B66,DATOS_[Check Periodo Ref.],"Dentro",DATOS_[id],DATOS_[id]))))))</f>
        <v>0</v>
      </c>
      <c r="D67" s="207" t="n">
        <f aca="false">COUNTIFS(DATOS_[AGRUP. VALOR. PTO.],$B66,DATOS_[Sexo],$B67,DATOS_[Check Periodo Ref.],"Dentro")</f>
        <v>0</v>
      </c>
      <c r="E67" s="208" t="n">
        <f aca="false" t="array" ref="E67:E67">IFERROR( AVERAGE(IF(DATOS_[Sexo]=$B67,IF(DATOS_[AGRUP. VALOR. PTO.]=$B66,IF(DATOS_[Check Periodo Ref.]="Dentro",DATOS_[SALARIO BASE Ef],0)))), 0)</f>
        <v>0</v>
      </c>
      <c r="F67" s="209" t="n">
        <f aca="false" t="array" ref="F67:F67">IFERROR( AVERAGE((IF(DATOS_[[Sexo]:[Sexo]]=$B67,IF(DATOS_[[AGRUP. VALOR. PTO.]:[AGRUP. VALOR. PTO.]]=$B66,IF(DATOS_[[Check Periodo Ref.]:[Check Periodo Ref.]]="Dentro",DATOS_[Conc.Sal.01]))))), 0)</f>
        <v>0</v>
      </c>
      <c r="G67" s="209" t="n">
        <f aca="false" t="array" ref="G67:G67">IFERROR( AVERAGE((IF(DATOS_[[Sexo]:[Sexo]]=$B67,IF(DATOS_[[AGRUP. VALOR. PTO.]:[AGRUP. VALOR. PTO.]]=$B66,IF(DATOS_[[Check Periodo Ref.]:[Check Periodo Ref.]]="Dentro",DATOS_[Conc.Sal.02]))))), 0)</f>
        <v>0</v>
      </c>
      <c r="H67" s="209" t="n">
        <f aca="false" t="array" ref="H67:H67">IFERROR( AVERAGE((IF(DATOS_[[Sexo]:[Sexo]]=$B67,IF(DATOS_[[AGRUP. VALOR. PTO.]:[AGRUP. VALOR. PTO.]]=$B66,IF(DATOS_[[Check Periodo Ref.]:[Check Periodo Ref.]]="Dentro",DATOS_[Conc.Sal.03]))))), 0)</f>
        <v>0</v>
      </c>
      <c r="I67" s="209" t="n">
        <f aca="false" t="array" ref="I67:I67">IFERROR( AVERAGE((IF(DATOS_[[Sexo]:[Sexo]]=$B67,IF(DATOS_[[AGRUP. VALOR. PTO.]:[AGRUP. VALOR. PTO.]]=$B66,IF(DATOS_[[Check Periodo Ref.]:[Check Periodo Ref.]]="Dentro",DATOS_[Conc.Sal.04]))))), 0)</f>
        <v>0</v>
      </c>
      <c r="J67" s="209" t="n">
        <f aca="false" t="array" ref="J67:J67">IFERROR( AVERAGE((IF(DATOS_[[Sexo]:[Sexo]]=$B67,IF(DATOS_[[AGRUP. VALOR. PTO.]:[AGRUP. VALOR. PTO.]]=$B66,IF(DATOS_[[Check Periodo Ref.]:[Check Periodo Ref.]]="Dentro",DATOS_[Conc.Sal.05]))))), 0)</f>
        <v>0</v>
      </c>
      <c r="K67" s="209" t="n">
        <f aca="false" t="array" ref="K67:K67">IFERROR( AVERAGE((IF(DATOS_[[Sexo]:[Sexo]]=$B67,IF(DATOS_[[AGRUP. VALOR. PTO.]:[AGRUP. VALOR. PTO.]]=$B66,IF(DATOS_[[Check Periodo Ref.]:[Check Periodo Ref.]]="Dentro",DATOS_[Conc.Sal.06]))))), 0)</f>
        <v>0</v>
      </c>
      <c r="L67" s="209" t="n">
        <f aca="false" t="array" ref="L67:L67">IFERROR( AVERAGE((IF(DATOS_[[Sexo]:[Sexo]]=$B67,IF(DATOS_[[AGRUP. VALOR. PTO.]:[AGRUP. VALOR. PTO.]]=$B66,IF(DATOS_[[Check Periodo Ref.]:[Check Periodo Ref.]]="Dentro",DATOS_[Conc.Sal.07]))))), 0)</f>
        <v>0</v>
      </c>
      <c r="M67" s="209" t="n">
        <f aca="false" t="array" ref="M67:M67">IFERROR( AVERAGE((IF(DATOS_[[Sexo]:[Sexo]]=$B67,IF(DATOS_[[AGRUP. VALOR. PTO.]:[AGRUP. VALOR. PTO.]]=$B66,IF(DATOS_[[Check Periodo Ref.]:[Check Periodo Ref.]]="Dentro",DATOS_[Conc.Sal.08]))))), 0)</f>
        <v>0</v>
      </c>
      <c r="N67" s="209" t="n">
        <f aca="false" t="array" ref="N67:N67">IFERROR( AVERAGE((IF(DATOS_[[Sexo]:[Sexo]]=$B67,IF(DATOS_[[AGRUP. VALOR. PTO.]:[AGRUP. VALOR. PTO.]]=$B66,IF(DATOS_[[Check Periodo Ref.]:[Check Periodo Ref.]]="Dentro",DATOS_[Conc.Sal.09]))))), 0)</f>
        <v>0</v>
      </c>
      <c r="O67" s="209" t="n">
        <f aca="false" t="array" ref="O67:O67">IFERROR( AVERAGE((IF(DATOS_[[Sexo]:[Sexo]]=$B67,IF(DATOS_[[AGRUP. VALOR. PTO.]:[AGRUP. VALOR. PTO.]]=$B66,IF(DATOS_[[Check Periodo Ref.]:[Check Periodo Ref.]]="Dentro",DATOS_[Conc.Sal.10]))))), 0)</f>
        <v>0</v>
      </c>
      <c r="P67" s="209" t="n">
        <f aca="false" t="array" ref="P67:P67">IFERROR( AVERAGE((IF(DATOS_[[Sexo]:[Sexo]]=$B67,IF(DATOS_[[AGRUP. VALOR. PTO.]:[AGRUP. VALOR. PTO.]]=$B66,IF(DATOS_[[Check Periodo Ref.]:[Check Periodo Ref.]]="Dentro",DATOS_[Conc.Sal.11]))))), 0)</f>
        <v>0</v>
      </c>
      <c r="Q67" s="209" t="n">
        <f aca="false" t="array" ref="Q67:Q67">IFERROR( AVERAGE((IF(DATOS_[[Sexo]:[Sexo]]=$B67,IF(DATOS_[[AGRUP. VALOR. PTO.]:[AGRUP. VALOR. PTO.]]=$B66,IF(DATOS_[[Check Periodo Ref.]:[Check Periodo Ref.]]="Dentro",DATOS_[Conc.Sal.12]))))), 0)</f>
        <v>0</v>
      </c>
      <c r="R67" s="209" t="n">
        <f aca="false" t="array" ref="R67:R67">IFERROR( AVERAGE((IF(DATOS_[[Sexo]:[Sexo]]=$B67,IF(DATOS_[[AGRUP. VALOR. PTO.]:[AGRUP. VALOR. PTO.]]=$B66,IF(DATOS_[[Check Periodo Ref.]:[Check Periodo Ref.]]="Dentro",DATOS_[Conc.Sal.13]))))), 0)</f>
        <v>0</v>
      </c>
      <c r="S67" s="209" t="n">
        <f aca="false" t="array" ref="S67:S67">IFERROR( AVERAGE((IF(DATOS_[[Sexo]:[Sexo]]=$B67,IF(DATOS_[[AGRUP. VALOR. PTO.]:[AGRUP. VALOR. PTO.]]=$B66,IF(DATOS_[[Check Periodo Ref.]:[Check Periodo Ref.]]="Dentro",DATOS_[Conc.Sal.14]))))), 0)</f>
        <v>0</v>
      </c>
      <c r="T67" s="209" t="n">
        <f aca="false" t="array" ref="T67:T67">IFERROR( AVERAGE((IF(DATOS_[[Sexo]:[Sexo]]=$B67,IF(DATOS_[[AGRUP. VALOR. PTO.]:[AGRUP. VALOR. PTO.]]=$B66,IF(DATOS_[[Check Periodo Ref.]:[Check Periodo Ref.]]="Dentro",DATOS_[Conc.Sal.15]))))), 0)</f>
        <v>0</v>
      </c>
      <c r="U67" s="209" t="n">
        <f aca="false" t="array" ref="U67:U67">IFERROR( AVERAGE((IF(DATOS_[[Sexo]:[Sexo]]=$B67,IF(DATOS_[[AGRUP. VALOR. PTO.]:[AGRUP. VALOR. PTO.]]=$B66,IF(DATOS_[[Check Periodo Ref.]:[Check Periodo Ref.]]="Dentro",DATOS_[Conc.Sal.16]))))), 0)</f>
        <v>0</v>
      </c>
      <c r="V67" s="209" t="n">
        <f aca="false" t="array" ref="V67:V67">IFERROR( AVERAGE((IF(DATOS_[[Sexo]:[Sexo]]=$B67,IF(DATOS_[[AGRUP. VALOR. PTO.]:[AGRUP. VALOR. PTO.]]=$B66,IF(DATOS_[[Check Periodo Ref.]:[Check Periodo Ref.]]="Dentro",DATOS_[Conc.Sal.17]))))), 0)</f>
        <v>0</v>
      </c>
      <c r="W67" s="209" t="n">
        <f aca="false" t="array" ref="W67:W67">IFERROR( AVERAGE((IF(DATOS_[[Sexo]:[Sexo]]=$B67,IF(DATOS_[[AGRUP. VALOR. PTO.]:[AGRUP. VALOR. PTO.]]=$B66,IF(DATOS_[[Check Periodo Ref.]:[Check Periodo Ref.]]="Dentro",DATOS_[Conc.Sal.18]))))), 0)</f>
        <v>0</v>
      </c>
      <c r="X67" s="209" t="n">
        <f aca="false" t="array" ref="X67:X67">IFERROR( AVERAGE((IF(DATOS_[[Sexo]:[Sexo]]=$B67,IF(DATOS_[[AGRUP. VALOR. PTO.]:[AGRUP. VALOR. PTO.]]=$B66,IF(DATOS_[[Check Periodo Ref.]:[Check Periodo Ref.]]="Dentro",DATOS_[Conc.Sal.19]))))), 0)</f>
        <v>0</v>
      </c>
      <c r="Y67" s="209" t="n">
        <f aca="false" t="array" ref="Y67:Y67">IFERROR( AVERAGE((IF(DATOS_[[Sexo]:[Sexo]]=$B67,IF(DATOS_[[AGRUP. VALOR. PTO.]:[AGRUP. VALOR. PTO.]]=$B66,IF(DATOS_[[Check Periodo Ref.]:[Check Periodo Ref.]]="Dentro",DATOS_[Conc.Sal.20]))))), 0)</f>
        <v>0</v>
      </c>
      <c r="Z67" s="209" t="n">
        <f aca="false" t="array" ref="Z67:Z67">IFERROR( AVERAGE((IF(DATOS_[[Sexo]:[Sexo]]=$B67,IF(DATOS_[[AGRUP. VALOR. PTO.]:[AGRUP. VALOR. PTO.]]=$B66,IF(DATOS_[[Check Periodo Ref.]:[Check Periodo Ref.]]="Dentro",DATOS_[Conc.Sal.21]))))), 0)</f>
        <v>0</v>
      </c>
      <c r="AA67" s="209" t="n">
        <f aca="false" t="array" ref="AA67:AA67">IFERROR( AVERAGE((IF(DATOS_[[Sexo]:[Sexo]]=$B67,IF(DATOS_[[AGRUP. VALOR. PTO.]:[AGRUP. VALOR. PTO.]]=$B66,IF(DATOS_[[Check Periodo Ref.]:[Check Periodo Ref.]]="Dentro",DATOS_[Conc.Sal.22]))))), 0)</f>
        <v>0</v>
      </c>
      <c r="AB67" s="209" t="n">
        <f aca="false" t="array" ref="AB67:AB67">IFERROR( AVERAGE((IF(DATOS_[[Sexo]:[Sexo]]=$B67,IF(DATOS_[[AGRUP. VALOR. PTO.]:[AGRUP. VALOR. PTO.]]=$B66,IF(DATOS_[[Check Periodo Ref.]:[Check Periodo Ref.]]="Dentro",DATOS_[Conc.Sal.23]))))), 0)</f>
        <v>0</v>
      </c>
      <c r="AC67" s="209" t="n">
        <f aca="false" t="array" ref="AC67:AC67">IFERROR( AVERAGE((IF(DATOS_[[Sexo]:[Sexo]]=$B67,IF(DATOS_[[AGRUP. VALOR. PTO.]:[AGRUP. VALOR. PTO.]]=$B66,IF(DATOS_[[Check Periodo Ref.]:[Check Periodo Ref.]]="Dentro",DATOS_[Conc.Sal.24]))))), 0)</f>
        <v>0</v>
      </c>
      <c r="AD67" s="209" t="n">
        <f aca="false" t="array" ref="AD67:AD67">IFERROR( AVERAGE((IF(DATOS_[[Sexo]:[Sexo]]=$B67,IF(DATOS_[[AGRUP. VALOR. PTO.]:[AGRUP. VALOR. PTO.]]=$B66,IF(DATOS_[[Check Periodo Ref.]:[Check Periodo Ref.]]="Dentro",DATOS_[Conc.Sal.25]))))), 0)</f>
        <v>0</v>
      </c>
      <c r="AE67" s="209" t="n">
        <f aca="false" t="array" ref="AE67:AE67">IFERROR( AVERAGE((IF(DATOS_[[Sexo]:[Sexo]]=$B67,IF(DATOS_[[AGRUP. VALOR. PTO.]:[AGRUP. VALOR. PTO.]]=$B66,IF(DATOS_[[Check Periodo Ref.]:[Check Periodo Ref.]]="Dentro",DATOS_[Conc.Sal.26]))))), 0)</f>
        <v>0</v>
      </c>
      <c r="AF67" s="209" t="n">
        <f aca="false" t="array" ref="AF67:AF67">IFERROR( AVERAGE((IF(DATOS_[[Sexo]:[Sexo]]=$B67,IF(DATOS_[[AGRUP. VALOR. PTO.]:[AGRUP. VALOR. PTO.]]=$B66,IF(DATOS_[[Check Periodo Ref.]:[Check Periodo Ref.]]="Dentro",DATOS_[Conc.Sal.27]))))), 0)</f>
        <v>0</v>
      </c>
      <c r="AG67" s="209" t="n">
        <f aca="false" t="array" ref="AG67:AG67">IFERROR( AVERAGE((IF(DATOS_[[Sexo]:[Sexo]]=$B67,IF(DATOS_[[AGRUP. VALOR. PTO.]:[AGRUP. VALOR. PTO.]]=$B66,IF(DATOS_[[Check Periodo Ref.]:[Check Periodo Ref.]]="Dentro",DATOS_[Conc.Sal.28]))))), 0)</f>
        <v>0</v>
      </c>
      <c r="AH67" s="209" t="n">
        <f aca="false" t="array" ref="AH67:AH67">IFERROR( AVERAGE((IF(DATOS_[[Sexo]:[Sexo]]=$B67,IF(DATOS_[[AGRUP. VALOR. PTO.]:[AGRUP. VALOR. PTO.]]=$B66,IF(DATOS_[[Check Periodo Ref.]:[Check Periodo Ref.]]="Dentro",DATOS_[Conc.Sal.29]))))), 0)</f>
        <v>0</v>
      </c>
      <c r="AI67" s="209" t="n">
        <f aca="false" t="array" ref="AI67:AI67">IFERROR( AVERAGE((IF(DATOS_[[Sexo]:[Sexo]]=$B67,IF(DATOS_[[AGRUP. VALOR. PTO.]:[AGRUP. VALOR. PTO.]]=$B66,IF(DATOS_[[Check Periodo Ref.]:[Check Periodo Ref.]]="Dentro",DATOS_[Conc.Sal.30]))))), 0)</f>
        <v>0</v>
      </c>
      <c r="AJ67" s="210" t="n">
        <f aca="false" t="array" ref="AJ67:AJ67">IFERROR( AVERAGE(IF(DATOS_[Sexo]=$B67,IF(DATOS_[AGRUP. VALOR. PTO.]=$B66,IF(DATOS_[Check Periodo Ref.]="Dentro",DATOS_[Tot COMPL.SAL Ef],0)))), 0)</f>
        <v>0</v>
      </c>
      <c r="AK67" s="211" t="n">
        <f aca="false" t="array" ref="AK67:AK67">IFERROR( AVERAGE(IF(DATOS_[Sexo]=$B67,IF(DATOS_[AGRUP. VALOR. PTO.]=$B66,IF(DATOS_[Check Periodo Ref.]="Dentro",DATOS_[TOTAL SALARIO Ef],0)))), 0)</f>
        <v>0</v>
      </c>
      <c r="AL67" s="212" t="n">
        <f aca="false" t="array" ref="AL67:AL67">IFERROR( AVERAGE((IF(DATOS_[[Sexo]:[Sexo]]=$B67,IF(DATOS_[[AGRUP. VALOR. PTO.]:[AGRUP. VALOR. PTO.]]=$B66,IF(DATOS_[[Check Periodo Ref.]:[Check Periodo Ref.]]="Dentro",DATOS_[C.Extra.01]))))), 0)</f>
        <v>0</v>
      </c>
      <c r="AM67" s="212" t="n">
        <f aca="false" t="array" ref="AM67:AM67">IFERROR( AVERAGE((IF(DATOS_[[Sexo]:[Sexo]]=$B67,IF(DATOS_[[AGRUP. VALOR. PTO.]:[AGRUP. VALOR. PTO.]]=$B66,IF(DATOS_[[Check Periodo Ref.]:[Check Periodo Ref.]]="Dentro",DATOS_[C.Extra.02]))))), 0)</f>
        <v>0</v>
      </c>
      <c r="AN67" s="212" t="n">
        <f aca="false" t="array" ref="AN67:AN67">IFERROR( AVERAGE((IF(DATOS_[[Sexo]:[Sexo]]=$B67,IF(DATOS_[[AGRUP. VALOR. PTO.]:[AGRUP. VALOR. PTO.]]=$B66,IF(DATOS_[[Check Periodo Ref.]:[Check Periodo Ref.]]="Dentro",DATOS_[C.Extra.03]))))), 0)</f>
        <v>0</v>
      </c>
      <c r="AO67" s="212" t="n">
        <f aca="false" t="array" ref="AO67:AO67">IFERROR( AVERAGE((IF(DATOS_[[Sexo]:[Sexo]]=$B67,IF(DATOS_[[AGRUP. VALOR. PTO.]:[AGRUP. VALOR. PTO.]]=$B66,IF(DATOS_[[Check Periodo Ref.]:[Check Periodo Ref.]]="Dentro",DATOS_[C.Extra.04]))))), 0)</f>
        <v>0</v>
      </c>
      <c r="AP67" s="212" t="n">
        <f aca="false" t="array" ref="AP67:AP67">IFERROR( AVERAGE((IF(DATOS_[[Sexo]:[Sexo]]=$B67,IF(DATOS_[[AGRUP. VALOR. PTO.]:[AGRUP. VALOR. PTO.]]=$B66,IF(DATOS_[[Check Periodo Ref.]:[Check Periodo Ref.]]="Dentro",DATOS_[C.Extra.05]))))), 0)</f>
        <v>0</v>
      </c>
      <c r="AQ67" s="213" t="n">
        <f aca="false" t="array" ref="AQ67:AQ67">IFERROR( AVERAGE(IF(DATOS_[Sexo]=$B67,IF(DATOS_[AGRUP. VALOR. PTO.]=$B66,IF(DATOS_[Check Periodo Ref.]="Dentro",DATOS_[Tot Extrasalarial Ef],0)))), 0)</f>
        <v>0</v>
      </c>
      <c r="AR67" s="214" t="n">
        <f aca="false" t="array" ref="AR67:AR67">IFERROR( AVERAGE(IF(DATOS_[Sexo]=$B67,IF(DATOS_[AGRUP. VALOR. PTO.]=$B66,IF(DATOS_[Check Periodo Ref.]="Dentro",DATOS_[TOTAL Retrib Ef],0)))), 0)</f>
        <v>0</v>
      </c>
    </row>
    <row r="68" customFormat="false" ht="14.25" hidden="false" customHeight="false" outlineLevel="0" collapsed="false">
      <c r="A68" s="191" t="str">
        <f aca="false">+A67</f>
        <v>[ocultar]</v>
      </c>
      <c r="B68" s="205" t="s">
        <v>372</v>
      </c>
      <c r="C68" s="206" t="n">
        <f aca="false" t="array" ref="C68:C68">SUM(IF($B68=DATOS_[Sexo], IF($B66=DATOS_[AGRUP. VALOR. PTO.], IF("Dentro"=DATOS_[Check Periodo Ref.], 1/(COUNTIFS(DATOS_[Sexo],$B68,DATOS_[AGRUP. VALOR. PTO.],$B66,DATOS_[Check Periodo Ref.],"Dentro",DATOS_[id],DATOS_[id]))))))</f>
        <v>0</v>
      </c>
      <c r="D68" s="207" t="n">
        <f aca="false">COUNTIFS(DATOS_[AGRUP. VALOR. PTO.],$B66,DATOS_[Sexo],$B68,DATOS_[Check Periodo Ref.],"Dentro")</f>
        <v>0</v>
      </c>
      <c r="E68" s="208" t="n">
        <f aca="false" t="array" ref="E68:E68">IFERROR( AVERAGE(IF(DATOS_[Sexo]=$B68,IF(DATOS_[AGRUP. VALOR. PTO.]=$B66,IF(DATOS_[Check Periodo Ref.]="Dentro",DATOS_[SALARIO BASE Ef],0)))), 0)</f>
        <v>0</v>
      </c>
      <c r="F68" s="209" t="n">
        <f aca="false" t="array" ref="F68:F68">IFERROR( AVERAGE((IF(DATOS_[[Sexo]:[Sexo]]=$B68,IF(DATOS_[[AGRUP. VALOR. PTO.]:[AGRUP. VALOR. PTO.]]=$B66,IF(DATOS_[[Check Periodo Ref.]:[Check Periodo Ref.]]="Dentro",DATOS_[Conc.Sal.01]))))), 0)</f>
        <v>0</v>
      </c>
      <c r="G68" s="209" t="n">
        <f aca="false" t="array" ref="G68:G68">IFERROR( AVERAGE((IF(DATOS_[[Sexo]:[Sexo]]=$B68,IF(DATOS_[[AGRUP. VALOR. PTO.]:[AGRUP. VALOR. PTO.]]=$B66,IF(DATOS_[[Check Periodo Ref.]:[Check Periodo Ref.]]="Dentro",DATOS_[Conc.Sal.02]))))), 0)</f>
        <v>0</v>
      </c>
      <c r="H68" s="209" t="n">
        <f aca="false" t="array" ref="H68:H68">IFERROR( AVERAGE((IF(DATOS_[[Sexo]:[Sexo]]=$B68,IF(DATOS_[[AGRUP. VALOR. PTO.]:[AGRUP. VALOR. PTO.]]=$B66,IF(DATOS_[[Check Periodo Ref.]:[Check Periodo Ref.]]="Dentro",DATOS_[Conc.Sal.03]))))), 0)</f>
        <v>0</v>
      </c>
      <c r="I68" s="209" t="n">
        <f aca="false" t="array" ref="I68:I68">IFERROR( AVERAGE((IF(DATOS_[[Sexo]:[Sexo]]=$B68,IF(DATOS_[[AGRUP. VALOR. PTO.]:[AGRUP. VALOR. PTO.]]=$B66,IF(DATOS_[[Check Periodo Ref.]:[Check Periodo Ref.]]="Dentro",DATOS_[Conc.Sal.04]))))), 0)</f>
        <v>0</v>
      </c>
      <c r="J68" s="209" t="n">
        <f aca="false" t="array" ref="J68:J68">IFERROR( AVERAGE((IF(DATOS_[[Sexo]:[Sexo]]=$B68,IF(DATOS_[[AGRUP. VALOR. PTO.]:[AGRUP. VALOR. PTO.]]=$B66,IF(DATOS_[[Check Periodo Ref.]:[Check Periodo Ref.]]="Dentro",DATOS_[Conc.Sal.05]))))), 0)</f>
        <v>0</v>
      </c>
      <c r="K68" s="209" t="n">
        <f aca="false" t="array" ref="K68:K68">IFERROR( AVERAGE((IF(DATOS_[[Sexo]:[Sexo]]=$B68,IF(DATOS_[[AGRUP. VALOR. PTO.]:[AGRUP. VALOR. PTO.]]=$B66,IF(DATOS_[[Check Periodo Ref.]:[Check Periodo Ref.]]="Dentro",DATOS_[Conc.Sal.06]))))), 0)</f>
        <v>0</v>
      </c>
      <c r="L68" s="209" t="n">
        <f aca="false" t="array" ref="L68:L68">IFERROR( AVERAGE((IF(DATOS_[[Sexo]:[Sexo]]=$B68,IF(DATOS_[[AGRUP. VALOR. PTO.]:[AGRUP. VALOR. PTO.]]=$B66,IF(DATOS_[[Check Periodo Ref.]:[Check Periodo Ref.]]="Dentro",DATOS_[Conc.Sal.07]))))), 0)</f>
        <v>0</v>
      </c>
      <c r="M68" s="209" t="n">
        <f aca="false" t="array" ref="M68:M68">IFERROR( AVERAGE((IF(DATOS_[[Sexo]:[Sexo]]=$B68,IF(DATOS_[[AGRUP. VALOR. PTO.]:[AGRUP. VALOR. PTO.]]=$B66,IF(DATOS_[[Check Periodo Ref.]:[Check Periodo Ref.]]="Dentro",DATOS_[Conc.Sal.08]))))), 0)</f>
        <v>0</v>
      </c>
      <c r="N68" s="209" t="n">
        <f aca="false" t="array" ref="N68:N68">IFERROR( AVERAGE((IF(DATOS_[[Sexo]:[Sexo]]=$B68,IF(DATOS_[[AGRUP. VALOR. PTO.]:[AGRUP. VALOR. PTO.]]=$B66,IF(DATOS_[[Check Periodo Ref.]:[Check Periodo Ref.]]="Dentro",DATOS_[Conc.Sal.09]))))), 0)</f>
        <v>0</v>
      </c>
      <c r="O68" s="209" t="n">
        <f aca="false" t="array" ref="O68:O68">IFERROR( AVERAGE((IF(DATOS_[[Sexo]:[Sexo]]=$B68,IF(DATOS_[[AGRUP. VALOR. PTO.]:[AGRUP. VALOR. PTO.]]=$B66,IF(DATOS_[[Check Periodo Ref.]:[Check Periodo Ref.]]="Dentro",DATOS_[Conc.Sal.10]))))), 0)</f>
        <v>0</v>
      </c>
      <c r="P68" s="209" t="n">
        <f aca="false" t="array" ref="P68:P68">IFERROR( AVERAGE((IF(DATOS_[[Sexo]:[Sexo]]=$B68,IF(DATOS_[[AGRUP. VALOR. PTO.]:[AGRUP. VALOR. PTO.]]=$B66,IF(DATOS_[[Check Periodo Ref.]:[Check Periodo Ref.]]="Dentro",DATOS_[Conc.Sal.11]))))), 0)</f>
        <v>0</v>
      </c>
      <c r="Q68" s="209" t="n">
        <f aca="false" t="array" ref="Q68:Q68">IFERROR( AVERAGE((IF(DATOS_[[Sexo]:[Sexo]]=$B68,IF(DATOS_[[AGRUP. VALOR. PTO.]:[AGRUP. VALOR. PTO.]]=$B66,IF(DATOS_[[Check Periodo Ref.]:[Check Periodo Ref.]]="Dentro",DATOS_[Conc.Sal.12]))))), 0)</f>
        <v>0</v>
      </c>
      <c r="R68" s="209" t="n">
        <f aca="false" t="array" ref="R68:R68">IFERROR( AVERAGE((IF(DATOS_[[Sexo]:[Sexo]]=$B68,IF(DATOS_[[AGRUP. VALOR. PTO.]:[AGRUP. VALOR. PTO.]]=$B66,IF(DATOS_[[Check Periodo Ref.]:[Check Periodo Ref.]]="Dentro",DATOS_[Conc.Sal.13]))))), 0)</f>
        <v>0</v>
      </c>
      <c r="S68" s="209" t="n">
        <f aca="false" t="array" ref="S68:S68">IFERROR( AVERAGE((IF(DATOS_[[Sexo]:[Sexo]]=$B68,IF(DATOS_[[AGRUP. VALOR. PTO.]:[AGRUP. VALOR. PTO.]]=$B66,IF(DATOS_[[Check Periodo Ref.]:[Check Periodo Ref.]]="Dentro",DATOS_[Conc.Sal.14]))))), 0)</f>
        <v>0</v>
      </c>
      <c r="T68" s="209" t="n">
        <f aca="false" t="array" ref="T68:T68">IFERROR( AVERAGE((IF(DATOS_[[Sexo]:[Sexo]]=$B68,IF(DATOS_[[AGRUP. VALOR. PTO.]:[AGRUP. VALOR. PTO.]]=$B66,IF(DATOS_[[Check Periodo Ref.]:[Check Periodo Ref.]]="Dentro",DATOS_[Conc.Sal.15]))))), 0)</f>
        <v>0</v>
      </c>
      <c r="U68" s="209" t="n">
        <f aca="false" t="array" ref="U68:U68">IFERROR( AVERAGE((IF(DATOS_[[Sexo]:[Sexo]]=$B68,IF(DATOS_[[AGRUP. VALOR. PTO.]:[AGRUP. VALOR. PTO.]]=$B66,IF(DATOS_[[Check Periodo Ref.]:[Check Periodo Ref.]]="Dentro",DATOS_[Conc.Sal.16]))))), 0)</f>
        <v>0</v>
      </c>
      <c r="V68" s="209" t="n">
        <f aca="false" t="array" ref="V68:V68">IFERROR( AVERAGE((IF(DATOS_[[Sexo]:[Sexo]]=$B68,IF(DATOS_[[AGRUP. VALOR. PTO.]:[AGRUP. VALOR. PTO.]]=$B66,IF(DATOS_[[Check Periodo Ref.]:[Check Periodo Ref.]]="Dentro",DATOS_[Conc.Sal.17]))))), 0)</f>
        <v>0</v>
      </c>
      <c r="W68" s="209" t="n">
        <f aca="false" t="array" ref="W68:W68">IFERROR( AVERAGE((IF(DATOS_[[Sexo]:[Sexo]]=$B68,IF(DATOS_[[AGRUP. VALOR. PTO.]:[AGRUP. VALOR. PTO.]]=$B66,IF(DATOS_[[Check Periodo Ref.]:[Check Periodo Ref.]]="Dentro",DATOS_[Conc.Sal.18]))))), 0)</f>
        <v>0</v>
      </c>
      <c r="X68" s="209" t="n">
        <f aca="false" t="array" ref="X68:X68">IFERROR( AVERAGE((IF(DATOS_[[Sexo]:[Sexo]]=$B68,IF(DATOS_[[AGRUP. VALOR. PTO.]:[AGRUP. VALOR. PTO.]]=$B66,IF(DATOS_[[Check Periodo Ref.]:[Check Periodo Ref.]]="Dentro",DATOS_[Conc.Sal.19]))))), 0)</f>
        <v>0</v>
      </c>
      <c r="Y68" s="209" t="n">
        <f aca="false" t="array" ref="Y68:Y68">IFERROR( AVERAGE((IF(DATOS_[[Sexo]:[Sexo]]=$B68,IF(DATOS_[[AGRUP. VALOR. PTO.]:[AGRUP. VALOR. PTO.]]=$B66,IF(DATOS_[[Check Periodo Ref.]:[Check Periodo Ref.]]="Dentro",DATOS_[Conc.Sal.20]))))), 0)</f>
        <v>0</v>
      </c>
      <c r="Z68" s="209" t="n">
        <f aca="false" t="array" ref="Z68:Z68">IFERROR( AVERAGE((IF(DATOS_[[Sexo]:[Sexo]]=$B68,IF(DATOS_[[AGRUP. VALOR. PTO.]:[AGRUP. VALOR. PTO.]]=$B66,IF(DATOS_[[Check Periodo Ref.]:[Check Periodo Ref.]]="Dentro",DATOS_[Conc.Sal.21]))))), 0)</f>
        <v>0</v>
      </c>
      <c r="AA68" s="209" t="n">
        <f aca="false" t="array" ref="AA68:AA68">IFERROR( AVERAGE((IF(DATOS_[[Sexo]:[Sexo]]=$B68,IF(DATOS_[[AGRUP. VALOR. PTO.]:[AGRUP. VALOR. PTO.]]=$B66,IF(DATOS_[[Check Periodo Ref.]:[Check Periodo Ref.]]="Dentro",DATOS_[Conc.Sal.22]))))), 0)</f>
        <v>0</v>
      </c>
      <c r="AB68" s="209" t="n">
        <f aca="false" t="array" ref="AB68:AB68">IFERROR( AVERAGE((IF(DATOS_[[Sexo]:[Sexo]]=$B68,IF(DATOS_[[AGRUP. VALOR. PTO.]:[AGRUP. VALOR. PTO.]]=$B66,IF(DATOS_[[Check Periodo Ref.]:[Check Periodo Ref.]]="Dentro",DATOS_[Conc.Sal.23]))))), 0)</f>
        <v>0</v>
      </c>
      <c r="AC68" s="209" t="n">
        <f aca="false" t="array" ref="AC68:AC68">IFERROR( AVERAGE((IF(DATOS_[[Sexo]:[Sexo]]=$B68,IF(DATOS_[[AGRUP. VALOR. PTO.]:[AGRUP. VALOR. PTO.]]=$B66,IF(DATOS_[[Check Periodo Ref.]:[Check Periodo Ref.]]="Dentro",DATOS_[Conc.Sal.24]))))), 0)</f>
        <v>0</v>
      </c>
      <c r="AD68" s="209" t="n">
        <f aca="false" t="array" ref="AD68:AD68">IFERROR( AVERAGE((IF(DATOS_[[Sexo]:[Sexo]]=$B68,IF(DATOS_[[AGRUP. VALOR. PTO.]:[AGRUP. VALOR. PTO.]]=$B66,IF(DATOS_[[Check Periodo Ref.]:[Check Periodo Ref.]]="Dentro",DATOS_[Conc.Sal.25]))))), 0)</f>
        <v>0</v>
      </c>
      <c r="AE68" s="209" t="n">
        <f aca="false" t="array" ref="AE68:AE68">IFERROR( AVERAGE((IF(DATOS_[[Sexo]:[Sexo]]=$B68,IF(DATOS_[[AGRUP. VALOR. PTO.]:[AGRUP. VALOR. PTO.]]=$B66,IF(DATOS_[[Check Periodo Ref.]:[Check Periodo Ref.]]="Dentro",DATOS_[Conc.Sal.26]))))), 0)</f>
        <v>0</v>
      </c>
      <c r="AF68" s="209" t="n">
        <f aca="false" t="array" ref="AF68:AF68">IFERROR( AVERAGE((IF(DATOS_[[Sexo]:[Sexo]]=$B68,IF(DATOS_[[AGRUP. VALOR. PTO.]:[AGRUP. VALOR. PTO.]]=$B66,IF(DATOS_[[Check Periodo Ref.]:[Check Periodo Ref.]]="Dentro",DATOS_[Conc.Sal.27]))))), 0)</f>
        <v>0</v>
      </c>
      <c r="AG68" s="209" t="n">
        <f aca="false" t="array" ref="AG68:AG68">IFERROR( AVERAGE((IF(DATOS_[[Sexo]:[Sexo]]=$B68,IF(DATOS_[[AGRUP. VALOR. PTO.]:[AGRUP. VALOR. PTO.]]=$B66,IF(DATOS_[[Check Periodo Ref.]:[Check Periodo Ref.]]="Dentro",DATOS_[Conc.Sal.28]))))), 0)</f>
        <v>0</v>
      </c>
      <c r="AH68" s="209" t="n">
        <f aca="false" t="array" ref="AH68:AH68">IFERROR( AVERAGE((IF(DATOS_[[Sexo]:[Sexo]]=$B68,IF(DATOS_[[AGRUP. VALOR. PTO.]:[AGRUP. VALOR. PTO.]]=$B66,IF(DATOS_[[Check Periodo Ref.]:[Check Periodo Ref.]]="Dentro",DATOS_[Conc.Sal.29]))))), 0)</f>
        <v>0</v>
      </c>
      <c r="AI68" s="209" t="n">
        <f aca="false" t="array" ref="AI68:AI68">IFERROR( AVERAGE((IF(DATOS_[[Sexo]:[Sexo]]=$B68,IF(DATOS_[[AGRUP. VALOR. PTO.]:[AGRUP. VALOR. PTO.]]=$B66,IF(DATOS_[[Check Periodo Ref.]:[Check Periodo Ref.]]="Dentro",DATOS_[Conc.Sal.30]))))), 0)</f>
        <v>0</v>
      </c>
      <c r="AJ68" s="210" t="n">
        <f aca="false" t="array" ref="AJ68:AJ68">IFERROR( AVERAGE(IF(DATOS_[Sexo]=$B68,IF(DATOS_[AGRUP. VALOR. PTO.]=$B66,IF(DATOS_[Check Periodo Ref.]="Dentro",DATOS_[Tot COMPL.SAL Ef],0)))), 0)</f>
        <v>0</v>
      </c>
      <c r="AK68" s="211" t="n">
        <f aca="false" t="array" ref="AK68:AK68">IFERROR( AVERAGE(IF(DATOS_[Sexo]=$B68,IF(DATOS_[AGRUP. VALOR. PTO.]=$B66,IF(DATOS_[Check Periodo Ref.]="Dentro",DATOS_[TOTAL SALARIO Ef],0)))), 0)</f>
        <v>0</v>
      </c>
      <c r="AL68" s="212" t="n">
        <f aca="false" t="array" ref="AL68:AL68">IFERROR( AVERAGE((IF(DATOS_[[Sexo]:[Sexo]]=$B68,IF(DATOS_[[AGRUP. VALOR. PTO.]:[AGRUP. VALOR. PTO.]]=$B66,IF(DATOS_[[Check Periodo Ref.]:[Check Periodo Ref.]]="Dentro",DATOS_[C.Extra.01]))))), 0)</f>
        <v>0</v>
      </c>
      <c r="AM68" s="212" t="n">
        <f aca="false" t="array" ref="AM68:AM68">IFERROR( AVERAGE((IF(DATOS_[[Sexo]:[Sexo]]=$B68,IF(DATOS_[[AGRUP. VALOR. PTO.]:[AGRUP. VALOR. PTO.]]=$B66,IF(DATOS_[[Check Periodo Ref.]:[Check Periodo Ref.]]="Dentro",DATOS_[C.Extra.02]))))), 0)</f>
        <v>0</v>
      </c>
      <c r="AN68" s="212" t="n">
        <f aca="false" t="array" ref="AN68:AN68">IFERROR( AVERAGE((IF(DATOS_[[Sexo]:[Sexo]]=$B68,IF(DATOS_[[AGRUP. VALOR. PTO.]:[AGRUP. VALOR. PTO.]]=$B66,IF(DATOS_[[Check Periodo Ref.]:[Check Periodo Ref.]]="Dentro",DATOS_[C.Extra.03]))))), 0)</f>
        <v>0</v>
      </c>
      <c r="AO68" s="212" t="n">
        <f aca="false" t="array" ref="AO68:AO68">IFERROR( AVERAGE((IF(DATOS_[[Sexo]:[Sexo]]=$B68,IF(DATOS_[[AGRUP. VALOR. PTO.]:[AGRUP. VALOR. PTO.]]=$B66,IF(DATOS_[[Check Periodo Ref.]:[Check Periodo Ref.]]="Dentro",DATOS_[C.Extra.04]))))), 0)</f>
        <v>0</v>
      </c>
      <c r="AP68" s="212" t="n">
        <f aca="false" t="array" ref="AP68:AP68">IFERROR( AVERAGE((IF(DATOS_[[Sexo]:[Sexo]]=$B68,IF(DATOS_[[AGRUP. VALOR. PTO.]:[AGRUP. VALOR. PTO.]]=$B66,IF(DATOS_[[Check Periodo Ref.]:[Check Periodo Ref.]]="Dentro",DATOS_[C.Extra.05]))))), 0)</f>
        <v>0</v>
      </c>
      <c r="AQ68" s="213" t="n">
        <f aca="false" t="array" ref="AQ68:AQ68">IFERROR( AVERAGE(IF(DATOS_[Sexo]=$B68,IF(DATOS_[AGRUP. VALOR. PTO.]=$B66,IF(DATOS_[Check Periodo Ref.]="Dentro",DATOS_[Tot Extrasalarial Ef],0)))), 0)</f>
        <v>0</v>
      </c>
      <c r="AR68" s="214" t="n">
        <f aca="false" t="array" ref="AR68:AR68">IFERROR( AVERAGE(IF(DATOS_[Sexo]=$B68,IF(DATOS_[AGRUP. VALOR. PTO.]=$B66,IF(DATOS_[Check Periodo Ref.]="Dentro",DATOS_[TOTAL Retrib Ef],0)))), 0)</f>
        <v>0</v>
      </c>
    </row>
    <row r="69" customFormat="false" ht="15.75" hidden="false" customHeight="false" outlineLevel="0" collapsed="false">
      <c r="A69" s="191" t="str">
        <f aca="false">+A70</f>
        <v>[ocultar]</v>
      </c>
      <c r="B69" s="192" t="s">
        <v>223</v>
      </c>
      <c r="C69" s="193"/>
      <c r="D69" s="194"/>
      <c r="E69" s="195" t="str">
        <f aca="false">IFERROR((E70-E71)/E70,"")</f>
        <v/>
      </c>
      <c r="F69" s="196" t="str">
        <f aca="false">IFERROR((F70-F71)/F70,"")</f>
        <v/>
      </c>
      <c r="G69" s="197" t="str">
        <f aca="false">IFERROR((G70-G71)/G70,"")</f>
        <v/>
      </c>
      <c r="H69" s="197" t="str">
        <f aca="false">IFERROR((H70-H71)/H70,"")</f>
        <v/>
      </c>
      <c r="I69" s="197" t="str">
        <f aca="false">IFERROR((I70-I71)/I70,"")</f>
        <v/>
      </c>
      <c r="J69" s="198" t="str">
        <f aca="false">IFERROR((J70-J71)/J70,"")</f>
        <v/>
      </c>
      <c r="K69" s="199" t="str">
        <f aca="false">IFERROR((K70-K71)/K70,"")</f>
        <v/>
      </c>
      <c r="L69" s="199" t="str">
        <f aca="false">IFERROR((L70-L71)/L70,"")</f>
        <v/>
      </c>
      <c r="M69" s="199" t="str">
        <f aca="false">IFERROR((M70-M71)/M70,"")</f>
        <v/>
      </c>
      <c r="N69" s="199" t="str">
        <f aca="false">IFERROR((N70-N71)/N70,"")</f>
        <v/>
      </c>
      <c r="O69" s="199" t="str">
        <f aca="false">IFERROR((O70-O71)/O70,"")</f>
        <v/>
      </c>
      <c r="P69" s="199" t="str">
        <f aca="false">IFERROR((P70-P71)/P70,"")</f>
        <v/>
      </c>
      <c r="Q69" s="199" t="str">
        <f aca="false">IFERROR((Q70-Q71)/Q70,"")</f>
        <v/>
      </c>
      <c r="R69" s="199" t="str">
        <f aca="false">IFERROR((R70-R71)/R70,"")</f>
        <v/>
      </c>
      <c r="S69" s="199" t="str">
        <f aca="false">IFERROR((S70-S71)/S70,"")</f>
        <v/>
      </c>
      <c r="T69" s="199" t="str">
        <f aca="false">IFERROR((T70-T71)/T70,"")</f>
        <v/>
      </c>
      <c r="U69" s="199" t="str">
        <f aca="false">IFERROR((U70-U71)/U70,"")</f>
        <v/>
      </c>
      <c r="V69" s="198" t="str">
        <f aca="false">IFERROR((V70-V71)/V70,"")</f>
        <v/>
      </c>
      <c r="W69" s="198" t="str">
        <f aca="false">IFERROR((W70-W71)/W70,"")</f>
        <v/>
      </c>
      <c r="X69" s="198" t="str">
        <f aca="false">IFERROR((X70-X71)/X70,"")</f>
        <v/>
      </c>
      <c r="Y69" s="198" t="str">
        <f aca="false">IFERROR((Y70-Y71)/Y70,"")</f>
        <v/>
      </c>
      <c r="Z69" s="198" t="str">
        <f aca="false">IFERROR((Z70-Z71)/Z70,"")</f>
        <v/>
      </c>
      <c r="AA69" s="198" t="str">
        <f aca="false">IFERROR((AA70-AA71)/AA70,"")</f>
        <v/>
      </c>
      <c r="AB69" s="198" t="str">
        <f aca="false">IFERROR((AB70-AB71)/AB70,"")</f>
        <v/>
      </c>
      <c r="AC69" s="198" t="str">
        <f aca="false">IFERROR((AC70-AC71)/AC70,"")</f>
        <v/>
      </c>
      <c r="AD69" s="198" t="str">
        <f aca="false">IFERROR((AD70-AD71)/AD70,"")</f>
        <v/>
      </c>
      <c r="AE69" s="198" t="str">
        <f aca="false">IFERROR((AE70-AE71)/AE70,"")</f>
        <v/>
      </c>
      <c r="AF69" s="198" t="str">
        <f aca="false">IFERROR((AF70-AF71)/AF70,"")</f>
        <v/>
      </c>
      <c r="AG69" s="198" t="str">
        <f aca="false">IFERROR((AG70-AG71)/AG70,"")</f>
        <v/>
      </c>
      <c r="AH69" s="198" t="str">
        <f aca="false">IFERROR((AH70-AH71)/AH70,"")</f>
        <v/>
      </c>
      <c r="AI69" s="198" t="str">
        <f aca="false">IFERROR((AI70-AI71)/AI70,"")</f>
        <v/>
      </c>
      <c r="AJ69" s="200" t="str">
        <f aca="false">IFERROR((AJ70-AJ71)/AJ70,"")</f>
        <v/>
      </c>
      <c r="AK69" s="201" t="str">
        <f aca="false">IFERROR((AK70-AK71)/AK70,"")</f>
        <v/>
      </c>
      <c r="AL69" s="202" t="str">
        <f aca="false">IFERROR((AL70-AL71)/AL70,"")</f>
        <v/>
      </c>
      <c r="AM69" s="202" t="str">
        <f aca="false">IFERROR((AM70-AM71)/AM70,"")</f>
        <v/>
      </c>
      <c r="AN69" s="202" t="str">
        <f aca="false">IFERROR((AN70-AN71)/AN70,"")</f>
        <v/>
      </c>
      <c r="AO69" s="202" t="str">
        <f aca="false">IFERROR((AO70-AO71)/AO70,"")</f>
        <v/>
      </c>
      <c r="AP69" s="202" t="str">
        <f aca="false">IFERROR((AP70-AP71)/AP70,"")</f>
        <v/>
      </c>
      <c r="AQ69" s="203" t="str">
        <f aca="false">IFERROR((AQ70-AQ71)/AQ70,"")</f>
        <v/>
      </c>
      <c r="AR69" s="204" t="str">
        <f aca="false">IFERROR((AR70-AR71)/AR70,"")</f>
        <v/>
      </c>
    </row>
    <row r="70" customFormat="false" ht="14.25" hidden="false" customHeight="false" outlineLevel="0" collapsed="false">
      <c r="A70" s="191" t="str">
        <f aca="false">+IF(C70+C71=0,"[ocultar]","")</f>
        <v>[ocultar]</v>
      </c>
      <c r="B70" s="205" t="s">
        <v>371</v>
      </c>
      <c r="C70" s="206" t="n">
        <f aca="false" t="array" ref="C70:C70">SUM(IF($B70=DATOS_[Sexo], IF($B69=DATOS_[AGRUP. VALOR. PTO.], IF("Dentro"=DATOS_[Check Periodo Ref.], 1/(COUNTIFS(DATOS_[Sexo],$B70,DATOS_[AGRUP. VALOR. PTO.],$B69,DATOS_[Check Periodo Ref.],"Dentro",DATOS_[id],DATOS_[id]))))))</f>
        <v>0</v>
      </c>
      <c r="D70" s="207" t="n">
        <f aca="false">COUNTIFS(DATOS_[AGRUP. VALOR. PTO.],$B69,DATOS_[Sexo],$B70,DATOS_[Check Periodo Ref.],"Dentro")</f>
        <v>0</v>
      </c>
      <c r="E70" s="208" t="n">
        <f aca="false" t="array" ref="E70:E70">IFERROR( AVERAGE(IF(DATOS_[Sexo]=$B70,IF(DATOS_[AGRUP. VALOR. PTO.]=$B69,IF(DATOS_[Check Periodo Ref.]="Dentro",DATOS_[SALARIO BASE Ef],0)))), 0)</f>
        <v>0</v>
      </c>
      <c r="F70" s="209" t="n">
        <f aca="false" t="array" ref="F70:F70">IFERROR( AVERAGE((IF(DATOS_[[Sexo]:[Sexo]]=$B70,IF(DATOS_[[AGRUP. VALOR. PTO.]:[AGRUP. VALOR. PTO.]]=$B69,IF(DATOS_[[Check Periodo Ref.]:[Check Periodo Ref.]]="Dentro",DATOS_[Conc.Sal.01]))))), 0)</f>
        <v>0</v>
      </c>
      <c r="G70" s="209" t="n">
        <f aca="false" t="array" ref="G70:G70">IFERROR( AVERAGE((IF(DATOS_[[Sexo]:[Sexo]]=$B70,IF(DATOS_[[AGRUP. VALOR. PTO.]:[AGRUP. VALOR. PTO.]]=$B69,IF(DATOS_[[Check Periodo Ref.]:[Check Periodo Ref.]]="Dentro",DATOS_[Conc.Sal.02]))))), 0)</f>
        <v>0</v>
      </c>
      <c r="H70" s="209" t="n">
        <f aca="false" t="array" ref="H70:H70">IFERROR( AVERAGE((IF(DATOS_[[Sexo]:[Sexo]]=$B70,IF(DATOS_[[AGRUP. VALOR. PTO.]:[AGRUP. VALOR. PTO.]]=$B69,IF(DATOS_[[Check Periodo Ref.]:[Check Periodo Ref.]]="Dentro",DATOS_[Conc.Sal.03]))))), 0)</f>
        <v>0</v>
      </c>
      <c r="I70" s="209" t="n">
        <f aca="false" t="array" ref="I70:I70">IFERROR( AVERAGE((IF(DATOS_[[Sexo]:[Sexo]]=$B70,IF(DATOS_[[AGRUP. VALOR. PTO.]:[AGRUP. VALOR. PTO.]]=$B69,IF(DATOS_[[Check Periodo Ref.]:[Check Periodo Ref.]]="Dentro",DATOS_[Conc.Sal.04]))))), 0)</f>
        <v>0</v>
      </c>
      <c r="J70" s="209" t="n">
        <f aca="false" t="array" ref="J70:J70">IFERROR( AVERAGE((IF(DATOS_[[Sexo]:[Sexo]]=$B70,IF(DATOS_[[AGRUP. VALOR. PTO.]:[AGRUP. VALOR. PTO.]]=$B69,IF(DATOS_[[Check Periodo Ref.]:[Check Periodo Ref.]]="Dentro",DATOS_[Conc.Sal.05]))))), 0)</f>
        <v>0</v>
      </c>
      <c r="K70" s="209" t="n">
        <f aca="false" t="array" ref="K70:K70">IFERROR( AVERAGE((IF(DATOS_[[Sexo]:[Sexo]]=$B70,IF(DATOS_[[AGRUP. VALOR. PTO.]:[AGRUP. VALOR. PTO.]]=$B69,IF(DATOS_[[Check Periodo Ref.]:[Check Periodo Ref.]]="Dentro",DATOS_[Conc.Sal.06]))))), 0)</f>
        <v>0</v>
      </c>
      <c r="L70" s="209" t="n">
        <f aca="false" t="array" ref="L70:L70">IFERROR( AVERAGE((IF(DATOS_[[Sexo]:[Sexo]]=$B70,IF(DATOS_[[AGRUP. VALOR. PTO.]:[AGRUP. VALOR. PTO.]]=$B69,IF(DATOS_[[Check Periodo Ref.]:[Check Periodo Ref.]]="Dentro",DATOS_[Conc.Sal.07]))))), 0)</f>
        <v>0</v>
      </c>
      <c r="M70" s="209" t="n">
        <f aca="false" t="array" ref="M70:M70">IFERROR( AVERAGE((IF(DATOS_[[Sexo]:[Sexo]]=$B70,IF(DATOS_[[AGRUP. VALOR. PTO.]:[AGRUP. VALOR. PTO.]]=$B69,IF(DATOS_[[Check Periodo Ref.]:[Check Periodo Ref.]]="Dentro",DATOS_[Conc.Sal.08]))))), 0)</f>
        <v>0</v>
      </c>
      <c r="N70" s="209" t="n">
        <f aca="false" t="array" ref="N70:N70">IFERROR( AVERAGE((IF(DATOS_[[Sexo]:[Sexo]]=$B70,IF(DATOS_[[AGRUP. VALOR. PTO.]:[AGRUP. VALOR. PTO.]]=$B69,IF(DATOS_[[Check Periodo Ref.]:[Check Periodo Ref.]]="Dentro",DATOS_[Conc.Sal.09]))))), 0)</f>
        <v>0</v>
      </c>
      <c r="O70" s="209" t="n">
        <f aca="false" t="array" ref="O70:O70">IFERROR( AVERAGE((IF(DATOS_[[Sexo]:[Sexo]]=$B70,IF(DATOS_[[AGRUP. VALOR. PTO.]:[AGRUP. VALOR. PTO.]]=$B69,IF(DATOS_[[Check Periodo Ref.]:[Check Periodo Ref.]]="Dentro",DATOS_[Conc.Sal.10]))))), 0)</f>
        <v>0</v>
      </c>
      <c r="P70" s="209" t="n">
        <f aca="false" t="array" ref="P70:P70">IFERROR( AVERAGE((IF(DATOS_[[Sexo]:[Sexo]]=$B70,IF(DATOS_[[AGRUP. VALOR. PTO.]:[AGRUP. VALOR. PTO.]]=$B69,IF(DATOS_[[Check Periodo Ref.]:[Check Periodo Ref.]]="Dentro",DATOS_[Conc.Sal.11]))))), 0)</f>
        <v>0</v>
      </c>
      <c r="Q70" s="209" t="n">
        <f aca="false" t="array" ref="Q70:Q70">IFERROR( AVERAGE((IF(DATOS_[[Sexo]:[Sexo]]=$B70,IF(DATOS_[[AGRUP. VALOR. PTO.]:[AGRUP. VALOR. PTO.]]=$B69,IF(DATOS_[[Check Periodo Ref.]:[Check Periodo Ref.]]="Dentro",DATOS_[Conc.Sal.12]))))), 0)</f>
        <v>0</v>
      </c>
      <c r="R70" s="209" t="n">
        <f aca="false" t="array" ref="R70:R70">IFERROR( AVERAGE((IF(DATOS_[[Sexo]:[Sexo]]=$B70,IF(DATOS_[[AGRUP. VALOR. PTO.]:[AGRUP. VALOR. PTO.]]=$B69,IF(DATOS_[[Check Periodo Ref.]:[Check Periodo Ref.]]="Dentro",DATOS_[Conc.Sal.13]))))), 0)</f>
        <v>0</v>
      </c>
      <c r="S70" s="209" t="n">
        <f aca="false" t="array" ref="S70:S70">IFERROR( AVERAGE((IF(DATOS_[[Sexo]:[Sexo]]=$B70,IF(DATOS_[[AGRUP. VALOR. PTO.]:[AGRUP. VALOR. PTO.]]=$B69,IF(DATOS_[[Check Periodo Ref.]:[Check Periodo Ref.]]="Dentro",DATOS_[Conc.Sal.14]))))), 0)</f>
        <v>0</v>
      </c>
      <c r="T70" s="209" t="n">
        <f aca="false" t="array" ref="T70:T70">IFERROR( AVERAGE((IF(DATOS_[[Sexo]:[Sexo]]=$B70,IF(DATOS_[[AGRUP. VALOR. PTO.]:[AGRUP. VALOR. PTO.]]=$B69,IF(DATOS_[[Check Periodo Ref.]:[Check Periodo Ref.]]="Dentro",DATOS_[Conc.Sal.15]))))), 0)</f>
        <v>0</v>
      </c>
      <c r="U70" s="209" t="n">
        <f aca="false" t="array" ref="U70:U70">IFERROR( AVERAGE((IF(DATOS_[[Sexo]:[Sexo]]=$B70,IF(DATOS_[[AGRUP. VALOR. PTO.]:[AGRUP. VALOR. PTO.]]=$B69,IF(DATOS_[[Check Periodo Ref.]:[Check Periodo Ref.]]="Dentro",DATOS_[Conc.Sal.16]))))), 0)</f>
        <v>0</v>
      </c>
      <c r="V70" s="209" t="n">
        <f aca="false" t="array" ref="V70:V70">IFERROR( AVERAGE((IF(DATOS_[[Sexo]:[Sexo]]=$B70,IF(DATOS_[[AGRUP. VALOR. PTO.]:[AGRUP. VALOR. PTO.]]=$B69,IF(DATOS_[[Check Periodo Ref.]:[Check Periodo Ref.]]="Dentro",DATOS_[Conc.Sal.17]))))), 0)</f>
        <v>0</v>
      </c>
      <c r="W70" s="209" t="n">
        <f aca="false" t="array" ref="W70:W70">IFERROR( AVERAGE((IF(DATOS_[[Sexo]:[Sexo]]=$B70,IF(DATOS_[[AGRUP. VALOR. PTO.]:[AGRUP. VALOR. PTO.]]=$B69,IF(DATOS_[[Check Periodo Ref.]:[Check Periodo Ref.]]="Dentro",DATOS_[Conc.Sal.18]))))), 0)</f>
        <v>0</v>
      </c>
      <c r="X70" s="209" t="n">
        <f aca="false" t="array" ref="X70:X70">IFERROR( AVERAGE((IF(DATOS_[[Sexo]:[Sexo]]=$B70,IF(DATOS_[[AGRUP. VALOR. PTO.]:[AGRUP. VALOR. PTO.]]=$B69,IF(DATOS_[[Check Periodo Ref.]:[Check Periodo Ref.]]="Dentro",DATOS_[Conc.Sal.19]))))), 0)</f>
        <v>0</v>
      </c>
      <c r="Y70" s="209" t="n">
        <f aca="false" t="array" ref="Y70:Y70">IFERROR( AVERAGE((IF(DATOS_[[Sexo]:[Sexo]]=$B70,IF(DATOS_[[AGRUP. VALOR. PTO.]:[AGRUP. VALOR. PTO.]]=$B69,IF(DATOS_[[Check Periodo Ref.]:[Check Periodo Ref.]]="Dentro",DATOS_[Conc.Sal.20]))))), 0)</f>
        <v>0</v>
      </c>
      <c r="Z70" s="209" t="n">
        <f aca="false" t="array" ref="Z70:Z70">IFERROR( AVERAGE((IF(DATOS_[[Sexo]:[Sexo]]=$B70,IF(DATOS_[[AGRUP. VALOR. PTO.]:[AGRUP. VALOR. PTO.]]=$B69,IF(DATOS_[[Check Periodo Ref.]:[Check Periodo Ref.]]="Dentro",DATOS_[Conc.Sal.21]))))), 0)</f>
        <v>0</v>
      </c>
      <c r="AA70" s="209" t="n">
        <f aca="false" t="array" ref="AA70:AA70">IFERROR( AVERAGE((IF(DATOS_[[Sexo]:[Sexo]]=$B70,IF(DATOS_[[AGRUP. VALOR. PTO.]:[AGRUP. VALOR. PTO.]]=$B69,IF(DATOS_[[Check Periodo Ref.]:[Check Periodo Ref.]]="Dentro",DATOS_[Conc.Sal.22]))))), 0)</f>
        <v>0</v>
      </c>
      <c r="AB70" s="209" t="n">
        <f aca="false" t="array" ref="AB70:AB70">IFERROR( AVERAGE((IF(DATOS_[[Sexo]:[Sexo]]=$B70,IF(DATOS_[[AGRUP. VALOR. PTO.]:[AGRUP. VALOR. PTO.]]=$B69,IF(DATOS_[[Check Periodo Ref.]:[Check Periodo Ref.]]="Dentro",DATOS_[Conc.Sal.23]))))), 0)</f>
        <v>0</v>
      </c>
      <c r="AC70" s="209" t="n">
        <f aca="false" t="array" ref="AC70:AC70">IFERROR( AVERAGE((IF(DATOS_[[Sexo]:[Sexo]]=$B70,IF(DATOS_[[AGRUP. VALOR. PTO.]:[AGRUP. VALOR. PTO.]]=$B69,IF(DATOS_[[Check Periodo Ref.]:[Check Periodo Ref.]]="Dentro",DATOS_[Conc.Sal.24]))))), 0)</f>
        <v>0</v>
      </c>
      <c r="AD70" s="209" t="n">
        <f aca="false" t="array" ref="AD70:AD70">IFERROR( AVERAGE((IF(DATOS_[[Sexo]:[Sexo]]=$B70,IF(DATOS_[[AGRUP. VALOR. PTO.]:[AGRUP. VALOR. PTO.]]=$B69,IF(DATOS_[[Check Periodo Ref.]:[Check Periodo Ref.]]="Dentro",DATOS_[Conc.Sal.25]))))), 0)</f>
        <v>0</v>
      </c>
      <c r="AE70" s="209" t="n">
        <f aca="false" t="array" ref="AE70:AE70">IFERROR( AVERAGE((IF(DATOS_[[Sexo]:[Sexo]]=$B70,IF(DATOS_[[AGRUP. VALOR. PTO.]:[AGRUP. VALOR. PTO.]]=$B69,IF(DATOS_[[Check Periodo Ref.]:[Check Periodo Ref.]]="Dentro",DATOS_[Conc.Sal.26]))))), 0)</f>
        <v>0</v>
      </c>
      <c r="AF70" s="209" t="n">
        <f aca="false" t="array" ref="AF70:AF70">IFERROR( AVERAGE((IF(DATOS_[[Sexo]:[Sexo]]=$B70,IF(DATOS_[[AGRUP. VALOR. PTO.]:[AGRUP. VALOR. PTO.]]=$B69,IF(DATOS_[[Check Periodo Ref.]:[Check Periodo Ref.]]="Dentro",DATOS_[Conc.Sal.27]))))), 0)</f>
        <v>0</v>
      </c>
      <c r="AG70" s="209" t="n">
        <f aca="false" t="array" ref="AG70:AG70">IFERROR( AVERAGE((IF(DATOS_[[Sexo]:[Sexo]]=$B70,IF(DATOS_[[AGRUP. VALOR. PTO.]:[AGRUP. VALOR. PTO.]]=$B69,IF(DATOS_[[Check Periodo Ref.]:[Check Periodo Ref.]]="Dentro",DATOS_[Conc.Sal.28]))))), 0)</f>
        <v>0</v>
      </c>
      <c r="AH70" s="209" t="n">
        <f aca="false" t="array" ref="AH70:AH70">IFERROR( AVERAGE((IF(DATOS_[[Sexo]:[Sexo]]=$B70,IF(DATOS_[[AGRUP. VALOR. PTO.]:[AGRUP. VALOR. PTO.]]=$B69,IF(DATOS_[[Check Periodo Ref.]:[Check Periodo Ref.]]="Dentro",DATOS_[Conc.Sal.29]))))), 0)</f>
        <v>0</v>
      </c>
      <c r="AI70" s="209" t="n">
        <f aca="false" t="array" ref="AI70:AI70">IFERROR( AVERAGE((IF(DATOS_[[Sexo]:[Sexo]]=$B70,IF(DATOS_[[AGRUP. VALOR. PTO.]:[AGRUP. VALOR. PTO.]]=$B69,IF(DATOS_[[Check Periodo Ref.]:[Check Periodo Ref.]]="Dentro",DATOS_[Conc.Sal.30]))))), 0)</f>
        <v>0</v>
      </c>
      <c r="AJ70" s="210" t="n">
        <f aca="false" t="array" ref="AJ70:AJ70">IFERROR( AVERAGE(IF(DATOS_[Sexo]=$B70,IF(DATOS_[AGRUP. VALOR. PTO.]=$B69,IF(DATOS_[Check Periodo Ref.]="Dentro",DATOS_[Tot COMPL.SAL Ef],0)))), 0)</f>
        <v>0</v>
      </c>
      <c r="AK70" s="211" t="n">
        <f aca="false" t="array" ref="AK70:AK70">IFERROR( AVERAGE(IF(DATOS_[Sexo]=$B70,IF(DATOS_[AGRUP. VALOR. PTO.]=$B69,IF(DATOS_[Check Periodo Ref.]="Dentro",DATOS_[TOTAL SALARIO Ef],0)))), 0)</f>
        <v>0</v>
      </c>
      <c r="AL70" s="212" t="n">
        <f aca="false" t="array" ref="AL70:AL70">IFERROR( AVERAGE((IF(DATOS_[[Sexo]:[Sexo]]=$B70,IF(DATOS_[[AGRUP. VALOR. PTO.]:[AGRUP. VALOR. PTO.]]=$B69,IF(DATOS_[[Check Periodo Ref.]:[Check Periodo Ref.]]="Dentro",DATOS_[C.Extra.01]))))), 0)</f>
        <v>0</v>
      </c>
      <c r="AM70" s="212" t="n">
        <f aca="false" t="array" ref="AM70:AM70">IFERROR( AVERAGE((IF(DATOS_[[Sexo]:[Sexo]]=$B70,IF(DATOS_[[AGRUP. VALOR. PTO.]:[AGRUP. VALOR. PTO.]]=$B69,IF(DATOS_[[Check Periodo Ref.]:[Check Periodo Ref.]]="Dentro",DATOS_[C.Extra.02]))))), 0)</f>
        <v>0</v>
      </c>
      <c r="AN70" s="212" t="n">
        <f aca="false" t="array" ref="AN70:AN70">IFERROR( AVERAGE((IF(DATOS_[[Sexo]:[Sexo]]=$B70,IF(DATOS_[[AGRUP. VALOR. PTO.]:[AGRUP. VALOR. PTO.]]=$B69,IF(DATOS_[[Check Periodo Ref.]:[Check Periodo Ref.]]="Dentro",DATOS_[C.Extra.03]))))), 0)</f>
        <v>0</v>
      </c>
      <c r="AO70" s="212" t="n">
        <f aca="false" t="array" ref="AO70:AO70">IFERROR( AVERAGE((IF(DATOS_[[Sexo]:[Sexo]]=$B70,IF(DATOS_[[AGRUP. VALOR. PTO.]:[AGRUP. VALOR. PTO.]]=$B69,IF(DATOS_[[Check Periodo Ref.]:[Check Periodo Ref.]]="Dentro",DATOS_[C.Extra.04]))))), 0)</f>
        <v>0</v>
      </c>
      <c r="AP70" s="212" t="n">
        <f aca="false" t="array" ref="AP70:AP70">IFERROR( AVERAGE((IF(DATOS_[[Sexo]:[Sexo]]=$B70,IF(DATOS_[[AGRUP. VALOR. PTO.]:[AGRUP. VALOR. PTO.]]=$B69,IF(DATOS_[[Check Periodo Ref.]:[Check Periodo Ref.]]="Dentro",DATOS_[C.Extra.05]))))), 0)</f>
        <v>0</v>
      </c>
      <c r="AQ70" s="213" t="n">
        <f aca="false" t="array" ref="AQ70:AQ70">IFERROR( AVERAGE(IF(DATOS_[Sexo]=$B70,IF(DATOS_[AGRUP. VALOR. PTO.]=$B69,IF(DATOS_[Check Periodo Ref.]="Dentro",DATOS_[Tot Extrasalarial Ef],0)))), 0)</f>
        <v>0</v>
      </c>
      <c r="AR70" s="214" t="n">
        <f aca="false" t="array" ref="AR70:AR70">IFERROR( AVERAGE(IF(DATOS_[Sexo]=$B70,IF(DATOS_[AGRUP. VALOR. PTO.]=$B69,IF(DATOS_[Check Periodo Ref.]="Dentro",DATOS_[TOTAL Retrib Ef],0)))), 0)</f>
        <v>0</v>
      </c>
    </row>
    <row r="71" customFormat="false" ht="14.25" hidden="false" customHeight="false" outlineLevel="0" collapsed="false">
      <c r="A71" s="191" t="str">
        <f aca="false">+A70</f>
        <v>[ocultar]</v>
      </c>
      <c r="B71" s="205" t="s">
        <v>372</v>
      </c>
      <c r="C71" s="206" t="n">
        <f aca="false" t="array" ref="C71:C71">SUM(IF($B71=DATOS_[Sexo], IF($B69=DATOS_[AGRUP. VALOR. PTO.], IF("Dentro"=DATOS_[Check Periodo Ref.], 1/(COUNTIFS(DATOS_[Sexo],$B71,DATOS_[AGRUP. VALOR. PTO.],$B69,DATOS_[Check Periodo Ref.],"Dentro",DATOS_[id],DATOS_[id]))))))</f>
        <v>0</v>
      </c>
      <c r="D71" s="207" t="n">
        <f aca="false">COUNTIFS(DATOS_[AGRUP. VALOR. PTO.],$B69,DATOS_[Sexo],$B71,DATOS_[Check Periodo Ref.],"Dentro")</f>
        <v>0</v>
      </c>
      <c r="E71" s="208" t="n">
        <f aca="false" t="array" ref="E71:E71">IFERROR( AVERAGE(IF(DATOS_[Sexo]=$B71,IF(DATOS_[AGRUP. VALOR. PTO.]=$B69,IF(DATOS_[Check Periodo Ref.]="Dentro",DATOS_[SALARIO BASE Ef],0)))), 0)</f>
        <v>0</v>
      </c>
      <c r="F71" s="209" t="n">
        <f aca="false" t="array" ref="F71:F71">IFERROR( AVERAGE((IF(DATOS_[[Sexo]:[Sexo]]=$B71,IF(DATOS_[[AGRUP. VALOR. PTO.]:[AGRUP. VALOR. PTO.]]=$B69,IF(DATOS_[[Check Periodo Ref.]:[Check Periodo Ref.]]="Dentro",DATOS_[Conc.Sal.01]))))), 0)</f>
        <v>0</v>
      </c>
      <c r="G71" s="209" t="n">
        <f aca="false" t="array" ref="G71:G71">IFERROR( AVERAGE((IF(DATOS_[[Sexo]:[Sexo]]=$B71,IF(DATOS_[[AGRUP. VALOR. PTO.]:[AGRUP. VALOR. PTO.]]=$B69,IF(DATOS_[[Check Periodo Ref.]:[Check Periodo Ref.]]="Dentro",DATOS_[Conc.Sal.02]))))), 0)</f>
        <v>0</v>
      </c>
      <c r="H71" s="209" t="n">
        <f aca="false" t="array" ref="H71:H71">IFERROR( AVERAGE((IF(DATOS_[[Sexo]:[Sexo]]=$B71,IF(DATOS_[[AGRUP. VALOR. PTO.]:[AGRUP. VALOR. PTO.]]=$B69,IF(DATOS_[[Check Periodo Ref.]:[Check Periodo Ref.]]="Dentro",DATOS_[Conc.Sal.03]))))), 0)</f>
        <v>0</v>
      </c>
      <c r="I71" s="209" t="n">
        <f aca="false" t="array" ref="I71:I71">IFERROR( AVERAGE((IF(DATOS_[[Sexo]:[Sexo]]=$B71,IF(DATOS_[[AGRUP. VALOR. PTO.]:[AGRUP. VALOR. PTO.]]=$B69,IF(DATOS_[[Check Periodo Ref.]:[Check Periodo Ref.]]="Dentro",DATOS_[Conc.Sal.04]))))), 0)</f>
        <v>0</v>
      </c>
      <c r="J71" s="209" t="n">
        <f aca="false" t="array" ref="J71:J71">IFERROR( AVERAGE((IF(DATOS_[[Sexo]:[Sexo]]=$B71,IF(DATOS_[[AGRUP. VALOR. PTO.]:[AGRUP. VALOR. PTO.]]=$B69,IF(DATOS_[[Check Periodo Ref.]:[Check Periodo Ref.]]="Dentro",DATOS_[Conc.Sal.05]))))), 0)</f>
        <v>0</v>
      </c>
      <c r="K71" s="209" t="n">
        <f aca="false" t="array" ref="K71:K71">IFERROR( AVERAGE((IF(DATOS_[[Sexo]:[Sexo]]=$B71,IF(DATOS_[[AGRUP. VALOR. PTO.]:[AGRUP. VALOR. PTO.]]=$B69,IF(DATOS_[[Check Periodo Ref.]:[Check Periodo Ref.]]="Dentro",DATOS_[Conc.Sal.06]))))), 0)</f>
        <v>0</v>
      </c>
      <c r="L71" s="209" t="n">
        <f aca="false" t="array" ref="L71:L71">IFERROR( AVERAGE((IF(DATOS_[[Sexo]:[Sexo]]=$B71,IF(DATOS_[[AGRUP. VALOR. PTO.]:[AGRUP. VALOR. PTO.]]=$B69,IF(DATOS_[[Check Periodo Ref.]:[Check Periodo Ref.]]="Dentro",DATOS_[Conc.Sal.07]))))), 0)</f>
        <v>0</v>
      </c>
      <c r="M71" s="209" t="n">
        <f aca="false" t="array" ref="M71:M71">IFERROR( AVERAGE((IF(DATOS_[[Sexo]:[Sexo]]=$B71,IF(DATOS_[[AGRUP. VALOR. PTO.]:[AGRUP. VALOR. PTO.]]=$B69,IF(DATOS_[[Check Periodo Ref.]:[Check Periodo Ref.]]="Dentro",DATOS_[Conc.Sal.08]))))), 0)</f>
        <v>0</v>
      </c>
      <c r="N71" s="209" t="n">
        <f aca="false" t="array" ref="N71:N71">IFERROR( AVERAGE((IF(DATOS_[[Sexo]:[Sexo]]=$B71,IF(DATOS_[[AGRUP. VALOR. PTO.]:[AGRUP. VALOR. PTO.]]=$B69,IF(DATOS_[[Check Periodo Ref.]:[Check Periodo Ref.]]="Dentro",DATOS_[Conc.Sal.09]))))), 0)</f>
        <v>0</v>
      </c>
      <c r="O71" s="209" t="n">
        <f aca="false" t="array" ref="O71:O71">IFERROR( AVERAGE((IF(DATOS_[[Sexo]:[Sexo]]=$B71,IF(DATOS_[[AGRUP. VALOR. PTO.]:[AGRUP. VALOR. PTO.]]=$B69,IF(DATOS_[[Check Periodo Ref.]:[Check Periodo Ref.]]="Dentro",DATOS_[Conc.Sal.10]))))), 0)</f>
        <v>0</v>
      </c>
      <c r="P71" s="209" t="n">
        <f aca="false" t="array" ref="P71:P71">IFERROR( AVERAGE((IF(DATOS_[[Sexo]:[Sexo]]=$B71,IF(DATOS_[[AGRUP. VALOR. PTO.]:[AGRUP. VALOR. PTO.]]=$B69,IF(DATOS_[[Check Periodo Ref.]:[Check Periodo Ref.]]="Dentro",DATOS_[Conc.Sal.11]))))), 0)</f>
        <v>0</v>
      </c>
      <c r="Q71" s="209" t="n">
        <f aca="false" t="array" ref="Q71:Q71">IFERROR( AVERAGE((IF(DATOS_[[Sexo]:[Sexo]]=$B71,IF(DATOS_[[AGRUP. VALOR. PTO.]:[AGRUP. VALOR. PTO.]]=$B69,IF(DATOS_[[Check Periodo Ref.]:[Check Periodo Ref.]]="Dentro",DATOS_[Conc.Sal.12]))))), 0)</f>
        <v>0</v>
      </c>
      <c r="R71" s="209" t="n">
        <f aca="false" t="array" ref="R71:R71">IFERROR( AVERAGE((IF(DATOS_[[Sexo]:[Sexo]]=$B71,IF(DATOS_[[AGRUP. VALOR. PTO.]:[AGRUP. VALOR. PTO.]]=$B69,IF(DATOS_[[Check Periodo Ref.]:[Check Periodo Ref.]]="Dentro",DATOS_[Conc.Sal.13]))))), 0)</f>
        <v>0</v>
      </c>
      <c r="S71" s="209" t="n">
        <f aca="false" t="array" ref="S71:S71">IFERROR( AVERAGE((IF(DATOS_[[Sexo]:[Sexo]]=$B71,IF(DATOS_[[AGRUP. VALOR. PTO.]:[AGRUP. VALOR. PTO.]]=$B69,IF(DATOS_[[Check Periodo Ref.]:[Check Periodo Ref.]]="Dentro",DATOS_[Conc.Sal.14]))))), 0)</f>
        <v>0</v>
      </c>
      <c r="T71" s="209" t="n">
        <f aca="false" t="array" ref="T71:T71">IFERROR( AVERAGE((IF(DATOS_[[Sexo]:[Sexo]]=$B71,IF(DATOS_[[AGRUP. VALOR. PTO.]:[AGRUP. VALOR. PTO.]]=$B69,IF(DATOS_[[Check Periodo Ref.]:[Check Periodo Ref.]]="Dentro",DATOS_[Conc.Sal.15]))))), 0)</f>
        <v>0</v>
      </c>
      <c r="U71" s="209" t="n">
        <f aca="false" t="array" ref="U71:U71">IFERROR( AVERAGE((IF(DATOS_[[Sexo]:[Sexo]]=$B71,IF(DATOS_[[AGRUP. VALOR. PTO.]:[AGRUP. VALOR. PTO.]]=$B69,IF(DATOS_[[Check Periodo Ref.]:[Check Periodo Ref.]]="Dentro",DATOS_[Conc.Sal.16]))))), 0)</f>
        <v>0</v>
      </c>
      <c r="V71" s="209" t="n">
        <f aca="false" t="array" ref="V71:V71">IFERROR( AVERAGE((IF(DATOS_[[Sexo]:[Sexo]]=$B71,IF(DATOS_[[AGRUP. VALOR. PTO.]:[AGRUP. VALOR. PTO.]]=$B69,IF(DATOS_[[Check Periodo Ref.]:[Check Periodo Ref.]]="Dentro",DATOS_[Conc.Sal.17]))))), 0)</f>
        <v>0</v>
      </c>
      <c r="W71" s="209" t="n">
        <f aca="false" t="array" ref="W71:W71">IFERROR( AVERAGE((IF(DATOS_[[Sexo]:[Sexo]]=$B71,IF(DATOS_[[AGRUP. VALOR. PTO.]:[AGRUP. VALOR. PTO.]]=$B69,IF(DATOS_[[Check Periodo Ref.]:[Check Periodo Ref.]]="Dentro",DATOS_[Conc.Sal.18]))))), 0)</f>
        <v>0</v>
      </c>
      <c r="X71" s="209" t="n">
        <f aca="false" t="array" ref="X71:X71">IFERROR( AVERAGE((IF(DATOS_[[Sexo]:[Sexo]]=$B71,IF(DATOS_[[AGRUP. VALOR. PTO.]:[AGRUP. VALOR. PTO.]]=$B69,IF(DATOS_[[Check Periodo Ref.]:[Check Periodo Ref.]]="Dentro",DATOS_[Conc.Sal.19]))))), 0)</f>
        <v>0</v>
      </c>
      <c r="Y71" s="209" t="n">
        <f aca="false" t="array" ref="Y71:Y71">IFERROR( AVERAGE((IF(DATOS_[[Sexo]:[Sexo]]=$B71,IF(DATOS_[[AGRUP. VALOR. PTO.]:[AGRUP. VALOR. PTO.]]=$B69,IF(DATOS_[[Check Periodo Ref.]:[Check Periodo Ref.]]="Dentro",DATOS_[Conc.Sal.20]))))), 0)</f>
        <v>0</v>
      </c>
      <c r="Z71" s="209" t="n">
        <f aca="false" t="array" ref="Z71:Z71">IFERROR( AVERAGE((IF(DATOS_[[Sexo]:[Sexo]]=$B71,IF(DATOS_[[AGRUP. VALOR. PTO.]:[AGRUP. VALOR. PTO.]]=$B69,IF(DATOS_[[Check Periodo Ref.]:[Check Periodo Ref.]]="Dentro",DATOS_[Conc.Sal.21]))))), 0)</f>
        <v>0</v>
      </c>
      <c r="AA71" s="209" t="n">
        <f aca="false" t="array" ref="AA71:AA71">IFERROR( AVERAGE((IF(DATOS_[[Sexo]:[Sexo]]=$B71,IF(DATOS_[[AGRUP. VALOR. PTO.]:[AGRUP. VALOR. PTO.]]=$B69,IF(DATOS_[[Check Periodo Ref.]:[Check Periodo Ref.]]="Dentro",DATOS_[Conc.Sal.22]))))), 0)</f>
        <v>0</v>
      </c>
      <c r="AB71" s="209" t="n">
        <f aca="false" t="array" ref="AB71:AB71">IFERROR( AVERAGE((IF(DATOS_[[Sexo]:[Sexo]]=$B71,IF(DATOS_[[AGRUP. VALOR. PTO.]:[AGRUP. VALOR. PTO.]]=$B69,IF(DATOS_[[Check Periodo Ref.]:[Check Periodo Ref.]]="Dentro",DATOS_[Conc.Sal.23]))))), 0)</f>
        <v>0</v>
      </c>
      <c r="AC71" s="209" t="n">
        <f aca="false" t="array" ref="AC71:AC71">IFERROR( AVERAGE((IF(DATOS_[[Sexo]:[Sexo]]=$B71,IF(DATOS_[[AGRUP. VALOR. PTO.]:[AGRUP. VALOR. PTO.]]=$B69,IF(DATOS_[[Check Periodo Ref.]:[Check Periodo Ref.]]="Dentro",DATOS_[Conc.Sal.24]))))), 0)</f>
        <v>0</v>
      </c>
      <c r="AD71" s="209" t="n">
        <f aca="false" t="array" ref="AD71:AD71">IFERROR( AVERAGE((IF(DATOS_[[Sexo]:[Sexo]]=$B71,IF(DATOS_[[AGRUP. VALOR. PTO.]:[AGRUP. VALOR. PTO.]]=$B69,IF(DATOS_[[Check Periodo Ref.]:[Check Periodo Ref.]]="Dentro",DATOS_[Conc.Sal.25]))))), 0)</f>
        <v>0</v>
      </c>
      <c r="AE71" s="209" t="n">
        <f aca="false" t="array" ref="AE71:AE71">IFERROR( AVERAGE((IF(DATOS_[[Sexo]:[Sexo]]=$B71,IF(DATOS_[[AGRUP. VALOR. PTO.]:[AGRUP. VALOR. PTO.]]=$B69,IF(DATOS_[[Check Periodo Ref.]:[Check Periodo Ref.]]="Dentro",DATOS_[Conc.Sal.26]))))), 0)</f>
        <v>0</v>
      </c>
      <c r="AF71" s="209" t="n">
        <f aca="false" t="array" ref="AF71:AF71">IFERROR( AVERAGE((IF(DATOS_[[Sexo]:[Sexo]]=$B71,IF(DATOS_[[AGRUP. VALOR. PTO.]:[AGRUP. VALOR. PTO.]]=$B69,IF(DATOS_[[Check Periodo Ref.]:[Check Periodo Ref.]]="Dentro",DATOS_[Conc.Sal.27]))))), 0)</f>
        <v>0</v>
      </c>
      <c r="AG71" s="209" t="n">
        <f aca="false" t="array" ref="AG71:AG71">IFERROR( AVERAGE((IF(DATOS_[[Sexo]:[Sexo]]=$B71,IF(DATOS_[[AGRUP. VALOR. PTO.]:[AGRUP. VALOR. PTO.]]=$B69,IF(DATOS_[[Check Periodo Ref.]:[Check Periodo Ref.]]="Dentro",DATOS_[Conc.Sal.28]))))), 0)</f>
        <v>0</v>
      </c>
      <c r="AH71" s="209" t="n">
        <f aca="false" t="array" ref="AH71:AH71">IFERROR( AVERAGE((IF(DATOS_[[Sexo]:[Sexo]]=$B71,IF(DATOS_[[AGRUP. VALOR. PTO.]:[AGRUP. VALOR. PTO.]]=$B69,IF(DATOS_[[Check Periodo Ref.]:[Check Periodo Ref.]]="Dentro",DATOS_[Conc.Sal.29]))))), 0)</f>
        <v>0</v>
      </c>
      <c r="AI71" s="209" t="n">
        <f aca="false" t="array" ref="AI71:AI71">IFERROR( AVERAGE((IF(DATOS_[[Sexo]:[Sexo]]=$B71,IF(DATOS_[[AGRUP. VALOR. PTO.]:[AGRUP. VALOR. PTO.]]=$B69,IF(DATOS_[[Check Periodo Ref.]:[Check Periodo Ref.]]="Dentro",DATOS_[Conc.Sal.30]))))), 0)</f>
        <v>0</v>
      </c>
      <c r="AJ71" s="210" t="n">
        <f aca="false" t="array" ref="AJ71:AJ71">IFERROR( AVERAGE(IF(DATOS_[Sexo]=$B71,IF(DATOS_[AGRUP. VALOR. PTO.]=$B69,IF(DATOS_[Check Periodo Ref.]="Dentro",DATOS_[Tot COMPL.SAL Ef],0)))), 0)</f>
        <v>0</v>
      </c>
      <c r="AK71" s="211" t="n">
        <f aca="false" t="array" ref="AK71:AK71">IFERROR( AVERAGE(IF(DATOS_[Sexo]=$B71,IF(DATOS_[AGRUP. VALOR. PTO.]=$B69,IF(DATOS_[Check Periodo Ref.]="Dentro",DATOS_[TOTAL SALARIO Ef],0)))), 0)</f>
        <v>0</v>
      </c>
      <c r="AL71" s="212" t="n">
        <f aca="false" t="array" ref="AL71:AL71">IFERROR( AVERAGE((IF(DATOS_[[Sexo]:[Sexo]]=$B71,IF(DATOS_[[AGRUP. VALOR. PTO.]:[AGRUP. VALOR. PTO.]]=$B69,IF(DATOS_[[Check Periodo Ref.]:[Check Periodo Ref.]]="Dentro",DATOS_[C.Extra.01]))))), 0)</f>
        <v>0</v>
      </c>
      <c r="AM71" s="212" t="n">
        <f aca="false" t="array" ref="AM71:AM71">IFERROR( AVERAGE((IF(DATOS_[[Sexo]:[Sexo]]=$B71,IF(DATOS_[[AGRUP. VALOR. PTO.]:[AGRUP. VALOR. PTO.]]=$B69,IF(DATOS_[[Check Periodo Ref.]:[Check Periodo Ref.]]="Dentro",DATOS_[C.Extra.02]))))), 0)</f>
        <v>0</v>
      </c>
      <c r="AN71" s="212" t="n">
        <f aca="false" t="array" ref="AN71:AN71">IFERROR( AVERAGE((IF(DATOS_[[Sexo]:[Sexo]]=$B71,IF(DATOS_[[AGRUP. VALOR. PTO.]:[AGRUP. VALOR. PTO.]]=$B69,IF(DATOS_[[Check Periodo Ref.]:[Check Periodo Ref.]]="Dentro",DATOS_[C.Extra.03]))))), 0)</f>
        <v>0</v>
      </c>
      <c r="AO71" s="212" t="n">
        <f aca="false" t="array" ref="AO71:AO71">IFERROR( AVERAGE((IF(DATOS_[[Sexo]:[Sexo]]=$B71,IF(DATOS_[[AGRUP. VALOR. PTO.]:[AGRUP. VALOR. PTO.]]=$B69,IF(DATOS_[[Check Periodo Ref.]:[Check Periodo Ref.]]="Dentro",DATOS_[C.Extra.04]))))), 0)</f>
        <v>0</v>
      </c>
      <c r="AP71" s="212" t="n">
        <f aca="false" t="array" ref="AP71:AP71">IFERROR( AVERAGE((IF(DATOS_[[Sexo]:[Sexo]]=$B71,IF(DATOS_[[AGRUP. VALOR. PTO.]:[AGRUP. VALOR. PTO.]]=$B69,IF(DATOS_[[Check Periodo Ref.]:[Check Periodo Ref.]]="Dentro",DATOS_[C.Extra.05]))))), 0)</f>
        <v>0</v>
      </c>
      <c r="AQ71" s="213" t="n">
        <f aca="false" t="array" ref="AQ71:AQ71">IFERROR( AVERAGE(IF(DATOS_[Sexo]=$B71,IF(DATOS_[AGRUP. VALOR. PTO.]=$B69,IF(DATOS_[Check Periodo Ref.]="Dentro",DATOS_[Tot Extrasalarial Ef],0)))), 0)</f>
        <v>0</v>
      </c>
      <c r="AR71" s="214" t="n">
        <f aca="false" t="array" ref="AR71:AR71">IFERROR( AVERAGE(IF(DATOS_[Sexo]=$B71,IF(DATOS_[AGRUP. VALOR. PTO.]=$B69,IF(DATOS_[Check Periodo Ref.]="Dentro",DATOS_[TOTAL Retrib Ef],0)))), 0)</f>
        <v>0</v>
      </c>
    </row>
    <row r="72" customFormat="false" ht="15.75" hidden="false" customHeight="false" outlineLevel="0" collapsed="false">
      <c r="A72" s="191" t="str">
        <f aca="false">+A73</f>
        <v>[ocultar]</v>
      </c>
      <c r="B72" s="192" t="s">
        <v>226</v>
      </c>
      <c r="C72" s="193"/>
      <c r="D72" s="194"/>
      <c r="E72" s="195" t="str">
        <f aca="false">IFERROR((E73-E74)/E73,"")</f>
        <v/>
      </c>
      <c r="F72" s="196" t="str">
        <f aca="false">IFERROR((F73-F74)/F73,"")</f>
        <v/>
      </c>
      <c r="G72" s="197" t="str">
        <f aca="false">IFERROR((G73-G74)/G73,"")</f>
        <v/>
      </c>
      <c r="H72" s="197" t="str">
        <f aca="false">IFERROR((H73-H74)/H73,"")</f>
        <v/>
      </c>
      <c r="I72" s="197" t="str">
        <f aca="false">IFERROR((I73-I74)/I73,"")</f>
        <v/>
      </c>
      <c r="J72" s="198" t="str">
        <f aca="false">IFERROR((J73-J74)/J73,"")</f>
        <v/>
      </c>
      <c r="K72" s="199" t="str">
        <f aca="false">IFERROR((K73-K74)/K73,"")</f>
        <v/>
      </c>
      <c r="L72" s="199" t="str">
        <f aca="false">IFERROR((L73-L74)/L73,"")</f>
        <v/>
      </c>
      <c r="M72" s="199" t="str">
        <f aca="false">IFERROR((M73-M74)/M73,"")</f>
        <v/>
      </c>
      <c r="N72" s="199" t="str">
        <f aca="false">IFERROR((N73-N74)/N73,"")</f>
        <v/>
      </c>
      <c r="O72" s="199" t="str">
        <f aca="false">IFERROR((O73-O74)/O73,"")</f>
        <v/>
      </c>
      <c r="P72" s="199" t="str">
        <f aca="false">IFERROR((P73-P74)/P73,"")</f>
        <v/>
      </c>
      <c r="Q72" s="199" t="str">
        <f aca="false">IFERROR((Q73-Q74)/Q73,"")</f>
        <v/>
      </c>
      <c r="R72" s="199" t="str">
        <f aca="false">IFERROR((R73-R74)/R73,"")</f>
        <v/>
      </c>
      <c r="S72" s="199" t="str">
        <f aca="false">IFERROR((S73-S74)/S73,"")</f>
        <v/>
      </c>
      <c r="T72" s="199" t="str">
        <f aca="false">IFERROR((T73-T74)/T73,"")</f>
        <v/>
      </c>
      <c r="U72" s="199" t="str">
        <f aca="false">IFERROR((U73-U74)/U73,"")</f>
        <v/>
      </c>
      <c r="V72" s="198" t="str">
        <f aca="false">IFERROR((V73-V74)/V73,"")</f>
        <v/>
      </c>
      <c r="W72" s="198" t="str">
        <f aca="false">IFERROR((W73-W74)/W73,"")</f>
        <v/>
      </c>
      <c r="X72" s="198" t="str">
        <f aca="false">IFERROR((X73-X74)/X73,"")</f>
        <v/>
      </c>
      <c r="Y72" s="198" t="str">
        <f aca="false">IFERROR((Y73-Y74)/Y73,"")</f>
        <v/>
      </c>
      <c r="Z72" s="198" t="str">
        <f aca="false">IFERROR((Z73-Z74)/Z73,"")</f>
        <v/>
      </c>
      <c r="AA72" s="198" t="str">
        <f aca="false">IFERROR((AA73-AA74)/AA73,"")</f>
        <v/>
      </c>
      <c r="AB72" s="198" t="str">
        <f aca="false">IFERROR((AB73-AB74)/AB73,"")</f>
        <v/>
      </c>
      <c r="AC72" s="198" t="str">
        <f aca="false">IFERROR((AC73-AC74)/AC73,"")</f>
        <v/>
      </c>
      <c r="AD72" s="198" t="str">
        <f aca="false">IFERROR((AD73-AD74)/AD73,"")</f>
        <v/>
      </c>
      <c r="AE72" s="198" t="str">
        <f aca="false">IFERROR((AE73-AE74)/AE73,"")</f>
        <v/>
      </c>
      <c r="AF72" s="198" t="str">
        <f aca="false">IFERROR((AF73-AF74)/AF73,"")</f>
        <v/>
      </c>
      <c r="AG72" s="198" t="str">
        <f aca="false">IFERROR((AG73-AG74)/AG73,"")</f>
        <v/>
      </c>
      <c r="AH72" s="198" t="str">
        <f aca="false">IFERROR((AH73-AH74)/AH73,"")</f>
        <v/>
      </c>
      <c r="AI72" s="198" t="str">
        <f aca="false">IFERROR((AI73-AI74)/AI73,"")</f>
        <v/>
      </c>
      <c r="AJ72" s="200" t="str">
        <f aca="false">IFERROR((AJ73-AJ74)/AJ73,"")</f>
        <v/>
      </c>
      <c r="AK72" s="201" t="str">
        <f aca="false">IFERROR((AK73-AK74)/AK73,"")</f>
        <v/>
      </c>
      <c r="AL72" s="202" t="str">
        <f aca="false">IFERROR((AL73-AL74)/AL73,"")</f>
        <v/>
      </c>
      <c r="AM72" s="202" t="str">
        <f aca="false">IFERROR((AM73-AM74)/AM73,"")</f>
        <v/>
      </c>
      <c r="AN72" s="202" t="str">
        <f aca="false">IFERROR((AN73-AN74)/AN73,"")</f>
        <v/>
      </c>
      <c r="AO72" s="202" t="str">
        <f aca="false">IFERROR((AO73-AO74)/AO73,"")</f>
        <v/>
      </c>
      <c r="AP72" s="202" t="str">
        <f aca="false">IFERROR((AP73-AP74)/AP73,"")</f>
        <v/>
      </c>
      <c r="AQ72" s="203" t="str">
        <f aca="false">IFERROR((AQ73-AQ74)/AQ73,"")</f>
        <v/>
      </c>
      <c r="AR72" s="204" t="str">
        <f aca="false">IFERROR((AR73-AR74)/AR73,"")</f>
        <v/>
      </c>
    </row>
    <row r="73" customFormat="false" ht="14.25" hidden="false" customHeight="false" outlineLevel="0" collapsed="false">
      <c r="A73" s="191" t="str">
        <f aca="false">+IF(C73+C74=0,"[ocultar]","")</f>
        <v>[ocultar]</v>
      </c>
      <c r="B73" s="205" t="s">
        <v>371</v>
      </c>
      <c r="C73" s="206" t="n">
        <f aca="false" t="array" ref="C73:C73">SUM(IF($B73=DATOS_[Sexo], IF($B72=DATOS_[AGRUP. VALOR. PTO.], IF("Dentro"=DATOS_[Check Periodo Ref.], 1/(COUNTIFS(DATOS_[Sexo],$B73,DATOS_[AGRUP. VALOR. PTO.],$B72,DATOS_[Check Periodo Ref.],"Dentro",DATOS_[id],DATOS_[id]))))))</f>
        <v>0</v>
      </c>
      <c r="D73" s="207" t="n">
        <f aca="false">COUNTIFS(DATOS_[AGRUP. VALOR. PTO.],$B72,DATOS_[Sexo],$B73,DATOS_[Check Periodo Ref.],"Dentro")</f>
        <v>0</v>
      </c>
      <c r="E73" s="208" t="n">
        <f aca="false" t="array" ref="E73:E73">IFERROR( AVERAGE(IF(DATOS_[Sexo]=$B73,IF(DATOS_[AGRUP. VALOR. PTO.]=$B72,IF(DATOS_[Check Periodo Ref.]="Dentro",DATOS_[SALARIO BASE Ef],0)))), 0)</f>
        <v>0</v>
      </c>
      <c r="F73" s="209" t="n">
        <f aca="false" t="array" ref="F73:F73">IFERROR( AVERAGE((IF(DATOS_[[Sexo]:[Sexo]]=$B73,IF(DATOS_[[AGRUP. VALOR. PTO.]:[AGRUP. VALOR. PTO.]]=$B72,IF(DATOS_[[Check Periodo Ref.]:[Check Periodo Ref.]]="Dentro",DATOS_[Conc.Sal.01]))))), 0)</f>
        <v>0</v>
      </c>
      <c r="G73" s="209" t="n">
        <f aca="false" t="array" ref="G73:G73">IFERROR( AVERAGE((IF(DATOS_[[Sexo]:[Sexo]]=$B73,IF(DATOS_[[AGRUP. VALOR. PTO.]:[AGRUP. VALOR. PTO.]]=$B72,IF(DATOS_[[Check Periodo Ref.]:[Check Periodo Ref.]]="Dentro",DATOS_[Conc.Sal.02]))))), 0)</f>
        <v>0</v>
      </c>
      <c r="H73" s="209" t="n">
        <f aca="false" t="array" ref="H73:H73">IFERROR( AVERAGE((IF(DATOS_[[Sexo]:[Sexo]]=$B73,IF(DATOS_[[AGRUP. VALOR. PTO.]:[AGRUP. VALOR. PTO.]]=$B72,IF(DATOS_[[Check Periodo Ref.]:[Check Periodo Ref.]]="Dentro",DATOS_[Conc.Sal.03]))))), 0)</f>
        <v>0</v>
      </c>
      <c r="I73" s="209" t="n">
        <f aca="false" t="array" ref="I73:I73">IFERROR( AVERAGE((IF(DATOS_[[Sexo]:[Sexo]]=$B73,IF(DATOS_[[AGRUP. VALOR. PTO.]:[AGRUP. VALOR. PTO.]]=$B72,IF(DATOS_[[Check Periodo Ref.]:[Check Periodo Ref.]]="Dentro",DATOS_[Conc.Sal.04]))))), 0)</f>
        <v>0</v>
      </c>
      <c r="J73" s="209" t="n">
        <f aca="false" t="array" ref="J73:J73">IFERROR( AVERAGE((IF(DATOS_[[Sexo]:[Sexo]]=$B73,IF(DATOS_[[AGRUP. VALOR. PTO.]:[AGRUP. VALOR. PTO.]]=$B72,IF(DATOS_[[Check Periodo Ref.]:[Check Periodo Ref.]]="Dentro",DATOS_[Conc.Sal.05]))))), 0)</f>
        <v>0</v>
      </c>
      <c r="K73" s="209" t="n">
        <f aca="false" t="array" ref="K73:K73">IFERROR( AVERAGE((IF(DATOS_[[Sexo]:[Sexo]]=$B73,IF(DATOS_[[AGRUP. VALOR. PTO.]:[AGRUP. VALOR. PTO.]]=$B72,IF(DATOS_[[Check Periodo Ref.]:[Check Periodo Ref.]]="Dentro",DATOS_[Conc.Sal.06]))))), 0)</f>
        <v>0</v>
      </c>
      <c r="L73" s="209" t="n">
        <f aca="false" t="array" ref="L73:L73">IFERROR( AVERAGE((IF(DATOS_[[Sexo]:[Sexo]]=$B73,IF(DATOS_[[AGRUP. VALOR. PTO.]:[AGRUP. VALOR. PTO.]]=$B72,IF(DATOS_[[Check Periodo Ref.]:[Check Periodo Ref.]]="Dentro",DATOS_[Conc.Sal.07]))))), 0)</f>
        <v>0</v>
      </c>
      <c r="M73" s="209" t="n">
        <f aca="false" t="array" ref="M73:M73">IFERROR( AVERAGE((IF(DATOS_[[Sexo]:[Sexo]]=$B73,IF(DATOS_[[AGRUP. VALOR. PTO.]:[AGRUP. VALOR. PTO.]]=$B72,IF(DATOS_[[Check Periodo Ref.]:[Check Periodo Ref.]]="Dentro",DATOS_[Conc.Sal.08]))))), 0)</f>
        <v>0</v>
      </c>
      <c r="N73" s="209" t="n">
        <f aca="false" t="array" ref="N73:N73">IFERROR( AVERAGE((IF(DATOS_[[Sexo]:[Sexo]]=$B73,IF(DATOS_[[AGRUP. VALOR. PTO.]:[AGRUP. VALOR. PTO.]]=$B72,IF(DATOS_[[Check Periodo Ref.]:[Check Periodo Ref.]]="Dentro",DATOS_[Conc.Sal.09]))))), 0)</f>
        <v>0</v>
      </c>
      <c r="O73" s="209" t="n">
        <f aca="false" t="array" ref="O73:O73">IFERROR( AVERAGE((IF(DATOS_[[Sexo]:[Sexo]]=$B73,IF(DATOS_[[AGRUP. VALOR. PTO.]:[AGRUP. VALOR. PTO.]]=$B72,IF(DATOS_[[Check Periodo Ref.]:[Check Periodo Ref.]]="Dentro",DATOS_[Conc.Sal.10]))))), 0)</f>
        <v>0</v>
      </c>
      <c r="P73" s="209" t="n">
        <f aca="false" t="array" ref="P73:P73">IFERROR( AVERAGE((IF(DATOS_[[Sexo]:[Sexo]]=$B73,IF(DATOS_[[AGRUP. VALOR. PTO.]:[AGRUP. VALOR. PTO.]]=$B72,IF(DATOS_[[Check Periodo Ref.]:[Check Periodo Ref.]]="Dentro",DATOS_[Conc.Sal.11]))))), 0)</f>
        <v>0</v>
      </c>
      <c r="Q73" s="209" t="n">
        <f aca="false" t="array" ref="Q73:Q73">IFERROR( AVERAGE((IF(DATOS_[[Sexo]:[Sexo]]=$B73,IF(DATOS_[[AGRUP. VALOR. PTO.]:[AGRUP. VALOR. PTO.]]=$B72,IF(DATOS_[[Check Periodo Ref.]:[Check Periodo Ref.]]="Dentro",DATOS_[Conc.Sal.12]))))), 0)</f>
        <v>0</v>
      </c>
      <c r="R73" s="209" t="n">
        <f aca="false" t="array" ref="R73:R73">IFERROR( AVERAGE((IF(DATOS_[[Sexo]:[Sexo]]=$B73,IF(DATOS_[[AGRUP. VALOR. PTO.]:[AGRUP. VALOR. PTO.]]=$B72,IF(DATOS_[[Check Periodo Ref.]:[Check Periodo Ref.]]="Dentro",DATOS_[Conc.Sal.13]))))), 0)</f>
        <v>0</v>
      </c>
      <c r="S73" s="209" t="n">
        <f aca="false" t="array" ref="S73:S73">IFERROR( AVERAGE((IF(DATOS_[[Sexo]:[Sexo]]=$B73,IF(DATOS_[[AGRUP. VALOR. PTO.]:[AGRUP. VALOR. PTO.]]=$B72,IF(DATOS_[[Check Periodo Ref.]:[Check Periodo Ref.]]="Dentro",DATOS_[Conc.Sal.14]))))), 0)</f>
        <v>0</v>
      </c>
      <c r="T73" s="209" t="n">
        <f aca="false" t="array" ref="T73:T73">IFERROR( AVERAGE((IF(DATOS_[[Sexo]:[Sexo]]=$B73,IF(DATOS_[[AGRUP. VALOR. PTO.]:[AGRUP. VALOR. PTO.]]=$B72,IF(DATOS_[[Check Periodo Ref.]:[Check Periodo Ref.]]="Dentro",DATOS_[Conc.Sal.15]))))), 0)</f>
        <v>0</v>
      </c>
      <c r="U73" s="209" t="n">
        <f aca="false" t="array" ref="U73:U73">IFERROR( AVERAGE((IF(DATOS_[[Sexo]:[Sexo]]=$B73,IF(DATOS_[[AGRUP. VALOR. PTO.]:[AGRUP. VALOR. PTO.]]=$B72,IF(DATOS_[[Check Periodo Ref.]:[Check Periodo Ref.]]="Dentro",DATOS_[Conc.Sal.16]))))), 0)</f>
        <v>0</v>
      </c>
      <c r="V73" s="209" t="n">
        <f aca="false" t="array" ref="V73:V73">IFERROR( AVERAGE((IF(DATOS_[[Sexo]:[Sexo]]=$B73,IF(DATOS_[[AGRUP. VALOR. PTO.]:[AGRUP. VALOR. PTO.]]=$B72,IF(DATOS_[[Check Periodo Ref.]:[Check Periodo Ref.]]="Dentro",DATOS_[Conc.Sal.17]))))), 0)</f>
        <v>0</v>
      </c>
      <c r="W73" s="209" t="n">
        <f aca="false" t="array" ref="W73:W73">IFERROR( AVERAGE((IF(DATOS_[[Sexo]:[Sexo]]=$B73,IF(DATOS_[[AGRUP. VALOR. PTO.]:[AGRUP. VALOR. PTO.]]=$B72,IF(DATOS_[[Check Periodo Ref.]:[Check Periodo Ref.]]="Dentro",DATOS_[Conc.Sal.18]))))), 0)</f>
        <v>0</v>
      </c>
      <c r="X73" s="209" t="n">
        <f aca="false" t="array" ref="X73:X73">IFERROR( AVERAGE((IF(DATOS_[[Sexo]:[Sexo]]=$B73,IF(DATOS_[[AGRUP. VALOR. PTO.]:[AGRUP. VALOR. PTO.]]=$B72,IF(DATOS_[[Check Periodo Ref.]:[Check Periodo Ref.]]="Dentro",DATOS_[Conc.Sal.19]))))), 0)</f>
        <v>0</v>
      </c>
      <c r="Y73" s="209" t="n">
        <f aca="false" t="array" ref="Y73:Y73">IFERROR( AVERAGE((IF(DATOS_[[Sexo]:[Sexo]]=$B73,IF(DATOS_[[AGRUP. VALOR. PTO.]:[AGRUP. VALOR. PTO.]]=$B72,IF(DATOS_[[Check Periodo Ref.]:[Check Periodo Ref.]]="Dentro",DATOS_[Conc.Sal.20]))))), 0)</f>
        <v>0</v>
      </c>
      <c r="Z73" s="209" t="n">
        <f aca="false" t="array" ref="Z73:Z73">IFERROR( AVERAGE((IF(DATOS_[[Sexo]:[Sexo]]=$B73,IF(DATOS_[[AGRUP. VALOR. PTO.]:[AGRUP. VALOR. PTO.]]=$B72,IF(DATOS_[[Check Periodo Ref.]:[Check Periodo Ref.]]="Dentro",DATOS_[Conc.Sal.21]))))), 0)</f>
        <v>0</v>
      </c>
      <c r="AA73" s="209" t="n">
        <f aca="false" t="array" ref="AA73:AA73">IFERROR( AVERAGE((IF(DATOS_[[Sexo]:[Sexo]]=$B73,IF(DATOS_[[AGRUP. VALOR. PTO.]:[AGRUP. VALOR. PTO.]]=$B72,IF(DATOS_[[Check Periodo Ref.]:[Check Periodo Ref.]]="Dentro",DATOS_[Conc.Sal.22]))))), 0)</f>
        <v>0</v>
      </c>
      <c r="AB73" s="209" t="n">
        <f aca="false" t="array" ref="AB73:AB73">IFERROR( AVERAGE((IF(DATOS_[[Sexo]:[Sexo]]=$B73,IF(DATOS_[[AGRUP. VALOR. PTO.]:[AGRUP. VALOR. PTO.]]=$B72,IF(DATOS_[[Check Periodo Ref.]:[Check Periodo Ref.]]="Dentro",DATOS_[Conc.Sal.23]))))), 0)</f>
        <v>0</v>
      </c>
      <c r="AC73" s="209" t="n">
        <f aca="false" t="array" ref="AC73:AC73">IFERROR( AVERAGE((IF(DATOS_[[Sexo]:[Sexo]]=$B73,IF(DATOS_[[AGRUP. VALOR. PTO.]:[AGRUP. VALOR. PTO.]]=$B72,IF(DATOS_[[Check Periodo Ref.]:[Check Periodo Ref.]]="Dentro",DATOS_[Conc.Sal.24]))))), 0)</f>
        <v>0</v>
      </c>
      <c r="AD73" s="209" t="n">
        <f aca="false" t="array" ref="AD73:AD73">IFERROR( AVERAGE((IF(DATOS_[[Sexo]:[Sexo]]=$B73,IF(DATOS_[[AGRUP. VALOR. PTO.]:[AGRUP. VALOR. PTO.]]=$B72,IF(DATOS_[[Check Periodo Ref.]:[Check Periodo Ref.]]="Dentro",DATOS_[Conc.Sal.25]))))), 0)</f>
        <v>0</v>
      </c>
      <c r="AE73" s="209" t="n">
        <f aca="false" t="array" ref="AE73:AE73">IFERROR( AVERAGE((IF(DATOS_[[Sexo]:[Sexo]]=$B73,IF(DATOS_[[AGRUP. VALOR. PTO.]:[AGRUP. VALOR. PTO.]]=$B72,IF(DATOS_[[Check Periodo Ref.]:[Check Periodo Ref.]]="Dentro",DATOS_[Conc.Sal.26]))))), 0)</f>
        <v>0</v>
      </c>
      <c r="AF73" s="209" t="n">
        <f aca="false" t="array" ref="AF73:AF73">IFERROR( AVERAGE((IF(DATOS_[[Sexo]:[Sexo]]=$B73,IF(DATOS_[[AGRUP. VALOR. PTO.]:[AGRUP. VALOR. PTO.]]=$B72,IF(DATOS_[[Check Periodo Ref.]:[Check Periodo Ref.]]="Dentro",DATOS_[Conc.Sal.27]))))), 0)</f>
        <v>0</v>
      </c>
      <c r="AG73" s="209" t="n">
        <f aca="false" t="array" ref="AG73:AG73">IFERROR( AVERAGE((IF(DATOS_[[Sexo]:[Sexo]]=$B73,IF(DATOS_[[AGRUP. VALOR. PTO.]:[AGRUP. VALOR. PTO.]]=$B72,IF(DATOS_[[Check Periodo Ref.]:[Check Periodo Ref.]]="Dentro",DATOS_[Conc.Sal.28]))))), 0)</f>
        <v>0</v>
      </c>
      <c r="AH73" s="209" t="n">
        <f aca="false" t="array" ref="AH73:AH73">IFERROR( AVERAGE((IF(DATOS_[[Sexo]:[Sexo]]=$B73,IF(DATOS_[[AGRUP. VALOR. PTO.]:[AGRUP. VALOR. PTO.]]=$B72,IF(DATOS_[[Check Periodo Ref.]:[Check Periodo Ref.]]="Dentro",DATOS_[Conc.Sal.29]))))), 0)</f>
        <v>0</v>
      </c>
      <c r="AI73" s="209" t="n">
        <f aca="false" t="array" ref="AI73:AI73">IFERROR( AVERAGE((IF(DATOS_[[Sexo]:[Sexo]]=$B73,IF(DATOS_[[AGRUP. VALOR. PTO.]:[AGRUP. VALOR. PTO.]]=$B72,IF(DATOS_[[Check Periodo Ref.]:[Check Periodo Ref.]]="Dentro",DATOS_[Conc.Sal.30]))))), 0)</f>
        <v>0</v>
      </c>
      <c r="AJ73" s="210" t="n">
        <f aca="false" t="array" ref="AJ73:AJ73">IFERROR( AVERAGE(IF(DATOS_[Sexo]=$B73,IF(DATOS_[AGRUP. VALOR. PTO.]=$B72,IF(DATOS_[Check Periodo Ref.]="Dentro",DATOS_[Tot COMPL.SAL Ef],0)))), 0)</f>
        <v>0</v>
      </c>
      <c r="AK73" s="211" t="n">
        <f aca="false" t="array" ref="AK73:AK73">IFERROR( AVERAGE(IF(DATOS_[Sexo]=$B73,IF(DATOS_[AGRUP. VALOR. PTO.]=$B72,IF(DATOS_[Check Periodo Ref.]="Dentro",DATOS_[TOTAL SALARIO Ef],0)))), 0)</f>
        <v>0</v>
      </c>
      <c r="AL73" s="212" t="n">
        <f aca="false" t="array" ref="AL73:AL73">IFERROR( AVERAGE((IF(DATOS_[[Sexo]:[Sexo]]=$B73,IF(DATOS_[[AGRUP. VALOR. PTO.]:[AGRUP. VALOR. PTO.]]=$B72,IF(DATOS_[[Check Periodo Ref.]:[Check Periodo Ref.]]="Dentro",DATOS_[C.Extra.01]))))), 0)</f>
        <v>0</v>
      </c>
      <c r="AM73" s="212" t="n">
        <f aca="false" t="array" ref="AM73:AM73">IFERROR( AVERAGE((IF(DATOS_[[Sexo]:[Sexo]]=$B73,IF(DATOS_[[AGRUP. VALOR. PTO.]:[AGRUP. VALOR. PTO.]]=$B72,IF(DATOS_[[Check Periodo Ref.]:[Check Periodo Ref.]]="Dentro",DATOS_[C.Extra.02]))))), 0)</f>
        <v>0</v>
      </c>
      <c r="AN73" s="212" t="n">
        <f aca="false" t="array" ref="AN73:AN73">IFERROR( AVERAGE((IF(DATOS_[[Sexo]:[Sexo]]=$B73,IF(DATOS_[[AGRUP. VALOR. PTO.]:[AGRUP. VALOR. PTO.]]=$B72,IF(DATOS_[[Check Periodo Ref.]:[Check Periodo Ref.]]="Dentro",DATOS_[C.Extra.03]))))), 0)</f>
        <v>0</v>
      </c>
      <c r="AO73" s="212" t="n">
        <f aca="false" t="array" ref="AO73:AO73">IFERROR( AVERAGE((IF(DATOS_[[Sexo]:[Sexo]]=$B73,IF(DATOS_[[AGRUP. VALOR. PTO.]:[AGRUP. VALOR. PTO.]]=$B72,IF(DATOS_[[Check Periodo Ref.]:[Check Periodo Ref.]]="Dentro",DATOS_[C.Extra.04]))))), 0)</f>
        <v>0</v>
      </c>
      <c r="AP73" s="212" t="n">
        <f aca="false" t="array" ref="AP73:AP73">IFERROR( AVERAGE((IF(DATOS_[[Sexo]:[Sexo]]=$B73,IF(DATOS_[[AGRUP. VALOR. PTO.]:[AGRUP. VALOR. PTO.]]=$B72,IF(DATOS_[[Check Periodo Ref.]:[Check Periodo Ref.]]="Dentro",DATOS_[C.Extra.05]))))), 0)</f>
        <v>0</v>
      </c>
      <c r="AQ73" s="213" t="n">
        <f aca="false" t="array" ref="AQ73:AQ73">IFERROR( AVERAGE(IF(DATOS_[Sexo]=$B73,IF(DATOS_[AGRUP. VALOR. PTO.]=$B72,IF(DATOS_[Check Periodo Ref.]="Dentro",DATOS_[Tot Extrasalarial Ef],0)))), 0)</f>
        <v>0</v>
      </c>
      <c r="AR73" s="214" t="n">
        <f aca="false" t="array" ref="AR73:AR73">IFERROR( AVERAGE(IF(DATOS_[Sexo]=$B73,IF(DATOS_[AGRUP. VALOR. PTO.]=$B72,IF(DATOS_[Check Periodo Ref.]="Dentro",DATOS_[TOTAL Retrib Ef],0)))), 0)</f>
        <v>0</v>
      </c>
    </row>
    <row r="74" customFormat="false" ht="14.25" hidden="false" customHeight="false" outlineLevel="0" collapsed="false">
      <c r="A74" s="191" t="str">
        <f aca="false">+A73</f>
        <v>[ocultar]</v>
      </c>
      <c r="B74" s="205" t="s">
        <v>372</v>
      </c>
      <c r="C74" s="206" t="n">
        <f aca="false" t="array" ref="C74:C74">SUM(IF($B74=DATOS_[Sexo], IF($B72=DATOS_[AGRUP. VALOR. PTO.], IF("Dentro"=DATOS_[Check Periodo Ref.], 1/(COUNTIFS(DATOS_[Sexo],$B74,DATOS_[AGRUP. VALOR. PTO.],$B72,DATOS_[Check Periodo Ref.],"Dentro",DATOS_[id],DATOS_[id]))))))</f>
        <v>0</v>
      </c>
      <c r="D74" s="207" t="n">
        <f aca="false">COUNTIFS(DATOS_[AGRUP. VALOR. PTO.],$B72,DATOS_[Sexo],$B74,DATOS_[Check Periodo Ref.],"Dentro")</f>
        <v>0</v>
      </c>
      <c r="E74" s="208" t="n">
        <f aca="false" t="array" ref="E74:E74">IFERROR( AVERAGE(IF(DATOS_[Sexo]=$B74,IF(DATOS_[AGRUP. VALOR. PTO.]=$B72,IF(DATOS_[Check Periodo Ref.]="Dentro",DATOS_[SALARIO BASE Ef],0)))), 0)</f>
        <v>0</v>
      </c>
      <c r="F74" s="209" t="n">
        <f aca="false" t="array" ref="F74:F74">IFERROR( AVERAGE((IF(DATOS_[[Sexo]:[Sexo]]=$B74,IF(DATOS_[[AGRUP. VALOR. PTO.]:[AGRUP. VALOR. PTO.]]=$B72,IF(DATOS_[[Check Periodo Ref.]:[Check Periodo Ref.]]="Dentro",DATOS_[Conc.Sal.01]))))), 0)</f>
        <v>0</v>
      </c>
      <c r="G74" s="209" t="n">
        <f aca="false" t="array" ref="G74:G74">IFERROR( AVERAGE((IF(DATOS_[[Sexo]:[Sexo]]=$B74,IF(DATOS_[[AGRUP. VALOR. PTO.]:[AGRUP. VALOR. PTO.]]=$B72,IF(DATOS_[[Check Periodo Ref.]:[Check Periodo Ref.]]="Dentro",DATOS_[Conc.Sal.02]))))), 0)</f>
        <v>0</v>
      </c>
      <c r="H74" s="209" t="n">
        <f aca="false" t="array" ref="H74:H74">IFERROR( AVERAGE((IF(DATOS_[[Sexo]:[Sexo]]=$B74,IF(DATOS_[[AGRUP. VALOR. PTO.]:[AGRUP. VALOR. PTO.]]=$B72,IF(DATOS_[[Check Periodo Ref.]:[Check Periodo Ref.]]="Dentro",DATOS_[Conc.Sal.03]))))), 0)</f>
        <v>0</v>
      </c>
      <c r="I74" s="209" t="n">
        <f aca="false" t="array" ref="I74:I74">IFERROR( AVERAGE((IF(DATOS_[[Sexo]:[Sexo]]=$B74,IF(DATOS_[[AGRUP. VALOR. PTO.]:[AGRUP. VALOR. PTO.]]=$B72,IF(DATOS_[[Check Periodo Ref.]:[Check Periodo Ref.]]="Dentro",DATOS_[Conc.Sal.04]))))), 0)</f>
        <v>0</v>
      </c>
      <c r="J74" s="209" t="n">
        <f aca="false" t="array" ref="J74:J74">IFERROR( AVERAGE((IF(DATOS_[[Sexo]:[Sexo]]=$B74,IF(DATOS_[[AGRUP. VALOR. PTO.]:[AGRUP. VALOR. PTO.]]=$B72,IF(DATOS_[[Check Periodo Ref.]:[Check Periodo Ref.]]="Dentro",DATOS_[Conc.Sal.05]))))), 0)</f>
        <v>0</v>
      </c>
      <c r="K74" s="209" t="n">
        <f aca="false" t="array" ref="K74:K74">IFERROR( AVERAGE((IF(DATOS_[[Sexo]:[Sexo]]=$B74,IF(DATOS_[[AGRUP. VALOR. PTO.]:[AGRUP. VALOR. PTO.]]=$B72,IF(DATOS_[[Check Periodo Ref.]:[Check Periodo Ref.]]="Dentro",DATOS_[Conc.Sal.06]))))), 0)</f>
        <v>0</v>
      </c>
      <c r="L74" s="209" t="n">
        <f aca="false" t="array" ref="L74:L74">IFERROR( AVERAGE((IF(DATOS_[[Sexo]:[Sexo]]=$B74,IF(DATOS_[[AGRUP. VALOR. PTO.]:[AGRUP. VALOR. PTO.]]=$B72,IF(DATOS_[[Check Periodo Ref.]:[Check Periodo Ref.]]="Dentro",DATOS_[Conc.Sal.07]))))), 0)</f>
        <v>0</v>
      </c>
      <c r="M74" s="209" t="n">
        <f aca="false" t="array" ref="M74:M74">IFERROR( AVERAGE((IF(DATOS_[[Sexo]:[Sexo]]=$B74,IF(DATOS_[[AGRUP. VALOR. PTO.]:[AGRUP. VALOR. PTO.]]=$B72,IF(DATOS_[[Check Periodo Ref.]:[Check Periodo Ref.]]="Dentro",DATOS_[Conc.Sal.08]))))), 0)</f>
        <v>0</v>
      </c>
      <c r="N74" s="209" t="n">
        <f aca="false" t="array" ref="N74:N74">IFERROR( AVERAGE((IF(DATOS_[[Sexo]:[Sexo]]=$B74,IF(DATOS_[[AGRUP. VALOR. PTO.]:[AGRUP. VALOR. PTO.]]=$B72,IF(DATOS_[[Check Periodo Ref.]:[Check Periodo Ref.]]="Dentro",DATOS_[Conc.Sal.09]))))), 0)</f>
        <v>0</v>
      </c>
      <c r="O74" s="209" t="n">
        <f aca="false" t="array" ref="O74:O74">IFERROR( AVERAGE((IF(DATOS_[[Sexo]:[Sexo]]=$B74,IF(DATOS_[[AGRUP. VALOR. PTO.]:[AGRUP. VALOR. PTO.]]=$B72,IF(DATOS_[[Check Periodo Ref.]:[Check Periodo Ref.]]="Dentro",DATOS_[Conc.Sal.10]))))), 0)</f>
        <v>0</v>
      </c>
      <c r="P74" s="209" t="n">
        <f aca="false" t="array" ref="P74:P74">IFERROR( AVERAGE((IF(DATOS_[[Sexo]:[Sexo]]=$B74,IF(DATOS_[[AGRUP. VALOR. PTO.]:[AGRUP. VALOR. PTO.]]=$B72,IF(DATOS_[[Check Periodo Ref.]:[Check Periodo Ref.]]="Dentro",DATOS_[Conc.Sal.11]))))), 0)</f>
        <v>0</v>
      </c>
      <c r="Q74" s="209" t="n">
        <f aca="false" t="array" ref="Q74:Q74">IFERROR( AVERAGE((IF(DATOS_[[Sexo]:[Sexo]]=$B74,IF(DATOS_[[AGRUP. VALOR. PTO.]:[AGRUP. VALOR. PTO.]]=$B72,IF(DATOS_[[Check Periodo Ref.]:[Check Periodo Ref.]]="Dentro",DATOS_[Conc.Sal.12]))))), 0)</f>
        <v>0</v>
      </c>
      <c r="R74" s="209" t="n">
        <f aca="false" t="array" ref="R74:R74">IFERROR( AVERAGE((IF(DATOS_[[Sexo]:[Sexo]]=$B74,IF(DATOS_[[AGRUP. VALOR. PTO.]:[AGRUP. VALOR. PTO.]]=$B72,IF(DATOS_[[Check Periodo Ref.]:[Check Periodo Ref.]]="Dentro",DATOS_[Conc.Sal.13]))))), 0)</f>
        <v>0</v>
      </c>
      <c r="S74" s="209" t="n">
        <f aca="false" t="array" ref="S74:S74">IFERROR( AVERAGE((IF(DATOS_[[Sexo]:[Sexo]]=$B74,IF(DATOS_[[AGRUP. VALOR. PTO.]:[AGRUP. VALOR. PTO.]]=$B72,IF(DATOS_[[Check Periodo Ref.]:[Check Periodo Ref.]]="Dentro",DATOS_[Conc.Sal.14]))))), 0)</f>
        <v>0</v>
      </c>
      <c r="T74" s="209" t="n">
        <f aca="false" t="array" ref="T74:T74">IFERROR( AVERAGE((IF(DATOS_[[Sexo]:[Sexo]]=$B74,IF(DATOS_[[AGRUP. VALOR. PTO.]:[AGRUP. VALOR. PTO.]]=$B72,IF(DATOS_[[Check Periodo Ref.]:[Check Periodo Ref.]]="Dentro",DATOS_[Conc.Sal.15]))))), 0)</f>
        <v>0</v>
      </c>
      <c r="U74" s="209" t="n">
        <f aca="false" t="array" ref="U74:U74">IFERROR( AVERAGE((IF(DATOS_[[Sexo]:[Sexo]]=$B74,IF(DATOS_[[AGRUP. VALOR. PTO.]:[AGRUP. VALOR. PTO.]]=$B72,IF(DATOS_[[Check Periodo Ref.]:[Check Periodo Ref.]]="Dentro",DATOS_[Conc.Sal.16]))))), 0)</f>
        <v>0</v>
      </c>
      <c r="V74" s="209" t="n">
        <f aca="false" t="array" ref="V74:V74">IFERROR( AVERAGE((IF(DATOS_[[Sexo]:[Sexo]]=$B74,IF(DATOS_[[AGRUP. VALOR. PTO.]:[AGRUP. VALOR. PTO.]]=$B72,IF(DATOS_[[Check Periodo Ref.]:[Check Periodo Ref.]]="Dentro",DATOS_[Conc.Sal.17]))))), 0)</f>
        <v>0</v>
      </c>
      <c r="W74" s="209" t="n">
        <f aca="false" t="array" ref="W74:W74">IFERROR( AVERAGE((IF(DATOS_[[Sexo]:[Sexo]]=$B74,IF(DATOS_[[AGRUP. VALOR. PTO.]:[AGRUP. VALOR. PTO.]]=$B72,IF(DATOS_[[Check Periodo Ref.]:[Check Periodo Ref.]]="Dentro",DATOS_[Conc.Sal.18]))))), 0)</f>
        <v>0</v>
      </c>
      <c r="X74" s="209" t="n">
        <f aca="false" t="array" ref="X74:X74">IFERROR( AVERAGE((IF(DATOS_[[Sexo]:[Sexo]]=$B74,IF(DATOS_[[AGRUP. VALOR. PTO.]:[AGRUP. VALOR. PTO.]]=$B72,IF(DATOS_[[Check Periodo Ref.]:[Check Periodo Ref.]]="Dentro",DATOS_[Conc.Sal.19]))))), 0)</f>
        <v>0</v>
      </c>
      <c r="Y74" s="209" t="n">
        <f aca="false" t="array" ref="Y74:Y74">IFERROR( AVERAGE((IF(DATOS_[[Sexo]:[Sexo]]=$B74,IF(DATOS_[[AGRUP. VALOR. PTO.]:[AGRUP. VALOR. PTO.]]=$B72,IF(DATOS_[[Check Periodo Ref.]:[Check Periodo Ref.]]="Dentro",DATOS_[Conc.Sal.20]))))), 0)</f>
        <v>0</v>
      </c>
      <c r="Z74" s="209" t="n">
        <f aca="false" t="array" ref="Z74:Z74">IFERROR( AVERAGE((IF(DATOS_[[Sexo]:[Sexo]]=$B74,IF(DATOS_[[AGRUP. VALOR. PTO.]:[AGRUP. VALOR. PTO.]]=$B72,IF(DATOS_[[Check Periodo Ref.]:[Check Periodo Ref.]]="Dentro",DATOS_[Conc.Sal.21]))))), 0)</f>
        <v>0</v>
      </c>
      <c r="AA74" s="209" t="n">
        <f aca="false" t="array" ref="AA74:AA74">IFERROR( AVERAGE((IF(DATOS_[[Sexo]:[Sexo]]=$B74,IF(DATOS_[[AGRUP. VALOR. PTO.]:[AGRUP. VALOR. PTO.]]=$B72,IF(DATOS_[[Check Periodo Ref.]:[Check Periodo Ref.]]="Dentro",DATOS_[Conc.Sal.22]))))), 0)</f>
        <v>0</v>
      </c>
      <c r="AB74" s="209" t="n">
        <f aca="false" t="array" ref="AB74:AB74">IFERROR( AVERAGE((IF(DATOS_[[Sexo]:[Sexo]]=$B74,IF(DATOS_[[AGRUP. VALOR. PTO.]:[AGRUP. VALOR. PTO.]]=$B72,IF(DATOS_[[Check Periodo Ref.]:[Check Periodo Ref.]]="Dentro",DATOS_[Conc.Sal.23]))))), 0)</f>
        <v>0</v>
      </c>
      <c r="AC74" s="209" t="n">
        <f aca="false" t="array" ref="AC74:AC74">IFERROR( AVERAGE((IF(DATOS_[[Sexo]:[Sexo]]=$B74,IF(DATOS_[[AGRUP. VALOR. PTO.]:[AGRUP. VALOR. PTO.]]=$B72,IF(DATOS_[[Check Periodo Ref.]:[Check Periodo Ref.]]="Dentro",DATOS_[Conc.Sal.24]))))), 0)</f>
        <v>0</v>
      </c>
      <c r="AD74" s="209" t="n">
        <f aca="false" t="array" ref="AD74:AD74">IFERROR( AVERAGE((IF(DATOS_[[Sexo]:[Sexo]]=$B74,IF(DATOS_[[AGRUP. VALOR. PTO.]:[AGRUP. VALOR. PTO.]]=$B72,IF(DATOS_[[Check Periodo Ref.]:[Check Periodo Ref.]]="Dentro",DATOS_[Conc.Sal.25]))))), 0)</f>
        <v>0</v>
      </c>
      <c r="AE74" s="209" t="n">
        <f aca="false" t="array" ref="AE74:AE74">IFERROR( AVERAGE((IF(DATOS_[[Sexo]:[Sexo]]=$B74,IF(DATOS_[[AGRUP. VALOR. PTO.]:[AGRUP. VALOR. PTO.]]=$B72,IF(DATOS_[[Check Periodo Ref.]:[Check Periodo Ref.]]="Dentro",DATOS_[Conc.Sal.26]))))), 0)</f>
        <v>0</v>
      </c>
      <c r="AF74" s="209" t="n">
        <f aca="false" t="array" ref="AF74:AF74">IFERROR( AVERAGE((IF(DATOS_[[Sexo]:[Sexo]]=$B74,IF(DATOS_[[AGRUP. VALOR. PTO.]:[AGRUP. VALOR. PTO.]]=$B72,IF(DATOS_[[Check Periodo Ref.]:[Check Periodo Ref.]]="Dentro",DATOS_[Conc.Sal.27]))))), 0)</f>
        <v>0</v>
      </c>
      <c r="AG74" s="209" t="n">
        <f aca="false" t="array" ref="AG74:AG74">IFERROR( AVERAGE((IF(DATOS_[[Sexo]:[Sexo]]=$B74,IF(DATOS_[[AGRUP. VALOR. PTO.]:[AGRUP. VALOR. PTO.]]=$B72,IF(DATOS_[[Check Periodo Ref.]:[Check Periodo Ref.]]="Dentro",DATOS_[Conc.Sal.28]))))), 0)</f>
        <v>0</v>
      </c>
      <c r="AH74" s="209" t="n">
        <f aca="false" t="array" ref="AH74:AH74">IFERROR( AVERAGE((IF(DATOS_[[Sexo]:[Sexo]]=$B74,IF(DATOS_[[AGRUP. VALOR. PTO.]:[AGRUP. VALOR. PTO.]]=$B72,IF(DATOS_[[Check Periodo Ref.]:[Check Periodo Ref.]]="Dentro",DATOS_[Conc.Sal.29]))))), 0)</f>
        <v>0</v>
      </c>
      <c r="AI74" s="209" t="n">
        <f aca="false" t="array" ref="AI74:AI74">IFERROR( AVERAGE((IF(DATOS_[[Sexo]:[Sexo]]=$B74,IF(DATOS_[[AGRUP. VALOR. PTO.]:[AGRUP. VALOR. PTO.]]=$B72,IF(DATOS_[[Check Periodo Ref.]:[Check Periodo Ref.]]="Dentro",DATOS_[Conc.Sal.30]))))), 0)</f>
        <v>0</v>
      </c>
      <c r="AJ74" s="210" t="n">
        <f aca="false" t="array" ref="AJ74:AJ74">IFERROR( AVERAGE(IF(DATOS_[Sexo]=$B74,IF(DATOS_[AGRUP. VALOR. PTO.]=$B72,IF(DATOS_[Check Periodo Ref.]="Dentro",DATOS_[Tot COMPL.SAL Ef],0)))), 0)</f>
        <v>0</v>
      </c>
      <c r="AK74" s="211" t="n">
        <f aca="false" t="array" ref="AK74:AK74">IFERROR( AVERAGE(IF(DATOS_[Sexo]=$B74,IF(DATOS_[AGRUP. VALOR. PTO.]=$B72,IF(DATOS_[Check Periodo Ref.]="Dentro",DATOS_[TOTAL SALARIO Ef],0)))), 0)</f>
        <v>0</v>
      </c>
      <c r="AL74" s="212" t="n">
        <f aca="false" t="array" ref="AL74:AL74">IFERROR( AVERAGE((IF(DATOS_[[Sexo]:[Sexo]]=$B74,IF(DATOS_[[AGRUP. VALOR. PTO.]:[AGRUP. VALOR. PTO.]]=$B72,IF(DATOS_[[Check Periodo Ref.]:[Check Periodo Ref.]]="Dentro",DATOS_[C.Extra.01]))))), 0)</f>
        <v>0</v>
      </c>
      <c r="AM74" s="212" t="n">
        <f aca="false" t="array" ref="AM74:AM74">IFERROR( AVERAGE((IF(DATOS_[[Sexo]:[Sexo]]=$B74,IF(DATOS_[[AGRUP. VALOR. PTO.]:[AGRUP. VALOR. PTO.]]=$B72,IF(DATOS_[[Check Periodo Ref.]:[Check Periodo Ref.]]="Dentro",DATOS_[C.Extra.02]))))), 0)</f>
        <v>0</v>
      </c>
      <c r="AN74" s="212" t="n">
        <f aca="false" t="array" ref="AN74:AN74">IFERROR( AVERAGE((IF(DATOS_[[Sexo]:[Sexo]]=$B74,IF(DATOS_[[AGRUP. VALOR. PTO.]:[AGRUP. VALOR. PTO.]]=$B72,IF(DATOS_[[Check Periodo Ref.]:[Check Periodo Ref.]]="Dentro",DATOS_[C.Extra.03]))))), 0)</f>
        <v>0</v>
      </c>
      <c r="AO74" s="212" t="n">
        <f aca="false" t="array" ref="AO74:AO74">IFERROR( AVERAGE((IF(DATOS_[[Sexo]:[Sexo]]=$B74,IF(DATOS_[[AGRUP. VALOR. PTO.]:[AGRUP. VALOR. PTO.]]=$B72,IF(DATOS_[[Check Periodo Ref.]:[Check Periodo Ref.]]="Dentro",DATOS_[C.Extra.04]))))), 0)</f>
        <v>0</v>
      </c>
      <c r="AP74" s="212" t="n">
        <f aca="false" t="array" ref="AP74:AP74">IFERROR( AVERAGE((IF(DATOS_[[Sexo]:[Sexo]]=$B74,IF(DATOS_[[AGRUP. VALOR. PTO.]:[AGRUP. VALOR. PTO.]]=$B72,IF(DATOS_[[Check Periodo Ref.]:[Check Periodo Ref.]]="Dentro",DATOS_[C.Extra.05]))))), 0)</f>
        <v>0</v>
      </c>
      <c r="AQ74" s="213" t="n">
        <f aca="false" t="array" ref="AQ74:AQ74">IFERROR( AVERAGE(IF(DATOS_[Sexo]=$B74,IF(DATOS_[AGRUP. VALOR. PTO.]=$B72,IF(DATOS_[Check Periodo Ref.]="Dentro",DATOS_[Tot Extrasalarial Ef],0)))), 0)</f>
        <v>0</v>
      </c>
      <c r="AR74" s="214" t="n">
        <f aca="false" t="array" ref="AR74:AR74">IFERROR( AVERAGE(IF(DATOS_[Sexo]=$B74,IF(DATOS_[AGRUP. VALOR. PTO.]=$B72,IF(DATOS_[Check Periodo Ref.]="Dentro",DATOS_[TOTAL Retrib Ef],0)))), 0)</f>
        <v>0</v>
      </c>
    </row>
    <row r="75" customFormat="false" ht="15.75" hidden="false" customHeight="false" outlineLevel="0" collapsed="false">
      <c r="A75" s="191" t="str">
        <f aca="false">+A76</f>
        <v>[ocultar]</v>
      </c>
      <c r="B75" s="192" t="s">
        <v>229</v>
      </c>
      <c r="C75" s="193"/>
      <c r="D75" s="194"/>
      <c r="E75" s="195" t="str">
        <f aca="false">IFERROR((E76-E77)/E76,"")</f>
        <v/>
      </c>
      <c r="F75" s="196" t="str">
        <f aca="false">IFERROR((F76-F77)/F76,"")</f>
        <v/>
      </c>
      <c r="G75" s="197" t="str">
        <f aca="false">IFERROR((G76-G77)/G76,"")</f>
        <v/>
      </c>
      <c r="H75" s="197" t="str">
        <f aca="false">IFERROR((H76-H77)/H76,"")</f>
        <v/>
      </c>
      <c r="I75" s="197" t="str">
        <f aca="false">IFERROR((I76-I77)/I76,"")</f>
        <v/>
      </c>
      <c r="J75" s="198" t="str">
        <f aca="false">IFERROR((J76-J77)/J76,"")</f>
        <v/>
      </c>
      <c r="K75" s="199" t="str">
        <f aca="false">IFERROR((K76-K77)/K76,"")</f>
        <v/>
      </c>
      <c r="L75" s="199" t="str">
        <f aca="false">IFERROR((L76-L77)/L76,"")</f>
        <v/>
      </c>
      <c r="M75" s="199" t="str">
        <f aca="false">IFERROR((M76-M77)/M76,"")</f>
        <v/>
      </c>
      <c r="N75" s="199" t="str">
        <f aca="false">IFERROR((N76-N77)/N76,"")</f>
        <v/>
      </c>
      <c r="O75" s="199" t="str">
        <f aca="false">IFERROR((O76-O77)/O76,"")</f>
        <v/>
      </c>
      <c r="P75" s="199" t="str">
        <f aca="false">IFERROR((P76-P77)/P76,"")</f>
        <v/>
      </c>
      <c r="Q75" s="199" t="str">
        <f aca="false">IFERROR((Q76-Q77)/Q76,"")</f>
        <v/>
      </c>
      <c r="R75" s="199" t="str">
        <f aca="false">IFERROR((R76-R77)/R76,"")</f>
        <v/>
      </c>
      <c r="S75" s="199" t="str">
        <f aca="false">IFERROR((S76-S77)/S76,"")</f>
        <v/>
      </c>
      <c r="T75" s="199" t="str">
        <f aca="false">IFERROR((T76-T77)/T76,"")</f>
        <v/>
      </c>
      <c r="U75" s="199" t="str">
        <f aca="false">IFERROR((U76-U77)/U76,"")</f>
        <v/>
      </c>
      <c r="V75" s="198" t="str">
        <f aca="false">IFERROR((V76-V77)/V76,"")</f>
        <v/>
      </c>
      <c r="W75" s="198" t="str">
        <f aca="false">IFERROR((W76-W77)/W76,"")</f>
        <v/>
      </c>
      <c r="X75" s="198" t="str">
        <f aca="false">IFERROR((X76-X77)/X76,"")</f>
        <v/>
      </c>
      <c r="Y75" s="198" t="str">
        <f aca="false">IFERROR((Y76-Y77)/Y76,"")</f>
        <v/>
      </c>
      <c r="Z75" s="198" t="str">
        <f aca="false">IFERROR((Z76-Z77)/Z76,"")</f>
        <v/>
      </c>
      <c r="AA75" s="198" t="str">
        <f aca="false">IFERROR((AA76-AA77)/AA76,"")</f>
        <v/>
      </c>
      <c r="AB75" s="198" t="str">
        <f aca="false">IFERROR((AB76-AB77)/AB76,"")</f>
        <v/>
      </c>
      <c r="AC75" s="198" t="str">
        <f aca="false">IFERROR((AC76-AC77)/AC76,"")</f>
        <v/>
      </c>
      <c r="AD75" s="198" t="str">
        <f aca="false">IFERROR((AD76-AD77)/AD76,"")</f>
        <v/>
      </c>
      <c r="AE75" s="198" t="str">
        <f aca="false">IFERROR((AE76-AE77)/AE76,"")</f>
        <v/>
      </c>
      <c r="AF75" s="198" t="str">
        <f aca="false">IFERROR((AF76-AF77)/AF76,"")</f>
        <v/>
      </c>
      <c r="AG75" s="198" t="str">
        <f aca="false">IFERROR((AG76-AG77)/AG76,"")</f>
        <v/>
      </c>
      <c r="AH75" s="198" t="str">
        <f aca="false">IFERROR((AH76-AH77)/AH76,"")</f>
        <v/>
      </c>
      <c r="AI75" s="198" t="str">
        <f aca="false">IFERROR((AI76-AI77)/AI76,"")</f>
        <v/>
      </c>
      <c r="AJ75" s="200" t="str">
        <f aca="false">IFERROR((AJ76-AJ77)/AJ76,"")</f>
        <v/>
      </c>
      <c r="AK75" s="201" t="str">
        <f aca="false">IFERROR((AK76-AK77)/AK76,"")</f>
        <v/>
      </c>
      <c r="AL75" s="202" t="str">
        <f aca="false">IFERROR((AL76-AL77)/AL76,"")</f>
        <v/>
      </c>
      <c r="AM75" s="202" t="str">
        <f aca="false">IFERROR((AM76-AM77)/AM76,"")</f>
        <v/>
      </c>
      <c r="AN75" s="202" t="str">
        <f aca="false">IFERROR((AN76-AN77)/AN76,"")</f>
        <v/>
      </c>
      <c r="AO75" s="202" t="str">
        <f aca="false">IFERROR((AO76-AO77)/AO76,"")</f>
        <v/>
      </c>
      <c r="AP75" s="202" t="str">
        <f aca="false">IFERROR((AP76-AP77)/AP76,"")</f>
        <v/>
      </c>
      <c r="AQ75" s="203" t="str">
        <f aca="false">IFERROR((AQ76-AQ77)/AQ76,"")</f>
        <v/>
      </c>
      <c r="AR75" s="204" t="str">
        <f aca="false">IFERROR((AR76-AR77)/AR76,"")</f>
        <v/>
      </c>
    </row>
    <row r="76" customFormat="false" ht="14.25" hidden="false" customHeight="false" outlineLevel="0" collapsed="false">
      <c r="A76" s="191" t="str">
        <f aca="false">+IF(C76+C77=0,"[ocultar]","")</f>
        <v>[ocultar]</v>
      </c>
      <c r="B76" s="205" t="s">
        <v>371</v>
      </c>
      <c r="C76" s="206" t="n">
        <f aca="false" t="array" ref="C76:C76">SUM(IF($B76=DATOS_[Sexo], IF($B75=DATOS_[AGRUP. VALOR. PTO.], IF("Dentro"=DATOS_[Check Periodo Ref.], 1/(COUNTIFS(DATOS_[Sexo],$B76,DATOS_[AGRUP. VALOR. PTO.],$B75,DATOS_[Check Periodo Ref.],"Dentro",DATOS_[id],DATOS_[id]))))))</f>
        <v>0</v>
      </c>
      <c r="D76" s="207" t="n">
        <f aca="false">COUNTIFS(DATOS_[AGRUP. VALOR. PTO.],$B75,DATOS_[Sexo],$B76,DATOS_[Check Periodo Ref.],"Dentro")</f>
        <v>0</v>
      </c>
      <c r="E76" s="208" t="n">
        <f aca="false" t="array" ref="E76:E76">IFERROR( AVERAGE(IF(DATOS_[Sexo]=$B76,IF(DATOS_[AGRUP. VALOR. PTO.]=$B75,IF(DATOS_[Check Periodo Ref.]="Dentro",DATOS_[SALARIO BASE Ef],0)))), 0)</f>
        <v>0</v>
      </c>
      <c r="F76" s="209" t="n">
        <f aca="false" t="array" ref="F76:F76">IFERROR( AVERAGE((IF(DATOS_[[Sexo]:[Sexo]]=$B76,IF(DATOS_[[AGRUP. VALOR. PTO.]:[AGRUP. VALOR. PTO.]]=$B75,IF(DATOS_[[Check Periodo Ref.]:[Check Periodo Ref.]]="Dentro",DATOS_[Conc.Sal.01]))))), 0)</f>
        <v>0</v>
      </c>
      <c r="G76" s="209" t="n">
        <f aca="false" t="array" ref="G76:G76">IFERROR( AVERAGE((IF(DATOS_[[Sexo]:[Sexo]]=$B76,IF(DATOS_[[AGRUP. VALOR. PTO.]:[AGRUP. VALOR. PTO.]]=$B75,IF(DATOS_[[Check Periodo Ref.]:[Check Periodo Ref.]]="Dentro",DATOS_[Conc.Sal.02]))))), 0)</f>
        <v>0</v>
      </c>
      <c r="H76" s="209" t="n">
        <f aca="false" t="array" ref="H76:H76">IFERROR( AVERAGE((IF(DATOS_[[Sexo]:[Sexo]]=$B76,IF(DATOS_[[AGRUP. VALOR. PTO.]:[AGRUP. VALOR. PTO.]]=$B75,IF(DATOS_[[Check Periodo Ref.]:[Check Periodo Ref.]]="Dentro",DATOS_[Conc.Sal.03]))))), 0)</f>
        <v>0</v>
      </c>
      <c r="I76" s="209" t="n">
        <f aca="false" t="array" ref="I76:I76">IFERROR( AVERAGE((IF(DATOS_[[Sexo]:[Sexo]]=$B76,IF(DATOS_[[AGRUP. VALOR. PTO.]:[AGRUP. VALOR. PTO.]]=$B75,IF(DATOS_[[Check Periodo Ref.]:[Check Periodo Ref.]]="Dentro",DATOS_[Conc.Sal.04]))))), 0)</f>
        <v>0</v>
      </c>
      <c r="J76" s="209" t="n">
        <f aca="false" t="array" ref="J76:J76">IFERROR( AVERAGE((IF(DATOS_[[Sexo]:[Sexo]]=$B76,IF(DATOS_[[AGRUP. VALOR. PTO.]:[AGRUP. VALOR. PTO.]]=$B75,IF(DATOS_[[Check Periodo Ref.]:[Check Periodo Ref.]]="Dentro",DATOS_[Conc.Sal.05]))))), 0)</f>
        <v>0</v>
      </c>
      <c r="K76" s="209" t="n">
        <f aca="false" t="array" ref="K76:K76">IFERROR( AVERAGE((IF(DATOS_[[Sexo]:[Sexo]]=$B76,IF(DATOS_[[AGRUP. VALOR. PTO.]:[AGRUP. VALOR. PTO.]]=$B75,IF(DATOS_[[Check Periodo Ref.]:[Check Periodo Ref.]]="Dentro",DATOS_[Conc.Sal.06]))))), 0)</f>
        <v>0</v>
      </c>
      <c r="L76" s="209" t="n">
        <f aca="false" t="array" ref="L76:L76">IFERROR( AVERAGE((IF(DATOS_[[Sexo]:[Sexo]]=$B76,IF(DATOS_[[AGRUP. VALOR. PTO.]:[AGRUP. VALOR. PTO.]]=$B75,IF(DATOS_[[Check Periodo Ref.]:[Check Periodo Ref.]]="Dentro",DATOS_[Conc.Sal.07]))))), 0)</f>
        <v>0</v>
      </c>
      <c r="M76" s="209" t="n">
        <f aca="false" t="array" ref="M76:M76">IFERROR( AVERAGE((IF(DATOS_[[Sexo]:[Sexo]]=$B76,IF(DATOS_[[AGRUP. VALOR. PTO.]:[AGRUP. VALOR. PTO.]]=$B75,IF(DATOS_[[Check Periodo Ref.]:[Check Periodo Ref.]]="Dentro",DATOS_[Conc.Sal.08]))))), 0)</f>
        <v>0</v>
      </c>
      <c r="N76" s="209" t="n">
        <f aca="false" t="array" ref="N76:N76">IFERROR( AVERAGE((IF(DATOS_[[Sexo]:[Sexo]]=$B76,IF(DATOS_[[AGRUP. VALOR. PTO.]:[AGRUP. VALOR. PTO.]]=$B75,IF(DATOS_[[Check Periodo Ref.]:[Check Periodo Ref.]]="Dentro",DATOS_[Conc.Sal.09]))))), 0)</f>
        <v>0</v>
      </c>
      <c r="O76" s="209" t="n">
        <f aca="false" t="array" ref="O76:O76">IFERROR( AVERAGE((IF(DATOS_[[Sexo]:[Sexo]]=$B76,IF(DATOS_[[AGRUP. VALOR. PTO.]:[AGRUP. VALOR. PTO.]]=$B75,IF(DATOS_[[Check Periodo Ref.]:[Check Periodo Ref.]]="Dentro",DATOS_[Conc.Sal.10]))))), 0)</f>
        <v>0</v>
      </c>
      <c r="P76" s="209" t="n">
        <f aca="false" t="array" ref="P76:P76">IFERROR( AVERAGE((IF(DATOS_[[Sexo]:[Sexo]]=$B76,IF(DATOS_[[AGRUP. VALOR. PTO.]:[AGRUP. VALOR. PTO.]]=$B75,IF(DATOS_[[Check Periodo Ref.]:[Check Periodo Ref.]]="Dentro",DATOS_[Conc.Sal.11]))))), 0)</f>
        <v>0</v>
      </c>
      <c r="Q76" s="209" t="n">
        <f aca="false" t="array" ref="Q76:Q76">IFERROR( AVERAGE((IF(DATOS_[[Sexo]:[Sexo]]=$B76,IF(DATOS_[[AGRUP. VALOR. PTO.]:[AGRUP. VALOR. PTO.]]=$B75,IF(DATOS_[[Check Periodo Ref.]:[Check Periodo Ref.]]="Dentro",DATOS_[Conc.Sal.12]))))), 0)</f>
        <v>0</v>
      </c>
      <c r="R76" s="209" t="n">
        <f aca="false" t="array" ref="R76:R76">IFERROR( AVERAGE((IF(DATOS_[[Sexo]:[Sexo]]=$B76,IF(DATOS_[[AGRUP. VALOR. PTO.]:[AGRUP. VALOR. PTO.]]=$B75,IF(DATOS_[[Check Periodo Ref.]:[Check Periodo Ref.]]="Dentro",DATOS_[Conc.Sal.13]))))), 0)</f>
        <v>0</v>
      </c>
      <c r="S76" s="209" t="n">
        <f aca="false" t="array" ref="S76:S76">IFERROR( AVERAGE((IF(DATOS_[[Sexo]:[Sexo]]=$B76,IF(DATOS_[[AGRUP. VALOR. PTO.]:[AGRUP. VALOR. PTO.]]=$B75,IF(DATOS_[[Check Periodo Ref.]:[Check Periodo Ref.]]="Dentro",DATOS_[Conc.Sal.14]))))), 0)</f>
        <v>0</v>
      </c>
      <c r="T76" s="209" t="n">
        <f aca="false" t="array" ref="T76:T76">IFERROR( AVERAGE((IF(DATOS_[[Sexo]:[Sexo]]=$B76,IF(DATOS_[[AGRUP. VALOR. PTO.]:[AGRUP. VALOR. PTO.]]=$B75,IF(DATOS_[[Check Periodo Ref.]:[Check Periodo Ref.]]="Dentro",DATOS_[Conc.Sal.15]))))), 0)</f>
        <v>0</v>
      </c>
      <c r="U76" s="209" t="n">
        <f aca="false" t="array" ref="U76:U76">IFERROR( AVERAGE((IF(DATOS_[[Sexo]:[Sexo]]=$B76,IF(DATOS_[[AGRUP. VALOR. PTO.]:[AGRUP. VALOR. PTO.]]=$B75,IF(DATOS_[[Check Periodo Ref.]:[Check Periodo Ref.]]="Dentro",DATOS_[Conc.Sal.16]))))), 0)</f>
        <v>0</v>
      </c>
      <c r="V76" s="209" t="n">
        <f aca="false" t="array" ref="V76:V76">IFERROR( AVERAGE((IF(DATOS_[[Sexo]:[Sexo]]=$B76,IF(DATOS_[[AGRUP. VALOR. PTO.]:[AGRUP. VALOR. PTO.]]=$B75,IF(DATOS_[[Check Periodo Ref.]:[Check Periodo Ref.]]="Dentro",DATOS_[Conc.Sal.17]))))), 0)</f>
        <v>0</v>
      </c>
      <c r="W76" s="209" t="n">
        <f aca="false" t="array" ref="W76:W76">IFERROR( AVERAGE((IF(DATOS_[[Sexo]:[Sexo]]=$B76,IF(DATOS_[[AGRUP. VALOR. PTO.]:[AGRUP. VALOR. PTO.]]=$B75,IF(DATOS_[[Check Periodo Ref.]:[Check Periodo Ref.]]="Dentro",DATOS_[Conc.Sal.18]))))), 0)</f>
        <v>0</v>
      </c>
      <c r="X76" s="209" t="n">
        <f aca="false" t="array" ref="X76:X76">IFERROR( AVERAGE((IF(DATOS_[[Sexo]:[Sexo]]=$B76,IF(DATOS_[[AGRUP. VALOR. PTO.]:[AGRUP. VALOR. PTO.]]=$B75,IF(DATOS_[[Check Periodo Ref.]:[Check Periodo Ref.]]="Dentro",DATOS_[Conc.Sal.19]))))), 0)</f>
        <v>0</v>
      </c>
      <c r="Y76" s="209" t="n">
        <f aca="false" t="array" ref="Y76:Y76">IFERROR( AVERAGE((IF(DATOS_[[Sexo]:[Sexo]]=$B76,IF(DATOS_[[AGRUP. VALOR. PTO.]:[AGRUP. VALOR. PTO.]]=$B75,IF(DATOS_[[Check Periodo Ref.]:[Check Periodo Ref.]]="Dentro",DATOS_[Conc.Sal.20]))))), 0)</f>
        <v>0</v>
      </c>
      <c r="Z76" s="209" t="n">
        <f aca="false" t="array" ref="Z76:Z76">IFERROR( AVERAGE((IF(DATOS_[[Sexo]:[Sexo]]=$B76,IF(DATOS_[[AGRUP. VALOR. PTO.]:[AGRUP. VALOR. PTO.]]=$B75,IF(DATOS_[[Check Periodo Ref.]:[Check Periodo Ref.]]="Dentro",DATOS_[Conc.Sal.21]))))), 0)</f>
        <v>0</v>
      </c>
      <c r="AA76" s="209" t="n">
        <f aca="false" t="array" ref="AA76:AA76">IFERROR( AVERAGE((IF(DATOS_[[Sexo]:[Sexo]]=$B76,IF(DATOS_[[AGRUP. VALOR. PTO.]:[AGRUP. VALOR. PTO.]]=$B75,IF(DATOS_[[Check Periodo Ref.]:[Check Periodo Ref.]]="Dentro",DATOS_[Conc.Sal.22]))))), 0)</f>
        <v>0</v>
      </c>
      <c r="AB76" s="209" t="n">
        <f aca="false" t="array" ref="AB76:AB76">IFERROR( AVERAGE((IF(DATOS_[[Sexo]:[Sexo]]=$B76,IF(DATOS_[[AGRUP. VALOR. PTO.]:[AGRUP. VALOR. PTO.]]=$B75,IF(DATOS_[[Check Periodo Ref.]:[Check Periodo Ref.]]="Dentro",DATOS_[Conc.Sal.23]))))), 0)</f>
        <v>0</v>
      </c>
      <c r="AC76" s="209" t="n">
        <f aca="false" t="array" ref="AC76:AC76">IFERROR( AVERAGE((IF(DATOS_[[Sexo]:[Sexo]]=$B76,IF(DATOS_[[AGRUP. VALOR. PTO.]:[AGRUP. VALOR. PTO.]]=$B75,IF(DATOS_[[Check Periodo Ref.]:[Check Periodo Ref.]]="Dentro",DATOS_[Conc.Sal.24]))))), 0)</f>
        <v>0</v>
      </c>
      <c r="AD76" s="209" t="n">
        <f aca="false" t="array" ref="AD76:AD76">IFERROR( AVERAGE((IF(DATOS_[[Sexo]:[Sexo]]=$B76,IF(DATOS_[[AGRUP. VALOR. PTO.]:[AGRUP. VALOR. PTO.]]=$B75,IF(DATOS_[[Check Periodo Ref.]:[Check Periodo Ref.]]="Dentro",DATOS_[Conc.Sal.25]))))), 0)</f>
        <v>0</v>
      </c>
      <c r="AE76" s="209" t="n">
        <f aca="false" t="array" ref="AE76:AE76">IFERROR( AVERAGE((IF(DATOS_[[Sexo]:[Sexo]]=$B76,IF(DATOS_[[AGRUP. VALOR. PTO.]:[AGRUP. VALOR. PTO.]]=$B75,IF(DATOS_[[Check Periodo Ref.]:[Check Periodo Ref.]]="Dentro",DATOS_[Conc.Sal.26]))))), 0)</f>
        <v>0</v>
      </c>
      <c r="AF76" s="209" t="n">
        <f aca="false" t="array" ref="AF76:AF76">IFERROR( AVERAGE((IF(DATOS_[[Sexo]:[Sexo]]=$B76,IF(DATOS_[[AGRUP. VALOR. PTO.]:[AGRUP. VALOR. PTO.]]=$B75,IF(DATOS_[[Check Periodo Ref.]:[Check Periodo Ref.]]="Dentro",DATOS_[Conc.Sal.27]))))), 0)</f>
        <v>0</v>
      </c>
      <c r="AG76" s="209" t="n">
        <f aca="false" t="array" ref="AG76:AG76">IFERROR( AVERAGE((IF(DATOS_[[Sexo]:[Sexo]]=$B76,IF(DATOS_[[AGRUP. VALOR. PTO.]:[AGRUP. VALOR. PTO.]]=$B75,IF(DATOS_[[Check Periodo Ref.]:[Check Periodo Ref.]]="Dentro",DATOS_[Conc.Sal.28]))))), 0)</f>
        <v>0</v>
      </c>
      <c r="AH76" s="209" t="n">
        <f aca="false" t="array" ref="AH76:AH76">IFERROR( AVERAGE((IF(DATOS_[[Sexo]:[Sexo]]=$B76,IF(DATOS_[[AGRUP. VALOR. PTO.]:[AGRUP. VALOR. PTO.]]=$B75,IF(DATOS_[[Check Periodo Ref.]:[Check Periodo Ref.]]="Dentro",DATOS_[Conc.Sal.29]))))), 0)</f>
        <v>0</v>
      </c>
      <c r="AI76" s="209" t="n">
        <f aca="false" t="array" ref="AI76:AI76">IFERROR( AVERAGE((IF(DATOS_[[Sexo]:[Sexo]]=$B76,IF(DATOS_[[AGRUP. VALOR. PTO.]:[AGRUP. VALOR. PTO.]]=$B75,IF(DATOS_[[Check Periodo Ref.]:[Check Periodo Ref.]]="Dentro",DATOS_[Conc.Sal.30]))))), 0)</f>
        <v>0</v>
      </c>
      <c r="AJ76" s="210" t="n">
        <f aca="false" t="array" ref="AJ76:AJ76">IFERROR( AVERAGE(IF(DATOS_[Sexo]=$B76,IF(DATOS_[AGRUP. VALOR. PTO.]=$B75,IF(DATOS_[Check Periodo Ref.]="Dentro",DATOS_[Tot COMPL.SAL Ef],0)))), 0)</f>
        <v>0</v>
      </c>
      <c r="AK76" s="211" t="n">
        <f aca="false" t="array" ref="AK76:AK76">IFERROR( AVERAGE(IF(DATOS_[Sexo]=$B76,IF(DATOS_[AGRUP. VALOR. PTO.]=$B75,IF(DATOS_[Check Periodo Ref.]="Dentro",DATOS_[TOTAL SALARIO Ef],0)))), 0)</f>
        <v>0</v>
      </c>
      <c r="AL76" s="212" t="n">
        <f aca="false" t="array" ref="AL76:AL76">IFERROR( AVERAGE((IF(DATOS_[[Sexo]:[Sexo]]=$B76,IF(DATOS_[[AGRUP. VALOR. PTO.]:[AGRUP. VALOR. PTO.]]=$B75,IF(DATOS_[[Check Periodo Ref.]:[Check Periodo Ref.]]="Dentro",DATOS_[C.Extra.01]))))), 0)</f>
        <v>0</v>
      </c>
      <c r="AM76" s="212" t="n">
        <f aca="false" t="array" ref="AM76:AM76">IFERROR( AVERAGE((IF(DATOS_[[Sexo]:[Sexo]]=$B76,IF(DATOS_[[AGRUP. VALOR. PTO.]:[AGRUP. VALOR. PTO.]]=$B75,IF(DATOS_[[Check Periodo Ref.]:[Check Periodo Ref.]]="Dentro",DATOS_[C.Extra.02]))))), 0)</f>
        <v>0</v>
      </c>
      <c r="AN76" s="212" t="n">
        <f aca="false" t="array" ref="AN76:AN76">IFERROR( AVERAGE((IF(DATOS_[[Sexo]:[Sexo]]=$B76,IF(DATOS_[[AGRUP. VALOR. PTO.]:[AGRUP. VALOR. PTO.]]=$B75,IF(DATOS_[[Check Periodo Ref.]:[Check Periodo Ref.]]="Dentro",DATOS_[C.Extra.03]))))), 0)</f>
        <v>0</v>
      </c>
      <c r="AO76" s="212" t="n">
        <f aca="false" t="array" ref="AO76:AO76">IFERROR( AVERAGE((IF(DATOS_[[Sexo]:[Sexo]]=$B76,IF(DATOS_[[AGRUP. VALOR. PTO.]:[AGRUP. VALOR. PTO.]]=$B75,IF(DATOS_[[Check Periodo Ref.]:[Check Periodo Ref.]]="Dentro",DATOS_[C.Extra.04]))))), 0)</f>
        <v>0</v>
      </c>
      <c r="AP76" s="212" t="n">
        <f aca="false" t="array" ref="AP76:AP76">IFERROR( AVERAGE((IF(DATOS_[[Sexo]:[Sexo]]=$B76,IF(DATOS_[[AGRUP. VALOR. PTO.]:[AGRUP. VALOR. PTO.]]=$B75,IF(DATOS_[[Check Periodo Ref.]:[Check Periodo Ref.]]="Dentro",DATOS_[C.Extra.05]))))), 0)</f>
        <v>0</v>
      </c>
      <c r="AQ76" s="213" t="n">
        <f aca="false" t="array" ref="AQ76:AQ76">IFERROR( AVERAGE(IF(DATOS_[Sexo]=$B76,IF(DATOS_[AGRUP. VALOR. PTO.]=$B75,IF(DATOS_[Check Periodo Ref.]="Dentro",DATOS_[Tot Extrasalarial Ef],0)))), 0)</f>
        <v>0</v>
      </c>
      <c r="AR76" s="214" t="n">
        <f aca="false" t="array" ref="AR76:AR76">IFERROR( AVERAGE(IF(DATOS_[Sexo]=$B76,IF(DATOS_[AGRUP. VALOR. PTO.]=$B75,IF(DATOS_[Check Periodo Ref.]="Dentro",DATOS_[TOTAL Retrib Ef],0)))), 0)</f>
        <v>0</v>
      </c>
    </row>
    <row r="77" customFormat="false" ht="14.25" hidden="false" customHeight="false" outlineLevel="0" collapsed="false">
      <c r="A77" s="191" t="str">
        <f aca="false">+A76</f>
        <v>[ocultar]</v>
      </c>
      <c r="B77" s="205" t="s">
        <v>372</v>
      </c>
      <c r="C77" s="206" t="n">
        <f aca="false" t="array" ref="C77:C77">SUM(IF($B77=DATOS_[Sexo], IF($B75=DATOS_[AGRUP. VALOR. PTO.], IF("Dentro"=DATOS_[Check Periodo Ref.], 1/(COUNTIFS(DATOS_[Sexo],$B77,DATOS_[AGRUP. VALOR. PTO.],$B75,DATOS_[Check Periodo Ref.],"Dentro",DATOS_[id],DATOS_[id]))))))</f>
        <v>0</v>
      </c>
      <c r="D77" s="207" t="n">
        <f aca="false">COUNTIFS(DATOS_[AGRUP. VALOR. PTO.],$B75,DATOS_[Sexo],$B77,DATOS_[Check Periodo Ref.],"Dentro")</f>
        <v>0</v>
      </c>
      <c r="E77" s="208" t="n">
        <f aca="false" t="array" ref="E77:E77">IFERROR( AVERAGE(IF(DATOS_[Sexo]=$B77,IF(DATOS_[AGRUP. VALOR. PTO.]=$B75,IF(DATOS_[Check Periodo Ref.]="Dentro",DATOS_[SALARIO BASE Ef],0)))), 0)</f>
        <v>0</v>
      </c>
      <c r="F77" s="209" t="n">
        <f aca="false" t="array" ref="F77:F77">IFERROR( AVERAGE((IF(DATOS_[[Sexo]:[Sexo]]=$B77,IF(DATOS_[[AGRUP. VALOR. PTO.]:[AGRUP. VALOR. PTO.]]=$B75,IF(DATOS_[[Check Periodo Ref.]:[Check Periodo Ref.]]="Dentro",DATOS_[Conc.Sal.01]))))), 0)</f>
        <v>0</v>
      </c>
      <c r="G77" s="209" t="n">
        <f aca="false" t="array" ref="G77:G77">IFERROR( AVERAGE((IF(DATOS_[[Sexo]:[Sexo]]=$B77,IF(DATOS_[[AGRUP. VALOR. PTO.]:[AGRUP. VALOR. PTO.]]=$B75,IF(DATOS_[[Check Periodo Ref.]:[Check Periodo Ref.]]="Dentro",DATOS_[Conc.Sal.02]))))), 0)</f>
        <v>0</v>
      </c>
      <c r="H77" s="209" t="n">
        <f aca="false" t="array" ref="H77:H77">IFERROR( AVERAGE((IF(DATOS_[[Sexo]:[Sexo]]=$B77,IF(DATOS_[[AGRUP. VALOR. PTO.]:[AGRUP. VALOR. PTO.]]=$B75,IF(DATOS_[[Check Periodo Ref.]:[Check Periodo Ref.]]="Dentro",DATOS_[Conc.Sal.03]))))), 0)</f>
        <v>0</v>
      </c>
      <c r="I77" s="209" t="n">
        <f aca="false" t="array" ref="I77:I77">IFERROR( AVERAGE((IF(DATOS_[[Sexo]:[Sexo]]=$B77,IF(DATOS_[[AGRUP. VALOR. PTO.]:[AGRUP. VALOR. PTO.]]=$B75,IF(DATOS_[[Check Periodo Ref.]:[Check Periodo Ref.]]="Dentro",DATOS_[Conc.Sal.04]))))), 0)</f>
        <v>0</v>
      </c>
      <c r="J77" s="209" t="n">
        <f aca="false" t="array" ref="J77:J77">IFERROR( AVERAGE((IF(DATOS_[[Sexo]:[Sexo]]=$B77,IF(DATOS_[[AGRUP. VALOR. PTO.]:[AGRUP. VALOR. PTO.]]=$B75,IF(DATOS_[[Check Periodo Ref.]:[Check Periodo Ref.]]="Dentro",DATOS_[Conc.Sal.05]))))), 0)</f>
        <v>0</v>
      </c>
      <c r="K77" s="209" t="n">
        <f aca="false" t="array" ref="K77:K77">IFERROR( AVERAGE((IF(DATOS_[[Sexo]:[Sexo]]=$B77,IF(DATOS_[[AGRUP. VALOR. PTO.]:[AGRUP. VALOR. PTO.]]=$B75,IF(DATOS_[[Check Periodo Ref.]:[Check Periodo Ref.]]="Dentro",DATOS_[Conc.Sal.06]))))), 0)</f>
        <v>0</v>
      </c>
      <c r="L77" s="209" t="n">
        <f aca="false" t="array" ref="L77:L77">IFERROR( AVERAGE((IF(DATOS_[[Sexo]:[Sexo]]=$B77,IF(DATOS_[[AGRUP. VALOR. PTO.]:[AGRUP. VALOR. PTO.]]=$B75,IF(DATOS_[[Check Periodo Ref.]:[Check Periodo Ref.]]="Dentro",DATOS_[Conc.Sal.07]))))), 0)</f>
        <v>0</v>
      </c>
      <c r="M77" s="209" t="n">
        <f aca="false" t="array" ref="M77:M77">IFERROR( AVERAGE((IF(DATOS_[[Sexo]:[Sexo]]=$B77,IF(DATOS_[[AGRUP. VALOR. PTO.]:[AGRUP. VALOR. PTO.]]=$B75,IF(DATOS_[[Check Periodo Ref.]:[Check Periodo Ref.]]="Dentro",DATOS_[Conc.Sal.08]))))), 0)</f>
        <v>0</v>
      </c>
      <c r="N77" s="209" t="n">
        <f aca="false" t="array" ref="N77:N77">IFERROR( AVERAGE((IF(DATOS_[[Sexo]:[Sexo]]=$B77,IF(DATOS_[[AGRUP. VALOR. PTO.]:[AGRUP. VALOR. PTO.]]=$B75,IF(DATOS_[[Check Periodo Ref.]:[Check Periodo Ref.]]="Dentro",DATOS_[Conc.Sal.09]))))), 0)</f>
        <v>0</v>
      </c>
      <c r="O77" s="209" t="n">
        <f aca="false" t="array" ref="O77:O77">IFERROR( AVERAGE((IF(DATOS_[[Sexo]:[Sexo]]=$B77,IF(DATOS_[[AGRUP. VALOR. PTO.]:[AGRUP. VALOR. PTO.]]=$B75,IF(DATOS_[[Check Periodo Ref.]:[Check Periodo Ref.]]="Dentro",DATOS_[Conc.Sal.10]))))), 0)</f>
        <v>0</v>
      </c>
      <c r="P77" s="209" t="n">
        <f aca="false" t="array" ref="P77:P77">IFERROR( AVERAGE((IF(DATOS_[[Sexo]:[Sexo]]=$B77,IF(DATOS_[[AGRUP. VALOR. PTO.]:[AGRUP. VALOR. PTO.]]=$B75,IF(DATOS_[[Check Periodo Ref.]:[Check Periodo Ref.]]="Dentro",DATOS_[Conc.Sal.11]))))), 0)</f>
        <v>0</v>
      </c>
      <c r="Q77" s="209" t="n">
        <f aca="false" t="array" ref="Q77:Q77">IFERROR( AVERAGE((IF(DATOS_[[Sexo]:[Sexo]]=$B77,IF(DATOS_[[AGRUP. VALOR. PTO.]:[AGRUP. VALOR. PTO.]]=$B75,IF(DATOS_[[Check Periodo Ref.]:[Check Periodo Ref.]]="Dentro",DATOS_[Conc.Sal.12]))))), 0)</f>
        <v>0</v>
      </c>
      <c r="R77" s="209" t="n">
        <f aca="false" t="array" ref="R77:R77">IFERROR( AVERAGE((IF(DATOS_[[Sexo]:[Sexo]]=$B77,IF(DATOS_[[AGRUP. VALOR. PTO.]:[AGRUP. VALOR. PTO.]]=$B75,IF(DATOS_[[Check Periodo Ref.]:[Check Periodo Ref.]]="Dentro",DATOS_[Conc.Sal.13]))))), 0)</f>
        <v>0</v>
      </c>
      <c r="S77" s="209" t="n">
        <f aca="false" t="array" ref="S77:S77">IFERROR( AVERAGE((IF(DATOS_[[Sexo]:[Sexo]]=$B77,IF(DATOS_[[AGRUP. VALOR. PTO.]:[AGRUP. VALOR. PTO.]]=$B75,IF(DATOS_[[Check Periodo Ref.]:[Check Periodo Ref.]]="Dentro",DATOS_[Conc.Sal.14]))))), 0)</f>
        <v>0</v>
      </c>
      <c r="T77" s="209" t="n">
        <f aca="false" t="array" ref="T77:T77">IFERROR( AVERAGE((IF(DATOS_[[Sexo]:[Sexo]]=$B77,IF(DATOS_[[AGRUP. VALOR. PTO.]:[AGRUP. VALOR. PTO.]]=$B75,IF(DATOS_[[Check Periodo Ref.]:[Check Periodo Ref.]]="Dentro",DATOS_[Conc.Sal.15]))))), 0)</f>
        <v>0</v>
      </c>
      <c r="U77" s="209" t="n">
        <f aca="false" t="array" ref="U77:U77">IFERROR( AVERAGE((IF(DATOS_[[Sexo]:[Sexo]]=$B77,IF(DATOS_[[AGRUP. VALOR. PTO.]:[AGRUP. VALOR. PTO.]]=$B75,IF(DATOS_[[Check Periodo Ref.]:[Check Periodo Ref.]]="Dentro",DATOS_[Conc.Sal.16]))))), 0)</f>
        <v>0</v>
      </c>
      <c r="V77" s="209" t="n">
        <f aca="false" t="array" ref="V77:V77">IFERROR( AVERAGE((IF(DATOS_[[Sexo]:[Sexo]]=$B77,IF(DATOS_[[AGRUP. VALOR. PTO.]:[AGRUP. VALOR. PTO.]]=$B75,IF(DATOS_[[Check Periodo Ref.]:[Check Periodo Ref.]]="Dentro",DATOS_[Conc.Sal.17]))))), 0)</f>
        <v>0</v>
      </c>
      <c r="W77" s="209" t="n">
        <f aca="false" t="array" ref="W77:W77">IFERROR( AVERAGE((IF(DATOS_[[Sexo]:[Sexo]]=$B77,IF(DATOS_[[AGRUP. VALOR. PTO.]:[AGRUP. VALOR. PTO.]]=$B75,IF(DATOS_[[Check Periodo Ref.]:[Check Periodo Ref.]]="Dentro",DATOS_[Conc.Sal.18]))))), 0)</f>
        <v>0</v>
      </c>
      <c r="X77" s="209" t="n">
        <f aca="false" t="array" ref="X77:X77">IFERROR( AVERAGE((IF(DATOS_[[Sexo]:[Sexo]]=$B77,IF(DATOS_[[AGRUP. VALOR. PTO.]:[AGRUP. VALOR. PTO.]]=$B75,IF(DATOS_[[Check Periodo Ref.]:[Check Periodo Ref.]]="Dentro",DATOS_[Conc.Sal.19]))))), 0)</f>
        <v>0</v>
      </c>
      <c r="Y77" s="209" t="n">
        <f aca="false" t="array" ref="Y77:Y77">IFERROR( AVERAGE((IF(DATOS_[[Sexo]:[Sexo]]=$B77,IF(DATOS_[[AGRUP. VALOR. PTO.]:[AGRUP. VALOR. PTO.]]=$B75,IF(DATOS_[[Check Periodo Ref.]:[Check Periodo Ref.]]="Dentro",DATOS_[Conc.Sal.20]))))), 0)</f>
        <v>0</v>
      </c>
      <c r="Z77" s="209" t="n">
        <f aca="false" t="array" ref="Z77:Z77">IFERROR( AVERAGE((IF(DATOS_[[Sexo]:[Sexo]]=$B77,IF(DATOS_[[AGRUP. VALOR. PTO.]:[AGRUP. VALOR. PTO.]]=$B75,IF(DATOS_[[Check Periodo Ref.]:[Check Periodo Ref.]]="Dentro",DATOS_[Conc.Sal.21]))))), 0)</f>
        <v>0</v>
      </c>
      <c r="AA77" s="209" t="n">
        <f aca="false" t="array" ref="AA77:AA77">IFERROR( AVERAGE((IF(DATOS_[[Sexo]:[Sexo]]=$B77,IF(DATOS_[[AGRUP. VALOR. PTO.]:[AGRUP. VALOR. PTO.]]=$B75,IF(DATOS_[[Check Periodo Ref.]:[Check Periodo Ref.]]="Dentro",DATOS_[Conc.Sal.22]))))), 0)</f>
        <v>0</v>
      </c>
      <c r="AB77" s="209" t="n">
        <f aca="false" t="array" ref="AB77:AB77">IFERROR( AVERAGE((IF(DATOS_[[Sexo]:[Sexo]]=$B77,IF(DATOS_[[AGRUP. VALOR. PTO.]:[AGRUP. VALOR. PTO.]]=$B75,IF(DATOS_[[Check Periodo Ref.]:[Check Periodo Ref.]]="Dentro",DATOS_[Conc.Sal.23]))))), 0)</f>
        <v>0</v>
      </c>
      <c r="AC77" s="209" t="n">
        <f aca="false" t="array" ref="AC77:AC77">IFERROR( AVERAGE((IF(DATOS_[[Sexo]:[Sexo]]=$B77,IF(DATOS_[[AGRUP. VALOR. PTO.]:[AGRUP. VALOR. PTO.]]=$B75,IF(DATOS_[[Check Periodo Ref.]:[Check Periodo Ref.]]="Dentro",DATOS_[Conc.Sal.24]))))), 0)</f>
        <v>0</v>
      </c>
      <c r="AD77" s="209" t="n">
        <f aca="false" t="array" ref="AD77:AD77">IFERROR( AVERAGE((IF(DATOS_[[Sexo]:[Sexo]]=$B77,IF(DATOS_[[AGRUP. VALOR. PTO.]:[AGRUP. VALOR. PTO.]]=$B75,IF(DATOS_[[Check Periodo Ref.]:[Check Periodo Ref.]]="Dentro",DATOS_[Conc.Sal.25]))))), 0)</f>
        <v>0</v>
      </c>
      <c r="AE77" s="209" t="n">
        <f aca="false" t="array" ref="AE77:AE77">IFERROR( AVERAGE((IF(DATOS_[[Sexo]:[Sexo]]=$B77,IF(DATOS_[[AGRUP. VALOR. PTO.]:[AGRUP. VALOR. PTO.]]=$B75,IF(DATOS_[[Check Periodo Ref.]:[Check Periodo Ref.]]="Dentro",DATOS_[Conc.Sal.26]))))), 0)</f>
        <v>0</v>
      </c>
      <c r="AF77" s="209" t="n">
        <f aca="false" t="array" ref="AF77:AF77">IFERROR( AVERAGE((IF(DATOS_[[Sexo]:[Sexo]]=$B77,IF(DATOS_[[AGRUP. VALOR. PTO.]:[AGRUP. VALOR. PTO.]]=$B75,IF(DATOS_[[Check Periodo Ref.]:[Check Periodo Ref.]]="Dentro",DATOS_[Conc.Sal.27]))))), 0)</f>
        <v>0</v>
      </c>
      <c r="AG77" s="209" t="n">
        <f aca="false" t="array" ref="AG77:AG77">IFERROR( AVERAGE((IF(DATOS_[[Sexo]:[Sexo]]=$B77,IF(DATOS_[[AGRUP. VALOR. PTO.]:[AGRUP. VALOR. PTO.]]=$B75,IF(DATOS_[[Check Periodo Ref.]:[Check Periodo Ref.]]="Dentro",DATOS_[Conc.Sal.28]))))), 0)</f>
        <v>0</v>
      </c>
      <c r="AH77" s="209" t="n">
        <f aca="false" t="array" ref="AH77:AH77">IFERROR( AVERAGE((IF(DATOS_[[Sexo]:[Sexo]]=$B77,IF(DATOS_[[AGRUP. VALOR. PTO.]:[AGRUP. VALOR. PTO.]]=$B75,IF(DATOS_[[Check Periodo Ref.]:[Check Periodo Ref.]]="Dentro",DATOS_[Conc.Sal.29]))))), 0)</f>
        <v>0</v>
      </c>
      <c r="AI77" s="209" t="n">
        <f aca="false" t="array" ref="AI77:AI77">IFERROR( AVERAGE((IF(DATOS_[[Sexo]:[Sexo]]=$B77,IF(DATOS_[[AGRUP. VALOR. PTO.]:[AGRUP. VALOR. PTO.]]=$B75,IF(DATOS_[[Check Periodo Ref.]:[Check Periodo Ref.]]="Dentro",DATOS_[Conc.Sal.30]))))), 0)</f>
        <v>0</v>
      </c>
      <c r="AJ77" s="210" t="n">
        <f aca="false" t="array" ref="AJ77:AJ77">IFERROR( AVERAGE(IF(DATOS_[Sexo]=$B77,IF(DATOS_[AGRUP. VALOR. PTO.]=$B75,IF(DATOS_[Check Periodo Ref.]="Dentro",DATOS_[Tot COMPL.SAL Ef],0)))), 0)</f>
        <v>0</v>
      </c>
      <c r="AK77" s="211" t="n">
        <f aca="false" t="array" ref="AK77:AK77">IFERROR( AVERAGE(IF(DATOS_[Sexo]=$B77,IF(DATOS_[AGRUP. VALOR. PTO.]=$B75,IF(DATOS_[Check Periodo Ref.]="Dentro",DATOS_[TOTAL SALARIO Ef],0)))), 0)</f>
        <v>0</v>
      </c>
      <c r="AL77" s="212" t="n">
        <f aca="false" t="array" ref="AL77:AL77">IFERROR( AVERAGE((IF(DATOS_[[Sexo]:[Sexo]]=$B77,IF(DATOS_[[AGRUP. VALOR. PTO.]:[AGRUP. VALOR. PTO.]]=$B75,IF(DATOS_[[Check Periodo Ref.]:[Check Periodo Ref.]]="Dentro",DATOS_[C.Extra.01]))))), 0)</f>
        <v>0</v>
      </c>
      <c r="AM77" s="212" t="n">
        <f aca="false" t="array" ref="AM77:AM77">IFERROR( AVERAGE((IF(DATOS_[[Sexo]:[Sexo]]=$B77,IF(DATOS_[[AGRUP. VALOR. PTO.]:[AGRUP. VALOR. PTO.]]=$B75,IF(DATOS_[[Check Periodo Ref.]:[Check Periodo Ref.]]="Dentro",DATOS_[C.Extra.02]))))), 0)</f>
        <v>0</v>
      </c>
      <c r="AN77" s="212" t="n">
        <f aca="false" t="array" ref="AN77:AN77">IFERROR( AVERAGE((IF(DATOS_[[Sexo]:[Sexo]]=$B77,IF(DATOS_[[AGRUP. VALOR. PTO.]:[AGRUP. VALOR. PTO.]]=$B75,IF(DATOS_[[Check Periodo Ref.]:[Check Periodo Ref.]]="Dentro",DATOS_[C.Extra.03]))))), 0)</f>
        <v>0</v>
      </c>
      <c r="AO77" s="212" t="n">
        <f aca="false" t="array" ref="AO77:AO77">IFERROR( AVERAGE((IF(DATOS_[[Sexo]:[Sexo]]=$B77,IF(DATOS_[[AGRUP. VALOR. PTO.]:[AGRUP. VALOR. PTO.]]=$B75,IF(DATOS_[[Check Periodo Ref.]:[Check Periodo Ref.]]="Dentro",DATOS_[C.Extra.04]))))), 0)</f>
        <v>0</v>
      </c>
      <c r="AP77" s="212" t="n">
        <f aca="false" t="array" ref="AP77:AP77">IFERROR( AVERAGE((IF(DATOS_[[Sexo]:[Sexo]]=$B77,IF(DATOS_[[AGRUP. VALOR. PTO.]:[AGRUP. VALOR. PTO.]]=$B75,IF(DATOS_[[Check Periodo Ref.]:[Check Periodo Ref.]]="Dentro",DATOS_[C.Extra.05]))))), 0)</f>
        <v>0</v>
      </c>
      <c r="AQ77" s="213" t="n">
        <f aca="false" t="array" ref="AQ77:AQ77">IFERROR( AVERAGE(IF(DATOS_[Sexo]=$B77,IF(DATOS_[AGRUP. VALOR. PTO.]=$B75,IF(DATOS_[Check Periodo Ref.]="Dentro",DATOS_[Tot Extrasalarial Ef],0)))), 0)</f>
        <v>0</v>
      </c>
      <c r="AR77" s="214" t="n">
        <f aca="false" t="array" ref="AR77:AR77">IFERROR( AVERAGE(IF(DATOS_[Sexo]=$B77,IF(DATOS_[AGRUP. VALOR. PTO.]=$B75,IF(DATOS_[Check Periodo Ref.]="Dentro",DATOS_[TOTAL Retrib Ef],0)))), 0)</f>
        <v>0</v>
      </c>
    </row>
    <row r="78" customFormat="false" ht="15.75" hidden="false" customHeight="false" outlineLevel="0" collapsed="false">
      <c r="A78" s="191" t="str">
        <f aca="false">+A79</f>
        <v>[ocultar]</v>
      </c>
      <c r="B78" s="192" t="s">
        <v>232</v>
      </c>
      <c r="C78" s="193"/>
      <c r="D78" s="194"/>
      <c r="E78" s="195" t="str">
        <f aca="false">IFERROR((E79-E80)/E79,"")</f>
        <v/>
      </c>
      <c r="F78" s="196" t="str">
        <f aca="false">IFERROR((F79-F80)/F79,"")</f>
        <v/>
      </c>
      <c r="G78" s="197" t="str">
        <f aca="false">IFERROR((G79-G80)/G79,"")</f>
        <v/>
      </c>
      <c r="H78" s="197" t="str">
        <f aca="false">IFERROR((H79-H80)/H79,"")</f>
        <v/>
      </c>
      <c r="I78" s="197" t="str">
        <f aca="false">IFERROR((I79-I80)/I79,"")</f>
        <v/>
      </c>
      <c r="J78" s="198" t="str">
        <f aca="false">IFERROR((J79-J80)/J79,"")</f>
        <v/>
      </c>
      <c r="K78" s="199" t="str">
        <f aca="false">IFERROR((K79-K80)/K79,"")</f>
        <v/>
      </c>
      <c r="L78" s="199" t="str">
        <f aca="false">IFERROR((L79-L80)/L79,"")</f>
        <v/>
      </c>
      <c r="M78" s="199" t="str">
        <f aca="false">IFERROR((M79-M80)/M79,"")</f>
        <v/>
      </c>
      <c r="N78" s="199" t="str">
        <f aca="false">IFERROR((N79-N80)/N79,"")</f>
        <v/>
      </c>
      <c r="O78" s="199" t="str">
        <f aca="false">IFERROR((O79-O80)/O79,"")</f>
        <v/>
      </c>
      <c r="P78" s="199" t="str">
        <f aca="false">IFERROR((P79-P80)/P79,"")</f>
        <v/>
      </c>
      <c r="Q78" s="199" t="str">
        <f aca="false">IFERROR((Q79-Q80)/Q79,"")</f>
        <v/>
      </c>
      <c r="R78" s="199" t="str">
        <f aca="false">IFERROR((R79-R80)/R79,"")</f>
        <v/>
      </c>
      <c r="S78" s="199" t="str">
        <f aca="false">IFERROR((S79-S80)/S79,"")</f>
        <v/>
      </c>
      <c r="T78" s="199" t="str">
        <f aca="false">IFERROR((T79-T80)/T79,"")</f>
        <v/>
      </c>
      <c r="U78" s="199" t="str">
        <f aca="false">IFERROR((U79-U80)/U79,"")</f>
        <v/>
      </c>
      <c r="V78" s="198" t="str">
        <f aca="false">IFERROR((V79-V80)/V79,"")</f>
        <v/>
      </c>
      <c r="W78" s="198" t="str">
        <f aca="false">IFERROR((W79-W80)/W79,"")</f>
        <v/>
      </c>
      <c r="X78" s="198" t="str">
        <f aca="false">IFERROR((X79-X80)/X79,"")</f>
        <v/>
      </c>
      <c r="Y78" s="198" t="str">
        <f aca="false">IFERROR((Y79-Y80)/Y79,"")</f>
        <v/>
      </c>
      <c r="Z78" s="198" t="str">
        <f aca="false">IFERROR((Z79-Z80)/Z79,"")</f>
        <v/>
      </c>
      <c r="AA78" s="198" t="str">
        <f aca="false">IFERROR((AA79-AA80)/AA79,"")</f>
        <v/>
      </c>
      <c r="AB78" s="198" t="str">
        <f aca="false">IFERROR((AB79-AB80)/AB79,"")</f>
        <v/>
      </c>
      <c r="AC78" s="198" t="str">
        <f aca="false">IFERROR((AC79-AC80)/AC79,"")</f>
        <v/>
      </c>
      <c r="AD78" s="198" t="str">
        <f aca="false">IFERROR((AD79-AD80)/AD79,"")</f>
        <v/>
      </c>
      <c r="AE78" s="198" t="str">
        <f aca="false">IFERROR((AE79-AE80)/AE79,"")</f>
        <v/>
      </c>
      <c r="AF78" s="198" t="str">
        <f aca="false">IFERROR((AF79-AF80)/AF79,"")</f>
        <v/>
      </c>
      <c r="AG78" s="198" t="str">
        <f aca="false">IFERROR((AG79-AG80)/AG79,"")</f>
        <v/>
      </c>
      <c r="AH78" s="198" t="str">
        <f aca="false">IFERROR((AH79-AH80)/AH79,"")</f>
        <v/>
      </c>
      <c r="AI78" s="198" t="str">
        <f aca="false">IFERROR((AI79-AI80)/AI79,"")</f>
        <v/>
      </c>
      <c r="AJ78" s="200" t="str">
        <f aca="false">IFERROR((AJ79-AJ80)/AJ79,"")</f>
        <v/>
      </c>
      <c r="AK78" s="201" t="str">
        <f aca="false">IFERROR((AK79-AK80)/AK79,"")</f>
        <v/>
      </c>
      <c r="AL78" s="202" t="str">
        <f aca="false">IFERROR((AL79-AL80)/AL79,"")</f>
        <v/>
      </c>
      <c r="AM78" s="202" t="str">
        <f aca="false">IFERROR((AM79-AM80)/AM79,"")</f>
        <v/>
      </c>
      <c r="AN78" s="202" t="str">
        <f aca="false">IFERROR((AN79-AN80)/AN79,"")</f>
        <v/>
      </c>
      <c r="AO78" s="202" t="str">
        <f aca="false">IFERROR((AO79-AO80)/AO79,"")</f>
        <v/>
      </c>
      <c r="AP78" s="202" t="str">
        <f aca="false">IFERROR((AP79-AP80)/AP79,"")</f>
        <v/>
      </c>
      <c r="AQ78" s="203" t="str">
        <f aca="false">IFERROR((AQ79-AQ80)/AQ79,"")</f>
        <v/>
      </c>
      <c r="AR78" s="204" t="str">
        <f aca="false">IFERROR((AR79-AR80)/AR79,"")</f>
        <v/>
      </c>
    </row>
    <row r="79" customFormat="false" ht="14.25" hidden="false" customHeight="false" outlineLevel="0" collapsed="false">
      <c r="A79" s="191" t="str">
        <f aca="false">+IF(C79+C80=0,"[ocultar]","")</f>
        <v>[ocultar]</v>
      </c>
      <c r="B79" s="205" t="s">
        <v>371</v>
      </c>
      <c r="C79" s="206" t="n">
        <f aca="false" t="array" ref="C79:C79">SUM(IF($B79=DATOS_[Sexo], IF($B78=DATOS_[AGRUP. VALOR. PTO.], IF("Dentro"=DATOS_[Check Periodo Ref.], 1/(COUNTIFS(DATOS_[Sexo],$B79,DATOS_[AGRUP. VALOR. PTO.],$B78,DATOS_[Check Periodo Ref.],"Dentro",DATOS_[id],DATOS_[id]))))))</f>
        <v>0</v>
      </c>
      <c r="D79" s="207" t="n">
        <f aca="false">COUNTIFS(DATOS_[AGRUP. VALOR. PTO.],$B78,DATOS_[Sexo],$B79,DATOS_[Check Periodo Ref.],"Dentro")</f>
        <v>0</v>
      </c>
      <c r="E79" s="208" t="n">
        <f aca="false" t="array" ref="E79:E79">IFERROR( AVERAGE(IF(DATOS_[Sexo]=$B79,IF(DATOS_[AGRUP. VALOR. PTO.]=$B78,IF(DATOS_[Check Periodo Ref.]="Dentro",DATOS_[SALARIO BASE Ef],0)))), 0)</f>
        <v>0</v>
      </c>
      <c r="F79" s="209" t="n">
        <f aca="false" t="array" ref="F79:F79">IFERROR( AVERAGE((IF(DATOS_[[Sexo]:[Sexo]]=$B79,IF(DATOS_[[AGRUP. VALOR. PTO.]:[AGRUP. VALOR. PTO.]]=$B78,IF(DATOS_[[Check Periodo Ref.]:[Check Periodo Ref.]]="Dentro",DATOS_[Conc.Sal.01]))))), 0)</f>
        <v>0</v>
      </c>
      <c r="G79" s="209" t="n">
        <f aca="false" t="array" ref="G79:G79">IFERROR( AVERAGE((IF(DATOS_[[Sexo]:[Sexo]]=$B79,IF(DATOS_[[AGRUP. VALOR. PTO.]:[AGRUP. VALOR. PTO.]]=$B78,IF(DATOS_[[Check Periodo Ref.]:[Check Periodo Ref.]]="Dentro",DATOS_[Conc.Sal.02]))))), 0)</f>
        <v>0</v>
      </c>
      <c r="H79" s="209" t="n">
        <f aca="false" t="array" ref="H79:H79">IFERROR( AVERAGE((IF(DATOS_[[Sexo]:[Sexo]]=$B79,IF(DATOS_[[AGRUP. VALOR. PTO.]:[AGRUP. VALOR. PTO.]]=$B78,IF(DATOS_[[Check Periodo Ref.]:[Check Periodo Ref.]]="Dentro",DATOS_[Conc.Sal.03]))))), 0)</f>
        <v>0</v>
      </c>
      <c r="I79" s="209" t="n">
        <f aca="false" t="array" ref="I79:I79">IFERROR( AVERAGE((IF(DATOS_[[Sexo]:[Sexo]]=$B79,IF(DATOS_[[AGRUP. VALOR. PTO.]:[AGRUP. VALOR. PTO.]]=$B78,IF(DATOS_[[Check Periodo Ref.]:[Check Periodo Ref.]]="Dentro",DATOS_[Conc.Sal.04]))))), 0)</f>
        <v>0</v>
      </c>
      <c r="J79" s="209" t="n">
        <f aca="false" t="array" ref="J79:J79">IFERROR( AVERAGE((IF(DATOS_[[Sexo]:[Sexo]]=$B79,IF(DATOS_[[AGRUP. VALOR. PTO.]:[AGRUP. VALOR. PTO.]]=$B78,IF(DATOS_[[Check Periodo Ref.]:[Check Periodo Ref.]]="Dentro",DATOS_[Conc.Sal.05]))))), 0)</f>
        <v>0</v>
      </c>
      <c r="K79" s="209" t="n">
        <f aca="false" t="array" ref="K79:K79">IFERROR( AVERAGE((IF(DATOS_[[Sexo]:[Sexo]]=$B79,IF(DATOS_[[AGRUP. VALOR. PTO.]:[AGRUP. VALOR. PTO.]]=$B78,IF(DATOS_[[Check Periodo Ref.]:[Check Periodo Ref.]]="Dentro",DATOS_[Conc.Sal.06]))))), 0)</f>
        <v>0</v>
      </c>
      <c r="L79" s="209" t="n">
        <f aca="false" t="array" ref="L79:L79">IFERROR( AVERAGE((IF(DATOS_[[Sexo]:[Sexo]]=$B79,IF(DATOS_[[AGRUP. VALOR. PTO.]:[AGRUP. VALOR. PTO.]]=$B78,IF(DATOS_[[Check Periodo Ref.]:[Check Periodo Ref.]]="Dentro",DATOS_[Conc.Sal.07]))))), 0)</f>
        <v>0</v>
      </c>
      <c r="M79" s="209" t="n">
        <f aca="false" t="array" ref="M79:M79">IFERROR( AVERAGE((IF(DATOS_[[Sexo]:[Sexo]]=$B79,IF(DATOS_[[AGRUP. VALOR. PTO.]:[AGRUP. VALOR. PTO.]]=$B78,IF(DATOS_[[Check Periodo Ref.]:[Check Periodo Ref.]]="Dentro",DATOS_[Conc.Sal.08]))))), 0)</f>
        <v>0</v>
      </c>
      <c r="N79" s="209" t="n">
        <f aca="false" t="array" ref="N79:N79">IFERROR( AVERAGE((IF(DATOS_[[Sexo]:[Sexo]]=$B79,IF(DATOS_[[AGRUP. VALOR. PTO.]:[AGRUP. VALOR. PTO.]]=$B78,IF(DATOS_[[Check Periodo Ref.]:[Check Periodo Ref.]]="Dentro",DATOS_[Conc.Sal.09]))))), 0)</f>
        <v>0</v>
      </c>
      <c r="O79" s="209" t="n">
        <f aca="false" t="array" ref="O79:O79">IFERROR( AVERAGE((IF(DATOS_[[Sexo]:[Sexo]]=$B79,IF(DATOS_[[AGRUP. VALOR. PTO.]:[AGRUP. VALOR. PTO.]]=$B78,IF(DATOS_[[Check Periodo Ref.]:[Check Periodo Ref.]]="Dentro",DATOS_[Conc.Sal.10]))))), 0)</f>
        <v>0</v>
      </c>
      <c r="P79" s="209" t="n">
        <f aca="false" t="array" ref="P79:P79">IFERROR( AVERAGE((IF(DATOS_[[Sexo]:[Sexo]]=$B79,IF(DATOS_[[AGRUP. VALOR. PTO.]:[AGRUP. VALOR. PTO.]]=$B78,IF(DATOS_[[Check Periodo Ref.]:[Check Periodo Ref.]]="Dentro",DATOS_[Conc.Sal.11]))))), 0)</f>
        <v>0</v>
      </c>
      <c r="Q79" s="209" t="n">
        <f aca="false" t="array" ref="Q79:Q79">IFERROR( AVERAGE((IF(DATOS_[[Sexo]:[Sexo]]=$B79,IF(DATOS_[[AGRUP. VALOR. PTO.]:[AGRUP. VALOR. PTO.]]=$B78,IF(DATOS_[[Check Periodo Ref.]:[Check Periodo Ref.]]="Dentro",DATOS_[Conc.Sal.12]))))), 0)</f>
        <v>0</v>
      </c>
      <c r="R79" s="209" t="n">
        <f aca="false" t="array" ref="R79:R79">IFERROR( AVERAGE((IF(DATOS_[[Sexo]:[Sexo]]=$B79,IF(DATOS_[[AGRUP. VALOR. PTO.]:[AGRUP. VALOR. PTO.]]=$B78,IF(DATOS_[[Check Periodo Ref.]:[Check Periodo Ref.]]="Dentro",DATOS_[Conc.Sal.13]))))), 0)</f>
        <v>0</v>
      </c>
      <c r="S79" s="209" t="n">
        <f aca="false" t="array" ref="S79:S79">IFERROR( AVERAGE((IF(DATOS_[[Sexo]:[Sexo]]=$B79,IF(DATOS_[[AGRUP. VALOR. PTO.]:[AGRUP. VALOR. PTO.]]=$B78,IF(DATOS_[[Check Periodo Ref.]:[Check Periodo Ref.]]="Dentro",DATOS_[Conc.Sal.14]))))), 0)</f>
        <v>0</v>
      </c>
      <c r="T79" s="209" t="n">
        <f aca="false" t="array" ref="T79:T79">IFERROR( AVERAGE((IF(DATOS_[[Sexo]:[Sexo]]=$B79,IF(DATOS_[[AGRUP. VALOR. PTO.]:[AGRUP. VALOR. PTO.]]=$B78,IF(DATOS_[[Check Periodo Ref.]:[Check Periodo Ref.]]="Dentro",DATOS_[Conc.Sal.15]))))), 0)</f>
        <v>0</v>
      </c>
      <c r="U79" s="209" t="n">
        <f aca="false" t="array" ref="U79:U79">IFERROR( AVERAGE((IF(DATOS_[[Sexo]:[Sexo]]=$B79,IF(DATOS_[[AGRUP. VALOR. PTO.]:[AGRUP. VALOR. PTO.]]=$B78,IF(DATOS_[[Check Periodo Ref.]:[Check Periodo Ref.]]="Dentro",DATOS_[Conc.Sal.16]))))), 0)</f>
        <v>0</v>
      </c>
      <c r="V79" s="209" t="n">
        <f aca="false" t="array" ref="V79:V79">IFERROR( AVERAGE((IF(DATOS_[[Sexo]:[Sexo]]=$B79,IF(DATOS_[[AGRUP. VALOR. PTO.]:[AGRUP. VALOR. PTO.]]=$B78,IF(DATOS_[[Check Periodo Ref.]:[Check Periodo Ref.]]="Dentro",DATOS_[Conc.Sal.17]))))), 0)</f>
        <v>0</v>
      </c>
      <c r="W79" s="209" t="n">
        <f aca="false" t="array" ref="W79:W79">IFERROR( AVERAGE((IF(DATOS_[[Sexo]:[Sexo]]=$B79,IF(DATOS_[[AGRUP. VALOR. PTO.]:[AGRUP. VALOR. PTO.]]=$B78,IF(DATOS_[[Check Periodo Ref.]:[Check Periodo Ref.]]="Dentro",DATOS_[Conc.Sal.18]))))), 0)</f>
        <v>0</v>
      </c>
      <c r="X79" s="209" t="n">
        <f aca="false" t="array" ref="X79:X79">IFERROR( AVERAGE((IF(DATOS_[[Sexo]:[Sexo]]=$B79,IF(DATOS_[[AGRUP. VALOR. PTO.]:[AGRUP. VALOR. PTO.]]=$B78,IF(DATOS_[[Check Periodo Ref.]:[Check Periodo Ref.]]="Dentro",DATOS_[Conc.Sal.19]))))), 0)</f>
        <v>0</v>
      </c>
      <c r="Y79" s="209" t="n">
        <f aca="false" t="array" ref="Y79:Y79">IFERROR( AVERAGE((IF(DATOS_[[Sexo]:[Sexo]]=$B79,IF(DATOS_[[AGRUP. VALOR. PTO.]:[AGRUP. VALOR. PTO.]]=$B78,IF(DATOS_[[Check Periodo Ref.]:[Check Periodo Ref.]]="Dentro",DATOS_[Conc.Sal.20]))))), 0)</f>
        <v>0</v>
      </c>
      <c r="Z79" s="209" t="n">
        <f aca="false" t="array" ref="Z79:Z79">IFERROR( AVERAGE((IF(DATOS_[[Sexo]:[Sexo]]=$B79,IF(DATOS_[[AGRUP. VALOR. PTO.]:[AGRUP. VALOR. PTO.]]=$B78,IF(DATOS_[[Check Periodo Ref.]:[Check Periodo Ref.]]="Dentro",DATOS_[Conc.Sal.21]))))), 0)</f>
        <v>0</v>
      </c>
      <c r="AA79" s="209" t="n">
        <f aca="false" t="array" ref="AA79:AA79">IFERROR( AVERAGE((IF(DATOS_[[Sexo]:[Sexo]]=$B79,IF(DATOS_[[AGRUP. VALOR. PTO.]:[AGRUP. VALOR. PTO.]]=$B78,IF(DATOS_[[Check Periodo Ref.]:[Check Periodo Ref.]]="Dentro",DATOS_[Conc.Sal.22]))))), 0)</f>
        <v>0</v>
      </c>
      <c r="AB79" s="209" t="n">
        <f aca="false" t="array" ref="AB79:AB79">IFERROR( AVERAGE((IF(DATOS_[[Sexo]:[Sexo]]=$B79,IF(DATOS_[[AGRUP. VALOR. PTO.]:[AGRUP. VALOR. PTO.]]=$B78,IF(DATOS_[[Check Periodo Ref.]:[Check Periodo Ref.]]="Dentro",DATOS_[Conc.Sal.23]))))), 0)</f>
        <v>0</v>
      </c>
      <c r="AC79" s="209" t="n">
        <f aca="false" t="array" ref="AC79:AC79">IFERROR( AVERAGE((IF(DATOS_[[Sexo]:[Sexo]]=$B79,IF(DATOS_[[AGRUP. VALOR. PTO.]:[AGRUP. VALOR. PTO.]]=$B78,IF(DATOS_[[Check Periodo Ref.]:[Check Periodo Ref.]]="Dentro",DATOS_[Conc.Sal.24]))))), 0)</f>
        <v>0</v>
      </c>
      <c r="AD79" s="209" t="n">
        <f aca="false" t="array" ref="AD79:AD79">IFERROR( AVERAGE((IF(DATOS_[[Sexo]:[Sexo]]=$B79,IF(DATOS_[[AGRUP. VALOR. PTO.]:[AGRUP. VALOR. PTO.]]=$B78,IF(DATOS_[[Check Periodo Ref.]:[Check Periodo Ref.]]="Dentro",DATOS_[Conc.Sal.25]))))), 0)</f>
        <v>0</v>
      </c>
      <c r="AE79" s="209" t="n">
        <f aca="false" t="array" ref="AE79:AE79">IFERROR( AVERAGE((IF(DATOS_[[Sexo]:[Sexo]]=$B79,IF(DATOS_[[AGRUP. VALOR. PTO.]:[AGRUP. VALOR. PTO.]]=$B78,IF(DATOS_[[Check Periodo Ref.]:[Check Periodo Ref.]]="Dentro",DATOS_[Conc.Sal.26]))))), 0)</f>
        <v>0</v>
      </c>
      <c r="AF79" s="209" t="n">
        <f aca="false" t="array" ref="AF79:AF79">IFERROR( AVERAGE((IF(DATOS_[[Sexo]:[Sexo]]=$B79,IF(DATOS_[[AGRUP. VALOR. PTO.]:[AGRUP. VALOR. PTO.]]=$B78,IF(DATOS_[[Check Periodo Ref.]:[Check Periodo Ref.]]="Dentro",DATOS_[Conc.Sal.27]))))), 0)</f>
        <v>0</v>
      </c>
      <c r="AG79" s="209" t="n">
        <f aca="false" t="array" ref="AG79:AG79">IFERROR( AVERAGE((IF(DATOS_[[Sexo]:[Sexo]]=$B79,IF(DATOS_[[AGRUP. VALOR. PTO.]:[AGRUP. VALOR. PTO.]]=$B78,IF(DATOS_[[Check Periodo Ref.]:[Check Periodo Ref.]]="Dentro",DATOS_[Conc.Sal.28]))))), 0)</f>
        <v>0</v>
      </c>
      <c r="AH79" s="209" t="n">
        <f aca="false" t="array" ref="AH79:AH79">IFERROR( AVERAGE((IF(DATOS_[[Sexo]:[Sexo]]=$B79,IF(DATOS_[[AGRUP. VALOR. PTO.]:[AGRUP. VALOR. PTO.]]=$B78,IF(DATOS_[[Check Periodo Ref.]:[Check Periodo Ref.]]="Dentro",DATOS_[Conc.Sal.29]))))), 0)</f>
        <v>0</v>
      </c>
      <c r="AI79" s="209" t="n">
        <f aca="false" t="array" ref="AI79:AI79">IFERROR( AVERAGE((IF(DATOS_[[Sexo]:[Sexo]]=$B79,IF(DATOS_[[AGRUP. VALOR. PTO.]:[AGRUP. VALOR. PTO.]]=$B78,IF(DATOS_[[Check Periodo Ref.]:[Check Periodo Ref.]]="Dentro",DATOS_[Conc.Sal.30]))))), 0)</f>
        <v>0</v>
      </c>
      <c r="AJ79" s="210" t="n">
        <f aca="false" t="array" ref="AJ79:AJ79">IFERROR( AVERAGE(IF(DATOS_[Sexo]=$B79,IF(DATOS_[AGRUP. VALOR. PTO.]=$B78,IF(DATOS_[Check Periodo Ref.]="Dentro",DATOS_[Tot COMPL.SAL Ef],0)))), 0)</f>
        <v>0</v>
      </c>
      <c r="AK79" s="211" t="n">
        <f aca="false" t="array" ref="AK79:AK79">IFERROR( AVERAGE(IF(DATOS_[Sexo]=$B79,IF(DATOS_[AGRUP. VALOR. PTO.]=$B78,IF(DATOS_[Check Periodo Ref.]="Dentro",DATOS_[TOTAL SALARIO Ef],0)))), 0)</f>
        <v>0</v>
      </c>
      <c r="AL79" s="212" t="n">
        <f aca="false" t="array" ref="AL79:AL79">IFERROR( AVERAGE((IF(DATOS_[[Sexo]:[Sexo]]=$B79,IF(DATOS_[[AGRUP. VALOR. PTO.]:[AGRUP. VALOR. PTO.]]=$B78,IF(DATOS_[[Check Periodo Ref.]:[Check Periodo Ref.]]="Dentro",DATOS_[C.Extra.01]))))), 0)</f>
        <v>0</v>
      </c>
      <c r="AM79" s="212" t="n">
        <f aca="false" t="array" ref="AM79:AM79">IFERROR( AVERAGE((IF(DATOS_[[Sexo]:[Sexo]]=$B79,IF(DATOS_[[AGRUP. VALOR. PTO.]:[AGRUP. VALOR. PTO.]]=$B78,IF(DATOS_[[Check Periodo Ref.]:[Check Periodo Ref.]]="Dentro",DATOS_[C.Extra.02]))))), 0)</f>
        <v>0</v>
      </c>
      <c r="AN79" s="212" t="n">
        <f aca="false" t="array" ref="AN79:AN79">IFERROR( AVERAGE((IF(DATOS_[[Sexo]:[Sexo]]=$B79,IF(DATOS_[[AGRUP. VALOR. PTO.]:[AGRUP. VALOR. PTO.]]=$B78,IF(DATOS_[[Check Periodo Ref.]:[Check Periodo Ref.]]="Dentro",DATOS_[C.Extra.03]))))), 0)</f>
        <v>0</v>
      </c>
      <c r="AO79" s="212" t="n">
        <f aca="false" t="array" ref="AO79:AO79">IFERROR( AVERAGE((IF(DATOS_[[Sexo]:[Sexo]]=$B79,IF(DATOS_[[AGRUP. VALOR. PTO.]:[AGRUP. VALOR. PTO.]]=$B78,IF(DATOS_[[Check Periodo Ref.]:[Check Periodo Ref.]]="Dentro",DATOS_[C.Extra.04]))))), 0)</f>
        <v>0</v>
      </c>
      <c r="AP79" s="212" t="n">
        <f aca="false" t="array" ref="AP79:AP79">IFERROR( AVERAGE((IF(DATOS_[[Sexo]:[Sexo]]=$B79,IF(DATOS_[[AGRUP. VALOR. PTO.]:[AGRUP. VALOR. PTO.]]=$B78,IF(DATOS_[[Check Periodo Ref.]:[Check Periodo Ref.]]="Dentro",DATOS_[C.Extra.05]))))), 0)</f>
        <v>0</v>
      </c>
      <c r="AQ79" s="213" t="n">
        <f aca="false" t="array" ref="AQ79:AQ79">IFERROR( AVERAGE(IF(DATOS_[Sexo]=$B79,IF(DATOS_[AGRUP. VALOR. PTO.]=$B78,IF(DATOS_[Check Periodo Ref.]="Dentro",DATOS_[Tot Extrasalarial Ef],0)))), 0)</f>
        <v>0</v>
      </c>
      <c r="AR79" s="214" t="n">
        <f aca="false" t="array" ref="AR79:AR79">IFERROR( AVERAGE(IF(DATOS_[Sexo]=$B79,IF(DATOS_[AGRUP. VALOR. PTO.]=$B78,IF(DATOS_[Check Periodo Ref.]="Dentro",DATOS_[TOTAL Retrib Ef],0)))), 0)</f>
        <v>0</v>
      </c>
    </row>
    <row r="80" customFormat="false" ht="14.25" hidden="false" customHeight="false" outlineLevel="0" collapsed="false">
      <c r="A80" s="191" t="str">
        <f aca="false">+A79</f>
        <v>[ocultar]</v>
      </c>
      <c r="B80" s="205" t="s">
        <v>372</v>
      </c>
      <c r="C80" s="206" t="n">
        <f aca="false" t="array" ref="C80:C80">SUM(IF($B80=DATOS_[Sexo], IF($B78=DATOS_[AGRUP. VALOR. PTO.], IF("Dentro"=DATOS_[Check Periodo Ref.], 1/(COUNTIFS(DATOS_[Sexo],$B80,DATOS_[AGRUP. VALOR. PTO.],$B78,DATOS_[Check Periodo Ref.],"Dentro",DATOS_[id],DATOS_[id]))))))</f>
        <v>0</v>
      </c>
      <c r="D80" s="207" t="n">
        <f aca="false">COUNTIFS(DATOS_[AGRUP. VALOR. PTO.],$B78,DATOS_[Sexo],$B80,DATOS_[Check Periodo Ref.],"Dentro")</f>
        <v>0</v>
      </c>
      <c r="E80" s="208" t="n">
        <f aca="false" t="array" ref="E80:E80">IFERROR( AVERAGE(IF(DATOS_[Sexo]=$B80,IF(DATOS_[AGRUP. VALOR. PTO.]=$B78,IF(DATOS_[Check Periodo Ref.]="Dentro",DATOS_[SALARIO BASE Ef],0)))), 0)</f>
        <v>0</v>
      </c>
      <c r="F80" s="209" t="n">
        <f aca="false" t="array" ref="F80:F80">IFERROR( AVERAGE((IF(DATOS_[[Sexo]:[Sexo]]=$B80,IF(DATOS_[[AGRUP. VALOR. PTO.]:[AGRUP. VALOR. PTO.]]=$B78,IF(DATOS_[[Check Periodo Ref.]:[Check Periodo Ref.]]="Dentro",DATOS_[Conc.Sal.01]))))), 0)</f>
        <v>0</v>
      </c>
      <c r="G80" s="209" t="n">
        <f aca="false" t="array" ref="G80:G80">IFERROR( AVERAGE((IF(DATOS_[[Sexo]:[Sexo]]=$B80,IF(DATOS_[[AGRUP. VALOR. PTO.]:[AGRUP. VALOR. PTO.]]=$B78,IF(DATOS_[[Check Periodo Ref.]:[Check Periodo Ref.]]="Dentro",DATOS_[Conc.Sal.02]))))), 0)</f>
        <v>0</v>
      </c>
      <c r="H80" s="209" t="n">
        <f aca="false" t="array" ref="H80:H80">IFERROR( AVERAGE((IF(DATOS_[[Sexo]:[Sexo]]=$B80,IF(DATOS_[[AGRUP. VALOR. PTO.]:[AGRUP. VALOR. PTO.]]=$B78,IF(DATOS_[[Check Periodo Ref.]:[Check Periodo Ref.]]="Dentro",DATOS_[Conc.Sal.03]))))), 0)</f>
        <v>0</v>
      </c>
      <c r="I80" s="209" t="n">
        <f aca="false" t="array" ref="I80:I80">IFERROR( AVERAGE((IF(DATOS_[[Sexo]:[Sexo]]=$B80,IF(DATOS_[[AGRUP. VALOR. PTO.]:[AGRUP. VALOR. PTO.]]=$B78,IF(DATOS_[[Check Periodo Ref.]:[Check Periodo Ref.]]="Dentro",DATOS_[Conc.Sal.04]))))), 0)</f>
        <v>0</v>
      </c>
      <c r="J80" s="209" t="n">
        <f aca="false" t="array" ref="J80:J80">IFERROR( AVERAGE((IF(DATOS_[[Sexo]:[Sexo]]=$B80,IF(DATOS_[[AGRUP. VALOR. PTO.]:[AGRUP. VALOR. PTO.]]=$B78,IF(DATOS_[[Check Periodo Ref.]:[Check Periodo Ref.]]="Dentro",DATOS_[Conc.Sal.05]))))), 0)</f>
        <v>0</v>
      </c>
      <c r="K80" s="209" t="n">
        <f aca="false" t="array" ref="K80:K80">IFERROR( AVERAGE((IF(DATOS_[[Sexo]:[Sexo]]=$B80,IF(DATOS_[[AGRUP. VALOR. PTO.]:[AGRUP. VALOR. PTO.]]=$B78,IF(DATOS_[[Check Periodo Ref.]:[Check Periodo Ref.]]="Dentro",DATOS_[Conc.Sal.06]))))), 0)</f>
        <v>0</v>
      </c>
      <c r="L80" s="209" t="n">
        <f aca="false" t="array" ref="L80:L80">IFERROR( AVERAGE((IF(DATOS_[[Sexo]:[Sexo]]=$B80,IF(DATOS_[[AGRUP. VALOR. PTO.]:[AGRUP. VALOR. PTO.]]=$B78,IF(DATOS_[[Check Periodo Ref.]:[Check Periodo Ref.]]="Dentro",DATOS_[Conc.Sal.07]))))), 0)</f>
        <v>0</v>
      </c>
      <c r="M80" s="209" t="n">
        <f aca="false" t="array" ref="M80:M80">IFERROR( AVERAGE((IF(DATOS_[[Sexo]:[Sexo]]=$B80,IF(DATOS_[[AGRUP. VALOR. PTO.]:[AGRUP. VALOR. PTO.]]=$B78,IF(DATOS_[[Check Periodo Ref.]:[Check Periodo Ref.]]="Dentro",DATOS_[Conc.Sal.08]))))), 0)</f>
        <v>0</v>
      </c>
      <c r="N80" s="209" t="n">
        <f aca="false" t="array" ref="N80:N80">IFERROR( AVERAGE((IF(DATOS_[[Sexo]:[Sexo]]=$B80,IF(DATOS_[[AGRUP. VALOR. PTO.]:[AGRUP. VALOR. PTO.]]=$B78,IF(DATOS_[[Check Periodo Ref.]:[Check Periodo Ref.]]="Dentro",DATOS_[Conc.Sal.09]))))), 0)</f>
        <v>0</v>
      </c>
      <c r="O80" s="209" t="n">
        <f aca="false" t="array" ref="O80:O80">IFERROR( AVERAGE((IF(DATOS_[[Sexo]:[Sexo]]=$B80,IF(DATOS_[[AGRUP. VALOR. PTO.]:[AGRUP. VALOR. PTO.]]=$B78,IF(DATOS_[[Check Periodo Ref.]:[Check Periodo Ref.]]="Dentro",DATOS_[Conc.Sal.10]))))), 0)</f>
        <v>0</v>
      </c>
      <c r="P80" s="209" t="n">
        <f aca="false" t="array" ref="P80:P80">IFERROR( AVERAGE((IF(DATOS_[[Sexo]:[Sexo]]=$B80,IF(DATOS_[[AGRUP. VALOR. PTO.]:[AGRUP. VALOR. PTO.]]=$B78,IF(DATOS_[[Check Periodo Ref.]:[Check Periodo Ref.]]="Dentro",DATOS_[Conc.Sal.11]))))), 0)</f>
        <v>0</v>
      </c>
      <c r="Q80" s="209" t="n">
        <f aca="false" t="array" ref="Q80:Q80">IFERROR( AVERAGE((IF(DATOS_[[Sexo]:[Sexo]]=$B80,IF(DATOS_[[AGRUP. VALOR. PTO.]:[AGRUP. VALOR. PTO.]]=$B78,IF(DATOS_[[Check Periodo Ref.]:[Check Periodo Ref.]]="Dentro",DATOS_[Conc.Sal.12]))))), 0)</f>
        <v>0</v>
      </c>
      <c r="R80" s="209" t="n">
        <f aca="false" t="array" ref="R80:R80">IFERROR( AVERAGE((IF(DATOS_[[Sexo]:[Sexo]]=$B80,IF(DATOS_[[AGRUP. VALOR. PTO.]:[AGRUP. VALOR. PTO.]]=$B78,IF(DATOS_[[Check Periodo Ref.]:[Check Periodo Ref.]]="Dentro",DATOS_[Conc.Sal.13]))))), 0)</f>
        <v>0</v>
      </c>
      <c r="S80" s="209" t="n">
        <f aca="false" t="array" ref="S80:S80">IFERROR( AVERAGE((IF(DATOS_[[Sexo]:[Sexo]]=$B80,IF(DATOS_[[AGRUP. VALOR. PTO.]:[AGRUP. VALOR. PTO.]]=$B78,IF(DATOS_[[Check Periodo Ref.]:[Check Periodo Ref.]]="Dentro",DATOS_[Conc.Sal.14]))))), 0)</f>
        <v>0</v>
      </c>
      <c r="T80" s="209" t="n">
        <f aca="false" t="array" ref="T80:T80">IFERROR( AVERAGE((IF(DATOS_[[Sexo]:[Sexo]]=$B80,IF(DATOS_[[AGRUP. VALOR. PTO.]:[AGRUP. VALOR. PTO.]]=$B78,IF(DATOS_[[Check Periodo Ref.]:[Check Periodo Ref.]]="Dentro",DATOS_[Conc.Sal.15]))))), 0)</f>
        <v>0</v>
      </c>
      <c r="U80" s="209" t="n">
        <f aca="false" t="array" ref="U80:U80">IFERROR( AVERAGE((IF(DATOS_[[Sexo]:[Sexo]]=$B80,IF(DATOS_[[AGRUP. VALOR. PTO.]:[AGRUP. VALOR. PTO.]]=$B78,IF(DATOS_[[Check Periodo Ref.]:[Check Periodo Ref.]]="Dentro",DATOS_[Conc.Sal.16]))))), 0)</f>
        <v>0</v>
      </c>
      <c r="V80" s="209" t="n">
        <f aca="false" t="array" ref="V80:V80">IFERROR( AVERAGE((IF(DATOS_[[Sexo]:[Sexo]]=$B80,IF(DATOS_[[AGRUP. VALOR. PTO.]:[AGRUP. VALOR. PTO.]]=$B78,IF(DATOS_[[Check Periodo Ref.]:[Check Periodo Ref.]]="Dentro",DATOS_[Conc.Sal.17]))))), 0)</f>
        <v>0</v>
      </c>
      <c r="W80" s="209" t="n">
        <f aca="false" t="array" ref="W80:W80">IFERROR( AVERAGE((IF(DATOS_[[Sexo]:[Sexo]]=$B80,IF(DATOS_[[AGRUP. VALOR. PTO.]:[AGRUP. VALOR. PTO.]]=$B78,IF(DATOS_[[Check Periodo Ref.]:[Check Periodo Ref.]]="Dentro",DATOS_[Conc.Sal.18]))))), 0)</f>
        <v>0</v>
      </c>
      <c r="X80" s="209" t="n">
        <f aca="false" t="array" ref="X80:X80">IFERROR( AVERAGE((IF(DATOS_[[Sexo]:[Sexo]]=$B80,IF(DATOS_[[AGRUP. VALOR. PTO.]:[AGRUP. VALOR. PTO.]]=$B78,IF(DATOS_[[Check Periodo Ref.]:[Check Periodo Ref.]]="Dentro",DATOS_[Conc.Sal.19]))))), 0)</f>
        <v>0</v>
      </c>
      <c r="Y80" s="209" t="n">
        <f aca="false" t="array" ref="Y80:Y80">IFERROR( AVERAGE((IF(DATOS_[[Sexo]:[Sexo]]=$B80,IF(DATOS_[[AGRUP. VALOR. PTO.]:[AGRUP. VALOR. PTO.]]=$B78,IF(DATOS_[[Check Periodo Ref.]:[Check Periodo Ref.]]="Dentro",DATOS_[Conc.Sal.20]))))), 0)</f>
        <v>0</v>
      </c>
      <c r="Z80" s="209" t="n">
        <f aca="false" t="array" ref="Z80:Z80">IFERROR( AVERAGE((IF(DATOS_[[Sexo]:[Sexo]]=$B80,IF(DATOS_[[AGRUP. VALOR. PTO.]:[AGRUP. VALOR. PTO.]]=$B78,IF(DATOS_[[Check Periodo Ref.]:[Check Periodo Ref.]]="Dentro",DATOS_[Conc.Sal.21]))))), 0)</f>
        <v>0</v>
      </c>
      <c r="AA80" s="209" t="n">
        <f aca="false" t="array" ref="AA80:AA80">IFERROR( AVERAGE((IF(DATOS_[[Sexo]:[Sexo]]=$B80,IF(DATOS_[[AGRUP. VALOR. PTO.]:[AGRUP. VALOR. PTO.]]=$B78,IF(DATOS_[[Check Periodo Ref.]:[Check Periodo Ref.]]="Dentro",DATOS_[Conc.Sal.22]))))), 0)</f>
        <v>0</v>
      </c>
      <c r="AB80" s="209" t="n">
        <f aca="false" t="array" ref="AB80:AB80">IFERROR( AVERAGE((IF(DATOS_[[Sexo]:[Sexo]]=$B80,IF(DATOS_[[AGRUP. VALOR. PTO.]:[AGRUP. VALOR. PTO.]]=$B78,IF(DATOS_[[Check Periodo Ref.]:[Check Periodo Ref.]]="Dentro",DATOS_[Conc.Sal.23]))))), 0)</f>
        <v>0</v>
      </c>
      <c r="AC80" s="209" t="n">
        <f aca="false" t="array" ref="AC80:AC80">IFERROR( AVERAGE((IF(DATOS_[[Sexo]:[Sexo]]=$B80,IF(DATOS_[[AGRUP. VALOR. PTO.]:[AGRUP. VALOR. PTO.]]=$B78,IF(DATOS_[[Check Periodo Ref.]:[Check Periodo Ref.]]="Dentro",DATOS_[Conc.Sal.24]))))), 0)</f>
        <v>0</v>
      </c>
      <c r="AD80" s="209" t="n">
        <f aca="false" t="array" ref="AD80:AD80">IFERROR( AVERAGE((IF(DATOS_[[Sexo]:[Sexo]]=$B80,IF(DATOS_[[AGRUP. VALOR. PTO.]:[AGRUP. VALOR. PTO.]]=$B78,IF(DATOS_[[Check Periodo Ref.]:[Check Periodo Ref.]]="Dentro",DATOS_[Conc.Sal.25]))))), 0)</f>
        <v>0</v>
      </c>
      <c r="AE80" s="209" t="n">
        <f aca="false" t="array" ref="AE80:AE80">IFERROR( AVERAGE((IF(DATOS_[[Sexo]:[Sexo]]=$B80,IF(DATOS_[[AGRUP. VALOR. PTO.]:[AGRUP. VALOR. PTO.]]=$B78,IF(DATOS_[[Check Periodo Ref.]:[Check Periodo Ref.]]="Dentro",DATOS_[Conc.Sal.26]))))), 0)</f>
        <v>0</v>
      </c>
      <c r="AF80" s="209" t="n">
        <f aca="false" t="array" ref="AF80:AF80">IFERROR( AVERAGE((IF(DATOS_[[Sexo]:[Sexo]]=$B80,IF(DATOS_[[AGRUP. VALOR. PTO.]:[AGRUP. VALOR. PTO.]]=$B78,IF(DATOS_[[Check Periodo Ref.]:[Check Periodo Ref.]]="Dentro",DATOS_[Conc.Sal.27]))))), 0)</f>
        <v>0</v>
      </c>
      <c r="AG80" s="209" t="n">
        <f aca="false" t="array" ref="AG80:AG80">IFERROR( AVERAGE((IF(DATOS_[[Sexo]:[Sexo]]=$B80,IF(DATOS_[[AGRUP. VALOR. PTO.]:[AGRUP. VALOR. PTO.]]=$B78,IF(DATOS_[[Check Periodo Ref.]:[Check Periodo Ref.]]="Dentro",DATOS_[Conc.Sal.28]))))), 0)</f>
        <v>0</v>
      </c>
      <c r="AH80" s="209" t="n">
        <f aca="false" t="array" ref="AH80:AH80">IFERROR( AVERAGE((IF(DATOS_[[Sexo]:[Sexo]]=$B80,IF(DATOS_[[AGRUP. VALOR. PTO.]:[AGRUP. VALOR. PTO.]]=$B78,IF(DATOS_[[Check Periodo Ref.]:[Check Periodo Ref.]]="Dentro",DATOS_[Conc.Sal.29]))))), 0)</f>
        <v>0</v>
      </c>
      <c r="AI80" s="209" t="n">
        <f aca="false" t="array" ref="AI80:AI80">IFERROR( AVERAGE((IF(DATOS_[[Sexo]:[Sexo]]=$B80,IF(DATOS_[[AGRUP. VALOR. PTO.]:[AGRUP. VALOR. PTO.]]=$B78,IF(DATOS_[[Check Periodo Ref.]:[Check Periodo Ref.]]="Dentro",DATOS_[Conc.Sal.30]))))), 0)</f>
        <v>0</v>
      </c>
      <c r="AJ80" s="210" t="n">
        <f aca="false" t="array" ref="AJ80:AJ80">IFERROR( AVERAGE(IF(DATOS_[Sexo]=$B80,IF(DATOS_[AGRUP. VALOR. PTO.]=$B78,IF(DATOS_[Check Periodo Ref.]="Dentro",DATOS_[Tot COMPL.SAL Ef],0)))), 0)</f>
        <v>0</v>
      </c>
      <c r="AK80" s="211" t="n">
        <f aca="false" t="array" ref="AK80:AK80">IFERROR( AVERAGE(IF(DATOS_[Sexo]=$B80,IF(DATOS_[AGRUP. VALOR. PTO.]=$B78,IF(DATOS_[Check Periodo Ref.]="Dentro",DATOS_[TOTAL SALARIO Ef],0)))), 0)</f>
        <v>0</v>
      </c>
      <c r="AL80" s="212" t="n">
        <f aca="false" t="array" ref="AL80:AL80">IFERROR( AVERAGE((IF(DATOS_[[Sexo]:[Sexo]]=$B80,IF(DATOS_[[AGRUP. VALOR. PTO.]:[AGRUP. VALOR. PTO.]]=$B78,IF(DATOS_[[Check Periodo Ref.]:[Check Periodo Ref.]]="Dentro",DATOS_[C.Extra.01]))))), 0)</f>
        <v>0</v>
      </c>
      <c r="AM80" s="212" t="n">
        <f aca="false" t="array" ref="AM80:AM80">IFERROR( AVERAGE((IF(DATOS_[[Sexo]:[Sexo]]=$B80,IF(DATOS_[[AGRUP. VALOR. PTO.]:[AGRUP. VALOR. PTO.]]=$B78,IF(DATOS_[[Check Periodo Ref.]:[Check Periodo Ref.]]="Dentro",DATOS_[C.Extra.02]))))), 0)</f>
        <v>0</v>
      </c>
      <c r="AN80" s="212" t="n">
        <f aca="false" t="array" ref="AN80:AN80">IFERROR( AVERAGE((IF(DATOS_[[Sexo]:[Sexo]]=$B80,IF(DATOS_[[AGRUP. VALOR. PTO.]:[AGRUP. VALOR. PTO.]]=$B78,IF(DATOS_[[Check Periodo Ref.]:[Check Periodo Ref.]]="Dentro",DATOS_[C.Extra.03]))))), 0)</f>
        <v>0</v>
      </c>
      <c r="AO80" s="212" t="n">
        <f aca="false" t="array" ref="AO80:AO80">IFERROR( AVERAGE((IF(DATOS_[[Sexo]:[Sexo]]=$B80,IF(DATOS_[[AGRUP. VALOR. PTO.]:[AGRUP. VALOR. PTO.]]=$B78,IF(DATOS_[[Check Periodo Ref.]:[Check Periodo Ref.]]="Dentro",DATOS_[C.Extra.04]))))), 0)</f>
        <v>0</v>
      </c>
      <c r="AP80" s="212" t="n">
        <f aca="false" t="array" ref="AP80:AP80">IFERROR( AVERAGE((IF(DATOS_[[Sexo]:[Sexo]]=$B80,IF(DATOS_[[AGRUP. VALOR. PTO.]:[AGRUP. VALOR. PTO.]]=$B78,IF(DATOS_[[Check Periodo Ref.]:[Check Periodo Ref.]]="Dentro",DATOS_[C.Extra.05]))))), 0)</f>
        <v>0</v>
      </c>
      <c r="AQ80" s="213" t="n">
        <f aca="false" t="array" ref="AQ80:AQ80">IFERROR( AVERAGE(IF(DATOS_[Sexo]=$B80,IF(DATOS_[AGRUP. VALOR. PTO.]=$B78,IF(DATOS_[Check Periodo Ref.]="Dentro",DATOS_[Tot Extrasalarial Ef],0)))), 0)</f>
        <v>0</v>
      </c>
      <c r="AR80" s="214" t="n">
        <f aca="false" t="array" ref="AR80:AR80">IFERROR( AVERAGE(IF(DATOS_[Sexo]=$B80,IF(DATOS_[AGRUP. VALOR. PTO.]=$B78,IF(DATOS_[Check Periodo Ref.]="Dentro",DATOS_[TOTAL Retrib Ef],0)))), 0)</f>
        <v>0</v>
      </c>
    </row>
    <row r="81" customFormat="false" ht="15.75" hidden="false" customHeight="false" outlineLevel="0" collapsed="false">
      <c r="A81" s="191" t="str">
        <f aca="false">+A82</f>
        <v>[ocultar]</v>
      </c>
      <c r="B81" s="192" t="s">
        <v>235</v>
      </c>
      <c r="C81" s="193"/>
      <c r="D81" s="194"/>
      <c r="E81" s="195" t="str">
        <f aca="false">IFERROR((E82-E83)/E82,"")</f>
        <v/>
      </c>
      <c r="F81" s="196" t="str">
        <f aca="false">IFERROR((F82-F83)/F82,"")</f>
        <v/>
      </c>
      <c r="G81" s="197" t="str">
        <f aca="false">IFERROR((G82-G83)/G82,"")</f>
        <v/>
      </c>
      <c r="H81" s="197" t="str">
        <f aca="false">IFERROR((H82-H83)/H82,"")</f>
        <v/>
      </c>
      <c r="I81" s="197" t="str">
        <f aca="false">IFERROR((I82-I83)/I82,"")</f>
        <v/>
      </c>
      <c r="J81" s="198" t="str">
        <f aca="false">IFERROR((J82-J83)/J82,"")</f>
        <v/>
      </c>
      <c r="K81" s="199" t="str">
        <f aca="false">IFERROR((K82-K83)/K82,"")</f>
        <v/>
      </c>
      <c r="L81" s="199" t="str">
        <f aca="false">IFERROR((L82-L83)/L82,"")</f>
        <v/>
      </c>
      <c r="M81" s="199" t="str">
        <f aca="false">IFERROR((M82-M83)/M82,"")</f>
        <v/>
      </c>
      <c r="N81" s="199" t="str">
        <f aca="false">IFERROR((N82-N83)/N82,"")</f>
        <v/>
      </c>
      <c r="O81" s="199" t="str">
        <f aca="false">IFERROR((O82-O83)/O82,"")</f>
        <v/>
      </c>
      <c r="P81" s="199" t="str">
        <f aca="false">IFERROR((P82-P83)/P82,"")</f>
        <v/>
      </c>
      <c r="Q81" s="199" t="str">
        <f aca="false">IFERROR((Q82-Q83)/Q82,"")</f>
        <v/>
      </c>
      <c r="R81" s="199" t="str">
        <f aca="false">IFERROR((R82-R83)/R82,"")</f>
        <v/>
      </c>
      <c r="S81" s="199" t="str">
        <f aca="false">IFERROR((S82-S83)/S82,"")</f>
        <v/>
      </c>
      <c r="T81" s="199" t="str">
        <f aca="false">IFERROR((T82-T83)/T82,"")</f>
        <v/>
      </c>
      <c r="U81" s="199" t="str">
        <f aca="false">IFERROR((U82-U83)/U82,"")</f>
        <v/>
      </c>
      <c r="V81" s="198" t="str">
        <f aca="false">IFERROR((V82-V83)/V82,"")</f>
        <v/>
      </c>
      <c r="W81" s="198" t="str">
        <f aca="false">IFERROR((W82-W83)/W82,"")</f>
        <v/>
      </c>
      <c r="X81" s="198" t="str">
        <f aca="false">IFERROR((X82-X83)/X82,"")</f>
        <v/>
      </c>
      <c r="Y81" s="198" t="str">
        <f aca="false">IFERROR((Y82-Y83)/Y82,"")</f>
        <v/>
      </c>
      <c r="Z81" s="198" t="str">
        <f aca="false">IFERROR((Z82-Z83)/Z82,"")</f>
        <v/>
      </c>
      <c r="AA81" s="198" t="str">
        <f aca="false">IFERROR((AA82-AA83)/AA82,"")</f>
        <v/>
      </c>
      <c r="AB81" s="198" t="str">
        <f aca="false">IFERROR((AB82-AB83)/AB82,"")</f>
        <v/>
      </c>
      <c r="AC81" s="198" t="str">
        <f aca="false">IFERROR((AC82-AC83)/AC82,"")</f>
        <v/>
      </c>
      <c r="AD81" s="198" t="str">
        <f aca="false">IFERROR((AD82-AD83)/AD82,"")</f>
        <v/>
      </c>
      <c r="AE81" s="198" t="str">
        <f aca="false">IFERROR((AE82-AE83)/AE82,"")</f>
        <v/>
      </c>
      <c r="AF81" s="198" t="str">
        <f aca="false">IFERROR((AF82-AF83)/AF82,"")</f>
        <v/>
      </c>
      <c r="AG81" s="198" t="str">
        <f aca="false">IFERROR((AG82-AG83)/AG82,"")</f>
        <v/>
      </c>
      <c r="AH81" s="198" t="str">
        <f aca="false">IFERROR((AH82-AH83)/AH82,"")</f>
        <v/>
      </c>
      <c r="AI81" s="198" t="str">
        <f aca="false">IFERROR((AI82-AI83)/AI82,"")</f>
        <v/>
      </c>
      <c r="AJ81" s="200" t="str">
        <f aca="false">IFERROR((AJ82-AJ83)/AJ82,"")</f>
        <v/>
      </c>
      <c r="AK81" s="201" t="str">
        <f aca="false">IFERROR((AK82-AK83)/AK82,"")</f>
        <v/>
      </c>
      <c r="AL81" s="202" t="str">
        <f aca="false">IFERROR((AL82-AL83)/AL82,"")</f>
        <v/>
      </c>
      <c r="AM81" s="202" t="str">
        <f aca="false">IFERROR((AM82-AM83)/AM82,"")</f>
        <v/>
      </c>
      <c r="AN81" s="202" t="str">
        <f aca="false">IFERROR((AN82-AN83)/AN82,"")</f>
        <v/>
      </c>
      <c r="AO81" s="202" t="str">
        <f aca="false">IFERROR((AO82-AO83)/AO82,"")</f>
        <v/>
      </c>
      <c r="AP81" s="202" t="str">
        <f aca="false">IFERROR((AP82-AP83)/AP82,"")</f>
        <v/>
      </c>
      <c r="AQ81" s="203" t="str">
        <f aca="false">IFERROR((AQ82-AQ83)/AQ82,"")</f>
        <v/>
      </c>
      <c r="AR81" s="204" t="str">
        <f aca="false">IFERROR((AR82-AR83)/AR82,"")</f>
        <v/>
      </c>
    </row>
    <row r="82" customFormat="false" ht="14.25" hidden="false" customHeight="false" outlineLevel="0" collapsed="false">
      <c r="A82" s="191" t="str">
        <f aca="false">+IF(C82+C83=0,"[ocultar]","")</f>
        <v>[ocultar]</v>
      </c>
      <c r="B82" s="205" t="s">
        <v>371</v>
      </c>
      <c r="C82" s="206" t="n">
        <f aca="false" t="array" ref="C82:C82">SUM(IF($B82=DATOS_[Sexo], IF($B81=DATOS_[AGRUP. VALOR. PTO.], IF("Dentro"=DATOS_[Check Periodo Ref.], 1/(COUNTIFS(DATOS_[Sexo],$B82,DATOS_[AGRUP. VALOR. PTO.],$B81,DATOS_[Check Periodo Ref.],"Dentro",DATOS_[id],DATOS_[id]))))))</f>
        <v>0</v>
      </c>
      <c r="D82" s="207" t="n">
        <f aca="false">COUNTIFS(DATOS_[AGRUP. VALOR. PTO.],$B81,DATOS_[Sexo],$B82,DATOS_[Check Periodo Ref.],"Dentro")</f>
        <v>0</v>
      </c>
      <c r="E82" s="208" t="n">
        <f aca="false" t="array" ref="E82:E82">IFERROR( AVERAGE(IF(DATOS_[Sexo]=$B82,IF(DATOS_[AGRUP. VALOR. PTO.]=$B81,IF(DATOS_[Check Periodo Ref.]="Dentro",DATOS_[SALARIO BASE Ef],0)))), 0)</f>
        <v>0</v>
      </c>
      <c r="F82" s="209" t="n">
        <f aca="false" t="array" ref="F82:F82">IFERROR( AVERAGE((IF(DATOS_[[Sexo]:[Sexo]]=$B82,IF(DATOS_[[AGRUP. VALOR. PTO.]:[AGRUP. VALOR. PTO.]]=$B81,IF(DATOS_[[Check Periodo Ref.]:[Check Periodo Ref.]]="Dentro",DATOS_[Conc.Sal.01]))))), 0)</f>
        <v>0</v>
      </c>
      <c r="G82" s="209" t="n">
        <f aca="false" t="array" ref="G82:G82">IFERROR( AVERAGE((IF(DATOS_[[Sexo]:[Sexo]]=$B82,IF(DATOS_[[AGRUP. VALOR. PTO.]:[AGRUP. VALOR. PTO.]]=$B81,IF(DATOS_[[Check Periodo Ref.]:[Check Periodo Ref.]]="Dentro",DATOS_[Conc.Sal.02]))))), 0)</f>
        <v>0</v>
      </c>
      <c r="H82" s="209" t="n">
        <f aca="false" t="array" ref="H82:H82">IFERROR( AVERAGE((IF(DATOS_[[Sexo]:[Sexo]]=$B82,IF(DATOS_[[AGRUP. VALOR. PTO.]:[AGRUP. VALOR. PTO.]]=$B81,IF(DATOS_[[Check Periodo Ref.]:[Check Periodo Ref.]]="Dentro",DATOS_[Conc.Sal.03]))))), 0)</f>
        <v>0</v>
      </c>
      <c r="I82" s="209" t="n">
        <f aca="false" t="array" ref="I82:I82">IFERROR( AVERAGE((IF(DATOS_[[Sexo]:[Sexo]]=$B82,IF(DATOS_[[AGRUP. VALOR. PTO.]:[AGRUP. VALOR. PTO.]]=$B81,IF(DATOS_[[Check Periodo Ref.]:[Check Periodo Ref.]]="Dentro",DATOS_[Conc.Sal.04]))))), 0)</f>
        <v>0</v>
      </c>
      <c r="J82" s="209" t="n">
        <f aca="false" t="array" ref="J82:J82">IFERROR( AVERAGE((IF(DATOS_[[Sexo]:[Sexo]]=$B82,IF(DATOS_[[AGRUP. VALOR. PTO.]:[AGRUP. VALOR. PTO.]]=$B81,IF(DATOS_[[Check Periodo Ref.]:[Check Periodo Ref.]]="Dentro",DATOS_[Conc.Sal.05]))))), 0)</f>
        <v>0</v>
      </c>
      <c r="K82" s="209" t="n">
        <f aca="false" t="array" ref="K82:K82">IFERROR( AVERAGE((IF(DATOS_[[Sexo]:[Sexo]]=$B82,IF(DATOS_[[AGRUP. VALOR. PTO.]:[AGRUP. VALOR. PTO.]]=$B81,IF(DATOS_[[Check Periodo Ref.]:[Check Periodo Ref.]]="Dentro",DATOS_[Conc.Sal.06]))))), 0)</f>
        <v>0</v>
      </c>
      <c r="L82" s="209" t="n">
        <f aca="false" t="array" ref="L82:L82">IFERROR( AVERAGE((IF(DATOS_[[Sexo]:[Sexo]]=$B82,IF(DATOS_[[AGRUP. VALOR. PTO.]:[AGRUP. VALOR. PTO.]]=$B81,IF(DATOS_[[Check Periodo Ref.]:[Check Periodo Ref.]]="Dentro",DATOS_[Conc.Sal.07]))))), 0)</f>
        <v>0</v>
      </c>
      <c r="M82" s="209" t="n">
        <f aca="false" t="array" ref="M82:M82">IFERROR( AVERAGE((IF(DATOS_[[Sexo]:[Sexo]]=$B82,IF(DATOS_[[AGRUP. VALOR. PTO.]:[AGRUP. VALOR. PTO.]]=$B81,IF(DATOS_[[Check Periodo Ref.]:[Check Periodo Ref.]]="Dentro",DATOS_[Conc.Sal.08]))))), 0)</f>
        <v>0</v>
      </c>
      <c r="N82" s="209" t="n">
        <f aca="false" t="array" ref="N82:N82">IFERROR( AVERAGE((IF(DATOS_[[Sexo]:[Sexo]]=$B82,IF(DATOS_[[AGRUP. VALOR. PTO.]:[AGRUP. VALOR. PTO.]]=$B81,IF(DATOS_[[Check Periodo Ref.]:[Check Periodo Ref.]]="Dentro",DATOS_[Conc.Sal.09]))))), 0)</f>
        <v>0</v>
      </c>
      <c r="O82" s="209" t="n">
        <f aca="false" t="array" ref="O82:O82">IFERROR( AVERAGE((IF(DATOS_[[Sexo]:[Sexo]]=$B82,IF(DATOS_[[AGRUP. VALOR. PTO.]:[AGRUP. VALOR. PTO.]]=$B81,IF(DATOS_[[Check Periodo Ref.]:[Check Periodo Ref.]]="Dentro",DATOS_[Conc.Sal.10]))))), 0)</f>
        <v>0</v>
      </c>
      <c r="P82" s="209" t="n">
        <f aca="false" t="array" ref="P82:P82">IFERROR( AVERAGE((IF(DATOS_[[Sexo]:[Sexo]]=$B82,IF(DATOS_[[AGRUP. VALOR. PTO.]:[AGRUP. VALOR. PTO.]]=$B81,IF(DATOS_[[Check Periodo Ref.]:[Check Periodo Ref.]]="Dentro",DATOS_[Conc.Sal.11]))))), 0)</f>
        <v>0</v>
      </c>
      <c r="Q82" s="209" t="n">
        <f aca="false" t="array" ref="Q82:Q82">IFERROR( AVERAGE((IF(DATOS_[[Sexo]:[Sexo]]=$B82,IF(DATOS_[[AGRUP. VALOR. PTO.]:[AGRUP. VALOR. PTO.]]=$B81,IF(DATOS_[[Check Periodo Ref.]:[Check Periodo Ref.]]="Dentro",DATOS_[Conc.Sal.12]))))), 0)</f>
        <v>0</v>
      </c>
      <c r="R82" s="209" t="n">
        <f aca="false" t="array" ref="R82:R82">IFERROR( AVERAGE((IF(DATOS_[[Sexo]:[Sexo]]=$B82,IF(DATOS_[[AGRUP. VALOR. PTO.]:[AGRUP. VALOR. PTO.]]=$B81,IF(DATOS_[[Check Periodo Ref.]:[Check Periodo Ref.]]="Dentro",DATOS_[Conc.Sal.13]))))), 0)</f>
        <v>0</v>
      </c>
      <c r="S82" s="209" t="n">
        <f aca="false" t="array" ref="S82:S82">IFERROR( AVERAGE((IF(DATOS_[[Sexo]:[Sexo]]=$B82,IF(DATOS_[[AGRUP. VALOR. PTO.]:[AGRUP. VALOR. PTO.]]=$B81,IF(DATOS_[[Check Periodo Ref.]:[Check Periodo Ref.]]="Dentro",DATOS_[Conc.Sal.14]))))), 0)</f>
        <v>0</v>
      </c>
      <c r="T82" s="209" t="n">
        <f aca="false" t="array" ref="T82:T82">IFERROR( AVERAGE((IF(DATOS_[[Sexo]:[Sexo]]=$B82,IF(DATOS_[[AGRUP. VALOR. PTO.]:[AGRUP. VALOR. PTO.]]=$B81,IF(DATOS_[[Check Periodo Ref.]:[Check Periodo Ref.]]="Dentro",DATOS_[Conc.Sal.15]))))), 0)</f>
        <v>0</v>
      </c>
      <c r="U82" s="209" t="n">
        <f aca="false" t="array" ref="U82:U82">IFERROR( AVERAGE((IF(DATOS_[[Sexo]:[Sexo]]=$B82,IF(DATOS_[[AGRUP. VALOR. PTO.]:[AGRUP. VALOR. PTO.]]=$B81,IF(DATOS_[[Check Periodo Ref.]:[Check Periodo Ref.]]="Dentro",DATOS_[Conc.Sal.16]))))), 0)</f>
        <v>0</v>
      </c>
      <c r="V82" s="209" t="n">
        <f aca="false" t="array" ref="V82:V82">IFERROR( AVERAGE((IF(DATOS_[[Sexo]:[Sexo]]=$B82,IF(DATOS_[[AGRUP. VALOR. PTO.]:[AGRUP. VALOR. PTO.]]=$B81,IF(DATOS_[[Check Periodo Ref.]:[Check Periodo Ref.]]="Dentro",DATOS_[Conc.Sal.17]))))), 0)</f>
        <v>0</v>
      </c>
      <c r="W82" s="209" t="n">
        <f aca="false" t="array" ref="W82:W82">IFERROR( AVERAGE((IF(DATOS_[[Sexo]:[Sexo]]=$B82,IF(DATOS_[[AGRUP. VALOR. PTO.]:[AGRUP. VALOR. PTO.]]=$B81,IF(DATOS_[[Check Periodo Ref.]:[Check Periodo Ref.]]="Dentro",DATOS_[Conc.Sal.18]))))), 0)</f>
        <v>0</v>
      </c>
      <c r="X82" s="209" t="n">
        <f aca="false" t="array" ref="X82:X82">IFERROR( AVERAGE((IF(DATOS_[[Sexo]:[Sexo]]=$B82,IF(DATOS_[[AGRUP. VALOR. PTO.]:[AGRUP. VALOR. PTO.]]=$B81,IF(DATOS_[[Check Periodo Ref.]:[Check Periodo Ref.]]="Dentro",DATOS_[Conc.Sal.19]))))), 0)</f>
        <v>0</v>
      </c>
      <c r="Y82" s="209" t="n">
        <f aca="false" t="array" ref="Y82:Y82">IFERROR( AVERAGE((IF(DATOS_[[Sexo]:[Sexo]]=$B82,IF(DATOS_[[AGRUP. VALOR. PTO.]:[AGRUP. VALOR. PTO.]]=$B81,IF(DATOS_[[Check Periodo Ref.]:[Check Periodo Ref.]]="Dentro",DATOS_[Conc.Sal.20]))))), 0)</f>
        <v>0</v>
      </c>
      <c r="Z82" s="209" t="n">
        <f aca="false" t="array" ref="Z82:Z82">IFERROR( AVERAGE((IF(DATOS_[[Sexo]:[Sexo]]=$B82,IF(DATOS_[[AGRUP. VALOR. PTO.]:[AGRUP. VALOR. PTO.]]=$B81,IF(DATOS_[[Check Periodo Ref.]:[Check Periodo Ref.]]="Dentro",DATOS_[Conc.Sal.21]))))), 0)</f>
        <v>0</v>
      </c>
      <c r="AA82" s="209" t="n">
        <f aca="false" t="array" ref="AA82:AA82">IFERROR( AVERAGE((IF(DATOS_[[Sexo]:[Sexo]]=$B82,IF(DATOS_[[AGRUP. VALOR. PTO.]:[AGRUP. VALOR. PTO.]]=$B81,IF(DATOS_[[Check Periodo Ref.]:[Check Periodo Ref.]]="Dentro",DATOS_[Conc.Sal.22]))))), 0)</f>
        <v>0</v>
      </c>
      <c r="AB82" s="209" t="n">
        <f aca="false" t="array" ref="AB82:AB82">IFERROR( AVERAGE((IF(DATOS_[[Sexo]:[Sexo]]=$B82,IF(DATOS_[[AGRUP. VALOR. PTO.]:[AGRUP. VALOR. PTO.]]=$B81,IF(DATOS_[[Check Periodo Ref.]:[Check Periodo Ref.]]="Dentro",DATOS_[Conc.Sal.23]))))), 0)</f>
        <v>0</v>
      </c>
      <c r="AC82" s="209" t="n">
        <f aca="false" t="array" ref="AC82:AC82">IFERROR( AVERAGE((IF(DATOS_[[Sexo]:[Sexo]]=$B82,IF(DATOS_[[AGRUP. VALOR. PTO.]:[AGRUP. VALOR. PTO.]]=$B81,IF(DATOS_[[Check Periodo Ref.]:[Check Periodo Ref.]]="Dentro",DATOS_[Conc.Sal.24]))))), 0)</f>
        <v>0</v>
      </c>
      <c r="AD82" s="209" t="n">
        <f aca="false" t="array" ref="AD82:AD82">IFERROR( AVERAGE((IF(DATOS_[[Sexo]:[Sexo]]=$B82,IF(DATOS_[[AGRUP. VALOR. PTO.]:[AGRUP. VALOR. PTO.]]=$B81,IF(DATOS_[[Check Periodo Ref.]:[Check Periodo Ref.]]="Dentro",DATOS_[Conc.Sal.25]))))), 0)</f>
        <v>0</v>
      </c>
      <c r="AE82" s="209" t="n">
        <f aca="false" t="array" ref="AE82:AE82">IFERROR( AVERAGE((IF(DATOS_[[Sexo]:[Sexo]]=$B82,IF(DATOS_[[AGRUP. VALOR. PTO.]:[AGRUP. VALOR. PTO.]]=$B81,IF(DATOS_[[Check Periodo Ref.]:[Check Periodo Ref.]]="Dentro",DATOS_[Conc.Sal.26]))))), 0)</f>
        <v>0</v>
      </c>
      <c r="AF82" s="209" t="n">
        <f aca="false" t="array" ref="AF82:AF82">IFERROR( AVERAGE((IF(DATOS_[[Sexo]:[Sexo]]=$B82,IF(DATOS_[[AGRUP. VALOR. PTO.]:[AGRUP. VALOR. PTO.]]=$B81,IF(DATOS_[[Check Periodo Ref.]:[Check Periodo Ref.]]="Dentro",DATOS_[Conc.Sal.27]))))), 0)</f>
        <v>0</v>
      </c>
      <c r="AG82" s="209" t="n">
        <f aca="false" t="array" ref="AG82:AG82">IFERROR( AVERAGE((IF(DATOS_[[Sexo]:[Sexo]]=$B82,IF(DATOS_[[AGRUP. VALOR. PTO.]:[AGRUP. VALOR. PTO.]]=$B81,IF(DATOS_[[Check Periodo Ref.]:[Check Periodo Ref.]]="Dentro",DATOS_[Conc.Sal.28]))))), 0)</f>
        <v>0</v>
      </c>
      <c r="AH82" s="209" t="n">
        <f aca="false" t="array" ref="AH82:AH82">IFERROR( AVERAGE((IF(DATOS_[[Sexo]:[Sexo]]=$B82,IF(DATOS_[[AGRUP. VALOR. PTO.]:[AGRUP. VALOR. PTO.]]=$B81,IF(DATOS_[[Check Periodo Ref.]:[Check Periodo Ref.]]="Dentro",DATOS_[Conc.Sal.29]))))), 0)</f>
        <v>0</v>
      </c>
      <c r="AI82" s="209" t="n">
        <f aca="false" t="array" ref="AI82:AI82">IFERROR( AVERAGE((IF(DATOS_[[Sexo]:[Sexo]]=$B82,IF(DATOS_[[AGRUP. VALOR. PTO.]:[AGRUP. VALOR. PTO.]]=$B81,IF(DATOS_[[Check Periodo Ref.]:[Check Periodo Ref.]]="Dentro",DATOS_[Conc.Sal.30]))))), 0)</f>
        <v>0</v>
      </c>
      <c r="AJ82" s="210" t="n">
        <f aca="false" t="array" ref="AJ82:AJ82">IFERROR( AVERAGE(IF(DATOS_[Sexo]=$B82,IF(DATOS_[AGRUP. VALOR. PTO.]=$B81,IF(DATOS_[Check Periodo Ref.]="Dentro",DATOS_[Tot COMPL.SAL Ef],0)))), 0)</f>
        <v>0</v>
      </c>
      <c r="AK82" s="211" t="n">
        <f aca="false" t="array" ref="AK82:AK82">IFERROR( AVERAGE(IF(DATOS_[Sexo]=$B82,IF(DATOS_[AGRUP. VALOR. PTO.]=$B81,IF(DATOS_[Check Periodo Ref.]="Dentro",DATOS_[TOTAL SALARIO Ef],0)))), 0)</f>
        <v>0</v>
      </c>
      <c r="AL82" s="212" t="n">
        <f aca="false" t="array" ref="AL82:AL82">IFERROR( AVERAGE((IF(DATOS_[[Sexo]:[Sexo]]=$B82,IF(DATOS_[[AGRUP. VALOR. PTO.]:[AGRUP. VALOR. PTO.]]=$B81,IF(DATOS_[[Check Periodo Ref.]:[Check Periodo Ref.]]="Dentro",DATOS_[C.Extra.01]))))), 0)</f>
        <v>0</v>
      </c>
      <c r="AM82" s="212" t="n">
        <f aca="false" t="array" ref="AM82:AM82">IFERROR( AVERAGE((IF(DATOS_[[Sexo]:[Sexo]]=$B82,IF(DATOS_[[AGRUP. VALOR. PTO.]:[AGRUP. VALOR. PTO.]]=$B81,IF(DATOS_[[Check Periodo Ref.]:[Check Periodo Ref.]]="Dentro",DATOS_[C.Extra.02]))))), 0)</f>
        <v>0</v>
      </c>
      <c r="AN82" s="212" t="n">
        <f aca="false" t="array" ref="AN82:AN82">IFERROR( AVERAGE((IF(DATOS_[[Sexo]:[Sexo]]=$B82,IF(DATOS_[[AGRUP. VALOR. PTO.]:[AGRUP. VALOR. PTO.]]=$B81,IF(DATOS_[[Check Periodo Ref.]:[Check Periodo Ref.]]="Dentro",DATOS_[C.Extra.03]))))), 0)</f>
        <v>0</v>
      </c>
      <c r="AO82" s="212" t="n">
        <f aca="false" t="array" ref="AO82:AO82">IFERROR( AVERAGE((IF(DATOS_[[Sexo]:[Sexo]]=$B82,IF(DATOS_[[AGRUP. VALOR. PTO.]:[AGRUP. VALOR. PTO.]]=$B81,IF(DATOS_[[Check Periodo Ref.]:[Check Periodo Ref.]]="Dentro",DATOS_[C.Extra.04]))))), 0)</f>
        <v>0</v>
      </c>
      <c r="AP82" s="212" t="n">
        <f aca="false" t="array" ref="AP82:AP82">IFERROR( AVERAGE((IF(DATOS_[[Sexo]:[Sexo]]=$B82,IF(DATOS_[[AGRUP. VALOR. PTO.]:[AGRUP. VALOR. PTO.]]=$B81,IF(DATOS_[[Check Periodo Ref.]:[Check Periodo Ref.]]="Dentro",DATOS_[C.Extra.05]))))), 0)</f>
        <v>0</v>
      </c>
      <c r="AQ82" s="213" t="n">
        <f aca="false" t="array" ref="AQ82:AQ82">IFERROR( AVERAGE(IF(DATOS_[Sexo]=$B82,IF(DATOS_[AGRUP. VALOR. PTO.]=$B81,IF(DATOS_[Check Periodo Ref.]="Dentro",DATOS_[Tot Extrasalarial Ef],0)))), 0)</f>
        <v>0</v>
      </c>
      <c r="AR82" s="214" t="n">
        <f aca="false" t="array" ref="AR82:AR82">IFERROR( AVERAGE(IF(DATOS_[Sexo]=$B82,IF(DATOS_[AGRUP. VALOR. PTO.]=$B81,IF(DATOS_[Check Periodo Ref.]="Dentro",DATOS_[TOTAL Retrib Ef],0)))), 0)</f>
        <v>0</v>
      </c>
    </row>
    <row r="83" customFormat="false" ht="14.25" hidden="false" customHeight="false" outlineLevel="0" collapsed="false">
      <c r="A83" s="191" t="str">
        <f aca="false">+A82</f>
        <v>[ocultar]</v>
      </c>
      <c r="B83" s="205" t="s">
        <v>372</v>
      </c>
      <c r="C83" s="206" t="n">
        <f aca="false" t="array" ref="C83:C83">SUM(IF($B83=DATOS_[Sexo], IF($B81=DATOS_[AGRUP. VALOR. PTO.], IF("Dentro"=DATOS_[Check Periodo Ref.], 1/(COUNTIFS(DATOS_[Sexo],$B83,DATOS_[AGRUP. VALOR. PTO.],$B81,DATOS_[Check Periodo Ref.],"Dentro",DATOS_[id],DATOS_[id]))))))</f>
        <v>0</v>
      </c>
      <c r="D83" s="207" t="n">
        <f aca="false">COUNTIFS(DATOS_[AGRUP. VALOR. PTO.],$B81,DATOS_[Sexo],$B83,DATOS_[Check Periodo Ref.],"Dentro")</f>
        <v>0</v>
      </c>
      <c r="E83" s="208" t="n">
        <f aca="false" t="array" ref="E83:E83">IFERROR( AVERAGE(IF(DATOS_[Sexo]=$B83,IF(DATOS_[AGRUP. VALOR. PTO.]=$B81,IF(DATOS_[Check Periodo Ref.]="Dentro",DATOS_[SALARIO BASE Ef],0)))), 0)</f>
        <v>0</v>
      </c>
      <c r="F83" s="209" t="n">
        <f aca="false" t="array" ref="F83:F83">IFERROR( AVERAGE((IF(DATOS_[[Sexo]:[Sexo]]=$B83,IF(DATOS_[[AGRUP. VALOR. PTO.]:[AGRUP. VALOR. PTO.]]=$B81,IF(DATOS_[[Check Periodo Ref.]:[Check Periodo Ref.]]="Dentro",DATOS_[Conc.Sal.01]))))), 0)</f>
        <v>0</v>
      </c>
      <c r="G83" s="209" t="n">
        <f aca="false" t="array" ref="G83:G83">IFERROR( AVERAGE((IF(DATOS_[[Sexo]:[Sexo]]=$B83,IF(DATOS_[[AGRUP. VALOR. PTO.]:[AGRUP. VALOR. PTO.]]=$B81,IF(DATOS_[[Check Periodo Ref.]:[Check Periodo Ref.]]="Dentro",DATOS_[Conc.Sal.02]))))), 0)</f>
        <v>0</v>
      </c>
      <c r="H83" s="209" t="n">
        <f aca="false" t="array" ref="H83:H83">IFERROR( AVERAGE((IF(DATOS_[[Sexo]:[Sexo]]=$B83,IF(DATOS_[[AGRUP. VALOR. PTO.]:[AGRUP. VALOR. PTO.]]=$B81,IF(DATOS_[[Check Periodo Ref.]:[Check Periodo Ref.]]="Dentro",DATOS_[Conc.Sal.03]))))), 0)</f>
        <v>0</v>
      </c>
      <c r="I83" s="209" t="n">
        <f aca="false" t="array" ref="I83:I83">IFERROR( AVERAGE((IF(DATOS_[[Sexo]:[Sexo]]=$B83,IF(DATOS_[[AGRUP. VALOR. PTO.]:[AGRUP. VALOR. PTO.]]=$B81,IF(DATOS_[[Check Periodo Ref.]:[Check Periodo Ref.]]="Dentro",DATOS_[Conc.Sal.04]))))), 0)</f>
        <v>0</v>
      </c>
      <c r="J83" s="209" t="n">
        <f aca="false" t="array" ref="J83:J83">IFERROR( AVERAGE((IF(DATOS_[[Sexo]:[Sexo]]=$B83,IF(DATOS_[[AGRUP. VALOR. PTO.]:[AGRUP. VALOR. PTO.]]=$B81,IF(DATOS_[[Check Periodo Ref.]:[Check Periodo Ref.]]="Dentro",DATOS_[Conc.Sal.05]))))), 0)</f>
        <v>0</v>
      </c>
      <c r="K83" s="209" t="n">
        <f aca="false" t="array" ref="K83:K83">IFERROR( AVERAGE((IF(DATOS_[[Sexo]:[Sexo]]=$B83,IF(DATOS_[[AGRUP. VALOR. PTO.]:[AGRUP. VALOR. PTO.]]=$B81,IF(DATOS_[[Check Periodo Ref.]:[Check Periodo Ref.]]="Dentro",DATOS_[Conc.Sal.06]))))), 0)</f>
        <v>0</v>
      </c>
      <c r="L83" s="209" t="n">
        <f aca="false" t="array" ref="L83:L83">IFERROR( AVERAGE((IF(DATOS_[[Sexo]:[Sexo]]=$B83,IF(DATOS_[[AGRUP. VALOR. PTO.]:[AGRUP. VALOR. PTO.]]=$B81,IF(DATOS_[[Check Periodo Ref.]:[Check Periodo Ref.]]="Dentro",DATOS_[Conc.Sal.07]))))), 0)</f>
        <v>0</v>
      </c>
      <c r="M83" s="209" t="n">
        <f aca="false" t="array" ref="M83:M83">IFERROR( AVERAGE((IF(DATOS_[[Sexo]:[Sexo]]=$B83,IF(DATOS_[[AGRUP. VALOR. PTO.]:[AGRUP. VALOR. PTO.]]=$B81,IF(DATOS_[[Check Periodo Ref.]:[Check Periodo Ref.]]="Dentro",DATOS_[Conc.Sal.08]))))), 0)</f>
        <v>0</v>
      </c>
      <c r="N83" s="209" t="n">
        <f aca="false" t="array" ref="N83:N83">IFERROR( AVERAGE((IF(DATOS_[[Sexo]:[Sexo]]=$B83,IF(DATOS_[[AGRUP. VALOR. PTO.]:[AGRUP. VALOR. PTO.]]=$B81,IF(DATOS_[[Check Periodo Ref.]:[Check Periodo Ref.]]="Dentro",DATOS_[Conc.Sal.09]))))), 0)</f>
        <v>0</v>
      </c>
      <c r="O83" s="209" t="n">
        <f aca="false" t="array" ref="O83:O83">IFERROR( AVERAGE((IF(DATOS_[[Sexo]:[Sexo]]=$B83,IF(DATOS_[[AGRUP. VALOR. PTO.]:[AGRUP. VALOR. PTO.]]=$B81,IF(DATOS_[[Check Periodo Ref.]:[Check Periodo Ref.]]="Dentro",DATOS_[Conc.Sal.10]))))), 0)</f>
        <v>0</v>
      </c>
      <c r="P83" s="209" t="n">
        <f aca="false" t="array" ref="P83:P83">IFERROR( AVERAGE((IF(DATOS_[[Sexo]:[Sexo]]=$B83,IF(DATOS_[[AGRUP. VALOR. PTO.]:[AGRUP. VALOR. PTO.]]=$B81,IF(DATOS_[[Check Periodo Ref.]:[Check Periodo Ref.]]="Dentro",DATOS_[Conc.Sal.11]))))), 0)</f>
        <v>0</v>
      </c>
      <c r="Q83" s="209" t="n">
        <f aca="false" t="array" ref="Q83:Q83">IFERROR( AVERAGE((IF(DATOS_[[Sexo]:[Sexo]]=$B83,IF(DATOS_[[AGRUP. VALOR. PTO.]:[AGRUP. VALOR. PTO.]]=$B81,IF(DATOS_[[Check Periodo Ref.]:[Check Periodo Ref.]]="Dentro",DATOS_[Conc.Sal.12]))))), 0)</f>
        <v>0</v>
      </c>
      <c r="R83" s="209" t="n">
        <f aca="false" t="array" ref="R83:R83">IFERROR( AVERAGE((IF(DATOS_[[Sexo]:[Sexo]]=$B83,IF(DATOS_[[AGRUP. VALOR. PTO.]:[AGRUP. VALOR. PTO.]]=$B81,IF(DATOS_[[Check Periodo Ref.]:[Check Periodo Ref.]]="Dentro",DATOS_[Conc.Sal.13]))))), 0)</f>
        <v>0</v>
      </c>
      <c r="S83" s="209" t="n">
        <f aca="false" t="array" ref="S83:S83">IFERROR( AVERAGE((IF(DATOS_[[Sexo]:[Sexo]]=$B83,IF(DATOS_[[AGRUP. VALOR. PTO.]:[AGRUP. VALOR. PTO.]]=$B81,IF(DATOS_[[Check Periodo Ref.]:[Check Periodo Ref.]]="Dentro",DATOS_[Conc.Sal.14]))))), 0)</f>
        <v>0</v>
      </c>
      <c r="T83" s="209" t="n">
        <f aca="false" t="array" ref="T83:T83">IFERROR( AVERAGE((IF(DATOS_[[Sexo]:[Sexo]]=$B83,IF(DATOS_[[AGRUP. VALOR. PTO.]:[AGRUP. VALOR. PTO.]]=$B81,IF(DATOS_[[Check Periodo Ref.]:[Check Periodo Ref.]]="Dentro",DATOS_[Conc.Sal.15]))))), 0)</f>
        <v>0</v>
      </c>
      <c r="U83" s="209" t="n">
        <f aca="false" t="array" ref="U83:U83">IFERROR( AVERAGE((IF(DATOS_[[Sexo]:[Sexo]]=$B83,IF(DATOS_[[AGRUP. VALOR. PTO.]:[AGRUP. VALOR. PTO.]]=$B81,IF(DATOS_[[Check Periodo Ref.]:[Check Periodo Ref.]]="Dentro",DATOS_[Conc.Sal.16]))))), 0)</f>
        <v>0</v>
      </c>
      <c r="V83" s="209" t="n">
        <f aca="false" t="array" ref="V83:V83">IFERROR( AVERAGE((IF(DATOS_[[Sexo]:[Sexo]]=$B83,IF(DATOS_[[AGRUP. VALOR. PTO.]:[AGRUP. VALOR. PTO.]]=$B81,IF(DATOS_[[Check Periodo Ref.]:[Check Periodo Ref.]]="Dentro",DATOS_[Conc.Sal.17]))))), 0)</f>
        <v>0</v>
      </c>
      <c r="W83" s="209" t="n">
        <f aca="false" t="array" ref="W83:W83">IFERROR( AVERAGE((IF(DATOS_[[Sexo]:[Sexo]]=$B83,IF(DATOS_[[AGRUP. VALOR. PTO.]:[AGRUP. VALOR. PTO.]]=$B81,IF(DATOS_[[Check Periodo Ref.]:[Check Periodo Ref.]]="Dentro",DATOS_[Conc.Sal.18]))))), 0)</f>
        <v>0</v>
      </c>
      <c r="X83" s="209" t="n">
        <f aca="false" t="array" ref="X83:X83">IFERROR( AVERAGE((IF(DATOS_[[Sexo]:[Sexo]]=$B83,IF(DATOS_[[AGRUP. VALOR. PTO.]:[AGRUP. VALOR. PTO.]]=$B81,IF(DATOS_[[Check Periodo Ref.]:[Check Periodo Ref.]]="Dentro",DATOS_[Conc.Sal.19]))))), 0)</f>
        <v>0</v>
      </c>
      <c r="Y83" s="209" t="n">
        <f aca="false" t="array" ref="Y83:Y83">IFERROR( AVERAGE((IF(DATOS_[[Sexo]:[Sexo]]=$B83,IF(DATOS_[[AGRUP. VALOR. PTO.]:[AGRUP. VALOR. PTO.]]=$B81,IF(DATOS_[[Check Periodo Ref.]:[Check Periodo Ref.]]="Dentro",DATOS_[Conc.Sal.20]))))), 0)</f>
        <v>0</v>
      </c>
      <c r="Z83" s="209" t="n">
        <f aca="false" t="array" ref="Z83:Z83">IFERROR( AVERAGE((IF(DATOS_[[Sexo]:[Sexo]]=$B83,IF(DATOS_[[AGRUP. VALOR. PTO.]:[AGRUP. VALOR. PTO.]]=$B81,IF(DATOS_[[Check Periodo Ref.]:[Check Periodo Ref.]]="Dentro",DATOS_[Conc.Sal.21]))))), 0)</f>
        <v>0</v>
      </c>
      <c r="AA83" s="209" t="n">
        <f aca="false" t="array" ref="AA83:AA83">IFERROR( AVERAGE((IF(DATOS_[[Sexo]:[Sexo]]=$B83,IF(DATOS_[[AGRUP. VALOR. PTO.]:[AGRUP. VALOR. PTO.]]=$B81,IF(DATOS_[[Check Periodo Ref.]:[Check Periodo Ref.]]="Dentro",DATOS_[Conc.Sal.22]))))), 0)</f>
        <v>0</v>
      </c>
      <c r="AB83" s="209" t="n">
        <f aca="false" t="array" ref="AB83:AB83">IFERROR( AVERAGE((IF(DATOS_[[Sexo]:[Sexo]]=$B83,IF(DATOS_[[AGRUP. VALOR. PTO.]:[AGRUP. VALOR. PTO.]]=$B81,IF(DATOS_[[Check Periodo Ref.]:[Check Periodo Ref.]]="Dentro",DATOS_[Conc.Sal.23]))))), 0)</f>
        <v>0</v>
      </c>
      <c r="AC83" s="209" t="n">
        <f aca="false" t="array" ref="AC83:AC83">IFERROR( AVERAGE((IF(DATOS_[[Sexo]:[Sexo]]=$B83,IF(DATOS_[[AGRUP. VALOR. PTO.]:[AGRUP. VALOR. PTO.]]=$B81,IF(DATOS_[[Check Periodo Ref.]:[Check Periodo Ref.]]="Dentro",DATOS_[Conc.Sal.24]))))), 0)</f>
        <v>0</v>
      </c>
      <c r="AD83" s="209" t="n">
        <f aca="false" t="array" ref="AD83:AD83">IFERROR( AVERAGE((IF(DATOS_[[Sexo]:[Sexo]]=$B83,IF(DATOS_[[AGRUP. VALOR. PTO.]:[AGRUP. VALOR. PTO.]]=$B81,IF(DATOS_[[Check Periodo Ref.]:[Check Periodo Ref.]]="Dentro",DATOS_[Conc.Sal.25]))))), 0)</f>
        <v>0</v>
      </c>
      <c r="AE83" s="209" t="n">
        <f aca="false" t="array" ref="AE83:AE83">IFERROR( AVERAGE((IF(DATOS_[[Sexo]:[Sexo]]=$B83,IF(DATOS_[[AGRUP. VALOR. PTO.]:[AGRUP. VALOR. PTO.]]=$B81,IF(DATOS_[[Check Periodo Ref.]:[Check Periodo Ref.]]="Dentro",DATOS_[Conc.Sal.26]))))), 0)</f>
        <v>0</v>
      </c>
      <c r="AF83" s="209" t="n">
        <f aca="false" t="array" ref="AF83:AF83">IFERROR( AVERAGE((IF(DATOS_[[Sexo]:[Sexo]]=$B83,IF(DATOS_[[AGRUP. VALOR. PTO.]:[AGRUP. VALOR. PTO.]]=$B81,IF(DATOS_[[Check Periodo Ref.]:[Check Periodo Ref.]]="Dentro",DATOS_[Conc.Sal.27]))))), 0)</f>
        <v>0</v>
      </c>
      <c r="AG83" s="209" t="n">
        <f aca="false" t="array" ref="AG83:AG83">IFERROR( AVERAGE((IF(DATOS_[[Sexo]:[Sexo]]=$B83,IF(DATOS_[[AGRUP. VALOR. PTO.]:[AGRUP. VALOR. PTO.]]=$B81,IF(DATOS_[[Check Periodo Ref.]:[Check Periodo Ref.]]="Dentro",DATOS_[Conc.Sal.28]))))), 0)</f>
        <v>0</v>
      </c>
      <c r="AH83" s="209" t="n">
        <f aca="false" t="array" ref="AH83:AH83">IFERROR( AVERAGE((IF(DATOS_[[Sexo]:[Sexo]]=$B83,IF(DATOS_[[AGRUP. VALOR. PTO.]:[AGRUP. VALOR. PTO.]]=$B81,IF(DATOS_[[Check Periodo Ref.]:[Check Periodo Ref.]]="Dentro",DATOS_[Conc.Sal.29]))))), 0)</f>
        <v>0</v>
      </c>
      <c r="AI83" s="209" t="n">
        <f aca="false" t="array" ref="AI83:AI83">IFERROR( AVERAGE((IF(DATOS_[[Sexo]:[Sexo]]=$B83,IF(DATOS_[[AGRUP. VALOR. PTO.]:[AGRUP. VALOR. PTO.]]=$B81,IF(DATOS_[[Check Periodo Ref.]:[Check Periodo Ref.]]="Dentro",DATOS_[Conc.Sal.30]))))), 0)</f>
        <v>0</v>
      </c>
      <c r="AJ83" s="210" t="n">
        <f aca="false" t="array" ref="AJ83:AJ83">IFERROR( AVERAGE(IF(DATOS_[Sexo]=$B83,IF(DATOS_[AGRUP. VALOR. PTO.]=$B81,IF(DATOS_[Check Periodo Ref.]="Dentro",DATOS_[Tot COMPL.SAL Ef],0)))), 0)</f>
        <v>0</v>
      </c>
      <c r="AK83" s="211" t="n">
        <f aca="false" t="array" ref="AK83:AK83">IFERROR( AVERAGE(IF(DATOS_[Sexo]=$B83,IF(DATOS_[AGRUP. VALOR. PTO.]=$B81,IF(DATOS_[Check Periodo Ref.]="Dentro",DATOS_[TOTAL SALARIO Ef],0)))), 0)</f>
        <v>0</v>
      </c>
      <c r="AL83" s="212" t="n">
        <f aca="false" t="array" ref="AL83:AL83">IFERROR( AVERAGE((IF(DATOS_[[Sexo]:[Sexo]]=$B83,IF(DATOS_[[AGRUP. VALOR. PTO.]:[AGRUP. VALOR. PTO.]]=$B81,IF(DATOS_[[Check Periodo Ref.]:[Check Periodo Ref.]]="Dentro",DATOS_[C.Extra.01]))))), 0)</f>
        <v>0</v>
      </c>
      <c r="AM83" s="212" t="n">
        <f aca="false" t="array" ref="AM83:AM83">IFERROR( AVERAGE((IF(DATOS_[[Sexo]:[Sexo]]=$B83,IF(DATOS_[[AGRUP. VALOR. PTO.]:[AGRUP. VALOR. PTO.]]=$B81,IF(DATOS_[[Check Periodo Ref.]:[Check Periodo Ref.]]="Dentro",DATOS_[C.Extra.02]))))), 0)</f>
        <v>0</v>
      </c>
      <c r="AN83" s="212" t="n">
        <f aca="false" t="array" ref="AN83:AN83">IFERROR( AVERAGE((IF(DATOS_[[Sexo]:[Sexo]]=$B83,IF(DATOS_[[AGRUP. VALOR. PTO.]:[AGRUP. VALOR. PTO.]]=$B81,IF(DATOS_[[Check Periodo Ref.]:[Check Periodo Ref.]]="Dentro",DATOS_[C.Extra.03]))))), 0)</f>
        <v>0</v>
      </c>
      <c r="AO83" s="212" t="n">
        <f aca="false" t="array" ref="AO83:AO83">IFERROR( AVERAGE((IF(DATOS_[[Sexo]:[Sexo]]=$B83,IF(DATOS_[[AGRUP. VALOR. PTO.]:[AGRUP. VALOR. PTO.]]=$B81,IF(DATOS_[[Check Periodo Ref.]:[Check Periodo Ref.]]="Dentro",DATOS_[C.Extra.04]))))), 0)</f>
        <v>0</v>
      </c>
      <c r="AP83" s="212" t="n">
        <f aca="false" t="array" ref="AP83:AP83">IFERROR( AVERAGE((IF(DATOS_[[Sexo]:[Sexo]]=$B83,IF(DATOS_[[AGRUP. VALOR. PTO.]:[AGRUP. VALOR. PTO.]]=$B81,IF(DATOS_[[Check Periodo Ref.]:[Check Periodo Ref.]]="Dentro",DATOS_[C.Extra.05]))))), 0)</f>
        <v>0</v>
      </c>
      <c r="AQ83" s="213" t="n">
        <f aca="false" t="array" ref="AQ83:AQ83">IFERROR( AVERAGE(IF(DATOS_[Sexo]=$B83,IF(DATOS_[AGRUP. VALOR. PTO.]=$B81,IF(DATOS_[Check Periodo Ref.]="Dentro",DATOS_[Tot Extrasalarial Ef],0)))), 0)</f>
        <v>0</v>
      </c>
      <c r="AR83" s="214" t="n">
        <f aca="false" t="array" ref="AR83:AR83">IFERROR( AVERAGE(IF(DATOS_[Sexo]=$B83,IF(DATOS_[AGRUP. VALOR. PTO.]=$B81,IF(DATOS_[Check Periodo Ref.]="Dentro",DATOS_[TOTAL Retrib Ef],0)))), 0)</f>
        <v>0</v>
      </c>
    </row>
    <row r="84" customFormat="false" ht="15.75" hidden="false" customHeight="false" outlineLevel="0" collapsed="false">
      <c r="A84" s="191" t="str">
        <f aca="false">+A85</f>
        <v>[ocultar]</v>
      </c>
      <c r="B84" s="192" t="s">
        <v>238</v>
      </c>
      <c r="C84" s="193"/>
      <c r="D84" s="194"/>
      <c r="E84" s="195" t="str">
        <f aca="false">IFERROR((E85-E86)/E85,"")</f>
        <v/>
      </c>
      <c r="F84" s="196" t="str">
        <f aca="false">IFERROR((F85-F86)/F85,"")</f>
        <v/>
      </c>
      <c r="G84" s="197" t="str">
        <f aca="false">IFERROR((G85-G86)/G85,"")</f>
        <v/>
      </c>
      <c r="H84" s="197" t="str">
        <f aca="false">IFERROR((H85-H86)/H85,"")</f>
        <v/>
      </c>
      <c r="I84" s="197" t="str">
        <f aca="false">IFERROR((I85-I86)/I85,"")</f>
        <v/>
      </c>
      <c r="J84" s="198" t="str">
        <f aca="false">IFERROR((J85-J86)/J85,"")</f>
        <v/>
      </c>
      <c r="K84" s="199" t="str">
        <f aca="false">IFERROR((K85-K86)/K85,"")</f>
        <v/>
      </c>
      <c r="L84" s="199" t="str">
        <f aca="false">IFERROR((L85-L86)/L85,"")</f>
        <v/>
      </c>
      <c r="M84" s="199" t="str">
        <f aca="false">IFERROR((M85-M86)/M85,"")</f>
        <v/>
      </c>
      <c r="N84" s="199" t="str">
        <f aca="false">IFERROR((N85-N86)/N85,"")</f>
        <v/>
      </c>
      <c r="O84" s="199" t="str">
        <f aca="false">IFERROR((O85-O86)/O85,"")</f>
        <v/>
      </c>
      <c r="P84" s="199" t="str">
        <f aca="false">IFERROR((P85-P86)/P85,"")</f>
        <v/>
      </c>
      <c r="Q84" s="199" t="str">
        <f aca="false">IFERROR((Q85-Q86)/Q85,"")</f>
        <v/>
      </c>
      <c r="R84" s="199" t="str">
        <f aca="false">IFERROR((R85-R86)/R85,"")</f>
        <v/>
      </c>
      <c r="S84" s="199" t="str">
        <f aca="false">IFERROR((S85-S86)/S85,"")</f>
        <v/>
      </c>
      <c r="T84" s="199" t="str">
        <f aca="false">IFERROR((T85-T86)/T85,"")</f>
        <v/>
      </c>
      <c r="U84" s="199" t="str">
        <f aca="false">IFERROR((U85-U86)/U85,"")</f>
        <v/>
      </c>
      <c r="V84" s="198" t="str">
        <f aca="false">IFERROR((V85-V86)/V85,"")</f>
        <v/>
      </c>
      <c r="W84" s="198" t="str">
        <f aca="false">IFERROR((W85-W86)/W85,"")</f>
        <v/>
      </c>
      <c r="X84" s="198" t="str">
        <f aca="false">IFERROR((X85-X86)/X85,"")</f>
        <v/>
      </c>
      <c r="Y84" s="198" t="str">
        <f aca="false">IFERROR((Y85-Y86)/Y85,"")</f>
        <v/>
      </c>
      <c r="Z84" s="198" t="str">
        <f aca="false">IFERROR((Z85-Z86)/Z85,"")</f>
        <v/>
      </c>
      <c r="AA84" s="198" t="str">
        <f aca="false">IFERROR((AA85-AA86)/AA85,"")</f>
        <v/>
      </c>
      <c r="AB84" s="198" t="str">
        <f aca="false">IFERROR((AB85-AB86)/AB85,"")</f>
        <v/>
      </c>
      <c r="AC84" s="198" t="str">
        <f aca="false">IFERROR((AC85-AC86)/AC85,"")</f>
        <v/>
      </c>
      <c r="AD84" s="198" t="str">
        <f aca="false">IFERROR((AD85-AD86)/AD85,"")</f>
        <v/>
      </c>
      <c r="AE84" s="198" t="str">
        <f aca="false">IFERROR((AE85-AE86)/AE85,"")</f>
        <v/>
      </c>
      <c r="AF84" s="198" t="str">
        <f aca="false">IFERROR((AF85-AF86)/AF85,"")</f>
        <v/>
      </c>
      <c r="AG84" s="198" t="str">
        <f aca="false">IFERROR((AG85-AG86)/AG85,"")</f>
        <v/>
      </c>
      <c r="AH84" s="198" t="str">
        <f aca="false">IFERROR((AH85-AH86)/AH85,"")</f>
        <v/>
      </c>
      <c r="AI84" s="198" t="str">
        <f aca="false">IFERROR((AI85-AI86)/AI85,"")</f>
        <v/>
      </c>
      <c r="AJ84" s="200" t="str">
        <f aca="false">IFERROR((AJ85-AJ86)/AJ85,"")</f>
        <v/>
      </c>
      <c r="AK84" s="201" t="str">
        <f aca="false">IFERROR((AK85-AK86)/AK85,"")</f>
        <v/>
      </c>
      <c r="AL84" s="202" t="str">
        <f aca="false">IFERROR((AL85-AL86)/AL85,"")</f>
        <v/>
      </c>
      <c r="AM84" s="202" t="str">
        <f aca="false">IFERROR((AM85-AM86)/AM85,"")</f>
        <v/>
      </c>
      <c r="AN84" s="202" t="str">
        <f aca="false">IFERROR((AN85-AN86)/AN85,"")</f>
        <v/>
      </c>
      <c r="AO84" s="202" t="str">
        <f aca="false">IFERROR((AO85-AO86)/AO85,"")</f>
        <v/>
      </c>
      <c r="AP84" s="202" t="str">
        <f aca="false">IFERROR((AP85-AP86)/AP85,"")</f>
        <v/>
      </c>
      <c r="AQ84" s="203" t="str">
        <f aca="false">IFERROR((AQ85-AQ86)/AQ85,"")</f>
        <v/>
      </c>
      <c r="AR84" s="204" t="str">
        <f aca="false">IFERROR((AR85-AR86)/AR85,"")</f>
        <v/>
      </c>
    </row>
    <row r="85" customFormat="false" ht="14.25" hidden="false" customHeight="false" outlineLevel="0" collapsed="false">
      <c r="A85" s="191" t="str">
        <f aca="false">+IF(C85+C86=0,"[ocultar]","")</f>
        <v>[ocultar]</v>
      </c>
      <c r="B85" s="205" t="s">
        <v>371</v>
      </c>
      <c r="C85" s="206" t="n">
        <f aca="false" t="array" ref="C85:C85">SUM(IF($B85=DATOS_[Sexo], IF($B84=DATOS_[AGRUP. VALOR. PTO.], IF("Dentro"=DATOS_[Check Periodo Ref.], 1/(COUNTIFS(DATOS_[Sexo],$B85,DATOS_[AGRUP. VALOR. PTO.],$B84,DATOS_[Check Periodo Ref.],"Dentro",DATOS_[id],DATOS_[id]))))))</f>
        <v>0</v>
      </c>
      <c r="D85" s="207" t="n">
        <f aca="false">COUNTIFS(DATOS_[AGRUP. VALOR. PTO.],$B84,DATOS_[Sexo],$B85,DATOS_[Check Periodo Ref.],"Dentro")</f>
        <v>0</v>
      </c>
      <c r="E85" s="208" t="n">
        <f aca="false" t="array" ref="E85:E85">IFERROR( AVERAGE(IF(DATOS_[Sexo]=$B85,IF(DATOS_[AGRUP. VALOR. PTO.]=$B84,IF(DATOS_[Check Periodo Ref.]="Dentro",DATOS_[SALARIO BASE Ef],0)))), 0)</f>
        <v>0</v>
      </c>
      <c r="F85" s="209" t="n">
        <f aca="false" t="array" ref="F85:F85">IFERROR( AVERAGE((IF(DATOS_[[Sexo]:[Sexo]]=$B85,IF(DATOS_[[AGRUP. VALOR. PTO.]:[AGRUP. VALOR. PTO.]]=$B84,IF(DATOS_[[Check Periodo Ref.]:[Check Periodo Ref.]]="Dentro",DATOS_[Conc.Sal.01]))))), 0)</f>
        <v>0</v>
      </c>
      <c r="G85" s="209" t="n">
        <f aca="false" t="array" ref="G85:G85">IFERROR( AVERAGE((IF(DATOS_[[Sexo]:[Sexo]]=$B85,IF(DATOS_[[AGRUP. VALOR. PTO.]:[AGRUP. VALOR. PTO.]]=$B84,IF(DATOS_[[Check Periodo Ref.]:[Check Periodo Ref.]]="Dentro",DATOS_[Conc.Sal.02]))))), 0)</f>
        <v>0</v>
      </c>
      <c r="H85" s="209" t="n">
        <f aca="false" t="array" ref="H85:H85">IFERROR( AVERAGE((IF(DATOS_[[Sexo]:[Sexo]]=$B85,IF(DATOS_[[AGRUP. VALOR. PTO.]:[AGRUP. VALOR. PTO.]]=$B84,IF(DATOS_[[Check Periodo Ref.]:[Check Periodo Ref.]]="Dentro",DATOS_[Conc.Sal.03]))))), 0)</f>
        <v>0</v>
      </c>
      <c r="I85" s="209" t="n">
        <f aca="false" t="array" ref="I85:I85">IFERROR( AVERAGE((IF(DATOS_[[Sexo]:[Sexo]]=$B85,IF(DATOS_[[AGRUP. VALOR. PTO.]:[AGRUP. VALOR. PTO.]]=$B84,IF(DATOS_[[Check Periodo Ref.]:[Check Periodo Ref.]]="Dentro",DATOS_[Conc.Sal.04]))))), 0)</f>
        <v>0</v>
      </c>
      <c r="J85" s="209" t="n">
        <f aca="false" t="array" ref="J85:J85">IFERROR( AVERAGE((IF(DATOS_[[Sexo]:[Sexo]]=$B85,IF(DATOS_[[AGRUP. VALOR. PTO.]:[AGRUP. VALOR. PTO.]]=$B84,IF(DATOS_[[Check Periodo Ref.]:[Check Periodo Ref.]]="Dentro",DATOS_[Conc.Sal.05]))))), 0)</f>
        <v>0</v>
      </c>
      <c r="K85" s="209" t="n">
        <f aca="false" t="array" ref="K85:K85">IFERROR( AVERAGE((IF(DATOS_[[Sexo]:[Sexo]]=$B85,IF(DATOS_[[AGRUP. VALOR. PTO.]:[AGRUP. VALOR. PTO.]]=$B84,IF(DATOS_[[Check Periodo Ref.]:[Check Periodo Ref.]]="Dentro",DATOS_[Conc.Sal.06]))))), 0)</f>
        <v>0</v>
      </c>
      <c r="L85" s="209" t="n">
        <f aca="false" t="array" ref="L85:L85">IFERROR( AVERAGE((IF(DATOS_[[Sexo]:[Sexo]]=$B85,IF(DATOS_[[AGRUP. VALOR. PTO.]:[AGRUP. VALOR. PTO.]]=$B84,IF(DATOS_[[Check Periodo Ref.]:[Check Periodo Ref.]]="Dentro",DATOS_[Conc.Sal.07]))))), 0)</f>
        <v>0</v>
      </c>
      <c r="M85" s="209" t="n">
        <f aca="false" t="array" ref="M85:M85">IFERROR( AVERAGE((IF(DATOS_[[Sexo]:[Sexo]]=$B85,IF(DATOS_[[AGRUP. VALOR. PTO.]:[AGRUP. VALOR. PTO.]]=$B84,IF(DATOS_[[Check Periodo Ref.]:[Check Periodo Ref.]]="Dentro",DATOS_[Conc.Sal.08]))))), 0)</f>
        <v>0</v>
      </c>
      <c r="N85" s="209" t="n">
        <f aca="false" t="array" ref="N85:N85">IFERROR( AVERAGE((IF(DATOS_[[Sexo]:[Sexo]]=$B85,IF(DATOS_[[AGRUP. VALOR. PTO.]:[AGRUP. VALOR. PTO.]]=$B84,IF(DATOS_[[Check Periodo Ref.]:[Check Periodo Ref.]]="Dentro",DATOS_[Conc.Sal.09]))))), 0)</f>
        <v>0</v>
      </c>
      <c r="O85" s="209" t="n">
        <f aca="false" t="array" ref="O85:O85">IFERROR( AVERAGE((IF(DATOS_[[Sexo]:[Sexo]]=$B85,IF(DATOS_[[AGRUP. VALOR. PTO.]:[AGRUP. VALOR. PTO.]]=$B84,IF(DATOS_[[Check Periodo Ref.]:[Check Periodo Ref.]]="Dentro",DATOS_[Conc.Sal.10]))))), 0)</f>
        <v>0</v>
      </c>
      <c r="P85" s="209" t="n">
        <f aca="false" t="array" ref="P85:P85">IFERROR( AVERAGE((IF(DATOS_[[Sexo]:[Sexo]]=$B85,IF(DATOS_[[AGRUP. VALOR. PTO.]:[AGRUP. VALOR. PTO.]]=$B84,IF(DATOS_[[Check Periodo Ref.]:[Check Periodo Ref.]]="Dentro",DATOS_[Conc.Sal.11]))))), 0)</f>
        <v>0</v>
      </c>
      <c r="Q85" s="209" t="n">
        <f aca="false" t="array" ref="Q85:Q85">IFERROR( AVERAGE((IF(DATOS_[[Sexo]:[Sexo]]=$B85,IF(DATOS_[[AGRUP. VALOR. PTO.]:[AGRUP. VALOR. PTO.]]=$B84,IF(DATOS_[[Check Periodo Ref.]:[Check Periodo Ref.]]="Dentro",DATOS_[Conc.Sal.12]))))), 0)</f>
        <v>0</v>
      </c>
      <c r="R85" s="209" t="n">
        <f aca="false" t="array" ref="R85:R85">IFERROR( AVERAGE((IF(DATOS_[[Sexo]:[Sexo]]=$B85,IF(DATOS_[[AGRUP. VALOR. PTO.]:[AGRUP. VALOR. PTO.]]=$B84,IF(DATOS_[[Check Periodo Ref.]:[Check Periodo Ref.]]="Dentro",DATOS_[Conc.Sal.13]))))), 0)</f>
        <v>0</v>
      </c>
      <c r="S85" s="209" t="n">
        <f aca="false" t="array" ref="S85:S85">IFERROR( AVERAGE((IF(DATOS_[[Sexo]:[Sexo]]=$B85,IF(DATOS_[[AGRUP. VALOR. PTO.]:[AGRUP. VALOR. PTO.]]=$B84,IF(DATOS_[[Check Periodo Ref.]:[Check Periodo Ref.]]="Dentro",DATOS_[Conc.Sal.14]))))), 0)</f>
        <v>0</v>
      </c>
      <c r="T85" s="209" t="n">
        <f aca="false" t="array" ref="T85:T85">IFERROR( AVERAGE((IF(DATOS_[[Sexo]:[Sexo]]=$B85,IF(DATOS_[[AGRUP. VALOR. PTO.]:[AGRUP. VALOR. PTO.]]=$B84,IF(DATOS_[[Check Periodo Ref.]:[Check Periodo Ref.]]="Dentro",DATOS_[Conc.Sal.15]))))), 0)</f>
        <v>0</v>
      </c>
      <c r="U85" s="209" t="n">
        <f aca="false" t="array" ref="U85:U85">IFERROR( AVERAGE((IF(DATOS_[[Sexo]:[Sexo]]=$B85,IF(DATOS_[[AGRUP. VALOR. PTO.]:[AGRUP. VALOR. PTO.]]=$B84,IF(DATOS_[[Check Periodo Ref.]:[Check Periodo Ref.]]="Dentro",DATOS_[Conc.Sal.16]))))), 0)</f>
        <v>0</v>
      </c>
      <c r="V85" s="209" t="n">
        <f aca="false" t="array" ref="V85:V85">IFERROR( AVERAGE((IF(DATOS_[[Sexo]:[Sexo]]=$B85,IF(DATOS_[[AGRUP. VALOR. PTO.]:[AGRUP. VALOR. PTO.]]=$B84,IF(DATOS_[[Check Periodo Ref.]:[Check Periodo Ref.]]="Dentro",DATOS_[Conc.Sal.17]))))), 0)</f>
        <v>0</v>
      </c>
      <c r="W85" s="209" t="n">
        <f aca="false" t="array" ref="W85:W85">IFERROR( AVERAGE((IF(DATOS_[[Sexo]:[Sexo]]=$B85,IF(DATOS_[[AGRUP. VALOR. PTO.]:[AGRUP. VALOR. PTO.]]=$B84,IF(DATOS_[[Check Periodo Ref.]:[Check Periodo Ref.]]="Dentro",DATOS_[Conc.Sal.18]))))), 0)</f>
        <v>0</v>
      </c>
      <c r="X85" s="209" t="n">
        <f aca="false" t="array" ref="X85:X85">IFERROR( AVERAGE((IF(DATOS_[[Sexo]:[Sexo]]=$B85,IF(DATOS_[[AGRUP. VALOR. PTO.]:[AGRUP. VALOR. PTO.]]=$B84,IF(DATOS_[[Check Periodo Ref.]:[Check Periodo Ref.]]="Dentro",DATOS_[Conc.Sal.19]))))), 0)</f>
        <v>0</v>
      </c>
      <c r="Y85" s="209" t="n">
        <f aca="false" t="array" ref="Y85:Y85">IFERROR( AVERAGE((IF(DATOS_[[Sexo]:[Sexo]]=$B85,IF(DATOS_[[AGRUP. VALOR. PTO.]:[AGRUP. VALOR. PTO.]]=$B84,IF(DATOS_[[Check Periodo Ref.]:[Check Periodo Ref.]]="Dentro",DATOS_[Conc.Sal.20]))))), 0)</f>
        <v>0</v>
      </c>
      <c r="Z85" s="209" t="n">
        <f aca="false" t="array" ref="Z85:Z85">IFERROR( AVERAGE((IF(DATOS_[[Sexo]:[Sexo]]=$B85,IF(DATOS_[[AGRUP. VALOR. PTO.]:[AGRUP. VALOR. PTO.]]=$B84,IF(DATOS_[[Check Periodo Ref.]:[Check Periodo Ref.]]="Dentro",DATOS_[Conc.Sal.21]))))), 0)</f>
        <v>0</v>
      </c>
      <c r="AA85" s="209" t="n">
        <f aca="false" t="array" ref="AA85:AA85">IFERROR( AVERAGE((IF(DATOS_[[Sexo]:[Sexo]]=$B85,IF(DATOS_[[AGRUP. VALOR. PTO.]:[AGRUP. VALOR. PTO.]]=$B84,IF(DATOS_[[Check Periodo Ref.]:[Check Periodo Ref.]]="Dentro",DATOS_[Conc.Sal.22]))))), 0)</f>
        <v>0</v>
      </c>
      <c r="AB85" s="209" t="n">
        <f aca="false" t="array" ref="AB85:AB85">IFERROR( AVERAGE((IF(DATOS_[[Sexo]:[Sexo]]=$B85,IF(DATOS_[[AGRUP. VALOR. PTO.]:[AGRUP. VALOR. PTO.]]=$B84,IF(DATOS_[[Check Periodo Ref.]:[Check Periodo Ref.]]="Dentro",DATOS_[Conc.Sal.23]))))), 0)</f>
        <v>0</v>
      </c>
      <c r="AC85" s="209" t="n">
        <f aca="false" t="array" ref="AC85:AC85">IFERROR( AVERAGE((IF(DATOS_[[Sexo]:[Sexo]]=$B85,IF(DATOS_[[AGRUP. VALOR. PTO.]:[AGRUP. VALOR. PTO.]]=$B84,IF(DATOS_[[Check Periodo Ref.]:[Check Periodo Ref.]]="Dentro",DATOS_[Conc.Sal.24]))))), 0)</f>
        <v>0</v>
      </c>
      <c r="AD85" s="209" t="n">
        <f aca="false" t="array" ref="AD85:AD85">IFERROR( AVERAGE((IF(DATOS_[[Sexo]:[Sexo]]=$B85,IF(DATOS_[[AGRUP. VALOR. PTO.]:[AGRUP. VALOR. PTO.]]=$B84,IF(DATOS_[[Check Periodo Ref.]:[Check Periodo Ref.]]="Dentro",DATOS_[Conc.Sal.25]))))), 0)</f>
        <v>0</v>
      </c>
      <c r="AE85" s="209" t="n">
        <f aca="false" t="array" ref="AE85:AE85">IFERROR( AVERAGE((IF(DATOS_[[Sexo]:[Sexo]]=$B85,IF(DATOS_[[AGRUP. VALOR. PTO.]:[AGRUP. VALOR. PTO.]]=$B84,IF(DATOS_[[Check Periodo Ref.]:[Check Periodo Ref.]]="Dentro",DATOS_[Conc.Sal.26]))))), 0)</f>
        <v>0</v>
      </c>
      <c r="AF85" s="209" t="n">
        <f aca="false" t="array" ref="AF85:AF85">IFERROR( AVERAGE((IF(DATOS_[[Sexo]:[Sexo]]=$B85,IF(DATOS_[[AGRUP. VALOR. PTO.]:[AGRUP. VALOR. PTO.]]=$B84,IF(DATOS_[[Check Periodo Ref.]:[Check Periodo Ref.]]="Dentro",DATOS_[Conc.Sal.27]))))), 0)</f>
        <v>0</v>
      </c>
      <c r="AG85" s="209" t="n">
        <f aca="false" t="array" ref="AG85:AG85">IFERROR( AVERAGE((IF(DATOS_[[Sexo]:[Sexo]]=$B85,IF(DATOS_[[AGRUP. VALOR. PTO.]:[AGRUP. VALOR. PTO.]]=$B84,IF(DATOS_[[Check Periodo Ref.]:[Check Periodo Ref.]]="Dentro",DATOS_[Conc.Sal.28]))))), 0)</f>
        <v>0</v>
      </c>
      <c r="AH85" s="209" t="n">
        <f aca="false" t="array" ref="AH85:AH85">IFERROR( AVERAGE((IF(DATOS_[[Sexo]:[Sexo]]=$B85,IF(DATOS_[[AGRUP. VALOR. PTO.]:[AGRUP. VALOR. PTO.]]=$B84,IF(DATOS_[[Check Periodo Ref.]:[Check Periodo Ref.]]="Dentro",DATOS_[Conc.Sal.29]))))), 0)</f>
        <v>0</v>
      </c>
      <c r="AI85" s="209" t="n">
        <f aca="false" t="array" ref="AI85:AI85">IFERROR( AVERAGE((IF(DATOS_[[Sexo]:[Sexo]]=$B85,IF(DATOS_[[AGRUP. VALOR. PTO.]:[AGRUP. VALOR. PTO.]]=$B84,IF(DATOS_[[Check Periodo Ref.]:[Check Periodo Ref.]]="Dentro",DATOS_[Conc.Sal.30]))))), 0)</f>
        <v>0</v>
      </c>
      <c r="AJ85" s="210" t="n">
        <f aca="false" t="array" ref="AJ85:AJ85">IFERROR( AVERAGE(IF(DATOS_[Sexo]=$B85,IF(DATOS_[AGRUP. VALOR. PTO.]=$B84,IF(DATOS_[Check Periodo Ref.]="Dentro",DATOS_[Tot COMPL.SAL Ef],0)))), 0)</f>
        <v>0</v>
      </c>
      <c r="AK85" s="211" t="n">
        <f aca="false" t="array" ref="AK85:AK85">IFERROR( AVERAGE(IF(DATOS_[Sexo]=$B85,IF(DATOS_[AGRUP. VALOR. PTO.]=$B84,IF(DATOS_[Check Periodo Ref.]="Dentro",DATOS_[TOTAL SALARIO Ef],0)))), 0)</f>
        <v>0</v>
      </c>
      <c r="AL85" s="212" t="n">
        <f aca="false" t="array" ref="AL85:AL85">IFERROR( AVERAGE((IF(DATOS_[[Sexo]:[Sexo]]=$B85,IF(DATOS_[[AGRUP. VALOR. PTO.]:[AGRUP. VALOR. PTO.]]=$B84,IF(DATOS_[[Check Periodo Ref.]:[Check Periodo Ref.]]="Dentro",DATOS_[C.Extra.01]))))), 0)</f>
        <v>0</v>
      </c>
      <c r="AM85" s="212" t="n">
        <f aca="false" t="array" ref="AM85:AM85">IFERROR( AVERAGE((IF(DATOS_[[Sexo]:[Sexo]]=$B85,IF(DATOS_[[AGRUP. VALOR. PTO.]:[AGRUP. VALOR. PTO.]]=$B84,IF(DATOS_[[Check Periodo Ref.]:[Check Periodo Ref.]]="Dentro",DATOS_[C.Extra.02]))))), 0)</f>
        <v>0</v>
      </c>
      <c r="AN85" s="212" t="n">
        <f aca="false" t="array" ref="AN85:AN85">IFERROR( AVERAGE((IF(DATOS_[[Sexo]:[Sexo]]=$B85,IF(DATOS_[[AGRUP. VALOR. PTO.]:[AGRUP. VALOR. PTO.]]=$B84,IF(DATOS_[[Check Periodo Ref.]:[Check Periodo Ref.]]="Dentro",DATOS_[C.Extra.03]))))), 0)</f>
        <v>0</v>
      </c>
      <c r="AO85" s="212" t="n">
        <f aca="false" t="array" ref="AO85:AO85">IFERROR( AVERAGE((IF(DATOS_[[Sexo]:[Sexo]]=$B85,IF(DATOS_[[AGRUP. VALOR. PTO.]:[AGRUP. VALOR. PTO.]]=$B84,IF(DATOS_[[Check Periodo Ref.]:[Check Periodo Ref.]]="Dentro",DATOS_[C.Extra.04]))))), 0)</f>
        <v>0</v>
      </c>
      <c r="AP85" s="212" t="n">
        <f aca="false" t="array" ref="AP85:AP85">IFERROR( AVERAGE((IF(DATOS_[[Sexo]:[Sexo]]=$B85,IF(DATOS_[[AGRUP. VALOR. PTO.]:[AGRUP. VALOR. PTO.]]=$B84,IF(DATOS_[[Check Periodo Ref.]:[Check Periodo Ref.]]="Dentro",DATOS_[C.Extra.05]))))), 0)</f>
        <v>0</v>
      </c>
      <c r="AQ85" s="213" t="n">
        <f aca="false" t="array" ref="AQ85:AQ85">IFERROR( AVERAGE(IF(DATOS_[Sexo]=$B85,IF(DATOS_[AGRUP. VALOR. PTO.]=$B84,IF(DATOS_[Check Periodo Ref.]="Dentro",DATOS_[Tot Extrasalarial Ef],0)))), 0)</f>
        <v>0</v>
      </c>
      <c r="AR85" s="214" t="n">
        <f aca="false" t="array" ref="AR85:AR85">IFERROR( AVERAGE(IF(DATOS_[Sexo]=$B85,IF(DATOS_[AGRUP. VALOR. PTO.]=$B84,IF(DATOS_[Check Periodo Ref.]="Dentro",DATOS_[TOTAL Retrib Ef],0)))), 0)</f>
        <v>0</v>
      </c>
    </row>
    <row r="86" customFormat="false" ht="14.25" hidden="false" customHeight="false" outlineLevel="0" collapsed="false">
      <c r="A86" s="191" t="str">
        <f aca="false">+A85</f>
        <v>[ocultar]</v>
      </c>
      <c r="B86" s="205" t="s">
        <v>372</v>
      </c>
      <c r="C86" s="206" t="n">
        <f aca="false" t="array" ref="C86:C86">SUM(IF($B86=DATOS_[Sexo], IF($B84=DATOS_[AGRUP. VALOR. PTO.], IF("Dentro"=DATOS_[Check Periodo Ref.], 1/(COUNTIFS(DATOS_[Sexo],$B86,DATOS_[AGRUP. VALOR. PTO.],$B84,DATOS_[Check Periodo Ref.],"Dentro",DATOS_[id],DATOS_[id]))))))</f>
        <v>0</v>
      </c>
      <c r="D86" s="207" t="n">
        <f aca="false">COUNTIFS(DATOS_[AGRUP. VALOR. PTO.],$B84,DATOS_[Sexo],$B86,DATOS_[Check Periodo Ref.],"Dentro")</f>
        <v>0</v>
      </c>
      <c r="E86" s="208" t="n">
        <f aca="false" t="array" ref="E86:E86">IFERROR( AVERAGE(IF(DATOS_[Sexo]=$B86,IF(DATOS_[AGRUP. VALOR. PTO.]=$B84,IF(DATOS_[Check Periodo Ref.]="Dentro",DATOS_[SALARIO BASE Ef],0)))), 0)</f>
        <v>0</v>
      </c>
      <c r="F86" s="209" t="n">
        <f aca="false" t="array" ref="F86:F86">IFERROR( AVERAGE((IF(DATOS_[[Sexo]:[Sexo]]=$B86,IF(DATOS_[[AGRUP. VALOR. PTO.]:[AGRUP. VALOR. PTO.]]=$B84,IF(DATOS_[[Check Periodo Ref.]:[Check Periodo Ref.]]="Dentro",DATOS_[Conc.Sal.01]))))), 0)</f>
        <v>0</v>
      </c>
      <c r="G86" s="209" t="n">
        <f aca="false" t="array" ref="G86:G86">IFERROR( AVERAGE((IF(DATOS_[[Sexo]:[Sexo]]=$B86,IF(DATOS_[[AGRUP. VALOR. PTO.]:[AGRUP. VALOR. PTO.]]=$B84,IF(DATOS_[[Check Periodo Ref.]:[Check Periodo Ref.]]="Dentro",DATOS_[Conc.Sal.02]))))), 0)</f>
        <v>0</v>
      </c>
      <c r="H86" s="209" t="n">
        <f aca="false" t="array" ref="H86:H86">IFERROR( AVERAGE((IF(DATOS_[[Sexo]:[Sexo]]=$B86,IF(DATOS_[[AGRUP. VALOR. PTO.]:[AGRUP. VALOR. PTO.]]=$B84,IF(DATOS_[[Check Periodo Ref.]:[Check Periodo Ref.]]="Dentro",DATOS_[Conc.Sal.03]))))), 0)</f>
        <v>0</v>
      </c>
      <c r="I86" s="209" t="n">
        <f aca="false" t="array" ref="I86:I86">IFERROR( AVERAGE((IF(DATOS_[[Sexo]:[Sexo]]=$B86,IF(DATOS_[[AGRUP. VALOR. PTO.]:[AGRUP. VALOR. PTO.]]=$B84,IF(DATOS_[[Check Periodo Ref.]:[Check Periodo Ref.]]="Dentro",DATOS_[Conc.Sal.04]))))), 0)</f>
        <v>0</v>
      </c>
      <c r="J86" s="209" t="n">
        <f aca="false" t="array" ref="J86:J86">IFERROR( AVERAGE((IF(DATOS_[[Sexo]:[Sexo]]=$B86,IF(DATOS_[[AGRUP. VALOR. PTO.]:[AGRUP. VALOR. PTO.]]=$B84,IF(DATOS_[[Check Periodo Ref.]:[Check Periodo Ref.]]="Dentro",DATOS_[Conc.Sal.05]))))), 0)</f>
        <v>0</v>
      </c>
      <c r="K86" s="209" t="n">
        <f aca="false" t="array" ref="K86:K86">IFERROR( AVERAGE((IF(DATOS_[[Sexo]:[Sexo]]=$B86,IF(DATOS_[[AGRUP. VALOR. PTO.]:[AGRUP. VALOR. PTO.]]=$B84,IF(DATOS_[[Check Periodo Ref.]:[Check Periodo Ref.]]="Dentro",DATOS_[Conc.Sal.06]))))), 0)</f>
        <v>0</v>
      </c>
      <c r="L86" s="209" t="n">
        <f aca="false" t="array" ref="L86:L86">IFERROR( AVERAGE((IF(DATOS_[[Sexo]:[Sexo]]=$B86,IF(DATOS_[[AGRUP. VALOR. PTO.]:[AGRUP. VALOR. PTO.]]=$B84,IF(DATOS_[[Check Periodo Ref.]:[Check Periodo Ref.]]="Dentro",DATOS_[Conc.Sal.07]))))), 0)</f>
        <v>0</v>
      </c>
      <c r="M86" s="209" t="n">
        <f aca="false" t="array" ref="M86:M86">IFERROR( AVERAGE((IF(DATOS_[[Sexo]:[Sexo]]=$B86,IF(DATOS_[[AGRUP. VALOR. PTO.]:[AGRUP. VALOR. PTO.]]=$B84,IF(DATOS_[[Check Periodo Ref.]:[Check Periodo Ref.]]="Dentro",DATOS_[Conc.Sal.08]))))), 0)</f>
        <v>0</v>
      </c>
      <c r="N86" s="209" t="n">
        <f aca="false" t="array" ref="N86:N86">IFERROR( AVERAGE((IF(DATOS_[[Sexo]:[Sexo]]=$B86,IF(DATOS_[[AGRUP. VALOR. PTO.]:[AGRUP. VALOR. PTO.]]=$B84,IF(DATOS_[[Check Periodo Ref.]:[Check Periodo Ref.]]="Dentro",DATOS_[Conc.Sal.09]))))), 0)</f>
        <v>0</v>
      </c>
      <c r="O86" s="209" t="n">
        <f aca="false" t="array" ref="O86:O86">IFERROR( AVERAGE((IF(DATOS_[[Sexo]:[Sexo]]=$B86,IF(DATOS_[[AGRUP. VALOR. PTO.]:[AGRUP. VALOR. PTO.]]=$B84,IF(DATOS_[[Check Periodo Ref.]:[Check Periodo Ref.]]="Dentro",DATOS_[Conc.Sal.10]))))), 0)</f>
        <v>0</v>
      </c>
      <c r="P86" s="209" t="n">
        <f aca="false" t="array" ref="P86:P86">IFERROR( AVERAGE((IF(DATOS_[[Sexo]:[Sexo]]=$B86,IF(DATOS_[[AGRUP. VALOR. PTO.]:[AGRUP. VALOR. PTO.]]=$B84,IF(DATOS_[[Check Periodo Ref.]:[Check Periodo Ref.]]="Dentro",DATOS_[Conc.Sal.11]))))), 0)</f>
        <v>0</v>
      </c>
      <c r="Q86" s="209" t="n">
        <f aca="false" t="array" ref="Q86:Q86">IFERROR( AVERAGE((IF(DATOS_[[Sexo]:[Sexo]]=$B86,IF(DATOS_[[AGRUP. VALOR. PTO.]:[AGRUP. VALOR. PTO.]]=$B84,IF(DATOS_[[Check Periodo Ref.]:[Check Periodo Ref.]]="Dentro",DATOS_[Conc.Sal.12]))))), 0)</f>
        <v>0</v>
      </c>
      <c r="R86" s="209" t="n">
        <f aca="false" t="array" ref="R86:R86">IFERROR( AVERAGE((IF(DATOS_[[Sexo]:[Sexo]]=$B86,IF(DATOS_[[AGRUP. VALOR. PTO.]:[AGRUP. VALOR. PTO.]]=$B84,IF(DATOS_[[Check Periodo Ref.]:[Check Periodo Ref.]]="Dentro",DATOS_[Conc.Sal.13]))))), 0)</f>
        <v>0</v>
      </c>
      <c r="S86" s="209" t="n">
        <f aca="false" t="array" ref="S86:S86">IFERROR( AVERAGE((IF(DATOS_[[Sexo]:[Sexo]]=$B86,IF(DATOS_[[AGRUP. VALOR. PTO.]:[AGRUP. VALOR. PTO.]]=$B84,IF(DATOS_[[Check Periodo Ref.]:[Check Periodo Ref.]]="Dentro",DATOS_[Conc.Sal.14]))))), 0)</f>
        <v>0</v>
      </c>
      <c r="T86" s="209" t="n">
        <f aca="false" t="array" ref="T86:T86">IFERROR( AVERAGE((IF(DATOS_[[Sexo]:[Sexo]]=$B86,IF(DATOS_[[AGRUP. VALOR. PTO.]:[AGRUP. VALOR. PTO.]]=$B84,IF(DATOS_[[Check Periodo Ref.]:[Check Periodo Ref.]]="Dentro",DATOS_[Conc.Sal.15]))))), 0)</f>
        <v>0</v>
      </c>
      <c r="U86" s="209" t="n">
        <f aca="false" t="array" ref="U86:U86">IFERROR( AVERAGE((IF(DATOS_[[Sexo]:[Sexo]]=$B86,IF(DATOS_[[AGRUP. VALOR. PTO.]:[AGRUP. VALOR. PTO.]]=$B84,IF(DATOS_[[Check Periodo Ref.]:[Check Periodo Ref.]]="Dentro",DATOS_[Conc.Sal.16]))))), 0)</f>
        <v>0</v>
      </c>
      <c r="V86" s="209" t="n">
        <f aca="false" t="array" ref="V86:V86">IFERROR( AVERAGE((IF(DATOS_[[Sexo]:[Sexo]]=$B86,IF(DATOS_[[AGRUP. VALOR. PTO.]:[AGRUP. VALOR. PTO.]]=$B84,IF(DATOS_[[Check Periodo Ref.]:[Check Periodo Ref.]]="Dentro",DATOS_[Conc.Sal.17]))))), 0)</f>
        <v>0</v>
      </c>
      <c r="W86" s="209" t="n">
        <f aca="false" t="array" ref="W86:W86">IFERROR( AVERAGE((IF(DATOS_[[Sexo]:[Sexo]]=$B86,IF(DATOS_[[AGRUP. VALOR. PTO.]:[AGRUP. VALOR. PTO.]]=$B84,IF(DATOS_[[Check Periodo Ref.]:[Check Periodo Ref.]]="Dentro",DATOS_[Conc.Sal.18]))))), 0)</f>
        <v>0</v>
      </c>
      <c r="X86" s="209" t="n">
        <f aca="false" t="array" ref="X86:X86">IFERROR( AVERAGE((IF(DATOS_[[Sexo]:[Sexo]]=$B86,IF(DATOS_[[AGRUP. VALOR. PTO.]:[AGRUP. VALOR. PTO.]]=$B84,IF(DATOS_[[Check Periodo Ref.]:[Check Periodo Ref.]]="Dentro",DATOS_[Conc.Sal.19]))))), 0)</f>
        <v>0</v>
      </c>
      <c r="Y86" s="209" t="n">
        <f aca="false" t="array" ref="Y86:Y86">IFERROR( AVERAGE((IF(DATOS_[[Sexo]:[Sexo]]=$B86,IF(DATOS_[[AGRUP. VALOR. PTO.]:[AGRUP. VALOR. PTO.]]=$B84,IF(DATOS_[[Check Periodo Ref.]:[Check Periodo Ref.]]="Dentro",DATOS_[Conc.Sal.20]))))), 0)</f>
        <v>0</v>
      </c>
      <c r="Z86" s="209" t="n">
        <f aca="false" t="array" ref="Z86:Z86">IFERROR( AVERAGE((IF(DATOS_[[Sexo]:[Sexo]]=$B86,IF(DATOS_[[AGRUP. VALOR. PTO.]:[AGRUP. VALOR. PTO.]]=$B84,IF(DATOS_[[Check Periodo Ref.]:[Check Periodo Ref.]]="Dentro",DATOS_[Conc.Sal.21]))))), 0)</f>
        <v>0</v>
      </c>
      <c r="AA86" s="209" t="n">
        <f aca="false" t="array" ref="AA86:AA86">IFERROR( AVERAGE((IF(DATOS_[[Sexo]:[Sexo]]=$B86,IF(DATOS_[[AGRUP. VALOR. PTO.]:[AGRUP. VALOR. PTO.]]=$B84,IF(DATOS_[[Check Periodo Ref.]:[Check Periodo Ref.]]="Dentro",DATOS_[Conc.Sal.22]))))), 0)</f>
        <v>0</v>
      </c>
      <c r="AB86" s="209" t="n">
        <f aca="false" t="array" ref="AB86:AB86">IFERROR( AVERAGE((IF(DATOS_[[Sexo]:[Sexo]]=$B86,IF(DATOS_[[AGRUP. VALOR. PTO.]:[AGRUP. VALOR. PTO.]]=$B84,IF(DATOS_[[Check Periodo Ref.]:[Check Periodo Ref.]]="Dentro",DATOS_[Conc.Sal.23]))))), 0)</f>
        <v>0</v>
      </c>
      <c r="AC86" s="209" t="n">
        <f aca="false" t="array" ref="AC86:AC86">IFERROR( AVERAGE((IF(DATOS_[[Sexo]:[Sexo]]=$B86,IF(DATOS_[[AGRUP. VALOR. PTO.]:[AGRUP. VALOR. PTO.]]=$B84,IF(DATOS_[[Check Periodo Ref.]:[Check Periodo Ref.]]="Dentro",DATOS_[Conc.Sal.24]))))), 0)</f>
        <v>0</v>
      </c>
      <c r="AD86" s="209" t="n">
        <f aca="false" t="array" ref="AD86:AD86">IFERROR( AVERAGE((IF(DATOS_[[Sexo]:[Sexo]]=$B86,IF(DATOS_[[AGRUP. VALOR. PTO.]:[AGRUP. VALOR. PTO.]]=$B84,IF(DATOS_[[Check Periodo Ref.]:[Check Periodo Ref.]]="Dentro",DATOS_[Conc.Sal.25]))))), 0)</f>
        <v>0</v>
      </c>
      <c r="AE86" s="209" t="n">
        <f aca="false" t="array" ref="AE86:AE86">IFERROR( AVERAGE((IF(DATOS_[[Sexo]:[Sexo]]=$B86,IF(DATOS_[[AGRUP. VALOR. PTO.]:[AGRUP. VALOR. PTO.]]=$B84,IF(DATOS_[[Check Periodo Ref.]:[Check Periodo Ref.]]="Dentro",DATOS_[Conc.Sal.26]))))), 0)</f>
        <v>0</v>
      </c>
      <c r="AF86" s="209" t="n">
        <f aca="false" t="array" ref="AF86:AF86">IFERROR( AVERAGE((IF(DATOS_[[Sexo]:[Sexo]]=$B86,IF(DATOS_[[AGRUP. VALOR. PTO.]:[AGRUP. VALOR. PTO.]]=$B84,IF(DATOS_[[Check Periodo Ref.]:[Check Periodo Ref.]]="Dentro",DATOS_[Conc.Sal.27]))))), 0)</f>
        <v>0</v>
      </c>
      <c r="AG86" s="209" t="n">
        <f aca="false" t="array" ref="AG86:AG86">IFERROR( AVERAGE((IF(DATOS_[[Sexo]:[Sexo]]=$B86,IF(DATOS_[[AGRUP. VALOR. PTO.]:[AGRUP. VALOR. PTO.]]=$B84,IF(DATOS_[[Check Periodo Ref.]:[Check Periodo Ref.]]="Dentro",DATOS_[Conc.Sal.28]))))), 0)</f>
        <v>0</v>
      </c>
      <c r="AH86" s="209" t="n">
        <f aca="false" t="array" ref="AH86:AH86">IFERROR( AVERAGE((IF(DATOS_[[Sexo]:[Sexo]]=$B86,IF(DATOS_[[AGRUP. VALOR. PTO.]:[AGRUP. VALOR. PTO.]]=$B84,IF(DATOS_[[Check Periodo Ref.]:[Check Periodo Ref.]]="Dentro",DATOS_[Conc.Sal.29]))))), 0)</f>
        <v>0</v>
      </c>
      <c r="AI86" s="209" t="n">
        <f aca="false" t="array" ref="AI86:AI86">IFERROR( AVERAGE((IF(DATOS_[[Sexo]:[Sexo]]=$B86,IF(DATOS_[[AGRUP. VALOR. PTO.]:[AGRUP. VALOR. PTO.]]=$B84,IF(DATOS_[[Check Periodo Ref.]:[Check Periodo Ref.]]="Dentro",DATOS_[Conc.Sal.30]))))), 0)</f>
        <v>0</v>
      </c>
      <c r="AJ86" s="210" t="n">
        <f aca="false" t="array" ref="AJ86:AJ86">IFERROR( AVERAGE(IF(DATOS_[Sexo]=$B86,IF(DATOS_[AGRUP. VALOR. PTO.]=$B84,IF(DATOS_[Check Periodo Ref.]="Dentro",DATOS_[Tot COMPL.SAL Ef],0)))), 0)</f>
        <v>0</v>
      </c>
      <c r="AK86" s="211" t="n">
        <f aca="false" t="array" ref="AK86:AK86">IFERROR( AVERAGE(IF(DATOS_[Sexo]=$B86,IF(DATOS_[AGRUP. VALOR. PTO.]=$B84,IF(DATOS_[Check Periodo Ref.]="Dentro",DATOS_[TOTAL SALARIO Ef],0)))), 0)</f>
        <v>0</v>
      </c>
      <c r="AL86" s="212" t="n">
        <f aca="false" t="array" ref="AL86:AL86">IFERROR( AVERAGE((IF(DATOS_[[Sexo]:[Sexo]]=$B86,IF(DATOS_[[AGRUP. VALOR. PTO.]:[AGRUP. VALOR. PTO.]]=$B84,IF(DATOS_[[Check Periodo Ref.]:[Check Periodo Ref.]]="Dentro",DATOS_[C.Extra.01]))))), 0)</f>
        <v>0</v>
      </c>
      <c r="AM86" s="212" t="n">
        <f aca="false" t="array" ref="AM86:AM86">IFERROR( AVERAGE((IF(DATOS_[[Sexo]:[Sexo]]=$B86,IF(DATOS_[[AGRUP. VALOR. PTO.]:[AGRUP. VALOR. PTO.]]=$B84,IF(DATOS_[[Check Periodo Ref.]:[Check Periodo Ref.]]="Dentro",DATOS_[C.Extra.02]))))), 0)</f>
        <v>0</v>
      </c>
      <c r="AN86" s="212" t="n">
        <f aca="false" t="array" ref="AN86:AN86">IFERROR( AVERAGE((IF(DATOS_[[Sexo]:[Sexo]]=$B86,IF(DATOS_[[AGRUP. VALOR. PTO.]:[AGRUP. VALOR. PTO.]]=$B84,IF(DATOS_[[Check Periodo Ref.]:[Check Periodo Ref.]]="Dentro",DATOS_[C.Extra.03]))))), 0)</f>
        <v>0</v>
      </c>
      <c r="AO86" s="212" t="n">
        <f aca="false" t="array" ref="AO86:AO86">IFERROR( AVERAGE((IF(DATOS_[[Sexo]:[Sexo]]=$B86,IF(DATOS_[[AGRUP. VALOR. PTO.]:[AGRUP. VALOR. PTO.]]=$B84,IF(DATOS_[[Check Periodo Ref.]:[Check Periodo Ref.]]="Dentro",DATOS_[C.Extra.04]))))), 0)</f>
        <v>0</v>
      </c>
      <c r="AP86" s="212" t="n">
        <f aca="false" t="array" ref="AP86:AP86">IFERROR( AVERAGE((IF(DATOS_[[Sexo]:[Sexo]]=$B86,IF(DATOS_[[AGRUP. VALOR. PTO.]:[AGRUP. VALOR. PTO.]]=$B84,IF(DATOS_[[Check Periodo Ref.]:[Check Periodo Ref.]]="Dentro",DATOS_[C.Extra.05]))))), 0)</f>
        <v>0</v>
      </c>
      <c r="AQ86" s="213" t="n">
        <f aca="false" t="array" ref="AQ86:AQ86">IFERROR( AVERAGE(IF(DATOS_[Sexo]=$B86,IF(DATOS_[AGRUP. VALOR. PTO.]=$B84,IF(DATOS_[Check Periodo Ref.]="Dentro",DATOS_[Tot Extrasalarial Ef],0)))), 0)</f>
        <v>0</v>
      </c>
      <c r="AR86" s="214" t="n">
        <f aca="false" t="array" ref="AR86:AR86">IFERROR( AVERAGE(IF(DATOS_[Sexo]=$B86,IF(DATOS_[AGRUP. VALOR. PTO.]=$B84,IF(DATOS_[Check Periodo Ref.]="Dentro",DATOS_[TOTAL Retrib Ef],0)))), 0)</f>
        <v>0</v>
      </c>
    </row>
    <row r="87" customFormat="false" ht="15.75" hidden="false" customHeight="false" outlineLevel="0" collapsed="false">
      <c r="A87" s="191" t="str">
        <f aca="false">+A88</f>
        <v>[ocultar]</v>
      </c>
      <c r="B87" s="192" t="s">
        <v>241</v>
      </c>
      <c r="C87" s="193"/>
      <c r="D87" s="194"/>
      <c r="E87" s="195" t="str">
        <f aca="false">IFERROR((E88-E89)/E88,"")</f>
        <v/>
      </c>
      <c r="F87" s="196" t="str">
        <f aca="false">IFERROR((F88-F89)/F88,"")</f>
        <v/>
      </c>
      <c r="G87" s="197" t="str">
        <f aca="false">IFERROR((G88-G89)/G88,"")</f>
        <v/>
      </c>
      <c r="H87" s="197" t="str">
        <f aca="false">IFERROR((H88-H89)/H88,"")</f>
        <v/>
      </c>
      <c r="I87" s="197" t="str">
        <f aca="false">IFERROR((I88-I89)/I88,"")</f>
        <v/>
      </c>
      <c r="J87" s="198" t="str">
        <f aca="false">IFERROR((J88-J89)/J88,"")</f>
        <v/>
      </c>
      <c r="K87" s="199" t="str">
        <f aca="false">IFERROR((K88-K89)/K88,"")</f>
        <v/>
      </c>
      <c r="L87" s="199" t="str">
        <f aca="false">IFERROR((L88-L89)/L88,"")</f>
        <v/>
      </c>
      <c r="M87" s="199" t="str">
        <f aca="false">IFERROR((M88-M89)/M88,"")</f>
        <v/>
      </c>
      <c r="N87" s="199" t="str">
        <f aca="false">IFERROR((N88-N89)/N88,"")</f>
        <v/>
      </c>
      <c r="O87" s="199" t="str">
        <f aca="false">IFERROR((O88-O89)/O88,"")</f>
        <v/>
      </c>
      <c r="P87" s="199" t="str">
        <f aca="false">IFERROR((P88-P89)/P88,"")</f>
        <v/>
      </c>
      <c r="Q87" s="199" t="str">
        <f aca="false">IFERROR((Q88-Q89)/Q88,"")</f>
        <v/>
      </c>
      <c r="R87" s="199" t="str">
        <f aca="false">IFERROR((R88-R89)/R88,"")</f>
        <v/>
      </c>
      <c r="S87" s="199" t="str">
        <f aca="false">IFERROR((S88-S89)/S88,"")</f>
        <v/>
      </c>
      <c r="T87" s="199" t="str">
        <f aca="false">IFERROR((T88-T89)/T88,"")</f>
        <v/>
      </c>
      <c r="U87" s="199" t="str">
        <f aca="false">IFERROR((U88-U89)/U88,"")</f>
        <v/>
      </c>
      <c r="V87" s="198" t="str">
        <f aca="false">IFERROR((V88-V89)/V88,"")</f>
        <v/>
      </c>
      <c r="W87" s="198" t="str">
        <f aca="false">IFERROR((W88-W89)/W88,"")</f>
        <v/>
      </c>
      <c r="X87" s="198" t="str">
        <f aca="false">IFERROR((X88-X89)/X88,"")</f>
        <v/>
      </c>
      <c r="Y87" s="198" t="str">
        <f aca="false">IFERROR((Y88-Y89)/Y88,"")</f>
        <v/>
      </c>
      <c r="Z87" s="198" t="str">
        <f aca="false">IFERROR((Z88-Z89)/Z88,"")</f>
        <v/>
      </c>
      <c r="AA87" s="198" t="str">
        <f aca="false">IFERROR((AA88-AA89)/AA88,"")</f>
        <v/>
      </c>
      <c r="AB87" s="198" t="str">
        <f aca="false">IFERROR((AB88-AB89)/AB88,"")</f>
        <v/>
      </c>
      <c r="AC87" s="198" t="str">
        <f aca="false">IFERROR((AC88-AC89)/AC88,"")</f>
        <v/>
      </c>
      <c r="AD87" s="198" t="str">
        <f aca="false">IFERROR((AD88-AD89)/AD88,"")</f>
        <v/>
      </c>
      <c r="AE87" s="198" t="str">
        <f aca="false">IFERROR((AE88-AE89)/AE88,"")</f>
        <v/>
      </c>
      <c r="AF87" s="198" t="str">
        <f aca="false">IFERROR((AF88-AF89)/AF88,"")</f>
        <v/>
      </c>
      <c r="AG87" s="198" t="str">
        <f aca="false">IFERROR((AG88-AG89)/AG88,"")</f>
        <v/>
      </c>
      <c r="AH87" s="198" t="str">
        <f aca="false">IFERROR((AH88-AH89)/AH88,"")</f>
        <v/>
      </c>
      <c r="AI87" s="198" t="str">
        <f aca="false">IFERROR((AI88-AI89)/AI88,"")</f>
        <v/>
      </c>
      <c r="AJ87" s="200" t="str">
        <f aca="false">IFERROR((AJ88-AJ89)/AJ88,"")</f>
        <v/>
      </c>
      <c r="AK87" s="201" t="str">
        <f aca="false">IFERROR((AK88-AK89)/AK88,"")</f>
        <v/>
      </c>
      <c r="AL87" s="202" t="str">
        <f aca="false">IFERROR((AL88-AL89)/AL88,"")</f>
        <v/>
      </c>
      <c r="AM87" s="202" t="str">
        <f aca="false">IFERROR((AM88-AM89)/AM88,"")</f>
        <v/>
      </c>
      <c r="AN87" s="202" t="str">
        <f aca="false">IFERROR((AN88-AN89)/AN88,"")</f>
        <v/>
      </c>
      <c r="AO87" s="202" t="str">
        <f aca="false">IFERROR((AO88-AO89)/AO88,"")</f>
        <v/>
      </c>
      <c r="AP87" s="202" t="str">
        <f aca="false">IFERROR((AP88-AP89)/AP88,"")</f>
        <v/>
      </c>
      <c r="AQ87" s="203" t="str">
        <f aca="false">IFERROR((AQ88-AQ89)/AQ88,"")</f>
        <v/>
      </c>
      <c r="AR87" s="204" t="str">
        <f aca="false">IFERROR((AR88-AR89)/AR88,"")</f>
        <v/>
      </c>
    </row>
    <row r="88" customFormat="false" ht="14.25" hidden="false" customHeight="false" outlineLevel="0" collapsed="false">
      <c r="A88" s="191" t="str">
        <f aca="false">+IF(C88+C89=0,"[ocultar]","")</f>
        <v>[ocultar]</v>
      </c>
      <c r="B88" s="205" t="s">
        <v>371</v>
      </c>
      <c r="C88" s="206" t="n">
        <f aca="false" t="array" ref="C88:C88">SUM(IF($B88=DATOS_[Sexo], IF($B87=DATOS_[AGRUP. VALOR. PTO.], IF("Dentro"=DATOS_[Check Periodo Ref.], 1/(COUNTIFS(DATOS_[Sexo],$B88,DATOS_[AGRUP. VALOR. PTO.],$B87,DATOS_[Check Periodo Ref.],"Dentro",DATOS_[id],DATOS_[id]))))))</f>
        <v>0</v>
      </c>
      <c r="D88" s="207" t="n">
        <f aca="false">COUNTIFS(DATOS_[AGRUP. VALOR. PTO.],$B87,DATOS_[Sexo],$B88,DATOS_[Check Periodo Ref.],"Dentro")</f>
        <v>0</v>
      </c>
      <c r="E88" s="208" t="n">
        <f aca="false" t="array" ref="E88:E88">IFERROR( AVERAGE(IF(DATOS_[Sexo]=$B88,IF(DATOS_[AGRUP. VALOR. PTO.]=$B87,IF(DATOS_[Check Periodo Ref.]="Dentro",DATOS_[SALARIO BASE Ef],0)))), 0)</f>
        <v>0</v>
      </c>
      <c r="F88" s="209" t="n">
        <f aca="false" t="array" ref="F88:F88">IFERROR( AVERAGE((IF(DATOS_[[Sexo]:[Sexo]]=$B88,IF(DATOS_[[AGRUP. VALOR. PTO.]:[AGRUP. VALOR. PTO.]]=$B87,IF(DATOS_[[Check Periodo Ref.]:[Check Periodo Ref.]]="Dentro",DATOS_[Conc.Sal.01]))))), 0)</f>
        <v>0</v>
      </c>
      <c r="G88" s="209" t="n">
        <f aca="false" t="array" ref="G88:G88">IFERROR( AVERAGE((IF(DATOS_[[Sexo]:[Sexo]]=$B88,IF(DATOS_[[AGRUP. VALOR. PTO.]:[AGRUP. VALOR. PTO.]]=$B87,IF(DATOS_[[Check Periodo Ref.]:[Check Periodo Ref.]]="Dentro",DATOS_[Conc.Sal.02]))))), 0)</f>
        <v>0</v>
      </c>
      <c r="H88" s="209" t="n">
        <f aca="false" t="array" ref="H88:H88">IFERROR( AVERAGE((IF(DATOS_[[Sexo]:[Sexo]]=$B88,IF(DATOS_[[AGRUP. VALOR. PTO.]:[AGRUP. VALOR. PTO.]]=$B87,IF(DATOS_[[Check Periodo Ref.]:[Check Periodo Ref.]]="Dentro",DATOS_[Conc.Sal.03]))))), 0)</f>
        <v>0</v>
      </c>
      <c r="I88" s="209" t="n">
        <f aca="false" t="array" ref="I88:I88">IFERROR( AVERAGE((IF(DATOS_[[Sexo]:[Sexo]]=$B88,IF(DATOS_[[AGRUP. VALOR. PTO.]:[AGRUP. VALOR. PTO.]]=$B87,IF(DATOS_[[Check Periodo Ref.]:[Check Periodo Ref.]]="Dentro",DATOS_[Conc.Sal.04]))))), 0)</f>
        <v>0</v>
      </c>
      <c r="J88" s="209" t="n">
        <f aca="false" t="array" ref="J88:J88">IFERROR( AVERAGE((IF(DATOS_[[Sexo]:[Sexo]]=$B88,IF(DATOS_[[AGRUP. VALOR. PTO.]:[AGRUP. VALOR. PTO.]]=$B87,IF(DATOS_[[Check Periodo Ref.]:[Check Periodo Ref.]]="Dentro",DATOS_[Conc.Sal.05]))))), 0)</f>
        <v>0</v>
      </c>
      <c r="K88" s="209" t="n">
        <f aca="false" t="array" ref="K88:K88">IFERROR( AVERAGE((IF(DATOS_[[Sexo]:[Sexo]]=$B88,IF(DATOS_[[AGRUP. VALOR. PTO.]:[AGRUP. VALOR. PTO.]]=$B87,IF(DATOS_[[Check Periodo Ref.]:[Check Periodo Ref.]]="Dentro",DATOS_[Conc.Sal.06]))))), 0)</f>
        <v>0</v>
      </c>
      <c r="L88" s="209" t="n">
        <f aca="false" t="array" ref="L88:L88">IFERROR( AVERAGE((IF(DATOS_[[Sexo]:[Sexo]]=$B88,IF(DATOS_[[AGRUP. VALOR. PTO.]:[AGRUP. VALOR. PTO.]]=$B87,IF(DATOS_[[Check Periodo Ref.]:[Check Periodo Ref.]]="Dentro",DATOS_[Conc.Sal.07]))))), 0)</f>
        <v>0</v>
      </c>
      <c r="M88" s="209" t="n">
        <f aca="false" t="array" ref="M88:M88">IFERROR( AVERAGE((IF(DATOS_[[Sexo]:[Sexo]]=$B88,IF(DATOS_[[AGRUP. VALOR. PTO.]:[AGRUP. VALOR. PTO.]]=$B87,IF(DATOS_[[Check Periodo Ref.]:[Check Periodo Ref.]]="Dentro",DATOS_[Conc.Sal.08]))))), 0)</f>
        <v>0</v>
      </c>
      <c r="N88" s="209" t="n">
        <f aca="false" t="array" ref="N88:N88">IFERROR( AVERAGE((IF(DATOS_[[Sexo]:[Sexo]]=$B88,IF(DATOS_[[AGRUP. VALOR. PTO.]:[AGRUP. VALOR. PTO.]]=$B87,IF(DATOS_[[Check Periodo Ref.]:[Check Periodo Ref.]]="Dentro",DATOS_[Conc.Sal.09]))))), 0)</f>
        <v>0</v>
      </c>
      <c r="O88" s="209" t="n">
        <f aca="false" t="array" ref="O88:O88">IFERROR( AVERAGE((IF(DATOS_[[Sexo]:[Sexo]]=$B88,IF(DATOS_[[AGRUP. VALOR. PTO.]:[AGRUP. VALOR. PTO.]]=$B87,IF(DATOS_[[Check Periodo Ref.]:[Check Periodo Ref.]]="Dentro",DATOS_[Conc.Sal.10]))))), 0)</f>
        <v>0</v>
      </c>
      <c r="P88" s="209" t="n">
        <f aca="false" t="array" ref="P88:P88">IFERROR( AVERAGE((IF(DATOS_[[Sexo]:[Sexo]]=$B88,IF(DATOS_[[AGRUP. VALOR. PTO.]:[AGRUP. VALOR. PTO.]]=$B87,IF(DATOS_[[Check Periodo Ref.]:[Check Periodo Ref.]]="Dentro",DATOS_[Conc.Sal.11]))))), 0)</f>
        <v>0</v>
      </c>
      <c r="Q88" s="209" t="n">
        <f aca="false" t="array" ref="Q88:Q88">IFERROR( AVERAGE((IF(DATOS_[[Sexo]:[Sexo]]=$B88,IF(DATOS_[[AGRUP. VALOR. PTO.]:[AGRUP. VALOR. PTO.]]=$B87,IF(DATOS_[[Check Periodo Ref.]:[Check Periodo Ref.]]="Dentro",DATOS_[Conc.Sal.12]))))), 0)</f>
        <v>0</v>
      </c>
      <c r="R88" s="209" t="n">
        <f aca="false" t="array" ref="R88:R88">IFERROR( AVERAGE((IF(DATOS_[[Sexo]:[Sexo]]=$B88,IF(DATOS_[[AGRUP. VALOR. PTO.]:[AGRUP. VALOR. PTO.]]=$B87,IF(DATOS_[[Check Periodo Ref.]:[Check Periodo Ref.]]="Dentro",DATOS_[Conc.Sal.13]))))), 0)</f>
        <v>0</v>
      </c>
      <c r="S88" s="209" t="n">
        <f aca="false" t="array" ref="S88:S88">IFERROR( AVERAGE((IF(DATOS_[[Sexo]:[Sexo]]=$B88,IF(DATOS_[[AGRUP. VALOR. PTO.]:[AGRUP. VALOR. PTO.]]=$B87,IF(DATOS_[[Check Periodo Ref.]:[Check Periodo Ref.]]="Dentro",DATOS_[Conc.Sal.14]))))), 0)</f>
        <v>0</v>
      </c>
      <c r="T88" s="209" t="n">
        <f aca="false" t="array" ref="T88:T88">IFERROR( AVERAGE((IF(DATOS_[[Sexo]:[Sexo]]=$B88,IF(DATOS_[[AGRUP. VALOR. PTO.]:[AGRUP. VALOR. PTO.]]=$B87,IF(DATOS_[[Check Periodo Ref.]:[Check Periodo Ref.]]="Dentro",DATOS_[Conc.Sal.15]))))), 0)</f>
        <v>0</v>
      </c>
      <c r="U88" s="209" t="n">
        <f aca="false" t="array" ref="U88:U88">IFERROR( AVERAGE((IF(DATOS_[[Sexo]:[Sexo]]=$B88,IF(DATOS_[[AGRUP. VALOR. PTO.]:[AGRUP. VALOR. PTO.]]=$B87,IF(DATOS_[[Check Periodo Ref.]:[Check Periodo Ref.]]="Dentro",DATOS_[Conc.Sal.16]))))), 0)</f>
        <v>0</v>
      </c>
      <c r="V88" s="209" t="n">
        <f aca="false" t="array" ref="V88:V88">IFERROR( AVERAGE((IF(DATOS_[[Sexo]:[Sexo]]=$B88,IF(DATOS_[[AGRUP. VALOR. PTO.]:[AGRUP. VALOR. PTO.]]=$B87,IF(DATOS_[[Check Periodo Ref.]:[Check Periodo Ref.]]="Dentro",DATOS_[Conc.Sal.17]))))), 0)</f>
        <v>0</v>
      </c>
      <c r="W88" s="209" t="n">
        <f aca="false" t="array" ref="W88:W88">IFERROR( AVERAGE((IF(DATOS_[[Sexo]:[Sexo]]=$B88,IF(DATOS_[[AGRUP. VALOR. PTO.]:[AGRUP. VALOR. PTO.]]=$B87,IF(DATOS_[[Check Periodo Ref.]:[Check Periodo Ref.]]="Dentro",DATOS_[Conc.Sal.18]))))), 0)</f>
        <v>0</v>
      </c>
      <c r="X88" s="209" t="n">
        <f aca="false" t="array" ref="X88:X88">IFERROR( AVERAGE((IF(DATOS_[[Sexo]:[Sexo]]=$B88,IF(DATOS_[[AGRUP. VALOR. PTO.]:[AGRUP. VALOR. PTO.]]=$B87,IF(DATOS_[[Check Periodo Ref.]:[Check Periodo Ref.]]="Dentro",DATOS_[Conc.Sal.19]))))), 0)</f>
        <v>0</v>
      </c>
      <c r="Y88" s="209" t="n">
        <f aca="false" t="array" ref="Y88:Y88">IFERROR( AVERAGE((IF(DATOS_[[Sexo]:[Sexo]]=$B88,IF(DATOS_[[AGRUP. VALOR. PTO.]:[AGRUP. VALOR. PTO.]]=$B87,IF(DATOS_[[Check Periodo Ref.]:[Check Periodo Ref.]]="Dentro",DATOS_[Conc.Sal.20]))))), 0)</f>
        <v>0</v>
      </c>
      <c r="Z88" s="209" t="n">
        <f aca="false" t="array" ref="Z88:Z88">IFERROR( AVERAGE((IF(DATOS_[[Sexo]:[Sexo]]=$B88,IF(DATOS_[[AGRUP. VALOR. PTO.]:[AGRUP. VALOR. PTO.]]=$B87,IF(DATOS_[[Check Periodo Ref.]:[Check Periodo Ref.]]="Dentro",DATOS_[Conc.Sal.21]))))), 0)</f>
        <v>0</v>
      </c>
      <c r="AA88" s="209" t="n">
        <f aca="false" t="array" ref="AA88:AA88">IFERROR( AVERAGE((IF(DATOS_[[Sexo]:[Sexo]]=$B88,IF(DATOS_[[AGRUP. VALOR. PTO.]:[AGRUP. VALOR. PTO.]]=$B87,IF(DATOS_[[Check Periodo Ref.]:[Check Periodo Ref.]]="Dentro",DATOS_[Conc.Sal.22]))))), 0)</f>
        <v>0</v>
      </c>
      <c r="AB88" s="209" t="n">
        <f aca="false" t="array" ref="AB88:AB88">IFERROR( AVERAGE((IF(DATOS_[[Sexo]:[Sexo]]=$B88,IF(DATOS_[[AGRUP. VALOR. PTO.]:[AGRUP. VALOR. PTO.]]=$B87,IF(DATOS_[[Check Periodo Ref.]:[Check Periodo Ref.]]="Dentro",DATOS_[Conc.Sal.23]))))), 0)</f>
        <v>0</v>
      </c>
      <c r="AC88" s="209" t="n">
        <f aca="false" t="array" ref="AC88:AC88">IFERROR( AVERAGE((IF(DATOS_[[Sexo]:[Sexo]]=$B88,IF(DATOS_[[AGRUP. VALOR. PTO.]:[AGRUP. VALOR. PTO.]]=$B87,IF(DATOS_[[Check Periodo Ref.]:[Check Periodo Ref.]]="Dentro",DATOS_[Conc.Sal.24]))))), 0)</f>
        <v>0</v>
      </c>
      <c r="AD88" s="209" t="n">
        <f aca="false" t="array" ref="AD88:AD88">IFERROR( AVERAGE((IF(DATOS_[[Sexo]:[Sexo]]=$B88,IF(DATOS_[[AGRUP. VALOR. PTO.]:[AGRUP. VALOR. PTO.]]=$B87,IF(DATOS_[[Check Periodo Ref.]:[Check Periodo Ref.]]="Dentro",DATOS_[Conc.Sal.25]))))), 0)</f>
        <v>0</v>
      </c>
      <c r="AE88" s="209" t="n">
        <f aca="false" t="array" ref="AE88:AE88">IFERROR( AVERAGE((IF(DATOS_[[Sexo]:[Sexo]]=$B88,IF(DATOS_[[AGRUP. VALOR. PTO.]:[AGRUP. VALOR. PTO.]]=$B87,IF(DATOS_[[Check Periodo Ref.]:[Check Periodo Ref.]]="Dentro",DATOS_[Conc.Sal.26]))))), 0)</f>
        <v>0</v>
      </c>
      <c r="AF88" s="209" t="n">
        <f aca="false" t="array" ref="AF88:AF88">IFERROR( AVERAGE((IF(DATOS_[[Sexo]:[Sexo]]=$B88,IF(DATOS_[[AGRUP. VALOR. PTO.]:[AGRUP. VALOR. PTO.]]=$B87,IF(DATOS_[[Check Periodo Ref.]:[Check Periodo Ref.]]="Dentro",DATOS_[Conc.Sal.27]))))), 0)</f>
        <v>0</v>
      </c>
      <c r="AG88" s="209" t="n">
        <f aca="false" t="array" ref="AG88:AG88">IFERROR( AVERAGE((IF(DATOS_[[Sexo]:[Sexo]]=$B88,IF(DATOS_[[AGRUP. VALOR. PTO.]:[AGRUP. VALOR. PTO.]]=$B87,IF(DATOS_[[Check Periodo Ref.]:[Check Periodo Ref.]]="Dentro",DATOS_[Conc.Sal.28]))))), 0)</f>
        <v>0</v>
      </c>
      <c r="AH88" s="209" t="n">
        <f aca="false" t="array" ref="AH88:AH88">IFERROR( AVERAGE((IF(DATOS_[[Sexo]:[Sexo]]=$B88,IF(DATOS_[[AGRUP. VALOR. PTO.]:[AGRUP. VALOR. PTO.]]=$B87,IF(DATOS_[[Check Periodo Ref.]:[Check Periodo Ref.]]="Dentro",DATOS_[Conc.Sal.29]))))), 0)</f>
        <v>0</v>
      </c>
      <c r="AI88" s="209" t="n">
        <f aca="false" t="array" ref="AI88:AI88">IFERROR( AVERAGE((IF(DATOS_[[Sexo]:[Sexo]]=$B88,IF(DATOS_[[AGRUP. VALOR. PTO.]:[AGRUP. VALOR. PTO.]]=$B87,IF(DATOS_[[Check Periodo Ref.]:[Check Periodo Ref.]]="Dentro",DATOS_[Conc.Sal.30]))))), 0)</f>
        <v>0</v>
      </c>
      <c r="AJ88" s="210" t="n">
        <f aca="false" t="array" ref="AJ88:AJ88">IFERROR( AVERAGE(IF(DATOS_[Sexo]=$B88,IF(DATOS_[AGRUP. VALOR. PTO.]=$B87,IF(DATOS_[Check Periodo Ref.]="Dentro",DATOS_[Tot COMPL.SAL Ef],0)))), 0)</f>
        <v>0</v>
      </c>
      <c r="AK88" s="211" t="n">
        <f aca="false" t="array" ref="AK88:AK88">IFERROR( AVERAGE(IF(DATOS_[Sexo]=$B88,IF(DATOS_[AGRUP. VALOR. PTO.]=$B87,IF(DATOS_[Check Periodo Ref.]="Dentro",DATOS_[TOTAL SALARIO Ef],0)))), 0)</f>
        <v>0</v>
      </c>
      <c r="AL88" s="212" t="n">
        <f aca="false" t="array" ref="AL88:AL88">IFERROR( AVERAGE((IF(DATOS_[[Sexo]:[Sexo]]=$B88,IF(DATOS_[[AGRUP. VALOR. PTO.]:[AGRUP. VALOR. PTO.]]=$B87,IF(DATOS_[[Check Periodo Ref.]:[Check Periodo Ref.]]="Dentro",DATOS_[C.Extra.01]))))), 0)</f>
        <v>0</v>
      </c>
      <c r="AM88" s="212" t="n">
        <f aca="false" t="array" ref="AM88:AM88">IFERROR( AVERAGE((IF(DATOS_[[Sexo]:[Sexo]]=$B88,IF(DATOS_[[AGRUP. VALOR. PTO.]:[AGRUP. VALOR. PTO.]]=$B87,IF(DATOS_[[Check Periodo Ref.]:[Check Periodo Ref.]]="Dentro",DATOS_[C.Extra.02]))))), 0)</f>
        <v>0</v>
      </c>
      <c r="AN88" s="212" t="n">
        <f aca="false" t="array" ref="AN88:AN88">IFERROR( AVERAGE((IF(DATOS_[[Sexo]:[Sexo]]=$B88,IF(DATOS_[[AGRUP. VALOR. PTO.]:[AGRUP. VALOR. PTO.]]=$B87,IF(DATOS_[[Check Periodo Ref.]:[Check Periodo Ref.]]="Dentro",DATOS_[C.Extra.03]))))), 0)</f>
        <v>0</v>
      </c>
      <c r="AO88" s="212" t="n">
        <f aca="false" t="array" ref="AO88:AO88">IFERROR( AVERAGE((IF(DATOS_[[Sexo]:[Sexo]]=$B88,IF(DATOS_[[AGRUP. VALOR. PTO.]:[AGRUP. VALOR. PTO.]]=$B87,IF(DATOS_[[Check Periodo Ref.]:[Check Periodo Ref.]]="Dentro",DATOS_[C.Extra.04]))))), 0)</f>
        <v>0</v>
      </c>
      <c r="AP88" s="212" t="n">
        <f aca="false" t="array" ref="AP88:AP88">IFERROR( AVERAGE((IF(DATOS_[[Sexo]:[Sexo]]=$B88,IF(DATOS_[[AGRUP. VALOR. PTO.]:[AGRUP. VALOR. PTO.]]=$B87,IF(DATOS_[[Check Periodo Ref.]:[Check Periodo Ref.]]="Dentro",DATOS_[C.Extra.05]))))), 0)</f>
        <v>0</v>
      </c>
      <c r="AQ88" s="213" t="n">
        <f aca="false" t="array" ref="AQ88:AQ88">IFERROR( AVERAGE(IF(DATOS_[Sexo]=$B88,IF(DATOS_[AGRUP. VALOR. PTO.]=$B87,IF(DATOS_[Check Periodo Ref.]="Dentro",DATOS_[Tot Extrasalarial Ef],0)))), 0)</f>
        <v>0</v>
      </c>
      <c r="AR88" s="214" t="n">
        <f aca="false" t="array" ref="AR88:AR88">IFERROR( AVERAGE(IF(DATOS_[Sexo]=$B88,IF(DATOS_[AGRUP. VALOR. PTO.]=$B87,IF(DATOS_[Check Periodo Ref.]="Dentro",DATOS_[TOTAL Retrib Ef],0)))), 0)</f>
        <v>0</v>
      </c>
    </row>
    <row r="89" customFormat="false" ht="14.25" hidden="false" customHeight="false" outlineLevel="0" collapsed="false">
      <c r="A89" s="191" t="str">
        <f aca="false">+A88</f>
        <v>[ocultar]</v>
      </c>
      <c r="B89" s="205" t="s">
        <v>372</v>
      </c>
      <c r="C89" s="206" t="n">
        <f aca="false" t="array" ref="C89:C89">SUM(IF($B89=DATOS_[Sexo], IF($B87=DATOS_[AGRUP. VALOR. PTO.], IF("Dentro"=DATOS_[Check Periodo Ref.], 1/(COUNTIFS(DATOS_[Sexo],$B89,DATOS_[AGRUP. VALOR. PTO.],$B87,DATOS_[Check Periodo Ref.],"Dentro",DATOS_[id],DATOS_[id]))))))</f>
        <v>0</v>
      </c>
      <c r="D89" s="207" t="n">
        <f aca="false">COUNTIFS(DATOS_[AGRUP. VALOR. PTO.],$B87,DATOS_[Sexo],$B89,DATOS_[Check Periodo Ref.],"Dentro")</f>
        <v>0</v>
      </c>
      <c r="E89" s="208" t="n">
        <f aca="false" t="array" ref="E89:E89">IFERROR( AVERAGE(IF(DATOS_[Sexo]=$B89,IF(DATOS_[AGRUP. VALOR. PTO.]=$B87,IF(DATOS_[Check Periodo Ref.]="Dentro",DATOS_[SALARIO BASE Ef],0)))), 0)</f>
        <v>0</v>
      </c>
      <c r="F89" s="209" t="n">
        <f aca="false" t="array" ref="F89:F89">IFERROR( AVERAGE((IF(DATOS_[[Sexo]:[Sexo]]=$B89,IF(DATOS_[[AGRUP. VALOR. PTO.]:[AGRUP. VALOR. PTO.]]=$B87,IF(DATOS_[[Check Periodo Ref.]:[Check Periodo Ref.]]="Dentro",DATOS_[Conc.Sal.01]))))), 0)</f>
        <v>0</v>
      </c>
      <c r="G89" s="209" t="n">
        <f aca="false" t="array" ref="G89:G89">IFERROR( AVERAGE((IF(DATOS_[[Sexo]:[Sexo]]=$B89,IF(DATOS_[[AGRUP. VALOR. PTO.]:[AGRUP. VALOR. PTO.]]=$B87,IF(DATOS_[[Check Periodo Ref.]:[Check Periodo Ref.]]="Dentro",DATOS_[Conc.Sal.02]))))), 0)</f>
        <v>0</v>
      </c>
      <c r="H89" s="209" t="n">
        <f aca="false" t="array" ref="H89:H89">IFERROR( AVERAGE((IF(DATOS_[[Sexo]:[Sexo]]=$B89,IF(DATOS_[[AGRUP. VALOR. PTO.]:[AGRUP. VALOR. PTO.]]=$B87,IF(DATOS_[[Check Periodo Ref.]:[Check Periodo Ref.]]="Dentro",DATOS_[Conc.Sal.03]))))), 0)</f>
        <v>0</v>
      </c>
      <c r="I89" s="209" t="n">
        <f aca="false" t="array" ref="I89:I89">IFERROR( AVERAGE((IF(DATOS_[[Sexo]:[Sexo]]=$B89,IF(DATOS_[[AGRUP. VALOR. PTO.]:[AGRUP. VALOR. PTO.]]=$B87,IF(DATOS_[[Check Periodo Ref.]:[Check Periodo Ref.]]="Dentro",DATOS_[Conc.Sal.04]))))), 0)</f>
        <v>0</v>
      </c>
      <c r="J89" s="209" t="n">
        <f aca="false" t="array" ref="J89:J89">IFERROR( AVERAGE((IF(DATOS_[[Sexo]:[Sexo]]=$B89,IF(DATOS_[[AGRUP. VALOR. PTO.]:[AGRUP. VALOR. PTO.]]=$B87,IF(DATOS_[[Check Periodo Ref.]:[Check Periodo Ref.]]="Dentro",DATOS_[Conc.Sal.05]))))), 0)</f>
        <v>0</v>
      </c>
      <c r="K89" s="209" t="n">
        <f aca="false" t="array" ref="K89:K89">IFERROR( AVERAGE((IF(DATOS_[[Sexo]:[Sexo]]=$B89,IF(DATOS_[[AGRUP. VALOR. PTO.]:[AGRUP. VALOR. PTO.]]=$B87,IF(DATOS_[[Check Periodo Ref.]:[Check Periodo Ref.]]="Dentro",DATOS_[Conc.Sal.06]))))), 0)</f>
        <v>0</v>
      </c>
      <c r="L89" s="209" t="n">
        <f aca="false" t="array" ref="L89:L89">IFERROR( AVERAGE((IF(DATOS_[[Sexo]:[Sexo]]=$B89,IF(DATOS_[[AGRUP. VALOR. PTO.]:[AGRUP. VALOR. PTO.]]=$B87,IF(DATOS_[[Check Periodo Ref.]:[Check Periodo Ref.]]="Dentro",DATOS_[Conc.Sal.07]))))), 0)</f>
        <v>0</v>
      </c>
      <c r="M89" s="209" t="n">
        <f aca="false" t="array" ref="M89:M89">IFERROR( AVERAGE((IF(DATOS_[[Sexo]:[Sexo]]=$B89,IF(DATOS_[[AGRUP. VALOR. PTO.]:[AGRUP. VALOR. PTO.]]=$B87,IF(DATOS_[[Check Periodo Ref.]:[Check Periodo Ref.]]="Dentro",DATOS_[Conc.Sal.08]))))), 0)</f>
        <v>0</v>
      </c>
      <c r="N89" s="209" t="n">
        <f aca="false" t="array" ref="N89:N89">IFERROR( AVERAGE((IF(DATOS_[[Sexo]:[Sexo]]=$B89,IF(DATOS_[[AGRUP. VALOR. PTO.]:[AGRUP. VALOR. PTO.]]=$B87,IF(DATOS_[[Check Periodo Ref.]:[Check Periodo Ref.]]="Dentro",DATOS_[Conc.Sal.09]))))), 0)</f>
        <v>0</v>
      </c>
      <c r="O89" s="209" t="n">
        <f aca="false" t="array" ref="O89:O89">IFERROR( AVERAGE((IF(DATOS_[[Sexo]:[Sexo]]=$B89,IF(DATOS_[[AGRUP. VALOR. PTO.]:[AGRUP. VALOR. PTO.]]=$B87,IF(DATOS_[[Check Periodo Ref.]:[Check Periodo Ref.]]="Dentro",DATOS_[Conc.Sal.10]))))), 0)</f>
        <v>0</v>
      </c>
      <c r="P89" s="209" t="n">
        <f aca="false" t="array" ref="P89:P89">IFERROR( AVERAGE((IF(DATOS_[[Sexo]:[Sexo]]=$B89,IF(DATOS_[[AGRUP. VALOR. PTO.]:[AGRUP. VALOR. PTO.]]=$B87,IF(DATOS_[[Check Periodo Ref.]:[Check Periodo Ref.]]="Dentro",DATOS_[Conc.Sal.11]))))), 0)</f>
        <v>0</v>
      </c>
      <c r="Q89" s="209" t="n">
        <f aca="false" t="array" ref="Q89:Q89">IFERROR( AVERAGE((IF(DATOS_[[Sexo]:[Sexo]]=$B89,IF(DATOS_[[AGRUP. VALOR. PTO.]:[AGRUP. VALOR. PTO.]]=$B87,IF(DATOS_[[Check Periodo Ref.]:[Check Periodo Ref.]]="Dentro",DATOS_[Conc.Sal.12]))))), 0)</f>
        <v>0</v>
      </c>
      <c r="R89" s="209" t="n">
        <f aca="false" t="array" ref="R89:R89">IFERROR( AVERAGE((IF(DATOS_[[Sexo]:[Sexo]]=$B89,IF(DATOS_[[AGRUP. VALOR. PTO.]:[AGRUP. VALOR. PTO.]]=$B87,IF(DATOS_[[Check Periodo Ref.]:[Check Periodo Ref.]]="Dentro",DATOS_[Conc.Sal.13]))))), 0)</f>
        <v>0</v>
      </c>
      <c r="S89" s="209" t="n">
        <f aca="false" t="array" ref="S89:S89">IFERROR( AVERAGE((IF(DATOS_[[Sexo]:[Sexo]]=$B89,IF(DATOS_[[AGRUP. VALOR. PTO.]:[AGRUP. VALOR. PTO.]]=$B87,IF(DATOS_[[Check Periodo Ref.]:[Check Periodo Ref.]]="Dentro",DATOS_[Conc.Sal.14]))))), 0)</f>
        <v>0</v>
      </c>
      <c r="T89" s="209" t="n">
        <f aca="false" t="array" ref="T89:T89">IFERROR( AVERAGE((IF(DATOS_[[Sexo]:[Sexo]]=$B89,IF(DATOS_[[AGRUP. VALOR. PTO.]:[AGRUP. VALOR. PTO.]]=$B87,IF(DATOS_[[Check Periodo Ref.]:[Check Periodo Ref.]]="Dentro",DATOS_[Conc.Sal.15]))))), 0)</f>
        <v>0</v>
      </c>
      <c r="U89" s="209" t="n">
        <f aca="false" t="array" ref="U89:U89">IFERROR( AVERAGE((IF(DATOS_[[Sexo]:[Sexo]]=$B89,IF(DATOS_[[AGRUP. VALOR. PTO.]:[AGRUP. VALOR. PTO.]]=$B87,IF(DATOS_[[Check Periodo Ref.]:[Check Periodo Ref.]]="Dentro",DATOS_[Conc.Sal.16]))))), 0)</f>
        <v>0</v>
      </c>
      <c r="V89" s="209" t="n">
        <f aca="false" t="array" ref="V89:V89">IFERROR( AVERAGE((IF(DATOS_[[Sexo]:[Sexo]]=$B89,IF(DATOS_[[AGRUP. VALOR. PTO.]:[AGRUP. VALOR. PTO.]]=$B87,IF(DATOS_[[Check Periodo Ref.]:[Check Periodo Ref.]]="Dentro",DATOS_[Conc.Sal.17]))))), 0)</f>
        <v>0</v>
      </c>
      <c r="W89" s="209" t="n">
        <f aca="false" t="array" ref="W89:W89">IFERROR( AVERAGE((IF(DATOS_[[Sexo]:[Sexo]]=$B89,IF(DATOS_[[AGRUP. VALOR. PTO.]:[AGRUP. VALOR. PTO.]]=$B87,IF(DATOS_[[Check Periodo Ref.]:[Check Periodo Ref.]]="Dentro",DATOS_[Conc.Sal.18]))))), 0)</f>
        <v>0</v>
      </c>
      <c r="X89" s="209" t="n">
        <f aca="false" t="array" ref="X89:X89">IFERROR( AVERAGE((IF(DATOS_[[Sexo]:[Sexo]]=$B89,IF(DATOS_[[AGRUP. VALOR. PTO.]:[AGRUP. VALOR. PTO.]]=$B87,IF(DATOS_[[Check Periodo Ref.]:[Check Periodo Ref.]]="Dentro",DATOS_[Conc.Sal.19]))))), 0)</f>
        <v>0</v>
      </c>
      <c r="Y89" s="209" t="n">
        <f aca="false" t="array" ref="Y89:Y89">IFERROR( AVERAGE((IF(DATOS_[[Sexo]:[Sexo]]=$B89,IF(DATOS_[[AGRUP. VALOR. PTO.]:[AGRUP. VALOR. PTO.]]=$B87,IF(DATOS_[[Check Periodo Ref.]:[Check Periodo Ref.]]="Dentro",DATOS_[Conc.Sal.20]))))), 0)</f>
        <v>0</v>
      </c>
      <c r="Z89" s="209" t="n">
        <f aca="false" t="array" ref="Z89:Z89">IFERROR( AVERAGE((IF(DATOS_[[Sexo]:[Sexo]]=$B89,IF(DATOS_[[AGRUP. VALOR. PTO.]:[AGRUP. VALOR. PTO.]]=$B87,IF(DATOS_[[Check Periodo Ref.]:[Check Periodo Ref.]]="Dentro",DATOS_[Conc.Sal.21]))))), 0)</f>
        <v>0</v>
      </c>
      <c r="AA89" s="209" t="n">
        <f aca="false" t="array" ref="AA89:AA89">IFERROR( AVERAGE((IF(DATOS_[[Sexo]:[Sexo]]=$B89,IF(DATOS_[[AGRUP. VALOR. PTO.]:[AGRUP. VALOR. PTO.]]=$B87,IF(DATOS_[[Check Periodo Ref.]:[Check Periodo Ref.]]="Dentro",DATOS_[Conc.Sal.22]))))), 0)</f>
        <v>0</v>
      </c>
      <c r="AB89" s="209" t="n">
        <f aca="false" t="array" ref="AB89:AB89">IFERROR( AVERAGE((IF(DATOS_[[Sexo]:[Sexo]]=$B89,IF(DATOS_[[AGRUP. VALOR. PTO.]:[AGRUP. VALOR. PTO.]]=$B87,IF(DATOS_[[Check Periodo Ref.]:[Check Periodo Ref.]]="Dentro",DATOS_[Conc.Sal.23]))))), 0)</f>
        <v>0</v>
      </c>
      <c r="AC89" s="209" t="n">
        <f aca="false" t="array" ref="AC89:AC89">IFERROR( AVERAGE((IF(DATOS_[[Sexo]:[Sexo]]=$B89,IF(DATOS_[[AGRUP. VALOR. PTO.]:[AGRUP. VALOR. PTO.]]=$B87,IF(DATOS_[[Check Periodo Ref.]:[Check Periodo Ref.]]="Dentro",DATOS_[Conc.Sal.24]))))), 0)</f>
        <v>0</v>
      </c>
      <c r="AD89" s="209" t="n">
        <f aca="false" t="array" ref="AD89:AD89">IFERROR( AVERAGE((IF(DATOS_[[Sexo]:[Sexo]]=$B89,IF(DATOS_[[AGRUP. VALOR. PTO.]:[AGRUP. VALOR. PTO.]]=$B87,IF(DATOS_[[Check Periodo Ref.]:[Check Periodo Ref.]]="Dentro",DATOS_[Conc.Sal.25]))))), 0)</f>
        <v>0</v>
      </c>
      <c r="AE89" s="209" t="n">
        <f aca="false" t="array" ref="AE89:AE89">IFERROR( AVERAGE((IF(DATOS_[[Sexo]:[Sexo]]=$B89,IF(DATOS_[[AGRUP. VALOR. PTO.]:[AGRUP. VALOR. PTO.]]=$B87,IF(DATOS_[[Check Periodo Ref.]:[Check Periodo Ref.]]="Dentro",DATOS_[Conc.Sal.26]))))), 0)</f>
        <v>0</v>
      </c>
      <c r="AF89" s="209" t="n">
        <f aca="false" t="array" ref="AF89:AF89">IFERROR( AVERAGE((IF(DATOS_[[Sexo]:[Sexo]]=$B89,IF(DATOS_[[AGRUP. VALOR. PTO.]:[AGRUP. VALOR. PTO.]]=$B87,IF(DATOS_[[Check Periodo Ref.]:[Check Periodo Ref.]]="Dentro",DATOS_[Conc.Sal.27]))))), 0)</f>
        <v>0</v>
      </c>
      <c r="AG89" s="209" t="n">
        <f aca="false" t="array" ref="AG89:AG89">IFERROR( AVERAGE((IF(DATOS_[[Sexo]:[Sexo]]=$B89,IF(DATOS_[[AGRUP. VALOR. PTO.]:[AGRUP. VALOR. PTO.]]=$B87,IF(DATOS_[[Check Periodo Ref.]:[Check Periodo Ref.]]="Dentro",DATOS_[Conc.Sal.28]))))), 0)</f>
        <v>0</v>
      </c>
      <c r="AH89" s="209" t="n">
        <f aca="false" t="array" ref="AH89:AH89">IFERROR( AVERAGE((IF(DATOS_[[Sexo]:[Sexo]]=$B89,IF(DATOS_[[AGRUP. VALOR. PTO.]:[AGRUP. VALOR. PTO.]]=$B87,IF(DATOS_[[Check Periodo Ref.]:[Check Periodo Ref.]]="Dentro",DATOS_[Conc.Sal.29]))))), 0)</f>
        <v>0</v>
      </c>
      <c r="AI89" s="209" t="n">
        <f aca="false" t="array" ref="AI89:AI89">IFERROR( AVERAGE((IF(DATOS_[[Sexo]:[Sexo]]=$B89,IF(DATOS_[[AGRUP. VALOR. PTO.]:[AGRUP. VALOR. PTO.]]=$B87,IF(DATOS_[[Check Periodo Ref.]:[Check Periodo Ref.]]="Dentro",DATOS_[Conc.Sal.30]))))), 0)</f>
        <v>0</v>
      </c>
      <c r="AJ89" s="210" t="n">
        <f aca="false" t="array" ref="AJ89:AJ89">IFERROR( AVERAGE(IF(DATOS_[Sexo]=$B89,IF(DATOS_[AGRUP. VALOR. PTO.]=$B87,IF(DATOS_[Check Periodo Ref.]="Dentro",DATOS_[Tot COMPL.SAL Ef],0)))), 0)</f>
        <v>0</v>
      </c>
      <c r="AK89" s="211" t="n">
        <f aca="false" t="array" ref="AK89:AK89">IFERROR( AVERAGE(IF(DATOS_[Sexo]=$B89,IF(DATOS_[AGRUP. VALOR. PTO.]=$B87,IF(DATOS_[Check Periodo Ref.]="Dentro",DATOS_[TOTAL SALARIO Ef],0)))), 0)</f>
        <v>0</v>
      </c>
      <c r="AL89" s="212" t="n">
        <f aca="false" t="array" ref="AL89:AL89">IFERROR( AVERAGE((IF(DATOS_[[Sexo]:[Sexo]]=$B89,IF(DATOS_[[AGRUP. VALOR. PTO.]:[AGRUP. VALOR. PTO.]]=$B87,IF(DATOS_[[Check Periodo Ref.]:[Check Periodo Ref.]]="Dentro",DATOS_[C.Extra.01]))))), 0)</f>
        <v>0</v>
      </c>
      <c r="AM89" s="212" t="n">
        <f aca="false" t="array" ref="AM89:AM89">IFERROR( AVERAGE((IF(DATOS_[[Sexo]:[Sexo]]=$B89,IF(DATOS_[[AGRUP. VALOR. PTO.]:[AGRUP. VALOR. PTO.]]=$B87,IF(DATOS_[[Check Periodo Ref.]:[Check Periodo Ref.]]="Dentro",DATOS_[C.Extra.02]))))), 0)</f>
        <v>0</v>
      </c>
      <c r="AN89" s="212" t="n">
        <f aca="false" t="array" ref="AN89:AN89">IFERROR( AVERAGE((IF(DATOS_[[Sexo]:[Sexo]]=$B89,IF(DATOS_[[AGRUP. VALOR. PTO.]:[AGRUP. VALOR. PTO.]]=$B87,IF(DATOS_[[Check Periodo Ref.]:[Check Periodo Ref.]]="Dentro",DATOS_[C.Extra.03]))))), 0)</f>
        <v>0</v>
      </c>
      <c r="AO89" s="212" t="n">
        <f aca="false" t="array" ref="AO89:AO89">IFERROR( AVERAGE((IF(DATOS_[[Sexo]:[Sexo]]=$B89,IF(DATOS_[[AGRUP. VALOR. PTO.]:[AGRUP. VALOR. PTO.]]=$B87,IF(DATOS_[[Check Periodo Ref.]:[Check Periodo Ref.]]="Dentro",DATOS_[C.Extra.04]))))), 0)</f>
        <v>0</v>
      </c>
      <c r="AP89" s="212" t="n">
        <f aca="false" t="array" ref="AP89:AP89">IFERROR( AVERAGE((IF(DATOS_[[Sexo]:[Sexo]]=$B89,IF(DATOS_[[AGRUP. VALOR. PTO.]:[AGRUP. VALOR. PTO.]]=$B87,IF(DATOS_[[Check Periodo Ref.]:[Check Periodo Ref.]]="Dentro",DATOS_[C.Extra.05]))))), 0)</f>
        <v>0</v>
      </c>
      <c r="AQ89" s="213" t="n">
        <f aca="false" t="array" ref="AQ89:AQ89">IFERROR( AVERAGE(IF(DATOS_[Sexo]=$B89,IF(DATOS_[AGRUP. VALOR. PTO.]=$B87,IF(DATOS_[Check Periodo Ref.]="Dentro",DATOS_[Tot Extrasalarial Ef],0)))), 0)</f>
        <v>0</v>
      </c>
      <c r="AR89" s="214" t="n">
        <f aca="false" t="array" ref="AR89:AR89">IFERROR( AVERAGE(IF(DATOS_[Sexo]=$B89,IF(DATOS_[AGRUP. VALOR. PTO.]=$B87,IF(DATOS_[Check Periodo Ref.]="Dentro",DATOS_[TOTAL Retrib Ef],0)))), 0)</f>
        <v>0</v>
      </c>
    </row>
    <row r="90" customFormat="false" ht="15.75" hidden="false" customHeight="false" outlineLevel="0" collapsed="false">
      <c r="A90" s="191" t="str">
        <f aca="false">+A91</f>
        <v>[ocultar]</v>
      </c>
      <c r="B90" s="192" t="s">
        <v>244</v>
      </c>
      <c r="C90" s="193"/>
      <c r="D90" s="194"/>
      <c r="E90" s="195" t="str">
        <f aca="false">IFERROR((E91-E92)/E91,"")</f>
        <v/>
      </c>
      <c r="F90" s="196" t="str">
        <f aca="false">IFERROR((F91-F92)/F91,"")</f>
        <v/>
      </c>
      <c r="G90" s="197" t="str">
        <f aca="false">IFERROR((G91-G92)/G91,"")</f>
        <v/>
      </c>
      <c r="H90" s="197" t="str">
        <f aca="false">IFERROR((H91-H92)/H91,"")</f>
        <v/>
      </c>
      <c r="I90" s="197" t="str">
        <f aca="false">IFERROR((I91-I92)/I91,"")</f>
        <v/>
      </c>
      <c r="J90" s="198" t="str">
        <f aca="false">IFERROR((J91-J92)/J91,"")</f>
        <v/>
      </c>
      <c r="K90" s="199" t="str">
        <f aca="false">IFERROR((K91-K92)/K91,"")</f>
        <v/>
      </c>
      <c r="L90" s="199" t="str">
        <f aca="false">IFERROR((L91-L92)/L91,"")</f>
        <v/>
      </c>
      <c r="M90" s="199" t="str">
        <f aca="false">IFERROR((M91-M92)/M91,"")</f>
        <v/>
      </c>
      <c r="N90" s="199" t="str">
        <f aca="false">IFERROR((N91-N92)/N91,"")</f>
        <v/>
      </c>
      <c r="O90" s="199" t="str">
        <f aca="false">IFERROR((O91-O92)/O91,"")</f>
        <v/>
      </c>
      <c r="P90" s="199" t="str">
        <f aca="false">IFERROR((P91-P92)/P91,"")</f>
        <v/>
      </c>
      <c r="Q90" s="199" t="str">
        <f aca="false">IFERROR((Q91-Q92)/Q91,"")</f>
        <v/>
      </c>
      <c r="R90" s="199" t="str">
        <f aca="false">IFERROR((R91-R92)/R91,"")</f>
        <v/>
      </c>
      <c r="S90" s="199" t="str">
        <f aca="false">IFERROR((S91-S92)/S91,"")</f>
        <v/>
      </c>
      <c r="T90" s="199" t="str">
        <f aca="false">IFERROR((T91-T92)/T91,"")</f>
        <v/>
      </c>
      <c r="U90" s="199" t="str">
        <f aca="false">IFERROR((U91-U92)/U91,"")</f>
        <v/>
      </c>
      <c r="V90" s="198" t="str">
        <f aca="false">IFERROR((V91-V92)/V91,"")</f>
        <v/>
      </c>
      <c r="W90" s="198" t="str">
        <f aca="false">IFERROR((W91-W92)/W91,"")</f>
        <v/>
      </c>
      <c r="X90" s="198" t="str">
        <f aca="false">IFERROR((X91-X92)/X91,"")</f>
        <v/>
      </c>
      <c r="Y90" s="198" t="str">
        <f aca="false">IFERROR((Y91-Y92)/Y91,"")</f>
        <v/>
      </c>
      <c r="Z90" s="198" t="str">
        <f aca="false">IFERROR((Z91-Z92)/Z91,"")</f>
        <v/>
      </c>
      <c r="AA90" s="198" t="str">
        <f aca="false">IFERROR((AA91-AA92)/AA91,"")</f>
        <v/>
      </c>
      <c r="AB90" s="198" t="str">
        <f aca="false">IFERROR((AB91-AB92)/AB91,"")</f>
        <v/>
      </c>
      <c r="AC90" s="198" t="str">
        <f aca="false">IFERROR((AC91-AC92)/AC91,"")</f>
        <v/>
      </c>
      <c r="AD90" s="198" t="str">
        <f aca="false">IFERROR((AD91-AD92)/AD91,"")</f>
        <v/>
      </c>
      <c r="AE90" s="198" t="str">
        <f aca="false">IFERROR((AE91-AE92)/AE91,"")</f>
        <v/>
      </c>
      <c r="AF90" s="198" t="str">
        <f aca="false">IFERROR((AF91-AF92)/AF91,"")</f>
        <v/>
      </c>
      <c r="AG90" s="198" t="str">
        <f aca="false">IFERROR((AG91-AG92)/AG91,"")</f>
        <v/>
      </c>
      <c r="AH90" s="198" t="str">
        <f aca="false">IFERROR((AH91-AH92)/AH91,"")</f>
        <v/>
      </c>
      <c r="AI90" s="198" t="str">
        <f aca="false">IFERROR((AI91-AI92)/AI91,"")</f>
        <v/>
      </c>
      <c r="AJ90" s="200" t="str">
        <f aca="false">IFERROR((AJ91-AJ92)/AJ91,"")</f>
        <v/>
      </c>
      <c r="AK90" s="201" t="str">
        <f aca="false">IFERROR((AK91-AK92)/AK91,"")</f>
        <v/>
      </c>
      <c r="AL90" s="202" t="str">
        <f aca="false">IFERROR((AL91-AL92)/AL91,"")</f>
        <v/>
      </c>
      <c r="AM90" s="202" t="str">
        <f aca="false">IFERROR((AM91-AM92)/AM91,"")</f>
        <v/>
      </c>
      <c r="AN90" s="202" t="str">
        <f aca="false">IFERROR((AN91-AN92)/AN91,"")</f>
        <v/>
      </c>
      <c r="AO90" s="202" t="str">
        <f aca="false">IFERROR((AO91-AO92)/AO91,"")</f>
        <v/>
      </c>
      <c r="AP90" s="202" t="str">
        <f aca="false">IFERROR((AP91-AP92)/AP91,"")</f>
        <v/>
      </c>
      <c r="AQ90" s="203" t="str">
        <f aca="false">IFERROR((AQ91-AQ92)/AQ91,"")</f>
        <v/>
      </c>
      <c r="AR90" s="204" t="str">
        <f aca="false">IFERROR((AR91-AR92)/AR91,"")</f>
        <v/>
      </c>
    </row>
    <row r="91" customFormat="false" ht="14.25" hidden="false" customHeight="false" outlineLevel="0" collapsed="false">
      <c r="A91" s="191" t="str">
        <f aca="false">+IF(C91+C92=0,"[ocultar]","")</f>
        <v>[ocultar]</v>
      </c>
      <c r="B91" s="205" t="s">
        <v>371</v>
      </c>
      <c r="C91" s="206" t="n">
        <f aca="false" t="array" ref="C91:C91">SUM(IF($B91=DATOS_[Sexo], IF($B90=DATOS_[AGRUP. VALOR. PTO.], IF("Dentro"=DATOS_[Check Periodo Ref.], 1/(COUNTIFS(DATOS_[Sexo],$B91,DATOS_[AGRUP. VALOR. PTO.],$B90,DATOS_[Check Periodo Ref.],"Dentro",DATOS_[id],DATOS_[id]))))))</f>
        <v>0</v>
      </c>
      <c r="D91" s="207" t="n">
        <f aca="false">COUNTIFS(DATOS_[AGRUP. VALOR. PTO.],$B90,DATOS_[Sexo],$B91,DATOS_[Check Periodo Ref.],"Dentro")</f>
        <v>0</v>
      </c>
      <c r="E91" s="208" t="n">
        <f aca="false" t="array" ref="E91:E91">IFERROR( AVERAGE(IF(DATOS_[Sexo]=$B91,IF(DATOS_[AGRUP. VALOR. PTO.]=$B90,IF(DATOS_[Check Periodo Ref.]="Dentro",DATOS_[SALARIO BASE Ef],0)))), 0)</f>
        <v>0</v>
      </c>
      <c r="F91" s="209" t="n">
        <f aca="false" t="array" ref="F91:F91">IFERROR( AVERAGE((IF(DATOS_[[Sexo]:[Sexo]]=$B91,IF(DATOS_[[AGRUP. VALOR. PTO.]:[AGRUP. VALOR. PTO.]]=$B90,IF(DATOS_[[Check Periodo Ref.]:[Check Periodo Ref.]]="Dentro",DATOS_[Conc.Sal.01]))))), 0)</f>
        <v>0</v>
      </c>
      <c r="G91" s="209" t="n">
        <f aca="false" t="array" ref="G91:G91">IFERROR( AVERAGE((IF(DATOS_[[Sexo]:[Sexo]]=$B91,IF(DATOS_[[AGRUP. VALOR. PTO.]:[AGRUP. VALOR. PTO.]]=$B90,IF(DATOS_[[Check Periodo Ref.]:[Check Periodo Ref.]]="Dentro",DATOS_[Conc.Sal.02]))))), 0)</f>
        <v>0</v>
      </c>
      <c r="H91" s="209" t="n">
        <f aca="false" t="array" ref="H91:H91">IFERROR( AVERAGE((IF(DATOS_[[Sexo]:[Sexo]]=$B91,IF(DATOS_[[AGRUP. VALOR. PTO.]:[AGRUP. VALOR. PTO.]]=$B90,IF(DATOS_[[Check Periodo Ref.]:[Check Periodo Ref.]]="Dentro",DATOS_[Conc.Sal.03]))))), 0)</f>
        <v>0</v>
      </c>
      <c r="I91" s="209" t="n">
        <f aca="false" t="array" ref="I91:I91">IFERROR( AVERAGE((IF(DATOS_[[Sexo]:[Sexo]]=$B91,IF(DATOS_[[AGRUP. VALOR. PTO.]:[AGRUP. VALOR. PTO.]]=$B90,IF(DATOS_[[Check Periodo Ref.]:[Check Periodo Ref.]]="Dentro",DATOS_[Conc.Sal.04]))))), 0)</f>
        <v>0</v>
      </c>
      <c r="J91" s="209" t="n">
        <f aca="false" t="array" ref="J91:J91">IFERROR( AVERAGE((IF(DATOS_[[Sexo]:[Sexo]]=$B91,IF(DATOS_[[AGRUP. VALOR. PTO.]:[AGRUP. VALOR. PTO.]]=$B90,IF(DATOS_[[Check Periodo Ref.]:[Check Periodo Ref.]]="Dentro",DATOS_[Conc.Sal.05]))))), 0)</f>
        <v>0</v>
      </c>
      <c r="K91" s="209" t="n">
        <f aca="false" t="array" ref="K91:K91">IFERROR( AVERAGE((IF(DATOS_[[Sexo]:[Sexo]]=$B91,IF(DATOS_[[AGRUP. VALOR. PTO.]:[AGRUP. VALOR. PTO.]]=$B90,IF(DATOS_[[Check Periodo Ref.]:[Check Periodo Ref.]]="Dentro",DATOS_[Conc.Sal.06]))))), 0)</f>
        <v>0</v>
      </c>
      <c r="L91" s="209" t="n">
        <f aca="false" t="array" ref="L91:L91">IFERROR( AVERAGE((IF(DATOS_[[Sexo]:[Sexo]]=$B91,IF(DATOS_[[AGRUP. VALOR. PTO.]:[AGRUP. VALOR. PTO.]]=$B90,IF(DATOS_[[Check Periodo Ref.]:[Check Periodo Ref.]]="Dentro",DATOS_[Conc.Sal.07]))))), 0)</f>
        <v>0</v>
      </c>
      <c r="M91" s="209" t="n">
        <f aca="false" t="array" ref="M91:M91">IFERROR( AVERAGE((IF(DATOS_[[Sexo]:[Sexo]]=$B91,IF(DATOS_[[AGRUP. VALOR. PTO.]:[AGRUP. VALOR. PTO.]]=$B90,IF(DATOS_[[Check Periodo Ref.]:[Check Periodo Ref.]]="Dentro",DATOS_[Conc.Sal.08]))))), 0)</f>
        <v>0</v>
      </c>
      <c r="N91" s="209" t="n">
        <f aca="false" t="array" ref="N91:N91">IFERROR( AVERAGE((IF(DATOS_[[Sexo]:[Sexo]]=$B91,IF(DATOS_[[AGRUP. VALOR. PTO.]:[AGRUP. VALOR. PTO.]]=$B90,IF(DATOS_[[Check Periodo Ref.]:[Check Periodo Ref.]]="Dentro",DATOS_[Conc.Sal.09]))))), 0)</f>
        <v>0</v>
      </c>
      <c r="O91" s="209" t="n">
        <f aca="false" t="array" ref="O91:O91">IFERROR( AVERAGE((IF(DATOS_[[Sexo]:[Sexo]]=$B91,IF(DATOS_[[AGRUP. VALOR. PTO.]:[AGRUP. VALOR. PTO.]]=$B90,IF(DATOS_[[Check Periodo Ref.]:[Check Periodo Ref.]]="Dentro",DATOS_[Conc.Sal.10]))))), 0)</f>
        <v>0</v>
      </c>
      <c r="P91" s="209" t="n">
        <f aca="false" t="array" ref="P91:P91">IFERROR( AVERAGE((IF(DATOS_[[Sexo]:[Sexo]]=$B91,IF(DATOS_[[AGRUP. VALOR. PTO.]:[AGRUP. VALOR. PTO.]]=$B90,IF(DATOS_[[Check Periodo Ref.]:[Check Periodo Ref.]]="Dentro",DATOS_[Conc.Sal.11]))))), 0)</f>
        <v>0</v>
      </c>
      <c r="Q91" s="209" t="n">
        <f aca="false" t="array" ref="Q91:Q91">IFERROR( AVERAGE((IF(DATOS_[[Sexo]:[Sexo]]=$B91,IF(DATOS_[[AGRUP. VALOR. PTO.]:[AGRUP. VALOR. PTO.]]=$B90,IF(DATOS_[[Check Periodo Ref.]:[Check Periodo Ref.]]="Dentro",DATOS_[Conc.Sal.12]))))), 0)</f>
        <v>0</v>
      </c>
      <c r="R91" s="209" t="n">
        <f aca="false" t="array" ref="R91:R91">IFERROR( AVERAGE((IF(DATOS_[[Sexo]:[Sexo]]=$B91,IF(DATOS_[[AGRUP. VALOR. PTO.]:[AGRUP. VALOR. PTO.]]=$B90,IF(DATOS_[[Check Periodo Ref.]:[Check Periodo Ref.]]="Dentro",DATOS_[Conc.Sal.13]))))), 0)</f>
        <v>0</v>
      </c>
      <c r="S91" s="209" t="n">
        <f aca="false" t="array" ref="S91:S91">IFERROR( AVERAGE((IF(DATOS_[[Sexo]:[Sexo]]=$B91,IF(DATOS_[[AGRUP. VALOR. PTO.]:[AGRUP. VALOR. PTO.]]=$B90,IF(DATOS_[[Check Periodo Ref.]:[Check Periodo Ref.]]="Dentro",DATOS_[Conc.Sal.14]))))), 0)</f>
        <v>0</v>
      </c>
      <c r="T91" s="209" t="n">
        <f aca="false" t="array" ref="T91:T91">IFERROR( AVERAGE((IF(DATOS_[[Sexo]:[Sexo]]=$B91,IF(DATOS_[[AGRUP. VALOR. PTO.]:[AGRUP. VALOR. PTO.]]=$B90,IF(DATOS_[[Check Periodo Ref.]:[Check Periodo Ref.]]="Dentro",DATOS_[Conc.Sal.15]))))), 0)</f>
        <v>0</v>
      </c>
      <c r="U91" s="209" t="n">
        <f aca="false" t="array" ref="U91:U91">IFERROR( AVERAGE((IF(DATOS_[[Sexo]:[Sexo]]=$B91,IF(DATOS_[[AGRUP. VALOR. PTO.]:[AGRUP. VALOR. PTO.]]=$B90,IF(DATOS_[[Check Periodo Ref.]:[Check Periodo Ref.]]="Dentro",DATOS_[Conc.Sal.16]))))), 0)</f>
        <v>0</v>
      </c>
      <c r="V91" s="209" t="n">
        <f aca="false" t="array" ref="V91:V91">IFERROR( AVERAGE((IF(DATOS_[[Sexo]:[Sexo]]=$B91,IF(DATOS_[[AGRUP. VALOR. PTO.]:[AGRUP. VALOR. PTO.]]=$B90,IF(DATOS_[[Check Periodo Ref.]:[Check Periodo Ref.]]="Dentro",DATOS_[Conc.Sal.17]))))), 0)</f>
        <v>0</v>
      </c>
      <c r="W91" s="209" t="n">
        <f aca="false" t="array" ref="W91:W91">IFERROR( AVERAGE((IF(DATOS_[[Sexo]:[Sexo]]=$B91,IF(DATOS_[[AGRUP. VALOR. PTO.]:[AGRUP. VALOR. PTO.]]=$B90,IF(DATOS_[[Check Periodo Ref.]:[Check Periodo Ref.]]="Dentro",DATOS_[Conc.Sal.18]))))), 0)</f>
        <v>0</v>
      </c>
      <c r="X91" s="209" t="n">
        <f aca="false" t="array" ref="X91:X91">IFERROR( AVERAGE((IF(DATOS_[[Sexo]:[Sexo]]=$B91,IF(DATOS_[[AGRUP. VALOR. PTO.]:[AGRUP. VALOR. PTO.]]=$B90,IF(DATOS_[[Check Periodo Ref.]:[Check Periodo Ref.]]="Dentro",DATOS_[Conc.Sal.19]))))), 0)</f>
        <v>0</v>
      </c>
      <c r="Y91" s="209" t="n">
        <f aca="false" t="array" ref="Y91:Y91">IFERROR( AVERAGE((IF(DATOS_[[Sexo]:[Sexo]]=$B91,IF(DATOS_[[AGRUP. VALOR. PTO.]:[AGRUP. VALOR. PTO.]]=$B90,IF(DATOS_[[Check Periodo Ref.]:[Check Periodo Ref.]]="Dentro",DATOS_[Conc.Sal.20]))))), 0)</f>
        <v>0</v>
      </c>
      <c r="Z91" s="209" t="n">
        <f aca="false" t="array" ref="Z91:Z91">IFERROR( AVERAGE((IF(DATOS_[[Sexo]:[Sexo]]=$B91,IF(DATOS_[[AGRUP. VALOR. PTO.]:[AGRUP. VALOR. PTO.]]=$B90,IF(DATOS_[[Check Periodo Ref.]:[Check Periodo Ref.]]="Dentro",DATOS_[Conc.Sal.21]))))), 0)</f>
        <v>0</v>
      </c>
      <c r="AA91" s="209" t="n">
        <f aca="false" t="array" ref="AA91:AA91">IFERROR( AVERAGE((IF(DATOS_[[Sexo]:[Sexo]]=$B91,IF(DATOS_[[AGRUP. VALOR. PTO.]:[AGRUP. VALOR. PTO.]]=$B90,IF(DATOS_[[Check Periodo Ref.]:[Check Periodo Ref.]]="Dentro",DATOS_[Conc.Sal.22]))))), 0)</f>
        <v>0</v>
      </c>
      <c r="AB91" s="209" t="n">
        <f aca="false" t="array" ref="AB91:AB91">IFERROR( AVERAGE((IF(DATOS_[[Sexo]:[Sexo]]=$B91,IF(DATOS_[[AGRUP. VALOR. PTO.]:[AGRUP. VALOR. PTO.]]=$B90,IF(DATOS_[[Check Periodo Ref.]:[Check Periodo Ref.]]="Dentro",DATOS_[Conc.Sal.23]))))), 0)</f>
        <v>0</v>
      </c>
      <c r="AC91" s="209" t="n">
        <f aca="false" t="array" ref="AC91:AC91">IFERROR( AVERAGE((IF(DATOS_[[Sexo]:[Sexo]]=$B91,IF(DATOS_[[AGRUP. VALOR. PTO.]:[AGRUP. VALOR. PTO.]]=$B90,IF(DATOS_[[Check Periodo Ref.]:[Check Periodo Ref.]]="Dentro",DATOS_[Conc.Sal.24]))))), 0)</f>
        <v>0</v>
      </c>
      <c r="AD91" s="209" t="n">
        <f aca="false" t="array" ref="AD91:AD91">IFERROR( AVERAGE((IF(DATOS_[[Sexo]:[Sexo]]=$B91,IF(DATOS_[[AGRUP. VALOR. PTO.]:[AGRUP. VALOR. PTO.]]=$B90,IF(DATOS_[[Check Periodo Ref.]:[Check Periodo Ref.]]="Dentro",DATOS_[Conc.Sal.25]))))), 0)</f>
        <v>0</v>
      </c>
      <c r="AE91" s="209" t="n">
        <f aca="false" t="array" ref="AE91:AE91">IFERROR( AVERAGE((IF(DATOS_[[Sexo]:[Sexo]]=$B91,IF(DATOS_[[AGRUP. VALOR. PTO.]:[AGRUP. VALOR. PTO.]]=$B90,IF(DATOS_[[Check Periodo Ref.]:[Check Periodo Ref.]]="Dentro",DATOS_[Conc.Sal.26]))))), 0)</f>
        <v>0</v>
      </c>
      <c r="AF91" s="209" t="n">
        <f aca="false" t="array" ref="AF91:AF91">IFERROR( AVERAGE((IF(DATOS_[[Sexo]:[Sexo]]=$B91,IF(DATOS_[[AGRUP. VALOR. PTO.]:[AGRUP. VALOR. PTO.]]=$B90,IF(DATOS_[[Check Periodo Ref.]:[Check Periodo Ref.]]="Dentro",DATOS_[Conc.Sal.27]))))), 0)</f>
        <v>0</v>
      </c>
      <c r="AG91" s="209" t="n">
        <f aca="false" t="array" ref="AG91:AG91">IFERROR( AVERAGE((IF(DATOS_[[Sexo]:[Sexo]]=$B91,IF(DATOS_[[AGRUP. VALOR. PTO.]:[AGRUP. VALOR. PTO.]]=$B90,IF(DATOS_[[Check Periodo Ref.]:[Check Periodo Ref.]]="Dentro",DATOS_[Conc.Sal.28]))))), 0)</f>
        <v>0</v>
      </c>
      <c r="AH91" s="209" t="n">
        <f aca="false" t="array" ref="AH91:AH91">IFERROR( AVERAGE((IF(DATOS_[[Sexo]:[Sexo]]=$B91,IF(DATOS_[[AGRUP. VALOR. PTO.]:[AGRUP. VALOR. PTO.]]=$B90,IF(DATOS_[[Check Periodo Ref.]:[Check Periodo Ref.]]="Dentro",DATOS_[Conc.Sal.29]))))), 0)</f>
        <v>0</v>
      </c>
      <c r="AI91" s="209" t="n">
        <f aca="false" t="array" ref="AI91:AI91">IFERROR( AVERAGE((IF(DATOS_[[Sexo]:[Sexo]]=$B91,IF(DATOS_[[AGRUP. VALOR. PTO.]:[AGRUP. VALOR. PTO.]]=$B90,IF(DATOS_[[Check Periodo Ref.]:[Check Periodo Ref.]]="Dentro",DATOS_[Conc.Sal.30]))))), 0)</f>
        <v>0</v>
      </c>
      <c r="AJ91" s="210" t="n">
        <f aca="false" t="array" ref="AJ91:AJ91">IFERROR( AVERAGE(IF(DATOS_[Sexo]=$B91,IF(DATOS_[AGRUP. VALOR. PTO.]=$B90,IF(DATOS_[Check Periodo Ref.]="Dentro",DATOS_[Tot COMPL.SAL Ef],0)))), 0)</f>
        <v>0</v>
      </c>
      <c r="AK91" s="211" t="n">
        <f aca="false" t="array" ref="AK91:AK91">IFERROR( AVERAGE(IF(DATOS_[Sexo]=$B91,IF(DATOS_[AGRUP. VALOR. PTO.]=$B90,IF(DATOS_[Check Periodo Ref.]="Dentro",DATOS_[TOTAL SALARIO Ef],0)))), 0)</f>
        <v>0</v>
      </c>
      <c r="AL91" s="212" t="n">
        <f aca="false" t="array" ref="AL91:AL91">IFERROR( AVERAGE((IF(DATOS_[[Sexo]:[Sexo]]=$B91,IF(DATOS_[[AGRUP. VALOR. PTO.]:[AGRUP. VALOR. PTO.]]=$B90,IF(DATOS_[[Check Periodo Ref.]:[Check Periodo Ref.]]="Dentro",DATOS_[C.Extra.01]))))), 0)</f>
        <v>0</v>
      </c>
      <c r="AM91" s="212" t="n">
        <f aca="false" t="array" ref="AM91:AM91">IFERROR( AVERAGE((IF(DATOS_[[Sexo]:[Sexo]]=$B91,IF(DATOS_[[AGRUP. VALOR. PTO.]:[AGRUP. VALOR. PTO.]]=$B90,IF(DATOS_[[Check Periodo Ref.]:[Check Periodo Ref.]]="Dentro",DATOS_[C.Extra.02]))))), 0)</f>
        <v>0</v>
      </c>
      <c r="AN91" s="212" t="n">
        <f aca="false" t="array" ref="AN91:AN91">IFERROR( AVERAGE((IF(DATOS_[[Sexo]:[Sexo]]=$B91,IF(DATOS_[[AGRUP. VALOR. PTO.]:[AGRUP. VALOR. PTO.]]=$B90,IF(DATOS_[[Check Periodo Ref.]:[Check Periodo Ref.]]="Dentro",DATOS_[C.Extra.03]))))), 0)</f>
        <v>0</v>
      </c>
      <c r="AO91" s="212" t="n">
        <f aca="false" t="array" ref="AO91:AO91">IFERROR( AVERAGE((IF(DATOS_[[Sexo]:[Sexo]]=$B91,IF(DATOS_[[AGRUP. VALOR. PTO.]:[AGRUP. VALOR. PTO.]]=$B90,IF(DATOS_[[Check Periodo Ref.]:[Check Periodo Ref.]]="Dentro",DATOS_[C.Extra.04]))))), 0)</f>
        <v>0</v>
      </c>
      <c r="AP91" s="212" t="n">
        <f aca="false" t="array" ref="AP91:AP91">IFERROR( AVERAGE((IF(DATOS_[[Sexo]:[Sexo]]=$B91,IF(DATOS_[[AGRUP. VALOR. PTO.]:[AGRUP. VALOR. PTO.]]=$B90,IF(DATOS_[[Check Periodo Ref.]:[Check Periodo Ref.]]="Dentro",DATOS_[C.Extra.05]))))), 0)</f>
        <v>0</v>
      </c>
      <c r="AQ91" s="213" t="n">
        <f aca="false" t="array" ref="AQ91:AQ91">IFERROR( AVERAGE(IF(DATOS_[Sexo]=$B91,IF(DATOS_[AGRUP. VALOR. PTO.]=$B90,IF(DATOS_[Check Periodo Ref.]="Dentro",DATOS_[Tot Extrasalarial Ef],0)))), 0)</f>
        <v>0</v>
      </c>
      <c r="AR91" s="214" t="n">
        <f aca="false" t="array" ref="AR91:AR91">IFERROR( AVERAGE(IF(DATOS_[Sexo]=$B91,IF(DATOS_[AGRUP. VALOR. PTO.]=$B90,IF(DATOS_[Check Periodo Ref.]="Dentro",DATOS_[TOTAL Retrib Ef],0)))), 0)</f>
        <v>0</v>
      </c>
    </row>
    <row r="92" customFormat="false" ht="14.25" hidden="false" customHeight="false" outlineLevel="0" collapsed="false">
      <c r="A92" s="191" t="str">
        <f aca="false">+A91</f>
        <v>[ocultar]</v>
      </c>
      <c r="B92" s="205" t="s">
        <v>372</v>
      </c>
      <c r="C92" s="206" t="n">
        <f aca="false" t="array" ref="C92:C92">SUM(IF($B92=DATOS_[Sexo], IF($B90=DATOS_[AGRUP. VALOR. PTO.], IF("Dentro"=DATOS_[Check Periodo Ref.], 1/(COUNTIFS(DATOS_[Sexo],$B92,DATOS_[AGRUP. VALOR. PTO.],$B90,DATOS_[Check Periodo Ref.],"Dentro",DATOS_[id],DATOS_[id]))))))</f>
        <v>0</v>
      </c>
      <c r="D92" s="207" t="n">
        <f aca="false">COUNTIFS(DATOS_[AGRUP. VALOR. PTO.],$B90,DATOS_[Sexo],$B92,DATOS_[Check Periodo Ref.],"Dentro")</f>
        <v>0</v>
      </c>
      <c r="E92" s="208" t="n">
        <f aca="false" t="array" ref="E92:E92">IFERROR( AVERAGE(IF(DATOS_[Sexo]=$B92,IF(DATOS_[AGRUP. VALOR. PTO.]=$B90,IF(DATOS_[Check Periodo Ref.]="Dentro",DATOS_[SALARIO BASE Ef],0)))), 0)</f>
        <v>0</v>
      </c>
      <c r="F92" s="209" t="n">
        <f aca="false" t="array" ref="F92:F92">IFERROR( AVERAGE((IF(DATOS_[[Sexo]:[Sexo]]=$B92,IF(DATOS_[[AGRUP. VALOR. PTO.]:[AGRUP. VALOR. PTO.]]=$B90,IF(DATOS_[[Check Periodo Ref.]:[Check Periodo Ref.]]="Dentro",DATOS_[Conc.Sal.01]))))), 0)</f>
        <v>0</v>
      </c>
      <c r="G92" s="209" t="n">
        <f aca="false" t="array" ref="G92:G92">IFERROR( AVERAGE((IF(DATOS_[[Sexo]:[Sexo]]=$B92,IF(DATOS_[[AGRUP. VALOR. PTO.]:[AGRUP. VALOR. PTO.]]=$B90,IF(DATOS_[[Check Periodo Ref.]:[Check Periodo Ref.]]="Dentro",DATOS_[Conc.Sal.02]))))), 0)</f>
        <v>0</v>
      </c>
      <c r="H92" s="209" t="n">
        <f aca="false" t="array" ref="H92:H92">IFERROR( AVERAGE((IF(DATOS_[[Sexo]:[Sexo]]=$B92,IF(DATOS_[[AGRUP. VALOR. PTO.]:[AGRUP. VALOR. PTO.]]=$B90,IF(DATOS_[[Check Periodo Ref.]:[Check Periodo Ref.]]="Dentro",DATOS_[Conc.Sal.03]))))), 0)</f>
        <v>0</v>
      </c>
      <c r="I92" s="209" t="n">
        <f aca="false" t="array" ref="I92:I92">IFERROR( AVERAGE((IF(DATOS_[[Sexo]:[Sexo]]=$B92,IF(DATOS_[[AGRUP. VALOR. PTO.]:[AGRUP. VALOR. PTO.]]=$B90,IF(DATOS_[[Check Periodo Ref.]:[Check Periodo Ref.]]="Dentro",DATOS_[Conc.Sal.04]))))), 0)</f>
        <v>0</v>
      </c>
      <c r="J92" s="209" t="n">
        <f aca="false" t="array" ref="J92:J92">IFERROR( AVERAGE((IF(DATOS_[[Sexo]:[Sexo]]=$B92,IF(DATOS_[[AGRUP. VALOR. PTO.]:[AGRUP. VALOR. PTO.]]=$B90,IF(DATOS_[[Check Periodo Ref.]:[Check Periodo Ref.]]="Dentro",DATOS_[Conc.Sal.05]))))), 0)</f>
        <v>0</v>
      </c>
      <c r="K92" s="209" t="n">
        <f aca="false" t="array" ref="K92:K92">IFERROR( AVERAGE((IF(DATOS_[[Sexo]:[Sexo]]=$B92,IF(DATOS_[[AGRUP. VALOR. PTO.]:[AGRUP. VALOR. PTO.]]=$B90,IF(DATOS_[[Check Periodo Ref.]:[Check Periodo Ref.]]="Dentro",DATOS_[Conc.Sal.06]))))), 0)</f>
        <v>0</v>
      </c>
      <c r="L92" s="209" t="n">
        <f aca="false" t="array" ref="L92:L92">IFERROR( AVERAGE((IF(DATOS_[[Sexo]:[Sexo]]=$B92,IF(DATOS_[[AGRUP. VALOR. PTO.]:[AGRUP. VALOR. PTO.]]=$B90,IF(DATOS_[[Check Periodo Ref.]:[Check Periodo Ref.]]="Dentro",DATOS_[Conc.Sal.07]))))), 0)</f>
        <v>0</v>
      </c>
      <c r="M92" s="209" t="n">
        <f aca="false" t="array" ref="M92:M92">IFERROR( AVERAGE((IF(DATOS_[[Sexo]:[Sexo]]=$B92,IF(DATOS_[[AGRUP. VALOR. PTO.]:[AGRUP. VALOR. PTO.]]=$B90,IF(DATOS_[[Check Periodo Ref.]:[Check Periodo Ref.]]="Dentro",DATOS_[Conc.Sal.08]))))), 0)</f>
        <v>0</v>
      </c>
      <c r="N92" s="209" t="n">
        <f aca="false" t="array" ref="N92:N92">IFERROR( AVERAGE((IF(DATOS_[[Sexo]:[Sexo]]=$B92,IF(DATOS_[[AGRUP. VALOR. PTO.]:[AGRUP. VALOR. PTO.]]=$B90,IF(DATOS_[[Check Periodo Ref.]:[Check Periodo Ref.]]="Dentro",DATOS_[Conc.Sal.09]))))), 0)</f>
        <v>0</v>
      </c>
      <c r="O92" s="209" t="n">
        <f aca="false" t="array" ref="O92:O92">IFERROR( AVERAGE((IF(DATOS_[[Sexo]:[Sexo]]=$B92,IF(DATOS_[[AGRUP. VALOR. PTO.]:[AGRUP. VALOR. PTO.]]=$B90,IF(DATOS_[[Check Periodo Ref.]:[Check Periodo Ref.]]="Dentro",DATOS_[Conc.Sal.10]))))), 0)</f>
        <v>0</v>
      </c>
      <c r="P92" s="209" t="n">
        <f aca="false" t="array" ref="P92:P92">IFERROR( AVERAGE((IF(DATOS_[[Sexo]:[Sexo]]=$B92,IF(DATOS_[[AGRUP. VALOR. PTO.]:[AGRUP. VALOR. PTO.]]=$B90,IF(DATOS_[[Check Periodo Ref.]:[Check Periodo Ref.]]="Dentro",DATOS_[Conc.Sal.11]))))), 0)</f>
        <v>0</v>
      </c>
      <c r="Q92" s="209" t="n">
        <f aca="false" t="array" ref="Q92:Q92">IFERROR( AVERAGE((IF(DATOS_[[Sexo]:[Sexo]]=$B92,IF(DATOS_[[AGRUP. VALOR. PTO.]:[AGRUP. VALOR. PTO.]]=$B90,IF(DATOS_[[Check Periodo Ref.]:[Check Periodo Ref.]]="Dentro",DATOS_[Conc.Sal.12]))))), 0)</f>
        <v>0</v>
      </c>
      <c r="R92" s="209" t="n">
        <f aca="false" t="array" ref="R92:R92">IFERROR( AVERAGE((IF(DATOS_[[Sexo]:[Sexo]]=$B92,IF(DATOS_[[AGRUP. VALOR. PTO.]:[AGRUP. VALOR. PTO.]]=$B90,IF(DATOS_[[Check Periodo Ref.]:[Check Periodo Ref.]]="Dentro",DATOS_[Conc.Sal.13]))))), 0)</f>
        <v>0</v>
      </c>
      <c r="S92" s="209" t="n">
        <f aca="false" t="array" ref="S92:S92">IFERROR( AVERAGE((IF(DATOS_[[Sexo]:[Sexo]]=$B92,IF(DATOS_[[AGRUP. VALOR. PTO.]:[AGRUP. VALOR. PTO.]]=$B90,IF(DATOS_[[Check Periodo Ref.]:[Check Periodo Ref.]]="Dentro",DATOS_[Conc.Sal.14]))))), 0)</f>
        <v>0</v>
      </c>
      <c r="T92" s="209" t="n">
        <f aca="false" t="array" ref="T92:T92">IFERROR( AVERAGE((IF(DATOS_[[Sexo]:[Sexo]]=$B92,IF(DATOS_[[AGRUP. VALOR. PTO.]:[AGRUP. VALOR. PTO.]]=$B90,IF(DATOS_[[Check Periodo Ref.]:[Check Periodo Ref.]]="Dentro",DATOS_[Conc.Sal.15]))))), 0)</f>
        <v>0</v>
      </c>
      <c r="U92" s="209" t="n">
        <f aca="false" t="array" ref="U92:U92">IFERROR( AVERAGE((IF(DATOS_[[Sexo]:[Sexo]]=$B92,IF(DATOS_[[AGRUP. VALOR. PTO.]:[AGRUP. VALOR. PTO.]]=$B90,IF(DATOS_[[Check Periodo Ref.]:[Check Periodo Ref.]]="Dentro",DATOS_[Conc.Sal.16]))))), 0)</f>
        <v>0</v>
      </c>
      <c r="V92" s="209" t="n">
        <f aca="false" t="array" ref="V92:V92">IFERROR( AVERAGE((IF(DATOS_[[Sexo]:[Sexo]]=$B92,IF(DATOS_[[AGRUP. VALOR. PTO.]:[AGRUP. VALOR. PTO.]]=$B90,IF(DATOS_[[Check Periodo Ref.]:[Check Periodo Ref.]]="Dentro",DATOS_[Conc.Sal.17]))))), 0)</f>
        <v>0</v>
      </c>
      <c r="W92" s="209" t="n">
        <f aca="false" t="array" ref="W92:W92">IFERROR( AVERAGE((IF(DATOS_[[Sexo]:[Sexo]]=$B92,IF(DATOS_[[AGRUP. VALOR. PTO.]:[AGRUP. VALOR. PTO.]]=$B90,IF(DATOS_[[Check Periodo Ref.]:[Check Periodo Ref.]]="Dentro",DATOS_[Conc.Sal.18]))))), 0)</f>
        <v>0</v>
      </c>
      <c r="X92" s="209" t="n">
        <f aca="false" t="array" ref="X92:X92">IFERROR( AVERAGE((IF(DATOS_[[Sexo]:[Sexo]]=$B92,IF(DATOS_[[AGRUP. VALOR. PTO.]:[AGRUP. VALOR. PTO.]]=$B90,IF(DATOS_[[Check Periodo Ref.]:[Check Periodo Ref.]]="Dentro",DATOS_[Conc.Sal.19]))))), 0)</f>
        <v>0</v>
      </c>
      <c r="Y92" s="209" t="n">
        <f aca="false" t="array" ref="Y92:Y92">IFERROR( AVERAGE((IF(DATOS_[[Sexo]:[Sexo]]=$B92,IF(DATOS_[[AGRUP. VALOR. PTO.]:[AGRUP. VALOR. PTO.]]=$B90,IF(DATOS_[[Check Periodo Ref.]:[Check Periodo Ref.]]="Dentro",DATOS_[Conc.Sal.20]))))), 0)</f>
        <v>0</v>
      </c>
      <c r="Z92" s="209" t="n">
        <f aca="false" t="array" ref="Z92:Z92">IFERROR( AVERAGE((IF(DATOS_[[Sexo]:[Sexo]]=$B92,IF(DATOS_[[AGRUP. VALOR. PTO.]:[AGRUP. VALOR. PTO.]]=$B90,IF(DATOS_[[Check Periodo Ref.]:[Check Periodo Ref.]]="Dentro",DATOS_[Conc.Sal.21]))))), 0)</f>
        <v>0</v>
      </c>
      <c r="AA92" s="209" t="n">
        <f aca="false" t="array" ref="AA92:AA92">IFERROR( AVERAGE((IF(DATOS_[[Sexo]:[Sexo]]=$B92,IF(DATOS_[[AGRUP. VALOR. PTO.]:[AGRUP. VALOR. PTO.]]=$B90,IF(DATOS_[[Check Periodo Ref.]:[Check Periodo Ref.]]="Dentro",DATOS_[Conc.Sal.22]))))), 0)</f>
        <v>0</v>
      </c>
      <c r="AB92" s="209" t="n">
        <f aca="false" t="array" ref="AB92:AB92">IFERROR( AVERAGE((IF(DATOS_[[Sexo]:[Sexo]]=$B92,IF(DATOS_[[AGRUP. VALOR. PTO.]:[AGRUP. VALOR. PTO.]]=$B90,IF(DATOS_[[Check Periodo Ref.]:[Check Periodo Ref.]]="Dentro",DATOS_[Conc.Sal.23]))))), 0)</f>
        <v>0</v>
      </c>
      <c r="AC92" s="209" t="n">
        <f aca="false" t="array" ref="AC92:AC92">IFERROR( AVERAGE((IF(DATOS_[[Sexo]:[Sexo]]=$B92,IF(DATOS_[[AGRUP. VALOR. PTO.]:[AGRUP. VALOR. PTO.]]=$B90,IF(DATOS_[[Check Periodo Ref.]:[Check Periodo Ref.]]="Dentro",DATOS_[Conc.Sal.24]))))), 0)</f>
        <v>0</v>
      </c>
      <c r="AD92" s="209" t="n">
        <f aca="false" t="array" ref="AD92:AD92">IFERROR( AVERAGE((IF(DATOS_[[Sexo]:[Sexo]]=$B92,IF(DATOS_[[AGRUP. VALOR. PTO.]:[AGRUP. VALOR. PTO.]]=$B90,IF(DATOS_[[Check Periodo Ref.]:[Check Periodo Ref.]]="Dentro",DATOS_[Conc.Sal.25]))))), 0)</f>
        <v>0</v>
      </c>
      <c r="AE92" s="209" t="n">
        <f aca="false" t="array" ref="AE92:AE92">IFERROR( AVERAGE((IF(DATOS_[[Sexo]:[Sexo]]=$B92,IF(DATOS_[[AGRUP. VALOR. PTO.]:[AGRUP. VALOR. PTO.]]=$B90,IF(DATOS_[[Check Periodo Ref.]:[Check Periodo Ref.]]="Dentro",DATOS_[Conc.Sal.26]))))), 0)</f>
        <v>0</v>
      </c>
      <c r="AF92" s="209" t="n">
        <f aca="false" t="array" ref="AF92:AF92">IFERROR( AVERAGE((IF(DATOS_[[Sexo]:[Sexo]]=$B92,IF(DATOS_[[AGRUP. VALOR. PTO.]:[AGRUP. VALOR. PTO.]]=$B90,IF(DATOS_[[Check Periodo Ref.]:[Check Periodo Ref.]]="Dentro",DATOS_[Conc.Sal.27]))))), 0)</f>
        <v>0</v>
      </c>
      <c r="AG92" s="209" t="n">
        <f aca="false" t="array" ref="AG92:AG92">IFERROR( AVERAGE((IF(DATOS_[[Sexo]:[Sexo]]=$B92,IF(DATOS_[[AGRUP. VALOR. PTO.]:[AGRUP. VALOR. PTO.]]=$B90,IF(DATOS_[[Check Periodo Ref.]:[Check Periodo Ref.]]="Dentro",DATOS_[Conc.Sal.28]))))), 0)</f>
        <v>0</v>
      </c>
      <c r="AH92" s="209" t="n">
        <f aca="false" t="array" ref="AH92:AH92">IFERROR( AVERAGE((IF(DATOS_[[Sexo]:[Sexo]]=$B92,IF(DATOS_[[AGRUP. VALOR. PTO.]:[AGRUP. VALOR. PTO.]]=$B90,IF(DATOS_[[Check Periodo Ref.]:[Check Periodo Ref.]]="Dentro",DATOS_[Conc.Sal.29]))))), 0)</f>
        <v>0</v>
      </c>
      <c r="AI92" s="209" t="n">
        <f aca="false" t="array" ref="AI92:AI92">IFERROR( AVERAGE((IF(DATOS_[[Sexo]:[Sexo]]=$B92,IF(DATOS_[[AGRUP. VALOR. PTO.]:[AGRUP. VALOR. PTO.]]=$B90,IF(DATOS_[[Check Periodo Ref.]:[Check Periodo Ref.]]="Dentro",DATOS_[Conc.Sal.30]))))), 0)</f>
        <v>0</v>
      </c>
      <c r="AJ92" s="210" t="n">
        <f aca="false" t="array" ref="AJ92:AJ92">IFERROR( AVERAGE(IF(DATOS_[Sexo]=$B92,IF(DATOS_[AGRUP. VALOR. PTO.]=$B90,IF(DATOS_[Check Periodo Ref.]="Dentro",DATOS_[Tot COMPL.SAL Ef],0)))), 0)</f>
        <v>0</v>
      </c>
      <c r="AK92" s="211" t="n">
        <f aca="false" t="array" ref="AK92:AK92">IFERROR( AVERAGE(IF(DATOS_[Sexo]=$B92,IF(DATOS_[AGRUP. VALOR. PTO.]=$B90,IF(DATOS_[Check Periodo Ref.]="Dentro",DATOS_[TOTAL SALARIO Ef],0)))), 0)</f>
        <v>0</v>
      </c>
      <c r="AL92" s="212" t="n">
        <f aca="false" t="array" ref="AL92:AL92">IFERROR( AVERAGE((IF(DATOS_[[Sexo]:[Sexo]]=$B92,IF(DATOS_[[AGRUP. VALOR. PTO.]:[AGRUP. VALOR. PTO.]]=$B90,IF(DATOS_[[Check Periodo Ref.]:[Check Periodo Ref.]]="Dentro",DATOS_[C.Extra.01]))))), 0)</f>
        <v>0</v>
      </c>
      <c r="AM92" s="212" t="n">
        <f aca="false" t="array" ref="AM92:AM92">IFERROR( AVERAGE((IF(DATOS_[[Sexo]:[Sexo]]=$B92,IF(DATOS_[[AGRUP. VALOR. PTO.]:[AGRUP. VALOR. PTO.]]=$B90,IF(DATOS_[[Check Periodo Ref.]:[Check Periodo Ref.]]="Dentro",DATOS_[C.Extra.02]))))), 0)</f>
        <v>0</v>
      </c>
      <c r="AN92" s="212" t="n">
        <f aca="false" t="array" ref="AN92:AN92">IFERROR( AVERAGE((IF(DATOS_[[Sexo]:[Sexo]]=$B92,IF(DATOS_[[AGRUP. VALOR. PTO.]:[AGRUP. VALOR. PTO.]]=$B90,IF(DATOS_[[Check Periodo Ref.]:[Check Periodo Ref.]]="Dentro",DATOS_[C.Extra.03]))))), 0)</f>
        <v>0</v>
      </c>
      <c r="AO92" s="212" t="n">
        <f aca="false" t="array" ref="AO92:AO92">IFERROR( AVERAGE((IF(DATOS_[[Sexo]:[Sexo]]=$B92,IF(DATOS_[[AGRUP. VALOR. PTO.]:[AGRUP. VALOR. PTO.]]=$B90,IF(DATOS_[[Check Periodo Ref.]:[Check Periodo Ref.]]="Dentro",DATOS_[C.Extra.04]))))), 0)</f>
        <v>0</v>
      </c>
      <c r="AP92" s="212" t="n">
        <f aca="false" t="array" ref="AP92:AP92">IFERROR( AVERAGE((IF(DATOS_[[Sexo]:[Sexo]]=$B92,IF(DATOS_[[AGRUP. VALOR. PTO.]:[AGRUP. VALOR. PTO.]]=$B90,IF(DATOS_[[Check Periodo Ref.]:[Check Periodo Ref.]]="Dentro",DATOS_[C.Extra.05]))))), 0)</f>
        <v>0</v>
      </c>
      <c r="AQ92" s="213" t="n">
        <f aca="false" t="array" ref="AQ92:AQ92">IFERROR( AVERAGE(IF(DATOS_[Sexo]=$B92,IF(DATOS_[AGRUP. VALOR. PTO.]=$B90,IF(DATOS_[Check Periodo Ref.]="Dentro",DATOS_[Tot Extrasalarial Ef],0)))), 0)</f>
        <v>0</v>
      </c>
      <c r="AR92" s="214" t="n">
        <f aca="false" t="array" ref="AR92:AR92">IFERROR( AVERAGE(IF(DATOS_[Sexo]=$B92,IF(DATOS_[AGRUP. VALOR. PTO.]=$B90,IF(DATOS_[Check Periodo Ref.]="Dentro",DATOS_[TOTAL Retrib Ef],0)))), 0)</f>
        <v>0</v>
      </c>
    </row>
    <row r="93" customFormat="false" ht="15.75" hidden="false" customHeight="false" outlineLevel="0" collapsed="false">
      <c r="A93" s="191" t="str">
        <f aca="false">+A94</f>
        <v>[ocultar]</v>
      </c>
      <c r="B93" s="192" t="s">
        <v>247</v>
      </c>
      <c r="C93" s="193"/>
      <c r="D93" s="194"/>
      <c r="E93" s="195" t="str">
        <f aca="false">IFERROR((E94-E95)/E94,"")</f>
        <v/>
      </c>
      <c r="F93" s="196" t="str">
        <f aca="false">IFERROR((F94-F95)/F94,"")</f>
        <v/>
      </c>
      <c r="G93" s="197" t="str">
        <f aca="false">IFERROR((G94-G95)/G94,"")</f>
        <v/>
      </c>
      <c r="H93" s="197" t="str">
        <f aca="false">IFERROR((H94-H95)/H94,"")</f>
        <v/>
      </c>
      <c r="I93" s="197" t="str">
        <f aca="false">IFERROR((I94-I95)/I94,"")</f>
        <v/>
      </c>
      <c r="J93" s="198" t="str">
        <f aca="false">IFERROR((J94-J95)/J94,"")</f>
        <v/>
      </c>
      <c r="K93" s="199" t="str">
        <f aca="false">IFERROR((K94-K95)/K94,"")</f>
        <v/>
      </c>
      <c r="L93" s="199" t="str">
        <f aca="false">IFERROR((L94-L95)/L94,"")</f>
        <v/>
      </c>
      <c r="M93" s="199" t="str">
        <f aca="false">IFERROR((M94-M95)/M94,"")</f>
        <v/>
      </c>
      <c r="N93" s="199" t="str">
        <f aca="false">IFERROR((N94-N95)/N94,"")</f>
        <v/>
      </c>
      <c r="O93" s="199" t="str">
        <f aca="false">IFERROR((O94-O95)/O94,"")</f>
        <v/>
      </c>
      <c r="P93" s="199" t="str">
        <f aca="false">IFERROR((P94-P95)/P94,"")</f>
        <v/>
      </c>
      <c r="Q93" s="199" t="str">
        <f aca="false">IFERROR((Q94-Q95)/Q94,"")</f>
        <v/>
      </c>
      <c r="R93" s="199" t="str">
        <f aca="false">IFERROR((R94-R95)/R94,"")</f>
        <v/>
      </c>
      <c r="S93" s="199" t="str">
        <f aca="false">IFERROR((S94-S95)/S94,"")</f>
        <v/>
      </c>
      <c r="T93" s="199" t="str">
        <f aca="false">IFERROR((T94-T95)/T94,"")</f>
        <v/>
      </c>
      <c r="U93" s="199" t="str">
        <f aca="false">IFERROR((U94-U95)/U94,"")</f>
        <v/>
      </c>
      <c r="V93" s="198" t="str">
        <f aca="false">IFERROR((V94-V95)/V94,"")</f>
        <v/>
      </c>
      <c r="W93" s="198" t="str">
        <f aca="false">IFERROR((W94-W95)/W94,"")</f>
        <v/>
      </c>
      <c r="X93" s="198" t="str">
        <f aca="false">IFERROR((X94-X95)/X94,"")</f>
        <v/>
      </c>
      <c r="Y93" s="198" t="str">
        <f aca="false">IFERROR((Y94-Y95)/Y94,"")</f>
        <v/>
      </c>
      <c r="Z93" s="198" t="str">
        <f aca="false">IFERROR((Z94-Z95)/Z94,"")</f>
        <v/>
      </c>
      <c r="AA93" s="198" t="str">
        <f aca="false">IFERROR((AA94-AA95)/AA94,"")</f>
        <v/>
      </c>
      <c r="AB93" s="198" t="str">
        <f aca="false">IFERROR((AB94-AB95)/AB94,"")</f>
        <v/>
      </c>
      <c r="AC93" s="198" t="str">
        <f aca="false">IFERROR((AC94-AC95)/AC94,"")</f>
        <v/>
      </c>
      <c r="AD93" s="198" t="str">
        <f aca="false">IFERROR((AD94-AD95)/AD94,"")</f>
        <v/>
      </c>
      <c r="AE93" s="198" t="str">
        <f aca="false">IFERROR((AE94-AE95)/AE94,"")</f>
        <v/>
      </c>
      <c r="AF93" s="198" t="str">
        <f aca="false">IFERROR((AF94-AF95)/AF94,"")</f>
        <v/>
      </c>
      <c r="AG93" s="198" t="str">
        <f aca="false">IFERROR((AG94-AG95)/AG94,"")</f>
        <v/>
      </c>
      <c r="AH93" s="198" t="str">
        <f aca="false">IFERROR((AH94-AH95)/AH94,"")</f>
        <v/>
      </c>
      <c r="AI93" s="198" t="str">
        <f aca="false">IFERROR((AI94-AI95)/AI94,"")</f>
        <v/>
      </c>
      <c r="AJ93" s="200" t="str">
        <f aca="false">IFERROR((AJ94-AJ95)/AJ94,"")</f>
        <v/>
      </c>
      <c r="AK93" s="201" t="str">
        <f aca="false">IFERROR((AK94-AK95)/AK94,"")</f>
        <v/>
      </c>
      <c r="AL93" s="202" t="str">
        <f aca="false">IFERROR((AL94-AL95)/AL94,"")</f>
        <v/>
      </c>
      <c r="AM93" s="202" t="str">
        <f aca="false">IFERROR((AM94-AM95)/AM94,"")</f>
        <v/>
      </c>
      <c r="AN93" s="202" t="str">
        <f aca="false">IFERROR((AN94-AN95)/AN94,"")</f>
        <v/>
      </c>
      <c r="AO93" s="202" t="str">
        <f aca="false">IFERROR((AO94-AO95)/AO94,"")</f>
        <v/>
      </c>
      <c r="AP93" s="202" t="str">
        <f aca="false">IFERROR((AP94-AP95)/AP94,"")</f>
        <v/>
      </c>
      <c r="AQ93" s="203" t="str">
        <f aca="false">IFERROR((AQ94-AQ95)/AQ94,"")</f>
        <v/>
      </c>
      <c r="AR93" s="204" t="str">
        <f aca="false">IFERROR((AR94-AR95)/AR94,"")</f>
        <v/>
      </c>
    </row>
    <row r="94" customFormat="false" ht="14.25" hidden="false" customHeight="false" outlineLevel="0" collapsed="false">
      <c r="A94" s="191" t="str">
        <f aca="false">+IF(C94+C95=0,"[ocultar]","")</f>
        <v>[ocultar]</v>
      </c>
      <c r="B94" s="205" t="s">
        <v>371</v>
      </c>
      <c r="C94" s="206" t="n">
        <f aca="false" t="array" ref="C94:C94">SUM(IF($B94=DATOS_[Sexo], IF($B93=DATOS_[AGRUP. VALOR. PTO.], IF("Dentro"=DATOS_[Check Periodo Ref.], 1/(COUNTIFS(DATOS_[Sexo],$B94,DATOS_[AGRUP. VALOR. PTO.],$B93,DATOS_[Check Periodo Ref.],"Dentro",DATOS_[id],DATOS_[id]))))))</f>
        <v>0</v>
      </c>
      <c r="D94" s="207" t="n">
        <f aca="false">COUNTIFS(DATOS_[AGRUP. VALOR. PTO.],$B93,DATOS_[Sexo],$B94,DATOS_[Check Periodo Ref.],"Dentro")</f>
        <v>0</v>
      </c>
      <c r="E94" s="208" t="n">
        <f aca="false" t="array" ref="E94:E94">IFERROR( AVERAGE(IF(DATOS_[Sexo]=$B94,IF(DATOS_[AGRUP. VALOR. PTO.]=$B93,IF(DATOS_[Check Periodo Ref.]="Dentro",DATOS_[SALARIO BASE Ef],0)))), 0)</f>
        <v>0</v>
      </c>
      <c r="F94" s="209" t="n">
        <f aca="false" t="array" ref="F94:F94">IFERROR( AVERAGE((IF(DATOS_[[Sexo]:[Sexo]]=$B94,IF(DATOS_[[AGRUP. VALOR. PTO.]:[AGRUP. VALOR. PTO.]]=$B93,IF(DATOS_[[Check Periodo Ref.]:[Check Periodo Ref.]]="Dentro",DATOS_[Conc.Sal.01]))))), 0)</f>
        <v>0</v>
      </c>
      <c r="G94" s="209" t="n">
        <f aca="false" t="array" ref="G94:G94">IFERROR( AVERAGE((IF(DATOS_[[Sexo]:[Sexo]]=$B94,IF(DATOS_[[AGRUP. VALOR. PTO.]:[AGRUP. VALOR. PTO.]]=$B93,IF(DATOS_[[Check Periodo Ref.]:[Check Periodo Ref.]]="Dentro",DATOS_[Conc.Sal.02]))))), 0)</f>
        <v>0</v>
      </c>
      <c r="H94" s="209" t="n">
        <f aca="false" t="array" ref="H94:H94">IFERROR( AVERAGE((IF(DATOS_[[Sexo]:[Sexo]]=$B94,IF(DATOS_[[AGRUP. VALOR. PTO.]:[AGRUP. VALOR. PTO.]]=$B93,IF(DATOS_[[Check Periodo Ref.]:[Check Periodo Ref.]]="Dentro",DATOS_[Conc.Sal.03]))))), 0)</f>
        <v>0</v>
      </c>
      <c r="I94" s="209" t="n">
        <f aca="false" t="array" ref="I94:I94">IFERROR( AVERAGE((IF(DATOS_[[Sexo]:[Sexo]]=$B94,IF(DATOS_[[AGRUP. VALOR. PTO.]:[AGRUP. VALOR. PTO.]]=$B93,IF(DATOS_[[Check Periodo Ref.]:[Check Periodo Ref.]]="Dentro",DATOS_[Conc.Sal.04]))))), 0)</f>
        <v>0</v>
      </c>
      <c r="J94" s="209" t="n">
        <f aca="false" t="array" ref="J94:J94">IFERROR( AVERAGE((IF(DATOS_[[Sexo]:[Sexo]]=$B94,IF(DATOS_[[AGRUP. VALOR. PTO.]:[AGRUP. VALOR. PTO.]]=$B93,IF(DATOS_[[Check Periodo Ref.]:[Check Periodo Ref.]]="Dentro",DATOS_[Conc.Sal.05]))))), 0)</f>
        <v>0</v>
      </c>
      <c r="K94" s="209" t="n">
        <f aca="false" t="array" ref="K94:K94">IFERROR( AVERAGE((IF(DATOS_[[Sexo]:[Sexo]]=$B94,IF(DATOS_[[AGRUP. VALOR. PTO.]:[AGRUP. VALOR. PTO.]]=$B93,IF(DATOS_[[Check Periodo Ref.]:[Check Periodo Ref.]]="Dentro",DATOS_[Conc.Sal.06]))))), 0)</f>
        <v>0</v>
      </c>
      <c r="L94" s="209" t="n">
        <f aca="false" t="array" ref="L94:L94">IFERROR( AVERAGE((IF(DATOS_[[Sexo]:[Sexo]]=$B94,IF(DATOS_[[AGRUP. VALOR. PTO.]:[AGRUP. VALOR. PTO.]]=$B93,IF(DATOS_[[Check Periodo Ref.]:[Check Periodo Ref.]]="Dentro",DATOS_[Conc.Sal.07]))))), 0)</f>
        <v>0</v>
      </c>
      <c r="M94" s="209" t="n">
        <f aca="false" t="array" ref="M94:M94">IFERROR( AVERAGE((IF(DATOS_[[Sexo]:[Sexo]]=$B94,IF(DATOS_[[AGRUP. VALOR. PTO.]:[AGRUP. VALOR. PTO.]]=$B93,IF(DATOS_[[Check Periodo Ref.]:[Check Periodo Ref.]]="Dentro",DATOS_[Conc.Sal.08]))))), 0)</f>
        <v>0</v>
      </c>
      <c r="N94" s="209" t="n">
        <f aca="false" t="array" ref="N94:N94">IFERROR( AVERAGE((IF(DATOS_[[Sexo]:[Sexo]]=$B94,IF(DATOS_[[AGRUP. VALOR. PTO.]:[AGRUP. VALOR. PTO.]]=$B93,IF(DATOS_[[Check Periodo Ref.]:[Check Periodo Ref.]]="Dentro",DATOS_[Conc.Sal.09]))))), 0)</f>
        <v>0</v>
      </c>
      <c r="O94" s="209" t="n">
        <f aca="false" t="array" ref="O94:O94">IFERROR( AVERAGE((IF(DATOS_[[Sexo]:[Sexo]]=$B94,IF(DATOS_[[AGRUP. VALOR. PTO.]:[AGRUP. VALOR. PTO.]]=$B93,IF(DATOS_[[Check Periodo Ref.]:[Check Periodo Ref.]]="Dentro",DATOS_[Conc.Sal.10]))))), 0)</f>
        <v>0</v>
      </c>
      <c r="P94" s="209" t="n">
        <f aca="false" t="array" ref="P94:P94">IFERROR( AVERAGE((IF(DATOS_[[Sexo]:[Sexo]]=$B94,IF(DATOS_[[AGRUP. VALOR. PTO.]:[AGRUP. VALOR. PTO.]]=$B93,IF(DATOS_[[Check Periodo Ref.]:[Check Periodo Ref.]]="Dentro",DATOS_[Conc.Sal.11]))))), 0)</f>
        <v>0</v>
      </c>
      <c r="Q94" s="209" t="n">
        <f aca="false" t="array" ref="Q94:Q94">IFERROR( AVERAGE((IF(DATOS_[[Sexo]:[Sexo]]=$B94,IF(DATOS_[[AGRUP. VALOR. PTO.]:[AGRUP. VALOR. PTO.]]=$B93,IF(DATOS_[[Check Periodo Ref.]:[Check Periodo Ref.]]="Dentro",DATOS_[Conc.Sal.12]))))), 0)</f>
        <v>0</v>
      </c>
      <c r="R94" s="209" t="n">
        <f aca="false" t="array" ref="R94:R94">IFERROR( AVERAGE((IF(DATOS_[[Sexo]:[Sexo]]=$B94,IF(DATOS_[[AGRUP. VALOR. PTO.]:[AGRUP. VALOR. PTO.]]=$B93,IF(DATOS_[[Check Periodo Ref.]:[Check Periodo Ref.]]="Dentro",DATOS_[Conc.Sal.13]))))), 0)</f>
        <v>0</v>
      </c>
      <c r="S94" s="209" t="n">
        <f aca="false" t="array" ref="S94:S94">IFERROR( AVERAGE((IF(DATOS_[[Sexo]:[Sexo]]=$B94,IF(DATOS_[[AGRUP. VALOR. PTO.]:[AGRUP. VALOR. PTO.]]=$B93,IF(DATOS_[[Check Periodo Ref.]:[Check Periodo Ref.]]="Dentro",DATOS_[Conc.Sal.14]))))), 0)</f>
        <v>0</v>
      </c>
      <c r="T94" s="209" t="n">
        <f aca="false" t="array" ref="T94:T94">IFERROR( AVERAGE((IF(DATOS_[[Sexo]:[Sexo]]=$B94,IF(DATOS_[[AGRUP. VALOR. PTO.]:[AGRUP. VALOR. PTO.]]=$B93,IF(DATOS_[[Check Periodo Ref.]:[Check Periodo Ref.]]="Dentro",DATOS_[Conc.Sal.15]))))), 0)</f>
        <v>0</v>
      </c>
      <c r="U94" s="209" t="n">
        <f aca="false" t="array" ref="U94:U94">IFERROR( AVERAGE((IF(DATOS_[[Sexo]:[Sexo]]=$B94,IF(DATOS_[[AGRUP. VALOR. PTO.]:[AGRUP. VALOR. PTO.]]=$B93,IF(DATOS_[[Check Periodo Ref.]:[Check Periodo Ref.]]="Dentro",DATOS_[Conc.Sal.16]))))), 0)</f>
        <v>0</v>
      </c>
      <c r="V94" s="209" t="n">
        <f aca="false" t="array" ref="V94:V94">IFERROR( AVERAGE((IF(DATOS_[[Sexo]:[Sexo]]=$B94,IF(DATOS_[[AGRUP. VALOR. PTO.]:[AGRUP. VALOR. PTO.]]=$B93,IF(DATOS_[[Check Periodo Ref.]:[Check Periodo Ref.]]="Dentro",DATOS_[Conc.Sal.17]))))), 0)</f>
        <v>0</v>
      </c>
      <c r="W94" s="209" t="n">
        <f aca="false" t="array" ref="W94:W94">IFERROR( AVERAGE((IF(DATOS_[[Sexo]:[Sexo]]=$B94,IF(DATOS_[[AGRUP. VALOR. PTO.]:[AGRUP. VALOR. PTO.]]=$B93,IF(DATOS_[[Check Periodo Ref.]:[Check Periodo Ref.]]="Dentro",DATOS_[Conc.Sal.18]))))), 0)</f>
        <v>0</v>
      </c>
      <c r="X94" s="209" t="n">
        <f aca="false" t="array" ref="X94:X94">IFERROR( AVERAGE((IF(DATOS_[[Sexo]:[Sexo]]=$B94,IF(DATOS_[[AGRUP. VALOR. PTO.]:[AGRUP. VALOR. PTO.]]=$B93,IF(DATOS_[[Check Periodo Ref.]:[Check Periodo Ref.]]="Dentro",DATOS_[Conc.Sal.19]))))), 0)</f>
        <v>0</v>
      </c>
      <c r="Y94" s="209" t="n">
        <f aca="false" t="array" ref="Y94:Y94">IFERROR( AVERAGE((IF(DATOS_[[Sexo]:[Sexo]]=$B94,IF(DATOS_[[AGRUP. VALOR. PTO.]:[AGRUP. VALOR. PTO.]]=$B93,IF(DATOS_[[Check Periodo Ref.]:[Check Periodo Ref.]]="Dentro",DATOS_[Conc.Sal.20]))))), 0)</f>
        <v>0</v>
      </c>
      <c r="Z94" s="209" t="n">
        <f aca="false" t="array" ref="Z94:Z94">IFERROR( AVERAGE((IF(DATOS_[[Sexo]:[Sexo]]=$B94,IF(DATOS_[[AGRUP. VALOR. PTO.]:[AGRUP. VALOR. PTO.]]=$B93,IF(DATOS_[[Check Periodo Ref.]:[Check Periodo Ref.]]="Dentro",DATOS_[Conc.Sal.21]))))), 0)</f>
        <v>0</v>
      </c>
      <c r="AA94" s="209" t="n">
        <f aca="false" t="array" ref="AA94:AA94">IFERROR( AVERAGE((IF(DATOS_[[Sexo]:[Sexo]]=$B94,IF(DATOS_[[AGRUP. VALOR. PTO.]:[AGRUP. VALOR. PTO.]]=$B93,IF(DATOS_[[Check Periodo Ref.]:[Check Periodo Ref.]]="Dentro",DATOS_[Conc.Sal.22]))))), 0)</f>
        <v>0</v>
      </c>
      <c r="AB94" s="209" t="n">
        <f aca="false" t="array" ref="AB94:AB94">IFERROR( AVERAGE((IF(DATOS_[[Sexo]:[Sexo]]=$B94,IF(DATOS_[[AGRUP. VALOR. PTO.]:[AGRUP. VALOR. PTO.]]=$B93,IF(DATOS_[[Check Periodo Ref.]:[Check Periodo Ref.]]="Dentro",DATOS_[Conc.Sal.23]))))), 0)</f>
        <v>0</v>
      </c>
      <c r="AC94" s="209" t="n">
        <f aca="false" t="array" ref="AC94:AC94">IFERROR( AVERAGE((IF(DATOS_[[Sexo]:[Sexo]]=$B94,IF(DATOS_[[AGRUP. VALOR. PTO.]:[AGRUP. VALOR. PTO.]]=$B93,IF(DATOS_[[Check Periodo Ref.]:[Check Periodo Ref.]]="Dentro",DATOS_[Conc.Sal.24]))))), 0)</f>
        <v>0</v>
      </c>
      <c r="AD94" s="209" t="n">
        <f aca="false" t="array" ref="AD94:AD94">IFERROR( AVERAGE((IF(DATOS_[[Sexo]:[Sexo]]=$B94,IF(DATOS_[[AGRUP. VALOR. PTO.]:[AGRUP. VALOR. PTO.]]=$B93,IF(DATOS_[[Check Periodo Ref.]:[Check Periodo Ref.]]="Dentro",DATOS_[Conc.Sal.25]))))), 0)</f>
        <v>0</v>
      </c>
      <c r="AE94" s="209" t="n">
        <f aca="false" t="array" ref="AE94:AE94">IFERROR( AVERAGE((IF(DATOS_[[Sexo]:[Sexo]]=$B94,IF(DATOS_[[AGRUP. VALOR. PTO.]:[AGRUP. VALOR. PTO.]]=$B93,IF(DATOS_[[Check Periodo Ref.]:[Check Periodo Ref.]]="Dentro",DATOS_[Conc.Sal.26]))))), 0)</f>
        <v>0</v>
      </c>
      <c r="AF94" s="209" t="n">
        <f aca="false" t="array" ref="AF94:AF94">IFERROR( AVERAGE((IF(DATOS_[[Sexo]:[Sexo]]=$B94,IF(DATOS_[[AGRUP. VALOR. PTO.]:[AGRUP. VALOR. PTO.]]=$B93,IF(DATOS_[[Check Periodo Ref.]:[Check Periodo Ref.]]="Dentro",DATOS_[Conc.Sal.27]))))), 0)</f>
        <v>0</v>
      </c>
      <c r="AG94" s="209" t="n">
        <f aca="false" t="array" ref="AG94:AG94">IFERROR( AVERAGE((IF(DATOS_[[Sexo]:[Sexo]]=$B94,IF(DATOS_[[AGRUP. VALOR. PTO.]:[AGRUP. VALOR. PTO.]]=$B93,IF(DATOS_[[Check Periodo Ref.]:[Check Periodo Ref.]]="Dentro",DATOS_[Conc.Sal.28]))))), 0)</f>
        <v>0</v>
      </c>
      <c r="AH94" s="209" t="n">
        <f aca="false" t="array" ref="AH94:AH94">IFERROR( AVERAGE((IF(DATOS_[[Sexo]:[Sexo]]=$B94,IF(DATOS_[[AGRUP. VALOR. PTO.]:[AGRUP. VALOR. PTO.]]=$B93,IF(DATOS_[[Check Periodo Ref.]:[Check Periodo Ref.]]="Dentro",DATOS_[Conc.Sal.29]))))), 0)</f>
        <v>0</v>
      </c>
      <c r="AI94" s="209" t="n">
        <f aca="false" t="array" ref="AI94:AI94">IFERROR( AVERAGE((IF(DATOS_[[Sexo]:[Sexo]]=$B94,IF(DATOS_[[AGRUP. VALOR. PTO.]:[AGRUP. VALOR. PTO.]]=$B93,IF(DATOS_[[Check Periodo Ref.]:[Check Periodo Ref.]]="Dentro",DATOS_[Conc.Sal.30]))))), 0)</f>
        <v>0</v>
      </c>
      <c r="AJ94" s="210" t="n">
        <f aca="false" t="array" ref="AJ94:AJ94">IFERROR( AVERAGE(IF(DATOS_[Sexo]=$B94,IF(DATOS_[AGRUP. VALOR. PTO.]=$B93,IF(DATOS_[Check Periodo Ref.]="Dentro",DATOS_[Tot COMPL.SAL Ef],0)))), 0)</f>
        <v>0</v>
      </c>
      <c r="AK94" s="211" t="n">
        <f aca="false" t="array" ref="AK94:AK94">IFERROR( AVERAGE(IF(DATOS_[Sexo]=$B94,IF(DATOS_[AGRUP. VALOR. PTO.]=$B93,IF(DATOS_[Check Periodo Ref.]="Dentro",DATOS_[TOTAL SALARIO Ef],0)))), 0)</f>
        <v>0</v>
      </c>
      <c r="AL94" s="212" t="n">
        <f aca="false" t="array" ref="AL94:AL94">IFERROR( AVERAGE((IF(DATOS_[[Sexo]:[Sexo]]=$B94,IF(DATOS_[[AGRUP. VALOR. PTO.]:[AGRUP. VALOR. PTO.]]=$B93,IF(DATOS_[[Check Periodo Ref.]:[Check Periodo Ref.]]="Dentro",DATOS_[C.Extra.01]))))), 0)</f>
        <v>0</v>
      </c>
      <c r="AM94" s="212" t="n">
        <f aca="false" t="array" ref="AM94:AM94">IFERROR( AVERAGE((IF(DATOS_[[Sexo]:[Sexo]]=$B94,IF(DATOS_[[AGRUP. VALOR. PTO.]:[AGRUP. VALOR. PTO.]]=$B93,IF(DATOS_[[Check Periodo Ref.]:[Check Periodo Ref.]]="Dentro",DATOS_[C.Extra.02]))))), 0)</f>
        <v>0</v>
      </c>
      <c r="AN94" s="212" t="n">
        <f aca="false" t="array" ref="AN94:AN94">IFERROR( AVERAGE((IF(DATOS_[[Sexo]:[Sexo]]=$B94,IF(DATOS_[[AGRUP. VALOR. PTO.]:[AGRUP. VALOR. PTO.]]=$B93,IF(DATOS_[[Check Periodo Ref.]:[Check Periodo Ref.]]="Dentro",DATOS_[C.Extra.03]))))), 0)</f>
        <v>0</v>
      </c>
      <c r="AO94" s="212" t="n">
        <f aca="false" t="array" ref="AO94:AO94">IFERROR( AVERAGE((IF(DATOS_[[Sexo]:[Sexo]]=$B94,IF(DATOS_[[AGRUP. VALOR. PTO.]:[AGRUP. VALOR. PTO.]]=$B93,IF(DATOS_[[Check Periodo Ref.]:[Check Periodo Ref.]]="Dentro",DATOS_[C.Extra.04]))))), 0)</f>
        <v>0</v>
      </c>
      <c r="AP94" s="212" t="n">
        <f aca="false" t="array" ref="AP94:AP94">IFERROR( AVERAGE((IF(DATOS_[[Sexo]:[Sexo]]=$B94,IF(DATOS_[[AGRUP. VALOR. PTO.]:[AGRUP. VALOR. PTO.]]=$B93,IF(DATOS_[[Check Periodo Ref.]:[Check Periodo Ref.]]="Dentro",DATOS_[C.Extra.05]))))), 0)</f>
        <v>0</v>
      </c>
      <c r="AQ94" s="213" t="n">
        <f aca="false" t="array" ref="AQ94:AQ94">IFERROR( AVERAGE(IF(DATOS_[Sexo]=$B94,IF(DATOS_[AGRUP. VALOR. PTO.]=$B93,IF(DATOS_[Check Periodo Ref.]="Dentro",DATOS_[Tot Extrasalarial Ef],0)))), 0)</f>
        <v>0</v>
      </c>
      <c r="AR94" s="214" t="n">
        <f aca="false" t="array" ref="AR94:AR94">IFERROR( AVERAGE(IF(DATOS_[Sexo]=$B94,IF(DATOS_[AGRUP. VALOR. PTO.]=$B93,IF(DATOS_[Check Periodo Ref.]="Dentro",DATOS_[TOTAL Retrib Ef],0)))), 0)</f>
        <v>0</v>
      </c>
    </row>
    <row r="95" customFormat="false" ht="14.25" hidden="false" customHeight="false" outlineLevel="0" collapsed="false">
      <c r="A95" s="191" t="str">
        <f aca="false">+A94</f>
        <v>[ocultar]</v>
      </c>
      <c r="B95" s="205" t="s">
        <v>372</v>
      </c>
      <c r="C95" s="206" t="n">
        <f aca="false" t="array" ref="C95:C95">SUM(IF($B95=DATOS_[Sexo], IF($B93=DATOS_[AGRUP. VALOR. PTO.], IF("Dentro"=DATOS_[Check Periodo Ref.], 1/(COUNTIFS(DATOS_[Sexo],$B95,DATOS_[AGRUP. VALOR. PTO.],$B93,DATOS_[Check Periodo Ref.],"Dentro",DATOS_[id],DATOS_[id]))))))</f>
        <v>0</v>
      </c>
      <c r="D95" s="207" t="n">
        <f aca="false">COUNTIFS(DATOS_[AGRUP. VALOR. PTO.],$B93,DATOS_[Sexo],$B95,DATOS_[Check Periodo Ref.],"Dentro")</f>
        <v>0</v>
      </c>
      <c r="E95" s="208" t="n">
        <f aca="false" t="array" ref="E95:E95">IFERROR( AVERAGE(IF(DATOS_[Sexo]=$B95,IF(DATOS_[AGRUP. VALOR. PTO.]=$B93,IF(DATOS_[Check Periodo Ref.]="Dentro",DATOS_[SALARIO BASE Ef],0)))), 0)</f>
        <v>0</v>
      </c>
      <c r="F95" s="209" t="n">
        <f aca="false" t="array" ref="F95:F95">IFERROR( AVERAGE((IF(DATOS_[[Sexo]:[Sexo]]=$B95,IF(DATOS_[[AGRUP. VALOR. PTO.]:[AGRUP. VALOR. PTO.]]=$B93,IF(DATOS_[[Check Periodo Ref.]:[Check Periodo Ref.]]="Dentro",DATOS_[Conc.Sal.01]))))), 0)</f>
        <v>0</v>
      </c>
      <c r="G95" s="209" t="n">
        <f aca="false" t="array" ref="G95:G95">IFERROR( AVERAGE((IF(DATOS_[[Sexo]:[Sexo]]=$B95,IF(DATOS_[[AGRUP. VALOR. PTO.]:[AGRUP. VALOR. PTO.]]=$B93,IF(DATOS_[[Check Periodo Ref.]:[Check Periodo Ref.]]="Dentro",DATOS_[Conc.Sal.02]))))), 0)</f>
        <v>0</v>
      </c>
      <c r="H95" s="209" t="n">
        <f aca="false" t="array" ref="H95:H95">IFERROR( AVERAGE((IF(DATOS_[[Sexo]:[Sexo]]=$B95,IF(DATOS_[[AGRUP. VALOR. PTO.]:[AGRUP. VALOR. PTO.]]=$B93,IF(DATOS_[[Check Periodo Ref.]:[Check Periodo Ref.]]="Dentro",DATOS_[Conc.Sal.03]))))), 0)</f>
        <v>0</v>
      </c>
      <c r="I95" s="209" t="n">
        <f aca="false" t="array" ref="I95:I95">IFERROR( AVERAGE((IF(DATOS_[[Sexo]:[Sexo]]=$B95,IF(DATOS_[[AGRUP. VALOR. PTO.]:[AGRUP. VALOR. PTO.]]=$B93,IF(DATOS_[[Check Periodo Ref.]:[Check Periodo Ref.]]="Dentro",DATOS_[Conc.Sal.04]))))), 0)</f>
        <v>0</v>
      </c>
      <c r="J95" s="209" t="n">
        <f aca="false" t="array" ref="J95:J95">IFERROR( AVERAGE((IF(DATOS_[[Sexo]:[Sexo]]=$B95,IF(DATOS_[[AGRUP. VALOR. PTO.]:[AGRUP. VALOR. PTO.]]=$B93,IF(DATOS_[[Check Periodo Ref.]:[Check Periodo Ref.]]="Dentro",DATOS_[Conc.Sal.05]))))), 0)</f>
        <v>0</v>
      </c>
      <c r="K95" s="209" t="n">
        <f aca="false" t="array" ref="K95:K95">IFERROR( AVERAGE((IF(DATOS_[[Sexo]:[Sexo]]=$B95,IF(DATOS_[[AGRUP. VALOR. PTO.]:[AGRUP. VALOR. PTO.]]=$B93,IF(DATOS_[[Check Periodo Ref.]:[Check Periodo Ref.]]="Dentro",DATOS_[Conc.Sal.06]))))), 0)</f>
        <v>0</v>
      </c>
      <c r="L95" s="209" t="n">
        <f aca="false" t="array" ref="L95:L95">IFERROR( AVERAGE((IF(DATOS_[[Sexo]:[Sexo]]=$B95,IF(DATOS_[[AGRUP. VALOR. PTO.]:[AGRUP. VALOR. PTO.]]=$B93,IF(DATOS_[[Check Periodo Ref.]:[Check Periodo Ref.]]="Dentro",DATOS_[Conc.Sal.07]))))), 0)</f>
        <v>0</v>
      </c>
      <c r="M95" s="209" t="n">
        <f aca="false" t="array" ref="M95:M95">IFERROR( AVERAGE((IF(DATOS_[[Sexo]:[Sexo]]=$B95,IF(DATOS_[[AGRUP. VALOR. PTO.]:[AGRUP. VALOR. PTO.]]=$B93,IF(DATOS_[[Check Periodo Ref.]:[Check Periodo Ref.]]="Dentro",DATOS_[Conc.Sal.08]))))), 0)</f>
        <v>0</v>
      </c>
      <c r="N95" s="209" t="n">
        <f aca="false" t="array" ref="N95:N95">IFERROR( AVERAGE((IF(DATOS_[[Sexo]:[Sexo]]=$B95,IF(DATOS_[[AGRUP. VALOR. PTO.]:[AGRUP. VALOR. PTO.]]=$B93,IF(DATOS_[[Check Periodo Ref.]:[Check Periodo Ref.]]="Dentro",DATOS_[Conc.Sal.09]))))), 0)</f>
        <v>0</v>
      </c>
      <c r="O95" s="209" t="n">
        <f aca="false" t="array" ref="O95:O95">IFERROR( AVERAGE((IF(DATOS_[[Sexo]:[Sexo]]=$B95,IF(DATOS_[[AGRUP. VALOR. PTO.]:[AGRUP. VALOR. PTO.]]=$B93,IF(DATOS_[[Check Periodo Ref.]:[Check Periodo Ref.]]="Dentro",DATOS_[Conc.Sal.10]))))), 0)</f>
        <v>0</v>
      </c>
      <c r="P95" s="209" t="n">
        <f aca="false" t="array" ref="P95:P95">IFERROR( AVERAGE((IF(DATOS_[[Sexo]:[Sexo]]=$B95,IF(DATOS_[[AGRUP. VALOR. PTO.]:[AGRUP. VALOR. PTO.]]=$B93,IF(DATOS_[[Check Periodo Ref.]:[Check Periodo Ref.]]="Dentro",DATOS_[Conc.Sal.11]))))), 0)</f>
        <v>0</v>
      </c>
      <c r="Q95" s="209" t="n">
        <f aca="false" t="array" ref="Q95:Q95">IFERROR( AVERAGE((IF(DATOS_[[Sexo]:[Sexo]]=$B95,IF(DATOS_[[AGRUP. VALOR. PTO.]:[AGRUP. VALOR. PTO.]]=$B93,IF(DATOS_[[Check Periodo Ref.]:[Check Periodo Ref.]]="Dentro",DATOS_[Conc.Sal.12]))))), 0)</f>
        <v>0</v>
      </c>
      <c r="R95" s="209" t="n">
        <f aca="false" t="array" ref="R95:R95">IFERROR( AVERAGE((IF(DATOS_[[Sexo]:[Sexo]]=$B95,IF(DATOS_[[AGRUP. VALOR. PTO.]:[AGRUP. VALOR. PTO.]]=$B93,IF(DATOS_[[Check Periodo Ref.]:[Check Periodo Ref.]]="Dentro",DATOS_[Conc.Sal.13]))))), 0)</f>
        <v>0</v>
      </c>
      <c r="S95" s="209" t="n">
        <f aca="false" t="array" ref="S95:S95">IFERROR( AVERAGE((IF(DATOS_[[Sexo]:[Sexo]]=$B95,IF(DATOS_[[AGRUP. VALOR. PTO.]:[AGRUP. VALOR. PTO.]]=$B93,IF(DATOS_[[Check Periodo Ref.]:[Check Periodo Ref.]]="Dentro",DATOS_[Conc.Sal.14]))))), 0)</f>
        <v>0</v>
      </c>
      <c r="T95" s="209" t="n">
        <f aca="false" t="array" ref="T95:T95">IFERROR( AVERAGE((IF(DATOS_[[Sexo]:[Sexo]]=$B95,IF(DATOS_[[AGRUP. VALOR. PTO.]:[AGRUP. VALOR. PTO.]]=$B93,IF(DATOS_[[Check Periodo Ref.]:[Check Periodo Ref.]]="Dentro",DATOS_[Conc.Sal.15]))))), 0)</f>
        <v>0</v>
      </c>
      <c r="U95" s="209" t="n">
        <f aca="false" t="array" ref="U95:U95">IFERROR( AVERAGE((IF(DATOS_[[Sexo]:[Sexo]]=$B95,IF(DATOS_[[AGRUP. VALOR. PTO.]:[AGRUP. VALOR. PTO.]]=$B93,IF(DATOS_[[Check Periodo Ref.]:[Check Periodo Ref.]]="Dentro",DATOS_[Conc.Sal.16]))))), 0)</f>
        <v>0</v>
      </c>
      <c r="V95" s="209" t="n">
        <f aca="false" t="array" ref="V95:V95">IFERROR( AVERAGE((IF(DATOS_[[Sexo]:[Sexo]]=$B95,IF(DATOS_[[AGRUP. VALOR. PTO.]:[AGRUP. VALOR. PTO.]]=$B93,IF(DATOS_[[Check Periodo Ref.]:[Check Periodo Ref.]]="Dentro",DATOS_[Conc.Sal.17]))))), 0)</f>
        <v>0</v>
      </c>
      <c r="W95" s="209" t="n">
        <f aca="false" t="array" ref="W95:W95">IFERROR( AVERAGE((IF(DATOS_[[Sexo]:[Sexo]]=$B95,IF(DATOS_[[AGRUP. VALOR. PTO.]:[AGRUP. VALOR. PTO.]]=$B93,IF(DATOS_[[Check Periodo Ref.]:[Check Periodo Ref.]]="Dentro",DATOS_[Conc.Sal.18]))))), 0)</f>
        <v>0</v>
      </c>
      <c r="X95" s="209" t="n">
        <f aca="false" t="array" ref="X95:X95">IFERROR( AVERAGE((IF(DATOS_[[Sexo]:[Sexo]]=$B95,IF(DATOS_[[AGRUP. VALOR. PTO.]:[AGRUP. VALOR. PTO.]]=$B93,IF(DATOS_[[Check Periodo Ref.]:[Check Periodo Ref.]]="Dentro",DATOS_[Conc.Sal.19]))))), 0)</f>
        <v>0</v>
      </c>
      <c r="Y95" s="209" t="n">
        <f aca="false" t="array" ref="Y95:Y95">IFERROR( AVERAGE((IF(DATOS_[[Sexo]:[Sexo]]=$B95,IF(DATOS_[[AGRUP. VALOR. PTO.]:[AGRUP. VALOR. PTO.]]=$B93,IF(DATOS_[[Check Periodo Ref.]:[Check Periodo Ref.]]="Dentro",DATOS_[Conc.Sal.20]))))), 0)</f>
        <v>0</v>
      </c>
      <c r="Z95" s="209" t="n">
        <f aca="false" t="array" ref="Z95:Z95">IFERROR( AVERAGE((IF(DATOS_[[Sexo]:[Sexo]]=$B95,IF(DATOS_[[AGRUP. VALOR. PTO.]:[AGRUP. VALOR. PTO.]]=$B93,IF(DATOS_[[Check Periodo Ref.]:[Check Periodo Ref.]]="Dentro",DATOS_[Conc.Sal.21]))))), 0)</f>
        <v>0</v>
      </c>
      <c r="AA95" s="209" t="n">
        <f aca="false" t="array" ref="AA95:AA95">IFERROR( AVERAGE((IF(DATOS_[[Sexo]:[Sexo]]=$B95,IF(DATOS_[[AGRUP. VALOR. PTO.]:[AGRUP. VALOR. PTO.]]=$B93,IF(DATOS_[[Check Periodo Ref.]:[Check Periodo Ref.]]="Dentro",DATOS_[Conc.Sal.22]))))), 0)</f>
        <v>0</v>
      </c>
      <c r="AB95" s="209" t="n">
        <f aca="false" t="array" ref="AB95:AB95">IFERROR( AVERAGE((IF(DATOS_[[Sexo]:[Sexo]]=$B95,IF(DATOS_[[AGRUP. VALOR. PTO.]:[AGRUP. VALOR. PTO.]]=$B93,IF(DATOS_[[Check Periodo Ref.]:[Check Periodo Ref.]]="Dentro",DATOS_[Conc.Sal.23]))))), 0)</f>
        <v>0</v>
      </c>
      <c r="AC95" s="209" t="n">
        <f aca="false" t="array" ref="AC95:AC95">IFERROR( AVERAGE((IF(DATOS_[[Sexo]:[Sexo]]=$B95,IF(DATOS_[[AGRUP. VALOR. PTO.]:[AGRUP. VALOR. PTO.]]=$B93,IF(DATOS_[[Check Periodo Ref.]:[Check Periodo Ref.]]="Dentro",DATOS_[Conc.Sal.24]))))), 0)</f>
        <v>0</v>
      </c>
      <c r="AD95" s="209" t="n">
        <f aca="false" t="array" ref="AD95:AD95">IFERROR( AVERAGE((IF(DATOS_[[Sexo]:[Sexo]]=$B95,IF(DATOS_[[AGRUP. VALOR. PTO.]:[AGRUP. VALOR. PTO.]]=$B93,IF(DATOS_[[Check Periodo Ref.]:[Check Periodo Ref.]]="Dentro",DATOS_[Conc.Sal.25]))))), 0)</f>
        <v>0</v>
      </c>
      <c r="AE95" s="209" t="n">
        <f aca="false" t="array" ref="AE95:AE95">IFERROR( AVERAGE((IF(DATOS_[[Sexo]:[Sexo]]=$B95,IF(DATOS_[[AGRUP. VALOR. PTO.]:[AGRUP. VALOR. PTO.]]=$B93,IF(DATOS_[[Check Periodo Ref.]:[Check Periodo Ref.]]="Dentro",DATOS_[Conc.Sal.26]))))), 0)</f>
        <v>0</v>
      </c>
      <c r="AF95" s="209" t="n">
        <f aca="false" t="array" ref="AF95:AF95">IFERROR( AVERAGE((IF(DATOS_[[Sexo]:[Sexo]]=$B95,IF(DATOS_[[AGRUP. VALOR. PTO.]:[AGRUP. VALOR. PTO.]]=$B93,IF(DATOS_[[Check Periodo Ref.]:[Check Periodo Ref.]]="Dentro",DATOS_[Conc.Sal.27]))))), 0)</f>
        <v>0</v>
      </c>
      <c r="AG95" s="209" t="n">
        <f aca="false" t="array" ref="AG95:AG95">IFERROR( AVERAGE((IF(DATOS_[[Sexo]:[Sexo]]=$B95,IF(DATOS_[[AGRUP. VALOR. PTO.]:[AGRUP. VALOR. PTO.]]=$B93,IF(DATOS_[[Check Periodo Ref.]:[Check Periodo Ref.]]="Dentro",DATOS_[Conc.Sal.28]))))), 0)</f>
        <v>0</v>
      </c>
      <c r="AH95" s="209" t="n">
        <f aca="false" t="array" ref="AH95:AH95">IFERROR( AVERAGE((IF(DATOS_[[Sexo]:[Sexo]]=$B95,IF(DATOS_[[AGRUP. VALOR. PTO.]:[AGRUP. VALOR. PTO.]]=$B93,IF(DATOS_[[Check Periodo Ref.]:[Check Periodo Ref.]]="Dentro",DATOS_[Conc.Sal.29]))))), 0)</f>
        <v>0</v>
      </c>
      <c r="AI95" s="209" t="n">
        <f aca="false" t="array" ref="AI95:AI95">IFERROR( AVERAGE((IF(DATOS_[[Sexo]:[Sexo]]=$B95,IF(DATOS_[[AGRUP. VALOR. PTO.]:[AGRUP. VALOR. PTO.]]=$B93,IF(DATOS_[[Check Periodo Ref.]:[Check Periodo Ref.]]="Dentro",DATOS_[Conc.Sal.30]))))), 0)</f>
        <v>0</v>
      </c>
      <c r="AJ95" s="210" t="n">
        <f aca="false" t="array" ref="AJ95:AJ95">IFERROR( AVERAGE(IF(DATOS_[Sexo]=$B95,IF(DATOS_[AGRUP. VALOR. PTO.]=$B93,IF(DATOS_[Check Periodo Ref.]="Dentro",DATOS_[Tot COMPL.SAL Ef],0)))), 0)</f>
        <v>0</v>
      </c>
      <c r="AK95" s="211" t="n">
        <f aca="false" t="array" ref="AK95:AK95">IFERROR( AVERAGE(IF(DATOS_[Sexo]=$B95,IF(DATOS_[AGRUP. VALOR. PTO.]=$B93,IF(DATOS_[Check Periodo Ref.]="Dentro",DATOS_[TOTAL SALARIO Ef],0)))), 0)</f>
        <v>0</v>
      </c>
      <c r="AL95" s="212" t="n">
        <f aca="false" t="array" ref="AL95:AL95">IFERROR( AVERAGE((IF(DATOS_[[Sexo]:[Sexo]]=$B95,IF(DATOS_[[AGRUP. VALOR. PTO.]:[AGRUP. VALOR. PTO.]]=$B93,IF(DATOS_[[Check Periodo Ref.]:[Check Periodo Ref.]]="Dentro",DATOS_[C.Extra.01]))))), 0)</f>
        <v>0</v>
      </c>
      <c r="AM95" s="212" t="n">
        <f aca="false" t="array" ref="AM95:AM95">IFERROR( AVERAGE((IF(DATOS_[[Sexo]:[Sexo]]=$B95,IF(DATOS_[[AGRUP. VALOR. PTO.]:[AGRUP. VALOR. PTO.]]=$B93,IF(DATOS_[[Check Periodo Ref.]:[Check Periodo Ref.]]="Dentro",DATOS_[C.Extra.02]))))), 0)</f>
        <v>0</v>
      </c>
      <c r="AN95" s="212" t="n">
        <f aca="false" t="array" ref="AN95:AN95">IFERROR( AVERAGE((IF(DATOS_[[Sexo]:[Sexo]]=$B95,IF(DATOS_[[AGRUP. VALOR. PTO.]:[AGRUP. VALOR. PTO.]]=$B93,IF(DATOS_[[Check Periodo Ref.]:[Check Periodo Ref.]]="Dentro",DATOS_[C.Extra.03]))))), 0)</f>
        <v>0</v>
      </c>
      <c r="AO95" s="212" t="n">
        <f aca="false" t="array" ref="AO95:AO95">IFERROR( AVERAGE((IF(DATOS_[[Sexo]:[Sexo]]=$B95,IF(DATOS_[[AGRUP. VALOR. PTO.]:[AGRUP. VALOR. PTO.]]=$B93,IF(DATOS_[[Check Periodo Ref.]:[Check Periodo Ref.]]="Dentro",DATOS_[C.Extra.04]))))), 0)</f>
        <v>0</v>
      </c>
      <c r="AP95" s="212" t="n">
        <f aca="false" t="array" ref="AP95:AP95">IFERROR( AVERAGE((IF(DATOS_[[Sexo]:[Sexo]]=$B95,IF(DATOS_[[AGRUP. VALOR. PTO.]:[AGRUP. VALOR. PTO.]]=$B93,IF(DATOS_[[Check Periodo Ref.]:[Check Periodo Ref.]]="Dentro",DATOS_[C.Extra.05]))))), 0)</f>
        <v>0</v>
      </c>
      <c r="AQ95" s="213" t="n">
        <f aca="false" t="array" ref="AQ95:AQ95">IFERROR( AVERAGE(IF(DATOS_[Sexo]=$B95,IF(DATOS_[AGRUP. VALOR. PTO.]=$B93,IF(DATOS_[Check Periodo Ref.]="Dentro",DATOS_[Tot Extrasalarial Ef],0)))), 0)</f>
        <v>0</v>
      </c>
      <c r="AR95" s="214" t="n">
        <f aca="false" t="array" ref="AR95:AR95">IFERROR( AVERAGE(IF(DATOS_[Sexo]=$B95,IF(DATOS_[AGRUP. VALOR. PTO.]=$B93,IF(DATOS_[Check Periodo Ref.]="Dentro",DATOS_[TOTAL Retrib Ef],0)))), 0)</f>
        <v>0</v>
      </c>
    </row>
    <row r="96" customFormat="false" ht="15.75" hidden="false" customHeight="false" outlineLevel="0" collapsed="false">
      <c r="A96" s="191" t="str">
        <f aca="false">+A97</f>
        <v>[ocultar]</v>
      </c>
      <c r="B96" s="192" t="s">
        <v>250</v>
      </c>
      <c r="C96" s="193"/>
      <c r="D96" s="194"/>
      <c r="E96" s="195" t="str">
        <f aca="false">IFERROR((E97-E98)/E97,"")</f>
        <v/>
      </c>
      <c r="F96" s="196" t="str">
        <f aca="false">IFERROR((F97-F98)/F97,"")</f>
        <v/>
      </c>
      <c r="G96" s="197" t="str">
        <f aca="false">IFERROR((G97-G98)/G97,"")</f>
        <v/>
      </c>
      <c r="H96" s="197" t="str">
        <f aca="false">IFERROR((H97-H98)/H97,"")</f>
        <v/>
      </c>
      <c r="I96" s="197" t="str">
        <f aca="false">IFERROR((I97-I98)/I97,"")</f>
        <v/>
      </c>
      <c r="J96" s="198" t="str">
        <f aca="false">IFERROR((J97-J98)/J97,"")</f>
        <v/>
      </c>
      <c r="K96" s="199" t="str">
        <f aca="false">IFERROR((K97-K98)/K97,"")</f>
        <v/>
      </c>
      <c r="L96" s="199" t="str">
        <f aca="false">IFERROR((L97-L98)/L97,"")</f>
        <v/>
      </c>
      <c r="M96" s="199" t="str">
        <f aca="false">IFERROR((M97-M98)/M97,"")</f>
        <v/>
      </c>
      <c r="N96" s="199" t="str">
        <f aca="false">IFERROR((N97-N98)/N97,"")</f>
        <v/>
      </c>
      <c r="O96" s="199" t="str">
        <f aca="false">IFERROR((O97-O98)/O97,"")</f>
        <v/>
      </c>
      <c r="P96" s="199" t="str">
        <f aca="false">IFERROR((P97-P98)/P97,"")</f>
        <v/>
      </c>
      <c r="Q96" s="199" t="str">
        <f aca="false">IFERROR((Q97-Q98)/Q97,"")</f>
        <v/>
      </c>
      <c r="R96" s="199" t="str">
        <f aca="false">IFERROR((R97-R98)/R97,"")</f>
        <v/>
      </c>
      <c r="S96" s="199" t="str">
        <f aca="false">IFERROR((S97-S98)/S97,"")</f>
        <v/>
      </c>
      <c r="T96" s="199" t="str">
        <f aca="false">IFERROR((T97-T98)/T97,"")</f>
        <v/>
      </c>
      <c r="U96" s="199" t="str">
        <f aca="false">IFERROR((U97-U98)/U97,"")</f>
        <v/>
      </c>
      <c r="V96" s="198" t="str">
        <f aca="false">IFERROR((V97-V98)/V97,"")</f>
        <v/>
      </c>
      <c r="W96" s="198" t="str">
        <f aca="false">IFERROR((W97-W98)/W97,"")</f>
        <v/>
      </c>
      <c r="X96" s="198" t="str">
        <f aca="false">IFERROR((X97-X98)/X97,"")</f>
        <v/>
      </c>
      <c r="Y96" s="198" t="str">
        <f aca="false">IFERROR((Y97-Y98)/Y97,"")</f>
        <v/>
      </c>
      <c r="Z96" s="198" t="str">
        <f aca="false">IFERROR((Z97-Z98)/Z97,"")</f>
        <v/>
      </c>
      <c r="AA96" s="198" t="str">
        <f aca="false">IFERROR((AA97-AA98)/AA97,"")</f>
        <v/>
      </c>
      <c r="AB96" s="198" t="str">
        <f aca="false">IFERROR((AB97-AB98)/AB97,"")</f>
        <v/>
      </c>
      <c r="AC96" s="198" t="str">
        <f aca="false">IFERROR((AC97-AC98)/AC97,"")</f>
        <v/>
      </c>
      <c r="AD96" s="198" t="str">
        <f aca="false">IFERROR((AD97-AD98)/AD97,"")</f>
        <v/>
      </c>
      <c r="AE96" s="198" t="str">
        <f aca="false">IFERROR((AE97-AE98)/AE97,"")</f>
        <v/>
      </c>
      <c r="AF96" s="198" t="str">
        <f aca="false">IFERROR((AF97-AF98)/AF97,"")</f>
        <v/>
      </c>
      <c r="AG96" s="198" t="str">
        <f aca="false">IFERROR((AG97-AG98)/AG97,"")</f>
        <v/>
      </c>
      <c r="AH96" s="198" t="str">
        <f aca="false">IFERROR((AH97-AH98)/AH97,"")</f>
        <v/>
      </c>
      <c r="AI96" s="198" t="str">
        <f aca="false">IFERROR((AI97-AI98)/AI97,"")</f>
        <v/>
      </c>
      <c r="AJ96" s="200" t="str">
        <f aca="false">IFERROR((AJ97-AJ98)/AJ97,"")</f>
        <v/>
      </c>
      <c r="AK96" s="201" t="str">
        <f aca="false">IFERROR((AK97-AK98)/AK97,"")</f>
        <v/>
      </c>
      <c r="AL96" s="202" t="str">
        <f aca="false">IFERROR((AL97-AL98)/AL97,"")</f>
        <v/>
      </c>
      <c r="AM96" s="202" t="str">
        <f aca="false">IFERROR((AM97-AM98)/AM97,"")</f>
        <v/>
      </c>
      <c r="AN96" s="202" t="str">
        <f aca="false">IFERROR((AN97-AN98)/AN97,"")</f>
        <v/>
      </c>
      <c r="AO96" s="202" t="str">
        <f aca="false">IFERROR((AO97-AO98)/AO97,"")</f>
        <v/>
      </c>
      <c r="AP96" s="202" t="str">
        <f aca="false">IFERROR((AP97-AP98)/AP97,"")</f>
        <v/>
      </c>
      <c r="AQ96" s="203" t="str">
        <f aca="false">IFERROR((AQ97-AQ98)/AQ97,"")</f>
        <v/>
      </c>
      <c r="AR96" s="204" t="str">
        <f aca="false">IFERROR((AR97-AR98)/AR97,"")</f>
        <v/>
      </c>
    </row>
    <row r="97" customFormat="false" ht="14.25" hidden="false" customHeight="false" outlineLevel="0" collapsed="false">
      <c r="A97" s="191" t="str">
        <f aca="false">+IF(C97+C98=0,"[ocultar]","")</f>
        <v>[ocultar]</v>
      </c>
      <c r="B97" s="205" t="s">
        <v>371</v>
      </c>
      <c r="C97" s="206" t="n">
        <f aca="false" t="array" ref="C97:C97">SUM(IF($B97=DATOS_[Sexo], IF($B96=DATOS_[AGRUP. VALOR. PTO.], IF("Dentro"=DATOS_[Check Periodo Ref.], 1/(COUNTIFS(DATOS_[Sexo],$B97,DATOS_[AGRUP. VALOR. PTO.],$B96,DATOS_[Check Periodo Ref.],"Dentro",DATOS_[id],DATOS_[id]))))))</f>
        <v>0</v>
      </c>
      <c r="D97" s="207" t="n">
        <f aca="false">COUNTIFS(DATOS_[AGRUP. VALOR. PTO.],$B96,DATOS_[Sexo],$B97,DATOS_[Check Periodo Ref.],"Dentro")</f>
        <v>0</v>
      </c>
      <c r="E97" s="208" t="n">
        <f aca="false" t="array" ref="E97:E97">IFERROR( AVERAGE(IF(DATOS_[Sexo]=$B97,IF(DATOS_[AGRUP. VALOR. PTO.]=$B96,IF(DATOS_[Check Periodo Ref.]="Dentro",DATOS_[SALARIO BASE Ef],0)))), 0)</f>
        <v>0</v>
      </c>
      <c r="F97" s="209" t="n">
        <f aca="false" t="array" ref="F97:F97">IFERROR( AVERAGE((IF(DATOS_[[Sexo]:[Sexo]]=$B97,IF(DATOS_[[AGRUP. VALOR. PTO.]:[AGRUP. VALOR. PTO.]]=$B96,IF(DATOS_[[Check Periodo Ref.]:[Check Periodo Ref.]]="Dentro",DATOS_[Conc.Sal.01]))))), 0)</f>
        <v>0</v>
      </c>
      <c r="G97" s="209" t="n">
        <f aca="false" t="array" ref="G97:G97">IFERROR( AVERAGE((IF(DATOS_[[Sexo]:[Sexo]]=$B97,IF(DATOS_[[AGRUP. VALOR. PTO.]:[AGRUP. VALOR. PTO.]]=$B96,IF(DATOS_[[Check Periodo Ref.]:[Check Periodo Ref.]]="Dentro",DATOS_[Conc.Sal.02]))))), 0)</f>
        <v>0</v>
      </c>
      <c r="H97" s="209" t="n">
        <f aca="false" t="array" ref="H97:H97">IFERROR( AVERAGE((IF(DATOS_[[Sexo]:[Sexo]]=$B97,IF(DATOS_[[AGRUP. VALOR. PTO.]:[AGRUP. VALOR. PTO.]]=$B96,IF(DATOS_[[Check Periodo Ref.]:[Check Periodo Ref.]]="Dentro",DATOS_[Conc.Sal.03]))))), 0)</f>
        <v>0</v>
      </c>
      <c r="I97" s="209" t="n">
        <f aca="false" t="array" ref="I97:I97">IFERROR( AVERAGE((IF(DATOS_[[Sexo]:[Sexo]]=$B97,IF(DATOS_[[AGRUP. VALOR. PTO.]:[AGRUP. VALOR. PTO.]]=$B96,IF(DATOS_[[Check Periodo Ref.]:[Check Periodo Ref.]]="Dentro",DATOS_[Conc.Sal.04]))))), 0)</f>
        <v>0</v>
      </c>
      <c r="J97" s="209" t="n">
        <f aca="false" t="array" ref="J97:J97">IFERROR( AVERAGE((IF(DATOS_[[Sexo]:[Sexo]]=$B97,IF(DATOS_[[AGRUP. VALOR. PTO.]:[AGRUP. VALOR. PTO.]]=$B96,IF(DATOS_[[Check Periodo Ref.]:[Check Periodo Ref.]]="Dentro",DATOS_[Conc.Sal.05]))))), 0)</f>
        <v>0</v>
      </c>
      <c r="K97" s="209" t="n">
        <f aca="false" t="array" ref="K97:K97">IFERROR( AVERAGE((IF(DATOS_[[Sexo]:[Sexo]]=$B97,IF(DATOS_[[AGRUP. VALOR. PTO.]:[AGRUP. VALOR. PTO.]]=$B96,IF(DATOS_[[Check Periodo Ref.]:[Check Periodo Ref.]]="Dentro",DATOS_[Conc.Sal.06]))))), 0)</f>
        <v>0</v>
      </c>
      <c r="L97" s="209" t="n">
        <f aca="false" t="array" ref="L97:L97">IFERROR( AVERAGE((IF(DATOS_[[Sexo]:[Sexo]]=$B97,IF(DATOS_[[AGRUP. VALOR. PTO.]:[AGRUP. VALOR. PTO.]]=$B96,IF(DATOS_[[Check Periodo Ref.]:[Check Periodo Ref.]]="Dentro",DATOS_[Conc.Sal.07]))))), 0)</f>
        <v>0</v>
      </c>
      <c r="M97" s="209" t="n">
        <f aca="false" t="array" ref="M97:M97">IFERROR( AVERAGE((IF(DATOS_[[Sexo]:[Sexo]]=$B97,IF(DATOS_[[AGRUP. VALOR. PTO.]:[AGRUP. VALOR. PTO.]]=$B96,IF(DATOS_[[Check Periodo Ref.]:[Check Periodo Ref.]]="Dentro",DATOS_[Conc.Sal.08]))))), 0)</f>
        <v>0</v>
      </c>
      <c r="N97" s="209" t="n">
        <f aca="false" t="array" ref="N97:N97">IFERROR( AVERAGE((IF(DATOS_[[Sexo]:[Sexo]]=$B97,IF(DATOS_[[AGRUP. VALOR. PTO.]:[AGRUP. VALOR. PTO.]]=$B96,IF(DATOS_[[Check Periodo Ref.]:[Check Periodo Ref.]]="Dentro",DATOS_[Conc.Sal.09]))))), 0)</f>
        <v>0</v>
      </c>
      <c r="O97" s="209" t="n">
        <f aca="false" t="array" ref="O97:O97">IFERROR( AVERAGE((IF(DATOS_[[Sexo]:[Sexo]]=$B97,IF(DATOS_[[AGRUP. VALOR. PTO.]:[AGRUP. VALOR. PTO.]]=$B96,IF(DATOS_[[Check Periodo Ref.]:[Check Periodo Ref.]]="Dentro",DATOS_[Conc.Sal.10]))))), 0)</f>
        <v>0</v>
      </c>
      <c r="P97" s="209" t="n">
        <f aca="false" t="array" ref="P97:P97">IFERROR( AVERAGE((IF(DATOS_[[Sexo]:[Sexo]]=$B97,IF(DATOS_[[AGRUP. VALOR. PTO.]:[AGRUP. VALOR. PTO.]]=$B96,IF(DATOS_[[Check Periodo Ref.]:[Check Periodo Ref.]]="Dentro",DATOS_[Conc.Sal.11]))))), 0)</f>
        <v>0</v>
      </c>
      <c r="Q97" s="209" t="n">
        <f aca="false" t="array" ref="Q97:Q97">IFERROR( AVERAGE((IF(DATOS_[[Sexo]:[Sexo]]=$B97,IF(DATOS_[[AGRUP. VALOR. PTO.]:[AGRUP. VALOR. PTO.]]=$B96,IF(DATOS_[[Check Periodo Ref.]:[Check Periodo Ref.]]="Dentro",DATOS_[Conc.Sal.12]))))), 0)</f>
        <v>0</v>
      </c>
      <c r="R97" s="209" t="n">
        <f aca="false" t="array" ref="R97:R97">IFERROR( AVERAGE((IF(DATOS_[[Sexo]:[Sexo]]=$B97,IF(DATOS_[[AGRUP. VALOR. PTO.]:[AGRUP. VALOR. PTO.]]=$B96,IF(DATOS_[[Check Periodo Ref.]:[Check Periodo Ref.]]="Dentro",DATOS_[Conc.Sal.13]))))), 0)</f>
        <v>0</v>
      </c>
      <c r="S97" s="209" t="n">
        <f aca="false" t="array" ref="S97:S97">IFERROR( AVERAGE((IF(DATOS_[[Sexo]:[Sexo]]=$B97,IF(DATOS_[[AGRUP. VALOR. PTO.]:[AGRUP. VALOR. PTO.]]=$B96,IF(DATOS_[[Check Periodo Ref.]:[Check Periodo Ref.]]="Dentro",DATOS_[Conc.Sal.14]))))), 0)</f>
        <v>0</v>
      </c>
      <c r="T97" s="209" t="n">
        <f aca="false" t="array" ref="T97:T97">IFERROR( AVERAGE((IF(DATOS_[[Sexo]:[Sexo]]=$B97,IF(DATOS_[[AGRUP. VALOR. PTO.]:[AGRUP. VALOR. PTO.]]=$B96,IF(DATOS_[[Check Periodo Ref.]:[Check Periodo Ref.]]="Dentro",DATOS_[Conc.Sal.15]))))), 0)</f>
        <v>0</v>
      </c>
      <c r="U97" s="209" t="n">
        <f aca="false" t="array" ref="U97:U97">IFERROR( AVERAGE((IF(DATOS_[[Sexo]:[Sexo]]=$B97,IF(DATOS_[[AGRUP. VALOR. PTO.]:[AGRUP. VALOR. PTO.]]=$B96,IF(DATOS_[[Check Periodo Ref.]:[Check Periodo Ref.]]="Dentro",DATOS_[Conc.Sal.16]))))), 0)</f>
        <v>0</v>
      </c>
      <c r="V97" s="209" t="n">
        <f aca="false" t="array" ref="V97:V97">IFERROR( AVERAGE((IF(DATOS_[[Sexo]:[Sexo]]=$B97,IF(DATOS_[[AGRUP. VALOR. PTO.]:[AGRUP. VALOR. PTO.]]=$B96,IF(DATOS_[[Check Periodo Ref.]:[Check Periodo Ref.]]="Dentro",DATOS_[Conc.Sal.17]))))), 0)</f>
        <v>0</v>
      </c>
      <c r="W97" s="209" t="n">
        <f aca="false" t="array" ref="W97:W97">IFERROR( AVERAGE((IF(DATOS_[[Sexo]:[Sexo]]=$B97,IF(DATOS_[[AGRUP. VALOR. PTO.]:[AGRUP. VALOR. PTO.]]=$B96,IF(DATOS_[[Check Periodo Ref.]:[Check Periodo Ref.]]="Dentro",DATOS_[Conc.Sal.18]))))), 0)</f>
        <v>0</v>
      </c>
      <c r="X97" s="209" t="n">
        <f aca="false" t="array" ref="X97:X97">IFERROR( AVERAGE((IF(DATOS_[[Sexo]:[Sexo]]=$B97,IF(DATOS_[[AGRUP. VALOR. PTO.]:[AGRUP. VALOR. PTO.]]=$B96,IF(DATOS_[[Check Periodo Ref.]:[Check Periodo Ref.]]="Dentro",DATOS_[Conc.Sal.19]))))), 0)</f>
        <v>0</v>
      </c>
      <c r="Y97" s="209" t="n">
        <f aca="false" t="array" ref="Y97:Y97">IFERROR( AVERAGE((IF(DATOS_[[Sexo]:[Sexo]]=$B97,IF(DATOS_[[AGRUP. VALOR. PTO.]:[AGRUP. VALOR. PTO.]]=$B96,IF(DATOS_[[Check Periodo Ref.]:[Check Periodo Ref.]]="Dentro",DATOS_[Conc.Sal.20]))))), 0)</f>
        <v>0</v>
      </c>
      <c r="Z97" s="209" t="n">
        <f aca="false" t="array" ref="Z97:Z97">IFERROR( AVERAGE((IF(DATOS_[[Sexo]:[Sexo]]=$B97,IF(DATOS_[[AGRUP. VALOR. PTO.]:[AGRUP. VALOR. PTO.]]=$B96,IF(DATOS_[[Check Periodo Ref.]:[Check Periodo Ref.]]="Dentro",DATOS_[Conc.Sal.21]))))), 0)</f>
        <v>0</v>
      </c>
      <c r="AA97" s="209" t="n">
        <f aca="false" t="array" ref="AA97:AA97">IFERROR( AVERAGE((IF(DATOS_[[Sexo]:[Sexo]]=$B97,IF(DATOS_[[AGRUP. VALOR. PTO.]:[AGRUP. VALOR. PTO.]]=$B96,IF(DATOS_[[Check Periodo Ref.]:[Check Periodo Ref.]]="Dentro",DATOS_[Conc.Sal.22]))))), 0)</f>
        <v>0</v>
      </c>
      <c r="AB97" s="209" t="n">
        <f aca="false" t="array" ref="AB97:AB97">IFERROR( AVERAGE((IF(DATOS_[[Sexo]:[Sexo]]=$B97,IF(DATOS_[[AGRUP. VALOR. PTO.]:[AGRUP. VALOR. PTO.]]=$B96,IF(DATOS_[[Check Periodo Ref.]:[Check Periodo Ref.]]="Dentro",DATOS_[Conc.Sal.23]))))), 0)</f>
        <v>0</v>
      </c>
      <c r="AC97" s="209" t="n">
        <f aca="false" t="array" ref="AC97:AC97">IFERROR( AVERAGE((IF(DATOS_[[Sexo]:[Sexo]]=$B97,IF(DATOS_[[AGRUP. VALOR. PTO.]:[AGRUP. VALOR. PTO.]]=$B96,IF(DATOS_[[Check Periodo Ref.]:[Check Periodo Ref.]]="Dentro",DATOS_[Conc.Sal.24]))))), 0)</f>
        <v>0</v>
      </c>
      <c r="AD97" s="209" t="n">
        <f aca="false" t="array" ref="AD97:AD97">IFERROR( AVERAGE((IF(DATOS_[[Sexo]:[Sexo]]=$B97,IF(DATOS_[[AGRUP. VALOR. PTO.]:[AGRUP. VALOR. PTO.]]=$B96,IF(DATOS_[[Check Periodo Ref.]:[Check Periodo Ref.]]="Dentro",DATOS_[Conc.Sal.25]))))), 0)</f>
        <v>0</v>
      </c>
      <c r="AE97" s="209" t="n">
        <f aca="false" t="array" ref="AE97:AE97">IFERROR( AVERAGE((IF(DATOS_[[Sexo]:[Sexo]]=$B97,IF(DATOS_[[AGRUP. VALOR. PTO.]:[AGRUP. VALOR. PTO.]]=$B96,IF(DATOS_[[Check Periodo Ref.]:[Check Periodo Ref.]]="Dentro",DATOS_[Conc.Sal.26]))))), 0)</f>
        <v>0</v>
      </c>
      <c r="AF97" s="209" t="n">
        <f aca="false" t="array" ref="AF97:AF97">IFERROR( AVERAGE((IF(DATOS_[[Sexo]:[Sexo]]=$B97,IF(DATOS_[[AGRUP. VALOR. PTO.]:[AGRUP. VALOR. PTO.]]=$B96,IF(DATOS_[[Check Periodo Ref.]:[Check Periodo Ref.]]="Dentro",DATOS_[Conc.Sal.27]))))), 0)</f>
        <v>0</v>
      </c>
      <c r="AG97" s="209" t="n">
        <f aca="false" t="array" ref="AG97:AG97">IFERROR( AVERAGE((IF(DATOS_[[Sexo]:[Sexo]]=$B97,IF(DATOS_[[AGRUP. VALOR. PTO.]:[AGRUP. VALOR. PTO.]]=$B96,IF(DATOS_[[Check Periodo Ref.]:[Check Periodo Ref.]]="Dentro",DATOS_[Conc.Sal.28]))))), 0)</f>
        <v>0</v>
      </c>
      <c r="AH97" s="209" t="n">
        <f aca="false" t="array" ref="AH97:AH97">IFERROR( AVERAGE((IF(DATOS_[[Sexo]:[Sexo]]=$B97,IF(DATOS_[[AGRUP. VALOR. PTO.]:[AGRUP. VALOR. PTO.]]=$B96,IF(DATOS_[[Check Periodo Ref.]:[Check Periodo Ref.]]="Dentro",DATOS_[Conc.Sal.29]))))), 0)</f>
        <v>0</v>
      </c>
      <c r="AI97" s="209" t="n">
        <f aca="false" t="array" ref="AI97:AI97">IFERROR( AVERAGE((IF(DATOS_[[Sexo]:[Sexo]]=$B97,IF(DATOS_[[AGRUP. VALOR. PTO.]:[AGRUP. VALOR. PTO.]]=$B96,IF(DATOS_[[Check Periodo Ref.]:[Check Periodo Ref.]]="Dentro",DATOS_[Conc.Sal.30]))))), 0)</f>
        <v>0</v>
      </c>
      <c r="AJ97" s="210" t="n">
        <f aca="false" t="array" ref="AJ97:AJ97">IFERROR( AVERAGE(IF(DATOS_[Sexo]=$B97,IF(DATOS_[AGRUP. VALOR. PTO.]=$B96,IF(DATOS_[Check Periodo Ref.]="Dentro",DATOS_[Tot COMPL.SAL Ef],0)))), 0)</f>
        <v>0</v>
      </c>
      <c r="AK97" s="211" t="n">
        <f aca="false" t="array" ref="AK97:AK97">IFERROR( AVERAGE(IF(DATOS_[Sexo]=$B97,IF(DATOS_[AGRUP. VALOR. PTO.]=$B96,IF(DATOS_[Check Periodo Ref.]="Dentro",DATOS_[TOTAL SALARIO Ef],0)))), 0)</f>
        <v>0</v>
      </c>
      <c r="AL97" s="212" t="n">
        <f aca="false" t="array" ref="AL97:AL97">IFERROR( AVERAGE((IF(DATOS_[[Sexo]:[Sexo]]=$B97,IF(DATOS_[[AGRUP. VALOR. PTO.]:[AGRUP. VALOR. PTO.]]=$B96,IF(DATOS_[[Check Periodo Ref.]:[Check Periodo Ref.]]="Dentro",DATOS_[C.Extra.01]))))), 0)</f>
        <v>0</v>
      </c>
      <c r="AM97" s="212" t="n">
        <f aca="false" t="array" ref="AM97:AM97">IFERROR( AVERAGE((IF(DATOS_[[Sexo]:[Sexo]]=$B97,IF(DATOS_[[AGRUP. VALOR. PTO.]:[AGRUP. VALOR. PTO.]]=$B96,IF(DATOS_[[Check Periodo Ref.]:[Check Periodo Ref.]]="Dentro",DATOS_[C.Extra.02]))))), 0)</f>
        <v>0</v>
      </c>
      <c r="AN97" s="212" t="n">
        <f aca="false" t="array" ref="AN97:AN97">IFERROR( AVERAGE((IF(DATOS_[[Sexo]:[Sexo]]=$B97,IF(DATOS_[[AGRUP. VALOR. PTO.]:[AGRUP. VALOR. PTO.]]=$B96,IF(DATOS_[[Check Periodo Ref.]:[Check Periodo Ref.]]="Dentro",DATOS_[C.Extra.03]))))), 0)</f>
        <v>0</v>
      </c>
      <c r="AO97" s="212" t="n">
        <f aca="false" t="array" ref="AO97:AO97">IFERROR( AVERAGE((IF(DATOS_[[Sexo]:[Sexo]]=$B97,IF(DATOS_[[AGRUP. VALOR. PTO.]:[AGRUP. VALOR. PTO.]]=$B96,IF(DATOS_[[Check Periodo Ref.]:[Check Periodo Ref.]]="Dentro",DATOS_[C.Extra.04]))))), 0)</f>
        <v>0</v>
      </c>
      <c r="AP97" s="212" t="n">
        <f aca="false" t="array" ref="AP97:AP97">IFERROR( AVERAGE((IF(DATOS_[[Sexo]:[Sexo]]=$B97,IF(DATOS_[[AGRUP. VALOR. PTO.]:[AGRUP. VALOR. PTO.]]=$B96,IF(DATOS_[[Check Periodo Ref.]:[Check Periodo Ref.]]="Dentro",DATOS_[C.Extra.05]))))), 0)</f>
        <v>0</v>
      </c>
      <c r="AQ97" s="213" t="n">
        <f aca="false" t="array" ref="AQ97:AQ97">IFERROR( AVERAGE(IF(DATOS_[Sexo]=$B97,IF(DATOS_[AGRUP. VALOR. PTO.]=$B96,IF(DATOS_[Check Periodo Ref.]="Dentro",DATOS_[Tot Extrasalarial Ef],0)))), 0)</f>
        <v>0</v>
      </c>
      <c r="AR97" s="214" t="n">
        <f aca="false" t="array" ref="AR97:AR97">IFERROR( AVERAGE(IF(DATOS_[Sexo]=$B97,IF(DATOS_[AGRUP. VALOR. PTO.]=$B96,IF(DATOS_[Check Periodo Ref.]="Dentro",DATOS_[TOTAL Retrib Ef],0)))), 0)</f>
        <v>0</v>
      </c>
    </row>
    <row r="98" customFormat="false" ht="14.25" hidden="false" customHeight="false" outlineLevel="0" collapsed="false">
      <c r="A98" s="191" t="str">
        <f aca="false">+A97</f>
        <v>[ocultar]</v>
      </c>
      <c r="B98" s="205" t="s">
        <v>372</v>
      </c>
      <c r="C98" s="206" t="n">
        <f aca="false" t="array" ref="C98:C98">SUM(IF($B98=DATOS_[Sexo], IF($B96=DATOS_[AGRUP. VALOR. PTO.], IF("Dentro"=DATOS_[Check Periodo Ref.], 1/(COUNTIFS(DATOS_[Sexo],$B98,DATOS_[AGRUP. VALOR. PTO.],$B96,DATOS_[Check Periodo Ref.],"Dentro",DATOS_[id],DATOS_[id]))))))</f>
        <v>0</v>
      </c>
      <c r="D98" s="207" t="n">
        <f aca="false">COUNTIFS(DATOS_[AGRUP. VALOR. PTO.],$B96,DATOS_[Sexo],$B98,DATOS_[Check Periodo Ref.],"Dentro")</f>
        <v>0</v>
      </c>
      <c r="E98" s="208" t="n">
        <f aca="false" t="array" ref="E98:E98">IFERROR( AVERAGE(IF(DATOS_[Sexo]=$B98,IF(DATOS_[AGRUP. VALOR. PTO.]=$B96,IF(DATOS_[Check Periodo Ref.]="Dentro",DATOS_[SALARIO BASE Ef],0)))), 0)</f>
        <v>0</v>
      </c>
      <c r="F98" s="209" t="n">
        <f aca="false" t="array" ref="F98:F98">IFERROR( AVERAGE((IF(DATOS_[[Sexo]:[Sexo]]=$B98,IF(DATOS_[[AGRUP. VALOR. PTO.]:[AGRUP. VALOR. PTO.]]=$B96,IF(DATOS_[[Check Periodo Ref.]:[Check Periodo Ref.]]="Dentro",DATOS_[Conc.Sal.01]))))), 0)</f>
        <v>0</v>
      </c>
      <c r="G98" s="209" t="n">
        <f aca="false" t="array" ref="G98:G98">IFERROR( AVERAGE((IF(DATOS_[[Sexo]:[Sexo]]=$B98,IF(DATOS_[[AGRUP. VALOR. PTO.]:[AGRUP. VALOR. PTO.]]=$B96,IF(DATOS_[[Check Periodo Ref.]:[Check Periodo Ref.]]="Dentro",DATOS_[Conc.Sal.02]))))), 0)</f>
        <v>0</v>
      </c>
      <c r="H98" s="209" t="n">
        <f aca="false" t="array" ref="H98:H98">IFERROR( AVERAGE((IF(DATOS_[[Sexo]:[Sexo]]=$B98,IF(DATOS_[[AGRUP. VALOR. PTO.]:[AGRUP. VALOR. PTO.]]=$B96,IF(DATOS_[[Check Periodo Ref.]:[Check Periodo Ref.]]="Dentro",DATOS_[Conc.Sal.03]))))), 0)</f>
        <v>0</v>
      </c>
      <c r="I98" s="209" t="n">
        <f aca="false" t="array" ref="I98:I98">IFERROR( AVERAGE((IF(DATOS_[[Sexo]:[Sexo]]=$B98,IF(DATOS_[[AGRUP. VALOR. PTO.]:[AGRUP. VALOR. PTO.]]=$B96,IF(DATOS_[[Check Periodo Ref.]:[Check Periodo Ref.]]="Dentro",DATOS_[Conc.Sal.04]))))), 0)</f>
        <v>0</v>
      </c>
      <c r="J98" s="209" t="n">
        <f aca="false" t="array" ref="J98:J98">IFERROR( AVERAGE((IF(DATOS_[[Sexo]:[Sexo]]=$B98,IF(DATOS_[[AGRUP. VALOR. PTO.]:[AGRUP. VALOR. PTO.]]=$B96,IF(DATOS_[[Check Periodo Ref.]:[Check Periodo Ref.]]="Dentro",DATOS_[Conc.Sal.05]))))), 0)</f>
        <v>0</v>
      </c>
      <c r="K98" s="209" t="n">
        <f aca="false" t="array" ref="K98:K98">IFERROR( AVERAGE((IF(DATOS_[[Sexo]:[Sexo]]=$B98,IF(DATOS_[[AGRUP. VALOR. PTO.]:[AGRUP. VALOR. PTO.]]=$B96,IF(DATOS_[[Check Periodo Ref.]:[Check Periodo Ref.]]="Dentro",DATOS_[Conc.Sal.06]))))), 0)</f>
        <v>0</v>
      </c>
      <c r="L98" s="209" t="n">
        <f aca="false" t="array" ref="L98:L98">IFERROR( AVERAGE((IF(DATOS_[[Sexo]:[Sexo]]=$B98,IF(DATOS_[[AGRUP. VALOR. PTO.]:[AGRUP. VALOR. PTO.]]=$B96,IF(DATOS_[[Check Periodo Ref.]:[Check Periodo Ref.]]="Dentro",DATOS_[Conc.Sal.07]))))), 0)</f>
        <v>0</v>
      </c>
      <c r="M98" s="209" t="n">
        <f aca="false" t="array" ref="M98:M98">IFERROR( AVERAGE((IF(DATOS_[[Sexo]:[Sexo]]=$B98,IF(DATOS_[[AGRUP. VALOR. PTO.]:[AGRUP. VALOR. PTO.]]=$B96,IF(DATOS_[[Check Periodo Ref.]:[Check Periodo Ref.]]="Dentro",DATOS_[Conc.Sal.08]))))), 0)</f>
        <v>0</v>
      </c>
      <c r="N98" s="209" t="n">
        <f aca="false" t="array" ref="N98:N98">IFERROR( AVERAGE((IF(DATOS_[[Sexo]:[Sexo]]=$B98,IF(DATOS_[[AGRUP. VALOR. PTO.]:[AGRUP. VALOR. PTO.]]=$B96,IF(DATOS_[[Check Periodo Ref.]:[Check Periodo Ref.]]="Dentro",DATOS_[Conc.Sal.09]))))), 0)</f>
        <v>0</v>
      </c>
      <c r="O98" s="209" t="n">
        <f aca="false" t="array" ref="O98:O98">IFERROR( AVERAGE((IF(DATOS_[[Sexo]:[Sexo]]=$B98,IF(DATOS_[[AGRUP. VALOR. PTO.]:[AGRUP. VALOR. PTO.]]=$B96,IF(DATOS_[[Check Periodo Ref.]:[Check Periodo Ref.]]="Dentro",DATOS_[Conc.Sal.10]))))), 0)</f>
        <v>0</v>
      </c>
      <c r="P98" s="209" t="n">
        <f aca="false" t="array" ref="P98:P98">IFERROR( AVERAGE((IF(DATOS_[[Sexo]:[Sexo]]=$B98,IF(DATOS_[[AGRUP. VALOR. PTO.]:[AGRUP. VALOR. PTO.]]=$B96,IF(DATOS_[[Check Periodo Ref.]:[Check Periodo Ref.]]="Dentro",DATOS_[Conc.Sal.11]))))), 0)</f>
        <v>0</v>
      </c>
      <c r="Q98" s="209" t="n">
        <f aca="false" t="array" ref="Q98:Q98">IFERROR( AVERAGE((IF(DATOS_[[Sexo]:[Sexo]]=$B98,IF(DATOS_[[AGRUP. VALOR. PTO.]:[AGRUP. VALOR. PTO.]]=$B96,IF(DATOS_[[Check Periodo Ref.]:[Check Periodo Ref.]]="Dentro",DATOS_[Conc.Sal.12]))))), 0)</f>
        <v>0</v>
      </c>
      <c r="R98" s="209" t="n">
        <f aca="false" t="array" ref="R98:R98">IFERROR( AVERAGE((IF(DATOS_[[Sexo]:[Sexo]]=$B98,IF(DATOS_[[AGRUP. VALOR. PTO.]:[AGRUP. VALOR. PTO.]]=$B96,IF(DATOS_[[Check Periodo Ref.]:[Check Periodo Ref.]]="Dentro",DATOS_[Conc.Sal.13]))))), 0)</f>
        <v>0</v>
      </c>
      <c r="S98" s="209" t="n">
        <f aca="false" t="array" ref="S98:S98">IFERROR( AVERAGE((IF(DATOS_[[Sexo]:[Sexo]]=$B98,IF(DATOS_[[AGRUP. VALOR. PTO.]:[AGRUP. VALOR. PTO.]]=$B96,IF(DATOS_[[Check Periodo Ref.]:[Check Periodo Ref.]]="Dentro",DATOS_[Conc.Sal.14]))))), 0)</f>
        <v>0</v>
      </c>
      <c r="T98" s="209" t="n">
        <f aca="false" t="array" ref="T98:T98">IFERROR( AVERAGE((IF(DATOS_[[Sexo]:[Sexo]]=$B98,IF(DATOS_[[AGRUP. VALOR. PTO.]:[AGRUP. VALOR. PTO.]]=$B96,IF(DATOS_[[Check Periodo Ref.]:[Check Periodo Ref.]]="Dentro",DATOS_[Conc.Sal.15]))))), 0)</f>
        <v>0</v>
      </c>
      <c r="U98" s="209" t="n">
        <f aca="false" t="array" ref="U98:U98">IFERROR( AVERAGE((IF(DATOS_[[Sexo]:[Sexo]]=$B98,IF(DATOS_[[AGRUP. VALOR. PTO.]:[AGRUP. VALOR. PTO.]]=$B96,IF(DATOS_[[Check Periodo Ref.]:[Check Periodo Ref.]]="Dentro",DATOS_[Conc.Sal.16]))))), 0)</f>
        <v>0</v>
      </c>
      <c r="V98" s="209" t="n">
        <f aca="false" t="array" ref="V98:V98">IFERROR( AVERAGE((IF(DATOS_[[Sexo]:[Sexo]]=$B98,IF(DATOS_[[AGRUP. VALOR. PTO.]:[AGRUP. VALOR. PTO.]]=$B96,IF(DATOS_[[Check Periodo Ref.]:[Check Periodo Ref.]]="Dentro",DATOS_[Conc.Sal.17]))))), 0)</f>
        <v>0</v>
      </c>
      <c r="W98" s="209" t="n">
        <f aca="false" t="array" ref="W98:W98">IFERROR( AVERAGE((IF(DATOS_[[Sexo]:[Sexo]]=$B98,IF(DATOS_[[AGRUP. VALOR. PTO.]:[AGRUP. VALOR. PTO.]]=$B96,IF(DATOS_[[Check Periodo Ref.]:[Check Periodo Ref.]]="Dentro",DATOS_[Conc.Sal.18]))))), 0)</f>
        <v>0</v>
      </c>
      <c r="X98" s="209" t="n">
        <f aca="false" t="array" ref="X98:X98">IFERROR( AVERAGE((IF(DATOS_[[Sexo]:[Sexo]]=$B98,IF(DATOS_[[AGRUP. VALOR. PTO.]:[AGRUP. VALOR. PTO.]]=$B96,IF(DATOS_[[Check Periodo Ref.]:[Check Periodo Ref.]]="Dentro",DATOS_[Conc.Sal.19]))))), 0)</f>
        <v>0</v>
      </c>
      <c r="Y98" s="209" t="n">
        <f aca="false" t="array" ref="Y98:Y98">IFERROR( AVERAGE((IF(DATOS_[[Sexo]:[Sexo]]=$B98,IF(DATOS_[[AGRUP. VALOR. PTO.]:[AGRUP. VALOR. PTO.]]=$B96,IF(DATOS_[[Check Periodo Ref.]:[Check Periodo Ref.]]="Dentro",DATOS_[Conc.Sal.20]))))), 0)</f>
        <v>0</v>
      </c>
      <c r="Z98" s="209" t="n">
        <f aca="false" t="array" ref="Z98:Z98">IFERROR( AVERAGE((IF(DATOS_[[Sexo]:[Sexo]]=$B98,IF(DATOS_[[AGRUP. VALOR. PTO.]:[AGRUP. VALOR. PTO.]]=$B96,IF(DATOS_[[Check Periodo Ref.]:[Check Periodo Ref.]]="Dentro",DATOS_[Conc.Sal.21]))))), 0)</f>
        <v>0</v>
      </c>
      <c r="AA98" s="209" t="n">
        <f aca="false" t="array" ref="AA98:AA98">IFERROR( AVERAGE((IF(DATOS_[[Sexo]:[Sexo]]=$B98,IF(DATOS_[[AGRUP. VALOR. PTO.]:[AGRUP. VALOR. PTO.]]=$B96,IF(DATOS_[[Check Periodo Ref.]:[Check Periodo Ref.]]="Dentro",DATOS_[Conc.Sal.22]))))), 0)</f>
        <v>0</v>
      </c>
      <c r="AB98" s="209" t="n">
        <f aca="false" t="array" ref="AB98:AB98">IFERROR( AVERAGE((IF(DATOS_[[Sexo]:[Sexo]]=$B98,IF(DATOS_[[AGRUP. VALOR. PTO.]:[AGRUP. VALOR. PTO.]]=$B96,IF(DATOS_[[Check Periodo Ref.]:[Check Periodo Ref.]]="Dentro",DATOS_[Conc.Sal.23]))))), 0)</f>
        <v>0</v>
      </c>
      <c r="AC98" s="209" t="n">
        <f aca="false" t="array" ref="AC98:AC98">IFERROR( AVERAGE((IF(DATOS_[[Sexo]:[Sexo]]=$B98,IF(DATOS_[[AGRUP. VALOR. PTO.]:[AGRUP. VALOR. PTO.]]=$B96,IF(DATOS_[[Check Periodo Ref.]:[Check Periodo Ref.]]="Dentro",DATOS_[Conc.Sal.24]))))), 0)</f>
        <v>0</v>
      </c>
      <c r="AD98" s="209" t="n">
        <f aca="false" t="array" ref="AD98:AD98">IFERROR( AVERAGE((IF(DATOS_[[Sexo]:[Sexo]]=$B98,IF(DATOS_[[AGRUP. VALOR. PTO.]:[AGRUP. VALOR. PTO.]]=$B96,IF(DATOS_[[Check Periodo Ref.]:[Check Periodo Ref.]]="Dentro",DATOS_[Conc.Sal.25]))))), 0)</f>
        <v>0</v>
      </c>
      <c r="AE98" s="209" t="n">
        <f aca="false" t="array" ref="AE98:AE98">IFERROR( AVERAGE((IF(DATOS_[[Sexo]:[Sexo]]=$B98,IF(DATOS_[[AGRUP. VALOR. PTO.]:[AGRUP. VALOR. PTO.]]=$B96,IF(DATOS_[[Check Periodo Ref.]:[Check Periodo Ref.]]="Dentro",DATOS_[Conc.Sal.26]))))), 0)</f>
        <v>0</v>
      </c>
      <c r="AF98" s="209" t="n">
        <f aca="false" t="array" ref="AF98:AF98">IFERROR( AVERAGE((IF(DATOS_[[Sexo]:[Sexo]]=$B98,IF(DATOS_[[AGRUP. VALOR. PTO.]:[AGRUP. VALOR. PTO.]]=$B96,IF(DATOS_[[Check Periodo Ref.]:[Check Periodo Ref.]]="Dentro",DATOS_[Conc.Sal.27]))))), 0)</f>
        <v>0</v>
      </c>
      <c r="AG98" s="209" t="n">
        <f aca="false" t="array" ref="AG98:AG98">IFERROR( AVERAGE((IF(DATOS_[[Sexo]:[Sexo]]=$B98,IF(DATOS_[[AGRUP. VALOR. PTO.]:[AGRUP. VALOR. PTO.]]=$B96,IF(DATOS_[[Check Periodo Ref.]:[Check Periodo Ref.]]="Dentro",DATOS_[Conc.Sal.28]))))), 0)</f>
        <v>0</v>
      </c>
      <c r="AH98" s="209" t="n">
        <f aca="false" t="array" ref="AH98:AH98">IFERROR( AVERAGE((IF(DATOS_[[Sexo]:[Sexo]]=$B98,IF(DATOS_[[AGRUP. VALOR. PTO.]:[AGRUP. VALOR. PTO.]]=$B96,IF(DATOS_[[Check Periodo Ref.]:[Check Periodo Ref.]]="Dentro",DATOS_[Conc.Sal.29]))))), 0)</f>
        <v>0</v>
      </c>
      <c r="AI98" s="209" t="n">
        <f aca="false" t="array" ref="AI98:AI98">IFERROR( AVERAGE((IF(DATOS_[[Sexo]:[Sexo]]=$B98,IF(DATOS_[[AGRUP. VALOR. PTO.]:[AGRUP. VALOR. PTO.]]=$B96,IF(DATOS_[[Check Periodo Ref.]:[Check Periodo Ref.]]="Dentro",DATOS_[Conc.Sal.30]))))), 0)</f>
        <v>0</v>
      </c>
      <c r="AJ98" s="210" t="n">
        <f aca="false" t="array" ref="AJ98:AJ98">IFERROR( AVERAGE(IF(DATOS_[Sexo]=$B98,IF(DATOS_[AGRUP. VALOR. PTO.]=$B96,IF(DATOS_[Check Periodo Ref.]="Dentro",DATOS_[Tot COMPL.SAL Ef],0)))), 0)</f>
        <v>0</v>
      </c>
      <c r="AK98" s="211" t="n">
        <f aca="false" t="array" ref="AK98:AK98">IFERROR( AVERAGE(IF(DATOS_[Sexo]=$B98,IF(DATOS_[AGRUP. VALOR. PTO.]=$B96,IF(DATOS_[Check Periodo Ref.]="Dentro",DATOS_[TOTAL SALARIO Ef],0)))), 0)</f>
        <v>0</v>
      </c>
      <c r="AL98" s="212" t="n">
        <f aca="false" t="array" ref="AL98:AL98">IFERROR( AVERAGE((IF(DATOS_[[Sexo]:[Sexo]]=$B98,IF(DATOS_[[AGRUP. VALOR. PTO.]:[AGRUP. VALOR. PTO.]]=$B96,IF(DATOS_[[Check Periodo Ref.]:[Check Periodo Ref.]]="Dentro",DATOS_[C.Extra.01]))))), 0)</f>
        <v>0</v>
      </c>
      <c r="AM98" s="212" t="n">
        <f aca="false" t="array" ref="AM98:AM98">IFERROR( AVERAGE((IF(DATOS_[[Sexo]:[Sexo]]=$B98,IF(DATOS_[[AGRUP. VALOR. PTO.]:[AGRUP. VALOR. PTO.]]=$B96,IF(DATOS_[[Check Periodo Ref.]:[Check Periodo Ref.]]="Dentro",DATOS_[C.Extra.02]))))), 0)</f>
        <v>0</v>
      </c>
      <c r="AN98" s="212" t="n">
        <f aca="false" t="array" ref="AN98:AN98">IFERROR( AVERAGE((IF(DATOS_[[Sexo]:[Sexo]]=$B98,IF(DATOS_[[AGRUP. VALOR. PTO.]:[AGRUP. VALOR. PTO.]]=$B96,IF(DATOS_[[Check Periodo Ref.]:[Check Periodo Ref.]]="Dentro",DATOS_[C.Extra.03]))))), 0)</f>
        <v>0</v>
      </c>
      <c r="AO98" s="212" t="n">
        <f aca="false" t="array" ref="AO98:AO98">IFERROR( AVERAGE((IF(DATOS_[[Sexo]:[Sexo]]=$B98,IF(DATOS_[[AGRUP. VALOR. PTO.]:[AGRUP. VALOR. PTO.]]=$B96,IF(DATOS_[[Check Periodo Ref.]:[Check Periodo Ref.]]="Dentro",DATOS_[C.Extra.04]))))), 0)</f>
        <v>0</v>
      </c>
      <c r="AP98" s="212" t="n">
        <f aca="false" t="array" ref="AP98:AP98">IFERROR( AVERAGE((IF(DATOS_[[Sexo]:[Sexo]]=$B98,IF(DATOS_[[AGRUP. VALOR. PTO.]:[AGRUP. VALOR. PTO.]]=$B96,IF(DATOS_[[Check Periodo Ref.]:[Check Periodo Ref.]]="Dentro",DATOS_[C.Extra.05]))))), 0)</f>
        <v>0</v>
      </c>
      <c r="AQ98" s="213" t="n">
        <f aca="false" t="array" ref="AQ98:AQ98">IFERROR( AVERAGE(IF(DATOS_[Sexo]=$B98,IF(DATOS_[AGRUP. VALOR. PTO.]=$B96,IF(DATOS_[Check Periodo Ref.]="Dentro",DATOS_[Tot Extrasalarial Ef],0)))), 0)</f>
        <v>0</v>
      </c>
      <c r="AR98" s="214" t="n">
        <f aca="false" t="array" ref="AR98:AR98">IFERROR( AVERAGE(IF(DATOS_[Sexo]=$B98,IF(DATOS_[AGRUP. VALOR. PTO.]=$B96,IF(DATOS_[Check Periodo Ref.]="Dentro",DATOS_[TOTAL Retrib Ef],0)))), 0)</f>
        <v>0</v>
      </c>
    </row>
    <row r="99" customFormat="false" ht="15.75" hidden="false" customHeight="false" outlineLevel="0" collapsed="false">
      <c r="A99" s="191" t="str">
        <f aca="false">+A100</f>
        <v>[ocultar]</v>
      </c>
      <c r="B99" s="192" t="s">
        <v>253</v>
      </c>
      <c r="C99" s="193"/>
      <c r="D99" s="194"/>
      <c r="E99" s="195" t="str">
        <f aca="false">IFERROR((E100-E101)/E100,"")</f>
        <v/>
      </c>
      <c r="F99" s="196" t="str">
        <f aca="false">IFERROR((F100-F101)/F100,"")</f>
        <v/>
      </c>
      <c r="G99" s="197" t="str">
        <f aca="false">IFERROR((G100-G101)/G100,"")</f>
        <v/>
      </c>
      <c r="H99" s="197" t="str">
        <f aca="false">IFERROR((H100-H101)/H100,"")</f>
        <v/>
      </c>
      <c r="I99" s="197" t="str">
        <f aca="false">IFERROR((I100-I101)/I100,"")</f>
        <v/>
      </c>
      <c r="J99" s="198" t="str">
        <f aca="false">IFERROR((J100-J101)/J100,"")</f>
        <v/>
      </c>
      <c r="K99" s="199" t="str">
        <f aca="false">IFERROR((K100-K101)/K100,"")</f>
        <v/>
      </c>
      <c r="L99" s="199" t="str">
        <f aca="false">IFERROR((L100-L101)/L100,"")</f>
        <v/>
      </c>
      <c r="M99" s="199" t="str">
        <f aca="false">IFERROR((M100-M101)/M100,"")</f>
        <v/>
      </c>
      <c r="N99" s="199" t="str">
        <f aca="false">IFERROR((N100-N101)/N100,"")</f>
        <v/>
      </c>
      <c r="O99" s="199" t="str">
        <f aca="false">IFERROR((O100-O101)/O100,"")</f>
        <v/>
      </c>
      <c r="P99" s="199" t="str">
        <f aca="false">IFERROR((P100-P101)/P100,"")</f>
        <v/>
      </c>
      <c r="Q99" s="199" t="str">
        <f aca="false">IFERROR((Q100-Q101)/Q100,"")</f>
        <v/>
      </c>
      <c r="R99" s="199" t="str">
        <f aca="false">IFERROR((R100-R101)/R100,"")</f>
        <v/>
      </c>
      <c r="S99" s="199" t="str">
        <f aca="false">IFERROR((S100-S101)/S100,"")</f>
        <v/>
      </c>
      <c r="T99" s="199" t="str">
        <f aca="false">IFERROR((T100-T101)/T100,"")</f>
        <v/>
      </c>
      <c r="U99" s="199" t="str">
        <f aca="false">IFERROR((U100-U101)/U100,"")</f>
        <v/>
      </c>
      <c r="V99" s="198" t="str">
        <f aca="false">IFERROR((V100-V101)/V100,"")</f>
        <v/>
      </c>
      <c r="W99" s="198" t="str">
        <f aca="false">IFERROR((W100-W101)/W100,"")</f>
        <v/>
      </c>
      <c r="X99" s="198" t="str">
        <f aca="false">IFERROR((X100-X101)/X100,"")</f>
        <v/>
      </c>
      <c r="Y99" s="198" t="str">
        <f aca="false">IFERROR((Y100-Y101)/Y100,"")</f>
        <v/>
      </c>
      <c r="Z99" s="198" t="str">
        <f aca="false">IFERROR((Z100-Z101)/Z100,"")</f>
        <v/>
      </c>
      <c r="AA99" s="198" t="str">
        <f aca="false">IFERROR((AA100-AA101)/AA100,"")</f>
        <v/>
      </c>
      <c r="AB99" s="198" t="str">
        <f aca="false">IFERROR((AB100-AB101)/AB100,"")</f>
        <v/>
      </c>
      <c r="AC99" s="198" t="str">
        <f aca="false">IFERROR((AC100-AC101)/AC100,"")</f>
        <v/>
      </c>
      <c r="AD99" s="198" t="str">
        <f aca="false">IFERROR((AD100-AD101)/AD100,"")</f>
        <v/>
      </c>
      <c r="AE99" s="198" t="str">
        <f aca="false">IFERROR((AE100-AE101)/AE100,"")</f>
        <v/>
      </c>
      <c r="AF99" s="198" t="str">
        <f aca="false">IFERROR((AF100-AF101)/AF100,"")</f>
        <v/>
      </c>
      <c r="AG99" s="198" t="str">
        <f aca="false">IFERROR((AG100-AG101)/AG100,"")</f>
        <v/>
      </c>
      <c r="AH99" s="198" t="str">
        <f aca="false">IFERROR((AH100-AH101)/AH100,"")</f>
        <v/>
      </c>
      <c r="AI99" s="198" t="str">
        <f aca="false">IFERROR((AI100-AI101)/AI100,"")</f>
        <v/>
      </c>
      <c r="AJ99" s="200" t="str">
        <f aca="false">IFERROR((AJ100-AJ101)/AJ100,"")</f>
        <v/>
      </c>
      <c r="AK99" s="201" t="str">
        <f aca="false">IFERROR((AK100-AK101)/AK100,"")</f>
        <v/>
      </c>
      <c r="AL99" s="202" t="str">
        <f aca="false">IFERROR((AL100-AL101)/AL100,"")</f>
        <v/>
      </c>
      <c r="AM99" s="202" t="str">
        <f aca="false">IFERROR((AM100-AM101)/AM100,"")</f>
        <v/>
      </c>
      <c r="AN99" s="202" t="str">
        <f aca="false">IFERROR((AN100-AN101)/AN100,"")</f>
        <v/>
      </c>
      <c r="AO99" s="202" t="str">
        <f aca="false">IFERROR((AO100-AO101)/AO100,"")</f>
        <v/>
      </c>
      <c r="AP99" s="202" t="str">
        <f aca="false">IFERROR((AP100-AP101)/AP100,"")</f>
        <v/>
      </c>
      <c r="AQ99" s="203" t="str">
        <f aca="false">IFERROR((AQ100-AQ101)/AQ100,"")</f>
        <v/>
      </c>
      <c r="AR99" s="204" t="str">
        <f aca="false">IFERROR((AR100-AR101)/AR100,"")</f>
        <v/>
      </c>
    </row>
    <row r="100" customFormat="false" ht="14.25" hidden="false" customHeight="false" outlineLevel="0" collapsed="false">
      <c r="A100" s="191" t="str">
        <f aca="false">+IF(C100+C101=0,"[ocultar]","")</f>
        <v>[ocultar]</v>
      </c>
      <c r="B100" s="205" t="s">
        <v>371</v>
      </c>
      <c r="C100" s="206" t="n">
        <f aca="false" t="array" ref="C100:C100">SUM(IF($B100=DATOS_[Sexo], IF($B99=DATOS_[AGRUP. VALOR. PTO.], IF("Dentro"=DATOS_[Check Periodo Ref.], 1/(COUNTIFS(DATOS_[Sexo],$B100,DATOS_[AGRUP. VALOR. PTO.],$B99,DATOS_[Check Periodo Ref.],"Dentro",DATOS_[id],DATOS_[id]))))))</f>
        <v>0</v>
      </c>
      <c r="D100" s="207" t="n">
        <f aca="false">COUNTIFS(DATOS_[AGRUP. VALOR. PTO.],$B99,DATOS_[Sexo],$B100,DATOS_[Check Periodo Ref.],"Dentro")</f>
        <v>0</v>
      </c>
      <c r="E100" s="208" t="n">
        <f aca="false" t="array" ref="E100:E100">IFERROR( AVERAGE(IF(DATOS_[Sexo]=$B100,IF(DATOS_[AGRUP. VALOR. PTO.]=$B99,IF(DATOS_[Check Periodo Ref.]="Dentro",DATOS_[SALARIO BASE Ef],0)))), 0)</f>
        <v>0</v>
      </c>
      <c r="F100" s="209" t="n">
        <f aca="false" t="array" ref="F100:F100">IFERROR( AVERAGE((IF(DATOS_[[Sexo]:[Sexo]]=$B100,IF(DATOS_[[AGRUP. VALOR. PTO.]:[AGRUP. VALOR. PTO.]]=$B99,IF(DATOS_[[Check Periodo Ref.]:[Check Periodo Ref.]]="Dentro",DATOS_[Conc.Sal.01]))))), 0)</f>
        <v>0</v>
      </c>
      <c r="G100" s="209" t="n">
        <f aca="false" t="array" ref="G100:G100">IFERROR( AVERAGE((IF(DATOS_[[Sexo]:[Sexo]]=$B100,IF(DATOS_[[AGRUP. VALOR. PTO.]:[AGRUP. VALOR. PTO.]]=$B99,IF(DATOS_[[Check Periodo Ref.]:[Check Periodo Ref.]]="Dentro",DATOS_[Conc.Sal.02]))))), 0)</f>
        <v>0</v>
      </c>
      <c r="H100" s="209" t="n">
        <f aca="false" t="array" ref="H100:H100">IFERROR( AVERAGE((IF(DATOS_[[Sexo]:[Sexo]]=$B100,IF(DATOS_[[AGRUP. VALOR. PTO.]:[AGRUP. VALOR. PTO.]]=$B99,IF(DATOS_[[Check Periodo Ref.]:[Check Periodo Ref.]]="Dentro",DATOS_[Conc.Sal.03]))))), 0)</f>
        <v>0</v>
      </c>
      <c r="I100" s="209" t="n">
        <f aca="false" t="array" ref="I100:I100">IFERROR( AVERAGE((IF(DATOS_[[Sexo]:[Sexo]]=$B100,IF(DATOS_[[AGRUP. VALOR. PTO.]:[AGRUP. VALOR. PTO.]]=$B99,IF(DATOS_[[Check Periodo Ref.]:[Check Periodo Ref.]]="Dentro",DATOS_[Conc.Sal.04]))))), 0)</f>
        <v>0</v>
      </c>
      <c r="J100" s="209" t="n">
        <f aca="false" t="array" ref="J100:J100">IFERROR( AVERAGE((IF(DATOS_[[Sexo]:[Sexo]]=$B100,IF(DATOS_[[AGRUP. VALOR. PTO.]:[AGRUP. VALOR. PTO.]]=$B99,IF(DATOS_[[Check Periodo Ref.]:[Check Periodo Ref.]]="Dentro",DATOS_[Conc.Sal.05]))))), 0)</f>
        <v>0</v>
      </c>
      <c r="K100" s="209" t="n">
        <f aca="false" t="array" ref="K100:K100">IFERROR( AVERAGE((IF(DATOS_[[Sexo]:[Sexo]]=$B100,IF(DATOS_[[AGRUP. VALOR. PTO.]:[AGRUP. VALOR. PTO.]]=$B99,IF(DATOS_[[Check Periodo Ref.]:[Check Periodo Ref.]]="Dentro",DATOS_[Conc.Sal.06]))))), 0)</f>
        <v>0</v>
      </c>
      <c r="L100" s="209" t="n">
        <f aca="false" t="array" ref="L100:L100">IFERROR( AVERAGE((IF(DATOS_[[Sexo]:[Sexo]]=$B100,IF(DATOS_[[AGRUP. VALOR. PTO.]:[AGRUP. VALOR. PTO.]]=$B99,IF(DATOS_[[Check Periodo Ref.]:[Check Periodo Ref.]]="Dentro",DATOS_[Conc.Sal.07]))))), 0)</f>
        <v>0</v>
      </c>
      <c r="M100" s="209" t="n">
        <f aca="false" t="array" ref="M100:M100">IFERROR( AVERAGE((IF(DATOS_[[Sexo]:[Sexo]]=$B100,IF(DATOS_[[AGRUP. VALOR. PTO.]:[AGRUP. VALOR. PTO.]]=$B99,IF(DATOS_[[Check Periodo Ref.]:[Check Periodo Ref.]]="Dentro",DATOS_[Conc.Sal.08]))))), 0)</f>
        <v>0</v>
      </c>
      <c r="N100" s="209" t="n">
        <f aca="false" t="array" ref="N100:N100">IFERROR( AVERAGE((IF(DATOS_[[Sexo]:[Sexo]]=$B100,IF(DATOS_[[AGRUP. VALOR. PTO.]:[AGRUP. VALOR. PTO.]]=$B99,IF(DATOS_[[Check Periodo Ref.]:[Check Periodo Ref.]]="Dentro",DATOS_[Conc.Sal.09]))))), 0)</f>
        <v>0</v>
      </c>
      <c r="O100" s="209" t="n">
        <f aca="false" t="array" ref="O100:O100">IFERROR( AVERAGE((IF(DATOS_[[Sexo]:[Sexo]]=$B100,IF(DATOS_[[AGRUP. VALOR. PTO.]:[AGRUP. VALOR. PTO.]]=$B99,IF(DATOS_[[Check Periodo Ref.]:[Check Periodo Ref.]]="Dentro",DATOS_[Conc.Sal.10]))))), 0)</f>
        <v>0</v>
      </c>
      <c r="P100" s="209" t="n">
        <f aca="false" t="array" ref="P100:P100">IFERROR( AVERAGE((IF(DATOS_[[Sexo]:[Sexo]]=$B100,IF(DATOS_[[AGRUP. VALOR. PTO.]:[AGRUP. VALOR. PTO.]]=$B99,IF(DATOS_[[Check Periodo Ref.]:[Check Periodo Ref.]]="Dentro",DATOS_[Conc.Sal.11]))))), 0)</f>
        <v>0</v>
      </c>
      <c r="Q100" s="209" t="n">
        <f aca="false" t="array" ref="Q100:Q100">IFERROR( AVERAGE((IF(DATOS_[[Sexo]:[Sexo]]=$B100,IF(DATOS_[[AGRUP. VALOR. PTO.]:[AGRUP. VALOR. PTO.]]=$B99,IF(DATOS_[[Check Periodo Ref.]:[Check Periodo Ref.]]="Dentro",DATOS_[Conc.Sal.12]))))), 0)</f>
        <v>0</v>
      </c>
      <c r="R100" s="209" t="n">
        <f aca="false" t="array" ref="R100:R100">IFERROR( AVERAGE((IF(DATOS_[[Sexo]:[Sexo]]=$B100,IF(DATOS_[[AGRUP. VALOR. PTO.]:[AGRUP. VALOR. PTO.]]=$B99,IF(DATOS_[[Check Periodo Ref.]:[Check Periodo Ref.]]="Dentro",DATOS_[Conc.Sal.13]))))), 0)</f>
        <v>0</v>
      </c>
      <c r="S100" s="209" t="n">
        <f aca="false" t="array" ref="S100:S100">IFERROR( AVERAGE((IF(DATOS_[[Sexo]:[Sexo]]=$B100,IF(DATOS_[[AGRUP. VALOR. PTO.]:[AGRUP. VALOR. PTO.]]=$B99,IF(DATOS_[[Check Periodo Ref.]:[Check Periodo Ref.]]="Dentro",DATOS_[Conc.Sal.14]))))), 0)</f>
        <v>0</v>
      </c>
      <c r="T100" s="209" t="n">
        <f aca="false" t="array" ref="T100:T100">IFERROR( AVERAGE((IF(DATOS_[[Sexo]:[Sexo]]=$B100,IF(DATOS_[[AGRUP. VALOR. PTO.]:[AGRUP. VALOR. PTO.]]=$B99,IF(DATOS_[[Check Periodo Ref.]:[Check Periodo Ref.]]="Dentro",DATOS_[Conc.Sal.15]))))), 0)</f>
        <v>0</v>
      </c>
      <c r="U100" s="209" t="n">
        <f aca="false" t="array" ref="U100:U100">IFERROR( AVERAGE((IF(DATOS_[[Sexo]:[Sexo]]=$B100,IF(DATOS_[[AGRUP. VALOR. PTO.]:[AGRUP. VALOR. PTO.]]=$B99,IF(DATOS_[[Check Periodo Ref.]:[Check Periodo Ref.]]="Dentro",DATOS_[Conc.Sal.16]))))), 0)</f>
        <v>0</v>
      </c>
      <c r="V100" s="209" t="n">
        <f aca="false" t="array" ref="V100:V100">IFERROR( AVERAGE((IF(DATOS_[[Sexo]:[Sexo]]=$B100,IF(DATOS_[[AGRUP. VALOR. PTO.]:[AGRUP. VALOR. PTO.]]=$B99,IF(DATOS_[[Check Periodo Ref.]:[Check Periodo Ref.]]="Dentro",DATOS_[Conc.Sal.17]))))), 0)</f>
        <v>0</v>
      </c>
      <c r="W100" s="209" t="n">
        <f aca="false" t="array" ref="W100:W100">IFERROR( AVERAGE((IF(DATOS_[[Sexo]:[Sexo]]=$B100,IF(DATOS_[[AGRUP. VALOR. PTO.]:[AGRUP. VALOR. PTO.]]=$B99,IF(DATOS_[[Check Periodo Ref.]:[Check Periodo Ref.]]="Dentro",DATOS_[Conc.Sal.18]))))), 0)</f>
        <v>0</v>
      </c>
      <c r="X100" s="209" t="n">
        <f aca="false" t="array" ref="X100:X100">IFERROR( AVERAGE((IF(DATOS_[[Sexo]:[Sexo]]=$B100,IF(DATOS_[[AGRUP. VALOR. PTO.]:[AGRUP. VALOR. PTO.]]=$B99,IF(DATOS_[[Check Periodo Ref.]:[Check Periodo Ref.]]="Dentro",DATOS_[Conc.Sal.19]))))), 0)</f>
        <v>0</v>
      </c>
      <c r="Y100" s="209" t="n">
        <f aca="false" t="array" ref="Y100:Y100">IFERROR( AVERAGE((IF(DATOS_[[Sexo]:[Sexo]]=$B100,IF(DATOS_[[AGRUP. VALOR. PTO.]:[AGRUP. VALOR. PTO.]]=$B99,IF(DATOS_[[Check Periodo Ref.]:[Check Periodo Ref.]]="Dentro",DATOS_[Conc.Sal.20]))))), 0)</f>
        <v>0</v>
      </c>
      <c r="Z100" s="209" t="n">
        <f aca="false" t="array" ref="Z100:Z100">IFERROR( AVERAGE((IF(DATOS_[[Sexo]:[Sexo]]=$B100,IF(DATOS_[[AGRUP. VALOR. PTO.]:[AGRUP. VALOR. PTO.]]=$B99,IF(DATOS_[[Check Periodo Ref.]:[Check Periodo Ref.]]="Dentro",DATOS_[Conc.Sal.21]))))), 0)</f>
        <v>0</v>
      </c>
      <c r="AA100" s="209" t="n">
        <f aca="false" t="array" ref="AA100:AA100">IFERROR( AVERAGE((IF(DATOS_[[Sexo]:[Sexo]]=$B100,IF(DATOS_[[AGRUP. VALOR. PTO.]:[AGRUP. VALOR. PTO.]]=$B99,IF(DATOS_[[Check Periodo Ref.]:[Check Periodo Ref.]]="Dentro",DATOS_[Conc.Sal.22]))))), 0)</f>
        <v>0</v>
      </c>
      <c r="AB100" s="209" t="n">
        <f aca="false" t="array" ref="AB100:AB100">IFERROR( AVERAGE((IF(DATOS_[[Sexo]:[Sexo]]=$B100,IF(DATOS_[[AGRUP. VALOR. PTO.]:[AGRUP. VALOR. PTO.]]=$B99,IF(DATOS_[[Check Periodo Ref.]:[Check Periodo Ref.]]="Dentro",DATOS_[Conc.Sal.23]))))), 0)</f>
        <v>0</v>
      </c>
      <c r="AC100" s="209" t="n">
        <f aca="false" t="array" ref="AC100:AC100">IFERROR( AVERAGE((IF(DATOS_[[Sexo]:[Sexo]]=$B100,IF(DATOS_[[AGRUP. VALOR. PTO.]:[AGRUP. VALOR. PTO.]]=$B99,IF(DATOS_[[Check Periodo Ref.]:[Check Periodo Ref.]]="Dentro",DATOS_[Conc.Sal.24]))))), 0)</f>
        <v>0</v>
      </c>
      <c r="AD100" s="209" t="n">
        <f aca="false" t="array" ref="AD100:AD100">IFERROR( AVERAGE((IF(DATOS_[[Sexo]:[Sexo]]=$B100,IF(DATOS_[[AGRUP. VALOR. PTO.]:[AGRUP. VALOR. PTO.]]=$B99,IF(DATOS_[[Check Periodo Ref.]:[Check Periodo Ref.]]="Dentro",DATOS_[Conc.Sal.25]))))), 0)</f>
        <v>0</v>
      </c>
      <c r="AE100" s="209" t="n">
        <f aca="false" t="array" ref="AE100:AE100">IFERROR( AVERAGE((IF(DATOS_[[Sexo]:[Sexo]]=$B100,IF(DATOS_[[AGRUP. VALOR. PTO.]:[AGRUP. VALOR. PTO.]]=$B99,IF(DATOS_[[Check Periodo Ref.]:[Check Periodo Ref.]]="Dentro",DATOS_[Conc.Sal.26]))))), 0)</f>
        <v>0</v>
      </c>
      <c r="AF100" s="209" t="n">
        <f aca="false" t="array" ref="AF100:AF100">IFERROR( AVERAGE((IF(DATOS_[[Sexo]:[Sexo]]=$B100,IF(DATOS_[[AGRUP. VALOR. PTO.]:[AGRUP. VALOR. PTO.]]=$B99,IF(DATOS_[[Check Periodo Ref.]:[Check Periodo Ref.]]="Dentro",DATOS_[Conc.Sal.27]))))), 0)</f>
        <v>0</v>
      </c>
      <c r="AG100" s="209" t="n">
        <f aca="false" t="array" ref="AG100:AG100">IFERROR( AVERAGE((IF(DATOS_[[Sexo]:[Sexo]]=$B100,IF(DATOS_[[AGRUP. VALOR. PTO.]:[AGRUP. VALOR. PTO.]]=$B99,IF(DATOS_[[Check Periodo Ref.]:[Check Periodo Ref.]]="Dentro",DATOS_[Conc.Sal.28]))))), 0)</f>
        <v>0</v>
      </c>
      <c r="AH100" s="209" t="n">
        <f aca="false" t="array" ref="AH100:AH100">IFERROR( AVERAGE((IF(DATOS_[[Sexo]:[Sexo]]=$B100,IF(DATOS_[[AGRUP. VALOR. PTO.]:[AGRUP. VALOR. PTO.]]=$B99,IF(DATOS_[[Check Periodo Ref.]:[Check Periodo Ref.]]="Dentro",DATOS_[Conc.Sal.29]))))), 0)</f>
        <v>0</v>
      </c>
      <c r="AI100" s="209" t="n">
        <f aca="false" t="array" ref="AI100:AI100">IFERROR( AVERAGE((IF(DATOS_[[Sexo]:[Sexo]]=$B100,IF(DATOS_[[AGRUP. VALOR. PTO.]:[AGRUP. VALOR. PTO.]]=$B99,IF(DATOS_[[Check Periodo Ref.]:[Check Periodo Ref.]]="Dentro",DATOS_[Conc.Sal.30]))))), 0)</f>
        <v>0</v>
      </c>
      <c r="AJ100" s="210" t="n">
        <f aca="false" t="array" ref="AJ100:AJ100">IFERROR( AVERAGE(IF(DATOS_[Sexo]=$B100,IF(DATOS_[AGRUP. VALOR. PTO.]=$B99,IF(DATOS_[Check Periodo Ref.]="Dentro",DATOS_[Tot COMPL.SAL Ef],0)))), 0)</f>
        <v>0</v>
      </c>
      <c r="AK100" s="211" t="n">
        <f aca="false" t="array" ref="AK100:AK100">IFERROR( AVERAGE(IF(DATOS_[Sexo]=$B100,IF(DATOS_[AGRUP. VALOR. PTO.]=$B99,IF(DATOS_[Check Periodo Ref.]="Dentro",DATOS_[TOTAL SALARIO Ef],0)))), 0)</f>
        <v>0</v>
      </c>
      <c r="AL100" s="212" t="n">
        <f aca="false" t="array" ref="AL100:AL100">IFERROR( AVERAGE((IF(DATOS_[[Sexo]:[Sexo]]=$B100,IF(DATOS_[[AGRUP. VALOR. PTO.]:[AGRUP. VALOR. PTO.]]=$B99,IF(DATOS_[[Check Periodo Ref.]:[Check Periodo Ref.]]="Dentro",DATOS_[C.Extra.01]))))), 0)</f>
        <v>0</v>
      </c>
      <c r="AM100" s="212" t="n">
        <f aca="false" t="array" ref="AM100:AM100">IFERROR( AVERAGE((IF(DATOS_[[Sexo]:[Sexo]]=$B100,IF(DATOS_[[AGRUP. VALOR. PTO.]:[AGRUP. VALOR. PTO.]]=$B99,IF(DATOS_[[Check Periodo Ref.]:[Check Periodo Ref.]]="Dentro",DATOS_[C.Extra.02]))))), 0)</f>
        <v>0</v>
      </c>
      <c r="AN100" s="212" t="n">
        <f aca="false" t="array" ref="AN100:AN100">IFERROR( AVERAGE((IF(DATOS_[[Sexo]:[Sexo]]=$B100,IF(DATOS_[[AGRUP. VALOR. PTO.]:[AGRUP. VALOR. PTO.]]=$B99,IF(DATOS_[[Check Periodo Ref.]:[Check Periodo Ref.]]="Dentro",DATOS_[C.Extra.03]))))), 0)</f>
        <v>0</v>
      </c>
      <c r="AO100" s="212" t="n">
        <f aca="false" t="array" ref="AO100:AO100">IFERROR( AVERAGE((IF(DATOS_[[Sexo]:[Sexo]]=$B100,IF(DATOS_[[AGRUP. VALOR. PTO.]:[AGRUP. VALOR. PTO.]]=$B99,IF(DATOS_[[Check Periodo Ref.]:[Check Periodo Ref.]]="Dentro",DATOS_[C.Extra.04]))))), 0)</f>
        <v>0</v>
      </c>
      <c r="AP100" s="212" t="n">
        <f aca="false" t="array" ref="AP100:AP100">IFERROR( AVERAGE((IF(DATOS_[[Sexo]:[Sexo]]=$B100,IF(DATOS_[[AGRUP. VALOR. PTO.]:[AGRUP. VALOR. PTO.]]=$B99,IF(DATOS_[[Check Periodo Ref.]:[Check Periodo Ref.]]="Dentro",DATOS_[C.Extra.05]))))), 0)</f>
        <v>0</v>
      </c>
      <c r="AQ100" s="213" t="n">
        <f aca="false" t="array" ref="AQ100:AQ100">IFERROR( AVERAGE(IF(DATOS_[Sexo]=$B100,IF(DATOS_[AGRUP. VALOR. PTO.]=$B99,IF(DATOS_[Check Periodo Ref.]="Dentro",DATOS_[Tot Extrasalarial Ef],0)))), 0)</f>
        <v>0</v>
      </c>
      <c r="AR100" s="214" t="n">
        <f aca="false" t="array" ref="AR100:AR100">IFERROR( AVERAGE(IF(DATOS_[Sexo]=$B100,IF(DATOS_[AGRUP. VALOR. PTO.]=$B99,IF(DATOS_[Check Periodo Ref.]="Dentro",DATOS_[TOTAL Retrib Ef],0)))), 0)</f>
        <v>0</v>
      </c>
    </row>
    <row r="101" customFormat="false" ht="14.25" hidden="false" customHeight="false" outlineLevel="0" collapsed="false">
      <c r="A101" s="191" t="str">
        <f aca="false">+A100</f>
        <v>[ocultar]</v>
      </c>
      <c r="B101" s="205" t="s">
        <v>372</v>
      </c>
      <c r="C101" s="206" t="n">
        <f aca="false" t="array" ref="C101:C101">SUM(IF($B101=DATOS_[Sexo], IF($B99=DATOS_[AGRUP. VALOR. PTO.], IF("Dentro"=DATOS_[Check Periodo Ref.], 1/(COUNTIFS(DATOS_[Sexo],$B101,DATOS_[AGRUP. VALOR. PTO.],$B99,DATOS_[Check Periodo Ref.],"Dentro",DATOS_[id],DATOS_[id]))))))</f>
        <v>0</v>
      </c>
      <c r="D101" s="207" t="n">
        <f aca="false">COUNTIFS(DATOS_[AGRUP. VALOR. PTO.],$B99,DATOS_[Sexo],$B101,DATOS_[Check Periodo Ref.],"Dentro")</f>
        <v>0</v>
      </c>
      <c r="E101" s="208" t="n">
        <f aca="false" t="array" ref="E101:E101">IFERROR( AVERAGE(IF(DATOS_[Sexo]=$B101,IF(DATOS_[AGRUP. VALOR. PTO.]=$B99,IF(DATOS_[Check Periodo Ref.]="Dentro",DATOS_[SALARIO BASE Ef],0)))), 0)</f>
        <v>0</v>
      </c>
      <c r="F101" s="209" t="n">
        <f aca="false" t="array" ref="F101:F101">IFERROR( AVERAGE((IF(DATOS_[[Sexo]:[Sexo]]=$B101,IF(DATOS_[[AGRUP. VALOR. PTO.]:[AGRUP. VALOR. PTO.]]=$B99,IF(DATOS_[[Check Periodo Ref.]:[Check Periodo Ref.]]="Dentro",DATOS_[Conc.Sal.01]))))), 0)</f>
        <v>0</v>
      </c>
      <c r="G101" s="209" t="n">
        <f aca="false" t="array" ref="G101:G101">IFERROR( AVERAGE((IF(DATOS_[[Sexo]:[Sexo]]=$B101,IF(DATOS_[[AGRUP. VALOR. PTO.]:[AGRUP. VALOR. PTO.]]=$B99,IF(DATOS_[[Check Periodo Ref.]:[Check Periodo Ref.]]="Dentro",DATOS_[Conc.Sal.02]))))), 0)</f>
        <v>0</v>
      </c>
      <c r="H101" s="209" t="n">
        <f aca="false" t="array" ref="H101:H101">IFERROR( AVERAGE((IF(DATOS_[[Sexo]:[Sexo]]=$B101,IF(DATOS_[[AGRUP. VALOR. PTO.]:[AGRUP. VALOR. PTO.]]=$B99,IF(DATOS_[[Check Periodo Ref.]:[Check Periodo Ref.]]="Dentro",DATOS_[Conc.Sal.03]))))), 0)</f>
        <v>0</v>
      </c>
      <c r="I101" s="209" t="n">
        <f aca="false" t="array" ref="I101:I101">IFERROR( AVERAGE((IF(DATOS_[[Sexo]:[Sexo]]=$B101,IF(DATOS_[[AGRUP. VALOR. PTO.]:[AGRUP. VALOR. PTO.]]=$B99,IF(DATOS_[[Check Periodo Ref.]:[Check Periodo Ref.]]="Dentro",DATOS_[Conc.Sal.04]))))), 0)</f>
        <v>0</v>
      </c>
      <c r="J101" s="209" t="n">
        <f aca="false" t="array" ref="J101:J101">IFERROR( AVERAGE((IF(DATOS_[[Sexo]:[Sexo]]=$B101,IF(DATOS_[[AGRUP. VALOR. PTO.]:[AGRUP. VALOR. PTO.]]=$B99,IF(DATOS_[[Check Periodo Ref.]:[Check Periodo Ref.]]="Dentro",DATOS_[Conc.Sal.05]))))), 0)</f>
        <v>0</v>
      </c>
      <c r="K101" s="209" t="n">
        <f aca="false" t="array" ref="K101:K101">IFERROR( AVERAGE((IF(DATOS_[[Sexo]:[Sexo]]=$B101,IF(DATOS_[[AGRUP. VALOR. PTO.]:[AGRUP. VALOR. PTO.]]=$B99,IF(DATOS_[[Check Periodo Ref.]:[Check Periodo Ref.]]="Dentro",DATOS_[Conc.Sal.06]))))), 0)</f>
        <v>0</v>
      </c>
      <c r="L101" s="209" t="n">
        <f aca="false" t="array" ref="L101:L101">IFERROR( AVERAGE((IF(DATOS_[[Sexo]:[Sexo]]=$B101,IF(DATOS_[[AGRUP. VALOR. PTO.]:[AGRUP. VALOR. PTO.]]=$B99,IF(DATOS_[[Check Periodo Ref.]:[Check Periodo Ref.]]="Dentro",DATOS_[Conc.Sal.07]))))), 0)</f>
        <v>0</v>
      </c>
      <c r="M101" s="209" t="n">
        <f aca="false" t="array" ref="M101:M101">IFERROR( AVERAGE((IF(DATOS_[[Sexo]:[Sexo]]=$B101,IF(DATOS_[[AGRUP. VALOR. PTO.]:[AGRUP. VALOR. PTO.]]=$B99,IF(DATOS_[[Check Periodo Ref.]:[Check Periodo Ref.]]="Dentro",DATOS_[Conc.Sal.08]))))), 0)</f>
        <v>0</v>
      </c>
      <c r="N101" s="209" t="n">
        <f aca="false" t="array" ref="N101:N101">IFERROR( AVERAGE((IF(DATOS_[[Sexo]:[Sexo]]=$B101,IF(DATOS_[[AGRUP. VALOR. PTO.]:[AGRUP. VALOR. PTO.]]=$B99,IF(DATOS_[[Check Periodo Ref.]:[Check Periodo Ref.]]="Dentro",DATOS_[Conc.Sal.09]))))), 0)</f>
        <v>0</v>
      </c>
      <c r="O101" s="209" t="n">
        <f aca="false" t="array" ref="O101:O101">IFERROR( AVERAGE((IF(DATOS_[[Sexo]:[Sexo]]=$B101,IF(DATOS_[[AGRUP. VALOR. PTO.]:[AGRUP. VALOR. PTO.]]=$B99,IF(DATOS_[[Check Periodo Ref.]:[Check Periodo Ref.]]="Dentro",DATOS_[Conc.Sal.10]))))), 0)</f>
        <v>0</v>
      </c>
      <c r="P101" s="209" t="n">
        <f aca="false" t="array" ref="P101:P101">IFERROR( AVERAGE((IF(DATOS_[[Sexo]:[Sexo]]=$B101,IF(DATOS_[[AGRUP. VALOR. PTO.]:[AGRUP. VALOR. PTO.]]=$B99,IF(DATOS_[[Check Periodo Ref.]:[Check Periodo Ref.]]="Dentro",DATOS_[Conc.Sal.11]))))), 0)</f>
        <v>0</v>
      </c>
      <c r="Q101" s="209" t="n">
        <f aca="false" t="array" ref="Q101:Q101">IFERROR( AVERAGE((IF(DATOS_[[Sexo]:[Sexo]]=$B101,IF(DATOS_[[AGRUP. VALOR. PTO.]:[AGRUP. VALOR. PTO.]]=$B99,IF(DATOS_[[Check Periodo Ref.]:[Check Periodo Ref.]]="Dentro",DATOS_[Conc.Sal.12]))))), 0)</f>
        <v>0</v>
      </c>
      <c r="R101" s="209" t="n">
        <f aca="false" t="array" ref="R101:R101">IFERROR( AVERAGE((IF(DATOS_[[Sexo]:[Sexo]]=$B101,IF(DATOS_[[AGRUP. VALOR. PTO.]:[AGRUP. VALOR. PTO.]]=$B99,IF(DATOS_[[Check Periodo Ref.]:[Check Periodo Ref.]]="Dentro",DATOS_[Conc.Sal.13]))))), 0)</f>
        <v>0</v>
      </c>
      <c r="S101" s="209" t="n">
        <f aca="false" t="array" ref="S101:S101">IFERROR( AVERAGE((IF(DATOS_[[Sexo]:[Sexo]]=$B101,IF(DATOS_[[AGRUP. VALOR. PTO.]:[AGRUP. VALOR. PTO.]]=$B99,IF(DATOS_[[Check Periodo Ref.]:[Check Periodo Ref.]]="Dentro",DATOS_[Conc.Sal.14]))))), 0)</f>
        <v>0</v>
      </c>
      <c r="T101" s="209" t="n">
        <f aca="false" t="array" ref="T101:T101">IFERROR( AVERAGE((IF(DATOS_[[Sexo]:[Sexo]]=$B101,IF(DATOS_[[AGRUP. VALOR. PTO.]:[AGRUP. VALOR. PTO.]]=$B99,IF(DATOS_[[Check Periodo Ref.]:[Check Periodo Ref.]]="Dentro",DATOS_[Conc.Sal.15]))))), 0)</f>
        <v>0</v>
      </c>
      <c r="U101" s="209" t="n">
        <f aca="false" t="array" ref="U101:U101">IFERROR( AVERAGE((IF(DATOS_[[Sexo]:[Sexo]]=$B101,IF(DATOS_[[AGRUP. VALOR. PTO.]:[AGRUP. VALOR. PTO.]]=$B99,IF(DATOS_[[Check Periodo Ref.]:[Check Periodo Ref.]]="Dentro",DATOS_[Conc.Sal.16]))))), 0)</f>
        <v>0</v>
      </c>
      <c r="V101" s="209" t="n">
        <f aca="false" t="array" ref="V101:V101">IFERROR( AVERAGE((IF(DATOS_[[Sexo]:[Sexo]]=$B101,IF(DATOS_[[AGRUP. VALOR. PTO.]:[AGRUP. VALOR. PTO.]]=$B99,IF(DATOS_[[Check Periodo Ref.]:[Check Periodo Ref.]]="Dentro",DATOS_[Conc.Sal.17]))))), 0)</f>
        <v>0</v>
      </c>
      <c r="W101" s="209" t="n">
        <f aca="false" t="array" ref="W101:W101">IFERROR( AVERAGE((IF(DATOS_[[Sexo]:[Sexo]]=$B101,IF(DATOS_[[AGRUP. VALOR. PTO.]:[AGRUP. VALOR. PTO.]]=$B99,IF(DATOS_[[Check Periodo Ref.]:[Check Periodo Ref.]]="Dentro",DATOS_[Conc.Sal.18]))))), 0)</f>
        <v>0</v>
      </c>
      <c r="X101" s="209" t="n">
        <f aca="false" t="array" ref="X101:X101">IFERROR( AVERAGE((IF(DATOS_[[Sexo]:[Sexo]]=$B101,IF(DATOS_[[AGRUP. VALOR. PTO.]:[AGRUP. VALOR. PTO.]]=$B99,IF(DATOS_[[Check Periodo Ref.]:[Check Periodo Ref.]]="Dentro",DATOS_[Conc.Sal.19]))))), 0)</f>
        <v>0</v>
      </c>
      <c r="Y101" s="209" t="n">
        <f aca="false" t="array" ref="Y101:Y101">IFERROR( AVERAGE((IF(DATOS_[[Sexo]:[Sexo]]=$B101,IF(DATOS_[[AGRUP. VALOR. PTO.]:[AGRUP. VALOR. PTO.]]=$B99,IF(DATOS_[[Check Periodo Ref.]:[Check Periodo Ref.]]="Dentro",DATOS_[Conc.Sal.20]))))), 0)</f>
        <v>0</v>
      </c>
      <c r="Z101" s="209" t="n">
        <f aca="false" t="array" ref="Z101:Z101">IFERROR( AVERAGE((IF(DATOS_[[Sexo]:[Sexo]]=$B101,IF(DATOS_[[AGRUP. VALOR. PTO.]:[AGRUP. VALOR. PTO.]]=$B99,IF(DATOS_[[Check Periodo Ref.]:[Check Periodo Ref.]]="Dentro",DATOS_[Conc.Sal.21]))))), 0)</f>
        <v>0</v>
      </c>
      <c r="AA101" s="209" t="n">
        <f aca="false" t="array" ref="AA101:AA101">IFERROR( AVERAGE((IF(DATOS_[[Sexo]:[Sexo]]=$B101,IF(DATOS_[[AGRUP. VALOR. PTO.]:[AGRUP. VALOR. PTO.]]=$B99,IF(DATOS_[[Check Periodo Ref.]:[Check Periodo Ref.]]="Dentro",DATOS_[Conc.Sal.22]))))), 0)</f>
        <v>0</v>
      </c>
      <c r="AB101" s="209" t="n">
        <f aca="false" t="array" ref="AB101:AB101">IFERROR( AVERAGE((IF(DATOS_[[Sexo]:[Sexo]]=$B101,IF(DATOS_[[AGRUP. VALOR. PTO.]:[AGRUP. VALOR. PTO.]]=$B99,IF(DATOS_[[Check Periodo Ref.]:[Check Periodo Ref.]]="Dentro",DATOS_[Conc.Sal.23]))))), 0)</f>
        <v>0</v>
      </c>
      <c r="AC101" s="209" t="n">
        <f aca="false" t="array" ref="AC101:AC101">IFERROR( AVERAGE((IF(DATOS_[[Sexo]:[Sexo]]=$B101,IF(DATOS_[[AGRUP. VALOR. PTO.]:[AGRUP. VALOR. PTO.]]=$B99,IF(DATOS_[[Check Periodo Ref.]:[Check Periodo Ref.]]="Dentro",DATOS_[Conc.Sal.24]))))), 0)</f>
        <v>0</v>
      </c>
      <c r="AD101" s="209" t="n">
        <f aca="false" t="array" ref="AD101:AD101">IFERROR( AVERAGE((IF(DATOS_[[Sexo]:[Sexo]]=$B101,IF(DATOS_[[AGRUP. VALOR. PTO.]:[AGRUP. VALOR. PTO.]]=$B99,IF(DATOS_[[Check Periodo Ref.]:[Check Periodo Ref.]]="Dentro",DATOS_[Conc.Sal.25]))))), 0)</f>
        <v>0</v>
      </c>
      <c r="AE101" s="209" t="n">
        <f aca="false" t="array" ref="AE101:AE101">IFERROR( AVERAGE((IF(DATOS_[[Sexo]:[Sexo]]=$B101,IF(DATOS_[[AGRUP. VALOR. PTO.]:[AGRUP. VALOR. PTO.]]=$B99,IF(DATOS_[[Check Periodo Ref.]:[Check Periodo Ref.]]="Dentro",DATOS_[Conc.Sal.26]))))), 0)</f>
        <v>0</v>
      </c>
      <c r="AF101" s="209" t="n">
        <f aca="false" t="array" ref="AF101:AF101">IFERROR( AVERAGE((IF(DATOS_[[Sexo]:[Sexo]]=$B101,IF(DATOS_[[AGRUP. VALOR. PTO.]:[AGRUP. VALOR. PTO.]]=$B99,IF(DATOS_[[Check Periodo Ref.]:[Check Periodo Ref.]]="Dentro",DATOS_[Conc.Sal.27]))))), 0)</f>
        <v>0</v>
      </c>
      <c r="AG101" s="209" t="n">
        <f aca="false" t="array" ref="AG101:AG101">IFERROR( AVERAGE((IF(DATOS_[[Sexo]:[Sexo]]=$B101,IF(DATOS_[[AGRUP. VALOR. PTO.]:[AGRUP. VALOR. PTO.]]=$B99,IF(DATOS_[[Check Periodo Ref.]:[Check Periodo Ref.]]="Dentro",DATOS_[Conc.Sal.28]))))), 0)</f>
        <v>0</v>
      </c>
      <c r="AH101" s="209" t="n">
        <f aca="false" t="array" ref="AH101:AH101">IFERROR( AVERAGE((IF(DATOS_[[Sexo]:[Sexo]]=$B101,IF(DATOS_[[AGRUP. VALOR. PTO.]:[AGRUP. VALOR. PTO.]]=$B99,IF(DATOS_[[Check Periodo Ref.]:[Check Periodo Ref.]]="Dentro",DATOS_[Conc.Sal.29]))))), 0)</f>
        <v>0</v>
      </c>
      <c r="AI101" s="209" t="n">
        <f aca="false" t="array" ref="AI101:AI101">IFERROR( AVERAGE((IF(DATOS_[[Sexo]:[Sexo]]=$B101,IF(DATOS_[[AGRUP. VALOR. PTO.]:[AGRUP. VALOR. PTO.]]=$B99,IF(DATOS_[[Check Periodo Ref.]:[Check Periodo Ref.]]="Dentro",DATOS_[Conc.Sal.30]))))), 0)</f>
        <v>0</v>
      </c>
      <c r="AJ101" s="210" t="n">
        <f aca="false" t="array" ref="AJ101:AJ101">IFERROR( AVERAGE(IF(DATOS_[Sexo]=$B101,IF(DATOS_[AGRUP. VALOR. PTO.]=$B99,IF(DATOS_[Check Periodo Ref.]="Dentro",DATOS_[Tot COMPL.SAL Ef],0)))), 0)</f>
        <v>0</v>
      </c>
      <c r="AK101" s="211" t="n">
        <f aca="false" t="array" ref="AK101:AK101">IFERROR( AVERAGE(IF(DATOS_[Sexo]=$B101,IF(DATOS_[AGRUP. VALOR. PTO.]=$B99,IF(DATOS_[Check Periodo Ref.]="Dentro",DATOS_[TOTAL SALARIO Ef],0)))), 0)</f>
        <v>0</v>
      </c>
      <c r="AL101" s="212" t="n">
        <f aca="false" t="array" ref="AL101:AL101">IFERROR( AVERAGE((IF(DATOS_[[Sexo]:[Sexo]]=$B101,IF(DATOS_[[AGRUP. VALOR. PTO.]:[AGRUP. VALOR. PTO.]]=$B99,IF(DATOS_[[Check Periodo Ref.]:[Check Periodo Ref.]]="Dentro",DATOS_[C.Extra.01]))))), 0)</f>
        <v>0</v>
      </c>
      <c r="AM101" s="212" t="n">
        <f aca="false" t="array" ref="AM101:AM101">IFERROR( AVERAGE((IF(DATOS_[[Sexo]:[Sexo]]=$B101,IF(DATOS_[[AGRUP. VALOR. PTO.]:[AGRUP. VALOR. PTO.]]=$B99,IF(DATOS_[[Check Periodo Ref.]:[Check Periodo Ref.]]="Dentro",DATOS_[C.Extra.02]))))), 0)</f>
        <v>0</v>
      </c>
      <c r="AN101" s="212" t="n">
        <f aca="false" t="array" ref="AN101:AN101">IFERROR( AVERAGE((IF(DATOS_[[Sexo]:[Sexo]]=$B101,IF(DATOS_[[AGRUP. VALOR. PTO.]:[AGRUP. VALOR. PTO.]]=$B99,IF(DATOS_[[Check Periodo Ref.]:[Check Periodo Ref.]]="Dentro",DATOS_[C.Extra.03]))))), 0)</f>
        <v>0</v>
      </c>
      <c r="AO101" s="212" t="n">
        <f aca="false" t="array" ref="AO101:AO101">IFERROR( AVERAGE((IF(DATOS_[[Sexo]:[Sexo]]=$B101,IF(DATOS_[[AGRUP. VALOR. PTO.]:[AGRUP. VALOR. PTO.]]=$B99,IF(DATOS_[[Check Periodo Ref.]:[Check Periodo Ref.]]="Dentro",DATOS_[C.Extra.04]))))), 0)</f>
        <v>0</v>
      </c>
      <c r="AP101" s="212" t="n">
        <f aca="false" t="array" ref="AP101:AP101">IFERROR( AVERAGE((IF(DATOS_[[Sexo]:[Sexo]]=$B101,IF(DATOS_[[AGRUP. VALOR. PTO.]:[AGRUP. VALOR. PTO.]]=$B99,IF(DATOS_[[Check Periodo Ref.]:[Check Periodo Ref.]]="Dentro",DATOS_[C.Extra.05]))))), 0)</f>
        <v>0</v>
      </c>
      <c r="AQ101" s="213" t="n">
        <f aca="false" t="array" ref="AQ101:AQ101">IFERROR( AVERAGE(IF(DATOS_[Sexo]=$B101,IF(DATOS_[AGRUP. VALOR. PTO.]=$B99,IF(DATOS_[Check Periodo Ref.]="Dentro",DATOS_[Tot Extrasalarial Ef],0)))), 0)</f>
        <v>0</v>
      </c>
      <c r="AR101" s="214" t="n">
        <f aca="false" t="array" ref="AR101:AR101">IFERROR( AVERAGE(IF(DATOS_[Sexo]=$B101,IF(DATOS_[AGRUP. VALOR. PTO.]=$B99,IF(DATOS_[Check Periodo Ref.]="Dentro",DATOS_[TOTAL Retrib Ef],0)))), 0)</f>
        <v>0</v>
      </c>
    </row>
    <row r="102" customFormat="false" ht="15.75" hidden="false" customHeight="false" outlineLevel="0" collapsed="false">
      <c r="A102" s="191" t="str">
        <f aca="false">+A103</f>
        <v>[ocultar]</v>
      </c>
      <c r="B102" s="192" t="s">
        <v>256</v>
      </c>
      <c r="C102" s="193"/>
      <c r="D102" s="194"/>
      <c r="E102" s="195" t="str">
        <f aca="false">IFERROR((E103-E104)/E103,"")</f>
        <v/>
      </c>
      <c r="F102" s="196" t="str">
        <f aca="false">IFERROR((F103-F104)/F103,"")</f>
        <v/>
      </c>
      <c r="G102" s="197" t="str">
        <f aca="false">IFERROR((G103-G104)/G103,"")</f>
        <v/>
      </c>
      <c r="H102" s="197" t="str">
        <f aca="false">IFERROR((H103-H104)/H103,"")</f>
        <v/>
      </c>
      <c r="I102" s="197" t="str">
        <f aca="false">IFERROR((I103-I104)/I103,"")</f>
        <v/>
      </c>
      <c r="J102" s="198" t="str">
        <f aca="false">IFERROR((J103-J104)/J103,"")</f>
        <v/>
      </c>
      <c r="K102" s="199" t="str">
        <f aca="false">IFERROR((K103-K104)/K103,"")</f>
        <v/>
      </c>
      <c r="L102" s="199" t="str">
        <f aca="false">IFERROR((L103-L104)/L103,"")</f>
        <v/>
      </c>
      <c r="M102" s="199" t="str">
        <f aca="false">IFERROR((M103-M104)/M103,"")</f>
        <v/>
      </c>
      <c r="N102" s="199" t="str">
        <f aca="false">IFERROR((N103-N104)/N103,"")</f>
        <v/>
      </c>
      <c r="O102" s="199" t="str">
        <f aca="false">IFERROR((O103-O104)/O103,"")</f>
        <v/>
      </c>
      <c r="P102" s="199" t="str">
        <f aca="false">IFERROR((P103-P104)/P103,"")</f>
        <v/>
      </c>
      <c r="Q102" s="199" t="str">
        <f aca="false">IFERROR((Q103-Q104)/Q103,"")</f>
        <v/>
      </c>
      <c r="R102" s="199" t="str">
        <f aca="false">IFERROR((R103-R104)/R103,"")</f>
        <v/>
      </c>
      <c r="S102" s="199" t="str">
        <f aca="false">IFERROR((S103-S104)/S103,"")</f>
        <v/>
      </c>
      <c r="T102" s="199" t="str">
        <f aca="false">IFERROR((T103-T104)/T103,"")</f>
        <v/>
      </c>
      <c r="U102" s="199" t="str">
        <f aca="false">IFERROR((U103-U104)/U103,"")</f>
        <v/>
      </c>
      <c r="V102" s="198" t="str">
        <f aca="false">IFERROR((V103-V104)/V103,"")</f>
        <v/>
      </c>
      <c r="W102" s="198" t="str">
        <f aca="false">IFERROR((W103-W104)/W103,"")</f>
        <v/>
      </c>
      <c r="X102" s="198" t="str">
        <f aca="false">IFERROR((X103-X104)/X103,"")</f>
        <v/>
      </c>
      <c r="Y102" s="198" t="str">
        <f aca="false">IFERROR((Y103-Y104)/Y103,"")</f>
        <v/>
      </c>
      <c r="Z102" s="198" t="str">
        <f aca="false">IFERROR((Z103-Z104)/Z103,"")</f>
        <v/>
      </c>
      <c r="AA102" s="198" t="str">
        <f aca="false">IFERROR((AA103-AA104)/AA103,"")</f>
        <v/>
      </c>
      <c r="AB102" s="198" t="str">
        <f aca="false">IFERROR((AB103-AB104)/AB103,"")</f>
        <v/>
      </c>
      <c r="AC102" s="198" t="str">
        <f aca="false">IFERROR((AC103-AC104)/AC103,"")</f>
        <v/>
      </c>
      <c r="AD102" s="198" t="str">
        <f aca="false">IFERROR((AD103-AD104)/AD103,"")</f>
        <v/>
      </c>
      <c r="AE102" s="198" t="str">
        <f aca="false">IFERROR((AE103-AE104)/AE103,"")</f>
        <v/>
      </c>
      <c r="AF102" s="198" t="str">
        <f aca="false">IFERROR((AF103-AF104)/AF103,"")</f>
        <v/>
      </c>
      <c r="AG102" s="198" t="str">
        <f aca="false">IFERROR((AG103-AG104)/AG103,"")</f>
        <v/>
      </c>
      <c r="AH102" s="198" t="str">
        <f aca="false">IFERROR((AH103-AH104)/AH103,"")</f>
        <v/>
      </c>
      <c r="AI102" s="198" t="str">
        <f aca="false">IFERROR((AI103-AI104)/AI103,"")</f>
        <v/>
      </c>
      <c r="AJ102" s="200" t="str">
        <f aca="false">IFERROR((AJ103-AJ104)/AJ103,"")</f>
        <v/>
      </c>
      <c r="AK102" s="201" t="str">
        <f aca="false">IFERROR((AK103-AK104)/AK103,"")</f>
        <v/>
      </c>
      <c r="AL102" s="202" t="str">
        <f aca="false">IFERROR((AL103-AL104)/AL103,"")</f>
        <v/>
      </c>
      <c r="AM102" s="202" t="str">
        <f aca="false">IFERROR((AM103-AM104)/AM103,"")</f>
        <v/>
      </c>
      <c r="AN102" s="202" t="str">
        <f aca="false">IFERROR((AN103-AN104)/AN103,"")</f>
        <v/>
      </c>
      <c r="AO102" s="202" t="str">
        <f aca="false">IFERROR((AO103-AO104)/AO103,"")</f>
        <v/>
      </c>
      <c r="AP102" s="202" t="str">
        <f aca="false">IFERROR((AP103-AP104)/AP103,"")</f>
        <v/>
      </c>
      <c r="AQ102" s="203" t="str">
        <f aca="false">IFERROR((AQ103-AQ104)/AQ103,"")</f>
        <v/>
      </c>
      <c r="AR102" s="204" t="str">
        <f aca="false">IFERROR((AR103-AR104)/AR103,"")</f>
        <v/>
      </c>
    </row>
    <row r="103" customFormat="false" ht="14.25" hidden="false" customHeight="false" outlineLevel="0" collapsed="false">
      <c r="A103" s="191" t="str">
        <f aca="false">+IF(C103+C104=0,"[ocultar]","")</f>
        <v>[ocultar]</v>
      </c>
      <c r="B103" s="205" t="s">
        <v>371</v>
      </c>
      <c r="C103" s="206" t="n">
        <f aca="false" t="array" ref="C103:C103">SUM(IF($B103=DATOS_[Sexo], IF($B102=DATOS_[AGRUP. VALOR. PTO.], IF("Dentro"=DATOS_[Check Periodo Ref.], 1/(COUNTIFS(DATOS_[Sexo],$B103,DATOS_[AGRUP. VALOR. PTO.],$B102,DATOS_[Check Periodo Ref.],"Dentro",DATOS_[id],DATOS_[id]))))))</f>
        <v>0</v>
      </c>
      <c r="D103" s="207" t="n">
        <f aca="false">COUNTIFS(DATOS_[AGRUP. VALOR. PTO.],$B102,DATOS_[Sexo],$B103,DATOS_[Check Periodo Ref.],"Dentro")</f>
        <v>0</v>
      </c>
      <c r="E103" s="208" t="n">
        <f aca="false" t="array" ref="E103:E103">IFERROR( AVERAGE(IF(DATOS_[Sexo]=$B103,IF(DATOS_[AGRUP. VALOR. PTO.]=$B102,IF(DATOS_[Check Periodo Ref.]="Dentro",DATOS_[SALARIO BASE Ef],0)))), 0)</f>
        <v>0</v>
      </c>
      <c r="F103" s="209" t="n">
        <f aca="false" t="array" ref="F103:F103">IFERROR( AVERAGE((IF(DATOS_[[Sexo]:[Sexo]]=$B103,IF(DATOS_[[AGRUP. VALOR. PTO.]:[AGRUP. VALOR. PTO.]]=$B102,IF(DATOS_[[Check Periodo Ref.]:[Check Periodo Ref.]]="Dentro",DATOS_[Conc.Sal.01]))))), 0)</f>
        <v>0</v>
      </c>
      <c r="G103" s="209" t="n">
        <f aca="false" t="array" ref="G103:G103">IFERROR( AVERAGE((IF(DATOS_[[Sexo]:[Sexo]]=$B103,IF(DATOS_[[AGRUP. VALOR. PTO.]:[AGRUP. VALOR. PTO.]]=$B102,IF(DATOS_[[Check Periodo Ref.]:[Check Periodo Ref.]]="Dentro",DATOS_[Conc.Sal.02]))))), 0)</f>
        <v>0</v>
      </c>
      <c r="H103" s="209" t="n">
        <f aca="false" t="array" ref="H103:H103">IFERROR( AVERAGE((IF(DATOS_[[Sexo]:[Sexo]]=$B103,IF(DATOS_[[AGRUP. VALOR. PTO.]:[AGRUP. VALOR. PTO.]]=$B102,IF(DATOS_[[Check Periodo Ref.]:[Check Periodo Ref.]]="Dentro",DATOS_[Conc.Sal.03]))))), 0)</f>
        <v>0</v>
      </c>
      <c r="I103" s="209" t="n">
        <f aca="false" t="array" ref="I103:I103">IFERROR( AVERAGE((IF(DATOS_[[Sexo]:[Sexo]]=$B103,IF(DATOS_[[AGRUP. VALOR. PTO.]:[AGRUP. VALOR. PTO.]]=$B102,IF(DATOS_[[Check Periodo Ref.]:[Check Periodo Ref.]]="Dentro",DATOS_[Conc.Sal.04]))))), 0)</f>
        <v>0</v>
      </c>
      <c r="J103" s="209" t="n">
        <f aca="false" t="array" ref="J103:J103">IFERROR( AVERAGE((IF(DATOS_[[Sexo]:[Sexo]]=$B103,IF(DATOS_[[AGRUP. VALOR. PTO.]:[AGRUP. VALOR. PTO.]]=$B102,IF(DATOS_[[Check Periodo Ref.]:[Check Periodo Ref.]]="Dentro",DATOS_[Conc.Sal.05]))))), 0)</f>
        <v>0</v>
      </c>
      <c r="K103" s="209" t="n">
        <f aca="false" t="array" ref="K103:K103">IFERROR( AVERAGE((IF(DATOS_[[Sexo]:[Sexo]]=$B103,IF(DATOS_[[AGRUP. VALOR. PTO.]:[AGRUP. VALOR. PTO.]]=$B102,IF(DATOS_[[Check Periodo Ref.]:[Check Periodo Ref.]]="Dentro",DATOS_[Conc.Sal.06]))))), 0)</f>
        <v>0</v>
      </c>
      <c r="L103" s="209" t="n">
        <f aca="false" t="array" ref="L103:L103">IFERROR( AVERAGE((IF(DATOS_[[Sexo]:[Sexo]]=$B103,IF(DATOS_[[AGRUP. VALOR. PTO.]:[AGRUP. VALOR. PTO.]]=$B102,IF(DATOS_[[Check Periodo Ref.]:[Check Periodo Ref.]]="Dentro",DATOS_[Conc.Sal.07]))))), 0)</f>
        <v>0</v>
      </c>
      <c r="M103" s="209" t="n">
        <f aca="false" t="array" ref="M103:M103">IFERROR( AVERAGE((IF(DATOS_[[Sexo]:[Sexo]]=$B103,IF(DATOS_[[AGRUP. VALOR. PTO.]:[AGRUP. VALOR. PTO.]]=$B102,IF(DATOS_[[Check Periodo Ref.]:[Check Periodo Ref.]]="Dentro",DATOS_[Conc.Sal.08]))))), 0)</f>
        <v>0</v>
      </c>
      <c r="N103" s="209" t="n">
        <f aca="false" t="array" ref="N103:N103">IFERROR( AVERAGE((IF(DATOS_[[Sexo]:[Sexo]]=$B103,IF(DATOS_[[AGRUP. VALOR. PTO.]:[AGRUP. VALOR. PTO.]]=$B102,IF(DATOS_[[Check Periodo Ref.]:[Check Periodo Ref.]]="Dentro",DATOS_[Conc.Sal.09]))))), 0)</f>
        <v>0</v>
      </c>
      <c r="O103" s="209" t="n">
        <f aca="false" t="array" ref="O103:O103">IFERROR( AVERAGE((IF(DATOS_[[Sexo]:[Sexo]]=$B103,IF(DATOS_[[AGRUP. VALOR. PTO.]:[AGRUP. VALOR. PTO.]]=$B102,IF(DATOS_[[Check Periodo Ref.]:[Check Periodo Ref.]]="Dentro",DATOS_[Conc.Sal.10]))))), 0)</f>
        <v>0</v>
      </c>
      <c r="P103" s="209" t="n">
        <f aca="false" t="array" ref="P103:P103">IFERROR( AVERAGE((IF(DATOS_[[Sexo]:[Sexo]]=$B103,IF(DATOS_[[AGRUP. VALOR. PTO.]:[AGRUP. VALOR. PTO.]]=$B102,IF(DATOS_[[Check Periodo Ref.]:[Check Periodo Ref.]]="Dentro",DATOS_[Conc.Sal.11]))))), 0)</f>
        <v>0</v>
      </c>
      <c r="Q103" s="209" t="n">
        <f aca="false" t="array" ref="Q103:Q103">IFERROR( AVERAGE((IF(DATOS_[[Sexo]:[Sexo]]=$B103,IF(DATOS_[[AGRUP. VALOR. PTO.]:[AGRUP. VALOR. PTO.]]=$B102,IF(DATOS_[[Check Periodo Ref.]:[Check Periodo Ref.]]="Dentro",DATOS_[Conc.Sal.12]))))), 0)</f>
        <v>0</v>
      </c>
      <c r="R103" s="209" t="n">
        <f aca="false" t="array" ref="R103:R103">IFERROR( AVERAGE((IF(DATOS_[[Sexo]:[Sexo]]=$B103,IF(DATOS_[[AGRUP. VALOR. PTO.]:[AGRUP. VALOR. PTO.]]=$B102,IF(DATOS_[[Check Periodo Ref.]:[Check Periodo Ref.]]="Dentro",DATOS_[Conc.Sal.13]))))), 0)</f>
        <v>0</v>
      </c>
      <c r="S103" s="209" t="n">
        <f aca="false" t="array" ref="S103:S103">IFERROR( AVERAGE((IF(DATOS_[[Sexo]:[Sexo]]=$B103,IF(DATOS_[[AGRUP. VALOR. PTO.]:[AGRUP. VALOR. PTO.]]=$B102,IF(DATOS_[[Check Periodo Ref.]:[Check Periodo Ref.]]="Dentro",DATOS_[Conc.Sal.14]))))), 0)</f>
        <v>0</v>
      </c>
      <c r="T103" s="209" t="n">
        <f aca="false" t="array" ref="T103:T103">IFERROR( AVERAGE((IF(DATOS_[[Sexo]:[Sexo]]=$B103,IF(DATOS_[[AGRUP. VALOR. PTO.]:[AGRUP. VALOR. PTO.]]=$B102,IF(DATOS_[[Check Periodo Ref.]:[Check Periodo Ref.]]="Dentro",DATOS_[Conc.Sal.15]))))), 0)</f>
        <v>0</v>
      </c>
      <c r="U103" s="209" t="n">
        <f aca="false" t="array" ref="U103:U103">IFERROR( AVERAGE((IF(DATOS_[[Sexo]:[Sexo]]=$B103,IF(DATOS_[[AGRUP. VALOR. PTO.]:[AGRUP. VALOR. PTO.]]=$B102,IF(DATOS_[[Check Periodo Ref.]:[Check Periodo Ref.]]="Dentro",DATOS_[Conc.Sal.16]))))), 0)</f>
        <v>0</v>
      </c>
      <c r="V103" s="209" t="n">
        <f aca="false" t="array" ref="V103:V103">IFERROR( AVERAGE((IF(DATOS_[[Sexo]:[Sexo]]=$B103,IF(DATOS_[[AGRUP. VALOR. PTO.]:[AGRUP. VALOR. PTO.]]=$B102,IF(DATOS_[[Check Periodo Ref.]:[Check Periodo Ref.]]="Dentro",DATOS_[Conc.Sal.17]))))), 0)</f>
        <v>0</v>
      </c>
      <c r="W103" s="209" t="n">
        <f aca="false" t="array" ref="W103:W103">IFERROR( AVERAGE((IF(DATOS_[[Sexo]:[Sexo]]=$B103,IF(DATOS_[[AGRUP. VALOR. PTO.]:[AGRUP. VALOR. PTO.]]=$B102,IF(DATOS_[[Check Periodo Ref.]:[Check Periodo Ref.]]="Dentro",DATOS_[Conc.Sal.18]))))), 0)</f>
        <v>0</v>
      </c>
      <c r="X103" s="209" t="n">
        <f aca="false" t="array" ref="X103:X103">IFERROR( AVERAGE((IF(DATOS_[[Sexo]:[Sexo]]=$B103,IF(DATOS_[[AGRUP. VALOR. PTO.]:[AGRUP. VALOR. PTO.]]=$B102,IF(DATOS_[[Check Periodo Ref.]:[Check Periodo Ref.]]="Dentro",DATOS_[Conc.Sal.19]))))), 0)</f>
        <v>0</v>
      </c>
      <c r="Y103" s="209" t="n">
        <f aca="false" t="array" ref="Y103:Y103">IFERROR( AVERAGE((IF(DATOS_[[Sexo]:[Sexo]]=$B103,IF(DATOS_[[AGRUP. VALOR. PTO.]:[AGRUP. VALOR. PTO.]]=$B102,IF(DATOS_[[Check Periodo Ref.]:[Check Periodo Ref.]]="Dentro",DATOS_[Conc.Sal.20]))))), 0)</f>
        <v>0</v>
      </c>
      <c r="Z103" s="209" t="n">
        <f aca="false" t="array" ref="Z103:Z103">IFERROR( AVERAGE((IF(DATOS_[[Sexo]:[Sexo]]=$B103,IF(DATOS_[[AGRUP. VALOR. PTO.]:[AGRUP. VALOR. PTO.]]=$B102,IF(DATOS_[[Check Periodo Ref.]:[Check Periodo Ref.]]="Dentro",DATOS_[Conc.Sal.21]))))), 0)</f>
        <v>0</v>
      </c>
      <c r="AA103" s="209" t="n">
        <f aca="false" t="array" ref="AA103:AA103">IFERROR( AVERAGE((IF(DATOS_[[Sexo]:[Sexo]]=$B103,IF(DATOS_[[AGRUP. VALOR. PTO.]:[AGRUP. VALOR. PTO.]]=$B102,IF(DATOS_[[Check Periodo Ref.]:[Check Periodo Ref.]]="Dentro",DATOS_[Conc.Sal.22]))))), 0)</f>
        <v>0</v>
      </c>
      <c r="AB103" s="209" t="n">
        <f aca="false" t="array" ref="AB103:AB103">IFERROR( AVERAGE((IF(DATOS_[[Sexo]:[Sexo]]=$B103,IF(DATOS_[[AGRUP. VALOR. PTO.]:[AGRUP. VALOR. PTO.]]=$B102,IF(DATOS_[[Check Periodo Ref.]:[Check Periodo Ref.]]="Dentro",DATOS_[Conc.Sal.23]))))), 0)</f>
        <v>0</v>
      </c>
      <c r="AC103" s="209" t="n">
        <f aca="false" t="array" ref="AC103:AC103">IFERROR( AVERAGE((IF(DATOS_[[Sexo]:[Sexo]]=$B103,IF(DATOS_[[AGRUP. VALOR. PTO.]:[AGRUP. VALOR. PTO.]]=$B102,IF(DATOS_[[Check Periodo Ref.]:[Check Periodo Ref.]]="Dentro",DATOS_[Conc.Sal.24]))))), 0)</f>
        <v>0</v>
      </c>
      <c r="AD103" s="209" t="n">
        <f aca="false" t="array" ref="AD103:AD103">IFERROR( AVERAGE((IF(DATOS_[[Sexo]:[Sexo]]=$B103,IF(DATOS_[[AGRUP. VALOR. PTO.]:[AGRUP. VALOR. PTO.]]=$B102,IF(DATOS_[[Check Periodo Ref.]:[Check Periodo Ref.]]="Dentro",DATOS_[Conc.Sal.25]))))), 0)</f>
        <v>0</v>
      </c>
      <c r="AE103" s="209" t="n">
        <f aca="false" t="array" ref="AE103:AE103">IFERROR( AVERAGE((IF(DATOS_[[Sexo]:[Sexo]]=$B103,IF(DATOS_[[AGRUP. VALOR. PTO.]:[AGRUP. VALOR. PTO.]]=$B102,IF(DATOS_[[Check Periodo Ref.]:[Check Periodo Ref.]]="Dentro",DATOS_[Conc.Sal.26]))))), 0)</f>
        <v>0</v>
      </c>
      <c r="AF103" s="209" t="n">
        <f aca="false" t="array" ref="AF103:AF103">IFERROR( AVERAGE((IF(DATOS_[[Sexo]:[Sexo]]=$B103,IF(DATOS_[[AGRUP. VALOR. PTO.]:[AGRUP. VALOR. PTO.]]=$B102,IF(DATOS_[[Check Periodo Ref.]:[Check Periodo Ref.]]="Dentro",DATOS_[Conc.Sal.27]))))), 0)</f>
        <v>0</v>
      </c>
      <c r="AG103" s="209" t="n">
        <f aca="false" t="array" ref="AG103:AG103">IFERROR( AVERAGE((IF(DATOS_[[Sexo]:[Sexo]]=$B103,IF(DATOS_[[AGRUP. VALOR. PTO.]:[AGRUP. VALOR. PTO.]]=$B102,IF(DATOS_[[Check Periodo Ref.]:[Check Periodo Ref.]]="Dentro",DATOS_[Conc.Sal.28]))))), 0)</f>
        <v>0</v>
      </c>
      <c r="AH103" s="209" t="n">
        <f aca="false" t="array" ref="AH103:AH103">IFERROR( AVERAGE((IF(DATOS_[[Sexo]:[Sexo]]=$B103,IF(DATOS_[[AGRUP. VALOR. PTO.]:[AGRUP. VALOR. PTO.]]=$B102,IF(DATOS_[[Check Periodo Ref.]:[Check Periodo Ref.]]="Dentro",DATOS_[Conc.Sal.29]))))), 0)</f>
        <v>0</v>
      </c>
      <c r="AI103" s="209" t="n">
        <f aca="false" t="array" ref="AI103:AI103">IFERROR( AVERAGE((IF(DATOS_[[Sexo]:[Sexo]]=$B103,IF(DATOS_[[AGRUP. VALOR. PTO.]:[AGRUP. VALOR. PTO.]]=$B102,IF(DATOS_[[Check Periodo Ref.]:[Check Periodo Ref.]]="Dentro",DATOS_[Conc.Sal.30]))))), 0)</f>
        <v>0</v>
      </c>
      <c r="AJ103" s="210" t="n">
        <f aca="false" t="array" ref="AJ103:AJ103">IFERROR( AVERAGE(IF(DATOS_[Sexo]=$B103,IF(DATOS_[AGRUP. VALOR. PTO.]=$B102,IF(DATOS_[Check Periodo Ref.]="Dentro",DATOS_[Tot COMPL.SAL Ef],0)))), 0)</f>
        <v>0</v>
      </c>
      <c r="AK103" s="211" t="n">
        <f aca="false" t="array" ref="AK103:AK103">IFERROR( AVERAGE(IF(DATOS_[Sexo]=$B103,IF(DATOS_[AGRUP. VALOR. PTO.]=$B102,IF(DATOS_[Check Periodo Ref.]="Dentro",DATOS_[TOTAL SALARIO Ef],0)))), 0)</f>
        <v>0</v>
      </c>
      <c r="AL103" s="212" t="n">
        <f aca="false" t="array" ref="AL103:AL103">IFERROR( AVERAGE((IF(DATOS_[[Sexo]:[Sexo]]=$B103,IF(DATOS_[[AGRUP. VALOR. PTO.]:[AGRUP. VALOR. PTO.]]=$B102,IF(DATOS_[[Check Periodo Ref.]:[Check Periodo Ref.]]="Dentro",DATOS_[C.Extra.01]))))), 0)</f>
        <v>0</v>
      </c>
      <c r="AM103" s="212" t="n">
        <f aca="false" t="array" ref="AM103:AM103">IFERROR( AVERAGE((IF(DATOS_[[Sexo]:[Sexo]]=$B103,IF(DATOS_[[AGRUP. VALOR. PTO.]:[AGRUP. VALOR. PTO.]]=$B102,IF(DATOS_[[Check Periodo Ref.]:[Check Periodo Ref.]]="Dentro",DATOS_[C.Extra.02]))))), 0)</f>
        <v>0</v>
      </c>
      <c r="AN103" s="212" t="n">
        <f aca="false" t="array" ref="AN103:AN103">IFERROR( AVERAGE((IF(DATOS_[[Sexo]:[Sexo]]=$B103,IF(DATOS_[[AGRUP. VALOR. PTO.]:[AGRUP. VALOR. PTO.]]=$B102,IF(DATOS_[[Check Periodo Ref.]:[Check Periodo Ref.]]="Dentro",DATOS_[C.Extra.03]))))), 0)</f>
        <v>0</v>
      </c>
      <c r="AO103" s="212" t="n">
        <f aca="false" t="array" ref="AO103:AO103">IFERROR( AVERAGE((IF(DATOS_[[Sexo]:[Sexo]]=$B103,IF(DATOS_[[AGRUP. VALOR. PTO.]:[AGRUP. VALOR. PTO.]]=$B102,IF(DATOS_[[Check Periodo Ref.]:[Check Periodo Ref.]]="Dentro",DATOS_[C.Extra.04]))))), 0)</f>
        <v>0</v>
      </c>
      <c r="AP103" s="212" t="n">
        <f aca="false" t="array" ref="AP103:AP103">IFERROR( AVERAGE((IF(DATOS_[[Sexo]:[Sexo]]=$B103,IF(DATOS_[[AGRUP. VALOR. PTO.]:[AGRUP. VALOR. PTO.]]=$B102,IF(DATOS_[[Check Periodo Ref.]:[Check Periodo Ref.]]="Dentro",DATOS_[C.Extra.05]))))), 0)</f>
        <v>0</v>
      </c>
      <c r="AQ103" s="213" t="n">
        <f aca="false" t="array" ref="AQ103:AQ103">IFERROR( AVERAGE(IF(DATOS_[Sexo]=$B103,IF(DATOS_[AGRUP. VALOR. PTO.]=$B102,IF(DATOS_[Check Periodo Ref.]="Dentro",DATOS_[Tot Extrasalarial Ef],0)))), 0)</f>
        <v>0</v>
      </c>
      <c r="AR103" s="214" t="n">
        <f aca="false" t="array" ref="AR103:AR103">IFERROR( AVERAGE(IF(DATOS_[Sexo]=$B103,IF(DATOS_[AGRUP. VALOR. PTO.]=$B102,IF(DATOS_[Check Periodo Ref.]="Dentro",DATOS_[TOTAL Retrib Ef],0)))), 0)</f>
        <v>0</v>
      </c>
    </row>
    <row r="104" customFormat="false" ht="14.25" hidden="false" customHeight="false" outlineLevel="0" collapsed="false">
      <c r="A104" s="191" t="str">
        <f aca="false">+A103</f>
        <v>[ocultar]</v>
      </c>
      <c r="B104" s="205" t="s">
        <v>372</v>
      </c>
      <c r="C104" s="206" t="n">
        <f aca="false" t="array" ref="C104:C104">SUM(IF($B104=DATOS_[Sexo], IF($B102=DATOS_[AGRUP. VALOR. PTO.], IF("Dentro"=DATOS_[Check Periodo Ref.], 1/(COUNTIFS(DATOS_[Sexo],$B104,DATOS_[AGRUP. VALOR. PTO.],$B102,DATOS_[Check Periodo Ref.],"Dentro",DATOS_[id],DATOS_[id]))))))</f>
        <v>0</v>
      </c>
      <c r="D104" s="207" t="n">
        <f aca="false">COUNTIFS(DATOS_[AGRUP. VALOR. PTO.],$B102,DATOS_[Sexo],$B104,DATOS_[Check Periodo Ref.],"Dentro")</f>
        <v>0</v>
      </c>
      <c r="E104" s="208" t="n">
        <f aca="false" t="array" ref="E104:E104">IFERROR( AVERAGE(IF(DATOS_[Sexo]=$B104,IF(DATOS_[AGRUP. VALOR. PTO.]=$B102,IF(DATOS_[Check Periodo Ref.]="Dentro",DATOS_[SALARIO BASE Ef],0)))), 0)</f>
        <v>0</v>
      </c>
      <c r="F104" s="209" t="n">
        <f aca="false" t="array" ref="F104:F104">IFERROR( AVERAGE((IF(DATOS_[[Sexo]:[Sexo]]=$B104,IF(DATOS_[[AGRUP. VALOR. PTO.]:[AGRUP. VALOR. PTO.]]=$B102,IF(DATOS_[[Check Periodo Ref.]:[Check Periodo Ref.]]="Dentro",DATOS_[Conc.Sal.01]))))), 0)</f>
        <v>0</v>
      </c>
      <c r="G104" s="209" t="n">
        <f aca="false" t="array" ref="G104:G104">IFERROR( AVERAGE((IF(DATOS_[[Sexo]:[Sexo]]=$B104,IF(DATOS_[[AGRUP. VALOR. PTO.]:[AGRUP. VALOR. PTO.]]=$B102,IF(DATOS_[[Check Periodo Ref.]:[Check Periodo Ref.]]="Dentro",DATOS_[Conc.Sal.02]))))), 0)</f>
        <v>0</v>
      </c>
      <c r="H104" s="209" t="n">
        <f aca="false" t="array" ref="H104:H104">IFERROR( AVERAGE((IF(DATOS_[[Sexo]:[Sexo]]=$B104,IF(DATOS_[[AGRUP. VALOR. PTO.]:[AGRUP. VALOR. PTO.]]=$B102,IF(DATOS_[[Check Periodo Ref.]:[Check Periodo Ref.]]="Dentro",DATOS_[Conc.Sal.03]))))), 0)</f>
        <v>0</v>
      </c>
      <c r="I104" s="209" t="n">
        <f aca="false" t="array" ref="I104:I104">IFERROR( AVERAGE((IF(DATOS_[[Sexo]:[Sexo]]=$B104,IF(DATOS_[[AGRUP. VALOR. PTO.]:[AGRUP. VALOR. PTO.]]=$B102,IF(DATOS_[[Check Periodo Ref.]:[Check Periodo Ref.]]="Dentro",DATOS_[Conc.Sal.04]))))), 0)</f>
        <v>0</v>
      </c>
      <c r="J104" s="209" t="n">
        <f aca="false" t="array" ref="J104:J104">IFERROR( AVERAGE((IF(DATOS_[[Sexo]:[Sexo]]=$B104,IF(DATOS_[[AGRUP. VALOR. PTO.]:[AGRUP. VALOR. PTO.]]=$B102,IF(DATOS_[[Check Periodo Ref.]:[Check Periodo Ref.]]="Dentro",DATOS_[Conc.Sal.05]))))), 0)</f>
        <v>0</v>
      </c>
      <c r="K104" s="209" t="n">
        <f aca="false" t="array" ref="K104:K104">IFERROR( AVERAGE((IF(DATOS_[[Sexo]:[Sexo]]=$B104,IF(DATOS_[[AGRUP. VALOR. PTO.]:[AGRUP. VALOR. PTO.]]=$B102,IF(DATOS_[[Check Periodo Ref.]:[Check Periodo Ref.]]="Dentro",DATOS_[Conc.Sal.06]))))), 0)</f>
        <v>0</v>
      </c>
      <c r="L104" s="209" t="n">
        <f aca="false" t="array" ref="L104:L104">IFERROR( AVERAGE((IF(DATOS_[[Sexo]:[Sexo]]=$B104,IF(DATOS_[[AGRUP. VALOR. PTO.]:[AGRUP. VALOR. PTO.]]=$B102,IF(DATOS_[[Check Periodo Ref.]:[Check Periodo Ref.]]="Dentro",DATOS_[Conc.Sal.07]))))), 0)</f>
        <v>0</v>
      </c>
      <c r="M104" s="209" t="n">
        <f aca="false" t="array" ref="M104:M104">IFERROR( AVERAGE((IF(DATOS_[[Sexo]:[Sexo]]=$B104,IF(DATOS_[[AGRUP. VALOR. PTO.]:[AGRUP. VALOR. PTO.]]=$B102,IF(DATOS_[[Check Periodo Ref.]:[Check Periodo Ref.]]="Dentro",DATOS_[Conc.Sal.08]))))), 0)</f>
        <v>0</v>
      </c>
      <c r="N104" s="209" t="n">
        <f aca="false" t="array" ref="N104:N104">IFERROR( AVERAGE((IF(DATOS_[[Sexo]:[Sexo]]=$B104,IF(DATOS_[[AGRUP. VALOR. PTO.]:[AGRUP. VALOR. PTO.]]=$B102,IF(DATOS_[[Check Periodo Ref.]:[Check Periodo Ref.]]="Dentro",DATOS_[Conc.Sal.09]))))), 0)</f>
        <v>0</v>
      </c>
      <c r="O104" s="209" t="n">
        <f aca="false" t="array" ref="O104:O104">IFERROR( AVERAGE((IF(DATOS_[[Sexo]:[Sexo]]=$B104,IF(DATOS_[[AGRUP. VALOR. PTO.]:[AGRUP. VALOR. PTO.]]=$B102,IF(DATOS_[[Check Periodo Ref.]:[Check Periodo Ref.]]="Dentro",DATOS_[Conc.Sal.10]))))), 0)</f>
        <v>0</v>
      </c>
      <c r="P104" s="209" t="n">
        <f aca="false" t="array" ref="P104:P104">IFERROR( AVERAGE((IF(DATOS_[[Sexo]:[Sexo]]=$B104,IF(DATOS_[[AGRUP. VALOR. PTO.]:[AGRUP. VALOR. PTO.]]=$B102,IF(DATOS_[[Check Periodo Ref.]:[Check Periodo Ref.]]="Dentro",DATOS_[Conc.Sal.11]))))), 0)</f>
        <v>0</v>
      </c>
      <c r="Q104" s="209" t="n">
        <f aca="false" t="array" ref="Q104:Q104">IFERROR( AVERAGE((IF(DATOS_[[Sexo]:[Sexo]]=$B104,IF(DATOS_[[AGRUP. VALOR. PTO.]:[AGRUP. VALOR. PTO.]]=$B102,IF(DATOS_[[Check Periodo Ref.]:[Check Periodo Ref.]]="Dentro",DATOS_[Conc.Sal.12]))))), 0)</f>
        <v>0</v>
      </c>
      <c r="R104" s="209" t="n">
        <f aca="false" t="array" ref="R104:R104">IFERROR( AVERAGE((IF(DATOS_[[Sexo]:[Sexo]]=$B104,IF(DATOS_[[AGRUP. VALOR. PTO.]:[AGRUP. VALOR. PTO.]]=$B102,IF(DATOS_[[Check Periodo Ref.]:[Check Periodo Ref.]]="Dentro",DATOS_[Conc.Sal.13]))))), 0)</f>
        <v>0</v>
      </c>
      <c r="S104" s="209" t="n">
        <f aca="false" t="array" ref="S104:S104">IFERROR( AVERAGE((IF(DATOS_[[Sexo]:[Sexo]]=$B104,IF(DATOS_[[AGRUP. VALOR. PTO.]:[AGRUP. VALOR. PTO.]]=$B102,IF(DATOS_[[Check Periodo Ref.]:[Check Periodo Ref.]]="Dentro",DATOS_[Conc.Sal.14]))))), 0)</f>
        <v>0</v>
      </c>
      <c r="T104" s="209" t="n">
        <f aca="false" t="array" ref="T104:T104">IFERROR( AVERAGE((IF(DATOS_[[Sexo]:[Sexo]]=$B104,IF(DATOS_[[AGRUP. VALOR. PTO.]:[AGRUP. VALOR. PTO.]]=$B102,IF(DATOS_[[Check Periodo Ref.]:[Check Periodo Ref.]]="Dentro",DATOS_[Conc.Sal.15]))))), 0)</f>
        <v>0</v>
      </c>
      <c r="U104" s="209" t="n">
        <f aca="false" t="array" ref="U104:U104">IFERROR( AVERAGE((IF(DATOS_[[Sexo]:[Sexo]]=$B104,IF(DATOS_[[AGRUP. VALOR. PTO.]:[AGRUP. VALOR. PTO.]]=$B102,IF(DATOS_[[Check Periodo Ref.]:[Check Periodo Ref.]]="Dentro",DATOS_[Conc.Sal.16]))))), 0)</f>
        <v>0</v>
      </c>
      <c r="V104" s="209" t="n">
        <f aca="false" t="array" ref="V104:V104">IFERROR( AVERAGE((IF(DATOS_[[Sexo]:[Sexo]]=$B104,IF(DATOS_[[AGRUP. VALOR. PTO.]:[AGRUP. VALOR. PTO.]]=$B102,IF(DATOS_[[Check Periodo Ref.]:[Check Periodo Ref.]]="Dentro",DATOS_[Conc.Sal.17]))))), 0)</f>
        <v>0</v>
      </c>
      <c r="W104" s="209" t="n">
        <f aca="false" t="array" ref="W104:W104">IFERROR( AVERAGE((IF(DATOS_[[Sexo]:[Sexo]]=$B104,IF(DATOS_[[AGRUP. VALOR. PTO.]:[AGRUP. VALOR. PTO.]]=$B102,IF(DATOS_[[Check Periodo Ref.]:[Check Periodo Ref.]]="Dentro",DATOS_[Conc.Sal.18]))))), 0)</f>
        <v>0</v>
      </c>
      <c r="X104" s="209" t="n">
        <f aca="false" t="array" ref="X104:X104">IFERROR( AVERAGE((IF(DATOS_[[Sexo]:[Sexo]]=$B104,IF(DATOS_[[AGRUP. VALOR. PTO.]:[AGRUP. VALOR. PTO.]]=$B102,IF(DATOS_[[Check Periodo Ref.]:[Check Periodo Ref.]]="Dentro",DATOS_[Conc.Sal.19]))))), 0)</f>
        <v>0</v>
      </c>
      <c r="Y104" s="209" t="n">
        <f aca="false" t="array" ref="Y104:Y104">IFERROR( AVERAGE((IF(DATOS_[[Sexo]:[Sexo]]=$B104,IF(DATOS_[[AGRUP. VALOR. PTO.]:[AGRUP. VALOR. PTO.]]=$B102,IF(DATOS_[[Check Periodo Ref.]:[Check Periodo Ref.]]="Dentro",DATOS_[Conc.Sal.20]))))), 0)</f>
        <v>0</v>
      </c>
      <c r="Z104" s="209" t="n">
        <f aca="false" t="array" ref="Z104:Z104">IFERROR( AVERAGE((IF(DATOS_[[Sexo]:[Sexo]]=$B104,IF(DATOS_[[AGRUP. VALOR. PTO.]:[AGRUP. VALOR. PTO.]]=$B102,IF(DATOS_[[Check Periodo Ref.]:[Check Periodo Ref.]]="Dentro",DATOS_[Conc.Sal.21]))))), 0)</f>
        <v>0</v>
      </c>
      <c r="AA104" s="209" t="n">
        <f aca="false" t="array" ref="AA104:AA104">IFERROR( AVERAGE((IF(DATOS_[[Sexo]:[Sexo]]=$B104,IF(DATOS_[[AGRUP. VALOR. PTO.]:[AGRUP. VALOR. PTO.]]=$B102,IF(DATOS_[[Check Periodo Ref.]:[Check Periodo Ref.]]="Dentro",DATOS_[Conc.Sal.22]))))), 0)</f>
        <v>0</v>
      </c>
      <c r="AB104" s="209" t="n">
        <f aca="false" t="array" ref="AB104:AB104">IFERROR( AVERAGE((IF(DATOS_[[Sexo]:[Sexo]]=$B104,IF(DATOS_[[AGRUP. VALOR. PTO.]:[AGRUP. VALOR. PTO.]]=$B102,IF(DATOS_[[Check Periodo Ref.]:[Check Periodo Ref.]]="Dentro",DATOS_[Conc.Sal.23]))))), 0)</f>
        <v>0</v>
      </c>
      <c r="AC104" s="209" t="n">
        <f aca="false" t="array" ref="AC104:AC104">IFERROR( AVERAGE((IF(DATOS_[[Sexo]:[Sexo]]=$B104,IF(DATOS_[[AGRUP. VALOR. PTO.]:[AGRUP. VALOR. PTO.]]=$B102,IF(DATOS_[[Check Periodo Ref.]:[Check Periodo Ref.]]="Dentro",DATOS_[Conc.Sal.24]))))), 0)</f>
        <v>0</v>
      </c>
      <c r="AD104" s="209" t="n">
        <f aca="false" t="array" ref="AD104:AD104">IFERROR( AVERAGE((IF(DATOS_[[Sexo]:[Sexo]]=$B104,IF(DATOS_[[AGRUP. VALOR. PTO.]:[AGRUP. VALOR. PTO.]]=$B102,IF(DATOS_[[Check Periodo Ref.]:[Check Periodo Ref.]]="Dentro",DATOS_[Conc.Sal.25]))))), 0)</f>
        <v>0</v>
      </c>
      <c r="AE104" s="209" t="n">
        <f aca="false" t="array" ref="AE104:AE104">IFERROR( AVERAGE((IF(DATOS_[[Sexo]:[Sexo]]=$B104,IF(DATOS_[[AGRUP. VALOR. PTO.]:[AGRUP. VALOR. PTO.]]=$B102,IF(DATOS_[[Check Periodo Ref.]:[Check Periodo Ref.]]="Dentro",DATOS_[Conc.Sal.26]))))), 0)</f>
        <v>0</v>
      </c>
      <c r="AF104" s="209" t="n">
        <f aca="false" t="array" ref="AF104:AF104">IFERROR( AVERAGE((IF(DATOS_[[Sexo]:[Sexo]]=$B104,IF(DATOS_[[AGRUP. VALOR. PTO.]:[AGRUP. VALOR. PTO.]]=$B102,IF(DATOS_[[Check Periodo Ref.]:[Check Periodo Ref.]]="Dentro",DATOS_[Conc.Sal.27]))))), 0)</f>
        <v>0</v>
      </c>
      <c r="AG104" s="209" t="n">
        <f aca="false" t="array" ref="AG104:AG104">IFERROR( AVERAGE((IF(DATOS_[[Sexo]:[Sexo]]=$B104,IF(DATOS_[[AGRUP. VALOR. PTO.]:[AGRUP. VALOR. PTO.]]=$B102,IF(DATOS_[[Check Periodo Ref.]:[Check Periodo Ref.]]="Dentro",DATOS_[Conc.Sal.28]))))), 0)</f>
        <v>0</v>
      </c>
      <c r="AH104" s="209" t="n">
        <f aca="false" t="array" ref="AH104:AH104">IFERROR( AVERAGE((IF(DATOS_[[Sexo]:[Sexo]]=$B104,IF(DATOS_[[AGRUP. VALOR. PTO.]:[AGRUP. VALOR. PTO.]]=$B102,IF(DATOS_[[Check Periodo Ref.]:[Check Periodo Ref.]]="Dentro",DATOS_[Conc.Sal.29]))))), 0)</f>
        <v>0</v>
      </c>
      <c r="AI104" s="209" t="n">
        <f aca="false" t="array" ref="AI104:AI104">IFERROR( AVERAGE((IF(DATOS_[[Sexo]:[Sexo]]=$B104,IF(DATOS_[[AGRUP. VALOR. PTO.]:[AGRUP. VALOR. PTO.]]=$B102,IF(DATOS_[[Check Periodo Ref.]:[Check Periodo Ref.]]="Dentro",DATOS_[Conc.Sal.30]))))), 0)</f>
        <v>0</v>
      </c>
      <c r="AJ104" s="210" t="n">
        <f aca="false" t="array" ref="AJ104:AJ104">IFERROR( AVERAGE(IF(DATOS_[Sexo]=$B104,IF(DATOS_[AGRUP. VALOR. PTO.]=$B102,IF(DATOS_[Check Periodo Ref.]="Dentro",DATOS_[Tot COMPL.SAL Ef],0)))), 0)</f>
        <v>0</v>
      </c>
      <c r="AK104" s="211" t="n">
        <f aca="false" t="array" ref="AK104:AK104">IFERROR( AVERAGE(IF(DATOS_[Sexo]=$B104,IF(DATOS_[AGRUP. VALOR. PTO.]=$B102,IF(DATOS_[Check Periodo Ref.]="Dentro",DATOS_[TOTAL SALARIO Ef],0)))), 0)</f>
        <v>0</v>
      </c>
      <c r="AL104" s="212" t="n">
        <f aca="false" t="array" ref="AL104:AL104">IFERROR( AVERAGE((IF(DATOS_[[Sexo]:[Sexo]]=$B104,IF(DATOS_[[AGRUP. VALOR. PTO.]:[AGRUP. VALOR. PTO.]]=$B102,IF(DATOS_[[Check Periodo Ref.]:[Check Periodo Ref.]]="Dentro",DATOS_[C.Extra.01]))))), 0)</f>
        <v>0</v>
      </c>
      <c r="AM104" s="212" t="n">
        <f aca="false" t="array" ref="AM104:AM104">IFERROR( AVERAGE((IF(DATOS_[[Sexo]:[Sexo]]=$B104,IF(DATOS_[[AGRUP. VALOR. PTO.]:[AGRUP. VALOR. PTO.]]=$B102,IF(DATOS_[[Check Periodo Ref.]:[Check Periodo Ref.]]="Dentro",DATOS_[C.Extra.02]))))), 0)</f>
        <v>0</v>
      </c>
      <c r="AN104" s="212" t="n">
        <f aca="false" t="array" ref="AN104:AN104">IFERROR( AVERAGE((IF(DATOS_[[Sexo]:[Sexo]]=$B104,IF(DATOS_[[AGRUP. VALOR. PTO.]:[AGRUP. VALOR. PTO.]]=$B102,IF(DATOS_[[Check Periodo Ref.]:[Check Periodo Ref.]]="Dentro",DATOS_[C.Extra.03]))))), 0)</f>
        <v>0</v>
      </c>
      <c r="AO104" s="212" t="n">
        <f aca="false" t="array" ref="AO104:AO104">IFERROR( AVERAGE((IF(DATOS_[[Sexo]:[Sexo]]=$B104,IF(DATOS_[[AGRUP. VALOR. PTO.]:[AGRUP. VALOR. PTO.]]=$B102,IF(DATOS_[[Check Periodo Ref.]:[Check Periodo Ref.]]="Dentro",DATOS_[C.Extra.04]))))), 0)</f>
        <v>0</v>
      </c>
      <c r="AP104" s="212" t="n">
        <f aca="false" t="array" ref="AP104:AP104">IFERROR( AVERAGE((IF(DATOS_[[Sexo]:[Sexo]]=$B104,IF(DATOS_[[AGRUP. VALOR. PTO.]:[AGRUP. VALOR. PTO.]]=$B102,IF(DATOS_[[Check Periodo Ref.]:[Check Periodo Ref.]]="Dentro",DATOS_[C.Extra.05]))))), 0)</f>
        <v>0</v>
      </c>
      <c r="AQ104" s="213" t="n">
        <f aca="false" t="array" ref="AQ104:AQ104">IFERROR( AVERAGE(IF(DATOS_[Sexo]=$B104,IF(DATOS_[AGRUP. VALOR. PTO.]=$B102,IF(DATOS_[Check Periodo Ref.]="Dentro",DATOS_[Tot Extrasalarial Ef],0)))), 0)</f>
        <v>0</v>
      </c>
      <c r="AR104" s="214" t="n">
        <f aca="false" t="array" ref="AR104:AR104">IFERROR( AVERAGE(IF(DATOS_[Sexo]=$B104,IF(DATOS_[AGRUP. VALOR. PTO.]=$B102,IF(DATOS_[Check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1"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4B183"/>
    <pageSetUpPr fitToPage="true"/>
  </sheetPr>
  <dimension ref="A1:AR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1" min="1" style="217" width="8.87"/>
    <col collapsed="false" customWidth="true" hidden="false" outlineLevel="0" max="2" min="2" style="217" width="10.76"/>
    <col collapsed="false" customWidth="false" hidden="false" outlineLevel="0" max="4" min="3" style="217" width="7.26"/>
    <col collapsed="false" customWidth="true" hidden="false" outlineLevel="0" max="5" min="5" style="217" width="10.35"/>
    <col collapsed="false" customWidth="false" hidden="false" outlineLevel="0" max="14" min="6" style="217" width="7.26"/>
    <col collapsed="false" customWidth="false" hidden="true" outlineLevel="0" max="15" min="15" style="217" width="7.26"/>
    <col collapsed="false" customWidth="false" hidden="true" outlineLevel="1" max="35" min="16" style="217" width="7.26"/>
    <col collapsed="false" customWidth="true" hidden="false" outlineLevel="0" max="37" min="36" style="217" width="8.87"/>
    <col collapsed="false" customWidth="false" hidden="false" outlineLevel="0" max="38" min="38" style="217" width="7.26"/>
    <col collapsed="false" customWidth="false" hidden="true" outlineLevel="0" max="42" min="39" style="217" width="7.26"/>
    <col collapsed="false" customWidth="true" hidden="false" outlineLevel="0" max="44" min="43" style="217" width="8.87"/>
    <col collapsed="false" customWidth="false" hidden="false" outlineLevel="0" max="1024" min="45" style="217" width="7.26"/>
  </cols>
  <sheetData>
    <row r="1" s="166" customFormat="true" ht="42.6" hidden="false" customHeight="true" outlineLevel="0" collapsed="false">
      <c r="E1" s="167" t="s">
        <v>374</v>
      </c>
    </row>
    <row r="2" customFormat="false" ht="13.9" hidden="false" customHeight="true" outlineLevel="0" collapsed="false">
      <c r="G2" s="217" t="str">
        <f aca="false">+IF(G8="[ocultar]",G8,"")</f>
        <v>[ocultar]</v>
      </c>
      <c r="H2" s="217" t="str">
        <f aca="false">+IF(H8="[ocultar]",H8,"")</f>
        <v>[ocultar]</v>
      </c>
      <c r="I2" s="217" t="str">
        <f aca="false">+IF(I8="[ocultar]",I8,"")</f>
        <v>[ocultar]</v>
      </c>
      <c r="J2" s="217" t="str">
        <f aca="false">+IF(J8="[ocultar]",J8,"")</f>
        <v>[ocultar]</v>
      </c>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
      </c>
      <c r="AK2" s="217" t="str">
        <f aca="false">+IF(AK8="[ocultar]",AK8,"")</f>
        <v/>
      </c>
      <c r="AL2" s="217" t="str">
        <f aca="false">+IF(AL8="[ocultar]",AL8,"")</f>
        <v>[ocultar]</v>
      </c>
      <c r="AM2" s="217" t="str">
        <f aca="false">+IF(AM8="[ocultar]",AM8,"")</f>
        <v>[ocultar]</v>
      </c>
      <c r="AN2" s="217" t="str">
        <f aca="false">+IF(AN8="[ocultar]",AN8,"")</f>
        <v>[ocultar]</v>
      </c>
      <c r="AO2" s="217" t="str">
        <f aca="false">+IF(AO8="[ocultar]",AO8,"")</f>
        <v>[ocultar]</v>
      </c>
      <c r="AP2" s="217" t="str">
        <f aca="false">+IF(AP8="[ocultar]",AP8,"")</f>
        <v>[ocultar]</v>
      </c>
    </row>
    <row r="3" customFormat="false" ht="13.9" hidden="false" customHeight="true" outlineLevel="0" collapsed="false">
      <c r="E3" s="218" t="str">
        <f aca="false">+"Razón Social: "&amp;Inicio!C6&amp;"  -  NIF: "&amp;Inicio!C8</f>
        <v>Razón Social:   -  NIF:</v>
      </c>
      <c r="F3" s="219"/>
    </row>
    <row r="4" customFormat="false" ht="13.9" hidden="false" customHeight="true" outlineLevel="0" collapsed="false">
      <c r="E4" s="220" t="s">
        <v>2</v>
      </c>
      <c r="F4" s="221"/>
    </row>
    <row r="5" customFormat="false" ht="13.9" hidden="false" customHeight="true" outlineLevel="0" collapsed="false">
      <c r="E5" s="222" t="n">
        <f aca="false">+Inicio!E10</f>
        <v>0</v>
      </c>
      <c r="F5" s="223" t="str">
        <f aca="false">+Inicio!D10</f>
        <v>fecha inicio</v>
      </c>
    </row>
    <row r="6" customFormat="false" ht="13.9" hidden="false" customHeight="true" outlineLevel="0" collapsed="false">
      <c r="E6" s="222" t="n">
        <f aca="false">+Inicio!G10</f>
        <v>0</v>
      </c>
      <c r="F6" s="224" t="s">
        <v>4</v>
      </c>
    </row>
    <row r="7" s="179" customFormat="true" ht="13.9" hidden="false" customHeight="true" outlineLevel="0" collapsed="false"/>
    <row r="8" s="225" customFormat="true" ht="46.15" hidden="false" customHeight="true" outlineLevel="0" collapsed="false">
      <c r="B8" s="226"/>
      <c r="C8" s="226" t="s">
        <v>368</v>
      </c>
      <c r="D8" s="226" t="s">
        <v>369</v>
      </c>
      <c r="E8" s="227" t="s">
        <v>148</v>
      </c>
      <c r="F8" s="228" t="str">
        <f aca="false">+IF(DATOS!AE6="","[ocultar]",DATOS!AE6)</f>
        <v>[ocultar]</v>
      </c>
      <c r="G8" s="228" t="str">
        <f aca="false">+IF(DATOS!AF6="","[ocultar]",DATOS!AF6)</f>
        <v>[ocultar]</v>
      </c>
      <c r="H8" s="228" t="str">
        <f aca="false">+IF(DATOS!AG6="","[ocultar]",DATOS!AG6)</f>
        <v>[ocultar]</v>
      </c>
      <c r="I8" s="228" t="str">
        <f aca="false">+IF(DATOS!AH6="","[ocultar]",DATOS!AH6)</f>
        <v>[ocultar]</v>
      </c>
      <c r="J8" s="228" t="str">
        <f aca="false">+IF(DATOS!AI6="","[ocultar]",DATOS!AI6)</f>
        <v>[ocultar]</v>
      </c>
      <c r="K8" s="228" t="str">
        <f aca="false">+IF(DATOS!AJ6="","[ocultar]",DATOS!AJ6)</f>
        <v>[ocultar]</v>
      </c>
      <c r="L8" s="228" t="str">
        <f aca="false">+IF(DATOS!AK6="","[ocultar]",DATOS!AK6)</f>
        <v>[ocultar]</v>
      </c>
      <c r="M8" s="228" t="str">
        <f aca="false">+IF(DATOS!AL6="","[ocultar]",DATOS!AL6)</f>
        <v>[ocultar]</v>
      </c>
      <c r="N8" s="228" t="str">
        <f aca="false">+IF(DATOS!AM6="","[ocultar]",DATOS!AM6)</f>
        <v>[ocultar]</v>
      </c>
      <c r="O8" s="228" t="str">
        <f aca="false">+IF(DATOS!AN6="","[ocultar]",DATOS!AN6)</f>
        <v>[ocultar]</v>
      </c>
      <c r="P8" s="228" t="str">
        <f aca="false">+IF(DATOS!AO6="","[ocultar]",DATOS!AO6)</f>
        <v>[ocultar]</v>
      </c>
      <c r="Q8" s="228" t="str">
        <f aca="false">+IF(DATOS!AP6="","[ocultar]",DATOS!AP6)</f>
        <v>[ocultar]</v>
      </c>
      <c r="R8" s="228" t="str">
        <f aca="false">+IF(DATOS!AQ6="","[ocultar]",DATOS!AQ6)</f>
        <v>[ocultar]</v>
      </c>
      <c r="S8" s="228" t="str">
        <f aca="false">+IF(DATOS!AR6="","[ocultar]",DATOS!AR6)</f>
        <v>[ocultar]</v>
      </c>
      <c r="T8" s="228" t="str">
        <f aca="false">+IF(DATOS!AS6="","[ocultar]",DATOS!AS6)</f>
        <v>[ocultar]</v>
      </c>
      <c r="U8" s="228" t="str">
        <f aca="false">+IF(DATOS!AT6="","[ocultar]",DATOS!AT6)</f>
        <v>[ocultar]</v>
      </c>
      <c r="V8" s="228" t="str">
        <f aca="false">+IF(DATOS!AU6="","[ocultar]",DATOS!AU6)</f>
        <v>[ocultar]</v>
      </c>
      <c r="W8" s="228" t="str">
        <f aca="false">+IF(DATOS!AV6="","[ocultar]",DATOS!AV6)</f>
        <v>[ocultar]</v>
      </c>
      <c r="X8" s="228" t="str">
        <f aca="false">+IF(DATOS!AW6="","[ocultar]",DATOS!AW6)</f>
        <v>[ocultar]</v>
      </c>
      <c r="Y8" s="228" t="str">
        <f aca="false">+IF(DATOS!AX6="","[ocultar]",DATOS!AX6)</f>
        <v>[ocultar]</v>
      </c>
      <c r="Z8" s="228" t="str">
        <f aca="false">+IF(DATOS!AY6="","[ocultar]",DATOS!AY6)</f>
        <v>[ocultar]</v>
      </c>
      <c r="AA8" s="228" t="str">
        <f aca="false">+IF(DATOS!AZ6="","[ocultar]",DATOS!AZ6)</f>
        <v>[ocultar]</v>
      </c>
      <c r="AB8" s="228" t="str">
        <f aca="false">+IF(DATOS!BA6="","[ocultar]",DATOS!BA6)</f>
        <v>[ocultar]</v>
      </c>
      <c r="AC8" s="228" t="str">
        <f aca="false">+IF(DATOS!BB6="","[ocultar]",DATOS!BB6)</f>
        <v>[ocultar]</v>
      </c>
      <c r="AD8" s="228" t="str">
        <f aca="false">+IF(DATOS!BC6="","[ocultar]",DATOS!BC6)</f>
        <v>[ocultar]</v>
      </c>
      <c r="AE8" s="228" t="str">
        <f aca="false">+IF(DATOS!BD6="","[ocultar]",DATOS!BD6)</f>
        <v>[ocultar]</v>
      </c>
      <c r="AF8" s="228" t="str">
        <f aca="false">+IF(DATOS!BE6="","[ocultar]",DATOS!BE6)</f>
        <v>[ocultar]</v>
      </c>
      <c r="AG8" s="228" t="str">
        <f aca="false">+IF(DATOS!BF6="","[ocultar]",DATOS!BF6)</f>
        <v>[ocultar]</v>
      </c>
      <c r="AH8" s="228" t="str">
        <f aca="false">+IF(DATOS!BG6="","[ocultar]",DATOS!BG6)</f>
        <v>[ocultar]</v>
      </c>
      <c r="AI8" s="228" t="str">
        <f aca="false">+IF(DATOS!BH6="","[ocultar]",DATOS!BH6)</f>
        <v>[ocultar]</v>
      </c>
      <c r="AJ8" s="229" t="s">
        <v>150</v>
      </c>
      <c r="AK8" s="230" t="s">
        <v>152</v>
      </c>
      <c r="AL8" s="231" t="str">
        <f aca="false">+IF(DATOS!BI6="","[ocultar]",DATOS!BI6)</f>
        <v>[ocultar]</v>
      </c>
      <c r="AM8" s="231" t="str">
        <f aca="false">+IF(DATOS!BJ6="","[ocultar]",DATOS!BJ6)</f>
        <v>[ocultar]</v>
      </c>
      <c r="AN8" s="231" t="str">
        <f aca="false">+IF(DATOS!BK6="","[ocultar]",DATOS!BK6)</f>
        <v>[ocultar]</v>
      </c>
      <c r="AO8" s="231" t="str">
        <f aca="false">+IF(DATOS!BL6="","[ocultar]",DATOS!BL6)</f>
        <v>[ocultar]</v>
      </c>
      <c r="AP8" s="231" t="str">
        <f aca="false">+IF(DATOS!BM6="","[ocultar]",DATOS!BM6)</f>
        <v>[ocultar]</v>
      </c>
      <c r="AQ8" s="232" t="s">
        <v>154</v>
      </c>
      <c r="AR8" s="233" t="s">
        <v>156</v>
      </c>
    </row>
    <row r="9" s="234" customFormat="true" ht="15.75" hidden="false" customHeight="false" outlineLevel="0" collapsed="false">
      <c r="B9" s="235" t="s">
        <v>370</v>
      </c>
      <c r="C9" s="236"/>
      <c r="D9" s="237"/>
      <c r="E9" s="238" t="str">
        <f aca="false">IFERROR((E10-E11)/E10,"")</f>
        <v/>
      </c>
      <c r="F9" s="239" t="str">
        <f aca="false">IFERROR((F10-F11)/F10,"")</f>
        <v/>
      </c>
      <c r="G9" s="239" t="str">
        <f aca="false">IFERROR((G10-G11)/G10,"")</f>
        <v/>
      </c>
      <c r="H9" s="239" t="str">
        <f aca="false">IFERROR((H10-H11)/H10,"")</f>
        <v/>
      </c>
      <c r="I9" s="239" t="str">
        <f aca="false">IFERROR((I10-I11)/I10,"")</f>
        <v/>
      </c>
      <c r="J9" s="239" t="str">
        <f aca="false">IFERROR((J10-J11)/J10,"")</f>
        <v/>
      </c>
      <c r="K9" s="239" t="str">
        <f aca="false">IFERROR((K10-K11)/K10,"")</f>
        <v/>
      </c>
      <c r="L9" s="239" t="str">
        <f aca="false">IFERROR((L10-L11)/L10,"")</f>
        <v/>
      </c>
      <c r="M9" s="239" t="str">
        <f aca="false">IFERROR((M10-M11)/M10,"")</f>
        <v/>
      </c>
      <c r="N9" s="239"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40" t="str">
        <f aca="false">IFERROR((V10-V11)/V10,"")</f>
        <v/>
      </c>
      <c r="W9" s="240" t="str">
        <f aca="false">IFERROR((W10-W11)/W10,"")</f>
        <v/>
      </c>
      <c r="X9" s="240" t="str">
        <f aca="false">IFERROR((X10-X11)/X10,"")</f>
        <v/>
      </c>
      <c r="Y9" s="240"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1" t="str">
        <f aca="false">IFERROR((AJ10-AJ11)/AJ10,"")</f>
        <v/>
      </c>
      <c r="AK9" s="242" t="str">
        <f aca="false">IFERROR((AK10-AK11)/AK10,"")</f>
        <v/>
      </c>
      <c r="AL9" s="243" t="str">
        <f aca="false">IFERROR((AL10-AL11)/AL10,"")</f>
        <v/>
      </c>
      <c r="AM9" s="243" t="str">
        <f aca="false">IFERROR((AM10-AM11)/AM10,"")</f>
        <v/>
      </c>
      <c r="AN9" s="243" t="str">
        <f aca="false">IFERROR((AN10-AN11)/AN10,"")</f>
        <v/>
      </c>
      <c r="AO9" s="243" t="str">
        <f aca="false">IFERROR((AO10-AO11)/AO10,"")</f>
        <v/>
      </c>
      <c r="AP9" s="243" t="str">
        <f aca="false">IFERROR((AP10-AP11)/AP10,"")</f>
        <v/>
      </c>
      <c r="AQ9" s="244" t="str">
        <f aca="false">IFERROR((AQ10-AQ11)/AQ10,"")</f>
        <v/>
      </c>
      <c r="AR9" s="245" t="str">
        <f aca="false">IFERROR((AR10-AR11)/AR10,"")</f>
        <v/>
      </c>
    </row>
    <row r="10" s="234" customFormat="true" ht="14.25" hidden="false" customHeight="false" outlineLevel="0" collapsed="false">
      <c r="B10" s="246" t="s">
        <v>371</v>
      </c>
      <c r="C10" s="247" t="n">
        <f aca="false" t="array" ref="C10:C10">SUM(IF($B10=DATOS_[Sexo], IF("Dentro"=DATOS_[Check Periodo Ref.], 1/(COUNTIFS(DATOS_[Sexo],$B10,DATOS_[Check Periodo Ref.],"Dentro",DATOS_[id],DATOS_[id])))))</f>
        <v>0</v>
      </c>
      <c r="D10" s="248" t="n">
        <f aca="false">COUNTIFS(DATOS_[AGRUP. VALOR. PTO.],"&lt;&gt;",DATOS_[Sexo],$B10,DATOS_[Check Periodo Ref.],"Dentro")</f>
        <v>0</v>
      </c>
      <c r="E10" s="249" t="n">
        <f aca="false" t="array" ref="E10:E10">IFERROR( MEDIAN(IF(DATOS_[Sexo]=$B10,IF(DATOS_[Check Periodo Ref.]="Dentro",DATOS_[SALARIO BASE Ef],0))), 0)</f>
        <v>0</v>
      </c>
      <c r="F10" s="250" t="n">
        <f aca="false" t="array" ref="F10:F10">IFERROR( (MEDIAN((IF(DATOS_[[Sexo]:[Sexo]]=$B10,IF(DATOS_[[Check Periodo Ref.]:[Check Periodo Ref.]]="Dentro",DATOS_[Conc.Sal.01]))))), 0)</f>
        <v>0</v>
      </c>
      <c r="G10" s="250" t="n">
        <f aca="false" t="array" ref="G10:G10">IFERROR( (MEDIAN((IF(DATOS_[[Sexo]:[Sexo]]=$B10,IF(DATOS_[[Check Periodo Ref.]:[Check Periodo Ref.]]="Dentro",DATOS_[Conc.Sal.02]))))), 0)</f>
        <v>0</v>
      </c>
      <c r="H10" s="250" t="n">
        <f aca="false" t="array" ref="H10:H10">IFERROR( (MEDIAN((IF(DATOS_[[Sexo]:[Sexo]]=$B10,IF(DATOS_[[Check Periodo Ref.]:[Check Periodo Ref.]]="Dentro",DATOS_[Conc.Sal.03]))))), 0)</f>
        <v>0</v>
      </c>
      <c r="I10" s="250" t="n">
        <f aca="false" t="array" ref="I10:I10">IFERROR( (MEDIAN((IF(DATOS_[[Sexo]:[Sexo]]=$B10,IF(DATOS_[[Check Periodo Ref.]:[Check Periodo Ref.]]="Dentro",DATOS_[Conc.Sal.04]))))), 0)</f>
        <v>0</v>
      </c>
      <c r="J10" s="250" t="n">
        <f aca="false" t="array" ref="J10:J10">IFERROR( (MEDIAN((IF(DATOS_[[Sexo]:[Sexo]]=$B10,IF(DATOS_[[Check Periodo Ref.]:[Check Periodo Ref.]]="Dentro",DATOS_[Conc.Sal.05]))))), 0)</f>
        <v>0</v>
      </c>
      <c r="K10" s="250" t="n">
        <f aca="false" t="array" ref="K10:K10">IFERROR( (MEDIAN((IF(DATOS_[[Sexo]:[Sexo]]=$B10,IF(DATOS_[[Check Periodo Ref.]:[Check Periodo Ref.]]="Dentro",DATOS_[Conc.Sal.06]))))), 0)</f>
        <v>0</v>
      </c>
      <c r="L10" s="250" t="n">
        <f aca="false" t="array" ref="L10:L10">IFERROR( (MEDIAN((IF(DATOS_[[Sexo]:[Sexo]]=$B10,IF(DATOS_[[Check Periodo Ref.]:[Check Periodo Ref.]]="Dentro",DATOS_[Conc.Sal.07]))))), 0)</f>
        <v>0</v>
      </c>
      <c r="M10" s="250" t="n">
        <f aca="false" t="array" ref="M10:M10">IFERROR( (MEDIAN((IF(DATOS_[[Sexo]:[Sexo]]=$B10,IF(DATOS_[[Check Periodo Ref.]:[Check Periodo Ref.]]="Dentro",DATOS_[Conc.Sal.08]))))), 0)</f>
        <v>0</v>
      </c>
      <c r="N10" s="250" t="n">
        <f aca="false" t="array" ref="N10:N10">IFERROR( (MEDIAN((IF(DATOS_[[Sexo]:[Sexo]]=$B10,IF(DATOS_[[Check Periodo Ref.]:[Check Periodo Ref.]]="Dentro",DATOS_[Conc.Sal.09]))))), 0)</f>
        <v>0</v>
      </c>
      <c r="O10" s="250" t="n">
        <f aca="false" t="array" ref="O10:O10">IFERROR( (MEDIAN((IF(DATOS_[[Sexo]:[Sexo]]=$B10,IF(DATOS_[[Check Periodo Ref.]:[Check Periodo Ref.]]="Dentro",DATOS_[Conc.Sal.10]))))), 0)</f>
        <v>0</v>
      </c>
      <c r="P10" s="250" t="n">
        <f aca="false" t="array" ref="P10:P10">IFERROR( (MEDIAN((IF(DATOS_[[Sexo]:[Sexo]]=$B10,IF(DATOS_[[Check Periodo Ref.]:[Check Periodo Ref.]]="Dentro",DATOS_[Conc.Sal.11]))))), 0)</f>
        <v>0</v>
      </c>
      <c r="Q10" s="250" t="n">
        <f aca="false" t="array" ref="Q10:Q10">IFERROR( (MEDIAN((IF(DATOS_[[Sexo]:[Sexo]]=$B10,IF(DATOS_[[Check Periodo Ref.]:[Check Periodo Ref.]]="Dentro",DATOS_[Conc.Sal.12]))))), 0)</f>
        <v>0</v>
      </c>
      <c r="R10" s="250" t="n">
        <f aca="false" t="array" ref="R10:R10">IFERROR( (MEDIAN((IF(DATOS_[[Sexo]:[Sexo]]=$B10,IF(DATOS_[[Check Periodo Ref.]:[Check Periodo Ref.]]="Dentro",DATOS_[Conc.Sal.13]))))), 0)</f>
        <v>0</v>
      </c>
      <c r="S10" s="250" t="n">
        <f aca="false" t="array" ref="S10:S10">IFERROR( (MEDIAN((IF(DATOS_[[Sexo]:[Sexo]]=$B10,IF(DATOS_[[Check Periodo Ref.]:[Check Periodo Ref.]]="Dentro",DATOS_[Conc.Sal.14]))))), 0)</f>
        <v>0</v>
      </c>
      <c r="T10" s="250" t="n">
        <f aca="false" t="array" ref="T10:T10">IFERROR( (MEDIAN((IF(DATOS_[[Sexo]:[Sexo]]=$B10,IF(DATOS_[[Check Periodo Ref.]:[Check Periodo Ref.]]="Dentro",DATOS_[Conc.Sal.15]))))), 0)</f>
        <v>0</v>
      </c>
      <c r="U10" s="250" t="n">
        <f aca="false" t="array" ref="U10:U10">IFERROR( (MEDIAN((IF(DATOS_[[Sexo]:[Sexo]]=$B10,IF(DATOS_[[Check Periodo Ref.]:[Check Periodo Ref.]]="Dentro",DATOS_[Conc.Sal.16]))))), 0)</f>
        <v>0</v>
      </c>
      <c r="V10" s="250" t="n">
        <f aca="false" t="array" ref="V10:V10">IFERROR( (MEDIAN((IF(DATOS_[[Sexo]:[Sexo]]=$B10,IF(DATOS_[[Check Periodo Ref.]:[Check Periodo Ref.]]="Dentro",DATOS_[Conc.Sal.17]))))), 0)</f>
        <v>0</v>
      </c>
      <c r="W10" s="250" t="n">
        <f aca="false" t="array" ref="W10:W10">IFERROR( (MEDIAN((IF(DATOS_[[Sexo]:[Sexo]]=$B10,IF(DATOS_[[Check Periodo Ref.]:[Check Periodo Ref.]]="Dentro",DATOS_[Conc.Sal.18]))))), 0)</f>
        <v>0</v>
      </c>
      <c r="X10" s="250" t="n">
        <f aca="false" t="array" ref="X10:X10">IFERROR( (MEDIAN((IF(DATOS_[[Sexo]:[Sexo]]=$B10,IF(DATOS_[[Check Periodo Ref.]:[Check Periodo Ref.]]="Dentro",DATOS_[Conc.Sal.19]))))), 0)</f>
        <v>0</v>
      </c>
      <c r="Y10" s="250" t="n">
        <f aca="false" t="array" ref="Y10:Y10">IFERROR( (MEDIAN((IF(DATOS_[[Sexo]:[Sexo]]=$B10,IF(DATOS_[[Check Periodo Ref.]:[Check Periodo Ref.]]="Dentro",DATOS_[Conc.Sal.20]))))), 0)</f>
        <v>0</v>
      </c>
      <c r="Z10" s="250" t="n">
        <f aca="false" t="array" ref="Z10:Z10">IFERROR( (MEDIAN((IF(DATOS_[[Sexo]:[Sexo]]=$B10,IF(DATOS_[[Check Periodo Ref.]:[Check Periodo Ref.]]="Dentro",DATOS_[Conc.Sal.21]))))), 0)</f>
        <v>0</v>
      </c>
      <c r="AA10" s="250" t="n">
        <f aca="false" t="array" ref="AA10:AA10">IFERROR( (MEDIAN((IF(DATOS_[[Sexo]:[Sexo]]=$B10,IF(DATOS_[[Check Periodo Ref.]:[Check Periodo Ref.]]="Dentro",DATOS_[Conc.Sal.22]))))), 0)</f>
        <v>0</v>
      </c>
      <c r="AB10" s="250" t="n">
        <f aca="false" t="array" ref="AB10:AB10">IFERROR( (MEDIAN((IF(DATOS_[[Sexo]:[Sexo]]=$B10,IF(DATOS_[[Check Periodo Ref.]:[Check Periodo Ref.]]="Dentro",DATOS_[Conc.Sal.23]))))), 0)</f>
        <v>0</v>
      </c>
      <c r="AC10" s="250" t="n">
        <f aca="false" t="array" ref="AC10:AC10">IFERROR( (MEDIAN((IF(DATOS_[[Sexo]:[Sexo]]=$B10,IF(DATOS_[[Check Periodo Ref.]:[Check Periodo Ref.]]="Dentro",DATOS_[Conc.Sal.24]))))), 0)</f>
        <v>0</v>
      </c>
      <c r="AD10" s="250" t="n">
        <f aca="false" t="array" ref="AD10:AD10">IFERROR( (MEDIAN((IF(DATOS_[[Sexo]:[Sexo]]=$B10,IF(DATOS_[[Check Periodo Ref.]:[Check Periodo Ref.]]="Dentro",DATOS_[Conc.Sal.25]))))), 0)</f>
        <v>0</v>
      </c>
      <c r="AE10" s="250" t="n">
        <f aca="false" t="array" ref="AE10:AE10">IFERROR( (MEDIAN((IF(DATOS_[[Sexo]:[Sexo]]=$B10,IF(DATOS_[[Check Periodo Ref.]:[Check Periodo Ref.]]="Dentro",DATOS_[Conc.Sal.26]))))), 0)</f>
        <v>0</v>
      </c>
      <c r="AF10" s="250" t="n">
        <f aca="false" t="array" ref="AF10:AF10">IFERROR( (MEDIAN((IF(DATOS_[[Sexo]:[Sexo]]=$B10,IF(DATOS_[[Check Periodo Ref.]:[Check Periodo Ref.]]="Dentro",DATOS_[Conc.Sal.27]))))), 0)</f>
        <v>0</v>
      </c>
      <c r="AG10" s="250" t="n">
        <f aca="false" t="array" ref="AG10:AG10">IFERROR( (MEDIAN((IF(DATOS_[[Sexo]:[Sexo]]=$B10,IF(DATOS_[[Check Periodo Ref.]:[Check Periodo Ref.]]="Dentro",DATOS_[Conc.Sal.28]))))), 0)</f>
        <v>0</v>
      </c>
      <c r="AH10" s="250" t="n">
        <f aca="false" t="array" ref="AH10:AH10">IFERROR( (MEDIAN((IF(DATOS_[[Sexo]:[Sexo]]=$B10,IF(DATOS_[[Check Periodo Ref.]:[Check Periodo Ref.]]="Dentro",DATOS_[Conc.Sal.29]))))), 0)</f>
        <v>0</v>
      </c>
      <c r="AI10" s="250" t="n">
        <f aca="false" t="array" ref="AI10:AI10">IFERROR( (MEDIAN((IF(DATOS_[[Sexo]:[Sexo]]=$B10,IF(DATOS_[[Check Periodo Ref.]:[Check Periodo Ref.]]="Dentro",DATOS_[Conc.Sal.30]))))), 0)</f>
        <v>0</v>
      </c>
      <c r="AJ10" s="251" t="n">
        <f aca="false" t="array" ref="AJ10:AJ10">IFERROR( MEDIAN(IF(DATOS_[Sexo]=$B10,IF(DATOS_[Check Periodo Ref.]="Dentro",DATOS_[Tot COMPL.SAL Ef],0))), 0)</f>
        <v>0</v>
      </c>
      <c r="AK10" s="252" t="n">
        <f aca="false" t="array" ref="AK10:AK10">IFERROR( MEDIAN(IF(DATOS_[Sexo]=$B10,IF(DATOS_[Check Periodo Ref.]="Dentro",DATOS_[TOTAL SALARIO Ef],0))), 0)</f>
        <v>0</v>
      </c>
      <c r="AL10" s="253" t="n">
        <f aca="false" t="array" ref="AL10:AL10">IFERROR( (MEDIAN((IF(DATOS_[[Sexo]:[Sexo]]=$B10,IF(DATOS_[[Check Periodo Ref.]:[Check Periodo Ref.]]="Dentro",DATOS_[C.Extra.01]))))), 0)</f>
        <v>0</v>
      </c>
      <c r="AM10" s="253" t="n">
        <f aca="false" t="array" ref="AM10:AM10">IFERROR( (MEDIAN((IF(DATOS_[[Sexo]:[Sexo]]=$B10,IF(DATOS_[[Check Periodo Ref.]:[Check Periodo Ref.]]="Dentro",DATOS_[C.Extra.02]))))), 0)</f>
        <v>0</v>
      </c>
      <c r="AN10" s="253" t="n">
        <f aca="false" t="array" ref="AN10:AN10">IFERROR( (MEDIAN((IF(DATOS_[[Sexo]:[Sexo]]=$B10,IF(DATOS_[[Check Periodo Ref.]:[Check Periodo Ref.]]="Dentro",DATOS_[C.Extra.03]))))), 0)</f>
        <v>0</v>
      </c>
      <c r="AO10" s="253" t="n">
        <f aca="false" t="array" ref="AO10:AO10">IFERROR( (MEDIAN((IF(DATOS_[[Sexo]:[Sexo]]=$B10,IF(DATOS_[[Check Periodo Ref.]:[Check Periodo Ref.]]="Dentro",DATOS_[C.Extra.04]))))), 0)</f>
        <v>0</v>
      </c>
      <c r="AP10" s="253" t="n">
        <f aca="false" t="array" ref="AP10:AP10">IFERROR( (MEDIAN((IF(DATOS_[[Sexo]:[Sexo]]=$B10,IF(DATOS_[[Check Periodo Ref.]:[Check Periodo Ref.]]="Dentro",DATOS_[C.Extra.05]))))), 0)</f>
        <v>0</v>
      </c>
      <c r="AQ10" s="254" t="n">
        <f aca="false" t="array" ref="AQ10:AQ10">IFERROR( MEDIAN(IF(DATOS_[Sexo]=$B10,IF(DATOS_[Check Periodo Ref.]="Dentro",DATOS_[Tot Extrasalarial Ef],0))), 0)</f>
        <v>0</v>
      </c>
      <c r="AR10" s="255" t="n">
        <f aca="false" t="array" ref="AR10:AR10">IFERROR( MEDIAN(IF(DATOS_[Sexo]=$B10,IF(DATOS_[Check Periodo Ref.]="Dentro",DATOS_[TOTAL Retrib Ef],0))), 0)</f>
        <v>0</v>
      </c>
    </row>
    <row r="11" s="234" customFormat="true" ht="14.25" hidden="false" customHeight="false" outlineLevel="0" collapsed="false">
      <c r="B11" s="246" t="s">
        <v>372</v>
      </c>
      <c r="C11" s="247" t="n">
        <f aca="false" t="array" ref="C11:C11">SUM(IF($B11=DATOS_[Sexo], IF("Dentro"=DATOS_[Check Periodo Ref.], 1/(COUNTIFS(DATOS_[Sexo],$B11,DATOS_[Check Periodo Ref.],"Dentro",DATOS_[id],DATOS_[id])))))</f>
        <v>0</v>
      </c>
      <c r="D11" s="248" t="n">
        <f aca="false">COUNTIFS(DATOS_[AGRUP. VALOR. PTO.],"&lt;&gt;",DATOS_[Sexo],$B11,DATOS_[Check Periodo Ref.],"Dentro")</f>
        <v>0</v>
      </c>
      <c r="E11" s="249" t="n">
        <f aca="false" t="array" ref="E11:E11">IFERROR( MEDIAN(IF(DATOS_[Sexo]=$B11,IF(DATOS_[Check Periodo Ref.]="Dentro",DATOS_[SALARIO BASE Ef],0))), 0)</f>
        <v>0</v>
      </c>
      <c r="F11" s="250" t="n">
        <f aca="false" t="array" ref="F11:F11">IFERROR( (MEDIAN((IF(DATOS_[[Sexo]:[Sexo]]=$B11,IF(DATOS_[[Check Periodo Ref.]:[Check Periodo Ref.]]="Dentro",DATOS_[Conc.Sal.01]))))), 0)</f>
        <v>0</v>
      </c>
      <c r="G11" s="250" t="n">
        <f aca="false" t="array" ref="G11:G11">IFERROR( (MEDIAN((IF(DATOS_[[Sexo]:[Sexo]]=$B11,IF(DATOS_[[Check Periodo Ref.]:[Check Periodo Ref.]]="Dentro",DATOS_[Conc.Sal.02]))))), 0)</f>
        <v>0</v>
      </c>
      <c r="H11" s="250" t="n">
        <f aca="false" t="array" ref="H11:H11">IFERROR( (MEDIAN((IF(DATOS_[[Sexo]:[Sexo]]=$B11,IF(DATOS_[[Check Periodo Ref.]:[Check Periodo Ref.]]="Dentro",DATOS_[Conc.Sal.03]))))), 0)</f>
        <v>0</v>
      </c>
      <c r="I11" s="250" t="n">
        <f aca="false" t="array" ref="I11:I11">IFERROR( (MEDIAN((IF(DATOS_[[Sexo]:[Sexo]]=$B11,IF(DATOS_[[Check Periodo Ref.]:[Check Periodo Ref.]]="Dentro",DATOS_[Conc.Sal.04]))))), 0)</f>
        <v>0</v>
      </c>
      <c r="J11" s="250" t="n">
        <f aca="false" t="array" ref="J11:J11">IFERROR( (MEDIAN((IF(DATOS_[[Sexo]:[Sexo]]=$B11,IF(DATOS_[[Check Periodo Ref.]:[Check Periodo Ref.]]="Dentro",DATOS_[Conc.Sal.05]))))), 0)</f>
        <v>0</v>
      </c>
      <c r="K11" s="250" t="n">
        <f aca="false" t="array" ref="K11:K11">IFERROR( (MEDIAN((IF(DATOS_[[Sexo]:[Sexo]]=$B11,IF(DATOS_[[Check Periodo Ref.]:[Check Periodo Ref.]]="Dentro",DATOS_[Conc.Sal.06]))))), 0)</f>
        <v>0</v>
      </c>
      <c r="L11" s="250" t="n">
        <f aca="false" t="array" ref="L11:L11">IFERROR( (MEDIAN((IF(DATOS_[[Sexo]:[Sexo]]=$B11,IF(DATOS_[[Check Periodo Ref.]:[Check Periodo Ref.]]="Dentro",DATOS_[Conc.Sal.07]))))), 0)</f>
        <v>0</v>
      </c>
      <c r="M11" s="250" t="n">
        <f aca="false" t="array" ref="M11:M11">IFERROR( (MEDIAN((IF(DATOS_[[Sexo]:[Sexo]]=$B11,IF(DATOS_[[Check Periodo Ref.]:[Check Periodo Ref.]]="Dentro",DATOS_[Conc.Sal.08]))))), 0)</f>
        <v>0</v>
      </c>
      <c r="N11" s="250" t="n">
        <f aca="false" t="array" ref="N11:N11">IFERROR( (MEDIAN((IF(DATOS_[[Sexo]:[Sexo]]=$B11,IF(DATOS_[[Check Periodo Ref.]:[Check Periodo Ref.]]="Dentro",DATOS_[Conc.Sal.09]))))), 0)</f>
        <v>0</v>
      </c>
      <c r="O11" s="250" t="n">
        <f aca="false" t="array" ref="O11:O11">IFERROR( (MEDIAN((IF(DATOS_[[Sexo]:[Sexo]]=$B11,IF(DATOS_[[Check Periodo Ref.]:[Check Periodo Ref.]]="Dentro",DATOS_[Conc.Sal.10]))))), 0)</f>
        <v>0</v>
      </c>
      <c r="P11" s="250" t="n">
        <f aca="false" t="array" ref="P11:P11">IFERROR( (MEDIAN((IF(DATOS_[[Sexo]:[Sexo]]=$B11,IF(DATOS_[[Check Periodo Ref.]:[Check Periodo Ref.]]="Dentro",DATOS_[Conc.Sal.11]))))), 0)</f>
        <v>0</v>
      </c>
      <c r="Q11" s="250" t="n">
        <f aca="false" t="array" ref="Q11:Q11">IFERROR( (MEDIAN((IF(DATOS_[[Sexo]:[Sexo]]=$B11,IF(DATOS_[[Check Periodo Ref.]:[Check Periodo Ref.]]="Dentro",DATOS_[Conc.Sal.12]))))), 0)</f>
        <v>0</v>
      </c>
      <c r="R11" s="250" t="n">
        <f aca="false" t="array" ref="R11:R11">IFERROR( (MEDIAN((IF(DATOS_[[Sexo]:[Sexo]]=$B11,IF(DATOS_[[Check Periodo Ref.]:[Check Periodo Ref.]]="Dentro",DATOS_[Conc.Sal.13]))))), 0)</f>
        <v>0</v>
      </c>
      <c r="S11" s="250" t="n">
        <f aca="false" t="array" ref="S11:S11">IFERROR( (MEDIAN((IF(DATOS_[[Sexo]:[Sexo]]=$B11,IF(DATOS_[[Check Periodo Ref.]:[Check Periodo Ref.]]="Dentro",DATOS_[Conc.Sal.14]))))), 0)</f>
        <v>0</v>
      </c>
      <c r="T11" s="250" t="n">
        <f aca="false" t="array" ref="T11:T11">IFERROR( (MEDIAN((IF(DATOS_[[Sexo]:[Sexo]]=$B11,IF(DATOS_[[Check Periodo Ref.]:[Check Periodo Ref.]]="Dentro",DATOS_[Conc.Sal.15]))))), 0)</f>
        <v>0</v>
      </c>
      <c r="U11" s="250" t="n">
        <f aca="false" t="array" ref="U11:U11">IFERROR( (MEDIAN((IF(DATOS_[[Sexo]:[Sexo]]=$B11,IF(DATOS_[[Check Periodo Ref.]:[Check Periodo Ref.]]="Dentro",DATOS_[Conc.Sal.16]))))), 0)</f>
        <v>0</v>
      </c>
      <c r="V11" s="250" t="n">
        <f aca="false" t="array" ref="V11:V11">IFERROR( (MEDIAN((IF(DATOS_[[Sexo]:[Sexo]]=$B11,IF(DATOS_[[Check Periodo Ref.]:[Check Periodo Ref.]]="Dentro",DATOS_[Conc.Sal.17]))))), 0)</f>
        <v>0</v>
      </c>
      <c r="W11" s="250" t="n">
        <f aca="false" t="array" ref="W11:W11">IFERROR( (MEDIAN((IF(DATOS_[[Sexo]:[Sexo]]=$B11,IF(DATOS_[[Check Periodo Ref.]:[Check Periodo Ref.]]="Dentro",DATOS_[Conc.Sal.18]))))), 0)</f>
        <v>0</v>
      </c>
      <c r="X11" s="250" t="n">
        <f aca="false" t="array" ref="X11:X11">IFERROR( (MEDIAN((IF(DATOS_[[Sexo]:[Sexo]]=$B11,IF(DATOS_[[Check Periodo Ref.]:[Check Periodo Ref.]]="Dentro",DATOS_[Conc.Sal.19]))))), 0)</f>
        <v>0</v>
      </c>
      <c r="Y11" s="250" t="n">
        <f aca="false" t="array" ref="Y11:Y11">IFERROR( (MEDIAN((IF(DATOS_[[Sexo]:[Sexo]]=$B11,IF(DATOS_[[Check Periodo Ref.]:[Check Periodo Ref.]]="Dentro",DATOS_[Conc.Sal.20]))))), 0)</f>
        <v>0</v>
      </c>
      <c r="Z11" s="250" t="n">
        <f aca="false" t="array" ref="Z11:Z11">IFERROR( (MEDIAN((IF(DATOS_[[Sexo]:[Sexo]]=$B11,IF(DATOS_[[Check Periodo Ref.]:[Check Periodo Ref.]]="Dentro",DATOS_[Conc.Sal.21]))))), 0)</f>
        <v>0</v>
      </c>
      <c r="AA11" s="250" t="n">
        <f aca="false" t="array" ref="AA11:AA11">IFERROR( (MEDIAN((IF(DATOS_[[Sexo]:[Sexo]]=$B11,IF(DATOS_[[Check Periodo Ref.]:[Check Periodo Ref.]]="Dentro",DATOS_[Conc.Sal.22]))))), 0)</f>
        <v>0</v>
      </c>
      <c r="AB11" s="250" t="n">
        <f aca="false" t="array" ref="AB11:AB11">IFERROR( (MEDIAN((IF(DATOS_[[Sexo]:[Sexo]]=$B11,IF(DATOS_[[Check Periodo Ref.]:[Check Periodo Ref.]]="Dentro",DATOS_[Conc.Sal.23]))))), 0)</f>
        <v>0</v>
      </c>
      <c r="AC11" s="250" t="n">
        <f aca="false" t="array" ref="AC11:AC11">IFERROR( (MEDIAN((IF(DATOS_[[Sexo]:[Sexo]]=$B11,IF(DATOS_[[Check Periodo Ref.]:[Check Periodo Ref.]]="Dentro",DATOS_[Conc.Sal.24]))))), 0)</f>
        <v>0</v>
      </c>
      <c r="AD11" s="250" t="n">
        <f aca="false" t="array" ref="AD11:AD11">IFERROR( (MEDIAN((IF(DATOS_[[Sexo]:[Sexo]]=$B11,IF(DATOS_[[Check Periodo Ref.]:[Check Periodo Ref.]]="Dentro",DATOS_[Conc.Sal.25]))))), 0)</f>
        <v>0</v>
      </c>
      <c r="AE11" s="250" t="n">
        <f aca="false" t="array" ref="AE11:AE11">IFERROR( (MEDIAN((IF(DATOS_[[Sexo]:[Sexo]]=$B11,IF(DATOS_[[Check Periodo Ref.]:[Check Periodo Ref.]]="Dentro",DATOS_[Conc.Sal.26]))))), 0)</f>
        <v>0</v>
      </c>
      <c r="AF11" s="250" t="n">
        <f aca="false" t="array" ref="AF11:AF11">IFERROR( (MEDIAN((IF(DATOS_[[Sexo]:[Sexo]]=$B11,IF(DATOS_[[Check Periodo Ref.]:[Check Periodo Ref.]]="Dentro",DATOS_[Conc.Sal.27]))))), 0)</f>
        <v>0</v>
      </c>
      <c r="AG11" s="250" t="n">
        <f aca="false" t="array" ref="AG11:AG11">IFERROR( (MEDIAN((IF(DATOS_[[Sexo]:[Sexo]]=$B11,IF(DATOS_[[Check Periodo Ref.]:[Check Periodo Ref.]]="Dentro",DATOS_[Conc.Sal.28]))))), 0)</f>
        <v>0</v>
      </c>
      <c r="AH11" s="250" t="n">
        <f aca="false" t="array" ref="AH11:AH11">IFERROR( (MEDIAN((IF(DATOS_[[Sexo]:[Sexo]]=$B11,IF(DATOS_[[Check Periodo Ref.]:[Check Periodo Ref.]]="Dentro",DATOS_[Conc.Sal.29]))))), 0)</f>
        <v>0</v>
      </c>
      <c r="AI11" s="250" t="n">
        <f aca="false" t="array" ref="AI11:AI11">IFERROR( (MEDIAN((IF(DATOS_[[Sexo]:[Sexo]]=$B11,IF(DATOS_[[Check Periodo Ref.]:[Check Periodo Ref.]]="Dentro",DATOS_[Conc.Sal.30]))))), 0)</f>
        <v>0</v>
      </c>
      <c r="AJ11" s="251" t="n">
        <f aca="false" t="array" ref="AJ11:AJ11">IFERROR( MEDIAN(IF(DATOS_[Sexo]=$B11,IF(DATOS_[Check Periodo Ref.]="Dentro",DATOS_[Tot COMPL.SAL Ef],0))), 0)</f>
        <v>0</v>
      </c>
      <c r="AK11" s="252" t="n">
        <f aca="false" t="array" ref="AK11:AK11">IFERROR( MEDIAN(IF(DATOS_[Sexo]=$B11,IF(DATOS_[Check Periodo Ref.]="Dentro",DATOS_[TOTAL SALARIO Ef],0))), 0)</f>
        <v>0</v>
      </c>
      <c r="AL11" s="253" t="n">
        <f aca="false" t="array" ref="AL11:AL11">IFERROR( (MEDIAN((IF(DATOS_[[Sexo]:[Sexo]]=$B11,IF(DATOS_[[Check Periodo Ref.]:[Check Periodo Ref.]]="Dentro",DATOS_[C.Extra.01]))))), 0)</f>
        <v>0</v>
      </c>
      <c r="AM11" s="253" t="n">
        <f aca="false" t="array" ref="AM11:AM11">IFERROR( (MEDIAN((IF(DATOS_[[Sexo]:[Sexo]]=$B11,IF(DATOS_[[Check Periodo Ref.]:[Check Periodo Ref.]]="Dentro",DATOS_[C.Extra.02]))))), 0)</f>
        <v>0</v>
      </c>
      <c r="AN11" s="253" t="n">
        <f aca="false" t="array" ref="AN11:AN11">IFERROR( (MEDIAN((IF(DATOS_[[Sexo]:[Sexo]]=$B11,IF(DATOS_[[Check Periodo Ref.]:[Check Periodo Ref.]]="Dentro",DATOS_[C.Extra.03]))))), 0)</f>
        <v>0</v>
      </c>
      <c r="AO11" s="253" t="n">
        <f aca="false" t="array" ref="AO11:AO11">IFERROR( (MEDIAN((IF(DATOS_[[Sexo]:[Sexo]]=$B11,IF(DATOS_[[Check Periodo Ref.]:[Check Periodo Ref.]]="Dentro",DATOS_[C.Extra.04]))))), 0)</f>
        <v>0</v>
      </c>
      <c r="AP11" s="253" t="n">
        <f aca="false" t="array" ref="AP11:AP11">IFERROR( (MEDIAN((IF(DATOS_[[Sexo]:[Sexo]]=$B11,IF(DATOS_[[Check Periodo Ref.]:[Check Periodo Ref.]]="Dentro",DATOS_[C.Extra.05]))))), 0)</f>
        <v>0</v>
      </c>
      <c r="AQ11" s="254" t="n">
        <f aca="false" t="array" ref="AQ11:AQ11">IFERROR( MEDIAN(IF(DATOS_[Sexo]=$B11,IF(DATOS_[Check Periodo Ref.]="Dentro",DATOS_[Tot Extrasalarial Ef],0))), 0)</f>
        <v>0</v>
      </c>
      <c r="AR11" s="255" t="n">
        <f aca="false" t="array" ref="AR11:AR11">IFERROR( MEDIAN(IF(DATOS_[Sexo]=$B11,IF(DATOS_[Check Periodo Ref.]="Dentro",DATOS_[TOTAL Retrib Ef],0))), 0)</f>
        <v>0</v>
      </c>
    </row>
    <row r="12" s="234" customFormat="true" ht="13.5" hidden="false" customHeight="false" outlineLevel="0" collapsed="false">
      <c r="D12" s="256"/>
      <c r="J12" s="257"/>
      <c r="K12" s="258"/>
      <c r="L12" s="258"/>
      <c r="M12" s="258"/>
      <c r="N12" s="258"/>
      <c r="O12" s="258"/>
      <c r="P12" s="258"/>
      <c r="Q12" s="258"/>
      <c r="R12" s="258"/>
      <c r="S12" s="258"/>
      <c r="T12" s="258"/>
      <c r="U12" s="258"/>
      <c r="V12" s="257"/>
      <c r="W12" s="257"/>
      <c r="X12" s="257"/>
      <c r="Y12" s="257"/>
      <c r="Z12" s="257"/>
      <c r="AA12" s="257"/>
      <c r="AB12" s="257"/>
      <c r="AC12" s="257"/>
      <c r="AD12" s="257"/>
      <c r="AE12" s="257"/>
      <c r="AF12" s="257"/>
      <c r="AG12" s="257"/>
      <c r="AH12" s="257"/>
      <c r="AI12" s="257"/>
      <c r="AL12" s="258"/>
      <c r="AM12" s="258"/>
      <c r="AN12" s="258"/>
      <c r="AO12" s="258"/>
      <c r="AP12" s="258"/>
    </row>
    <row r="13" s="234" customFormat="true" ht="13.5" hidden="false" customHeight="false" outlineLevel="0" collapsed="false">
      <c r="D13" s="256"/>
      <c r="J13" s="257"/>
      <c r="K13" s="258"/>
      <c r="L13" s="258"/>
      <c r="M13" s="258"/>
      <c r="N13" s="258"/>
      <c r="O13" s="258"/>
      <c r="P13" s="258"/>
      <c r="Q13" s="258"/>
      <c r="R13" s="258"/>
      <c r="S13" s="258"/>
      <c r="T13" s="258"/>
      <c r="U13" s="258"/>
      <c r="V13" s="257"/>
      <c r="W13" s="257"/>
      <c r="X13" s="257"/>
      <c r="Y13" s="257"/>
      <c r="Z13" s="257"/>
      <c r="AA13" s="257"/>
      <c r="AB13" s="257"/>
      <c r="AC13" s="257"/>
      <c r="AD13" s="257"/>
      <c r="AE13" s="257"/>
      <c r="AF13" s="257"/>
      <c r="AG13" s="257"/>
      <c r="AH13" s="257"/>
      <c r="AI13" s="257"/>
      <c r="AL13" s="258"/>
      <c r="AM13" s="258"/>
      <c r="AN13" s="258"/>
      <c r="AO13" s="258"/>
      <c r="AP13" s="258"/>
    </row>
    <row r="14" s="225" customFormat="true" ht="46.15" hidden="false" customHeight="true" outlineLevel="0" collapsed="false">
      <c r="B14" s="226"/>
      <c r="C14" s="226" t="s">
        <v>368</v>
      </c>
      <c r="D14" s="226" t="s">
        <v>369</v>
      </c>
      <c r="E14" s="227" t="s">
        <v>148</v>
      </c>
      <c r="F14" s="228" t="str">
        <f aca="false">+F8</f>
        <v>[ocultar]</v>
      </c>
      <c r="G14" s="228" t="str">
        <f aca="false">+G8</f>
        <v>[ocultar]</v>
      </c>
      <c r="H14" s="228" t="str">
        <f aca="false">+H8</f>
        <v>[ocultar]</v>
      </c>
      <c r="I14" s="228" t="str">
        <f aca="false">+I8</f>
        <v>[ocultar]</v>
      </c>
      <c r="J14" s="228" t="str">
        <f aca="false">+J8</f>
        <v>[ocultar]</v>
      </c>
      <c r="K14" s="228" t="str">
        <f aca="false">+K8</f>
        <v>[ocultar]</v>
      </c>
      <c r="L14" s="228" t="str">
        <f aca="false">+L8</f>
        <v>[ocultar]</v>
      </c>
      <c r="M14" s="228" t="str">
        <f aca="false">+M8</f>
        <v>[ocultar]</v>
      </c>
      <c r="N14" s="228" t="str">
        <f aca="false">+N8</f>
        <v>[ocultar]</v>
      </c>
      <c r="O14" s="228" t="str">
        <f aca="false">+O8</f>
        <v>[ocultar]</v>
      </c>
      <c r="P14" s="228" t="str">
        <f aca="false">+P8</f>
        <v>[ocultar]</v>
      </c>
      <c r="Q14" s="228" t="str">
        <f aca="false">+Q8</f>
        <v>[ocultar]</v>
      </c>
      <c r="R14" s="228" t="str">
        <f aca="false">+R8</f>
        <v>[ocultar]</v>
      </c>
      <c r="S14" s="228" t="str">
        <f aca="false">+S8</f>
        <v>[ocultar]</v>
      </c>
      <c r="T14" s="228" t="str">
        <f aca="false">+T8</f>
        <v>[ocultar]</v>
      </c>
      <c r="U14" s="228" t="str">
        <f aca="false">+U8</f>
        <v>[ocultar]</v>
      </c>
      <c r="V14" s="228" t="str">
        <f aca="false">+V8</f>
        <v>[ocultar]</v>
      </c>
      <c r="W14" s="228" t="str">
        <f aca="false">+W8</f>
        <v>[ocultar]</v>
      </c>
      <c r="X14" s="228" t="str">
        <f aca="false">+X8</f>
        <v>[ocultar]</v>
      </c>
      <c r="Y14" s="228" t="str">
        <f aca="false">+Y8</f>
        <v>[ocultar]</v>
      </c>
      <c r="Z14" s="228" t="str">
        <f aca="false">+Z8</f>
        <v>[ocultar]</v>
      </c>
      <c r="AA14" s="228" t="str">
        <f aca="false">+AA8</f>
        <v>[ocultar]</v>
      </c>
      <c r="AB14" s="228" t="str">
        <f aca="false">+AB8</f>
        <v>[ocultar]</v>
      </c>
      <c r="AC14" s="228" t="str">
        <f aca="false">+AC8</f>
        <v>[ocultar]</v>
      </c>
      <c r="AD14" s="228" t="str">
        <f aca="false">+AD8</f>
        <v>[ocultar]</v>
      </c>
      <c r="AE14" s="228" t="str">
        <f aca="false">+AE8</f>
        <v>[ocultar]</v>
      </c>
      <c r="AF14" s="228" t="str">
        <f aca="false">+AF8</f>
        <v>[ocultar]</v>
      </c>
      <c r="AG14" s="228" t="str">
        <f aca="false">+AG8</f>
        <v>[ocultar]</v>
      </c>
      <c r="AH14" s="228" t="str">
        <f aca="false">+AH8</f>
        <v>[ocultar]</v>
      </c>
      <c r="AI14" s="228" t="str">
        <f aca="false">+AI8</f>
        <v>[ocultar]</v>
      </c>
      <c r="AJ14" s="229" t="s">
        <v>150</v>
      </c>
      <c r="AK14" s="230" t="s">
        <v>152</v>
      </c>
      <c r="AL14" s="231" t="str">
        <f aca="false">+AL8</f>
        <v>[ocultar]</v>
      </c>
      <c r="AM14" s="231" t="str">
        <f aca="false">+AM8</f>
        <v>[ocultar]</v>
      </c>
      <c r="AN14" s="231" t="str">
        <f aca="false">+AN8</f>
        <v>[ocultar]</v>
      </c>
      <c r="AO14" s="231" t="str">
        <f aca="false">+AO8</f>
        <v>[ocultar]</v>
      </c>
      <c r="AP14" s="231" t="str">
        <f aca="false">+AP8</f>
        <v>[ocultar]</v>
      </c>
      <c r="AQ14" s="232" t="s">
        <v>154</v>
      </c>
      <c r="AR14" s="233" t="s">
        <v>156</v>
      </c>
    </row>
    <row r="15" s="234" customFormat="true" ht="15.75" hidden="false" customHeight="false" outlineLevel="0" collapsed="false">
      <c r="A15" s="234" t="str">
        <f aca="false">+A16</f>
        <v>[ocultar]</v>
      </c>
      <c r="B15" s="235" t="s">
        <v>174</v>
      </c>
      <c r="C15" s="236"/>
      <c r="D15" s="237"/>
      <c r="E15" s="238" t="str">
        <f aca="false">IFERROR((E16-E17)/E16,"")</f>
        <v/>
      </c>
      <c r="F15" s="239" t="str">
        <f aca="false">IFERROR((F16-F17)/F16,"")</f>
        <v/>
      </c>
      <c r="G15" s="239" t="str">
        <f aca="false">IFERROR((G16-G17)/G16,"")</f>
        <v/>
      </c>
      <c r="H15" s="239" t="str">
        <f aca="false">IFERROR((H16-H17)/H16,"")</f>
        <v/>
      </c>
      <c r="I15" s="239"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40" t="str">
        <f aca="false">IFERROR((V16-V17)/V16,"")</f>
        <v/>
      </c>
      <c r="W15" s="240" t="str">
        <f aca="false">IFERROR((W16-W17)/W16,"")</f>
        <v/>
      </c>
      <c r="X15" s="240" t="str">
        <f aca="false">IFERROR((X16-X17)/X16,"")</f>
        <v/>
      </c>
      <c r="Y15" s="240"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1" t="str">
        <f aca="false">IFERROR((AJ16-AJ17)/AJ16,"")</f>
        <v/>
      </c>
      <c r="AK15" s="242" t="str">
        <f aca="false">IFERROR((AK16-AK17)/AK16,"")</f>
        <v/>
      </c>
      <c r="AL15" s="243" t="str">
        <f aca="false">IFERROR((AL16-AL17)/AL16,"")</f>
        <v/>
      </c>
      <c r="AM15" s="243" t="str">
        <f aca="false">IFERROR((AM16-AM17)/AM16,"")</f>
        <v/>
      </c>
      <c r="AN15" s="243" t="str">
        <f aca="false">IFERROR((AN16-AN17)/AN16,"")</f>
        <v/>
      </c>
      <c r="AO15" s="243" t="str">
        <f aca="false">IFERROR((AO16-AO17)/AO16,"")</f>
        <v/>
      </c>
      <c r="AP15" s="243" t="str">
        <f aca="false">IFERROR((AP16-AP17)/AP16,"")</f>
        <v/>
      </c>
      <c r="AQ15" s="244" t="str">
        <f aca="false">IFERROR((AQ16-AQ17)/AQ16,"")</f>
        <v/>
      </c>
      <c r="AR15" s="245" t="str">
        <f aca="false">IFERROR((AR16-AR17)/AR16,"")</f>
        <v/>
      </c>
    </row>
    <row r="16" s="234" customFormat="true" ht="14.25" hidden="false" customHeight="false" outlineLevel="0" collapsed="false">
      <c r="A16" s="234" t="str">
        <f aca="false">+IF(C16+C17=0,"[ocultar]","")</f>
        <v>[ocultar]</v>
      </c>
      <c r="B16" s="246" t="s">
        <v>371</v>
      </c>
      <c r="C16" s="247" t="n">
        <f aca="false" t="array" ref="C16:C16">SUM(IF($B16=DATOS_[Sexo], IF($B15=DATOS_[AGRUP. VALOR. PTO.], IF("Dentro"=DATOS_[Check Periodo Ref.], 1/(COUNTIFS(DATOS_[Sexo],$B16,DATOS_[AGRUP. VALOR. PTO.],$B15,DATOS_[Check Periodo Ref.],"Dentro",DATOS_[id],DATOS_[id]))))))</f>
        <v>0</v>
      </c>
      <c r="D16" s="248" t="n">
        <f aca="false">COUNTIFS(DATOS_[AGRUP. VALOR. PTO.],$B15,DATOS_[Sexo],$B16,DATOS_[Check Periodo Ref.],"Dentro")</f>
        <v>0</v>
      </c>
      <c r="E16" s="249" t="n">
        <f aca="false" t="array" ref="E16:E16">IFERROR( MEDIAN(IF(DATOS_[Sexo]=$B16,IF(DATOS_[AGRUP. VALOR. PTO.]=$B15,IF(DATOS_[Check Periodo Ref.]="Dentro",DATOS_[SALARIO BASE Ef],0)))), 0)</f>
        <v>0</v>
      </c>
      <c r="F16" s="250" t="n">
        <f aca="false" t="array" ref="F16:F16">IFERROR( MEDIAN((IF(DATOS_[[Sexo]:[Sexo]]=$B16,IF(DATOS_[[AGRUP. VALOR. PTO.]:[AGRUP. VALOR. PTO.]]=$B15,IF(DATOS_[[Check Periodo Ref.]:[Check Periodo Ref.]]="Dentro",DATOS_[Conc.Sal.01]))))), 0)</f>
        <v>0</v>
      </c>
      <c r="G16" s="250" t="n">
        <f aca="false" t="array" ref="G16:G16">IFERROR( MEDIAN((IF(DATOS_[[Sexo]:[Sexo]]=$B16,IF(DATOS_[[AGRUP. VALOR. PTO.]:[AGRUP. VALOR. PTO.]]=$B15,IF(DATOS_[[Check Periodo Ref.]:[Check Periodo Ref.]]="Dentro",DATOS_[Conc.Sal.02]))))), 0)</f>
        <v>0</v>
      </c>
      <c r="H16" s="250" t="n">
        <f aca="false" t="array" ref="H16:H16">IFERROR( MEDIAN((IF(DATOS_[[Sexo]:[Sexo]]=$B16,IF(DATOS_[[AGRUP. VALOR. PTO.]:[AGRUP. VALOR. PTO.]]=$B15,IF(DATOS_[[Check Periodo Ref.]:[Check Periodo Ref.]]="Dentro",DATOS_[Conc.Sal.03]))))), 0)</f>
        <v>0</v>
      </c>
      <c r="I16" s="250" t="n">
        <f aca="false" t="array" ref="I16:I16">IFERROR( MEDIAN((IF(DATOS_[[Sexo]:[Sexo]]=$B16,IF(DATOS_[[AGRUP. VALOR. PTO.]:[AGRUP. VALOR. PTO.]]=$B15,IF(DATOS_[[Check Periodo Ref.]:[Check Periodo Ref.]]="Dentro",DATOS_[Conc.Sal.04]))))), 0)</f>
        <v>0</v>
      </c>
      <c r="J16" s="250" t="n">
        <f aca="false" t="array" ref="J16:J16">IFERROR( MEDIAN((IF(DATOS_[[Sexo]:[Sexo]]=$B16,IF(DATOS_[[AGRUP. VALOR. PTO.]:[AGRUP. VALOR. PTO.]]=$B15,IF(DATOS_[[Check Periodo Ref.]:[Check Periodo Ref.]]="Dentro",DATOS_[Conc.Sal.05]))))), 0)</f>
        <v>0</v>
      </c>
      <c r="K16" s="250" t="n">
        <f aca="false" t="array" ref="K16:K16">IFERROR( MEDIAN((IF(DATOS_[[Sexo]:[Sexo]]=$B16,IF(DATOS_[[AGRUP. VALOR. PTO.]:[AGRUP. VALOR. PTO.]]=$B15,IF(DATOS_[[Check Periodo Ref.]:[Check Periodo Ref.]]="Dentro",DATOS_[Conc.Sal.06]))))), 0)</f>
        <v>0</v>
      </c>
      <c r="L16" s="250" t="n">
        <f aca="false" t="array" ref="L16:L16">IFERROR( MEDIAN((IF(DATOS_[[Sexo]:[Sexo]]=$B16,IF(DATOS_[[AGRUP. VALOR. PTO.]:[AGRUP. VALOR. PTO.]]=$B15,IF(DATOS_[[Check Periodo Ref.]:[Check Periodo Ref.]]="Dentro",DATOS_[Conc.Sal.07]))))), 0)</f>
        <v>0</v>
      </c>
      <c r="M16" s="250" t="n">
        <f aca="false" t="array" ref="M16:M16">IFERROR( MEDIAN((IF(DATOS_[[Sexo]:[Sexo]]=$B16,IF(DATOS_[[AGRUP. VALOR. PTO.]:[AGRUP. VALOR. PTO.]]=$B15,IF(DATOS_[[Check Periodo Ref.]:[Check Periodo Ref.]]="Dentro",DATOS_[Conc.Sal.08]))))), 0)</f>
        <v>0</v>
      </c>
      <c r="N16" s="250" t="n">
        <f aca="false" t="array" ref="N16:N16">IFERROR( MEDIAN((IF(DATOS_[[Sexo]:[Sexo]]=$B16,IF(DATOS_[[AGRUP. VALOR. PTO.]:[AGRUP. VALOR. PTO.]]=$B15,IF(DATOS_[[Check Periodo Ref.]:[Check Periodo Ref.]]="Dentro",DATOS_[Conc.Sal.09]))))), 0)</f>
        <v>0</v>
      </c>
      <c r="O16" s="250" t="n">
        <f aca="false" t="array" ref="O16:O16">IFERROR( MEDIAN((IF(DATOS_[[Sexo]:[Sexo]]=$B16,IF(DATOS_[[AGRUP. VALOR. PTO.]:[AGRUP. VALOR. PTO.]]=$B15,IF(DATOS_[[Check Periodo Ref.]:[Check Periodo Ref.]]="Dentro",DATOS_[Conc.Sal.10]))))), 0)</f>
        <v>0</v>
      </c>
      <c r="P16" s="250" t="n">
        <f aca="false" t="array" ref="P16:P16">IFERROR( MEDIAN((IF(DATOS_[[Sexo]:[Sexo]]=$B16,IF(DATOS_[[AGRUP. VALOR. PTO.]:[AGRUP. VALOR. PTO.]]=$B15,IF(DATOS_[[Check Periodo Ref.]:[Check Periodo Ref.]]="Dentro",DATOS_[Conc.Sal.11]))))), 0)</f>
        <v>0</v>
      </c>
      <c r="Q16" s="250" t="n">
        <f aca="false" t="array" ref="Q16:Q16">IFERROR( MEDIAN((IF(DATOS_[[Sexo]:[Sexo]]=$B16,IF(DATOS_[[AGRUP. VALOR. PTO.]:[AGRUP. VALOR. PTO.]]=$B15,IF(DATOS_[[Check Periodo Ref.]:[Check Periodo Ref.]]="Dentro",DATOS_[Conc.Sal.12]))))), 0)</f>
        <v>0</v>
      </c>
      <c r="R16" s="250" t="n">
        <f aca="false" t="array" ref="R16:R16">IFERROR( MEDIAN((IF(DATOS_[[Sexo]:[Sexo]]=$B16,IF(DATOS_[[AGRUP. VALOR. PTO.]:[AGRUP. VALOR. PTO.]]=$B15,IF(DATOS_[[Check Periodo Ref.]:[Check Periodo Ref.]]="Dentro",DATOS_[Conc.Sal.13]))))), 0)</f>
        <v>0</v>
      </c>
      <c r="S16" s="250" t="n">
        <f aca="false" t="array" ref="S16:S16">IFERROR( MEDIAN((IF(DATOS_[[Sexo]:[Sexo]]=$B16,IF(DATOS_[[AGRUP. VALOR. PTO.]:[AGRUP. VALOR. PTO.]]=$B15,IF(DATOS_[[Check Periodo Ref.]:[Check Periodo Ref.]]="Dentro",DATOS_[Conc.Sal.14]))))), 0)</f>
        <v>0</v>
      </c>
      <c r="T16" s="250" t="n">
        <f aca="false" t="array" ref="T16:T16">IFERROR( MEDIAN((IF(DATOS_[[Sexo]:[Sexo]]=$B16,IF(DATOS_[[AGRUP. VALOR. PTO.]:[AGRUP. VALOR. PTO.]]=$B15,IF(DATOS_[[Check Periodo Ref.]:[Check Periodo Ref.]]="Dentro",DATOS_[Conc.Sal.15]))))), 0)</f>
        <v>0</v>
      </c>
      <c r="U16" s="250" t="n">
        <f aca="false" t="array" ref="U16:U16">IFERROR( MEDIAN((IF(DATOS_[[Sexo]:[Sexo]]=$B16,IF(DATOS_[[AGRUP. VALOR. PTO.]:[AGRUP. VALOR. PTO.]]=$B15,IF(DATOS_[[Check Periodo Ref.]:[Check Periodo Ref.]]="Dentro",DATOS_[Conc.Sal.16]))))), 0)</f>
        <v>0</v>
      </c>
      <c r="V16" s="250" t="n">
        <f aca="false" t="array" ref="V16:V16">IFERROR( MEDIAN((IF(DATOS_[[Sexo]:[Sexo]]=$B16,IF(DATOS_[[AGRUP. VALOR. PTO.]:[AGRUP. VALOR. PTO.]]=$B15,IF(DATOS_[[Check Periodo Ref.]:[Check Periodo Ref.]]="Dentro",DATOS_[Conc.Sal.17]))))), 0)</f>
        <v>0</v>
      </c>
      <c r="W16" s="250" t="n">
        <f aca="false" t="array" ref="W16:W16">IFERROR( MEDIAN((IF(DATOS_[[Sexo]:[Sexo]]=$B16,IF(DATOS_[[AGRUP. VALOR. PTO.]:[AGRUP. VALOR. PTO.]]=$B15,IF(DATOS_[[Check Periodo Ref.]:[Check Periodo Ref.]]="Dentro",DATOS_[Conc.Sal.18]))))), 0)</f>
        <v>0</v>
      </c>
      <c r="X16" s="250" t="n">
        <f aca="false" t="array" ref="X16:X16">IFERROR( MEDIAN((IF(DATOS_[[Sexo]:[Sexo]]=$B16,IF(DATOS_[[AGRUP. VALOR. PTO.]:[AGRUP. VALOR. PTO.]]=$B15,IF(DATOS_[[Check Periodo Ref.]:[Check Periodo Ref.]]="Dentro",DATOS_[Conc.Sal.19]))))), 0)</f>
        <v>0</v>
      </c>
      <c r="Y16" s="250" t="n">
        <f aca="false" t="array" ref="Y16:Y16">IFERROR( MEDIAN((IF(DATOS_[[Sexo]:[Sexo]]=$B16,IF(DATOS_[[AGRUP. VALOR. PTO.]:[AGRUP. VALOR. PTO.]]=$B15,IF(DATOS_[[Check Periodo Ref.]:[Check Periodo Ref.]]="Dentro",DATOS_[Conc.Sal.20]))))), 0)</f>
        <v>0</v>
      </c>
      <c r="Z16" s="250" t="n">
        <f aca="false" t="array" ref="Z16:Z16">IFERROR( MEDIAN((IF(DATOS_[[Sexo]:[Sexo]]=$B16,IF(DATOS_[[AGRUP. VALOR. PTO.]:[AGRUP. VALOR. PTO.]]=$B15,IF(DATOS_[[Check Periodo Ref.]:[Check Periodo Ref.]]="Dentro",DATOS_[Conc.Sal.21]))))), 0)</f>
        <v>0</v>
      </c>
      <c r="AA16" s="250" t="n">
        <f aca="false" t="array" ref="AA16:AA16">IFERROR( MEDIAN((IF(DATOS_[[Sexo]:[Sexo]]=$B16,IF(DATOS_[[AGRUP. VALOR. PTO.]:[AGRUP. VALOR. PTO.]]=$B15,IF(DATOS_[[Check Periodo Ref.]:[Check Periodo Ref.]]="Dentro",DATOS_[Conc.Sal.22]))))), 0)</f>
        <v>0</v>
      </c>
      <c r="AB16" s="250" t="n">
        <f aca="false" t="array" ref="AB16:AB16">IFERROR( MEDIAN((IF(DATOS_[[Sexo]:[Sexo]]=$B16,IF(DATOS_[[AGRUP. VALOR. PTO.]:[AGRUP. VALOR. PTO.]]=$B15,IF(DATOS_[[Check Periodo Ref.]:[Check Periodo Ref.]]="Dentro",DATOS_[Conc.Sal.23]))))), 0)</f>
        <v>0</v>
      </c>
      <c r="AC16" s="250" t="n">
        <f aca="false" t="array" ref="AC16:AC16">IFERROR( MEDIAN((IF(DATOS_[[Sexo]:[Sexo]]=$B16,IF(DATOS_[[AGRUP. VALOR. PTO.]:[AGRUP. VALOR. PTO.]]=$B15,IF(DATOS_[[Check Periodo Ref.]:[Check Periodo Ref.]]="Dentro",DATOS_[Conc.Sal.24]))))), 0)</f>
        <v>0</v>
      </c>
      <c r="AD16" s="250" t="n">
        <f aca="false" t="array" ref="AD16:AD16">IFERROR( MEDIAN((IF(DATOS_[[Sexo]:[Sexo]]=$B16,IF(DATOS_[[AGRUP. VALOR. PTO.]:[AGRUP. VALOR. PTO.]]=$B15,IF(DATOS_[[Check Periodo Ref.]:[Check Periodo Ref.]]="Dentro",DATOS_[Conc.Sal.25]))))), 0)</f>
        <v>0</v>
      </c>
      <c r="AE16" s="250" t="n">
        <f aca="false" t="array" ref="AE16:AE16">IFERROR( MEDIAN((IF(DATOS_[[Sexo]:[Sexo]]=$B16,IF(DATOS_[[AGRUP. VALOR. PTO.]:[AGRUP. VALOR. PTO.]]=$B15,IF(DATOS_[[Check Periodo Ref.]:[Check Periodo Ref.]]="Dentro",DATOS_[Conc.Sal.26]))))), 0)</f>
        <v>0</v>
      </c>
      <c r="AF16" s="250" t="n">
        <f aca="false" t="array" ref="AF16:AF16">IFERROR( MEDIAN((IF(DATOS_[[Sexo]:[Sexo]]=$B16,IF(DATOS_[[AGRUP. VALOR. PTO.]:[AGRUP. VALOR. PTO.]]=$B15,IF(DATOS_[[Check Periodo Ref.]:[Check Periodo Ref.]]="Dentro",DATOS_[Conc.Sal.27]))))), 0)</f>
        <v>0</v>
      </c>
      <c r="AG16" s="250" t="n">
        <f aca="false" t="array" ref="AG16:AG16">IFERROR( MEDIAN((IF(DATOS_[[Sexo]:[Sexo]]=$B16,IF(DATOS_[[AGRUP. VALOR. PTO.]:[AGRUP. VALOR. PTO.]]=$B15,IF(DATOS_[[Check Periodo Ref.]:[Check Periodo Ref.]]="Dentro",DATOS_[Conc.Sal.28]))))), 0)</f>
        <v>0</v>
      </c>
      <c r="AH16" s="250" t="n">
        <f aca="false" t="array" ref="AH16:AH16">IFERROR( MEDIAN((IF(DATOS_[[Sexo]:[Sexo]]=$B16,IF(DATOS_[[AGRUP. VALOR. PTO.]:[AGRUP. VALOR. PTO.]]=$B15,IF(DATOS_[[Check Periodo Ref.]:[Check Periodo Ref.]]="Dentro",DATOS_[Conc.Sal.29]))))), 0)</f>
        <v>0</v>
      </c>
      <c r="AI16" s="250" t="n">
        <f aca="false" t="array" ref="AI16:AI16">IFERROR( MEDIAN((IF(DATOS_[[Sexo]:[Sexo]]=$B16,IF(DATOS_[[AGRUP. VALOR. PTO.]:[AGRUP. VALOR. PTO.]]=$B15,IF(DATOS_[[Check Periodo Ref.]:[Check Periodo Ref.]]="Dentro",DATOS_[Conc.Sal.30]))))), 0)</f>
        <v>0</v>
      </c>
      <c r="AJ16" s="251" t="n">
        <f aca="false" t="array" ref="AJ16:AJ16">IFERROR( MEDIAN(IF(DATOS_[Sexo]=$B16,IF(DATOS_[AGRUP. VALOR. PTO.]=$B15,IF(DATOS_[Check Periodo Ref.]="Dentro",DATOS_[Tot COMPL.SAL Ef],0)))), 0)</f>
        <v>0</v>
      </c>
      <c r="AK16" s="252" t="n">
        <f aca="false" t="array" ref="AK16:AK16">IFERROR( MEDIAN(IF(DATOS_[Sexo]=$B16,IF(DATOS_[AGRUP. VALOR. PTO.]=$B15,IF(DATOS_[Check Periodo Ref.]="Dentro",DATOS_[TOTAL SALARIO Ef],0)))), 0)</f>
        <v>0</v>
      </c>
      <c r="AL16" s="259" t="n">
        <f aca="false" t="array" ref="AL16:AL16">IFERROR( MEDIAN((IF(DATOS_[[Sexo]:[Sexo]]=$B16,IF(DATOS_[[AGRUP. VALOR. PTO.]:[AGRUP. VALOR. PTO.]]=$B15,IF(DATOS_[[Check Periodo Ref.]:[Check Periodo Ref.]]="Dentro",DATOS_[C.Extra.01]))))), 0)</f>
        <v>0</v>
      </c>
      <c r="AM16" s="259" t="n">
        <f aca="false" t="array" ref="AM16:AM16">IFERROR( MEDIAN((IF(DATOS_[[Sexo]:[Sexo]]=$B16,IF(DATOS_[[AGRUP. VALOR. PTO.]:[AGRUP. VALOR. PTO.]]=$B15,IF(DATOS_[[Check Periodo Ref.]:[Check Periodo Ref.]]="Dentro",DATOS_[C.Extra.02]))))), 0)</f>
        <v>0</v>
      </c>
      <c r="AN16" s="259" t="n">
        <f aca="false" t="array" ref="AN16:AN16">IFERROR( MEDIAN((IF(DATOS_[[Sexo]:[Sexo]]=$B16,IF(DATOS_[[AGRUP. VALOR. PTO.]:[AGRUP. VALOR. PTO.]]=$B15,IF(DATOS_[[Check Periodo Ref.]:[Check Periodo Ref.]]="Dentro",DATOS_[C.Extra.03]))))), 0)</f>
        <v>0</v>
      </c>
      <c r="AO16" s="259" t="n">
        <f aca="false" t="array" ref="AO16:AO16">IFERROR( MEDIAN((IF(DATOS_[[Sexo]:[Sexo]]=$B16,IF(DATOS_[[AGRUP. VALOR. PTO.]:[AGRUP. VALOR. PTO.]]=$B15,IF(DATOS_[[Check Periodo Ref.]:[Check Periodo Ref.]]="Dentro",DATOS_[C.Extra.04]))))), 0)</f>
        <v>0</v>
      </c>
      <c r="AP16" s="259" t="n">
        <f aca="false" t="array" ref="AP16:AP16">IFERROR( MEDIAN((IF(DATOS_[[Sexo]:[Sexo]]=$B16,IF(DATOS_[[AGRUP. VALOR. PTO.]:[AGRUP. VALOR. PTO.]]=$B15,IF(DATOS_[[Check Periodo Ref.]:[Check Periodo Ref.]]="Dentro",DATOS_[C.Extra.05]))))), 0)</f>
        <v>0</v>
      </c>
      <c r="AQ16" s="254" t="n">
        <f aca="false" t="array" ref="AQ16:AQ16">IFERROR( MEDIAN(IF(DATOS_[Sexo]=$B16,IF(DATOS_[AGRUP. VALOR. PTO.]=$B15,IF(DATOS_[Check Periodo Ref.]="Dentro",DATOS_[Tot Extrasalarial Ef],0)))), 0)</f>
        <v>0</v>
      </c>
      <c r="AR16" s="255" t="n">
        <f aca="false" t="array" ref="AR16:AR16">IFERROR( MEDIAN(IF(DATOS_[Sexo]=$B16,IF(DATOS_[AGRUP. VALOR. PTO.]=$B15,IF(DATOS_[Check Periodo Ref.]="Dentro",DATOS_[TOTAL Retrib Ef],0)))), 0)</f>
        <v>0</v>
      </c>
    </row>
    <row r="17" s="234" customFormat="true" ht="14.25" hidden="false" customHeight="false" outlineLevel="0" collapsed="false">
      <c r="A17" s="234" t="str">
        <f aca="false">+A16</f>
        <v>[ocultar]</v>
      </c>
      <c r="B17" s="246" t="s">
        <v>372</v>
      </c>
      <c r="C17" s="247" t="n">
        <f aca="false" t="array" ref="C17:C17">SUM(IF($B17=DATOS_[Sexo], IF($B15=DATOS_[AGRUP. VALOR. PTO.], IF("Dentro"=DATOS_[Check Periodo Ref.], 1/(COUNTIFS(DATOS_[Sexo],$B17,DATOS_[AGRUP. VALOR. PTO.],$B15,DATOS_[Check Periodo Ref.],"Dentro",DATOS_[id],DATOS_[id]))))))</f>
        <v>0</v>
      </c>
      <c r="D17" s="248" t="n">
        <f aca="false">COUNTIFS(DATOS_[AGRUP. VALOR. PTO.],$B15,DATOS_[Sexo],$B17,DATOS_[Check Periodo Ref.],"Dentro")</f>
        <v>0</v>
      </c>
      <c r="E17" s="249" t="n">
        <f aca="false" t="array" ref="E17:E17">IFERROR( MEDIAN(IF(DATOS_[Sexo]=$B17,IF(DATOS_[AGRUP. VALOR. PTO.]=$B15,IF(DATOS_[Check Periodo Ref.]="Dentro",DATOS_[SALARIO BASE Ef],0)))), 0)</f>
        <v>0</v>
      </c>
      <c r="F17" s="250" t="n">
        <f aca="false" t="array" ref="F17:F17">IFERROR( MEDIAN((IF(DATOS_[[Sexo]:[Sexo]]=$B17,IF(DATOS_[[AGRUP. VALOR. PTO.]:[AGRUP. VALOR. PTO.]]=$B15,IF(DATOS_[[Check Periodo Ref.]:[Check Periodo Ref.]]="Dentro",DATOS_[Conc.Sal.01]))))), 0)</f>
        <v>0</v>
      </c>
      <c r="G17" s="250" t="n">
        <f aca="false" t="array" ref="G17:G17">IFERROR( MEDIAN((IF(DATOS_[[Sexo]:[Sexo]]=$B17,IF(DATOS_[[AGRUP. VALOR. PTO.]:[AGRUP. VALOR. PTO.]]=$B15,IF(DATOS_[[Check Periodo Ref.]:[Check Periodo Ref.]]="Dentro",DATOS_[Conc.Sal.02]))))), 0)</f>
        <v>0</v>
      </c>
      <c r="H17" s="250" t="n">
        <f aca="false" t="array" ref="H17:H17">IFERROR( MEDIAN((IF(DATOS_[[Sexo]:[Sexo]]=$B17,IF(DATOS_[[AGRUP. VALOR. PTO.]:[AGRUP. VALOR. PTO.]]=$B15,IF(DATOS_[[Check Periodo Ref.]:[Check Periodo Ref.]]="Dentro",DATOS_[Conc.Sal.03]))))), 0)</f>
        <v>0</v>
      </c>
      <c r="I17" s="250" t="n">
        <f aca="false" t="array" ref="I17:I17">IFERROR( MEDIAN((IF(DATOS_[[Sexo]:[Sexo]]=$B17,IF(DATOS_[[AGRUP. VALOR. PTO.]:[AGRUP. VALOR. PTO.]]=$B15,IF(DATOS_[[Check Periodo Ref.]:[Check Periodo Ref.]]="Dentro",DATOS_[Conc.Sal.04]))))), 0)</f>
        <v>0</v>
      </c>
      <c r="J17" s="250" t="n">
        <f aca="false" t="array" ref="J17:J17">IFERROR( MEDIAN((IF(DATOS_[[Sexo]:[Sexo]]=$B17,IF(DATOS_[[AGRUP. VALOR. PTO.]:[AGRUP. VALOR. PTO.]]=$B15,IF(DATOS_[[Check Periodo Ref.]:[Check Periodo Ref.]]="Dentro",DATOS_[Conc.Sal.05]))))), 0)</f>
        <v>0</v>
      </c>
      <c r="K17" s="250" t="n">
        <f aca="false" t="array" ref="K17:K17">IFERROR( MEDIAN((IF(DATOS_[[Sexo]:[Sexo]]=$B17,IF(DATOS_[[AGRUP. VALOR. PTO.]:[AGRUP. VALOR. PTO.]]=$B15,IF(DATOS_[[Check Periodo Ref.]:[Check Periodo Ref.]]="Dentro",DATOS_[Conc.Sal.06]))))), 0)</f>
        <v>0</v>
      </c>
      <c r="L17" s="250" t="n">
        <f aca="false" t="array" ref="L17:L17">IFERROR( MEDIAN((IF(DATOS_[[Sexo]:[Sexo]]=$B17,IF(DATOS_[[AGRUP. VALOR. PTO.]:[AGRUP. VALOR. PTO.]]=$B15,IF(DATOS_[[Check Periodo Ref.]:[Check Periodo Ref.]]="Dentro",DATOS_[Conc.Sal.07]))))), 0)</f>
        <v>0</v>
      </c>
      <c r="M17" s="250" t="n">
        <f aca="false" t="array" ref="M17:M17">IFERROR( MEDIAN((IF(DATOS_[[Sexo]:[Sexo]]=$B17,IF(DATOS_[[AGRUP. VALOR. PTO.]:[AGRUP. VALOR. PTO.]]=$B15,IF(DATOS_[[Check Periodo Ref.]:[Check Periodo Ref.]]="Dentro",DATOS_[Conc.Sal.08]))))), 0)</f>
        <v>0</v>
      </c>
      <c r="N17" s="250" t="n">
        <f aca="false" t="array" ref="N17:N17">IFERROR( MEDIAN((IF(DATOS_[[Sexo]:[Sexo]]=$B17,IF(DATOS_[[AGRUP. VALOR. PTO.]:[AGRUP. VALOR. PTO.]]=$B15,IF(DATOS_[[Check Periodo Ref.]:[Check Periodo Ref.]]="Dentro",DATOS_[Conc.Sal.09]))))), 0)</f>
        <v>0</v>
      </c>
      <c r="O17" s="250" t="n">
        <f aca="false" t="array" ref="O17:O17">IFERROR( MEDIAN((IF(DATOS_[[Sexo]:[Sexo]]=$B17,IF(DATOS_[[AGRUP. VALOR. PTO.]:[AGRUP. VALOR. PTO.]]=$B15,IF(DATOS_[[Check Periodo Ref.]:[Check Periodo Ref.]]="Dentro",DATOS_[Conc.Sal.10]))))), 0)</f>
        <v>0</v>
      </c>
      <c r="P17" s="250" t="n">
        <f aca="false" t="array" ref="P17:P17">IFERROR( MEDIAN((IF(DATOS_[[Sexo]:[Sexo]]=$B17,IF(DATOS_[[AGRUP. VALOR. PTO.]:[AGRUP. VALOR. PTO.]]=$B15,IF(DATOS_[[Check Periodo Ref.]:[Check Periodo Ref.]]="Dentro",DATOS_[Conc.Sal.11]))))), 0)</f>
        <v>0</v>
      </c>
      <c r="Q17" s="250" t="n">
        <f aca="false" t="array" ref="Q17:Q17">IFERROR( MEDIAN((IF(DATOS_[[Sexo]:[Sexo]]=$B17,IF(DATOS_[[AGRUP. VALOR. PTO.]:[AGRUP. VALOR. PTO.]]=$B15,IF(DATOS_[[Check Periodo Ref.]:[Check Periodo Ref.]]="Dentro",DATOS_[Conc.Sal.12]))))), 0)</f>
        <v>0</v>
      </c>
      <c r="R17" s="250" t="n">
        <f aca="false" t="array" ref="R17:R17">IFERROR( MEDIAN((IF(DATOS_[[Sexo]:[Sexo]]=$B17,IF(DATOS_[[AGRUP. VALOR. PTO.]:[AGRUP. VALOR. PTO.]]=$B15,IF(DATOS_[[Check Periodo Ref.]:[Check Periodo Ref.]]="Dentro",DATOS_[Conc.Sal.13]))))), 0)</f>
        <v>0</v>
      </c>
      <c r="S17" s="250" t="n">
        <f aca="false" t="array" ref="S17:S17">IFERROR( MEDIAN((IF(DATOS_[[Sexo]:[Sexo]]=$B17,IF(DATOS_[[AGRUP. VALOR. PTO.]:[AGRUP. VALOR. PTO.]]=$B15,IF(DATOS_[[Check Periodo Ref.]:[Check Periodo Ref.]]="Dentro",DATOS_[Conc.Sal.14]))))), 0)</f>
        <v>0</v>
      </c>
      <c r="T17" s="250" t="n">
        <f aca="false" t="array" ref="T17:T17">IFERROR( MEDIAN((IF(DATOS_[[Sexo]:[Sexo]]=$B17,IF(DATOS_[[AGRUP. VALOR. PTO.]:[AGRUP. VALOR. PTO.]]=$B15,IF(DATOS_[[Check Periodo Ref.]:[Check Periodo Ref.]]="Dentro",DATOS_[Conc.Sal.15]))))), 0)</f>
        <v>0</v>
      </c>
      <c r="U17" s="250" t="n">
        <f aca="false" t="array" ref="U17:U17">IFERROR( MEDIAN((IF(DATOS_[[Sexo]:[Sexo]]=$B17,IF(DATOS_[[AGRUP. VALOR. PTO.]:[AGRUP. VALOR. PTO.]]=$B15,IF(DATOS_[[Check Periodo Ref.]:[Check Periodo Ref.]]="Dentro",DATOS_[Conc.Sal.16]))))), 0)</f>
        <v>0</v>
      </c>
      <c r="V17" s="250" t="n">
        <f aca="false" t="array" ref="V17:V17">IFERROR( MEDIAN((IF(DATOS_[[Sexo]:[Sexo]]=$B17,IF(DATOS_[[AGRUP. VALOR. PTO.]:[AGRUP. VALOR. PTO.]]=$B15,IF(DATOS_[[Check Periodo Ref.]:[Check Periodo Ref.]]="Dentro",DATOS_[Conc.Sal.17]))))), 0)</f>
        <v>0</v>
      </c>
      <c r="W17" s="250" t="n">
        <f aca="false" t="array" ref="W17:W17">IFERROR( MEDIAN((IF(DATOS_[[Sexo]:[Sexo]]=$B17,IF(DATOS_[[AGRUP. VALOR. PTO.]:[AGRUP. VALOR. PTO.]]=$B15,IF(DATOS_[[Check Periodo Ref.]:[Check Periodo Ref.]]="Dentro",DATOS_[Conc.Sal.18]))))), 0)</f>
        <v>0</v>
      </c>
      <c r="X17" s="250" t="n">
        <f aca="false" t="array" ref="X17:X17">IFERROR( MEDIAN((IF(DATOS_[[Sexo]:[Sexo]]=$B17,IF(DATOS_[[AGRUP. VALOR. PTO.]:[AGRUP. VALOR. PTO.]]=$B15,IF(DATOS_[[Check Periodo Ref.]:[Check Periodo Ref.]]="Dentro",DATOS_[Conc.Sal.19]))))), 0)</f>
        <v>0</v>
      </c>
      <c r="Y17" s="250" t="n">
        <f aca="false" t="array" ref="Y17:Y17">IFERROR( MEDIAN((IF(DATOS_[[Sexo]:[Sexo]]=$B17,IF(DATOS_[[AGRUP. VALOR. PTO.]:[AGRUP. VALOR. PTO.]]=$B15,IF(DATOS_[[Check Periodo Ref.]:[Check Periodo Ref.]]="Dentro",DATOS_[Conc.Sal.20]))))), 0)</f>
        <v>0</v>
      </c>
      <c r="Z17" s="250" t="n">
        <f aca="false" t="array" ref="Z17:Z17">IFERROR( MEDIAN((IF(DATOS_[[Sexo]:[Sexo]]=$B17,IF(DATOS_[[AGRUP. VALOR. PTO.]:[AGRUP. VALOR. PTO.]]=$B15,IF(DATOS_[[Check Periodo Ref.]:[Check Periodo Ref.]]="Dentro",DATOS_[Conc.Sal.21]))))), 0)</f>
        <v>0</v>
      </c>
      <c r="AA17" s="250" t="n">
        <f aca="false" t="array" ref="AA17:AA17">IFERROR( MEDIAN((IF(DATOS_[[Sexo]:[Sexo]]=$B17,IF(DATOS_[[AGRUP. VALOR. PTO.]:[AGRUP. VALOR. PTO.]]=$B15,IF(DATOS_[[Check Periodo Ref.]:[Check Periodo Ref.]]="Dentro",DATOS_[Conc.Sal.22]))))), 0)</f>
        <v>0</v>
      </c>
      <c r="AB17" s="250" t="n">
        <f aca="false" t="array" ref="AB17:AB17">IFERROR( MEDIAN((IF(DATOS_[[Sexo]:[Sexo]]=$B17,IF(DATOS_[[AGRUP. VALOR. PTO.]:[AGRUP. VALOR. PTO.]]=$B15,IF(DATOS_[[Check Periodo Ref.]:[Check Periodo Ref.]]="Dentro",DATOS_[Conc.Sal.23]))))), 0)</f>
        <v>0</v>
      </c>
      <c r="AC17" s="250" t="n">
        <f aca="false" t="array" ref="AC17:AC17">IFERROR( MEDIAN((IF(DATOS_[[Sexo]:[Sexo]]=$B17,IF(DATOS_[[AGRUP. VALOR. PTO.]:[AGRUP. VALOR. PTO.]]=$B15,IF(DATOS_[[Check Periodo Ref.]:[Check Periodo Ref.]]="Dentro",DATOS_[Conc.Sal.24]))))), 0)</f>
        <v>0</v>
      </c>
      <c r="AD17" s="250" t="n">
        <f aca="false" t="array" ref="AD17:AD17">IFERROR( MEDIAN((IF(DATOS_[[Sexo]:[Sexo]]=$B17,IF(DATOS_[[AGRUP. VALOR. PTO.]:[AGRUP. VALOR. PTO.]]=$B15,IF(DATOS_[[Check Periodo Ref.]:[Check Periodo Ref.]]="Dentro",DATOS_[Conc.Sal.25]))))), 0)</f>
        <v>0</v>
      </c>
      <c r="AE17" s="250" t="n">
        <f aca="false" t="array" ref="AE17:AE17">IFERROR( MEDIAN((IF(DATOS_[[Sexo]:[Sexo]]=$B17,IF(DATOS_[[AGRUP. VALOR. PTO.]:[AGRUP. VALOR. PTO.]]=$B15,IF(DATOS_[[Check Periodo Ref.]:[Check Periodo Ref.]]="Dentro",DATOS_[Conc.Sal.26]))))), 0)</f>
        <v>0</v>
      </c>
      <c r="AF17" s="250" t="n">
        <f aca="false" t="array" ref="AF17:AF17">IFERROR( MEDIAN((IF(DATOS_[[Sexo]:[Sexo]]=$B17,IF(DATOS_[[AGRUP. VALOR. PTO.]:[AGRUP. VALOR. PTO.]]=$B15,IF(DATOS_[[Check Periodo Ref.]:[Check Periodo Ref.]]="Dentro",DATOS_[Conc.Sal.27]))))), 0)</f>
        <v>0</v>
      </c>
      <c r="AG17" s="250" t="n">
        <f aca="false" t="array" ref="AG17:AG17">IFERROR( MEDIAN((IF(DATOS_[[Sexo]:[Sexo]]=$B17,IF(DATOS_[[AGRUP. VALOR. PTO.]:[AGRUP. VALOR. PTO.]]=$B15,IF(DATOS_[[Check Periodo Ref.]:[Check Periodo Ref.]]="Dentro",DATOS_[Conc.Sal.28]))))), 0)</f>
        <v>0</v>
      </c>
      <c r="AH17" s="250" t="n">
        <f aca="false" t="array" ref="AH17:AH17">IFERROR( MEDIAN((IF(DATOS_[[Sexo]:[Sexo]]=$B17,IF(DATOS_[[AGRUP. VALOR. PTO.]:[AGRUP. VALOR. PTO.]]=$B15,IF(DATOS_[[Check Periodo Ref.]:[Check Periodo Ref.]]="Dentro",DATOS_[Conc.Sal.29]))))), 0)</f>
        <v>0</v>
      </c>
      <c r="AI17" s="250" t="n">
        <f aca="false" t="array" ref="AI17:AI17">IFERROR( MEDIAN((IF(DATOS_[[Sexo]:[Sexo]]=$B17,IF(DATOS_[[AGRUP. VALOR. PTO.]:[AGRUP. VALOR. PTO.]]=$B15,IF(DATOS_[[Check Periodo Ref.]:[Check Periodo Ref.]]="Dentro",DATOS_[Conc.Sal.30]))))), 0)</f>
        <v>0</v>
      </c>
      <c r="AJ17" s="251" t="n">
        <f aca="false" t="array" ref="AJ17:AJ17">IFERROR( MEDIAN(IF(DATOS_[Sexo]=$B17,IF(DATOS_[AGRUP. VALOR. PTO.]=$B15,IF(DATOS_[Check Periodo Ref.]="Dentro",DATOS_[Tot COMPL.SAL Ef],0)))), 0)</f>
        <v>0</v>
      </c>
      <c r="AK17" s="252" t="n">
        <f aca="false" t="array" ref="AK17:AK17">IFERROR( MEDIAN(IF(DATOS_[Sexo]=$B17,IF(DATOS_[AGRUP. VALOR. PTO.]=$B15,IF(DATOS_[Check Periodo Ref.]="Dentro",DATOS_[TOTAL SALARIO Ef],0)))), 0)</f>
        <v>0</v>
      </c>
      <c r="AL17" s="259" t="n">
        <f aca="false" t="array" ref="AL17:AL17">IFERROR( MEDIAN((IF(DATOS_[[Sexo]:[Sexo]]=$B17,IF(DATOS_[[AGRUP. VALOR. PTO.]:[AGRUP. VALOR. PTO.]]=$B15,IF(DATOS_[[Check Periodo Ref.]:[Check Periodo Ref.]]="Dentro",DATOS_[C.Extra.01]))))), 0)</f>
        <v>0</v>
      </c>
      <c r="AM17" s="259" t="n">
        <f aca="false" t="array" ref="AM17:AM17">IFERROR( MEDIAN((IF(DATOS_[[Sexo]:[Sexo]]=$B17,IF(DATOS_[[AGRUP. VALOR. PTO.]:[AGRUP. VALOR. PTO.]]=$B15,IF(DATOS_[[Check Periodo Ref.]:[Check Periodo Ref.]]="Dentro",DATOS_[C.Extra.02]))))), 0)</f>
        <v>0</v>
      </c>
      <c r="AN17" s="259" t="n">
        <f aca="false" t="array" ref="AN17:AN17">IFERROR( MEDIAN((IF(DATOS_[[Sexo]:[Sexo]]=$B17,IF(DATOS_[[AGRUP. VALOR. PTO.]:[AGRUP. VALOR. PTO.]]=$B15,IF(DATOS_[[Check Periodo Ref.]:[Check Periodo Ref.]]="Dentro",DATOS_[C.Extra.03]))))), 0)</f>
        <v>0</v>
      </c>
      <c r="AO17" s="259" t="n">
        <f aca="false" t="array" ref="AO17:AO17">IFERROR( MEDIAN((IF(DATOS_[[Sexo]:[Sexo]]=$B17,IF(DATOS_[[AGRUP. VALOR. PTO.]:[AGRUP. VALOR. PTO.]]=$B15,IF(DATOS_[[Check Periodo Ref.]:[Check Periodo Ref.]]="Dentro",DATOS_[C.Extra.04]))))), 0)</f>
        <v>0</v>
      </c>
      <c r="AP17" s="259" t="n">
        <f aca="false" t="array" ref="AP17:AP17">IFERROR( MEDIAN((IF(DATOS_[[Sexo]:[Sexo]]=$B17,IF(DATOS_[[AGRUP. VALOR. PTO.]:[AGRUP. VALOR. PTO.]]=$B15,IF(DATOS_[[Check Periodo Ref.]:[Check Periodo Ref.]]="Dentro",DATOS_[C.Extra.05]))))), 0)</f>
        <v>0</v>
      </c>
      <c r="AQ17" s="254" t="n">
        <f aca="false" t="array" ref="AQ17:AQ17">IFERROR( MEDIAN(IF(DATOS_[Sexo]=$B17,IF(DATOS_[AGRUP. VALOR. PTO.]=$B15,IF(DATOS_[Check Periodo Ref.]="Dentro",DATOS_[Tot Extrasalarial Ef],0)))), 0)</f>
        <v>0</v>
      </c>
      <c r="AR17" s="255" t="n">
        <f aca="false" t="array" ref="AR17:AR17">IFERROR( MEDIAN(IF(DATOS_[Sexo]=$B17,IF(DATOS_[AGRUP. VALOR. PTO.]=$B15,IF(DATOS_[Check Periodo Ref.]="Dentro",DATOS_[TOTAL Retrib Ef],0)))), 0)</f>
        <v>0</v>
      </c>
    </row>
    <row r="18" s="234" customFormat="true" ht="15.75" hidden="false" customHeight="false" outlineLevel="0" collapsed="false">
      <c r="A18" s="234" t="str">
        <f aca="false">+A19</f>
        <v>[ocultar]</v>
      </c>
      <c r="B18" s="235" t="s">
        <v>176</v>
      </c>
      <c r="C18" s="236"/>
      <c r="D18" s="237"/>
      <c r="E18" s="238" t="str">
        <f aca="false">IFERROR((E19-E20)/E19,"")</f>
        <v/>
      </c>
      <c r="F18" s="239" t="str">
        <f aca="false">IFERROR((F19-F20)/F19,"")</f>
        <v/>
      </c>
      <c r="G18" s="239" t="str">
        <f aca="false">IFERROR((G19-G20)/G19,"")</f>
        <v/>
      </c>
      <c r="H18" s="239" t="str">
        <f aca="false">IFERROR((H19-H20)/H19,"")</f>
        <v/>
      </c>
      <c r="I18" s="239"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40" t="str">
        <f aca="false">IFERROR((V19-V20)/V19,"")</f>
        <v/>
      </c>
      <c r="W18" s="240" t="str">
        <f aca="false">IFERROR((W19-W20)/W19,"")</f>
        <v/>
      </c>
      <c r="X18" s="240" t="str">
        <f aca="false">IFERROR((X19-X20)/X19,"")</f>
        <v/>
      </c>
      <c r="Y18" s="240"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1" t="str">
        <f aca="false">IFERROR((AJ19-AJ20)/AJ19,"")</f>
        <v/>
      </c>
      <c r="AK18" s="242" t="str">
        <f aca="false">IFERROR((AK19-AK20)/AK19,"")</f>
        <v/>
      </c>
      <c r="AL18" s="243" t="str">
        <f aca="false">IFERROR((AL19-AL20)/AL19,"")</f>
        <v/>
      </c>
      <c r="AM18" s="243" t="str">
        <f aca="false">IFERROR((AM19-AM20)/AM19,"")</f>
        <v/>
      </c>
      <c r="AN18" s="243" t="str">
        <f aca="false">IFERROR((AN19-AN20)/AN19,"")</f>
        <v/>
      </c>
      <c r="AO18" s="243" t="str">
        <f aca="false">IFERROR((AO19-AO20)/AO19,"")</f>
        <v/>
      </c>
      <c r="AP18" s="243" t="str">
        <f aca="false">IFERROR((AP19-AP20)/AP19,"")</f>
        <v/>
      </c>
      <c r="AQ18" s="244" t="str">
        <f aca="false">IFERROR((AQ19-AQ20)/AQ19,"")</f>
        <v/>
      </c>
      <c r="AR18" s="245" t="str">
        <f aca="false">IFERROR((AR19-AR20)/AR19,"")</f>
        <v/>
      </c>
    </row>
    <row r="19" s="234" customFormat="true" ht="14.25" hidden="false" customHeight="false" outlineLevel="0" collapsed="false">
      <c r="A19" s="234" t="str">
        <f aca="false">+IF(C19+C20=0,"[ocultar]","")</f>
        <v>[ocultar]</v>
      </c>
      <c r="B19" s="246" t="s">
        <v>371</v>
      </c>
      <c r="C19" s="247" t="n">
        <f aca="false" t="array" ref="C19:C19">SUM(IF($B19=DATOS_[Sexo], IF($B18=DATOS_[AGRUP. VALOR. PTO.], IF("Dentro"=DATOS_[Check Periodo Ref.], 1/(COUNTIFS(DATOS_[Sexo],$B19,DATOS_[AGRUP. VALOR. PTO.],$B18,DATOS_[Check Periodo Ref.],"Dentro",DATOS_[id],DATOS_[id]))))))</f>
        <v>0</v>
      </c>
      <c r="D19" s="248" t="n">
        <f aca="false">COUNTIFS(DATOS_[AGRUP. VALOR. PTO.],$B18,DATOS_[Sexo],$B19,DATOS_[Check Periodo Ref.],"Dentro")</f>
        <v>0</v>
      </c>
      <c r="E19" s="249" t="n">
        <f aca="false" t="array" ref="E19:E19">IFERROR( MEDIAN(IF(DATOS_[Sexo]=$B19,IF(DATOS_[AGRUP. VALOR. PTO.]=$B18,IF(DATOS_[Check Periodo Ref.]="Dentro",DATOS_[SALARIO BASE Ef],0)))), 0)</f>
        <v>0</v>
      </c>
      <c r="F19" s="250" t="n">
        <f aca="false" t="array" ref="F19:F19">IFERROR( MEDIAN((IF(DATOS_[[Sexo]:[Sexo]]=$B19,IF(DATOS_[[AGRUP. VALOR. PTO.]:[AGRUP. VALOR. PTO.]]=$B18,IF(DATOS_[[Check Periodo Ref.]:[Check Periodo Ref.]]="Dentro",DATOS_[Conc.Sal.01]))))), 0)</f>
        <v>0</v>
      </c>
      <c r="G19" s="250" t="n">
        <f aca="false" t="array" ref="G19:G19">IFERROR( MEDIAN((IF(DATOS_[[Sexo]:[Sexo]]=$B19,IF(DATOS_[[AGRUP. VALOR. PTO.]:[AGRUP. VALOR. PTO.]]=$B18,IF(DATOS_[[Check Periodo Ref.]:[Check Periodo Ref.]]="Dentro",DATOS_[Conc.Sal.02]))))), 0)</f>
        <v>0</v>
      </c>
      <c r="H19" s="250" t="n">
        <f aca="false" t="array" ref="H19:H19">IFERROR( MEDIAN((IF(DATOS_[[Sexo]:[Sexo]]=$B19,IF(DATOS_[[AGRUP. VALOR. PTO.]:[AGRUP. VALOR. PTO.]]=$B18,IF(DATOS_[[Check Periodo Ref.]:[Check Periodo Ref.]]="Dentro",DATOS_[Conc.Sal.03]))))), 0)</f>
        <v>0</v>
      </c>
      <c r="I19" s="250" t="n">
        <f aca="false" t="array" ref="I19:I19">IFERROR( MEDIAN((IF(DATOS_[[Sexo]:[Sexo]]=$B19,IF(DATOS_[[AGRUP. VALOR. PTO.]:[AGRUP. VALOR. PTO.]]=$B18,IF(DATOS_[[Check Periodo Ref.]:[Check Periodo Ref.]]="Dentro",DATOS_[Conc.Sal.04]))))), 0)</f>
        <v>0</v>
      </c>
      <c r="J19" s="250" t="n">
        <f aca="false" t="array" ref="J19:J19">IFERROR( MEDIAN((IF(DATOS_[[Sexo]:[Sexo]]=$B19,IF(DATOS_[[AGRUP. VALOR. PTO.]:[AGRUP. VALOR. PTO.]]=$B18,IF(DATOS_[[Check Periodo Ref.]:[Check Periodo Ref.]]="Dentro",DATOS_[Conc.Sal.05]))))), 0)</f>
        <v>0</v>
      </c>
      <c r="K19" s="250" t="n">
        <f aca="false" t="array" ref="K19:K19">IFERROR( MEDIAN((IF(DATOS_[[Sexo]:[Sexo]]=$B19,IF(DATOS_[[AGRUP. VALOR. PTO.]:[AGRUP. VALOR. PTO.]]=$B18,IF(DATOS_[[Check Periodo Ref.]:[Check Periodo Ref.]]="Dentro",DATOS_[Conc.Sal.06]))))), 0)</f>
        <v>0</v>
      </c>
      <c r="L19" s="250" t="n">
        <f aca="false" t="array" ref="L19:L19">IFERROR( MEDIAN((IF(DATOS_[[Sexo]:[Sexo]]=$B19,IF(DATOS_[[AGRUP. VALOR. PTO.]:[AGRUP. VALOR. PTO.]]=$B18,IF(DATOS_[[Check Periodo Ref.]:[Check Periodo Ref.]]="Dentro",DATOS_[Conc.Sal.07]))))), 0)</f>
        <v>0</v>
      </c>
      <c r="M19" s="250" t="n">
        <f aca="false" t="array" ref="M19:M19">IFERROR( MEDIAN((IF(DATOS_[[Sexo]:[Sexo]]=$B19,IF(DATOS_[[AGRUP. VALOR. PTO.]:[AGRUP. VALOR. PTO.]]=$B18,IF(DATOS_[[Check Periodo Ref.]:[Check Periodo Ref.]]="Dentro",DATOS_[Conc.Sal.08]))))), 0)</f>
        <v>0</v>
      </c>
      <c r="N19" s="250" t="n">
        <f aca="false" t="array" ref="N19:N19">IFERROR( MEDIAN((IF(DATOS_[[Sexo]:[Sexo]]=$B19,IF(DATOS_[[AGRUP. VALOR. PTO.]:[AGRUP. VALOR. PTO.]]=$B18,IF(DATOS_[[Check Periodo Ref.]:[Check Periodo Ref.]]="Dentro",DATOS_[Conc.Sal.09]))))), 0)</f>
        <v>0</v>
      </c>
      <c r="O19" s="250" t="n">
        <f aca="false" t="array" ref="O19:O19">IFERROR( MEDIAN((IF(DATOS_[[Sexo]:[Sexo]]=$B19,IF(DATOS_[[AGRUP. VALOR. PTO.]:[AGRUP. VALOR. PTO.]]=$B18,IF(DATOS_[[Check Periodo Ref.]:[Check Periodo Ref.]]="Dentro",DATOS_[Conc.Sal.10]))))), 0)</f>
        <v>0</v>
      </c>
      <c r="P19" s="250" t="n">
        <f aca="false" t="array" ref="P19:P19">IFERROR( MEDIAN((IF(DATOS_[[Sexo]:[Sexo]]=$B19,IF(DATOS_[[AGRUP. VALOR. PTO.]:[AGRUP. VALOR. PTO.]]=$B18,IF(DATOS_[[Check Periodo Ref.]:[Check Periodo Ref.]]="Dentro",DATOS_[Conc.Sal.11]))))), 0)</f>
        <v>0</v>
      </c>
      <c r="Q19" s="250" t="n">
        <f aca="false" t="array" ref="Q19:Q19">IFERROR( MEDIAN((IF(DATOS_[[Sexo]:[Sexo]]=$B19,IF(DATOS_[[AGRUP. VALOR. PTO.]:[AGRUP. VALOR. PTO.]]=$B18,IF(DATOS_[[Check Periodo Ref.]:[Check Periodo Ref.]]="Dentro",DATOS_[Conc.Sal.12]))))), 0)</f>
        <v>0</v>
      </c>
      <c r="R19" s="250" t="n">
        <f aca="false" t="array" ref="R19:R19">IFERROR( MEDIAN((IF(DATOS_[[Sexo]:[Sexo]]=$B19,IF(DATOS_[[AGRUP. VALOR. PTO.]:[AGRUP. VALOR. PTO.]]=$B18,IF(DATOS_[[Check Periodo Ref.]:[Check Periodo Ref.]]="Dentro",DATOS_[Conc.Sal.13]))))), 0)</f>
        <v>0</v>
      </c>
      <c r="S19" s="250" t="n">
        <f aca="false" t="array" ref="S19:S19">IFERROR( MEDIAN((IF(DATOS_[[Sexo]:[Sexo]]=$B19,IF(DATOS_[[AGRUP. VALOR. PTO.]:[AGRUP. VALOR. PTO.]]=$B18,IF(DATOS_[[Check Periodo Ref.]:[Check Periodo Ref.]]="Dentro",DATOS_[Conc.Sal.14]))))), 0)</f>
        <v>0</v>
      </c>
      <c r="T19" s="250" t="n">
        <f aca="false" t="array" ref="T19:T19">IFERROR( MEDIAN((IF(DATOS_[[Sexo]:[Sexo]]=$B19,IF(DATOS_[[AGRUP. VALOR. PTO.]:[AGRUP. VALOR. PTO.]]=$B18,IF(DATOS_[[Check Periodo Ref.]:[Check Periodo Ref.]]="Dentro",DATOS_[Conc.Sal.15]))))), 0)</f>
        <v>0</v>
      </c>
      <c r="U19" s="250" t="n">
        <f aca="false" t="array" ref="U19:U19">IFERROR( MEDIAN((IF(DATOS_[[Sexo]:[Sexo]]=$B19,IF(DATOS_[[AGRUP. VALOR. PTO.]:[AGRUP. VALOR. PTO.]]=$B18,IF(DATOS_[[Check Periodo Ref.]:[Check Periodo Ref.]]="Dentro",DATOS_[Conc.Sal.16]))))), 0)</f>
        <v>0</v>
      </c>
      <c r="V19" s="250" t="n">
        <f aca="false" t="array" ref="V19:V19">IFERROR( MEDIAN((IF(DATOS_[[Sexo]:[Sexo]]=$B19,IF(DATOS_[[AGRUP. VALOR. PTO.]:[AGRUP. VALOR. PTO.]]=$B18,IF(DATOS_[[Check Periodo Ref.]:[Check Periodo Ref.]]="Dentro",DATOS_[Conc.Sal.17]))))), 0)</f>
        <v>0</v>
      </c>
      <c r="W19" s="250" t="n">
        <f aca="false" t="array" ref="W19:W19">IFERROR( MEDIAN((IF(DATOS_[[Sexo]:[Sexo]]=$B19,IF(DATOS_[[AGRUP. VALOR. PTO.]:[AGRUP. VALOR. PTO.]]=$B18,IF(DATOS_[[Check Periodo Ref.]:[Check Periodo Ref.]]="Dentro",DATOS_[Conc.Sal.18]))))), 0)</f>
        <v>0</v>
      </c>
      <c r="X19" s="250" t="n">
        <f aca="false" t="array" ref="X19:X19">IFERROR( MEDIAN((IF(DATOS_[[Sexo]:[Sexo]]=$B19,IF(DATOS_[[AGRUP. VALOR. PTO.]:[AGRUP. VALOR. PTO.]]=$B18,IF(DATOS_[[Check Periodo Ref.]:[Check Periodo Ref.]]="Dentro",DATOS_[Conc.Sal.19]))))), 0)</f>
        <v>0</v>
      </c>
      <c r="Y19" s="250" t="n">
        <f aca="false" t="array" ref="Y19:Y19">IFERROR( MEDIAN((IF(DATOS_[[Sexo]:[Sexo]]=$B19,IF(DATOS_[[AGRUP. VALOR. PTO.]:[AGRUP. VALOR. PTO.]]=$B18,IF(DATOS_[[Check Periodo Ref.]:[Check Periodo Ref.]]="Dentro",DATOS_[Conc.Sal.20]))))), 0)</f>
        <v>0</v>
      </c>
      <c r="Z19" s="250" t="n">
        <f aca="false" t="array" ref="Z19:Z19">IFERROR( MEDIAN((IF(DATOS_[[Sexo]:[Sexo]]=$B19,IF(DATOS_[[AGRUP. VALOR. PTO.]:[AGRUP. VALOR. PTO.]]=$B18,IF(DATOS_[[Check Periodo Ref.]:[Check Periodo Ref.]]="Dentro",DATOS_[Conc.Sal.21]))))), 0)</f>
        <v>0</v>
      </c>
      <c r="AA19" s="250" t="n">
        <f aca="false" t="array" ref="AA19:AA19">IFERROR( MEDIAN((IF(DATOS_[[Sexo]:[Sexo]]=$B19,IF(DATOS_[[AGRUP. VALOR. PTO.]:[AGRUP. VALOR. PTO.]]=$B18,IF(DATOS_[[Check Periodo Ref.]:[Check Periodo Ref.]]="Dentro",DATOS_[Conc.Sal.22]))))), 0)</f>
        <v>0</v>
      </c>
      <c r="AB19" s="250" t="n">
        <f aca="false" t="array" ref="AB19:AB19">IFERROR( MEDIAN((IF(DATOS_[[Sexo]:[Sexo]]=$B19,IF(DATOS_[[AGRUP. VALOR. PTO.]:[AGRUP. VALOR. PTO.]]=$B18,IF(DATOS_[[Check Periodo Ref.]:[Check Periodo Ref.]]="Dentro",DATOS_[Conc.Sal.23]))))), 0)</f>
        <v>0</v>
      </c>
      <c r="AC19" s="250" t="n">
        <f aca="false" t="array" ref="AC19:AC19">IFERROR( MEDIAN((IF(DATOS_[[Sexo]:[Sexo]]=$B19,IF(DATOS_[[AGRUP. VALOR. PTO.]:[AGRUP. VALOR. PTO.]]=$B18,IF(DATOS_[[Check Periodo Ref.]:[Check Periodo Ref.]]="Dentro",DATOS_[Conc.Sal.24]))))), 0)</f>
        <v>0</v>
      </c>
      <c r="AD19" s="250" t="n">
        <f aca="false" t="array" ref="AD19:AD19">IFERROR( MEDIAN((IF(DATOS_[[Sexo]:[Sexo]]=$B19,IF(DATOS_[[AGRUP. VALOR. PTO.]:[AGRUP. VALOR. PTO.]]=$B18,IF(DATOS_[[Check Periodo Ref.]:[Check Periodo Ref.]]="Dentro",DATOS_[Conc.Sal.25]))))), 0)</f>
        <v>0</v>
      </c>
      <c r="AE19" s="250" t="n">
        <f aca="false" t="array" ref="AE19:AE19">IFERROR( MEDIAN((IF(DATOS_[[Sexo]:[Sexo]]=$B19,IF(DATOS_[[AGRUP. VALOR. PTO.]:[AGRUP. VALOR. PTO.]]=$B18,IF(DATOS_[[Check Periodo Ref.]:[Check Periodo Ref.]]="Dentro",DATOS_[Conc.Sal.26]))))), 0)</f>
        <v>0</v>
      </c>
      <c r="AF19" s="250" t="n">
        <f aca="false" t="array" ref="AF19:AF19">IFERROR( MEDIAN((IF(DATOS_[[Sexo]:[Sexo]]=$B19,IF(DATOS_[[AGRUP. VALOR. PTO.]:[AGRUP. VALOR. PTO.]]=$B18,IF(DATOS_[[Check Periodo Ref.]:[Check Periodo Ref.]]="Dentro",DATOS_[Conc.Sal.27]))))), 0)</f>
        <v>0</v>
      </c>
      <c r="AG19" s="250" t="n">
        <f aca="false" t="array" ref="AG19:AG19">IFERROR( MEDIAN((IF(DATOS_[[Sexo]:[Sexo]]=$B19,IF(DATOS_[[AGRUP. VALOR. PTO.]:[AGRUP. VALOR. PTO.]]=$B18,IF(DATOS_[[Check Periodo Ref.]:[Check Periodo Ref.]]="Dentro",DATOS_[Conc.Sal.28]))))), 0)</f>
        <v>0</v>
      </c>
      <c r="AH19" s="250" t="n">
        <f aca="false" t="array" ref="AH19:AH19">IFERROR( MEDIAN((IF(DATOS_[[Sexo]:[Sexo]]=$B19,IF(DATOS_[[AGRUP. VALOR. PTO.]:[AGRUP. VALOR. PTO.]]=$B18,IF(DATOS_[[Check Periodo Ref.]:[Check Periodo Ref.]]="Dentro",DATOS_[Conc.Sal.29]))))), 0)</f>
        <v>0</v>
      </c>
      <c r="AI19" s="250" t="n">
        <f aca="false" t="array" ref="AI19:AI19">IFERROR( MEDIAN((IF(DATOS_[[Sexo]:[Sexo]]=$B19,IF(DATOS_[[AGRUP. VALOR. PTO.]:[AGRUP. VALOR. PTO.]]=$B18,IF(DATOS_[[Check Periodo Ref.]:[Check Periodo Ref.]]="Dentro",DATOS_[Conc.Sal.30]))))), 0)</f>
        <v>0</v>
      </c>
      <c r="AJ19" s="251" t="n">
        <f aca="false" t="array" ref="AJ19:AJ19">IFERROR( MEDIAN(IF(DATOS_[Sexo]=$B19,IF(DATOS_[AGRUP. VALOR. PTO.]=$B18,IF(DATOS_[Check Periodo Ref.]="Dentro",DATOS_[Tot COMPL.SAL Ef],0)))), 0)</f>
        <v>0</v>
      </c>
      <c r="AK19" s="252" t="n">
        <f aca="false" t="array" ref="AK19:AK19">IFERROR( MEDIAN(IF(DATOS_[Sexo]=$B19,IF(DATOS_[AGRUP. VALOR. PTO.]=$B18,IF(DATOS_[Check Periodo Ref.]="Dentro",DATOS_[TOTAL SALARIO Ef],0)))), 0)</f>
        <v>0</v>
      </c>
      <c r="AL19" s="259" t="n">
        <f aca="false" t="array" ref="AL19:AL19">IFERROR( MEDIAN((IF(DATOS_[[Sexo]:[Sexo]]=$B19,IF(DATOS_[[AGRUP. VALOR. PTO.]:[AGRUP. VALOR. PTO.]]=$B18,IF(DATOS_[[Check Periodo Ref.]:[Check Periodo Ref.]]="Dentro",DATOS_[C.Extra.01]))))), 0)</f>
        <v>0</v>
      </c>
      <c r="AM19" s="259" t="n">
        <f aca="false" t="array" ref="AM19:AM19">IFERROR( MEDIAN((IF(DATOS_[[Sexo]:[Sexo]]=$B19,IF(DATOS_[[AGRUP. VALOR. PTO.]:[AGRUP. VALOR. PTO.]]=$B18,IF(DATOS_[[Check Periodo Ref.]:[Check Periodo Ref.]]="Dentro",DATOS_[C.Extra.02]))))), 0)</f>
        <v>0</v>
      </c>
      <c r="AN19" s="259" t="n">
        <f aca="false" t="array" ref="AN19:AN19">IFERROR( MEDIAN((IF(DATOS_[[Sexo]:[Sexo]]=$B19,IF(DATOS_[[AGRUP. VALOR. PTO.]:[AGRUP. VALOR. PTO.]]=$B18,IF(DATOS_[[Check Periodo Ref.]:[Check Periodo Ref.]]="Dentro",DATOS_[C.Extra.03]))))), 0)</f>
        <v>0</v>
      </c>
      <c r="AO19" s="259" t="n">
        <f aca="false" t="array" ref="AO19:AO19">IFERROR( MEDIAN((IF(DATOS_[[Sexo]:[Sexo]]=$B19,IF(DATOS_[[AGRUP. VALOR. PTO.]:[AGRUP. VALOR. PTO.]]=$B18,IF(DATOS_[[Check Periodo Ref.]:[Check Periodo Ref.]]="Dentro",DATOS_[C.Extra.04]))))), 0)</f>
        <v>0</v>
      </c>
      <c r="AP19" s="259" t="n">
        <f aca="false" t="array" ref="AP19:AP19">IFERROR( MEDIAN((IF(DATOS_[[Sexo]:[Sexo]]=$B19,IF(DATOS_[[AGRUP. VALOR. PTO.]:[AGRUP. VALOR. PTO.]]=$B18,IF(DATOS_[[Check Periodo Ref.]:[Check Periodo Ref.]]="Dentro",DATOS_[C.Extra.05]))))), 0)</f>
        <v>0</v>
      </c>
      <c r="AQ19" s="254" t="n">
        <f aca="false" t="array" ref="AQ19:AQ19">IFERROR( MEDIAN(IF(DATOS_[Sexo]=$B19,IF(DATOS_[AGRUP. VALOR. PTO.]=$B18,IF(DATOS_[Check Periodo Ref.]="Dentro",DATOS_[Tot Extrasalarial Ef],0)))), 0)</f>
        <v>0</v>
      </c>
      <c r="AR19" s="255" t="n">
        <f aca="false" t="array" ref="AR19:AR19">IFERROR( MEDIAN(IF(DATOS_[Sexo]=$B19,IF(DATOS_[AGRUP. VALOR. PTO.]=$B18,IF(DATOS_[Check Periodo Ref.]="Dentro",DATOS_[TOTAL Retrib Ef],0)))), 0)</f>
        <v>0</v>
      </c>
    </row>
    <row r="20" s="234" customFormat="true" ht="14.25" hidden="false" customHeight="false" outlineLevel="0" collapsed="false">
      <c r="A20" s="234" t="str">
        <f aca="false">+A19</f>
        <v>[ocultar]</v>
      </c>
      <c r="B20" s="246" t="s">
        <v>372</v>
      </c>
      <c r="C20" s="247" t="n">
        <f aca="false" t="array" ref="C20:C20">SUM(IF($B20=DATOS_[Sexo], IF($B18=DATOS_[AGRUP. VALOR. PTO.], IF("Dentro"=DATOS_[Check Periodo Ref.], 1/(COUNTIFS(DATOS_[Sexo],$B20,DATOS_[AGRUP. VALOR. PTO.],$B18,DATOS_[Check Periodo Ref.],"Dentro",DATOS_[id],DATOS_[id]))))))</f>
        <v>0</v>
      </c>
      <c r="D20" s="248" t="n">
        <f aca="false">COUNTIFS(DATOS_[AGRUP. VALOR. PTO.],$B18,DATOS_[Sexo],$B20,DATOS_[Check Periodo Ref.],"Dentro")</f>
        <v>0</v>
      </c>
      <c r="E20" s="249" t="n">
        <f aca="false" t="array" ref="E20:E20">IFERROR( MEDIAN(IF(DATOS_[Sexo]=$B20,IF(DATOS_[AGRUP. VALOR. PTO.]=$B18,IF(DATOS_[Check Periodo Ref.]="Dentro",DATOS_[SALARIO BASE Ef],0)))), 0)</f>
        <v>0</v>
      </c>
      <c r="F20" s="250" t="n">
        <f aca="false" t="array" ref="F20:F20">IFERROR( MEDIAN((IF(DATOS_[[Sexo]:[Sexo]]=$B20,IF(DATOS_[[AGRUP. VALOR. PTO.]:[AGRUP. VALOR. PTO.]]=$B18,IF(DATOS_[[Check Periodo Ref.]:[Check Periodo Ref.]]="Dentro",DATOS_[Conc.Sal.01]))))), 0)</f>
        <v>0</v>
      </c>
      <c r="G20" s="250" t="n">
        <f aca="false" t="array" ref="G20:G20">IFERROR( MEDIAN((IF(DATOS_[[Sexo]:[Sexo]]=$B20,IF(DATOS_[[AGRUP. VALOR. PTO.]:[AGRUP. VALOR. PTO.]]=$B18,IF(DATOS_[[Check Periodo Ref.]:[Check Periodo Ref.]]="Dentro",DATOS_[Conc.Sal.02]))))), 0)</f>
        <v>0</v>
      </c>
      <c r="H20" s="250" t="n">
        <f aca="false" t="array" ref="H20:H20">IFERROR( MEDIAN((IF(DATOS_[[Sexo]:[Sexo]]=$B20,IF(DATOS_[[AGRUP. VALOR. PTO.]:[AGRUP. VALOR. PTO.]]=$B18,IF(DATOS_[[Check Periodo Ref.]:[Check Periodo Ref.]]="Dentro",DATOS_[Conc.Sal.03]))))), 0)</f>
        <v>0</v>
      </c>
      <c r="I20" s="250" t="n">
        <f aca="false" t="array" ref="I20:I20">IFERROR( MEDIAN((IF(DATOS_[[Sexo]:[Sexo]]=$B20,IF(DATOS_[[AGRUP. VALOR. PTO.]:[AGRUP. VALOR. PTO.]]=$B18,IF(DATOS_[[Check Periodo Ref.]:[Check Periodo Ref.]]="Dentro",DATOS_[Conc.Sal.04]))))), 0)</f>
        <v>0</v>
      </c>
      <c r="J20" s="250" t="n">
        <f aca="false" t="array" ref="J20:J20">IFERROR( MEDIAN((IF(DATOS_[[Sexo]:[Sexo]]=$B20,IF(DATOS_[[AGRUP. VALOR. PTO.]:[AGRUP. VALOR. PTO.]]=$B18,IF(DATOS_[[Check Periodo Ref.]:[Check Periodo Ref.]]="Dentro",DATOS_[Conc.Sal.05]))))), 0)</f>
        <v>0</v>
      </c>
      <c r="K20" s="250" t="n">
        <f aca="false" t="array" ref="K20:K20">IFERROR( MEDIAN((IF(DATOS_[[Sexo]:[Sexo]]=$B20,IF(DATOS_[[AGRUP. VALOR. PTO.]:[AGRUP. VALOR. PTO.]]=$B18,IF(DATOS_[[Check Periodo Ref.]:[Check Periodo Ref.]]="Dentro",DATOS_[Conc.Sal.06]))))), 0)</f>
        <v>0</v>
      </c>
      <c r="L20" s="250" t="n">
        <f aca="false" t="array" ref="L20:L20">IFERROR( MEDIAN((IF(DATOS_[[Sexo]:[Sexo]]=$B20,IF(DATOS_[[AGRUP. VALOR. PTO.]:[AGRUP. VALOR. PTO.]]=$B18,IF(DATOS_[[Check Periodo Ref.]:[Check Periodo Ref.]]="Dentro",DATOS_[Conc.Sal.07]))))), 0)</f>
        <v>0</v>
      </c>
      <c r="M20" s="250" t="n">
        <f aca="false" t="array" ref="M20:M20">IFERROR( MEDIAN((IF(DATOS_[[Sexo]:[Sexo]]=$B20,IF(DATOS_[[AGRUP. VALOR. PTO.]:[AGRUP. VALOR. PTO.]]=$B18,IF(DATOS_[[Check Periodo Ref.]:[Check Periodo Ref.]]="Dentro",DATOS_[Conc.Sal.08]))))), 0)</f>
        <v>0</v>
      </c>
      <c r="N20" s="250" t="n">
        <f aca="false" t="array" ref="N20:N20">IFERROR( MEDIAN((IF(DATOS_[[Sexo]:[Sexo]]=$B20,IF(DATOS_[[AGRUP. VALOR. PTO.]:[AGRUP. VALOR. PTO.]]=$B18,IF(DATOS_[[Check Periodo Ref.]:[Check Periodo Ref.]]="Dentro",DATOS_[Conc.Sal.09]))))), 0)</f>
        <v>0</v>
      </c>
      <c r="O20" s="250" t="n">
        <f aca="false" t="array" ref="O20:O20">IFERROR( MEDIAN((IF(DATOS_[[Sexo]:[Sexo]]=$B20,IF(DATOS_[[AGRUP. VALOR. PTO.]:[AGRUP. VALOR. PTO.]]=$B18,IF(DATOS_[[Check Periodo Ref.]:[Check Periodo Ref.]]="Dentro",DATOS_[Conc.Sal.10]))))), 0)</f>
        <v>0</v>
      </c>
      <c r="P20" s="250" t="n">
        <f aca="false" t="array" ref="P20:P20">IFERROR( MEDIAN((IF(DATOS_[[Sexo]:[Sexo]]=$B20,IF(DATOS_[[AGRUP. VALOR. PTO.]:[AGRUP. VALOR. PTO.]]=$B18,IF(DATOS_[[Check Periodo Ref.]:[Check Periodo Ref.]]="Dentro",DATOS_[Conc.Sal.11]))))), 0)</f>
        <v>0</v>
      </c>
      <c r="Q20" s="250" t="n">
        <f aca="false" t="array" ref="Q20:Q20">IFERROR( MEDIAN((IF(DATOS_[[Sexo]:[Sexo]]=$B20,IF(DATOS_[[AGRUP. VALOR. PTO.]:[AGRUP. VALOR. PTO.]]=$B18,IF(DATOS_[[Check Periodo Ref.]:[Check Periodo Ref.]]="Dentro",DATOS_[Conc.Sal.12]))))), 0)</f>
        <v>0</v>
      </c>
      <c r="R20" s="250" t="n">
        <f aca="false" t="array" ref="R20:R20">IFERROR( MEDIAN((IF(DATOS_[[Sexo]:[Sexo]]=$B20,IF(DATOS_[[AGRUP. VALOR. PTO.]:[AGRUP. VALOR. PTO.]]=$B18,IF(DATOS_[[Check Periodo Ref.]:[Check Periodo Ref.]]="Dentro",DATOS_[Conc.Sal.13]))))), 0)</f>
        <v>0</v>
      </c>
      <c r="S20" s="250" t="n">
        <f aca="false" t="array" ref="S20:S20">IFERROR( MEDIAN((IF(DATOS_[[Sexo]:[Sexo]]=$B20,IF(DATOS_[[AGRUP. VALOR. PTO.]:[AGRUP. VALOR. PTO.]]=$B18,IF(DATOS_[[Check Periodo Ref.]:[Check Periodo Ref.]]="Dentro",DATOS_[Conc.Sal.14]))))), 0)</f>
        <v>0</v>
      </c>
      <c r="T20" s="250" t="n">
        <f aca="false" t="array" ref="T20:T20">IFERROR( MEDIAN((IF(DATOS_[[Sexo]:[Sexo]]=$B20,IF(DATOS_[[AGRUP. VALOR. PTO.]:[AGRUP. VALOR. PTO.]]=$B18,IF(DATOS_[[Check Periodo Ref.]:[Check Periodo Ref.]]="Dentro",DATOS_[Conc.Sal.15]))))), 0)</f>
        <v>0</v>
      </c>
      <c r="U20" s="250" t="n">
        <f aca="false" t="array" ref="U20:U20">IFERROR( MEDIAN((IF(DATOS_[[Sexo]:[Sexo]]=$B20,IF(DATOS_[[AGRUP. VALOR. PTO.]:[AGRUP. VALOR. PTO.]]=$B18,IF(DATOS_[[Check Periodo Ref.]:[Check Periodo Ref.]]="Dentro",DATOS_[Conc.Sal.16]))))), 0)</f>
        <v>0</v>
      </c>
      <c r="V20" s="250" t="n">
        <f aca="false" t="array" ref="V20:V20">IFERROR( MEDIAN((IF(DATOS_[[Sexo]:[Sexo]]=$B20,IF(DATOS_[[AGRUP. VALOR. PTO.]:[AGRUP. VALOR. PTO.]]=$B18,IF(DATOS_[[Check Periodo Ref.]:[Check Periodo Ref.]]="Dentro",DATOS_[Conc.Sal.17]))))), 0)</f>
        <v>0</v>
      </c>
      <c r="W20" s="250" t="n">
        <f aca="false" t="array" ref="W20:W20">IFERROR( MEDIAN((IF(DATOS_[[Sexo]:[Sexo]]=$B20,IF(DATOS_[[AGRUP. VALOR. PTO.]:[AGRUP. VALOR. PTO.]]=$B18,IF(DATOS_[[Check Periodo Ref.]:[Check Periodo Ref.]]="Dentro",DATOS_[Conc.Sal.18]))))), 0)</f>
        <v>0</v>
      </c>
      <c r="X20" s="250" t="n">
        <f aca="false" t="array" ref="X20:X20">IFERROR( MEDIAN((IF(DATOS_[[Sexo]:[Sexo]]=$B20,IF(DATOS_[[AGRUP. VALOR. PTO.]:[AGRUP. VALOR. PTO.]]=$B18,IF(DATOS_[[Check Periodo Ref.]:[Check Periodo Ref.]]="Dentro",DATOS_[Conc.Sal.19]))))), 0)</f>
        <v>0</v>
      </c>
      <c r="Y20" s="250" t="n">
        <f aca="false" t="array" ref="Y20:Y20">IFERROR( MEDIAN((IF(DATOS_[[Sexo]:[Sexo]]=$B20,IF(DATOS_[[AGRUP. VALOR. PTO.]:[AGRUP. VALOR. PTO.]]=$B18,IF(DATOS_[[Check Periodo Ref.]:[Check Periodo Ref.]]="Dentro",DATOS_[Conc.Sal.20]))))), 0)</f>
        <v>0</v>
      </c>
      <c r="Z20" s="250" t="n">
        <f aca="false" t="array" ref="Z20:Z20">IFERROR( MEDIAN((IF(DATOS_[[Sexo]:[Sexo]]=$B20,IF(DATOS_[[AGRUP. VALOR. PTO.]:[AGRUP. VALOR. PTO.]]=$B18,IF(DATOS_[[Check Periodo Ref.]:[Check Periodo Ref.]]="Dentro",DATOS_[Conc.Sal.21]))))), 0)</f>
        <v>0</v>
      </c>
      <c r="AA20" s="250" t="n">
        <f aca="false" t="array" ref="AA20:AA20">IFERROR( MEDIAN((IF(DATOS_[[Sexo]:[Sexo]]=$B20,IF(DATOS_[[AGRUP. VALOR. PTO.]:[AGRUP. VALOR. PTO.]]=$B18,IF(DATOS_[[Check Periodo Ref.]:[Check Periodo Ref.]]="Dentro",DATOS_[Conc.Sal.22]))))), 0)</f>
        <v>0</v>
      </c>
      <c r="AB20" s="250" t="n">
        <f aca="false" t="array" ref="AB20:AB20">IFERROR( MEDIAN((IF(DATOS_[[Sexo]:[Sexo]]=$B20,IF(DATOS_[[AGRUP. VALOR. PTO.]:[AGRUP. VALOR. PTO.]]=$B18,IF(DATOS_[[Check Periodo Ref.]:[Check Periodo Ref.]]="Dentro",DATOS_[Conc.Sal.23]))))), 0)</f>
        <v>0</v>
      </c>
      <c r="AC20" s="250" t="n">
        <f aca="false" t="array" ref="AC20:AC20">IFERROR( MEDIAN((IF(DATOS_[[Sexo]:[Sexo]]=$B20,IF(DATOS_[[AGRUP. VALOR. PTO.]:[AGRUP. VALOR. PTO.]]=$B18,IF(DATOS_[[Check Periodo Ref.]:[Check Periodo Ref.]]="Dentro",DATOS_[Conc.Sal.24]))))), 0)</f>
        <v>0</v>
      </c>
      <c r="AD20" s="250" t="n">
        <f aca="false" t="array" ref="AD20:AD20">IFERROR( MEDIAN((IF(DATOS_[[Sexo]:[Sexo]]=$B20,IF(DATOS_[[AGRUP. VALOR. PTO.]:[AGRUP. VALOR. PTO.]]=$B18,IF(DATOS_[[Check Periodo Ref.]:[Check Periodo Ref.]]="Dentro",DATOS_[Conc.Sal.25]))))), 0)</f>
        <v>0</v>
      </c>
      <c r="AE20" s="250" t="n">
        <f aca="false" t="array" ref="AE20:AE20">IFERROR( MEDIAN((IF(DATOS_[[Sexo]:[Sexo]]=$B20,IF(DATOS_[[AGRUP. VALOR. PTO.]:[AGRUP. VALOR. PTO.]]=$B18,IF(DATOS_[[Check Periodo Ref.]:[Check Periodo Ref.]]="Dentro",DATOS_[Conc.Sal.26]))))), 0)</f>
        <v>0</v>
      </c>
      <c r="AF20" s="250" t="n">
        <f aca="false" t="array" ref="AF20:AF20">IFERROR( MEDIAN((IF(DATOS_[[Sexo]:[Sexo]]=$B20,IF(DATOS_[[AGRUP. VALOR. PTO.]:[AGRUP. VALOR. PTO.]]=$B18,IF(DATOS_[[Check Periodo Ref.]:[Check Periodo Ref.]]="Dentro",DATOS_[Conc.Sal.27]))))), 0)</f>
        <v>0</v>
      </c>
      <c r="AG20" s="250" t="n">
        <f aca="false" t="array" ref="AG20:AG20">IFERROR( MEDIAN((IF(DATOS_[[Sexo]:[Sexo]]=$B20,IF(DATOS_[[AGRUP. VALOR. PTO.]:[AGRUP. VALOR. PTO.]]=$B18,IF(DATOS_[[Check Periodo Ref.]:[Check Periodo Ref.]]="Dentro",DATOS_[Conc.Sal.28]))))), 0)</f>
        <v>0</v>
      </c>
      <c r="AH20" s="250" t="n">
        <f aca="false" t="array" ref="AH20:AH20">IFERROR( MEDIAN((IF(DATOS_[[Sexo]:[Sexo]]=$B20,IF(DATOS_[[AGRUP. VALOR. PTO.]:[AGRUP. VALOR. PTO.]]=$B18,IF(DATOS_[[Check Periodo Ref.]:[Check Periodo Ref.]]="Dentro",DATOS_[Conc.Sal.29]))))), 0)</f>
        <v>0</v>
      </c>
      <c r="AI20" s="250" t="n">
        <f aca="false" t="array" ref="AI20:AI20">IFERROR( MEDIAN((IF(DATOS_[[Sexo]:[Sexo]]=$B20,IF(DATOS_[[AGRUP. VALOR. PTO.]:[AGRUP. VALOR. PTO.]]=$B18,IF(DATOS_[[Check Periodo Ref.]:[Check Periodo Ref.]]="Dentro",DATOS_[Conc.Sal.30]))))), 0)</f>
        <v>0</v>
      </c>
      <c r="AJ20" s="251" t="n">
        <f aca="false" t="array" ref="AJ20:AJ20">IFERROR( MEDIAN(IF(DATOS_[Sexo]=$B20,IF(DATOS_[AGRUP. VALOR. PTO.]=$B18,IF(DATOS_[Check Periodo Ref.]="Dentro",DATOS_[Tot COMPL.SAL Ef],0)))), 0)</f>
        <v>0</v>
      </c>
      <c r="AK20" s="252" t="n">
        <f aca="false" t="array" ref="AK20:AK20">IFERROR( MEDIAN(IF(DATOS_[Sexo]=$B20,IF(DATOS_[AGRUP. VALOR. PTO.]=$B18,IF(DATOS_[Check Periodo Ref.]="Dentro",DATOS_[TOTAL SALARIO Ef],0)))), 0)</f>
        <v>0</v>
      </c>
      <c r="AL20" s="259" t="n">
        <f aca="false" t="array" ref="AL20:AL20">IFERROR( MEDIAN((IF(DATOS_[[Sexo]:[Sexo]]=$B20,IF(DATOS_[[AGRUP. VALOR. PTO.]:[AGRUP. VALOR. PTO.]]=$B18,IF(DATOS_[[Check Periodo Ref.]:[Check Periodo Ref.]]="Dentro",DATOS_[C.Extra.01]))))), 0)</f>
        <v>0</v>
      </c>
      <c r="AM20" s="259" t="n">
        <f aca="false" t="array" ref="AM20:AM20">IFERROR( MEDIAN((IF(DATOS_[[Sexo]:[Sexo]]=$B20,IF(DATOS_[[AGRUP. VALOR. PTO.]:[AGRUP. VALOR. PTO.]]=$B18,IF(DATOS_[[Check Periodo Ref.]:[Check Periodo Ref.]]="Dentro",DATOS_[C.Extra.02]))))), 0)</f>
        <v>0</v>
      </c>
      <c r="AN20" s="259" t="n">
        <f aca="false" t="array" ref="AN20:AN20">IFERROR( MEDIAN((IF(DATOS_[[Sexo]:[Sexo]]=$B20,IF(DATOS_[[AGRUP. VALOR. PTO.]:[AGRUP. VALOR. PTO.]]=$B18,IF(DATOS_[[Check Periodo Ref.]:[Check Periodo Ref.]]="Dentro",DATOS_[C.Extra.03]))))), 0)</f>
        <v>0</v>
      </c>
      <c r="AO20" s="259" t="n">
        <f aca="false" t="array" ref="AO20:AO20">IFERROR( MEDIAN((IF(DATOS_[[Sexo]:[Sexo]]=$B20,IF(DATOS_[[AGRUP. VALOR. PTO.]:[AGRUP. VALOR. PTO.]]=$B18,IF(DATOS_[[Check Periodo Ref.]:[Check Periodo Ref.]]="Dentro",DATOS_[C.Extra.04]))))), 0)</f>
        <v>0</v>
      </c>
      <c r="AP20" s="259" t="n">
        <f aca="false" t="array" ref="AP20:AP20">IFERROR( MEDIAN((IF(DATOS_[[Sexo]:[Sexo]]=$B20,IF(DATOS_[[AGRUP. VALOR. PTO.]:[AGRUP. VALOR. PTO.]]=$B18,IF(DATOS_[[Check Periodo Ref.]:[Check Periodo Ref.]]="Dentro",DATOS_[C.Extra.05]))))), 0)</f>
        <v>0</v>
      </c>
      <c r="AQ20" s="254" t="n">
        <f aca="false" t="array" ref="AQ20:AQ20">IFERROR( MEDIAN(IF(DATOS_[Sexo]=$B20,IF(DATOS_[AGRUP. VALOR. PTO.]=$B18,IF(DATOS_[Check Periodo Ref.]="Dentro",DATOS_[Tot Extrasalarial Ef],0)))), 0)</f>
        <v>0</v>
      </c>
      <c r="AR20" s="255" t="n">
        <f aca="false" t="array" ref="AR20:AR20">IFERROR( MEDIAN(IF(DATOS_[Sexo]=$B20,IF(DATOS_[AGRUP. VALOR. PTO.]=$B18,IF(DATOS_[Check Periodo Ref.]="Dentro",DATOS_[TOTAL Retrib Ef],0)))), 0)</f>
        <v>0</v>
      </c>
    </row>
    <row r="21" customFormat="false" ht="15.75" hidden="false" customHeight="false" outlineLevel="0" collapsed="false">
      <c r="A21" s="217" t="str">
        <f aca="false">+A22</f>
        <v>[ocultar]</v>
      </c>
      <c r="B21" s="235" t="s">
        <v>178</v>
      </c>
      <c r="C21" s="236"/>
      <c r="D21" s="237"/>
      <c r="E21" s="238" t="str">
        <f aca="false">IFERROR((E22-E23)/E22,"")</f>
        <v/>
      </c>
      <c r="F21" s="239" t="str">
        <f aca="false">IFERROR((F22-F23)/F22,"")</f>
        <v/>
      </c>
      <c r="G21" s="239" t="str">
        <f aca="false">IFERROR((G22-G23)/G22,"")</f>
        <v/>
      </c>
      <c r="H21" s="239" t="str">
        <f aca="false">IFERROR((H22-H23)/H22,"")</f>
        <v/>
      </c>
      <c r="I21" s="239"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40" t="str">
        <f aca="false">IFERROR((V22-V23)/V22,"")</f>
        <v/>
      </c>
      <c r="W21" s="240" t="str">
        <f aca="false">IFERROR((W22-W23)/W22,"")</f>
        <v/>
      </c>
      <c r="X21" s="240" t="str">
        <f aca="false">IFERROR((X22-X23)/X22,"")</f>
        <v/>
      </c>
      <c r="Y21" s="240"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1" t="str">
        <f aca="false">IFERROR((AJ22-AJ23)/AJ22,"")</f>
        <v/>
      </c>
      <c r="AK21" s="242" t="str">
        <f aca="false">IFERROR((AK22-AK23)/AK22,"")</f>
        <v/>
      </c>
      <c r="AL21" s="243" t="str">
        <f aca="false">IFERROR((AL22-AL23)/AL22,"")</f>
        <v/>
      </c>
      <c r="AM21" s="243" t="str">
        <f aca="false">IFERROR((AM22-AM23)/AM22,"")</f>
        <v/>
      </c>
      <c r="AN21" s="243" t="str">
        <f aca="false">IFERROR((AN22-AN23)/AN22,"")</f>
        <v/>
      </c>
      <c r="AO21" s="243" t="str">
        <f aca="false">IFERROR((AO22-AO23)/AO22,"")</f>
        <v/>
      </c>
      <c r="AP21" s="243" t="str">
        <f aca="false">IFERROR((AP22-AP23)/AP22,"")</f>
        <v/>
      </c>
      <c r="AQ21" s="244" t="str">
        <f aca="false">IFERROR((AQ22-AQ23)/AQ22,"")</f>
        <v/>
      </c>
      <c r="AR21" s="245" t="str">
        <f aca="false">IFERROR((AR22-AR23)/AR22,"")</f>
        <v/>
      </c>
    </row>
    <row r="22" customFormat="false" ht="14.25" hidden="false" customHeight="false" outlineLevel="0" collapsed="false">
      <c r="A22" s="217" t="str">
        <f aca="false">+IF(C22+C23=0,"[ocultar]","")</f>
        <v>[ocultar]</v>
      </c>
      <c r="B22" s="246" t="s">
        <v>371</v>
      </c>
      <c r="C22" s="247" t="n">
        <f aca="false" t="array" ref="C22:C22">SUM(IF($B22=DATOS_[Sexo], IF($B21=DATOS_[AGRUP. VALOR. PTO.], IF("Dentro"=DATOS_[Check Periodo Ref.], 1/(COUNTIFS(DATOS_[Sexo],$B22,DATOS_[AGRUP. VALOR. PTO.],$B21,DATOS_[Check Periodo Ref.],"Dentro",DATOS_[id],DATOS_[id]))))))</f>
        <v>0</v>
      </c>
      <c r="D22" s="248" t="n">
        <f aca="false">COUNTIFS(DATOS_[AGRUP. VALOR. PTO.],$B21,DATOS_[Sexo],$B22,DATOS_[Check Periodo Ref.],"Dentro")</f>
        <v>0</v>
      </c>
      <c r="E22" s="249" t="n">
        <f aca="false" t="array" ref="E22:E22">IFERROR( MEDIAN(IF(DATOS_[Sexo]=$B22,IF(DATOS_[AGRUP. VALOR. PTO.]=$B21,IF(DATOS_[Check Periodo Ref.]="Dentro",DATOS_[SALARIO BASE Ef],0)))), 0)</f>
        <v>0</v>
      </c>
      <c r="F22" s="250" t="n">
        <f aca="false" t="array" ref="F22:F22">IFERROR( MEDIAN((IF(DATOS_[[Sexo]:[Sexo]]=$B22,IF(DATOS_[[AGRUP. VALOR. PTO.]:[AGRUP. VALOR. PTO.]]=$B21,IF(DATOS_[[Check Periodo Ref.]:[Check Periodo Ref.]]="Dentro",DATOS_[Conc.Sal.01]))))), 0)</f>
        <v>0</v>
      </c>
      <c r="G22" s="250" t="n">
        <f aca="false" t="array" ref="G22:G22">IFERROR( MEDIAN((IF(DATOS_[[Sexo]:[Sexo]]=$B22,IF(DATOS_[[AGRUP. VALOR. PTO.]:[AGRUP. VALOR. PTO.]]=$B21,IF(DATOS_[[Check Periodo Ref.]:[Check Periodo Ref.]]="Dentro",DATOS_[Conc.Sal.02]))))), 0)</f>
        <v>0</v>
      </c>
      <c r="H22" s="250" t="n">
        <f aca="false" t="array" ref="H22:H22">IFERROR( MEDIAN((IF(DATOS_[[Sexo]:[Sexo]]=$B22,IF(DATOS_[[AGRUP. VALOR. PTO.]:[AGRUP. VALOR. PTO.]]=$B21,IF(DATOS_[[Check Periodo Ref.]:[Check Periodo Ref.]]="Dentro",DATOS_[Conc.Sal.03]))))), 0)</f>
        <v>0</v>
      </c>
      <c r="I22" s="250" t="n">
        <f aca="false" t="array" ref="I22:I22">IFERROR( MEDIAN((IF(DATOS_[[Sexo]:[Sexo]]=$B22,IF(DATOS_[[AGRUP. VALOR. PTO.]:[AGRUP. VALOR. PTO.]]=$B21,IF(DATOS_[[Check Periodo Ref.]:[Check Periodo Ref.]]="Dentro",DATOS_[Conc.Sal.04]))))), 0)</f>
        <v>0</v>
      </c>
      <c r="J22" s="250" t="n">
        <f aca="false" t="array" ref="J22:J22">IFERROR( MEDIAN((IF(DATOS_[[Sexo]:[Sexo]]=$B22,IF(DATOS_[[AGRUP. VALOR. PTO.]:[AGRUP. VALOR. PTO.]]=$B21,IF(DATOS_[[Check Periodo Ref.]:[Check Periodo Ref.]]="Dentro",DATOS_[Conc.Sal.05]))))), 0)</f>
        <v>0</v>
      </c>
      <c r="K22" s="250" t="n">
        <f aca="false" t="array" ref="K22:K22">IFERROR( MEDIAN((IF(DATOS_[[Sexo]:[Sexo]]=$B22,IF(DATOS_[[AGRUP. VALOR. PTO.]:[AGRUP. VALOR. PTO.]]=$B21,IF(DATOS_[[Check Periodo Ref.]:[Check Periodo Ref.]]="Dentro",DATOS_[Conc.Sal.06]))))), 0)</f>
        <v>0</v>
      </c>
      <c r="L22" s="250" t="n">
        <f aca="false" t="array" ref="L22:L22">IFERROR( MEDIAN((IF(DATOS_[[Sexo]:[Sexo]]=$B22,IF(DATOS_[[AGRUP. VALOR. PTO.]:[AGRUP. VALOR. PTO.]]=$B21,IF(DATOS_[[Check Periodo Ref.]:[Check Periodo Ref.]]="Dentro",DATOS_[Conc.Sal.07]))))), 0)</f>
        <v>0</v>
      </c>
      <c r="M22" s="250" t="n">
        <f aca="false" t="array" ref="M22:M22">IFERROR( MEDIAN((IF(DATOS_[[Sexo]:[Sexo]]=$B22,IF(DATOS_[[AGRUP. VALOR. PTO.]:[AGRUP. VALOR. PTO.]]=$B21,IF(DATOS_[[Check Periodo Ref.]:[Check Periodo Ref.]]="Dentro",DATOS_[Conc.Sal.08]))))), 0)</f>
        <v>0</v>
      </c>
      <c r="N22" s="250" t="n">
        <f aca="false" t="array" ref="N22:N22">IFERROR( MEDIAN((IF(DATOS_[[Sexo]:[Sexo]]=$B22,IF(DATOS_[[AGRUP. VALOR. PTO.]:[AGRUP. VALOR. PTO.]]=$B21,IF(DATOS_[[Check Periodo Ref.]:[Check Periodo Ref.]]="Dentro",DATOS_[Conc.Sal.09]))))), 0)</f>
        <v>0</v>
      </c>
      <c r="O22" s="250" t="n">
        <f aca="false" t="array" ref="O22:O22">IFERROR( MEDIAN((IF(DATOS_[[Sexo]:[Sexo]]=$B22,IF(DATOS_[[AGRUP. VALOR. PTO.]:[AGRUP. VALOR. PTO.]]=$B21,IF(DATOS_[[Check Periodo Ref.]:[Check Periodo Ref.]]="Dentro",DATOS_[Conc.Sal.10]))))), 0)</f>
        <v>0</v>
      </c>
      <c r="P22" s="250" t="n">
        <f aca="false" t="array" ref="P22:P22">IFERROR( MEDIAN((IF(DATOS_[[Sexo]:[Sexo]]=$B22,IF(DATOS_[[AGRUP. VALOR. PTO.]:[AGRUP. VALOR. PTO.]]=$B21,IF(DATOS_[[Check Periodo Ref.]:[Check Periodo Ref.]]="Dentro",DATOS_[Conc.Sal.11]))))), 0)</f>
        <v>0</v>
      </c>
      <c r="Q22" s="250" t="n">
        <f aca="false" t="array" ref="Q22:Q22">IFERROR( MEDIAN((IF(DATOS_[[Sexo]:[Sexo]]=$B22,IF(DATOS_[[AGRUP. VALOR. PTO.]:[AGRUP. VALOR. PTO.]]=$B21,IF(DATOS_[[Check Periodo Ref.]:[Check Periodo Ref.]]="Dentro",DATOS_[Conc.Sal.12]))))), 0)</f>
        <v>0</v>
      </c>
      <c r="R22" s="250" t="n">
        <f aca="false" t="array" ref="R22:R22">IFERROR( MEDIAN((IF(DATOS_[[Sexo]:[Sexo]]=$B22,IF(DATOS_[[AGRUP. VALOR. PTO.]:[AGRUP. VALOR. PTO.]]=$B21,IF(DATOS_[[Check Periodo Ref.]:[Check Periodo Ref.]]="Dentro",DATOS_[Conc.Sal.13]))))), 0)</f>
        <v>0</v>
      </c>
      <c r="S22" s="250" t="n">
        <f aca="false" t="array" ref="S22:S22">IFERROR( MEDIAN((IF(DATOS_[[Sexo]:[Sexo]]=$B22,IF(DATOS_[[AGRUP. VALOR. PTO.]:[AGRUP. VALOR. PTO.]]=$B21,IF(DATOS_[[Check Periodo Ref.]:[Check Periodo Ref.]]="Dentro",DATOS_[Conc.Sal.14]))))), 0)</f>
        <v>0</v>
      </c>
      <c r="T22" s="250" t="n">
        <f aca="false" t="array" ref="T22:T22">IFERROR( MEDIAN((IF(DATOS_[[Sexo]:[Sexo]]=$B22,IF(DATOS_[[AGRUP. VALOR. PTO.]:[AGRUP. VALOR. PTO.]]=$B21,IF(DATOS_[[Check Periodo Ref.]:[Check Periodo Ref.]]="Dentro",DATOS_[Conc.Sal.15]))))), 0)</f>
        <v>0</v>
      </c>
      <c r="U22" s="250" t="n">
        <f aca="false" t="array" ref="U22:U22">IFERROR( MEDIAN((IF(DATOS_[[Sexo]:[Sexo]]=$B22,IF(DATOS_[[AGRUP. VALOR. PTO.]:[AGRUP. VALOR. PTO.]]=$B21,IF(DATOS_[[Check Periodo Ref.]:[Check Periodo Ref.]]="Dentro",DATOS_[Conc.Sal.16]))))), 0)</f>
        <v>0</v>
      </c>
      <c r="V22" s="250" t="n">
        <f aca="false" t="array" ref="V22:V22">IFERROR( MEDIAN((IF(DATOS_[[Sexo]:[Sexo]]=$B22,IF(DATOS_[[AGRUP. VALOR. PTO.]:[AGRUP. VALOR. PTO.]]=$B21,IF(DATOS_[[Check Periodo Ref.]:[Check Periodo Ref.]]="Dentro",DATOS_[Conc.Sal.17]))))), 0)</f>
        <v>0</v>
      </c>
      <c r="W22" s="250" t="n">
        <f aca="false" t="array" ref="W22:W22">IFERROR( MEDIAN((IF(DATOS_[[Sexo]:[Sexo]]=$B22,IF(DATOS_[[AGRUP. VALOR. PTO.]:[AGRUP. VALOR. PTO.]]=$B21,IF(DATOS_[[Check Periodo Ref.]:[Check Periodo Ref.]]="Dentro",DATOS_[Conc.Sal.18]))))), 0)</f>
        <v>0</v>
      </c>
      <c r="X22" s="250" t="n">
        <f aca="false" t="array" ref="X22:X22">IFERROR( MEDIAN((IF(DATOS_[[Sexo]:[Sexo]]=$B22,IF(DATOS_[[AGRUP. VALOR. PTO.]:[AGRUP. VALOR. PTO.]]=$B21,IF(DATOS_[[Check Periodo Ref.]:[Check Periodo Ref.]]="Dentro",DATOS_[Conc.Sal.19]))))), 0)</f>
        <v>0</v>
      </c>
      <c r="Y22" s="250" t="n">
        <f aca="false" t="array" ref="Y22:Y22">IFERROR( MEDIAN((IF(DATOS_[[Sexo]:[Sexo]]=$B22,IF(DATOS_[[AGRUP. VALOR. PTO.]:[AGRUP. VALOR. PTO.]]=$B21,IF(DATOS_[[Check Periodo Ref.]:[Check Periodo Ref.]]="Dentro",DATOS_[Conc.Sal.20]))))), 0)</f>
        <v>0</v>
      </c>
      <c r="Z22" s="250" t="n">
        <f aca="false" t="array" ref="Z22:Z22">IFERROR( MEDIAN((IF(DATOS_[[Sexo]:[Sexo]]=$B22,IF(DATOS_[[AGRUP. VALOR. PTO.]:[AGRUP. VALOR. PTO.]]=$B21,IF(DATOS_[[Check Periodo Ref.]:[Check Periodo Ref.]]="Dentro",DATOS_[Conc.Sal.21]))))), 0)</f>
        <v>0</v>
      </c>
      <c r="AA22" s="250" t="n">
        <f aca="false" t="array" ref="AA22:AA22">IFERROR( MEDIAN((IF(DATOS_[[Sexo]:[Sexo]]=$B22,IF(DATOS_[[AGRUP. VALOR. PTO.]:[AGRUP. VALOR. PTO.]]=$B21,IF(DATOS_[[Check Periodo Ref.]:[Check Periodo Ref.]]="Dentro",DATOS_[Conc.Sal.22]))))), 0)</f>
        <v>0</v>
      </c>
      <c r="AB22" s="250" t="n">
        <f aca="false" t="array" ref="AB22:AB22">IFERROR( MEDIAN((IF(DATOS_[[Sexo]:[Sexo]]=$B22,IF(DATOS_[[AGRUP. VALOR. PTO.]:[AGRUP. VALOR. PTO.]]=$B21,IF(DATOS_[[Check Periodo Ref.]:[Check Periodo Ref.]]="Dentro",DATOS_[Conc.Sal.23]))))), 0)</f>
        <v>0</v>
      </c>
      <c r="AC22" s="250" t="n">
        <f aca="false" t="array" ref="AC22:AC22">IFERROR( MEDIAN((IF(DATOS_[[Sexo]:[Sexo]]=$B22,IF(DATOS_[[AGRUP. VALOR. PTO.]:[AGRUP. VALOR. PTO.]]=$B21,IF(DATOS_[[Check Periodo Ref.]:[Check Periodo Ref.]]="Dentro",DATOS_[Conc.Sal.24]))))), 0)</f>
        <v>0</v>
      </c>
      <c r="AD22" s="250" t="n">
        <f aca="false" t="array" ref="AD22:AD22">IFERROR( MEDIAN((IF(DATOS_[[Sexo]:[Sexo]]=$B22,IF(DATOS_[[AGRUP. VALOR. PTO.]:[AGRUP. VALOR. PTO.]]=$B21,IF(DATOS_[[Check Periodo Ref.]:[Check Periodo Ref.]]="Dentro",DATOS_[Conc.Sal.25]))))), 0)</f>
        <v>0</v>
      </c>
      <c r="AE22" s="250" t="n">
        <f aca="false" t="array" ref="AE22:AE22">IFERROR( MEDIAN((IF(DATOS_[[Sexo]:[Sexo]]=$B22,IF(DATOS_[[AGRUP. VALOR. PTO.]:[AGRUP. VALOR. PTO.]]=$B21,IF(DATOS_[[Check Periodo Ref.]:[Check Periodo Ref.]]="Dentro",DATOS_[Conc.Sal.26]))))), 0)</f>
        <v>0</v>
      </c>
      <c r="AF22" s="250" t="n">
        <f aca="false" t="array" ref="AF22:AF22">IFERROR( MEDIAN((IF(DATOS_[[Sexo]:[Sexo]]=$B22,IF(DATOS_[[AGRUP. VALOR. PTO.]:[AGRUP. VALOR. PTO.]]=$B21,IF(DATOS_[[Check Periodo Ref.]:[Check Periodo Ref.]]="Dentro",DATOS_[Conc.Sal.27]))))), 0)</f>
        <v>0</v>
      </c>
      <c r="AG22" s="250" t="n">
        <f aca="false" t="array" ref="AG22:AG22">IFERROR( MEDIAN((IF(DATOS_[[Sexo]:[Sexo]]=$B22,IF(DATOS_[[AGRUP. VALOR. PTO.]:[AGRUP. VALOR. PTO.]]=$B21,IF(DATOS_[[Check Periodo Ref.]:[Check Periodo Ref.]]="Dentro",DATOS_[Conc.Sal.28]))))), 0)</f>
        <v>0</v>
      </c>
      <c r="AH22" s="250" t="n">
        <f aca="false" t="array" ref="AH22:AH22">IFERROR( MEDIAN((IF(DATOS_[[Sexo]:[Sexo]]=$B22,IF(DATOS_[[AGRUP. VALOR. PTO.]:[AGRUP. VALOR. PTO.]]=$B21,IF(DATOS_[[Check Periodo Ref.]:[Check Periodo Ref.]]="Dentro",DATOS_[Conc.Sal.29]))))), 0)</f>
        <v>0</v>
      </c>
      <c r="AI22" s="250" t="n">
        <f aca="false" t="array" ref="AI22:AI22">IFERROR( MEDIAN((IF(DATOS_[[Sexo]:[Sexo]]=$B22,IF(DATOS_[[AGRUP. VALOR. PTO.]:[AGRUP. VALOR. PTO.]]=$B21,IF(DATOS_[[Check Periodo Ref.]:[Check Periodo Ref.]]="Dentro",DATOS_[Conc.Sal.30]))))), 0)</f>
        <v>0</v>
      </c>
      <c r="AJ22" s="251" t="n">
        <f aca="false" t="array" ref="AJ22:AJ22">IFERROR( MEDIAN(IF(DATOS_[Sexo]=$B22,IF(DATOS_[AGRUP. VALOR. PTO.]=$B21,IF(DATOS_[Check Periodo Ref.]="Dentro",DATOS_[Tot COMPL.SAL Ef],0)))), 0)</f>
        <v>0</v>
      </c>
      <c r="AK22" s="252" t="n">
        <f aca="false" t="array" ref="AK22:AK22">IFERROR( MEDIAN(IF(DATOS_[Sexo]=$B22,IF(DATOS_[AGRUP. VALOR. PTO.]=$B21,IF(DATOS_[Check Periodo Ref.]="Dentro",DATOS_[TOTAL SALARIO Ef],0)))), 0)</f>
        <v>0</v>
      </c>
      <c r="AL22" s="259" t="n">
        <f aca="false" t="array" ref="AL22:AL22">IFERROR( MEDIAN((IF(DATOS_[[Sexo]:[Sexo]]=$B22,IF(DATOS_[[AGRUP. VALOR. PTO.]:[AGRUP. VALOR. PTO.]]=$B21,IF(DATOS_[[Check Periodo Ref.]:[Check Periodo Ref.]]="Dentro",DATOS_[C.Extra.01]))))), 0)</f>
        <v>0</v>
      </c>
      <c r="AM22" s="259" t="n">
        <f aca="false" t="array" ref="AM22:AM22">IFERROR( MEDIAN((IF(DATOS_[[Sexo]:[Sexo]]=$B22,IF(DATOS_[[AGRUP. VALOR. PTO.]:[AGRUP. VALOR. PTO.]]=$B21,IF(DATOS_[[Check Periodo Ref.]:[Check Periodo Ref.]]="Dentro",DATOS_[C.Extra.02]))))), 0)</f>
        <v>0</v>
      </c>
      <c r="AN22" s="259" t="n">
        <f aca="false" t="array" ref="AN22:AN22">IFERROR( MEDIAN((IF(DATOS_[[Sexo]:[Sexo]]=$B22,IF(DATOS_[[AGRUP. VALOR. PTO.]:[AGRUP. VALOR. PTO.]]=$B21,IF(DATOS_[[Check Periodo Ref.]:[Check Periodo Ref.]]="Dentro",DATOS_[C.Extra.03]))))), 0)</f>
        <v>0</v>
      </c>
      <c r="AO22" s="259" t="n">
        <f aca="false" t="array" ref="AO22:AO22">IFERROR( MEDIAN((IF(DATOS_[[Sexo]:[Sexo]]=$B22,IF(DATOS_[[AGRUP. VALOR. PTO.]:[AGRUP. VALOR. PTO.]]=$B21,IF(DATOS_[[Check Periodo Ref.]:[Check Periodo Ref.]]="Dentro",DATOS_[C.Extra.04]))))), 0)</f>
        <v>0</v>
      </c>
      <c r="AP22" s="259" t="n">
        <f aca="false" t="array" ref="AP22:AP22">IFERROR( MEDIAN((IF(DATOS_[[Sexo]:[Sexo]]=$B22,IF(DATOS_[[AGRUP. VALOR. PTO.]:[AGRUP. VALOR. PTO.]]=$B21,IF(DATOS_[[Check Periodo Ref.]:[Check Periodo Ref.]]="Dentro",DATOS_[C.Extra.05]))))), 0)</f>
        <v>0</v>
      </c>
      <c r="AQ22" s="254" t="n">
        <f aca="false" t="array" ref="AQ22:AQ22">IFERROR( MEDIAN(IF(DATOS_[Sexo]=$B22,IF(DATOS_[AGRUP. VALOR. PTO.]=$B21,IF(DATOS_[Check Periodo Ref.]="Dentro",DATOS_[Tot Extrasalarial Ef],0)))), 0)</f>
        <v>0</v>
      </c>
      <c r="AR22" s="255" t="n">
        <f aca="false" t="array" ref="AR22:AR22">IFERROR( MEDIAN(IF(DATOS_[Sexo]=$B22,IF(DATOS_[AGRUP. VALOR. PTO.]=$B21,IF(DATOS_[Check Periodo Ref.]="Dentro",DATOS_[TOTAL Retrib Ef],0)))), 0)</f>
        <v>0</v>
      </c>
    </row>
    <row r="23" customFormat="false" ht="14.25" hidden="false" customHeight="false" outlineLevel="0" collapsed="false">
      <c r="A23" s="217" t="str">
        <f aca="false">+A22</f>
        <v>[ocultar]</v>
      </c>
      <c r="B23" s="246" t="s">
        <v>372</v>
      </c>
      <c r="C23" s="247" t="n">
        <f aca="false" t="array" ref="C23:C23">SUM(IF($B23=DATOS_[Sexo], IF($B21=DATOS_[AGRUP. VALOR. PTO.], IF("Dentro"=DATOS_[Check Periodo Ref.], 1/(COUNTIFS(DATOS_[Sexo],$B23,DATOS_[AGRUP. VALOR. PTO.],$B21,DATOS_[Check Periodo Ref.],"Dentro",DATOS_[id],DATOS_[id]))))))</f>
        <v>0</v>
      </c>
      <c r="D23" s="248" t="n">
        <f aca="false">COUNTIFS(DATOS_[AGRUP. VALOR. PTO.],$B21,DATOS_[Sexo],$B23,DATOS_[Check Periodo Ref.],"Dentro")</f>
        <v>0</v>
      </c>
      <c r="E23" s="249" t="n">
        <f aca="false" t="array" ref="E23:E23">IFERROR( MEDIAN(IF(DATOS_[Sexo]=$B23,IF(DATOS_[AGRUP. VALOR. PTO.]=$B21,IF(DATOS_[Check Periodo Ref.]="Dentro",DATOS_[SALARIO BASE Ef],0)))), 0)</f>
        <v>0</v>
      </c>
      <c r="F23" s="250" t="n">
        <f aca="false" t="array" ref="F23:F23">IFERROR( MEDIAN((IF(DATOS_[[Sexo]:[Sexo]]=$B23,IF(DATOS_[[AGRUP. VALOR. PTO.]:[AGRUP. VALOR. PTO.]]=$B21,IF(DATOS_[[Check Periodo Ref.]:[Check Periodo Ref.]]="Dentro",DATOS_[Conc.Sal.01]))))), 0)</f>
        <v>0</v>
      </c>
      <c r="G23" s="250" t="n">
        <f aca="false" t="array" ref="G23:G23">IFERROR( MEDIAN((IF(DATOS_[[Sexo]:[Sexo]]=$B23,IF(DATOS_[[AGRUP. VALOR. PTO.]:[AGRUP. VALOR. PTO.]]=$B21,IF(DATOS_[[Check Periodo Ref.]:[Check Periodo Ref.]]="Dentro",DATOS_[Conc.Sal.02]))))), 0)</f>
        <v>0</v>
      </c>
      <c r="H23" s="250" t="n">
        <f aca="false" t="array" ref="H23:H23">IFERROR( MEDIAN((IF(DATOS_[[Sexo]:[Sexo]]=$B23,IF(DATOS_[[AGRUP. VALOR. PTO.]:[AGRUP. VALOR. PTO.]]=$B21,IF(DATOS_[[Check Periodo Ref.]:[Check Periodo Ref.]]="Dentro",DATOS_[Conc.Sal.03]))))), 0)</f>
        <v>0</v>
      </c>
      <c r="I23" s="250" t="n">
        <f aca="false" t="array" ref="I23:I23">IFERROR( MEDIAN((IF(DATOS_[[Sexo]:[Sexo]]=$B23,IF(DATOS_[[AGRUP. VALOR. PTO.]:[AGRUP. VALOR. PTO.]]=$B21,IF(DATOS_[[Check Periodo Ref.]:[Check Periodo Ref.]]="Dentro",DATOS_[Conc.Sal.04]))))), 0)</f>
        <v>0</v>
      </c>
      <c r="J23" s="250" t="n">
        <f aca="false" t="array" ref="J23:J23">IFERROR( MEDIAN((IF(DATOS_[[Sexo]:[Sexo]]=$B23,IF(DATOS_[[AGRUP. VALOR. PTO.]:[AGRUP. VALOR. PTO.]]=$B21,IF(DATOS_[[Check Periodo Ref.]:[Check Periodo Ref.]]="Dentro",DATOS_[Conc.Sal.05]))))), 0)</f>
        <v>0</v>
      </c>
      <c r="K23" s="250" t="n">
        <f aca="false" t="array" ref="K23:K23">IFERROR( MEDIAN((IF(DATOS_[[Sexo]:[Sexo]]=$B23,IF(DATOS_[[AGRUP. VALOR. PTO.]:[AGRUP. VALOR. PTO.]]=$B21,IF(DATOS_[[Check Periodo Ref.]:[Check Periodo Ref.]]="Dentro",DATOS_[Conc.Sal.06]))))), 0)</f>
        <v>0</v>
      </c>
      <c r="L23" s="250" t="n">
        <f aca="false" t="array" ref="L23:L23">IFERROR( MEDIAN((IF(DATOS_[[Sexo]:[Sexo]]=$B23,IF(DATOS_[[AGRUP. VALOR. PTO.]:[AGRUP. VALOR. PTO.]]=$B21,IF(DATOS_[[Check Periodo Ref.]:[Check Periodo Ref.]]="Dentro",DATOS_[Conc.Sal.07]))))), 0)</f>
        <v>0</v>
      </c>
      <c r="M23" s="250" t="n">
        <f aca="false" t="array" ref="M23:M23">IFERROR( MEDIAN((IF(DATOS_[[Sexo]:[Sexo]]=$B23,IF(DATOS_[[AGRUP. VALOR. PTO.]:[AGRUP. VALOR. PTO.]]=$B21,IF(DATOS_[[Check Periodo Ref.]:[Check Periodo Ref.]]="Dentro",DATOS_[Conc.Sal.08]))))), 0)</f>
        <v>0</v>
      </c>
      <c r="N23" s="250" t="n">
        <f aca="false" t="array" ref="N23:N23">IFERROR( MEDIAN((IF(DATOS_[[Sexo]:[Sexo]]=$B23,IF(DATOS_[[AGRUP. VALOR. PTO.]:[AGRUP. VALOR. PTO.]]=$B21,IF(DATOS_[[Check Periodo Ref.]:[Check Periodo Ref.]]="Dentro",DATOS_[Conc.Sal.09]))))), 0)</f>
        <v>0</v>
      </c>
      <c r="O23" s="250" t="n">
        <f aca="false" t="array" ref="O23:O23">IFERROR( MEDIAN((IF(DATOS_[[Sexo]:[Sexo]]=$B23,IF(DATOS_[[AGRUP. VALOR. PTO.]:[AGRUP. VALOR. PTO.]]=$B21,IF(DATOS_[[Check Periodo Ref.]:[Check Periodo Ref.]]="Dentro",DATOS_[Conc.Sal.10]))))), 0)</f>
        <v>0</v>
      </c>
      <c r="P23" s="250" t="n">
        <f aca="false" t="array" ref="P23:P23">IFERROR( MEDIAN((IF(DATOS_[[Sexo]:[Sexo]]=$B23,IF(DATOS_[[AGRUP. VALOR. PTO.]:[AGRUP. VALOR. PTO.]]=$B21,IF(DATOS_[[Check Periodo Ref.]:[Check Periodo Ref.]]="Dentro",DATOS_[Conc.Sal.11]))))), 0)</f>
        <v>0</v>
      </c>
      <c r="Q23" s="250" t="n">
        <f aca="false" t="array" ref="Q23:Q23">IFERROR( MEDIAN((IF(DATOS_[[Sexo]:[Sexo]]=$B23,IF(DATOS_[[AGRUP. VALOR. PTO.]:[AGRUP. VALOR. PTO.]]=$B21,IF(DATOS_[[Check Periodo Ref.]:[Check Periodo Ref.]]="Dentro",DATOS_[Conc.Sal.12]))))), 0)</f>
        <v>0</v>
      </c>
      <c r="R23" s="250" t="n">
        <f aca="false" t="array" ref="R23:R23">IFERROR( MEDIAN((IF(DATOS_[[Sexo]:[Sexo]]=$B23,IF(DATOS_[[AGRUP. VALOR. PTO.]:[AGRUP. VALOR. PTO.]]=$B21,IF(DATOS_[[Check Periodo Ref.]:[Check Periodo Ref.]]="Dentro",DATOS_[Conc.Sal.13]))))), 0)</f>
        <v>0</v>
      </c>
      <c r="S23" s="250" t="n">
        <f aca="false" t="array" ref="S23:S23">IFERROR( MEDIAN((IF(DATOS_[[Sexo]:[Sexo]]=$B23,IF(DATOS_[[AGRUP. VALOR. PTO.]:[AGRUP. VALOR. PTO.]]=$B21,IF(DATOS_[[Check Periodo Ref.]:[Check Periodo Ref.]]="Dentro",DATOS_[Conc.Sal.14]))))), 0)</f>
        <v>0</v>
      </c>
      <c r="T23" s="250" t="n">
        <f aca="false" t="array" ref="T23:T23">IFERROR( MEDIAN((IF(DATOS_[[Sexo]:[Sexo]]=$B23,IF(DATOS_[[AGRUP. VALOR. PTO.]:[AGRUP. VALOR. PTO.]]=$B21,IF(DATOS_[[Check Periodo Ref.]:[Check Periodo Ref.]]="Dentro",DATOS_[Conc.Sal.15]))))), 0)</f>
        <v>0</v>
      </c>
      <c r="U23" s="250" t="n">
        <f aca="false" t="array" ref="U23:U23">IFERROR( MEDIAN((IF(DATOS_[[Sexo]:[Sexo]]=$B23,IF(DATOS_[[AGRUP. VALOR. PTO.]:[AGRUP. VALOR. PTO.]]=$B21,IF(DATOS_[[Check Periodo Ref.]:[Check Periodo Ref.]]="Dentro",DATOS_[Conc.Sal.16]))))), 0)</f>
        <v>0</v>
      </c>
      <c r="V23" s="250" t="n">
        <f aca="false" t="array" ref="V23:V23">IFERROR( MEDIAN((IF(DATOS_[[Sexo]:[Sexo]]=$B23,IF(DATOS_[[AGRUP. VALOR. PTO.]:[AGRUP. VALOR. PTO.]]=$B21,IF(DATOS_[[Check Periodo Ref.]:[Check Periodo Ref.]]="Dentro",DATOS_[Conc.Sal.17]))))), 0)</f>
        <v>0</v>
      </c>
      <c r="W23" s="250" t="n">
        <f aca="false" t="array" ref="W23:W23">IFERROR( MEDIAN((IF(DATOS_[[Sexo]:[Sexo]]=$B23,IF(DATOS_[[AGRUP. VALOR. PTO.]:[AGRUP. VALOR. PTO.]]=$B21,IF(DATOS_[[Check Periodo Ref.]:[Check Periodo Ref.]]="Dentro",DATOS_[Conc.Sal.18]))))), 0)</f>
        <v>0</v>
      </c>
      <c r="X23" s="250" t="n">
        <f aca="false" t="array" ref="X23:X23">IFERROR( MEDIAN((IF(DATOS_[[Sexo]:[Sexo]]=$B23,IF(DATOS_[[AGRUP. VALOR. PTO.]:[AGRUP. VALOR. PTO.]]=$B21,IF(DATOS_[[Check Periodo Ref.]:[Check Periodo Ref.]]="Dentro",DATOS_[Conc.Sal.19]))))), 0)</f>
        <v>0</v>
      </c>
      <c r="Y23" s="250" t="n">
        <f aca="false" t="array" ref="Y23:Y23">IFERROR( MEDIAN((IF(DATOS_[[Sexo]:[Sexo]]=$B23,IF(DATOS_[[AGRUP. VALOR. PTO.]:[AGRUP. VALOR. PTO.]]=$B21,IF(DATOS_[[Check Periodo Ref.]:[Check Periodo Ref.]]="Dentro",DATOS_[Conc.Sal.20]))))), 0)</f>
        <v>0</v>
      </c>
      <c r="Z23" s="250" t="n">
        <f aca="false" t="array" ref="Z23:Z23">IFERROR( MEDIAN((IF(DATOS_[[Sexo]:[Sexo]]=$B23,IF(DATOS_[[AGRUP. VALOR. PTO.]:[AGRUP. VALOR. PTO.]]=$B21,IF(DATOS_[[Check Periodo Ref.]:[Check Periodo Ref.]]="Dentro",DATOS_[Conc.Sal.21]))))), 0)</f>
        <v>0</v>
      </c>
      <c r="AA23" s="250" t="n">
        <f aca="false" t="array" ref="AA23:AA23">IFERROR( MEDIAN((IF(DATOS_[[Sexo]:[Sexo]]=$B23,IF(DATOS_[[AGRUP. VALOR. PTO.]:[AGRUP. VALOR. PTO.]]=$B21,IF(DATOS_[[Check Periodo Ref.]:[Check Periodo Ref.]]="Dentro",DATOS_[Conc.Sal.22]))))), 0)</f>
        <v>0</v>
      </c>
      <c r="AB23" s="250" t="n">
        <f aca="false" t="array" ref="AB23:AB23">IFERROR( MEDIAN((IF(DATOS_[[Sexo]:[Sexo]]=$B23,IF(DATOS_[[AGRUP. VALOR. PTO.]:[AGRUP. VALOR. PTO.]]=$B21,IF(DATOS_[[Check Periodo Ref.]:[Check Periodo Ref.]]="Dentro",DATOS_[Conc.Sal.23]))))), 0)</f>
        <v>0</v>
      </c>
      <c r="AC23" s="250" t="n">
        <f aca="false" t="array" ref="AC23:AC23">IFERROR( MEDIAN((IF(DATOS_[[Sexo]:[Sexo]]=$B23,IF(DATOS_[[AGRUP. VALOR. PTO.]:[AGRUP. VALOR. PTO.]]=$B21,IF(DATOS_[[Check Periodo Ref.]:[Check Periodo Ref.]]="Dentro",DATOS_[Conc.Sal.24]))))), 0)</f>
        <v>0</v>
      </c>
      <c r="AD23" s="250" t="n">
        <f aca="false" t="array" ref="AD23:AD23">IFERROR( MEDIAN((IF(DATOS_[[Sexo]:[Sexo]]=$B23,IF(DATOS_[[AGRUP. VALOR. PTO.]:[AGRUP. VALOR. PTO.]]=$B21,IF(DATOS_[[Check Periodo Ref.]:[Check Periodo Ref.]]="Dentro",DATOS_[Conc.Sal.25]))))), 0)</f>
        <v>0</v>
      </c>
      <c r="AE23" s="250" t="n">
        <f aca="false" t="array" ref="AE23:AE23">IFERROR( MEDIAN((IF(DATOS_[[Sexo]:[Sexo]]=$B23,IF(DATOS_[[AGRUP. VALOR. PTO.]:[AGRUP. VALOR. PTO.]]=$B21,IF(DATOS_[[Check Periodo Ref.]:[Check Periodo Ref.]]="Dentro",DATOS_[Conc.Sal.26]))))), 0)</f>
        <v>0</v>
      </c>
      <c r="AF23" s="250" t="n">
        <f aca="false" t="array" ref="AF23:AF23">IFERROR( MEDIAN((IF(DATOS_[[Sexo]:[Sexo]]=$B23,IF(DATOS_[[AGRUP. VALOR. PTO.]:[AGRUP. VALOR. PTO.]]=$B21,IF(DATOS_[[Check Periodo Ref.]:[Check Periodo Ref.]]="Dentro",DATOS_[Conc.Sal.27]))))), 0)</f>
        <v>0</v>
      </c>
      <c r="AG23" s="250" t="n">
        <f aca="false" t="array" ref="AG23:AG23">IFERROR( MEDIAN((IF(DATOS_[[Sexo]:[Sexo]]=$B23,IF(DATOS_[[AGRUP. VALOR. PTO.]:[AGRUP. VALOR. PTO.]]=$B21,IF(DATOS_[[Check Periodo Ref.]:[Check Periodo Ref.]]="Dentro",DATOS_[Conc.Sal.28]))))), 0)</f>
        <v>0</v>
      </c>
      <c r="AH23" s="250" t="n">
        <f aca="false" t="array" ref="AH23:AH23">IFERROR( MEDIAN((IF(DATOS_[[Sexo]:[Sexo]]=$B23,IF(DATOS_[[AGRUP. VALOR. PTO.]:[AGRUP. VALOR. PTO.]]=$B21,IF(DATOS_[[Check Periodo Ref.]:[Check Periodo Ref.]]="Dentro",DATOS_[Conc.Sal.29]))))), 0)</f>
        <v>0</v>
      </c>
      <c r="AI23" s="250" t="n">
        <f aca="false" t="array" ref="AI23:AI23">IFERROR( MEDIAN((IF(DATOS_[[Sexo]:[Sexo]]=$B23,IF(DATOS_[[AGRUP. VALOR. PTO.]:[AGRUP. VALOR. PTO.]]=$B21,IF(DATOS_[[Check Periodo Ref.]:[Check Periodo Ref.]]="Dentro",DATOS_[Conc.Sal.30]))))), 0)</f>
        <v>0</v>
      </c>
      <c r="AJ23" s="251" t="n">
        <f aca="false" t="array" ref="AJ23:AJ23">IFERROR( MEDIAN(IF(DATOS_[Sexo]=$B23,IF(DATOS_[AGRUP. VALOR. PTO.]=$B21,IF(DATOS_[Check Periodo Ref.]="Dentro",DATOS_[Tot COMPL.SAL Ef],0)))), 0)</f>
        <v>0</v>
      </c>
      <c r="AK23" s="252" t="n">
        <f aca="false" t="array" ref="AK23:AK23">IFERROR( MEDIAN(IF(DATOS_[Sexo]=$B23,IF(DATOS_[AGRUP. VALOR. PTO.]=$B21,IF(DATOS_[Check Periodo Ref.]="Dentro",DATOS_[TOTAL SALARIO Ef],0)))), 0)</f>
        <v>0</v>
      </c>
      <c r="AL23" s="259" t="n">
        <f aca="false" t="array" ref="AL23:AL23">IFERROR( MEDIAN((IF(DATOS_[[Sexo]:[Sexo]]=$B23,IF(DATOS_[[AGRUP. VALOR. PTO.]:[AGRUP. VALOR. PTO.]]=$B21,IF(DATOS_[[Check Periodo Ref.]:[Check Periodo Ref.]]="Dentro",DATOS_[C.Extra.01]))))), 0)</f>
        <v>0</v>
      </c>
      <c r="AM23" s="259" t="n">
        <f aca="false" t="array" ref="AM23:AM23">IFERROR( MEDIAN((IF(DATOS_[[Sexo]:[Sexo]]=$B23,IF(DATOS_[[AGRUP. VALOR. PTO.]:[AGRUP. VALOR. PTO.]]=$B21,IF(DATOS_[[Check Periodo Ref.]:[Check Periodo Ref.]]="Dentro",DATOS_[C.Extra.02]))))), 0)</f>
        <v>0</v>
      </c>
      <c r="AN23" s="259" t="n">
        <f aca="false" t="array" ref="AN23:AN23">IFERROR( MEDIAN((IF(DATOS_[[Sexo]:[Sexo]]=$B23,IF(DATOS_[[AGRUP. VALOR. PTO.]:[AGRUP. VALOR. PTO.]]=$B21,IF(DATOS_[[Check Periodo Ref.]:[Check Periodo Ref.]]="Dentro",DATOS_[C.Extra.03]))))), 0)</f>
        <v>0</v>
      </c>
      <c r="AO23" s="259" t="n">
        <f aca="false" t="array" ref="AO23:AO23">IFERROR( MEDIAN((IF(DATOS_[[Sexo]:[Sexo]]=$B23,IF(DATOS_[[AGRUP. VALOR. PTO.]:[AGRUP. VALOR. PTO.]]=$B21,IF(DATOS_[[Check Periodo Ref.]:[Check Periodo Ref.]]="Dentro",DATOS_[C.Extra.04]))))), 0)</f>
        <v>0</v>
      </c>
      <c r="AP23" s="259" t="n">
        <f aca="false" t="array" ref="AP23:AP23">IFERROR( MEDIAN((IF(DATOS_[[Sexo]:[Sexo]]=$B23,IF(DATOS_[[AGRUP. VALOR. PTO.]:[AGRUP. VALOR. PTO.]]=$B21,IF(DATOS_[[Check Periodo Ref.]:[Check Periodo Ref.]]="Dentro",DATOS_[C.Extra.05]))))), 0)</f>
        <v>0</v>
      </c>
      <c r="AQ23" s="254" t="n">
        <f aca="false" t="array" ref="AQ23:AQ23">IFERROR( MEDIAN(IF(DATOS_[Sexo]=$B23,IF(DATOS_[AGRUP. VALOR. PTO.]=$B21,IF(DATOS_[Check Periodo Ref.]="Dentro",DATOS_[Tot Extrasalarial Ef],0)))), 0)</f>
        <v>0</v>
      </c>
      <c r="AR23" s="255" t="n">
        <f aca="false" t="array" ref="AR23:AR23">IFERROR( MEDIAN(IF(DATOS_[Sexo]=$B23,IF(DATOS_[AGRUP. VALOR. PTO.]=$B21,IF(DATOS_[Check Periodo Ref.]="Dentro",DATOS_[TOTAL Retrib Ef],0)))), 0)</f>
        <v>0</v>
      </c>
    </row>
    <row r="24" customFormat="false" ht="15.75" hidden="false" customHeight="false" outlineLevel="0" collapsed="false">
      <c r="A24" s="217" t="str">
        <f aca="false">+A25</f>
        <v>[ocultar]</v>
      </c>
      <c r="B24" s="235" t="s">
        <v>180</v>
      </c>
      <c r="C24" s="236"/>
      <c r="D24" s="237"/>
      <c r="E24" s="238" t="str">
        <f aca="false">IFERROR((E25-E26)/E25,"")</f>
        <v/>
      </c>
      <c r="F24" s="239" t="str">
        <f aca="false">IFERROR((F25-F26)/F25,"")</f>
        <v/>
      </c>
      <c r="G24" s="239" t="str">
        <f aca="false">IFERROR((G25-G26)/G25,"")</f>
        <v/>
      </c>
      <c r="H24" s="239" t="str">
        <f aca="false">IFERROR((H25-H26)/H25,"")</f>
        <v/>
      </c>
      <c r="I24" s="239"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40" t="str">
        <f aca="false">IFERROR((V25-V26)/V25,"")</f>
        <v/>
      </c>
      <c r="W24" s="240" t="str">
        <f aca="false">IFERROR((W25-W26)/W25,"")</f>
        <v/>
      </c>
      <c r="X24" s="240" t="str">
        <f aca="false">IFERROR((X25-X26)/X25,"")</f>
        <v/>
      </c>
      <c r="Y24" s="240"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1" t="str">
        <f aca="false">IFERROR((AJ25-AJ26)/AJ25,"")</f>
        <v/>
      </c>
      <c r="AK24" s="242" t="str">
        <f aca="false">IFERROR((AK25-AK26)/AK25,"")</f>
        <v/>
      </c>
      <c r="AL24" s="243" t="str">
        <f aca="false">IFERROR((AL25-AL26)/AL25,"")</f>
        <v/>
      </c>
      <c r="AM24" s="243" t="str">
        <f aca="false">IFERROR((AM25-AM26)/AM25,"")</f>
        <v/>
      </c>
      <c r="AN24" s="243" t="str">
        <f aca="false">IFERROR((AN25-AN26)/AN25,"")</f>
        <v/>
      </c>
      <c r="AO24" s="243" t="str">
        <f aca="false">IFERROR((AO25-AO26)/AO25,"")</f>
        <v/>
      </c>
      <c r="AP24" s="243" t="str">
        <f aca="false">IFERROR((AP25-AP26)/AP25,"")</f>
        <v/>
      </c>
      <c r="AQ24" s="244" t="str">
        <f aca="false">IFERROR((AQ25-AQ26)/AQ25,"")</f>
        <v/>
      </c>
      <c r="AR24" s="245" t="str">
        <f aca="false">IFERROR((AR25-AR26)/AR25,"")</f>
        <v/>
      </c>
    </row>
    <row r="25" customFormat="false" ht="14.25" hidden="false" customHeight="false" outlineLevel="0" collapsed="false">
      <c r="A25" s="217" t="str">
        <f aca="false">+IF(C25+C26=0,"[ocultar]","")</f>
        <v>[ocultar]</v>
      </c>
      <c r="B25" s="246" t="s">
        <v>371</v>
      </c>
      <c r="C25" s="247" t="n">
        <f aca="false" t="array" ref="C25:C25">SUM(IF($B25=DATOS_[Sexo], IF($B24=DATOS_[AGRUP. VALOR. PTO.], IF("Dentro"=DATOS_[Check Periodo Ref.], 1/(COUNTIFS(DATOS_[Sexo],$B25,DATOS_[AGRUP. VALOR. PTO.],$B24,DATOS_[Check Periodo Ref.],"Dentro",DATOS_[id],DATOS_[id]))))))</f>
        <v>0</v>
      </c>
      <c r="D25" s="248" t="n">
        <f aca="false">COUNTIFS(DATOS_[AGRUP. VALOR. PTO.],$B24,DATOS_[Sexo],$B25,DATOS_[Check Periodo Ref.],"Dentro")</f>
        <v>0</v>
      </c>
      <c r="E25" s="249" t="n">
        <f aca="false" t="array" ref="E25:E25">IFERROR( MEDIAN(IF(DATOS_[Sexo]=$B25,IF(DATOS_[AGRUP. VALOR. PTO.]=$B24,IF(DATOS_[Check Periodo Ref.]="Dentro",DATOS_[SALARIO BASE Ef],0)))), 0)</f>
        <v>0</v>
      </c>
      <c r="F25" s="250" t="n">
        <f aca="false" t="array" ref="F25:F25">IFERROR( MEDIAN((IF(DATOS_[[Sexo]:[Sexo]]=$B25,IF(DATOS_[[AGRUP. VALOR. PTO.]:[AGRUP. VALOR. PTO.]]=$B24,IF(DATOS_[[Check Periodo Ref.]:[Check Periodo Ref.]]="Dentro",DATOS_[Conc.Sal.01]))))), 0)</f>
        <v>0</v>
      </c>
      <c r="G25" s="250" t="n">
        <f aca="false" t="array" ref="G25:G25">IFERROR( MEDIAN((IF(DATOS_[[Sexo]:[Sexo]]=$B25,IF(DATOS_[[AGRUP. VALOR. PTO.]:[AGRUP. VALOR. PTO.]]=$B24,IF(DATOS_[[Check Periodo Ref.]:[Check Periodo Ref.]]="Dentro",DATOS_[Conc.Sal.02]))))), 0)</f>
        <v>0</v>
      </c>
      <c r="H25" s="250" t="n">
        <f aca="false" t="array" ref="H25:H25">IFERROR( MEDIAN((IF(DATOS_[[Sexo]:[Sexo]]=$B25,IF(DATOS_[[AGRUP. VALOR. PTO.]:[AGRUP. VALOR. PTO.]]=$B24,IF(DATOS_[[Check Periodo Ref.]:[Check Periodo Ref.]]="Dentro",DATOS_[Conc.Sal.03]))))), 0)</f>
        <v>0</v>
      </c>
      <c r="I25" s="250" t="n">
        <f aca="false" t="array" ref="I25:I25">IFERROR( MEDIAN((IF(DATOS_[[Sexo]:[Sexo]]=$B25,IF(DATOS_[[AGRUP. VALOR. PTO.]:[AGRUP. VALOR. PTO.]]=$B24,IF(DATOS_[[Check Periodo Ref.]:[Check Periodo Ref.]]="Dentro",DATOS_[Conc.Sal.04]))))), 0)</f>
        <v>0</v>
      </c>
      <c r="J25" s="250" t="n">
        <f aca="false" t="array" ref="J25:J25">IFERROR( MEDIAN((IF(DATOS_[[Sexo]:[Sexo]]=$B25,IF(DATOS_[[AGRUP. VALOR. PTO.]:[AGRUP. VALOR. PTO.]]=$B24,IF(DATOS_[[Check Periodo Ref.]:[Check Periodo Ref.]]="Dentro",DATOS_[Conc.Sal.05]))))), 0)</f>
        <v>0</v>
      </c>
      <c r="K25" s="250" t="n">
        <f aca="false" t="array" ref="K25:K25">IFERROR( MEDIAN((IF(DATOS_[[Sexo]:[Sexo]]=$B25,IF(DATOS_[[AGRUP. VALOR. PTO.]:[AGRUP. VALOR. PTO.]]=$B24,IF(DATOS_[[Check Periodo Ref.]:[Check Periodo Ref.]]="Dentro",DATOS_[Conc.Sal.06]))))), 0)</f>
        <v>0</v>
      </c>
      <c r="L25" s="250" t="n">
        <f aca="false" t="array" ref="L25:L25">IFERROR( MEDIAN((IF(DATOS_[[Sexo]:[Sexo]]=$B25,IF(DATOS_[[AGRUP. VALOR. PTO.]:[AGRUP. VALOR. PTO.]]=$B24,IF(DATOS_[[Check Periodo Ref.]:[Check Periodo Ref.]]="Dentro",DATOS_[Conc.Sal.07]))))), 0)</f>
        <v>0</v>
      </c>
      <c r="M25" s="250" t="n">
        <f aca="false" t="array" ref="M25:M25">IFERROR( MEDIAN((IF(DATOS_[[Sexo]:[Sexo]]=$B25,IF(DATOS_[[AGRUP. VALOR. PTO.]:[AGRUP. VALOR. PTO.]]=$B24,IF(DATOS_[[Check Periodo Ref.]:[Check Periodo Ref.]]="Dentro",DATOS_[Conc.Sal.08]))))), 0)</f>
        <v>0</v>
      </c>
      <c r="N25" s="250" t="n">
        <f aca="false" t="array" ref="N25:N25">IFERROR( MEDIAN((IF(DATOS_[[Sexo]:[Sexo]]=$B25,IF(DATOS_[[AGRUP. VALOR. PTO.]:[AGRUP. VALOR. PTO.]]=$B24,IF(DATOS_[[Check Periodo Ref.]:[Check Periodo Ref.]]="Dentro",DATOS_[Conc.Sal.09]))))), 0)</f>
        <v>0</v>
      </c>
      <c r="O25" s="250" t="n">
        <f aca="false" t="array" ref="O25:O25">IFERROR( MEDIAN((IF(DATOS_[[Sexo]:[Sexo]]=$B25,IF(DATOS_[[AGRUP. VALOR. PTO.]:[AGRUP. VALOR. PTO.]]=$B24,IF(DATOS_[[Check Periodo Ref.]:[Check Periodo Ref.]]="Dentro",DATOS_[Conc.Sal.10]))))), 0)</f>
        <v>0</v>
      </c>
      <c r="P25" s="250" t="n">
        <f aca="false" t="array" ref="P25:P25">IFERROR( MEDIAN((IF(DATOS_[[Sexo]:[Sexo]]=$B25,IF(DATOS_[[AGRUP. VALOR. PTO.]:[AGRUP. VALOR. PTO.]]=$B24,IF(DATOS_[[Check Periodo Ref.]:[Check Periodo Ref.]]="Dentro",DATOS_[Conc.Sal.11]))))), 0)</f>
        <v>0</v>
      </c>
      <c r="Q25" s="250" t="n">
        <f aca="false" t="array" ref="Q25:Q25">IFERROR( MEDIAN((IF(DATOS_[[Sexo]:[Sexo]]=$B25,IF(DATOS_[[AGRUP. VALOR. PTO.]:[AGRUP. VALOR. PTO.]]=$B24,IF(DATOS_[[Check Periodo Ref.]:[Check Periodo Ref.]]="Dentro",DATOS_[Conc.Sal.12]))))), 0)</f>
        <v>0</v>
      </c>
      <c r="R25" s="250" t="n">
        <f aca="false" t="array" ref="R25:R25">IFERROR( MEDIAN((IF(DATOS_[[Sexo]:[Sexo]]=$B25,IF(DATOS_[[AGRUP. VALOR. PTO.]:[AGRUP. VALOR. PTO.]]=$B24,IF(DATOS_[[Check Periodo Ref.]:[Check Periodo Ref.]]="Dentro",DATOS_[Conc.Sal.13]))))), 0)</f>
        <v>0</v>
      </c>
      <c r="S25" s="250" t="n">
        <f aca="false" t="array" ref="S25:S25">IFERROR( MEDIAN((IF(DATOS_[[Sexo]:[Sexo]]=$B25,IF(DATOS_[[AGRUP. VALOR. PTO.]:[AGRUP. VALOR. PTO.]]=$B24,IF(DATOS_[[Check Periodo Ref.]:[Check Periodo Ref.]]="Dentro",DATOS_[Conc.Sal.14]))))), 0)</f>
        <v>0</v>
      </c>
      <c r="T25" s="250" t="n">
        <f aca="false" t="array" ref="T25:T25">IFERROR( MEDIAN((IF(DATOS_[[Sexo]:[Sexo]]=$B25,IF(DATOS_[[AGRUP. VALOR. PTO.]:[AGRUP. VALOR. PTO.]]=$B24,IF(DATOS_[[Check Periodo Ref.]:[Check Periodo Ref.]]="Dentro",DATOS_[Conc.Sal.15]))))), 0)</f>
        <v>0</v>
      </c>
      <c r="U25" s="250" t="n">
        <f aca="false" t="array" ref="U25:U25">IFERROR( MEDIAN((IF(DATOS_[[Sexo]:[Sexo]]=$B25,IF(DATOS_[[AGRUP. VALOR. PTO.]:[AGRUP. VALOR. PTO.]]=$B24,IF(DATOS_[[Check Periodo Ref.]:[Check Periodo Ref.]]="Dentro",DATOS_[Conc.Sal.16]))))), 0)</f>
        <v>0</v>
      </c>
      <c r="V25" s="250" t="n">
        <f aca="false" t="array" ref="V25:V25">IFERROR( MEDIAN((IF(DATOS_[[Sexo]:[Sexo]]=$B25,IF(DATOS_[[AGRUP. VALOR. PTO.]:[AGRUP. VALOR. PTO.]]=$B24,IF(DATOS_[[Check Periodo Ref.]:[Check Periodo Ref.]]="Dentro",DATOS_[Conc.Sal.17]))))), 0)</f>
        <v>0</v>
      </c>
      <c r="W25" s="250" t="n">
        <f aca="false" t="array" ref="W25:W25">IFERROR( MEDIAN((IF(DATOS_[[Sexo]:[Sexo]]=$B25,IF(DATOS_[[AGRUP. VALOR. PTO.]:[AGRUP. VALOR. PTO.]]=$B24,IF(DATOS_[[Check Periodo Ref.]:[Check Periodo Ref.]]="Dentro",DATOS_[Conc.Sal.18]))))), 0)</f>
        <v>0</v>
      </c>
      <c r="X25" s="250" t="n">
        <f aca="false" t="array" ref="X25:X25">IFERROR( MEDIAN((IF(DATOS_[[Sexo]:[Sexo]]=$B25,IF(DATOS_[[AGRUP. VALOR. PTO.]:[AGRUP. VALOR. PTO.]]=$B24,IF(DATOS_[[Check Periodo Ref.]:[Check Periodo Ref.]]="Dentro",DATOS_[Conc.Sal.19]))))), 0)</f>
        <v>0</v>
      </c>
      <c r="Y25" s="250" t="n">
        <f aca="false" t="array" ref="Y25:Y25">IFERROR( MEDIAN((IF(DATOS_[[Sexo]:[Sexo]]=$B25,IF(DATOS_[[AGRUP. VALOR. PTO.]:[AGRUP. VALOR. PTO.]]=$B24,IF(DATOS_[[Check Periodo Ref.]:[Check Periodo Ref.]]="Dentro",DATOS_[Conc.Sal.20]))))), 0)</f>
        <v>0</v>
      </c>
      <c r="Z25" s="250" t="n">
        <f aca="false" t="array" ref="Z25:Z25">IFERROR( MEDIAN((IF(DATOS_[[Sexo]:[Sexo]]=$B25,IF(DATOS_[[AGRUP. VALOR. PTO.]:[AGRUP. VALOR. PTO.]]=$B24,IF(DATOS_[[Check Periodo Ref.]:[Check Periodo Ref.]]="Dentro",DATOS_[Conc.Sal.21]))))), 0)</f>
        <v>0</v>
      </c>
      <c r="AA25" s="250" t="n">
        <f aca="false" t="array" ref="AA25:AA25">IFERROR( MEDIAN((IF(DATOS_[[Sexo]:[Sexo]]=$B25,IF(DATOS_[[AGRUP. VALOR. PTO.]:[AGRUP. VALOR. PTO.]]=$B24,IF(DATOS_[[Check Periodo Ref.]:[Check Periodo Ref.]]="Dentro",DATOS_[Conc.Sal.22]))))), 0)</f>
        <v>0</v>
      </c>
      <c r="AB25" s="250" t="n">
        <f aca="false" t="array" ref="AB25:AB25">IFERROR( MEDIAN((IF(DATOS_[[Sexo]:[Sexo]]=$B25,IF(DATOS_[[AGRUP. VALOR. PTO.]:[AGRUP. VALOR. PTO.]]=$B24,IF(DATOS_[[Check Periodo Ref.]:[Check Periodo Ref.]]="Dentro",DATOS_[Conc.Sal.23]))))), 0)</f>
        <v>0</v>
      </c>
      <c r="AC25" s="250" t="n">
        <f aca="false" t="array" ref="AC25:AC25">IFERROR( MEDIAN((IF(DATOS_[[Sexo]:[Sexo]]=$B25,IF(DATOS_[[AGRUP. VALOR. PTO.]:[AGRUP. VALOR. PTO.]]=$B24,IF(DATOS_[[Check Periodo Ref.]:[Check Periodo Ref.]]="Dentro",DATOS_[Conc.Sal.24]))))), 0)</f>
        <v>0</v>
      </c>
      <c r="AD25" s="250" t="n">
        <f aca="false" t="array" ref="AD25:AD25">IFERROR( MEDIAN((IF(DATOS_[[Sexo]:[Sexo]]=$B25,IF(DATOS_[[AGRUP. VALOR. PTO.]:[AGRUP. VALOR. PTO.]]=$B24,IF(DATOS_[[Check Periodo Ref.]:[Check Periodo Ref.]]="Dentro",DATOS_[Conc.Sal.25]))))), 0)</f>
        <v>0</v>
      </c>
      <c r="AE25" s="250" t="n">
        <f aca="false" t="array" ref="AE25:AE25">IFERROR( MEDIAN((IF(DATOS_[[Sexo]:[Sexo]]=$B25,IF(DATOS_[[AGRUP. VALOR. PTO.]:[AGRUP. VALOR. PTO.]]=$B24,IF(DATOS_[[Check Periodo Ref.]:[Check Periodo Ref.]]="Dentro",DATOS_[Conc.Sal.26]))))), 0)</f>
        <v>0</v>
      </c>
      <c r="AF25" s="250" t="n">
        <f aca="false" t="array" ref="AF25:AF25">IFERROR( MEDIAN((IF(DATOS_[[Sexo]:[Sexo]]=$B25,IF(DATOS_[[AGRUP. VALOR. PTO.]:[AGRUP. VALOR. PTO.]]=$B24,IF(DATOS_[[Check Periodo Ref.]:[Check Periodo Ref.]]="Dentro",DATOS_[Conc.Sal.27]))))), 0)</f>
        <v>0</v>
      </c>
      <c r="AG25" s="250" t="n">
        <f aca="false" t="array" ref="AG25:AG25">IFERROR( MEDIAN((IF(DATOS_[[Sexo]:[Sexo]]=$B25,IF(DATOS_[[AGRUP. VALOR. PTO.]:[AGRUP. VALOR. PTO.]]=$B24,IF(DATOS_[[Check Periodo Ref.]:[Check Periodo Ref.]]="Dentro",DATOS_[Conc.Sal.28]))))), 0)</f>
        <v>0</v>
      </c>
      <c r="AH25" s="250" t="n">
        <f aca="false" t="array" ref="AH25:AH25">IFERROR( MEDIAN((IF(DATOS_[[Sexo]:[Sexo]]=$B25,IF(DATOS_[[AGRUP. VALOR. PTO.]:[AGRUP. VALOR. PTO.]]=$B24,IF(DATOS_[[Check Periodo Ref.]:[Check Periodo Ref.]]="Dentro",DATOS_[Conc.Sal.29]))))), 0)</f>
        <v>0</v>
      </c>
      <c r="AI25" s="250" t="n">
        <f aca="false" t="array" ref="AI25:AI25">IFERROR( MEDIAN((IF(DATOS_[[Sexo]:[Sexo]]=$B25,IF(DATOS_[[AGRUP. VALOR. PTO.]:[AGRUP. VALOR. PTO.]]=$B24,IF(DATOS_[[Check Periodo Ref.]:[Check Periodo Ref.]]="Dentro",DATOS_[Conc.Sal.30]))))), 0)</f>
        <v>0</v>
      </c>
      <c r="AJ25" s="251" t="n">
        <f aca="false" t="array" ref="AJ25:AJ25">IFERROR( MEDIAN(IF(DATOS_[Sexo]=$B25,IF(DATOS_[AGRUP. VALOR. PTO.]=$B24,IF(DATOS_[Check Periodo Ref.]="Dentro",DATOS_[Tot COMPL.SAL Ef],0)))), 0)</f>
        <v>0</v>
      </c>
      <c r="AK25" s="252" t="n">
        <f aca="false" t="array" ref="AK25:AK25">IFERROR( MEDIAN(IF(DATOS_[Sexo]=$B25,IF(DATOS_[AGRUP. VALOR. PTO.]=$B24,IF(DATOS_[Check Periodo Ref.]="Dentro",DATOS_[TOTAL SALARIO Ef],0)))), 0)</f>
        <v>0</v>
      </c>
      <c r="AL25" s="259" t="n">
        <f aca="false" t="array" ref="AL25:AL25">IFERROR( MEDIAN((IF(DATOS_[[Sexo]:[Sexo]]=$B25,IF(DATOS_[[AGRUP. VALOR. PTO.]:[AGRUP. VALOR. PTO.]]=$B24,IF(DATOS_[[Check Periodo Ref.]:[Check Periodo Ref.]]="Dentro",DATOS_[C.Extra.01]))))), 0)</f>
        <v>0</v>
      </c>
      <c r="AM25" s="259" t="n">
        <f aca="false" t="array" ref="AM25:AM25">IFERROR( MEDIAN((IF(DATOS_[[Sexo]:[Sexo]]=$B25,IF(DATOS_[[AGRUP. VALOR. PTO.]:[AGRUP. VALOR. PTO.]]=$B24,IF(DATOS_[[Check Periodo Ref.]:[Check Periodo Ref.]]="Dentro",DATOS_[C.Extra.02]))))), 0)</f>
        <v>0</v>
      </c>
      <c r="AN25" s="259" t="n">
        <f aca="false" t="array" ref="AN25:AN25">IFERROR( MEDIAN((IF(DATOS_[[Sexo]:[Sexo]]=$B25,IF(DATOS_[[AGRUP. VALOR. PTO.]:[AGRUP. VALOR. PTO.]]=$B24,IF(DATOS_[[Check Periodo Ref.]:[Check Periodo Ref.]]="Dentro",DATOS_[C.Extra.03]))))), 0)</f>
        <v>0</v>
      </c>
      <c r="AO25" s="259" t="n">
        <f aca="false" t="array" ref="AO25:AO25">IFERROR( MEDIAN((IF(DATOS_[[Sexo]:[Sexo]]=$B25,IF(DATOS_[[AGRUP. VALOR. PTO.]:[AGRUP. VALOR. PTO.]]=$B24,IF(DATOS_[[Check Periodo Ref.]:[Check Periodo Ref.]]="Dentro",DATOS_[C.Extra.04]))))), 0)</f>
        <v>0</v>
      </c>
      <c r="AP25" s="259" t="n">
        <f aca="false" t="array" ref="AP25:AP25">IFERROR( MEDIAN((IF(DATOS_[[Sexo]:[Sexo]]=$B25,IF(DATOS_[[AGRUP. VALOR. PTO.]:[AGRUP. VALOR. PTO.]]=$B24,IF(DATOS_[[Check Periodo Ref.]:[Check Periodo Ref.]]="Dentro",DATOS_[C.Extra.05]))))), 0)</f>
        <v>0</v>
      </c>
      <c r="AQ25" s="254" t="n">
        <f aca="false" t="array" ref="AQ25:AQ25">IFERROR( MEDIAN(IF(DATOS_[Sexo]=$B25,IF(DATOS_[AGRUP. VALOR. PTO.]=$B24,IF(DATOS_[Check Periodo Ref.]="Dentro",DATOS_[Tot Extrasalarial Ef],0)))), 0)</f>
        <v>0</v>
      </c>
      <c r="AR25" s="255" t="n">
        <f aca="false" t="array" ref="AR25:AR25">IFERROR( MEDIAN(IF(DATOS_[Sexo]=$B25,IF(DATOS_[AGRUP. VALOR. PTO.]=$B24,IF(DATOS_[Check Periodo Ref.]="Dentro",DATOS_[TOTAL Retrib Ef],0)))), 0)</f>
        <v>0</v>
      </c>
    </row>
    <row r="26" customFormat="false" ht="14.25" hidden="false" customHeight="false" outlineLevel="0" collapsed="false">
      <c r="A26" s="217" t="str">
        <f aca="false">+A25</f>
        <v>[ocultar]</v>
      </c>
      <c r="B26" s="246" t="s">
        <v>372</v>
      </c>
      <c r="C26" s="247" t="n">
        <f aca="false" t="array" ref="C26:C26">SUM(IF($B26=DATOS_[Sexo], IF($B24=DATOS_[AGRUP. VALOR. PTO.], IF("Dentro"=DATOS_[Check Periodo Ref.], 1/(COUNTIFS(DATOS_[Sexo],$B26,DATOS_[AGRUP. VALOR. PTO.],$B24,DATOS_[Check Periodo Ref.],"Dentro",DATOS_[id],DATOS_[id]))))))</f>
        <v>0</v>
      </c>
      <c r="D26" s="248" t="n">
        <f aca="false">COUNTIFS(DATOS_[AGRUP. VALOR. PTO.],$B24,DATOS_[Sexo],$B26,DATOS_[Check Periodo Ref.],"Dentro")</f>
        <v>0</v>
      </c>
      <c r="E26" s="249" t="n">
        <f aca="false" t="array" ref="E26:E26">IFERROR( MEDIAN(IF(DATOS_[Sexo]=$B26,IF(DATOS_[AGRUP. VALOR. PTO.]=$B24,IF(DATOS_[Check Periodo Ref.]="Dentro",DATOS_[SALARIO BASE Ef],0)))), 0)</f>
        <v>0</v>
      </c>
      <c r="F26" s="250" t="n">
        <f aca="false" t="array" ref="F26:F26">IFERROR( MEDIAN((IF(DATOS_[[Sexo]:[Sexo]]=$B26,IF(DATOS_[[AGRUP. VALOR. PTO.]:[AGRUP. VALOR. PTO.]]=$B24,IF(DATOS_[[Check Periodo Ref.]:[Check Periodo Ref.]]="Dentro",DATOS_[Conc.Sal.01]))))), 0)</f>
        <v>0</v>
      </c>
      <c r="G26" s="250" t="n">
        <f aca="false" t="array" ref="G26:G26">IFERROR( MEDIAN((IF(DATOS_[[Sexo]:[Sexo]]=$B26,IF(DATOS_[[AGRUP. VALOR. PTO.]:[AGRUP. VALOR. PTO.]]=$B24,IF(DATOS_[[Check Periodo Ref.]:[Check Periodo Ref.]]="Dentro",DATOS_[Conc.Sal.02]))))), 0)</f>
        <v>0</v>
      </c>
      <c r="H26" s="250" t="n">
        <f aca="false" t="array" ref="H26:H26">IFERROR( MEDIAN((IF(DATOS_[[Sexo]:[Sexo]]=$B26,IF(DATOS_[[AGRUP. VALOR. PTO.]:[AGRUP. VALOR. PTO.]]=$B24,IF(DATOS_[[Check Periodo Ref.]:[Check Periodo Ref.]]="Dentro",DATOS_[Conc.Sal.03]))))), 0)</f>
        <v>0</v>
      </c>
      <c r="I26" s="250" t="n">
        <f aca="false" t="array" ref="I26:I26">IFERROR( MEDIAN((IF(DATOS_[[Sexo]:[Sexo]]=$B26,IF(DATOS_[[AGRUP. VALOR. PTO.]:[AGRUP. VALOR. PTO.]]=$B24,IF(DATOS_[[Check Periodo Ref.]:[Check Periodo Ref.]]="Dentro",DATOS_[Conc.Sal.04]))))), 0)</f>
        <v>0</v>
      </c>
      <c r="J26" s="250" t="n">
        <f aca="false" t="array" ref="J26:J26">IFERROR( MEDIAN((IF(DATOS_[[Sexo]:[Sexo]]=$B26,IF(DATOS_[[AGRUP. VALOR. PTO.]:[AGRUP. VALOR. PTO.]]=$B24,IF(DATOS_[[Check Periodo Ref.]:[Check Periodo Ref.]]="Dentro",DATOS_[Conc.Sal.05]))))), 0)</f>
        <v>0</v>
      </c>
      <c r="K26" s="250" t="n">
        <f aca="false" t="array" ref="K26:K26">IFERROR( MEDIAN((IF(DATOS_[[Sexo]:[Sexo]]=$B26,IF(DATOS_[[AGRUP. VALOR. PTO.]:[AGRUP. VALOR. PTO.]]=$B24,IF(DATOS_[[Check Periodo Ref.]:[Check Periodo Ref.]]="Dentro",DATOS_[Conc.Sal.06]))))), 0)</f>
        <v>0</v>
      </c>
      <c r="L26" s="250" t="n">
        <f aca="false" t="array" ref="L26:L26">IFERROR( MEDIAN((IF(DATOS_[[Sexo]:[Sexo]]=$B26,IF(DATOS_[[AGRUP. VALOR. PTO.]:[AGRUP. VALOR. PTO.]]=$B24,IF(DATOS_[[Check Periodo Ref.]:[Check Periodo Ref.]]="Dentro",DATOS_[Conc.Sal.07]))))), 0)</f>
        <v>0</v>
      </c>
      <c r="M26" s="250" t="n">
        <f aca="false" t="array" ref="M26:M26">IFERROR( MEDIAN((IF(DATOS_[[Sexo]:[Sexo]]=$B26,IF(DATOS_[[AGRUP. VALOR. PTO.]:[AGRUP. VALOR. PTO.]]=$B24,IF(DATOS_[[Check Periodo Ref.]:[Check Periodo Ref.]]="Dentro",DATOS_[Conc.Sal.08]))))), 0)</f>
        <v>0</v>
      </c>
      <c r="N26" s="250" t="n">
        <f aca="false" t="array" ref="N26:N26">IFERROR( MEDIAN((IF(DATOS_[[Sexo]:[Sexo]]=$B26,IF(DATOS_[[AGRUP. VALOR. PTO.]:[AGRUP. VALOR. PTO.]]=$B24,IF(DATOS_[[Check Periodo Ref.]:[Check Periodo Ref.]]="Dentro",DATOS_[Conc.Sal.09]))))), 0)</f>
        <v>0</v>
      </c>
      <c r="O26" s="250" t="n">
        <f aca="false" t="array" ref="O26:O26">IFERROR( MEDIAN((IF(DATOS_[[Sexo]:[Sexo]]=$B26,IF(DATOS_[[AGRUP. VALOR. PTO.]:[AGRUP. VALOR. PTO.]]=$B24,IF(DATOS_[[Check Periodo Ref.]:[Check Periodo Ref.]]="Dentro",DATOS_[Conc.Sal.10]))))), 0)</f>
        <v>0</v>
      </c>
      <c r="P26" s="250" t="n">
        <f aca="false" t="array" ref="P26:P26">IFERROR( MEDIAN((IF(DATOS_[[Sexo]:[Sexo]]=$B26,IF(DATOS_[[AGRUP. VALOR. PTO.]:[AGRUP. VALOR. PTO.]]=$B24,IF(DATOS_[[Check Periodo Ref.]:[Check Periodo Ref.]]="Dentro",DATOS_[Conc.Sal.11]))))), 0)</f>
        <v>0</v>
      </c>
      <c r="Q26" s="250" t="n">
        <f aca="false" t="array" ref="Q26:Q26">IFERROR( MEDIAN((IF(DATOS_[[Sexo]:[Sexo]]=$B26,IF(DATOS_[[AGRUP. VALOR. PTO.]:[AGRUP. VALOR. PTO.]]=$B24,IF(DATOS_[[Check Periodo Ref.]:[Check Periodo Ref.]]="Dentro",DATOS_[Conc.Sal.12]))))), 0)</f>
        <v>0</v>
      </c>
      <c r="R26" s="250" t="n">
        <f aca="false" t="array" ref="R26:R26">IFERROR( MEDIAN((IF(DATOS_[[Sexo]:[Sexo]]=$B26,IF(DATOS_[[AGRUP. VALOR. PTO.]:[AGRUP. VALOR. PTO.]]=$B24,IF(DATOS_[[Check Periodo Ref.]:[Check Periodo Ref.]]="Dentro",DATOS_[Conc.Sal.13]))))), 0)</f>
        <v>0</v>
      </c>
      <c r="S26" s="250" t="n">
        <f aca="false" t="array" ref="S26:S26">IFERROR( MEDIAN((IF(DATOS_[[Sexo]:[Sexo]]=$B26,IF(DATOS_[[AGRUP. VALOR. PTO.]:[AGRUP. VALOR. PTO.]]=$B24,IF(DATOS_[[Check Periodo Ref.]:[Check Periodo Ref.]]="Dentro",DATOS_[Conc.Sal.14]))))), 0)</f>
        <v>0</v>
      </c>
      <c r="T26" s="250" t="n">
        <f aca="false" t="array" ref="T26:T26">IFERROR( MEDIAN((IF(DATOS_[[Sexo]:[Sexo]]=$B26,IF(DATOS_[[AGRUP. VALOR. PTO.]:[AGRUP. VALOR. PTO.]]=$B24,IF(DATOS_[[Check Periodo Ref.]:[Check Periodo Ref.]]="Dentro",DATOS_[Conc.Sal.15]))))), 0)</f>
        <v>0</v>
      </c>
      <c r="U26" s="250" t="n">
        <f aca="false" t="array" ref="U26:U26">IFERROR( MEDIAN((IF(DATOS_[[Sexo]:[Sexo]]=$B26,IF(DATOS_[[AGRUP. VALOR. PTO.]:[AGRUP. VALOR. PTO.]]=$B24,IF(DATOS_[[Check Periodo Ref.]:[Check Periodo Ref.]]="Dentro",DATOS_[Conc.Sal.16]))))), 0)</f>
        <v>0</v>
      </c>
      <c r="V26" s="250" t="n">
        <f aca="false" t="array" ref="V26:V26">IFERROR( MEDIAN((IF(DATOS_[[Sexo]:[Sexo]]=$B26,IF(DATOS_[[AGRUP. VALOR. PTO.]:[AGRUP. VALOR. PTO.]]=$B24,IF(DATOS_[[Check Periodo Ref.]:[Check Periodo Ref.]]="Dentro",DATOS_[Conc.Sal.17]))))), 0)</f>
        <v>0</v>
      </c>
      <c r="W26" s="250" t="n">
        <f aca="false" t="array" ref="W26:W26">IFERROR( MEDIAN((IF(DATOS_[[Sexo]:[Sexo]]=$B26,IF(DATOS_[[AGRUP. VALOR. PTO.]:[AGRUP. VALOR. PTO.]]=$B24,IF(DATOS_[[Check Periodo Ref.]:[Check Periodo Ref.]]="Dentro",DATOS_[Conc.Sal.18]))))), 0)</f>
        <v>0</v>
      </c>
      <c r="X26" s="250" t="n">
        <f aca="false" t="array" ref="X26:X26">IFERROR( MEDIAN((IF(DATOS_[[Sexo]:[Sexo]]=$B26,IF(DATOS_[[AGRUP. VALOR. PTO.]:[AGRUP. VALOR. PTO.]]=$B24,IF(DATOS_[[Check Periodo Ref.]:[Check Periodo Ref.]]="Dentro",DATOS_[Conc.Sal.19]))))), 0)</f>
        <v>0</v>
      </c>
      <c r="Y26" s="250" t="n">
        <f aca="false" t="array" ref="Y26:Y26">IFERROR( MEDIAN((IF(DATOS_[[Sexo]:[Sexo]]=$B26,IF(DATOS_[[AGRUP. VALOR. PTO.]:[AGRUP. VALOR. PTO.]]=$B24,IF(DATOS_[[Check Periodo Ref.]:[Check Periodo Ref.]]="Dentro",DATOS_[Conc.Sal.20]))))), 0)</f>
        <v>0</v>
      </c>
      <c r="Z26" s="250" t="n">
        <f aca="false" t="array" ref="Z26:Z26">IFERROR( MEDIAN((IF(DATOS_[[Sexo]:[Sexo]]=$B26,IF(DATOS_[[AGRUP. VALOR. PTO.]:[AGRUP. VALOR. PTO.]]=$B24,IF(DATOS_[[Check Periodo Ref.]:[Check Periodo Ref.]]="Dentro",DATOS_[Conc.Sal.21]))))), 0)</f>
        <v>0</v>
      </c>
      <c r="AA26" s="250" t="n">
        <f aca="false" t="array" ref="AA26:AA26">IFERROR( MEDIAN((IF(DATOS_[[Sexo]:[Sexo]]=$B26,IF(DATOS_[[AGRUP. VALOR. PTO.]:[AGRUP. VALOR. PTO.]]=$B24,IF(DATOS_[[Check Periodo Ref.]:[Check Periodo Ref.]]="Dentro",DATOS_[Conc.Sal.22]))))), 0)</f>
        <v>0</v>
      </c>
      <c r="AB26" s="250" t="n">
        <f aca="false" t="array" ref="AB26:AB26">IFERROR( MEDIAN((IF(DATOS_[[Sexo]:[Sexo]]=$B26,IF(DATOS_[[AGRUP. VALOR. PTO.]:[AGRUP. VALOR. PTO.]]=$B24,IF(DATOS_[[Check Periodo Ref.]:[Check Periodo Ref.]]="Dentro",DATOS_[Conc.Sal.23]))))), 0)</f>
        <v>0</v>
      </c>
      <c r="AC26" s="250" t="n">
        <f aca="false" t="array" ref="AC26:AC26">IFERROR( MEDIAN((IF(DATOS_[[Sexo]:[Sexo]]=$B26,IF(DATOS_[[AGRUP. VALOR. PTO.]:[AGRUP. VALOR. PTO.]]=$B24,IF(DATOS_[[Check Periodo Ref.]:[Check Periodo Ref.]]="Dentro",DATOS_[Conc.Sal.24]))))), 0)</f>
        <v>0</v>
      </c>
      <c r="AD26" s="250" t="n">
        <f aca="false" t="array" ref="AD26:AD26">IFERROR( MEDIAN((IF(DATOS_[[Sexo]:[Sexo]]=$B26,IF(DATOS_[[AGRUP. VALOR. PTO.]:[AGRUP. VALOR. PTO.]]=$B24,IF(DATOS_[[Check Periodo Ref.]:[Check Periodo Ref.]]="Dentro",DATOS_[Conc.Sal.25]))))), 0)</f>
        <v>0</v>
      </c>
      <c r="AE26" s="250" t="n">
        <f aca="false" t="array" ref="AE26:AE26">IFERROR( MEDIAN((IF(DATOS_[[Sexo]:[Sexo]]=$B26,IF(DATOS_[[AGRUP. VALOR. PTO.]:[AGRUP. VALOR. PTO.]]=$B24,IF(DATOS_[[Check Periodo Ref.]:[Check Periodo Ref.]]="Dentro",DATOS_[Conc.Sal.26]))))), 0)</f>
        <v>0</v>
      </c>
      <c r="AF26" s="250" t="n">
        <f aca="false" t="array" ref="AF26:AF26">IFERROR( MEDIAN((IF(DATOS_[[Sexo]:[Sexo]]=$B26,IF(DATOS_[[AGRUP. VALOR. PTO.]:[AGRUP. VALOR. PTO.]]=$B24,IF(DATOS_[[Check Periodo Ref.]:[Check Periodo Ref.]]="Dentro",DATOS_[Conc.Sal.27]))))), 0)</f>
        <v>0</v>
      </c>
      <c r="AG26" s="250" t="n">
        <f aca="false" t="array" ref="AG26:AG26">IFERROR( MEDIAN((IF(DATOS_[[Sexo]:[Sexo]]=$B26,IF(DATOS_[[AGRUP. VALOR. PTO.]:[AGRUP. VALOR. PTO.]]=$B24,IF(DATOS_[[Check Periodo Ref.]:[Check Periodo Ref.]]="Dentro",DATOS_[Conc.Sal.28]))))), 0)</f>
        <v>0</v>
      </c>
      <c r="AH26" s="250" t="n">
        <f aca="false" t="array" ref="AH26:AH26">IFERROR( MEDIAN((IF(DATOS_[[Sexo]:[Sexo]]=$B26,IF(DATOS_[[AGRUP. VALOR. PTO.]:[AGRUP. VALOR. PTO.]]=$B24,IF(DATOS_[[Check Periodo Ref.]:[Check Periodo Ref.]]="Dentro",DATOS_[Conc.Sal.29]))))), 0)</f>
        <v>0</v>
      </c>
      <c r="AI26" s="250" t="n">
        <f aca="false" t="array" ref="AI26:AI26">IFERROR( MEDIAN((IF(DATOS_[[Sexo]:[Sexo]]=$B26,IF(DATOS_[[AGRUP. VALOR. PTO.]:[AGRUP. VALOR. PTO.]]=$B24,IF(DATOS_[[Check Periodo Ref.]:[Check Periodo Ref.]]="Dentro",DATOS_[Conc.Sal.30]))))), 0)</f>
        <v>0</v>
      </c>
      <c r="AJ26" s="251" t="n">
        <f aca="false" t="array" ref="AJ26:AJ26">IFERROR( MEDIAN(IF(DATOS_[Sexo]=$B26,IF(DATOS_[AGRUP. VALOR. PTO.]=$B24,IF(DATOS_[Check Periodo Ref.]="Dentro",DATOS_[Tot COMPL.SAL Ef],0)))), 0)</f>
        <v>0</v>
      </c>
      <c r="AK26" s="252" t="n">
        <f aca="false" t="array" ref="AK26:AK26">IFERROR( MEDIAN(IF(DATOS_[Sexo]=$B26,IF(DATOS_[AGRUP. VALOR. PTO.]=$B24,IF(DATOS_[Check Periodo Ref.]="Dentro",DATOS_[TOTAL SALARIO Ef],0)))), 0)</f>
        <v>0</v>
      </c>
      <c r="AL26" s="259" t="n">
        <f aca="false" t="array" ref="AL26:AL26">IFERROR( MEDIAN((IF(DATOS_[[Sexo]:[Sexo]]=$B26,IF(DATOS_[[AGRUP. VALOR. PTO.]:[AGRUP. VALOR. PTO.]]=$B24,IF(DATOS_[[Check Periodo Ref.]:[Check Periodo Ref.]]="Dentro",DATOS_[C.Extra.01]))))), 0)</f>
        <v>0</v>
      </c>
      <c r="AM26" s="259" t="n">
        <f aca="false" t="array" ref="AM26:AM26">IFERROR( MEDIAN((IF(DATOS_[[Sexo]:[Sexo]]=$B26,IF(DATOS_[[AGRUP. VALOR. PTO.]:[AGRUP. VALOR. PTO.]]=$B24,IF(DATOS_[[Check Periodo Ref.]:[Check Periodo Ref.]]="Dentro",DATOS_[C.Extra.02]))))), 0)</f>
        <v>0</v>
      </c>
      <c r="AN26" s="259" t="n">
        <f aca="false" t="array" ref="AN26:AN26">IFERROR( MEDIAN((IF(DATOS_[[Sexo]:[Sexo]]=$B26,IF(DATOS_[[AGRUP. VALOR. PTO.]:[AGRUP. VALOR. PTO.]]=$B24,IF(DATOS_[[Check Periodo Ref.]:[Check Periodo Ref.]]="Dentro",DATOS_[C.Extra.03]))))), 0)</f>
        <v>0</v>
      </c>
      <c r="AO26" s="259" t="n">
        <f aca="false" t="array" ref="AO26:AO26">IFERROR( MEDIAN((IF(DATOS_[[Sexo]:[Sexo]]=$B26,IF(DATOS_[[AGRUP. VALOR. PTO.]:[AGRUP. VALOR. PTO.]]=$B24,IF(DATOS_[[Check Periodo Ref.]:[Check Periodo Ref.]]="Dentro",DATOS_[C.Extra.04]))))), 0)</f>
        <v>0</v>
      </c>
      <c r="AP26" s="259" t="n">
        <f aca="false" t="array" ref="AP26:AP26">IFERROR( MEDIAN((IF(DATOS_[[Sexo]:[Sexo]]=$B26,IF(DATOS_[[AGRUP. VALOR. PTO.]:[AGRUP. VALOR. PTO.]]=$B24,IF(DATOS_[[Check Periodo Ref.]:[Check Periodo Ref.]]="Dentro",DATOS_[C.Extra.05]))))), 0)</f>
        <v>0</v>
      </c>
      <c r="AQ26" s="254" t="n">
        <f aca="false" t="array" ref="AQ26:AQ26">IFERROR( MEDIAN(IF(DATOS_[Sexo]=$B26,IF(DATOS_[AGRUP. VALOR. PTO.]=$B24,IF(DATOS_[Check Periodo Ref.]="Dentro",DATOS_[Tot Extrasalarial Ef],0)))), 0)</f>
        <v>0</v>
      </c>
      <c r="AR26" s="255" t="n">
        <f aca="false" t="array" ref="AR26:AR26">IFERROR( MEDIAN(IF(DATOS_[Sexo]=$B26,IF(DATOS_[AGRUP. VALOR. PTO.]=$B24,IF(DATOS_[Check Periodo Ref.]="Dentro",DATOS_[TOTAL Retrib Ef],0)))), 0)</f>
        <v>0</v>
      </c>
    </row>
    <row r="27" customFormat="false" ht="15.75" hidden="false" customHeight="false" outlineLevel="0" collapsed="false">
      <c r="A27" s="217" t="str">
        <f aca="false">+A28</f>
        <v>[ocultar]</v>
      </c>
      <c r="B27" s="235" t="s">
        <v>182</v>
      </c>
      <c r="C27" s="236"/>
      <c r="D27" s="237"/>
      <c r="E27" s="238" t="str">
        <f aca="false">IFERROR((E28-E29)/E28,"")</f>
        <v/>
      </c>
      <c r="F27" s="239" t="str">
        <f aca="false">IFERROR((F28-F29)/F28,"")</f>
        <v/>
      </c>
      <c r="G27" s="239" t="str">
        <f aca="false">IFERROR((G28-G29)/G28,"")</f>
        <v/>
      </c>
      <c r="H27" s="239" t="str">
        <f aca="false">IFERROR((H28-H29)/H28,"")</f>
        <v/>
      </c>
      <c r="I27" s="239"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40" t="str">
        <f aca="false">IFERROR((V28-V29)/V28,"")</f>
        <v/>
      </c>
      <c r="W27" s="240" t="str">
        <f aca="false">IFERROR((W28-W29)/W28,"")</f>
        <v/>
      </c>
      <c r="X27" s="240" t="str">
        <f aca="false">IFERROR((X28-X29)/X28,"")</f>
        <v/>
      </c>
      <c r="Y27" s="240"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1" t="str">
        <f aca="false">IFERROR((AJ28-AJ29)/AJ28,"")</f>
        <v/>
      </c>
      <c r="AK27" s="242" t="str">
        <f aca="false">IFERROR((AK28-AK29)/AK28,"")</f>
        <v/>
      </c>
      <c r="AL27" s="243" t="str">
        <f aca="false">IFERROR((AL28-AL29)/AL28,"")</f>
        <v/>
      </c>
      <c r="AM27" s="243" t="str">
        <f aca="false">IFERROR((AM28-AM29)/AM28,"")</f>
        <v/>
      </c>
      <c r="AN27" s="243" t="str">
        <f aca="false">IFERROR((AN28-AN29)/AN28,"")</f>
        <v/>
      </c>
      <c r="AO27" s="243" t="str">
        <f aca="false">IFERROR((AO28-AO29)/AO28,"")</f>
        <v/>
      </c>
      <c r="AP27" s="243" t="str">
        <f aca="false">IFERROR((AP28-AP29)/AP28,"")</f>
        <v/>
      </c>
      <c r="AQ27" s="244" t="str">
        <f aca="false">IFERROR((AQ28-AQ29)/AQ28,"")</f>
        <v/>
      </c>
      <c r="AR27" s="245" t="str">
        <f aca="false">IFERROR((AR28-AR29)/AR28,"")</f>
        <v/>
      </c>
    </row>
    <row r="28" customFormat="false" ht="14.25" hidden="false" customHeight="false" outlineLevel="0" collapsed="false">
      <c r="A28" s="217" t="str">
        <f aca="false">+IF(C28+C29=0,"[ocultar]","")</f>
        <v>[ocultar]</v>
      </c>
      <c r="B28" s="246" t="s">
        <v>371</v>
      </c>
      <c r="C28" s="247" t="n">
        <f aca="false" t="array" ref="C28:C28">SUM(IF($B28=DATOS_[Sexo], IF($B27=DATOS_[AGRUP. VALOR. PTO.], IF("Dentro"=DATOS_[Check Periodo Ref.], 1/(COUNTIFS(DATOS_[Sexo],$B28,DATOS_[AGRUP. VALOR. PTO.],$B27,DATOS_[Check Periodo Ref.],"Dentro",DATOS_[id],DATOS_[id]))))))</f>
        <v>0</v>
      </c>
      <c r="D28" s="248" t="n">
        <f aca="false">COUNTIFS(DATOS_[AGRUP. VALOR. PTO.],$B27,DATOS_[Sexo],$B28,DATOS_[Check Periodo Ref.],"Dentro")</f>
        <v>0</v>
      </c>
      <c r="E28" s="249" t="n">
        <f aca="false" t="array" ref="E28:E28">IFERROR( MEDIAN(IF(DATOS_[Sexo]=$B28,IF(DATOS_[AGRUP. VALOR. PTO.]=$B27,IF(DATOS_[Check Periodo Ref.]="Dentro",DATOS_[SALARIO BASE Ef],0)))), 0)</f>
        <v>0</v>
      </c>
      <c r="F28" s="250" t="n">
        <f aca="false" t="array" ref="F28:F28">IFERROR( MEDIAN((IF(DATOS_[[Sexo]:[Sexo]]=$B28,IF(DATOS_[[AGRUP. VALOR. PTO.]:[AGRUP. VALOR. PTO.]]=$B27,IF(DATOS_[[Check Periodo Ref.]:[Check Periodo Ref.]]="Dentro",DATOS_[Conc.Sal.01]))))), 0)</f>
        <v>0</v>
      </c>
      <c r="G28" s="250" t="n">
        <f aca="false" t="array" ref="G28:G28">IFERROR( MEDIAN((IF(DATOS_[[Sexo]:[Sexo]]=$B28,IF(DATOS_[[AGRUP. VALOR. PTO.]:[AGRUP. VALOR. PTO.]]=$B27,IF(DATOS_[[Check Periodo Ref.]:[Check Periodo Ref.]]="Dentro",DATOS_[Conc.Sal.02]))))), 0)</f>
        <v>0</v>
      </c>
      <c r="H28" s="250" t="n">
        <f aca="false" t="array" ref="H28:H28">IFERROR( MEDIAN((IF(DATOS_[[Sexo]:[Sexo]]=$B28,IF(DATOS_[[AGRUP. VALOR. PTO.]:[AGRUP. VALOR. PTO.]]=$B27,IF(DATOS_[[Check Periodo Ref.]:[Check Periodo Ref.]]="Dentro",DATOS_[Conc.Sal.03]))))), 0)</f>
        <v>0</v>
      </c>
      <c r="I28" s="250" t="n">
        <f aca="false" t="array" ref="I28:I28">IFERROR( MEDIAN((IF(DATOS_[[Sexo]:[Sexo]]=$B28,IF(DATOS_[[AGRUP. VALOR. PTO.]:[AGRUP. VALOR. PTO.]]=$B27,IF(DATOS_[[Check Periodo Ref.]:[Check Periodo Ref.]]="Dentro",DATOS_[Conc.Sal.04]))))), 0)</f>
        <v>0</v>
      </c>
      <c r="J28" s="250" t="n">
        <f aca="false" t="array" ref="J28:J28">IFERROR( MEDIAN((IF(DATOS_[[Sexo]:[Sexo]]=$B28,IF(DATOS_[[AGRUP. VALOR. PTO.]:[AGRUP. VALOR. PTO.]]=$B27,IF(DATOS_[[Check Periodo Ref.]:[Check Periodo Ref.]]="Dentro",DATOS_[Conc.Sal.05]))))), 0)</f>
        <v>0</v>
      </c>
      <c r="K28" s="250" t="n">
        <f aca="false" t="array" ref="K28:K28">IFERROR( MEDIAN((IF(DATOS_[[Sexo]:[Sexo]]=$B28,IF(DATOS_[[AGRUP. VALOR. PTO.]:[AGRUP. VALOR. PTO.]]=$B27,IF(DATOS_[[Check Periodo Ref.]:[Check Periodo Ref.]]="Dentro",DATOS_[Conc.Sal.06]))))), 0)</f>
        <v>0</v>
      </c>
      <c r="L28" s="250" t="n">
        <f aca="false" t="array" ref="L28:L28">IFERROR( MEDIAN((IF(DATOS_[[Sexo]:[Sexo]]=$B28,IF(DATOS_[[AGRUP. VALOR. PTO.]:[AGRUP. VALOR. PTO.]]=$B27,IF(DATOS_[[Check Periodo Ref.]:[Check Periodo Ref.]]="Dentro",DATOS_[Conc.Sal.07]))))), 0)</f>
        <v>0</v>
      </c>
      <c r="M28" s="250" t="n">
        <f aca="false" t="array" ref="M28:M28">IFERROR( MEDIAN((IF(DATOS_[[Sexo]:[Sexo]]=$B28,IF(DATOS_[[AGRUP. VALOR. PTO.]:[AGRUP. VALOR. PTO.]]=$B27,IF(DATOS_[[Check Periodo Ref.]:[Check Periodo Ref.]]="Dentro",DATOS_[Conc.Sal.08]))))), 0)</f>
        <v>0</v>
      </c>
      <c r="N28" s="250" t="n">
        <f aca="false" t="array" ref="N28:N28">IFERROR( MEDIAN((IF(DATOS_[[Sexo]:[Sexo]]=$B28,IF(DATOS_[[AGRUP. VALOR. PTO.]:[AGRUP. VALOR. PTO.]]=$B27,IF(DATOS_[[Check Periodo Ref.]:[Check Periodo Ref.]]="Dentro",DATOS_[Conc.Sal.09]))))), 0)</f>
        <v>0</v>
      </c>
      <c r="O28" s="250" t="n">
        <f aca="false" t="array" ref="O28:O28">IFERROR( MEDIAN((IF(DATOS_[[Sexo]:[Sexo]]=$B28,IF(DATOS_[[AGRUP. VALOR. PTO.]:[AGRUP. VALOR. PTO.]]=$B27,IF(DATOS_[[Check Periodo Ref.]:[Check Periodo Ref.]]="Dentro",DATOS_[Conc.Sal.10]))))), 0)</f>
        <v>0</v>
      </c>
      <c r="P28" s="250" t="n">
        <f aca="false" t="array" ref="P28:P28">IFERROR( MEDIAN((IF(DATOS_[[Sexo]:[Sexo]]=$B28,IF(DATOS_[[AGRUP. VALOR. PTO.]:[AGRUP. VALOR. PTO.]]=$B27,IF(DATOS_[[Check Periodo Ref.]:[Check Periodo Ref.]]="Dentro",DATOS_[Conc.Sal.11]))))), 0)</f>
        <v>0</v>
      </c>
      <c r="Q28" s="250" t="n">
        <f aca="false" t="array" ref="Q28:Q28">IFERROR( MEDIAN((IF(DATOS_[[Sexo]:[Sexo]]=$B28,IF(DATOS_[[AGRUP. VALOR. PTO.]:[AGRUP. VALOR. PTO.]]=$B27,IF(DATOS_[[Check Periodo Ref.]:[Check Periodo Ref.]]="Dentro",DATOS_[Conc.Sal.12]))))), 0)</f>
        <v>0</v>
      </c>
      <c r="R28" s="250" t="n">
        <f aca="false" t="array" ref="R28:R28">IFERROR( MEDIAN((IF(DATOS_[[Sexo]:[Sexo]]=$B28,IF(DATOS_[[AGRUP. VALOR. PTO.]:[AGRUP. VALOR. PTO.]]=$B27,IF(DATOS_[[Check Periodo Ref.]:[Check Periodo Ref.]]="Dentro",DATOS_[Conc.Sal.13]))))), 0)</f>
        <v>0</v>
      </c>
      <c r="S28" s="250" t="n">
        <f aca="false" t="array" ref="S28:S28">IFERROR( MEDIAN((IF(DATOS_[[Sexo]:[Sexo]]=$B28,IF(DATOS_[[AGRUP. VALOR. PTO.]:[AGRUP. VALOR. PTO.]]=$B27,IF(DATOS_[[Check Periodo Ref.]:[Check Periodo Ref.]]="Dentro",DATOS_[Conc.Sal.14]))))), 0)</f>
        <v>0</v>
      </c>
      <c r="T28" s="250" t="n">
        <f aca="false" t="array" ref="T28:T28">IFERROR( MEDIAN((IF(DATOS_[[Sexo]:[Sexo]]=$B28,IF(DATOS_[[AGRUP. VALOR. PTO.]:[AGRUP. VALOR. PTO.]]=$B27,IF(DATOS_[[Check Periodo Ref.]:[Check Periodo Ref.]]="Dentro",DATOS_[Conc.Sal.15]))))), 0)</f>
        <v>0</v>
      </c>
      <c r="U28" s="250" t="n">
        <f aca="false" t="array" ref="U28:U28">IFERROR( MEDIAN((IF(DATOS_[[Sexo]:[Sexo]]=$B28,IF(DATOS_[[AGRUP. VALOR. PTO.]:[AGRUP. VALOR. PTO.]]=$B27,IF(DATOS_[[Check Periodo Ref.]:[Check Periodo Ref.]]="Dentro",DATOS_[Conc.Sal.16]))))), 0)</f>
        <v>0</v>
      </c>
      <c r="V28" s="250" t="n">
        <f aca="false" t="array" ref="V28:V28">IFERROR( MEDIAN((IF(DATOS_[[Sexo]:[Sexo]]=$B28,IF(DATOS_[[AGRUP. VALOR. PTO.]:[AGRUP. VALOR. PTO.]]=$B27,IF(DATOS_[[Check Periodo Ref.]:[Check Periodo Ref.]]="Dentro",DATOS_[Conc.Sal.17]))))), 0)</f>
        <v>0</v>
      </c>
      <c r="W28" s="250" t="n">
        <f aca="false" t="array" ref="W28:W28">IFERROR( MEDIAN((IF(DATOS_[[Sexo]:[Sexo]]=$B28,IF(DATOS_[[AGRUP. VALOR. PTO.]:[AGRUP. VALOR. PTO.]]=$B27,IF(DATOS_[[Check Periodo Ref.]:[Check Periodo Ref.]]="Dentro",DATOS_[Conc.Sal.18]))))), 0)</f>
        <v>0</v>
      </c>
      <c r="X28" s="250" t="n">
        <f aca="false" t="array" ref="X28:X28">IFERROR( MEDIAN((IF(DATOS_[[Sexo]:[Sexo]]=$B28,IF(DATOS_[[AGRUP. VALOR. PTO.]:[AGRUP. VALOR. PTO.]]=$B27,IF(DATOS_[[Check Periodo Ref.]:[Check Periodo Ref.]]="Dentro",DATOS_[Conc.Sal.19]))))), 0)</f>
        <v>0</v>
      </c>
      <c r="Y28" s="250" t="n">
        <f aca="false" t="array" ref="Y28:Y28">IFERROR( MEDIAN((IF(DATOS_[[Sexo]:[Sexo]]=$B28,IF(DATOS_[[AGRUP. VALOR. PTO.]:[AGRUP. VALOR. PTO.]]=$B27,IF(DATOS_[[Check Periodo Ref.]:[Check Periodo Ref.]]="Dentro",DATOS_[Conc.Sal.20]))))), 0)</f>
        <v>0</v>
      </c>
      <c r="Z28" s="250" t="n">
        <f aca="false" t="array" ref="Z28:Z28">IFERROR( MEDIAN((IF(DATOS_[[Sexo]:[Sexo]]=$B28,IF(DATOS_[[AGRUP. VALOR. PTO.]:[AGRUP. VALOR. PTO.]]=$B27,IF(DATOS_[[Check Periodo Ref.]:[Check Periodo Ref.]]="Dentro",DATOS_[Conc.Sal.21]))))), 0)</f>
        <v>0</v>
      </c>
      <c r="AA28" s="250" t="n">
        <f aca="false" t="array" ref="AA28:AA28">IFERROR( MEDIAN((IF(DATOS_[[Sexo]:[Sexo]]=$B28,IF(DATOS_[[AGRUP. VALOR. PTO.]:[AGRUP. VALOR. PTO.]]=$B27,IF(DATOS_[[Check Periodo Ref.]:[Check Periodo Ref.]]="Dentro",DATOS_[Conc.Sal.22]))))), 0)</f>
        <v>0</v>
      </c>
      <c r="AB28" s="250" t="n">
        <f aca="false" t="array" ref="AB28:AB28">IFERROR( MEDIAN((IF(DATOS_[[Sexo]:[Sexo]]=$B28,IF(DATOS_[[AGRUP. VALOR. PTO.]:[AGRUP. VALOR. PTO.]]=$B27,IF(DATOS_[[Check Periodo Ref.]:[Check Periodo Ref.]]="Dentro",DATOS_[Conc.Sal.23]))))), 0)</f>
        <v>0</v>
      </c>
      <c r="AC28" s="250" t="n">
        <f aca="false" t="array" ref="AC28:AC28">IFERROR( MEDIAN((IF(DATOS_[[Sexo]:[Sexo]]=$B28,IF(DATOS_[[AGRUP. VALOR. PTO.]:[AGRUP. VALOR. PTO.]]=$B27,IF(DATOS_[[Check Periodo Ref.]:[Check Periodo Ref.]]="Dentro",DATOS_[Conc.Sal.24]))))), 0)</f>
        <v>0</v>
      </c>
      <c r="AD28" s="250" t="n">
        <f aca="false" t="array" ref="AD28:AD28">IFERROR( MEDIAN((IF(DATOS_[[Sexo]:[Sexo]]=$B28,IF(DATOS_[[AGRUP. VALOR. PTO.]:[AGRUP. VALOR. PTO.]]=$B27,IF(DATOS_[[Check Periodo Ref.]:[Check Periodo Ref.]]="Dentro",DATOS_[Conc.Sal.25]))))), 0)</f>
        <v>0</v>
      </c>
      <c r="AE28" s="250" t="n">
        <f aca="false" t="array" ref="AE28:AE28">IFERROR( MEDIAN((IF(DATOS_[[Sexo]:[Sexo]]=$B28,IF(DATOS_[[AGRUP. VALOR. PTO.]:[AGRUP. VALOR. PTO.]]=$B27,IF(DATOS_[[Check Periodo Ref.]:[Check Periodo Ref.]]="Dentro",DATOS_[Conc.Sal.26]))))), 0)</f>
        <v>0</v>
      </c>
      <c r="AF28" s="250" t="n">
        <f aca="false" t="array" ref="AF28:AF28">IFERROR( MEDIAN((IF(DATOS_[[Sexo]:[Sexo]]=$B28,IF(DATOS_[[AGRUP. VALOR. PTO.]:[AGRUP. VALOR. PTO.]]=$B27,IF(DATOS_[[Check Periodo Ref.]:[Check Periodo Ref.]]="Dentro",DATOS_[Conc.Sal.27]))))), 0)</f>
        <v>0</v>
      </c>
      <c r="AG28" s="250" t="n">
        <f aca="false" t="array" ref="AG28:AG28">IFERROR( MEDIAN((IF(DATOS_[[Sexo]:[Sexo]]=$B28,IF(DATOS_[[AGRUP. VALOR. PTO.]:[AGRUP. VALOR. PTO.]]=$B27,IF(DATOS_[[Check Periodo Ref.]:[Check Periodo Ref.]]="Dentro",DATOS_[Conc.Sal.28]))))), 0)</f>
        <v>0</v>
      </c>
      <c r="AH28" s="250" t="n">
        <f aca="false" t="array" ref="AH28:AH28">IFERROR( MEDIAN((IF(DATOS_[[Sexo]:[Sexo]]=$B28,IF(DATOS_[[AGRUP. VALOR. PTO.]:[AGRUP. VALOR. PTO.]]=$B27,IF(DATOS_[[Check Periodo Ref.]:[Check Periodo Ref.]]="Dentro",DATOS_[Conc.Sal.29]))))), 0)</f>
        <v>0</v>
      </c>
      <c r="AI28" s="250" t="n">
        <f aca="false" t="array" ref="AI28:AI28">IFERROR( MEDIAN((IF(DATOS_[[Sexo]:[Sexo]]=$B28,IF(DATOS_[[AGRUP. VALOR. PTO.]:[AGRUP. VALOR. PTO.]]=$B27,IF(DATOS_[[Check Periodo Ref.]:[Check Periodo Ref.]]="Dentro",DATOS_[Conc.Sal.30]))))), 0)</f>
        <v>0</v>
      </c>
      <c r="AJ28" s="251" t="n">
        <f aca="false" t="array" ref="AJ28:AJ28">IFERROR( MEDIAN(IF(DATOS_[Sexo]=$B28,IF(DATOS_[AGRUP. VALOR. PTO.]=$B27,IF(DATOS_[Check Periodo Ref.]="Dentro",DATOS_[Tot COMPL.SAL Ef],0)))), 0)</f>
        <v>0</v>
      </c>
      <c r="AK28" s="252" t="n">
        <f aca="false" t="array" ref="AK28:AK28">IFERROR( MEDIAN(IF(DATOS_[Sexo]=$B28,IF(DATOS_[AGRUP. VALOR. PTO.]=$B27,IF(DATOS_[Check Periodo Ref.]="Dentro",DATOS_[TOTAL SALARIO Ef],0)))), 0)</f>
        <v>0</v>
      </c>
      <c r="AL28" s="259" t="n">
        <f aca="false" t="array" ref="AL28:AL28">IFERROR( MEDIAN((IF(DATOS_[[Sexo]:[Sexo]]=$B28,IF(DATOS_[[AGRUP. VALOR. PTO.]:[AGRUP. VALOR. PTO.]]=$B27,IF(DATOS_[[Check Periodo Ref.]:[Check Periodo Ref.]]="Dentro",DATOS_[C.Extra.01]))))), 0)</f>
        <v>0</v>
      </c>
      <c r="AM28" s="259" t="n">
        <f aca="false" t="array" ref="AM28:AM28">IFERROR( MEDIAN((IF(DATOS_[[Sexo]:[Sexo]]=$B28,IF(DATOS_[[AGRUP. VALOR. PTO.]:[AGRUP. VALOR. PTO.]]=$B27,IF(DATOS_[[Check Periodo Ref.]:[Check Periodo Ref.]]="Dentro",DATOS_[C.Extra.02]))))), 0)</f>
        <v>0</v>
      </c>
      <c r="AN28" s="259" t="n">
        <f aca="false" t="array" ref="AN28:AN28">IFERROR( MEDIAN((IF(DATOS_[[Sexo]:[Sexo]]=$B28,IF(DATOS_[[AGRUP. VALOR. PTO.]:[AGRUP. VALOR. PTO.]]=$B27,IF(DATOS_[[Check Periodo Ref.]:[Check Periodo Ref.]]="Dentro",DATOS_[C.Extra.03]))))), 0)</f>
        <v>0</v>
      </c>
      <c r="AO28" s="259" t="n">
        <f aca="false" t="array" ref="AO28:AO28">IFERROR( MEDIAN((IF(DATOS_[[Sexo]:[Sexo]]=$B28,IF(DATOS_[[AGRUP. VALOR. PTO.]:[AGRUP. VALOR. PTO.]]=$B27,IF(DATOS_[[Check Periodo Ref.]:[Check Periodo Ref.]]="Dentro",DATOS_[C.Extra.04]))))), 0)</f>
        <v>0</v>
      </c>
      <c r="AP28" s="259" t="n">
        <f aca="false" t="array" ref="AP28:AP28">IFERROR( MEDIAN((IF(DATOS_[[Sexo]:[Sexo]]=$B28,IF(DATOS_[[AGRUP. VALOR. PTO.]:[AGRUP. VALOR. PTO.]]=$B27,IF(DATOS_[[Check Periodo Ref.]:[Check Periodo Ref.]]="Dentro",DATOS_[C.Extra.05]))))), 0)</f>
        <v>0</v>
      </c>
      <c r="AQ28" s="254" t="n">
        <f aca="false" t="array" ref="AQ28:AQ28">IFERROR( MEDIAN(IF(DATOS_[Sexo]=$B28,IF(DATOS_[AGRUP. VALOR. PTO.]=$B27,IF(DATOS_[Check Periodo Ref.]="Dentro",DATOS_[Tot Extrasalarial Ef],0)))), 0)</f>
        <v>0</v>
      </c>
      <c r="AR28" s="255" t="n">
        <f aca="false" t="array" ref="AR28:AR28">IFERROR( MEDIAN(IF(DATOS_[Sexo]=$B28,IF(DATOS_[AGRUP. VALOR. PTO.]=$B27,IF(DATOS_[Check Periodo Ref.]="Dentro",DATOS_[TOTAL Retrib Ef],0)))), 0)</f>
        <v>0</v>
      </c>
    </row>
    <row r="29" customFormat="false" ht="14.25" hidden="false" customHeight="false" outlineLevel="0" collapsed="false">
      <c r="A29" s="217" t="str">
        <f aca="false">+A28</f>
        <v>[ocultar]</v>
      </c>
      <c r="B29" s="246" t="s">
        <v>372</v>
      </c>
      <c r="C29" s="247" t="n">
        <f aca="false" t="array" ref="C29:C29">SUM(IF($B29=DATOS_[Sexo], IF($B27=DATOS_[AGRUP. VALOR. PTO.], IF("Dentro"=DATOS_[Check Periodo Ref.], 1/(COUNTIFS(DATOS_[Sexo],$B29,DATOS_[AGRUP. VALOR. PTO.],$B27,DATOS_[Check Periodo Ref.],"Dentro",DATOS_[id],DATOS_[id]))))))</f>
        <v>0</v>
      </c>
      <c r="D29" s="248" t="n">
        <f aca="false">COUNTIFS(DATOS_[AGRUP. VALOR. PTO.],$B27,DATOS_[Sexo],$B29,DATOS_[Check Periodo Ref.],"Dentro")</f>
        <v>0</v>
      </c>
      <c r="E29" s="249" t="n">
        <f aca="false" t="array" ref="E29:E29">IFERROR( MEDIAN(IF(DATOS_[Sexo]=$B29,IF(DATOS_[AGRUP. VALOR. PTO.]=$B27,IF(DATOS_[Check Periodo Ref.]="Dentro",DATOS_[SALARIO BASE Ef],0)))), 0)</f>
        <v>0</v>
      </c>
      <c r="F29" s="250" t="n">
        <f aca="false" t="array" ref="F29:F29">IFERROR( MEDIAN((IF(DATOS_[[Sexo]:[Sexo]]=$B29,IF(DATOS_[[AGRUP. VALOR. PTO.]:[AGRUP. VALOR. PTO.]]=$B27,IF(DATOS_[[Check Periodo Ref.]:[Check Periodo Ref.]]="Dentro",DATOS_[Conc.Sal.01]))))), 0)</f>
        <v>0</v>
      </c>
      <c r="G29" s="250" t="n">
        <f aca="false" t="array" ref="G29:G29">IFERROR( MEDIAN((IF(DATOS_[[Sexo]:[Sexo]]=$B29,IF(DATOS_[[AGRUP. VALOR. PTO.]:[AGRUP. VALOR. PTO.]]=$B27,IF(DATOS_[[Check Periodo Ref.]:[Check Periodo Ref.]]="Dentro",DATOS_[Conc.Sal.02]))))), 0)</f>
        <v>0</v>
      </c>
      <c r="H29" s="250" t="n">
        <f aca="false" t="array" ref="H29:H29">IFERROR( MEDIAN((IF(DATOS_[[Sexo]:[Sexo]]=$B29,IF(DATOS_[[AGRUP. VALOR. PTO.]:[AGRUP. VALOR. PTO.]]=$B27,IF(DATOS_[[Check Periodo Ref.]:[Check Periodo Ref.]]="Dentro",DATOS_[Conc.Sal.03]))))), 0)</f>
        <v>0</v>
      </c>
      <c r="I29" s="250" t="n">
        <f aca="false" t="array" ref="I29:I29">IFERROR( MEDIAN((IF(DATOS_[[Sexo]:[Sexo]]=$B29,IF(DATOS_[[AGRUP. VALOR. PTO.]:[AGRUP. VALOR. PTO.]]=$B27,IF(DATOS_[[Check Periodo Ref.]:[Check Periodo Ref.]]="Dentro",DATOS_[Conc.Sal.04]))))), 0)</f>
        <v>0</v>
      </c>
      <c r="J29" s="250" t="n">
        <f aca="false" t="array" ref="J29:J29">IFERROR( MEDIAN((IF(DATOS_[[Sexo]:[Sexo]]=$B29,IF(DATOS_[[AGRUP. VALOR. PTO.]:[AGRUP. VALOR. PTO.]]=$B27,IF(DATOS_[[Check Periodo Ref.]:[Check Periodo Ref.]]="Dentro",DATOS_[Conc.Sal.05]))))), 0)</f>
        <v>0</v>
      </c>
      <c r="K29" s="250" t="n">
        <f aca="false" t="array" ref="K29:K29">IFERROR( MEDIAN((IF(DATOS_[[Sexo]:[Sexo]]=$B29,IF(DATOS_[[AGRUP. VALOR. PTO.]:[AGRUP. VALOR. PTO.]]=$B27,IF(DATOS_[[Check Periodo Ref.]:[Check Periodo Ref.]]="Dentro",DATOS_[Conc.Sal.06]))))), 0)</f>
        <v>0</v>
      </c>
      <c r="L29" s="250" t="n">
        <f aca="false" t="array" ref="L29:L29">IFERROR( MEDIAN((IF(DATOS_[[Sexo]:[Sexo]]=$B29,IF(DATOS_[[AGRUP. VALOR. PTO.]:[AGRUP. VALOR. PTO.]]=$B27,IF(DATOS_[[Check Periodo Ref.]:[Check Periodo Ref.]]="Dentro",DATOS_[Conc.Sal.07]))))), 0)</f>
        <v>0</v>
      </c>
      <c r="M29" s="250" t="n">
        <f aca="false" t="array" ref="M29:M29">IFERROR( MEDIAN((IF(DATOS_[[Sexo]:[Sexo]]=$B29,IF(DATOS_[[AGRUP. VALOR. PTO.]:[AGRUP. VALOR. PTO.]]=$B27,IF(DATOS_[[Check Periodo Ref.]:[Check Periodo Ref.]]="Dentro",DATOS_[Conc.Sal.08]))))), 0)</f>
        <v>0</v>
      </c>
      <c r="N29" s="250" t="n">
        <f aca="false" t="array" ref="N29:N29">IFERROR( MEDIAN((IF(DATOS_[[Sexo]:[Sexo]]=$B29,IF(DATOS_[[AGRUP. VALOR. PTO.]:[AGRUP. VALOR. PTO.]]=$B27,IF(DATOS_[[Check Periodo Ref.]:[Check Periodo Ref.]]="Dentro",DATOS_[Conc.Sal.09]))))), 0)</f>
        <v>0</v>
      </c>
      <c r="O29" s="250" t="n">
        <f aca="false" t="array" ref="O29:O29">IFERROR( MEDIAN((IF(DATOS_[[Sexo]:[Sexo]]=$B29,IF(DATOS_[[AGRUP. VALOR. PTO.]:[AGRUP. VALOR. PTO.]]=$B27,IF(DATOS_[[Check Periodo Ref.]:[Check Periodo Ref.]]="Dentro",DATOS_[Conc.Sal.10]))))), 0)</f>
        <v>0</v>
      </c>
      <c r="P29" s="250" t="n">
        <f aca="false" t="array" ref="P29:P29">IFERROR( MEDIAN((IF(DATOS_[[Sexo]:[Sexo]]=$B29,IF(DATOS_[[AGRUP. VALOR. PTO.]:[AGRUP. VALOR. PTO.]]=$B27,IF(DATOS_[[Check Periodo Ref.]:[Check Periodo Ref.]]="Dentro",DATOS_[Conc.Sal.11]))))), 0)</f>
        <v>0</v>
      </c>
      <c r="Q29" s="250" t="n">
        <f aca="false" t="array" ref="Q29:Q29">IFERROR( MEDIAN((IF(DATOS_[[Sexo]:[Sexo]]=$B29,IF(DATOS_[[AGRUP. VALOR. PTO.]:[AGRUP. VALOR. PTO.]]=$B27,IF(DATOS_[[Check Periodo Ref.]:[Check Periodo Ref.]]="Dentro",DATOS_[Conc.Sal.12]))))), 0)</f>
        <v>0</v>
      </c>
      <c r="R29" s="250" t="n">
        <f aca="false" t="array" ref="R29:R29">IFERROR( MEDIAN((IF(DATOS_[[Sexo]:[Sexo]]=$B29,IF(DATOS_[[AGRUP. VALOR. PTO.]:[AGRUP. VALOR. PTO.]]=$B27,IF(DATOS_[[Check Periodo Ref.]:[Check Periodo Ref.]]="Dentro",DATOS_[Conc.Sal.13]))))), 0)</f>
        <v>0</v>
      </c>
      <c r="S29" s="250" t="n">
        <f aca="false" t="array" ref="S29:S29">IFERROR( MEDIAN((IF(DATOS_[[Sexo]:[Sexo]]=$B29,IF(DATOS_[[AGRUP. VALOR. PTO.]:[AGRUP. VALOR. PTO.]]=$B27,IF(DATOS_[[Check Periodo Ref.]:[Check Periodo Ref.]]="Dentro",DATOS_[Conc.Sal.14]))))), 0)</f>
        <v>0</v>
      </c>
      <c r="T29" s="250" t="n">
        <f aca="false" t="array" ref="T29:T29">IFERROR( MEDIAN((IF(DATOS_[[Sexo]:[Sexo]]=$B29,IF(DATOS_[[AGRUP. VALOR. PTO.]:[AGRUP. VALOR. PTO.]]=$B27,IF(DATOS_[[Check Periodo Ref.]:[Check Periodo Ref.]]="Dentro",DATOS_[Conc.Sal.15]))))), 0)</f>
        <v>0</v>
      </c>
      <c r="U29" s="250" t="n">
        <f aca="false" t="array" ref="U29:U29">IFERROR( MEDIAN((IF(DATOS_[[Sexo]:[Sexo]]=$B29,IF(DATOS_[[AGRUP. VALOR. PTO.]:[AGRUP. VALOR. PTO.]]=$B27,IF(DATOS_[[Check Periodo Ref.]:[Check Periodo Ref.]]="Dentro",DATOS_[Conc.Sal.16]))))), 0)</f>
        <v>0</v>
      </c>
      <c r="V29" s="250" t="n">
        <f aca="false" t="array" ref="V29:V29">IFERROR( MEDIAN((IF(DATOS_[[Sexo]:[Sexo]]=$B29,IF(DATOS_[[AGRUP. VALOR. PTO.]:[AGRUP. VALOR. PTO.]]=$B27,IF(DATOS_[[Check Periodo Ref.]:[Check Periodo Ref.]]="Dentro",DATOS_[Conc.Sal.17]))))), 0)</f>
        <v>0</v>
      </c>
      <c r="W29" s="250" t="n">
        <f aca="false" t="array" ref="W29:W29">IFERROR( MEDIAN((IF(DATOS_[[Sexo]:[Sexo]]=$B29,IF(DATOS_[[AGRUP. VALOR. PTO.]:[AGRUP. VALOR. PTO.]]=$B27,IF(DATOS_[[Check Periodo Ref.]:[Check Periodo Ref.]]="Dentro",DATOS_[Conc.Sal.18]))))), 0)</f>
        <v>0</v>
      </c>
      <c r="X29" s="250" t="n">
        <f aca="false" t="array" ref="X29:X29">IFERROR( MEDIAN((IF(DATOS_[[Sexo]:[Sexo]]=$B29,IF(DATOS_[[AGRUP. VALOR. PTO.]:[AGRUP. VALOR. PTO.]]=$B27,IF(DATOS_[[Check Periodo Ref.]:[Check Periodo Ref.]]="Dentro",DATOS_[Conc.Sal.19]))))), 0)</f>
        <v>0</v>
      </c>
      <c r="Y29" s="250" t="n">
        <f aca="false" t="array" ref="Y29:Y29">IFERROR( MEDIAN((IF(DATOS_[[Sexo]:[Sexo]]=$B29,IF(DATOS_[[AGRUP. VALOR. PTO.]:[AGRUP. VALOR. PTO.]]=$B27,IF(DATOS_[[Check Periodo Ref.]:[Check Periodo Ref.]]="Dentro",DATOS_[Conc.Sal.20]))))), 0)</f>
        <v>0</v>
      </c>
      <c r="Z29" s="250" t="n">
        <f aca="false" t="array" ref="Z29:Z29">IFERROR( MEDIAN((IF(DATOS_[[Sexo]:[Sexo]]=$B29,IF(DATOS_[[AGRUP. VALOR. PTO.]:[AGRUP. VALOR. PTO.]]=$B27,IF(DATOS_[[Check Periodo Ref.]:[Check Periodo Ref.]]="Dentro",DATOS_[Conc.Sal.21]))))), 0)</f>
        <v>0</v>
      </c>
      <c r="AA29" s="250" t="n">
        <f aca="false" t="array" ref="AA29:AA29">IFERROR( MEDIAN((IF(DATOS_[[Sexo]:[Sexo]]=$B29,IF(DATOS_[[AGRUP. VALOR. PTO.]:[AGRUP. VALOR. PTO.]]=$B27,IF(DATOS_[[Check Periodo Ref.]:[Check Periodo Ref.]]="Dentro",DATOS_[Conc.Sal.22]))))), 0)</f>
        <v>0</v>
      </c>
      <c r="AB29" s="250" t="n">
        <f aca="false" t="array" ref="AB29:AB29">IFERROR( MEDIAN((IF(DATOS_[[Sexo]:[Sexo]]=$B29,IF(DATOS_[[AGRUP. VALOR. PTO.]:[AGRUP. VALOR. PTO.]]=$B27,IF(DATOS_[[Check Periodo Ref.]:[Check Periodo Ref.]]="Dentro",DATOS_[Conc.Sal.23]))))), 0)</f>
        <v>0</v>
      </c>
      <c r="AC29" s="250" t="n">
        <f aca="false" t="array" ref="AC29:AC29">IFERROR( MEDIAN((IF(DATOS_[[Sexo]:[Sexo]]=$B29,IF(DATOS_[[AGRUP. VALOR. PTO.]:[AGRUP. VALOR. PTO.]]=$B27,IF(DATOS_[[Check Periodo Ref.]:[Check Periodo Ref.]]="Dentro",DATOS_[Conc.Sal.24]))))), 0)</f>
        <v>0</v>
      </c>
      <c r="AD29" s="250" t="n">
        <f aca="false" t="array" ref="AD29:AD29">IFERROR( MEDIAN((IF(DATOS_[[Sexo]:[Sexo]]=$B29,IF(DATOS_[[AGRUP. VALOR. PTO.]:[AGRUP. VALOR. PTO.]]=$B27,IF(DATOS_[[Check Periodo Ref.]:[Check Periodo Ref.]]="Dentro",DATOS_[Conc.Sal.25]))))), 0)</f>
        <v>0</v>
      </c>
      <c r="AE29" s="250" t="n">
        <f aca="false" t="array" ref="AE29:AE29">IFERROR( MEDIAN((IF(DATOS_[[Sexo]:[Sexo]]=$B29,IF(DATOS_[[AGRUP. VALOR. PTO.]:[AGRUP. VALOR. PTO.]]=$B27,IF(DATOS_[[Check Periodo Ref.]:[Check Periodo Ref.]]="Dentro",DATOS_[Conc.Sal.26]))))), 0)</f>
        <v>0</v>
      </c>
      <c r="AF29" s="250" t="n">
        <f aca="false" t="array" ref="AF29:AF29">IFERROR( MEDIAN((IF(DATOS_[[Sexo]:[Sexo]]=$B29,IF(DATOS_[[AGRUP. VALOR. PTO.]:[AGRUP. VALOR. PTO.]]=$B27,IF(DATOS_[[Check Periodo Ref.]:[Check Periodo Ref.]]="Dentro",DATOS_[Conc.Sal.27]))))), 0)</f>
        <v>0</v>
      </c>
      <c r="AG29" s="250" t="n">
        <f aca="false" t="array" ref="AG29:AG29">IFERROR( MEDIAN((IF(DATOS_[[Sexo]:[Sexo]]=$B29,IF(DATOS_[[AGRUP. VALOR. PTO.]:[AGRUP. VALOR. PTO.]]=$B27,IF(DATOS_[[Check Periodo Ref.]:[Check Periodo Ref.]]="Dentro",DATOS_[Conc.Sal.28]))))), 0)</f>
        <v>0</v>
      </c>
      <c r="AH29" s="250" t="n">
        <f aca="false" t="array" ref="AH29:AH29">IFERROR( MEDIAN((IF(DATOS_[[Sexo]:[Sexo]]=$B29,IF(DATOS_[[AGRUP. VALOR. PTO.]:[AGRUP. VALOR. PTO.]]=$B27,IF(DATOS_[[Check Periodo Ref.]:[Check Periodo Ref.]]="Dentro",DATOS_[Conc.Sal.29]))))), 0)</f>
        <v>0</v>
      </c>
      <c r="AI29" s="250" t="n">
        <f aca="false" t="array" ref="AI29:AI29">IFERROR( MEDIAN((IF(DATOS_[[Sexo]:[Sexo]]=$B29,IF(DATOS_[[AGRUP. VALOR. PTO.]:[AGRUP. VALOR. PTO.]]=$B27,IF(DATOS_[[Check Periodo Ref.]:[Check Periodo Ref.]]="Dentro",DATOS_[Conc.Sal.30]))))), 0)</f>
        <v>0</v>
      </c>
      <c r="AJ29" s="251" t="n">
        <f aca="false" t="array" ref="AJ29:AJ29">IFERROR( MEDIAN(IF(DATOS_[Sexo]=$B29,IF(DATOS_[AGRUP. VALOR. PTO.]=$B27,IF(DATOS_[Check Periodo Ref.]="Dentro",DATOS_[Tot COMPL.SAL Ef],0)))), 0)</f>
        <v>0</v>
      </c>
      <c r="AK29" s="252" t="n">
        <f aca="false" t="array" ref="AK29:AK29">IFERROR( MEDIAN(IF(DATOS_[Sexo]=$B29,IF(DATOS_[AGRUP. VALOR. PTO.]=$B27,IF(DATOS_[Check Periodo Ref.]="Dentro",DATOS_[TOTAL SALARIO Ef],0)))), 0)</f>
        <v>0</v>
      </c>
      <c r="AL29" s="259" t="n">
        <f aca="false" t="array" ref="AL29:AL29">IFERROR( MEDIAN((IF(DATOS_[[Sexo]:[Sexo]]=$B29,IF(DATOS_[[AGRUP. VALOR. PTO.]:[AGRUP. VALOR. PTO.]]=$B27,IF(DATOS_[[Check Periodo Ref.]:[Check Periodo Ref.]]="Dentro",DATOS_[C.Extra.01]))))), 0)</f>
        <v>0</v>
      </c>
      <c r="AM29" s="259" t="n">
        <f aca="false" t="array" ref="AM29:AM29">IFERROR( MEDIAN((IF(DATOS_[[Sexo]:[Sexo]]=$B29,IF(DATOS_[[AGRUP. VALOR. PTO.]:[AGRUP. VALOR. PTO.]]=$B27,IF(DATOS_[[Check Periodo Ref.]:[Check Periodo Ref.]]="Dentro",DATOS_[C.Extra.02]))))), 0)</f>
        <v>0</v>
      </c>
      <c r="AN29" s="259" t="n">
        <f aca="false" t="array" ref="AN29:AN29">IFERROR( MEDIAN((IF(DATOS_[[Sexo]:[Sexo]]=$B29,IF(DATOS_[[AGRUP. VALOR. PTO.]:[AGRUP. VALOR. PTO.]]=$B27,IF(DATOS_[[Check Periodo Ref.]:[Check Periodo Ref.]]="Dentro",DATOS_[C.Extra.03]))))), 0)</f>
        <v>0</v>
      </c>
      <c r="AO29" s="259" t="n">
        <f aca="false" t="array" ref="AO29:AO29">IFERROR( MEDIAN((IF(DATOS_[[Sexo]:[Sexo]]=$B29,IF(DATOS_[[AGRUP. VALOR. PTO.]:[AGRUP. VALOR. PTO.]]=$B27,IF(DATOS_[[Check Periodo Ref.]:[Check Periodo Ref.]]="Dentro",DATOS_[C.Extra.04]))))), 0)</f>
        <v>0</v>
      </c>
      <c r="AP29" s="259" t="n">
        <f aca="false" t="array" ref="AP29:AP29">IFERROR( MEDIAN((IF(DATOS_[[Sexo]:[Sexo]]=$B29,IF(DATOS_[[AGRUP. VALOR. PTO.]:[AGRUP. VALOR. PTO.]]=$B27,IF(DATOS_[[Check Periodo Ref.]:[Check Periodo Ref.]]="Dentro",DATOS_[C.Extra.05]))))), 0)</f>
        <v>0</v>
      </c>
      <c r="AQ29" s="254" t="n">
        <f aca="false" t="array" ref="AQ29:AQ29">IFERROR( MEDIAN(IF(DATOS_[Sexo]=$B29,IF(DATOS_[AGRUP. VALOR. PTO.]=$B27,IF(DATOS_[Check Periodo Ref.]="Dentro",DATOS_[Tot Extrasalarial Ef],0)))), 0)</f>
        <v>0</v>
      </c>
      <c r="AR29" s="255" t="n">
        <f aca="false" t="array" ref="AR29:AR29">IFERROR( MEDIAN(IF(DATOS_[Sexo]=$B29,IF(DATOS_[AGRUP. VALOR. PTO.]=$B27,IF(DATOS_[Check Periodo Ref.]="Dentro",DATOS_[TOTAL Retrib Ef],0)))), 0)</f>
        <v>0</v>
      </c>
    </row>
    <row r="30" customFormat="false" ht="15.75" hidden="false" customHeight="false" outlineLevel="0" collapsed="false">
      <c r="A30" s="217" t="str">
        <f aca="false">+A31</f>
        <v>[ocultar]</v>
      </c>
      <c r="B30" s="235" t="s">
        <v>184</v>
      </c>
      <c r="C30" s="236"/>
      <c r="D30" s="237"/>
      <c r="E30" s="238" t="str">
        <f aca="false">IFERROR((E31-E32)/E31,"")</f>
        <v/>
      </c>
      <c r="F30" s="239" t="str">
        <f aca="false">IFERROR((F31-F32)/F31,"")</f>
        <v/>
      </c>
      <c r="G30" s="239" t="str">
        <f aca="false">IFERROR((G31-G32)/G31,"")</f>
        <v/>
      </c>
      <c r="H30" s="239" t="str">
        <f aca="false">IFERROR((H31-H32)/H31,"")</f>
        <v/>
      </c>
      <c r="I30" s="239"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40" t="str">
        <f aca="false">IFERROR((V31-V32)/V31,"")</f>
        <v/>
      </c>
      <c r="W30" s="240" t="str">
        <f aca="false">IFERROR((W31-W32)/W31,"")</f>
        <v/>
      </c>
      <c r="X30" s="240" t="str">
        <f aca="false">IFERROR((X31-X32)/X31,"")</f>
        <v/>
      </c>
      <c r="Y30" s="240"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1" t="str">
        <f aca="false">IFERROR((AJ31-AJ32)/AJ31,"")</f>
        <v/>
      </c>
      <c r="AK30" s="242" t="str">
        <f aca="false">IFERROR((AK31-AK32)/AK31,"")</f>
        <v/>
      </c>
      <c r="AL30" s="243" t="str">
        <f aca="false">IFERROR((AL31-AL32)/AL31,"")</f>
        <v/>
      </c>
      <c r="AM30" s="243" t="str">
        <f aca="false">IFERROR((AM31-AM32)/AM31,"")</f>
        <v/>
      </c>
      <c r="AN30" s="243" t="str">
        <f aca="false">IFERROR((AN31-AN32)/AN31,"")</f>
        <v/>
      </c>
      <c r="AO30" s="243" t="str">
        <f aca="false">IFERROR((AO31-AO32)/AO31,"")</f>
        <v/>
      </c>
      <c r="AP30" s="243" t="str">
        <f aca="false">IFERROR((AP31-AP32)/AP31,"")</f>
        <v/>
      </c>
      <c r="AQ30" s="244" t="str">
        <f aca="false">IFERROR((AQ31-AQ32)/AQ31,"")</f>
        <v/>
      </c>
      <c r="AR30" s="245" t="str">
        <f aca="false">IFERROR((AR31-AR32)/AR31,"")</f>
        <v/>
      </c>
    </row>
    <row r="31" customFormat="false" ht="14.25" hidden="false" customHeight="false" outlineLevel="0" collapsed="false">
      <c r="A31" s="217" t="str">
        <f aca="false">+IF(C31+C32=0,"[ocultar]","")</f>
        <v>[ocultar]</v>
      </c>
      <c r="B31" s="246" t="s">
        <v>371</v>
      </c>
      <c r="C31" s="247" t="n">
        <f aca="false" t="array" ref="C31:C31">SUM(IF($B31=DATOS_[Sexo], IF($B30=DATOS_[AGRUP. VALOR. PTO.], IF("Dentro"=DATOS_[Check Periodo Ref.], 1/(COUNTIFS(DATOS_[Sexo],$B31,DATOS_[AGRUP. VALOR. PTO.],$B30,DATOS_[Check Periodo Ref.],"Dentro",DATOS_[id],DATOS_[id]))))))</f>
        <v>0</v>
      </c>
      <c r="D31" s="248" t="n">
        <f aca="false">COUNTIFS(DATOS_[AGRUP. VALOR. PTO.],$B30,DATOS_[Sexo],$B31,DATOS_[Check Periodo Ref.],"Dentro")</f>
        <v>0</v>
      </c>
      <c r="E31" s="249" t="n">
        <f aca="false" t="array" ref="E31:E31">IFERROR( MEDIAN(IF(DATOS_[Sexo]=$B31,IF(DATOS_[AGRUP. VALOR. PTO.]=$B30,IF(DATOS_[Check Periodo Ref.]="Dentro",DATOS_[SALARIO BASE Ef],0)))), 0)</f>
        <v>0</v>
      </c>
      <c r="F31" s="250" t="n">
        <f aca="false" t="array" ref="F31:F31">IFERROR( MEDIAN((IF(DATOS_[[Sexo]:[Sexo]]=$B31,IF(DATOS_[[AGRUP. VALOR. PTO.]:[AGRUP. VALOR. PTO.]]=$B30,IF(DATOS_[[Check Periodo Ref.]:[Check Periodo Ref.]]="Dentro",DATOS_[Conc.Sal.01]))))), 0)</f>
        <v>0</v>
      </c>
      <c r="G31" s="250" t="n">
        <f aca="false" t="array" ref="G31:G31">IFERROR( MEDIAN((IF(DATOS_[[Sexo]:[Sexo]]=$B31,IF(DATOS_[[AGRUP. VALOR. PTO.]:[AGRUP. VALOR. PTO.]]=$B30,IF(DATOS_[[Check Periodo Ref.]:[Check Periodo Ref.]]="Dentro",DATOS_[Conc.Sal.02]))))), 0)</f>
        <v>0</v>
      </c>
      <c r="H31" s="250" t="n">
        <f aca="false" t="array" ref="H31:H31">IFERROR( MEDIAN((IF(DATOS_[[Sexo]:[Sexo]]=$B31,IF(DATOS_[[AGRUP. VALOR. PTO.]:[AGRUP. VALOR. PTO.]]=$B30,IF(DATOS_[[Check Periodo Ref.]:[Check Periodo Ref.]]="Dentro",DATOS_[Conc.Sal.03]))))), 0)</f>
        <v>0</v>
      </c>
      <c r="I31" s="250" t="n">
        <f aca="false" t="array" ref="I31:I31">IFERROR( MEDIAN((IF(DATOS_[[Sexo]:[Sexo]]=$B31,IF(DATOS_[[AGRUP. VALOR. PTO.]:[AGRUP. VALOR. PTO.]]=$B30,IF(DATOS_[[Check Periodo Ref.]:[Check Periodo Ref.]]="Dentro",DATOS_[Conc.Sal.04]))))), 0)</f>
        <v>0</v>
      </c>
      <c r="J31" s="250" t="n">
        <f aca="false" t="array" ref="J31:J31">IFERROR( MEDIAN((IF(DATOS_[[Sexo]:[Sexo]]=$B31,IF(DATOS_[[AGRUP. VALOR. PTO.]:[AGRUP. VALOR. PTO.]]=$B30,IF(DATOS_[[Check Periodo Ref.]:[Check Periodo Ref.]]="Dentro",DATOS_[Conc.Sal.05]))))), 0)</f>
        <v>0</v>
      </c>
      <c r="K31" s="250" t="n">
        <f aca="false" t="array" ref="K31:K31">IFERROR( MEDIAN((IF(DATOS_[[Sexo]:[Sexo]]=$B31,IF(DATOS_[[AGRUP. VALOR. PTO.]:[AGRUP. VALOR. PTO.]]=$B30,IF(DATOS_[[Check Periodo Ref.]:[Check Periodo Ref.]]="Dentro",DATOS_[Conc.Sal.06]))))), 0)</f>
        <v>0</v>
      </c>
      <c r="L31" s="250" t="n">
        <f aca="false" t="array" ref="L31:L31">IFERROR( MEDIAN((IF(DATOS_[[Sexo]:[Sexo]]=$B31,IF(DATOS_[[AGRUP. VALOR. PTO.]:[AGRUP. VALOR. PTO.]]=$B30,IF(DATOS_[[Check Periodo Ref.]:[Check Periodo Ref.]]="Dentro",DATOS_[Conc.Sal.07]))))), 0)</f>
        <v>0</v>
      </c>
      <c r="M31" s="250" t="n">
        <f aca="false" t="array" ref="M31:M31">IFERROR( MEDIAN((IF(DATOS_[[Sexo]:[Sexo]]=$B31,IF(DATOS_[[AGRUP. VALOR. PTO.]:[AGRUP. VALOR. PTO.]]=$B30,IF(DATOS_[[Check Periodo Ref.]:[Check Periodo Ref.]]="Dentro",DATOS_[Conc.Sal.08]))))), 0)</f>
        <v>0</v>
      </c>
      <c r="N31" s="250" t="n">
        <f aca="false" t="array" ref="N31:N31">IFERROR( MEDIAN((IF(DATOS_[[Sexo]:[Sexo]]=$B31,IF(DATOS_[[AGRUP. VALOR. PTO.]:[AGRUP. VALOR. PTO.]]=$B30,IF(DATOS_[[Check Periodo Ref.]:[Check Periodo Ref.]]="Dentro",DATOS_[Conc.Sal.09]))))), 0)</f>
        <v>0</v>
      </c>
      <c r="O31" s="250" t="n">
        <f aca="false" t="array" ref="O31:O31">IFERROR( MEDIAN((IF(DATOS_[[Sexo]:[Sexo]]=$B31,IF(DATOS_[[AGRUP. VALOR. PTO.]:[AGRUP. VALOR. PTO.]]=$B30,IF(DATOS_[[Check Periodo Ref.]:[Check Periodo Ref.]]="Dentro",DATOS_[Conc.Sal.10]))))), 0)</f>
        <v>0</v>
      </c>
      <c r="P31" s="250" t="n">
        <f aca="false" t="array" ref="P31:P31">IFERROR( MEDIAN((IF(DATOS_[[Sexo]:[Sexo]]=$B31,IF(DATOS_[[AGRUP. VALOR. PTO.]:[AGRUP. VALOR. PTO.]]=$B30,IF(DATOS_[[Check Periodo Ref.]:[Check Periodo Ref.]]="Dentro",DATOS_[Conc.Sal.11]))))), 0)</f>
        <v>0</v>
      </c>
      <c r="Q31" s="250" t="n">
        <f aca="false" t="array" ref="Q31:Q31">IFERROR( MEDIAN((IF(DATOS_[[Sexo]:[Sexo]]=$B31,IF(DATOS_[[AGRUP. VALOR. PTO.]:[AGRUP. VALOR. PTO.]]=$B30,IF(DATOS_[[Check Periodo Ref.]:[Check Periodo Ref.]]="Dentro",DATOS_[Conc.Sal.12]))))), 0)</f>
        <v>0</v>
      </c>
      <c r="R31" s="250" t="n">
        <f aca="false" t="array" ref="R31:R31">IFERROR( MEDIAN((IF(DATOS_[[Sexo]:[Sexo]]=$B31,IF(DATOS_[[AGRUP. VALOR. PTO.]:[AGRUP. VALOR. PTO.]]=$B30,IF(DATOS_[[Check Periodo Ref.]:[Check Periodo Ref.]]="Dentro",DATOS_[Conc.Sal.13]))))), 0)</f>
        <v>0</v>
      </c>
      <c r="S31" s="250" t="n">
        <f aca="false" t="array" ref="S31:S31">IFERROR( MEDIAN((IF(DATOS_[[Sexo]:[Sexo]]=$B31,IF(DATOS_[[AGRUP. VALOR. PTO.]:[AGRUP. VALOR. PTO.]]=$B30,IF(DATOS_[[Check Periodo Ref.]:[Check Periodo Ref.]]="Dentro",DATOS_[Conc.Sal.14]))))), 0)</f>
        <v>0</v>
      </c>
      <c r="T31" s="250" t="n">
        <f aca="false" t="array" ref="T31:T31">IFERROR( MEDIAN((IF(DATOS_[[Sexo]:[Sexo]]=$B31,IF(DATOS_[[AGRUP. VALOR. PTO.]:[AGRUP. VALOR. PTO.]]=$B30,IF(DATOS_[[Check Periodo Ref.]:[Check Periodo Ref.]]="Dentro",DATOS_[Conc.Sal.15]))))), 0)</f>
        <v>0</v>
      </c>
      <c r="U31" s="250" t="n">
        <f aca="false" t="array" ref="U31:U31">IFERROR( MEDIAN((IF(DATOS_[[Sexo]:[Sexo]]=$B31,IF(DATOS_[[AGRUP. VALOR. PTO.]:[AGRUP. VALOR. PTO.]]=$B30,IF(DATOS_[[Check Periodo Ref.]:[Check Periodo Ref.]]="Dentro",DATOS_[Conc.Sal.16]))))), 0)</f>
        <v>0</v>
      </c>
      <c r="V31" s="250" t="n">
        <f aca="false" t="array" ref="V31:V31">IFERROR( MEDIAN((IF(DATOS_[[Sexo]:[Sexo]]=$B31,IF(DATOS_[[AGRUP. VALOR. PTO.]:[AGRUP. VALOR. PTO.]]=$B30,IF(DATOS_[[Check Periodo Ref.]:[Check Periodo Ref.]]="Dentro",DATOS_[Conc.Sal.17]))))), 0)</f>
        <v>0</v>
      </c>
      <c r="W31" s="250" t="n">
        <f aca="false" t="array" ref="W31:W31">IFERROR( MEDIAN((IF(DATOS_[[Sexo]:[Sexo]]=$B31,IF(DATOS_[[AGRUP. VALOR. PTO.]:[AGRUP. VALOR. PTO.]]=$B30,IF(DATOS_[[Check Periodo Ref.]:[Check Periodo Ref.]]="Dentro",DATOS_[Conc.Sal.18]))))), 0)</f>
        <v>0</v>
      </c>
      <c r="X31" s="250" t="n">
        <f aca="false" t="array" ref="X31:X31">IFERROR( MEDIAN((IF(DATOS_[[Sexo]:[Sexo]]=$B31,IF(DATOS_[[AGRUP. VALOR. PTO.]:[AGRUP. VALOR. PTO.]]=$B30,IF(DATOS_[[Check Periodo Ref.]:[Check Periodo Ref.]]="Dentro",DATOS_[Conc.Sal.19]))))), 0)</f>
        <v>0</v>
      </c>
      <c r="Y31" s="250" t="n">
        <f aca="false" t="array" ref="Y31:Y31">IFERROR( MEDIAN((IF(DATOS_[[Sexo]:[Sexo]]=$B31,IF(DATOS_[[AGRUP. VALOR. PTO.]:[AGRUP. VALOR. PTO.]]=$B30,IF(DATOS_[[Check Periodo Ref.]:[Check Periodo Ref.]]="Dentro",DATOS_[Conc.Sal.20]))))), 0)</f>
        <v>0</v>
      </c>
      <c r="Z31" s="250" t="n">
        <f aca="false" t="array" ref="Z31:Z31">IFERROR( MEDIAN((IF(DATOS_[[Sexo]:[Sexo]]=$B31,IF(DATOS_[[AGRUP. VALOR. PTO.]:[AGRUP. VALOR. PTO.]]=$B30,IF(DATOS_[[Check Periodo Ref.]:[Check Periodo Ref.]]="Dentro",DATOS_[Conc.Sal.21]))))), 0)</f>
        <v>0</v>
      </c>
      <c r="AA31" s="250" t="n">
        <f aca="false" t="array" ref="AA31:AA31">IFERROR( MEDIAN((IF(DATOS_[[Sexo]:[Sexo]]=$B31,IF(DATOS_[[AGRUP. VALOR. PTO.]:[AGRUP. VALOR. PTO.]]=$B30,IF(DATOS_[[Check Periodo Ref.]:[Check Periodo Ref.]]="Dentro",DATOS_[Conc.Sal.22]))))), 0)</f>
        <v>0</v>
      </c>
      <c r="AB31" s="250" t="n">
        <f aca="false" t="array" ref="AB31:AB31">IFERROR( MEDIAN((IF(DATOS_[[Sexo]:[Sexo]]=$B31,IF(DATOS_[[AGRUP. VALOR. PTO.]:[AGRUP. VALOR. PTO.]]=$B30,IF(DATOS_[[Check Periodo Ref.]:[Check Periodo Ref.]]="Dentro",DATOS_[Conc.Sal.23]))))), 0)</f>
        <v>0</v>
      </c>
      <c r="AC31" s="250" t="n">
        <f aca="false" t="array" ref="AC31:AC31">IFERROR( MEDIAN((IF(DATOS_[[Sexo]:[Sexo]]=$B31,IF(DATOS_[[AGRUP. VALOR. PTO.]:[AGRUP. VALOR. PTO.]]=$B30,IF(DATOS_[[Check Periodo Ref.]:[Check Periodo Ref.]]="Dentro",DATOS_[Conc.Sal.24]))))), 0)</f>
        <v>0</v>
      </c>
      <c r="AD31" s="250" t="n">
        <f aca="false" t="array" ref="AD31:AD31">IFERROR( MEDIAN((IF(DATOS_[[Sexo]:[Sexo]]=$B31,IF(DATOS_[[AGRUP. VALOR. PTO.]:[AGRUP. VALOR. PTO.]]=$B30,IF(DATOS_[[Check Periodo Ref.]:[Check Periodo Ref.]]="Dentro",DATOS_[Conc.Sal.25]))))), 0)</f>
        <v>0</v>
      </c>
      <c r="AE31" s="250" t="n">
        <f aca="false" t="array" ref="AE31:AE31">IFERROR( MEDIAN((IF(DATOS_[[Sexo]:[Sexo]]=$B31,IF(DATOS_[[AGRUP. VALOR. PTO.]:[AGRUP. VALOR. PTO.]]=$B30,IF(DATOS_[[Check Periodo Ref.]:[Check Periodo Ref.]]="Dentro",DATOS_[Conc.Sal.26]))))), 0)</f>
        <v>0</v>
      </c>
      <c r="AF31" s="250" t="n">
        <f aca="false" t="array" ref="AF31:AF31">IFERROR( MEDIAN((IF(DATOS_[[Sexo]:[Sexo]]=$B31,IF(DATOS_[[AGRUP. VALOR. PTO.]:[AGRUP. VALOR. PTO.]]=$B30,IF(DATOS_[[Check Periodo Ref.]:[Check Periodo Ref.]]="Dentro",DATOS_[Conc.Sal.27]))))), 0)</f>
        <v>0</v>
      </c>
      <c r="AG31" s="250" t="n">
        <f aca="false" t="array" ref="AG31:AG31">IFERROR( MEDIAN((IF(DATOS_[[Sexo]:[Sexo]]=$B31,IF(DATOS_[[AGRUP. VALOR. PTO.]:[AGRUP. VALOR. PTO.]]=$B30,IF(DATOS_[[Check Periodo Ref.]:[Check Periodo Ref.]]="Dentro",DATOS_[Conc.Sal.28]))))), 0)</f>
        <v>0</v>
      </c>
      <c r="AH31" s="250" t="n">
        <f aca="false" t="array" ref="AH31:AH31">IFERROR( MEDIAN((IF(DATOS_[[Sexo]:[Sexo]]=$B31,IF(DATOS_[[AGRUP. VALOR. PTO.]:[AGRUP. VALOR. PTO.]]=$B30,IF(DATOS_[[Check Periodo Ref.]:[Check Periodo Ref.]]="Dentro",DATOS_[Conc.Sal.29]))))), 0)</f>
        <v>0</v>
      </c>
      <c r="AI31" s="250" t="n">
        <f aca="false" t="array" ref="AI31:AI31">IFERROR( MEDIAN((IF(DATOS_[[Sexo]:[Sexo]]=$B31,IF(DATOS_[[AGRUP. VALOR. PTO.]:[AGRUP. VALOR. PTO.]]=$B30,IF(DATOS_[[Check Periodo Ref.]:[Check Periodo Ref.]]="Dentro",DATOS_[Conc.Sal.30]))))), 0)</f>
        <v>0</v>
      </c>
      <c r="AJ31" s="251" t="n">
        <f aca="false" t="array" ref="AJ31:AJ31">IFERROR( MEDIAN(IF(DATOS_[Sexo]=$B31,IF(DATOS_[AGRUP. VALOR. PTO.]=$B30,IF(DATOS_[Check Periodo Ref.]="Dentro",DATOS_[Tot COMPL.SAL Ef],0)))), 0)</f>
        <v>0</v>
      </c>
      <c r="AK31" s="252" t="n">
        <f aca="false" t="array" ref="AK31:AK31">IFERROR( MEDIAN(IF(DATOS_[Sexo]=$B31,IF(DATOS_[AGRUP. VALOR. PTO.]=$B30,IF(DATOS_[Check Periodo Ref.]="Dentro",DATOS_[TOTAL SALARIO Ef],0)))), 0)</f>
        <v>0</v>
      </c>
      <c r="AL31" s="259" t="n">
        <f aca="false" t="array" ref="AL31:AL31">IFERROR( MEDIAN((IF(DATOS_[[Sexo]:[Sexo]]=$B31,IF(DATOS_[[AGRUP. VALOR. PTO.]:[AGRUP. VALOR. PTO.]]=$B30,IF(DATOS_[[Check Periodo Ref.]:[Check Periodo Ref.]]="Dentro",DATOS_[C.Extra.01]))))), 0)</f>
        <v>0</v>
      </c>
      <c r="AM31" s="259" t="n">
        <f aca="false" t="array" ref="AM31:AM31">IFERROR( MEDIAN((IF(DATOS_[[Sexo]:[Sexo]]=$B31,IF(DATOS_[[AGRUP. VALOR. PTO.]:[AGRUP. VALOR. PTO.]]=$B30,IF(DATOS_[[Check Periodo Ref.]:[Check Periodo Ref.]]="Dentro",DATOS_[C.Extra.02]))))), 0)</f>
        <v>0</v>
      </c>
      <c r="AN31" s="259" t="n">
        <f aca="false" t="array" ref="AN31:AN31">IFERROR( MEDIAN((IF(DATOS_[[Sexo]:[Sexo]]=$B31,IF(DATOS_[[AGRUP. VALOR. PTO.]:[AGRUP. VALOR. PTO.]]=$B30,IF(DATOS_[[Check Periodo Ref.]:[Check Periodo Ref.]]="Dentro",DATOS_[C.Extra.03]))))), 0)</f>
        <v>0</v>
      </c>
      <c r="AO31" s="259" t="n">
        <f aca="false" t="array" ref="AO31:AO31">IFERROR( MEDIAN((IF(DATOS_[[Sexo]:[Sexo]]=$B31,IF(DATOS_[[AGRUP. VALOR. PTO.]:[AGRUP. VALOR. PTO.]]=$B30,IF(DATOS_[[Check Periodo Ref.]:[Check Periodo Ref.]]="Dentro",DATOS_[C.Extra.04]))))), 0)</f>
        <v>0</v>
      </c>
      <c r="AP31" s="259" t="n">
        <f aca="false" t="array" ref="AP31:AP31">IFERROR( MEDIAN((IF(DATOS_[[Sexo]:[Sexo]]=$B31,IF(DATOS_[[AGRUP. VALOR. PTO.]:[AGRUP. VALOR. PTO.]]=$B30,IF(DATOS_[[Check Periodo Ref.]:[Check Periodo Ref.]]="Dentro",DATOS_[C.Extra.05]))))), 0)</f>
        <v>0</v>
      </c>
      <c r="AQ31" s="254" t="n">
        <f aca="false" t="array" ref="AQ31:AQ31">IFERROR( MEDIAN(IF(DATOS_[Sexo]=$B31,IF(DATOS_[AGRUP. VALOR. PTO.]=$B30,IF(DATOS_[Check Periodo Ref.]="Dentro",DATOS_[Tot Extrasalarial Ef],0)))), 0)</f>
        <v>0</v>
      </c>
      <c r="AR31" s="255" t="n">
        <f aca="false" t="array" ref="AR31:AR31">IFERROR( MEDIAN(IF(DATOS_[Sexo]=$B31,IF(DATOS_[AGRUP. VALOR. PTO.]=$B30,IF(DATOS_[Check Periodo Ref.]="Dentro",DATOS_[TOTAL Retrib Ef],0)))), 0)</f>
        <v>0</v>
      </c>
    </row>
    <row r="32" customFormat="false" ht="14.25" hidden="false" customHeight="false" outlineLevel="0" collapsed="false">
      <c r="A32" s="217" t="str">
        <f aca="false">+A31</f>
        <v>[ocultar]</v>
      </c>
      <c r="B32" s="246" t="s">
        <v>372</v>
      </c>
      <c r="C32" s="247" t="n">
        <f aca="false" t="array" ref="C32:C32">SUM(IF($B32=DATOS_[Sexo], IF($B30=DATOS_[AGRUP. VALOR. PTO.], IF("Dentro"=DATOS_[Check Periodo Ref.], 1/(COUNTIFS(DATOS_[Sexo],$B32,DATOS_[AGRUP. VALOR. PTO.],$B30,DATOS_[Check Periodo Ref.],"Dentro",DATOS_[id],DATOS_[id]))))))</f>
        <v>0</v>
      </c>
      <c r="D32" s="248" t="n">
        <f aca="false">COUNTIFS(DATOS_[AGRUP. VALOR. PTO.],$B30,DATOS_[Sexo],$B32,DATOS_[Check Periodo Ref.],"Dentro")</f>
        <v>0</v>
      </c>
      <c r="E32" s="249" t="n">
        <f aca="false" t="array" ref="E32:E32">IFERROR( MEDIAN(IF(DATOS_[Sexo]=$B32,IF(DATOS_[AGRUP. VALOR. PTO.]=$B30,IF(DATOS_[Check Periodo Ref.]="Dentro",DATOS_[SALARIO BASE Ef],0)))), 0)</f>
        <v>0</v>
      </c>
      <c r="F32" s="250" t="n">
        <f aca="false" t="array" ref="F32:F32">IFERROR( MEDIAN((IF(DATOS_[[Sexo]:[Sexo]]=$B32,IF(DATOS_[[AGRUP. VALOR. PTO.]:[AGRUP. VALOR. PTO.]]=$B30,IF(DATOS_[[Check Periodo Ref.]:[Check Periodo Ref.]]="Dentro",DATOS_[Conc.Sal.01]))))), 0)</f>
        <v>0</v>
      </c>
      <c r="G32" s="250" t="n">
        <f aca="false" t="array" ref="G32:G32">IFERROR( MEDIAN((IF(DATOS_[[Sexo]:[Sexo]]=$B32,IF(DATOS_[[AGRUP. VALOR. PTO.]:[AGRUP. VALOR. PTO.]]=$B30,IF(DATOS_[[Check Periodo Ref.]:[Check Periodo Ref.]]="Dentro",DATOS_[Conc.Sal.02]))))), 0)</f>
        <v>0</v>
      </c>
      <c r="H32" s="250" t="n">
        <f aca="false" t="array" ref="H32:H32">IFERROR( MEDIAN((IF(DATOS_[[Sexo]:[Sexo]]=$B32,IF(DATOS_[[AGRUP. VALOR. PTO.]:[AGRUP. VALOR. PTO.]]=$B30,IF(DATOS_[[Check Periodo Ref.]:[Check Periodo Ref.]]="Dentro",DATOS_[Conc.Sal.03]))))), 0)</f>
        <v>0</v>
      </c>
      <c r="I32" s="250" t="n">
        <f aca="false" t="array" ref="I32:I32">IFERROR( MEDIAN((IF(DATOS_[[Sexo]:[Sexo]]=$B32,IF(DATOS_[[AGRUP. VALOR. PTO.]:[AGRUP. VALOR. PTO.]]=$B30,IF(DATOS_[[Check Periodo Ref.]:[Check Periodo Ref.]]="Dentro",DATOS_[Conc.Sal.04]))))), 0)</f>
        <v>0</v>
      </c>
      <c r="J32" s="250" t="n">
        <f aca="false" t="array" ref="J32:J32">IFERROR( MEDIAN((IF(DATOS_[[Sexo]:[Sexo]]=$B32,IF(DATOS_[[AGRUP. VALOR. PTO.]:[AGRUP. VALOR. PTO.]]=$B30,IF(DATOS_[[Check Periodo Ref.]:[Check Periodo Ref.]]="Dentro",DATOS_[Conc.Sal.05]))))), 0)</f>
        <v>0</v>
      </c>
      <c r="K32" s="250" t="n">
        <f aca="false" t="array" ref="K32:K32">IFERROR( MEDIAN((IF(DATOS_[[Sexo]:[Sexo]]=$B32,IF(DATOS_[[AGRUP. VALOR. PTO.]:[AGRUP. VALOR. PTO.]]=$B30,IF(DATOS_[[Check Periodo Ref.]:[Check Periodo Ref.]]="Dentro",DATOS_[Conc.Sal.06]))))), 0)</f>
        <v>0</v>
      </c>
      <c r="L32" s="250" t="n">
        <f aca="false" t="array" ref="L32:L32">IFERROR( MEDIAN((IF(DATOS_[[Sexo]:[Sexo]]=$B32,IF(DATOS_[[AGRUP. VALOR. PTO.]:[AGRUP. VALOR. PTO.]]=$B30,IF(DATOS_[[Check Periodo Ref.]:[Check Periodo Ref.]]="Dentro",DATOS_[Conc.Sal.07]))))), 0)</f>
        <v>0</v>
      </c>
      <c r="M32" s="250" t="n">
        <f aca="false" t="array" ref="M32:M32">IFERROR( MEDIAN((IF(DATOS_[[Sexo]:[Sexo]]=$B32,IF(DATOS_[[AGRUP. VALOR. PTO.]:[AGRUP. VALOR. PTO.]]=$B30,IF(DATOS_[[Check Periodo Ref.]:[Check Periodo Ref.]]="Dentro",DATOS_[Conc.Sal.08]))))), 0)</f>
        <v>0</v>
      </c>
      <c r="N32" s="250" t="n">
        <f aca="false" t="array" ref="N32:N32">IFERROR( MEDIAN((IF(DATOS_[[Sexo]:[Sexo]]=$B32,IF(DATOS_[[AGRUP. VALOR. PTO.]:[AGRUP. VALOR. PTO.]]=$B30,IF(DATOS_[[Check Periodo Ref.]:[Check Periodo Ref.]]="Dentro",DATOS_[Conc.Sal.09]))))), 0)</f>
        <v>0</v>
      </c>
      <c r="O32" s="250" t="n">
        <f aca="false" t="array" ref="O32:O32">IFERROR( MEDIAN((IF(DATOS_[[Sexo]:[Sexo]]=$B32,IF(DATOS_[[AGRUP. VALOR. PTO.]:[AGRUP. VALOR. PTO.]]=$B30,IF(DATOS_[[Check Periodo Ref.]:[Check Periodo Ref.]]="Dentro",DATOS_[Conc.Sal.10]))))), 0)</f>
        <v>0</v>
      </c>
      <c r="P32" s="250" t="n">
        <f aca="false" t="array" ref="P32:P32">IFERROR( MEDIAN((IF(DATOS_[[Sexo]:[Sexo]]=$B32,IF(DATOS_[[AGRUP. VALOR. PTO.]:[AGRUP. VALOR. PTO.]]=$B30,IF(DATOS_[[Check Periodo Ref.]:[Check Periodo Ref.]]="Dentro",DATOS_[Conc.Sal.11]))))), 0)</f>
        <v>0</v>
      </c>
      <c r="Q32" s="250" t="n">
        <f aca="false" t="array" ref="Q32:Q32">IFERROR( MEDIAN((IF(DATOS_[[Sexo]:[Sexo]]=$B32,IF(DATOS_[[AGRUP. VALOR. PTO.]:[AGRUP. VALOR. PTO.]]=$B30,IF(DATOS_[[Check Periodo Ref.]:[Check Periodo Ref.]]="Dentro",DATOS_[Conc.Sal.12]))))), 0)</f>
        <v>0</v>
      </c>
      <c r="R32" s="250" t="n">
        <f aca="false" t="array" ref="R32:R32">IFERROR( MEDIAN((IF(DATOS_[[Sexo]:[Sexo]]=$B32,IF(DATOS_[[AGRUP. VALOR. PTO.]:[AGRUP. VALOR. PTO.]]=$B30,IF(DATOS_[[Check Periodo Ref.]:[Check Periodo Ref.]]="Dentro",DATOS_[Conc.Sal.13]))))), 0)</f>
        <v>0</v>
      </c>
      <c r="S32" s="250" t="n">
        <f aca="false" t="array" ref="S32:S32">IFERROR( MEDIAN((IF(DATOS_[[Sexo]:[Sexo]]=$B32,IF(DATOS_[[AGRUP. VALOR. PTO.]:[AGRUP. VALOR. PTO.]]=$B30,IF(DATOS_[[Check Periodo Ref.]:[Check Periodo Ref.]]="Dentro",DATOS_[Conc.Sal.14]))))), 0)</f>
        <v>0</v>
      </c>
      <c r="T32" s="250" t="n">
        <f aca="false" t="array" ref="T32:T32">IFERROR( MEDIAN((IF(DATOS_[[Sexo]:[Sexo]]=$B32,IF(DATOS_[[AGRUP. VALOR. PTO.]:[AGRUP. VALOR. PTO.]]=$B30,IF(DATOS_[[Check Periodo Ref.]:[Check Periodo Ref.]]="Dentro",DATOS_[Conc.Sal.15]))))), 0)</f>
        <v>0</v>
      </c>
      <c r="U32" s="250" t="n">
        <f aca="false" t="array" ref="U32:U32">IFERROR( MEDIAN((IF(DATOS_[[Sexo]:[Sexo]]=$B32,IF(DATOS_[[AGRUP. VALOR. PTO.]:[AGRUP. VALOR. PTO.]]=$B30,IF(DATOS_[[Check Periodo Ref.]:[Check Periodo Ref.]]="Dentro",DATOS_[Conc.Sal.16]))))), 0)</f>
        <v>0</v>
      </c>
      <c r="V32" s="250" t="n">
        <f aca="false" t="array" ref="V32:V32">IFERROR( MEDIAN((IF(DATOS_[[Sexo]:[Sexo]]=$B32,IF(DATOS_[[AGRUP. VALOR. PTO.]:[AGRUP. VALOR. PTO.]]=$B30,IF(DATOS_[[Check Periodo Ref.]:[Check Periodo Ref.]]="Dentro",DATOS_[Conc.Sal.17]))))), 0)</f>
        <v>0</v>
      </c>
      <c r="W32" s="250" t="n">
        <f aca="false" t="array" ref="W32:W32">IFERROR( MEDIAN((IF(DATOS_[[Sexo]:[Sexo]]=$B32,IF(DATOS_[[AGRUP. VALOR. PTO.]:[AGRUP. VALOR. PTO.]]=$B30,IF(DATOS_[[Check Periodo Ref.]:[Check Periodo Ref.]]="Dentro",DATOS_[Conc.Sal.18]))))), 0)</f>
        <v>0</v>
      </c>
      <c r="X32" s="250" t="n">
        <f aca="false" t="array" ref="X32:X32">IFERROR( MEDIAN((IF(DATOS_[[Sexo]:[Sexo]]=$B32,IF(DATOS_[[AGRUP. VALOR. PTO.]:[AGRUP. VALOR. PTO.]]=$B30,IF(DATOS_[[Check Periodo Ref.]:[Check Periodo Ref.]]="Dentro",DATOS_[Conc.Sal.19]))))), 0)</f>
        <v>0</v>
      </c>
      <c r="Y32" s="250" t="n">
        <f aca="false" t="array" ref="Y32:Y32">IFERROR( MEDIAN((IF(DATOS_[[Sexo]:[Sexo]]=$B32,IF(DATOS_[[AGRUP. VALOR. PTO.]:[AGRUP. VALOR. PTO.]]=$B30,IF(DATOS_[[Check Periodo Ref.]:[Check Periodo Ref.]]="Dentro",DATOS_[Conc.Sal.20]))))), 0)</f>
        <v>0</v>
      </c>
      <c r="Z32" s="250" t="n">
        <f aca="false" t="array" ref="Z32:Z32">IFERROR( MEDIAN((IF(DATOS_[[Sexo]:[Sexo]]=$B32,IF(DATOS_[[AGRUP. VALOR. PTO.]:[AGRUP. VALOR. PTO.]]=$B30,IF(DATOS_[[Check Periodo Ref.]:[Check Periodo Ref.]]="Dentro",DATOS_[Conc.Sal.21]))))), 0)</f>
        <v>0</v>
      </c>
      <c r="AA32" s="250" t="n">
        <f aca="false" t="array" ref="AA32:AA32">IFERROR( MEDIAN((IF(DATOS_[[Sexo]:[Sexo]]=$B32,IF(DATOS_[[AGRUP. VALOR. PTO.]:[AGRUP. VALOR. PTO.]]=$B30,IF(DATOS_[[Check Periodo Ref.]:[Check Periodo Ref.]]="Dentro",DATOS_[Conc.Sal.22]))))), 0)</f>
        <v>0</v>
      </c>
      <c r="AB32" s="250" t="n">
        <f aca="false" t="array" ref="AB32:AB32">IFERROR( MEDIAN((IF(DATOS_[[Sexo]:[Sexo]]=$B32,IF(DATOS_[[AGRUP. VALOR. PTO.]:[AGRUP. VALOR. PTO.]]=$B30,IF(DATOS_[[Check Periodo Ref.]:[Check Periodo Ref.]]="Dentro",DATOS_[Conc.Sal.23]))))), 0)</f>
        <v>0</v>
      </c>
      <c r="AC32" s="250" t="n">
        <f aca="false" t="array" ref="AC32:AC32">IFERROR( MEDIAN((IF(DATOS_[[Sexo]:[Sexo]]=$B32,IF(DATOS_[[AGRUP. VALOR. PTO.]:[AGRUP. VALOR. PTO.]]=$B30,IF(DATOS_[[Check Periodo Ref.]:[Check Periodo Ref.]]="Dentro",DATOS_[Conc.Sal.24]))))), 0)</f>
        <v>0</v>
      </c>
      <c r="AD32" s="250" t="n">
        <f aca="false" t="array" ref="AD32:AD32">IFERROR( MEDIAN((IF(DATOS_[[Sexo]:[Sexo]]=$B32,IF(DATOS_[[AGRUP. VALOR. PTO.]:[AGRUP. VALOR. PTO.]]=$B30,IF(DATOS_[[Check Periodo Ref.]:[Check Periodo Ref.]]="Dentro",DATOS_[Conc.Sal.25]))))), 0)</f>
        <v>0</v>
      </c>
      <c r="AE32" s="250" t="n">
        <f aca="false" t="array" ref="AE32:AE32">IFERROR( MEDIAN((IF(DATOS_[[Sexo]:[Sexo]]=$B32,IF(DATOS_[[AGRUP. VALOR. PTO.]:[AGRUP. VALOR. PTO.]]=$B30,IF(DATOS_[[Check Periodo Ref.]:[Check Periodo Ref.]]="Dentro",DATOS_[Conc.Sal.26]))))), 0)</f>
        <v>0</v>
      </c>
      <c r="AF32" s="250" t="n">
        <f aca="false" t="array" ref="AF32:AF32">IFERROR( MEDIAN((IF(DATOS_[[Sexo]:[Sexo]]=$B32,IF(DATOS_[[AGRUP. VALOR. PTO.]:[AGRUP. VALOR. PTO.]]=$B30,IF(DATOS_[[Check Periodo Ref.]:[Check Periodo Ref.]]="Dentro",DATOS_[Conc.Sal.27]))))), 0)</f>
        <v>0</v>
      </c>
      <c r="AG32" s="250" t="n">
        <f aca="false" t="array" ref="AG32:AG32">IFERROR( MEDIAN((IF(DATOS_[[Sexo]:[Sexo]]=$B32,IF(DATOS_[[AGRUP. VALOR. PTO.]:[AGRUP. VALOR. PTO.]]=$B30,IF(DATOS_[[Check Periodo Ref.]:[Check Periodo Ref.]]="Dentro",DATOS_[Conc.Sal.28]))))), 0)</f>
        <v>0</v>
      </c>
      <c r="AH32" s="250" t="n">
        <f aca="false" t="array" ref="AH32:AH32">IFERROR( MEDIAN((IF(DATOS_[[Sexo]:[Sexo]]=$B32,IF(DATOS_[[AGRUP. VALOR. PTO.]:[AGRUP. VALOR. PTO.]]=$B30,IF(DATOS_[[Check Periodo Ref.]:[Check Periodo Ref.]]="Dentro",DATOS_[Conc.Sal.29]))))), 0)</f>
        <v>0</v>
      </c>
      <c r="AI32" s="250" t="n">
        <f aca="false" t="array" ref="AI32:AI32">IFERROR( MEDIAN((IF(DATOS_[[Sexo]:[Sexo]]=$B32,IF(DATOS_[[AGRUP. VALOR. PTO.]:[AGRUP. VALOR. PTO.]]=$B30,IF(DATOS_[[Check Periodo Ref.]:[Check Periodo Ref.]]="Dentro",DATOS_[Conc.Sal.30]))))), 0)</f>
        <v>0</v>
      </c>
      <c r="AJ32" s="251" t="n">
        <f aca="false" t="array" ref="AJ32:AJ32">IFERROR( MEDIAN(IF(DATOS_[Sexo]=$B32,IF(DATOS_[AGRUP. VALOR. PTO.]=$B30,IF(DATOS_[Check Periodo Ref.]="Dentro",DATOS_[Tot COMPL.SAL Ef],0)))), 0)</f>
        <v>0</v>
      </c>
      <c r="AK32" s="252" t="n">
        <f aca="false" t="array" ref="AK32:AK32">IFERROR( MEDIAN(IF(DATOS_[Sexo]=$B32,IF(DATOS_[AGRUP. VALOR. PTO.]=$B30,IF(DATOS_[Check Periodo Ref.]="Dentro",DATOS_[TOTAL SALARIO Ef],0)))), 0)</f>
        <v>0</v>
      </c>
      <c r="AL32" s="259" t="n">
        <f aca="false" t="array" ref="AL32:AL32">IFERROR( MEDIAN((IF(DATOS_[[Sexo]:[Sexo]]=$B32,IF(DATOS_[[AGRUP. VALOR. PTO.]:[AGRUP. VALOR. PTO.]]=$B30,IF(DATOS_[[Check Periodo Ref.]:[Check Periodo Ref.]]="Dentro",DATOS_[C.Extra.01]))))), 0)</f>
        <v>0</v>
      </c>
      <c r="AM32" s="259" t="n">
        <f aca="false" t="array" ref="AM32:AM32">IFERROR( MEDIAN((IF(DATOS_[[Sexo]:[Sexo]]=$B32,IF(DATOS_[[AGRUP. VALOR. PTO.]:[AGRUP. VALOR. PTO.]]=$B30,IF(DATOS_[[Check Periodo Ref.]:[Check Periodo Ref.]]="Dentro",DATOS_[C.Extra.02]))))), 0)</f>
        <v>0</v>
      </c>
      <c r="AN32" s="259" t="n">
        <f aca="false" t="array" ref="AN32:AN32">IFERROR( MEDIAN((IF(DATOS_[[Sexo]:[Sexo]]=$B32,IF(DATOS_[[AGRUP. VALOR. PTO.]:[AGRUP. VALOR. PTO.]]=$B30,IF(DATOS_[[Check Periodo Ref.]:[Check Periodo Ref.]]="Dentro",DATOS_[C.Extra.03]))))), 0)</f>
        <v>0</v>
      </c>
      <c r="AO32" s="259" t="n">
        <f aca="false" t="array" ref="AO32:AO32">IFERROR( MEDIAN((IF(DATOS_[[Sexo]:[Sexo]]=$B32,IF(DATOS_[[AGRUP. VALOR. PTO.]:[AGRUP. VALOR. PTO.]]=$B30,IF(DATOS_[[Check Periodo Ref.]:[Check Periodo Ref.]]="Dentro",DATOS_[C.Extra.04]))))), 0)</f>
        <v>0</v>
      </c>
      <c r="AP32" s="259" t="n">
        <f aca="false" t="array" ref="AP32:AP32">IFERROR( MEDIAN((IF(DATOS_[[Sexo]:[Sexo]]=$B32,IF(DATOS_[[AGRUP. VALOR. PTO.]:[AGRUP. VALOR. PTO.]]=$B30,IF(DATOS_[[Check Periodo Ref.]:[Check Periodo Ref.]]="Dentro",DATOS_[C.Extra.05]))))), 0)</f>
        <v>0</v>
      </c>
      <c r="AQ32" s="254" t="n">
        <f aca="false" t="array" ref="AQ32:AQ32">IFERROR( MEDIAN(IF(DATOS_[Sexo]=$B32,IF(DATOS_[AGRUP. VALOR. PTO.]=$B30,IF(DATOS_[Check Periodo Ref.]="Dentro",DATOS_[Tot Extrasalarial Ef],0)))), 0)</f>
        <v>0</v>
      </c>
      <c r="AR32" s="255" t="n">
        <f aca="false" t="array" ref="AR32:AR32">IFERROR( MEDIAN(IF(DATOS_[Sexo]=$B32,IF(DATOS_[AGRUP. VALOR. PTO.]=$B30,IF(DATOS_[Check Periodo Ref.]="Dentro",DATOS_[TOTAL Retrib Ef],0)))), 0)</f>
        <v>0</v>
      </c>
    </row>
    <row r="33" customFormat="false" ht="15.75" hidden="false" customHeight="false" outlineLevel="0" collapsed="false">
      <c r="A33" s="217" t="str">
        <f aca="false">+A34</f>
        <v>[ocultar]</v>
      </c>
      <c r="B33" s="235" t="s">
        <v>187</v>
      </c>
      <c r="C33" s="236"/>
      <c r="D33" s="237"/>
      <c r="E33" s="238" t="str">
        <f aca="false">IFERROR((E34-E35)/E34,"")</f>
        <v/>
      </c>
      <c r="F33" s="239" t="str">
        <f aca="false">IFERROR((F34-F35)/F34,"")</f>
        <v/>
      </c>
      <c r="G33" s="239" t="str">
        <f aca="false">IFERROR((G34-G35)/G34,"")</f>
        <v/>
      </c>
      <c r="H33" s="239" t="str">
        <f aca="false">IFERROR((H34-H35)/H34,"")</f>
        <v/>
      </c>
      <c r="I33" s="239"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40" t="str">
        <f aca="false">IFERROR((V34-V35)/V34,"")</f>
        <v/>
      </c>
      <c r="W33" s="240" t="str">
        <f aca="false">IFERROR((W34-W35)/W34,"")</f>
        <v/>
      </c>
      <c r="X33" s="240" t="str">
        <f aca="false">IFERROR((X34-X35)/X34,"")</f>
        <v/>
      </c>
      <c r="Y33" s="240"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1" t="str">
        <f aca="false">IFERROR((AJ34-AJ35)/AJ34,"")</f>
        <v/>
      </c>
      <c r="AK33" s="242" t="str">
        <f aca="false">IFERROR((AK34-AK35)/AK34,"")</f>
        <v/>
      </c>
      <c r="AL33" s="243" t="str">
        <f aca="false">IFERROR((AL34-AL35)/AL34,"")</f>
        <v/>
      </c>
      <c r="AM33" s="243" t="str">
        <f aca="false">IFERROR((AM34-AM35)/AM34,"")</f>
        <v/>
      </c>
      <c r="AN33" s="243" t="str">
        <f aca="false">IFERROR((AN34-AN35)/AN34,"")</f>
        <v/>
      </c>
      <c r="AO33" s="243" t="str">
        <f aca="false">IFERROR((AO34-AO35)/AO34,"")</f>
        <v/>
      </c>
      <c r="AP33" s="243" t="str">
        <f aca="false">IFERROR((AP34-AP35)/AP34,"")</f>
        <v/>
      </c>
      <c r="AQ33" s="244" t="str">
        <f aca="false">IFERROR((AQ34-AQ35)/AQ34,"")</f>
        <v/>
      </c>
      <c r="AR33" s="245" t="str">
        <f aca="false">IFERROR((AR34-AR35)/AR34,"")</f>
        <v/>
      </c>
    </row>
    <row r="34" customFormat="false" ht="14.25" hidden="false" customHeight="false" outlineLevel="0" collapsed="false">
      <c r="A34" s="217" t="str">
        <f aca="false">+IF(C34+C35=0,"[ocultar]","")</f>
        <v>[ocultar]</v>
      </c>
      <c r="B34" s="246" t="s">
        <v>371</v>
      </c>
      <c r="C34" s="247" t="n">
        <f aca="false" t="array" ref="C34:C34">SUM(IF($B34=DATOS_[Sexo], IF($B33=DATOS_[AGRUP. VALOR. PTO.], IF("Dentro"=DATOS_[Check Periodo Ref.], 1/(COUNTIFS(DATOS_[Sexo],$B34,DATOS_[AGRUP. VALOR. PTO.],$B33,DATOS_[Check Periodo Ref.],"Dentro",DATOS_[id],DATOS_[id]))))))</f>
        <v>0</v>
      </c>
      <c r="D34" s="248" t="n">
        <f aca="false">COUNTIFS(DATOS_[AGRUP. VALOR. PTO.],$B33,DATOS_[Sexo],$B34,DATOS_[Check Periodo Ref.],"Dentro")</f>
        <v>0</v>
      </c>
      <c r="E34" s="249" t="n">
        <f aca="false" t="array" ref="E34:E34">IFERROR( MEDIAN(IF(DATOS_[Sexo]=$B34,IF(DATOS_[AGRUP. VALOR. PTO.]=$B33,IF(DATOS_[Check Periodo Ref.]="Dentro",DATOS_[SALARIO BASE Ef],0)))), 0)</f>
        <v>0</v>
      </c>
      <c r="F34" s="250" t="n">
        <f aca="false" t="array" ref="F34:F34">IFERROR( MEDIAN((IF(DATOS_[[Sexo]:[Sexo]]=$B34,IF(DATOS_[[AGRUP. VALOR. PTO.]:[AGRUP. VALOR. PTO.]]=$B33,IF(DATOS_[[Check Periodo Ref.]:[Check Periodo Ref.]]="Dentro",DATOS_[Conc.Sal.01]))))), 0)</f>
        <v>0</v>
      </c>
      <c r="G34" s="250" t="n">
        <f aca="false" t="array" ref="G34:G34">IFERROR( MEDIAN((IF(DATOS_[[Sexo]:[Sexo]]=$B34,IF(DATOS_[[AGRUP. VALOR. PTO.]:[AGRUP. VALOR. PTO.]]=$B33,IF(DATOS_[[Check Periodo Ref.]:[Check Periodo Ref.]]="Dentro",DATOS_[Conc.Sal.02]))))), 0)</f>
        <v>0</v>
      </c>
      <c r="H34" s="250" t="n">
        <f aca="false" t="array" ref="H34:H34">IFERROR( MEDIAN((IF(DATOS_[[Sexo]:[Sexo]]=$B34,IF(DATOS_[[AGRUP. VALOR. PTO.]:[AGRUP. VALOR. PTO.]]=$B33,IF(DATOS_[[Check Periodo Ref.]:[Check Periodo Ref.]]="Dentro",DATOS_[Conc.Sal.03]))))), 0)</f>
        <v>0</v>
      </c>
      <c r="I34" s="250" t="n">
        <f aca="false" t="array" ref="I34:I34">IFERROR( MEDIAN((IF(DATOS_[[Sexo]:[Sexo]]=$B34,IF(DATOS_[[AGRUP. VALOR. PTO.]:[AGRUP. VALOR. PTO.]]=$B33,IF(DATOS_[[Check Periodo Ref.]:[Check Periodo Ref.]]="Dentro",DATOS_[Conc.Sal.04]))))), 0)</f>
        <v>0</v>
      </c>
      <c r="J34" s="250" t="n">
        <f aca="false" t="array" ref="J34:J34">IFERROR( MEDIAN((IF(DATOS_[[Sexo]:[Sexo]]=$B34,IF(DATOS_[[AGRUP. VALOR. PTO.]:[AGRUP. VALOR. PTO.]]=$B33,IF(DATOS_[[Check Periodo Ref.]:[Check Periodo Ref.]]="Dentro",DATOS_[Conc.Sal.05]))))), 0)</f>
        <v>0</v>
      </c>
      <c r="K34" s="250" t="n">
        <f aca="false" t="array" ref="K34:K34">IFERROR( MEDIAN((IF(DATOS_[[Sexo]:[Sexo]]=$B34,IF(DATOS_[[AGRUP. VALOR. PTO.]:[AGRUP. VALOR. PTO.]]=$B33,IF(DATOS_[[Check Periodo Ref.]:[Check Periodo Ref.]]="Dentro",DATOS_[Conc.Sal.06]))))), 0)</f>
        <v>0</v>
      </c>
      <c r="L34" s="250" t="n">
        <f aca="false" t="array" ref="L34:L34">IFERROR( MEDIAN((IF(DATOS_[[Sexo]:[Sexo]]=$B34,IF(DATOS_[[AGRUP. VALOR. PTO.]:[AGRUP. VALOR. PTO.]]=$B33,IF(DATOS_[[Check Periodo Ref.]:[Check Periodo Ref.]]="Dentro",DATOS_[Conc.Sal.07]))))), 0)</f>
        <v>0</v>
      </c>
      <c r="M34" s="250" t="n">
        <f aca="false" t="array" ref="M34:M34">IFERROR( MEDIAN((IF(DATOS_[[Sexo]:[Sexo]]=$B34,IF(DATOS_[[AGRUP. VALOR. PTO.]:[AGRUP. VALOR. PTO.]]=$B33,IF(DATOS_[[Check Periodo Ref.]:[Check Periodo Ref.]]="Dentro",DATOS_[Conc.Sal.08]))))), 0)</f>
        <v>0</v>
      </c>
      <c r="N34" s="250" t="n">
        <f aca="false" t="array" ref="N34:N34">IFERROR( MEDIAN((IF(DATOS_[[Sexo]:[Sexo]]=$B34,IF(DATOS_[[AGRUP. VALOR. PTO.]:[AGRUP. VALOR. PTO.]]=$B33,IF(DATOS_[[Check Periodo Ref.]:[Check Periodo Ref.]]="Dentro",DATOS_[Conc.Sal.09]))))), 0)</f>
        <v>0</v>
      </c>
      <c r="O34" s="250" t="n">
        <f aca="false" t="array" ref="O34:O34">IFERROR( MEDIAN((IF(DATOS_[[Sexo]:[Sexo]]=$B34,IF(DATOS_[[AGRUP. VALOR. PTO.]:[AGRUP. VALOR. PTO.]]=$B33,IF(DATOS_[[Check Periodo Ref.]:[Check Periodo Ref.]]="Dentro",DATOS_[Conc.Sal.10]))))), 0)</f>
        <v>0</v>
      </c>
      <c r="P34" s="250" t="n">
        <f aca="false" t="array" ref="P34:P34">IFERROR( MEDIAN((IF(DATOS_[[Sexo]:[Sexo]]=$B34,IF(DATOS_[[AGRUP. VALOR. PTO.]:[AGRUP. VALOR. PTO.]]=$B33,IF(DATOS_[[Check Periodo Ref.]:[Check Periodo Ref.]]="Dentro",DATOS_[Conc.Sal.11]))))), 0)</f>
        <v>0</v>
      </c>
      <c r="Q34" s="250" t="n">
        <f aca="false" t="array" ref="Q34:Q34">IFERROR( MEDIAN((IF(DATOS_[[Sexo]:[Sexo]]=$B34,IF(DATOS_[[AGRUP. VALOR. PTO.]:[AGRUP. VALOR. PTO.]]=$B33,IF(DATOS_[[Check Periodo Ref.]:[Check Periodo Ref.]]="Dentro",DATOS_[Conc.Sal.12]))))), 0)</f>
        <v>0</v>
      </c>
      <c r="R34" s="250" t="n">
        <f aca="false" t="array" ref="R34:R34">IFERROR( MEDIAN((IF(DATOS_[[Sexo]:[Sexo]]=$B34,IF(DATOS_[[AGRUP. VALOR. PTO.]:[AGRUP. VALOR. PTO.]]=$B33,IF(DATOS_[[Check Periodo Ref.]:[Check Periodo Ref.]]="Dentro",DATOS_[Conc.Sal.13]))))), 0)</f>
        <v>0</v>
      </c>
      <c r="S34" s="250" t="n">
        <f aca="false" t="array" ref="S34:S34">IFERROR( MEDIAN((IF(DATOS_[[Sexo]:[Sexo]]=$B34,IF(DATOS_[[AGRUP. VALOR. PTO.]:[AGRUP. VALOR. PTO.]]=$B33,IF(DATOS_[[Check Periodo Ref.]:[Check Periodo Ref.]]="Dentro",DATOS_[Conc.Sal.14]))))), 0)</f>
        <v>0</v>
      </c>
      <c r="T34" s="250" t="n">
        <f aca="false" t="array" ref="T34:T34">IFERROR( MEDIAN((IF(DATOS_[[Sexo]:[Sexo]]=$B34,IF(DATOS_[[AGRUP. VALOR. PTO.]:[AGRUP. VALOR. PTO.]]=$B33,IF(DATOS_[[Check Periodo Ref.]:[Check Periodo Ref.]]="Dentro",DATOS_[Conc.Sal.15]))))), 0)</f>
        <v>0</v>
      </c>
      <c r="U34" s="250" t="n">
        <f aca="false" t="array" ref="U34:U34">IFERROR( MEDIAN((IF(DATOS_[[Sexo]:[Sexo]]=$B34,IF(DATOS_[[AGRUP. VALOR. PTO.]:[AGRUP. VALOR. PTO.]]=$B33,IF(DATOS_[[Check Periodo Ref.]:[Check Periodo Ref.]]="Dentro",DATOS_[Conc.Sal.16]))))), 0)</f>
        <v>0</v>
      </c>
      <c r="V34" s="250" t="n">
        <f aca="false" t="array" ref="V34:V34">IFERROR( MEDIAN((IF(DATOS_[[Sexo]:[Sexo]]=$B34,IF(DATOS_[[AGRUP. VALOR. PTO.]:[AGRUP. VALOR. PTO.]]=$B33,IF(DATOS_[[Check Periodo Ref.]:[Check Periodo Ref.]]="Dentro",DATOS_[Conc.Sal.17]))))), 0)</f>
        <v>0</v>
      </c>
      <c r="W34" s="250" t="n">
        <f aca="false" t="array" ref="W34:W34">IFERROR( MEDIAN((IF(DATOS_[[Sexo]:[Sexo]]=$B34,IF(DATOS_[[AGRUP. VALOR. PTO.]:[AGRUP. VALOR. PTO.]]=$B33,IF(DATOS_[[Check Periodo Ref.]:[Check Periodo Ref.]]="Dentro",DATOS_[Conc.Sal.18]))))), 0)</f>
        <v>0</v>
      </c>
      <c r="X34" s="250" t="n">
        <f aca="false" t="array" ref="X34:X34">IFERROR( MEDIAN((IF(DATOS_[[Sexo]:[Sexo]]=$B34,IF(DATOS_[[AGRUP. VALOR. PTO.]:[AGRUP. VALOR. PTO.]]=$B33,IF(DATOS_[[Check Periodo Ref.]:[Check Periodo Ref.]]="Dentro",DATOS_[Conc.Sal.19]))))), 0)</f>
        <v>0</v>
      </c>
      <c r="Y34" s="250" t="n">
        <f aca="false" t="array" ref="Y34:Y34">IFERROR( MEDIAN((IF(DATOS_[[Sexo]:[Sexo]]=$B34,IF(DATOS_[[AGRUP. VALOR. PTO.]:[AGRUP. VALOR. PTO.]]=$B33,IF(DATOS_[[Check Periodo Ref.]:[Check Periodo Ref.]]="Dentro",DATOS_[Conc.Sal.20]))))), 0)</f>
        <v>0</v>
      </c>
      <c r="Z34" s="250" t="n">
        <f aca="false" t="array" ref="Z34:Z34">IFERROR( MEDIAN((IF(DATOS_[[Sexo]:[Sexo]]=$B34,IF(DATOS_[[AGRUP. VALOR. PTO.]:[AGRUP. VALOR. PTO.]]=$B33,IF(DATOS_[[Check Periodo Ref.]:[Check Periodo Ref.]]="Dentro",DATOS_[Conc.Sal.21]))))), 0)</f>
        <v>0</v>
      </c>
      <c r="AA34" s="250" t="n">
        <f aca="false" t="array" ref="AA34:AA34">IFERROR( MEDIAN((IF(DATOS_[[Sexo]:[Sexo]]=$B34,IF(DATOS_[[AGRUP. VALOR. PTO.]:[AGRUP. VALOR. PTO.]]=$B33,IF(DATOS_[[Check Periodo Ref.]:[Check Periodo Ref.]]="Dentro",DATOS_[Conc.Sal.22]))))), 0)</f>
        <v>0</v>
      </c>
      <c r="AB34" s="250" t="n">
        <f aca="false" t="array" ref="AB34:AB34">IFERROR( MEDIAN((IF(DATOS_[[Sexo]:[Sexo]]=$B34,IF(DATOS_[[AGRUP. VALOR. PTO.]:[AGRUP. VALOR. PTO.]]=$B33,IF(DATOS_[[Check Periodo Ref.]:[Check Periodo Ref.]]="Dentro",DATOS_[Conc.Sal.23]))))), 0)</f>
        <v>0</v>
      </c>
      <c r="AC34" s="250" t="n">
        <f aca="false" t="array" ref="AC34:AC34">IFERROR( MEDIAN((IF(DATOS_[[Sexo]:[Sexo]]=$B34,IF(DATOS_[[AGRUP. VALOR. PTO.]:[AGRUP. VALOR. PTO.]]=$B33,IF(DATOS_[[Check Periodo Ref.]:[Check Periodo Ref.]]="Dentro",DATOS_[Conc.Sal.24]))))), 0)</f>
        <v>0</v>
      </c>
      <c r="AD34" s="250" t="n">
        <f aca="false" t="array" ref="AD34:AD34">IFERROR( MEDIAN((IF(DATOS_[[Sexo]:[Sexo]]=$B34,IF(DATOS_[[AGRUP. VALOR. PTO.]:[AGRUP. VALOR. PTO.]]=$B33,IF(DATOS_[[Check Periodo Ref.]:[Check Periodo Ref.]]="Dentro",DATOS_[Conc.Sal.25]))))), 0)</f>
        <v>0</v>
      </c>
      <c r="AE34" s="250" t="n">
        <f aca="false" t="array" ref="AE34:AE34">IFERROR( MEDIAN((IF(DATOS_[[Sexo]:[Sexo]]=$B34,IF(DATOS_[[AGRUP. VALOR. PTO.]:[AGRUP. VALOR. PTO.]]=$B33,IF(DATOS_[[Check Periodo Ref.]:[Check Periodo Ref.]]="Dentro",DATOS_[Conc.Sal.26]))))), 0)</f>
        <v>0</v>
      </c>
      <c r="AF34" s="250" t="n">
        <f aca="false" t="array" ref="AF34:AF34">IFERROR( MEDIAN((IF(DATOS_[[Sexo]:[Sexo]]=$B34,IF(DATOS_[[AGRUP. VALOR. PTO.]:[AGRUP. VALOR. PTO.]]=$B33,IF(DATOS_[[Check Periodo Ref.]:[Check Periodo Ref.]]="Dentro",DATOS_[Conc.Sal.27]))))), 0)</f>
        <v>0</v>
      </c>
      <c r="AG34" s="250" t="n">
        <f aca="false" t="array" ref="AG34:AG34">IFERROR( MEDIAN((IF(DATOS_[[Sexo]:[Sexo]]=$B34,IF(DATOS_[[AGRUP. VALOR. PTO.]:[AGRUP. VALOR. PTO.]]=$B33,IF(DATOS_[[Check Periodo Ref.]:[Check Periodo Ref.]]="Dentro",DATOS_[Conc.Sal.28]))))), 0)</f>
        <v>0</v>
      </c>
      <c r="AH34" s="250" t="n">
        <f aca="false" t="array" ref="AH34:AH34">IFERROR( MEDIAN((IF(DATOS_[[Sexo]:[Sexo]]=$B34,IF(DATOS_[[AGRUP. VALOR. PTO.]:[AGRUP. VALOR. PTO.]]=$B33,IF(DATOS_[[Check Periodo Ref.]:[Check Periodo Ref.]]="Dentro",DATOS_[Conc.Sal.29]))))), 0)</f>
        <v>0</v>
      </c>
      <c r="AI34" s="250" t="n">
        <f aca="false" t="array" ref="AI34:AI34">IFERROR( MEDIAN((IF(DATOS_[[Sexo]:[Sexo]]=$B34,IF(DATOS_[[AGRUP. VALOR. PTO.]:[AGRUP. VALOR. PTO.]]=$B33,IF(DATOS_[[Check Periodo Ref.]:[Check Periodo Ref.]]="Dentro",DATOS_[Conc.Sal.30]))))), 0)</f>
        <v>0</v>
      </c>
      <c r="AJ34" s="251" t="n">
        <f aca="false" t="array" ref="AJ34:AJ34">IFERROR( MEDIAN(IF(DATOS_[Sexo]=$B34,IF(DATOS_[AGRUP. VALOR. PTO.]=$B33,IF(DATOS_[Check Periodo Ref.]="Dentro",DATOS_[Tot COMPL.SAL Ef],0)))), 0)</f>
        <v>0</v>
      </c>
      <c r="AK34" s="252" t="n">
        <f aca="false" t="array" ref="AK34:AK34">IFERROR( MEDIAN(IF(DATOS_[Sexo]=$B34,IF(DATOS_[AGRUP. VALOR. PTO.]=$B33,IF(DATOS_[Check Periodo Ref.]="Dentro",DATOS_[TOTAL SALARIO Ef],0)))), 0)</f>
        <v>0</v>
      </c>
      <c r="AL34" s="259" t="n">
        <f aca="false" t="array" ref="AL34:AL34">IFERROR( MEDIAN((IF(DATOS_[[Sexo]:[Sexo]]=$B34,IF(DATOS_[[AGRUP. VALOR. PTO.]:[AGRUP. VALOR. PTO.]]=$B33,IF(DATOS_[[Check Periodo Ref.]:[Check Periodo Ref.]]="Dentro",DATOS_[C.Extra.01]))))), 0)</f>
        <v>0</v>
      </c>
      <c r="AM34" s="259" t="n">
        <f aca="false" t="array" ref="AM34:AM34">IFERROR( MEDIAN((IF(DATOS_[[Sexo]:[Sexo]]=$B34,IF(DATOS_[[AGRUP. VALOR. PTO.]:[AGRUP. VALOR. PTO.]]=$B33,IF(DATOS_[[Check Periodo Ref.]:[Check Periodo Ref.]]="Dentro",DATOS_[C.Extra.02]))))), 0)</f>
        <v>0</v>
      </c>
      <c r="AN34" s="259" t="n">
        <f aca="false" t="array" ref="AN34:AN34">IFERROR( MEDIAN((IF(DATOS_[[Sexo]:[Sexo]]=$B34,IF(DATOS_[[AGRUP. VALOR. PTO.]:[AGRUP. VALOR. PTO.]]=$B33,IF(DATOS_[[Check Periodo Ref.]:[Check Periodo Ref.]]="Dentro",DATOS_[C.Extra.03]))))), 0)</f>
        <v>0</v>
      </c>
      <c r="AO34" s="259" t="n">
        <f aca="false" t="array" ref="AO34:AO34">IFERROR( MEDIAN((IF(DATOS_[[Sexo]:[Sexo]]=$B34,IF(DATOS_[[AGRUP. VALOR. PTO.]:[AGRUP. VALOR. PTO.]]=$B33,IF(DATOS_[[Check Periodo Ref.]:[Check Periodo Ref.]]="Dentro",DATOS_[C.Extra.04]))))), 0)</f>
        <v>0</v>
      </c>
      <c r="AP34" s="259" t="n">
        <f aca="false" t="array" ref="AP34:AP34">IFERROR( MEDIAN((IF(DATOS_[[Sexo]:[Sexo]]=$B34,IF(DATOS_[[AGRUP. VALOR. PTO.]:[AGRUP. VALOR. PTO.]]=$B33,IF(DATOS_[[Check Periodo Ref.]:[Check Periodo Ref.]]="Dentro",DATOS_[C.Extra.05]))))), 0)</f>
        <v>0</v>
      </c>
      <c r="AQ34" s="254" t="n">
        <f aca="false" t="array" ref="AQ34:AQ34">IFERROR( MEDIAN(IF(DATOS_[Sexo]=$B34,IF(DATOS_[AGRUP. VALOR. PTO.]=$B33,IF(DATOS_[Check Periodo Ref.]="Dentro",DATOS_[Tot Extrasalarial Ef],0)))), 0)</f>
        <v>0</v>
      </c>
      <c r="AR34" s="255" t="n">
        <f aca="false" t="array" ref="AR34:AR34">IFERROR( MEDIAN(IF(DATOS_[Sexo]=$B34,IF(DATOS_[AGRUP. VALOR. PTO.]=$B33,IF(DATOS_[Check Periodo Ref.]="Dentro",DATOS_[TOTAL Retrib Ef],0)))), 0)</f>
        <v>0</v>
      </c>
    </row>
    <row r="35" customFormat="false" ht="14.25" hidden="false" customHeight="false" outlineLevel="0" collapsed="false">
      <c r="A35" s="217" t="str">
        <f aca="false">+A34</f>
        <v>[ocultar]</v>
      </c>
      <c r="B35" s="246" t="s">
        <v>372</v>
      </c>
      <c r="C35" s="247" t="n">
        <f aca="false" t="array" ref="C35:C35">SUM(IF($B35=DATOS_[Sexo], IF($B33=DATOS_[AGRUP. VALOR. PTO.], IF("Dentro"=DATOS_[Check Periodo Ref.], 1/(COUNTIFS(DATOS_[Sexo],$B35,DATOS_[AGRUP. VALOR. PTO.],$B33,DATOS_[Check Periodo Ref.],"Dentro",DATOS_[id],DATOS_[id]))))))</f>
        <v>0</v>
      </c>
      <c r="D35" s="248" t="n">
        <f aca="false">COUNTIFS(DATOS_[AGRUP. VALOR. PTO.],$B33,DATOS_[Sexo],$B35,DATOS_[Check Periodo Ref.],"Dentro")</f>
        <v>0</v>
      </c>
      <c r="E35" s="249" t="n">
        <f aca="false" t="array" ref="E35:E35">IFERROR( MEDIAN(IF(DATOS_[Sexo]=$B35,IF(DATOS_[AGRUP. VALOR. PTO.]=$B33,IF(DATOS_[Check Periodo Ref.]="Dentro",DATOS_[SALARIO BASE Ef],0)))), 0)</f>
        <v>0</v>
      </c>
      <c r="F35" s="250" t="n">
        <f aca="false" t="array" ref="F35:F35">IFERROR( MEDIAN((IF(DATOS_[[Sexo]:[Sexo]]=$B35,IF(DATOS_[[AGRUP. VALOR. PTO.]:[AGRUP. VALOR. PTO.]]=$B33,IF(DATOS_[[Check Periodo Ref.]:[Check Periodo Ref.]]="Dentro",DATOS_[Conc.Sal.01]))))), 0)</f>
        <v>0</v>
      </c>
      <c r="G35" s="250" t="n">
        <f aca="false" t="array" ref="G35:G35">IFERROR( MEDIAN((IF(DATOS_[[Sexo]:[Sexo]]=$B35,IF(DATOS_[[AGRUP. VALOR. PTO.]:[AGRUP. VALOR. PTO.]]=$B33,IF(DATOS_[[Check Periodo Ref.]:[Check Periodo Ref.]]="Dentro",DATOS_[Conc.Sal.02]))))), 0)</f>
        <v>0</v>
      </c>
      <c r="H35" s="250" t="n">
        <f aca="false" t="array" ref="H35:H35">IFERROR( MEDIAN((IF(DATOS_[[Sexo]:[Sexo]]=$B35,IF(DATOS_[[AGRUP. VALOR. PTO.]:[AGRUP. VALOR. PTO.]]=$B33,IF(DATOS_[[Check Periodo Ref.]:[Check Periodo Ref.]]="Dentro",DATOS_[Conc.Sal.03]))))), 0)</f>
        <v>0</v>
      </c>
      <c r="I35" s="250" t="n">
        <f aca="false" t="array" ref="I35:I35">IFERROR( MEDIAN((IF(DATOS_[[Sexo]:[Sexo]]=$B35,IF(DATOS_[[AGRUP. VALOR. PTO.]:[AGRUP. VALOR. PTO.]]=$B33,IF(DATOS_[[Check Periodo Ref.]:[Check Periodo Ref.]]="Dentro",DATOS_[Conc.Sal.04]))))), 0)</f>
        <v>0</v>
      </c>
      <c r="J35" s="250" t="n">
        <f aca="false" t="array" ref="J35:J35">IFERROR( MEDIAN((IF(DATOS_[[Sexo]:[Sexo]]=$B35,IF(DATOS_[[AGRUP. VALOR. PTO.]:[AGRUP. VALOR. PTO.]]=$B33,IF(DATOS_[[Check Periodo Ref.]:[Check Periodo Ref.]]="Dentro",DATOS_[Conc.Sal.05]))))), 0)</f>
        <v>0</v>
      </c>
      <c r="K35" s="250" t="n">
        <f aca="false" t="array" ref="K35:K35">IFERROR( MEDIAN((IF(DATOS_[[Sexo]:[Sexo]]=$B35,IF(DATOS_[[AGRUP. VALOR. PTO.]:[AGRUP. VALOR. PTO.]]=$B33,IF(DATOS_[[Check Periodo Ref.]:[Check Periodo Ref.]]="Dentro",DATOS_[Conc.Sal.06]))))), 0)</f>
        <v>0</v>
      </c>
      <c r="L35" s="250" t="n">
        <f aca="false" t="array" ref="L35:L35">IFERROR( MEDIAN((IF(DATOS_[[Sexo]:[Sexo]]=$B35,IF(DATOS_[[AGRUP. VALOR. PTO.]:[AGRUP. VALOR. PTO.]]=$B33,IF(DATOS_[[Check Periodo Ref.]:[Check Periodo Ref.]]="Dentro",DATOS_[Conc.Sal.07]))))), 0)</f>
        <v>0</v>
      </c>
      <c r="M35" s="250" t="n">
        <f aca="false" t="array" ref="M35:M35">IFERROR( MEDIAN((IF(DATOS_[[Sexo]:[Sexo]]=$B35,IF(DATOS_[[AGRUP. VALOR. PTO.]:[AGRUP. VALOR. PTO.]]=$B33,IF(DATOS_[[Check Periodo Ref.]:[Check Periodo Ref.]]="Dentro",DATOS_[Conc.Sal.08]))))), 0)</f>
        <v>0</v>
      </c>
      <c r="N35" s="250" t="n">
        <f aca="false" t="array" ref="N35:N35">IFERROR( MEDIAN((IF(DATOS_[[Sexo]:[Sexo]]=$B35,IF(DATOS_[[AGRUP. VALOR. PTO.]:[AGRUP. VALOR. PTO.]]=$B33,IF(DATOS_[[Check Periodo Ref.]:[Check Periodo Ref.]]="Dentro",DATOS_[Conc.Sal.09]))))), 0)</f>
        <v>0</v>
      </c>
      <c r="O35" s="250" t="n">
        <f aca="false" t="array" ref="O35:O35">IFERROR( MEDIAN((IF(DATOS_[[Sexo]:[Sexo]]=$B35,IF(DATOS_[[AGRUP. VALOR. PTO.]:[AGRUP. VALOR. PTO.]]=$B33,IF(DATOS_[[Check Periodo Ref.]:[Check Periodo Ref.]]="Dentro",DATOS_[Conc.Sal.10]))))), 0)</f>
        <v>0</v>
      </c>
      <c r="P35" s="250" t="n">
        <f aca="false" t="array" ref="P35:P35">IFERROR( MEDIAN((IF(DATOS_[[Sexo]:[Sexo]]=$B35,IF(DATOS_[[AGRUP. VALOR. PTO.]:[AGRUP. VALOR. PTO.]]=$B33,IF(DATOS_[[Check Periodo Ref.]:[Check Periodo Ref.]]="Dentro",DATOS_[Conc.Sal.11]))))), 0)</f>
        <v>0</v>
      </c>
      <c r="Q35" s="250" t="n">
        <f aca="false" t="array" ref="Q35:Q35">IFERROR( MEDIAN((IF(DATOS_[[Sexo]:[Sexo]]=$B35,IF(DATOS_[[AGRUP. VALOR. PTO.]:[AGRUP. VALOR. PTO.]]=$B33,IF(DATOS_[[Check Periodo Ref.]:[Check Periodo Ref.]]="Dentro",DATOS_[Conc.Sal.12]))))), 0)</f>
        <v>0</v>
      </c>
      <c r="R35" s="250" t="n">
        <f aca="false" t="array" ref="R35:R35">IFERROR( MEDIAN((IF(DATOS_[[Sexo]:[Sexo]]=$B35,IF(DATOS_[[AGRUP. VALOR. PTO.]:[AGRUP. VALOR. PTO.]]=$B33,IF(DATOS_[[Check Periodo Ref.]:[Check Periodo Ref.]]="Dentro",DATOS_[Conc.Sal.13]))))), 0)</f>
        <v>0</v>
      </c>
      <c r="S35" s="250" t="n">
        <f aca="false" t="array" ref="S35:S35">IFERROR( MEDIAN((IF(DATOS_[[Sexo]:[Sexo]]=$B35,IF(DATOS_[[AGRUP. VALOR. PTO.]:[AGRUP. VALOR. PTO.]]=$B33,IF(DATOS_[[Check Periodo Ref.]:[Check Periodo Ref.]]="Dentro",DATOS_[Conc.Sal.14]))))), 0)</f>
        <v>0</v>
      </c>
      <c r="T35" s="250" t="n">
        <f aca="false" t="array" ref="T35:T35">IFERROR( MEDIAN((IF(DATOS_[[Sexo]:[Sexo]]=$B35,IF(DATOS_[[AGRUP. VALOR. PTO.]:[AGRUP. VALOR. PTO.]]=$B33,IF(DATOS_[[Check Periodo Ref.]:[Check Periodo Ref.]]="Dentro",DATOS_[Conc.Sal.15]))))), 0)</f>
        <v>0</v>
      </c>
      <c r="U35" s="250" t="n">
        <f aca="false" t="array" ref="U35:U35">IFERROR( MEDIAN((IF(DATOS_[[Sexo]:[Sexo]]=$B35,IF(DATOS_[[AGRUP. VALOR. PTO.]:[AGRUP. VALOR. PTO.]]=$B33,IF(DATOS_[[Check Periodo Ref.]:[Check Periodo Ref.]]="Dentro",DATOS_[Conc.Sal.16]))))), 0)</f>
        <v>0</v>
      </c>
      <c r="V35" s="250" t="n">
        <f aca="false" t="array" ref="V35:V35">IFERROR( MEDIAN((IF(DATOS_[[Sexo]:[Sexo]]=$B35,IF(DATOS_[[AGRUP. VALOR. PTO.]:[AGRUP. VALOR. PTO.]]=$B33,IF(DATOS_[[Check Periodo Ref.]:[Check Periodo Ref.]]="Dentro",DATOS_[Conc.Sal.17]))))), 0)</f>
        <v>0</v>
      </c>
      <c r="W35" s="250" t="n">
        <f aca="false" t="array" ref="W35:W35">IFERROR( MEDIAN((IF(DATOS_[[Sexo]:[Sexo]]=$B35,IF(DATOS_[[AGRUP. VALOR. PTO.]:[AGRUP. VALOR. PTO.]]=$B33,IF(DATOS_[[Check Periodo Ref.]:[Check Periodo Ref.]]="Dentro",DATOS_[Conc.Sal.18]))))), 0)</f>
        <v>0</v>
      </c>
      <c r="X35" s="250" t="n">
        <f aca="false" t="array" ref="X35:X35">IFERROR( MEDIAN((IF(DATOS_[[Sexo]:[Sexo]]=$B35,IF(DATOS_[[AGRUP. VALOR. PTO.]:[AGRUP. VALOR. PTO.]]=$B33,IF(DATOS_[[Check Periodo Ref.]:[Check Periodo Ref.]]="Dentro",DATOS_[Conc.Sal.19]))))), 0)</f>
        <v>0</v>
      </c>
      <c r="Y35" s="250" t="n">
        <f aca="false" t="array" ref="Y35:Y35">IFERROR( MEDIAN((IF(DATOS_[[Sexo]:[Sexo]]=$B35,IF(DATOS_[[AGRUP. VALOR. PTO.]:[AGRUP. VALOR. PTO.]]=$B33,IF(DATOS_[[Check Periodo Ref.]:[Check Periodo Ref.]]="Dentro",DATOS_[Conc.Sal.20]))))), 0)</f>
        <v>0</v>
      </c>
      <c r="Z35" s="250" t="n">
        <f aca="false" t="array" ref="Z35:Z35">IFERROR( MEDIAN((IF(DATOS_[[Sexo]:[Sexo]]=$B35,IF(DATOS_[[AGRUP. VALOR. PTO.]:[AGRUP. VALOR. PTO.]]=$B33,IF(DATOS_[[Check Periodo Ref.]:[Check Periodo Ref.]]="Dentro",DATOS_[Conc.Sal.21]))))), 0)</f>
        <v>0</v>
      </c>
      <c r="AA35" s="250" t="n">
        <f aca="false" t="array" ref="AA35:AA35">IFERROR( MEDIAN((IF(DATOS_[[Sexo]:[Sexo]]=$B35,IF(DATOS_[[AGRUP. VALOR. PTO.]:[AGRUP. VALOR. PTO.]]=$B33,IF(DATOS_[[Check Periodo Ref.]:[Check Periodo Ref.]]="Dentro",DATOS_[Conc.Sal.22]))))), 0)</f>
        <v>0</v>
      </c>
      <c r="AB35" s="250" t="n">
        <f aca="false" t="array" ref="AB35:AB35">IFERROR( MEDIAN((IF(DATOS_[[Sexo]:[Sexo]]=$B35,IF(DATOS_[[AGRUP. VALOR. PTO.]:[AGRUP. VALOR. PTO.]]=$B33,IF(DATOS_[[Check Periodo Ref.]:[Check Periodo Ref.]]="Dentro",DATOS_[Conc.Sal.23]))))), 0)</f>
        <v>0</v>
      </c>
      <c r="AC35" s="250" t="n">
        <f aca="false" t="array" ref="AC35:AC35">IFERROR( MEDIAN((IF(DATOS_[[Sexo]:[Sexo]]=$B35,IF(DATOS_[[AGRUP. VALOR. PTO.]:[AGRUP. VALOR. PTO.]]=$B33,IF(DATOS_[[Check Periodo Ref.]:[Check Periodo Ref.]]="Dentro",DATOS_[Conc.Sal.24]))))), 0)</f>
        <v>0</v>
      </c>
      <c r="AD35" s="250" t="n">
        <f aca="false" t="array" ref="AD35:AD35">IFERROR( MEDIAN((IF(DATOS_[[Sexo]:[Sexo]]=$B35,IF(DATOS_[[AGRUP. VALOR. PTO.]:[AGRUP. VALOR. PTO.]]=$B33,IF(DATOS_[[Check Periodo Ref.]:[Check Periodo Ref.]]="Dentro",DATOS_[Conc.Sal.25]))))), 0)</f>
        <v>0</v>
      </c>
      <c r="AE35" s="250" t="n">
        <f aca="false" t="array" ref="AE35:AE35">IFERROR( MEDIAN((IF(DATOS_[[Sexo]:[Sexo]]=$B35,IF(DATOS_[[AGRUP. VALOR. PTO.]:[AGRUP. VALOR. PTO.]]=$B33,IF(DATOS_[[Check Periodo Ref.]:[Check Periodo Ref.]]="Dentro",DATOS_[Conc.Sal.26]))))), 0)</f>
        <v>0</v>
      </c>
      <c r="AF35" s="250" t="n">
        <f aca="false" t="array" ref="AF35:AF35">IFERROR( MEDIAN((IF(DATOS_[[Sexo]:[Sexo]]=$B35,IF(DATOS_[[AGRUP. VALOR. PTO.]:[AGRUP. VALOR. PTO.]]=$B33,IF(DATOS_[[Check Periodo Ref.]:[Check Periodo Ref.]]="Dentro",DATOS_[Conc.Sal.27]))))), 0)</f>
        <v>0</v>
      </c>
      <c r="AG35" s="250" t="n">
        <f aca="false" t="array" ref="AG35:AG35">IFERROR( MEDIAN((IF(DATOS_[[Sexo]:[Sexo]]=$B35,IF(DATOS_[[AGRUP. VALOR. PTO.]:[AGRUP. VALOR. PTO.]]=$B33,IF(DATOS_[[Check Periodo Ref.]:[Check Periodo Ref.]]="Dentro",DATOS_[Conc.Sal.28]))))), 0)</f>
        <v>0</v>
      </c>
      <c r="AH35" s="250" t="n">
        <f aca="false" t="array" ref="AH35:AH35">IFERROR( MEDIAN((IF(DATOS_[[Sexo]:[Sexo]]=$B35,IF(DATOS_[[AGRUP. VALOR. PTO.]:[AGRUP. VALOR. PTO.]]=$B33,IF(DATOS_[[Check Periodo Ref.]:[Check Periodo Ref.]]="Dentro",DATOS_[Conc.Sal.29]))))), 0)</f>
        <v>0</v>
      </c>
      <c r="AI35" s="250" t="n">
        <f aca="false" t="array" ref="AI35:AI35">IFERROR( MEDIAN((IF(DATOS_[[Sexo]:[Sexo]]=$B35,IF(DATOS_[[AGRUP. VALOR. PTO.]:[AGRUP. VALOR. PTO.]]=$B33,IF(DATOS_[[Check Periodo Ref.]:[Check Periodo Ref.]]="Dentro",DATOS_[Conc.Sal.30]))))), 0)</f>
        <v>0</v>
      </c>
      <c r="AJ35" s="251" t="n">
        <f aca="false" t="array" ref="AJ35:AJ35">IFERROR( MEDIAN(IF(DATOS_[Sexo]=$B35,IF(DATOS_[AGRUP. VALOR. PTO.]=$B33,IF(DATOS_[Check Periodo Ref.]="Dentro",DATOS_[Tot COMPL.SAL Ef],0)))), 0)</f>
        <v>0</v>
      </c>
      <c r="AK35" s="252" t="n">
        <f aca="false" t="array" ref="AK35:AK35">IFERROR( MEDIAN(IF(DATOS_[Sexo]=$B35,IF(DATOS_[AGRUP. VALOR. PTO.]=$B33,IF(DATOS_[Check Periodo Ref.]="Dentro",DATOS_[TOTAL SALARIO Ef],0)))), 0)</f>
        <v>0</v>
      </c>
      <c r="AL35" s="259" t="n">
        <f aca="false" t="array" ref="AL35:AL35">IFERROR( MEDIAN((IF(DATOS_[[Sexo]:[Sexo]]=$B35,IF(DATOS_[[AGRUP. VALOR. PTO.]:[AGRUP. VALOR. PTO.]]=$B33,IF(DATOS_[[Check Periodo Ref.]:[Check Periodo Ref.]]="Dentro",DATOS_[C.Extra.01]))))), 0)</f>
        <v>0</v>
      </c>
      <c r="AM35" s="259" t="n">
        <f aca="false" t="array" ref="AM35:AM35">IFERROR( MEDIAN((IF(DATOS_[[Sexo]:[Sexo]]=$B35,IF(DATOS_[[AGRUP. VALOR. PTO.]:[AGRUP. VALOR. PTO.]]=$B33,IF(DATOS_[[Check Periodo Ref.]:[Check Periodo Ref.]]="Dentro",DATOS_[C.Extra.02]))))), 0)</f>
        <v>0</v>
      </c>
      <c r="AN35" s="259" t="n">
        <f aca="false" t="array" ref="AN35:AN35">IFERROR( MEDIAN((IF(DATOS_[[Sexo]:[Sexo]]=$B35,IF(DATOS_[[AGRUP. VALOR. PTO.]:[AGRUP. VALOR. PTO.]]=$B33,IF(DATOS_[[Check Periodo Ref.]:[Check Periodo Ref.]]="Dentro",DATOS_[C.Extra.03]))))), 0)</f>
        <v>0</v>
      </c>
      <c r="AO35" s="259" t="n">
        <f aca="false" t="array" ref="AO35:AO35">IFERROR( MEDIAN((IF(DATOS_[[Sexo]:[Sexo]]=$B35,IF(DATOS_[[AGRUP. VALOR. PTO.]:[AGRUP. VALOR. PTO.]]=$B33,IF(DATOS_[[Check Periodo Ref.]:[Check Periodo Ref.]]="Dentro",DATOS_[C.Extra.04]))))), 0)</f>
        <v>0</v>
      </c>
      <c r="AP35" s="259" t="n">
        <f aca="false" t="array" ref="AP35:AP35">IFERROR( MEDIAN((IF(DATOS_[[Sexo]:[Sexo]]=$B35,IF(DATOS_[[AGRUP. VALOR. PTO.]:[AGRUP. VALOR. PTO.]]=$B33,IF(DATOS_[[Check Periodo Ref.]:[Check Periodo Ref.]]="Dentro",DATOS_[C.Extra.05]))))), 0)</f>
        <v>0</v>
      </c>
      <c r="AQ35" s="254" t="n">
        <f aca="false" t="array" ref="AQ35:AQ35">IFERROR( MEDIAN(IF(DATOS_[Sexo]=$B35,IF(DATOS_[AGRUP. VALOR. PTO.]=$B33,IF(DATOS_[Check Periodo Ref.]="Dentro",DATOS_[Tot Extrasalarial Ef],0)))), 0)</f>
        <v>0</v>
      </c>
      <c r="AR35" s="255" t="n">
        <f aca="false" t="array" ref="AR35:AR35">IFERROR( MEDIAN(IF(DATOS_[Sexo]=$B35,IF(DATOS_[AGRUP. VALOR. PTO.]=$B33,IF(DATOS_[Check Periodo Ref.]="Dentro",DATOS_[TOTAL Retrib Ef],0)))), 0)</f>
        <v>0</v>
      </c>
    </row>
    <row r="36" customFormat="false" ht="15.75" hidden="false" customHeight="false" outlineLevel="0" collapsed="false">
      <c r="A36" s="217" t="str">
        <f aca="false">+A37</f>
        <v>[ocultar]</v>
      </c>
      <c r="B36" s="235" t="s">
        <v>190</v>
      </c>
      <c r="C36" s="236"/>
      <c r="D36" s="237"/>
      <c r="E36" s="238" t="str">
        <f aca="false">IFERROR((E37-E38)/E37,"")</f>
        <v/>
      </c>
      <c r="F36" s="239" t="str">
        <f aca="false">IFERROR((F37-F38)/F37,"")</f>
        <v/>
      </c>
      <c r="G36" s="239" t="str">
        <f aca="false">IFERROR((G37-G38)/G37,"")</f>
        <v/>
      </c>
      <c r="H36" s="239" t="str">
        <f aca="false">IFERROR((H37-H38)/H37,"")</f>
        <v/>
      </c>
      <c r="I36" s="239"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40" t="str">
        <f aca="false">IFERROR((V37-V38)/V37,"")</f>
        <v/>
      </c>
      <c r="W36" s="240" t="str">
        <f aca="false">IFERROR((W37-W38)/W37,"")</f>
        <v/>
      </c>
      <c r="X36" s="240" t="str">
        <f aca="false">IFERROR((X37-X38)/X37,"")</f>
        <v/>
      </c>
      <c r="Y36" s="240"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1" t="str">
        <f aca="false">IFERROR((AJ37-AJ38)/AJ37,"")</f>
        <v/>
      </c>
      <c r="AK36" s="242" t="str">
        <f aca="false">IFERROR((AK37-AK38)/AK37,"")</f>
        <v/>
      </c>
      <c r="AL36" s="243" t="str">
        <f aca="false">IFERROR((AL37-AL38)/AL37,"")</f>
        <v/>
      </c>
      <c r="AM36" s="243" t="str">
        <f aca="false">IFERROR((AM37-AM38)/AM37,"")</f>
        <v/>
      </c>
      <c r="AN36" s="243" t="str">
        <f aca="false">IFERROR((AN37-AN38)/AN37,"")</f>
        <v/>
      </c>
      <c r="AO36" s="243" t="str">
        <f aca="false">IFERROR((AO37-AO38)/AO37,"")</f>
        <v/>
      </c>
      <c r="AP36" s="243" t="str">
        <f aca="false">IFERROR((AP37-AP38)/AP37,"")</f>
        <v/>
      </c>
      <c r="AQ36" s="244" t="str">
        <f aca="false">IFERROR((AQ37-AQ38)/AQ37,"")</f>
        <v/>
      </c>
      <c r="AR36" s="245" t="str">
        <f aca="false">IFERROR((AR37-AR38)/AR37,"")</f>
        <v/>
      </c>
    </row>
    <row r="37" customFormat="false" ht="14.25" hidden="false" customHeight="false" outlineLevel="0" collapsed="false">
      <c r="A37" s="217" t="str">
        <f aca="false">+IF(C37+C38=0,"[ocultar]","")</f>
        <v>[ocultar]</v>
      </c>
      <c r="B37" s="246" t="s">
        <v>371</v>
      </c>
      <c r="C37" s="247" t="n">
        <f aca="false" t="array" ref="C37:C37">SUM(IF($B37=DATOS_[Sexo], IF($B36=DATOS_[AGRUP. VALOR. PTO.], IF("Dentro"=DATOS_[Check Periodo Ref.], 1/(COUNTIFS(DATOS_[Sexo],$B37,DATOS_[AGRUP. VALOR. PTO.],$B36,DATOS_[Check Periodo Ref.],"Dentro",DATOS_[id],DATOS_[id]))))))</f>
        <v>0</v>
      </c>
      <c r="D37" s="248" t="n">
        <f aca="false">COUNTIFS(DATOS_[AGRUP. VALOR. PTO.],$B36,DATOS_[Sexo],$B37,DATOS_[Check Periodo Ref.],"Dentro")</f>
        <v>0</v>
      </c>
      <c r="E37" s="249" t="n">
        <f aca="false" t="array" ref="E37:E37">IFERROR( MEDIAN(IF(DATOS_[Sexo]=$B37,IF(DATOS_[AGRUP. VALOR. PTO.]=$B36,IF(DATOS_[Check Periodo Ref.]="Dentro",DATOS_[SALARIO BASE Ef],0)))), 0)</f>
        <v>0</v>
      </c>
      <c r="F37" s="250" t="n">
        <f aca="false" t="array" ref="F37:F37">IFERROR( MEDIAN((IF(DATOS_[[Sexo]:[Sexo]]=$B37,IF(DATOS_[[AGRUP. VALOR. PTO.]:[AGRUP. VALOR. PTO.]]=$B36,IF(DATOS_[[Check Periodo Ref.]:[Check Periodo Ref.]]="Dentro",DATOS_[Conc.Sal.01]))))), 0)</f>
        <v>0</v>
      </c>
      <c r="G37" s="250" t="n">
        <f aca="false" t="array" ref="G37:G37">IFERROR( MEDIAN((IF(DATOS_[[Sexo]:[Sexo]]=$B37,IF(DATOS_[[AGRUP. VALOR. PTO.]:[AGRUP. VALOR. PTO.]]=$B36,IF(DATOS_[[Check Periodo Ref.]:[Check Periodo Ref.]]="Dentro",DATOS_[Conc.Sal.02]))))), 0)</f>
        <v>0</v>
      </c>
      <c r="H37" s="250" t="n">
        <f aca="false" t="array" ref="H37:H37">IFERROR( MEDIAN((IF(DATOS_[[Sexo]:[Sexo]]=$B37,IF(DATOS_[[AGRUP. VALOR. PTO.]:[AGRUP. VALOR. PTO.]]=$B36,IF(DATOS_[[Check Periodo Ref.]:[Check Periodo Ref.]]="Dentro",DATOS_[Conc.Sal.03]))))), 0)</f>
        <v>0</v>
      </c>
      <c r="I37" s="250" t="n">
        <f aca="false" t="array" ref="I37:I37">IFERROR( MEDIAN((IF(DATOS_[[Sexo]:[Sexo]]=$B37,IF(DATOS_[[AGRUP. VALOR. PTO.]:[AGRUP. VALOR. PTO.]]=$B36,IF(DATOS_[[Check Periodo Ref.]:[Check Periodo Ref.]]="Dentro",DATOS_[Conc.Sal.04]))))), 0)</f>
        <v>0</v>
      </c>
      <c r="J37" s="250" t="n">
        <f aca="false" t="array" ref="J37:J37">IFERROR( MEDIAN((IF(DATOS_[[Sexo]:[Sexo]]=$B37,IF(DATOS_[[AGRUP. VALOR. PTO.]:[AGRUP. VALOR. PTO.]]=$B36,IF(DATOS_[[Check Periodo Ref.]:[Check Periodo Ref.]]="Dentro",DATOS_[Conc.Sal.05]))))), 0)</f>
        <v>0</v>
      </c>
      <c r="K37" s="250" t="n">
        <f aca="false" t="array" ref="K37:K37">IFERROR( MEDIAN((IF(DATOS_[[Sexo]:[Sexo]]=$B37,IF(DATOS_[[AGRUP. VALOR. PTO.]:[AGRUP. VALOR. PTO.]]=$B36,IF(DATOS_[[Check Periodo Ref.]:[Check Periodo Ref.]]="Dentro",DATOS_[Conc.Sal.06]))))), 0)</f>
        <v>0</v>
      </c>
      <c r="L37" s="250" t="n">
        <f aca="false" t="array" ref="L37:L37">IFERROR( MEDIAN((IF(DATOS_[[Sexo]:[Sexo]]=$B37,IF(DATOS_[[AGRUP. VALOR. PTO.]:[AGRUP. VALOR. PTO.]]=$B36,IF(DATOS_[[Check Periodo Ref.]:[Check Periodo Ref.]]="Dentro",DATOS_[Conc.Sal.07]))))), 0)</f>
        <v>0</v>
      </c>
      <c r="M37" s="250" t="n">
        <f aca="false" t="array" ref="M37:M37">IFERROR( MEDIAN((IF(DATOS_[[Sexo]:[Sexo]]=$B37,IF(DATOS_[[AGRUP. VALOR. PTO.]:[AGRUP. VALOR. PTO.]]=$B36,IF(DATOS_[[Check Periodo Ref.]:[Check Periodo Ref.]]="Dentro",DATOS_[Conc.Sal.08]))))), 0)</f>
        <v>0</v>
      </c>
      <c r="N37" s="250" t="n">
        <f aca="false" t="array" ref="N37:N37">IFERROR( MEDIAN((IF(DATOS_[[Sexo]:[Sexo]]=$B37,IF(DATOS_[[AGRUP. VALOR. PTO.]:[AGRUP. VALOR. PTO.]]=$B36,IF(DATOS_[[Check Periodo Ref.]:[Check Periodo Ref.]]="Dentro",DATOS_[Conc.Sal.09]))))), 0)</f>
        <v>0</v>
      </c>
      <c r="O37" s="250" t="n">
        <f aca="false" t="array" ref="O37:O37">IFERROR( MEDIAN((IF(DATOS_[[Sexo]:[Sexo]]=$B37,IF(DATOS_[[AGRUP. VALOR. PTO.]:[AGRUP. VALOR. PTO.]]=$B36,IF(DATOS_[[Check Periodo Ref.]:[Check Periodo Ref.]]="Dentro",DATOS_[Conc.Sal.10]))))), 0)</f>
        <v>0</v>
      </c>
      <c r="P37" s="250" t="n">
        <f aca="false" t="array" ref="P37:P37">IFERROR( MEDIAN((IF(DATOS_[[Sexo]:[Sexo]]=$B37,IF(DATOS_[[AGRUP. VALOR. PTO.]:[AGRUP. VALOR. PTO.]]=$B36,IF(DATOS_[[Check Periodo Ref.]:[Check Periodo Ref.]]="Dentro",DATOS_[Conc.Sal.11]))))), 0)</f>
        <v>0</v>
      </c>
      <c r="Q37" s="250" t="n">
        <f aca="false" t="array" ref="Q37:Q37">IFERROR( MEDIAN((IF(DATOS_[[Sexo]:[Sexo]]=$B37,IF(DATOS_[[AGRUP. VALOR. PTO.]:[AGRUP. VALOR. PTO.]]=$B36,IF(DATOS_[[Check Periodo Ref.]:[Check Periodo Ref.]]="Dentro",DATOS_[Conc.Sal.12]))))), 0)</f>
        <v>0</v>
      </c>
      <c r="R37" s="250" t="n">
        <f aca="false" t="array" ref="R37:R37">IFERROR( MEDIAN((IF(DATOS_[[Sexo]:[Sexo]]=$B37,IF(DATOS_[[AGRUP. VALOR. PTO.]:[AGRUP. VALOR. PTO.]]=$B36,IF(DATOS_[[Check Periodo Ref.]:[Check Periodo Ref.]]="Dentro",DATOS_[Conc.Sal.13]))))), 0)</f>
        <v>0</v>
      </c>
      <c r="S37" s="250" t="n">
        <f aca="false" t="array" ref="S37:S37">IFERROR( MEDIAN((IF(DATOS_[[Sexo]:[Sexo]]=$B37,IF(DATOS_[[AGRUP. VALOR. PTO.]:[AGRUP. VALOR. PTO.]]=$B36,IF(DATOS_[[Check Periodo Ref.]:[Check Periodo Ref.]]="Dentro",DATOS_[Conc.Sal.14]))))), 0)</f>
        <v>0</v>
      </c>
      <c r="T37" s="250" t="n">
        <f aca="false" t="array" ref="T37:T37">IFERROR( MEDIAN((IF(DATOS_[[Sexo]:[Sexo]]=$B37,IF(DATOS_[[AGRUP. VALOR. PTO.]:[AGRUP. VALOR. PTO.]]=$B36,IF(DATOS_[[Check Periodo Ref.]:[Check Periodo Ref.]]="Dentro",DATOS_[Conc.Sal.15]))))), 0)</f>
        <v>0</v>
      </c>
      <c r="U37" s="250" t="n">
        <f aca="false" t="array" ref="U37:U37">IFERROR( MEDIAN((IF(DATOS_[[Sexo]:[Sexo]]=$B37,IF(DATOS_[[AGRUP. VALOR. PTO.]:[AGRUP. VALOR. PTO.]]=$B36,IF(DATOS_[[Check Periodo Ref.]:[Check Periodo Ref.]]="Dentro",DATOS_[Conc.Sal.16]))))), 0)</f>
        <v>0</v>
      </c>
      <c r="V37" s="250" t="n">
        <f aca="false" t="array" ref="V37:V37">IFERROR( MEDIAN((IF(DATOS_[[Sexo]:[Sexo]]=$B37,IF(DATOS_[[AGRUP. VALOR. PTO.]:[AGRUP. VALOR. PTO.]]=$B36,IF(DATOS_[[Check Periodo Ref.]:[Check Periodo Ref.]]="Dentro",DATOS_[Conc.Sal.17]))))), 0)</f>
        <v>0</v>
      </c>
      <c r="W37" s="250" t="n">
        <f aca="false" t="array" ref="W37:W37">IFERROR( MEDIAN((IF(DATOS_[[Sexo]:[Sexo]]=$B37,IF(DATOS_[[AGRUP. VALOR. PTO.]:[AGRUP. VALOR. PTO.]]=$B36,IF(DATOS_[[Check Periodo Ref.]:[Check Periodo Ref.]]="Dentro",DATOS_[Conc.Sal.18]))))), 0)</f>
        <v>0</v>
      </c>
      <c r="X37" s="250" t="n">
        <f aca="false" t="array" ref="X37:X37">IFERROR( MEDIAN((IF(DATOS_[[Sexo]:[Sexo]]=$B37,IF(DATOS_[[AGRUP. VALOR. PTO.]:[AGRUP. VALOR. PTO.]]=$B36,IF(DATOS_[[Check Periodo Ref.]:[Check Periodo Ref.]]="Dentro",DATOS_[Conc.Sal.19]))))), 0)</f>
        <v>0</v>
      </c>
      <c r="Y37" s="250" t="n">
        <f aca="false" t="array" ref="Y37:Y37">IFERROR( MEDIAN((IF(DATOS_[[Sexo]:[Sexo]]=$B37,IF(DATOS_[[AGRUP. VALOR. PTO.]:[AGRUP. VALOR. PTO.]]=$B36,IF(DATOS_[[Check Periodo Ref.]:[Check Periodo Ref.]]="Dentro",DATOS_[Conc.Sal.20]))))), 0)</f>
        <v>0</v>
      </c>
      <c r="Z37" s="250" t="n">
        <f aca="false" t="array" ref="Z37:Z37">IFERROR( MEDIAN((IF(DATOS_[[Sexo]:[Sexo]]=$B37,IF(DATOS_[[AGRUP. VALOR. PTO.]:[AGRUP. VALOR. PTO.]]=$B36,IF(DATOS_[[Check Periodo Ref.]:[Check Periodo Ref.]]="Dentro",DATOS_[Conc.Sal.21]))))), 0)</f>
        <v>0</v>
      </c>
      <c r="AA37" s="250" t="n">
        <f aca="false" t="array" ref="AA37:AA37">IFERROR( MEDIAN((IF(DATOS_[[Sexo]:[Sexo]]=$B37,IF(DATOS_[[AGRUP. VALOR. PTO.]:[AGRUP. VALOR. PTO.]]=$B36,IF(DATOS_[[Check Periodo Ref.]:[Check Periodo Ref.]]="Dentro",DATOS_[Conc.Sal.22]))))), 0)</f>
        <v>0</v>
      </c>
      <c r="AB37" s="250" t="n">
        <f aca="false" t="array" ref="AB37:AB37">IFERROR( MEDIAN((IF(DATOS_[[Sexo]:[Sexo]]=$B37,IF(DATOS_[[AGRUP. VALOR. PTO.]:[AGRUP. VALOR. PTO.]]=$B36,IF(DATOS_[[Check Periodo Ref.]:[Check Periodo Ref.]]="Dentro",DATOS_[Conc.Sal.23]))))), 0)</f>
        <v>0</v>
      </c>
      <c r="AC37" s="250" t="n">
        <f aca="false" t="array" ref="AC37:AC37">IFERROR( MEDIAN((IF(DATOS_[[Sexo]:[Sexo]]=$B37,IF(DATOS_[[AGRUP. VALOR. PTO.]:[AGRUP. VALOR. PTO.]]=$B36,IF(DATOS_[[Check Periodo Ref.]:[Check Periodo Ref.]]="Dentro",DATOS_[Conc.Sal.24]))))), 0)</f>
        <v>0</v>
      </c>
      <c r="AD37" s="250" t="n">
        <f aca="false" t="array" ref="AD37:AD37">IFERROR( MEDIAN((IF(DATOS_[[Sexo]:[Sexo]]=$B37,IF(DATOS_[[AGRUP. VALOR. PTO.]:[AGRUP. VALOR. PTO.]]=$B36,IF(DATOS_[[Check Periodo Ref.]:[Check Periodo Ref.]]="Dentro",DATOS_[Conc.Sal.25]))))), 0)</f>
        <v>0</v>
      </c>
      <c r="AE37" s="250" t="n">
        <f aca="false" t="array" ref="AE37:AE37">IFERROR( MEDIAN((IF(DATOS_[[Sexo]:[Sexo]]=$B37,IF(DATOS_[[AGRUP. VALOR. PTO.]:[AGRUP. VALOR. PTO.]]=$B36,IF(DATOS_[[Check Periodo Ref.]:[Check Periodo Ref.]]="Dentro",DATOS_[Conc.Sal.26]))))), 0)</f>
        <v>0</v>
      </c>
      <c r="AF37" s="250" t="n">
        <f aca="false" t="array" ref="AF37:AF37">IFERROR( MEDIAN((IF(DATOS_[[Sexo]:[Sexo]]=$B37,IF(DATOS_[[AGRUP. VALOR. PTO.]:[AGRUP. VALOR. PTO.]]=$B36,IF(DATOS_[[Check Periodo Ref.]:[Check Periodo Ref.]]="Dentro",DATOS_[Conc.Sal.27]))))), 0)</f>
        <v>0</v>
      </c>
      <c r="AG37" s="250" t="n">
        <f aca="false" t="array" ref="AG37:AG37">IFERROR( MEDIAN((IF(DATOS_[[Sexo]:[Sexo]]=$B37,IF(DATOS_[[AGRUP. VALOR. PTO.]:[AGRUP. VALOR. PTO.]]=$B36,IF(DATOS_[[Check Periodo Ref.]:[Check Periodo Ref.]]="Dentro",DATOS_[Conc.Sal.28]))))), 0)</f>
        <v>0</v>
      </c>
      <c r="AH37" s="250" t="n">
        <f aca="false" t="array" ref="AH37:AH37">IFERROR( MEDIAN((IF(DATOS_[[Sexo]:[Sexo]]=$B37,IF(DATOS_[[AGRUP. VALOR. PTO.]:[AGRUP. VALOR. PTO.]]=$B36,IF(DATOS_[[Check Periodo Ref.]:[Check Periodo Ref.]]="Dentro",DATOS_[Conc.Sal.29]))))), 0)</f>
        <v>0</v>
      </c>
      <c r="AI37" s="250" t="n">
        <f aca="false" t="array" ref="AI37:AI37">IFERROR( MEDIAN((IF(DATOS_[[Sexo]:[Sexo]]=$B37,IF(DATOS_[[AGRUP. VALOR. PTO.]:[AGRUP. VALOR. PTO.]]=$B36,IF(DATOS_[[Check Periodo Ref.]:[Check Periodo Ref.]]="Dentro",DATOS_[Conc.Sal.30]))))), 0)</f>
        <v>0</v>
      </c>
      <c r="AJ37" s="251" t="n">
        <f aca="false" t="array" ref="AJ37:AJ37">IFERROR( MEDIAN(IF(DATOS_[Sexo]=$B37,IF(DATOS_[AGRUP. VALOR. PTO.]=$B36,IF(DATOS_[Check Periodo Ref.]="Dentro",DATOS_[Tot COMPL.SAL Ef],0)))), 0)</f>
        <v>0</v>
      </c>
      <c r="AK37" s="252" t="n">
        <f aca="false" t="array" ref="AK37:AK37">IFERROR( MEDIAN(IF(DATOS_[Sexo]=$B37,IF(DATOS_[AGRUP. VALOR. PTO.]=$B36,IF(DATOS_[Check Periodo Ref.]="Dentro",DATOS_[TOTAL SALARIO Ef],0)))), 0)</f>
        <v>0</v>
      </c>
      <c r="AL37" s="259" t="n">
        <f aca="false" t="array" ref="AL37:AL37">IFERROR( MEDIAN((IF(DATOS_[[Sexo]:[Sexo]]=$B37,IF(DATOS_[[AGRUP. VALOR. PTO.]:[AGRUP. VALOR. PTO.]]=$B36,IF(DATOS_[[Check Periodo Ref.]:[Check Periodo Ref.]]="Dentro",DATOS_[C.Extra.01]))))), 0)</f>
        <v>0</v>
      </c>
      <c r="AM37" s="259" t="n">
        <f aca="false" t="array" ref="AM37:AM37">IFERROR( MEDIAN((IF(DATOS_[[Sexo]:[Sexo]]=$B37,IF(DATOS_[[AGRUP. VALOR. PTO.]:[AGRUP. VALOR. PTO.]]=$B36,IF(DATOS_[[Check Periodo Ref.]:[Check Periodo Ref.]]="Dentro",DATOS_[C.Extra.02]))))), 0)</f>
        <v>0</v>
      </c>
      <c r="AN37" s="259" t="n">
        <f aca="false" t="array" ref="AN37:AN37">IFERROR( MEDIAN((IF(DATOS_[[Sexo]:[Sexo]]=$B37,IF(DATOS_[[AGRUP. VALOR. PTO.]:[AGRUP. VALOR. PTO.]]=$B36,IF(DATOS_[[Check Periodo Ref.]:[Check Periodo Ref.]]="Dentro",DATOS_[C.Extra.03]))))), 0)</f>
        <v>0</v>
      </c>
      <c r="AO37" s="259" t="n">
        <f aca="false" t="array" ref="AO37:AO37">IFERROR( MEDIAN((IF(DATOS_[[Sexo]:[Sexo]]=$B37,IF(DATOS_[[AGRUP. VALOR. PTO.]:[AGRUP. VALOR. PTO.]]=$B36,IF(DATOS_[[Check Periodo Ref.]:[Check Periodo Ref.]]="Dentro",DATOS_[C.Extra.04]))))), 0)</f>
        <v>0</v>
      </c>
      <c r="AP37" s="259" t="n">
        <f aca="false" t="array" ref="AP37:AP37">IFERROR( MEDIAN((IF(DATOS_[[Sexo]:[Sexo]]=$B37,IF(DATOS_[[AGRUP. VALOR. PTO.]:[AGRUP. VALOR. PTO.]]=$B36,IF(DATOS_[[Check Periodo Ref.]:[Check Periodo Ref.]]="Dentro",DATOS_[C.Extra.05]))))), 0)</f>
        <v>0</v>
      </c>
      <c r="AQ37" s="254" t="n">
        <f aca="false" t="array" ref="AQ37:AQ37">IFERROR( MEDIAN(IF(DATOS_[Sexo]=$B37,IF(DATOS_[AGRUP. VALOR. PTO.]=$B36,IF(DATOS_[Check Periodo Ref.]="Dentro",DATOS_[Tot Extrasalarial Ef],0)))), 0)</f>
        <v>0</v>
      </c>
      <c r="AR37" s="255" t="n">
        <f aca="false" t="array" ref="AR37:AR37">IFERROR( MEDIAN(IF(DATOS_[Sexo]=$B37,IF(DATOS_[AGRUP. VALOR. PTO.]=$B36,IF(DATOS_[Check Periodo Ref.]="Dentro",DATOS_[TOTAL Retrib Ef],0)))), 0)</f>
        <v>0</v>
      </c>
    </row>
    <row r="38" customFormat="false" ht="14.25" hidden="false" customHeight="false" outlineLevel="0" collapsed="false">
      <c r="A38" s="217" t="str">
        <f aca="false">+A37</f>
        <v>[ocultar]</v>
      </c>
      <c r="B38" s="246" t="s">
        <v>372</v>
      </c>
      <c r="C38" s="247" t="n">
        <f aca="false" t="array" ref="C38:C38">SUM(IF($B38=DATOS_[Sexo], IF($B36=DATOS_[AGRUP. VALOR. PTO.], IF("Dentro"=DATOS_[Check Periodo Ref.], 1/(COUNTIFS(DATOS_[Sexo],$B38,DATOS_[AGRUP. VALOR. PTO.],$B36,DATOS_[Check Periodo Ref.],"Dentro",DATOS_[id],DATOS_[id]))))))</f>
        <v>0</v>
      </c>
      <c r="D38" s="248" t="n">
        <f aca="false">COUNTIFS(DATOS_[AGRUP. VALOR. PTO.],$B36,DATOS_[Sexo],$B38,DATOS_[Check Periodo Ref.],"Dentro")</f>
        <v>0</v>
      </c>
      <c r="E38" s="249" t="n">
        <f aca="false" t="array" ref="E38:E38">IFERROR( MEDIAN(IF(DATOS_[Sexo]=$B38,IF(DATOS_[AGRUP. VALOR. PTO.]=$B36,IF(DATOS_[Check Periodo Ref.]="Dentro",DATOS_[SALARIO BASE Ef],0)))), 0)</f>
        <v>0</v>
      </c>
      <c r="F38" s="250" t="n">
        <f aca="false" t="array" ref="F38:F38">IFERROR( MEDIAN((IF(DATOS_[[Sexo]:[Sexo]]=$B38,IF(DATOS_[[AGRUP. VALOR. PTO.]:[AGRUP. VALOR. PTO.]]=$B36,IF(DATOS_[[Check Periodo Ref.]:[Check Periodo Ref.]]="Dentro",DATOS_[Conc.Sal.01]))))), 0)</f>
        <v>0</v>
      </c>
      <c r="G38" s="250" t="n">
        <f aca="false" t="array" ref="G38:G38">IFERROR( MEDIAN((IF(DATOS_[[Sexo]:[Sexo]]=$B38,IF(DATOS_[[AGRUP. VALOR. PTO.]:[AGRUP. VALOR. PTO.]]=$B36,IF(DATOS_[[Check Periodo Ref.]:[Check Periodo Ref.]]="Dentro",DATOS_[Conc.Sal.02]))))), 0)</f>
        <v>0</v>
      </c>
      <c r="H38" s="250" t="n">
        <f aca="false" t="array" ref="H38:H38">IFERROR( MEDIAN((IF(DATOS_[[Sexo]:[Sexo]]=$B38,IF(DATOS_[[AGRUP. VALOR. PTO.]:[AGRUP. VALOR. PTO.]]=$B36,IF(DATOS_[[Check Periodo Ref.]:[Check Periodo Ref.]]="Dentro",DATOS_[Conc.Sal.03]))))), 0)</f>
        <v>0</v>
      </c>
      <c r="I38" s="250" t="n">
        <f aca="false" t="array" ref="I38:I38">IFERROR( MEDIAN((IF(DATOS_[[Sexo]:[Sexo]]=$B38,IF(DATOS_[[AGRUP. VALOR. PTO.]:[AGRUP. VALOR. PTO.]]=$B36,IF(DATOS_[[Check Periodo Ref.]:[Check Periodo Ref.]]="Dentro",DATOS_[Conc.Sal.04]))))), 0)</f>
        <v>0</v>
      </c>
      <c r="J38" s="250" t="n">
        <f aca="false" t="array" ref="J38:J38">IFERROR( MEDIAN((IF(DATOS_[[Sexo]:[Sexo]]=$B38,IF(DATOS_[[AGRUP. VALOR. PTO.]:[AGRUP. VALOR. PTO.]]=$B36,IF(DATOS_[[Check Periodo Ref.]:[Check Periodo Ref.]]="Dentro",DATOS_[Conc.Sal.05]))))), 0)</f>
        <v>0</v>
      </c>
      <c r="K38" s="250" t="n">
        <f aca="false" t="array" ref="K38:K38">IFERROR( MEDIAN((IF(DATOS_[[Sexo]:[Sexo]]=$B38,IF(DATOS_[[AGRUP. VALOR. PTO.]:[AGRUP. VALOR. PTO.]]=$B36,IF(DATOS_[[Check Periodo Ref.]:[Check Periodo Ref.]]="Dentro",DATOS_[Conc.Sal.06]))))), 0)</f>
        <v>0</v>
      </c>
      <c r="L38" s="250" t="n">
        <f aca="false" t="array" ref="L38:L38">IFERROR( MEDIAN((IF(DATOS_[[Sexo]:[Sexo]]=$B38,IF(DATOS_[[AGRUP. VALOR. PTO.]:[AGRUP. VALOR. PTO.]]=$B36,IF(DATOS_[[Check Periodo Ref.]:[Check Periodo Ref.]]="Dentro",DATOS_[Conc.Sal.07]))))), 0)</f>
        <v>0</v>
      </c>
      <c r="M38" s="250" t="n">
        <f aca="false" t="array" ref="M38:M38">IFERROR( MEDIAN((IF(DATOS_[[Sexo]:[Sexo]]=$B38,IF(DATOS_[[AGRUP. VALOR. PTO.]:[AGRUP. VALOR. PTO.]]=$B36,IF(DATOS_[[Check Periodo Ref.]:[Check Periodo Ref.]]="Dentro",DATOS_[Conc.Sal.08]))))), 0)</f>
        <v>0</v>
      </c>
      <c r="N38" s="250" t="n">
        <f aca="false" t="array" ref="N38:N38">IFERROR( MEDIAN((IF(DATOS_[[Sexo]:[Sexo]]=$B38,IF(DATOS_[[AGRUP. VALOR. PTO.]:[AGRUP. VALOR. PTO.]]=$B36,IF(DATOS_[[Check Periodo Ref.]:[Check Periodo Ref.]]="Dentro",DATOS_[Conc.Sal.09]))))), 0)</f>
        <v>0</v>
      </c>
      <c r="O38" s="250" t="n">
        <f aca="false" t="array" ref="O38:O38">IFERROR( MEDIAN((IF(DATOS_[[Sexo]:[Sexo]]=$B38,IF(DATOS_[[AGRUP. VALOR. PTO.]:[AGRUP. VALOR. PTO.]]=$B36,IF(DATOS_[[Check Periodo Ref.]:[Check Periodo Ref.]]="Dentro",DATOS_[Conc.Sal.10]))))), 0)</f>
        <v>0</v>
      </c>
      <c r="P38" s="250" t="n">
        <f aca="false" t="array" ref="P38:P38">IFERROR( MEDIAN((IF(DATOS_[[Sexo]:[Sexo]]=$B38,IF(DATOS_[[AGRUP. VALOR. PTO.]:[AGRUP. VALOR. PTO.]]=$B36,IF(DATOS_[[Check Periodo Ref.]:[Check Periodo Ref.]]="Dentro",DATOS_[Conc.Sal.11]))))), 0)</f>
        <v>0</v>
      </c>
      <c r="Q38" s="250" t="n">
        <f aca="false" t="array" ref="Q38:Q38">IFERROR( MEDIAN((IF(DATOS_[[Sexo]:[Sexo]]=$B38,IF(DATOS_[[AGRUP. VALOR. PTO.]:[AGRUP. VALOR. PTO.]]=$B36,IF(DATOS_[[Check Periodo Ref.]:[Check Periodo Ref.]]="Dentro",DATOS_[Conc.Sal.12]))))), 0)</f>
        <v>0</v>
      </c>
      <c r="R38" s="250" t="n">
        <f aca="false" t="array" ref="R38:R38">IFERROR( MEDIAN((IF(DATOS_[[Sexo]:[Sexo]]=$B38,IF(DATOS_[[AGRUP. VALOR. PTO.]:[AGRUP. VALOR. PTO.]]=$B36,IF(DATOS_[[Check Periodo Ref.]:[Check Periodo Ref.]]="Dentro",DATOS_[Conc.Sal.13]))))), 0)</f>
        <v>0</v>
      </c>
      <c r="S38" s="250" t="n">
        <f aca="false" t="array" ref="S38:S38">IFERROR( MEDIAN((IF(DATOS_[[Sexo]:[Sexo]]=$B38,IF(DATOS_[[AGRUP. VALOR. PTO.]:[AGRUP. VALOR. PTO.]]=$B36,IF(DATOS_[[Check Periodo Ref.]:[Check Periodo Ref.]]="Dentro",DATOS_[Conc.Sal.14]))))), 0)</f>
        <v>0</v>
      </c>
      <c r="T38" s="250" t="n">
        <f aca="false" t="array" ref="T38:T38">IFERROR( MEDIAN((IF(DATOS_[[Sexo]:[Sexo]]=$B38,IF(DATOS_[[AGRUP. VALOR. PTO.]:[AGRUP. VALOR. PTO.]]=$B36,IF(DATOS_[[Check Periodo Ref.]:[Check Periodo Ref.]]="Dentro",DATOS_[Conc.Sal.15]))))), 0)</f>
        <v>0</v>
      </c>
      <c r="U38" s="250" t="n">
        <f aca="false" t="array" ref="U38:U38">IFERROR( MEDIAN((IF(DATOS_[[Sexo]:[Sexo]]=$B38,IF(DATOS_[[AGRUP. VALOR. PTO.]:[AGRUP. VALOR. PTO.]]=$B36,IF(DATOS_[[Check Periodo Ref.]:[Check Periodo Ref.]]="Dentro",DATOS_[Conc.Sal.16]))))), 0)</f>
        <v>0</v>
      </c>
      <c r="V38" s="250" t="n">
        <f aca="false" t="array" ref="V38:V38">IFERROR( MEDIAN((IF(DATOS_[[Sexo]:[Sexo]]=$B38,IF(DATOS_[[AGRUP. VALOR. PTO.]:[AGRUP. VALOR. PTO.]]=$B36,IF(DATOS_[[Check Periodo Ref.]:[Check Periodo Ref.]]="Dentro",DATOS_[Conc.Sal.17]))))), 0)</f>
        <v>0</v>
      </c>
      <c r="W38" s="250" t="n">
        <f aca="false" t="array" ref="W38:W38">IFERROR( MEDIAN((IF(DATOS_[[Sexo]:[Sexo]]=$B38,IF(DATOS_[[AGRUP. VALOR. PTO.]:[AGRUP. VALOR. PTO.]]=$B36,IF(DATOS_[[Check Periodo Ref.]:[Check Periodo Ref.]]="Dentro",DATOS_[Conc.Sal.18]))))), 0)</f>
        <v>0</v>
      </c>
      <c r="X38" s="250" t="n">
        <f aca="false" t="array" ref="X38:X38">IFERROR( MEDIAN((IF(DATOS_[[Sexo]:[Sexo]]=$B38,IF(DATOS_[[AGRUP. VALOR. PTO.]:[AGRUP. VALOR. PTO.]]=$B36,IF(DATOS_[[Check Periodo Ref.]:[Check Periodo Ref.]]="Dentro",DATOS_[Conc.Sal.19]))))), 0)</f>
        <v>0</v>
      </c>
      <c r="Y38" s="250" t="n">
        <f aca="false" t="array" ref="Y38:Y38">IFERROR( MEDIAN((IF(DATOS_[[Sexo]:[Sexo]]=$B38,IF(DATOS_[[AGRUP. VALOR. PTO.]:[AGRUP. VALOR. PTO.]]=$B36,IF(DATOS_[[Check Periodo Ref.]:[Check Periodo Ref.]]="Dentro",DATOS_[Conc.Sal.20]))))), 0)</f>
        <v>0</v>
      </c>
      <c r="Z38" s="250" t="n">
        <f aca="false" t="array" ref="Z38:Z38">IFERROR( MEDIAN((IF(DATOS_[[Sexo]:[Sexo]]=$B38,IF(DATOS_[[AGRUP. VALOR. PTO.]:[AGRUP. VALOR. PTO.]]=$B36,IF(DATOS_[[Check Periodo Ref.]:[Check Periodo Ref.]]="Dentro",DATOS_[Conc.Sal.21]))))), 0)</f>
        <v>0</v>
      </c>
      <c r="AA38" s="250" t="n">
        <f aca="false" t="array" ref="AA38:AA38">IFERROR( MEDIAN((IF(DATOS_[[Sexo]:[Sexo]]=$B38,IF(DATOS_[[AGRUP. VALOR. PTO.]:[AGRUP. VALOR. PTO.]]=$B36,IF(DATOS_[[Check Periodo Ref.]:[Check Periodo Ref.]]="Dentro",DATOS_[Conc.Sal.22]))))), 0)</f>
        <v>0</v>
      </c>
      <c r="AB38" s="250" t="n">
        <f aca="false" t="array" ref="AB38:AB38">IFERROR( MEDIAN((IF(DATOS_[[Sexo]:[Sexo]]=$B38,IF(DATOS_[[AGRUP. VALOR. PTO.]:[AGRUP. VALOR. PTO.]]=$B36,IF(DATOS_[[Check Periodo Ref.]:[Check Periodo Ref.]]="Dentro",DATOS_[Conc.Sal.23]))))), 0)</f>
        <v>0</v>
      </c>
      <c r="AC38" s="250" t="n">
        <f aca="false" t="array" ref="AC38:AC38">IFERROR( MEDIAN((IF(DATOS_[[Sexo]:[Sexo]]=$B38,IF(DATOS_[[AGRUP. VALOR. PTO.]:[AGRUP. VALOR. PTO.]]=$B36,IF(DATOS_[[Check Periodo Ref.]:[Check Periodo Ref.]]="Dentro",DATOS_[Conc.Sal.24]))))), 0)</f>
        <v>0</v>
      </c>
      <c r="AD38" s="250" t="n">
        <f aca="false" t="array" ref="AD38:AD38">IFERROR( MEDIAN((IF(DATOS_[[Sexo]:[Sexo]]=$B38,IF(DATOS_[[AGRUP. VALOR. PTO.]:[AGRUP. VALOR. PTO.]]=$B36,IF(DATOS_[[Check Periodo Ref.]:[Check Periodo Ref.]]="Dentro",DATOS_[Conc.Sal.25]))))), 0)</f>
        <v>0</v>
      </c>
      <c r="AE38" s="250" t="n">
        <f aca="false" t="array" ref="AE38:AE38">IFERROR( MEDIAN((IF(DATOS_[[Sexo]:[Sexo]]=$B38,IF(DATOS_[[AGRUP. VALOR. PTO.]:[AGRUP. VALOR. PTO.]]=$B36,IF(DATOS_[[Check Periodo Ref.]:[Check Periodo Ref.]]="Dentro",DATOS_[Conc.Sal.26]))))), 0)</f>
        <v>0</v>
      </c>
      <c r="AF38" s="250" t="n">
        <f aca="false" t="array" ref="AF38:AF38">IFERROR( MEDIAN((IF(DATOS_[[Sexo]:[Sexo]]=$B38,IF(DATOS_[[AGRUP. VALOR. PTO.]:[AGRUP. VALOR. PTO.]]=$B36,IF(DATOS_[[Check Periodo Ref.]:[Check Periodo Ref.]]="Dentro",DATOS_[Conc.Sal.27]))))), 0)</f>
        <v>0</v>
      </c>
      <c r="AG38" s="250" t="n">
        <f aca="false" t="array" ref="AG38:AG38">IFERROR( MEDIAN((IF(DATOS_[[Sexo]:[Sexo]]=$B38,IF(DATOS_[[AGRUP. VALOR. PTO.]:[AGRUP. VALOR. PTO.]]=$B36,IF(DATOS_[[Check Periodo Ref.]:[Check Periodo Ref.]]="Dentro",DATOS_[Conc.Sal.28]))))), 0)</f>
        <v>0</v>
      </c>
      <c r="AH38" s="250" t="n">
        <f aca="false" t="array" ref="AH38:AH38">IFERROR( MEDIAN((IF(DATOS_[[Sexo]:[Sexo]]=$B38,IF(DATOS_[[AGRUP. VALOR. PTO.]:[AGRUP. VALOR. PTO.]]=$B36,IF(DATOS_[[Check Periodo Ref.]:[Check Periodo Ref.]]="Dentro",DATOS_[Conc.Sal.29]))))), 0)</f>
        <v>0</v>
      </c>
      <c r="AI38" s="250" t="n">
        <f aca="false" t="array" ref="AI38:AI38">IFERROR( MEDIAN((IF(DATOS_[[Sexo]:[Sexo]]=$B38,IF(DATOS_[[AGRUP. VALOR. PTO.]:[AGRUP. VALOR. PTO.]]=$B36,IF(DATOS_[[Check Periodo Ref.]:[Check Periodo Ref.]]="Dentro",DATOS_[Conc.Sal.30]))))), 0)</f>
        <v>0</v>
      </c>
      <c r="AJ38" s="251" t="n">
        <f aca="false" t="array" ref="AJ38:AJ38">IFERROR( MEDIAN(IF(DATOS_[Sexo]=$B38,IF(DATOS_[AGRUP. VALOR. PTO.]=$B36,IF(DATOS_[Check Periodo Ref.]="Dentro",DATOS_[Tot COMPL.SAL Ef],0)))), 0)</f>
        <v>0</v>
      </c>
      <c r="AK38" s="252" t="n">
        <f aca="false" t="array" ref="AK38:AK38">IFERROR( MEDIAN(IF(DATOS_[Sexo]=$B38,IF(DATOS_[AGRUP. VALOR. PTO.]=$B36,IF(DATOS_[Check Periodo Ref.]="Dentro",DATOS_[TOTAL SALARIO Ef],0)))), 0)</f>
        <v>0</v>
      </c>
      <c r="AL38" s="259" t="n">
        <f aca="false" t="array" ref="AL38:AL38">IFERROR( MEDIAN((IF(DATOS_[[Sexo]:[Sexo]]=$B38,IF(DATOS_[[AGRUP. VALOR. PTO.]:[AGRUP. VALOR. PTO.]]=$B36,IF(DATOS_[[Check Periodo Ref.]:[Check Periodo Ref.]]="Dentro",DATOS_[C.Extra.01]))))), 0)</f>
        <v>0</v>
      </c>
      <c r="AM38" s="259" t="n">
        <f aca="false" t="array" ref="AM38:AM38">IFERROR( MEDIAN((IF(DATOS_[[Sexo]:[Sexo]]=$B38,IF(DATOS_[[AGRUP. VALOR. PTO.]:[AGRUP. VALOR. PTO.]]=$B36,IF(DATOS_[[Check Periodo Ref.]:[Check Periodo Ref.]]="Dentro",DATOS_[C.Extra.02]))))), 0)</f>
        <v>0</v>
      </c>
      <c r="AN38" s="259" t="n">
        <f aca="false" t="array" ref="AN38:AN38">IFERROR( MEDIAN((IF(DATOS_[[Sexo]:[Sexo]]=$B38,IF(DATOS_[[AGRUP. VALOR. PTO.]:[AGRUP. VALOR. PTO.]]=$B36,IF(DATOS_[[Check Periodo Ref.]:[Check Periodo Ref.]]="Dentro",DATOS_[C.Extra.03]))))), 0)</f>
        <v>0</v>
      </c>
      <c r="AO38" s="259" t="n">
        <f aca="false" t="array" ref="AO38:AO38">IFERROR( MEDIAN((IF(DATOS_[[Sexo]:[Sexo]]=$B38,IF(DATOS_[[AGRUP. VALOR. PTO.]:[AGRUP. VALOR. PTO.]]=$B36,IF(DATOS_[[Check Periodo Ref.]:[Check Periodo Ref.]]="Dentro",DATOS_[C.Extra.04]))))), 0)</f>
        <v>0</v>
      </c>
      <c r="AP38" s="259" t="n">
        <f aca="false" t="array" ref="AP38:AP38">IFERROR( MEDIAN((IF(DATOS_[[Sexo]:[Sexo]]=$B38,IF(DATOS_[[AGRUP. VALOR. PTO.]:[AGRUP. VALOR. PTO.]]=$B36,IF(DATOS_[[Check Periodo Ref.]:[Check Periodo Ref.]]="Dentro",DATOS_[C.Extra.05]))))), 0)</f>
        <v>0</v>
      </c>
      <c r="AQ38" s="254" t="n">
        <f aca="false" t="array" ref="AQ38:AQ38">IFERROR( MEDIAN(IF(DATOS_[Sexo]=$B38,IF(DATOS_[AGRUP. VALOR. PTO.]=$B36,IF(DATOS_[Check Periodo Ref.]="Dentro",DATOS_[Tot Extrasalarial Ef],0)))), 0)</f>
        <v>0</v>
      </c>
      <c r="AR38" s="255" t="n">
        <f aca="false" t="array" ref="AR38:AR38">IFERROR( MEDIAN(IF(DATOS_[Sexo]=$B38,IF(DATOS_[AGRUP. VALOR. PTO.]=$B36,IF(DATOS_[Check Periodo Ref.]="Dentro",DATOS_[TOTAL Retrib Ef],0)))), 0)</f>
        <v>0</v>
      </c>
    </row>
    <row r="39" customFormat="false" ht="15.75" hidden="false" customHeight="false" outlineLevel="0" collapsed="false">
      <c r="A39" s="217" t="str">
        <f aca="false">+A40</f>
        <v>[ocultar]</v>
      </c>
      <c r="B39" s="235" t="s">
        <v>193</v>
      </c>
      <c r="C39" s="236"/>
      <c r="D39" s="237"/>
      <c r="E39" s="238" t="str">
        <f aca="false">IFERROR((E40-E41)/E40,"")</f>
        <v/>
      </c>
      <c r="F39" s="239" t="str">
        <f aca="false">IFERROR((F40-F41)/F40,"")</f>
        <v/>
      </c>
      <c r="G39" s="239" t="str">
        <f aca="false">IFERROR((G40-G41)/G40,"")</f>
        <v/>
      </c>
      <c r="H39" s="239" t="str">
        <f aca="false">IFERROR((H40-H41)/H40,"")</f>
        <v/>
      </c>
      <c r="I39" s="239"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40" t="str">
        <f aca="false">IFERROR((V40-V41)/V40,"")</f>
        <v/>
      </c>
      <c r="W39" s="240" t="str">
        <f aca="false">IFERROR((W40-W41)/W40,"")</f>
        <v/>
      </c>
      <c r="X39" s="240" t="str">
        <f aca="false">IFERROR((X40-X41)/X40,"")</f>
        <v/>
      </c>
      <c r="Y39" s="240"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1" t="str">
        <f aca="false">IFERROR((AJ40-AJ41)/AJ40,"")</f>
        <v/>
      </c>
      <c r="AK39" s="242" t="str">
        <f aca="false">IFERROR((AK40-AK41)/AK40,"")</f>
        <v/>
      </c>
      <c r="AL39" s="243" t="str">
        <f aca="false">IFERROR((AL40-AL41)/AL40,"")</f>
        <v/>
      </c>
      <c r="AM39" s="243" t="str">
        <f aca="false">IFERROR((AM40-AM41)/AM40,"")</f>
        <v/>
      </c>
      <c r="AN39" s="243" t="str">
        <f aca="false">IFERROR((AN40-AN41)/AN40,"")</f>
        <v/>
      </c>
      <c r="AO39" s="243" t="str">
        <f aca="false">IFERROR((AO40-AO41)/AO40,"")</f>
        <v/>
      </c>
      <c r="AP39" s="243" t="str">
        <f aca="false">IFERROR((AP40-AP41)/AP40,"")</f>
        <v/>
      </c>
      <c r="AQ39" s="244" t="str">
        <f aca="false">IFERROR((AQ40-AQ41)/AQ40,"")</f>
        <v/>
      </c>
      <c r="AR39" s="245" t="str">
        <f aca="false">IFERROR((AR40-AR41)/AR40,"")</f>
        <v/>
      </c>
    </row>
    <row r="40" customFormat="false" ht="14.25" hidden="false" customHeight="false" outlineLevel="0" collapsed="false">
      <c r="A40" s="217" t="str">
        <f aca="false">+IF(C40+C41=0,"[ocultar]","")</f>
        <v>[ocultar]</v>
      </c>
      <c r="B40" s="246" t="s">
        <v>371</v>
      </c>
      <c r="C40" s="247" t="n">
        <f aca="false" t="array" ref="C40:C40">SUM(IF($B40=DATOS_[Sexo], IF($B39=DATOS_[AGRUP. VALOR. PTO.], IF("Dentro"=DATOS_[Check Periodo Ref.], 1/(COUNTIFS(DATOS_[Sexo],$B40,DATOS_[AGRUP. VALOR. PTO.],$B39,DATOS_[Check Periodo Ref.],"Dentro",DATOS_[id],DATOS_[id]))))))</f>
        <v>0</v>
      </c>
      <c r="D40" s="248" t="n">
        <f aca="false">COUNTIFS(DATOS_[AGRUP. VALOR. PTO.],$B39,DATOS_[Sexo],$B40,DATOS_[Check Periodo Ref.],"Dentro")</f>
        <v>0</v>
      </c>
      <c r="E40" s="249" t="n">
        <f aca="false" t="array" ref="E40:E40">IFERROR( MEDIAN(IF(DATOS_[Sexo]=$B40,IF(DATOS_[AGRUP. VALOR. PTO.]=$B39,IF(DATOS_[Check Periodo Ref.]="Dentro",DATOS_[SALARIO BASE Ef],0)))), 0)</f>
        <v>0</v>
      </c>
      <c r="F40" s="250" t="n">
        <f aca="false" t="array" ref="F40:F40">IFERROR( MEDIAN((IF(DATOS_[[Sexo]:[Sexo]]=$B40,IF(DATOS_[[AGRUP. VALOR. PTO.]:[AGRUP. VALOR. PTO.]]=$B39,IF(DATOS_[[Check Periodo Ref.]:[Check Periodo Ref.]]="Dentro",DATOS_[Conc.Sal.01]))))), 0)</f>
        <v>0</v>
      </c>
      <c r="G40" s="250" t="n">
        <f aca="false" t="array" ref="G40:G40">IFERROR( MEDIAN((IF(DATOS_[[Sexo]:[Sexo]]=$B40,IF(DATOS_[[AGRUP. VALOR. PTO.]:[AGRUP. VALOR. PTO.]]=$B39,IF(DATOS_[[Check Periodo Ref.]:[Check Periodo Ref.]]="Dentro",DATOS_[Conc.Sal.02]))))), 0)</f>
        <v>0</v>
      </c>
      <c r="H40" s="250" t="n">
        <f aca="false" t="array" ref="H40:H40">IFERROR( MEDIAN((IF(DATOS_[[Sexo]:[Sexo]]=$B40,IF(DATOS_[[AGRUP. VALOR. PTO.]:[AGRUP. VALOR. PTO.]]=$B39,IF(DATOS_[[Check Periodo Ref.]:[Check Periodo Ref.]]="Dentro",DATOS_[Conc.Sal.03]))))), 0)</f>
        <v>0</v>
      </c>
      <c r="I40" s="250" t="n">
        <f aca="false" t="array" ref="I40:I40">IFERROR( MEDIAN((IF(DATOS_[[Sexo]:[Sexo]]=$B40,IF(DATOS_[[AGRUP. VALOR. PTO.]:[AGRUP. VALOR. PTO.]]=$B39,IF(DATOS_[[Check Periodo Ref.]:[Check Periodo Ref.]]="Dentro",DATOS_[Conc.Sal.04]))))), 0)</f>
        <v>0</v>
      </c>
      <c r="J40" s="250" t="n">
        <f aca="false" t="array" ref="J40:J40">IFERROR( MEDIAN((IF(DATOS_[[Sexo]:[Sexo]]=$B40,IF(DATOS_[[AGRUP. VALOR. PTO.]:[AGRUP. VALOR. PTO.]]=$B39,IF(DATOS_[[Check Periodo Ref.]:[Check Periodo Ref.]]="Dentro",DATOS_[Conc.Sal.05]))))), 0)</f>
        <v>0</v>
      </c>
      <c r="K40" s="250" t="n">
        <f aca="false" t="array" ref="K40:K40">IFERROR( MEDIAN((IF(DATOS_[[Sexo]:[Sexo]]=$B40,IF(DATOS_[[AGRUP. VALOR. PTO.]:[AGRUP. VALOR. PTO.]]=$B39,IF(DATOS_[[Check Periodo Ref.]:[Check Periodo Ref.]]="Dentro",DATOS_[Conc.Sal.06]))))), 0)</f>
        <v>0</v>
      </c>
      <c r="L40" s="250" t="n">
        <f aca="false" t="array" ref="L40:L40">IFERROR( MEDIAN((IF(DATOS_[[Sexo]:[Sexo]]=$B40,IF(DATOS_[[AGRUP. VALOR. PTO.]:[AGRUP. VALOR. PTO.]]=$B39,IF(DATOS_[[Check Periodo Ref.]:[Check Periodo Ref.]]="Dentro",DATOS_[Conc.Sal.07]))))), 0)</f>
        <v>0</v>
      </c>
      <c r="M40" s="250" t="n">
        <f aca="false" t="array" ref="M40:M40">IFERROR( MEDIAN((IF(DATOS_[[Sexo]:[Sexo]]=$B40,IF(DATOS_[[AGRUP. VALOR. PTO.]:[AGRUP. VALOR. PTO.]]=$B39,IF(DATOS_[[Check Periodo Ref.]:[Check Periodo Ref.]]="Dentro",DATOS_[Conc.Sal.08]))))), 0)</f>
        <v>0</v>
      </c>
      <c r="N40" s="250" t="n">
        <f aca="false" t="array" ref="N40:N40">IFERROR( MEDIAN((IF(DATOS_[[Sexo]:[Sexo]]=$B40,IF(DATOS_[[AGRUP. VALOR. PTO.]:[AGRUP. VALOR. PTO.]]=$B39,IF(DATOS_[[Check Periodo Ref.]:[Check Periodo Ref.]]="Dentro",DATOS_[Conc.Sal.09]))))), 0)</f>
        <v>0</v>
      </c>
      <c r="O40" s="250" t="n">
        <f aca="false" t="array" ref="O40:O40">IFERROR( MEDIAN((IF(DATOS_[[Sexo]:[Sexo]]=$B40,IF(DATOS_[[AGRUP. VALOR. PTO.]:[AGRUP. VALOR. PTO.]]=$B39,IF(DATOS_[[Check Periodo Ref.]:[Check Periodo Ref.]]="Dentro",DATOS_[Conc.Sal.10]))))), 0)</f>
        <v>0</v>
      </c>
      <c r="P40" s="250" t="n">
        <f aca="false" t="array" ref="P40:P40">IFERROR( MEDIAN((IF(DATOS_[[Sexo]:[Sexo]]=$B40,IF(DATOS_[[AGRUP. VALOR. PTO.]:[AGRUP. VALOR. PTO.]]=$B39,IF(DATOS_[[Check Periodo Ref.]:[Check Periodo Ref.]]="Dentro",DATOS_[Conc.Sal.11]))))), 0)</f>
        <v>0</v>
      </c>
      <c r="Q40" s="250" t="n">
        <f aca="false" t="array" ref="Q40:Q40">IFERROR( MEDIAN((IF(DATOS_[[Sexo]:[Sexo]]=$B40,IF(DATOS_[[AGRUP. VALOR. PTO.]:[AGRUP. VALOR. PTO.]]=$B39,IF(DATOS_[[Check Periodo Ref.]:[Check Periodo Ref.]]="Dentro",DATOS_[Conc.Sal.12]))))), 0)</f>
        <v>0</v>
      </c>
      <c r="R40" s="250" t="n">
        <f aca="false" t="array" ref="R40:R40">IFERROR( MEDIAN((IF(DATOS_[[Sexo]:[Sexo]]=$B40,IF(DATOS_[[AGRUP. VALOR. PTO.]:[AGRUP. VALOR. PTO.]]=$B39,IF(DATOS_[[Check Periodo Ref.]:[Check Periodo Ref.]]="Dentro",DATOS_[Conc.Sal.13]))))), 0)</f>
        <v>0</v>
      </c>
      <c r="S40" s="250" t="n">
        <f aca="false" t="array" ref="S40:S40">IFERROR( MEDIAN((IF(DATOS_[[Sexo]:[Sexo]]=$B40,IF(DATOS_[[AGRUP. VALOR. PTO.]:[AGRUP. VALOR. PTO.]]=$B39,IF(DATOS_[[Check Periodo Ref.]:[Check Periodo Ref.]]="Dentro",DATOS_[Conc.Sal.14]))))), 0)</f>
        <v>0</v>
      </c>
      <c r="T40" s="250" t="n">
        <f aca="false" t="array" ref="T40:T40">IFERROR( MEDIAN((IF(DATOS_[[Sexo]:[Sexo]]=$B40,IF(DATOS_[[AGRUP. VALOR. PTO.]:[AGRUP. VALOR. PTO.]]=$B39,IF(DATOS_[[Check Periodo Ref.]:[Check Periodo Ref.]]="Dentro",DATOS_[Conc.Sal.15]))))), 0)</f>
        <v>0</v>
      </c>
      <c r="U40" s="250" t="n">
        <f aca="false" t="array" ref="U40:U40">IFERROR( MEDIAN((IF(DATOS_[[Sexo]:[Sexo]]=$B40,IF(DATOS_[[AGRUP. VALOR. PTO.]:[AGRUP. VALOR. PTO.]]=$B39,IF(DATOS_[[Check Periodo Ref.]:[Check Periodo Ref.]]="Dentro",DATOS_[Conc.Sal.16]))))), 0)</f>
        <v>0</v>
      </c>
      <c r="V40" s="250" t="n">
        <f aca="false" t="array" ref="V40:V40">IFERROR( MEDIAN((IF(DATOS_[[Sexo]:[Sexo]]=$B40,IF(DATOS_[[AGRUP. VALOR. PTO.]:[AGRUP. VALOR. PTO.]]=$B39,IF(DATOS_[[Check Periodo Ref.]:[Check Periodo Ref.]]="Dentro",DATOS_[Conc.Sal.17]))))), 0)</f>
        <v>0</v>
      </c>
      <c r="W40" s="250" t="n">
        <f aca="false" t="array" ref="W40:W40">IFERROR( MEDIAN((IF(DATOS_[[Sexo]:[Sexo]]=$B40,IF(DATOS_[[AGRUP. VALOR. PTO.]:[AGRUP. VALOR. PTO.]]=$B39,IF(DATOS_[[Check Periodo Ref.]:[Check Periodo Ref.]]="Dentro",DATOS_[Conc.Sal.18]))))), 0)</f>
        <v>0</v>
      </c>
      <c r="X40" s="250" t="n">
        <f aca="false" t="array" ref="X40:X40">IFERROR( MEDIAN((IF(DATOS_[[Sexo]:[Sexo]]=$B40,IF(DATOS_[[AGRUP. VALOR. PTO.]:[AGRUP. VALOR. PTO.]]=$B39,IF(DATOS_[[Check Periodo Ref.]:[Check Periodo Ref.]]="Dentro",DATOS_[Conc.Sal.19]))))), 0)</f>
        <v>0</v>
      </c>
      <c r="Y40" s="250" t="n">
        <f aca="false" t="array" ref="Y40:Y40">IFERROR( MEDIAN((IF(DATOS_[[Sexo]:[Sexo]]=$B40,IF(DATOS_[[AGRUP. VALOR. PTO.]:[AGRUP. VALOR. PTO.]]=$B39,IF(DATOS_[[Check Periodo Ref.]:[Check Periodo Ref.]]="Dentro",DATOS_[Conc.Sal.20]))))), 0)</f>
        <v>0</v>
      </c>
      <c r="Z40" s="250" t="n">
        <f aca="false" t="array" ref="Z40:Z40">IFERROR( MEDIAN((IF(DATOS_[[Sexo]:[Sexo]]=$B40,IF(DATOS_[[AGRUP. VALOR. PTO.]:[AGRUP. VALOR. PTO.]]=$B39,IF(DATOS_[[Check Periodo Ref.]:[Check Periodo Ref.]]="Dentro",DATOS_[Conc.Sal.21]))))), 0)</f>
        <v>0</v>
      </c>
      <c r="AA40" s="250" t="n">
        <f aca="false" t="array" ref="AA40:AA40">IFERROR( MEDIAN((IF(DATOS_[[Sexo]:[Sexo]]=$B40,IF(DATOS_[[AGRUP. VALOR. PTO.]:[AGRUP. VALOR. PTO.]]=$B39,IF(DATOS_[[Check Periodo Ref.]:[Check Periodo Ref.]]="Dentro",DATOS_[Conc.Sal.22]))))), 0)</f>
        <v>0</v>
      </c>
      <c r="AB40" s="250" t="n">
        <f aca="false" t="array" ref="AB40:AB40">IFERROR( MEDIAN((IF(DATOS_[[Sexo]:[Sexo]]=$B40,IF(DATOS_[[AGRUP. VALOR. PTO.]:[AGRUP. VALOR. PTO.]]=$B39,IF(DATOS_[[Check Periodo Ref.]:[Check Periodo Ref.]]="Dentro",DATOS_[Conc.Sal.23]))))), 0)</f>
        <v>0</v>
      </c>
      <c r="AC40" s="250" t="n">
        <f aca="false" t="array" ref="AC40:AC40">IFERROR( MEDIAN((IF(DATOS_[[Sexo]:[Sexo]]=$B40,IF(DATOS_[[AGRUP. VALOR. PTO.]:[AGRUP. VALOR. PTO.]]=$B39,IF(DATOS_[[Check Periodo Ref.]:[Check Periodo Ref.]]="Dentro",DATOS_[Conc.Sal.24]))))), 0)</f>
        <v>0</v>
      </c>
      <c r="AD40" s="250" t="n">
        <f aca="false" t="array" ref="AD40:AD40">IFERROR( MEDIAN((IF(DATOS_[[Sexo]:[Sexo]]=$B40,IF(DATOS_[[AGRUP. VALOR. PTO.]:[AGRUP. VALOR. PTO.]]=$B39,IF(DATOS_[[Check Periodo Ref.]:[Check Periodo Ref.]]="Dentro",DATOS_[Conc.Sal.25]))))), 0)</f>
        <v>0</v>
      </c>
      <c r="AE40" s="250" t="n">
        <f aca="false" t="array" ref="AE40:AE40">IFERROR( MEDIAN((IF(DATOS_[[Sexo]:[Sexo]]=$B40,IF(DATOS_[[AGRUP. VALOR. PTO.]:[AGRUP. VALOR. PTO.]]=$B39,IF(DATOS_[[Check Periodo Ref.]:[Check Periodo Ref.]]="Dentro",DATOS_[Conc.Sal.26]))))), 0)</f>
        <v>0</v>
      </c>
      <c r="AF40" s="250" t="n">
        <f aca="false" t="array" ref="AF40:AF40">IFERROR( MEDIAN((IF(DATOS_[[Sexo]:[Sexo]]=$B40,IF(DATOS_[[AGRUP. VALOR. PTO.]:[AGRUP. VALOR. PTO.]]=$B39,IF(DATOS_[[Check Periodo Ref.]:[Check Periodo Ref.]]="Dentro",DATOS_[Conc.Sal.27]))))), 0)</f>
        <v>0</v>
      </c>
      <c r="AG40" s="250" t="n">
        <f aca="false" t="array" ref="AG40:AG40">IFERROR( MEDIAN((IF(DATOS_[[Sexo]:[Sexo]]=$B40,IF(DATOS_[[AGRUP. VALOR. PTO.]:[AGRUP. VALOR. PTO.]]=$B39,IF(DATOS_[[Check Periodo Ref.]:[Check Periodo Ref.]]="Dentro",DATOS_[Conc.Sal.28]))))), 0)</f>
        <v>0</v>
      </c>
      <c r="AH40" s="250" t="n">
        <f aca="false" t="array" ref="AH40:AH40">IFERROR( MEDIAN((IF(DATOS_[[Sexo]:[Sexo]]=$B40,IF(DATOS_[[AGRUP. VALOR. PTO.]:[AGRUP. VALOR. PTO.]]=$B39,IF(DATOS_[[Check Periodo Ref.]:[Check Periodo Ref.]]="Dentro",DATOS_[Conc.Sal.29]))))), 0)</f>
        <v>0</v>
      </c>
      <c r="AI40" s="250" t="n">
        <f aca="false" t="array" ref="AI40:AI40">IFERROR( MEDIAN((IF(DATOS_[[Sexo]:[Sexo]]=$B40,IF(DATOS_[[AGRUP. VALOR. PTO.]:[AGRUP. VALOR. PTO.]]=$B39,IF(DATOS_[[Check Periodo Ref.]:[Check Periodo Ref.]]="Dentro",DATOS_[Conc.Sal.30]))))), 0)</f>
        <v>0</v>
      </c>
      <c r="AJ40" s="251" t="n">
        <f aca="false" t="array" ref="AJ40:AJ40">IFERROR( MEDIAN(IF(DATOS_[Sexo]=$B40,IF(DATOS_[AGRUP. VALOR. PTO.]=$B39,IF(DATOS_[Check Periodo Ref.]="Dentro",DATOS_[Tot COMPL.SAL Ef],0)))), 0)</f>
        <v>0</v>
      </c>
      <c r="AK40" s="252" t="n">
        <f aca="false" t="array" ref="AK40:AK40">IFERROR( MEDIAN(IF(DATOS_[Sexo]=$B40,IF(DATOS_[AGRUP. VALOR. PTO.]=$B39,IF(DATOS_[Check Periodo Ref.]="Dentro",DATOS_[TOTAL SALARIO Ef],0)))), 0)</f>
        <v>0</v>
      </c>
      <c r="AL40" s="259" t="n">
        <f aca="false" t="array" ref="AL40:AL40">IFERROR( MEDIAN((IF(DATOS_[[Sexo]:[Sexo]]=$B40,IF(DATOS_[[AGRUP. VALOR. PTO.]:[AGRUP. VALOR. PTO.]]=$B39,IF(DATOS_[[Check Periodo Ref.]:[Check Periodo Ref.]]="Dentro",DATOS_[C.Extra.01]))))), 0)</f>
        <v>0</v>
      </c>
      <c r="AM40" s="259" t="n">
        <f aca="false" t="array" ref="AM40:AM40">IFERROR( MEDIAN((IF(DATOS_[[Sexo]:[Sexo]]=$B40,IF(DATOS_[[AGRUP. VALOR. PTO.]:[AGRUP. VALOR. PTO.]]=$B39,IF(DATOS_[[Check Periodo Ref.]:[Check Periodo Ref.]]="Dentro",DATOS_[C.Extra.02]))))), 0)</f>
        <v>0</v>
      </c>
      <c r="AN40" s="259" t="n">
        <f aca="false" t="array" ref="AN40:AN40">IFERROR( MEDIAN((IF(DATOS_[[Sexo]:[Sexo]]=$B40,IF(DATOS_[[AGRUP. VALOR. PTO.]:[AGRUP. VALOR. PTO.]]=$B39,IF(DATOS_[[Check Periodo Ref.]:[Check Periodo Ref.]]="Dentro",DATOS_[C.Extra.03]))))), 0)</f>
        <v>0</v>
      </c>
      <c r="AO40" s="259" t="n">
        <f aca="false" t="array" ref="AO40:AO40">IFERROR( MEDIAN((IF(DATOS_[[Sexo]:[Sexo]]=$B40,IF(DATOS_[[AGRUP. VALOR. PTO.]:[AGRUP. VALOR. PTO.]]=$B39,IF(DATOS_[[Check Periodo Ref.]:[Check Periodo Ref.]]="Dentro",DATOS_[C.Extra.04]))))), 0)</f>
        <v>0</v>
      </c>
      <c r="AP40" s="259" t="n">
        <f aca="false" t="array" ref="AP40:AP40">IFERROR( MEDIAN((IF(DATOS_[[Sexo]:[Sexo]]=$B40,IF(DATOS_[[AGRUP. VALOR. PTO.]:[AGRUP. VALOR. PTO.]]=$B39,IF(DATOS_[[Check Periodo Ref.]:[Check Periodo Ref.]]="Dentro",DATOS_[C.Extra.05]))))), 0)</f>
        <v>0</v>
      </c>
      <c r="AQ40" s="254" t="n">
        <f aca="false" t="array" ref="AQ40:AQ40">IFERROR( MEDIAN(IF(DATOS_[Sexo]=$B40,IF(DATOS_[AGRUP. VALOR. PTO.]=$B39,IF(DATOS_[Check Periodo Ref.]="Dentro",DATOS_[Tot Extrasalarial Ef],0)))), 0)</f>
        <v>0</v>
      </c>
      <c r="AR40" s="255" t="n">
        <f aca="false" t="array" ref="AR40:AR40">IFERROR( MEDIAN(IF(DATOS_[Sexo]=$B40,IF(DATOS_[AGRUP. VALOR. PTO.]=$B39,IF(DATOS_[Check Periodo Ref.]="Dentro",DATOS_[TOTAL Retrib Ef],0)))), 0)</f>
        <v>0</v>
      </c>
    </row>
    <row r="41" customFormat="false" ht="14.25" hidden="false" customHeight="false" outlineLevel="0" collapsed="false">
      <c r="A41" s="217" t="str">
        <f aca="false">+A40</f>
        <v>[ocultar]</v>
      </c>
      <c r="B41" s="246" t="s">
        <v>372</v>
      </c>
      <c r="C41" s="247" t="n">
        <f aca="false" t="array" ref="C41:C41">SUM(IF($B41=DATOS_[Sexo], IF($B39=DATOS_[AGRUP. VALOR. PTO.], IF("Dentro"=DATOS_[Check Periodo Ref.], 1/(COUNTIFS(DATOS_[Sexo],$B41,DATOS_[AGRUP. VALOR. PTO.],$B39,DATOS_[Check Periodo Ref.],"Dentro",DATOS_[id],DATOS_[id]))))))</f>
        <v>0</v>
      </c>
      <c r="D41" s="248" t="n">
        <f aca="false">COUNTIFS(DATOS_[AGRUP. VALOR. PTO.],$B39,DATOS_[Sexo],$B41,DATOS_[Check Periodo Ref.],"Dentro")</f>
        <v>0</v>
      </c>
      <c r="E41" s="249" t="n">
        <f aca="false" t="array" ref="E41:E41">IFERROR( MEDIAN(IF(DATOS_[Sexo]=$B41,IF(DATOS_[AGRUP. VALOR. PTO.]=$B39,IF(DATOS_[Check Periodo Ref.]="Dentro",DATOS_[SALARIO BASE Ef],0)))), 0)</f>
        <v>0</v>
      </c>
      <c r="F41" s="250" t="n">
        <f aca="false" t="array" ref="F41:F41">IFERROR( MEDIAN((IF(DATOS_[[Sexo]:[Sexo]]=$B41,IF(DATOS_[[AGRUP. VALOR. PTO.]:[AGRUP. VALOR. PTO.]]=$B39,IF(DATOS_[[Check Periodo Ref.]:[Check Periodo Ref.]]="Dentro",DATOS_[Conc.Sal.01]))))), 0)</f>
        <v>0</v>
      </c>
      <c r="G41" s="250" t="n">
        <f aca="false" t="array" ref="G41:G41">IFERROR( MEDIAN((IF(DATOS_[[Sexo]:[Sexo]]=$B41,IF(DATOS_[[AGRUP. VALOR. PTO.]:[AGRUP. VALOR. PTO.]]=$B39,IF(DATOS_[[Check Periodo Ref.]:[Check Periodo Ref.]]="Dentro",DATOS_[Conc.Sal.02]))))), 0)</f>
        <v>0</v>
      </c>
      <c r="H41" s="250" t="n">
        <f aca="false" t="array" ref="H41:H41">IFERROR( MEDIAN((IF(DATOS_[[Sexo]:[Sexo]]=$B41,IF(DATOS_[[AGRUP. VALOR. PTO.]:[AGRUP. VALOR. PTO.]]=$B39,IF(DATOS_[[Check Periodo Ref.]:[Check Periodo Ref.]]="Dentro",DATOS_[Conc.Sal.03]))))), 0)</f>
        <v>0</v>
      </c>
      <c r="I41" s="250" t="n">
        <f aca="false" t="array" ref="I41:I41">IFERROR( MEDIAN((IF(DATOS_[[Sexo]:[Sexo]]=$B41,IF(DATOS_[[AGRUP. VALOR. PTO.]:[AGRUP. VALOR. PTO.]]=$B39,IF(DATOS_[[Check Periodo Ref.]:[Check Periodo Ref.]]="Dentro",DATOS_[Conc.Sal.04]))))), 0)</f>
        <v>0</v>
      </c>
      <c r="J41" s="250" t="n">
        <f aca="false" t="array" ref="J41:J41">IFERROR( MEDIAN((IF(DATOS_[[Sexo]:[Sexo]]=$B41,IF(DATOS_[[AGRUP. VALOR. PTO.]:[AGRUP. VALOR. PTO.]]=$B39,IF(DATOS_[[Check Periodo Ref.]:[Check Periodo Ref.]]="Dentro",DATOS_[Conc.Sal.05]))))), 0)</f>
        <v>0</v>
      </c>
      <c r="K41" s="250" t="n">
        <f aca="false" t="array" ref="K41:K41">IFERROR( MEDIAN((IF(DATOS_[[Sexo]:[Sexo]]=$B41,IF(DATOS_[[AGRUP. VALOR. PTO.]:[AGRUP. VALOR. PTO.]]=$B39,IF(DATOS_[[Check Periodo Ref.]:[Check Periodo Ref.]]="Dentro",DATOS_[Conc.Sal.06]))))), 0)</f>
        <v>0</v>
      </c>
      <c r="L41" s="250" t="n">
        <f aca="false" t="array" ref="L41:L41">IFERROR( MEDIAN((IF(DATOS_[[Sexo]:[Sexo]]=$B41,IF(DATOS_[[AGRUP. VALOR. PTO.]:[AGRUP. VALOR. PTO.]]=$B39,IF(DATOS_[[Check Periodo Ref.]:[Check Periodo Ref.]]="Dentro",DATOS_[Conc.Sal.07]))))), 0)</f>
        <v>0</v>
      </c>
      <c r="M41" s="250" t="n">
        <f aca="false" t="array" ref="M41:M41">IFERROR( MEDIAN((IF(DATOS_[[Sexo]:[Sexo]]=$B41,IF(DATOS_[[AGRUP. VALOR. PTO.]:[AGRUP. VALOR. PTO.]]=$B39,IF(DATOS_[[Check Periodo Ref.]:[Check Periodo Ref.]]="Dentro",DATOS_[Conc.Sal.08]))))), 0)</f>
        <v>0</v>
      </c>
      <c r="N41" s="250" t="n">
        <f aca="false" t="array" ref="N41:N41">IFERROR( MEDIAN((IF(DATOS_[[Sexo]:[Sexo]]=$B41,IF(DATOS_[[AGRUP. VALOR. PTO.]:[AGRUP. VALOR. PTO.]]=$B39,IF(DATOS_[[Check Periodo Ref.]:[Check Periodo Ref.]]="Dentro",DATOS_[Conc.Sal.09]))))), 0)</f>
        <v>0</v>
      </c>
      <c r="O41" s="250" t="n">
        <f aca="false" t="array" ref="O41:O41">IFERROR( MEDIAN((IF(DATOS_[[Sexo]:[Sexo]]=$B41,IF(DATOS_[[AGRUP. VALOR. PTO.]:[AGRUP. VALOR. PTO.]]=$B39,IF(DATOS_[[Check Periodo Ref.]:[Check Periodo Ref.]]="Dentro",DATOS_[Conc.Sal.10]))))), 0)</f>
        <v>0</v>
      </c>
      <c r="P41" s="250" t="n">
        <f aca="false" t="array" ref="P41:P41">IFERROR( MEDIAN((IF(DATOS_[[Sexo]:[Sexo]]=$B41,IF(DATOS_[[AGRUP. VALOR. PTO.]:[AGRUP. VALOR. PTO.]]=$B39,IF(DATOS_[[Check Periodo Ref.]:[Check Periodo Ref.]]="Dentro",DATOS_[Conc.Sal.11]))))), 0)</f>
        <v>0</v>
      </c>
      <c r="Q41" s="250" t="n">
        <f aca="false" t="array" ref="Q41:Q41">IFERROR( MEDIAN((IF(DATOS_[[Sexo]:[Sexo]]=$B41,IF(DATOS_[[AGRUP. VALOR. PTO.]:[AGRUP. VALOR. PTO.]]=$B39,IF(DATOS_[[Check Periodo Ref.]:[Check Periodo Ref.]]="Dentro",DATOS_[Conc.Sal.12]))))), 0)</f>
        <v>0</v>
      </c>
      <c r="R41" s="250" t="n">
        <f aca="false" t="array" ref="R41:R41">IFERROR( MEDIAN((IF(DATOS_[[Sexo]:[Sexo]]=$B41,IF(DATOS_[[AGRUP. VALOR. PTO.]:[AGRUP. VALOR. PTO.]]=$B39,IF(DATOS_[[Check Periodo Ref.]:[Check Periodo Ref.]]="Dentro",DATOS_[Conc.Sal.13]))))), 0)</f>
        <v>0</v>
      </c>
      <c r="S41" s="250" t="n">
        <f aca="false" t="array" ref="S41:S41">IFERROR( MEDIAN((IF(DATOS_[[Sexo]:[Sexo]]=$B41,IF(DATOS_[[AGRUP. VALOR. PTO.]:[AGRUP. VALOR. PTO.]]=$B39,IF(DATOS_[[Check Periodo Ref.]:[Check Periodo Ref.]]="Dentro",DATOS_[Conc.Sal.14]))))), 0)</f>
        <v>0</v>
      </c>
      <c r="T41" s="250" t="n">
        <f aca="false" t="array" ref="T41:T41">IFERROR( MEDIAN((IF(DATOS_[[Sexo]:[Sexo]]=$B41,IF(DATOS_[[AGRUP. VALOR. PTO.]:[AGRUP. VALOR. PTO.]]=$B39,IF(DATOS_[[Check Periodo Ref.]:[Check Periodo Ref.]]="Dentro",DATOS_[Conc.Sal.15]))))), 0)</f>
        <v>0</v>
      </c>
      <c r="U41" s="250" t="n">
        <f aca="false" t="array" ref="U41:U41">IFERROR( MEDIAN((IF(DATOS_[[Sexo]:[Sexo]]=$B41,IF(DATOS_[[AGRUP. VALOR. PTO.]:[AGRUP. VALOR. PTO.]]=$B39,IF(DATOS_[[Check Periodo Ref.]:[Check Periodo Ref.]]="Dentro",DATOS_[Conc.Sal.16]))))), 0)</f>
        <v>0</v>
      </c>
      <c r="V41" s="250" t="n">
        <f aca="false" t="array" ref="V41:V41">IFERROR( MEDIAN((IF(DATOS_[[Sexo]:[Sexo]]=$B41,IF(DATOS_[[AGRUP. VALOR. PTO.]:[AGRUP. VALOR. PTO.]]=$B39,IF(DATOS_[[Check Periodo Ref.]:[Check Periodo Ref.]]="Dentro",DATOS_[Conc.Sal.17]))))), 0)</f>
        <v>0</v>
      </c>
      <c r="W41" s="250" t="n">
        <f aca="false" t="array" ref="W41:W41">IFERROR( MEDIAN((IF(DATOS_[[Sexo]:[Sexo]]=$B41,IF(DATOS_[[AGRUP. VALOR. PTO.]:[AGRUP. VALOR. PTO.]]=$B39,IF(DATOS_[[Check Periodo Ref.]:[Check Periodo Ref.]]="Dentro",DATOS_[Conc.Sal.18]))))), 0)</f>
        <v>0</v>
      </c>
      <c r="X41" s="250" t="n">
        <f aca="false" t="array" ref="X41:X41">IFERROR( MEDIAN((IF(DATOS_[[Sexo]:[Sexo]]=$B41,IF(DATOS_[[AGRUP. VALOR. PTO.]:[AGRUP. VALOR. PTO.]]=$B39,IF(DATOS_[[Check Periodo Ref.]:[Check Periodo Ref.]]="Dentro",DATOS_[Conc.Sal.19]))))), 0)</f>
        <v>0</v>
      </c>
      <c r="Y41" s="250" t="n">
        <f aca="false" t="array" ref="Y41:Y41">IFERROR( MEDIAN((IF(DATOS_[[Sexo]:[Sexo]]=$B41,IF(DATOS_[[AGRUP. VALOR. PTO.]:[AGRUP. VALOR. PTO.]]=$B39,IF(DATOS_[[Check Periodo Ref.]:[Check Periodo Ref.]]="Dentro",DATOS_[Conc.Sal.20]))))), 0)</f>
        <v>0</v>
      </c>
      <c r="Z41" s="250" t="n">
        <f aca="false" t="array" ref="Z41:Z41">IFERROR( MEDIAN((IF(DATOS_[[Sexo]:[Sexo]]=$B41,IF(DATOS_[[AGRUP. VALOR. PTO.]:[AGRUP. VALOR. PTO.]]=$B39,IF(DATOS_[[Check Periodo Ref.]:[Check Periodo Ref.]]="Dentro",DATOS_[Conc.Sal.21]))))), 0)</f>
        <v>0</v>
      </c>
      <c r="AA41" s="250" t="n">
        <f aca="false" t="array" ref="AA41:AA41">IFERROR( MEDIAN((IF(DATOS_[[Sexo]:[Sexo]]=$B41,IF(DATOS_[[AGRUP. VALOR. PTO.]:[AGRUP. VALOR. PTO.]]=$B39,IF(DATOS_[[Check Periodo Ref.]:[Check Periodo Ref.]]="Dentro",DATOS_[Conc.Sal.22]))))), 0)</f>
        <v>0</v>
      </c>
      <c r="AB41" s="250" t="n">
        <f aca="false" t="array" ref="AB41:AB41">IFERROR( MEDIAN((IF(DATOS_[[Sexo]:[Sexo]]=$B41,IF(DATOS_[[AGRUP. VALOR. PTO.]:[AGRUP. VALOR. PTO.]]=$B39,IF(DATOS_[[Check Periodo Ref.]:[Check Periodo Ref.]]="Dentro",DATOS_[Conc.Sal.23]))))), 0)</f>
        <v>0</v>
      </c>
      <c r="AC41" s="250" t="n">
        <f aca="false" t="array" ref="AC41:AC41">IFERROR( MEDIAN((IF(DATOS_[[Sexo]:[Sexo]]=$B41,IF(DATOS_[[AGRUP. VALOR. PTO.]:[AGRUP. VALOR. PTO.]]=$B39,IF(DATOS_[[Check Periodo Ref.]:[Check Periodo Ref.]]="Dentro",DATOS_[Conc.Sal.24]))))), 0)</f>
        <v>0</v>
      </c>
      <c r="AD41" s="250" t="n">
        <f aca="false" t="array" ref="AD41:AD41">IFERROR( MEDIAN((IF(DATOS_[[Sexo]:[Sexo]]=$B41,IF(DATOS_[[AGRUP. VALOR. PTO.]:[AGRUP. VALOR. PTO.]]=$B39,IF(DATOS_[[Check Periodo Ref.]:[Check Periodo Ref.]]="Dentro",DATOS_[Conc.Sal.25]))))), 0)</f>
        <v>0</v>
      </c>
      <c r="AE41" s="250" t="n">
        <f aca="false" t="array" ref="AE41:AE41">IFERROR( MEDIAN((IF(DATOS_[[Sexo]:[Sexo]]=$B41,IF(DATOS_[[AGRUP. VALOR. PTO.]:[AGRUP. VALOR. PTO.]]=$B39,IF(DATOS_[[Check Periodo Ref.]:[Check Periodo Ref.]]="Dentro",DATOS_[Conc.Sal.26]))))), 0)</f>
        <v>0</v>
      </c>
      <c r="AF41" s="250" t="n">
        <f aca="false" t="array" ref="AF41:AF41">IFERROR( MEDIAN((IF(DATOS_[[Sexo]:[Sexo]]=$B41,IF(DATOS_[[AGRUP. VALOR. PTO.]:[AGRUP. VALOR. PTO.]]=$B39,IF(DATOS_[[Check Periodo Ref.]:[Check Periodo Ref.]]="Dentro",DATOS_[Conc.Sal.27]))))), 0)</f>
        <v>0</v>
      </c>
      <c r="AG41" s="250" t="n">
        <f aca="false" t="array" ref="AG41:AG41">IFERROR( MEDIAN((IF(DATOS_[[Sexo]:[Sexo]]=$B41,IF(DATOS_[[AGRUP. VALOR. PTO.]:[AGRUP. VALOR. PTO.]]=$B39,IF(DATOS_[[Check Periodo Ref.]:[Check Periodo Ref.]]="Dentro",DATOS_[Conc.Sal.28]))))), 0)</f>
        <v>0</v>
      </c>
      <c r="AH41" s="250" t="n">
        <f aca="false" t="array" ref="AH41:AH41">IFERROR( MEDIAN((IF(DATOS_[[Sexo]:[Sexo]]=$B41,IF(DATOS_[[AGRUP. VALOR. PTO.]:[AGRUP. VALOR. PTO.]]=$B39,IF(DATOS_[[Check Periodo Ref.]:[Check Periodo Ref.]]="Dentro",DATOS_[Conc.Sal.29]))))), 0)</f>
        <v>0</v>
      </c>
      <c r="AI41" s="250" t="n">
        <f aca="false" t="array" ref="AI41:AI41">IFERROR( MEDIAN((IF(DATOS_[[Sexo]:[Sexo]]=$B41,IF(DATOS_[[AGRUP. VALOR. PTO.]:[AGRUP. VALOR. PTO.]]=$B39,IF(DATOS_[[Check Periodo Ref.]:[Check Periodo Ref.]]="Dentro",DATOS_[Conc.Sal.30]))))), 0)</f>
        <v>0</v>
      </c>
      <c r="AJ41" s="251" t="n">
        <f aca="false" t="array" ref="AJ41:AJ41">IFERROR( MEDIAN(IF(DATOS_[Sexo]=$B41,IF(DATOS_[AGRUP. VALOR. PTO.]=$B39,IF(DATOS_[Check Periodo Ref.]="Dentro",DATOS_[Tot COMPL.SAL Ef],0)))), 0)</f>
        <v>0</v>
      </c>
      <c r="AK41" s="252" t="n">
        <f aca="false" t="array" ref="AK41:AK41">IFERROR( MEDIAN(IF(DATOS_[Sexo]=$B41,IF(DATOS_[AGRUP. VALOR. PTO.]=$B39,IF(DATOS_[Check Periodo Ref.]="Dentro",DATOS_[TOTAL SALARIO Ef],0)))), 0)</f>
        <v>0</v>
      </c>
      <c r="AL41" s="259" t="n">
        <f aca="false" t="array" ref="AL41:AL41">IFERROR( MEDIAN((IF(DATOS_[[Sexo]:[Sexo]]=$B41,IF(DATOS_[[AGRUP. VALOR. PTO.]:[AGRUP. VALOR. PTO.]]=$B39,IF(DATOS_[[Check Periodo Ref.]:[Check Periodo Ref.]]="Dentro",DATOS_[C.Extra.01]))))), 0)</f>
        <v>0</v>
      </c>
      <c r="AM41" s="259" t="n">
        <f aca="false" t="array" ref="AM41:AM41">IFERROR( MEDIAN((IF(DATOS_[[Sexo]:[Sexo]]=$B41,IF(DATOS_[[AGRUP. VALOR. PTO.]:[AGRUP. VALOR. PTO.]]=$B39,IF(DATOS_[[Check Periodo Ref.]:[Check Periodo Ref.]]="Dentro",DATOS_[C.Extra.02]))))), 0)</f>
        <v>0</v>
      </c>
      <c r="AN41" s="259" t="n">
        <f aca="false" t="array" ref="AN41:AN41">IFERROR( MEDIAN((IF(DATOS_[[Sexo]:[Sexo]]=$B41,IF(DATOS_[[AGRUP. VALOR. PTO.]:[AGRUP. VALOR. PTO.]]=$B39,IF(DATOS_[[Check Periodo Ref.]:[Check Periodo Ref.]]="Dentro",DATOS_[C.Extra.03]))))), 0)</f>
        <v>0</v>
      </c>
      <c r="AO41" s="259" t="n">
        <f aca="false" t="array" ref="AO41:AO41">IFERROR( MEDIAN((IF(DATOS_[[Sexo]:[Sexo]]=$B41,IF(DATOS_[[AGRUP. VALOR. PTO.]:[AGRUP. VALOR. PTO.]]=$B39,IF(DATOS_[[Check Periodo Ref.]:[Check Periodo Ref.]]="Dentro",DATOS_[C.Extra.04]))))), 0)</f>
        <v>0</v>
      </c>
      <c r="AP41" s="259" t="n">
        <f aca="false" t="array" ref="AP41:AP41">IFERROR( MEDIAN((IF(DATOS_[[Sexo]:[Sexo]]=$B41,IF(DATOS_[[AGRUP. VALOR. PTO.]:[AGRUP. VALOR. PTO.]]=$B39,IF(DATOS_[[Check Periodo Ref.]:[Check Periodo Ref.]]="Dentro",DATOS_[C.Extra.05]))))), 0)</f>
        <v>0</v>
      </c>
      <c r="AQ41" s="254" t="n">
        <f aca="false" t="array" ref="AQ41:AQ41">IFERROR( MEDIAN(IF(DATOS_[Sexo]=$B41,IF(DATOS_[AGRUP. VALOR. PTO.]=$B39,IF(DATOS_[Check Periodo Ref.]="Dentro",DATOS_[Tot Extrasalarial Ef],0)))), 0)</f>
        <v>0</v>
      </c>
      <c r="AR41" s="255" t="n">
        <f aca="false" t="array" ref="AR41:AR41">IFERROR( MEDIAN(IF(DATOS_[Sexo]=$B41,IF(DATOS_[AGRUP. VALOR. PTO.]=$B39,IF(DATOS_[Check Periodo Ref.]="Dentro",DATOS_[TOTAL Retrib Ef],0)))), 0)</f>
        <v>0</v>
      </c>
    </row>
    <row r="42" customFormat="false" ht="15.75" hidden="false" customHeight="false" outlineLevel="0" collapsed="false">
      <c r="A42" s="217" t="str">
        <f aca="false">+A43</f>
        <v>[ocultar]</v>
      </c>
      <c r="B42" s="235" t="s">
        <v>196</v>
      </c>
      <c r="C42" s="236"/>
      <c r="D42" s="237"/>
      <c r="E42" s="238" t="str">
        <f aca="false">IFERROR((E43-E44)/E43,"")</f>
        <v/>
      </c>
      <c r="F42" s="239" t="str">
        <f aca="false">IFERROR((F43-F44)/F43,"")</f>
        <v/>
      </c>
      <c r="G42" s="239" t="str">
        <f aca="false">IFERROR((G43-G44)/G43,"")</f>
        <v/>
      </c>
      <c r="H42" s="239" t="str">
        <f aca="false">IFERROR((H43-H44)/H43,"")</f>
        <v/>
      </c>
      <c r="I42" s="239"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40" t="str">
        <f aca="false">IFERROR((V43-V44)/V43,"")</f>
        <v/>
      </c>
      <c r="W42" s="240" t="str">
        <f aca="false">IFERROR((W43-W44)/W43,"")</f>
        <v/>
      </c>
      <c r="X42" s="240" t="str">
        <f aca="false">IFERROR((X43-X44)/X43,"")</f>
        <v/>
      </c>
      <c r="Y42" s="240"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1" t="str">
        <f aca="false">IFERROR((AJ43-AJ44)/AJ43,"")</f>
        <v/>
      </c>
      <c r="AK42" s="242" t="str">
        <f aca="false">IFERROR((AK43-AK44)/AK43,"")</f>
        <v/>
      </c>
      <c r="AL42" s="243" t="str">
        <f aca="false">IFERROR((AL43-AL44)/AL43,"")</f>
        <v/>
      </c>
      <c r="AM42" s="243" t="str">
        <f aca="false">IFERROR((AM43-AM44)/AM43,"")</f>
        <v/>
      </c>
      <c r="AN42" s="243" t="str">
        <f aca="false">IFERROR((AN43-AN44)/AN43,"")</f>
        <v/>
      </c>
      <c r="AO42" s="243" t="str">
        <f aca="false">IFERROR((AO43-AO44)/AO43,"")</f>
        <v/>
      </c>
      <c r="AP42" s="243" t="str">
        <f aca="false">IFERROR((AP43-AP44)/AP43,"")</f>
        <v/>
      </c>
      <c r="AQ42" s="244" t="str">
        <f aca="false">IFERROR((AQ43-AQ44)/AQ43,"")</f>
        <v/>
      </c>
      <c r="AR42" s="245" t="str">
        <f aca="false">IFERROR((AR43-AR44)/AR43,"")</f>
        <v/>
      </c>
    </row>
    <row r="43" customFormat="false" ht="14.25" hidden="false" customHeight="false" outlineLevel="0" collapsed="false">
      <c r="A43" s="217" t="str">
        <f aca="false">+IF(C43+C44=0,"[ocultar]","")</f>
        <v>[ocultar]</v>
      </c>
      <c r="B43" s="246" t="s">
        <v>371</v>
      </c>
      <c r="C43" s="247" t="n">
        <f aca="false" t="array" ref="C43:C43">SUM(IF($B43=DATOS_[Sexo], IF($B42=DATOS_[AGRUP. VALOR. PTO.], IF("Dentro"=DATOS_[Check Periodo Ref.], 1/(COUNTIFS(DATOS_[Sexo],$B43,DATOS_[AGRUP. VALOR. PTO.],$B42,DATOS_[Check Periodo Ref.],"Dentro",DATOS_[id],DATOS_[id]))))))</f>
        <v>0</v>
      </c>
      <c r="D43" s="248" t="n">
        <f aca="false">COUNTIFS(DATOS_[AGRUP. VALOR. PTO.],$B42,DATOS_[Sexo],$B43,DATOS_[Check Periodo Ref.],"Dentro")</f>
        <v>0</v>
      </c>
      <c r="E43" s="249" t="n">
        <f aca="false" t="array" ref="E43:E43">IFERROR( MEDIAN(IF(DATOS_[Sexo]=$B43,IF(DATOS_[AGRUP. VALOR. PTO.]=$B42,IF(DATOS_[Check Periodo Ref.]="Dentro",DATOS_[SALARIO BASE Ef],0)))), 0)</f>
        <v>0</v>
      </c>
      <c r="F43" s="250" t="n">
        <f aca="false" t="array" ref="F43:F43">IFERROR( MEDIAN((IF(DATOS_[[Sexo]:[Sexo]]=$B43,IF(DATOS_[[AGRUP. VALOR. PTO.]:[AGRUP. VALOR. PTO.]]=$B42,IF(DATOS_[[Check Periodo Ref.]:[Check Periodo Ref.]]="Dentro",DATOS_[Conc.Sal.01]))))), 0)</f>
        <v>0</v>
      </c>
      <c r="G43" s="250" t="n">
        <f aca="false" t="array" ref="G43:G43">IFERROR( MEDIAN((IF(DATOS_[[Sexo]:[Sexo]]=$B43,IF(DATOS_[[AGRUP. VALOR. PTO.]:[AGRUP. VALOR. PTO.]]=$B42,IF(DATOS_[[Check Periodo Ref.]:[Check Periodo Ref.]]="Dentro",DATOS_[Conc.Sal.02]))))), 0)</f>
        <v>0</v>
      </c>
      <c r="H43" s="250" t="n">
        <f aca="false" t="array" ref="H43:H43">IFERROR( MEDIAN((IF(DATOS_[[Sexo]:[Sexo]]=$B43,IF(DATOS_[[AGRUP. VALOR. PTO.]:[AGRUP. VALOR. PTO.]]=$B42,IF(DATOS_[[Check Periodo Ref.]:[Check Periodo Ref.]]="Dentro",DATOS_[Conc.Sal.03]))))), 0)</f>
        <v>0</v>
      </c>
      <c r="I43" s="250" t="n">
        <f aca="false" t="array" ref="I43:I43">IFERROR( MEDIAN((IF(DATOS_[[Sexo]:[Sexo]]=$B43,IF(DATOS_[[AGRUP. VALOR. PTO.]:[AGRUP. VALOR. PTO.]]=$B42,IF(DATOS_[[Check Periodo Ref.]:[Check Periodo Ref.]]="Dentro",DATOS_[Conc.Sal.04]))))), 0)</f>
        <v>0</v>
      </c>
      <c r="J43" s="250" t="n">
        <f aca="false" t="array" ref="J43:J43">IFERROR( MEDIAN((IF(DATOS_[[Sexo]:[Sexo]]=$B43,IF(DATOS_[[AGRUP. VALOR. PTO.]:[AGRUP. VALOR. PTO.]]=$B42,IF(DATOS_[[Check Periodo Ref.]:[Check Periodo Ref.]]="Dentro",DATOS_[Conc.Sal.05]))))), 0)</f>
        <v>0</v>
      </c>
      <c r="K43" s="250" t="n">
        <f aca="false" t="array" ref="K43:K43">IFERROR( MEDIAN((IF(DATOS_[[Sexo]:[Sexo]]=$B43,IF(DATOS_[[AGRUP. VALOR. PTO.]:[AGRUP. VALOR. PTO.]]=$B42,IF(DATOS_[[Check Periodo Ref.]:[Check Periodo Ref.]]="Dentro",DATOS_[Conc.Sal.06]))))), 0)</f>
        <v>0</v>
      </c>
      <c r="L43" s="250" t="n">
        <f aca="false" t="array" ref="L43:L43">IFERROR( MEDIAN((IF(DATOS_[[Sexo]:[Sexo]]=$B43,IF(DATOS_[[AGRUP. VALOR. PTO.]:[AGRUP. VALOR. PTO.]]=$B42,IF(DATOS_[[Check Periodo Ref.]:[Check Periodo Ref.]]="Dentro",DATOS_[Conc.Sal.07]))))), 0)</f>
        <v>0</v>
      </c>
      <c r="M43" s="250" t="n">
        <f aca="false" t="array" ref="M43:M43">IFERROR( MEDIAN((IF(DATOS_[[Sexo]:[Sexo]]=$B43,IF(DATOS_[[AGRUP. VALOR. PTO.]:[AGRUP. VALOR. PTO.]]=$B42,IF(DATOS_[[Check Periodo Ref.]:[Check Periodo Ref.]]="Dentro",DATOS_[Conc.Sal.08]))))), 0)</f>
        <v>0</v>
      </c>
      <c r="N43" s="250" t="n">
        <f aca="false" t="array" ref="N43:N43">IFERROR( MEDIAN((IF(DATOS_[[Sexo]:[Sexo]]=$B43,IF(DATOS_[[AGRUP. VALOR. PTO.]:[AGRUP. VALOR. PTO.]]=$B42,IF(DATOS_[[Check Periodo Ref.]:[Check Periodo Ref.]]="Dentro",DATOS_[Conc.Sal.09]))))), 0)</f>
        <v>0</v>
      </c>
      <c r="O43" s="250" t="n">
        <f aca="false" t="array" ref="O43:O43">IFERROR( MEDIAN((IF(DATOS_[[Sexo]:[Sexo]]=$B43,IF(DATOS_[[AGRUP. VALOR. PTO.]:[AGRUP. VALOR. PTO.]]=$B42,IF(DATOS_[[Check Periodo Ref.]:[Check Periodo Ref.]]="Dentro",DATOS_[Conc.Sal.10]))))), 0)</f>
        <v>0</v>
      </c>
      <c r="P43" s="250" t="n">
        <f aca="false" t="array" ref="P43:P43">IFERROR( MEDIAN((IF(DATOS_[[Sexo]:[Sexo]]=$B43,IF(DATOS_[[AGRUP. VALOR. PTO.]:[AGRUP. VALOR. PTO.]]=$B42,IF(DATOS_[[Check Periodo Ref.]:[Check Periodo Ref.]]="Dentro",DATOS_[Conc.Sal.11]))))), 0)</f>
        <v>0</v>
      </c>
      <c r="Q43" s="250" t="n">
        <f aca="false" t="array" ref="Q43:Q43">IFERROR( MEDIAN((IF(DATOS_[[Sexo]:[Sexo]]=$B43,IF(DATOS_[[AGRUP. VALOR. PTO.]:[AGRUP. VALOR. PTO.]]=$B42,IF(DATOS_[[Check Periodo Ref.]:[Check Periodo Ref.]]="Dentro",DATOS_[Conc.Sal.12]))))), 0)</f>
        <v>0</v>
      </c>
      <c r="R43" s="250" t="n">
        <f aca="false" t="array" ref="R43:R43">IFERROR( MEDIAN((IF(DATOS_[[Sexo]:[Sexo]]=$B43,IF(DATOS_[[AGRUP. VALOR. PTO.]:[AGRUP. VALOR. PTO.]]=$B42,IF(DATOS_[[Check Periodo Ref.]:[Check Periodo Ref.]]="Dentro",DATOS_[Conc.Sal.13]))))), 0)</f>
        <v>0</v>
      </c>
      <c r="S43" s="250" t="n">
        <f aca="false" t="array" ref="S43:S43">IFERROR( MEDIAN((IF(DATOS_[[Sexo]:[Sexo]]=$B43,IF(DATOS_[[AGRUP. VALOR. PTO.]:[AGRUP. VALOR. PTO.]]=$B42,IF(DATOS_[[Check Periodo Ref.]:[Check Periodo Ref.]]="Dentro",DATOS_[Conc.Sal.14]))))), 0)</f>
        <v>0</v>
      </c>
      <c r="T43" s="250" t="n">
        <f aca="false" t="array" ref="T43:T43">IFERROR( MEDIAN((IF(DATOS_[[Sexo]:[Sexo]]=$B43,IF(DATOS_[[AGRUP. VALOR. PTO.]:[AGRUP. VALOR. PTO.]]=$B42,IF(DATOS_[[Check Periodo Ref.]:[Check Periodo Ref.]]="Dentro",DATOS_[Conc.Sal.15]))))), 0)</f>
        <v>0</v>
      </c>
      <c r="U43" s="250" t="n">
        <f aca="false" t="array" ref="U43:U43">IFERROR( MEDIAN((IF(DATOS_[[Sexo]:[Sexo]]=$B43,IF(DATOS_[[AGRUP. VALOR. PTO.]:[AGRUP. VALOR. PTO.]]=$B42,IF(DATOS_[[Check Periodo Ref.]:[Check Periodo Ref.]]="Dentro",DATOS_[Conc.Sal.16]))))), 0)</f>
        <v>0</v>
      </c>
      <c r="V43" s="250" t="n">
        <f aca="false" t="array" ref="V43:V43">IFERROR( MEDIAN((IF(DATOS_[[Sexo]:[Sexo]]=$B43,IF(DATOS_[[AGRUP. VALOR. PTO.]:[AGRUP. VALOR. PTO.]]=$B42,IF(DATOS_[[Check Periodo Ref.]:[Check Periodo Ref.]]="Dentro",DATOS_[Conc.Sal.17]))))), 0)</f>
        <v>0</v>
      </c>
      <c r="W43" s="250" t="n">
        <f aca="false" t="array" ref="W43:W43">IFERROR( MEDIAN((IF(DATOS_[[Sexo]:[Sexo]]=$B43,IF(DATOS_[[AGRUP. VALOR. PTO.]:[AGRUP. VALOR. PTO.]]=$B42,IF(DATOS_[[Check Periodo Ref.]:[Check Periodo Ref.]]="Dentro",DATOS_[Conc.Sal.18]))))), 0)</f>
        <v>0</v>
      </c>
      <c r="X43" s="250" t="n">
        <f aca="false" t="array" ref="X43:X43">IFERROR( MEDIAN((IF(DATOS_[[Sexo]:[Sexo]]=$B43,IF(DATOS_[[AGRUP. VALOR. PTO.]:[AGRUP. VALOR. PTO.]]=$B42,IF(DATOS_[[Check Periodo Ref.]:[Check Periodo Ref.]]="Dentro",DATOS_[Conc.Sal.19]))))), 0)</f>
        <v>0</v>
      </c>
      <c r="Y43" s="250" t="n">
        <f aca="false" t="array" ref="Y43:Y43">IFERROR( MEDIAN((IF(DATOS_[[Sexo]:[Sexo]]=$B43,IF(DATOS_[[AGRUP. VALOR. PTO.]:[AGRUP. VALOR. PTO.]]=$B42,IF(DATOS_[[Check Periodo Ref.]:[Check Periodo Ref.]]="Dentro",DATOS_[Conc.Sal.20]))))), 0)</f>
        <v>0</v>
      </c>
      <c r="Z43" s="250" t="n">
        <f aca="false" t="array" ref="Z43:Z43">IFERROR( MEDIAN((IF(DATOS_[[Sexo]:[Sexo]]=$B43,IF(DATOS_[[AGRUP. VALOR. PTO.]:[AGRUP. VALOR. PTO.]]=$B42,IF(DATOS_[[Check Periodo Ref.]:[Check Periodo Ref.]]="Dentro",DATOS_[Conc.Sal.21]))))), 0)</f>
        <v>0</v>
      </c>
      <c r="AA43" s="250" t="n">
        <f aca="false" t="array" ref="AA43:AA43">IFERROR( MEDIAN((IF(DATOS_[[Sexo]:[Sexo]]=$B43,IF(DATOS_[[AGRUP. VALOR. PTO.]:[AGRUP. VALOR. PTO.]]=$B42,IF(DATOS_[[Check Periodo Ref.]:[Check Periodo Ref.]]="Dentro",DATOS_[Conc.Sal.22]))))), 0)</f>
        <v>0</v>
      </c>
      <c r="AB43" s="250" t="n">
        <f aca="false" t="array" ref="AB43:AB43">IFERROR( MEDIAN((IF(DATOS_[[Sexo]:[Sexo]]=$B43,IF(DATOS_[[AGRUP. VALOR. PTO.]:[AGRUP. VALOR. PTO.]]=$B42,IF(DATOS_[[Check Periodo Ref.]:[Check Periodo Ref.]]="Dentro",DATOS_[Conc.Sal.23]))))), 0)</f>
        <v>0</v>
      </c>
      <c r="AC43" s="250" t="n">
        <f aca="false" t="array" ref="AC43:AC43">IFERROR( MEDIAN((IF(DATOS_[[Sexo]:[Sexo]]=$B43,IF(DATOS_[[AGRUP. VALOR. PTO.]:[AGRUP. VALOR. PTO.]]=$B42,IF(DATOS_[[Check Periodo Ref.]:[Check Periodo Ref.]]="Dentro",DATOS_[Conc.Sal.24]))))), 0)</f>
        <v>0</v>
      </c>
      <c r="AD43" s="250" t="n">
        <f aca="false" t="array" ref="AD43:AD43">IFERROR( MEDIAN((IF(DATOS_[[Sexo]:[Sexo]]=$B43,IF(DATOS_[[AGRUP. VALOR. PTO.]:[AGRUP. VALOR. PTO.]]=$B42,IF(DATOS_[[Check Periodo Ref.]:[Check Periodo Ref.]]="Dentro",DATOS_[Conc.Sal.25]))))), 0)</f>
        <v>0</v>
      </c>
      <c r="AE43" s="250" t="n">
        <f aca="false" t="array" ref="AE43:AE43">IFERROR( MEDIAN((IF(DATOS_[[Sexo]:[Sexo]]=$B43,IF(DATOS_[[AGRUP. VALOR. PTO.]:[AGRUP. VALOR. PTO.]]=$B42,IF(DATOS_[[Check Periodo Ref.]:[Check Periodo Ref.]]="Dentro",DATOS_[Conc.Sal.26]))))), 0)</f>
        <v>0</v>
      </c>
      <c r="AF43" s="250" t="n">
        <f aca="false" t="array" ref="AF43:AF43">IFERROR( MEDIAN((IF(DATOS_[[Sexo]:[Sexo]]=$B43,IF(DATOS_[[AGRUP. VALOR. PTO.]:[AGRUP. VALOR. PTO.]]=$B42,IF(DATOS_[[Check Periodo Ref.]:[Check Periodo Ref.]]="Dentro",DATOS_[Conc.Sal.27]))))), 0)</f>
        <v>0</v>
      </c>
      <c r="AG43" s="250" t="n">
        <f aca="false" t="array" ref="AG43:AG43">IFERROR( MEDIAN((IF(DATOS_[[Sexo]:[Sexo]]=$B43,IF(DATOS_[[AGRUP. VALOR. PTO.]:[AGRUP. VALOR. PTO.]]=$B42,IF(DATOS_[[Check Periodo Ref.]:[Check Periodo Ref.]]="Dentro",DATOS_[Conc.Sal.28]))))), 0)</f>
        <v>0</v>
      </c>
      <c r="AH43" s="250" t="n">
        <f aca="false" t="array" ref="AH43:AH43">IFERROR( MEDIAN((IF(DATOS_[[Sexo]:[Sexo]]=$B43,IF(DATOS_[[AGRUP. VALOR. PTO.]:[AGRUP. VALOR. PTO.]]=$B42,IF(DATOS_[[Check Periodo Ref.]:[Check Periodo Ref.]]="Dentro",DATOS_[Conc.Sal.29]))))), 0)</f>
        <v>0</v>
      </c>
      <c r="AI43" s="250" t="n">
        <f aca="false" t="array" ref="AI43:AI43">IFERROR( MEDIAN((IF(DATOS_[[Sexo]:[Sexo]]=$B43,IF(DATOS_[[AGRUP. VALOR. PTO.]:[AGRUP. VALOR. PTO.]]=$B42,IF(DATOS_[[Check Periodo Ref.]:[Check Periodo Ref.]]="Dentro",DATOS_[Conc.Sal.30]))))), 0)</f>
        <v>0</v>
      </c>
      <c r="AJ43" s="251" t="n">
        <f aca="false" t="array" ref="AJ43:AJ43">IFERROR( MEDIAN(IF(DATOS_[Sexo]=$B43,IF(DATOS_[AGRUP. VALOR. PTO.]=$B42,IF(DATOS_[Check Periodo Ref.]="Dentro",DATOS_[Tot COMPL.SAL Ef],0)))), 0)</f>
        <v>0</v>
      </c>
      <c r="AK43" s="252" t="n">
        <f aca="false" t="array" ref="AK43:AK43">IFERROR( MEDIAN(IF(DATOS_[Sexo]=$B43,IF(DATOS_[AGRUP. VALOR. PTO.]=$B42,IF(DATOS_[Check Periodo Ref.]="Dentro",DATOS_[TOTAL SALARIO Ef],0)))), 0)</f>
        <v>0</v>
      </c>
      <c r="AL43" s="259" t="n">
        <f aca="false" t="array" ref="AL43:AL43">IFERROR( MEDIAN((IF(DATOS_[[Sexo]:[Sexo]]=$B43,IF(DATOS_[[AGRUP. VALOR. PTO.]:[AGRUP. VALOR. PTO.]]=$B42,IF(DATOS_[[Check Periodo Ref.]:[Check Periodo Ref.]]="Dentro",DATOS_[C.Extra.01]))))), 0)</f>
        <v>0</v>
      </c>
      <c r="AM43" s="259" t="n">
        <f aca="false" t="array" ref="AM43:AM43">IFERROR( MEDIAN((IF(DATOS_[[Sexo]:[Sexo]]=$B43,IF(DATOS_[[AGRUP. VALOR. PTO.]:[AGRUP. VALOR. PTO.]]=$B42,IF(DATOS_[[Check Periodo Ref.]:[Check Periodo Ref.]]="Dentro",DATOS_[C.Extra.02]))))), 0)</f>
        <v>0</v>
      </c>
      <c r="AN43" s="259" t="n">
        <f aca="false" t="array" ref="AN43:AN43">IFERROR( MEDIAN((IF(DATOS_[[Sexo]:[Sexo]]=$B43,IF(DATOS_[[AGRUP. VALOR. PTO.]:[AGRUP. VALOR. PTO.]]=$B42,IF(DATOS_[[Check Periodo Ref.]:[Check Periodo Ref.]]="Dentro",DATOS_[C.Extra.03]))))), 0)</f>
        <v>0</v>
      </c>
      <c r="AO43" s="259" t="n">
        <f aca="false" t="array" ref="AO43:AO43">IFERROR( MEDIAN((IF(DATOS_[[Sexo]:[Sexo]]=$B43,IF(DATOS_[[AGRUP. VALOR. PTO.]:[AGRUP. VALOR. PTO.]]=$B42,IF(DATOS_[[Check Periodo Ref.]:[Check Periodo Ref.]]="Dentro",DATOS_[C.Extra.04]))))), 0)</f>
        <v>0</v>
      </c>
      <c r="AP43" s="259" t="n">
        <f aca="false" t="array" ref="AP43:AP43">IFERROR( MEDIAN((IF(DATOS_[[Sexo]:[Sexo]]=$B43,IF(DATOS_[[AGRUP. VALOR. PTO.]:[AGRUP. VALOR. PTO.]]=$B42,IF(DATOS_[[Check Periodo Ref.]:[Check Periodo Ref.]]="Dentro",DATOS_[C.Extra.05]))))), 0)</f>
        <v>0</v>
      </c>
      <c r="AQ43" s="254" t="n">
        <f aca="false" t="array" ref="AQ43:AQ43">IFERROR( MEDIAN(IF(DATOS_[Sexo]=$B43,IF(DATOS_[AGRUP. VALOR. PTO.]=$B42,IF(DATOS_[Check Periodo Ref.]="Dentro",DATOS_[Tot Extrasalarial Ef],0)))), 0)</f>
        <v>0</v>
      </c>
      <c r="AR43" s="255" t="n">
        <f aca="false" t="array" ref="AR43:AR43">IFERROR( MEDIAN(IF(DATOS_[Sexo]=$B43,IF(DATOS_[AGRUP. VALOR. PTO.]=$B42,IF(DATOS_[Check Periodo Ref.]="Dentro",DATOS_[TOTAL Retrib Ef],0)))), 0)</f>
        <v>0</v>
      </c>
    </row>
    <row r="44" customFormat="false" ht="14.25" hidden="false" customHeight="false" outlineLevel="0" collapsed="false">
      <c r="A44" s="217" t="str">
        <f aca="false">+A43</f>
        <v>[ocultar]</v>
      </c>
      <c r="B44" s="246" t="s">
        <v>372</v>
      </c>
      <c r="C44" s="247" t="n">
        <f aca="false" t="array" ref="C44:C44">SUM(IF($B44=DATOS_[Sexo], IF($B42=DATOS_[AGRUP. VALOR. PTO.], IF("Dentro"=DATOS_[Check Periodo Ref.], 1/(COUNTIFS(DATOS_[Sexo],$B44,DATOS_[AGRUP. VALOR. PTO.],$B42,DATOS_[Check Periodo Ref.],"Dentro",DATOS_[id],DATOS_[id]))))))</f>
        <v>0</v>
      </c>
      <c r="D44" s="248" t="n">
        <f aca="false">COUNTIFS(DATOS_[AGRUP. VALOR. PTO.],$B42,DATOS_[Sexo],$B44,DATOS_[Check Periodo Ref.],"Dentro")</f>
        <v>0</v>
      </c>
      <c r="E44" s="249" t="n">
        <f aca="false" t="array" ref="E44:E44">IFERROR( MEDIAN(IF(DATOS_[Sexo]=$B44,IF(DATOS_[AGRUP. VALOR. PTO.]=$B42,IF(DATOS_[Check Periodo Ref.]="Dentro",DATOS_[SALARIO BASE Ef],0)))), 0)</f>
        <v>0</v>
      </c>
      <c r="F44" s="250" t="n">
        <f aca="false" t="array" ref="F44:F44">IFERROR( MEDIAN((IF(DATOS_[[Sexo]:[Sexo]]=$B44,IF(DATOS_[[AGRUP. VALOR. PTO.]:[AGRUP. VALOR. PTO.]]=$B42,IF(DATOS_[[Check Periodo Ref.]:[Check Periodo Ref.]]="Dentro",DATOS_[Conc.Sal.01]))))), 0)</f>
        <v>0</v>
      </c>
      <c r="G44" s="250" t="n">
        <f aca="false" t="array" ref="G44:G44">IFERROR( MEDIAN((IF(DATOS_[[Sexo]:[Sexo]]=$B44,IF(DATOS_[[AGRUP. VALOR. PTO.]:[AGRUP. VALOR. PTO.]]=$B42,IF(DATOS_[[Check Periodo Ref.]:[Check Periodo Ref.]]="Dentro",DATOS_[Conc.Sal.02]))))), 0)</f>
        <v>0</v>
      </c>
      <c r="H44" s="250" t="n">
        <f aca="false" t="array" ref="H44:H44">IFERROR( MEDIAN((IF(DATOS_[[Sexo]:[Sexo]]=$B44,IF(DATOS_[[AGRUP. VALOR. PTO.]:[AGRUP. VALOR. PTO.]]=$B42,IF(DATOS_[[Check Periodo Ref.]:[Check Periodo Ref.]]="Dentro",DATOS_[Conc.Sal.03]))))), 0)</f>
        <v>0</v>
      </c>
      <c r="I44" s="250" t="n">
        <f aca="false" t="array" ref="I44:I44">IFERROR( MEDIAN((IF(DATOS_[[Sexo]:[Sexo]]=$B44,IF(DATOS_[[AGRUP. VALOR. PTO.]:[AGRUP. VALOR. PTO.]]=$B42,IF(DATOS_[[Check Periodo Ref.]:[Check Periodo Ref.]]="Dentro",DATOS_[Conc.Sal.04]))))), 0)</f>
        <v>0</v>
      </c>
      <c r="J44" s="250" t="n">
        <f aca="false" t="array" ref="J44:J44">IFERROR( MEDIAN((IF(DATOS_[[Sexo]:[Sexo]]=$B44,IF(DATOS_[[AGRUP. VALOR. PTO.]:[AGRUP. VALOR. PTO.]]=$B42,IF(DATOS_[[Check Periodo Ref.]:[Check Periodo Ref.]]="Dentro",DATOS_[Conc.Sal.05]))))), 0)</f>
        <v>0</v>
      </c>
      <c r="K44" s="250" t="n">
        <f aca="false" t="array" ref="K44:K44">IFERROR( MEDIAN((IF(DATOS_[[Sexo]:[Sexo]]=$B44,IF(DATOS_[[AGRUP. VALOR. PTO.]:[AGRUP. VALOR. PTO.]]=$B42,IF(DATOS_[[Check Periodo Ref.]:[Check Periodo Ref.]]="Dentro",DATOS_[Conc.Sal.06]))))), 0)</f>
        <v>0</v>
      </c>
      <c r="L44" s="250" t="n">
        <f aca="false" t="array" ref="L44:L44">IFERROR( MEDIAN((IF(DATOS_[[Sexo]:[Sexo]]=$B44,IF(DATOS_[[AGRUP. VALOR. PTO.]:[AGRUP. VALOR. PTO.]]=$B42,IF(DATOS_[[Check Periodo Ref.]:[Check Periodo Ref.]]="Dentro",DATOS_[Conc.Sal.07]))))), 0)</f>
        <v>0</v>
      </c>
      <c r="M44" s="250" t="n">
        <f aca="false" t="array" ref="M44:M44">IFERROR( MEDIAN((IF(DATOS_[[Sexo]:[Sexo]]=$B44,IF(DATOS_[[AGRUP. VALOR. PTO.]:[AGRUP. VALOR. PTO.]]=$B42,IF(DATOS_[[Check Periodo Ref.]:[Check Periodo Ref.]]="Dentro",DATOS_[Conc.Sal.08]))))), 0)</f>
        <v>0</v>
      </c>
      <c r="N44" s="250" t="n">
        <f aca="false" t="array" ref="N44:N44">IFERROR( MEDIAN((IF(DATOS_[[Sexo]:[Sexo]]=$B44,IF(DATOS_[[AGRUP. VALOR. PTO.]:[AGRUP. VALOR. PTO.]]=$B42,IF(DATOS_[[Check Periodo Ref.]:[Check Periodo Ref.]]="Dentro",DATOS_[Conc.Sal.09]))))), 0)</f>
        <v>0</v>
      </c>
      <c r="O44" s="250" t="n">
        <f aca="false" t="array" ref="O44:O44">IFERROR( MEDIAN((IF(DATOS_[[Sexo]:[Sexo]]=$B44,IF(DATOS_[[AGRUP. VALOR. PTO.]:[AGRUP. VALOR. PTO.]]=$B42,IF(DATOS_[[Check Periodo Ref.]:[Check Periodo Ref.]]="Dentro",DATOS_[Conc.Sal.10]))))), 0)</f>
        <v>0</v>
      </c>
      <c r="P44" s="250" t="n">
        <f aca="false" t="array" ref="P44:P44">IFERROR( MEDIAN((IF(DATOS_[[Sexo]:[Sexo]]=$B44,IF(DATOS_[[AGRUP. VALOR. PTO.]:[AGRUP. VALOR. PTO.]]=$B42,IF(DATOS_[[Check Periodo Ref.]:[Check Periodo Ref.]]="Dentro",DATOS_[Conc.Sal.11]))))), 0)</f>
        <v>0</v>
      </c>
      <c r="Q44" s="250" t="n">
        <f aca="false" t="array" ref="Q44:Q44">IFERROR( MEDIAN((IF(DATOS_[[Sexo]:[Sexo]]=$B44,IF(DATOS_[[AGRUP. VALOR. PTO.]:[AGRUP. VALOR. PTO.]]=$B42,IF(DATOS_[[Check Periodo Ref.]:[Check Periodo Ref.]]="Dentro",DATOS_[Conc.Sal.12]))))), 0)</f>
        <v>0</v>
      </c>
      <c r="R44" s="250" t="n">
        <f aca="false" t="array" ref="R44:R44">IFERROR( MEDIAN((IF(DATOS_[[Sexo]:[Sexo]]=$B44,IF(DATOS_[[AGRUP. VALOR. PTO.]:[AGRUP. VALOR. PTO.]]=$B42,IF(DATOS_[[Check Periodo Ref.]:[Check Periodo Ref.]]="Dentro",DATOS_[Conc.Sal.13]))))), 0)</f>
        <v>0</v>
      </c>
      <c r="S44" s="250" t="n">
        <f aca="false" t="array" ref="S44:S44">IFERROR( MEDIAN((IF(DATOS_[[Sexo]:[Sexo]]=$B44,IF(DATOS_[[AGRUP. VALOR. PTO.]:[AGRUP. VALOR. PTO.]]=$B42,IF(DATOS_[[Check Periodo Ref.]:[Check Periodo Ref.]]="Dentro",DATOS_[Conc.Sal.14]))))), 0)</f>
        <v>0</v>
      </c>
      <c r="T44" s="250" t="n">
        <f aca="false" t="array" ref="T44:T44">IFERROR( MEDIAN((IF(DATOS_[[Sexo]:[Sexo]]=$B44,IF(DATOS_[[AGRUP. VALOR. PTO.]:[AGRUP. VALOR. PTO.]]=$B42,IF(DATOS_[[Check Periodo Ref.]:[Check Periodo Ref.]]="Dentro",DATOS_[Conc.Sal.15]))))), 0)</f>
        <v>0</v>
      </c>
      <c r="U44" s="250" t="n">
        <f aca="false" t="array" ref="U44:U44">IFERROR( MEDIAN((IF(DATOS_[[Sexo]:[Sexo]]=$B44,IF(DATOS_[[AGRUP. VALOR. PTO.]:[AGRUP. VALOR. PTO.]]=$B42,IF(DATOS_[[Check Periodo Ref.]:[Check Periodo Ref.]]="Dentro",DATOS_[Conc.Sal.16]))))), 0)</f>
        <v>0</v>
      </c>
      <c r="V44" s="250" t="n">
        <f aca="false" t="array" ref="V44:V44">IFERROR( MEDIAN((IF(DATOS_[[Sexo]:[Sexo]]=$B44,IF(DATOS_[[AGRUP. VALOR. PTO.]:[AGRUP. VALOR. PTO.]]=$B42,IF(DATOS_[[Check Periodo Ref.]:[Check Periodo Ref.]]="Dentro",DATOS_[Conc.Sal.17]))))), 0)</f>
        <v>0</v>
      </c>
      <c r="W44" s="250" t="n">
        <f aca="false" t="array" ref="W44:W44">IFERROR( MEDIAN((IF(DATOS_[[Sexo]:[Sexo]]=$B44,IF(DATOS_[[AGRUP. VALOR. PTO.]:[AGRUP. VALOR. PTO.]]=$B42,IF(DATOS_[[Check Periodo Ref.]:[Check Periodo Ref.]]="Dentro",DATOS_[Conc.Sal.18]))))), 0)</f>
        <v>0</v>
      </c>
      <c r="X44" s="250" t="n">
        <f aca="false" t="array" ref="X44:X44">IFERROR( MEDIAN((IF(DATOS_[[Sexo]:[Sexo]]=$B44,IF(DATOS_[[AGRUP. VALOR. PTO.]:[AGRUP. VALOR. PTO.]]=$B42,IF(DATOS_[[Check Periodo Ref.]:[Check Periodo Ref.]]="Dentro",DATOS_[Conc.Sal.19]))))), 0)</f>
        <v>0</v>
      </c>
      <c r="Y44" s="250" t="n">
        <f aca="false" t="array" ref="Y44:Y44">IFERROR( MEDIAN((IF(DATOS_[[Sexo]:[Sexo]]=$B44,IF(DATOS_[[AGRUP. VALOR. PTO.]:[AGRUP. VALOR. PTO.]]=$B42,IF(DATOS_[[Check Periodo Ref.]:[Check Periodo Ref.]]="Dentro",DATOS_[Conc.Sal.20]))))), 0)</f>
        <v>0</v>
      </c>
      <c r="Z44" s="250" t="n">
        <f aca="false" t="array" ref="Z44:Z44">IFERROR( MEDIAN((IF(DATOS_[[Sexo]:[Sexo]]=$B44,IF(DATOS_[[AGRUP. VALOR. PTO.]:[AGRUP. VALOR. PTO.]]=$B42,IF(DATOS_[[Check Periodo Ref.]:[Check Periodo Ref.]]="Dentro",DATOS_[Conc.Sal.21]))))), 0)</f>
        <v>0</v>
      </c>
      <c r="AA44" s="250" t="n">
        <f aca="false" t="array" ref="AA44:AA44">IFERROR( MEDIAN((IF(DATOS_[[Sexo]:[Sexo]]=$B44,IF(DATOS_[[AGRUP. VALOR. PTO.]:[AGRUP. VALOR. PTO.]]=$B42,IF(DATOS_[[Check Periodo Ref.]:[Check Periodo Ref.]]="Dentro",DATOS_[Conc.Sal.22]))))), 0)</f>
        <v>0</v>
      </c>
      <c r="AB44" s="250" t="n">
        <f aca="false" t="array" ref="AB44:AB44">IFERROR( MEDIAN((IF(DATOS_[[Sexo]:[Sexo]]=$B44,IF(DATOS_[[AGRUP. VALOR. PTO.]:[AGRUP. VALOR. PTO.]]=$B42,IF(DATOS_[[Check Periodo Ref.]:[Check Periodo Ref.]]="Dentro",DATOS_[Conc.Sal.23]))))), 0)</f>
        <v>0</v>
      </c>
      <c r="AC44" s="250" t="n">
        <f aca="false" t="array" ref="AC44:AC44">IFERROR( MEDIAN((IF(DATOS_[[Sexo]:[Sexo]]=$B44,IF(DATOS_[[AGRUP. VALOR. PTO.]:[AGRUP. VALOR. PTO.]]=$B42,IF(DATOS_[[Check Periodo Ref.]:[Check Periodo Ref.]]="Dentro",DATOS_[Conc.Sal.24]))))), 0)</f>
        <v>0</v>
      </c>
      <c r="AD44" s="250" t="n">
        <f aca="false" t="array" ref="AD44:AD44">IFERROR( MEDIAN((IF(DATOS_[[Sexo]:[Sexo]]=$B44,IF(DATOS_[[AGRUP. VALOR. PTO.]:[AGRUP. VALOR. PTO.]]=$B42,IF(DATOS_[[Check Periodo Ref.]:[Check Periodo Ref.]]="Dentro",DATOS_[Conc.Sal.25]))))), 0)</f>
        <v>0</v>
      </c>
      <c r="AE44" s="250" t="n">
        <f aca="false" t="array" ref="AE44:AE44">IFERROR( MEDIAN((IF(DATOS_[[Sexo]:[Sexo]]=$B44,IF(DATOS_[[AGRUP. VALOR. PTO.]:[AGRUP. VALOR. PTO.]]=$B42,IF(DATOS_[[Check Periodo Ref.]:[Check Periodo Ref.]]="Dentro",DATOS_[Conc.Sal.26]))))), 0)</f>
        <v>0</v>
      </c>
      <c r="AF44" s="250" t="n">
        <f aca="false" t="array" ref="AF44:AF44">IFERROR( MEDIAN((IF(DATOS_[[Sexo]:[Sexo]]=$B44,IF(DATOS_[[AGRUP. VALOR. PTO.]:[AGRUP. VALOR. PTO.]]=$B42,IF(DATOS_[[Check Periodo Ref.]:[Check Periodo Ref.]]="Dentro",DATOS_[Conc.Sal.27]))))), 0)</f>
        <v>0</v>
      </c>
      <c r="AG44" s="250" t="n">
        <f aca="false" t="array" ref="AG44:AG44">IFERROR( MEDIAN((IF(DATOS_[[Sexo]:[Sexo]]=$B44,IF(DATOS_[[AGRUP. VALOR. PTO.]:[AGRUP. VALOR. PTO.]]=$B42,IF(DATOS_[[Check Periodo Ref.]:[Check Periodo Ref.]]="Dentro",DATOS_[Conc.Sal.28]))))), 0)</f>
        <v>0</v>
      </c>
      <c r="AH44" s="250" t="n">
        <f aca="false" t="array" ref="AH44:AH44">IFERROR( MEDIAN((IF(DATOS_[[Sexo]:[Sexo]]=$B44,IF(DATOS_[[AGRUP. VALOR. PTO.]:[AGRUP. VALOR. PTO.]]=$B42,IF(DATOS_[[Check Periodo Ref.]:[Check Periodo Ref.]]="Dentro",DATOS_[Conc.Sal.29]))))), 0)</f>
        <v>0</v>
      </c>
      <c r="AI44" s="250" t="n">
        <f aca="false" t="array" ref="AI44:AI44">IFERROR( MEDIAN((IF(DATOS_[[Sexo]:[Sexo]]=$B44,IF(DATOS_[[AGRUP. VALOR. PTO.]:[AGRUP. VALOR. PTO.]]=$B42,IF(DATOS_[[Check Periodo Ref.]:[Check Periodo Ref.]]="Dentro",DATOS_[Conc.Sal.30]))))), 0)</f>
        <v>0</v>
      </c>
      <c r="AJ44" s="251" t="n">
        <f aca="false" t="array" ref="AJ44:AJ44">IFERROR( MEDIAN(IF(DATOS_[Sexo]=$B44,IF(DATOS_[AGRUP. VALOR. PTO.]=$B42,IF(DATOS_[Check Periodo Ref.]="Dentro",DATOS_[Tot COMPL.SAL Ef],0)))), 0)</f>
        <v>0</v>
      </c>
      <c r="AK44" s="252" t="n">
        <f aca="false" t="array" ref="AK44:AK44">IFERROR( MEDIAN(IF(DATOS_[Sexo]=$B44,IF(DATOS_[AGRUP. VALOR. PTO.]=$B42,IF(DATOS_[Check Periodo Ref.]="Dentro",DATOS_[TOTAL SALARIO Ef],0)))), 0)</f>
        <v>0</v>
      </c>
      <c r="AL44" s="259" t="n">
        <f aca="false" t="array" ref="AL44:AL44">IFERROR( MEDIAN((IF(DATOS_[[Sexo]:[Sexo]]=$B44,IF(DATOS_[[AGRUP. VALOR. PTO.]:[AGRUP. VALOR. PTO.]]=$B42,IF(DATOS_[[Check Periodo Ref.]:[Check Periodo Ref.]]="Dentro",DATOS_[C.Extra.01]))))), 0)</f>
        <v>0</v>
      </c>
      <c r="AM44" s="259" t="n">
        <f aca="false" t="array" ref="AM44:AM44">IFERROR( MEDIAN((IF(DATOS_[[Sexo]:[Sexo]]=$B44,IF(DATOS_[[AGRUP. VALOR. PTO.]:[AGRUP. VALOR. PTO.]]=$B42,IF(DATOS_[[Check Periodo Ref.]:[Check Periodo Ref.]]="Dentro",DATOS_[C.Extra.02]))))), 0)</f>
        <v>0</v>
      </c>
      <c r="AN44" s="259" t="n">
        <f aca="false" t="array" ref="AN44:AN44">IFERROR( MEDIAN((IF(DATOS_[[Sexo]:[Sexo]]=$B44,IF(DATOS_[[AGRUP. VALOR. PTO.]:[AGRUP. VALOR. PTO.]]=$B42,IF(DATOS_[[Check Periodo Ref.]:[Check Periodo Ref.]]="Dentro",DATOS_[C.Extra.03]))))), 0)</f>
        <v>0</v>
      </c>
      <c r="AO44" s="259" t="n">
        <f aca="false" t="array" ref="AO44:AO44">IFERROR( MEDIAN((IF(DATOS_[[Sexo]:[Sexo]]=$B44,IF(DATOS_[[AGRUP. VALOR. PTO.]:[AGRUP. VALOR. PTO.]]=$B42,IF(DATOS_[[Check Periodo Ref.]:[Check Periodo Ref.]]="Dentro",DATOS_[C.Extra.04]))))), 0)</f>
        <v>0</v>
      </c>
      <c r="AP44" s="259" t="n">
        <f aca="false" t="array" ref="AP44:AP44">IFERROR( MEDIAN((IF(DATOS_[[Sexo]:[Sexo]]=$B44,IF(DATOS_[[AGRUP. VALOR. PTO.]:[AGRUP. VALOR. PTO.]]=$B42,IF(DATOS_[[Check Periodo Ref.]:[Check Periodo Ref.]]="Dentro",DATOS_[C.Extra.05]))))), 0)</f>
        <v>0</v>
      </c>
      <c r="AQ44" s="254" t="n">
        <f aca="false" t="array" ref="AQ44:AQ44">IFERROR( MEDIAN(IF(DATOS_[Sexo]=$B44,IF(DATOS_[AGRUP. VALOR. PTO.]=$B42,IF(DATOS_[Check Periodo Ref.]="Dentro",DATOS_[Tot Extrasalarial Ef],0)))), 0)</f>
        <v>0</v>
      </c>
      <c r="AR44" s="255" t="n">
        <f aca="false" t="array" ref="AR44:AR44">IFERROR( MEDIAN(IF(DATOS_[Sexo]=$B44,IF(DATOS_[AGRUP. VALOR. PTO.]=$B42,IF(DATOS_[Check Periodo Ref.]="Dentro",DATOS_[TOTAL Retrib Ef],0)))), 0)</f>
        <v>0</v>
      </c>
    </row>
    <row r="45" customFormat="false" ht="15.75" hidden="false" customHeight="false" outlineLevel="0" collapsed="false">
      <c r="A45" s="217" t="str">
        <f aca="false">+A46</f>
        <v>[ocultar]</v>
      </c>
      <c r="B45" s="235" t="s">
        <v>199</v>
      </c>
      <c r="C45" s="236"/>
      <c r="D45" s="237"/>
      <c r="E45" s="238" t="str">
        <f aca="false">IFERROR((E46-E47)/E46,"")</f>
        <v/>
      </c>
      <c r="F45" s="239" t="str">
        <f aca="false">IFERROR((F46-F47)/F46,"")</f>
        <v/>
      </c>
      <c r="G45" s="239" t="str">
        <f aca="false">IFERROR((G46-G47)/G46,"")</f>
        <v/>
      </c>
      <c r="H45" s="239" t="str">
        <f aca="false">IFERROR((H46-H47)/H46,"")</f>
        <v/>
      </c>
      <c r="I45" s="239"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40" t="str">
        <f aca="false">IFERROR((V46-V47)/V46,"")</f>
        <v/>
      </c>
      <c r="W45" s="240" t="str">
        <f aca="false">IFERROR((W46-W47)/W46,"")</f>
        <v/>
      </c>
      <c r="X45" s="240" t="str">
        <f aca="false">IFERROR((X46-X47)/X46,"")</f>
        <v/>
      </c>
      <c r="Y45" s="240"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1" t="str">
        <f aca="false">IFERROR((AJ46-AJ47)/AJ46,"")</f>
        <v/>
      </c>
      <c r="AK45" s="242" t="str">
        <f aca="false">IFERROR((AK46-AK47)/AK46,"")</f>
        <v/>
      </c>
      <c r="AL45" s="243" t="str">
        <f aca="false">IFERROR((AL46-AL47)/AL46,"")</f>
        <v/>
      </c>
      <c r="AM45" s="243" t="str">
        <f aca="false">IFERROR((AM46-AM47)/AM46,"")</f>
        <v/>
      </c>
      <c r="AN45" s="243" t="str">
        <f aca="false">IFERROR((AN46-AN47)/AN46,"")</f>
        <v/>
      </c>
      <c r="AO45" s="243" t="str">
        <f aca="false">IFERROR((AO46-AO47)/AO46,"")</f>
        <v/>
      </c>
      <c r="AP45" s="243" t="str">
        <f aca="false">IFERROR((AP46-AP47)/AP46,"")</f>
        <v/>
      </c>
      <c r="AQ45" s="244" t="str">
        <f aca="false">IFERROR((AQ46-AQ47)/AQ46,"")</f>
        <v/>
      </c>
      <c r="AR45" s="245" t="str">
        <f aca="false">IFERROR((AR46-AR47)/AR46,"")</f>
        <v/>
      </c>
    </row>
    <row r="46" customFormat="false" ht="14.25" hidden="false" customHeight="false" outlineLevel="0" collapsed="false">
      <c r="A46" s="217" t="str">
        <f aca="false">+IF(C46+C47=0,"[ocultar]","")</f>
        <v>[ocultar]</v>
      </c>
      <c r="B46" s="246" t="s">
        <v>371</v>
      </c>
      <c r="C46" s="247" t="n">
        <f aca="false" t="array" ref="C46:C46">SUM(IF($B46=DATOS_[Sexo], IF($B45=DATOS_[AGRUP. VALOR. PTO.], IF("Dentro"=DATOS_[Check Periodo Ref.], 1/(COUNTIFS(DATOS_[Sexo],$B46,DATOS_[AGRUP. VALOR. PTO.],$B45,DATOS_[Check Periodo Ref.],"Dentro",DATOS_[id],DATOS_[id]))))))</f>
        <v>0</v>
      </c>
      <c r="D46" s="248" t="n">
        <f aca="false">COUNTIFS(DATOS_[AGRUP. VALOR. PTO.],$B45,DATOS_[Sexo],$B46,DATOS_[Check Periodo Ref.],"Dentro")</f>
        <v>0</v>
      </c>
      <c r="E46" s="249" t="n">
        <f aca="false" t="array" ref="E46:E46">IFERROR( MEDIAN(IF(DATOS_[Sexo]=$B46,IF(DATOS_[AGRUP. VALOR. PTO.]=$B45,IF(DATOS_[Check Periodo Ref.]="Dentro",DATOS_[SALARIO BASE Ef],0)))), 0)</f>
        <v>0</v>
      </c>
      <c r="F46" s="250" t="n">
        <f aca="false" t="array" ref="F46:F46">IFERROR( MEDIAN((IF(DATOS_[[Sexo]:[Sexo]]=$B46,IF(DATOS_[[AGRUP. VALOR. PTO.]:[AGRUP. VALOR. PTO.]]=$B45,IF(DATOS_[[Check Periodo Ref.]:[Check Periodo Ref.]]="Dentro",DATOS_[Conc.Sal.01]))))), 0)</f>
        <v>0</v>
      </c>
      <c r="G46" s="250" t="n">
        <f aca="false" t="array" ref="G46:G46">IFERROR( MEDIAN((IF(DATOS_[[Sexo]:[Sexo]]=$B46,IF(DATOS_[[AGRUP. VALOR. PTO.]:[AGRUP. VALOR. PTO.]]=$B45,IF(DATOS_[[Check Periodo Ref.]:[Check Periodo Ref.]]="Dentro",DATOS_[Conc.Sal.02]))))), 0)</f>
        <v>0</v>
      </c>
      <c r="H46" s="250" t="n">
        <f aca="false" t="array" ref="H46:H46">IFERROR( MEDIAN((IF(DATOS_[[Sexo]:[Sexo]]=$B46,IF(DATOS_[[AGRUP. VALOR. PTO.]:[AGRUP. VALOR. PTO.]]=$B45,IF(DATOS_[[Check Periodo Ref.]:[Check Periodo Ref.]]="Dentro",DATOS_[Conc.Sal.03]))))), 0)</f>
        <v>0</v>
      </c>
      <c r="I46" s="250" t="n">
        <f aca="false" t="array" ref="I46:I46">IFERROR( MEDIAN((IF(DATOS_[[Sexo]:[Sexo]]=$B46,IF(DATOS_[[AGRUP. VALOR. PTO.]:[AGRUP. VALOR. PTO.]]=$B45,IF(DATOS_[[Check Periodo Ref.]:[Check Periodo Ref.]]="Dentro",DATOS_[Conc.Sal.04]))))), 0)</f>
        <v>0</v>
      </c>
      <c r="J46" s="250" t="n">
        <f aca="false" t="array" ref="J46:J46">IFERROR( MEDIAN((IF(DATOS_[[Sexo]:[Sexo]]=$B46,IF(DATOS_[[AGRUP. VALOR. PTO.]:[AGRUP. VALOR. PTO.]]=$B45,IF(DATOS_[[Check Periodo Ref.]:[Check Periodo Ref.]]="Dentro",DATOS_[Conc.Sal.05]))))), 0)</f>
        <v>0</v>
      </c>
      <c r="K46" s="250" t="n">
        <f aca="false" t="array" ref="K46:K46">IFERROR( MEDIAN((IF(DATOS_[[Sexo]:[Sexo]]=$B46,IF(DATOS_[[AGRUP. VALOR. PTO.]:[AGRUP. VALOR. PTO.]]=$B45,IF(DATOS_[[Check Periodo Ref.]:[Check Periodo Ref.]]="Dentro",DATOS_[Conc.Sal.06]))))), 0)</f>
        <v>0</v>
      </c>
      <c r="L46" s="250" t="n">
        <f aca="false" t="array" ref="L46:L46">IFERROR( MEDIAN((IF(DATOS_[[Sexo]:[Sexo]]=$B46,IF(DATOS_[[AGRUP. VALOR. PTO.]:[AGRUP. VALOR. PTO.]]=$B45,IF(DATOS_[[Check Periodo Ref.]:[Check Periodo Ref.]]="Dentro",DATOS_[Conc.Sal.07]))))), 0)</f>
        <v>0</v>
      </c>
      <c r="M46" s="250" t="n">
        <f aca="false" t="array" ref="M46:M46">IFERROR( MEDIAN((IF(DATOS_[[Sexo]:[Sexo]]=$B46,IF(DATOS_[[AGRUP. VALOR. PTO.]:[AGRUP. VALOR. PTO.]]=$B45,IF(DATOS_[[Check Periodo Ref.]:[Check Periodo Ref.]]="Dentro",DATOS_[Conc.Sal.08]))))), 0)</f>
        <v>0</v>
      </c>
      <c r="N46" s="250" t="n">
        <f aca="false" t="array" ref="N46:N46">IFERROR( MEDIAN((IF(DATOS_[[Sexo]:[Sexo]]=$B46,IF(DATOS_[[AGRUP. VALOR. PTO.]:[AGRUP. VALOR. PTO.]]=$B45,IF(DATOS_[[Check Periodo Ref.]:[Check Periodo Ref.]]="Dentro",DATOS_[Conc.Sal.09]))))), 0)</f>
        <v>0</v>
      </c>
      <c r="O46" s="250" t="n">
        <f aca="false" t="array" ref="O46:O46">IFERROR( MEDIAN((IF(DATOS_[[Sexo]:[Sexo]]=$B46,IF(DATOS_[[AGRUP. VALOR. PTO.]:[AGRUP. VALOR. PTO.]]=$B45,IF(DATOS_[[Check Periodo Ref.]:[Check Periodo Ref.]]="Dentro",DATOS_[Conc.Sal.10]))))), 0)</f>
        <v>0</v>
      </c>
      <c r="P46" s="250" t="n">
        <f aca="false" t="array" ref="P46:P46">IFERROR( MEDIAN((IF(DATOS_[[Sexo]:[Sexo]]=$B46,IF(DATOS_[[AGRUP. VALOR. PTO.]:[AGRUP. VALOR. PTO.]]=$B45,IF(DATOS_[[Check Periodo Ref.]:[Check Periodo Ref.]]="Dentro",DATOS_[Conc.Sal.11]))))), 0)</f>
        <v>0</v>
      </c>
      <c r="Q46" s="250" t="n">
        <f aca="false" t="array" ref="Q46:Q46">IFERROR( MEDIAN((IF(DATOS_[[Sexo]:[Sexo]]=$B46,IF(DATOS_[[AGRUP. VALOR. PTO.]:[AGRUP. VALOR. PTO.]]=$B45,IF(DATOS_[[Check Periodo Ref.]:[Check Periodo Ref.]]="Dentro",DATOS_[Conc.Sal.12]))))), 0)</f>
        <v>0</v>
      </c>
      <c r="R46" s="250" t="n">
        <f aca="false" t="array" ref="R46:R46">IFERROR( MEDIAN((IF(DATOS_[[Sexo]:[Sexo]]=$B46,IF(DATOS_[[AGRUP. VALOR. PTO.]:[AGRUP. VALOR. PTO.]]=$B45,IF(DATOS_[[Check Periodo Ref.]:[Check Periodo Ref.]]="Dentro",DATOS_[Conc.Sal.13]))))), 0)</f>
        <v>0</v>
      </c>
      <c r="S46" s="250" t="n">
        <f aca="false" t="array" ref="S46:S46">IFERROR( MEDIAN((IF(DATOS_[[Sexo]:[Sexo]]=$B46,IF(DATOS_[[AGRUP. VALOR. PTO.]:[AGRUP. VALOR. PTO.]]=$B45,IF(DATOS_[[Check Periodo Ref.]:[Check Periodo Ref.]]="Dentro",DATOS_[Conc.Sal.14]))))), 0)</f>
        <v>0</v>
      </c>
      <c r="T46" s="250" t="n">
        <f aca="false" t="array" ref="T46:T46">IFERROR( MEDIAN((IF(DATOS_[[Sexo]:[Sexo]]=$B46,IF(DATOS_[[AGRUP. VALOR. PTO.]:[AGRUP. VALOR. PTO.]]=$B45,IF(DATOS_[[Check Periodo Ref.]:[Check Periodo Ref.]]="Dentro",DATOS_[Conc.Sal.15]))))), 0)</f>
        <v>0</v>
      </c>
      <c r="U46" s="250" t="n">
        <f aca="false" t="array" ref="U46:U46">IFERROR( MEDIAN((IF(DATOS_[[Sexo]:[Sexo]]=$B46,IF(DATOS_[[AGRUP. VALOR. PTO.]:[AGRUP. VALOR. PTO.]]=$B45,IF(DATOS_[[Check Periodo Ref.]:[Check Periodo Ref.]]="Dentro",DATOS_[Conc.Sal.16]))))), 0)</f>
        <v>0</v>
      </c>
      <c r="V46" s="250" t="n">
        <f aca="false" t="array" ref="V46:V46">IFERROR( MEDIAN((IF(DATOS_[[Sexo]:[Sexo]]=$B46,IF(DATOS_[[AGRUP. VALOR. PTO.]:[AGRUP. VALOR. PTO.]]=$B45,IF(DATOS_[[Check Periodo Ref.]:[Check Periodo Ref.]]="Dentro",DATOS_[Conc.Sal.17]))))), 0)</f>
        <v>0</v>
      </c>
      <c r="W46" s="250" t="n">
        <f aca="false" t="array" ref="W46:W46">IFERROR( MEDIAN((IF(DATOS_[[Sexo]:[Sexo]]=$B46,IF(DATOS_[[AGRUP. VALOR. PTO.]:[AGRUP. VALOR. PTO.]]=$B45,IF(DATOS_[[Check Periodo Ref.]:[Check Periodo Ref.]]="Dentro",DATOS_[Conc.Sal.18]))))), 0)</f>
        <v>0</v>
      </c>
      <c r="X46" s="250" t="n">
        <f aca="false" t="array" ref="X46:X46">IFERROR( MEDIAN((IF(DATOS_[[Sexo]:[Sexo]]=$B46,IF(DATOS_[[AGRUP. VALOR. PTO.]:[AGRUP. VALOR. PTO.]]=$B45,IF(DATOS_[[Check Periodo Ref.]:[Check Periodo Ref.]]="Dentro",DATOS_[Conc.Sal.19]))))), 0)</f>
        <v>0</v>
      </c>
      <c r="Y46" s="250" t="n">
        <f aca="false" t="array" ref="Y46:Y46">IFERROR( MEDIAN((IF(DATOS_[[Sexo]:[Sexo]]=$B46,IF(DATOS_[[AGRUP. VALOR. PTO.]:[AGRUP. VALOR. PTO.]]=$B45,IF(DATOS_[[Check Periodo Ref.]:[Check Periodo Ref.]]="Dentro",DATOS_[Conc.Sal.20]))))), 0)</f>
        <v>0</v>
      </c>
      <c r="Z46" s="250" t="n">
        <f aca="false" t="array" ref="Z46:Z46">IFERROR( MEDIAN((IF(DATOS_[[Sexo]:[Sexo]]=$B46,IF(DATOS_[[AGRUP. VALOR. PTO.]:[AGRUP. VALOR. PTO.]]=$B45,IF(DATOS_[[Check Periodo Ref.]:[Check Periodo Ref.]]="Dentro",DATOS_[Conc.Sal.21]))))), 0)</f>
        <v>0</v>
      </c>
      <c r="AA46" s="250" t="n">
        <f aca="false" t="array" ref="AA46:AA46">IFERROR( MEDIAN((IF(DATOS_[[Sexo]:[Sexo]]=$B46,IF(DATOS_[[AGRUP. VALOR. PTO.]:[AGRUP. VALOR. PTO.]]=$B45,IF(DATOS_[[Check Periodo Ref.]:[Check Periodo Ref.]]="Dentro",DATOS_[Conc.Sal.22]))))), 0)</f>
        <v>0</v>
      </c>
      <c r="AB46" s="250" t="n">
        <f aca="false" t="array" ref="AB46:AB46">IFERROR( MEDIAN((IF(DATOS_[[Sexo]:[Sexo]]=$B46,IF(DATOS_[[AGRUP. VALOR. PTO.]:[AGRUP. VALOR. PTO.]]=$B45,IF(DATOS_[[Check Periodo Ref.]:[Check Periodo Ref.]]="Dentro",DATOS_[Conc.Sal.23]))))), 0)</f>
        <v>0</v>
      </c>
      <c r="AC46" s="250" t="n">
        <f aca="false" t="array" ref="AC46:AC46">IFERROR( MEDIAN((IF(DATOS_[[Sexo]:[Sexo]]=$B46,IF(DATOS_[[AGRUP. VALOR. PTO.]:[AGRUP. VALOR. PTO.]]=$B45,IF(DATOS_[[Check Periodo Ref.]:[Check Periodo Ref.]]="Dentro",DATOS_[Conc.Sal.24]))))), 0)</f>
        <v>0</v>
      </c>
      <c r="AD46" s="250" t="n">
        <f aca="false" t="array" ref="AD46:AD46">IFERROR( MEDIAN((IF(DATOS_[[Sexo]:[Sexo]]=$B46,IF(DATOS_[[AGRUP. VALOR. PTO.]:[AGRUP. VALOR. PTO.]]=$B45,IF(DATOS_[[Check Periodo Ref.]:[Check Periodo Ref.]]="Dentro",DATOS_[Conc.Sal.25]))))), 0)</f>
        <v>0</v>
      </c>
      <c r="AE46" s="250" t="n">
        <f aca="false" t="array" ref="AE46:AE46">IFERROR( MEDIAN((IF(DATOS_[[Sexo]:[Sexo]]=$B46,IF(DATOS_[[AGRUP. VALOR. PTO.]:[AGRUP. VALOR. PTO.]]=$B45,IF(DATOS_[[Check Periodo Ref.]:[Check Periodo Ref.]]="Dentro",DATOS_[Conc.Sal.26]))))), 0)</f>
        <v>0</v>
      </c>
      <c r="AF46" s="250" t="n">
        <f aca="false" t="array" ref="AF46:AF46">IFERROR( MEDIAN((IF(DATOS_[[Sexo]:[Sexo]]=$B46,IF(DATOS_[[AGRUP. VALOR. PTO.]:[AGRUP. VALOR. PTO.]]=$B45,IF(DATOS_[[Check Periodo Ref.]:[Check Periodo Ref.]]="Dentro",DATOS_[Conc.Sal.27]))))), 0)</f>
        <v>0</v>
      </c>
      <c r="AG46" s="250" t="n">
        <f aca="false" t="array" ref="AG46:AG46">IFERROR( MEDIAN((IF(DATOS_[[Sexo]:[Sexo]]=$B46,IF(DATOS_[[AGRUP. VALOR. PTO.]:[AGRUP. VALOR. PTO.]]=$B45,IF(DATOS_[[Check Periodo Ref.]:[Check Periodo Ref.]]="Dentro",DATOS_[Conc.Sal.28]))))), 0)</f>
        <v>0</v>
      </c>
      <c r="AH46" s="250" t="n">
        <f aca="false" t="array" ref="AH46:AH46">IFERROR( MEDIAN((IF(DATOS_[[Sexo]:[Sexo]]=$B46,IF(DATOS_[[AGRUP. VALOR. PTO.]:[AGRUP. VALOR. PTO.]]=$B45,IF(DATOS_[[Check Periodo Ref.]:[Check Periodo Ref.]]="Dentro",DATOS_[Conc.Sal.29]))))), 0)</f>
        <v>0</v>
      </c>
      <c r="AI46" s="250" t="n">
        <f aca="false" t="array" ref="AI46:AI46">IFERROR( MEDIAN((IF(DATOS_[[Sexo]:[Sexo]]=$B46,IF(DATOS_[[AGRUP. VALOR. PTO.]:[AGRUP. VALOR. PTO.]]=$B45,IF(DATOS_[[Check Periodo Ref.]:[Check Periodo Ref.]]="Dentro",DATOS_[Conc.Sal.30]))))), 0)</f>
        <v>0</v>
      </c>
      <c r="AJ46" s="251" t="n">
        <f aca="false" t="array" ref="AJ46:AJ46">IFERROR( MEDIAN(IF(DATOS_[Sexo]=$B46,IF(DATOS_[AGRUP. VALOR. PTO.]=$B45,IF(DATOS_[Check Periodo Ref.]="Dentro",DATOS_[Tot COMPL.SAL Ef],0)))), 0)</f>
        <v>0</v>
      </c>
      <c r="AK46" s="252" t="n">
        <f aca="false" t="array" ref="AK46:AK46">IFERROR( MEDIAN(IF(DATOS_[Sexo]=$B46,IF(DATOS_[AGRUP. VALOR. PTO.]=$B45,IF(DATOS_[Check Periodo Ref.]="Dentro",DATOS_[TOTAL SALARIO Ef],0)))), 0)</f>
        <v>0</v>
      </c>
      <c r="AL46" s="259" t="n">
        <f aca="false" t="array" ref="AL46:AL46">IFERROR( MEDIAN((IF(DATOS_[[Sexo]:[Sexo]]=$B46,IF(DATOS_[[AGRUP. VALOR. PTO.]:[AGRUP. VALOR. PTO.]]=$B45,IF(DATOS_[[Check Periodo Ref.]:[Check Periodo Ref.]]="Dentro",DATOS_[C.Extra.01]))))), 0)</f>
        <v>0</v>
      </c>
      <c r="AM46" s="259" t="n">
        <f aca="false" t="array" ref="AM46:AM46">IFERROR( MEDIAN((IF(DATOS_[[Sexo]:[Sexo]]=$B46,IF(DATOS_[[AGRUP. VALOR. PTO.]:[AGRUP. VALOR. PTO.]]=$B45,IF(DATOS_[[Check Periodo Ref.]:[Check Periodo Ref.]]="Dentro",DATOS_[C.Extra.02]))))), 0)</f>
        <v>0</v>
      </c>
      <c r="AN46" s="259" t="n">
        <f aca="false" t="array" ref="AN46:AN46">IFERROR( MEDIAN((IF(DATOS_[[Sexo]:[Sexo]]=$B46,IF(DATOS_[[AGRUP. VALOR. PTO.]:[AGRUP. VALOR. PTO.]]=$B45,IF(DATOS_[[Check Periodo Ref.]:[Check Periodo Ref.]]="Dentro",DATOS_[C.Extra.03]))))), 0)</f>
        <v>0</v>
      </c>
      <c r="AO46" s="259" t="n">
        <f aca="false" t="array" ref="AO46:AO46">IFERROR( MEDIAN((IF(DATOS_[[Sexo]:[Sexo]]=$B46,IF(DATOS_[[AGRUP. VALOR. PTO.]:[AGRUP. VALOR. PTO.]]=$B45,IF(DATOS_[[Check Periodo Ref.]:[Check Periodo Ref.]]="Dentro",DATOS_[C.Extra.04]))))), 0)</f>
        <v>0</v>
      </c>
      <c r="AP46" s="259" t="n">
        <f aca="false" t="array" ref="AP46:AP46">IFERROR( MEDIAN((IF(DATOS_[[Sexo]:[Sexo]]=$B46,IF(DATOS_[[AGRUP. VALOR. PTO.]:[AGRUP. VALOR. PTO.]]=$B45,IF(DATOS_[[Check Periodo Ref.]:[Check Periodo Ref.]]="Dentro",DATOS_[C.Extra.05]))))), 0)</f>
        <v>0</v>
      </c>
      <c r="AQ46" s="254" t="n">
        <f aca="false" t="array" ref="AQ46:AQ46">IFERROR( MEDIAN(IF(DATOS_[Sexo]=$B46,IF(DATOS_[AGRUP. VALOR. PTO.]=$B45,IF(DATOS_[Check Periodo Ref.]="Dentro",DATOS_[Tot Extrasalarial Ef],0)))), 0)</f>
        <v>0</v>
      </c>
      <c r="AR46" s="255" t="n">
        <f aca="false" t="array" ref="AR46:AR46">IFERROR( MEDIAN(IF(DATOS_[Sexo]=$B46,IF(DATOS_[AGRUP. VALOR. PTO.]=$B45,IF(DATOS_[Check Periodo Ref.]="Dentro",DATOS_[TOTAL Retrib Ef],0)))), 0)</f>
        <v>0</v>
      </c>
    </row>
    <row r="47" customFormat="false" ht="14.25" hidden="false" customHeight="false" outlineLevel="0" collapsed="false">
      <c r="A47" s="217" t="str">
        <f aca="false">+A46</f>
        <v>[ocultar]</v>
      </c>
      <c r="B47" s="246" t="s">
        <v>372</v>
      </c>
      <c r="C47" s="247" t="n">
        <f aca="false" t="array" ref="C47:C47">SUM(IF($B47=DATOS_[Sexo], IF($B45=DATOS_[AGRUP. VALOR. PTO.], IF("Dentro"=DATOS_[Check Periodo Ref.], 1/(COUNTIFS(DATOS_[Sexo],$B47,DATOS_[AGRUP. VALOR. PTO.],$B45,DATOS_[Check Periodo Ref.],"Dentro",DATOS_[id],DATOS_[id]))))))</f>
        <v>0</v>
      </c>
      <c r="D47" s="248" t="n">
        <f aca="false">COUNTIFS(DATOS_[AGRUP. VALOR. PTO.],$B45,DATOS_[Sexo],$B47,DATOS_[Check Periodo Ref.],"Dentro")</f>
        <v>0</v>
      </c>
      <c r="E47" s="249" t="n">
        <f aca="false" t="array" ref="E47:E47">IFERROR( MEDIAN(IF(DATOS_[Sexo]=$B47,IF(DATOS_[AGRUP. VALOR. PTO.]=$B45,IF(DATOS_[Check Periodo Ref.]="Dentro",DATOS_[SALARIO BASE Ef],0)))), 0)</f>
        <v>0</v>
      </c>
      <c r="F47" s="250" t="n">
        <f aca="false" t="array" ref="F47:F47">IFERROR( MEDIAN((IF(DATOS_[[Sexo]:[Sexo]]=$B47,IF(DATOS_[[AGRUP. VALOR. PTO.]:[AGRUP. VALOR. PTO.]]=$B45,IF(DATOS_[[Check Periodo Ref.]:[Check Periodo Ref.]]="Dentro",DATOS_[Conc.Sal.01]))))), 0)</f>
        <v>0</v>
      </c>
      <c r="G47" s="250" t="n">
        <f aca="false" t="array" ref="G47:G47">IFERROR( MEDIAN((IF(DATOS_[[Sexo]:[Sexo]]=$B47,IF(DATOS_[[AGRUP. VALOR. PTO.]:[AGRUP. VALOR. PTO.]]=$B45,IF(DATOS_[[Check Periodo Ref.]:[Check Periodo Ref.]]="Dentro",DATOS_[Conc.Sal.02]))))), 0)</f>
        <v>0</v>
      </c>
      <c r="H47" s="250" t="n">
        <f aca="false" t="array" ref="H47:H47">IFERROR( MEDIAN((IF(DATOS_[[Sexo]:[Sexo]]=$B47,IF(DATOS_[[AGRUP. VALOR. PTO.]:[AGRUP. VALOR. PTO.]]=$B45,IF(DATOS_[[Check Periodo Ref.]:[Check Periodo Ref.]]="Dentro",DATOS_[Conc.Sal.03]))))), 0)</f>
        <v>0</v>
      </c>
      <c r="I47" s="250" t="n">
        <f aca="false" t="array" ref="I47:I47">IFERROR( MEDIAN((IF(DATOS_[[Sexo]:[Sexo]]=$B47,IF(DATOS_[[AGRUP. VALOR. PTO.]:[AGRUP. VALOR. PTO.]]=$B45,IF(DATOS_[[Check Periodo Ref.]:[Check Periodo Ref.]]="Dentro",DATOS_[Conc.Sal.04]))))), 0)</f>
        <v>0</v>
      </c>
      <c r="J47" s="250" t="n">
        <f aca="false" t="array" ref="J47:J47">IFERROR( MEDIAN((IF(DATOS_[[Sexo]:[Sexo]]=$B47,IF(DATOS_[[AGRUP. VALOR. PTO.]:[AGRUP. VALOR. PTO.]]=$B45,IF(DATOS_[[Check Periodo Ref.]:[Check Periodo Ref.]]="Dentro",DATOS_[Conc.Sal.05]))))), 0)</f>
        <v>0</v>
      </c>
      <c r="K47" s="250" t="n">
        <f aca="false" t="array" ref="K47:K47">IFERROR( MEDIAN((IF(DATOS_[[Sexo]:[Sexo]]=$B47,IF(DATOS_[[AGRUP. VALOR. PTO.]:[AGRUP. VALOR. PTO.]]=$B45,IF(DATOS_[[Check Periodo Ref.]:[Check Periodo Ref.]]="Dentro",DATOS_[Conc.Sal.06]))))), 0)</f>
        <v>0</v>
      </c>
      <c r="L47" s="250" t="n">
        <f aca="false" t="array" ref="L47:L47">IFERROR( MEDIAN((IF(DATOS_[[Sexo]:[Sexo]]=$B47,IF(DATOS_[[AGRUP. VALOR. PTO.]:[AGRUP. VALOR. PTO.]]=$B45,IF(DATOS_[[Check Periodo Ref.]:[Check Periodo Ref.]]="Dentro",DATOS_[Conc.Sal.07]))))), 0)</f>
        <v>0</v>
      </c>
      <c r="M47" s="250" t="n">
        <f aca="false" t="array" ref="M47:M47">IFERROR( MEDIAN((IF(DATOS_[[Sexo]:[Sexo]]=$B47,IF(DATOS_[[AGRUP. VALOR. PTO.]:[AGRUP. VALOR. PTO.]]=$B45,IF(DATOS_[[Check Periodo Ref.]:[Check Periodo Ref.]]="Dentro",DATOS_[Conc.Sal.08]))))), 0)</f>
        <v>0</v>
      </c>
      <c r="N47" s="250" t="n">
        <f aca="false" t="array" ref="N47:N47">IFERROR( MEDIAN((IF(DATOS_[[Sexo]:[Sexo]]=$B47,IF(DATOS_[[AGRUP. VALOR. PTO.]:[AGRUP. VALOR. PTO.]]=$B45,IF(DATOS_[[Check Periodo Ref.]:[Check Periodo Ref.]]="Dentro",DATOS_[Conc.Sal.09]))))), 0)</f>
        <v>0</v>
      </c>
      <c r="O47" s="250" t="n">
        <f aca="false" t="array" ref="O47:O47">IFERROR( MEDIAN((IF(DATOS_[[Sexo]:[Sexo]]=$B47,IF(DATOS_[[AGRUP. VALOR. PTO.]:[AGRUP. VALOR. PTO.]]=$B45,IF(DATOS_[[Check Periodo Ref.]:[Check Periodo Ref.]]="Dentro",DATOS_[Conc.Sal.10]))))), 0)</f>
        <v>0</v>
      </c>
      <c r="P47" s="250" t="n">
        <f aca="false" t="array" ref="P47:P47">IFERROR( MEDIAN((IF(DATOS_[[Sexo]:[Sexo]]=$B47,IF(DATOS_[[AGRUP. VALOR. PTO.]:[AGRUP. VALOR. PTO.]]=$B45,IF(DATOS_[[Check Periodo Ref.]:[Check Periodo Ref.]]="Dentro",DATOS_[Conc.Sal.11]))))), 0)</f>
        <v>0</v>
      </c>
      <c r="Q47" s="250" t="n">
        <f aca="false" t="array" ref="Q47:Q47">IFERROR( MEDIAN((IF(DATOS_[[Sexo]:[Sexo]]=$B47,IF(DATOS_[[AGRUP. VALOR. PTO.]:[AGRUP. VALOR. PTO.]]=$B45,IF(DATOS_[[Check Periodo Ref.]:[Check Periodo Ref.]]="Dentro",DATOS_[Conc.Sal.12]))))), 0)</f>
        <v>0</v>
      </c>
      <c r="R47" s="250" t="n">
        <f aca="false" t="array" ref="R47:R47">IFERROR( MEDIAN((IF(DATOS_[[Sexo]:[Sexo]]=$B47,IF(DATOS_[[AGRUP. VALOR. PTO.]:[AGRUP. VALOR. PTO.]]=$B45,IF(DATOS_[[Check Periodo Ref.]:[Check Periodo Ref.]]="Dentro",DATOS_[Conc.Sal.13]))))), 0)</f>
        <v>0</v>
      </c>
      <c r="S47" s="250" t="n">
        <f aca="false" t="array" ref="S47:S47">IFERROR( MEDIAN((IF(DATOS_[[Sexo]:[Sexo]]=$B47,IF(DATOS_[[AGRUP. VALOR. PTO.]:[AGRUP. VALOR. PTO.]]=$B45,IF(DATOS_[[Check Periodo Ref.]:[Check Periodo Ref.]]="Dentro",DATOS_[Conc.Sal.14]))))), 0)</f>
        <v>0</v>
      </c>
      <c r="T47" s="250" t="n">
        <f aca="false" t="array" ref="T47:T47">IFERROR( MEDIAN((IF(DATOS_[[Sexo]:[Sexo]]=$B47,IF(DATOS_[[AGRUP. VALOR. PTO.]:[AGRUP. VALOR. PTO.]]=$B45,IF(DATOS_[[Check Periodo Ref.]:[Check Periodo Ref.]]="Dentro",DATOS_[Conc.Sal.15]))))), 0)</f>
        <v>0</v>
      </c>
      <c r="U47" s="250" t="n">
        <f aca="false" t="array" ref="U47:U47">IFERROR( MEDIAN((IF(DATOS_[[Sexo]:[Sexo]]=$B47,IF(DATOS_[[AGRUP. VALOR. PTO.]:[AGRUP. VALOR. PTO.]]=$B45,IF(DATOS_[[Check Periodo Ref.]:[Check Periodo Ref.]]="Dentro",DATOS_[Conc.Sal.16]))))), 0)</f>
        <v>0</v>
      </c>
      <c r="V47" s="250" t="n">
        <f aca="false" t="array" ref="V47:V47">IFERROR( MEDIAN((IF(DATOS_[[Sexo]:[Sexo]]=$B47,IF(DATOS_[[AGRUP. VALOR. PTO.]:[AGRUP. VALOR. PTO.]]=$B45,IF(DATOS_[[Check Periodo Ref.]:[Check Periodo Ref.]]="Dentro",DATOS_[Conc.Sal.17]))))), 0)</f>
        <v>0</v>
      </c>
      <c r="W47" s="250" t="n">
        <f aca="false" t="array" ref="W47:W47">IFERROR( MEDIAN((IF(DATOS_[[Sexo]:[Sexo]]=$B47,IF(DATOS_[[AGRUP. VALOR. PTO.]:[AGRUP. VALOR. PTO.]]=$B45,IF(DATOS_[[Check Periodo Ref.]:[Check Periodo Ref.]]="Dentro",DATOS_[Conc.Sal.18]))))), 0)</f>
        <v>0</v>
      </c>
      <c r="X47" s="250" t="n">
        <f aca="false" t="array" ref="X47:X47">IFERROR( MEDIAN((IF(DATOS_[[Sexo]:[Sexo]]=$B47,IF(DATOS_[[AGRUP. VALOR. PTO.]:[AGRUP. VALOR. PTO.]]=$B45,IF(DATOS_[[Check Periodo Ref.]:[Check Periodo Ref.]]="Dentro",DATOS_[Conc.Sal.19]))))), 0)</f>
        <v>0</v>
      </c>
      <c r="Y47" s="250" t="n">
        <f aca="false" t="array" ref="Y47:Y47">IFERROR( MEDIAN((IF(DATOS_[[Sexo]:[Sexo]]=$B47,IF(DATOS_[[AGRUP. VALOR. PTO.]:[AGRUP. VALOR. PTO.]]=$B45,IF(DATOS_[[Check Periodo Ref.]:[Check Periodo Ref.]]="Dentro",DATOS_[Conc.Sal.20]))))), 0)</f>
        <v>0</v>
      </c>
      <c r="Z47" s="250" t="n">
        <f aca="false" t="array" ref="Z47:Z47">IFERROR( MEDIAN((IF(DATOS_[[Sexo]:[Sexo]]=$B47,IF(DATOS_[[AGRUP. VALOR. PTO.]:[AGRUP. VALOR. PTO.]]=$B45,IF(DATOS_[[Check Periodo Ref.]:[Check Periodo Ref.]]="Dentro",DATOS_[Conc.Sal.21]))))), 0)</f>
        <v>0</v>
      </c>
      <c r="AA47" s="250" t="n">
        <f aca="false" t="array" ref="AA47:AA47">IFERROR( MEDIAN((IF(DATOS_[[Sexo]:[Sexo]]=$B47,IF(DATOS_[[AGRUP. VALOR. PTO.]:[AGRUP. VALOR. PTO.]]=$B45,IF(DATOS_[[Check Periodo Ref.]:[Check Periodo Ref.]]="Dentro",DATOS_[Conc.Sal.22]))))), 0)</f>
        <v>0</v>
      </c>
      <c r="AB47" s="250" t="n">
        <f aca="false" t="array" ref="AB47:AB47">IFERROR( MEDIAN((IF(DATOS_[[Sexo]:[Sexo]]=$B47,IF(DATOS_[[AGRUP. VALOR. PTO.]:[AGRUP. VALOR. PTO.]]=$B45,IF(DATOS_[[Check Periodo Ref.]:[Check Periodo Ref.]]="Dentro",DATOS_[Conc.Sal.23]))))), 0)</f>
        <v>0</v>
      </c>
      <c r="AC47" s="250" t="n">
        <f aca="false" t="array" ref="AC47:AC47">IFERROR( MEDIAN((IF(DATOS_[[Sexo]:[Sexo]]=$B47,IF(DATOS_[[AGRUP. VALOR. PTO.]:[AGRUP. VALOR. PTO.]]=$B45,IF(DATOS_[[Check Periodo Ref.]:[Check Periodo Ref.]]="Dentro",DATOS_[Conc.Sal.24]))))), 0)</f>
        <v>0</v>
      </c>
      <c r="AD47" s="250" t="n">
        <f aca="false" t="array" ref="AD47:AD47">IFERROR( MEDIAN((IF(DATOS_[[Sexo]:[Sexo]]=$B47,IF(DATOS_[[AGRUP. VALOR. PTO.]:[AGRUP. VALOR. PTO.]]=$B45,IF(DATOS_[[Check Periodo Ref.]:[Check Periodo Ref.]]="Dentro",DATOS_[Conc.Sal.25]))))), 0)</f>
        <v>0</v>
      </c>
      <c r="AE47" s="250" t="n">
        <f aca="false" t="array" ref="AE47:AE47">IFERROR( MEDIAN((IF(DATOS_[[Sexo]:[Sexo]]=$B47,IF(DATOS_[[AGRUP. VALOR. PTO.]:[AGRUP. VALOR. PTO.]]=$B45,IF(DATOS_[[Check Periodo Ref.]:[Check Periodo Ref.]]="Dentro",DATOS_[Conc.Sal.26]))))), 0)</f>
        <v>0</v>
      </c>
      <c r="AF47" s="250" t="n">
        <f aca="false" t="array" ref="AF47:AF47">IFERROR( MEDIAN((IF(DATOS_[[Sexo]:[Sexo]]=$B47,IF(DATOS_[[AGRUP. VALOR. PTO.]:[AGRUP. VALOR. PTO.]]=$B45,IF(DATOS_[[Check Periodo Ref.]:[Check Periodo Ref.]]="Dentro",DATOS_[Conc.Sal.27]))))), 0)</f>
        <v>0</v>
      </c>
      <c r="AG47" s="250" t="n">
        <f aca="false" t="array" ref="AG47:AG47">IFERROR( MEDIAN((IF(DATOS_[[Sexo]:[Sexo]]=$B47,IF(DATOS_[[AGRUP. VALOR. PTO.]:[AGRUP. VALOR. PTO.]]=$B45,IF(DATOS_[[Check Periodo Ref.]:[Check Periodo Ref.]]="Dentro",DATOS_[Conc.Sal.28]))))), 0)</f>
        <v>0</v>
      </c>
      <c r="AH47" s="250" t="n">
        <f aca="false" t="array" ref="AH47:AH47">IFERROR( MEDIAN((IF(DATOS_[[Sexo]:[Sexo]]=$B47,IF(DATOS_[[AGRUP. VALOR. PTO.]:[AGRUP. VALOR. PTO.]]=$B45,IF(DATOS_[[Check Periodo Ref.]:[Check Periodo Ref.]]="Dentro",DATOS_[Conc.Sal.29]))))), 0)</f>
        <v>0</v>
      </c>
      <c r="AI47" s="250" t="n">
        <f aca="false" t="array" ref="AI47:AI47">IFERROR( MEDIAN((IF(DATOS_[[Sexo]:[Sexo]]=$B47,IF(DATOS_[[AGRUP. VALOR. PTO.]:[AGRUP. VALOR. PTO.]]=$B45,IF(DATOS_[[Check Periodo Ref.]:[Check Periodo Ref.]]="Dentro",DATOS_[Conc.Sal.30]))))), 0)</f>
        <v>0</v>
      </c>
      <c r="AJ47" s="251" t="n">
        <f aca="false" t="array" ref="AJ47:AJ47">IFERROR( MEDIAN(IF(DATOS_[Sexo]=$B47,IF(DATOS_[AGRUP. VALOR. PTO.]=$B45,IF(DATOS_[Check Periodo Ref.]="Dentro",DATOS_[Tot COMPL.SAL Ef],0)))), 0)</f>
        <v>0</v>
      </c>
      <c r="AK47" s="252" t="n">
        <f aca="false" t="array" ref="AK47:AK47">IFERROR( MEDIAN(IF(DATOS_[Sexo]=$B47,IF(DATOS_[AGRUP. VALOR. PTO.]=$B45,IF(DATOS_[Check Periodo Ref.]="Dentro",DATOS_[TOTAL SALARIO Ef],0)))), 0)</f>
        <v>0</v>
      </c>
      <c r="AL47" s="259" t="n">
        <f aca="false" t="array" ref="AL47:AL47">IFERROR( MEDIAN((IF(DATOS_[[Sexo]:[Sexo]]=$B47,IF(DATOS_[[AGRUP. VALOR. PTO.]:[AGRUP. VALOR. PTO.]]=$B45,IF(DATOS_[[Check Periodo Ref.]:[Check Periodo Ref.]]="Dentro",DATOS_[C.Extra.01]))))), 0)</f>
        <v>0</v>
      </c>
      <c r="AM47" s="259" t="n">
        <f aca="false" t="array" ref="AM47:AM47">IFERROR( MEDIAN((IF(DATOS_[[Sexo]:[Sexo]]=$B47,IF(DATOS_[[AGRUP. VALOR. PTO.]:[AGRUP. VALOR. PTO.]]=$B45,IF(DATOS_[[Check Periodo Ref.]:[Check Periodo Ref.]]="Dentro",DATOS_[C.Extra.02]))))), 0)</f>
        <v>0</v>
      </c>
      <c r="AN47" s="259" t="n">
        <f aca="false" t="array" ref="AN47:AN47">IFERROR( MEDIAN((IF(DATOS_[[Sexo]:[Sexo]]=$B47,IF(DATOS_[[AGRUP. VALOR. PTO.]:[AGRUP. VALOR. PTO.]]=$B45,IF(DATOS_[[Check Periodo Ref.]:[Check Periodo Ref.]]="Dentro",DATOS_[C.Extra.03]))))), 0)</f>
        <v>0</v>
      </c>
      <c r="AO47" s="259" t="n">
        <f aca="false" t="array" ref="AO47:AO47">IFERROR( MEDIAN((IF(DATOS_[[Sexo]:[Sexo]]=$B47,IF(DATOS_[[AGRUP. VALOR. PTO.]:[AGRUP. VALOR. PTO.]]=$B45,IF(DATOS_[[Check Periodo Ref.]:[Check Periodo Ref.]]="Dentro",DATOS_[C.Extra.04]))))), 0)</f>
        <v>0</v>
      </c>
      <c r="AP47" s="259" t="n">
        <f aca="false" t="array" ref="AP47:AP47">IFERROR( MEDIAN((IF(DATOS_[[Sexo]:[Sexo]]=$B47,IF(DATOS_[[AGRUP. VALOR. PTO.]:[AGRUP. VALOR. PTO.]]=$B45,IF(DATOS_[[Check Periodo Ref.]:[Check Periodo Ref.]]="Dentro",DATOS_[C.Extra.05]))))), 0)</f>
        <v>0</v>
      </c>
      <c r="AQ47" s="254" t="n">
        <f aca="false" t="array" ref="AQ47:AQ47">IFERROR( MEDIAN(IF(DATOS_[Sexo]=$B47,IF(DATOS_[AGRUP. VALOR. PTO.]=$B45,IF(DATOS_[Check Periodo Ref.]="Dentro",DATOS_[Tot Extrasalarial Ef],0)))), 0)</f>
        <v>0</v>
      </c>
      <c r="AR47" s="255" t="n">
        <f aca="false" t="array" ref="AR47:AR47">IFERROR( MEDIAN(IF(DATOS_[Sexo]=$B47,IF(DATOS_[AGRUP. VALOR. PTO.]=$B45,IF(DATOS_[Check Periodo Ref.]="Dentro",DATOS_[TOTAL Retrib Ef],0)))), 0)</f>
        <v>0</v>
      </c>
    </row>
    <row r="48" customFormat="false" ht="15.75" hidden="false" customHeight="false" outlineLevel="0" collapsed="false">
      <c r="A48" s="217" t="str">
        <f aca="false">+A49</f>
        <v>[ocultar]</v>
      </c>
      <c r="B48" s="235" t="s">
        <v>202</v>
      </c>
      <c r="C48" s="236"/>
      <c r="D48" s="237"/>
      <c r="E48" s="238" t="str">
        <f aca="false">IFERROR((E49-E50)/E49,"")</f>
        <v/>
      </c>
      <c r="F48" s="239" t="str">
        <f aca="false">IFERROR((F49-F50)/F49,"")</f>
        <v/>
      </c>
      <c r="G48" s="239" t="str">
        <f aca="false">IFERROR((G49-G50)/G49,"")</f>
        <v/>
      </c>
      <c r="H48" s="239" t="str">
        <f aca="false">IFERROR((H49-H50)/H49,"")</f>
        <v/>
      </c>
      <c r="I48" s="239"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40" t="str">
        <f aca="false">IFERROR((V49-V50)/V49,"")</f>
        <v/>
      </c>
      <c r="W48" s="240" t="str">
        <f aca="false">IFERROR((W49-W50)/W49,"")</f>
        <v/>
      </c>
      <c r="X48" s="240" t="str">
        <f aca="false">IFERROR((X49-X50)/X49,"")</f>
        <v/>
      </c>
      <c r="Y48" s="240"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1" t="str">
        <f aca="false">IFERROR((AJ49-AJ50)/AJ49,"")</f>
        <v/>
      </c>
      <c r="AK48" s="242" t="str">
        <f aca="false">IFERROR((AK49-AK50)/AK49,"")</f>
        <v/>
      </c>
      <c r="AL48" s="243" t="str">
        <f aca="false">IFERROR((AL49-AL50)/AL49,"")</f>
        <v/>
      </c>
      <c r="AM48" s="243" t="str">
        <f aca="false">IFERROR((AM49-AM50)/AM49,"")</f>
        <v/>
      </c>
      <c r="AN48" s="243" t="str">
        <f aca="false">IFERROR((AN49-AN50)/AN49,"")</f>
        <v/>
      </c>
      <c r="AO48" s="243" t="str">
        <f aca="false">IFERROR((AO49-AO50)/AO49,"")</f>
        <v/>
      </c>
      <c r="AP48" s="243" t="str">
        <f aca="false">IFERROR((AP49-AP50)/AP49,"")</f>
        <v/>
      </c>
      <c r="AQ48" s="244" t="str">
        <f aca="false">IFERROR((AQ49-AQ50)/AQ49,"")</f>
        <v/>
      </c>
      <c r="AR48" s="245" t="str">
        <f aca="false">IFERROR((AR49-AR50)/AR49,"")</f>
        <v/>
      </c>
    </row>
    <row r="49" customFormat="false" ht="14.25" hidden="false" customHeight="false" outlineLevel="0" collapsed="false">
      <c r="A49" s="217" t="str">
        <f aca="false">+IF(C49+C50=0,"[ocultar]","")</f>
        <v>[ocultar]</v>
      </c>
      <c r="B49" s="246" t="s">
        <v>371</v>
      </c>
      <c r="C49" s="247" t="n">
        <f aca="false" t="array" ref="C49:C49">SUM(IF($B49=DATOS_[Sexo], IF($B48=DATOS_[AGRUP. VALOR. PTO.], IF("Dentro"=DATOS_[Check Periodo Ref.], 1/(COUNTIFS(DATOS_[Sexo],$B49,DATOS_[AGRUP. VALOR. PTO.],$B48,DATOS_[Check Periodo Ref.],"Dentro",DATOS_[id],DATOS_[id]))))))</f>
        <v>0</v>
      </c>
      <c r="D49" s="248" t="n">
        <f aca="false">COUNTIFS(DATOS_[AGRUP. VALOR. PTO.],$B48,DATOS_[Sexo],$B49,DATOS_[Check Periodo Ref.],"Dentro")</f>
        <v>0</v>
      </c>
      <c r="E49" s="249" t="n">
        <f aca="false" t="array" ref="E49:E49">IFERROR( MEDIAN(IF(DATOS_[Sexo]=$B49,IF(DATOS_[AGRUP. VALOR. PTO.]=$B48,IF(DATOS_[Check Periodo Ref.]="Dentro",DATOS_[SALARIO BASE Ef],0)))), 0)</f>
        <v>0</v>
      </c>
      <c r="F49" s="250" t="n">
        <f aca="false" t="array" ref="F49:F49">IFERROR( MEDIAN((IF(DATOS_[[Sexo]:[Sexo]]=$B49,IF(DATOS_[[AGRUP. VALOR. PTO.]:[AGRUP. VALOR. PTO.]]=$B48,IF(DATOS_[[Check Periodo Ref.]:[Check Periodo Ref.]]="Dentro",DATOS_[Conc.Sal.01]))))), 0)</f>
        <v>0</v>
      </c>
      <c r="G49" s="250" t="n">
        <f aca="false" t="array" ref="G49:G49">IFERROR( MEDIAN((IF(DATOS_[[Sexo]:[Sexo]]=$B49,IF(DATOS_[[AGRUP. VALOR. PTO.]:[AGRUP. VALOR. PTO.]]=$B48,IF(DATOS_[[Check Periodo Ref.]:[Check Periodo Ref.]]="Dentro",DATOS_[Conc.Sal.02]))))), 0)</f>
        <v>0</v>
      </c>
      <c r="H49" s="250" t="n">
        <f aca="false" t="array" ref="H49:H49">IFERROR( MEDIAN((IF(DATOS_[[Sexo]:[Sexo]]=$B49,IF(DATOS_[[AGRUP. VALOR. PTO.]:[AGRUP. VALOR. PTO.]]=$B48,IF(DATOS_[[Check Periodo Ref.]:[Check Periodo Ref.]]="Dentro",DATOS_[Conc.Sal.03]))))), 0)</f>
        <v>0</v>
      </c>
      <c r="I49" s="250" t="n">
        <f aca="false" t="array" ref="I49:I49">IFERROR( MEDIAN((IF(DATOS_[[Sexo]:[Sexo]]=$B49,IF(DATOS_[[AGRUP. VALOR. PTO.]:[AGRUP. VALOR. PTO.]]=$B48,IF(DATOS_[[Check Periodo Ref.]:[Check Periodo Ref.]]="Dentro",DATOS_[Conc.Sal.04]))))), 0)</f>
        <v>0</v>
      </c>
      <c r="J49" s="250" t="n">
        <f aca="false" t="array" ref="J49:J49">IFERROR( MEDIAN((IF(DATOS_[[Sexo]:[Sexo]]=$B49,IF(DATOS_[[AGRUP. VALOR. PTO.]:[AGRUP. VALOR. PTO.]]=$B48,IF(DATOS_[[Check Periodo Ref.]:[Check Periodo Ref.]]="Dentro",DATOS_[Conc.Sal.05]))))), 0)</f>
        <v>0</v>
      </c>
      <c r="K49" s="250" t="n">
        <f aca="false" t="array" ref="K49:K49">IFERROR( MEDIAN((IF(DATOS_[[Sexo]:[Sexo]]=$B49,IF(DATOS_[[AGRUP. VALOR. PTO.]:[AGRUP. VALOR. PTO.]]=$B48,IF(DATOS_[[Check Periodo Ref.]:[Check Periodo Ref.]]="Dentro",DATOS_[Conc.Sal.06]))))), 0)</f>
        <v>0</v>
      </c>
      <c r="L49" s="250" t="n">
        <f aca="false" t="array" ref="L49:L49">IFERROR( MEDIAN((IF(DATOS_[[Sexo]:[Sexo]]=$B49,IF(DATOS_[[AGRUP. VALOR. PTO.]:[AGRUP. VALOR. PTO.]]=$B48,IF(DATOS_[[Check Periodo Ref.]:[Check Periodo Ref.]]="Dentro",DATOS_[Conc.Sal.07]))))), 0)</f>
        <v>0</v>
      </c>
      <c r="M49" s="250" t="n">
        <f aca="false" t="array" ref="M49:M49">IFERROR( MEDIAN((IF(DATOS_[[Sexo]:[Sexo]]=$B49,IF(DATOS_[[AGRUP. VALOR. PTO.]:[AGRUP. VALOR. PTO.]]=$B48,IF(DATOS_[[Check Periodo Ref.]:[Check Periodo Ref.]]="Dentro",DATOS_[Conc.Sal.08]))))), 0)</f>
        <v>0</v>
      </c>
      <c r="N49" s="250" t="n">
        <f aca="false" t="array" ref="N49:N49">IFERROR( MEDIAN((IF(DATOS_[[Sexo]:[Sexo]]=$B49,IF(DATOS_[[AGRUP. VALOR. PTO.]:[AGRUP. VALOR. PTO.]]=$B48,IF(DATOS_[[Check Periodo Ref.]:[Check Periodo Ref.]]="Dentro",DATOS_[Conc.Sal.09]))))), 0)</f>
        <v>0</v>
      </c>
      <c r="O49" s="250" t="n">
        <f aca="false" t="array" ref="O49:O49">IFERROR( MEDIAN((IF(DATOS_[[Sexo]:[Sexo]]=$B49,IF(DATOS_[[AGRUP. VALOR. PTO.]:[AGRUP. VALOR. PTO.]]=$B48,IF(DATOS_[[Check Periodo Ref.]:[Check Periodo Ref.]]="Dentro",DATOS_[Conc.Sal.10]))))), 0)</f>
        <v>0</v>
      </c>
      <c r="P49" s="250" t="n">
        <f aca="false" t="array" ref="P49:P49">IFERROR( MEDIAN((IF(DATOS_[[Sexo]:[Sexo]]=$B49,IF(DATOS_[[AGRUP. VALOR. PTO.]:[AGRUP. VALOR. PTO.]]=$B48,IF(DATOS_[[Check Periodo Ref.]:[Check Periodo Ref.]]="Dentro",DATOS_[Conc.Sal.11]))))), 0)</f>
        <v>0</v>
      </c>
      <c r="Q49" s="250" t="n">
        <f aca="false" t="array" ref="Q49:Q49">IFERROR( MEDIAN((IF(DATOS_[[Sexo]:[Sexo]]=$B49,IF(DATOS_[[AGRUP. VALOR. PTO.]:[AGRUP. VALOR. PTO.]]=$B48,IF(DATOS_[[Check Periodo Ref.]:[Check Periodo Ref.]]="Dentro",DATOS_[Conc.Sal.12]))))), 0)</f>
        <v>0</v>
      </c>
      <c r="R49" s="250" t="n">
        <f aca="false" t="array" ref="R49:R49">IFERROR( MEDIAN((IF(DATOS_[[Sexo]:[Sexo]]=$B49,IF(DATOS_[[AGRUP. VALOR. PTO.]:[AGRUP. VALOR. PTO.]]=$B48,IF(DATOS_[[Check Periodo Ref.]:[Check Periodo Ref.]]="Dentro",DATOS_[Conc.Sal.13]))))), 0)</f>
        <v>0</v>
      </c>
      <c r="S49" s="250" t="n">
        <f aca="false" t="array" ref="S49:S49">IFERROR( MEDIAN((IF(DATOS_[[Sexo]:[Sexo]]=$B49,IF(DATOS_[[AGRUP. VALOR. PTO.]:[AGRUP. VALOR. PTO.]]=$B48,IF(DATOS_[[Check Periodo Ref.]:[Check Periodo Ref.]]="Dentro",DATOS_[Conc.Sal.14]))))), 0)</f>
        <v>0</v>
      </c>
      <c r="T49" s="250" t="n">
        <f aca="false" t="array" ref="T49:T49">IFERROR( MEDIAN((IF(DATOS_[[Sexo]:[Sexo]]=$B49,IF(DATOS_[[AGRUP. VALOR. PTO.]:[AGRUP. VALOR. PTO.]]=$B48,IF(DATOS_[[Check Periodo Ref.]:[Check Periodo Ref.]]="Dentro",DATOS_[Conc.Sal.15]))))), 0)</f>
        <v>0</v>
      </c>
      <c r="U49" s="250" t="n">
        <f aca="false" t="array" ref="U49:U49">IFERROR( MEDIAN((IF(DATOS_[[Sexo]:[Sexo]]=$B49,IF(DATOS_[[AGRUP. VALOR. PTO.]:[AGRUP. VALOR. PTO.]]=$B48,IF(DATOS_[[Check Periodo Ref.]:[Check Periodo Ref.]]="Dentro",DATOS_[Conc.Sal.16]))))), 0)</f>
        <v>0</v>
      </c>
      <c r="V49" s="250" t="n">
        <f aca="false" t="array" ref="V49:V49">IFERROR( MEDIAN((IF(DATOS_[[Sexo]:[Sexo]]=$B49,IF(DATOS_[[AGRUP. VALOR. PTO.]:[AGRUP. VALOR. PTO.]]=$B48,IF(DATOS_[[Check Periodo Ref.]:[Check Periodo Ref.]]="Dentro",DATOS_[Conc.Sal.17]))))), 0)</f>
        <v>0</v>
      </c>
      <c r="W49" s="250" t="n">
        <f aca="false" t="array" ref="W49:W49">IFERROR( MEDIAN((IF(DATOS_[[Sexo]:[Sexo]]=$B49,IF(DATOS_[[AGRUP. VALOR. PTO.]:[AGRUP. VALOR. PTO.]]=$B48,IF(DATOS_[[Check Periodo Ref.]:[Check Periodo Ref.]]="Dentro",DATOS_[Conc.Sal.18]))))), 0)</f>
        <v>0</v>
      </c>
      <c r="X49" s="250" t="n">
        <f aca="false" t="array" ref="X49:X49">IFERROR( MEDIAN((IF(DATOS_[[Sexo]:[Sexo]]=$B49,IF(DATOS_[[AGRUP. VALOR. PTO.]:[AGRUP. VALOR. PTO.]]=$B48,IF(DATOS_[[Check Periodo Ref.]:[Check Periodo Ref.]]="Dentro",DATOS_[Conc.Sal.19]))))), 0)</f>
        <v>0</v>
      </c>
      <c r="Y49" s="250" t="n">
        <f aca="false" t="array" ref="Y49:Y49">IFERROR( MEDIAN((IF(DATOS_[[Sexo]:[Sexo]]=$B49,IF(DATOS_[[AGRUP. VALOR. PTO.]:[AGRUP. VALOR. PTO.]]=$B48,IF(DATOS_[[Check Periodo Ref.]:[Check Periodo Ref.]]="Dentro",DATOS_[Conc.Sal.20]))))), 0)</f>
        <v>0</v>
      </c>
      <c r="Z49" s="250" t="n">
        <f aca="false" t="array" ref="Z49:Z49">IFERROR( MEDIAN((IF(DATOS_[[Sexo]:[Sexo]]=$B49,IF(DATOS_[[AGRUP. VALOR. PTO.]:[AGRUP. VALOR. PTO.]]=$B48,IF(DATOS_[[Check Periodo Ref.]:[Check Periodo Ref.]]="Dentro",DATOS_[Conc.Sal.21]))))), 0)</f>
        <v>0</v>
      </c>
      <c r="AA49" s="250" t="n">
        <f aca="false" t="array" ref="AA49:AA49">IFERROR( MEDIAN((IF(DATOS_[[Sexo]:[Sexo]]=$B49,IF(DATOS_[[AGRUP. VALOR. PTO.]:[AGRUP. VALOR. PTO.]]=$B48,IF(DATOS_[[Check Periodo Ref.]:[Check Periodo Ref.]]="Dentro",DATOS_[Conc.Sal.22]))))), 0)</f>
        <v>0</v>
      </c>
      <c r="AB49" s="250" t="n">
        <f aca="false" t="array" ref="AB49:AB49">IFERROR( MEDIAN((IF(DATOS_[[Sexo]:[Sexo]]=$B49,IF(DATOS_[[AGRUP. VALOR. PTO.]:[AGRUP. VALOR. PTO.]]=$B48,IF(DATOS_[[Check Periodo Ref.]:[Check Periodo Ref.]]="Dentro",DATOS_[Conc.Sal.23]))))), 0)</f>
        <v>0</v>
      </c>
      <c r="AC49" s="250" t="n">
        <f aca="false" t="array" ref="AC49:AC49">IFERROR( MEDIAN((IF(DATOS_[[Sexo]:[Sexo]]=$B49,IF(DATOS_[[AGRUP. VALOR. PTO.]:[AGRUP. VALOR. PTO.]]=$B48,IF(DATOS_[[Check Periodo Ref.]:[Check Periodo Ref.]]="Dentro",DATOS_[Conc.Sal.24]))))), 0)</f>
        <v>0</v>
      </c>
      <c r="AD49" s="250" t="n">
        <f aca="false" t="array" ref="AD49:AD49">IFERROR( MEDIAN((IF(DATOS_[[Sexo]:[Sexo]]=$B49,IF(DATOS_[[AGRUP. VALOR. PTO.]:[AGRUP. VALOR. PTO.]]=$B48,IF(DATOS_[[Check Periodo Ref.]:[Check Periodo Ref.]]="Dentro",DATOS_[Conc.Sal.25]))))), 0)</f>
        <v>0</v>
      </c>
      <c r="AE49" s="250" t="n">
        <f aca="false" t="array" ref="AE49:AE49">IFERROR( MEDIAN((IF(DATOS_[[Sexo]:[Sexo]]=$B49,IF(DATOS_[[AGRUP. VALOR. PTO.]:[AGRUP. VALOR. PTO.]]=$B48,IF(DATOS_[[Check Periodo Ref.]:[Check Periodo Ref.]]="Dentro",DATOS_[Conc.Sal.26]))))), 0)</f>
        <v>0</v>
      </c>
      <c r="AF49" s="250" t="n">
        <f aca="false" t="array" ref="AF49:AF49">IFERROR( MEDIAN((IF(DATOS_[[Sexo]:[Sexo]]=$B49,IF(DATOS_[[AGRUP. VALOR. PTO.]:[AGRUP. VALOR. PTO.]]=$B48,IF(DATOS_[[Check Periodo Ref.]:[Check Periodo Ref.]]="Dentro",DATOS_[Conc.Sal.27]))))), 0)</f>
        <v>0</v>
      </c>
      <c r="AG49" s="250" t="n">
        <f aca="false" t="array" ref="AG49:AG49">IFERROR( MEDIAN((IF(DATOS_[[Sexo]:[Sexo]]=$B49,IF(DATOS_[[AGRUP. VALOR. PTO.]:[AGRUP. VALOR. PTO.]]=$B48,IF(DATOS_[[Check Periodo Ref.]:[Check Periodo Ref.]]="Dentro",DATOS_[Conc.Sal.28]))))), 0)</f>
        <v>0</v>
      </c>
      <c r="AH49" s="250" t="n">
        <f aca="false" t="array" ref="AH49:AH49">IFERROR( MEDIAN((IF(DATOS_[[Sexo]:[Sexo]]=$B49,IF(DATOS_[[AGRUP. VALOR. PTO.]:[AGRUP. VALOR. PTO.]]=$B48,IF(DATOS_[[Check Periodo Ref.]:[Check Periodo Ref.]]="Dentro",DATOS_[Conc.Sal.29]))))), 0)</f>
        <v>0</v>
      </c>
      <c r="AI49" s="250" t="n">
        <f aca="false" t="array" ref="AI49:AI49">IFERROR( MEDIAN((IF(DATOS_[[Sexo]:[Sexo]]=$B49,IF(DATOS_[[AGRUP. VALOR. PTO.]:[AGRUP. VALOR. PTO.]]=$B48,IF(DATOS_[[Check Periodo Ref.]:[Check Periodo Ref.]]="Dentro",DATOS_[Conc.Sal.30]))))), 0)</f>
        <v>0</v>
      </c>
      <c r="AJ49" s="251" t="n">
        <f aca="false" t="array" ref="AJ49:AJ49">IFERROR( MEDIAN(IF(DATOS_[Sexo]=$B49,IF(DATOS_[AGRUP. VALOR. PTO.]=$B48,IF(DATOS_[Check Periodo Ref.]="Dentro",DATOS_[Tot COMPL.SAL Ef],0)))), 0)</f>
        <v>0</v>
      </c>
      <c r="AK49" s="252" t="n">
        <f aca="false" t="array" ref="AK49:AK49">IFERROR( MEDIAN(IF(DATOS_[Sexo]=$B49,IF(DATOS_[AGRUP. VALOR. PTO.]=$B48,IF(DATOS_[Check Periodo Ref.]="Dentro",DATOS_[TOTAL SALARIO Ef],0)))), 0)</f>
        <v>0</v>
      </c>
      <c r="AL49" s="259" t="n">
        <f aca="false" t="array" ref="AL49:AL49">IFERROR( MEDIAN((IF(DATOS_[[Sexo]:[Sexo]]=$B49,IF(DATOS_[[AGRUP. VALOR. PTO.]:[AGRUP. VALOR. PTO.]]=$B48,IF(DATOS_[[Check Periodo Ref.]:[Check Periodo Ref.]]="Dentro",DATOS_[C.Extra.01]))))), 0)</f>
        <v>0</v>
      </c>
      <c r="AM49" s="259" t="n">
        <f aca="false" t="array" ref="AM49:AM49">IFERROR( MEDIAN((IF(DATOS_[[Sexo]:[Sexo]]=$B49,IF(DATOS_[[AGRUP. VALOR. PTO.]:[AGRUP. VALOR. PTO.]]=$B48,IF(DATOS_[[Check Periodo Ref.]:[Check Periodo Ref.]]="Dentro",DATOS_[C.Extra.02]))))), 0)</f>
        <v>0</v>
      </c>
      <c r="AN49" s="259" t="n">
        <f aca="false" t="array" ref="AN49:AN49">IFERROR( MEDIAN((IF(DATOS_[[Sexo]:[Sexo]]=$B49,IF(DATOS_[[AGRUP. VALOR. PTO.]:[AGRUP. VALOR. PTO.]]=$B48,IF(DATOS_[[Check Periodo Ref.]:[Check Periodo Ref.]]="Dentro",DATOS_[C.Extra.03]))))), 0)</f>
        <v>0</v>
      </c>
      <c r="AO49" s="259" t="n">
        <f aca="false" t="array" ref="AO49:AO49">IFERROR( MEDIAN((IF(DATOS_[[Sexo]:[Sexo]]=$B49,IF(DATOS_[[AGRUP. VALOR. PTO.]:[AGRUP. VALOR. PTO.]]=$B48,IF(DATOS_[[Check Periodo Ref.]:[Check Periodo Ref.]]="Dentro",DATOS_[C.Extra.04]))))), 0)</f>
        <v>0</v>
      </c>
      <c r="AP49" s="259" t="n">
        <f aca="false" t="array" ref="AP49:AP49">IFERROR( MEDIAN((IF(DATOS_[[Sexo]:[Sexo]]=$B49,IF(DATOS_[[AGRUP. VALOR. PTO.]:[AGRUP. VALOR. PTO.]]=$B48,IF(DATOS_[[Check Periodo Ref.]:[Check Periodo Ref.]]="Dentro",DATOS_[C.Extra.05]))))), 0)</f>
        <v>0</v>
      </c>
      <c r="AQ49" s="254" t="n">
        <f aca="false" t="array" ref="AQ49:AQ49">IFERROR( MEDIAN(IF(DATOS_[Sexo]=$B49,IF(DATOS_[AGRUP. VALOR. PTO.]=$B48,IF(DATOS_[Check Periodo Ref.]="Dentro",DATOS_[Tot Extrasalarial Ef],0)))), 0)</f>
        <v>0</v>
      </c>
      <c r="AR49" s="255" t="n">
        <f aca="false" t="array" ref="AR49:AR49">IFERROR( MEDIAN(IF(DATOS_[Sexo]=$B49,IF(DATOS_[AGRUP. VALOR. PTO.]=$B48,IF(DATOS_[Check Periodo Ref.]="Dentro",DATOS_[TOTAL Retrib Ef],0)))), 0)</f>
        <v>0</v>
      </c>
    </row>
    <row r="50" customFormat="false" ht="14.25" hidden="false" customHeight="false" outlineLevel="0" collapsed="false">
      <c r="A50" s="217" t="str">
        <f aca="false">+A49</f>
        <v>[ocultar]</v>
      </c>
      <c r="B50" s="246" t="s">
        <v>372</v>
      </c>
      <c r="C50" s="247" t="n">
        <f aca="false" t="array" ref="C50:C50">SUM(IF($B50=DATOS_[Sexo], IF($B48=DATOS_[AGRUP. VALOR. PTO.], IF("Dentro"=DATOS_[Check Periodo Ref.], 1/(COUNTIFS(DATOS_[Sexo],$B50,DATOS_[AGRUP. VALOR. PTO.],$B48,DATOS_[Check Periodo Ref.],"Dentro",DATOS_[id],DATOS_[id]))))))</f>
        <v>0</v>
      </c>
      <c r="D50" s="248" t="n">
        <f aca="false">COUNTIFS(DATOS_[AGRUP. VALOR. PTO.],$B48,DATOS_[Sexo],$B50,DATOS_[Check Periodo Ref.],"Dentro")</f>
        <v>0</v>
      </c>
      <c r="E50" s="249" t="n">
        <f aca="false" t="array" ref="E50:E50">IFERROR( MEDIAN(IF(DATOS_[Sexo]=$B50,IF(DATOS_[AGRUP. VALOR. PTO.]=$B48,IF(DATOS_[Check Periodo Ref.]="Dentro",DATOS_[SALARIO BASE Ef],0)))), 0)</f>
        <v>0</v>
      </c>
      <c r="F50" s="250" t="n">
        <f aca="false" t="array" ref="F50:F50">IFERROR( MEDIAN((IF(DATOS_[[Sexo]:[Sexo]]=$B50,IF(DATOS_[[AGRUP. VALOR. PTO.]:[AGRUP. VALOR. PTO.]]=$B48,IF(DATOS_[[Check Periodo Ref.]:[Check Periodo Ref.]]="Dentro",DATOS_[Conc.Sal.01]))))), 0)</f>
        <v>0</v>
      </c>
      <c r="G50" s="250" t="n">
        <f aca="false" t="array" ref="G50:G50">IFERROR( MEDIAN((IF(DATOS_[[Sexo]:[Sexo]]=$B50,IF(DATOS_[[AGRUP. VALOR. PTO.]:[AGRUP. VALOR. PTO.]]=$B48,IF(DATOS_[[Check Periodo Ref.]:[Check Periodo Ref.]]="Dentro",DATOS_[Conc.Sal.02]))))), 0)</f>
        <v>0</v>
      </c>
      <c r="H50" s="250" t="n">
        <f aca="false" t="array" ref="H50:H50">IFERROR( MEDIAN((IF(DATOS_[[Sexo]:[Sexo]]=$B50,IF(DATOS_[[AGRUP. VALOR. PTO.]:[AGRUP. VALOR. PTO.]]=$B48,IF(DATOS_[[Check Periodo Ref.]:[Check Periodo Ref.]]="Dentro",DATOS_[Conc.Sal.03]))))), 0)</f>
        <v>0</v>
      </c>
      <c r="I50" s="250" t="n">
        <f aca="false" t="array" ref="I50:I50">IFERROR( MEDIAN((IF(DATOS_[[Sexo]:[Sexo]]=$B50,IF(DATOS_[[AGRUP. VALOR. PTO.]:[AGRUP. VALOR. PTO.]]=$B48,IF(DATOS_[[Check Periodo Ref.]:[Check Periodo Ref.]]="Dentro",DATOS_[Conc.Sal.04]))))), 0)</f>
        <v>0</v>
      </c>
      <c r="J50" s="250" t="n">
        <f aca="false" t="array" ref="J50:J50">IFERROR( MEDIAN((IF(DATOS_[[Sexo]:[Sexo]]=$B50,IF(DATOS_[[AGRUP. VALOR. PTO.]:[AGRUP. VALOR. PTO.]]=$B48,IF(DATOS_[[Check Periodo Ref.]:[Check Periodo Ref.]]="Dentro",DATOS_[Conc.Sal.05]))))), 0)</f>
        <v>0</v>
      </c>
      <c r="K50" s="250" t="n">
        <f aca="false" t="array" ref="K50:K50">IFERROR( MEDIAN((IF(DATOS_[[Sexo]:[Sexo]]=$B50,IF(DATOS_[[AGRUP. VALOR. PTO.]:[AGRUP. VALOR. PTO.]]=$B48,IF(DATOS_[[Check Periodo Ref.]:[Check Periodo Ref.]]="Dentro",DATOS_[Conc.Sal.06]))))), 0)</f>
        <v>0</v>
      </c>
      <c r="L50" s="250" t="n">
        <f aca="false" t="array" ref="L50:L50">IFERROR( MEDIAN((IF(DATOS_[[Sexo]:[Sexo]]=$B50,IF(DATOS_[[AGRUP. VALOR. PTO.]:[AGRUP. VALOR. PTO.]]=$B48,IF(DATOS_[[Check Periodo Ref.]:[Check Periodo Ref.]]="Dentro",DATOS_[Conc.Sal.07]))))), 0)</f>
        <v>0</v>
      </c>
      <c r="M50" s="250" t="n">
        <f aca="false" t="array" ref="M50:M50">IFERROR( MEDIAN((IF(DATOS_[[Sexo]:[Sexo]]=$B50,IF(DATOS_[[AGRUP. VALOR. PTO.]:[AGRUP. VALOR. PTO.]]=$B48,IF(DATOS_[[Check Periodo Ref.]:[Check Periodo Ref.]]="Dentro",DATOS_[Conc.Sal.08]))))), 0)</f>
        <v>0</v>
      </c>
      <c r="N50" s="250" t="n">
        <f aca="false" t="array" ref="N50:N50">IFERROR( MEDIAN((IF(DATOS_[[Sexo]:[Sexo]]=$B50,IF(DATOS_[[AGRUP. VALOR. PTO.]:[AGRUP. VALOR. PTO.]]=$B48,IF(DATOS_[[Check Periodo Ref.]:[Check Periodo Ref.]]="Dentro",DATOS_[Conc.Sal.09]))))), 0)</f>
        <v>0</v>
      </c>
      <c r="O50" s="250" t="n">
        <f aca="false" t="array" ref="O50:O50">IFERROR( MEDIAN((IF(DATOS_[[Sexo]:[Sexo]]=$B50,IF(DATOS_[[AGRUP. VALOR. PTO.]:[AGRUP. VALOR. PTO.]]=$B48,IF(DATOS_[[Check Periodo Ref.]:[Check Periodo Ref.]]="Dentro",DATOS_[Conc.Sal.10]))))), 0)</f>
        <v>0</v>
      </c>
      <c r="P50" s="250" t="n">
        <f aca="false" t="array" ref="P50:P50">IFERROR( MEDIAN((IF(DATOS_[[Sexo]:[Sexo]]=$B50,IF(DATOS_[[AGRUP. VALOR. PTO.]:[AGRUP. VALOR. PTO.]]=$B48,IF(DATOS_[[Check Periodo Ref.]:[Check Periodo Ref.]]="Dentro",DATOS_[Conc.Sal.11]))))), 0)</f>
        <v>0</v>
      </c>
      <c r="Q50" s="250" t="n">
        <f aca="false" t="array" ref="Q50:Q50">IFERROR( MEDIAN((IF(DATOS_[[Sexo]:[Sexo]]=$B50,IF(DATOS_[[AGRUP. VALOR. PTO.]:[AGRUP. VALOR. PTO.]]=$B48,IF(DATOS_[[Check Periodo Ref.]:[Check Periodo Ref.]]="Dentro",DATOS_[Conc.Sal.12]))))), 0)</f>
        <v>0</v>
      </c>
      <c r="R50" s="250" t="n">
        <f aca="false" t="array" ref="R50:R50">IFERROR( MEDIAN((IF(DATOS_[[Sexo]:[Sexo]]=$B50,IF(DATOS_[[AGRUP. VALOR. PTO.]:[AGRUP. VALOR. PTO.]]=$B48,IF(DATOS_[[Check Periodo Ref.]:[Check Periodo Ref.]]="Dentro",DATOS_[Conc.Sal.13]))))), 0)</f>
        <v>0</v>
      </c>
      <c r="S50" s="250" t="n">
        <f aca="false" t="array" ref="S50:S50">IFERROR( MEDIAN((IF(DATOS_[[Sexo]:[Sexo]]=$B50,IF(DATOS_[[AGRUP. VALOR. PTO.]:[AGRUP. VALOR. PTO.]]=$B48,IF(DATOS_[[Check Periodo Ref.]:[Check Periodo Ref.]]="Dentro",DATOS_[Conc.Sal.14]))))), 0)</f>
        <v>0</v>
      </c>
      <c r="T50" s="250" t="n">
        <f aca="false" t="array" ref="T50:T50">IFERROR( MEDIAN((IF(DATOS_[[Sexo]:[Sexo]]=$B50,IF(DATOS_[[AGRUP. VALOR. PTO.]:[AGRUP. VALOR. PTO.]]=$B48,IF(DATOS_[[Check Periodo Ref.]:[Check Periodo Ref.]]="Dentro",DATOS_[Conc.Sal.15]))))), 0)</f>
        <v>0</v>
      </c>
      <c r="U50" s="250" t="n">
        <f aca="false" t="array" ref="U50:U50">IFERROR( MEDIAN((IF(DATOS_[[Sexo]:[Sexo]]=$B50,IF(DATOS_[[AGRUP. VALOR. PTO.]:[AGRUP. VALOR. PTO.]]=$B48,IF(DATOS_[[Check Periodo Ref.]:[Check Periodo Ref.]]="Dentro",DATOS_[Conc.Sal.16]))))), 0)</f>
        <v>0</v>
      </c>
      <c r="V50" s="250" t="n">
        <f aca="false" t="array" ref="V50:V50">IFERROR( MEDIAN((IF(DATOS_[[Sexo]:[Sexo]]=$B50,IF(DATOS_[[AGRUP. VALOR. PTO.]:[AGRUP. VALOR. PTO.]]=$B48,IF(DATOS_[[Check Periodo Ref.]:[Check Periodo Ref.]]="Dentro",DATOS_[Conc.Sal.17]))))), 0)</f>
        <v>0</v>
      </c>
      <c r="W50" s="250" t="n">
        <f aca="false" t="array" ref="W50:W50">IFERROR( MEDIAN((IF(DATOS_[[Sexo]:[Sexo]]=$B50,IF(DATOS_[[AGRUP. VALOR. PTO.]:[AGRUP. VALOR. PTO.]]=$B48,IF(DATOS_[[Check Periodo Ref.]:[Check Periodo Ref.]]="Dentro",DATOS_[Conc.Sal.18]))))), 0)</f>
        <v>0</v>
      </c>
      <c r="X50" s="250" t="n">
        <f aca="false" t="array" ref="X50:X50">IFERROR( MEDIAN((IF(DATOS_[[Sexo]:[Sexo]]=$B50,IF(DATOS_[[AGRUP. VALOR. PTO.]:[AGRUP. VALOR. PTO.]]=$B48,IF(DATOS_[[Check Periodo Ref.]:[Check Periodo Ref.]]="Dentro",DATOS_[Conc.Sal.19]))))), 0)</f>
        <v>0</v>
      </c>
      <c r="Y50" s="250" t="n">
        <f aca="false" t="array" ref="Y50:Y50">IFERROR( MEDIAN((IF(DATOS_[[Sexo]:[Sexo]]=$B50,IF(DATOS_[[AGRUP. VALOR. PTO.]:[AGRUP. VALOR. PTO.]]=$B48,IF(DATOS_[[Check Periodo Ref.]:[Check Periodo Ref.]]="Dentro",DATOS_[Conc.Sal.20]))))), 0)</f>
        <v>0</v>
      </c>
      <c r="Z50" s="250" t="n">
        <f aca="false" t="array" ref="Z50:Z50">IFERROR( MEDIAN((IF(DATOS_[[Sexo]:[Sexo]]=$B50,IF(DATOS_[[AGRUP. VALOR. PTO.]:[AGRUP. VALOR. PTO.]]=$B48,IF(DATOS_[[Check Periodo Ref.]:[Check Periodo Ref.]]="Dentro",DATOS_[Conc.Sal.21]))))), 0)</f>
        <v>0</v>
      </c>
      <c r="AA50" s="250" t="n">
        <f aca="false" t="array" ref="AA50:AA50">IFERROR( MEDIAN((IF(DATOS_[[Sexo]:[Sexo]]=$B50,IF(DATOS_[[AGRUP. VALOR. PTO.]:[AGRUP. VALOR. PTO.]]=$B48,IF(DATOS_[[Check Periodo Ref.]:[Check Periodo Ref.]]="Dentro",DATOS_[Conc.Sal.22]))))), 0)</f>
        <v>0</v>
      </c>
      <c r="AB50" s="250" t="n">
        <f aca="false" t="array" ref="AB50:AB50">IFERROR( MEDIAN((IF(DATOS_[[Sexo]:[Sexo]]=$B50,IF(DATOS_[[AGRUP. VALOR. PTO.]:[AGRUP. VALOR. PTO.]]=$B48,IF(DATOS_[[Check Periodo Ref.]:[Check Periodo Ref.]]="Dentro",DATOS_[Conc.Sal.23]))))), 0)</f>
        <v>0</v>
      </c>
      <c r="AC50" s="250" t="n">
        <f aca="false" t="array" ref="AC50:AC50">IFERROR( MEDIAN((IF(DATOS_[[Sexo]:[Sexo]]=$B50,IF(DATOS_[[AGRUP. VALOR. PTO.]:[AGRUP. VALOR. PTO.]]=$B48,IF(DATOS_[[Check Periodo Ref.]:[Check Periodo Ref.]]="Dentro",DATOS_[Conc.Sal.24]))))), 0)</f>
        <v>0</v>
      </c>
      <c r="AD50" s="250" t="n">
        <f aca="false" t="array" ref="AD50:AD50">IFERROR( MEDIAN((IF(DATOS_[[Sexo]:[Sexo]]=$B50,IF(DATOS_[[AGRUP. VALOR. PTO.]:[AGRUP. VALOR. PTO.]]=$B48,IF(DATOS_[[Check Periodo Ref.]:[Check Periodo Ref.]]="Dentro",DATOS_[Conc.Sal.25]))))), 0)</f>
        <v>0</v>
      </c>
      <c r="AE50" s="250" t="n">
        <f aca="false" t="array" ref="AE50:AE50">IFERROR( MEDIAN((IF(DATOS_[[Sexo]:[Sexo]]=$B50,IF(DATOS_[[AGRUP. VALOR. PTO.]:[AGRUP. VALOR. PTO.]]=$B48,IF(DATOS_[[Check Periodo Ref.]:[Check Periodo Ref.]]="Dentro",DATOS_[Conc.Sal.26]))))), 0)</f>
        <v>0</v>
      </c>
      <c r="AF50" s="250" t="n">
        <f aca="false" t="array" ref="AF50:AF50">IFERROR( MEDIAN((IF(DATOS_[[Sexo]:[Sexo]]=$B50,IF(DATOS_[[AGRUP. VALOR. PTO.]:[AGRUP. VALOR. PTO.]]=$B48,IF(DATOS_[[Check Periodo Ref.]:[Check Periodo Ref.]]="Dentro",DATOS_[Conc.Sal.27]))))), 0)</f>
        <v>0</v>
      </c>
      <c r="AG50" s="250" t="n">
        <f aca="false" t="array" ref="AG50:AG50">IFERROR( MEDIAN((IF(DATOS_[[Sexo]:[Sexo]]=$B50,IF(DATOS_[[AGRUP. VALOR. PTO.]:[AGRUP. VALOR. PTO.]]=$B48,IF(DATOS_[[Check Periodo Ref.]:[Check Periodo Ref.]]="Dentro",DATOS_[Conc.Sal.28]))))), 0)</f>
        <v>0</v>
      </c>
      <c r="AH50" s="250" t="n">
        <f aca="false" t="array" ref="AH50:AH50">IFERROR( MEDIAN((IF(DATOS_[[Sexo]:[Sexo]]=$B50,IF(DATOS_[[AGRUP. VALOR. PTO.]:[AGRUP. VALOR. PTO.]]=$B48,IF(DATOS_[[Check Periodo Ref.]:[Check Periodo Ref.]]="Dentro",DATOS_[Conc.Sal.29]))))), 0)</f>
        <v>0</v>
      </c>
      <c r="AI50" s="250" t="n">
        <f aca="false" t="array" ref="AI50:AI50">IFERROR( MEDIAN((IF(DATOS_[[Sexo]:[Sexo]]=$B50,IF(DATOS_[[AGRUP. VALOR. PTO.]:[AGRUP. VALOR. PTO.]]=$B48,IF(DATOS_[[Check Periodo Ref.]:[Check Periodo Ref.]]="Dentro",DATOS_[Conc.Sal.30]))))), 0)</f>
        <v>0</v>
      </c>
      <c r="AJ50" s="251" t="n">
        <f aca="false" t="array" ref="AJ50:AJ50">IFERROR( MEDIAN(IF(DATOS_[Sexo]=$B50,IF(DATOS_[AGRUP. VALOR. PTO.]=$B48,IF(DATOS_[Check Periodo Ref.]="Dentro",DATOS_[Tot COMPL.SAL Ef],0)))), 0)</f>
        <v>0</v>
      </c>
      <c r="AK50" s="252" t="n">
        <f aca="false" t="array" ref="AK50:AK50">IFERROR( MEDIAN(IF(DATOS_[Sexo]=$B50,IF(DATOS_[AGRUP. VALOR. PTO.]=$B48,IF(DATOS_[Check Periodo Ref.]="Dentro",DATOS_[TOTAL SALARIO Ef],0)))), 0)</f>
        <v>0</v>
      </c>
      <c r="AL50" s="259" t="n">
        <f aca="false" t="array" ref="AL50:AL50">IFERROR( MEDIAN((IF(DATOS_[[Sexo]:[Sexo]]=$B50,IF(DATOS_[[AGRUP. VALOR. PTO.]:[AGRUP. VALOR. PTO.]]=$B48,IF(DATOS_[[Check Periodo Ref.]:[Check Periodo Ref.]]="Dentro",DATOS_[C.Extra.01]))))), 0)</f>
        <v>0</v>
      </c>
      <c r="AM50" s="259" t="n">
        <f aca="false" t="array" ref="AM50:AM50">IFERROR( MEDIAN((IF(DATOS_[[Sexo]:[Sexo]]=$B50,IF(DATOS_[[AGRUP. VALOR. PTO.]:[AGRUP. VALOR. PTO.]]=$B48,IF(DATOS_[[Check Periodo Ref.]:[Check Periodo Ref.]]="Dentro",DATOS_[C.Extra.02]))))), 0)</f>
        <v>0</v>
      </c>
      <c r="AN50" s="259" t="n">
        <f aca="false" t="array" ref="AN50:AN50">IFERROR( MEDIAN((IF(DATOS_[[Sexo]:[Sexo]]=$B50,IF(DATOS_[[AGRUP. VALOR. PTO.]:[AGRUP. VALOR. PTO.]]=$B48,IF(DATOS_[[Check Periodo Ref.]:[Check Periodo Ref.]]="Dentro",DATOS_[C.Extra.03]))))), 0)</f>
        <v>0</v>
      </c>
      <c r="AO50" s="259" t="n">
        <f aca="false" t="array" ref="AO50:AO50">IFERROR( MEDIAN((IF(DATOS_[[Sexo]:[Sexo]]=$B50,IF(DATOS_[[AGRUP. VALOR. PTO.]:[AGRUP. VALOR. PTO.]]=$B48,IF(DATOS_[[Check Periodo Ref.]:[Check Periodo Ref.]]="Dentro",DATOS_[C.Extra.04]))))), 0)</f>
        <v>0</v>
      </c>
      <c r="AP50" s="259" t="n">
        <f aca="false" t="array" ref="AP50:AP50">IFERROR( MEDIAN((IF(DATOS_[[Sexo]:[Sexo]]=$B50,IF(DATOS_[[AGRUP. VALOR. PTO.]:[AGRUP. VALOR. PTO.]]=$B48,IF(DATOS_[[Check Periodo Ref.]:[Check Periodo Ref.]]="Dentro",DATOS_[C.Extra.05]))))), 0)</f>
        <v>0</v>
      </c>
      <c r="AQ50" s="254" t="n">
        <f aca="false" t="array" ref="AQ50:AQ50">IFERROR( MEDIAN(IF(DATOS_[Sexo]=$B50,IF(DATOS_[AGRUP. VALOR. PTO.]=$B48,IF(DATOS_[Check Periodo Ref.]="Dentro",DATOS_[Tot Extrasalarial Ef],0)))), 0)</f>
        <v>0</v>
      </c>
      <c r="AR50" s="255" t="n">
        <f aca="false" t="array" ref="AR50:AR50">IFERROR( MEDIAN(IF(DATOS_[Sexo]=$B50,IF(DATOS_[AGRUP. VALOR. PTO.]=$B48,IF(DATOS_[Check Periodo Ref.]="Dentro",DATOS_[TOTAL Retrib Ef],0)))), 0)</f>
        <v>0</v>
      </c>
    </row>
    <row r="51" customFormat="false" ht="15.75" hidden="false" customHeight="false" outlineLevel="0" collapsed="false">
      <c r="A51" s="217" t="str">
        <f aca="false">+A52</f>
        <v>[ocultar]</v>
      </c>
      <c r="B51" s="235" t="s">
        <v>205</v>
      </c>
      <c r="C51" s="236"/>
      <c r="D51" s="237"/>
      <c r="E51" s="238" t="str">
        <f aca="false">IFERROR((E52-E53)/E52,"")</f>
        <v/>
      </c>
      <c r="F51" s="239" t="str">
        <f aca="false">IFERROR((F52-F53)/F52,"")</f>
        <v/>
      </c>
      <c r="G51" s="239" t="str">
        <f aca="false">IFERROR((G52-G53)/G52,"")</f>
        <v/>
      </c>
      <c r="H51" s="239" t="str">
        <f aca="false">IFERROR((H52-H53)/H52,"")</f>
        <v/>
      </c>
      <c r="I51" s="239"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40" t="str">
        <f aca="false">IFERROR((V52-V53)/V52,"")</f>
        <v/>
      </c>
      <c r="W51" s="240" t="str">
        <f aca="false">IFERROR((W52-W53)/W52,"")</f>
        <v/>
      </c>
      <c r="X51" s="240" t="str">
        <f aca="false">IFERROR((X52-X53)/X52,"")</f>
        <v/>
      </c>
      <c r="Y51" s="240"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1" t="str">
        <f aca="false">IFERROR((AJ52-AJ53)/AJ52,"")</f>
        <v/>
      </c>
      <c r="AK51" s="242" t="str">
        <f aca="false">IFERROR((AK52-AK53)/AK52,"")</f>
        <v/>
      </c>
      <c r="AL51" s="243" t="str">
        <f aca="false">IFERROR((AL52-AL53)/AL52,"")</f>
        <v/>
      </c>
      <c r="AM51" s="243" t="str">
        <f aca="false">IFERROR((AM52-AM53)/AM52,"")</f>
        <v/>
      </c>
      <c r="AN51" s="243" t="str">
        <f aca="false">IFERROR((AN52-AN53)/AN52,"")</f>
        <v/>
      </c>
      <c r="AO51" s="243" t="str">
        <f aca="false">IFERROR((AO52-AO53)/AO52,"")</f>
        <v/>
      </c>
      <c r="AP51" s="243" t="str">
        <f aca="false">IFERROR((AP52-AP53)/AP52,"")</f>
        <v/>
      </c>
      <c r="AQ51" s="244" t="str">
        <f aca="false">IFERROR((AQ52-AQ53)/AQ52,"")</f>
        <v/>
      </c>
      <c r="AR51" s="245" t="str">
        <f aca="false">IFERROR((AR52-AR53)/AR52,"")</f>
        <v/>
      </c>
    </row>
    <row r="52" customFormat="false" ht="14.25" hidden="false" customHeight="false" outlineLevel="0" collapsed="false">
      <c r="A52" s="217" t="str">
        <f aca="false">+IF(C52+C53=0,"[ocultar]","")</f>
        <v>[ocultar]</v>
      </c>
      <c r="B52" s="246" t="s">
        <v>371</v>
      </c>
      <c r="C52" s="247" t="n">
        <f aca="false" t="array" ref="C52:C52">SUM(IF($B52=DATOS_[Sexo], IF($B51=DATOS_[AGRUP. VALOR. PTO.], IF("Dentro"=DATOS_[Check Periodo Ref.], 1/(COUNTIFS(DATOS_[Sexo],$B52,DATOS_[AGRUP. VALOR. PTO.],$B51,DATOS_[Check Periodo Ref.],"Dentro",DATOS_[id],DATOS_[id]))))))</f>
        <v>0</v>
      </c>
      <c r="D52" s="248" t="n">
        <f aca="false">COUNTIFS(DATOS_[AGRUP. VALOR. PTO.],$B51,DATOS_[Sexo],$B52,DATOS_[Check Periodo Ref.],"Dentro")</f>
        <v>0</v>
      </c>
      <c r="E52" s="249" t="n">
        <f aca="false" t="array" ref="E52:E52">IFERROR( MEDIAN(IF(DATOS_[Sexo]=$B52,IF(DATOS_[AGRUP. VALOR. PTO.]=$B51,IF(DATOS_[Check Periodo Ref.]="Dentro",DATOS_[SALARIO BASE Ef],0)))), 0)</f>
        <v>0</v>
      </c>
      <c r="F52" s="250" t="n">
        <f aca="false" t="array" ref="F52:F52">IFERROR( MEDIAN((IF(DATOS_[[Sexo]:[Sexo]]=$B52,IF(DATOS_[[AGRUP. VALOR. PTO.]:[AGRUP. VALOR. PTO.]]=$B51,IF(DATOS_[[Check Periodo Ref.]:[Check Periodo Ref.]]="Dentro",DATOS_[Conc.Sal.01]))))), 0)</f>
        <v>0</v>
      </c>
      <c r="G52" s="250" t="n">
        <f aca="false" t="array" ref="G52:G52">IFERROR( MEDIAN((IF(DATOS_[[Sexo]:[Sexo]]=$B52,IF(DATOS_[[AGRUP. VALOR. PTO.]:[AGRUP. VALOR. PTO.]]=$B51,IF(DATOS_[[Check Periodo Ref.]:[Check Periodo Ref.]]="Dentro",DATOS_[Conc.Sal.02]))))), 0)</f>
        <v>0</v>
      </c>
      <c r="H52" s="250" t="n">
        <f aca="false" t="array" ref="H52:H52">IFERROR( MEDIAN((IF(DATOS_[[Sexo]:[Sexo]]=$B52,IF(DATOS_[[AGRUP. VALOR. PTO.]:[AGRUP. VALOR. PTO.]]=$B51,IF(DATOS_[[Check Periodo Ref.]:[Check Periodo Ref.]]="Dentro",DATOS_[Conc.Sal.03]))))), 0)</f>
        <v>0</v>
      </c>
      <c r="I52" s="250" t="n">
        <f aca="false" t="array" ref="I52:I52">IFERROR( MEDIAN((IF(DATOS_[[Sexo]:[Sexo]]=$B52,IF(DATOS_[[AGRUP. VALOR. PTO.]:[AGRUP. VALOR. PTO.]]=$B51,IF(DATOS_[[Check Periodo Ref.]:[Check Periodo Ref.]]="Dentro",DATOS_[Conc.Sal.04]))))), 0)</f>
        <v>0</v>
      </c>
      <c r="J52" s="250" t="n">
        <f aca="false" t="array" ref="J52:J52">IFERROR( MEDIAN((IF(DATOS_[[Sexo]:[Sexo]]=$B52,IF(DATOS_[[AGRUP. VALOR. PTO.]:[AGRUP. VALOR. PTO.]]=$B51,IF(DATOS_[[Check Periodo Ref.]:[Check Periodo Ref.]]="Dentro",DATOS_[Conc.Sal.05]))))), 0)</f>
        <v>0</v>
      </c>
      <c r="K52" s="250" t="n">
        <f aca="false" t="array" ref="K52:K52">IFERROR( MEDIAN((IF(DATOS_[[Sexo]:[Sexo]]=$B52,IF(DATOS_[[AGRUP. VALOR. PTO.]:[AGRUP. VALOR. PTO.]]=$B51,IF(DATOS_[[Check Periodo Ref.]:[Check Periodo Ref.]]="Dentro",DATOS_[Conc.Sal.06]))))), 0)</f>
        <v>0</v>
      </c>
      <c r="L52" s="250" t="n">
        <f aca="false" t="array" ref="L52:L52">IFERROR( MEDIAN((IF(DATOS_[[Sexo]:[Sexo]]=$B52,IF(DATOS_[[AGRUP. VALOR. PTO.]:[AGRUP. VALOR. PTO.]]=$B51,IF(DATOS_[[Check Periodo Ref.]:[Check Periodo Ref.]]="Dentro",DATOS_[Conc.Sal.07]))))), 0)</f>
        <v>0</v>
      </c>
      <c r="M52" s="250" t="n">
        <f aca="false" t="array" ref="M52:M52">IFERROR( MEDIAN((IF(DATOS_[[Sexo]:[Sexo]]=$B52,IF(DATOS_[[AGRUP. VALOR. PTO.]:[AGRUP. VALOR. PTO.]]=$B51,IF(DATOS_[[Check Periodo Ref.]:[Check Periodo Ref.]]="Dentro",DATOS_[Conc.Sal.08]))))), 0)</f>
        <v>0</v>
      </c>
      <c r="N52" s="250" t="n">
        <f aca="false" t="array" ref="N52:N52">IFERROR( MEDIAN((IF(DATOS_[[Sexo]:[Sexo]]=$B52,IF(DATOS_[[AGRUP. VALOR. PTO.]:[AGRUP. VALOR. PTO.]]=$B51,IF(DATOS_[[Check Periodo Ref.]:[Check Periodo Ref.]]="Dentro",DATOS_[Conc.Sal.09]))))), 0)</f>
        <v>0</v>
      </c>
      <c r="O52" s="250" t="n">
        <f aca="false" t="array" ref="O52:O52">IFERROR( MEDIAN((IF(DATOS_[[Sexo]:[Sexo]]=$B52,IF(DATOS_[[AGRUP. VALOR. PTO.]:[AGRUP. VALOR. PTO.]]=$B51,IF(DATOS_[[Check Periodo Ref.]:[Check Periodo Ref.]]="Dentro",DATOS_[Conc.Sal.10]))))), 0)</f>
        <v>0</v>
      </c>
      <c r="P52" s="250" t="n">
        <f aca="false" t="array" ref="P52:P52">IFERROR( MEDIAN((IF(DATOS_[[Sexo]:[Sexo]]=$B52,IF(DATOS_[[AGRUP. VALOR. PTO.]:[AGRUP. VALOR. PTO.]]=$B51,IF(DATOS_[[Check Periodo Ref.]:[Check Periodo Ref.]]="Dentro",DATOS_[Conc.Sal.11]))))), 0)</f>
        <v>0</v>
      </c>
      <c r="Q52" s="250" t="n">
        <f aca="false" t="array" ref="Q52:Q52">IFERROR( MEDIAN((IF(DATOS_[[Sexo]:[Sexo]]=$B52,IF(DATOS_[[AGRUP. VALOR. PTO.]:[AGRUP. VALOR. PTO.]]=$B51,IF(DATOS_[[Check Periodo Ref.]:[Check Periodo Ref.]]="Dentro",DATOS_[Conc.Sal.12]))))), 0)</f>
        <v>0</v>
      </c>
      <c r="R52" s="250" t="n">
        <f aca="false" t="array" ref="R52:R52">IFERROR( MEDIAN((IF(DATOS_[[Sexo]:[Sexo]]=$B52,IF(DATOS_[[AGRUP. VALOR. PTO.]:[AGRUP. VALOR. PTO.]]=$B51,IF(DATOS_[[Check Periodo Ref.]:[Check Periodo Ref.]]="Dentro",DATOS_[Conc.Sal.13]))))), 0)</f>
        <v>0</v>
      </c>
      <c r="S52" s="250" t="n">
        <f aca="false" t="array" ref="S52:S52">IFERROR( MEDIAN((IF(DATOS_[[Sexo]:[Sexo]]=$B52,IF(DATOS_[[AGRUP. VALOR. PTO.]:[AGRUP. VALOR. PTO.]]=$B51,IF(DATOS_[[Check Periodo Ref.]:[Check Periodo Ref.]]="Dentro",DATOS_[Conc.Sal.14]))))), 0)</f>
        <v>0</v>
      </c>
      <c r="T52" s="250" t="n">
        <f aca="false" t="array" ref="T52:T52">IFERROR( MEDIAN((IF(DATOS_[[Sexo]:[Sexo]]=$B52,IF(DATOS_[[AGRUP. VALOR. PTO.]:[AGRUP. VALOR. PTO.]]=$B51,IF(DATOS_[[Check Periodo Ref.]:[Check Periodo Ref.]]="Dentro",DATOS_[Conc.Sal.15]))))), 0)</f>
        <v>0</v>
      </c>
      <c r="U52" s="250" t="n">
        <f aca="false" t="array" ref="U52:U52">IFERROR( MEDIAN((IF(DATOS_[[Sexo]:[Sexo]]=$B52,IF(DATOS_[[AGRUP. VALOR. PTO.]:[AGRUP. VALOR. PTO.]]=$B51,IF(DATOS_[[Check Periodo Ref.]:[Check Periodo Ref.]]="Dentro",DATOS_[Conc.Sal.16]))))), 0)</f>
        <v>0</v>
      </c>
      <c r="V52" s="250" t="n">
        <f aca="false" t="array" ref="V52:V52">IFERROR( MEDIAN((IF(DATOS_[[Sexo]:[Sexo]]=$B52,IF(DATOS_[[AGRUP. VALOR. PTO.]:[AGRUP. VALOR. PTO.]]=$B51,IF(DATOS_[[Check Periodo Ref.]:[Check Periodo Ref.]]="Dentro",DATOS_[Conc.Sal.17]))))), 0)</f>
        <v>0</v>
      </c>
      <c r="W52" s="250" t="n">
        <f aca="false" t="array" ref="W52:W52">IFERROR( MEDIAN((IF(DATOS_[[Sexo]:[Sexo]]=$B52,IF(DATOS_[[AGRUP. VALOR. PTO.]:[AGRUP. VALOR. PTO.]]=$B51,IF(DATOS_[[Check Periodo Ref.]:[Check Periodo Ref.]]="Dentro",DATOS_[Conc.Sal.18]))))), 0)</f>
        <v>0</v>
      </c>
      <c r="X52" s="250" t="n">
        <f aca="false" t="array" ref="X52:X52">IFERROR( MEDIAN((IF(DATOS_[[Sexo]:[Sexo]]=$B52,IF(DATOS_[[AGRUP. VALOR. PTO.]:[AGRUP. VALOR. PTO.]]=$B51,IF(DATOS_[[Check Periodo Ref.]:[Check Periodo Ref.]]="Dentro",DATOS_[Conc.Sal.19]))))), 0)</f>
        <v>0</v>
      </c>
      <c r="Y52" s="250" t="n">
        <f aca="false" t="array" ref="Y52:Y52">IFERROR( MEDIAN((IF(DATOS_[[Sexo]:[Sexo]]=$B52,IF(DATOS_[[AGRUP. VALOR. PTO.]:[AGRUP. VALOR. PTO.]]=$B51,IF(DATOS_[[Check Periodo Ref.]:[Check Periodo Ref.]]="Dentro",DATOS_[Conc.Sal.20]))))), 0)</f>
        <v>0</v>
      </c>
      <c r="Z52" s="250" t="n">
        <f aca="false" t="array" ref="Z52:Z52">IFERROR( MEDIAN((IF(DATOS_[[Sexo]:[Sexo]]=$B52,IF(DATOS_[[AGRUP. VALOR. PTO.]:[AGRUP. VALOR. PTO.]]=$B51,IF(DATOS_[[Check Periodo Ref.]:[Check Periodo Ref.]]="Dentro",DATOS_[Conc.Sal.21]))))), 0)</f>
        <v>0</v>
      </c>
      <c r="AA52" s="250" t="n">
        <f aca="false" t="array" ref="AA52:AA52">IFERROR( MEDIAN((IF(DATOS_[[Sexo]:[Sexo]]=$B52,IF(DATOS_[[AGRUP. VALOR. PTO.]:[AGRUP. VALOR. PTO.]]=$B51,IF(DATOS_[[Check Periodo Ref.]:[Check Periodo Ref.]]="Dentro",DATOS_[Conc.Sal.22]))))), 0)</f>
        <v>0</v>
      </c>
      <c r="AB52" s="250" t="n">
        <f aca="false" t="array" ref="AB52:AB52">IFERROR( MEDIAN((IF(DATOS_[[Sexo]:[Sexo]]=$B52,IF(DATOS_[[AGRUP. VALOR. PTO.]:[AGRUP. VALOR. PTO.]]=$B51,IF(DATOS_[[Check Periodo Ref.]:[Check Periodo Ref.]]="Dentro",DATOS_[Conc.Sal.23]))))), 0)</f>
        <v>0</v>
      </c>
      <c r="AC52" s="250" t="n">
        <f aca="false" t="array" ref="AC52:AC52">IFERROR( MEDIAN((IF(DATOS_[[Sexo]:[Sexo]]=$B52,IF(DATOS_[[AGRUP. VALOR. PTO.]:[AGRUP. VALOR. PTO.]]=$B51,IF(DATOS_[[Check Periodo Ref.]:[Check Periodo Ref.]]="Dentro",DATOS_[Conc.Sal.24]))))), 0)</f>
        <v>0</v>
      </c>
      <c r="AD52" s="250" t="n">
        <f aca="false" t="array" ref="AD52:AD52">IFERROR( MEDIAN((IF(DATOS_[[Sexo]:[Sexo]]=$B52,IF(DATOS_[[AGRUP. VALOR. PTO.]:[AGRUP. VALOR. PTO.]]=$B51,IF(DATOS_[[Check Periodo Ref.]:[Check Periodo Ref.]]="Dentro",DATOS_[Conc.Sal.25]))))), 0)</f>
        <v>0</v>
      </c>
      <c r="AE52" s="250" t="n">
        <f aca="false" t="array" ref="AE52:AE52">IFERROR( MEDIAN((IF(DATOS_[[Sexo]:[Sexo]]=$B52,IF(DATOS_[[AGRUP. VALOR. PTO.]:[AGRUP. VALOR. PTO.]]=$B51,IF(DATOS_[[Check Periodo Ref.]:[Check Periodo Ref.]]="Dentro",DATOS_[Conc.Sal.26]))))), 0)</f>
        <v>0</v>
      </c>
      <c r="AF52" s="250" t="n">
        <f aca="false" t="array" ref="AF52:AF52">IFERROR( MEDIAN((IF(DATOS_[[Sexo]:[Sexo]]=$B52,IF(DATOS_[[AGRUP. VALOR. PTO.]:[AGRUP. VALOR. PTO.]]=$B51,IF(DATOS_[[Check Periodo Ref.]:[Check Periodo Ref.]]="Dentro",DATOS_[Conc.Sal.27]))))), 0)</f>
        <v>0</v>
      </c>
      <c r="AG52" s="250" t="n">
        <f aca="false" t="array" ref="AG52:AG52">IFERROR( MEDIAN((IF(DATOS_[[Sexo]:[Sexo]]=$B52,IF(DATOS_[[AGRUP. VALOR. PTO.]:[AGRUP. VALOR. PTO.]]=$B51,IF(DATOS_[[Check Periodo Ref.]:[Check Periodo Ref.]]="Dentro",DATOS_[Conc.Sal.28]))))), 0)</f>
        <v>0</v>
      </c>
      <c r="AH52" s="250" t="n">
        <f aca="false" t="array" ref="AH52:AH52">IFERROR( MEDIAN((IF(DATOS_[[Sexo]:[Sexo]]=$B52,IF(DATOS_[[AGRUP. VALOR. PTO.]:[AGRUP. VALOR. PTO.]]=$B51,IF(DATOS_[[Check Periodo Ref.]:[Check Periodo Ref.]]="Dentro",DATOS_[Conc.Sal.29]))))), 0)</f>
        <v>0</v>
      </c>
      <c r="AI52" s="250" t="n">
        <f aca="false" t="array" ref="AI52:AI52">IFERROR( MEDIAN((IF(DATOS_[[Sexo]:[Sexo]]=$B52,IF(DATOS_[[AGRUP. VALOR. PTO.]:[AGRUP. VALOR. PTO.]]=$B51,IF(DATOS_[[Check Periodo Ref.]:[Check Periodo Ref.]]="Dentro",DATOS_[Conc.Sal.30]))))), 0)</f>
        <v>0</v>
      </c>
      <c r="AJ52" s="251" t="n">
        <f aca="false" t="array" ref="AJ52:AJ52">IFERROR( MEDIAN(IF(DATOS_[Sexo]=$B52,IF(DATOS_[AGRUP. VALOR. PTO.]=$B51,IF(DATOS_[Check Periodo Ref.]="Dentro",DATOS_[Tot COMPL.SAL Ef],0)))), 0)</f>
        <v>0</v>
      </c>
      <c r="AK52" s="252" t="n">
        <f aca="false" t="array" ref="AK52:AK52">IFERROR( MEDIAN(IF(DATOS_[Sexo]=$B52,IF(DATOS_[AGRUP. VALOR. PTO.]=$B51,IF(DATOS_[Check Periodo Ref.]="Dentro",DATOS_[TOTAL SALARIO Ef],0)))), 0)</f>
        <v>0</v>
      </c>
      <c r="AL52" s="259" t="n">
        <f aca="false" t="array" ref="AL52:AL52">IFERROR( MEDIAN((IF(DATOS_[[Sexo]:[Sexo]]=$B52,IF(DATOS_[[AGRUP. VALOR. PTO.]:[AGRUP. VALOR. PTO.]]=$B51,IF(DATOS_[[Check Periodo Ref.]:[Check Periodo Ref.]]="Dentro",DATOS_[C.Extra.01]))))), 0)</f>
        <v>0</v>
      </c>
      <c r="AM52" s="259" t="n">
        <f aca="false" t="array" ref="AM52:AM52">IFERROR( MEDIAN((IF(DATOS_[[Sexo]:[Sexo]]=$B52,IF(DATOS_[[AGRUP. VALOR. PTO.]:[AGRUP. VALOR. PTO.]]=$B51,IF(DATOS_[[Check Periodo Ref.]:[Check Periodo Ref.]]="Dentro",DATOS_[C.Extra.02]))))), 0)</f>
        <v>0</v>
      </c>
      <c r="AN52" s="259" t="n">
        <f aca="false" t="array" ref="AN52:AN52">IFERROR( MEDIAN((IF(DATOS_[[Sexo]:[Sexo]]=$B52,IF(DATOS_[[AGRUP. VALOR. PTO.]:[AGRUP. VALOR. PTO.]]=$B51,IF(DATOS_[[Check Periodo Ref.]:[Check Periodo Ref.]]="Dentro",DATOS_[C.Extra.03]))))), 0)</f>
        <v>0</v>
      </c>
      <c r="AO52" s="259" t="n">
        <f aca="false" t="array" ref="AO52:AO52">IFERROR( MEDIAN((IF(DATOS_[[Sexo]:[Sexo]]=$B52,IF(DATOS_[[AGRUP. VALOR. PTO.]:[AGRUP. VALOR. PTO.]]=$B51,IF(DATOS_[[Check Periodo Ref.]:[Check Periodo Ref.]]="Dentro",DATOS_[C.Extra.04]))))), 0)</f>
        <v>0</v>
      </c>
      <c r="AP52" s="259" t="n">
        <f aca="false" t="array" ref="AP52:AP52">IFERROR( MEDIAN((IF(DATOS_[[Sexo]:[Sexo]]=$B52,IF(DATOS_[[AGRUP. VALOR. PTO.]:[AGRUP. VALOR. PTO.]]=$B51,IF(DATOS_[[Check Periodo Ref.]:[Check Periodo Ref.]]="Dentro",DATOS_[C.Extra.05]))))), 0)</f>
        <v>0</v>
      </c>
      <c r="AQ52" s="254" t="n">
        <f aca="false" t="array" ref="AQ52:AQ52">IFERROR( MEDIAN(IF(DATOS_[Sexo]=$B52,IF(DATOS_[AGRUP. VALOR. PTO.]=$B51,IF(DATOS_[Check Periodo Ref.]="Dentro",DATOS_[Tot Extrasalarial Ef],0)))), 0)</f>
        <v>0</v>
      </c>
      <c r="AR52" s="255" t="n">
        <f aca="false" t="array" ref="AR52:AR52">IFERROR( MEDIAN(IF(DATOS_[Sexo]=$B52,IF(DATOS_[AGRUP. VALOR. PTO.]=$B51,IF(DATOS_[Check Periodo Ref.]="Dentro",DATOS_[TOTAL Retrib Ef],0)))), 0)</f>
        <v>0</v>
      </c>
    </row>
    <row r="53" customFormat="false" ht="14.25" hidden="false" customHeight="false" outlineLevel="0" collapsed="false">
      <c r="A53" s="217" t="str">
        <f aca="false">+A52</f>
        <v>[ocultar]</v>
      </c>
      <c r="B53" s="246" t="s">
        <v>372</v>
      </c>
      <c r="C53" s="247" t="n">
        <f aca="false" t="array" ref="C53:C53">SUM(IF($B53=DATOS_[Sexo], IF($B51=DATOS_[AGRUP. VALOR. PTO.], IF("Dentro"=DATOS_[Check Periodo Ref.], 1/(COUNTIFS(DATOS_[Sexo],$B53,DATOS_[AGRUP. VALOR. PTO.],$B51,DATOS_[Check Periodo Ref.],"Dentro",DATOS_[id],DATOS_[id]))))))</f>
        <v>0</v>
      </c>
      <c r="D53" s="248" t="n">
        <f aca="false">COUNTIFS(DATOS_[AGRUP. VALOR. PTO.],$B51,DATOS_[Sexo],$B53,DATOS_[Check Periodo Ref.],"Dentro")</f>
        <v>0</v>
      </c>
      <c r="E53" s="249" t="n">
        <f aca="false" t="array" ref="E53:E53">IFERROR( MEDIAN(IF(DATOS_[Sexo]=$B53,IF(DATOS_[AGRUP. VALOR. PTO.]=$B51,IF(DATOS_[Check Periodo Ref.]="Dentro",DATOS_[SALARIO BASE Ef],0)))), 0)</f>
        <v>0</v>
      </c>
      <c r="F53" s="250" t="n">
        <f aca="false" t="array" ref="F53:F53">IFERROR( MEDIAN((IF(DATOS_[[Sexo]:[Sexo]]=$B53,IF(DATOS_[[AGRUP. VALOR. PTO.]:[AGRUP. VALOR. PTO.]]=$B51,IF(DATOS_[[Check Periodo Ref.]:[Check Periodo Ref.]]="Dentro",DATOS_[Conc.Sal.01]))))), 0)</f>
        <v>0</v>
      </c>
      <c r="G53" s="250" t="n">
        <f aca="false" t="array" ref="G53:G53">IFERROR( MEDIAN((IF(DATOS_[[Sexo]:[Sexo]]=$B53,IF(DATOS_[[AGRUP. VALOR. PTO.]:[AGRUP. VALOR. PTO.]]=$B51,IF(DATOS_[[Check Periodo Ref.]:[Check Periodo Ref.]]="Dentro",DATOS_[Conc.Sal.02]))))), 0)</f>
        <v>0</v>
      </c>
      <c r="H53" s="250" t="n">
        <f aca="false" t="array" ref="H53:H53">IFERROR( MEDIAN((IF(DATOS_[[Sexo]:[Sexo]]=$B53,IF(DATOS_[[AGRUP. VALOR. PTO.]:[AGRUP. VALOR. PTO.]]=$B51,IF(DATOS_[[Check Periodo Ref.]:[Check Periodo Ref.]]="Dentro",DATOS_[Conc.Sal.03]))))), 0)</f>
        <v>0</v>
      </c>
      <c r="I53" s="250" t="n">
        <f aca="false" t="array" ref="I53:I53">IFERROR( MEDIAN((IF(DATOS_[[Sexo]:[Sexo]]=$B53,IF(DATOS_[[AGRUP. VALOR. PTO.]:[AGRUP. VALOR. PTO.]]=$B51,IF(DATOS_[[Check Periodo Ref.]:[Check Periodo Ref.]]="Dentro",DATOS_[Conc.Sal.04]))))), 0)</f>
        <v>0</v>
      </c>
      <c r="J53" s="250" t="n">
        <f aca="false" t="array" ref="J53:J53">IFERROR( MEDIAN((IF(DATOS_[[Sexo]:[Sexo]]=$B53,IF(DATOS_[[AGRUP. VALOR. PTO.]:[AGRUP. VALOR. PTO.]]=$B51,IF(DATOS_[[Check Periodo Ref.]:[Check Periodo Ref.]]="Dentro",DATOS_[Conc.Sal.05]))))), 0)</f>
        <v>0</v>
      </c>
      <c r="K53" s="250" t="n">
        <f aca="false" t="array" ref="K53:K53">IFERROR( MEDIAN((IF(DATOS_[[Sexo]:[Sexo]]=$B53,IF(DATOS_[[AGRUP. VALOR. PTO.]:[AGRUP. VALOR. PTO.]]=$B51,IF(DATOS_[[Check Periodo Ref.]:[Check Periodo Ref.]]="Dentro",DATOS_[Conc.Sal.06]))))), 0)</f>
        <v>0</v>
      </c>
      <c r="L53" s="250" t="n">
        <f aca="false" t="array" ref="L53:L53">IFERROR( MEDIAN((IF(DATOS_[[Sexo]:[Sexo]]=$B53,IF(DATOS_[[AGRUP. VALOR. PTO.]:[AGRUP. VALOR. PTO.]]=$B51,IF(DATOS_[[Check Periodo Ref.]:[Check Periodo Ref.]]="Dentro",DATOS_[Conc.Sal.07]))))), 0)</f>
        <v>0</v>
      </c>
      <c r="M53" s="250" t="n">
        <f aca="false" t="array" ref="M53:M53">IFERROR( MEDIAN((IF(DATOS_[[Sexo]:[Sexo]]=$B53,IF(DATOS_[[AGRUP. VALOR. PTO.]:[AGRUP. VALOR. PTO.]]=$B51,IF(DATOS_[[Check Periodo Ref.]:[Check Periodo Ref.]]="Dentro",DATOS_[Conc.Sal.08]))))), 0)</f>
        <v>0</v>
      </c>
      <c r="N53" s="250" t="n">
        <f aca="false" t="array" ref="N53:N53">IFERROR( MEDIAN((IF(DATOS_[[Sexo]:[Sexo]]=$B53,IF(DATOS_[[AGRUP. VALOR. PTO.]:[AGRUP. VALOR. PTO.]]=$B51,IF(DATOS_[[Check Periodo Ref.]:[Check Periodo Ref.]]="Dentro",DATOS_[Conc.Sal.09]))))), 0)</f>
        <v>0</v>
      </c>
      <c r="O53" s="250" t="n">
        <f aca="false" t="array" ref="O53:O53">IFERROR( MEDIAN((IF(DATOS_[[Sexo]:[Sexo]]=$B53,IF(DATOS_[[AGRUP. VALOR. PTO.]:[AGRUP. VALOR. PTO.]]=$B51,IF(DATOS_[[Check Periodo Ref.]:[Check Periodo Ref.]]="Dentro",DATOS_[Conc.Sal.10]))))), 0)</f>
        <v>0</v>
      </c>
      <c r="P53" s="250" t="n">
        <f aca="false" t="array" ref="P53:P53">IFERROR( MEDIAN((IF(DATOS_[[Sexo]:[Sexo]]=$B53,IF(DATOS_[[AGRUP. VALOR. PTO.]:[AGRUP. VALOR. PTO.]]=$B51,IF(DATOS_[[Check Periodo Ref.]:[Check Periodo Ref.]]="Dentro",DATOS_[Conc.Sal.11]))))), 0)</f>
        <v>0</v>
      </c>
      <c r="Q53" s="250" t="n">
        <f aca="false" t="array" ref="Q53:Q53">IFERROR( MEDIAN((IF(DATOS_[[Sexo]:[Sexo]]=$B53,IF(DATOS_[[AGRUP. VALOR. PTO.]:[AGRUP. VALOR. PTO.]]=$B51,IF(DATOS_[[Check Periodo Ref.]:[Check Periodo Ref.]]="Dentro",DATOS_[Conc.Sal.12]))))), 0)</f>
        <v>0</v>
      </c>
      <c r="R53" s="250" t="n">
        <f aca="false" t="array" ref="R53:R53">IFERROR( MEDIAN((IF(DATOS_[[Sexo]:[Sexo]]=$B53,IF(DATOS_[[AGRUP. VALOR. PTO.]:[AGRUP. VALOR. PTO.]]=$B51,IF(DATOS_[[Check Periodo Ref.]:[Check Periodo Ref.]]="Dentro",DATOS_[Conc.Sal.13]))))), 0)</f>
        <v>0</v>
      </c>
      <c r="S53" s="250" t="n">
        <f aca="false" t="array" ref="S53:S53">IFERROR( MEDIAN((IF(DATOS_[[Sexo]:[Sexo]]=$B53,IF(DATOS_[[AGRUP. VALOR. PTO.]:[AGRUP. VALOR. PTO.]]=$B51,IF(DATOS_[[Check Periodo Ref.]:[Check Periodo Ref.]]="Dentro",DATOS_[Conc.Sal.14]))))), 0)</f>
        <v>0</v>
      </c>
      <c r="T53" s="250" t="n">
        <f aca="false" t="array" ref="T53:T53">IFERROR( MEDIAN((IF(DATOS_[[Sexo]:[Sexo]]=$B53,IF(DATOS_[[AGRUP. VALOR. PTO.]:[AGRUP. VALOR. PTO.]]=$B51,IF(DATOS_[[Check Periodo Ref.]:[Check Periodo Ref.]]="Dentro",DATOS_[Conc.Sal.15]))))), 0)</f>
        <v>0</v>
      </c>
      <c r="U53" s="250" t="n">
        <f aca="false" t="array" ref="U53:U53">IFERROR( MEDIAN((IF(DATOS_[[Sexo]:[Sexo]]=$B53,IF(DATOS_[[AGRUP. VALOR. PTO.]:[AGRUP. VALOR. PTO.]]=$B51,IF(DATOS_[[Check Periodo Ref.]:[Check Periodo Ref.]]="Dentro",DATOS_[Conc.Sal.16]))))), 0)</f>
        <v>0</v>
      </c>
      <c r="V53" s="250" t="n">
        <f aca="false" t="array" ref="V53:V53">IFERROR( MEDIAN((IF(DATOS_[[Sexo]:[Sexo]]=$B53,IF(DATOS_[[AGRUP. VALOR. PTO.]:[AGRUP. VALOR. PTO.]]=$B51,IF(DATOS_[[Check Periodo Ref.]:[Check Periodo Ref.]]="Dentro",DATOS_[Conc.Sal.17]))))), 0)</f>
        <v>0</v>
      </c>
      <c r="W53" s="250" t="n">
        <f aca="false" t="array" ref="W53:W53">IFERROR( MEDIAN((IF(DATOS_[[Sexo]:[Sexo]]=$B53,IF(DATOS_[[AGRUP. VALOR. PTO.]:[AGRUP. VALOR. PTO.]]=$B51,IF(DATOS_[[Check Periodo Ref.]:[Check Periodo Ref.]]="Dentro",DATOS_[Conc.Sal.18]))))), 0)</f>
        <v>0</v>
      </c>
      <c r="X53" s="250" t="n">
        <f aca="false" t="array" ref="X53:X53">IFERROR( MEDIAN((IF(DATOS_[[Sexo]:[Sexo]]=$B53,IF(DATOS_[[AGRUP. VALOR. PTO.]:[AGRUP. VALOR. PTO.]]=$B51,IF(DATOS_[[Check Periodo Ref.]:[Check Periodo Ref.]]="Dentro",DATOS_[Conc.Sal.19]))))), 0)</f>
        <v>0</v>
      </c>
      <c r="Y53" s="250" t="n">
        <f aca="false" t="array" ref="Y53:Y53">IFERROR( MEDIAN((IF(DATOS_[[Sexo]:[Sexo]]=$B53,IF(DATOS_[[AGRUP. VALOR. PTO.]:[AGRUP. VALOR. PTO.]]=$B51,IF(DATOS_[[Check Periodo Ref.]:[Check Periodo Ref.]]="Dentro",DATOS_[Conc.Sal.20]))))), 0)</f>
        <v>0</v>
      </c>
      <c r="Z53" s="250" t="n">
        <f aca="false" t="array" ref="Z53:Z53">IFERROR( MEDIAN((IF(DATOS_[[Sexo]:[Sexo]]=$B53,IF(DATOS_[[AGRUP. VALOR. PTO.]:[AGRUP. VALOR. PTO.]]=$B51,IF(DATOS_[[Check Periodo Ref.]:[Check Periodo Ref.]]="Dentro",DATOS_[Conc.Sal.21]))))), 0)</f>
        <v>0</v>
      </c>
      <c r="AA53" s="250" t="n">
        <f aca="false" t="array" ref="AA53:AA53">IFERROR( MEDIAN((IF(DATOS_[[Sexo]:[Sexo]]=$B53,IF(DATOS_[[AGRUP. VALOR. PTO.]:[AGRUP. VALOR. PTO.]]=$B51,IF(DATOS_[[Check Periodo Ref.]:[Check Periodo Ref.]]="Dentro",DATOS_[Conc.Sal.22]))))), 0)</f>
        <v>0</v>
      </c>
      <c r="AB53" s="250" t="n">
        <f aca="false" t="array" ref="AB53:AB53">IFERROR( MEDIAN((IF(DATOS_[[Sexo]:[Sexo]]=$B53,IF(DATOS_[[AGRUP. VALOR. PTO.]:[AGRUP. VALOR. PTO.]]=$B51,IF(DATOS_[[Check Periodo Ref.]:[Check Periodo Ref.]]="Dentro",DATOS_[Conc.Sal.23]))))), 0)</f>
        <v>0</v>
      </c>
      <c r="AC53" s="250" t="n">
        <f aca="false" t="array" ref="AC53:AC53">IFERROR( MEDIAN((IF(DATOS_[[Sexo]:[Sexo]]=$B53,IF(DATOS_[[AGRUP. VALOR. PTO.]:[AGRUP. VALOR. PTO.]]=$B51,IF(DATOS_[[Check Periodo Ref.]:[Check Periodo Ref.]]="Dentro",DATOS_[Conc.Sal.24]))))), 0)</f>
        <v>0</v>
      </c>
      <c r="AD53" s="250" t="n">
        <f aca="false" t="array" ref="AD53:AD53">IFERROR( MEDIAN((IF(DATOS_[[Sexo]:[Sexo]]=$B53,IF(DATOS_[[AGRUP. VALOR. PTO.]:[AGRUP. VALOR. PTO.]]=$B51,IF(DATOS_[[Check Periodo Ref.]:[Check Periodo Ref.]]="Dentro",DATOS_[Conc.Sal.25]))))), 0)</f>
        <v>0</v>
      </c>
      <c r="AE53" s="250" t="n">
        <f aca="false" t="array" ref="AE53:AE53">IFERROR( MEDIAN((IF(DATOS_[[Sexo]:[Sexo]]=$B53,IF(DATOS_[[AGRUP. VALOR. PTO.]:[AGRUP. VALOR. PTO.]]=$B51,IF(DATOS_[[Check Periodo Ref.]:[Check Periodo Ref.]]="Dentro",DATOS_[Conc.Sal.26]))))), 0)</f>
        <v>0</v>
      </c>
      <c r="AF53" s="250" t="n">
        <f aca="false" t="array" ref="AF53:AF53">IFERROR( MEDIAN((IF(DATOS_[[Sexo]:[Sexo]]=$B53,IF(DATOS_[[AGRUP. VALOR. PTO.]:[AGRUP. VALOR. PTO.]]=$B51,IF(DATOS_[[Check Periodo Ref.]:[Check Periodo Ref.]]="Dentro",DATOS_[Conc.Sal.27]))))), 0)</f>
        <v>0</v>
      </c>
      <c r="AG53" s="250" t="n">
        <f aca="false" t="array" ref="AG53:AG53">IFERROR( MEDIAN((IF(DATOS_[[Sexo]:[Sexo]]=$B53,IF(DATOS_[[AGRUP. VALOR. PTO.]:[AGRUP. VALOR. PTO.]]=$B51,IF(DATOS_[[Check Periodo Ref.]:[Check Periodo Ref.]]="Dentro",DATOS_[Conc.Sal.28]))))), 0)</f>
        <v>0</v>
      </c>
      <c r="AH53" s="250" t="n">
        <f aca="false" t="array" ref="AH53:AH53">IFERROR( MEDIAN((IF(DATOS_[[Sexo]:[Sexo]]=$B53,IF(DATOS_[[AGRUP. VALOR. PTO.]:[AGRUP. VALOR. PTO.]]=$B51,IF(DATOS_[[Check Periodo Ref.]:[Check Periodo Ref.]]="Dentro",DATOS_[Conc.Sal.29]))))), 0)</f>
        <v>0</v>
      </c>
      <c r="AI53" s="250" t="n">
        <f aca="false" t="array" ref="AI53:AI53">IFERROR( MEDIAN((IF(DATOS_[[Sexo]:[Sexo]]=$B53,IF(DATOS_[[AGRUP. VALOR. PTO.]:[AGRUP. VALOR. PTO.]]=$B51,IF(DATOS_[[Check Periodo Ref.]:[Check Periodo Ref.]]="Dentro",DATOS_[Conc.Sal.30]))))), 0)</f>
        <v>0</v>
      </c>
      <c r="AJ53" s="251" t="n">
        <f aca="false" t="array" ref="AJ53:AJ53">IFERROR( MEDIAN(IF(DATOS_[Sexo]=$B53,IF(DATOS_[AGRUP. VALOR. PTO.]=$B51,IF(DATOS_[Check Periodo Ref.]="Dentro",DATOS_[Tot COMPL.SAL Ef],0)))), 0)</f>
        <v>0</v>
      </c>
      <c r="AK53" s="252" t="n">
        <f aca="false" t="array" ref="AK53:AK53">IFERROR( MEDIAN(IF(DATOS_[Sexo]=$B53,IF(DATOS_[AGRUP. VALOR. PTO.]=$B51,IF(DATOS_[Check Periodo Ref.]="Dentro",DATOS_[TOTAL SALARIO Ef],0)))), 0)</f>
        <v>0</v>
      </c>
      <c r="AL53" s="259" t="n">
        <f aca="false" t="array" ref="AL53:AL53">IFERROR( MEDIAN((IF(DATOS_[[Sexo]:[Sexo]]=$B53,IF(DATOS_[[AGRUP. VALOR. PTO.]:[AGRUP. VALOR. PTO.]]=$B51,IF(DATOS_[[Check Periodo Ref.]:[Check Periodo Ref.]]="Dentro",DATOS_[C.Extra.01]))))), 0)</f>
        <v>0</v>
      </c>
      <c r="AM53" s="259" t="n">
        <f aca="false" t="array" ref="AM53:AM53">IFERROR( MEDIAN((IF(DATOS_[[Sexo]:[Sexo]]=$B53,IF(DATOS_[[AGRUP. VALOR. PTO.]:[AGRUP. VALOR. PTO.]]=$B51,IF(DATOS_[[Check Periodo Ref.]:[Check Periodo Ref.]]="Dentro",DATOS_[C.Extra.02]))))), 0)</f>
        <v>0</v>
      </c>
      <c r="AN53" s="259" t="n">
        <f aca="false" t="array" ref="AN53:AN53">IFERROR( MEDIAN((IF(DATOS_[[Sexo]:[Sexo]]=$B53,IF(DATOS_[[AGRUP. VALOR. PTO.]:[AGRUP. VALOR. PTO.]]=$B51,IF(DATOS_[[Check Periodo Ref.]:[Check Periodo Ref.]]="Dentro",DATOS_[C.Extra.03]))))), 0)</f>
        <v>0</v>
      </c>
      <c r="AO53" s="259" t="n">
        <f aca="false" t="array" ref="AO53:AO53">IFERROR( MEDIAN((IF(DATOS_[[Sexo]:[Sexo]]=$B53,IF(DATOS_[[AGRUP. VALOR. PTO.]:[AGRUP. VALOR. PTO.]]=$B51,IF(DATOS_[[Check Periodo Ref.]:[Check Periodo Ref.]]="Dentro",DATOS_[C.Extra.04]))))), 0)</f>
        <v>0</v>
      </c>
      <c r="AP53" s="259" t="n">
        <f aca="false" t="array" ref="AP53:AP53">IFERROR( MEDIAN((IF(DATOS_[[Sexo]:[Sexo]]=$B53,IF(DATOS_[[AGRUP. VALOR. PTO.]:[AGRUP. VALOR. PTO.]]=$B51,IF(DATOS_[[Check Periodo Ref.]:[Check Periodo Ref.]]="Dentro",DATOS_[C.Extra.05]))))), 0)</f>
        <v>0</v>
      </c>
      <c r="AQ53" s="254" t="n">
        <f aca="false" t="array" ref="AQ53:AQ53">IFERROR( MEDIAN(IF(DATOS_[Sexo]=$B53,IF(DATOS_[AGRUP. VALOR. PTO.]=$B51,IF(DATOS_[Check Periodo Ref.]="Dentro",DATOS_[Tot Extrasalarial Ef],0)))), 0)</f>
        <v>0</v>
      </c>
      <c r="AR53" s="255" t="n">
        <f aca="false" t="array" ref="AR53:AR53">IFERROR( MEDIAN(IF(DATOS_[Sexo]=$B53,IF(DATOS_[AGRUP. VALOR. PTO.]=$B51,IF(DATOS_[Check Periodo Ref.]="Dentro",DATOS_[TOTAL Retrib Ef],0)))), 0)</f>
        <v>0</v>
      </c>
    </row>
    <row r="54" customFormat="false" ht="15.75" hidden="false" customHeight="false" outlineLevel="0" collapsed="false">
      <c r="A54" s="217" t="str">
        <f aca="false">+A55</f>
        <v>[ocultar]</v>
      </c>
      <c r="B54" s="235" t="s">
        <v>208</v>
      </c>
      <c r="C54" s="236"/>
      <c r="D54" s="237"/>
      <c r="E54" s="238" t="str">
        <f aca="false">IFERROR((E55-E56)/E55,"")</f>
        <v/>
      </c>
      <c r="F54" s="239" t="str">
        <f aca="false">IFERROR((F55-F56)/F55,"")</f>
        <v/>
      </c>
      <c r="G54" s="239" t="str">
        <f aca="false">IFERROR((G55-G56)/G55,"")</f>
        <v/>
      </c>
      <c r="H54" s="239" t="str">
        <f aca="false">IFERROR((H55-H56)/H55,"")</f>
        <v/>
      </c>
      <c r="I54" s="239"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40" t="str">
        <f aca="false">IFERROR((V55-V56)/V55,"")</f>
        <v/>
      </c>
      <c r="W54" s="240" t="str">
        <f aca="false">IFERROR((W55-W56)/W55,"")</f>
        <v/>
      </c>
      <c r="X54" s="240" t="str">
        <f aca="false">IFERROR((X55-X56)/X55,"")</f>
        <v/>
      </c>
      <c r="Y54" s="240"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1" t="str">
        <f aca="false">IFERROR((AJ55-AJ56)/AJ55,"")</f>
        <v/>
      </c>
      <c r="AK54" s="242" t="str">
        <f aca="false">IFERROR((AK55-AK56)/AK55,"")</f>
        <v/>
      </c>
      <c r="AL54" s="243" t="str">
        <f aca="false">IFERROR((AL55-AL56)/AL55,"")</f>
        <v/>
      </c>
      <c r="AM54" s="243" t="str">
        <f aca="false">IFERROR((AM55-AM56)/AM55,"")</f>
        <v/>
      </c>
      <c r="AN54" s="243" t="str">
        <f aca="false">IFERROR((AN55-AN56)/AN55,"")</f>
        <v/>
      </c>
      <c r="AO54" s="243" t="str">
        <f aca="false">IFERROR((AO55-AO56)/AO55,"")</f>
        <v/>
      </c>
      <c r="AP54" s="243" t="str">
        <f aca="false">IFERROR((AP55-AP56)/AP55,"")</f>
        <v/>
      </c>
      <c r="AQ54" s="244" t="str">
        <f aca="false">IFERROR((AQ55-AQ56)/AQ55,"")</f>
        <v/>
      </c>
      <c r="AR54" s="245" t="str">
        <f aca="false">IFERROR((AR55-AR56)/AR55,"")</f>
        <v/>
      </c>
    </row>
    <row r="55" customFormat="false" ht="14.25" hidden="false" customHeight="false" outlineLevel="0" collapsed="false">
      <c r="A55" s="217" t="str">
        <f aca="false">+IF(C55+C56=0,"[ocultar]","")</f>
        <v>[ocultar]</v>
      </c>
      <c r="B55" s="246" t="s">
        <v>371</v>
      </c>
      <c r="C55" s="247" t="n">
        <f aca="false" t="array" ref="C55:C55">SUM(IF($B55=DATOS_[Sexo], IF($B54=DATOS_[AGRUP. VALOR. PTO.], IF("Dentro"=DATOS_[Check Periodo Ref.], 1/(COUNTIFS(DATOS_[Sexo],$B55,DATOS_[AGRUP. VALOR. PTO.],$B54,DATOS_[Check Periodo Ref.],"Dentro",DATOS_[id],DATOS_[id]))))))</f>
        <v>0</v>
      </c>
      <c r="D55" s="248" t="n">
        <f aca="false">COUNTIFS(DATOS_[AGRUP. VALOR. PTO.],$B54,DATOS_[Sexo],$B55,DATOS_[Check Periodo Ref.],"Dentro")</f>
        <v>0</v>
      </c>
      <c r="E55" s="249" t="n">
        <f aca="false" t="array" ref="E55:E55">IFERROR( MEDIAN(IF(DATOS_[Sexo]=$B55,IF(DATOS_[AGRUP. VALOR. PTO.]=$B54,IF(DATOS_[Check Periodo Ref.]="Dentro",DATOS_[SALARIO BASE Ef],0)))), 0)</f>
        <v>0</v>
      </c>
      <c r="F55" s="250" t="n">
        <f aca="false" t="array" ref="F55:F55">IFERROR( MEDIAN((IF(DATOS_[[Sexo]:[Sexo]]=$B55,IF(DATOS_[[AGRUP. VALOR. PTO.]:[AGRUP. VALOR. PTO.]]=$B54,IF(DATOS_[[Check Periodo Ref.]:[Check Periodo Ref.]]="Dentro",DATOS_[Conc.Sal.01]))))), 0)</f>
        <v>0</v>
      </c>
      <c r="G55" s="250" t="n">
        <f aca="false" t="array" ref="G55:G55">IFERROR( MEDIAN((IF(DATOS_[[Sexo]:[Sexo]]=$B55,IF(DATOS_[[AGRUP. VALOR. PTO.]:[AGRUP. VALOR. PTO.]]=$B54,IF(DATOS_[[Check Periodo Ref.]:[Check Periodo Ref.]]="Dentro",DATOS_[Conc.Sal.02]))))), 0)</f>
        <v>0</v>
      </c>
      <c r="H55" s="250" t="n">
        <f aca="false" t="array" ref="H55:H55">IFERROR( MEDIAN((IF(DATOS_[[Sexo]:[Sexo]]=$B55,IF(DATOS_[[AGRUP. VALOR. PTO.]:[AGRUP. VALOR. PTO.]]=$B54,IF(DATOS_[[Check Periodo Ref.]:[Check Periodo Ref.]]="Dentro",DATOS_[Conc.Sal.03]))))), 0)</f>
        <v>0</v>
      </c>
      <c r="I55" s="250" t="n">
        <f aca="false" t="array" ref="I55:I55">IFERROR( MEDIAN((IF(DATOS_[[Sexo]:[Sexo]]=$B55,IF(DATOS_[[AGRUP. VALOR. PTO.]:[AGRUP. VALOR. PTO.]]=$B54,IF(DATOS_[[Check Periodo Ref.]:[Check Periodo Ref.]]="Dentro",DATOS_[Conc.Sal.04]))))), 0)</f>
        <v>0</v>
      </c>
      <c r="J55" s="250" t="n">
        <f aca="false" t="array" ref="J55:J55">IFERROR( MEDIAN((IF(DATOS_[[Sexo]:[Sexo]]=$B55,IF(DATOS_[[AGRUP. VALOR. PTO.]:[AGRUP. VALOR. PTO.]]=$B54,IF(DATOS_[[Check Periodo Ref.]:[Check Periodo Ref.]]="Dentro",DATOS_[Conc.Sal.05]))))), 0)</f>
        <v>0</v>
      </c>
      <c r="K55" s="250" t="n">
        <f aca="false" t="array" ref="K55:K55">IFERROR( MEDIAN((IF(DATOS_[[Sexo]:[Sexo]]=$B55,IF(DATOS_[[AGRUP. VALOR. PTO.]:[AGRUP. VALOR. PTO.]]=$B54,IF(DATOS_[[Check Periodo Ref.]:[Check Periodo Ref.]]="Dentro",DATOS_[Conc.Sal.06]))))), 0)</f>
        <v>0</v>
      </c>
      <c r="L55" s="250" t="n">
        <f aca="false" t="array" ref="L55:L55">IFERROR( MEDIAN((IF(DATOS_[[Sexo]:[Sexo]]=$B55,IF(DATOS_[[AGRUP. VALOR. PTO.]:[AGRUP. VALOR. PTO.]]=$B54,IF(DATOS_[[Check Periodo Ref.]:[Check Periodo Ref.]]="Dentro",DATOS_[Conc.Sal.07]))))), 0)</f>
        <v>0</v>
      </c>
      <c r="M55" s="250" t="n">
        <f aca="false" t="array" ref="M55:M55">IFERROR( MEDIAN((IF(DATOS_[[Sexo]:[Sexo]]=$B55,IF(DATOS_[[AGRUP. VALOR. PTO.]:[AGRUP. VALOR. PTO.]]=$B54,IF(DATOS_[[Check Periodo Ref.]:[Check Periodo Ref.]]="Dentro",DATOS_[Conc.Sal.08]))))), 0)</f>
        <v>0</v>
      </c>
      <c r="N55" s="250" t="n">
        <f aca="false" t="array" ref="N55:N55">IFERROR( MEDIAN((IF(DATOS_[[Sexo]:[Sexo]]=$B55,IF(DATOS_[[AGRUP. VALOR. PTO.]:[AGRUP. VALOR. PTO.]]=$B54,IF(DATOS_[[Check Periodo Ref.]:[Check Periodo Ref.]]="Dentro",DATOS_[Conc.Sal.09]))))), 0)</f>
        <v>0</v>
      </c>
      <c r="O55" s="250" t="n">
        <f aca="false" t="array" ref="O55:O55">IFERROR( MEDIAN((IF(DATOS_[[Sexo]:[Sexo]]=$B55,IF(DATOS_[[AGRUP. VALOR. PTO.]:[AGRUP. VALOR. PTO.]]=$B54,IF(DATOS_[[Check Periodo Ref.]:[Check Periodo Ref.]]="Dentro",DATOS_[Conc.Sal.10]))))), 0)</f>
        <v>0</v>
      </c>
      <c r="P55" s="250" t="n">
        <f aca="false" t="array" ref="P55:P55">IFERROR( MEDIAN((IF(DATOS_[[Sexo]:[Sexo]]=$B55,IF(DATOS_[[AGRUP. VALOR. PTO.]:[AGRUP. VALOR. PTO.]]=$B54,IF(DATOS_[[Check Periodo Ref.]:[Check Periodo Ref.]]="Dentro",DATOS_[Conc.Sal.11]))))), 0)</f>
        <v>0</v>
      </c>
      <c r="Q55" s="250" t="n">
        <f aca="false" t="array" ref="Q55:Q55">IFERROR( MEDIAN((IF(DATOS_[[Sexo]:[Sexo]]=$B55,IF(DATOS_[[AGRUP. VALOR. PTO.]:[AGRUP. VALOR. PTO.]]=$B54,IF(DATOS_[[Check Periodo Ref.]:[Check Periodo Ref.]]="Dentro",DATOS_[Conc.Sal.12]))))), 0)</f>
        <v>0</v>
      </c>
      <c r="R55" s="250" t="n">
        <f aca="false" t="array" ref="R55:R55">IFERROR( MEDIAN((IF(DATOS_[[Sexo]:[Sexo]]=$B55,IF(DATOS_[[AGRUP. VALOR. PTO.]:[AGRUP. VALOR. PTO.]]=$B54,IF(DATOS_[[Check Periodo Ref.]:[Check Periodo Ref.]]="Dentro",DATOS_[Conc.Sal.13]))))), 0)</f>
        <v>0</v>
      </c>
      <c r="S55" s="250" t="n">
        <f aca="false" t="array" ref="S55:S55">IFERROR( MEDIAN((IF(DATOS_[[Sexo]:[Sexo]]=$B55,IF(DATOS_[[AGRUP. VALOR. PTO.]:[AGRUP. VALOR. PTO.]]=$B54,IF(DATOS_[[Check Periodo Ref.]:[Check Periodo Ref.]]="Dentro",DATOS_[Conc.Sal.14]))))), 0)</f>
        <v>0</v>
      </c>
      <c r="T55" s="250" t="n">
        <f aca="false" t="array" ref="T55:T55">IFERROR( MEDIAN((IF(DATOS_[[Sexo]:[Sexo]]=$B55,IF(DATOS_[[AGRUP. VALOR. PTO.]:[AGRUP. VALOR. PTO.]]=$B54,IF(DATOS_[[Check Periodo Ref.]:[Check Periodo Ref.]]="Dentro",DATOS_[Conc.Sal.15]))))), 0)</f>
        <v>0</v>
      </c>
      <c r="U55" s="250" t="n">
        <f aca="false" t="array" ref="U55:U55">IFERROR( MEDIAN((IF(DATOS_[[Sexo]:[Sexo]]=$B55,IF(DATOS_[[AGRUP. VALOR. PTO.]:[AGRUP. VALOR. PTO.]]=$B54,IF(DATOS_[[Check Periodo Ref.]:[Check Periodo Ref.]]="Dentro",DATOS_[Conc.Sal.16]))))), 0)</f>
        <v>0</v>
      </c>
      <c r="V55" s="250" t="n">
        <f aca="false" t="array" ref="V55:V55">IFERROR( MEDIAN((IF(DATOS_[[Sexo]:[Sexo]]=$B55,IF(DATOS_[[AGRUP. VALOR. PTO.]:[AGRUP. VALOR. PTO.]]=$B54,IF(DATOS_[[Check Periodo Ref.]:[Check Periodo Ref.]]="Dentro",DATOS_[Conc.Sal.17]))))), 0)</f>
        <v>0</v>
      </c>
      <c r="W55" s="250" t="n">
        <f aca="false" t="array" ref="W55:W55">IFERROR( MEDIAN((IF(DATOS_[[Sexo]:[Sexo]]=$B55,IF(DATOS_[[AGRUP. VALOR. PTO.]:[AGRUP. VALOR. PTO.]]=$B54,IF(DATOS_[[Check Periodo Ref.]:[Check Periodo Ref.]]="Dentro",DATOS_[Conc.Sal.18]))))), 0)</f>
        <v>0</v>
      </c>
      <c r="X55" s="250" t="n">
        <f aca="false" t="array" ref="X55:X55">IFERROR( MEDIAN((IF(DATOS_[[Sexo]:[Sexo]]=$B55,IF(DATOS_[[AGRUP. VALOR. PTO.]:[AGRUP. VALOR. PTO.]]=$B54,IF(DATOS_[[Check Periodo Ref.]:[Check Periodo Ref.]]="Dentro",DATOS_[Conc.Sal.19]))))), 0)</f>
        <v>0</v>
      </c>
      <c r="Y55" s="250" t="n">
        <f aca="false" t="array" ref="Y55:Y55">IFERROR( MEDIAN((IF(DATOS_[[Sexo]:[Sexo]]=$B55,IF(DATOS_[[AGRUP. VALOR. PTO.]:[AGRUP. VALOR. PTO.]]=$B54,IF(DATOS_[[Check Periodo Ref.]:[Check Periodo Ref.]]="Dentro",DATOS_[Conc.Sal.20]))))), 0)</f>
        <v>0</v>
      </c>
      <c r="Z55" s="250" t="n">
        <f aca="false" t="array" ref="Z55:Z55">IFERROR( MEDIAN((IF(DATOS_[[Sexo]:[Sexo]]=$B55,IF(DATOS_[[AGRUP. VALOR. PTO.]:[AGRUP. VALOR. PTO.]]=$B54,IF(DATOS_[[Check Periodo Ref.]:[Check Periodo Ref.]]="Dentro",DATOS_[Conc.Sal.21]))))), 0)</f>
        <v>0</v>
      </c>
      <c r="AA55" s="250" t="n">
        <f aca="false" t="array" ref="AA55:AA55">IFERROR( MEDIAN((IF(DATOS_[[Sexo]:[Sexo]]=$B55,IF(DATOS_[[AGRUP. VALOR. PTO.]:[AGRUP. VALOR. PTO.]]=$B54,IF(DATOS_[[Check Periodo Ref.]:[Check Periodo Ref.]]="Dentro",DATOS_[Conc.Sal.22]))))), 0)</f>
        <v>0</v>
      </c>
      <c r="AB55" s="250" t="n">
        <f aca="false" t="array" ref="AB55:AB55">IFERROR( MEDIAN((IF(DATOS_[[Sexo]:[Sexo]]=$B55,IF(DATOS_[[AGRUP. VALOR. PTO.]:[AGRUP. VALOR. PTO.]]=$B54,IF(DATOS_[[Check Periodo Ref.]:[Check Periodo Ref.]]="Dentro",DATOS_[Conc.Sal.23]))))), 0)</f>
        <v>0</v>
      </c>
      <c r="AC55" s="250" t="n">
        <f aca="false" t="array" ref="AC55:AC55">IFERROR( MEDIAN((IF(DATOS_[[Sexo]:[Sexo]]=$B55,IF(DATOS_[[AGRUP. VALOR. PTO.]:[AGRUP. VALOR. PTO.]]=$B54,IF(DATOS_[[Check Periodo Ref.]:[Check Periodo Ref.]]="Dentro",DATOS_[Conc.Sal.24]))))), 0)</f>
        <v>0</v>
      </c>
      <c r="AD55" s="250" t="n">
        <f aca="false" t="array" ref="AD55:AD55">IFERROR( MEDIAN((IF(DATOS_[[Sexo]:[Sexo]]=$B55,IF(DATOS_[[AGRUP. VALOR. PTO.]:[AGRUP. VALOR. PTO.]]=$B54,IF(DATOS_[[Check Periodo Ref.]:[Check Periodo Ref.]]="Dentro",DATOS_[Conc.Sal.25]))))), 0)</f>
        <v>0</v>
      </c>
      <c r="AE55" s="250" t="n">
        <f aca="false" t="array" ref="AE55:AE55">IFERROR( MEDIAN((IF(DATOS_[[Sexo]:[Sexo]]=$B55,IF(DATOS_[[AGRUP. VALOR. PTO.]:[AGRUP. VALOR. PTO.]]=$B54,IF(DATOS_[[Check Periodo Ref.]:[Check Periodo Ref.]]="Dentro",DATOS_[Conc.Sal.26]))))), 0)</f>
        <v>0</v>
      </c>
      <c r="AF55" s="250" t="n">
        <f aca="false" t="array" ref="AF55:AF55">IFERROR( MEDIAN((IF(DATOS_[[Sexo]:[Sexo]]=$B55,IF(DATOS_[[AGRUP. VALOR. PTO.]:[AGRUP. VALOR. PTO.]]=$B54,IF(DATOS_[[Check Periodo Ref.]:[Check Periodo Ref.]]="Dentro",DATOS_[Conc.Sal.27]))))), 0)</f>
        <v>0</v>
      </c>
      <c r="AG55" s="250" t="n">
        <f aca="false" t="array" ref="AG55:AG55">IFERROR( MEDIAN((IF(DATOS_[[Sexo]:[Sexo]]=$B55,IF(DATOS_[[AGRUP. VALOR. PTO.]:[AGRUP. VALOR. PTO.]]=$B54,IF(DATOS_[[Check Periodo Ref.]:[Check Periodo Ref.]]="Dentro",DATOS_[Conc.Sal.28]))))), 0)</f>
        <v>0</v>
      </c>
      <c r="AH55" s="250" t="n">
        <f aca="false" t="array" ref="AH55:AH55">IFERROR( MEDIAN((IF(DATOS_[[Sexo]:[Sexo]]=$B55,IF(DATOS_[[AGRUP. VALOR. PTO.]:[AGRUP. VALOR. PTO.]]=$B54,IF(DATOS_[[Check Periodo Ref.]:[Check Periodo Ref.]]="Dentro",DATOS_[Conc.Sal.29]))))), 0)</f>
        <v>0</v>
      </c>
      <c r="AI55" s="250" t="n">
        <f aca="false" t="array" ref="AI55:AI55">IFERROR( MEDIAN((IF(DATOS_[[Sexo]:[Sexo]]=$B55,IF(DATOS_[[AGRUP. VALOR. PTO.]:[AGRUP. VALOR. PTO.]]=$B54,IF(DATOS_[[Check Periodo Ref.]:[Check Periodo Ref.]]="Dentro",DATOS_[Conc.Sal.30]))))), 0)</f>
        <v>0</v>
      </c>
      <c r="AJ55" s="251" t="n">
        <f aca="false" t="array" ref="AJ55:AJ55">IFERROR( MEDIAN(IF(DATOS_[Sexo]=$B55,IF(DATOS_[AGRUP. VALOR. PTO.]=$B54,IF(DATOS_[Check Periodo Ref.]="Dentro",DATOS_[Tot COMPL.SAL Ef],0)))), 0)</f>
        <v>0</v>
      </c>
      <c r="AK55" s="252" t="n">
        <f aca="false" t="array" ref="AK55:AK55">IFERROR( MEDIAN(IF(DATOS_[Sexo]=$B55,IF(DATOS_[AGRUP. VALOR. PTO.]=$B54,IF(DATOS_[Check Periodo Ref.]="Dentro",DATOS_[TOTAL SALARIO Ef],0)))), 0)</f>
        <v>0</v>
      </c>
      <c r="AL55" s="259" t="n">
        <f aca="false" t="array" ref="AL55:AL55">IFERROR( MEDIAN((IF(DATOS_[[Sexo]:[Sexo]]=$B55,IF(DATOS_[[AGRUP. VALOR. PTO.]:[AGRUP. VALOR. PTO.]]=$B54,IF(DATOS_[[Check Periodo Ref.]:[Check Periodo Ref.]]="Dentro",DATOS_[C.Extra.01]))))), 0)</f>
        <v>0</v>
      </c>
      <c r="AM55" s="259" t="n">
        <f aca="false" t="array" ref="AM55:AM55">IFERROR( MEDIAN((IF(DATOS_[[Sexo]:[Sexo]]=$B55,IF(DATOS_[[AGRUP. VALOR. PTO.]:[AGRUP. VALOR. PTO.]]=$B54,IF(DATOS_[[Check Periodo Ref.]:[Check Periodo Ref.]]="Dentro",DATOS_[C.Extra.02]))))), 0)</f>
        <v>0</v>
      </c>
      <c r="AN55" s="259" t="n">
        <f aca="false" t="array" ref="AN55:AN55">IFERROR( MEDIAN((IF(DATOS_[[Sexo]:[Sexo]]=$B55,IF(DATOS_[[AGRUP. VALOR. PTO.]:[AGRUP. VALOR. PTO.]]=$B54,IF(DATOS_[[Check Periodo Ref.]:[Check Periodo Ref.]]="Dentro",DATOS_[C.Extra.03]))))), 0)</f>
        <v>0</v>
      </c>
      <c r="AO55" s="259" t="n">
        <f aca="false" t="array" ref="AO55:AO55">IFERROR( MEDIAN((IF(DATOS_[[Sexo]:[Sexo]]=$B55,IF(DATOS_[[AGRUP. VALOR. PTO.]:[AGRUP. VALOR. PTO.]]=$B54,IF(DATOS_[[Check Periodo Ref.]:[Check Periodo Ref.]]="Dentro",DATOS_[C.Extra.04]))))), 0)</f>
        <v>0</v>
      </c>
      <c r="AP55" s="259" t="n">
        <f aca="false" t="array" ref="AP55:AP55">IFERROR( MEDIAN((IF(DATOS_[[Sexo]:[Sexo]]=$B55,IF(DATOS_[[AGRUP. VALOR. PTO.]:[AGRUP. VALOR. PTO.]]=$B54,IF(DATOS_[[Check Periodo Ref.]:[Check Periodo Ref.]]="Dentro",DATOS_[C.Extra.05]))))), 0)</f>
        <v>0</v>
      </c>
      <c r="AQ55" s="254" t="n">
        <f aca="false" t="array" ref="AQ55:AQ55">IFERROR( MEDIAN(IF(DATOS_[Sexo]=$B55,IF(DATOS_[AGRUP. VALOR. PTO.]=$B54,IF(DATOS_[Check Periodo Ref.]="Dentro",DATOS_[Tot Extrasalarial Ef],0)))), 0)</f>
        <v>0</v>
      </c>
      <c r="AR55" s="255" t="n">
        <f aca="false" t="array" ref="AR55:AR55">IFERROR( MEDIAN(IF(DATOS_[Sexo]=$B55,IF(DATOS_[AGRUP. VALOR. PTO.]=$B54,IF(DATOS_[Check Periodo Ref.]="Dentro",DATOS_[TOTAL Retrib Ef],0)))), 0)</f>
        <v>0</v>
      </c>
    </row>
    <row r="56" customFormat="false" ht="14.25" hidden="false" customHeight="false" outlineLevel="0" collapsed="false">
      <c r="A56" s="217" t="str">
        <f aca="false">+A55</f>
        <v>[ocultar]</v>
      </c>
      <c r="B56" s="246" t="s">
        <v>372</v>
      </c>
      <c r="C56" s="247" t="n">
        <f aca="false" t="array" ref="C56:C56">SUM(IF($B56=DATOS_[Sexo], IF($B54=DATOS_[AGRUP. VALOR. PTO.], IF("Dentro"=DATOS_[Check Periodo Ref.], 1/(COUNTIFS(DATOS_[Sexo],$B56,DATOS_[AGRUP. VALOR. PTO.],$B54,DATOS_[Check Periodo Ref.],"Dentro",DATOS_[id],DATOS_[id]))))))</f>
        <v>0</v>
      </c>
      <c r="D56" s="248" t="n">
        <f aca="false">COUNTIFS(DATOS_[AGRUP. VALOR. PTO.],$B54,DATOS_[Sexo],$B56,DATOS_[Check Periodo Ref.],"Dentro")</f>
        <v>0</v>
      </c>
      <c r="E56" s="249" t="n">
        <f aca="false" t="array" ref="E56:E56">IFERROR( MEDIAN(IF(DATOS_[Sexo]=$B56,IF(DATOS_[AGRUP. VALOR. PTO.]=$B54,IF(DATOS_[Check Periodo Ref.]="Dentro",DATOS_[SALARIO BASE Ef],0)))), 0)</f>
        <v>0</v>
      </c>
      <c r="F56" s="250" t="n">
        <f aca="false" t="array" ref="F56:F56">IFERROR( MEDIAN((IF(DATOS_[[Sexo]:[Sexo]]=$B56,IF(DATOS_[[AGRUP. VALOR. PTO.]:[AGRUP. VALOR. PTO.]]=$B54,IF(DATOS_[[Check Periodo Ref.]:[Check Periodo Ref.]]="Dentro",DATOS_[Conc.Sal.01]))))), 0)</f>
        <v>0</v>
      </c>
      <c r="G56" s="250" t="n">
        <f aca="false" t="array" ref="G56:G56">IFERROR( MEDIAN((IF(DATOS_[[Sexo]:[Sexo]]=$B56,IF(DATOS_[[AGRUP. VALOR. PTO.]:[AGRUP. VALOR. PTO.]]=$B54,IF(DATOS_[[Check Periodo Ref.]:[Check Periodo Ref.]]="Dentro",DATOS_[Conc.Sal.02]))))), 0)</f>
        <v>0</v>
      </c>
      <c r="H56" s="250" t="n">
        <f aca="false" t="array" ref="H56:H56">IFERROR( MEDIAN((IF(DATOS_[[Sexo]:[Sexo]]=$B56,IF(DATOS_[[AGRUP. VALOR. PTO.]:[AGRUP. VALOR. PTO.]]=$B54,IF(DATOS_[[Check Periodo Ref.]:[Check Periodo Ref.]]="Dentro",DATOS_[Conc.Sal.03]))))), 0)</f>
        <v>0</v>
      </c>
      <c r="I56" s="250" t="n">
        <f aca="false" t="array" ref="I56:I56">IFERROR( MEDIAN((IF(DATOS_[[Sexo]:[Sexo]]=$B56,IF(DATOS_[[AGRUP. VALOR. PTO.]:[AGRUP. VALOR. PTO.]]=$B54,IF(DATOS_[[Check Periodo Ref.]:[Check Periodo Ref.]]="Dentro",DATOS_[Conc.Sal.04]))))), 0)</f>
        <v>0</v>
      </c>
      <c r="J56" s="250" t="n">
        <f aca="false" t="array" ref="J56:J56">IFERROR( MEDIAN((IF(DATOS_[[Sexo]:[Sexo]]=$B56,IF(DATOS_[[AGRUP. VALOR. PTO.]:[AGRUP. VALOR. PTO.]]=$B54,IF(DATOS_[[Check Periodo Ref.]:[Check Periodo Ref.]]="Dentro",DATOS_[Conc.Sal.05]))))), 0)</f>
        <v>0</v>
      </c>
      <c r="K56" s="250" t="n">
        <f aca="false" t="array" ref="K56:K56">IFERROR( MEDIAN((IF(DATOS_[[Sexo]:[Sexo]]=$B56,IF(DATOS_[[AGRUP. VALOR. PTO.]:[AGRUP. VALOR. PTO.]]=$B54,IF(DATOS_[[Check Periodo Ref.]:[Check Periodo Ref.]]="Dentro",DATOS_[Conc.Sal.06]))))), 0)</f>
        <v>0</v>
      </c>
      <c r="L56" s="250" t="n">
        <f aca="false" t="array" ref="L56:L56">IFERROR( MEDIAN((IF(DATOS_[[Sexo]:[Sexo]]=$B56,IF(DATOS_[[AGRUP. VALOR. PTO.]:[AGRUP. VALOR. PTO.]]=$B54,IF(DATOS_[[Check Periodo Ref.]:[Check Periodo Ref.]]="Dentro",DATOS_[Conc.Sal.07]))))), 0)</f>
        <v>0</v>
      </c>
      <c r="M56" s="250" t="n">
        <f aca="false" t="array" ref="M56:M56">IFERROR( MEDIAN((IF(DATOS_[[Sexo]:[Sexo]]=$B56,IF(DATOS_[[AGRUP. VALOR. PTO.]:[AGRUP. VALOR. PTO.]]=$B54,IF(DATOS_[[Check Periodo Ref.]:[Check Periodo Ref.]]="Dentro",DATOS_[Conc.Sal.08]))))), 0)</f>
        <v>0</v>
      </c>
      <c r="N56" s="250" t="n">
        <f aca="false" t="array" ref="N56:N56">IFERROR( MEDIAN((IF(DATOS_[[Sexo]:[Sexo]]=$B56,IF(DATOS_[[AGRUP. VALOR. PTO.]:[AGRUP. VALOR. PTO.]]=$B54,IF(DATOS_[[Check Periodo Ref.]:[Check Periodo Ref.]]="Dentro",DATOS_[Conc.Sal.09]))))), 0)</f>
        <v>0</v>
      </c>
      <c r="O56" s="250" t="n">
        <f aca="false" t="array" ref="O56:O56">IFERROR( MEDIAN((IF(DATOS_[[Sexo]:[Sexo]]=$B56,IF(DATOS_[[AGRUP. VALOR. PTO.]:[AGRUP. VALOR. PTO.]]=$B54,IF(DATOS_[[Check Periodo Ref.]:[Check Periodo Ref.]]="Dentro",DATOS_[Conc.Sal.10]))))), 0)</f>
        <v>0</v>
      </c>
      <c r="P56" s="250" t="n">
        <f aca="false" t="array" ref="P56:P56">IFERROR( MEDIAN((IF(DATOS_[[Sexo]:[Sexo]]=$B56,IF(DATOS_[[AGRUP. VALOR. PTO.]:[AGRUP. VALOR. PTO.]]=$B54,IF(DATOS_[[Check Periodo Ref.]:[Check Periodo Ref.]]="Dentro",DATOS_[Conc.Sal.11]))))), 0)</f>
        <v>0</v>
      </c>
      <c r="Q56" s="250" t="n">
        <f aca="false" t="array" ref="Q56:Q56">IFERROR( MEDIAN((IF(DATOS_[[Sexo]:[Sexo]]=$B56,IF(DATOS_[[AGRUP. VALOR. PTO.]:[AGRUP. VALOR. PTO.]]=$B54,IF(DATOS_[[Check Periodo Ref.]:[Check Periodo Ref.]]="Dentro",DATOS_[Conc.Sal.12]))))), 0)</f>
        <v>0</v>
      </c>
      <c r="R56" s="250" t="n">
        <f aca="false" t="array" ref="R56:R56">IFERROR( MEDIAN((IF(DATOS_[[Sexo]:[Sexo]]=$B56,IF(DATOS_[[AGRUP. VALOR. PTO.]:[AGRUP. VALOR. PTO.]]=$B54,IF(DATOS_[[Check Periodo Ref.]:[Check Periodo Ref.]]="Dentro",DATOS_[Conc.Sal.13]))))), 0)</f>
        <v>0</v>
      </c>
      <c r="S56" s="250" t="n">
        <f aca="false" t="array" ref="S56:S56">IFERROR( MEDIAN((IF(DATOS_[[Sexo]:[Sexo]]=$B56,IF(DATOS_[[AGRUP. VALOR. PTO.]:[AGRUP. VALOR. PTO.]]=$B54,IF(DATOS_[[Check Periodo Ref.]:[Check Periodo Ref.]]="Dentro",DATOS_[Conc.Sal.14]))))), 0)</f>
        <v>0</v>
      </c>
      <c r="T56" s="250" t="n">
        <f aca="false" t="array" ref="T56:T56">IFERROR( MEDIAN((IF(DATOS_[[Sexo]:[Sexo]]=$B56,IF(DATOS_[[AGRUP. VALOR. PTO.]:[AGRUP. VALOR. PTO.]]=$B54,IF(DATOS_[[Check Periodo Ref.]:[Check Periodo Ref.]]="Dentro",DATOS_[Conc.Sal.15]))))), 0)</f>
        <v>0</v>
      </c>
      <c r="U56" s="250" t="n">
        <f aca="false" t="array" ref="U56:U56">IFERROR( MEDIAN((IF(DATOS_[[Sexo]:[Sexo]]=$B56,IF(DATOS_[[AGRUP. VALOR. PTO.]:[AGRUP. VALOR. PTO.]]=$B54,IF(DATOS_[[Check Periodo Ref.]:[Check Periodo Ref.]]="Dentro",DATOS_[Conc.Sal.16]))))), 0)</f>
        <v>0</v>
      </c>
      <c r="V56" s="250" t="n">
        <f aca="false" t="array" ref="V56:V56">IFERROR( MEDIAN((IF(DATOS_[[Sexo]:[Sexo]]=$B56,IF(DATOS_[[AGRUP. VALOR. PTO.]:[AGRUP. VALOR. PTO.]]=$B54,IF(DATOS_[[Check Periodo Ref.]:[Check Periodo Ref.]]="Dentro",DATOS_[Conc.Sal.17]))))), 0)</f>
        <v>0</v>
      </c>
      <c r="W56" s="250" t="n">
        <f aca="false" t="array" ref="W56:W56">IFERROR( MEDIAN((IF(DATOS_[[Sexo]:[Sexo]]=$B56,IF(DATOS_[[AGRUP. VALOR. PTO.]:[AGRUP. VALOR. PTO.]]=$B54,IF(DATOS_[[Check Periodo Ref.]:[Check Periodo Ref.]]="Dentro",DATOS_[Conc.Sal.18]))))), 0)</f>
        <v>0</v>
      </c>
      <c r="X56" s="250" t="n">
        <f aca="false" t="array" ref="X56:X56">IFERROR( MEDIAN((IF(DATOS_[[Sexo]:[Sexo]]=$B56,IF(DATOS_[[AGRUP. VALOR. PTO.]:[AGRUP. VALOR. PTO.]]=$B54,IF(DATOS_[[Check Periodo Ref.]:[Check Periodo Ref.]]="Dentro",DATOS_[Conc.Sal.19]))))), 0)</f>
        <v>0</v>
      </c>
      <c r="Y56" s="250" t="n">
        <f aca="false" t="array" ref="Y56:Y56">IFERROR( MEDIAN((IF(DATOS_[[Sexo]:[Sexo]]=$B56,IF(DATOS_[[AGRUP. VALOR. PTO.]:[AGRUP. VALOR. PTO.]]=$B54,IF(DATOS_[[Check Periodo Ref.]:[Check Periodo Ref.]]="Dentro",DATOS_[Conc.Sal.20]))))), 0)</f>
        <v>0</v>
      </c>
      <c r="Z56" s="250" t="n">
        <f aca="false" t="array" ref="Z56:Z56">IFERROR( MEDIAN((IF(DATOS_[[Sexo]:[Sexo]]=$B56,IF(DATOS_[[AGRUP. VALOR. PTO.]:[AGRUP. VALOR. PTO.]]=$B54,IF(DATOS_[[Check Periodo Ref.]:[Check Periodo Ref.]]="Dentro",DATOS_[Conc.Sal.21]))))), 0)</f>
        <v>0</v>
      </c>
      <c r="AA56" s="250" t="n">
        <f aca="false" t="array" ref="AA56:AA56">IFERROR( MEDIAN((IF(DATOS_[[Sexo]:[Sexo]]=$B56,IF(DATOS_[[AGRUP. VALOR. PTO.]:[AGRUP. VALOR. PTO.]]=$B54,IF(DATOS_[[Check Periodo Ref.]:[Check Periodo Ref.]]="Dentro",DATOS_[Conc.Sal.22]))))), 0)</f>
        <v>0</v>
      </c>
      <c r="AB56" s="250" t="n">
        <f aca="false" t="array" ref="AB56:AB56">IFERROR( MEDIAN((IF(DATOS_[[Sexo]:[Sexo]]=$B56,IF(DATOS_[[AGRUP. VALOR. PTO.]:[AGRUP. VALOR. PTO.]]=$B54,IF(DATOS_[[Check Periodo Ref.]:[Check Periodo Ref.]]="Dentro",DATOS_[Conc.Sal.23]))))), 0)</f>
        <v>0</v>
      </c>
      <c r="AC56" s="250" t="n">
        <f aca="false" t="array" ref="AC56:AC56">IFERROR( MEDIAN((IF(DATOS_[[Sexo]:[Sexo]]=$B56,IF(DATOS_[[AGRUP. VALOR. PTO.]:[AGRUP. VALOR. PTO.]]=$B54,IF(DATOS_[[Check Periodo Ref.]:[Check Periodo Ref.]]="Dentro",DATOS_[Conc.Sal.24]))))), 0)</f>
        <v>0</v>
      </c>
      <c r="AD56" s="250" t="n">
        <f aca="false" t="array" ref="AD56:AD56">IFERROR( MEDIAN((IF(DATOS_[[Sexo]:[Sexo]]=$B56,IF(DATOS_[[AGRUP. VALOR. PTO.]:[AGRUP. VALOR. PTO.]]=$B54,IF(DATOS_[[Check Periodo Ref.]:[Check Periodo Ref.]]="Dentro",DATOS_[Conc.Sal.25]))))), 0)</f>
        <v>0</v>
      </c>
      <c r="AE56" s="250" t="n">
        <f aca="false" t="array" ref="AE56:AE56">IFERROR( MEDIAN((IF(DATOS_[[Sexo]:[Sexo]]=$B56,IF(DATOS_[[AGRUP. VALOR. PTO.]:[AGRUP. VALOR. PTO.]]=$B54,IF(DATOS_[[Check Periodo Ref.]:[Check Periodo Ref.]]="Dentro",DATOS_[Conc.Sal.26]))))), 0)</f>
        <v>0</v>
      </c>
      <c r="AF56" s="250" t="n">
        <f aca="false" t="array" ref="AF56:AF56">IFERROR( MEDIAN((IF(DATOS_[[Sexo]:[Sexo]]=$B56,IF(DATOS_[[AGRUP. VALOR. PTO.]:[AGRUP. VALOR. PTO.]]=$B54,IF(DATOS_[[Check Periodo Ref.]:[Check Periodo Ref.]]="Dentro",DATOS_[Conc.Sal.27]))))), 0)</f>
        <v>0</v>
      </c>
      <c r="AG56" s="250" t="n">
        <f aca="false" t="array" ref="AG56:AG56">IFERROR( MEDIAN((IF(DATOS_[[Sexo]:[Sexo]]=$B56,IF(DATOS_[[AGRUP. VALOR. PTO.]:[AGRUP. VALOR. PTO.]]=$B54,IF(DATOS_[[Check Periodo Ref.]:[Check Periodo Ref.]]="Dentro",DATOS_[Conc.Sal.28]))))), 0)</f>
        <v>0</v>
      </c>
      <c r="AH56" s="250" t="n">
        <f aca="false" t="array" ref="AH56:AH56">IFERROR( MEDIAN((IF(DATOS_[[Sexo]:[Sexo]]=$B56,IF(DATOS_[[AGRUP. VALOR. PTO.]:[AGRUP. VALOR. PTO.]]=$B54,IF(DATOS_[[Check Periodo Ref.]:[Check Periodo Ref.]]="Dentro",DATOS_[Conc.Sal.29]))))), 0)</f>
        <v>0</v>
      </c>
      <c r="AI56" s="250" t="n">
        <f aca="false" t="array" ref="AI56:AI56">IFERROR( MEDIAN((IF(DATOS_[[Sexo]:[Sexo]]=$B56,IF(DATOS_[[AGRUP. VALOR. PTO.]:[AGRUP. VALOR. PTO.]]=$B54,IF(DATOS_[[Check Periodo Ref.]:[Check Periodo Ref.]]="Dentro",DATOS_[Conc.Sal.30]))))), 0)</f>
        <v>0</v>
      </c>
      <c r="AJ56" s="251" t="n">
        <f aca="false" t="array" ref="AJ56:AJ56">IFERROR( MEDIAN(IF(DATOS_[Sexo]=$B56,IF(DATOS_[AGRUP. VALOR. PTO.]=$B54,IF(DATOS_[Check Periodo Ref.]="Dentro",DATOS_[Tot COMPL.SAL Ef],0)))), 0)</f>
        <v>0</v>
      </c>
      <c r="AK56" s="252" t="n">
        <f aca="false" t="array" ref="AK56:AK56">IFERROR( MEDIAN(IF(DATOS_[Sexo]=$B56,IF(DATOS_[AGRUP. VALOR. PTO.]=$B54,IF(DATOS_[Check Periodo Ref.]="Dentro",DATOS_[TOTAL SALARIO Ef],0)))), 0)</f>
        <v>0</v>
      </c>
      <c r="AL56" s="259" t="n">
        <f aca="false" t="array" ref="AL56:AL56">IFERROR( MEDIAN((IF(DATOS_[[Sexo]:[Sexo]]=$B56,IF(DATOS_[[AGRUP. VALOR. PTO.]:[AGRUP. VALOR. PTO.]]=$B54,IF(DATOS_[[Check Periodo Ref.]:[Check Periodo Ref.]]="Dentro",DATOS_[C.Extra.01]))))), 0)</f>
        <v>0</v>
      </c>
      <c r="AM56" s="259" t="n">
        <f aca="false" t="array" ref="AM56:AM56">IFERROR( MEDIAN((IF(DATOS_[[Sexo]:[Sexo]]=$B56,IF(DATOS_[[AGRUP. VALOR. PTO.]:[AGRUP. VALOR. PTO.]]=$B54,IF(DATOS_[[Check Periodo Ref.]:[Check Periodo Ref.]]="Dentro",DATOS_[C.Extra.02]))))), 0)</f>
        <v>0</v>
      </c>
      <c r="AN56" s="259" t="n">
        <f aca="false" t="array" ref="AN56:AN56">IFERROR( MEDIAN((IF(DATOS_[[Sexo]:[Sexo]]=$B56,IF(DATOS_[[AGRUP. VALOR. PTO.]:[AGRUP. VALOR. PTO.]]=$B54,IF(DATOS_[[Check Periodo Ref.]:[Check Periodo Ref.]]="Dentro",DATOS_[C.Extra.03]))))), 0)</f>
        <v>0</v>
      </c>
      <c r="AO56" s="259" t="n">
        <f aca="false" t="array" ref="AO56:AO56">IFERROR( MEDIAN((IF(DATOS_[[Sexo]:[Sexo]]=$B56,IF(DATOS_[[AGRUP. VALOR. PTO.]:[AGRUP. VALOR. PTO.]]=$B54,IF(DATOS_[[Check Periodo Ref.]:[Check Periodo Ref.]]="Dentro",DATOS_[C.Extra.04]))))), 0)</f>
        <v>0</v>
      </c>
      <c r="AP56" s="259" t="n">
        <f aca="false" t="array" ref="AP56:AP56">IFERROR( MEDIAN((IF(DATOS_[[Sexo]:[Sexo]]=$B56,IF(DATOS_[[AGRUP. VALOR. PTO.]:[AGRUP. VALOR. PTO.]]=$B54,IF(DATOS_[[Check Periodo Ref.]:[Check Periodo Ref.]]="Dentro",DATOS_[C.Extra.05]))))), 0)</f>
        <v>0</v>
      </c>
      <c r="AQ56" s="254" t="n">
        <f aca="false" t="array" ref="AQ56:AQ56">IFERROR( MEDIAN(IF(DATOS_[Sexo]=$B56,IF(DATOS_[AGRUP. VALOR. PTO.]=$B54,IF(DATOS_[Check Periodo Ref.]="Dentro",DATOS_[Tot Extrasalarial Ef],0)))), 0)</f>
        <v>0</v>
      </c>
      <c r="AR56" s="255" t="n">
        <f aca="false" t="array" ref="AR56:AR56">IFERROR( MEDIAN(IF(DATOS_[Sexo]=$B56,IF(DATOS_[AGRUP. VALOR. PTO.]=$B54,IF(DATOS_[Check Periodo Ref.]="Dentro",DATOS_[TOTAL Retrib Ef],0)))), 0)</f>
        <v>0</v>
      </c>
    </row>
    <row r="57" customFormat="false" ht="15.75" hidden="false" customHeight="false" outlineLevel="0" collapsed="false">
      <c r="A57" s="217" t="str">
        <f aca="false">+A58</f>
        <v>[ocultar]</v>
      </c>
      <c r="B57" s="235" t="s">
        <v>211</v>
      </c>
      <c r="C57" s="236"/>
      <c r="D57" s="237"/>
      <c r="E57" s="238" t="str">
        <f aca="false">IFERROR((E58-E59)/E58,"")</f>
        <v/>
      </c>
      <c r="F57" s="239" t="str">
        <f aca="false">IFERROR((F58-F59)/F58,"")</f>
        <v/>
      </c>
      <c r="G57" s="239" t="str">
        <f aca="false">IFERROR((G58-G59)/G58,"")</f>
        <v/>
      </c>
      <c r="H57" s="239" t="str">
        <f aca="false">IFERROR((H58-H59)/H58,"")</f>
        <v/>
      </c>
      <c r="I57" s="239"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40" t="str">
        <f aca="false">IFERROR((V58-V59)/V58,"")</f>
        <v/>
      </c>
      <c r="W57" s="240" t="str">
        <f aca="false">IFERROR((W58-W59)/W58,"")</f>
        <v/>
      </c>
      <c r="X57" s="240" t="str">
        <f aca="false">IFERROR((X58-X59)/X58,"")</f>
        <v/>
      </c>
      <c r="Y57" s="240"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1" t="str">
        <f aca="false">IFERROR((AJ58-AJ59)/AJ58,"")</f>
        <v/>
      </c>
      <c r="AK57" s="242" t="str">
        <f aca="false">IFERROR((AK58-AK59)/AK58,"")</f>
        <v/>
      </c>
      <c r="AL57" s="243" t="str">
        <f aca="false">IFERROR((AL58-AL59)/AL58,"")</f>
        <v/>
      </c>
      <c r="AM57" s="243" t="str">
        <f aca="false">IFERROR((AM58-AM59)/AM58,"")</f>
        <v/>
      </c>
      <c r="AN57" s="243" t="str">
        <f aca="false">IFERROR((AN58-AN59)/AN58,"")</f>
        <v/>
      </c>
      <c r="AO57" s="243" t="str">
        <f aca="false">IFERROR((AO58-AO59)/AO58,"")</f>
        <v/>
      </c>
      <c r="AP57" s="243" t="str">
        <f aca="false">IFERROR((AP58-AP59)/AP58,"")</f>
        <v/>
      </c>
      <c r="AQ57" s="244" t="str">
        <f aca="false">IFERROR((AQ58-AQ59)/AQ58,"")</f>
        <v/>
      </c>
      <c r="AR57" s="245" t="str">
        <f aca="false">IFERROR((AR58-AR59)/AR58,"")</f>
        <v/>
      </c>
    </row>
    <row r="58" customFormat="false" ht="14.25" hidden="false" customHeight="false" outlineLevel="0" collapsed="false">
      <c r="A58" s="217" t="str">
        <f aca="false">+IF(C58+C59=0,"[ocultar]","")</f>
        <v>[ocultar]</v>
      </c>
      <c r="B58" s="246" t="s">
        <v>371</v>
      </c>
      <c r="C58" s="247" t="n">
        <f aca="false" t="array" ref="C58:C58">SUM(IF($B58=DATOS_[Sexo], IF($B57=DATOS_[AGRUP. VALOR. PTO.], IF("Dentro"=DATOS_[Check Periodo Ref.], 1/(COUNTIFS(DATOS_[Sexo],$B58,DATOS_[AGRUP. VALOR. PTO.],$B57,DATOS_[Check Periodo Ref.],"Dentro",DATOS_[id],DATOS_[id]))))))</f>
        <v>0</v>
      </c>
      <c r="D58" s="248" t="n">
        <f aca="false">COUNTIFS(DATOS_[AGRUP. VALOR. PTO.],$B57,DATOS_[Sexo],$B58,DATOS_[Check Periodo Ref.],"Dentro")</f>
        <v>0</v>
      </c>
      <c r="E58" s="249" t="n">
        <f aca="false" t="array" ref="E58:E58">IFERROR( MEDIAN(IF(DATOS_[Sexo]=$B58,IF(DATOS_[AGRUP. VALOR. PTO.]=$B57,IF(DATOS_[Check Periodo Ref.]="Dentro",DATOS_[SALARIO BASE Ef],0)))), 0)</f>
        <v>0</v>
      </c>
      <c r="F58" s="250" t="n">
        <f aca="false" t="array" ref="F58:F58">IFERROR( MEDIAN((IF(DATOS_[[Sexo]:[Sexo]]=$B58,IF(DATOS_[[AGRUP. VALOR. PTO.]:[AGRUP. VALOR. PTO.]]=$B57,IF(DATOS_[[Check Periodo Ref.]:[Check Periodo Ref.]]="Dentro",DATOS_[Conc.Sal.01]))))), 0)</f>
        <v>0</v>
      </c>
      <c r="G58" s="250" t="n">
        <f aca="false" t="array" ref="G58:G58">IFERROR( MEDIAN((IF(DATOS_[[Sexo]:[Sexo]]=$B58,IF(DATOS_[[AGRUP. VALOR. PTO.]:[AGRUP. VALOR. PTO.]]=$B57,IF(DATOS_[[Check Periodo Ref.]:[Check Periodo Ref.]]="Dentro",DATOS_[Conc.Sal.02]))))), 0)</f>
        <v>0</v>
      </c>
      <c r="H58" s="250" t="n">
        <f aca="false" t="array" ref="H58:H58">IFERROR( MEDIAN((IF(DATOS_[[Sexo]:[Sexo]]=$B58,IF(DATOS_[[AGRUP. VALOR. PTO.]:[AGRUP. VALOR. PTO.]]=$B57,IF(DATOS_[[Check Periodo Ref.]:[Check Periodo Ref.]]="Dentro",DATOS_[Conc.Sal.03]))))), 0)</f>
        <v>0</v>
      </c>
      <c r="I58" s="250" t="n">
        <f aca="false" t="array" ref="I58:I58">IFERROR( MEDIAN((IF(DATOS_[[Sexo]:[Sexo]]=$B58,IF(DATOS_[[AGRUP. VALOR. PTO.]:[AGRUP. VALOR. PTO.]]=$B57,IF(DATOS_[[Check Periodo Ref.]:[Check Periodo Ref.]]="Dentro",DATOS_[Conc.Sal.04]))))), 0)</f>
        <v>0</v>
      </c>
      <c r="J58" s="250" t="n">
        <f aca="false" t="array" ref="J58:J58">IFERROR( MEDIAN((IF(DATOS_[[Sexo]:[Sexo]]=$B58,IF(DATOS_[[AGRUP. VALOR. PTO.]:[AGRUP. VALOR. PTO.]]=$B57,IF(DATOS_[[Check Periodo Ref.]:[Check Periodo Ref.]]="Dentro",DATOS_[Conc.Sal.05]))))), 0)</f>
        <v>0</v>
      </c>
      <c r="K58" s="250" t="n">
        <f aca="false" t="array" ref="K58:K58">IFERROR( MEDIAN((IF(DATOS_[[Sexo]:[Sexo]]=$B58,IF(DATOS_[[AGRUP. VALOR. PTO.]:[AGRUP. VALOR. PTO.]]=$B57,IF(DATOS_[[Check Periodo Ref.]:[Check Periodo Ref.]]="Dentro",DATOS_[Conc.Sal.06]))))), 0)</f>
        <v>0</v>
      </c>
      <c r="L58" s="250" t="n">
        <f aca="false" t="array" ref="L58:L58">IFERROR( MEDIAN((IF(DATOS_[[Sexo]:[Sexo]]=$B58,IF(DATOS_[[AGRUP. VALOR. PTO.]:[AGRUP. VALOR. PTO.]]=$B57,IF(DATOS_[[Check Periodo Ref.]:[Check Periodo Ref.]]="Dentro",DATOS_[Conc.Sal.07]))))), 0)</f>
        <v>0</v>
      </c>
      <c r="M58" s="250" t="n">
        <f aca="false" t="array" ref="M58:M58">IFERROR( MEDIAN((IF(DATOS_[[Sexo]:[Sexo]]=$B58,IF(DATOS_[[AGRUP. VALOR. PTO.]:[AGRUP. VALOR. PTO.]]=$B57,IF(DATOS_[[Check Periodo Ref.]:[Check Periodo Ref.]]="Dentro",DATOS_[Conc.Sal.08]))))), 0)</f>
        <v>0</v>
      </c>
      <c r="N58" s="250" t="n">
        <f aca="false" t="array" ref="N58:N58">IFERROR( MEDIAN((IF(DATOS_[[Sexo]:[Sexo]]=$B58,IF(DATOS_[[AGRUP. VALOR. PTO.]:[AGRUP. VALOR. PTO.]]=$B57,IF(DATOS_[[Check Periodo Ref.]:[Check Periodo Ref.]]="Dentro",DATOS_[Conc.Sal.09]))))), 0)</f>
        <v>0</v>
      </c>
      <c r="O58" s="250" t="n">
        <f aca="false" t="array" ref="O58:O58">IFERROR( MEDIAN((IF(DATOS_[[Sexo]:[Sexo]]=$B58,IF(DATOS_[[AGRUP. VALOR. PTO.]:[AGRUP. VALOR. PTO.]]=$B57,IF(DATOS_[[Check Periodo Ref.]:[Check Periodo Ref.]]="Dentro",DATOS_[Conc.Sal.10]))))), 0)</f>
        <v>0</v>
      </c>
      <c r="P58" s="250" t="n">
        <f aca="false" t="array" ref="P58:P58">IFERROR( MEDIAN((IF(DATOS_[[Sexo]:[Sexo]]=$B58,IF(DATOS_[[AGRUP. VALOR. PTO.]:[AGRUP. VALOR. PTO.]]=$B57,IF(DATOS_[[Check Periodo Ref.]:[Check Periodo Ref.]]="Dentro",DATOS_[Conc.Sal.11]))))), 0)</f>
        <v>0</v>
      </c>
      <c r="Q58" s="250" t="n">
        <f aca="false" t="array" ref="Q58:Q58">IFERROR( MEDIAN((IF(DATOS_[[Sexo]:[Sexo]]=$B58,IF(DATOS_[[AGRUP. VALOR. PTO.]:[AGRUP. VALOR. PTO.]]=$B57,IF(DATOS_[[Check Periodo Ref.]:[Check Periodo Ref.]]="Dentro",DATOS_[Conc.Sal.12]))))), 0)</f>
        <v>0</v>
      </c>
      <c r="R58" s="250" t="n">
        <f aca="false" t="array" ref="R58:R58">IFERROR( MEDIAN((IF(DATOS_[[Sexo]:[Sexo]]=$B58,IF(DATOS_[[AGRUP. VALOR. PTO.]:[AGRUP. VALOR. PTO.]]=$B57,IF(DATOS_[[Check Periodo Ref.]:[Check Periodo Ref.]]="Dentro",DATOS_[Conc.Sal.13]))))), 0)</f>
        <v>0</v>
      </c>
      <c r="S58" s="250" t="n">
        <f aca="false" t="array" ref="S58:S58">IFERROR( MEDIAN((IF(DATOS_[[Sexo]:[Sexo]]=$B58,IF(DATOS_[[AGRUP. VALOR. PTO.]:[AGRUP. VALOR. PTO.]]=$B57,IF(DATOS_[[Check Periodo Ref.]:[Check Periodo Ref.]]="Dentro",DATOS_[Conc.Sal.14]))))), 0)</f>
        <v>0</v>
      </c>
      <c r="T58" s="250" t="n">
        <f aca="false" t="array" ref="T58:T58">IFERROR( MEDIAN((IF(DATOS_[[Sexo]:[Sexo]]=$B58,IF(DATOS_[[AGRUP. VALOR. PTO.]:[AGRUP. VALOR. PTO.]]=$B57,IF(DATOS_[[Check Periodo Ref.]:[Check Periodo Ref.]]="Dentro",DATOS_[Conc.Sal.15]))))), 0)</f>
        <v>0</v>
      </c>
      <c r="U58" s="250" t="n">
        <f aca="false" t="array" ref="U58:U58">IFERROR( MEDIAN((IF(DATOS_[[Sexo]:[Sexo]]=$B58,IF(DATOS_[[AGRUP. VALOR. PTO.]:[AGRUP. VALOR. PTO.]]=$B57,IF(DATOS_[[Check Periodo Ref.]:[Check Periodo Ref.]]="Dentro",DATOS_[Conc.Sal.16]))))), 0)</f>
        <v>0</v>
      </c>
      <c r="V58" s="250" t="n">
        <f aca="false" t="array" ref="V58:V58">IFERROR( MEDIAN((IF(DATOS_[[Sexo]:[Sexo]]=$B58,IF(DATOS_[[AGRUP. VALOR. PTO.]:[AGRUP. VALOR. PTO.]]=$B57,IF(DATOS_[[Check Periodo Ref.]:[Check Periodo Ref.]]="Dentro",DATOS_[Conc.Sal.17]))))), 0)</f>
        <v>0</v>
      </c>
      <c r="W58" s="250" t="n">
        <f aca="false" t="array" ref="W58:W58">IFERROR( MEDIAN((IF(DATOS_[[Sexo]:[Sexo]]=$B58,IF(DATOS_[[AGRUP. VALOR. PTO.]:[AGRUP. VALOR. PTO.]]=$B57,IF(DATOS_[[Check Periodo Ref.]:[Check Periodo Ref.]]="Dentro",DATOS_[Conc.Sal.18]))))), 0)</f>
        <v>0</v>
      </c>
      <c r="X58" s="250" t="n">
        <f aca="false" t="array" ref="X58:X58">IFERROR( MEDIAN((IF(DATOS_[[Sexo]:[Sexo]]=$B58,IF(DATOS_[[AGRUP. VALOR. PTO.]:[AGRUP. VALOR. PTO.]]=$B57,IF(DATOS_[[Check Periodo Ref.]:[Check Periodo Ref.]]="Dentro",DATOS_[Conc.Sal.19]))))), 0)</f>
        <v>0</v>
      </c>
      <c r="Y58" s="250" t="n">
        <f aca="false" t="array" ref="Y58:Y58">IFERROR( MEDIAN((IF(DATOS_[[Sexo]:[Sexo]]=$B58,IF(DATOS_[[AGRUP. VALOR. PTO.]:[AGRUP. VALOR. PTO.]]=$B57,IF(DATOS_[[Check Periodo Ref.]:[Check Periodo Ref.]]="Dentro",DATOS_[Conc.Sal.20]))))), 0)</f>
        <v>0</v>
      </c>
      <c r="Z58" s="250" t="n">
        <f aca="false" t="array" ref="Z58:Z58">IFERROR( MEDIAN((IF(DATOS_[[Sexo]:[Sexo]]=$B58,IF(DATOS_[[AGRUP. VALOR. PTO.]:[AGRUP. VALOR. PTO.]]=$B57,IF(DATOS_[[Check Periodo Ref.]:[Check Periodo Ref.]]="Dentro",DATOS_[Conc.Sal.21]))))), 0)</f>
        <v>0</v>
      </c>
      <c r="AA58" s="250" t="n">
        <f aca="false" t="array" ref="AA58:AA58">IFERROR( MEDIAN((IF(DATOS_[[Sexo]:[Sexo]]=$B58,IF(DATOS_[[AGRUP. VALOR. PTO.]:[AGRUP. VALOR. PTO.]]=$B57,IF(DATOS_[[Check Periodo Ref.]:[Check Periodo Ref.]]="Dentro",DATOS_[Conc.Sal.22]))))), 0)</f>
        <v>0</v>
      </c>
      <c r="AB58" s="250" t="n">
        <f aca="false" t="array" ref="AB58:AB58">IFERROR( MEDIAN((IF(DATOS_[[Sexo]:[Sexo]]=$B58,IF(DATOS_[[AGRUP. VALOR. PTO.]:[AGRUP. VALOR. PTO.]]=$B57,IF(DATOS_[[Check Periodo Ref.]:[Check Periodo Ref.]]="Dentro",DATOS_[Conc.Sal.23]))))), 0)</f>
        <v>0</v>
      </c>
      <c r="AC58" s="250" t="n">
        <f aca="false" t="array" ref="AC58:AC58">IFERROR( MEDIAN((IF(DATOS_[[Sexo]:[Sexo]]=$B58,IF(DATOS_[[AGRUP. VALOR. PTO.]:[AGRUP. VALOR. PTO.]]=$B57,IF(DATOS_[[Check Periodo Ref.]:[Check Periodo Ref.]]="Dentro",DATOS_[Conc.Sal.24]))))), 0)</f>
        <v>0</v>
      </c>
      <c r="AD58" s="250" t="n">
        <f aca="false" t="array" ref="AD58:AD58">IFERROR( MEDIAN((IF(DATOS_[[Sexo]:[Sexo]]=$B58,IF(DATOS_[[AGRUP. VALOR. PTO.]:[AGRUP. VALOR. PTO.]]=$B57,IF(DATOS_[[Check Periodo Ref.]:[Check Periodo Ref.]]="Dentro",DATOS_[Conc.Sal.25]))))), 0)</f>
        <v>0</v>
      </c>
      <c r="AE58" s="250" t="n">
        <f aca="false" t="array" ref="AE58:AE58">IFERROR( MEDIAN((IF(DATOS_[[Sexo]:[Sexo]]=$B58,IF(DATOS_[[AGRUP. VALOR. PTO.]:[AGRUP. VALOR. PTO.]]=$B57,IF(DATOS_[[Check Periodo Ref.]:[Check Periodo Ref.]]="Dentro",DATOS_[Conc.Sal.26]))))), 0)</f>
        <v>0</v>
      </c>
      <c r="AF58" s="250" t="n">
        <f aca="false" t="array" ref="AF58:AF58">IFERROR( MEDIAN((IF(DATOS_[[Sexo]:[Sexo]]=$B58,IF(DATOS_[[AGRUP. VALOR. PTO.]:[AGRUP. VALOR. PTO.]]=$B57,IF(DATOS_[[Check Periodo Ref.]:[Check Periodo Ref.]]="Dentro",DATOS_[Conc.Sal.27]))))), 0)</f>
        <v>0</v>
      </c>
      <c r="AG58" s="250" t="n">
        <f aca="false" t="array" ref="AG58:AG58">IFERROR( MEDIAN((IF(DATOS_[[Sexo]:[Sexo]]=$B58,IF(DATOS_[[AGRUP. VALOR. PTO.]:[AGRUP. VALOR. PTO.]]=$B57,IF(DATOS_[[Check Periodo Ref.]:[Check Periodo Ref.]]="Dentro",DATOS_[Conc.Sal.28]))))), 0)</f>
        <v>0</v>
      </c>
      <c r="AH58" s="250" t="n">
        <f aca="false" t="array" ref="AH58:AH58">IFERROR( MEDIAN((IF(DATOS_[[Sexo]:[Sexo]]=$B58,IF(DATOS_[[AGRUP. VALOR. PTO.]:[AGRUP. VALOR. PTO.]]=$B57,IF(DATOS_[[Check Periodo Ref.]:[Check Periodo Ref.]]="Dentro",DATOS_[Conc.Sal.29]))))), 0)</f>
        <v>0</v>
      </c>
      <c r="AI58" s="250" t="n">
        <f aca="false" t="array" ref="AI58:AI58">IFERROR( MEDIAN((IF(DATOS_[[Sexo]:[Sexo]]=$B58,IF(DATOS_[[AGRUP. VALOR. PTO.]:[AGRUP. VALOR. PTO.]]=$B57,IF(DATOS_[[Check Periodo Ref.]:[Check Periodo Ref.]]="Dentro",DATOS_[Conc.Sal.30]))))), 0)</f>
        <v>0</v>
      </c>
      <c r="AJ58" s="251" t="n">
        <f aca="false" t="array" ref="AJ58:AJ58">IFERROR( MEDIAN(IF(DATOS_[Sexo]=$B58,IF(DATOS_[AGRUP. VALOR. PTO.]=$B57,IF(DATOS_[Check Periodo Ref.]="Dentro",DATOS_[Tot COMPL.SAL Ef],0)))), 0)</f>
        <v>0</v>
      </c>
      <c r="AK58" s="252" t="n">
        <f aca="false" t="array" ref="AK58:AK58">IFERROR( MEDIAN(IF(DATOS_[Sexo]=$B58,IF(DATOS_[AGRUP. VALOR. PTO.]=$B57,IF(DATOS_[Check Periodo Ref.]="Dentro",DATOS_[TOTAL SALARIO Ef],0)))), 0)</f>
        <v>0</v>
      </c>
      <c r="AL58" s="259" t="n">
        <f aca="false" t="array" ref="AL58:AL58">IFERROR( MEDIAN((IF(DATOS_[[Sexo]:[Sexo]]=$B58,IF(DATOS_[[AGRUP. VALOR. PTO.]:[AGRUP. VALOR. PTO.]]=$B57,IF(DATOS_[[Check Periodo Ref.]:[Check Periodo Ref.]]="Dentro",DATOS_[C.Extra.01]))))), 0)</f>
        <v>0</v>
      </c>
      <c r="AM58" s="259" t="n">
        <f aca="false" t="array" ref="AM58:AM58">IFERROR( MEDIAN((IF(DATOS_[[Sexo]:[Sexo]]=$B58,IF(DATOS_[[AGRUP. VALOR. PTO.]:[AGRUP. VALOR. PTO.]]=$B57,IF(DATOS_[[Check Periodo Ref.]:[Check Periodo Ref.]]="Dentro",DATOS_[C.Extra.02]))))), 0)</f>
        <v>0</v>
      </c>
      <c r="AN58" s="259" t="n">
        <f aca="false" t="array" ref="AN58:AN58">IFERROR( MEDIAN((IF(DATOS_[[Sexo]:[Sexo]]=$B58,IF(DATOS_[[AGRUP. VALOR. PTO.]:[AGRUP. VALOR. PTO.]]=$B57,IF(DATOS_[[Check Periodo Ref.]:[Check Periodo Ref.]]="Dentro",DATOS_[C.Extra.03]))))), 0)</f>
        <v>0</v>
      </c>
      <c r="AO58" s="259" t="n">
        <f aca="false" t="array" ref="AO58:AO58">IFERROR( MEDIAN((IF(DATOS_[[Sexo]:[Sexo]]=$B58,IF(DATOS_[[AGRUP. VALOR. PTO.]:[AGRUP. VALOR. PTO.]]=$B57,IF(DATOS_[[Check Periodo Ref.]:[Check Periodo Ref.]]="Dentro",DATOS_[C.Extra.04]))))), 0)</f>
        <v>0</v>
      </c>
      <c r="AP58" s="259" t="n">
        <f aca="false" t="array" ref="AP58:AP58">IFERROR( MEDIAN((IF(DATOS_[[Sexo]:[Sexo]]=$B58,IF(DATOS_[[AGRUP. VALOR. PTO.]:[AGRUP. VALOR. PTO.]]=$B57,IF(DATOS_[[Check Periodo Ref.]:[Check Periodo Ref.]]="Dentro",DATOS_[C.Extra.05]))))), 0)</f>
        <v>0</v>
      </c>
      <c r="AQ58" s="254" t="n">
        <f aca="false" t="array" ref="AQ58:AQ58">IFERROR( MEDIAN(IF(DATOS_[Sexo]=$B58,IF(DATOS_[AGRUP. VALOR. PTO.]=$B57,IF(DATOS_[Check Periodo Ref.]="Dentro",DATOS_[Tot Extrasalarial Ef],0)))), 0)</f>
        <v>0</v>
      </c>
      <c r="AR58" s="255" t="n">
        <f aca="false" t="array" ref="AR58:AR58">IFERROR( MEDIAN(IF(DATOS_[Sexo]=$B58,IF(DATOS_[AGRUP. VALOR. PTO.]=$B57,IF(DATOS_[Check Periodo Ref.]="Dentro",DATOS_[TOTAL Retrib Ef],0)))), 0)</f>
        <v>0</v>
      </c>
    </row>
    <row r="59" customFormat="false" ht="14.25" hidden="false" customHeight="false" outlineLevel="0" collapsed="false">
      <c r="A59" s="217" t="str">
        <f aca="false">+A58</f>
        <v>[ocultar]</v>
      </c>
      <c r="B59" s="246" t="s">
        <v>372</v>
      </c>
      <c r="C59" s="247" t="n">
        <f aca="false" t="array" ref="C59:C59">SUM(IF($B59=DATOS_[Sexo], IF($B57=DATOS_[AGRUP. VALOR. PTO.], IF("Dentro"=DATOS_[Check Periodo Ref.], 1/(COUNTIFS(DATOS_[Sexo],$B59,DATOS_[AGRUP. VALOR. PTO.],$B57,DATOS_[Check Periodo Ref.],"Dentro",DATOS_[id],DATOS_[id]))))))</f>
        <v>0</v>
      </c>
      <c r="D59" s="248" t="n">
        <f aca="false">COUNTIFS(DATOS_[AGRUP. VALOR. PTO.],$B57,DATOS_[Sexo],$B59,DATOS_[Check Periodo Ref.],"Dentro")</f>
        <v>0</v>
      </c>
      <c r="E59" s="249" t="n">
        <f aca="false" t="array" ref="E59:E59">IFERROR( MEDIAN(IF(DATOS_[Sexo]=$B59,IF(DATOS_[AGRUP. VALOR. PTO.]=$B57,IF(DATOS_[Check Periodo Ref.]="Dentro",DATOS_[SALARIO BASE Ef],0)))), 0)</f>
        <v>0</v>
      </c>
      <c r="F59" s="250" t="n">
        <f aca="false" t="array" ref="F59:F59">IFERROR( MEDIAN((IF(DATOS_[[Sexo]:[Sexo]]=$B59,IF(DATOS_[[AGRUP. VALOR. PTO.]:[AGRUP. VALOR. PTO.]]=$B57,IF(DATOS_[[Check Periodo Ref.]:[Check Periodo Ref.]]="Dentro",DATOS_[Conc.Sal.01]))))), 0)</f>
        <v>0</v>
      </c>
      <c r="G59" s="250" t="n">
        <f aca="false" t="array" ref="G59:G59">IFERROR( MEDIAN((IF(DATOS_[[Sexo]:[Sexo]]=$B59,IF(DATOS_[[AGRUP. VALOR. PTO.]:[AGRUP. VALOR. PTO.]]=$B57,IF(DATOS_[[Check Periodo Ref.]:[Check Periodo Ref.]]="Dentro",DATOS_[Conc.Sal.02]))))), 0)</f>
        <v>0</v>
      </c>
      <c r="H59" s="250" t="n">
        <f aca="false" t="array" ref="H59:H59">IFERROR( MEDIAN((IF(DATOS_[[Sexo]:[Sexo]]=$B59,IF(DATOS_[[AGRUP. VALOR. PTO.]:[AGRUP. VALOR. PTO.]]=$B57,IF(DATOS_[[Check Periodo Ref.]:[Check Periodo Ref.]]="Dentro",DATOS_[Conc.Sal.03]))))), 0)</f>
        <v>0</v>
      </c>
      <c r="I59" s="250" t="n">
        <f aca="false" t="array" ref="I59:I59">IFERROR( MEDIAN((IF(DATOS_[[Sexo]:[Sexo]]=$B59,IF(DATOS_[[AGRUP. VALOR. PTO.]:[AGRUP. VALOR. PTO.]]=$B57,IF(DATOS_[[Check Periodo Ref.]:[Check Periodo Ref.]]="Dentro",DATOS_[Conc.Sal.04]))))), 0)</f>
        <v>0</v>
      </c>
      <c r="J59" s="250" t="n">
        <f aca="false" t="array" ref="J59:J59">IFERROR( MEDIAN((IF(DATOS_[[Sexo]:[Sexo]]=$B59,IF(DATOS_[[AGRUP. VALOR. PTO.]:[AGRUP. VALOR. PTO.]]=$B57,IF(DATOS_[[Check Periodo Ref.]:[Check Periodo Ref.]]="Dentro",DATOS_[Conc.Sal.05]))))), 0)</f>
        <v>0</v>
      </c>
      <c r="K59" s="250" t="n">
        <f aca="false" t="array" ref="K59:K59">IFERROR( MEDIAN((IF(DATOS_[[Sexo]:[Sexo]]=$B59,IF(DATOS_[[AGRUP. VALOR. PTO.]:[AGRUP. VALOR. PTO.]]=$B57,IF(DATOS_[[Check Periodo Ref.]:[Check Periodo Ref.]]="Dentro",DATOS_[Conc.Sal.06]))))), 0)</f>
        <v>0</v>
      </c>
      <c r="L59" s="250" t="n">
        <f aca="false" t="array" ref="L59:L59">IFERROR( MEDIAN((IF(DATOS_[[Sexo]:[Sexo]]=$B59,IF(DATOS_[[AGRUP. VALOR. PTO.]:[AGRUP. VALOR. PTO.]]=$B57,IF(DATOS_[[Check Periodo Ref.]:[Check Periodo Ref.]]="Dentro",DATOS_[Conc.Sal.07]))))), 0)</f>
        <v>0</v>
      </c>
      <c r="M59" s="250" t="n">
        <f aca="false" t="array" ref="M59:M59">IFERROR( MEDIAN((IF(DATOS_[[Sexo]:[Sexo]]=$B59,IF(DATOS_[[AGRUP. VALOR. PTO.]:[AGRUP. VALOR. PTO.]]=$B57,IF(DATOS_[[Check Periodo Ref.]:[Check Periodo Ref.]]="Dentro",DATOS_[Conc.Sal.08]))))), 0)</f>
        <v>0</v>
      </c>
      <c r="N59" s="250" t="n">
        <f aca="false" t="array" ref="N59:N59">IFERROR( MEDIAN((IF(DATOS_[[Sexo]:[Sexo]]=$B59,IF(DATOS_[[AGRUP. VALOR. PTO.]:[AGRUP. VALOR. PTO.]]=$B57,IF(DATOS_[[Check Periodo Ref.]:[Check Periodo Ref.]]="Dentro",DATOS_[Conc.Sal.09]))))), 0)</f>
        <v>0</v>
      </c>
      <c r="O59" s="250" t="n">
        <f aca="false" t="array" ref="O59:O59">IFERROR( MEDIAN((IF(DATOS_[[Sexo]:[Sexo]]=$B59,IF(DATOS_[[AGRUP. VALOR. PTO.]:[AGRUP. VALOR. PTO.]]=$B57,IF(DATOS_[[Check Periodo Ref.]:[Check Periodo Ref.]]="Dentro",DATOS_[Conc.Sal.10]))))), 0)</f>
        <v>0</v>
      </c>
      <c r="P59" s="250" t="n">
        <f aca="false" t="array" ref="P59:P59">IFERROR( MEDIAN((IF(DATOS_[[Sexo]:[Sexo]]=$B59,IF(DATOS_[[AGRUP. VALOR. PTO.]:[AGRUP. VALOR. PTO.]]=$B57,IF(DATOS_[[Check Periodo Ref.]:[Check Periodo Ref.]]="Dentro",DATOS_[Conc.Sal.11]))))), 0)</f>
        <v>0</v>
      </c>
      <c r="Q59" s="250" t="n">
        <f aca="false" t="array" ref="Q59:Q59">IFERROR( MEDIAN((IF(DATOS_[[Sexo]:[Sexo]]=$B59,IF(DATOS_[[AGRUP. VALOR. PTO.]:[AGRUP. VALOR. PTO.]]=$B57,IF(DATOS_[[Check Periodo Ref.]:[Check Periodo Ref.]]="Dentro",DATOS_[Conc.Sal.12]))))), 0)</f>
        <v>0</v>
      </c>
      <c r="R59" s="250" t="n">
        <f aca="false" t="array" ref="R59:R59">IFERROR( MEDIAN((IF(DATOS_[[Sexo]:[Sexo]]=$B59,IF(DATOS_[[AGRUP. VALOR. PTO.]:[AGRUP. VALOR. PTO.]]=$B57,IF(DATOS_[[Check Periodo Ref.]:[Check Periodo Ref.]]="Dentro",DATOS_[Conc.Sal.13]))))), 0)</f>
        <v>0</v>
      </c>
      <c r="S59" s="250" t="n">
        <f aca="false" t="array" ref="S59:S59">IFERROR( MEDIAN((IF(DATOS_[[Sexo]:[Sexo]]=$B59,IF(DATOS_[[AGRUP. VALOR. PTO.]:[AGRUP. VALOR. PTO.]]=$B57,IF(DATOS_[[Check Periodo Ref.]:[Check Periodo Ref.]]="Dentro",DATOS_[Conc.Sal.14]))))), 0)</f>
        <v>0</v>
      </c>
      <c r="T59" s="250" t="n">
        <f aca="false" t="array" ref="T59:T59">IFERROR( MEDIAN((IF(DATOS_[[Sexo]:[Sexo]]=$B59,IF(DATOS_[[AGRUP. VALOR. PTO.]:[AGRUP. VALOR. PTO.]]=$B57,IF(DATOS_[[Check Periodo Ref.]:[Check Periodo Ref.]]="Dentro",DATOS_[Conc.Sal.15]))))), 0)</f>
        <v>0</v>
      </c>
      <c r="U59" s="250" t="n">
        <f aca="false" t="array" ref="U59:U59">IFERROR( MEDIAN((IF(DATOS_[[Sexo]:[Sexo]]=$B59,IF(DATOS_[[AGRUP. VALOR. PTO.]:[AGRUP. VALOR. PTO.]]=$B57,IF(DATOS_[[Check Periodo Ref.]:[Check Periodo Ref.]]="Dentro",DATOS_[Conc.Sal.16]))))), 0)</f>
        <v>0</v>
      </c>
      <c r="V59" s="250" t="n">
        <f aca="false" t="array" ref="V59:V59">IFERROR( MEDIAN((IF(DATOS_[[Sexo]:[Sexo]]=$B59,IF(DATOS_[[AGRUP. VALOR. PTO.]:[AGRUP. VALOR. PTO.]]=$B57,IF(DATOS_[[Check Periodo Ref.]:[Check Periodo Ref.]]="Dentro",DATOS_[Conc.Sal.17]))))), 0)</f>
        <v>0</v>
      </c>
      <c r="W59" s="250" t="n">
        <f aca="false" t="array" ref="W59:W59">IFERROR( MEDIAN((IF(DATOS_[[Sexo]:[Sexo]]=$B59,IF(DATOS_[[AGRUP. VALOR. PTO.]:[AGRUP. VALOR. PTO.]]=$B57,IF(DATOS_[[Check Periodo Ref.]:[Check Periodo Ref.]]="Dentro",DATOS_[Conc.Sal.18]))))), 0)</f>
        <v>0</v>
      </c>
      <c r="X59" s="250" t="n">
        <f aca="false" t="array" ref="X59:X59">IFERROR( MEDIAN((IF(DATOS_[[Sexo]:[Sexo]]=$B59,IF(DATOS_[[AGRUP. VALOR. PTO.]:[AGRUP. VALOR. PTO.]]=$B57,IF(DATOS_[[Check Periodo Ref.]:[Check Periodo Ref.]]="Dentro",DATOS_[Conc.Sal.19]))))), 0)</f>
        <v>0</v>
      </c>
      <c r="Y59" s="250" t="n">
        <f aca="false" t="array" ref="Y59:Y59">IFERROR( MEDIAN((IF(DATOS_[[Sexo]:[Sexo]]=$B59,IF(DATOS_[[AGRUP. VALOR. PTO.]:[AGRUP. VALOR. PTO.]]=$B57,IF(DATOS_[[Check Periodo Ref.]:[Check Periodo Ref.]]="Dentro",DATOS_[Conc.Sal.20]))))), 0)</f>
        <v>0</v>
      </c>
      <c r="Z59" s="250" t="n">
        <f aca="false" t="array" ref="Z59:Z59">IFERROR( MEDIAN((IF(DATOS_[[Sexo]:[Sexo]]=$B59,IF(DATOS_[[AGRUP. VALOR. PTO.]:[AGRUP. VALOR. PTO.]]=$B57,IF(DATOS_[[Check Periodo Ref.]:[Check Periodo Ref.]]="Dentro",DATOS_[Conc.Sal.21]))))), 0)</f>
        <v>0</v>
      </c>
      <c r="AA59" s="250" t="n">
        <f aca="false" t="array" ref="AA59:AA59">IFERROR( MEDIAN((IF(DATOS_[[Sexo]:[Sexo]]=$B59,IF(DATOS_[[AGRUP. VALOR. PTO.]:[AGRUP. VALOR. PTO.]]=$B57,IF(DATOS_[[Check Periodo Ref.]:[Check Periodo Ref.]]="Dentro",DATOS_[Conc.Sal.22]))))), 0)</f>
        <v>0</v>
      </c>
      <c r="AB59" s="250" t="n">
        <f aca="false" t="array" ref="AB59:AB59">IFERROR( MEDIAN((IF(DATOS_[[Sexo]:[Sexo]]=$B59,IF(DATOS_[[AGRUP. VALOR. PTO.]:[AGRUP. VALOR. PTO.]]=$B57,IF(DATOS_[[Check Periodo Ref.]:[Check Periodo Ref.]]="Dentro",DATOS_[Conc.Sal.23]))))), 0)</f>
        <v>0</v>
      </c>
      <c r="AC59" s="250" t="n">
        <f aca="false" t="array" ref="AC59:AC59">IFERROR( MEDIAN((IF(DATOS_[[Sexo]:[Sexo]]=$B59,IF(DATOS_[[AGRUP. VALOR. PTO.]:[AGRUP. VALOR. PTO.]]=$B57,IF(DATOS_[[Check Periodo Ref.]:[Check Periodo Ref.]]="Dentro",DATOS_[Conc.Sal.24]))))), 0)</f>
        <v>0</v>
      </c>
      <c r="AD59" s="250" t="n">
        <f aca="false" t="array" ref="AD59:AD59">IFERROR( MEDIAN((IF(DATOS_[[Sexo]:[Sexo]]=$B59,IF(DATOS_[[AGRUP. VALOR. PTO.]:[AGRUP. VALOR. PTO.]]=$B57,IF(DATOS_[[Check Periodo Ref.]:[Check Periodo Ref.]]="Dentro",DATOS_[Conc.Sal.25]))))), 0)</f>
        <v>0</v>
      </c>
      <c r="AE59" s="250" t="n">
        <f aca="false" t="array" ref="AE59:AE59">IFERROR( MEDIAN((IF(DATOS_[[Sexo]:[Sexo]]=$B59,IF(DATOS_[[AGRUP. VALOR. PTO.]:[AGRUP. VALOR. PTO.]]=$B57,IF(DATOS_[[Check Periodo Ref.]:[Check Periodo Ref.]]="Dentro",DATOS_[Conc.Sal.26]))))), 0)</f>
        <v>0</v>
      </c>
      <c r="AF59" s="250" t="n">
        <f aca="false" t="array" ref="AF59:AF59">IFERROR( MEDIAN((IF(DATOS_[[Sexo]:[Sexo]]=$B59,IF(DATOS_[[AGRUP. VALOR. PTO.]:[AGRUP. VALOR. PTO.]]=$B57,IF(DATOS_[[Check Periodo Ref.]:[Check Periodo Ref.]]="Dentro",DATOS_[Conc.Sal.27]))))), 0)</f>
        <v>0</v>
      </c>
      <c r="AG59" s="250" t="n">
        <f aca="false" t="array" ref="AG59:AG59">IFERROR( MEDIAN((IF(DATOS_[[Sexo]:[Sexo]]=$B59,IF(DATOS_[[AGRUP. VALOR. PTO.]:[AGRUP. VALOR. PTO.]]=$B57,IF(DATOS_[[Check Periodo Ref.]:[Check Periodo Ref.]]="Dentro",DATOS_[Conc.Sal.28]))))), 0)</f>
        <v>0</v>
      </c>
      <c r="AH59" s="250" t="n">
        <f aca="false" t="array" ref="AH59:AH59">IFERROR( MEDIAN((IF(DATOS_[[Sexo]:[Sexo]]=$B59,IF(DATOS_[[AGRUP. VALOR. PTO.]:[AGRUP. VALOR. PTO.]]=$B57,IF(DATOS_[[Check Periodo Ref.]:[Check Periodo Ref.]]="Dentro",DATOS_[Conc.Sal.29]))))), 0)</f>
        <v>0</v>
      </c>
      <c r="AI59" s="250" t="n">
        <f aca="false" t="array" ref="AI59:AI59">IFERROR( MEDIAN((IF(DATOS_[[Sexo]:[Sexo]]=$B59,IF(DATOS_[[AGRUP. VALOR. PTO.]:[AGRUP. VALOR. PTO.]]=$B57,IF(DATOS_[[Check Periodo Ref.]:[Check Periodo Ref.]]="Dentro",DATOS_[Conc.Sal.30]))))), 0)</f>
        <v>0</v>
      </c>
      <c r="AJ59" s="251" t="n">
        <f aca="false" t="array" ref="AJ59:AJ59">IFERROR( MEDIAN(IF(DATOS_[Sexo]=$B59,IF(DATOS_[AGRUP. VALOR. PTO.]=$B57,IF(DATOS_[Check Periodo Ref.]="Dentro",DATOS_[Tot COMPL.SAL Ef],0)))), 0)</f>
        <v>0</v>
      </c>
      <c r="AK59" s="252" t="n">
        <f aca="false" t="array" ref="AK59:AK59">IFERROR( MEDIAN(IF(DATOS_[Sexo]=$B59,IF(DATOS_[AGRUP. VALOR. PTO.]=$B57,IF(DATOS_[Check Periodo Ref.]="Dentro",DATOS_[TOTAL SALARIO Ef],0)))), 0)</f>
        <v>0</v>
      </c>
      <c r="AL59" s="259" t="n">
        <f aca="false" t="array" ref="AL59:AL59">IFERROR( MEDIAN((IF(DATOS_[[Sexo]:[Sexo]]=$B59,IF(DATOS_[[AGRUP. VALOR. PTO.]:[AGRUP. VALOR. PTO.]]=$B57,IF(DATOS_[[Check Periodo Ref.]:[Check Periodo Ref.]]="Dentro",DATOS_[C.Extra.01]))))), 0)</f>
        <v>0</v>
      </c>
      <c r="AM59" s="259" t="n">
        <f aca="false" t="array" ref="AM59:AM59">IFERROR( MEDIAN((IF(DATOS_[[Sexo]:[Sexo]]=$B59,IF(DATOS_[[AGRUP. VALOR. PTO.]:[AGRUP. VALOR. PTO.]]=$B57,IF(DATOS_[[Check Periodo Ref.]:[Check Periodo Ref.]]="Dentro",DATOS_[C.Extra.02]))))), 0)</f>
        <v>0</v>
      </c>
      <c r="AN59" s="259" t="n">
        <f aca="false" t="array" ref="AN59:AN59">IFERROR( MEDIAN((IF(DATOS_[[Sexo]:[Sexo]]=$B59,IF(DATOS_[[AGRUP. VALOR. PTO.]:[AGRUP. VALOR. PTO.]]=$B57,IF(DATOS_[[Check Periodo Ref.]:[Check Periodo Ref.]]="Dentro",DATOS_[C.Extra.03]))))), 0)</f>
        <v>0</v>
      </c>
      <c r="AO59" s="259" t="n">
        <f aca="false" t="array" ref="AO59:AO59">IFERROR( MEDIAN((IF(DATOS_[[Sexo]:[Sexo]]=$B59,IF(DATOS_[[AGRUP. VALOR. PTO.]:[AGRUP. VALOR. PTO.]]=$B57,IF(DATOS_[[Check Periodo Ref.]:[Check Periodo Ref.]]="Dentro",DATOS_[C.Extra.04]))))), 0)</f>
        <v>0</v>
      </c>
      <c r="AP59" s="259" t="n">
        <f aca="false" t="array" ref="AP59:AP59">IFERROR( MEDIAN((IF(DATOS_[[Sexo]:[Sexo]]=$B59,IF(DATOS_[[AGRUP. VALOR. PTO.]:[AGRUP. VALOR. PTO.]]=$B57,IF(DATOS_[[Check Periodo Ref.]:[Check Periodo Ref.]]="Dentro",DATOS_[C.Extra.05]))))), 0)</f>
        <v>0</v>
      </c>
      <c r="AQ59" s="254" t="n">
        <f aca="false" t="array" ref="AQ59:AQ59">IFERROR( MEDIAN(IF(DATOS_[Sexo]=$B59,IF(DATOS_[AGRUP. VALOR. PTO.]=$B57,IF(DATOS_[Check Periodo Ref.]="Dentro",DATOS_[Tot Extrasalarial Ef],0)))), 0)</f>
        <v>0</v>
      </c>
      <c r="AR59" s="255" t="n">
        <f aca="false" t="array" ref="AR59:AR59">IFERROR( MEDIAN(IF(DATOS_[Sexo]=$B59,IF(DATOS_[AGRUP. VALOR. PTO.]=$B57,IF(DATOS_[Check Periodo Ref.]="Dentro",DATOS_[TOTAL Retrib Ef],0)))), 0)</f>
        <v>0</v>
      </c>
    </row>
    <row r="60" customFormat="false" ht="15.75" hidden="false" customHeight="false" outlineLevel="0" collapsed="false">
      <c r="A60" s="217" t="str">
        <f aca="false">+A61</f>
        <v>[ocultar]</v>
      </c>
      <c r="B60" s="235" t="s">
        <v>214</v>
      </c>
      <c r="C60" s="236"/>
      <c r="D60" s="237"/>
      <c r="E60" s="238" t="str">
        <f aca="false">IFERROR((E61-E62)/E61,"")</f>
        <v/>
      </c>
      <c r="F60" s="239" t="str">
        <f aca="false">IFERROR((F61-F62)/F61,"")</f>
        <v/>
      </c>
      <c r="G60" s="239" t="str">
        <f aca="false">IFERROR((G61-G62)/G61,"")</f>
        <v/>
      </c>
      <c r="H60" s="239" t="str">
        <f aca="false">IFERROR((H61-H62)/H61,"")</f>
        <v/>
      </c>
      <c r="I60" s="239"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40" t="str">
        <f aca="false">IFERROR((V61-V62)/V61,"")</f>
        <v/>
      </c>
      <c r="W60" s="240" t="str">
        <f aca="false">IFERROR((W61-W62)/W61,"")</f>
        <v/>
      </c>
      <c r="X60" s="240" t="str">
        <f aca="false">IFERROR((X61-X62)/X61,"")</f>
        <v/>
      </c>
      <c r="Y60" s="240"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1" t="str">
        <f aca="false">IFERROR((AJ61-AJ62)/AJ61,"")</f>
        <v/>
      </c>
      <c r="AK60" s="242" t="str">
        <f aca="false">IFERROR((AK61-AK62)/AK61,"")</f>
        <v/>
      </c>
      <c r="AL60" s="243" t="str">
        <f aca="false">IFERROR((AL61-AL62)/AL61,"")</f>
        <v/>
      </c>
      <c r="AM60" s="243" t="str">
        <f aca="false">IFERROR((AM61-AM62)/AM61,"")</f>
        <v/>
      </c>
      <c r="AN60" s="243" t="str">
        <f aca="false">IFERROR((AN61-AN62)/AN61,"")</f>
        <v/>
      </c>
      <c r="AO60" s="243" t="str">
        <f aca="false">IFERROR((AO61-AO62)/AO61,"")</f>
        <v/>
      </c>
      <c r="AP60" s="243" t="str">
        <f aca="false">IFERROR((AP61-AP62)/AP61,"")</f>
        <v/>
      </c>
      <c r="AQ60" s="244" t="str">
        <f aca="false">IFERROR((AQ61-AQ62)/AQ61,"")</f>
        <v/>
      </c>
      <c r="AR60" s="245" t="str">
        <f aca="false">IFERROR((AR61-AR62)/AR61,"")</f>
        <v/>
      </c>
    </row>
    <row r="61" customFormat="false" ht="14.25" hidden="false" customHeight="false" outlineLevel="0" collapsed="false">
      <c r="A61" s="217" t="str">
        <f aca="false">+IF(C61+C62=0,"[ocultar]","")</f>
        <v>[ocultar]</v>
      </c>
      <c r="B61" s="246" t="s">
        <v>371</v>
      </c>
      <c r="C61" s="247" t="n">
        <f aca="false" t="array" ref="C61:C61">SUM(IF($B61=DATOS_[Sexo], IF($B60=DATOS_[AGRUP. VALOR. PTO.], IF("Dentro"=DATOS_[Check Periodo Ref.], 1/(COUNTIFS(DATOS_[Sexo],$B61,DATOS_[AGRUP. VALOR. PTO.],$B60,DATOS_[Check Periodo Ref.],"Dentro",DATOS_[id],DATOS_[id]))))))</f>
        <v>0</v>
      </c>
      <c r="D61" s="248" t="n">
        <f aca="false">COUNTIFS(DATOS_[AGRUP. VALOR. PTO.],$B60,DATOS_[Sexo],$B61,DATOS_[Check Periodo Ref.],"Dentro")</f>
        <v>0</v>
      </c>
      <c r="E61" s="249" t="n">
        <f aca="false" t="array" ref="E61:E61">IFERROR( MEDIAN(IF(DATOS_[Sexo]=$B61,IF(DATOS_[AGRUP. VALOR. PTO.]=$B60,IF(DATOS_[Check Periodo Ref.]="Dentro",DATOS_[SALARIO BASE Ef],0)))), 0)</f>
        <v>0</v>
      </c>
      <c r="F61" s="250" t="n">
        <f aca="false" t="array" ref="F61:F61">IFERROR( MEDIAN((IF(DATOS_[[Sexo]:[Sexo]]=$B61,IF(DATOS_[[AGRUP. VALOR. PTO.]:[AGRUP. VALOR. PTO.]]=$B60,IF(DATOS_[[Check Periodo Ref.]:[Check Periodo Ref.]]="Dentro",DATOS_[Conc.Sal.01]))))), 0)</f>
        <v>0</v>
      </c>
      <c r="G61" s="250" t="n">
        <f aca="false" t="array" ref="G61:G61">IFERROR( MEDIAN((IF(DATOS_[[Sexo]:[Sexo]]=$B61,IF(DATOS_[[AGRUP. VALOR. PTO.]:[AGRUP. VALOR. PTO.]]=$B60,IF(DATOS_[[Check Periodo Ref.]:[Check Periodo Ref.]]="Dentro",DATOS_[Conc.Sal.02]))))), 0)</f>
        <v>0</v>
      </c>
      <c r="H61" s="250" t="n">
        <f aca="false" t="array" ref="H61:H61">IFERROR( MEDIAN((IF(DATOS_[[Sexo]:[Sexo]]=$B61,IF(DATOS_[[AGRUP. VALOR. PTO.]:[AGRUP. VALOR. PTO.]]=$B60,IF(DATOS_[[Check Periodo Ref.]:[Check Periodo Ref.]]="Dentro",DATOS_[Conc.Sal.03]))))), 0)</f>
        <v>0</v>
      </c>
      <c r="I61" s="250" t="n">
        <f aca="false" t="array" ref="I61:I61">IFERROR( MEDIAN((IF(DATOS_[[Sexo]:[Sexo]]=$B61,IF(DATOS_[[AGRUP. VALOR. PTO.]:[AGRUP. VALOR. PTO.]]=$B60,IF(DATOS_[[Check Periodo Ref.]:[Check Periodo Ref.]]="Dentro",DATOS_[Conc.Sal.04]))))), 0)</f>
        <v>0</v>
      </c>
      <c r="J61" s="250" t="n">
        <f aca="false" t="array" ref="J61:J61">IFERROR( MEDIAN((IF(DATOS_[[Sexo]:[Sexo]]=$B61,IF(DATOS_[[AGRUP. VALOR. PTO.]:[AGRUP. VALOR. PTO.]]=$B60,IF(DATOS_[[Check Periodo Ref.]:[Check Periodo Ref.]]="Dentro",DATOS_[Conc.Sal.05]))))), 0)</f>
        <v>0</v>
      </c>
      <c r="K61" s="250" t="n">
        <f aca="false" t="array" ref="K61:K61">IFERROR( MEDIAN((IF(DATOS_[[Sexo]:[Sexo]]=$B61,IF(DATOS_[[AGRUP. VALOR. PTO.]:[AGRUP. VALOR. PTO.]]=$B60,IF(DATOS_[[Check Periodo Ref.]:[Check Periodo Ref.]]="Dentro",DATOS_[Conc.Sal.06]))))), 0)</f>
        <v>0</v>
      </c>
      <c r="L61" s="250" t="n">
        <f aca="false" t="array" ref="L61:L61">IFERROR( MEDIAN((IF(DATOS_[[Sexo]:[Sexo]]=$B61,IF(DATOS_[[AGRUP. VALOR. PTO.]:[AGRUP. VALOR. PTO.]]=$B60,IF(DATOS_[[Check Periodo Ref.]:[Check Periodo Ref.]]="Dentro",DATOS_[Conc.Sal.07]))))), 0)</f>
        <v>0</v>
      </c>
      <c r="M61" s="250" t="n">
        <f aca="false" t="array" ref="M61:M61">IFERROR( MEDIAN((IF(DATOS_[[Sexo]:[Sexo]]=$B61,IF(DATOS_[[AGRUP. VALOR. PTO.]:[AGRUP. VALOR. PTO.]]=$B60,IF(DATOS_[[Check Periodo Ref.]:[Check Periodo Ref.]]="Dentro",DATOS_[Conc.Sal.08]))))), 0)</f>
        <v>0</v>
      </c>
      <c r="N61" s="250" t="n">
        <f aca="false" t="array" ref="N61:N61">IFERROR( MEDIAN((IF(DATOS_[[Sexo]:[Sexo]]=$B61,IF(DATOS_[[AGRUP. VALOR. PTO.]:[AGRUP. VALOR. PTO.]]=$B60,IF(DATOS_[[Check Periodo Ref.]:[Check Periodo Ref.]]="Dentro",DATOS_[Conc.Sal.09]))))), 0)</f>
        <v>0</v>
      </c>
      <c r="O61" s="250" t="n">
        <f aca="false" t="array" ref="O61:O61">IFERROR( MEDIAN((IF(DATOS_[[Sexo]:[Sexo]]=$B61,IF(DATOS_[[AGRUP. VALOR. PTO.]:[AGRUP. VALOR. PTO.]]=$B60,IF(DATOS_[[Check Periodo Ref.]:[Check Periodo Ref.]]="Dentro",DATOS_[Conc.Sal.10]))))), 0)</f>
        <v>0</v>
      </c>
      <c r="P61" s="250" t="n">
        <f aca="false" t="array" ref="P61:P61">IFERROR( MEDIAN((IF(DATOS_[[Sexo]:[Sexo]]=$B61,IF(DATOS_[[AGRUP. VALOR. PTO.]:[AGRUP. VALOR. PTO.]]=$B60,IF(DATOS_[[Check Periodo Ref.]:[Check Periodo Ref.]]="Dentro",DATOS_[Conc.Sal.11]))))), 0)</f>
        <v>0</v>
      </c>
      <c r="Q61" s="250" t="n">
        <f aca="false" t="array" ref="Q61:Q61">IFERROR( MEDIAN((IF(DATOS_[[Sexo]:[Sexo]]=$B61,IF(DATOS_[[AGRUP. VALOR. PTO.]:[AGRUP. VALOR. PTO.]]=$B60,IF(DATOS_[[Check Periodo Ref.]:[Check Periodo Ref.]]="Dentro",DATOS_[Conc.Sal.12]))))), 0)</f>
        <v>0</v>
      </c>
      <c r="R61" s="250" t="n">
        <f aca="false" t="array" ref="R61:R61">IFERROR( MEDIAN((IF(DATOS_[[Sexo]:[Sexo]]=$B61,IF(DATOS_[[AGRUP. VALOR. PTO.]:[AGRUP. VALOR. PTO.]]=$B60,IF(DATOS_[[Check Periodo Ref.]:[Check Periodo Ref.]]="Dentro",DATOS_[Conc.Sal.13]))))), 0)</f>
        <v>0</v>
      </c>
      <c r="S61" s="250" t="n">
        <f aca="false" t="array" ref="S61:S61">IFERROR( MEDIAN((IF(DATOS_[[Sexo]:[Sexo]]=$B61,IF(DATOS_[[AGRUP. VALOR. PTO.]:[AGRUP. VALOR. PTO.]]=$B60,IF(DATOS_[[Check Periodo Ref.]:[Check Periodo Ref.]]="Dentro",DATOS_[Conc.Sal.14]))))), 0)</f>
        <v>0</v>
      </c>
      <c r="T61" s="250" t="n">
        <f aca="false" t="array" ref="T61:T61">IFERROR( MEDIAN((IF(DATOS_[[Sexo]:[Sexo]]=$B61,IF(DATOS_[[AGRUP. VALOR. PTO.]:[AGRUP. VALOR. PTO.]]=$B60,IF(DATOS_[[Check Periodo Ref.]:[Check Periodo Ref.]]="Dentro",DATOS_[Conc.Sal.15]))))), 0)</f>
        <v>0</v>
      </c>
      <c r="U61" s="250" t="n">
        <f aca="false" t="array" ref="U61:U61">IFERROR( MEDIAN((IF(DATOS_[[Sexo]:[Sexo]]=$B61,IF(DATOS_[[AGRUP. VALOR. PTO.]:[AGRUP. VALOR. PTO.]]=$B60,IF(DATOS_[[Check Periodo Ref.]:[Check Periodo Ref.]]="Dentro",DATOS_[Conc.Sal.16]))))), 0)</f>
        <v>0</v>
      </c>
      <c r="V61" s="250" t="n">
        <f aca="false" t="array" ref="V61:V61">IFERROR( MEDIAN((IF(DATOS_[[Sexo]:[Sexo]]=$B61,IF(DATOS_[[AGRUP. VALOR. PTO.]:[AGRUP. VALOR. PTO.]]=$B60,IF(DATOS_[[Check Periodo Ref.]:[Check Periodo Ref.]]="Dentro",DATOS_[Conc.Sal.17]))))), 0)</f>
        <v>0</v>
      </c>
      <c r="W61" s="250" t="n">
        <f aca="false" t="array" ref="W61:W61">IFERROR( MEDIAN((IF(DATOS_[[Sexo]:[Sexo]]=$B61,IF(DATOS_[[AGRUP. VALOR. PTO.]:[AGRUP. VALOR. PTO.]]=$B60,IF(DATOS_[[Check Periodo Ref.]:[Check Periodo Ref.]]="Dentro",DATOS_[Conc.Sal.18]))))), 0)</f>
        <v>0</v>
      </c>
      <c r="X61" s="250" t="n">
        <f aca="false" t="array" ref="X61:X61">IFERROR( MEDIAN((IF(DATOS_[[Sexo]:[Sexo]]=$B61,IF(DATOS_[[AGRUP. VALOR. PTO.]:[AGRUP. VALOR. PTO.]]=$B60,IF(DATOS_[[Check Periodo Ref.]:[Check Periodo Ref.]]="Dentro",DATOS_[Conc.Sal.19]))))), 0)</f>
        <v>0</v>
      </c>
      <c r="Y61" s="250" t="n">
        <f aca="false" t="array" ref="Y61:Y61">IFERROR( MEDIAN((IF(DATOS_[[Sexo]:[Sexo]]=$B61,IF(DATOS_[[AGRUP. VALOR. PTO.]:[AGRUP. VALOR. PTO.]]=$B60,IF(DATOS_[[Check Periodo Ref.]:[Check Periodo Ref.]]="Dentro",DATOS_[Conc.Sal.20]))))), 0)</f>
        <v>0</v>
      </c>
      <c r="Z61" s="250" t="n">
        <f aca="false" t="array" ref="Z61:Z61">IFERROR( MEDIAN((IF(DATOS_[[Sexo]:[Sexo]]=$B61,IF(DATOS_[[AGRUP. VALOR. PTO.]:[AGRUP. VALOR. PTO.]]=$B60,IF(DATOS_[[Check Periodo Ref.]:[Check Periodo Ref.]]="Dentro",DATOS_[Conc.Sal.21]))))), 0)</f>
        <v>0</v>
      </c>
      <c r="AA61" s="250" t="n">
        <f aca="false" t="array" ref="AA61:AA61">IFERROR( MEDIAN((IF(DATOS_[[Sexo]:[Sexo]]=$B61,IF(DATOS_[[AGRUP. VALOR. PTO.]:[AGRUP. VALOR. PTO.]]=$B60,IF(DATOS_[[Check Periodo Ref.]:[Check Periodo Ref.]]="Dentro",DATOS_[Conc.Sal.22]))))), 0)</f>
        <v>0</v>
      </c>
      <c r="AB61" s="250" t="n">
        <f aca="false" t="array" ref="AB61:AB61">IFERROR( MEDIAN((IF(DATOS_[[Sexo]:[Sexo]]=$B61,IF(DATOS_[[AGRUP. VALOR. PTO.]:[AGRUP. VALOR. PTO.]]=$B60,IF(DATOS_[[Check Periodo Ref.]:[Check Periodo Ref.]]="Dentro",DATOS_[Conc.Sal.23]))))), 0)</f>
        <v>0</v>
      </c>
      <c r="AC61" s="250" t="n">
        <f aca="false" t="array" ref="AC61:AC61">IFERROR( MEDIAN((IF(DATOS_[[Sexo]:[Sexo]]=$B61,IF(DATOS_[[AGRUP. VALOR. PTO.]:[AGRUP. VALOR. PTO.]]=$B60,IF(DATOS_[[Check Periodo Ref.]:[Check Periodo Ref.]]="Dentro",DATOS_[Conc.Sal.24]))))), 0)</f>
        <v>0</v>
      </c>
      <c r="AD61" s="250" t="n">
        <f aca="false" t="array" ref="AD61:AD61">IFERROR( MEDIAN((IF(DATOS_[[Sexo]:[Sexo]]=$B61,IF(DATOS_[[AGRUP. VALOR. PTO.]:[AGRUP. VALOR. PTO.]]=$B60,IF(DATOS_[[Check Periodo Ref.]:[Check Periodo Ref.]]="Dentro",DATOS_[Conc.Sal.25]))))), 0)</f>
        <v>0</v>
      </c>
      <c r="AE61" s="250" t="n">
        <f aca="false" t="array" ref="AE61:AE61">IFERROR( MEDIAN((IF(DATOS_[[Sexo]:[Sexo]]=$B61,IF(DATOS_[[AGRUP. VALOR. PTO.]:[AGRUP. VALOR. PTO.]]=$B60,IF(DATOS_[[Check Periodo Ref.]:[Check Periodo Ref.]]="Dentro",DATOS_[Conc.Sal.26]))))), 0)</f>
        <v>0</v>
      </c>
      <c r="AF61" s="250" t="n">
        <f aca="false" t="array" ref="AF61:AF61">IFERROR( MEDIAN((IF(DATOS_[[Sexo]:[Sexo]]=$B61,IF(DATOS_[[AGRUP. VALOR. PTO.]:[AGRUP. VALOR. PTO.]]=$B60,IF(DATOS_[[Check Periodo Ref.]:[Check Periodo Ref.]]="Dentro",DATOS_[Conc.Sal.27]))))), 0)</f>
        <v>0</v>
      </c>
      <c r="AG61" s="250" t="n">
        <f aca="false" t="array" ref="AG61:AG61">IFERROR( MEDIAN((IF(DATOS_[[Sexo]:[Sexo]]=$B61,IF(DATOS_[[AGRUP. VALOR. PTO.]:[AGRUP. VALOR. PTO.]]=$B60,IF(DATOS_[[Check Periodo Ref.]:[Check Periodo Ref.]]="Dentro",DATOS_[Conc.Sal.28]))))), 0)</f>
        <v>0</v>
      </c>
      <c r="AH61" s="250" t="n">
        <f aca="false" t="array" ref="AH61:AH61">IFERROR( MEDIAN((IF(DATOS_[[Sexo]:[Sexo]]=$B61,IF(DATOS_[[AGRUP. VALOR. PTO.]:[AGRUP. VALOR. PTO.]]=$B60,IF(DATOS_[[Check Periodo Ref.]:[Check Periodo Ref.]]="Dentro",DATOS_[Conc.Sal.29]))))), 0)</f>
        <v>0</v>
      </c>
      <c r="AI61" s="250" t="n">
        <f aca="false" t="array" ref="AI61:AI61">IFERROR( MEDIAN((IF(DATOS_[[Sexo]:[Sexo]]=$B61,IF(DATOS_[[AGRUP. VALOR. PTO.]:[AGRUP. VALOR. PTO.]]=$B60,IF(DATOS_[[Check Periodo Ref.]:[Check Periodo Ref.]]="Dentro",DATOS_[Conc.Sal.30]))))), 0)</f>
        <v>0</v>
      </c>
      <c r="AJ61" s="251" t="n">
        <f aca="false" t="array" ref="AJ61:AJ61">IFERROR( MEDIAN(IF(DATOS_[Sexo]=$B61,IF(DATOS_[AGRUP. VALOR. PTO.]=$B60,IF(DATOS_[Check Periodo Ref.]="Dentro",DATOS_[Tot COMPL.SAL Ef],0)))), 0)</f>
        <v>0</v>
      </c>
      <c r="AK61" s="252" t="n">
        <f aca="false" t="array" ref="AK61:AK61">IFERROR( MEDIAN(IF(DATOS_[Sexo]=$B61,IF(DATOS_[AGRUP. VALOR. PTO.]=$B60,IF(DATOS_[Check Periodo Ref.]="Dentro",DATOS_[TOTAL SALARIO Ef],0)))), 0)</f>
        <v>0</v>
      </c>
      <c r="AL61" s="259" t="n">
        <f aca="false" t="array" ref="AL61:AL61">IFERROR( MEDIAN((IF(DATOS_[[Sexo]:[Sexo]]=$B61,IF(DATOS_[[AGRUP. VALOR. PTO.]:[AGRUP. VALOR. PTO.]]=$B60,IF(DATOS_[[Check Periodo Ref.]:[Check Periodo Ref.]]="Dentro",DATOS_[C.Extra.01]))))), 0)</f>
        <v>0</v>
      </c>
      <c r="AM61" s="259" t="n">
        <f aca="false" t="array" ref="AM61:AM61">IFERROR( MEDIAN((IF(DATOS_[[Sexo]:[Sexo]]=$B61,IF(DATOS_[[AGRUP. VALOR. PTO.]:[AGRUP. VALOR. PTO.]]=$B60,IF(DATOS_[[Check Periodo Ref.]:[Check Periodo Ref.]]="Dentro",DATOS_[C.Extra.02]))))), 0)</f>
        <v>0</v>
      </c>
      <c r="AN61" s="259" t="n">
        <f aca="false" t="array" ref="AN61:AN61">IFERROR( MEDIAN((IF(DATOS_[[Sexo]:[Sexo]]=$B61,IF(DATOS_[[AGRUP. VALOR. PTO.]:[AGRUP. VALOR. PTO.]]=$B60,IF(DATOS_[[Check Periodo Ref.]:[Check Periodo Ref.]]="Dentro",DATOS_[C.Extra.03]))))), 0)</f>
        <v>0</v>
      </c>
      <c r="AO61" s="259" t="n">
        <f aca="false" t="array" ref="AO61:AO61">IFERROR( MEDIAN((IF(DATOS_[[Sexo]:[Sexo]]=$B61,IF(DATOS_[[AGRUP. VALOR. PTO.]:[AGRUP. VALOR. PTO.]]=$B60,IF(DATOS_[[Check Periodo Ref.]:[Check Periodo Ref.]]="Dentro",DATOS_[C.Extra.04]))))), 0)</f>
        <v>0</v>
      </c>
      <c r="AP61" s="259" t="n">
        <f aca="false" t="array" ref="AP61:AP61">IFERROR( MEDIAN((IF(DATOS_[[Sexo]:[Sexo]]=$B61,IF(DATOS_[[AGRUP. VALOR. PTO.]:[AGRUP. VALOR. PTO.]]=$B60,IF(DATOS_[[Check Periodo Ref.]:[Check Periodo Ref.]]="Dentro",DATOS_[C.Extra.05]))))), 0)</f>
        <v>0</v>
      </c>
      <c r="AQ61" s="254" t="n">
        <f aca="false" t="array" ref="AQ61:AQ61">IFERROR( MEDIAN(IF(DATOS_[Sexo]=$B61,IF(DATOS_[AGRUP. VALOR. PTO.]=$B60,IF(DATOS_[Check Periodo Ref.]="Dentro",DATOS_[Tot Extrasalarial Ef],0)))), 0)</f>
        <v>0</v>
      </c>
      <c r="AR61" s="255" t="n">
        <f aca="false" t="array" ref="AR61:AR61">IFERROR( MEDIAN(IF(DATOS_[Sexo]=$B61,IF(DATOS_[AGRUP. VALOR. PTO.]=$B60,IF(DATOS_[Check Periodo Ref.]="Dentro",DATOS_[TOTAL Retrib Ef],0)))), 0)</f>
        <v>0</v>
      </c>
    </row>
    <row r="62" customFormat="false" ht="14.25" hidden="false" customHeight="false" outlineLevel="0" collapsed="false">
      <c r="A62" s="217" t="str">
        <f aca="false">+A61</f>
        <v>[ocultar]</v>
      </c>
      <c r="B62" s="246" t="s">
        <v>372</v>
      </c>
      <c r="C62" s="247" t="n">
        <f aca="false" t="array" ref="C62:C62">SUM(IF($B62=DATOS_[Sexo], IF($B60=DATOS_[AGRUP. VALOR. PTO.], IF("Dentro"=DATOS_[Check Periodo Ref.], 1/(COUNTIFS(DATOS_[Sexo],$B62,DATOS_[AGRUP. VALOR. PTO.],$B60,DATOS_[Check Periodo Ref.],"Dentro",DATOS_[id],DATOS_[id]))))))</f>
        <v>0</v>
      </c>
      <c r="D62" s="248" t="n">
        <f aca="false">COUNTIFS(DATOS_[AGRUP. VALOR. PTO.],$B60,DATOS_[Sexo],$B62,DATOS_[Check Periodo Ref.],"Dentro")</f>
        <v>0</v>
      </c>
      <c r="E62" s="249" t="n">
        <f aca="false" t="array" ref="E62:E62">IFERROR( MEDIAN(IF(DATOS_[Sexo]=$B62,IF(DATOS_[AGRUP. VALOR. PTO.]=$B60,IF(DATOS_[Check Periodo Ref.]="Dentro",DATOS_[SALARIO BASE Ef],0)))), 0)</f>
        <v>0</v>
      </c>
      <c r="F62" s="250" t="n">
        <f aca="false" t="array" ref="F62:F62">IFERROR( MEDIAN((IF(DATOS_[[Sexo]:[Sexo]]=$B62,IF(DATOS_[[AGRUP. VALOR. PTO.]:[AGRUP. VALOR. PTO.]]=$B60,IF(DATOS_[[Check Periodo Ref.]:[Check Periodo Ref.]]="Dentro",DATOS_[Conc.Sal.01]))))), 0)</f>
        <v>0</v>
      </c>
      <c r="G62" s="250" t="n">
        <f aca="false" t="array" ref="G62:G62">IFERROR( MEDIAN((IF(DATOS_[[Sexo]:[Sexo]]=$B62,IF(DATOS_[[AGRUP. VALOR. PTO.]:[AGRUP. VALOR. PTO.]]=$B60,IF(DATOS_[[Check Periodo Ref.]:[Check Periodo Ref.]]="Dentro",DATOS_[Conc.Sal.02]))))), 0)</f>
        <v>0</v>
      </c>
      <c r="H62" s="250" t="n">
        <f aca="false" t="array" ref="H62:H62">IFERROR( MEDIAN((IF(DATOS_[[Sexo]:[Sexo]]=$B62,IF(DATOS_[[AGRUP. VALOR. PTO.]:[AGRUP. VALOR. PTO.]]=$B60,IF(DATOS_[[Check Periodo Ref.]:[Check Periodo Ref.]]="Dentro",DATOS_[Conc.Sal.03]))))), 0)</f>
        <v>0</v>
      </c>
      <c r="I62" s="250" t="n">
        <f aca="false" t="array" ref="I62:I62">IFERROR( MEDIAN((IF(DATOS_[[Sexo]:[Sexo]]=$B62,IF(DATOS_[[AGRUP. VALOR. PTO.]:[AGRUP. VALOR. PTO.]]=$B60,IF(DATOS_[[Check Periodo Ref.]:[Check Periodo Ref.]]="Dentro",DATOS_[Conc.Sal.04]))))), 0)</f>
        <v>0</v>
      </c>
      <c r="J62" s="250" t="n">
        <f aca="false" t="array" ref="J62:J62">IFERROR( MEDIAN((IF(DATOS_[[Sexo]:[Sexo]]=$B62,IF(DATOS_[[AGRUP. VALOR. PTO.]:[AGRUP. VALOR. PTO.]]=$B60,IF(DATOS_[[Check Periodo Ref.]:[Check Periodo Ref.]]="Dentro",DATOS_[Conc.Sal.05]))))), 0)</f>
        <v>0</v>
      </c>
      <c r="K62" s="250" t="n">
        <f aca="false" t="array" ref="K62:K62">IFERROR( MEDIAN((IF(DATOS_[[Sexo]:[Sexo]]=$B62,IF(DATOS_[[AGRUP. VALOR. PTO.]:[AGRUP. VALOR. PTO.]]=$B60,IF(DATOS_[[Check Periodo Ref.]:[Check Periodo Ref.]]="Dentro",DATOS_[Conc.Sal.06]))))), 0)</f>
        <v>0</v>
      </c>
      <c r="L62" s="250" t="n">
        <f aca="false" t="array" ref="L62:L62">IFERROR( MEDIAN((IF(DATOS_[[Sexo]:[Sexo]]=$B62,IF(DATOS_[[AGRUP. VALOR. PTO.]:[AGRUP. VALOR. PTO.]]=$B60,IF(DATOS_[[Check Periodo Ref.]:[Check Periodo Ref.]]="Dentro",DATOS_[Conc.Sal.07]))))), 0)</f>
        <v>0</v>
      </c>
      <c r="M62" s="250" t="n">
        <f aca="false" t="array" ref="M62:M62">IFERROR( MEDIAN((IF(DATOS_[[Sexo]:[Sexo]]=$B62,IF(DATOS_[[AGRUP. VALOR. PTO.]:[AGRUP. VALOR. PTO.]]=$B60,IF(DATOS_[[Check Periodo Ref.]:[Check Periodo Ref.]]="Dentro",DATOS_[Conc.Sal.08]))))), 0)</f>
        <v>0</v>
      </c>
      <c r="N62" s="250" t="n">
        <f aca="false" t="array" ref="N62:N62">IFERROR( MEDIAN((IF(DATOS_[[Sexo]:[Sexo]]=$B62,IF(DATOS_[[AGRUP. VALOR. PTO.]:[AGRUP. VALOR. PTO.]]=$B60,IF(DATOS_[[Check Periodo Ref.]:[Check Periodo Ref.]]="Dentro",DATOS_[Conc.Sal.09]))))), 0)</f>
        <v>0</v>
      </c>
      <c r="O62" s="250" t="n">
        <f aca="false" t="array" ref="O62:O62">IFERROR( MEDIAN((IF(DATOS_[[Sexo]:[Sexo]]=$B62,IF(DATOS_[[AGRUP. VALOR. PTO.]:[AGRUP. VALOR. PTO.]]=$B60,IF(DATOS_[[Check Periodo Ref.]:[Check Periodo Ref.]]="Dentro",DATOS_[Conc.Sal.10]))))), 0)</f>
        <v>0</v>
      </c>
      <c r="P62" s="250" t="n">
        <f aca="false" t="array" ref="P62:P62">IFERROR( MEDIAN((IF(DATOS_[[Sexo]:[Sexo]]=$B62,IF(DATOS_[[AGRUP. VALOR. PTO.]:[AGRUP. VALOR. PTO.]]=$B60,IF(DATOS_[[Check Periodo Ref.]:[Check Periodo Ref.]]="Dentro",DATOS_[Conc.Sal.11]))))), 0)</f>
        <v>0</v>
      </c>
      <c r="Q62" s="250" t="n">
        <f aca="false" t="array" ref="Q62:Q62">IFERROR( MEDIAN((IF(DATOS_[[Sexo]:[Sexo]]=$B62,IF(DATOS_[[AGRUP. VALOR. PTO.]:[AGRUP. VALOR. PTO.]]=$B60,IF(DATOS_[[Check Periodo Ref.]:[Check Periodo Ref.]]="Dentro",DATOS_[Conc.Sal.12]))))), 0)</f>
        <v>0</v>
      </c>
      <c r="R62" s="250" t="n">
        <f aca="false" t="array" ref="R62:R62">IFERROR( MEDIAN((IF(DATOS_[[Sexo]:[Sexo]]=$B62,IF(DATOS_[[AGRUP. VALOR. PTO.]:[AGRUP. VALOR. PTO.]]=$B60,IF(DATOS_[[Check Periodo Ref.]:[Check Periodo Ref.]]="Dentro",DATOS_[Conc.Sal.13]))))), 0)</f>
        <v>0</v>
      </c>
      <c r="S62" s="250" t="n">
        <f aca="false" t="array" ref="S62:S62">IFERROR( MEDIAN((IF(DATOS_[[Sexo]:[Sexo]]=$B62,IF(DATOS_[[AGRUP. VALOR. PTO.]:[AGRUP. VALOR. PTO.]]=$B60,IF(DATOS_[[Check Periodo Ref.]:[Check Periodo Ref.]]="Dentro",DATOS_[Conc.Sal.14]))))), 0)</f>
        <v>0</v>
      </c>
      <c r="T62" s="250" t="n">
        <f aca="false" t="array" ref="T62:T62">IFERROR( MEDIAN((IF(DATOS_[[Sexo]:[Sexo]]=$B62,IF(DATOS_[[AGRUP. VALOR. PTO.]:[AGRUP. VALOR. PTO.]]=$B60,IF(DATOS_[[Check Periodo Ref.]:[Check Periodo Ref.]]="Dentro",DATOS_[Conc.Sal.15]))))), 0)</f>
        <v>0</v>
      </c>
      <c r="U62" s="250" t="n">
        <f aca="false" t="array" ref="U62:U62">IFERROR( MEDIAN((IF(DATOS_[[Sexo]:[Sexo]]=$B62,IF(DATOS_[[AGRUP. VALOR. PTO.]:[AGRUP. VALOR. PTO.]]=$B60,IF(DATOS_[[Check Periodo Ref.]:[Check Periodo Ref.]]="Dentro",DATOS_[Conc.Sal.16]))))), 0)</f>
        <v>0</v>
      </c>
      <c r="V62" s="250" t="n">
        <f aca="false" t="array" ref="V62:V62">IFERROR( MEDIAN((IF(DATOS_[[Sexo]:[Sexo]]=$B62,IF(DATOS_[[AGRUP. VALOR. PTO.]:[AGRUP. VALOR. PTO.]]=$B60,IF(DATOS_[[Check Periodo Ref.]:[Check Periodo Ref.]]="Dentro",DATOS_[Conc.Sal.17]))))), 0)</f>
        <v>0</v>
      </c>
      <c r="W62" s="250" t="n">
        <f aca="false" t="array" ref="W62:W62">IFERROR( MEDIAN((IF(DATOS_[[Sexo]:[Sexo]]=$B62,IF(DATOS_[[AGRUP. VALOR. PTO.]:[AGRUP. VALOR. PTO.]]=$B60,IF(DATOS_[[Check Periodo Ref.]:[Check Periodo Ref.]]="Dentro",DATOS_[Conc.Sal.18]))))), 0)</f>
        <v>0</v>
      </c>
      <c r="X62" s="250" t="n">
        <f aca="false" t="array" ref="X62:X62">IFERROR( MEDIAN((IF(DATOS_[[Sexo]:[Sexo]]=$B62,IF(DATOS_[[AGRUP. VALOR. PTO.]:[AGRUP. VALOR. PTO.]]=$B60,IF(DATOS_[[Check Periodo Ref.]:[Check Periodo Ref.]]="Dentro",DATOS_[Conc.Sal.19]))))), 0)</f>
        <v>0</v>
      </c>
      <c r="Y62" s="250" t="n">
        <f aca="false" t="array" ref="Y62:Y62">IFERROR( MEDIAN((IF(DATOS_[[Sexo]:[Sexo]]=$B62,IF(DATOS_[[AGRUP. VALOR. PTO.]:[AGRUP. VALOR. PTO.]]=$B60,IF(DATOS_[[Check Periodo Ref.]:[Check Periodo Ref.]]="Dentro",DATOS_[Conc.Sal.20]))))), 0)</f>
        <v>0</v>
      </c>
      <c r="Z62" s="250" t="n">
        <f aca="false" t="array" ref="Z62:Z62">IFERROR( MEDIAN((IF(DATOS_[[Sexo]:[Sexo]]=$B62,IF(DATOS_[[AGRUP. VALOR. PTO.]:[AGRUP. VALOR. PTO.]]=$B60,IF(DATOS_[[Check Periodo Ref.]:[Check Periodo Ref.]]="Dentro",DATOS_[Conc.Sal.21]))))), 0)</f>
        <v>0</v>
      </c>
      <c r="AA62" s="250" t="n">
        <f aca="false" t="array" ref="AA62:AA62">IFERROR( MEDIAN((IF(DATOS_[[Sexo]:[Sexo]]=$B62,IF(DATOS_[[AGRUP. VALOR. PTO.]:[AGRUP. VALOR. PTO.]]=$B60,IF(DATOS_[[Check Periodo Ref.]:[Check Periodo Ref.]]="Dentro",DATOS_[Conc.Sal.22]))))), 0)</f>
        <v>0</v>
      </c>
      <c r="AB62" s="250" t="n">
        <f aca="false" t="array" ref="AB62:AB62">IFERROR( MEDIAN((IF(DATOS_[[Sexo]:[Sexo]]=$B62,IF(DATOS_[[AGRUP. VALOR. PTO.]:[AGRUP. VALOR. PTO.]]=$B60,IF(DATOS_[[Check Periodo Ref.]:[Check Periodo Ref.]]="Dentro",DATOS_[Conc.Sal.23]))))), 0)</f>
        <v>0</v>
      </c>
      <c r="AC62" s="250" t="n">
        <f aca="false" t="array" ref="AC62:AC62">IFERROR( MEDIAN((IF(DATOS_[[Sexo]:[Sexo]]=$B62,IF(DATOS_[[AGRUP. VALOR. PTO.]:[AGRUP. VALOR. PTO.]]=$B60,IF(DATOS_[[Check Periodo Ref.]:[Check Periodo Ref.]]="Dentro",DATOS_[Conc.Sal.24]))))), 0)</f>
        <v>0</v>
      </c>
      <c r="AD62" s="250" t="n">
        <f aca="false" t="array" ref="AD62:AD62">IFERROR( MEDIAN((IF(DATOS_[[Sexo]:[Sexo]]=$B62,IF(DATOS_[[AGRUP. VALOR. PTO.]:[AGRUP. VALOR. PTO.]]=$B60,IF(DATOS_[[Check Periodo Ref.]:[Check Periodo Ref.]]="Dentro",DATOS_[Conc.Sal.25]))))), 0)</f>
        <v>0</v>
      </c>
      <c r="AE62" s="250" t="n">
        <f aca="false" t="array" ref="AE62:AE62">IFERROR( MEDIAN((IF(DATOS_[[Sexo]:[Sexo]]=$B62,IF(DATOS_[[AGRUP. VALOR. PTO.]:[AGRUP. VALOR. PTO.]]=$B60,IF(DATOS_[[Check Periodo Ref.]:[Check Periodo Ref.]]="Dentro",DATOS_[Conc.Sal.26]))))), 0)</f>
        <v>0</v>
      </c>
      <c r="AF62" s="250" t="n">
        <f aca="false" t="array" ref="AF62:AF62">IFERROR( MEDIAN((IF(DATOS_[[Sexo]:[Sexo]]=$B62,IF(DATOS_[[AGRUP. VALOR. PTO.]:[AGRUP. VALOR. PTO.]]=$B60,IF(DATOS_[[Check Periodo Ref.]:[Check Periodo Ref.]]="Dentro",DATOS_[Conc.Sal.27]))))), 0)</f>
        <v>0</v>
      </c>
      <c r="AG62" s="250" t="n">
        <f aca="false" t="array" ref="AG62:AG62">IFERROR( MEDIAN((IF(DATOS_[[Sexo]:[Sexo]]=$B62,IF(DATOS_[[AGRUP. VALOR. PTO.]:[AGRUP. VALOR. PTO.]]=$B60,IF(DATOS_[[Check Periodo Ref.]:[Check Periodo Ref.]]="Dentro",DATOS_[Conc.Sal.28]))))), 0)</f>
        <v>0</v>
      </c>
      <c r="AH62" s="250" t="n">
        <f aca="false" t="array" ref="AH62:AH62">IFERROR( MEDIAN((IF(DATOS_[[Sexo]:[Sexo]]=$B62,IF(DATOS_[[AGRUP. VALOR. PTO.]:[AGRUP. VALOR. PTO.]]=$B60,IF(DATOS_[[Check Periodo Ref.]:[Check Periodo Ref.]]="Dentro",DATOS_[Conc.Sal.29]))))), 0)</f>
        <v>0</v>
      </c>
      <c r="AI62" s="250" t="n">
        <f aca="false" t="array" ref="AI62:AI62">IFERROR( MEDIAN((IF(DATOS_[[Sexo]:[Sexo]]=$B62,IF(DATOS_[[AGRUP. VALOR. PTO.]:[AGRUP. VALOR. PTO.]]=$B60,IF(DATOS_[[Check Periodo Ref.]:[Check Periodo Ref.]]="Dentro",DATOS_[Conc.Sal.30]))))), 0)</f>
        <v>0</v>
      </c>
      <c r="AJ62" s="251" t="n">
        <f aca="false" t="array" ref="AJ62:AJ62">IFERROR( MEDIAN(IF(DATOS_[Sexo]=$B62,IF(DATOS_[AGRUP. VALOR. PTO.]=$B60,IF(DATOS_[Check Periodo Ref.]="Dentro",DATOS_[Tot COMPL.SAL Ef],0)))), 0)</f>
        <v>0</v>
      </c>
      <c r="AK62" s="252" t="n">
        <f aca="false" t="array" ref="AK62:AK62">IFERROR( MEDIAN(IF(DATOS_[Sexo]=$B62,IF(DATOS_[AGRUP. VALOR. PTO.]=$B60,IF(DATOS_[Check Periodo Ref.]="Dentro",DATOS_[TOTAL SALARIO Ef],0)))), 0)</f>
        <v>0</v>
      </c>
      <c r="AL62" s="259" t="n">
        <f aca="false" t="array" ref="AL62:AL62">IFERROR( MEDIAN((IF(DATOS_[[Sexo]:[Sexo]]=$B62,IF(DATOS_[[AGRUP. VALOR. PTO.]:[AGRUP. VALOR. PTO.]]=$B60,IF(DATOS_[[Check Periodo Ref.]:[Check Periodo Ref.]]="Dentro",DATOS_[C.Extra.01]))))), 0)</f>
        <v>0</v>
      </c>
      <c r="AM62" s="259" t="n">
        <f aca="false" t="array" ref="AM62:AM62">IFERROR( MEDIAN((IF(DATOS_[[Sexo]:[Sexo]]=$B62,IF(DATOS_[[AGRUP. VALOR. PTO.]:[AGRUP. VALOR. PTO.]]=$B60,IF(DATOS_[[Check Periodo Ref.]:[Check Periodo Ref.]]="Dentro",DATOS_[C.Extra.02]))))), 0)</f>
        <v>0</v>
      </c>
      <c r="AN62" s="259" t="n">
        <f aca="false" t="array" ref="AN62:AN62">IFERROR( MEDIAN((IF(DATOS_[[Sexo]:[Sexo]]=$B62,IF(DATOS_[[AGRUP. VALOR. PTO.]:[AGRUP. VALOR. PTO.]]=$B60,IF(DATOS_[[Check Periodo Ref.]:[Check Periodo Ref.]]="Dentro",DATOS_[C.Extra.03]))))), 0)</f>
        <v>0</v>
      </c>
      <c r="AO62" s="259" t="n">
        <f aca="false" t="array" ref="AO62:AO62">IFERROR( MEDIAN((IF(DATOS_[[Sexo]:[Sexo]]=$B62,IF(DATOS_[[AGRUP. VALOR. PTO.]:[AGRUP. VALOR. PTO.]]=$B60,IF(DATOS_[[Check Periodo Ref.]:[Check Periodo Ref.]]="Dentro",DATOS_[C.Extra.04]))))), 0)</f>
        <v>0</v>
      </c>
      <c r="AP62" s="259" t="n">
        <f aca="false" t="array" ref="AP62:AP62">IFERROR( MEDIAN((IF(DATOS_[[Sexo]:[Sexo]]=$B62,IF(DATOS_[[AGRUP. VALOR. PTO.]:[AGRUP. VALOR. PTO.]]=$B60,IF(DATOS_[[Check Periodo Ref.]:[Check Periodo Ref.]]="Dentro",DATOS_[C.Extra.05]))))), 0)</f>
        <v>0</v>
      </c>
      <c r="AQ62" s="254" t="n">
        <f aca="false" t="array" ref="AQ62:AQ62">IFERROR( MEDIAN(IF(DATOS_[Sexo]=$B62,IF(DATOS_[AGRUP. VALOR. PTO.]=$B60,IF(DATOS_[Check Periodo Ref.]="Dentro",DATOS_[Tot Extrasalarial Ef],0)))), 0)</f>
        <v>0</v>
      </c>
      <c r="AR62" s="255" t="n">
        <f aca="false" t="array" ref="AR62:AR62">IFERROR( MEDIAN(IF(DATOS_[Sexo]=$B62,IF(DATOS_[AGRUP. VALOR. PTO.]=$B60,IF(DATOS_[Check Periodo Ref.]="Dentro",DATOS_[TOTAL Retrib Ef],0)))), 0)</f>
        <v>0</v>
      </c>
    </row>
    <row r="63" customFormat="false" ht="15.75" hidden="false" customHeight="false" outlineLevel="0" collapsed="false">
      <c r="A63" s="217" t="str">
        <f aca="false">+A64</f>
        <v>[ocultar]</v>
      </c>
      <c r="B63" s="235" t="s">
        <v>217</v>
      </c>
      <c r="C63" s="236"/>
      <c r="D63" s="237"/>
      <c r="E63" s="238" t="str">
        <f aca="false">IFERROR((E64-E65)/E64,"")</f>
        <v/>
      </c>
      <c r="F63" s="239" t="str">
        <f aca="false">IFERROR((F64-F65)/F64,"")</f>
        <v/>
      </c>
      <c r="G63" s="239" t="str">
        <f aca="false">IFERROR((G64-G65)/G64,"")</f>
        <v/>
      </c>
      <c r="H63" s="239" t="str">
        <f aca="false">IFERROR((H64-H65)/H64,"")</f>
        <v/>
      </c>
      <c r="I63" s="239"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40" t="str">
        <f aca="false">IFERROR((V64-V65)/V64,"")</f>
        <v/>
      </c>
      <c r="W63" s="240" t="str">
        <f aca="false">IFERROR((W64-W65)/W64,"")</f>
        <v/>
      </c>
      <c r="X63" s="240" t="str">
        <f aca="false">IFERROR((X64-X65)/X64,"")</f>
        <v/>
      </c>
      <c r="Y63" s="240"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1" t="str">
        <f aca="false">IFERROR((AJ64-AJ65)/AJ64,"")</f>
        <v/>
      </c>
      <c r="AK63" s="242" t="str">
        <f aca="false">IFERROR((AK64-AK65)/AK64,"")</f>
        <v/>
      </c>
      <c r="AL63" s="243" t="str">
        <f aca="false">IFERROR((AL64-AL65)/AL64,"")</f>
        <v/>
      </c>
      <c r="AM63" s="243" t="str">
        <f aca="false">IFERROR((AM64-AM65)/AM64,"")</f>
        <v/>
      </c>
      <c r="AN63" s="243" t="str">
        <f aca="false">IFERROR((AN64-AN65)/AN64,"")</f>
        <v/>
      </c>
      <c r="AO63" s="243" t="str">
        <f aca="false">IFERROR((AO64-AO65)/AO64,"")</f>
        <v/>
      </c>
      <c r="AP63" s="243" t="str">
        <f aca="false">IFERROR((AP64-AP65)/AP64,"")</f>
        <v/>
      </c>
      <c r="AQ63" s="244" t="str">
        <f aca="false">IFERROR((AQ64-AQ65)/AQ64,"")</f>
        <v/>
      </c>
      <c r="AR63" s="245" t="str">
        <f aca="false">IFERROR((AR64-AR65)/AR64,"")</f>
        <v/>
      </c>
    </row>
    <row r="64" customFormat="false" ht="14.25" hidden="false" customHeight="false" outlineLevel="0" collapsed="false">
      <c r="A64" s="217" t="str">
        <f aca="false">+IF(C64+C65=0,"[ocultar]","")</f>
        <v>[ocultar]</v>
      </c>
      <c r="B64" s="246" t="s">
        <v>371</v>
      </c>
      <c r="C64" s="247" t="n">
        <f aca="false" t="array" ref="C64:C64">SUM(IF($B64=DATOS_[Sexo], IF($B63=DATOS_[AGRUP. VALOR. PTO.], IF("Dentro"=DATOS_[Check Periodo Ref.], 1/(COUNTIFS(DATOS_[Sexo],$B64,DATOS_[AGRUP. VALOR. PTO.],$B63,DATOS_[Check Periodo Ref.],"Dentro",DATOS_[id],DATOS_[id]))))))</f>
        <v>0</v>
      </c>
      <c r="D64" s="248" t="n">
        <f aca="false">COUNTIFS(DATOS_[AGRUP. VALOR. PTO.],$B63,DATOS_[Sexo],$B64,DATOS_[Check Periodo Ref.],"Dentro")</f>
        <v>0</v>
      </c>
      <c r="E64" s="249" t="n">
        <f aca="false" t="array" ref="E64:E64">IFERROR( MEDIAN(IF(DATOS_[Sexo]=$B64,IF(DATOS_[AGRUP. VALOR. PTO.]=$B63,IF(DATOS_[Check Periodo Ref.]="Dentro",DATOS_[SALARIO BASE Ef],0)))), 0)</f>
        <v>0</v>
      </c>
      <c r="F64" s="250" t="n">
        <f aca="false" t="array" ref="F64:F64">IFERROR( MEDIAN((IF(DATOS_[[Sexo]:[Sexo]]=$B64,IF(DATOS_[[AGRUP. VALOR. PTO.]:[AGRUP. VALOR. PTO.]]=$B63,IF(DATOS_[[Check Periodo Ref.]:[Check Periodo Ref.]]="Dentro",DATOS_[Conc.Sal.01]))))), 0)</f>
        <v>0</v>
      </c>
      <c r="G64" s="250" t="n">
        <f aca="false" t="array" ref="G64:G64">IFERROR( MEDIAN((IF(DATOS_[[Sexo]:[Sexo]]=$B64,IF(DATOS_[[AGRUP. VALOR. PTO.]:[AGRUP. VALOR. PTO.]]=$B63,IF(DATOS_[[Check Periodo Ref.]:[Check Periodo Ref.]]="Dentro",DATOS_[Conc.Sal.02]))))), 0)</f>
        <v>0</v>
      </c>
      <c r="H64" s="250" t="n">
        <f aca="false" t="array" ref="H64:H64">IFERROR( MEDIAN((IF(DATOS_[[Sexo]:[Sexo]]=$B64,IF(DATOS_[[AGRUP. VALOR. PTO.]:[AGRUP. VALOR. PTO.]]=$B63,IF(DATOS_[[Check Periodo Ref.]:[Check Periodo Ref.]]="Dentro",DATOS_[Conc.Sal.03]))))), 0)</f>
        <v>0</v>
      </c>
      <c r="I64" s="250" t="n">
        <f aca="false" t="array" ref="I64:I64">IFERROR( MEDIAN((IF(DATOS_[[Sexo]:[Sexo]]=$B64,IF(DATOS_[[AGRUP. VALOR. PTO.]:[AGRUP. VALOR. PTO.]]=$B63,IF(DATOS_[[Check Periodo Ref.]:[Check Periodo Ref.]]="Dentro",DATOS_[Conc.Sal.04]))))), 0)</f>
        <v>0</v>
      </c>
      <c r="J64" s="250" t="n">
        <f aca="false" t="array" ref="J64:J64">IFERROR( MEDIAN((IF(DATOS_[[Sexo]:[Sexo]]=$B64,IF(DATOS_[[AGRUP. VALOR. PTO.]:[AGRUP. VALOR. PTO.]]=$B63,IF(DATOS_[[Check Periodo Ref.]:[Check Periodo Ref.]]="Dentro",DATOS_[Conc.Sal.05]))))), 0)</f>
        <v>0</v>
      </c>
      <c r="K64" s="250" t="n">
        <f aca="false" t="array" ref="K64:K64">IFERROR( MEDIAN((IF(DATOS_[[Sexo]:[Sexo]]=$B64,IF(DATOS_[[AGRUP. VALOR. PTO.]:[AGRUP. VALOR. PTO.]]=$B63,IF(DATOS_[[Check Periodo Ref.]:[Check Periodo Ref.]]="Dentro",DATOS_[Conc.Sal.06]))))), 0)</f>
        <v>0</v>
      </c>
      <c r="L64" s="250" t="n">
        <f aca="false" t="array" ref="L64:L64">IFERROR( MEDIAN((IF(DATOS_[[Sexo]:[Sexo]]=$B64,IF(DATOS_[[AGRUP. VALOR. PTO.]:[AGRUP. VALOR. PTO.]]=$B63,IF(DATOS_[[Check Periodo Ref.]:[Check Periodo Ref.]]="Dentro",DATOS_[Conc.Sal.07]))))), 0)</f>
        <v>0</v>
      </c>
      <c r="M64" s="250" t="n">
        <f aca="false" t="array" ref="M64:M64">IFERROR( MEDIAN((IF(DATOS_[[Sexo]:[Sexo]]=$B64,IF(DATOS_[[AGRUP. VALOR. PTO.]:[AGRUP. VALOR. PTO.]]=$B63,IF(DATOS_[[Check Periodo Ref.]:[Check Periodo Ref.]]="Dentro",DATOS_[Conc.Sal.08]))))), 0)</f>
        <v>0</v>
      </c>
      <c r="N64" s="250" t="n">
        <f aca="false" t="array" ref="N64:N64">IFERROR( MEDIAN((IF(DATOS_[[Sexo]:[Sexo]]=$B64,IF(DATOS_[[AGRUP. VALOR. PTO.]:[AGRUP. VALOR. PTO.]]=$B63,IF(DATOS_[[Check Periodo Ref.]:[Check Periodo Ref.]]="Dentro",DATOS_[Conc.Sal.09]))))), 0)</f>
        <v>0</v>
      </c>
      <c r="O64" s="250" t="n">
        <f aca="false" t="array" ref="O64:O64">IFERROR( MEDIAN((IF(DATOS_[[Sexo]:[Sexo]]=$B64,IF(DATOS_[[AGRUP. VALOR. PTO.]:[AGRUP. VALOR. PTO.]]=$B63,IF(DATOS_[[Check Periodo Ref.]:[Check Periodo Ref.]]="Dentro",DATOS_[Conc.Sal.10]))))), 0)</f>
        <v>0</v>
      </c>
      <c r="P64" s="250" t="n">
        <f aca="false" t="array" ref="P64:P64">IFERROR( MEDIAN((IF(DATOS_[[Sexo]:[Sexo]]=$B64,IF(DATOS_[[AGRUP. VALOR. PTO.]:[AGRUP. VALOR. PTO.]]=$B63,IF(DATOS_[[Check Periodo Ref.]:[Check Periodo Ref.]]="Dentro",DATOS_[Conc.Sal.11]))))), 0)</f>
        <v>0</v>
      </c>
      <c r="Q64" s="250" t="n">
        <f aca="false" t="array" ref="Q64:Q64">IFERROR( MEDIAN((IF(DATOS_[[Sexo]:[Sexo]]=$B64,IF(DATOS_[[AGRUP. VALOR. PTO.]:[AGRUP. VALOR. PTO.]]=$B63,IF(DATOS_[[Check Periodo Ref.]:[Check Periodo Ref.]]="Dentro",DATOS_[Conc.Sal.12]))))), 0)</f>
        <v>0</v>
      </c>
      <c r="R64" s="250" t="n">
        <f aca="false" t="array" ref="R64:R64">IFERROR( MEDIAN((IF(DATOS_[[Sexo]:[Sexo]]=$B64,IF(DATOS_[[AGRUP. VALOR. PTO.]:[AGRUP. VALOR. PTO.]]=$B63,IF(DATOS_[[Check Periodo Ref.]:[Check Periodo Ref.]]="Dentro",DATOS_[Conc.Sal.13]))))), 0)</f>
        <v>0</v>
      </c>
      <c r="S64" s="250" t="n">
        <f aca="false" t="array" ref="S64:S64">IFERROR( MEDIAN((IF(DATOS_[[Sexo]:[Sexo]]=$B64,IF(DATOS_[[AGRUP. VALOR. PTO.]:[AGRUP. VALOR. PTO.]]=$B63,IF(DATOS_[[Check Periodo Ref.]:[Check Periodo Ref.]]="Dentro",DATOS_[Conc.Sal.14]))))), 0)</f>
        <v>0</v>
      </c>
      <c r="T64" s="250" t="n">
        <f aca="false" t="array" ref="T64:T64">IFERROR( MEDIAN((IF(DATOS_[[Sexo]:[Sexo]]=$B64,IF(DATOS_[[AGRUP. VALOR. PTO.]:[AGRUP. VALOR. PTO.]]=$B63,IF(DATOS_[[Check Periodo Ref.]:[Check Periodo Ref.]]="Dentro",DATOS_[Conc.Sal.15]))))), 0)</f>
        <v>0</v>
      </c>
      <c r="U64" s="250" t="n">
        <f aca="false" t="array" ref="U64:U64">IFERROR( MEDIAN((IF(DATOS_[[Sexo]:[Sexo]]=$B64,IF(DATOS_[[AGRUP. VALOR. PTO.]:[AGRUP. VALOR. PTO.]]=$B63,IF(DATOS_[[Check Periodo Ref.]:[Check Periodo Ref.]]="Dentro",DATOS_[Conc.Sal.16]))))), 0)</f>
        <v>0</v>
      </c>
      <c r="V64" s="250" t="n">
        <f aca="false" t="array" ref="V64:V64">IFERROR( MEDIAN((IF(DATOS_[[Sexo]:[Sexo]]=$B64,IF(DATOS_[[AGRUP. VALOR. PTO.]:[AGRUP. VALOR. PTO.]]=$B63,IF(DATOS_[[Check Periodo Ref.]:[Check Periodo Ref.]]="Dentro",DATOS_[Conc.Sal.17]))))), 0)</f>
        <v>0</v>
      </c>
      <c r="W64" s="250" t="n">
        <f aca="false" t="array" ref="W64:W64">IFERROR( MEDIAN((IF(DATOS_[[Sexo]:[Sexo]]=$B64,IF(DATOS_[[AGRUP. VALOR. PTO.]:[AGRUP. VALOR. PTO.]]=$B63,IF(DATOS_[[Check Periodo Ref.]:[Check Periodo Ref.]]="Dentro",DATOS_[Conc.Sal.18]))))), 0)</f>
        <v>0</v>
      </c>
      <c r="X64" s="250" t="n">
        <f aca="false" t="array" ref="X64:X64">IFERROR( MEDIAN((IF(DATOS_[[Sexo]:[Sexo]]=$B64,IF(DATOS_[[AGRUP. VALOR. PTO.]:[AGRUP. VALOR. PTO.]]=$B63,IF(DATOS_[[Check Periodo Ref.]:[Check Periodo Ref.]]="Dentro",DATOS_[Conc.Sal.19]))))), 0)</f>
        <v>0</v>
      </c>
      <c r="Y64" s="250" t="n">
        <f aca="false" t="array" ref="Y64:Y64">IFERROR( MEDIAN((IF(DATOS_[[Sexo]:[Sexo]]=$B64,IF(DATOS_[[AGRUP. VALOR. PTO.]:[AGRUP. VALOR. PTO.]]=$B63,IF(DATOS_[[Check Periodo Ref.]:[Check Periodo Ref.]]="Dentro",DATOS_[Conc.Sal.20]))))), 0)</f>
        <v>0</v>
      </c>
      <c r="Z64" s="250" t="n">
        <f aca="false" t="array" ref="Z64:Z64">IFERROR( MEDIAN((IF(DATOS_[[Sexo]:[Sexo]]=$B64,IF(DATOS_[[AGRUP. VALOR. PTO.]:[AGRUP. VALOR. PTO.]]=$B63,IF(DATOS_[[Check Periodo Ref.]:[Check Periodo Ref.]]="Dentro",DATOS_[Conc.Sal.21]))))), 0)</f>
        <v>0</v>
      </c>
      <c r="AA64" s="250" t="n">
        <f aca="false" t="array" ref="AA64:AA64">IFERROR( MEDIAN((IF(DATOS_[[Sexo]:[Sexo]]=$B64,IF(DATOS_[[AGRUP. VALOR. PTO.]:[AGRUP. VALOR. PTO.]]=$B63,IF(DATOS_[[Check Periodo Ref.]:[Check Periodo Ref.]]="Dentro",DATOS_[Conc.Sal.22]))))), 0)</f>
        <v>0</v>
      </c>
      <c r="AB64" s="250" t="n">
        <f aca="false" t="array" ref="AB64:AB64">IFERROR( MEDIAN((IF(DATOS_[[Sexo]:[Sexo]]=$B64,IF(DATOS_[[AGRUP. VALOR. PTO.]:[AGRUP. VALOR. PTO.]]=$B63,IF(DATOS_[[Check Periodo Ref.]:[Check Periodo Ref.]]="Dentro",DATOS_[Conc.Sal.23]))))), 0)</f>
        <v>0</v>
      </c>
      <c r="AC64" s="250" t="n">
        <f aca="false" t="array" ref="AC64:AC64">IFERROR( MEDIAN((IF(DATOS_[[Sexo]:[Sexo]]=$B64,IF(DATOS_[[AGRUP. VALOR. PTO.]:[AGRUP. VALOR. PTO.]]=$B63,IF(DATOS_[[Check Periodo Ref.]:[Check Periodo Ref.]]="Dentro",DATOS_[Conc.Sal.24]))))), 0)</f>
        <v>0</v>
      </c>
      <c r="AD64" s="250" t="n">
        <f aca="false" t="array" ref="AD64:AD64">IFERROR( MEDIAN((IF(DATOS_[[Sexo]:[Sexo]]=$B64,IF(DATOS_[[AGRUP. VALOR. PTO.]:[AGRUP. VALOR. PTO.]]=$B63,IF(DATOS_[[Check Periodo Ref.]:[Check Periodo Ref.]]="Dentro",DATOS_[Conc.Sal.25]))))), 0)</f>
        <v>0</v>
      </c>
      <c r="AE64" s="250" t="n">
        <f aca="false" t="array" ref="AE64:AE64">IFERROR( MEDIAN((IF(DATOS_[[Sexo]:[Sexo]]=$B64,IF(DATOS_[[AGRUP. VALOR. PTO.]:[AGRUP. VALOR. PTO.]]=$B63,IF(DATOS_[[Check Periodo Ref.]:[Check Periodo Ref.]]="Dentro",DATOS_[Conc.Sal.26]))))), 0)</f>
        <v>0</v>
      </c>
      <c r="AF64" s="250" t="n">
        <f aca="false" t="array" ref="AF64:AF64">IFERROR( MEDIAN((IF(DATOS_[[Sexo]:[Sexo]]=$B64,IF(DATOS_[[AGRUP. VALOR. PTO.]:[AGRUP. VALOR. PTO.]]=$B63,IF(DATOS_[[Check Periodo Ref.]:[Check Periodo Ref.]]="Dentro",DATOS_[Conc.Sal.27]))))), 0)</f>
        <v>0</v>
      </c>
      <c r="AG64" s="250" t="n">
        <f aca="false" t="array" ref="AG64:AG64">IFERROR( MEDIAN((IF(DATOS_[[Sexo]:[Sexo]]=$B64,IF(DATOS_[[AGRUP. VALOR. PTO.]:[AGRUP. VALOR. PTO.]]=$B63,IF(DATOS_[[Check Periodo Ref.]:[Check Periodo Ref.]]="Dentro",DATOS_[Conc.Sal.28]))))), 0)</f>
        <v>0</v>
      </c>
      <c r="AH64" s="250" t="n">
        <f aca="false" t="array" ref="AH64:AH64">IFERROR( MEDIAN((IF(DATOS_[[Sexo]:[Sexo]]=$B64,IF(DATOS_[[AGRUP. VALOR. PTO.]:[AGRUP. VALOR. PTO.]]=$B63,IF(DATOS_[[Check Periodo Ref.]:[Check Periodo Ref.]]="Dentro",DATOS_[Conc.Sal.29]))))), 0)</f>
        <v>0</v>
      </c>
      <c r="AI64" s="250" t="n">
        <f aca="false" t="array" ref="AI64:AI64">IFERROR( MEDIAN((IF(DATOS_[[Sexo]:[Sexo]]=$B64,IF(DATOS_[[AGRUP. VALOR. PTO.]:[AGRUP. VALOR. PTO.]]=$B63,IF(DATOS_[[Check Periodo Ref.]:[Check Periodo Ref.]]="Dentro",DATOS_[Conc.Sal.30]))))), 0)</f>
        <v>0</v>
      </c>
      <c r="AJ64" s="251" t="n">
        <f aca="false" t="array" ref="AJ64:AJ64">IFERROR( MEDIAN(IF(DATOS_[Sexo]=$B64,IF(DATOS_[AGRUP. VALOR. PTO.]=$B63,IF(DATOS_[Check Periodo Ref.]="Dentro",DATOS_[Tot COMPL.SAL Ef],0)))), 0)</f>
        <v>0</v>
      </c>
      <c r="AK64" s="252" t="n">
        <f aca="false" t="array" ref="AK64:AK64">IFERROR( MEDIAN(IF(DATOS_[Sexo]=$B64,IF(DATOS_[AGRUP. VALOR. PTO.]=$B63,IF(DATOS_[Check Periodo Ref.]="Dentro",DATOS_[TOTAL SALARIO Ef],0)))), 0)</f>
        <v>0</v>
      </c>
      <c r="AL64" s="259" t="n">
        <f aca="false" t="array" ref="AL64:AL64">IFERROR( MEDIAN((IF(DATOS_[[Sexo]:[Sexo]]=$B64,IF(DATOS_[[AGRUP. VALOR. PTO.]:[AGRUP. VALOR. PTO.]]=$B63,IF(DATOS_[[Check Periodo Ref.]:[Check Periodo Ref.]]="Dentro",DATOS_[C.Extra.01]))))), 0)</f>
        <v>0</v>
      </c>
      <c r="AM64" s="259" t="n">
        <f aca="false" t="array" ref="AM64:AM64">IFERROR( MEDIAN((IF(DATOS_[[Sexo]:[Sexo]]=$B64,IF(DATOS_[[AGRUP. VALOR. PTO.]:[AGRUP. VALOR. PTO.]]=$B63,IF(DATOS_[[Check Periodo Ref.]:[Check Periodo Ref.]]="Dentro",DATOS_[C.Extra.02]))))), 0)</f>
        <v>0</v>
      </c>
      <c r="AN64" s="259" t="n">
        <f aca="false" t="array" ref="AN64:AN64">IFERROR( MEDIAN((IF(DATOS_[[Sexo]:[Sexo]]=$B64,IF(DATOS_[[AGRUP. VALOR. PTO.]:[AGRUP. VALOR. PTO.]]=$B63,IF(DATOS_[[Check Periodo Ref.]:[Check Periodo Ref.]]="Dentro",DATOS_[C.Extra.03]))))), 0)</f>
        <v>0</v>
      </c>
      <c r="AO64" s="259" t="n">
        <f aca="false" t="array" ref="AO64:AO64">IFERROR( MEDIAN((IF(DATOS_[[Sexo]:[Sexo]]=$B64,IF(DATOS_[[AGRUP. VALOR. PTO.]:[AGRUP. VALOR. PTO.]]=$B63,IF(DATOS_[[Check Periodo Ref.]:[Check Periodo Ref.]]="Dentro",DATOS_[C.Extra.04]))))), 0)</f>
        <v>0</v>
      </c>
      <c r="AP64" s="259" t="n">
        <f aca="false" t="array" ref="AP64:AP64">IFERROR( MEDIAN((IF(DATOS_[[Sexo]:[Sexo]]=$B64,IF(DATOS_[[AGRUP. VALOR. PTO.]:[AGRUP. VALOR. PTO.]]=$B63,IF(DATOS_[[Check Periodo Ref.]:[Check Periodo Ref.]]="Dentro",DATOS_[C.Extra.05]))))), 0)</f>
        <v>0</v>
      </c>
      <c r="AQ64" s="254" t="n">
        <f aca="false" t="array" ref="AQ64:AQ64">IFERROR( MEDIAN(IF(DATOS_[Sexo]=$B64,IF(DATOS_[AGRUP. VALOR. PTO.]=$B63,IF(DATOS_[Check Periodo Ref.]="Dentro",DATOS_[Tot Extrasalarial Ef],0)))), 0)</f>
        <v>0</v>
      </c>
      <c r="AR64" s="255" t="n">
        <f aca="false" t="array" ref="AR64:AR64">IFERROR( MEDIAN(IF(DATOS_[Sexo]=$B64,IF(DATOS_[AGRUP. VALOR. PTO.]=$B63,IF(DATOS_[Check Periodo Ref.]="Dentro",DATOS_[TOTAL Retrib Ef],0)))), 0)</f>
        <v>0</v>
      </c>
    </row>
    <row r="65" customFormat="false" ht="14.25" hidden="false" customHeight="false" outlineLevel="0" collapsed="false">
      <c r="A65" s="217" t="str">
        <f aca="false">+A64</f>
        <v>[ocultar]</v>
      </c>
      <c r="B65" s="246" t="s">
        <v>372</v>
      </c>
      <c r="C65" s="247" t="n">
        <f aca="false" t="array" ref="C65:C65">SUM(IF($B65=DATOS_[Sexo], IF($B63=DATOS_[AGRUP. VALOR. PTO.], IF("Dentro"=DATOS_[Check Periodo Ref.], 1/(COUNTIFS(DATOS_[Sexo],$B65,DATOS_[AGRUP. VALOR. PTO.],$B63,DATOS_[Check Periodo Ref.],"Dentro",DATOS_[id],DATOS_[id]))))))</f>
        <v>0</v>
      </c>
      <c r="D65" s="248" t="n">
        <f aca="false">COUNTIFS(DATOS_[AGRUP. VALOR. PTO.],$B63,DATOS_[Sexo],$B65,DATOS_[Check Periodo Ref.],"Dentro")</f>
        <v>0</v>
      </c>
      <c r="E65" s="249" t="n">
        <f aca="false" t="array" ref="E65:E65">IFERROR( MEDIAN(IF(DATOS_[Sexo]=$B65,IF(DATOS_[AGRUP. VALOR. PTO.]=$B63,IF(DATOS_[Check Periodo Ref.]="Dentro",DATOS_[SALARIO BASE Ef],0)))), 0)</f>
        <v>0</v>
      </c>
      <c r="F65" s="250" t="n">
        <f aca="false" t="array" ref="F65:F65">IFERROR( MEDIAN((IF(DATOS_[[Sexo]:[Sexo]]=$B65,IF(DATOS_[[AGRUP. VALOR. PTO.]:[AGRUP. VALOR. PTO.]]=$B63,IF(DATOS_[[Check Periodo Ref.]:[Check Periodo Ref.]]="Dentro",DATOS_[Conc.Sal.01]))))), 0)</f>
        <v>0</v>
      </c>
      <c r="G65" s="250" t="n">
        <f aca="false" t="array" ref="G65:G65">IFERROR( MEDIAN((IF(DATOS_[[Sexo]:[Sexo]]=$B65,IF(DATOS_[[AGRUP. VALOR. PTO.]:[AGRUP. VALOR. PTO.]]=$B63,IF(DATOS_[[Check Periodo Ref.]:[Check Periodo Ref.]]="Dentro",DATOS_[Conc.Sal.02]))))), 0)</f>
        <v>0</v>
      </c>
      <c r="H65" s="250" t="n">
        <f aca="false" t="array" ref="H65:H65">IFERROR( MEDIAN((IF(DATOS_[[Sexo]:[Sexo]]=$B65,IF(DATOS_[[AGRUP. VALOR. PTO.]:[AGRUP. VALOR. PTO.]]=$B63,IF(DATOS_[[Check Periodo Ref.]:[Check Periodo Ref.]]="Dentro",DATOS_[Conc.Sal.03]))))), 0)</f>
        <v>0</v>
      </c>
      <c r="I65" s="250" t="n">
        <f aca="false" t="array" ref="I65:I65">IFERROR( MEDIAN((IF(DATOS_[[Sexo]:[Sexo]]=$B65,IF(DATOS_[[AGRUP. VALOR. PTO.]:[AGRUP. VALOR. PTO.]]=$B63,IF(DATOS_[[Check Periodo Ref.]:[Check Periodo Ref.]]="Dentro",DATOS_[Conc.Sal.04]))))), 0)</f>
        <v>0</v>
      </c>
      <c r="J65" s="250" t="n">
        <f aca="false" t="array" ref="J65:J65">IFERROR( MEDIAN((IF(DATOS_[[Sexo]:[Sexo]]=$B65,IF(DATOS_[[AGRUP. VALOR. PTO.]:[AGRUP. VALOR. PTO.]]=$B63,IF(DATOS_[[Check Periodo Ref.]:[Check Periodo Ref.]]="Dentro",DATOS_[Conc.Sal.05]))))), 0)</f>
        <v>0</v>
      </c>
      <c r="K65" s="250" t="n">
        <f aca="false" t="array" ref="K65:K65">IFERROR( MEDIAN((IF(DATOS_[[Sexo]:[Sexo]]=$B65,IF(DATOS_[[AGRUP. VALOR. PTO.]:[AGRUP. VALOR. PTO.]]=$B63,IF(DATOS_[[Check Periodo Ref.]:[Check Periodo Ref.]]="Dentro",DATOS_[Conc.Sal.06]))))), 0)</f>
        <v>0</v>
      </c>
      <c r="L65" s="250" t="n">
        <f aca="false" t="array" ref="L65:L65">IFERROR( MEDIAN((IF(DATOS_[[Sexo]:[Sexo]]=$B65,IF(DATOS_[[AGRUP. VALOR. PTO.]:[AGRUP. VALOR. PTO.]]=$B63,IF(DATOS_[[Check Periodo Ref.]:[Check Periodo Ref.]]="Dentro",DATOS_[Conc.Sal.07]))))), 0)</f>
        <v>0</v>
      </c>
      <c r="M65" s="250" t="n">
        <f aca="false" t="array" ref="M65:M65">IFERROR( MEDIAN((IF(DATOS_[[Sexo]:[Sexo]]=$B65,IF(DATOS_[[AGRUP. VALOR. PTO.]:[AGRUP. VALOR. PTO.]]=$B63,IF(DATOS_[[Check Periodo Ref.]:[Check Periodo Ref.]]="Dentro",DATOS_[Conc.Sal.08]))))), 0)</f>
        <v>0</v>
      </c>
      <c r="N65" s="250" t="n">
        <f aca="false" t="array" ref="N65:N65">IFERROR( MEDIAN((IF(DATOS_[[Sexo]:[Sexo]]=$B65,IF(DATOS_[[AGRUP. VALOR. PTO.]:[AGRUP. VALOR. PTO.]]=$B63,IF(DATOS_[[Check Periodo Ref.]:[Check Periodo Ref.]]="Dentro",DATOS_[Conc.Sal.09]))))), 0)</f>
        <v>0</v>
      </c>
      <c r="O65" s="250" t="n">
        <f aca="false" t="array" ref="O65:O65">IFERROR( MEDIAN((IF(DATOS_[[Sexo]:[Sexo]]=$B65,IF(DATOS_[[AGRUP. VALOR. PTO.]:[AGRUP. VALOR. PTO.]]=$B63,IF(DATOS_[[Check Periodo Ref.]:[Check Periodo Ref.]]="Dentro",DATOS_[Conc.Sal.10]))))), 0)</f>
        <v>0</v>
      </c>
      <c r="P65" s="250" t="n">
        <f aca="false" t="array" ref="P65:P65">IFERROR( MEDIAN((IF(DATOS_[[Sexo]:[Sexo]]=$B65,IF(DATOS_[[AGRUP. VALOR. PTO.]:[AGRUP. VALOR. PTO.]]=$B63,IF(DATOS_[[Check Periodo Ref.]:[Check Periodo Ref.]]="Dentro",DATOS_[Conc.Sal.11]))))), 0)</f>
        <v>0</v>
      </c>
      <c r="Q65" s="250" t="n">
        <f aca="false" t="array" ref="Q65:Q65">IFERROR( MEDIAN((IF(DATOS_[[Sexo]:[Sexo]]=$B65,IF(DATOS_[[AGRUP. VALOR. PTO.]:[AGRUP. VALOR. PTO.]]=$B63,IF(DATOS_[[Check Periodo Ref.]:[Check Periodo Ref.]]="Dentro",DATOS_[Conc.Sal.12]))))), 0)</f>
        <v>0</v>
      </c>
      <c r="R65" s="250" t="n">
        <f aca="false" t="array" ref="R65:R65">IFERROR( MEDIAN((IF(DATOS_[[Sexo]:[Sexo]]=$B65,IF(DATOS_[[AGRUP. VALOR. PTO.]:[AGRUP. VALOR. PTO.]]=$B63,IF(DATOS_[[Check Periodo Ref.]:[Check Periodo Ref.]]="Dentro",DATOS_[Conc.Sal.13]))))), 0)</f>
        <v>0</v>
      </c>
      <c r="S65" s="250" t="n">
        <f aca="false" t="array" ref="S65:S65">IFERROR( MEDIAN((IF(DATOS_[[Sexo]:[Sexo]]=$B65,IF(DATOS_[[AGRUP. VALOR. PTO.]:[AGRUP. VALOR. PTO.]]=$B63,IF(DATOS_[[Check Periodo Ref.]:[Check Periodo Ref.]]="Dentro",DATOS_[Conc.Sal.14]))))), 0)</f>
        <v>0</v>
      </c>
      <c r="T65" s="250" t="n">
        <f aca="false" t="array" ref="T65:T65">IFERROR( MEDIAN((IF(DATOS_[[Sexo]:[Sexo]]=$B65,IF(DATOS_[[AGRUP. VALOR. PTO.]:[AGRUP. VALOR. PTO.]]=$B63,IF(DATOS_[[Check Periodo Ref.]:[Check Periodo Ref.]]="Dentro",DATOS_[Conc.Sal.15]))))), 0)</f>
        <v>0</v>
      </c>
      <c r="U65" s="250" t="n">
        <f aca="false" t="array" ref="U65:U65">IFERROR( MEDIAN((IF(DATOS_[[Sexo]:[Sexo]]=$B65,IF(DATOS_[[AGRUP. VALOR. PTO.]:[AGRUP. VALOR. PTO.]]=$B63,IF(DATOS_[[Check Periodo Ref.]:[Check Periodo Ref.]]="Dentro",DATOS_[Conc.Sal.16]))))), 0)</f>
        <v>0</v>
      </c>
      <c r="V65" s="250" t="n">
        <f aca="false" t="array" ref="V65:V65">IFERROR( MEDIAN((IF(DATOS_[[Sexo]:[Sexo]]=$B65,IF(DATOS_[[AGRUP. VALOR. PTO.]:[AGRUP. VALOR. PTO.]]=$B63,IF(DATOS_[[Check Periodo Ref.]:[Check Periodo Ref.]]="Dentro",DATOS_[Conc.Sal.17]))))), 0)</f>
        <v>0</v>
      </c>
      <c r="W65" s="250" t="n">
        <f aca="false" t="array" ref="W65:W65">IFERROR( MEDIAN((IF(DATOS_[[Sexo]:[Sexo]]=$B65,IF(DATOS_[[AGRUP. VALOR. PTO.]:[AGRUP. VALOR. PTO.]]=$B63,IF(DATOS_[[Check Periodo Ref.]:[Check Periodo Ref.]]="Dentro",DATOS_[Conc.Sal.18]))))), 0)</f>
        <v>0</v>
      </c>
      <c r="X65" s="250" t="n">
        <f aca="false" t="array" ref="X65:X65">IFERROR( MEDIAN((IF(DATOS_[[Sexo]:[Sexo]]=$B65,IF(DATOS_[[AGRUP. VALOR. PTO.]:[AGRUP. VALOR. PTO.]]=$B63,IF(DATOS_[[Check Periodo Ref.]:[Check Periodo Ref.]]="Dentro",DATOS_[Conc.Sal.19]))))), 0)</f>
        <v>0</v>
      </c>
      <c r="Y65" s="250" t="n">
        <f aca="false" t="array" ref="Y65:Y65">IFERROR( MEDIAN((IF(DATOS_[[Sexo]:[Sexo]]=$B65,IF(DATOS_[[AGRUP. VALOR. PTO.]:[AGRUP. VALOR. PTO.]]=$B63,IF(DATOS_[[Check Periodo Ref.]:[Check Periodo Ref.]]="Dentro",DATOS_[Conc.Sal.20]))))), 0)</f>
        <v>0</v>
      </c>
      <c r="Z65" s="250" t="n">
        <f aca="false" t="array" ref="Z65:Z65">IFERROR( MEDIAN((IF(DATOS_[[Sexo]:[Sexo]]=$B65,IF(DATOS_[[AGRUP. VALOR. PTO.]:[AGRUP. VALOR. PTO.]]=$B63,IF(DATOS_[[Check Periodo Ref.]:[Check Periodo Ref.]]="Dentro",DATOS_[Conc.Sal.21]))))), 0)</f>
        <v>0</v>
      </c>
      <c r="AA65" s="250" t="n">
        <f aca="false" t="array" ref="AA65:AA65">IFERROR( MEDIAN((IF(DATOS_[[Sexo]:[Sexo]]=$B65,IF(DATOS_[[AGRUP. VALOR. PTO.]:[AGRUP. VALOR. PTO.]]=$B63,IF(DATOS_[[Check Periodo Ref.]:[Check Periodo Ref.]]="Dentro",DATOS_[Conc.Sal.22]))))), 0)</f>
        <v>0</v>
      </c>
      <c r="AB65" s="250" t="n">
        <f aca="false" t="array" ref="AB65:AB65">IFERROR( MEDIAN((IF(DATOS_[[Sexo]:[Sexo]]=$B65,IF(DATOS_[[AGRUP. VALOR. PTO.]:[AGRUP. VALOR. PTO.]]=$B63,IF(DATOS_[[Check Periodo Ref.]:[Check Periodo Ref.]]="Dentro",DATOS_[Conc.Sal.23]))))), 0)</f>
        <v>0</v>
      </c>
      <c r="AC65" s="250" t="n">
        <f aca="false" t="array" ref="AC65:AC65">IFERROR( MEDIAN((IF(DATOS_[[Sexo]:[Sexo]]=$B65,IF(DATOS_[[AGRUP. VALOR. PTO.]:[AGRUP. VALOR. PTO.]]=$B63,IF(DATOS_[[Check Periodo Ref.]:[Check Periodo Ref.]]="Dentro",DATOS_[Conc.Sal.24]))))), 0)</f>
        <v>0</v>
      </c>
      <c r="AD65" s="250" t="n">
        <f aca="false" t="array" ref="AD65:AD65">IFERROR( MEDIAN((IF(DATOS_[[Sexo]:[Sexo]]=$B65,IF(DATOS_[[AGRUP. VALOR. PTO.]:[AGRUP. VALOR. PTO.]]=$B63,IF(DATOS_[[Check Periodo Ref.]:[Check Periodo Ref.]]="Dentro",DATOS_[Conc.Sal.25]))))), 0)</f>
        <v>0</v>
      </c>
      <c r="AE65" s="250" t="n">
        <f aca="false" t="array" ref="AE65:AE65">IFERROR( MEDIAN((IF(DATOS_[[Sexo]:[Sexo]]=$B65,IF(DATOS_[[AGRUP. VALOR. PTO.]:[AGRUP. VALOR. PTO.]]=$B63,IF(DATOS_[[Check Periodo Ref.]:[Check Periodo Ref.]]="Dentro",DATOS_[Conc.Sal.26]))))), 0)</f>
        <v>0</v>
      </c>
      <c r="AF65" s="250" t="n">
        <f aca="false" t="array" ref="AF65:AF65">IFERROR( MEDIAN((IF(DATOS_[[Sexo]:[Sexo]]=$B65,IF(DATOS_[[AGRUP. VALOR. PTO.]:[AGRUP. VALOR. PTO.]]=$B63,IF(DATOS_[[Check Periodo Ref.]:[Check Periodo Ref.]]="Dentro",DATOS_[Conc.Sal.27]))))), 0)</f>
        <v>0</v>
      </c>
      <c r="AG65" s="250" t="n">
        <f aca="false" t="array" ref="AG65:AG65">IFERROR( MEDIAN((IF(DATOS_[[Sexo]:[Sexo]]=$B65,IF(DATOS_[[AGRUP. VALOR. PTO.]:[AGRUP. VALOR. PTO.]]=$B63,IF(DATOS_[[Check Periodo Ref.]:[Check Periodo Ref.]]="Dentro",DATOS_[Conc.Sal.28]))))), 0)</f>
        <v>0</v>
      </c>
      <c r="AH65" s="250" t="n">
        <f aca="false" t="array" ref="AH65:AH65">IFERROR( MEDIAN((IF(DATOS_[[Sexo]:[Sexo]]=$B65,IF(DATOS_[[AGRUP. VALOR. PTO.]:[AGRUP. VALOR. PTO.]]=$B63,IF(DATOS_[[Check Periodo Ref.]:[Check Periodo Ref.]]="Dentro",DATOS_[Conc.Sal.29]))))), 0)</f>
        <v>0</v>
      </c>
      <c r="AI65" s="250" t="n">
        <f aca="false" t="array" ref="AI65:AI65">IFERROR( MEDIAN((IF(DATOS_[[Sexo]:[Sexo]]=$B65,IF(DATOS_[[AGRUP. VALOR. PTO.]:[AGRUP. VALOR. PTO.]]=$B63,IF(DATOS_[[Check Periodo Ref.]:[Check Periodo Ref.]]="Dentro",DATOS_[Conc.Sal.30]))))), 0)</f>
        <v>0</v>
      </c>
      <c r="AJ65" s="251" t="n">
        <f aca="false" t="array" ref="AJ65:AJ65">IFERROR( MEDIAN(IF(DATOS_[Sexo]=$B65,IF(DATOS_[AGRUP. VALOR. PTO.]=$B63,IF(DATOS_[Check Periodo Ref.]="Dentro",DATOS_[Tot COMPL.SAL Ef],0)))), 0)</f>
        <v>0</v>
      </c>
      <c r="AK65" s="252" t="n">
        <f aca="false" t="array" ref="AK65:AK65">IFERROR( MEDIAN(IF(DATOS_[Sexo]=$B65,IF(DATOS_[AGRUP. VALOR. PTO.]=$B63,IF(DATOS_[Check Periodo Ref.]="Dentro",DATOS_[TOTAL SALARIO Ef],0)))), 0)</f>
        <v>0</v>
      </c>
      <c r="AL65" s="259" t="n">
        <f aca="false" t="array" ref="AL65:AL65">IFERROR( MEDIAN((IF(DATOS_[[Sexo]:[Sexo]]=$B65,IF(DATOS_[[AGRUP. VALOR. PTO.]:[AGRUP. VALOR. PTO.]]=$B63,IF(DATOS_[[Check Periodo Ref.]:[Check Periodo Ref.]]="Dentro",DATOS_[C.Extra.01]))))), 0)</f>
        <v>0</v>
      </c>
      <c r="AM65" s="259" t="n">
        <f aca="false" t="array" ref="AM65:AM65">IFERROR( MEDIAN((IF(DATOS_[[Sexo]:[Sexo]]=$B65,IF(DATOS_[[AGRUP. VALOR. PTO.]:[AGRUP. VALOR. PTO.]]=$B63,IF(DATOS_[[Check Periodo Ref.]:[Check Periodo Ref.]]="Dentro",DATOS_[C.Extra.02]))))), 0)</f>
        <v>0</v>
      </c>
      <c r="AN65" s="259" t="n">
        <f aca="false" t="array" ref="AN65:AN65">IFERROR( MEDIAN((IF(DATOS_[[Sexo]:[Sexo]]=$B65,IF(DATOS_[[AGRUP. VALOR. PTO.]:[AGRUP. VALOR. PTO.]]=$B63,IF(DATOS_[[Check Periodo Ref.]:[Check Periodo Ref.]]="Dentro",DATOS_[C.Extra.03]))))), 0)</f>
        <v>0</v>
      </c>
      <c r="AO65" s="259" t="n">
        <f aca="false" t="array" ref="AO65:AO65">IFERROR( MEDIAN((IF(DATOS_[[Sexo]:[Sexo]]=$B65,IF(DATOS_[[AGRUP. VALOR. PTO.]:[AGRUP. VALOR. PTO.]]=$B63,IF(DATOS_[[Check Periodo Ref.]:[Check Periodo Ref.]]="Dentro",DATOS_[C.Extra.04]))))), 0)</f>
        <v>0</v>
      </c>
      <c r="AP65" s="259" t="n">
        <f aca="false" t="array" ref="AP65:AP65">IFERROR( MEDIAN((IF(DATOS_[[Sexo]:[Sexo]]=$B65,IF(DATOS_[[AGRUP. VALOR. PTO.]:[AGRUP. VALOR. PTO.]]=$B63,IF(DATOS_[[Check Periodo Ref.]:[Check Periodo Ref.]]="Dentro",DATOS_[C.Extra.05]))))), 0)</f>
        <v>0</v>
      </c>
      <c r="AQ65" s="254" t="n">
        <f aca="false" t="array" ref="AQ65:AQ65">IFERROR( MEDIAN(IF(DATOS_[Sexo]=$B65,IF(DATOS_[AGRUP. VALOR. PTO.]=$B63,IF(DATOS_[Check Periodo Ref.]="Dentro",DATOS_[Tot Extrasalarial Ef],0)))), 0)</f>
        <v>0</v>
      </c>
      <c r="AR65" s="255" t="n">
        <f aca="false" t="array" ref="AR65:AR65">IFERROR( MEDIAN(IF(DATOS_[Sexo]=$B65,IF(DATOS_[AGRUP. VALOR. PTO.]=$B63,IF(DATOS_[Check Periodo Ref.]="Dentro",DATOS_[TOTAL Retrib Ef],0)))), 0)</f>
        <v>0</v>
      </c>
    </row>
    <row r="66" customFormat="false" ht="15.75" hidden="false" customHeight="false" outlineLevel="0" collapsed="false">
      <c r="A66" s="217" t="str">
        <f aca="false">+A67</f>
        <v>[ocultar]</v>
      </c>
      <c r="B66" s="235" t="s">
        <v>220</v>
      </c>
      <c r="C66" s="236"/>
      <c r="D66" s="237"/>
      <c r="E66" s="238" t="str">
        <f aca="false">IFERROR((E67-E68)/E67,"")</f>
        <v/>
      </c>
      <c r="F66" s="239" t="str">
        <f aca="false">IFERROR((F67-F68)/F67,"")</f>
        <v/>
      </c>
      <c r="G66" s="239" t="str">
        <f aca="false">IFERROR((G67-G68)/G67,"")</f>
        <v/>
      </c>
      <c r="H66" s="239" t="str">
        <f aca="false">IFERROR((H67-H68)/H67,"")</f>
        <v/>
      </c>
      <c r="I66" s="239"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40" t="str">
        <f aca="false">IFERROR((V67-V68)/V67,"")</f>
        <v/>
      </c>
      <c r="W66" s="240" t="str">
        <f aca="false">IFERROR((W67-W68)/W67,"")</f>
        <v/>
      </c>
      <c r="X66" s="240" t="str">
        <f aca="false">IFERROR((X67-X68)/X67,"")</f>
        <v/>
      </c>
      <c r="Y66" s="240"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1" t="str">
        <f aca="false">IFERROR((AJ67-AJ68)/AJ67,"")</f>
        <v/>
      </c>
      <c r="AK66" s="242" t="str">
        <f aca="false">IFERROR((AK67-AK68)/AK67,"")</f>
        <v/>
      </c>
      <c r="AL66" s="243" t="str">
        <f aca="false">IFERROR((AL67-AL68)/AL67,"")</f>
        <v/>
      </c>
      <c r="AM66" s="243" t="str">
        <f aca="false">IFERROR((AM67-AM68)/AM67,"")</f>
        <v/>
      </c>
      <c r="AN66" s="243" t="str">
        <f aca="false">IFERROR((AN67-AN68)/AN67,"")</f>
        <v/>
      </c>
      <c r="AO66" s="243" t="str">
        <f aca="false">IFERROR((AO67-AO68)/AO67,"")</f>
        <v/>
      </c>
      <c r="AP66" s="243" t="str">
        <f aca="false">IFERROR((AP67-AP68)/AP67,"")</f>
        <v/>
      </c>
      <c r="AQ66" s="244" t="str">
        <f aca="false">IFERROR((AQ67-AQ68)/AQ67,"")</f>
        <v/>
      </c>
      <c r="AR66" s="245" t="str">
        <f aca="false">IFERROR((AR67-AR68)/AR67,"")</f>
        <v/>
      </c>
    </row>
    <row r="67" customFormat="false" ht="14.25" hidden="false" customHeight="false" outlineLevel="0" collapsed="false">
      <c r="A67" s="217" t="str">
        <f aca="false">+IF(C67+C68=0,"[ocultar]","")</f>
        <v>[ocultar]</v>
      </c>
      <c r="B67" s="246" t="s">
        <v>371</v>
      </c>
      <c r="C67" s="247" t="n">
        <f aca="false" t="array" ref="C67:C67">SUM(IF($B67=DATOS_[Sexo], IF($B66=DATOS_[AGRUP. VALOR. PTO.], IF("Dentro"=DATOS_[Check Periodo Ref.], 1/(COUNTIFS(DATOS_[Sexo],$B67,DATOS_[AGRUP. VALOR. PTO.],$B66,DATOS_[Check Periodo Ref.],"Dentro",DATOS_[id],DATOS_[id]))))))</f>
        <v>0</v>
      </c>
      <c r="D67" s="248" t="n">
        <f aca="false">COUNTIFS(DATOS_[AGRUP. VALOR. PTO.],$B66,DATOS_[Sexo],$B67,DATOS_[Check Periodo Ref.],"Dentro")</f>
        <v>0</v>
      </c>
      <c r="E67" s="249" t="n">
        <f aca="false" t="array" ref="E67:E67">IFERROR( MEDIAN(IF(DATOS_[Sexo]=$B67,IF(DATOS_[AGRUP. VALOR. PTO.]=$B66,IF(DATOS_[Check Periodo Ref.]="Dentro",DATOS_[SALARIO BASE Ef],0)))), 0)</f>
        <v>0</v>
      </c>
      <c r="F67" s="250" t="n">
        <f aca="false" t="array" ref="F67:F67">IFERROR( MEDIAN((IF(DATOS_[[Sexo]:[Sexo]]=$B67,IF(DATOS_[[AGRUP. VALOR. PTO.]:[AGRUP. VALOR. PTO.]]=$B66,IF(DATOS_[[Check Periodo Ref.]:[Check Periodo Ref.]]="Dentro",DATOS_[Conc.Sal.01]))))), 0)</f>
        <v>0</v>
      </c>
      <c r="G67" s="250" t="n">
        <f aca="false" t="array" ref="G67:G67">IFERROR( MEDIAN((IF(DATOS_[[Sexo]:[Sexo]]=$B67,IF(DATOS_[[AGRUP. VALOR. PTO.]:[AGRUP. VALOR. PTO.]]=$B66,IF(DATOS_[[Check Periodo Ref.]:[Check Periodo Ref.]]="Dentro",DATOS_[Conc.Sal.02]))))), 0)</f>
        <v>0</v>
      </c>
      <c r="H67" s="250" t="n">
        <f aca="false" t="array" ref="H67:H67">IFERROR( MEDIAN((IF(DATOS_[[Sexo]:[Sexo]]=$B67,IF(DATOS_[[AGRUP. VALOR. PTO.]:[AGRUP. VALOR. PTO.]]=$B66,IF(DATOS_[[Check Periodo Ref.]:[Check Periodo Ref.]]="Dentro",DATOS_[Conc.Sal.03]))))), 0)</f>
        <v>0</v>
      </c>
      <c r="I67" s="250" t="n">
        <f aca="false" t="array" ref="I67:I67">IFERROR( MEDIAN((IF(DATOS_[[Sexo]:[Sexo]]=$B67,IF(DATOS_[[AGRUP. VALOR. PTO.]:[AGRUP. VALOR. PTO.]]=$B66,IF(DATOS_[[Check Periodo Ref.]:[Check Periodo Ref.]]="Dentro",DATOS_[Conc.Sal.04]))))), 0)</f>
        <v>0</v>
      </c>
      <c r="J67" s="250" t="n">
        <f aca="false" t="array" ref="J67:J67">IFERROR( MEDIAN((IF(DATOS_[[Sexo]:[Sexo]]=$B67,IF(DATOS_[[AGRUP. VALOR. PTO.]:[AGRUP. VALOR. PTO.]]=$B66,IF(DATOS_[[Check Periodo Ref.]:[Check Periodo Ref.]]="Dentro",DATOS_[Conc.Sal.05]))))), 0)</f>
        <v>0</v>
      </c>
      <c r="K67" s="250" t="n">
        <f aca="false" t="array" ref="K67:K67">IFERROR( MEDIAN((IF(DATOS_[[Sexo]:[Sexo]]=$B67,IF(DATOS_[[AGRUP. VALOR. PTO.]:[AGRUP. VALOR. PTO.]]=$B66,IF(DATOS_[[Check Periodo Ref.]:[Check Periodo Ref.]]="Dentro",DATOS_[Conc.Sal.06]))))), 0)</f>
        <v>0</v>
      </c>
      <c r="L67" s="250" t="n">
        <f aca="false" t="array" ref="L67:L67">IFERROR( MEDIAN((IF(DATOS_[[Sexo]:[Sexo]]=$B67,IF(DATOS_[[AGRUP. VALOR. PTO.]:[AGRUP. VALOR. PTO.]]=$B66,IF(DATOS_[[Check Periodo Ref.]:[Check Periodo Ref.]]="Dentro",DATOS_[Conc.Sal.07]))))), 0)</f>
        <v>0</v>
      </c>
      <c r="M67" s="250" t="n">
        <f aca="false" t="array" ref="M67:M67">IFERROR( MEDIAN((IF(DATOS_[[Sexo]:[Sexo]]=$B67,IF(DATOS_[[AGRUP. VALOR. PTO.]:[AGRUP. VALOR. PTO.]]=$B66,IF(DATOS_[[Check Periodo Ref.]:[Check Periodo Ref.]]="Dentro",DATOS_[Conc.Sal.08]))))), 0)</f>
        <v>0</v>
      </c>
      <c r="N67" s="250" t="n">
        <f aca="false" t="array" ref="N67:N67">IFERROR( MEDIAN((IF(DATOS_[[Sexo]:[Sexo]]=$B67,IF(DATOS_[[AGRUP. VALOR. PTO.]:[AGRUP. VALOR. PTO.]]=$B66,IF(DATOS_[[Check Periodo Ref.]:[Check Periodo Ref.]]="Dentro",DATOS_[Conc.Sal.09]))))), 0)</f>
        <v>0</v>
      </c>
      <c r="O67" s="250" t="n">
        <f aca="false" t="array" ref="O67:O67">IFERROR( MEDIAN((IF(DATOS_[[Sexo]:[Sexo]]=$B67,IF(DATOS_[[AGRUP. VALOR. PTO.]:[AGRUP. VALOR. PTO.]]=$B66,IF(DATOS_[[Check Periodo Ref.]:[Check Periodo Ref.]]="Dentro",DATOS_[Conc.Sal.10]))))), 0)</f>
        <v>0</v>
      </c>
      <c r="P67" s="250" t="n">
        <f aca="false" t="array" ref="P67:P67">IFERROR( MEDIAN((IF(DATOS_[[Sexo]:[Sexo]]=$B67,IF(DATOS_[[AGRUP. VALOR. PTO.]:[AGRUP. VALOR. PTO.]]=$B66,IF(DATOS_[[Check Periodo Ref.]:[Check Periodo Ref.]]="Dentro",DATOS_[Conc.Sal.11]))))), 0)</f>
        <v>0</v>
      </c>
      <c r="Q67" s="250" t="n">
        <f aca="false" t="array" ref="Q67:Q67">IFERROR( MEDIAN((IF(DATOS_[[Sexo]:[Sexo]]=$B67,IF(DATOS_[[AGRUP. VALOR. PTO.]:[AGRUP. VALOR. PTO.]]=$B66,IF(DATOS_[[Check Periodo Ref.]:[Check Periodo Ref.]]="Dentro",DATOS_[Conc.Sal.12]))))), 0)</f>
        <v>0</v>
      </c>
      <c r="R67" s="250" t="n">
        <f aca="false" t="array" ref="R67:R67">IFERROR( MEDIAN((IF(DATOS_[[Sexo]:[Sexo]]=$B67,IF(DATOS_[[AGRUP. VALOR. PTO.]:[AGRUP. VALOR. PTO.]]=$B66,IF(DATOS_[[Check Periodo Ref.]:[Check Periodo Ref.]]="Dentro",DATOS_[Conc.Sal.13]))))), 0)</f>
        <v>0</v>
      </c>
      <c r="S67" s="250" t="n">
        <f aca="false" t="array" ref="S67:S67">IFERROR( MEDIAN((IF(DATOS_[[Sexo]:[Sexo]]=$B67,IF(DATOS_[[AGRUP. VALOR. PTO.]:[AGRUP. VALOR. PTO.]]=$B66,IF(DATOS_[[Check Periodo Ref.]:[Check Periodo Ref.]]="Dentro",DATOS_[Conc.Sal.14]))))), 0)</f>
        <v>0</v>
      </c>
      <c r="T67" s="250" t="n">
        <f aca="false" t="array" ref="T67:T67">IFERROR( MEDIAN((IF(DATOS_[[Sexo]:[Sexo]]=$B67,IF(DATOS_[[AGRUP. VALOR. PTO.]:[AGRUP. VALOR. PTO.]]=$B66,IF(DATOS_[[Check Periodo Ref.]:[Check Periodo Ref.]]="Dentro",DATOS_[Conc.Sal.15]))))), 0)</f>
        <v>0</v>
      </c>
      <c r="U67" s="250" t="n">
        <f aca="false" t="array" ref="U67:U67">IFERROR( MEDIAN((IF(DATOS_[[Sexo]:[Sexo]]=$B67,IF(DATOS_[[AGRUP. VALOR. PTO.]:[AGRUP. VALOR. PTO.]]=$B66,IF(DATOS_[[Check Periodo Ref.]:[Check Periodo Ref.]]="Dentro",DATOS_[Conc.Sal.16]))))), 0)</f>
        <v>0</v>
      </c>
      <c r="V67" s="250" t="n">
        <f aca="false" t="array" ref="V67:V67">IFERROR( MEDIAN((IF(DATOS_[[Sexo]:[Sexo]]=$B67,IF(DATOS_[[AGRUP. VALOR. PTO.]:[AGRUP. VALOR. PTO.]]=$B66,IF(DATOS_[[Check Periodo Ref.]:[Check Periodo Ref.]]="Dentro",DATOS_[Conc.Sal.17]))))), 0)</f>
        <v>0</v>
      </c>
      <c r="W67" s="250" t="n">
        <f aca="false" t="array" ref="W67:W67">IFERROR( MEDIAN((IF(DATOS_[[Sexo]:[Sexo]]=$B67,IF(DATOS_[[AGRUP. VALOR. PTO.]:[AGRUP. VALOR. PTO.]]=$B66,IF(DATOS_[[Check Periodo Ref.]:[Check Periodo Ref.]]="Dentro",DATOS_[Conc.Sal.18]))))), 0)</f>
        <v>0</v>
      </c>
      <c r="X67" s="250" t="n">
        <f aca="false" t="array" ref="X67:X67">IFERROR( MEDIAN((IF(DATOS_[[Sexo]:[Sexo]]=$B67,IF(DATOS_[[AGRUP. VALOR. PTO.]:[AGRUP. VALOR. PTO.]]=$B66,IF(DATOS_[[Check Periodo Ref.]:[Check Periodo Ref.]]="Dentro",DATOS_[Conc.Sal.19]))))), 0)</f>
        <v>0</v>
      </c>
      <c r="Y67" s="250" t="n">
        <f aca="false" t="array" ref="Y67:Y67">IFERROR( MEDIAN((IF(DATOS_[[Sexo]:[Sexo]]=$B67,IF(DATOS_[[AGRUP. VALOR. PTO.]:[AGRUP. VALOR. PTO.]]=$B66,IF(DATOS_[[Check Periodo Ref.]:[Check Periodo Ref.]]="Dentro",DATOS_[Conc.Sal.20]))))), 0)</f>
        <v>0</v>
      </c>
      <c r="Z67" s="250" t="n">
        <f aca="false" t="array" ref="Z67:Z67">IFERROR( MEDIAN((IF(DATOS_[[Sexo]:[Sexo]]=$B67,IF(DATOS_[[AGRUP. VALOR. PTO.]:[AGRUP. VALOR. PTO.]]=$B66,IF(DATOS_[[Check Periodo Ref.]:[Check Periodo Ref.]]="Dentro",DATOS_[Conc.Sal.21]))))), 0)</f>
        <v>0</v>
      </c>
      <c r="AA67" s="250" t="n">
        <f aca="false" t="array" ref="AA67:AA67">IFERROR( MEDIAN((IF(DATOS_[[Sexo]:[Sexo]]=$B67,IF(DATOS_[[AGRUP. VALOR. PTO.]:[AGRUP. VALOR. PTO.]]=$B66,IF(DATOS_[[Check Periodo Ref.]:[Check Periodo Ref.]]="Dentro",DATOS_[Conc.Sal.22]))))), 0)</f>
        <v>0</v>
      </c>
      <c r="AB67" s="250" t="n">
        <f aca="false" t="array" ref="AB67:AB67">IFERROR( MEDIAN((IF(DATOS_[[Sexo]:[Sexo]]=$B67,IF(DATOS_[[AGRUP. VALOR. PTO.]:[AGRUP. VALOR. PTO.]]=$B66,IF(DATOS_[[Check Periodo Ref.]:[Check Periodo Ref.]]="Dentro",DATOS_[Conc.Sal.23]))))), 0)</f>
        <v>0</v>
      </c>
      <c r="AC67" s="250" t="n">
        <f aca="false" t="array" ref="AC67:AC67">IFERROR( MEDIAN((IF(DATOS_[[Sexo]:[Sexo]]=$B67,IF(DATOS_[[AGRUP. VALOR. PTO.]:[AGRUP. VALOR. PTO.]]=$B66,IF(DATOS_[[Check Periodo Ref.]:[Check Periodo Ref.]]="Dentro",DATOS_[Conc.Sal.24]))))), 0)</f>
        <v>0</v>
      </c>
      <c r="AD67" s="250" t="n">
        <f aca="false" t="array" ref="AD67:AD67">IFERROR( MEDIAN((IF(DATOS_[[Sexo]:[Sexo]]=$B67,IF(DATOS_[[AGRUP. VALOR. PTO.]:[AGRUP. VALOR. PTO.]]=$B66,IF(DATOS_[[Check Periodo Ref.]:[Check Periodo Ref.]]="Dentro",DATOS_[Conc.Sal.25]))))), 0)</f>
        <v>0</v>
      </c>
      <c r="AE67" s="250" t="n">
        <f aca="false" t="array" ref="AE67:AE67">IFERROR( MEDIAN((IF(DATOS_[[Sexo]:[Sexo]]=$B67,IF(DATOS_[[AGRUP. VALOR. PTO.]:[AGRUP. VALOR. PTO.]]=$B66,IF(DATOS_[[Check Periodo Ref.]:[Check Periodo Ref.]]="Dentro",DATOS_[Conc.Sal.26]))))), 0)</f>
        <v>0</v>
      </c>
      <c r="AF67" s="250" t="n">
        <f aca="false" t="array" ref="AF67:AF67">IFERROR( MEDIAN((IF(DATOS_[[Sexo]:[Sexo]]=$B67,IF(DATOS_[[AGRUP. VALOR. PTO.]:[AGRUP. VALOR. PTO.]]=$B66,IF(DATOS_[[Check Periodo Ref.]:[Check Periodo Ref.]]="Dentro",DATOS_[Conc.Sal.27]))))), 0)</f>
        <v>0</v>
      </c>
      <c r="AG67" s="250" t="n">
        <f aca="false" t="array" ref="AG67:AG67">IFERROR( MEDIAN((IF(DATOS_[[Sexo]:[Sexo]]=$B67,IF(DATOS_[[AGRUP. VALOR. PTO.]:[AGRUP. VALOR. PTO.]]=$B66,IF(DATOS_[[Check Periodo Ref.]:[Check Periodo Ref.]]="Dentro",DATOS_[Conc.Sal.28]))))), 0)</f>
        <v>0</v>
      </c>
      <c r="AH67" s="250" t="n">
        <f aca="false" t="array" ref="AH67:AH67">IFERROR( MEDIAN((IF(DATOS_[[Sexo]:[Sexo]]=$B67,IF(DATOS_[[AGRUP. VALOR. PTO.]:[AGRUP. VALOR. PTO.]]=$B66,IF(DATOS_[[Check Periodo Ref.]:[Check Periodo Ref.]]="Dentro",DATOS_[Conc.Sal.29]))))), 0)</f>
        <v>0</v>
      </c>
      <c r="AI67" s="250" t="n">
        <f aca="false" t="array" ref="AI67:AI67">IFERROR( MEDIAN((IF(DATOS_[[Sexo]:[Sexo]]=$B67,IF(DATOS_[[AGRUP. VALOR. PTO.]:[AGRUP. VALOR. PTO.]]=$B66,IF(DATOS_[[Check Periodo Ref.]:[Check Periodo Ref.]]="Dentro",DATOS_[Conc.Sal.30]))))), 0)</f>
        <v>0</v>
      </c>
      <c r="AJ67" s="251" t="n">
        <f aca="false" t="array" ref="AJ67:AJ67">IFERROR( MEDIAN(IF(DATOS_[Sexo]=$B67,IF(DATOS_[AGRUP. VALOR. PTO.]=$B66,IF(DATOS_[Check Periodo Ref.]="Dentro",DATOS_[Tot COMPL.SAL Ef],0)))), 0)</f>
        <v>0</v>
      </c>
      <c r="AK67" s="252" t="n">
        <f aca="false" t="array" ref="AK67:AK67">IFERROR( MEDIAN(IF(DATOS_[Sexo]=$B67,IF(DATOS_[AGRUP. VALOR. PTO.]=$B66,IF(DATOS_[Check Periodo Ref.]="Dentro",DATOS_[TOTAL SALARIO Ef],0)))), 0)</f>
        <v>0</v>
      </c>
      <c r="AL67" s="259" t="n">
        <f aca="false" t="array" ref="AL67:AL67">IFERROR( MEDIAN((IF(DATOS_[[Sexo]:[Sexo]]=$B67,IF(DATOS_[[AGRUP. VALOR. PTO.]:[AGRUP. VALOR. PTO.]]=$B66,IF(DATOS_[[Check Periodo Ref.]:[Check Periodo Ref.]]="Dentro",DATOS_[C.Extra.01]))))), 0)</f>
        <v>0</v>
      </c>
      <c r="AM67" s="259" t="n">
        <f aca="false" t="array" ref="AM67:AM67">IFERROR( MEDIAN((IF(DATOS_[[Sexo]:[Sexo]]=$B67,IF(DATOS_[[AGRUP. VALOR. PTO.]:[AGRUP. VALOR. PTO.]]=$B66,IF(DATOS_[[Check Periodo Ref.]:[Check Periodo Ref.]]="Dentro",DATOS_[C.Extra.02]))))), 0)</f>
        <v>0</v>
      </c>
      <c r="AN67" s="259" t="n">
        <f aca="false" t="array" ref="AN67:AN67">IFERROR( MEDIAN((IF(DATOS_[[Sexo]:[Sexo]]=$B67,IF(DATOS_[[AGRUP. VALOR. PTO.]:[AGRUP. VALOR. PTO.]]=$B66,IF(DATOS_[[Check Periodo Ref.]:[Check Periodo Ref.]]="Dentro",DATOS_[C.Extra.03]))))), 0)</f>
        <v>0</v>
      </c>
      <c r="AO67" s="259" t="n">
        <f aca="false" t="array" ref="AO67:AO67">IFERROR( MEDIAN((IF(DATOS_[[Sexo]:[Sexo]]=$B67,IF(DATOS_[[AGRUP. VALOR. PTO.]:[AGRUP. VALOR. PTO.]]=$B66,IF(DATOS_[[Check Periodo Ref.]:[Check Periodo Ref.]]="Dentro",DATOS_[C.Extra.04]))))), 0)</f>
        <v>0</v>
      </c>
      <c r="AP67" s="259" t="n">
        <f aca="false" t="array" ref="AP67:AP67">IFERROR( MEDIAN((IF(DATOS_[[Sexo]:[Sexo]]=$B67,IF(DATOS_[[AGRUP. VALOR. PTO.]:[AGRUP. VALOR. PTO.]]=$B66,IF(DATOS_[[Check Periodo Ref.]:[Check Periodo Ref.]]="Dentro",DATOS_[C.Extra.05]))))), 0)</f>
        <v>0</v>
      </c>
      <c r="AQ67" s="254" t="n">
        <f aca="false" t="array" ref="AQ67:AQ67">IFERROR( MEDIAN(IF(DATOS_[Sexo]=$B67,IF(DATOS_[AGRUP. VALOR. PTO.]=$B66,IF(DATOS_[Check Periodo Ref.]="Dentro",DATOS_[Tot Extrasalarial Ef],0)))), 0)</f>
        <v>0</v>
      </c>
      <c r="AR67" s="255" t="n">
        <f aca="false" t="array" ref="AR67:AR67">IFERROR( MEDIAN(IF(DATOS_[Sexo]=$B67,IF(DATOS_[AGRUP. VALOR. PTO.]=$B66,IF(DATOS_[Check Periodo Ref.]="Dentro",DATOS_[TOTAL Retrib Ef],0)))), 0)</f>
        <v>0</v>
      </c>
    </row>
    <row r="68" customFormat="false" ht="14.25" hidden="false" customHeight="false" outlineLevel="0" collapsed="false">
      <c r="A68" s="217" t="str">
        <f aca="false">+A67</f>
        <v>[ocultar]</v>
      </c>
      <c r="B68" s="246" t="s">
        <v>372</v>
      </c>
      <c r="C68" s="247" t="n">
        <f aca="false" t="array" ref="C68:C68">SUM(IF($B68=DATOS_[Sexo], IF($B66=DATOS_[AGRUP. VALOR. PTO.], IF("Dentro"=DATOS_[Check Periodo Ref.], 1/(COUNTIFS(DATOS_[Sexo],$B68,DATOS_[AGRUP. VALOR. PTO.],$B66,DATOS_[Check Periodo Ref.],"Dentro",DATOS_[id],DATOS_[id]))))))</f>
        <v>0</v>
      </c>
      <c r="D68" s="248" t="n">
        <f aca="false">COUNTIFS(DATOS_[AGRUP. VALOR. PTO.],$B66,DATOS_[Sexo],$B68,DATOS_[Check Periodo Ref.],"Dentro")</f>
        <v>0</v>
      </c>
      <c r="E68" s="249" t="n">
        <f aca="false" t="array" ref="E68:E68">IFERROR( MEDIAN(IF(DATOS_[Sexo]=$B68,IF(DATOS_[AGRUP. VALOR. PTO.]=$B66,IF(DATOS_[Check Periodo Ref.]="Dentro",DATOS_[SALARIO BASE Ef],0)))), 0)</f>
        <v>0</v>
      </c>
      <c r="F68" s="250" t="n">
        <f aca="false" t="array" ref="F68:F68">IFERROR( MEDIAN((IF(DATOS_[[Sexo]:[Sexo]]=$B68,IF(DATOS_[[AGRUP. VALOR. PTO.]:[AGRUP. VALOR. PTO.]]=$B66,IF(DATOS_[[Check Periodo Ref.]:[Check Periodo Ref.]]="Dentro",DATOS_[Conc.Sal.01]))))), 0)</f>
        <v>0</v>
      </c>
      <c r="G68" s="250" t="n">
        <f aca="false" t="array" ref="G68:G68">IFERROR( MEDIAN((IF(DATOS_[[Sexo]:[Sexo]]=$B68,IF(DATOS_[[AGRUP. VALOR. PTO.]:[AGRUP. VALOR. PTO.]]=$B66,IF(DATOS_[[Check Periodo Ref.]:[Check Periodo Ref.]]="Dentro",DATOS_[Conc.Sal.02]))))), 0)</f>
        <v>0</v>
      </c>
      <c r="H68" s="250" t="n">
        <f aca="false" t="array" ref="H68:H68">IFERROR( MEDIAN((IF(DATOS_[[Sexo]:[Sexo]]=$B68,IF(DATOS_[[AGRUP. VALOR. PTO.]:[AGRUP. VALOR. PTO.]]=$B66,IF(DATOS_[[Check Periodo Ref.]:[Check Periodo Ref.]]="Dentro",DATOS_[Conc.Sal.03]))))), 0)</f>
        <v>0</v>
      </c>
      <c r="I68" s="250" t="n">
        <f aca="false" t="array" ref="I68:I68">IFERROR( MEDIAN((IF(DATOS_[[Sexo]:[Sexo]]=$B68,IF(DATOS_[[AGRUP. VALOR. PTO.]:[AGRUP. VALOR. PTO.]]=$B66,IF(DATOS_[[Check Periodo Ref.]:[Check Periodo Ref.]]="Dentro",DATOS_[Conc.Sal.04]))))), 0)</f>
        <v>0</v>
      </c>
      <c r="J68" s="250" t="n">
        <f aca="false" t="array" ref="J68:J68">IFERROR( MEDIAN((IF(DATOS_[[Sexo]:[Sexo]]=$B68,IF(DATOS_[[AGRUP. VALOR. PTO.]:[AGRUP. VALOR. PTO.]]=$B66,IF(DATOS_[[Check Periodo Ref.]:[Check Periodo Ref.]]="Dentro",DATOS_[Conc.Sal.05]))))), 0)</f>
        <v>0</v>
      </c>
      <c r="K68" s="250" t="n">
        <f aca="false" t="array" ref="K68:K68">IFERROR( MEDIAN((IF(DATOS_[[Sexo]:[Sexo]]=$B68,IF(DATOS_[[AGRUP. VALOR. PTO.]:[AGRUP. VALOR. PTO.]]=$B66,IF(DATOS_[[Check Periodo Ref.]:[Check Periodo Ref.]]="Dentro",DATOS_[Conc.Sal.06]))))), 0)</f>
        <v>0</v>
      </c>
      <c r="L68" s="250" t="n">
        <f aca="false" t="array" ref="L68:L68">IFERROR( MEDIAN((IF(DATOS_[[Sexo]:[Sexo]]=$B68,IF(DATOS_[[AGRUP. VALOR. PTO.]:[AGRUP. VALOR. PTO.]]=$B66,IF(DATOS_[[Check Periodo Ref.]:[Check Periodo Ref.]]="Dentro",DATOS_[Conc.Sal.07]))))), 0)</f>
        <v>0</v>
      </c>
      <c r="M68" s="250" t="n">
        <f aca="false" t="array" ref="M68:M68">IFERROR( MEDIAN((IF(DATOS_[[Sexo]:[Sexo]]=$B68,IF(DATOS_[[AGRUP. VALOR. PTO.]:[AGRUP. VALOR. PTO.]]=$B66,IF(DATOS_[[Check Periodo Ref.]:[Check Periodo Ref.]]="Dentro",DATOS_[Conc.Sal.08]))))), 0)</f>
        <v>0</v>
      </c>
      <c r="N68" s="250" t="n">
        <f aca="false" t="array" ref="N68:N68">IFERROR( MEDIAN((IF(DATOS_[[Sexo]:[Sexo]]=$B68,IF(DATOS_[[AGRUP. VALOR. PTO.]:[AGRUP. VALOR. PTO.]]=$B66,IF(DATOS_[[Check Periodo Ref.]:[Check Periodo Ref.]]="Dentro",DATOS_[Conc.Sal.09]))))), 0)</f>
        <v>0</v>
      </c>
      <c r="O68" s="250" t="n">
        <f aca="false" t="array" ref="O68:O68">IFERROR( MEDIAN((IF(DATOS_[[Sexo]:[Sexo]]=$B68,IF(DATOS_[[AGRUP. VALOR. PTO.]:[AGRUP. VALOR. PTO.]]=$B66,IF(DATOS_[[Check Periodo Ref.]:[Check Periodo Ref.]]="Dentro",DATOS_[Conc.Sal.10]))))), 0)</f>
        <v>0</v>
      </c>
      <c r="P68" s="250" t="n">
        <f aca="false" t="array" ref="P68:P68">IFERROR( MEDIAN((IF(DATOS_[[Sexo]:[Sexo]]=$B68,IF(DATOS_[[AGRUP. VALOR. PTO.]:[AGRUP. VALOR. PTO.]]=$B66,IF(DATOS_[[Check Periodo Ref.]:[Check Periodo Ref.]]="Dentro",DATOS_[Conc.Sal.11]))))), 0)</f>
        <v>0</v>
      </c>
      <c r="Q68" s="250" t="n">
        <f aca="false" t="array" ref="Q68:Q68">IFERROR( MEDIAN((IF(DATOS_[[Sexo]:[Sexo]]=$B68,IF(DATOS_[[AGRUP. VALOR. PTO.]:[AGRUP. VALOR. PTO.]]=$B66,IF(DATOS_[[Check Periodo Ref.]:[Check Periodo Ref.]]="Dentro",DATOS_[Conc.Sal.12]))))), 0)</f>
        <v>0</v>
      </c>
      <c r="R68" s="250" t="n">
        <f aca="false" t="array" ref="R68:R68">IFERROR( MEDIAN((IF(DATOS_[[Sexo]:[Sexo]]=$B68,IF(DATOS_[[AGRUP. VALOR. PTO.]:[AGRUP. VALOR. PTO.]]=$B66,IF(DATOS_[[Check Periodo Ref.]:[Check Periodo Ref.]]="Dentro",DATOS_[Conc.Sal.13]))))), 0)</f>
        <v>0</v>
      </c>
      <c r="S68" s="250" t="n">
        <f aca="false" t="array" ref="S68:S68">IFERROR( MEDIAN((IF(DATOS_[[Sexo]:[Sexo]]=$B68,IF(DATOS_[[AGRUP. VALOR. PTO.]:[AGRUP. VALOR. PTO.]]=$B66,IF(DATOS_[[Check Periodo Ref.]:[Check Periodo Ref.]]="Dentro",DATOS_[Conc.Sal.14]))))), 0)</f>
        <v>0</v>
      </c>
      <c r="T68" s="250" t="n">
        <f aca="false" t="array" ref="T68:T68">IFERROR( MEDIAN((IF(DATOS_[[Sexo]:[Sexo]]=$B68,IF(DATOS_[[AGRUP. VALOR. PTO.]:[AGRUP. VALOR. PTO.]]=$B66,IF(DATOS_[[Check Periodo Ref.]:[Check Periodo Ref.]]="Dentro",DATOS_[Conc.Sal.15]))))), 0)</f>
        <v>0</v>
      </c>
      <c r="U68" s="250" t="n">
        <f aca="false" t="array" ref="U68:U68">IFERROR( MEDIAN((IF(DATOS_[[Sexo]:[Sexo]]=$B68,IF(DATOS_[[AGRUP. VALOR. PTO.]:[AGRUP. VALOR. PTO.]]=$B66,IF(DATOS_[[Check Periodo Ref.]:[Check Periodo Ref.]]="Dentro",DATOS_[Conc.Sal.16]))))), 0)</f>
        <v>0</v>
      </c>
      <c r="V68" s="250" t="n">
        <f aca="false" t="array" ref="V68:V68">IFERROR( MEDIAN((IF(DATOS_[[Sexo]:[Sexo]]=$B68,IF(DATOS_[[AGRUP. VALOR. PTO.]:[AGRUP. VALOR. PTO.]]=$B66,IF(DATOS_[[Check Periodo Ref.]:[Check Periodo Ref.]]="Dentro",DATOS_[Conc.Sal.17]))))), 0)</f>
        <v>0</v>
      </c>
      <c r="W68" s="250" t="n">
        <f aca="false" t="array" ref="W68:W68">IFERROR( MEDIAN((IF(DATOS_[[Sexo]:[Sexo]]=$B68,IF(DATOS_[[AGRUP. VALOR. PTO.]:[AGRUP. VALOR. PTO.]]=$B66,IF(DATOS_[[Check Periodo Ref.]:[Check Periodo Ref.]]="Dentro",DATOS_[Conc.Sal.18]))))), 0)</f>
        <v>0</v>
      </c>
      <c r="X68" s="250" t="n">
        <f aca="false" t="array" ref="X68:X68">IFERROR( MEDIAN((IF(DATOS_[[Sexo]:[Sexo]]=$B68,IF(DATOS_[[AGRUP. VALOR. PTO.]:[AGRUP. VALOR. PTO.]]=$B66,IF(DATOS_[[Check Periodo Ref.]:[Check Periodo Ref.]]="Dentro",DATOS_[Conc.Sal.19]))))), 0)</f>
        <v>0</v>
      </c>
      <c r="Y68" s="250" t="n">
        <f aca="false" t="array" ref="Y68:Y68">IFERROR( MEDIAN((IF(DATOS_[[Sexo]:[Sexo]]=$B68,IF(DATOS_[[AGRUP. VALOR. PTO.]:[AGRUP. VALOR. PTO.]]=$B66,IF(DATOS_[[Check Periodo Ref.]:[Check Periodo Ref.]]="Dentro",DATOS_[Conc.Sal.20]))))), 0)</f>
        <v>0</v>
      </c>
      <c r="Z68" s="250" t="n">
        <f aca="false" t="array" ref="Z68:Z68">IFERROR( MEDIAN((IF(DATOS_[[Sexo]:[Sexo]]=$B68,IF(DATOS_[[AGRUP. VALOR. PTO.]:[AGRUP. VALOR. PTO.]]=$B66,IF(DATOS_[[Check Periodo Ref.]:[Check Periodo Ref.]]="Dentro",DATOS_[Conc.Sal.21]))))), 0)</f>
        <v>0</v>
      </c>
      <c r="AA68" s="250" t="n">
        <f aca="false" t="array" ref="AA68:AA68">IFERROR( MEDIAN((IF(DATOS_[[Sexo]:[Sexo]]=$B68,IF(DATOS_[[AGRUP. VALOR. PTO.]:[AGRUP. VALOR. PTO.]]=$B66,IF(DATOS_[[Check Periodo Ref.]:[Check Periodo Ref.]]="Dentro",DATOS_[Conc.Sal.22]))))), 0)</f>
        <v>0</v>
      </c>
      <c r="AB68" s="250" t="n">
        <f aca="false" t="array" ref="AB68:AB68">IFERROR( MEDIAN((IF(DATOS_[[Sexo]:[Sexo]]=$B68,IF(DATOS_[[AGRUP. VALOR. PTO.]:[AGRUP. VALOR. PTO.]]=$B66,IF(DATOS_[[Check Periodo Ref.]:[Check Periodo Ref.]]="Dentro",DATOS_[Conc.Sal.23]))))), 0)</f>
        <v>0</v>
      </c>
      <c r="AC68" s="250" t="n">
        <f aca="false" t="array" ref="AC68:AC68">IFERROR( MEDIAN((IF(DATOS_[[Sexo]:[Sexo]]=$B68,IF(DATOS_[[AGRUP. VALOR. PTO.]:[AGRUP. VALOR. PTO.]]=$B66,IF(DATOS_[[Check Periodo Ref.]:[Check Periodo Ref.]]="Dentro",DATOS_[Conc.Sal.24]))))), 0)</f>
        <v>0</v>
      </c>
      <c r="AD68" s="250" t="n">
        <f aca="false" t="array" ref="AD68:AD68">IFERROR( MEDIAN((IF(DATOS_[[Sexo]:[Sexo]]=$B68,IF(DATOS_[[AGRUP. VALOR. PTO.]:[AGRUP. VALOR. PTO.]]=$B66,IF(DATOS_[[Check Periodo Ref.]:[Check Periodo Ref.]]="Dentro",DATOS_[Conc.Sal.25]))))), 0)</f>
        <v>0</v>
      </c>
      <c r="AE68" s="250" t="n">
        <f aca="false" t="array" ref="AE68:AE68">IFERROR( MEDIAN((IF(DATOS_[[Sexo]:[Sexo]]=$B68,IF(DATOS_[[AGRUP. VALOR. PTO.]:[AGRUP. VALOR. PTO.]]=$B66,IF(DATOS_[[Check Periodo Ref.]:[Check Periodo Ref.]]="Dentro",DATOS_[Conc.Sal.26]))))), 0)</f>
        <v>0</v>
      </c>
      <c r="AF68" s="250" t="n">
        <f aca="false" t="array" ref="AF68:AF68">IFERROR( MEDIAN((IF(DATOS_[[Sexo]:[Sexo]]=$B68,IF(DATOS_[[AGRUP. VALOR. PTO.]:[AGRUP. VALOR. PTO.]]=$B66,IF(DATOS_[[Check Periodo Ref.]:[Check Periodo Ref.]]="Dentro",DATOS_[Conc.Sal.27]))))), 0)</f>
        <v>0</v>
      </c>
      <c r="AG68" s="250" t="n">
        <f aca="false" t="array" ref="AG68:AG68">IFERROR( MEDIAN((IF(DATOS_[[Sexo]:[Sexo]]=$B68,IF(DATOS_[[AGRUP. VALOR. PTO.]:[AGRUP. VALOR. PTO.]]=$B66,IF(DATOS_[[Check Periodo Ref.]:[Check Periodo Ref.]]="Dentro",DATOS_[Conc.Sal.28]))))), 0)</f>
        <v>0</v>
      </c>
      <c r="AH68" s="250" t="n">
        <f aca="false" t="array" ref="AH68:AH68">IFERROR( MEDIAN((IF(DATOS_[[Sexo]:[Sexo]]=$B68,IF(DATOS_[[AGRUP. VALOR. PTO.]:[AGRUP. VALOR. PTO.]]=$B66,IF(DATOS_[[Check Periodo Ref.]:[Check Periodo Ref.]]="Dentro",DATOS_[Conc.Sal.29]))))), 0)</f>
        <v>0</v>
      </c>
      <c r="AI68" s="250" t="n">
        <f aca="false" t="array" ref="AI68:AI68">IFERROR( MEDIAN((IF(DATOS_[[Sexo]:[Sexo]]=$B68,IF(DATOS_[[AGRUP. VALOR. PTO.]:[AGRUP. VALOR. PTO.]]=$B66,IF(DATOS_[[Check Periodo Ref.]:[Check Periodo Ref.]]="Dentro",DATOS_[Conc.Sal.30]))))), 0)</f>
        <v>0</v>
      </c>
      <c r="AJ68" s="251" t="n">
        <f aca="false" t="array" ref="AJ68:AJ68">IFERROR( MEDIAN(IF(DATOS_[Sexo]=$B68,IF(DATOS_[AGRUP. VALOR. PTO.]=$B66,IF(DATOS_[Check Periodo Ref.]="Dentro",DATOS_[Tot COMPL.SAL Ef],0)))), 0)</f>
        <v>0</v>
      </c>
      <c r="AK68" s="252" t="n">
        <f aca="false" t="array" ref="AK68:AK68">IFERROR( MEDIAN(IF(DATOS_[Sexo]=$B68,IF(DATOS_[AGRUP. VALOR. PTO.]=$B66,IF(DATOS_[Check Periodo Ref.]="Dentro",DATOS_[TOTAL SALARIO Ef],0)))), 0)</f>
        <v>0</v>
      </c>
      <c r="AL68" s="259" t="n">
        <f aca="false" t="array" ref="AL68:AL68">IFERROR( MEDIAN((IF(DATOS_[[Sexo]:[Sexo]]=$B68,IF(DATOS_[[AGRUP. VALOR. PTO.]:[AGRUP. VALOR. PTO.]]=$B66,IF(DATOS_[[Check Periodo Ref.]:[Check Periodo Ref.]]="Dentro",DATOS_[C.Extra.01]))))), 0)</f>
        <v>0</v>
      </c>
      <c r="AM68" s="259" t="n">
        <f aca="false" t="array" ref="AM68:AM68">IFERROR( MEDIAN((IF(DATOS_[[Sexo]:[Sexo]]=$B68,IF(DATOS_[[AGRUP. VALOR. PTO.]:[AGRUP. VALOR. PTO.]]=$B66,IF(DATOS_[[Check Periodo Ref.]:[Check Periodo Ref.]]="Dentro",DATOS_[C.Extra.02]))))), 0)</f>
        <v>0</v>
      </c>
      <c r="AN68" s="259" t="n">
        <f aca="false" t="array" ref="AN68:AN68">IFERROR( MEDIAN((IF(DATOS_[[Sexo]:[Sexo]]=$B68,IF(DATOS_[[AGRUP. VALOR. PTO.]:[AGRUP. VALOR. PTO.]]=$B66,IF(DATOS_[[Check Periodo Ref.]:[Check Periodo Ref.]]="Dentro",DATOS_[C.Extra.03]))))), 0)</f>
        <v>0</v>
      </c>
      <c r="AO68" s="259" t="n">
        <f aca="false" t="array" ref="AO68:AO68">IFERROR( MEDIAN((IF(DATOS_[[Sexo]:[Sexo]]=$B68,IF(DATOS_[[AGRUP. VALOR. PTO.]:[AGRUP. VALOR. PTO.]]=$B66,IF(DATOS_[[Check Periodo Ref.]:[Check Periodo Ref.]]="Dentro",DATOS_[C.Extra.04]))))), 0)</f>
        <v>0</v>
      </c>
      <c r="AP68" s="259" t="n">
        <f aca="false" t="array" ref="AP68:AP68">IFERROR( MEDIAN((IF(DATOS_[[Sexo]:[Sexo]]=$B68,IF(DATOS_[[AGRUP. VALOR. PTO.]:[AGRUP. VALOR. PTO.]]=$B66,IF(DATOS_[[Check Periodo Ref.]:[Check Periodo Ref.]]="Dentro",DATOS_[C.Extra.05]))))), 0)</f>
        <v>0</v>
      </c>
      <c r="AQ68" s="254" t="n">
        <f aca="false" t="array" ref="AQ68:AQ68">IFERROR( MEDIAN(IF(DATOS_[Sexo]=$B68,IF(DATOS_[AGRUP. VALOR. PTO.]=$B66,IF(DATOS_[Check Periodo Ref.]="Dentro",DATOS_[Tot Extrasalarial Ef],0)))), 0)</f>
        <v>0</v>
      </c>
      <c r="AR68" s="255" t="n">
        <f aca="false" t="array" ref="AR68:AR68">IFERROR( MEDIAN(IF(DATOS_[Sexo]=$B68,IF(DATOS_[AGRUP. VALOR. PTO.]=$B66,IF(DATOS_[Check Periodo Ref.]="Dentro",DATOS_[TOTAL Retrib Ef],0)))), 0)</f>
        <v>0</v>
      </c>
    </row>
    <row r="69" customFormat="false" ht="15.75" hidden="false" customHeight="false" outlineLevel="0" collapsed="false">
      <c r="A69" s="217" t="str">
        <f aca="false">+A70</f>
        <v>[ocultar]</v>
      </c>
      <c r="B69" s="235" t="s">
        <v>223</v>
      </c>
      <c r="C69" s="236"/>
      <c r="D69" s="237"/>
      <c r="E69" s="238" t="str">
        <f aca="false">IFERROR((E70-E71)/E70,"")</f>
        <v/>
      </c>
      <c r="F69" s="239" t="str">
        <f aca="false">IFERROR((F70-F71)/F70,"")</f>
        <v/>
      </c>
      <c r="G69" s="239" t="str">
        <f aca="false">IFERROR((G70-G71)/G70,"")</f>
        <v/>
      </c>
      <c r="H69" s="239" t="str">
        <f aca="false">IFERROR((H70-H71)/H70,"")</f>
        <v/>
      </c>
      <c r="I69" s="239"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40" t="str">
        <f aca="false">IFERROR((V70-V71)/V70,"")</f>
        <v/>
      </c>
      <c r="W69" s="240" t="str">
        <f aca="false">IFERROR((W70-W71)/W70,"")</f>
        <v/>
      </c>
      <c r="X69" s="240" t="str">
        <f aca="false">IFERROR((X70-X71)/X70,"")</f>
        <v/>
      </c>
      <c r="Y69" s="240"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1" t="str">
        <f aca="false">IFERROR((AJ70-AJ71)/AJ70,"")</f>
        <v/>
      </c>
      <c r="AK69" s="242" t="str">
        <f aca="false">IFERROR((AK70-AK71)/AK70,"")</f>
        <v/>
      </c>
      <c r="AL69" s="243" t="str">
        <f aca="false">IFERROR((AL70-AL71)/AL70,"")</f>
        <v/>
      </c>
      <c r="AM69" s="243" t="str">
        <f aca="false">IFERROR((AM70-AM71)/AM70,"")</f>
        <v/>
      </c>
      <c r="AN69" s="243" t="str">
        <f aca="false">IFERROR((AN70-AN71)/AN70,"")</f>
        <v/>
      </c>
      <c r="AO69" s="243" t="str">
        <f aca="false">IFERROR((AO70-AO71)/AO70,"")</f>
        <v/>
      </c>
      <c r="AP69" s="243" t="str">
        <f aca="false">IFERROR((AP70-AP71)/AP70,"")</f>
        <v/>
      </c>
      <c r="AQ69" s="244" t="str">
        <f aca="false">IFERROR((AQ70-AQ71)/AQ70,"")</f>
        <v/>
      </c>
      <c r="AR69" s="245" t="str">
        <f aca="false">IFERROR((AR70-AR71)/AR70,"")</f>
        <v/>
      </c>
    </row>
    <row r="70" customFormat="false" ht="14.25" hidden="false" customHeight="false" outlineLevel="0" collapsed="false">
      <c r="A70" s="217" t="str">
        <f aca="false">+IF(C70+C71=0,"[ocultar]","")</f>
        <v>[ocultar]</v>
      </c>
      <c r="B70" s="246" t="s">
        <v>371</v>
      </c>
      <c r="C70" s="247" t="n">
        <f aca="false" t="array" ref="C70:C70">SUM(IF($B70=DATOS_[Sexo], IF($B69=DATOS_[AGRUP. VALOR. PTO.], IF("Dentro"=DATOS_[Check Periodo Ref.], 1/(COUNTIFS(DATOS_[Sexo],$B70,DATOS_[AGRUP. VALOR. PTO.],$B69,DATOS_[Check Periodo Ref.],"Dentro",DATOS_[id],DATOS_[id]))))))</f>
        <v>0</v>
      </c>
      <c r="D70" s="248" t="n">
        <f aca="false">COUNTIFS(DATOS_[AGRUP. VALOR. PTO.],$B69,DATOS_[Sexo],$B70,DATOS_[Check Periodo Ref.],"Dentro")</f>
        <v>0</v>
      </c>
      <c r="E70" s="249" t="n">
        <f aca="false" t="array" ref="E70:E70">IFERROR( MEDIAN(IF(DATOS_[Sexo]=$B70,IF(DATOS_[AGRUP. VALOR. PTO.]=$B69,IF(DATOS_[Check Periodo Ref.]="Dentro",DATOS_[SALARIO BASE Ef],0)))), 0)</f>
        <v>0</v>
      </c>
      <c r="F70" s="250" t="n">
        <f aca="false" t="array" ref="F70:F70">IFERROR( MEDIAN((IF(DATOS_[[Sexo]:[Sexo]]=$B70,IF(DATOS_[[AGRUP. VALOR. PTO.]:[AGRUP. VALOR. PTO.]]=$B69,IF(DATOS_[[Check Periodo Ref.]:[Check Periodo Ref.]]="Dentro",DATOS_[Conc.Sal.01]))))), 0)</f>
        <v>0</v>
      </c>
      <c r="G70" s="250" t="n">
        <f aca="false" t="array" ref="G70:G70">IFERROR( MEDIAN((IF(DATOS_[[Sexo]:[Sexo]]=$B70,IF(DATOS_[[AGRUP. VALOR. PTO.]:[AGRUP. VALOR. PTO.]]=$B69,IF(DATOS_[[Check Periodo Ref.]:[Check Periodo Ref.]]="Dentro",DATOS_[Conc.Sal.02]))))), 0)</f>
        <v>0</v>
      </c>
      <c r="H70" s="250" t="n">
        <f aca="false" t="array" ref="H70:H70">IFERROR( MEDIAN((IF(DATOS_[[Sexo]:[Sexo]]=$B70,IF(DATOS_[[AGRUP. VALOR. PTO.]:[AGRUP. VALOR. PTO.]]=$B69,IF(DATOS_[[Check Periodo Ref.]:[Check Periodo Ref.]]="Dentro",DATOS_[Conc.Sal.03]))))), 0)</f>
        <v>0</v>
      </c>
      <c r="I70" s="250" t="n">
        <f aca="false" t="array" ref="I70:I70">IFERROR( MEDIAN((IF(DATOS_[[Sexo]:[Sexo]]=$B70,IF(DATOS_[[AGRUP. VALOR. PTO.]:[AGRUP. VALOR. PTO.]]=$B69,IF(DATOS_[[Check Periodo Ref.]:[Check Periodo Ref.]]="Dentro",DATOS_[Conc.Sal.04]))))), 0)</f>
        <v>0</v>
      </c>
      <c r="J70" s="250" t="n">
        <f aca="false" t="array" ref="J70:J70">IFERROR( MEDIAN((IF(DATOS_[[Sexo]:[Sexo]]=$B70,IF(DATOS_[[AGRUP. VALOR. PTO.]:[AGRUP. VALOR. PTO.]]=$B69,IF(DATOS_[[Check Periodo Ref.]:[Check Periodo Ref.]]="Dentro",DATOS_[Conc.Sal.05]))))), 0)</f>
        <v>0</v>
      </c>
      <c r="K70" s="250" t="n">
        <f aca="false" t="array" ref="K70:K70">IFERROR( MEDIAN((IF(DATOS_[[Sexo]:[Sexo]]=$B70,IF(DATOS_[[AGRUP. VALOR. PTO.]:[AGRUP. VALOR. PTO.]]=$B69,IF(DATOS_[[Check Periodo Ref.]:[Check Periodo Ref.]]="Dentro",DATOS_[Conc.Sal.06]))))), 0)</f>
        <v>0</v>
      </c>
      <c r="L70" s="250" t="n">
        <f aca="false" t="array" ref="L70:L70">IFERROR( MEDIAN((IF(DATOS_[[Sexo]:[Sexo]]=$B70,IF(DATOS_[[AGRUP. VALOR. PTO.]:[AGRUP. VALOR. PTO.]]=$B69,IF(DATOS_[[Check Periodo Ref.]:[Check Periodo Ref.]]="Dentro",DATOS_[Conc.Sal.07]))))), 0)</f>
        <v>0</v>
      </c>
      <c r="M70" s="250" t="n">
        <f aca="false" t="array" ref="M70:M70">IFERROR( MEDIAN((IF(DATOS_[[Sexo]:[Sexo]]=$B70,IF(DATOS_[[AGRUP. VALOR. PTO.]:[AGRUP. VALOR. PTO.]]=$B69,IF(DATOS_[[Check Periodo Ref.]:[Check Periodo Ref.]]="Dentro",DATOS_[Conc.Sal.08]))))), 0)</f>
        <v>0</v>
      </c>
      <c r="N70" s="250" t="n">
        <f aca="false" t="array" ref="N70:N70">IFERROR( MEDIAN((IF(DATOS_[[Sexo]:[Sexo]]=$B70,IF(DATOS_[[AGRUP. VALOR. PTO.]:[AGRUP. VALOR. PTO.]]=$B69,IF(DATOS_[[Check Periodo Ref.]:[Check Periodo Ref.]]="Dentro",DATOS_[Conc.Sal.09]))))), 0)</f>
        <v>0</v>
      </c>
      <c r="O70" s="250" t="n">
        <f aca="false" t="array" ref="O70:O70">IFERROR( MEDIAN((IF(DATOS_[[Sexo]:[Sexo]]=$B70,IF(DATOS_[[AGRUP. VALOR. PTO.]:[AGRUP. VALOR. PTO.]]=$B69,IF(DATOS_[[Check Periodo Ref.]:[Check Periodo Ref.]]="Dentro",DATOS_[Conc.Sal.10]))))), 0)</f>
        <v>0</v>
      </c>
      <c r="P70" s="250" t="n">
        <f aca="false" t="array" ref="P70:P70">IFERROR( MEDIAN((IF(DATOS_[[Sexo]:[Sexo]]=$B70,IF(DATOS_[[AGRUP. VALOR. PTO.]:[AGRUP. VALOR. PTO.]]=$B69,IF(DATOS_[[Check Periodo Ref.]:[Check Periodo Ref.]]="Dentro",DATOS_[Conc.Sal.11]))))), 0)</f>
        <v>0</v>
      </c>
      <c r="Q70" s="250" t="n">
        <f aca="false" t="array" ref="Q70:Q70">IFERROR( MEDIAN((IF(DATOS_[[Sexo]:[Sexo]]=$B70,IF(DATOS_[[AGRUP. VALOR. PTO.]:[AGRUP. VALOR. PTO.]]=$B69,IF(DATOS_[[Check Periodo Ref.]:[Check Periodo Ref.]]="Dentro",DATOS_[Conc.Sal.12]))))), 0)</f>
        <v>0</v>
      </c>
      <c r="R70" s="250" t="n">
        <f aca="false" t="array" ref="R70:R70">IFERROR( MEDIAN((IF(DATOS_[[Sexo]:[Sexo]]=$B70,IF(DATOS_[[AGRUP. VALOR. PTO.]:[AGRUP. VALOR. PTO.]]=$B69,IF(DATOS_[[Check Periodo Ref.]:[Check Periodo Ref.]]="Dentro",DATOS_[Conc.Sal.13]))))), 0)</f>
        <v>0</v>
      </c>
      <c r="S70" s="250" t="n">
        <f aca="false" t="array" ref="S70:S70">IFERROR( MEDIAN((IF(DATOS_[[Sexo]:[Sexo]]=$B70,IF(DATOS_[[AGRUP. VALOR. PTO.]:[AGRUP. VALOR. PTO.]]=$B69,IF(DATOS_[[Check Periodo Ref.]:[Check Periodo Ref.]]="Dentro",DATOS_[Conc.Sal.14]))))), 0)</f>
        <v>0</v>
      </c>
      <c r="T70" s="250" t="n">
        <f aca="false" t="array" ref="T70:T70">IFERROR( MEDIAN((IF(DATOS_[[Sexo]:[Sexo]]=$B70,IF(DATOS_[[AGRUP. VALOR. PTO.]:[AGRUP. VALOR. PTO.]]=$B69,IF(DATOS_[[Check Periodo Ref.]:[Check Periodo Ref.]]="Dentro",DATOS_[Conc.Sal.15]))))), 0)</f>
        <v>0</v>
      </c>
      <c r="U70" s="250" t="n">
        <f aca="false" t="array" ref="U70:U70">IFERROR( MEDIAN((IF(DATOS_[[Sexo]:[Sexo]]=$B70,IF(DATOS_[[AGRUP. VALOR. PTO.]:[AGRUP. VALOR. PTO.]]=$B69,IF(DATOS_[[Check Periodo Ref.]:[Check Periodo Ref.]]="Dentro",DATOS_[Conc.Sal.16]))))), 0)</f>
        <v>0</v>
      </c>
      <c r="V70" s="250" t="n">
        <f aca="false" t="array" ref="V70:V70">IFERROR( MEDIAN((IF(DATOS_[[Sexo]:[Sexo]]=$B70,IF(DATOS_[[AGRUP. VALOR. PTO.]:[AGRUP. VALOR. PTO.]]=$B69,IF(DATOS_[[Check Periodo Ref.]:[Check Periodo Ref.]]="Dentro",DATOS_[Conc.Sal.17]))))), 0)</f>
        <v>0</v>
      </c>
      <c r="W70" s="250" t="n">
        <f aca="false" t="array" ref="W70:W70">IFERROR( MEDIAN((IF(DATOS_[[Sexo]:[Sexo]]=$B70,IF(DATOS_[[AGRUP. VALOR. PTO.]:[AGRUP. VALOR. PTO.]]=$B69,IF(DATOS_[[Check Periodo Ref.]:[Check Periodo Ref.]]="Dentro",DATOS_[Conc.Sal.18]))))), 0)</f>
        <v>0</v>
      </c>
      <c r="X70" s="250" t="n">
        <f aca="false" t="array" ref="X70:X70">IFERROR( MEDIAN((IF(DATOS_[[Sexo]:[Sexo]]=$B70,IF(DATOS_[[AGRUP. VALOR. PTO.]:[AGRUP. VALOR. PTO.]]=$B69,IF(DATOS_[[Check Periodo Ref.]:[Check Periodo Ref.]]="Dentro",DATOS_[Conc.Sal.19]))))), 0)</f>
        <v>0</v>
      </c>
      <c r="Y70" s="250" t="n">
        <f aca="false" t="array" ref="Y70:Y70">IFERROR( MEDIAN((IF(DATOS_[[Sexo]:[Sexo]]=$B70,IF(DATOS_[[AGRUP. VALOR. PTO.]:[AGRUP. VALOR. PTO.]]=$B69,IF(DATOS_[[Check Periodo Ref.]:[Check Periodo Ref.]]="Dentro",DATOS_[Conc.Sal.20]))))), 0)</f>
        <v>0</v>
      </c>
      <c r="Z70" s="250" t="n">
        <f aca="false" t="array" ref="Z70:Z70">IFERROR( MEDIAN((IF(DATOS_[[Sexo]:[Sexo]]=$B70,IF(DATOS_[[AGRUP. VALOR. PTO.]:[AGRUP. VALOR. PTO.]]=$B69,IF(DATOS_[[Check Periodo Ref.]:[Check Periodo Ref.]]="Dentro",DATOS_[Conc.Sal.21]))))), 0)</f>
        <v>0</v>
      </c>
      <c r="AA70" s="250" t="n">
        <f aca="false" t="array" ref="AA70:AA70">IFERROR( MEDIAN((IF(DATOS_[[Sexo]:[Sexo]]=$B70,IF(DATOS_[[AGRUP. VALOR. PTO.]:[AGRUP. VALOR. PTO.]]=$B69,IF(DATOS_[[Check Periodo Ref.]:[Check Periodo Ref.]]="Dentro",DATOS_[Conc.Sal.22]))))), 0)</f>
        <v>0</v>
      </c>
      <c r="AB70" s="250" t="n">
        <f aca="false" t="array" ref="AB70:AB70">IFERROR( MEDIAN((IF(DATOS_[[Sexo]:[Sexo]]=$B70,IF(DATOS_[[AGRUP. VALOR. PTO.]:[AGRUP. VALOR. PTO.]]=$B69,IF(DATOS_[[Check Periodo Ref.]:[Check Periodo Ref.]]="Dentro",DATOS_[Conc.Sal.23]))))), 0)</f>
        <v>0</v>
      </c>
      <c r="AC70" s="250" t="n">
        <f aca="false" t="array" ref="AC70:AC70">IFERROR( MEDIAN((IF(DATOS_[[Sexo]:[Sexo]]=$B70,IF(DATOS_[[AGRUP. VALOR. PTO.]:[AGRUP. VALOR. PTO.]]=$B69,IF(DATOS_[[Check Periodo Ref.]:[Check Periodo Ref.]]="Dentro",DATOS_[Conc.Sal.24]))))), 0)</f>
        <v>0</v>
      </c>
      <c r="AD70" s="250" t="n">
        <f aca="false" t="array" ref="AD70:AD70">IFERROR( MEDIAN((IF(DATOS_[[Sexo]:[Sexo]]=$B70,IF(DATOS_[[AGRUP. VALOR. PTO.]:[AGRUP. VALOR. PTO.]]=$B69,IF(DATOS_[[Check Periodo Ref.]:[Check Periodo Ref.]]="Dentro",DATOS_[Conc.Sal.25]))))), 0)</f>
        <v>0</v>
      </c>
      <c r="AE70" s="250" t="n">
        <f aca="false" t="array" ref="AE70:AE70">IFERROR( MEDIAN((IF(DATOS_[[Sexo]:[Sexo]]=$B70,IF(DATOS_[[AGRUP. VALOR. PTO.]:[AGRUP. VALOR. PTO.]]=$B69,IF(DATOS_[[Check Periodo Ref.]:[Check Periodo Ref.]]="Dentro",DATOS_[Conc.Sal.26]))))), 0)</f>
        <v>0</v>
      </c>
      <c r="AF70" s="250" t="n">
        <f aca="false" t="array" ref="AF70:AF70">IFERROR( MEDIAN((IF(DATOS_[[Sexo]:[Sexo]]=$B70,IF(DATOS_[[AGRUP. VALOR. PTO.]:[AGRUP. VALOR. PTO.]]=$B69,IF(DATOS_[[Check Periodo Ref.]:[Check Periodo Ref.]]="Dentro",DATOS_[Conc.Sal.27]))))), 0)</f>
        <v>0</v>
      </c>
      <c r="AG70" s="250" t="n">
        <f aca="false" t="array" ref="AG70:AG70">IFERROR( MEDIAN((IF(DATOS_[[Sexo]:[Sexo]]=$B70,IF(DATOS_[[AGRUP. VALOR. PTO.]:[AGRUP. VALOR. PTO.]]=$B69,IF(DATOS_[[Check Periodo Ref.]:[Check Periodo Ref.]]="Dentro",DATOS_[Conc.Sal.28]))))), 0)</f>
        <v>0</v>
      </c>
      <c r="AH70" s="250" t="n">
        <f aca="false" t="array" ref="AH70:AH70">IFERROR( MEDIAN((IF(DATOS_[[Sexo]:[Sexo]]=$B70,IF(DATOS_[[AGRUP. VALOR. PTO.]:[AGRUP. VALOR. PTO.]]=$B69,IF(DATOS_[[Check Periodo Ref.]:[Check Periodo Ref.]]="Dentro",DATOS_[Conc.Sal.29]))))), 0)</f>
        <v>0</v>
      </c>
      <c r="AI70" s="250" t="n">
        <f aca="false" t="array" ref="AI70:AI70">IFERROR( MEDIAN((IF(DATOS_[[Sexo]:[Sexo]]=$B70,IF(DATOS_[[AGRUP. VALOR. PTO.]:[AGRUP. VALOR. PTO.]]=$B69,IF(DATOS_[[Check Periodo Ref.]:[Check Periodo Ref.]]="Dentro",DATOS_[Conc.Sal.30]))))), 0)</f>
        <v>0</v>
      </c>
      <c r="AJ70" s="251" t="n">
        <f aca="false" t="array" ref="AJ70:AJ70">IFERROR( MEDIAN(IF(DATOS_[Sexo]=$B70,IF(DATOS_[AGRUP. VALOR. PTO.]=$B69,IF(DATOS_[Check Periodo Ref.]="Dentro",DATOS_[Tot COMPL.SAL Ef],0)))), 0)</f>
        <v>0</v>
      </c>
      <c r="AK70" s="252" t="n">
        <f aca="false" t="array" ref="AK70:AK70">IFERROR( MEDIAN(IF(DATOS_[Sexo]=$B70,IF(DATOS_[AGRUP. VALOR. PTO.]=$B69,IF(DATOS_[Check Periodo Ref.]="Dentro",DATOS_[TOTAL SALARIO Ef],0)))), 0)</f>
        <v>0</v>
      </c>
      <c r="AL70" s="259" t="n">
        <f aca="false" t="array" ref="AL70:AL70">IFERROR( MEDIAN((IF(DATOS_[[Sexo]:[Sexo]]=$B70,IF(DATOS_[[AGRUP. VALOR. PTO.]:[AGRUP. VALOR. PTO.]]=$B69,IF(DATOS_[[Check Periodo Ref.]:[Check Periodo Ref.]]="Dentro",DATOS_[C.Extra.01]))))), 0)</f>
        <v>0</v>
      </c>
      <c r="AM70" s="259" t="n">
        <f aca="false" t="array" ref="AM70:AM70">IFERROR( MEDIAN((IF(DATOS_[[Sexo]:[Sexo]]=$B70,IF(DATOS_[[AGRUP. VALOR. PTO.]:[AGRUP. VALOR. PTO.]]=$B69,IF(DATOS_[[Check Periodo Ref.]:[Check Periodo Ref.]]="Dentro",DATOS_[C.Extra.02]))))), 0)</f>
        <v>0</v>
      </c>
      <c r="AN70" s="259" t="n">
        <f aca="false" t="array" ref="AN70:AN70">IFERROR( MEDIAN((IF(DATOS_[[Sexo]:[Sexo]]=$B70,IF(DATOS_[[AGRUP. VALOR. PTO.]:[AGRUP. VALOR. PTO.]]=$B69,IF(DATOS_[[Check Periodo Ref.]:[Check Periodo Ref.]]="Dentro",DATOS_[C.Extra.03]))))), 0)</f>
        <v>0</v>
      </c>
      <c r="AO70" s="259" t="n">
        <f aca="false" t="array" ref="AO70:AO70">IFERROR( MEDIAN((IF(DATOS_[[Sexo]:[Sexo]]=$B70,IF(DATOS_[[AGRUP. VALOR. PTO.]:[AGRUP. VALOR. PTO.]]=$B69,IF(DATOS_[[Check Periodo Ref.]:[Check Periodo Ref.]]="Dentro",DATOS_[C.Extra.04]))))), 0)</f>
        <v>0</v>
      </c>
      <c r="AP70" s="259" t="n">
        <f aca="false" t="array" ref="AP70:AP70">IFERROR( MEDIAN((IF(DATOS_[[Sexo]:[Sexo]]=$B70,IF(DATOS_[[AGRUP. VALOR. PTO.]:[AGRUP. VALOR. PTO.]]=$B69,IF(DATOS_[[Check Periodo Ref.]:[Check Periodo Ref.]]="Dentro",DATOS_[C.Extra.05]))))), 0)</f>
        <v>0</v>
      </c>
      <c r="AQ70" s="254" t="n">
        <f aca="false" t="array" ref="AQ70:AQ70">IFERROR( MEDIAN(IF(DATOS_[Sexo]=$B70,IF(DATOS_[AGRUP. VALOR. PTO.]=$B69,IF(DATOS_[Check Periodo Ref.]="Dentro",DATOS_[Tot Extrasalarial Ef],0)))), 0)</f>
        <v>0</v>
      </c>
      <c r="AR70" s="255" t="n">
        <f aca="false" t="array" ref="AR70:AR70">IFERROR( MEDIAN(IF(DATOS_[Sexo]=$B70,IF(DATOS_[AGRUP. VALOR. PTO.]=$B69,IF(DATOS_[Check Periodo Ref.]="Dentro",DATOS_[TOTAL Retrib Ef],0)))), 0)</f>
        <v>0</v>
      </c>
    </row>
    <row r="71" customFormat="false" ht="14.25" hidden="false" customHeight="false" outlineLevel="0" collapsed="false">
      <c r="A71" s="217" t="str">
        <f aca="false">+A70</f>
        <v>[ocultar]</v>
      </c>
      <c r="B71" s="246" t="s">
        <v>372</v>
      </c>
      <c r="C71" s="247" t="n">
        <f aca="false" t="array" ref="C71:C71">SUM(IF($B71=DATOS_[Sexo], IF($B69=DATOS_[AGRUP. VALOR. PTO.], IF("Dentro"=DATOS_[Check Periodo Ref.], 1/(COUNTIFS(DATOS_[Sexo],$B71,DATOS_[AGRUP. VALOR. PTO.],$B69,DATOS_[Check Periodo Ref.],"Dentro",DATOS_[id],DATOS_[id]))))))</f>
        <v>0</v>
      </c>
      <c r="D71" s="248" t="n">
        <f aca="false">COUNTIFS(DATOS_[AGRUP. VALOR. PTO.],$B69,DATOS_[Sexo],$B71,DATOS_[Check Periodo Ref.],"Dentro")</f>
        <v>0</v>
      </c>
      <c r="E71" s="249" t="n">
        <f aca="false" t="array" ref="E71:E71">IFERROR( MEDIAN(IF(DATOS_[Sexo]=$B71,IF(DATOS_[AGRUP. VALOR. PTO.]=$B69,IF(DATOS_[Check Periodo Ref.]="Dentro",DATOS_[SALARIO BASE Ef],0)))), 0)</f>
        <v>0</v>
      </c>
      <c r="F71" s="250" t="n">
        <f aca="false" t="array" ref="F71:F71">IFERROR( MEDIAN((IF(DATOS_[[Sexo]:[Sexo]]=$B71,IF(DATOS_[[AGRUP. VALOR. PTO.]:[AGRUP. VALOR. PTO.]]=$B69,IF(DATOS_[[Check Periodo Ref.]:[Check Periodo Ref.]]="Dentro",DATOS_[Conc.Sal.01]))))), 0)</f>
        <v>0</v>
      </c>
      <c r="G71" s="250" t="n">
        <f aca="false" t="array" ref="G71:G71">IFERROR( MEDIAN((IF(DATOS_[[Sexo]:[Sexo]]=$B71,IF(DATOS_[[AGRUP. VALOR. PTO.]:[AGRUP. VALOR. PTO.]]=$B69,IF(DATOS_[[Check Periodo Ref.]:[Check Periodo Ref.]]="Dentro",DATOS_[Conc.Sal.02]))))), 0)</f>
        <v>0</v>
      </c>
      <c r="H71" s="250" t="n">
        <f aca="false" t="array" ref="H71:H71">IFERROR( MEDIAN((IF(DATOS_[[Sexo]:[Sexo]]=$B71,IF(DATOS_[[AGRUP. VALOR. PTO.]:[AGRUP. VALOR. PTO.]]=$B69,IF(DATOS_[[Check Periodo Ref.]:[Check Periodo Ref.]]="Dentro",DATOS_[Conc.Sal.03]))))), 0)</f>
        <v>0</v>
      </c>
      <c r="I71" s="250" t="n">
        <f aca="false" t="array" ref="I71:I71">IFERROR( MEDIAN((IF(DATOS_[[Sexo]:[Sexo]]=$B71,IF(DATOS_[[AGRUP. VALOR. PTO.]:[AGRUP. VALOR. PTO.]]=$B69,IF(DATOS_[[Check Periodo Ref.]:[Check Periodo Ref.]]="Dentro",DATOS_[Conc.Sal.04]))))), 0)</f>
        <v>0</v>
      </c>
      <c r="J71" s="250" t="n">
        <f aca="false" t="array" ref="J71:J71">IFERROR( MEDIAN((IF(DATOS_[[Sexo]:[Sexo]]=$B71,IF(DATOS_[[AGRUP. VALOR. PTO.]:[AGRUP. VALOR. PTO.]]=$B69,IF(DATOS_[[Check Periodo Ref.]:[Check Periodo Ref.]]="Dentro",DATOS_[Conc.Sal.05]))))), 0)</f>
        <v>0</v>
      </c>
      <c r="K71" s="250" t="n">
        <f aca="false" t="array" ref="K71:K71">IFERROR( MEDIAN((IF(DATOS_[[Sexo]:[Sexo]]=$B71,IF(DATOS_[[AGRUP. VALOR. PTO.]:[AGRUP. VALOR. PTO.]]=$B69,IF(DATOS_[[Check Periodo Ref.]:[Check Periodo Ref.]]="Dentro",DATOS_[Conc.Sal.06]))))), 0)</f>
        <v>0</v>
      </c>
      <c r="L71" s="250" t="n">
        <f aca="false" t="array" ref="L71:L71">IFERROR( MEDIAN((IF(DATOS_[[Sexo]:[Sexo]]=$B71,IF(DATOS_[[AGRUP. VALOR. PTO.]:[AGRUP. VALOR. PTO.]]=$B69,IF(DATOS_[[Check Periodo Ref.]:[Check Periodo Ref.]]="Dentro",DATOS_[Conc.Sal.07]))))), 0)</f>
        <v>0</v>
      </c>
      <c r="M71" s="250" t="n">
        <f aca="false" t="array" ref="M71:M71">IFERROR( MEDIAN((IF(DATOS_[[Sexo]:[Sexo]]=$B71,IF(DATOS_[[AGRUP. VALOR. PTO.]:[AGRUP. VALOR. PTO.]]=$B69,IF(DATOS_[[Check Periodo Ref.]:[Check Periodo Ref.]]="Dentro",DATOS_[Conc.Sal.08]))))), 0)</f>
        <v>0</v>
      </c>
      <c r="N71" s="250" t="n">
        <f aca="false" t="array" ref="N71:N71">IFERROR( MEDIAN((IF(DATOS_[[Sexo]:[Sexo]]=$B71,IF(DATOS_[[AGRUP. VALOR. PTO.]:[AGRUP. VALOR. PTO.]]=$B69,IF(DATOS_[[Check Periodo Ref.]:[Check Periodo Ref.]]="Dentro",DATOS_[Conc.Sal.09]))))), 0)</f>
        <v>0</v>
      </c>
      <c r="O71" s="250" t="n">
        <f aca="false" t="array" ref="O71:O71">IFERROR( MEDIAN((IF(DATOS_[[Sexo]:[Sexo]]=$B71,IF(DATOS_[[AGRUP. VALOR. PTO.]:[AGRUP. VALOR. PTO.]]=$B69,IF(DATOS_[[Check Periodo Ref.]:[Check Periodo Ref.]]="Dentro",DATOS_[Conc.Sal.10]))))), 0)</f>
        <v>0</v>
      </c>
      <c r="P71" s="250" t="n">
        <f aca="false" t="array" ref="P71:P71">IFERROR( MEDIAN((IF(DATOS_[[Sexo]:[Sexo]]=$B71,IF(DATOS_[[AGRUP. VALOR. PTO.]:[AGRUP. VALOR. PTO.]]=$B69,IF(DATOS_[[Check Periodo Ref.]:[Check Periodo Ref.]]="Dentro",DATOS_[Conc.Sal.11]))))), 0)</f>
        <v>0</v>
      </c>
      <c r="Q71" s="250" t="n">
        <f aca="false" t="array" ref="Q71:Q71">IFERROR( MEDIAN((IF(DATOS_[[Sexo]:[Sexo]]=$B71,IF(DATOS_[[AGRUP. VALOR. PTO.]:[AGRUP. VALOR. PTO.]]=$B69,IF(DATOS_[[Check Periodo Ref.]:[Check Periodo Ref.]]="Dentro",DATOS_[Conc.Sal.12]))))), 0)</f>
        <v>0</v>
      </c>
      <c r="R71" s="250" t="n">
        <f aca="false" t="array" ref="R71:R71">IFERROR( MEDIAN((IF(DATOS_[[Sexo]:[Sexo]]=$B71,IF(DATOS_[[AGRUP. VALOR. PTO.]:[AGRUP. VALOR. PTO.]]=$B69,IF(DATOS_[[Check Periodo Ref.]:[Check Periodo Ref.]]="Dentro",DATOS_[Conc.Sal.13]))))), 0)</f>
        <v>0</v>
      </c>
      <c r="S71" s="250" t="n">
        <f aca="false" t="array" ref="S71:S71">IFERROR( MEDIAN((IF(DATOS_[[Sexo]:[Sexo]]=$B71,IF(DATOS_[[AGRUP. VALOR. PTO.]:[AGRUP. VALOR. PTO.]]=$B69,IF(DATOS_[[Check Periodo Ref.]:[Check Periodo Ref.]]="Dentro",DATOS_[Conc.Sal.14]))))), 0)</f>
        <v>0</v>
      </c>
      <c r="T71" s="250" t="n">
        <f aca="false" t="array" ref="T71:T71">IFERROR( MEDIAN((IF(DATOS_[[Sexo]:[Sexo]]=$B71,IF(DATOS_[[AGRUP. VALOR. PTO.]:[AGRUP. VALOR. PTO.]]=$B69,IF(DATOS_[[Check Periodo Ref.]:[Check Periodo Ref.]]="Dentro",DATOS_[Conc.Sal.15]))))), 0)</f>
        <v>0</v>
      </c>
      <c r="U71" s="250" t="n">
        <f aca="false" t="array" ref="U71:U71">IFERROR( MEDIAN((IF(DATOS_[[Sexo]:[Sexo]]=$B71,IF(DATOS_[[AGRUP. VALOR. PTO.]:[AGRUP. VALOR. PTO.]]=$B69,IF(DATOS_[[Check Periodo Ref.]:[Check Periodo Ref.]]="Dentro",DATOS_[Conc.Sal.16]))))), 0)</f>
        <v>0</v>
      </c>
      <c r="V71" s="250" t="n">
        <f aca="false" t="array" ref="V71:V71">IFERROR( MEDIAN((IF(DATOS_[[Sexo]:[Sexo]]=$B71,IF(DATOS_[[AGRUP. VALOR. PTO.]:[AGRUP. VALOR. PTO.]]=$B69,IF(DATOS_[[Check Periodo Ref.]:[Check Periodo Ref.]]="Dentro",DATOS_[Conc.Sal.17]))))), 0)</f>
        <v>0</v>
      </c>
      <c r="W71" s="250" t="n">
        <f aca="false" t="array" ref="W71:W71">IFERROR( MEDIAN((IF(DATOS_[[Sexo]:[Sexo]]=$B71,IF(DATOS_[[AGRUP. VALOR. PTO.]:[AGRUP. VALOR. PTO.]]=$B69,IF(DATOS_[[Check Periodo Ref.]:[Check Periodo Ref.]]="Dentro",DATOS_[Conc.Sal.18]))))), 0)</f>
        <v>0</v>
      </c>
      <c r="X71" s="250" t="n">
        <f aca="false" t="array" ref="X71:X71">IFERROR( MEDIAN((IF(DATOS_[[Sexo]:[Sexo]]=$B71,IF(DATOS_[[AGRUP. VALOR. PTO.]:[AGRUP. VALOR. PTO.]]=$B69,IF(DATOS_[[Check Periodo Ref.]:[Check Periodo Ref.]]="Dentro",DATOS_[Conc.Sal.19]))))), 0)</f>
        <v>0</v>
      </c>
      <c r="Y71" s="250" t="n">
        <f aca="false" t="array" ref="Y71:Y71">IFERROR( MEDIAN((IF(DATOS_[[Sexo]:[Sexo]]=$B71,IF(DATOS_[[AGRUP. VALOR. PTO.]:[AGRUP. VALOR. PTO.]]=$B69,IF(DATOS_[[Check Periodo Ref.]:[Check Periodo Ref.]]="Dentro",DATOS_[Conc.Sal.20]))))), 0)</f>
        <v>0</v>
      </c>
      <c r="Z71" s="250" t="n">
        <f aca="false" t="array" ref="Z71:Z71">IFERROR( MEDIAN((IF(DATOS_[[Sexo]:[Sexo]]=$B71,IF(DATOS_[[AGRUP. VALOR. PTO.]:[AGRUP. VALOR. PTO.]]=$B69,IF(DATOS_[[Check Periodo Ref.]:[Check Periodo Ref.]]="Dentro",DATOS_[Conc.Sal.21]))))), 0)</f>
        <v>0</v>
      </c>
      <c r="AA71" s="250" t="n">
        <f aca="false" t="array" ref="AA71:AA71">IFERROR( MEDIAN((IF(DATOS_[[Sexo]:[Sexo]]=$B71,IF(DATOS_[[AGRUP. VALOR. PTO.]:[AGRUP. VALOR. PTO.]]=$B69,IF(DATOS_[[Check Periodo Ref.]:[Check Periodo Ref.]]="Dentro",DATOS_[Conc.Sal.22]))))), 0)</f>
        <v>0</v>
      </c>
      <c r="AB71" s="250" t="n">
        <f aca="false" t="array" ref="AB71:AB71">IFERROR( MEDIAN((IF(DATOS_[[Sexo]:[Sexo]]=$B71,IF(DATOS_[[AGRUP. VALOR. PTO.]:[AGRUP. VALOR. PTO.]]=$B69,IF(DATOS_[[Check Periodo Ref.]:[Check Periodo Ref.]]="Dentro",DATOS_[Conc.Sal.23]))))), 0)</f>
        <v>0</v>
      </c>
      <c r="AC71" s="250" t="n">
        <f aca="false" t="array" ref="AC71:AC71">IFERROR( MEDIAN((IF(DATOS_[[Sexo]:[Sexo]]=$B71,IF(DATOS_[[AGRUP. VALOR. PTO.]:[AGRUP. VALOR. PTO.]]=$B69,IF(DATOS_[[Check Periodo Ref.]:[Check Periodo Ref.]]="Dentro",DATOS_[Conc.Sal.24]))))), 0)</f>
        <v>0</v>
      </c>
      <c r="AD71" s="250" t="n">
        <f aca="false" t="array" ref="AD71:AD71">IFERROR( MEDIAN((IF(DATOS_[[Sexo]:[Sexo]]=$B71,IF(DATOS_[[AGRUP. VALOR. PTO.]:[AGRUP. VALOR. PTO.]]=$B69,IF(DATOS_[[Check Periodo Ref.]:[Check Periodo Ref.]]="Dentro",DATOS_[Conc.Sal.25]))))), 0)</f>
        <v>0</v>
      </c>
      <c r="AE71" s="250" t="n">
        <f aca="false" t="array" ref="AE71:AE71">IFERROR( MEDIAN((IF(DATOS_[[Sexo]:[Sexo]]=$B71,IF(DATOS_[[AGRUP. VALOR. PTO.]:[AGRUP. VALOR. PTO.]]=$B69,IF(DATOS_[[Check Periodo Ref.]:[Check Periodo Ref.]]="Dentro",DATOS_[Conc.Sal.26]))))), 0)</f>
        <v>0</v>
      </c>
      <c r="AF71" s="250" t="n">
        <f aca="false" t="array" ref="AF71:AF71">IFERROR( MEDIAN((IF(DATOS_[[Sexo]:[Sexo]]=$B71,IF(DATOS_[[AGRUP. VALOR. PTO.]:[AGRUP. VALOR. PTO.]]=$B69,IF(DATOS_[[Check Periodo Ref.]:[Check Periodo Ref.]]="Dentro",DATOS_[Conc.Sal.27]))))), 0)</f>
        <v>0</v>
      </c>
      <c r="AG71" s="250" t="n">
        <f aca="false" t="array" ref="AG71:AG71">IFERROR( MEDIAN((IF(DATOS_[[Sexo]:[Sexo]]=$B71,IF(DATOS_[[AGRUP. VALOR. PTO.]:[AGRUP. VALOR. PTO.]]=$B69,IF(DATOS_[[Check Periodo Ref.]:[Check Periodo Ref.]]="Dentro",DATOS_[Conc.Sal.28]))))), 0)</f>
        <v>0</v>
      </c>
      <c r="AH71" s="250" t="n">
        <f aca="false" t="array" ref="AH71:AH71">IFERROR( MEDIAN((IF(DATOS_[[Sexo]:[Sexo]]=$B71,IF(DATOS_[[AGRUP. VALOR. PTO.]:[AGRUP. VALOR. PTO.]]=$B69,IF(DATOS_[[Check Periodo Ref.]:[Check Periodo Ref.]]="Dentro",DATOS_[Conc.Sal.29]))))), 0)</f>
        <v>0</v>
      </c>
      <c r="AI71" s="250" t="n">
        <f aca="false" t="array" ref="AI71:AI71">IFERROR( MEDIAN((IF(DATOS_[[Sexo]:[Sexo]]=$B71,IF(DATOS_[[AGRUP. VALOR. PTO.]:[AGRUP. VALOR. PTO.]]=$B69,IF(DATOS_[[Check Periodo Ref.]:[Check Periodo Ref.]]="Dentro",DATOS_[Conc.Sal.30]))))), 0)</f>
        <v>0</v>
      </c>
      <c r="AJ71" s="251" t="n">
        <f aca="false" t="array" ref="AJ71:AJ71">IFERROR( MEDIAN(IF(DATOS_[Sexo]=$B71,IF(DATOS_[AGRUP. VALOR. PTO.]=$B69,IF(DATOS_[Check Periodo Ref.]="Dentro",DATOS_[Tot COMPL.SAL Ef],0)))), 0)</f>
        <v>0</v>
      </c>
      <c r="AK71" s="252" t="n">
        <f aca="false" t="array" ref="AK71:AK71">IFERROR( MEDIAN(IF(DATOS_[Sexo]=$B71,IF(DATOS_[AGRUP. VALOR. PTO.]=$B69,IF(DATOS_[Check Periodo Ref.]="Dentro",DATOS_[TOTAL SALARIO Ef],0)))), 0)</f>
        <v>0</v>
      </c>
      <c r="AL71" s="259" t="n">
        <f aca="false" t="array" ref="AL71:AL71">IFERROR( MEDIAN((IF(DATOS_[[Sexo]:[Sexo]]=$B71,IF(DATOS_[[AGRUP. VALOR. PTO.]:[AGRUP. VALOR. PTO.]]=$B69,IF(DATOS_[[Check Periodo Ref.]:[Check Periodo Ref.]]="Dentro",DATOS_[C.Extra.01]))))), 0)</f>
        <v>0</v>
      </c>
      <c r="AM71" s="259" t="n">
        <f aca="false" t="array" ref="AM71:AM71">IFERROR( MEDIAN((IF(DATOS_[[Sexo]:[Sexo]]=$B71,IF(DATOS_[[AGRUP. VALOR. PTO.]:[AGRUP. VALOR. PTO.]]=$B69,IF(DATOS_[[Check Periodo Ref.]:[Check Periodo Ref.]]="Dentro",DATOS_[C.Extra.02]))))), 0)</f>
        <v>0</v>
      </c>
      <c r="AN71" s="259" t="n">
        <f aca="false" t="array" ref="AN71:AN71">IFERROR( MEDIAN((IF(DATOS_[[Sexo]:[Sexo]]=$B71,IF(DATOS_[[AGRUP. VALOR. PTO.]:[AGRUP. VALOR. PTO.]]=$B69,IF(DATOS_[[Check Periodo Ref.]:[Check Periodo Ref.]]="Dentro",DATOS_[C.Extra.03]))))), 0)</f>
        <v>0</v>
      </c>
      <c r="AO71" s="259" t="n">
        <f aca="false" t="array" ref="AO71:AO71">IFERROR( MEDIAN((IF(DATOS_[[Sexo]:[Sexo]]=$B71,IF(DATOS_[[AGRUP. VALOR. PTO.]:[AGRUP. VALOR. PTO.]]=$B69,IF(DATOS_[[Check Periodo Ref.]:[Check Periodo Ref.]]="Dentro",DATOS_[C.Extra.04]))))), 0)</f>
        <v>0</v>
      </c>
      <c r="AP71" s="259" t="n">
        <f aca="false" t="array" ref="AP71:AP71">IFERROR( MEDIAN((IF(DATOS_[[Sexo]:[Sexo]]=$B71,IF(DATOS_[[AGRUP. VALOR. PTO.]:[AGRUP. VALOR. PTO.]]=$B69,IF(DATOS_[[Check Periodo Ref.]:[Check Periodo Ref.]]="Dentro",DATOS_[C.Extra.05]))))), 0)</f>
        <v>0</v>
      </c>
      <c r="AQ71" s="254" t="n">
        <f aca="false" t="array" ref="AQ71:AQ71">IFERROR( MEDIAN(IF(DATOS_[Sexo]=$B71,IF(DATOS_[AGRUP. VALOR. PTO.]=$B69,IF(DATOS_[Check Periodo Ref.]="Dentro",DATOS_[Tot Extrasalarial Ef],0)))), 0)</f>
        <v>0</v>
      </c>
      <c r="AR71" s="255" t="n">
        <f aca="false" t="array" ref="AR71:AR71">IFERROR( MEDIAN(IF(DATOS_[Sexo]=$B71,IF(DATOS_[AGRUP. VALOR. PTO.]=$B69,IF(DATOS_[Check Periodo Ref.]="Dentro",DATOS_[TOTAL Retrib Ef],0)))), 0)</f>
        <v>0</v>
      </c>
    </row>
    <row r="72" customFormat="false" ht="15.75" hidden="false" customHeight="false" outlineLevel="0" collapsed="false">
      <c r="A72" s="217" t="str">
        <f aca="false">+A73</f>
        <v>[ocultar]</v>
      </c>
      <c r="B72" s="235" t="s">
        <v>226</v>
      </c>
      <c r="C72" s="236"/>
      <c r="D72" s="237"/>
      <c r="E72" s="238" t="str">
        <f aca="false">IFERROR((E73-E74)/E73,"")</f>
        <v/>
      </c>
      <c r="F72" s="239" t="str">
        <f aca="false">IFERROR((F73-F74)/F73,"")</f>
        <v/>
      </c>
      <c r="G72" s="239" t="str">
        <f aca="false">IFERROR((G73-G74)/G73,"")</f>
        <v/>
      </c>
      <c r="H72" s="239" t="str">
        <f aca="false">IFERROR((H73-H74)/H73,"")</f>
        <v/>
      </c>
      <c r="I72" s="239"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40" t="str">
        <f aca="false">IFERROR((V73-V74)/V73,"")</f>
        <v/>
      </c>
      <c r="W72" s="240" t="str">
        <f aca="false">IFERROR((W73-W74)/W73,"")</f>
        <v/>
      </c>
      <c r="X72" s="240" t="str">
        <f aca="false">IFERROR((X73-X74)/X73,"")</f>
        <v/>
      </c>
      <c r="Y72" s="240"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1" t="str">
        <f aca="false">IFERROR((AJ73-AJ74)/AJ73,"")</f>
        <v/>
      </c>
      <c r="AK72" s="242" t="str">
        <f aca="false">IFERROR((AK73-AK74)/AK73,"")</f>
        <v/>
      </c>
      <c r="AL72" s="243" t="str">
        <f aca="false">IFERROR((AL73-AL74)/AL73,"")</f>
        <v/>
      </c>
      <c r="AM72" s="243" t="str">
        <f aca="false">IFERROR((AM73-AM74)/AM73,"")</f>
        <v/>
      </c>
      <c r="AN72" s="243" t="str">
        <f aca="false">IFERROR((AN73-AN74)/AN73,"")</f>
        <v/>
      </c>
      <c r="AO72" s="243" t="str">
        <f aca="false">IFERROR((AO73-AO74)/AO73,"")</f>
        <v/>
      </c>
      <c r="AP72" s="243" t="str">
        <f aca="false">IFERROR((AP73-AP74)/AP73,"")</f>
        <v/>
      </c>
      <c r="AQ72" s="244" t="str">
        <f aca="false">IFERROR((AQ73-AQ74)/AQ73,"")</f>
        <v/>
      </c>
      <c r="AR72" s="245" t="str">
        <f aca="false">IFERROR((AR73-AR74)/AR73,"")</f>
        <v/>
      </c>
    </row>
    <row r="73" customFormat="false" ht="14.25" hidden="false" customHeight="false" outlineLevel="0" collapsed="false">
      <c r="A73" s="217" t="str">
        <f aca="false">+IF(C73+C74=0,"[ocultar]","")</f>
        <v>[ocultar]</v>
      </c>
      <c r="B73" s="246" t="s">
        <v>371</v>
      </c>
      <c r="C73" s="247" t="n">
        <f aca="false" t="array" ref="C73:C73">SUM(IF($B73=DATOS_[Sexo], IF($B72=DATOS_[AGRUP. VALOR. PTO.], IF("Dentro"=DATOS_[Check Periodo Ref.], 1/(COUNTIFS(DATOS_[Sexo],$B73,DATOS_[AGRUP. VALOR. PTO.],$B72,DATOS_[Check Periodo Ref.],"Dentro",DATOS_[id],DATOS_[id]))))))</f>
        <v>0</v>
      </c>
      <c r="D73" s="248" t="n">
        <f aca="false">COUNTIFS(DATOS_[AGRUP. VALOR. PTO.],$B72,DATOS_[Sexo],$B73,DATOS_[Check Periodo Ref.],"Dentro")</f>
        <v>0</v>
      </c>
      <c r="E73" s="249" t="n">
        <f aca="false" t="array" ref="E73:E73">IFERROR( MEDIAN(IF(DATOS_[Sexo]=$B73,IF(DATOS_[AGRUP. VALOR. PTO.]=$B72,IF(DATOS_[Check Periodo Ref.]="Dentro",DATOS_[SALARIO BASE Ef],0)))), 0)</f>
        <v>0</v>
      </c>
      <c r="F73" s="250" t="n">
        <f aca="false" t="array" ref="F73:F73">IFERROR( MEDIAN((IF(DATOS_[[Sexo]:[Sexo]]=$B73,IF(DATOS_[[AGRUP. VALOR. PTO.]:[AGRUP. VALOR. PTO.]]=$B72,IF(DATOS_[[Check Periodo Ref.]:[Check Periodo Ref.]]="Dentro",DATOS_[Conc.Sal.01]))))), 0)</f>
        <v>0</v>
      </c>
      <c r="G73" s="250" t="n">
        <f aca="false" t="array" ref="G73:G73">IFERROR( MEDIAN((IF(DATOS_[[Sexo]:[Sexo]]=$B73,IF(DATOS_[[AGRUP. VALOR. PTO.]:[AGRUP. VALOR. PTO.]]=$B72,IF(DATOS_[[Check Periodo Ref.]:[Check Periodo Ref.]]="Dentro",DATOS_[Conc.Sal.02]))))), 0)</f>
        <v>0</v>
      </c>
      <c r="H73" s="250" t="n">
        <f aca="false" t="array" ref="H73:H73">IFERROR( MEDIAN((IF(DATOS_[[Sexo]:[Sexo]]=$B73,IF(DATOS_[[AGRUP. VALOR. PTO.]:[AGRUP. VALOR. PTO.]]=$B72,IF(DATOS_[[Check Periodo Ref.]:[Check Periodo Ref.]]="Dentro",DATOS_[Conc.Sal.03]))))), 0)</f>
        <v>0</v>
      </c>
      <c r="I73" s="250" t="n">
        <f aca="false" t="array" ref="I73:I73">IFERROR( MEDIAN((IF(DATOS_[[Sexo]:[Sexo]]=$B73,IF(DATOS_[[AGRUP. VALOR. PTO.]:[AGRUP. VALOR. PTO.]]=$B72,IF(DATOS_[[Check Periodo Ref.]:[Check Periodo Ref.]]="Dentro",DATOS_[Conc.Sal.04]))))), 0)</f>
        <v>0</v>
      </c>
      <c r="J73" s="250" t="n">
        <f aca="false" t="array" ref="J73:J73">IFERROR( MEDIAN((IF(DATOS_[[Sexo]:[Sexo]]=$B73,IF(DATOS_[[AGRUP. VALOR. PTO.]:[AGRUP. VALOR. PTO.]]=$B72,IF(DATOS_[[Check Periodo Ref.]:[Check Periodo Ref.]]="Dentro",DATOS_[Conc.Sal.05]))))), 0)</f>
        <v>0</v>
      </c>
      <c r="K73" s="250" t="n">
        <f aca="false" t="array" ref="K73:K73">IFERROR( MEDIAN((IF(DATOS_[[Sexo]:[Sexo]]=$B73,IF(DATOS_[[AGRUP. VALOR. PTO.]:[AGRUP. VALOR. PTO.]]=$B72,IF(DATOS_[[Check Periodo Ref.]:[Check Periodo Ref.]]="Dentro",DATOS_[Conc.Sal.06]))))), 0)</f>
        <v>0</v>
      </c>
      <c r="L73" s="250" t="n">
        <f aca="false" t="array" ref="L73:L73">IFERROR( MEDIAN((IF(DATOS_[[Sexo]:[Sexo]]=$B73,IF(DATOS_[[AGRUP. VALOR. PTO.]:[AGRUP. VALOR. PTO.]]=$B72,IF(DATOS_[[Check Periodo Ref.]:[Check Periodo Ref.]]="Dentro",DATOS_[Conc.Sal.07]))))), 0)</f>
        <v>0</v>
      </c>
      <c r="M73" s="250" t="n">
        <f aca="false" t="array" ref="M73:M73">IFERROR( MEDIAN((IF(DATOS_[[Sexo]:[Sexo]]=$B73,IF(DATOS_[[AGRUP. VALOR. PTO.]:[AGRUP. VALOR. PTO.]]=$B72,IF(DATOS_[[Check Periodo Ref.]:[Check Periodo Ref.]]="Dentro",DATOS_[Conc.Sal.08]))))), 0)</f>
        <v>0</v>
      </c>
      <c r="N73" s="250" t="n">
        <f aca="false" t="array" ref="N73:N73">IFERROR( MEDIAN((IF(DATOS_[[Sexo]:[Sexo]]=$B73,IF(DATOS_[[AGRUP. VALOR. PTO.]:[AGRUP. VALOR. PTO.]]=$B72,IF(DATOS_[[Check Periodo Ref.]:[Check Periodo Ref.]]="Dentro",DATOS_[Conc.Sal.09]))))), 0)</f>
        <v>0</v>
      </c>
      <c r="O73" s="250" t="n">
        <f aca="false" t="array" ref="O73:O73">IFERROR( MEDIAN((IF(DATOS_[[Sexo]:[Sexo]]=$B73,IF(DATOS_[[AGRUP. VALOR. PTO.]:[AGRUP. VALOR. PTO.]]=$B72,IF(DATOS_[[Check Periodo Ref.]:[Check Periodo Ref.]]="Dentro",DATOS_[Conc.Sal.10]))))), 0)</f>
        <v>0</v>
      </c>
      <c r="P73" s="250" t="n">
        <f aca="false" t="array" ref="P73:P73">IFERROR( MEDIAN((IF(DATOS_[[Sexo]:[Sexo]]=$B73,IF(DATOS_[[AGRUP. VALOR. PTO.]:[AGRUP. VALOR. PTO.]]=$B72,IF(DATOS_[[Check Periodo Ref.]:[Check Periodo Ref.]]="Dentro",DATOS_[Conc.Sal.11]))))), 0)</f>
        <v>0</v>
      </c>
      <c r="Q73" s="250" t="n">
        <f aca="false" t="array" ref="Q73:Q73">IFERROR( MEDIAN((IF(DATOS_[[Sexo]:[Sexo]]=$B73,IF(DATOS_[[AGRUP. VALOR. PTO.]:[AGRUP. VALOR. PTO.]]=$B72,IF(DATOS_[[Check Periodo Ref.]:[Check Periodo Ref.]]="Dentro",DATOS_[Conc.Sal.12]))))), 0)</f>
        <v>0</v>
      </c>
      <c r="R73" s="250" t="n">
        <f aca="false" t="array" ref="R73:R73">IFERROR( MEDIAN((IF(DATOS_[[Sexo]:[Sexo]]=$B73,IF(DATOS_[[AGRUP. VALOR. PTO.]:[AGRUP. VALOR. PTO.]]=$B72,IF(DATOS_[[Check Periodo Ref.]:[Check Periodo Ref.]]="Dentro",DATOS_[Conc.Sal.13]))))), 0)</f>
        <v>0</v>
      </c>
      <c r="S73" s="250" t="n">
        <f aca="false" t="array" ref="S73:S73">IFERROR( MEDIAN((IF(DATOS_[[Sexo]:[Sexo]]=$B73,IF(DATOS_[[AGRUP. VALOR. PTO.]:[AGRUP. VALOR. PTO.]]=$B72,IF(DATOS_[[Check Periodo Ref.]:[Check Periodo Ref.]]="Dentro",DATOS_[Conc.Sal.14]))))), 0)</f>
        <v>0</v>
      </c>
      <c r="T73" s="250" t="n">
        <f aca="false" t="array" ref="T73:T73">IFERROR( MEDIAN((IF(DATOS_[[Sexo]:[Sexo]]=$B73,IF(DATOS_[[AGRUP. VALOR. PTO.]:[AGRUP. VALOR. PTO.]]=$B72,IF(DATOS_[[Check Periodo Ref.]:[Check Periodo Ref.]]="Dentro",DATOS_[Conc.Sal.15]))))), 0)</f>
        <v>0</v>
      </c>
      <c r="U73" s="250" t="n">
        <f aca="false" t="array" ref="U73:U73">IFERROR( MEDIAN((IF(DATOS_[[Sexo]:[Sexo]]=$B73,IF(DATOS_[[AGRUP. VALOR. PTO.]:[AGRUP. VALOR. PTO.]]=$B72,IF(DATOS_[[Check Periodo Ref.]:[Check Periodo Ref.]]="Dentro",DATOS_[Conc.Sal.16]))))), 0)</f>
        <v>0</v>
      </c>
      <c r="V73" s="250" t="n">
        <f aca="false" t="array" ref="V73:V73">IFERROR( MEDIAN((IF(DATOS_[[Sexo]:[Sexo]]=$B73,IF(DATOS_[[AGRUP. VALOR. PTO.]:[AGRUP. VALOR. PTO.]]=$B72,IF(DATOS_[[Check Periodo Ref.]:[Check Periodo Ref.]]="Dentro",DATOS_[Conc.Sal.17]))))), 0)</f>
        <v>0</v>
      </c>
      <c r="W73" s="250" t="n">
        <f aca="false" t="array" ref="W73:W73">IFERROR( MEDIAN((IF(DATOS_[[Sexo]:[Sexo]]=$B73,IF(DATOS_[[AGRUP. VALOR. PTO.]:[AGRUP. VALOR. PTO.]]=$B72,IF(DATOS_[[Check Periodo Ref.]:[Check Periodo Ref.]]="Dentro",DATOS_[Conc.Sal.18]))))), 0)</f>
        <v>0</v>
      </c>
      <c r="X73" s="250" t="n">
        <f aca="false" t="array" ref="X73:X73">IFERROR( MEDIAN((IF(DATOS_[[Sexo]:[Sexo]]=$B73,IF(DATOS_[[AGRUP. VALOR. PTO.]:[AGRUP. VALOR. PTO.]]=$B72,IF(DATOS_[[Check Periodo Ref.]:[Check Periodo Ref.]]="Dentro",DATOS_[Conc.Sal.19]))))), 0)</f>
        <v>0</v>
      </c>
      <c r="Y73" s="250" t="n">
        <f aca="false" t="array" ref="Y73:Y73">IFERROR( MEDIAN((IF(DATOS_[[Sexo]:[Sexo]]=$B73,IF(DATOS_[[AGRUP. VALOR. PTO.]:[AGRUP. VALOR. PTO.]]=$B72,IF(DATOS_[[Check Periodo Ref.]:[Check Periodo Ref.]]="Dentro",DATOS_[Conc.Sal.20]))))), 0)</f>
        <v>0</v>
      </c>
      <c r="Z73" s="250" t="n">
        <f aca="false" t="array" ref="Z73:Z73">IFERROR( MEDIAN((IF(DATOS_[[Sexo]:[Sexo]]=$B73,IF(DATOS_[[AGRUP. VALOR. PTO.]:[AGRUP. VALOR. PTO.]]=$B72,IF(DATOS_[[Check Periodo Ref.]:[Check Periodo Ref.]]="Dentro",DATOS_[Conc.Sal.21]))))), 0)</f>
        <v>0</v>
      </c>
      <c r="AA73" s="250" t="n">
        <f aca="false" t="array" ref="AA73:AA73">IFERROR( MEDIAN((IF(DATOS_[[Sexo]:[Sexo]]=$B73,IF(DATOS_[[AGRUP. VALOR. PTO.]:[AGRUP. VALOR. PTO.]]=$B72,IF(DATOS_[[Check Periodo Ref.]:[Check Periodo Ref.]]="Dentro",DATOS_[Conc.Sal.22]))))), 0)</f>
        <v>0</v>
      </c>
      <c r="AB73" s="250" t="n">
        <f aca="false" t="array" ref="AB73:AB73">IFERROR( MEDIAN((IF(DATOS_[[Sexo]:[Sexo]]=$B73,IF(DATOS_[[AGRUP. VALOR. PTO.]:[AGRUP. VALOR. PTO.]]=$B72,IF(DATOS_[[Check Periodo Ref.]:[Check Periodo Ref.]]="Dentro",DATOS_[Conc.Sal.23]))))), 0)</f>
        <v>0</v>
      </c>
      <c r="AC73" s="250" t="n">
        <f aca="false" t="array" ref="AC73:AC73">IFERROR( MEDIAN((IF(DATOS_[[Sexo]:[Sexo]]=$B73,IF(DATOS_[[AGRUP. VALOR. PTO.]:[AGRUP. VALOR. PTO.]]=$B72,IF(DATOS_[[Check Periodo Ref.]:[Check Periodo Ref.]]="Dentro",DATOS_[Conc.Sal.24]))))), 0)</f>
        <v>0</v>
      </c>
      <c r="AD73" s="250" t="n">
        <f aca="false" t="array" ref="AD73:AD73">IFERROR( MEDIAN((IF(DATOS_[[Sexo]:[Sexo]]=$B73,IF(DATOS_[[AGRUP. VALOR. PTO.]:[AGRUP. VALOR. PTO.]]=$B72,IF(DATOS_[[Check Periodo Ref.]:[Check Periodo Ref.]]="Dentro",DATOS_[Conc.Sal.25]))))), 0)</f>
        <v>0</v>
      </c>
      <c r="AE73" s="250" t="n">
        <f aca="false" t="array" ref="AE73:AE73">IFERROR( MEDIAN((IF(DATOS_[[Sexo]:[Sexo]]=$B73,IF(DATOS_[[AGRUP. VALOR. PTO.]:[AGRUP. VALOR. PTO.]]=$B72,IF(DATOS_[[Check Periodo Ref.]:[Check Periodo Ref.]]="Dentro",DATOS_[Conc.Sal.26]))))), 0)</f>
        <v>0</v>
      </c>
      <c r="AF73" s="250" t="n">
        <f aca="false" t="array" ref="AF73:AF73">IFERROR( MEDIAN((IF(DATOS_[[Sexo]:[Sexo]]=$B73,IF(DATOS_[[AGRUP. VALOR. PTO.]:[AGRUP. VALOR. PTO.]]=$B72,IF(DATOS_[[Check Periodo Ref.]:[Check Periodo Ref.]]="Dentro",DATOS_[Conc.Sal.27]))))), 0)</f>
        <v>0</v>
      </c>
      <c r="AG73" s="250" t="n">
        <f aca="false" t="array" ref="AG73:AG73">IFERROR( MEDIAN((IF(DATOS_[[Sexo]:[Sexo]]=$B73,IF(DATOS_[[AGRUP. VALOR. PTO.]:[AGRUP. VALOR. PTO.]]=$B72,IF(DATOS_[[Check Periodo Ref.]:[Check Periodo Ref.]]="Dentro",DATOS_[Conc.Sal.28]))))), 0)</f>
        <v>0</v>
      </c>
      <c r="AH73" s="250" t="n">
        <f aca="false" t="array" ref="AH73:AH73">IFERROR( MEDIAN((IF(DATOS_[[Sexo]:[Sexo]]=$B73,IF(DATOS_[[AGRUP. VALOR. PTO.]:[AGRUP. VALOR. PTO.]]=$B72,IF(DATOS_[[Check Periodo Ref.]:[Check Periodo Ref.]]="Dentro",DATOS_[Conc.Sal.29]))))), 0)</f>
        <v>0</v>
      </c>
      <c r="AI73" s="250" t="n">
        <f aca="false" t="array" ref="AI73:AI73">IFERROR( MEDIAN((IF(DATOS_[[Sexo]:[Sexo]]=$B73,IF(DATOS_[[AGRUP. VALOR. PTO.]:[AGRUP. VALOR. PTO.]]=$B72,IF(DATOS_[[Check Periodo Ref.]:[Check Periodo Ref.]]="Dentro",DATOS_[Conc.Sal.30]))))), 0)</f>
        <v>0</v>
      </c>
      <c r="AJ73" s="251" t="n">
        <f aca="false" t="array" ref="AJ73:AJ73">IFERROR( MEDIAN(IF(DATOS_[Sexo]=$B73,IF(DATOS_[AGRUP. VALOR. PTO.]=$B72,IF(DATOS_[Check Periodo Ref.]="Dentro",DATOS_[Tot COMPL.SAL Ef],0)))), 0)</f>
        <v>0</v>
      </c>
      <c r="AK73" s="252" t="n">
        <f aca="false" t="array" ref="AK73:AK73">IFERROR( MEDIAN(IF(DATOS_[Sexo]=$B73,IF(DATOS_[AGRUP. VALOR. PTO.]=$B72,IF(DATOS_[Check Periodo Ref.]="Dentro",DATOS_[TOTAL SALARIO Ef],0)))), 0)</f>
        <v>0</v>
      </c>
      <c r="AL73" s="259" t="n">
        <f aca="false" t="array" ref="AL73:AL73">IFERROR( MEDIAN((IF(DATOS_[[Sexo]:[Sexo]]=$B73,IF(DATOS_[[AGRUP. VALOR. PTO.]:[AGRUP. VALOR. PTO.]]=$B72,IF(DATOS_[[Check Periodo Ref.]:[Check Periodo Ref.]]="Dentro",DATOS_[C.Extra.01]))))), 0)</f>
        <v>0</v>
      </c>
      <c r="AM73" s="259" t="n">
        <f aca="false" t="array" ref="AM73:AM73">IFERROR( MEDIAN((IF(DATOS_[[Sexo]:[Sexo]]=$B73,IF(DATOS_[[AGRUP. VALOR. PTO.]:[AGRUP. VALOR. PTO.]]=$B72,IF(DATOS_[[Check Periodo Ref.]:[Check Periodo Ref.]]="Dentro",DATOS_[C.Extra.02]))))), 0)</f>
        <v>0</v>
      </c>
      <c r="AN73" s="259" t="n">
        <f aca="false" t="array" ref="AN73:AN73">IFERROR( MEDIAN((IF(DATOS_[[Sexo]:[Sexo]]=$B73,IF(DATOS_[[AGRUP. VALOR. PTO.]:[AGRUP. VALOR. PTO.]]=$B72,IF(DATOS_[[Check Periodo Ref.]:[Check Periodo Ref.]]="Dentro",DATOS_[C.Extra.03]))))), 0)</f>
        <v>0</v>
      </c>
      <c r="AO73" s="259" t="n">
        <f aca="false" t="array" ref="AO73:AO73">IFERROR( MEDIAN((IF(DATOS_[[Sexo]:[Sexo]]=$B73,IF(DATOS_[[AGRUP. VALOR. PTO.]:[AGRUP. VALOR. PTO.]]=$B72,IF(DATOS_[[Check Periodo Ref.]:[Check Periodo Ref.]]="Dentro",DATOS_[C.Extra.04]))))), 0)</f>
        <v>0</v>
      </c>
      <c r="AP73" s="259" t="n">
        <f aca="false" t="array" ref="AP73:AP73">IFERROR( MEDIAN((IF(DATOS_[[Sexo]:[Sexo]]=$B73,IF(DATOS_[[AGRUP. VALOR. PTO.]:[AGRUP. VALOR. PTO.]]=$B72,IF(DATOS_[[Check Periodo Ref.]:[Check Periodo Ref.]]="Dentro",DATOS_[C.Extra.05]))))), 0)</f>
        <v>0</v>
      </c>
      <c r="AQ73" s="254" t="n">
        <f aca="false" t="array" ref="AQ73:AQ73">IFERROR( MEDIAN(IF(DATOS_[Sexo]=$B73,IF(DATOS_[AGRUP. VALOR. PTO.]=$B72,IF(DATOS_[Check Periodo Ref.]="Dentro",DATOS_[Tot Extrasalarial Ef],0)))), 0)</f>
        <v>0</v>
      </c>
      <c r="AR73" s="255" t="n">
        <f aca="false" t="array" ref="AR73:AR73">IFERROR( MEDIAN(IF(DATOS_[Sexo]=$B73,IF(DATOS_[AGRUP. VALOR. PTO.]=$B72,IF(DATOS_[Check Periodo Ref.]="Dentro",DATOS_[TOTAL Retrib Ef],0)))), 0)</f>
        <v>0</v>
      </c>
    </row>
    <row r="74" customFormat="false" ht="14.25" hidden="false" customHeight="false" outlineLevel="0" collapsed="false">
      <c r="A74" s="217" t="str">
        <f aca="false">+A73</f>
        <v>[ocultar]</v>
      </c>
      <c r="B74" s="246" t="s">
        <v>372</v>
      </c>
      <c r="C74" s="247" t="n">
        <f aca="false" t="array" ref="C74:C74">SUM(IF($B74=DATOS_[Sexo], IF($B72=DATOS_[AGRUP. VALOR. PTO.], IF("Dentro"=DATOS_[Check Periodo Ref.], 1/(COUNTIFS(DATOS_[Sexo],$B74,DATOS_[AGRUP. VALOR. PTO.],$B72,DATOS_[Check Periodo Ref.],"Dentro",DATOS_[id],DATOS_[id]))))))</f>
        <v>0</v>
      </c>
      <c r="D74" s="248" t="n">
        <f aca="false">COUNTIFS(DATOS_[AGRUP. VALOR. PTO.],$B72,DATOS_[Sexo],$B74,DATOS_[Check Periodo Ref.],"Dentro")</f>
        <v>0</v>
      </c>
      <c r="E74" s="249" t="n">
        <f aca="false" t="array" ref="E74:E74">IFERROR( MEDIAN(IF(DATOS_[Sexo]=$B74,IF(DATOS_[AGRUP. VALOR. PTO.]=$B72,IF(DATOS_[Check Periodo Ref.]="Dentro",DATOS_[SALARIO BASE Ef],0)))), 0)</f>
        <v>0</v>
      </c>
      <c r="F74" s="250" t="n">
        <f aca="false" t="array" ref="F74:F74">IFERROR( MEDIAN((IF(DATOS_[[Sexo]:[Sexo]]=$B74,IF(DATOS_[[AGRUP. VALOR. PTO.]:[AGRUP. VALOR. PTO.]]=$B72,IF(DATOS_[[Check Periodo Ref.]:[Check Periodo Ref.]]="Dentro",DATOS_[Conc.Sal.01]))))), 0)</f>
        <v>0</v>
      </c>
      <c r="G74" s="250" t="n">
        <f aca="false" t="array" ref="G74:G74">IFERROR( MEDIAN((IF(DATOS_[[Sexo]:[Sexo]]=$B74,IF(DATOS_[[AGRUP. VALOR. PTO.]:[AGRUP. VALOR. PTO.]]=$B72,IF(DATOS_[[Check Periodo Ref.]:[Check Periodo Ref.]]="Dentro",DATOS_[Conc.Sal.02]))))), 0)</f>
        <v>0</v>
      </c>
      <c r="H74" s="250" t="n">
        <f aca="false" t="array" ref="H74:H74">IFERROR( MEDIAN((IF(DATOS_[[Sexo]:[Sexo]]=$B74,IF(DATOS_[[AGRUP. VALOR. PTO.]:[AGRUP. VALOR. PTO.]]=$B72,IF(DATOS_[[Check Periodo Ref.]:[Check Periodo Ref.]]="Dentro",DATOS_[Conc.Sal.03]))))), 0)</f>
        <v>0</v>
      </c>
      <c r="I74" s="250" t="n">
        <f aca="false" t="array" ref="I74:I74">IFERROR( MEDIAN((IF(DATOS_[[Sexo]:[Sexo]]=$B74,IF(DATOS_[[AGRUP. VALOR. PTO.]:[AGRUP. VALOR. PTO.]]=$B72,IF(DATOS_[[Check Periodo Ref.]:[Check Periodo Ref.]]="Dentro",DATOS_[Conc.Sal.04]))))), 0)</f>
        <v>0</v>
      </c>
      <c r="J74" s="250" t="n">
        <f aca="false" t="array" ref="J74:J74">IFERROR( MEDIAN((IF(DATOS_[[Sexo]:[Sexo]]=$B74,IF(DATOS_[[AGRUP. VALOR. PTO.]:[AGRUP. VALOR. PTO.]]=$B72,IF(DATOS_[[Check Periodo Ref.]:[Check Periodo Ref.]]="Dentro",DATOS_[Conc.Sal.05]))))), 0)</f>
        <v>0</v>
      </c>
      <c r="K74" s="250" t="n">
        <f aca="false" t="array" ref="K74:K74">IFERROR( MEDIAN((IF(DATOS_[[Sexo]:[Sexo]]=$B74,IF(DATOS_[[AGRUP. VALOR. PTO.]:[AGRUP. VALOR. PTO.]]=$B72,IF(DATOS_[[Check Periodo Ref.]:[Check Periodo Ref.]]="Dentro",DATOS_[Conc.Sal.06]))))), 0)</f>
        <v>0</v>
      </c>
      <c r="L74" s="250" t="n">
        <f aca="false" t="array" ref="L74:L74">IFERROR( MEDIAN((IF(DATOS_[[Sexo]:[Sexo]]=$B74,IF(DATOS_[[AGRUP. VALOR. PTO.]:[AGRUP. VALOR. PTO.]]=$B72,IF(DATOS_[[Check Periodo Ref.]:[Check Periodo Ref.]]="Dentro",DATOS_[Conc.Sal.07]))))), 0)</f>
        <v>0</v>
      </c>
      <c r="M74" s="250" t="n">
        <f aca="false" t="array" ref="M74:M74">IFERROR( MEDIAN((IF(DATOS_[[Sexo]:[Sexo]]=$B74,IF(DATOS_[[AGRUP. VALOR. PTO.]:[AGRUP. VALOR. PTO.]]=$B72,IF(DATOS_[[Check Periodo Ref.]:[Check Periodo Ref.]]="Dentro",DATOS_[Conc.Sal.08]))))), 0)</f>
        <v>0</v>
      </c>
      <c r="N74" s="250" t="n">
        <f aca="false" t="array" ref="N74:N74">IFERROR( MEDIAN((IF(DATOS_[[Sexo]:[Sexo]]=$B74,IF(DATOS_[[AGRUP. VALOR. PTO.]:[AGRUP. VALOR. PTO.]]=$B72,IF(DATOS_[[Check Periodo Ref.]:[Check Periodo Ref.]]="Dentro",DATOS_[Conc.Sal.09]))))), 0)</f>
        <v>0</v>
      </c>
      <c r="O74" s="250" t="n">
        <f aca="false" t="array" ref="O74:O74">IFERROR( MEDIAN((IF(DATOS_[[Sexo]:[Sexo]]=$B74,IF(DATOS_[[AGRUP. VALOR. PTO.]:[AGRUP. VALOR. PTO.]]=$B72,IF(DATOS_[[Check Periodo Ref.]:[Check Periodo Ref.]]="Dentro",DATOS_[Conc.Sal.10]))))), 0)</f>
        <v>0</v>
      </c>
      <c r="P74" s="250" t="n">
        <f aca="false" t="array" ref="P74:P74">IFERROR( MEDIAN((IF(DATOS_[[Sexo]:[Sexo]]=$B74,IF(DATOS_[[AGRUP. VALOR. PTO.]:[AGRUP. VALOR. PTO.]]=$B72,IF(DATOS_[[Check Periodo Ref.]:[Check Periodo Ref.]]="Dentro",DATOS_[Conc.Sal.11]))))), 0)</f>
        <v>0</v>
      </c>
      <c r="Q74" s="250" t="n">
        <f aca="false" t="array" ref="Q74:Q74">IFERROR( MEDIAN((IF(DATOS_[[Sexo]:[Sexo]]=$B74,IF(DATOS_[[AGRUP. VALOR. PTO.]:[AGRUP. VALOR. PTO.]]=$B72,IF(DATOS_[[Check Periodo Ref.]:[Check Periodo Ref.]]="Dentro",DATOS_[Conc.Sal.12]))))), 0)</f>
        <v>0</v>
      </c>
      <c r="R74" s="250" t="n">
        <f aca="false" t="array" ref="R74:R74">IFERROR( MEDIAN((IF(DATOS_[[Sexo]:[Sexo]]=$B74,IF(DATOS_[[AGRUP. VALOR. PTO.]:[AGRUP. VALOR. PTO.]]=$B72,IF(DATOS_[[Check Periodo Ref.]:[Check Periodo Ref.]]="Dentro",DATOS_[Conc.Sal.13]))))), 0)</f>
        <v>0</v>
      </c>
      <c r="S74" s="250" t="n">
        <f aca="false" t="array" ref="S74:S74">IFERROR( MEDIAN((IF(DATOS_[[Sexo]:[Sexo]]=$B74,IF(DATOS_[[AGRUP. VALOR. PTO.]:[AGRUP. VALOR. PTO.]]=$B72,IF(DATOS_[[Check Periodo Ref.]:[Check Periodo Ref.]]="Dentro",DATOS_[Conc.Sal.14]))))), 0)</f>
        <v>0</v>
      </c>
      <c r="T74" s="250" t="n">
        <f aca="false" t="array" ref="T74:T74">IFERROR( MEDIAN((IF(DATOS_[[Sexo]:[Sexo]]=$B74,IF(DATOS_[[AGRUP. VALOR. PTO.]:[AGRUP. VALOR. PTO.]]=$B72,IF(DATOS_[[Check Periodo Ref.]:[Check Periodo Ref.]]="Dentro",DATOS_[Conc.Sal.15]))))), 0)</f>
        <v>0</v>
      </c>
      <c r="U74" s="250" t="n">
        <f aca="false" t="array" ref="U74:U74">IFERROR( MEDIAN((IF(DATOS_[[Sexo]:[Sexo]]=$B74,IF(DATOS_[[AGRUP. VALOR. PTO.]:[AGRUP. VALOR. PTO.]]=$B72,IF(DATOS_[[Check Periodo Ref.]:[Check Periodo Ref.]]="Dentro",DATOS_[Conc.Sal.16]))))), 0)</f>
        <v>0</v>
      </c>
      <c r="V74" s="250" t="n">
        <f aca="false" t="array" ref="V74:V74">IFERROR( MEDIAN((IF(DATOS_[[Sexo]:[Sexo]]=$B74,IF(DATOS_[[AGRUP. VALOR. PTO.]:[AGRUP. VALOR. PTO.]]=$B72,IF(DATOS_[[Check Periodo Ref.]:[Check Periodo Ref.]]="Dentro",DATOS_[Conc.Sal.17]))))), 0)</f>
        <v>0</v>
      </c>
      <c r="W74" s="250" t="n">
        <f aca="false" t="array" ref="W74:W74">IFERROR( MEDIAN((IF(DATOS_[[Sexo]:[Sexo]]=$B74,IF(DATOS_[[AGRUP. VALOR. PTO.]:[AGRUP. VALOR. PTO.]]=$B72,IF(DATOS_[[Check Periodo Ref.]:[Check Periodo Ref.]]="Dentro",DATOS_[Conc.Sal.18]))))), 0)</f>
        <v>0</v>
      </c>
      <c r="X74" s="250" t="n">
        <f aca="false" t="array" ref="X74:X74">IFERROR( MEDIAN((IF(DATOS_[[Sexo]:[Sexo]]=$B74,IF(DATOS_[[AGRUP. VALOR. PTO.]:[AGRUP. VALOR. PTO.]]=$B72,IF(DATOS_[[Check Periodo Ref.]:[Check Periodo Ref.]]="Dentro",DATOS_[Conc.Sal.19]))))), 0)</f>
        <v>0</v>
      </c>
      <c r="Y74" s="250" t="n">
        <f aca="false" t="array" ref="Y74:Y74">IFERROR( MEDIAN((IF(DATOS_[[Sexo]:[Sexo]]=$B74,IF(DATOS_[[AGRUP. VALOR. PTO.]:[AGRUP. VALOR. PTO.]]=$B72,IF(DATOS_[[Check Periodo Ref.]:[Check Periodo Ref.]]="Dentro",DATOS_[Conc.Sal.20]))))), 0)</f>
        <v>0</v>
      </c>
      <c r="Z74" s="250" t="n">
        <f aca="false" t="array" ref="Z74:Z74">IFERROR( MEDIAN((IF(DATOS_[[Sexo]:[Sexo]]=$B74,IF(DATOS_[[AGRUP. VALOR. PTO.]:[AGRUP. VALOR. PTO.]]=$B72,IF(DATOS_[[Check Periodo Ref.]:[Check Periodo Ref.]]="Dentro",DATOS_[Conc.Sal.21]))))), 0)</f>
        <v>0</v>
      </c>
      <c r="AA74" s="250" t="n">
        <f aca="false" t="array" ref="AA74:AA74">IFERROR( MEDIAN((IF(DATOS_[[Sexo]:[Sexo]]=$B74,IF(DATOS_[[AGRUP. VALOR. PTO.]:[AGRUP. VALOR. PTO.]]=$B72,IF(DATOS_[[Check Periodo Ref.]:[Check Periodo Ref.]]="Dentro",DATOS_[Conc.Sal.22]))))), 0)</f>
        <v>0</v>
      </c>
      <c r="AB74" s="250" t="n">
        <f aca="false" t="array" ref="AB74:AB74">IFERROR( MEDIAN((IF(DATOS_[[Sexo]:[Sexo]]=$B74,IF(DATOS_[[AGRUP. VALOR. PTO.]:[AGRUP. VALOR. PTO.]]=$B72,IF(DATOS_[[Check Periodo Ref.]:[Check Periodo Ref.]]="Dentro",DATOS_[Conc.Sal.23]))))), 0)</f>
        <v>0</v>
      </c>
      <c r="AC74" s="250" t="n">
        <f aca="false" t="array" ref="AC74:AC74">IFERROR( MEDIAN((IF(DATOS_[[Sexo]:[Sexo]]=$B74,IF(DATOS_[[AGRUP. VALOR. PTO.]:[AGRUP. VALOR. PTO.]]=$B72,IF(DATOS_[[Check Periodo Ref.]:[Check Periodo Ref.]]="Dentro",DATOS_[Conc.Sal.24]))))), 0)</f>
        <v>0</v>
      </c>
      <c r="AD74" s="250" t="n">
        <f aca="false" t="array" ref="AD74:AD74">IFERROR( MEDIAN((IF(DATOS_[[Sexo]:[Sexo]]=$B74,IF(DATOS_[[AGRUP. VALOR. PTO.]:[AGRUP. VALOR. PTO.]]=$B72,IF(DATOS_[[Check Periodo Ref.]:[Check Periodo Ref.]]="Dentro",DATOS_[Conc.Sal.25]))))), 0)</f>
        <v>0</v>
      </c>
      <c r="AE74" s="250" t="n">
        <f aca="false" t="array" ref="AE74:AE74">IFERROR( MEDIAN((IF(DATOS_[[Sexo]:[Sexo]]=$B74,IF(DATOS_[[AGRUP. VALOR. PTO.]:[AGRUP. VALOR. PTO.]]=$B72,IF(DATOS_[[Check Periodo Ref.]:[Check Periodo Ref.]]="Dentro",DATOS_[Conc.Sal.26]))))), 0)</f>
        <v>0</v>
      </c>
      <c r="AF74" s="250" t="n">
        <f aca="false" t="array" ref="AF74:AF74">IFERROR( MEDIAN((IF(DATOS_[[Sexo]:[Sexo]]=$B74,IF(DATOS_[[AGRUP. VALOR. PTO.]:[AGRUP. VALOR. PTO.]]=$B72,IF(DATOS_[[Check Periodo Ref.]:[Check Periodo Ref.]]="Dentro",DATOS_[Conc.Sal.27]))))), 0)</f>
        <v>0</v>
      </c>
      <c r="AG74" s="250" t="n">
        <f aca="false" t="array" ref="AG74:AG74">IFERROR( MEDIAN((IF(DATOS_[[Sexo]:[Sexo]]=$B74,IF(DATOS_[[AGRUP. VALOR. PTO.]:[AGRUP. VALOR. PTO.]]=$B72,IF(DATOS_[[Check Periodo Ref.]:[Check Periodo Ref.]]="Dentro",DATOS_[Conc.Sal.28]))))), 0)</f>
        <v>0</v>
      </c>
      <c r="AH74" s="250" t="n">
        <f aca="false" t="array" ref="AH74:AH74">IFERROR( MEDIAN((IF(DATOS_[[Sexo]:[Sexo]]=$B74,IF(DATOS_[[AGRUP. VALOR. PTO.]:[AGRUP. VALOR. PTO.]]=$B72,IF(DATOS_[[Check Periodo Ref.]:[Check Periodo Ref.]]="Dentro",DATOS_[Conc.Sal.29]))))), 0)</f>
        <v>0</v>
      </c>
      <c r="AI74" s="250" t="n">
        <f aca="false" t="array" ref="AI74:AI74">IFERROR( MEDIAN((IF(DATOS_[[Sexo]:[Sexo]]=$B74,IF(DATOS_[[AGRUP. VALOR. PTO.]:[AGRUP. VALOR. PTO.]]=$B72,IF(DATOS_[[Check Periodo Ref.]:[Check Periodo Ref.]]="Dentro",DATOS_[Conc.Sal.30]))))), 0)</f>
        <v>0</v>
      </c>
      <c r="AJ74" s="251" t="n">
        <f aca="false" t="array" ref="AJ74:AJ74">IFERROR( MEDIAN(IF(DATOS_[Sexo]=$B74,IF(DATOS_[AGRUP. VALOR. PTO.]=$B72,IF(DATOS_[Check Periodo Ref.]="Dentro",DATOS_[Tot COMPL.SAL Ef],0)))), 0)</f>
        <v>0</v>
      </c>
      <c r="AK74" s="252" t="n">
        <f aca="false" t="array" ref="AK74:AK74">IFERROR( MEDIAN(IF(DATOS_[Sexo]=$B74,IF(DATOS_[AGRUP. VALOR. PTO.]=$B72,IF(DATOS_[Check Periodo Ref.]="Dentro",DATOS_[TOTAL SALARIO Ef],0)))), 0)</f>
        <v>0</v>
      </c>
      <c r="AL74" s="259" t="n">
        <f aca="false" t="array" ref="AL74:AL74">IFERROR( MEDIAN((IF(DATOS_[[Sexo]:[Sexo]]=$B74,IF(DATOS_[[AGRUP. VALOR. PTO.]:[AGRUP. VALOR. PTO.]]=$B72,IF(DATOS_[[Check Periodo Ref.]:[Check Periodo Ref.]]="Dentro",DATOS_[C.Extra.01]))))), 0)</f>
        <v>0</v>
      </c>
      <c r="AM74" s="259" t="n">
        <f aca="false" t="array" ref="AM74:AM74">IFERROR( MEDIAN((IF(DATOS_[[Sexo]:[Sexo]]=$B74,IF(DATOS_[[AGRUP. VALOR. PTO.]:[AGRUP. VALOR. PTO.]]=$B72,IF(DATOS_[[Check Periodo Ref.]:[Check Periodo Ref.]]="Dentro",DATOS_[C.Extra.02]))))), 0)</f>
        <v>0</v>
      </c>
      <c r="AN74" s="259" t="n">
        <f aca="false" t="array" ref="AN74:AN74">IFERROR( MEDIAN((IF(DATOS_[[Sexo]:[Sexo]]=$B74,IF(DATOS_[[AGRUP. VALOR. PTO.]:[AGRUP. VALOR. PTO.]]=$B72,IF(DATOS_[[Check Periodo Ref.]:[Check Periodo Ref.]]="Dentro",DATOS_[C.Extra.03]))))), 0)</f>
        <v>0</v>
      </c>
      <c r="AO74" s="259" t="n">
        <f aca="false" t="array" ref="AO74:AO74">IFERROR( MEDIAN((IF(DATOS_[[Sexo]:[Sexo]]=$B74,IF(DATOS_[[AGRUP. VALOR. PTO.]:[AGRUP. VALOR. PTO.]]=$B72,IF(DATOS_[[Check Periodo Ref.]:[Check Periodo Ref.]]="Dentro",DATOS_[C.Extra.04]))))), 0)</f>
        <v>0</v>
      </c>
      <c r="AP74" s="259" t="n">
        <f aca="false" t="array" ref="AP74:AP74">IFERROR( MEDIAN((IF(DATOS_[[Sexo]:[Sexo]]=$B74,IF(DATOS_[[AGRUP. VALOR. PTO.]:[AGRUP. VALOR. PTO.]]=$B72,IF(DATOS_[[Check Periodo Ref.]:[Check Periodo Ref.]]="Dentro",DATOS_[C.Extra.05]))))), 0)</f>
        <v>0</v>
      </c>
      <c r="AQ74" s="254" t="n">
        <f aca="false" t="array" ref="AQ74:AQ74">IFERROR( MEDIAN(IF(DATOS_[Sexo]=$B74,IF(DATOS_[AGRUP. VALOR. PTO.]=$B72,IF(DATOS_[Check Periodo Ref.]="Dentro",DATOS_[Tot Extrasalarial Ef],0)))), 0)</f>
        <v>0</v>
      </c>
      <c r="AR74" s="255" t="n">
        <f aca="false" t="array" ref="AR74:AR74">IFERROR( MEDIAN(IF(DATOS_[Sexo]=$B74,IF(DATOS_[AGRUP. VALOR. PTO.]=$B72,IF(DATOS_[Check Periodo Ref.]="Dentro",DATOS_[TOTAL Retrib Ef],0)))), 0)</f>
        <v>0</v>
      </c>
    </row>
    <row r="75" customFormat="false" ht="15.75" hidden="false" customHeight="false" outlineLevel="0" collapsed="false">
      <c r="A75" s="217" t="str">
        <f aca="false">+A76</f>
        <v>[ocultar]</v>
      </c>
      <c r="B75" s="235" t="s">
        <v>229</v>
      </c>
      <c r="C75" s="236"/>
      <c r="D75" s="237"/>
      <c r="E75" s="238" t="str">
        <f aca="false">IFERROR((E76-E77)/E76,"")</f>
        <v/>
      </c>
      <c r="F75" s="239" t="str">
        <f aca="false">IFERROR((F76-F77)/F76,"")</f>
        <v/>
      </c>
      <c r="G75" s="239" t="str">
        <f aca="false">IFERROR((G76-G77)/G76,"")</f>
        <v/>
      </c>
      <c r="H75" s="239" t="str">
        <f aca="false">IFERROR((H76-H77)/H76,"")</f>
        <v/>
      </c>
      <c r="I75" s="239"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40" t="str">
        <f aca="false">IFERROR((V76-V77)/V76,"")</f>
        <v/>
      </c>
      <c r="W75" s="240" t="str">
        <f aca="false">IFERROR((W76-W77)/W76,"")</f>
        <v/>
      </c>
      <c r="X75" s="240" t="str">
        <f aca="false">IFERROR((X76-X77)/X76,"")</f>
        <v/>
      </c>
      <c r="Y75" s="240"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1" t="str">
        <f aca="false">IFERROR((AJ76-AJ77)/AJ76,"")</f>
        <v/>
      </c>
      <c r="AK75" s="242" t="str">
        <f aca="false">IFERROR((AK76-AK77)/AK76,"")</f>
        <v/>
      </c>
      <c r="AL75" s="243" t="str">
        <f aca="false">IFERROR((AL76-AL77)/AL76,"")</f>
        <v/>
      </c>
      <c r="AM75" s="243" t="str">
        <f aca="false">IFERROR((AM76-AM77)/AM76,"")</f>
        <v/>
      </c>
      <c r="AN75" s="243" t="str">
        <f aca="false">IFERROR((AN76-AN77)/AN76,"")</f>
        <v/>
      </c>
      <c r="AO75" s="243" t="str">
        <f aca="false">IFERROR((AO76-AO77)/AO76,"")</f>
        <v/>
      </c>
      <c r="AP75" s="243" t="str">
        <f aca="false">IFERROR((AP76-AP77)/AP76,"")</f>
        <v/>
      </c>
      <c r="AQ75" s="244" t="str">
        <f aca="false">IFERROR((AQ76-AQ77)/AQ76,"")</f>
        <v/>
      </c>
      <c r="AR75" s="245" t="str">
        <f aca="false">IFERROR((AR76-AR77)/AR76,"")</f>
        <v/>
      </c>
    </row>
    <row r="76" customFormat="false" ht="14.25" hidden="false" customHeight="false" outlineLevel="0" collapsed="false">
      <c r="A76" s="217" t="str">
        <f aca="false">+IF(C76+C77=0,"[ocultar]","")</f>
        <v>[ocultar]</v>
      </c>
      <c r="B76" s="246" t="s">
        <v>371</v>
      </c>
      <c r="C76" s="247" t="n">
        <f aca="false" t="array" ref="C76:C76">SUM(IF($B76=DATOS_[Sexo], IF($B75=DATOS_[AGRUP. VALOR. PTO.], IF("Dentro"=DATOS_[Check Periodo Ref.], 1/(COUNTIFS(DATOS_[Sexo],$B76,DATOS_[AGRUP. VALOR. PTO.],$B75,DATOS_[Check Periodo Ref.],"Dentro",DATOS_[id],DATOS_[id]))))))</f>
        <v>0</v>
      </c>
      <c r="D76" s="248" t="n">
        <f aca="false">COUNTIFS(DATOS_[AGRUP. VALOR. PTO.],$B75,DATOS_[Sexo],$B76,DATOS_[Check Periodo Ref.],"Dentro")</f>
        <v>0</v>
      </c>
      <c r="E76" s="249" t="n">
        <f aca="false" t="array" ref="E76:E76">IFERROR( MEDIAN(IF(DATOS_[Sexo]=$B76,IF(DATOS_[AGRUP. VALOR. PTO.]=$B75,IF(DATOS_[Check Periodo Ref.]="Dentro",DATOS_[SALARIO BASE Ef],0)))), 0)</f>
        <v>0</v>
      </c>
      <c r="F76" s="250" t="n">
        <f aca="false" t="array" ref="F76:F76">IFERROR( MEDIAN((IF(DATOS_[[Sexo]:[Sexo]]=$B76,IF(DATOS_[[AGRUP. VALOR. PTO.]:[AGRUP. VALOR. PTO.]]=$B75,IF(DATOS_[[Check Periodo Ref.]:[Check Periodo Ref.]]="Dentro",DATOS_[Conc.Sal.01]))))), 0)</f>
        <v>0</v>
      </c>
      <c r="G76" s="250" t="n">
        <f aca="false" t="array" ref="G76:G76">IFERROR( MEDIAN((IF(DATOS_[[Sexo]:[Sexo]]=$B76,IF(DATOS_[[AGRUP. VALOR. PTO.]:[AGRUP. VALOR. PTO.]]=$B75,IF(DATOS_[[Check Periodo Ref.]:[Check Periodo Ref.]]="Dentro",DATOS_[Conc.Sal.02]))))), 0)</f>
        <v>0</v>
      </c>
      <c r="H76" s="250" t="n">
        <f aca="false" t="array" ref="H76:H76">IFERROR( MEDIAN((IF(DATOS_[[Sexo]:[Sexo]]=$B76,IF(DATOS_[[AGRUP. VALOR. PTO.]:[AGRUP. VALOR. PTO.]]=$B75,IF(DATOS_[[Check Periodo Ref.]:[Check Periodo Ref.]]="Dentro",DATOS_[Conc.Sal.03]))))), 0)</f>
        <v>0</v>
      </c>
      <c r="I76" s="250" t="n">
        <f aca="false" t="array" ref="I76:I76">IFERROR( MEDIAN((IF(DATOS_[[Sexo]:[Sexo]]=$B76,IF(DATOS_[[AGRUP. VALOR. PTO.]:[AGRUP. VALOR. PTO.]]=$B75,IF(DATOS_[[Check Periodo Ref.]:[Check Periodo Ref.]]="Dentro",DATOS_[Conc.Sal.04]))))), 0)</f>
        <v>0</v>
      </c>
      <c r="J76" s="250" t="n">
        <f aca="false" t="array" ref="J76:J76">IFERROR( MEDIAN((IF(DATOS_[[Sexo]:[Sexo]]=$B76,IF(DATOS_[[AGRUP. VALOR. PTO.]:[AGRUP. VALOR. PTO.]]=$B75,IF(DATOS_[[Check Periodo Ref.]:[Check Periodo Ref.]]="Dentro",DATOS_[Conc.Sal.05]))))), 0)</f>
        <v>0</v>
      </c>
      <c r="K76" s="250" t="n">
        <f aca="false" t="array" ref="K76:K76">IFERROR( MEDIAN((IF(DATOS_[[Sexo]:[Sexo]]=$B76,IF(DATOS_[[AGRUP. VALOR. PTO.]:[AGRUP. VALOR. PTO.]]=$B75,IF(DATOS_[[Check Periodo Ref.]:[Check Periodo Ref.]]="Dentro",DATOS_[Conc.Sal.06]))))), 0)</f>
        <v>0</v>
      </c>
      <c r="L76" s="250" t="n">
        <f aca="false" t="array" ref="L76:L76">IFERROR( MEDIAN((IF(DATOS_[[Sexo]:[Sexo]]=$B76,IF(DATOS_[[AGRUP. VALOR. PTO.]:[AGRUP. VALOR. PTO.]]=$B75,IF(DATOS_[[Check Periodo Ref.]:[Check Periodo Ref.]]="Dentro",DATOS_[Conc.Sal.07]))))), 0)</f>
        <v>0</v>
      </c>
      <c r="M76" s="250" t="n">
        <f aca="false" t="array" ref="M76:M76">IFERROR( MEDIAN((IF(DATOS_[[Sexo]:[Sexo]]=$B76,IF(DATOS_[[AGRUP. VALOR. PTO.]:[AGRUP. VALOR. PTO.]]=$B75,IF(DATOS_[[Check Periodo Ref.]:[Check Periodo Ref.]]="Dentro",DATOS_[Conc.Sal.08]))))), 0)</f>
        <v>0</v>
      </c>
      <c r="N76" s="250" t="n">
        <f aca="false" t="array" ref="N76:N76">IFERROR( MEDIAN((IF(DATOS_[[Sexo]:[Sexo]]=$B76,IF(DATOS_[[AGRUP. VALOR. PTO.]:[AGRUP. VALOR. PTO.]]=$B75,IF(DATOS_[[Check Periodo Ref.]:[Check Periodo Ref.]]="Dentro",DATOS_[Conc.Sal.09]))))), 0)</f>
        <v>0</v>
      </c>
      <c r="O76" s="250" t="n">
        <f aca="false" t="array" ref="O76:O76">IFERROR( MEDIAN((IF(DATOS_[[Sexo]:[Sexo]]=$B76,IF(DATOS_[[AGRUP. VALOR. PTO.]:[AGRUP. VALOR. PTO.]]=$B75,IF(DATOS_[[Check Periodo Ref.]:[Check Periodo Ref.]]="Dentro",DATOS_[Conc.Sal.10]))))), 0)</f>
        <v>0</v>
      </c>
      <c r="P76" s="250" t="n">
        <f aca="false" t="array" ref="P76:P76">IFERROR( MEDIAN((IF(DATOS_[[Sexo]:[Sexo]]=$B76,IF(DATOS_[[AGRUP. VALOR. PTO.]:[AGRUP. VALOR. PTO.]]=$B75,IF(DATOS_[[Check Periodo Ref.]:[Check Periodo Ref.]]="Dentro",DATOS_[Conc.Sal.11]))))), 0)</f>
        <v>0</v>
      </c>
      <c r="Q76" s="250" t="n">
        <f aca="false" t="array" ref="Q76:Q76">IFERROR( MEDIAN((IF(DATOS_[[Sexo]:[Sexo]]=$B76,IF(DATOS_[[AGRUP. VALOR. PTO.]:[AGRUP. VALOR. PTO.]]=$B75,IF(DATOS_[[Check Periodo Ref.]:[Check Periodo Ref.]]="Dentro",DATOS_[Conc.Sal.12]))))), 0)</f>
        <v>0</v>
      </c>
      <c r="R76" s="250" t="n">
        <f aca="false" t="array" ref="R76:R76">IFERROR( MEDIAN((IF(DATOS_[[Sexo]:[Sexo]]=$B76,IF(DATOS_[[AGRUP. VALOR. PTO.]:[AGRUP. VALOR. PTO.]]=$B75,IF(DATOS_[[Check Periodo Ref.]:[Check Periodo Ref.]]="Dentro",DATOS_[Conc.Sal.13]))))), 0)</f>
        <v>0</v>
      </c>
      <c r="S76" s="250" t="n">
        <f aca="false" t="array" ref="S76:S76">IFERROR( MEDIAN((IF(DATOS_[[Sexo]:[Sexo]]=$B76,IF(DATOS_[[AGRUP. VALOR. PTO.]:[AGRUP. VALOR. PTO.]]=$B75,IF(DATOS_[[Check Periodo Ref.]:[Check Periodo Ref.]]="Dentro",DATOS_[Conc.Sal.14]))))), 0)</f>
        <v>0</v>
      </c>
      <c r="T76" s="250" t="n">
        <f aca="false" t="array" ref="T76:T76">IFERROR( MEDIAN((IF(DATOS_[[Sexo]:[Sexo]]=$B76,IF(DATOS_[[AGRUP. VALOR. PTO.]:[AGRUP. VALOR. PTO.]]=$B75,IF(DATOS_[[Check Periodo Ref.]:[Check Periodo Ref.]]="Dentro",DATOS_[Conc.Sal.15]))))), 0)</f>
        <v>0</v>
      </c>
      <c r="U76" s="250" t="n">
        <f aca="false" t="array" ref="U76:U76">IFERROR( MEDIAN((IF(DATOS_[[Sexo]:[Sexo]]=$B76,IF(DATOS_[[AGRUP. VALOR. PTO.]:[AGRUP. VALOR. PTO.]]=$B75,IF(DATOS_[[Check Periodo Ref.]:[Check Periodo Ref.]]="Dentro",DATOS_[Conc.Sal.16]))))), 0)</f>
        <v>0</v>
      </c>
      <c r="V76" s="250" t="n">
        <f aca="false" t="array" ref="V76:V76">IFERROR( MEDIAN((IF(DATOS_[[Sexo]:[Sexo]]=$B76,IF(DATOS_[[AGRUP. VALOR. PTO.]:[AGRUP. VALOR. PTO.]]=$B75,IF(DATOS_[[Check Periodo Ref.]:[Check Periodo Ref.]]="Dentro",DATOS_[Conc.Sal.17]))))), 0)</f>
        <v>0</v>
      </c>
      <c r="W76" s="250" t="n">
        <f aca="false" t="array" ref="W76:W76">IFERROR( MEDIAN((IF(DATOS_[[Sexo]:[Sexo]]=$B76,IF(DATOS_[[AGRUP. VALOR. PTO.]:[AGRUP. VALOR. PTO.]]=$B75,IF(DATOS_[[Check Periodo Ref.]:[Check Periodo Ref.]]="Dentro",DATOS_[Conc.Sal.18]))))), 0)</f>
        <v>0</v>
      </c>
      <c r="X76" s="250" t="n">
        <f aca="false" t="array" ref="X76:X76">IFERROR( MEDIAN((IF(DATOS_[[Sexo]:[Sexo]]=$B76,IF(DATOS_[[AGRUP. VALOR. PTO.]:[AGRUP. VALOR. PTO.]]=$B75,IF(DATOS_[[Check Periodo Ref.]:[Check Periodo Ref.]]="Dentro",DATOS_[Conc.Sal.19]))))), 0)</f>
        <v>0</v>
      </c>
      <c r="Y76" s="250" t="n">
        <f aca="false" t="array" ref="Y76:Y76">IFERROR( MEDIAN((IF(DATOS_[[Sexo]:[Sexo]]=$B76,IF(DATOS_[[AGRUP. VALOR. PTO.]:[AGRUP. VALOR. PTO.]]=$B75,IF(DATOS_[[Check Periodo Ref.]:[Check Periodo Ref.]]="Dentro",DATOS_[Conc.Sal.20]))))), 0)</f>
        <v>0</v>
      </c>
      <c r="Z76" s="250" t="n">
        <f aca="false" t="array" ref="Z76:Z76">IFERROR( MEDIAN((IF(DATOS_[[Sexo]:[Sexo]]=$B76,IF(DATOS_[[AGRUP. VALOR. PTO.]:[AGRUP. VALOR. PTO.]]=$B75,IF(DATOS_[[Check Periodo Ref.]:[Check Periodo Ref.]]="Dentro",DATOS_[Conc.Sal.21]))))), 0)</f>
        <v>0</v>
      </c>
      <c r="AA76" s="250" t="n">
        <f aca="false" t="array" ref="AA76:AA76">IFERROR( MEDIAN((IF(DATOS_[[Sexo]:[Sexo]]=$B76,IF(DATOS_[[AGRUP. VALOR. PTO.]:[AGRUP. VALOR. PTO.]]=$B75,IF(DATOS_[[Check Periodo Ref.]:[Check Periodo Ref.]]="Dentro",DATOS_[Conc.Sal.22]))))), 0)</f>
        <v>0</v>
      </c>
      <c r="AB76" s="250" t="n">
        <f aca="false" t="array" ref="AB76:AB76">IFERROR( MEDIAN((IF(DATOS_[[Sexo]:[Sexo]]=$B76,IF(DATOS_[[AGRUP. VALOR. PTO.]:[AGRUP. VALOR. PTO.]]=$B75,IF(DATOS_[[Check Periodo Ref.]:[Check Periodo Ref.]]="Dentro",DATOS_[Conc.Sal.23]))))), 0)</f>
        <v>0</v>
      </c>
      <c r="AC76" s="250" t="n">
        <f aca="false" t="array" ref="AC76:AC76">IFERROR( MEDIAN((IF(DATOS_[[Sexo]:[Sexo]]=$B76,IF(DATOS_[[AGRUP. VALOR. PTO.]:[AGRUP. VALOR. PTO.]]=$B75,IF(DATOS_[[Check Periodo Ref.]:[Check Periodo Ref.]]="Dentro",DATOS_[Conc.Sal.24]))))), 0)</f>
        <v>0</v>
      </c>
      <c r="AD76" s="250" t="n">
        <f aca="false" t="array" ref="AD76:AD76">IFERROR( MEDIAN((IF(DATOS_[[Sexo]:[Sexo]]=$B76,IF(DATOS_[[AGRUP. VALOR. PTO.]:[AGRUP. VALOR. PTO.]]=$B75,IF(DATOS_[[Check Periodo Ref.]:[Check Periodo Ref.]]="Dentro",DATOS_[Conc.Sal.25]))))), 0)</f>
        <v>0</v>
      </c>
      <c r="AE76" s="250" t="n">
        <f aca="false" t="array" ref="AE76:AE76">IFERROR( MEDIAN((IF(DATOS_[[Sexo]:[Sexo]]=$B76,IF(DATOS_[[AGRUP. VALOR. PTO.]:[AGRUP. VALOR. PTO.]]=$B75,IF(DATOS_[[Check Periodo Ref.]:[Check Periodo Ref.]]="Dentro",DATOS_[Conc.Sal.26]))))), 0)</f>
        <v>0</v>
      </c>
      <c r="AF76" s="250" t="n">
        <f aca="false" t="array" ref="AF76:AF76">IFERROR( MEDIAN((IF(DATOS_[[Sexo]:[Sexo]]=$B76,IF(DATOS_[[AGRUP. VALOR. PTO.]:[AGRUP. VALOR. PTO.]]=$B75,IF(DATOS_[[Check Periodo Ref.]:[Check Periodo Ref.]]="Dentro",DATOS_[Conc.Sal.27]))))), 0)</f>
        <v>0</v>
      </c>
      <c r="AG76" s="250" t="n">
        <f aca="false" t="array" ref="AG76:AG76">IFERROR( MEDIAN((IF(DATOS_[[Sexo]:[Sexo]]=$B76,IF(DATOS_[[AGRUP. VALOR. PTO.]:[AGRUP. VALOR. PTO.]]=$B75,IF(DATOS_[[Check Periodo Ref.]:[Check Periodo Ref.]]="Dentro",DATOS_[Conc.Sal.28]))))), 0)</f>
        <v>0</v>
      </c>
      <c r="AH76" s="250" t="n">
        <f aca="false" t="array" ref="AH76:AH76">IFERROR( MEDIAN((IF(DATOS_[[Sexo]:[Sexo]]=$B76,IF(DATOS_[[AGRUP. VALOR. PTO.]:[AGRUP. VALOR. PTO.]]=$B75,IF(DATOS_[[Check Periodo Ref.]:[Check Periodo Ref.]]="Dentro",DATOS_[Conc.Sal.29]))))), 0)</f>
        <v>0</v>
      </c>
      <c r="AI76" s="250" t="n">
        <f aca="false" t="array" ref="AI76:AI76">IFERROR( MEDIAN((IF(DATOS_[[Sexo]:[Sexo]]=$B76,IF(DATOS_[[AGRUP. VALOR. PTO.]:[AGRUP. VALOR. PTO.]]=$B75,IF(DATOS_[[Check Periodo Ref.]:[Check Periodo Ref.]]="Dentro",DATOS_[Conc.Sal.30]))))), 0)</f>
        <v>0</v>
      </c>
      <c r="AJ76" s="251" t="n">
        <f aca="false" t="array" ref="AJ76:AJ76">IFERROR( MEDIAN(IF(DATOS_[Sexo]=$B76,IF(DATOS_[AGRUP. VALOR. PTO.]=$B75,IF(DATOS_[Check Periodo Ref.]="Dentro",DATOS_[Tot COMPL.SAL Ef],0)))), 0)</f>
        <v>0</v>
      </c>
      <c r="AK76" s="252" t="n">
        <f aca="false" t="array" ref="AK76:AK76">IFERROR( MEDIAN(IF(DATOS_[Sexo]=$B76,IF(DATOS_[AGRUP. VALOR. PTO.]=$B75,IF(DATOS_[Check Periodo Ref.]="Dentro",DATOS_[TOTAL SALARIO Ef],0)))), 0)</f>
        <v>0</v>
      </c>
      <c r="AL76" s="259" t="n">
        <f aca="false" t="array" ref="AL76:AL76">IFERROR( MEDIAN((IF(DATOS_[[Sexo]:[Sexo]]=$B76,IF(DATOS_[[AGRUP. VALOR. PTO.]:[AGRUP. VALOR. PTO.]]=$B75,IF(DATOS_[[Check Periodo Ref.]:[Check Periodo Ref.]]="Dentro",DATOS_[C.Extra.01]))))), 0)</f>
        <v>0</v>
      </c>
      <c r="AM76" s="259" t="n">
        <f aca="false" t="array" ref="AM76:AM76">IFERROR( MEDIAN((IF(DATOS_[[Sexo]:[Sexo]]=$B76,IF(DATOS_[[AGRUP. VALOR. PTO.]:[AGRUP. VALOR. PTO.]]=$B75,IF(DATOS_[[Check Periodo Ref.]:[Check Periodo Ref.]]="Dentro",DATOS_[C.Extra.02]))))), 0)</f>
        <v>0</v>
      </c>
      <c r="AN76" s="259" t="n">
        <f aca="false" t="array" ref="AN76:AN76">IFERROR( MEDIAN((IF(DATOS_[[Sexo]:[Sexo]]=$B76,IF(DATOS_[[AGRUP. VALOR. PTO.]:[AGRUP. VALOR. PTO.]]=$B75,IF(DATOS_[[Check Periodo Ref.]:[Check Periodo Ref.]]="Dentro",DATOS_[C.Extra.03]))))), 0)</f>
        <v>0</v>
      </c>
      <c r="AO76" s="259" t="n">
        <f aca="false" t="array" ref="AO76:AO76">IFERROR( MEDIAN((IF(DATOS_[[Sexo]:[Sexo]]=$B76,IF(DATOS_[[AGRUP. VALOR. PTO.]:[AGRUP. VALOR. PTO.]]=$B75,IF(DATOS_[[Check Periodo Ref.]:[Check Periodo Ref.]]="Dentro",DATOS_[C.Extra.04]))))), 0)</f>
        <v>0</v>
      </c>
      <c r="AP76" s="259" t="n">
        <f aca="false" t="array" ref="AP76:AP76">IFERROR( MEDIAN((IF(DATOS_[[Sexo]:[Sexo]]=$B76,IF(DATOS_[[AGRUP. VALOR. PTO.]:[AGRUP. VALOR. PTO.]]=$B75,IF(DATOS_[[Check Periodo Ref.]:[Check Periodo Ref.]]="Dentro",DATOS_[C.Extra.05]))))), 0)</f>
        <v>0</v>
      </c>
      <c r="AQ76" s="254" t="n">
        <f aca="false" t="array" ref="AQ76:AQ76">IFERROR( MEDIAN(IF(DATOS_[Sexo]=$B76,IF(DATOS_[AGRUP. VALOR. PTO.]=$B75,IF(DATOS_[Check Periodo Ref.]="Dentro",DATOS_[Tot Extrasalarial Ef],0)))), 0)</f>
        <v>0</v>
      </c>
      <c r="AR76" s="255" t="n">
        <f aca="false" t="array" ref="AR76:AR76">IFERROR( MEDIAN(IF(DATOS_[Sexo]=$B76,IF(DATOS_[AGRUP. VALOR. PTO.]=$B75,IF(DATOS_[Check Periodo Ref.]="Dentro",DATOS_[TOTAL Retrib Ef],0)))), 0)</f>
        <v>0</v>
      </c>
    </row>
    <row r="77" customFormat="false" ht="14.25" hidden="false" customHeight="false" outlineLevel="0" collapsed="false">
      <c r="A77" s="217" t="str">
        <f aca="false">+A76</f>
        <v>[ocultar]</v>
      </c>
      <c r="B77" s="246" t="s">
        <v>372</v>
      </c>
      <c r="C77" s="247" t="n">
        <f aca="false" t="array" ref="C77:C77">SUM(IF($B77=DATOS_[Sexo], IF($B75=DATOS_[AGRUP. VALOR. PTO.], IF("Dentro"=DATOS_[Check Periodo Ref.], 1/(COUNTIFS(DATOS_[Sexo],$B77,DATOS_[AGRUP. VALOR. PTO.],$B75,DATOS_[Check Periodo Ref.],"Dentro",DATOS_[id],DATOS_[id]))))))</f>
        <v>0</v>
      </c>
      <c r="D77" s="248" t="n">
        <f aca="false">COUNTIFS(DATOS_[AGRUP. VALOR. PTO.],$B75,DATOS_[Sexo],$B77,DATOS_[Check Periodo Ref.],"Dentro")</f>
        <v>0</v>
      </c>
      <c r="E77" s="249" t="n">
        <f aca="false" t="array" ref="E77:E77">IFERROR( MEDIAN(IF(DATOS_[Sexo]=$B77,IF(DATOS_[AGRUP. VALOR. PTO.]=$B75,IF(DATOS_[Check Periodo Ref.]="Dentro",DATOS_[SALARIO BASE Ef],0)))), 0)</f>
        <v>0</v>
      </c>
      <c r="F77" s="250" t="n">
        <f aca="false" t="array" ref="F77:F77">IFERROR( MEDIAN((IF(DATOS_[[Sexo]:[Sexo]]=$B77,IF(DATOS_[[AGRUP. VALOR. PTO.]:[AGRUP. VALOR. PTO.]]=$B75,IF(DATOS_[[Check Periodo Ref.]:[Check Periodo Ref.]]="Dentro",DATOS_[Conc.Sal.01]))))), 0)</f>
        <v>0</v>
      </c>
      <c r="G77" s="250" t="n">
        <f aca="false" t="array" ref="G77:G77">IFERROR( MEDIAN((IF(DATOS_[[Sexo]:[Sexo]]=$B77,IF(DATOS_[[AGRUP. VALOR. PTO.]:[AGRUP. VALOR. PTO.]]=$B75,IF(DATOS_[[Check Periodo Ref.]:[Check Periodo Ref.]]="Dentro",DATOS_[Conc.Sal.02]))))), 0)</f>
        <v>0</v>
      </c>
      <c r="H77" s="250" t="n">
        <f aca="false" t="array" ref="H77:H77">IFERROR( MEDIAN((IF(DATOS_[[Sexo]:[Sexo]]=$B77,IF(DATOS_[[AGRUP. VALOR. PTO.]:[AGRUP. VALOR. PTO.]]=$B75,IF(DATOS_[[Check Periodo Ref.]:[Check Periodo Ref.]]="Dentro",DATOS_[Conc.Sal.03]))))), 0)</f>
        <v>0</v>
      </c>
      <c r="I77" s="250" t="n">
        <f aca="false" t="array" ref="I77:I77">IFERROR( MEDIAN((IF(DATOS_[[Sexo]:[Sexo]]=$B77,IF(DATOS_[[AGRUP. VALOR. PTO.]:[AGRUP. VALOR. PTO.]]=$B75,IF(DATOS_[[Check Periodo Ref.]:[Check Periodo Ref.]]="Dentro",DATOS_[Conc.Sal.04]))))), 0)</f>
        <v>0</v>
      </c>
      <c r="J77" s="250" t="n">
        <f aca="false" t="array" ref="J77:J77">IFERROR( MEDIAN((IF(DATOS_[[Sexo]:[Sexo]]=$B77,IF(DATOS_[[AGRUP. VALOR. PTO.]:[AGRUP. VALOR. PTO.]]=$B75,IF(DATOS_[[Check Periodo Ref.]:[Check Periodo Ref.]]="Dentro",DATOS_[Conc.Sal.05]))))), 0)</f>
        <v>0</v>
      </c>
      <c r="K77" s="250" t="n">
        <f aca="false" t="array" ref="K77:K77">IFERROR( MEDIAN((IF(DATOS_[[Sexo]:[Sexo]]=$B77,IF(DATOS_[[AGRUP. VALOR. PTO.]:[AGRUP. VALOR. PTO.]]=$B75,IF(DATOS_[[Check Periodo Ref.]:[Check Periodo Ref.]]="Dentro",DATOS_[Conc.Sal.06]))))), 0)</f>
        <v>0</v>
      </c>
      <c r="L77" s="250" t="n">
        <f aca="false" t="array" ref="L77:L77">IFERROR( MEDIAN((IF(DATOS_[[Sexo]:[Sexo]]=$B77,IF(DATOS_[[AGRUP. VALOR. PTO.]:[AGRUP. VALOR. PTO.]]=$B75,IF(DATOS_[[Check Periodo Ref.]:[Check Periodo Ref.]]="Dentro",DATOS_[Conc.Sal.07]))))), 0)</f>
        <v>0</v>
      </c>
      <c r="M77" s="250" t="n">
        <f aca="false" t="array" ref="M77:M77">IFERROR( MEDIAN((IF(DATOS_[[Sexo]:[Sexo]]=$B77,IF(DATOS_[[AGRUP. VALOR. PTO.]:[AGRUP. VALOR. PTO.]]=$B75,IF(DATOS_[[Check Periodo Ref.]:[Check Periodo Ref.]]="Dentro",DATOS_[Conc.Sal.08]))))), 0)</f>
        <v>0</v>
      </c>
      <c r="N77" s="250" t="n">
        <f aca="false" t="array" ref="N77:N77">IFERROR( MEDIAN((IF(DATOS_[[Sexo]:[Sexo]]=$B77,IF(DATOS_[[AGRUP. VALOR. PTO.]:[AGRUP. VALOR. PTO.]]=$B75,IF(DATOS_[[Check Periodo Ref.]:[Check Periodo Ref.]]="Dentro",DATOS_[Conc.Sal.09]))))), 0)</f>
        <v>0</v>
      </c>
      <c r="O77" s="250" t="n">
        <f aca="false" t="array" ref="O77:O77">IFERROR( MEDIAN((IF(DATOS_[[Sexo]:[Sexo]]=$B77,IF(DATOS_[[AGRUP. VALOR. PTO.]:[AGRUP. VALOR. PTO.]]=$B75,IF(DATOS_[[Check Periodo Ref.]:[Check Periodo Ref.]]="Dentro",DATOS_[Conc.Sal.10]))))), 0)</f>
        <v>0</v>
      </c>
      <c r="P77" s="250" t="n">
        <f aca="false" t="array" ref="P77:P77">IFERROR( MEDIAN((IF(DATOS_[[Sexo]:[Sexo]]=$B77,IF(DATOS_[[AGRUP. VALOR. PTO.]:[AGRUP. VALOR. PTO.]]=$B75,IF(DATOS_[[Check Periodo Ref.]:[Check Periodo Ref.]]="Dentro",DATOS_[Conc.Sal.11]))))), 0)</f>
        <v>0</v>
      </c>
      <c r="Q77" s="250" t="n">
        <f aca="false" t="array" ref="Q77:Q77">IFERROR( MEDIAN((IF(DATOS_[[Sexo]:[Sexo]]=$B77,IF(DATOS_[[AGRUP. VALOR. PTO.]:[AGRUP. VALOR. PTO.]]=$B75,IF(DATOS_[[Check Periodo Ref.]:[Check Periodo Ref.]]="Dentro",DATOS_[Conc.Sal.12]))))), 0)</f>
        <v>0</v>
      </c>
      <c r="R77" s="250" t="n">
        <f aca="false" t="array" ref="R77:R77">IFERROR( MEDIAN((IF(DATOS_[[Sexo]:[Sexo]]=$B77,IF(DATOS_[[AGRUP. VALOR. PTO.]:[AGRUP. VALOR. PTO.]]=$B75,IF(DATOS_[[Check Periodo Ref.]:[Check Periodo Ref.]]="Dentro",DATOS_[Conc.Sal.13]))))), 0)</f>
        <v>0</v>
      </c>
      <c r="S77" s="250" t="n">
        <f aca="false" t="array" ref="S77:S77">IFERROR( MEDIAN((IF(DATOS_[[Sexo]:[Sexo]]=$B77,IF(DATOS_[[AGRUP. VALOR. PTO.]:[AGRUP. VALOR. PTO.]]=$B75,IF(DATOS_[[Check Periodo Ref.]:[Check Periodo Ref.]]="Dentro",DATOS_[Conc.Sal.14]))))), 0)</f>
        <v>0</v>
      </c>
      <c r="T77" s="250" t="n">
        <f aca="false" t="array" ref="T77:T77">IFERROR( MEDIAN((IF(DATOS_[[Sexo]:[Sexo]]=$B77,IF(DATOS_[[AGRUP. VALOR. PTO.]:[AGRUP. VALOR. PTO.]]=$B75,IF(DATOS_[[Check Periodo Ref.]:[Check Periodo Ref.]]="Dentro",DATOS_[Conc.Sal.15]))))), 0)</f>
        <v>0</v>
      </c>
      <c r="U77" s="250" t="n">
        <f aca="false" t="array" ref="U77:U77">IFERROR( MEDIAN((IF(DATOS_[[Sexo]:[Sexo]]=$B77,IF(DATOS_[[AGRUP. VALOR. PTO.]:[AGRUP. VALOR. PTO.]]=$B75,IF(DATOS_[[Check Periodo Ref.]:[Check Periodo Ref.]]="Dentro",DATOS_[Conc.Sal.16]))))), 0)</f>
        <v>0</v>
      </c>
      <c r="V77" s="250" t="n">
        <f aca="false" t="array" ref="V77:V77">IFERROR( MEDIAN((IF(DATOS_[[Sexo]:[Sexo]]=$B77,IF(DATOS_[[AGRUP. VALOR. PTO.]:[AGRUP. VALOR. PTO.]]=$B75,IF(DATOS_[[Check Periodo Ref.]:[Check Periodo Ref.]]="Dentro",DATOS_[Conc.Sal.17]))))), 0)</f>
        <v>0</v>
      </c>
      <c r="W77" s="250" t="n">
        <f aca="false" t="array" ref="W77:W77">IFERROR( MEDIAN((IF(DATOS_[[Sexo]:[Sexo]]=$B77,IF(DATOS_[[AGRUP. VALOR. PTO.]:[AGRUP. VALOR. PTO.]]=$B75,IF(DATOS_[[Check Periodo Ref.]:[Check Periodo Ref.]]="Dentro",DATOS_[Conc.Sal.18]))))), 0)</f>
        <v>0</v>
      </c>
      <c r="X77" s="250" t="n">
        <f aca="false" t="array" ref="X77:X77">IFERROR( MEDIAN((IF(DATOS_[[Sexo]:[Sexo]]=$B77,IF(DATOS_[[AGRUP. VALOR. PTO.]:[AGRUP. VALOR. PTO.]]=$B75,IF(DATOS_[[Check Periodo Ref.]:[Check Periodo Ref.]]="Dentro",DATOS_[Conc.Sal.19]))))), 0)</f>
        <v>0</v>
      </c>
      <c r="Y77" s="250" t="n">
        <f aca="false" t="array" ref="Y77:Y77">IFERROR( MEDIAN((IF(DATOS_[[Sexo]:[Sexo]]=$B77,IF(DATOS_[[AGRUP. VALOR. PTO.]:[AGRUP. VALOR. PTO.]]=$B75,IF(DATOS_[[Check Periodo Ref.]:[Check Periodo Ref.]]="Dentro",DATOS_[Conc.Sal.20]))))), 0)</f>
        <v>0</v>
      </c>
      <c r="Z77" s="250" t="n">
        <f aca="false" t="array" ref="Z77:Z77">IFERROR( MEDIAN((IF(DATOS_[[Sexo]:[Sexo]]=$B77,IF(DATOS_[[AGRUP. VALOR. PTO.]:[AGRUP. VALOR. PTO.]]=$B75,IF(DATOS_[[Check Periodo Ref.]:[Check Periodo Ref.]]="Dentro",DATOS_[Conc.Sal.21]))))), 0)</f>
        <v>0</v>
      </c>
      <c r="AA77" s="250" t="n">
        <f aca="false" t="array" ref="AA77:AA77">IFERROR( MEDIAN((IF(DATOS_[[Sexo]:[Sexo]]=$B77,IF(DATOS_[[AGRUP. VALOR. PTO.]:[AGRUP. VALOR. PTO.]]=$B75,IF(DATOS_[[Check Periodo Ref.]:[Check Periodo Ref.]]="Dentro",DATOS_[Conc.Sal.22]))))), 0)</f>
        <v>0</v>
      </c>
      <c r="AB77" s="250" t="n">
        <f aca="false" t="array" ref="AB77:AB77">IFERROR( MEDIAN((IF(DATOS_[[Sexo]:[Sexo]]=$B77,IF(DATOS_[[AGRUP. VALOR. PTO.]:[AGRUP. VALOR. PTO.]]=$B75,IF(DATOS_[[Check Periodo Ref.]:[Check Periodo Ref.]]="Dentro",DATOS_[Conc.Sal.23]))))), 0)</f>
        <v>0</v>
      </c>
      <c r="AC77" s="250" t="n">
        <f aca="false" t="array" ref="AC77:AC77">IFERROR( MEDIAN((IF(DATOS_[[Sexo]:[Sexo]]=$B77,IF(DATOS_[[AGRUP. VALOR. PTO.]:[AGRUP. VALOR. PTO.]]=$B75,IF(DATOS_[[Check Periodo Ref.]:[Check Periodo Ref.]]="Dentro",DATOS_[Conc.Sal.24]))))), 0)</f>
        <v>0</v>
      </c>
      <c r="AD77" s="250" t="n">
        <f aca="false" t="array" ref="AD77:AD77">IFERROR( MEDIAN((IF(DATOS_[[Sexo]:[Sexo]]=$B77,IF(DATOS_[[AGRUP. VALOR. PTO.]:[AGRUP. VALOR. PTO.]]=$B75,IF(DATOS_[[Check Periodo Ref.]:[Check Periodo Ref.]]="Dentro",DATOS_[Conc.Sal.25]))))), 0)</f>
        <v>0</v>
      </c>
      <c r="AE77" s="250" t="n">
        <f aca="false" t="array" ref="AE77:AE77">IFERROR( MEDIAN((IF(DATOS_[[Sexo]:[Sexo]]=$B77,IF(DATOS_[[AGRUP. VALOR. PTO.]:[AGRUP. VALOR. PTO.]]=$B75,IF(DATOS_[[Check Periodo Ref.]:[Check Periodo Ref.]]="Dentro",DATOS_[Conc.Sal.26]))))), 0)</f>
        <v>0</v>
      </c>
      <c r="AF77" s="250" t="n">
        <f aca="false" t="array" ref="AF77:AF77">IFERROR( MEDIAN((IF(DATOS_[[Sexo]:[Sexo]]=$B77,IF(DATOS_[[AGRUP. VALOR. PTO.]:[AGRUP. VALOR. PTO.]]=$B75,IF(DATOS_[[Check Periodo Ref.]:[Check Periodo Ref.]]="Dentro",DATOS_[Conc.Sal.27]))))), 0)</f>
        <v>0</v>
      </c>
      <c r="AG77" s="250" t="n">
        <f aca="false" t="array" ref="AG77:AG77">IFERROR( MEDIAN((IF(DATOS_[[Sexo]:[Sexo]]=$B77,IF(DATOS_[[AGRUP. VALOR. PTO.]:[AGRUP. VALOR. PTO.]]=$B75,IF(DATOS_[[Check Periodo Ref.]:[Check Periodo Ref.]]="Dentro",DATOS_[Conc.Sal.28]))))), 0)</f>
        <v>0</v>
      </c>
      <c r="AH77" s="250" t="n">
        <f aca="false" t="array" ref="AH77:AH77">IFERROR( MEDIAN((IF(DATOS_[[Sexo]:[Sexo]]=$B77,IF(DATOS_[[AGRUP. VALOR. PTO.]:[AGRUP. VALOR. PTO.]]=$B75,IF(DATOS_[[Check Periodo Ref.]:[Check Periodo Ref.]]="Dentro",DATOS_[Conc.Sal.29]))))), 0)</f>
        <v>0</v>
      </c>
      <c r="AI77" s="250" t="n">
        <f aca="false" t="array" ref="AI77:AI77">IFERROR( MEDIAN((IF(DATOS_[[Sexo]:[Sexo]]=$B77,IF(DATOS_[[AGRUP. VALOR. PTO.]:[AGRUP. VALOR. PTO.]]=$B75,IF(DATOS_[[Check Periodo Ref.]:[Check Periodo Ref.]]="Dentro",DATOS_[Conc.Sal.30]))))), 0)</f>
        <v>0</v>
      </c>
      <c r="AJ77" s="251" t="n">
        <f aca="false" t="array" ref="AJ77:AJ77">IFERROR( MEDIAN(IF(DATOS_[Sexo]=$B77,IF(DATOS_[AGRUP. VALOR. PTO.]=$B75,IF(DATOS_[Check Periodo Ref.]="Dentro",DATOS_[Tot COMPL.SAL Ef],0)))), 0)</f>
        <v>0</v>
      </c>
      <c r="AK77" s="252" t="n">
        <f aca="false" t="array" ref="AK77:AK77">IFERROR( MEDIAN(IF(DATOS_[Sexo]=$B77,IF(DATOS_[AGRUP. VALOR. PTO.]=$B75,IF(DATOS_[Check Periodo Ref.]="Dentro",DATOS_[TOTAL SALARIO Ef],0)))), 0)</f>
        <v>0</v>
      </c>
      <c r="AL77" s="259" t="n">
        <f aca="false" t="array" ref="AL77:AL77">IFERROR( MEDIAN((IF(DATOS_[[Sexo]:[Sexo]]=$B77,IF(DATOS_[[AGRUP. VALOR. PTO.]:[AGRUP. VALOR. PTO.]]=$B75,IF(DATOS_[[Check Periodo Ref.]:[Check Periodo Ref.]]="Dentro",DATOS_[C.Extra.01]))))), 0)</f>
        <v>0</v>
      </c>
      <c r="AM77" s="259" t="n">
        <f aca="false" t="array" ref="AM77:AM77">IFERROR( MEDIAN((IF(DATOS_[[Sexo]:[Sexo]]=$B77,IF(DATOS_[[AGRUP. VALOR. PTO.]:[AGRUP. VALOR. PTO.]]=$B75,IF(DATOS_[[Check Periodo Ref.]:[Check Periodo Ref.]]="Dentro",DATOS_[C.Extra.02]))))), 0)</f>
        <v>0</v>
      </c>
      <c r="AN77" s="259" t="n">
        <f aca="false" t="array" ref="AN77:AN77">IFERROR( MEDIAN((IF(DATOS_[[Sexo]:[Sexo]]=$B77,IF(DATOS_[[AGRUP. VALOR. PTO.]:[AGRUP. VALOR. PTO.]]=$B75,IF(DATOS_[[Check Periodo Ref.]:[Check Periodo Ref.]]="Dentro",DATOS_[C.Extra.03]))))), 0)</f>
        <v>0</v>
      </c>
      <c r="AO77" s="259" t="n">
        <f aca="false" t="array" ref="AO77:AO77">IFERROR( MEDIAN((IF(DATOS_[[Sexo]:[Sexo]]=$B77,IF(DATOS_[[AGRUP. VALOR. PTO.]:[AGRUP. VALOR. PTO.]]=$B75,IF(DATOS_[[Check Periodo Ref.]:[Check Periodo Ref.]]="Dentro",DATOS_[C.Extra.04]))))), 0)</f>
        <v>0</v>
      </c>
      <c r="AP77" s="259" t="n">
        <f aca="false" t="array" ref="AP77:AP77">IFERROR( MEDIAN((IF(DATOS_[[Sexo]:[Sexo]]=$B77,IF(DATOS_[[AGRUP. VALOR. PTO.]:[AGRUP. VALOR. PTO.]]=$B75,IF(DATOS_[[Check Periodo Ref.]:[Check Periodo Ref.]]="Dentro",DATOS_[C.Extra.05]))))), 0)</f>
        <v>0</v>
      </c>
      <c r="AQ77" s="254" t="n">
        <f aca="false" t="array" ref="AQ77:AQ77">IFERROR( MEDIAN(IF(DATOS_[Sexo]=$B77,IF(DATOS_[AGRUP. VALOR. PTO.]=$B75,IF(DATOS_[Check Periodo Ref.]="Dentro",DATOS_[Tot Extrasalarial Ef],0)))), 0)</f>
        <v>0</v>
      </c>
      <c r="AR77" s="255" t="n">
        <f aca="false" t="array" ref="AR77:AR77">IFERROR( MEDIAN(IF(DATOS_[Sexo]=$B77,IF(DATOS_[AGRUP. VALOR. PTO.]=$B75,IF(DATOS_[Check Periodo Ref.]="Dentro",DATOS_[TOTAL Retrib Ef],0)))), 0)</f>
        <v>0</v>
      </c>
    </row>
    <row r="78" customFormat="false" ht="15.75" hidden="false" customHeight="false" outlineLevel="0" collapsed="false">
      <c r="A78" s="217" t="str">
        <f aca="false">+A79</f>
        <v>[ocultar]</v>
      </c>
      <c r="B78" s="235" t="s">
        <v>232</v>
      </c>
      <c r="C78" s="236"/>
      <c r="D78" s="237"/>
      <c r="E78" s="238" t="str">
        <f aca="false">IFERROR((E79-E80)/E79,"")</f>
        <v/>
      </c>
      <c r="F78" s="239" t="str">
        <f aca="false">IFERROR((F79-F80)/F79,"")</f>
        <v/>
      </c>
      <c r="G78" s="239" t="str">
        <f aca="false">IFERROR((G79-G80)/G79,"")</f>
        <v/>
      </c>
      <c r="H78" s="239" t="str">
        <f aca="false">IFERROR((H79-H80)/H79,"")</f>
        <v/>
      </c>
      <c r="I78" s="239"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40" t="str">
        <f aca="false">IFERROR((V79-V80)/V79,"")</f>
        <v/>
      </c>
      <c r="W78" s="240" t="str">
        <f aca="false">IFERROR((W79-W80)/W79,"")</f>
        <v/>
      </c>
      <c r="X78" s="240" t="str">
        <f aca="false">IFERROR((X79-X80)/X79,"")</f>
        <v/>
      </c>
      <c r="Y78" s="240"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1" t="str">
        <f aca="false">IFERROR((AJ79-AJ80)/AJ79,"")</f>
        <v/>
      </c>
      <c r="AK78" s="242" t="str">
        <f aca="false">IFERROR((AK79-AK80)/AK79,"")</f>
        <v/>
      </c>
      <c r="AL78" s="243" t="str">
        <f aca="false">IFERROR((AL79-AL80)/AL79,"")</f>
        <v/>
      </c>
      <c r="AM78" s="243" t="str">
        <f aca="false">IFERROR((AM79-AM80)/AM79,"")</f>
        <v/>
      </c>
      <c r="AN78" s="243" t="str">
        <f aca="false">IFERROR((AN79-AN80)/AN79,"")</f>
        <v/>
      </c>
      <c r="AO78" s="243" t="str">
        <f aca="false">IFERROR((AO79-AO80)/AO79,"")</f>
        <v/>
      </c>
      <c r="AP78" s="243" t="str">
        <f aca="false">IFERROR((AP79-AP80)/AP79,"")</f>
        <v/>
      </c>
      <c r="AQ78" s="244" t="str">
        <f aca="false">IFERROR((AQ79-AQ80)/AQ79,"")</f>
        <v/>
      </c>
      <c r="AR78" s="245" t="str">
        <f aca="false">IFERROR((AR79-AR80)/AR79,"")</f>
        <v/>
      </c>
    </row>
    <row r="79" customFormat="false" ht="14.25" hidden="false" customHeight="false" outlineLevel="0" collapsed="false">
      <c r="A79" s="217" t="str">
        <f aca="false">+IF(C79+C80=0,"[ocultar]","")</f>
        <v>[ocultar]</v>
      </c>
      <c r="B79" s="246" t="s">
        <v>371</v>
      </c>
      <c r="C79" s="247" t="n">
        <f aca="false" t="array" ref="C79:C79">SUM(IF($B79=DATOS_[Sexo], IF($B78=DATOS_[AGRUP. VALOR. PTO.], IF("Dentro"=DATOS_[Check Periodo Ref.], 1/(COUNTIFS(DATOS_[Sexo],$B79,DATOS_[AGRUP. VALOR. PTO.],$B78,DATOS_[Check Periodo Ref.],"Dentro",DATOS_[id],DATOS_[id]))))))</f>
        <v>0</v>
      </c>
      <c r="D79" s="248" t="n">
        <f aca="false">COUNTIFS(DATOS_[AGRUP. VALOR. PTO.],$B78,DATOS_[Sexo],$B79,DATOS_[Check Periodo Ref.],"Dentro")</f>
        <v>0</v>
      </c>
      <c r="E79" s="249" t="n">
        <f aca="false" t="array" ref="E79:E79">IFERROR( MEDIAN(IF(DATOS_[Sexo]=$B79,IF(DATOS_[AGRUP. VALOR. PTO.]=$B78,IF(DATOS_[Check Periodo Ref.]="Dentro",DATOS_[SALARIO BASE Ef],0)))), 0)</f>
        <v>0</v>
      </c>
      <c r="F79" s="250" t="n">
        <f aca="false" t="array" ref="F79:F79">IFERROR( MEDIAN((IF(DATOS_[[Sexo]:[Sexo]]=$B79,IF(DATOS_[[AGRUP. VALOR. PTO.]:[AGRUP. VALOR. PTO.]]=$B78,IF(DATOS_[[Check Periodo Ref.]:[Check Periodo Ref.]]="Dentro",DATOS_[Conc.Sal.01]))))), 0)</f>
        <v>0</v>
      </c>
      <c r="G79" s="250" t="n">
        <f aca="false" t="array" ref="G79:G79">IFERROR( MEDIAN((IF(DATOS_[[Sexo]:[Sexo]]=$B79,IF(DATOS_[[AGRUP. VALOR. PTO.]:[AGRUP. VALOR. PTO.]]=$B78,IF(DATOS_[[Check Periodo Ref.]:[Check Periodo Ref.]]="Dentro",DATOS_[Conc.Sal.02]))))), 0)</f>
        <v>0</v>
      </c>
      <c r="H79" s="250" t="n">
        <f aca="false" t="array" ref="H79:H79">IFERROR( MEDIAN((IF(DATOS_[[Sexo]:[Sexo]]=$B79,IF(DATOS_[[AGRUP. VALOR. PTO.]:[AGRUP. VALOR. PTO.]]=$B78,IF(DATOS_[[Check Periodo Ref.]:[Check Periodo Ref.]]="Dentro",DATOS_[Conc.Sal.03]))))), 0)</f>
        <v>0</v>
      </c>
      <c r="I79" s="250" t="n">
        <f aca="false" t="array" ref="I79:I79">IFERROR( MEDIAN((IF(DATOS_[[Sexo]:[Sexo]]=$B79,IF(DATOS_[[AGRUP. VALOR. PTO.]:[AGRUP. VALOR. PTO.]]=$B78,IF(DATOS_[[Check Periodo Ref.]:[Check Periodo Ref.]]="Dentro",DATOS_[Conc.Sal.04]))))), 0)</f>
        <v>0</v>
      </c>
      <c r="J79" s="250" t="n">
        <f aca="false" t="array" ref="J79:J79">IFERROR( MEDIAN((IF(DATOS_[[Sexo]:[Sexo]]=$B79,IF(DATOS_[[AGRUP. VALOR. PTO.]:[AGRUP. VALOR. PTO.]]=$B78,IF(DATOS_[[Check Periodo Ref.]:[Check Periodo Ref.]]="Dentro",DATOS_[Conc.Sal.05]))))), 0)</f>
        <v>0</v>
      </c>
      <c r="K79" s="250" t="n">
        <f aca="false" t="array" ref="K79:K79">IFERROR( MEDIAN((IF(DATOS_[[Sexo]:[Sexo]]=$B79,IF(DATOS_[[AGRUP. VALOR. PTO.]:[AGRUP. VALOR. PTO.]]=$B78,IF(DATOS_[[Check Periodo Ref.]:[Check Periodo Ref.]]="Dentro",DATOS_[Conc.Sal.06]))))), 0)</f>
        <v>0</v>
      </c>
      <c r="L79" s="250" t="n">
        <f aca="false" t="array" ref="L79:L79">IFERROR( MEDIAN((IF(DATOS_[[Sexo]:[Sexo]]=$B79,IF(DATOS_[[AGRUP. VALOR. PTO.]:[AGRUP. VALOR. PTO.]]=$B78,IF(DATOS_[[Check Periodo Ref.]:[Check Periodo Ref.]]="Dentro",DATOS_[Conc.Sal.07]))))), 0)</f>
        <v>0</v>
      </c>
      <c r="M79" s="250" t="n">
        <f aca="false" t="array" ref="M79:M79">IFERROR( MEDIAN((IF(DATOS_[[Sexo]:[Sexo]]=$B79,IF(DATOS_[[AGRUP. VALOR. PTO.]:[AGRUP. VALOR. PTO.]]=$B78,IF(DATOS_[[Check Periodo Ref.]:[Check Periodo Ref.]]="Dentro",DATOS_[Conc.Sal.08]))))), 0)</f>
        <v>0</v>
      </c>
      <c r="N79" s="250" t="n">
        <f aca="false" t="array" ref="N79:N79">IFERROR( MEDIAN((IF(DATOS_[[Sexo]:[Sexo]]=$B79,IF(DATOS_[[AGRUP. VALOR. PTO.]:[AGRUP. VALOR. PTO.]]=$B78,IF(DATOS_[[Check Periodo Ref.]:[Check Periodo Ref.]]="Dentro",DATOS_[Conc.Sal.09]))))), 0)</f>
        <v>0</v>
      </c>
      <c r="O79" s="250" t="n">
        <f aca="false" t="array" ref="O79:O79">IFERROR( MEDIAN((IF(DATOS_[[Sexo]:[Sexo]]=$B79,IF(DATOS_[[AGRUP. VALOR. PTO.]:[AGRUP. VALOR. PTO.]]=$B78,IF(DATOS_[[Check Periodo Ref.]:[Check Periodo Ref.]]="Dentro",DATOS_[Conc.Sal.10]))))), 0)</f>
        <v>0</v>
      </c>
      <c r="P79" s="250" t="n">
        <f aca="false" t="array" ref="P79:P79">IFERROR( MEDIAN((IF(DATOS_[[Sexo]:[Sexo]]=$B79,IF(DATOS_[[AGRUP. VALOR. PTO.]:[AGRUP. VALOR. PTO.]]=$B78,IF(DATOS_[[Check Periodo Ref.]:[Check Periodo Ref.]]="Dentro",DATOS_[Conc.Sal.11]))))), 0)</f>
        <v>0</v>
      </c>
      <c r="Q79" s="250" t="n">
        <f aca="false" t="array" ref="Q79:Q79">IFERROR( MEDIAN((IF(DATOS_[[Sexo]:[Sexo]]=$B79,IF(DATOS_[[AGRUP. VALOR. PTO.]:[AGRUP. VALOR. PTO.]]=$B78,IF(DATOS_[[Check Periodo Ref.]:[Check Periodo Ref.]]="Dentro",DATOS_[Conc.Sal.12]))))), 0)</f>
        <v>0</v>
      </c>
      <c r="R79" s="250" t="n">
        <f aca="false" t="array" ref="R79:R79">IFERROR( MEDIAN((IF(DATOS_[[Sexo]:[Sexo]]=$B79,IF(DATOS_[[AGRUP. VALOR. PTO.]:[AGRUP. VALOR. PTO.]]=$B78,IF(DATOS_[[Check Periodo Ref.]:[Check Periodo Ref.]]="Dentro",DATOS_[Conc.Sal.13]))))), 0)</f>
        <v>0</v>
      </c>
      <c r="S79" s="250" t="n">
        <f aca="false" t="array" ref="S79:S79">IFERROR( MEDIAN((IF(DATOS_[[Sexo]:[Sexo]]=$B79,IF(DATOS_[[AGRUP. VALOR. PTO.]:[AGRUP. VALOR. PTO.]]=$B78,IF(DATOS_[[Check Periodo Ref.]:[Check Periodo Ref.]]="Dentro",DATOS_[Conc.Sal.14]))))), 0)</f>
        <v>0</v>
      </c>
      <c r="T79" s="250" t="n">
        <f aca="false" t="array" ref="T79:T79">IFERROR( MEDIAN((IF(DATOS_[[Sexo]:[Sexo]]=$B79,IF(DATOS_[[AGRUP. VALOR. PTO.]:[AGRUP. VALOR. PTO.]]=$B78,IF(DATOS_[[Check Periodo Ref.]:[Check Periodo Ref.]]="Dentro",DATOS_[Conc.Sal.15]))))), 0)</f>
        <v>0</v>
      </c>
      <c r="U79" s="250" t="n">
        <f aca="false" t="array" ref="U79:U79">IFERROR( MEDIAN((IF(DATOS_[[Sexo]:[Sexo]]=$B79,IF(DATOS_[[AGRUP. VALOR. PTO.]:[AGRUP. VALOR. PTO.]]=$B78,IF(DATOS_[[Check Periodo Ref.]:[Check Periodo Ref.]]="Dentro",DATOS_[Conc.Sal.16]))))), 0)</f>
        <v>0</v>
      </c>
      <c r="V79" s="250" t="n">
        <f aca="false" t="array" ref="V79:V79">IFERROR( MEDIAN((IF(DATOS_[[Sexo]:[Sexo]]=$B79,IF(DATOS_[[AGRUP. VALOR. PTO.]:[AGRUP. VALOR. PTO.]]=$B78,IF(DATOS_[[Check Periodo Ref.]:[Check Periodo Ref.]]="Dentro",DATOS_[Conc.Sal.17]))))), 0)</f>
        <v>0</v>
      </c>
      <c r="W79" s="250" t="n">
        <f aca="false" t="array" ref="W79:W79">IFERROR( MEDIAN((IF(DATOS_[[Sexo]:[Sexo]]=$B79,IF(DATOS_[[AGRUP. VALOR. PTO.]:[AGRUP. VALOR. PTO.]]=$B78,IF(DATOS_[[Check Periodo Ref.]:[Check Periodo Ref.]]="Dentro",DATOS_[Conc.Sal.18]))))), 0)</f>
        <v>0</v>
      </c>
      <c r="X79" s="250" t="n">
        <f aca="false" t="array" ref="X79:X79">IFERROR( MEDIAN((IF(DATOS_[[Sexo]:[Sexo]]=$B79,IF(DATOS_[[AGRUP. VALOR. PTO.]:[AGRUP. VALOR. PTO.]]=$B78,IF(DATOS_[[Check Periodo Ref.]:[Check Periodo Ref.]]="Dentro",DATOS_[Conc.Sal.19]))))), 0)</f>
        <v>0</v>
      </c>
      <c r="Y79" s="250" t="n">
        <f aca="false" t="array" ref="Y79:Y79">IFERROR( MEDIAN((IF(DATOS_[[Sexo]:[Sexo]]=$B79,IF(DATOS_[[AGRUP. VALOR. PTO.]:[AGRUP. VALOR. PTO.]]=$B78,IF(DATOS_[[Check Periodo Ref.]:[Check Periodo Ref.]]="Dentro",DATOS_[Conc.Sal.20]))))), 0)</f>
        <v>0</v>
      </c>
      <c r="Z79" s="250" t="n">
        <f aca="false" t="array" ref="Z79:Z79">IFERROR( MEDIAN((IF(DATOS_[[Sexo]:[Sexo]]=$B79,IF(DATOS_[[AGRUP. VALOR. PTO.]:[AGRUP. VALOR. PTO.]]=$B78,IF(DATOS_[[Check Periodo Ref.]:[Check Periodo Ref.]]="Dentro",DATOS_[Conc.Sal.21]))))), 0)</f>
        <v>0</v>
      </c>
      <c r="AA79" s="250" t="n">
        <f aca="false" t="array" ref="AA79:AA79">IFERROR( MEDIAN((IF(DATOS_[[Sexo]:[Sexo]]=$B79,IF(DATOS_[[AGRUP. VALOR. PTO.]:[AGRUP. VALOR. PTO.]]=$B78,IF(DATOS_[[Check Periodo Ref.]:[Check Periodo Ref.]]="Dentro",DATOS_[Conc.Sal.22]))))), 0)</f>
        <v>0</v>
      </c>
      <c r="AB79" s="250" t="n">
        <f aca="false" t="array" ref="AB79:AB79">IFERROR( MEDIAN((IF(DATOS_[[Sexo]:[Sexo]]=$B79,IF(DATOS_[[AGRUP. VALOR. PTO.]:[AGRUP. VALOR. PTO.]]=$B78,IF(DATOS_[[Check Periodo Ref.]:[Check Periodo Ref.]]="Dentro",DATOS_[Conc.Sal.23]))))), 0)</f>
        <v>0</v>
      </c>
      <c r="AC79" s="250" t="n">
        <f aca="false" t="array" ref="AC79:AC79">IFERROR( MEDIAN((IF(DATOS_[[Sexo]:[Sexo]]=$B79,IF(DATOS_[[AGRUP. VALOR. PTO.]:[AGRUP. VALOR. PTO.]]=$B78,IF(DATOS_[[Check Periodo Ref.]:[Check Periodo Ref.]]="Dentro",DATOS_[Conc.Sal.24]))))), 0)</f>
        <v>0</v>
      </c>
      <c r="AD79" s="250" t="n">
        <f aca="false" t="array" ref="AD79:AD79">IFERROR( MEDIAN((IF(DATOS_[[Sexo]:[Sexo]]=$B79,IF(DATOS_[[AGRUP. VALOR. PTO.]:[AGRUP. VALOR. PTO.]]=$B78,IF(DATOS_[[Check Periodo Ref.]:[Check Periodo Ref.]]="Dentro",DATOS_[Conc.Sal.25]))))), 0)</f>
        <v>0</v>
      </c>
      <c r="AE79" s="250" t="n">
        <f aca="false" t="array" ref="AE79:AE79">IFERROR( MEDIAN((IF(DATOS_[[Sexo]:[Sexo]]=$B79,IF(DATOS_[[AGRUP. VALOR. PTO.]:[AGRUP. VALOR. PTO.]]=$B78,IF(DATOS_[[Check Periodo Ref.]:[Check Periodo Ref.]]="Dentro",DATOS_[Conc.Sal.26]))))), 0)</f>
        <v>0</v>
      </c>
      <c r="AF79" s="250" t="n">
        <f aca="false" t="array" ref="AF79:AF79">IFERROR( MEDIAN((IF(DATOS_[[Sexo]:[Sexo]]=$B79,IF(DATOS_[[AGRUP. VALOR. PTO.]:[AGRUP. VALOR. PTO.]]=$B78,IF(DATOS_[[Check Periodo Ref.]:[Check Periodo Ref.]]="Dentro",DATOS_[Conc.Sal.27]))))), 0)</f>
        <v>0</v>
      </c>
      <c r="AG79" s="250" t="n">
        <f aca="false" t="array" ref="AG79:AG79">IFERROR( MEDIAN((IF(DATOS_[[Sexo]:[Sexo]]=$B79,IF(DATOS_[[AGRUP. VALOR. PTO.]:[AGRUP. VALOR. PTO.]]=$B78,IF(DATOS_[[Check Periodo Ref.]:[Check Periodo Ref.]]="Dentro",DATOS_[Conc.Sal.28]))))), 0)</f>
        <v>0</v>
      </c>
      <c r="AH79" s="250" t="n">
        <f aca="false" t="array" ref="AH79:AH79">IFERROR( MEDIAN((IF(DATOS_[[Sexo]:[Sexo]]=$B79,IF(DATOS_[[AGRUP. VALOR. PTO.]:[AGRUP. VALOR. PTO.]]=$B78,IF(DATOS_[[Check Periodo Ref.]:[Check Periodo Ref.]]="Dentro",DATOS_[Conc.Sal.29]))))), 0)</f>
        <v>0</v>
      </c>
      <c r="AI79" s="250" t="n">
        <f aca="false" t="array" ref="AI79:AI79">IFERROR( MEDIAN((IF(DATOS_[[Sexo]:[Sexo]]=$B79,IF(DATOS_[[AGRUP. VALOR. PTO.]:[AGRUP. VALOR. PTO.]]=$B78,IF(DATOS_[[Check Periodo Ref.]:[Check Periodo Ref.]]="Dentro",DATOS_[Conc.Sal.30]))))), 0)</f>
        <v>0</v>
      </c>
      <c r="AJ79" s="251" t="n">
        <f aca="false" t="array" ref="AJ79:AJ79">IFERROR( MEDIAN(IF(DATOS_[Sexo]=$B79,IF(DATOS_[AGRUP. VALOR. PTO.]=$B78,IF(DATOS_[Check Periodo Ref.]="Dentro",DATOS_[Tot COMPL.SAL Ef],0)))), 0)</f>
        <v>0</v>
      </c>
      <c r="AK79" s="252" t="n">
        <f aca="false" t="array" ref="AK79:AK79">IFERROR( MEDIAN(IF(DATOS_[Sexo]=$B79,IF(DATOS_[AGRUP. VALOR. PTO.]=$B78,IF(DATOS_[Check Periodo Ref.]="Dentro",DATOS_[TOTAL SALARIO Ef],0)))), 0)</f>
        <v>0</v>
      </c>
      <c r="AL79" s="259" t="n">
        <f aca="false" t="array" ref="AL79:AL79">IFERROR( MEDIAN((IF(DATOS_[[Sexo]:[Sexo]]=$B79,IF(DATOS_[[AGRUP. VALOR. PTO.]:[AGRUP. VALOR. PTO.]]=$B78,IF(DATOS_[[Check Periodo Ref.]:[Check Periodo Ref.]]="Dentro",DATOS_[C.Extra.01]))))), 0)</f>
        <v>0</v>
      </c>
      <c r="AM79" s="259" t="n">
        <f aca="false" t="array" ref="AM79:AM79">IFERROR( MEDIAN((IF(DATOS_[[Sexo]:[Sexo]]=$B79,IF(DATOS_[[AGRUP. VALOR. PTO.]:[AGRUP. VALOR. PTO.]]=$B78,IF(DATOS_[[Check Periodo Ref.]:[Check Periodo Ref.]]="Dentro",DATOS_[C.Extra.02]))))), 0)</f>
        <v>0</v>
      </c>
      <c r="AN79" s="259" t="n">
        <f aca="false" t="array" ref="AN79:AN79">IFERROR( MEDIAN((IF(DATOS_[[Sexo]:[Sexo]]=$B79,IF(DATOS_[[AGRUP. VALOR. PTO.]:[AGRUP. VALOR. PTO.]]=$B78,IF(DATOS_[[Check Periodo Ref.]:[Check Periodo Ref.]]="Dentro",DATOS_[C.Extra.03]))))), 0)</f>
        <v>0</v>
      </c>
      <c r="AO79" s="259" t="n">
        <f aca="false" t="array" ref="AO79:AO79">IFERROR( MEDIAN((IF(DATOS_[[Sexo]:[Sexo]]=$B79,IF(DATOS_[[AGRUP. VALOR. PTO.]:[AGRUP. VALOR. PTO.]]=$B78,IF(DATOS_[[Check Periodo Ref.]:[Check Periodo Ref.]]="Dentro",DATOS_[C.Extra.04]))))), 0)</f>
        <v>0</v>
      </c>
      <c r="AP79" s="259" t="n">
        <f aca="false" t="array" ref="AP79:AP79">IFERROR( MEDIAN((IF(DATOS_[[Sexo]:[Sexo]]=$B79,IF(DATOS_[[AGRUP. VALOR. PTO.]:[AGRUP. VALOR. PTO.]]=$B78,IF(DATOS_[[Check Periodo Ref.]:[Check Periodo Ref.]]="Dentro",DATOS_[C.Extra.05]))))), 0)</f>
        <v>0</v>
      </c>
      <c r="AQ79" s="254" t="n">
        <f aca="false" t="array" ref="AQ79:AQ79">IFERROR( MEDIAN(IF(DATOS_[Sexo]=$B79,IF(DATOS_[AGRUP. VALOR. PTO.]=$B78,IF(DATOS_[Check Periodo Ref.]="Dentro",DATOS_[Tot Extrasalarial Ef],0)))), 0)</f>
        <v>0</v>
      </c>
      <c r="AR79" s="255" t="n">
        <f aca="false" t="array" ref="AR79:AR79">IFERROR( MEDIAN(IF(DATOS_[Sexo]=$B79,IF(DATOS_[AGRUP. VALOR. PTO.]=$B78,IF(DATOS_[Check Periodo Ref.]="Dentro",DATOS_[TOTAL Retrib Ef],0)))), 0)</f>
        <v>0</v>
      </c>
    </row>
    <row r="80" customFormat="false" ht="14.25" hidden="false" customHeight="false" outlineLevel="0" collapsed="false">
      <c r="A80" s="217" t="str">
        <f aca="false">+A79</f>
        <v>[ocultar]</v>
      </c>
      <c r="B80" s="246" t="s">
        <v>372</v>
      </c>
      <c r="C80" s="247" t="n">
        <f aca="false" t="array" ref="C80:C80">SUM(IF($B80=DATOS_[Sexo], IF($B78=DATOS_[AGRUP. VALOR. PTO.], IF("Dentro"=DATOS_[Check Periodo Ref.], 1/(COUNTIFS(DATOS_[Sexo],$B80,DATOS_[AGRUP. VALOR. PTO.],$B78,DATOS_[Check Periodo Ref.],"Dentro",DATOS_[id],DATOS_[id]))))))</f>
        <v>0</v>
      </c>
      <c r="D80" s="248" t="n">
        <f aca="false">COUNTIFS(DATOS_[AGRUP. VALOR. PTO.],$B78,DATOS_[Sexo],$B80,DATOS_[Check Periodo Ref.],"Dentro")</f>
        <v>0</v>
      </c>
      <c r="E80" s="249" t="n">
        <f aca="false" t="array" ref="E80:E80">IFERROR( MEDIAN(IF(DATOS_[Sexo]=$B80,IF(DATOS_[AGRUP. VALOR. PTO.]=$B78,IF(DATOS_[Check Periodo Ref.]="Dentro",DATOS_[SALARIO BASE Ef],0)))), 0)</f>
        <v>0</v>
      </c>
      <c r="F80" s="250" t="n">
        <f aca="false" t="array" ref="F80:F80">IFERROR( MEDIAN((IF(DATOS_[[Sexo]:[Sexo]]=$B80,IF(DATOS_[[AGRUP. VALOR. PTO.]:[AGRUP. VALOR. PTO.]]=$B78,IF(DATOS_[[Check Periodo Ref.]:[Check Periodo Ref.]]="Dentro",DATOS_[Conc.Sal.01]))))), 0)</f>
        <v>0</v>
      </c>
      <c r="G80" s="250" t="n">
        <f aca="false" t="array" ref="G80:G80">IFERROR( MEDIAN((IF(DATOS_[[Sexo]:[Sexo]]=$B80,IF(DATOS_[[AGRUP. VALOR. PTO.]:[AGRUP. VALOR. PTO.]]=$B78,IF(DATOS_[[Check Periodo Ref.]:[Check Periodo Ref.]]="Dentro",DATOS_[Conc.Sal.02]))))), 0)</f>
        <v>0</v>
      </c>
      <c r="H80" s="250" t="n">
        <f aca="false" t="array" ref="H80:H80">IFERROR( MEDIAN((IF(DATOS_[[Sexo]:[Sexo]]=$B80,IF(DATOS_[[AGRUP. VALOR. PTO.]:[AGRUP. VALOR. PTO.]]=$B78,IF(DATOS_[[Check Periodo Ref.]:[Check Periodo Ref.]]="Dentro",DATOS_[Conc.Sal.03]))))), 0)</f>
        <v>0</v>
      </c>
      <c r="I80" s="250" t="n">
        <f aca="false" t="array" ref="I80:I80">IFERROR( MEDIAN((IF(DATOS_[[Sexo]:[Sexo]]=$B80,IF(DATOS_[[AGRUP. VALOR. PTO.]:[AGRUP. VALOR. PTO.]]=$B78,IF(DATOS_[[Check Periodo Ref.]:[Check Periodo Ref.]]="Dentro",DATOS_[Conc.Sal.04]))))), 0)</f>
        <v>0</v>
      </c>
      <c r="J80" s="250" t="n">
        <f aca="false" t="array" ref="J80:J80">IFERROR( MEDIAN((IF(DATOS_[[Sexo]:[Sexo]]=$B80,IF(DATOS_[[AGRUP. VALOR. PTO.]:[AGRUP. VALOR. PTO.]]=$B78,IF(DATOS_[[Check Periodo Ref.]:[Check Periodo Ref.]]="Dentro",DATOS_[Conc.Sal.05]))))), 0)</f>
        <v>0</v>
      </c>
      <c r="K80" s="250" t="n">
        <f aca="false" t="array" ref="K80:K80">IFERROR( MEDIAN((IF(DATOS_[[Sexo]:[Sexo]]=$B80,IF(DATOS_[[AGRUP. VALOR. PTO.]:[AGRUP. VALOR. PTO.]]=$B78,IF(DATOS_[[Check Periodo Ref.]:[Check Periodo Ref.]]="Dentro",DATOS_[Conc.Sal.06]))))), 0)</f>
        <v>0</v>
      </c>
      <c r="L80" s="250" t="n">
        <f aca="false" t="array" ref="L80:L80">IFERROR( MEDIAN((IF(DATOS_[[Sexo]:[Sexo]]=$B80,IF(DATOS_[[AGRUP. VALOR. PTO.]:[AGRUP. VALOR. PTO.]]=$B78,IF(DATOS_[[Check Periodo Ref.]:[Check Periodo Ref.]]="Dentro",DATOS_[Conc.Sal.07]))))), 0)</f>
        <v>0</v>
      </c>
      <c r="M80" s="250" t="n">
        <f aca="false" t="array" ref="M80:M80">IFERROR( MEDIAN((IF(DATOS_[[Sexo]:[Sexo]]=$B80,IF(DATOS_[[AGRUP. VALOR. PTO.]:[AGRUP. VALOR. PTO.]]=$B78,IF(DATOS_[[Check Periodo Ref.]:[Check Periodo Ref.]]="Dentro",DATOS_[Conc.Sal.08]))))), 0)</f>
        <v>0</v>
      </c>
      <c r="N80" s="250" t="n">
        <f aca="false" t="array" ref="N80:N80">IFERROR( MEDIAN((IF(DATOS_[[Sexo]:[Sexo]]=$B80,IF(DATOS_[[AGRUP. VALOR. PTO.]:[AGRUP. VALOR. PTO.]]=$B78,IF(DATOS_[[Check Periodo Ref.]:[Check Periodo Ref.]]="Dentro",DATOS_[Conc.Sal.09]))))), 0)</f>
        <v>0</v>
      </c>
      <c r="O80" s="250" t="n">
        <f aca="false" t="array" ref="O80:O80">IFERROR( MEDIAN((IF(DATOS_[[Sexo]:[Sexo]]=$B80,IF(DATOS_[[AGRUP. VALOR. PTO.]:[AGRUP. VALOR. PTO.]]=$B78,IF(DATOS_[[Check Periodo Ref.]:[Check Periodo Ref.]]="Dentro",DATOS_[Conc.Sal.10]))))), 0)</f>
        <v>0</v>
      </c>
      <c r="P80" s="250" t="n">
        <f aca="false" t="array" ref="P80:P80">IFERROR( MEDIAN((IF(DATOS_[[Sexo]:[Sexo]]=$B80,IF(DATOS_[[AGRUP. VALOR. PTO.]:[AGRUP. VALOR. PTO.]]=$B78,IF(DATOS_[[Check Periodo Ref.]:[Check Periodo Ref.]]="Dentro",DATOS_[Conc.Sal.11]))))), 0)</f>
        <v>0</v>
      </c>
      <c r="Q80" s="250" t="n">
        <f aca="false" t="array" ref="Q80:Q80">IFERROR( MEDIAN((IF(DATOS_[[Sexo]:[Sexo]]=$B80,IF(DATOS_[[AGRUP. VALOR. PTO.]:[AGRUP. VALOR. PTO.]]=$B78,IF(DATOS_[[Check Periodo Ref.]:[Check Periodo Ref.]]="Dentro",DATOS_[Conc.Sal.12]))))), 0)</f>
        <v>0</v>
      </c>
      <c r="R80" s="250" t="n">
        <f aca="false" t="array" ref="R80:R80">IFERROR( MEDIAN((IF(DATOS_[[Sexo]:[Sexo]]=$B80,IF(DATOS_[[AGRUP. VALOR. PTO.]:[AGRUP. VALOR. PTO.]]=$B78,IF(DATOS_[[Check Periodo Ref.]:[Check Periodo Ref.]]="Dentro",DATOS_[Conc.Sal.13]))))), 0)</f>
        <v>0</v>
      </c>
      <c r="S80" s="250" t="n">
        <f aca="false" t="array" ref="S80:S80">IFERROR( MEDIAN((IF(DATOS_[[Sexo]:[Sexo]]=$B80,IF(DATOS_[[AGRUP. VALOR. PTO.]:[AGRUP. VALOR. PTO.]]=$B78,IF(DATOS_[[Check Periodo Ref.]:[Check Periodo Ref.]]="Dentro",DATOS_[Conc.Sal.14]))))), 0)</f>
        <v>0</v>
      </c>
      <c r="T80" s="250" t="n">
        <f aca="false" t="array" ref="T80:T80">IFERROR( MEDIAN((IF(DATOS_[[Sexo]:[Sexo]]=$B80,IF(DATOS_[[AGRUP. VALOR. PTO.]:[AGRUP. VALOR. PTO.]]=$B78,IF(DATOS_[[Check Periodo Ref.]:[Check Periodo Ref.]]="Dentro",DATOS_[Conc.Sal.15]))))), 0)</f>
        <v>0</v>
      </c>
      <c r="U80" s="250" t="n">
        <f aca="false" t="array" ref="U80:U80">IFERROR( MEDIAN((IF(DATOS_[[Sexo]:[Sexo]]=$B80,IF(DATOS_[[AGRUP. VALOR. PTO.]:[AGRUP. VALOR. PTO.]]=$B78,IF(DATOS_[[Check Periodo Ref.]:[Check Periodo Ref.]]="Dentro",DATOS_[Conc.Sal.16]))))), 0)</f>
        <v>0</v>
      </c>
      <c r="V80" s="250" t="n">
        <f aca="false" t="array" ref="V80:V80">IFERROR( MEDIAN((IF(DATOS_[[Sexo]:[Sexo]]=$B80,IF(DATOS_[[AGRUP. VALOR. PTO.]:[AGRUP. VALOR. PTO.]]=$B78,IF(DATOS_[[Check Periodo Ref.]:[Check Periodo Ref.]]="Dentro",DATOS_[Conc.Sal.17]))))), 0)</f>
        <v>0</v>
      </c>
      <c r="W80" s="250" t="n">
        <f aca="false" t="array" ref="W80:W80">IFERROR( MEDIAN((IF(DATOS_[[Sexo]:[Sexo]]=$B80,IF(DATOS_[[AGRUP. VALOR. PTO.]:[AGRUP. VALOR. PTO.]]=$B78,IF(DATOS_[[Check Periodo Ref.]:[Check Periodo Ref.]]="Dentro",DATOS_[Conc.Sal.18]))))), 0)</f>
        <v>0</v>
      </c>
      <c r="X80" s="250" t="n">
        <f aca="false" t="array" ref="X80:X80">IFERROR( MEDIAN((IF(DATOS_[[Sexo]:[Sexo]]=$B80,IF(DATOS_[[AGRUP. VALOR. PTO.]:[AGRUP. VALOR. PTO.]]=$B78,IF(DATOS_[[Check Periodo Ref.]:[Check Periodo Ref.]]="Dentro",DATOS_[Conc.Sal.19]))))), 0)</f>
        <v>0</v>
      </c>
      <c r="Y80" s="250" t="n">
        <f aca="false" t="array" ref="Y80:Y80">IFERROR( MEDIAN((IF(DATOS_[[Sexo]:[Sexo]]=$B80,IF(DATOS_[[AGRUP. VALOR. PTO.]:[AGRUP. VALOR. PTO.]]=$B78,IF(DATOS_[[Check Periodo Ref.]:[Check Periodo Ref.]]="Dentro",DATOS_[Conc.Sal.20]))))), 0)</f>
        <v>0</v>
      </c>
      <c r="Z80" s="250" t="n">
        <f aca="false" t="array" ref="Z80:Z80">IFERROR( MEDIAN((IF(DATOS_[[Sexo]:[Sexo]]=$B80,IF(DATOS_[[AGRUP. VALOR. PTO.]:[AGRUP. VALOR. PTO.]]=$B78,IF(DATOS_[[Check Periodo Ref.]:[Check Periodo Ref.]]="Dentro",DATOS_[Conc.Sal.21]))))), 0)</f>
        <v>0</v>
      </c>
      <c r="AA80" s="250" t="n">
        <f aca="false" t="array" ref="AA80:AA80">IFERROR( MEDIAN((IF(DATOS_[[Sexo]:[Sexo]]=$B80,IF(DATOS_[[AGRUP. VALOR. PTO.]:[AGRUP. VALOR. PTO.]]=$B78,IF(DATOS_[[Check Periodo Ref.]:[Check Periodo Ref.]]="Dentro",DATOS_[Conc.Sal.22]))))), 0)</f>
        <v>0</v>
      </c>
      <c r="AB80" s="250" t="n">
        <f aca="false" t="array" ref="AB80:AB80">IFERROR( MEDIAN((IF(DATOS_[[Sexo]:[Sexo]]=$B80,IF(DATOS_[[AGRUP. VALOR. PTO.]:[AGRUP. VALOR. PTO.]]=$B78,IF(DATOS_[[Check Periodo Ref.]:[Check Periodo Ref.]]="Dentro",DATOS_[Conc.Sal.23]))))), 0)</f>
        <v>0</v>
      </c>
      <c r="AC80" s="250" t="n">
        <f aca="false" t="array" ref="AC80:AC80">IFERROR( MEDIAN((IF(DATOS_[[Sexo]:[Sexo]]=$B80,IF(DATOS_[[AGRUP. VALOR. PTO.]:[AGRUP. VALOR. PTO.]]=$B78,IF(DATOS_[[Check Periodo Ref.]:[Check Periodo Ref.]]="Dentro",DATOS_[Conc.Sal.24]))))), 0)</f>
        <v>0</v>
      </c>
      <c r="AD80" s="250" t="n">
        <f aca="false" t="array" ref="AD80:AD80">IFERROR( MEDIAN((IF(DATOS_[[Sexo]:[Sexo]]=$B80,IF(DATOS_[[AGRUP. VALOR. PTO.]:[AGRUP. VALOR. PTO.]]=$B78,IF(DATOS_[[Check Periodo Ref.]:[Check Periodo Ref.]]="Dentro",DATOS_[Conc.Sal.25]))))), 0)</f>
        <v>0</v>
      </c>
      <c r="AE80" s="250" t="n">
        <f aca="false" t="array" ref="AE80:AE80">IFERROR( MEDIAN((IF(DATOS_[[Sexo]:[Sexo]]=$B80,IF(DATOS_[[AGRUP. VALOR. PTO.]:[AGRUP. VALOR. PTO.]]=$B78,IF(DATOS_[[Check Periodo Ref.]:[Check Periodo Ref.]]="Dentro",DATOS_[Conc.Sal.26]))))), 0)</f>
        <v>0</v>
      </c>
      <c r="AF80" s="250" t="n">
        <f aca="false" t="array" ref="AF80:AF80">IFERROR( MEDIAN((IF(DATOS_[[Sexo]:[Sexo]]=$B80,IF(DATOS_[[AGRUP. VALOR. PTO.]:[AGRUP. VALOR. PTO.]]=$B78,IF(DATOS_[[Check Periodo Ref.]:[Check Periodo Ref.]]="Dentro",DATOS_[Conc.Sal.27]))))), 0)</f>
        <v>0</v>
      </c>
      <c r="AG80" s="250" t="n">
        <f aca="false" t="array" ref="AG80:AG80">IFERROR( MEDIAN((IF(DATOS_[[Sexo]:[Sexo]]=$B80,IF(DATOS_[[AGRUP. VALOR. PTO.]:[AGRUP. VALOR. PTO.]]=$B78,IF(DATOS_[[Check Periodo Ref.]:[Check Periodo Ref.]]="Dentro",DATOS_[Conc.Sal.28]))))), 0)</f>
        <v>0</v>
      </c>
      <c r="AH80" s="250" t="n">
        <f aca="false" t="array" ref="AH80:AH80">IFERROR( MEDIAN((IF(DATOS_[[Sexo]:[Sexo]]=$B80,IF(DATOS_[[AGRUP. VALOR. PTO.]:[AGRUP. VALOR. PTO.]]=$B78,IF(DATOS_[[Check Periodo Ref.]:[Check Periodo Ref.]]="Dentro",DATOS_[Conc.Sal.29]))))), 0)</f>
        <v>0</v>
      </c>
      <c r="AI80" s="250" t="n">
        <f aca="false" t="array" ref="AI80:AI80">IFERROR( MEDIAN((IF(DATOS_[[Sexo]:[Sexo]]=$B80,IF(DATOS_[[AGRUP. VALOR. PTO.]:[AGRUP. VALOR. PTO.]]=$B78,IF(DATOS_[[Check Periodo Ref.]:[Check Periodo Ref.]]="Dentro",DATOS_[Conc.Sal.30]))))), 0)</f>
        <v>0</v>
      </c>
      <c r="AJ80" s="251" t="n">
        <f aca="false" t="array" ref="AJ80:AJ80">IFERROR( MEDIAN(IF(DATOS_[Sexo]=$B80,IF(DATOS_[AGRUP. VALOR. PTO.]=$B78,IF(DATOS_[Check Periodo Ref.]="Dentro",DATOS_[Tot COMPL.SAL Ef],0)))), 0)</f>
        <v>0</v>
      </c>
      <c r="AK80" s="252" t="n">
        <f aca="false" t="array" ref="AK80:AK80">IFERROR( MEDIAN(IF(DATOS_[Sexo]=$B80,IF(DATOS_[AGRUP. VALOR. PTO.]=$B78,IF(DATOS_[Check Periodo Ref.]="Dentro",DATOS_[TOTAL SALARIO Ef],0)))), 0)</f>
        <v>0</v>
      </c>
      <c r="AL80" s="259" t="n">
        <f aca="false" t="array" ref="AL80:AL80">IFERROR( MEDIAN((IF(DATOS_[[Sexo]:[Sexo]]=$B80,IF(DATOS_[[AGRUP. VALOR. PTO.]:[AGRUP. VALOR. PTO.]]=$B78,IF(DATOS_[[Check Periodo Ref.]:[Check Periodo Ref.]]="Dentro",DATOS_[C.Extra.01]))))), 0)</f>
        <v>0</v>
      </c>
      <c r="AM80" s="259" t="n">
        <f aca="false" t="array" ref="AM80:AM80">IFERROR( MEDIAN((IF(DATOS_[[Sexo]:[Sexo]]=$B80,IF(DATOS_[[AGRUP. VALOR. PTO.]:[AGRUP. VALOR. PTO.]]=$B78,IF(DATOS_[[Check Periodo Ref.]:[Check Periodo Ref.]]="Dentro",DATOS_[C.Extra.02]))))), 0)</f>
        <v>0</v>
      </c>
      <c r="AN80" s="259" t="n">
        <f aca="false" t="array" ref="AN80:AN80">IFERROR( MEDIAN((IF(DATOS_[[Sexo]:[Sexo]]=$B80,IF(DATOS_[[AGRUP. VALOR. PTO.]:[AGRUP. VALOR. PTO.]]=$B78,IF(DATOS_[[Check Periodo Ref.]:[Check Periodo Ref.]]="Dentro",DATOS_[C.Extra.03]))))), 0)</f>
        <v>0</v>
      </c>
      <c r="AO80" s="259" t="n">
        <f aca="false" t="array" ref="AO80:AO80">IFERROR( MEDIAN((IF(DATOS_[[Sexo]:[Sexo]]=$B80,IF(DATOS_[[AGRUP. VALOR. PTO.]:[AGRUP. VALOR. PTO.]]=$B78,IF(DATOS_[[Check Periodo Ref.]:[Check Periodo Ref.]]="Dentro",DATOS_[C.Extra.04]))))), 0)</f>
        <v>0</v>
      </c>
      <c r="AP80" s="259" t="n">
        <f aca="false" t="array" ref="AP80:AP80">IFERROR( MEDIAN((IF(DATOS_[[Sexo]:[Sexo]]=$B80,IF(DATOS_[[AGRUP. VALOR. PTO.]:[AGRUP. VALOR. PTO.]]=$B78,IF(DATOS_[[Check Periodo Ref.]:[Check Periodo Ref.]]="Dentro",DATOS_[C.Extra.05]))))), 0)</f>
        <v>0</v>
      </c>
      <c r="AQ80" s="254" t="n">
        <f aca="false" t="array" ref="AQ80:AQ80">IFERROR( MEDIAN(IF(DATOS_[Sexo]=$B80,IF(DATOS_[AGRUP. VALOR. PTO.]=$B78,IF(DATOS_[Check Periodo Ref.]="Dentro",DATOS_[Tot Extrasalarial Ef],0)))), 0)</f>
        <v>0</v>
      </c>
      <c r="AR80" s="255" t="n">
        <f aca="false" t="array" ref="AR80:AR80">IFERROR( MEDIAN(IF(DATOS_[Sexo]=$B80,IF(DATOS_[AGRUP. VALOR. PTO.]=$B78,IF(DATOS_[Check Periodo Ref.]="Dentro",DATOS_[TOTAL Retrib Ef],0)))), 0)</f>
        <v>0</v>
      </c>
    </row>
    <row r="81" customFormat="false" ht="15.75" hidden="false" customHeight="false" outlineLevel="0" collapsed="false">
      <c r="A81" s="217" t="str">
        <f aca="false">+A82</f>
        <v>[ocultar]</v>
      </c>
      <c r="B81" s="235" t="s">
        <v>235</v>
      </c>
      <c r="C81" s="236"/>
      <c r="D81" s="237"/>
      <c r="E81" s="238" t="str">
        <f aca="false">IFERROR((E82-E83)/E82,"")</f>
        <v/>
      </c>
      <c r="F81" s="239" t="str">
        <f aca="false">IFERROR((F82-F83)/F82,"")</f>
        <v/>
      </c>
      <c r="G81" s="239" t="str">
        <f aca="false">IFERROR((G82-G83)/G82,"")</f>
        <v/>
      </c>
      <c r="H81" s="239" t="str">
        <f aca="false">IFERROR((H82-H83)/H82,"")</f>
        <v/>
      </c>
      <c r="I81" s="239"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40" t="str">
        <f aca="false">IFERROR((V82-V83)/V82,"")</f>
        <v/>
      </c>
      <c r="W81" s="240" t="str">
        <f aca="false">IFERROR((W82-W83)/W82,"")</f>
        <v/>
      </c>
      <c r="X81" s="240" t="str">
        <f aca="false">IFERROR((X82-X83)/X82,"")</f>
        <v/>
      </c>
      <c r="Y81" s="240"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1" t="str">
        <f aca="false">IFERROR((AJ82-AJ83)/AJ82,"")</f>
        <v/>
      </c>
      <c r="AK81" s="242" t="str">
        <f aca="false">IFERROR((AK82-AK83)/AK82,"")</f>
        <v/>
      </c>
      <c r="AL81" s="243" t="str">
        <f aca="false">IFERROR((AL82-AL83)/AL82,"")</f>
        <v/>
      </c>
      <c r="AM81" s="243" t="str">
        <f aca="false">IFERROR((AM82-AM83)/AM82,"")</f>
        <v/>
      </c>
      <c r="AN81" s="243" t="str">
        <f aca="false">IFERROR((AN82-AN83)/AN82,"")</f>
        <v/>
      </c>
      <c r="AO81" s="243" t="str">
        <f aca="false">IFERROR((AO82-AO83)/AO82,"")</f>
        <v/>
      </c>
      <c r="AP81" s="243" t="str">
        <f aca="false">IFERROR((AP82-AP83)/AP82,"")</f>
        <v/>
      </c>
      <c r="AQ81" s="244" t="str">
        <f aca="false">IFERROR((AQ82-AQ83)/AQ82,"")</f>
        <v/>
      </c>
      <c r="AR81" s="245" t="str">
        <f aca="false">IFERROR((AR82-AR83)/AR82,"")</f>
        <v/>
      </c>
    </row>
    <row r="82" customFormat="false" ht="14.25" hidden="false" customHeight="false" outlineLevel="0" collapsed="false">
      <c r="A82" s="217" t="str">
        <f aca="false">+IF(C82+C83=0,"[ocultar]","")</f>
        <v>[ocultar]</v>
      </c>
      <c r="B82" s="246" t="s">
        <v>371</v>
      </c>
      <c r="C82" s="247" t="n">
        <f aca="false" t="array" ref="C82:C82">SUM(IF($B82=DATOS_[Sexo], IF($B81=DATOS_[AGRUP. VALOR. PTO.], IF("Dentro"=DATOS_[Check Periodo Ref.], 1/(COUNTIFS(DATOS_[Sexo],$B82,DATOS_[AGRUP. VALOR. PTO.],$B81,DATOS_[Check Periodo Ref.],"Dentro",DATOS_[id],DATOS_[id]))))))</f>
        <v>0</v>
      </c>
      <c r="D82" s="248" t="n">
        <f aca="false">COUNTIFS(DATOS_[AGRUP. VALOR. PTO.],$B81,DATOS_[Sexo],$B82,DATOS_[Check Periodo Ref.],"Dentro")</f>
        <v>0</v>
      </c>
      <c r="E82" s="249" t="n">
        <f aca="false" t="array" ref="E82:E82">IFERROR( MEDIAN(IF(DATOS_[Sexo]=$B82,IF(DATOS_[AGRUP. VALOR. PTO.]=$B81,IF(DATOS_[Check Periodo Ref.]="Dentro",DATOS_[SALARIO BASE Ef],0)))), 0)</f>
        <v>0</v>
      </c>
      <c r="F82" s="250" t="n">
        <f aca="false" t="array" ref="F82:F82">IFERROR( MEDIAN((IF(DATOS_[[Sexo]:[Sexo]]=$B82,IF(DATOS_[[AGRUP. VALOR. PTO.]:[AGRUP. VALOR. PTO.]]=$B81,IF(DATOS_[[Check Periodo Ref.]:[Check Periodo Ref.]]="Dentro",DATOS_[Conc.Sal.01]))))), 0)</f>
        <v>0</v>
      </c>
      <c r="G82" s="250" t="n">
        <f aca="false" t="array" ref="G82:G82">IFERROR( MEDIAN((IF(DATOS_[[Sexo]:[Sexo]]=$B82,IF(DATOS_[[AGRUP. VALOR. PTO.]:[AGRUP. VALOR. PTO.]]=$B81,IF(DATOS_[[Check Periodo Ref.]:[Check Periodo Ref.]]="Dentro",DATOS_[Conc.Sal.02]))))), 0)</f>
        <v>0</v>
      </c>
      <c r="H82" s="250" t="n">
        <f aca="false" t="array" ref="H82:H82">IFERROR( MEDIAN((IF(DATOS_[[Sexo]:[Sexo]]=$B82,IF(DATOS_[[AGRUP. VALOR. PTO.]:[AGRUP. VALOR. PTO.]]=$B81,IF(DATOS_[[Check Periodo Ref.]:[Check Periodo Ref.]]="Dentro",DATOS_[Conc.Sal.03]))))), 0)</f>
        <v>0</v>
      </c>
      <c r="I82" s="250" t="n">
        <f aca="false" t="array" ref="I82:I82">IFERROR( MEDIAN((IF(DATOS_[[Sexo]:[Sexo]]=$B82,IF(DATOS_[[AGRUP. VALOR. PTO.]:[AGRUP. VALOR. PTO.]]=$B81,IF(DATOS_[[Check Periodo Ref.]:[Check Periodo Ref.]]="Dentro",DATOS_[Conc.Sal.04]))))), 0)</f>
        <v>0</v>
      </c>
      <c r="J82" s="250" t="n">
        <f aca="false" t="array" ref="J82:J82">IFERROR( MEDIAN((IF(DATOS_[[Sexo]:[Sexo]]=$B82,IF(DATOS_[[AGRUP. VALOR. PTO.]:[AGRUP. VALOR. PTO.]]=$B81,IF(DATOS_[[Check Periodo Ref.]:[Check Periodo Ref.]]="Dentro",DATOS_[Conc.Sal.05]))))), 0)</f>
        <v>0</v>
      </c>
      <c r="K82" s="250" t="n">
        <f aca="false" t="array" ref="K82:K82">IFERROR( MEDIAN((IF(DATOS_[[Sexo]:[Sexo]]=$B82,IF(DATOS_[[AGRUP. VALOR. PTO.]:[AGRUP. VALOR. PTO.]]=$B81,IF(DATOS_[[Check Periodo Ref.]:[Check Periodo Ref.]]="Dentro",DATOS_[Conc.Sal.06]))))), 0)</f>
        <v>0</v>
      </c>
      <c r="L82" s="250" t="n">
        <f aca="false" t="array" ref="L82:L82">IFERROR( MEDIAN((IF(DATOS_[[Sexo]:[Sexo]]=$B82,IF(DATOS_[[AGRUP. VALOR. PTO.]:[AGRUP. VALOR. PTO.]]=$B81,IF(DATOS_[[Check Periodo Ref.]:[Check Periodo Ref.]]="Dentro",DATOS_[Conc.Sal.07]))))), 0)</f>
        <v>0</v>
      </c>
      <c r="M82" s="250" t="n">
        <f aca="false" t="array" ref="M82:M82">IFERROR( MEDIAN((IF(DATOS_[[Sexo]:[Sexo]]=$B82,IF(DATOS_[[AGRUP. VALOR. PTO.]:[AGRUP. VALOR. PTO.]]=$B81,IF(DATOS_[[Check Periodo Ref.]:[Check Periodo Ref.]]="Dentro",DATOS_[Conc.Sal.08]))))), 0)</f>
        <v>0</v>
      </c>
      <c r="N82" s="250" t="n">
        <f aca="false" t="array" ref="N82:N82">IFERROR( MEDIAN((IF(DATOS_[[Sexo]:[Sexo]]=$B82,IF(DATOS_[[AGRUP. VALOR. PTO.]:[AGRUP. VALOR. PTO.]]=$B81,IF(DATOS_[[Check Periodo Ref.]:[Check Periodo Ref.]]="Dentro",DATOS_[Conc.Sal.09]))))), 0)</f>
        <v>0</v>
      </c>
      <c r="O82" s="250" t="n">
        <f aca="false" t="array" ref="O82:O82">IFERROR( MEDIAN((IF(DATOS_[[Sexo]:[Sexo]]=$B82,IF(DATOS_[[AGRUP. VALOR. PTO.]:[AGRUP. VALOR. PTO.]]=$B81,IF(DATOS_[[Check Periodo Ref.]:[Check Periodo Ref.]]="Dentro",DATOS_[Conc.Sal.10]))))), 0)</f>
        <v>0</v>
      </c>
      <c r="P82" s="250" t="n">
        <f aca="false" t="array" ref="P82:P82">IFERROR( MEDIAN((IF(DATOS_[[Sexo]:[Sexo]]=$B82,IF(DATOS_[[AGRUP. VALOR. PTO.]:[AGRUP. VALOR. PTO.]]=$B81,IF(DATOS_[[Check Periodo Ref.]:[Check Periodo Ref.]]="Dentro",DATOS_[Conc.Sal.11]))))), 0)</f>
        <v>0</v>
      </c>
      <c r="Q82" s="250" t="n">
        <f aca="false" t="array" ref="Q82:Q82">IFERROR( MEDIAN((IF(DATOS_[[Sexo]:[Sexo]]=$B82,IF(DATOS_[[AGRUP. VALOR. PTO.]:[AGRUP. VALOR. PTO.]]=$B81,IF(DATOS_[[Check Periodo Ref.]:[Check Periodo Ref.]]="Dentro",DATOS_[Conc.Sal.12]))))), 0)</f>
        <v>0</v>
      </c>
      <c r="R82" s="250" t="n">
        <f aca="false" t="array" ref="R82:R82">IFERROR( MEDIAN((IF(DATOS_[[Sexo]:[Sexo]]=$B82,IF(DATOS_[[AGRUP. VALOR. PTO.]:[AGRUP. VALOR. PTO.]]=$B81,IF(DATOS_[[Check Periodo Ref.]:[Check Periodo Ref.]]="Dentro",DATOS_[Conc.Sal.13]))))), 0)</f>
        <v>0</v>
      </c>
      <c r="S82" s="250" t="n">
        <f aca="false" t="array" ref="S82:S82">IFERROR( MEDIAN((IF(DATOS_[[Sexo]:[Sexo]]=$B82,IF(DATOS_[[AGRUP. VALOR. PTO.]:[AGRUP. VALOR. PTO.]]=$B81,IF(DATOS_[[Check Periodo Ref.]:[Check Periodo Ref.]]="Dentro",DATOS_[Conc.Sal.14]))))), 0)</f>
        <v>0</v>
      </c>
      <c r="T82" s="250" t="n">
        <f aca="false" t="array" ref="T82:T82">IFERROR( MEDIAN((IF(DATOS_[[Sexo]:[Sexo]]=$B82,IF(DATOS_[[AGRUP. VALOR. PTO.]:[AGRUP. VALOR. PTO.]]=$B81,IF(DATOS_[[Check Periodo Ref.]:[Check Periodo Ref.]]="Dentro",DATOS_[Conc.Sal.15]))))), 0)</f>
        <v>0</v>
      </c>
      <c r="U82" s="250" t="n">
        <f aca="false" t="array" ref="U82:U82">IFERROR( MEDIAN((IF(DATOS_[[Sexo]:[Sexo]]=$B82,IF(DATOS_[[AGRUP. VALOR. PTO.]:[AGRUP. VALOR. PTO.]]=$B81,IF(DATOS_[[Check Periodo Ref.]:[Check Periodo Ref.]]="Dentro",DATOS_[Conc.Sal.16]))))), 0)</f>
        <v>0</v>
      </c>
      <c r="V82" s="250" t="n">
        <f aca="false" t="array" ref="V82:V82">IFERROR( MEDIAN((IF(DATOS_[[Sexo]:[Sexo]]=$B82,IF(DATOS_[[AGRUP. VALOR. PTO.]:[AGRUP. VALOR. PTO.]]=$B81,IF(DATOS_[[Check Periodo Ref.]:[Check Periodo Ref.]]="Dentro",DATOS_[Conc.Sal.17]))))), 0)</f>
        <v>0</v>
      </c>
      <c r="W82" s="250" t="n">
        <f aca="false" t="array" ref="W82:W82">IFERROR( MEDIAN((IF(DATOS_[[Sexo]:[Sexo]]=$B82,IF(DATOS_[[AGRUP. VALOR. PTO.]:[AGRUP. VALOR. PTO.]]=$B81,IF(DATOS_[[Check Periodo Ref.]:[Check Periodo Ref.]]="Dentro",DATOS_[Conc.Sal.18]))))), 0)</f>
        <v>0</v>
      </c>
      <c r="X82" s="250" t="n">
        <f aca="false" t="array" ref="X82:X82">IFERROR( MEDIAN((IF(DATOS_[[Sexo]:[Sexo]]=$B82,IF(DATOS_[[AGRUP. VALOR. PTO.]:[AGRUP. VALOR. PTO.]]=$B81,IF(DATOS_[[Check Periodo Ref.]:[Check Periodo Ref.]]="Dentro",DATOS_[Conc.Sal.19]))))), 0)</f>
        <v>0</v>
      </c>
      <c r="Y82" s="250" t="n">
        <f aca="false" t="array" ref="Y82:Y82">IFERROR( MEDIAN((IF(DATOS_[[Sexo]:[Sexo]]=$B82,IF(DATOS_[[AGRUP. VALOR. PTO.]:[AGRUP. VALOR. PTO.]]=$B81,IF(DATOS_[[Check Periodo Ref.]:[Check Periodo Ref.]]="Dentro",DATOS_[Conc.Sal.20]))))), 0)</f>
        <v>0</v>
      </c>
      <c r="Z82" s="250" t="n">
        <f aca="false" t="array" ref="Z82:Z82">IFERROR( MEDIAN((IF(DATOS_[[Sexo]:[Sexo]]=$B82,IF(DATOS_[[AGRUP. VALOR. PTO.]:[AGRUP. VALOR. PTO.]]=$B81,IF(DATOS_[[Check Periodo Ref.]:[Check Periodo Ref.]]="Dentro",DATOS_[Conc.Sal.21]))))), 0)</f>
        <v>0</v>
      </c>
      <c r="AA82" s="250" t="n">
        <f aca="false" t="array" ref="AA82:AA82">IFERROR( MEDIAN((IF(DATOS_[[Sexo]:[Sexo]]=$B82,IF(DATOS_[[AGRUP. VALOR. PTO.]:[AGRUP. VALOR. PTO.]]=$B81,IF(DATOS_[[Check Periodo Ref.]:[Check Periodo Ref.]]="Dentro",DATOS_[Conc.Sal.22]))))), 0)</f>
        <v>0</v>
      </c>
      <c r="AB82" s="250" t="n">
        <f aca="false" t="array" ref="AB82:AB82">IFERROR( MEDIAN((IF(DATOS_[[Sexo]:[Sexo]]=$B82,IF(DATOS_[[AGRUP. VALOR. PTO.]:[AGRUP. VALOR. PTO.]]=$B81,IF(DATOS_[[Check Periodo Ref.]:[Check Periodo Ref.]]="Dentro",DATOS_[Conc.Sal.23]))))), 0)</f>
        <v>0</v>
      </c>
      <c r="AC82" s="250" t="n">
        <f aca="false" t="array" ref="AC82:AC82">IFERROR( MEDIAN((IF(DATOS_[[Sexo]:[Sexo]]=$B82,IF(DATOS_[[AGRUP. VALOR. PTO.]:[AGRUP. VALOR. PTO.]]=$B81,IF(DATOS_[[Check Periodo Ref.]:[Check Periodo Ref.]]="Dentro",DATOS_[Conc.Sal.24]))))), 0)</f>
        <v>0</v>
      </c>
      <c r="AD82" s="250" t="n">
        <f aca="false" t="array" ref="AD82:AD82">IFERROR( MEDIAN((IF(DATOS_[[Sexo]:[Sexo]]=$B82,IF(DATOS_[[AGRUP. VALOR. PTO.]:[AGRUP. VALOR. PTO.]]=$B81,IF(DATOS_[[Check Periodo Ref.]:[Check Periodo Ref.]]="Dentro",DATOS_[Conc.Sal.25]))))), 0)</f>
        <v>0</v>
      </c>
      <c r="AE82" s="250" t="n">
        <f aca="false" t="array" ref="AE82:AE82">IFERROR( MEDIAN((IF(DATOS_[[Sexo]:[Sexo]]=$B82,IF(DATOS_[[AGRUP. VALOR. PTO.]:[AGRUP. VALOR. PTO.]]=$B81,IF(DATOS_[[Check Periodo Ref.]:[Check Periodo Ref.]]="Dentro",DATOS_[Conc.Sal.26]))))), 0)</f>
        <v>0</v>
      </c>
      <c r="AF82" s="250" t="n">
        <f aca="false" t="array" ref="AF82:AF82">IFERROR( MEDIAN((IF(DATOS_[[Sexo]:[Sexo]]=$B82,IF(DATOS_[[AGRUP. VALOR. PTO.]:[AGRUP. VALOR. PTO.]]=$B81,IF(DATOS_[[Check Periodo Ref.]:[Check Periodo Ref.]]="Dentro",DATOS_[Conc.Sal.27]))))), 0)</f>
        <v>0</v>
      </c>
      <c r="AG82" s="250" t="n">
        <f aca="false" t="array" ref="AG82:AG82">IFERROR( MEDIAN((IF(DATOS_[[Sexo]:[Sexo]]=$B82,IF(DATOS_[[AGRUP. VALOR. PTO.]:[AGRUP. VALOR. PTO.]]=$B81,IF(DATOS_[[Check Periodo Ref.]:[Check Periodo Ref.]]="Dentro",DATOS_[Conc.Sal.28]))))), 0)</f>
        <v>0</v>
      </c>
      <c r="AH82" s="250" t="n">
        <f aca="false" t="array" ref="AH82:AH82">IFERROR( MEDIAN((IF(DATOS_[[Sexo]:[Sexo]]=$B82,IF(DATOS_[[AGRUP. VALOR. PTO.]:[AGRUP. VALOR. PTO.]]=$B81,IF(DATOS_[[Check Periodo Ref.]:[Check Periodo Ref.]]="Dentro",DATOS_[Conc.Sal.29]))))), 0)</f>
        <v>0</v>
      </c>
      <c r="AI82" s="250" t="n">
        <f aca="false" t="array" ref="AI82:AI82">IFERROR( MEDIAN((IF(DATOS_[[Sexo]:[Sexo]]=$B82,IF(DATOS_[[AGRUP. VALOR. PTO.]:[AGRUP. VALOR. PTO.]]=$B81,IF(DATOS_[[Check Periodo Ref.]:[Check Periodo Ref.]]="Dentro",DATOS_[Conc.Sal.30]))))), 0)</f>
        <v>0</v>
      </c>
      <c r="AJ82" s="251" t="n">
        <f aca="false" t="array" ref="AJ82:AJ82">IFERROR( MEDIAN(IF(DATOS_[Sexo]=$B82,IF(DATOS_[AGRUP. VALOR. PTO.]=$B81,IF(DATOS_[Check Periodo Ref.]="Dentro",DATOS_[Tot COMPL.SAL Ef],0)))), 0)</f>
        <v>0</v>
      </c>
      <c r="AK82" s="252" t="n">
        <f aca="false" t="array" ref="AK82:AK82">IFERROR( MEDIAN(IF(DATOS_[Sexo]=$B82,IF(DATOS_[AGRUP. VALOR. PTO.]=$B81,IF(DATOS_[Check Periodo Ref.]="Dentro",DATOS_[TOTAL SALARIO Ef],0)))), 0)</f>
        <v>0</v>
      </c>
      <c r="AL82" s="259" t="n">
        <f aca="false" t="array" ref="AL82:AL82">IFERROR( MEDIAN((IF(DATOS_[[Sexo]:[Sexo]]=$B82,IF(DATOS_[[AGRUP. VALOR. PTO.]:[AGRUP. VALOR. PTO.]]=$B81,IF(DATOS_[[Check Periodo Ref.]:[Check Periodo Ref.]]="Dentro",DATOS_[C.Extra.01]))))), 0)</f>
        <v>0</v>
      </c>
      <c r="AM82" s="259" t="n">
        <f aca="false" t="array" ref="AM82:AM82">IFERROR( MEDIAN((IF(DATOS_[[Sexo]:[Sexo]]=$B82,IF(DATOS_[[AGRUP. VALOR. PTO.]:[AGRUP. VALOR. PTO.]]=$B81,IF(DATOS_[[Check Periodo Ref.]:[Check Periodo Ref.]]="Dentro",DATOS_[C.Extra.02]))))), 0)</f>
        <v>0</v>
      </c>
      <c r="AN82" s="259" t="n">
        <f aca="false" t="array" ref="AN82:AN82">IFERROR( MEDIAN((IF(DATOS_[[Sexo]:[Sexo]]=$B82,IF(DATOS_[[AGRUP. VALOR. PTO.]:[AGRUP. VALOR. PTO.]]=$B81,IF(DATOS_[[Check Periodo Ref.]:[Check Periodo Ref.]]="Dentro",DATOS_[C.Extra.03]))))), 0)</f>
        <v>0</v>
      </c>
      <c r="AO82" s="259" t="n">
        <f aca="false" t="array" ref="AO82:AO82">IFERROR( MEDIAN((IF(DATOS_[[Sexo]:[Sexo]]=$B82,IF(DATOS_[[AGRUP. VALOR. PTO.]:[AGRUP. VALOR. PTO.]]=$B81,IF(DATOS_[[Check Periodo Ref.]:[Check Periodo Ref.]]="Dentro",DATOS_[C.Extra.04]))))), 0)</f>
        <v>0</v>
      </c>
      <c r="AP82" s="259" t="n">
        <f aca="false" t="array" ref="AP82:AP82">IFERROR( MEDIAN((IF(DATOS_[[Sexo]:[Sexo]]=$B82,IF(DATOS_[[AGRUP. VALOR. PTO.]:[AGRUP. VALOR. PTO.]]=$B81,IF(DATOS_[[Check Periodo Ref.]:[Check Periodo Ref.]]="Dentro",DATOS_[C.Extra.05]))))), 0)</f>
        <v>0</v>
      </c>
      <c r="AQ82" s="254" t="n">
        <f aca="false" t="array" ref="AQ82:AQ82">IFERROR( MEDIAN(IF(DATOS_[Sexo]=$B82,IF(DATOS_[AGRUP. VALOR. PTO.]=$B81,IF(DATOS_[Check Periodo Ref.]="Dentro",DATOS_[Tot Extrasalarial Ef],0)))), 0)</f>
        <v>0</v>
      </c>
      <c r="AR82" s="255" t="n">
        <f aca="false" t="array" ref="AR82:AR82">IFERROR( MEDIAN(IF(DATOS_[Sexo]=$B82,IF(DATOS_[AGRUP. VALOR. PTO.]=$B81,IF(DATOS_[Check Periodo Ref.]="Dentro",DATOS_[TOTAL Retrib Ef],0)))), 0)</f>
        <v>0</v>
      </c>
    </row>
    <row r="83" customFormat="false" ht="14.25" hidden="false" customHeight="false" outlineLevel="0" collapsed="false">
      <c r="A83" s="217" t="str">
        <f aca="false">+A82</f>
        <v>[ocultar]</v>
      </c>
      <c r="B83" s="246" t="s">
        <v>372</v>
      </c>
      <c r="C83" s="247" t="n">
        <f aca="false" t="array" ref="C83:C83">SUM(IF($B83=DATOS_[Sexo], IF($B81=DATOS_[AGRUP. VALOR. PTO.], IF("Dentro"=DATOS_[Check Periodo Ref.], 1/(COUNTIFS(DATOS_[Sexo],$B83,DATOS_[AGRUP. VALOR. PTO.],$B81,DATOS_[Check Periodo Ref.],"Dentro",DATOS_[id],DATOS_[id]))))))</f>
        <v>0</v>
      </c>
      <c r="D83" s="248" t="n">
        <f aca="false">COUNTIFS(DATOS_[AGRUP. VALOR. PTO.],$B81,DATOS_[Sexo],$B83,DATOS_[Check Periodo Ref.],"Dentro")</f>
        <v>0</v>
      </c>
      <c r="E83" s="249" t="n">
        <f aca="false" t="array" ref="E83:E83">IFERROR( MEDIAN(IF(DATOS_[Sexo]=$B83,IF(DATOS_[AGRUP. VALOR. PTO.]=$B81,IF(DATOS_[Check Periodo Ref.]="Dentro",DATOS_[SALARIO BASE Ef],0)))), 0)</f>
        <v>0</v>
      </c>
      <c r="F83" s="250" t="n">
        <f aca="false" t="array" ref="F83:F83">IFERROR( MEDIAN((IF(DATOS_[[Sexo]:[Sexo]]=$B83,IF(DATOS_[[AGRUP. VALOR. PTO.]:[AGRUP. VALOR. PTO.]]=$B81,IF(DATOS_[[Check Periodo Ref.]:[Check Periodo Ref.]]="Dentro",DATOS_[Conc.Sal.01]))))), 0)</f>
        <v>0</v>
      </c>
      <c r="G83" s="250" t="n">
        <f aca="false" t="array" ref="G83:G83">IFERROR( MEDIAN((IF(DATOS_[[Sexo]:[Sexo]]=$B83,IF(DATOS_[[AGRUP. VALOR. PTO.]:[AGRUP. VALOR. PTO.]]=$B81,IF(DATOS_[[Check Periodo Ref.]:[Check Periodo Ref.]]="Dentro",DATOS_[Conc.Sal.02]))))), 0)</f>
        <v>0</v>
      </c>
      <c r="H83" s="250" t="n">
        <f aca="false" t="array" ref="H83:H83">IFERROR( MEDIAN((IF(DATOS_[[Sexo]:[Sexo]]=$B83,IF(DATOS_[[AGRUP. VALOR. PTO.]:[AGRUP. VALOR. PTO.]]=$B81,IF(DATOS_[[Check Periodo Ref.]:[Check Periodo Ref.]]="Dentro",DATOS_[Conc.Sal.03]))))), 0)</f>
        <v>0</v>
      </c>
      <c r="I83" s="250" t="n">
        <f aca="false" t="array" ref="I83:I83">IFERROR( MEDIAN((IF(DATOS_[[Sexo]:[Sexo]]=$B83,IF(DATOS_[[AGRUP. VALOR. PTO.]:[AGRUP. VALOR. PTO.]]=$B81,IF(DATOS_[[Check Periodo Ref.]:[Check Periodo Ref.]]="Dentro",DATOS_[Conc.Sal.04]))))), 0)</f>
        <v>0</v>
      </c>
      <c r="J83" s="250" t="n">
        <f aca="false" t="array" ref="J83:J83">IFERROR( MEDIAN((IF(DATOS_[[Sexo]:[Sexo]]=$B83,IF(DATOS_[[AGRUP. VALOR. PTO.]:[AGRUP. VALOR. PTO.]]=$B81,IF(DATOS_[[Check Periodo Ref.]:[Check Periodo Ref.]]="Dentro",DATOS_[Conc.Sal.05]))))), 0)</f>
        <v>0</v>
      </c>
      <c r="K83" s="250" t="n">
        <f aca="false" t="array" ref="K83:K83">IFERROR( MEDIAN((IF(DATOS_[[Sexo]:[Sexo]]=$B83,IF(DATOS_[[AGRUP. VALOR. PTO.]:[AGRUP. VALOR. PTO.]]=$B81,IF(DATOS_[[Check Periodo Ref.]:[Check Periodo Ref.]]="Dentro",DATOS_[Conc.Sal.06]))))), 0)</f>
        <v>0</v>
      </c>
      <c r="L83" s="250" t="n">
        <f aca="false" t="array" ref="L83:L83">IFERROR( MEDIAN((IF(DATOS_[[Sexo]:[Sexo]]=$B83,IF(DATOS_[[AGRUP. VALOR. PTO.]:[AGRUP. VALOR. PTO.]]=$B81,IF(DATOS_[[Check Periodo Ref.]:[Check Periodo Ref.]]="Dentro",DATOS_[Conc.Sal.07]))))), 0)</f>
        <v>0</v>
      </c>
      <c r="M83" s="250" t="n">
        <f aca="false" t="array" ref="M83:M83">IFERROR( MEDIAN((IF(DATOS_[[Sexo]:[Sexo]]=$B83,IF(DATOS_[[AGRUP. VALOR. PTO.]:[AGRUP. VALOR. PTO.]]=$B81,IF(DATOS_[[Check Periodo Ref.]:[Check Periodo Ref.]]="Dentro",DATOS_[Conc.Sal.08]))))), 0)</f>
        <v>0</v>
      </c>
      <c r="N83" s="250" t="n">
        <f aca="false" t="array" ref="N83:N83">IFERROR( MEDIAN((IF(DATOS_[[Sexo]:[Sexo]]=$B83,IF(DATOS_[[AGRUP. VALOR. PTO.]:[AGRUP. VALOR. PTO.]]=$B81,IF(DATOS_[[Check Periodo Ref.]:[Check Periodo Ref.]]="Dentro",DATOS_[Conc.Sal.09]))))), 0)</f>
        <v>0</v>
      </c>
      <c r="O83" s="250" t="n">
        <f aca="false" t="array" ref="O83:O83">IFERROR( MEDIAN((IF(DATOS_[[Sexo]:[Sexo]]=$B83,IF(DATOS_[[AGRUP. VALOR. PTO.]:[AGRUP. VALOR. PTO.]]=$B81,IF(DATOS_[[Check Periodo Ref.]:[Check Periodo Ref.]]="Dentro",DATOS_[Conc.Sal.10]))))), 0)</f>
        <v>0</v>
      </c>
      <c r="P83" s="250" t="n">
        <f aca="false" t="array" ref="P83:P83">IFERROR( MEDIAN((IF(DATOS_[[Sexo]:[Sexo]]=$B83,IF(DATOS_[[AGRUP. VALOR. PTO.]:[AGRUP. VALOR. PTO.]]=$B81,IF(DATOS_[[Check Periodo Ref.]:[Check Periodo Ref.]]="Dentro",DATOS_[Conc.Sal.11]))))), 0)</f>
        <v>0</v>
      </c>
      <c r="Q83" s="250" t="n">
        <f aca="false" t="array" ref="Q83:Q83">IFERROR( MEDIAN((IF(DATOS_[[Sexo]:[Sexo]]=$B83,IF(DATOS_[[AGRUP. VALOR. PTO.]:[AGRUP. VALOR. PTO.]]=$B81,IF(DATOS_[[Check Periodo Ref.]:[Check Periodo Ref.]]="Dentro",DATOS_[Conc.Sal.12]))))), 0)</f>
        <v>0</v>
      </c>
      <c r="R83" s="250" t="n">
        <f aca="false" t="array" ref="R83:R83">IFERROR( MEDIAN((IF(DATOS_[[Sexo]:[Sexo]]=$B83,IF(DATOS_[[AGRUP. VALOR. PTO.]:[AGRUP. VALOR. PTO.]]=$B81,IF(DATOS_[[Check Periodo Ref.]:[Check Periodo Ref.]]="Dentro",DATOS_[Conc.Sal.13]))))), 0)</f>
        <v>0</v>
      </c>
      <c r="S83" s="250" t="n">
        <f aca="false" t="array" ref="S83:S83">IFERROR( MEDIAN((IF(DATOS_[[Sexo]:[Sexo]]=$B83,IF(DATOS_[[AGRUP. VALOR. PTO.]:[AGRUP. VALOR. PTO.]]=$B81,IF(DATOS_[[Check Periodo Ref.]:[Check Periodo Ref.]]="Dentro",DATOS_[Conc.Sal.14]))))), 0)</f>
        <v>0</v>
      </c>
      <c r="T83" s="250" t="n">
        <f aca="false" t="array" ref="T83:T83">IFERROR( MEDIAN((IF(DATOS_[[Sexo]:[Sexo]]=$B83,IF(DATOS_[[AGRUP. VALOR. PTO.]:[AGRUP. VALOR. PTO.]]=$B81,IF(DATOS_[[Check Periodo Ref.]:[Check Periodo Ref.]]="Dentro",DATOS_[Conc.Sal.15]))))), 0)</f>
        <v>0</v>
      </c>
      <c r="U83" s="250" t="n">
        <f aca="false" t="array" ref="U83:U83">IFERROR( MEDIAN((IF(DATOS_[[Sexo]:[Sexo]]=$B83,IF(DATOS_[[AGRUP. VALOR. PTO.]:[AGRUP. VALOR. PTO.]]=$B81,IF(DATOS_[[Check Periodo Ref.]:[Check Periodo Ref.]]="Dentro",DATOS_[Conc.Sal.16]))))), 0)</f>
        <v>0</v>
      </c>
      <c r="V83" s="250" t="n">
        <f aca="false" t="array" ref="V83:V83">IFERROR( MEDIAN((IF(DATOS_[[Sexo]:[Sexo]]=$B83,IF(DATOS_[[AGRUP. VALOR. PTO.]:[AGRUP. VALOR. PTO.]]=$B81,IF(DATOS_[[Check Periodo Ref.]:[Check Periodo Ref.]]="Dentro",DATOS_[Conc.Sal.17]))))), 0)</f>
        <v>0</v>
      </c>
      <c r="W83" s="250" t="n">
        <f aca="false" t="array" ref="W83:W83">IFERROR( MEDIAN((IF(DATOS_[[Sexo]:[Sexo]]=$B83,IF(DATOS_[[AGRUP. VALOR. PTO.]:[AGRUP. VALOR. PTO.]]=$B81,IF(DATOS_[[Check Periodo Ref.]:[Check Periodo Ref.]]="Dentro",DATOS_[Conc.Sal.18]))))), 0)</f>
        <v>0</v>
      </c>
      <c r="X83" s="250" t="n">
        <f aca="false" t="array" ref="X83:X83">IFERROR( MEDIAN((IF(DATOS_[[Sexo]:[Sexo]]=$B83,IF(DATOS_[[AGRUP. VALOR. PTO.]:[AGRUP. VALOR. PTO.]]=$B81,IF(DATOS_[[Check Periodo Ref.]:[Check Periodo Ref.]]="Dentro",DATOS_[Conc.Sal.19]))))), 0)</f>
        <v>0</v>
      </c>
      <c r="Y83" s="250" t="n">
        <f aca="false" t="array" ref="Y83:Y83">IFERROR( MEDIAN((IF(DATOS_[[Sexo]:[Sexo]]=$B83,IF(DATOS_[[AGRUP. VALOR. PTO.]:[AGRUP. VALOR. PTO.]]=$B81,IF(DATOS_[[Check Periodo Ref.]:[Check Periodo Ref.]]="Dentro",DATOS_[Conc.Sal.20]))))), 0)</f>
        <v>0</v>
      </c>
      <c r="Z83" s="250" t="n">
        <f aca="false" t="array" ref="Z83:Z83">IFERROR( MEDIAN((IF(DATOS_[[Sexo]:[Sexo]]=$B83,IF(DATOS_[[AGRUP. VALOR. PTO.]:[AGRUP. VALOR. PTO.]]=$B81,IF(DATOS_[[Check Periodo Ref.]:[Check Periodo Ref.]]="Dentro",DATOS_[Conc.Sal.21]))))), 0)</f>
        <v>0</v>
      </c>
      <c r="AA83" s="250" t="n">
        <f aca="false" t="array" ref="AA83:AA83">IFERROR( MEDIAN((IF(DATOS_[[Sexo]:[Sexo]]=$B83,IF(DATOS_[[AGRUP. VALOR. PTO.]:[AGRUP. VALOR. PTO.]]=$B81,IF(DATOS_[[Check Periodo Ref.]:[Check Periodo Ref.]]="Dentro",DATOS_[Conc.Sal.22]))))), 0)</f>
        <v>0</v>
      </c>
      <c r="AB83" s="250" t="n">
        <f aca="false" t="array" ref="AB83:AB83">IFERROR( MEDIAN((IF(DATOS_[[Sexo]:[Sexo]]=$B83,IF(DATOS_[[AGRUP. VALOR. PTO.]:[AGRUP. VALOR. PTO.]]=$B81,IF(DATOS_[[Check Periodo Ref.]:[Check Periodo Ref.]]="Dentro",DATOS_[Conc.Sal.23]))))), 0)</f>
        <v>0</v>
      </c>
      <c r="AC83" s="250" t="n">
        <f aca="false" t="array" ref="AC83:AC83">IFERROR( MEDIAN((IF(DATOS_[[Sexo]:[Sexo]]=$B83,IF(DATOS_[[AGRUP. VALOR. PTO.]:[AGRUP. VALOR. PTO.]]=$B81,IF(DATOS_[[Check Periodo Ref.]:[Check Periodo Ref.]]="Dentro",DATOS_[Conc.Sal.24]))))), 0)</f>
        <v>0</v>
      </c>
      <c r="AD83" s="250" t="n">
        <f aca="false" t="array" ref="AD83:AD83">IFERROR( MEDIAN((IF(DATOS_[[Sexo]:[Sexo]]=$B83,IF(DATOS_[[AGRUP. VALOR. PTO.]:[AGRUP. VALOR. PTO.]]=$B81,IF(DATOS_[[Check Periodo Ref.]:[Check Periodo Ref.]]="Dentro",DATOS_[Conc.Sal.25]))))), 0)</f>
        <v>0</v>
      </c>
      <c r="AE83" s="250" t="n">
        <f aca="false" t="array" ref="AE83:AE83">IFERROR( MEDIAN((IF(DATOS_[[Sexo]:[Sexo]]=$B83,IF(DATOS_[[AGRUP. VALOR. PTO.]:[AGRUP. VALOR. PTO.]]=$B81,IF(DATOS_[[Check Periodo Ref.]:[Check Periodo Ref.]]="Dentro",DATOS_[Conc.Sal.26]))))), 0)</f>
        <v>0</v>
      </c>
      <c r="AF83" s="250" t="n">
        <f aca="false" t="array" ref="AF83:AF83">IFERROR( MEDIAN((IF(DATOS_[[Sexo]:[Sexo]]=$B83,IF(DATOS_[[AGRUP. VALOR. PTO.]:[AGRUP. VALOR. PTO.]]=$B81,IF(DATOS_[[Check Periodo Ref.]:[Check Periodo Ref.]]="Dentro",DATOS_[Conc.Sal.27]))))), 0)</f>
        <v>0</v>
      </c>
      <c r="AG83" s="250" t="n">
        <f aca="false" t="array" ref="AG83:AG83">IFERROR( MEDIAN((IF(DATOS_[[Sexo]:[Sexo]]=$B83,IF(DATOS_[[AGRUP. VALOR. PTO.]:[AGRUP. VALOR. PTO.]]=$B81,IF(DATOS_[[Check Periodo Ref.]:[Check Periodo Ref.]]="Dentro",DATOS_[Conc.Sal.28]))))), 0)</f>
        <v>0</v>
      </c>
      <c r="AH83" s="250" t="n">
        <f aca="false" t="array" ref="AH83:AH83">IFERROR( MEDIAN((IF(DATOS_[[Sexo]:[Sexo]]=$B83,IF(DATOS_[[AGRUP. VALOR. PTO.]:[AGRUP. VALOR. PTO.]]=$B81,IF(DATOS_[[Check Periodo Ref.]:[Check Periodo Ref.]]="Dentro",DATOS_[Conc.Sal.29]))))), 0)</f>
        <v>0</v>
      </c>
      <c r="AI83" s="250" t="n">
        <f aca="false" t="array" ref="AI83:AI83">IFERROR( MEDIAN((IF(DATOS_[[Sexo]:[Sexo]]=$B83,IF(DATOS_[[AGRUP. VALOR. PTO.]:[AGRUP. VALOR. PTO.]]=$B81,IF(DATOS_[[Check Periodo Ref.]:[Check Periodo Ref.]]="Dentro",DATOS_[Conc.Sal.30]))))), 0)</f>
        <v>0</v>
      </c>
      <c r="AJ83" s="251" t="n">
        <f aca="false" t="array" ref="AJ83:AJ83">IFERROR( MEDIAN(IF(DATOS_[Sexo]=$B83,IF(DATOS_[AGRUP. VALOR. PTO.]=$B81,IF(DATOS_[Check Periodo Ref.]="Dentro",DATOS_[Tot COMPL.SAL Ef],0)))), 0)</f>
        <v>0</v>
      </c>
      <c r="AK83" s="252" t="n">
        <f aca="false" t="array" ref="AK83:AK83">IFERROR( MEDIAN(IF(DATOS_[Sexo]=$B83,IF(DATOS_[AGRUP. VALOR. PTO.]=$B81,IF(DATOS_[Check Periodo Ref.]="Dentro",DATOS_[TOTAL SALARIO Ef],0)))), 0)</f>
        <v>0</v>
      </c>
      <c r="AL83" s="259" t="n">
        <f aca="false" t="array" ref="AL83:AL83">IFERROR( MEDIAN((IF(DATOS_[[Sexo]:[Sexo]]=$B83,IF(DATOS_[[AGRUP. VALOR. PTO.]:[AGRUP. VALOR. PTO.]]=$B81,IF(DATOS_[[Check Periodo Ref.]:[Check Periodo Ref.]]="Dentro",DATOS_[C.Extra.01]))))), 0)</f>
        <v>0</v>
      </c>
      <c r="AM83" s="259" t="n">
        <f aca="false" t="array" ref="AM83:AM83">IFERROR( MEDIAN((IF(DATOS_[[Sexo]:[Sexo]]=$B83,IF(DATOS_[[AGRUP. VALOR. PTO.]:[AGRUP. VALOR. PTO.]]=$B81,IF(DATOS_[[Check Periodo Ref.]:[Check Periodo Ref.]]="Dentro",DATOS_[C.Extra.02]))))), 0)</f>
        <v>0</v>
      </c>
      <c r="AN83" s="259" t="n">
        <f aca="false" t="array" ref="AN83:AN83">IFERROR( MEDIAN((IF(DATOS_[[Sexo]:[Sexo]]=$B83,IF(DATOS_[[AGRUP. VALOR. PTO.]:[AGRUP. VALOR. PTO.]]=$B81,IF(DATOS_[[Check Periodo Ref.]:[Check Periodo Ref.]]="Dentro",DATOS_[C.Extra.03]))))), 0)</f>
        <v>0</v>
      </c>
      <c r="AO83" s="259" t="n">
        <f aca="false" t="array" ref="AO83:AO83">IFERROR( MEDIAN((IF(DATOS_[[Sexo]:[Sexo]]=$B83,IF(DATOS_[[AGRUP. VALOR. PTO.]:[AGRUP. VALOR. PTO.]]=$B81,IF(DATOS_[[Check Periodo Ref.]:[Check Periodo Ref.]]="Dentro",DATOS_[C.Extra.04]))))), 0)</f>
        <v>0</v>
      </c>
      <c r="AP83" s="259" t="n">
        <f aca="false" t="array" ref="AP83:AP83">IFERROR( MEDIAN((IF(DATOS_[[Sexo]:[Sexo]]=$B83,IF(DATOS_[[AGRUP. VALOR. PTO.]:[AGRUP. VALOR. PTO.]]=$B81,IF(DATOS_[[Check Periodo Ref.]:[Check Periodo Ref.]]="Dentro",DATOS_[C.Extra.05]))))), 0)</f>
        <v>0</v>
      </c>
      <c r="AQ83" s="254" t="n">
        <f aca="false" t="array" ref="AQ83:AQ83">IFERROR( MEDIAN(IF(DATOS_[Sexo]=$B83,IF(DATOS_[AGRUP. VALOR. PTO.]=$B81,IF(DATOS_[Check Periodo Ref.]="Dentro",DATOS_[Tot Extrasalarial Ef],0)))), 0)</f>
        <v>0</v>
      </c>
      <c r="AR83" s="255" t="n">
        <f aca="false" t="array" ref="AR83:AR83">IFERROR( MEDIAN(IF(DATOS_[Sexo]=$B83,IF(DATOS_[AGRUP. VALOR. PTO.]=$B81,IF(DATOS_[Check Periodo Ref.]="Dentro",DATOS_[TOTAL Retrib Ef],0)))), 0)</f>
        <v>0</v>
      </c>
    </row>
    <row r="84" customFormat="false" ht="15.75" hidden="false" customHeight="false" outlineLevel="0" collapsed="false">
      <c r="A84" s="217" t="str">
        <f aca="false">+A85</f>
        <v>[ocultar]</v>
      </c>
      <c r="B84" s="235" t="s">
        <v>238</v>
      </c>
      <c r="C84" s="236"/>
      <c r="D84" s="237"/>
      <c r="E84" s="238" t="str">
        <f aca="false">IFERROR((E85-E86)/E85,"")</f>
        <v/>
      </c>
      <c r="F84" s="239" t="str">
        <f aca="false">IFERROR((F85-F86)/F85,"")</f>
        <v/>
      </c>
      <c r="G84" s="239" t="str">
        <f aca="false">IFERROR((G85-G86)/G85,"")</f>
        <v/>
      </c>
      <c r="H84" s="239" t="str">
        <f aca="false">IFERROR((H85-H86)/H85,"")</f>
        <v/>
      </c>
      <c r="I84" s="239"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40" t="str">
        <f aca="false">IFERROR((V85-V86)/V85,"")</f>
        <v/>
      </c>
      <c r="W84" s="240" t="str">
        <f aca="false">IFERROR((W85-W86)/W85,"")</f>
        <v/>
      </c>
      <c r="X84" s="240" t="str">
        <f aca="false">IFERROR((X85-X86)/X85,"")</f>
        <v/>
      </c>
      <c r="Y84" s="240"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1" t="str">
        <f aca="false">IFERROR((AJ85-AJ86)/AJ85,"")</f>
        <v/>
      </c>
      <c r="AK84" s="242" t="str">
        <f aca="false">IFERROR((AK85-AK86)/AK85,"")</f>
        <v/>
      </c>
      <c r="AL84" s="243" t="str">
        <f aca="false">IFERROR((AL85-AL86)/AL85,"")</f>
        <v/>
      </c>
      <c r="AM84" s="243" t="str">
        <f aca="false">IFERROR((AM85-AM86)/AM85,"")</f>
        <v/>
      </c>
      <c r="AN84" s="243" t="str">
        <f aca="false">IFERROR((AN85-AN86)/AN85,"")</f>
        <v/>
      </c>
      <c r="AO84" s="243" t="str">
        <f aca="false">IFERROR((AO85-AO86)/AO85,"")</f>
        <v/>
      </c>
      <c r="AP84" s="243" t="str">
        <f aca="false">IFERROR((AP85-AP86)/AP85,"")</f>
        <v/>
      </c>
      <c r="AQ84" s="244" t="str">
        <f aca="false">IFERROR((AQ85-AQ86)/AQ85,"")</f>
        <v/>
      </c>
      <c r="AR84" s="245" t="str">
        <f aca="false">IFERROR((AR85-AR86)/AR85,"")</f>
        <v/>
      </c>
    </row>
    <row r="85" customFormat="false" ht="14.25" hidden="false" customHeight="false" outlineLevel="0" collapsed="false">
      <c r="A85" s="217" t="str">
        <f aca="false">+IF(C85+C86=0,"[ocultar]","")</f>
        <v>[ocultar]</v>
      </c>
      <c r="B85" s="246" t="s">
        <v>371</v>
      </c>
      <c r="C85" s="247" t="n">
        <f aca="false" t="array" ref="C85:C85">SUM(IF($B85=DATOS_[Sexo], IF($B84=DATOS_[AGRUP. VALOR. PTO.], IF("Dentro"=DATOS_[Check Periodo Ref.], 1/(COUNTIFS(DATOS_[Sexo],$B85,DATOS_[AGRUP. VALOR. PTO.],$B84,DATOS_[Check Periodo Ref.],"Dentro",DATOS_[id],DATOS_[id]))))))</f>
        <v>0</v>
      </c>
      <c r="D85" s="248" t="n">
        <f aca="false">COUNTIFS(DATOS_[AGRUP. VALOR. PTO.],$B84,DATOS_[Sexo],$B85,DATOS_[Check Periodo Ref.],"Dentro")</f>
        <v>0</v>
      </c>
      <c r="E85" s="249" t="n">
        <f aca="false" t="array" ref="E85:E85">IFERROR( MEDIAN(IF(DATOS_[Sexo]=$B85,IF(DATOS_[AGRUP. VALOR. PTO.]=$B84,IF(DATOS_[Check Periodo Ref.]="Dentro",DATOS_[SALARIO BASE Ef],0)))), 0)</f>
        <v>0</v>
      </c>
      <c r="F85" s="250" t="n">
        <f aca="false" t="array" ref="F85:F85">IFERROR( MEDIAN((IF(DATOS_[[Sexo]:[Sexo]]=$B85,IF(DATOS_[[AGRUP. VALOR. PTO.]:[AGRUP. VALOR. PTO.]]=$B84,IF(DATOS_[[Check Periodo Ref.]:[Check Periodo Ref.]]="Dentro",DATOS_[Conc.Sal.01]))))), 0)</f>
        <v>0</v>
      </c>
      <c r="G85" s="250" t="n">
        <f aca="false" t="array" ref="G85:G85">IFERROR( MEDIAN((IF(DATOS_[[Sexo]:[Sexo]]=$B85,IF(DATOS_[[AGRUP. VALOR. PTO.]:[AGRUP. VALOR. PTO.]]=$B84,IF(DATOS_[[Check Periodo Ref.]:[Check Periodo Ref.]]="Dentro",DATOS_[Conc.Sal.02]))))), 0)</f>
        <v>0</v>
      </c>
      <c r="H85" s="250" t="n">
        <f aca="false" t="array" ref="H85:H85">IFERROR( MEDIAN((IF(DATOS_[[Sexo]:[Sexo]]=$B85,IF(DATOS_[[AGRUP. VALOR. PTO.]:[AGRUP. VALOR. PTO.]]=$B84,IF(DATOS_[[Check Periodo Ref.]:[Check Periodo Ref.]]="Dentro",DATOS_[Conc.Sal.03]))))), 0)</f>
        <v>0</v>
      </c>
      <c r="I85" s="250" t="n">
        <f aca="false" t="array" ref="I85:I85">IFERROR( MEDIAN((IF(DATOS_[[Sexo]:[Sexo]]=$B85,IF(DATOS_[[AGRUP. VALOR. PTO.]:[AGRUP. VALOR. PTO.]]=$B84,IF(DATOS_[[Check Periodo Ref.]:[Check Periodo Ref.]]="Dentro",DATOS_[Conc.Sal.04]))))), 0)</f>
        <v>0</v>
      </c>
      <c r="J85" s="250" t="n">
        <f aca="false" t="array" ref="J85:J85">IFERROR( MEDIAN((IF(DATOS_[[Sexo]:[Sexo]]=$B85,IF(DATOS_[[AGRUP. VALOR. PTO.]:[AGRUP. VALOR. PTO.]]=$B84,IF(DATOS_[[Check Periodo Ref.]:[Check Periodo Ref.]]="Dentro",DATOS_[Conc.Sal.05]))))), 0)</f>
        <v>0</v>
      </c>
      <c r="K85" s="250" t="n">
        <f aca="false" t="array" ref="K85:K85">IFERROR( MEDIAN((IF(DATOS_[[Sexo]:[Sexo]]=$B85,IF(DATOS_[[AGRUP. VALOR. PTO.]:[AGRUP. VALOR. PTO.]]=$B84,IF(DATOS_[[Check Periodo Ref.]:[Check Periodo Ref.]]="Dentro",DATOS_[Conc.Sal.06]))))), 0)</f>
        <v>0</v>
      </c>
      <c r="L85" s="250" t="n">
        <f aca="false" t="array" ref="L85:L85">IFERROR( MEDIAN((IF(DATOS_[[Sexo]:[Sexo]]=$B85,IF(DATOS_[[AGRUP. VALOR. PTO.]:[AGRUP. VALOR. PTO.]]=$B84,IF(DATOS_[[Check Periodo Ref.]:[Check Periodo Ref.]]="Dentro",DATOS_[Conc.Sal.07]))))), 0)</f>
        <v>0</v>
      </c>
      <c r="M85" s="250" t="n">
        <f aca="false" t="array" ref="M85:M85">IFERROR( MEDIAN((IF(DATOS_[[Sexo]:[Sexo]]=$B85,IF(DATOS_[[AGRUP. VALOR. PTO.]:[AGRUP. VALOR. PTO.]]=$B84,IF(DATOS_[[Check Periodo Ref.]:[Check Periodo Ref.]]="Dentro",DATOS_[Conc.Sal.08]))))), 0)</f>
        <v>0</v>
      </c>
      <c r="N85" s="250" t="n">
        <f aca="false" t="array" ref="N85:N85">IFERROR( MEDIAN((IF(DATOS_[[Sexo]:[Sexo]]=$B85,IF(DATOS_[[AGRUP. VALOR. PTO.]:[AGRUP. VALOR. PTO.]]=$B84,IF(DATOS_[[Check Periodo Ref.]:[Check Periodo Ref.]]="Dentro",DATOS_[Conc.Sal.09]))))), 0)</f>
        <v>0</v>
      </c>
      <c r="O85" s="250" t="n">
        <f aca="false" t="array" ref="O85:O85">IFERROR( MEDIAN((IF(DATOS_[[Sexo]:[Sexo]]=$B85,IF(DATOS_[[AGRUP. VALOR. PTO.]:[AGRUP. VALOR. PTO.]]=$B84,IF(DATOS_[[Check Periodo Ref.]:[Check Periodo Ref.]]="Dentro",DATOS_[Conc.Sal.10]))))), 0)</f>
        <v>0</v>
      </c>
      <c r="P85" s="250" t="n">
        <f aca="false" t="array" ref="P85:P85">IFERROR( MEDIAN((IF(DATOS_[[Sexo]:[Sexo]]=$B85,IF(DATOS_[[AGRUP. VALOR. PTO.]:[AGRUP. VALOR. PTO.]]=$B84,IF(DATOS_[[Check Periodo Ref.]:[Check Periodo Ref.]]="Dentro",DATOS_[Conc.Sal.11]))))), 0)</f>
        <v>0</v>
      </c>
      <c r="Q85" s="250" t="n">
        <f aca="false" t="array" ref="Q85:Q85">IFERROR( MEDIAN((IF(DATOS_[[Sexo]:[Sexo]]=$B85,IF(DATOS_[[AGRUP. VALOR. PTO.]:[AGRUP. VALOR. PTO.]]=$B84,IF(DATOS_[[Check Periodo Ref.]:[Check Periodo Ref.]]="Dentro",DATOS_[Conc.Sal.12]))))), 0)</f>
        <v>0</v>
      </c>
      <c r="R85" s="250" t="n">
        <f aca="false" t="array" ref="R85:R85">IFERROR( MEDIAN((IF(DATOS_[[Sexo]:[Sexo]]=$B85,IF(DATOS_[[AGRUP. VALOR. PTO.]:[AGRUP. VALOR. PTO.]]=$B84,IF(DATOS_[[Check Periodo Ref.]:[Check Periodo Ref.]]="Dentro",DATOS_[Conc.Sal.13]))))), 0)</f>
        <v>0</v>
      </c>
      <c r="S85" s="250" t="n">
        <f aca="false" t="array" ref="S85:S85">IFERROR( MEDIAN((IF(DATOS_[[Sexo]:[Sexo]]=$B85,IF(DATOS_[[AGRUP. VALOR. PTO.]:[AGRUP. VALOR. PTO.]]=$B84,IF(DATOS_[[Check Periodo Ref.]:[Check Periodo Ref.]]="Dentro",DATOS_[Conc.Sal.14]))))), 0)</f>
        <v>0</v>
      </c>
      <c r="T85" s="250" t="n">
        <f aca="false" t="array" ref="T85:T85">IFERROR( MEDIAN((IF(DATOS_[[Sexo]:[Sexo]]=$B85,IF(DATOS_[[AGRUP. VALOR. PTO.]:[AGRUP. VALOR. PTO.]]=$B84,IF(DATOS_[[Check Periodo Ref.]:[Check Periodo Ref.]]="Dentro",DATOS_[Conc.Sal.15]))))), 0)</f>
        <v>0</v>
      </c>
      <c r="U85" s="250" t="n">
        <f aca="false" t="array" ref="U85:U85">IFERROR( MEDIAN((IF(DATOS_[[Sexo]:[Sexo]]=$B85,IF(DATOS_[[AGRUP. VALOR. PTO.]:[AGRUP. VALOR. PTO.]]=$B84,IF(DATOS_[[Check Periodo Ref.]:[Check Periodo Ref.]]="Dentro",DATOS_[Conc.Sal.16]))))), 0)</f>
        <v>0</v>
      </c>
      <c r="V85" s="250" t="n">
        <f aca="false" t="array" ref="V85:V85">IFERROR( MEDIAN((IF(DATOS_[[Sexo]:[Sexo]]=$B85,IF(DATOS_[[AGRUP. VALOR. PTO.]:[AGRUP. VALOR. PTO.]]=$B84,IF(DATOS_[[Check Periodo Ref.]:[Check Periodo Ref.]]="Dentro",DATOS_[Conc.Sal.17]))))), 0)</f>
        <v>0</v>
      </c>
      <c r="W85" s="250" t="n">
        <f aca="false" t="array" ref="W85:W85">IFERROR( MEDIAN((IF(DATOS_[[Sexo]:[Sexo]]=$B85,IF(DATOS_[[AGRUP. VALOR. PTO.]:[AGRUP. VALOR. PTO.]]=$B84,IF(DATOS_[[Check Periodo Ref.]:[Check Periodo Ref.]]="Dentro",DATOS_[Conc.Sal.18]))))), 0)</f>
        <v>0</v>
      </c>
      <c r="X85" s="250" t="n">
        <f aca="false" t="array" ref="X85:X85">IFERROR( MEDIAN((IF(DATOS_[[Sexo]:[Sexo]]=$B85,IF(DATOS_[[AGRUP. VALOR. PTO.]:[AGRUP. VALOR. PTO.]]=$B84,IF(DATOS_[[Check Periodo Ref.]:[Check Periodo Ref.]]="Dentro",DATOS_[Conc.Sal.19]))))), 0)</f>
        <v>0</v>
      </c>
      <c r="Y85" s="250" t="n">
        <f aca="false" t="array" ref="Y85:Y85">IFERROR( MEDIAN((IF(DATOS_[[Sexo]:[Sexo]]=$B85,IF(DATOS_[[AGRUP. VALOR. PTO.]:[AGRUP. VALOR. PTO.]]=$B84,IF(DATOS_[[Check Periodo Ref.]:[Check Periodo Ref.]]="Dentro",DATOS_[Conc.Sal.20]))))), 0)</f>
        <v>0</v>
      </c>
      <c r="Z85" s="250" t="n">
        <f aca="false" t="array" ref="Z85:Z85">IFERROR( MEDIAN((IF(DATOS_[[Sexo]:[Sexo]]=$B85,IF(DATOS_[[AGRUP. VALOR. PTO.]:[AGRUP. VALOR. PTO.]]=$B84,IF(DATOS_[[Check Periodo Ref.]:[Check Periodo Ref.]]="Dentro",DATOS_[Conc.Sal.21]))))), 0)</f>
        <v>0</v>
      </c>
      <c r="AA85" s="250" t="n">
        <f aca="false" t="array" ref="AA85:AA85">IFERROR( MEDIAN((IF(DATOS_[[Sexo]:[Sexo]]=$B85,IF(DATOS_[[AGRUP. VALOR. PTO.]:[AGRUP. VALOR. PTO.]]=$B84,IF(DATOS_[[Check Periodo Ref.]:[Check Periodo Ref.]]="Dentro",DATOS_[Conc.Sal.22]))))), 0)</f>
        <v>0</v>
      </c>
      <c r="AB85" s="250" t="n">
        <f aca="false" t="array" ref="AB85:AB85">IFERROR( MEDIAN((IF(DATOS_[[Sexo]:[Sexo]]=$B85,IF(DATOS_[[AGRUP. VALOR. PTO.]:[AGRUP. VALOR. PTO.]]=$B84,IF(DATOS_[[Check Periodo Ref.]:[Check Periodo Ref.]]="Dentro",DATOS_[Conc.Sal.23]))))), 0)</f>
        <v>0</v>
      </c>
      <c r="AC85" s="250" t="n">
        <f aca="false" t="array" ref="AC85:AC85">IFERROR( MEDIAN((IF(DATOS_[[Sexo]:[Sexo]]=$B85,IF(DATOS_[[AGRUP. VALOR. PTO.]:[AGRUP. VALOR. PTO.]]=$B84,IF(DATOS_[[Check Periodo Ref.]:[Check Periodo Ref.]]="Dentro",DATOS_[Conc.Sal.24]))))), 0)</f>
        <v>0</v>
      </c>
      <c r="AD85" s="250" t="n">
        <f aca="false" t="array" ref="AD85:AD85">IFERROR( MEDIAN((IF(DATOS_[[Sexo]:[Sexo]]=$B85,IF(DATOS_[[AGRUP. VALOR. PTO.]:[AGRUP. VALOR. PTO.]]=$B84,IF(DATOS_[[Check Periodo Ref.]:[Check Periodo Ref.]]="Dentro",DATOS_[Conc.Sal.25]))))), 0)</f>
        <v>0</v>
      </c>
      <c r="AE85" s="250" t="n">
        <f aca="false" t="array" ref="AE85:AE85">IFERROR( MEDIAN((IF(DATOS_[[Sexo]:[Sexo]]=$B85,IF(DATOS_[[AGRUP. VALOR. PTO.]:[AGRUP. VALOR. PTO.]]=$B84,IF(DATOS_[[Check Periodo Ref.]:[Check Periodo Ref.]]="Dentro",DATOS_[Conc.Sal.26]))))), 0)</f>
        <v>0</v>
      </c>
      <c r="AF85" s="250" t="n">
        <f aca="false" t="array" ref="AF85:AF85">IFERROR( MEDIAN((IF(DATOS_[[Sexo]:[Sexo]]=$B85,IF(DATOS_[[AGRUP. VALOR. PTO.]:[AGRUP. VALOR. PTO.]]=$B84,IF(DATOS_[[Check Periodo Ref.]:[Check Periodo Ref.]]="Dentro",DATOS_[Conc.Sal.27]))))), 0)</f>
        <v>0</v>
      </c>
      <c r="AG85" s="250" t="n">
        <f aca="false" t="array" ref="AG85:AG85">IFERROR( MEDIAN((IF(DATOS_[[Sexo]:[Sexo]]=$B85,IF(DATOS_[[AGRUP. VALOR. PTO.]:[AGRUP. VALOR. PTO.]]=$B84,IF(DATOS_[[Check Periodo Ref.]:[Check Periodo Ref.]]="Dentro",DATOS_[Conc.Sal.28]))))), 0)</f>
        <v>0</v>
      </c>
      <c r="AH85" s="250" t="n">
        <f aca="false" t="array" ref="AH85:AH85">IFERROR( MEDIAN((IF(DATOS_[[Sexo]:[Sexo]]=$B85,IF(DATOS_[[AGRUP. VALOR. PTO.]:[AGRUP. VALOR. PTO.]]=$B84,IF(DATOS_[[Check Periodo Ref.]:[Check Periodo Ref.]]="Dentro",DATOS_[Conc.Sal.29]))))), 0)</f>
        <v>0</v>
      </c>
      <c r="AI85" s="250" t="n">
        <f aca="false" t="array" ref="AI85:AI85">IFERROR( MEDIAN((IF(DATOS_[[Sexo]:[Sexo]]=$B85,IF(DATOS_[[AGRUP. VALOR. PTO.]:[AGRUP. VALOR. PTO.]]=$B84,IF(DATOS_[[Check Periodo Ref.]:[Check Periodo Ref.]]="Dentro",DATOS_[Conc.Sal.30]))))), 0)</f>
        <v>0</v>
      </c>
      <c r="AJ85" s="251" t="n">
        <f aca="false" t="array" ref="AJ85:AJ85">IFERROR( MEDIAN(IF(DATOS_[Sexo]=$B85,IF(DATOS_[AGRUP. VALOR. PTO.]=$B84,IF(DATOS_[Check Periodo Ref.]="Dentro",DATOS_[Tot COMPL.SAL Ef],0)))), 0)</f>
        <v>0</v>
      </c>
      <c r="AK85" s="252" t="n">
        <f aca="false" t="array" ref="AK85:AK85">IFERROR( MEDIAN(IF(DATOS_[Sexo]=$B85,IF(DATOS_[AGRUP. VALOR. PTO.]=$B84,IF(DATOS_[Check Periodo Ref.]="Dentro",DATOS_[TOTAL SALARIO Ef],0)))), 0)</f>
        <v>0</v>
      </c>
      <c r="AL85" s="259" t="n">
        <f aca="false" t="array" ref="AL85:AL85">IFERROR( MEDIAN((IF(DATOS_[[Sexo]:[Sexo]]=$B85,IF(DATOS_[[AGRUP. VALOR. PTO.]:[AGRUP. VALOR. PTO.]]=$B84,IF(DATOS_[[Check Periodo Ref.]:[Check Periodo Ref.]]="Dentro",DATOS_[C.Extra.01]))))), 0)</f>
        <v>0</v>
      </c>
      <c r="AM85" s="259" t="n">
        <f aca="false" t="array" ref="AM85:AM85">IFERROR( MEDIAN((IF(DATOS_[[Sexo]:[Sexo]]=$B85,IF(DATOS_[[AGRUP. VALOR. PTO.]:[AGRUP. VALOR. PTO.]]=$B84,IF(DATOS_[[Check Periodo Ref.]:[Check Periodo Ref.]]="Dentro",DATOS_[C.Extra.02]))))), 0)</f>
        <v>0</v>
      </c>
      <c r="AN85" s="259" t="n">
        <f aca="false" t="array" ref="AN85:AN85">IFERROR( MEDIAN((IF(DATOS_[[Sexo]:[Sexo]]=$B85,IF(DATOS_[[AGRUP. VALOR. PTO.]:[AGRUP. VALOR. PTO.]]=$B84,IF(DATOS_[[Check Periodo Ref.]:[Check Periodo Ref.]]="Dentro",DATOS_[C.Extra.03]))))), 0)</f>
        <v>0</v>
      </c>
      <c r="AO85" s="259" t="n">
        <f aca="false" t="array" ref="AO85:AO85">IFERROR( MEDIAN((IF(DATOS_[[Sexo]:[Sexo]]=$B85,IF(DATOS_[[AGRUP. VALOR. PTO.]:[AGRUP. VALOR. PTO.]]=$B84,IF(DATOS_[[Check Periodo Ref.]:[Check Periodo Ref.]]="Dentro",DATOS_[C.Extra.04]))))), 0)</f>
        <v>0</v>
      </c>
      <c r="AP85" s="259" t="n">
        <f aca="false" t="array" ref="AP85:AP85">IFERROR( MEDIAN((IF(DATOS_[[Sexo]:[Sexo]]=$B85,IF(DATOS_[[AGRUP. VALOR. PTO.]:[AGRUP. VALOR. PTO.]]=$B84,IF(DATOS_[[Check Periodo Ref.]:[Check Periodo Ref.]]="Dentro",DATOS_[C.Extra.05]))))), 0)</f>
        <v>0</v>
      </c>
      <c r="AQ85" s="254" t="n">
        <f aca="false" t="array" ref="AQ85:AQ85">IFERROR( MEDIAN(IF(DATOS_[Sexo]=$B85,IF(DATOS_[AGRUP. VALOR. PTO.]=$B84,IF(DATOS_[Check Periodo Ref.]="Dentro",DATOS_[Tot Extrasalarial Ef],0)))), 0)</f>
        <v>0</v>
      </c>
      <c r="AR85" s="255" t="n">
        <f aca="false" t="array" ref="AR85:AR85">IFERROR( MEDIAN(IF(DATOS_[Sexo]=$B85,IF(DATOS_[AGRUP. VALOR. PTO.]=$B84,IF(DATOS_[Check Periodo Ref.]="Dentro",DATOS_[TOTAL Retrib Ef],0)))), 0)</f>
        <v>0</v>
      </c>
    </row>
    <row r="86" customFormat="false" ht="14.25" hidden="false" customHeight="false" outlineLevel="0" collapsed="false">
      <c r="A86" s="217" t="str">
        <f aca="false">+A85</f>
        <v>[ocultar]</v>
      </c>
      <c r="B86" s="246" t="s">
        <v>372</v>
      </c>
      <c r="C86" s="247" t="n">
        <f aca="false" t="array" ref="C86:C86">SUM(IF($B86=DATOS_[Sexo], IF($B84=DATOS_[AGRUP. VALOR. PTO.], IF("Dentro"=DATOS_[Check Periodo Ref.], 1/(COUNTIFS(DATOS_[Sexo],$B86,DATOS_[AGRUP. VALOR. PTO.],$B84,DATOS_[Check Periodo Ref.],"Dentro",DATOS_[id],DATOS_[id]))))))</f>
        <v>0</v>
      </c>
      <c r="D86" s="248" t="n">
        <f aca="false">COUNTIFS(DATOS_[AGRUP. VALOR. PTO.],$B84,DATOS_[Sexo],$B86,DATOS_[Check Periodo Ref.],"Dentro")</f>
        <v>0</v>
      </c>
      <c r="E86" s="249" t="n">
        <f aca="false" t="array" ref="E86:E86">IFERROR( MEDIAN(IF(DATOS_[Sexo]=$B86,IF(DATOS_[AGRUP. VALOR. PTO.]=$B84,IF(DATOS_[Check Periodo Ref.]="Dentro",DATOS_[SALARIO BASE Ef],0)))), 0)</f>
        <v>0</v>
      </c>
      <c r="F86" s="250" t="n">
        <f aca="false" t="array" ref="F86:F86">IFERROR( MEDIAN((IF(DATOS_[[Sexo]:[Sexo]]=$B86,IF(DATOS_[[AGRUP. VALOR. PTO.]:[AGRUP. VALOR. PTO.]]=$B84,IF(DATOS_[[Check Periodo Ref.]:[Check Periodo Ref.]]="Dentro",DATOS_[Conc.Sal.01]))))), 0)</f>
        <v>0</v>
      </c>
      <c r="G86" s="250" t="n">
        <f aca="false" t="array" ref="G86:G86">IFERROR( MEDIAN((IF(DATOS_[[Sexo]:[Sexo]]=$B86,IF(DATOS_[[AGRUP. VALOR. PTO.]:[AGRUP. VALOR. PTO.]]=$B84,IF(DATOS_[[Check Periodo Ref.]:[Check Periodo Ref.]]="Dentro",DATOS_[Conc.Sal.02]))))), 0)</f>
        <v>0</v>
      </c>
      <c r="H86" s="250" t="n">
        <f aca="false" t="array" ref="H86:H86">IFERROR( MEDIAN((IF(DATOS_[[Sexo]:[Sexo]]=$B86,IF(DATOS_[[AGRUP. VALOR. PTO.]:[AGRUP. VALOR. PTO.]]=$B84,IF(DATOS_[[Check Periodo Ref.]:[Check Periodo Ref.]]="Dentro",DATOS_[Conc.Sal.03]))))), 0)</f>
        <v>0</v>
      </c>
      <c r="I86" s="250" t="n">
        <f aca="false" t="array" ref="I86:I86">IFERROR( MEDIAN((IF(DATOS_[[Sexo]:[Sexo]]=$B86,IF(DATOS_[[AGRUP. VALOR. PTO.]:[AGRUP. VALOR. PTO.]]=$B84,IF(DATOS_[[Check Periodo Ref.]:[Check Periodo Ref.]]="Dentro",DATOS_[Conc.Sal.04]))))), 0)</f>
        <v>0</v>
      </c>
      <c r="J86" s="250" t="n">
        <f aca="false" t="array" ref="J86:J86">IFERROR( MEDIAN((IF(DATOS_[[Sexo]:[Sexo]]=$B86,IF(DATOS_[[AGRUP. VALOR. PTO.]:[AGRUP. VALOR. PTO.]]=$B84,IF(DATOS_[[Check Periodo Ref.]:[Check Periodo Ref.]]="Dentro",DATOS_[Conc.Sal.05]))))), 0)</f>
        <v>0</v>
      </c>
      <c r="K86" s="250" t="n">
        <f aca="false" t="array" ref="K86:K86">IFERROR( MEDIAN((IF(DATOS_[[Sexo]:[Sexo]]=$B86,IF(DATOS_[[AGRUP. VALOR. PTO.]:[AGRUP. VALOR. PTO.]]=$B84,IF(DATOS_[[Check Periodo Ref.]:[Check Periodo Ref.]]="Dentro",DATOS_[Conc.Sal.06]))))), 0)</f>
        <v>0</v>
      </c>
      <c r="L86" s="250" t="n">
        <f aca="false" t="array" ref="L86:L86">IFERROR( MEDIAN((IF(DATOS_[[Sexo]:[Sexo]]=$B86,IF(DATOS_[[AGRUP. VALOR. PTO.]:[AGRUP. VALOR. PTO.]]=$B84,IF(DATOS_[[Check Periodo Ref.]:[Check Periodo Ref.]]="Dentro",DATOS_[Conc.Sal.07]))))), 0)</f>
        <v>0</v>
      </c>
      <c r="M86" s="250" t="n">
        <f aca="false" t="array" ref="M86:M86">IFERROR( MEDIAN((IF(DATOS_[[Sexo]:[Sexo]]=$B86,IF(DATOS_[[AGRUP. VALOR. PTO.]:[AGRUP. VALOR. PTO.]]=$B84,IF(DATOS_[[Check Periodo Ref.]:[Check Periodo Ref.]]="Dentro",DATOS_[Conc.Sal.08]))))), 0)</f>
        <v>0</v>
      </c>
      <c r="N86" s="250" t="n">
        <f aca="false" t="array" ref="N86:N86">IFERROR( MEDIAN((IF(DATOS_[[Sexo]:[Sexo]]=$B86,IF(DATOS_[[AGRUP. VALOR. PTO.]:[AGRUP. VALOR. PTO.]]=$B84,IF(DATOS_[[Check Periodo Ref.]:[Check Periodo Ref.]]="Dentro",DATOS_[Conc.Sal.09]))))), 0)</f>
        <v>0</v>
      </c>
      <c r="O86" s="250" t="n">
        <f aca="false" t="array" ref="O86:O86">IFERROR( MEDIAN((IF(DATOS_[[Sexo]:[Sexo]]=$B86,IF(DATOS_[[AGRUP. VALOR. PTO.]:[AGRUP. VALOR. PTO.]]=$B84,IF(DATOS_[[Check Periodo Ref.]:[Check Periodo Ref.]]="Dentro",DATOS_[Conc.Sal.10]))))), 0)</f>
        <v>0</v>
      </c>
      <c r="P86" s="250" t="n">
        <f aca="false" t="array" ref="P86:P86">IFERROR( MEDIAN((IF(DATOS_[[Sexo]:[Sexo]]=$B86,IF(DATOS_[[AGRUP. VALOR. PTO.]:[AGRUP. VALOR. PTO.]]=$B84,IF(DATOS_[[Check Periodo Ref.]:[Check Periodo Ref.]]="Dentro",DATOS_[Conc.Sal.11]))))), 0)</f>
        <v>0</v>
      </c>
      <c r="Q86" s="250" t="n">
        <f aca="false" t="array" ref="Q86:Q86">IFERROR( MEDIAN((IF(DATOS_[[Sexo]:[Sexo]]=$B86,IF(DATOS_[[AGRUP. VALOR. PTO.]:[AGRUP. VALOR. PTO.]]=$B84,IF(DATOS_[[Check Periodo Ref.]:[Check Periodo Ref.]]="Dentro",DATOS_[Conc.Sal.12]))))), 0)</f>
        <v>0</v>
      </c>
      <c r="R86" s="250" t="n">
        <f aca="false" t="array" ref="R86:R86">IFERROR( MEDIAN((IF(DATOS_[[Sexo]:[Sexo]]=$B86,IF(DATOS_[[AGRUP. VALOR. PTO.]:[AGRUP. VALOR. PTO.]]=$B84,IF(DATOS_[[Check Periodo Ref.]:[Check Periodo Ref.]]="Dentro",DATOS_[Conc.Sal.13]))))), 0)</f>
        <v>0</v>
      </c>
      <c r="S86" s="250" t="n">
        <f aca="false" t="array" ref="S86:S86">IFERROR( MEDIAN((IF(DATOS_[[Sexo]:[Sexo]]=$B86,IF(DATOS_[[AGRUP. VALOR. PTO.]:[AGRUP. VALOR. PTO.]]=$B84,IF(DATOS_[[Check Periodo Ref.]:[Check Periodo Ref.]]="Dentro",DATOS_[Conc.Sal.14]))))), 0)</f>
        <v>0</v>
      </c>
      <c r="T86" s="250" t="n">
        <f aca="false" t="array" ref="T86:T86">IFERROR( MEDIAN((IF(DATOS_[[Sexo]:[Sexo]]=$B86,IF(DATOS_[[AGRUP. VALOR. PTO.]:[AGRUP. VALOR. PTO.]]=$B84,IF(DATOS_[[Check Periodo Ref.]:[Check Periodo Ref.]]="Dentro",DATOS_[Conc.Sal.15]))))), 0)</f>
        <v>0</v>
      </c>
      <c r="U86" s="250" t="n">
        <f aca="false" t="array" ref="U86:U86">IFERROR( MEDIAN((IF(DATOS_[[Sexo]:[Sexo]]=$B86,IF(DATOS_[[AGRUP. VALOR. PTO.]:[AGRUP. VALOR. PTO.]]=$B84,IF(DATOS_[[Check Periodo Ref.]:[Check Periodo Ref.]]="Dentro",DATOS_[Conc.Sal.16]))))), 0)</f>
        <v>0</v>
      </c>
      <c r="V86" s="250" t="n">
        <f aca="false" t="array" ref="V86:V86">IFERROR( MEDIAN((IF(DATOS_[[Sexo]:[Sexo]]=$B86,IF(DATOS_[[AGRUP. VALOR. PTO.]:[AGRUP. VALOR. PTO.]]=$B84,IF(DATOS_[[Check Periodo Ref.]:[Check Periodo Ref.]]="Dentro",DATOS_[Conc.Sal.17]))))), 0)</f>
        <v>0</v>
      </c>
      <c r="W86" s="250" t="n">
        <f aca="false" t="array" ref="W86:W86">IFERROR( MEDIAN((IF(DATOS_[[Sexo]:[Sexo]]=$B86,IF(DATOS_[[AGRUP. VALOR. PTO.]:[AGRUP. VALOR. PTO.]]=$B84,IF(DATOS_[[Check Periodo Ref.]:[Check Periodo Ref.]]="Dentro",DATOS_[Conc.Sal.18]))))), 0)</f>
        <v>0</v>
      </c>
      <c r="X86" s="250" t="n">
        <f aca="false" t="array" ref="X86:X86">IFERROR( MEDIAN((IF(DATOS_[[Sexo]:[Sexo]]=$B86,IF(DATOS_[[AGRUP. VALOR. PTO.]:[AGRUP. VALOR. PTO.]]=$B84,IF(DATOS_[[Check Periodo Ref.]:[Check Periodo Ref.]]="Dentro",DATOS_[Conc.Sal.19]))))), 0)</f>
        <v>0</v>
      </c>
      <c r="Y86" s="250" t="n">
        <f aca="false" t="array" ref="Y86:Y86">IFERROR( MEDIAN((IF(DATOS_[[Sexo]:[Sexo]]=$B86,IF(DATOS_[[AGRUP. VALOR. PTO.]:[AGRUP. VALOR. PTO.]]=$B84,IF(DATOS_[[Check Periodo Ref.]:[Check Periodo Ref.]]="Dentro",DATOS_[Conc.Sal.20]))))), 0)</f>
        <v>0</v>
      </c>
      <c r="Z86" s="250" t="n">
        <f aca="false" t="array" ref="Z86:Z86">IFERROR( MEDIAN((IF(DATOS_[[Sexo]:[Sexo]]=$B86,IF(DATOS_[[AGRUP. VALOR. PTO.]:[AGRUP. VALOR. PTO.]]=$B84,IF(DATOS_[[Check Periodo Ref.]:[Check Periodo Ref.]]="Dentro",DATOS_[Conc.Sal.21]))))), 0)</f>
        <v>0</v>
      </c>
      <c r="AA86" s="250" t="n">
        <f aca="false" t="array" ref="AA86:AA86">IFERROR( MEDIAN((IF(DATOS_[[Sexo]:[Sexo]]=$B86,IF(DATOS_[[AGRUP. VALOR. PTO.]:[AGRUP. VALOR. PTO.]]=$B84,IF(DATOS_[[Check Periodo Ref.]:[Check Periodo Ref.]]="Dentro",DATOS_[Conc.Sal.22]))))), 0)</f>
        <v>0</v>
      </c>
      <c r="AB86" s="250" t="n">
        <f aca="false" t="array" ref="AB86:AB86">IFERROR( MEDIAN((IF(DATOS_[[Sexo]:[Sexo]]=$B86,IF(DATOS_[[AGRUP. VALOR. PTO.]:[AGRUP. VALOR. PTO.]]=$B84,IF(DATOS_[[Check Periodo Ref.]:[Check Periodo Ref.]]="Dentro",DATOS_[Conc.Sal.23]))))), 0)</f>
        <v>0</v>
      </c>
      <c r="AC86" s="250" t="n">
        <f aca="false" t="array" ref="AC86:AC86">IFERROR( MEDIAN((IF(DATOS_[[Sexo]:[Sexo]]=$B86,IF(DATOS_[[AGRUP. VALOR. PTO.]:[AGRUP. VALOR. PTO.]]=$B84,IF(DATOS_[[Check Periodo Ref.]:[Check Periodo Ref.]]="Dentro",DATOS_[Conc.Sal.24]))))), 0)</f>
        <v>0</v>
      </c>
      <c r="AD86" s="250" t="n">
        <f aca="false" t="array" ref="AD86:AD86">IFERROR( MEDIAN((IF(DATOS_[[Sexo]:[Sexo]]=$B86,IF(DATOS_[[AGRUP. VALOR. PTO.]:[AGRUP. VALOR. PTO.]]=$B84,IF(DATOS_[[Check Periodo Ref.]:[Check Periodo Ref.]]="Dentro",DATOS_[Conc.Sal.25]))))), 0)</f>
        <v>0</v>
      </c>
      <c r="AE86" s="250" t="n">
        <f aca="false" t="array" ref="AE86:AE86">IFERROR( MEDIAN((IF(DATOS_[[Sexo]:[Sexo]]=$B86,IF(DATOS_[[AGRUP. VALOR. PTO.]:[AGRUP. VALOR. PTO.]]=$B84,IF(DATOS_[[Check Periodo Ref.]:[Check Periodo Ref.]]="Dentro",DATOS_[Conc.Sal.26]))))), 0)</f>
        <v>0</v>
      </c>
      <c r="AF86" s="250" t="n">
        <f aca="false" t="array" ref="AF86:AF86">IFERROR( MEDIAN((IF(DATOS_[[Sexo]:[Sexo]]=$B86,IF(DATOS_[[AGRUP. VALOR. PTO.]:[AGRUP. VALOR. PTO.]]=$B84,IF(DATOS_[[Check Periodo Ref.]:[Check Periodo Ref.]]="Dentro",DATOS_[Conc.Sal.27]))))), 0)</f>
        <v>0</v>
      </c>
      <c r="AG86" s="250" t="n">
        <f aca="false" t="array" ref="AG86:AG86">IFERROR( MEDIAN((IF(DATOS_[[Sexo]:[Sexo]]=$B86,IF(DATOS_[[AGRUP. VALOR. PTO.]:[AGRUP. VALOR. PTO.]]=$B84,IF(DATOS_[[Check Periodo Ref.]:[Check Periodo Ref.]]="Dentro",DATOS_[Conc.Sal.28]))))), 0)</f>
        <v>0</v>
      </c>
      <c r="AH86" s="250" t="n">
        <f aca="false" t="array" ref="AH86:AH86">IFERROR( MEDIAN((IF(DATOS_[[Sexo]:[Sexo]]=$B86,IF(DATOS_[[AGRUP. VALOR. PTO.]:[AGRUP. VALOR. PTO.]]=$B84,IF(DATOS_[[Check Periodo Ref.]:[Check Periodo Ref.]]="Dentro",DATOS_[Conc.Sal.29]))))), 0)</f>
        <v>0</v>
      </c>
      <c r="AI86" s="250" t="n">
        <f aca="false" t="array" ref="AI86:AI86">IFERROR( MEDIAN((IF(DATOS_[[Sexo]:[Sexo]]=$B86,IF(DATOS_[[AGRUP. VALOR. PTO.]:[AGRUP. VALOR. PTO.]]=$B84,IF(DATOS_[[Check Periodo Ref.]:[Check Periodo Ref.]]="Dentro",DATOS_[Conc.Sal.30]))))), 0)</f>
        <v>0</v>
      </c>
      <c r="AJ86" s="251" t="n">
        <f aca="false" t="array" ref="AJ86:AJ86">IFERROR( MEDIAN(IF(DATOS_[Sexo]=$B86,IF(DATOS_[AGRUP. VALOR. PTO.]=$B84,IF(DATOS_[Check Periodo Ref.]="Dentro",DATOS_[Tot COMPL.SAL Ef],0)))), 0)</f>
        <v>0</v>
      </c>
      <c r="AK86" s="252" t="n">
        <f aca="false" t="array" ref="AK86:AK86">IFERROR( MEDIAN(IF(DATOS_[Sexo]=$B86,IF(DATOS_[AGRUP. VALOR. PTO.]=$B84,IF(DATOS_[Check Periodo Ref.]="Dentro",DATOS_[TOTAL SALARIO Ef],0)))), 0)</f>
        <v>0</v>
      </c>
      <c r="AL86" s="259" t="n">
        <f aca="false" t="array" ref="AL86:AL86">IFERROR( MEDIAN((IF(DATOS_[[Sexo]:[Sexo]]=$B86,IF(DATOS_[[AGRUP. VALOR. PTO.]:[AGRUP. VALOR. PTO.]]=$B84,IF(DATOS_[[Check Periodo Ref.]:[Check Periodo Ref.]]="Dentro",DATOS_[C.Extra.01]))))), 0)</f>
        <v>0</v>
      </c>
      <c r="AM86" s="259" t="n">
        <f aca="false" t="array" ref="AM86:AM86">IFERROR( MEDIAN((IF(DATOS_[[Sexo]:[Sexo]]=$B86,IF(DATOS_[[AGRUP. VALOR. PTO.]:[AGRUP. VALOR. PTO.]]=$B84,IF(DATOS_[[Check Periodo Ref.]:[Check Periodo Ref.]]="Dentro",DATOS_[C.Extra.02]))))), 0)</f>
        <v>0</v>
      </c>
      <c r="AN86" s="259" t="n">
        <f aca="false" t="array" ref="AN86:AN86">IFERROR( MEDIAN((IF(DATOS_[[Sexo]:[Sexo]]=$B86,IF(DATOS_[[AGRUP. VALOR. PTO.]:[AGRUP. VALOR. PTO.]]=$B84,IF(DATOS_[[Check Periodo Ref.]:[Check Periodo Ref.]]="Dentro",DATOS_[C.Extra.03]))))), 0)</f>
        <v>0</v>
      </c>
      <c r="AO86" s="259" t="n">
        <f aca="false" t="array" ref="AO86:AO86">IFERROR( MEDIAN((IF(DATOS_[[Sexo]:[Sexo]]=$B86,IF(DATOS_[[AGRUP. VALOR. PTO.]:[AGRUP. VALOR. PTO.]]=$B84,IF(DATOS_[[Check Periodo Ref.]:[Check Periodo Ref.]]="Dentro",DATOS_[C.Extra.04]))))), 0)</f>
        <v>0</v>
      </c>
      <c r="AP86" s="259" t="n">
        <f aca="false" t="array" ref="AP86:AP86">IFERROR( MEDIAN((IF(DATOS_[[Sexo]:[Sexo]]=$B86,IF(DATOS_[[AGRUP. VALOR. PTO.]:[AGRUP. VALOR. PTO.]]=$B84,IF(DATOS_[[Check Periodo Ref.]:[Check Periodo Ref.]]="Dentro",DATOS_[C.Extra.05]))))), 0)</f>
        <v>0</v>
      </c>
      <c r="AQ86" s="254" t="n">
        <f aca="false" t="array" ref="AQ86:AQ86">IFERROR( MEDIAN(IF(DATOS_[Sexo]=$B86,IF(DATOS_[AGRUP. VALOR. PTO.]=$B84,IF(DATOS_[Check Periodo Ref.]="Dentro",DATOS_[Tot Extrasalarial Ef],0)))), 0)</f>
        <v>0</v>
      </c>
      <c r="AR86" s="255" t="n">
        <f aca="false" t="array" ref="AR86:AR86">IFERROR( MEDIAN(IF(DATOS_[Sexo]=$B86,IF(DATOS_[AGRUP. VALOR. PTO.]=$B84,IF(DATOS_[Check Periodo Ref.]="Dentro",DATOS_[TOTAL Retrib Ef],0)))), 0)</f>
        <v>0</v>
      </c>
    </row>
    <row r="87" customFormat="false" ht="15.75" hidden="false" customHeight="false" outlineLevel="0" collapsed="false">
      <c r="A87" s="217" t="str">
        <f aca="false">+A88</f>
        <v>[ocultar]</v>
      </c>
      <c r="B87" s="235" t="s">
        <v>241</v>
      </c>
      <c r="C87" s="236"/>
      <c r="D87" s="237"/>
      <c r="E87" s="238" t="str">
        <f aca="false">IFERROR((E88-E89)/E88,"")</f>
        <v/>
      </c>
      <c r="F87" s="239" t="str">
        <f aca="false">IFERROR((F88-F89)/F88,"")</f>
        <v/>
      </c>
      <c r="G87" s="239" t="str">
        <f aca="false">IFERROR((G88-G89)/G88,"")</f>
        <v/>
      </c>
      <c r="H87" s="239" t="str">
        <f aca="false">IFERROR((H88-H89)/H88,"")</f>
        <v/>
      </c>
      <c r="I87" s="239"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40" t="str">
        <f aca="false">IFERROR((V88-V89)/V88,"")</f>
        <v/>
      </c>
      <c r="W87" s="240" t="str">
        <f aca="false">IFERROR((W88-W89)/W88,"")</f>
        <v/>
      </c>
      <c r="X87" s="240" t="str">
        <f aca="false">IFERROR((X88-X89)/X88,"")</f>
        <v/>
      </c>
      <c r="Y87" s="240"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1" t="str">
        <f aca="false">IFERROR((AJ88-AJ89)/AJ88,"")</f>
        <v/>
      </c>
      <c r="AK87" s="242" t="str">
        <f aca="false">IFERROR((AK88-AK89)/AK88,"")</f>
        <v/>
      </c>
      <c r="AL87" s="243" t="str">
        <f aca="false">IFERROR((AL88-AL89)/AL88,"")</f>
        <v/>
      </c>
      <c r="AM87" s="243" t="str">
        <f aca="false">IFERROR((AM88-AM89)/AM88,"")</f>
        <v/>
      </c>
      <c r="AN87" s="243" t="str">
        <f aca="false">IFERROR((AN88-AN89)/AN88,"")</f>
        <v/>
      </c>
      <c r="AO87" s="243" t="str">
        <f aca="false">IFERROR((AO88-AO89)/AO88,"")</f>
        <v/>
      </c>
      <c r="AP87" s="243" t="str">
        <f aca="false">IFERROR((AP88-AP89)/AP88,"")</f>
        <v/>
      </c>
      <c r="AQ87" s="244" t="str">
        <f aca="false">IFERROR((AQ88-AQ89)/AQ88,"")</f>
        <v/>
      </c>
      <c r="AR87" s="245" t="str">
        <f aca="false">IFERROR((AR88-AR89)/AR88,"")</f>
        <v/>
      </c>
    </row>
    <row r="88" customFormat="false" ht="14.25" hidden="false" customHeight="false" outlineLevel="0" collapsed="false">
      <c r="A88" s="217" t="str">
        <f aca="false">+IF(C88+C89=0,"[ocultar]","")</f>
        <v>[ocultar]</v>
      </c>
      <c r="B88" s="246" t="s">
        <v>371</v>
      </c>
      <c r="C88" s="247" t="n">
        <f aca="false" t="array" ref="C88:C88">SUM(IF($B88=DATOS_[Sexo], IF($B87=DATOS_[AGRUP. VALOR. PTO.], IF("Dentro"=DATOS_[Check Periodo Ref.], 1/(COUNTIFS(DATOS_[Sexo],$B88,DATOS_[AGRUP. VALOR. PTO.],$B87,DATOS_[Check Periodo Ref.],"Dentro",DATOS_[id],DATOS_[id]))))))</f>
        <v>0</v>
      </c>
      <c r="D88" s="248" t="n">
        <f aca="false">COUNTIFS(DATOS_[AGRUP. VALOR. PTO.],$B87,DATOS_[Sexo],$B88,DATOS_[Check Periodo Ref.],"Dentro")</f>
        <v>0</v>
      </c>
      <c r="E88" s="249" t="n">
        <f aca="false" t="array" ref="E88:E88">IFERROR( MEDIAN(IF(DATOS_[Sexo]=$B88,IF(DATOS_[AGRUP. VALOR. PTO.]=$B87,IF(DATOS_[Check Periodo Ref.]="Dentro",DATOS_[SALARIO BASE Ef],0)))), 0)</f>
        <v>0</v>
      </c>
      <c r="F88" s="250" t="n">
        <f aca="false" t="array" ref="F88:F88">IFERROR( MEDIAN((IF(DATOS_[[Sexo]:[Sexo]]=$B88,IF(DATOS_[[AGRUP. VALOR. PTO.]:[AGRUP. VALOR. PTO.]]=$B87,IF(DATOS_[[Check Periodo Ref.]:[Check Periodo Ref.]]="Dentro",DATOS_[Conc.Sal.01]))))), 0)</f>
        <v>0</v>
      </c>
      <c r="G88" s="250" t="n">
        <f aca="false" t="array" ref="G88:G88">IFERROR( MEDIAN((IF(DATOS_[[Sexo]:[Sexo]]=$B88,IF(DATOS_[[AGRUP. VALOR. PTO.]:[AGRUP. VALOR. PTO.]]=$B87,IF(DATOS_[[Check Periodo Ref.]:[Check Periodo Ref.]]="Dentro",DATOS_[Conc.Sal.02]))))), 0)</f>
        <v>0</v>
      </c>
      <c r="H88" s="250" t="n">
        <f aca="false" t="array" ref="H88:H88">IFERROR( MEDIAN((IF(DATOS_[[Sexo]:[Sexo]]=$B88,IF(DATOS_[[AGRUP. VALOR. PTO.]:[AGRUP. VALOR. PTO.]]=$B87,IF(DATOS_[[Check Periodo Ref.]:[Check Periodo Ref.]]="Dentro",DATOS_[Conc.Sal.03]))))), 0)</f>
        <v>0</v>
      </c>
      <c r="I88" s="250" t="n">
        <f aca="false" t="array" ref="I88:I88">IFERROR( MEDIAN((IF(DATOS_[[Sexo]:[Sexo]]=$B88,IF(DATOS_[[AGRUP. VALOR. PTO.]:[AGRUP. VALOR. PTO.]]=$B87,IF(DATOS_[[Check Periodo Ref.]:[Check Periodo Ref.]]="Dentro",DATOS_[Conc.Sal.04]))))), 0)</f>
        <v>0</v>
      </c>
      <c r="J88" s="250" t="n">
        <f aca="false" t="array" ref="J88:J88">IFERROR( MEDIAN((IF(DATOS_[[Sexo]:[Sexo]]=$B88,IF(DATOS_[[AGRUP. VALOR. PTO.]:[AGRUP. VALOR. PTO.]]=$B87,IF(DATOS_[[Check Periodo Ref.]:[Check Periodo Ref.]]="Dentro",DATOS_[Conc.Sal.05]))))), 0)</f>
        <v>0</v>
      </c>
      <c r="K88" s="250" t="n">
        <f aca="false" t="array" ref="K88:K88">IFERROR( MEDIAN((IF(DATOS_[[Sexo]:[Sexo]]=$B88,IF(DATOS_[[AGRUP. VALOR. PTO.]:[AGRUP. VALOR. PTO.]]=$B87,IF(DATOS_[[Check Periodo Ref.]:[Check Periodo Ref.]]="Dentro",DATOS_[Conc.Sal.06]))))), 0)</f>
        <v>0</v>
      </c>
      <c r="L88" s="250" t="n">
        <f aca="false" t="array" ref="L88:L88">IFERROR( MEDIAN((IF(DATOS_[[Sexo]:[Sexo]]=$B88,IF(DATOS_[[AGRUP. VALOR. PTO.]:[AGRUP. VALOR. PTO.]]=$B87,IF(DATOS_[[Check Periodo Ref.]:[Check Periodo Ref.]]="Dentro",DATOS_[Conc.Sal.07]))))), 0)</f>
        <v>0</v>
      </c>
      <c r="M88" s="250" t="n">
        <f aca="false" t="array" ref="M88:M88">IFERROR( MEDIAN((IF(DATOS_[[Sexo]:[Sexo]]=$B88,IF(DATOS_[[AGRUP. VALOR. PTO.]:[AGRUP. VALOR. PTO.]]=$B87,IF(DATOS_[[Check Periodo Ref.]:[Check Periodo Ref.]]="Dentro",DATOS_[Conc.Sal.08]))))), 0)</f>
        <v>0</v>
      </c>
      <c r="N88" s="250" t="n">
        <f aca="false" t="array" ref="N88:N88">IFERROR( MEDIAN((IF(DATOS_[[Sexo]:[Sexo]]=$B88,IF(DATOS_[[AGRUP. VALOR. PTO.]:[AGRUP. VALOR. PTO.]]=$B87,IF(DATOS_[[Check Periodo Ref.]:[Check Periodo Ref.]]="Dentro",DATOS_[Conc.Sal.09]))))), 0)</f>
        <v>0</v>
      </c>
      <c r="O88" s="250" t="n">
        <f aca="false" t="array" ref="O88:O88">IFERROR( MEDIAN((IF(DATOS_[[Sexo]:[Sexo]]=$B88,IF(DATOS_[[AGRUP. VALOR. PTO.]:[AGRUP. VALOR. PTO.]]=$B87,IF(DATOS_[[Check Periodo Ref.]:[Check Periodo Ref.]]="Dentro",DATOS_[Conc.Sal.10]))))), 0)</f>
        <v>0</v>
      </c>
      <c r="P88" s="250" t="n">
        <f aca="false" t="array" ref="P88:P88">IFERROR( MEDIAN((IF(DATOS_[[Sexo]:[Sexo]]=$B88,IF(DATOS_[[AGRUP. VALOR. PTO.]:[AGRUP. VALOR. PTO.]]=$B87,IF(DATOS_[[Check Periodo Ref.]:[Check Periodo Ref.]]="Dentro",DATOS_[Conc.Sal.11]))))), 0)</f>
        <v>0</v>
      </c>
      <c r="Q88" s="250" t="n">
        <f aca="false" t="array" ref="Q88:Q88">IFERROR( MEDIAN((IF(DATOS_[[Sexo]:[Sexo]]=$B88,IF(DATOS_[[AGRUP. VALOR. PTO.]:[AGRUP. VALOR. PTO.]]=$B87,IF(DATOS_[[Check Periodo Ref.]:[Check Periodo Ref.]]="Dentro",DATOS_[Conc.Sal.12]))))), 0)</f>
        <v>0</v>
      </c>
      <c r="R88" s="250" t="n">
        <f aca="false" t="array" ref="R88:R88">IFERROR( MEDIAN((IF(DATOS_[[Sexo]:[Sexo]]=$B88,IF(DATOS_[[AGRUP. VALOR. PTO.]:[AGRUP. VALOR. PTO.]]=$B87,IF(DATOS_[[Check Periodo Ref.]:[Check Periodo Ref.]]="Dentro",DATOS_[Conc.Sal.13]))))), 0)</f>
        <v>0</v>
      </c>
      <c r="S88" s="250" t="n">
        <f aca="false" t="array" ref="S88:S88">IFERROR( MEDIAN((IF(DATOS_[[Sexo]:[Sexo]]=$B88,IF(DATOS_[[AGRUP. VALOR. PTO.]:[AGRUP. VALOR. PTO.]]=$B87,IF(DATOS_[[Check Periodo Ref.]:[Check Periodo Ref.]]="Dentro",DATOS_[Conc.Sal.14]))))), 0)</f>
        <v>0</v>
      </c>
      <c r="T88" s="250" t="n">
        <f aca="false" t="array" ref="T88:T88">IFERROR( MEDIAN((IF(DATOS_[[Sexo]:[Sexo]]=$B88,IF(DATOS_[[AGRUP. VALOR. PTO.]:[AGRUP. VALOR. PTO.]]=$B87,IF(DATOS_[[Check Periodo Ref.]:[Check Periodo Ref.]]="Dentro",DATOS_[Conc.Sal.15]))))), 0)</f>
        <v>0</v>
      </c>
      <c r="U88" s="250" t="n">
        <f aca="false" t="array" ref="U88:U88">IFERROR( MEDIAN((IF(DATOS_[[Sexo]:[Sexo]]=$B88,IF(DATOS_[[AGRUP. VALOR. PTO.]:[AGRUP. VALOR. PTO.]]=$B87,IF(DATOS_[[Check Periodo Ref.]:[Check Periodo Ref.]]="Dentro",DATOS_[Conc.Sal.16]))))), 0)</f>
        <v>0</v>
      </c>
      <c r="V88" s="250" t="n">
        <f aca="false" t="array" ref="V88:V88">IFERROR( MEDIAN((IF(DATOS_[[Sexo]:[Sexo]]=$B88,IF(DATOS_[[AGRUP. VALOR. PTO.]:[AGRUP. VALOR. PTO.]]=$B87,IF(DATOS_[[Check Periodo Ref.]:[Check Periodo Ref.]]="Dentro",DATOS_[Conc.Sal.17]))))), 0)</f>
        <v>0</v>
      </c>
      <c r="W88" s="250" t="n">
        <f aca="false" t="array" ref="W88:W88">IFERROR( MEDIAN((IF(DATOS_[[Sexo]:[Sexo]]=$B88,IF(DATOS_[[AGRUP. VALOR. PTO.]:[AGRUP. VALOR. PTO.]]=$B87,IF(DATOS_[[Check Periodo Ref.]:[Check Periodo Ref.]]="Dentro",DATOS_[Conc.Sal.18]))))), 0)</f>
        <v>0</v>
      </c>
      <c r="X88" s="250" t="n">
        <f aca="false" t="array" ref="X88:X88">IFERROR( MEDIAN((IF(DATOS_[[Sexo]:[Sexo]]=$B88,IF(DATOS_[[AGRUP. VALOR. PTO.]:[AGRUP. VALOR. PTO.]]=$B87,IF(DATOS_[[Check Periodo Ref.]:[Check Periodo Ref.]]="Dentro",DATOS_[Conc.Sal.19]))))), 0)</f>
        <v>0</v>
      </c>
      <c r="Y88" s="250" t="n">
        <f aca="false" t="array" ref="Y88:Y88">IFERROR( MEDIAN((IF(DATOS_[[Sexo]:[Sexo]]=$B88,IF(DATOS_[[AGRUP. VALOR. PTO.]:[AGRUP. VALOR. PTO.]]=$B87,IF(DATOS_[[Check Periodo Ref.]:[Check Periodo Ref.]]="Dentro",DATOS_[Conc.Sal.20]))))), 0)</f>
        <v>0</v>
      </c>
      <c r="Z88" s="250" t="n">
        <f aca="false" t="array" ref="Z88:Z88">IFERROR( MEDIAN((IF(DATOS_[[Sexo]:[Sexo]]=$B88,IF(DATOS_[[AGRUP. VALOR. PTO.]:[AGRUP. VALOR. PTO.]]=$B87,IF(DATOS_[[Check Periodo Ref.]:[Check Periodo Ref.]]="Dentro",DATOS_[Conc.Sal.21]))))), 0)</f>
        <v>0</v>
      </c>
      <c r="AA88" s="250" t="n">
        <f aca="false" t="array" ref="AA88:AA88">IFERROR( MEDIAN((IF(DATOS_[[Sexo]:[Sexo]]=$B88,IF(DATOS_[[AGRUP. VALOR. PTO.]:[AGRUP. VALOR. PTO.]]=$B87,IF(DATOS_[[Check Periodo Ref.]:[Check Periodo Ref.]]="Dentro",DATOS_[Conc.Sal.22]))))), 0)</f>
        <v>0</v>
      </c>
      <c r="AB88" s="250" t="n">
        <f aca="false" t="array" ref="AB88:AB88">IFERROR( MEDIAN((IF(DATOS_[[Sexo]:[Sexo]]=$B88,IF(DATOS_[[AGRUP. VALOR. PTO.]:[AGRUP. VALOR. PTO.]]=$B87,IF(DATOS_[[Check Periodo Ref.]:[Check Periodo Ref.]]="Dentro",DATOS_[Conc.Sal.23]))))), 0)</f>
        <v>0</v>
      </c>
      <c r="AC88" s="250" t="n">
        <f aca="false" t="array" ref="AC88:AC88">IFERROR( MEDIAN((IF(DATOS_[[Sexo]:[Sexo]]=$B88,IF(DATOS_[[AGRUP. VALOR. PTO.]:[AGRUP. VALOR. PTO.]]=$B87,IF(DATOS_[[Check Periodo Ref.]:[Check Periodo Ref.]]="Dentro",DATOS_[Conc.Sal.24]))))), 0)</f>
        <v>0</v>
      </c>
      <c r="AD88" s="250" t="n">
        <f aca="false" t="array" ref="AD88:AD88">IFERROR( MEDIAN((IF(DATOS_[[Sexo]:[Sexo]]=$B88,IF(DATOS_[[AGRUP. VALOR. PTO.]:[AGRUP. VALOR. PTO.]]=$B87,IF(DATOS_[[Check Periodo Ref.]:[Check Periodo Ref.]]="Dentro",DATOS_[Conc.Sal.25]))))), 0)</f>
        <v>0</v>
      </c>
      <c r="AE88" s="250" t="n">
        <f aca="false" t="array" ref="AE88:AE88">IFERROR( MEDIAN((IF(DATOS_[[Sexo]:[Sexo]]=$B88,IF(DATOS_[[AGRUP. VALOR. PTO.]:[AGRUP. VALOR. PTO.]]=$B87,IF(DATOS_[[Check Periodo Ref.]:[Check Periodo Ref.]]="Dentro",DATOS_[Conc.Sal.26]))))), 0)</f>
        <v>0</v>
      </c>
      <c r="AF88" s="250" t="n">
        <f aca="false" t="array" ref="AF88:AF88">IFERROR( MEDIAN((IF(DATOS_[[Sexo]:[Sexo]]=$B88,IF(DATOS_[[AGRUP. VALOR. PTO.]:[AGRUP. VALOR. PTO.]]=$B87,IF(DATOS_[[Check Periodo Ref.]:[Check Periodo Ref.]]="Dentro",DATOS_[Conc.Sal.27]))))), 0)</f>
        <v>0</v>
      </c>
      <c r="AG88" s="250" t="n">
        <f aca="false" t="array" ref="AG88:AG88">IFERROR( MEDIAN((IF(DATOS_[[Sexo]:[Sexo]]=$B88,IF(DATOS_[[AGRUP. VALOR. PTO.]:[AGRUP. VALOR. PTO.]]=$B87,IF(DATOS_[[Check Periodo Ref.]:[Check Periodo Ref.]]="Dentro",DATOS_[Conc.Sal.28]))))), 0)</f>
        <v>0</v>
      </c>
      <c r="AH88" s="250" t="n">
        <f aca="false" t="array" ref="AH88:AH88">IFERROR( MEDIAN((IF(DATOS_[[Sexo]:[Sexo]]=$B88,IF(DATOS_[[AGRUP. VALOR. PTO.]:[AGRUP. VALOR. PTO.]]=$B87,IF(DATOS_[[Check Periodo Ref.]:[Check Periodo Ref.]]="Dentro",DATOS_[Conc.Sal.29]))))), 0)</f>
        <v>0</v>
      </c>
      <c r="AI88" s="250" t="n">
        <f aca="false" t="array" ref="AI88:AI88">IFERROR( MEDIAN((IF(DATOS_[[Sexo]:[Sexo]]=$B88,IF(DATOS_[[AGRUP. VALOR. PTO.]:[AGRUP. VALOR. PTO.]]=$B87,IF(DATOS_[[Check Periodo Ref.]:[Check Periodo Ref.]]="Dentro",DATOS_[Conc.Sal.30]))))), 0)</f>
        <v>0</v>
      </c>
      <c r="AJ88" s="251" t="n">
        <f aca="false" t="array" ref="AJ88:AJ88">IFERROR( MEDIAN(IF(DATOS_[Sexo]=$B88,IF(DATOS_[AGRUP. VALOR. PTO.]=$B87,IF(DATOS_[Check Periodo Ref.]="Dentro",DATOS_[Tot COMPL.SAL Ef],0)))), 0)</f>
        <v>0</v>
      </c>
      <c r="AK88" s="252" t="n">
        <f aca="false" t="array" ref="AK88:AK88">IFERROR( MEDIAN(IF(DATOS_[Sexo]=$B88,IF(DATOS_[AGRUP. VALOR. PTO.]=$B87,IF(DATOS_[Check Periodo Ref.]="Dentro",DATOS_[TOTAL SALARIO Ef],0)))), 0)</f>
        <v>0</v>
      </c>
      <c r="AL88" s="259" t="n">
        <f aca="false" t="array" ref="AL88:AL88">IFERROR( MEDIAN((IF(DATOS_[[Sexo]:[Sexo]]=$B88,IF(DATOS_[[AGRUP. VALOR. PTO.]:[AGRUP. VALOR. PTO.]]=$B87,IF(DATOS_[[Check Periodo Ref.]:[Check Periodo Ref.]]="Dentro",DATOS_[C.Extra.01]))))), 0)</f>
        <v>0</v>
      </c>
      <c r="AM88" s="259" t="n">
        <f aca="false" t="array" ref="AM88:AM88">IFERROR( MEDIAN((IF(DATOS_[[Sexo]:[Sexo]]=$B88,IF(DATOS_[[AGRUP. VALOR. PTO.]:[AGRUP. VALOR. PTO.]]=$B87,IF(DATOS_[[Check Periodo Ref.]:[Check Periodo Ref.]]="Dentro",DATOS_[C.Extra.02]))))), 0)</f>
        <v>0</v>
      </c>
      <c r="AN88" s="259" t="n">
        <f aca="false" t="array" ref="AN88:AN88">IFERROR( MEDIAN((IF(DATOS_[[Sexo]:[Sexo]]=$B88,IF(DATOS_[[AGRUP. VALOR. PTO.]:[AGRUP. VALOR. PTO.]]=$B87,IF(DATOS_[[Check Periodo Ref.]:[Check Periodo Ref.]]="Dentro",DATOS_[C.Extra.03]))))), 0)</f>
        <v>0</v>
      </c>
      <c r="AO88" s="259" t="n">
        <f aca="false" t="array" ref="AO88:AO88">IFERROR( MEDIAN((IF(DATOS_[[Sexo]:[Sexo]]=$B88,IF(DATOS_[[AGRUP. VALOR. PTO.]:[AGRUP. VALOR. PTO.]]=$B87,IF(DATOS_[[Check Periodo Ref.]:[Check Periodo Ref.]]="Dentro",DATOS_[C.Extra.04]))))), 0)</f>
        <v>0</v>
      </c>
      <c r="AP88" s="259" t="n">
        <f aca="false" t="array" ref="AP88:AP88">IFERROR( MEDIAN((IF(DATOS_[[Sexo]:[Sexo]]=$B88,IF(DATOS_[[AGRUP. VALOR. PTO.]:[AGRUP. VALOR. PTO.]]=$B87,IF(DATOS_[[Check Periodo Ref.]:[Check Periodo Ref.]]="Dentro",DATOS_[C.Extra.05]))))), 0)</f>
        <v>0</v>
      </c>
      <c r="AQ88" s="254" t="n">
        <f aca="false" t="array" ref="AQ88:AQ88">IFERROR( MEDIAN(IF(DATOS_[Sexo]=$B88,IF(DATOS_[AGRUP. VALOR. PTO.]=$B87,IF(DATOS_[Check Periodo Ref.]="Dentro",DATOS_[Tot Extrasalarial Ef],0)))), 0)</f>
        <v>0</v>
      </c>
      <c r="AR88" s="255" t="n">
        <f aca="false" t="array" ref="AR88:AR88">IFERROR( MEDIAN(IF(DATOS_[Sexo]=$B88,IF(DATOS_[AGRUP. VALOR. PTO.]=$B87,IF(DATOS_[Check Periodo Ref.]="Dentro",DATOS_[TOTAL Retrib Ef],0)))), 0)</f>
        <v>0</v>
      </c>
    </row>
    <row r="89" customFormat="false" ht="14.25" hidden="false" customHeight="false" outlineLevel="0" collapsed="false">
      <c r="A89" s="217" t="str">
        <f aca="false">+A88</f>
        <v>[ocultar]</v>
      </c>
      <c r="B89" s="246" t="s">
        <v>372</v>
      </c>
      <c r="C89" s="247" t="n">
        <f aca="false" t="array" ref="C89:C89">SUM(IF($B89=DATOS_[Sexo], IF($B87=DATOS_[AGRUP. VALOR. PTO.], IF("Dentro"=DATOS_[Check Periodo Ref.], 1/(COUNTIFS(DATOS_[Sexo],$B89,DATOS_[AGRUP. VALOR. PTO.],$B87,DATOS_[Check Periodo Ref.],"Dentro",DATOS_[id],DATOS_[id]))))))</f>
        <v>0</v>
      </c>
      <c r="D89" s="248" t="n">
        <f aca="false">COUNTIFS(DATOS_[AGRUP. VALOR. PTO.],$B87,DATOS_[Sexo],$B89,DATOS_[Check Periodo Ref.],"Dentro")</f>
        <v>0</v>
      </c>
      <c r="E89" s="249" t="n">
        <f aca="false" t="array" ref="E89:E89">IFERROR( MEDIAN(IF(DATOS_[Sexo]=$B89,IF(DATOS_[AGRUP. VALOR. PTO.]=$B87,IF(DATOS_[Check Periodo Ref.]="Dentro",DATOS_[SALARIO BASE Ef],0)))), 0)</f>
        <v>0</v>
      </c>
      <c r="F89" s="250" t="n">
        <f aca="false" t="array" ref="F89:F89">IFERROR( MEDIAN((IF(DATOS_[[Sexo]:[Sexo]]=$B89,IF(DATOS_[[AGRUP. VALOR. PTO.]:[AGRUP. VALOR. PTO.]]=$B87,IF(DATOS_[[Check Periodo Ref.]:[Check Periodo Ref.]]="Dentro",DATOS_[Conc.Sal.01]))))), 0)</f>
        <v>0</v>
      </c>
      <c r="G89" s="250" t="n">
        <f aca="false" t="array" ref="G89:G89">IFERROR( MEDIAN((IF(DATOS_[[Sexo]:[Sexo]]=$B89,IF(DATOS_[[AGRUP. VALOR. PTO.]:[AGRUP. VALOR. PTO.]]=$B87,IF(DATOS_[[Check Periodo Ref.]:[Check Periodo Ref.]]="Dentro",DATOS_[Conc.Sal.02]))))), 0)</f>
        <v>0</v>
      </c>
      <c r="H89" s="250" t="n">
        <f aca="false" t="array" ref="H89:H89">IFERROR( MEDIAN((IF(DATOS_[[Sexo]:[Sexo]]=$B89,IF(DATOS_[[AGRUP. VALOR. PTO.]:[AGRUP. VALOR. PTO.]]=$B87,IF(DATOS_[[Check Periodo Ref.]:[Check Periodo Ref.]]="Dentro",DATOS_[Conc.Sal.03]))))), 0)</f>
        <v>0</v>
      </c>
      <c r="I89" s="250" t="n">
        <f aca="false" t="array" ref="I89:I89">IFERROR( MEDIAN((IF(DATOS_[[Sexo]:[Sexo]]=$B89,IF(DATOS_[[AGRUP. VALOR. PTO.]:[AGRUP. VALOR. PTO.]]=$B87,IF(DATOS_[[Check Periodo Ref.]:[Check Periodo Ref.]]="Dentro",DATOS_[Conc.Sal.04]))))), 0)</f>
        <v>0</v>
      </c>
      <c r="J89" s="250" t="n">
        <f aca="false" t="array" ref="J89:J89">IFERROR( MEDIAN((IF(DATOS_[[Sexo]:[Sexo]]=$B89,IF(DATOS_[[AGRUP. VALOR. PTO.]:[AGRUP. VALOR. PTO.]]=$B87,IF(DATOS_[[Check Periodo Ref.]:[Check Periodo Ref.]]="Dentro",DATOS_[Conc.Sal.05]))))), 0)</f>
        <v>0</v>
      </c>
      <c r="K89" s="250" t="n">
        <f aca="false" t="array" ref="K89:K89">IFERROR( MEDIAN((IF(DATOS_[[Sexo]:[Sexo]]=$B89,IF(DATOS_[[AGRUP. VALOR. PTO.]:[AGRUP. VALOR. PTO.]]=$B87,IF(DATOS_[[Check Periodo Ref.]:[Check Periodo Ref.]]="Dentro",DATOS_[Conc.Sal.06]))))), 0)</f>
        <v>0</v>
      </c>
      <c r="L89" s="250" t="n">
        <f aca="false" t="array" ref="L89:L89">IFERROR( MEDIAN((IF(DATOS_[[Sexo]:[Sexo]]=$B89,IF(DATOS_[[AGRUP. VALOR. PTO.]:[AGRUP. VALOR. PTO.]]=$B87,IF(DATOS_[[Check Periodo Ref.]:[Check Periodo Ref.]]="Dentro",DATOS_[Conc.Sal.07]))))), 0)</f>
        <v>0</v>
      </c>
      <c r="M89" s="250" t="n">
        <f aca="false" t="array" ref="M89:M89">IFERROR( MEDIAN((IF(DATOS_[[Sexo]:[Sexo]]=$B89,IF(DATOS_[[AGRUP. VALOR. PTO.]:[AGRUP. VALOR. PTO.]]=$B87,IF(DATOS_[[Check Periodo Ref.]:[Check Periodo Ref.]]="Dentro",DATOS_[Conc.Sal.08]))))), 0)</f>
        <v>0</v>
      </c>
      <c r="N89" s="250" t="n">
        <f aca="false" t="array" ref="N89:N89">IFERROR( MEDIAN((IF(DATOS_[[Sexo]:[Sexo]]=$B89,IF(DATOS_[[AGRUP. VALOR. PTO.]:[AGRUP. VALOR. PTO.]]=$B87,IF(DATOS_[[Check Periodo Ref.]:[Check Periodo Ref.]]="Dentro",DATOS_[Conc.Sal.09]))))), 0)</f>
        <v>0</v>
      </c>
      <c r="O89" s="250" t="n">
        <f aca="false" t="array" ref="O89:O89">IFERROR( MEDIAN((IF(DATOS_[[Sexo]:[Sexo]]=$B89,IF(DATOS_[[AGRUP. VALOR. PTO.]:[AGRUP. VALOR. PTO.]]=$B87,IF(DATOS_[[Check Periodo Ref.]:[Check Periodo Ref.]]="Dentro",DATOS_[Conc.Sal.10]))))), 0)</f>
        <v>0</v>
      </c>
      <c r="P89" s="250" t="n">
        <f aca="false" t="array" ref="P89:P89">IFERROR( MEDIAN((IF(DATOS_[[Sexo]:[Sexo]]=$B89,IF(DATOS_[[AGRUP. VALOR. PTO.]:[AGRUP. VALOR. PTO.]]=$B87,IF(DATOS_[[Check Periodo Ref.]:[Check Periodo Ref.]]="Dentro",DATOS_[Conc.Sal.11]))))), 0)</f>
        <v>0</v>
      </c>
      <c r="Q89" s="250" t="n">
        <f aca="false" t="array" ref="Q89:Q89">IFERROR( MEDIAN((IF(DATOS_[[Sexo]:[Sexo]]=$B89,IF(DATOS_[[AGRUP. VALOR. PTO.]:[AGRUP. VALOR. PTO.]]=$B87,IF(DATOS_[[Check Periodo Ref.]:[Check Periodo Ref.]]="Dentro",DATOS_[Conc.Sal.12]))))), 0)</f>
        <v>0</v>
      </c>
      <c r="R89" s="250" t="n">
        <f aca="false" t="array" ref="R89:R89">IFERROR( MEDIAN((IF(DATOS_[[Sexo]:[Sexo]]=$B89,IF(DATOS_[[AGRUP. VALOR. PTO.]:[AGRUP. VALOR. PTO.]]=$B87,IF(DATOS_[[Check Periodo Ref.]:[Check Periodo Ref.]]="Dentro",DATOS_[Conc.Sal.13]))))), 0)</f>
        <v>0</v>
      </c>
      <c r="S89" s="250" t="n">
        <f aca="false" t="array" ref="S89:S89">IFERROR( MEDIAN((IF(DATOS_[[Sexo]:[Sexo]]=$B89,IF(DATOS_[[AGRUP. VALOR. PTO.]:[AGRUP. VALOR. PTO.]]=$B87,IF(DATOS_[[Check Periodo Ref.]:[Check Periodo Ref.]]="Dentro",DATOS_[Conc.Sal.14]))))), 0)</f>
        <v>0</v>
      </c>
      <c r="T89" s="250" t="n">
        <f aca="false" t="array" ref="T89:T89">IFERROR( MEDIAN((IF(DATOS_[[Sexo]:[Sexo]]=$B89,IF(DATOS_[[AGRUP. VALOR. PTO.]:[AGRUP. VALOR. PTO.]]=$B87,IF(DATOS_[[Check Periodo Ref.]:[Check Periodo Ref.]]="Dentro",DATOS_[Conc.Sal.15]))))), 0)</f>
        <v>0</v>
      </c>
      <c r="U89" s="250" t="n">
        <f aca="false" t="array" ref="U89:U89">IFERROR( MEDIAN((IF(DATOS_[[Sexo]:[Sexo]]=$B89,IF(DATOS_[[AGRUP. VALOR. PTO.]:[AGRUP. VALOR. PTO.]]=$B87,IF(DATOS_[[Check Periodo Ref.]:[Check Periodo Ref.]]="Dentro",DATOS_[Conc.Sal.16]))))), 0)</f>
        <v>0</v>
      </c>
      <c r="V89" s="250" t="n">
        <f aca="false" t="array" ref="V89:V89">IFERROR( MEDIAN((IF(DATOS_[[Sexo]:[Sexo]]=$B89,IF(DATOS_[[AGRUP. VALOR. PTO.]:[AGRUP. VALOR. PTO.]]=$B87,IF(DATOS_[[Check Periodo Ref.]:[Check Periodo Ref.]]="Dentro",DATOS_[Conc.Sal.17]))))), 0)</f>
        <v>0</v>
      </c>
      <c r="W89" s="250" t="n">
        <f aca="false" t="array" ref="W89:W89">IFERROR( MEDIAN((IF(DATOS_[[Sexo]:[Sexo]]=$B89,IF(DATOS_[[AGRUP. VALOR. PTO.]:[AGRUP. VALOR. PTO.]]=$B87,IF(DATOS_[[Check Periodo Ref.]:[Check Periodo Ref.]]="Dentro",DATOS_[Conc.Sal.18]))))), 0)</f>
        <v>0</v>
      </c>
      <c r="X89" s="250" t="n">
        <f aca="false" t="array" ref="X89:X89">IFERROR( MEDIAN((IF(DATOS_[[Sexo]:[Sexo]]=$B89,IF(DATOS_[[AGRUP. VALOR. PTO.]:[AGRUP. VALOR. PTO.]]=$B87,IF(DATOS_[[Check Periodo Ref.]:[Check Periodo Ref.]]="Dentro",DATOS_[Conc.Sal.19]))))), 0)</f>
        <v>0</v>
      </c>
      <c r="Y89" s="250" t="n">
        <f aca="false" t="array" ref="Y89:Y89">IFERROR( MEDIAN((IF(DATOS_[[Sexo]:[Sexo]]=$B89,IF(DATOS_[[AGRUP. VALOR. PTO.]:[AGRUP. VALOR. PTO.]]=$B87,IF(DATOS_[[Check Periodo Ref.]:[Check Periodo Ref.]]="Dentro",DATOS_[Conc.Sal.20]))))), 0)</f>
        <v>0</v>
      </c>
      <c r="Z89" s="250" t="n">
        <f aca="false" t="array" ref="Z89:Z89">IFERROR( MEDIAN((IF(DATOS_[[Sexo]:[Sexo]]=$B89,IF(DATOS_[[AGRUP. VALOR. PTO.]:[AGRUP. VALOR. PTO.]]=$B87,IF(DATOS_[[Check Periodo Ref.]:[Check Periodo Ref.]]="Dentro",DATOS_[Conc.Sal.21]))))), 0)</f>
        <v>0</v>
      </c>
      <c r="AA89" s="250" t="n">
        <f aca="false" t="array" ref="AA89:AA89">IFERROR( MEDIAN((IF(DATOS_[[Sexo]:[Sexo]]=$B89,IF(DATOS_[[AGRUP. VALOR. PTO.]:[AGRUP. VALOR. PTO.]]=$B87,IF(DATOS_[[Check Periodo Ref.]:[Check Periodo Ref.]]="Dentro",DATOS_[Conc.Sal.22]))))), 0)</f>
        <v>0</v>
      </c>
      <c r="AB89" s="250" t="n">
        <f aca="false" t="array" ref="AB89:AB89">IFERROR( MEDIAN((IF(DATOS_[[Sexo]:[Sexo]]=$B89,IF(DATOS_[[AGRUP. VALOR. PTO.]:[AGRUP. VALOR. PTO.]]=$B87,IF(DATOS_[[Check Periodo Ref.]:[Check Periodo Ref.]]="Dentro",DATOS_[Conc.Sal.23]))))), 0)</f>
        <v>0</v>
      </c>
      <c r="AC89" s="250" t="n">
        <f aca="false" t="array" ref="AC89:AC89">IFERROR( MEDIAN((IF(DATOS_[[Sexo]:[Sexo]]=$B89,IF(DATOS_[[AGRUP. VALOR. PTO.]:[AGRUP. VALOR. PTO.]]=$B87,IF(DATOS_[[Check Periodo Ref.]:[Check Periodo Ref.]]="Dentro",DATOS_[Conc.Sal.24]))))), 0)</f>
        <v>0</v>
      </c>
      <c r="AD89" s="250" t="n">
        <f aca="false" t="array" ref="AD89:AD89">IFERROR( MEDIAN((IF(DATOS_[[Sexo]:[Sexo]]=$B89,IF(DATOS_[[AGRUP. VALOR. PTO.]:[AGRUP. VALOR. PTO.]]=$B87,IF(DATOS_[[Check Periodo Ref.]:[Check Periodo Ref.]]="Dentro",DATOS_[Conc.Sal.25]))))), 0)</f>
        <v>0</v>
      </c>
      <c r="AE89" s="250" t="n">
        <f aca="false" t="array" ref="AE89:AE89">IFERROR( MEDIAN((IF(DATOS_[[Sexo]:[Sexo]]=$B89,IF(DATOS_[[AGRUP. VALOR. PTO.]:[AGRUP. VALOR. PTO.]]=$B87,IF(DATOS_[[Check Periodo Ref.]:[Check Periodo Ref.]]="Dentro",DATOS_[Conc.Sal.26]))))), 0)</f>
        <v>0</v>
      </c>
      <c r="AF89" s="250" t="n">
        <f aca="false" t="array" ref="AF89:AF89">IFERROR( MEDIAN((IF(DATOS_[[Sexo]:[Sexo]]=$B89,IF(DATOS_[[AGRUP. VALOR. PTO.]:[AGRUP. VALOR. PTO.]]=$B87,IF(DATOS_[[Check Periodo Ref.]:[Check Periodo Ref.]]="Dentro",DATOS_[Conc.Sal.27]))))), 0)</f>
        <v>0</v>
      </c>
      <c r="AG89" s="250" t="n">
        <f aca="false" t="array" ref="AG89:AG89">IFERROR( MEDIAN((IF(DATOS_[[Sexo]:[Sexo]]=$B89,IF(DATOS_[[AGRUP. VALOR. PTO.]:[AGRUP. VALOR. PTO.]]=$B87,IF(DATOS_[[Check Periodo Ref.]:[Check Periodo Ref.]]="Dentro",DATOS_[Conc.Sal.28]))))), 0)</f>
        <v>0</v>
      </c>
      <c r="AH89" s="250" t="n">
        <f aca="false" t="array" ref="AH89:AH89">IFERROR( MEDIAN((IF(DATOS_[[Sexo]:[Sexo]]=$B89,IF(DATOS_[[AGRUP. VALOR. PTO.]:[AGRUP. VALOR. PTO.]]=$B87,IF(DATOS_[[Check Periodo Ref.]:[Check Periodo Ref.]]="Dentro",DATOS_[Conc.Sal.29]))))), 0)</f>
        <v>0</v>
      </c>
      <c r="AI89" s="250" t="n">
        <f aca="false" t="array" ref="AI89:AI89">IFERROR( MEDIAN((IF(DATOS_[[Sexo]:[Sexo]]=$B89,IF(DATOS_[[AGRUP. VALOR. PTO.]:[AGRUP. VALOR. PTO.]]=$B87,IF(DATOS_[[Check Periodo Ref.]:[Check Periodo Ref.]]="Dentro",DATOS_[Conc.Sal.30]))))), 0)</f>
        <v>0</v>
      </c>
      <c r="AJ89" s="251" t="n">
        <f aca="false" t="array" ref="AJ89:AJ89">IFERROR( MEDIAN(IF(DATOS_[Sexo]=$B89,IF(DATOS_[AGRUP. VALOR. PTO.]=$B87,IF(DATOS_[Check Periodo Ref.]="Dentro",DATOS_[Tot COMPL.SAL Ef],0)))), 0)</f>
        <v>0</v>
      </c>
      <c r="AK89" s="252" t="n">
        <f aca="false" t="array" ref="AK89:AK89">IFERROR( MEDIAN(IF(DATOS_[Sexo]=$B89,IF(DATOS_[AGRUP. VALOR. PTO.]=$B87,IF(DATOS_[Check Periodo Ref.]="Dentro",DATOS_[TOTAL SALARIO Ef],0)))), 0)</f>
        <v>0</v>
      </c>
      <c r="AL89" s="259" t="n">
        <f aca="false" t="array" ref="AL89:AL89">IFERROR( MEDIAN((IF(DATOS_[[Sexo]:[Sexo]]=$B89,IF(DATOS_[[AGRUP. VALOR. PTO.]:[AGRUP. VALOR. PTO.]]=$B87,IF(DATOS_[[Check Periodo Ref.]:[Check Periodo Ref.]]="Dentro",DATOS_[C.Extra.01]))))), 0)</f>
        <v>0</v>
      </c>
      <c r="AM89" s="259" t="n">
        <f aca="false" t="array" ref="AM89:AM89">IFERROR( MEDIAN((IF(DATOS_[[Sexo]:[Sexo]]=$B89,IF(DATOS_[[AGRUP. VALOR. PTO.]:[AGRUP. VALOR. PTO.]]=$B87,IF(DATOS_[[Check Periodo Ref.]:[Check Periodo Ref.]]="Dentro",DATOS_[C.Extra.02]))))), 0)</f>
        <v>0</v>
      </c>
      <c r="AN89" s="259" t="n">
        <f aca="false" t="array" ref="AN89:AN89">IFERROR( MEDIAN((IF(DATOS_[[Sexo]:[Sexo]]=$B89,IF(DATOS_[[AGRUP. VALOR. PTO.]:[AGRUP. VALOR. PTO.]]=$B87,IF(DATOS_[[Check Periodo Ref.]:[Check Periodo Ref.]]="Dentro",DATOS_[C.Extra.03]))))), 0)</f>
        <v>0</v>
      </c>
      <c r="AO89" s="259" t="n">
        <f aca="false" t="array" ref="AO89:AO89">IFERROR( MEDIAN((IF(DATOS_[[Sexo]:[Sexo]]=$B89,IF(DATOS_[[AGRUP. VALOR. PTO.]:[AGRUP. VALOR. PTO.]]=$B87,IF(DATOS_[[Check Periodo Ref.]:[Check Periodo Ref.]]="Dentro",DATOS_[C.Extra.04]))))), 0)</f>
        <v>0</v>
      </c>
      <c r="AP89" s="259" t="n">
        <f aca="false" t="array" ref="AP89:AP89">IFERROR( MEDIAN((IF(DATOS_[[Sexo]:[Sexo]]=$B89,IF(DATOS_[[AGRUP. VALOR. PTO.]:[AGRUP. VALOR. PTO.]]=$B87,IF(DATOS_[[Check Periodo Ref.]:[Check Periodo Ref.]]="Dentro",DATOS_[C.Extra.05]))))), 0)</f>
        <v>0</v>
      </c>
      <c r="AQ89" s="254" t="n">
        <f aca="false" t="array" ref="AQ89:AQ89">IFERROR( MEDIAN(IF(DATOS_[Sexo]=$B89,IF(DATOS_[AGRUP. VALOR. PTO.]=$B87,IF(DATOS_[Check Periodo Ref.]="Dentro",DATOS_[Tot Extrasalarial Ef],0)))), 0)</f>
        <v>0</v>
      </c>
      <c r="AR89" s="255" t="n">
        <f aca="false" t="array" ref="AR89:AR89">IFERROR( MEDIAN(IF(DATOS_[Sexo]=$B89,IF(DATOS_[AGRUP. VALOR. PTO.]=$B87,IF(DATOS_[Check Periodo Ref.]="Dentro",DATOS_[TOTAL Retrib Ef],0)))), 0)</f>
        <v>0</v>
      </c>
    </row>
    <row r="90" customFormat="false" ht="15.75" hidden="false" customHeight="false" outlineLevel="0" collapsed="false">
      <c r="A90" s="217" t="str">
        <f aca="false">+A91</f>
        <v>[ocultar]</v>
      </c>
      <c r="B90" s="235" t="s">
        <v>244</v>
      </c>
      <c r="C90" s="236"/>
      <c r="D90" s="237"/>
      <c r="E90" s="238" t="str">
        <f aca="false">IFERROR((E91-E92)/E91,"")</f>
        <v/>
      </c>
      <c r="F90" s="239" t="str">
        <f aca="false">IFERROR((F91-F92)/F91,"")</f>
        <v/>
      </c>
      <c r="G90" s="239" t="str">
        <f aca="false">IFERROR((G91-G92)/G91,"")</f>
        <v/>
      </c>
      <c r="H90" s="239" t="str">
        <f aca="false">IFERROR((H91-H92)/H91,"")</f>
        <v/>
      </c>
      <c r="I90" s="239"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40" t="str">
        <f aca="false">IFERROR((V91-V92)/V91,"")</f>
        <v/>
      </c>
      <c r="W90" s="240" t="str">
        <f aca="false">IFERROR((W91-W92)/W91,"")</f>
        <v/>
      </c>
      <c r="X90" s="240" t="str">
        <f aca="false">IFERROR((X91-X92)/X91,"")</f>
        <v/>
      </c>
      <c r="Y90" s="240"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1" t="str">
        <f aca="false">IFERROR((AJ91-AJ92)/AJ91,"")</f>
        <v/>
      </c>
      <c r="AK90" s="242" t="str">
        <f aca="false">IFERROR((AK91-AK92)/AK91,"")</f>
        <v/>
      </c>
      <c r="AL90" s="243" t="str">
        <f aca="false">IFERROR((AL91-AL92)/AL91,"")</f>
        <v/>
      </c>
      <c r="AM90" s="243" t="str">
        <f aca="false">IFERROR((AM91-AM92)/AM91,"")</f>
        <v/>
      </c>
      <c r="AN90" s="243" t="str">
        <f aca="false">IFERROR((AN91-AN92)/AN91,"")</f>
        <v/>
      </c>
      <c r="AO90" s="243" t="str">
        <f aca="false">IFERROR((AO91-AO92)/AO91,"")</f>
        <v/>
      </c>
      <c r="AP90" s="243" t="str">
        <f aca="false">IFERROR((AP91-AP92)/AP91,"")</f>
        <v/>
      </c>
      <c r="AQ90" s="244" t="str">
        <f aca="false">IFERROR((AQ91-AQ92)/AQ91,"")</f>
        <v/>
      </c>
      <c r="AR90" s="245" t="str">
        <f aca="false">IFERROR((AR91-AR92)/AR91,"")</f>
        <v/>
      </c>
    </row>
    <row r="91" customFormat="false" ht="14.25" hidden="false" customHeight="false" outlineLevel="0" collapsed="false">
      <c r="A91" s="217" t="str">
        <f aca="false">+IF(C91+C92=0,"[ocultar]","")</f>
        <v>[ocultar]</v>
      </c>
      <c r="B91" s="246" t="s">
        <v>371</v>
      </c>
      <c r="C91" s="247" t="n">
        <f aca="false" t="array" ref="C91:C91">SUM(IF($B91=DATOS_[Sexo], IF($B90=DATOS_[AGRUP. VALOR. PTO.], IF("Dentro"=DATOS_[Check Periodo Ref.], 1/(COUNTIFS(DATOS_[Sexo],$B91,DATOS_[AGRUP. VALOR. PTO.],$B90,DATOS_[Check Periodo Ref.],"Dentro",DATOS_[id],DATOS_[id]))))))</f>
        <v>0</v>
      </c>
      <c r="D91" s="248" t="n">
        <f aca="false">COUNTIFS(DATOS_[AGRUP. VALOR. PTO.],$B90,DATOS_[Sexo],$B91,DATOS_[Check Periodo Ref.],"Dentro")</f>
        <v>0</v>
      </c>
      <c r="E91" s="249" t="n">
        <f aca="false" t="array" ref="E91:E91">IFERROR( MEDIAN(IF(DATOS_[Sexo]=$B91,IF(DATOS_[AGRUP. VALOR. PTO.]=$B90,IF(DATOS_[Check Periodo Ref.]="Dentro",DATOS_[SALARIO BASE Ef],0)))), 0)</f>
        <v>0</v>
      </c>
      <c r="F91" s="250" t="n">
        <f aca="false" t="array" ref="F91:F91">IFERROR( MEDIAN((IF(DATOS_[[Sexo]:[Sexo]]=$B91,IF(DATOS_[[AGRUP. VALOR. PTO.]:[AGRUP. VALOR. PTO.]]=$B90,IF(DATOS_[[Check Periodo Ref.]:[Check Periodo Ref.]]="Dentro",DATOS_[Conc.Sal.01]))))), 0)</f>
        <v>0</v>
      </c>
      <c r="G91" s="250" t="n">
        <f aca="false" t="array" ref="G91:G91">IFERROR( MEDIAN((IF(DATOS_[[Sexo]:[Sexo]]=$B91,IF(DATOS_[[AGRUP. VALOR. PTO.]:[AGRUP. VALOR. PTO.]]=$B90,IF(DATOS_[[Check Periodo Ref.]:[Check Periodo Ref.]]="Dentro",DATOS_[Conc.Sal.02]))))), 0)</f>
        <v>0</v>
      </c>
      <c r="H91" s="250" t="n">
        <f aca="false" t="array" ref="H91:H91">IFERROR( MEDIAN((IF(DATOS_[[Sexo]:[Sexo]]=$B91,IF(DATOS_[[AGRUP. VALOR. PTO.]:[AGRUP. VALOR. PTO.]]=$B90,IF(DATOS_[[Check Periodo Ref.]:[Check Periodo Ref.]]="Dentro",DATOS_[Conc.Sal.03]))))), 0)</f>
        <v>0</v>
      </c>
      <c r="I91" s="250" t="n">
        <f aca="false" t="array" ref="I91:I91">IFERROR( MEDIAN((IF(DATOS_[[Sexo]:[Sexo]]=$B91,IF(DATOS_[[AGRUP. VALOR. PTO.]:[AGRUP. VALOR. PTO.]]=$B90,IF(DATOS_[[Check Periodo Ref.]:[Check Periodo Ref.]]="Dentro",DATOS_[Conc.Sal.04]))))), 0)</f>
        <v>0</v>
      </c>
      <c r="J91" s="250" t="n">
        <f aca="false" t="array" ref="J91:J91">IFERROR( MEDIAN((IF(DATOS_[[Sexo]:[Sexo]]=$B91,IF(DATOS_[[AGRUP. VALOR. PTO.]:[AGRUP. VALOR. PTO.]]=$B90,IF(DATOS_[[Check Periodo Ref.]:[Check Periodo Ref.]]="Dentro",DATOS_[Conc.Sal.05]))))), 0)</f>
        <v>0</v>
      </c>
      <c r="K91" s="250" t="n">
        <f aca="false" t="array" ref="K91:K91">IFERROR( MEDIAN((IF(DATOS_[[Sexo]:[Sexo]]=$B91,IF(DATOS_[[AGRUP. VALOR. PTO.]:[AGRUP. VALOR. PTO.]]=$B90,IF(DATOS_[[Check Periodo Ref.]:[Check Periodo Ref.]]="Dentro",DATOS_[Conc.Sal.06]))))), 0)</f>
        <v>0</v>
      </c>
      <c r="L91" s="250" t="n">
        <f aca="false" t="array" ref="L91:L91">IFERROR( MEDIAN((IF(DATOS_[[Sexo]:[Sexo]]=$B91,IF(DATOS_[[AGRUP. VALOR. PTO.]:[AGRUP. VALOR. PTO.]]=$B90,IF(DATOS_[[Check Periodo Ref.]:[Check Periodo Ref.]]="Dentro",DATOS_[Conc.Sal.07]))))), 0)</f>
        <v>0</v>
      </c>
      <c r="M91" s="250" t="n">
        <f aca="false" t="array" ref="M91:M91">IFERROR( MEDIAN((IF(DATOS_[[Sexo]:[Sexo]]=$B91,IF(DATOS_[[AGRUP. VALOR. PTO.]:[AGRUP. VALOR. PTO.]]=$B90,IF(DATOS_[[Check Periodo Ref.]:[Check Periodo Ref.]]="Dentro",DATOS_[Conc.Sal.08]))))), 0)</f>
        <v>0</v>
      </c>
      <c r="N91" s="250" t="n">
        <f aca="false" t="array" ref="N91:N91">IFERROR( MEDIAN((IF(DATOS_[[Sexo]:[Sexo]]=$B91,IF(DATOS_[[AGRUP. VALOR. PTO.]:[AGRUP. VALOR. PTO.]]=$B90,IF(DATOS_[[Check Periodo Ref.]:[Check Periodo Ref.]]="Dentro",DATOS_[Conc.Sal.09]))))), 0)</f>
        <v>0</v>
      </c>
      <c r="O91" s="250" t="n">
        <f aca="false" t="array" ref="O91:O91">IFERROR( MEDIAN((IF(DATOS_[[Sexo]:[Sexo]]=$B91,IF(DATOS_[[AGRUP. VALOR. PTO.]:[AGRUP. VALOR. PTO.]]=$B90,IF(DATOS_[[Check Periodo Ref.]:[Check Periodo Ref.]]="Dentro",DATOS_[Conc.Sal.10]))))), 0)</f>
        <v>0</v>
      </c>
      <c r="P91" s="250" t="n">
        <f aca="false" t="array" ref="P91:P91">IFERROR( MEDIAN((IF(DATOS_[[Sexo]:[Sexo]]=$B91,IF(DATOS_[[AGRUP. VALOR. PTO.]:[AGRUP. VALOR. PTO.]]=$B90,IF(DATOS_[[Check Periodo Ref.]:[Check Periodo Ref.]]="Dentro",DATOS_[Conc.Sal.11]))))), 0)</f>
        <v>0</v>
      </c>
      <c r="Q91" s="250" t="n">
        <f aca="false" t="array" ref="Q91:Q91">IFERROR( MEDIAN((IF(DATOS_[[Sexo]:[Sexo]]=$B91,IF(DATOS_[[AGRUP. VALOR. PTO.]:[AGRUP. VALOR. PTO.]]=$B90,IF(DATOS_[[Check Periodo Ref.]:[Check Periodo Ref.]]="Dentro",DATOS_[Conc.Sal.12]))))), 0)</f>
        <v>0</v>
      </c>
      <c r="R91" s="250" t="n">
        <f aca="false" t="array" ref="R91:R91">IFERROR( MEDIAN((IF(DATOS_[[Sexo]:[Sexo]]=$B91,IF(DATOS_[[AGRUP. VALOR. PTO.]:[AGRUP. VALOR. PTO.]]=$B90,IF(DATOS_[[Check Periodo Ref.]:[Check Periodo Ref.]]="Dentro",DATOS_[Conc.Sal.13]))))), 0)</f>
        <v>0</v>
      </c>
      <c r="S91" s="250" t="n">
        <f aca="false" t="array" ref="S91:S91">IFERROR( MEDIAN((IF(DATOS_[[Sexo]:[Sexo]]=$B91,IF(DATOS_[[AGRUP. VALOR. PTO.]:[AGRUP. VALOR. PTO.]]=$B90,IF(DATOS_[[Check Periodo Ref.]:[Check Periodo Ref.]]="Dentro",DATOS_[Conc.Sal.14]))))), 0)</f>
        <v>0</v>
      </c>
      <c r="T91" s="250" t="n">
        <f aca="false" t="array" ref="T91:T91">IFERROR( MEDIAN((IF(DATOS_[[Sexo]:[Sexo]]=$B91,IF(DATOS_[[AGRUP. VALOR. PTO.]:[AGRUP. VALOR. PTO.]]=$B90,IF(DATOS_[[Check Periodo Ref.]:[Check Periodo Ref.]]="Dentro",DATOS_[Conc.Sal.15]))))), 0)</f>
        <v>0</v>
      </c>
      <c r="U91" s="250" t="n">
        <f aca="false" t="array" ref="U91:U91">IFERROR( MEDIAN((IF(DATOS_[[Sexo]:[Sexo]]=$B91,IF(DATOS_[[AGRUP. VALOR. PTO.]:[AGRUP. VALOR. PTO.]]=$B90,IF(DATOS_[[Check Periodo Ref.]:[Check Periodo Ref.]]="Dentro",DATOS_[Conc.Sal.16]))))), 0)</f>
        <v>0</v>
      </c>
      <c r="V91" s="250" t="n">
        <f aca="false" t="array" ref="V91:V91">IFERROR( MEDIAN((IF(DATOS_[[Sexo]:[Sexo]]=$B91,IF(DATOS_[[AGRUP. VALOR. PTO.]:[AGRUP. VALOR. PTO.]]=$B90,IF(DATOS_[[Check Periodo Ref.]:[Check Periodo Ref.]]="Dentro",DATOS_[Conc.Sal.17]))))), 0)</f>
        <v>0</v>
      </c>
      <c r="W91" s="250" t="n">
        <f aca="false" t="array" ref="W91:W91">IFERROR( MEDIAN((IF(DATOS_[[Sexo]:[Sexo]]=$B91,IF(DATOS_[[AGRUP. VALOR. PTO.]:[AGRUP. VALOR. PTO.]]=$B90,IF(DATOS_[[Check Periodo Ref.]:[Check Periodo Ref.]]="Dentro",DATOS_[Conc.Sal.18]))))), 0)</f>
        <v>0</v>
      </c>
      <c r="X91" s="250" t="n">
        <f aca="false" t="array" ref="X91:X91">IFERROR( MEDIAN((IF(DATOS_[[Sexo]:[Sexo]]=$B91,IF(DATOS_[[AGRUP. VALOR. PTO.]:[AGRUP. VALOR. PTO.]]=$B90,IF(DATOS_[[Check Periodo Ref.]:[Check Periodo Ref.]]="Dentro",DATOS_[Conc.Sal.19]))))), 0)</f>
        <v>0</v>
      </c>
      <c r="Y91" s="250" t="n">
        <f aca="false" t="array" ref="Y91:Y91">IFERROR( MEDIAN((IF(DATOS_[[Sexo]:[Sexo]]=$B91,IF(DATOS_[[AGRUP. VALOR. PTO.]:[AGRUP. VALOR. PTO.]]=$B90,IF(DATOS_[[Check Periodo Ref.]:[Check Periodo Ref.]]="Dentro",DATOS_[Conc.Sal.20]))))), 0)</f>
        <v>0</v>
      </c>
      <c r="Z91" s="250" t="n">
        <f aca="false" t="array" ref="Z91:Z91">IFERROR( MEDIAN((IF(DATOS_[[Sexo]:[Sexo]]=$B91,IF(DATOS_[[AGRUP. VALOR. PTO.]:[AGRUP. VALOR. PTO.]]=$B90,IF(DATOS_[[Check Periodo Ref.]:[Check Periodo Ref.]]="Dentro",DATOS_[Conc.Sal.21]))))), 0)</f>
        <v>0</v>
      </c>
      <c r="AA91" s="250" t="n">
        <f aca="false" t="array" ref="AA91:AA91">IFERROR( MEDIAN((IF(DATOS_[[Sexo]:[Sexo]]=$B91,IF(DATOS_[[AGRUP. VALOR. PTO.]:[AGRUP. VALOR. PTO.]]=$B90,IF(DATOS_[[Check Periodo Ref.]:[Check Periodo Ref.]]="Dentro",DATOS_[Conc.Sal.22]))))), 0)</f>
        <v>0</v>
      </c>
      <c r="AB91" s="250" t="n">
        <f aca="false" t="array" ref="AB91:AB91">IFERROR( MEDIAN((IF(DATOS_[[Sexo]:[Sexo]]=$B91,IF(DATOS_[[AGRUP. VALOR. PTO.]:[AGRUP. VALOR. PTO.]]=$B90,IF(DATOS_[[Check Periodo Ref.]:[Check Periodo Ref.]]="Dentro",DATOS_[Conc.Sal.23]))))), 0)</f>
        <v>0</v>
      </c>
      <c r="AC91" s="250" t="n">
        <f aca="false" t="array" ref="AC91:AC91">IFERROR( MEDIAN((IF(DATOS_[[Sexo]:[Sexo]]=$B91,IF(DATOS_[[AGRUP. VALOR. PTO.]:[AGRUP. VALOR. PTO.]]=$B90,IF(DATOS_[[Check Periodo Ref.]:[Check Periodo Ref.]]="Dentro",DATOS_[Conc.Sal.24]))))), 0)</f>
        <v>0</v>
      </c>
      <c r="AD91" s="250" t="n">
        <f aca="false" t="array" ref="AD91:AD91">IFERROR( MEDIAN((IF(DATOS_[[Sexo]:[Sexo]]=$B91,IF(DATOS_[[AGRUP. VALOR. PTO.]:[AGRUP. VALOR. PTO.]]=$B90,IF(DATOS_[[Check Periodo Ref.]:[Check Periodo Ref.]]="Dentro",DATOS_[Conc.Sal.25]))))), 0)</f>
        <v>0</v>
      </c>
      <c r="AE91" s="250" t="n">
        <f aca="false" t="array" ref="AE91:AE91">IFERROR( MEDIAN((IF(DATOS_[[Sexo]:[Sexo]]=$B91,IF(DATOS_[[AGRUP. VALOR. PTO.]:[AGRUP. VALOR. PTO.]]=$B90,IF(DATOS_[[Check Periodo Ref.]:[Check Periodo Ref.]]="Dentro",DATOS_[Conc.Sal.26]))))), 0)</f>
        <v>0</v>
      </c>
      <c r="AF91" s="250" t="n">
        <f aca="false" t="array" ref="AF91:AF91">IFERROR( MEDIAN((IF(DATOS_[[Sexo]:[Sexo]]=$B91,IF(DATOS_[[AGRUP. VALOR. PTO.]:[AGRUP. VALOR. PTO.]]=$B90,IF(DATOS_[[Check Periodo Ref.]:[Check Periodo Ref.]]="Dentro",DATOS_[Conc.Sal.27]))))), 0)</f>
        <v>0</v>
      </c>
      <c r="AG91" s="250" t="n">
        <f aca="false" t="array" ref="AG91:AG91">IFERROR( MEDIAN((IF(DATOS_[[Sexo]:[Sexo]]=$B91,IF(DATOS_[[AGRUP. VALOR. PTO.]:[AGRUP. VALOR. PTO.]]=$B90,IF(DATOS_[[Check Periodo Ref.]:[Check Periodo Ref.]]="Dentro",DATOS_[Conc.Sal.28]))))), 0)</f>
        <v>0</v>
      </c>
      <c r="AH91" s="250" t="n">
        <f aca="false" t="array" ref="AH91:AH91">IFERROR( MEDIAN((IF(DATOS_[[Sexo]:[Sexo]]=$B91,IF(DATOS_[[AGRUP. VALOR. PTO.]:[AGRUP. VALOR. PTO.]]=$B90,IF(DATOS_[[Check Periodo Ref.]:[Check Periodo Ref.]]="Dentro",DATOS_[Conc.Sal.29]))))), 0)</f>
        <v>0</v>
      </c>
      <c r="AI91" s="250" t="n">
        <f aca="false" t="array" ref="AI91:AI91">IFERROR( MEDIAN((IF(DATOS_[[Sexo]:[Sexo]]=$B91,IF(DATOS_[[AGRUP. VALOR. PTO.]:[AGRUP. VALOR. PTO.]]=$B90,IF(DATOS_[[Check Periodo Ref.]:[Check Periodo Ref.]]="Dentro",DATOS_[Conc.Sal.30]))))), 0)</f>
        <v>0</v>
      </c>
      <c r="AJ91" s="251" t="n">
        <f aca="false" t="array" ref="AJ91:AJ91">IFERROR( MEDIAN(IF(DATOS_[Sexo]=$B91,IF(DATOS_[AGRUP. VALOR. PTO.]=$B90,IF(DATOS_[Check Periodo Ref.]="Dentro",DATOS_[Tot COMPL.SAL Ef],0)))), 0)</f>
        <v>0</v>
      </c>
      <c r="AK91" s="252" t="n">
        <f aca="false" t="array" ref="AK91:AK91">IFERROR( MEDIAN(IF(DATOS_[Sexo]=$B91,IF(DATOS_[AGRUP. VALOR. PTO.]=$B90,IF(DATOS_[Check Periodo Ref.]="Dentro",DATOS_[TOTAL SALARIO Ef],0)))), 0)</f>
        <v>0</v>
      </c>
      <c r="AL91" s="259" t="n">
        <f aca="false" t="array" ref="AL91:AL91">IFERROR( MEDIAN((IF(DATOS_[[Sexo]:[Sexo]]=$B91,IF(DATOS_[[AGRUP. VALOR. PTO.]:[AGRUP. VALOR. PTO.]]=$B90,IF(DATOS_[[Check Periodo Ref.]:[Check Periodo Ref.]]="Dentro",DATOS_[C.Extra.01]))))), 0)</f>
        <v>0</v>
      </c>
      <c r="AM91" s="259" t="n">
        <f aca="false" t="array" ref="AM91:AM91">IFERROR( MEDIAN((IF(DATOS_[[Sexo]:[Sexo]]=$B91,IF(DATOS_[[AGRUP. VALOR. PTO.]:[AGRUP. VALOR. PTO.]]=$B90,IF(DATOS_[[Check Periodo Ref.]:[Check Periodo Ref.]]="Dentro",DATOS_[C.Extra.02]))))), 0)</f>
        <v>0</v>
      </c>
      <c r="AN91" s="259" t="n">
        <f aca="false" t="array" ref="AN91:AN91">IFERROR( MEDIAN((IF(DATOS_[[Sexo]:[Sexo]]=$B91,IF(DATOS_[[AGRUP. VALOR. PTO.]:[AGRUP. VALOR. PTO.]]=$B90,IF(DATOS_[[Check Periodo Ref.]:[Check Periodo Ref.]]="Dentro",DATOS_[C.Extra.03]))))), 0)</f>
        <v>0</v>
      </c>
      <c r="AO91" s="259" t="n">
        <f aca="false" t="array" ref="AO91:AO91">IFERROR( MEDIAN((IF(DATOS_[[Sexo]:[Sexo]]=$B91,IF(DATOS_[[AGRUP. VALOR. PTO.]:[AGRUP. VALOR. PTO.]]=$B90,IF(DATOS_[[Check Periodo Ref.]:[Check Periodo Ref.]]="Dentro",DATOS_[C.Extra.04]))))), 0)</f>
        <v>0</v>
      </c>
      <c r="AP91" s="259" t="n">
        <f aca="false" t="array" ref="AP91:AP91">IFERROR( MEDIAN((IF(DATOS_[[Sexo]:[Sexo]]=$B91,IF(DATOS_[[AGRUP. VALOR. PTO.]:[AGRUP. VALOR. PTO.]]=$B90,IF(DATOS_[[Check Periodo Ref.]:[Check Periodo Ref.]]="Dentro",DATOS_[C.Extra.05]))))), 0)</f>
        <v>0</v>
      </c>
      <c r="AQ91" s="254" t="n">
        <f aca="false" t="array" ref="AQ91:AQ91">IFERROR( MEDIAN(IF(DATOS_[Sexo]=$B91,IF(DATOS_[AGRUP. VALOR. PTO.]=$B90,IF(DATOS_[Check Periodo Ref.]="Dentro",DATOS_[Tot Extrasalarial Ef],0)))), 0)</f>
        <v>0</v>
      </c>
      <c r="AR91" s="255" t="n">
        <f aca="false" t="array" ref="AR91:AR91">IFERROR( MEDIAN(IF(DATOS_[Sexo]=$B91,IF(DATOS_[AGRUP. VALOR. PTO.]=$B90,IF(DATOS_[Check Periodo Ref.]="Dentro",DATOS_[TOTAL Retrib Ef],0)))), 0)</f>
        <v>0</v>
      </c>
    </row>
    <row r="92" customFormat="false" ht="14.25" hidden="false" customHeight="false" outlineLevel="0" collapsed="false">
      <c r="A92" s="217" t="str">
        <f aca="false">+A91</f>
        <v>[ocultar]</v>
      </c>
      <c r="B92" s="246" t="s">
        <v>372</v>
      </c>
      <c r="C92" s="247" t="n">
        <f aca="false" t="array" ref="C92:C92">SUM(IF($B92=DATOS_[Sexo], IF($B90=DATOS_[AGRUP. VALOR. PTO.], IF("Dentro"=DATOS_[Check Periodo Ref.], 1/(COUNTIFS(DATOS_[Sexo],$B92,DATOS_[AGRUP. VALOR. PTO.],$B90,DATOS_[Check Periodo Ref.],"Dentro",DATOS_[id],DATOS_[id]))))))</f>
        <v>0</v>
      </c>
      <c r="D92" s="248" t="n">
        <f aca="false">COUNTIFS(DATOS_[AGRUP. VALOR. PTO.],$B90,DATOS_[Sexo],$B92,DATOS_[Check Periodo Ref.],"Dentro")</f>
        <v>0</v>
      </c>
      <c r="E92" s="249" t="n">
        <f aca="false" t="array" ref="E92:E92">IFERROR( MEDIAN(IF(DATOS_[Sexo]=$B92,IF(DATOS_[AGRUP. VALOR. PTO.]=$B90,IF(DATOS_[Check Periodo Ref.]="Dentro",DATOS_[SALARIO BASE Ef],0)))), 0)</f>
        <v>0</v>
      </c>
      <c r="F92" s="250" t="n">
        <f aca="false" t="array" ref="F92:F92">IFERROR( MEDIAN((IF(DATOS_[[Sexo]:[Sexo]]=$B92,IF(DATOS_[[AGRUP. VALOR. PTO.]:[AGRUP. VALOR. PTO.]]=$B90,IF(DATOS_[[Check Periodo Ref.]:[Check Periodo Ref.]]="Dentro",DATOS_[Conc.Sal.01]))))), 0)</f>
        <v>0</v>
      </c>
      <c r="G92" s="250" t="n">
        <f aca="false" t="array" ref="G92:G92">IFERROR( MEDIAN((IF(DATOS_[[Sexo]:[Sexo]]=$B92,IF(DATOS_[[AGRUP. VALOR. PTO.]:[AGRUP. VALOR. PTO.]]=$B90,IF(DATOS_[[Check Periodo Ref.]:[Check Periodo Ref.]]="Dentro",DATOS_[Conc.Sal.02]))))), 0)</f>
        <v>0</v>
      </c>
      <c r="H92" s="250" t="n">
        <f aca="false" t="array" ref="H92:H92">IFERROR( MEDIAN((IF(DATOS_[[Sexo]:[Sexo]]=$B92,IF(DATOS_[[AGRUP. VALOR. PTO.]:[AGRUP. VALOR. PTO.]]=$B90,IF(DATOS_[[Check Periodo Ref.]:[Check Periodo Ref.]]="Dentro",DATOS_[Conc.Sal.03]))))), 0)</f>
        <v>0</v>
      </c>
      <c r="I92" s="250" t="n">
        <f aca="false" t="array" ref="I92:I92">IFERROR( MEDIAN((IF(DATOS_[[Sexo]:[Sexo]]=$B92,IF(DATOS_[[AGRUP. VALOR. PTO.]:[AGRUP. VALOR. PTO.]]=$B90,IF(DATOS_[[Check Periodo Ref.]:[Check Periodo Ref.]]="Dentro",DATOS_[Conc.Sal.04]))))), 0)</f>
        <v>0</v>
      </c>
      <c r="J92" s="250" t="n">
        <f aca="false" t="array" ref="J92:J92">IFERROR( MEDIAN((IF(DATOS_[[Sexo]:[Sexo]]=$B92,IF(DATOS_[[AGRUP. VALOR. PTO.]:[AGRUP. VALOR. PTO.]]=$B90,IF(DATOS_[[Check Periodo Ref.]:[Check Periodo Ref.]]="Dentro",DATOS_[Conc.Sal.05]))))), 0)</f>
        <v>0</v>
      </c>
      <c r="K92" s="250" t="n">
        <f aca="false" t="array" ref="K92:K92">IFERROR( MEDIAN((IF(DATOS_[[Sexo]:[Sexo]]=$B92,IF(DATOS_[[AGRUP. VALOR. PTO.]:[AGRUP. VALOR. PTO.]]=$B90,IF(DATOS_[[Check Periodo Ref.]:[Check Periodo Ref.]]="Dentro",DATOS_[Conc.Sal.06]))))), 0)</f>
        <v>0</v>
      </c>
      <c r="L92" s="250" t="n">
        <f aca="false" t="array" ref="L92:L92">IFERROR( MEDIAN((IF(DATOS_[[Sexo]:[Sexo]]=$B92,IF(DATOS_[[AGRUP. VALOR. PTO.]:[AGRUP. VALOR. PTO.]]=$B90,IF(DATOS_[[Check Periodo Ref.]:[Check Periodo Ref.]]="Dentro",DATOS_[Conc.Sal.07]))))), 0)</f>
        <v>0</v>
      </c>
      <c r="M92" s="250" t="n">
        <f aca="false" t="array" ref="M92:M92">IFERROR( MEDIAN((IF(DATOS_[[Sexo]:[Sexo]]=$B92,IF(DATOS_[[AGRUP. VALOR. PTO.]:[AGRUP. VALOR. PTO.]]=$B90,IF(DATOS_[[Check Periodo Ref.]:[Check Periodo Ref.]]="Dentro",DATOS_[Conc.Sal.08]))))), 0)</f>
        <v>0</v>
      </c>
      <c r="N92" s="250" t="n">
        <f aca="false" t="array" ref="N92:N92">IFERROR( MEDIAN((IF(DATOS_[[Sexo]:[Sexo]]=$B92,IF(DATOS_[[AGRUP. VALOR. PTO.]:[AGRUP. VALOR. PTO.]]=$B90,IF(DATOS_[[Check Periodo Ref.]:[Check Periodo Ref.]]="Dentro",DATOS_[Conc.Sal.09]))))), 0)</f>
        <v>0</v>
      </c>
      <c r="O92" s="250" t="n">
        <f aca="false" t="array" ref="O92:O92">IFERROR( MEDIAN((IF(DATOS_[[Sexo]:[Sexo]]=$B92,IF(DATOS_[[AGRUP. VALOR. PTO.]:[AGRUP. VALOR. PTO.]]=$B90,IF(DATOS_[[Check Periodo Ref.]:[Check Periodo Ref.]]="Dentro",DATOS_[Conc.Sal.10]))))), 0)</f>
        <v>0</v>
      </c>
      <c r="P92" s="250" t="n">
        <f aca="false" t="array" ref="P92:P92">IFERROR( MEDIAN((IF(DATOS_[[Sexo]:[Sexo]]=$B92,IF(DATOS_[[AGRUP. VALOR. PTO.]:[AGRUP. VALOR. PTO.]]=$B90,IF(DATOS_[[Check Periodo Ref.]:[Check Periodo Ref.]]="Dentro",DATOS_[Conc.Sal.11]))))), 0)</f>
        <v>0</v>
      </c>
      <c r="Q92" s="250" t="n">
        <f aca="false" t="array" ref="Q92:Q92">IFERROR( MEDIAN((IF(DATOS_[[Sexo]:[Sexo]]=$B92,IF(DATOS_[[AGRUP. VALOR. PTO.]:[AGRUP. VALOR. PTO.]]=$B90,IF(DATOS_[[Check Periodo Ref.]:[Check Periodo Ref.]]="Dentro",DATOS_[Conc.Sal.12]))))), 0)</f>
        <v>0</v>
      </c>
      <c r="R92" s="250" t="n">
        <f aca="false" t="array" ref="R92:R92">IFERROR( MEDIAN((IF(DATOS_[[Sexo]:[Sexo]]=$B92,IF(DATOS_[[AGRUP. VALOR. PTO.]:[AGRUP. VALOR. PTO.]]=$B90,IF(DATOS_[[Check Periodo Ref.]:[Check Periodo Ref.]]="Dentro",DATOS_[Conc.Sal.13]))))), 0)</f>
        <v>0</v>
      </c>
      <c r="S92" s="250" t="n">
        <f aca="false" t="array" ref="S92:S92">IFERROR( MEDIAN((IF(DATOS_[[Sexo]:[Sexo]]=$B92,IF(DATOS_[[AGRUP. VALOR. PTO.]:[AGRUP. VALOR. PTO.]]=$B90,IF(DATOS_[[Check Periodo Ref.]:[Check Periodo Ref.]]="Dentro",DATOS_[Conc.Sal.14]))))), 0)</f>
        <v>0</v>
      </c>
      <c r="T92" s="250" t="n">
        <f aca="false" t="array" ref="T92:T92">IFERROR( MEDIAN((IF(DATOS_[[Sexo]:[Sexo]]=$B92,IF(DATOS_[[AGRUP. VALOR. PTO.]:[AGRUP. VALOR. PTO.]]=$B90,IF(DATOS_[[Check Periodo Ref.]:[Check Periodo Ref.]]="Dentro",DATOS_[Conc.Sal.15]))))), 0)</f>
        <v>0</v>
      </c>
      <c r="U92" s="250" t="n">
        <f aca="false" t="array" ref="U92:U92">IFERROR( MEDIAN((IF(DATOS_[[Sexo]:[Sexo]]=$B92,IF(DATOS_[[AGRUP. VALOR. PTO.]:[AGRUP. VALOR. PTO.]]=$B90,IF(DATOS_[[Check Periodo Ref.]:[Check Periodo Ref.]]="Dentro",DATOS_[Conc.Sal.16]))))), 0)</f>
        <v>0</v>
      </c>
      <c r="V92" s="250" t="n">
        <f aca="false" t="array" ref="V92:V92">IFERROR( MEDIAN((IF(DATOS_[[Sexo]:[Sexo]]=$B92,IF(DATOS_[[AGRUP. VALOR. PTO.]:[AGRUP. VALOR. PTO.]]=$B90,IF(DATOS_[[Check Periodo Ref.]:[Check Periodo Ref.]]="Dentro",DATOS_[Conc.Sal.17]))))), 0)</f>
        <v>0</v>
      </c>
      <c r="W92" s="250" t="n">
        <f aca="false" t="array" ref="W92:W92">IFERROR( MEDIAN((IF(DATOS_[[Sexo]:[Sexo]]=$B92,IF(DATOS_[[AGRUP. VALOR. PTO.]:[AGRUP. VALOR. PTO.]]=$B90,IF(DATOS_[[Check Periodo Ref.]:[Check Periodo Ref.]]="Dentro",DATOS_[Conc.Sal.18]))))), 0)</f>
        <v>0</v>
      </c>
      <c r="X92" s="250" t="n">
        <f aca="false" t="array" ref="X92:X92">IFERROR( MEDIAN((IF(DATOS_[[Sexo]:[Sexo]]=$B92,IF(DATOS_[[AGRUP. VALOR. PTO.]:[AGRUP. VALOR. PTO.]]=$B90,IF(DATOS_[[Check Periodo Ref.]:[Check Periodo Ref.]]="Dentro",DATOS_[Conc.Sal.19]))))), 0)</f>
        <v>0</v>
      </c>
      <c r="Y92" s="250" t="n">
        <f aca="false" t="array" ref="Y92:Y92">IFERROR( MEDIAN((IF(DATOS_[[Sexo]:[Sexo]]=$B92,IF(DATOS_[[AGRUP. VALOR. PTO.]:[AGRUP. VALOR. PTO.]]=$B90,IF(DATOS_[[Check Periodo Ref.]:[Check Periodo Ref.]]="Dentro",DATOS_[Conc.Sal.20]))))), 0)</f>
        <v>0</v>
      </c>
      <c r="Z92" s="250" t="n">
        <f aca="false" t="array" ref="Z92:Z92">IFERROR( MEDIAN((IF(DATOS_[[Sexo]:[Sexo]]=$B92,IF(DATOS_[[AGRUP. VALOR. PTO.]:[AGRUP. VALOR. PTO.]]=$B90,IF(DATOS_[[Check Periodo Ref.]:[Check Periodo Ref.]]="Dentro",DATOS_[Conc.Sal.21]))))), 0)</f>
        <v>0</v>
      </c>
      <c r="AA92" s="250" t="n">
        <f aca="false" t="array" ref="AA92:AA92">IFERROR( MEDIAN((IF(DATOS_[[Sexo]:[Sexo]]=$B92,IF(DATOS_[[AGRUP. VALOR. PTO.]:[AGRUP. VALOR. PTO.]]=$B90,IF(DATOS_[[Check Periodo Ref.]:[Check Periodo Ref.]]="Dentro",DATOS_[Conc.Sal.22]))))), 0)</f>
        <v>0</v>
      </c>
      <c r="AB92" s="250" t="n">
        <f aca="false" t="array" ref="AB92:AB92">IFERROR( MEDIAN((IF(DATOS_[[Sexo]:[Sexo]]=$B92,IF(DATOS_[[AGRUP. VALOR. PTO.]:[AGRUP. VALOR. PTO.]]=$B90,IF(DATOS_[[Check Periodo Ref.]:[Check Periodo Ref.]]="Dentro",DATOS_[Conc.Sal.23]))))), 0)</f>
        <v>0</v>
      </c>
      <c r="AC92" s="250" t="n">
        <f aca="false" t="array" ref="AC92:AC92">IFERROR( MEDIAN((IF(DATOS_[[Sexo]:[Sexo]]=$B92,IF(DATOS_[[AGRUP. VALOR. PTO.]:[AGRUP. VALOR. PTO.]]=$B90,IF(DATOS_[[Check Periodo Ref.]:[Check Periodo Ref.]]="Dentro",DATOS_[Conc.Sal.24]))))), 0)</f>
        <v>0</v>
      </c>
      <c r="AD92" s="250" t="n">
        <f aca="false" t="array" ref="AD92:AD92">IFERROR( MEDIAN((IF(DATOS_[[Sexo]:[Sexo]]=$B92,IF(DATOS_[[AGRUP. VALOR. PTO.]:[AGRUP. VALOR. PTO.]]=$B90,IF(DATOS_[[Check Periodo Ref.]:[Check Periodo Ref.]]="Dentro",DATOS_[Conc.Sal.25]))))), 0)</f>
        <v>0</v>
      </c>
      <c r="AE92" s="250" t="n">
        <f aca="false" t="array" ref="AE92:AE92">IFERROR( MEDIAN((IF(DATOS_[[Sexo]:[Sexo]]=$B92,IF(DATOS_[[AGRUP. VALOR. PTO.]:[AGRUP. VALOR. PTO.]]=$B90,IF(DATOS_[[Check Periodo Ref.]:[Check Periodo Ref.]]="Dentro",DATOS_[Conc.Sal.26]))))), 0)</f>
        <v>0</v>
      </c>
      <c r="AF92" s="250" t="n">
        <f aca="false" t="array" ref="AF92:AF92">IFERROR( MEDIAN((IF(DATOS_[[Sexo]:[Sexo]]=$B92,IF(DATOS_[[AGRUP. VALOR. PTO.]:[AGRUP. VALOR. PTO.]]=$B90,IF(DATOS_[[Check Periodo Ref.]:[Check Periodo Ref.]]="Dentro",DATOS_[Conc.Sal.27]))))), 0)</f>
        <v>0</v>
      </c>
      <c r="AG92" s="250" t="n">
        <f aca="false" t="array" ref="AG92:AG92">IFERROR( MEDIAN((IF(DATOS_[[Sexo]:[Sexo]]=$B92,IF(DATOS_[[AGRUP. VALOR. PTO.]:[AGRUP. VALOR. PTO.]]=$B90,IF(DATOS_[[Check Periodo Ref.]:[Check Periodo Ref.]]="Dentro",DATOS_[Conc.Sal.28]))))), 0)</f>
        <v>0</v>
      </c>
      <c r="AH92" s="250" t="n">
        <f aca="false" t="array" ref="AH92:AH92">IFERROR( MEDIAN((IF(DATOS_[[Sexo]:[Sexo]]=$B92,IF(DATOS_[[AGRUP. VALOR. PTO.]:[AGRUP. VALOR. PTO.]]=$B90,IF(DATOS_[[Check Periodo Ref.]:[Check Periodo Ref.]]="Dentro",DATOS_[Conc.Sal.29]))))), 0)</f>
        <v>0</v>
      </c>
      <c r="AI92" s="250" t="n">
        <f aca="false" t="array" ref="AI92:AI92">IFERROR( MEDIAN((IF(DATOS_[[Sexo]:[Sexo]]=$B92,IF(DATOS_[[AGRUP. VALOR. PTO.]:[AGRUP. VALOR. PTO.]]=$B90,IF(DATOS_[[Check Periodo Ref.]:[Check Periodo Ref.]]="Dentro",DATOS_[Conc.Sal.30]))))), 0)</f>
        <v>0</v>
      </c>
      <c r="AJ92" s="251" t="n">
        <f aca="false" t="array" ref="AJ92:AJ92">IFERROR( MEDIAN(IF(DATOS_[Sexo]=$B92,IF(DATOS_[AGRUP. VALOR. PTO.]=$B90,IF(DATOS_[Check Periodo Ref.]="Dentro",DATOS_[Tot COMPL.SAL Ef],0)))), 0)</f>
        <v>0</v>
      </c>
      <c r="AK92" s="252" t="n">
        <f aca="false" t="array" ref="AK92:AK92">IFERROR( MEDIAN(IF(DATOS_[Sexo]=$B92,IF(DATOS_[AGRUP. VALOR. PTO.]=$B90,IF(DATOS_[Check Periodo Ref.]="Dentro",DATOS_[TOTAL SALARIO Ef],0)))), 0)</f>
        <v>0</v>
      </c>
      <c r="AL92" s="259" t="n">
        <f aca="false" t="array" ref="AL92:AL92">IFERROR( MEDIAN((IF(DATOS_[[Sexo]:[Sexo]]=$B92,IF(DATOS_[[AGRUP. VALOR. PTO.]:[AGRUP. VALOR. PTO.]]=$B90,IF(DATOS_[[Check Periodo Ref.]:[Check Periodo Ref.]]="Dentro",DATOS_[C.Extra.01]))))), 0)</f>
        <v>0</v>
      </c>
      <c r="AM92" s="259" t="n">
        <f aca="false" t="array" ref="AM92:AM92">IFERROR( MEDIAN((IF(DATOS_[[Sexo]:[Sexo]]=$B92,IF(DATOS_[[AGRUP. VALOR. PTO.]:[AGRUP. VALOR. PTO.]]=$B90,IF(DATOS_[[Check Periodo Ref.]:[Check Periodo Ref.]]="Dentro",DATOS_[C.Extra.02]))))), 0)</f>
        <v>0</v>
      </c>
      <c r="AN92" s="259" t="n">
        <f aca="false" t="array" ref="AN92:AN92">IFERROR( MEDIAN((IF(DATOS_[[Sexo]:[Sexo]]=$B92,IF(DATOS_[[AGRUP. VALOR. PTO.]:[AGRUP. VALOR. PTO.]]=$B90,IF(DATOS_[[Check Periodo Ref.]:[Check Periodo Ref.]]="Dentro",DATOS_[C.Extra.03]))))), 0)</f>
        <v>0</v>
      </c>
      <c r="AO92" s="259" t="n">
        <f aca="false" t="array" ref="AO92:AO92">IFERROR( MEDIAN((IF(DATOS_[[Sexo]:[Sexo]]=$B92,IF(DATOS_[[AGRUP. VALOR. PTO.]:[AGRUP. VALOR. PTO.]]=$B90,IF(DATOS_[[Check Periodo Ref.]:[Check Periodo Ref.]]="Dentro",DATOS_[C.Extra.04]))))), 0)</f>
        <v>0</v>
      </c>
      <c r="AP92" s="259" t="n">
        <f aca="false" t="array" ref="AP92:AP92">IFERROR( MEDIAN((IF(DATOS_[[Sexo]:[Sexo]]=$B92,IF(DATOS_[[AGRUP. VALOR. PTO.]:[AGRUP. VALOR. PTO.]]=$B90,IF(DATOS_[[Check Periodo Ref.]:[Check Periodo Ref.]]="Dentro",DATOS_[C.Extra.05]))))), 0)</f>
        <v>0</v>
      </c>
      <c r="AQ92" s="254" t="n">
        <f aca="false" t="array" ref="AQ92:AQ92">IFERROR( MEDIAN(IF(DATOS_[Sexo]=$B92,IF(DATOS_[AGRUP. VALOR. PTO.]=$B90,IF(DATOS_[Check Periodo Ref.]="Dentro",DATOS_[Tot Extrasalarial Ef],0)))), 0)</f>
        <v>0</v>
      </c>
      <c r="AR92" s="255" t="n">
        <f aca="false" t="array" ref="AR92:AR92">IFERROR( MEDIAN(IF(DATOS_[Sexo]=$B92,IF(DATOS_[AGRUP. VALOR. PTO.]=$B90,IF(DATOS_[Check Periodo Ref.]="Dentro",DATOS_[TOTAL Retrib Ef],0)))), 0)</f>
        <v>0</v>
      </c>
    </row>
    <row r="93" customFormat="false" ht="15.75" hidden="false" customHeight="false" outlineLevel="0" collapsed="false">
      <c r="A93" s="217" t="str">
        <f aca="false">+A94</f>
        <v>[ocultar]</v>
      </c>
      <c r="B93" s="235" t="s">
        <v>247</v>
      </c>
      <c r="C93" s="236"/>
      <c r="D93" s="237"/>
      <c r="E93" s="238" t="str">
        <f aca="false">IFERROR((E94-E95)/E94,"")</f>
        <v/>
      </c>
      <c r="F93" s="239" t="str">
        <f aca="false">IFERROR((F94-F95)/F94,"")</f>
        <v/>
      </c>
      <c r="G93" s="239" t="str">
        <f aca="false">IFERROR((G94-G95)/G94,"")</f>
        <v/>
      </c>
      <c r="H93" s="239" t="str">
        <f aca="false">IFERROR((H94-H95)/H94,"")</f>
        <v/>
      </c>
      <c r="I93" s="239"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40" t="str">
        <f aca="false">IFERROR((V94-V95)/V94,"")</f>
        <v/>
      </c>
      <c r="W93" s="240" t="str">
        <f aca="false">IFERROR((W94-W95)/W94,"")</f>
        <v/>
      </c>
      <c r="X93" s="240" t="str">
        <f aca="false">IFERROR((X94-X95)/X94,"")</f>
        <v/>
      </c>
      <c r="Y93" s="240"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1" t="str">
        <f aca="false">IFERROR((AJ94-AJ95)/AJ94,"")</f>
        <v/>
      </c>
      <c r="AK93" s="242" t="str">
        <f aca="false">IFERROR((AK94-AK95)/AK94,"")</f>
        <v/>
      </c>
      <c r="AL93" s="243" t="str">
        <f aca="false">IFERROR((AL94-AL95)/AL94,"")</f>
        <v/>
      </c>
      <c r="AM93" s="243" t="str">
        <f aca="false">IFERROR((AM94-AM95)/AM94,"")</f>
        <v/>
      </c>
      <c r="AN93" s="243" t="str">
        <f aca="false">IFERROR((AN94-AN95)/AN94,"")</f>
        <v/>
      </c>
      <c r="AO93" s="243" t="str">
        <f aca="false">IFERROR((AO94-AO95)/AO94,"")</f>
        <v/>
      </c>
      <c r="AP93" s="243" t="str">
        <f aca="false">IFERROR((AP94-AP95)/AP94,"")</f>
        <v/>
      </c>
      <c r="AQ93" s="244" t="str">
        <f aca="false">IFERROR((AQ94-AQ95)/AQ94,"")</f>
        <v/>
      </c>
      <c r="AR93" s="245" t="str">
        <f aca="false">IFERROR((AR94-AR95)/AR94,"")</f>
        <v/>
      </c>
    </row>
    <row r="94" customFormat="false" ht="14.25" hidden="false" customHeight="false" outlineLevel="0" collapsed="false">
      <c r="A94" s="217" t="str">
        <f aca="false">+IF(C94+C95=0,"[ocultar]","")</f>
        <v>[ocultar]</v>
      </c>
      <c r="B94" s="246" t="s">
        <v>371</v>
      </c>
      <c r="C94" s="247" t="n">
        <f aca="false" t="array" ref="C94:C94">SUM(IF($B94=DATOS_[Sexo], IF($B93=DATOS_[AGRUP. VALOR. PTO.], IF("Dentro"=DATOS_[Check Periodo Ref.], 1/(COUNTIFS(DATOS_[Sexo],$B94,DATOS_[AGRUP. VALOR. PTO.],$B93,DATOS_[Check Periodo Ref.],"Dentro",DATOS_[id],DATOS_[id]))))))</f>
        <v>0</v>
      </c>
      <c r="D94" s="248" t="n">
        <f aca="false">COUNTIFS(DATOS_[AGRUP. VALOR. PTO.],$B93,DATOS_[Sexo],$B94,DATOS_[Check Periodo Ref.],"Dentro")</f>
        <v>0</v>
      </c>
      <c r="E94" s="249" t="n">
        <f aca="false" t="array" ref="E94:E94">IFERROR( MEDIAN(IF(DATOS_[Sexo]=$B94,IF(DATOS_[AGRUP. VALOR. PTO.]=$B93,IF(DATOS_[Check Periodo Ref.]="Dentro",DATOS_[SALARIO BASE Ef],0)))), 0)</f>
        <v>0</v>
      </c>
      <c r="F94" s="250" t="n">
        <f aca="false" t="array" ref="F94:F94">IFERROR( MEDIAN((IF(DATOS_[[Sexo]:[Sexo]]=$B94,IF(DATOS_[[AGRUP. VALOR. PTO.]:[AGRUP. VALOR. PTO.]]=$B93,IF(DATOS_[[Check Periodo Ref.]:[Check Periodo Ref.]]="Dentro",DATOS_[Conc.Sal.01]))))), 0)</f>
        <v>0</v>
      </c>
      <c r="G94" s="250" t="n">
        <f aca="false" t="array" ref="G94:G94">IFERROR( MEDIAN((IF(DATOS_[[Sexo]:[Sexo]]=$B94,IF(DATOS_[[AGRUP. VALOR. PTO.]:[AGRUP. VALOR. PTO.]]=$B93,IF(DATOS_[[Check Periodo Ref.]:[Check Periodo Ref.]]="Dentro",DATOS_[Conc.Sal.02]))))), 0)</f>
        <v>0</v>
      </c>
      <c r="H94" s="250" t="n">
        <f aca="false" t="array" ref="H94:H94">IFERROR( MEDIAN((IF(DATOS_[[Sexo]:[Sexo]]=$B94,IF(DATOS_[[AGRUP. VALOR. PTO.]:[AGRUP. VALOR. PTO.]]=$B93,IF(DATOS_[[Check Periodo Ref.]:[Check Periodo Ref.]]="Dentro",DATOS_[Conc.Sal.03]))))), 0)</f>
        <v>0</v>
      </c>
      <c r="I94" s="250" t="n">
        <f aca="false" t="array" ref="I94:I94">IFERROR( MEDIAN((IF(DATOS_[[Sexo]:[Sexo]]=$B94,IF(DATOS_[[AGRUP. VALOR. PTO.]:[AGRUP. VALOR. PTO.]]=$B93,IF(DATOS_[[Check Periodo Ref.]:[Check Periodo Ref.]]="Dentro",DATOS_[Conc.Sal.04]))))), 0)</f>
        <v>0</v>
      </c>
      <c r="J94" s="250" t="n">
        <f aca="false" t="array" ref="J94:J94">IFERROR( MEDIAN((IF(DATOS_[[Sexo]:[Sexo]]=$B94,IF(DATOS_[[AGRUP. VALOR. PTO.]:[AGRUP. VALOR. PTO.]]=$B93,IF(DATOS_[[Check Periodo Ref.]:[Check Periodo Ref.]]="Dentro",DATOS_[Conc.Sal.05]))))), 0)</f>
        <v>0</v>
      </c>
      <c r="K94" s="250" t="n">
        <f aca="false" t="array" ref="K94:K94">IFERROR( MEDIAN((IF(DATOS_[[Sexo]:[Sexo]]=$B94,IF(DATOS_[[AGRUP. VALOR. PTO.]:[AGRUP. VALOR. PTO.]]=$B93,IF(DATOS_[[Check Periodo Ref.]:[Check Periodo Ref.]]="Dentro",DATOS_[Conc.Sal.06]))))), 0)</f>
        <v>0</v>
      </c>
      <c r="L94" s="250" t="n">
        <f aca="false" t="array" ref="L94:L94">IFERROR( MEDIAN((IF(DATOS_[[Sexo]:[Sexo]]=$B94,IF(DATOS_[[AGRUP. VALOR. PTO.]:[AGRUP. VALOR. PTO.]]=$B93,IF(DATOS_[[Check Periodo Ref.]:[Check Periodo Ref.]]="Dentro",DATOS_[Conc.Sal.07]))))), 0)</f>
        <v>0</v>
      </c>
      <c r="M94" s="250" t="n">
        <f aca="false" t="array" ref="M94:M94">IFERROR( MEDIAN((IF(DATOS_[[Sexo]:[Sexo]]=$B94,IF(DATOS_[[AGRUP. VALOR. PTO.]:[AGRUP. VALOR. PTO.]]=$B93,IF(DATOS_[[Check Periodo Ref.]:[Check Periodo Ref.]]="Dentro",DATOS_[Conc.Sal.08]))))), 0)</f>
        <v>0</v>
      </c>
      <c r="N94" s="250" t="n">
        <f aca="false" t="array" ref="N94:N94">IFERROR( MEDIAN((IF(DATOS_[[Sexo]:[Sexo]]=$B94,IF(DATOS_[[AGRUP. VALOR. PTO.]:[AGRUP. VALOR. PTO.]]=$B93,IF(DATOS_[[Check Periodo Ref.]:[Check Periodo Ref.]]="Dentro",DATOS_[Conc.Sal.09]))))), 0)</f>
        <v>0</v>
      </c>
      <c r="O94" s="250" t="n">
        <f aca="false" t="array" ref="O94:O94">IFERROR( MEDIAN((IF(DATOS_[[Sexo]:[Sexo]]=$B94,IF(DATOS_[[AGRUP. VALOR. PTO.]:[AGRUP. VALOR. PTO.]]=$B93,IF(DATOS_[[Check Periodo Ref.]:[Check Periodo Ref.]]="Dentro",DATOS_[Conc.Sal.10]))))), 0)</f>
        <v>0</v>
      </c>
      <c r="P94" s="250" t="n">
        <f aca="false" t="array" ref="P94:P94">IFERROR( MEDIAN((IF(DATOS_[[Sexo]:[Sexo]]=$B94,IF(DATOS_[[AGRUP. VALOR. PTO.]:[AGRUP. VALOR. PTO.]]=$B93,IF(DATOS_[[Check Periodo Ref.]:[Check Periodo Ref.]]="Dentro",DATOS_[Conc.Sal.11]))))), 0)</f>
        <v>0</v>
      </c>
      <c r="Q94" s="250" t="n">
        <f aca="false" t="array" ref="Q94:Q94">IFERROR( MEDIAN((IF(DATOS_[[Sexo]:[Sexo]]=$B94,IF(DATOS_[[AGRUP. VALOR. PTO.]:[AGRUP. VALOR. PTO.]]=$B93,IF(DATOS_[[Check Periodo Ref.]:[Check Periodo Ref.]]="Dentro",DATOS_[Conc.Sal.12]))))), 0)</f>
        <v>0</v>
      </c>
      <c r="R94" s="250" t="n">
        <f aca="false" t="array" ref="R94:R94">IFERROR( MEDIAN((IF(DATOS_[[Sexo]:[Sexo]]=$B94,IF(DATOS_[[AGRUP. VALOR. PTO.]:[AGRUP. VALOR. PTO.]]=$B93,IF(DATOS_[[Check Periodo Ref.]:[Check Periodo Ref.]]="Dentro",DATOS_[Conc.Sal.13]))))), 0)</f>
        <v>0</v>
      </c>
      <c r="S94" s="250" t="n">
        <f aca="false" t="array" ref="S94:S94">IFERROR( MEDIAN((IF(DATOS_[[Sexo]:[Sexo]]=$B94,IF(DATOS_[[AGRUP. VALOR. PTO.]:[AGRUP. VALOR. PTO.]]=$B93,IF(DATOS_[[Check Periodo Ref.]:[Check Periodo Ref.]]="Dentro",DATOS_[Conc.Sal.14]))))), 0)</f>
        <v>0</v>
      </c>
      <c r="T94" s="250" t="n">
        <f aca="false" t="array" ref="T94:T94">IFERROR( MEDIAN((IF(DATOS_[[Sexo]:[Sexo]]=$B94,IF(DATOS_[[AGRUP. VALOR. PTO.]:[AGRUP. VALOR. PTO.]]=$B93,IF(DATOS_[[Check Periodo Ref.]:[Check Periodo Ref.]]="Dentro",DATOS_[Conc.Sal.15]))))), 0)</f>
        <v>0</v>
      </c>
      <c r="U94" s="250" t="n">
        <f aca="false" t="array" ref="U94:U94">IFERROR( MEDIAN((IF(DATOS_[[Sexo]:[Sexo]]=$B94,IF(DATOS_[[AGRUP. VALOR. PTO.]:[AGRUP. VALOR. PTO.]]=$B93,IF(DATOS_[[Check Periodo Ref.]:[Check Periodo Ref.]]="Dentro",DATOS_[Conc.Sal.16]))))), 0)</f>
        <v>0</v>
      </c>
      <c r="V94" s="250" t="n">
        <f aca="false" t="array" ref="V94:V94">IFERROR( MEDIAN((IF(DATOS_[[Sexo]:[Sexo]]=$B94,IF(DATOS_[[AGRUP. VALOR. PTO.]:[AGRUP. VALOR. PTO.]]=$B93,IF(DATOS_[[Check Periodo Ref.]:[Check Periodo Ref.]]="Dentro",DATOS_[Conc.Sal.17]))))), 0)</f>
        <v>0</v>
      </c>
      <c r="W94" s="250" t="n">
        <f aca="false" t="array" ref="W94:W94">IFERROR( MEDIAN((IF(DATOS_[[Sexo]:[Sexo]]=$B94,IF(DATOS_[[AGRUP. VALOR. PTO.]:[AGRUP. VALOR. PTO.]]=$B93,IF(DATOS_[[Check Periodo Ref.]:[Check Periodo Ref.]]="Dentro",DATOS_[Conc.Sal.18]))))), 0)</f>
        <v>0</v>
      </c>
      <c r="X94" s="250" t="n">
        <f aca="false" t="array" ref="X94:X94">IFERROR( MEDIAN((IF(DATOS_[[Sexo]:[Sexo]]=$B94,IF(DATOS_[[AGRUP. VALOR. PTO.]:[AGRUP. VALOR. PTO.]]=$B93,IF(DATOS_[[Check Periodo Ref.]:[Check Periodo Ref.]]="Dentro",DATOS_[Conc.Sal.19]))))), 0)</f>
        <v>0</v>
      </c>
      <c r="Y94" s="250" t="n">
        <f aca="false" t="array" ref="Y94:Y94">IFERROR( MEDIAN((IF(DATOS_[[Sexo]:[Sexo]]=$B94,IF(DATOS_[[AGRUP. VALOR. PTO.]:[AGRUP. VALOR. PTO.]]=$B93,IF(DATOS_[[Check Periodo Ref.]:[Check Periodo Ref.]]="Dentro",DATOS_[Conc.Sal.20]))))), 0)</f>
        <v>0</v>
      </c>
      <c r="Z94" s="250" t="n">
        <f aca="false" t="array" ref="Z94:Z94">IFERROR( MEDIAN((IF(DATOS_[[Sexo]:[Sexo]]=$B94,IF(DATOS_[[AGRUP. VALOR. PTO.]:[AGRUP. VALOR. PTO.]]=$B93,IF(DATOS_[[Check Periodo Ref.]:[Check Periodo Ref.]]="Dentro",DATOS_[Conc.Sal.21]))))), 0)</f>
        <v>0</v>
      </c>
      <c r="AA94" s="250" t="n">
        <f aca="false" t="array" ref="AA94:AA94">IFERROR( MEDIAN((IF(DATOS_[[Sexo]:[Sexo]]=$B94,IF(DATOS_[[AGRUP. VALOR. PTO.]:[AGRUP. VALOR. PTO.]]=$B93,IF(DATOS_[[Check Periodo Ref.]:[Check Periodo Ref.]]="Dentro",DATOS_[Conc.Sal.22]))))), 0)</f>
        <v>0</v>
      </c>
      <c r="AB94" s="250" t="n">
        <f aca="false" t="array" ref="AB94:AB94">IFERROR( MEDIAN((IF(DATOS_[[Sexo]:[Sexo]]=$B94,IF(DATOS_[[AGRUP. VALOR. PTO.]:[AGRUP. VALOR. PTO.]]=$B93,IF(DATOS_[[Check Periodo Ref.]:[Check Periodo Ref.]]="Dentro",DATOS_[Conc.Sal.23]))))), 0)</f>
        <v>0</v>
      </c>
      <c r="AC94" s="250" t="n">
        <f aca="false" t="array" ref="AC94:AC94">IFERROR( MEDIAN((IF(DATOS_[[Sexo]:[Sexo]]=$B94,IF(DATOS_[[AGRUP. VALOR. PTO.]:[AGRUP. VALOR. PTO.]]=$B93,IF(DATOS_[[Check Periodo Ref.]:[Check Periodo Ref.]]="Dentro",DATOS_[Conc.Sal.24]))))), 0)</f>
        <v>0</v>
      </c>
      <c r="AD94" s="250" t="n">
        <f aca="false" t="array" ref="AD94:AD94">IFERROR( MEDIAN((IF(DATOS_[[Sexo]:[Sexo]]=$B94,IF(DATOS_[[AGRUP. VALOR. PTO.]:[AGRUP. VALOR. PTO.]]=$B93,IF(DATOS_[[Check Periodo Ref.]:[Check Periodo Ref.]]="Dentro",DATOS_[Conc.Sal.25]))))), 0)</f>
        <v>0</v>
      </c>
      <c r="AE94" s="250" t="n">
        <f aca="false" t="array" ref="AE94:AE94">IFERROR( MEDIAN((IF(DATOS_[[Sexo]:[Sexo]]=$B94,IF(DATOS_[[AGRUP. VALOR. PTO.]:[AGRUP. VALOR. PTO.]]=$B93,IF(DATOS_[[Check Periodo Ref.]:[Check Periodo Ref.]]="Dentro",DATOS_[Conc.Sal.26]))))), 0)</f>
        <v>0</v>
      </c>
      <c r="AF94" s="250" t="n">
        <f aca="false" t="array" ref="AF94:AF94">IFERROR( MEDIAN((IF(DATOS_[[Sexo]:[Sexo]]=$B94,IF(DATOS_[[AGRUP. VALOR. PTO.]:[AGRUP. VALOR. PTO.]]=$B93,IF(DATOS_[[Check Periodo Ref.]:[Check Periodo Ref.]]="Dentro",DATOS_[Conc.Sal.27]))))), 0)</f>
        <v>0</v>
      </c>
      <c r="AG94" s="250" t="n">
        <f aca="false" t="array" ref="AG94:AG94">IFERROR( MEDIAN((IF(DATOS_[[Sexo]:[Sexo]]=$B94,IF(DATOS_[[AGRUP. VALOR. PTO.]:[AGRUP. VALOR. PTO.]]=$B93,IF(DATOS_[[Check Periodo Ref.]:[Check Periodo Ref.]]="Dentro",DATOS_[Conc.Sal.28]))))), 0)</f>
        <v>0</v>
      </c>
      <c r="AH94" s="250" t="n">
        <f aca="false" t="array" ref="AH94:AH94">IFERROR( MEDIAN((IF(DATOS_[[Sexo]:[Sexo]]=$B94,IF(DATOS_[[AGRUP. VALOR. PTO.]:[AGRUP. VALOR. PTO.]]=$B93,IF(DATOS_[[Check Periodo Ref.]:[Check Periodo Ref.]]="Dentro",DATOS_[Conc.Sal.29]))))), 0)</f>
        <v>0</v>
      </c>
      <c r="AI94" s="250" t="n">
        <f aca="false" t="array" ref="AI94:AI94">IFERROR( MEDIAN((IF(DATOS_[[Sexo]:[Sexo]]=$B94,IF(DATOS_[[AGRUP. VALOR. PTO.]:[AGRUP. VALOR. PTO.]]=$B93,IF(DATOS_[[Check Periodo Ref.]:[Check Periodo Ref.]]="Dentro",DATOS_[Conc.Sal.30]))))), 0)</f>
        <v>0</v>
      </c>
      <c r="AJ94" s="251" t="n">
        <f aca="false" t="array" ref="AJ94:AJ94">IFERROR( MEDIAN(IF(DATOS_[Sexo]=$B94,IF(DATOS_[AGRUP. VALOR. PTO.]=$B93,IF(DATOS_[Check Periodo Ref.]="Dentro",DATOS_[Tot COMPL.SAL Ef],0)))), 0)</f>
        <v>0</v>
      </c>
      <c r="AK94" s="252" t="n">
        <f aca="false" t="array" ref="AK94:AK94">IFERROR( MEDIAN(IF(DATOS_[Sexo]=$B94,IF(DATOS_[AGRUP. VALOR. PTO.]=$B93,IF(DATOS_[Check Periodo Ref.]="Dentro",DATOS_[TOTAL SALARIO Ef],0)))), 0)</f>
        <v>0</v>
      </c>
      <c r="AL94" s="259" t="n">
        <f aca="false" t="array" ref="AL94:AL94">IFERROR( MEDIAN((IF(DATOS_[[Sexo]:[Sexo]]=$B94,IF(DATOS_[[AGRUP. VALOR. PTO.]:[AGRUP. VALOR. PTO.]]=$B93,IF(DATOS_[[Check Periodo Ref.]:[Check Periodo Ref.]]="Dentro",DATOS_[C.Extra.01]))))), 0)</f>
        <v>0</v>
      </c>
      <c r="AM94" s="259" t="n">
        <f aca="false" t="array" ref="AM94:AM94">IFERROR( MEDIAN((IF(DATOS_[[Sexo]:[Sexo]]=$B94,IF(DATOS_[[AGRUP. VALOR. PTO.]:[AGRUP. VALOR. PTO.]]=$B93,IF(DATOS_[[Check Periodo Ref.]:[Check Periodo Ref.]]="Dentro",DATOS_[C.Extra.02]))))), 0)</f>
        <v>0</v>
      </c>
      <c r="AN94" s="259" t="n">
        <f aca="false" t="array" ref="AN94:AN94">IFERROR( MEDIAN((IF(DATOS_[[Sexo]:[Sexo]]=$B94,IF(DATOS_[[AGRUP. VALOR. PTO.]:[AGRUP. VALOR. PTO.]]=$B93,IF(DATOS_[[Check Periodo Ref.]:[Check Periodo Ref.]]="Dentro",DATOS_[C.Extra.03]))))), 0)</f>
        <v>0</v>
      </c>
      <c r="AO94" s="259" t="n">
        <f aca="false" t="array" ref="AO94:AO94">IFERROR( MEDIAN((IF(DATOS_[[Sexo]:[Sexo]]=$B94,IF(DATOS_[[AGRUP. VALOR. PTO.]:[AGRUP. VALOR. PTO.]]=$B93,IF(DATOS_[[Check Periodo Ref.]:[Check Periodo Ref.]]="Dentro",DATOS_[C.Extra.04]))))), 0)</f>
        <v>0</v>
      </c>
      <c r="AP94" s="259" t="n">
        <f aca="false" t="array" ref="AP94:AP94">IFERROR( MEDIAN((IF(DATOS_[[Sexo]:[Sexo]]=$B94,IF(DATOS_[[AGRUP. VALOR. PTO.]:[AGRUP. VALOR. PTO.]]=$B93,IF(DATOS_[[Check Periodo Ref.]:[Check Periodo Ref.]]="Dentro",DATOS_[C.Extra.05]))))), 0)</f>
        <v>0</v>
      </c>
      <c r="AQ94" s="254" t="n">
        <f aca="false" t="array" ref="AQ94:AQ94">IFERROR( MEDIAN(IF(DATOS_[Sexo]=$B94,IF(DATOS_[AGRUP. VALOR. PTO.]=$B93,IF(DATOS_[Check Periodo Ref.]="Dentro",DATOS_[Tot Extrasalarial Ef],0)))), 0)</f>
        <v>0</v>
      </c>
      <c r="AR94" s="255" t="n">
        <f aca="false" t="array" ref="AR94:AR94">IFERROR( MEDIAN(IF(DATOS_[Sexo]=$B94,IF(DATOS_[AGRUP. VALOR. PTO.]=$B93,IF(DATOS_[Check Periodo Ref.]="Dentro",DATOS_[TOTAL Retrib Ef],0)))), 0)</f>
        <v>0</v>
      </c>
    </row>
    <row r="95" customFormat="false" ht="14.25" hidden="false" customHeight="false" outlineLevel="0" collapsed="false">
      <c r="A95" s="217" t="str">
        <f aca="false">+A94</f>
        <v>[ocultar]</v>
      </c>
      <c r="B95" s="246" t="s">
        <v>372</v>
      </c>
      <c r="C95" s="247" t="n">
        <f aca="false" t="array" ref="C95:C95">SUM(IF($B95=DATOS_[Sexo], IF($B93=DATOS_[AGRUP. VALOR. PTO.], IF("Dentro"=DATOS_[Check Periodo Ref.], 1/(COUNTIFS(DATOS_[Sexo],$B95,DATOS_[AGRUP. VALOR. PTO.],$B93,DATOS_[Check Periodo Ref.],"Dentro",DATOS_[id],DATOS_[id]))))))</f>
        <v>0</v>
      </c>
      <c r="D95" s="248" t="n">
        <f aca="false">COUNTIFS(DATOS_[AGRUP. VALOR. PTO.],$B93,DATOS_[Sexo],$B95,DATOS_[Check Periodo Ref.],"Dentro")</f>
        <v>0</v>
      </c>
      <c r="E95" s="249" t="n">
        <f aca="false" t="array" ref="E95:E95">IFERROR( MEDIAN(IF(DATOS_[Sexo]=$B95,IF(DATOS_[AGRUP. VALOR. PTO.]=$B93,IF(DATOS_[Check Periodo Ref.]="Dentro",DATOS_[SALARIO BASE Ef],0)))), 0)</f>
        <v>0</v>
      </c>
      <c r="F95" s="250" t="n">
        <f aca="false" t="array" ref="F95:F95">IFERROR( MEDIAN((IF(DATOS_[[Sexo]:[Sexo]]=$B95,IF(DATOS_[[AGRUP. VALOR. PTO.]:[AGRUP. VALOR. PTO.]]=$B93,IF(DATOS_[[Check Periodo Ref.]:[Check Periodo Ref.]]="Dentro",DATOS_[Conc.Sal.01]))))), 0)</f>
        <v>0</v>
      </c>
      <c r="G95" s="250" t="n">
        <f aca="false" t="array" ref="G95:G95">IFERROR( MEDIAN((IF(DATOS_[[Sexo]:[Sexo]]=$B95,IF(DATOS_[[AGRUP. VALOR. PTO.]:[AGRUP. VALOR. PTO.]]=$B93,IF(DATOS_[[Check Periodo Ref.]:[Check Periodo Ref.]]="Dentro",DATOS_[Conc.Sal.02]))))), 0)</f>
        <v>0</v>
      </c>
      <c r="H95" s="250" t="n">
        <f aca="false" t="array" ref="H95:H95">IFERROR( MEDIAN((IF(DATOS_[[Sexo]:[Sexo]]=$B95,IF(DATOS_[[AGRUP. VALOR. PTO.]:[AGRUP. VALOR. PTO.]]=$B93,IF(DATOS_[[Check Periodo Ref.]:[Check Periodo Ref.]]="Dentro",DATOS_[Conc.Sal.03]))))), 0)</f>
        <v>0</v>
      </c>
      <c r="I95" s="250" t="n">
        <f aca="false" t="array" ref="I95:I95">IFERROR( MEDIAN((IF(DATOS_[[Sexo]:[Sexo]]=$B95,IF(DATOS_[[AGRUP. VALOR. PTO.]:[AGRUP. VALOR. PTO.]]=$B93,IF(DATOS_[[Check Periodo Ref.]:[Check Periodo Ref.]]="Dentro",DATOS_[Conc.Sal.04]))))), 0)</f>
        <v>0</v>
      </c>
      <c r="J95" s="250" t="n">
        <f aca="false" t="array" ref="J95:J95">IFERROR( MEDIAN((IF(DATOS_[[Sexo]:[Sexo]]=$B95,IF(DATOS_[[AGRUP. VALOR. PTO.]:[AGRUP. VALOR. PTO.]]=$B93,IF(DATOS_[[Check Periodo Ref.]:[Check Periodo Ref.]]="Dentro",DATOS_[Conc.Sal.05]))))), 0)</f>
        <v>0</v>
      </c>
      <c r="K95" s="250" t="n">
        <f aca="false" t="array" ref="K95:K95">IFERROR( MEDIAN((IF(DATOS_[[Sexo]:[Sexo]]=$B95,IF(DATOS_[[AGRUP. VALOR. PTO.]:[AGRUP. VALOR. PTO.]]=$B93,IF(DATOS_[[Check Periodo Ref.]:[Check Periodo Ref.]]="Dentro",DATOS_[Conc.Sal.06]))))), 0)</f>
        <v>0</v>
      </c>
      <c r="L95" s="250" t="n">
        <f aca="false" t="array" ref="L95:L95">IFERROR( MEDIAN((IF(DATOS_[[Sexo]:[Sexo]]=$B95,IF(DATOS_[[AGRUP. VALOR. PTO.]:[AGRUP. VALOR. PTO.]]=$B93,IF(DATOS_[[Check Periodo Ref.]:[Check Periodo Ref.]]="Dentro",DATOS_[Conc.Sal.07]))))), 0)</f>
        <v>0</v>
      </c>
      <c r="M95" s="250" t="n">
        <f aca="false" t="array" ref="M95:M95">IFERROR( MEDIAN((IF(DATOS_[[Sexo]:[Sexo]]=$B95,IF(DATOS_[[AGRUP. VALOR. PTO.]:[AGRUP. VALOR. PTO.]]=$B93,IF(DATOS_[[Check Periodo Ref.]:[Check Periodo Ref.]]="Dentro",DATOS_[Conc.Sal.08]))))), 0)</f>
        <v>0</v>
      </c>
      <c r="N95" s="250" t="n">
        <f aca="false" t="array" ref="N95:N95">IFERROR( MEDIAN((IF(DATOS_[[Sexo]:[Sexo]]=$B95,IF(DATOS_[[AGRUP. VALOR. PTO.]:[AGRUP. VALOR. PTO.]]=$B93,IF(DATOS_[[Check Periodo Ref.]:[Check Periodo Ref.]]="Dentro",DATOS_[Conc.Sal.09]))))), 0)</f>
        <v>0</v>
      </c>
      <c r="O95" s="250" t="n">
        <f aca="false" t="array" ref="O95:O95">IFERROR( MEDIAN((IF(DATOS_[[Sexo]:[Sexo]]=$B95,IF(DATOS_[[AGRUP. VALOR. PTO.]:[AGRUP. VALOR. PTO.]]=$B93,IF(DATOS_[[Check Periodo Ref.]:[Check Periodo Ref.]]="Dentro",DATOS_[Conc.Sal.10]))))), 0)</f>
        <v>0</v>
      </c>
      <c r="P95" s="250" t="n">
        <f aca="false" t="array" ref="P95:P95">IFERROR( MEDIAN((IF(DATOS_[[Sexo]:[Sexo]]=$B95,IF(DATOS_[[AGRUP. VALOR. PTO.]:[AGRUP. VALOR. PTO.]]=$B93,IF(DATOS_[[Check Periodo Ref.]:[Check Periodo Ref.]]="Dentro",DATOS_[Conc.Sal.11]))))), 0)</f>
        <v>0</v>
      </c>
      <c r="Q95" s="250" t="n">
        <f aca="false" t="array" ref="Q95:Q95">IFERROR( MEDIAN((IF(DATOS_[[Sexo]:[Sexo]]=$B95,IF(DATOS_[[AGRUP. VALOR. PTO.]:[AGRUP. VALOR. PTO.]]=$B93,IF(DATOS_[[Check Periodo Ref.]:[Check Periodo Ref.]]="Dentro",DATOS_[Conc.Sal.12]))))), 0)</f>
        <v>0</v>
      </c>
      <c r="R95" s="250" t="n">
        <f aca="false" t="array" ref="R95:R95">IFERROR( MEDIAN((IF(DATOS_[[Sexo]:[Sexo]]=$B95,IF(DATOS_[[AGRUP. VALOR. PTO.]:[AGRUP. VALOR. PTO.]]=$B93,IF(DATOS_[[Check Periodo Ref.]:[Check Periodo Ref.]]="Dentro",DATOS_[Conc.Sal.13]))))), 0)</f>
        <v>0</v>
      </c>
      <c r="S95" s="250" t="n">
        <f aca="false" t="array" ref="S95:S95">IFERROR( MEDIAN((IF(DATOS_[[Sexo]:[Sexo]]=$B95,IF(DATOS_[[AGRUP. VALOR. PTO.]:[AGRUP. VALOR. PTO.]]=$B93,IF(DATOS_[[Check Periodo Ref.]:[Check Periodo Ref.]]="Dentro",DATOS_[Conc.Sal.14]))))), 0)</f>
        <v>0</v>
      </c>
      <c r="T95" s="250" t="n">
        <f aca="false" t="array" ref="T95:T95">IFERROR( MEDIAN((IF(DATOS_[[Sexo]:[Sexo]]=$B95,IF(DATOS_[[AGRUP. VALOR. PTO.]:[AGRUP. VALOR. PTO.]]=$B93,IF(DATOS_[[Check Periodo Ref.]:[Check Periodo Ref.]]="Dentro",DATOS_[Conc.Sal.15]))))), 0)</f>
        <v>0</v>
      </c>
      <c r="U95" s="250" t="n">
        <f aca="false" t="array" ref="U95:U95">IFERROR( MEDIAN((IF(DATOS_[[Sexo]:[Sexo]]=$B95,IF(DATOS_[[AGRUP. VALOR. PTO.]:[AGRUP. VALOR. PTO.]]=$B93,IF(DATOS_[[Check Periodo Ref.]:[Check Periodo Ref.]]="Dentro",DATOS_[Conc.Sal.16]))))), 0)</f>
        <v>0</v>
      </c>
      <c r="V95" s="250" t="n">
        <f aca="false" t="array" ref="V95:V95">IFERROR( MEDIAN((IF(DATOS_[[Sexo]:[Sexo]]=$B95,IF(DATOS_[[AGRUP. VALOR. PTO.]:[AGRUP. VALOR. PTO.]]=$B93,IF(DATOS_[[Check Periodo Ref.]:[Check Periodo Ref.]]="Dentro",DATOS_[Conc.Sal.17]))))), 0)</f>
        <v>0</v>
      </c>
      <c r="W95" s="250" t="n">
        <f aca="false" t="array" ref="W95:W95">IFERROR( MEDIAN((IF(DATOS_[[Sexo]:[Sexo]]=$B95,IF(DATOS_[[AGRUP. VALOR. PTO.]:[AGRUP. VALOR. PTO.]]=$B93,IF(DATOS_[[Check Periodo Ref.]:[Check Periodo Ref.]]="Dentro",DATOS_[Conc.Sal.18]))))), 0)</f>
        <v>0</v>
      </c>
      <c r="X95" s="250" t="n">
        <f aca="false" t="array" ref="X95:X95">IFERROR( MEDIAN((IF(DATOS_[[Sexo]:[Sexo]]=$B95,IF(DATOS_[[AGRUP. VALOR. PTO.]:[AGRUP. VALOR. PTO.]]=$B93,IF(DATOS_[[Check Periodo Ref.]:[Check Periodo Ref.]]="Dentro",DATOS_[Conc.Sal.19]))))), 0)</f>
        <v>0</v>
      </c>
      <c r="Y95" s="250" t="n">
        <f aca="false" t="array" ref="Y95:Y95">IFERROR( MEDIAN((IF(DATOS_[[Sexo]:[Sexo]]=$B95,IF(DATOS_[[AGRUP. VALOR. PTO.]:[AGRUP. VALOR. PTO.]]=$B93,IF(DATOS_[[Check Periodo Ref.]:[Check Periodo Ref.]]="Dentro",DATOS_[Conc.Sal.20]))))), 0)</f>
        <v>0</v>
      </c>
      <c r="Z95" s="250" t="n">
        <f aca="false" t="array" ref="Z95:Z95">IFERROR( MEDIAN((IF(DATOS_[[Sexo]:[Sexo]]=$B95,IF(DATOS_[[AGRUP. VALOR. PTO.]:[AGRUP. VALOR. PTO.]]=$B93,IF(DATOS_[[Check Periodo Ref.]:[Check Periodo Ref.]]="Dentro",DATOS_[Conc.Sal.21]))))), 0)</f>
        <v>0</v>
      </c>
      <c r="AA95" s="250" t="n">
        <f aca="false" t="array" ref="AA95:AA95">IFERROR( MEDIAN((IF(DATOS_[[Sexo]:[Sexo]]=$B95,IF(DATOS_[[AGRUP. VALOR. PTO.]:[AGRUP. VALOR. PTO.]]=$B93,IF(DATOS_[[Check Periodo Ref.]:[Check Periodo Ref.]]="Dentro",DATOS_[Conc.Sal.22]))))), 0)</f>
        <v>0</v>
      </c>
      <c r="AB95" s="250" t="n">
        <f aca="false" t="array" ref="AB95:AB95">IFERROR( MEDIAN((IF(DATOS_[[Sexo]:[Sexo]]=$B95,IF(DATOS_[[AGRUP. VALOR. PTO.]:[AGRUP. VALOR. PTO.]]=$B93,IF(DATOS_[[Check Periodo Ref.]:[Check Periodo Ref.]]="Dentro",DATOS_[Conc.Sal.23]))))), 0)</f>
        <v>0</v>
      </c>
      <c r="AC95" s="250" t="n">
        <f aca="false" t="array" ref="AC95:AC95">IFERROR( MEDIAN((IF(DATOS_[[Sexo]:[Sexo]]=$B95,IF(DATOS_[[AGRUP. VALOR. PTO.]:[AGRUP. VALOR. PTO.]]=$B93,IF(DATOS_[[Check Periodo Ref.]:[Check Periodo Ref.]]="Dentro",DATOS_[Conc.Sal.24]))))), 0)</f>
        <v>0</v>
      </c>
      <c r="AD95" s="250" t="n">
        <f aca="false" t="array" ref="AD95:AD95">IFERROR( MEDIAN((IF(DATOS_[[Sexo]:[Sexo]]=$B95,IF(DATOS_[[AGRUP. VALOR. PTO.]:[AGRUP. VALOR. PTO.]]=$B93,IF(DATOS_[[Check Periodo Ref.]:[Check Periodo Ref.]]="Dentro",DATOS_[Conc.Sal.25]))))), 0)</f>
        <v>0</v>
      </c>
      <c r="AE95" s="250" t="n">
        <f aca="false" t="array" ref="AE95:AE95">IFERROR( MEDIAN((IF(DATOS_[[Sexo]:[Sexo]]=$B95,IF(DATOS_[[AGRUP. VALOR. PTO.]:[AGRUP. VALOR. PTO.]]=$B93,IF(DATOS_[[Check Periodo Ref.]:[Check Periodo Ref.]]="Dentro",DATOS_[Conc.Sal.26]))))), 0)</f>
        <v>0</v>
      </c>
      <c r="AF95" s="250" t="n">
        <f aca="false" t="array" ref="AF95:AF95">IFERROR( MEDIAN((IF(DATOS_[[Sexo]:[Sexo]]=$B95,IF(DATOS_[[AGRUP. VALOR. PTO.]:[AGRUP. VALOR. PTO.]]=$B93,IF(DATOS_[[Check Periodo Ref.]:[Check Periodo Ref.]]="Dentro",DATOS_[Conc.Sal.27]))))), 0)</f>
        <v>0</v>
      </c>
      <c r="AG95" s="250" t="n">
        <f aca="false" t="array" ref="AG95:AG95">IFERROR( MEDIAN((IF(DATOS_[[Sexo]:[Sexo]]=$B95,IF(DATOS_[[AGRUP. VALOR. PTO.]:[AGRUP. VALOR. PTO.]]=$B93,IF(DATOS_[[Check Periodo Ref.]:[Check Periodo Ref.]]="Dentro",DATOS_[Conc.Sal.28]))))), 0)</f>
        <v>0</v>
      </c>
      <c r="AH95" s="250" t="n">
        <f aca="false" t="array" ref="AH95:AH95">IFERROR( MEDIAN((IF(DATOS_[[Sexo]:[Sexo]]=$B95,IF(DATOS_[[AGRUP. VALOR. PTO.]:[AGRUP. VALOR. PTO.]]=$B93,IF(DATOS_[[Check Periodo Ref.]:[Check Periodo Ref.]]="Dentro",DATOS_[Conc.Sal.29]))))), 0)</f>
        <v>0</v>
      </c>
      <c r="AI95" s="250" t="n">
        <f aca="false" t="array" ref="AI95:AI95">IFERROR( MEDIAN((IF(DATOS_[[Sexo]:[Sexo]]=$B95,IF(DATOS_[[AGRUP. VALOR. PTO.]:[AGRUP. VALOR. PTO.]]=$B93,IF(DATOS_[[Check Periodo Ref.]:[Check Periodo Ref.]]="Dentro",DATOS_[Conc.Sal.30]))))), 0)</f>
        <v>0</v>
      </c>
      <c r="AJ95" s="251" t="n">
        <f aca="false" t="array" ref="AJ95:AJ95">IFERROR( MEDIAN(IF(DATOS_[Sexo]=$B95,IF(DATOS_[AGRUP. VALOR. PTO.]=$B93,IF(DATOS_[Check Periodo Ref.]="Dentro",DATOS_[Tot COMPL.SAL Ef],0)))), 0)</f>
        <v>0</v>
      </c>
      <c r="AK95" s="252" t="n">
        <f aca="false" t="array" ref="AK95:AK95">IFERROR( MEDIAN(IF(DATOS_[Sexo]=$B95,IF(DATOS_[AGRUP. VALOR. PTO.]=$B93,IF(DATOS_[Check Periodo Ref.]="Dentro",DATOS_[TOTAL SALARIO Ef],0)))), 0)</f>
        <v>0</v>
      </c>
      <c r="AL95" s="259" t="n">
        <f aca="false" t="array" ref="AL95:AL95">IFERROR( MEDIAN((IF(DATOS_[[Sexo]:[Sexo]]=$B95,IF(DATOS_[[AGRUP. VALOR. PTO.]:[AGRUP. VALOR. PTO.]]=$B93,IF(DATOS_[[Check Periodo Ref.]:[Check Periodo Ref.]]="Dentro",DATOS_[C.Extra.01]))))), 0)</f>
        <v>0</v>
      </c>
      <c r="AM95" s="259" t="n">
        <f aca="false" t="array" ref="AM95:AM95">IFERROR( MEDIAN((IF(DATOS_[[Sexo]:[Sexo]]=$B95,IF(DATOS_[[AGRUP. VALOR. PTO.]:[AGRUP. VALOR. PTO.]]=$B93,IF(DATOS_[[Check Periodo Ref.]:[Check Periodo Ref.]]="Dentro",DATOS_[C.Extra.02]))))), 0)</f>
        <v>0</v>
      </c>
      <c r="AN95" s="259" t="n">
        <f aca="false" t="array" ref="AN95:AN95">IFERROR( MEDIAN((IF(DATOS_[[Sexo]:[Sexo]]=$B95,IF(DATOS_[[AGRUP. VALOR. PTO.]:[AGRUP. VALOR. PTO.]]=$B93,IF(DATOS_[[Check Periodo Ref.]:[Check Periodo Ref.]]="Dentro",DATOS_[C.Extra.03]))))), 0)</f>
        <v>0</v>
      </c>
      <c r="AO95" s="259" t="n">
        <f aca="false" t="array" ref="AO95:AO95">IFERROR( MEDIAN((IF(DATOS_[[Sexo]:[Sexo]]=$B95,IF(DATOS_[[AGRUP. VALOR. PTO.]:[AGRUP. VALOR. PTO.]]=$B93,IF(DATOS_[[Check Periodo Ref.]:[Check Periodo Ref.]]="Dentro",DATOS_[C.Extra.04]))))), 0)</f>
        <v>0</v>
      </c>
      <c r="AP95" s="259" t="n">
        <f aca="false" t="array" ref="AP95:AP95">IFERROR( MEDIAN((IF(DATOS_[[Sexo]:[Sexo]]=$B95,IF(DATOS_[[AGRUP. VALOR. PTO.]:[AGRUP. VALOR. PTO.]]=$B93,IF(DATOS_[[Check Periodo Ref.]:[Check Periodo Ref.]]="Dentro",DATOS_[C.Extra.05]))))), 0)</f>
        <v>0</v>
      </c>
      <c r="AQ95" s="254" t="n">
        <f aca="false" t="array" ref="AQ95:AQ95">IFERROR( MEDIAN(IF(DATOS_[Sexo]=$B95,IF(DATOS_[AGRUP. VALOR. PTO.]=$B93,IF(DATOS_[Check Periodo Ref.]="Dentro",DATOS_[Tot Extrasalarial Ef],0)))), 0)</f>
        <v>0</v>
      </c>
      <c r="AR95" s="255" t="n">
        <f aca="false" t="array" ref="AR95:AR95">IFERROR( MEDIAN(IF(DATOS_[Sexo]=$B95,IF(DATOS_[AGRUP. VALOR. PTO.]=$B93,IF(DATOS_[Check Periodo Ref.]="Dentro",DATOS_[TOTAL Retrib Ef],0)))), 0)</f>
        <v>0</v>
      </c>
    </row>
    <row r="96" customFormat="false" ht="15.75" hidden="false" customHeight="false" outlineLevel="0" collapsed="false">
      <c r="A96" s="217" t="str">
        <f aca="false">+A97</f>
        <v>[ocultar]</v>
      </c>
      <c r="B96" s="235" t="s">
        <v>250</v>
      </c>
      <c r="C96" s="236"/>
      <c r="D96" s="237"/>
      <c r="E96" s="238" t="str">
        <f aca="false">IFERROR((E97-E98)/E97,"")</f>
        <v/>
      </c>
      <c r="F96" s="239" t="str">
        <f aca="false">IFERROR((F97-F98)/F97,"")</f>
        <v/>
      </c>
      <c r="G96" s="239" t="str">
        <f aca="false">IFERROR((G97-G98)/G97,"")</f>
        <v/>
      </c>
      <c r="H96" s="239" t="str">
        <f aca="false">IFERROR((H97-H98)/H97,"")</f>
        <v/>
      </c>
      <c r="I96" s="239"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40" t="str">
        <f aca="false">IFERROR((V97-V98)/V97,"")</f>
        <v/>
      </c>
      <c r="W96" s="240" t="str">
        <f aca="false">IFERROR((W97-W98)/W97,"")</f>
        <v/>
      </c>
      <c r="X96" s="240" t="str">
        <f aca="false">IFERROR((X97-X98)/X97,"")</f>
        <v/>
      </c>
      <c r="Y96" s="240"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1" t="str">
        <f aca="false">IFERROR((AJ97-AJ98)/AJ97,"")</f>
        <v/>
      </c>
      <c r="AK96" s="242" t="str">
        <f aca="false">IFERROR((AK97-AK98)/AK97,"")</f>
        <v/>
      </c>
      <c r="AL96" s="243" t="str">
        <f aca="false">IFERROR((AL97-AL98)/AL97,"")</f>
        <v/>
      </c>
      <c r="AM96" s="243" t="str">
        <f aca="false">IFERROR((AM97-AM98)/AM97,"")</f>
        <v/>
      </c>
      <c r="AN96" s="243" t="str">
        <f aca="false">IFERROR((AN97-AN98)/AN97,"")</f>
        <v/>
      </c>
      <c r="AO96" s="243" t="str">
        <f aca="false">IFERROR((AO97-AO98)/AO97,"")</f>
        <v/>
      </c>
      <c r="AP96" s="243" t="str">
        <f aca="false">IFERROR((AP97-AP98)/AP97,"")</f>
        <v/>
      </c>
      <c r="AQ96" s="244" t="str">
        <f aca="false">IFERROR((AQ97-AQ98)/AQ97,"")</f>
        <v/>
      </c>
      <c r="AR96" s="245" t="str">
        <f aca="false">IFERROR((AR97-AR98)/AR97,"")</f>
        <v/>
      </c>
    </row>
    <row r="97" customFormat="false" ht="14.25" hidden="false" customHeight="false" outlineLevel="0" collapsed="false">
      <c r="A97" s="217" t="str">
        <f aca="false">+IF(C97+C98=0,"[ocultar]","")</f>
        <v>[ocultar]</v>
      </c>
      <c r="B97" s="246" t="s">
        <v>371</v>
      </c>
      <c r="C97" s="247" t="n">
        <f aca="false" t="array" ref="C97:C97">SUM(IF($B97=DATOS_[Sexo], IF($B96=DATOS_[AGRUP. VALOR. PTO.], IF("Dentro"=DATOS_[Check Periodo Ref.], 1/(COUNTIFS(DATOS_[Sexo],$B97,DATOS_[AGRUP. VALOR. PTO.],$B96,DATOS_[Check Periodo Ref.],"Dentro",DATOS_[id],DATOS_[id]))))))</f>
        <v>0</v>
      </c>
      <c r="D97" s="248" t="n">
        <f aca="false">COUNTIFS(DATOS_[AGRUP. VALOR. PTO.],$B96,DATOS_[Sexo],$B97,DATOS_[Check Periodo Ref.],"Dentro")</f>
        <v>0</v>
      </c>
      <c r="E97" s="249" t="n">
        <f aca="false" t="array" ref="E97:E97">IFERROR( MEDIAN(IF(DATOS_[Sexo]=$B97,IF(DATOS_[AGRUP. VALOR. PTO.]=$B96,IF(DATOS_[Check Periodo Ref.]="Dentro",DATOS_[SALARIO BASE Ef],0)))), 0)</f>
        <v>0</v>
      </c>
      <c r="F97" s="250" t="n">
        <f aca="false" t="array" ref="F97:F97">IFERROR( MEDIAN((IF(DATOS_[[Sexo]:[Sexo]]=$B97,IF(DATOS_[[AGRUP. VALOR. PTO.]:[AGRUP. VALOR. PTO.]]=$B96,IF(DATOS_[[Check Periodo Ref.]:[Check Periodo Ref.]]="Dentro",DATOS_[Conc.Sal.01]))))), 0)</f>
        <v>0</v>
      </c>
      <c r="G97" s="250" t="n">
        <f aca="false" t="array" ref="G97:G97">IFERROR( MEDIAN((IF(DATOS_[[Sexo]:[Sexo]]=$B97,IF(DATOS_[[AGRUP. VALOR. PTO.]:[AGRUP. VALOR. PTO.]]=$B96,IF(DATOS_[[Check Periodo Ref.]:[Check Periodo Ref.]]="Dentro",DATOS_[Conc.Sal.02]))))), 0)</f>
        <v>0</v>
      </c>
      <c r="H97" s="250" t="n">
        <f aca="false" t="array" ref="H97:H97">IFERROR( MEDIAN((IF(DATOS_[[Sexo]:[Sexo]]=$B97,IF(DATOS_[[AGRUP. VALOR. PTO.]:[AGRUP. VALOR. PTO.]]=$B96,IF(DATOS_[[Check Periodo Ref.]:[Check Periodo Ref.]]="Dentro",DATOS_[Conc.Sal.03]))))), 0)</f>
        <v>0</v>
      </c>
      <c r="I97" s="250" t="n">
        <f aca="false" t="array" ref="I97:I97">IFERROR( MEDIAN((IF(DATOS_[[Sexo]:[Sexo]]=$B97,IF(DATOS_[[AGRUP. VALOR. PTO.]:[AGRUP. VALOR. PTO.]]=$B96,IF(DATOS_[[Check Periodo Ref.]:[Check Periodo Ref.]]="Dentro",DATOS_[Conc.Sal.04]))))), 0)</f>
        <v>0</v>
      </c>
      <c r="J97" s="250" t="n">
        <f aca="false" t="array" ref="J97:J97">IFERROR( MEDIAN((IF(DATOS_[[Sexo]:[Sexo]]=$B97,IF(DATOS_[[AGRUP. VALOR. PTO.]:[AGRUP. VALOR. PTO.]]=$B96,IF(DATOS_[[Check Periodo Ref.]:[Check Periodo Ref.]]="Dentro",DATOS_[Conc.Sal.05]))))), 0)</f>
        <v>0</v>
      </c>
      <c r="K97" s="250" t="n">
        <f aca="false" t="array" ref="K97:K97">IFERROR( MEDIAN((IF(DATOS_[[Sexo]:[Sexo]]=$B97,IF(DATOS_[[AGRUP. VALOR. PTO.]:[AGRUP. VALOR. PTO.]]=$B96,IF(DATOS_[[Check Periodo Ref.]:[Check Periodo Ref.]]="Dentro",DATOS_[Conc.Sal.06]))))), 0)</f>
        <v>0</v>
      </c>
      <c r="L97" s="250" t="n">
        <f aca="false" t="array" ref="L97:L97">IFERROR( MEDIAN((IF(DATOS_[[Sexo]:[Sexo]]=$B97,IF(DATOS_[[AGRUP. VALOR. PTO.]:[AGRUP. VALOR. PTO.]]=$B96,IF(DATOS_[[Check Periodo Ref.]:[Check Periodo Ref.]]="Dentro",DATOS_[Conc.Sal.07]))))), 0)</f>
        <v>0</v>
      </c>
      <c r="M97" s="250" t="n">
        <f aca="false" t="array" ref="M97:M97">IFERROR( MEDIAN((IF(DATOS_[[Sexo]:[Sexo]]=$B97,IF(DATOS_[[AGRUP. VALOR. PTO.]:[AGRUP. VALOR. PTO.]]=$B96,IF(DATOS_[[Check Periodo Ref.]:[Check Periodo Ref.]]="Dentro",DATOS_[Conc.Sal.08]))))), 0)</f>
        <v>0</v>
      </c>
      <c r="N97" s="250" t="n">
        <f aca="false" t="array" ref="N97:N97">IFERROR( MEDIAN((IF(DATOS_[[Sexo]:[Sexo]]=$B97,IF(DATOS_[[AGRUP. VALOR. PTO.]:[AGRUP. VALOR. PTO.]]=$B96,IF(DATOS_[[Check Periodo Ref.]:[Check Periodo Ref.]]="Dentro",DATOS_[Conc.Sal.09]))))), 0)</f>
        <v>0</v>
      </c>
      <c r="O97" s="250" t="n">
        <f aca="false" t="array" ref="O97:O97">IFERROR( MEDIAN((IF(DATOS_[[Sexo]:[Sexo]]=$B97,IF(DATOS_[[AGRUP. VALOR. PTO.]:[AGRUP. VALOR. PTO.]]=$B96,IF(DATOS_[[Check Periodo Ref.]:[Check Periodo Ref.]]="Dentro",DATOS_[Conc.Sal.10]))))), 0)</f>
        <v>0</v>
      </c>
      <c r="P97" s="250" t="n">
        <f aca="false" t="array" ref="P97:P97">IFERROR( MEDIAN((IF(DATOS_[[Sexo]:[Sexo]]=$B97,IF(DATOS_[[AGRUP. VALOR. PTO.]:[AGRUP. VALOR. PTO.]]=$B96,IF(DATOS_[[Check Periodo Ref.]:[Check Periodo Ref.]]="Dentro",DATOS_[Conc.Sal.11]))))), 0)</f>
        <v>0</v>
      </c>
      <c r="Q97" s="250" t="n">
        <f aca="false" t="array" ref="Q97:Q97">IFERROR( MEDIAN((IF(DATOS_[[Sexo]:[Sexo]]=$B97,IF(DATOS_[[AGRUP. VALOR. PTO.]:[AGRUP. VALOR. PTO.]]=$B96,IF(DATOS_[[Check Periodo Ref.]:[Check Periodo Ref.]]="Dentro",DATOS_[Conc.Sal.12]))))), 0)</f>
        <v>0</v>
      </c>
      <c r="R97" s="250" t="n">
        <f aca="false" t="array" ref="R97:R97">IFERROR( MEDIAN((IF(DATOS_[[Sexo]:[Sexo]]=$B97,IF(DATOS_[[AGRUP. VALOR. PTO.]:[AGRUP. VALOR. PTO.]]=$B96,IF(DATOS_[[Check Periodo Ref.]:[Check Periodo Ref.]]="Dentro",DATOS_[Conc.Sal.13]))))), 0)</f>
        <v>0</v>
      </c>
      <c r="S97" s="250" t="n">
        <f aca="false" t="array" ref="S97:S97">IFERROR( MEDIAN((IF(DATOS_[[Sexo]:[Sexo]]=$B97,IF(DATOS_[[AGRUP. VALOR. PTO.]:[AGRUP. VALOR. PTO.]]=$B96,IF(DATOS_[[Check Periodo Ref.]:[Check Periodo Ref.]]="Dentro",DATOS_[Conc.Sal.14]))))), 0)</f>
        <v>0</v>
      </c>
      <c r="T97" s="250" t="n">
        <f aca="false" t="array" ref="T97:T97">IFERROR( MEDIAN((IF(DATOS_[[Sexo]:[Sexo]]=$B97,IF(DATOS_[[AGRUP. VALOR. PTO.]:[AGRUP. VALOR. PTO.]]=$B96,IF(DATOS_[[Check Periodo Ref.]:[Check Periodo Ref.]]="Dentro",DATOS_[Conc.Sal.15]))))), 0)</f>
        <v>0</v>
      </c>
      <c r="U97" s="250" t="n">
        <f aca="false" t="array" ref="U97:U97">IFERROR( MEDIAN((IF(DATOS_[[Sexo]:[Sexo]]=$B97,IF(DATOS_[[AGRUP. VALOR. PTO.]:[AGRUP. VALOR. PTO.]]=$B96,IF(DATOS_[[Check Periodo Ref.]:[Check Periodo Ref.]]="Dentro",DATOS_[Conc.Sal.16]))))), 0)</f>
        <v>0</v>
      </c>
      <c r="V97" s="250" t="n">
        <f aca="false" t="array" ref="V97:V97">IFERROR( MEDIAN((IF(DATOS_[[Sexo]:[Sexo]]=$B97,IF(DATOS_[[AGRUP. VALOR. PTO.]:[AGRUP. VALOR. PTO.]]=$B96,IF(DATOS_[[Check Periodo Ref.]:[Check Periodo Ref.]]="Dentro",DATOS_[Conc.Sal.17]))))), 0)</f>
        <v>0</v>
      </c>
      <c r="W97" s="250" t="n">
        <f aca="false" t="array" ref="W97:W97">IFERROR( MEDIAN((IF(DATOS_[[Sexo]:[Sexo]]=$B97,IF(DATOS_[[AGRUP. VALOR. PTO.]:[AGRUP. VALOR. PTO.]]=$B96,IF(DATOS_[[Check Periodo Ref.]:[Check Periodo Ref.]]="Dentro",DATOS_[Conc.Sal.18]))))), 0)</f>
        <v>0</v>
      </c>
      <c r="X97" s="250" t="n">
        <f aca="false" t="array" ref="X97:X97">IFERROR( MEDIAN((IF(DATOS_[[Sexo]:[Sexo]]=$B97,IF(DATOS_[[AGRUP. VALOR. PTO.]:[AGRUP. VALOR. PTO.]]=$B96,IF(DATOS_[[Check Periodo Ref.]:[Check Periodo Ref.]]="Dentro",DATOS_[Conc.Sal.19]))))), 0)</f>
        <v>0</v>
      </c>
      <c r="Y97" s="250" t="n">
        <f aca="false" t="array" ref="Y97:Y97">IFERROR( MEDIAN((IF(DATOS_[[Sexo]:[Sexo]]=$B97,IF(DATOS_[[AGRUP. VALOR. PTO.]:[AGRUP. VALOR. PTO.]]=$B96,IF(DATOS_[[Check Periodo Ref.]:[Check Periodo Ref.]]="Dentro",DATOS_[Conc.Sal.20]))))), 0)</f>
        <v>0</v>
      </c>
      <c r="Z97" s="250" t="n">
        <f aca="false" t="array" ref="Z97:Z97">IFERROR( MEDIAN((IF(DATOS_[[Sexo]:[Sexo]]=$B97,IF(DATOS_[[AGRUP. VALOR. PTO.]:[AGRUP. VALOR. PTO.]]=$B96,IF(DATOS_[[Check Periodo Ref.]:[Check Periodo Ref.]]="Dentro",DATOS_[Conc.Sal.21]))))), 0)</f>
        <v>0</v>
      </c>
      <c r="AA97" s="250" t="n">
        <f aca="false" t="array" ref="AA97:AA97">IFERROR( MEDIAN((IF(DATOS_[[Sexo]:[Sexo]]=$B97,IF(DATOS_[[AGRUP. VALOR. PTO.]:[AGRUP. VALOR. PTO.]]=$B96,IF(DATOS_[[Check Periodo Ref.]:[Check Periodo Ref.]]="Dentro",DATOS_[Conc.Sal.22]))))), 0)</f>
        <v>0</v>
      </c>
      <c r="AB97" s="250" t="n">
        <f aca="false" t="array" ref="AB97:AB97">IFERROR( MEDIAN((IF(DATOS_[[Sexo]:[Sexo]]=$B97,IF(DATOS_[[AGRUP. VALOR. PTO.]:[AGRUP. VALOR. PTO.]]=$B96,IF(DATOS_[[Check Periodo Ref.]:[Check Periodo Ref.]]="Dentro",DATOS_[Conc.Sal.23]))))), 0)</f>
        <v>0</v>
      </c>
      <c r="AC97" s="250" t="n">
        <f aca="false" t="array" ref="AC97:AC97">IFERROR( MEDIAN((IF(DATOS_[[Sexo]:[Sexo]]=$B97,IF(DATOS_[[AGRUP. VALOR. PTO.]:[AGRUP. VALOR. PTO.]]=$B96,IF(DATOS_[[Check Periodo Ref.]:[Check Periodo Ref.]]="Dentro",DATOS_[Conc.Sal.24]))))), 0)</f>
        <v>0</v>
      </c>
      <c r="AD97" s="250" t="n">
        <f aca="false" t="array" ref="AD97:AD97">IFERROR( MEDIAN((IF(DATOS_[[Sexo]:[Sexo]]=$B97,IF(DATOS_[[AGRUP. VALOR. PTO.]:[AGRUP. VALOR. PTO.]]=$B96,IF(DATOS_[[Check Periodo Ref.]:[Check Periodo Ref.]]="Dentro",DATOS_[Conc.Sal.25]))))), 0)</f>
        <v>0</v>
      </c>
      <c r="AE97" s="250" t="n">
        <f aca="false" t="array" ref="AE97:AE97">IFERROR( MEDIAN((IF(DATOS_[[Sexo]:[Sexo]]=$B97,IF(DATOS_[[AGRUP. VALOR. PTO.]:[AGRUP. VALOR. PTO.]]=$B96,IF(DATOS_[[Check Periodo Ref.]:[Check Periodo Ref.]]="Dentro",DATOS_[Conc.Sal.26]))))), 0)</f>
        <v>0</v>
      </c>
      <c r="AF97" s="250" t="n">
        <f aca="false" t="array" ref="AF97:AF97">IFERROR( MEDIAN((IF(DATOS_[[Sexo]:[Sexo]]=$B97,IF(DATOS_[[AGRUP. VALOR. PTO.]:[AGRUP. VALOR. PTO.]]=$B96,IF(DATOS_[[Check Periodo Ref.]:[Check Periodo Ref.]]="Dentro",DATOS_[Conc.Sal.27]))))), 0)</f>
        <v>0</v>
      </c>
      <c r="AG97" s="250" t="n">
        <f aca="false" t="array" ref="AG97:AG97">IFERROR( MEDIAN((IF(DATOS_[[Sexo]:[Sexo]]=$B97,IF(DATOS_[[AGRUP. VALOR. PTO.]:[AGRUP. VALOR. PTO.]]=$B96,IF(DATOS_[[Check Periodo Ref.]:[Check Periodo Ref.]]="Dentro",DATOS_[Conc.Sal.28]))))), 0)</f>
        <v>0</v>
      </c>
      <c r="AH97" s="250" t="n">
        <f aca="false" t="array" ref="AH97:AH97">IFERROR( MEDIAN((IF(DATOS_[[Sexo]:[Sexo]]=$B97,IF(DATOS_[[AGRUP. VALOR. PTO.]:[AGRUP. VALOR. PTO.]]=$B96,IF(DATOS_[[Check Periodo Ref.]:[Check Periodo Ref.]]="Dentro",DATOS_[Conc.Sal.29]))))), 0)</f>
        <v>0</v>
      </c>
      <c r="AI97" s="250" t="n">
        <f aca="false" t="array" ref="AI97:AI97">IFERROR( MEDIAN((IF(DATOS_[[Sexo]:[Sexo]]=$B97,IF(DATOS_[[AGRUP. VALOR. PTO.]:[AGRUP. VALOR. PTO.]]=$B96,IF(DATOS_[[Check Periodo Ref.]:[Check Periodo Ref.]]="Dentro",DATOS_[Conc.Sal.30]))))), 0)</f>
        <v>0</v>
      </c>
      <c r="AJ97" s="251" t="n">
        <f aca="false" t="array" ref="AJ97:AJ97">IFERROR( MEDIAN(IF(DATOS_[Sexo]=$B97,IF(DATOS_[AGRUP. VALOR. PTO.]=$B96,IF(DATOS_[Check Periodo Ref.]="Dentro",DATOS_[Tot COMPL.SAL Ef],0)))), 0)</f>
        <v>0</v>
      </c>
      <c r="AK97" s="252" t="n">
        <f aca="false" t="array" ref="AK97:AK97">IFERROR( MEDIAN(IF(DATOS_[Sexo]=$B97,IF(DATOS_[AGRUP. VALOR. PTO.]=$B96,IF(DATOS_[Check Periodo Ref.]="Dentro",DATOS_[TOTAL SALARIO Ef],0)))), 0)</f>
        <v>0</v>
      </c>
      <c r="AL97" s="259" t="n">
        <f aca="false" t="array" ref="AL97:AL97">IFERROR( MEDIAN((IF(DATOS_[[Sexo]:[Sexo]]=$B97,IF(DATOS_[[AGRUP. VALOR. PTO.]:[AGRUP. VALOR. PTO.]]=$B96,IF(DATOS_[[Check Periodo Ref.]:[Check Periodo Ref.]]="Dentro",DATOS_[C.Extra.01]))))), 0)</f>
        <v>0</v>
      </c>
      <c r="AM97" s="259" t="n">
        <f aca="false" t="array" ref="AM97:AM97">IFERROR( MEDIAN((IF(DATOS_[[Sexo]:[Sexo]]=$B97,IF(DATOS_[[AGRUP. VALOR. PTO.]:[AGRUP. VALOR. PTO.]]=$B96,IF(DATOS_[[Check Periodo Ref.]:[Check Periodo Ref.]]="Dentro",DATOS_[C.Extra.02]))))), 0)</f>
        <v>0</v>
      </c>
      <c r="AN97" s="259" t="n">
        <f aca="false" t="array" ref="AN97:AN97">IFERROR( MEDIAN((IF(DATOS_[[Sexo]:[Sexo]]=$B97,IF(DATOS_[[AGRUP. VALOR. PTO.]:[AGRUP. VALOR. PTO.]]=$B96,IF(DATOS_[[Check Periodo Ref.]:[Check Periodo Ref.]]="Dentro",DATOS_[C.Extra.03]))))), 0)</f>
        <v>0</v>
      </c>
      <c r="AO97" s="259" t="n">
        <f aca="false" t="array" ref="AO97:AO97">IFERROR( MEDIAN((IF(DATOS_[[Sexo]:[Sexo]]=$B97,IF(DATOS_[[AGRUP. VALOR. PTO.]:[AGRUP. VALOR. PTO.]]=$B96,IF(DATOS_[[Check Periodo Ref.]:[Check Periodo Ref.]]="Dentro",DATOS_[C.Extra.04]))))), 0)</f>
        <v>0</v>
      </c>
      <c r="AP97" s="259" t="n">
        <f aca="false" t="array" ref="AP97:AP97">IFERROR( MEDIAN((IF(DATOS_[[Sexo]:[Sexo]]=$B97,IF(DATOS_[[AGRUP. VALOR. PTO.]:[AGRUP. VALOR. PTO.]]=$B96,IF(DATOS_[[Check Periodo Ref.]:[Check Periodo Ref.]]="Dentro",DATOS_[C.Extra.05]))))), 0)</f>
        <v>0</v>
      </c>
      <c r="AQ97" s="254" t="n">
        <f aca="false" t="array" ref="AQ97:AQ97">IFERROR( MEDIAN(IF(DATOS_[Sexo]=$B97,IF(DATOS_[AGRUP. VALOR. PTO.]=$B96,IF(DATOS_[Check Periodo Ref.]="Dentro",DATOS_[Tot Extrasalarial Ef],0)))), 0)</f>
        <v>0</v>
      </c>
      <c r="AR97" s="255" t="n">
        <f aca="false" t="array" ref="AR97:AR97">IFERROR( MEDIAN(IF(DATOS_[Sexo]=$B97,IF(DATOS_[AGRUP. VALOR. PTO.]=$B96,IF(DATOS_[Check Periodo Ref.]="Dentro",DATOS_[TOTAL Retrib Ef],0)))), 0)</f>
        <v>0</v>
      </c>
    </row>
    <row r="98" customFormat="false" ht="14.25" hidden="false" customHeight="false" outlineLevel="0" collapsed="false">
      <c r="A98" s="217" t="str">
        <f aca="false">+A97</f>
        <v>[ocultar]</v>
      </c>
      <c r="B98" s="246" t="s">
        <v>372</v>
      </c>
      <c r="C98" s="247" t="n">
        <f aca="false" t="array" ref="C98:C98">SUM(IF($B98=DATOS_[Sexo], IF($B96=DATOS_[AGRUP. VALOR. PTO.], IF("Dentro"=DATOS_[Check Periodo Ref.], 1/(COUNTIFS(DATOS_[Sexo],$B98,DATOS_[AGRUP. VALOR. PTO.],$B96,DATOS_[Check Periodo Ref.],"Dentro",DATOS_[id],DATOS_[id]))))))</f>
        <v>0</v>
      </c>
      <c r="D98" s="248" t="n">
        <f aca="false">COUNTIFS(DATOS_[AGRUP. VALOR. PTO.],$B96,DATOS_[Sexo],$B98,DATOS_[Check Periodo Ref.],"Dentro")</f>
        <v>0</v>
      </c>
      <c r="E98" s="249" t="n">
        <f aca="false" t="array" ref="E98:E98">IFERROR( MEDIAN(IF(DATOS_[Sexo]=$B98,IF(DATOS_[AGRUP. VALOR. PTO.]=$B96,IF(DATOS_[Check Periodo Ref.]="Dentro",DATOS_[SALARIO BASE Ef],0)))), 0)</f>
        <v>0</v>
      </c>
      <c r="F98" s="250" t="n">
        <f aca="false" t="array" ref="F98:F98">IFERROR( MEDIAN((IF(DATOS_[[Sexo]:[Sexo]]=$B98,IF(DATOS_[[AGRUP. VALOR. PTO.]:[AGRUP. VALOR. PTO.]]=$B96,IF(DATOS_[[Check Periodo Ref.]:[Check Periodo Ref.]]="Dentro",DATOS_[Conc.Sal.01]))))), 0)</f>
        <v>0</v>
      </c>
      <c r="G98" s="250" t="n">
        <f aca="false" t="array" ref="G98:G98">IFERROR( MEDIAN((IF(DATOS_[[Sexo]:[Sexo]]=$B98,IF(DATOS_[[AGRUP. VALOR. PTO.]:[AGRUP. VALOR. PTO.]]=$B96,IF(DATOS_[[Check Periodo Ref.]:[Check Periodo Ref.]]="Dentro",DATOS_[Conc.Sal.02]))))), 0)</f>
        <v>0</v>
      </c>
      <c r="H98" s="250" t="n">
        <f aca="false" t="array" ref="H98:H98">IFERROR( MEDIAN((IF(DATOS_[[Sexo]:[Sexo]]=$B98,IF(DATOS_[[AGRUP. VALOR. PTO.]:[AGRUP. VALOR. PTO.]]=$B96,IF(DATOS_[[Check Periodo Ref.]:[Check Periodo Ref.]]="Dentro",DATOS_[Conc.Sal.03]))))), 0)</f>
        <v>0</v>
      </c>
      <c r="I98" s="250" t="n">
        <f aca="false" t="array" ref="I98:I98">IFERROR( MEDIAN((IF(DATOS_[[Sexo]:[Sexo]]=$B98,IF(DATOS_[[AGRUP. VALOR. PTO.]:[AGRUP. VALOR. PTO.]]=$B96,IF(DATOS_[[Check Periodo Ref.]:[Check Periodo Ref.]]="Dentro",DATOS_[Conc.Sal.04]))))), 0)</f>
        <v>0</v>
      </c>
      <c r="J98" s="250" t="n">
        <f aca="false" t="array" ref="J98:J98">IFERROR( MEDIAN((IF(DATOS_[[Sexo]:[Sexo]]=$B98,IF(DATOS_[[AGRUP. VALOR. PTO.]:[AGRUP. VALOR. PTO.]]=$B96,IF(DATOS_[[Check Periodo Ref.]:[Check Periodo Ref.]]="Dentro",DATOS_[Conc.Sal.05]))))), 0)</f>
        <v>0</v>
      </c>
      <c r="K98" s="250" t="n">
        <f aca="false" t="array" ref="K98:K98">IFERROR( MEDIAN((IF(DATOS_[[Sexo]:[Sexo]]=$B98,IF(DATOS_[[AGRUP. VALOR. PTO.]:[AGRUP. VALOR. PTO.]]=$B96,IF(DATOS_[[Check Periodo Ref.]:[Check Periodo Ref.]]="Dentro",DATOS_[Conc.Sal.06]))))), 0)</f>
        <v>0</v>
      </c>
      <c r="L98" s="250" t="n">
        <f aca="false" t="array" ref="L98:L98">IFERROR( MEDIAN((IF(DATOS_[[Sexo]:[Sexo]]=$B98,IF(DATOS_[[AGRUP. VALOR. PTO.]:[AGRUP. VALOR. PTO.]]=$B96,IF(DATOS_[[Check Periodo Ref.]:[Check Periodo Ref.]]="Dentro",DATOS_[Conc.Sal.07]))))), 0)</f>
        <v>0</v>
      </c>
      <c r="M98" s="250" t="n">
        <f aca="false" t="array" ref="M98:M98">IFERROR( MEDIAN((IF(DATOS_[[Sexo]:[Sexo]]=$B98,IF(DATOS_[[AGRUP. VALOR. PTO.]:[AGRUP. VALOR. PTO.]]=$B96,IF(DATOS_[[Check Periodo Ref.]:[Check Periodo Ref.]]="Dentro",DATOS_[Conc.Sal.08]))))), 0)</f>
        <v>0</v>
      </c>
      <c r="N98" s="250" t="n">
        <f aca="false" t="array" ref="N98:N98">IFERROR( MEDIAN((IF(DATOS_[[Sexo]:[Sexo]]=$B98,IF(DATOS_[[AGRUP. VALOR. PTO.]:[AGRUP. VALOR. PTO.]]=$B96,IF(DATOS_[[Check Periodo Ref.]:[Check Periodo Ref.]]="Dentro",DATOS_[Conc.Sal.09]))))), 0)</f>
        <v>0</v>
      </c>
      <c r="O98" s="250" t="n">
        <f aca="false" t="array" ref="O98:O98">IFERROR( MEDIAN((IF(DATOS_[[Sexo]:[Sexo]]=$B98,IF(DATOS_[[AGRUP. VALOR. PTO.]:[AGRUP. VALOR. PTO.]]=$B96,IF(DATOS_[[Check Periodo Ref.]:[Check Periodo Ref.]]="Dentro",DATOS_[Conc.Sal.10]))))), 0)</f>
        <v>0</v>
      </c>
      <c r="P98" s="250" t="n">
        <f aca="false" t="array" ref="P98:P98">IFERROR( MEDIAN((IF(DATOS_[[Sexo]:[Sexo]]=$B98,IF(DATOS_[[AGRUP. VALOR. PTO.]:[AGRUP. VALOR. PTO.]]=$B96,IF(DATOS_[[Check Periodo Ref.]:[Check Periodo Ref.]]="Dentro",DATOS_[Conc.Sal.11]))))), 0)</f>
        <v>0</v>
      </c>
      <c r="Q98" s="250" t="n">
        <f aca="false" t="array" ref="Q98:Q98">IFERROR( MEDIAN((IF(DATOS_[[Sexo]:[Sexo]]=$B98,IF(DATOS_[[AGRUP. VALOR. PTO.]:[AGRUP. VALOR. PTO.]]=$B96,IF(DATOS_[[Check Periodo Ref.]:[Check Periodo Ref.]]="Dentro",DATOS_[Conc.Sal.12]))))), 0)</f>
        <v>0</v>
      </c>
      <c r="R98" s="250" t="n">
        <f aca="false" t="array" ref="R98:R98">IFERROR( MEDIAN((IF(DATOS_[[Sexo]:[Sexo]]=$B98,IF(DATOS_[[AGRUP. VALOR. PTO.]:[AGRUP. VALOR. PTO.]]=$B96,IF(DATOS_[[Check Periodo Ref.]:[Check Periodo Ref.]]="Dentro",DATOS_[Conc.Sal.13]))))), 0)</f>
        <v>0</v>
      </c>
      <c r="S98" s="250" t="n">
        <f aca="false" t="array" ref="S98:S98">IFERROR( MEDIAN((IF(DATOS_[[Sexo]:[Sexo]]=$B98,IF(DATOS_[[AGRUP. VALOR. PTO.]:[AGRUP. VALOR. PTO.]]=$B96,IF(DATOS_[[Check Periodo Ref.]:[Check Periodo Ref.]]="Dentro",DATOS_[Conc.Sal.14]))))), 0)</f>
        <v>0</v>
      </c>
      <c r="T98" s="250" t="n">
        <f aca="false" t="array" ref="T98:T98">IFERROR( MEDIAN((IF(DATOS_[[Sexo]:[Sexo]]=$B98,IF(DATOS_[[AGRUP. VALOR. PTO.]:[AGRUP. VALOR. PTO.]]=$B96,IF(DATOS_[[Check Periodo Ref.]:[Check Periodo Ref.]]="Dentro",DATOS_[Conc.Sal.15]))))), 0)</f>
        <v>0</v>
      </c>
      <c r="U98" s="250" t="n">
        <f aca="false" t="array" ref="U98:U98">IFERROR( MEDIAN((IF(DATOS_[[Sexo]:[Sexo]]=$B98,IF(DATOS_[[AGRUP. VALOR. PTO.]:[AGRUP. VALOR. PTO.]]=$B96,IF(DATOS_[[Check Periodo Ref.]:[Check Periodo Ref.]]="Dentro",DATOS_[Conc.Sal.16]))))), 0)</f>
        <v>0</v>
      </c>
      <c r="V98" s="250" t="n">
        <f aca="false" t="array" ref="V98:V98">IFERROR( MEDIAN((IF(DATOS_[[Sexo]:[Sexo]]=$B98,IF(DATOS_[[AGRUP. VALOR. PTO.]:[AGRUP. VALOR. PTO.]]=$B96,IF(DATOS_[[Check Periodo Ref.]:[Check Periodo Ref.]]="Dentro",DATOS_[Conc.Sal.17]))))), 0)</f>
        <v>0</v>
      </c>
      <c r="W98" s="250" t="n">
        <f aca="false" t="array" ref="W98:W98">IFERROR( MEDIAN((IF(DATOS_[[Sexo]:[Sexo]]=$B98,IF(DATOS_[[AGRUP. VALOR. PTO.]:[AGRUP. VALOR. PTO.]]=$B96,IF(DATOS_[[Check Periodo Ref.]:[Check Periodo Ref.]]="Dentro",DATOS_[Conc.Sal.18]))))), 0)</f>
        <v>0</v>
      </c>
      <c r="X98" s="250" t="n">
        <f aca="false" t="array" ref="X98:X98">IFERROR( MEDIAN((IF(DATOS_[[Sexo]:[Sexo]]=$B98,IF(DATOS_[[AGRUP. VALOR. PTO.]:[AGRUP. VALOR. PTO.]]=$B96,IF(DATOS_[[Check Periodo Ref.]:[Check Periodo Ref.]]="Dentro",DATOS_[Conc.Sal.19]))))), 0)</f>
        <v>0</v>
      </c>
      <c r="Y98" s="250" t="n">
        <f aca="false" t="array" ref="Y98:Y98">IFERROR( MEDIAN((IF(DATOS_[[Sexo]:[Sexo]]=$B98,IF(DATOS_[[AGRUP. VALOR. PTO.]:[AGRUP. VALOR. PTO.]]=$B96,IF(DATOS_[[Check Periodo Ref.]:[Check Periodo Ref.]]="Dentro",DATOS_[Conc.Sal.20]))))), 0)</f>
        <v>0</v>
      </c>
      <c r="Z98" s="250" t="n">
        <f aca="false" t="array" ref="Z98:Z98">IFERROR( MEDIAN((IF(DATOS_[[Sexo]:[Sexo]]=$B98,IF(DATOS_[[AGRUP. VALOR. PTO.]:[AGRUP. VALOR. PTO.]]=$B96,IF(DATOS_[[Check Periodo Ref.]:[Check Periodo Ref.]]="Dentro",DATOS_[Conc.Sal.21]))))), 0)</f>
        <v>0</v>
      </c>
      <c r="AA98" s="250" t="n">
        <f aca="false" t="array" ref="AA98:AA98">IFERROR( MEDIAN((IF(DATOS_[[Sexo]:[Sexo]]=$B98,IF(DATOS_[[AGRUP. VALOR. PTO.]:[AGRUP. VALOR. PTO.]]=$B96,IF(DATOS_[[Check Periodo Ref.]:[Check Periodo Ref.]]="Dentro",DATOS_[Conc.Sal.22]))))), 0)</f>
        <v>0</v>
      </c>
      <c r="AB98" s="250" t="n">
        <f aca="false" t="array" ref="AB98:AB98">IFERROR( MEDIAN((IF(DATOS_[[Sexo]:[Sexo]]=$B98,IF(DATOS_[[AGRUP. VALOR. PTO.]:[AGRUP. VALOR. PTO.]]=$B96,IF(DATOS_[[Check Periodo Ref.]:[Check Periodo Ref.]]="Dentro",DATOS_[Conc.Sal.23]))))), 0)</f>
        <v>0</v>
      </c>
      <c r="AC98" s="250" t="n">
        <f aca="false" t="array" ref="AC98:AC98">IFERROR( MEDIAN((IF(DATOS_[[Sexo]:[Sexo]]=$B98,IF(DATOS_[[AGRUP. VALOR. PTO.]:[AGRUP. VALOR. PTO.]]=$B96,IF(DATOS_[[Check Periodo Ref.]:[Check Periodo Ref.]]="Dentro",DATOS_[Conc.Sal.24]))))), 0)</f>
        <v>0</v>
      </c>
      <c r="AD98" s="250" t="n">
        <f aca="false" t="array" ref="AD98:AD98">IFERROR( MEDIAN((IF(DATOS_[[Sexo]:[Sexo]]=$B98,IF(DATOS_[[AGRUP. VALOR. PTO.]:[AGRUP. VALOR. PTO.]]=$B96,IF(DATOS_[[Check Periodo Ref.]:[Check Periodo Ref.]]="Dentro",DATOS_[Conc.Sal.25]))))), 0)</f>
        <v>0</v>
      </c>
      <c r="AE98" s="250" t="n">
        <f aca="false" t="array" ref="AE98:AE98">IFERROR( MEDIAN((IF(DATOS_[[Sexo]:[Sexo]]=$B98,IF(DATOS_[[AGRUP. VALOR. PTO.]:[AGRUP. VALOR. PTO.]]=$B96,IF(DATOS_[[Check Periodo Ref.]:[Check Periodo Ref.]]="Dentro",DATOS_[Conc.Sal.26]))))), 0)</f>
        <v>0</v>
      </c>
      <c r="AF98" s="250" t="n">
        <f aca="false" t="array" ref="AF98:AF98">IFERROR( MEDIAN((IF(DATOS_[[Sexo]:[Sexo]]=$B98,IF(DATOS_[[AGRUP. VALOR. PTO.]:[AGRUP. VALOR. PTO.]]=$B96,IF(DATOS_[[Check Periodo Ref.]:[Check Periodo Ref.]]="Dentro",DATOS_[Conc.Sal.27]))))), 0)</f>
        <v>0</v>
      </c>
      <c r="AG98" s="250" t="n">
        <f aca="false" t="array" ref="AG98:AG98">IFERROR( MEDIAN((IF(DATOS_[[Sexo]:[Sexo]]=$B98,IF(DATOS_[[AGRUP. VALOR. PTO.]:[AGRUP. VALOR. PTO.]]=$B96,IF(DATOS_[[Check Periodo Ref.]:[Check Periodo Ref.]]="Dentro",DATOS_[Conc.Sal.28]))))), 0)</f>
        <v>0</v>
      </c>
      <c r="AH98" s="250" t="n">
        <f aca="false" t="array" ref="AH98:AH98">IFERROR( MEDIAN((IF(DATOS_[[Sexo]:[Sexo]]=$B98,IF(DATOS_[[AGRUP. VALOR. PTO.]:[AGRUP. VALOR. PTO.]]=$B96,IF(DATOS_[[Check Periodo Ref.]:[Check Periodo Ref.]]="Dentro",DATOS_[Conc.Sal.29]))))), 0)</f>
        <v>0</v>
      </c>
      <c r="AI98" s="250" t="n">
        <f aca="false" t="array" ref="AI98:AI98">IFERROR( MEDIAN((IF(DATOS_[[Sexo]:[Sexo]]=$B98,IF(DATOS_[[AGRUP. VALOR. PTO.]:[AGRUP. VALOR. PTO.]]=$B96,IF(DATOS_[[Check Periodo Ref.]:[Check Periodo Ref.]]="Dentro",DATOS_[Conc.Sal.30]))))), 0)</f>
        <v>0</v>
      </c>
      <c r="AJ98" s="251" t="n">
        <f aca="false" t="array" ref="AJ98:AJ98">IFERROR( MEDIAN(IF(DATOS_[Sexo]=$B98,IF(DATOS_[AGRUP. VALOR. PTO.]=$B96,IF(DATOS_[Check Periodo Ref.]="Dentro",DATOS_[Tot COMPL.SAL Ef],0)))), 0)</f>
        <v>0</v>
      </c>
      <c r="AK98" s="252" t="n">
        <f aca="false" t="array" ref="AK98:AK98">IFERROR( MEDIAN(IF(DATOS_[Sexo]=$B98,IF(DATOS_[AGRUP. VALOR. PTO.]=$B96,IF(DATOS_[Check Periodo Ref.]="Dentro",DATOS_[TOTAL SALARIO Ef],0)))), 0)</f>
        <v>0</v>
      </c>
      <c r="AL98" s="259" t="n">
        <f aca="false" t="array" ref="AL98:AL98">IFERROR( MEDIAN((IF(DATOS_[[Sexo]:[Sexo]]=$B98,IF(DATOS_[[AGRUP. VALOR. PTO.]:[AGRUP. VALOR. PTO.]]=$B96,IF(DATOS_[[Check Periodo Ref.]:[Check Periodo Ref.]]="Dentro",DATOS_[C.Extra.01]))))), 0)</f>
        <v>0</v>
      </c>
      <c r="AM98" s="259" t="n">
        <f aca="false" t="array" ref="AM98:AM98">IFERROR( MEDIAN((IF(DATOS_[[Sexo]:[Sexo]]=$B98,IF(DATOS_[[AGRUP. VALOR. PTO.]:[AGRUP. VALOR. PTO.]]=$B96,IF(DATOS_[[Check Periodo Ref.]:[Check Periodo Ref.]]="Dentro",DATOS_[C.Extra.02]))))), 0)</f>
        <v>0</v>
      </c>
      <c r="AN98" s="259" t="n">
        <f aca="false" t="array" ref="AN98:AN98">IFERROR( MEDIAN((IF(DATOS_[[Sexo]:[Sexo]]=$B98,IF(DATOS_[[AGRUP. VALOR. PTO.]:[AGRUP. VALOR. PTO.]]=$B96,IF(DATOS_[[Check Periodo Ref.]:[Check Periodo Ref.]]="Dentro",DATOS_[C.Extra.03]))))), 0)</f>
        <v>0</v>
      </c>
      <c r="AO98" s="259" t="n">
        <f aca="false" t="array" ref="AO98:AO98">IFERROR( MEDIAN((IF(DATOS_[[Sexo]:[Sexo]]=$B98,IF(DATOS_[[AGRUP. VALOR. PTO.]:[AGRUP. VALOR. PTO.]]=$B96,IF(DATOS_[[Check Periodo Ref.]:[Check Periodo Ref.]]="Dentro",DATOS_[C.Extra.04]))))), 0)</f>
        <v>0</v>
      </c>
      <c r="AP98" s="259" t="n">
        <f aca="false" t="array" ref="AP98:AP98">IFERROR( MEDIAN((IF(DATOS_[[Sexo]:[Sexo]]=$B98,IF(DATOS_[[AGRUP. VALOR. PTO.]:[AGRUP. VALOR. PTO.]]=$B96,IF(DATOS_[[Check Periodo Ref.]:[Check Periodo Ref.]]="Dentro",DATOS_[C.Extra.05]))))), 0)</f>
        <v>0</v>
      </c>
      <c r="AQ98" s="254" t="n">
        <f aca="false" t="array" ref="AQ98:AQ98">IFERROR( MEDIAN(IF(DATOS_[Sexo]=$B98,IF(DATOS_[AGRUP. VALOR. PTO.]=$B96,IF(DATOS_[Check Periodo Ref.]="Dentro",DATOS_[Tot Extrasalarial Ef],0)))), 0)</f>
        <v>0</v>
      </c>
      <c r="AR98" s="255" t="n">
        <f aca="false" t="array" ref="AR98:AR98">IFERROR( MEDIAN(IF(DATOS_[Sexo]=$B98,IF(DATOS_[AGRUP. VALOR. PTO.]=$B96,IF(DATOS_[Check Periodo Ref.]="Dentro",DATOS_[TOTAL Retrib Ef],0)))), 0)</f>
        <v>0</v>
      </c>
    </row>
    <row r="99" customFormat="false" ht="15.75" hidden="false" customHeight="false" outlineLevel="0" collapsed="false">
      <c r="A99" s="217" t="str">
        <f aca="false">+A100</f>
        <v>[ocultar]</v>
      </c>
      <c r="B99" s="235" t="s">
        <v>253</v>
      </c>
      <c r="C99" s="236"/>
      <c r="D99" s="237"/>
      <c r="E99" s="238" t="str">
        <f aca="false">IFERROR((E100-E101)/E100,"")</f>
        <v/>
      </c>
      <c r="F99" s="239" t="str">
        <f aca="false">IFERROR((F100-F101)/F100,"")</f>
        <v/>
      </c>
      <c r="G99" s="239" t="str">
        <f aca="false">IFERROR((G100-G101)/G100,"")</f>
        <v/>
      </c>
      <c r="H99" s="239" t="str">
        <f aca="false">IFERROR((H100-H101)/H100,"")</f>
        <v/>
      </c>
      <c r="I99" s="239"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40" t="str">
        <f aca="false">IFERROR((V100-V101)/V100,"")</f>
        <v/>
      </c>
      <c r="W99" s="240" t="str">
        <f aca="false">IFERROR((W100-W101)/W100,"")</f>
        <v/>
      </c>
      <c r="X99" s="240" t="str">
        <f aca="false">IFERROR((X100-X101)/X100,"")</f>
        <v/>
      </c>
      <c r="Y99" s="240"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1" t="str">
        <f aca="false">IFERROR((AJ100-AJ101)/AJ100,"")</f>
        <v/>
      </c>
      <c r="AK99" s="242" t="str">
        <f aca="false">IFERROR((AK100-AK101)/AK100,"")</f>
        <v/>
      </c>
      <c r="AL99" s="243" t="str">
        <f aca="false">IFERROR((AL100-AL101)/AL100,"")</f>
        <v/>
      </c>
      <c r="AM99" s="243" t="str">
        <f aca="false">IFERROR((AM100-AM101)/AM100,"")</f>
        <v/>
      </c>
      <c r="AN99" s="243" t="str">
        <f aca="false">IFERROR((AN100-AN101)/AN100,"")</f>
        <v/>
      </c>
      <c r="AO99" s="243" t="str">
        <f aca="false">IFERROR((AO100-AO101)/AO100,"")</f>
        <v/>
      </c>
      <c r="AP99" s="243" t="str">
        <f aca="false">IFERROR((AP100-AP101)/AP100,"")</f>
        <v/>
      </c>
      <c r="AQ99" s="244" t="str">
        <f aca="false">IFERROR((AQ100-AQ101)/AQ100,"")</f>
        <v/>
      </c>
      <c r="AR99" s="245" t="str">
        <f aca="false">IFERROR((AR100-AR101)/AR100,"")</f>
        <v/>
      </c>
    </row>
    <row r="100" customFormat="false" ht="14.25" hidden="false" customHeight="false" outlineLevel="0" collapsed="false">
      <c r="A100" s="217" t="str">
        <f aca="false">+IF(C100+C101=0,"[ocultar]","")</f>
        <v>[ocultar]</v>
      </c>
      <c r="B100" s="246" t="s">
        <v>371</v>
      </c>
      <c r="C100" s="247" t="n">
        <f aca="false" t="array" ref="C100:C100">SUM(IF($B100=DATOS_[Sexo], IF($B99=DATOS_[AGRUP. VALOR. PTO.], IF("Dentro"=DATOS_[Check Periodo Ref.], 1/(COUNTIFS(DATOS_[Sexo],$B100,DATOS_[AGRUP. VALOR. PTO.],$B99,DATOS_[Check Periodo Ref.],"Dentro",DATOS_[id],DATOS_[id]))))))</f>
        <v>0</v>
      </c>
      <c r="D100" s="248" t="n">
        <f aca="false">COUNTIFS(DATOS_[AGRUP. VALOR. PTO.],$B99,DATOS_[Sexo],$B100,DATOS_[Check Periodo Ref.],"Dentro")</f>
        <v>0</v>
      </c>
      <c r="E100" s="249" t="n">
        <f aca="false" t="array" ref="E100:E100">IFERROR( MEDIAN(IF(DATOS_[Sexo]=$B100,IF(DATOS_[AGRUP. VALOR. PTO.]=$B99,IF(DATOS_[Check Periodo Ref.]="Dentro",DATOS_[SALARIO BASE Ef],0)))), 0)</f>
        <v>0</v>
      </c>
      <c r="F100" s="250" t="n">
        <f aca="false" t="array" ref="F100:F100">IFERROR( MEDIAN((IF(DATOS_[[Sexo]:[Sexo]]=$B100,IF(DATOS_[[AGRUP. VALOR. PTO.]:[AGRUP. VALOR. PTO.]]=$B99,IF(DATOS_[[Check Periodo Ref.]:[Check Periodo Ref.]]="Dentro",DATOS_[Conc.Sal.01]))))), 0)</f>
        <v>0</v>
      </c>
      <c r="G100" s="250" t="n">
        <f aca="false" t="array" ref="G100:G100">IFERROR( MEDIAN((IF(DATOS_[[Sexo]:[Sexo]]=$B100,IF(DATOS_[[AGRUP. VALOR. PTO.]:[AGRUP. VALOR. PTO.]]=$B99,IF(DATOS_[[Check Periodo Ref.]:[Check Periodo Ref.]]="Dentro",DATOS_[Conc.Sal.02]))))), 0)</f>
        <v>0</v>
      </c>
      <c r="H100" s="250" t="n">
        <f aca="false" t="array" ref="H100:H100">IFERROR( MEDIAN((IF(DATOS_[[Sexo]:[Sexo]]=$B100,IF(DATOS_[[AGRUP. VALOR. PTO.]:[AGRUP. VALOR. PTO.]]=$B99,IF(DATOS_[[Check Periodo Ref.]:[Check Periodo Ref.]]="Dentro",DATOS_[Conc.Sal.03]))))), 0)</f>
        <v>0</v>
      </c>
      <c r="I100" s="250" t="n">
        <f aca="false" t="array" ref="I100:I100">IFERROR( MEDIAN((IF(DATOS_[[Sexo]:[Sexo]]=$B100,IF(DATOS_[[AGRUP. VALOR. PTO.]:[AGRUP. VALOR. PTO.]]=$B99,IF(DATOS_[[Check Periodo Ref.]:[Check Periodo Ref.]]="Dentro",DATOS_[Conc.Sal.04]))))), 0)</f>
        <v>0</v>
      </c>
      <c r="J100" s="250" t="n">
        <f aca="false" t="array" ref="J100:J100">IFERROR( MEDIAN((IF(DATOS_[[Sexo]:[Sexo]]=$B100,IF(DATOS_[[AGRUP. VALOR. PTO.]:[AGRUP. VALOR. PTO.]]=$B99,IF(DATOS_[[Check Periodo Ref.]:[Check Periodo Ref.]]="Dentro",DATOS_[Conc.Sal.05]))))), 0)</f>
        <v>0</v>
      </c>
      <c r="K100" s="250" t="n">
        <f aca="false" t="array" ref="K100:K100">IFERROR( MEDIAN((IF(DATOS_[[Sexo]:[Sexo]]=$B100,IF(DATOS_[[AGRUP. VALOR. PTO.]:[AGRUP. VALOR. PTO.]]=$B99,IF(DATOS_[[Check Periodo Ref.]:[Check Periodo Ref.]]="Dentro",DATOS_[Conc.Sal.06]))))), 0)</f>
        <v>0</v>
      </c>
      <c r="L100" s="250" t="n">
        <f aca="false" t="array" ref="L100:L100">IFERROR( MEDIAN((IF(DATOS_[[Sexo]:[Sexo]]=$B100,IF(DATOS_[[AGRUP. VALOR. PTO.]:[AGRUP. VALOR. PTO.]]=$B99,IF(DATOS_[[Check Periodo Ref.]:[Check Periodo Ref.]]="Dentro",DATOS_[Conc.Sal.07]))))), 0)</f>
        <v>0</v>
      </c>
      <c r="M100" s="250" t="n">
        <f aca="false" t="array" ref="M100:M100">IFERROR( MEDIAN((IF(DATOS_[[Sexo]:[Sexo]]=$B100,IF(DATOS_[[AGRUP. VALOR. PTO.]:[AGRUP. VALOR. PTO.]]=$B99,IF(DATOS_[[Check Periodo Ref.]:[Check Periodo Ref.]]="Dentro",DATOS_[Conc.Sal.08]))))), 0)</f>
        <v>0</v>
      </c>
      <c r="N100" s="250" t="n">
        <f aca="false" t="array" ref="N100:N100">IFERROR( MEDIAN((IF(DATOS_[[Sexo]:[Sexo]]=$B100,IF(DATOS_[[AGRUP. VALOR. PTO.]:[AGRUP. VALOR. PTO.]]=$B99,IF(DATOS_[[Check Periodo Ref.]:[Check Periodo Ref.]]="Dentro",DATOS_[Conc.Sal.09]))))), 0)</f>
        <v>0</v>
      </c>
      <c r="O100" s="250" t="n">
        <f aca="false" t="array" ref="O100:O100">IFERROR( MEDIAN((IF(DATOS_[[Sexo]:[Sexo]]=$B100,IF(DATOS_[[AGRUP. VALOR. PTO.]:[AGRUP. VALOR. PTO.]]=$B99,IF(DATOS_[[Check Periodo Ref.]:[Check Periodo Ref.]]="Dentro",DATOS_[Conc.Sal.10]))))), 0)</f>
        <v>0</v>
      </c>
      <c r="P100" s="250" t="n">
        <f aca="false" t="array" ref="P100:P100">IFERROR( MEDIAN((IF(DATOS_[[Sexo]:[Sexo]]=$B100,IF(DATOS_[[AGRUP. VALOR. PTO.]:[AGRUP. VALOR. PTO.]]=$B99,IF(DATOS_[[Check Periodo Ref.]:[Check Periodo Ref.]]="Dentro",DATOS_[Conc.Sal.11]))))), 0)</f>
        <v>0</v>
      </c>
      <c r="Q100" s="250" t="n">
        <f aca="false" t="array" ref="Q100:Q100">IFERROR( MEDIAN((IF(DATOS_[[Sexo]:[Sexo]]=$B100,IF(DATOS_[[AGRUP. VALOR. PTO.]:[AGRUP. VALOR. PTO.]]=$B99,IF(DATOS_[[Check Periodo Ref.]:[Check Periodo Ref.]]="Dentro",DATOS_[Conc.Sal.12]))))), 0)</f>
        <v>0</v>
      </c>
      <c r="R100" s="250" t="n">
        <f aca="false" t="array" ref="R100:R100">IFERROR( MEDIAN((IF(DATOS_[[Sexo]:[Sexo]]=$B100,IF(DATOS_[[AGRUP. VALOR. PTO.]:[AGRUP. VALOR. PTO.]]=$B99,IF(DATOS_[[Check Periodo Ref.]:[Check Periodo Ref.]]="Dentro",DATOS_[Conc.Sal.13]))))), 0)</f>
        <v>0</v>
      </c>
      <c r="S100" s="250" t="n">
        <f aca="false" t="array" ref="S100:S100">IFERROR( MEDIAN((IF(DATOS_[[Sexo]:[Sexo]]=$B100,IF(DATOS_[[AGRUP. VALOR. PTO.]:[AGRUP. VALOR. PTO.]]=$B99,IF(DATOS_[[Check Periodo Ref.]:[Check Periodo Ref.]]="Dentro",DATOS_[Conc.Sal.14]))))), 0)</f>
        <v>0</v>
      </c>
      <c r="T100" s="250" t="n">
        <f aca="false" t="array" ref="T100:T100">IFERROR( MEDIAN((IF(DATOS_[[Sexo]:[Sexo]]=$B100,IF(DATOS_[[AGRUP. VALOR. PTO.]:[AGRUP. VALOR. PTO.]]=$B99,IF(DATOS_[[Check Periodo Ref.]:[Check Periodo Ref.]]="Dentro",DATOS_[Conc.Sal.15]))))), 0)</f>
        <v>0</v>
      </c>
      <c r="U100" s="250" t="n">
        <f aca="false" t="array" ref="U100:U100">IFERROR( MEDIAN((IF(DATOS_[[Sexo]:[Sexo]]=$B100,IF(DATOS_[[AGRUP. VALOR. PTO.]:[AGRUP. VALOR. PTO.]]=$B99,IF(DATOS_[[Check Periodo Ref.]:[Check Periodo Ref.]]="Dentro",DATOS_[Conc.Sal.16]))))), 0)</f>
        <v>0</v>
      </c>
      <c r="V100" s="250" t="n">
        <f aca="false" t="array" ref="V100:V100">IFERROR( MEDIAN((IF(DATOS_[[Sexo]:[Sexo]]=$B100,IF(DATOS_[[AGRUP. VALOR. PTO.]:[AGRUP. VALOR. PTO.]]=$B99,IF(DATOS_[[Check Periodo Ref.]:[Check Periodo Ref.]]="Dentro",DATOS_[Conc.Sal.17]))))), 0)</f>
        <v>0</v>
      </c>
      <c r="W100" s="250" t="n">
        <f aca="false" t="array" ref="W100:W100">IFERROR( MEDIAN((IF(DATOS_[[Sexo]:[Sexo]]=$B100,IF(DATOS_[[AGRUP. VALOR. PTO.]:[AGRUP. VALOR. PTO.]]=$B99,IF(DATOS_[[Check Periodo Ref.]:[Check Periodo Ref.]]="Dentro",DATOS_[Conc.Sal.18]))))), 0)</f>
        <v>0</v>
      </c>
      <c r="X100" s="250" t="n">
        <f aca="false" t="array" ref="X100:X100">IFERROR( MEDIAN((IF(DATOS_[[Sexo]:[Sexo]]=$B100,IF(DATOS_[[AGRUP. VALOR. PTO.]:[AGRUP. VALOR. PTO.]]=$B99,IF(DATOS_[[Check Periodo Ref.]:[Check Periodo Ref.]]="Dentro",DATOS_[Conc.Sal.19]))))), 0)</f>
        <v>0</v>
      </c>
      <c r="Y100" s="250" t="n">
        <f aca="false" t="array" ref="Y100:Y100">IFERROR( MEDIAN((IF(DATOS_[[Sexo]:[Sexo]]=$B100,IF(DATOS_[[AGRUP. VALOR. PTO.]:[AGRUP. VALOR. PTO.]]=$B99,IF(DATOS_[[Check Periodo Ref.]:[Check Periodo Ref.]]="Dentro",DATOS_[Conc.Sal.20]))))), 0)</f>
        <v>0</v>
      </c>
      <c r="Z100" s="250" t="n">
        <f aca="false" t="array" ref="Z100:Z100">IFERROR( MEDIAN((IF(DATOS_[[Sexo]:[Sexo]]=$B100,IF(DATOS_[[AGRUP. VALOR. PTO.]:[AGRUP. VALOR. PTO.]]=$B99,IF(DATOS_[[Check Periodo Ref.]:[Check Periodo Ref.]]="Dentro",DATOS_[Conc.Sal.21]))))), 0)</f>
        <v>0</v>
      </c>
      <c r="AA100" s="250" t="n">
        <f aca="false" t="array" ref="AA100:AA100">IFERROR( MEDIAN((IF(DATOS_[[Sexo]:[Sexo]]=$B100,IF(DATOS_[[AGRUP. VALOR. PTO.]:[AGRUP. VALOR. PTO.]]=$B99,IF(DATOS_[[Check Periodo Ref.]:[Check Periodo Ref.]]="Dentro",DATOS_[Conc.Sal.22]))))), 0)</f>
        <v>0</v>
      </c>
      <c r="AB100" s="250" t="n">
        <f aca="false" t="array" ref="AB100:AB100">IFERROR( MEDIAN((IF(DATOS_[[Sexo]:[Sexo]]=$B100,IF(DATOS_[[AGRUP. VALOR. PTO.]:[AGRUP. VALOR. PTO.]]=$B99,IF(DATOS_[[Check Periodo Ref.]:[Check Periodo Ref.]]="Dentro",DATOS_[Conc.Sal.23]))))), 0)</f>
        <v>0</v>
      </c>
      <c r="AC100" s="250" t="n">
        <f aca="false" t="array" ref="AC100:AC100">IFERROR( MEDIAN((IF(DATOS_[[Sexo]:[Sexo]]=$B100,IF(DATOS_[[AGRUP. VALOR. PTO.]:[AGRUP. VALOR. PTO.]]=$B99,IF(DATOS_[[Check Periodo Ref.]:[Check Periodo Ref.]]="Dentro",DATOS_[Conc.Sal.24]))))), 0)</f>
        <v>0</v>
      </c>
      <c r="AD100" s="250" t="n">
        <f aca="false" t="array" ref="AD100:AD100">IFERROR( MEDIAN((IF(DATOS_[[Sexo]:[Sexo]]=$B100,IF(DATOS_[[AGRUP. VALOR. PTO.]:[AGRUP. VALOR. PTO.]]=$B99,IF(DATOS_[[Check Periodo Ref.]:[Check Periodo Ref.]]="Dentro",DATOS_[Conc.Sal.25]))))), 0)</f>
        <v>0</v>
      </c>
      <c r="AE100" s="250" t="n">
        <f aca="false" t="array" ref="AE100:AE100">IFERROR( MEDIAN((IF(DATOS_[[Sexo]:[Sexo]]=$B100,IF(DATOS_[[AGRUP. VALOR. PTO.]:[AGRUP. VALOR. PTO.]]=$B99,IF(DATOS_[[Check Periodo Ref.]:[Check Periodo Ref.]]="Dentro",DATOS_[Conc.Sal.26]))))), 0)</f>
        <v>0</v>
      </c>
      <c r="AF100" s="250" t="n">
        <f aca="false" t="array" ref="AF100:AF100">IFERROR( MEDIAN((IF(DATOS_[[Sexo]:[Sexo]]=$B100,IF(DATOS_[[AGRUP. VALOR. PTO.]:[AGRUP. VALOR. PTO.]]=$B99,IF(DATOS_[[Check Periodo Ref.]:[Check Periodo Ref.]]="Dentro",DATOS_[Conc.Sal.27]))))), 0)</f>
        <v>0</v>
      </c>
      <c r="AG100" s="250" t="n">
        <f aca="false" t="array" ref="AG100:AG100">IFERROR( MEDIAN((IF(DATOS_[[Sexo]:[Sexo]]=$B100,IF(DATOS_[[AGRUP. VALOR. PTO.]:[AGRUP. VALOR. PTO.]]=$B99,IF(DATOS_[[Check Periodo Ref.]:[Check Periodo Ref.]]="Dentro",DATOS_[Conc.Sal.28]))))), 0)</f>
        <v>0</v>
      </c>
      <c r="AH100" s="250" t="n">
        <f aca="false" t="array" ref="AH100:AH100">IFERROR( MEDIAN((IF(DATOS_[[Sexo]:[Sexo]]=$B100,IF(DATOS_[[AGRUP. VALOR. PTO.]:[AGRUP. VALOR. PTO.]]=$B99,IF(DATOS_[[Check Periodo Ref.]:[Check Periodo Ref.]]="Dentro",DATOS_[Conc.Sal.29]))))), 0)</f>
        <v>0</v>
      </c>
      <c r="AI100" s="250" t="n">
        <f aca="false" t="array" ref="AI100:AI100">IFERROR( MEDIAN((IF(DATOS_[[Sexo]:[Sexo]]=$B100,IF(DATOS_[[AGRUP. VALOR. PTO.]:[AGRUP. VALOR. PTO.]]=$B99,IF(DATOS_[[Check Periodo Ref.]:[Check Periodo Ref.]]="Dentro",DATOS_[Conc.Sal.30]))))), 0)</f>
        <v>0</v>
      </c>
      <c r="AJ100" s="251" t="n">
        <f aca="false" t="array" ref="AJ100:AJ100">IFERROR( MEDIAN(IF(DATOS_[Sexo]=$B100,IF(DATOS_[AGRUP. VALOR. PTO.]=$B99,IF(DATOS_[Check Periodo Ref.]="Dentro",DATOS_[Tot COMPL.SAL Ef],0)))), 0)</f>
        <v>0</v>
      </c>
      <c r="AK100" s="252" t="n">
        <f aca="false" t="array" ref="AK100:AK100">IFERROR( MEDIAN(IF(DATOS_[Sexo]=$B100,IF(DATOS_[AGRUP. VALOR. PTO.]=$B99,IF(DATOS_[Check Periodo Ref.]="Dentro",DATOS_[TOTAL SALARIO Ef],0)))), 0)</f>
        <v>0</v>
      </c>
      <c r="AL100" s="259" t="n">
        <f aca="false" t="array" ref="AL100:AL100">IFERROR( MEDIAN((IF(DATOS_[[Sexo]:[Sexo]]=$B100,IF(DATOS_[[AGRUP. VALOR. PTO.]:[AGRUP. VALOR. PTO.]]=$B99,IF(DATOS_[[Check Periodo Ref.]:[Check Periodo Ref.]]="Dentro",DATOS_[C.Extra.01]))))), 0)</f>
        <v>0</v>
      </c>
      <c r="AM100" s="259" t="n">
        <f aca="false" t="array" ref="AM100:AM100">IFERROR( MEDIAN((IF(DATOS_[[Sexo]:[Sexo]]=$B100,IF(DATOS_[[AGRUP. VALOR. PTO.]:[AGRUP. VALOR. PTO.]]=$B99,IF(DATOS_[[Check Periodo Ref.]:[Check Periodo Ref.]]="Dentro",DATOS_[C.Extra.02]))))), 0)</f>
        <v>0</v>
      </c>
      <c r="AN100" s="259" t="n">
        <f aca="false" t="array" ref="AN100:AN100">IFERROR( MEDIAN((IF(DATOS_[[Sexo]:[Sexo]]=$B100,IF(DATOS_[[AGRUP. VALOR. PTO.]:[AGRUP. VALOR. PTO.]]=$B99,IF(DATOS_[[Check Periodo Ref.]:[Check Periodo Ref.]]="Dentro",DATOS_[C.Extra.03]))))), 0)</f>
        <v>0</v>
      </c>
      <c r="AO100" s="259" t="n">
        <f aca="false" t="array" ref="AO100:AO100">IFERROR( MEDIAN((IF(DATOS_[[Sexo]:[Sexo]]=$B100,IF(DATOS_[[AGRUP. VALOR. PTO.]:[AGRUP. VALOR. PTO.]]=$B99,IF(DATOS_[[Check Periodo Ref.]:[Check Periodo Ref.]]="Dentro",DATOS_[C.Extra.04]))))), 0)</f>
        <v>0</v>
      </c>
      <c r="AP100" s="259" t="n">
        <f aca="false" t="array" ref="AP100:AP100">IFERROR( MEDIAN((IF(DATOS_[[Sexo]:[Sexo]]=$B100,IF(DATOS_[[AGRUP. VALOR. PTO.]:[AGRUP. VALOR. PTO.]]=$B99,IF(DATOS_[[Check Periodo Ref.]:[Check Periodo Ref.]]="Dentro",DATOS_[C.Extra.05]))))), 0)</f>
        <v>0</v>
      </c>
      <c r="AQ100" s="254" t="n">
        <f aca="false" t="array" ref="AQ100:AQ100">IFERROR( MEDIAN(IF(DATOS_[Sexo]=$B100,IF(DATOS_[AGRUP. VALOR. PTO.]=$B99,IF(DATOS_[Check Periodo Ref.]="Dentro",DATOS_[Tot Extrasalarial Ef],0)))), 0)</f>
        <v>0</v>
      </c>
      <c r="AR100" s="255" t="n">
        <f aca="false" t="array" ref="AR100:AR100">IFERROR( MEDIAN(IF(DATOS_[Sexo]=$B100,IF(DATOS_[AGRUP. VALOR. PTO.]=$B99,IF(DATOS_[Check Periodo Ref.]="Dentro",DATOS_[TOTAL Retrib Ef],0)))), 0)</f>
        <v>0</v>
      </c>
    </row>
    <row r="101" customFormat="false" ht="14.25" hidden="false" customHeight="false" outlineLevel="0" collapsed="false">
      <c r="A101" s="217" t="str">
        <f aca="false">+A100</f>
        <v>[ocultar]</v>
      </c>
      <c r="B101" s="246" t="s">
        <v>372</v>
      </c>
      <c r="C101" s="247" t="n">
        <f aca="false" t="array" ref="C101:C101">SUM(IF($B101=DATOS_[Sexo], IF($B99=DATOS_[AGRUP. VALOR. PTO.], IF("Dentro"=DATOS_[Check Periodo Ref.], 1/(COUNTIFS(DATOS_[Sexo],$B101,DATOS_[AGRUP. VALOR. PTO.],$B99,DATOS_[Check Periodo Ref.],"Dentro",DATOS_[id],DATOS_[id]))))))</f>
        <v>0</v>
      </c>
      <c r="D101" s="248" t="n">
        <f aca="false">COUNTIFS(DATOS_[AGRUP. VALOR. PTO.],$B99,DATOS_[Sexo],$B101,DATOS_[Check Periodo Ref.],"Dentro")</f>
        <v>0</v>
      </c>
      <c r="E101" s="249" t="n">
        <f aca="false" t="array" ref="E101:E101">IFERROR( MEDIAN(IF(DATOS_[Sexo]=$B101,IF(DATOS_[AGRUP. VALOR. PTO.]=$B99,IF(DATOS_[Check Periodo Ref.]="Dentro",DATOS_[SALARIO BASE Ef],0)))), 0)</f>
        <v>0</v>
      </c>
      <c r="F101" s="250" t="n">
        <f aca="false" t="array" ref="F101:F101">IFERROR( MEDIAN((IF(DATOS_[[Sexo]:[Sexo]]=$B101,IF(DATOS_[[AGRUP. VALOR. PTO.]:[AGRUP. VALOR. PTO.]]=$B99,IF(DATOS_[[Check Periodo Ref.]:[Check Periodo Ref.]]="Dentro",DATOS_[Conc.Sal.01]))))), 0)</f>
        <v>0</v>
      </c>
      <c r="G101" s="250" t="n">
        <f aca="false" t="array" ref="G101:G101">IFERROR( MEDIAN((IF(DATOS_[[Sexo]:[Sexo]]=$B101,IF(DATOS_[[AGRUP. VALOR. PTO.]:[AGRUP. VALOR. PTO.]]=$B99,IF(DATOS_[[Check Periodo Ref.]:[Check Periodo Ref.]]="Dentro",DATOS_[Conc.Sal.02]))))), 0)</f>
        <v>0</v>
      </c>
      <c r="H101" s="250" t="n">
        <f aca="false" t="array" ref="H101:H101">IFERROR( MEDIAN((IF(DATOS_[[Sexo]:[Sexo]]=$B101,IF(DATOS_[[AGRUP. VALOR. PTO.]:[AGRUP. VALOR. PTO.]]=$B99,IF(DATOS_[[Check Periodo Ref.]:[Check Periodo Ref.]]="Dentro",DATOS_[Conc.Sal.03]))))), 0)</f>
        <v>0</v>
      </c>
      <c r="I101" s="250" t="n">
        <f aca="false" t="array" ref="I101:I101">IFERROR( MEDIAN((IF(DATOS_[[Sexo]:[Sexo]]=$B101,IF(DATOS_[[AGRUP. VALOR. PTO.]:[AGRUP. VALOR. PTO.]]=$B99,IF(DATOS_[[Check Periodo Ref.]:[Check Periodo Ref.]]="Dentro",DATOS_[Conc.Sal.04]))))), 0)</f>
        <v>0</v>
      </c>
      <c r="J101" s="250" t="n">
        <f aca="false" t="array" ref="J101:J101">IFERROR( MEDIAN((IF(DATOS_[[Sexo]:[Sexo]]=$B101,IF(DATOS_[[AGRUP. VALOR. PTO.]:[AGRUP. VALOR. PTO.]]=$B99,IF(DATOS_[[Check Periodo Ref.]:[Check Periodo Ref.]]="Dentro",DATOS_[Conc.Sal.05]))))), 0)</f>
        <v>0</v>
      </c>
      <c r="K101" s="250" t="n">
        <f aca="false" t="array" ref="K101:K101">IFERROR( MEDIAN((IF(DATOS_[[Sexo]:[Sexo]]=$B101,IF(DATOS_[[AGRUP. VALOR. PTO.]:[AGRUP. VALOR. PTO.]]=$B99,IF(DATOS_[[Check Periodo Ref.]:[Check Periodo Ref.]]="Dentro",DATOS_[Conc.Sal.06]))))), 0)</f>
        <v>0</v>
      </c>
      <c r="L101" s="250" t="n">
        <f aca="false" t="array" ref="L101:L101">IFERROR( MEDIAN((IF(DATOS_[[Sexo]:[Sexo]]=$B101,IF(DATOS_[[AGRUP. VALOR. PTO.]:[AGRUP. VALOR. PTO.]]=$B99,IF(DATOS_[[Check Periodo Ref.]:[Check Periodo Ref.]]="Dentro",DATOS_[Conc.Sal.07]))))), 0)</f>
        <v>0</v>
      </c>
      <c r="M101" s="250" t="n">
        <f aca="false" t="array" ref="M101:M101">IFERROR( MEDIAN((IF(DATOS_[[Sexo]:[Sexo]]=$B101,IF(DATOS_[[AGRUP. VALOR. PTO.]:[AGRUP. VALOR. PTO.]]=$B99,IF(DATOS_[[Check Periodo Ref.]:[Check Periodo Ref.]]="Dentro",DATOS_[Conc.Sal.08]))))), 0)</f>
        <v>0</v>
      </c>
      <c r="N101" s="250" t="n">
        <f aca="false" t="array" ref="N101:N101">IFERROR( MEDIAN((IF(DATOS_[[Sexo]:[Sexo]]=$B101,IF(DATOS_[[AGRUP. VALOR. PTO.]:[AGRUP. VALOR. PTO.]]=$B99,IF(DATOS_[[Check Periodo Ref.]:[Check Periodo Ref.]]="Dentro",DATOS_[Conc.Sal.09]))))), 0)</f>
        <v>0</v>
      </c>
      <c r="O101" s="250" t="n">
        <f aca="false" t="array" ref="O101:O101">IFERROR( MEDIAN((IF(DATOS_[[Sexo]:[Sexo]]=$B101,IF(DATOS_[[AGRUP. VALOR. PTO.]:[AGRUP. VALOR. PTO.]]=$B99,IF(DATOS_[[Check Periodo Ref.]:[Check Periodo Ref.]]="Dentro",DATOS_[Conc.Sal.10]))))), 0)</f>
        <v>0</v>
      </c>
      <c r="P101" s="250" t="n">
        <f aca="false" t="array" ref="P101:P101">IFERROR( MEDIAN((IF(DATOS_[[Sexo]:[Sexo]]=$B101,IF(DATOS_[[AGRUP. VALOR. PTO.]:[AGRUP. VALOR. PTO.]]=$B99,IF(DATOS_[[Check Periodo Ref.]:[Check Periodo Ref.]]="Dentro",DATOS_[Conc.Sal.11]))))), 0)</f>
        <v>0</v>
      </c>
      <c r="Q101" s="250" t="n">
        <f aca="false" t="array" ref="Q101:Q101">IFERROR( MEDIAN((IF(DATOS_[[Sexo]:[Sexo]]=$B101,IF(DATOS_[[AGRUP. VALOR. PTO.]:[AGRUP. VALOR. PTO.]]=$B99,IF(DATOS_[[Check Periodo Ref.]:[Check Periodo Ref.]]="Dentro",DATOS_[Conc.Sal.12]))))), 0)</f>
        <v>0</v>
      </c>
      <c r="R101" s="250" t="n">
        <f aca="false" t="array" ref="R101:R101">IFERROR( MEDIAN((IF(DATOS_[[Sexo]:[Sexo]]=$B101,IF(DATOS_[[AGRUP. VALOR. PTO.]:[AGRUP. VALOR. PTO.]]=$B99,IF(DATOS_[[Check Periodo Ref.]:[Check Periodo Ref.]]="Dentro",DATOS_[Conc.Sal.13]))))), 0)</f>
        <v>0</v>
      </c>
      <c r="S101" s="250" t="n">
        <f aca="false" t="array" ref="S101:S101">IFERROR( MEDIAN((IF(DATOS_[[Sexo]:[Sexo]]=$B101,IF(DATOS_[[AGRUP. VALOR. PTO.]:[AGRUP. VALOR. PTO.]]=$B99,IF(DATOS_[[Check Periodo Ref.]:[Check Periodo Ref.]]="Dentro",DATOS_[Conc.Sal.14]))))), 0)</f>
        <v>0</v>
      </c>
      <c r="T101" s="250" t="n">
        <f aca="false" t="array" ref="T101:T101">IFERROR( MEDIAN((IF(DATOS_[[Sexo]:[Sexo]]=$B101,IF(DATOS_[[AGRUP. VALOR. PTO.]:[AGRUP. VALOR. PTO.]]=$B99,IF(DATOS_[[Check Periodo Ref.]:[Check Periodo Ref.]]="Dentro",DATOS_[Conc.Sal.15]))))), 0)</f>
        <v>0</v>
      </c>
      <c r="U101" s="250" t="n">
        <f aca="false" t="array" ref="U101:U101">IFERROR( MEDIAN((IF(DATOS_[[Sexo]:[Sexo]]=$B101,IF(DATOS_[[AGRUP. VALOR. PTO.]:[AGRUP. VALOR. PTO.]]=$B99,IF(DATOS_[[Check Periodo Ref.]:[Check Periodo Ref.]]="Dentro",DATOS_[Conc.Sal.16]))))), 0)</f>
        <v>0</v>
      </c>
      <c r="V101" s="250" t="n">
        <f aca="false" t="array" ref="V101:V101">IFERROR( MEDIAN((IF(DATOS_[[Sexo]:[Sexo]]=$B101,IF(DATOS_[[AGRUP. VALOR. PTO.]:[AGRUP. VALOR. PTO.]]=$B99,IF(DATOS_[[Check Periodo Ref.]:[Check Periodo Ref.]]="Dentro",DATOS_[Conc.Sal.17]))))), 0)</f>
        <v>0</v>
      </c>
      <c r="W101" s="250" t="n">
        <f aca="false" t="array" ref="W101:W101">IFERROR( MEDIAN((IF(DATOS_[[Sexo]:[Sexo]]=$B101,IF(DATOS_[[AGRUP. VALOR. PTO.]:[AGRUP. VALOR. PTO.]]=$B99,IF(DATOS_[[Check Periodo Ref.]:[Check Periodo Ref.]]="Dentro",DATOS_[Conc.Sal.18]))))), 0)</f>
        <v>0</v>
      </c>
      <c r="X101" s="250" t="n">
        <f aca="false" t="array" ref="X101:X101">IFERROR( MEDIAN((IF(DATOS_[[Sexo]:[Sexo]]=$B101,IF(DATOS_[[AGRUP. VALOR. PTO.]:[AGRUP. VALOR. PTO.]]=$B99,IF(DATOS_[[Check Periodo Ref.]:[Check Periodo Ref.]]="Dentro",DATOS_[Conc.Sal.19]))))), 0)</f>
        <v>0</v>
      </c>
      <c r="Y101" s="250" t="n">
        <f aca="false" t="array" ref="Y101:Y101">IFERROR( MEDIAN((IF(DATOS_[[Sexo]:[Sexo]]=$B101,IF(DATOS_[[AGRUP. VALOR. PTO.]:[AGRUP. VALOR. PTO.]]=$B99,IF(DATOS_[[Check Periodo Ref.]:[Check Periodo Ref.]]="Dentro",DATOS_[Conc.Sal.20]))))), 0)</f>
        <v>0</v>
      </c>
      <c r="Z101" s="250" t="n">
        <f aca="false" t="array" ref="Z101:Z101">IFERROR( MEDIAN((IF(DATOS_[[Sexo]:[Sexo]]=$B101,IF(DATOS_[[AGRUP. VALOR. PTO.]:[AGRUP. VALOR. PTO.]]=$B99,IF(DATOS_[[Check Periodo Ref.]:[Check Periodo Ref.]]="Dentro",DATOS_[Conc.Sal.21]))))), 0)</f>
        <v>0</v>
      </c>
      <c r="AA101" s="250" t="n">
        <f aca="false" t="array" ref="AA101:AA101">IFERROR( MEDIAN((IF(DATOS_[[Sexo]:[Sexo]]=$B101,IF(DATOS_[[AGRUP. VALOR. PTO.]:[AGRUP. VALOR. PTO.]]=$B99,IF(DATOS_[[Check Periodo Ref.]:[Check Periodo Ref.]]="Dentro",DATOS_[Conc.Sal.22]))))), 0)</f>
        <v>0</v>
      </c>
      <c r="AB101" s="250" t="n">
        <f aca="false" t="array" ref="AB101:AB101">IFERROR( MEDIAN((IF(DATOS_[[Sexo]:[Sexo]]=$B101,IF(DATOS_[[AGRUP. VALOR. PTO.]:[AGRUP. VALOR. PTO.]]=$B99,IF(DATOS_[[Check Periodo Ref.]:[Check Periodo Ref.]]="Dentro",DATOS_[Conc.Sal.23]))))), 0)</f>
        <v>0</v>
      </c>
      <c r="AC101" s="250" t="n">
        <f aca="false" t="array" ref="AC101:AC101">IFERROR( MEDIAN((IF(DATOS_[[Sexo]:[Sexo]]=$B101,IF(DATOS_[[AGRUP. VALOR. PTO.]:[AGRUP. VALOR. PTO.]]=$B99,IF(DATOS_[[Check Periodo Ref.]:[Check Periodo Ref.]]="Dentro",DATOS_[Conc.Sal.24]))))), 0)</f>
        <v>0</v>
      </c>
      <c r="AD101" s="250" t="n">
        <f aca="false" t="array" ref="AD101:AD101">IFERROR( MEDIAN((IF(DATOS_[[Sexo]:[Sexo]]=$B101,IF(DATOS_[[AGRUP. VALOR. PTO.]:[AGRUP. VALOR. PTO.]]=$B99,IF(DATOS_[[Check Periodo Ref.]:[Check Periodo Ref.]]="Dentro",DATOS_[Conc.Sal.25]))))), 0)</f>
        <v>0</v>
      </c>
      <c r="AE101" s="250" t="n">
        <f aca="false" t="array" ref="AE101:AE101">IFERROR( MEDIAN((IF(DATOS_[[Sexo]:[Sexo]]=$B101,IF(DATOS_[[AGRUP. VALOR. PTO.]:[AGRUP. VALOR. PTO.]]=$B99,IF(DATOS_[[Check Periodo Ref.]:[Check Periodo Ref.]]="Dentro",DATOS_[Conc.Sal.26]))))), 0)</f>
        <v>0</v>
      </c>
      <c r="AF101" s="250" t="n">
        <f aca="false" t="array" ref="AF101:AF101">IFERROR( MEDIAN((IF(DATOS_[[Sexo]:[Sexo]]=$B101,IF(DATOS_[[AGRUP. VALOR. PTO.]:[AGRUP. VALOR. PTO.]]=$B99,IF(DATOS_[[Check Periodo Ref.]:[Check Periodo Ref.]]="Dentro",DATOS_[Conc.Sal.27]))))), 0)</f>
        <v>0</v>
      </c>
      <c r="AG101" s="250" t="n">
        <f aca="false" t="array" ref="AG101:AG101">IFERROR( MEDIAN((IF(DATOS_[[Sexo]:[Sexo]]=$B101,IF(DATOS_[[AGRUP. VALOR. PTO.]:[AGRUP. VALOR. PTO.]]=$B99,IF(DATOS_[[Check Periodo Ref.]:[Check Periodo Ref.]]="Dentro",DATOS_[Conc.Sal.28]))))), 0)</f>
        <v>0</v>
      </c>
      <c r="AH101" s="250" t="n">
        <f aca="false" t="array" ref="AH101:AH101">IFERROR( MEDIAN((IF(DATOS_[[Sexo]:[Sexo]]=$B101,IF(DATOS_[[AGRUP. VALOR. PTO.]:[AGRUP. VALOR. PTO.]]=$B99,IF(DATOS_[[Check Periodo Ref.]:[Check Periodo Ref.]]="Dentro",DATOS_[Conc.Sal.29]))))), 0)</f>
        <v>0</v>
      </c>
      <c r="AI101" s="250" t="n">
        <f aca="false" t="array" ref="AI101:AI101">IFERROR( MEDIAN((IF(DATOS_[[Sexo]:[Sexo]]=$B101,IF(DATOS_[[AGRUP. VALOR. PTO.]:[AGRUP. VALOR. PTO.]]=$B99,IF(DATOS_[[Check Periodo Ref.]:[Check Periodo Ref.]]="Dentro",DATOS_[Conc.Sal.30]))))), 0)</f>
        <v>0</v>
      </c>
      <c r="AJ101" s="251" t="n">
        <f aca="false" t="array" ref="AJ101:AJ101">IFERROR( MEDIAN(IF(DATOS_[Sexo]=$B101,IF(DATOS_[AGRUP. VALOR. PTO.]=$B99,IF(DATOS_[Check Periodo Ref.]="Dentro",DATOS_[Tot COMPL.SAL Ef],0)))), 0)</f>
        <v>0</v>
      </c>
      <c r="AK101" s="252" t="n">
        <f aca="false" t="array" ref="AK101:AK101">IFERROR( MEDIAN(IF(DATOS_[Sexo]=$B101,IF(DATOS_[AGRUP. VALOR. PTO.]=$B99,IF(DATOS_[Check Periodo Ref.]="Dentro",DATOS_[TOTAL SALARIO Ef],0)))), 0)</f>
        <v>0</v>
      </c>
      <c r="AL101" s="259" t="n">
        <f aca="false" t="array" ref="AL101:AL101">IFERROR( MEDIAN((IF(DATOS_[[Sexo]:[Sexo]]=$B101,IF(DATOS_[[AGRUP. VALOR. PTO.]:[AGRUP. VALOR. PTO.]]=$B99,IF(DATOS_[[Check Periodo Ref.]:[Check Periodo Ref.]]="Dentro",DATOS_[C.Extra.01]))))), 0)</f>
        <v>0</v>
      </c>
      <c r="AM101" s="259" t="n">
        <f aca="false" t="array" ref="AM101:AM101">IFERROR( MEDIAN((IF(DATOS_[[Sexo]:[Sexo]]=$B101,IF(DATOS_[[AGRUP. VALOR. PTO.]:[AGRUP. VALOR. PTO.]]=$B99,IF(DATOS_[[Check Periodo Ref.]:[Check Periodo Ref.]]="Dentro",DATOS_[C.Extra.02]))))), 0)</f>
        <v>0</v>
      </c>
      <c r="AN101" s="259" t="n">
        <f aca="false" t="array" ref="AN101:AN101">IFERROR( MEDIAN((IF(DATOS_[[Sexo]:[Sexo]]=$B101,IF(DATOS_[[AGRUP. VALOR. PTO.]:[AGRUP. VALOR. PTO.]]=$B99,IF(DATOS_[[Check Periodo Ref.]:[Check Periodo Ref.]]="Dentro",DATOS_[C.Extra.03]))))), 0)</f>
        <v>0</v>
      </c>
      <c r="AO101" s="259" t="n">
        <f aca="false" t="array" ref="AO101:AO101">IFERROR( MEDIAN((IF(DATOS_[[Sexo]:[Sexo]]=$B101,IF(DATOS_[[AGRUP. VALOR. PTO.]:[AGRUP. VALOR. PTO.]]=$B99,IF(DATOS_[[Check Periodo Ref.]:[Check Periodo Ref.]]="Dentro",DATOS_[C.Extra.04]))))), 0)</f>
        <v>0</v>
      </c>
      <c r="AP101" s="259" t="n">
        <f aca="false" t="array" ref="AP101:AP101">IFERROR( MEDIAN((IF(DATOS_[[Sexo]:[Sexo]]=$B101,IF(DATOS_[[AGRUP. VALOR. PTO.]:[AGRUP. VALOR. PTO.]]=$B99,IF(DATOS_[[Check Periodo Ref.]:[Check Periodo Ref.]]="Dentro",DATOS_[C.Extra.05]))))), 0)</f>
        <v>0</v>
      </c>
      <c r="AQ101" s="254" t="n">
        <f aca="false" t="array" ref="AQ101:AQ101">IFERROR( MEDIAN(IF(DATOS_[Sexo]=$B101,IF(DATOS_[AGRUP. VALOR. PTO.]=$B99,IF(DATOS_[Check Periodo Ref.]="Dentro",DATOS_[Tot Extrasalarial Ef],0)))), 0)</f>
        <v>0</v>
      </c>
      <c r="AR101" s="255" t="n">
        <f aca="false" t="array" ref="AR101:AR101">IFERROR( MEDIAN(IF(DATOS_[Sexo]=$B101,IF(DATOS_[AGRUP. VALOR. PTO.]=$B99,IF(DATOS_[Check Periodo Ref.]="Dentro",DATOS_[TOTAL Retrib Ef],0)))), 0)</f>
        <v>0</v>
      </c>
    </row>
    <row r="102" customFormat="false" ht="15.75" hidden="false" customHeight="false" outlineLevel="0" collapsed="false">
      <c r="A102" s="217" t="str">
        <f aca="false">+A103</f>
        <v>[ocultar]</v>
      </c>
      <c r="B102" s="235" t="s">
        <v>256</v>
      </c>
      <c r="C102" s="236"/>
      <c r="D102" s="237"/>
      <c r="E102" s="238" t="str">
        <f aca="false">IFERROR((E103-E104)/E103,"")</f>
        <v/>
      </c>
      <c r="F102" s="239" t="str">
        <f aca="false">IFERROR((F103-F104)/F103,"")</f>
        <v/>
      </c>
      <c r="G102" s="239" t="str">
        <f aca="false">IFERROR((G103-G104)/G103,"")</f>
        <v/>
      </c>
      <c r="H102" s="239" t="str">
        <f aca="false">IFERROR((H103-H104)/H103,"")</f>
        <v/>
      </c>
      <c r="I102" s="239"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40" t="str">
        <f aca="false">IFERROR((V103-V104)/V103,"")</f>
        <v/>
      </c>
      <c r="W102" s="240" t="str">
        <f aca="false">IFERROR((W103-W104)/W103,"")</f>
        <v/>
      </c>
      <c r="X102" s="240" t="str">
        <f aca="false">IFERROR((X103-X104)/X103,"")</f>
        <v/>
      </c>
      <c r="Y102" s="240"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1" t="str">
        <f aca="false">IFERROR((AJ103-AJ104)/AJ103,"")</f>
        <v/>
      </c>
      <c r="AK102" s="242" t="str">
        <f aca="false">IFERROR((AK103-AK104)/AK103,"")</f>
        <v/>
      </c>
      <c r="AL102" s="243" t="str">
        <f aca="false">IFERROR((AL103-AL104)/AL103,"")</f>
        <v/>
      </c>
      <c r="AM102" s="243" t="str">
        <f aca="false">IFERROR((AM103-AM104)/AM103,"")</f>
        <v/>
      </c>
      <c r="AN102" s="243" t="str">
        <f aca="false">IFERROR((AN103-AN104)/AN103,"")</f>
        <v/>
      </c>
      <c r="AO102" s="243" t="str">
        <f aca="false">IFERROR((AO103-AO104)/AO103,"")</f>
        <v/>
      </c>
      <c r="AP102" s="243" t="str">
        <f aca="false">IFERROR((AP103-AP104)/AP103,"")</f>
        <v/>
      </c>
      <c r="AQ102" s="244" t="str">
        <f aca="false">IFERROR((AQ103-AQ104)/AQ103,"")</f>
        <v/>
      </c>
      <c r="AR102" s="245" t="str">
        <f aca="false">IFERROR((AR103-AR104)/AR103,"")</f>
        <v/>
      </c>
    </row>
    <row r="103" customFormat="false" ht="14.25" hidden="false" customHeight="false" outlineLevel="0" collapsed="false">
      <c r="A103" s="217" t="str">
        <f aca="false">+IF(C103+C104=0,"[ocultar]","")</f>
        <v>[ocultar]</v>
      </c>
      <c r="B103" s="246" t="s">
        <v>371</v>
      </c>
      <c r="C103" s="247" t="n">
        <f aca="false" t="array" ref="C103:C103">SUM(IF($B103=DATOS_[Sexo], IF($B102=DATOS_[AGRUP. VALOR. PTO.], IF("Dentro"=DATOS_[Check Periodo Ref.], 1/(COUNTIFS(DATOS_[Sexo],$B103,DATOS_[AGRUP. VALOR. PTO.],$B102,DATOS_[Check Periodo Ref.],"Dentro",DATOS_[id],DATOS_[id]))))))</f>
        <v>0</v>
      </c>
      <c r="D103" s="248" t="n">
        <f aca="false">COUNTIFS(DATOS_[AGRUP. VALOR. PTO.],$B102,DATOS_[Sexo],$B103,DATOS_[Check Periodo Ref.],"Dentro")</f>
        <v>0</v>
      </c>
      <c r="E103" s="249" t="n">
        <f aca="false" t="array" ref="E103:E103">IFERROR( MEDIAN(IF(DATOS_[Sexo]=$B103,IF(DATOS_[AGRUP. VALOR. PTO.]=$B102,IF(DATOS_[Check Periodo Ref.]="Dentro",DATOS_[SALARIO BASE Ef],0)))), 0)</f>
        <v>0</v>
      </c>
      <c r="F103" s="250" t="n">
        <f aca="false" t="array" ref="F103:F103">IFERROR( MEDIAN((IF(DATOS_[[Sexo]:[Sexo]]=$B103,IF(DATOS_[[AGRUP. VALOR. PTO.]:[AGRUP. VALOR. PTO.]]=$B102,IF(DATOS_[[Check Periodo Ref.]:[Check Periodo Ref.]]="Dentro",DATOS_[Conc.Sal.01]))))), 0)</f>
        <v>0</v>
      </c>
      <c r="G103" s="250" t="n">
        <f aca="false" t="array" ref="G103:G103">IFERROR( MEDIAN((IF(DATOS_[[Sexo]:[Sexo]]=$B103,IF(DATOS_[[AGRUP. VALOR. PTO.]:[AGRUP. VALOR. PTO.]]=$B102,IF(DATOS_[[Check Periodo Ref.]:[Check Periodo Ref.]]="Dentro",DATOS_[Conc.Sal.02]))))), 0)</f>
        <v>0</v>
      </c>
      <c r="H103" s="250" t="n">
        <f aca="false" t="array" ref="H103:H103">IFERROR( MEDIAN((IF(DATOS_[[Sexo]:[Sexo]]=$B103,IF(DATOS_[[AGRUP. VALOR. PTO.]:[AGRUP. VALOR. PTO.]]=$B102,IF(DATOS_[[Check Periodo Ref.]:[Check Periodo Ref.]]="Dentro",DATOS_[Conc.Sal.03]))))), 0)</f>
        <v>0</v>
      </c>
      <c r="I103" s="250" t="n">
        <f aca="false" t="array" ref="I103:I103">IFERROR( MEDIAN((IF(DATOS_[[Sexo]:[Sexo]]=$B103,IF(DATOS_[[AGRUP. VALOR. PTO.]:[AGRUP. VALOR. PTO.]]=$B102,IF(DATOS_[[Check Periodo Ref.]:[Check Periodo Ref.]]="Dentro",DATOS_[Conc.Sal.04]))))), 0)</f>
        <v>0</v>
      </c>
      <c r="J103" s="250" t="n">
        <f aca="false" t="array" ref="J103:J103">IFERROR( MEDIAN((IF(DATOS_[[Sexo]:[Sexo]]=$B103,IF(DATOS_[[AGRUP. VALOR. PTO.]:[AGRUP. VALOR. PTO.]]=$B102,IF(DATOS_[[Check Periodo Ref.]:[Check Periodo Ref.]]="Dentro",DATOS_[Conc.Sal.05]))))), 0)</f>
        <v>0</v>
      </c>
      <c r="K103" s="250" t="n">
        <f aca="false" t="array" ref="K103:K103">IFERROR( MEDIAN((IF(DATOS_[[Sexo]:[Sexo]]=$B103,IF(DATOS_[[AGRUP. VALOR. PTO.]:[AGRUP. VALOR. PTO.]]=$B102,IF(DATOS_[[Check Periodo Ref.]:[Check Periodo Ref.]]="Dentro",DATOS_[Conc.Sal.06]))))), 0)</f>
        <v>0</v>
      </c>
      <c r="L103" s="250" t="n">
        <f aca="false" t="array" ref="L103:L103">IFERROR( MEDIAN((IF(DATOS_[[Sexo]:[Sexo]]=$B103,IF(DATOS_[[AGRUP. VALOR. PTO.]:[AGRUP. VALOR. PTO.]]=$B102,IF(DATOS_[[Check Periodo Ref.]:[Check Periodo Ref.]]="Dentro",DATOS_[Conc.Sal.07]))))), 0)</f>
        <v>0</v>
      </c>
      <c r="M103" s="250" t="n">
        <f aca="false" t="array" ref="M103:M103">IFERROR( MEDIAN((IF(DATOS_[[Sexo]:[Sexo]]=$B103,IF(DATOS_[[AGRUP. VALOR. PTO.]:[AGRUP. VALOR. PTO.]]=$B102,IF(DATOS_[[Check Periodo Ref.]:[Check Periodo Ref.]]="Dentro",DATOS_[Conc.Sal.08]))))), 0)</f>
        <v>0</v>
      </c>
      <c r="N103" s="250" t="n">
        <f aca="false" t="array" ref="N103:N103">IFERROR( MEDIAN((IF(DATOS_[[Sexo]:[Sexo]]=$B103,IF(DATOS_[[AGRUP. VALOR. PTO.]:[AGRUP. VALOR. PTO.]]=$B102,IF(DATOS_[[Check Periodo Ref.]:[Check Periodo Ref.]]="Dentro",DATOS_[Conc.Sal.09]))))), 0)</f>
        <v>0</v>
      </c>
      <c r="O103" s="250" t="n">
        <f aca="false" t="array" ref="O103:O103">IFERROR( MEDIAN((IF(DATOS_[[Sexo]:[Sexo]]=$B103,IF(DATOS_[[AGRUP. VALOR. PTO.]:[AGRUP. VALOR. PTO.]]=$B102,IF(DATOS_[[Check Periodo Ref.]:[Check Periodo Ref.]]="Dentro",DATOS_[Conc.Sal.10]))))), 0)</f>
        <v>0</v>
      </c>
      <c r="P103" s="250" t="n">
        <f aca="false" t="array" ref="P103:P103">IFERROR( MEDIAN((IF(DATOS_[[Sexo]:[Sexo]]=$B103,IF(DATOS_[[AGRUP. VALOR. PTO.]:[AGRUP. VALOR. PTO.]]=$B102,IF(DATOS_[[Check Periodo Ref.]:[Check Periodo Ref.]]="Dentro",DATOS_[Conc.Sal.11]))))), 0)</f>
        <v>0</v>
      </c>
      <c r="Q103" s="250" t="n">
        <f aca="false" t="array" ref="Q103:Q103">IFERROR( MEDIAN((IF(DATOS_[[Sexo]:[Sexo]]=$B103,IF(DATOS_[[AGRUP. VALOR. PTO.]:[AGRUP. VALOR. PTO.]]=$B102,IF(DATOS_[[Check Periodo Ref.]:[Check Periodo Ref.]]="Dentro",DATOS_[Conc.Sal.12]))))), 0)</f>
        <v>0</v>
      </c>
      <c r="R103" s="250" t="n">
        <f aca="false" t="array" ref="R103:R103">IFERROR( MEDIAN((IF(DATOS_[[Sexo]:[Sexo]]=$B103,IF(DATOS_[[AGRUP. VALOR. PTO.]:[AGRUP. VALOR. PTO.]]=$B102,IF(DATOS_[[Check Periodo Ref.]:[Check Periodo Ref.]]="Dentro",DATOS_[Conc.Sal.13]))))), 0)</f>
        <v>0</v>
      </c>
      <c r="S103" s="250" t="n">
        <f aca="false" t="array" ref="S103:S103">IFERROR( MEDIAN((IF(DATOS_[[Sexo]:[Sexo]]=$B103,IF(DATOS_[[AGRUP. VALOR. PTO.]:[AGRUP. VALOR. PTO.]]=$B102,IF(DATOS_[[Check Periodo Ref.]:[Check Periodo Ref.]]="Dentro",DATOS_[Conc.Sal.14]))))), 0)</f>
        <v>0</v>
      </c>
      <c r="T103" s="250" t="n">
        <f aca="false" t="array" ref="T103:T103">IFERROR( MEDIAN((IF(DATOS_[[Sexo]:[Sexo]]=$B103,IF(DATOS_[[AGRUP. VALOR. PTO.]:[AGRUP. VALOR. PTO.]]=$B102,IF(DATOS_[[Check Periodo Ref.]:[Check Periodo Ref.]]="Dentro",DATOS_[Conc.Sal.15]))))), 0)</f>
        <v>0</v>
      </c>
      <c r="U103" s="250" t="n">
        <f aca="false" t="array" ref="U103:U103">IFERROR( MEDIAN((IF(DATOS_[[Sexo]:[Sexo]]=$B103,IF(DATOS_[[AGRUP. VALOR. PTO.]:[AGRUP. VALOR. PTO.]]=$B102,IF(DATOS_[[Check Periodo Ref.]:[Check Periodo Ref.]]="Dentro",DATOS_[Conc.Sal.16]))))), 0)</f>
        <v>0</v>
      </c>
      <c r="V103" s="250" t="n">
        <f aca="false" t="array" ref="V103:V103">IFERROR( MEDIAN((IF(DATOS_[[Sexo]:[Sexo]]=$B103,IF(DATOS_[[AGRUP. VALOR. PTO.]:[AGRUP. VALOR. PTO.]]=$B102,IF(DATOS_[[Check Periodo Ref.]:[Check Periodo Ref.]]="Dentro",DATOS_[Conc.Sal.17]))))), 0)</f>
        <v>0</v>
      </c>
      <c r="W103" s="250" t="n">
        <f aca="false" t="array" ref="W103:W103">IFERROR( MEDIAN((IF(DATOS_[[Sexo]:[Sexo]]=$B103,IF(DATOS_[[AGRUP. VALOR. PTO.]:[AGRUP. VALOR. PTO.]]=$B102,IF(DATOS_[[Check Periodo Ref.]:[Check Periodo Ref.]]="Dentro",DATOS_[Conc.Sal.18]))))), 0)</f>
        <v>0</v>
      </c>
      <c r="X103" s="250" t="n">
        <f aca="false" t="array" ref="X103:X103">IFERROR( MEDIAN((IF(DATOS_[[Sexo]:[Sexo]]=$B103,IF(DATOS_[[AGRUP. VALOR. PTO.]:[AGRUP. VALOR. PTO.]]=$B102,IF(DATOS_[[Check Periodo Ref.]:[Check Periodo Ref.]]="Dentro",DATOS_[Conc.Sal.19]))))), 0)</f>
        <v>0</v>
      </c>
      <c r="Y103" s="250" t="n">
        <f aca="false" t="array" ref="Y103:Y103">IFERROR( MEDIAN((IF(DATOS_[[Sexo]:[Sexo]]=$B103,IF(DATOS_[[AGRUP. VALOR. PTO.]:[AGRUP. VALOR. PTO.]]=$B102,IF(DATOS_[[Check Periodo Ref.]:[Check Periodo Ref.]]="Dentro",DATOS_[Conc.Sal.20]))))), 0)</f>
        <v>0</v>
      </c>
      <c r="Z103" s="250" t="n">
        <f aca="false" t="array" ref="Z103:Z103">IFERROR( MEDIAN((IF(DATOS_[[Sexo]:[Sexo]]=$B103,IF(DATOS_[[AGRUP. VALOR. PTO.]:[AGRUP. VALOR. PTO.]]=$B102,IF(DATOS_[[Check Periodo Ref.]:[Check Periodo Ref.]]="Dentro",DATOS_[Conc.Sal.21]))))), 0)</f>
        <v>0</v>
      </c>
      <c r="AA103" s="250" t="n">
        <f aca="false" t="array" ref="AA103:AA103">IFERROR( MEDIAN((IF(DATOS_[[Sexo]:[Sexo]]=$B103,IF(DATOS_[[AGRUP. VALOR. PTO.]:[AGRUP. VALOR. PTO.]]=$B102,IF(DATOS_[[Check Periodo Ref.]:[Check Periodo Ref.]]="Dentro",DATOS_[Conc.Sal.22]))))), 0)</f>
        <v>0</v>
      </c>
      <c r="AB103" s="250" t="n">
        <f aca="false" t="array" ref="AB103:AB103">IFERROR( MEDIAN((IF(DATOS_[[Sexo]:[Sexo]]=$B103,IF(DATOS_[[AGRUP. VALOR. PTO.]:[AGRUP. VALOR. PTO.]]=$B102,IF(DATOS_[[Check Periodo Ref.]:[Check Periodo Ref.]]="Dentro",DATOS_[Conc.Sal.23]))))), 0)</f>
        <v>0</v>
      </c>
      <c r="AC103" s="250" t="n">
        <f aca="false" t="array" ref="AC103:AC103">IFERROR( MEDIAN((IF(DATOS_[[Sexo]:[Sexo]]=$B103,IF(DATOS_[[AGRUP. VALOR. PTO.]:[AGRUP. VALOR. PTO.]]=$B102,IF(DATOS_[[Check Periodo Ref.]:[Check Periodo Ref.]]="Dentro",DATOS_[Conc.Sal.24]))))), 0)</f>
        <v>0</v>
      </c>
      <c r="AD103" s="250" t="n">
        <f aca="false" t="array" ref="AD103:AD103">IFERROR( MEDIAN((IF(DATOS_[[Sexo]:[Sexo]]=$B103,IF(DATOS_[[AGRUP. VALOR. PTO.]:[AGRUP. VALOR. PTO.]]=$B102,IF(DATOS_[[Check Periodo Ref.]:[Check Periodo Ref.]]="Dentro",DATOS_[Conc.Sal.25]))))), 0)</f>
        <v>0</v>
      </c>
      <c r="AE103" s="250" t="n">
        <f aca="false" t="array" ref="AE103:AE103">IFERROR( MEDIAN((IF(DATOS_[[Sexo]:[Sexo]]=$B103,IF(DATOS_[[AGRUP. VALOR. PTO.]:[AGRUP. VALOR. PTO.]]=$B102,IF(DATOS_[[Check Periodo Ref.]:[Check Periodo Ref.]]="Dentro",DATOS_[Conc.Sal.26]))))), 0)</f>
        <v>0</v>
      </c>
      <c r="AF103" s="250" t="n">
        <f aca="false" t="array" ref="AF103:AF103">IFERROR( MEDIAN((IF(DATOS_[[Sexo]:[Sexo]]=$B103,IF(DATOS_[[AGRUP. VALOR. PTO.]:[AGRUP. VALOR. PTO.]]=$B102,IF(DATOS_[[Check Periodo Ref.]:[Check Periodo Ref.]]="Dentro",DATOS_[Conc.Sal.27]))))), 0)</f>
        <v>0</v>
      </c>
      <c r="AG103" s="250" t="n">
        <f aca="false" t="array" ref="AG103:AG103">IFERROR( MEDIAN((IF(DATOS_[[Sexo]:[Sexo]]=$B103,IF(DATOS_[[AGRUP. VALOR. PTO.]:[AGRUP. VALOR. PTO.]]=$B102,IF(DATOS_[[Check Periodo Ref.]:[Check Periodo Ref.]]="Dentro",DATOS_[Conc.Sal.28]))))), 0)</f>
        <v>0</v>
      </c>
      <c r="AH103" s="250" t="n">
        <f aca="false" t="array" ref="AH103:AH103">IFERROR( MEDIAN((IF(DATOS_[[Sexo]:[Sexo]]=$B103,IF(DATOS_[[AGRUP. VALOR. PTO.]:[AGRUP. VALOR. PTO.]]=$B102,IF(DATOS_[[Check Periodo Ref.]:[Check Periodo Ref.]]="Dentro",DATOS_[Conc.Sal.29]))))), 0)</f>
        <v>0</v>
      </c>
      <c r="AI103" s="250" t="n">
        <f aca="false" t="array" ref="AI103:AI103">IFERROR( MEDIAN((IF(DATOS_[[Sexo]:[Sexo]]=$B103,IF(DATOS_[[AGRUP. VALOR. PTO.]:[AGRUP. VALOR. PTO.]]=$B102,IF(DATOS_[[Check Periodo Ref.]:[Check Periodo Ref.]]="Dentro",DATOS_[Conc.Sal.30]))))), 0)</f>
        <v>0</v>
      </c>
      <c r="AJ103" s="251" t="n">
        <f aca="false" t="array" ref="AJ103:AJ103">IFERROR( MEDIAN(IF(DATOS_[Sexo]=$B103,IF(DATOS_[AGRUP. VALOR. PTO.]=$B102,IF(DATOS_[Check Periodo Ref.]="Dentro",DATOS_[Tot COMPL.SAL Ef],0)))), 0)</f>
        <v>0</v>
      </c>
      <c r="AK103" s="252" t="n">
        <f aca="false" t="array" ref="AK103:AK103">IFERROR( MEDIAN(IF(DATOS_[Sexo]=$B103,IF(DATOS_[AGRUP. VALOR. PTO.]=$B102,IF(DATOS_[Check Periodo Ref.]="Dentro",DATOS_[TOTAL SALARIO Ef],0)))), 0)</f>
        <v>0</v>
      </c>
      <c r="AL103" s="259" t="n">
        <f aca="false" t="array" ref="AL103:AL103">IFERROR( MEDIAN((IF(DATOS_[[Sexo]:[Sexo]]=$B103,IF(DATOS_[[AGRUP. VALOR. PTO.]:[AGRUP. VALOR. PTO.]]=$B102,IF(DATOS_[[Check Periodo Ref.]:[Check Periodo Ref.]]="Dentro",DATOS_[C.Extra.01]))))), 0)</f>
        <v>0</v>
      </c>
      <c r="AM103" s="259" t="n">
        <f aca="false" t="array" ref="AM103:AM103">IFERROR( MEDIAN((IF(DATOS_[[Sexo]:[Sexo]]=$B103,IF(DATOS_[[AGRUP. VALOR. PTO.]:[AGRUP. VALOR. PTO.]]=$B102,IF(DATOS_[[Check Periodo Ref.]:[Check Periodo Ref.]]="Dentro",DATOS_[C.Extra.02]))))), 0)</f>
        <v>0</v>
      </c>
      <c r="AN103" s="259" t="n">
        <f aca="false" t="array" ref="AN103:AN103">IFERROR( MEDIAN((IF(DATOS_[[Sexo]:[Sexo]]=$B103,IF(DATOS_[[AGRUP. VALOR. PTO.]:[AGRUP. VALOR. PTO.]]=$B102,IF(DATOS_[[Check Periodo Ref.]:[Check Periodo Ref.]]="Dentro",DATOS_[C.Extra.03]))))), 0)</f>
        <v>0</v>
      </c>
      <c r="AO103" s="259" t="n">
        <f aca="false" t="array" ref="AO103:AO103">IFERROR( MEDIAN((IF(DATOS_[[Sexo]:[Sexo]]=$B103,IF(DATOS_[[AGRUP. VALOR. PTO.]:[AGRUP. VALOR. PTO.]]=$B102,IF(DATOS_[[Check Periodo Ref.]:[Check Periodo Ref.]]="Dentro",DATOS_[C.Extra.04]))))), 0)</f>
        <v>0</v>
      </c>
      <c r="AP103" s="259" t="n">
        <f aca="false" t="array" ref="AP103:AP103">IFERROR( MEDIAN((IF(DATOS_[[Sexo]:[Sexo]]=$B103,IF(DATOS_[[AGRUP. VALOR. PTO.]:[AGRUP. VALOR. PTO.]]=$B102,IF(DATOS_[[Check Periodo Ref.]:[Check Periodo Ref.]]="Dentro",DATOS_[C.Extra.05]))))), 0)</f>
        <v>0</v>
      </c>
      <c r="AQ103" s="254" t="n">
        <f aca="false" t="array" ref="AQ103:AQ103">IFERROR( MEDIAN(IF(DATOS_[Sexo]=$B103,IF(DATOS_[AGRUP. VALOR. PTO.]=$B102,IF(DATOS_[Check Periodo Ref.]="Dentro",DATOS_[Tot Extrasalarial Ef],0)))), 0)</f>
        <v>0</v>
      </c>
      <c r="AR103" s="255" t="n">
        <f aca="false" t="array" ref="AR103:AR103">IFERROR( MEDIAN(IF(DATOS_[Sexo]=$B103,IF(DATOS_[AGRUP. VALOR. PTO.]=$B102,IF(DATOS_[Check Periodo Ref.]="Dentro",DATOS_[TOTAL Retrib Ef],0)))), 0)</f>
        <v>0</v>
      </c>
    </row>
    <row r="104" customFormat="false" ht="14.25" hidden="false" customHeight="false" outlineLevel="0" collapsed="false">
      <c r="A104" s="217" t="str">
        <f aca="false">+A103</f>
        <v>[ocultar]</v>
      </c>
      <c r="B104" s="246" t="s">
        <v>372</v>
      </c>
      <c r="C104" s="247" t="n">
        <f aca="false" t="array" ref="C104:C104">SUM(IF($B104=DATOS_[Sexo], IF($B102=DATOS_[AGRUP. VALOR. PTO.], IF("Dentro"=DATOS_[Check Periodo Ref.], 1/(COUNTIFS(DATOS_[Sexo],$B104,DATOS_[AGRUP. VALOR. PTO.],$B102,DATOS_[Check Periodo Ref.],"Dentro",DATOS_[id],DATOS_[id]))))))</f>
        <v>0</v>
      </c>
      <c r="D104" s="248" t="n">
        <f aca="false">COUNTIFS(DATOS_[AGRUP. VALOR. PTO.],$B102,DATOS_[Sexo],$B104,DATOS_[Check Periodo Ref.],"Dentro")</f>
        <v>0</v>
      </c>
      <c r="E104" s="249" t="n">
        <f aca="false" t="array" ref="E104:E104">IFERROR( MEDIAN(IF(DATOS_[Sexo]=$B104,IF(DATOS_[AGRUP. VALOR. PTO.]=$B102,IF(DATOS_[Check Periodo Ref.]="Dentro",DATOS_[SALARIO BASE Ef],0)))), 0)</f>
        <v>0</v>
      </c>
      <c r="F104" s="250" t="n">
        <f aca="false" t="array" ref="F104:F104">IFERROR( MEDIAN((IF(DATOS_[[Sexo]:[Sexo]]=$B104,IF(DATOS_[[AGRUP. VALOR. PTO.]:[AGRUP. VALOR. PTO.]]=$B102,IF(DATOS_[[Check Periodo Ref.]:[Check Periodo Ref.]]="Dentro",DATOS_[Conc.Sal.01]))))), 0)</f>
        <v>0</v>
      </c>
      <c r="G104" s="250" t="n">
        <f aca="false" t="array" ref="G104:G104">IFERROR( MEDIAN((IF(DATOS_[[Sexo]:[Sexo]]=$B104,IF(DATOS_[[AGRUP. VALOR. PTO.]:[AGRUP. VALOR. PTO.]]=$B102,IF(DATOS_[[Check Periodo Ref.]:[Check Periodo Ref.]]="Dentro",DATOS_[Conc.Sal.02]))))), 0)</f>
        <v>0</v>
      </c>
      <c r="H104" s="250" t="n">
        <f aca="false" t="array" ref="H104:H104">IFERROR( MEDIAN((IF(DATOS_[[Sexo]:[Sexo]]=$B104,IF(DATOS_[[AGRUP. VALOR. PTO.]:[AGRUP. VALOR. PTO.]]=$B102,IF(DATOS_[[Check Periodo Ref.]:[Check Periodo Ref.]]="Dentro",DATOS_[Conc.Sal.03]))))), 0)</f>
        <v>0</v>
      </c>
      <c r="I104" s="250" t="n">
        <f aca="false" t="array" ref="I104:I104">IFERROR( MEDIAN((IF(DATOS_[[Sexo]:[Sexo]]=$B104,IF(DATOS_[[AGRUP. VALOR. PTO.]:[AGRUP. VALOR. PTO.]]=$B102,IF(DATOS_[[Check Periodo Ref.]:[Check Periodo Ref.]]="Dentro",DATOS_[Conc.Sal.04]))))), 0)</f>
        <v>0</v>
      </c>
      <c r="J104" s="250" t="n">
        <f aca="false" t="array" ref="J104:J104">IFERROR( MEDIAN((IF(DATOS_[[Sexo]:[Sexo]]=$B104,IF(DATOS_[[AGRUP. VALOR. PTO.]:[AGRUP. VALOR. PTO.]]=$B102,IF(DATOS_[[Check Periodo Ref.]:[Check Periodo Ref.]]="Dentro",DATOS_[Conc.Sal.05]))))), 0)</f>
        <v>0</v>
      </c>
      <c r="K104" s="250" t="n">
        <f aca="false" t="array" ref="K104:K104">IFERROR( MEDIAN((IF(DATOS_[[Sexo]:[Sexo]]=$B104,IF(DATOS_[[AGRUP. VALOR. PTO.]:[AGRUP. VALOR. PTO.]]=$B102,IF(DATOS_[[Check Periodo Ref.]:[Check Periodo Ref.]]="Dentro",DATOS_[Conc.Sal.06]))))), 0)</f>
        <v>0</v>
      </c>
      <c r="L104" s="250" t="n">
        <f aca="false" t="array" ref="L104:L104">IFERROR( MEDIAN((IF(DATOS_[[Sexo]:[Sexo]]=$B104,IF(DATOS_[[AGRUP. VALOR. PTO.]:[AGRUP. VALOR. PTO.]]=$B102,IF(DATOS_[[Check Periodo Ref.]:[Check Periodo Ref.]]="Dentro",DATOS_[Conc.Sal.07]))))), 0)</f>
        <v>0</v>
      </c>
      <c r="M104" s="250" t="n">
        <f aca="false" t="array" ref="M104:M104">IFERROR( MEDIAN((IF(DATOS_[[Sexo]:[Sexo]]=$B104,IF(DATOS_[[AGRUP. VALOR. PTO.]:[AGRUP. VALOR. PTO.]]=$B102,IF(DATOS_[[Check Periodo Ref.]:[Check Periodo Ref.]]="Dentro",DATOS_[Conc.Sal.08]))))), 0)</f>
        <v>0</v>
      </c>
      <c r="N104" s="250" t="n">
        <f aca="false" t="array" ref="N104:N104">IFERROR( MEDIAN((IF(DATOS_[[Sexo]:[Sexo]]=$B104,IF(DATOS_[[AGRUP. VALOR. PTO.]:[AGRUP. VALOR. PTO.]]=$B102,IF(DATOS_[[Check Periodo Ref.]:[Check Periodo Ref.]]="Dentro",DATOS_[Conc.Sal.09]))))), 0)</f>
        <v>0</v>
      </c>
      <c r="O104" s="250" t="n">
        <f aca="false" t="array" ref="O104:O104">IFERROR( MEDIAN((IF(DATOS_[[Sexo]:[Sexo]]=$B104,IF(DATOS_[[AGRUP. VALOR. PTO.]:[AGRUP. VALOR. PTO.]]=$B102,IF(DATOS_[[Check Periodo Ref.]:[Check Periodo Ref.]]="Dentro",DATOS_[Conc.Sal.10]))))), 0)</f>
        <v>0</v>
      </c>
      <c r="P104" s="250" t="n">
        <f aca="false" t="array" ref="P104:P104">IFERROR( MEDIAN((IF(DATOS_[[Sexo]:[Sexo]]=$B104,IF(DATOS_[[AGRUP. VALOR. PTO.]:[AGRUP. VALOR. PTO.]]=$B102,IF(DATOS_[[Check Periodo Ref.]:[Check Periodo Ref.]]="Dentro",DATOS_[Conc.Sal.11]))))), 0)</f>
        <v>0</v>
      </c>
      <c r="Q104" s="250" t="n">
        <f aca="false" t="array" ref="Q104:Q104">IFERROR( MEDIAN((IF(DATOS_[[Sexo]:[Sexo]]=$B104,IF(DATOS_[[AGRUP. VALOR. PTO.]:[AGRUP. VALOR. PTO.]]=$B102,IF(DATOS_[[Check Periodo Ref.]:[Check Periodo Ref.]]="Dentro",DATOS_[Conc.Sal.12]))))), 0)</f>
        <v>0</v>
      </c>
      <c r="R104" s="250" t="n">
        <f aca="false" t="array" ref="R104:R104">IFERROR( MEDIAN((IF(DATOS_[[Sexo]:[Sexo]]=$B104,IF(DATOS_[[AGRUP. VALOR. PTO.]:[AGRUP. VALOR. PTO.]]=$B102,IF(DATOS_[[Check Periodo Ref.]:[Check Periodo Ref.]]="Dentro",DATOS_[Conc.Sal.13]))))), 0)</f>
        <v>0</v>
      </c>
      <c r="S104" s="250" t="n">
        <f aca="false" t="array" ref="S104:S104">IFERROR( MEDIAN((IF(DATOS_[[Sexo]:[Sexo]]=$B104,IF(DATOS_[[AGRUP. VALOR. PTO.]:[AGRUP. VALOR. PTO.]]=$B102,IF(DATOS_[[Check Periodo Ref.]:[Check Periodo Ref.]]="Dentro",DATOS_[Conc.Sal.14]))))), 0)</f>
        <v>0</v>
      </c>
      <c r="T104" s="250" t="n">
        <f aca="false" t="array" ref="T104:T104">IFERROR( MEDIAN((IF(DATOS_[[Sexo]:[Sexo]]=$B104,IF(DATOS_[[AGRUP. VALOR. PTO.]:[AGRUP. VALOR. PTO.]]=$B102,IF(DATOS_[[Check Periodo Ref.]:[Check Periodo Ref.]]="Dentro",DATOS_[Conc.Sal.15]))))), 0)</f>
        <v>0</v>
      </c>
      <c r="U104" s="250" t="n">
        <f aca="false" t="array" ref="U104:U104">IFERROR( MEDIAN((IF(DATOS_[[Sexo]:[Sexo]]=$B104,IF(DATOS_[[AGRUP. VALOR. PTO.]:[AGRUP. VALOR. PTO.]]=$B102,IF(DATOS_[[Check Periodo Ref.]:[Check Periodo Ref.]]="Dentro",DATOS_[Conc.Sal.16]))))), 0)</f>
        <v>0</v>
      </c>
      <c r="V104" s="250" t="n">
        <f aca="false" t="array" ref="V104:V104">IFERROR( MEDIAN((IF(DATOS_[[Sexo]:[Sexo]]=$B104,IF(DATOS_[[AGRUP. VALOR. PTO.]:[AGRUP. VALOR. PTO.]]=$B102,IF(DATOS_[[Check Periodo Ref.]:[Check Periodo Ref.]]="Dentro",DATOS_[Conc.Sal.17]))))), 0)</f>
        <v>0</v>
      </c>
      <c r="W104" s="250" t="n">
        <f aca="false" t="array" ref="W104:W104">IFERROR( MEDIAN((IF(DATOS_[[Sexo]:[Sexo]]=$B104,IF(DATOS_[[AGRUP. VALOR. PTO.]:[AGRUP. VALOR. PTO.]]=$B102,IF(DATOS_[[Check Periodo Ref.]:[Check Periodo Ref.]]="Dentro",DATOS_[Conc.Sal.18]))))), 0)</f>
        <v>0</v>
      </c>
      <c r="X104" s="250" t="n">
        <f aca="false" t="array" ref="X104:X104">IFERROR( MEDIAN((IF(DATOS_[[Sexo]:[Sexo]]=$B104,IF(DATOS_[[AGRUP. VALOR. PTO.]:[AGRUP. VALOR. PTO.]]=$B102,IF(DATOS_[[Check Periodo Ref.]:[Check Periodo Ref.]]="Dentro",DATOS_[Conc.Sal.19]))))), 0)</f>
        <v>0</v>
      </c>
      <c r="Y104" s="250" t="n">
        <f aca="false" t="array" ref="Y104:Y104">IFERROR( MEDIAN((IF(DATOS_[[Sexo]:[Sexo]]=$B104,IF(DATOS_[[AGRUP. VALOR. PTO.]:[AGRUP. VALOR. PTO.]]=$B102,IF(DATOS_[[Check Periodo Ref.]:[Check Periodo Ref.]]="Dentro",DATOS_[Conc.Sal.20]))))), 0)</f>
        <v>0</v>
      </c>
      <c r="Z104" s="250" t="n">
        <f aca="false" t="array" ref="Z104:Z104">IFERROR( MEDIAN((IF(DATOS_[[Sexo]:[Sexo]]=$B104,IF(DATOS_[[AGRUP. VALOR. PTO.]:[AGRUP. VALOR. PTO.]]=$B102,IF(DATOS_[[Check Periodo Ref.]:[Check Periodo Ref.]]="Dentro",DATOS_[Conc.Sal.21]))))), 0)</f>
        <v>0</v>
      </c>
      <c r="AA104" s="250" t="n">
        <f aca="false" t="array" ref="AA104:AA104">IFERROR( MEDIAN((IF(DATOS_[[Sexo]:[Sexo]]=$B104,IF(DATOS_[[AGRUP. VALOR. PTO.]:[AGRUP. VALOR. PTO.]]=$B102,IF(DATOS_[[Check Periodo Ref.]:[Check Periodo Ref.]]="Dentro",DATOS_[Conc.Sal.22]))))), 0)</f>
        <v>0</v>
      </c>
      <c r="AB104" s="250" t="n">
        <f aca="false" t="array" ref="AB104:AB104">IFERROR( MEDIAN((IF(DATOS_[[Sexo]:[Sexo]]=$B104,IF(DATOS_[[AGRUP. VALOR. PTO.]:[AGRUP. VALOR. PTO.]]=$B102,IF(DATOS_[[Check Periodo Ref.]:[Check Periodo Ref.]]="Dentro",DATOS_[Conc.Sal.23]))))), 0)</f>
        <v>0</v>
      </c>
      <c r="AC104" s="250" t="n">
        <f aca="false" t="array" ref="AC104:AC104">IFERROR( MEDIAN((IF(DATOS_[[Sexo]:[Sexo]]=$B104,IF(DATOS_[[AGRUP. VALOR. PTO.]:[AGRUP. VALOR. PTO.]]=$B102,IF(DATOS_[[Check Periodo Ref.]:[Check Periodo Ref.]]="Dentro",DATOS_[Conc.Sal.24]))))), 0)</f>
        <v>0</v>
      </c>
      <c r="AD104" s="250" t="n">
        <f aca="false" t="array" ref="AD104:AD104">IFERROR( MEDIAN((IF(DATOS_[[Sexo]:[Sexo]]=$B104,IF(DATOS_[[AGRUP. VALOR. PTO.]:[AGRUP. VALOR. PTO.]]=$B102,IF(DATOS_[[Check Periodo Ref.]:[Check Periodo Ref.]]="Dentro",DATOS_[Conc.Sal.25]))))), 0)</f>
        <v>0</v>
      </c>
      <c r="AE104" s="250" t="n">
        <f aca="false" t="array" ref="AE104:AE104">IFERROR( MEDIAN((IF(DATOS_[[Sexo]:[Sexo]]=$B104,IF(DATOS_[[AGRUP. VALOR. PTO.]:[AGRUP. VALOR. PTO.]]=$B102,IF(DATOS_[[Check Periodo Ref.]:[Check Periodo Ref.]]="Dentro",DATOS_[Conc.Sal.26]))))), 0)</f>
        <v>0</v>
      </c>
      <c r="AF104" s="250" t="n">
        <f aca="false" t="array" ref="AF104:AF104">IFERROR( MEDIAN((IF(DATOS_[[Sexo]:[Sexo]]=$B104,IF(DATOS_[[AGRUP. VALOR. PTO.]:[AGRUP. VALOR. PTO.]]=$B102,IF(DATOS_[[Check Periodo Ref.]:[Check Periodo Ref.]]="Dentro",DATOS_[Conc.Sal.27]))))), 0)</f>
        <v>0</v>
      </c>
      <c r="AG104" s="250" t="n">
        <f aca="false" t="array" ref="AG104:AG104">IFERROR( MEDIAN((IF(DATOS_[[Sexo]:[Sexo]]=$B104,IF(DATOS_[[AGRUP. VALOR. PTO.]:[AGRUP. VALOR. PTO.]]=$B102,IF(DATOS_[[Check Periodo Ref.]:[Check Periodo Ref.]]="Dentro",DATOS_[Conc.Sal.28]))))), 0)</f>
        <v>0</v>
      </c>
      <c r="AH104" s="250" t="n">
        <f aca="false" t="array" ref="AH104:AH104">IFERROR( MEDIAN((IF(DATOS_[[Sexo]:[Sexo]]=$B104,IF(DATOS_[[AGRUP. VALOR. PTO.]:[AGRUP. VALOR. PTO.]]=$B102,IF(DATOS_[[Check Periodo Ref.]:[Check Periodo Ref.]]="Dentro",DATOS_[Conc.Sal.29]))))), 0)</f>
        <v>0</v>
      </c>
      <c r="AI104" s="250" t="n">
        <f aca="false" t="array" ref="AI104:AI104">IFERROR( MEDIAN((IF(DATOS_[[Sexo]:[Sexo]]=$B104,IF(DATOS_[[AGRUP. VALOR. PTO.]:[AGRUP. VALOR. PTO.]]=$B102,IF(DATOS_[[Check Periodo Ref.]:[Check Periodo Ref.]]="Dentro",DATOS_[Conc.Sal.30]))))), 0)</f>
        <v>0</v>
      </c>
      <c r="AJ104" s="251" t="n">
        <f aca="false" t="array" ref="AJ104:AJ104">IFERROR( MEDIAN(IF(DATOS_[Sexo]=$B104,IF(DATOS_[AGRUP. VALOR. PTO.]=$B102,IF(DATOS_[Check Periodo Ref.]="Dentro",DATOS_[Tot COMPL.SAL Ef],0)))), 0)</f>
        <v>0</v>
      </c>
      <c r="AK104" s="252" t="n">
        <f aca="false" t="array" ref="AK104:AK104">IFERROR( MEDIAN(IF(DATOS_[Sexo]=$B104,IF(DATOS_[AGRUP. VALOR. PTO.]=$B102,IF(DATOS_[Check Periodo Ref.]="Dentro",DATOS_[TOTAL SALARIO Ef],0)))), 0)</f>
        <v>0</v>
      </c>
      <c r="AL104" s="259" t="n">
        <f aca="false" t="array" ref="AL104:AL104">IFERROR( MEDIAN((IF(DATOS_[[Sexo]:[Sexo]]=$B104,IF(DATOS_[[AGRUP. VALOR. PTO.]:[AGRUP. VALOR. PTO.]]=$B102,IF(DATOS_[[Check Periodo Ref.]:[Check Periodo Ref.]]="Dentro",DATOS_[C.Extra.01]))))), 0)</f>
        <v>0</v>
      </c>
      <c r="AM104" s="259" t="n">
        <f aca="false" t="array" ref="AM104:AM104">IFERROR( MEDIAN((IF(DATOS_[[Sexo]:[Sexo]]=$B104,IF(DATOS_[[AGRUP. VALOR. PTO.]:[AGRUP. VALOR. PTO.]]=$B102,IF(DATOS_[[Check Periodo Ref.]:[Check Periodo Ref.]]="Dentro",DATOS_[C.Extra.02]))))), 0)</f>
        <v>0</v>
      </c>
      <c r="AN104" s="259" t="n">
        <f aca="false" t="array" ref="AN104:AN104">IFERROR( MEDIAN((IF(DATOS_[[Sexo]:[Sexo]]=$B104,IF(DATOS_[[AGRUP. VALOR. PTO.]:[AGRUP. VALOR. PTO.]]=$B102,IF(DATOS_[[Check Periodo Ref.]:[Check Periodo Ref.]]="Dentro",DATOS_[C.Extra.03]))))), 0)</f>
        <v>0</v>
      </c>
      <c r="AO104" s="259" t="n">
        <f aca="false" t="array" ref="AO104:AO104">IFERROR( MEDIAN((IF(DATOS_[[Sexo]:[Sexo]]=$B104,IF(DATOS_[[AGRUP. VALOR. PTO.]:[AGRUP. VALOR. PTO.]]=$B102,IF(DATOS_[[Check Periodo Ref.]:[Check Periodo Ref.]]="Dentro",DATOS_[C.Extra.04]))))), 0)</f>
        <v>0</v>
      </c>
      <c r="AP104" s="259" t="n">
        <f aca="false" t="array" ref="AP104:AP104">IFERROR( MEDIAN((IF(DATOS_[[Sexo]:[Sexo]]=$B104,IF(DATOS_[[AGRUP. VALOR. PTO.]:[AGRUP. VALOR. PTO.]]=$B102,IF(DATOS_[[Check Periodo Ref.]:[Check Periodo Ref.]]="Dentro",DATOS_[C.Extra.05]))))), 0)</f>
        <v>0</v>
      </c>
      <c r="AQ104" s="254" t="n">
        <f aca="false" t="array" ref="AQ104:AQ104">IFERROR( MEDIAN(IF(DATOS_[Sexo]=$B104,IF(DATOS_[AGRUP. VALOR. PTO.]=$B102,IF(DATOS_[Check Periodo Ref.]="Dentro",DATOS_[Tot Extrasalarial Ef],0)))), 0)</f>
        <v>0</v>
      </c>
      <c r="AR104" s="255" t="n">
        <f aca="false" t="array" ref="AR104:AR104">IFERROR( MEDIAN(IF(DATOS_[Sexo]=$B104,IF(DATOS_[AGRUP. VALOR. PTO.]=$B102,IF(DATOS_[Check Periodo Ref.]="Dentro",DATOS_[TOTAL Retrib Ef],0)))),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2578125" defaultRowHeight="14.25" zeroHeight="false" outlineLevelRow="0" outlineLevelCol="1"/>
  <cols>
    <col collapsed="false" customWidth="true" hidden="false" outlineLevel="0" max="1" min="1" style="166" width="8.87"/>
    <col collapsed="false" customWidth="true" hidden="false" outlineLevel="0" max="2" min="2" style="166" width="10.76"/>
    <col collapsed="false" customWidth="false" hidden="false" outlineLevel="0" max="8" min="3" style="166" width="7.26"/>
    <col collapsed="false" customWidth="true" hidden="false" outlineLevel="0" max="9" min="9" style="166" width="10.35"/>
    <col collapsed="false" customWidth="false" hidden="false" outlineLevel="0" max="10" min="10" style="166" width="7.26"/>
    <col collapsed="false" customWidth="true" hidden="false" outlineLevel="0" max="11" min="11" style="166" width="7.4"/>
    <col collapsed="false" customWidth="true" hidden="false" outlineLevel="0" max="12" min="12" style="166" width="7.66"/>
    <col collapsed="false" customWidth="true" hidden="false" outlineLevel="0" max="13" min="13" style="166" width="7.4"/>
    <col collapsed="false" customWidth="false" hidden="false" outlineLevel="0" max="14" min="14" style="166" width="7.26"/>
    <col collapsed="false" customWidth="true" hidden="false" outlineLevel="0" max="15" min="15" style="166" width="7.4"/>
    <col collapsed="false" customWidth="true" hidden="false" outlineLevel="0" max="16" min="16" style="166" width="7.66"/>
    <col collapsed="false" customWidth="true" hidden="false" outlineLevel="0" max="18" min="17" style="166" width="7.4"/>
    <col collapsed="false" customWidth="true" hidden="true" outlineLevel="0" max="19" min="19" style="166" width="10.17"/>
    <col collapsed="false" customWidth="false" hidden="true" outlineLevel="1" max="39" min="20" style="166" width="7.26"/>
    <col collapsed="false" customWidth="true" hidden="false" outlineLevel="0" max="41" min="40" style="166" width="8.87"/>
    <col collapsed="false" customWidth="true" hidden="false" outlineLevel="0" max="42" min="42" style="166" width="7.4"/>
    <col collapsed="false" customWidth="true" hidden="true" outlineLevel="0" max="46" min="43" style="166" width="10.17"/>
    <col collapsed="false" customWidth="true" hidden="false" outlineLevel="0" max="48" min="47" style="166" width="8.87"/>
    <col collapsed="false" customWidth="false" hidden="false" outlineLevel="0" max="1024" min="49" style="166" width="7.26"/>
  </cols>
  <sheetData>
    <row r="1" customFormat="false" ht="42.6" hidden="false" customHeight="true" outlineLevel="0" collapsed="false">
      <c r="E1" s="167" t="s">
        <v>374</v>
      </c>
    </row>
    <row r="2" customFormat="false" ht="13.9" hidden="false" customHeight="true" outlineLevel="0" collapsed="false">
      <c r="K2" s="166" t="str">
        <f aca="false">+IF(K8="[ocultar]",K8,"")</f>
        <v>[ocultar]</v>
      </c>
      <c r="L2" s="166" t="str">
        <f aca="false">+IF(L8="[ocultar]",L8,"")</f>
        <v>[ocultar]</v>
      </c>
      <c r="M2" s="166" t="str">
        <f aca="false">+IF(M8="[ocultar]",M8,"")</f>
        <v>[ocultar]</v>
      </c>
      <c r="N2" s="166" t="str">
        <f aca="false">+IF(N8="[ocultar]",N8,"")</f>
        <v>[ocultar]</v>
      </c>
      <c r="O2" s="166" t="str">
        <f aca="false">+IF(O8="[ocultar]",O8,"")</f>
        <v>[ocultar]</v>
      </c>
      <c r="P2" s="166" t="str">
        <f aca="false">+IF(P8="[ocultar]",P8,"")</f>
        <v>[ocultar]</v>
      </c>
      <c r="Q2" s="166" t="str">
        <f aca="false">+IF(Q8="[ocultar]",Q8,"")</f>
        <v>[ocultar]</v>
      </c>
      <c r="R2" s="166" t="str">
        <f aca="false">+IF(R8="[ocultar]",R8,"")</f>
        <v>[ocultar]</v>
      </c>
      <c r="S2" s="166" t="str">
        <f aca="false">+IF(S8="[ocultar]",S8,"")</f>
        <v>[ocultar]</v>
      </c>
      <c r="T2" s="166" t="str">
        <f aca="false">+IF(T8="[ocultar]",T8,"")</f>
        <v>[ocultar]</v>
      </c>
      <c r="U2" s="166" t="str">
        <f aca="false">+IF(U8="[ocultar]",U8,"")</f>
        <v>[ocultar]</v>
      </c>
      <c r="V2" s="166" t="str">
        <f aca="false">+IF(V8="[ocultar]",V8,"")</f>
        <v>[ocultar]</v>
      </c>
      <c r="W2" s="166" t="str">
        <f aca="false">+IF(W8="[ocultar]",W8,"")</f>
        <v>[ocultar]</v>
      </c>
      <c r="X2" s="166" t="str">
        <f aca="false">+IF(X8="[ocultar]",X8,"")</f>
        <v>[ocultar]</v>
      </c>
      <c r="Y2" s="166" t="str">
        <f aca="false">+IF(Y8="[ocultar]",Y8,"")</f>
        <v>[ocultar]</v>
      </c>
      <c r="Z2" s="166" t="str">
        <f aca="false">+IF(Z8="[ocultar]",Z8,"")</f>
        <v>[ocultar]</v>
      </c>
      <c r="AA2" s="166" t="str">
        <f aca="false">+IF(AA8="[ocultar]",AA8,"")</f>
        <v>[ocultar]</v>
      </c>
      <c r="AB2" s="166" t="str">
        <f aca="false">+IF(AB8="[ocultar]",AB8,"")</f>
        <v>[ocultar]</v>
      </c>
      <c r="AC2" s="166" t="str">
        <f aca="false">+IF(AC8="[ocultar]",AC8,"")</f>
        <v>[ocultar]</v>
      </c>
      <c r="AD2" s="166" t="str">
        <f aca="false">+IF(AD8="[ocultar]",AD8,"")</f>
        <v>[ocultar]</v>
      </c>
      <c r="AE2" s="166" t="str">
        <f aca="false">+IF(AE8="[ocultar]",AE8,"")</f>
        <v>[ocultar]</v>
      </c>
      <c r="AF2" s="166" t="str">
        <f aca="false">+IF(AF8="[ocultar]",AF8,"")</f>
        <v>[ocultar]</v>
      </c>
      <c r="AG2" s="166" t="str">
        <f aca="false">+IF(AG8="[ocultar]",AG8,"")</f>
        <v>[ocultar]</v>
      </c>
      <c r="AH2" s="166" t="str">
        <f aca="false">+IF(AH8="[ocultar]",AH8,"")</f>
        <v>[ocultar]</v>
      </c>
      <c r="AI2" s="166" t="str">
        <f aca="false">+IF(AI8="[ocultar]",AI8,"")</f>
        <v>[ocultar]</v>
      </c>
      <c r="AJ2" s="166" t="str">
        <f aca="false">+IF(AJ8="[ocultar]",AJ8,"")</f>
        <v>[ocultar]</v>
      </c>
      <c r="AK2" s="166" t="str">
        <f aca="false">+IF(AK8="[ocultar]",AK8,"")</f>
        <v>[ocultar]</v>
      </c>
      <c r="AL2" s="166" t="str">
        <f aca="false">+IF(AL8="[ocultar]",AL8,"")</f>
        <v>[ocultar]</v>
      </c>
      <c r="AM2" s="166" t="str">
        <f aca="false">+IF(AM8="[ocultar]",AM8,"")</f>
        <v>[ocultar]</v>
      </c>
      <c r="AN2" s="166" t="str">
        <f aca="false">+IF(AN8="[ocultar]",AN8,"")</f>
        <v/>
      </c>
      <c r="AO2" s="166" t="str">
        <f aca="false">+IF(AO8="[ocultar]",AO8,"")</f>
        <v/>
      </c>
      <c r="AP2" s="166" t="str">
        <f aca="false">+IF(AP8="[ocultar]",AP8,"")</f>
        <v>[ocultar]</v>
      </c>
      <c r="AQ2" s="166" t="str">
        <f aca="false">+IF(AQ8="[ocultar]",AQ8,"")</f>
        <v>[ocultar]</v>
      </c>
      <c r="AR2" s="166" t="str">
        <f aca="false">+IF(AR8="[ocultar]",AR8,"")</f>
        <v>[ocultar]</v>
      </c>
      <c r="AS2" s="166" t="str">
        <f aca="false">+IF(AS8="[ocultar]",AS8,"")</f>
        <v>[ocultar]</v>
      </c>
      <c r="AT2" s="166" t="str">
        <f aca="false">+IF(AT8="[ocultar]",AT8,"")</f>
        <v>[ocultar]</v>
      </c>
    </row>
    <row r="3" customFormat="false" ht="13.9" hidden="false" customHeight="true" outlineLevel="0" collapsed="false">
      <c r="I3" s="260" t="str">
        <f aca="false">+"Razón Social: "&amp;Inicio!C6&amp;"  -  NIF: "&amp;Inicio!C8</f>
        <v>Razón Social:   -  NIF:</v>
      </c>
      <c r="J3" s="261"/>
    </row>
    <row r="4" customFormat="false" ht="13.9" hidden="false" customHeight="true" outlineLevel="0" collapsed="false">
      <c r="I4" s="262" t="s">
        <v>2</v>
      </c>
      <c r="J4" s="263"/>
    </row>
    <row r="5" customFormat="false" ht="13.9" hidden="false" customHeight="true" outlineLevel="0" collapsed="false">
      <c r="I5" s="264" t="n">
        <f aca="false">+Inicio!E10</f>
        <v>0</v>
      </c>
      <c r="J5" s="265" t="str">
        <f aca="false">+Inicio!D10</f>
        <v>fecha inicio</v>
      </c>
    </row>
    <row r="6" customFormat="false" ht="13.9" hidden="false" customHeight="true" outlineLevel="0" collapsed="false">
      <c r="I6" s="264" t="n">
        <f aca="false">+Inicio!G10</f>
        <v>0</v>
      </c>
      <c r="J6" s="266" t="s">
        <v>4</v>
      </c>
    </row>
    <row r="7" s="179" customFormat="true" ht="13.9" hidden="false" customHeight="true" outlineLevel="0" collapsed="false"/>
    <row r="8" s="267" customFormat="true" ht="46.15" hidden="false" customHeight="true" outlineLevel="0" collapsed="false">
      <c r="B8" s="268"/>
      <c r="C8" s="268" t="s">
        <v>368</v>
      </c>
      <c r="D8" s="268" t="s">
        <v>369</v>
      </c>
      <c r="E8" s="268" t="s">
        <v>260</v>
      </c>
      <c r="F8" s="268" t="s">
        <v>262</v>
      </c>
      <c r="G8" s="268" t="s">
        <v>264</v>
      </c>
      <c r="H8" s="268" t="s">
        <v>373</v>
      </c>
      <c r="I8" s="269" t="s">
        <v>268</v>
      </c>
      <c r="J8" s="270" t="str">
        <f aca="false">+IF(DATOS!AE6="","[ocultar]",DATOS!AE6)</f>
        <v>[ocultar]</v>
      </c>
      <c r="K8" s="270" t="str">
        <f aca="false">+IF(DATOS!AF6="","[ocultar]",DATOS!AF6)</f>
        <v>[ocultar]</v>
      </c>
      <c r="L8" s="270" t="str">
        <f aca="false">+IF(DATOS!AG6="","[ocultar]",DATOS!AG6)</f>
        <v>[ocultar]</v>
      </c>
      <c r="M8" s="270" t="str">
        <f aca="false">+IF(DATOS!AH6="","[ocultar]",DATOS!AH6)</f>
        <v>[ocultar]</v>
      </c>
      <c r="N8" s="270" t="str">
        <f aca="false">+IF(DATOS!AI6="","[ocultar]",DATOS!AI6)</f>
        <v>[ocultar]</v>
      </c>
      <c r="O8" s="270" t="str">
        <f aca="false">+IF(DATOS!AJ6="","[ocultar]",DATOS!AJ6)</f>
        <v>[ocultar]</v>
      </c>
      <c r="P8" s="270" t="str">
        <f aca="false">+IF(DATOS!AK6="","[ocultar]",DATOS!AK6)</f>
        <v>[ocultar]</v>
      </c>
      <c r="Q8" s="270" t="str">
        <f aca="false">+IF(DATOS!AL6="","[ocultar]",DATOS!AL6)</f>
        <v>[ocultar]</v>
      </c>
      <c r="R8" s="270" t="str">
        <f aca="false">+IF(DATOS!AM6="","[ocultar]",DATOS!AM6)</f>
        <v>[ocultar]</v>
      </c>
      <c r="S8" s="270" t="str">
        <f aca="false">+IF(DATOS!AN6="","[ocultar]",DATOS!AN6)</f>
        <v>[ocultar]</v>
      </c>
      <c r="T8" s="270" t="str">
        <f aca="false">+IF(DATOS!AO6="","[ocultar]",DATOS!AO6)</f>
        <v>[ocultar]</v>
      </c>
      <c r="U8" s="270" t="str">
        <f aca="false">+IF(DATOS!AP6="","[ocultar]",DATOS!AP6)</f>
        <v>[ocultar]</v>
      </c>
      <c r="V8" s="270" t="str">
        <f aca="false">+IF(DATOS!AQ6="","[ocultar]",DATOS!AQ6)</f>
        <v>[ocultar]</v>
      </c>
      <c r="W8" s="270" t="str">
        <f aca="false">+IF(DATOS!AR6="","[ocultar]",DATOS!AR6)</f>
        <v>[ocultar]</v>
      </c>
      <c r="X8" s="270" t="str">
        <f aca="false">+IF(DATOS!AS6="","[ocultar]",DATOS!AS6)</f>
        <v>[ocultar]</v>
      </c>
      <c r="Y8" s="270" t="str">
        <f aca="false">+IF(DATOS!AT6="","[ocultar]",DATOS!AT6)</f>
        <v>[ocultar]</v>
      </c>
      <c r="Z8" s="270" t="str">
        <f aca="false">+IF(DATOS!AU6="","[ocultar]",DATOS!AU6)</f>
        <v>[ocultar]</v>
      </c>
      <c r="AA8" s="270" t="str">
        <f aca="false">+IF(DATOS!AV6="","[ocultar]",DATOS!AV6)</f>
        <v>[ocultar]</v>
      </c>
      <c r="AB8" s="270" t="str">
        <f aca="false">+IF(DATOS!AW6="","[ocultar]",DATOS!AW6)</f>
        <v>[ocultar]</v>
      </c>
      <c r="AC8" s="270" t="str">
        <f aca="false">+IF(DATOS!AX6="","[ocultar]",DATOS!AX6)</f>
        <v>[ocultar]</v>
      </c>
      <c r="AD8" s="270" t="str">
        <f aca="false">+IF(DATOS!AY6="","[ocultar]",DATOS!AY6)</f>
        <v>[ocultar]</v>
      </c>
      <c r="AE8" s="270" t="str">
        <f aca="false">+IF(DATOS!AZ6="","[ocultar]",DATOS!AZ6)</f>
        <v>[ocultar]</v>
      </c>
      <c r="AF8" s="270" t="str">
        <f aca="false">+IF(DATOS!BA6="","[ocultar]",DATOS!BA6)</f>
        <v>[ocultar]</v>
      </c>
      <c r="AG8" s="270" t="str">
        <f aca="false">+IF(DATOS!BB6="","[ocultar]",DATOS!BB6)</f>
        <v>[ocultar]</v>
      </c>
      <c r="AH8" s="270" t="str">
        <f aca="false">+IF(DATOS!BC6="","[ocultar]",DATOS!BC6)</f>
        <v>[ocultar]</v>
      </c>
      <c r="AI8" s="270" t="str">
        <f aca="false">+IF(DATOS!BD6="","[ocultar]",DATOS!BD6)</f>
        <v>[ocultar]</v>
      </c>
      <c r="AJ8" s="270" t="str">
        <f aca="false">+IF(DATOS!BE6="","[ocultar]",DATOS!BE6)</f>
        <v>[ocultar]</v>
      </c>
      <c r="AK8" s="270" t="str">
        <f aca="false">+IF(DATOS!BF6="","[ocultar]",DATOS!BF6)</f>
        <v>[ocultar]</v>
      </c>
      <c r="AL8" s="270" t="str">
        <f aca="false">+IF(DATOS!BG6="","[ocultar]",DATOS!BG6)</f>
        <v>[ocultar]</v>
      </c>
      <c r="AM8" s="270" t="str">
        <f aca="false">+IF(DATOS!BH6="","[ocultar]",DATOS!BH6)</f>
        <v>[ocultar]</v>
      </c>
      <c r="AN8" s="271" t="s">
        <v>269</v>
      </c>
      <c r="AO8" s="272" t="s">
        <v>270</v>
      </c>
      <c r="AP8" s="273" t="str">
        <f aca="false">+IF(DATOS!BI6="","[ocultar]",DATOS!BI6)</f>
        <v>[ocultar]</v>
      </c>
      <c r="AQ8" s="273" t="str">
        <f aca="false">+IF(DATOS!BJ6="","[ocultar]",DATOS!BJ6)</f>
        <v>[ocultar]</v>
      </c>
      <c r="AR8" s="273" t="str">
        <f aca="false">+IF(DATOS!BK6="","[ocultar]",DATOS!BK6)</f>
        <v>[ocultar]</v>
      </c>
      <c r="AS8" s="273" t="str">
        <f aca="false">+IF(DATOS!BL6="","[ocultar]",DATOS!BL6)</f>
        <v>[ocultar]</v>
      </c>
      <c r="AT8" s="273" t="str">
        <f aca="false">+IF(DATOS!BM6="","[ocultar]",DATOS!BM6)</f>
        <v>[ocultar]</v>
      </c>
      <c r="AU8" s="274" t="s">
        <v>271</v>
      </c>
      <c r="AV8" s="275" t="s">
        <v>272</v>
      </c>
    </row>
    <row r="9" customFormat="false" ht="15.75" hidden="false" customHeight="false" outlineLevel="0" collapsed="false">
      <c r="B9" s="276" t="s">
        <v>370</v>
      </c>
      <c r="C9" s="277"/>
      <c r="D9" s="278"/>
      <c r="E9" s="278"/>
      <c r="F9" s="278"/>
      <c r="G9" s="278"/>
      <c r="H9" s="278"/>
      <c r="I9" s="279" t="str">
        <f aca="false">IFERROR((I10-I11)/I10,"")</f>
        <v/>
      </c>
      <c r="J9" s="280" t="str">
        <f aca="false">IFERROR((J10-J11)/J10,"")</f>
        <v/>
      </c>
      <c r="K9" s="281" t="str">
        <f aca="false">IFERROR((K10-K11)/K10,"")</f>
        <v/>
      </c>
      <c r="L9" s="281" t="str">
        <f aca="false">IFERROR((L10-L11)/L10,"")</f>
        <v/>
      </c>
      <c r="M9" s="281" t="str">
        <f aca="false">IFERROR((M10-M11)/M10,"")</f>
        <v/>
      </c>
      <c r="N9" s="282" t="str">
        <f aca="false">IFERROR((N10-N11)/N10,"")</f>
        <v/>
      </c>
      <c r="O9" s="283" t="str">
        <f aca="false">IFERROR((O10-O11)/O10,"")</f>
        <v/>
      </c>
      <c r="P9" s="283" t="str">
        <f aca="false">IFERROR((P10-P11)/P10,"")</f>
        <v/>
      </c>
      <c r="Q9" s="283" t="str">
        <f aca="false">IFERROR((Q10-Q11)/Q10,"")</f>
        <v/>
      </c>
      <c r="R9" s="283" t="str">
        <f aca="false">IFERROR((R10-R11)/R10,"")</f>
        <v/>
      </c>
      <c r="S9" s="283" t="str">
        <f aca="false">IFERROR((S10-S11)/S10,"")</f>
        <v/>
      </c>
      <c r="T9" s="283" t="str">
        <f aca="false">IFERROR((T10-T11)/T10,"")</f>
        <v/>
      </c>
      <c r="U9" s="283" t="str">
        <f aca="false">IFERROR((U10-U11)/U10,"")</f>
        <v/>
      </c>
      <c r="V9" s="283" t="str">
        <f aca="false">IFERROR((V10-V11)/V10,"")</f>
        <v/>
      </c>
      <c r="W9" s="283" t="str">
        <f aca="false">IFERROR((W10-W11)/W10,"")</f>
        <v/>
      </c>
      <c r="X9" s="283" t="str">
        <f aca="false">IFERROR((X10-X11)/X10,"")</f>
        <v/>
      </c>
      <c r="Y9" s="283" t="str">
        <f aca="false">IFERROR((Y10-Y11)/Y10,"")</f>
        <v/>
      </c>
      <c r="Z9" s="282" t="str">
        <f aca="false">IFERROR((Z10-Z11)/Z10,"")</f>
        <v/>
      </c>
      <c r="AA9" s="282" t="str">
        <f aca="false">IFERROR((AA10-AA11)/AA10,"")</f>
        <v/>
      </c>
      <c r="AB9" s="282" t="str">
        <f aca="false">IFERROR((AB10-AB11)/AB10,"")</f>
        <v/>
      </c>
      <c r="AC9" s="282" t="str">
        <f aca="false">IFERROR((AC10-AC11)/AC10,"")</f>
        <v/>
      </c>
      <c r="AD9" s="282" t="str">
        <f aca="false">IFERROR((AD10-AD11)/AD10,"")</f>
        <v/>
      </c>
      <c r="AE9" s="282" t="str">
        <f aca="false">IFERROR((AE10-AE11)/AE10,"")</f>
        <v/>
      </c>
      <c r="AF9" s="282" t="str">
        <f aca="false">IFERROR((AF10-AF11)/AF10,"")</f>
        <v/>
      </c>
      <c r="AG9" s="282" t="str">
        <f aca="false">IFERROR((AG10-AG11)/AG10,"")</f>
        <v/>
      </c>
      <c r="AH9" s="282" t="str">
        <f aca="false">IFERROR((AH10-AH11)/AH10,"")</f>
        <v/>
      </c>
      <c r="AI9" s="282" t="str">
        <f aca="false">IFERROR((AI10-AI11)/AI10,"")</f>
        <v/>
      </c>
      <c r="AJ9" s="282" t="str">
        <f aca="false">IFERROR((AJ10-AJ11)/AJ10,"")</f>
        <v/>
      </c>
      <c r="AK9" s="282" t="str">
        <f aca="false">IFERROR((AK10-AK11)/AK10,"")</f>
        <v/>
      </c>
      <c r="AL9" s="282" t="str">
        <f aca="false">IFERROR((AL10-AL11)/AL10,"")</f>
        <v/>
      </c>
      <c r="AM9" s="282" t="str">
        <f aca="false">IFERROR((AM10-AM11)/AM10,"")</f>
        <v/>
      </c>
      <c r="AN9" s="284" t="str">
        <f aca="false">IFERROR((AN10-AN11)/AN10,"")</f>
        <v/>
      </c>
      <c r="AO9" s="285" t="str">
        <f aca="false">IFERROR((AO10-AO11)/AO10,"")</f>
        <v/>
      </c>
      <c r="AP9" s="286" t="str">
        <f aca="false">IFERROR((AP10-AP11)/AP10,"")</f>
        <v/>
      </c>
      <c r="AQ9" s="286" t="str">
        <f aca="false">IFERROR((AQ10-AQ11)/AQ10,"")</f>
        <v/>
      </c>
      <c r="AR9" s="286" t="str">
        <f aca="false">IFERROR((AR10-AR11)/AR10,"")</f>
        <v/>
      </c>
      <c r="AS9" s="286" t="str">
        <f aca="false">IFERROR((AS10-AS11)/AS10,"")</f>
        <v/>
      </c>
      <c r="AT9" s="286" t="str">
        <f aca="false">IFERROR((AT10-AT11)/AT10,"")</f>
        <v/>
      </c>
      <c r="AU9" s="287" t="str">
        <f aca="false">IFERROR((AU10-AU11)/AU10,"")</f>
        <v/>
      </c>
      <c r="AV9" s="288" t="str">
        <f aca="false">IFERROR((AV10-AV11)/AV10,"")</f>
        <v/>
      </c>
    </row>
    <row r="10" customFormat="false" ht="14.25" hidden="false" customHeight="false" outlineLevel="0" collapsed="false">
      <c r="B10" s="289" t="s">
        <v>371</v>
      </c>
      <c r="C10" s="290" t="n">
        <f aca="false" t="array" ref="C10:C10">SUM(IF($B10=DATOS_[Sexo], IF("Dentro"=DATOS_[Check Periodo Ref.], 1/(COUNTIFS(DATOS_[Sexo],$B10,DATOS_[Check Periodo Ref.],"Dentro",DATOS_[id],DATOS_[id])))))</f>
        <v>0</v>
      </c>
      <c r="D10" s="291" t="n">
        <f aca="false">COUNTIFS(DATOS_[AGRUP. VALOR. PTO.],"&lt;&gt;",DATOS_[Sexo],$B10,DATOS_[Check Periodo Ref.],"Dentro")</f>
        <v>0</v>
      </c>
      <c r="E10" s="291" t="n">
        <f aca="false">COUNTIFS(DATOS_[AGRUP. VALOR. PTO.],"&lt;&gt;",DATOS_[Sexo],$B10,DATOS_[Check Periodo Ref.],"Dentro",DATOS_[Check Nº SC Norm],"Sí")</f>
        <v>0</v>
      </c>
      <c r="F10" s="291" t="n">
        <f aca="false">COUNTIFS(DATOS_[AGRUP. VALOR. PTO.],"&lt;&gt;",DATOS_[Sexo],$B10,DATOS_[Check Periodo Ref.],"Dentro",DATOS_[Check Nº SC Anualiz],"Sí")</f>
        <v>0</v>
      </c>
      <c r="G10" s="291" t="n">
        <f aca="false">COUNTIFS(DATOS_[AGRUP. VALOR. PTO.],"&lt;&gt;",DATOS_[Sexo],$B10,DATOS_[Check Periodo Ref.],"Dentro",DATOS_[Check Nº SC Norm y Anualiz],"Sí")</f>
        <v>0</v>
      </c>
      <c r="H10" s="291" t="n">
        <f aca="false">COUNTIFS(DATOS_[AGRUP. VALOR. PTO.],"&lt;&gt;",DATOS_[Sexo],$B10,DATOS_[Check Periodo Ref.],"Dentro",DATOS_[Check Equiparación],"Sí")</f>
        <v>0</v>
      </c>
      <c r="I10" s="292" t="n">
        <f aca="false" t="array" ref="I10:I10">IFERROR( AVERAGE(IF(DATOS_[Sexo]=$B10,IF(DATOS_[Check Equiparado]="Sí",IF(DATOS_[Check Periodo Ref.]="Dentro",DATOS_[SALARIO BASE Eq],0)))), 0)</f>
        <v>0</v>
      </c>
      <c r="J10" s="293" t="n">
        <f aca="false" t="array" ref="J10:J10">IFERROR( (AVERAGE((IF(DATOS_[[Sexo]:[Sexo]]=$B10,IF(DATOS_[[Check Periodo Ref.]:[Check Periodo Ref.]]="Dentro",IF(DATOS_[[Check Equiparado]:[Check Equiparado]]="Sí",IF(DATOS!AE$4="Sí",(1/DATOS_[[% anualiz]:[% anualiz]]),1)*IF(DATOS!AE$5="Sí",1/DATOS_[[% normaliz]:[% normaliz]],1)*(DATOS_[Conc.Sal.01]))))))), 0)</f>
        <v>0</v>
      </c>
      <c r="K10" s="293" t="n">
        <f aca="false" t="array" ref="K10:K10">IFERROR( (AVERAGE((IF(DATOS_[[Sexo]:[Sexo]]=$B10,IF(DATOS_[[Check Periodo Ref.]:[Check Periodo Ref.]]="Dentro",IF(DATOS_[[Check Equiparado]:[Check Equiparado]]="Sí",IF(DATOS!AF$4="Sí",(1/DATOS_[[% anualiz]:[% anualiz]]),1)*IF(DATOS!AF$5="Sí",1/DATOS_[[% normaliz]:[% normaliz]],1)*(DATOS_[Conc.Sal.02]))))))), 0)</f>
        <v>0</v>
      </c>
      <c r="L10" s="293" t="n">
        <f aca="false" t="array" ref="L10:L10">IFERROR( (AVERAGE((IF(DATOS_[[Sexo]:[Sexo]]=$B10,IF(DATOS_[[Check Periodo Ref.]:[Check Periodo Ref.]]="Dentro",IF(DATOS_[[Check Equiparado]:[Check Equiparado]]="Sí",IF(DATOS!AG$4="Sí",(1/DATOS_[[% anualiz]:[% anualiz]]),1)*IF(DATOS!AG$5="Sí",1/DATOS_[[% normaliz]:[% normaliz]],1)*(DATOS_[Conc.Sal.03]))))))), 0)</f>
        <v>0</v>
      </c>
      <c r="M10" s="293" t="n">
        <f aca="false" t="array" ref="M10:M10">IFERROR( (AVERAGE((IF(DATOS_[[Sexo]:[Sexo]]=$B10,IF(DATOS_[[Check Periodo Ref.]:[Check Periodo Ref.]]="Dentro",IF(DATOS_[[Check Equiparado]:[Check Equiparado]]="Sí",IF(DATOS!AH$4="Sí",(1/DATOS_[[% anualiz]:[% anualiz]]),1)*IF(DATOS!AH$5="Sí",1/DATOS_[[% normaliz]:[% normaliz]],1)*(DATOS_[Conc.Sal.04]))))))), 0)</f>
        <v>0</v>
      </c>
      <c r="N10" s="293" t="n">
        <f aca="false" t="array" ref="N10:N10">IFERROR( (AVERAGE((IF(DATOS_[[Sexo]:[Sexo]]=$B10,IF(DATOS_[[Check Periodo Ref.]:[Check Periodo Ref.]]="Dentro",IF(DATOS_[[Check Equiparado]:[Check Equiparado]]="Sí",IF(DATOS!AI$4="Sí",(1/DATOS_[[% anualiz]:[% anualiz]]),1)*IF(DATOS!AI$5="Sí",1/DATOS_[[% normaliz]:[% normaliz]],1)*(DATOS_[Conc.Sal.05]))))))), 0)</f>
        <v>0</v>
      </c>
      <c r="O10" s="293" t="n">
        <f aca="false" t="array" ref="O10:O10">IFERROR( (AVERAGE((IF(DATOS_[[Sexo]:[Sexo]]=$B10,IF(DATOS_[[Check Periodo Ref.]:[Check Periodo Ref.]]="Dentro",IF(DATOS_[[Check Equiparado]:[Check Equiparado]]="Sí",IF(DATOS!AJ$4="Sí",(1/DATOS_[[% anualiz]:[% anualiz]]),1)*IF(DATOS!AJ$5="Sí",1/DATOS_[[% normaliz]:[% normaliz]],1)*(DATOS_[Conc.Sal.06]))))))), 0)</f>
        <v>0</v>
      </c>
      <c r="P10" s="293" t="n">
        <f aca="false" t="array" ref="P10:P10">IFERROR( (AVERAGE((IF(DATOS_[[Sexo]:[Sexo]]=$B10,IF(DATOS_[[Check Periodo Ref.]:[Check Periodo Ref.]]="Dentro",IF(DATOS_[[Check Equiparado]:[Check Equiparado]]="Sí",IF(DATOS!AK$4="Sí",(1/DATOS_[[% anualiz]:[% anualiz]]),1)*IF(DATOS!AK$5="Sí",1/DATOS_[[% normaliz]:[% normaliz]],1)*(DATOS_[Conc.Sal.07]))))))), 0)</f>
        <v>0</v>
      </c>
      <c r="Q10" s="293" t="n">
        <f aca="false" t="array" ref="Q10:Q10">IFERROR( (AVERAGE((IF(DATOS_[[Sexo]:[Sexo]]=$B10,IF(DATOS_[[Check Periodo Ref.]:[Check Periodo Ref.]]="Dentro",IF(DATOS_[[Check Equiparado]:[Check Equiparado]]="Sí",IF(DATOS!AL$4="Sí",(1/DATOS_[[% anualiz]:[% anualiz]]),1)*IF(DATOS!AL$5="Sí",1/DATOS_[[% normaliz]:[% normaliz]],1)*(DATOS_[Conc.Sal.08]))))))), 0)</f>
        <v>0</v>
      </c>
      <c r="R10" s="293" t="n">
        <f aca="false" t="array" ref="R10:R10">IFERROR( (AVERAGE((IF(DATOS_[[Sexo]:[Sexo]]=$B10,IF(DATOS_[[Check Periodo Ref.]:[Check Periodo Ref.]]="Dentro",IF(DATOS_[[Check Equiparado]:[Check Equiparado]]="Sí",IF(DATOS!AM$4="Sí",(1/DATOS_[[% anualiz]:[% anualiz]]),1)*IF(DATOS!AM$5="Sí",1/DATOS_[[% normaliz]:[% normaliz]],1)*(DATOS_[Conc.Sal.09]))))))), 0)</f>
        <v>0</v>
      </c>
      <c r="S10" s="293" t="n">
        <f aca="false" t="array" ref="S10:S10">IFERROR( (AVERAGE((IF(DATOS_[[Sexo]:[Sexo]]=$B10,IF(DATOS_[[Check Periodo Ref.]:[Check Periodo Ref.]]="Dentro",IF(DATOS_[[Check Equiparado]:[Check Equiparado]]="Sí",IF(DATOS!AN$4="Sí",(1/DATOS_[[% anualiz]:[% anualiz]]),1)*IF(DATOS!AN$5="Sí",1/DATOS_[[% normaliz]:[% normaliz]],1)*(DATOS_[Conc.Sal.10]))))))), 0)</f>
        <v>0</v>
      </c>
      <c r="T10" s="293" t="n">
        <f aca="false" t="array" ref="T10:T10">IFERROR( (AVERAGE((IF(DATOS_[[Sexo]:[Sexo]]=$B10,IF(DATOS_[[Check Periodo Ref.]:[Check Periodo Ref.]]="Dentro",IF(DATOS_[[Check Equiparado]:[Check Equiparado]]="Sí",IF(DATOS!AO$4="Sí",(1/DATOS_[[% anualiz]:[% anualiz]]),1)*IF(DATOS!AO$5="Sí",1/DATOS_[[% normaliz]:[% normaliz]],1)*(DATOS_[Conc.Sal.11]))))))), 0)</f>
        <v>0</v>
      </c>
      <c r="U10" s="293" t="n">
        <f aca="false" t="array" ref="U10:U10">IFERROR( (AVERAGE((IF(DATOS_[[Sexo]:[Sexo]]=$B10,IF(DATOS_[[Check Periodo Ref.]:[Check Periodo Ref.]]="Dentro",IF(DATOS_[[Check Equiparado]:[Check Equiparado]]="Sí",IF(DATOS!AP$4="Sí",(1/DATOS_[[% anualiz]:[% anualiz]]),1)*IF(DATOS!AP$5="Sí",1/DATOS_[[% normaliz]:[% normaliz]],1)*(DATOS_[Conc.Sal.12]))))))), 0)</f>
        <v>0</v>
      </c>
      <c r="V10" s="293" t="n">
        <f aca="false" t="array" ref="V10:V10">IFERROR( (AVERAGE((IF(DATOS_[[Sexo]:[Sexo]]=$B10,IF(DATOS_[[Check Periodo Ref.]:[Check Periodo Ref.]]="Dentro",IF(DATOS_[[Check Equiparado]:[Check Equiparado]]="Sí",IF(DATOS!AQ$4="Sí",(1/DATOS_[[% anualiz]:[% anualiz]]),1)*IF(DATOS!AQ$5="Sí",1/DATOS_[[% normaliz]:[% normaliz]],1)*(DATOS_[Conc.Sal.13]))))))), 0)</f>
        <v>0</v>
      </c>
      <c r="W10" s="293" t="n">
        <f aca="false" t="array" ref="W10:W10">IFERROR( (AVERAGE((IF(DATOS_[[Sexo]:[Sexo]]=$B10,IF(DATOS_[[Check Periodo Ref.]:[Check Periodo Ref.]]="Dentro",IF(DATOS_[[Check Equiparado]:[Check Equiparado]]="Sí",IF(DATOS!AR$4="Sí",(1/DATOS_[[% anualiz]:[% anualiz]]),1)*IF(DATOS!AR$5="Sí",1/DATOS_[[% normaliz]:[% normaliz]],1)*(DATOS_[Conc.Sal.14]))))))), 0)</f>
        <v>0</v>
      </c>
      <c r="X10" s="293" t="n">
        <f aca="false" t="array" ref="X10:X10">IFERROR( (AVERAGE((IF(DATOS_[[Sexo]:[Sexo]]=$B10,IF(DATOS_[[Check Periodo Ref.]:[Check Periodo Ref.]]="Dentro",IF(DATOS_[[Check Equiparado]:[Check Equiparado]]="Sí",IF(DATOS!AS$4="Sí",(1/DATOS_[[% anualiz]:[% anualiz]]),1)*IF(DATOS!AS$5="Sí",1/DATOS_[[% normaliz]:[% normaliz]],1)*(DATOS_[Conc.Sal.15]))))))), 0)</f>
        <v>0</v>
      </c>
      <c r="Y10" s="293" t="n">
        <f aca="false" t="array" ref="Y10:Y10">IFERROR( (AVERAGE((IF(DATOS_[[Sexo]:[Sexo]]=$B10,IF(DATOS_[[Check Periodo Ref.]:[Check Periodo Ref.]]="Dentro",IF(DATOS_[[Check Equiparado]:[Check Equiparado]]="Sí",IF(DATOS!AT$4="Sí",(1/DATOS_[[% anualiz]:[% anualiz]]),1)*IF(DATOS!AT$5="Sí",1/DATOS_[[% normaliz]:[% normaliz]],1)*(DATOS_[Conc.Sal.16]))))))), 0)</f>
        <v>0</v>
      </c>
      <c r="Z10" s="293" t="n">
        <f aca="false" t="array" ref="Z10:Z10">IFERROR( (AVERAGE((IF(DATOS_[[Sexo]:[Sexo]]=$B10,IF(DATOS_[[Check Periodo Ref.]:[Check Periodo Ref.]]="Dentro",IF(DATOS_[[Check Equiparado]:[Check Equiparado]]="Sí",IF(DATOS!AU$4="Sí",(1/DATOS_[[% anualiz]:[% anualiz]]),1)*IF(DATOS!AU$5="Sí",1/DATOS_[[% normaliz]:[% normaliz]],1)*(DATOS_[Conc.Sal.17]))))))), 0)</f>
        <v>0</v>
      </c>
      <c r="AA10" s="293" t="n">
        <f aca="false" t="array" ref="AA10:AA10">IFERROR( (AVERAGE((IF(DATOS_[[Sexo]:[Sexo]]=$B10,IF(DATOS_[[Check Periodo Ref.]:[Check Periodo Ref.]]="Dentro",IF(DATOS_[[Check Equiparado]:[Check Equiparado]]="Sí",IF(DATOS!AV$4="Sí",(1/DATOS_[[% anualiz]:[% anualiz]]),1)*IF(DATOS!AV$5="Sí",1/DATOS_[[% normaliz]:[% normaliz]],1)*(DATOS_[Conc.Sal.18]))))))), 0)</f>
        <v>0</v>
      </c>
      <c r="AB10" s="293" t="n">
        <f aca="false" t="array" ref="AB10:AB10">IFERROR( (AVERAGE((IF(DATOS_[[Sexo]:[Sexo]]=$B10,IF(DATOS_[[Check Periodo Ref.]:[Check Periodo Ref.]]="Dentro",IF(DATOS_[[Check Equiparado]:[Check Equiparado]]="Sí",IF(DATOS!AW$4="Sí",(1/DATOS_[[% anualiz]:[% anualiz]]),1)*IF(DATOS!AW$5="Sí",1/DATOS_[[% normaliz]:[% normaliz]],1)*(DATOS_[Conc.Sal.19]))))))), 0)</f>
        <v>0</v>
      </c>
      <c r="AC10" s="293" t="n">
        <f aca="false" t="array" ref="AC10:AC10">IFERROR( (AVERAGE((IF(DATOS_[[Sexo]:[Sexo]]=$B10,IF(DATOS_[[Check Periodo Ref.]:[Check Periodo Ref.]]="Dentro",IF(DATOS_[[Check Equiparado]:[Check Equiparado]]="Sí",IF(DATOS!AX$4="Sí",(1/DATOS_[[% anualiz]:[% anualiz]]),1)*IF(DATOS!AX$5="Sí",1/DATOS_[[% normaliz]:[% normaliz]],1)*(DATOS_[Conc.Sal.20]))))))), 0)</f>
        <v>0</v>
      </c>
      <c r="AD10" s="293" t="n">
        <f aca="false" t="array" ref="AD10:AD10">IFERROR( (AVERAGE((IF(DATOS_[[Sexo]:[Sexo]]=$B10,IF(DATOS_[[Check Periodo Ref.]:[Check Periodo Ref.]]="Dentro",IF(DATOS_[[Check Equiparado]:[Check Equiparado]]="Sí",IF(DATOS!AY$4="Sí",(1/DATOS_[[% anualiz]:[% anualiz]]),1)*IF(DATOS!AY$5="Sí",1/DATOS_[[% normaliz]:[% normaliz]],1)*(DATOS_[Conc.Sal.21]))))))), 0)</f>
        <v>0</v>
      </c>
      <c r="AE10" s="293" t="n">
        <f aca="false" t="array" ref="AE10:AE10">IFERROR( (AVERAGE((IF(DATOS_[[Sexo]:[Sexo]]=$B10,IF(DATOS_[[Check Periodo Ref.]:[Check Periodo Ref.]]="Dentro",IF(DATOS_[[Check Equiparado]:[Check Equiparado]]="Sí",IF(DATOS!AZ$4="Sí",(1/DATOS_[[% anualiz]:[% anualiz]]),1)*IF(DATOS!AZ$5="Sí",1/DATOS_[[% normaliz]:[% normaliz]],1)*(DATOS_[Conc.Sal.22]))))))), 0)</f>
        <v>0</v>
      </c>
      <c r="AF10" s="293" t="n">
        <f aca="false" t="array" ref="AF10:AF10">IFERROR( (AVERAGE((IF(DATOS_[[Sexo]:[Sexo]]=$B10,IF(DATOS_[[Check Periodo Ref.]:[Check Periodo Ref.]]="Dentro",IF(DATOS_[[Check Equiparado]:[Check Equiparado]]="Sí",IF(DATOS!BA$4="Sí",(1/DATOS_[[% anualiz]:[% anualiz]]),1)*IF(DATOS!BA$5="Sí",1/DATOS_[[% normaliz]:[% normaliz]],1)*(DATOS_[Conc.Sal.23]))))))), 0)</f>
        <v>0</v>
      </c>
      <c r="AG10" s="293" t="n">
        <f aca="false" t="array" ref="AG10:AG10">IFERROR( (AVERAGE((IF(DATOS_[[Sexo]:[Sexo]]=$B10,IF(DATOS_[[Check Periodo Ref.]:[Check Periodo Ref.]]="Dentro",IF(DATOS_[[Check Equiparado]:[Check Equiparado]]="Sí",IF(DATOS!BB$4="Sí",(1/DATOS_[[% anualiz]:[% anualiz]]),1)*IF(DATOS!BB$5="Sí",1/DATOS_[[% normaliz]:[% normaliz]],1)*(DATOS_[Conc.Sal.24]))))))), 0)</f>
        <v>0</v>
      </c>
      <c r="AH10" s="293" t="n">
        <f aca="false" t="array" ref="AH10:AH10">IFERROR( (AVERAGE((IF(DATOS_[[Sexo]:[Sexo]]=$B10,IF(DATOS_[[Check Periodo Ref.]:[Check Periodo Ref.]]="Dentro",IF(DATOS_[[Check Equiparado]:[Check Equiparado]]="Sí",IF(DATOS!BC$4="Sí",(1/DATOS_[[% anualiz]:[% anualiz]]),1)*IF(DATOS!BC$5="Sí",1/DATOS_[[% normaliz]:[% normaliz]],1)*(DATOS_[Conc.Sal.25]))))))), 0)</f>
        <v>0</v>
      </c>
      <c r="AI10" s="293" t="n">
        <f aca="false" t="array" ref="AI10:AI10">IFERROR( (AVERAGE((IF(DATOS_[[Sexo]:[Sexo]]=$B10,IF(DATOS_[[Check Periodo Ref.]:[Check Periodo Ref.]]="Dentro",IF(DATOS_[[Check Equiparado]:[Check Equiparado]]="Sí",IF(DATOS!BD$4="Sí",(1/DATOS_[[% anualiz]:[% anualiz]]),1)*IF(DATOS!BD$5="Sí",1/DATOS_[[% normaliz]:[% normaliz]],1)*(DATOS_[Conc.Sal.26]))))))), 0)</f>
        <v>0</v>
      </c>
      <c r="AJ10" s="293" t="n">
        <f aca="false" t="array" ref="AJ10:AJ10">IFERROR( (AVERAGE((IF(DATOS_[[Sexo]:[Sexo]]=$B10,IF(DATOS_[[Check Periodo Ref.]:[Check Periodo Ref.]]="Dentro",IF(DATOS_[[Check Equiparado]:[Check Equiparado]]="Sí",IF(DATOS!BE$4="Sí",(1/DATOS_[[% anualiz]:[% anualiz]]),1)*IF(DATOS!BE$5="Sí",1/DATOS_[[% normaliz]:[% normaliz]],1)*(DATOS_[Conc.Sal.27]))))))), 0)</f>
        <v>0</v>
      </c>
      <c r="AK10" s="293" t="n">
        <f aca="false" t="array" ref="AK10:AK10">IFERROR( (AVERAGE((IF(DATOS_[[Sexo]:[Sexo]]=$B10,IF(DATOS_[[Check Periodo Ref.]:[Check Periodo Ref.]]="Dentro",IF(DATOS_[[Check Equiparado]:[Check Equiparado]]="Sí",IF(DATOS!BF$4="Sí",(1/DATOS_[[% anualiz]:[% anualiz]]),1)*IF(DATOS!BF$5="Sí",1/DATOS_[[% normaliz]:[% normaliz]],1)*(DATOS_[Conc.Sal.28]))))))), 0)</f>
        <v>0</v>
      </c>
      <c r="AL10" s="293" t="n">
        <f aca="false" t="array" ref="AL10:AL10">IFERROR( (AVERAGE((IF(DATOS_[[Sexo]:[Sexo]]=$B10,IF(DATOS_[[Check Periodo Ref.]:[Check Periodo Ref.]]="Dentro",IF(DATOS_[[Check Equiparado]:[Check Equiparado]]="Sí",IF(DATOS!BG$4="Sí",(1/DATOS_[[% anualiz]:[% anualiz]]),1)*IF(DATOS!BG$5="Sí",1/DATOS_[[% normaliz]:[% normaliz]],1)*(DATOS_[Conc.Sal.29]))))))), 0)</f>
        <v>0</v>
      </c>
      <c r="AM10" s="293" t="n">
        <f aca="false" t="array" ref="AM10:AM10">IFERROR( (AVERAGE((IF(DATOS_[[Sexo]:[Sexo]]=$B10,IF(DATOS_[[Check Periodo Ref.]:[Check Periodo Ref.]]="Dentro",IF(DATOS_[[Check Equiparado]:[Check Equiparado]]="Sí",IF(DATOS!BH$4="Sí",(1/DATOS_[[% anualiz]:[% anualiz]]),1)*IF(DATOS!BH$5="Sí",1/DATOS_[[% normaliz]:[% normaliz]],1)*(DATOS_[Conc.Sal.30]))))))), 0)</f>
        <v>0</v>
      </c>
      <c r="AN10" s="294" t="n">
        <f aca="false" t="array" ref="AN10:AN10">IFERROR( AVERAGE(IF(DATOS_[Sexo]=$B10,IF(DATOS_[Check Equiparado]="Sí",IF(DATOS_[Check Periodo Ref.]="Dentro",DATOS_[Tot COMPL.SAL Eq],0)))), 0)</f>
        <v>0</v>
      </c>
      <c r="AO10" s="295" t="n">
        <f aca="false" t="array" ref="AO10:AO10">IFERROR( AVERAGE(IF(DATOS_[Sexo]=$B10,IF(DATOS_[Check Equiparado]="Sí",IF(DATOS_[Check Periodo Ref.]="Dentro",DATOS_[TOTAL SALARIO Eq],0)))), 0)</f>
        <v>0</v>
      </c>
      <c r="AP10" s="296" t="n">
        <f aca="false" t="array" ref="AP10:AP10">IFERROR( (AVERAGE((IF(DATOS_[[Sexo]:[Sexo]]=$B10,IF(DATOS_[[Check Periodo Ref.]:[Check Periodo Ref.]]="Dentro",IF(DATOS_[[Check Equiparado]:[Check Equiparado]]="Sí",IF(DATOS!BI$4="Sí",(1/DATOS_[[% anualiz]:[% anualiz]]),1)*IF(DATOS!BI$5="Sí",1/DATOS_[[% normaliz]:[% normaliz]],1)*(DATOS_[C.Extra.01]))))))), 0)</f>
        <v>0</v>
      </c>
      <c r="AQ10" s="296" t="n">
        <f aca="false" t="array" ref="AQ10:AQ10">IFERROR( (AVERAGE((IF(DATOS_[[Sexo]:[Sexo]]=$B10,IF(DATOS_[[Check Periodo Ref.]:[Check Periodo Ref.]]="Dentro",IF(DATOS_[[Check Equiparado]:[Check Equiparado]]="Sí",IF(DATOS!BJ$4="Sí",(1/DATOS_[[% anualiz]:[% anualiz]]),1)*IF(DATOS!BJ$5="Sí",1/DATOS_[[% normaliz]:[% normaliz]],1)*(DATOS_[C.Extra.02]))))))), 0)</f>
        <v>0</v>
      </c>
      <c r="AR10" s="296" t="n">
        <f aca="false" t="array" ref="AR10:AR10">IFERROR( (AVERAGE((IF(DATOS_[[Sexo]:[Sexo]]=$B10,IF(DATOS_[[Check Periodo Ref.]:[Check Periodo Ref.]]="Dentro",IF(DATOS_[[Check Equiparado]:[Check Equiparado]]="Sí",IF(DATOS!BK$4="Sí",(1/DATOS_[[% anualiz]:[% anualiz]]),1)*IF(DATOS!BK$5="Sí",1/DATOS_[[% normaliz]:[% normaliz]],1)*(DATOS_[C.Extra.03]))))))), 0)</f>
        <v>0</v>
      </c>
      <c r="AS10" s="296" t="n">
        <f aca="false" t="array" ref="AS10:AS10">IFERROR( (AVERAGE((IF(DATOS_[[Sexo]:[Sexo]]=$B10,IF(DATOS_[[Check Periodo Ref.]:[Check Periodo Ref.]]="Dentro",IF(DATOS_[[Check Equiparado]:[Check Equiparado]]="Sí",IF(DATOS!BL$4="Sí",(1/DATOS_[[% anualiz]:[% anualiz]]),1)*IF(DATOS!BL$5="Sí",1/DATOS_[[% normaliz]:[% normaliz]],1)*(DATOS_[C.Extra.04]))))))), 0)</f>
        <v>0</v>
      </c>
      <c r="AT10" s="296" t="n">
        <f aca="false" t="array" ref="AT10:AT10">IFERROR( (AVERAGE((IF(DATOS_[[Sexo]:[Sexo]]=$B10,IF(DATOS_[[Check Periodo Ref.]:[Check Periodo Ref.]]="Dentro",IF(DATOS_[[Check Equiparado]:[Check Equiparado]]="Sí",IF(DATOS!BM$4="Sí",(1/DATOS_[[% anualiz]:[% anualiz]]),1)*IF(DATOS!BM$5="Sí",1/DATOS_[[% normaliz]:[% normaliz]],1)*(DATOS_[C.Extra.05]))))))), 0)</f>
        <v>0</v>
      </c>
      <c r="AU10" s="297" t="n">
        <f aca="false" t="array" ref="AU10:AU10">IFERROR( AVERAGE(IF(DATOS_[Sexo]=$B10,IF(DATOS_[Check Equiparado]="Sí",IF(DATOS_[Check Periodo Ref.]="Dentro",DATOS_[Tot Extrasalarial Eq],0)))), 0)</f>
        <v>0</v>
      </c>
      <c r="AV10" s="298" t="n">
        <f aca="false" t="array" ref="AV10:AV10">IFERROR( AVERAGE(IF(DATOS_[Sexo]=$B10,IF(DATOS_[Check Equiparado]="Sí",IF(DATOS_[Check Periodo Ref.]="Dentro",DATOS_[TOTAL Retrib Eq],0)))), 0)</f>
        <v>0</v>
      </c>
    </row>
    <row r="11" customFormat="false" ht="14.25" hidden="false" customHeight="false" outlineLevel="0" collapsed="false">
      <c r="B11" s="289" t="s">
        <v>372</v>
      </c>
      <c r="C11" s="290" t="n">
        <f aca="false" t="array" ref="C11:C11">SUM(IF($B11=DATOS_[Sexo], IF("Dentro"=DATOS_[Check Periodo Ref.], 1/(COUNTIFS(DATOS_[Sexo],$B11,DATOS_[Check Periodo Ref.],"Dentro",DATOS_[id],DATOS_[id])))))</f>
        <v>0</v>
      </c>
      <c r="D11" s="291" t="n">
        <f aca="false">COUNTIFS(DATOS_[AGRUP. VALOR. PTO.],"&lt;&gt;",DATOS_[Sexo],$B11,DATOS_[Check Periodo Ref.],"Dentro")</f>
        <v>0</v>
      </c>
      <c r="E11" s="291" t="n">
        <f aca="false">COUNTIFS(DATOS_[AGRUP. VALOR. PTO.],"&lt;&gt;",DATOS_[Sexo],$B11,DATOS_[Check Periodo Ref.],"Dentro",DATOS_[Check Nº SC Norm],"Sí")</f>
        <v>0</v>
      </c>
      <c r="F11" s="291" t="n">
        <f aca="false">COUNTIFS(DATOS_[AGRUP. VALOR. PTO.],"&lt;&gt;",DATOS_[Sexo],$B11,DATOS_[Check Periodo Ref.],"Dentro",DATOS_[Check Nº SC Anualiz],"Sí")</f>
        <v>0</v>
      </c>
      <c r="G11" s="291" t="n">
        <f aca="false">COUNTIFS(DATOS_[AGRUP. VALOR. PTO.],"&lt;&gt;",DATOS_[Sexo],$B11,DATOS_[Check Periodo Ref.],"Dentro",DATOS_[Check Nº SC Norm y Anualiz],"Sí")</f>
        <v>0</v>
      </c>
      <c r="H11" s="291" t="n">
        <f aca="false">COUNTIFS(DATOS_[AGRUP. VALOR. PTO.],"&lt;&gt;",DATOS_[Sexo],$B11,DATOS_[Check Periodo Ref.],"Dentro",DATOS_[Check Equiparación],"Sí")</f>
        <v>0</v>
      </c>
      <c r="I11" s="292" t="n">
        <f aca="false" t="array" ref="I11:I11">IFERROR( AVERAGE(IF(DATOS_[Sexo]=$B11,IF(DATOS_[Check Equiparado]="Sí",IF(DATOS_[Check Periodo Ref.]="Dentro",DATOS_[SALARIO BASE Eq],0)))), 0)</f>
        <v>0</v>
      </c>
      <c r="J11" s="293" t="n">
        <f aca="false" t="array" ref="J11:J11">IFERROR( (AVERAGE((IF(DATOS_[[Sexo]:[Sexo]]=$B11,IF(DATOS_[[Check Periodo Ref.]:[Check Periodo Ref.]]="Dentro",IF(DATOS_[[Check Equiparado]:[Check Equiparado]]="Sí",IF(DATOS!AE$4="Sí",(1/DATOS_[[% anualiz]:[% anualiz]]),1)*IF(DATOS!AE$5="Sí",1/DATOS_[[% normaliz]:[% normaliz]],1)*(DATOS_[Conc.Sal.01]))))))), 0)</f>
        <v>0</v>
      </c>
      <c r="K11" s="293" t="n">
        <f aca="false" t="array" ref="K11:K11">IFERROR( (AVERAGE((IF(DATOS_[[Sexo]:[Sexo]]=$B11,IF(DATOS_[[Check Periodo Ref.]:[Check Periodo Ref.]]="Dentro",IF(DATOS_[[Check Equiparado]:[Check Equiparado]]="Sí",IF(DATOS!AF$4="Sí",(1/DATOS_[[% anualiz]:[% anualiz]]),1)*IF(DATOS!AF$5="Sí",1/DATOS_[[% normaliz]:[% normaliz]],1)*(DATOS_[Conc.Sal.02]))))))), 0)</f>
        <v>0</v>
      </c>
      <c r="L11" s="293" t="n">
        <f aca="false" t="array" ref="L11:L11">IFERROR( (AVERAGE((IF(DATOS_[[Sexo]:[Sexo]]=$B11,IF(DATOS_[[Check Periodo Ref.]:[Check Periodo Ref.]]="Dentro",IF(DATOS_[[Check Equiparado]:[Check Equiparado]]="Sí",IF(DATOS!AG$4="Sí",(1/DATOS_[[% anualiz]:[% anualiz]]),1)*IF(DATOS!AG$5="Sí",1/DATOS_[[% normaliz]:[% normaliz]],1)*(DATOS_[Conc.Sal.03]))))))), 0)</f>
        <v>0</v>
      </c>
      <c r="M11" s="293" t="n">
        <f aca="false" t="array" ref="M11:M11">IFERROR( (AVERAGE((IF(DATOS_[[Sexo]:[Sexo]]=$B11,IF(DATOS_[[Check Periodo Ref.]:[Check Periodo Ref.]]="Dentro",IF(DATOS_[[Check Equiparado]:[Check Equiparado]]="Sí",IF(DATOS!AH$4="Sí",(1/DATOS_[[% anualiz]:[% anualiz]]),1)*IF(DATOS!AH$5="Sí",1/DATOS_[[% normaliz]:[% normaliz]],1)*(DATOS_[Conc.Sal.04]))))))), 0)</f>
        <v>0</v>
      </c>
      <c r="N11" s="293" t="n">
        <f aca="false" t="array" ref="N11:N11">IFERROR( (AVERAGE((IF(DATOS_[[Sexo]:[Sexo]]=$B11,IF(DATOS_[[Check Periodo Ref.]:[Check Periodo Ref.]]="Dentro",IF(DATOS_[[Check Equiparado]:[Check Equiparado]]="Sí",IF(DATOS!AI$4="Sí",(1/DATOS_[[% anualiz]:[% anualiz]]),1)*IF(DATOS!AI$5="Sí",1/DATOS_[[% normaliz]:[% normaliz]],1)*(DATOS_[Conc.Sal.05]))))))), 0)</f>
        <v>0</v>
      </c>
      <c r="O11" s="293" t="n">
        <f aca="false" t="array" ref="O11:O11">IFERROR( (AVERAGE((IF(DATOS_[[Sexo]:[Sexo]]=$B11,IF(DATOS_[[Check Periodo Ref.]:[Check Periodo Ref.]]="Dentro",IF(DATOS_[[Check Equiparado]:[Check Equiparado]]="Sí",IF(DATOS!AJ$4="Sí",(1/DATOS_[[% anualiz]:[% anualiz]]),1)*IF(DATOS!AJ$5="Sí",1/DATOS_[[% normaliz]:[% normaliz]],1)*(DATOS_[Conc.Sal.06]))))))), 0)</f>
        <v>0</v>
      </c>
      <c r="P11" s="293" t="n">
        <f aca="false" t="array" ref="P11:P11">IFERROR( (AVERAGE((IF(DATOS_[[Sexo]:[Sexo]]=$B11,IF(DATOS_[[Check Periodo Ref.]:[Check Periodo Ref.]]="Dentro",IF(DATOS_[[Check Equiparado]:[Check Equiparado]]="Sí",IF(DATOS!AK$4="Sí",(1/DATOS_[[% anualiz]:[% anualiz]]),1)*IF(DATOS!AK$5="Sí",1/DATOS_[[% normaliz]:[% normaliz]],1)*(DATOS_[Conc.Sal.07]))))))), 0)</f>
        <v>0</v>
      </c>
      <c r="Q11" s="293" t="n">
        <f aca="false" t="array" ref="Q11:Q11">IFERROR( (AVERAGE((IF(DATOS_[[Sexo]:[Sexo]]=$B11,IF(DATOS_[[Check Periodo Ref.]:[Check Periodo Ref.]]="Dentro",IF(DATOS_[[Check Equiparado]:[Check Equiparado]]="Sí",IF(DATOS!AL$4="Sí",(1/DATOS_[[% anualiz]:[% anualiz]]),1)*IF(DATOS!AL$5="Sí",1/DATOS_[[% normaliz]:[% normaliz]],1)*(DATOS_[Conc.Sal.08]))))))), 0)</f>
        <v>0</v>
      </c>
      <c r="R11" s="293" t="n">
        <f aca="false" t="array" ref="R11:R11">IFERROR( (AVERAGE((IF(DATOS_[[Sexo]:[Sexo]]=$B11,IF(DATOS_[[Check Periodo Ref.]:[Check Periodo Ref.]]="Dentro",IF(DATOS_[[Check Equiparado]:[Check Equiparado]]="Sí",IF(DATOS!AM$4="Sí",(1/DATOS_[[% anualiz]:[% anualiz]]),1)*IF(DATOS!AM$5="Sí",1/DATOS_[[% normaliz]:[% normaliz]],1)*(DATOS_[Conc.Sal.09]))))))), 0)</f>
        <v>0</v>
      </c>
      <c r="S11" s="293" t="n">
        <f aca="false" t="array" ref="S11:S11">IFERROR( (AVERAGE((IF(DATOS_[[Sexo]:[Sexo]]=$B11,IF(DATOS_[[Check Periodo Ref.]:[Check Periodo Ref.]]="Dentro",IF(DATOS_[[Check Equiparado]:[Check Equiparado]]="Sí",IF(DATOS!AN$4="Sí",(1/DATOS_[[% anualiz]:[% anualiz]]),1)*IF(DATOS!AN$5="Sí",1/DATOS_[[% normaliz]:[% normaliz]],1)*(DATOS_[Conc.Sal.10]))))))), 0)</f>
        <v>0</v>
      </c>
      <c r="T11" s="293" t="n">
        <f aca="false" t="array" ref="T11:T11">IFERROR( (AVERAGE((IF(DATOS_[[Sexo]:[Sexo]]=$B11,IF(DATOS_[[Check Periodo Ref.]:[Check Periodo Ref.]]="Dentro",IF(DATOS_[[Check Equiparado]:[Check Equiparado]]="Sí",IF(DATOS!AO$4="Sí",(1/DATOS_[[% anualiz]:[% anualiz]]),1)*IF(DATOS!AO$5="Sí",1/DATOS_[[% normaliz]:[% normaliz]],1)*(DATOS_[Conc.Sal.11]))))))), 0)</f>
        <v>0</v>
      </c>
      <c r="U11" s="293" t="n">
        <f aca="false" t="array" ref="U11:U11">IFERROR( (AVERAGE((IF(DATOS_[[Sexo]:[Sexo]]=$B11,IF(DATOS_[[Check Periodo Ref.]:[Check Periodo Ref.]]="Dentro",IF(DATOS_[[Check Equiparado]:[Check Equiparado]]="Sí",IF(DATOS!AP$4="Sí",(1/DATOS_[[% anualiz]:[% anualiz]]),1)*IF(DATOS!AP$5="Sí",1/DATOS_[[% normaliz]:[% normaliz]],1)*(DATOS_[Conc.Sal.12]))))))), 0)</f>
        <v>0</v>
      </c>
      <c r="V11" s="293" t="n">
        <f aca="false" t="array" ref="V11:V11">IFERROR( (AVERAGE((IF(DATOS_[[Sexo]:[Sexo]]=$B11,IF(DATOS_[[Check Periodo Ref.]:[Check Periodo Ref.]]="Dentro",IF(DATOS_[[Check Equiparado]:[Check Equiparado]]="Sí",IF(DATOS!AQ$4="Sí",(1/DATOS_[[% anualiz]:[% anualiz]]),1)*IF(DATOS!AQ$5="Sí",1/DATOS_[[% normaliz]:[% normaliz]],1)*(DATOS_[Conc.Sal.13]))))))), 0)</f>
        <v>0</v>
      </c>
      <c r="W11" s="293" t="n">
        <f aca="false" t="array" ref="W11:W11">IFERROR( (AVERAGE((IF(DATOS_[[Sexo]:[Sexo]]=$B11,IF(DATOS_[[Check Periodo Ref.]:[Check Periodo Ref.]]="Dentro",IF(DATOS_[[Check Equiparado]:[Check Equiparado]]="Sí",IF(DATOS!AR$4="Sí",(1/DATOS_[[% anualiz]:[% anualiz]]),1)*IF(DATOS!AR$5="Sí",1/DATOS_[[% normaliz]:[% normaliz]],1)*(DATOS_[Conc.Sal.14]))))))), 0)</f>
        <v>0</v>
      </c>
      <c r="X11" s="293" t="n">
        <f aca="false" t="array" ref="X11:X11">IFERROR( (AVERAGE((IF(DATOS_[[Sexo]:[Sexo]]=$B11,IF(DATOS_[[Check Periodo Ref.]:[Check Periodo Ref.]]="Dentro",IF(DATOS_[[Check Equiparado]:[Check Equiparado]]="Sí",IF(DATOS!AS$4="Sí",(1/DATOS_[[% anualiz]:[% anualiz]]),1)*IF(DATOS!AS$5="Sí",1/DATOS_[[% normaliz]:[% normaliz]],1)*(DATOS_[Conc.Sal.15]))))))), 0)</f>
        <v>0</v>
      </c>
      <c r="Y11" s="293" t="n">
        <f aca="false" t="array" ref="Y11:Y11">IFERROR( (AVERAGE((IF(DATOS_[[Sexo]:[Sexo]]=$B11,IF(DATOS_[[Check Periodo Ref.]:[Check Periodo Ref.]]="Dentro",IF(DATOS_[[Check Equiparado]:[Check Equiparado]]="Sí",IF(DATOS!AT$4="Sí",(1/DATOS_[[% anualiz]:[% anualiz]]),1)*IF(DATOS!AT$5="Sí",1/DATOS_[[% normaliz]:[% normaliz]],1)*(DATOS_[Conc.Sal.16]))))))), 0)</f>
        <v>0</v>
      </c>
      <c r="Z11" s="293" t="n">
        <f aca="false" t="array" ref="Z11:Z11">IFERROR( (AVERAGE((IF(DATOS_[[Sexo]:[Sexo]]=$B11,IF(DATOS_[[Check Periodo Ref.]:[Check Periodo Ref.]]="Dentro",IF(DATOS_[[Check Equiparado]:[Check Equiparado]]="Sí",IF(DATOS!AU$4="Sí",(1/DATOS_[[% anualiz]:[% anualiz]]),1)*IF(DATOS!AU$5="Sí",1/DATOS_[[% normaliz]:[% normaliz]],1)*(DATOS_[Conc.Sal.17]))))))), 0)</f>
        <v>0</v>
      </c>
      <c r="AA11" s="293" t="n">
        <f aca="false" t="array" ref="AA11:AA11">IFERROR( (AVERAGE((IF(DATOS_[[Sexo]:[Sexo]]=$B11,IF(DATOS_[[Check Periodo Ref.]:[Check Periodo Ref.]]="Dentro",IF(DATOS_[[Check Equiparado]:[Check Equiparado]]="Sí",IF(DATOS!AV$4="Sí",(1/DATOS_[[% anualiz]:[% anualiz]]),1)*IF(DATOS!AV$5="Sí",1/DATOS_[[% normaliz]:[% normaliz]],1)*(DATOS_[Conc.Sal.18]))))))), 0)</f>
        <v>0</v>
      </c>
      <c r="AB11" s="293" t="n">
        <f aca="false" t="array" ref="AB11:AB11">IFERROR( (AVERAGE((IF(DATOS_[[Sexo]:[Sexo]]=$B11,IF(DATOS_[[Check Periodo Ref.]:[Check Periodo Ref.]]="Dentro",IF(DATOS_[[Check Equiparado]:[Check Equiparado]]="Sí",IF(DATOS!AW$4="Sí",(1/DATOS_[[% anualiz]:[% anualiz]]),1)*IF(DATOS!AW$5="Sí",1/DATOS_[[% normaliz]:[% normaliz]],1)*(DATOS_[Conc.Sal.19]))))))), 0)</f>
        <v>0</v>
      </c>
      <c r="AC11" s="293" t="n">
        <f aca="false" t="array" ref="AC11:AC11">IFERROR( (AVERAGE((IF(DATOS_[[Sexo]:[Sexo]]=$B11,IF(DATOS_[[Check Periodo Ref.]:[Check Periodo Ref.]]="Dentro",IF(DATOS_[[Check Equiparado]:[Check Equiparado]]="Sí",IF(DATOS!AX$4="Sí",(1/DATOS_[[% anualiz]:[% anualiz]]),1)*IF(DATOS!AX$5="Sí",1/DATOS_[[% normaliz]:[% normaliz]],1)*(DATOS_[Conc.Sal.20]))))))), 0)</f>
        <v>0</v>
      </c>
      <c r="AD11" s="293" t="n">
        <f aca="false" t="array" ref="AD11:AD11">IFERROR( (AVERAGE((IF(DATOS_[[Sexo]:[Sexo]]=$B11,IF(DATOS_[[Check Periodo Ref.]:[Check Periodo Ref.]]="Dentro",IF(DATOS_[[Check Equiparado]:[Check Equiparado]]="Sí",IF(DATOS!AY$4="Sí",(1/DATOS_[[% anualiz]:[% anualiz]]),1)*IF(DATOS!AY$5="Sí",1/DATOS_[[% normaliz]:[% normaliz]],1)*(DATOS_[Conc.Sal.21]))))))), 0)</f>
        <v>0</v>
      </c>
      <c r="AE11" s="293" t="n">
        <f aca="false" t="array" ref="AE11:AE11">IFERROR( (AVERAGE((IF(DATOS_[[Sexo]:[Sexo]]=$B11,IF(DATOS_[[Check Periodo Ref.]:[Check Periodo Ref.]]="Dentro",IF(DATOS_[[Check Equiparado]:[Check Equiparado]]="Sí",IF(DATOS!AZ$4="Sí",(1/DATOS_[[% anualiz]:[% anualiz]]),1)*IF(DATOS!AZ$5="Sí",1/DATOS_[[% normaliz]:[% normaliz]],1)*(DATOS_[Conc.Sal.22]))))))), 0)</f>
        <v>0</v>
      </c>
      <c r="AF11" s="293" t="n">
        <f aca="false" t="array" ref="AF11:AF11">IFERROR( (AVERAGE((IF(DATOS_[[Sexo]:[Sexo]]=$B11,IF(DATOS_[[Check Periodo Ref.]:[Check Periodo Ref.]]="Dentro",IF(DATOS_[[Check Equiparado]:[Check Equiparado]]="Sí",IF(DATOS!BA$4="Sí",(1/DATOS_[[% anualiz]:[% anualiz]]),1)*IF(DATOS!BA$5="Sí",1/DATOS_[[% normaliz]:[% normaliz]],1)*(DATOS_[Conc.Sal.23]))))))), 0)</f>
        <v>0</v>
      </c>
      <c r="AG11" s="293" t="n">
        <f aca="false" t="array" ref="AG11:AG11">IFERROR( (AVERAGE((IF(DATOS_[[Sexo]:[Sexo]]=$B11,IF(DATOS_[[Check Periodo Ref.]:[Check Periodo Ref.]]="Dentro",IF(DATOS_[[Check Equiparado]:[Check Equiparado]]="Sí",IF(DATOS!BB$4="Sí",(1/DATOS_[[% anualiz]:[% anualiz]]),1)*IF(DATOS!BB$5="Sí",1/DATOS_[[% normaliz]:[% normaliz]],1)*(DATOS_[Conc.Sal.24]))))))), 0)</f>
        <v>0</v>
      </c>
      <c r="AH11" s="293" t="n">
        <f aca="false" t="array" ref="AH11:AH11">IFERROR( (AVERAGE((IF(DATOS_[[Sexo]:[Sexo]]=$B11,IF(DATOS_[[Check Periodo Ref.]:[Check Periodo Ref.]]="Dentro",IF(DATOS_[[Check Equiparado]:[Check Equiparado]]="Sí",IF(DATOS!BC$4="Sí",(1/DATOS_[[% anualiz]:[% anualiz]]),1)*IF(DATOS!BC$5="Sí",1/DATOS_[[% normaliz]:[% normaliz]],1)*(DATOS_[Conc.Sal.25]))))))), 0)</f>
        <v>0</v>
      </c>
      <c r="AI11" s="293" t="n">
        <f aca="false" t="array" ref="AI11:AI11">IFERROR( (AVERAGE((IF(DATOS_[[Sexo]:[Sexo]]=$B11,IF(DATOS_[[Check Periodo Ref.]:[Check Periodo Ref.]]="Dentro",IF(DATOS_[[Check Equiparado]:[Check Equiparado]]="Sí",IF(DATOS!BD$4="Sí",(1/DATOS_[[% anualiz]:[% anualiz]]),1)*IF(DATOS!BD$5="Sí",1/DATOS_[[% normaliz]:[% normaliz]],1)*(DATOS_[Conc.Sal.26]))))))), 0)</f>
        <v>0</v>
      </c>
      <c r="AJ11" s="293" t="n">
        <f aca="false" t="array" ref="AJ11:AJ11">IFERROR( (AVERAGE((IF(DATOS_[[Sexo]:[Sexo]]=$B11,IF(DATOS_[[Check Periodo Ref.]:[Check Periodo Ref.]]="Dentro",IF(DATOS_[[Check Equiparado]:[Check Equiparado]]="Sí",IF(DATOS!BE$4="Sí",(1/DATOS_[[% anualiz]:[% anualiz]]),1)*IF(DATOS!BE$5="Sí",1/DATOS_[[% normaliz]:[% normaliz]],1)*(DATOS_[Conc.Sal.27]))))))), 0)</f>
        <v>0</v>
      </c>
      <c r="AK11" s="293" t="n">
        <f aca="false" t="array" ref="AK11:AK11">IFERROR( (AVERAGE((IF(DATOS_[[Sexo]:[Sexo]]=$B11,IF(DATOS_[[Check Periodo Ref.]:[Check Periodo Ref.]]="Dentro",IF(DATOS_[[Check Equiparado]:[Check Equiparado]]="Sí",IF(DATOS!BF$4="Sí",(1/DATOS_[[% anualiz]:[% anualiz]]),1)*IF(DATOS!BF$5="Sí",1/DATOS_[[% normaliz]:[% normaliz]],1)*(DATOS_[Conc.Sal.28]))))))), 0)</f>
        <v>0</v>
      </c>
      <c r="AL11" s="293" t="n">
        <f aca="false" t="array" ref="AL11:AL11">IFERROR( (AVERAGE((IF(DATOS_[[Sexo]:[Sexo]]=$B11,IF(DATOS_[[Check Periodo Ref.]:[Check Periodo Ref.]]="Dentro",IF(DATOS_[[Check Equiparado]:[Check Equiparado]]="Sí",IF(DATOS!BG$4="Sí",(1/DATOS_[[% anualiz]:[% anualiz]]),1)*IF(DATOS!BG$5="Sí",1/DATOS_[[% normaliz]:[% normaliz]],1)*(DATOS_[Conc.Sal.29]))))))), 0)</f>
        <v>0</v>
      </c>
      <c r="AM11" s="293" t="n">
        <f aca="false" t="array" ref="AM11:AM11">IFERROR( (AVERAGE((IF(DATOS_[[Sexo]:[Sexo]]=$B11,IF(DATOS_[[Check Periodo Ref.]:[Check Periodo Ref.]]="Dentro",IF(DATOS_[[Check Equiparado]:[Check Equiparado]]="Sí",IF(DATOS!BH$4="Sí",(1/DATOS_[[% anualiz]:[% anualiz]]),1)*IF(DATOS!BH$5="Sí",1/DATOS_[[% normaliz]:[% normaliz]],1)*(DATOS_[Conc.Sal.30]))))))), 0)</f>
        <v>0</v>
      </c>
      <c r="AN11" s="294" t="n">
        <f aca="false" t="array" ref="AN11:AN11">IFERROR( AVERAGE(IF(DATOS_[Sexo]=$B11,IF(DATOS_[Check Equiparado]="Sí",IF(DATOS_[Check Periodo Ref.]="Dentro",DATOS_[Tot COMPL.SAL Eq],0)))), 0)</f>
        <v>0</v>
      </c>
      <c r="AO11" s="295" t="n">
        <f aca="false" t="array" ref="AO11:AO11">IFERROR( AVERAGE(IF(DATOS_[Sexo]=$B11,IF(DATOS_[Check Equiparado]="Sí",IF(DATOS_[Check Periodo Ref.]="Dentro",DATOS_[TOTAL SALARIO Eq],0)))), 0)</f>
        <v>0</v>
      </c>
      <c r="AP11" s="296" t="n">
        <f aca="false" t="array" ref="AP11:AP11">IFERROR( (AVERAGE((IF(DATOS_[[Sexo]:[Sexo]]=$B11,IF(DATOS_[[Check Periodo Ref.]:[Check Periodo Ref.]]="Dentro",IF(DATOS_[[Check Equiparado]:[Check Equiparado]]="Sí",IF(DATOS!BI$4="Sí",(1/DATOS_[[% anualiz]:[% anualiz]]),1)*IF(DATOS!BI$5="Sí",1/DATOS_[[% normaliz]:[% normaliz]],1)*(DATOS_[C.Extra.01]))))))), 0)</f>
        <v>0</v>
      </c>
      <c r="AQ11" s="296" t="n">
        <f aca="false" t="array" ref="AQ11:AQ11">IFERROR( (AVERAGE((IF(DATOS_[[Sexo]:[Sexo]]=$B11,IF(DATOS_[[Check Periodo Ref.]:[Check Periodo Ref.]]="Dentro",IF(DATOS_[[Check Equiparado]:[Check Equiparado]]="Sí",IF(DATOS!BJ$4="Sí",(1/DATOS_[[% anualiz]:[% anualiz]]),1)*IF(DATOS!BJ$5="Sí",1/DATOS_[[% normaliz]:[% normaliz]],1)*(DATOS_[C.Extra.02]))))))), 0)</f>
        <v>0</v>
      </c>
      <c r="AR11" s="296" t="n">
        <f aca="false" t="array" ref="AR11:AR11">IFERROR( (AVERAGE((IF(DATOS_[[Sexo]:[Sexo]]=$B11,IF(DATOS_[[Check Periodo Ref.]:[Check Periodo Ref.]]="Dentro",IF(DATOS_[[Check Equiparado]:[Check Equiparado]]="Sí",IF(DATOS!BK$4="Sí",(1/DATOS_[[% anualiz]:[% anualiz]]),1)*IF(DATOS!BK$5="Sí",1/DATOS_[[% normaliz]:[% normaliz]],1)*(DATOS_[C.Extra.03]))))))), 0)</f>
        <v>0</v>
      </c>
      <c r="AS11" s="296" t="n">
        <f aca="false" t="array" ref="AS11:AS11">IFERROR( (AVERAGE((IF(DATOS_[[Sexo]:[Sexo]]=$B11,IF(DATOS_[[Check Periodo Ref.]:[Check Periodo Ref.]]="Dentro",IF(DATOS_[[Check Equiparado]:[Check Equiparado]]="Sí",IF(DATOS!BL$4="Sí",(1/DATOS_[[% anualiz]:[% anualiz]]),1)*IF(DATOS!BL$5="Sí",1/DATOS_[[% normaliz]:[% normaliz]],1)*(DATOS_[C.Extra.04]))))))), 0)</f>
        <v>0</v>
      </c>
      <c r="AT11" s="296" t="n">
        <f aca="false" t="array" ref="AT11:AT11">IFERROR( (AVERAGE((IF(DATOS_[[Sexo]:[Sexo]]=$B11,IF(DATOS_[[Check Periodo Ref.]:[Check Periodo Ref.]]="Dentro",IF(DATOS_[[Check Equiparado]:[Check Equiparado]]="Sí",IF(DATOS!BM$4="Sí",(1/DATOS_[[% anualiz]:[% anualiz]]),1)*IF(DATOS!BM$5="Sí",1/DATOS_[[% normaliz]:[% normaliz]],1)*(DATOS_[C.Extra.05]))))))), 0)</f>
        <v>0</v>
      </c>
      <c r="AU11" s="297" t="n">
        <f aca="false" t="array" ref="AU11:AU11">IFERROR( AVERAGE(IF(DATOS_[Sexo]=$B11,IF(DATOS_[Check Equiparado]="Sí",IF(DATOS_[Check Periodo Ref.]="Dentro",DATOS_[Tot Extrasalarial Eq],0)))), 0)</f>
        <v>0</v>
      </c>
      <c r="AV11" s="298" t="n">
        <f aca="false" t="array" ref="AV11:AV11">IFERROR( AVERAGE(IF(DATOS_[Sexo]=$B11,IF(DATOS_[Check Equiparado]="Sí",IF(DATOS_[Check Periodo Ref.]="Dentro",DATOS_[TOTAL Retrib Eq],0)))), 0)</f>
        <v>0</v>
      </c>
    </row>
    <row r="12" customFormat="false" ht="14.25" hidden="false" customHeight="false" outlineLevel="0" collapsed="false">
      <c r="D12" s="299"/>
      <c r="E12" s="299"/>
      <c r="F12" s="299"/>
      <c r="G12" s="299"/>
      <c r="H12" s="299"/>
      <c r="N12" s="300"/>
      <c r="O12" s="301"/>
      <c r="P12" s="301"/>
      <c r="Q12" s="301"/>
      <c r="R12" s="301"/>
      <c r="S12" s="301"/>
      <c r="T12" s="301"/>
      <c r="U12" s="301"/>
      <c r="V12" s="301"/>
      <c r="W12" s="301"/>
      <c r="X12" s="301"/>
      <c r="Y12" s="301"/>
      <c r="Z12" s="300"/>
      <c r="AA12" s="300"/>
      <c r="AB12" s="300"/>
      <c r="AC12" s="300"/>
      <c r="AD12" s="300"/>
      <c r="AE12" s="300"/>
      <c r="AF12" s="300"/>
      <c r="AG12" s="300"/>
      <c r="AH12" s="300"/>
      <c r="AI12" s="300"/>
      <c r="AJ12" s="300"/>
      <c r="AK12" s="300"/>
      <c r="AL12" s="300"/>
      <c r="AM12" s="300"/>
      <c r="AP12" s="301"/>
      <c r="AQ12" s="301"/>
      <c r="AR12" s="301"/>
      <c r="AS12" s="301"/>
      <c r="AT12" s="301"/>
    </row>
    <row r="13" customFormat="false" ht="14.25" hidden="false" customHeight="false" outlineLevel="0" collapsed="false">
      <c r="D13" s="299"/>
      <c r="E13" s="299"/>
      <c r="F13" s="299"/>
      <c r="G13" s="299"/>
      <c r="H13" s="299"/>
      <c r="N13" s="300"/>
      <c r="O13" s="301"/>
      <c r="P13" s="301"/>
      <c r="Q13" s="301"/>
      <c r="R13" s="301"/>
      <c r="S13" s="301"/>
      <c r="T13" s="301"/>
      <c r="U13" s="301"/>
      <c r="V13" s="301"/>
      <c r="W13" s="301"/>
      <c r="X13" s="301"/>
      <c r="Y13" s="301"/>
      <c r="Z13" s="300"/>
      <c r="AA13" s="300"/>
      <c r="AB13" s="300"/>
      <c r="AC13" s="300"/>
      <c r="AD13" s="300"/>
      <c r="AE13" s="300"/>
      <c r="AF13" s="300"/>
      <c r="AG13" s="300"/>
      <c r="AH13" s="300"/>
      <c r="AI13" s="300"/>
      <c r="AJ13" s="300"/>
      <c r="AK13" s="300"/>
      <c r="AL13" s="300"/>
      <c r="AM13" s="300"/>
      <c r="AP13" s="301"/>
      <c r="AQ13" s="301"/>
      <c r="AR13" s="301"/>
      <c r="AS13" s="301"/>
      <c r="AT13" s="301"/>
    </row>
    <row r="14" s="267" customFormat="true" ht="46.15" hidden="false" customHeight="true" outlineLevel="0" collapsed="false">
      <c r="B14" s="268"/>
      <c r="C14" s="268" t="s">
        <v>368</v>
      </c>
      <c r="D14" s="268" t="s">
        <v>369</v>
      </c>
      <c r="E14" s="268" t="s">
        <v>260</v>
      </c>
      <c r="F14" s="268" t="s">
        <v>262</v>
      </c>
      <c r="G14" s="268" t="s">
        <v>264</v>
      </c>
      <c r="H14" s="268" t="s">
        <v>373</v>
      </c>
      <c r="I14" s="269" t="s">
        <v>268</v>
      </c>
      <c r="J14" s="270" t="str">
        <f aca="false">+J8</f>
        <v>[ocultar]</v>
      </c>
      <c r="K14" s="270" t="str">
        <f aca="false">+K8</f>
        <v>[ocultar]</v>
      </c>
      <c r="L14" s="270" t="str">
        <f aca="false">+L8</f>
        <v>[ocultar]</v>
      </c>
      <c r="M14" s="270" t="str">
        <f aca="false">+M8</f>
        <v>[ocultar]</v>
      </c>
      <c r="N14" s="270" t="str">
        <f aca="false">+N8</f>
        <v>[ocultar]</v>
      </c>
      <c r="O14" s="270" t="str">
        <f aca="false">+O8</f>
        <v>[ocultar]</v>
      </c>
      <c r="P14" s="270" t="str">
        <f aca="false">+P8</f>
        <v>[ocultar]</v>
      </c>
      <c r="Q14" s="270" t="str">
        <f aca="false">+Q8</f>
        <v>[ocultar]</v>
      </c>
      <c r="R14" s="270" t="str">
        <f aca="false">+R8</f>
        <v>[ocultar]</v>
      </c>
      <c r="S14" s="270" t="str">
        <f aca="false">+S8</f>
        <v>[ocultar]</v>
      </c>
      <c r="T14" s="270" t="str">
        <f aca="false">+T8</f>
        <v>[ocultar]</v>
      </c>
      <c r="U14" s="270" t="str">
        <f aca="false">+U8</f>
        <v>[ocultar]</v>
      </c>
      <c r="V14" s="270" t="str">
        <f aca="false">+V8</f>
        <v>[ocultar]</v>
      </c>
      <c r="W14" s="270" t="str">
        <f aca="false">+W8</f>
        <v>[ocultar]</v>
      </c>
      <c r="X14" s="270" t="str">
        <f aca="false">+X8</f>
        <v>[ocultar]</v>
      </c>
      <c r="Y14" s="270" t="str">
        <f aca="false">+Y8</f>
        <v>[ocultar]</v>
      </c>
      <c r="Z14" s="270" t="str">
        <f aca="false">+Z8</f>
        <v>[ocultar]</v>
      </c>
      <c r="AA14" s="270" t="str">
        <f aca="false">+AA8</f>
        <v>[ocultar]</v>
      </c>
      <c r="AB14" s="270" t="str">
        <f aca="false">+AB8</f>
        <v>[ocultar]</v>
      </c>
      <c r="AC14" s="270" t="str">
        <f aca="false">+AC8</f>
        <v>[ocultar]</v>
      </c>
      <c r="AD14" s="270" t="str">
        <f aca="false">+AD8</f>
        <v>[ocultar]</v>
      </c>
      <c r="AE14" s="270" t="str">
        <f aca="false">+AE8</f>
        <v>[ocultar]</v>
      </c>
      <c r="AF14" s="270" t="str">
        <f aca="false">+AF8</f>
        <v>[ocultar]</v>
      </c>
      <c r="AG14" s="270" t="str">
        <f aca="false">+AG8</f>
        <v>[ocultar]</v>
      </c>
      <c r="AH14" s="270" t="str">
        <f aca="false">+AH8</f>
        <v>[ocultar]</v>
      </c>
      <c r="AI14" s="270" t="str">
        <f aca="false">+AI8</f>
        <v>[ocultar]</v>
      </c>
      <c r="AJ14" s="270" t="str">
        <f aca="false">+AJ8</f>
        <v>[ocultar]</v>
      </c>
      <c r="AK14" s="270" t="str">
        <f aca="false">+AK8</f>
        <v>[ocultar]</v>
      </c>
      <c r="AL14" s="270" t="str">
        <f aca="false">+AL8</f>
        <v>[ocultar]</v>
      </c>
      <c r="AM14" s="270" t="str">
        <f aca="false">+AM8</f>
        <v>[ocultar]</v>
      </c>
      <c r="AN14" s="271" t="s">
        <v>269</v>
      </c>
      <c r="AO14" s="272" t="s">
        <v>270</v>
      </c>
      <c r="AP14" s="273" t="str">
        <f aca="false">+AP8</f>
        <v>[ocultar]</v>
      </c>
      <c r="AQ14" s="273" t="str">
        <f aca="false">+AQ8</f>
        <v>[ocultar]</v>
      </c>
      <c r="AR14" s="273" t="str">
        <f aca="false">+AR8</f>
        <v>[ocultar]</v>
      </c>
      <c r="AS14" s="273" t="str">
        <f aca="false">+AS8</f>
        <v>[ocultar]</v>
      </c>
      <c r="AT14" s="273" t="str">
        <f aca="false">+AT8</f>
        <v>[ocultar]</v>
      </c>
      <c r="AU14" s="274" t="s">
        <v>271</v>
      </c>
      <c r="AV14" s="275" t="s">
        <v>272</v>
      </c>
    </row>
    <row r="15" customFormat="false" ht="15.75" hidden="false" customHeight="false" outlineLevel="0" collapsed="false">
      <c r="A15" s="166" t="str">
        <f aca="false">+A16</f>
        <v>[ocultar]</v>
      </c>
      <c r="B15" s="276" t="s">
        <v>174</v>
      </c>
      <c r="C15" s="277"/>
      <c r="D15" s="278"/>
      <c r="E15" s="278"/>
      <c r="F15" s="278"/>
      <c r="G15" s="278"/>
      <c r="H15" s="278"/>
      <c r="I15" s="279" t="str">
        <f aca="false">IFERROR((I16-I17)/I16,"")</f>
        <v/>
      </c>
      <c r="J15" s="280" t="str">
        <f aca="false">IFERROR((J16-J17)/J16,"")</f>
        <v/>
      </c>
      <c r="K15" s="281" t="str">
        <f aca="false">IFERROR((K16-K17)/K16,"")</f>
        <v/>
      </c>
      <c r="L15" s="281" t="str">
        <f aca="false">IFERROR((L16-L17)/L16,"")</f>
        <v/>
      </c>
      <c r="M15" s="281" t="str">
        <f aca="false">IFERROR((M16-M17)/M16,"")</f>
        <v/>
      </c>
      <c r="N15" s="282" t="str">
        <f aca="false">IFERROR((N16-N17)/N16,"")</f>
        <v/>
      </c>
      <c r="O15" s="283" t="str">
        <f aca="false">IFERROR((O16-O17)/O16,"")</f>
        <v/>
      </c>
      <c r="P15" s="283" t="str">
        <f aca="false">IFERROR((P16-P17)/P16,"")</f>
        <v/>
      </c>
      <c r="Q15" s="283" t="str">
        <f aca="false">IFERROR((Q16-Q17)/Q16,"")</f>
        <v/>
      </c>
      <c r="R15" s="283" t="str">
        <f aca="false">IFERROR((R16-R17)/R16,"")</f>
        <v/>
      </c>
      <c r="S15" s="283" t="str">
        <f aca="false">IFERROR((S16-S17)/S16,"")</f>
        <v/>
      </c>
      <c r="T15" s="283" t="str">
        <f aca="false">IFERROR((T16-T17)/T16,"")</f>
        <v/>
      </c>
      <c r="U15" s="283" t="str">
        <f aca="false">IFERROR((U16-U17)/U16,"")</f>
        <v/>
      </c>
      <c r="V15" s="283" t="str">
        <f aca="false">IFERROR((V16-V17)/V16,"")</f>
        <v/>
      </c>
      <c r="W15" s="283" t="str">
        <f aca="false">IFERROR((W16-W17)/W16,"")</f>
        <v/>
      </c>
      <c r="X15" s="283" t="str">
        <f aca="false">IFERROR((X16-X17)/X16,"")</f>
        <v/>
      </c>
      <c r="Y15" s="283" t="str">
        <f aca="false">IFERROR((Y16-Y17)/Y16,"")</f>
        <v/>
      </c>
      <c r="Z15" s="282" t="str">
        <f aca="false">IFERROR((Z16-Z17)/Z16,"")</f>
        <v/>
      </c>
      <c r="AA15" s="282" t="str">
        <f aca="false">IFERROR((AA16-AA17)/AA16,"")</f>
        <v/>
      </c>
      <c r="AB15" s="282" t="str">
        <f aca="false">IFERROR((AB16-AB17)/AB16,"")</f>
        <v/>
      </c>
      <c r="AC15" s="282" t="str">
        <f aca="false">IFERROR((AC16-AC17)/AC16,"")</f>
        <v/>
      </c>
      <c r="AD15" s="282" t="str">
        <f aca="false">IFERROR((AD16-AD17)/AD16,"")</f>
        <v/>
      </c>
      <c r="AE15" s="282" t="str">
        <f aca="false">IFERROR((AE16-AE17)/AE16,"")</f>
        <v/>
      </c>
      <c r="AF15" s="282" t="str">
        <f aca="false">IFERROR((AF16-AF17)/AF16,"")</f>
        <v/>
      </c>
      <c r="AG15" s="282" t="str">
        <f aca="false">IFERROR((AG16-AG17)/AG16,"")</f>
        <v/>
      </c>
      <c r="AH15" s="282" t="str">
        <f aca="false">IFERROR((AH16-AH17)/AH16,"")</f>
        <v/>
      </c>
      <c r="AI15" s="282" t="str">
        <f aca="false">IFERROR((AI16-AI17)/AI16,"")</f>
        <v/>
      </c>
      <c r="AJ15" s="282" t="str">
        <f aca="false">IFERROR((AJ16-AJ17)/AJ16,"")</f>
        <v/>
      </c>
      <c r="AK15" s="282" t="str">
        <f aca="false">IFERROR((AK16-AK17)/AK16,"")</f>
        <v/>
      </c>
      <c r="AL15" s="282" t="str">
        <f aca="false">IFERROR((AL16-AL17)/AL16,"")</f>
        <v/>
      </c>
      <c r="AM15" s="282" t="str">
        <f aca="false">IFERROR((AM16-AM17)/AM16,"")</f>
        <v/>
      </c>
      <c r="AN15" s="284" t="str">
        <f aca="false">IFERROR((AN16-AN17)/AN16,"")</f>
        <v/>
      </c>
      <c r="AO15" s="285" t="str">
        <f aca="false">IFERROR((AO16-AO17)/AO16,"")</f>
        <v/>
      </c>
      <c r="AP15" s="286" t="str">
        <f aca="false">IFERROR((AP16-AP17)/AP16,"")</f>
        <v/>
      </c>
      <c r="AQ15" s="286" t="str">
        <f aca="false">IFERROR((AQ16-AQ17)/AQ16,"")</f>
        <v/>
      </c>
      <c r="AR15" s="286" t="str">
        <f aca="false">IFERROR((AR16-AR17)/AR16,"")</f>
        <v/>
      </c>
      <c r="AS15" s="286" t="str">
        <f aca="false">IFERROR((AS16-AS17)/AS16,"")</f>
        <v/>
      </c>
      <c r="AT15" s="286" t="str">
        <f aca="false">IFERROR((AT16-AT17)/AT16,"")</f>
        <v/>
      </c>
      <c r="AU15" s="287" t="str">
        <f aca="false">IFERROR((AU16-AU17)/AU16,"")</f>
        <v/>
      </c>
      <c r="AV15" s="288" t="str">
        <f aca="false">IFERROR((AV16-AV17)/AV16,"")</f>
        <v/>
      </c>
    </row>
    <row r="16" customFormat="false" ht="14.25" hidden="false" customHeight="false" outlineLevel="0" collapsed="false">
      <c r="A16" s="166" t="str">
        <f aca="false">+IF(C16+C17=0,"[ocultar]","")</f>
        <v>[ocultar]</v>
      </c>
      <c r="B16" s="289" t="s">
        <v>371</v>
      </c>
      <c r="C16" s="290" t="n">
        <f aca="false" t="array" ref="C16:C16">SUM(IF($B16=DATOS_[Sexo], IF($B15=DATOS_[AGRUP. VALOR. PTO.], IF("Dentro"=DATOS_[Check Periodo Ref.], 1/(COUNTIFS(DATOS_[Sexo],$B16,DATOS_[AGRUP. VALOR. PTO.],$B15,DATOS_[Check Periodo Ref.],"Dentro",DATOS_[id],DATOS_[id]))))))</f>
        <v>0</v>
      </c>
      <c r="D16" s="291" t="n">
        <f aca="false">COUNTIFS(DATOS_[AGRUP. VALOR. PTO.],$B15,DATOS_[Sexo],$B16,DATOS_[Check Periodo Ref.],"Dentro")</f>
        <v>0</v>
      </c>
      <c r="E16" s="291" t="n">
        <f aca="false">COUNTIFS(DATOS_[AGRUP. VALOR. PTO.],$B15,DATOS_[Sexo],$B16,DATOS_[Check Periodo Ref.],"Dentro",DATOS_[Check Nº SC Norm],"Sí")</f>
        <v>0</v>
      </c>
      <c r="F16" s="291" t="n">
        <f aca="false">COUNTIFS(DATOS_[AGRUP. VALOR. PTO.],$B15,DATOS_[Sexo],$B16,DATOS_[Check Periodo Ref.],"Dentro",DATOS_[Check Nº SC Anualiz],"Sí")</f>
        <v>0</v>
      </c>
      <c r="G16" s="291" t="n">
        <f aca="false">COUNTIFS(DATOS_[AGRUP. VALOR. PTO.],$B15,DATOS_[Sexo],$B16,DATOS_[Check Periodo Ref.],"Dentro",DATOS_[Check Nº SC Norm y Anualiz],"Sí")</f>
        <v>0</v>
      </c>
      <c r="H16" s="291" t="n">
        <f aca="false">COUNTIFS(DATOS_[AGRUP. VALOR. PTO.],$B15,DATOS_[Sexo],$B16,DATOS_[Check Periodo Ref.],"Dentro",DATOS_[Check Equiparación],"Sí")</f>
        <v>0</v>
      </c>
      <c r="I16" s="292" t="n">
        <f aca="false" t="array" ref="I16:I16">IFERROR( AVERAGE(IF(DATOS_[Sexo]=$B16,IF(DATOS_[[AGRUP. VALOR. PTO.]:[AGRUP. VALOR. PTO.]]=$B15,IF(DATOS_[Check Equiparado]="Sí",IF(DATOS_[Check Periodo Ref.]="Dentro",DATOS_[SALARIO BASE Eq],0))))), 0)</f>
        <v>0</v>
      </c>
      <c r="J16" s="302" t="n">
        <f aca="false" t="array" ref="J16:J16">IFERROR( (AVERAGE((IF(DATOS_[[Sexo]:[Sexo]]=$B16,IF(DATOS_[[AGRUP. VALOR. PTO.]:[AGRUP. VALOR. PTO.]]=$B15,IF(DATOS_[[Check Periodo Ref.]:[Check Periodo Ref.]]="Dentro",IF(DATOS_[[Check Equiparado]:[Check Equiparado]]="Sí",IF(DATOS!AE$4="Sí",(1/DATOS_[[% anualiz]:[% anualiz]]),1)*IF(DATOS!AE$5="Sí",1/DATOS_[[% normaliz]:[% normaliz]],1)*(DATOS_[Conc.Sal.01])))))))), 0)</f>
        <v>0</v>
      </c>
      <c r="K16" s="302" t="n">
        <f aca="false" t="array" ref="K16:K16">IFERROR( (AVERAGE((IF(DATOS_[[Sexo]:[Sexo]]=$B16,IF(DATOS_[[AGRUP. VALOR. PTO.]:[AGRUP. VALOR. PTO.]]=$B15,IF(DATOS_[[Check Periodo Ref.]:[Check Periodo Ref.]]="Dentro",IF(DATOS_[[Check Equiparado]:[Check Equiparado]]="Sí",IF(DATOS!AF$4="Sí",(1/DATOS_[[% anualiz]:[% anualiz]]),1)*IF(DATOS!AF$5="Sí",1/DATOS_[[% normaliz]:[% normaliz]],1)*(DATOS_[Conc.Sal.02])))))))), 0)</f>
        <v>0</v>
      </c>
      <c r="L16" s="302" t="n">
        <f aca="false" t="array" ref="L16:L16">IFERROR( (AVERAGE((IF(DATOS_[[Sexo]:[Sexo]]=$B16,IF(DATOS_[[AGRUP. VALOR. PTO.]:[AGRUP. VALOR. PTO.]]=$B15,IF(DATOS_[[Check Periodo Ref.]:[Check Periodo Ref.]]="Dentro",IF(DATOS_[[Check Equiparado]:[Check Equiparado]]="Sí",IF(DATOS!AG$4="Sí",(1/DATOS_[[% anualiz]:[% anualiz]]),1)*IF(DATOS!AG$5="Sí",1/DATOS_[[% normaliz]:[% normaliz]],1)*(DATOS_[Conc.Sal.03])))))))), 0)</f>
        <v>0</v>
      </c>
      <c r="M16" s="302" t="n">
        <f aca="false" t="array" ref="M16:M16">IFERROR( (AVERAGE((IF(DATOS_[[Sexo]:[Sexo]]=$B16,IF(DATOS_[[AGRUP. VALOR. PTO.]:[AGRUP. VALOR. PTO.]]=$B15,IF(DATOS_[[Check Periodo Ref.]:[Check Periodo Ref.]]="Dentro",IF(DATOS_[[Check Equiparado]:[Check Equiparado]]="Sí",IF(DATOS!AH$4="Sí",(1/DATOS_[[% anualiz]:[% anualiz]]),1)*IF(DATOS!AH$5="Sí",1/DATOS_[[% normaliz]:[% normaliz]],1)*(DATOS_[Conc.Sal.04])))))))), 0)</f>
        <v>0</v>
      </c>
      <c r="N16" s="302" t="n">
        <f aca="false" t="array" ref="N16:N16">IFERROR( (AVERAGE((IF(DATOS_[[Sexo]:[Sexo]]=$B16,IF(DATOS_[[AGRUP. VALOR. PTO.]:[AGRUP. VALOR. PTO.]]=$B15,IF(DATOS_[[Check Periodo Ref.]:[Check Periodo Ref.]]="Dentro",IF(DATOS_[[Check Equiparado]:[Check Equiparado]]="Sí",IF(DATOS!AI$4="Sí",(1/DATOS_[[% anualiz]:[% anualiz]]),1)*IF(DATOS!AI$5="Sí",1/DATOS_[[% normaliz]:[% normaliz]],1)*(DATOS_[Conc.Sal.05])))))))), 0)</f>
        <v>0</v>
      </c>
      <c r="O16" s="302" t="n">
        <f aca="false" t="array" ref="O16:O16">IFERROR( (AVERAGE((IF(DATOS_[[Sexo]:[Sexo]]=$B16,IF(DATOS_[[AGRUP. VALOR. PTO.]:[AGRUP. VALOR. PTO.]]=$B15,IF(DATOS_[[Check Periodo Ref.]:[Check Periodo Ref.]]="Dentro",IF(DATOS_[[Check Equiparado]:[Check Equiparado]]="Sí",IF(DATOS!AJ$4="Sí",(1/DATOS_[[% anualiz]:[% anualiz]]),1)*IF(DATOS!AJ$5="Sí",1/DATOS_[[% normaliz]:[% normaliz]],1)*(DATOS_[Conc.Sal.06])))))))), 0)</f>
        <v>0</v>
      </c>
      <c r="P16" s="302" t="n">
        <f aca="false" t="array" ref="P16:P16">IFERROR( (AVERAGE((IF(DATOS_[[Sexo]:[Sexo]]=$B16,IF(DATOS_[[AGRUP. VALOR. PTO.]:[AGRUP. VALOR. PTO.]]=$B15,IF(DATOS_[[Check Periodo Ref.]:[Check Periodo Ref.]]="Dentro",IF(DATOS_[[Check Equiparado]:[Check Equiparado]]="Sí",IF(DATOS!AK$4="Sí",(1/DATOS_[[% anualiz]:[% anualiz]]),1)*IF(DATOS!AK$5="Sí",1/DATOS_[[% normaliz]:[% normaliz]],1)*(DATOS_[Conc.Sal.07])))))))), 0)</f>
        <v>0</v>
      </c>
      <c r="Q16" s="302" t="n">
        <f aca="false" t="array" ref="Q16:Q16">IFERROR( (AVERAGE((IF(DATOS_[[Sexo]:[Sexo]]=$B16,IF(DATOS_[[AGRUP. VALOR. PTO.]:[AGRUP. VALOR. PTO.]]=$B15,IF(DATOS_[[Check Periodo Ref.]:[Check Periodo Ref.]]="Dentro",IF(DATOS_[[Check Equiparado]:[Check Equiparado]]="Sí",IF(DATOS!AL$4="Sí",(1/DATOS_[[% anualiz]:[% anualiz]]),1)*IF(DATOS!AL$5="Sí",1/DATOS_[[% normaliz]:[% normaliz]],1)*(DATOS_[Conc.Sal.08])))))))), 0)</f>
        <v>0</v>
      </c>
      <c r="R16" s="302" t="n">
        <f aca="false" t="array" ref="R16:R16">IFERROR( (AVERAGE((IF(DATOS_[[Sexo]:[Sexo]]=$B16,IF(DATOS_[[AGRUP. VALOR. PTO.]:[AGRUP. VALOR. PTO.]]=$B15,IF(DATOS_[[Check Periodo Ref.]:[Check Periodo Ref.]]="Dentro",IF(DATOS_[[Check Equiparado]:[Check Equiparado]]="Sí",IF(DATOS!AM$4="Sí",(1/DATOS_[[% anualiz]:[% anualiz]]),1)*IF(DATOS!AM$5="Sí",1/DATOS_[[% normaliz]:[% normaliz]],1)*(DATOS_[Conc.Sal.09])))))))), 0)</f>
        <v>0</v>
      </c>
      <c r="S16" s="302" t="n">
        <f aca="false" t="array" ref="S16:S16">IFERROR( (AVERAGE((IF(DATOS_[[Sexo]:[Sexo]]=$B16,IF(DATOS_[[AGRUP. VALOR. PTO.]:[AGRUP. VALOR. PTO.]]=$B15,IF(DATOS_[[Check Periodo Ref.]:[Check Periodo Ref.]]="Dentro",IF(DATOS_[[Check Equiparado]:[Check Equiparado]]="Sí",IF(DATOS!AN$4="Sí",(1/DATOS_[[% anualiz]:[% anualiz]]),1)*IF(DATOS!AN$5="Sí",1/DATOS_[[% normaliz]:[% normaliz]],1)*(DATOS_[Conc.Sal.10])))))))), 0)</f>
        <v>0</v>
      </c>
      <c r="T16" s="302" t="n">
        <f aca="false" t="array" ref="T16:T16">IFERROR( (AVERAGE((IF(DATOS_[[Sexo]:[Sexo]]=$B16,IF(DATOS_[[AGRUP. VALOR. PTO.]:[AGRUP. VALOR. PTO.]]=$B15,IF(DATOS_[[Check Periodo Ref.]:[Check Periodo Ref.]]="Dentro",IF(DATOS_[[Check Equiparado]:[Check Equiparado]]="Sí",IF(DATOS!AO$4="Sí",(1/DATOS_[[% anualiz]:[% anualiz]]),1)*IF(DATOS!AO$5="Sí",1/DATOS_[[% normaliz]:[% normaliz]],1)*(DATOS_[Conc.Sal.11])))))))), 0)</f>
        <v>0</v>
      </c>
      <c r="U16" s="302" t="n">
        <f aca="false" t="array" ref="U16:U16">IFERROR( (AVERAGE((IF(DATOS_[[Sexo]:[Sexo]]=$B16,IF(DATOS_[[AGRUP. VALOR. PTO.]:[AGRUP. VALOR. PTO.]]=$B15,IF(DATOS_[[Check Periodo Ref.]:[Check Periodo Ref.]]="Dentro",IF(DATOS_[[Check Equiparado]:[Check Equiparado]]="Sí",IF(DATOS!AP$4="Sí",(1/DATOS_[[% anualiz]:[% anualiz]]),1)*IF(DATOS!AP$5="Sí",1/DATOS_[[% normaliz]:[% normaliz]],1)*(DATOS_[Conc.Sal.12])))))))), 0)</f>
        <v>0</v>
      </c>
      <c r="V16" s="302" t="n">
        <f aca="false" t="array" ref="V16:V16">IFERROR( (AVERAGE((IF(DATOS_[[Sexo]:[Sexo]]=$B16,IF(DATOS_[[AGRUP. VALOR. PTO.]:[AGRUP. VALOR. PTO.]]=$B15,IF(DATOS_[[Check Periodo Ref.]:[Check Periodo Ref.]]="Dentro",IF(DATOS_[[Check Equiparado]:[Check Equiparado]]="Sí",IF(DATOS!AQ$4="Sí",(1/DATOS_[[% anualiz]:[% anualiz]]),1)*IF(DATOS!AQ$5="Sí",1/DATOS_[[% normaliz]:[% normaliz]],1)*(DATOS_[Conc.Sal.13])))))))), 0)</f>
        <v>0</v>
      </c>
      <c r="W16" s="302" t="n">
        <f aca="false" t="array" ref="W16:W16">IFERROR( (AVERAGE((IF(DATOS_[[Sexo]:[Sexo]]=$B16,IF(DATOS_[[AGRUP. VALOR. PTO.]:[AGRUP. VALOR. PTO.]]=$B15,IF(DATOS_[[Check Periodo Ref.]:[Check Periodo Ref.]]="Dentro",IF(DATOS_[[Check Equiparado]:[Check Equiparado]]="Sí",IF(DATOS!AR$4="Sí",(1/DATOS_[[% anualiz]:[% anualiz]]),1)*IF(DATOS!AR$5="Sí",1/DATOS_[[% normaliz]:[% normaliz]],1)*(DATOS_[Conc.Sal.14])))))))), 0)</f>
        <v>0</v>
      </c>
      <c r="X16" s="302" t="n">
        <f aca="false" t="array" ref="X16:X16">IFERROR( (AVERAGE((IF(DATOS_[[Sexo]:[Sexo]]=$B16,IF(DATOS_[[AGRUP. VALOR. PTO.]:[AGRUP. VALOR. PTO.]]=$B15,IF(DATOS_[[Check Periodo Ref.]:[Check Periodo Ref.]]="Dentro",IF(DATOS_[[Check Equiparado]:[Check Equiparado]]="Sí",IF(DATOS!AS$4="Sí",(1/DATOS_[[% anualiz]:[% anualiz]]),1)*IF(DATOS!AS$5="Sí",1/DATOS_[[% normaliz]:[% normaliz]],1)*(DATOS_[Conc.Sal.15])))))))), 0)</f>
        <v>0</v>
      </c>
      <c r="Y16" s="302" t="n">
        <f aca="false" t="array" ref="Y16:Y16">IFERROR( (AVERAGE((IF(DATOS_[[Sexo]:[Sexo]]=$B16,IF(DATOS_[[AGRUP. VALOR. PTO.]:[AGRUP. VALOR. PTO.]]=$B15,IF(DATOS_[[Check Periodo Ref.]:[Check Periodo Ref.]]="Dentro",IF(DATOS_[[Check Equiparado]:[Check Equiparado]]="Sí",IF(DATOS!AT$4="Sí",(1/DATOS_[[% anualiz]:[% anualiz]]),1)*IF(DATOS!AT$5="Sí",1/DATOS_[[% normaliz]:[% normaliz]],1)*(DATOS_[Conc.Sal.16])))))))), 0)</f>
        <v>0</v>
      </c>
      <c r="Z16" s="302" t="n">
        <f aca="false" t="array" ref="Z16:Z16">IFERROR( (AVERAGE((IF(DATOS_[[Sexo]:[Sexo]]=$B16,IF(DATOS_[[AGRUP. VALOR. PTO.]:[AGRUP. VALOR. PTO.]]=$B15,IF(DATOS_[[Check Periodo Ref.]:[Check Periodo Ref.]]="Dentro",IF(DATOS_[[Check Equiparado]:[Check Equiparado]]="Sí",IF(DATOS!AU$4="Sí",(1/DATOS_[[% anualiz]:[% anualiz]]),1)*IF(DATOS!AU$5="Sí",1/DATOS_[[% normaliz]:[% normaliz]],1)*(DATOS_[Conc.Sal.17])))))))), 0)</f>
        <v>0</v>
      </c>
      <c r="AA16" s="302" t="n">
        <f aca="false" t="array" ref="AA16:AA16">IFERROR( (AVERAGE((IF(DATOS_[[Sexo]:[Sexo]]=$B16,IF(DATOS_[[AGRUP. VALOR. PTO.]:[AGRUP. VALOR. PTO.]]=$B15,IF(DATOS_[[Check Periodo Ref.]:[Check Periodo Ref.]]="Dentro",IF(DATOS_[[Check Equiparado]:[Check Equiparado]]="Sí",IF(DATOS!AV$4="Sí",(1/DATOS_[[% anualiz]:[% anualiz]]),1)*IF(DATOS!AV$5="Sí",1/DATOS_[[% normaliz]:[% normaliz]],1)*(DATOS_[Conc.Sal.18])))))))), 0)</f>
        <v>0</v>
      </c>
      <c r="AB16" s="302" t="n">
        <f aca="false" t="array" ref="AB16:AB16">IFERROR( (AVERAGE((IF(DATOS_[[Sexo]:[Sexo]]=$B16,IF(DATOS_[[AGRUP. VALOR. PTO.]:[AGRUP. VALOR. PTO.]]=$B15,IF(DATOS_[[Check Periodo Ref.]:[Check Periodo Ref.]]="Dentro",IF(DATOS_[[Check Equiparado]:[Check Equiparado]]="Sí",IF(DATOS!AW$4="Sí",(1/DATOS_[[% anualiz]:[% anualiz]]),1)*IF(DATOS!AW$5="Sí",1/DATOS_[[% normaliz]:[% normaliz]],1)*(DATOS_[Conc.Sal.19])))))))), 0)</f>
        <v>0</v>
      </c>
      <c r="AC16" s="302" t="n">
        <f aca="false" t="array" ref="AC16:AC16">IFERROR( (AVERAGE((IF(DATOS_[[Sexo]:[Sexo]]=$B16,IF(DATOS_[[AGRUP. VALOR. PTO.]:[AGRUP. VALOR. PTO.]]=$B15,IF(DATOS_[[Check Periodo Ref.]:[Check Periodo Ref.]]="Dentro",IF(DATOS_[[Check Equiparado]:[Check Equiparado]]="Sí",IF(DATOS!AX$4="Sí",(1/DATOS_[[% anualiz]:[% anualiz]]),1)*IF(DATOS!AX$5="Sí",1/DATOS_[[% normaliz]:[% normaliz]],1)*(DATOS_[Conc.Sal.20])))))))), 0)</f>
        <v>0</v>
      </c>
      <c r="AD16" s="302" t="n">
        <f aca="false" t="array" ref="AD16:AD16">IFERROR( (AVERAGE((IF(DATOS_[[Sexo]:[Sexo]]=$B16,IF(DATOS_[[AGRUP. VALOR. PTO.]:[AGRUP. VALOR. PTO.]]=$B15,IF(DATOS_[[Check Periodo Ref.]:[Check Periodo Ref.]]="Dentro",IF(DATOS_[[Check Equiparado]:[Check Equiparado]]="Sí",IF(DATOS!AY$4="Sí",(1/DATOS_[[% anualiz]:[% anualiz]]),1)*IF(DATOS!AY$5="Sí",1/DATOS_[[% normaliz]:[% normaliz]],1)*(DATOS_[Conc.Sal.21])))))))), 0)</f>
        <v>0</v>
      </c>
      <c r="AE16" s="302" t="n">
        <f aca="false" t="array" ref="AE16:AE16">IFERROR( (AVERAGE((IF(DATOS_[[Sexo]:[Sexo]]=$B16,IF(DATOS_[[AGRUP. VALOR. PTO.]:[AGRUP. VALOR. PTO.]]=$B15,IF(DATOS_[[Check Periodo Ref.]:[Check Periodo Ref.]]="Dentro",IF(DATOS_[[Check Equiparado]:[Check Equiparado]]="Sí",IF(DATOS!AZ$4="Sí",(1/DATOS_[[% anualiz]:[% anualiz]]),1)*IF(DATOS!AZ$5="Sí",1/DATOS_[[% normaliz]:[% normaliz]],1)*(DATOS_[Conc.Sal.22])))))))), 0)</f>
        <v>0</v>
      </c>
      <c r="AF16" s="302" t="n">
        <f aca="false" t="array" ref="AF16:AF16">IFERROR( (AVERAGE((IF(DATOS_[[Sexo]:[Sexo]]=$B16,IF(DATOS_[[AGRUP. VALOR. PTO.]:[AGRUP. VALOR. PTO.]]=$B15,IF(DATOS_[[Check Periodo Ref.]:[Check Periodo Ref.]]="Dentro",IF(DATOS_[[Check Equiparado]:[Check Equiparado]]="Sí",IF(DATOS!BA$4="Sí",(1/DATOS_[[% anualiz]:[% anualiz]]),1)*IF(DATOS!BA$5="Sí",1/DATOS_[[% normaliz]:[% normaliz]],1)*(DATOS_[Conc.Sal.23])))))))), 0)</f>
        <v>0</v>
      </c>
      <c r="AG16" s="302" t="n">
        <f aca="false" t="array" ref="AG16:AG16">IFERROR( (AVERAGE((IF(DATOS_[[Sexo]:[Sexo]]=$B16,IF(DATOS_[[AGRUP. VALOR. PTO.]:[AGRUP. VALOR. PTO.]]=$B15,IF(DATOS_[[Check Periodo Ref.]:[Check Periodo Ref.]]="Dentro",IF(DATOS_[[Check Equiparado]:[Check Equiparado]]="Sí",IF(DATOS!BB$4="Sí",(1/DATOS_[[% anualiz]:[% anualiz]]),1)*IF(DATOS!BB$5="Sí",1/DATOS_[[% normaliz]:[% normaliz]],1)*(DATOS_[Conc.Sal.24])))))))), 0)</f>
        <v>0</v>
      </c>
      <c r="AH16" s="302" t="n">
        <f aca="false" t="array" ref="AH16:AH16">IFERROR( (AVERAGE((IF(DATOS_[[Sexo]:[Sexo]]=$B16,IF(DATOS_[[AGRUP. VALOR. PTO.]:[AGRUP. VALOR. PTO.]]=$B15,IF(DATOS_[[Check Periodo Ref.]:[Check Periodo Ref.]]="Dentro",IF(DATOS_[[Check Equiparado]:[Check Equiparado]]="Sí",IF(DATOS!BC$4="Sí",(1/DATOS_[[% anualiz]:[% anualiz]]),1)*IF(DATOS!BC$5="Sí",1/DATOS_[[% normaliz]:[% normaliz]],1)*(DATOS_[Conc.Sal.25])))))))), 0)</f>
        <v>0</v>
      </c>
      <c r="AI16" s="302" t="n">
        <f aca="false" t="array" ref="AI16:AI16">IFERROR( (AVERAGE((IF(DATOS_[[Sexo]:[Sexo]]=$B16,IF(DATOS_[[AGRUP. VALOR. PTO.]:[AGRUP. VALOR. PTO.]]=$B15,IF(DATOS_[[Check Periodo Ref.]:[Check Periodo Ref.]]="Dentro",IF(DATOS_[[Check Equiparado]:[Check Equiparado]]="Sí",IF(DATOS!BD$4="Sí",(1/DATOS_[[% anualiz]:[% anualiz]]),1)*IF(DATOS!BD$5="Sí",1/DATOS_[[% normaliz]:[% normaliz]],1)*(DATOS_[Conc.Sal.26])))))))), 0)</f>
        <v>0</v>
      </c>
      <c r="AJ16" s="302" t="n">
        <f aca="false" t="array" ref="AJ16:AJ16">IFERROR( (AVERAGE((IF(DATOS_[[Sexo]:[Sexo]]=$B16,IF(DATOS_[[AGRUP. VALOR. PTO.]:[AGRUP. VALOR. PTO.]]=$B15,IF(DATOS_[[Check Periodo Ref.]:[Check Periodo Ref.]]="Dentro",IF(DATOS_[[Check Equiparado]:[Check Equiparado]]="Sí",IF(DATOS!BE$4="Sí",(1/DATOS_[[% anualiz]:[% anualiz]]),1)*IF(DATOS!BE$5="Sí",1/DATOS_[[% normaliz]:[% normaliz]],1)*(DATOS_[Conc.Sal.27])))))))), 0)</f>
        <v>0</v>
      </c>
      <c r="AK16" s="302" t="n">
        <f aca="false" t="array" ref="AK16:AK16">IFERROR( (AVERAGE((IF(DATOS_[[Sexo]:[Sexo]]=$B16,IF(DATOS_[[AGRUP. VALOR. PTO.]:[AGRUP. VALOR. PTO.]]=$B15,IF(DATOS_[[Check Periodo Ref.]:[Check Periodo Ref.]]="Dentro",IF(DATOS_[[Check Equiparado]:[Check Equiparado]]="Sí",IF(DATOS!BF$4="Sí",(1/DATOS_[[% anualiz]:[% anualiz]]),1)*IF(DATOS!BF$5="Sí",1/DATOS_[[% normaliz]:[% normaliz]],1)*(DATOS_[Conc.Sal.28])))))))), 0)</f>
        <v>0</v>
      </c>
      <c r="AL16" s="302" t="n">
        <f aca="false" t="array" ref="AL16:AL16">IFERROR( (AVERAGE((IF(DATOS_[[Sexo]:[Sexo]]=$B16,IF(DATOS_[[AGRUP. VALOR. PTO.]:[AGRUP. VALOR. PTO.]]=$B15,IF(DATOS_[[Check Periodo Ref.]:[Check Periodo Ref.]]="Dentro",IF(DATOS_[[Check Equiparado]:[Check Equiparado]]="Sí",IF(DATOS!BG$4="Sí",(1/DATOS_[[% anualiz]:[% anualiz]]),1)*IF(DATOS!BG$5="Sí",1/DATOS_[[% normaliz]:[% normaliz]],1)*(DATOS_[Conc.Sal.29])))))))), 0)</f>
        <v>0</v>
      </c>
      <c r="AM16" s="302" t="n">
        <f aca="false" t="array" ref="AM16:AM16">IFERROR( (AVERAGE((IF(DATOS_[[Sexo]:[Sexo]]=$B16,IF(DATOS_[[AGRUP. VALOR. PTO.]:[AGRUP. VALOR. PTO.]]=$B15,IF(DATOS_[[Check Periodo Ref.]:[Check Periodo Ref.]]="Dentro",IF(DATOS_[[Check Equiparado]:[Check Equiparado]]="Sí",IF(DATOS!BH$4="Sí",(1/DATOS_[[% anualiz]:[% anualiz]]),1)*IF(DATOS!BH$5="Sí",1/DATOS_[[% normaliz]:[% normaliz]],1)*(DATOS_[Conc.Sal.30])))))))), 0)</f>
        <v>0</v>
      </c>
      <c r="AN16" s="294" t="n">
        <f aca="false" t="array" ref="AN16:AN16">IFERROR( AVERAGE(IF(DATOS_[Sexo]=$B16,IF(DATOS_[[AGRUP. VALOR. PTO.]:[AGRUP. VALOR. PTO.]]=$B15,IF(DATOS_[Check Equiparado]="Sí",IF(DATOS_[Check Periodo Ref.]="Dentro",DATOS_[Tot COMPL.SAL Eq],0))))), 0)</f>
        <v>0</v>
      </c>
      <c r="AO16" s="295" t="n">
        <f aca="false" t="array" ref="AO16:AO16">IFERROR( AVERAGE(IF(DATOS_[Sexo]=$B16,IF(DATOS_[[AGRUP. VALOR. PTO.]:[AGRUP. VALOR. PTO.]]=$B15,IF(DATOS_[Check Equiparado]="Sí",IF(DATOS_[Check Periodo Ref.]="Dentro",DATOS_[TOTAL SALARIO Eq],0))))), 0)</f>
        <v>0</v>
      </c>
      <c r="AP16" s="303" t="n">
        <f aca="false" t="array" ref="AP16:AP16">IFERROR( (AVERAGE((IF(DATOS_[[Sexo]:[Sexo]]=$B16,IF(DATOS_[[AGRUP. VALOR. PTO.]:[AGRUP. VALOR. PTO.]]=$B15,IF(DATOS_[[Check Periodo Ref.]:[Check Periodo Ref.]]="Dentro",IF(DATOS_[[Check Equiparado]:[Check Equiparado]]="Sí",IF(DATOS!BI$4="Sí",(1/DATOS_[[% anualiz]:[% anualiz]]),1)*IF(DATOS!BI$5="Sí",1/DATOS_[[% normaliz]:[% normaliz]],1)*(DATOS_[C.Extra.01])))))))), 0)</f>
        <v>0</v>
      </c>
      <c r="AQ16" s="303" t="n">
        <f aca="false" t="array" ref="AQ16:AQ16">IFERROR( (AVERAGE((IF(DATOS_[[Sexo]:[Sexo]]=$B16,IF(DATOS_[[AGRUP. VALOR. PTO.]:[AGRUP. VALOR. PTO.]]=$B15,IF(DATOS_[[Check Periodo Ref.]:[Check Periodo Ref.]]="Dentro",IF(DATOS_[[Check Equiparado]:[Check Equiparado]]="Sí",IF(DATOS!BJ$4="Sí",(1/DATOS_[[% anualiz]:[% anualiz]]),1)*IF(DATOS!BJ$5="Sí",1/DATOS_[[% normaliz]:[% normaliz]],1)*(DATOS_[C.Extra.02])))))))), 0)</f>
        <v>0</v>
      </c>
      <c r="AR16" s="303" t="n">
        <f aca="false" t="array" ref="AR16:AR16">IFERROR( (AVERAGE((IF(DATOS_[[Sexo]:[Sexo]]=$B16,IF(DATOS_[[AGRUP. VALOR. PTO.]:[AGRUP. VALOR. PTO.]]=$B15,IF(DATOS_[[Check Periodo Ref.]:[Check Periodo Ref.]]="Dentro",IF(DATOS_[[Check Equiparado]:[Check Equiparado]]="Sí",IF(DATOS!BK$4="Sí",(1/DATOS_[[% anualiz]:[% anualiz]]),1)*IF(DATOS!BK$5="Sí",1/DATOS_[[% normaliz]:[% normaliz]],1)*(DATOS_[C.Extra.03])))))))), 0)</f>
        <v>0</v>
      </c>
      <c r="AS16" s="303" t="n">
        <f aca="false" t="array" ref="AS16:AS16">IFERROR( (AVERAGE((IF(DATOS_[[Sexo]:[Sexo]]=$B16,IF(DATOS_[[AGRUP. VALOR. PTO.]:[AGRUP. VALOR. PTO.]]=$B15,IF(DATOS_[[Check Periodo Ref.]:[Check Periodo Ref.]]="Dentro",IF(DATOS_[[Check Equiparado]:[Check Equiparado]]="Sí",IF(DATOS!BL$4="Sí",(1/DATOS_[[% anualiz]:[% anualiz]]),1)*IF(DATOS!BL$5="Sí",1/DATOS_[[% normaliz]:[% normaliz]],1)*(DATOS_[C.Extra.04])))))))), 0)</f>
        <v>0</v>
      </c>
      <c r="AT16" s="303" t="n">
        <f aca="false" t="array" ref="AT16:AT16">IFERROR( (AVERAGE((IF(DATOS_[[Sexo]:[Sexo]]=$B16,IF(DATOS_[[AGRUP. VALOR. PTO.]:[AGRUP. VALOR. PTO.]]=$B15,IF(DATOS_[[Check Periodo Ref.]:[Check Periodo Ref.]]="Dentro",IF(DATOS_[[Check Equiparado]:[Check Equiparado]]="Sí",IF(DATOS!BM$4="Sí",(1/DATOS_[[% anualiz]:[% anualiz]]),1)*IF(DATOS!BM$5="Sí",1/DATOS_[[% normaliz]:[% normaliz]],1)*(DATOS_[C.Extra.05])))))))), 0)</f>
        <v>0</v>
      </c>
      <c r="AU16" s="297" t="n">
        <f aca="false" t="array" ref="AU16:AU16">IFERROR( AVERAGE(IF(DATOS_[Sexo]=$B16,IF(DATOS_[[AGRUP. VALOR. PTO.]:[AGRUP. VALOR. PTO.]]=$B15,IF(DATOS_[Check Equiparado]="Sí",IF(DATOS_[Check Periodo Ref.]="Dentro",DATOS_[Tot Extrasalarial Eq],0))))), 0)</f>
        <v>0</v>
      </c>
      <c r="AV16" s="298" t="n">
        <f aca="false" t="array" ref="AV16:AV16">IFERROR( AVERAGE(IF(DATOS_[Sexo]=$B16,IF(DATOS_[[AGRUP. VALOR. PTO.]:[AGRUP. VALOR. PTO.]]=$B15,IF(DATOS_[Check Equiparado]="Sí",IF(DATOS_[Check Periodo Ref.]="Dentro",DATOS_[TOTAL Retrib Eq],0))))), 0)</f>
        <v>0</v>
      </c>
    </row>
    <row r="17" customFormat="false" ht="14.25" hidden="false" customHeight="false" outlineLevel="0" collapsed="false">
      <c r="A17" s="166" t="str">
        <f aca="false">+A16</f>
        <v>[ocultar]</v>
      </c>
      <c r="B17" s="289" t="s">
        <v>372</v>
      </c>
      <c r="C17" s="290" t="n">
        <f aca="false" t="array" ref="C17:C17">SUM(IF($B17=DATOS_[Sexo], IF($B15=DATOS_[AGRUP. VALOR. PTO.], IF("Dentro"=DATOS_[Check Periodo Ref.], 1/(COUNTIFS(DATOS_[Sexo],$B17,DATOS_[AGRUP. VALOR. PTO.],$B15,DATOS_[Check Periodo Ref.],"Dentro",DATOS_[id],DATOS_[id]))))))</f>
        <v>0</v>
      </c>
      <c r="D17" s="291" t="n">
        <f aca="false">COUNTIFS(DATOS_[AGRUP. VALOR. PTO.],$B15,DATOS_[Sexo],$B17,DATOS_[Check Periodo Ref.],"Dentro")</f>
        <v>0</v>
      </c>
      <c r="E17" s="291" t="n">
        <f aca="false">COUNTIFS(DATOS_[AGRUP. VALOR. PTO.],$B15,DATOS_[Sexo],$B17,DATOS_[Check Periodo Ref.],"Dentro",DATOS_[Check Nº SC Norm],"Sí")</f>
        <v>0</v>
      </c>
      <c r="F17" s="291" t="n">
        <f aca="false">COUNTIFS(DATOS_[AGRUP. VALOR. PTO.],$B15,DATOS_[Sexo],$B17,DATOS_[Check Periodo Ref.],"Dentro",DATOS_[Check Nº SC Anualiz],"Sí")</f>
        <v>0</v>
      </c>
      <c r="G17" s="291" t="n">
        <f aca="false">COUNTIFS(DATOS_[AGRUP. VALOR. PTO.],$B15,DATOS_[Sexo],$B17,DATOS_[Check Periodo Ref.],"Dentro",DATOS_[Check Nº SC Norm y Anualiz],"Sí")</f>
        <v>0</v>
      </c>
      <c r="H17" s="291" t="n">
        <f aca="false">COUNTIFS(DATOS_[AGRUP. VALOR. PTO.],$B15,DATOS_[Sexo],$B17,DATOS_[Check Periodo Ref.],"Dentro",DATOS_[Check Equiparación],"Sí")</f>
        <v>0</v>
      </c>
      <c r="I17" s="292" t="n">
        <f aca="false" t="array" ref="I17:I17">IFERROR( AVERAGE(IF(DATOS_[Sexo]=$B17,IF(DATOS_[[AGRUP. VALOR. PTO.]:[AGRUP. VALOR. PTO.]]=$B15,IF(DATOS_[Check Equiparado]="Sí",IF(DATOS_[Check Periodo Ref.]="Dentro",DATOS_[SALARIO BASE Eq],0))))), 0)</f>
        <v>0</v>
      </c>
      <c r="J17" s="302" t="n">
        <f aca="false" t="array" ref="J17:J17">IFERROR( (AVERAGE((IF(DATOS_[[Sexo]:[Sexo]]=$B17,IF(DATOS_[[AGRUP. VALOR. PTO.]:[AGRUP. VALOR. PTO.]]=$B15,IF(DATOS_[[Check Periodo Ref.]:[Check Periodo Ref.]]="Dentro",IF(DATOS_[[Check Equiparado]:[Check Equiparado]]="Sí",IF(DATOS!AE$4="Sí",(1/DATOS_[[% anualiz]:[% anualiz]]),1)*IF(DATOS!AE$5="Sí",1/DATOS_[[% normaliz]:[% normaliz]],1)*(DATOS_[Conc.Sal.01])))))))), 0)</f>
        <v>0</v>
      </c>
      <c r="K17" s="302" t="n">
        <f aca="false" t="array" ref="K17:K17">IFERROR( (AVERAGE((IF(DATOS_[[Sexo]:[Sexo]]=$B17,IF(DATOS_[[AGRUP. VALOR. PTO.]:[AGRUP. VALOR. PTO.]]=$B15,IF(DATOS_[[Check Periodo Ref.]:[Check Periodo Ref.]]="Dentro",IF(DATOS_[[Check Equiparado]:[Check Equiparado]]="Sí",IF(DATOS!AF$4="Sí",(1/DATOS_[[% anualiz]:[% anualiz]]),1)*IF(DATOS!AF$5="Sí",1/DATOS_[[% normaliz]:[% normaliz]],1)*(DATOS_[Conc.Sal.02])))))))), 0)</f>
        <v>0</v>
      </c>
      <c r="L17" s="302" t="n">
        <f aca="false" t="array" ref="L17:L17">IFERROR( (AVERAGE((IF(DATOS_[[Sexo]:[Sexo]]=$B17,IF(DATOS_[[AGRUP. VALOR. PTO.]:[AGRUP. VALOR. PTO.]]=$B15,IF(DATOS_[[Check Periodo Ref.]:[Check Periodo Ref.]]="Dentro",IF(DATOS_[[Check Equiparado]:[Check Equiparado]]="Sí",IF(DATOS!AG$4="Sí",(1/DATOS_[[% anualiz]:[% anualiz]]),1)*IF(DATOS!AG$5="Sí",1/DATOS_[[% normaliz]:[% normaliz]],1)*(DATOS_[Conc.Sal.03])))))))), 0)</f>
        <v>0</v>
      </c>
      <c r="M17" s="302" t="n">
        <f aca="false" t="array" ref="M17:M17">IFERROR( (AVERAGE((IF(DATOS_[[Sexo]:[Sexo]]=$B17,IF(DATOS_[[AGRUP. VALOR. PTO.]:[AGRUP. VALOR. PTO.]]=$B15,IF(DATOS_[[Check Periodo Ref.]:[Check Periodo Ref.]]="Dentro",IF(DATOS_[[Check Equiparado]:[Check Equiparado]]="Sí",IF(DATOS!AH$4="Sí",(1/DATOS_[[% anualiz]:[% anualiz]]),1)*IF(DATOS!AH$5="Sí",1/DATOS_[[% normaliz]:[% normaliz]],1)*(DATOS_[Conc.Sal.04])))))))), 0)</f>
        <v>0</v>
      </c>
      <c r="N17" s="302" t="n">
        <f aca="false" t="array" ref="N17:N17">IFERROR( (AVERAGE((IF(DATOS_[[Sexo]:[Sexo]]=$B17,IF(DATOS_[[AGRUP. VALOR. PTO.]:[AGRUP. VALOR. PTO.]]=$B15,IF(DATOS_[[Check Periodo Ref.]:[Check Periodo Ref.]]="Dentro",IF(DATOS_[[Check Equiparado]:[Check Equiparado]]="Sí",IF(DATOS!AI$4="Sí",(1/DATOS_[[% anualiz]:[% anualiz]]),1)*IF(DATOS!AI$5="Sí",1/DATOS_[[% normaliz]:[% normaliz]],1)*(DATOS_[Conc.Sal.05])))))))), 0)</f>
        <v>0</v>
      </c>
      <c r="O17" s="302" t="n">
        <f aca="false" t="array" ref="O17:O17">IFERROR( (AVERAGE((IF(DATOS_[[Sexo]:[Sexo]]=$B17,IF(DATOS_[[AGRUP. VALOR. PTO.]:[AGRUP. VALOR. PTO.]]=$B15,IF(DATOS_[[Check Periodo Ref.]:[Check Periodo Ref.]]="Dentro",IF(DATOS_[[Check Equiparado]:[Check Equiparado]]="Sí",IF(DATOS!AJ$4="Sí",(1/DATOS_[[% anualiz]:[% anualiz]]),1)*IF(DATOS!AJ$5="Sí",1/DATOS_[[% normaliz]:[% normaliz]],1)*(DATOS_[Conc.Sal.06])))))))), 0)</f>
        <v>0</v>
      </c>
      <c r="P17" s="302" t="n">
        <f aca="false" t="array" ref="P17:P17">IFERROR( (AVERAGE((IF(DATOS_[[Sexo]:[Sexo]]=$B17,IF(DATOS_[[AGRUP. VALOR. PTO.]:[AGRUP. VALOR. PTO.]]=$B15,IF(DATOS_[[Check Periodo Ref.]:[Check Periodo Ref.]]="Dentro",IF(DATOS_[[Check Equiparado]:[Check Equiparado]]="Sí",IF(DATOS!AK$4="Sí",(1/DATOS_[[% anualiz]:[% anualiz]]),1)*IF(DATOS!AK$5="Sí",1/DATOS_[[% normaliz]:[% normaliz]],1)*(DATOS_[Conc.Sal.07])))))))), 0)</f>
        <v>0</v>
      </c>
      <c r="Q17" s="302" t="n">
        <f aca="false" t="array" ref="Q17:Q17">IFERROR( (AVERAGE((IF(DATOS_[[Sexo]:[Sexo]]=$B17,IF(DATOS_[[AGRUP. VALOR. PTO.]:[AGRUP. VALOR. PTO.]]=$B15,IF(DATOS_[[Check Periodo Ref.]:[Check Periodo Ref.]]="Dentro",IF(DATOS_[[Check Equiparado]:[Check Equiparado]]="Sí",IF(DATOS!AL$4="Sí",(1/DATOS_[[% anualiz]:[% anualiz]]),1)*IF(DATOS!AL$5="Sí",1/DATOS_[[% normaliz]:[% normaliz]],1)*(DATOS_[Conc.Sal.08])))))))), 0)</f>
        <v>0</v>
      </c>
      <c r="R17" s="302" t="n">
        <f aca="false" t="array" ref="R17:R17">IFERROR( (AVERAGE((IF(DATOS_[[Sexo]:[Sexo]]=$B17,IF(DATOS_[[AGRUP. VALOR. PTO.]:[AGRUP. VALOR. PTO.]]=$B15,IF(DATOS_[[Check Periodo Ref.]:[Check Periodo Ref.]]="Dentro",IF(DATOS_[[Check Equiparado]:[Check Equiparado]]="Sí",IF(DATOS!AM$4="Sí",(1/DATOS_[[% anualiz]:[% anualiz]]),1)*IF(DATOS!AM$5="Sí",1/DATOS_[[% normaliz]:[% normaliz]],1)*(DATOS_[Conc.Sal.09])))))))), 0)</f>
        <v>0</v>
      </c>
      <c r="S17" s="302" t="n">
        <f aca="false" t="array" ref="S17:S17">IFERROR( (AVERAGE((IF(DATOS_[[Sexo]:[Sexo]]=$B17,IF(DATOS_[[AGRUP. VALOR. PTO.]:[AGRUP. VALOR. PTO.]]=$B15,IF(DATOS_[[Check Periodo Ref.]:[Check Periodo Ref.]]="Dentro",IF(DATOS_[[Check Equiparado]:[Check Equiparado]]="Sí",IF(DATOS!AN$4="Sí",(1/DATOS_[[% anualiz]:[% anualiz]]),1)*IF(DATOS!AN$5="Sí",1/DATOS_[[% normaliz]:[% normaliz]],1)*(DATOS_[Conc.Sal.10])))))))), 0)</f>
        <v>0</v>
      </c>
      <c r="T17" s="302" t="n">
        <f aca="false" t="array" ref="T17:T17">IFERROR( (AVERAGE((IF(DATOS_[[Sexo]:[Sexo]]=$B17,IF(DATOS_[[AGRUP. VALOR. PTO.]:[AGRUP. VALOR. PTO.]]=$B15,IF(DATOS_[[Check Periodo Ref.]:[Check Periodo Ref.]]="Dentro",IF(DATOS_[[Check Equiparado]:[Check Equiparado]]="Sí",IF(DATOS!AO$4="Sí",(1/DATOS_[[% anualiz]:[% anualiz]]),1)*IF(DATOS!AO$5="Sí",1/DATOS_[[% normaliz]:[% normaliz]],1)*(DATOS_[Conc.Sal.11])))))))), 0)</f>
        <v>0</v>
      </c>
      <c r="U17" s="302" t="n">
        <f aca="false" t="array" ref="U17:U17">IFERROR( (AVERAGE((IF(DATOS_[[Sexo]:[Sexo]]=$B17,IF(DATOS_[[AGRUP. VALOR. PTO.]:[AGRUP. VALOR. PTO.]]=$B15,IF(DATOS_[[Check Periodo Ref.]:[Check Periodo Ref.]]="Dentro",IF(DATOS_[[Check Equiparado]:[Check Equiparado]]="Sí",IF(DATOS!AP$4="Sí",(1/DATOS_[[% anualiz]:[% anualiz]]),1)*IF(DATOS!AP$5="Sí",1/DATOS_[[% normaliz]:[% normaliz]],1)*(DATOS_[Conc.Sal.12])))))))), 0)</f>
        <v>0</v>
      </c>
      <c r="V17" s="302" t="n">
        <f aca="false" t="array" ref="V17:V17">IFERROR( (AVERAGE((IF(DATOS_[[Sexo]:[Sexo]]=$B17,IF(DATOS_[[AGRUP. VALOR. PTO.]:[AGRUP. VALOR. PTO.]]=$B15,IF(DATOS_[[Check Periodo Ref.]:[Check Periodo Ref.]]="Dentro",IF(DATOS_[[Check Equiparado]:[Check Equiparado]]="Sí",IF(DATOS!AQ$4="Sí",(1/DATOS_[[% anualiz]:[% anualiz]]),1)*IF(DATOS!AQ$5="Sí",1/DATOS_[[% normaliz]:[% normaliz]],1)*(DATOS_[Conc.Sal.13])))))))), 0)</f>
        <v>0</v>
      </c>
      <c r="W17" s="302" t="n">
        <f aca="false" t="array" ref="W17:W17">IFERROR( (AVERAGE((IF(DATOS_[[Sexo]:[Sexo]]=$B17,IF(DATOS_[[AGRUP. VALOR. PTO.]:[AGRUP. VALOR. PTO.]]=$B15,IF(DATOS_[[Check Periodo Ref.]:[Check Periodo Ref.]]="Dentro",IF(DATOS_[[Check Equiparado]:[Check Equiparado]]="Sí",IF(DATOS!AR$4="Sí",(1/DATOS_[[% anualiz]:[% anualiz]]),1)*IF(DATOS!AR$5="Sí",1/DATOS_[[% normaliz]:[% normaliz]],1)*(DATOS_[Conc.Sal.14])))))))), 0)</f>
        <v>0</v>
      </c>
      <c r="X17" s="302" t="n">
        <f aca="false" t="array" ref="X17:X17">IFERROR( (AVERAGE((IF(DATOS_[[Sexo]:[Sexo]]=$B17,IF(DATOS_[[AGRUP. VALOR. PTO.]:[AGRUP. VALOR. PTO.]]=$B15,IF(DATOS_[[Check Periodo Ref.]:[Check Periodo Ref.]]="Dentro",IF(DATOS_[[Check Equiparado]:[Check Equiparado]]="Sí",IF(DATOS!AS$4="Sí",(1/DATOS_[[% anualiz]:[% anualiz]]),1)*IF(DATOS!AS$5="Sí",1/DATOS_[[% normaliz]:[% normaliz]],1)*(DATOS_[Conc.Sal.15])))))))), 0)</f>
        <v>0</v>
      </c>
      <c r="Y17" s="302" t="n">
        <f aca="false" t="array" ref="Y17:Y17">IFERROR( (AVERAGE((IF(DATOS_[[Sexo]:[Sexo]]=$B17,IF(DATOS_[[AGRUP. VALOR. PTO.]:[AGRUP. VALOR. PTO.]]=$B15,IF(DATOS_[[Check Periodo Ref.]:[Check Periodo Ref.]]="Dentro",IF(DATOS_[[Check Equiparado]:[Check Equiparado]]="Sí",IF(DATOS!AT$4="Sí",(1/DATOS_[[% anualiz]:[% anualiz]]),1)*IF(DATOS!AT$5="Sí",1/DATOS_[[% normaliz]:[% normaliz]],1)*(DATOS_[Conc.Sal.16])))))))), 0)</f>
        <v>0</v>
      </c>
      <c r="Z17" s="302" t="n">
        <f aca="false" t="array" ref="Z17:Z17">IFERROR( (AVERAGE((IF(DATOS_[[Sexo]:[Sexo]]=$B17,IF(DATOS_[[AGRUP. VALOR. PTO.]:[AGRUP. VALOR. PTO.]]=$B15,IF(DATOS_[[Check Periodo Ref.]:[Check Periodo Ref.]]="Dentro",IF(DATOS_[[Check Equiparado]:[Check Equiparado]]="Sí",IF(DATOS!AU$4="Sí",(1/DATOS_[[% anualiz]:[% anualiz]]),1)*IF(DATOS!AU$5="Sí",1/DATOS_[[% normaliz]:[% normaliz]],1)*(DATOS_[Conc.Sal.17])))))))), 0)</f>
        <v>0</v>
      </c>
      <c r="AA17" s="302" t="n">
        <f aca="false" t="array" ref="AA17:AA17">IFERROR( (AVERAGE((IF(DATOS_[[Sexo]:[Sexo]]=$B17,IF(DATOS_[[AGRUP. VALOR. PTO.]:[AGRUP. VALOR. PTO.]]=$B15,IF(DATOS_[[Check Periodo Ref.]:[Check Periodo Ref.]]="Dentro",IF(DATOS_[[Check Equiparado]:[Check Equiparado]]="Sí",IF(DATOS!AV$4="Sí",(1/DATOS_[[% anualiz]:[% anualiz]]),1)*IF(DATOS!AV$5="Sí",1/DATOS_[[% normaliz]:[% normaliz]],1)*(DATOS_[Conc.Sal.18])))))))), 0)</f>
        <v>0</v>
      </c>
      <c r="AB17" s="302" t="n">
        <f aca="false" t="array" ref="AB17:AB17">IFERROR( (AVERAGE((IF(DATOS_[[Sexo]:[Sexo]]=$B17,IF(DATOS_[[AGRUP. VALOR. PTO.]:[AGRUP. VALOR. PTO.]]=$B15,IF(DATOS_[[Check Periodo Ref.]:[Check Periodo Ref.]]="Dentro",IF(DATOS_[[Check Equiparado]:[Check Equiparado]]="Sí",IF(DATOS!AW$4="Sí",(1/DATOS_[[% anualiz]:[% anualiz]]),1)*IF(DATOS!AW$5="Sí",1/DATOS_[[% normaliz]:[% normaliz]],1)*(DATOS_[Conc.Sal.19])))))))), 0)</f>
        <v>0</v>
      </c>
      <c r="AC17" s="302" t="n">
        <f aca="false" t="array" ref="AC17:AC17">IFERROR( (AVERAGE((IF(DATOS_[[Sexo]:[Sexo]]=$B17,IF(DATOS_[[AGRUP. VALOR. PTO.]:[AGRUP. VALOR. PTO.]]=$B15,IF(DATOS_[[Check Periodo Ref.]:[Check Periodo Ref.]]="Dentro",IF(DATOS_[[Check Equiparado]:[Check Equiparado]]="Sí",IF(DATOS!AX$4="Sí",(1/DATOS_[[% anualiz]:[% anualiz]]),1)*IF(DATOS!AX$5="Sí",1/DATOS_[[% normaliz]:[% normaliz]],1)*(DATOS_[Conc.Sal.20])))))))), 0)</f>
        <v>0</v>
      </c>
      <c r="AD17" s="302" t="n">
        <f aca="false" t="array" ref="AD17:AD17">IFERROR( (AVERAGE((IF(DATOS_[[Sexo]:[Sexo]]=$B17,IF(DATOS_[[AGRUP. VALOR. PTO.]:[AGRUP. VALOR. PTO.]]=$B15,IF(DATOS_[[Check Periodo Ref.]:[Check Periodo Ref.]]="Dentro",IF(DATOS_[[Check Equiparado]:[Check Equiparado]]="Sí",IF(DATOS!AY$4="Sí",(1/DATOS_[[% anualiz]:[% anualiz]]),1)*IF(DATOS!AY$5="Sí",1/DATOS_[[% normaliz]:[% normaliz]],1)*(DATOS_[Conc.Sal.21])))))))), 0)</f>
        <v>0</v>
      </c>
      <c r="AE17" s="302" t="n">
        <f aca="false" t="array" ref="AE17:AE17">IFERROR( (AVERAGE((IF(DATOS_[[Sexo]:[Sexo]]=$B17,IF(DATOS_[[AGRUP. VALOR. PTO.]:[AGRUP. VALOR. PTO.]]=$B15,IF(DATOS_[[Check Periodo Ref.]:[Check Periodo Ref.]]="Dentro",IF(DATOS_[[Check Equiparado]:[Check Equiparado]]="Sí",IF(DATOS!AZ$4="Sí",(1/DATOS_[[% anualiz]:[% anualiz]]),1)*IF(DATOS!AZ$5="Sí",1/DATOS_[[% normaliz]:[% normaliz]],1)*(DATOS_[Conc.Sal.22])))))))), 0)</f>
        <v>0</v>
      </c>
      <c r="AF17" s="302" t="n">
        <f aca="false" t="array" ref="AF17:AF17">IFERROR( (AVERAGE((IF(DATOS_[[Sexo]:[Sexo]]=$B17,IF(DATOS_[[AGRUP. VALOR. PTO.]:[AGRUP. VALOR. PTO.]]=$B15,IF(DATOS_[[Check Periodo Ref.]:[Check Periodo Ref.]]="Dentro",IF(DATOS_[[Check Equiparado]:[Check Equiparado]]="Sí",IF(DATOS!BA$4="Sí",(1/DATOS_[[% anualiz]:[% anualiz]]),1)*IF(DATOS!BA$5="Sí",1/DATOS_[[% normaliz]:[% normaliz]],1)*(DATOS_[Conc.Sal.23])))))))), 0)</f>
        <v>0</v>
      </c>
      <c r="AG17" s="302" t="n">
        <f aca="false" t="array" ref="AG17:AG17">IFERROR( (AVERAGE((IF(DATOS_[[Sexo]:[Sexo]]=$B17,IF(DATOS_[[AGRUP. VALOR. PTO.]:[AGRUP. VALOR. PTO.]]=$B15,IF(DATOS_[[Check Periodo Ref.]:[Check Periodo Ref.]]="Dentro",IF(DATOS_[[Check Equiparado]:[Check Equiparado]]="Sí",IF(DATOS!BB$4="Sí",(1/DATOS_[[% anualiz]:[% anualiz]]),1)*IF(DATOS!BB$5="Sí",1/DATOS_[[% normaliz]:[% normaliz]],1)*(DATOS_[Conc.Sal.24])))))))), 0)</f>
        <v>0</v>
      </c>
      <c r="AH17" s="302" t="n">
        <f aca="false" t="array" ref="AH17:AH17">IFERROR( (AVERAGE((IF(DATOS_[[Sexo]:[Sexo]]=$B17,IF(DATOS_[[AGRUP. VALOR. PTO.]:[AGRUP. VALOR. PTO.]]=$B15,IF(DATOS_[[Check Periodo Ref.]:[Check Periodo Ref.]]="Dentro",IF(DATOS_[[Check Equiparado]:[Check Equiparado]]="Sí",IF(DATOS!BC$4="Sí",(1/DATOS_[[% anualiz]:[% anualiz]]),1)*IF(DATOS!BC$5="Sí",1/DATOS_[[% normaliz]:[% normaliz]],1)*(DATOS_[Conc.Sal.25])))))))), 0)</f>
        <v>0</v>
      </c>
      <c r="AI17" s="302" t="n">
        <f aca="false" t="array" ref="AI17:AI17">IFERROR( (AVERAGE((IF(DATOS_[[Sexo]:[Sexo]]=$B17,IF(DATOS_[[AGRUP. VALOR. PTO.]:[AGRUP. VALOR. PTO.]]=$B15,IF(DATOS_[[Check Periodo Ref.]:[Check Periodo Ref.]]="Dentro",IF(DATOS_[[Check Equiparado]:[Check Equiparado]]="Sí",IF(DATOS!BD$4="Sí",(1/DATOS_[[% anualiz]:[% anualiz]]),1)*IF(DATOS!BD$5="Sí",1/DATOS_[[% normaliz]:[% normaliz]],1)*(DATOS_[Conc.Sal.26])))))))), 0)</f>
        <v>0</v>
      </c>
      <c r="AJ17" s="302" t="n">
        <f aca="false" t="array" ref="AJ17:AJ17">IFERROR( (AVERAGE((IF(DATOS_[[Sexo]:[Sexo]]=$B17,IF(DATOS_[[AGRUP. VALOR. PTO.]:[AGRUP. VALOR. PTO.]]=$B15,IF(DATOS_[[Check Periodo Ref.]:[Check Periodo Ref.]]="Dentro",IF(DATOS_[[Check Equiparado]:[Check Equiparado]]="Sí",IF(DATOS!BE$4="Sí",(1/DATOS_[[% anualiz]:[% anualiz]]),1)*IF(DATOS!BE$5="Sí",1/DATOS_[[% normaliz]:[% normaliz]],1)*(DATOS_[Conc.Sal.27])))))))), 0)</f>
        <v>0</v>
      </c>
      <c r="AK17" s="302" t="n">
        <f aca="false" t="array" ref="AK17:AK17">IFERROR( (AVERAGE((IF(DATOS_[[Sexo]:[Sexo]]=$B17,IF(DATOS_[[AGRUP. VALOR. PTO.]:[AGRUP. VALOR. PTO.]]=$B15,IF(DATOS_[[Check Periodo Ref.]:[Check Periodo Ref.]]="Dentro",IF(DATOS_[[Check Equiparado]:[Check Equiparado]]="Sí",IF(DATOS!BF$4="Sí",(1/DATOS_[[% anualiz]:[% anualiz]]),1)*IF(DATOS!BF$5="Sí",1/DATOS_[[% normaliz]:[% normaliz]],1)*(DATOS_[Conc.Sal.28])))))))), 0)</f>
        <v>0</v>
      </c>
      <c r="AL17" s="302" t="n">
        <f aca="false" t="array" ref="AL17:AL17">IFERROR( (AVERAGE((IF(DATOS_[[Sexo]:[Sexo]]=$B17,IF(DATOS_[[AGRUP. VALOR. PTO.]:[AGRUP. VALOR. PTO.]]=$B15,IF(DATOS_[[Check Periodo Ref.]:[Check Periodo Ref.]]="Dentro",IF(DATOS_[[Check Equiparado]:[Check Equiparado]]="Sí",IF(DATOS!BG$4="Sí",(1/DATOS_[[% anualiz]:[% anualiz]]),1)*IF(DATOS!BG$5="Sí",1/DATOS_[[% normaliz]:[% normaliz]],1)*(DATOS_[Conc.Sal.29])))))))), 0)</f>
        <v>0</v>
      </c>
      <c r="AM17" s="302" t="n">
        <f aca="false" t="array" ref="AM17:AM17">IFERROR( (AVERAGE((IF(DATOS_[[Sexo]:[Sexo]]=$B17,IF(DATOS_[[AGRUP. VALOR. PTO.]:[AGRUP. VALOR. PTO.]]=$B15,IF(DATOS_[[Check Periodo Ref.]:[Check Periodo Ref.]]="Dentro",IF(DATOS_[[Check Equiparado]:[Check Equiparado]]="Sí",IF(DATOS!BH$4="Sí",(1/DATOS_[[% anualiz]:[% anualiz]]),1)*IF(DATOS!BH$5="Sí",1/DATOS_[[% normaliz]:[% normaliz]],1)*(DATOS_[Conc.Sal.30])))))))), 0)</f>
        <v>0</v>
      </c>
      <c r="AN17" s="294" t="n">
        <f aca="false" t="array" ref="AN17:AN17">IFERROR( AVERAGE(IF(DATOS_[Sexo]=$B17,IF(DATOS_[[AGRUP. VALOR. PTO.]:[AGRUP. VALOR. PTO.]]=$B15,IF(DATOS_[Check Equiparado]="Sí",IF(DATOS_[Check Periodo Ref.]="Dentro",DATOS_[Tot COMPL.SAL Eq],0))))), 0)</f>
        <v>0</v>
      </c>
      <c r="AO17" s="295" t="n">
        <f aca="false" t="array" ref="AO17:AO17">IFERROR( AVERAGE(IF(DATOS_[Sexo]=$B17,IF(DATOS_[[AGRUP. VALOR. PTO.]:[AGRUP. VALOR. PTO.]]=$B15,IF(DATOS_[Check Equiparado]="Sí",IF(DATOS_[Check Periodo Ref.]="Dentro",DATOS_[TOTAL SALARIO Eq],0))))), 0)</f>
        <v>0</v>
      </c>
      <c r="AP17" s="303" t="n">
        <f aca="false" t="array" ref="AP17:AP17">IFERROR( (AVERAGE((IF(DATOS_[[Sexo]:[Sexo]]=$B17,IF(DATOS_[[AGRUP. VALOR. PTO.]:[AGRUP. VALOR. PTO.]]=$B16,IF(DATOS_[[Check Periodo Ref.]:[Check Periodo Ref.]]="Dentro",IF(DATOS_[[Check Equiparado]:[Check Equiparado]]="Sí",IF(DATOS!BI$4="Sí",(1/DATOS_[[% anualiz]:[% anualiz]]),1)*IF(DATOS!BI$5="Sí",1/DATOS_[[% normaliz]:[% normaliz]],1)*(DATOS_[C.Extra.01])))))))), 0)</f>
        <v>0</v>
      </c>
      <c r="AQ17" s="303" t="n">
        <f aca="false" t="array" ref="AQ17:AQ17">IFERROR( (AVERAGE((IF(DATOS_[[Sexo]:[Sexo]]=$B17,IF(DATOS_[[AGRUP. VALOR. PTO.]:[AGRUP. VALOR. PTO.]]=$B16,IF(DATOS_[[Check Periodo Ref.]:[Check Periodo Ref.]]="Dentro",IF(DATOS_[[Check Equiparado]:[Check Equiparado]]="Sí",IF(DATOS!BJ$4="Sí",(1/DATOS_[[% anualiz]:[% anualiz]]),1)*IF(DATOS!BJ$5="Sí",1/DATOS_[[% normaliz]:[% normaliz]],1)*(DATOS_[C.Extra.02])))))))), 0)</f>
        <v>0</v>
      </c>
      <c r="AR17" s="303" t="n">
        <f aca="false" t="array" ref="AR17:AR17">IFERROR( (AVERAGE((IF(DATOS_[[Sexo]:[Sexo]]=$B17,IF(DATOS_[[AGRUP. VALOR. PTO.]:[AGRUP. VALOR. PTO.]]=$B16,IF(DATOS_[[Check Periodo Ref.]:[Check Periodo Ref.]]="Dentro",IF(DATOS_[[Check Equiparado]:[Check Equiparado]]="Sí",IF(DATOS!BK$4="Sí",(1/DATOS_[[% anualiz]:[% anualiz]]),1)*IF(DATOS!BK$5="Sí",1/DATOS_[[% normaliz]:[% normaliz]],1)*(DATOS_[C.Extra.03])))))))), 0)</f>
        <v>0</v>
      </c>
      <c r="AS17" s="303" t="n">
        <f aca="false" t="array" ref="AS17:AS17">IFERROR( (AVERAGE((IF(DATOS_[[Sexo]:[Sexo]]=$B17,IF(DATOS_[[AGRUP. VALOR. PTO.]:[AGRUP. VALOR. PTO.]]=$B16,IF(DATOS_[[Check Periodo Ref.]:[Check Periodo Ref.]]="Dentro",IF(DATOS_[[Check Equiparado]:[Check Equiparado]]="Sí",IF(DATOS!BL$4="Sí",(1/DATOS_[[% anualiz]:[% anualiz]]),1)*IF(DATOS!BL$5="Sí",1/DATOS_[[% normaliz]:[% normaliz]],1)*(DATOS_[C.Extra.04])))))))), 0)</f>
        <v>0</v>
      </c>
      <c r="AT17" s="303" t="n">
        <f aca="false" t="array" ref="AT17:AT17">IFERROR( (AVERAGE((IF(DATOS_[[Sexo]:[Sexo]]=$B17,IF(DATOS_[[AGRUP. VALOR. PTO.]:[AGRUP. VALOR. PTO.]]=$B16,IF(DATOS_[[Check Periodo Ref.]:[Check Periodo Ref.]]="Dentro",IF(DATOS_[[Check Equiparado]:[Check Equiparado]]="Sí",IF(DATOS!BM$4="Sí",(1/DATOS_[[% anualiz]:[% anualiz]]),1)*IF(DATOS!BM$5="Sí",1/DATOS_[[% normaliz]:[% normaliz]],1)*(DATOS_[C.Extra.05])))))))), 0)</f>
        <v>0</v>
      </c>
      <c r="AU17" s="297" t="n">
        <f aca="false" t="array" ref="AU17:AU17">IFERROR( AVERAGE(IF(DATOS_[Sexo]=$B17,IF(DATOS_[[AGRUP. VALOR. PTO.]:[AGRUP. VALOR. PTO.]]=$B15,IF(DATOS_[Check Equiparado]="Sí",IF(DATOS_[Check Periodo Ref.]="Dentro",DATOS_[Tot Extrasalarial Eq],0))))), 0)</f>
        <v>0</v>
      </c>
      <c r="AV17" s="298" t="n">
        <f aca="false" t="array" ref="AV17:AV17">IFERROR( AVERAGE(IF(DATOS_[Sexo]=$B17,IF(DATOS_[[AGRUP. VALOR. PTO.]:[AGRUP. VALOR. PTO.]]=$B15,IF(DATOS_[Check Equiparado]="Sí",IF(DATOS_[Check Periodo Ref.]="Dentro",DATOS_[TOTAL Retrib Eq],0))))), 0)</f>
        <v>0</v>
      </c>
    </row>
    <row r="18" customFormat="false" ht="15.75" hidden="false" customHeight="false" outlineLevel="0" collapsed="false">
      <c r="A18" s="166" t="str">
        <f aca="false">+A19</f>
        <v>[ocultar]</v>
      </c>
      <c r="B18" s="276" t="s">
        <v>176</v>
      </c>
      <c r="C18" s="277"/>
      <c r="D18" s="278"/>
      <c r="E18" s="278"/>
      <c r="F18" s="278"/>
      <c r="G18" s="278"/>
      <c r="H18" s="278"/>
      <c r="I18" s="279" t="str">
        <f aca="false">IFERROR((I19-I20)/I19,"")</f>
        <v/>
      </c>
      <c r="J18" s="280" t="str">
        <f aca="false">IFERROR((J19-J20)/J19,"")</f>
        <v/>
      </c>
      <c r="K18" s="281" t="str">
        <f aca="false">IFERROR((K19-K20)/K19,"")</f>
        <v/>
      </c>
      <c r="L18" s="281" t="str">
        <f aca="false">IFERROR((L19-L20)/L19,"")</f>
        <v/>
      </c>
      <c r="M18" s="281" t="str">
        <f aca="false">IFERROR((M19-M20)/M19,"")</f>
        <v/>
      </c>
      <c r="N18" s="282" t="str">
        <f aca="false">IFERROR((N19-N20)/N19,"")</f>
        <v/>
      </c>
      <c r="O18" s="283" t="str">
        <f aca="false">IFERROR((O19-O20)/O19,"")</f>
        <v/>
      </c>
      <c r="P18" s="283" t="str">
        <f aca="false">IFERROR((P19-P20)/P19,"")</f>
        <v/>
      </c>
      <c r="Q18" s="283" t="str">
        <f aca="false">IFERROR((Q19-Q20)/Q19,"")</f>
        <v/>
      </c>
      <c r="R18" s="283" t="str">
        <f aca="false">IFERROR((R19-R20)/R19,"")</f>
        <v/>
      </c>
      <c r="S18" s="283" t="str">
        <f aca="false">IFERROR((S19-S20)/S19,"")</f>
        <v/>
      </c>
      <c r="T18" s="283" t="str">
        <f aca="false">IFERROR((T19-T20)/T19,"")</f>
        <v/>
      </c>
      <c r="U18" s="283" t="str">
        <f aca="false">IFERROR((U19-U20)/U19,"")</f>
        <v/>
      </c>
      <c r="V18" s="283" t="str">
        <f aca="false">IFERROR((V19-V20)/V19,"")</f>
        <v/>
      </c>
      <c r="W18" s="283" t="str">
        <f aca="false">IFERROR((W19-W20)/W19,"")</f>
        <v/>
      </c>
      <c r="X18" s="283" t="str">
        <f aca="false">IFERROR((X19-X20)/X19,"")</f>
        <v/>
      </c>
      <c r="Y18" s="283" t="str">
        <f aca="false">IFERROR((Y19-Y20)/Y19,"")</f>
        <v/>
      </c>
      <c r="Z18" s="282" t="str">
        <f aca="false">IFERROR((Z19-Z20)/Z19,"")</f>
        <v/>
      </c>
      <c r="AA18" s="282" t="str">
        <f aca="false">IFERROR((AA19-AA20)/AA19,"")</f>
        <v/>
      </c>
      <c r="AB18" s="282" t="str">
        <f aca="false">IFERROR((AB19-AB20)/AB19,"")</f>
        <v/>
      </c>
      <c r="AC18" s="282" t="str">
        <f aca="false">IFERROR((AC19-AC20)/AC19,"")</f>
        <v/>
      </c>
      <c r="AD18" s="282" t="str">
        <f aca="false">IFERROR((AD19-AD20)/AD19,"")</f>
        <v/>
      </c>
      <c r="AE18" s="282" t="str">
        <f aca="false">IFERROR((AE19-AE20)/AE19,"")</f>
        <v/>
      </c>
      <c r="AF18" s="282" t="str">
        <f aca="false">IFERROR((AF19-AF20)/AF19,"")</f>
        <v/>
      </c>
      <c r="AG18" s="282" t="str">
        <f aca="false">IFERROR((AG19-AG20)/AG19,"")</f>
        <v/>
      </c>
      <c r="AH18" s="282" t="str">
        <f aca="false">IFERROR((AH19-AH20)/AH19,"")</f>
        <v/>
      </c>
      <c r="AI18" s="282" t="str">
        <f aca="false">IFERROR((AI19-AI20)/AI19,"")</f>
        <v/>
      </c>
      <c r="AJ18" s="282" t="str">
        <f aca="false">IFERROR((AJ19-AJ20)/AJ19,"")</f>
        <v/>
      </c>
      <c r="AK18" s="282" t="str">
        <f aca="false">IFERROR((AK19-AK20)/AK19,"")</f>
        <v/>
      </c>
      <c r="AL18" s="282" t="str">
        <f aca="false">IFERROR((AL19-AL20)/AL19,"")</f>
        <v/>
      </c>
      <c r="AM18" s="282" t="str">
        <f aca="false">IFERROR((AM19-AM20)/AM19,"")</f>
        <v/>
      </c>
      <c r="AN18" s="284" t="str">
        <f aca="false">IFERROR((AN19-AN20)/AN19,"")</f>
        <v/>
      </c>
      <c r="AO18" s="285" t="str">
        <f aca="false">IFERROR((AO19-AO20)/AO19,"")</f>
        <v/>
      </c>
      <c r="AP18" s="286" t="str">
        <f aca="false">IFERROR((AP19-AP20)/AP19,"")</f>
        <v/>
      </c>
      <c r="AQ18" s="286" t="str">
        <f aca="false">IFERROR((AQ19-AQ20)/AQ19,"")</f>
        <v/>
      </c>
      <c r="AR18" s="286" t="str">
        <f aca="false">IFERROR((AR19-AR20)/AR19,"")</f>
        <v/>
      </c>
      <c r="AS18" s="286" t="str">
        <f aca="false">IFERROR((AS19-AS20)/AS19,"")</f>
        <v/>
      </c>
      <c r="AT18" s="286" t="str">
        <f aca="false">IFERROR((AT19-AT20)/AT19,"")</f>
        <v/>
      </c>
      <c r="AU18" s="287" t="str">
        <f aca="false">IFERROR((AU19-AU20)/AU19,"")</f>
        <v/>
      </c>
      <c r="AV18" s="288" t="str">
        <f aca="false">IFERROR((AV19-AV20)/AV19,"")</f>
        <v/>
      </c>
    </row>
    <row r="19" customFormat="false" ht="14.25" hidden="false" customHeight="false" outlineLevel="0" collapsed="false">
      <c r="A19" s="166" t="str">
        <f aca="false">+IF(C19+C20=0,"[ocultar]","")</f>
        <v>[ocultar]</v>
      </c>
      <c r="B19" s="289" t="s">
        <v>371</v>
      </c>
      <c r="C19" s="290" t="n">
        <f aca="false" t="array" ref="C19:C19">SUM(IF($B19=DATOS_[Sexo], IF($B18=DATOS_[AGRUP. VALOR. PTO.], IF("Dentro"=DATOS_[Check Periodo Ref.], 1/(COUNTIFS(DATOS_[Sexo],$B19,DATOS_[AGRUP. VALOR. PTO.],$B18,DATOS_[Check Periodo Ref.],"Dentro",DATOS_[id],DATOS_[id]))))))</f>
        <v>0</v>
      </c>
      <c r="D19" s="291" t="n">
        <f aca="false">COUNTIFS(DATOS_[AGRUP. VALOR. PTO.],$B18,DATOS_[Sexo],$B19,DATOS_[Check Periodo Ref.],"Dentro")</f>
        <v>0</v>
      </c>
      <c r="E19" s="291" t="n">
        <f aca="false">COUNTIFS(DATOS_[AGRUP. VALOR. PTO.],$B18,DATOS_[Sexo],$B19,DATOS_[Check Periodo Ref.],"Dentro",DATOS_[Check Nº SC Norm],"Sí")</f>
        <v>0</v>
      </c>
      <c r="F19" s="291" t="n">
        <f aca="false">COUNTIFS(DATOS_[AGRUP. VALOR. PTO.],$B18,DATOS_[Sexo],$B19,DATOS_[Check Periodo Ref.],"Dentro",DATOS_[Check Nº SC Anualiz],"Sí")</f>
        <v>0</v>
      </c>
      <c r="G19" s="291" t="n">
        <f aca="false">COUNTIFS(DATOS_[AGRUP. VALOR. PTO.],$B18,DATOS_[Sexo],$B19,DATOS_[Check Periodo Ref.],"Dentro",DATOS_[Check Nº SC Norm y Anualiz],"Sí")</f>
        <v>0</v>
      </c>
      <c r="H19" s="291" t="n">
        <f aca="false">COUNTIFS(DATOS_[AGRUP. VALOR. PTO.],$B18,DATOS_[Sexo],$B19,DATOS_[Check Periodo Ref.],"Dentro",DATOS_[Check Equiparación],"Sí")</f>
        <v>0</v>
      </c>
      <c r="I19" s="292" t="n">
        <f aca="false" t="array" ref="I19:I19">IFERROR( AVERAGE(IF(DATOS_[Sexo]=$B19,IF(DATOS_[[AGRUP. VALOR. PTO.]:[AGRUP. VALOR. PTO.]]=$B18,IF(DATOS_[Check Equiparado]="Sí",IF(DATOS_[Check Periodo Ref.]="Dentro",DATOS_[SALARIO BASE Eq],0))))), 0)</f>
        <v>0</v>
      </c>
      <c r="J19" s="302" t="n">
        <f aca="false" t="array" ref="J19:J19">IFERROR( (AVERAGE((IF(DATOS_[[Sexo]:[Sexo]]=$B19,IF(DATOS_[[AGRUP. VALOR. PTO.]:[AGRUP. VALOR. PTO.]]=$B18,IF(DATOS_[[Check Periodo Ref.]:[Check Periodo Ref.]]="Dentro",IF(DATOS_[[Check Equiparado]:[Check Equiparado]]="Sí",IF(DATOS!AE$4="Sí",(1/DATOS_[[% anualiz]:[% anualiz]]),1)*IF(DATOS!AE$5="Sí",1/DATOS_[[% normaliz]:[% normaliz]],1)*(DATOS_[Conc.Sal.01])))))))), 0)</f>
        <v>0</v>
      </c>
      <c r="K19" s="302" t="n">
        <f aca="false" t="array" ref="K19:K19">IFERROR( (AVERAGE((IF(DATOS_[[Sexo]:[Sexo]]=$B19,IF(DATOS_[[AGRUP. VALOR. PTO.]:[AGRUP. VALOR. PTO.]]=$B18,IF(DATOS_[[Check Periodo Ref.]:[Check Periodo Ref.]]="Dentro",IF(DATOS_[[Check Equiparado]:[Check Equiparado]]="Sí",IF(DATOS!AF$4="Sí",(1/DATOS_[[% anualiz]:[% anualiz]]),1)*IF(DATOS!AF$5="Sí",1/DATOS_[[% normaliz]:[% normaliz]],1)*(DATOS_[Conc.Sal.02])))))))), 0)</f>
        <v>0</v>
      </c>
      <c r="L19" s="302" t="n">
        <f aca="false" t="array" ref="L19:L19">IFERROR( (AVERAGE((IF(DATOS_[[Sexo]:[Sexo]]=$B19,IF(DATOS_[[AGRUP. VALOR. PTO.]:[AGRUP. VALOR. PTO.]]=$B18,IF(DATOS_[[Check Periodo Ref.]:[Check Periodo Ref.]]="Dentro",IF(DATOS_[[Check Equiparado]:[Check Equiparado]]="Sí",IF(DATOS!AG$4="Sí",(1/DATOS_[[% anualiz]:[% anualiz]]),1)*IF(DATOS!AG$5="Sí",1/DATOS_[[% normaliz]:[% normaliz]],1)*(DATOS_[Conc.Sal.03])))))))), 0)</f>
        <v>0</v>
      </c>
      <c r="M19" s="302" t="n">
        <f aca="false" t="array" ref="M19:M19">IFERROR( (AVERAGE((IF(DATOS_[[Sexo]:[Sexo]]=$B19,IF(DATOS_[[AGRUP. VALOR. PTO.]:[AGRUP. VALOR. PTO.]]=$B18,IF(DATOS_[[Check Periodo Ref.]:[Check Periodo Ref.]]="Dentro",IF(DATOS_[[Check Equiparado]:[Check Equiparado]]="Sí",IF(DATOS!AH$4="Sí",(1/DATOS_[[% anualiz]:[% anualiz]]),1)*IF(DATOS!AH$5="Sí",1/DATOS_[[% normaliz]:[% normaliz]],1)*(DATOS_[Conc.Sal.04])))))))), 0)</f>
        <v>0</v>
      </c>
      <c r="N19" s="302" t="n">
        <f aca="false" t="array" ref="N19:N19">IFERROR( (AVERAGE((IF(DATOS_[[Sexo]:[Sexo]]=$B19,IF(DATOS_[[AGRUP. VALOR. PTO.]:[AGRUP. VALOR. PTO.]]=$B18,IF(DATOS_[[Check Periodo Ref.]:[Check Periodo Ref.]]="Dentro",IF(DATOS_[[Check Equiparado]:[Check Equiparado]]="Sí",IF(DATOS!AI$4="Sí",(1/DATOS_[[% anualiz]:[% anualiz]]),1)*IF(DATOS!AI$5="Sí",1/DATOS_[[% normaliz]:[% normaliz]],1)*(DATOS_[Conc.Sal.05])))))))), 0)</f>
        <v>0</v>
      </c>
      <c r="O19" s="302" t="n">
        <f aca="false" t="array" ref="O19:O19">IFERROR( (AVERAGE((IF(DATOS_[[Sexo]:[Sexo]]=$B19,IF(DATOS_[[AGRUP. VALOR. PTO.]:[AGRUP. VALOR. PTO.]]=$B18,IF(DATOS_[[Check Periodo Ref.]:[Check Periodo Ref.]]="Dentro",IF(DATOS_[[Check Equiparado]:[Check Equiparado]]="Sí",IF(DATOS!AJ$4="Sí",(1/DATOS_[[% anualiz]:[% anualiz]]),1)*IF(DATOS!AJ$5="Sí",1/DATOS_[[% normaliz]:[% normaliz]],1)*(DATOS_[Conc.Sal.06])))))))), 0)</f>
        <v>0</v>
      </c>
      <c r="P19" s="302" t="n">
        <f aca="false" t="array" ref="P19:P19">IFERROR( (AVERAGE((IF(DATOS_[[Sexo]:[Sexo]]=$B19,IF(DATOS_[[AGRUP. VALOR. PTO.]:[AGRUP. VALOR. PTO.]]=$B18,IF(DATOS_[[Check Periodo Ref.]:[Check Periodo Ref.]]="Dentro",IF(DATOS_[[Check Equiparado]:[Check Equiparado]]="Sí",IF(DATOS!AK$4="Sí",(1/DATOS_[[% anualiz]:[% anualiz]]),1)*IF(DATOS!AK$5="Sí",1/DATOS_[[% normaliz]:[% normaliz]],1)*(DATOS_[Conc.Sal.07])))))))), 0)</f>
        <v>0</v>
      </c>
      <c r="Q19" s="302" t="n">
        <f aca="false" t="array" ref="Q19:Q19">IFERROR( (AVERAGE((IF(DATOS_[[Sexo]:[Sexo]]=$B19,IF(DATOS_[[AGRUP. VALOR. PTO.]:[AGRUP. VALOR. PTO.]]=$B18,IF(DATOS_[[Check Periodo Ref.]:[Check Periodo Ref.]]="Dentro",IF(DATOS_[[Check Equiparado]:[Check Equiparado]]="Sí",IF(DATOS!AL$4="Sí",(1/DATOS_[[% anualiz]:[% anualiz]]),1)*IF(DATOS!AL$5="Sí",1/DATOS_[[% normaliz]:[% normaliz]],1)*(DATOS_[Conc.Sal.08])))))))), 0)</f>
        <v>0</v>
      </c>
      <c r="R19" s="302" t="n">
        <f aca="false" t="array" ref="R19:R19">IFERROR( (AVERAGE((IF(DATOS_[[Sexo]:[Sexo]]=$B19,IF(DATOS_[[AGRUP. VALOR. PTO.]:[AGRUP. VALOR. PTO.]]=$B18,IF(DATOS_[[Check Periodo Ref.]:[Check Periodo Ref.]]="Dentro",IF(DATOS_[[Check Equiparado]:[Check Equiparado]]="Sí",IF(DATOS!AM$4="Sí",(1/DATOS_[[% anualiz]:[% anualiz]]),1)*IF(DATOS!AM$5="Sí",1/DATOS_[[% normaliz]:[% normaliz]],1)*(DATOS_[Conc.Sal.09])))))))), 0)</f>
        <v>0</v>
      </c>
      <c r="S19" s="302" t="n">
        <f aca="false" t="array" ref="S19:S19">IFERROR( (AVERAGE((IF(DATOS_[[Sexo]:[Sexo]]=$B19,IF(DATOS_[[AGRUP. VALOR. PTO.]:[AGRUP. VALOR. PTO.]]=$B18,IF(DATOS_[[Check Periodo Ref.]:[Check Periodo Ref.]]="Dentro",IF(DATOS_[[Check Equiparado]:[Check Equiparado]]="Sí",IF(DATOS!AN$4="Sí",(1/DATOS_[[% anualiz]:[% anualiz]]),1)*IF(DATOS!AN$5="Sí",1/DATOS_[[% normaliz]:[% normaliz]],1)*(DATOS_[Conc.Sal.10])))))))), 0)</f>
        <v>0</v>
      </c>
      <c r="T19" s="302" t="n">
        <f aca="false" t="array" ref="T19:T19">IFERROR( (AVERAGE((IF(DATOS_[[Sexo]:[Sexo]]=$B19,IF(DATOS_[[AGRUP. VALOR. PTO.]:[AGRUP. VALOR. PTO.]]=$B18,IF(DATOS_[[Check Periodo Ref.]:[Check Periodo Ref.]]="Dentro",IF(DATOS_[[Check Equiparado]:[Check Equiparado]]="Sí",IF(DATOS!AO$4="Sí",(1/DATOS_[[% anualiz]:[% anualiz]]),1)*IF(DATOS!AO$5="Sí",1/DATOS_[[% normaliz]:[% normaliz]],1)*(DATOS_[Conc.Sal.11])))))))), 0)</f>
        <v>0</v>
      </c>
      <c r="U19" s="302" t="n">
        <f aca="false" t="array" ref="U19:U19">IFERROR( (AVERAGE((IF(DATOS_[[Sexo]:[Sexo]]=$B19,IF(DATOS_[[AGRUP. VALOR. PTO.]:[AGRUP. VALOR. PTO.]]=$B18,IF(DATOS_[[Check Periodo Ref.]:[Check Periodo Ref.]]="Dentro",IF(DATOS_[[Check Equiparado]:[Check Equiparado]]="Sí",IF(DATOS!AP$4="Sí",(1/DATOS_[[% anualiz]:[% anualiz]]),1)*IF(DATOS!AP$5="Sí",1/DATOS_[[% normaliz]:[% normaliz]],1)*(DATOS_[Conc.Sal.12])))))))), 0)</f>
        <v>0</v>
      </c>
      <c r="V19" s="302" t="n">
        <f aca="false" t="array" ref="V19:V19">IFERROR( (AVERAGE((IF(DATOS_[[Sexo]:[Sexo]]=$B19,IF(DATOS_[[AGRUP. VALOR. PTO.]:[AGRUP. VALOR. PTO.]]=$B18,IF(DATOS_[[Check Periodo Ref.]:[Check Periodo Ref.]]="Dentro",IF(DATOS_[[Check Equiparado]:[Check Equiparado]]="Sí",IF(DATOS!AQ$4="Sí",(1/DATOS_[[% anualiz]:[% anualiz]]),1)*IF(DATOS!AQ$5="Sí",1/DATOS_[[% normaliz]:[% normaliz]],1)*(DATOS_[Conc.Sal.13])))))))), 0)</f>
        <v>0</v>
      </c>
      <c r="W19" s="302" t="n">
        <f aca="false" t="array" ref="W19:W19">IFERROR( (AVERAGE((IF(DATOS_[[Sexo]:[Sexo]]=$B19,IF(DATOS_[[AGRUP. VALOR. PTO.]:[AGRUP. VALOR. PTO.]]=$B18,IF(DATOS_[[Check Periodo Ref.]:[Check Periodo Ref.]]="Dentro",IF(DATOS_[[Check Equiparado]:[Check Equiparado]]="Sí",IF(DATOS!AR$4="Sí",(1/DATOS_[[% anualiz]:[% anualiz]]),1)*IF(DATOS!AR$5="Sí",1/DATOS_[[% normaliz]:[% normaliz]],1)*(DATOS_[Conc.Sal.14])))))))), 0)</f>
        <v>0</v>
      </c>
      <c r="X19" s="302" t="n">
        <f aca="false" t="array" ref="X19:X19">IFERROR( (AVERAGE((IF(DATOS_[[Sexo]:[Sexo]]=$B19,IF(DATOS_[[AGRUP. VALOR. PTO.]:[AGRUP. VALOR. PTO.]]=$B18,IF(DATOS_[[Check Periodo Ref.]:[Check Periodo Ref.]]="Dentro",IF(DATOS_[[Check Equiparado]:[Check Equiparado]]="Sí",IF(DATOS!AS$4="Sí",(1/DATOS_[[% anualiz]:[% anualiz]]),1)*IF(DATOS!AS$5="Sí",1/DATOS_[[% normaliz]:[% normaliz]],1)*(DATOS_[Conc.Sal.15])))))))), 0)</f>
        <v>0</v>
      </c>
      <c r="Y19" s="302" t="n">
        <f aca="false" t="array" ref="Y19:Y19">IFERROR( (AVERAGE((IF(DATOS_[[Sexo]:[Sexo]]=$B19,IF(DATOS_[[AGRUP. VALOR. PTO.]:[AGRUP. VALOR. PTO.]]=$B18,IF(DATOS_[[Check Periodo Ref.]:[Check Periodo Ref.]]="Dentro",IF(DATOS_[[Check Equiparado]:[Check Equiparado]]="Sí",IF(DATOS!AT$4="Sí",(1/DATOS_[[% anualiz]:[% anualiz]]),1)*IF(DATOS!AT$5="Sí",1/DATOS_[[% normaliz]:[% normaliz]],1)*(DATOS_[Conc.Sal.16])))))))), 0)</f>
        <v>0</v>
      </c>
      <c r="Z19" s="302" t="n">
        <f aca="false" t="array" ref="Z19:Z19">IFERROR( (AVERAGE((IF(DATOS_[[Sexo]:[Sexo]]=$B19,IF(DATOS_[[AGRUP. VALOR. PTO.]:[AGRUP. VALOR. PTO.]]=$B18,IF(DATOS_[[Check Periodo Ref.]:[Check Periodo Ref.]]="Dentro",IF(DATOS_[[Check Equiparado]:[Check Equiparado]]="Sí",IF(DATOS!AU$4="Sí",(1/DATOS_[[% anualiz]:[% anualiz]]),1)*IF(DATOS!AU$5="Sí",1/DATOS_[[% normaliz]:[% normaliz]],1)*(DATOS_[Conc.Sal.17])))))))), 0)</f>
        <v>0</v>
      </c>
      <c r="AA19" s="302" t="n">
        <f aca="false" t="array" ref="AA19:AA19">IFERROR( (AVERAGE((IF(DATOS_[[Sexo]:[Sexo]]=$B19,IF(DATOS_[[AGRUP. VALOR. PTO.]:[AGRUP. VALOR. PTO.]]=$B18,IF(DATOS_[[Check Periodo Ref.]:[Check Periodo Ref.]]="Dentro",IF(DATOS_[[Check Equiparado]:[Check Equiparado]]="Sí",IF(DATOS!AV$4="Sí",(1/DATOS_[[% anualiz]:[% anualiz]]),1)*IF(DATOS!AV$5="Sí",1/DATOS_[[% normaliz]:[% normaliz]],1)*(DATOS_[Conc.Sal.18])))))))), 0)</f>
        <v>0</v>
      </c>
      <c r="AB19" s="302" t="n">
        <f aca="false" t="array" ref="AB19:AB19">IFERROR( (AVERAGE((IF(DATOS_[[Sexo]:[Sexo]]=$B19,IF(DATOS_[[AGRUP. VALOR. PTO.]:[AGRUP. VALOR. PTO.]]=$B18,IF(DATOS_[[Check Periodo Ref.]:[Check Periodo Ref.]]="Dentro",IF(DATOS_[[Check Equiparado]:[Check Equiparado]]="Sí",IF(DATOS!AW$4="Sí",(1/DATOS_[[% anualiz]:[% anualiz]]),1)*IF(DATOS!AW$5="Sí",1/DATOS_[[% normaliz]:[% normaliz]],1)*(DATOS_[Conc.Sal.19])))))))), 0)</f>
        <v>0</v>
      </c>
      <c r="AC19" s="302" t="n">
        <f aca="false" t="array" ref="AC19:AC19">IFERROR( (AVERAGE((IF(DATOS_[[Sexo]:[Sexo]]=$B19,IF(DATOS_[[AGRUP. VALOR. PTO.]:[AGRUP. VALOR. PTO.]]=$B18,IF(DATOS_[[Check Periodo Ref.]:[Check Periodo Ref.]]="Dentro",IF(DATOS_[[Check Equiparado]:[Check Equiparado]]="Sí",IF(DATOS!AX$4="Sí",(1/DATOS_[[% anualiz]:[% anualiz]]),1)*IF(DATOS!AX$5="Sí",1/DATOS_[[% normaliz]:[% normaliz]],1)*(DATOS_[Conc.Sal.20])))))))), 0)</f>
        <v>0</v>
      </c>
      <c r="AD19" s="302" t="n">
        <f aca="false" t="array" ref="AD19:AD19">IFERROR( (AVERAGE((IF(DATOS_[[Sexo]:[Sexo]]=$B19,IF(DATOS_[[AGRUP. VALOR. PTO.]:[AGRUP. VALOR. PTO.]]=$B18,IF(DATOS_[[Check Periodo Ref.]:[Check Periodo Ref.]]="Dentro",IF(DATOS_[[Check Equiparado]:[Check Equiparado]]="Sí",IF(DATOS!AY$4="Sí",(1/DATOS_[[% anualiz]:[% anualiz]]),1)*IF(DATOS!AY$5="Sí",1/DATOS_[[% normaliz]:[% normaliz]],1)*(DATOS_[Conc.Sal.21])))))))), 0)</f>
        <v>0</v>
      </c>
      <c r="AE19" s="302" t="n">
        <f aca="false" t="array" ref="AE19:AE19">IFERROR( (AVERAGE((IF(DATOS_[[Sexo]:[Sexo]]=$B19,IF(DATOS_[[AGRUP. VALOR. PTO.]:[AGRUP. VALOR. PTO.]]=$B18,IF(DATOS_[[Check Periodo Ref.]:[Check Periodo Ref.]]="Dentro",IF(DATOS_[[Check Equiparado]:[Check Equiparado]]="Sí",IF(DATOS!AZ$4="Sí",(1/DATOS_[[% anualiz]:[% anualiz]]),1)*IF(DATOS!AZ$5="Sí",1/DATOS_[[% normaliz]:[% normaliz]],1)*(DATOS_[Conc.Sal.22])))))))), 0)</f>
        <v>0</v>
      </c>
      <c r="AF19" s="302" t="n">
        <f aca="false" t="array" ref="AF19:AF19">IFERROR( (AVERAGE((IF(DATOS_[[Sexo]:[Sexo]]=$B19,IF(DATOS_[[AGRUP. VALOR. PTO.]:[AGRUP. VALOR. PTO.]]=$B18,IF(DATOS_[[Check Periodo Ref.]:[Check Periodo Ref.]]="Dentro",IF(DATOS_[[Check Equiparado]:[Check Equiparado]]="Sí",IF(DATOS!BA$4="Sí",(1/DATOS_[[% anualiz]:[% anualiz]]),1)*IF(DATOS!BA$5="Sí",1/DATOS_[[% normaliz]:[% normaliz]],1)*(DATOS_[Conc.Sal.23])))))))), 0)</f>
        <v>0</v>
      </c>
      <c r="AG19" s="302" t="n">
        <f aca="false" t="array" ref="AG19:AG19">IFERROR( (AVERAGE((IF(DATOS_[[Sexo]:[Sexo]]=$B19,IF(DATOS_[[AGRUP. VALOR. PTO.]:[AGRUP. VALOR. PTO.]]=$B18,IF(DATOS_[[Check Periodo Ref.]:[Check Periodo Ref.]]="Dentro",IF(DATOS_[[Check Equiparado]:[Check Equiparado]]="Sí",IF(DATOS!BB$4="Sí",(1/DATOS_[[% anualiz]:[% anualiz]]),1)*IF(DATOS!BB$5="Sí",1/DATOS_[[% normaliz]:[% normaliz]],1)*(DATOS_[Conc.Sal.24])))))))), 0)</f>
        <v>0</v>
      </c>
      <c r="AH19" s="302" t="n">
        <f aca="false" t="array" ref="AH19:AH19">IFERROR( (AVERAGE((IF(DATOS_[[Sexo]:[Sexo]]=$B19,IF(DATOS_[[AGRUP. VALOR. PTO.]:[AGRUP. VALOR. PTO.]]=$B18,IF(DATOS_[[Check Periodo Ref.]:[Check Periodo Ref.]]="Dentro",IF(DATOS_[[Check Equiparado]:[Check Equiparado]]="Sí",IF(DATOS!BC$4="Sí",(1/DATOS_[[% anualiz]:[% anualiz]]),1)*IF(DATOS!BC$5="Sí",1/DATOS_[[% normaliz]:[% normaliz]],1)*(DATOS_[Conc.Sal.25])))))))), 0)</f>
        <v>0</v>
      </c>
      <c r="AI19" s="302" t="n">
        <f aca="false" t="array" ref="AI19:AI19">IFERROR( (AVERAGE((IF(DATOS_[[Sexo]:[Sexo]]=$B19,IF(DATOS_[[AGRUP. VALOR. PTO.]:[AGRUP. VALOR. PTO.]]=$B18,IF(DATOS_[[Check Periodo Ref.]:[Check Periodo Ref.]]="Dentro",IF(DATOS_[[Check Equiparado]:[Check Equiparado]]="Sí",IF(DATOS!BD$4="Sí",(1/DATOS_[[% anualiz]:[% anualiz]]),1)*IF(DATOS!BD$5="Sí",1/DATOS_[[% normaliz]:[% normaliz]],1)*(DATOS_[Conc.Sal.26])))))))), 0)</f>
        <v>0</v>
      </c>
      <c r="AJ19" s="302" t="n">
        <f aca="false" t="array" ref="AJ19:AJ19">IFERROR( (AVERAGE((IF(DATOS_[[Sexo]:[Sexo]]=$B19,IF(DATOS_[[AGRUP. VALOR. PTO.]:[AGRUP. VALOR. PTO.]]=$B18,IF(DATOS_[[Check Periodo Ref.]:[Check Periodo Ref.]]="Dentro",IF(DATOS_[[Check Equiparado]:[Check Equiparado]]="Sí",IF(DATOS!BE$4="Sí",(1/DATOS_[[% anualiz]:[% anualiz]]),1)*IF(DATOS!BE$5="Sí",1/DATOS_[[% normaliz]:[% normaliz]],1)*(DATOS_[Conc.Sal.27])))))))), 0)</f>
        <v>0</v>
      </c>
      <c r="AK19" s="302" t="n">
        <f aca="false" t="array" ref="AK19:AK19">IFERROR( (AVERAGE((IF(DATOS_[[Sexo]:[Sexo]]=$B19,IF(DATOS_[[AGRUP. VALOR. PTO.]:[AGRUP. VALOR. PTO.]]=$B18,IF(DATOS_[[Check Periodo Ref.]:[Check Periodo Ref.]]="Dentro",IF(DATOS_[[Check Equiparado]:[Check Equiparado]]="Sí",IF(DATOS!BF$4="Sí",(1/DATOS_[[% anualiz]:[% anualiz]]),1)*IF(DATOS!BF$5="Sí",1/DATOS_[[% normaliz]:[% normaliz]],1)*(DATOS_[Conc.Sal.28])))))))), 0)</f>
        <v>0</v>
      </c>
      <c r="AL19" s="302" t="n">
        <f aca="false" t="array" ref="AL19:AL19">IFERROR( (AVERAGE((IF(DATOS_[[Sexo]:[Sexo]]=$B19,IF(DATOS_[[AGRUP. VALOR. PTO.]:[AGRUP. VALOR. PTO.]]=$B18,IF(DATOS_[[Check Periodo Ref.]:[Check Periodo Ref.]]="Dentro",IF(DATOS_[[Check Equiparado]:[Check Equiparado]]="Sí",IF(DATOS!BG$4="Sí",(1/DATOS_[[% anualiz]:[% anualiz]]),1)*IF(DATOS!BG$5="Sí",1/DATOS_[[% normaliz]:[% normaliz]],1)*(DATOS_[Conc.Sal.29])))))))), 0)</f>
        <v>0</v>
      </c>
      <c r="AM19" s="302" t="n">
        <f aca="false" t="array" ref="AM19:AM19">IFERROR( (AVERAGE((IF(DATOS_[[Sexo]:[Sexo]]=$B19,IF(DATOS_[[AGRUP. VALOR. PTO.]:[AGRUP. VALOR. PTO.]]=$B18,IF(DATOS_[[Check Periodo Ref.]:[Check Periodo Ref.]]="Dentro",IF(DATOS_[[Check Equiparado]:[Check Equiparado]]="Sí",IF(DATOS!BH$4="Sí",(1/DATOS_[[% anualiz]:[% anualiz]]),1)*IF(DATOS!BH$5="Sí",1/DATOS_[[% normaliz]:[% normaliz]],1)*(DATOS_[Conc.Sal.30])))))))), 0)</f>
        <v>0</v>
      </c>
      <c r="AN19" s="294" t="n">
        <f aca="false" t="array" ref="AN19:AN19">IFERROR( AVERAGE(IF(DATOS_[Sexo]=$B19,IF(DATOS_[[AGRUP. VALOR. PTO.]:[AGRUP. VALOR. PTO.]]=$B18,IF(DATOS_[Check Equiparado]="Sí",IF(DATOS_[Check Periodo Ref.]="Dentro",DATOS_[Tot COMPL.SAL Eq],0))))), 0)</f>
        <v>0</v>
      </c>
      <c r="AO19" s="295" t="n">
        <f aca="false" t="array" ref="AO19:AO19">IFERROR( AVERAGE(IF(DATOS_[Sexo]=$B19,IF(DATOS_[[AGRUP. VALOR. PTO.]:[AGRUP. VALOR. PTO.]]=$B18,IF(DATOS_[Check Equiparado]="Sí",IF(DATOS_[Check Periodo Ref.]="Dentro",DATOS_[TOTAL SALARIO Eq],0))))), 0)</f>
        <v>0</v>
      </c>
      <c r="AP19" s="303" t="n">
        <f aca="false" t="array" ref="AP19:AP19">IFERROR( (AVERAGE((IF(DATOS_[[Sexo]:[Sexo]]=$B19,IF(DATOS_[[AGRUP. VALOR. PTO.]:[AGRUP. VALOR. PTO.]]=$B18,IF(DATOS_[[Check Periodo Ref.]:[Check Periodo Ref.]]="Dentro",IF(DATOS_[[Check Equiparado]:[Check Equiparado]]="Sí",IF(DATOS!BI$4="Sí",(1/DATOS_[[% anualiz]:[% anualiz]]),1)*IF(DATOS!BI$5="Sí",1/DATOS_[[% normaliz]:[% normaliz]],1)*(DATOS_[C.Extra.01])))))))), 0)</f>
        <v>0</v>
      </c>
      <c r="AQ19" s="303" t="n">
        <f aca="false" t="array" ref="AQ19:AQ19">IFERROR( (AVERAGE((IF(DATOS_[[Sexo]:[Sexo]]=$B19,IF(DATOS_[[AGRUP. VALOR. PTO.]:[AGRUP. VALOR. PTO.]]=$B18,IF(DATOS_[[Check Periodo Ref.]:[Check Periodo Ref.]]="Dentro",IF(DATOS_[[Check Equiparado]:[Check Equiparado]]="Sí",IF(DATOS!BJ$4="Sí",(1/DATOS_[[% anualiz]:[% anualiz]]),1)*IF(DATOS!BJ$5="Sí",1/DATOS_[[% normaliz]:[% normaliz]],1)*(DATOS_[C.Extra.02])))))))), 0)</f>
        <v>0</v>
      </c>
      <c r="AR19" s="303" t="n">
        <f aca="false" t="array" ref="AR19:AR19">IFERROR( (AVERAGE((IF(DATOS_[[Sexo]:[Sexo]]=$B19,IF(DATOS_[[AGRUP. VALOR. PTO.]:[AGRUP. VALOR. PTO.]]=$B18,IF(DATOS_[[Check Periodo Ref.]:[Check Periodo Ref.]]="Dentro",IF(DATOS_[[Check Equiparado]:[Check Equiparado]]="Sí",IF(DATOS!BK$4="Sí",(1/DATOS_[[% anualiz]:[% anualiz]]),1)*IF(DATOS!BK$5="Sí",1/DATOS_[[% normaliz]:[% normaliz]],1)*(DATOS_[C.Extra.03])))))))), 0)</f>
        <v>0</v>
      </c>
      <c r="AS19" s="303" t="n">
        <f aca="false" t="array" ref="AS19:AS19">IFERROR( (AVERAGE((IF(DATOS_[[Sexo]:[Sexo]]=$B19,IF(DATOS_[[AGRUP. VALOR. PTO.]:[AGRUP. VALOR. PTO.]]=$B18,IF(DATOS_[[Check Periodo Ref.]:[Check Periodo Ref.]]="Dentro",IF(DATOS_[[Check Equiparado]:[Check Equiparado]]="Sí",IF(DATOS!BL$4="Sí",(1/DATOS_[[% anualiz]:[% anualiz]]),1)*IF(DATOS!BL$5="Sí",1/DATOS_[[% normaliz]:[% normaliz]],1)*(DATOS_[C.Extra.04])))))))), 0)</f>
        <v>0</v>
      </c>
      <c r="AT19" s="303" t="n">
        <f aca="false" t="array" ref="AT19:AT19">IFERROR( (AVERAGE((IF(DATOS_[[Sexo]:[Sexo]]=$B19,IF(DATOS_[[AGRUP. VALOR. PTO.]:[AGRUP. VALOR. PTO.]]=$B18,IF(DATOS_[[Check Periodo Ref.]:[Check Periodo Ref.]]="Dentro",IF(DATOS_[[Check Equiparado]:[Check Equiparado]]="Sí",IF(DATOS!BM$4="Sí",(1/DATOS_[[% anualiz]:[% anualiz]]),1)*IF(DATOS!BM$5="Sí",1/DATOS_[[% normaliz]:[% normaliz]],1)*(DATOS_[C.Extra.05])))))))), 0)</f>
        <v>0</v>
      </c>
      <c r="AU19" s="297" t="n">
        <f aca="false" t="array" ref="AU19:AU19">IFERROR( AVERAGE(IF(DATOS_[Sexo]=$B19,IF(DATOS_[[AGRUP. VALOR. PTO.]:[AGRUP. VALOR. PTO.]]=$B18,IF(DATOS_[Check Equiparado]="Sí",IF(DATOS_[Check Periodo Ref.]="Dentro",DATOS_[Tot Extrasalarial Eq],0))))), 0)</f>
        <v>0</v>
      </c>
      <c r="AV19" s="298" t="n">
        <f aca="false" t="array" ref="AV19:AV19">IFERROR( AVERAGE(IF(DATOS_[Sexo]=$B19,IF(DATOS_[[AGRUP. VALOR. PTO.]:[AGRUP. VALOR. PTO.]]=$B18,IF(DATOS_[Check Equiparado]="Sí",IF(DATOS_[Check Periodo Ref.]="Dentro",DATOS_[TOTAL Retrib Eq],0))))), 0)</f>
        <v>0</v>
      </c>
    </row>
    <row r="20" customFormat="false" ht="14.25" hidden="false" customHeight="false" outlineLevel="0" collapsed="false">
      <c r="A20" s="166" t="str">
        <f aca="false">+A19</f>
        <v>[ocultar]</v>
      </c>
      <c r="B20" s="289" t="s">
        <v>372</v>
      </c>
      <c r="C20" s="290" t="n">
        <f aca="false" t="array" ref="C20:C20">SUM(IF($B20=DATOS_[Sexo], IF($B18=DATOS_[AGRUP. VALOR. PTO.], IF("Dentro"=DATOS_[Check Periodo Ref.], 1/(COUNTIFS(DATOS_[Sexo],$B20,DATOS_[AGRUP. VALOR. PTO.],$B18,DATOS_[Check Periodo Ref.],"Dentro",DATOS_[id],DATOS_[id]))))))</f>
        <v>0</v>
      </c>
      <c r="D20" s="291" t="n">
        <f aca="false">COUNTIFS(DATOS_[AGRUP. VALOR. PTO.],$B18,DATOS_[Sexo],$B20,DATOS_[Check Periodo Ref.],"Dentro")</f>
        <v>0</v>
      </c>
      <c r="E20" s="291" t="n">
        <f aca="false">COUNTIFS(DATOS_[AGRUP. VALOR. PTO.],$B18,DATOS_[Sexo],$B20,DATOS_[Check Periodo Ref.],"Dentro",DATOS_[Check Nº SC Norm],"Sí")</f>
        <v>0</v>
      </c>
      <c r="F20" s="291" t="n">
        <f aca="false">COUNTIFS(DATOS_[AGRUP. VALOR. PTO.],$B18,DATOS_[Sexo],$B20,DATOS_[Check Periodo Ref.],"Dentro",DATOS_[Check Nº SC Anualiz],"Sí")</f>
        <v>0</v>
      </c>
      <c r="G20" s="291" t="n">
        <f aca="false">COUNTIFS(DATOS_[AGRUP. VALOR. PTO.],$B18,DATOS_[Sexo],$B20,DATOS_[Check Periodo Ref.],"Dentro",DATOS_[Check Nº SC Norm y Anualiz],"Sí")</f>
        <v>0</v>
      </c>
      <c r="H20" s="291" t="n">
        <f aca="false">COUNTIFS(DATOS_[AGRUP. VALOR. PTO.],$B18,DATOS_[Sexo],$B20,DATOS_[Check Periodo Ref.],"Dentro",DATOS_[Check Equiparación],"Sí")</f>
        <v>0</v>
      </c>
      <c r="I20" s="292" t="n">
        <f aca="false" t="array" ref="I20:I20">IFERROR( AVERAGE(IF(DATOS_[Sexo]=$B20,IF(DATOS_[[AGRUP. VALOR. PTO.]:[AGRUP. VALOR. PTO.]]=$B18,IF(DATOS_[Check Equiparado]="Sí",IF(DATOS_[Check Periodo Ref.]="Dentro",DATOS_[SALARIO BASE Eq],0))))), 0)</f>
        <v>0</v>
      </c>
      <c r="J20" s="302" t="n">
        <f aca="false" t="array" ref="J20:J20">IFERROR( (AVERAGE((IF(DATOS_[[Sexo]:[Sexo]]=$B20,IF(DATOS_[[AGRUP. VALOR. PTO.]:[AGRUP. VALOR. PTO.]]=$B18,IF(DATOS_[[Check Periodo Ref.]:[Check Periodo Ref.]]="Dentro",IF(DATOS_[[Check Equiparado]:[Check Equiparado]]="Sí",IF(DATOS!AE$4="Sí",(1/DATOS_[[% anualiz]:[% anualiz]]),1)*IF(DATOS!AE$5="Sí",1/DATOS_[[% normaliz]:[% normaliz]],1)*(DATOS_[Conc.Sal.01])))))))), 0)</f>
        <v>0</v>
      </c>
      <c r="K20" s="302" t="n">
        <f aca="false" t="array" ref="K20:K20">IFERROR( (AVERAGE((IF(DATOS_[[Sexo]:[Sexo]]=$B20,IF(DATOS_[[AGRUP. VALOR. PTO.]:[AGRUP. VALOR. PTO.]]=$B18,IF(DATOS_[[Check Periodo Ref.]:[Check Periodo Ref.]]="Dentro",IF(DATOS_[[Check Equiparado]:[Check Equiparado]]="Sí",IF(DATOS!AF$4="Sí",(1/DATOS_[[% anualiz]:[% anualiz]]),1)*IF(DATOS!AF$5="Sí",1/DATOS_[[% normaliz]:[% normaliz]],1)*(DATOS_[Conc.Sal.02])))))))), 0)</f>
        <v>0</v>
      </c>
      <c r="L20" s="302" t="n">
        <f aca="false" t="array" ref="L20:L20">IFERROR( (AVERAGE((IF(DATOS_[[Sexo]:[Sexo]]=$B20,IF(DATOS_[[AGRUP. VALOR. PTO.]:[AGRUP. VALOR. PTO.]]=$B18,IF(DATOS_[[Check Periodo Ref.]:[Check Periodo Ref.]]="Dentro",IF(DATOS_[[Check Equiparado]:[Check Equiparado]]="Sí",IF(DATOS!AG$4="Sí",(1/DATOS_[[% anualiz]:[% anualiz]]),1)*IF(DATOS!AG$5="Sí",1/DATOS_[[% normaliz]:[% normaliz]],1)*(DATOS_[Conc.Sal.03])))))))), 0)</f>
        <v>0</v>
      </c>
      <c r="M20" s="302" t="n">
        <f aca="false" t="array" ref="M20:M20">IFERROR( (AVERAGE((IF(DATOS_[[Sexo]:[Sexo]]=$B20,IF(DATOS_[[AGRUP. VALOR. PTO.]:[AGRUP. VALOR. PTO.]]=$B18,IF(DATOS_[[Check Periodo Ref.]:[Check Periodo Ref.]]="Dentro",IF(DATOS_[[Check Equiparado]:[Check Equiparado]]="Sí",IF(DATOS!AH$4="Sí",(1/DATOS_[[% anualiz]:[% anualiz]]),1)*IF(DATOS!AH$5="Sí",1/DATOS_[[% normaliz]:[% normaliz]],1)*(DATOS_[Conc.Sal.04])))))))), 0)</f>
        <v>0</v>
      </c>
      <c r="N20" s="302" t="n">
        <f aca="false" t="array" ref="N20:N20">IFERROR( (AVERAGE((IF(DATOS_[[Sexo]:[Sexo]]=$B20,IF(DATOS_[[AGRUP. VALOR. PTO.]:[AGRUP. VALOR. PTO.]]=$B18,IF(DATOS_[[Check Periodo Ref.]:[Check Periodo Ref.]]="Dentro",IF(DATOS_[[Check Equiparado]:[Check Equiparado]]="Sí",IF(DATOS!AI$4="Sí",(1/DATOS_[[% anualiz]:[% anualiz]]),1)*IF(DATOS!AI$5="Sí",1/DATOS_[[% normaliz]:[% normaliz]],1)*(DATOS_[Conc.Sal.05])))))))), 0)</f>
        <v>0</v>
      </c>
      <c r="O20" s="302" t="n">
        <f aca="false" t="array" ref="O20:O20">IFERROR( (AVERAGE((IF(DATOS_[[Sexo]:[Sexo]]=$B20,IF(DATOS_[[AGRUP. VALOR. PTO.]:[AGRUP. VALOR. PTO.]]=$B18,IF(DATOS_[[Check Periodo Ref.]:[Check Periodo Ref.]]="Dentro",IF(DATOS_[[Check Equiparado]:[Check Equiparado]]="Sí",IF(DATOS!AJ$4="Sí",(1/DATOS_[[% anualiz]:[% anualiz]]),1)*IF(DATOS!AJ$5="Sí",1/DATOS_[[% normaliz]:[% normaliz]],1)*(DATOS_[Conc.Sal.06])))))))), 0)</f>
        <v>0</v>
      </c>
      <c r="P20" s="302" t="n">
        <f aca="false" t="array" ref="P20:P20">IFERROR( (AVERAGE((IF(DATOS_[[Sexo]:[Sexo]]=$B20,IF(DATOS_[[AGRUP. VALOR. PTO.]:[AGRUP. VALOR. PTO.]]=$B18,IF(DATOS_[[Check Periodo Ref.]:[Check Periodo Ref.]]="Dentro",IF(DATOS_[[Check Equiparado]:[Check Equiparado]]="Sí",IF(DATOS!AK$4="Sí",(1/DATOS_[[% anualiz]:[% anualiz]]),1)*IF(DATOS!AK$5="Sí",1/DATOS_[[% normaliz]:[% normaliz]],1)*(DATOS_[Conc.Sal.07])))))))), 0)</f>
        <v>0</v>
      </c>
      <c r="Q20" s="302" t="n">
        <f aca="false" t="array" ref="Q20:Q20">IFERROR( (AVERAGE((IF(DATOS_[[Sexo]:[Sexo]]=$B20,IF(DATOS_[[AGRUP. VALOR. PTO.]:[AGRUP. VALOR. PTO.]]=$B18,IF(DATOS_[[Check Periodo Ref.]:[Check Periodo Ref.]]="Dentro",IF(DATOS_[[Check Equiparado]:[Check Equiparado]]="Sí",IF(DATOS!AL$4="Sí",(1/DATOS_[[% anualiz]:[% anualiz]]),1)*IF(DATOS!AL$5="Sí",1/DATOS_[[% normaliz]:[% normaliz]],1)*(DATOS_[Conc.Sal.08])))))))), 0)</f>
        <v>0</v>
      </c>
      <c r="R20" s="302" t="n">
        <f aca="false" t="array" ref="R20:R20">IFERROR( (AVERAGE((IF(DATOS_[[Sexo]:[Sexo]]=$B20,IF(DATOS_[[AGRUP. VALOR. PTO.]:[AGRUP. VALOR. PTO.]]=$B18,IF(DATOS_[[Check Periodo Ref.]:[Check Periodo Ref.]]="Dentro",IF(DATOS_[[Check Equiparado]:[Check Equiparado]]="Sí",IF(DATOS!AM$4="Sí",(1/DATOS_[[% anualiz]:[% anualiz]]),1)*IF(DATOS!AM$5="Sí",1/DATOS_[[% normaliz]:[% normaliz]],1)*(DATOS_[Conc.Sal.09])))))))), 0)</f>
        <v>0</v>
      </c>
      <c r="S20" s="302" t="n">
        <f aca="false" t="array" ref="S20:S20">IFERROR( (AVERAGE((IF(DATOS_[[Sexo]:[Sexo]]=$B20,IF(DATOS_[[AGRUP. VALOR. PTO.]:[AGRUP. VALOR. PTO.]]=$B18,IF(DATOS_[[Check Periodo Ref.]:[Check Periodo Ref.]]="Dentro",IF(DATOS_[[Check Equiparado]:[Check Equiparado]]="Sí",IF(DATOS!AN$4="Sí",(1/DATOS_[[% anualiz]:[% anualiz]]),1)*IF(DATOS!AN$5="Sí",1/DATOS_[[% normaliz]:[% normaliz]],1)*(DATOS_[Conc.Sal.10])))))))), 0)</f>
        <v>0</v>
      </c>
      <c r="T20" s="302" t="n">
        <f aca="false" t="array" ref="T20:T20">IFERROR( (AVERAGE((IF(DATOS_[[Sexo]:[Sexo]]=$B20,IF(DATOS_[[AGRUP. VALOR. PTO.]:[AGRUP. VALOR. PTO.]]=$B18,IF(DATOS_[[Check Periodo Ref.]:[Check Periodo Ref.]]="Dentro",IF(DATOS_[[Check Equiparado]:[Check Equiparado]]="Sí",IF(DATOS!AO$4="Sí",(1/DATOS_[[% anualiz]:[% anualiz]]),1)*IF(DATOS!AO$5="Sí",1/DATOS_[[% normaliz]:[% normaliz]],1)*(DATOS_[Conc.Sal.11])))))))), 0)</f>
        <v>0</v>
      </c>
      <c r="U20" s="302" t="n">
        <f aca="false" t="array" ref="U20:U20">IFERROR( (AVERAGE((IF(DATOS_[[Sexo]:[Sexo]]=$B20,IF(DATOS_[[AGRUP. VALOR. PTO.]:[AGRUP. VALOR. PTO.]]=$B18,IF(DATOS_[[Check Periodo Ref.]:[Check Periodo Ref.]]="Dentro",IF(DATOS_[[Check Equiparado]:[Check Equiparado]]="Sí",IF(DATOS!AP$4="Sí",(1/DATOS_[[% anualiz]:[% anualiz]]),1)*IF(DATOS!AP$5="Sí",1/DATOS_[[% normaliz]:[% normaliz]],1)*(DATOS_[Conc.Sal.12])))))))), 0)</f>
        <v>0</v>
      </c>
      <c r="V20" s="302" t="n">
        <f aca="false" t="array" ref="V20:V20">IFERROR( (AVERAGE((IF(DATOS_[[Sexo]:[Sexo]]=$B20,IF(DATOS_[[AGRUP. VALOR. PTO.]:[AGRUP. VALOR. PTO.]]=$B18,IF(DATOS_[[Check Periodo Ref.]:[Check Periodo Ref.]]="Dentro",IF(DATOS_[[Check Equiparado]:[Check Equiparado]]="Sí",IF(DATOS!AQ$4="Sí",(1/DATOS_[[% anualiz]:[% anualiz]]),1)*IF(DATOS!AQ$5="Sí",1/DATOS_[[% normaliz]:[% normaliz]],1)*(DATOS_[Conc.Sal.13])))))))), 0)</f>
        <v>0</v>
      </c>
      <c r="W20" s="302" t="n">
        <f aca="false" t="array" ref="W20:W20">IFERROR( (AVERAGE((IF(DATOS_[[Sexo]:[Sexo]]=$B20,IF(DATOS_[[AGRUP. VALOR. PTO.]:[AGRUP. VALOR. PTO.]]=$B18,IF(DATOS_[[Check Periodo Ref.]:[Check Periodo Ref.]]="Dentro",IF(DATOS_[[Check Equiparado]:[Check Equiparado]]="Sí",IF(DATOS!AR$4="Sí",(1/DATOS_[[% anualiz]:[% anualiz]]),1)*IF(DATOS!AR$5="Sí",1/DATOS_[[% normaliz]:[% normaliz]],1)*(DATOS_[Conc.Sal.14])))))))), 0)</f>
        <v>0</v>
      </c>
      <c r="X20" s="302" t="n">
        <f aca="false" t="array" ref="X20:X20">IFERROR( (AVERAGE((IF(DATOS_[[Sexo]:[Sexo]]=$B20,IF(DATOS_[[AGRUP. VALOR. PTO.]:[AGRUP. VALOR. PTO.]]=$B18,IF(DATOS_[[Check Periodo Ref.]:[Check Periodo Ref.]]="Dentro",IF(DATOS_[[Check Equiparado]:[Check Equiparado]]="Sí",IF(DATOS!AS$4="Sí",(1/DATOS_[[% anualiz]:[% anualiz]]),1)*IF(DATOS!AS$5="Sí",1/DATOS_[[% normaliz]:[% normaliz]],1)*(DATOS_[Conc.Sal.15])))))))), 0)</f>
        <v>0</v>
      </c>
      <c r="Y20" s="302" t="n">
        <f aca="false" t="array" ref="Y20:Y20">IFERROR( (AVERAGE((IF(DATOS_[[Sexo]:[Sexo]]=$B20,IF(DATOS_[[AGRUP. VALOR. PTO.]:[AGRUP. VALOR. PTO.]]=$B18,IF(DATOS_[[Check Periodo Ref.]:[Check Periodo Ref.]]="Dentro",IF(DATOS_[[Check Equiparado]:[Check Equiparado]]="Sí",IF(DATOS!AT$4="Sí",(1/DATOS_[[% anualiz]:[% anualiz]]),1)*IF(DATOS!AT$5="Sí",1/DATOS_[[% normaliz]:[% normaliz]],1)*(DATOS_[Conc.Sal.16])))))))), 0)</f>
        <v>0</v>
      </c>
      <c r="Z20" s="302" t="n">
        <f aca="false" t="array" ref="Z20:Z20">IFERROR( (AVERAGE((IF(DATOS_[[Sexo]:[Sexo]]=$B20,IF(DATOS_[[AGRUP. VALOR. PTO.]:[AGRUP. VALOR. PTO.]]=$B18,IF(DATOS_[[Check Periodo Ref.]:[Check Periodo Ref.]]="Dentro",IF(DATOS_[[Check Equiparado]:[Check Equiparado]]="Sí",IF(DATOS!AU$4="Sí",(1/DATOS_[[% anualiz]:[% anualiz]]),1)*IF(DATOS!AU$5="Sí",1/DATOS_[[% normaliz]:[% normaliz]],1)*(DATOS_[Conc.Sal.17])))))))), 0)</f>
        <v>0</v>
      </c>
      <c r="AA20" s="302" t="n">
        <f aca="false" t="array" ref="AA20:AA20">IFERROR( (AVERAGE((IF(DATOS_[[Sexo]:[Sexo]]=$B20,IF(DATOS_[[AGRUP. VALOR. PTO.]:[AGRUP. VALOR. PTO.]]=$B18,IF(DATOS_[[Check Periodo Ref.]:[Check Periodo Ref.]]="Dentro",IF(DATOS_[[Check Equiparado]:[Check Equiparado]]="Sí",IF(DATOS!AV$4="Sí",(1/DATOS_[[% anualiz]:[% anualiz]]),1)*IF(DATOS!AV$5="Sí",1/DATOS_[[% normaliz]:[% normaliz]],1)*(DATOS_[Conc.Sal.18])))))))), 0)</f>
        <v>0</v>
      </c>
      <c r="AB20" s="302" t="n">
        <f aca="false" t="array" ref="AB20:AB20">IFERROR( (AVERAGE((IF(DATOS_[[Sexo]:[Sexo]]=$B20,IF(DATOS_[[AGRUP. VALOR. PTO.]:[AGRUP. VALOR. PTO.]]=$B18,IF(DATOS_[[Check Periodo Ref.]:[Check Periodo Ref.]]="Dentro",IF(DATOS_[[Check Equiparado]:[Check Equiparado]]="Sí",IF(DATOS!AW$4="Sí",(1/DATOS_[[% anualiz]:[% anualiz]]),1)*IF(DATOS!AW$5="Sí",1/DATOS_[[% normaliz]:[% normaliz]],1)*(DATOS_[Conc.Sal.19])))))))), 0)</f>
        <v>0</v>
      </c>
      <c r="AC20" s="302" t="n">
        <f aca="false" t="array" ref="AC20:AC20">IFERROR( (AVERAGE((IF(DATOS_[[Sexo]:[Sexo]]=$B20,IF(DATOS_[[AGRUP. VALOR. PTO.]:[AGRUP. VALOR. PTO.]]=$B18,IF(DATOS_[[Check Periodo Ref.]:[Check Periodo Ref.]]="Dentro",IF(DATOS_[[Check Equiparado]:[Check Equiparado]]="Sí",IF(DATOS!AX$4="Sí",(1/DATOS_[[% anualiz]:[% anualiz]]),1)*IF(DATOS!AX$5="Sí",1/DATOS_[[% normaliz]:[% normaliz]],1)*(DATOS_[Conc.Sal.20])))))))), 0)</f>
        <v>0</v>
      </c>
      <c r="AD20" s="302" t="n">
        <f aca="false" t="array" ref="AD20:AD20">IFERROR( (AVERAGE((IF(DATOS_[[Sexo]:[Sexo]]=$B20,IF(DATOS_[[AGRUP. VALOR. PTO.]:[AGRUP. VALOR. PTO.]]=$B18,IF(DATOS_[[Check Periodo Ref.]:[Check Periodo Ref.]]="Dentro",IF(DATOS_[[Check Equiparado]:[Check Equiparado]]="Sí",IF(DATOS!AY$4="Sí",(1/DATOS_[[% anualiz]:[% anualiz]]),1)*IF(DATOS!AY$5="Sí",1/DATOS_[[% normaliz]:[% normaliz]],1)*(DATOS_[Conc.Sal.21])))))))), 0)</f>
        <v>0</v>
      </c>
      <c r="AE20" s="302" t="n">
        <f aca="false" t="array" ref="AE20:AE20">IFERROR( (AVERAGE((IF(DATOS_[[Sexo]:[Sexo]]=$B20,IF(DATOS_[[AGRUP. VALOR. PTO.]:[AGRUP. VALOR. PTO.]]=$B18,IF(DATOS_[[Check Periodo Ref.]:[Check Periodo Ref.]]="Dentro",IF(DATOS_[[Check Equiparado]:[Check Equiparado]]="Sí",IF(DATOS!AZ$4="Sí",(1/DATOS_[[% anualiz]:[% anualiz]]),1)*IF(DATOS!AZ$5="Sí",1/DATOS_[[% normaliz]:[% normaliz]],1)*(DATOS_[Conc.Sal.22])))))))), 0)</f>
        <v>0</v>
      </c>
      <c r="AF20" s="302" t="n">
        <f aca="false" t="array" ref="AF20:AF20">IFERROR( (AVERAGE((IF(DATOS_[[Sexo]:[Sexo]]=$B20,IF(DATOS_[[AGRUP. VALOR. PTO.]:[AGRUP. VALOR. PTO.]]=$B18,IF(DATOS_[[Check Periodo Ref.]:[Check Periodo Ref.]]="Dentro",IF(DATOS_[[Check Equiparado]:[Check Equiparado]]="Sí",IF(DATOS!BA$4="Sí",(1/DATOS_[[% anualiz]:[% anualiz]]),1)*IF(DATOS!BA$5="Sí",1/DATOS_[[% normaliz]:[% normaliz]],1)*(DATOS_[Conc.Sal.23])))))))), 0)</f>
        <v>0</v>
      </c>
      <c r="AG20" s="302" t="n">
        <f aca="false" t="array" ref="AG20:AG20">IFERROR( (AVERAGE((IF(DATOS_[[Sexo]:[Sexo]]=$B20,IF(DATOS_[[AGRUP. VALOR. PTO.]:[AGRUP. VALOR. PTO.]]=$B18,IF(DATOS_[[Check Periodo Ref.]:[Check Periodo Ref.]]="Dentro",IF(DATOS_[[Check Equiparado]:[Check Equiparado]]="Sí",IF(DATOS!BB$4="Sí",(1/DATOS_[[% anualiz]:[% anualiz]]),1)*IF(DATOS!BB$5="Sí",1/DATOS_[[% normaliz]:[% normaliz]],1)*(DATOS_[Conc.Sal.24])))))))), 0)</f>
        <v>0</v>
      </c>
      <c r="AH20" s="302" t="n">
        <f aca="false" t="array" ref="AH20:AH20">IFERROR( (AVERAGE((IF(DATOS_[[Sexo]:[Sexo]]=$B20,IF(DATOS_[[AGRUP. VALOR. PTO.]:[AGRUP. VALOR. PTO.]]=$B18,IF(DATOS_[[Check Periodo Ref.]:[Check Periodo Ref.]]="Dentro",IF(DATOS_[[Check Equiparado]:[Check Equiparado]]="Sí",IF(DATOS!BC$4="Sí",(1/DATOS_[[% anualiz]:[% anualiz]]),1)*IF(DATOS!BC$5="Sí",1/DATOS_[[% normaliz]:[% normaliz]],1)*(DATOS_[Conc.Sal.25])))))))), 0)</f>
        <v>0</v>
      </c>
      <c r="AI20" s="302" t="n">
        <f aca="false" t="array" ref="AI20:AI20">IFERROR( (AVERAGE((IF(DATOS_[[Sexo]:[Sexo]]=$B20,IF(DATOS_[[AGRUP. VALOR. PTO.]:[AGRUP. VALOR. PTO.]]=$B18,IF(DATOS_[[Check Periodo Ref.]:[Check Periodo Ref.]]="Dentro",IF(DATOS_[[Check Equiparado]:[Check Equiparado]]="Sí",IF(DATOS!BD$4="Sí",(1/DATOS_[[% anualiz]:[% anualiz]]),1)*IF(DATOS!BD$5="Sí",1/DATOS_[[% normaliz]:[% normaliz]],1)*(DATOS_[Conc.Sal.26])))))))), 0)</f>
        <v>0</v>
      </c>
      <c r="AJ20" s="302" t="n">
        <f aca="false" t="array" ref="AJ20:AJ20">IFERROR( (AVERAGE((IF(DATOS_[[Sexo]:[Sexo]]=$B20,IF(DATOS_[[AGRUP. VALOR. PTO.]:[AGRUP. VALOR. PTO.]]=$B18,IF(DATOS_[[Check Periodo Ref.]:[Check Periodo Ref.]]="Dentro",IF(DATOS_[[Check Equiparado]:[Check Equiparado]]="Sí",IF(DATOS!BE$4="Sí",(1/DATOS_[[% anualiz]:[% anualiz]]),1)*IF(DATOS!BE$5="Sí",1/DATOS_[[% normaliz]:[% normaliz]],1)*(DATOS_[Conc.Sal.27])))))))), 0)</f>
        <v>0</v>
      </c>
      <c r="AK20" s="302" t="n">
        <f aca="false" t="array" ref="AK20:AK20">IFERROR( (AVERAGE((IF(DATOS_[[Sexo]:[Sexo]]=$B20,IF(DATOS_[[AGRUP. VALOR. PTO.]:[AGRUP. VALOR. PTO.]]=$B18,IF(DATOS_[[Check Periodo Ref.]:[Check Periodo Ref.]]="Dentro",IF(DATOS_[[Check Equiparado]:[Check Equiparado]]="Sí",IF(DATOS!BF$4="Sí",(1/DATOS_[[% anualiz]:[% anualiz]]),1)*IF(DATOS!BF$5="Sí",1/DATOS_[[% normaliz]:[% normaliz]],1)*(DATOS_[Conc.Sal.28])))))))), 0)</f>
        <v>0</v>
      </c>
      <c r="AL20" s="302" t="n">
        <f aca="false" t="array" ref="AL20:AL20">IFERROR( (AVERAGE((IF(DATOS_[[Sexo]:[Sexo]]=$B20,IF(DATOS_[[AGRUP. VALOR. PTO.]:[AGRUP. VALOR. PTO.]]=$B18,IF(DATOS_[[Check Periodo Ref.]:[Check Periodo Ref.]]="Dentro",IF(DATOS_[[Check Equiparado]:[Check Equiparado]]="Sí",IF(DATOS!BG$4="Sí",(1/DATOS_[[% anualiz]:[% anualiz]]),1)*IF(DATOS!BG$5="Sí",1/DATOS_[[% normaliz]:[% normaliz]],1)*(DATOS_[Conc.Sal.29])))))))), 0)</f>
        <v>0</v>
      </c>
      <c r="AM20" s="302" t="n">
        <f aca="false" t="array" ref="AM20:AM20">IFERROR( (AVERAGE((IF(DATOS_[[Sexo]:[Sexo]]=$B20,IF(DATOS_[[AGRUP. VALOR. PTO.]:[AGRUP. VALOR. PTO.]]=$B18,IF(DATOS_[[Check Periodo Ref.]:[Check Periodo Ref.]]="Dentro",IF(DATOS_[[Check Equiparado]:[Check Equiparado]]="Sí",IF(DATOS!BH$4="Sí",(1/DATOS_[[% anualiz]:[% anualiz]]),1)*IF(DATOS!BH$5="Sí",1/DATOS_[[% normaliz]:[% normaliz]],1)*(DATOS_[Conc.Sal.30])))))))), 0)</f>
        <v>0</v>
      </c>
      <c r="AN20" s="294" t="n">
        <f aca="false" t="array" ref="AN20:AN20">IFERROR( AVERAGE(IF(DATOS_[Sexo]=$B20,IF(DATOS_[[AGRUP. VALOR. PTO.]:[AGRUP. VALOR. PTO.]]=$B18,IF(DATOS_[Check Equiparado]="Sí",IF(DATOS_[Check Periodo Ref.]="Dentro",DATOS_[Tot COMPL.SAL Eq],0))))), 0)</f>
        <v>0</v>
      </c>
      <c r="AO20" s="295" t="n">
        <f aca="false" t="array" ref="AO20:AO20">IFERROR( AVERAGE(IF(DATOS_[Sexo]=$B20,IF(DATOS_[[AGRUP. VALOR. PTO.]:[AGRUP. VALOR. PTO.]]=$B18,IF(DATOS_[Check Equiparado]="Sí",IF(DATOS_[Check Periodo Ref.]="Dentro",DATOS_[TOTAL SALARIO Eq],0))))), 0)</f>
        <v>0</v>
      </c>
      <c r="AP20" s="303" t="n">
        <f aca="false" t="array" ref="AP20:AP20">IFERROR( (AVERAGE((IF(DATOS_[[Sexo]:[Sexo]]=$B20,IF(DATOS_[[AGRUP. VALOR. PTO.]:[AGRUP. VALOR. PTO.]]=$B19,IF(DATOS_[[Check Periodo Ref.]:[Check Periodo Ref.]]="Dentro",IF(DATOS_[[Check Equiparado]:[Check Equiparado]]="Sí",IF(DATOS!BI$4="Sí",(1/DATOS_[[% anualiz]:[% anualiz]]),1)*IF(DATOS!BI$5="Sí",1/DATOS_[[% normaliz]:[% normaliz]],1)*(DATOS_[C.Extra.01])))))))), 0)</f>
        <v>0</v>
      </c>
      <c r="AQ20" s="303" t="n">
        <f aca="false" t="array" ref="AQ20:AQ20">IFERROR( (AVERAGE((IF(DATOS_[[Sexo]:[Sexo]]=$B20,IF(DATOS_[[AGRUP. VALOR. PTO.]:[AGRUP. VALOR. PTO.]]=$B19,IF(DATOS_[[Check Periodo Ref.]:[Check Periodo Ref.]]="Dentro",IF(DATOS_[[Check Equiparado]:[Check Equiparado]]="Sí",IF(DATOS!BJ$4="Sí",(1/DATOS_[[% anualiz]:[% anualiz]]),1)*IF(DATOS!BJ$5="Sí",1/DATOS_[[% normaliz]:[% normaliz]],1)*(DATOS_[C.Extra.02])))))))), 0)</f>
        <v>0</v>
      </c>
      <c r="AR20" s="303" t="n">
        <f aca="false" t="array" ref="AR20:AR20">IFERROR( (AVERAGE((IF(DATOS_[[Sexo]:[Sexo]]=$B20,IF(DATOS_[[AGRUP. VALOR. PTO.]:[AGRUP. VALOR. PTO.]]=$B19,IF(DATOS_[[Check Periodo Ref.]:[Check Periodo Ref.]]="Dentro",IF(DATOS_[[Check Equiparado]:[Check Equiparado]]="Sí",IF(DATOS!BK$4="Sí",(1/DATOS_[[% anualiz]:[% anualiz]]),1)*IF(DATOS!BK$5="Sí",1/DATOS_[[% normaliz]:[% normaliz]],1)*(DATOS_[C.Extra.03])))))))), 0)</f>
        <v>0</v>
      </c>
      <c r="AS20" s="303" t="n">
        <f aca="false" t="array" ref="AS20:AS20">IFERROR( (AVERAGE((IF(DATOS_[[Sexo]:[Sexo]]=$B20,IF(DATOS_[[AGRUP. VALOR. PTO.]:[AGRUP. VALOR. PTO.]]=$B19,IF(DATOS_[[Check Periodo Ref.]:[Check Periodo Ref.]]="Dentro",IF(DATOS_[[Check Equiparado]:[Check Equiparado]]="Sí",IF(DATOS!BL$4="Sí",(1/DATOS_[[% anualiz]:[% anualiz]]),1)*IF(DATOS!BL$5="Sí",1/DATOS_[[% normaliz]:[% normaliz]],1)*(DATOS_[C.Extra.04])))))))), 0)</f>
        <v>0</v>
      </c>
      <c r="AT20" s="303" t="n">
        <f aca="false" t="array" ref="AT20:AT20">IFERROR( (AVERAGE((IF(DATOS_[[Sexo]:[Sexo]]=$B20,IF(DATOS_[[AGRUP. VALOR. PTO.]:[AGRUP. VALOR. PTO.]]=$B19,IF(DATOS_[[Check Periodo Ref.]:[Check Periodo Ref.]]="Dentro",IF(DATOS_[[Check Equiparado]:[Check Equiparado]]="Sí",IF(DATOS!BM$4="Sí",(1/DATOS_[[% anualiz]:[% anualiz]]),1)*IF(DATOS!BM$5="Sí",1/DATOS_[[% normaliz]:[% normaliz]],1)*(DATOS_[C.Extra.05])))))))), 0)</f>
        <v>0</v>
      </c>
      <c r="AU20" s="297" t="n">
        <f aca="false" t="array" ref="AU20:AU20">IFERROR( AVERAGE(IF(DATOS_[Sexo]=$B20,IF(DATOS_[[AGRUP. VALOR. PTO.]:[AGRUP. VALOR. PTO.]]=$B18,IF(DATOS_[Check Equiparado]="Sí",IF(DATOS_[Check Periodo Ref.]="Dentro",DATOS_[Tot Extrasalarial Eq],0))))), 0)</f>
        <v>0</v>
      </c>
      <c r="AV20" s="298" t="n">
        <f aca="false" t="array" ref="AV20:AV20">IFERROR( AVERAGE(IF(DATOS_[Sexo]=$B20,IF(DATOS_[[AGRUP. VALOR. PTO.]:[AGRUP. VALOR. PTO.]]=$B18,IF(DATOS_[Check Equiparado]="Sí",IF(DATOS_[Check Periodo Ref.]="Dentro",DATOS_[TOTAL Retrib Eq],0))))), 0)</f>
        <v>0</v>
      </c>
    </row>
    <row r="21" customFormat="false" ht="15.75" hidden="false" customHeight="false" outlineLevel="0" collapsed="false">
      <c r="A21" s="166" t="str">
        <f aca="false">+A22</f>
        <v>[ocultar]</v>
      </c>
      <c r="B21" s="276" t="s">
        <v>178</v>
      </c>
      <c r="C21" s="277"/>
      <c r="D21" s="278"/>
      <c r="E21" s="278"/>
      <c r="F21" s="278"/>
      <c r="G21" s="278"/>
      <c r="H21" s="278"/>
      <c r="I21" s="279" t="str">
        <f aca="false">IFERROR((I22-I23)/I22,"")</f>
        <v/>
      </c>
      <c r="J21" s="280" t="str">
        <f aca="false">IFERROR((J22-J23)/J22,"")</f>
        <v/>
      </c>
      <c r="K21" s="281" t="str">
        <f aca="false">IFERROR((K22-K23)/K22,"")</f>
        <v/>
      </c>
      <c r="L21" s="281" t="str">
        <f aca="false">IFERROR((L22-L23)/L22,"")</f>
        <v/>
      </c>
      <c r="M21" s="281" t="str">
        <f aca="false">IFERROR((M22-M23)/M22,"")</f>
        <v/>
      </c>
      <c r="N21" s="282" t="str">
        <f aca="false">IFERROR((N22-N23)/N22,"")</f>
        <v/>
      </c>
      <c r="O21" s="283" t="str">
        <f aca="false">IFERROR((O22-O23)/O22,"")</f>
        <v/>
      </c>
      <c r="P21" s="283" t="str">
        <f aca="false">IFERROR((P22-P23)/P22,"")</f>
        <v/>
      </c>
      <c r="Q21" s="283" t="str">
        <f aca="false">IFERROR((Q22-Q23)/Q22,"")</f>
        <v/>
      </c>
      <c r="R21" s="283" t="str">
        <f aca="false">IFERROR((R22-R23)/R22,"")</f>
        <v/>
      </c>
      <c r="S21" s="283" t="str">
        <f aca="false">IFERROR((S22-S23)/S22,"")</f>
        <v/>
      </c>
      <c r="T21" s="283" t="str">
        <f aca="false">IFERROR((T22-T23)/T22,"")</f>
        <v/>
      </c>
      <c r="U21" s="283" t="str">
        <f aca="false">IFERROR((U22-U23)/U22,"")</f>
        <v/>
      </c>
      <c r="V21" s="283" t="str">
        <f aca="false">IFERROR((V22-V23)/V22,"")</f>
        <v/>
      </c>
      <c r="W21" s="283" t="str">
        <f aca="false">IFERROR((W22-W23)/W22,"")</f>
        <v/>
      </c>
      <c r="X21" s="283" t="str">
        <f aca="false">IFERROR((X22-X23)/X22,"")</f>
        <v/>
      </c>
      <c r="Y21" s="283" t="str">
        <f aca="false">IFERROR((Y22-Y23)/Y22,"")</f>
        <v/>
      </c>
      <c r="Z21" s="282" t="str">
        <f aca="false">IFERROR((Z22-Z23)/Z22,"")</f>
        <v/>
      </c>
      <c r="AA21" s="282" t="str">
        <f aca="false">IFERROR((AA22-AA23)/AA22,"")</f>
        <v/>
      </c>
      <c r="AB21" s="282" t="str">
        <f aca="false">IFERROR((AB22-AB23)/AB22,"")</f>
        <v/>
      </c>
      <c r="AC21" s="282" t="str">
        <f aca="false">IFERROR((AC22-AC23)/AC22,"")</f>
        <v/>
      </c>
      <c r="AD21" s="282" t="str">
        <f aca="false">IFERROR((AD22-AD23)/AD22,"")</f>
        <v/>
      </c>
      <c r="AE21" s="282" t="str">
        <f aca="false">IFERROR((AE22-AE23)/AE22,"")</f>
        <v/>
      </c>
      <c r="AF21" s="282" t="str">
        <f aca="false">IFERROR((AF22-AF23)/AF22,"")</f>
        <v/>
      </c>
      <c r="AG21" s="282" t="str">
        <f aca="false">IFERROR((AG22-AG23)/AG22,"")</f>
        <v/>
      </c>
      <c r="AH21" s="282" t="str">
        <f aca="false">IFERROR((AH22-AH23)/AH22,"")</f>
        <v/>
      </c>
      <c r="AI21" s="282" t="str">
        <f aca="false">IFERROR((AI22-AI23)/AI22,"")</f>
        <v/>
      </c>
      <c r="AJ21" s="282" t="str">
        <f aca="false">IFERROR((AJ22-AJ23)/AJ22,"")</f>
        <v/>
      </c>
      <c r="AK21" s="282" t="str">
        <f aca="false">IFERROR((AK22-AK23)/AK22,"")</f>
        <v/>
      </c>
      <c r="AL21" s="282" t="str">
        <f aca="false">IFERROR((AL22-AL23)/AL22,"")</f>
        <v/>
      </c>
      <c r="AM21" s="282" t="str">
        <f aca="false">IFERROR((AM22-AM23)/AM22,"")</f>
        <v/>
      </c>
      <c r="AN21" s="284" t="str">
        <f aca="false">IFERROR((AN22-AN23)/AN22,"")</f>
        <v/>
      </c>
      <c r="AO21" s="285" t="str">
        <f aca="false">IFERROR((AO22-AO23)/AO22,"")</f>
        <v/>
      </c>
      <c r="AP21" s="286" t="str">
        <f aca="false">IFERROR((AP22-AP23)/AP22,"")</f>
        <v/>
      </c>
      <c r="AQ21" s="286" t="str">
        <f aca="false">IFERROR((AQ22-AQ23)/AQ22,"")</f>
        <v/>
      </c>
      <c r="AR21" s="286" t="str">
        <f aca="false">IFERROR((AR22-AR23)/AR22,"")</f>
        <v/>
      </c>
      <c r="AS21" s="286" t="str">
        <f aca="false">IFERROR((AS22-AS23)/AS22,"")</f>
        <v/>
      </c>
      <c r="AT21" s="286" t="str">
        <f aca="false">IFERROR((AT22-AT23)/AT22,"")</f>
        <v/>
      </c>
      <c r="AU21" s="287" t="str">
        <f aca="false">IFERROR((AU22-AU23)/AU22,"")</f>
        <v/>
      </c>
      <c r="AV21" s="288" t="str">
        <f aca="false">IFERROR((AV22-AV23)/AV22,"")</f>
        <v/>
      </c>
    </row>
    <row r="22" customFormat="false" ht="14.25" hidden="false" customHeight="false" outlineLevel="0" collapsed="false">
      <c r="A22" s="166" t="str">
        <f aca="false">+IF(C22+C23=0,"[ocultar]","")</f>
        <v>[ocultar]</v>
      </c>
      <c r="B22" s="289" t="s">
        <v>371</v>
      </c>
      <c r="C22" s="290" t="n">
        <f aca="false" t="array" ref="C22:C22">SUM(IF($B22=DATOS_[Sexo], IF($B21=DATOS_[AGRUP. VALOR. PTO.], IF("Dentro"=DATOS_[Check Periodo Ref.], 1/(COUNTIFS(DATOS_[Sexo],$B22,DATOS_[AGRUP. VALOR. PTO.],$B21,DATOS_[Check Periodo Ref.],"Dentro",DATOS_[id],DATOS_[id]))))))</f>
        <v>0</v>
      </c>
      <c r="D22" s="291" t="n">
        <f aca="false">COUNTIFS(DATOS_[AGRUP. VALOR. PTO.],$B21,DATOS_[Sexo],$B22,DATOS_[Check Periodo Ref.],"Dentro")</f>
        <v>0</v>
      </c>
      <c r="E22" s="291" t="n">
        <f aca="false">COUNTIFS(DATOS_[AGRUP. VALOR. PTO.],$B21,DATOS_[Sexo],$B22,DATOS_[Check Periodo Ref.],"Dentro",DATOS_[Check Nº SC Norm],"Sí")</f>
        <v>0</v>
      </c>
      <c r="F22" s="291" t="n">
        <f aca="false">COUNTIFS(DATOS_[AGRUP. VALOR. PTO.],$B21,DATOS_[Sexo],$B22,DATOS_[Check Periodo Ref.],"Dentro",DATOS_[Check Nº SC Anualiz],"Sí")</f>
        <v>0</v>
      </c>
      <c r="G22" s="291" t="n">
        <f aca="false">COUNTIFS(DATOS_[AGRUP. VALOR. PTO.],$B21,DATOS_[Sexo],$B22,DATOS_[Check Periodo Ref.],"Dentro",DATOS_[Check Nº SC Norm y Anualiz],"Sí")</f>
        <v>0</v>
      </c>
      <c r="H22" s="291" t="n">
        <f aca="false">COUNTIFS(DATOS_[AGRUP. VALOR. PTO.],$B21,DATOS_[Sexo],$B22,DATOS_[Check Periodo Ref.],"Dentro",DATOS_[Check Equiparación],"Sí")</f>
        <v>0</v>
      </c>
      <c r="I22" s="292" t="n">
        <f aca="false" t="array" ref="I22:I22">IFERROR( AVERAGE(IF(DATOS_[Sexo]=$B22,IF(DATOS_[[AGRUP. VALOR. PTO.]:[AGRUP. VALOR. PTO.]]=$B21,IF(DATOS_[Check Equiparado]="Sí",IF(DATOS_[Check Periodo Ref.]="Dentro",DATOS_[SALARIO BASE Eq],0))))), 0)</f>
        <v>0</v>
      </c>
      <c r="J22" s="302" t="n">
        <f aca="false" t="array" ref="J22:J22">IFERROR( (AVERAGE((IF(DATOS_[[Sexo]:[Sexo]]=$B22,IF(DATOS_[[AGRUP. VALOR. PTO.]:[AGRUP. VALOR. PTO.]]=$B21,IF(DATOS_[[Check Periodo Ref.]:[Check Periodo Ref.]]="Dentro",IF(DATOS_[[Check Equiparado]:[Check Equiparado]]="Sí",IF(DATOS!AE$4="Sí",(1/DATOS_[[% anualiz]:[% anualiz]]),1)*IF(DATOS!AE$5="Sí",1/DATOS_[[% normaliz]:[% normaliz]],1)*(DATOS_[Conc.Sal.01])))))))), 0)</f>
        <v>0</v>
      </c>
      <c r="K22" s="302" t="n">
        <f aca="false" t="array" ref="K22:K22">IFERROR( (AVERAGE((IF(DATOS_[[Sexo]:[Sexo]]=$B22,IF(DATOS_[[AGRUP. VALOR. PTO.]:[AGRUP. VALOR. PTO.]]=$B21,IF(DATOS_[[Check Periodo Ref.]:[Check Periodo Ref.]]="Dentro",IF(DATOS_[[Check Equiparado]:[Check Equiparado]]="Sí",IF(DATOS!AF$4="Sí",(1/DATOS_[[% anualiz]:[% anualiz]]),1)*IF(DATOS!AF$5="Sí",1/DATOS_[[% normaliz]:[% normaliz]],1)*(DATOS_[Conc.Sal.02])))))))), 0)</f>
        <v>0</v>
      </c>
      <c r="L22" s="302" t="n">
        <f aca="false" t="array" ref="L22:L22">IFERROR( (AVERAGE((IF(DATOS_[[Sexo]:[Sexo]]=$B22,IF(DATOS_[[AGRUP. VALOR. PTO.]:[AGRUP. VALOR. PTO.]]=$B21,IF(DATOS_[[Check Periodo Ref.]:[Check Periodo Ref.]]="Dentro",IF(DATOS_[[Check Equiparado]:[Check Equiparado]]="Sí",IF(DATOS!AG$4="Sí",(1/DATOS_[[% anualiz]:[% anualiz]]),1)*IF(DATOS!AG$5="Sí",1/DATOS_[[% normaliz]:[% normaliz]],1)*(DATOS_[Conc.Sal.03])))))))), 0)</f>
        <v>0</v>
      </c>
      <c r="M22" s="302" t="n">
        <f aca="false" t="array" ref="M22:M22">IFERROR( (AVERAGE((IF(DATOS_[[Sexo]:[Sexo]]=$B22,IF(DATOS_[[AGRUP. VALOR. PTO.]:[AGRUP. VALOR. PTO.]]=$B21,IF(DATOS_[[Check Periodo Ref.]:[Check Periodo Ref.]]="Dentro",IF(DATOS_[[Check Equiparado]:[Check Equiparado]]="Sí",IF(DATOS!AH$4="Sí",(1/DATOS_[[% anualiz]:[% anualiz]]),1)*IF(DATOS!AH$5="Sí",1/DATOS_[[% normaliz]:[% normaliz]],1)*(DATOS_[Conc.Sal.04])))))))), 0)</f>
        <v>0</v>
      </c>
      <c r="N22" s="302" t="n">
        <f aca="false" t="array" ref="N22:N22">IFERROR( (AVERAGE((IF(DATOS_[[Sexo]:[Sexo]]=$B22,IF(DATOS_[[AGRUP. VALOR. PTO.]:[AGRUP. VALOR. PTO.]]=$B21,IF(DATOS_[[Check Periodo Ref.]:[Check Periodo Ref.]]="Dentro",IF(DATOS_[[Check Equiparado]:[Check Equiparado]]="Sí",IF(DATOS!AI$4="Sí",(1/DATOS_[[% anualiz]:[% anualiz]]),1)*IF(DATOS!AI$5="Sí",1/DATOS_[[% normaliz]:[% normaliz]],1)*(DATOS_[Conc.Sal.05])))))))), 0)</f>
        <v>0</v>
      </c>
      <c r="O22" s="302" t="n">
        <f aca="false" t="array" ref="O22:O22">IFERROR( (AVERAGE((IF(DATOS_[[Sexo]:[Sexo]]=$B22,IF(DATOS_[[AGRUP. VALOR. PTO.]:[AGRUP. VALOR. PTO.]]=$B21,IF(DATOS_[[Check Periodo Ref.]:[Check Periodo Ref.]]="Dentro",IF(DATOS_[[Check Equiparado]:[Check Equiparado]]="Sí",IF(DATOS!AJ$4="Sí",(1/DATOS_[[% anualiz]:[% anualiz]]),1)*IF(DATOS!AJ$5="Sí",1/DATOS_[[% normaliz]:[% normaliz]],1)*(DATOS_[Conc.Sal.06])))))))), 0)</f>
        <v>0</v>
      </c>
      <c r="P22" s="302" t="n">
        <f aca="false" t="array" ref="P22:P22">IFERROR( (AVERAGE((IF(DATOS_[[Sexo]:[Sexo]]=$B22,IF(DATOS_[[AGRUP. VALOR. PTO.]:[AGRUP. VALOR. PTO.]]=$B21,IF(DATOS_[[Check Periodo Ref.]:[Check Periodo Ref.]]="Dentro",IF(DATOS_[[Check Equiparado]:[Check Equiparado]]="Sí",IF(DATOS!AK$4="Sí",(1/DATOS_[[% anualiz]:[% anualiz]]),1)*IF(DATOS!AK$5="Sí",1/DATOS_[[% normaliz]:[% normaliz]],1)*(DATOS_[Conc.Sal.07])))))))), 0)</f>
        <v>0</v>
      </c>
      <c r="Q22" s="302" t="n">
        <f aca="false" t="array" ref="Q22:Q22">IFERROR( (AVERAGE((IF(DATOS_[[Sexo]:[Sexo]]=$B22,IF(DATOS_[[AGRUP. VALOR. PTO.]:[AGRUP. VALOR. PTO.]]=$B21,IF(DATOS_[[Check Periodo Ref.]:[Check Periodo Ref.]]="Dentro",IF(DATOS_[[Check Equiparado]:[Check Equiparado]]="Sí",IF(DATOS!AL$4="Sí",(1/DATOS_[[% anualiz]:[% anualiz]]),1)*IF(DATOS!AL$5="Sí",1/DATOS_[[% normaliz]:[% normaliz]],1)*(DATOS_[Conc.Sal.08])))))))), 0)</f>
        <v>0</v>
      </c>
      <c r="R22" s="302" t="n">
        <f aca="false" t="array" ref="R22:R22">IFERROR( (AVERAGE((IF(DATOS_[[Sexo]:[Sexo]]=$B22,IF(DATOS_[[AGRUP. VALOR. PTO.]:[AGRUP. VALOR. PTO.]]=$B21,IF(DATOS_[[Check Periodo Ref.]:[Check Periodo Ref.]]="Dentro",IF(DATOS_[[Check Equiparado]:[Check Equiparado]]="Sí",IF(DATOS!AM$4="Sí",(1/DATOS_[[% anualiz]:[% anualiz]]),1)*IF(DATOS!AM$5="Sí",1/DATOS_[[% normaliz]:[% normaliz]],1)*(DATOS_[Conc.Sal.09])))))))), 0)</f>
        <v>0</v>
      </c>
      <c r="S22" s="302" t="n">
        <f aca="false" t="array" ref="S22:S22">IFERROR( (AVERAGE((IF(DATOS_[[Sexo]:[Sexo]]=$B22,IF(DATOS_[[AGRUP. VALOR. PTO.]:[AGRUP. VALOR. PTO.]]=$B21,IF(DATOS_[[Check Periodo Ref.]:[Check Periodo Ref.]]="Dentro",IF(DATOS_[[Check Equiparado]:[Check Equiparado]]="Sí",IF(DATOS!AN$4="Sí",(1/DATOS_[[% anualiz]:[% anualiz]]),1)*IF(DATOS!AN$5="Sí",1/DATOS_[[% normaliz]:[% normaliz]],1)*(DATOS_[Conc.Sal.10])))))))), 0)</f>
        <v>0</v>
      </c>
      <c r="T22" s="302" t="n">
        <f aca="false" t="array" ref="T22:T22">IFERROR( (AVERAGE((IF(DATOS_[[Sexo]:[Sexo]]=$B22,IF(DATOS_[[AGRUP. VALOR. PTO.]:[AGRUP. VALOR. PTO.]]=$B21,IF(DATOS_[[Check Periodo Ref.]:[Check Periodo Ref.]]="Dentro",IF(DATOS_[[Check Equiparado]:[Check Equiparado]]="Sí",IF(DATOS!AO$4="Sí",(1/DATOS_[[% anualiz]:[% anualiz]]),1)*IF(DATOS!AO$5="Sí",1/DATOS_[[% normaliz]:[% normaliz]],1)*(DATOS_[Conc.Sal.11])))))))), 0)</f>
        <v>0</v>
      </c>
      <c r="U22" s="302" t="n">
        <f aca="false" t="array" ref="U22:U22">IFERROR( (AVERAGE((IF(DATOS_[[Sexo]:[Sexo]]=$B22,IF(DATOS_[[AGRUP. VALOR. PTO.]:[AGRUP. VALOR. PTO.]]=$B21,IF(DATOS_[[Check Periodo Ref.]:[Check Periodo Ref.]]="Dentro",IF(DATOS_[[Check Equiparado]:[Check Equiparado]]="Sí",IF(DATOS!AP$4="Sí",(1/DATOS_[[% anualiz]:[% anualiz]]),1)*IF(DATOS!AP$5="Sí",1/DATOS_[[% normaliz]:[% normaliz]],1)*(DATOS_[Conc.Sal.12])))))))), 0)</f>
        <v>0</v>
      </c>
      <c r="V22" s="302" t="n">
        <f aca="false" t="array" ref="V22:V22">IFERROR( (AVERAGE((IF(DATOS_[[Sexo]:[Sexo]]=$B22,IF(DATOS_[[AGRUP. VALOR. PTO.]:[AGRUP. VALOR. PTO.]]=$B21,IF(DATOS_[[Check Periodo Ref.]:[Check Periodo Ref.]]="Dentro",IF(DATOS_[[Check Equiparado]:[Check Equiparado]]="Sí",IF(DATOS!AQ$4="Sí",(1/DATOS_[[% anualiz]:[% anualiz]]),1)*IF(DATOS!AQ$5="Sí",1/DATOS_[[% normaliz]:[% normaliz]],1)*(DATOS_[Conc.Sal.13])))))))), 0)</f>
        <v>0</v>
      </c>
      <c r="W22" s="302" t="n">
        <f aca="false" t="array" ref="W22:W22">IFERROR( (AVERAGE((IF(DATOS_[[Sexo]:[Sexo]]=$B22,IF(DATOS_[[AGRUP. VALOR. PTO.]:[AGRUP. VALOR. PTO.]]=$B21,IF(DATOS_[[Check Periodo Ref.]:[Check Periodo Ref.]]="Dentro",IF(DATOS_[[Check Equiparado]:[Check Equiparado]]="Sí",IF(DATOS!AR$4="Sí",(1/DATOS_[[% anualiz]:[% anualiz]]),1)*IF(DATOS!AR$5="Sí",1/DATOS_[[% normaliz]:[% normaliz]],1)*(DATOS_[Conc.Sal.14])))))))), 0)</f>
        <v>0</v>
      </c>
      <c r="X22" s="302" t="n">
        <f aca="false" t="array" ref="X22:X22">IFERROR( (AVERAGE((IF(DATOS_[[Sexo]:[Sexo]]=$B22,IF(DATOS_[[AGRUP. VALOR. PTO.]:[AGRUP. VALOR. PTO.]]=$B21,IF(DATOS_[[Check Periodo Ref.]:[Check Periodo Ref.]]="Dentro",IF(DATOS_[[Check Equiparado]:[Check Equiparado]]="Sí",IF(DATOS!AS$4="Sí",(1/DATOS_[[% anualiz]:[% anualiz]]),1)*IF(DATOS!AS$5="Sí",1/DATOS_[[% normaliz]:[% normaliz]],1)*(DATOS_[Conc.Sal.15])))))))), 0)</f>
        <v>0</v>
      </c>
      <c r="Y22" s="302" t="n">
        <f aca="false" t="array" ref="Y22:Y22">IFERROR( (AVERAGE((IF(DATOS_[[Sexo]:[Sexo]]=$B22,IF(DATOS_[[AGRUP. VALOR. PTO.]:[AGRUP. VALOR. PTO.]]=$B21,IF(DATOS_[[Check Periodo Ref.]:[Check Periodo Ref.]]="Dentro",IF(DATOS_[[Check Equiparado]:[Check Equiparado]]="Sí",IF(DATOS!AT$4="Sí",(1/DATOS_[[% anualiz]:[% anualiz]]),1)*IF(DATOS!AT$5="Sí",1/DATOS_[[% normaliz]:[% normaliz]],1)*(DATOS_[Conc.Sal.16])))))))), 0)</f>
        <v>0</v>
      </c>
      <c r="Z22" s="302" t="n">
        <f aca="false" t="array" ref="Z22:Z22">IFERROR( (AVERAGE((IF(DATOS_[[Sexo]:[Sexo]]=$B22,IF(DATOS_[[AGRUP. VALOR. PTO.]:[AGRUP. VALOR. PTO.]]=$B21,IF(DATOS_[[Check Periodo Ref.]:[Check Periodo Ref.]]="Dentro",IF(DATOS_[[Check Equiparado]:[Check Equiparado]]="Sí",IF(DATOS!AU$4="Sí",(1/DATOS_[[% anualiz]:[% anualiz]]),1)*IF(DATOS!AU$5="Sí",1/DATOS_[[% normaliz]:[% normaliz]],1)*(DATOS_[Conc.Sal.17])))))))), 0)</f>
        <v>0</v>
      </c>
      <c r="AA22" s="302" t="n">
        <f aca="false" t="array" ref="AA22:AA22">IFERROR( (AVERAGE((IF(DATOS_[[Sexo]:[Sexo]]=$B22,IF(DATOS_[[AGRUP. VALOR. PTO.]:[AGRUP. VALOR. PTO.]]=$B21,IF(DATOS_[[Check Periodo Ref.]:[Check Periodo Ref.]]="Dentro",IF(DATOS_[[Check Equiparado]:[Check Equiparado]]="Sí",IF(DATOS!AV$4="Sí",(1/DATOS_[[% anualiz]:[% anualiz]]),1)*IF(DATOS!AV$5="Sí",1/DATOS_[[% normaliz]:[% normaliz]],1)*(DATOS_[Conc.Sal.18])))))))), 0)</f>
        <v>0</v>
      </c>
      <c r="AB22" s="302" t="n">
        <f aca="false" t="array" ref="AB22:AB22">IFERROR( (AVERAGE((IF(DATOS_[[Sexo]:[Sexo]]=$B22,IF(DATOS_[[AGRUP. VALOR. PTO.]:[AGRUP. VALOR. PTO.]]=$B21,IF(DATOS_[[Check Periodo Ref.]:[Check Periodo Ref.]]="Dentro",IF(DATOS_[[Check Equiparado]:[Check Equiparado]]="Sí",IF(DATOS!AW$4="Sí",(1/DATOS_[[% anualiz]:[% anualiz]]),1)*IF(DATOS!AW$5="Sí",1/DATOS_[[% normaliz]:[% normaliz]],1)*(DATOS_[Conc.Sal.19])))))))), 0)</f>
        <v>0</v>
      </c>
      <c r="AC22" s="302" t="n">
        <f aca="false" t="array" ref="AC22:AC22">IFERROR( (AVERAGE((IF(DATOS_[[Sexo]:[Sexo]]=$B22,IF(DATOS_[[AGRUP. VALOR. PTO.]:[AGRUP. VALOR. PTO.]]=$B21,IF(DATOS_[[Check Periodo Ref.]:[Check Periodo Ref.]]="Dentro",IF(DATOS_[[Check Equiparado]:[Check Equiparado]]="Sí",IF(DATOS!AX$4="Sí",(1/DATOS_[[% anualiz]:[% anualiz]]),1)*IF(DATOS!AX$5="Sí",1/DATOS_[[% normaliz]:[% normaliz]],1)*(DATOS_[Conc.Sal.20])))))))), 0)</f>
        <v>0</v>
      </c>
      <c r="AD22" s="302" t="n">
        <f aca="false" t="array" ref="AD22:AD22">IFERROR( (AVERAGE((IF(DATOS_[[Sexo]:[Sexo]]=$B22,IF(DATOS_[[AGRUP. VALOR. PTO.]:[AGRUP. VALOR. PTO.]]=$B21,IF(DATOS_[[Check Periodo Ref.]:[Check Periodo Ref.]]="Dentro",IF(DATOS_[[Check Equiparado]:[Check Equiparado]]="Sí",IF(DATOS!AY$4="Sí",(1/DATOS_[[% anualiz]:[% anualiz]]),1)*IF(DATOS!AY$5="Sí",1/DATOS_[[% normaliz]:[% normaliz]],1)*(DATOS_[Conc.Sal.21])))))))), 0)</f>
        <v>0</v>
      </c>
      <c r="AE22" s="302" t="n">
        <f aca="false" t="array" ref="AE22:AE22">IFERROR( (AVERAGE((IF(DATOS_[[Sexo]:[Sexo]]=$B22,IF(DATOS_[[AGRUP. VALOR. PTO.]:[AGRUP. VALOR. PTO.]]=$B21,IF(DATOS_[[Check Periodo Ref.]:[Check Periodo Ref.]]="Dentro",IF(DATOS_[[Check Equiparado]:[Check Equiparado]]="Sí",IF(DATOS!AZ$4="Sí",(1/DATOS_[[% anualiz]:[% anualiz]]),1)*IF(DATOS!AZ$5="Sí",1/DATOS_[[% normaliz]:[% normaliz]],1)*(DATOS_[Conc.Sal.22])))))))), 0)</f>
        <v>0</v>
      </c>
      <c r="AF22" s="302" t="n">
        <f aca="false" t="array" ref="AF22:AF22">IFERROR( (AVERAGE((IF(DATOS_[[Sexo]:[Sexo]]=$B22,IF(DATOS_[[AGRUP. VALOR. PTO.]:[AGRUP. VALOR. PTO.]]=$B21,IF(DATOS_[[Check Periodo Ref.]:[Check Periodo Ref.]]="Dentro",IF(DATOS_[[Check Equiparado]:[Check Equiparado]]="Sí",IF(DATOS!BA$4="Sí",(1/DATOS_[[% anualiz]:[% anualiz]]),1)*IF(DATOS!BA$5="Sí",1/DATOS_[[% normaliz]:[% normaliz]],1)*(DATOS_[Conc.Sal.23])))))))), 0)</f>
        <v>0</v>
      </c>
      <c r="AG22" s="302" t="n">
        <f aca="false" t="array" ref="AG22:AG22">IFERROR( (AVERAGE((IF(DATOS_[[Sexo]:[Sexo]]=$B22,IF(DATOS_[[AGRUP. VALOR. PTO.]:[AGRUP. VALOR. PTO.]]=$B21,IF(DATOS_[[Check Periodo Ref.]:[Check Periodo Ref.]]="Dentro",IF(DATOS_[[Check Equiparado]:[Check Equiparado]]="Sí",IF(DATOS!BB$4="Sí",(1/DATOS_[[% anualiz]:[% anualiz]]),1)*IF(DATOS!BB$5="Sí",1/DATOS_[[% normaliz]:[% normaliz]],1)*(DATOS_[Conc.Sal.24])))))))), 0)</f>
        <v>0</v>
      </c>
      <c r="AH22" s="302" t="n">
        <f aca="false" t="array" ref="AH22:AH22">IFERROR( (AVERAGE((IF(DATOS_[[Sexo]:[Sexo]]=$B22,IF(DATOS_[[AGRUP. VALOR. PTO.]:[AGRUP. VALOR. PTO.]]=$B21,IF(DATOS_[[Check Periodo Ref.]:[Check Periodo Ref.]]="Dentro",IF(DATOS_[[Check Equiparado]:[Check Equiparado]]="Sí",IF(DATOS!BC$4="Sí",(1/DATOS_[[% anualiz]:[% anualiz]]),1)*IF(DATOS!BC$5="Sí",1/DATOS_[[% normaliz]:[% normaliz]],1)*(DATOS_[Conc.Sal.25])))))))), 0)</f>
        <v>0</v>
      </c>
      <c r="AI22" s="302" t="n">
        <f aca="false" t="array" ref="AI22:AI22">IFERROR( (AVERAGE((IF(DATOS_[[Sexo]:[Sexo]]=$B22,IF(DATOS_[[AGRUP. VALOR. PTO.]:[AGRUP. VALOR. PTO.]]=$B21,IF(DATOS_[[Check Periodo Ref.]:[Check Periodo Ref.]]="Dentro",IF(DATOS_[[Check Equiparado]:[Check Equiparado]]="Sí",IF(DATOS!BD$4="Sí",(1/DATOS_[[% anualiz]:[% anualiz]]),1)*IF(DATOS!BD$5="Sí",1/DATOS_[[% normaliz]:[% normaliz]],1)*(DATOS_[Conc.Sal.26])))))))), 0)</f>
        <v>0</v>
      </c>
      <c r="AJ22" s="302" t="n">
        <f aca="false" t="array" ref="AJ22:AJ22">IFERROR( (AVERAGE((IF(DATOS_[[Sexo]:[Sexo]]=$B22,IF(DATOS_[[AGRUP. VALOR. PTO.]:[AGRUP. VALOR. PTO.]]=$B21,IF(DATOS_[[Check Periodo Ref.]:[Check Periodo Ref.]]="Dentro",IF(DATOS_[[Check Equiparado]:[Check Equiparado]]="Sí",IF(DATOS!BE$4="Sí",(1/DATOS_[[% anualiz]:[% anualiz]]),1)*IF(DATOS!BE$5="Sí",1/DATOS_[[% normaliz]:[% normaliz]],1)*(DATOS_[Conc.Sal.27])))))))), 0)</f>
        <v>0</v>
      </c>
      <c r="AK22" s="302" t="n">
        <f aca="false" t="array" ref="AK22:AK22">IFERROR( (AVERAGE((IF(DATOS_[[Sexo]:[Sexo]]=$B22,IF(DATOS_[[AGRUP. VALOR. PTO.]:[AGRUP. VALOR. PTO.]]=$B21,IF(DATOS_[[Check Periodo Ref.]:[Check Periodo Ref.]]="Dentro",IF(DATOS_[[Check Equiparado]:[Check Equiparado]]="Sí",IF(DATOS!BF$4="Sí",(1/DATOS_[[% anualiz]:[% anualiz]]),1)*IF(DATOS!BF$5="Sí",1/DATOS_[[% normaliz]:[% normaliz]],1)*(DATOS_[Conc.Sal.28])))))))), 0)</f>
        <v>0</v>
      </c>
      <c r="AL22" s="302" t="n">
        <f aca="false" t="array" ref="AL22:AL22">IFERROR( (AVERAGE((IF(DATOS_[[Sexo]:[Sexo]]=$B22,IF(DATOS_[[AGRUP. VALOR. PTO.]:[AGRUP. VALOR. PTO.]]=$B21,IF(DATOS_[[Check Periodo Ref.]:[Check Periodo Ref.]]="Dentro",IF(DATOS_[[Check Equiparado]:[Check Equiparado]]="Sí",IF(DATOS!BG$4="Sí",(1/DATOS_[[% anualiz]:[% anualiz]]),1)*IF(DATOS!BG$5="Sí",1/DATOS_[[% normaliz]:[% normaliz]],1)*(DATOS_[Conc.Sal.29])))))))), 0)</f>
        <v>0</v>
      </c>
      <c r="AM22" s="302" t="n">
        <f aca="false" t="array" ref="AM22:AM22">IFERROR( (AVERAGE((IF(DATOS_[[Sexo]:[Sexo]]=$B22,IF(DATOS_[[AGRUP. VALOR. PTO.]:[AGRUP. VALOR. PTO.]]=$B21,IF(DATOS_[[Check Periodo Ref.]:[Check Periodo Ref.]]="Dentro",IF(DATOS_[[Check Equiparado]:[Check Equiparado]]="Sí",IF(DATOS!BH$4="Sí",(1/DATOS_[[% anualiz]:[% anualiz]]),1)*IF(DATOS!BH$5="Sí",1/DATOS_[[% normaliz]:[% normaliz]],1)*(DATOS_[Conc.Sal.30])))))))), 0)</f>
        <v>0</v>
      </c>
      <c r="AN22" s="294" t="n">
        <f aca="false" t="array" ref="AN22:AN22">IFERROR( AVERAGE(IF(DATOS_[Sexo]=$B22,IF(DATOS_[[AGRUP. VALOR. PTO.]:[AGRUP. VALOR. PTO.]]=$B21,IF(DATOS_[Check Equiparado]="Sí",IF(DATOS_[Check Periodo Ref.]="Dentro",DATOS_[Tot COMPL.SAL Eq],0))))), 0)</f>
        <v>0</v>
      </c>
      <c r="AO22" s="295" t="n">
        <f aca="false" t="array" ref="AO22:AO22">IFERROR( AVERAGE(IF(DATOS_[Sexo]=$B22,IF(DATOS_[[AGRUP. VALOR. PTO.]:[AGRUP. VALOR. PTO.]]=$B21,IF(DATOS_[Check Equiparado]="Sí",IF(DATOS_[Check Periodo Ref.]="Dentro",DATOS_[TOTAL SALARIO Eq],0))))), 0)</f>
        <v>0</v>
      </c>
      <c r="AP22" s="303" t="n">
        <f aca="false" t="array" ref="AP22:AP22">IFERROR( (AVERAGE((IF(DATOS_[[Sexo]:[Sexo]]=$B22,IF(DATOS_[[AGRUP. VALOR. PTO.]:[AGRUP. VALOR. PTO.]]=$B21,IF(DATOS_[[Check Periodo Ref.]:[Check Periodo Ref.]]="Dentro",IF(DATOS_[[Check Equiparado]:[Check Equiparado]]="Sí",IF(DATOS!BI$4="Sí",(1/DATOS_[[% anualiz]:[% anualiz]]),1)*IF(DATOS!BI$5="Sí",1/DATOS_[[% normaliz]:[% normaliz]],1)*(DATOS_[C.Extra.01])))))))), 0)</f>
        <v>0</v>
      </c>
      <c r="AQ22" s="303" t="n">
        <f aca="false" t="array" ref="AQ22:AQ22">IFERROR( (AVERAGE((IF(DATOS_[[Sexo]:[Sexo]]=$B22,IF(DATOS_[[AGRUP. VALOR. PTO.]:[AGRUP. VALOR. PTO.]]=$B21,IF(DATOS_[[Check Periodo Ref.]:[Check Periodo Ref.]]="Dentro",IF(DATOS_[[Check Equiparado]:[Check Equiparado]]="Sí",IF(DATOS!BJ$4="Sí",(1/DATOS_[[% anualiz]:[% anualiz]]),1)*IF(DATOS!BJ$5="Sí",1/DATOS_[[% normaliz]:[% normaliz]],1)*(DATOS_[C.Extra.02])))))))), 0)</f>
        <v>0</v>
      </c>
      <c r="AR22" s="303" t="n">
        <f aca="false" t="array" ref="AR22:AR22">IFERROR( (AVERAGE((IF(DATOS_[[Sexo]:[Sexo]]=$B22,IF(DATOS_[[AGRUP. VALOR. PTO.]:[AGRUP. VALOR. PTO.]]=$B21,IF(DATOS_[[Check Periodo Ref.]:[Check Periodo Ref.]]="Dentro",IF(DATOS_[[Check Equiparado]:[Check Equiparado]]="Sí",IF(DATOS!BK$4="Sí",(1/DATOS_[[% anualiz]:[% anualiz]]),1)*IF(DATOS!BK$5="Sí",1/DATOS_[[% normaliz]:[% normaliz]],1)*(DATOS_[C.Extra.03])))))))), 0)</f>
        <v>0</v>
      </c>
      <c r="AS22" s="303" t="n">
        <f aca="false" t="array" ref="AS22:AS22">IFERROR( (AVERAGE((IF(DATOS_[[Sexo]:[Sexo]]=$B22,IF(DATOS_[[AGRUP. VALOR. PTO.]:[AGRUP. VALOR. PTO.]]=$B21,IF(DATOS_[[Check Periodo Ref.]:[Check Periodo Ref.]]="Dentro",IF(DATOS_[[Check Equiparado]:[Check Equiparado]]="Sí",IF(DATOS!BL$4="Sí",(1/DATOS_[[% anualiz]:[% anualiz]]),1)*IF(DATOS!BL$5="Sí",1/DATOS_[[% normaliz]:[% normaliz]],1)*(DATOS_[C.Extra.04])))))))), 0)</f>
        <v>0</v>
      </c>
      <c r="AT22" s="303" t="n">
        <f aca="false" t="array" ref="AT22:AT22">IFERROR( (AVERAGE((IF(DATOS_[[Sexo]:[Sexo]]=$B22,IF(DATOS_[[AGRUP. VALOR. PTO.]:[AGRUP. VALOR. PTO.]]=$B21,IF(DATOS_[[Check Periodo Ref.]:[Check Periodo Ref.]]="Dentro",IF(DATOS_[[Check Equiparado]:[Check Equiparado]]="Sí",IF(DATOS!BM$4="Sí",(1/DATOS_[[% anualiz]:[% anualiz]]),1)*IF(DATOS!BM$5="Sí",1/DATOS_[[% normaliz]:[% normaliz]],1)*(DATOS_[C.Extra.05])))))))), 0)</f>
        <v>0</v>
      </c>
      <c r="AU22" s="297" t="n">
        <f aca="false" t="array" ref="AU22:AU22">IFERROR( AVERAGE(IF(DATOS_[Sexo]=$B22,IF(DATOS_[[AGRUP. VALOR. PTO.]:[AGRUP. VALOR. PTO.]]=$B21,IF(DATOS_[Check Equiparado]="Sí",IF(DATOS_[Check Periodo Ref.]="Dentro",DATOS_[Tot Extrasalarial Eq],0))))), 0)</f>
        <v>0</v>
      </c>
      <c r="AV22" s="298" t="n">
        <f aca="false" t="array" ref="AV22:AV22">IFERROR( AVERAGE(IF(DATOS_[Sexo]=$B22,IF(DATOS_[[AGRUP. VALOR. PTO.]:[AGRUP. VALOR. PTO.]]=$B21,IF(DATOS_[Check Equiparado]="Sí",IF(DATOS_[Check Periodo Ref.]="Dentro",DATOS_[TOTAL Retrib Eq],0))))), 0)</f>
        <v>0</v>
      </c>
    </row>
    <row r="23" customFormat="false" ht="14.25" hidden="false" customHeight="false" outlineLevel="0" collapsed="false">
      <c r="A23" s="166" t="str">
        <f aca="false">+A22</f>
        <v>[ocultar]</v>
      </c>
      <c r="B23" s="289" t="s">
        <v>372</v>
      </c>
      <c r="C23" s="290" t="n">
        <f aca="false" t="array" ref="C23:C23">SUM(IF($B23=DATOS_[Sexo], IF($B21=DATOS_[AGRUP. VALOR. PTO.], IF("Dentro"=DATOS_[Check Periodo Ref.], 1/(COUNTIFS(DATOS_[Sexo],$B23,DATOS_[AGRUP. VALOR. PTO.],$B21,DATOS_[Check Periodo Ref.],"Dentro",DATOS_[id],DATOS_[id]))))))</f>
        <v>0</v>
      </c>
      <c r="D23" s="291" t="n">
        <f aca="false">COUNTIFS(DATOS_[AGRUP. VALOR. PTO.],$B21,DATOS_[Sexo],$B23,DATOS_[Check Periodo Ref.],"Dentro")</f>
        <v>0</v>
      </c>
      <c r="E23" s="291" t="n">
        <f aca="false">COUNTIFS(DATOS_[AGRUP. VALOR. PTO.],$B21,DATOS_[Sexo],$B23,DATOS_[Check Periodo Ref.],"Dentro",DATOS_[Check Nº SC Norm],"Sí")</f>
        <v>0</v>
      </c>
      <c r="F23" s="291" t="n">
        <f aca="false">COUNTIFS(DATOS_[AGRUP. VALOR. PTO.],$B21,DATOS_[Sexo],$B23,DATOS_[Check Periodo Ref.],"Dentro",DATOS_[Check Nº SC Anualiz],"Sí")</f>
        <v>0</v>
      </c>
      <c r="G23" s="291" t="n">
        <f aca="false">COUNTIFS(DATOS_[AGRUP. VALOR. PTO.],$B21,DATOS_[Sexo],$B23,DATOS_[Check Periodo Ref.],"Dentro",DATOS_[Check Nº SC Norm y Anualiz],"Sí")</f>
        <v>0</v>
      </c>
      <c r="H23" s="291" t="n">
        <f aca="false">COUNTIFS(DATOS_[AGRUP. VALOR. PTO.],$B21,DATOS_[Sexo],$B23,DATOS_[Check Periodo Ref.],"Dentro",DATOS_[Check Equiparación],"Sí")</f>
        <v>0</v>
      </c>
      <c r="I23" s="292" t="n">
        <f aca="false" t="array" ref="I23:I23">IFERROR( AVERAGE(IF(DATOS_[Sexo]=$B23,IF(DATOS_[[AGRUP. VALOR. PTO.]:[AGRUP. VALOR. PTO.]]=$B21,IF(DATOS_[Check Equiparado]="Sí",IF(DATOS_[Check Periodo Ref.]="Dentro",DATOS_[SALARIO BASE Eq],0))))), 0)</f>
        <v>0</v>
      </c>
      <c r="J23" s="302" t="n">
        <f aca="false" t="array" ref="J23:J23">IFERROR( (AVERAGE((IF(DATOS_[[Sexo]:[Sexo]]=$B23,IF(DATOS_[[AGRUP. VALOR. PTO.]:[AGRUP. VALOR. PTO.]]=$B21,IF(DATOS_[[Check Periodo Ref.]:[Check Periodo Ref.]]="Dentro",IF(DATOS_[[Check Equiparado]:[Check Equiparado]]="Sí",IF(DATOS!AE$4="Sí",(1/DATOS_[[% anualiz]:[% anualiz]]),1)*IF(DATOS!AE$5="Sí",1/DATOS_[[% normaliz]:[% normaliz]],1)*(DATOS_[Conc.Sal.01])))))))), 0)</f>
        <v>0</v>
      </c>
      <c r="K23" s="302" t="n">
        <f aca="false" t="array" ref="K23:K23">IFERROR( (AVERAGE((IF(DATOS_[[Sexo]:[Sexo]]=$B23,IF(DATOS_[[AGRUP. VALOR. PTO.]:[AGRUP. VALOR. PTO.]]=$B21,IF(DATOS_[[Check Periodo Ref.]:[Check Periodo Ref.]]="Dentro",IF(DATOS_[[Check Equiparado]:[Check Equiparado]]="Sí",IF(DATOS!AF$4="Sí",(1/DATOS_[[% anualiz]:[% anualiz]]),1)*IF(DATOS!AF$5="Sí",1/DATOS_[[% normaliz]:[% normaliz]],1)*(DATOS_[Conc.Sal.02])))))))), 0)</f>
        <v>0</v>
      </c>
      <c r="L23" s="302" t="n">
        <f aca="false" t="array" ref="L23:L23">IFERROR( (AVERAGE((IF(DATOS_[[Sexo]:[Sexo]]=$B23,IF(DATOS_[[AGRUP. VALOR. PTO.]:[AGRUP. VALOR. PTO.]]=$B21,IF(DATOS_[[Check Periodo Ref.]:[Check Periodo Ref.]]="Dentro",IF(DATOS_[[Check Equiparado]:[Check Equiparado]]="Sí",IF(DATOS!AG$4="Sí",(1/DATOS_[[% anualiz]:[% anualiz]]),1)*IF(DATOS!AG$5="Sí",1/DATOS_[[% normaliz]:[% normaliz]],1)*(DATOS_[Conc.Sal.03])))))))), 0)</f>
        <v>0</v>
      </c>
      <c r="M23" s="302" t="n">
        <f aca="false" t="array" ref="M23:M23">IFERROR( (AVERAGE((IF(DATOS_[[Sexo]:[Sexo]]=$B23,IF(DATOS_[[AGRUP. VALOR. PTO.]:[AGRUP. VALOR. PTO.]]=$B21,IF(DATOS_[[Check Periodo Ref.]:[Check Periodo Ref.]]="Dentro",IF(DATOS_[[Check Equiparado]:[Check Equiparado]]="Sí",IF(DATOS!AH$4="Sí",(1/DATOS_[[% anualiz]:[% anualiz]]),1)*IF(DATOS!AH$5="Sí",1/DATOS_[[% normaliz]:[% normaliz]],1)*(DATOS_[Conc.Sal.04])))))))), 0)</f>
        <v>0</v>
      </c>
      <c r="N23" s="302" t="n">
        <f aca="false" t="array" ref="N23:N23">IFERROR( (AVERAGE((IF(DATOS_[[Sexo]:[Sexo]]=$B23,IF(DATOS_[[AGRUP. VALOR. PTO.]:[AGRUP. VALOR. PTO.]]=$B21,IF(DATOS_[[Check Periodo Ref.]:[Check Periodo Ref.]]="Dentro",IF(DATOS_[[Check Equiparado]:[Check Equiparado]]="Sí",IF(DATOS!AI$4="Sí",(1/DATOS_[[% anualiz]:[% anualiz]]),1)*IF(DATOS!AI$5="Sí",1/DATOS_[[% normaliz]:[% normaliz]],1)*(DATOS_[Conc.Sal.05])))))))), 0)</f>
        <v>0</v>
      </c>
      <c r="O23" s="302" t="n">
        <f aca="false" t="array" ref="O23:O23">IFERROR( (AVERAGE((IF(DATOS_[[Sexo]:[Sexo]]=$B23,IF(DATOS_[[AGRUP. VALOR. PTO.]:[AGRUP. VALOR. PTO.]]=$B21,IF(DATOS_[[Check Periodo Ref.]:[Check Periodo Ref.]]="Dentro",IF(DATOS_[[Check Equiparado]:[Check Equiparado]]="Sí",IF(DATOS!AJ$4="Sí",(1/DATOS_[[% anualiz]:[% anualiz]]),1)*IF(DATOS!AJ$5="Sí",1/DATOS_[[% normaliz]:[% normaliz]],1)*(DATOS_[Conc.Sal.06])))))))), 0)</f>
        <v>0</v>
      </c>
      <c r="P23" s="302" t="n">
        <f aca="false" t="array" ref="P23:P23">IFERROR( (AVERAGE((IF(DATOS_[[Sexo]:[Sexo]]=$B23,IF(DATOS_[[AGRUP. VALOR. PTO.]:[AGRUP. VALOR. PTO.]]=$B21,IF(DATOS_[[Check Periodo Ref.]:[Check Periodo Ref.]]="Dentro",IF(DATOS_[[Check Equiparado]:[Check Equiparado]]="Sí",IF(DATOS!AK$4="Sí",(1/DATOS_[[% anualiz]:[% anualiz]]),1)*IF(DATOS!AK$5="Sí",1/DATOS_[[% normaliz]:[% normaliz]],1)*(DATOS_[Conc.Sal.07])))))))), 0)</f>
        <v>0</v>
      </c>
      <c r="Q23" s="302" t="n">
        <f aca="false" t="array" ref="Q23:Q23">IFERROR( (AVERAGE((IF(DATOS_[[Sexo]:[Sexo]]=$B23,IF(DATOS_[[AGRUP. VALOR. PTO.]:[AGRUP. VALOR. PTO.]]=$B21,IF(DATOS_[[Check Periodo Ref.]:[Check Periodo Ref.]]="Dentro",IF(DATOS_[[Check Equiparado]:[Check Equiparado]]="Sí",IF(DATOS!AL$4="Sí",(1/DATOS_[[% anualiz]:[% anualiz]]),1)*IF(DATOS!AL$5="Sí",1/DATOS_[[% normaliz]:[% normaliz]],1)*(DATOS_[Conc.Sal.08])))))))), 0)</f>
        <v>0</v>
      </c>
      <c r="R23" s="302" t="n">
        <f aca="false" t="array" ref="R23:R23">IFERROR( (AVERAGE((IF(DATOS_[[Sexo]:[Sexo]]=$B23,IF(DATOS_[[AGRUP. VALOR. PTO.]:[AGRUP. VALOR. PTO.]]=$B21,IF(DATOS_[[Check Periodo Ref.]:[Check Periodo Ref.]]="Dentro",IF(DATOS_[[Check Equiparado]:[Check Equiparado]]="Sí",IF(DATOS!AM$4="Sí",(1/DATOS_[[% anualiz]:[% anualiz]]),1)*IF(DATOS!AM$5="Sí",1/DATOS_[[% normaliz]:[% normaliz]],1)*(DATOS_[Conc.Sal.09])))))))), 0)</f>
        <v>0</v>
      </c>
      <c r="S23" s="302" t="n">
        <f aca="false" t="array" ref="S23:S23">IFERROR( (AVERAGE((IF(DATOS_[[Sexo]:[Sexo]]=$B23,IF(DATOS_[[AGRUP. VALOR. PTO.]:[AGRUP. VALOR. PTO.]]=$B21,IF(DATOS_[[Check Periodo Ref.]:[Check Periodo Ref.]]="Dentro",IF(DATOS_[[Check Equiparado]:[Check Equiparado]]="Sí",IF(DATOS!AN$4="Sí",(1/DATOS_[[% anualiz]:[% anualiz]]),1)*IF(DATOS!AN$5="Sí",1/DATOS_[[% normaliz]:[% normaliz]],1)*(DATOS_[Conc.Sal.10])))))))), 0)</f>
        <v>0</v>
      </c>
      <c r="T23" s="302" t="n">
        <f aca="false" t="array" ref="T23:T23">IFERROR( (AVERAGE((IF(DATOS_[[Sexo]:[Sexo]]=$B23,IF(DATOS_[[AGRUP. VALOR. PTO.]:[AGRUP. VALOR. PTO.]]=$B21,IF(DATOS_[[Check Periodo Ref.]:[Check Periodo Ref.]]="Dentro",IF(DATOS_[[Check Equiparado]:[Check Equiparado]]="Sí",IF(DATOS!AO$4="Sí",(1/DATOS_[[% anualiz]:[% anualiz]]),1)*IF(DATOS!AO$5="Sí",1/DATOS_[[% normaliz]:[% normaliz]],1)*(DATOS_[Conc.Sal.11])))))))), 0)</f>
        <v>0</v>
      </c>
      <c r="U23" s="302" t="n">
        <f aca="false" t="array" ref="U23:U23">IFERROR( (AVERAGE((IF(DATOS_[[Sexo]:[Sexo]]=$B23,IF(DATOS_[[AGRUP. VALOR. PTO.]:[AGRUP. VALOR. PTO.]]=$B21,IF(DATOS_[[Check Periodo Ref.]:[Check Periodo Ref.]]="Dentro",IF(DATOS_[[Check Equiparado]:[Check Equiparado]]="Sí",IF(DATOS!AP$4="Sí",(1/DATOS_[[% anualiz]:[% anualiz]]),1)*IF(DATOS!AP$5="Sí",1/DATOS_[[% normaliz]:[% normaliz]],1)*(DATOS_[Conc.Sal.12])))))))), 0)</f>
        <v>0</v>
      </c>
      <c r="V23" s="302" t="n">
        <f aca="false" t="array" ref="V23:V23">IFERROR( (AVERAGE((IF(DATOS_[[Sexo]:[Sexo]]=$B23,IF(DATOS_[[AGRUP. VALOR. PTO.]:[AGRUP. VALOR. PTO.]]=$B21,IF(DATOS_[[Check Periodo Ref.]:[Check Periodo Ref.]]="Dentro",IF(DATOS_[[Check Equiparado]:[Check Equiparado]]="Sí",IF(DATOS!AQ$4="Sí",(1/DATOS_[[% anualiz]:[% anualiz]]),1)*IF(DATOS!AQ$5="Sí",1/DATOS_[[% normaliz]:[% normaliz]],1)*(DATOS_[Conc.Sal.13])))))))), 0)</f>
        <v>0</v>
      </c>
      <c r="W23" s="302" t="n">
        <f aca="false" t="array" ref="W23:W23">IFERROR( (AVERAGE((IF(DATOS_[[Sexo]:[Sexo]]=$B23,IF(DATOS_[[AGRUP. VALOR. PTO.]:[AGRUP. VALOR. PTO.]]=$B21,IF(DATOS_[[Check Periodo Ref.]:[Check Periodo Ref.]]="Dentro",IF(DATOS_[[Check Equiparado]:[Check Equiparado]]="Sí",IF(DATOS!AR$4="Sí",(1/DATOS_[[% anualiz]:[% anualiz]]),1)*IF(DATOS!AR$5="Sí",1/DATOS_[[% normaliz]:[% normaliz]],1)*(DATOS_[Conc.Sal.14])))))))), 0)</f>
        <v>0</v>
      </c>
      <c r="X23" s="302" t="n">
        <f aca="false" t="array" ref="X23:X23">IFERROR( (AVERAGE((IF(DATOS_[[Sexo]:[Sexo]]=$B23,IF(DATOS_[[AGRUP. VALOR. PTO.]:[AGRUP. VALOR. PTO.]]=$B21,IF(DATOS_[[Check Periodo Ref.]:[Check Periodo Ref.]]="Dentro",IF(DATOS_[[Check Equiparado]:[Check Equiparado]]="Sí",IF(DATOS!AS$4="Sí",(1/DATOS_[[% anualiz]:[% anualiz]]),1)*IF(DATOS!AS$5="Sí",1/DATOS_[[% normaliz]:[% normaliz]],1)*(DATOS_[Conc.Sal.15])))))))), 0)</f>
        <v>0</v>
      </c>
      <c r="Y23" s="302" t="n">
        <f aca="false" t="array" ref="Y23:Y23">IFERROR( (AVERAGE((IF(DATOS_[[Sexo]:[Sexo]]=$B23,IF(DATOS_[[AGRUP. VALOR. PTO.]:[AGRUP. VALOR. PTO.]]=$B21,IF(DATOS_[[Check Periodo Ref.]:[Check Periodo Ref.]]="Dentro",IF(DATOS_[[Check Equiparado]:[Check Equiparado]]="Sí",IF(DATOS!AT$4="Sí",(1/DATOS_[[% anualiz]:[% anualiz]]),1)*IF(DATOS!AT$5="Sí",1/DATOS_[[% normaliz]:[% normaliz]],1)*(DATOS_[Conc.Sal.16])))))))), 0)</f>
        <v>0</v>
      </c>
      <c r="Z23" s="302" t="n">
        <f aca="false" t="array" ref="Z23:Z23">IFERROR( (AVERAGE((IF(DATOS_[[Sexo]:[Sexo]]=$B23,IF(DATOS_[[AGRUP. VALOR. PTO.]:[AGRUP. VALOR. PTO.]]=$B21,IF(DATOS_[[Check Periodo Ref.]:[Check Periodo Ref.]]="Dentro",IF(DATOS_[[Check Equiparado]:[Check Equiparado]]="Sí",IF(DATOS!AU$4="Sí",(1/DATOS_[[% anualiz]:[% anualiz]]),1)*IF(DATOS!AU$5="Sí",1/DATOS_[[% normaliz]:[% normaliz]],1)*(DATOS_[Conc.Sal.17])))))))), 0)</f>
        <v>0</v>
      </c>
      <c r="AA23" s="302" t="n">
        <f aca="false" t="array" ref="AA23:AA23">IFERROR( (AVERAGE((IF(DATOS_[[Sexo]:[Sexo]]=$B23,IF(DATOS_[[AGRUP. VALOR. PTO.]:[AGRUP. VALOR. PTO.]]=$B21,IF(DATOS_[[Check Periodo Ref.]:[Check Periodo Ref.]]="Dentro",IF(DATOS_[[Check Equiparado]:[Check Equiparado]]="Sí",IF(DATOS!AV$4="Sí",(1/DATOS_[[% anualiz]:[% anualiz]]),1)*IF(DATOS!AV$5="Sí",1/DATOS_[[% normaliz]:[% normaliz]],1)*(DATOS_[Conc.Sal.18])))))))), 0)</f>
        <v>0</v>
      </c>
      <c r="AB23" s="302" t="n">
        <f aca="false" t="array" ref="AB23:AB23">IFERROR( (AVERAGE((IF(DATOS_[[Sexo]:[Sexo]]=$B23,IF(DATOS_[[AGRUP. VALOR. PTO.]:[AGRUP. VALOR. PTO.]]=$B21,IF(DATOS_[[Check Periodo Ref.]:[Check Periodo Ref.]]="Dentro",IF(DATOS_[[Check Equiparado]:[Check Equiparado]]="Sí",IF(DATOS!AW$4="Sí",(1/DATOS_[[% anualiz]:[% anualiz]]),1)*IF(DATOS!AW$5="Sí",1/DATOS_[[% normaliz]:[% normaliz]],1)*(DATOS_[Conc.Sal.19])))))))), 0)</f>
        <v>0</v>
      </c>
      <c r="AC23" s="302" t="n">
        <f aca="false" t="array" ref="AC23:AC23">IFERROR( (AVERAGE((IF(DATOS_[[Sexo]:[Sexo]]=$B23,IF(DATOS_[[AGRUP. VALOR. PTO.]:[AGRUP. VALOR. PTO.]]=$B21,IF(DATOS_[[Check Periodo Ref.]:[Check Periodo Ref.]]="Dentro",IF(DATOS_[[Check Equiparado]:[Check Equiparado]]="Sí",IF(DATOS!AX$4="Sí",(1/DATOS_[[% anualiz]:[% anualiz]]),1)*IF(DATOS!AX$5="Sí",1/DATOS_[[% normaliz]:[% normaliz]],1)*(DATOS_[Conc.Sal.20])))))))), 0)</f>
        <v>0</v>
      </c>
      <c r="AD23" s="302" t="n">
        <f aca="false" t="array" ref="AD23:AD23">IFERROR( (AVERAGE((IF(DATOS_[[Sexo]:[Sexo]]=$B23,IF(DATOS_[[AGRUP. VALOR. PTO.]:[AGRUP. VALOR. PTO.]]=$B21,IF(DATOS_[[Check Periodo Ref.]:[Check Periodo Ref.]]="Dentro",IF(DATOS_[[Check Equiparado]:[Check Equiparado]]="Sí",IF(DATOS!AY$4="Sí",(1/DATOS_[[% anualiz]:[% anualiz]]),1)*IF(DATOS!AY$5="Sí",1/DATOS_[[% normaliz]:[% normaliz]],1)*(DATOS_[Conc.Sal.21])))))))), 0)</f>
        <v>0</v>
      </c>
      <c r="AE23" s="302" t="n">
        <f aca="false" t="array" ref="AE23:AE23">IFERROR( (AVERAGE((IF(DATOS_[[Sexo]:[Sexo]]=$B23,IF(DATOS_[[AGRUP. VALOR. PTO.]:[AGRUP. VALOR. PTO.]]=$B21,IF(DATOS_[[Check Periodo Ref.]:[Check Periodo Ref.]]="Dentro",IF(DATOS_[[Check Equiparado]:[Check Equiparado]]="Sí",IF(DATOS!AZ$4="Sí",(1/DATOS_[[% anualiz]:[% anualiz]]),1)*IF(DATOS!AZ$5="Sí",1/DATOS_[[% normaliz]:[% normaliz]],1)*(DATOS_[Conc.Sal.22])))))))), 0)</f>
        <v>0</v>
      </c>
      <c r="AF23" s="302" t="n">
        <f aca="false" t="array" ref="AF23:AF23">IFERROR( (AVERAGE((IF(DATOS_[[Sexo]:[Sexo]]=$B23,IF(DATOS_[[AGRUP. VALOR. PTO.]:[AGRUP. VALOR. PTO.]]=$B21,IF(DATOS_[[Check Periodo Ref.]:[Check Periodo Ref.]]="Dentro",IF(DATOS_[[Check Equiparado]:[Check Equiparado]]="Sí",IF(DATOS!BA$4="Sí",(1/DATOS_[[% anualiz]:[% anualiz]]),1)*IF(DATOS!BA$5="Sí",1/DATOS_[[% normaliz]:[% normaliz]],1)*(DATOS_[Conc.Sal.23])))))))), 0)</f>
        <v>0</v>
      </c>
      <c r="AG23" s="302" t="n">
        <f aca="false" t="array" ref="AG23:AG23">IFERROR( (AVERAGE((IF(DATOS_[[Sexo]:[Sexo]]=$B23,IF(DATOS_[[AGRUP. VALOR. PTO.]:[AGRUP. VALOR. PTO.]]=$B21,IF(DATOS_[[Check Periodo Ref.]:[Check Periodo Ref.]]="Dentro",IF(DATOS_[[Check Equiparado]:[Check Equiparado]]="Sí",IF(DATOS!BB$4="Sí",(1/DATOS_[[% anualiz]:[% anualiz]]),1)*IF(DATOS!BB$5="Sí",1/DATOS_[[% normaliz]:[% normaliz]],1)*(DATOS_[Conc.Sal.24])))))))), 0)</f>
        <v>0</v>
      </c>
      <c r="AH23" s="302" t="n">
        <f aca="false" t="array" ref="AH23:AH23">IFERROR( (AVERAGE((IF(DATOS_[[Sexo]:[Sexo]]=$B23,IF(DATOS_[[AGRUP. VALOR. PTO.]:[AGRUP. VALOR. PTO.]]=$B21,IF(DATOS_[[Check Periodo Ref.]:[Check Periodo Ref.]]="Dentro",IF(DATOS_[[Check Equiparado]:[Check Equiparado]]="Sí",IF(DATOS!BC$4="Sí",(1/DATOS_[[% anualiz]:[% anualiz]]),1)*IF(DATOS!BC$5="Sí",1/DATOS_[[% normaliz]:[% normaliz]],1)*(DATOS_[Conc.Sal.25])))))))), 0)</f>
        <v>0</v>
      </c>
      <c r="AI23" s="302" t="n">
        <f aca="false" t="array" ref="AI23:AI23">IFERROR( (AVERAGE((IF(DATOS_[[Sexo]:[Sexo]]=$B23,IF(DATOS_[[AGRUP. VALOR. PTO.]:[AGRUP. VALOR. PTO.]]=$B21,IF(DATOS_[[Check Periodo Ref.]:[Check Periodo Ref.]]="Dentro",IF(DATOS_[[Check Equiparado]:[Check Equiparado]]="Sí",IF(DATOS!BD$4="Sí",(1/DATOS_[[% anualiz]:[% anualiz]]),1)*IF(DATOS!BD$5="Sí",1/DATOS_[[% normaliz]:[% normaliz]],1)*(DATOS_[Conc.Sal.26])))))))), 0)</f>
        <v>0</v>
      </c>
      <c r="AJ23" s="302" t="n">
        <f aca="false" t="array" ref="AJ23:AJ23">IFERROR( (AVERAGE((IF(DATOS_[[Sexo]:[Sexo]]=$B23,IF(DATOS_[[AGRUP. VALOR. PTO.]:[AGRUP. VALOR. PTO.]]=$B21,IF(DATOS_[[Check Periodo Ref.]:[Check Periodo Ref.]]="Dentro",IF(DATOS_[[Check Equiparado]:[Check Equiparado]]="Sí",IF(DATOS!BE$4="Sí",(1/DATOS_[[% anualiz]:[% anualiz]]),1)*IF(DATOS!BE$5="Sí",1/DATOS_[[% normaliz]:[% normaliz]],1)*(DATOS_[Conc.Sal.27])))))))), 0)</f>
        <v>0</v>
      </c>
      <c r="AK23" s="302" t="n">
        <f aca="false" t="array" ref="AK23:AK23">IFERROR( (AVERAGE((IF(DATOS_[[Sexo]:[Sexo]]=$B23,IF(DATOS_[[AGRUP. VALOR. PTO.]:[AGRUP. VALOR. PTO.]]=$B21,IF(DATOS_[[Check Periodo Ref.]:[Check Periodo Ref.]]="Dentro",IF(DATOS_[[Check Equiparado]:[Check Equiparado]]="Sí",IF(DATOS!BF$4="Sí",(1/DATOS_[[% anualiz]:[% anualiz]]),1)*IF(DATOS!BF$5="Sí",1/DATOS_[[% normaliz]:[% normaliz]],1)*(DATOS_[Conc.Sal.28])))))))), 0)</f>
        <v>0</v>
      </c>
      <c r="AL23" s="302" t="n">
        <f aca="false" t="array" ref="AL23:AL23">IFERROR( (AVERAGE((IF(DATOS_[[Sexo]:[Sexo]]=$B23,IF(DATOS_[[AGRUP. VALOR. PTO.]:[AGRUP. VALOR. PTO.]]=$B21,IF(DATOS_[[Check Periodo Ref.]:[Check Periodo Ref.]]="Dentro",IF(DATOS_[[Check Equiparado]:[Check Equiparado]]="Sí",IF(DATOS!BG$4="Sí",(1/DATOS_[[% anualiz]:[% anualiz]]),1)*IF(DATOS!BG$5="Sí",1/DATOS_[[% normaliz]:[% normaliz]],1)*(DATOS_[Conc.Sal.29])))))))), 0)</f>
        <v>0</v>
      </c>
      <c r="AM23" s="302" t="n">
        <f aca="false" t="array" ref="AM23:AM23">IFERROR( (AVERAGE((IF(DATOS_[[Sexo]:[Sexo]]=$B23,IF(DATOS_[[AGRUP. VALOR. PTO.]:[AGRUP. VALOR. PTO.]]=$B21,IF(DATOS_[[Check Periodo Ref.]:[Check Periodo Ref.]]="Dentro",IF(DATOS_[[Check Equiparado]:[Check Equiparado]]="Sí",IF(DATOS!BH$4="Sí",(1/DATOS_[[% anualiz]:[% anualiz]]),1)*IF(DATOS!BH$5="Sí",1/DATOS_[[% normaliz]:[% normaliz]],1)*(DATOS_[Conc.Sal.30])))))))), 0)</f>
        <v>0</v>
      </c>
      <c r="AN23" s="294" t="n">
        <f aca="false" t="array" ref="AN23:AN23">IFERROR( AVERAGE(IF(DATOS_[Sexo]=$B23,IF(DATOS_[[AGRUP. VALOR. PTO.]:[AGRUP. VALOR. PTO.]]=$B21,IF(DATOS_[Check Equiparado]="Sí",IF(DATOS_[Check Periodo Ref.]="Dentro",DATOS_[Tot COMPL.SAL Eq],0))))), 0)</f>
        <v>0</v>
      </c>
      <c r="AO23" s="295" t="n">
        <f aca="false" t="array" ref="AO23:AO23">IFERROR( AVERAGE(IF(DATOS_[Sexo]=$B23,IF(DATOS_[[AGRUP. VALOR. PTO.]:[AGRUP. VALOR. PTO.]]=$B21,IF(DATOS_[Check Equiparado]="Sí",IF(DATOS_[Check Periodo Ref.]="Dentro",DATOS_[TOTAL SALARIO Eq],0))))), 0)</f>
        <v>0</v>
      </c>
      <c r="AP23" s="303" t="n">
        <f aca="false" t="array" ref="AP23:AP23">IFERROR( (AVERAGE((IF(DATOS_[[Sexo]:[Sexo]]=$B23,IF(DATOS_[[AGRUP. VALOR. PTO.]:[AGRUP. VALOR. PTO.]]=$B22,IF(DATOS_[[Check Periodo Ref.]:[Check Periodo Ref.]]="Dentro",IF(DATOS_[[Check Equiparado]:[Check Equiparado]]="Sí",IF(DATOS!BI$4="Sí",(1/DATOS_[[% anualiz]:[% anualiz]]),1)*IF(DATOS!BI$5="Sí",1/DATOS_[[% normaliz]:[% normaliz]],1)*(DATOS_[C.Extra.01])))))))), 0)</f>
        <v>0</v>
      </c>
      <c r="AQ23" s="303" t="n">
        <f aca="false" t="array" ref="AQ23:AQ23">IFERROR( (AVERAGE((IF(DATOS_[[Sexo]:[Sexo]]=$B23,IF(DATOS_[[AGRUP. VALOR. PTO.]:[AGRUP. VALOR. PTO.]]=$B22,IF(DATOS_[[Check Periodo Ref.]:[Check Periodo Ref.]]="Dentro",IF(DATOS_[[Check Equiparado]:[Check Equiparado]]="Sí",IF(DATOS!BJ$4="Sí",(1/DATOS_[[% anualiz]:[% anualiz]]),1)*IF(DATOS!BJ$5="Sí",1/DATOS_[[% normaliz]:[% normaliz]],1)*(DATOS_[C.Extra.02])))))))), 0)</f>
        <v>0</v>
      </c>
      <c r="AR23" s="303" t="n">
        <f aca="false" t="array" ref="AR23:AR23">IFERROR( (AVERAGE((IF(DATOS_[[Sexo]:[Sexo]]=$B23,IF(DATOS_[[AGRUP. VALOR. PTO.]:[AGRUP. VALOR. PTO.]]=$B22,IF(DATOS_[[Check Periodo Ref.]:[Check Periodo Ref.]]="Dentro",IF(DATOS_[[Check Equiparado]:[Check Equiparado]]="Sí",IF(DATOS!BK$4="Sí",(1/DATOS_[[% anualiz]:[% anualiz]]),1)*IF(DATOS!BK$5="Sí",1/DATOS_[[% normaliz]:[% normaliz]],1)*(DATOS_[C.Extra.03])))))))), 0)</f>
        <v>0</v>
      </c>
      <c r="AS23" s="303" t="n">
        <f aca="false" t="array" ref="AS23:AS23">IFERROR( (AVERAGE((IF(DATOS_[[Sexo]:[Sexo]]=$B23,IF(DATOS_[[AGRUP. VALOR. PTO.]:[AGRUP. VALOR. PTO.]]=$B22,IF(DATOS_[[Check Periodo Ref.]:[Check Periodo Ref.]]="Dentro",IF(DATOS_[[Check Equiparado]:[Check Equiparado]]="Sí",IF(DATOS!BL$4="Sí",(1/DATOS_[[% anualiz]:[% anualiz]]),1)*IF(DATOS!BL$5="Sí",1/DATOS_[[% normaliz]:[% normaliz]],1)*(DATOS_[C.Extra.04])))))))), 0)</f>
        <v>0</v>
      </c>
      <c r="AT23" s="303" t="n">
        <f aca="false" t="array" ref="AT23:AT23">IFERROR( (AVERAGE((IF(DATOS_[[Sexo]:[Sexo]]=$B23,IF(DATOS_[[AGRUP. VALOR. PTO.]:[AGRUP. VALOR. PTO.]]=$B22,IF(DATOS_[[Check Periodo Ref.]:[Check Periodo Ref.]]="Dentro",IF(DATOS_[[Check Equiparado]:[Check Equiparado]]="Sí",IF(DATOS!BM$4="Sí",(1/DATOS_[[% anualiz]:[% anualiz]]),1)*IF(DATOS!BM$5="Sí",1/DATOS_[[% normaliz]:[% normaliz]],1)*(DATOS_[C.Extra.05])))))))), 0)</f>
        <v>0</v>
      </c>
      <c r="AU23" s="297" t="n">
        <f aca="false" t="array" ref="AU23:AU23">IFERROR( AVERAGE(IF(DATOS_[Sexo]=$B23,IF(DATOS_[[AGRUP. VALOR. PTO.]:[AGRUP. VALOR. PTO.]]=$B21,IF(DATOS_[Check Equiparado]="Sí",IF(DATOS_[Check Periodo Ref.]="Dentro",DATOS_[Tot Extrasalarial Eq],0))))), 0)</f>
        <v>0</v>
      </c>
      <c r="AV23" s="298" t="n">
        <f aca="false" t="array" ref="AV23:AV23">IFERROR( AVERAGE(IF(DATOS_[Sexo]=$B23,IF(DATOS_[[AGRUP. VALOR. PTO.]:[AGRUP. VALOR. PTO.]]=$B21,IF(DATOS_[Check Equiparado]="Sí",IF(DATOS_[Check Periodo Ref.]="Dentro",DATOS_[TOTAL Retrib Eq],0))))), 0)</f>
        <v>0</v>
      </c>
    </row>
    <row r="24" customFormat="false" ht="15.75" hidden="false" customHeight="false" outlineLevel="0" collapsed="false">
      <c r="A24" s="166" t="str">
        <f aca="false">+A25</f>
        <v>[ocultar]</v>
      </c>
      <c r="B24" s="276" t="s">
        <v>180</v>
      </c>
      <c r="C24" s="277"/>
      <c r="D24" s="278"/>
      <c r="E24" s="278"/>
      <c r="F24" s="278"/>
      <c r="G24" s="278"/>
      <c r="H24" s="278"/>
      <c r="I24" s="279" t="str">
        <f aca="false">IFERROR((I25-I26)/I25,"")</f>
        <v/>
      </c>
      <c r="J24" s="280" t="str">
        <f aca="false">IFERROR((J25-J26)/J25,"")</f>
        <v/>
      </c>
      <c r="K24" s="281" t="str">
        <f aca="false">IFERROR((K25-K26)/K25,"")</f>
        <v/>
      </c>
      <c r="L24" s="281" t="str">
        <f aca="false">IFERROR((L25-L26)/L25,"")</f>
        <v/>
      </c>
      <c r="M24" s="281" t="str">
        <f aca="false">IFERROR((M25-M26)/M25,"")</f>
        <v/>
      </c>
      <c r="N24" s="282" t="str">
        <f aca="false">IFERROR((N25-N26)/N25,"")</f>
        <v/>
      </c>
      <c r="O24" s="283" t="str">
        <f aca="false">IFERROR((O25-O26)/O25,"")</f>
        <v/>
      </c>
      <c r="P24" s="283" t="str">
        <f aca="false">IFERROR((P25-P26)/P25,"")</f>
        <v/>
      </c>
      <c r="Q24" s="283" t="str">
        <f aca="false">IFERROR((Q25-Q26)/Q25,"")</f>
        <v/>
      </c>
      <c r="R24" s="283" t="str">
        <f aca="false">IFERROR((R25-R26)/R25,"")</f>
        <v/>
      </c>
      <c r="S24" s="283" t="str">
        <f aca="false">IFERROR((S25-S26)/S25,"")</f>
        <v/>
      </c>
      <c r="T24" s="283" t="str">
        <f aca="false">IFERROR((T25-T26)/T25,"")</f>
        <v/>
      </c>
      <c r="U24" s="283" t="str">
        <f aca="false">IFERROR((U25-U26)/U25,"")</f>
        <v/>
      </c>
      <c r="V24" s="283" t="str">
        <f aca="false">IFERROR((V25-V26)/V25,"")</f>
        <v/>
      </c>
      <c r="W24" s="283" t="str">
        <f aca="false">IFERROR((W25-W26)/W25,"")</f>
        <v/>
      </c>
      <c r="X24" s="283" t="str">
        <f aca="false">IFERROR((X25-X26)/X25,"")</f>
        <v/>
      </c>
      <c r="Y24" s="283" t="str">
        <f aca="false">IFERROR((Y25-Y26)/Y25,"")</f>
        <v/>
      </c>
      <c r="Z24" s="282" t="str">
        <f aca="false">IFERROR((Z25-Z26)/Z25,"")</f>
        <v/>
      </c>
      <c r="AA24" s="282" t="str">
        <f aca="false">IFERROR((AA25-AA26)/AA25,"")</f>
        <v/>
      </c>
      <c r="AB24" s="282" t="str">
        <f aca="false">IFERROR((AB25-AB26)/AB25,"")</f>
        <v/>
      </c>
      <c r="AC24" s="282" t="str">
        <f aca="false">IFERROR((AC25-AC26)/AC25,"")</f>
        <v/>
      </c>
      <c r="AD24" s="282" t="str">
        <f aca="false">IFERROR((AD25-AD26)/AD25,"")</f>
        <v/>
      </c>
      <c r="AE24" s="282" t="str">
        <f aca="false">IFERROR((AE25-AE26)/AE25,"")</f>
        <v/>
      </c>
      <c r="AF24" s="282" t="str">
        <f aca="false">IFERROR((AF25-AF26)/AF25,"")</f>
        <v/>
      </c>
      <c r="AG24" s="282" t="str">
        <f aca="false">IFERROR((AG25-AG26)/AG25,"")</f>
        <v/>
      </c>
      <c r="AH24" s="282" t="str">
        <f aca="false">IFERROR((AH25-AH26)/AH25,"")</f>
        <v/>
      </c>
      <c r="AI24" s="282" t="str">
        <f aca="false">IFERROR((AI25-AI26)/AI25,"")</f>
        <v/>
      </c>
      <c r="AJ24" s="282" t="str">
        <f aca="false">IFERROR((AJ25-AJ26)/AJ25,"")</f>
        <v/>
      </c>
      <c r="AK24" s="282" t="str">
        <f aca="false">IFERROR((AK25-AK26)/AK25,"")</f>
        <v/>
      </c>
      <c r="AL24" s="282" t="str">
        <f aca="false">IFERROR((AL25-AL26)/AL25,"")</f>
        <v/>
      </c>
      <c r="AM24" s="282" t="str">
        <f aca="false">IFERROR((AM25-AM26)/AM25,"")</f>
        <v/>
      </c>
      <c r="AN24" s="284" t="str">
        <f aca="false">IFERROR((AN25-AN26)/AN25,"")</f>
        <v/>
      </c>
      <c r="AO24" s="285" t="str">
        <f aca="false">IFERROR((AO25-AO26)/AO25,"")</f>
        <v/>
      </c>
      <c r="AP24" s="286" t="str">
        <f aca="false">IFERROR((AP25-AP26)/AP25,"")</f>
        <v/>
      </c>
      <c r="AQ24" s="286" t="str">
        <f aca="false">IFERROR((AQ25-AQ26)/AQ25,"")</f>
        <v/>
      </c>
      <c r="AR24" s="286" t="str">
        <f aca="false">IFERROR((AR25-AR26)/AR25,"")</f>
        <v/>
      </c>
      <c r="AS24" s="286" t="str">
        <f aca="false">IFERROR((AS25-AS26)/AS25,"")</f>
        <v/>
      </c>
      <c r="AT24" s="286" t="str">
        <f aca="false">IFERROR((AT25-AT26)/AT25,"")</f>
        <v/>
      </c>
      <c r="AU24" s="287" t="str">
        <f aca="false">IFERROR((AU25-AU26)/AU25,"")</f>
        <v/>
      </c>
      <c r="AV24" s="288" t="str">
        <f aca="false">IFERROR((AV25-AV26)/AV25,"")</f>
        <v/>
      </c>
    </row>
    <row r="25" customFormat="false" ht="14.25" hidden="false" customHeight="false" outlineLevel="0" collapsed="false">
      <c r="A25" s="166" t="str">
        <f aca="false">+IF(C25+C26=0,"[ocultar]","")</f>
        <v>[ocultar]</v>
      </c>
      <c r="B25" s="289" t="s">
        <v>371</v>
      </c>
      <c r="C25" s="290" t="n">
        <f aca="false" t="array" ref="C25:C25">SUM(IF($B25=DATOS_[Sexo], IF($B24=DATOS_[AGRUP. VALOR. PTO.], IF("Dentro"=DATOS_[Check Periodo Ref.], 1/(COUNTIFS(DATOS_[Sexo],$B25,DATOS_[AGRUP. VALOR. PTO.],$B24,DATOS_[Check Periodo Ref.],"Dentro",DATOS_[id],DATOS_[id]))))))</f>
        <v>0</v>
      </c>
      <c r="D25" s="291" t="n">
        <f aca="false">COUNTIFS(DATOS_[AGRUP. VALOR. PTO.],$B24,DATOS_[Sexo],$B25,DATOS_[Check Periodo Ref.],"Dentro")</f>
        <v>0</v>
      </c>
      <c r="E25" s="291" t="n">
        <f aca="false">COUNTIFS(DATOS_[AGRUP. VALOR. PTO.],$B24,DATOS_[Sexo],$B25,DATOS_[Check Periodo Ref.],"Dentro",DATOS_[Check Nº SC Norm],"Sí")</f>
        <v>0</v>
      </c>
      <c r="F25" s="291" t="n">
        <f aca="false">COUNTIFS(DATOS_[AGRUP. VALOR. PTO.],$B24,DATOS_[Sexo],$B25,DATOS_[Check Periodo Ref.],"Dentro",DATOS_[Check Nº SC Anualiz],"Sí")</f>
        <v>0</v>
      </c>
      <c r="G25" s="291" t="n">
        <f aca="false">COUNTIFS(DATOS_[AGRUP. VALOR. PTO.],$B24,DATOS_[Sexo],$B25,DATOS_[Check Periodo Ref.],"Dentro",DATOS_[Check Nº SC Norm y Anualiz],"Sí")</f>
        <v>0</v>
      </c>
      <c r="H25" s="291" t="n">
        <f aca="false">COUNTIFS(DATOS_[AGRUP. VALOR. PTO.],$B24,DATOS_[Sexo],$B25,DATOS_[Check Periodo Ref.],"Dentro",DATOS_[Check Equiparación],"Sí")</f>
        <v>0</v>
      </c>
      <c r="I25" s="292" t="n">
        <f aca="false" t="array" ref="I25:I25">IFERROR( AVERAGE(IF(DATOS_[Sexo]=$B25,IF(DATOS_[[AGRUP. VALOR. PTO.]:[AGRUP. VALOR. PTO.]]=$B24,IF(DATOS_[Check Equiparado]="Sí",IF(DATOS_[Check Periodo Ref.]="Dentro",DATOS_[SALARIO BASE Eq],0))))), 0)</f>
        <v>0</v>
      </c>
      <c r="J25" s="302" t="n">
        <f aca="false" t="array" ref="J25:J25">IFERROR( (AVERAGE((IF(DATOS_[[Sexo]:[Sexo]]=$B25,IF(DATOS_[[AGRUP. VALOR. PTO.]:[AGRUP. VALOR. PTO.]]=$B24,IF(DATOS_[[Check Periodo Ref.]:[Check Periodo Ref.]]="Dentro",IF(DATOS_[[Check Equiparado]:[Check Equiparado]]="Sí",IF(DATOS!AE$4="Sí",(1/DATOS_[[% anualiz]:[% anualiz]]),1)*IF(DATOS!AE$5="Sí",1/DATOS_[[% normaliz]:[% normaliz]],1)*(DATOS_[Conc.Sal.01])))))))), 0)</f>
        <v>0</v>
      </c>
      <c r="K25" s="302" t="n">
        <f aca="false" t="array" ref="K25:K25">IFERROR( (AVERAGE((IF(DATOS_[[Sexo]:[Sexo]]=$B25,IF(DATOS_[[AGRUP. VALOR. PTO.]:[AGRUP. VALOR. PTO.]]=$B24,IF(DATOS_[[Check Periodo Ref.]:[Check Periodo Ref.]]="Dentro",IF(DATOS_[[Check Equiparado]:[Check Equiparado]]="Sí",IF(DATOS!AF$4="Sí",(1/DATOS_[[% anualiz]:[% anualiz]]),1)*IF(DATOS!AF$5="Sí",1/DATOS_[[% normaliz]:[% normaliz]],1)*(DATOS_[Conc.Sal.02])))))))), 0)</f>
        <v>0</v>
      </c>
      <c r="L25" s="302" t="n">
        <f aca="false" t="array" ref="L25:L25">IFERROR( (AVERAGE((IF(DATOS_[[Sexo]:[Sexo]]=$B25,IF(DATOS_[[AGRUP. VALOR. PTO.]:[AGRUP. VALOR. PTO.]]=$B24,IF(DATOS_[[Check Periodo Ref.]:[Check Periodo Ref.]]="Dentro",IF(DATOS_[[Check Equiparado]:[Check Equiparado]]="Sí",IF(DATOS!AG$4="Sí",(1/DATOS_[[% anualiz]:[% anualiz]]),1)*IF(DATOS!AG$5="Sí",1/DATOS_[[% normaliz]:[% normaliz]],1)*(DATOS_[Conc.Sal.03])))))))), 0)</f>
        <v>0</v>
      </c>
      <c r="M25" s="302" t="n">
        <f aca="false" t="array" ref="M25:M25">IFERROR( (AVERAGE((IF(DATOS_[[Sexo]:[Sexo]]=$B25,IF(DATOS_[[AGRUP. VALOR. PTO.]:[AGRUP. VALOR. PTO.]]=$B24,IF(DATOS_[[Check Periodo Ref.]:[Check Periodo Ref.]]="Dentro",IF(DATOS_[[Check Equiparado]:[Check Equiparado]]="Sí",IF(DATOS!AH$4="Sí",(1/DATOS_[[% anualiz]:[% anualiz]]),1)*IF(DATOS!AH$5="Sí",1/DATOS_[[% normaliz]:[% normaliz]],1)*(DATOS_[Conc.Sal.04])))))))), 0)</f>
        <v>0</v>
      </c>
      <c r="N25" s="302" t="n">
        <f aca="false" t="array" ref="N25:N25">IFERROR( (AVERAGE((IF(DATOS_[[Sexo]:[Sexo]]=$B25,IF(DATOS_[[AGRUP. VALOR. PTO.]:[AGRUP. VALOR. PTO.]]=$B24,IF(DATOS_[[Check Periodo Ref.]:[Check Periodo Ref.]]="Dentro",IF(DATOS_[[Check Equiparado]:[Check Equiparado]]="Sí",IF(DATOS!AI$4="Sí",(1/DATOS_[[% anualiz]:[% anualiz]]),1)*IF(DATOS!AI$5="Sí",1/DATOS_[[% normaliz]:[% normaliz]],1)*(DATOS_[Conc.Sal.05])))))))), 0)</f>
        <v>0</v>
      </c>
      <c r="O25" s="302" t="n">
        <f aca="false" t="array" ref="O25:O25">IFERROR( (AVERAGE((IF(DATOS_[[Sexo]:[Sexo]]=$B25,IF(DATOS_[[AGRUP. VALOR. PTO.]:[AGRUP. VALOR. PTO.]]=$B24,IF(DATOS_[[Check Periodo Ref.]:[Check Periodo Ref.]]="Dentro",IF(DATOS_[[Check Equiparado]:[Check Equiparado]]="Sí",IF(DATOS!AJ$4="Sí",(1/DATOS_[[% anualiz]:[% anualiz]]),1)*IF(DATOS!AJ$5="Sí",1/DATOS_[[% normaliz]:[% normaliz]],1)*(DATOS_[Conc.Sal.06])))))))), 0)</f>
        <v>0</v>
      </c>
      <c r="P25" s="302" t="n">
        <f aca="false" t="array" ref="P25:P25">IFERROR( (AVERAGE((IF(DATOS_[[Sexo]:[Sexo]]=$B25,IF(DATOS_[[AGRUP. VALOR. PTO.]:[AGRUP. VALOR. PTO.]]=$B24,IF(DATOS_[[Check Periodo Ref.]:[Check Periodo Ref.]]="Dentro",IF(DATOS_[[Check Equiparado]:[Check Equiparado]]="Sí",IF(DATOS!AK$4="Sí",(1/DATOS_[[% anualiz]:[% anualiz]]),1)*IF(DATOS!AK$5="Sí",1/DATOS_[[% normaliz]:[% normaliz]],1)*(DATOS_[Conc.Sal.07])))))))), 0)</f>
        <v>0</v>
      </c>
      <c r="Q25" s="302" t="n">
        <f aca="false" t="array" ref="Q25:Q25">IFERROR( (AVERAGE((IF(DATOS_[[Sexo]:[Sexo]]=$B25,IF(DATOS_[[AGRUP. VALOR. PTO.]:[AGRUP. VALOR. PTO.]]=$B24,IF(DATOS_[[Check Periodo Ref.]:[Check Periodo Ref.]]="Dentro",IF(DATOS_[[Check Equiparado]:[Check Equiparado]]="Sí",IF(DATOS!AL$4="Sí",(1/DATOS_[[% anualiz]:[% anualiz]]),1)*IF(DATOS!AL$5="Sí",1/DATOS_[[% normaliz]:[% normaliz]],1)*(DATOS_[Conc.Sal.08])))))))), 0)</f>
        <v>0</v>
      </c>
      <c r="R25" s="302" t="n">
        <f aca="false" t="array" ref="R25:R25">IFERROR( (AVERAGE((IF(DATOS_[[Sexo]:[Sexo]]=$B25,IF(DATOS_[[AGRUP. VALOR. PTO.]:[AGRUP. VALOR. PTO.]]=$B24,IF(DATOS_[[Check Periodo Ref.]:[Check Periodo Ref.]]="Dentro",IF(DATOS_[[Check Equiparado]:[Check Equiparado]]="Sí",IF(DATOS!AM$4="Sí",(1/DATOS_[[% anualiz]:[% anualiz]]),1)*IF(DATOS!AM$5="Sí",1/DATOS_[[% normaliz]:[% normaliz]],1)*(DATOS_[Conc.Sal.09])))))))), 0)</f>
        <v>0</v>
      </c>
      <c r="S25" s="302" t="n">
        <f aca="false" t="array" ref="S25:S25">IFERROR( (AVERAGE((IF(DATOS_[[Sexo]:[Sexo]]=$B25,IF(DATOS_[[AGRUP. VALOR. PTO.]:[AGRUP. VALOR. PTO.]]=$B24,IF(DATOS_[[Check Periodo Ref.]:[Check Periodo Ref.]]="Dentro",IF(DATOS_[[Check Equiparado]:[Check Equiparado]]="Sí",IF(DATOS!AN$4="Sí",(1/DATOS_[[% anualiz]:[% anualiz]]),1)*IF(DATOS!AN$5="Sí",1/DATOS_[[% normaliz]:[% normaliz]],1)*(DATOS_[Conc.Sal.10])))))))), 0)</f>
        <v>0</v>
      </c>
      <c r="T25" s="302" t="n">
        <f aca="false" t="array" ref="T25:T25">IFERROR( (AVERAGE((IF(DATOS_[[Sexo]:[Sexo]]=$B25,IF(DATOS_[[AGRUP. VALOR. PTO.]:[AGRUP. VALOR. PTO.]]=$B24,IF(DATOS_[[Check Periodo Ref.]:[Check Periodo Ref.]]="Dentro",IF(DATOS_[[Check Equiparado]:[Check Equiparado]]="Sí",IF(DATOS!AO$4="Sí",(1/DATOS_[[% anualiz]:[% anualiz]]),1)*IF(DATOS!AO$5="Sí",1/DATOS_[[% normaliz]:[% normaliz]],1)*(DATOS_[Conc.Sal.11])))))))), 0)</f>
        <v>0</v>
      </c>
      <c r="U25" s="302" t="n">
        <f aca="false" t="array" ref="U25:U25">IFERROR( (AVERAGE((IF(DATOS_[[Sexo]:[Sexo]]=$B25,IF(DATOS_[[AGRUP. VALOR. PTO.]:[AGRUP. VALOR. PTO.]]=$B24,IF(DATOS_[[Check Periodo Ref.]:[Check Periodo Ref.]]="Dentro",IF(DATOS_[[Check Equiparado]:[Check Equiparado]]="Sí",IF(DATOS!AP$4="Sí",(1/DATOS_[[% anualiz]:[% anualiz]]),1)*IF(DATOS!AP$5="Sí",1/DATOS_[[% normaliz]:[% normaliz]],1)*(DATOS_[Conc.Sal.12])))))))), 0)</f>
        <v>0</v>
      </c>
      <c r="V25" s="302" t="n">
        <f aca="false" t="array" ref="V25:V25">IFERROR( (AVERAGE((IF(DATOS_[[Sexo]:[Sexo]]=$B25,IF(DATOS_[[AGRUP. VALOR. PTO.]:[AGRUP. VALOR. PTO.]]=$B24,IF(DATOS_[[Check Periodo Ref.]:[Check Periodo Ref.]]="Dentro",IF(DATOS_[[Check Equiparado]:[Check Equiparado]]="Sí",IF(DATOS!AQ$4="Sí",(1/DATOS_[[% anualiz]:[% anualiz]]),1)*IF(DATOS!AQ$5="Sí",1/DATOS_[[% normaliz]:[% normaliz]],1)*(DATOS_[Conc.Sal.13])))))))), 0)</f>
        <v>0</v>
      </c>
      <c r="W25" s="302" t="n">
        <f aca="false" t="array" ref="W25:W25">IFERROR( (AVERAGE((IF(DATOS_[[Sexo]:[Sexo]]=$B25,IF(DATOS_[[AGRUP. VALOR. PTO.]:[AGRUP. VALOR. PTO.]]=$B24,IF(DATOS_[[Check Periodo Ref.]:[Check Periodo Ref.]]="Dentro",IF(DATOS_[[Check Equiparado]:[Check Equiparado]]="Sí",IF(DATOS!AR$4="Sí",(1/DATOS_[[% anualiz]:[% anualiz]]),1)*IF(DATOS!AR$5="Sí",1/DATOS_[[% normaliz]:[% normaliz]],1)*(DATOS_[Conc.Sal.14])))))))), 0)</f>
        <v>0</v>
      </c>
      <c r="X25" s="302" t="n">
        <f aca="false" t="array" ref="X25:X25">IFERROR( (AVERAGE((IF(DATOS_[[Sexo]:[Sexo]]=$B25,IF(DATOS_[[AGRUP. VALOR. PTO.]:[AGRUP. VALOR. PTO.]]=$B24,IF(DATOS_[[Check Periodo Ref.]:[Check Periodo Ref.]]="Dentro",IF(DATOS_[[Check Equiparado]:[Check Equiparado]]="Sí",IF(DATOS!AS$4="Sí",(1/DATOS_[[% anualiz]:[% anualiz]]),1)*IF(DATOS!AS$5="Sí",1/DATOS_[[% normaliz]:[% normaliz]],1)*(DATOS_[Conc.Sal.15])))))))), 0)</f>
        <v>0</v>
      </c>
      <c r="Y25" s="302" t="n">
        <f aca="false" t="array" ref="Y25:Y25">IFERROR( (AVERAGE((IF(DATOS_[[Sexo]:[Sexo]]=$B25,IF(DATOS_[[AGRUP. VALOR. PTO.]:[AGRUP. VALOR. PTO.]]=$B24,IF(DATOS_[[Check Periodo Ref.]:[Check Periodo Ref.]]="Dentro",IF(DATOS_[[Check Equiparado]:[Check Equiparado]]="Sí",IF(DATOS!AT$4="Sí",(1/DATOS_[[% anualiz]:[% anualiz]]),1)*IF(DATOS!AT$5="Sí",1/DATOS_[[% normaliz]:[% normaliz]],1)*(DATOS_[Conc.Sal.16])))))))), 0)</f>
        <v>0</v>
      </c>
      <c r="Z25" s="302" t="n">
        <f aca="false" t="array" ref="Z25:Z25">IFERROR( (AVERAGE((IF(DATOS_[[Sexo]:[Sexo]]=$B25,IF(DATOS_[[AGRUP. VALOR. PTO.]:[AGRUP. VALOR. PTO.]]=$B24,IF(DATOS_[[Check Periodo Ref.]:[Check Periodo Ref.]]="Dentro",IF(DATOS_[[Check Equiparado]:[Check Equiparado]]="Sí",IF(DATOS!AU$4="Sí",(1/DATOS_[[% anualiz]:[% anualiz]]),1)*IF(DATOS!AU$5="Sí",1/DATOS_[[% normaliz]:[% normaliz]],1)*(DATOS_[Conc.Sal.17])))))))), 0)</f>
        <v>0</v>
      </c>
      <c r="AA25" s="302" t="n">
        <f aca="false" t="array" ref="AA25:AA25">IFERROR( (AVERAGE((IF(DATOS_[[Sexo]:[Sexo]]=$B25,IF(DATOS_[[AGRUP. VALOR. PTO.]:[AGRUP. VALOR. PTO.]]=$B24,IF(DATOS_[[Check Periodo Ref.]:[Check Periodo Ref.]]="Dentro",IF(DATOS_[[Check Equiparado]:[Check Equiparado]]="Sí",IF(DATOS!AV$4="Sí",(1/DATOS_[[% anualiz]:[% anualiz]]),1)*IF(DATOS!AV$5="Sí",1/DATOS_[[% normaliz]:[% normaliz]],1)*(DATOS_[Conc.Sal.18])))))))), 0)</f>
        <v>0</v>
      </c>
      <c r="AB25" s="302" t="n">
        <f aca="false" t="array" ref="AB25:AB25">IFERROR( (AVERAGE((IF(DATOS_[[Sexo]:[Sexo]]=$B25,IF(DATOS_[[AGRUP. VALOR. PTO.]:[AGRUP. VALOR. PTO.]]=$B24,IF(DATOS_[[Check Periodo Ref.]:[Check Periodo Ref.]]="Dentro",IF(DATOS_[[Check Equiparado]:[Check Equiparado]]="Sí",IF(DATOS!AW$4="Sí",(1/DATOS_[[% anualiz]:[% anualiz]]),1)*IF(DATOS!AW$5="Sí",1/DATOS_[[% normaliz]:[% normaliz]],1)*(DATOS_[Conc.Sal.19])))))))), 0)</f>
        <v>0</v>
      </c>
      <c r="AC25" s="302" t="n">
        <f aca="false" t="array" ref="AC25:AC25">IFERROR( (AVERAGE((IF(DATOS_[[Sexo]:[Sexo]]=$B25,IF(DATOS_[[AGRUP. VALOR. PTO.]:[AGRUP. VALOR. PTO.]]=$B24,IF(DATOS_[[Check Periodo Ref.]:[Check Periodo Ref.]]="Dentro",IF(DATOS_[[Check Equiparado]:[Check Equiparado]]="Sí",IF(DATOS!AX$4="Sí",(1/DATOS_[[% anualiz]:[% anualiz]]),1)*IF(DATOS!AX$5="Sí",1/DATOS_[[% normaliz]:[% normaliz]],1)*(DATOS_[Conc.Sal.20])))))))), 0)</f>
        <v>0</v>
      </c>
      <c r="AD25" s="302" t="n">
        <f aca="false" t="array" ref="AD25:AD25">IFERROR( (AVERAGE((IF(DATOS_[[Sexo]:[Sexo]]=$B25,IF(DATOS_[[AGRUP. VALOR. PTO.]:[AGRUP. VALOR. PTO.]]=$B24,IF(DATOS_[[Check Periodo Ref.]:[Check Periodo Ref.]]="Dentro",IF(DATOS_[[Check Equiparado]:[Check Equiparado]]="Sí",IF(DATOS!AY$4="Sí",(1/DATOS_[[% anualiz]:[% anualiz]]),1)*IF(DATOS!AY$5="Sí",1/DATOS_[[% normaliz]:[% normaliz]],1)*(DATOS_[Conc.Sal.21])))))))), 0)</f>
        <v>0</v>
      </c>
      <c r="AE25" s="302" t="n">
        <f aca="false" t="array" ref="AE25:AE25">IFERROR( (AVERAGE((IF(DATOS_[[Sexo]:[Sexo]]=$B25,IF(DATOS_[[AGRUP. VALOR. PTO.]:[AGRUP. VALOR. PTO.]]=$B24,IF(DATOS_[[Check Periodo Ref.]:[Check Periodo Ref.]]="Dentro",IF(DATOS_[[Check Equiparado]:[Check Equiparado]]="Sí",IF(DATOS!AZ$4="Sí",(1/DATOS_[[% anualiz]:[% anualiz]]),1)*IF(DATOS!AZ$5="Sí",1/DATOS_[[% normaliz]:[% normaliz]],1)*(DATOS_[Conc.Sal.22])))))))), 0)</f>
        <v>0</v>
      </c>
      <c r="AF25" s="302" t="n">
        <f aca="false" t="array" ref="AF25:AF25">IFERROR( (AVERAGE((IF(DATOS_[[Sexo]:[Sexo]]=$B25,IF(DATOS_[[AGRUP. VALOR. PTO.]:[AGRUP. VALOR. PTO.]]=$B24,IF(DATOS_[[Check Periodo Ref.]:[Check Periodo Ref.]]="Dentro",IF(DATOS_[[Check Equiparado]:[Check Equiparado]]="Sí",IF(DATOS!BA$4="Sí",(1/DATOS_[[% anualiz]:[% anualiz]]),1)*IF(DATOS!BA$5="Sí",1/DATOS_[[% normaliz]:[% normaliz]],1)*(DATOS_[Conc.Sal.23])))))))), 0)</f>
        <v>0</v>
      </c>
      <c r="AG25" s="302" t="n">
        <f aca="false" t="array" ref="AG25:AG25">IFERROR( (AVERAGE((IF(DATOS_[[Sexo]:[Sexo]]=$B25,IF(DATOS_[[AGRUP. VALOR. PTO.]:[AGRUP. VALOR. PTO.]]=$B24,IF(DATOS_[[Check Periodo Ref.]:[Check Periodo Ref.]]="Dentro",IF(DATOS_[[Check Equiparado]:[Check Equiparado]]="Sí",IF(DATOS!BB$4="Sí",(1/DATOS_[[% anualiz]:[% anualiz]]),1)*IF(DATOS!BB$5="Sí",1/DATOS_[[% normaliz]:[% normaliz]],1)*(DATOS_[Conc.Sal.24])))))))), 0)</f>
        <v>0</v>
      </c>
      <c r="AH25" s="302" t="n">
        <f aca="false" t="array" ref="AH25:AH25">IFERROR( (AVERAGE((IF(DATOS_[[Sexo]:[Sexo]]=$B25,IF(DATOS_[[AGRUP. VALOR. PTO.]:[AGRUP. VALOR. PTO.]]=$B24,IF(DATOS_[[Check Periodo Ref.]:[Check Periodo Ref.]]="Dentro",IF(DATOS_[[Check Equiparado]:[Check Equiparado]]="Sí",IF(DATOS!BC$4="Sí",(1/DATOS_[[% anualiz]:[% anualiz]]),1)*IF(DATOS!BC$5="Sí",1/DATOS_[[% normaliz]:[% normaliz]],1)*(DATOS_[Conc.Sal.25])))))))), 0)</f>
        <v>0</v>
      </c>
      <c r="AI25" s="302" t="n">
        <f aca="false" t="array" ref="AI25:AI25">IFERROR( (AVERAGE((IF(DATOS_[[Sexo]:[Sexo]]=$B25,IF(DATOS_[[AGRUP. VALOR. PTO.]:[AGRUP. VALOR. PTO.]]=$B24,IF(DATOS_[[Check Periodo Ref.]:[Check Periodo Ref.]]="Dentro",IF(DATOS_[[Check Equiparado]:[Check Equiparado]]="Sí",IF(DATOS!BD$4="Sí",(1/DATOS_[[% anualiz]:[% anualiz]]),1)*IF(DATOS!BD$5="Sí",1/DATOS_[[% normaliz]:[% normaliz]],1)*(DATOS_[Conc.Sal.26])))))))), 0)</f>
        <v>0</v>
      </c>
      <c r="AJ25" s="302" t="n">
        <f aca="false" t="array" ref="AJ25:AJ25">IFERROR( (AVERAGE((IF(DATOS_[[Sexo]:[Sexo]]=$B25,IF(DATOS_[[AGRUP. VALOR. PTO.]:[AGRUP. VALOR. PTO.]]=$B24,IF(DATOS_[[Check Periodo Ref.]:[Check Periodo Ref.]]="Dentro",IF(DATOS_[[Check Equiparado]:[Check Equiparado]]="Sí",IF(DATOS!BE$4="Sí",(1/DATOS_[[% anualiz]:[% anualiz]]),1)*IF(DATOS!BE$5="Sí",1/DATOS_[[% normaliz]:[% normaliz]],1)*(DATOS_[Conc.Sal.27])))))))), 0)</f>
        <v>0</v>
      </c>
      <c r="AK25" s="302" t="n">
        <f aca="false" t="array" ref="AK25:AK25">IFERROR( (AVERAGE((IF(DATOS_[[Sexo]:[Sexo]]=$B25,IF(DATOS_[[AGRUP. VALOR. PTO.]:[AGRUP. VALOR. PTO.]]=$B24,IF(DATOS_[[Check Periodo Ref.]:[Check Periodo Ref.]]="Dentro",IF(DATOS_[[Check Equiparado]:[Check Equiparado]]="Sí",IF(DATOS!BF$4="Sí",(1/DATOS_[[% anualiz]:[% anualiz]]),1)*IF(DATOS!BF$5="Sí",1/DATOS_[[% normaliz]:[% normaliz]],1)*(DATOS_[Conc.Sal.28])))))))), 0)</f>
        <v>0</v>
      </c>
      <c r="AL25" s="302" t="n">
        <f aca="false" t="array" ref="AL25:AL25">IFERROR( (AVERAGE((IF(DATOS_[[Sexo]:[Sexo]]=$B25,IF(DATOS_[[AGRUP. VALOR. PTO.]:[AGRUP. VALOR. PTO.]]=$B24,IF(DATOS_[[Check Periodo Ref.]:[Check Periodo Ref.]]="Dentro",IF(DATOS_[[Check Equiparado]:[Check Equiparado]]="Sí",IF(DATOS!BG$4="Sí",(1/DATOS_[[% anualiz]:[% anualiz]]),1)*IF(DATOS!BG$5="Sí",1/DATOS_[[% normaliz]:[% normaliz]],1)*(DATOS_[Conc.Sal.29])))))))), 0)</f>
        <v>0</v>
      </c>
      <c r="AM25" s="302" t="n">
        <f aca="false" t="array" ref="AM25:AM25">IFERROR( (AVERAGE((IF(DATOS_[[Sexo]:[Sexo]]=$B25,IF(DATOS_[[AGRUP. VALOR. PTO.]:[AGRUP. VALOR. PTO.]]=$B24,IF(DATOS_[[Check Periodo Ref.]:[Check Periodo Ref.]]="Dentro",IF(DATOS_[[Check Equiparado]:[Check Equiparado]]="Sí",IF(DATOS!BH$4="Sí",(1/DATOS_[[% anualiz]:[% anualiz]]),1)*IF(DATOS!BH$5="Sí",1/DATOS_[[% normaliz]:[% normaliz]],1)*(DATOS_[Conc.Sal.30])))))))), 0)</f>
        <v>0</v>
      </c>
      <c r="AN25" s="294" t="n">
        <f aca="false" t="array" ref="AN25:AN25">IFERROR( AVERAGE(IF(DATOS_[Sexo]=$B25,IF(DATOS_[[AGRUP. VALOR. PTO.]:[AGRUP. VALOR. PTO.]]=$B24,IF(DATOS_[Check Equiparado]="Sí",IF(DATOS_[Check Periodo Ref.]="Dentro",DATOS_[Tot COMPL.SAL Eq],0))))), 0)</f>
        <v>0</v>
      </c>
      <c r="AO25" s="295" t="n">
        <f aca="false" t="array" ref="AO25:AO25">IFERROR( AVERAGE(IF(DATOS_[Sexo]=$B25,IF(DATOS_[[AGRUP. VALOR. PTO.]:[AGRUP. VALOR. PTO.]]=$B24,IF(DATOS_[Check Equiparado]="Sí",IF(DATOS_[Check Periodo Ref.]="Dentro",DATOS_[TOTAL SALARIO Eq],0))))), 0)</f>
        <v>0</v>
      </c>
      <c r="AP25" s="303" t="n">
        <f aca="false" t="array" ref="AP25:AP25">IFERROR( (AVERAGE((IF(DATOS_[[Sexo]:[Sexo]]=$B25,IF(DATOS_[[AGRUP. VALOR. PTO.]:[AGRUP. VALOR. PTO.]]=$B24,IF(DATOS_[[Check Periodo Ref.]:[Check Periodo Ref.]]="Dentro",IF(DATOS_[[Check Equiparado]:[Check Equiparado]]="Sí",IF(DATOS!BI$4="Sí",(1/DATOS_[[% anualiz]:[% anualiz]]),1)*IF(DATOS!BI$5="Sí",1/DATOS_[[% normaliz]:[% normaliz]],1)*(DATOS_[C.Extra.01])))))))), 0)</f>
        <v>0</v>
      </c>
      <c r="AQ25" s="303" t="n">
        <f aca="false" t="array" ref="AQ25:AQ25">IFERROR( (AVERAGE((IF(DATOS_[[Sexo]:[Sexo]]=$B25,IF(DATOS_[[AGRUP. VALOR. PTO.]:[AGRUP. VALOR. PTO.]]=$B24,IF(DATOS_[[Check Periodo Ref.]:[Check Periodo Ref.]]="Dentro",IF(DATOS_[[Check Equiparado]:[Check Equiparado]]="Sí",IF(DATOS!BJ$4="Sí",(1/DATOS_[[% anualiz]:[% anualiz]]),1)*IF(DATOS!BJ$5="Sí",1/DATOS_[[% normaliz]:[% normaliz]],1)*(DATOS_[C.Extra.02])))))))), 0)</f>
        <v>0</v>
      </c>
      <c r="AR25" s="303" t="n">
        <f aca="false" t="array" ref="AR25:AR25">IFERROR( (AVERAGE((IF(DATOS_[[Sexo]:[Sexo]]=$B25,IF(DATOS_[[AGRUP. VALOR. PTO.]:[AGRUP. VALOR. PTO.]]=$B24,IF(DATOS_[[Check Periodo Ref.]:[Check Periodo Ref.]]="Dentro",IF(DATOS_[[Check Equiparado]:[Check Equiparado]]="Sí",IF(DATOS!BK$4="Sí",(1/DATOS_[[% anualiz]:[% anualiz]]),1)*IF(DATOS!BK$5="Sí",1/DATOS_[[% normaliz]:[% normaliz]],1)*(DATOS_[C.Extra.03])))))))), 0)</f>
        <v>0</v>
      </c>
      <c r="AS25" s="303" t="n">
        <f aca="false" t="array" ref="AS25:AS25">IFERROR( (AVERAGE((IF(DATOS_[[Sexo]:[Sexo]]=$B25,IF(DATOS_[[AGRUP. VALOR. PTO.]:[AGRUP. VALOR. PTO.]]=$B24,IF(DATOS_[[Check Periodo Ref.]:[Check Periodo Ref.]]="Dentro",IF(DATOS_[[Check Equiparado]:[Check Equiparado]]="Sí",IF(DATOS!BL$4="Sí",(1/DATOS_[[% anualiz]:[% anualiz]]),1)*IF(DATOS!BL$5="Sí",1/DATOS_[[% normaliz]:[% normaliz]],1)*(DATOS_[C.Extra.04])))))))), 0)</f>
        <v>0</v>
      </c>
      <c r="AT25" s="303" t="n">
        <f aca="false" t="array" ref="AT25:AT25">IFERROR( (AVERAGE((IF(DATOS_[[Sexo]:[Sexo]]=$B25,IF(DATOS_[[AGRUP. VALOR. PTO.]:[AGRUP. VALOR. PTO.]]=$B24,IF(DATOS_[[Check Periodo Ref.]:[Check Periodo Ref.]]="Dentro",IF(DATOS_[[Check Equiparado]:[Check Equiparado]]="Sí",IF(DATOS!BM$4="Sí",(1/DATOS_[[% anualiz]:[% anualiz]]),1)*IF(DATOS!BM$5="Sí",1/DATOS_[[% normaliz]:[% normaliz]],1)*(DATOS_[C.Extra.05])))))))), 0)</f>
        <v>0</v>
      </c>
      <c r="AU25" s="297" t="n">
        <f aca="false" t="array" ref="AU25:AU25">IFERROR( AVERAGE(IF(DATOS_[Sexo]=$B25,IF(DATOS_[[AGRUP. VALOR. PTO.]:[AGRUP. VALOR. PTO.]]=$B24,IF(DATOS_[Check Equiparado]="Sí",IF(DATOS_[Check Periodo Ref.]="Dentro",DATOS_[Tot Extrasalarial Eq],0))))), 0)</f>
        <v>0</v>
      </c>
      <c r="AV25" s="298" t="n">
        <f aca="false" t="array" ref="AV25:AV25">IFERROR( AVERAGE(IF(DATOS_[Sexo]=$B25,IF(DATOS_[[AGRUP. VALOR. PTO.]:[AGRUP. VALOR. PTO.]]=$B24,IF(DATOS_[Check Equiparado]="Sí",IF(DATOS_[Check Periodo Ref.]="Dentro",DATOS_[TOTAL Retrib Eq],0))))), 0)</f>
        <v>0</v>
      </c>
    </row>
    <row r="26" customFormat="false" ht="14.25" hidden="false" customHeight="false" outlineLevel="0" collapsed="false">
      <c r="A26" s="166" t="str">
        <f aca="false">+A25</f>
        <v>[ocultar]</v>
      </c>
      <c r="B26" s="289" t="s">
        <v>372</v>
      </c>
      <c r="C26" s="290" t="n">
        <f aca="false" t="array" ref="C26:C26">SUM(IF($B26=DATOS_[Sexo], IF($B24=DATOS_[AGRUP. VALOR. PTO.], IF("Dentro"=DATOS_[Check Periodo Ref.], 1/(COUNTIFS(DATOS_[Sexo],$B26,DATOS_[AGRUP. VALOR. PTO.],$B24,DATOS_[Check Periodo Ref.],"Dentro",DATOS_[id],DATOS_[id]))))))</f>
        <v>0</v>
      </c>
      <c r="D26" s="291" t="n">
        <f aca="false">COUNTIFS(DATOS_[AGRUP. VALOR. PTO.],$B24,DATOS_[Sexo],$B26,DATOS_[Check Periodo Ref.],"Dentro")</f>
        <v>0</v>
      </c>
      <c r="E26" s="291" t="n">
        <f aca="false">COUNTIFS(DATOS_[AGRUP. VALOR. PTO.],$B24,DATOS_[Sexo],$B26,DATOS_[Check Periodo Ref.],"Dentro",DATOS_[Check Nº SC Norm],"Sí")</f>
        <v>0</v>
      </c>
      <c r="F26" s="291" t="n">
        <f aca="false">COUNTIFS(DATOS_[AGRUP. VALOR. PTO.],$B24,DATOS_[Sexo],$B26,DATOS_[Check Periodo Ref.],"Dentro",DATOS_[Check Nº SC Anualiz],"Sí")</f>
        <v>0</v>
      </c>
      <c r="G26" s="291" t="n">
        <f aca="false">COUNTIFS(DATOS_[AGRUP. VALOR. PTO.],$B24,DATOS_[Sexo],$B26,DATOS_[Check Periodo Ref.],"Dentro",DATOS_[Check Nº SC Norm y Anualiz],"Sí")</f>
        <v>0</v>
      </c>
      <c r="H26" s="291" t="n">
        <f aca="false">COUNTIFS(DATOS_[AGRUP. VALOR. PTO.],$B24,DATOS_[Sexo],$B26,DATOS_[Check Periodo Ref.],"Dentro",DATOS_[Check Equiparación],"Sí")</f>
        <v>0</v>
      </c>
      <c r="I26" s="292" t="n">
        <f aca="false" t="array" ref="I26:I26">IFERROR( AVERAGE(IF(DATOS_[Sexo]=$B26,IF(DATOS_[[AGRUP. VALOR. PTO.]:[AGRUP. VALOR. PTO.]]=$B24,IF(DATOS_[Check Equiparado]="Sí",IF(DATOS_[Check Periodo Ref.]="Dentro",DATOS_[SALARIO BASE Eq],0))))), 0)</f>
        <v>0</v>
      </c>
      <c r="J26" s="302" t="n">
        <f aca="false" t="array" ref="J26:J26">IFERROR( (AVERAGE((IF(DATOS_[[Sexo]:[Sexo]]=$B26,IF(DATOS_[[AGRUP. VALOR. PTO.]:[AGRUP. VALOR. PTO.]]=$B24,IF(DATOS_[[Check Periodo Ref.]:[Check Periodo Ref.]]="Dentro",IF(DATOS_[[Check Equiparado]:[Check Equiparado]]="Sí",IF(DATOS!AE$4="Sí",(1/DATOS_[[% anualiz]:[% anualiz]]),1)*IF(DATOS!AE$5="Sí",1/DATOS_[[% normaliz]:[% normaliz]],1)*(DATOS_[Conc.Sal.01])))))))), 0)</f>
        <v>0</v>
      </c>
      <c r="K26" s="302" t="n">
        <f aca="false" t="array" ref="K26:K26">IFERROR( (AVERAGE((IF(DATOS_[[Sexo]:[Sexo]]=$B26,IF(DATOS_[[AGRUP. VALOR. PTO.]:[AGRUP. VALOR. PTO.]]=$B24,IF(DATOS_[[Check Periodo Ref.]:[Check Periodo Ref.]]="Dentro",IF(DATOS_[[Check Equiparado]:[Check Equiparado]]="Sí",IF(DATOS!AF$4="Sí",(1/DATOS_[[% anualiz]:[% anualiz]]),1)*IF(DATOS!AF$5="Sí",1/DATOS_[[% normaliz]:[% normaliz]],1)*(DATOS_[Conc.Sal.02])))))))), 0)</f>
        <v>0</v>
      </c>
      <c r="L26" s="302" t="n">
        <f aca="false" t="array" ref="L26:L26">IFERROR( (AVERAGE((IF(DATOS_[[Sexo]:[Sexo]]=$B26,IF(DATOS_[[AGRUP. VALOR. PTO.]:[AGRUP. VALOR. PTO.]]=$B24,IF(DATOS_[[Check Periodo Ref.]:[Check Periodo Ref.]]="Dentro",IF(DATOS_[[Check Equiparado]:[Check Equiparado]]="Sí",IF(DATOS!AG$4="Sí",(1/DATOS_[[% anualiz]:[% anualiz]]),1)*IF(DATOS!AG$5="Sí",1/DATOS_[[% normaliz]:[% normaliz]],1)*(DATOS_[Conc.Sal.03])))))))), 0)</f>
        <v>0</v>
      </c>
      <c r="M26" s="302" t="n">
        <f aca="false" t="array" ref="M26:M26">IFERROR( (AVERAGE((IF(DATOS_[[Sexo]:[Sexo]]=$B26,IF(DATOS_[[AGRUP. VALOR. PTO.]:[AGRUP. VALOR. PTO.]]=$B24,IF(DATOS_[[Check Periodo Ref.]:[Check Periodo Ref.]]="Dentro",IF(DATOS_[[Check Equiparado]:[Check Equiparado]]="Sí",IF(DATOS!AH$4="Sí",(1/DATOS_[[% anualiz]:[% anualiz]]),1)*IF(DATOS!AH$5="Sí",1/DATOS_[[% normaliz]:[% normaliz]],1)*(DATOS_[Conc.Sal.04])))))))), 0)</f>
        <v>0</v>
      </c>
      <c r="N26" s="302" t="n">
        <f aca="false" t="array" ref="N26:N26">IFERROR( (AVERAGE((IF(DATOS_[[Sexo]:[Sexo]]=$B26,IF(DATOS_[[AGRUP. VALOR. PTO.]:[AGRUP. VALOR. PTO.]]=$B24,IF(DATOS_[[Check Periodo Ref.]:[Check Periodo Ref.]]="Dentro",IF(DATOS_[[Check Equiparado]:[Check Equiparado]]="Sí",IF(DATOS!AI$4="Sí",(1/DATOS_[[% anualiz]:[% anualiz]]),1)*IF(DATOS!AI$5="Sí",1/DATOS_[[% normaliz]:[% normaliz]],1)*(DATOS_[Conc.Sal.05])))))))), 0)</f>
        <v>0</v>
      </c>
      <c r="O26" s="302" t="n">
        <f aca="false" t="array" ref="O26:O26">IFERROR( (AVERAGE((IF(DATOS_[[Sexo]:[Sexo]]=$B26,IF(DATOS_[[AGRUP. VALOR. PTO.]:[AGRUP. VALOR. PTO.]]=$B24,IF(DATOS_[[Check Periodo Ref.]:[Check Periodo Ref.]]="Dentro",IF(DATOS_[[Check Equiparado]:[Check Equiparado]]="Sí",IF(DATOS!AJ$4="Sí",(1/DATOS_[[% anualiz]:[% anualiz]]),1)*IF(DATOS!AJ$5="Sí",1/DATOS_[[% normaliz]:[% normaliz]],1)*(DATOS_[Conc.Sal.06])))))))), 0)</f>
        <v>0</v>
      </c>
      <c r="P26" s="302" t="n">
        <f aca="false" t="array" ref="P26:P26">IFERROR( (AVERAGE((IF(DATOS_[[Sexo]:[Sexo]]=$B26,IF(DATOS_[[AGRUP. VALOR. PTO.]:[AGRUP. VALOR. PTO.]]=$B24,IF(DATOS_[[Check Periodo Ref.]:[Check Periodo Ref.]]="Dentro",IF(DATOS_[[Check Equiparado]:[Check Equiparado]]="Sí",IF(DATOS!AK$4="Sí",(1/DATOS_[[% anualiz]:[% anualiz]]),1)*IF(DATOS!AK$5="Sí",1/DATOS_[[% normaliz]:[% normaliz]],1)*(DATOS_[Conc.Sal.07])))))))), 0)</f>
        <v>0</v>
      </c>
      <c r="Q26" s="302" t="n">
        <f aca="false" t="array" ref="Q26:Q26">IFERROR( (AVERAGE((IF(DATOS_[[Sexo]:[Sexo]]=$B26,IF(DATOS_[[AGRUP. VALOR. PTO.]:[AGRUP. VALOR. PTO.]]=$B24,IF(DATOS_[[Check Periodo Ref.]:[Check Periodo Ref.]]="Dentro",IF(DATOS_[[Check Equiparado]:[Check Equiparado]]="Sí",IF(DATOS!AL$4="Sí",(1/DATOS_[[% anualiz]:[% anualiz]]),1)*IF(DATOS!AL$5="Sí",1/DATOS_[[% normaliz]:[% normaliz]],1)*(DATOS_[Conc.Sal.08])))))))), 0)</f>
        <v>0</v>
      </c>
      <c r="R26" s="302" t="n">
        <f aca="false" t="array" ref="R26:R26">IFERROR( (AVERAGE((IF(DATOS_[[Sexo]:[Sexo]]=$B26,IF(DATOS_[[AGRUP. VALOR. PTO.]:[AGRUP. VALOR. PTO.]]=$B24,IF(DATOS_[[Check Periodo Ref.]:[Check Periodo Ref.]]="Dentro",IF(DATOS_[[Check Equiparado]:[Check Equiparado]]="Sí",IF(DATOS!AM$4="Sí",(1/DATOS_[[% anualiz]:[% anualiz]]),1)*IF(DATOS!AM$5="Sí",1/DATOS_[[% normaliz]:[% normaliz]],1)*(DATOS_[Conc.Sal.09])))))))), 0)</f>
        <v>0</v>
      </c>
      <c r="S26" s="302" t="n">
        <f aca="false" t="array" ref="S26:S26">IFERROR( (AVERAGE((IF(DATOS_[[Sexo]:[Sexo]]=$B26,IF(DATOS_[[AGRUP. VALOR. PTO.]:[AGRUP. VALOR. PTO.]]=$B24,IF(DATOS_[[Check Periodo Ref.]:[Check Periodo Ref.]]="Dentro",IF(DATOS_[[Check Equiparado]:[Check Equiparado]]="Sí",IF(DATOS!AN$4="Sí",(1/DATOS_[[% anualiz]:[% anualiz]]),1)*IF(DATOS!AN$5="Sí",1/DATOS_[[% normaliz]:[% normaliz]],1)*(DATOS_[Conc.Sal.10])))))))), 0)</f>
        <v>0</v>
      </c>
      <c r="T26" s="302" t="n">
        <f aca="false" t="array" ref="T26:T26">IFERROR( (AVERAGE((IF(DATOS_[[Sexo]:[Sexo]]=$B26,IF(DATOS_[[AGRUP. VALOR. PTO.]:[AGRUP. VALOR. PTO.]]=$B24,IF(DATOS_[[Check Periodo Ref.]:[Check Periodo Ref.]]="Dentro",IF(DATOS_[[Check Equiparado]:[Check Equiparado]]="Sí",IF(DATOS!AO$4="Sí",(1/DATOS_[[% anualiz]:[% anualiz]]),1)*IF(DATOS!AO$5="Sí",1/DATOS_[[% normaliz]:[% normaliz]],1)*(DATOS_[Conc.Sal.11])))))))), 0)</f>
        <v>0</v>
      </c>
      <c r="U26" s="302" t="n">
        <f aca="false" t="array" ref="U26:U26">IFERROR( (AVERAGE((IF(DATOS_[[Sexo]:[Sexo]]=$B26,IF(DATOS_[[AGRUP. VALOR. PTO.]:[AGRUP. VALOR. PTO.]]=$B24,IF(DATOS_[[Check Periodo Ref.]:[Check Periodo Ref.]]="Dentro",IF(DATOS_[[Check Equiparado]:[Check Equiparado]]="Sí",IF(DATOS!AP$4="Sí",(1/DATOS_[[% anualiz]:[% anualiz]]),1)*IF(DATOS!AP$5="Sí",1/DATOS_[[% normaliz]:[% normaliz]],1)*(DATOS_[Conc.Sal.12])))))))), 0)</f>
        <v>0</v>
      </c>
      <c r="V26" s="302" t="n">
        <f aca="false" t="array" ref="V26:V26">IFERROR( (AVERAGE((IF(DATOS_[[Sexo]:[Sexo]]=$B26,IF(DATOS_[[AGRUP. VALOR. PTO.]:[AGRUP. VALOR. PTO.]]=$B24,IF(DATOS_[[Check Periodo Ref.]:[Check Periodo Ref.]]="Dentro",IF(DATOS_[[Check Equiparado]:[Check Equiparado]]="Sí",IF(DATOS!AQ$4="Sí",(1/DATOS_[[% anualiz]:[% anualiz]]),1)*IF(DATOS!AQ$5="Sí",1/DATOS_[[% normaliz]:[% normaliz]],1)*(DATOS_[Conc.Sal.13])))))))), 0)</f>
        <v>0</v>
      </c>
      <c r="W26" s="302" t="n">
        <f aca="false" t="array" ref="W26:W26">IFERROR( (AVERAGE((IF(DATOS_[[Sexo]:[Sexo]]=$B26,IF(DATOS_[[AGRUP. VALOR. PTO.]:[AGRUP. VALOR. PTO.]]=$B24,IF(DATOS_[[Check Periodo Ref.]:[Check Periodo Ref.]]="Dentro",IF(DATOS_[[Check Equiparado]:[Check Equiparado]]="Sí",IF(DATOS!AR$4="Sí",(1/DATOS_[[% anualiz]:[% anualiz]]),1)*IF(DATOS!AR$5="Sí",1/DATOS_[[% normaliz]:[% normaliz]],1)*(DATOS_[Conc.Sal.14])))))))), 0)</f>
        <v>0</v>
      </c>
      <c r="X26" s="302" t="n">
        <f aca="false" t="array" ref="X26:X26">IFERROR( (AVERAGE((IF(DATOS_[[Sexo]:[Sexo]]=$B26,IF(DATOS_[[AGRUP. VALOR. PTO.]:[AGRUP. VALOR. PTO.]]=$B24,IF(DATOS_[[Check Periodo Ref.]:[Check Periodo Ref.]]="Dentro",IF(DATOS_[[Check Equiparado]:[Check Equiparado]]="Sí",IF(DATOS!AS$4="Sí",(1/DATOS_[[% anualiz]:[% anualiz]]),1)*IF(DATOS!AS$5="Sí",1/DATOS_[[% normaliz]:[% normaliz]],1)*(DATOS_[Conc.Sal.15])))))))), 0)</f>
        <v>0</v>
      </c>
      <c r="Y26" s="302" t="n">
        <f aca="false" t="array" ref="Y26:Y26">IFERROR( (AVERAGE((IF(DATOS_[[Sexo]:[Sexo]]=$B26,IF(DATOS_[[AGRUP. VALOR. PTO.]:[AGRUP. VALOR. PTO.]]=$B24,IF(DATOS_[[Check Periodo Ref.]:[Check Periodo Ref.]]="Dentro",IF(DATOS_[[Check Equiparado]:[Check Equiparado]]="Sí",IF(DATOS!AT$4="Sí",(1/DATOS_[[% anualiz]:[% anualiz]]),1)*IF(DATOS!AT$5="Sí",1/DATOS_[[% normaliz]:[% normaliz]],1)*(DATOS_[Conc.Sal.16])))))))), 0)</f>
        <v>0</v>
      </c>
      <c r="Z26" s="302" t="n">
        <f aca="false" t="array" ref="Z26:Z26">IFERROR( (AVERAGE((IF(DATOS_[[Sexo]:[Sexo]]=$B26,IF(DATOS_[[AGRUP. VALOR. PTO.]:[AGRUP. VALOR. PTO.]]=$B24,IF(DATOS_[[Check Periodo Ref.]:[Check Periodo Ref.]]="Dentro",IF(DATOS_[[Check Equiparado]:[Check Equiparado]]="Sí",IF(DATOS!AU$4="Sí",(1/DATOS_[[% anualiz]:[% anualiz]]),1)*IF(DATOS!AU$5="Sí",1/DATOS_[[% normaliz]:[% normaliz]],1)*(DATOS_[Conc.Sal.17])))))))), 0)</f>
        <v>0</v>
      </c>
      <c r="AA26" s="302" t="n">
        <f aca="false" t="array" ref="AA26:AA26">IFERROR( (AVERAGE((IF(DATOS_[[Sexo]:[Sexo]]=$B26,IF(DATOS_[[AGRUP. VALOR. PTO.]:[AGRUP. VALOR. PTO.]]=$B24,IF(DATOS_[[Check Periodo Ref.]:[Check Periodo Ref.]]="Dentro",IF(DATOS_[[Check Equiparado]:[Check Equiparado]]="Sí",IF(DATOS!AV$4="Sí",(1/DATOS_[[% anualiz]:[% anualiz]]),1)*IF(DATOS!AV$5="Sí",1/DATOS_[[% normaliz]:[% normaliz]],1)*(DATOS_[Conc.Sal.18])))))))), 0)</f>
        <v>0</v>
      </c>
      <c r="AB26" s="302" t="n">
        <f aca="false" t="array" ref="AB26:AB26">IFERROR( (AVERAGE((IF(DATOS_[[Sexo]:[Sexo]]=$B26,IF(DATOS_[[AGRUP. VALOR. PTO.]:[AGRUP. VALOR. PTO.]]=$B24,IF(DATOS_[[Check Periodo Ref.]:[Check Periodo Ref.]]="Dentro",IF(DATOS_[[Check Equiparado]:[Check Equiparado]]="Sí",IF(DATOS!AW$4="Sí",(1/DATOS_[[% anualiz]:[% anualiz]]),1)*IF(DATOS!AW$5="Sí",1/DATOS_[[% normaliz]:[% normaliz]],1)*(DATOS_[Conc.Sal.19])))))))), 0)</f>
        <v>0</v>
      </c>
      <c r="AC26" s="302" t="n">
        <f aca="false" t="array" ref="AC26:AC26">IFERROR( (AVERAGE((IF(DATOS_[[Sexo]:[Sexo]]=$B26,IF(DATOS_[[AGRUP. VALOR. PTO.]:[AGRUP. VALOR. PTO.]]=$B24,IF(DATOS_[[Check Periodo Ref.]:[Check Periodo Ref.]]="Dentro",IF(DATOS_[[Check Equiparado]:[Check Equiparado]]="Sí",IF(DATOS!AX$4="Sí",(1/DATOS_[[% anualiz]:[% anualiz]]),1)*IF(DATOS!AX$5="Sí",1/DATOS_[[% normaliz]:[% normaliz]],1)*(DATOS_[Conc.Sal.20])))))))), 0)</f>
        <v>0</v>
      </c>
      <c r="AD26" s="302" t="n">
        <f aca="false" t="array" ref="AD26:AD26">IFERROR( (AVERAGE((IF(DATOS_[[Sexo]:[Sexo]]=$B26,IF(DATOS_[[AGRUP. VALOR. PTO.]:[AGRUP. VALOR. PTO.]]=$B24,IF(DATOS_[[Check Periodo Ref.]:[Check Periodo Ref.]]="Dentro",IF(DATOS_[[Check Equiparado]:[Check Equiparado]]="Sí",IF(DATOS!AY$4="Sí",(1/DATOS_[[% anualiz]:[% anualiz]]),1)*IF(DATOS!AY$5="Sí",1/DATOS_[[% normaliz]:[% normaliz]],1)*(DATOS_[Conc.Sal.21])))))))), 0)</f>
        <v>0</v>
      </c>
      <c r="AE26" s="302" t="n">
        <f aca="false" t="array" ref="AE26:AE26">IFERROR( (AVERAGE((IF(DATOS_[[Sexo]:[Sexo]]=$B26,IF(DATOS_[[AGRUP. VALOR. PTO.]:[AGRUP. VALOR. PTO.]]=$B24,IF(DATOS_[[Check Periodo Ref.]:[Check Periodo Ref.]]="Dentro",IF(DATOS_[[Check Equiparado]:[Check Equiparado]]="Sí",IF(DATOS!AZ$4="Sí",(1/DATOS_[[% anualiz]:[% anualiz]]),1)*IF(DATOS!AZ$5="Sí",1/DATOS_[[% normaliz]:[% normaliz]],1)*(DATOS_[Conc.Sal.22])))))))), 0)</f>
        <v>0</v>
      </c>
      <c r="AF26" s="302" t="n">
        <f aca="false" t="array" ref="AF26:AF26">IFERROR( (AVERAGE((IF(DATOS_[[Sexo]:[Sexo]]=$B26,IF(DATOS_[[AGRUP. VALOR. PTO.]:[AGRUP. VALOR. PTO.]]=$B24,IF(DATOS_[[Check Periodo Ref.]:[Check Periodo Ref.]]="Dentro",IF(DATOS_[[Check Equiparado]:[Check Equiparado]]="Sí",IF(DATOS!BA$4="Sí",(1/DATOS_[[% anualiz]:[% anualiz]]),1)*IF(DATOS!BA$5="Sí",1/DATOS_[[% normaliz]:[% normaliz]],1)*(DATOS_[Conc.Sal.23])))))))), 0)</f>
        <v>0</v>
      </c>
      <c r="AG26" s="302" t="n">
        <f aca="false" t="array" ref="AG26:AG26">IFERROR( (AVERAGE((IF(DATOS_[[Sexo]:[Sexo]]=$B26,IF(DATOS_[[AGRUP. VALOR. PTO.]:[AGRUP. VALOR. PTO.]]=$B24,IF(DATOS_[[Check Periodo Ref.]:[Check Periodo Ref.]]="Dentro",IF(DATOS_[[Check Equiparado]:[Check Equiparado]]="Sí",IF(DATOS!BB$4="Sí",(1/DATOS_[[% anualiz]:[% anualiz]]),1)*IF(DATOS!BB$5="Sí",1/DATOS_[[% normaliz]:[% normaliz]],1)*(DATOS_[Conc.Sal.24])))))))), 0)</f>
        <v>0</v>
      </c>
      <c r="AH26" s="302" t="n">
        <f aca="false" t="array" ref="AH26:AH26">IFERROR( (AVERAGE((IF(DATOS_[[Sexo]:[Sexo]]=$B26,IF(DATOS_[[AGRUP. VALOR. PTO.]:[AGRUP. VALOR. PTO.]]=$B24,IF(DATOS_[[Check Periodo Ref.]:[Check Periodo Ref.]]="Dentro",IF(DATOS_[[Check Equiparado]:[Check Equiparado]]="Sí",IF(DATOS!BC$4="Sí",(1/DATOS_[[% anualiz]:[% anualiz]]),1)*IF(DATOS!BC$5="Sí",1/DATOS_[[% normaliz]:[% normaliz]],1)*(DATOS_[Conc.Sal.25])))))))), 0)</f>
        <v>0</v>
      </c>
      <c r="AI26" s="302" t="n">
        <f aca="false" t="array" ref="AI26:AI26">IFERROR( (AVERAGE((IF(DATOS_[[Sexo]:[Sexo]]=$B26,IF(DATOS_[[AGRUP. VALOR. PTO.]:[AGRUP. VALOR. PTO.]]=$B24,IF(DATOS_[[Check Periodo Ref.]:[Check Periodo Ref.]]="Dentro",IF(DATOS_[[Check Equiparado]:[Check Equiparado]]="Sí",IF(DATOS!BD$4="Sí",(1/DATOS_[[% anualiz]:[% anualiz]]),1)*IF(DATOS!BD$5="Sí",1/DATOS_[[% normaliz]:[% normaliz]],1)*(DATOS_[Conc.Sal.26])))))))), 0)</f>
        <v>0</v>
      </c>
      <c r="AJ26" s="302" t="n">
        <f aca="false" t="array" ref="AJ26:AJ26">IFERROR( (AVERAGE((IF(DATOS_[[Sexo]:[Sexo]]=$B26,IF(DATOS_[[AGRUP. VALOR. PTO.]:[AGRUP. VALOR. PTO.]]=$B24,IF(DATOS_[[Check Periodo Ref.]:[Check Periodo Ref.]]="Dentro",IF(DATOS_[[Check Equiparado]:[Check Equiparado]]="Sí",IF(DATOS!BE$4="Sí",(1/DATOS_[[% anualiz]:[% anualiz]]),1)*IF(DATOS!BE$5="Sí",1/DATOS_[[% normaliz]:[% normaliz]],1)*(DATOS_[Conc.Sal.27])))))))), 0)</f>
        <v>0</v>
      </c>
      <c r="AK26" s="302" t="n">
        <f aca="false" t="array" ref="AK26:AK26">IFERROR( (AVERAGE((IF(DATOS_[[Sexo]:[Sexo]]=$B26,IF(DATOS_[[AGRUP. VALOR. PTO.]:[AGRUP. VALOR. PTO.]]=$B24,IF(DATOS_[[Check Periodo Ref.]:[Check Periodo Ref.]]="Dentro",IF(DATOS_[[Check Equiparado]:[Check Equiparado]]="Sí",IF(DATOS!BF$4="Sí",(1/DATOS_[[% anualiz]:[% anualiz]]),1)*IF(DATOS!BF$5="Sí",1/DATOS_[[% normaliz]:[% normaliz]],1)*(DATOS_[Conc.Sal.28])))))))), 0)</f>
        <v>0</v>
      </c>
      <c r="AL26" s="302" t="n">
        <f aca="false" t="array" ref="AL26:AL26">IFERROR( (AVERAGE((IF(DATOS_[[Sexo]:[Sexo]]=$B26,IF(DATOS_[[AGRUP. VALOR. PTO.]:[AGRUP. VALOR. PTO.]]=$B24,IF(DATOS_[[Check Periodo Ref.]:[Check Periodo Ref.]]="Dentro",IF(DATOS_[[Check Equiparado]:[Check Equiparado]]="Sí",IF(DATOS!BG$4="Sí",(1/DATOS_[[% anualiz]:[% anualiz]]),1)*IF(DATOS!BG$5="Sí",1/DATOS_[[% normaliz]:[% normaliz]],1)*(DATOS_[Conc.Sal.29])))))))), 0)</f>
        <v>0</v>
      </c>
      <c r="AM26" s="302" t="n">
        <f aca="false" t="array" ref="AM26:AM26">IFERROR( (AVERAGE((IF(DATOS_[[Sexo]:[Sexo]]=$B26,IF(DATOS_[[AGRUP. VALOR. PTO.]:[AGRUP. VALOR. PTO.]]=$B24,IF(DATOS_[[Check Periodo Ref.]:[Check Periodo Ref.]]="Dentro",IF(DATOS_[[Check Equiparado]:[Check Equiparado]]="Sí",IF(DATOS!BH$4="Sí",(1/DATOS_[[% anualiz]:[% anualiz]]),1)*IF(DATOS!BH$5="Sí",1/DATOS_[[% normaliz]:[% normaliz]],1)*(DATOS_[Conc.Sal.30])))))))), 0)</f>
        <v>0</v>
      </c>
      <c r="AN26" s="294" t="n">
        <f aca="false" t="array" ref="AN26:AN26">IFERROR( AVERAGE(IF(DATOS_[Sexo]=$B26,IF(DATOS_[[AGRUP. VALOR. PTO.]:[AGRUP. VALOR. PTO.]]=$B24,IF(DATOS_[Check Equiparado]="Sí",IF(DATOS_[Check Periodo Ref.]="Dentro",DATOS_[Tot COMPL.SAL Eq],0))))), 0)</f>
        <v>0</v>
      </c>
      <c r="AO26" s="295" t="n">
        <f aca="false" t="array" ref="AO26:AO26">IFERROR( AVERAGE(IF(DATOS_[Sexo]=$B26,IF(DATOS_[[AGRUP. VALOR. PTO.]:[AGRUP. VALOR. PTO.]]=$B24,IF(DATOS_[Check Equiparado]="Sí",IF(DATOS_[Check Periodo Ref.]="Dentro",DATOS_[TOTAL SALARIO Eq],0))))), 0)</f>
        <v>0</v>
      </c>
      <c r="AP26" s="303" t="n">
        <f aca="false" t="array" ref="AP26:AP26">IFERROR( (AVERAGE((IF(DATOS_[[Sexo]:[Sexo]]=$B26,IF(DATOS_[[AGRUP. VALOR. PTO.]:[AGRUP. VALOR. PTO.]]=$B25,IF(DATOS_[[Check Periodo Ref.]:[Check Periodo Ref.]]="Dentro",IF(DATOS_[[Check Equiparado]:[Check Equiparado]]="Sí",IF(DATOS!BI$4="Sí",(1/DATOS_[[% anualiz]:[% anualiz]]),1)*IF(DATOS!BI$5="Sí",1/DATOS_[[% normaliz]:[% normaliz]],1)*(DATOS_[C.Extra.01])))))))), 0)</f>
        <v>0</v>
      </c>
      <c r="AQ26" s="303" t="n">
        <f aca="false" t="array" ref="AQ26:AQ26">IFERROR( (AVERAGE((IF(DATOS_[[Sexo]:[Sexo]]=$B26,IF(DATOS_[[AGRUP. VALOR. PTO.]:[AGRUP. VALOR. PTO.]]=$B25,IF(DATOS_[[Check Periodo Ref.]:[Check Periodo Ref.]]="Dentro",IF(DATOS_[[Check Equiparado]:[Check Equiparado]]="Sí",IF(DATOS!BJ$4="Sí",(1/DATOS_[[% anualiz]:[% anualiz]]),1)*IF(DATOS!BJ$5="Sí",1/DATOS_[[% normaliz]:[% normaliz]],1)*(DATOS_[C.Extra.02])))))))), 0)</f>
        <v>0</v>
      </c>
      <c r="AR26" s="303" t="n">
        <f aca="false" t="array" ref="AR26:AR26">IFERROR( (AVERAGE((IF(DATOS_[[Sexo]:[Sexo]]=$B26,IF(DATOS_[[AGRUP. VALOR. PTO.]:[AGRUP. VALOR. PTO.]]=$B25,IF(DATOS_[[Check Periodo Ref.]:[Check Periodo Ref.]]="Dentro",IF(DATOS_[[Check Equiparado]:[Check Equiparado]]="Sí",IF(DATOS!BK$4="Sí",(1/DATOS_[[% anualiz]:[% anualiz]]),1)*IF(DATOS!BK$5="Sí",1/DATOS_[[% normaliz]:[% normaliz]],1)*(DATOS_[C.Extra.03])))))))), 0)</f>
        <v>0</v>
      </c>
      <c r="AS26" s="303" t="n">
        <f aca="false" t="array" ref="AS26:AS26">IFERROR( (AVERAGE((IF(DATOS_[[Sexo]:[Sexo]]=$B26,IF(DATOS_[[AGRUP. VALOR. PTO.]:[AGRUP. VALOR. PTO.]]=$B25,IF(DATOS_[[Check Periodo Ref.]:[Check Periodo Ref.]]="Dentro",IF(DATOS_[[Check Equiparado]:[Check Equiparado]]="Sí",IF(DATOS!BL$4="Sí",(1/DATOS_[[% anualiz]:[% anualiz]]),1)*IF(DATOS!BL$5="Sí",1/DATOS_[[% normaliz]:[% normaliz]],1)*(DATOS_[C.Extra.04])))))))), 0)</f>
        <v>0</v>
      </c>
      <c r="AT26" s="303" t="n">
        <f aca="false" t="array" ref="AT26:AT26">IFERROR( (AVERAGE((IF(DATOS_[[Sexo]:[Sexo]]=$B26,IF(DATOS_[[AGRUP. VALOR. PTO.]:[AGRUP. VALOR. PTO.]]=$B25,IF(DATOS_[[Check Periodo Ref.]:[Check Periodo Ref.]]="Dentro",IF(DATOS_[[Check Equiparado]:[Check Equiparado]]="Sí",IF(DATOS!BM$4="Sí",(1/DATOS_[[% anualiz]:[% anualiz]]),1)*IF(DATOS!BM$5="Sí",1/DATOS_[[% normaliz]:[% normaliz]],1)*(DATOS_[C.Extra.05])))))))), 0)</f>
        <v>0</v>
      </c>
      <c r="AU26" s="297" t="n">
        <f aca="false" t="array" ref="AU26:AU26">IFERROR( AVERAGE(IF(DATOS_[Sexo]=$B26,IF(DATOS_[[AGRUP. VALOR. PTO.]:[AGRUP. VALOR. PTO.]]=$B24,IF(DATOS_[Check Equiparado]="Sí",IF(DATOS_[Check Periodo Ref.]="Dentro",DATOS_[Tot Extrasalarial Eq],0))))), 0)</f>
        <v>0</v>
      </c>
      <c r="AV26" s="298" t="n">
        <f aca="false" t="array" ref="AV26:AV26">IFERROR( AVERAGE(IF(DATOS_[Sexo]=$B26,IF(DATOS_[[AGRUP. VALOR. PTO.]:[AGRUP. VALOR. PTO.]]=$B24,IF(DATOS_[Check Equiparado]="Sí",IF(DATOS_[Check Periodo Ref.]="Dentro",DATOS_[TOTAL Retrib Eq],0))))), 0)</f>
        <v>0</v>
      </c>
    </row>
    <row r="27" customFormat="false" ht="15.75" hidden="false" customHeight="false" outlineLevel="0" collapsed="false">
      <c r="A27" s="166" t="str">
        <f aca="false">+A28</f>
        <v>[ocultar]</v>
      </c>
      <c r="B27" s="276" t="s">
        <v>182</v>
      </c>
      <c r="C27" s="277"/>
      <c r="D27" s="278"/>
      <c r="E27" s="278"/>
      <c r="F27" s="278"/>
      <c r="G27" s="278"/>
      <c r="H27" s="278"/>
      <c r="I27" s="279" t="str">
        <f aca="false">IFERROR((I28-I29)/I28,"")</f>
        <v/>
      </c>
      <c r="J27" s="280" t="str">
        <f aca="false">IFERROR((J28-J29)/J28,"")</f>
        <v/>
      </c>
      <c r="K27" s="281" t="str">
        <f aca="false">IFERROR((K28-K29)/K28,"")</f>
        <v/>
      </c>
      <c r="L27" s="281" t="str">
        <f aca="false">IFERROR((L28-L29)/L28,"")</f>
        <v/>
      </c>
      <c r="M27" s="281" t="str">
        <f aca="false">IFERROR((M28-M29)/M28,"")</f>
        <v/>
      </c>
      <c r="N27" s="282" t="str">
        <f aca="false">IFERROR((N28-N29)/N28,"")</f>
        <v/>
      </c>
      <c r="O27" s="283" t="str">
        <f aca="false">IFERROR((O28-O29)/O28,"")</f>
        <v/>
      </c>
      <c r="P27" s="283" t="str">
        <f aca="false">IFERROR((P28-P29)/P28,"")</f>
        <v/>
      </c>
      <c r="Q27" s="283" t="str">
        <f aca="false">IFERROR((Q28-Q29)/Q28,"")</f>
        <v/>
      </c>
      <c r="R27" s="283" t="str">
        <f aca="false">IFERROR((R28-R29)/R28,"")</f>
        <v/>
      </c>
      <c r="S27" s="283" t="str">
        <f aca="false">IFERROR((S28-S29)/S28,"")</f>
        <v/>
      </c>
      <c r="T27" s="283" t="str">
        <f aca="false">IFERROR((T28-T29)/T28,"")</f>
        <v/>
      </c>
      <c r="U27" s="283" t="str">
        <f aca="false">IFERROR((U28-U29)/U28,"")</f>
        <v/>
      </c>
      <c r="V27" s="283" t="str">
        <f aca="false">IFERROR((V28-V29)/V28,"")</f>
        <v/>
      </c>
      <c r="W27" s="283" t="str">
        <f aca="false">IFERROR((W28-W29)/W28,"")</f>
        <v/>
      </c>
      <c r="X27" s="283" t="str">
        <f aca="false">IFERROR((X28-X29)/X28,"")</f>
        <v/>
      </c>
      <c r="Y27" s="283" t="str">
        <f aca="false">IFERROR((Y28-Y29)/Y28,"")</f>
        <v/>
      </c>
      <c r="Z27" s="282" t="str">
        <f aca="false">IFERROR((Z28-Z29)/Z28,"")</f>
        <v/>
      </c>
      <c r="AA27" s="282" t="str">
        <f aca="false">IFERROR((AA28-AA29)/AA28,"")</f>
        <v/>
      </c>
      <c r="AB27" s="282" t="str">
        <f aca="false">IFERROR((AB28-AB29)/AB28,"")</f>
        <v/>
      </c>
      <c r="AC27" s="282" t="str">
        <f aca="false">IFERROR((AC28-AC29)/AC28,"")</f>
        <v/>
      </c>
      <c r="AD27" s="282" t="str">
        <f aca="false">IFERROR((AD28-AD29)/AD28,"")</f>
        <v/>
      </c>
      <c r="AE27" s="282" t="str">
        <f aca="false">IFERROR((AE28-AE29)/AE28,"")</f>
        <v/>
      </c>
      <c r="AF27" s="282" t="str">
        <f aca="false">IFERROR((AF28-AF29)/AF28,"")</f>
        <v/>
      </c>
      <c r="AG27" s="282" t="str">
        <f aca="false">IFERROR((AG28-AG29)/AG28,"")</f>
        <v/>
      </c>
      <c r="AH27" s="282" t="str">
        <f aca="false">IFERROR((AH28-AH29)/AH28,"")</f>
        <v/>
      </c>
      <c r="AI27" s="282" t="str">
        <f aca="false">IFERROR((AI28-AI29)/AI28,"")</f>
        <v/>
      </c>
      <c r="AJ27" s="282" t="str">
        <f aca="false">IFERROR((AJ28-AJ29)/AJ28,"")</f>
        <v/>
      </c>
      <c r="AK27" s="282" t="str">
        <f aca="false">IFERROR((AK28-AK29)/AK28,"")</f>
        <v/>
      </c>
      <c r="AL27" s="282" t="str">
        <f aca="false">IFERROR((AL28-AL29)/AL28,"")</f>
        <v/>
      </c>
      <c r="AM27" s="282" t="str">
        <f aca="false">IFERROR((AM28-AM29)/AM28,"")</f>
        <v/>
      </c>
      <c r="AN27" s="284" t="str">
        <f aca="false">IFERROR((AN28-AN29)/AN28,"")</f>
        <v/>
      </c>
      <c r="AO27" s="285" t="str">
        <f aca="false">IFERROR((AO28-AO29)/AO28,"")</f>
        <v/>
      </c>
      <c r="AP27" s="286" t="str">
        <f aca="false">IFERROR((AP28-AP29)/AP28,"")</f>
        <v/>
      </c>
      <c r="AQ27" s="286" t="str">
        <f aca="false">IFERROR((AQ28-AQ29)/AQ28,"")</f>
        <v/>
      </c>
      <c r="AR27" s="286" t="str">
        <f aca="false">IFERROR((AR28-AR29)/AR28,"")</f>
        <v/>
      </c>
      <c r="AS27" s="286" t="str">
        <f aca="false">IFERROR((AS28-AS29)/AS28,"")</f>
        <v/>
      </c>
      <c r="AT27" s="286" t="str">
        <f aca="false">IFERROR((AT28-AT29)/AT28,"")</f>
        <v/>
      </c>
      <c r="AU27" s="287" t="str">
        <f aca="false">IFERROR((AU28-AU29)/AU28,"")</f>
        <v/>
      </c>
      <c r="AV27" s="288" t="str">
        <f aca="false">IFERROR((AV28-AV29)/AV28,"")</f>
        <v/>
      </c>
    </row>
    <row r="28" customFormat="false" ht="14.25" hidden="false" customHeight="false" outlineLevel="0" collapsed="false">
      <c r="A28" s="166" t="str">
        <f aca="false">+IF(C28+C29=0,"[ocultar]","")</f>
        <v>[ocultar]</v>
      </c>
      <c r="B28" s="289" t="s">
        <v>371</v>
      </c>
      <c r="C28" s="290" t="n">
        <f aca="false" t="array" ref="C28:C28">SUM(IF($B28=DATOS_[Sexo], IF($B27=DATOS_[AGRUP. VALOR. PTO.], IF("Dentro"=DATOS_[Check Periodo Ref.], 1/(COUNTIFS(DATOS_[Sexo],$B28,DATOS_[AGRUP. VALOR. PTO.],$B27,DATOS_[Check Periodo Ref.],"Dentro",DATOS_[id],DATOS_[id]))))))</f>
        <v>0</v>
      </c>
      <c r="D28" s="291" t="n">
        <f aca="false">COUNTIFS(DATOS_[AGRUP. VALOR. PTO.],$B27,DATOS_[Sexo],$B28,DATOS_[Check Periodo Ref.],"Dentro")</f>
        <v>0</v>
      </c>
      <c r="E28" s="291" t="n">
        <f aca="false">COUNTIFS(DATOS_[AGRUP. VALOR. PTO.],$B27,DATOS_[Sexo],$B28,DATOS_[Check Periodo Ref.],"Dentro",DATOS_[Check Nº SC Norm],"Sí")</f>
        <v>0</v>
      </c>
      <c r="F28" s="291" t="n">
        <f aca="false">COUNTIFS(DATOS_[AGRUP. VALOR. PTO.],$B27,DATOS_[Sexo],$B28,DATOS_[Check Periodo Ref.],"Dentro",DATOS_[Check Nº SC Anualiz],"Sí")</f>
        <v>0</v>
      </c>
      <c r="G28" s="291" t="n">
        <f aca="false">COUNTIFS(DATOS_[AGRUP. VALOR. PTO.],$B27,DATOS_[Sexo],$B28,DATOS_[Check Periodo Ref.],"Dentro",DATOS_[Check Nº SC Norm y Anualiz],"Sí")</f>
        <v>0</v>
      </c>
      <c r="H28" s="291" t="n">
        <f aca="false">COUNTIFS(DATOS_[AGRUP. VALOR. PTO.],$B27,DATOS_[Sexo],$B28,DATOS_[Check Periodo Ref.],"Dentro",DATOS_[Check Equiparación],"Sí")</f>
        <v>0</v>
      </c>
      <c r="I28" s="292" t="n">
        <f aca="false" t="array" ref="I28:I28">IFERROR( AVERAGE(IF(DATOS_[Sexo]=$B28,IF(DATOS_[[AGRUP. VALOR. PTO.]:[AGRUP. VALOR. PTO.]]=$B27,IF(DATOS_[Check Equiparado]="Sí",IF(DATOS_[Check Periodo Ref.]="Dentro",DATOS_[SALARIO BASE Eq],0))))), 0)</f>
        <v>0</v>
      </c>
      <c r="J28" s="302" t="n">
        <f aca="false" t="array" ref="J28:J28">IFERROR( (AVERAGE((IF(DATOS_[[Sexo]:[Sexo]]=$B28,IF(DATOS_[[AGRUP. VALOR. PTO.]:[AGRUP. VALOR. PTO.]]=$B27,IF(DATOS_[[Check Periodo Ref.]:[Check Periodo Ref.]]="Dentro",IF(DATOS_[[Check Equiparado]:[Check Equiparado]]="Sí",IF(DATOS!AE$4="Sí",(1/DATOS_[[% anualiz]:[% anualiz]]),1)*IF(DATOS!AE$5="Sí",1/DATOS_[[% normaliz]:[% normaliz]],1)*(DATOS_[Conc.Sal.01])))))))), 0)</f>
        <v>0</v>
      </c>
      <c r="K28" s="302" t="n">
        <f aca="false" t="array" ref="K28:K28">IFERROR( (AVERAGE((IF(DATOS_[[Sexo]:[Sexo]]=$B28,IF(DATOS_[[AGRUP. VALOR. PTO.]:[AGRUP. VALOR. PTO.]]=$B27,IF(DATOS_[[Check Periodo Ref.]:[Check Periodo Ref.]]="Dentro",IF(DATOS_[[Check Equiparado]:[Check Equiparado]]="Sí",IF(DATOS!AF$4="Sí",(1/DATOS_[[% anualiz]:[% anualiz]]),1)*IF(DATOS!AF$5="Sí",1/DATOS_[[% normaliz]:[% normaliz]],1)*(DATOS_[Conc.Sal.02])))))))), 0)</f>
        <v>0</v>
      </c>
      <c r="L28" s="302" t="n">
        <f aca="false" t="array" ref="L28:L28">IFERROR( (AVERAGE((IF(DATOS_[[Sexo]:[Sexo]]=$B28,IF(DATOS_[[AGRUP. VALOR. PTO.]:[AGRUP. VALOR. PTO.]]=$B27,IF(DATOS_[[Check Periodo Ref.]:[Check Periodo Ref.]]="Dentro",IF(DATOS_[[Check Equiparado]:[Check Equiparado]]="Sí",IF(DATOS!AG$4="Sí",(1/DATOS_[[% anualiz]:[% anualiz]]),1)*IF(DATOS!AG$5="Sí",1/DATOS_[[% normaliz]:[% normaliz]],1)*(DATOS_[Conc.Sal.03])))))))), 0)</f>
        <v>0</v>
      </c>
      <c r="M28" s="302" t="n">
        <f aca="false" t="array" ref="M28:M28">IFERROR( (AVERAGE((IF(DATOS_[[Sexo]:[Sexo]]=$B28,IF(DATOS_[[AGRUP. VALOR. PTO.]:[AGRUP. VALOR. PTO.]]=$B27,IF(DATOS_[[Check Periodo Ref.]:[Check Periodo Ref.]]="Dentro",IF(DATOS_[[Check Equiparado]:[Check Equiparado]]="Sí",IF(DATOS!AH$4="Sí",(1/DATOS_[[% anualiz]:[% anualiz]]),1)*IF(DATOS!AH$5="Sí",1/DATOS_[[% normaliz]:[% normaliz]],1)*(DATOS_[Conc.Sal.04])))))))), 0)</f>
        <v>0</v>
      </c>
      <c r="N28" s="302" t="n">
        <f aca="false" t="array" ref="N28:N28">IFERROR( (AVERAGE((IF(DATOS_[[Sexo]:[Sexo]]=$B28,IF(DATOS_[[AGRUP. VALOR. PTO.]:[AGRUP. VALOR. PTO.]]=$B27,IF(DATOS_[[Check Periodo Ref.]:[Check Periodo Ref.]]="Dentro",IF(DATOS_[[Check Equiparado]:[Check Equiparado]]="Sí",IF(DATOS!AI$4="Sí",(1/DATOS_[[% anualiz]:[% anualiz]]),1)*IF(DATOS!AI$5="Sí",1/DATOS_[[% normaliz]:[% normaliz]],1)*(DATOS_[Conc.Sal.05])))))))), 0)</f>
        <v>0</v>
      </c>
      <c r="O28" s="302" t="n">
        <f aca="false" t="array" ref="O28:O28">IFERROR( (AVERAGE((IF(DATOS_[[Sexo]:[Sexo]]=$B28,IF(DATOS_[[AGRUP. VALOR. PTO.]:[AGRUP. VALOR. PTO.]]=$B27,IF(DATOS_[[Check Periodo Ref.]:[Check Periodo Ref.]]="Dentro",IF(DATOS_[[Check Equiparado]:[Check Equiparado]]="Sí",IF(DATOS!AJ$4="Sí",(1/DATOS_[[% anualiz]:[% anualiz]]),1)*IF(DATOS!AJ$5="Sí",1/DATOS_[[% normaliz]:[% normaliz]],1)*(DATOS_[Conc.Sal.06])))))))), 0)</f>
        <v>0</v>
      </c>
      <c r="P28" s="302" t="n">
        <f aca="false" t="array" ref="P28:P28">IFERROR( (AVERAGE((IF(DATOS_[[Sexo]:[Sexo]]=$B28,IF(DATOS_[[AGRUP. VALOR. PTO.]:[AGRUP. VALOR. PTO.]]=$B27,IF(DATOS_[[Check Periodo Ref.]:[Check Periodo Ref.]]="Dentro",IF(DATOS_[[Check Equiparado]:[Check Equiparado]]="Sí",IF(DATOS!AK$4="Sí",(1/DATOS_[[% anualiz]:[% anualiz]]),1)*IF(DATOS!AK$5="Sí",1/DATOS_[[% normaliz]:[% normaliz]],1)*(DATOS_[Conc.Sal.07])))))))), 0)</f>
        <v>0</v>
      </c>
      <c r="Q28" s="302" t="n">
        <f aca="false" t="array" ref="Q28:Q28">IFERROR( (AVERAGE((IF(DATOS_[[Sexo]:[Sexo]]=$B28,IF(DATOS_[[AGRUP. VALOR. PTO.]:[AGRUP. VALOR. PTO.]]=$B27,IF(DATOS_[[Check Periodo Ref.]:[Check Periodo Ref.]]="Dentro",IF(DATOS_[[Check Equiparado]:[Check Equiparado]]="Sí",IF(DATOS!AL$4="Sí",(1/DATOS_[[% anualiz]:[% anualiz]]),1)*IF(DATOS!AL$5="Sí",1/DATOS_[[% normaliz]:[% normaliz]],1)*(DATOS_[Conc.Sal.08])))))))), 0)</f>
        <v>0</v>
      </c>
      <c r="R28" s="302" t="n">
        <f aca="false" t="array" ref="R28:R28">IFERROR( (AVERAGE((IF(DATOS_[[Sexo]:[Sexo]]=$B28,IF(DATOS_[[AGRUP. VALOR. PTO.]:[AGRUP. VALOR. PTO.]]=$B27,IF(DATOS_[[Check Periodo Ref.]:[Check Periodo Ref.]]="Dentro",IF(DATOS_[[Check Equiparado]:[Check Equiparado]]="Sí",IF(DATOS!AM$4="Sí",(1/DATOS_[[% anualiz]:[% anualiz]]),1)*IF(DATOS!AM$5="Sí",1/DATOS_[[% normaliz]:[% normaliz]],1)*(DATOS_[Conc.Sal.09])))))))), 0)</f>
        <v>0</v>
      </c>
      <c r="S28" s="302" t="n">
        <f aca="false" t="array" ref="S28:S28">IFERROR( (AVERAGE((IF(DATOS_[[Sexo]:[Sexo]]=$B28,IF(DATOS_[[AGRUP. VALOR. PTO.]:[AGRUP. VALOR. PTO.]]=$B27,IF(DATOS_[[Check Periodo Ref.]:[Check Periodo Ref.]]="Dentro",IF(DATOS_[[Check Equiparado]:[Check Equiparado]]="Sí",IF(DATOS!AN$4="Sí",(1/DATOS_[[% anualiz]:[% anualiz]]),1)*IF(DATOS!AN$5="Sí",1/DATOS_[[% normaliz]:[% normaliz]],1)*(DATOS_[Conc.Sal.10])))))))), 0)</f>
        <v>0</v>
      </c>
      <c r="T28" s="302" t="n">
        <f aca="false" t="array" ref="T28:T28">IFERROR( (AVERAGE((IF(DATOS_[[Sexo]:[Sexo]]=$B28,IF(DATOS_[[AGRUP. VALOR. PTO.]:[AGRUP. VALOR. PTO.]]=$B27,IF(DATOS_[[Check Periodo Ref.]:[Check Periodo Ref.]]="Dentro",IF(DATOS_[[Check Equiparado]:[Check Equiparado]]="Sí",IF(DATOS!AO$4="Sí",(1/DATOS_[[% anualiz]:[% anualiz]]),1)*IF(DATOS!AO$5="Sí",1/DATOS_[[% normaliz]:[% normaliz]],1)*(DATOS_[Conc.Sal.11])))))))), 0)</f>
        <v>0</v>
      </c>
      <c r="U28" s="302" t="n">
        <f aca="false" t="array" ref="U28:U28">IFERROR( (AVERAGE((IF(DATOS_[[Sexo]:[Sexo]]=$B28,IF(DATOS_[[AGRUP. VALOR. PTO.]:[AGRUP. VALOR. PTO.]]=$B27,IF(DATOS_[[Check Periodo Ref.]:[Check Periodo Ref.]]="Dentro",IF(DATOS_[[Check Equiparado]:[Check Equiparado]]="Sí",IF(DATOS!AP$4="Sí",(1/DATOS_[[% anualiz]:[% anualiz]]),1)*IF(DATOS!AP$5="Sí",1/DATOS_[[% normaliz]:[% normaliz]],1)*(DATOS_[Conc.Sal.12])))))))), 0)</f>
        <v>0</v>
      </c>
      <c r="V28" s="302" t="n">
        <f aca="false" t="array" ref="V28:V28">IFERROR( (AVERAGE((IF(DATOS_[[Sexo]:[Sexo]]=$B28,IF(DATOS_[[AGRUP. VALOR. PTO.]:[AGRUP. VALOR. PTO.]]=$B27,IF(DATOS_[[Check Periodo Ref.]:[Check Periodo Ref.]]="Dentro",IF(DATOS_[[Check Equiparado]:[Check Equiparado]]="Sí",IF(DATOS!AQ$4="Sí",(1/DATOS_[[% anualiz]:[% anualiz]]),1)*IF(DATOS!AQ$5="Sí",1/DATOS_[[% normaliz]:[% normaliz]],1)*(DATOS_[Conc.Sal.13])))))))), 0)</f>
        <v>0</v>
      </c>
      <c r="W28" s="302" t="n">
        <f aca="false" t="array" ref="W28:W28">IFERROR( (AVERAGE((IF(DATOS_[[Sexo]:[Sexo]]=$B28,IF(DATOS_[[AGRUP. VALOR. PTO.]:[AGRUP. VALOR. PTO.]]=$B27,IF(DATOS_[[Check Periodo Ref.]:[Check Periodo Ref.]]="Dentro",IF(DATOS_[[Check Equiparado]:[Check Equiparado]]="Sí",IF(DATOS!AR$4="Sí",(1/DATOS_[[% anualiz]:[% anualiz]]),1)*IF(DATOS!AR$5="Sí",1/DATOS_[[% normaliz]:[% normaliz]],1)*(DATOS_[Conc.Sal.14])))))))), 0)</f>
        <v>0</v>
      </c>
      <c r="X28" s="302" t="n">
        <f aca="false" t="array" ref="X28:X28">IFERROR( (AVERAGE((IF(DATOS_[[Sexo]:[Sexo]]=$B28,IF(DATOS_[[AGRUP. VALOR. PTO.]:[AGRUP. VALOR. PTO.]]=$B27,IF(DATOS_[[Check Periodo Ref.]:[Check Periodo Ref.]]="Dentro",IF(DATOS_[[Check Equiparado]:[Check Equiparado]]="Sí",IF(DATOS!AS$4="Sí",(1/DATOS_[[% anualiz]:[% anualiz]]),1)*IF(DATOS!AS$5="Sí",1/DATOS_[[% normaliz]:[% normaliz]],1)*(DATOS_[Conc.Sal.15])))))))), 0)</f>
        <v>0</v>
      </c>
      <c r="Y28" s="302" t="n">
        <f aca="false" t="array" ref="Y28:Y28">IFERROR( (AVERAGE((IF(DATOS_[[Sexo]:[Sexo]]=$B28,IF(DATOS_[[AGRUP. VALOR. PTO.]:[AGRUP. VALOR. PTO.]]=$B27,IF(DATOS_[[Check Periodo Ref.]:[Check Periodo Ref.]]="Dentro",IF(DATOS_[[Check Equiparado]:[Check Equiparado]]="Sí",IF(DATOS!AT$4="Sí",(1/DATOS_[[% anualiz]:[% anualiz]]),1)*IF(DATOS!AT$5="Sí",1/DATOS_[[% normaliz]:[% normaliz]],1)*(DATOS_[Conc.Sal.16])))))))), 0)</f>
        <v>0</v>
      </c>
      <c r="Z28" s="302" t="n">
        <f aca="false" t="array" ref="Z28:Z28">IFERROR( (AVERAGE((IF(DATOS_[[Sexo]:[Sexo]]=$B28,IF(DATOS_[[AGRUP. VALOR. PTO.]:[AGRUP. VALOR. PTO.]]=$B27,IF(DATOS_[[Check Periodo Ref.]:[Check Periodo Ref.]]="Dentro",IF(DATOS_[[Check Equiparado]:[Check Equiparado]]="Sí",IF(DATOS!AU$4="Sí",(1/DATOS_[[% anualiz]:[% anualiz]]),1)*IF(DATOS!AU$5="Sí",1/DATOS_[[% normaliz]:[% normaliz]],1)*(DATOS_[Conc.Sal.17])))))))), 0)</f>
        <v>0</v>
      </c>
      <c r="AA28" s="302" t="n">
        <f aca="false" t="array" ref="AA28:AA28">IFERROR( (AVERAGE((IF(DATOS_[[Sexo]:[Sexo]]=$B28,IF(DATOS_[[AGRUP. VALOR. PTO.]:[AGRUP. VALOR. PTO.]]=$B27,IF(DATOS_[[Check Periodo Ref.]:[Check Periodo Ref.]]="Dentro",IF(DATOS_[[Check Equiparado]:[Check Equiparado]]="Sí",IF(DATOS!AV$4="Sí",(1/DATOS_[[% anualiz]:[% anualiz]]),1)*IF(DATOS!AV$5="Sí",1/DATOS_[[% normaliz]:[% normaliz]],1)*(DATOS_[Conc.Sal.18])))))))), 0)</f>
        <v>0</v>
      </c>
      <c r="AB28" s="302" t="n">
        <f aca="false" t="array" ref="AB28:AB28">IFERROR( (AVERAGE((IF(DATOS_[[Sexo]:[Sexo]]=$B28,IF(DATOS_[[AGRUP. VALOR. PTO.]:[AGRUP. VALOR. PTO.]]=$B27,IF(DATOS_[[Check Periodo Ref.]:[Check Periodo Ref.]]="Dentro",IF(DATOS_[[Check Equiparado]:[Check Equiparado]]="Sí",IF(DATOS!AW$4="Sí",(1/DATOS_[[% anualiz]:[% anualiz]]),1)*IF(DATOS!AW$5="Sí",1/DATOS_[[% normaliz]:[% normaliz]],1)*(DATOS_[Conc.Sal.19])))))))), 0)</f>
        <v>0</v>
      </c>
      <c r="AC28" s="302" t="n">
        <f aca="false" t="array" ref="AC28:AC28">IFERROR( (AVERAGE((IF(DATOS_[[Sexo]:[Sexo]]=$B28,IF(DATOS_[[AGRUP. VALOR. PTO.]:[AGRUP. VALOR. PTO.]]=$B27,IF(DATOS_[[Check Periodo Ref.]:[Check Periodo Ref.]]="Dentro",IF(DATOS_[[Check Equiparado]:[Check Equiparado]]="Sí",IF(DATOS!AX$4="Sí",(1/DATOS_[[% anualiz]:[% anualiz]]),1)*IF(DATOS!AX$5="Sí",1/DATOS_[[% normaliz]:[% normaliz]],1)*(DATOS_[Conc.Sal.20])))))))), 0)</f>
        <v>0</v>
      </c>
      <c r="AD28" s="302" t="n">
        <f aca="false" t="array" ref="AD28:AD28">IFERROR( (AVERAGE((IF(DATOS_[[Sexo]:[Sexo]]=$B28,IF(DATOS_[[AGRUP. VALOR. PTO.]:[AGRUP. VALOR. PTO.]]=$B27,IF(DATOS_[[Check Periodo Ref.]:[Check Periodo Ref.]]="Dentro",IF(DATOS_[[Check Equiparado]:[Check Equiparado]]="Sí",IF(DATOS!AY$4="Sí",(1/DATOS_[[% anualiz]:[% anualiz]]),1)*IF(DATOS!AY$5="Sí",1/DATOS_[[% normaliz]:[% normaliz]],1)*(DATOS_[Conc.Sal.21])))))))), 0)</f>
        <v>0</v>
      </c>
      <c r="AE28" s="302" t="n">
        <f aca="false" t="array" ref="AE28:AE28">IFERROR( (AVERAGE((IF(DATOS_[[Sexo]:[Sexo]]=$B28,IF(DATOS_[[AGRUP. VALOR. PTO.]:[AGRUP. VALOR. PTO.]]=$B27,IF(DATOS_[[Check Periodo Ref.]:[Check Periodo Ref.]]="Dentro",IF(DATOS_[[Check Equiparado]:[Check Equiparado]]="Sí",IF(DATOS!AZ$4="Sí",(1/DATOS_[[% anualiz]:[% anualiz]]),1)*IF(DATOS!AZ$5="Sí",1/DATOS_[[% normaliz]:[% normaliz]],1)*(DATOS_[Conc.Sal.22])))))))), 0)</f>
        <v>0</v>
      </c>
      <c r="AF28" s="302" t="n">
        <f aca="false" t="array" ref="AF28:AF28">IFERROR( (AVERAGE((IF(DATOS_[[Sexo]:[Sexo]]=$B28,IF(DATOS_[[AGRUP. VALOR. PTO.]:[AGRUP. VALOR. PTO.]]=$B27,IF(DATOS_[[Check Periodo Ref.]:[Check Periodo Ref.]]="Dentro",IF(DATOS_[[Check Equiparado]:[Check Equiparado]]="Sí",IF(DATOS!BA$4="Sí",(1/DATOS_[[% anualiz]:[% anualiz]]),1)*IF(DATOS!BA$5="Sí",1/DATOS_[[% normaliz]:[% normaliz]],1)*(DATOS_[Conc.Sal.23])))))))), 0)</f>
        <v>0</v>
      </c>
      <c r="AG28" s="302" t="n">
        <f aca="false" t="array" ref="AG28:AG28">IFERROR( (AVERAGE((IF(DATOS_[[Sexo]:[Sexo]]=$B28,IF(DATOS_[[AGRUP. VALOR. PTO.]:[AGRUP. VALOR. PTO.]]=$B27,IF(DATOS_[[Check Periodo Ref.]:[Check Periodo Ref.]]="Dentro",IF(DATOS_[[Check Equiparado]:[Check Equiparado]]="Sí",IF(DATOS!BB$4="Sí",(1/DATOS_[[% anualiz]:[% anualiz]]),1)*IF(DATOS!BB$5="Sí",1/DATOS_[[% normaliz]:[% normaliz]],1)*(DATOS_[Conc.Sal.24])))))))), 0)</f>
        <v>0</v>
      </c>
      <c r="AH28" s="302" t="n">
        <f aca="false" t="array" ref="AH28:AH28">IFERROR( (AVERAGE((IF(DATOS_[[Sexo]:[Sexo]]=$B28,IF(DATOS_[[AGRUP. VALOR. PTO.]:[AGRUP. VALOR. PTO.]]=$B27,IF(DATOS_[[Check Periodo Ref.]:[Check Periodo Ref.]]="Dentro",IF(DATOS_[[Check Equiparado]:[Check Equiparado]]="Sí",IF(DATOS!BC$4="Sí",(1/DATOS_[[% anualiz]:[% anualiz]]),1)*IF(DATOS!BC$5="Sí",1/DATOS_[[% normaliz]:[% normaliz]],1)*(DATOS_[Conc.Sal.25])))))))), 0)</f>
        <v>0</v>
      </c>
      <c r="AI28" s="302" t="n">
        <f aca="false" t="array" ref="AI28:AI28">IFERROR( (AVERAGE((IF(DATOS_[[Sexo]:[Sexo]]=$B28,IF(DATOS_[[AGRUP. VALOR. PTO.]:[AGRUP. VALOR. PTO.]]=$B27,IF(DATOS_[[Check Periodo Ref.]:[Check Periodo Ref.]]="Dentro",IF(DATOS_[[Check Equiparado]:[Check Equiparado]]="Sí",IF(DATOS!BD$4="Sí",(1/DATOS_[[% anualiz]:[% anualiz]]),1)*IF(DATOS!BD$5="Sí",1/DATOS_[[% normaliz]:[% normaliz]],1)*(DATOS_[Conc.Sal.26])))))))), 0)</f>
        <v>0</v>
      </c>
      <c r="AJ28" s="302" t="n">
        <f aca="false" t="array" ref="AJ28:AJ28">IFERROR( (AVERAGE((IF(DATOS_[[Sexo]:[Sexo]]=$B28,IF(DATOS_[[AGRUP. VALOR. PTO.]:[AGRUP. VALOR. PTO.]]=$B27,IF(DATOS_[[Check Periodo Ref.]:[Check Periodo Ref.]]="Dentro",IF(DATOS_[[Check Equiparado]:[Check Equiparado]]="Sí",IF(DATOS!BE$4="Sí",(1/DATOS_[[% anualiz]:[% anualiz]]),1)*IF(DATOS!BE$5="Sí",1/DATOS_[[% normaliz]:[% normaliz]],1)*(DATOS_[Conc.Sal.27])))))))), 0)</f>
        <v>0</v>
      </c>
      <c r="AK28" s="302" t="n">
        <f aca="false" t="array" ref="AK28:AK28">IFERROR( (AVERAGE((IF(DATOS_[[Sexo]:[Sexo]]=$B28,IF(DATOS_[[AGRUP. VALOR. PTO.]:[AGRUP. VALOR. PTO.]]=$B27,IF(DATOS_[[Check Periodo Ref.]:[Check Periodo Ref.]]="Dentro",IF(DATOS_[[Check Equiparado]:[Check Equiparado]]="Sí",IF(DATOS!BF$4="Sí",(1/DATOS_[[% anualiz]:[% anualiz]]),1)*IF(DATOS!BF$5="Sí",1/DATOS_[[% normaliz]:[% normaliz]],1)*(DATOS_[Conc.Sal.28])))))))), 0)</f>
        <v>0</v>
      </c>
      <c r="AL28" s="302" t="n">
        <f aca="false" t="array" ref="AL28:AL28">IFERROR( (AVERAGE((IF(DATOS_[[Sexo]:[Sexo]]=$B28,IF(DATOS_[[AGRUP. VALOR. PTO.]:[AGRUP. VALOR. PTO.]]=$B27,IF(DATOS_[[Check Periodo Ref.]:[Check Periodo Ref.]]="Dentro",IF(DATOS_[[Check Equiparado]:[Check Equiparado]]="Sí",IF(DATOS!BG$4="Sí",(1/DATOS_[[% anualiz]:[% anualiz]]),1)*IF(DATOS!BG$5="Sí",1/DATOS_[[% normaliz]:[% normaliz]],1)*(DATOS_[Conc.Sal.29])))))))), 0)</f>
        <v>0</v>
      </c>
      <c r="AM28" s="302" t="n">
        <f aca="false" t="array" ref="AM28:AM28">IFERROR( (AVERAGE((IF(DATOS_[[Sexo]:[Sexo]]=$B28,IF(DATOS_[[AGRUP. VALOR. PTO.]:[AGRUP. VALOR. PTO.]]=$B27,IF(DATOS_[[Check Periodo Ref.]:[Check Periodo Ref.]]="Dentro",IF(DATOS_[[Check Equiparado]:[Check Equiparado]]="Sí",IF(DATOS!BH$4="Sí",(1/DATOS_[[% anualiz]:[% anualiz]]),1)*IF(DATOS!BH$5="Sí",1/DATOS_[[% normaliz]:[% normaliz]],1)*(DATOS_[Conc.Sal.30])))))))), 0)</f>
        <v>0</v>
      </c>
      <c r="AN28" s="294" t="n">
        <f aca="false" t="array" ref="AN28:AN28">IFERROR( AVERAGE(IF(DATOS_[Sexo]=$B28,IF(DATOS_[[AGRUP. VALOR. PTO.]:[AGRUP. VALOR. PTO.]]=$B27,IF(DATOS_[Check Equiparado]="Sí",IF(DATOS_[Check Periodo Ref.]="Dentro",DATOS_[Tot COMPL.SAL Eq],0))))), 0)</f>
        <v>0</v>
      </c>
      <c r="AO28" s="295" t="n">
        <f aca="false" t="array" ref="AO28:AO28">IFERROR( AVERAGE(IF(DATOS_[Sexo]=$B28,IF(DATOS_[[AGRUP. VALOR. PTO.]:[AGRUP. VALOR. PTO.]]=$B27,IF(DATOS_[Check Equiparado]="Sí",IF(DATOS_[Check Periodo Ref.]="Dentro",DATOS_[TOTAL SALARIO Eq],0))))), 0)</f>
        <v>0</v>
      </c>
      <c r="AP28" s="303" t="n">
        <f aca="false" t="array" ref="AP28:AP28">IFERROR( (AVERAGE((IF(DATOS_[[Sexo]:[Sexo]]=$B28,IF(DATOS_[[AGRUP. VALOR. PTO.]:[AGRUP. VALOR. PTO.]]=$B27,IF(DATOS_[[Check Periodo Ref.]:[Check Periodo Ref.]]="Dentro",IF(DATOS_[[Check Equiparado]:[Check Equiparado]]="Sí",IF(DATOS!BI$4="Sí",(1/DATOS_[[% anualiz]:[% anualiz]]),1)*IF(DATOS!BI$5="Sí",1/DATOS_[[% normaliz]:[% normaliz]],1)*(DATOS_[C.Extra.01])))))))), 0)</f>
        <v>0</v>
      </c>
      <c r="AQ28" s="303" t="n">
        <f aca="false" t="array" ref="AQ28:AQ28">IFERROR( (AVERAGE((IF(DATOS_[[Sexo]:[Sexo]]=$B28,IF(DATOS_[[AGRUP. VALOR. PTO.]:[AGRUP. VALOR. PTO.]]=$B27,IF(DATOS_[[Check Periodo Ref.]:[Check Periodo Ref.]]="Dentro",IF(DATOS_[[Check Equiparado]:[Check Equiparado]]="Sí",IF(DATOS!BJ$4="Sí",(1/DATOS_[[% anualiz]:[% anualiz]]),1)*IF(DATOS!BJ$5="Sí",1/DATOS_[[% normaliz]:[% normaliz]],1)*(DATOS_[C.Extra.02])))))))), 0)</f>
        <v>0</v>
      </c>
      <c r="AR28" s="303" t="n">
        <f aca="false" t="array" ref="AR28:AR28">IFERROR( (AVERAGE((IF(DATOS_[[Sexo]:[Sexo]]=$B28,IF(DATOS_[[AGRUP. VALOR. PTO.]:[AGRUP. VALOR. PTO.]]=$B27,IF(DATOS_[[Check Periodo Ref.]:[Check Periodo Ref.]]="Dentro",IF(DATOS_[[Check Equiparado]:[Check Equiparado]]="Sí",IF(DATOS!BK$4="Sí",(1/DATOS_[[% anualiz]:[% anualiz]]),1)*IF(DATOS!BK$5="Sí",1/DATOS_[[% normaliz]:[% normaliz]],1)*(DATOS_[C.Extra.03])))))))), 0)</f>
        <v>0</v>
      </c>
      <c r="AS28" s="303" t="n">
        <f aca="false" t="array" ref="AS28:AS28">IFERROR( (AVERAGE((IF(DATOS_[[Sexo]:[Sexo]]=$B28,IF(DATOS_[[AGRUP. VALOR. PTO.]:[AGRUP. VALOR. PTO.]]=$B27,IF(DATOS_[[Check Periodo Ref.]:[Check Periodo Ref.]]="Dentro",IF(DATOS_[[Check Equiparado]:[Check Equiparado]]="Sí",IF(DATOS!BL$4="Sí",(1/DATOS_[[% anualiz]:[% anualiz]]),1)*IF(DATOS!BL$5="Sí",1/DATOS_[[% normaliz]:[% normaliz]],1)*(DATOS_[C.Extra.04])))))))), 0)</f>
        <v>0</v>
      </c>
      <c r="AT28" s="303" t="n">
        <f aca="false" t="array" ref="AT28:AT28">IFERROR( (AVERAGE((IF(DATOS_[[Sexo]:[Sexo]]=$B28,IF(DATOS_[[AGRUP. VALOR. PTO.]:[AGRUP. VALOR. PTO.]]=$B27,IF(DATOS_[[Check Periodo Ref.]:[Check Periodo Ref.]]="Dentro",IF(DATOS_[[Check Equiparado]:[Check Equiparado]]="Sí",IF(DATOS!BM$4="Sí",(1/DATOS_[[% anualiz]:[% anualiz]]),1)*IF(DATOS!BM$5="Sí",1/DATOS_[[% normaliz]:[% normaliz]],1)*(DATOS_[C.Extra.05])))))))), 0)</f>
        <v>0</v>
      </c>
      <c r="AU28" s="297" t="n">
        <f aca="false" t="array" ref="AU28:AU28">IFERROR( AVERAGE(IF(DATOS_[Sexo]=$B28,IF(DATOS_[[AGRUP. VALOR. PTO.]:[AGRUP. VALOR. PTO.]]=$B27,IF(DATOS_[Check Equiparado]="Sí",IF(DATOS_[Check Periodo Ref.]="Dentro",DATOS_[Tot Extrasalarial Eq],0))))), 0)</f>
        <v>0</v>
      </c>
      <c r="AV28" s="298" t="n">
        <f aca="false" t="array" ref="AV28:AV28">IFERROR( AVERAGE(IF(DATOS_[Sexo]=$B28,IF(DATOS_[[AGRUP. VALOR. PTO.]:[AGRUP. VALOR. PTO.]]=$B27,IF(DATOS_[Check Equiparado]="Sí",IF(DATOS_[Check Periodo Ref.]="Dentro",DATOS_[TOTAL Retrib Eq],0))))), 0)</f>
        <v>0</v>
      </c>
    </row>
    <row r="29" customFormat="false" ht="14.25" hidden="false" customHeight="false" outlineLevel="0" collapsed="false">
      <c r="A29" s="166" t="str">
        <f aca="false">+A28</f>
        <v>[ocultar]</v>
      </c>
      <c r="B29" s="289" t="s">
        <v>372</v>
      </c>
      <c r="C29" s="290" t="n">
        <f aca="false" t="array" ref="C29:C29">SUM(IF($B29=DATOS_[Sexo], IF($B27=DATOS_[AGRUP. VALOR. PTO.], IF("Dentro"=DATOS_[Check Periodo Ref.], 1/(COUNTIFS(DATOS_[Sexo],$B29,DATOS_[AGRUP. VALOR. PTO.],$B27,DATOS_[Check Periodo Ref.],"Dentro",DATOS_[id],DATOS_[id]))))))</f>
        <v>0</v>
      </c>
      <c r="D29" s="291" t="n">
        <f aca="false">COUNTIFS(DATOS_[AGRUP. VALOR. PTO.],$B27,DATOS_[Sexo],$B29,DATOS_[Check Periodo Ref.],"Dentro")</f>
        <v>0</v>
      </c>
      <c r="E29" s="291" t="n">
        <f aca="false">COUNTIFS(DATOS_[AGRUP. VALOR. PTO.],$B27,DATOS_[Sexo],$B29,DATOS_[Check Periodo Ref.],"Dentro",DATOS_[Check Nº SC Norm],"Sí")</f>
        <v>0</v>
      </c>
      <c r="F29" s="291" t="n">
        <f aca="false">COUNTIFS(DATOS_[AGRUP. VALOR. PTO.],$B27,DATOS_[Sexo],$B29,DATOS_[Check Periodo Ref.],"Dentro",DATOS_[Check Nº SC Anualiz],"Sí")</f>
        <v>0</v>
      </c>
      <c r="G29" s="291" t="n">
        <f aca="false">COUNTIFS(DATOS_[AGRUP. VALOR. PTO.],$B27,DATOS_[Sexo],$B29,DATOS_[Check Periodo Ref.],"Dentro",DATOS_[Check Nº SC Norm y Anualiz],"Sí")</f>
        <v>0</v>
      </c>
      <c r="H29" s="291" t="n">
        <f aca="false">COUNTIFS(DATOS_[AGRUP. VALOR. PTO.],$B27,DATOS_[Sexo],$B29,DATOS_[Check Periodo Ref.],"Dentro",DATOS_[Check Equiparación],"Sí")</f>
        <v>0</v>
      </c>
      <c r="I29" s="292" t="n">
        <f aca="false" t="array" ref="I29:I29">IFERROR( AVERAGE(IF(DATOS_[Sexo]=$B29,IF(DATOS_[[AGRUP. VALOR. PTO.]:[AGRUP. VALOR. PTO.]]=$B27,IF(DATOS_[Check Equiparado]="Sí",IF(DATOS_[Check Periodo Ref.]="Dentro",DATOS_[SALARIO BASE Eq],0))))), 0)</f>
        <v>0</v>
      </c>
      <c r="J29" s="302" t="n">
        <f aca="false" t="array" ref="J29:J29">IFERROR( (AVERAGE((IF(DATOS_[[Sexo]:[Sexo]]=$B29,IF(DATOS_[[AGRUP. VALOR. PTO.]:[AGRUP. VALOR. PTO.]]=$B27,IF(DATOS_[[Check Periodo Ref.]:[Check Periodo Ref.]]="Dentro",IF(DATOS_[[Check Equiparado]:[Check Equiparado]]="Sí",IF(DATOS!AE$4="Sí",(1/DATOS_[[% anualiz]:[% anualiz]]),1)*IF(DATOS!AE$5="Sí",1/DATOS_[[% normaliz]:[% normaliz]],1)*(DATOS_[Conc.Sal.01])))))))), 0)</f>
        <v>0</v>
      </c>
      <c r="K29" s="302" t="n">
        <f aca="false" t="array" ref="K29:K29">IFERROR( (AVERAGE((IF(DATOS_[[Sexo]:[Sexo]]=$B29,IF(DATOS_[[AGRUP. VALOR. PTO.]:[AGRUP. VALOR. PTO.]]=$B27,IF(DATOS_[[Check Periodo Ref.]:[Check Periodo Ref.]]="Dentro",IF(DATOS_[[Check Equiparado]:[Check Equiparado]]="Sí",IF(DATOS!AF$4="Sí",(1/DATOS_[[% anualiz]:[% anualiz]]),1)*IF(DATOS!AF$5="Sí",1/DATOS_[[% normaliz]:[% normaliz]],1)*(DATOS_[Conc.Sal.02])))))))), 0)</f>
        <v>0</v>
      </c>
      <c r="L29" s="302" t="n">
        <f aca="false" t="array" ref="L29:L29">IFERROR( (AVERAGE((IF(DATOS_[[Sexo]:[Sexo]]=$B29,IF(DATOS_[[AGRUP. VALOR. PTO.]:[AGRUP. VALOR. PTO.]]=$B27,IF(DATOS_[[Check Periodo Ref.]:[Check Periodo Ref.]]="Dentro",IF(DATOS_[[Check Equiparado]:[Check Equiparado]]="Sí",IF(DATOS!AG$4="Sí",(1/DATOS_[[% anualiz]:[% anualiz]]),1)*IF(DATOS!AG$5="Sí",1/DATOS_[[% normaliz]:[% normaliz]],1)*(DATOS_[Conc.Sal.03])))))))), 0)</f>
        <v>0</v>
      </c>
      <c r="M29" s="302" t="n">
        <f aca="false" t="array" ref="M29:M29">IFERROR( (AVERAGE((IF(DATOS_[[Sexo]:[Sexo]]=$B29,IF(DATOS_[[AGRUP. VALOR. PTO.]:[AGRUP. VALOR. PTO.]]=$B27,IF(DATOS_[[Check Periodo Ref.]:[Check Periodo Ref.]]="Dentro",IF(DATOS_[[Check Equiparado]:[Check Equiparado]]="Sí",IF(DATOS!AH$4="Sí",(1/DATOS_[[% anualiz]:[% anualiz]]),1)*IF(DATOS!AH$5="Sí",1/DATOS_[[% normaliz]:[% normaliz]],1)*(DATOS_[Conc.Sal.04])))))))), 0)</f>
        <v>0</v>
      </c>
      <c r="N29" s="302" t="n">
        <f aca="false" t="array" ref="N29:N29">IFERROR( (AVERAGE((IF(DATOS_[[Sexo]:[Sexo]]=$B29,IF(DATOS_[[AGRUP. VALOR. PTO.]:[AGRUP. VALOR. PTO.]]=$B27,IF(DATOS_[[Check Periodo Ref.]:[Check Periodo Ref.]]="Dentro",IF(DATOS_[[Check Equiparado]:[Check Equiparado]]="Sí",IF(DATOS!AI$4="Sí",(1/DATOS_[[% anualiz]:[% anualiz]]),1)*IF(DATOS!AI$5="Sí",1/DATOS_[[% normaliz]:[% normaliz]],1)*(DATOS_[Conc.Sal.05])))))))), 0)</f>
        <v>0</v>
      </c>
      <c r="O29" s="302" t="n">
        <f aca="false" t="array" ref="O29:O29">IFERROR( (AVERAGE((IF(DATOS_[[Sexo]:[Sexo]]=$B29,IF(DATOS_[[AGRUP. VALOR. PTO.]:[AGRUP. VALOR. PTO.]]=$B27,IF(DATOS_[[Check Periodo Ref.]:[Check Periodo Ref.]]="Dentro",IF(DATOS_[[Check Equiparado]:[Check Equiparado]]="Sí",IF(DATOS!AJ$4="Sí",(1/DATOS_[[% anualiz]:[% anualiz]]),1)*IF(DATOS!AJ$5="Sí",1/DATOS_[[% normaliz]:[% normaliz]],1)*(DATOS_[Conc.Sal.06])))))))), 0)</f>
        <v>0</v>
      </c>
      <c r="P29" s="302" t="n">
        <f aca="false" t="array" ref="P29:P29">IFERROR( (AVERAGE((IF(DATOS_[[Sexo]:[Sexo]]=$B29,IF(DATOS_[[AGRUP. VALOR. PTO.]:[AGRUP. VALOR. PTO.]]=$B27,IF(DATOS_[[Check Periodo Ref.]:[Check Periodo Ref.]]="Dentro",IF(DATOS_[[Check Equiparado]:[Check Equiparado]]="Sí",IF(DATOS!AK$4="Sí",(1/DATOS_[[% anualiz]:[% anualiz]]),1)*IF(DATOS!AK$5="Sí",1/DATOS_[[% normaliz]:[% normaliz]],1)*(DATOS_[Conc.Sal.07])))))))), 0)</f>
        <v>0</v>
      </c>
      <c r="Q29" s="302" t="n">
        <f aca="false" t="array" ref="Q29:Q29">IFERROR( (AVERAGE((IF(DATOS_[[Sexo]:[Sexo]]=$B29,IF(DATOS_[[AGRUP. VALOR. PTO.]:[AGRUP. VALOR. PTO.]]=$B27,IF(DATOS_[[Check Periodo Ref.]:[Check Periodo Ref.]]="Dentro",IF(DATOS_[[Check Equiparado]:[Check Equiparado]]="Sí",IF(DATOS!AL$4="Sí",(1/DATOS_[[% anualiz]:[% anualiz]]),1)*IF(DATOS!AL$5="Sí",1/DATOS_[[% normaliz]:[% normaliz]],1)*(DATOS_[Conc.Sal.08])))))))), 0)</f>
        <v>0</v>
      </c>
      <c r="R29" s="302" t="n">
        <f aca="false" t="array" ref="R29:R29">IFERROR( (AVERAGE((IF(DATOS_[[Sexo]:[Sexo]]=$B29,IF(DATOS_[[AGRUP. VALOR. PTO.]:[AGRUP. VALOR. PTO.]]=$B27,IF(DATOS_[[Check Periodo Ref.]:[Check Periodo Ref.]]="Dentro",IF(DATOS_[[Check Equiparado]:[Check Equiparado]]="Sí",IF(DATOS!AM$4="Sí",(1/DATOS_[[% anualiz]:[% anualiz]]),1)*IF(DATOS!AM$5="Sí",1/DATOS_[[% normaliz]:[% normaliz]],1)*(DATOS_[Conc.Sal.09])))))))), 0)</f>
        <v>0</v>
      </c>
      <c r="S29" s="302" t="n">
        <f aca="false" t="array" ref="S29:S29">IFERROR( (AVERAGE((IF(DATOS_[[Sexo]:[Sexo]]=$B29,IF(DATOS_[[AGRUP. VALOR. PTO.]:[AGRUP. VALOR. PTO.]]=$B27,IF(DATOS_[[Check Periodo Ref.]:[Check Periodo Ref.]]="Dentro",IF(DATOS_[[Check Equiparado]:[Check Equiparado]]="Sí",IF(DATOS!AN$4="Sí",(1/DATOS_[[% anualiz]:[% anualiz]]),1)*IF(DATOS!AN$5="Sí",1/DATOS_[[% normaliz]:[% normaliz]],1)*(DATOS_[Conc.Sal.10])))))))), 0)</f>
        <v>0</v>
      </c>
      <c r="T29" s="302" t="n">
        <f aca="false" t="array" ref="T29:T29">IFERROR( (AVERAGE((IF(DATOS_[[Sexo]:[Sexo]]=$B29,IF(DATOS_[[AGRUP. VALOR. PTO.]:[AGRUP. VALOR. PTO.]]=$B27,IF(DATOS_[[Check Periodo Ref.]:[Check Periodo Ref.]]="Dentro",IF(DATOS_[[Check Equiparado]:[Check Equiparado]]="Sí",IF(DATOS!AO$4="Sí",(1/DATOS_[[% anualiz]:[% anualiz]]),1)*IF(DATOS!AO$5="Sí",1/DATOS_[[% normaliz]:[% normaliz]],1)*(DATOS_[Conc.Sal.11])))))))), 0)</f>
        <v>0</v>
      </c>
      <c r="U29" s="302" t="n">
        <f aca="false" t="array" ref="U29:U29">IFERROR( (AVERAGE((IF(DATOS_[[Sexo]:[Sexo]]=$B29,IF(DATOS_[[AGRUP. VALOR. PTO.]:[AGRUP. VALOR. PTO.]]=$B27,IF(DATOS_[[Check Periodo Ref.]:[Check Periodo Ref.]]="Dentro",IF(DATOS_[[Check Equiparado]:[Check Equiparado]]="Sí",IF(DATOS!AP$4="Sí",(1/DATOS_[[% anualiz]:[% anualiz]]),1)*IF(DATOS!AP$5="Sí",1/DATOS_[[% normaliz]:[% normaliz]],1)*(DATOS_[Conc.Sal.12])))))))), 0)</f>
        <v>0</v>
      </c>
      <c r="V29" s="302" t="n">
        <f aca="false" t="array" ref="V29:V29">IFERROR( (AVERAGE((IF(DATOS_[[Sexo]:[Sexo]]=$B29,IF(DATOS_[[AGRUP. VALOR. PTO.]:[AGRUP. VALOR. PTO.]]=$B27,IF(DATOS_[[Check Periodo Ref.]:[Check Periodo Ref.]]="Dentro",IF(DATOS_[[Check Equiparado]:[Check Equiparado]]="Sí",IF(DATOS!AQ$4="Sí",(1/DATOS_[[% anualiz]:[% anualiz]]),1)*IF(DATOS!AQ$5="Sí",1/DATOS_[[% normaliz]:[% normaliz]],1)*(DATOS_[Conc.Sal.13])))))))), 0)</f>
        <v>0</v>
      </c>
      <c r="W29" s="302" t="n">
        <f aca="false" t="array" ref="W29:W29">IFERROR( (AVERAGE((IF(DATOS_[[Sexo]:[Sexo]]=$B29,IF(DATOS_[[AGRUP. VALOR. PTO.]:[AGRUP. VALOR. PTO.]]=$B27,IF(DATOS_[[Check Periodo Ref.]:[Check Periodo Ref.]]="Dentro",IF(DATOS_[[Check Equiparado]:[Check Equiparado]]="Sí",IF(DATOS!AR$4="Sí",(1/DATOS_[[% anualiz]:[% anualiz]]),1)*IF(DATOS!AR$5="Sí",1/DATOS_[[% normaliz]:[% normaliz]],1)*(DATOS_[Conc.Sal.14])))))))), 0)</f>
        <v>0</v>
      </c>
      <c r="X29" s="302" t="n">
        <f aca="false" t="array" ref="X29:X29">IFERROR( (AVERAGE((IF(DATOS_[[Sexo]:[Sexo]]=$B29,IF(DATOS_[[AGRUP. VALOR. PTO.]:[AGRUP. VALOR. PTO.]]=$B27,IF(DATOS_[[Check Periodo Ref.]:[Check Periodo Ref.]]="Dentro",IF(DATOS_[[Check Equiparado]:[Check Equiparado]]="Sí",IF(DATOS!AS$4="Sí",(1/DATOS_[[% anualiz]:[% anualiz]]),1)*IF(DATOS!AS$5="Sí",1/DATOS_[[% normaliz]:[% normaliz]],1)*(DATOS_[Conc.Sal.15])))))))), 0)</f>
        <v>0</v>
      </c>
      <c r="Y29" s="302" t="n">
        <f aca="false" t="array" ref="Y29:Y29">IFERROR( (AVERAGE((IF(DATOS_[[Sexo]:[Sexo]]=$B29,IF(DATOS_[[AGRUP. VALOR. PTO.]:[AGRUP. VALOR. PTO.]]=$B27,IF(DATOS_[[Check Periodo Ref.]:[Check Periodo Ref.]]="Dentro",IF(DATOS_[[Check Equiparado]:[Check Equiparado]]="Sí",IF(DATOS!AT$4="Sí",(1/DATOS_[[% anualiz]:[% anualiz]]),1)*IF(DATOS!AT$5="Sí",1/DATOS_[[% normaliz]:[% normaliz]],1)*(DATOS_[Conc.Sal.16])))))))), 0)</f>
        <v>0</v>
      </c>
      <c r="Z29" s="302" t="n">
        <f aca="false" t="array" ref="Z29:Z29">IFERROR( (AVERAGE((IF(DATOS_[[Sexo]:[Sexo]]=$B29,IF(DATOS_[[AGRUP. VALOR. PTO.]:[AGRUP. VALOR. PTO.]]=$B27,IF(DATOS_[[Check Periodo Ref.]:[Check Periodo Ref.]]="Dentro",IF(DATOS_[[Check Equiparado]:[Check Equiparado]]="Sí",IF(DATOS!AU$4="Sí",(1/DATOS_[[% anualiz]:[% anualiz]]),1)*IF(DATOS!AU$5="Sí",1/DATOS_[[% normaliz]:[% normaliz]],1)*(DATOS_[Conc.Sal.17])))))))), 0)</f>
        <v>0</v>
      </c>
      <c r="AA29" s="302" t="n">
        <f aca="false" t="array" ref="AA29:AA29">IFERROR( (AVERAGE((IF(DATOS_[[Sexo]:[Sexo]]=$B29,IF(DATOS_[[AGRUP. VALOR. PTO.]:[AGRUP. VALOR. PTO.]]=$B27,IF(DATOS_[[Check Periodo Ref.]:[Check Periodo Ref.]]="Dentro",IF(DATOS_[[Check Equiparado]:[Check Equiparado]]="Sí",IF(DATOS!AV$4="Sí",(1/DATOS_[[% anualiz]:[% anualiz]]),1)*IF(DATOS!AV$5="Sí",1/DATOS_[[% normaliz]:[% normaliz]],1)*(DATOS_[Conc.Sal.18])))))))), 0)</f>
        <v>0</v>
      </c>
      <c r="AB29" s="302" t="n">
        <f aca="false" t="array" ref="AB29:AB29">IFERROR( (AVERAGE((IF(DATOS_[[Sexo]:[Sexo]]=$B29,IF(DATOS_[[AGRUP. VALOR. PTO.]:[AGRUP. VALOR. PTO.]]=$B27,IF(DATOS_[[Check Periodo Ref.]:[Check Periodo Ref.]]="Dentro",IF(DATOS_[[Check Equiparado]:[Check Equiparado]]="Sí",IF(DATOS!AW$4="Sí",(1/DATOS_[[% anualiz]:[% anualiz]]),1)*IF(DATOS!AW$5="Sí",1/DATOS_[[% normaliz]:[% normaliz]],1)*(DATOS_[Conc.Sal.19])))))))), 0)</f>
        <v>0</v>
      </c>
      <c r="AC29" s="302" t="n">
        <f aca="false" t="array" ref="AC29:AC29">IFERROR( (AVERAGE((IF(DATOS_[[Sexo]:[Sexo]]=$B29,IF(DATOS_[[AGRUP. VALOR. PTO.]:[AGRUP. VALOR. PTO.]]=$B27,IF(DATOS_[[Check Periodo Ref.]:[Check Periodo Ref.]]="Dentro",IF(DATOS_[[Check Equiparado]:[Check Equiparado]]="Sí",IF(DATOS!AX$4="Sí",(1/DATOS_[[% anualiz]:[% anualiz]]),1)*IF(DATOS!AX$5="Sí",1/DATOS_[[% normaliz]:[% normaliz]],1)*(DATOS_[Conc.Sal.20])))))))), 0)</f>
        <v>0</v>
      </c>
      <c r="AD29" s="302" t="n">
        <f aca="false" t="array" ref="AD29:AD29">IFERROR( (AVERAGE((IF(DATOS_[[Sexo]:[Sexo]]=$B29,IF(DATOS_[[AGRUP. VALOR. PTO.]:[AGRUP. VALOR. PTO.]]=$B27,IF(DATOS_[[Check Periodo Ref.]:[Check Periodo Ref.]]="Dentro",IF(DATOS_[[Check Equiparado]:[Check Equiparado]]="Sí",IF(DATOS!AY$4="Sí",(1/DATOS_[[% anualiz]:[% anualiz]]),1)*IF(DATOS!AY$5="Sí",1/DATOS_[[% normaliz]:[% normaliz]],1)*(DATOS_[Conc.Sal.21])))))))), 0)</f>
        <v>0</v>
      </c>
      <c r="AE29" s="302" t="n">
        <f aca="false" t="array" ref="AE29:AE29">IFERROR( (AVERAGE((IF(DATOS_[[Sexo]:[Sexo]]=$B29,IF(DATOS_[[AGRUP. VALOR. PTO.]:[AGRUP. VALOR. PTO.]]=$B27,IF(DATOS_[[Check Periodo Ref.]:[Check Periodo Ref.]]="Dentro",IF(DATOS_[[Check Equiparado]:[Check Equiparado]]="Sí",IF(DATOS!AZ$4="Sí",(1/DATOS_[[% anualiz]:[% anualiz]]),1)*IF(DATOS!AZ$5="Sí",1/DATOS_[[% normaliz]:[% normaliz]],1)*(DATOS_[Conc.Sal.22])))))))), 0)</f>
        <v>0</v>
      </c>
      <c r="AF29" s="302" t="n">
        <f aca="false" t="array" ref="AF29:AF29">IFERROR( (AVERAGE((IF(DATOS_[[Sexo]:[Sexo]]=$B29,IF(DATOS_[[AGRUP. VALOR. PTO.]:[AGRUP. VALOR. PTO.]]=$B27,IF(DATOS_[[Check Periodo Ref.]:[Check Periodo Ref.]]="Dentro",IF(DATOS_[[Check Equiparado]:[Check Equiparado]]="Sí",IF(DATOS!BA$4="Sí",(1/DATOS_[[% anualiz]:[% anualiz]]),1)*IF(DATOS!BA$5="Sí",1/DATOS_[[% normaliz]:[% normaliz]],1)*(DATOS_[Conc.Sal.23])))))))), 0)</f>
        <v>0</v>
      </c>
      <c r="AG29" s="302" t="n">
        <f aca="false" t="array" ref="AG29:AG29">IFERROR( (AVERAGE((IF(DATOS_[[Sexo]:[Sexo]]=$B29,IF(DATOS_[[AGRUP. VALOR. PTO.]:[AGRUP. VALOR. PTO.]]=$B27,IF(DATOS_[[Check Periodo Ref.]:[Check Periodo Ref.]]="Dentro",IF(DATOS_[[Check Equiparado]:[Check Equiparado]]="Sí",IF(DATOS!BB$4="Sí",(1/DATOS_[[% anualiz]:[% anualiz]]),1)*IF(DATOS!BB$5="Sí",1/DATOS_[[% normaliz]:[% normaliz]],1)*(DATOS_[Conc.Sal.24])))))))), 0)</f>
        <v>0</v>
      </c>
      <c r="AH29" s="302" t="n">
        <f aca="false" t="array" ref="AH29:AH29">IFERROR( (AVERAGE((IF(DATOS_[[Sexo]:[Sexo]]=$B29,IF(DATOS_[[AGRUP. VALOR. PTO.]:[AGRUP. VALOR. PTO.]]=$B27,IF(DATOS_[[Check Periodo Ref.]:[Check Periodo Ref.]]="Dentro",IF(DATOS_[[Check Equiparado]:[Check Equiparado]]="Sí",IF(DATOS!BC$4="Sí",(1/DATOS_[[% anualiz]:[% anualiz]]),1)*IF(DATOS!BC$5="Sí",1/DATOS_[[% normaliz]:[% normaliz]],1)*(DATOS_[Conc.Sal.25])))))))), 0)</f>
        <v>0</v>
      </c>
      <c r="AI29" s="302" t="n">
        <f aca="false" t="array" ref="AI29:AI29">IFERROR( (AVERAGE((IF(DATOS_[[Sexo]:[Sexo]]=$B29,IF(DATOS_[[AGRUP. VALOR. PTO.]:[AGRUP. VALOR. PTO.]]=$B27,IF(DATOS_[[Check Periodo Ref.]:[Check Periodo Ref.]]="Dentro",IF(DATOS_[[Check Equiparado]:[Check Equiparado]]="Sí",IF(DATOS!BD$4="Sí",(1/DATOS_[[% anualiz]:[% anualiz]]),1)*IF(DATOS!BD$5="Sí",1/DATOS_[[% normaliz]:[% normaliz]],1)*(DATOS_[Conc.Sal.26])))))))), 0)</f>
        <v>0</v>
      </c>
      <c r="AJ29" s="302" t="n">
        <f aca="false" t="array" ref="AJ29:AJ29">IFERROR( (AVERAGE((IF(DATOS_[[Sexo]:[Sexo]]=$B29,IF(DATOS_[[AGRUP. VALOR. PTO.]:[AGRUP. VALOR. PTO.]]=$B27,IF(DATOS_[[Check Periodo Ref.]:[Check Periodo Ref.]]="Dentro",IF(DATOS_[[Check Equiparado]:[Check Equiparado]]="Sí",IF(DATOS!BE$4="Sí",(1/DATOS_[[% anualiz]:[% anualiz]]),1)*IF(DATOS!BE$5="Sí",1/DATOS_[[% normaliz]:[% normaliz]],1)*(DATOS_[Conc.Sal.27])))))))), 0)</f>
        <v>0</v>
      </c>
      <c r="AK29" s="302" t="n">
        <f aca="false" t="array" ref="AK29:AK29">IFERROR( (AVERAGE((IF(DATOS_[[Sexo]:[Sexo]]=$B29,IF(DATOS_[[AGRUP. VALOR. PTO.]:[AGRUP. VALOR. PTO.]]=$B27,IF(DATOS_[[Check Periodo Ref.]:[Check Periodo Ref.]]="Dentro",IF(DATOS_[[Check Equiparado]:[Check Equiparado]]="Sí",IF(DATOS!BF$4="Sí",(1/DATOS_[[% anualiz]:[% anualiz]]),1)*IF(DATOS!BF$5="Sí",1/DATOS_[[% normaliz]:[% normaliz]],1)*(DATOS_[Conc.Sal.28])))))))), 0)</f>
        <v>0</v>
      </c>
      <c r="AL29" s="302" t="n">
        <f aca="false" t="array" ref="AL29:AL29">IFERROR( (AVERAGE((IF(DATOS_[[Sexo]:[Sexo]]=$B29,IF(DATOS_[[AGRUP. VALOR. PTO.]:[AGRUP. VALOR. PTO.]]=$B27,IF(DATOS_[[Check Periodo Ref.]:[Check Periodo Ref.]]="Dentro",IF(DATOS_[[Check Equiparado]:[Check Equiparado]]="Sí",IF(DATOS!BG$4="Sí",(1/DATOS_[[% anualiz]:[% anualiz]]),1)*IF(DATOS!BG$5="Sí",1/DATOS_[[% normaliz]:[% normaliz]],1)*(DATOS_[Conc.Sal.29])))))))), 0)</f>
        <v>0</v>
      </c>
      <c r="AM29" s="302" t="n">
        <f aca="false" t="array" ref="AM29:AM29">IFERROR( (AVERAGE((IF(DATOS_[[Sexo]:[Sexo]]=$B29,IF(DATOS_[[AGRUP. VALOR. PTO.]:[AGRUP. VALOR. PTO.]]=$B27,IF(DATOS_[[Check Periodo Ref.]:[Check Periodo Ref.]]="Dentro",IF(DATOS_[[Check Equiparado]:[Check Equiparado]]="Sí",IF(DATOS!BH$4="Sí",(1/DATOS_[[% anualiz]:[% anualiz]]),1)*IF(DATOS!BH$5="Sí",1/DATOS_[[% normaliz]:[% normaliz]],1)*(DATOS_[Conc.Sal.30])))))))), 0)</f>
        <v>0</v>
      </c>
      <c r="AN29" s="294" t="n">
        <f aca="false" t="array" ref="AN29:AN29">IFERROR( AVERAGE(IF(DATOS_[Sexo]=$B29,IF(DATOS_[[AGRUP. VALOR. PTO.]:[AGRUP. VALOR. PTO.]]=$B27,IF(DATOS_[Check Equiparado]="Sí",IF(DATOS_[Check Periodo Ref.]="Dentro",DATOS_[Tot COMPL.SAL Eq],0))))), 0)</f>
        <v>0</v>
      </c>
      <c r="AO29" s="295" t="n">
        <f aca="false" t="array" ref="AO29:AO29">IFERROR( AVERAGE(IF(DATOS_[Sexo]=$B29,IF(DATOS_[[AGRUP. VALOR. PTO.]:[AGRUP. VALOR. PTO.]]=$B27,IF(DATOS_[Check Equiparado]="Sí",IF(DATOS_[Check Periodo Ref.]="Dentro",DATOS_[TOTAL SALARIO Eq],0))))), 0)</f>
        <v>0</v>
      </c>
      <c r="AP29" s="303" t="n">
        <f aca="false" t="array" ref="AP29:AP29">IFERROR( (AVERAGE((IF(DATOS_[[Sexo]:[Sexo]]=$B29,IF(DATOS_[[AGRUP. VALOR. PTO.]:[AGRUP. VALOR. PTO.]]=$B28,IF(DATOS_[[Check Periodo Ref.]:[Check Periodo Ref.]]="Dentro",IF(DATOS_[[Check Equiparado]:[Check Equiparado]]="Sí",IF(DATOS!BI$4="Sí",(1/DATOS_[[% anualiz]:[% anualiz]]),1)*IF(DATOS!BI$5="Sí",1/DATOS_[[% normaliz]:[% normaliz]],1)*(DATOS_[C.Extra.01])))))))), 0)</f>
        <v>0</v>
      </c>
      <c r="AQ29" s="303" t="n">
        <f aca="false" t="array" ref="AQ29:AQ29">IFERROR( (AVERAGE((IF(DATOS_[[Sexo]:[Sexo]]=$B29,IF(DATOS_[[AGRUP. VALOR. PTO.]:[AGRUP. VALOR. PTO.]]=$B28,IF(DATOS_[[Check Periodo Ref.]:[Check Periodo Ref.]]="Dentro",IF(DATOS_[[Check Equiparado]:[Check Equiparado]]="Sí",IF(DATOS!BJ$4="Sí",(1/DATOS_[[% anualiz]:[% anualiz]]),1)*IF(DATOS!BJ$5="Sí",1/DATOS_[[% normaliz]:[% normaliz]],1)*(DATOS_[C.Extra.02])))))))), 0)</f>
        <v>0</v>
      </c>
      <c r="AR29" s="303" t="n">
        <f aca="false" t="array" ref="AR29:AR29">IFERROR( (AVERAGE((IF(DATOS_[[Sexo]:[Sexo]]=$B29,IF(DATOS_[[AGRUP. VALOR. PTO.]:[AGRUP. VALOR. PTO.]]=$B28,IF(DATOS_[[Check Periodo Ref.]:[Check Periodo Ref.]]="Dentro",IF(DATOS_[[Check Equiparado]:[Check Equiparado]]="Sí",IF(DATOS!BK$4="Sí",(1/DATOS_[[% anualiz]:[% anualiz]]),1)*IF(DATOS!BK$5="Sí",1/DATOS_[[% normaliz]:[% normaliz]],1)*(DATOS_[C.Extra.03])))))))), 0)</f>
        <v>0</v>
      </c>
      <c r="AS29" s="303" t="n">
        <f aca="false" t="array" ref="AS29:AS29">IFERROR( (AVERAGE((IF(DATOS_[[Sexo]:[Sexo]]=$B29,IF(DATOS_[[AGRUP. VALOR. PTO.]:[AGRUP. VALOR. PTO.]]=$B28,IF(DATOS_[[Check Periodo Ref.]:[Check Periodo Ref.]]="Dentro",IF(DATOS_[[Check Equiparado]:[Check Equiparado]]="Sí",IF(DATOS!BL$4="Sí",(1/DATOS_[[% anualiz]:[% anualiz]]),1)*IF(DATOS!BL$5="Sí",1/DATOS_[[% normaliz]:[% normaliz]],1)*(DATOS_[C.Extra.04])))))))), 0)</f>
        <v>0</v>
      </c>
      <c r="AT29" s="303" t="n">
        <f aca="false" t="array" ref="AT29:AT29">IFERROR( (AVERAGE((IF(DATOS_[[Sexo]:[Sexo]]=$B29,IF(DATOS_[[AGRUP. VALOR. PTO.]:[AGRUP. VALOR. PTO.]]=$B28,IF(DATOS_[[Check Periodo Ref.]:[Check Periodo Ref.]]="Dentro",IF(DATOS_[[Check Equiparado]:[Check Equiparado]]="Sí",IF(DATOS!BM$4="Sí",(1/DATOS_[[% anualiz]:[% anualiz]]),1)*IF(DATOS!BM$5="Sí",1/DATOS_[[% normaliz]:[% normaliz]],1)*(DATOS_[C.Extra.05])))))))), 0)</f>
        <v>0</v>
      </c>
      <c r="AU29" s="297" t="n">
        <f aca="false" t="array" ref="AU29:AU29">IFERROR( AVERAGE(IF(DATOS_[Sexo]=$B29,IF(DATOS_[[AGRUP. VALOR. PTO.]:[AGRUP. VALOR. PTO.]]=$B27,IF(DATOS_[Check Equiparado]="Sí",IF(DATOS_[Check Periodo Ref.]="Dentro",DATOS_[Tot Extrasalarial Eq],0))))), 0)</f>
        <v>0</v>
      </c>
      <c r="AV29" s="298" t="n">
        <f aca="false" t="array" ref="AV29:AV29">IFERROR( AVERAGE(IF(DATOS_[Sexo]=$B29,IF(DATOS_[[AGRUP. VALOR. PTO.]:[AGRUP. VALOR. PTO.]]=$B27,IF(DATOS_[Check Equiparado]="Sí",IF(DATOS_[Check Periodo Ref.]="Dentro",DATOS_[TOTAL Retrib Eq],0))))), 0)</f>
        <v>0</v>
      </c>
    </row>
    <row r="30" customFormat="false" ht="15.75" hidden="false" customHeight="false" outlineLevel="0" collapsed="false">
      <c r="A30" s="166" t="str">
        <f aca="false">+A31</f>
        <v>[ocultar]</v>
      </c>
      <c r="B30" s="276" t="s">
        <v>184</v>
      </c>
      <c r="C30" s="277"/>
      <c r="D30" s="278"/>
      <c r="E30" s="278"/>
      <c r="F30" s="278"/>
      <c r="G30" s="278"/>
      <c r="H30" s="278"/>
      <c r="I30" s="279" t="str">
        <f aca="false">IFERROR((I31-I32)/I31,"")</f>
        <v/>
      </c>
      <c r="J30" s="280" t="str">
        <f aca="false">IFERROR((J31-J32)/J31,"")</f>
        <v/>
      </c>
      <c r="K30" s="281" t="str">
        <f aca="false">IFERROR((K31-K32)/K31,"")</f>
        <v/>
      </c>
      <c r="L30" s="281" t="str">
        <f aca="false">IFERROR((L31-L32)/L31,"")</f>
        <v/>
      </c>
      <c r="M30" s="281" t="str">
        <f aca="false">IFERROR((M31-M32)/M31,"")</f>
        <v/>
      </c>
      <c r="N30" s="282" t="str">
        <f aca="false">IFERROR((N31-N32)/N31,"")</f>
        <v/>
      </c>
      <c r="O30" s="283" t="str">
        <f aca="false">IFERROR((O31-O32)/O31,"")</f>
        <v/>
      </c>
      <c r="P30" s="283" t="str">
        <f aca="false">IFERROR((P31-P32)/P31,"")</f>
        <v/>
      </c>
      <c r="Q30" s="283" t="str">
        <f aca="false">IFERROR((Q31-Q32)/Q31,"")</f>
        <v/>
      </c>
      <c r="R30" s="283" t="str">
        <f aca="false">IFERROR((R31-R32)/R31,"")</f>
        <v/>
      </c>
      <c r="S30" s="283" t="str">
        <f aca="false">IFERROR((S31-S32)/S31,"")</f>
        <v/>
      </c>
      <c r="T30" s="283" t="str">
        <f aca="false">IFERROR((T31-T32)/T31,"")</f>
        <v/>
      </c>
      <c r="U30" s="283" t="str">
        <f aca="false">IFERROR((U31-U32)/U31,"")</f>
        <v/>
      </c>
      <c r="V30" s="283" t="str">
        <f aca="false">IFERROR((V31-V32)/V31,"")</f>
        <v/>
      </c>
      <c r="W30" s="283" t="str">
        <f aca="false">IFERROR((W31-W32)/W31,"")</f>
        <v/>
      </c>
      <c r="X30" s="283" t="str">
        <f aca="false">IFERROR((X31-X32)/X31,"")</f>
        <v/>
      </c>
      <c r="Y30" s="283" t="str">
        <f aca="false">IFERROR((Y31-Y32)/Y31,"")</f>
        <v/>
      </c>
      <c r="Z30" s="282" t="str">
        <f aca="false">IFERROR((Z31-Z32)/Z31,"")</f>
        <v/>
      </c>
      <c r="AA30" s="282" t="str">
        <f aca="false">IFERROR((AA31-AA32)/AA31,"")</f>
        <v/>
      </c>
      <c r="AB30" s="282" t="str">
        <f aca="false">IFERROR((AB31-AB32)/AB31,"")</f>
        <v/>
      </c>
      <c r="AC30" s="282" t="str">
        <f aca="false">IFERROR((AC31-AC32)/AC31,"")</f>
        <v/>
      </c>
      <c r="AD30" s="282" t="str">
        <f aca="false">IFERROR((AD31-AD32)/AD31,"")</f>
        <v/>
      </c>
      <c r="AE30" s="282" t="str">
        <f aca="false">IFERROR((AE31-AE32)/AE31,"")</f>
        <v/>
      </c>
      <c r="AF30" s="282" t="str">
        <f aca="false">IFERROR((AF31-AF32)/AF31,"")</f>
        <v/>
      </c>
      <c r="AG30" s="282" t="str">
        <f aca="false">IFERROR((AG31-AG32)/AG31,"")</f>
        <v/>
      </c>
      <c r="AH30" s="282" t="str">
        <f aca="false">IFERROR((AH31-AH32)/AH31,"")</f>
        <v/>
      </c>
      <c r="AI30" s="282" t="str">
        <f aca="false">IFERROR((AI31-AI32)/AI31,"")</f>
        <v/>
      </c>
      <c r="AJ30" s="282" t="str">
        <f aca="false">IFERROR((AJ31-AJ32)/AJ31,"")</f>
        <v/>
      </c>
      <c r="AK30" s="282" t="str">
        <f aca="false">IFERROR((AK31-AK32)/AK31,"")</f>
        <v/>
      </c>
      <c r="AL30" s="282" t="str">
        <f aca="false">IFERROR((AL31-AL32)/AL31,"")</f>
        <v/>
      </c>
      <c r="AM30" s="282" t="str">
        <f aca="false">IFERROR((AM31-AM32)/AM31,"")</f>
        <v/>
      </c>
      <c r="AN30" s="284" t="str">
        <f aca="false">IFERROR((AN31-AN32)/AN31,"")</f>
        <v/>
      </c>
      <c r="AO30" s="285" t="str">
        <f aca="false">IFERROR((AO31-AO32)/AO31,"")</f>
        <v/>
      </c>
      <c r="AP30" s="286" t="str">
        <f aca="false">IFERROR((AP31-AP32)/AP31,"")</f>
        <v/>
      </c>
      <c r="AQ30" s="286" t="str">
        <f aca="false">IFERROR((AQ31-AQ32)/AQ31,"")</f>
        <v/>
      </c>
      <c r="AR30" s="286" t="str">
        <f aca="false">IFERROR((AR31-AR32)/AR31,"")</f>
        <v/>
      </c>
      <c r="AS30" s="286" t="str">
        <f aca="false">IFERROR((AS31-AS32)/AS31,"")</f>
        <v/>
      </c>
      <c r="AT30" s="286" t="str">
        <f aca="false">IFERROR((AT31-AT32)/AT31,"")</f>
        <v/>
      </c>
      <c r="AU30" s="287" t="str">
        <f aca="false">IFERROR((AU31-AU32)/AU31,"")</f>
        <v/>
      </c>
      <c r="AV30" s="288" t="str">
        <f aca="false">IFERROR((AV31-AV32)/AV31,"")</f>
        <v/>
      </c>
    </row>
    <row r="31" customFormat="false" ht="14.25" hidden="false" customHeight="false" outlineLevel="0" collapsed="false">
      <c r="A31" s="166" t="str">
        <f aca="false">+IF(C31+C32=0,"[ocultar]","")</f>
        <v>[ocultar]</v>
      </c>
      <c r="B31" s="289" t="s">
        <v>371</v>
      </c>
      <c r="C31" s="290" t="n">
        <f aca="false" t="array" ref="C31:C31">SUM(IF($B31=DATOS_[Sexo], IF($B30=DATOS_[AGRUP. VALOR. PTO.], IF("Dentro"=DATOS_[Check Periodo Ref.], 1/(COUNTIFS(DATOS_[Sexo],$B31,DATOS_[AGRUP. VALOR. PTO.],$B30,DATOS_[Check Periodo Ref.],"Dentro",DATOS_[id],DATOS_[id]))))))</f>
        <v>0</v>
      </c>
      <c r="D31" s="291" t="n">
        <f aca="false">COUNTIFS(DATOS_[AGRUP. VALOR. PTO.],$B30,DATOS_[Sexo],$B31,DATOS_[Check Periodo Ref.],"Dentro")</f>
        <v>0</v>
      </c>
      <c r="E31" s="291" t="n">
        <f aca="false">COUNTIFS(DATOS_[AGRUP. VALOR. PTO.],$B30,DATOS_[Sexo],$B31,DATOS_[Check Periodo Ref.],"Dentro",DATOS_[Check Nº SC Norm],"Sí")</f>
        <v>0</v>
      </c>
      <c r="F31" s="291" t="n">
        <f aca="false">COUNTIFS(DATOS_[AGRUP. VALOR. PTO.],$B30,DATOS_[Sexo],$B31,DATOS_[Check Periodo Ref.],"Dentro",DATOS_[Check Nº SC Anualiz],"Sí")</f>
        <v>0</v>
      </c>
      <c r="G31" s="291" t="n">
        <f aca="false">COUNTIFS(DATOS_[AGRUP. VALOR. PTO.],$B30,DATOS_[Sexo],$B31,DATOS_[Check Periodo Ref.],"Dentro",DATOS_[Check Nº SC Norm y Anualiz],"Sí")</f>
        <v>0</v>
      </c>
      <c r="H31" s="291" t="n">
        <f aca="false">COUNTIFS(DATOS_[AGRUP. VALOR. PTO.],$B30,DATOS_[Sexo],$B31,DATOS_[Check Periodo Ref.],"Dentro",DATOS_[Check Equiparación],"Sí")</f>
        <v>0</v>
      </c>
      <c r="I31" s="292" t="n">
        <f aca="false" t="array" ref="I31:I31">IFERROR( AVERAGE(IF(DATOS_[Sexo]=$B31,IF(DATOS_[[AGRUP. VALOR. PTO.]:[AGRUP. VALOR. PTO.]]=$B30,IF(DATOS_[Check Equiparado]="Sí",IF(DATOS_[Check Periodo Ref.]="Dentro",DATOS_[SALARIO BASE Eq],0))))), 0)</f>
        <v>0</v>
      </c>
      <c r="J31" s="302" t="n">
        <f aca="false" t="array" ref="J31:J31">IFERROR( (AVERAGE((IF(DATOS_[[Sexo]:[Sexo]]=$B31,IF(DATOS_[[AGRUP. VALOR. PTO.]:[AGRUP. VALOR. PTO.]]=$B30,IF(DATOS_[[Check Periodo Ref.]:[Check Periodo Ref.]]="Dentro",IF(DATOS_[[Check Equiparado]:[Check Equiparado]]="Sí",IF(DATOS!AE$4="Sí",(1/DATOS_[[% anualiz]:[% anualiz]]),1)*IF(DATOS!AE$5="Sí",1/DATOS_[[% normaliz]:[% normaliz]],1)*(DATOS_[Conc.Sal.01])))))))), 0)</f>
        <v>0</v>
      </c>
      <c r="K31" s="302" t="n">
        <f aca="false" t="array" ref="K31:K31">IFERROR( (AVERAGE((IF(DATOS_[[Sexo]:[Sexo]]=$B31,IF(DATOS_[[AGRUP. VALOR. PTO.]:[AGRUP. VALOR. PTO.]]=$B30,IF(DATOS_[[Check Periodo Ref.]:[Check Periodo Ref.]]="Dentro",IF(DATOS_[[Check Equiparado]:[Check Equiparado]]="Sí",IF(DATOS!AF$4="Sí",(1/DATOS_[[% anualiz]:[% anualiz]]),1)*IF(DATOS!AF$5="Sí",1/DATOS_[[% normaliz]:[% normaliz]],1)*(DATOS_[Conc.Sal.02])))))))), 0)</f>
        <v>0</v>
      </c>
      <c r="L31" s="302" t="n">
        <f aca="false" t="array" ref="L31:L31">IFERROR( (AVERAGE((IF(DATOS_[[Sexo]:[Sexo]]=$B31,IF(DATOS_[[AGRUP. VALOR. PTO.]:[AGRUP. VALOR. PTO.]]=$B30,IF(DATOS_[[Check Periodo Ref.]:[Check Periodo Ref.]]="Dentro",IF(DATOS_[[Check Equiparado]:[Check Equiparado]]="Sí",IF(DATOS!AG$4="Sí",(1/DATOS_[[% anualiz]:[% anualiz]]),1)*IF(DATOS!AG$5="Sí",1/DATOS_[[% normaliz]:[% normaliz]],1)*(DATOS_[Conc.Sal.03])))))))), 0)</f>
        <v>0</v>
      </c>
      <c r="M31" s="302" t="n">
        <f aca="false" t="array" ref="M31:M31">IFERROR( (AVERAGE((IF(DATOS_[[Sexo]:[Sexo]]=$B31,IF(DATOS_[[AGRUP. VALOR. PTO.]:[AGRUP. VALOR. PTO.]]=$B30,IF(DATOS_[[Check Periodo Ref.]:[Check Periodo Ref.]]="Dentro",IF(DATOS_[[Check Equiparado]:[Check Equiparado]]="Sí",IF(DATOS!AH$4="Sí",(1/DATOS_[[% anualiz]:[% anualiz]]),1)*IF(DATOS!AH$5="Sí",1/DATOS_[[% normaliz]:[% normaliz]],1)*(DATOS_[Conc.Sal.04])))))))), 0)</f>
        <v>0</v>
      </c>
      <c r="N31" s="302" t="n">
        <f aca="false" t="array" ref="N31:N31">IFERROR( (AVERAGE((IF(DATOS_[[Sexo]:[Sexo]]=$B31,IF(DATOS_[[AGRUP. VALOR. PTO.]:[AGRUP. VALOR. PTO.]]=$B30,IF(DATOS_[[Check Periodo Ref.]:[Check Periodo Ref.]]="Dentro",IF(DATOS_[[Check Equiparado]:[Check Equiparado]]="Sí",IF(DATOS!AI$4="Sí",(1/DATOS_[[% anualiz]:[% anualiz]]),1)*IF(DATOS!AI$5="Sí",1/DATOS_[[% normaliz]:[% normaliz]],1)*(DATOS_[Conc.Sal.05])))))))), 0)</f>
        <v>0</v>
      </c>
      <c r="O31" s="302" t="n">
        <f aca="false" t="array" ref="O31:O31">IFERROR( (AVERAGE((IF(DATOS_[[Sexo]:[Sexo]]=$B31,IF(DATOS_[[AGRUP. VALOR. PTO.]:[AGRUP. VALOR. PTO.]]=$B30,IF(DATOS_[[Check Periodo Ref.]:[Check Periodo Ref.]]="Dentro",IF(DATOS_[[Check Equiparado]:[Check Equiparado]]="Sí",IF(DATOS!AJ$4="Sí",(1/DATOS_[[% anualiz]:[% anualiz]]),1)*IF(DATOS!AJ$5="Sí",1/DATOS_[[% normaliz]:[% normaliz]],1)*(DATOS_[Conc.Sal.06])))))))), 0)</f>
        <v>0</v>
      </c>
      <c r="P31" s="302" t="n">
        <f aca="false" t="array" ref="P31:P31">IFERROR( (AVERAGE((IF(DATOS_[[Sexo]:[Sexo]]=$B31,IF(DATOS_[[AGRUP. VALOR. PTO.]:[AGRUP. VALOR. PTO.]]=$B30,IF(DATOS_[[Check Periodo Ref.]:[Check Periodo Ref.]]="Dentro",IF(DATOS_[[Check Equiparado]:[Check Equiparado]]="Sí",IF(DATOS!AK$4="Sí",(1/DATOS_[[% anualiz]:[% anualiz]]),1)*IF(DATOS!AK$5="Sí",1/DATOS_[[% normaliz]:[% normaliz]],1)*(DATOS_[Conc.Sal.07])))))))), 0)</f>
        <v>0</v>
      </c>
      <c r="Q31" s="302" t="n">
        <f aca="false" t="array" ref="Q31:Q31">IFERROR( (AVERAGE((IF(DATOS_[[Sexo]:[Sexo]]=$B31,IF(DATOS_[[AGRUP. VALOR. PTO.]:[AGRUP. VALOR. PTO.]]=$B30,IF(DATOS_[[Check Periodo Ref.]:[Check Periodo Ref.]]="Dentro",IF(DATOS_[[Check Equiparado]:[Check Equiparado]]="Sí",IF(DATOS!AL$4="Sí",(1/DATOS_[[% anualiz]:[% anualiz]]),1)*IF(DATOS!AL$5="Sí",1/DATOS_[[% normaliz]:[% normaliz]],1)*(DATOS_[Conc.Sal.08])))))))), 0)</f>
        <v>0</v>
      </c>
      <c r="R31" s="302" t="n">
        <f aca="false" t="array" ref="R31:R31">IFERROR( (AVERAGE((IF(DATOS_[[Sexo]:[Sexo]]=$B31,IF(DATOS_[[AGRUP. VALOR. PTO.]:[AGRUP. VALOR. PTO.]]=$B30,IF(DATOS_[[Check Periodo Ref.]:[Check Periodo Ref.]]="Dentro",IF(DATOS_[[Check Equiparado]:[Check Equiparado]]="Sí",IF(DATOS!AM$4="Sí",(1/DATOS_[[% anualiz]:[% anualiz]]),1)*IF(DATOS!AM$5="Sí",1/DATOS_[[% normaliz]:[% normaliz]],1)*(DATOS_[Conc.Sal.09])))))))), 0)</f>
        <v>0</v>
      </c>
      <c r="S31" s="302" t="n">
        <f aca="false" t="array" ref="S31:S31">IFERROR( (AVERAGE((IF(DATOS_[[Sexo]:[Sexo]]=$B31,IF(DATOS_[[AGRUP. VALOR. PTO.]:[AGRUP. VALOR. PTO.]]=$B30,IF(DATOS_[[Check Periodo Ref.]:[Check Periodo Ref.]]="Dentro",IF(DATOS_[[Check Equiparado]:[Check Equiparado]]="Sí",IF(DATOS!AN$4="Sí",(1/DATOS_[[% anualiz]:[% anualiz]]),1)*IF(DATOS!AN$5="Sí",1/DATOS_[[% normaliz]:[% normaliz]],1)*(DATOS_[Conc.Sal.10])))))))), 0)</f>
        <v>0</v>
      </c>
      <c r="T31" s="302" t="n">
        <f aca="false" t="array" ref="T31:T31">IFERROR( (AVERAGE((IF(DATOS_[[Sexo]:[Sexo]]=$B31,IF(DATOS_[[AGRUP. VALOR. PTO.]:[AGRUP. VALOR. PTO.]]=$B30,IF(DATOS_[[Check Periodo Ref.]:[Check Periodo Ref.]]="Dentro",IF(DATOS_[[Check Equiparado]:[Check Equiparado]]="Sí",IF(DATOS!AO$4="Sí",(1/DATOS_[[% anualiz]:[% anualiz]]),1)*IF(DATOS!AO$5="Sí",1/DATOS_[[% normaliz]:[% normaliz]],1)*(DATOS_[Conc.Sal.11])))))))), 0)</f>
        <v>0</v>
      </c>
      <c r="U31" s="302" t="n">
        <f aca="false" t="array" ref="U31:U31">IFERROR( (AVERAGE((IF(DATOS_[[Sexo]:[Sexo]]=$B31,IF(DATOS_[[AGRUP. VALOR. PTO.]:[AGRUP. VALOR. PTO.]]=$B30,IF(DATOS_[[Check Periodo Ref.]:[Check Periodo Ref.]]="Dentro",IF(DATOS_[[Check Equiparado]:[Check Equiparado]]="Sí",IF(DATOS!AP$4="Sí",(1/DATOS_[[% anualiz]:[% anualiz]]),1)*IF(DATOS!AP$5="Sí",1/DATOS_[[% normaliz]:[% normaliz]],1)*(DATOS_[Conc.Sal.12])))))))), 0)</f>
        <v>0</v>
      </c>
      <c r="V31" s="302" t="n">
        <f aca="false" t="array" ref="V31:V31">IFERROR( (AVERAGE((IF(DATOS_[[Sexo]:[Sexo]]=$B31,IF(DATOS_[[AGRUP. VALOR. PTO.]:[AGRUP. VALOR. PTO.]]=$B30,IF(DATOS_[[Check Periodo Ref.]:[Check Periodo Ref.]]="Dentro",IF(DATOS_[[Check Equiparado]:[Check Equiparado]]="Sí",IF(DATOS!AQ$4="Sí",(1/DATOS_[[% anualiz]:[% anualiz]]),1)*IF(DATOS!AQ$5="Sí",1/DATOS_[[% normaliz]:[% normaliz]],1)*(DATOS_[Conc.Sal.13])))))))), 0)</f>
        <v>0</v>
      </c>
      <c r="W31" s="302" t="n">
        <f aca="false" t="array" ref="W31:W31">IFERROR( (AVERAGE((IF(DATOS_[[Sexo]:[Sexo]]=$B31,IF(DATOS_[[AGRUP. VALOR. PTO.]:[AGRUP. VALOR. PTO.]]=$B30,IF(DATOS_[[Check Periodo Ref.]:[Check Periodo Ref.]]="Dentro",IF(DATOS_[[Check Equiparado]:[Check Equiparado]]="Sí",IF(DATOS!AR$4="Sí",(1/DATOS_[[% anualiz]:[% anualiz]]),1)*IF(DATOS!AR$5="Sí",1/DATOS_[[% normaliz]:[% normaliz]],1)*(DATOS_[Conc.Sal.14])))))))), 0)</f>
        <v>0</v>
      </c>
      <c r="X31" s="302" t="n">
        <f aca="false" t="array" ref="X31:X31">IFERROR( (AVERAGE((IF(DATOS_[[Sexo]:[Sexo]]=$B31,IF(DATOS_[[AGRUP. VALOR. PTO.]:[AGRUP. VALOR. PTO.]]=$B30,IF(DATOS_[[Check Periodo Ref.]:[Check Periodo Ref.]]="Dentro",IF(DATOS_[[Check Equiparado]:[Check Equiparado]]="Sí",IF(DATOS!AS$4="Sí",(1/DATOS_[[% anualiz]:[% anualiz]]),1)*IF(DATOS!AS$5="Sí",1/DATOS_[[% normaliz]:[% normaliz]],1)*(DATOS_[Conc.Sal.15])))))))), 0)</f>
        <v>0</v>
      </c>
      <c r="Y31" s="302" t="n">
        <f aca="false" t="array" ref="Y31:Y31">IFERROR( (AVERAGE((IF(DATOS_[[Sexo]:[Sexo]]=$B31,IF(DATOS_[[AGRUP. VALOR. PTO.]:[AGRUP. VALOR. PTO.]]=$B30,IF(DATOS_[[Check Periodo Ref.]:[Check Periodo Ref.]]="Dentro",IF(DATOS_[[Check Equiparado]:[Check Equiparado]]="Sí",IF(DATOS!AT$4="Sí",(1/DATOS_[[% anualiz]:[% anualiz]]),1)*IF(DATOS!AT$5="Sí",1/DATOS_[[% normaliz]:[% normaliz]],1)*(DATOS_[Conc.Sal.16])))))))), 0)</f>
        <v>0</v>
      </c>
      <c r="Z31" s="302" t="n">
        <f aca="false" t="array" ref="Z31:Z31">IFERROR( (AVERAGE((IF(DATOS_[[Sexo]:[Sexo]]=$B31,IF(DATOS_[[AGRUP. VALOR. PTO.]:[AGRUP. VALOR. PTO.]]=$B30,IF(DATOS_[[Check Periodo Ref.]:[Check Periodo Ref.]]="Dentro",IF(DATOS_[[Check Equiparado]:[Check Equiparado]]="Sí",IF(DATOS!AU$4="Sí",(1/DATOS_[[% anualiz]:[% anualiz]]),1)*IF(DATOS!AU$5="Sí",1/DATOS_[[% normaliz]:[% normaliz]],1)*(DATOS_[Conc.Sal.17])))))))), 0)</f>
        <v>0</v>
      </c>
      <c r="AA31" s="302" t="n">
        <f aca="false" t="array" ref="AA31:AA31">IFERROR( (AVERAGE((IF(DATOS_[[Sexo]:[Sexo]]=$B31,IF(DATOS_[[AGRUP. VALOR. PTO.]:[AGRUP. VALOR. PTO.]]=$B30,IF(DATOS_[[Check Periodo Ref.]:[Check Periodo Ref.]]="Dentro",IF(DATOS_[[Check Equiparado]:[Check Equiparado]]="Sí",IF(DATOS!AV$4="Sí",(1/DATOS_[[% anualiz]:[% anualiz]]),1)*IF(DATOS!AV$5="Sí",1/DATOS_[[% normaliz]:[% normaliz]],1)*(DATOS_[Conc.Sal.18])))))))), 0)</f>
        <v>0</v>
      </c>
      <c r="AB31" s="302" t="n">
        <f aca="false" t="array" ref="AB31:AB31">IFERROR( (AVERAGE((IF(DATOS_[[Sexo]:[Sexo]]=$B31,IF(DATOS_[[AGRUP. VALOR. PTO.]:[AGRUP. VALOR. PTO.]]=$B30,IF(DATOS_[[Check Periodo Ref.]:[Check Periodo Ref.]]="Dentro",IF(DATOS_[[Check Equiparado]:[Check Equiparado]]="Sí",IF(DATOS!AW$4="Sí",(1/DATOS_[[% anualiz]:[% anualiz]]),1)*IF(DATOS!AW$5="Sí",1/DATOS_[[% normaliz]:[% normaliz]],1)*(DATOS_[Conc.Sal.19])))))))), 0)</f>
        <v>0</v>
      </c>
      <c r="AC31" s="302" t="n">
        <f aca="false" t="array" ref="AC31:AC31">IFERROR( (AVERAGE((IF(DATOS_[[Sexo]:[Sexo]]=$B31,IF(DATOS_[[AGRUP. VALOR. PTO.]:[AGRUP. VALOR. PTO.]]=$B30,IF(DATOS_[[Check Periodo Ref.]:[Check Periodo Ref.]]="Dentro",IF(DATOS_[[Check Equiparado]:[Check Equiparado]]="Sí",IF(DATOS!AX$4="Sí",(1/DATOS_[[% anualiz]:[% anualiz]]),1)*IF(DATOS!AX$5="Sí",1/DATOS_[[% normaliz]:[% normaliz]],1)*(DATOS_[Conc.Sal.20])))))))), 0)</f>
        <v>0</v>
      </c>
      <c r="AD31" s="302" t="n">
        <f aca="false" t="array" ref="AD31:AD31">IFERROR( (AVERAGE((IF(DATOS_[[Sexo]:[Sexo]]=$B31,IF(DATOS_[[AGRUP. VALOR. PTO.]:[AGRUP. VALOR. PTO.]]=$B30,IF(DATOS_[[Check Periodo Ref.]:[Check Periodo Ref.]]="Dentro",IF(DATOS_[[Check Equiparado]:[Check Equiparado]]="Sí",IF(DATOS!AY$4="Sí",(1/DATOS_[[% anualiz]:[% anualiz]]),1)*IF(DATOS!AY$5="Sí",1/DATOS_[[% normaliz]:[% normaliz]],1)*(DATOS_[Conc.Sal.21])))))))), 0)</f>
        <v>0</v>
      </c>
      <c r="AE31" s="302" t="n">
        <f aca="false" t="array" ref="AE31:AE31">IFERROR( (AVERAGE((IF(DATOS_[[Sexo]:[Sexo]]=$B31,IF(DATOS_[[AGRUP. VALOR. PTO.]:[AGRUP. VALOR. PTO.]]=$B30,IF(DATOS_[[Check Periodo Ref.]:[Check Periodo Ref.]]="Dentro",IF(DATOS_[[Check Equiparado]:[Check Equiparado]]="Sí",IF(DATOS!AZ$4="Sí",(1/DATOS_[[% anualiz]:[% anualiz]]),1)*IF(DATOS!AZ$5="Sí",1/DATOS_[[% normaliz]:[% normaliz]],1)*(DATOS_[Conc.Sal.22])))))))), 0)</f>
        <v>0</v>
      </c>
      <c r="AF31" s="302" t="n">
        <f aca="false" t="array" ref="AF31:AF31">IFERROR( (AVERAGE((IF(DATOS_[[Sexo]:[Sexo]]=$B31,IF(DATOS_[[AGRUP. VALOR. PTO.]:[AGRUP. VALOR. PTO.]]=$B30,IF(DATOS_[[Check Periodo Ref.]:[Check Periodo Ref.]]="Dentro",IF(DATOS_[[Check Equiparado]:[Check Equiparado]]="Sí",IF(DATOS!BA$4="Sí",(1/DATOS_[[% anualiz]:[% anualiz]]),1)*IF(DATOS!BA$5="Sí",1/DATOS_[[% normaliz]:[% normaliz]],1)*(DATOS_[Conc.Sal.23])))))))), 0)</f>
        <v>0</v>
      </c>
      <c r="AG31" s="302" t="n">
        <f aca="false" t="array" ref="AG31:AG31">IFERROR( (AVERAGE((IF(DATOS_[[Sexo]:[Sexo]]=$B31,IF(DATOS_[[AGRUP. VALOR. PTO.]:[AGRUP. VALOR. PTO.]]=$B30,IF(DATOS_[[Check Periodo Ref.]:[Check Periodo Ref.]]="Dentro",IF(DATOS_[[Check Equiparado]:[Check Equiparado]]="Sí",IF(DATOS!BB$4="Sí",(1/DATOS_[[% anualiz]:[% anualiz]]),1)*IF(DATOS!BB$5="Sí",1/DATOS_[[% normaliz]:[% normaliz]],1)*(DATOS_[Conc.Sal.24])))))))), 0)</f>
        <v>0</v>
      </c>
      <c r="AH31" s="302" t="n">
        <f aca="false" t="array" ref="AH31:AH31">IFERROR( (AVERAGE((IF(DATOS_[[Sexo]:[Sexo]]=$B31,IF(DATOS_[[AGRUP. VALOR. PTO.]:[AGRUP. VALOR. PTO.]]=$B30,IF(DATOS_[[Check Periodo Ref.]:[Check Periodo Ref.]]="Dentro",IF(DATOS_[[Check Equiparado]:[Check Equiparado]]="Sí",IF(DATOS!BC$4="Sí",(1/DATOS_[[% anualiz]:[% anualiz]]),1)*IF(DATOS!BC$5="Sí",1/DATOS_[[% normaliz]:[% normaliz]],1)*(DATOS_[Conc.Sal.25])))))))), 0)</f>
        <v>0</v>
      </c>
      <c r="AI31" s="302" t="n">
        <f aca="false" t="array" ref="AI31:AI31">IFERROR( (AVERAGE((IF(DATOS_[[Sexo]:[Sexo]]=$B31,IF(DATOS_[[AGRUP. VALOR. PTO.]:[AGRUP. VALOR. PTO.]]=$B30,IF(DATOS_[[Check Periodo Ref.]:[Check Periodo Ref.]]="Dentro",IF(DATOS_[[Check Equiparado]:[Check Equiparado]]="Sí",IF(DATOS!BD$4="Sí",(1/DATOS_[[% anualiz]:[% anualiz]]),1)*IF(DATOS!BD$5="Sí",1/DATOS_[[% normaliz]:[% normaliz]],1)*(DATOS_[Conc.Sal.26])))))))), 0)</f>
        <v>0</v>
      </c>
      <c r="AJ31" s="302" t="n">
        <f aca="false" t="array" ref="AJ31:AJ31">IFERROR( (AVERAGE((IF(DATOS_[[Sexo]:[Sexo]]=$B31,IF(DATOS_[[AGRUP. VALOR. PTO.]:[AGRUP. VALOR. PTO.]]=$B30,IF(DATOS_[[Check Periodo Ref.]:[Check Periodo Ref.]]="Dentro",IF(DATOS_[[Check Equiparado]:[Check Equiparado]]="Sí",IF(DATOS!BE$4="Sí",(1/DATOS_[[% anualiz]:[% anualiz]]),1)*IF(DATOS!BE$5="Sí",1/DATOS_[[% normaliz]:[% normaliz]],1)*(DATOS_[Conc.Sal.27])))))))), 0)</f>
        <v>0</v>
      </c>
      <c r="AK31" s="302" t="n">
        <f aca="false" t="array" ref="AK31:AK31">IFERROR( (AVERAGE((IF(DATOS_[[Sexo]:[Sexo]]=$B31,IF(DATOS_[[AGRUP. VALOR. PTO.]:[AGRUP. VALOR. PTO.]]=$B30,IF(DATOS_[[Check Periodo Ref.]:[Check Periodo Ref.]]="Dentro",IF(DATOS_[[Check Equiparado]:[Check Equiparado]]="Sí",IF(DATOS!BF$4="Sí",(1/DATOS_[[% anualiz]:[% anualiz]]),1)*IF(DATOS!BF$5="Sí",1/DATOS_[[% normaliz]:[% normaliz]],1)*(DATOS_[Conc.Sal.28])))))))), 0)</f>
        <v>0</v>
      </c>
      <c r="AL31" s="302" t="n">
        <f aca="false" t="array" ref="AL31:AL31">IFERROR( (AVERAGE((IF(DATOS_[[Sexo]:[Sexo]]=$B31,IF(DATOS_[[AGRUP. VALOR. PTO.]:[AGRUP. VALOR. PTO.]]=$B30,IF(DATOS_[[Check Periodo Ref.]:[Check Periodo Ref.]]="Dentro",IF(DATOS_[[Check Equiparado]:[Check Equiparado]]="Sí",IF(DATOS!BG$4="Sí",(1/DATOS_[[% anualiz]:[% anualiz]]),1)*IF(DATOS!BG$5="Sí",1/DATOS_[[% normaliz]:[% normaliz]],1)*(DATOS_[Conc.Sal.29])))))))), 0)</f>
        <v>0</v>
      </c>
      <c r="AM31" s="302" t="n">
        <f aca="false" t="array" ref="AM31:AM31">IFERROR( (AVERAGE((IF(DATOS_[[Sexo]:[Sexo]]=$B31,IF(DATOS_[[AGRUP. VALOR. PTO.]:[AGRUP. VALOR. PTO.]]=$B30,IF(DATOS_[[Check Periodo Ref.]:[Check Periodo Ref.]]="Dentro",IF(DATOS_[[Check Equiparado]:[Check Equiparado]]="Sí",IF(DATOS!BH$4="Sí",(1/DATOS_[[% anualiz]:[% anualiz]]),1)*IF(DATOS!BH$5="Sí",1/DATOS_[[% normaliz]:[% normaliz]],1)*(DATOS_[Conc.Sal.30])))))))), 0)</f>
        <v>0</v>
      </c>
      <c r="AN31" s="294" t="n">
        <f aca="false" t="array" ref="AN31:AN31">IFERROR( AVERAGE(IF(DATOS_[Sexo]=$B31,IF(DATOS_[[AGRUP. VALOR. PTO.]:[AGRUP. VALOR. PTO.]]=$B30,IF(DATOS_[Check Equiparado]="Sí",IF(DATOS_[Check Periodo Ref.]="Dentro",DATOS_[Tot COMPL.SAL Eq],0))))), 0)</f>
        <v>0</v>
      </c>
      <c r="AO31" s="295" t="n">
        <f aca="false" t="array" ref="AO31:AO31">IFERROR( AVERAGE(IF(DATOS_[Sexo]=$B31,IF(DATOS_[[AGRUP. VALOR. PTO.]:[AGRUP. VALOR. PTO.]]=$B30,IF(DATOS_[Check Equiparado]="Sí",IF(DATOS_[Check Periodo Ref.]="Dentro",DATOS_[TOTAL SALARIO Eq],0))))), 0)</f>
        <v>0</v>
      </c>
      <c r="AP31" s="303" t="n">
        <f aca="false" t="array" ref="AP31:AP31">IFERROR( (AVERAGE((IF(DATOS_[[Sexo]:[Sexo]]=$B31,IF(DATOS_[[AGRUP. VALOR. PTO.]:[AGRUP. VALOR. PTO.]]=$B30,IF(DATOS_[[Check Periodo Ref.]:[Check Periodo Ref.]]="Dentro",IF(DATOS_[[Check Equiparado]:[Check Equiparado]]="Sí",IF(DATOS!BI$4="Sí",(1/DATOS_[[% anualiz]:[% anualiz]]),1)*IF(DATOS!BI$5="Sí",1/DATOS_[[% normaliz]:[% normaliz]],1)*(DATOS_[C.Extra.01])))))))), 0)</f>
        <v>0</v>
      </c>
      <c r="AQ31" s="303" t="n">
        <f aca="false" t="array" ref="AQ31:AQ31">IFERROR( (AVERAGE((IF(DATOS_[[Sexo]:[Sexo]]=$B31,IF(DATOS_[[AGRUP. VALOR. PTO.]:[AGRUP. VALOR. PTO.]]=$B30,IF(DATOS_[[Check Periodo Ref.]:[Check Periodo Ref.]]="Dentro",IF(DATOS_[[Check Equiparado]:[Check Equiparado]]="Sí",IF(DATOS!BJ$4="Sí",(1/DATOS_[[% anualiz]:[% anualiz]]),1)*IF(DATOS!BJ$5="Sí",1/DATOS_[[% normaliz]:[% normaliz]],1)*(DATOS_[C.Extra.02])))))))), 0)</f>
        <v>0</v>
      </c>
      <c r="AR31" s="303" t="n">
        <f aca="false" t="array" ref="AR31:AR31">IFERROR( (AVERAGE((IF(DATOS_[[Sexo]:[Sexo]]=$B31,IF(DATOS_[[AGRUP. VALOR. PTO.]:[AGRUP. VALOR. PTO.]]=$B30,IF(DATOS_[[Check Periodo Ref.]:[Check Periodo Ref.]]="Dentro",IF(DATOS_[[Check Equiparado]:[Check Equiparado]]="Sí",IF(DATOS!BK$4="Sí",(1/DATOS_[[% anualiz]:[% anualiz]]),1)*IF(DATOS!BK$5="Sí",1/DATOS_[[% normaliz]:[% normaliz]],1)*(DATOS_[C.Extra.03])))))))), 0)</f>
        <v>0</v>
      </c>
      <c r="AS31" s="303" t="n">
        <f aca="false" t="array" ref="AS31:AS31">IFERROR( (AVERAGE((IF(DATOS_[[Sexo]:[Sexo]]=$B31,IF(DATOS_[[AGRUP. VALOR. PTO.]:[AGRUP. VALOR. PTO.]]=$B30,IF(DATOS_[[Check Periodo Ref.]:[Check Periodo Ref.]]="Dentro",IF(DATOS_[[Check Equiparado]:[Check Equiparado]]="Sí",IF(DATOS!BL$4="Sí",(1/DATOS_[[% anualiz]:[% anualiz]]),1)*IF(DATOS!BL$5="Sí",1/DATOS_[[% normaliz]:[% normaliz]],1)*(DATOS_[C.Extra.04])))))))), 0)</f>
        <v>0</v>
      </c>
      <c r="AT31" s="303" t="n">
        <f aca="false" t="array" ref="AT31:AT31">IFERROR( (AVERAGE((IF(DATOS_[[Sexo]:[Sexo]]=$B31,IF(DATOS_[[AGRUP. VALOR. PTO.]:[AGRUP. VALOR. PTO.]]=$B30,IF(DATOS_[[Check Periodo Ref.]:[Check Periodo Ref.]]="Dentro",IF(DATOS_[[Check Equiparado]:[Check Equiparado]]="Sí",IF(DATOS!BM$4="Sí",(1/DATOS_[[% anualiz]:[% anualiz]]),1)*IF(DATOS!BM$5="Sí",1/DATOS_[[% normaliz]:[% normaliz]],1)*(DATOS_[C.Extra.05])))))))), 0)</f>
        <v>0</v>
      </c>
      <c r="AU31" s="297" t="n">
        <f aca="false" t="array" ref="AU31:AU31">IFERROR( AVERAGE(IF(DATOS_[Sexo]=$B31,IF(DATOS_[[AGRUP. VALOR. PTO.]:[AGRUP. VALOR. PTO.]]=$B30,IF(DATOS_[Check Equiparado]="Sí",IF(DATOS_[Check Periodo Ref.]="Dentro",DATOS_[Tot Extrasalarial Eq],0))))), 0)</f>
        <v>0</v>
      </c>
      <c r="AV31" s="298" t="n">
        <f aca="false" t="array" ref="AV31:AV31">IFERROR( AVERAGE(IF(DATOS_[Sexo]=$B31,IF(DATOS_[[AGRUP. VALOR. PTO.]:[AGRUP. VALOR. PTO.]]=$B30,IF(DATOS_[Check Equiparado]="Sí",IF(DATOS_[Check Periodo Ref.]="Dentro",DATOS_[TOTAL Retrib Eq],0))))), 0)</f>
        <v>0</v>
      </c>
    </row>
    <row r="32" customFormat="false" ht="14.25" hidden="false" customHeight="false" outlineLevel="0" collapsed="false">
      <c r="A32" s="166" t="str">
        <f aca="false">+A31</f>
        <v>[ocultar]</v>
      </c>
      <c r="B32" s="289" t="s">
        <v>372</v>
      </c>
      <c r="C32" s="290" t="n">
        <f aca="false" t="array" ref="C32:C32">SUM(IF($B32=DATOS_[Sexo], IF($B30=DATOS_[AGRUP. VALOR. PTO.], IF("Dentro"=DATOS_[Check Periodo Ref.], 1/(COUNTIFS(DATOS_[Sexo],$B32,DATOS_[AGRUP. VALOR. PTO.],$B30,DATOS_[Check Periodo Ref.],"Dentro",DATOS_[id],DATOS_[id]))))))</f>
        <v>0</v>
      </c>
      <c r="D32" s="291" t="n">
        <f aca="false">COUNTIFS(DATOS_[AGRUP. VALOR. PTO.],$B30,DATOS_[Sexo],$B32,DATOS_[Check Periodo Ref.],"Dentro")</f>
        <v>0</v>
      </c>
      <c r="E32" s="291" t="n">
        <f aca="false">COUNTIFS(DATOS_[AGRUP. VALOR. PTO.],$B30,DATOS_[Sexo],$B32,DATOS_[Check Periodo Ref.],"Dentro",DATOS_[Check Nº SC Norm],"Sí")</f>
        <v>0</v>
      </c>
      <c r="F32" s="291" t="n">
        <f aca="false">COUNTIFS(DATOS_[AGRUP. VALOR. PTO.],$B30,DATOS_[Sexo],$B32,DATOS_[Check Periodo Ref.],"Dentro",DATOS_[Check Nº SC Anualiz],"Sí")</f>
        <v>0</v>
      </c>
      <c r="G32" s="291" t="n">
        <f aca="false">COUNTIFS(DATOS_[AGRUP. VALOR. PTO.],$B30,DATOS_[Sexo],$B32,DATOS_[Check Periodo Ref.],"Dentro",DATOS_[Check Nº SC Norm y Anualiz],"Sí")</f>
        <v>0</v>
      </c>
      <c r="H32" s="291" t="n">
        <f aca="false">COUNTIFS(DATOS_[AGRUP. VALOR. PTO.],$B30,DATOS_[Sexo],$B32,DATOS_[Check Periodo Ref.],"Dentro",DATOS_[Check Equiparación],"Sí")</f>
        <v>0</v>
      </c>
      <c r="I32" s="292" t="n">
        <f aca="false" t="array" ref="I32:I32">IFERROR( AVERAGE(IF(DATOS_[Sexo]=$B32,IF(DATOS_[[AGRUP. VALOR. PTO.]:[AGRUP. VALOR. PTO.]]=$B30,IF(DATOS_[Check Equiparado]="Sí",IF(DATOS_[Check Periodo Ref.]="Dentro",DATOS_[SALARIO BASE Eq],0))))), 0)</f>
        <v>0</v>
      </c>
      <c r="J32" s="302" t="n">
        <f aca="false" t="array" ref="J32:J32">IFERROR( (AVERAGE((IF(DATOS_[[Sexo]:[Sexo]]=$B32,IF(DATOS_[[AGRUP. VALOR. PTO.]:[AGRUP. VALOR. PTO.]]=$B30,IF(DATOS_[[Check Periodo Ref.]:[Check Periodo Ref.]]="Dentro",IF(DATOS_[[Check Equiparado]:[Check Equiparado]]="Sí",IF(DATOS!AE$4="Sí",(1/DATOS_[[% anualiz]:[% anualiz]]),1)*IF(DATOS!AE$5="Sí",1/DATOS_[[% normaliz]:[% normaliz]],1)*(DATOS_[Conc.Sal.01])))))))), 0)</f>
        <v>0</v>
      </c>
      <c r="K32" s="302" t="n">
        <f aca="false" t="array" ref="K32:K32">IFERROR( (AVERAGE((IF(DATOS_[[Sexo]:[Sexo]]=$B32,IF(DATOS_[[AGRUP. VALOR. PTO.]:[AGRUP. VALOR. PTO.]]=$B30,IF(DATOS_[[Check Periodo Ref.]:[Check Periodo Ref.]]="Dentro",IF(DATOS_[[Check Equiparado]:[Check Equiparado]]="Sí",IF(DATOS!AF$4="Sí",(1/DATOS_[[% anualiz]:[% anualiz]]),1)*IF(DATOS!AF$5="Sí",1/DATOS_[[% normaliz]:[% normaliz]],1)*(DATOS_[Conc.Sal.02])))))))), 0)</f>
        <v>0</v>
      </c>
      <c r="L32" s="302" t="n">
        <f aca="false" t="array" ref="L32:L32">IFERROR( (AVERAGE((IF(DATOS_[[Sexo]:[Sexo]]=$B32,IF(DATOS_[[AGRUP. VALOR. PTO.]:[AGRUP. VALOR. PTO.]]=$B30,IF(DATOS_[[Check Periodo Ref.]:[Check Periodo Ref.]]="Dentro",IF(DATOS_[[Check Equiparado]:[Check Equiparado]]="Sí",IF(DATOS!AG$4="Sí",(1/DATOS_[[% anualiz]:[% anualiz]]),1)*IF(DATOS!AG$5="Sí",1/DATOS_[[% normaliz]:[% normaliz]],1)*(DATOS_[Conc.Sal.03])))))))), 0)</f>
        <v>0</v>
      </c>
      <c r="M32" s="302" t="n">
        <f aca="false" t="array" ref="M32:M32">IFERROR( (AVERAGE((IF(DATOS_[[Sexo]:[Sexo]]=$B32,IF(DATOS_[[AGRUP. VALOR. PTO.]:[AGRUP. VALOR. PTO.]]=$B30,IF(DATOS_[[Check Periodo Ref.]:[Check Periodo Ref.]]="Dentro",IF(DATOS_[[Check Equiparado]:[Check Equiparado]]="Sí",IF(DATOS!AH$4="Sí",(1/DATOS_[[% anualiz]:[% anualiz]]),1)*IF(DATOS!AH$5="Sí",1/DATOS_[[% normaliz]:[% normaliz]],1)*(DATOS_[Conc.Sal.04])))))))), 0)</f>
        <v>0</v>
      </c>
      <c r="N32" s="302" t="n">
        <f aca="false" t="array" ref="N32:N32">IFERROR( (AVERAGE((IF(DATOS_[[Sexo]:[Sexo]]=$B32,IF(DATOS_[[AGRUP. VALOR. PTO.]:[AGRUP. VALOR. PTO.]]=$B30,IF(DATOS_[[Check Periodo Ref.]:[Check Periodo Ref.]]="Dentro",IF(DATOS_[[Check Equiparado]:[Check Equiparado]]="Sí",IF(DATOS!AI$4="Sí",(1/DATOS_[[% anualiz]:[% anualiz]]),1)*IF(DATOS!AI$5="Sí",1/DATOS_[[% normaliz]:[% normaliz]],1)*(DATOS_[Conc.Sal.05])))))))), 0)</f>
        <v>0</v>
      </c>
      <c r="O32" s="302" t="n">
        <f aca="false" t="array" ref="O32:O32">IFERROR( (AVERAGE((IF(DATOS_[[Sexo]:[Sexo]]=$B32,IF(DATOS_[[AGRUP. VALOR. PTO.]:[AGRUP. VALOR. PTO.]]=$B30,IF(DATOS_[[Check Periodo Ref.]:[Check Periodo Ref.]]="Dentro",IF(DATOS_[[Check Equiparado]:[Check Equiparado]]="Sí",IF(DATOS!AJ$4="Sí",(1/DATOS_[[% anualiz]:[% anualiz]]),1)*IF(DATOS!AJ$5="Sí",1/DATOS_[[% normaliz]:[% normaliz]],1)*(DATOS_[Conc.Sal.06])))))))), 0)</f>
        <v>0</v>
      </c>
      <c r="P32" s="302" t="n">
        <f aca="false" t="array" ref="P32:P32">IFERROR( (AVERAGE((IF(DATOS_[[Sexo]:[Sexo]]=$B32,IF(DATOS_[[AGRUP. VALOR. PTO.]:[AGRUP. VALOR. PTO.]]=$B30,IF(DATOS_[[Check Periodo Ref.]:[Check Periodo Ref.]]="Dentro",IF(DATOS_[[Check Equiparado]:[Check Equiparado]]="Sí",IF(DATOS!AK$4="Sí",(1/DATOS_[[% anualiz]:[% anualiz]]),1)*IF(DATOS!AK$5="Sí",1/DATOS_[[% normaliz]:[% normaliz]],1)*(DATOS_[Conc.Sal.07])))))))), 0)</f>
        <v>0</v>
      </c>
      <c r="Q32" s="302" t="n">
        <f aca="false" t="array" ref="Q32:Q32">IFERROR( (AVERAGE((IF(DATOS_[[Sexo]:[Sexo]]=$B32,IF(DATOS_[[AGRUP. VALOR. PTO.]:[AGRUP. VALOR. PTO.]]=$B30,IF(DATOS_[[Check Periodo Ref.]:[Check Periodo Ref.]]="Dentro",IF(DATOS_[[Check Equiparado]:[Check Equiparado]]="Sí",IF(DATOS!AL$4="Sí",(1/DATOS_[[% anualiz]:[% anualiz]]),1)*IF(DATOS!AL$5="Sí",1/DATOS_[[% normaliz]:[% normaliz]],1)*(DATOS_[Conc.Sal.08])))))))), 0)</f>
        <v>0</v>
      </c>
      <c r="R32" s="302" t="n">
        <f aca="false" t="array" ref="R32:R32">IFERROR( (AVERAGE((IF(DATOS_[[Sexo]:[Sexo]]=$B32,IF(DATOS_[[AGRUP. VALOR. PTO.]:[AGRUP. VALOR. PTO.]]=$B30,IF(DATOS_[[Check Periodo Ref.]:[Check Periodo Ref.]]="Dentro",IF(DATOS_[[Check Equiparado]:[Check Equiparado]]="Sí",IF(DATOS!AM$4="Sí",(1/DATOS_[[% anualiz]:[% anualiz]]),1)*IF(DATOS!AM$5="Sí",1/DATOS_[[% normaliz]:[% normaliz]],1)*(DATOS_[Conc.Sal.09])))))))), 0)</f>
        <v>0</v>
      </c>
      <c r="S32" s="302" t="n">
        <f aca="false" t="array" ref="S32:S32">IFERROR( (AVERAGE((IF(DATOS_[[Sexo]:[Sexo]]=$B32,IF(DATOS_[[AGRUP. VALOR. PTO.]:[AGRUP. VALOR. PTO.]]=$B30,IF(DATOS_[[Check Periodo Ref.]:[Check Periodo Ref.]]="Dentro",IF(DATOS_[[Check Equiparado]:[Check Equiparado]]="Sí",IF(DATOS!AN$4="Sí",(1/DATOS_[[% anualiz]:[% anualiz]]),1)*IF(DATOS!AN$5="Sí",1/DATOS_[[% normaliz]:[% normaliz]],1)*(DATOS_[Conc.Sal.10])))))))), 0)</f>
        <v>0</v>
      </c>
      <c r="T32" s="302" t="n">
        <f aca="false" t="array" ref="T32:T32">IFERROR( (AVERAGE((IF(DATOS_[[Sexo]:[Sexo]]=$B32,IF(DATOS_[[AGRUP. VALOR. PTO.]:[AGRUP. VALOR. PTO.]]=$B30,IF(DATOS_[[Check Periodo Ref.]:[Check Periodo Ref.]]="Dentro",IF(DATOS_[[Check Equiparado]:[Check Equiparado]]="Sí",IF(DATOS!AO$4="Sí",(1/DATOS_[[% anualiz]:[% anualiz]]),1)*IF(DATOS!AO$5="Sí",1/DATOS_[[% normaliz]:[% normaliz]],1)*(DATOS_[Conc.Sal.11])))))))), 0)</f>
        <v>0</v>
      </c>
      <c r="U32" s="302" t="n">
        <f aca="false" t="array" ref="U32:U32">IFERROR( (AVERAGE((IF(DATOS_[[Sexo]:[Sexo]]=$B32,IF(DATOS_[[AGRUP. VALOR. PTO.]:[AGRUP. VALOR. PTO.]]=$B30,IF(DATOS_[[Check Periodo Ref.]:[Check Periodo Ref.]]="Dentro",IF(DATOS_[[Check Equiparado]:[Check Equiparado]]="Sí",IF(DATOS!AP$4="Sí",(1/DATOS_[[% anualiz]:[% anualiz]]),1)*IF(DATOS!AP$5="Sí",1/DATOS_[[% normaliz]:[% normaliz]],1)*(DATOS_[Conc.Sal.12])))))))), 0)</f>
        <v>0</v>
      </c>
      <c r="V32" s="302" t="n">
        <f aca="false" t="array" ref="V32:V32">IFERROR( (AVERAGE((IF(DATOS_[[Sexo]:[Sexo]]=$B32,IF(DATOS_[[AGRUP. VALOR. PTO.]:[AGRUP. VALOR. PTO.]]=$B30,IF(DATOS_[[Check Periodo Ref.]:[Check Periodo Ref.]]="Dentro",IF(DATOS_[[Check Equiparado]:[Check Equiparado]]="Sí",IF(DATOS!AQ$4="Sí",(1/DATOS_[[% anualiz]:[% anualiz]]),1)*IF(DATOS!AQ$5="Sí",1/DATOS_[[% normaliz]:[% normaliz]],1)*(DATOS_[Conc.Sal.13])))))))), 0)</f>
        <v>0</v>
      </c>
      <c r="W32" s="302" t="n">
        <f aca="false" t="array" ref="W32:W32">IFERROR( (AVERAGE((IF(DATOS_[[Sexo]:[Sexo]]=$B32,IF(DATOS_[[AGRUP. VALOR. PTO.]:[AGRUP. VALOR. PTO.]]=$B30,IF(DATOS_[[Check Periodo Ref.]:[Check Periodo Ref.]]="Dentro",IF(DATOS_[[Check Equiparado]:[Check Equiparado]]="Sí",IF(DATOS!AR$4="Sí",(1/DATOS_[[% anualiz]:[% anualiz]]),1)*IF(DATOS!AR$5="Sí",1/DATOS_[[% normaliz]:[% normaliz]],1)*(DATOS_[Conc.Sal.14])))))))), 0)</f>
        <v>0</v>
      </c>
      <c r="X32" s="302" t="n">
        <f aca="false" t="array" ref="X32:X32">IFERROR( (AVERAGE((IF(DATOS_[[Sexo]:[Sexo]]=$B32,IF(DATOS_[[AGRUP. VALOR. PTO.]:[AGRUP. VALOR. PTO.]]=$B30,IF(DATOS_[[Check Periodo Ref.]:[Check Periodo Ref.]]="Dentro",IF(DATOS_[[Check Equiparado]:[Check Equiparado]]="Sí",IF(DATOS!AS$4="Sí",(1/DATOS_[[% anualiz]:[% anualiz]]),1)*IF(DATOS!AS$5="Sí",1/DATOS_[[% normaliz]:[% normaliz]],1)*(DATOS_[Conc.Sal.15])))))))), 0)</f>
        <v>0</v>
      </c>
      <c r="Y32" s="302" t="n">
        <f aca="false" t="array" ref="Y32:Y32">IFERROR( (AVERAGE((IF(DATOS_[[Sexo]:[Sexo]]=$B32,IF(DATOS_[[AGRUP. VALOR. PTO.]:[AGRUP. VALOR. PTO.]]=$B30,IF(DATOS_[[Check Periodo Ref.]:[Check Periodo Ref.]]="Dentro",IF(DATOS_[[Check Equiparado]:[Check Equiparado]]="Sí",IF(DATOS!AT$4="Sí",(1/DATOS_[[% anualiz]:[% anualiz]]),1)*IF(DATOS!AT$5="Sí",1/DATOS_[[% normaliz]:[% normaliz]],1)*(DATOS_[Conc.Sal.16])))))))), 0)</f>
        <v>0</v>
      </c>
      <c r="Z32" s="302" t="n">
        <f aca="false" t="array" ref="Z32:Z32">IFERROR( (AVERAGE((IF(DATOS_[[Sexo]:[Sexo]]=$B32,IF(DATOS_[[AGRUP. VALOR. PTO.]:[AGRUP. VALOR. PTO.]]=$B30,IF(DATOS_[[Check Periodo Ref.]:[Check Periodo Ref.]]="Dentro",IF(DATOS_[[Check Equiparado]:[Check Equiparado]]="Sí",IF(DATOS!AU$4="Sí",(1/DATOS_[[% anualiz]:[% anualiz]]),1)*IF(DATOS!AU$5="Sí",1/DATOS_[[% normaliz]:[% normaliz]],1)*(DATOS_[Conc.Sal.17])))))))), 0)</f>
        <v>0</v>
      </c>
      <c r="AA32" s="302" t="n">
        <f aca="false" t="array" ref="AA32:AA32">IFERROR( (AVERAGE((IF(DATOS_[[Sexo]:[Sexo]]=$B32,IF(DATOS_[[AGRUP. VALOR. PTO.]:[AGRUP. VALOR. PTO.]]=$B30,IF(DATOS_[[Check Periodo Ref.]:[Check Periodo Ref.]]="Dentro",IF(DATOS_[[Check Equiparado]:[Check Equiparado]]="Sí",IF(DATOS!AV$4="Sí",(1/DATOS_[[% anualiz]:[% anualiz]]),1)*IF(DATOS!AV$5="Sí",1/DATOS_[[% normaliz]:[% normaliz]],1)*(DATOS_[Conc.Sal.18])))))))), 0)</f>
        <v>0</v>
      </c>
      <c r="AB32" s="302" t="n">
        <f aca="false" t="array" ref="AB32:AB32">IFERROR( (AVERAGE((IF(DATOS_[[Sexo]:[Sexo]]=$B32,IF(DATOS_[[AGRUP. VALOR. PTO.]:[AGRUP. VALOR. PTO.]]=$B30,IF(DATOS_[[Check Periodo Ref.]:[Check Periodo Ref.]]="Dentro",IF(DATOS_[[Check Equiparado]:[Check Equiparado]]="Sí",IF(DATOS!AW$4="Sí",(1/DATOS_[[% anualiz]:[% anualiz]]),1)*IF(DATOS!AW$5="Sí",1/DATOS_[[% normaliz]:[% normaliz]],1)*(DATOS_[Conc.Sal.19])))))))), 0)</f>
        <v>0</v>
      </c>
      <c r="AC32" s="302" t="n">
        <f aca="false" t="array" ref="AC32:AC32">IFERROR( (AVERAGE((IF(DATOS_[[Sexo]:[Sexo]]=$B32,IF(DATOS_[[AGRUP. VALOR. PTO.]:[AGRUP. VALOR. PTO.]]=$B30,IF(DATOS_[[Check Periodo Ref.]:[Check Periodo Ref.]]="Dentro",IF(DATOS_[[Check Equiparado]:[Check Equiparado]]="Sí",IF(DATOS!AX$4="Sí",(1/DATOS_[[% anualiz]:[% anualiz]]),1)*IF(DATOS!AX$5="Sí",1/DATOS_[[% normaliz]:[% normaliz]],1)*(DATOS_[Conc.Sal.20])))))))), 0)</f>
        <v>0</v>
      </c>
      <c r="AD32" s="302" t="n">
        <f aca="false" t="array" ref="AD32:AD32">IFERROR( (AVERAGE((IF(DATOS_[[Sexo]:[Sexo]]=$B32,IF(DATOS_[[AGRUP. VALOR. PTO.]:[AGRUP. VALOR. PTO.]]=$B30,IF(DATOS_[[Check Periodo Ref.]:[Check Periodo Ref.]]="Dentro",IF(DATOS_[[Check Equiparado]:[Check Equiparado]]="Sí",IF(DATOS!AY$4="Sí",(1/DATOS_[[% anualiz]:[% anualiz]]),1)*IF(DATOS!AY$5="Sí",1/DATOS_[[% normaliz]:[% normaliz]],1)*(DATOS_[Conc.Sal.21])))))))), 0)</f>
        <v>0</v>
      </c>
      <c r="AE32" s="302" t="n">
        <f aca="false" t="array" ref="AE32:AE32">IFERROR( (AVERAGE((IF(DATOS_[[Sexo]:[Sexo]]=$B32,IF(DATOS_[[AGRUP. VALOR. PTO.]:[AGRUP. VALOR. PTO.]]=$B30,IF(DATOS_[[Check Periodo Ref.]:[Check Periodo Ref.]]="Dentro",IF(DATOS_[[Check Equiparado]:[Check Equiparado]]="Sí",IF(DATOS!AZ$4="Sí",(1/DATOS_[[% anualiz]:[% anualiz]]),1)*IF(DATOS!AZ$5="Sí",1/DATOS_[[% normaliz]:[% normaliz]],1)*(DATOS_[Conc.Sal.22])))))))), 0)</f>
        <v>0</v>
      </c>
      <c r="AF32" s="302" t="n">
        <f aca="false" t="array" ref="AF32:AF32">IFERROR( (AVERAGE((IF(DATOS_[[Sexo]:[Sexo]]=$B32,IF(DATOS_[[AGRUP. VALOR. PTO.]:[AGRUP. VALOR. PTO.]]=$B30,IF(DATOS_[[Check Periodo Ref.]:[Check Periodo Ref.]]="Dentro",IF(DATOS_[[Check Equiparado]:[Check Equiparado]]="Sí",IF(DATOS!BA$4="Sí",(1/DATOS_[[% anualiz]:[% anualiz]]),1)*IF(DATOS!BA$5="Sí",1/DATOS_[[% normaliz]:[% normaliz]],1)*(DATOS_[Conc.Sal.23])))))))), 0)</f>
        <v>0</v>
      </c>
      <c r="AG32" s="302" t="n">
        <f aca="false" t="array" ref="AG32:AG32">IFERROR( (AVERAGE((IF(DATOS_[[Sexo]:[Sexo]]=$B32,IF(DATOS_[[AGRUP. VALOR. PTO.]:[AGRUP. VALOR. PTO.]]=$B30,IF(DATOS_[[Check Periodo Ref.]:[Check Periodo Ref.]]="Dentro",IF(DATOS_[[Check Equiparado]:[Check Equiparado]]="Sí",IF(DATOS!BB$4="Sí",(1/DATOS_[[% anualiz]:[% anualiz]]),1)*IF(DATOS!BB$5="Sí",1/DATOS_[[% normaliz]:[% normaliz]],1)*(DATOS_[Conc.Sal.24])))))))), 0)</f>
        <v>0</v>
      </c>
      <c r="AH32" s="302" t="n">
        <f aca="false" t="array" ref="AH32:AH32">IFERROR( (AVERAGE((IF(DATOS_[[Sexo]:[Sexo]]=$B32,IF(DATOS_[[AGRUP. VALOR. PTO.]:[AGRUP. VALOR. PTO.]]=$B30,IF(DATOS_[[Check Periodo Ref.]:[Check Periodo Ref.]]="Dentro",IF(DATOS_[[Check Equiparado]:[Check Equiparado]]="Sí",IF(DATOS!BC$4="Sí",(1/DATOS_[[% anualiz]:[% anualiz]]),1)*IF(DATOS!BC$5="Sí",1/DATOS_[[% normaliz]:[% normaliz]],1)*(DATOS_[Conc.Sal.25])))))))), 0)</f>
        <v>0</v>
      </c>
      <c r="AI32" s="302" t="n">
        <f aca="false" t="array" ref="AI32:AI32">IFERROR( (AVERAGE((IF(DATOS_[[Sexo]:[Sexo]]=$B32,IF(DATOS_[[AGRUP. VALOR. PTO.]:[AGRUP. VALOR. PTO.]]=$B30,IF(DATOS_[[Check Periodo Ref.]:[Check Periodo Ref.]]="Dentro",IF(DATOS_[[Check Equiparado]:[Check Equiparado]]="Sí",IF(DATOS!BD$4="Sí",(1/DATOS_[[% anualiz]:[% anualiz]]),1)*IF(DATOS!BD$5="Sí",1/DATOS_[[% normaliz]:[% normaliz]],1)*(DATOS_[Conc.Sal.26])))))))), 0)</f>
        <v>0</v>
      </c>
      <c r="AJ32" s="302" t="n">
        <f aca="false" t="array" ref="AJ32:AJ32">IFERROR( (AVERAGE((IF(DATOS_[[Sexo]:[Sexo]]=$B32,IF(DATOS_[[AGRUP. VALOR. PTO.]:[AGRUP. VALOR. PTO.]]=$B30,IF(DATOS_[[Check Periodo Ref.]:[Check Periodo Ref.]]="Dentro",IF(DATOS_[[Check Equiparado]:[Check Equiparado]]="Sí",IF(DATOS!BE$4="Sí",(1/DATOS_[[% anualiz]:[% anualiz]]),1)*IF(DATOS!BE$5="Sí",1/DATOS_[[% normaliz]:[% normaliz]],1)*(DATOS_[Conc.Sal.27])))))))), 0)</f>
        <v>0</v>
      </c>
      <c r="AK32" s="302" t="n">
        <f aca="false" t="array" ref="AK32:AK32">IFERROR( (AVERAGE((IF(DATOS_[[Sexo]:[Sexo]]=$B32,IF(DATOS_[[AGRUP. VALOR. PTO.]:[AGRUP. VALOR. PTO.]]=$B30,IF(DATOS_[[Check Periodo Ref.]:[Check Periodo Ref.]]="Dentro",IF(DATOS_[[Check Equiparado]:[Check Equiparado]]="Sí",IF(DATOS!BF$4="Sí",(1/DATOS_[[% anualiz]:[% anualiz]]),1)*IF(DATOS!BF$5="Sí",1/DATOS_[[% normaliz]:[% normaliz]],1)*(DATOS_[Conc.Sal.28])))))))), 0)</f>
        <v>0</v>
      </c>
      <c r="AL32" s="302" t="n">
        <f aca="false" t="array" ref="AL32:AL32">IFERROR( (AVERAGE((IF(DATOS_[[Sexo]:[Sexo]]=$B32,IF(DATOS_[[AGRUP. VALOR. PTO.]:[AGRUP. VALOR. PTO.]]=$B30,IF(DATOS_[[Check Periodo Ref.]:[Check Periodo Ref.]]="Dentro",IF(DATOS_[[Check Equiparado]:[Check Equiparado]]="Sí",IF(DATOS!BG$4="Sí",(1/DATOS_[[% anualiz]:[% anualiz]]),1)*IF(DATOS!BG$5="Sí",1/DATOS_[[% normaliz]:[% normaliz]],1)*(DATOS_[Conc.Sal.29])))))))), 0)</f>
        <v>0</v>
      </c>
      <c r="AM32" s="302" t="n">
        <f aca="false" t="array" ref="AM32:AM32">IFERROR( (AVERAGE((IF(DATOS_[[Sexo]:[Sexo]]=$B32,IF(DATOS_[[AGRUP. VALOR. PTO.]:[AGRUP. VALOR. PTO.]]=$B30,IF(DATOS_[[Check Periodo Ref.]:[Check Periodo Ref.]]="Dentro",IF(DATOS_[[Check Equiparado]:[Check Equiparado]]="Sí",IF(DATOS!BH$4="Sí",(1/DATOS_[[% anualiz]:[% anualiz]]),1)*IF(DATOS!BH$5="Sí",1/DATOS_[[% normaliz]:[% normaliz]],1)*(DATOS_[Conc.Sal.30])))))))), 0)</f>
        <v>0</v>
      </c>
      <c r="AN32" s="294" t="n">
        <f aca="false" t="array" ref="AN32:AN32">IFERROR( AVERAGE(IF(DATOS_[Sexo]=$B32,IF(DATOS_[[AGRUP. VALOR. PTO.]:[AGRUP. VALOR. PTO.]]=$B30,IF(DATOS_[Check Equiparado]="Sí",IF(DATOS_[Check Periodo Ref.]="Dentro",DATOS_[Tot COMPL.SAL Eq],0))))), 0)</f>
        <v>0</v>
      </c>
      <c r="AO32" s="295" t="n">
        <f aca="false" t="array" ref="AO32:AO32">IFERROR( AVERAGE(IF(DATOS_[Sexo]=$B32,IF(DATOS_[[AGRUP. VALOR. PTO.]:[AGRUP. VALOR. PTO.]]=$B30,IF(DATOS_[Check Equiparado]="Sí",IF(DATOS_[Check Periodo Ref.]="Dentro",DATOS_[TOTAL SALARIO Eq],0))))), 0)</f>
        <v>0</v>
      </c>
      <c r="AP32" s="303" t="n">
        <f aca="false" t="array" ref="AP32:AP32">IFERROR( (AVERAGE((IF(DATOS_[[Sexo]:[Sexo]]=$B32,IF(DATOS_[[AGRUP. VALOR. PTO.]:[AGRUP. VALOR. PTO.]]=$B31,IF(DATOS_[[Check Periodo Ref.]:[Check Periodo Ref.]]="Dentro",IF(DATOS_[[Check Equiparado]:[Check Equiparado]]="Sí",IF(DATOS!BI$4="Sí",(1/DATOS_[[% anualiz]:[% anualiz]]),1)*IF(DATOS!BI$5="Sí",1/DATOS_[[% normaliz]:[% normaliz]],1)*(DATOS_[C.Extra.01])))))))), 0)</f>
        <v>0</v>
      </c>
      <c r="AQ32" s="303" t="n">
        <f aca="false" t="array" ref="AQ32:AQ32">IFERROR( (AVERAGE((IF(DATOS_[[Sexo]:[Sexo]]=$B32,IF(DATOS_[[AGRUP. VALOR. PTO.]:[AGRUP. VALOR. PTO.]]=$B31,IF(DATOS_[[Check Periodo Ref.]:[Check Periodo Ref.]]="Dentro",IF(DATOS_[[Check Equiparado]:[Check Equiparado]]="Sí",IF(DATOS!BJ$4="Sí",(1/DATOS_[[% anualiz]:[% anualiz]]),1)*IF(DATOS!BJ$5="Sí",1/DATOS_[[% normaliz]:[% normaliz]],1)*(DATOS_[C.Extra.02])))))))), 0)</f>
        <v>0</v>
      </c>
      <c r="AR32" s="303" t="n">
        <f aca="false" t="array" ref="AR32:AR32">IFERROR( (AVERAGE((IF(DATOS_[[Sexo]:[Sexo]]=$B32,IF(DATOS_[[AGRUP. VALOR. PTO.]:[AGRUP. VALOR. PTO.]]=$B31,IF(DATOS_[[Check Periodo Ref.]:[Check Periodo Ref.]]="Dentro",IF(DATOS_[[Check Equiparado]:[Check Equiparado]]="Sí",IF(DATOS!BK$4="Sí",(1/DATOS_[[% anualiz]:[% anualiz]]),1)*IF(DATOS!BK$5="Sí",1/DATOS_[[% normaliz]:[% normaliz]],1)*(DATOS_[C.Extra.03])))))))), 0)</f>
        <v>0</v>
      </c>
      <c r="AS32" s="303" t="n">
        <f aca="false" t="array" ref="AS32:AS32">IFERROR( (AVERAGE((IF(DATOS_[[Sexo]:[Sexo]]=$B32,IF(DATOS_[[AGRUP. VALOR. PTO.]:[AGRUP. VALOR. PTO.]]=$B31,IF(DATOS_[[Check Periodo Ref.]:[Check Periodo Ref.]]="Dentro",IF(DATOS_[[Check Equiparado]:[Check Equiparado]]="Sí",IF(DATOS!BL$4="Sí",(1/DATOS_[[% anualiz]:[% anualiz]]),1)*IF(DATOS!BL$5="Sí",1/DATOS_[[% normaliz]:[% normaliz]],1)*(DATOS_[C.Extra.04])))))))), 0)</f>
        <v>0</v>
      </c>
      <c r="AT32" s="303" t="n">
        <f aca="false" t="array" ref="AT32:AT32">IFERROR( (AVERAGE((IF(DATOS_[[Sexo]:[Sexo]]=$B32,IF(DATOS_[[AGRUP. VALOR. PTO.]:[AGRUP. VALOR. PTO.]]=$B31,IF(DATOS_[[Check Periodo Ref.]:[Check Periodo Ref.]]="Dentro",IF(DATOS_[[Check Equiparado]:[Check Equiparado]]="Sí",IF(DATOS!BM$4="Sí",(1/DATOS_[[% anualiz]:[% anualiz]]),1)*IF(DATOS!BM$5="Sí",1/DATOS_[[% normaliz]:[% normaliz]],1)*(DATOS_[C.Extra.05])))))))), 0)</f>
        <v>0</v>
      </c>
      <c r="AU32" s="297" t="n">
        <f aca="false" t="array" ref="AU32:AU32">IFERROR( AVERAGE(IF(DATOS_[Sexo]=$B32,IF(DATOS_[[AGRUP. VALOR. PTO.]:[AGRUP. VALOR. PTO.]]=$B30,IF(DATOS_[Check Equiparado]="Sí",IF(DATOS_[Check Periodo Ref.]="Dentro",DATOS_[Tot Extrasalarial Eq],0))))), 0)</f>
        <v>0</v>
      </c>
      <c r="AV32" s="298" t="n">
        <f aca="false" t="array" ref="AV32:AV32">IFERROR( AVERAGE(IF(DATOS_[Sexo]=$B32,IF(DATOS_[[AGRUP. VALOR. PTO.]:[AGRUP. VALOR. PTO.]]=$B30,IF(DATOS_[Check Equiparado]="Sí",IF(DATOS_[Check Periodo Ref.]="Dentro",DATOS_[TOTAL Retrib Eq],0))))), 0)</f>
        <v>0</v>
      </c>
    </row>
    <row r="33" customFormat="false" ht="15.75" hidden="false" customHeight="false" outlineLevel="0" collapsed="false">
      <c r="A33" s="166" t="str">
        <f aca="false">+A34</f>
        <v>[ocultar]</v>
      </c>
      <c r="B33" s="276" t="s">
        <v>187</v>
      </c>
      <c r="C33" s="277"/>
      <c r="D33" s="278"/>
      <c r="E33" s="278"/>
      <c r="F33" s="278"/>
      <c r="G33" s="278"/>
      <c r="H33" s="278"/>
      <c r="I33" s="279" t="str">
        <f aca="false">IFERROR((I34-I35)/I34,"")</f>
        <v/>
      </c>
      <c r="J33" s="280" t="str">
        <f aca="false">IFERROR((J34-J35)/J34,"")</f>
        <v/>
      </c>
      <c r="K33" s="281" t="str">
        <f aca="false">IFERROR((K34-K35)/K34,"")</f>
        <v/>
      </c>
      <c r="L33" s="281" t="str">
        <f aca="false">IFERROR((L34-L35)/L34,"")</f>
        <v/>
      </c>
      <c r="M33" s="281" t="str">
        <f aca="false">IFERROR((M34-M35)/M34,"")</f>
        <v/>
      </c>
      <c r="N33" s="282" t="str">
        <f aca="false">IFERROR((N34-N35)/N34,"")</f>
        <v/>
      </c>
      <c r="O33" s="283" t="str">
        <f aca="false">IFERROR((O34-O35)/O34,"")</f>
        <v/>
      </c>
      <c r="P33" s="283" t="str">
        <f aca="false">IFERROR((P34-P35)/P34,"")</f>
        <v/>
      </c>
      <c r="Q33" s="283" t="str">
        <f aca="false">IFERROR((Q34-Q35)/Q34,"")</f>
        <v/>
      </c>
      <c r="R33" s="283" t="str">
        <f aca="false">IFERROR((R34-R35)/R34,"")</f>
        <v/>
      </c>
      <c r="S33" s="283" t="str">
        <f aca="false">IFERROR((S34-S35)/S34,"")</f>
        <v/>
      </c>
      <c r="T33" s="283" t="str">
        <f aca="false">IFERROR((T34-T35)/T34,"")</f>
        <v/>
      </c>
      <c r="U33" s="283" t="str">
        <f aca="false">IFERROR((U34-U35)/U34,"")</f>
        <v/>
      </c>
      <c r="V33" s="283" t="str">
        <f aca="false">IFERROR((V34-V35)/V34,"")</f>
        <v/>
      </c>
      <c r="W33" s="283" t="str">
        <f aca="false">IFERROR((W34-W35)/W34,"")</f>
        <v/>
      </c>
      <c r="X33" s="283" t="str">
        <f aca="false">IFERROR((X34-X35)/X34,"")</f>
        <v/>
      </c>
      <c r="Y33" s="283" t="str">
        <f aca="false">IFERROR((Y34-Y35)/Y34,"")</f>
        <v/>
      </c>
      <c r="Z33" s="282" t="str">
        <f aca="false">IFERROR((Z34-Z35)/Z34,"")</f>
        <v/>
      </c>
      <c r="AA33" s="282" t="str">
        <f aca="false">IFERROR((AA34-AA35)/AA34,"")</f>
        <v/>
      </c>
      <c r="AB33" s="282" t="str">
        <f aca="false">IFERROR((AB34-AB35)/AB34,"")</f>
        <v/>
      </c>
      <c r="AC33" s="282" t="str">
        <f aca="false">IFERROR((AC34-AC35)/AC34,"")</f>
        <v/>
      </c>
      <c r="AD33" s="282" t="str">
        <f aca="false">IFERROR((AD34-AD35)/AD34,"")</f>
        <v/>
      </c>
      <c r="AE33" s="282" t="str">
        <f aca="false">IFERROR((AE34-AE35)/AE34,"")</f>
        <v/>
      </c>
      <c r="AF33" s="282" t="str">
        <f aca="false">IFERROR((AF34-AF35)/AF34,"")</f>
        <v/>
      </c>
      <c r="AG33" s="282" t="str">
        <f aca="false">IFERROR((AG34-AG35)/AG34,"")</f>
        <v/>
      </c>
      <c r="AH33" s="282" t="str">
        <f aca="false">IFERROR((AH34-AH35)/AH34,"")</f>
        <v/>
      </c>
      <c r="AI33" s="282" t="str">
        <f aca="false">IFERROR((AI34-AI35)/AI34,"")</f>
        <v/>
      </c>
      <c r="AJ33" s="282" t="str">
        <f aca="false">IFERROR((AJ34-AJ35)/AJ34,"")</f>
        <v/>
      </c>
      <c r="AK33" s="282" t="str">
        <f aca="false">IFERROR((AK34-AK35)/AK34,"")</f>
        <v/>
      </c>
      <c r="AL33" s="282" t="str">
        <f aca="false">IFERROR((AL34-AL35)/AL34,"")</f>
        <v/>
      </c>
      <c r="AM33" s="282" t="str">
        <f aca="false">IFERROR((AM34-AM35)/AM34,"")</f>
        <v/>
      </c>
      <c r="AN33" s="284" t="str">
        <f aca="false">IFERROR((AN34-AN35)/AN34,"")</f>
        <v/>
      </c>
      <c r="AO33" s="285" t="str">
        <f aca="false">IFERROR((AO34-AO35)/AO34,"")</f>
        <v/>
      </c>
      <c r="AP33" s="286" t="str">
        <f aca="false">IFERROR((AP34-AP35)/AP34,"")</f>
        <v/>
      </c>
      <c r="AQ33" s="286" t="str">
        <f aca="false">IFERROR((AQ34-AQ35)/AQ34,"")</f>
        <v/>
      </c>
      <c r="AR33" s="286" t="str">
        <f aca="false">IFERROR((AR34-AR35)/AR34,"")</f>
        <v/>
      </c>
      <c r="AS33" s="286" t="str">
        <f aca="false">IFERROR((AS34-AS35)/AS34,"")</f>
        <v/>
      </c>
      <c r="AT33" s="286" t="str">
        <f aca="false">IFERROR((AT34-AT35)/AT34,"")</f>
        <v/>
      </c>
      <c r="AU33" s="287" t="str">
        <f aca="false">IFERROR((AU34-AU35)/AU34,"")</f>
        <v/>
      </c>
      <c r="AV33" s="288" t="str">
        <f aca="false">IFERROR((AV34-AV35)/AV34,"")</f>
        <v/>
      </c>
    </row>
    <row r="34" customFormat="false" ht="14.25" hidden="false" customHeight="false" outlineLevel="0" collapsed="false">
      <c r="A34" s="166" t="str">
        <f aca="false">+IF(C34+C35=0,"[ocultar]","")</f>
        <v>[ocultar]</v>
      </c>
      <c r="B34" s="289" t="s">
        <v>371</v>
      </c>
      <c r="C34" s="290" t="n">
        <f aca="false" t="array" ref="C34:C34">SUM(IF($B34=DATOS_[Sexo], IF($B33=DATOS_[AGRUP. VALOR. PTO.], IF("Dentro"=DATOS_[Check Periodo Ref.], 1/(COUNTIFS(DATOS_[Sexo],$B34,DATOS_[AGRUP. VALOR. PTO.],$B33,DATOS_[Check Periodo Ref.],"Dentro",DATOS_[id],DATOS_[id]))))))</f>
        <v>0</v>
      </c>
      <c r="D34" s="291" t="n">
        <f aca="false">COUNTIFS(DATOS_[AGRUP. VALOR. PTO.],$B33,DATOS_[Sexo],$B34,DATOS_[Check Periodo Ref.],"Dentro")</f>
        <v>0</v>
      </c>
      <c r="E34" s="291" t="n">
        <f aca="false">COUNTIFS(DATOS_[AGRUP. VALOR. PTO.],$B33,DATOS_[Sexo],$B34,DATOS_[Check Periodo Ref.],"Dentro",DATOS_[Check Nº SC Norm],"Sí")</f>
        <v>0</v>
      </c>
      <c r="F34" s="291" t="n">
        <f aca="false">COUNTIFS(DATOS_[AGRUP. VALOR. PTO.],$B33,DATOS_[Sexo],$B34,DATOS_[Check Periodo Ref.],"Dentro",DATOS_[Check Nº SC Anualiz],"Sí")</f>
        <v>0</v>
      </c>
      <c r="G34" s="291" t="n">
        <f aca="false">COUNTIFS(DATOS_[AGRUP. VALOR. PTO.],$B33,DATOS_[Sexo],$B34,DATOS_[Check Periodo Ref.],"Dentro",DATOS_[Check Nº SC Norm y Anualiz],"Sí")</f>
        <v>0</v>
      </c>
      <c r="H34" s="291" t="n">
        <f aca="false">COUNTIFS(DATOS_[AGRUP. VALOR. PTO.],$B33,DATOS_[Sexo],$B34,DATOS_[Check Periodo Ref.],"Dentro",DATOS_[Check Equiparación],"Sí")</f>
        <v>0</v>
      </c>
      <c r="I34" s="292" t="n">
        <f aca="false" t="array" ref="I34:I34">IFERROR( AVERAGE(IF(DATOS_[Sexo]=$B34,IF(DATOS_[[AGRUP. VALOR. PTO.]:[AGRUP. VALOR. PTO.]]=$B33,IF(DATOS_[Check Equiparado]="Sí",IF(DATOS_[Check Periodo Ref.]="Dentro",DATOS_[SALARIO BASE Eq],0))))), 0)</f>
        <v>0</v>
      </c>
      <c r="J34" s="302" t="n">
        <f aca="false" t="array" ref="J34:J34">IFERROR( (AVERAGE((IF(DATOS_[[Sexo]:[Sexo]]=$B34,IF(DATOS_[[AGRUP. VALOR. PTO.]:[AGRUP. VALOR. PTO.]]=$B33,IF(DATOS_[[Check Periodo Ref.]:[Check Periodo Ref.]]="Dentro",IF(DATOS_[[Check Equiparado]:[Check Equiparado]]="Sí",IF(DATOS!AE$4="Sí",(1/DATOS_[[% anualiz]:[% anualiz]]),1)*IF(DATOS!AE$5="Sí",1/DATOS_[[% normaliz]:[% normaliz]],1)*(DATOS_[Conc.Sal.01])))))))), 0)</f>
        <v>0</v>
      </c>
      <c r="K34" s="302" t="n">
        <f aca="false" t="array" ref="K34:K34">IFERROR( (AVERAGE((IF(DATOS_[[Sexo]:[Sexo]]=$B34,IF(DATOS_[[AGRUP. VALOR. PTO.]:[AGRUP. VALOR. PTO.]]=$B33,IF(DATOS_[[Check Periodo Ref.]:[Check Periodo Ref.]]="Dentro",IF(DATOS_[[Check Equiparado]:[Check Equiparado]]="Sí",IF(DATOS!AF$4="Sí",(1/DATOS_[[% anualiz]:[% anualiz]]),1)*IF(DATOS!AF$5="Sí",1/DATOS_[[% normaliz]:[% normaliz]],1)*(DATOS_[Conc.Sal.02])))))))), 0)</f>
        <v>0</v>
      </c>
      <c r="L34" s="302" t="n">
        <f aca="false" t="array" ref="L34:L34">IFERROR( (AVERAGE((IF(DATOS_[[Sexo]:[Sexo]]=$B34,IF(DATOS_[[AGRUP. VALOR. PTO.]:[AGRUP. VALOR. PTO.]]=$B33,IF(DATOS_[[Check Periodo Ref.]:[Check Periodo Ref.]]="Dentro",IF(DATOS_[[Check Equiparado]:[Check Equiparado]]="Sí",IF(DATOS!AG$4="Sí",(1/DATOS_[[% anualiz]:[% anualiz]]),1)*IF(DATOS!AG$5="Sí",1/DATOS_[[% normaliz]:[% normaliz]],1)*(DATOS_[Conc.Sal.03])))))))), 0)</f>
        <v>0</v>
      </c>
      <c r="M34" s="302" t="n">
        <f aca="false" t="array" ref="M34:M34">IFERROR( (AVERAGE((IF(DATOS_[[Sexo]:[Sexo]]=$B34,IF(DATOS_[[AGRUP. VALOR. PTO.]:[AGRUP. VALOR. PTO.]]=$B33,IF(DATOS_[[Check Periodo Ref.]:[Check Periodo Ref.]]="Dentro",IF(DATOS_[[Check Equiparado]:[Check Equiparado]]="Sí",IF(DATOS!AH$4="Sí",(1/DATOS_[[% anualiz]:[% anualiz]]),1)*IF(DATOS!AH$5="Sí",1/DATOS_[[% normaliz]:[% normaliz]],1)*(DATOS_[Conc.Sal.04])))))))), 0)</f>
        <v>0</v>
      </c>
      <c r="N34" s="302" t="n">
        <f aca="false" t="array" ref="N34:N34">IFERROR( (AVERAGE((IF(DATOS_[[Sexo]:[Sexo]]=$B34,IF(DATOS_[[AGRUP. VALOR. PTO.]:[AGRUP. VALOR. PTO.]]=$B33,IF(DATOS_[[Check Periodo Ref.]:[Check Periodo Ref.]]="Dentro",IF(DATOS_[[Check Equiparado]:[Check Equiparado]]="Sí",IF(DATOS!AI$4="Sí",(1/DATOS_[[% anualiz]:[% anualiz]]),1)*IF(DATOS!AI$5="Sí",1/DATOS_[[% normaliz]:[% normaliz]],1)*(DATOS_[Conc.Sal.05])))))))), 0)</f>
        <v>0</v>
      </c>
      <c r="O34" s="302" t="n">
        <f aca="false" t="array" ref="O34:O34">IFERROR( (AVERAGE((IF(DATOS_[[Sexo]:[Sexo]]=$B34,IF(DATOS_[[AGRUP. VALOR. PTO.]:[AGRUP. VALOR. PTO.]]=$B33,IF(DATOS_[[Check Periodo Ref.]:[Check Periodo Ref.]]="Dentro",IF(DATOS_[[Check Equiparado]:[Check Equiparado]]="Sí",IF(DATOS!AJ$4="Sí",(1/DATOS_[[% anualiz]:[% anualiz]]),1)*IF(DATOS!AJ$5="Sí",1/DATOS_[[% normaliz]:[% normaliz]],1)*(DATOS_[Conc.Sal.06])))))))), 0)</f>
        <v>0</v>
      </c>
      <c r="P34" s="302" t="n">
        <f aca="false" t="array" ref="P34:P34">IFERROR( (AVERAGE((IF(DATOS_[[Sexo]:[Sexo]]=$B34,IF(DATOS_[[AGRUP. VALOR. PTO.]:[AGRUP. VALOR. PTO.]]=$B33,IF(DATOS_[[Check Periodo Ref.]:[Check Periodo Ref.]]="Dentro",IF(DATOS_[[Check Equiparado]:[Check Equiparado]]="Sí",IF(DATOS!AK$4="Sí",(1/DATOS_[[% anualiz]:[% anualiz]]),1)*IF(DATOS!AK$5="Sí",1/DATOS_[[% normaliz]:[% normaliz]],1)*(DATOS_[Conc.Sal.07])))))))), 0)</f>
        <v>0</v>
      </c>
      <c r="Q34" s="302" t="n">
        <f aca="false" t="array" ref="Q34:Q34">IFERROR( (AVERAGE((IF(DATOS_[[Sexo]:[Sexo]]=$B34,IF(DATOS_[[AGRUP. VALOR. PTO.]:[AGRUP. VALOR. PTO.]]=$B33,IF(DATOS_[[Check Periodo Ref.]:[Check Periodo Ref.]]="Dentro",IF(DATOS_[[Check Equiparado]:[Check Equiparado]]="Sí",IF(DATOS!AL$4="Sí",(1/DATOS_[[% anualiz]:[% anualiz]]),1)*IF(DATOS!AL$5="Sí",1/DATOS_[[% normaliz]:[% normaliz]],1)*(DATOS_[Conc.Sal.08])))))))), 0)</f>
        <v>0</v>
      </c>
      <c r="R34" s="302" t="n">
        <f aca="false" t="array" ref="R34:R34">IFERROR( (AVERAGE((IF(DATOS_[[Sexo]:[Sexo]]=$B34,IF(DATOS_[[AGRUP. VALOR. PTO.]:[AGRUP. VALOR. PTO.]]=$B33,IF(DATOS_[[Check Periodo Ref.]:[Check Periodo Ref.]]="Dentro",IF(DATOS_[[Check Equiparado]:[Check Equiparado]]="Sí",IF(DATOS!AM$4="Sí",(1/DATOS_[[% anualiz]:[% anualiz]]),1)*IF(DATOS!AM$5="Sí",1/DATOS_[[% normaliz]:[% normaliz]],1)*(DATOS_[Conc.Sal.09])))))))), 0)</f>
        <v>0</v>
      </c>
      <c r="S34" s="302" t="n">
        <f aca="false" t="array" ref="S34:S34">IFERROR( (AVERAGE((IF(DATOS_[[Sexo]:[Sexo]]=$B34,IF(DATOS_[[AGRUP. VALOR. PTO.]:[AGRUP. VALOR. PTO.]]=$B33,IF(DATOS_[[Check Periodo Ref.]:[Check Periodo Ref.]]="Dentro",IF(DATOS_[[Check Equiparado]:[Check Equiparado]]="Sí",IF(DATOS!AN$4="Sí",(1/DATOS_[[% anualiz]:[% anualiz]]),1)*IF(DATOS!AN$5="Sí",1/DATOS_[[% normaliz]:[% normaliz]],1)*(DATOS_[Conc.Sal.10])))))))), 0)</f>
        <v>0</v>
      </c>
      <c r="T34" s="302" t="n">
        <f aca="false" t="array" ref="T34:T34">IFERROR( (AVERAGE((IF(DATOS_[[Sexo]:[Sexo]]=$B34,IF(DATOS_[[AGRUP. VALOR. PTO.]:[AGRUP. VALOR. PTO.]]=$B33,IF(DATOS_[[Check Periodo Ref.]:[Check Periodo Ref.]]="Dentro",IF(DATOS_[[Check Equiparado]:[Check Equiparado]]="Sí",IF(DATOS!AO$4="Sí",(1/DATOS_[[% anualiz]:[% anualiz]]),1)*IF(DATOS!AO$5="Sí",1/DATOS_[[% normaliz]:[% normaliz]],1)*(DATOS_[Conc.Sal.11])))))))), 0)</f>
        <v>0</v>
      </c>
      <c r="U34" s="302" t="n">
        <f aca="false" t="array" ref="U34:U34">IFERROR( (AVERAGE((IF(DATOS_[[Sexo]:[Sexo]]=$B34,IF(DATOS_[[AGRUP. VALOR. PTO.]:[AGRUP. VALOR. PTO.]]=$B33,IF(DATOS_[[Check Periodo Ref.]:[Check Periodo Ref.]]="Dentro",IF(DATOS_[[Check Equiparado]:[Check Equiparado]]="Sí",IF(DATOS!AP$4="Sí",(1/DATOS_[[% anualiz]:[% anualiz]]),1)*IF(DATOS!AP$5="Sí",1/DATOS_[[% normaliz]:[% normaliz]],1)*(DATOS_[Conc.Sal.12])))))))), 0)</f>
        <v>0</v>
      </c>
      <c r="V34" s="302" t="n">
        <f aca="false" t="array" ref="V34:V34">IFERROR( (AVERAGE((IF(DATOS_[[Sexo]:[Sexo]]=$B34,IF(DATOS_[[AGRUP. VALOR. PTO.]:[AGRUP. VALOR. PTO.]]=$B33,IF(DATOS_[[Check Periodo Ref.]:[Check Periodo Ref.]]="Dentro",IF(DATOS_[[Check Equiparado]:[Check Equiparado]]="Sí",IF(DATOS!AQ$4="Sí",(1/DATOS_[[% anualiz]:[% anualiz]]),1)*IF(DATOS!AQ$5="Sí",1/DATOS_[[% normaliz]:[% normaliz]],1)*(DATOS_[Conc.Sal.13])))))))), 0)</f>
        <v>0</v>
      </c>
      <c r="W34" s="302" t="n">
        <f aca="false" t="array" ref="W34:W34">IFERROR( (AVERAGE((IF(DATOS_[[Sexo]:[Sexo]]=$B34,IF(DATOS_[[AGRUP. VALOR. PTO.]:[AGRUP. VALOR. PTO.]]=$B33,IF(DATOS_[[Check Periodo Ref.]:[Check Periodo Ref.]]="Dentro",IF(DATOS_[[Check Equiparado]:[Check Equiparado]]="Sí",IF(DATOS!AR$4="Sí",(1/DATOS_[[% anualiz]:[% anualiz]]),1)*IF(DATOS!AR$5="Sí",1/DATOS_[[% normaliz]:[% normaliz]],1)*(DATOS_[Conc.Sal.14])))))))), 0)</f>
        <v>0</v>
      </c>
      <c r="X34" s="302" t="n">
        <f aca="false" t="array" ref="X34:X34">IFERROR( (AVERAGE((IF(DATOS_[[Sexo]:[Sexo]]=$B34,IF(DATOS_[[AGRUP. VALOR. PTO.]:[AGRUP. VALOR. PTO.]]=$B33,IF(DATOS_[[Check Periodo Ref.]:[Check Periodo Ref.]]="Dentro",IF(DATOS_[[Check Equiparado]:[Check Equiparado]]="Sí",IF(DATOS!AS$4="Sí",(1/DATOS_[[% anualiz]:[% anualiz]]),1)*IF(DATOS!AS$5="Sí",1/DATOS_[[% normaliz]:[% normaliz]],1)*(DATOS_[Conc.Sal.15])))))))), 0)</f>
        <v>0</v>
      </c>
      <c r="Y34" s="302" t="n">
        <f aca="false" t="array" ref="Y34:Y34">IFERROR( (AVERAGE((IF(DATOS_[[Sexo]:[Sexo]]=$B34,IF(DATOS_[[AGRUP. VALOR. PTO.]:[AGRUP. VALOR. PTO.]]=$B33,IF(DATOS_[[Check Periodo Ref.]:[Check Periodo Ref.]]="Dentro",IF(DATOS_[[Check Equiparado]:[Check Equiparado]]="Sí",IF(DATOS!AT$4="Sí",(1/DATOS_[[% anualiz]:[% anualiz]]),1)*IF(DATOS!AT$5="Sí",1/DATOS_[[% normaliz]:[% normaliz]],1)*(DATOS_[Conc.Sal.16])))))))), 0)</f>
        <v>0</v>
      </c>
      <c r="Z34" s="302" t="n">
        <f aca="false" t="array" ref="Z34:Z34">IFERROR( (AVERAGE((IF(DATOS_[[Sexo]:[Sexo]]=$B34,IF(DATOS_[[AGRUP. VALOR. PTO.]:[AGRUP. VALOR. PTO.]]=$B33,IF(DATOS_[[Check Periodo Ref.]:[Check Periodo Ref.]]="Dentro",IF(DATOS_[[Check Equiparado]:[Check Equiparado]]="Sí",IF(DATOS!AU$4="Sí",(1/DATOS_[[% anualiz]:[% anualiz]]),1)*IF(DATOS!AU$5="Sí",1/DATOS_[[% normaliz]:[% normaliz]],1)*(DATOS_[Conc.Sal.17])))))))), 0)</f>
        <v>0</v>
      </c>
      <c r="AA34" s="302" t="n">
        <f aca="false" t="array" ref="AA34:AA34">IFERROR( (AVERAGE((IF(DATOS_[[Sexo]:[Sexo]]=$B34,IF(DATOS_[[AGRUP. VALOR. PTO.]:[AGRUP. VALOR. PTO.]]=$B33,IF(DATOS_[[Check Periodo Ref.]:[Check Periodo Ref.]]="Dentro",IF(DATOS_[[Check Equiparado]:[Check Equiparado]]="Sí",IF(DATOS!AV$4="Sí",(1/DATOS_[[% anualiz]:[% anualiz]]),1)*IF(DATOS!AV$5="Sí",1/DATOS_[[% normaliz]:[% normaliz]],1)*(DATOS_[Conc.Sal.18])))))))), 0)</f>
        <v>0</v>
      </c>
      <c r="AB34" s="302" t="n">
        <f aca="false" t="array" ref="AB34:AB34">IFERROR( (AVERAGE((IF(DATOS_[[Sexo]:[Sexo]]=$B34,IF(DATOS_[[AGRUP. VALOR. PTO.]:[AGRUP. VALOR. PTO.]]=$B33,IF(DATOS_[[Check Periodo Ref.]:[Check Periodo Ref.]]="Dentro",IF(DATOS_[[Check Equiparado]:[Check Equiparado]]="Sí",IF(DATOS!AW$4="Sí",(1/DATOS_[[% anualiz]:[% anualiz]]),1)*IF(DATOS!AW$5="Sí",1/DATOS_[[% normaliz]:[% normaliz]],1)*(DATOS_[Conc.Sal.19])))))))), 0)</f>
        <v>0</v>
      </c>
      <c r="AC34" s="302" t="n">
        <f aca="false" t="array" ref="AC34:AC34">IFERROR( (AVERAGE((IF(DATOS_[[Sexo]:[Sexo]]=$B34,IF(DATOS_[[AGRUP. VALOR. PTO.]:[AGRUP. VALOR. PTO.]]=$B33,IF(DATOS_[[Check Periodo Ref.]:[Check Periodo Ref.]]="Dentro",IF(DATOS_[[Check Equiparado]:[Check Equiparado]]="Sí",IF(DATOS!AX$4="Sí",(1/DATOS_[[% anualiz]:[% anualiz]]),1)*IF(DATOS!AX$5="Sí",1/DATOS_[[% normaliz]:[% normaliz]],1)*(DATOS_[Conc.Sal.20])))))))), 0)</f>
        <v>0</v>
      </c>
      <c r="AD34" s="302" t="n">
        <f aca="false" t="array" ref="AD34:AD34">IFERROR( (AVERAGE((IF(DATOS_[[Sexo]:[Sexo]]=$B34,IF(DATOS_[[AGRUP. VALOR. PTO.]:[AGRUP. VALOR. PTO.]]=$B33,IF(DATOS_[[Check Periodo Ref.]:[Check Periodo Ref.]]="Dentro",IF(DATOS_[[Check Equiparado]:[Check Equiparado]]="Sí",IF(DATOS!AY$4="Sí",(1/DATOS_[[% anualiz]:[% anualiz]]),1)*IF(DATOS!AY$5="Sí",1/DATOS_[[% normaliz]:[% normaliz]],1)*(DATOS_[Conc.Sal.21])))))))), 0)</f>
        <v>0</v>
      </c>
      <c r="AE34" s="302" t="n">
        <f aca="false" t="array" ref="AE34:AE34">IFERROR( (AVERAGE((IF(DATOS_[[Sexo]:[Sexo]]=$B34,IF(DATOS_[[AGRUP. VALOR. PTO.]:[AGRUP. VALOR. PTO.]]=$B33,IF(DATOS_[[Check Periodo Ref.]:[Check Periodo Ref.]]="Dentro",IF(DATOS_[[Check Equiparado]:[Check Equiparado]]="Sí",IF(DATOS!AZ$4="Sí",(1/DATOS_[[% anualiz]:[% anualiz]]),1)*IF(DATOS!AZ$5="Sí",1/DATOS_[[% normaliz]:[% normaliz]],1)*(DATOS_[Conc.Sal.22])))))))), 0)</f>
        <v>0</v>
      </c>
      <c r="AF34" s="302" t="n">
        <f aca="false" t="array" ref="AF34:AF34">IFERROR( (AVERAGE((IF(DATOS_[[Sexo]:[Sexo]]=$B34,IF(DATOS_[[AGRUP. VALOR. PTO.]:[AGRUP. VALOR. PTO.]]=$B33,IF(DATOS_[[Check Periodo Ref.]:[Check Periodo Ref.]]="Dentro",IF(DATOS_[[Check Equiparado]:[Check Equiparado]]="Sí",IF(DATOS!BA$4="Sí",(1/DATOS_[[% anualiz]:[% anualiz]]),1)*IF(DATOS!BA$5="Sí",1/DATOS_[[% normaliz]:[% normaliz]],1)*(DATOS_[Conc.Sal.23])))))))), 0)</f>
        <v>0</v>
      </c>
      <c r="AG34" s="302" t="n">
        <f aca="false" t="array" ref="AG34:AG34">IFERROR( (AVERAGE((IF(DATOS_[[Sexo]:[Sexo]]=$B34,IF(DATOS_[[AGRUP. VALOR. PTO.]:[AGRUP. VALOR. PTO.]]=$B33,IF(DATOS_[[Check Periodo Ref.]:[Check Periodo Ref.]]="Dentro",IF(DATOS_[[Check Equiparado]:[Check Equiparado]]="Sí",IF(DATOS!BB$4="Sí",(1/DATOS_[[% anualiz]:[% anualiz]]),1)*IF(DATOS!BB$5="Sí",1/DATOS_[[% normaliz]:[% normaliz]],1)*(DATOS_[Conc.Sal.24])))))))), 0)</f>
        <v>0</v>
      </c>
      <c r="AH34" s="302" t="n">
        <f aca="false" t="array" ref="AH34:AH34">IFERROR( (AVERAGE((IF(DATOS_[[Sexo]:[Sexo]]=$B34,IF(DATOS_[[AGRUP. VALOR. PTO.]:[AGRUP. VALOR. PTO.]]=$B33,IF(DATOS_[[Check Periodo Ref.]:[Check Periodo Ref.]]="Dentro",IF(DATOS_[[Check Equiparado]:[Check Equiparado]]="Sí",IF(DATOS!BC$4="Sí",(1/DATOS_[[% anualiz]:[% anualiz]]),1)*IF(DATOS!BC$5="Sí",1/DATOS_[[% normaliz]:[% normaliz]],1)*(DATOS_[Conc.Sal.25])))))))), 0)</f>
        <v>0</v>
      </c>
      <c r="AI34" s="302" t="n">
        <f aca="false" t="array" ref="AI34:AI34">IFERROR( (AVERAGE((IF(DATOS_[[Sexo]:[Sexo]]=$B34,IF(DATOS_[[AGRUP. VALOR. PTO.]:[AGRUP. VALOR. PTO.]]=$B33,IF(DATOS_[[Check Periodo Ref.]:[Check Periodo Ref.]]="Dentro",IF(DATOS_[[Check Equiparado]:[Check Equiparado]]="Sí",IF(DATOS!BD$4="Sí",(1/DATOS_[[% anualiz]:[% anualiz]]),1)*IF(DATOS!BD$5="Sí",1/DATOS_[[% normaliz]:[% normaliz]],1)*(DATOS_[Conc.Sal.26])))))))), 0)</f>
        <v>0</v>
      </c>
      <c r="AJ34" s="302" t="n">
        <f aca="false" t="array" ref="AJ34:AJ34">IFERROR( (AVERAGE((IF(DATOS_[[Sexo]:[Sexo]]=$B34,IF(DATOS_[[AGRUP. VALOR. PTO.]:[AGRUP. VALOR. PTO.]]=$B33,IF(DATOS_[[Check Periodo Ref.]:[Check Periodo Ref.]]="Dentro",IF(DATOS_[[Check Equiparado]:[Check Equiparado]]="Sí",IF(DATOS!BE$4="Sí",(1/DATOS_[[% anualiz]:[% anualiz]]),1)*IF(DATOS!BE$5="Sí",1/DATOS_[[% normaliz]:[% normaliz]],1)*(DATOS_[Conc.Sal.27])))))))), 0)</f>
        <v>0</v>
      </c>
      <c r="AK34" s="302" t="n">
        <f aca="false" t="array" ref="AK34:AK34">IFERROR( (AVERAGE((IF(DATOS_[[Sexo]:[Sexo]]=$B34,IF(DATOS_[[AGRUP. VALOR. PTO.]:[AGRUP. VALOR. PTO.]]=$B33,IF(DATOS_[[Check Periodo Ref.]:[Check Periodo Ref.]]="Dentro",IF(DATOS_[[Check Equiparado]:[Check Equiparado]]="Sí",IF(DATOS!BF$4="Sí",(1/DATOS_[[% anualiz]:[% anualiz]]),1)*IF(DATOS!BF$5="Sí",1/DATOS_[[% normaliz]:[% normaliz]],1)*(DATOS_[Conc.Sal.28])))))))), 0)</f>
        <v>0</v>
      </c>
      <c r="AL34" s="302" t="n">
        <f aca="false" t="array" ref="AL34:AL34">IFERROR( (AVERAGE((IF(DATOS_[[Sexo]:[Sexo]]=$B34,IF(DATOS_[[AGRUP. VALOR. PTO.]:[AGRUP. VALOR. PTO.]]=$B33,IF(DATOS_[[Check Periodo Ref.]:[Check Periodo Ref.]]="Dentro",IF(DATOS_[[Check Equiparado]:[Check Equiparado]]="Sí",IF(DATOS!BG$4="Sí",(1/DATOS_[[% anualiz]:[% anualiz]]),1)*IF(DATOS!BG$5="Sí",1/DATOS_[[% normaliz]:[% normaliz]],1)*(DATOS_[Conc.Sal.29])))))))), 0)</f>
        <v>0</v>
      </c>
      <c r="AM34" s="302" t="n">
        <f aca="false" t="array" ref="AM34:AM34">IFERROR( (AVERAGE((IF(DATOS_[[Sexo]:[Sexo]]=$B34,IF(DATOS_[[AGRUP. VALOR. PTO.]:[AGRUP. VALOR. PTO.]]=$B33,IF(DATOS_[[Check Periodo Ref.]:[Check Periodo Ref.]]="Dentro",IF(DATOS_[[Check Equiparado]:[Check Equiparado]]="Sí",IF(DATOS!BH$4="Sí",(1/DATOS_[[% anualiz]:[% anualiz]]),1)*IF(DATOS!BH$5="Sí",1/DATOS_[[% normaliz]:[% normaliz]],1)*(DATOS_[Conc.Sal.30])))))))), 0)</f>
        <v>0</v>
      </c>
      <c r="AN34" s="294" t="n">
        <f aca="false" t="array" ref="AN34:AN34">IFERROR( AVERAGE(IF(DATOS_[Sexo]=$B34,IF(DATOS_[[AGRUP. VALOR. PTO.]:[AGRUP. VALOR. PTO.]]=$B33,IF(DATOS_[Check Equiparado]="Sí",IF(DATOS_[Check Periodo Ref.]="Dentro",DATOS_[Tot COMPL.SAL Eq],0))))), 0)</f>
        <v>0</v>
      </c>
      <c r="AO34" s="295" t="n">
        <f aca="false" t="array" ref="AO34:AO34">IFERROR( AVERAGE(IF(DATOS_[Sexo]=$B34,IF(DATOS_[[AGRUP. VALOR. PTO.]:[AGRUP. VALOR. PTO.]]=$B33,IF(DATOS_[Check Equiparado]="Sí",IF(DATOS_[Check Periodo Ref.]="Dentro",DATOS_[TOTAL SALARIO Eq],0))))), 0)</f>
        <v>0</v>
      </c>
      <c r="AP34" s="303" t="n">
        <f aca="false" t="array" ref="AP34:AP34">IFERROR( (AVERAGE((IF(DATOS_[[Sexo]:[Sexo]]=$B34,IF(DATOS_[[AGRUP. VALOR. PTO.]:[AGRUP. VALOR. PTO.]]=$B33,IF(DATOS_[[Check Periodo Ref.]:[Check Periodo Ref.]]="Dentro",IF(DATOS_[[Check Equiparado]:[Check Equiparado]]="Sí",IF(DATOS!BI$4="Sí",(1/DATOS_[[% anualiz]:[% anualiz]]),1)*IF(DATOS!BI$5="Sí",1/DATOS_[[% normaliz]:[% normaliz]],1)*(DATOS_[C.Extra.01])))))))), 0)</f>
        <v>0</v>
      </c>
      <c r="AQ34" s="303" t="n">
        <f aca="false" t="array" ref="AQ34:AQ34">IFERROR( (AVERAGE((IF(DATOS_[[Sexo]:[Sexo]]=$B34,IF(DATOS_[[AGRUP. VALOR. PTO.]:[AGRUP. VALOR. PTO.]]=$B33,IF(DATOS_[[Check Periodo Ref.]:[Check Periodo Ref.]]="Dentro",IF(DATOS_[[Check Equiparado]:[Check Equiparado]]="Sí",IF(DATOS!BJ$4="Sí",(1/DATOS_[[% anualiz]:[% anualiz]]),1)*IF(DATOS!BJ$5="Sí",1/DATOS_[[% normaliz]:[% normaliz]],1)*(DATOS_[C.Extra.02])))))))), 0)</f>
        <v>0</v>
      </c>
      <c r="AR34" s="303" t="n">
        <f aca="false" t="array" ref="AR34:AR34">IFERROR( (AVERAGE((IF(DATOS_[[Sexo]:[Sexo]]=$B34,IF(DATOS_[[AGRUP. VALOR. PTO.]:[AGRUP. VALOR. PTO.]]=$B33,IF(DATOS_[[Check Periodo Ref.]:[Check Periodo Ref.]]="Dentro",IF(DATOS_[[Check Equiparado]:[Check Equiparado]]="Sí",IF(DATOS!BK$4="Sí",(1/DATOS_[[% anualiz]:[% anualiz]]),1)*IF(DATOS!BK$5="Sí",1/DATOS_[[% normaliz]:[% normaliz]],1)*(DATOS_[C.Extra.03])))))))), 0)</f>
        <v>0</v>
      </c>
      <c r="AS34" s="303" t="n">
        <f aca="false" t="array" ref="AS34:AS34">IFERROR( (AVERAGE((IF(DATOS_[[Sexo]:[Sexo]]=$B34,IF(DATOS_[[AGRUP. VALOR. PTO.]:[AGRUP. VALOR. PTO.]]=$B33,IF(DATOS_[[Check Periodo Ref.]:[Check Periodo Ref.]]="Dentro",IF(DATOS_[[Check Equiparado]:[Check Equiparado]]="Sí",IF(DATOS!BL$4="Sí",(1/DATOS_[[% anualiz]:[% anualiz]]),1)*IF(DATOS!BL$5="Sí",1/DATOS_[[% normaliz]:[% normaliz]],1)*(DATOS_[C.Extra.04])))))))), 0)</f>
        <v>0</v>
      </c>
      <c r="AT34" s="303" t="n">
        <f aca="false" t="array" ref="AT34:AT34">IFERROR( (AVERAGE((IF(DATOS_[[Sexo]:[Sexo]]=$B34,IF(DATOS_[[AGRUP. VALOR. PTO.]:[AGRUP. VALOR. PTO.]]=$B33,IF(DATOS_[[Check Periodo Ref.]:[Check Periodo Ref.]]="Dentro",IF(DATOS_[[Check Equiparado]:[Check Equiparado]]="Sí",IF(DATOS!BM$4="Sí",(1/DATOS_[[% anualiz]:[% anualiz]]),1)*IF(DATOS!BM$5="Sí",1/DATOS_[[% normaliz]:[% normaliz]],1)*(DATOS_[C.Extra.05])))))))), 0)</f>
        <v>0</v>
      </c>
      <c r="AU34" s="297" t="n">
        <f aca="false" t="array" ref="AU34:AU34">IFERROR( AVERAGE(IF(DATOS_[Sexo]=$B34,IF(DATOS_[[AGRUP. VALOR. PTO.]:[AGRUP. VALOR. PTO.]]=$B33,IF(DATOS_[Check Equiparado]="Sí",IF(DATOS_[Check Periodo Ref.]="Dentro",DATOS_[Tot Extrasalarial Eq],0))))), 0)</f>
        <v>0</v>
      </c>
      <c r="AV34" s="298" t="n">
        <f aca="false" t="array" ref="AV34:AV34">IFERROR( AVERAGE(IF(DATOS_[Sexo]=$B34,IF(DATOS_[[AGRUP. VALOR. PTO.]:[AGRUP. VALOR. PTO.]]=$B33,IF(DATOS_[Check Equiparado]="Sí",IF(DATOS_[Check Periodo Ref.]="Dentro",DATOS_[TOTAL Retrib Eq],0))))), 0)</f>
        <v>0</v>
      </c>
    </row>
    <row r="35" customFormat="false" ht="14.25" hidden="false" customHeight="false" outlineLevel="0" collapsed="false">
      <c r="A35" s="166" t="str">
        <f aca="false">+A34</f>
        <v>[ocultar]</v>
      </c>
      <c r="B35" s="289" t="s">
        <v>372</v>
      </c>
      <c r="C35" s="290" t="n">
        <f aca="false" t="array" ref="C35:C35">SUM(IF($B35=DATOS_[Sexo], IF($B33=DATOS_[AGRUP. VALOR. PTO.], IF("Dentro"=DATOS_[Check Periodo Ref.], 1/(COUNTIFS(DATOS_[Sexo],$B35,DATOS_[AGRUP. VALOR. PTO.],$B33,DATOS_[Check Periodo Ref.],"Dentro",DATOS_[id],DATOS_[id]))))))</f>
        <v>0</v>
      </c>
      <c r="D35" s="291" t="n">
        <f aca="false">COUNTIFS(DATOS_[AGRUP. VALOR. PTO.],$B33,DATOS_[Sexo],$B35,DATOS_[Check Periodo Ref.],"Dentro")</f>
        <v>0</v>
      </c>
      <c r="E35" s="291" t="n">
        <f aca="false">COUNTIFS(DATOS_[AGRUP. VALOR. PTO.],$B33,DATOS_[Sexo],$B35,DATOS_[Check Periodo Ref.],"Dentro",DATOS_[Check Nº SC Norm],"Sí")</f>
        <v>0</v>
      </c>
      <c r="F35" s="291" t="n">
        <f aca="false">COUNTIFS(DATOS_[AGRUP. VALOR. PTO.],$B33,DATOS_[Sexo],$B35,DATOS_[Check Periodo Ref.],"Dentro",DATOS_[Check Nº SC Anualiz],"Sí")</f>
        <v>0</v>
      </c>
      <c r="G35" s="291" t="n">
        <f aca="false">COUNTIFS(DATOS_[AGRUP. VALOR. PTO.],$B33,DATOS_[Sexo],$B35,DATOS_[Check Periodo Ref.],"Dentro",DATOS_[Check Nº SC Norm y Anualiz],"Sí")</f>
        <v>0</v>
      </c>
      <c r="H35" s="291" t="n">
        <f aca="false">COUNTIFS(DATOS_[AGRUP. VALOR. PTO.],$B33,DATOS_[Sexo],$B35,DATOS_[Check Periodo Ref.],"Dentro",DATOS_[Check Equiparación],"Sí")</f>
        <v>0</v>
      </c>
      <c r="I35" s="292" t="n">
        <f aca="false" t="array" ref="I35:I35">IFERROR( AVERAGE(IF(DATOS_[Sexo]=$B35,IF(DATOS_[[AGRUP. VALOR. PTO.]:[AGRUP. VALOR. PTO.]]=$B33,IF(DATOS_[Check Equiparado]="Sí",IF(DATOS_[Check Periodo Ref.]="Dentro",DATOS_[SALARIO BASE Eq],0))))), 0)</f>
        <v>0</v>
      </c>
      <c r="J35" s="302" t="n">
        <f aca="false" t="array" ref="J35:J35">IFERROR( (AVERAGE((IF(DATOS_[[Sexo]:[Sexo]]=$B35,IF(DATOS_[[AGRUP. VALOR. PTO.]:[AGRUP. VALOR. PTO.]]=$B33,IF(DATOS_[[Check Periodo Ref.]:[Check Periodo Ref.]]="Dentro",IF(DATOS_[[Check Equiparado]:[Check Equiparado]]="Sí",IF(DATOS!AE$4="Sí",(1/DATOS_[[% anualiz]:[% anualiz]]),1)*IF(DATOS!AE$5="Sí",1/DATOS_[[% normaliz]:[% normaliz]],1)*(DATOS_[Conc.Sal.01])))))))), 0)</f>
        <v>0</v>
      </c>
      <c r="K35" s="302" t="n">
        <f aca="false" t="array" ref="K35:K35">IFERROR( (AVERAGE((IF(DATOS_[[Sexo]:[Sexo]]=$B35,IF(DATOS_[[AGRUP. VALOR. PTO.]:[AGRUP. VALOR. PTO.]]=$B33,IF(DATOS_[[Check Periodo Ref.]:[Check Periodo Ref.]]="Dentro",IF(DATOS_[[Check Equiparado]:[Check Equiparado]]="Sí",IF(DATOS!AF$4="Sí",(1/DATOS_[[% anualiz]:[% anualiz]]),1)*IF(DATOS!AF$5="Sí",1/DATOS_[[% normaliz]:[% normaliz]],1)*(DATOS_[Conc.Sal.02])))))))), 0)</f>
        <v>0</v>
      </c>
      <c r="L35" s="302" t="n">
        <f aca="false" t="array" ref="L35:L35">IFERROR( (AVERAGE((IF(DATOS_[[Sexo]:[Sexo]]=$B35,IF(DATOS_[[AGRUP. VALOR. PTO.]:[AGRUP. VALOR. PTO.]]=$B33,IF(DATOS_[[Check Periodo Ref.]:[Check Periodo Ref.]]="Dentro",IF(DATOS_[[Check Equiparado]:[Check Equiparado]]="Sí",IF(DATOS!AG$4="Sí",(1/DATOS_[[% anualiz]:[% anualiz]]),1)*IF(DATOS!AG$5="Sí",1/DATOS_[[% normaliz]:[% normaliz]],1)*(DATOS_[Conc.Sal.03])))))))), 0)</f>
        <v>0</v>
      </c>
      <c r="M35" s="302" t="n">
        <f aca="false" t="array" ref="M35:M35">IFERROR( (AVERAGE((IF(DATOS_[[Sexo]:[Sexo]]=$B35,IF(DATOS_[[AGRUP. VALOR. PTO.]:[AGRUP. VALOR. PTO.]]=$B33,IF(DATOS_[[Check Periodo Ref.]:[Check Periodo Ref.]]="Dentro",IF(DATOS_[[Check Equiparado]:[Check Equiparado]]="Sí",IF(DATOS!AH$4="Sí",(1/DATOS_[[% anualiz]:[% anualiz]]),1)*IF(DATOS!AH$5="Sí",1/DATOS_[[% normaliz]:[% normaliz]],1)*(DATOS_[Conc.Sal.04])))))))), 0)</f>
        <v>0</v>
      </c>
      <c r="N35" s="302" t="n">
        <f aca="false" t="array" ref="N35:N35">IFERROR( (AVERAGE((IF(DATOS_[[Sexo]:[Sexo]]=$B35,IF(DATOS_[[AGRUP. VALOR. PTO.]:[AGRUP. VALOR. PTO.]]=$B33,IF(DATOS_[[Check Periodo Ref.]:[Check Periodo Ref.]]="Dentro",IF(DATOS_[[Check Equiparado]:[Check Equiparado]]="Sí",IF(DATOS!AI$4="Sí",(1/DATOS_[[% anualiz]:[% anualiz]]),1)*IF(DATOS!AI$5="Sí",1/DATOS_[[% normaliz]:[% normaliz]],1)*(DATOS_[Conc.Sal.05])))))))), 0)</f>
        <v>0</v>
      </c>
      <c r="O35" s="302" t="n">
        <f aca="false" t="array" ref="O35:O35">IFERROR( (AVERAGE((IF(DATOS_[[Sexo]:[Sexo]]=$B35,IF(DATOS_[[AGRUP. VALOR. PTO.]:[AGRUP. VALOR. PTO.]]=$B33,IF(DATOS_[[Check Periodo Ref.]:[Check Periodo Ref.]]="Dentro",IF(DATOS_[[Check Equiparado]:[Check Equiparado]]="Sí",IF(DATOS!AJ$4="Sí",(1/DATOS_[[% anualiz]:[% anualiz]]),1)*IF(DATOS!AJ$5="Sí",1/DATOS_[[% normaliz]:[% normaliz]],1)*(DATOS_[Conc.Sal.06])))))))), 0)</f>
        <v>0</v>
      </c>
      <c r="P35" s="302" t="n">
        <f aca="false" t="array" ref="P35:P35">IFERROR( (AVERAGE((IF(DATOS_[[Sexo]:[Sexo]]=$B35,IF(DATOS_[[AGRUP. VALOR. PTO.]:[AGRUP. VALOR. PTO.]]=$B33,IF(DATOS_[[Check Periodo Ref.]:[Check Periodo Ref.]]="Dentro",IF(DATOS_[[Check Equiparado]:[Check Equiparado]]="Sí",IF(DATOS!AK$4="Sí",(1/DATOS_[[% anualiz]:[% anualiz]]),1)*IF(DATOS!AK$5="Sí",1/DATOS_[[% normaliz]:[% normaliz]],1)*(DATOS_[Conc.Sal.07])))))))), 0)</f>
        <v>0</v>
      </c>
      <c r="Q35" s="302" t="n">
        <f aca="false" t="array" ref="Q35:Q35">IFERROR( (AVERAGE((IF(DATOS_[[Sexo]:[Sexo]]=$B35,IF(DATOS_[[AGRUP. VALOR. PTO.]:[AGRUP. VALOR. PTO.]]=$B33,IF(DATOS_[[Check Periodo Ref.]:[Check Periodo Ref.]]="Dentro",IF(DATOS_[[Check Equiparado]:[Check Equiparado]]="Sí",IF(DATOS!AL$4="Sí",(1/DATOS_[[% anualiz]:[% anualiz]]),1)*IF(DATOS!AL$5="Sí",1/DATOS_[[% normaliz]:[% normaliz]],1)*(DATOS_[Conc.Sal.08])))))))), 0)</f>
        <v>0</v>
      </c>
      <c r="R35" s="302" t="n">
        <f aca="false" t="array" ref="R35:R35">IFERROR( (AVERAGE((IF(DATOS_[[Sexo]:[Sexo]]=$B35,IF(DATOS_[[AGRUP. VALOR. PTO.]:[AGRUP. VALOR. PTO.]]=$B33,IF(DATOS_[[Check Periodo Ref.]:[Check Periodo Ref.]]="Dentro",IF(DATOS_[[Check Equiparado]:[Check Equiparado]]="Sí",IF(DATOS!AM$4="Sí",(1/DATOS_[[% anualiz]:[% anualiz]]),1)*IF(DATOS!AM$5="Sí",1/DATOS_[[% normaliz]:[% normaliz]],1)*(DATOS_[Conc.Sal.09])))))))), 0)</f>
        <v>0</v>
      </c>
      <c r="S35" s="302" t="n">
        <f aca="false" t="array" ref="S35:S35">IFERROR( (AVERAGE((IF(DATOS_[[Sexo]:[Sexo]]=$B35,IF(DATOS_[[AGRUP. VALOR. PTO.]:[AGRUP. VALOR. PTO.]]=$B33,IF(DATOS_[[Check Periodo Ref.]:[Check Periodo Ref.]]="Dentro",IF(DATOS_[[Check Equiparado]:[Check Equiparado]]="Sí",IF(DATOS!AN$4="Sí",(1/DATOS_[[% anualiz]:[% anualiz]]),1)*IF(DATOS!AN$5="Sí",1/DATOS_[[% normaliz]:[% normaliz]],1)*(DATOS_[Conc.Sal.10])))))))), 0)</f>
        <v>0</v>
      </c>
      <c r="T35" s="302" t="n">
        <f aca="false" t="array" ref="T35:T35">IFERROR( (AVERAGE((IF(DATOS_[[Sexo]:[Sexo]]=$B35,IF(DATOS_[[AGRUP. VALOR. PTO.]:[AGRUP. VALOR. PTO.]]=$B33,IF(DATOS_[[Check Periodo Ref.]:[Check Periodo Ref.]]="Dentro",IF(DATOS_[[Check Equiparado]:[Check Equiparado]]="Sí",IF(DATOS!AO$4="Sí",(1/DATOS_[[% anualiz]:[% anualiz]]),1)*IF(DATOS!AO$5="Sí",1/DATOS_[[% normaliz]:[% normaliz]],1)*(DATOS_[Conc.Sal.11])))))))), 0)</f>
        <v>0</v>
      </c>
      <c r="U35" s="302" t="n">
        <f aca="false" t="array" ref="U35:U35">IFERROR( (AVERAGE((IF(DATOS_[[Sexo]:[Sexo]]=$B35,IF(DATOS_[[AGRUP. VALOR. PTO.]:[AGRUP. VALOR. PTO.]]=$B33,IF(DATOS_[[Check Periodo Ref.]:[Check Periodo Ref.]]="Dentro",IF(DATOS_[[Check Equiparado]:[Check Equiparado]]="Sí",IF(DATOS!AP$4="Sí",(1/DATOS_[[% anualiz]:[% anualiz]]),1)*IF(DATOS!AP$5="Sí",1/DATOS_[[% normaliz]:[% normaliz]],1)*(DATOS_[Conc.Sal.12])))))))), 0)</f>
        <v>0</v>
      </c>
      <c r="V35" s="302" t="n">
        <f aca="false" t="array" ref="V35:V35">IFERROR( (AVERAGE((IF(DATOS_[[Sexo]:[Sexo]]=$B35,IF(DATOS_[[AGRUP. VALOR. PTO.]:[AGRUP. VALOR. PTO.]]=$B33,IF(DATOS_[[Check Periodo Ref.]:[Check Periodo Ref.]]="Dentro",IF(DATOS_[[Check Equiparado]:[Check Equiparado]]="Sí",IF(DATOS!AQ$4="Sí",(1/DATOS_[[% anualiz]:[% anualiz]]),1)*IF(DATOS!AQ$5="Sí",1/DATOS_[[% normaliz]:[% normaliz]],1)*(DATOS_[Conc.Sal.13])))))))), 0)</f>
        <v>0</v>
      </c>
      <c r="W35" s="302" t="n">
        <f aca="false" t="array" ref="W35:W35">IFERROR( (AVERAGE((IF(DATOS_[[Sexo]:[Sexo]]=$B35,IF(DATOS_[[AGRUP. VALOR. PTO.]:[AGRUP. VALOR. PTO.]]=$B33,IF(DATOS_[[Check Periodo Ref.]:[Check Periodo Ref.]]="Dentro",IF(DATOS_[[Check Equiparado]:[Check Equiparado]]="Sí",IF(DATOS!AR$4="Sí",(1/DATOS_[[% anualiz]:[% anualiz]]),1)*IF(DATOS!AR$5="Sí",1/DATOS_[[% normaliz]:[% normaliz]],1)*(DATOS_[Conc.Sal.14])))))))), 0)</f>
        <v>0</v>
      </c>
      <c r="X35" s="302" t="n">
        <f aca="false" t="array" ref="X35:X35">IFERROR( (AVERAGE((IF(DATOS_[[Sexo]:[Sexo]]=$B35,IF(DATOS_[[AGRUP. VALOR. PTO.]:[AGRUP. VALOR. PTO.]]=$B33,IF(DATOS_[[Check Periodo Ref.]:[Check Periodo Ref.]]="Dentro",IF(DATOS_[[Check Equiparado]:[Check Equiparado]]="Sí",IF(DATOS!AS$4="Sí",(1/DATOS_[[% anualiz]:[% anualiz]]),1)*IF(DATOS!AS$5="Sí",1/DATOS_[[% normaliz]:[% normaliz]],1)*(DATOS_[Conc.Sal.15])))))))), 0)</f>
        <v>0</v>
      </c>
      <c r="Y35" s="302" t="n">
        <f aca="false" t="array" ref="Y35:Y35">IFERROR( (AVERAGE((IF(DATOS_[[Sexo]:[Sexo]]=$B35,IF(DATOS_[[AGRUP. VALOR. PTO.]:[AGRUP. VALOR. PTO.]]=$B33,IF(DATOS_[[Check Periodo Ref.]:[Check Periodo Ref.]]="Dentro",IF(DATOS_[[Check Equiparado]:[Check Equiparado]]="Sí",IF(DATOS!AT$4="Sí",(1/DATOS_[[% anualiz]:[% anualiz]]),1)*IF(DATOS!AT$5="Sí",1/DATOS_[[% normaliz]:[% normaliz]],1)*(DATOS_[Conc.Sal.16])))))))), 0)</f>
        <v>0</v>
      </c>
      <c r="Z35" s="302" t="n">
        <f aca="false" t="array" ref="Z35:Z35">IFERROR( (AVERAGE((IF(DATOS_[[Sexo]:[Sexo]]=$B35,IF(DATOS_[[AGRUP. VALOR. PTO.]:[AGRUP. VALOR. PTO.]]=$B33,IF(DATOS_[[Check Periodo Ref.]:[Check Periodo Ref.]]="Dentro",IF(DATOS_[[Check Equiparado]:[Check Equiparado]]="Sí",IF(DATOS!AU$4="Sí",(1/DATOS_[[% anualiz]:[% anualiz]]),1)*IF(DATOS!AU$5="Sí",1/DATOS_[[% normaliz]:[% normaliz]],1)*(DATOS_[Conc.Sal.17])))))))), 0)</f>
        <v>0</v>
      </c>
      <c r="AA35" s="302" t="n">
        <f aca="false" t="array" ref="AA35:AA35">IFERROR( (AVERAGE((IF(DATOS_[[Sexo]:[Sexo]]=$B35,IF(DATOS_[[AGRUP. VALOR. PTO.]:[AGRUP. VALOR. PTO.]]=$B33,IF(DATOS_[[Check Periodo Ref.]:[Check Periodo Ref.]]="Dentro",IF(DATOS_[[Check Equiparado]:[Check Equiparado]]="Sí",IF(DATOS!AV$4="Sí",(1/DATOS_[[% anualiz]:[% anualiz]]),1)*IF(DATOS!AV$5="Sí",1/DATOS_[[% normaliz]:[% normaliz]],1)*(DATOS_[Conc.Sal.18])))))))), 0)</f>
        <v>0</v>
      </c>
      <c r="AB35" s="302" t="n">
        <f aca="false" t="array" ref="AB35:AB35">IFERROR( (AVERAGE((IF(DATOS_[[Sexo]:[Sexo]]=$B35,IF(DATOS_[[AGRUP. VALOR. PTO.]:[AGRUP. VALOR. PTO.]]=$B33,IF(DATOS_[[Check Periodo Ref.]:[Check Periodo Ref.]]="Dentro",IF(DATOS_[[Check Equiparado]:[Check Equiparado]]="Sí",IF(DATOS!AW$4="Sí",(1/DATOS_[[% anualiz]:[% anualiz]]),1)*IF(DATOS!AW$5="Sí",1/DATOS_[[% normaliz]:[% normaliz]],1)*(DATOS_[Conc.Sal.19])))))))), 0)</f>
        <v>0</v>
      </c>
      <c r="AC35" s="302" t="n">
        <f aca="false" t="array" ref="AC35:AC35">IFERROR( (AVERAGE((IF(DATOS_[[Sexo]:[Sexo]]=$B35,IF(DATOS_[[AGRUP. VALOR. PTO.]:[AGRUP. VALOR. PTO.]]=$B33,IF(DATOS_[[Check Periodo Ref.]:[Check Periodo Ref.]]="Dentro",IF(DATOS_[[Check Equiparado]:[Check Equiparado]]="Sí",IF(DATOS!AX$4="Sí",(1/DATOS_[[% anualiz]:[% anualiz]]),1)*IF(DATOS!AX$5="Sí",1/DATOS_[[% normaliz]:[% normaliz]],1)*(DATOS_[Conc.Sal.20])))))))), 0)</f>
        <v>0</v>
      </c>
      <c r="AD35" s="302" t="n">
        <f aca="false" t="array" ref="AD35:AD35">IFERROR( (AVERAGE((IF(DATOS_[[Sexo]:[Sexo]]=$B35,IF(DATOS_[[AGRUP. VALOR. PTO.]:[AGRUP. VALOR. PTO.]]=$B33,IF(DATOS_[[Check Periodo Ref.]:[Check Periodo Ref.]]="Dentro",IF(DATOS_[[Check Equiparado]:[Check Equiparado]]="Sí",IF(DATOS!AY$4="Sí",(1/DATOS_[[% anualiz]:[% anualiz]]),1)*IF(DATOS!AY$5="Sí",1/DATOS_[[% normaliz]:[% normaliz]],1)*(DATOS_[Conc.Sal.21])))))))), 0)</f>
        <v>0</v>
      </c>
      <c r="AE35" s="302" t="n">
        <f aca="false" t="array" ref="AE35:AE35">IFERROR( (AVERAGE((IF(DATOS_[[Sexo]:[Sexo]]=$B35,IF(DATOS_[[AGRUP. VALOR. PTO.]:[AGRUP. VALOR. PTO.]]=$B33,IF(DATOS_[[Check Periodo Ref.]:[Check Periodo Ref.]]="Dentro",IF(DATOS_[[Check Equiparado]:[Check Equiparado]]="Sí",IF(DATOS!AZ$4="Sí",(1/DATOS_[[% anualiz]:[% anualiz]]),1)*IF(DATOS!AZ$5="Sí",1/DATOS_[[% normaliz]:[% normaliz]],1)*(DATOS_[Conc.Sal.22])))))))), 0)</f>
        <v>0</v>
      </c>
      <c r="AF35" s="302" t="n">
        <f aca="false" t="array" ref="AF35:AF35">IFERROR( (AVERAGE((IF(DATOS_[[Sexo]:[Sexo]]=$B35,IF(DATOS_[[AGRUP. VALOR. PTO.]:[AGRUP. VALOR. PTO.]]=$B33,IF(DATOS_[[Check Periodo Ref.]:[Check Periodo Ref.]]="Dentro",IF(DATOS_[[Check Equiparado]:[Check Equiparado]]="Sí",IF(DATOS!BA$4="Sí",(1/DATOS_[[% anualiz]:[% anualiz]]),1)*IF(DATOS!BA$5="Sí",1/DATOS_[[% normaliz]:[% normaliz]],1)*(DATOS_[Conc.Sal.23])))))))), 0)</f>
        <v>0</v>
      </c>
      <c r="AG35" s="302" t="n">
        <f aca="false" t="array" ref="AG35:AG35">IFERROR( (AVERAGE((IF(DATOS_[[Sexo]:[Sexo]]=$B35,IF(DATOS_[[AGRUP. VALOR. PTO.]:[AGRUP. VALOR. PTO.]]=$B33,IF(DATOS_[[Check Periodo Ref.]:[Check Periodo Ref.]]="Dentro",IF(DATOS_[[Check Equiparado]:[Check Equiparado]]="Sí",IF(DATOS!BB$4="Sí",(1/DATOS_[[% anualiz]:[% anualiz]]),1)*IF(DATOS!BB$5="Sí",1/DATOS_[[% normaliz]:[% normaliz]],1)*(DATOS_[Conc.Sal.24])))))))), 0)</f>
        <v>0</v>
      </c>
      <c r="AH35" s="302" t="n">
        <f aca="false" t="array" ref="AH35:AH35">IFERROR( (AVERAGE((IF(DATOS_[[Sexo]:[Sexo]]=$B35,IF(DATOS_[[AGRUP. VALOR. PTO.]:[AGRUP. VALOR. PTO.]]=$B33,IF(DATOS_[[Check Periodo Ref.]:[Check Periodo Ref.]]="Dentro",IF(DATOS_[[Check Equiparado]:[Check Equiparado]]="Sí",IF(DATOS!BC$4="Sí",(1/DATOS_[[% anualiz]:[% anualiz]]),1)*IF(DATOS!BC$5="Sí",1/DATOS_[[% normaliz]:[% normaliz]],1)*(DATOS_[Conc.Sal.25])))))))), 0)</f>
        <v>0</v>
      </c>
      <c r="AI35" s="302" t="n">
        <f aca="false" t="array" ref="AI35:AI35">IFERROR( (AVERAGE((IF(DATOS_[[Sexo]:[Sexo]]=$B35,IF(DATOS_[[AGRUP. VALOR. PTO.]:[AGRUP. VALOR. PTO.]]=$B33,IF(DATOS_[[Check Periodo Ref.]:[Check Periodo Ref.]]="Dentro",IF(DATOS_[[Check Equiparado]:[Check Equiparado]]="Sí",IF(DATOS!BD$4="Sí",(1/DATOS_[[% anualiz]:[% anualiz]]),1)*IF(DATOS!BD$5="Sí",1/DATOS_[[% normaliz]:[% normaliz]],1)*(DATOS_[Conc.Sal.26])))))))), 0)</f>
        <v>0</v>
      </c>
      <c r="AJ35" s="302" t="n">
        <f aca="false" t="array" ref="AJ35:AJ35">IFERROR( (AVERAGE((IF(DATOS_[[Sexo]:[Sexo]]=$B35,IF(DATOS_[[AGRUP. VALOR. PTO.]:[AGRUP. VALOR. PTO.]]=$B33,IF(DATOS_[[Check Periodo Ref.]:[Check Periodo Ref.]]="Dentro",IF(DATOS_[[Check Equiparado]:[Check Equiparado]]="Sí",IF(DATOS!BE$4="Sí",(1/DATOS_[[% anualiz]:[% anualiz]]),1)*IF(DATOS!BE$5="Sí",1/DATOS_[[% normaliz]:[% normaliz]],1)*(DATOS_[Conc.Sal.27])))))))), 0)</f>
        <v>0</v>
      </c>
      <c r="AK35" s="302" t="n">
        <f aca="false" t="array" ref="AK35:AK35">IFERROR( (AVERAGE((IF(DATOS_[[Sexo]:[Sexo]]=$B35,IF(DATOS_[[AGRUP. VALOR. PTO.]:[AGRUP. VALOR. PTO.]]=$B33,IF(DATOS_[[Check Periodo Ref.]:[Check Periodo Ref.]]="Dentro",IF(DATOS_[[Check Equiparado]:[Check Equiparado]]="Sí",IF(DATOS!BF$4="Sí",(1/DATOS_[[% anualiz]:[% anualiz]]),1)*IF(DATOS!BF$5="Sí",1/DATOS_[[% normaliz]:[% normaliz]],1)*(DATOS_[Conc.Sal.28])))))))), 0)</f>
        <v>0</v>
      </c>
      <c r="AL35" s="302" t="n">
        <f aca="false" t="array" ref="AL35:AL35">IFERROR( (AVERAGE((IF(DATOS_[[Sexo]:[Sexo]]=$B35,IF(DATOS_[[AGRUP. VALOR. PTO.]:[AGRUP. VALOR. PTO.]]=$B33,IF(DATOS_[[Check Periodo Ref.]:[Check Periodo Ref.]]="Dentro",IF(DATOS_[[Check Equiparado]:[Check Equiparado]]="Sí",IF(DATOS!BG$4="Sí",(1/DATOS_[[% anualiz]:[% anualiz]]),1)*IF(DATOS!BG$5="Sí",1/DATOS_[[% normaliz]:[% normaliz]],1)*(DATOS_[Conc.Sal.29])))))))), 0)</f>
        <v>0</v>
      </c>
      <c r="AM35" s="302" t="n">
        <f aca="false" t="array" ref="AM35:AM35">IFERROR( (AVERAGE((IF(DATOS_[[Sexo]:[Sexo]]=$B35,IF(DATOS_[[AGRUP. VALOR. PTO.]:[AGRUP. VALOR. PTO.]]=$B33,IF(DATOS_[[Check Periodo Ref.]:[Check Periodo Ref.]]="Dentro",IF(DATOS_[[Check Equiparado]:[Check Equiparado]]="Sí",IF(DATOS!BH$4="Sí",(1/DATOS_[[% anualiz]:[% anualiz]]),1)*IF(DATOS!BH$5="Sí",1/DATOS_[[% normaliz]:[% normaliz]],1)*(DATOS_[Conc.Sal.30])))))))), 0)</f>
        <v>0</v>
      </c>
      <c r="AN35" s="294" t="n">
        <f aca="false" t="array" ref="AN35:AN35">IFERROR( AVERAGE(IF(DATOS_[Sexo]=$B35,IF(DATOS_[[AGRUP. VALOR. PTO.]:[AGRUP. VALOR. PTO.]]=$B33,IF(DATOS_[Check Equiparado]="Sí",IF(DATOS_[Check Periodo Ref.]="Dentro",DATOS_[Tot COMPL.SAL Eq],0))))), 0)</f>
        <v>0</v>
      </c>
      <c r="AO35" s="295" t="n">
        <f aca="false" t="array" ref="AO35:AO35">IFERROR( AVERAGE(IF(DATOS_[Sexo]=$B35,IF(DATOS_[[AGRUP. VALOR. PTO.]:[AGRUP. VALOR. PTO.]]=$B33,IF(DATOS_[Check Equiparado]="Sí",IF(DATOS_[Check Periodo Ref.]="Dentro",DATOS_[TOTAL SALARIO Eq],0))))), 0)</f>
        <v>0</v>
      </c>
      <c r="AP35" s="303" t="n">
        <f aca="false" t="array" ref="AP35:AP35">IFERROR( (AVERAGE((IF(DATOS_[[Sexo]:[Sexo]]=$B35,IF(DATOS_[[AGRUP. VALOR. PTO.]:[AGRUP. VALOR. PTO.]]=$B34,IF(DATOS_[[Check Periodo Ref.]:[Check Periodo Ref.]]="Dentro",IF(DATOS_[[Check Equiparado]:[Check Equiparado]]="Sí",IF(DATOS!BI$4="Sí",(1/DATOS_[[% anualiz]:[% anualiz]]),1)*IF(DATOS!BI$5="Sí",1/DATOS_[[% normaliz]:[% normaliz]],1)*(DATOS_[C.Extra.01])))))))), 0)</f>
        <v>0</v>
      </c>
      <c r="AQ35" s="303" t="n">
        <f aca="false" t="array" ref="AQ35:AQ35">IFERROR( (AVERAGE((IF(DATOS_[[Sexo]:[Sexo]]=$B35,IF(DATOS_[[AGRUP. VALOR. PTO.]:[AGRUP. VALOR. PTO.]]=$B34,IF(DATOS_[[Check Periodo Ref.]:[Check Periodo Ref.]]="Dentro",IF(DATOS_[[Check Equiparado]:[Check Equiparado]]="Sí",IF(DATOS!BJ$4="Sí",(1/DATOS_[[% anualiz]:[% anualiz]]),1)*IF(DATOS!BJ$5="Sí",1/DATOS_[[% normaliz]:[% normaliz]],1)*(DATOS_[C.Extra.02])))))))), 0)</f>
        <v>0</v>
      </c>
      <c r="AR35" s="303" t="n">
        <f aca="false" t="array" ref="AR35:AR35">IFERROR( (AVERAGE((IF(DATOS_[[Sexo]:[Sexo]]=$B35,IF(DATOS_[[AGRUP. VALOR. PTO.]:[AGRUP. VALOR. PTO.]]=$B34,IF(DATOS_[[Check Periodo Ref.]:[Check Periodo Ref.]]="Dentro",IF(DATOS_[[Check Equiparado]:[Check Equiparado]]="Sí",IF(DATOS!BK$4="Sí",(1/DATOS_[[% anualiz]:[% anualiz]]),1)*IF(DATOS!BK$5="Sí",1/DATOS_[[% normaliz]:[% normaliz]],1)*(DATOS_[C.Extra.03])))))))), 0)</f>
        <v>0</v>
      </c>
      <c r="AS35" s="303" t="n">
        <f aca="false" t="array" ref="AS35:AS35">IFERROR( (AVERAGE((IF(DATOS_[[Sexo]:[Sexo]]=$B35,IF(DATOS_[[AGRUP. VALOR. PTO.]:[AGRUP. VALOR. PTO.]]=$B34,IF(DATOS_[[Check Periodo Ref.]:[Check Periodo Ref.]]="Dentro",IF(DATOS_[[Check Equiparado]:[Check Equiparado]]="Sí",IF(DATOS!BL$4="Sí",(1/DATOS_[[% anualiz]:[% anualiz]]),1)*IF(DATOS!BL$5="Sí",1/DATOS_[[% normaliz]:[% normaliz]],1)*(DATOS_[C.Extra.04])))))))), 0)</f>
        <v>0</v>
      </c>
      <c r="AT35" s="303" t="n">
        <f aca="false" t="array" ref="AT35:AT35">IFERROR( (AVERAGE((IF(DATOS_[[Sexo]:[Sexo]]=$B35,IF(DATOS_[[AGRUP. VALOR. PTO.]:[AGRUP. VALOR. PTO.]]=$B34,IF(DATOS_[[Check Periodo Ref.]:[Check Periodo Ref.]]="Dentro",IF(DATOS_[[Check Equiparado]:[Check Equiparado]]="Sí",IF(DATOS!BM$4="Sí",(1/DATOS_[[% anualiz]:[% anualiz]]),1)*IF(DATOS!BM$5="Sí",1/DATOS_[[% normaliz]:[% normaliz]],1)*(DATOS_[C.Extra.05])))))))), 0)</f>
        <v>0</v>
      </c>
      <c r="AU35" s="297" t="n">
        <f aca="false" t="array" ref="AU35:AU35">IFERROR( AVERAGE(IF(DATOS_[Sexo]=$B35,IF(DATOS_[[AGRUP. VALOR. PTO.]:[AGRUP. VALOR. PTO.]]=$B33,IF(DATOS_[Check Equiparado]="Sí",IF(DATOS_[Check Periodo Ref.]="Dentro",DATOS_[Tot Extrasalarial Eq],0))))), 0)</f>
        <v>0</v>
      </c>
      <c r="AV35" s="298" t="n">
        <f aca="false" t="array" ref="AV35:AV35">IFERROR( AVERAGE(IF(DATOS_[Sexo]=$B35,IF(DATOS_[[AGRUP. VALOR. PTO.]:[AGRUP. VALOR. PTO.]]=$B33,IF(DATOS_[Check Equiparado]="Sí",IF(DATOS_[Check Periodo Ref.]="Dentro",DATOS_[TOTAL Retrib Eq],0))))), 0)</f>
        <v>0</v>
      </c>
    </row>
    <row r="36" customFormat="false" ht="15.75" hidden="false" customHeight="false" outlineLevel="0" collapsed="false">
      <c r="A36" s="166" t="str">
        <f aca="false">+A37</f>
        <v>[ocultar]</v>
      </c>
      <c r="B36" s="276" t="s">
        <v>190</v>
      </c>
      <c r="C36" s="277"/>
      <c r="D36" s="278"/>
      <c r="E36" s="278"/>
      <c r="F36" s="278"/>
      <c r="G36" s="278"/>
      <c r="H36" s="278"/>
      <c r="I36" s="279" t="str">
        <f aca="false">IFERROR((I37-I38)/I37,"")</f>
        <v/>
      </c>
      <c r="J36" s="280" t="str">
        <f aca="false">IFERROR((J37-J38)/J37,"")</f>
        <v/>
      </c>
      <c r="K36" s="281" t="str">
        <f aca="false">IFERROR((K37-K38)/K37,"")</f>
        <v/>
      </c>
      <c r="L36" s="281" t="str">
        <f aca="false">IFERROR((L37-L38)/L37,"")</f>
        <v/>
      </c>
      <c r="M36" s="281" t="str">
        <f aca="false">IFERROR((M37-M38)/M37,"")</f>
        <v/>
      </c>
      <c r="N36" s="282" t="str">
        <f aca="false">IFERROR((N37-N38)/N37,"")</f>
        <v/>
      </c>
      <c r="O36" s="283" t="str">
        <f aca="false">IFERROR((O37-O38)/O37,"")</f>
        <v/>
      </c>
      <c r="P36" s="283" t="str">
        <f aca="false">IFERROR((P37-P38)/P37,"")</f>
        <v/>
      </c>
      <c r="Q36" s="283" t="str">
        <f aca="false">IFERROR((Q37-Q38)/Q37,"")</f>
        <v/>
      </c>
      <c r="R36" s="283" t="str">
        <f aca="false">IFERROR((R37-R38)/R37,"")</f>
        <v/>
      </c>
      <c r="S36" s="283" t="str">
        <f aca="false">IFERROR((S37-S38)/S37,"")</f>
        <v/>
      </c>
      <c r="T36" s="283" t="str">
        <f aca="false">IFERROR((T37-T38)/T37,"")</f>
        <v/>
      </c>
      <c r="U36" s="283" t="str">
        <f aca="false">IFERROR((U37-U38)/U37,"")</f>
        <v/>
      </c>
      <c r="V36" s="283" t="str">
        <f aca="false">IFERROR((V37-V38)/V37,"")</f>
        <v/>
      </c>
      <c r="W36" s="283" t="str">
        <f aca="false">IFERROR((W37-W38)/W37,"")</f>
        <v/>
      </c>
      <c r="X36" s="283" t="str">
        <f aca="false">IFERROR((X37-X38)/X37,"")</f>
        <v/>
      </c>
      <c r="Y36" s="283" t="str">
        <f aca="false">IFERROR((Y37-Y38)/Y37,"")</f>
        <v/>
      </c>
      <c r="Z36" s="282" t="str">
        <f aca="false">IFERROR((Z37-Z38)/Z37,"")</f>
        <v/>
      </c>
      <c r="AA36" s="282" t="str">
        <f aca="false">IFERROR((AA37-AA38)/AA37,"")</f>
        <v/>
      </c>
      <c r="AB36" s="282" t="str">
        <f aca="false">IFERROR((AB37-AB38)/AB37,"")</f>
        <v/>
      </c>
      <c r="AC36" s="282" t="str">
        <f aca="false">IFERROR((AC37-AC38)/AC37,"")</f>
        <v/>
      </c>
      <c r="AD36" s="282" t="str">
        <f aca="false">IFERROR((AD37-AD38)/AD37,"")</f>
        <v/>
      </c>
      <c r="AE36" s="282" t="str">
        <f aca="false">IFERROR((AE37-AE38)/AE37,"")</f>
        <v/>
      </c>
      <c r="AF36" s="282" t="str">
        <f aca="false">IFERROR((AF37-AF38)/AF37,"")</f>
        <v/>
      </c>
      <c r="AG36" s="282" t="str">
        <f aca="false">IFERROR((AG37-AG38)/AG37,"")</f>
        <v/>
      </c>
      <c r="AH36" s="282" t="str">
        <f aca="false">IFERROR((AH37-AH38)/AH37,"")</f>
        <v/>
      </c>
      <c r="AI36" s="282" t="str">
        <f aca="false">IFERROR((AI37-AI38)/AI37,"")</f>
        <v/>
      </c>
      <c r="AJ36" s="282" t="str">
        <f aca="false">IFERROR((AJ37-AJ38)/AJ37,"")</f>
        <v/>
      </c>
      <c r="AK36" s="282" t="str">
        <f aca="false">IFERROR((AK37-AK38)/AK37,"")</f>
        <v/>
      </c>
      <c r="AL36" s="282" t="str">
        <f aca="false">IFERROR((AL37-AL38)/AL37,"")</f>
        <v/>
      </c>
      <c r="AM36" s="282" t="str">
        <f aca="false">IFERROR((AM37-AM38)/AM37,"")</f>
        <v/>
      </c>
      <c r="AN36" s="284" t="str">
        <f aca="false">IFERROR((AN37-AN38)/AN37,"")</f>
        <v/>
      </c>
      <c r="AO36" s="285" t="str">
        <f aca="false">IFERROR((AO37-AO38)/AO37,"")</f>
        <v/>
      </c>
      <c r="AP36" s="286" t="str">
        <f aca="false">IFERROR((AP37-AP38)/AP37,"")</f>
        <v/>
      </c>
      <c r="AQ36" s="286" t="str">
        <f aca="false">IFERROR((AQ37-AQ38)/AQ37,"")</f>
        <v/>
      </c>
      <c r="AR36" s="286" t="str">
        <f aca="false">IFERROR((AR37-AR38)/AR37,"")</f>
        <v/>
      </c>
      <c r="AS36" s="286" t="str">
        <f aca="false">IFERROR((AS37-AS38)/AS37,"")</f>
        <v/>
      </c>
      <c r="AT36" s="286" t="str">
        <f aca="false">IFERROR((AT37-AT38)/AT37,"")</f>
        <v/>
      </c>
      <c r="AU36" s="287" t="str">
        <f aca="false">IFERROR((AU37-AU38)/AU37,"")</f>
        <v/>
      </c>
      <c r="AV36" s="288" t="str">
        <f aca="false">IFERROR((AV37-AV38)/AV37,"")</f>
        <v/>
      </c>
    </row>
    <row r="37" customFormat="false" ht="14.25" hidden="false" customHeight="false" outlineLevel="0" collapsed="false">
      <c r="A37" s="166" t="str">
        <f aca="false">+IF(C37+C38=0,"[ocultar]","")</f>
        <v>[ocultar]</v>
      </c>
      <c r="B37" s="289" t="s">
        <v>371</v>
      </c>
      <c r="C37" s="290" t="n">
        <f aca="false" t="array" ref="C37:C37">SUM(IF($B37=DATOS_[Sexo], IF($B36=DATOS_[AGRUP. VALOR. PTO.], IF("Dentro"=DATOS_[Check Periodo Ref.], 1/(COUNTIFS(DATOS_[Sexo],$B37,DATOS_[AGRUP. VALOR. PTO.],$B36,DATOS_[Check Periodo Ref.],"Dentro",DATOS_[id],DATOS_[id]))))))</f>
        <v>0</v>
      </c>
      <c r="D37" s="291" t="n">
        <f aca="false">COUNTIFS(DATOS_[AGRUP. VALOR. PTO.],$B36,DATOS_[Sexo],$B37,DATOS_[Check Periodo Ref.],"Dentro")</f>
        <v>0</v>
      </c>
      <c r="E37" s="291" t="n">
        <f aca="false">COUNTIFS(DATOS_[AGRUP. VALOR. PTO.],$B36,DATOS_[Sexo],$B37,DATOS_[Check Periodo Ref.],"Dentro",DATOS_[Check Nº SC Norm],"Sí")</f>
        <v>0</v>
      </c>
      <c r="F37" s="291" t="n">
        <f aca="false">COUNTIFS(DATOS_[AGRUP. VALOR. PTO.],$B36,DATOS_[Sexo],$B37,DATOS_[Check Periodo Ref.],"Dentro",DATOS_[Check Nº SC Anualiz],"Sí")</f>
        <v>0</v>
      </c>
      <c r="G37" s="291" t="n">
        <f aca="false">COUNTIFS(DATOS_[AGRUP. VALOR. PTO.],$B36,DATOS_[Sexo],$B37,DATOS_[Check Periodo Ref.],"Dentro",DATOS_[Check Nº SC Norm y Anualiz],"Sí")</f>
        <v>0</v>
      </c>
      <c r="H37" s="291" t="n">
        <f aca="false">COUNTIFS(DATOS_[AGRUP. VALOR. PTO.],$B36,DATOS_[Sexo],$B37,DATOS_[Check Periodo Ref.],"Dentro",DATOS_[Check Equiparación],"Sí")</f>
        <v>0</v>
      </c>
      <c r="I37" s="292" t="n">
        <f aca="false" t="array" ref="I37:I37">IFERROR( AVERAGE(IF(DATOS_[Sexo]=$B37,IF(DATOS_[[AGRUP. VALOR. PTO.]:[AGRUP. VALOR. PTO.]]=$B36,IF(DATOS_[Check Equiparado]="Sí",IF(DATOS_[Check Periodo Ref.]="Dentro",DATOS_[SALARIO BASE Eq],0))))), 0)</f>
        <v>0</v>
      </c>
      <c r="J37" s="302" t="n">
        <f aca="false" t="array" ref="J37:J37">IFERROR( (AVERAGE((IF(DATOS_[[Sexo]:[Sexo]]=$B37,IF(DATOS_[[AGRUP. VALOR. PTO.]:[AGRUP. VALOR. PTO.]]=$B36,IF(DATOS_[[Check Periodo Ref.]:[Check Periodo Ref.]]="Dentro",IF(DATOS_[[Check Equiparado]:[Check Equiparado]]="Sí",IF(DATOS!AE$4="Sí",(1/DATOS_[[% anualiz]:[% anualiz]]),1)*IF(DATOS!AE$5="Sí",1/DATOS_[[% normaliz]:[% normaliz]],1)*(DATOS_[Conc.Sal.01])))))))), 0)</f>
        <v>0</v>
      </c>
      <c r="K37" s="302" t="n">
        <f aca="false" t="array" ref="K37:K37">IFERROR( (AVERAGE((IF(DATOS_[[Sexo]:[Sexo]]=$B37,IF(DATOS_[[AGRUP. VALOR. PTO.]:[AGRUP. VALOR. PTO.]]=$B36,IF(DATOS_[[Check Periodo Ref.]:[Check Periodo Ref.]]="Dentro",IF(DATOS_[[Check Equiparado]:[Check Equiparado]]="Sí",IF(DATOS!AF$4="Sí",(1/DATOS_[[% anualiz]:[% anualiz]]),1)*IF(DATOS!AF$5="Sí",1/DATOS_[[% normaliz]:[% normaliz]],1)*(DATOS_[Conc.Sal.02])))))))), 0)</f>
        <v>0</v>
      </c>
      <c r="L37" s="302" t="n">
        <f aca="false" t="array" ref="L37:L37">IFERROR( (AVERAGE((IF(DATOS_[[Sexo]:[Sexo]]=$B37,IF(DATOS_[[AGRUP. VALOR. PTO.]:[AGRUP. VALOR. PTO.]]=$B36,IF(DATOS_[[Check Periodo Ref.]:[Check Periodo Ref.]]="Dentro",IF(DATOS_[[Check Equiparado]:[Check Equiparado]]="Sí",IF(DATOS!AG$4="Sí",(1/DATOS_[[% anualiz]:[% anualiz]]),1)*IF(DATOS!AG$5="Sí",1/DATOS_[[% normaliz]:[% normaliz]],1)*(DATOS_[Conc.Sal.03])))))))), 0)</f>
        <v>0</v>
      </c>
      <c r="M37" s="302" t="n">
        <f aca="false" t="array" ref="M37:M37">IFERROR( (AVERAGE((IF(DATOS_[[Sexo]:[Sexo]]=$B37,IF(DATOS_[[AGRUP. VALOR. PTO.]:[AGRUP. VALOR. PTO.]]=$B36,IF(DATOS_[[Check Periodo Ref.]:[Check Periodo Ref.]]="Dentro",IF(DATOS_[[Check Equiparado]:[Check Equiparado]]="Sí",IF(DATOS!AH$4="Sí",(1/DATOS_[[% anualiz]:[% anualiz]]),1)*IF(DATOS!AH$5="Sí",1/DATOS_[[% normaliz]:[% normaliz]],1)*(DATOS_[Conc.Sal.04])))))))), 0)</f>
        <v>0</v>
      </c>
      <c r="N37" s="302" t="n">
        <f aca="false" t="array" ref="N37:N37">IFERROR( (AVERAGE((IF(DATOS_[[Sexo]:[Sexo]]=$B37,IF(DATOS_[[AGRUP. VALOR. PTO.]:[AGRUP. VALOR. PTO.]]=$B36,IF(DATOS_[[Check Periodo Ref.]:[Check Periodo Ref.]]="Dentro",IF(DATOS_[[Check Equiparado]:[Check Equiparado]]="Sí",IF(DATOS!AI$4="Sí",(1/DATOS_[[% anualiz]:[% anualiz]]),1)*IF(DATOS!AI$5="Sí",1/DATOS_[[% normaliz]:[% normaliz]],1)*(DATOS_[Conc.Sal.05])))))))), 0)</f>
        <v>0</v>
      </c>
      <c r="O37" s="302" t="n">
        <f aca="false" t="array" ref="O37:O37">IFERROR( (AVERAGE((IF(DATOS_[[Sexo]:[Sexo]]=$B37,IF(DATOS_[[AGRUP. VALOR. PTO.]:[AGRUP. VALOR. PTO.]]=$B36,IF(DATOS_[[Check Periodo Ref.]:[Check Periodo Ref.]]="Dentro",IF(DATOS_[[Check Equiparado]:[Check Equiparado]]="Sí",IF(DATOS!AJ$4="Sí",(1/DATOS_[[% anualiz]:[% anualiz]]),1)*IF(DATOS!AJ$5="Sí",1/DATOS_[[% normaliz]:[% normaliz]],1)*(DATOS_[Conc.Sal.06])))))))), 0)</f>
        <v>0</v>
      </c>
      <c r="P37" s="302" t="n">
        <f aca="false" t="array" ref="P37:P37">IFERROR( (AVERAGE((IF(DATOS_[[Sexo]:[Sexo]]=$B37,IF(DATOS_[[AGRUP. VALOR. PTO.]:[AGRUP. VALOR. PTO.]]=$B36,IF(DATOS_[[Check Periodo Ref.]:[Check Periodo Ref.]]="Dentro",IF(DATOS_[[Check Equiparado]:[Check Equiparado]]="Sí",IF(DATOS!AK$4="Sí",(1/DATOS_[[% anualiz]:[% anualiz]]),1)*IF(DATOS!AK$5="Sí",1/DATOS_[[% normaliz]:[% normaliz]],1)*(DATOS_[Conc.Sal.07])))))))), 0)</f>
        <v>0</v>
      </c>
      <c r="Q37" s="302" t="n">
        <f aca="false" t="array" ref="Q37:Q37">IFERROR( (AVERAGE((IF(DATOS_[[Sexo]:[Sexo]]=$B37,IF(DATOS_[[AGRUP. VALOR. PTO.]:[AGRUP. VALOR. PTO.]]=$B36,IF(DATOS_[[Check Periodo Ref.]:[Check Periodo Ref.]]="Dentro",IF(DATOS_[[Check Equiparado]:[Check Equiparado]]="Sí",IF(DATOS!AL$4="Sí",(1/DATOS_[[% anualiz]:[% anualiz]]),1)*IF(DATOS!AL$5="Sí",1/DATOS_[[% normaliz]:[% normaliz]],1)*(DATOS_[Conc.Sal.08])))))))), 0)</f>
        <v>0</v>
      </c>
      <c r="R37" s="302" t="n">
        <f aca="false" t="array" ref="R37:R37">IFERROR( (AVERAGE((IF(DATOS_[[Sexo]:[Sexo]]=$B37,IF(DATOS_[[AGRUP. VALOR. PTO.]:[AGRUP. VALOR. PTO.]]=$B36,IF(DATOS_[[Check Periodo Ref.]:[Check Periodo Ref.]]="Dentro",IF(DATOS_[[Check Equiparado]:[Check Equiparado]]="Sí",IF(DATOS!AM$4="Sí",(1/DATOS_[[% anualiz]:[% anualiz]]),1)*IF(DATOS!AM$5="Sí",1/DATOS_[[% normaliz]:[% normaliz]],1)*(DATOS_[Conc.Sal.09])))))))), 0)</f>
        <v>0</v>
      </c>
      <c r="S37" s="302" t="n">
        <f aca="false" t="array" ref="S37:S37">IFERROR( (AVERAGE((IF(DATOS_[[Sexo]:[Sexo]]=$B37,IF(DATOS_[[AGRUP. VALOR. PTO.]:[AGRUP. VALOR. PTO.]]=$B36,IF(DATOS_[[Check Periodo Ref.]:[Check Periodo Ref.]]="Dentro",IF(DATOS_[[Check Equiparado]:[Check Equiparado]]="Sí",IF(DATOS!AN$4="Sí",(1/DATOS_[[% anualiz]:[% anualiz]]),1)*IF(DATOS!AN$5="Sí",1/DATOS_[[% normaliz]:[% normaliz]],1)*(DATOS_[Conc.Sal.10])))))))), 0)</f>
        <v>0</v>
      </c>
      <c r="T37" s="302" t="n">
        <f aca="false" t="array" ref="T37:T37">IFERROR( (AVERAGE((IF(DATOS_[[Sexo]:[Sexo]]=$B37,IF(DATOS_[[AGRUP. VALOR. PTO.]:[AGRUP. VALOR. PTO.]]=$B36,IF(DATOS_[[Check Periodo Ref.]:[Check Periodo Ref.]]="Dentro",IF(DATOS_[[Check Equiparado]:[Check Equiparado]]="Sí",IF(DATOS!AO$4="Sí",(1/DATOS_[[% anualiz]:[% anualiz]]),1)*IF(DATOS!AO$5="Sí",1/DATOS_[[% normaliz]:[% normaliz]],1)*(DATOS_[Conc.Sal.11])))))))), 0)</f>
        <v>0</v>
      </c>
      <c r="U37" s="302" t="n">
        <f aca="false" t="array" ref="U37:U37">IFERROR( (AVERAGE((IF(DATOS_[[Sexo]:[Sexo]]=$B37,IF(DATOS_[[AGRUP. VALOR. PTO.]:[AGRUP. VALOR. PTO.]]=$B36,IF(DATOS_[[Check Periodo Ref.]:[Check Periodo Ref.]]="Dentro",IF(DATOS_[[Check Equiparado]:[Check Equiparado]]="Sí",IF(DATOS!AP$4="Sí",(1/DATOS_[[% anualiz]:[% anualiz]]),1)*IF(DATOS!AP$5="Sí",1/DATOS_[[% normaliz]:[% normaliz]],1)*(DATOS_[Conc.Sal.12])))))))), 0)</f>
        <v>0</v>
      </c>
      <c r="V37" s="302" t="n">
        <f aca="false" t="array" ref="V37:V37">IFERROR( (AVERAGE((IF(DATOS_[[Sexo]:[Sexo]]=$B37,IF(DATOS_[[AGRUP. VALOR. PTO.]:[AGRUP. VALOR. PTO.]]=$B36,IF(DATOS_[[Check Periodo Ref.]:[Check Periodo Ref.]]="Dentro",IF(DATOS_[[Check Equiparado]:[Check Equiparado]]="Sí",IF(DATOS!AQ$4="Sí",(1/DATOS_[[% anualiz]:[% anualiz]]),1)*IF(DATOS!AQ$5="Sí",1/DATOS_[[% normaliz]:[% normaliz]],1)*(DATOS_[Conc.Sal.13])))))))), 0)</f>
        <v>0</v>
      </c>
      <c r="W37" s="302" t="n">
        <f aca="false" t="array" ref="W37:W37">IFERROR( (AVERAGE((IF(DATOS_[[Sexo]:[Sexo]]=$B37,IF(DATOS_[[AGRUP. VALOR. PTO.]:[AGRUP. VALOR. PTO.]]=$B36,IF(DATOS_[[Check Periodo Ref.]:[Check Periodo Ref.]]="Dentro",IF(DATOS_[[Check Equiparado]:[Check Equiparado]]="Sí",IF(DATOS!AR$4="Sí",(1/DATOS_[[% anualiz]:[% anualiz]]),1)*IF(DATOS!AR$5="Sí",1/DATOS_[[% normaliz]:[% normaliz]],1)*(DATOS_[Conc.Sal.14])))))))), 0)</f>
        <v>0</v>
      </c>
      <c r="X37" s="302" t="n">
        <f aca="false" t="array" ref="X37:X37">IFERROR( (AVERAGE((IF(DATOS_[[Sexo]:[Sexo]]=$B37,IF(DATOS_[[AGRUP. VALOR. PTO.]:[AGRUP. VALOR. PTO.]]=$B36,IF(DATOS_[[Check Periodo Ref.]:[Check Periodo Ref.]]="Dentro",IF(DATOS_[[Check Equiparado]:[Check Equiparado]]="Sí",IF(DATOS!AS$4="Sí",(1/DATOS_[[% anualiz]:[% anualiz]]),1)*IF(DATOS!AS$5="Sí",1/DATOS_[[% normaliz]:[% normaliz]],1)*(DATOS_[Conc.Sal.15])))))))), 0)</f>
        <v>0</v>
      </c>
      <c r="Y37" s="302" t="n">
        <f aca="false" t="array" ref="Y37:Y37">IFERROR( (AVERAGE((IF(DATOS_[[Sexo]:[Sexo]]=$B37,IF(DATOS_[[AGRUP. VALOR. PTO.]:[AGRUP. VALOR. PTO.]]=$B36,IF(DATOS_[[Check Periodo Ref.]:[Check Periodo Ref.]]="Dentro",IF(DATOS_[[Check Equiparado]:[Check Equiparado]]="Sí",IF(DATOS!AT$4="Sí",(1/DATOS_[[% anualiz]:[% anualiz]]),1)*IF(DATOS!AT$5="Sí",1/DATOS_[[% normaliz]:[% normaliz]],1)*(DATOS_[Conc.Sal.16])))))))), 0)</f>
        <v>0</v>
      </c>
      <c r="Z37" s="302" t="n">
        <f aca="false" t="array" ref="Z37:Z37">IFERROR( (AVERAGE((IF(DATOS_[[Sexo]:[Sexo]]=$B37,IF(DATOS_[[AGRUP. VALOR. PTO.]:[AGRUP. VALOR. PTO.]]=$B36,IF(DATOS_[[Check Periodo Ref.]:[Check Periodo Ref.]]="Dentro",IF(DATOS_[[Check Equiparado]:[Check Equiparado]]="Sí",IF(DATOS!AU$4="Sí",(1/DATOS_[[% anualiz]:[% anualiz]]),1)*IF(DATOS!AU$5="Sí",1/DATOS_[[% normaliz]:[% normaliz]],1)*(DATOS_[Conc.Sal.17])))))))), 0)</f>
        <v>0</v>
      </c>
      <c r="AA37" s="302" t="n">
        <f aca="false" t="array" ref="AA37:AA37">IFERROR( (AVERAGE((IF(DATOS_[[Sexo]:[Sexo]]=$B37,IF(DATOS_[[AGRUP. VALOR. PTO.]:[AGRUP. VALOR. PTO.]]=$B36,IF(DATOS_[[Check Periodo Ref.]:[Check Periodo Ref.]]="Dentro",IF(DATOS_[[Check Equiparado]:[Check Equiparado]]="Sí",IF(DATOS!AV$4="Sí",(1/DATOS_[[% anualiz]:[% anualiz]]),1)*IF(DATOS!AV$5="Sí",1/DATOS_[[% normaliz]:[% normaliz]],1)*(DATOS_[Conc.Sal.18])))))))), 0)</f>
        <v>0</v>
      </c>
      <c r="AB37" s="302" t="n">
        <f aca="false" t="array" ref="AB37:AB37">IFERROR( (AVERAGE((IF(DATOS_[[Sexo]:[Sexo]]=$B37,IF(DATOS_[[AGRUP. VALOR. PTO.]:[AGRUP. VALOR. PTO.]]=$B36,IF(DATOS_[[Check Periodo Ref.]:[Check Periodo Ref.]]="Dentro",IF(DATOS_[[Check Equiparado]:[Check Equiparado]]="Sí",IF(DATOS!AW$4="Sí",(1/DATOS_[[% anualiz]:[% anualiz]]),1)*IF(DATOS!AW$5="Sí",1/DATOS_[[% normaliz]:[% normaliz]],1)*(DATOS_[Conc.Sal.19])))))))), 0)</f>
        <v>0</v>
      </c>
      <c r="AC37" s="302" t="n">
        <f aca="false" t="array" ref="AC37:AC37">IFERROR( (AVERAGE((IF(DATOS_[[Sexo]:[Sexo]]=$B37,IF(DATOS_[[AGRUP. VALOR. PTO.]:[AGRUP. VALOR. PTO.]]=$B36,IF(DATOS_[[Check Periodo Ref.]:[Check Periodo Ref.]]="Dentro",IF(DATOS_[[Check Equiparado]:[Check Equiparado]]="Sí",IF(DATOS!AX$4="Sí",(1/DATOS_[[% anualiz]:[% anualiz]]),1)*IF(DATOS!AX$5="Sí",1/DATOS_[[% normaliz]:[% normaliz]],1)*(DATOS_[Conc.Sal.20])))))))), 0)</f>
        <v>0</v>
      </c>
      <c r="AD37" s="302" t="n">
        <f aca="false" t="array" ref="AD37:AD37">IFERROR( (AVERAGE((IF(DATOS_[[Sexo]:[Sexo]]=$B37,IF(DATOS_[[AGRUP. VALOR. PTO.]:[AGRUP. VALOR. PTO.]]=$B36,IF(DATOS_[[Check Periodo Ref.]:[Check Periodo Ref.]]="Dentro",IF(DATOS_[[Check Equiparado]:[Check Equiparado]]="Sí",IF(DATOS!AY$4="Sí",(1/DATOS_[[% anualiz]:[% anualiz]]),1)*IF(DATOS!AY$5="Sí",1/DATOS_[[% normaliz]:[% normaliz]],1)*(DATOS_[Conc.Sal.21])))))))), 0)</f>
        <v>0</v>
      </c>
      <c r="AE37" s="302" t="n">
        <f aca="false" t="array" ref="AE37:AE37">IFERROR( (AVERAGE((IF(DATOS_[[Sexo]:[Sexo]]=$B37,IF(DATOS_[[AGRUP. VALOR. PTO.]:[AGRUP. VALOR. PTO.]]=$B36,IF(DATOS_[[Check Periodo Ref.]:[Check Periodo Ref.]]="Dentro",IF(DATOS_[[Check Equiparado]:[Check Equiparado]]="Sí",IF(DATOS!AZ$4="Sí",(1/DATOS_[[% anualiz]:[% anualiz]]),1)*IF(DATOS!AZ$5="Sí",1/DATOS_[[% normaliz]:[% normaliz]],1)*(DATOS_[Conc.Sal.22])))))))), 0)</f>
        <v>0</v>
      </c>
      <c r="AF37" s="302" t="n">
        <f aca="false" t="array" ref="AF37:AF37">IFERROR( (AVERAGE((IF(DATOS_[[Sexo]:[Sexo]]=$B37,IF(DATOS_[[AGRUP. VALOR. PTO.]:[AGRUP. VALOR. PTO.]]=$B36,IF(DATOS_[[Check Periodo Ref.]:[Check Periodo Ref.]]="Dentro",IF(DATOS_[[Check Equiparado]:[Check Equiparado]]="Sí",IF(DATOS!BA$4="Sí",(1/DATOS_[[% anualiz]:[% anualiz]]),1)*IF(DATOS!BA$5="Sí",1/DATOS_[[% normaliz]:[% normaliz]],1)*(DATOS_[Conc.Sal.23])))))))), 0)</f>
        <v>0</v>
      </c>
      <c r="AG37" s="302" t="n">
        <f aca="false" t="array" ref="AG37:AG37">IFERROR( (AVERAGE((IF(DATOS_[[Sexo]:[Sexo]]=$B37,IF(DATOS_[[AGRUP. VALOR. PTO.]:[AGRUP. VALOR. PTO.]]=$B36,IF(DATOS_[[Check Periodo Ref.]:[Check Periodo Ref.]]="Dentro",IF(DATOS_[[Check Equiparado]:[Check Equiparado]]="Sí",IF(DATOS!BB$4="Sí",(1/DATOS_[[% anualiz]:[% anualiz]]),1)*IF(DATOS!BB$5="Sí",1/DATOS_[[% normaliz]:[% normaliz]],1)*(DATOS_[Conc.Sal.24])))))))), 0)</f>
        <v>0</v>
      </c>
      <c r="AH37" s="302" t="n">
        <f aca="false" t="array" ref="AH37:AH37">IFERROR( (AVERAGE((IF(DATOS_[[Sexo]:[Sexo]]=$B37,IF(DATOS_[[AGRUP. VALOR. PTO.]:[AGRUP. VALOR. PTO.]]=$B36,IF(DATOS_[[Check Periodo Ref.]:[Check Periodo Ref.]]="Dentro",IF(DATOS_[[Check Equiparado]:[Check Equiparado]]="Sí",IF(DATOS!BC$4="Sí",(1/DATOS_[[% anualiz]:[% anualiz]]),1)*IF(DATOS!BC$5="Sí",1/DATOS_[[% normaliz]:[% normaliz]],1)*(DATOS_[Conc.Sal.25])))))))), 0)</f>
        <v>0</v>
      </c>
      <c r="AI37" s="302" t="n">
        <f aca="false" t="array" ref="AI37:AI37">IFERROR( (AVERAGE((IF(DATOS_[[Sexo]:[Sexo]]=$B37,IF(DATOS_[[AGRUP. VALOR. PTO.]:[AGRUP. VALOR. PTO.]]=$B36,IF(DATOS_[[Check Periodo Ref.]:[Check Periodo Ref.]]="Dentro",IF(DATOS_[[Check Equiparado]:[Check Equiparado]]="Sí",IF(DATOS!BD$4="Sí",(1/DATOS_[[% anualiz]:[% anualiz]]),1)*IF(DATOS!BD$5="Sí",1/DATOS_[[% normaliz]:[% normaliz]],1)*(DATOS_[Conc.Sal.26])))))))), 0)</f>
        <v>0</v>
      </c>
      <c r="AJ37" s="302" t="n">
        <f aca="false" t="array" ref="AJ37:AJ37">IFERROR( (AVERAGE((IF(DATOS_[[Sexo]:[Sexo]]=$B37,IF(DATOS_[[AGRUP. VALOR. PTO.]:[AGRUP. VALOR. PTO.]]=$B36,IF(DATOS_[[Check Periodo Ref.]:[Check Periodo Ref.]]="Dentro",IF(DATOS_[[Check Equiparado]:[Check Equiparado]]="Sí",IF(DATOS!BE$4="Sí",(1/DATOS_[[% anualiz]:[% anualiz]]),1)*IF(DATOS!BE$5="Sí",1/DATOS_[[% normaliz]:[% normaliz]],1)*(DATOS_[Conc.Sal.27])))))))), 0)</f>
        <v>0</v>
      </c>
      <c r="AK37" s="302" t="n">
        <f aca="false" t="array" ref="AK37:AK37">IFERROR( (AVERAGE((IF(DATOS_[[Sexo]:[Sexo]]=$B37,IF(DATOS_[[AGRUP. VALOR. PTO.]:[AGRUP. VALOR. PTO.]]=$B36,IF(DATOS_[[Check Periodo Ref.]:[Check Periodo Ref.]]="Dentro",IF(DATOS_[[Check Equiparado]:[Check Equiparado]]="Sí",IF(DATOS!BF$4="Sí",(1/DATOS_[[% anualiz]:[% anualiz]]),1)*IF(DATOS!BF$5="Sí",1/DATOS_[[% normaliz]:[% normaliz]],1)*(DATOS_[Conc.Sal.28])))))))), 0)</f>
        <v>0</v>
      </c>
      <c r="AL37" s="302" t="n">
        <f aca="false" t="array" ref="AL37:AL37">IFERROR( (AVERAGE((IF(DATOS_[[Sexo]:[Sexo]]=$B37,IF(DATOS_[[AGRUP. VALOR. PTO.]:[AGRUP. VALOR. PTO.]]=$B36,IF(DATOS_[[Check Periodo Ref.]:[Check Periodo Ref.]]="Dentro",IF(DATOS_[[Check Equiparado]:[Check Equiparado]]="Sí",IF(DATOS!BG$4="Sí",(1/DATOS_[[% anualiz]:[% anualiz]]),1)*IF(DATOS!BG$5="Sí",1/DATOS_[[% normaliz]:[% normaliz]],1)*(DATOS_[Conc.Sal.29])))))))), 0)</f>
        <v>0</v>
      </c>
      <c r="AM37" s="302" t="n">
        <f aca="false" t="array" ref="AM37:AM37">IFERROR( (AVERAGE((IF(DATOS_[[Sexo]:[Sexo]]=$B37,IF(DATOS_[[AGRUP. VALOR. PTO.]:[AGRUP. VALOR. PTO.]]=$B36,IF(DATOS_[[Check Periodo Ref.]:[Check Periodo Ref.]]="Dentro",IF(DATOS_[[Check Equiparado]:[Check Equiparado]]="Sí",IF(DATOS!BH$4="Sí",(1/DATOS_[[% anualiz]:[% anualiz]]),1)*IF(DATOS!BH$5="Sí",1/DATOS_[[% normaliz]:[% normaliz]],1)*(DATOS_[Conc.Sal.30])))))))), 0)</f>
        <v>0</v>
      </c>
      <c r="AN37" s="294" t="n">
        <f aca="false" t="array" ref="AN37:AN37">IFERROR( AVERAGE(IF(DATOS_[Sexo]=$B37,IF(DATOS_[[AGRUP. VALOR. PTO.]:[AGRUP. VALOR. PTO.]]=$B36,IF(DATOS_[Check Equiparado]="Sí",IF(DATOS_[Check Periodo Ref.]="Dentro",DATOS_[Tot COMPL.SAL Eq],0))))), 0)</f>
        <v>0</v>
      </c>
      <c r="AO37" s="295" t="n">
        <f aca="false" t="array" ref="AO37:AO37">IFERROR( AVERAGE(IF(DATOS_[Sexo]=$B37,IF(DATOS_[[AGRUP. VALOR. PTO.]:[AGRUP. VALOR. PTO.]]=$B36,IF(DATOS_[Check Equiparado]="Sí",IF(DATOS_[Check Periodo Ref.]="Dentro",DATOS_[TOTAL SALARIO Eq],0))))), 0)</f>
        <v>0</v>
      </c>
      <c r="AP37" s="303" t="n">
        <f aca="false" t="array" ref="AP37:AP37">IFERROR( (AVERAGE((IF(DATOS_[[Sexo]:[Sexo]]=$B37,IF(DATOS_[[AGRUP. VALOR. PTO.]:[AGRUP. VALOR. PTO.]]=$B36,IF(DATOS_[[Check Periodo Ref.]:[Check Periodo Ref.]]="Dentro",IF(DATOS_[[Check Equiparado]:[Check Equiparado]]="Sí",IF(DATOS!BI$4="Sí",(1/DATOS_[[% anualiz]:[% anualiz]]),1)*IF(DATOS!BI$5="Sí",1/DATOS_[[% normaliz]:[% normaliz]],1)*(DATOS_[C.Extra.01])))))))), 0)</f>
        <v>0</v>
      </c>
      <c r="AQ37" s="303" t="n">
        <f aca="false" t="array" ref="AQ37:AQ37">IFERROR( (AVERAGE((IF(DATOS_[[Sexo]:[Sexo]]=$B37,IF(DATOS_[[AGRUP. VALOR. PTO.]:[AGRUP. VALOR. PTO.]]=$B36,IF(DATOS_[[Check Periodo Ref.]:[Check Periodo Ref.]]="Dentro",IF(DATOS_[[Check Equiparado]:[Check Equiparado]]="Sí",IF(DATOS!BJ$4="Sí",(1/DATOS_[[% anualiz]:[% anualiz]]),1)*IF(DATOS!BJ$5="Sí",1/DATOS_[[% normaliz]:[% normaliz]],1)*(DATOS_[C.Extra.02])))))))), 0)</f>
        <v>0</v>
      </c>
      <c r="AR37" s="303" t="n">
        <f aca="false" t="array" ref="AR37:AR37">IFERROR( (AVERAGE((IF(DATOS_[[Sexo]:[Sexo]]=$B37,IF(DATOS_[[AGRUP. VALOR. PTO.]:[AGRUP. VALOR. PTO.]]=$B36,IF(DATOS_[[Check Periodo Ref.]:[Check Periodo Ref.]]="Dentro",IF(DATOS_[[Check Equiparado]:[Check Equiparado]]="Sí",IF(DATOS!BK$4="Sí",(1/DATOS_[[% anualiz]:[% anualiz]]),1)*IF(DATOS!BK$5="Sí",1/DATOS_[[% normaliz]:[% normaliz]],1)*(DATOS_[C.Extra.03])))))))), 0)</f>
        <v>0</v>
      </c>
      <c r="AS37" s="303" t="n">
        <f aca="false" t="array" ref="AS37:AS37">IFERROR( (AVERAGE((IF(DATOS_[[Sexo]:[Sexo]]=$B37,IF(DATOS_[[AGRUP. VALOR. PTO.]:[AGRUP. VALOR. PTO.]]=$B36,IF(DATOS_[[Check Periodo Ref.]:[Check Periodo Ref.]]="Dentro",IF(DATOS_[[Check Equiparado]:[Check Equiparado]]="Sí",IF(DATOS!BL$4="Sí",(1/DATOS_[[% anualiz]:[% anualiz]]),1)*IF(DATOS!BL$5="Sí",1/DATOS_[[% normaliz]:[% normaliz]],1)*(DATOS_[C.Extra.04])))))))), 0)</f>
        <v>0</v>
      </c>
      <c r="AT37" s="303" t="n">
        <f aca="false" t="array" ref="AT37:AT37">IFERROR( (AVERAGE((IF(DATOS_[[Sexo]:[Sexo]]=$B37,IF(DATOS_[[AGRUP. VALOR. PTO.]:[AGRUP. VALOR. PTO.]]=$B36,IF(DATOS_[[Check Periodo Ref.]:[Check Periodo Ref.]]="Dentro",IF(DATOS_[[Check Equiparado]:[Check Equiparado]]="Sí",IF(DATOS!BM$4="Sí",(1/DATOS_[[% anualiz]:[% anualiz]]),1)*IF(DATOS!BM$5="Sí",1/DATOS_[[% normaliz]:[% normaliz]],1)*(DATOS_[C.Extra.05])))))))), 0)</f>
        <v>0</v>
      </c>
      <c r="AU37" s="297" t="n">
        <f aca="false" t="array" ref="AU37:AU37">IFERROR( AVERAGE(IF(DATOS_[Sexo]=$B37,IF(DATOS_[[AGRUP. VALOR. PTO.]:[AGRUP. VALOR. PTO.]]=$B36,IF(DATOS_[Check Equiparado]="Sí",IF(DATOS_[Check Periodo Ref.]="Dentro",DATOS_[Tot Extrasalarial Eq],0))))), 0)</f>
        <v>0</v>
      </c>
      <c r="AV37" s="298" t="n">
        <f aca="false" t="array" ref="AV37:AV37">IFERROR( AVERAGE(IF(DATOS_[Sexo]=$B37,IF(DATOS_[[AGRUP. VALOR. PTO.]:[AGRUP. VALOR. PTO.]]=$B36,IF(DATOS_[Check Equiparado]="Sí",IF(DATOS_[Check Periodo Ref.]="Dentro",DATOS_[TOTAL Retrib Eq],0))))), 0)</f>
        <v>0</v>
      </c>
    </row>
    <row r="38" customFormat="false" ht="14.25" hidden="false" customHeight="false" outlineLevel="0" collapsed="false">
      <c r="A38" s="166" t="str">
        <f aca="false">+A37</f>
        <v>[ocultar]</v>
      </c>
      <c r="B38" s="289" t="s">
        <v>372</v>
      </c>
      <c r="C38" s="290" t="n">
        <f aca="false" t="array" ref="C38:C38">SUM(IF($B38=DATOS_[Sexo], IF($B36=DATOS_[AGRUP. VALOR. PTO.], IF("Dentro"=DATOS_[Check Periodo Ref.], 1/(COUNTIFS(DATOS_[Sexo],$B38,DATOS_[AGRUP. VALOR. PTO.],$B36,DATOS_[Check Periodo Ref.],"Dentro",DATOS_[id],DATOS_[id]))))))</f>
        <v>0</v>
      </c>
      <c r="D38" s="291" t="n">
        <f aca="false">COUNTIFS(DATOS_[AGRUP. VALOR. PTO.],$B36,DATOS_[Sexo],$B38,DATOS_[Check Periodo Ref.],"Dentro")</f>
        <v>0</v>
      </c>
      <c r="E38" s="291" t="n">
        <f aca="false">COUNTIFS(DATOS_[AGRUP. VALOR. PTO.],$B36,DATOS_[Sexo],$B38,DATOS_[Check Periodo Ref.],"Dentro",DATOS_[Check Nº SC Norm],"Sí")</f>
        <v>0</v>
      </c>
      <c r="F38" s="291" t="n">
        <f aca="false">COUNTIFS(DATOS_[AGRUP. VALOR. PTO.],$B36,DATOS_[Sexo],$B38,DATOS_[Check Periodo Ref.],"Dentro",DATOS_[Check Nº SC Anualiz],"Sí")</f>
        <v>0</v>
      </c>
      <c r="G38" s="291" t="n">
        <f aca="false">COUNTIFS(DATOS_[AGRUP. VALOR. PTO.],$B36,DATOS_[Sexo],$B38,DATOS_[Check Periodo Ref.],"Dentro",DATOS_[Check Nº SC Norm y Anualiz],"Sí")</f>
        <v>0</v>
      </c>
      <c r="H38" s="291" t="n">
        <f aca="false">COUNTIFS(DATOS_[AGRUP. VALOR. PTO.],$B36,DATOS_[Sexo],$B38,DATOS_[Check Periodo Ref.],"Dentro",DATOS_[Check Equiparación],"Sí")</f>
        <v>0</v>
      </c>
      <c r="I38" s="292" t="n">
        <f aca="false" t="array" ref="I38:I38">IFERROR( AVERAGE(IF(DATOS_[Sexo]=$B38,IF(DATOS_[[AGRUP. VALOR. PTO.]:[AGRUP. VALOR. PTO.]]=$B36,IF(DATOS_[Check Equiparado]="Sí",IF(DATOS_[Check Periodo Ref.]="Dentro",DATOS_[SALARIO BASE Eq],0))))), 0)</f>
        <v>0</v>
      </c>
      <c r="J38" s="302" t="n">
        <f aca="false" t="array" ref="J38:J38">IFERROR( (AVERAGE((IF(DATOS_[[Sexo]:[Sexo]]=$B38,IF(DATOS_[[AGRUP. VALOR. PTO.]:[AGRUP. VALOR. PTO.]]=$B36,IF(DATOS_[[Check Periodo Ref.]:[Check Periodo Ref.]]="Dentro",IF(DATOS_[[Check Equiparado]:[Check Equiparado]]="Sí",IF(DATOS!AE$4="Sí",(1/DATOS_[[% anualiz]:[% anualiz]]),1)*IF(DATOS!AE$5="Sí",1/DATOS_[[% normaliz]:[% normaliz]],1)*(DATOS_[Conc.Sal.01])))))))), 0)</f>
        <v>0</v>
      </c>
      <c r="K38" s="302" t="n">
        <f aca="false" t="array" ref="K38:K38">IFERROR( (AVERAGE((IF(DATOS_[[Sexo]:[Sexo]]=$B38,IF(DATOS_[[AGRUP. VALOR. PTO.]:[AGRUP. VALOR. PTO.]]=$B36,IF(DATOS_[[Check Periodo Ref.]:[Check Periodo Ref.]]="Dentro",IF(DATOS_[[Check Equiparado]:[Check Equiparado]]="Sí",IF(DATOS!AF$4="Sí",(1/DATOS_[[% anualiz]:[% anualiz]]),1)*IF(DATOS!AF$5="Sí",1/DATOS_[[% normaliz]:[% normaliz]],1)*(DATOS_[Conc.Sal.02])))))))), 0)</f>
        <v>0</v>
      </c>
      <c r="L38" s="302" t="n">
        <f aca="false" t="array" ref="L38:L38">IFERROR( (AVERAGE((IF(DATOS_[[Sexo]:[Sexo]]=$B38,IF(DATOS_[[AGRUP. VALOR. PTO.]:[AGRUP. VALOR. PTO.]]=$B36,IF(DATOS_[[Check Periodo Ref.]:[Check Periodo Ref.]]="Dentro",IF(DATOS_[[Check Equiparado]:[Check Equiparado]]="Sí",IF(DATOS!AG$4="Sí",(1/DATOS_[[% anualiz]:[% anualiz]]),1)*IF(DATOS!AG$5="Sí",1/DATOS_[[% normaliz]:[% normaliz]],1)*(DATOS_[Conc.Sal.03])))))))), 0)</f>
        <v>0</v>
      </c>
      <c r="M38" s="302" t="n">
        <f aca="false" t="array" ref="M38:M38">IFERROR( (AVERAGE((IF(DATOS_[[Sexo]:[Sexo]]=$B38,IF(DATOS_[[AGRUP. VALOR. PTO.]:[AGRUP. VALOR. PTO.]]=$B36,IF(DATOS_[[Check Periodo Ref.]:[Check Periodo Ref.]]="Dentro",IF(DATOS_[[Check Equiparado]:[Check Equiparado]]="Sí",IF(DATOS!AH$4="Sí",(1/DATOS_[[% anualiz]:[% anualiz]]),1)*IF(DATOS!AH$5="Sí",1/DATOS_[[% normaliz]:[% normaliz]],1)*(DATOS_[Conc.Sal.04])))))))), 0)</f>
        <v>0</v>
      </c>
      <c r="N38" s="302" t="n">
        <f aca="false" t="array" ref="N38:N38">IFERROR( (AVERAGE((IF(DATOS_[[Sexo]:[Sexo]]=$B38,IF(DATOS_[[AGRUP. VALOR. PTO.]:[AGRUP. VALOR. PTO.]]=$B36,IF(DATOS_[[Check Periodo Ref.]:[Check Periodo Ref.]]="Dentro",IF(DATOS_[[Check Equiparado]:[Check Equiparado]]="Sí",IF(DATOS!AI$4="Sí",(1/DATOS_[[% anualiz]:[% anualiz]]),1)*IF(DATOS!AI$5="Sí",1/DATOS_[[% normaliz]:[% normaliz]],1)*(DATOS_[Conc.Sal.05])))))))), 0)</f>
        <v>0</v>
      </c>
      <c r="O38" s="302" t="n">
        <f aca="false" t="array" ref="O38:O38">IFERROR( (AVERAGE((IF(DATOS_[[Sexo]:[Sexo]]=$B38,IF(DATOS_[[AGRUP. VALOR. PTO.]:[AGRUP. VALOR. PTO.]]=$B36,IF(DATOS_[[Check Periodo Ref.]:[Check Periodo Ref.]]="Dentro",IF(DATOS_[[Check Equiparado]:[Check Equiparado]]="Sí",IF(DATOS!AJ$4="Sí",(1/DATOS_[[% anualiz]:[% anualiz]]),1)*IF(DATOS!AJ$5="Sí",1/DATOS_[[% normaliz]:[% normaliz]],1)*(DATOS_[Conc.Sal.06])))))))), 0)</f>
        <v>0</v>
      </c>
      <c r="P38" s="302" t="n">
        <f aca="false" t="array" ref="P38:P38">IFERROR( (AVERAGE((IF(DATOS_[[Sexo]:[Sexo]]=$B38,IF(DATOS_[[AGRUP. VALOR. PTO.]:[AGRUP. VALOR. PTO.]]=$B36,IF(DATOS_[[Check Periodo Ref.]:[Check Periodo Ref.]]="Dentro",IF(DATOS_[[Check Equiparado]:[Check Equiparado]]="Sí",IF(DATOS!AK$4="Sí",(1/DATOS_[[% anualiz]:[% anualiz]]),1)*IF(DATOS!AK$5="Sí",1/DATOS_[[% normaliz]:[% normaliz]],1)*(DATOS_[Conc.Sal.07])))))))), 0)</f>
        <v>0</v>
      </c>
      <c r="Q38" s="302" t="n">
        <f aca="false" t="array" ref="Q38:Q38">IFERROR( (AVERAGE((IF(DATOS_[[Sexo]:[Sexo]]=$B38,IF(DATOS_[[AGRUP. VALOR. PTO.]:[AGRUP. VALOR. PTO.]]=$B36,IF(DATOS_[[Check Periodo Ref.]:[Check Periodo Ref.]]="Dentro",IF(DATOS_[[Check Equiparado]:[Check Equiparado]]="Sí",IF(DATOS!AL$4="Sí",(1/DATOS_[[% anualiz]:[% anualiz]]),1)*IF(DATOS!AL$5="Sí",1/DATOS_[[% normaliz]:[% normaliz]],1)*(DATOS_[Conc.Sal.08])))))))), 0)</f>
        <v>0</v>
      </c>
      <c r="R38" s="302" t="n">
        <f aca="false" t="array" ref="R38:R38">IFERROR( (AVERAGE((IF(DATOS_[[Sexo]:[Sexo]]=$B38,IF(DATOS_[[AGRUP. VALOR. PTO.]:[AGRUP. VALOR. PTO.]]=$B36,IF(DATOS_[[Check Periodo Ref.]:[Check Periodo Ref.]]="Dentro",IF(DATOS_[[Check Equiparado]:[Check Equiparado]]="Sí",IF(DATOS!AM$4="Sí",(1/DATOS_[[% anualiz]:[% anualiz]]),1)*IF(DATOS!AM$5="Sí",1/DATOS_[[% normaliz]:[% normaliz]],1)*(DATOS_[Conc.Sal.09])))))))), 0)</f>
        <v>0</v>
      </c>
      <c r="S38" s="302" t="n">
        <f aca="false" t="array" ref="S38:S38">IFERROR( (AVERAGE((IF(DATOS_[[Sexo]:[Sexo]]=$B38,IF(DATOS_[[AGRUP. VALOR. PTO.]:[AGRUP. VALOR. PTO.]]=$B36,IF(DATOS_[[Check Periodo Ref.]:[Check Periodo Ref.]]="Dentro",IF(DATOS_[[Check Equiparado]:[Check Equiparado]]="Sí",IF(DATOS!AN$4="Sí",(1/DATOS_[[% anualiz]:[% anualiz]]),1)*IF(DATOS!AN$5="Sí",1/DATOS_[[% normaliz]:[% normaliz]],1)*(DATOS_[Conc.Sal.10])))))))), 0)</f>
        <v>0</v>
      </c>
      <c r="T38" s="302" t="n">
        <f aca="false" t="array" ref="T38:T38">IFERROR( (AVERAGE((IF(DATOS_[[Sexo]:[Sexo]]=$B38,IF(DATOS_[[AGRUP. VALOR. PTO.]:[AGRUP. VALOR. PTO.]]=$B36,IF(DATOS_[[Check Periodo Ref.]:[Check Periodo Ref.]]="Dentro",IF(DATOS_[[Check Equiparado]:[Check Equiparado]]="Sí",IF(DATOS!AO$4="Sí",(1/DATOS_[[% anualiz]:[% anualiz]]),1)*IF(DATOS!AO$5="Sí",1/DATOS_[[% normaliz]:[% normaliz]],1)*(DATOS_[Conc.Sal.11])))))))), 0)</f>
        <v>0</v>
      </c>
      <c r="U38" s="302" t="n">
        <f aca="false" t="array" ref="U38:U38">IFERROR( (AVERAGE((IF(DATOS_[[Sexo]:[Sexo]]=$B38,IF(DATOS_[[AGRUP. VALOR. PTO.]:[AGRUP. VALOR. PTO.]]=$B36,IF(DATOS_[[Check Periodo Ref.]:[Check Periodo Ref.]]="Dentro",IF(DATOS_[[Check Equiparado]:[Check Equiparado]]="Sí",IF(DATOS!AP$4="Sí",(1/DATOS_[[% anualiz]:[% anualiz]]),1)*IF(DATOS!AP$5="Sí",1/DATOS_[[% normaliz]:[% normaliz]],1)*(DATOS_[Conc.Sal.12])))))))), 0)</f>
        <v>0</v>
      </c>
      <c r="V38" s="302" t="n">
        <f aca="false" t="array" ref="V38:V38">IFERROR( (AVERAGE((IF(DATOS_[[Sexo]:[Sexo]]=$B38,IF(DATOS_[[AGRUP. VALOR. PTO.]:[AGRUP. VALOR. PTO.]]=$B36,IF(DATOS_[[Check Periodo Ref.]:[Check Periodo Ref.]]="Dentro",IF(DATOS_[[Check Equiparado]:[Check Equiparado]]="Sí",IF(DATOS!AQ$4="Sí",(1/DATOS_[[% anualiz]:[% anualiz]]),1)*IF(DATOS!AQ$5="Sí",1/DATOS_[[% normaliz]:[% normaliz]],1)*(DATOS_[Conc.Sal.13])))))))), 0)</f>
        <v>0</v>
      </c>
      <c r="W38" s="302" t="n">
        <f aca="false" t="array" ref="W38:W38">IFERROR( (AVERAGE((IF(DATOS_[[Sexo]:[Sexo]]=$B38,IF(DATOS_[[AGRUP. VALOR. PTO.]:[AGRUP. VALOR. PTO.]]=$B36,IF(DATOS_[[Check Periodo Ref.]:[Check Periodo Ref.]]="Dentro",IF(DATOS_[[Check Equiparado]:[Check Equiparado]]="Sí",IF(DATOS!AR$4="Sí",(1/DATOS_[[% anualiz]:[% anualiz]]),1)*IF(DATOS!AR$5="Sí",1/DATOS_[[% normaliz]:[% normaliz]],1)*(DATOS_[Conc.Sal.14])))))))), 0)</f>
        <v>0</v>
      </c>
      <c r="X38" s="302" t="n">
        <f aca="false" t="array" ref="X38:X38">IFERROR( (AVERAGE((IF(DATOS_[[Sexo]:[Sexo]]=$B38,IF(DATOS_[[AGRUP. VALOR. PTO.]:[AGRUP. VALOR. PTO.]]=$B36,IF(DATOS_[[Check Periodo Ref.]:[Check Periodo Ref.]]="Dentro",IF(DATOS_[[Check Equiparado]:[Check Equiparado]]="Sí",IF(DATOS!AS$4="Sí",(1/DATOS_[[% anualiz]:[% anualiz]]),1)*IF(DATOS!AS$5="Sí",1/DATOS_[[% normaliz]:[% normaliz]],1)*(DATOS_[Conc.Sal.15])))))))), 0)</f>
        <v>0</v>
      </c>
      <c r="Y38" s="302" t="n">
        <f aca="false" t="array" ref="Y38:Y38">IFERROR( (AVERAGE((IF(DATOS_[[Sexo]:[Sexo]]=$B38,IF(DATOS_[[AGRUP. VALOR. PTO.]:[AGRUP. VALOR. PTO.]]=$B36,IF(DATOS_[[Check Periodo Ref.]:[Check Periodo Ref.]]="Dentro",IF(DATOS_[[Check Equiparado]:[Check Equiparado]]="Sí",IF(DATOS!AT$4="Sí",(1/DATOS_[[% anualiz]:[% anualiz]]),1)*IF(DATOS!AT$5="Sí",1/DATOS_[[% normaliz]:[% normaliz]],1)*(DATOS_[Conc.Sal.16])))))))), 0)</f>
        <v>0</v>
      </c>
      <c r="Z38" s="302" t="n">
        <f aca="false" t="array" ref="Z38:Z38">IFERROR( (AVERAGE((IF(DATOS_[[Sexo]:[Sexo]]=$B38,IF(DATOS_[[AGRUP. VALOR. PTO.]:[AGRUP. VALOR. PTO.]]=$B36,IF(DATOS_[[Check Periodo Ref.]:[Check Periodo Ref.]]="Dentro",IF(DATOS_[[Check Equiparado]:[Check Equiparado]]="Sí",IF(DATOS!AU$4="Sí",(1/DATOS_[[% anualiz]:[% anualiz]]),1)*IF(DATOS!AU$5="Sí",1/DATOS_[[% normaliz]:[% normaliz]],1)*(DATOS_[Conc.Sal.17])))))))), 0)</f>
        <v>0</v>
      </c>
      <c r="AA38" s="302" t="n">
        <f aca="false" t="array" ref="AA38:AA38">IFERROR( (AVERAGE((IF(DATOS_[[Sexo]:[Sexo]]=$B38,IF(DATOS_[[AGRUP. VALOR. PTO.]:[AGRUP. VALOR. PTO.]]=$B36,IF(DATOS_[[Check Periodo Ref.]:[Check Periodo Ref.]]="Dentro",IF(DATOS_[[Check Equiparado]:[Check Equiparado]]="Sí",IF(DATOS!AV$4="Sí",(1/DATOS_[[% anualiz]:[% anualiz]]),1)*IF(DATOS!AV$5="Sí",1/DATOS_[[% normaliz]:[% normaliz]],1)*(DATOS_[Conc.Sal.18])))))))), 0)</f>
        <v>0</v>
      </c>
      <c r="AB38" s="302" t="n">
        <f aca="false" t="array" ref="AB38:AB38">IFERROR( (AVERAGE((IF(DATOS_[[Sexo]:[Sexo]]=$B38,IF(DATOS_[[AGRUP. VALOR. PTO.]:[AGRUP. VALOR. PTO.]]=$B36,IF(DATOS_[[Check Periodo Ref.]:[Check Periodo Ref.]]="Dentro",IF(DATOS_[[Check Equiparado]:[Check Equiparado]]="Sí",IF(DATOS!AW$4="Sí",(1/DATOS_[[% anualiz]:[% anualiz]]),1)*IF(DATOS!AW$5="Sí",1/DATOS_[[% normaliz]:[% normaliz]],1)*(DATOS_[Conc.Sal.19])))))))), 0)</f>
        <v>0</v>
      </c>
      <c r="AC38" s="302" t="n">
        <f aca="false" t="array" ref="AC38:AC38">IFERROR( (AVERAGE((IF(DATOS_[[Sexo]:[Sexo]]=$B38,IF(DATOS_[[AGRUP. VALOR. PTO.]:[AGRUP. VALOR. PTO.]]=$B36,IF(DATOS_[[Check Periodo Ref.]:[Check Periodo Ref.]]="Dentro",IF(DATOS_[[Check Equiparado]:[Check Equiparado]]="Sí",IF(DATOS!AX$4="Sí",(1/DATOS_[[% anualiz]:[% anualiz]]),1)*IF(DATOS!AX$5="Sí",1/DATOS_[[% normaliz]:[% normaliz]],1)*(DATOS_[Conc.Sal.20])))))))), 0)</f>
        <v>0</v>
      </c>
      <c r="AD38" s="302" t="n">
        <f aca="false" t="array" ref="AD38:AD38">IFERROR( (AVERAGE((IF(DATOS_[[Sexo]:[Sexo]]=$B38,IF(DATOS_[[AGRUP. VALOR. PTO.]:[AGRUP. VALOR. PTO.]]=$B36,IF(DATOS_[[Check Periodo Ref.]:[Check Periodo Ref.]]="Dentro",IF(DATOS_[[Check Equiparado]:[Check Equiparado]]="Sí",IF(DATOS!AY$4="Sí",(1/DATOS_[[% anualiz]:[% anualiz]]),1)*IF(DATOS!AY$5="Sí",1/DATOS_[[% normaliz]:[% normaliz]],1)*(DATOS_[Conc.Sal.21])))))))), 0)</f>
        <v>0</v>
      </c>
      <c r="AE38" s="302" t="n">
        <f aca="false" t="array" ref="AE38:AE38">IFERROR( (AVERAGE((IF(DATOS_[[Sexo]:[Sexo]]=$B38,IF(DATOS_[[AGRUP. VALOR. PTO.]:[AGRUP. VALOR. PTO.]]=$B36,IF(DATOS_[[Check Periodo Ref.]:[Check Periodo Ref.]]="Dentro",IF(DATOS_[[Check Equiparado]:[Check Equiparado]]="Sí",IF(DATOS!AZ$4="Sí",(1/DATOS_[[% anualiz]:[% anualiz]]),1)*IF(DATOS!AZ$5="Sí",1/DATOS_[[% normaliz]:[% normaliz]],1)*(DATOS_[Conc.Sal.22])))))))), 0)</f>
        <v>0</v>
      </c>
      <c r="AF38" s="302" t="n">
        <f aca="false" t="array" ref="AF38:AF38">IFERROR( (AVERAGE((IF(DATOS_[[Sexo]:[Sexo]]=$B38,IF(DATOS_[[AGRUP. VALOR. PTO.]:[AGRUP. VALOR. PTO.]]=$B36,IF(DATOS_[[Check Periodo Ref.]:[Check Periodo Ref.]]="Dentro",IF(DATOS_[[Check Equiparado]:[Check Equiparado]]="Sí",IF(DATOS!BA$4="Sí",(1/DATOS_[[% anualiz]:[% anualiz]]),1)*IF(DATOS!BA$5="Sí",1/DATOS_[[% normaliz]:[% normaliz]],1)*(DATOS_[Conc.Sal.23])))))))), 0)</f>
        <v>0</v>
      </c>
      <c r="AG38" s="302" t="n">
        <f aca="false" t="array" ref="AG38:AG38">IFERROR( (AVERAGE((IF(DATOS_[[Sexo]:[Sexo]]=$B38,IF(DATOS_[[AGRUP. VALOR. PTO.]:[AGRUP. VALOR. PTO.]]=$B36,IF(DATOS_[[Check Periodo Ref.]:[Check Periodo Ref.]]="Dentro",IF(DATOS_[[Check Equiparado]:[Check Equiparado]]="Sí",IF(DATOS!BB$4="Sí",(1/DATOS_[[% anualiz]:[% anualiz]]),1)*IF(DATOS!BB$5="Sí",1/DATOS_[[% normaliz]:[% normaliz]],1)*(DATOS_[Conc.Sal.24])))))))), 0)</f>
        <v>0</v>
      </c>
      <c r="AH38" s="302" t="n">
        <f aca="false" t="array" ref="AH38:AH38">IFERROR( (AVERAGE((IF(DATOS_[[Sexo]:[Sexo]]=$B38,IF(DATOS_[[AGRUP. VALOR. PTO.]:[AGRUP. VALOR. PTO.]]=$B36,IF(DATOS_[[Check Periodo Ref.]:[Check Periodo Ref.]]="Dentro",IF(DATOS_[[Check Equiparado]:[Check Equiparado]]="Sí",IF(DATOS!BC$4="Sí",(1/DATOS_[[% anualiz]:[% anualiz]]),1)*IF(DATOS!BC$5="Sí",1/DATOS_[[% normaliz]:[% normaliz]],1)*(DATOS_[Conc.Sal.25])))))))), 0)</f>
        <v>0</v>
      </c>
      <c r="AI38" s="302" t="n">
        <f aca="false" t="array" ref="AI38:AI38">IFERROR( (AVERAGE((IF(DATOS_[[Sexo]:[Sexo]]=$B38,IF(DATOS_[[AGRUP. VALOR. PTO.]:[AGRUP. VALOR. PTO.]]=$B36,IF(DATOS_[[Check Periodo Ref.]:[Check Periodo Ref.]]="Dentro",IF(DATOS_[[Check Equiparado]:[Check Equiparado]]="Sí",IF(DATOS!BD$4="Sí",(1/DATOS_[[% anualiz]:[% anualiz]]),1)*IF(DATOS!BD$5="Sí",1/DATOS_[[% normaliz]:[% normaliz]],1)*(DATOS_[Conc.Sal.26])))))))), 0)</f>
        <v>0</v>
      </c>
      <c r="AJ38" s="302" t="n">
        <f aca="false" t="array" ref="AJ38:AJ38">IFERROR( (AVERAGE((IF(DATOS_[[Sexo]:[Sexo]]=$B38,IF(DATOS_[[AGRUP. VALOR. PTO.]:[AGRUP. VALOR. PTO.]]=$B36,IF(DATOS_[[Check Periodo Ref.]:[Check Periodo Ref.]]="Dentro",IF(DATOS_[[Check Equiparado]:[Check Equiparado]]="Sí",IF(DATOS!BE$4="Sí",(1/DATOS_[[% anualiz]:[% anualiz]]),1)*IF(DATOS!BE$5="Sí",1/DATOS_[[% normaliz]:[% normaliz]],1)*(DATOS_[Conc.Sal.27])))))))), 0)</f>
        <v>0</v>
      </c>
      <c r="AK38" s="302" t="n">
        <f aca="false" t="array" ref="AK38:AK38">IFERROR( (AVERAGE((IF(DATOS_[[Sexo]:[Sexo]]=$B38,IF(DATOS_[[AGRUP. VALOR. PTO.]:[AGRUP. VALOR. PTO.]]=$B36,IF(DATOS_[[Check Periodo Ref.]:[Check Periodo Ref.]]="Dentro",IF(DATOS_[[Check Equiparado]:[Check Equiparado]]="Sí",IF(DATOS!BF$4="Sí",(1/DATOS_[[% anualiz]:[% anualiz]]),1)*IF(DATOS!BF$5="Sí",1/DATOS_[[% normaliz]:[% normaliz]],1)*(DATOS_[Conc.Sal.28])))))))), 0)</f>
        <v>0</v>
      </c>
      <c r="AL38" s="302" t="n">
        <f aca="false" t="array" ref="AL38:AL38">IFERROR( (AVERAGE((IF(DATOS_[[Sexo]:[Sexo]]=$B38,IF(DATOS_[[AGRUP. VALOR. PTO.]:[AGRUP. VALOR. PTO.]]=$B36,IF(DATOS_[[Check Periodo Ref.]:[Check Periodo Ref.]]="Dentro",IF(DATOS_[[Check Equiparado]:[Check Equiparado]]="Sí",IF(DATOS!BG$4="Sí",(1/DATOS_[[% anualiz]:[% anualiz]]),1)*IF(DATOS!BG$5="Sí",1/DATOS_[[% normaliz]:[% normaliz]],1)*(DATOS_[Conc.Sal.29])))))))), 0)</f>
        <v>0</v>
      </c>
      <c r="AM38" s="302" t="n">
        <f aca="false" t="array" ref="AM38:AM38">IFERROR( (AVERAGE((IF(DATOS_[[Sexo]:[Sexo]]=$B38,IF(DATOS_[[AGRUP. VALOR. PTO.]:[AGRUP. VALOR. PTO.]]=$B36,IF(DATOS_[[Check Periodo Ref.]:[Check Periodo Ref.]]="Dentro",IF(DATOS_[[Check Equiparado]:[Check Equiparado]]="Sí",IF(DATOS!BH$4="Sí",(1/DATOS_[[% anualiz]:[% anualiz]]),1)*IF(DATOS!BH$5="Sí",1/DATOS_[[% normaliz]:[% normaliz]],1)*(DATOS_[Conc.Sal.30])))))))), 0)</f>
        <v>0</v>
      </c>
      <c r="AN38" s="294" t="n">
        <f aca="false" t="array" ref="AN38:AN38">IFERROR( AVERAGE(IF(DATOS_[Sexo]=$B38,IF(DATOS_[[AGRUP. VALOR. PTO.]:[AGRUP. VALOR. PTO.]]=$B36,IF(DATOS_[Check Equiparado]="Sí",IF(DATOS_[Check Periodo Ref.]="Dentro",DATOS_[Tot COMPL.SAL Eq],0))))), 0)</f>
        <v>0</v>
      </c>
      <c r="AO38" s="295" t="n">
        <f aca="false" t="array" ref="AO38:AO38">IFERROR( AVERAGE(IF(DATOS_[Sexo]=$B38,IF(DATOS_[[AGRUP. VALOR. PTO.]:[AGRUP. VALOR. PTO.]]=$B36,IF(DATOS_[Check Equiparado]="Sí",IF(DATOS_[Check Periodo Ref.]="Dentro",DATOS_[TOTAL SALARIO Eq],0))))), 0)</f>
        <v>0</v>
      </c>
      <c r="AP38" s="303" t="n">
        <f aca="false" t="array" ref="AP38:AP38">IFERROR( (AVERAGE((IF(DATOS_[[Sexo]:[Sexo]]=$B38,IF(DATOS_[[AGRUP. VALOR. PTO.]:[AGRUP. VALOR. PTO.]]=$B37,IF(DATOS_[[Check Periodo Ref.]:[Check Periodo Ref.]]="Dentro",IF(DATOS_[[Check Equiparado]:[Check Equiparado]]="Sí",IF(DATOS!BI$4="Sí",(1/DATOS_[[% anualiz]:[% anualiz]]),1)*IF(DATOS!BI$5="Sí",1/DATOS_[[% normaliz]:[% normaliz]],1)*(DATOS_[C.Extra.01])))))))), 0)</f>
        <v>0</v>
      </c>
      <c r="AQ38" s="303" t="n">
        <f aca="false" t="array" ref="AQ38:AQ38">IFERROR( (AVERAGE((IF(DATOS_[[Sexo]:[Sexo]]=$B38,IF(DATOS_[[AGRUP. VALOR. PTO.]:[AGRUP. VALOR. PTO.]]=$B37,IF(DATOS_[[Check Periodo Ref.]:[Check Periodo Ref.]]="Dentro",IF(DATOS_[[Check Equiparado]:[Check Equiparado]]="Sí",IF(DATOS!BJ$4="Sí",(1/DATOS_[[% anualiz]:[% anualiz]]),1)*IF(DATOS!BJ$5="Sí",1/DATOS_[[% normaliz]:[% normaliz]],1)*(DATOS_[C.Extra.02])))))))), 0)</f>
        <v>0</v>
      </c>
      <c r="AR38" s="303" t="n">
        <f aca="false" t="array" ref="AR38:AR38">IFERROR( (AVERAGE((IF(DATOS_[[Sexo]:[Sexo]]=$B38,IF(DATOS_[[AGRUP. VALOR. PTO.]:[AGRUP. VALOR. PTO.]]=$B37,IF(DATOS_[[Check Periodo Ref.]:[Check Periodo Ref.]]="Dentro",IF(DATOS_[[Check Equiparado]:[Check Equiparado]]="Sí",IF(DATOS!BK$4="Sí",(1/DATOS_[[% anualiz]:[% anualiz]]),1)*IF(DATOS!BK$5="Sí",1/DATOS_[[% normaliz]:[% normaliz]],1)*(DATOS_[C.Extra.03])))))))), 0)</f>
        <v>0</v>
      </c>
      <c r="AS38" s="303" t="n">
        <f aca="false" t="array" ref="AS38:AS38">IFERROR( (AVERAGE((IF(DATOS_[[Sexo]:[Sexo]]=$B38,IF(DATOS_[[AGRUP. VALOR. PTO.]:[AGRUP. VALOR. PTO.]]=$B37,IF(DATOS_[[Check Periodo Ref.]:[Check Periodo Ref.]]="Dentro",IF(DATOS_[[Check Equiparado]:[Check Equiparado]]="Sí",IF(DATOS!BL$4="Sí",(1/DATOS_[[% anualiz]:[% anualiz]]),1)*IF(DATOS!BL$5="Sí",1/DATOS_[[% normaliz]:[% normaliz]],1)*(DATOS_[C.Extra.04])))))))), 0)</f>
        <v>0</v>
      </c>
      <c r="AT38" s="303" t="n">
        <f aca="false" t="array" ref="AT38:AT38">IFERROR( (AVERAGE((IF(DATOS_[[Sexo]:[Sexo]]=$B38,IF(DATOS_[[AGRUP. VALOR. PTO.]:[AGRUP. VALOR. PTO.]]=$B37,IF(DATOS_[[Check Periodo Ref.]:[Check Periodo Ref.]]="Dentro",IF(DATOS_[[Check Equiparado]:[Check Equiparado]]="Sí",IF(DATOS!BM$4="Sí",(1/DATOS_[[% anualiz]:[% anualiz]]),1)*IF(DATOS!BM$5="Sí",1/DATOS_[[% normaliz]:[% normaliz]],1)*(DATOS_[C.Extra.05])))))))), 0)</f>
        <v>0</v>
      </c>
      <c r="AU38" s="297" t="n">
        <f aca="false" t="array" ref="AU38:AU38">IFERROR( AVERAGE(IF(DATOS_[Sexo]=$B38,IF(DATOS_[[AGRUP. VALOR. PTO.]:[AGRUP. VALOR. PTO.]]=$B36,IF(DATOS_[Check Equiparado]="Sí",IF(DATOS_[Check Periodo Ref.]="Dentro",DATOS_[Tot Extrasalarial Eq],0))))), 0)</f>
        <v>0</v>
      </c>
      <c r="AV38" s="298" t="n">
        <f aca="false" t="array" ref="AV38:AV38">IFERROR( AVERAGE(IF(DATOS_[Sexo]=$B38,IF(DATOS_[[AGRUP. VALOR. PTO.]:[AGRUP. VALOR. PTO.]]=$B36,IF(DATOS_[Check Equiparado]="Sí",IF(DATOS_[Check Periodo Ref.]="Dentro",DATOS_[TOTAL Retrib Eq],0))))), 0)</f>
        <v>0</v>
      </c>
    </row>
    <row r="39" customFormat="false" ht="15.75" hidden="false" customHeight="false" outlineLevel="0" collapsed="false">
      <c r="A39" s="166" t="str">
        <f aca="false">+A40</f>
        <v>[ocultar]</v>
      </c>
      <c r="B39" s="276" t="s">
        <v>193</v>
      </c>
      <c r="C39" s="277"/>
      <c r="D39" s="278"/>
      <c r="E39" s="278"/>
      <c r="F39" s="278"/>
      <c r="G39" s="278"/>
      <c r="H39" s="278"/>
      <c r="I39" s="279" t="str">
        <f aca="false">IFERROR((I40-I41)/I40,"")</f>
        <v/>
      </c>
      <c r="J39" s="280" t="str">
        <f aca="false">IFERROR((J40-J41)/J40,"")</f>
        <v/>
      </c>
      <c r="K39" s="281" t="str">
        <f aca="false">IFERROR((K40-K41)/K40,"")</f>
        <v/>
      </c>
      <c r="L39" s="281" t="str">
        <f aca="false">IFERROR((L40-L41)/L40,"")</f>
        <v/>
      </c>
      <c r="M39" s="281" t="str">
        <f aca="false">IFERROR((M40-M41)/M40,"")</f>
        <v/>
      </c>
      <c r="N39" s="282" t="str">
        <f aca="false">IFERROR((N40-N41)/N40,"")</f>
        <v/>
      </c>
      <c r="O39" s="283" t="str">
        <f aca="false">IFERROR((O40-O41)/O40,"")</f>
        <v/>
      </c>
      <c r="P39" s="283" t="str">
        <f aca="false">IFERROR((P40-P41)/P40,"")</f>
        <v/>
      </c>
      <c r="Q39" s="283" t="str">
        <f aca="false">IFERROR((Q40-Q41)/Q40,"")</f>
        <v/>
      </c>
      <c r="R39" s="283" t="str">
        <f aca="false">IFERROR((R40-R41)/R40,"")</f>
        <v/>
      </c>
      <c r="S39" s="283" t="str">
        <f aca="false">IFERROR((S40-S41)/S40,"")</f>
        <v/>
      </c>
      <c r="T39" s="283" t="str">
        <f aca="false">IFERROR((T40-T41)/T40,"")</f>
        <v/>
      </c>
      <c r="U39" s="283" t="str">
        <f aca="false">IFERROR((U40-U41)/U40,"")</f>
        <v/>
      </c>
      <c r="V39" s="283" t="str">
        <f aca="false">IFERROR((V40-V41)/V40,"")</f>
        <v/>
      </c>
      <c r="W39" s="283" t="str">
        <f aca="false">IFERROR((W40-W41)/W40,"")</f>
        <v/>
      </c>
      <c r="X39" s="283" t="str">
        <f aca="false">IFERROR((X40-X41)/X40,"")</f>
        <v/>
      </c>
      <c r="Y39" s="283" t="str">
        <f aca="false">IFERROR((Y40-Y41)/Y40,"")</f>
        <v/>
      </c>
      <c r="Z39" s="282" t="str">
        <f aca="false">IFERROR((Z40-Z41)/Z40,"")</f>
        <v/>
      </c>
      <c r="AA39" s="282" t="str">
        <f aca="false">IFERROR((AA40-AA41)/AA40,"")</f>
        <v/>
      </c>
      <c r="AB39" s="282" t="str">
        <f aca="false">IFERROR((AB40-AB41)/AB40,"")</f>
        <v/>
      </c>
      <c r="AC39" s="282" t="str">
        <f aca="false">IFERROR((AC40-AC41)/AC40,"")</f>
        <v/>
      </c>
      <c r="AD39" s="282" t="str">
        <f aca="false">IFERROR((AD40-AD41)/AD40,"")</f>
        <v/>
      </c>
      <c r="AE39" s="282" t="str">
        <f aca="false">IFERROR((AE40-AE41)/AE40,"")</f>
        <v/>
      </c>
      <c r="AF39" s="282" t="str">
        <f aca="false">IFERROR((AF40-AF41)/AF40,"")</f>
        <v/>
      </c>
      <c r="AG39" s="282" t="str">
        <f aca="false">IFERROR((AG40-AG41)/AG40,"")</f>
        <v/>
      </c>
      <c r="AH39" s="282" t="str">
        <f aca="false">IFERROR((AH40-AH41)/AH40,"")</f>
        <v/>
      </c>
      <c r="AI39" s="282" t="str">
        <f aca="false">IFERROR((AI40-AI41)/AI40,"")</f>
        <v/>
      </c>
      <c r="AJ39" s="282" t="str">
        <f aca="false">IFERROR((AJ40-AJ41)/AJ40,"")</f>
        <v/>
      </c>
      <c r="AK39" s="282" t="str">
        <f aca="false">IFERROR((AK40-AK41)/AK40,"")</f>
        <v/>
      </c>
      <c r="AL39" s="282" t="str">
        <f aca="false">IFERROR((AL40-AL41)/AL40,"")</f>
        <v/>
      </c>
      <c r="AM39" s="282" t="str">
        <f aca="false">IFERROR((AM40-AM41)/AM40,"")</f>
        <v/>
      </c>
      <c r="AN39" s="284" t="str">
        <f aca="false">IFERROR((AN40-AN41)/AN40,"")</f>
        <v/>
      </c>
      <c r="AO39" s="285" t="str">
        <f aca="false">IFERROR((AO40-AO41)/AO40,"")</f>
        <v/>
      </c>
      <c r="AP39" s="286" t="str">
        <f aca="false">IFERROR((AP40-AP41)/AP40,"")</f>
        <v/>
      </c>
      <c r="AQ39" s="286" t="str">
        <f aca="false">IFERROR((AQ40-AQ41)/AQ40,"")</f>
        <v/>
      </c>
      <c r="AR39" s="286" t="str">
        <f aca="false">IFERROR((AR40-AR41)/AR40,"")</f>
        <v/>
      </c>
      <c r="AS39" s="286" t="str">
        <f aca="false">IFERROR((AS40-AS41)/AS40,"")</f>
        <v/>
      </c>
      <c r="AT39" s="286" t="str">
        <f aca="false">IFERROR((AT40-AT41)/AT40,"")</f>
        <v/>
      </c>
      <c r="AU39" s="287" t="str">
        <f aca="false">IFERROR((AU40-AU41)/AU40,"")</f>
        <v/>
      </c>
      <c r="AV39" s="288" t="str">
        <f aca="false">IFERROR((AV40-AV41)/AV40,"")</f>
        <v/>
      </c>
    </row>
    <row r="40" customFormat="false" ht="14.25" hidden="false" customHeight="false" outlineLevel="0" collapsed="false">
      <c r="A40" s="166" t="str">
        <f aca="false">+IF(C40+C41=0,"[ocultar]","")</f>
        <v>[ocultar]</v>
      </c>
      <c r="B40" s="289" t="s">
        <v>371</v>
      </c>
      <c r="C40" s="290" t="n">
        <f aca="false" t="array" ref="C40:C40">SUM(IF($B40=DATOS_[Sexo], IF($B39=DATOS_[AGRUP. VALOR. PTO.], IF("Dentro"=DATOS_[Check Periodo Ref.], 1/(COUNTIFS(DATOS_[Sexo],$B40,DATOS_[AGRUP. VALOR. PTO.],$B39,DATOS_[Check Periodo Ref.],"Dentro",DATOS_[id],DATOS_[id]))))))</f>
        <v>0</v>
      </c>
      <c r="D40" s="291" t="n">
        <f aca="false">COUNTIFS(DATOS_[AGRUP. VALOR. PTO.],$B39,DATOS_[Sexo],$B40,DATOS_[Check Periodo Ref.],"Dentro")</f>
        <v>0</v>
      </c>
      <c r="E40" s="291" t="n">
        <f aca="false">COUNTIFS(DATOS_[AGRUP. VALOR. PTO.],$B39,DATOS_[Sexo],$B40,DATOS_[Check Periodo Ref.],"Dentro",DATOS_[Check Nº SC Norm],"Sí")</f>
        <v>0</v>
      </c>
      <c r="F40" s="291" t="n">
        <f aca="false">COUNTIFS(DATOS_[AGRUP. VALOR. PTO.],$B39,DATOS_[Sexo],$B40,DATOS_[Check Periodo Ref.],"Dentro",DATOS_[Check Nº SC Anualiz],"Sí")</f>
        <v>0</v>
      </c>
      <c r="G40" s="291" t="n">
        <f aca="false">COUNTIFS(DATOS_[AGRUP. VALOR. PTO.],$B39,DATOS_[Sexo],$B40,DATOS_[Check Periodo Ref.],"Dentro",DATOS_[Check Nº SC Norm y Anualiz],"Sí")</f>
        <v>0</v>
      </c>
      <c r="H40" s="291" t="n">
        <f aca="false">COUNTIFS(DATOS_[AGRUP. VALOR. PTO.],$B39,DATOS_[Sexo],$B40,DATOS_[Check Periodo Ref.],"Dentro",DATOS_[Check Equiparación],"Sí")</f>
        <v>0</v>
      </c>
      <c r="I40" s="292" t="n">
        <f aca="false" t="array" ref="I40:I40">IFERROR( AVERAGE(IF(DATOS_[Sexo]=$B40,IF(DATOS_[[AGRUP. VALOR. PTO.]:[AGRUP. VALOR. PTO.]]=$B39,IF(DATOS_[Check Equiparado]="Sí",IF(DATOS_[Check Periodo Ref.]="Dentro",DATOS_[SALARIO BASE Eq],0))))), 0)</f>
        <v>0</v>
      </c>
      <c r="J40" s="302" t="n">
        <f aca="false" t="array" ref="J40:J40">IFERROR( (AVERAGE((IF(DATOS_[[Sexo]:[Sexo]]=$B40,IF(DATOS_[[AGRUP. VALOR. PTO.]:[AGRUP. VALOR. PTO.]]=$B39,IF(DATOS_[[Check Periodo Ref.]:[Check Periodo Ref.]]="Dentro",IF(DATOS_[[Check Equiparado]:[Check Equiparado]]="Sí",IF(DATOS!AE$4="Sí",(1/DATOS_[[% anualiz]:[% anualiz]]),1)*IF(DATOS!AE$5="Sí",1/DATOS_[[% normaliz]:[% normaliz]],1)*(DATOS_[Conc.Sal.01])))))))), 0)</f>
        <v>0</v>
      </c>
      <c r="K40" s="302" t="n">
        <f aca="false" t="array" ref="K40:K40">IFERROR( (AVERAGE((IF(DATOS_[[Sexo]:[Sexo]]=$B40,IF(DATOS_[[AGRUP. VALOR. PTO.]:[AGRUP. VALOR. PTO.]]=$B39,IF(DATOS_[[Check Periodo Ref.]:[Check Periodo Ref.]]="Dentro",IF(DATOS_[[Check Equiparado]:[Check Equiparado]]="Sí",IF(DATOS!AF$4="Sí",(1/DATOS_[[% anualiz]:[% anualiz]]),1)*IF(DATOS!AF$5="Sí",1/DATOS_[[% normaliz]:[% normaliz]],1)*(DATOS_[Conc.Sal.02])))))))), 0)</f>
        <v>0</v>
      </c>
      <c r="L40" s="302" t="n">
        <f aca="false" t="array" ref="L40:L40">IFERROR( (AVERAGE((IF(DATOS_[[Sexo]:[Sexo]]=$B40,IF(DATOS_[[AGRUP. VALOR. PTO.]:[AGRUP. VALOR. PTO.]]=$B39,IF(DATOS_[[Check Periodo Ref.]:[Check Periodo Ref.]]="Dentro",IF(DATOS_[[Check Equiparado]:[Check Equiparado]]="Sí",IF(DATOS!AG$4="Sí",(1/DATOS_[[% anualiz]:[% anualiz]]),1)*IF(DATOS!AG$5="Sí",1/DATOS_[[% normaliz]:[% normaliz]],1)*(DATOS_[Conc.Sal.03])))))))), 0)</f>
        <v>0</v>
      </c>
      <c r="M40" s="302" t="n">
        <f aca="false" t="array" ref="M40:M40">IFERROR( (AVERAGE((IF(DATOS_[[Sexo]:[Sexo]]=$B40,IF(DATOS_[[AGRUP. VALOR. PTO.]:[AGRUP. VALOR. PTO.]]=$B39,IF(DATOS_[[Check Periodo Ref.]:[Check Periodo Ref.]]="Dentro",IF(DATOS_[[Check Equiparado]:[Check Equiparado]]="Sí",IF(DATOS!AH$4="Sí",(1/DATOS_[[% anualiz]:[% anualiz]]),1)*IF(DATOS!AH$5="Sí",1/DATOS_[[% normaliz]:[% normaliz]],1)*(DATOS_[Conc.Sal.04])))))))), 0)</f>
        <v>0</v>
      </c>
      <c r="N40" s="302" t="n">
        <f aca="false" t="array" ref="N40:N40">IFERROR( (AVERAGE((IF(DATOS_[[Sexo]:[Sexo]]=$B40,IF(DATOS_[[AGRUP. VALOR. PTO.]:[AGRUP. VALOR. PTO.]]=$B39,IF(DATOS_[[Check Periodo Ref.]:[Check Periodo Ref.]]="Dentro",IF(DATOS_[[Check Equiparado]:[Check Equiparado]]="Sí",IF(DATOS!AI$4="Sí",(1/DATOS_[[% anualiz]:[% anualiz]]),1)*IF(DATOS!AI$5="Sí",1/DATOS_[[% normaliz]:[% normaliz]],1)*(DATOS_[Conc.Sal.05])))))))), 0)</f>
        <v>0</v>
      </c>
      <c r="O40" s="302" t="n">
        <f aca="false" t="array" ref="O40:O40">IFERROR( (AVERAGE((IF(DATOS_[[Sexo]:[Sexo]]=$B40,IF(DATOS_[[AGRUP. VALOR. PTO.]:[AGRUP. VALOR. PTO.]]=$B39,IF(DATOS_[[Check Periodo Ref.]:[Check Periodo Ref.]]="Dentro",IF(DATOS_[[Check Equiparado]:[Check Equiparado]]="Sí",IF(DATOS!AJ$4="Sí",(1/DATOS_[[% anualiz]:[% anualiz]]),1)*IF(DATOS!AJ$5="Sí",1/DATOS_[[% normaliz]:[% normaliz]],1)*(DATOS_[Conc.Sal.06])))))))), 0)</f>
        <v>0</v>
      </c>
      <c r="P40" s="302" t="n">
        <f aca="false" t="array" ref="P40:P40">IFERROR( (AVERAGE((IF(DATOS_[[Sexo]:[Sexo]]=$B40,IF(DATOS_[[AGRUP. VALOR. PTO.]:[AGRUP. VALOR. PTO.]]=$B39,IF(DATOS_[[Check Periodo Ref.]:[Check Periodo Ref.]]="Dentro",IF(DATOS_[[Check Equiparado]:[Check Equiparado]]="Sí",IF(DATOS!AK$4="Sí",(1/DATOS_[[% anualiz]:[% anualiz]]),1)*IF(DATOS!AK$5="Sí",1/DATOS_[[% normaliz]:[% normaliz]],1)*(DATOS_[Conc.Sal.07])))))))), 0)</f>
        <v>0</v>
      </c>
      <c r="Q40" s="302" t="n">
        <f aca="false" t="array" ref="Q40:Q40">IFERROR( (AVERAGE((IF(DATOS_[[Sexo]:[Sexo]]=$B40,IF(DATOS_[[AGRUP. VALOR. PTO.]:[AGRUP. VALOR. PTO.]]=$B39,IF(DATOS_[[Check Periodo Ref.]:[Check Periodo Ref.]]="Dentro",IF(DATOS_[[Check Equiparado]:[Check Equiparado]]="Sí",IF(DATOS!AL$4="Sí",(1/DATOS_[[% anualiz]:[% anualiz]]),1)*IF(DATOS!AL$5="Sí",1/DATOS_[[% normaliz]:[% normaliz]],1)*(DATOS_[Conc.Sal.08])))))))), 0)</f>
        <v>0</v>
      </c>
      <c r="R40" s="302" t="n">
        <f aca="false" t="array" ref="R40:R40">IFERROR( (AVERAGE((IF(DATOS_[[Sexo]:[Sexo]]=$B40,IF(DATOS_[[AGRUP. VALOR. PTO.]:[AGRUP. VALOR. PTO.]]=$B39,IF(DATOS_[[Check Periodo Ref.]:[Check Periodo Ref.]]="Dentro",IF(DATOS_[[Check Equiparado]:[Check Equiparado]]="Sí",IF(DATOS!AM$4="Sí",(1/DATOS_[[% anualiz]:[% anualiz]]),1)*IF(DATOS!AM$5="Sí",1/DATOS_[[% normaliz]:[% normaliz]],1)*(DATOS_[Conc.Sal.09])))))))), 0)</f>
        <v>0</v>
      </c>
      <c r="S40" s="302" t="n">
        <f aca="false" t="array" ref="S40:S40">IFERROR( (AVERAGE((IF(DATOS_[[Sexo]:[Sexo]]=$B40,IF(DATOS_[[AGRUP. VALOR. PTO.]:[AGRUP. VALOR. PTO.]]=$B39,IF(DATOS_[[Check Periodo Ref.]:[Check Periodo Ref.]]="Dentro",IF(DATOS_[[Check Equiparado]:[Check Equiparado]]="Sí",IF(DATOS!AN$4="Sí",(1/DATOS_[[% anualiz]:[% anualiz]]),1)*IF(DATOS!AN$5="Sí",1/DATOS_[[% normaliz]:[% normaliz]],1)*(DATOS_[Conc.Sal.10])))))))), 0)</f>
        <v>0</v>
      </c>
      <c r="T40" s="302" t="n">
        <f aca="false" t="array" ref="T40:T40">IFERROR( (AVERAGE((IF(DATOS_[[Sexo]:[Sexo]]=$B40,IF(DATOS_[[AGRUP. VALOR. PTO.]:[AGRUP. VALOR. PTO.]]=$B39,IF(DATOS_[[Check Periodo Ref.]:[Check Periodo Ref.]]="Dentro",IF(DATOS_[[Check Equiparado]:[Check Equiparado]]="Sí",IF(DATOS!AO$4="Sí",(1/DATOS_[[% anualiz]:[% anualiz]]),1)*IF(DATOS!AO$5="Sí",1/DATOS_[[% normaliz]:[% normaliz]],1)*(DATOS_[Conc.Sal.11])))))))), 0)</f>
        <v>0</v>
      </c>
      <c r="U40" s="302" t="n">
        <f aca="false" t="array" ref="U40:U40">IFERROR( (AVERAGE((IF(DATOS_[[Sexo]:[Sexo]]=$B40,IF(DATOS_[[AGRUP. VALOR. PTO.]:[AGRUP. VALOR. PTO.]]=$B39,IF(DATOS_[[Check Periodo Ref.]:[Check Periodo Ref.]]="Dentro",IF(DATOS_[[Check Equiparado]:[Check Equiparado]]="Sí",IF(DATOS!AP$4="Sí",(1/DATOS_[[% anualiz]:[% anualiz]]),1)*IF(DATOS!AP$5="Sí",1/DATOS_[[% normaliz]:[% normaliz]],1)*(DATOS_[Conc.Sal.12])))))))), 0)</f>
        <v>0</v>
      </c>
      <c r="V40" s="302" t="n">
        <f aca="false" t="array" ref="V40:V40">IFERROR( (AVERAGE((IF(DATOS_[[Sexo]:[Sexo]]=$B40,IF(DATOS_[[AGRUP. VALOR. PTO.]:[AGRUP. VALOR. PTO.]]=$B39,IF(DATOS_[[Check Periodo Ref.]:[Check Periodo Ref.]]="Dentro",IF(DATOS_[[Check Equiparado]:[Check Equiparado]]="Sí",IF(DATOS!AQ$4="Sí",(1/DATOS_[[% anualiz]:[% anualiz]]),1)*IF(DATOS!AQ$5="Sí",1/DATOS_[[% normaliz]:[% normaliz]],1)*(DATOS_[Conc.Sal.13])))))))), 0)</f>
        <v>0</v>
      </c>
      <c r="W40" s="302" t="n">
        <f aca="false" t="array" ref="W40:W40">IFERROR( (AVERAGE((IF(DATOS_[[Sexo]:[Sexo]]=$B40,IF(DATOS_[[AGRUP. VALOR. PTO.]:[AGRUP. VALOR. PTO.]]=$B39,IF(DATOS_[[Check Periodo Ref.]:[Check Periodo Ref.]]="Dentro",IF(DATOS_[[Check Equiparado]:[Check Equiparado]]="Sí",IF(DATOS!AR$4="Sí",(1/DATOS_[[% anualiz]:[% anualiz]]),1)*IF(DATOS!AR$5="Sí",1/DATOS_[[% normaliz]:[% normaliz]],1)*(DATOS_[Conc.Sal.14])))))))), 0)</f>
        <v>0</v>
      </c>
      <c r="X40" s="302" t="n">
        <f aca="false" t="array" ref="X40:X40">IFERROR( (AVERAGE((IF(DATOS_[[Sexo]:[Sexo]]=$B40,IF(DATOS_[[AGRUP. VALOR. PTO.]:[AGRUP. VALOR. PTO.]]=$B39,IF(DATOS_[[Check Periodo Ref.]:[Check Periodo Ref.]]="Dentro",IF(DATOS_[[Check Equiparado]:[Check Equiparado]]="Sí",IF(DATOS!AS$4="Sí",(1/DATOS_[[% anualiz]:[% anualiz]]),1)*IF(DATOS!AS$5="Sí",1/DATOS_[[% normaliz]:[% normaliz]],1)*(DATOS_[Conc.Sal.15])))))))), 0)</f>
        <v>0</v>
      </c>
      <c r="Y40" s="302" t="n">
        <f aca="false" t="array" ref="Y40:Y40">IFERROR( (AVERAGE((IF(DATOS_[[Sexo]:[Sexo]]=$B40,IF(DATOS_[[AGRUP. VALOR. PTO.]:[AGRUP. VALOR. PTO.]]=$B39,IF(DATOS_[[Check Periodo Ref.]:[Check Periodo Ref.]]="Dentro",IF(DATOS_[[Check Equiparado]:[Check Equiparado]]="Sí",IF(DATOS!AT$4="Sí",(1/DATOS_[[% anualiz]:[% anualiz]]),1)*IF(DATOS!AT$5="Sí",1/DATOS_[[% normaliz]:[% normaliz]],1)*(DATOS_[Conc.Sal.16])))))))), 0)</f>
        <v>0</v>
      </c>
      <c r="Z40" s="302" t="n">
        <f aca="false" t="array" ref="Z40:Z40">IFERROR( (AVERAGE((IF(DATOS_[[Sexo]:[Sexo]]=$B40,IF(DATOS_[[AGRUP. VALOR. PTO.]:[AGRUP. VALOR. PTO.]]=$B39,IF(DATOS_[[Check Periodo Ref.]:[Check Periodo Ref.]]="Dentro",IF(DATOS_[[Check Equiparado]:[Check Equiparado]]="Sí",IF(DATOS!AU$4="Sí",(1/DATOS_[[% anualiz]:[% anualiz]]),1)*IF(DATOS!AU$5="Sí",1/DATOS_[[% normaliz]:[% normaliz]],1)*(DATOS_[Conc.Sal.17])))))))), 0)</f>
        <v>0</v>
      </c>
      <c r="AA40" s="302" t="n">
        <f aca="false" t="array" ref="AA40:AA40">IFERROR( (AVERAGE((IF(DATOS_[[Sexo]:[Sexo]]=$B40,IF(DATOS_[[AGRUP. VALOR. PTO.]:[AGRUP. VALOR. PTO.]]=$B39,IF(DATOS_[[Check Periodo Ref.]:[Check Periodo Ref.]]="Dentro",IF(DATOS_[[Check Equiparado]:[Check Equiparado]]="Sí",IF(DATOS!AV$4="Sí",(1/DATOS_[[% anualiz]:[% anualiz]]),1)*IF(DATOS!AV$5="Sí",1/DATOS_[[% normaliz]:[% normaliz]],1)*(DATOS_[Conc.Sal.18])))))))), 0)</f>
        <v>0</v>
      </c>
      <c r="AB40" s="302" t="n">
        <f aca="false" t="array" ref="AB40:AB40">IFERROR( (AVERAGE((IF(DATOS_[[Sexo]:[Sexo]]=$B40,IF(DATOS_[[AGRUP. VALOR. PTO.]:[AGRUP. VALOR. PTO.]]=$B39,IF(DATOS_[[Check Periodo Ref.]:[Check Periodo Ref.]]="Dentro",IF(DATOS_[[Check Equiparado]:[Check Equiparado]]="Sí",IF(DATOS!AW$4="Sí",(1/DATOS_[[% anualiz]:[% anualiz]]),1)*IF(DATOS!AW$5="Sí",1/DATOS_[[% normaliz]:[% normaliz]],1)*(DATOS_[Conc.Sal.19])))))))), 0)</f>
        <v>0</v>
      </c>
      <c r="AC40" s="302" t="n">
        <f aca="false" t="array" ref="AC40:AC40">IFERROR( (AVERAGE((IF(DATOS_[[Sexo]:[Sexo]]=$B40,IF(DATOS_[[AGRUP. VALOR. PTO.]:[AGRUP. VALOR. PTO.]]=$B39,IF(DATOS_[[Check Periodo Ref.]:[Check Periodo Ref.]]="Dentro",IF(DATOS_[[Check Equiparado]:[Check Equiparado]]="Sí",IF(DATOS!AX$4="Sí",(1/DATOS_[[% anualiz]:[% anualiz]]),1)*IF(DATOS!AX$5="Sí",1/DATOS_[[% normaliz]:[% normaliz]],1)*(DATOS_[Conc.Sal.20])))))))), 0)</f>
        <v>0</v>
      </c>
      <c r="AD40" s="302" t="n">
        <f aca="false" t="array" ref="AD40:AD40">IFERROR( (AVERAGE((IF(DATOS_[[Sexo]:[Sexo]]=$B40,IF(DATOS_[[AGRUP. VALOR. PTO.]:[AGRUP. VALOR. PTO.]]=$B39,IF(DATOS_[[Check Periodo Ref.]:[Check Periodo Ref.]]="Dentro",IF(DATOS_[[Check Equiparado]:[Check Equiparado]]="Sí",IF(DATOS!AY$4="Sí",(1/DATOS_[[% anualiz]:[% anualiz]]),1)*IF(DATOS!AY$5="Sí",1/DATOS_[[% normaliz]:[% normaliz]],1)*(DATOS_[Conc.Sal.21])))))))), 0)</f>
        <v>0</v>
      </c>
      <c r="AE40" s="302" t="n">
        <f aca="false" t="array" ref="AE40:AE40">IFERROR( (AVERAGE((IF(DATOS_[[Sexo]:[Sexo]]=$B40,IF(DATOS_[[AGRUP. VALOR. PTO.]:[AGRUP. VALOR. PTO.]]=$B39,IF(DATOS_[[Check Periodo Ref.]:[Check Periodo Ref.]]="Dentro",IF(DATOS_[[Check Equiparado]:[Check Equiparado]]="Sí",IF(DATOS!AZ$4="Sí",(1/DATOS_[[% anualiz]:[% anualiz]]),1)*IF(DATOS!AZ$5="Sí",1/DATOS_[[% normaliz]:[% normaliz]],1)*(DATOS_[Conc.Sal.22])))))))), 0)</f>
        <v>0</v>
      </c>
      <c r="AF40" s="302" t="n">
        <f aca="false" t="array" ref="AF40:AF40">IFERROR( (AVERAGE((IF(DATOS_[[Sexo]:[Sexo]]=$B40,IF(DATOS_[[AGRUP. VALOR. PTO.]:[AGRUP. VALOR. PTO.]]=$B39,IF(DATOS_[[Check Periodo Ref.]:[Check Periodo Ref.]]="Dentro",IF(DATOS_[[Check Equiparado]:[Check Equiparado]]="Sí",IF(DATOS!BA$4="Sí",(1/DATOS_[[% anualiz]:[% anualiz]]),1)*IF(DATOS!BA$5="Sí",1/DATOS_[[% normaliz]:[% normaliz]],1)*(DATOS_[Conc.Sal.23])))))))), 0)</f>
        <v>0</v>
      </c>
      <c r="AG40" s="302" t="n">
        <f aca="false" t="array" ref="AG40:AG40">IFERROR( (AVERAGE((IF(DATOS_[[Sexo]:[Sexo]]=$B40,IF(DATOS_[[AGRUP. VALOR. PTO.]:[AGRUP. VALOR. PTO.]]=$B39,IF(DATOS_[[Check Periodo Ref.]:[Check Periodo Ref.]]="Dentro",IF(DATOS_[[Check Equiparado]:[Check Equiparado]]="Sí",IF(DATOS!BB$4="Sí",(1/DATOS_[[% anualiz]:[% anualiz]]),1)*IF(DATOS!BB$5="Sí",1/DATOS_[[% normaliz]:[% normaliz]],1)*(DATOS_[Conc.Sal.24])))))))), 0)</f>
        <v>0</v>
      </c>
      <c r="AH40" s="302" t="n">
        <f aca="false" t="array" ref="AH40:AH40">IFERROR( (AVERAGE((IF(DATOS_[[Sexo]:[Sexo]]=$B40,IF(DATOS_[[AGRUP. VALOR. PTO.]:[AGRUP. VALOR. PTO.]]=$B39,IF(DATOS_[[Check Periodo Ref.]:[Check Periodo Ref.]]="Dentro",IF(DATOS_[[Check Equiparado]:[Check Equiparado]]="Sí",IF(DATOS!BC$4="Sí",(1/DATOS_[[% anualiz]:[% anualiz]]),1)*IF(DATOS!BC$5="Sí",1/DATOS_[[% normaliz]:[% normaliz]],1)*(DATOS_[Conc.Sal.25])))))))), 0)</f>
        <v>0</v>
      </c>
      <c r="AI40" s="302" t="n">
        <f aca="false" t="array" ref="AI40:AI40">IFERROR( (AVERAGE((IF(DATOS_[[Sexo]:[Sexo]]=$B40,IF(DATOS_[[AGRUP. VALOR. PTO.]:[AGRUP. VALOR. PTO.]]=$B39,IF(DATOS_[[Check Periodo Ref.]:[Check Periodo Ref.]]="Dentro",IF(DATOS_[[Check Equiparado]:[Check Equiparado]]="Sí",IF(DATOS!BD$4="Sí",(1/DATOS_[[% anualiz]:[% anualiz]]),1)*IF(DATOS!BD$5="Sí",1/DATOS_[[% normaliz]:[% normaliz]],1)*(DATOS_[Conc.Sal.26])))))))), 0)</f>
        <v>0</v>
      </c>
      <c r="AJ40" s="302" t="n">
        <f aca="false" t="array" ref="AJ40:AJ40">IFERROR( (AVERAGE((IF(DATOS_[[Sexo]:[Sexo]]=$B40,IF(DATOS_[[AGRUP. VALOR. PTO.]:[AGRUP. VALOR. PTO.]]=$B39,IF(DATOS_[[Check Periodo Ref.]:[Check Periodo Ref.]]="Dentro",IF(DATOS_[[Check Equiparado]:[Check Equiparado]]="Sí",IF(DATOS!BE$4="Sí",(1/DATOS_[[% anualiz]:[% anualiz]]),1)*IF(DATOS!BE$5="Sí",1/DATOS_[[% normaliz]:[% normaliz]],1)*(DATOS_[Conc.Sal.27])))))))), 0)</f>
        <v>0</v>
      </c>
      <c r="AK40" s="302" t="n">
        <f aca="false" t="array" ref="AK40:AK40">IFERROR( (AVERAGE((IF(DATOS_[[Sexo]:[Sexo]]=$B40,IF(DATOS_[[AGRUP. VALOR. PTO.]:[AGRUP. VALOR. PTO.]]=$B39,IF(DATOS_[[Check Periodo Ref.]:[Check Periodo Ref.]]="Dentro",IF(DATOS_[[Check Equiparado]:[Check Equiparado]]="Sí",IF(DATOS!BF$4="Sí",(1/DATOS_[[% anualiz]:[% anualiz]]),1)*IF(DATOS!BF$5="Sí",1/DATOS_[[% normaliz]:[% normaliz]],1)*(DATOS_[Conc.Sal.28])))))))), 0)</f>
        <v>0</v>
      </c>
      <c r="AL40" s="302" t="n">
        <f aca="false" t="array" ref="AL40:AL40">IFERROR( (AVERAGE((IF(DATOS_[[Sexo]:[Sexo]]=$B40,IF(DATOS_[[AGRUP. VALOR. PTO.]:[AGRUP. VALOR. PTO.]]=$B39,IF(DATOS_[[Check Periodo Ref.]:[Check Periodo Ref.]]="Dentro",IF(DATOS_[[Check Equiparado]:[Check Equiparado]]="Sí",IF(DATOS!BG$4="Sí",(1/DATOS_[[% anualiz]:[% anualiz]]),1)*IF(DATOS!BG$5="Sí",1/DATOS_[[% normaliz]:[% normaliz]],1)*(DATOS_[Conc.Sal.29])))))))), 0)</f>
        <v>0</v>
      </c>
      <c r="AM40" s="302" t="n">
        <f aca="false" t="array" ref="AM40:AM40">IFERROR( (AVERAGE((IF(DATOS_[[Sexo]:[Sexo]]=$B40,IF(DATOS_[[AGRUP. VALOR. PTO.]:[AGRUP. VALOR. PTO.]]=$B39,IF(DATOS_[[Check Periodo Ref.]:[Check Periodo Ref.]]="Dentro",IF(DATOS_[[Check Equiparado]:[Check Equiparado]]="Sí",IF(DATOS!BH$4="Sí",(1/DATOS_[[% anualiz]:[% anualiz]]),1)*IF(DATOS!BH$5="Sí",1/DATOS_[[% normaliz]:[% normaliz]],1)*(DATOS_[Conc.Sal.30])))))))), 0)</f>
        <v>0</v>
      </c>
      <c r="AN40" s="294" t="n">
        <f aca="false" t="array" ref="AN40:AN40">IFERROR( AVERAGE(IF(DATOS_[Sexo]=$B40,IF(DATOS_[[AGRUP. VALOR. PTO.]:[AGRUP. VALOR. PTO.]]=$B39,IF(DATOS_[Check Equiparado]="Sí",IF(DATOS_[Check Periodo Ref.]="Dentro",DATOS_[Tot COMPL.SAL Eq],0))))), 0)</f>
        <v>0</v>
      </c>
      <c r="AO40" s="295" t="n">
        <f aca="false" t="array" ref="AO40:AO40">IFERROR( AVERAGE(IF(DATOS_[Sexo]=$B40,IF(DATOS_[[AGRUP. VALOR. PTO.]:[AGRUP. VALOR. PTO.]]=$B39,IF(DATOS_[Check Equiparado]="Sí",IF(DATOS_[Check Periodo Ref.]="Dentro",DATOS_[TOTAL SALARIO Eq],0))))), 0)</f>
        <v>0</v>
      </c>
      <c r="AP40" s="303" t="n">
        <f aca="false" t="array" ref="AP40:AP40">IFERROR( (AVERAGE((IF(DATOS_[[Sexo]:[Sexo]]=$B40,IF(DATOS_[[AGRUP. VALOR. PTO.]:[AGRUP. VALOR. PTO.]]=$B39,IF(DATOS_[[Check Periodo Ref.]:[Check Periodo Ref.]]="Dentro",IF(DATOS_[[Check Equiparado]:[Check Equiparado]]="Sí",IF(DATOS!BI$4="Sí",(1/DATOS_[[% anualiz]:[% anualiz]]),1)*IF(DATOS!BI$5="Sí",1/DATOS_[[% normaliz]:[% normaliz]],1)*(DATOS_[C.Extra.01])))))))), 0)</f>
        <v>0</v>
      </c>
      <c r="AQ40" s="303" t="n">
        <f aca="false" t="array" ref="AQ40:AQ40">IFERROR( (AVERAGE((IF(DATOS_[[Sexo]:[Sexo]]=$B40,IF(DATOS_[[AGRUP. VALOR. PTO.]:[AGRUP. VALOR. PTO.]]=$B39,IF(DATOS_[[Check Periodo Ref.]:[Check Periodo Ref.]]="Dentro",IF(DATOS_[[Check Equiparado]:[Check Equiparado]]="Sí",IF(DATOS!BJ$4="Sí",(1/DATOS_[[% anualiz]:[% anualiz]]),1)*IF(DATOS!BJ$5="Sí",1/DATOS_[[% normaliz]:[% normaliz]],1)*(DATOS_[C.Extra.02])))))))), 0)</f>
        <v>0</v>
      </c>
      <c r="AR40" s="303" t="n">
        <f aca="false" t="array" ref="AR40:AR40">IFERROR( (AVERAGE((IF(DATOS_[[Sexo]:[Sexo]]=$B40,IF(DATOS_[[AGRUP. VALOR. PTO.]:[AGRUP. VALOR. PTO.]]=$B39,IF(DATOS_[[Check Periodo Ref.]:[Check Periodo Ref.]]="Dentro",IF(DATOS_[[Check Equiparado]:[Check Equiparado]]="Sí",IF(DATOS!BK$4="Sí",(1/DATOS_[[% anualiz]:[% anualiz]]),1)*IF(DATOS!BK$5="Sí",1/DATOS_[[% normaliz]:[% normaliz]],1)*(DATOS_[C.Extra.03])))))))), 0)</f>
        <v>0</v>
      </c>
      <c r="AS40" s="303" t="n">
        <f aca="false" t="array" ref="AS40:AS40">IFERROR( (AVERAGE((IF(DATOS_[[Sexo]:[Sexo]]=$B40,IF(DATOS_[[AGRUP. VALOR. PTO.]:[AGRUP. VALOR. PTO.]]=$B39,IF(DATOS_[[Check Periodo Ref.]:[Check Periodo Ref.]]="Dentro",IF(DATOS_[[Check Equiparado]:[Check Equiparado]]="Sí",IF(DATOS!BL$4="Sí",(1/DATOS_[[% anualiz]:[% anualiz]]),1)*IF(DATOS!BL$5="Sí",1/DATOS_[[% normaliz]:[% normaliz]],1)*(DATOS_[C.Extra.04])))))))), 0)</f>
        <v>0</v>
      </c>
      <c r="AT40" s="303" t="n">
        <f aca="false" t="array" ref="AT40:AT40">IFERROR( (AVERAGE((IF(DATOS_[[Sexo]:[Sexo]]=$B40,IF(DATOS_[[AGRUP. VALOR. PTO.]:[AGRUP. VALOR. PTO.]]=$B39,IF(DATOS_[[Check Periodo Ref.]:[Check Periodo Ref.]]="Dentro",IF(DATOS_[[Check Equiparado]:[Check Equiparado]]="Sí",IF(DATOS!BM$4="Sí",(1/DATOS_[[% anualiz]:[% anualiz]]),1)*IF(DATOS!BM$5="Sí",1/DATOS_[[% normaliz]:[% normaliz]],1)*(DATOS_[C.Extra.05])))))))), 0)</f>
        <v>0</v>
      </c>
      <c r="AU40" s="297" t="n">
        <f aca="false" t="array" ref="AU40:AU40">IFERROR( AVERAGE(IF(DATOS_[Sexo]=$B40,IF(DATOS_[[AGRUP. VALOR. PTO.]:[AGRUP. VALOR. PTO.]]=$B39,IF(DATOS_[Check Equiparado]="Sí",IF(DATOS_[Check Periodo Ref.]="Dentro",DATOS_[Tot Extrasalarial Eq],0))))), 0)</f>
        <v>0</v>
      </c>
      <c r="AV40" s="298" t="n">
        <f aca="false" t="array" ref="AV40:AV40">IFERROR( AVERAGE(IF(DATOS_[Sexo]=$B40,IF(DATOS_[[AGRUP. VALOR. PTO.]:[AGRUP. VALOR. PTO.]]=$B39,IF(DATOS_[Check Equiparado]="Sí",IF(DATOS_[Check Periodo Ref.]="Dentro",DATOS_[TOTAL Retrib Eq],0))))), 0)</f>
        <v>0</v>
      </c>
    </row>
    <row r="41" customFormat="false" ht="14.25" hidden="false" customHeight="false" outlineLevel="0" collapsed="false">
      <c r="A41" s="166" t="str">
        <f aca="false">+A40</f>
        <v>[ocultar]</v>
      </c>
      <c r="B41" s="289" t="s">
        <v>372</v>
      </c>
      <c r="C41" s="290" t="n">
        <f aca="false" t="array" ref="C41:C41">SUM(IF($B41=DATOS_[Sexo], IF($B39=DATOS_[AGRUP. VALOR. PTO.], IF("Dentro"=DATOS_[Check Periodo Ref.], 1/(COUNTIFS(DATOS_[Sexo],$B41,DATOS_[AGRUP. VALOR. PTO.],$B39,DATOS_[Check Periodo Ref.],"Dentro",DATOS_[id],DATOS_[id]))))))</f>
        <v>0</v>
      </c>
      <c r="D41" s="291" t="n">
        <f aca="false">COUNTIFS(DATOS_[AGRUP. VALOR. PTO.],$B39,DATOS_[Sexo],$B41,DATOS_[Check Periodo Ref.],"Dentro")</f>
        <v>0</v>
      </c>
      <c r="E41" s="291" t="n">
        <f aca="false">COUNTIFS(DATOS_[AGRUP. VALOR. PTO.],$B39,DATOS_[Sexo],$B41,DATOS_[Check Periodo Ref.],"Dentro",DATOS_[Check Nº SC Norm],"Sí")</f>
        <v>0</v>
      </c>
      <c r="F41" s="291" t="n">
        <f aca="false">COUNTIFS(DATOS_[AGRUP. VALOR. PTO.],$B39,DATOS_[Sexo],$B41,DATOS_[Check Periodo Ref.],"Dentro",DATOS_[Check Nº SC Anualiz],"Sí")</f>
        <v>0</v>
      </c>
      <c r="G41" s="291" t="n">
        <f aca="false">COUNTIFS(DATOS_[AGRUP. VALOR. PTO.],$B39,DATOS_[Sexo],$B41,DATOS_[Check Periodo Ref.],"Dentro",DATOS_[Check Nº SC Norm y Anualiz],"Sí")</f>
        <v>0</v>
      </c>
      <c r="H41" s="291" t="n">
        <f aca="false">COUNTIFS(DATOS_[AGRUP. VALOR. PTO.],$B39,DATOS_[Sexo],$B41,DATOS_[Check Periodo Ref.],"Dentro",DATOS_[Check Equiparación],"Sí")</f>
        <v>0</v>
      </c>
      <c r="I41" s="292" t="n">
        <f aca="false" t="array" ref="I41:I41">IFERROR( AVERAGE(IF(DATOS_[Sexo]=$B41,IF(DATOS_[[AGRUP. VALOR. PTO.]:[AGRUP. VALOR. PTO.]]=$B39,IF(DATOS_[Check Equiparado]="Sí",IF(DATOS_[Check Periodo Ref.]="Dentro",DATOS_[SALARIO BASE Eq],0))))), 0)</f>
        <v>0</v>
      </c>
      <c r="J41" s="302" t="n">
        <f aca="false" t="array" ref="J41:J41">IFERROR( (AVERAGE((IF(DATOS_[[Sexo]:[Sexo]]=$B41,IF(DATOS_[[AGRUP. VALOR. PTO.]:[AGRUP. VALOR. PTO.]]=$B39,IF(DATOS_[[Check Periodo Ref.]:[Check Periodo Ref.]]="Dentro",IF(DATOS_[[Check Equiparado]:[Check Equiparado]]="Sí",IF(DATOS!AE$4="Sí",(1/DATOS_[[% anualiz]:[% anualiz]]),1)*IF(DATOS!AE$5="Sí",1/DATOS_[[% normaliz]:[% normaliz]],1)*(DATOS_[Conc.Sal.01])))))))), 0)</f>
        <v>0</v>
      </c>
      <c r="K41" s="302" t="n">
        <f aca="false" t="array" ref="K41:K41">IFERROR( (AVERAGE((IF(DATOS_[[Sexo]:[Sexo]]=$B41,IF(DATOS_[[AGRUP. VALOR. PTO.]:[AGRUP. VALOR. PTO.]]=$B39,IF(DATOS_[[Check Periodo Ref.]:[Check Periodo Ref.]]="Dentro",IF(DATOS_[[Check Equiparado]:[Check Equiparado]]="Sí",IF(DATOS!AF$4="Sí",(1/DATOS_[[% anualiz]:[% anualiz]]),1)*IF(DATOS!AF$5="Sí",1/DATOS_[[% normaliz]:[% normaliz]],1)*(DATOS_[Conc.Sal.02])))))))), 0)</f>
        <v>0</v>
      </c>
      <c r="L41" s="302" t="n">
        <f aca="false" t="array" ref="L41:L41">IFERROR( (AVERAGE((IF(DATOS_[[Sexo]:[Sexo]]=$B41,IF(DATOS_[[AGRUP. VALOR. PTO.]:[AGRUP. VALOR. PTO.]]=$B39,IF(DATOS_[[Check Periodo Ref.]:[Check Periodo Ref.]]="Dentro",IF(DATOS_[[Check Equiparado]:[Check Equiparado]]="Sí",IF(DATOS!AG$4="Sí",(1/DATOS_[[% anualiz]:[% anualiz]]),1)*IF(DATOS!AG$5="Sí",1/DATOS_[[% normaliz]:[% normaliz]],1)*(DATOS_[Conc.Sal.03])))))))), 0)</f>
        <v>0</v>
      </c>
      <c r="M41" s="302" t="n">
        <f aca="false" t="array" ref="M41:M41">IFERROR( (AVERAGE((IF(DATOS_[[Sexo]:[Sexo]]=$B41,IF(DATOS_[[AGRUP. VALOR. PTO.]:[AGRUP. VALOR. PTO.]]=$B39,IF(DATOS_[[Check Periodo Ref.]:[Check Periodo Ref.]]="Dentro",IF(DATOS_[[Check Equiparado]:[Check Equiparado]]="Sí",IF(DATOS!AH$4="Sí",(1/DATOS_[[% anualiz]:[% anualiz]]),1)*IF(DATOS!AH$5="Sí",1/DATOS_[[% normaliz]:[% normaliz]],1)*(DATOS_[Conc.Sal.04])))))))), 0)</f>
        <v>0</v>
      </c>
      <c r="N41" s="302" t="n">
        <f aca="false" t="array" ref="N41:N41">IFERROR( (AVERAGE((IF(DATOS_[[Sexo]:[Sexo]]=$B41,IF(DATOS_[[AGRUP. VALOR. PTO.]:[AGRUP. VALOR. PTO.]]=$B39,IF(DATOS_[[Check Periodo Ref.]:[Check Periodo Ref.]]="Dentro",IF(DATOS_[[Check Equiparado]:[Check Equiparado]]="Sí",IF(DATOS!AI$4="Sí",(1/DATOS_[[% anualiz]:[% anualiz]]),1)*IF(DATOS!AI$5="Sí",1/DATOS_[[% normaliz]:[% normaliz]],1)*(DATOS_[Conc.Sal.05])))))))), 0)</f>
        <v>0</v>
      </c>
      <c r="O41" s="302" t="n">
        <f aca="false" t="array" ref="O41:O41">IFERROR( (AVERAGE((IF(DATOS_[[Sexo]:[Sexo]]=$B41,IF(DATOS_[[AGRUP. VALOR. PTO.]:[AGRUP. VALOR. PTO.]]=$B39,IF(DATOS_[[Check Periodo Ref.]:[Check Periodo Ref.]]="Dentro",IF(DATOS_[[Check Equiparado]:[Check Equiparado]]="Sí",IF(DATOS!AJ$4="Sí",(1/DATOS_[[% anualiz]:[% anualiz]]),1)*IF(DATOS!AJ$5="Sí",1/DATOS_[[% normaliz]:[% normaliz]],1)*(DATOS_[Conc.Sal.06])))))))), 0)</f>
        <v>0</v>
      </c>
      <c r="P41" s="302" t="n">
        <f aca="false" t="array" ref="P41:P41">IFERROR( (AVERAGE((IF(DATOS_[[Sexo]:[Sexo]]=$B41,IF(DATOS_[[AGRUP. VALOR. PTO.]:[AGRUP. VALOR. PTO.]]=$B39,IF(DATOS_[[Check Periodo Ref.]:[Check Periodo Ref.]]="Dentro",IF(DATOS_[[Check Equiparado]:[Check Equiparado]]="Sí",IF(DATOS!AK$4="Sí",(1/DATOS_[[% anualiz]:[% anualiz]]),1)*IF(DATOS!AK$5="Sí",1/DATOS_[[% normaliz]:[% normaliz]],1)*(DATOS_[Conc.Sal.07])))))))), 0)</f>
        <v>0</v>
      </c>
      <c r="Q41" s="302" t="n">
        <f aca="false" t="array" ref="Q41:Q41">IFERROR( (AVERAGE((IF(DATOS_[[Sexo]:[Sexo]]=$B41,IF(DATOS_[[AGRUP. VALOR. PTO.]:[AGRUP. VALOR. PTO.]]=$B39,IF(DATOS_[[Check Periodo Ref.]:[Check Periodo Ref.]]="Dentro",IF(DATOS_[[Check Equiparado]:[Check Equiparado]]="Sí",IF(DATOS!AL$4="Sí",(1/DATOS_[[% anualiz]:[% anualiz]]),1)*IF(DATOS!AL$5="Sí",1/DATOS_[[% normaliz]:[% normaliz]],1)*(DATOS_[Conc.Sal.08])))))))), 0)</f>
        <v>0</v>
      </c>
      <c r="R41" s="302" t="n">
        <f aca="false" t="array" ref="R41:R41">IFERROR( (AVERAGE((IF(DATOS_[[Sexo]:[Sexo]]=$B41,IF(DATOS_[[AGRUP. VALOR. PTO.]:[AGRUP. VALOR. PTO.]]=$B39,IF(DATOS_[[Check Periodo Ref.]:[Check Periodo Ref.]]="Dentro",IF(DATOS_[[Check Equiparado]:[Check Equiparado]]="Sí",IF(DATOS!AM$4="Sí",(1/DATOS_[[% anualiz]:[% anualiz]]),1)*IF(DATOS!AM$5="Sí",1/DATOS_[[% normaliz]:[% normaliz]],1)*(DATOS_[Conc.Sal.09])))))))), 0)</f>
        <v>0</v>
      </c>
      <c r="S41" s="302" t="n">
        <f aca="false" t="array" ref="S41:S41">IFERROR( (AVERAGE((IF(DATOS_[[Sexo]:[Sexo]]=$B41,IF(DATOS_[[AGRUP. VALOR. PTO.]:[AGRUP. VALOR. PTO.]]=$B39,IF(DATOS_[[Check Periodo Ref.]:[Check Periodo Ref.]]="Dentro",IF(DATOS_[[Check Equiparado]:[Check Equiparado]]="Sí",IF(DATOS!AN$4="Sí",(1/DATOS_[[% anualiz]:[% anualiz]]),1)*IF(DATOS!AN$5="Sí",1/DATOS_[[% normaliz]:[% normaliz]],1)*(DATOS_[Conc.Sal.10])))))))), 0)</f>
        <v>0</v>
      </c>
      <c r="T41" s="302" t="n">
        <f aca="false" t="array" ref="T41:T41">IFERROR( (AVERAGE((IF(DATOS_[[Sexo]:[Sexo]]=$B41,IF(DATOS_[[AGRUP. VALOR. PTO.]:[AGRUP. VALOR. PTO.]]=$B39,IF(DATOS_[[Check Periodo Ref.]:[Check Periodo Ref.]]="Dentro",IF(DATOS_[[Check Equiparado]:[Check Equiparado]]="Sí",IF(DATOS!AO$4="Sí",(1/DATOS_[[% anualiz]:[% anualiz]]),1)*IF(DATOS!AO$5="Sí",1/DATOS_[[% normaliz]:[% normaliz]],1)*(DATOS_[Conc.Sal.11])))))))), 0)</f>
        <v>0</v>
      </c>
      <c r="U41" s="302" t="n">
        <f aca="false" t="array" ref="U41:U41">IFERROR( (AVERAGE((IF(DATOS_[[Sexo]:[Sexo]]=$B41,IF(DATOS_[[AGRUP. VALOR. PTO.]:[AGRUP. VALOR. PTO.]]=$B39,IF(DATOS_[[Check Periodo Ref.]:[Check Periodo Ref.]]="Dentro",IF(DATOS_[[Check Equiparado]:[Check Equiparado]]="Sí",IF(DATOS!AP$4="Sí",(1/DATOS_[[% anualiz]:[% anualiz]]),1)*IF(DATOS!AP$5="Sí",1/DATOS_[[% normaliz]:[% normaliz]],1)*(DATOS_[Conc.Sal.12])))))))), 0)</f>
        <v>0</v>
      </c>
      <c r="V41" s="302" t="n">
        <f aca="false" t="array" ref="V41:V41">IFERROR( (AVERAGE((IF(DATOS_[[Sexo]:[Sexo]]=$B41,IF(DATOS_[[AGRUP. VALOR. PTO.]:[AGRUP. VALOR. PTO.]]=$B39,IF(DATOS_[[Check Periodo Ref.]:[Check Periodo Ref.]]="Dentro",IF(DATOS_[[Check Equiparado]:[Check Equiparado]]="Sí",IF(DATOS!AQ$4="Sí",(1/DATOS_[[% anualiz]:[% anualiz]]),1)*IF(DATOS!AQ$5="Sí",1/DATOS_[[% normaliz]:[% normaliz]],1)*(DATOS_[Conc.Sal.13])))))))), 0)</f>
        <v>0</v>
      </c>
      <c r="W41" s="302" t="n">
        <f aca="false" t="array" ref="W41:W41">IFERROR( (AVERAGE((IF(DATOS_[[Sexo]:[Sexo]]=$B41,IF(DATOS_[[AGRUP. VALOR. PTO.]:[AGRUP. VALOR. PTO.]]=$B39,IF(DATOS_[[Check Periodo Ref.]:[Check Periodo Ref.]]="Dentro",IF(DATOS_[[Check Equiparado]:[Check Equiparado]]="Sí",IF(DATOS!AR$4="Sí",(1/DATOS_[[% anualiz]:[% anualiz]]),1)*IF(DATOS!AR$5="Sí",1/DATOS_[[% normaliz]:[% normaliz]],1)*(DATOS_[Conc.Sal.14])))))))), 0)</f>
        <v>0</v>
      </c>
      <c r="X41" s="302" t="n">
        <f aca="false" t="array" ref="X41:X41">IFERROR( (AVERAGE((IF(DATOS_[[Sexo]:[Sexo]]=$B41,IF(DATOS_[[AGRUP. VALOR. PTO.]:[AGRUP. VALOR. PTO.]]=$B39,IF(DATOS_[[Check Periodo Ref.]:[Check Periodo Ref.]]="Dentro",IF(DATOS_[[Check Equiparado]:[Check Equiparado]]="Sí",IF(DATOS!AS$4="Sí",(1/DATOS_[[% anualiz]:[% anualiz]]),1)*IF(DATOS!AS$5="Sí",1/DATOS_[[% normaliz]:[% normaliz]],1)*(DATOS_[Conc.Sal.15])))))))), 0)</f>
        <v>0</v>
      </c>
      <c r="Y41" s="302" t="n">
        <f aca="false" t="array" ref="Y41:Y41">IFERROR( (AVERAGE((IF(DATOS_[[Sexo]:[Sexo]]=$B41,IF(DATOS_[[AGRUP. VALOR. PTO.]:[AGRUP. VALOR. PTO.]]=$B39,IF(DATOS_[[Check Periodo Ref.]:[Check Periodo Ref.]]="Dentro",IF(DATOS_[[Check Equiparado]:[Check Equiparado]]="Sí",IF(DATOS!AT$4="Sí",(1/DATOS_[[% anualiz]:[% anualiz]]),1)*IF(DATOS!AT$5="Sí",1/DATOS_[[% normaliz]:[% normaliz]],1)*(DATOS_[Conc.Sal.16])))))))), 0)</f>
        <v>0</v>
      </c>
      <c r="Z41" s="302" t="n">
        <f aca="false" t="array" ref="Z41:Z41">IFERROR( (AVERAGE((IF(DATOS_[[Sexo]:[Sexo]]=$B41,IF(DATOS_[[AGRUP. VALOR. PTO.]:[AGRUP. VALOR. PTO.]]=$B39,IF(DATOS_[[Check Periodo Ref.]:[Check Periodo Ref.]]="Dentro",IF(DATOS_[[Check Equiparado]:[Check Equiparado]]="Sí",IF(DATOS!AU$4="Sí",(1/DATOS_[[% anualiz]:[% anualiz]]),1)*IF(DATOS!AU$5="Sí",1/DATOS_[[% normaliz]:[% normaliz]],1)*(DATOS_[Conc.Sal.17])))))))), 0)</f>
        <v>0</v>
      </c>
      <c r="AA41" s="302" t="n">
        <f aca="false" t="array" ref="AA41:AA41">IFERROR( (AVERAGE((IF(DATOS_[[Sexo]:[Sexo]]=$B41,IF(DATOS_[[AGRUP. VALOR. PTO.]:[AGRUP. VALOR. PTO.]]=$B39,IF(DATOS_[[Check Periodo Ref.]:[Check Periodo Ref.]]="Dentro",IF(DATOS_[[Check Equiparado]:[Check Equiparado]]="Sí",IF(DATOS!AV$4="Sí",(1/DATOS_[[% anualiz]:[% anualiz]]),1)*IF(DATOS!AV$5="Sí",1/DATOS_[[% normaliz]:[% normaliz]],1)*(DATOS_[Conc.Sal.18])))))))), 0)</f>
        <v>0</v>
      </c>
      <c r="AB41" s="302" t="n">
        <f aca="false" t="array" ref="AB41:AB41">IFERROR( (AVERAGE((IF(DATOS_[[Sexo]:[Sexo]]=$B41,IF(DATOS_[[AGRUP. VALOR. PTO.]:[AGRUP. VALOR. PTO.]]=$B39,IF(DATOS_[[Check Periodo Ref.]:[Check Periodo Ref.]]="Dentro",IF(DATOS_[[Check Equiparado]:[Check Equiparado]]="Sí",IF(DATOS!AW$4="Sí",(1/DATOS_[[% anualiz]:[% anualiz]]),1)*IF(DATOS!AW$5="Sí",1/DATOS_[[% normaliz]:[% normaliz]],1)*(DATOS_[Conc.Sal.19])))))))), 0)</f>
        <v>0</v>
      </c>
      <c r="AC41" s="302" t="n">
        <f aca="false" t="array" ref="AC41:AC41">IFERROR( (AVERAGE((IF(DATOS_[[Sexo]:[Sexo]]=$B41,IF(DATOS_[[AGRUP. VALOR. PTO.]:[AGRUP. VALOR. PTO.]]=$B39,IF(DATOS_[[Check Periodo Ref.]:[Check Periodo Ref.]]="Dentro",IF(DATOS_[[Check Equiparado]:[Check Equiparado]]="Sí",IF(DATOS!AX$4="Sí",(1/DATOS_[[% anualiz]:[% anualiz]]),1)*IF(DATOS!AX$5="Sí",1/DATOS_[[% normaliz]:[% normaliz]],1)*(DATOS_[Conc.Sal.20])))))))), 0)</f>
        <v>0</v>
      </c>
      <c r="AD41" s="302" t="n">
        <f aca="false" t="array" ref="AD41:AD41">IFERROR( (AVERAGE((IF(DATOS_[[Sexo]:[Sexo]]=$B41,IF(DATOS_[[AGRUP. VALOR. PTO.]:[AGRUP. VALOR. PTO.]]=$B39,IF(DATOS_[[Check Periodo Ref.]:[Check Periodo Ref.]]="Dentro",IF(DATOS_[[Check Equiparado]:[Check Equiparado]]="Sí",IF(DATOS!AY$4="Sí",(1/DATOS_[[% anualiz]:[% anualiz]]),1)*IF(DATOS!AY$5="Sí",1/DATOS_[[% normaliz]:[% normaliz]],1)*(DATOS_[Conc.Sal.21])))))))), 0)</f>
        <v>0</v>
      </c>
      <c r="AE41" s="302" t="n">
        <f aca="false" t="array" ref="AE41:AE41">IFERROR( (AVERAGE((IF(DATOS_[[Sexo]:[Sexo]]=$B41,IF(DATOS_[[AGRUP. VALOR. PTO.]:[AGRUP. VALOR. PTO.]]=$B39,IF(DATOS_[[Check Periodo Ref.]:[Check Periodo Ref.]]="Dentro",IF(DATOS_[[Check Equiparado]:[Check Equiparado]]="Sí",IF(DATOS!AZ$4="Sí",(1/DATOS_[[% anualiz]:[% anualiz]]),1)*IF(DATOS!AZ$5="Sí",1/DATOS_[[% normaliz]:[% normaliz]],1)*(DATOS_[Conc.Sal.22])))))))), 0)</f>
        <v>0</v>
      </c>
      <c r="AF41" s="302" t="n">
        <f aca="false" t="array" ref="AF41:AF41">IFERROR( (AVERAGE((IF(DATOS_[[Sexo]:[Sexo]]=$B41,IF(DATOS_[[AGRUP. VALOR. PTO.]:[AGRUP. VALOR. PTO.]]=$B39,IF(DATOS_[[Check Periodo Ref.]:[Check Periodo Ref.]]="Dentro",IF(DATOS_[[Check Equiparado]:[Check Equiparado]]="Sí",IF(DATOS!BA$4="Sí",(1/DATOS_[[% anualiz]:[% anualiz]]),1)*IF(DATOS!BA$5="Sí",1/DATOS_[[% normaliz]:[% normaliz]],1)*(DATOS_[Conc.Sal.23])))))))), 0)</f>
        <v>0</v>
      </c>
      <c r="AG41" s="302" t="n">
        <f aca="false" t="array" ref="AG41:AG41">IFERROR( (AVERAGE((IF(DATOS_[[Sexo]:[Sexo]]=$B41,IF(DATOS_[[AGRUP. VALOR. PTO.]:[AGRUP. VALOR. PTO.]]=$B39,IF(DATOS_[[Check Periodo Ref.]:[Check Periodo Ref.]]="Dentro",IF(DATOS_[[Check Equiparado]:[Check Equiparado]]="Sí",IF(DATOS!BB$4="Sí",(1/DATOS_[[% anualiz]:[% anualiz]]),1)*IF(DATOS!BB$5="Sí",1/DATOS_[[% normaliz]:[% normaliz]],1)*(DATOS_[Conc.Sal.24])))))))), 0)</f>
        <v>0</v>
      </c>
      <c r="AH41" s="302" t="n">
        <f aca="false" t="array" ref="AH41:AH41">IFERROR( (AVERAGE((IF(DATOS_[[Sexo]:[Sexo]]=$B41,IF(DATOS_[[AGRUP. VALOR. PTO.]:[AGRUP. VALOR. PTO.]]=$B39,IF(DATOS_[[Check Periodo Ref.]:[Check Periodo Ref.]]="Dentro",IF(DATOS_[[Check Equiparado]:[Check Equiparado]]="Sí",IF(DATOS!BC$4="Sí",(1/DATOS_[[% anualiz]:[% anualiz]]),1)*IF(DATOS!BC$5="Sí",1/DATOS_[[% normaliz]:[% normaliz]],1)*(DATOS_[Conc.Sal.25])))))))), 0)</f>
        <v>0</v>
      </c>
      <c r="AI41" s="302" t="n">
        <f aca="false" t="array" ref="AI41:AI41">IFERROR( (AVERAGE((IF(DATOS_[[Sexo]:[Sexo]]=$B41,IF(DATOS_[[AGRUP. VALOR. PTO.]:[AGRUP. VALOR. PTO.]]=$B39,IF(DATOS_[[Check Periodo Ref.]:[Check Periodo Ref.]]="Dentro",IF(DATOS_[[Check Equiparado]:[Check Equiparado]]="Sí",IF(DATOS!BD$4="Sí",(1/DATOS_[[% anualiz]:[% anualiz]]),1)*IF(DATOS!BD$5="Sí",1/DATOS_[[% normaliz]:[% normaliz]],1)*(DATOS_[Conc.Sal.26])))))))), 0)</f>
        <v>0</v>
      </c>
      <c r="AJ41" s="302" t="n">
        <f aca="false" t="array" ref="AJ41:AJ41">IFERROR( (AVERAGE((IF(DATOS_[[Sexo]:[Sexo]]=$B41,IF(DATOS_[[AGRUP. VALOR. PTO.]:[AGRUP. VALOR. PTO.]]=$B39,IF(DATOS_[[Check Periodo Ref.]:[Check Periodo Ref.]]="Dentro",IF(DATOS_[[Check Equiparado]:[Check Equiparado]]="Sí",IF(DATOS!BE$4="Sí",(1/DATOS_[[% anualiz]:[% anualiz]]),1)*IF(DATOS!BE$5="Sí",1/DATOS_[[% normaliz]:[% normaliz]],1)*(DATOS_[Conc.Sal.27])))))))), 0)</f>
        <v>0</v>
      </c>
      <c r="AK41" s="302" t="n">
        <f aca="false" t="array" ref="AK41:AK41">IFERROR( (AVERAGE((IF(DATOS_[[Sexo]:[Sexo]]=$B41,IF(DATOS_[[AGRUP. VALOR. PTO.]:[AGRUP. VALOR. PTO.]]=$B39,IF(DATOS_[[Check Periodo Ref.]:[Check Periodo Ref.]]="Dentro",IF(DATOS_[[Check Equiparado]:[Check Equiparado]]="Sí",IF(DATOS!BF$4="Sí",(1/DATOS_[[% anualiz]:[% anualiz]]),1)*IF(DATOS!BF$5="Sí",1/DATOS_[[% normaliz]:[% normaliz]],1)*(DATOS_[Conc.Sal.28])))))))), 0)</f>
        <v>0</v>
      </c>
      <c r="AL41" s="302" t="n">
        <f aca="false" t="array" ref="AL41:AL41">IFERROR( (AVERAGE((IF(DATOS_[[Sexo]:[Sexo]]=$B41,IF(DATOS_[[AGRUP. VALOR. PTO.]:[AGRUP. VALOR. PTO.]]=$B39,IF(DATOS_[[Check Periodo Ref.]:[Check Periodo Ref.]]="Dentro",IF(DATOS_[[Check Equiparado]:[Check Equiparado]]="Sí",IF(DATOS!BG$4="Sí",(1/DATOS_[[% anualiz]:[% anualiz]]),1)*IF(DATOS!BG$5="Sí",1/DATOS_[[% normaliz]:[% normaliz]],1)*(DATOS_[Conc.Sal.29])))))))), 0)</f>
        <v>0</v>
      </c>
      <c r="AM41" s="302" t="n">
        <f aca="false" t="array" ref="AM41:AM41">IFERROR( (AVERAGE((IF(DATOS_[[Sexo]:[Sexo]]=$B41,IF(DATOS_[[AGRUP. VALOR. PTO.]:[AGRUP. VALOR. PTO.]]=$B39,IF(DATOS_[[Check Periodo Ref.]:[Check Periodo Ref.]]="Dentro",IF(DATOS_[[Check Equiparado]:[Check Equiparado]]="Sí",IF(DATOS!BH$4="Sí",(1/DATOS_[[% anualiz]:[% anualiz]]),1)*IF(DATOS!BH$5="Sí",1/DATOS_[[% normaliz]:[% normaliz]],1)*(DATOS_[Conc.Sal.30])))))))), 0)</f>
        <v>0</v>
      </c>
      <c r="AN41" s="294" t="n">
        <f aca="false" t="array" ref="AN41:AN41">IFERROR( AVERAGE(IF(DATOS_[Sexo]=$B41,IF(DATOS_[[AGRUP. VALOR. PTO.]:[AGRUP. VALOR. PTO.]]=$B39,IF(DATOS_[Check Equiparado]="Sí",IF(DATOS_[Check Periodo Ref.]="Dentro",DATOS_[Tot COMPL.SAL Eq],0))))), 0)</f>
        <v>0</v>
      </c>
      <c r="AO41" s="295" t="n">
        <f aca="false" t="array" ref="AO41:AO41">IFERROR( AVERAGE(IF(DATOS_[Sexo]=$B41,IF(DATOS_[[AGRUP. VALOR. PTO.]:[AGRUP. VALOR. PTO.]]=$B39,IF(DATOS_[Check Equiparado]="Sí",IF(DATOS_[Check Periodo Ref.]="Dentro",DATOS_[TOTAL SALARIO Eq],0))))), 0)</f>
        <v>0</v>
      </c>
      <c r="AP41" s="303" t="n">
        <f aca="false" t="array" ref="AP41:AP41">IFERROR( (AVERAGE((IF(DATOS_[[Sexo]:[Sexo]]=$B41,IF(DATOS_[[AGRUP. VALOR. PTO.]:[AGRUP. VALOR. PTO.]]=$B40,IF(DATOS_[[Check Periodo Ref.]:[Check Periodo Ref.]]="Dentro",IF(DATOS_[[Check Equiparado]:[Check Equiparado]]="Sí",IF(DATOS!BI$4="Sí",(1/DATOS_[[% anualiz]:[% anualiz]]),1)*IF(DATOS!BI$5="Sí",1/DATOS_[[% normaliz]:[% normaliz]],1)*(DATOS_[C.Extra.01])))))))), 0)</f>
        <v>0</v>
      </c>
      <c r="AQ41" s="303" t="n">
        <f aca="false" t="array" ref="AQ41:AQ41">IFERROR( (AVERAGE((IF(DATOS_[[Sexo]:[Sexo]]=$B41,IF(DATOS_[[AGRUP. VALOR. PTO.]:[AGRUP. VALOR. PTO.]]=$B40,IF(DATOS_[[Check Periodo Ref.]:[Check Periodo Ref.]]="Dentro",IF(DATOS_[[Check Equiparado]:[Check Equiparado]]="Sí",IF(DATOS!BJ$4="Sí",(1/DATOS_[[% anualiz]:[% anualiz]]),1)*IF(DATOS!BJ$5="Sí",1/DATOS_[[% normaliz]:[% normaliz]],1)*(DATOS_[C.Extra.02])))))))), 0)</f>
        <v>0</v>
      </c>
      <c r="AR41" s="303" t="n">
        <f aca="false" t="array" ref="AR41:AR41">IFERROR( (AVERAGE((IF(DATOS_[[Sexo]:[Sexo]]=$B41,IF(DATOS_[[AGRUP. VALOR. PTO.]:[AGRUP. VALOR. PTO.]]=$B40,IF(DATOS_[[Check Periodo Ref.]:[Check Periodo Ref.]]="Dentro",IF(DATOS_[[Check Equiparado]:[Check Equiparado]]="Sí",IF(DATOS!BK$4="Sí",(1/DATOS_[[% anualiz]:[% anualiz]]),1)*IF(DATOS!BK$5="Sí",1/DATOS_[[% normaliz]:[% normaliz]],1)*(DATOS_[C.Extra.03])))))))), 0)</f>
        <v>0</v>
      </c>
      <c r="AS41" s="303" t="n">
        <f aca="false" t="array" ref="AS41:AS41">IFERROR( (AVERAGE((IF(DATOS_[[Sexo]:[Sexo]]=$B41,IF(DATOS_[[AGRUP. VALOR. PTO.]:[AGRUP. VALOR. PTO.]]=$B40,IF(DATOS_[[Check Periodo Ref.]:[Check Periodo Ref.]]="Dentro",IF(DATOS_[[Check Equiparado]:[Check Equiparado]]="Sí",IF(DATOS!BL$4="Sí",(1/DATOS_[[% anualiz]:[% anualiz]]),1)*IF(DATOS!BL$5="Sí",1/DATOS_[[% normaliz]:[% normaliz]],1)*(DATOS_[C.Extra.04])))))))), 0)</f>
        <v>0</v>
      </c>
      <c r="AT41" s="303" t="n">
        <f aca="false" t="array" ref="AT41:AT41">IFERROR( (AVERAGE((IF(DATOS_[[Sexo]:[Sexo]]=$B41,IF(DATOS_[[AGRUP. VALOR. PTO.]:[AGRUP. VALOR. PTO.]]=$B40,IF(DATOS_[[Check Periodo Ref.]:[Check Periodo Ref.]]="Dentro",IF(DATOS_[[Check Equiparado]:[Check Equiparado]]="Sí",IF(DATOS!BM$4="Sí",(1/DATOS_[[% anualiz]:[% anualiz]]),1)*IF(DATOS!BM$5="Sí",1/DATOS_[[% normaliz]:[% normaliz]],1)*(DATOS_[C.Extra.05])))))))), 0)</f>
        <v>0</v>
      </c>
      <c r="AU41" s="297" t="n">
        <f aca="false" t="array" ref="AU41:AU41">IFERROR( AVERAGE(IF(DATOS_[Sexo]=$B41,IF(DATOS_[[AGRUP. VALOR. PTO.]:[AGRUP. VALOR. PTO.]]=$B39,IF(DATOS_[Check Equiparado]="Sí",IF(DATOS_[Check Periodo Ref.]="Dentro",DATOS_[Tot Extrasalarial Eq],0))))), 0)</f>
        <v>0</v>
      </c>
      <c r="AV41" s="298" t="n">
        <f aca="false" t="array" ref="AV41:AV41">IFERROR( AVERAGE(IF(DATOS_[Sexo]=$B41,IF(DATOS_[[AGRUP. VALOR. PTO.]:[AGRUP. VALOR. PTO.]]=$B39,IF(DATOS_[Check Equiparado]="Sí",IF(DATOS_[Check Periodo Ref.]="Dentro",DATOS_[TOTAL Retrib Eq],0))))), 0)</f>
        <v>0</v>
      </c>
    </row>
    <row r="42" customFormat="false" ht="15.75" hidden="false" customHeight="false" outlineLevel="0" collapsed="false">
      <c r="A42" s="166" t="str">
        <f aca="false">+A43</f>
        <v>[ocultar]</v>
      </c>
      <c r="B42" s="276" t="s">
        <v>196</v>
      </c>
      <c r="C42" s="277"/>
      <c r="D42" s="278"/>
      <c r="E42" s="278"/>
      <c r="F42" s="278"/>
      <c r="G42" s="278"/>
      <c r="H42" s="278"/>
      <c r="I42" s="279" t="str">
        <f aca="false">IFERROR((I43-I44)/I43,"")</f>
        <v/>
      </c>
      <c r="J42" s="280" t="str">
        <f aca="false">IFERROR((J43-J44)/J43,"")</f>
        <v/>
      </c>
      <c r="K42" s="281" t="str">
        <f aca="false">IFERROR((K43-K44)/K43,"")</f>
        <v/>
      </c>
      <c r="L42" s="281" t="str">
        <f aca="false">IFERROR((L43-L44)/L43,"")</f>
        <v/>
      </c>
      <c r="M42" s="281" t="str">
        <f aca="false">IFERROR((M43-M44)/M43,"")</f>
        <v/>
      </c>
      <c r="N42" s="282" t="str">
        <f aca="false">IFERROR((N43-N44)/N43,"")</f>
        <v/>
      </c>
      <c r="O42" s="283" t="str">
        <f aca="false">IFERROR((O43-O44)/O43,"")</f>
        <v/>
      </c>
      <c r="P42" s="283" t="str">
        <f aca="false">IFERROR((P43-P44)/P43,"")</f>
        <v/>
      </c>
      <c r="Q42" s="283" t="str">
        <f aca="false">IFERROR((Q43-Q44)/Q43,"")</f>
        <v/>
      </c>
      <c r="R42" s="283" t="str">
        <f aca="false">IFERROR((R43-R44)/R43,"")</f>
        <v/>
      </c>
      <c r="S42" s="283" t="str">
        <f aca="false">IFERROR((S43-S44)/S43,"")</f>
        <v/>
      </c>
      <c r="T42" s="283" t="str">
        <f aca="false">IFERROR((T43-T44)/T43,"")</f>
        <v/>
      </c>
      <c r="U42" s="283" t="str">
        <f aca="false">IFERROR((U43-U44)/U43,"")</f>
        <v/>
      </c>
      <c r="V42" s="283" t="str">
        <f aca="false">IFERROR((V43-V44)/V43,"")</f>
        <v/>
      </c>
      <c r="W42" s="283" t="str">
        <f aca="false">IFERROR((W43-W44)/W43,"")</f>
        <v/>
      </c>
      <c r="X42" s="283" t="str">
        <f aca="false">IFERROR((X43-X44)/X43,"")</f>
        <v/>
      </c>
      <c r="Y42" s="283" t="str">
        <f aca="false">IFERROR((Y43-Y44)/Y43,"")</f>
        <v/>
      </c>
      <c r="Z42" s="282" t="str">
        <f aca="false">IFERROR((Z43-Z44)/Z43,"")</f>
        <v/>
      </c>
      <c r="AA42" s="282" t="str">
        <f aca="false">IFERROR((AA43-AA44)/AA43,"")</f>
        <v/>
      </c>
      <c r="AB42" s="282" t="str">
        <f aca="false">IFERROR((AB43-AB44)/AB43,"")</f>
        <v/>
      </c>
      <c r="AC42" s="282" t="str">
        <f aca="false">IFERROR((AC43-AC44)/AC43,"")</f>
        <v/>
      </c>
      <c r="AD42" s="282" t="str">
        <f aca="false">IFERROR((AD43-AD44)/AD43,"")</f>
        <v/>
      </c>
      <c r="AE42" s="282" t="str">
        <f aca="false">IFERROR((AE43-AE44)/AE43,"")</f>
        <v/>
      </c>
      <c r="AF42" s="282" t="str">
        <f aca="false">IFERROR((AF43-AF44)/AF43,"")</f>
        <v/>
      </c>
      <c r="AG42" s="282" t="str">
        <f aca="false">IFERROR((AG43-AG44)/AG43,"")</f>
        <v/>
      </c>
      <c r="AH42" s="282" t="str">
        <f aca="false">IFERROR((AH43-AH44)/AH43,"")</f>
        <v/>
      </c>
      <c r="AI42" s="282" t="str">
        <f aca="false">IFERROR((AI43-AI44)/AI43,"")</f>
        <v/>
      </c>
      <c r="AJ42" s="282" t="str">
        <f aca="false">IFERROR((AJ43-AJ44)/AJ43,"")</f>
        <v/>
      </c>
      <c r="AK42" s="282" t="str">
        <f aca="false">IFERROR((AK43-AK44)/AK43,"")</f>
        <v/>
      </c>
      <c r="AL42" s="282" t="str">
        <f aca="false">IFERROR((AL43-AL44)/AL43,"")</f>
        <v/>
      </c>
      <c r="AM42" s="282" t="str">
        <f aca="false">IFERROR((AM43-AM44)/AM43,"")</f>
        <v/>
      </c>
      <c r="AN42" s="284" t="str">
        <f aca="false">IFERROR((AN43-AN44)/AN43,"")</f>
        <v/>
      </c>
      <c r="AO42" s="285" t="str">
        <f aca="false">IFERROR((AO43-AO44)/AO43,"")</f>
        <v/>
      </c>
      <c r="AP42" s="286" t="str">
        <f aca="false">IFERROR((AP43-AP44)/AP43,"")</f>
        <v/>
      </c>
      <c r="AQ42" s="286" t="str">
        <f aca="false">IFERROR((AQ43-AQ44)/AQ43,"")</f>
        <v/>
      </c>
      <c r="AR42" s="286" t="str">
        <f aca="false">IFERROR((AR43-AR44)/AR43,"")</f>
        <v/>
      </c>
      <c r="AS42" s="286" t="str">
        <f aca="false">IFERROR((AS43-AS44)/AS43,"")</f>
        <v/>
      </c>
      <c r="AT42" s="286" t="str">
        <f aca="false">IFERROR((AT43-AT44)/AT43,"")</f>
        <v/>
      </c>
      <c r="AU42" s="287" t="str">
        <f aca="false">IFERROR((AU43-AU44)/AU43,"")</f>
        <v/>
      </c>
      <c r="AV42" s="288" t="str">
        <f aca="false">IFERROR((AV43-AV44)/AV43,"")</f>
        <v/>
      </c>
    </row>
    <row r="43" customFormat="false" ht="14.25" hidden="false" customHeight="false" outlineLevel="0" collapsed="false">
      <c r="A43" s="166" t="str">
        <f aca="false">+IF(C43+C44=0,"[ocultar]","")</f>
        <v>[ocultar]</v>
      </c>
      <c r="B43" s="289" t="s">
        <v>371</v>
      </c>
      <c r="C43" s="290" t="n">
        <f aca="false" t="array" ref="C43:C43">SUM(IF($B43=DATOS_[Sexo], IF($B42=DATOS_[AGRUP. VALOR. PTO.], IF("Dentro"=DATOS_[Check Periodo Ref.], 1/(COUNTIFS(DATOS_[Sexo],$B43,DATOS_[AGRUP. VALOR. PTO.],$B42,DATOS_[Check Periodo Ref.],"Dentro",DATOS_[id],DATOS_[id]))))))</f>
        <v>0</v>
      </c>
      <c r="D43" s="291" t="n">
        <f aca="false">COUNTIFS(DATOS_[AGRUP. VALOR. PTO.],$B42,DATOS_[Sexo],$B43,DATOS_[Check Periodo Ref.],"Dentro")</f>
        <v>0</v>
      </c>
      <c r="E43" s="291" t="n">
        <f aca="false">COUNTIFS(DATOS_[AGRUP. VALOR. PTO.],$B42,DATOS_[Sexo],$B43,DATOS_[Check Periodo Ref.],"Dentro",DATOS_[Check Nº SC Norm],"Sí")</f>
        <v>0</v>
      </c>
      <c r="F43" s="291" t="n">
        <f aca="false">COUNTIFS(DATOS_[AGRUP. VALOR. PTO.],$B42,DATOS_[Sexo],$B43,DATOS_[Check Periodo Ref.],"Dentro",DATOS_[Check Nº SC Anualiz],"Sí")</f>
        <v>0</v>
      </c>
      <c r="G43" s="291" t="n">
        <f aca="false">COUNTIFS(DATOS_[AGRUP. VALOR. PTO.],$B42,DATOS_[Sexo],$B43,DATOS_[Check Periodo Ref.],"Dentro",DATOS_[Check Nº SC Norm y Anualiz],"Sí")</f>
        <v>0</v>
      </c>
      <c r="H43" s="291" t="n">
        <f aca="false">COUNTIFS(DATOS_[AGRUP. VALOR. PTO.],$B42,DATOS_[Sexo],$B43,DATOS_[Check Periodo Ref.],"Dentro",DATOS_[Check Equiparación],"Sí")</f>
        <v>0</v>
      </c>
      <c r="I43" s="292" t="n">
        <f aca="false" t="array" ref="I43:I43">IFERROR( AVERAGE(IF(DATOS_[Sexo]=$B43,IF(DATOS_[[AGRUP. VALOR. PTO.]:[AGRUP. VALOR. PTO.]]=$B42,IF(DATOS_[Check Equiparado]="Sí",IF(DATOS_[Check Periodo Ref.]="Dentro",DATOS_[SALARIO BASE Eq],0))))), 0)</f>
        <v>0</v>
      </c>
      <c r="J43" s="302" t="n">
        <f aca="false" t="array" ref="J43:J43">IFERROR( (AVERAGE((IF(DATOS_[[Sexo]:[Sexo]]=$B43,IF(DATOS_[[AGRUP. VALOR. PTO.]:[AGRUP. VALOR. PTO.]]=$B42,IF(DATOS_[[Check Periodo Ref.]:[Check Periodo Ref.]]="Dentro",IF(DATOS_[[Check Equiparado]:[Check Equiparado]]="Sí",IF(DATOS!AE$4="Sí",(1/DATOS_[[% anualiz]:[% anualiz]]),1)*IF(DATOS!AE$5="Sí",1/DATOS_[[% normaliz]:[% normaliz]],1)*(DATOS_[Conc.Sal.01])))))))), 0)</f>
        <v>0</v>
      </c>
      <c r="K43" s="302" t="n">
        <f aca="false" t="array" ref="K43:K43">IFERROR( (AVERAGE((IF(DATOS_[[Sexo]:[Sexo]]=$B43,IF(DATOS_[[AGRUP. VALOR. PTO.]:[AGRUP. VALOR. PTO.]]=$B42,IF(DATOS_[[Check Periodo Ref.]:[Check Periodo Ref.]]="Dentro",IF(DATOS_[[Check Equiparado]:[Check Equiparado]]="Sí",IF(DATOS!AF$4="Sí",(1/DATOS_[[% anualiz]:[% anualiz]]),1)*IF(DATOS!AF$5="Sí",1/DATOS_[[% normaliz]:[% normaliz]],1)*(DATOS_[Conc.Sal.02])))))))), 0)</f>
        <v>0</v>
      </c>
      <c r="L43" s="302" t="n">
        <f aca="false" t="array" ref="L43:L43">IFERROR( (AVERAGE((IF(DATOS_[[Sexo]:[Sexo]]=$B43,IF(DATOS_[[AGRUP. VALOR. PTO.]:[AGRUP. VALOR. PTO.]]=$B42,IF(DATOS_[[Check Periodo Ref.]:[Check Periodo Ref.]]="Dentro",IF(DATOS_[[Check Equiparado]:[Check Equiparado]]="Sí",IF(DATOS!AG$4="Sí",(1/DATOS_[[% anualiz]:[% anualiz]]),1)*IF(DATOS!AG$5="Sí",1/DATOS_[[% normaliz]:[% normaliz]],1)*(DATOS_[Conc.Sal.03])))))))), 0)</f>
        <v>0</v>
      </c>
      <c r="M43" s="302" t="n">
        <f aca="false" t="array" ref="M43:M43">IFERROR( (AVERAGE((IF(DATOS_[[Sexo]:[Sexo]]=$B43,IF(DATOS_[[AGRUP. VALOR. PTO.]:[AGRUP. VALOR. PTO.]]=$B42,IF(DATOS_[[Check Periodo Ref.]:[Check Periodo Ref.]]="Dentro",IF(DATOS_[[Check Equiparado]:[Check Equiparado]]="Sí",IF(DATOS!AH$4="Sí",(1/DATOS_[[% anualiz]:[% anualiz]]),1)*IF(DATOS!AH$5="Sí",1/DATOS_[[% normaliz]:[% normaliz]],1)*(DATOS_[Conc.Sal.04])))))))), 0)</f>
        <v>0</v>
      </c>
      <c r="N43" s="302" t="n">
        <f aca="false" t="array" ref="N43:N43">IFERROR( (AVERAGE((IF(DATOS_[[Sexo]:[Sexo]]=$B43,IF(DATOS_[[AGRUP. VALOR. PTO.]:[AGRUP. VALOR. PTO.]]=$B42,IF(DATOS_[[Check Periodo Ref.]:[Check Periodo Ref.]]="Dentro",IF(DATOS_[[Check Equiparado]:[Check Equiparado]]="Sí",IF(DATOS!AI$4="Sí",(1/DATOS_[[% anualiz]:[% anualiz]]),1)*IF(DATOS!AI$5="Sí",1/DATOS_[[% normaliz]:[% normaliz]],1)*(DATOS_[Conc.Sal.05])))))))), 0)</f>
        <v>0</v>
      </c>
      <c r="O43" s="302" t="n">
        <f aca="false" t="array" ref="O43:O43">IFERROR( (AVERAGE((IF(DATOS_[[Sexo]:[Sexo]]=$B43,IF(DATOS_[[AGRUP. VALOR. PTO.]:[AGRUP. VALOR. PTO.]]=$B42,IF(DATOS_[[Check Periodo Ref.]:[Check Periodo Ref.]]="Dentro",IF(DATOS_[[Check Equiparado]:[Check Equiparado]]="Sí",IF(DATOS!AJ$4="Sí",(1/DATOS_[[% anualiz]:[% anualiz]]),1)*IF(DATOS!AJ$5="Sí",1/DATOS_[[% normaliz]:[% normaliz]],1)*(DATOS_[Conc.Sal.06])))))))), 0)</f>
        <v>0</v>
      </c>
      <c r="P43" s="302" t="n">
        <f aca="false" t="array" ref="P43:P43">IFERROR( (AVERAGE((IF(DATOS_[[Sexo]:[Sexo]]=$B43,IF(DATOS_[[AGRUP. VALOR. PTO.]:[AGRUP. VALOR. PTO.]]=$B42,IF(DATOS_[[Check Periodo Ref.]:[Check Periodo Ref.]]="Dentro",IF(DATOS_[[Check Equiparado]:[Check Equiparado]]="Sí",IF(DATOS!AK$4="Sí",(1/DATOS_[[% anualiz]:[% anualiz]]),1)*IF(DATOS!AK$5="Sí",1/DATOS_[[% normaliz]:[% normaliz]],1)*(DATOS_[Conc.Sal.07])))))))), 0)</f>
        <v>0</v>
      </c>
      <c r="Q43" s="302" t="n">
        <f aca="false" t="array" ref="Q43:Q43">IFERROR( (AVERAGE((IF(DATOS_[[Sexo]:[Sexo]]=$B43,IF(DATOS_[[AGRUP. VALOR. PTO.]:[AGRUP. VALOR. PTO.]]=$B42,IF(DATOS_[[Check Periodo Ref.]:[Check Periodo Ref.]]="Dentro",IF(DATOS_[[Check Equiparado]:[Check Equiparado]]="Sí",IF(DATOS!AL$4="Sí",(1/DATOS_[[% anualiz]:[% anualiz]]),1)*IF(DATOS!AL$5="Sí",1/DATOS_[[% normaliz]:[% normaliz]],1)*(DATOS_[Conc.Sal.08])))))))), 0)</f>
        <v>0</v>
      </c>
      <c r="R43" s="302" t="n">
        <f aca="false" t="array" ref="R43:R43">IFERROR( (AVERAGE((IF(DATOS_[[Sexo]:[Sexo]]=$B43,IF(DATOS_[[AGRUP. VALOR. PTO.]:[AGRUP. VALOR. PTO.]]=$B42,IF(DATOS_[[Check Periodo Ref.]:[Check Periodo Ref.]]="Dentro",IF(DATOS_[[Check Equiparado]:[Check Equiparado]]="Sí",IF(DATOS!AM$4="Sí",(1/DATOS_[[% anualiz]:[% anualiz]]),1)*IF(DATOS!AM$5="Sí",1/DATOS_[[% normaliz]:[% normaliz]],1)*(DATOS_[Conc.Sal.09])))))))), 0)</f>
        <v>0</v>
      </c>
      <c r="S43" s="302" t="n">
        <f aca="false" t="array" ref="S43:S43">IFERROR( (AVERAGE((IF(DATOS_[[Sexo]:[Sexo]]=$B43,IF(DATOS_[[AGRUP. VALOR. PTO.]:[AGRUP. VALOR. PTO.]]=$B42,IF(DATOS_[[Check Periodo Ref.]:[Check Periodo Ref.]]="Dentro",IF(DATOS_[[Check Equiparado]:[Check Equiparado]]="Sí",IF(DATOS!AN$4="Sí",(1/DATOS_[[% anualiz]:[% anualiz]]),1)*IF(DATOS!AN$5="Sí",1/DATOS_[[% normaliz]:[% normaliz]],1)*(DATOS_[Conc.Sal.10])))))))), 0)</f>
        <v>0</v>
      </c>
      <c r="T43" s="302" t="n">
        <f aca="false" t="array" ref="T43:T43">IFERROR( (AVERAGE((IF(DATOS_[[Sexo]:[Sexo]]=$B43,IF(DATOS_[[AGRUP. VALOR. PTO.]:[AGRUP. VALOR. PTO.]]=$B42,IF(DATOS_[[Check Periodo Ref.]:[Check Periodo Ref.]]="Dentro",IF(DATOS_[[Check Equiparado]:[Check Equiparado]]="Sí",IF(DATOS!AO$4="Sí",(1/DATOS_[[% anualiz]:[% anualiz]]),1)*IF(DATOS!AO$5="Sí",1/DATOS_[[% normaliz]:[% normaliz]],1)*(DATOS_[Conc.Sal.11])))))))), 0)</f>
        <v>0</v>
      </c>
      <c r="U43" s="302" t="n">
        <f aca="false" t="array" ref="U43:U43">IFERROR( (AVERAGE((IF(DATOS_[[Sexo]:[Sexo]]=$B43,IF(DATOS_[[AGRUP. VALOR. PTO.]:[AGRUP. VALOR. PTO.]]=$B42,IF(DATOS_[[Check Periodo Ref.]:[Check Periodo Ref.]]="Dentro",IF(DATOS_[[Check Equiparado]:[Check Equiparado]]="Sí",IF(DATOS!AP$4="Sí",(1/DATOS_[[% anualiz]:[% anualiz]]),1)*IF(DATOS!AP$5="Sí",1/DATOS_[[% normaliz]:[% normaliz]],1)*(DATOS_[Conc.Sal.12])))))))), 0)</f>
        <v>0</v>
      </c>
      <c r="V43" s="302" t="n">
        <f aca="false" t="array" ref="V43:V43">IFERROR( (AVERAGE((IF(DATOS_[[Sexo]:[Sexo]]=$B43,IF(DATOS_[[AGRUP. VALOR. PTO.]:[AGRUP. VALOR. PTO.]]=$B42,IF(DATOS_[[Check Periodo Ref.]:[Check Periodo Ref.]]="Dentro",IF(DATOS_[[Check Equiparado]:[Check Equiparado]]="Sí",IF(DATOS!AQ$4="Sí",(1/DATOS_[[% anualiz]:[% anualiz]]),1)*IF(DATOS!AQ$5="Sí",1/DATOS_[[% normaliz]:[% normaliz]],1)*(DATOS_[Conc.Sal.13])))))))), 0)</f>
        <v>0</v>
      </c>
      <c r="W43" s="302" t="n">
        <f aca="false" t="array" ref="W43:W43">IFERROR( (AVERAGE((IF(DATOS_[[Sexo]:[Sexo]]=$B43,IF(DATOS_[[AGRUP. VALOR. PTO.]:[AGRUP. VALOR. PTO.]]=$B42,IF(DATOS_[[Check Periodo Ref.]:[Check Periodo Ref.]]="Dentro",IF(DATOS_[[Check Equiparado]:[Check Equiparado]]="Sí",IF(DATOS!AR$4="Sí",(1/DATOS_[[% anualiz]:[% anualiz]]),1)*IF(DATOS!AR$5="Sí",1/DATOS_[[% normaliz]:[% normaliz]],1)*(DATOS_[Conc.Sal.14])))))))), 0)</f>
        <v>0</v>
      </c>
      <c r="X43" s="302" t="n">
        <f aca="false" t="array" ref="X43:X43">IFERROR( (AVERAGE((IF(DATOS_[[Sexo]:[Sexo]]=$B43,IF(DATOS_[[AGRUP. VALOR. PTO.]:[AGRUP. VALOR. PTO.]]=$B42,IF(DATOS_[[Check Periodo Ref.]:[Check Periodo Ref.]]="Dentro",IF(DATOS_[[Check Equiparado]:[Check Equiparado]]="Sí",IF(DATOS!AS$4="Sí",(1/DATOS_[[% anualiz]:[% anualiz]]),1)*IF(DATOS!AS$5="Sí",1/DATOS_[[% normaliz]:[% normaliz]],1)*(DATOS_[Conc.Sal.15])))))))), 0)</f>
        <v>0</v>
      </c>
      <c r="Y43" s="302" t="n">
        <f aca="false" t="array" ref="Y43:Y43">IFERROR( (AVERAGE((IF(DATOS_[[Sexo]:[Sexo]]=$B43,IF(DATOS_[[AGRUP. VALOR. PTO.]:[AGRUP. VALOR. PTO.]]=$B42,IF(DATOS_[[Check Periodo Ref.]:[Check Periodo Ref.]]="Dentro",IF(DATOS_[[Check Equiparado]:[Check Equiparado]]="Sí",IF(DATOS!AT$4="Sí",(1/DATOS_[[% anualiz]:[% anualiz]]),1)*IF(DATOS!AT$5="Sí",1/DATOS_[[% normaliz]:[% normaliz]],1)*(DATOS_[Conc.Sal.16])))))))), 0)</f>
        <v>0</v>
      </c>
      <c r="Z43" s="302" t="n">
        <f aca="false" t="array" ref="Z43:Z43">IFERROR( (AVERAGE((IF(DATOS_[[Sexo]:[Sexo]]=$B43,IF(DATOS_[[AGRUP. VALOR. PTO.]:[AGRUP. VALOR. PTO.]]=$B42,IF(DATOS_[[Check Periodo Ref.]:[Check Periodo Ref.]]="Dentro",IF(DATOS_[[Check Equiparado]:[Check Equiparado]]="Sí",IF(DATOS!AU$4="Sí",(1/DATOS_[[% anualiz]:[% anualiz]]),1)*IF(DATOS!AU$5="Sí",1/DATOS_[[% normaliz]:[% normaliz]],1)*(DATOS_[Conc.Sal.17])))))))), 0)</f>
        <v>0</v>
      </c>
      <c r="AA43" s="302" t="n">
        <f aca="false" t="array" ref="AA43:AA43">IFERROR( (AVERAGE((IF(DATOS_[[Sexo]:[Sexo]]=$B43,IF(DATOS_[[AGRUP. VALOR. PTO.]:[AGRUP. VALOR. PTO.]]=$B42,IF(DATOS_[[Check Periodo Ref.]:[Check Periodo Ref.]]="Dentro",IF(DATOS_[[Check Equiparado]:[Check Equiparado]]="Sí",IF(DATOS!AV$4="Sí",(1/DATOS_[[% anualiz]:[% anualiz]]),1)*IF(DATOS!AV$5="Sí",1/DATOS_[[% normaliz]:[% normaliz]],1)*(DATOS_[Conc.Sal.18])))))))), 0)</f>
        <v>0</v>
      </c>
      <c r="AB43" s="302" t="n">
        <f aca="false" t="array" ref="AB43:AB43">IFERROR( (AVERAGE((IF(DATOS_[[Sexo]:[Sexo]]=$B43,IF(DATOS_[[AGRUP. VALOR. PTO.]:[AGRUP. VALOR. PTO.]]=$B42,IF(DATOS_[[Check Periodo Ref.]:[Check Periodo Ref.]]="Dentro",IF(DATOS_[[Check Equiparado]:[Check Equiparado]]="Sí",IF(DATOS!AW$4="Sí",(1/DATOS_[[% anualiz]:[% anualiz]]),1)*IF(DATOS!AW$5="Sí",1/DATOS_[[% normaliz]:[% normaliz]],1)*(DATOS_[Conc.Sal.19])))))))), 0)</f>
        <v>0</v>
      </c>
      <c r="AC43" s="302" t="n">
        <f aca="false" t="array" ref="AC43:AC43">IFERROR( (AVERAGE((IF(DATOS_[[Sexo]:[Sexo]]=$B43,IF(DATOS_[[AGRUP. VALOR. PTO.]:[AGRUP. VALOR. PTO.]]=$B42,IF(DATOS_[[Check Periodo Ref.]:[Check Periodo Ref.]]="Dentro",IF(DATOS_[[Check Equiparado]:[Check Equiparado]]="Sí",IF(DATOS!AX$4="Sí",(1/DATOS_[[% anualiz]:[% anualiz]]),1)*IF(DATOS!AX$5="Sí",1/DATOS_[[% normaliz]:[% normaliz]],1)*(DATOS_[Conc.Sal.20])))))))), 0)</f>
        <v>0</v>
      </c>
      <c r="AD43" s="302" t="n">
        <f aca="false" t="array" ref="AD43:AD43">IFERROR( (AVERAGE((IF(DATOS_[[Sexo]:[Sexo]]=$B43,IF(DATOS_[[AGRUP. VALOR. PTO.]:[AGRUP. VALOR. PTO.]]=$B42,IF(DATOS_[[Check Periodo Ref.]:[Check Periodo Ref.]]="Dentro",IF(DATOS_[[Check Equiparado]:[Check Equiparado]]="Sí",IF(DATOS!AY$4="Sí",(1/DATOS_[[% anualiz]:[% anualiz]]),1)*IF(DATOS!AY$5="Sí",1/DATOS_[[% normaliz]:[% normaliz]],1)*(DATOS_[Conc.Sal.21])))))))), 0)</f>
        <v>0</v>
      </c>
      <c r="AE43" s="302" t="n">
        <f aca="false" t="array" ref="AE43:AE43">IFERROR( (AVERAGE((IF(DATOS_[[Sexo]:[Sexo]]=$B43,IF(DATOS_[[AGRUP. VALOR. PTO.]:[AGRUP. VALOR. PTO.]]=$B42,IF(DATOS_[[Check Periodo Ref.]:[Check Periodo Ref.]]="Dentro",IF(DATOS_[[Check Equiparado]:[Check Equiparado]]="Sí",IF(DATOS!AZ$4="Sí",(1/DATOS_[[% anualiz]:[% anualiz]]),1)*IF(DATOS!AZ$5="Sí",1/DATOS_[[% normaliz]:[% normaliz]],1)*(DATOS_[Conc.Sal.22])))))))), 0)</f>
        <v>0</v>
      </c>
      <c r="AF43" s="302" t="n">
        <f aca="false" t="array" ref="AF43:AF43">IFERROR( (AVERAGE((IF(DATOS_[[Sexo]:[Sexo]]=$B43,IF(DATOS_[[AGRUP. VALOR. PTO.]:[AGRUP. VALOR. PTO.]]=$B42,IF(DATOS_[[Check Periodo Ref.]:[Check Periodo Ref.]]="Dentro",IF(DATOS_[[Check Equiparado]:[Check Equiparado]]="Sí",IF(DATOS!BA$4="Sí",(1/DATOS_[[% anualiz]:[% anualiz]]),1)*IF(DATOS!BA$5="Sí",1/DATOS_[[% normaliz]:[% normaliz]],1)*(DATOS_[Conc.Sal.23])))))))), 0)</f>
        <v>0</v>
      </c>
      <c r="AG43" s="302" t="n">
        <f aca="false" t="array" ref="AG43:AG43">IFERROR( (AVERAGE((IF(DATOS_[[Sexo]:[Sexo]]=$B43,IF(DATOS_[[AGRUP. VALOR. PTO.]:[AGRUP. VALOR. PTO.]]=$B42,IF(DATOS_[[Check Periodo Ref.]:[Check Periodo Ref.]]="Dentro",IF(DATOS_[[Check Equiparado]:[Check Equiparado]]="Sí",IF(DATOS!BB$4="Sí",(1/DATOS_[[% anualiz]:[% anualiz]]),1)*IF(DATOS!BB$5="Sí",1/DATOS_[[% normaliz]:[% normaliz]],1)*(DATOS_[Conc.Sal.24])))))))), 0)</f>
        <v>0</v>
      </c>
      <c r="AH43" s="302" t="n">
        <f aca="false" t="array" ref="AH43:AH43">IFERROR( (AVERAGE((IF(DATOS_[[Sexo]:[Sexo]]=$B43,IF(DATOS_[[AGRUP. VALOR. PTO.]:[AGRUP. VALOR. PTO.]]=$B42,IF(DATOS_[[Check Periodo Ref.]:[Check Periodo Ref.]]="Dentro",IF(DATOS_[[Check Equiparado]:[Check Equiparado]]="Sí",IF(DATOS!BC$4="Sí",(1/DATOS_[[% anualiz]:[% anualiz]]),1)*IF(DATOS!BC$5="Sí",1/DATOS_[[% normaliz]:[% normaliz]],1)*(DATOS_[Conc.Sal.25])))))))), 0)</f>
        <v>0</v>
      </c>
      <c r="AI43" s="302" t="n">
        <f aca="false" t="array" ref="AI43:AI43">IFERROR( (AVERAGE((IF(DATOS_[[Sexo]:[Sexo]]=$B43,IF(DATOS_[[AGRUP. VALOR. PTO.]:[AGRUP. VALOR. PTO.]]=$B42,IF(DATOS_[[Check Periodo Ref.]:[Check Periodo Ref.]]="Dentro",IF(DATOS_[[Check Equiparado]:[Check Equiparado]]="Sí",IF(DATOS!BD$4="Sí",(1/DATOS_[[% anualiz]:[% anualiz]]),1)*IF(DATOS!BD$5="Sí",1/DATOS_[[% normaliz]:[% normaliz]],1)*(DATOS_[Conc.Sal.26])))))))), 0)</f>
        <v>0</v>
      </c>
      <c r="AJ43" s="302" t="n">
        <f aca="false" t="array" ref="AJ43:AJ43">IFERROR( (AVERAGE((IF(DATOS_[[Sexo]:[Sexo]]=$B43,IF(DATOS_[[AGRUP. VALOR. PTO.]:[AGRUP. VALOR. PTO.]]=$B42,IF(DATOS_[[Check Periodo Ref.]:[Check Periodo Ref.]]="Dentro",IF(DATOS_[[Check Equiparado]:[Check Equiparado]]="Sí",IF(DATOS!BE$4="Sí",(1/DATOS_[[% anualiz]:[% anualiz]]),1)*IF(DATOS!BE$5="Sí",1/DATOS_[[% normaliz]:[% normaliz]],1)*(DATOS_[Conc.Sal.27])))))))), 0)</f>
        <v>0</v>
      </c>
      <c r="AK43" s="302" t="n">
        <f aca="false" t="array" ref="AK43:AK43">IFERROR( (AVERAGE((IF(DATOS_[[Sexo]:[Sexo]]=$B43,IF(DATOS_[[AGRUP. VALOR. PTO.]:[AGRUP. VALOR. PTO.]]=$B42,IF(DATOS_[[Check Periodo Ref.]:[Check Periodo Ref.]]="Dentro",IF(DATOS_[[Check Equiparado]:[Check Equiparado]]="Sí",IF(DATOS!BF$4="Sí",(1/DATOS_[[% anualiz]:[% anualiz]]),1)*IF(DATOS!BF$5="Sí",1/DATOS_[[% normaliz]:[% normaliz]],1)*(DATOS_[Conc.Sal.28])))))))), 0)</f>
        <v>0</v>
      </c>
      <c r="AL43" s="302" t="n">
        <f aca="false" t="array" ref="AL43:AL43">IFERROR( (AVERAGE((IF(DATOS_[[Sexo]:[Sexo]]=$B43,IF(DATOS_[[AGRUP. VALOR. PTO.]:[AGRUP. VALOR. PTO.]]=$B42,IF(DATOS_[[Check Periodo Ref.]:[Check Periodo Ref.]]="Dentro",IF(DATOS_[[Check Equiparado]:[Check Equiparado]]="Sí",IF(DATOS!BG$4="Sí",(1/DATOS_[[% anualiz]:[% anualiz]]),1)*IF(DATOS!BG$5="Sí",1/DATOS_[[% normaliz]:[% normaliz]],1)*(DATOS_[Conc.Sal.29])))))))), 0)</f>
        <v>0</v>
      </c>
      <c r="AM43" s="302" t="n">
        <f aca="false" t="array" ref="AM43:AM43">IFERROR( (AVERAGE((IF(DATOS_[[Sexo]:[Sexo]]=$B43,IF(DATOS_[[AGRUP. VALOR. PTO.]:[AGRUP. VALOR. PTO.]]=$B42,IF(DATOS_[[Check Periodo Ref.]:[Check Periodo Ref.]]="Dentro",IF(DATOS_[[Check Equiparado]:[Check Equiparado]]="Sí",IF(DATOS!BH$4="Sí",(1/DATOS_[[% anualiz]:[% anualiz]]),1)*IF(DATOS!BH$5="Sí",1/DATOS_[[% normaliz]:[% normaliz]],1)*(DATOS_[Conc.Sal.30])))))))), 0)</f>
        <v>0</v>
      </c>
      <c r="AN43" s="294" t="n">
        <f aca="false" t="array" ref="AN43:AN43">IFERROR( AVERAGE(IF(DATOS_[Sexo]=$B43,IF(DATOS_[[AGRUP. VALOR. PTO.]:[AGRUP. VALOR. PTO.]]=$B42,IF(DATOS_[Check Equiparado]="Sí",IF(DATOS_[Check Periodo Ref.]="Dentro",DATOS_[Tot COMPL.SAL Eq],0))))), 0)</f>
        <v>0</v>
      </c>
      <c r="AO43" s="295" t="n">
        <f aca="false" t="array" ref="AO43:AO43">IFERROR( AVERAGE(IF(DATOS_[Sexo]=$B43,IF(DATOS_[[AGRUP. VALOR. PTO.]:[AGRUP. VALOR. PTO.]]=$B42,IF(DATOS_[Check Equiparado]="Sí",IF(DATOS_[Check Periodo Ref.]="Dentro",DATOS_[TOTAL SALARIO Eq],0))))), 0)</f>
        <v>0</v>
      </c>
      <c r="AP43" s="303" t="n">
        <f aca="false" t="array" ref="AP43:AP43">IFERROR( (AVERAGE((IF(DATOS_[[Sexo]:[Sexo]]=$B43,IF(DATOS_[[AGRUP. VALOR. PTO.]:[AGRUP. VALOR. PTO.]]=$B42,IF(DATOS_[[Check Periodo Ref.]:[Check Periodo Ref.]]="Dentro",IF(DATOS_[[Check Equiparado]:[Check Equiparado]]="Sí",IF(DATOS!BI$4="Sí",(1/DATOS_[[% anualiz]:[% anualiz]]),1)*IF(DATOS!BI$5="Sí",1/DATOS_[[% normaliz]:[% normaliz]],1)*(DATOS_[C.Extra.01])))))))), 0)</f>
        <v>0</v>
      </c>
      <c r="AQ43" s="303" t="n">
        <f aca="false" t="array" ref="AQ43:AQ43">IFERROR( (AVERAGE((IF(DATOS_[[Sexo]:[Sexo]]=$B43,IF(DATOS_[[AGRUP. VALOR. PTO.]:[AGRUP. VALOR. PTO.]]=$B42,IF(DATOS_[[Check Periodo Ref.]:[Check Periodo Ref.]]="Dentro",IF(DATOS_[[Check Equiparado]:[Check Equiparado]]="Sí",IF(DATOS!BJ$4="Sí",(1/DATOS_[[% anualiz]:[% anualiz]]),1)*IF(DATOS!BJ$5="Sí",1/DATOS_[[% normaliz]:[% normaliz]],1)*(DATOS_[C.Extra.02])))))))), 0)</f>
        <v>0</v>
      </c>
      <c r="AR43" s="303" t="n">
        <f aca="false" t="array" ref="AR43:AR43">IFERROR( (AVERAGE((IF(DATOS_[[Sexo]:[Sexo]]=$B43,IF(DATOS_[[AGRUP. VALOR. PTO.]:[AGRUP. VALOR. PTO.]]=$B42,IF(DATOS_[[Check Periodo Ref.]:[Check Periodo Ref.]]="Dentro",IF(DATOS_[[Check Equiparado]:[Check Equiparado]]="Sí",IF(DATOS!BK$4="Sí",(1/DATOS_[[% anualiz]:[% anualiz]]),1)*IF(DATOS!BK$5="Sí",1/DATOS_[[% normaliz]:[% normaliz]],1)*(DATOS_[C.Extra.03])))))))), 0)</f>
        <v>0</v>
      </c>
      <c r="AS43" s="303" t="n">
        <f aca="false" t="array" ref="AS43:AS43">IFERROR( (AVERAGE((IF(DATOS_[[Sexo]:[Sexo]]=$B43,IF(DATOS_[[AGRUP. VALOR. PTO.]:[AGRUP. VALOR. PTO.]]=$B42,IF(DATOS_[[Check Periodo Ref.]:[Check Periodo Ref.]]="Dentro",IF(DATOS_[[Check Equiparado]:[Check Equiparado]]="Sí",IF(DATOS!BL$4="Sí",(1/DATOS_[[% anualiz]:[% anualiz]]),1)*IF(DATOS!BL$5="Sí",1/DATOS_[[% normaliz]:[% normaliz]],1)*(DATOS_[C.Extra.04])))))))), 0)</f>
        <v>0</v>
      </c>
      <c r="AT43" s="303" t="n">
        <f aca="false" t="array" ref="AT43:AT43">IFERROR( (AVERAGE((IF(DATOS_[[Sexo]:[Sexo]]=$B43,IF(DATOS_[[AGRUP. VALOR. PTO.]:[AGRUP. VALOR. PTO.]]=$B42,IF(DATOS_[[Check Periodo Ref.]:[Check Periodo Ref.]]="Dentro",IF(DATOS_[[Check Equiparado]:[Check Equiparado]]="Sí",IF(DATOS!BM$4="Sí",(1/DATOS_[[% anualiz]:[% anualiz]]),1)*IF(DATOS!BM$5="Sí",1/DATOS_[[% normaliz]:[% normaliz]],1)*(DATOS_[C.Extra.05])))))))), 0)</f>
        <v>0</v>
      </c>
      <c r="AU43" s="297" t="n">
        <f aca="false" t="array" ref="AU43:AU43">IFERROR( AVERAGE(IF(DATOS_[Sexo]=$B43,IF(DATOS_[[AGRUP. VALOR. PTO.]:[AGRUP. VALOR. PTO.]]=$B42,IF(DATOS_[Check Equiparado]="Sí",IF(DATOS_[Check Periodo Ref.]="Dentro",DATOS_[Tot Extrasalarial Eq],0))))), 0)</f>
        <v>0</v>
      </c>
      <c r="AV43" s="298" t="n">
        <f aca="false" t="array" ref="AV43:AV43">IFERROR( AVERAGE(IF(DATOS_[Sexo]=$B43,IF(DATOS_[[AGRUP. VALOR. PTO.]:[AGRUP. VALOR. PTO.]]=$B42,IF(DATOS_[Check Equiparado]="Sí",IF(DATOS_[Check Periodo Ref.]="Dentro",DATOS_[TOTAL Retrib Eq],0))))), 0)</f>
        <v>0</v>
      </c>
    </row>
    <row r="44" customFormat="false" ht="14.25" hidden="false" customHeight="false" outlineLevel="0" collapsed="false">
      <c r="A44" s="166" t="str">
        <f aca="false">+A43</f>
        <v>[ocultar]</v>
      </c>
      <c r="B44" s="289" t="s">
        <v>372</v>
      </c>
      <c r="C44" s="290" t="n">
        <f aca="false" t="array" ref="C44:C44">SUM(IF($B44=DATOS_[Sexo], IF($B42=DATOS_[AGRUP. VALOR. PTO.], IF("Dentro"=DATOS_[Check Periodo Ref.], 1/(COUNTIFS(DATOS_[Sexo],$B44,DATOS_[AGRUP. VALOR. PTO.],$B42,DATOS_[Check Periodo Ref.],"Dentro",DATOS_[id],DATOS_[id]))))))</f>
        <v>0</v>
      </c>
      <c r="D44" s="291" t="n">
        <f aca="false">COUNTIFS(DATOS_[AGRUP. VALOR. PTO.],$B42,DATOS_[Sexo],$B44,DATOS_[Check Periodo Ref.],"Dentro")</f>
        <v>0</v>
      </c>
      <c r="E44" s="291" t="n">
        <f aca="false">COUNTIFS(DATOS_[AGRUP. VALOR. PTO.],$B42,DATOS_[Sexo],$B44,DATOS_[Check Periodo Ref.],"Dentro",DATOS_[Check Nº SC Norm],"Sí")</f>
        <v>0</v>
      </c>
      <c r="F44" s="291" t="n">
        <f aca="false">COUNTIFS(DATOS_[AGRUP. VALOR. PTO.],$B42,DATOS_[Sexo],$B44,DATOS_[Check Periodo Ref.],"Dentro",DATOS_[Check Nº SC Anualiz],"Sí")</f>
        <v>0</v>
      </c>
      <c r="G44" s="291" t="n">
        <f aca="false">COUNTIFS(DATOS_[AGRUP. VALOR. PTO.],$B42,DATOS_[Sexo],$B44,DATOS_[Check Periodo Ref.],"Dentro",DATOS_[Check Nº SC Norm y Anualiz],"Sí")</f>
        <v>0</v>
      </c>
      <c r="H44" s="291" t="n">
        <f aca="false">COUNTIFS(DATOS_[AGRUP. VALOR. PTO.],$B42,DATOS_[Sexo],$B44,DATOS_[Check Periodo Ref.],"Dentro",DATOS_[Check Equiparación],"Sí")</f>
        <v>0</v>
      </c>
      <c r="I44" s="292" t="n">
        <f aca="false" t="array" ref="I44:I44">IFERROR( AVERAGE(IF(DATOS_[Sexo]=$B44,IF(DATOS_[[AGRUP. VALOR. PTO.]:[AGRUP. VALOR. PTO.]]=$B42,IF(DATOS_[Check Equiparado]="Sí",IF(DATOS_[Check Periodo Ref.]="Dentro",DATOS_[SALARIO BASE Eq],0))))), 0)</f>
        <v>0</v>
      </c>
      <c r="J44" s="302" t="n">
        <f aca="false" t="array" ref="J44:J44">IFERROR( (AVERAGE((IF(DATOS_[[Sexo]:[Sexo]]=$B44,IF(DATOS_[[AGRUP. VALOR. PTO.]:[AGRUP. VALOR. PTO.]]=$B42,IF(DATOS_[[Check Periodo Ref.]:[Check Periodo Ref.]]="Dentro",IF(DATOS_[[Check Equiparado]:[Check Equiparado]]="Sí",IF(DATOS!AE$4="Sí",(1/DATOS_[[% anualiz]:[% anualiz]]),1)*IF(DATOS!AE$5="Sí",1/DATOS_[[% normaliz]:[% normaliz]],1)*(DATOS_[Conc.Sal.01])))))))), 0)</f>
        <v>0</v>
      </c>
      <c r="K44" s="302" t="n">
        <f aca="false" t="array" ref="K44:K44">IFERROR( (AVERAGE((IF(DATOS_[[Sexo]:[Sexo]]=$B44,IF(DATOS_[[AGRUP. VALOR. PTO.]:[AGRUP. VALOR. PTO.]]=$B42,IF(DATOS_[[Check Periodo Ref.]:[Check Periodo Ref.]]="Dentro",IF(DATOS_[[Check Equiparado]:[Check Equiparado]]="Sí",IF(DATOS!AF$4="Sí",(1/DATOS_[[% anualiz]:[% anualiz]]),1)*IF(DATOS!AF$5="Sí",1/DATOS_[[% normaliz]:[% normaliz]],1)*(DATOS_[Conc.Sal.02])))))))), 0)</f>
        <v>0</v>
      </c>
      <c r="L44" s="302" t="n">
        <f aca="false" t="array" ref="L44:L44">IFERROR( (AVERAGE((IF(DATOS_[[Sexo]:[Sexo]]=$B44,IF(DATOS_[[AGRUP. VALOR. PTO.]:[AGRUP. VALOR. PTO.]]=$B42,IF(DATOS_[[Check Periodo Ref.]:[Check Periodo Ref.]]="Dentro",IF(DATOS_[[Check Equiparado]:[Check Equiparado]]="Sí",IF(DATOS!AG$4="Sí",(1/DATOS_[[% anualiz]:[% anualiz]]),1)*IF(DATOS!AG$5="Sí",1/DATOS_[[% normaliz]:[% normaliz]],1)*(DATOS_[Conc.Sal.03])))))))), 0)</f>
        <v>0</v>
      </c>
      <c r="M44" s="302" t="n">
        <f aca="false" t="array" ref="M44:M44">IFERROR( (AVERAGE((IF(DATOS_[[Sexo]:[Sexo]]=$B44,IF(DATOS_[[AGRUP. VALOR. PTO.]:[AGRUP. VALOR. PTO.]]=$B42,IF(DATOS_[[Check Periodo Ref.]:[Check Periodo Ref.]]="Dentro",IF(DATOS_[[Check Equiparado]:[Check Equiparado]]="Sí",IF(DATOS!AH$4="Sí",(1/DATOS_[[% anualiz]:[% anualiz]]),1)*IF(DATOS!AH$5="Sí",1/DATOS_[[% normaliz]:[% normaliz]],1)*(DATOS_[Conc.Sal.04])))))))), 0)</f>
        <v>0</v>
      </c>
      <c r="N44" s="302" t="n">
        <f aca="false" t="array" ref="N44:N44">IFERROR( (AVERAGE((IF(DATOS_[[Sexo]:[Sexo]]=$B44,IF(DATOS_[[AGRUP. VALOR. PTO.]:[AGRUP. VALOR. PTO.]]=$B42,IF(DATOS_[[Check Periodo Ref.]:[Check Periodo Ref.]]="Dentro",IF(DATOS_[[Check Equiparado]:[Check Equiparado]]="Sí",IF(DATOS!AI$4="Sí",(1/DATOS_[[% anualiz]:[% anualiz]]),1)*IF(DATOS!AI$5="Sí",1/DATOS_[[% normaliz]:[% normaliz]],1)*(DATOS_[Conc.Sal.05])))))))), 0)</f>
        <v>0</v>
      </c>
      <c r="O44" s="302" t="n">
        <f aca="false" t="array" ref="O44:O44">IFERROR( (AVERAGE((IF(DATOS_[[Sexo]:[Sexo]]=$B44,IF(DATOS_[[AGRUP. VALOR. PTO.]:[AGRUP. VALOR. PTO.]]=$B42,IF(DATOS_[[Check Periodo Ref.]:[Check Periodo Ref.]]="Dentro",IF(DATOS_[[Check Equiparado]:[Check Equiparado]]="Sí",IF(DATOS!AJ$4="Sí",(1/DATOS_[[% anualiz]:[% anualiz]]),1)*IF(DATOS!AJ$5="Sí",1/DATOS_[[% normaliz]:[% normaliz]],1)*(DATOS_[Conc.Sal.06])))))))), 0)</f>
        <v>0</v>
      </c>
      <c r="P44" s="302" t="n">
        <f aca="false" t="array" ref="P44:P44">IFERROR( (AVERAGE((IF(DATOS_[[Sexo]:[Sexo]]=$B44,IF(DATOS_[[AGRUP. VALOR. PTO.]:[AGRUP. VALOR. PTO.]]=$B42,IF(DATOS_[[Check Periodo Ref.]:[Check Periodo Ref.]]="Dentro",IF(DATOS_[[Check Equiparado]:[Check Equiparado]]="Sí",IF(DATOS!AK$4="Sí",(1/DATOS_[[% anualiz]:[% anualiz]]),1)*IF(DATOS!AK$5="Sí",1/DATOS_[[% normaliz]:[% normaliz]],1)*(DATOS_[Conc.Sal.07])))))))), 0)</f>
        <v>0</v>
      </c>
      <c r="Q44" s="302" t="n">
        <f aca="false" t="array" ref="Q44:Q44">IFERROR( (AVERAGE((IF(DATOS_[[Sexo]:[Sexo]]=$B44,IF(DATOS_[[AGRUP. VALOR. PTO.]:[AGRUP. VALOR. PTO.]]=$B42,IF(DATOS_[[Check Periodo Ref.]:[Check Periodo Ref.]]="Dentro",IF(DATOS_[[Check Equiparado]:[Check Equiparado]]="Sí",IF(DATOS!AL$4="Sí",(1/DATOS_[[% anualiz]:[% anualiz]]),1)*IF(DATOS!AL$5="Sí",1/DATOS_[[% normaliz]:[% normaliz]],1)*(DATOS_[Conc.Sal.08])))))))), 0)</f>
        <v>0</v>
      </c>
      <c r="R44" s="302" t="n">
        <f aca="false" t="array" ref="R44:R44">IFERROR( (AVERAGE((IF(DATOS_[[Sexo]:[Sexo]]=$B44,IF(DATOS_[[AGRUP. VALOR. PTO.]:[AGRUP. VALOR. PTO.]]=$B42,IF(DATOS_[[Check Periodo Ref.]:[Check Periodo Ref.]]="Dentro",IF(DATOS_[[Check Equiparado]:[Check Equiparado]]="Sí",IF(DATOS!AM$4="Sí",(1/DATOS_[[% anualiz]:[% anualiz]]),1)*IF(DATOS!AM$5="Sí",1/DATOS_[[% normaliz]:[% normaliz]],1)*(DATOS_[Conc.Sal.09])))))))), 0)</f>
        <v>0</v>
      </c>
      <c r="S44" s="302" t="n">
        <f aca="false" t="array" ref="S44:S44">IFERROR( (AVERAGE((IF(DATOS_[[Sexo]:[Sexo]]=$B44,IF(DATOS_[[AGRUP. VALOR. PTO.]:[AGRUP. VALOR. PTO.]]=$B42,IF(DATOS_[[Check Periodo Ref.]:[Check Periodo Ref.]]="Dentro",IF(DATOS_[[Check Equiparado]:[Check Equiparado]]="Sí",IF(DATOS!AN$4="Sí",(1/DATOS_[[% anualiz]:[% anualiz]]),1)*IF(DATOS!AN$5="Sí",1/DATOS_[[% normaliz]:[% normaliz]],1)*(DATOS_[Conc.Sal.10])))))))), 0)</f>
        <v>0</v>
      </c>
      <c r="T44" s="302" t="n">
        <f aca="false" t="array" ref="T44:T44">IFERROR( (AVERAGE((IF(DATOS_[[Sexo]:[Sexo]]=$B44,IF(DATOS_[[AGRUP. VALOR. PTO.]:[AGRUP. VALOR. PTO.]]=$B42,IF(DATOS_[[Check Periodo Ref.]:[Check Periodo Ref.]]="Dentro",IF(DATOS_[[Check Equiparado]:[Check Equiparado]]="Sí",IF(DATOS!AO$4="Sí",(1/DATOS_[[% anualiz]:[% anualiz]]),1)*IF(DATOS!AO$5="Sí",1/DATOS_[[% normaliz]:[% normaliz]],1)*(DATOS_[Conc.Sal.11])))))))), 0)</f>
        <v>0</v>
      </c>
      <c r="U44" s="302" t="n">
        <f aca="false" t="array" ref="U44:U44">IFERROR( (AVERAGE((IF(DATOS_[[Sexo]:[Sexo]]=$B44,IF(DATOS_[[AGRUP. VALOR. PTO.]:[AGRUP. VALOR. PTO.]]=$B42,IF(DATOS_[[Check Periodo Ref.]:[Check Periodo Ref.]]="Dentro",IF(DATOS_[[Check Equiparado]:[Check Equiparado]]="Sí",IF(DATOS!AP$4="Sí",(1/DATOS_[[% anualiz]:[% anualiz]]),1)*IF(DATOS!AP$5="Sí",1/DATOS_[[% normaliz]:[% normaliz]],1)*(DATOS_[Conc.Sal.12])))))))), 0)</f>
        <v>0</v>
      </c>
      <c r="V44" s="302" t="n">
        <f aca="false" t="array" ref="V44:V44">IFERROR( (AVERAGE((IF(DATOS_[[Sexo]:[Sexo]]=$B44,IF(DATOS_[[AGRUP. VALOR. PTO.]:[AGRUP. VALOR. PTO.]]=$B42,IF(DATOS_[[Check Periodo Ref.]:[Check Periodo Ref.]]="Dentro",IF(DATOS_[[Check Equiparado]:[Check Equiparado]]="Sí",IF(DATOS!AQ$4="Sí",(1/DATOS_[[% anualiz]:[% anualiz]]),1)*IF(DATOS!AQ$5="Sí",1/DATOS_[[% normaliz]:[% normaliz]],1)*(DATOS_[Conc.Sal.13])))))))), 0)</f>
        <v>0</v>
      </c>
      <c r="W44" s="302" t="n">
        <f aca="false" t="array" ref="W44:W44">IFERROR( (AVERAGE((IF(DATOS_[[Sexo]:[Sexo]]=$B44,IF(DATOS_[[AGRUP. VALOR. PTO.]:[AGRUP. VALOR. PTO.]]=$B42,IF(DATOS_[[Check Periodo Ref.]:[Check Periodo Ref.]]="Dentro",IF(DATOS_[[Check Equiparado]:[Check Equiparado]]="Sí",IF(DATOS!AR$4="Sí",(1/DATOS_[[% anualiz]:[% anualiz]]),1)*IF(DATOS!AR$5="Sí",1/DATOS_[[% normaliz]:[% normaliz]],1)*(DATOS_[Conc.Sal.14])))))))), 0)</f>
        <v>0</v>
      </c>
      <c r="X44" s="302" t="n">
        <f aca="false" t="array" ref="X44:X44">IFERROR( (AVERAGE((IF(DATOS_[[Sexo]:[Sexo]]=$B44,IF(DATOS_[[AGRUP. VALOR. PTO.]:[AGRUP. VALOR. PTO.]]=$B42,IF(DATOS_[[Check Periodo Ref.]:[Check Periodo Ref.]]="Dentro",IF(DATOS_[[Check Equiparado]:[Check Equiparado]]="Sí",IF(DATOS!AS$4="Sí",(1/DATOS_[[% anualiz]:[% anualiz]]),1)*IF(DATOS!AS$5="Sí",1/DATOS_[[% normaliz]:[% normaliz]],1)*(DATOS_[Conc.Sal.15])))))))), 0)</f>
        <v>0</v>
      </c>
      <c r="Y44" s="302" t="n">
        <f aca="false" t="array" ref="Y44:Y44">IFERROR( (AVERAGE((IF(DATOS_[[Sexo]:[Sexo]]=$B44,IF(DATOS_[[AGRUP. VALOR. PTO.]:[AGRUP. VALOR. PTO.]]=$B42,IF(DATOS_[[Check Periodo Ref.]:[Check Periodo Ref.]]="Dentro",IF(DATOS_[[Check Equiparado]:[Check Equiparado]]="Sí",IF(DATOS!AT$4="Sí",(1/DATOS_[[% anualiz]:[% anualiz]]),1)*IF(DATOS!AT$5="Sí",1/DATOS_[[% normaliz]:[% normaliz]],1)*(DATOS_[Conc.Sal.16])))))))), 0)</f>
        <v>0</v>
      </c>
      <c r="Z44" s="302" t="n">
        <f aca="false" t="array" ref="Z44:Z44">IFERROR( (AVERAGE((IF(DATOS_[[Sexo]:[Sexo]]=$B44,IF(DATOS_[[AGRUP. VALOR. PTO.]:[AGRUP. VALOR. PTO.]]=$B42,IF(DATOS_[[Check Periodo Ref.]:[Check Periodo Ref.]]="Dentro",IF(DATOS_[[Check Equiparado]:[Check Equiparado]]="Sí",IF(DATOS!AU$4="Sí",(1/DATOS_[[% anualiz]:[% anualiz]]),1)*IF(DATOS!AU$5="Sí",1/DATOS_[[% normaliz]:[% normaliz]],1)*(DATOS_[Conc.Sal.17])))))))), 0)</f>
        <v>0</v>
      </c>
      <c r="AA44" s="302" t="n">
        <f aca="false" t="array" ref="AA44:AA44">IFERROR( (AVERAGE((IF(DATOS_[[Sexo]:[Sexo]]=$B44,IF(DATOS_[[AGRUP. VALOR. PTO.]:[AGRUP. VALOR. PTO.]]=$B42,IF(DATOS_[[Check Periodo Ref.]:[Check Periodo Ref.]]="Dentro",IF(DATOS_[[Check Equiparado]:[Check Equiparado]]="Sí",IF(DATOS!AV$4="Sí",(1/DATOS_[[% anualiz]:[% anualiz]]),1)*IF(DATOS!AV$5="Sí",1/DATOS_[[% normaliz]:[% normaliz]],1)*(DATOS_[Conc.Sal.18])))))))), 0)</f>
        <v>0</v>
      </c>
      <c r="AB44" s="302" t="n">
        <f aca="false" t="array" ref="AB44:AB44">IFERROR( (AVERAGE((IF(DATOS_[[Sexo]:[Sexo]]=$B44,IF(DATOS_[[AGRUP. VALOR. PTO.]:[AGRUP. VALOR. PTO.]]=$B42,IF(DATOS_[[Check Periodo Ref.]:[Check Periodo Ref.]]="Dentro",IF(DATOS_[[Check Equiparado]:[Check Equiparado]]="Sí",IF(DATOS!AW$4="Sí",(1/DATOS_[[% anualiz]:[% anualiz]]),1)*IF(DATOS!AW$5="Sí",1/DATOS_[[% normaliz]:[% normaliz]],1)*(DATOS_[Conc.Sal.19])))))))), 0)</f>
        <v>0</v>
      </c>
      <c r="AC44" s="302" t="n">
        <f aca="false" t="array" ref="AC44:AC44">IFERROR( (AVERAGE((IF(DATOS_[[Sexo]:[Sexo]]=$B44,IF(DATOS_[[AGRUP. VALOR. PTO.]:[AGRUP. VALOR. PTO.]]=$B42,IF(DATOS_[[Check Periodo Ref.]:[Check Periodo Ref.]]="Dentro",IF(DATOS_[[Check Equiparado]:[Check Equiparado]]="Sí",IF(DATOS!AX$4="Sí",(1/DATOS_[[% anualiz]:[% anualiz]]),1)*IF(DATOS!AX$5="Sí",1/DATOS_[[% normaliz]:[% normaliz]],1)*(DATOS_[Conc.Sal.20])))))))), 0)</f>
        <v>0</v>
      </c>
      <c r="AD44" s="302" t="n">
        <f aca="false" t="array" ref="AD44:AD44">IFERROR( (AVERAGE((IF(DATOS_[[Sexo]:[Sexo]]=$B44,IF(DATOS_[[AGRUP. VALOR. PTO.]:[AGRUP. VALOR. PTO.]]=$B42,IF(DATOS_[[Check Periodo Ref.]:[Check Periodo Ref.]]="Dentro",IF(DATOS_[[Check Equiparado]:[Check Equiparado]]="Sí",IF(DATOS!AY$4="Sí",(1/DATOS_[[% anualiz]:[% anualiz]]),1)*IF(DATOS!AY$5="Sí",1/DATOS_[[% normaliz]:[% normaliz]],1)*(DATOS_[Conc.Sal.21])))))))), 0)</f>
        <v>0</v>
      </c>
      <c r="AE44" s="302" t="n">
        <f aca="false" t="array" ref="AE44:AE44">IFERROR( (AVERAGE((IF(DATOS_[[Sexo]:[Sexo]]=$B44,IF(DATOS_[[AGRUP. VALOR. PTO.]:[AGRUP. VALOR. PTO.]]=$B42,IF(DATOS_[[Check Periodo Ref.]:[Check Periodo Ref.]]="Dentro",IF(DATOS_[[Check Equiparado]:[Check Equiparado]]="Sí",IF(DATOS!AZ$4="Sí",(1/DATOS_[[% anualiz]:[% anualiz]]),1)*IF(DATOS!AZ$5="Sí",1/DATOS_[[% normaliz]:[% normaliz]],1)*(DATOS_[Conc.Sal.22])))))))), 0)</f>
        <v>0</v>
      </c>
      <c r="AF44" s="302" t="n">
        <f aca="false" t="array" ref="AF44:AF44">IFERROR( (AVERAGE((IF(DATOS_[[Sexo]:[Sexo]]=$B44,IF(DATOS_[[AGRUP. VALOR. PTO.]:[AGRUP. VALOR. PTO.]]=$B42,IF(DATOS_[[Check Periodo Ref.]:[Check Periodo Ref.]]="Dentro",IF(DATOS_[[Check Equiparado]:[Check Equiparado]]="Sí",IF(DATOS!BA$4="Sí",(1/DATOS_[[% anualiz]:[% anualiz]]),1)*IF(DATOS!BA$5="Sí",1/DATOS_[[% normaliz]:[% normaliz]],1)*(DATOS_[Conc.Sal.23])))))))), 0)</f>
        <v>0</v>
      </c>
      <c r="AG44" s="302" t="n">
        <f aca="false" t="array" ref="AG44:AG44">IFERROR( (AVERAGE((IF(DATOS_[[Sexo]:[Sexo]]=$B44,IF(DATOS_[[AGRUP. VALOR. PTO.]:[AGRUP. VALOR. PTO.]]=$B42,IF(DATOS_[[Check Periodo Ref.]:[Check Periodo Ref.]]="Dentro",IF(DATOS_[[Check Equiparado]:[Check Equiparado]]="Sí",IF(DATOS!BB$4="Sí",(1/DATOS_[[% anualiz]:[% anualiz]]),1)*IF(DATOS!BB$5="Sí",1/DATOS_[[% normaliz]:[% normaliz]],1)*(DATOS_[Conc.Sal.24])))))))), 0)</f>
        <v>0</v>
      </c>
      <c r="AH44" s="302" t="n">
        <f aca="false" t="array" ref="AH44:AH44">IFERROR( (AVERAGE((IF(DATOS_[[Sexo]:[Sexo]]=$B44,IF(DATOS_[[AGRUP. VALOR. PTO.]:[AGRUP. VALOR. PTO.]]=$B42,IF(DATOS_[[Check Periodo Ref.]:[Check Periodo Ref.]]="Dentro",IF(DATOS_[[Check Equiparado]:[Check Equiparado]]="Sí",IF(DATOS!BC$4="Sí",(1/DATOS_[[% anualiz]:[% anualiz]]),1)*IF(DATOS!BC$5="Sí",1/DATOS_[[% normaliz]:[% normaliz]],1)*(DATOS_[Conc.Sal.25])))))))), 0)</f>
        <v>0</v>
      </c>
      <c r="AI44" s="302" t="n">
        <f aca="false" t="array" ref="AI44:AI44">IFERROR( (AVERAGE((IF(DATOS_[[Sexo]:[Sexo]]=$B44,IF(DATOS_[[AGRUP. VALOR. PTO.]:[AGRUP. VALOR. PTO.]]=$B42,IF(DATOS_[[Check Periodo Ref.]:[Check Periodo Ref.]]="Dentro",IF(DATOS_[[Check Equiparado]:[Check Equiparado]]="Sí",IF(DATOS!BD$4="Sí",(1/DATOS_[[% anualiz]:[% anualiz]]),1)*IF(DATOS!BD$5="Sí",1/DATOS_[[% normaliz]:[% normaliz]],1)*(DATOS_[Conc.Sal.26])))))))), 0)</f>
        <v>0</v>
      </c>
      <c r="AJ44" s="302" t="n">
        <f aca="false" t="array" ref="AJ44:AJ44">IFERROR( (AVERAGE((IF(DATOS_[[Sexo]:[Sexo]]=$B44,IF(DATOS_[[AGRUP. VALOR. PTO.]:[AGRUP. VALOR. PTO.]]=$B42,IF(DATOS_[[Check Periodo Ref.]:[Check Periodo Ref.]]="Dentro",IF(DATOS_[[Check Equiparado]:[Check Equiparado]]="Sí",IF(DATOS!BE$4="Sí",(1/DATOS_[[% anualiz]:[% anualiz]]),1)*IF(DATOS!BE$5="Sí",1/DATOS_[[% normaliz]:[% normaliz]],1)*(DATOS_[Conc.Sal.27])))))))), 0)</f>
        <v>0</v>
      </c>
      <c r="AK44" s="302" t="n">
        <f aca="false" t="array" ref="AK44:AK44">IFERROR( (AVERAGE((IF(DATOS_[[Sexo]:[Sexo]]=$B44,IF(DATOS_[[AGRUP. VALOR. PTO.]:[AGRUP. VALOR. PTO.]]=$B42,IF(DATOS_[[Check Periodo Ref.]:[Check Periodo Ref.]]="Dentro",IF(DATOS_[[Check Equiparado]:[Check Equiparado]]="Sí",IF(DATOS!BF$4="Sí",(1/DATOS_[[% anualiz]:[% anualiz]]),1)*IF(DATOS!BF$5="Sí",1/DATOS_[[% normaliz]:[% normaliz]],1)*(DATOS_[Conc.Sal.28])))))))), 0)</f>
        <v>0</v>
      </c>
      <c r="AL44" s="302" t="n">
        <f aca="false" t="array" ref="AL44:AL44">IFERROR( (AVERAGE((IF(DATOS_[[Sexo]:[Sexo]]=$B44,IF(DATOS_[[AGRUP. VALOR. PTO.]:[AGRUP. VALOR. PTO.]]=$B42,IF(DATOS_[[Check Periodo Ref.]:[Check Periodo Ref.]]="Dentro",IF(DATOS_[[Check Equiparado]:[Check Equiparado]]="Sí",IF(DATOS!BG$4="Sí",(1/DATOS_[[% anualiz]:[% anualiz]]),1)*IF(DATOS!BG$5="Sí",1/DATOS_[[% normaliz]:[% normaliz]],1)*(DATOS_[Conc.Sal.29])))))))), 0)</f>
        <v>0</v>
      </c>
      <c r="AM44" s="302" t="n">
        <f aca="false" t="array" ref="AM44:AM44">IFERROR( (AVERAGE((IF(DATOS_[[Sexo]:[Sexo]]=$B44,IF(DATOS_[[AGRUP. VALOR. PTO.]:[AGRUP. VALOR. PTO.]]=$B42,IF(DATOS_[[Check Periodo Ref.]:[Check Periodo Ref.]]="Dentro",IF(DATOS_[[Check Equiparado]:[Check Equiparado]]="Sí",IF(DATOS!BH$4="Sí",(1/DATOS_[[% anualiz]:[% anualiz]]),1)*IF(DATOS!BH$5="Sí",1/DATOS_[[% normaliz]:[% normaliz]],1)*(DATOS_[Conc.Sal.30])))))))), 0)</f>
        <v>0</v>
      </c>
      <c r="AN44" s="294" t="n">
        <f aca="false" t="array" ref="AN44:AN44">IFERROR( AVERAGE(IF(DATOS_[Sexo]=$B44,IF(DATOS_[[AGRUP. VALOR. PTO.]:[AGRUP. VALOR. PTO.]]=$B42,IF(DATOS_[Check Equiparado]="Sí",IF(DATOS_[Check Periodo Ref.]="Dentro",DATOS_[Tot COMPL.SAL Eq],0))))), 0)</f>
        <v>0</v>
      </c>
      <c r="AO44" s="295" t="n">
        <f aca="false" t="array" ref="AO44:AO44">IFERROR( AVERAGE(IF(DATOS_[Sexo]=$B44,IF(DATOS_[[AGRUP. VALOR. PTO.]:[AGRUP. VALOR. PTO.]]=$B42,IF(DATOS_[Check Equiparado]="Sí",IF(DATOS_[Check Periodo Ref.]="Dentro",DATOS_[TOTAL SALARIO Eq],0))))), 0)</f>
        <v>0</v>
      </c>
      <c r="AP44" s="303" t="n">
        <f aca="false" t="array" ref="AP44:AP44">IFERROR( (AVERAGE((IF(DATOS_[[Sexo]:[Sexo]]=$B44,IF(DATOS_[[AGRUP. VALOR. PTO.]:[AGRUP. VALOR. PTO.]]=$B43,IF(DATOS_[[Check Periodo Ref.]:[Check Periodo Ref.]]="Dentro",IF(DATOS_[[Check Equiparado]:[Check Equiparado]]="Sí",IF(DATOS!BI$4="Sí",(1/DATOS_[[% anualiz]:[% anualiz]]),1)*IF(DATOS!BI$5="Sí",1/DATOS_[[% normaliz]:[% normaliz]],1)*(DATOS_[C.Extra.01])))))))), 0)</f>
        <v>0</v>
      </c>
      <c r="AQ44" s="303" t="n">
        <f aca="false" t="array" ref="AQ44:AQ44">IFERROR( (AVERAGE((IF(DATOS_[[Sexo]:[Sexo]]=$B44,IF(DATOS_[[AGRUP. VALOR. PTO.]:[AGRUP. VALOR. PTO.]]=$B43,IF(DATOS_[[Check Periodo Ref.]:[Check Periodo Ref.]]="Dentro",IF(DATOS_[[Check Equiparado]:[Check Equiparado]]="Sí",IF(DATOS!BJ$4="Sí",(1/DATOS_[[% anualiz]:[% anualiz]]),1)*IF(DATOS!BJ$5="Sí",1/DATOS_[[% normaliz]:[% normaliz]],1)*(DATOS_[C.Extra.02])))))))), 0)</f>
        <v>0</v>
      </c>
      <c r="AR44" s="303" t="n">
        <f aca="false" t="array" ref="AR44:AR44">IFERROR( (AVERAGE((IF(DATOS_[[Sexo]:[Sexo]]=$B44,IF(DATOS_[[AGRUP. VALOR. PTO.]:[AGRUP. VALOR. PTO.]]=$B43,IF(DATOS_[[Check Periodo Ref.]:[Check Periodo Ref.]]="Dentro",IF(DATOS_[[Check Equiparado]:[Check Equiparado]]="Sí",IF(DATOS!BK$4="Sí",(1/DATOS_[[% anualiz]:[% anualiz]]),1)*IF(DATOS!BK$5="Sí",1/DATOS_[[% normaliz]:[% normaliz]],1)*(DATOS_[C.Extra.03])))))))), 0)</f>
        <v>0</v>
      </c>
      <c r="AS44" s="303" t="n">
        <f aca="false" t="array" ref="AS44:AS44">IFERROR( (AVERAGE((IF(DATOS_[[Sexo]:[Sexo]]=$B44,IF(DATOS_[[AGRUP. VALOR. PTO.]:[AGRUP. VALOR. PTO.]]=$B43,IF(DATOS_[[Check Periodo Ref.]:[Check Periodo Ref.]]="Dentro",IF(DATOS_[[Check Equiparado]:[Check Equiparado]]="Sí",IF(DATOS!BL$4="Sí",(1/DATOS_[[% anualiz]:[% anualiz]]),1)*IF(DATOS!BL$5="Sí",1/DATOS_[[% normaliz]:[% normaliz]],1)*(DATOS_[C.Extra.04])))))))), 0)</f>
        <v>0</v>
      </c>
      <c r="AT44" s="303" t="n">
        <f aca="false" t="array" ref="AT44:AT44">IFERROR( (AVERAGE((IF(DATOS_[[Sexo]:[Sexo]]=$B44,IF(DATOS_[[AGRUP. VALOR. PTO.]:[AGRUP. VALOR. PTO.]]=$B43,IF(DATOS_[[Check Periodo Ref.]:[Check Periodo Ref.]]="Dentro",IF(DATOS_[[Check Equiparado]:[Check Equiparado]]="Sí",IF(DATOS!BM$4="Sí",(1/DATOS_[[% anualiz]:[% anualiz]]),1)*IF(DATOS!BM$5="Sí",1/DATOS_[[% normaliz]:[% normaliz]],1)*(DATOS_[C.Extra.05])))))))), 0)</f>
        <v>0</v>
      </c>
      <c r="AU44" s="297" t="n">
        <f aca="false" t="array" ref="AU44:AU44">IFERROR( AVERAGE(IF(DATOS_[Sexo]=$B44,IF(DATOS_[[AGRUP. VALOR. PTO.]:[AGRUP. VALOR. PTO.]]=$B42,IF(DATOS_[Check Equiparado]="Sí",IF(DATOS_[Check Periodo Ref.]="Dentro",DATOS_[Tot Extrasalarial Eq],0))))), 0)</f>
        <v>0</v>
      </c>
      <c r="AV44" s="298" t="n">
        <f aca="false" t="array" ref="AV44:AV44">IFERROR( AVERAGE(IF(DATOS_[Sexo]=$B44,IF(DATOS_[[AGRUP. VALOR. PTO.]:[AGRUP. VALOR. PTO.]]=$B42,IF(DATOS_[Check Equiparado]="Sí",IF(DATOS_[Check Periodo Ref.]="Dentro",DATOS_[TOTAL Retrib Eq],0))))), 0)</f>
        <v>0</v>
      </c>
    </row>
    <row r="45" customFormat="false" ht="15.75" hidden="false" customHeight="false" outlineLevel="0" collapsed="false">
      <c r="A45" s="166" t="str">
        <f aca="false">+A46</f>
        <v>[ocultar]</v>
      </c>
      <c r="B45" s="276" t="s">
        <v>199</v>
      </c>
      <c r="C45" s="277"/>
      <c r="D45" s="278"/>
      <c r="E45" s="278"/>
      <c r="F45" s="278"/>
      <c r="G45" s="278"/>
      <c r="H45" s="278"/>
      <c r="I45" s="279" t="str">
        <f aca="false">IFERROR((I46-I47)/I46,"")</f>
        <v/>
      </c>
      <c r="J45" s="280" t="str">
        <f aca="false">IFERROR((J46-J47)/J46,"")</f>
        <v/>
      </c>
      <c r="K45" s="281" t="str">
        <f aca="false">IFERROR((K46-K47)/K46,"")</f>
        <v/>
      </c>
      <c r="L45" s="281" t="str">
        <f aca="false">IFERROR((L46-L47)/L46,"")</f>
        <v/>
      </c>
      <c r="M45" s="281" t="str">
        <f aca="false">IFERROR((M46-M47)/M46,"")</f>
        <v/>
      </c>
      <c r="N45" s="282" t="str">
        <f aca="false">IFERROR((N46-N47)/N46,"")</f>
        <v/>
      </c>
      <c r="O45" s="283" t="str">
        <f aca="false">IFERROR((O46-O47)/O46,"")</f>
        <v/>
      </c>
      <c r="P45" s="283" t="str">
        <f aca="false">IFERROR((P46-P47)/P46,"")</f>
        <v/>
      </c>
      <c r="Q45" s="283" t="str">
        <f aca="false">IFERROR((Q46-Q47)/Q46,"")</f>
        <v/>
      </c>
      <c r="R45" s="283" t="str">
        <f aca="false">IFERROR((R46-R47)/R46,"")</f>
        <v/>
      </c>
      <c r="S45" s="283" t="str">
        <f aca="false">IFERROR((S46-S47)/S46,"")</f>
        <v/>
      </c>
      <c r="T45" s="283" t="str">
        <f aca="false">IFERROR((T46-T47)/T46,"")</f>
        <v/>
      </c>
      <c r="U45" s="283" t="str">
        <f aca="false">IFERROR((U46-U47)/U46,"")</f>
        <v/>
      </c>
      <c r="V45" s="283" t="str">
        <f aca="false">IFERROR((V46-V47)/V46,"")</f>
        <v/>
      </c>
      <c r="W45" s="283" t="str">
        <f aca="false">IFERROR((W46-W47)/W46,"")</f>
        <v/>
      </c>
      <c r="X45" s="283" t="str">
        <f aca="false">IFERROR((X46-X47)/X46,"")</f>
        <v/>
      </c>
      <c r="Y45" s="283" t="str">
        <f aca="false">IFERROR((Y46-Y47)/Y46,"")</f>
        <v/>
      </c>
      <c r="Z45" s="282" t="str">
        <f aca="false">IFERROR((Z46-Z47)/Z46,"")</f>
        <v/>
      </c>
      <c r="AA45" s="282" t="str">
        <f aca="false">IFERROR((AA46-AA47)/AA46,"")</f>
        <v/>
      </c>
      <c r="AB45" s="282" t="str">
        <f aca="false">IFERROR((AB46-AB47)/AB46,"")</f>
        <v/>
      </c>
      <c r="AC45" s="282" t="str">
        <f aca="false">IFERROR((AC46-AC47)/AC46,"")</f>
        <v/>
      </c>
      <c r="AD45" s="282" t="str">
        <f aca="false">IFERROR((AD46-AD47)/AD46,"")</f>
        <v/>
      </c>
      <c r="AE45" s="282" t="str">
        <f aca="false">IFERROR((AE46-AE47)/AE46,"")</f>
        <v/>
      </c>
      <c r="AF45" s="282" t="str">
        <f aca="false">IFERROR((AF46-AF47)/AF46,"")</f>
        <v/>
      </c>
      <c r="AG45" s="282" t="str">
        <f aca="false">IFERROR((AG46-AG47)/AG46,"")</f>
        <v/>
      </c>
      <c r="AH45" s="282" t="str">
        <f aca="false">IFERROR((AH46-AH47)/AH46,"")</f>
        <v/>
      </c>
      <c r="AI45" s="282" t="str">
        <f aca="false">IFERROR((AI46-AI47)/AI46,"")</f>
        <v/>
      </c>
      <c r="AJ45" s="282" t="str">
        <f aca="false">IFERROR((AJ46-AJ47)/AJ46,"")</f>
        <v/>
      </c>
      <c r="AK45" s="282" t="str">
        <f aca="false">IFERROR((AK46-AK47)/AK46,"")</f>
        <v/>
      </c>
      <c r="AL45" s="282" t="str">
        <f aca="false">IFERROR((AL46-AL47)/AL46,"")</f>
        <v/>
      </c>
      <c r="AM45" s="282" t="str">
        <f aca="false">IFERROR((AM46-AM47)/AM46,"")</f>
        <v/>
      </c>
      <c r="AN45" s="284" t="str">
        <f aca="false">IFERROR((AN46-AN47)/AN46,"")</f>
        <v/>
      </c>
      <c r="AO45" s="285" t="str">
        <f aca="false">IFERROR((AO46-AO47)/AO46,"")</f>
        <v/>
      </c>
      <c r="AP45" s="286" t="str">
        <f aca="false">IFERROR((AP46-AP47)/AP46,"")</f>
        <v/>
      </c>
      <c r="AQ45" s="286" t="str">
        <f aca="false">IFERROR((AQ46-AQ47)/AQ46,"")</f>
        <v/>
      </c>
      <c r="AR45" s="286" t="str">
        <f aca="false">IFERROR((AR46-AR47)/AR46,"")</f>
        <v/>
      </c>
      <c r="AS45" s="286" t="str">
        <f aca="false">IFERROR((AS46-AS47)/AS46,"")</f>
        <v/>
      </c>
      <c r="AT45" s="286" t="str">
        <f aca="false">IFERROR((AT46-AT47)/AT46,"")</f>
        <v/>
      </c>
      <c r="AU45" s="287" t="str">
        <f aca="false">IFERROR((AU46-AU47)/AU46,"")</f>
        <v/>
      </c>
      <c r="AV45" s="288" t="str">
        <f aca="false">IFERROR((AV46-AV47)/AV46,"")</f>
        <v/>
      </c>
    </row>
    <row r="46" customFormat="false" ht="14.25" hidden="false" customHeight="false" outlineLevel="0" collapsed="false">
      <c r="A46" s="166" t="str">
        <f aca="false">+IF(C46+C47=0,"[ocultar]","")</f>
        <v>[ocultar]</v>
      </c>
      <c r="B46" s="289" t="s">
        <v>371</v>
      </c>
      <c r="C46" s="290" t="n">
        <f aca="false" t="array" ref="C46:C46">SUM(IF($B46=DATOS_[Sexo], IF($B45=DATOS_[AGRUP. VALOR. PTO.], IF("Dentro"=DATOS_[Check Periodo Ref.], 1/(COUNTIFS(DATOS_[Sexo],$B46,DATOS_[AGRUP. VALOR. PTO.],$B45,DATOS_[Check Periodo Ref.],"Dentro",DATOS_[id],DATOS_[id]))))))</f>
        <v>0</v>
      </c>
      <c r="D46" s="291" t="n">
        <f aca="false">COUNTIFS(DATOS_[AGRUP. VALOR. PTO.],$B45,DATOS_[Sexo],$B46,DATOS_[Check Periodo Ref.],"Dentro")</f>
        <v>0</v>
      </c>
      <c r="E46" s="291" t="n">
        <f aca="false">COUNTIFS(DATOS_[AGRUP. VALOR. PTO.],$B45,DATOS_[Sexo],$B46,DATOS_[Check Periodo Ref.],"Dentro",DATOS_[Check Nº SC Norm],"Sí")</f>
        <v>0</v>
      </c>
      <c r="F46" s="291" t="n">
        <f aca="false">COUNTIFS(DATOS_[AGRUP. VALOR. PTO.],$B45,DATOS_[Sexo],$B46,DATOS_[Check Periodo Ref.],"Dentro",DATOS_[Check Nº SC Anualiz],"Sí")</f>
        <v>0</v>
      </c>
      <c r="G46" s="291" t="n">
        <f aca="false">COUNTIFS(DATOS_[AGRUP. VALOR. PTO.],$B45,DATOS_[Sexo],$B46,DATOS_[Check Periodo Ref.],"Dentro",DATOS_[Check Nº SC Norm y Anualiz],"Sí")</f>
        <v>0</v>
      </c>
      <c r="H46" s="291" t="n">
        <f aca="false">COUNTIFS(DATOS_[AGRUP. VALOR. PTO.],$B45,DATOS_[Sexo],$B46,DATOS_[Check Periodo Ref.],"Dentro",DATOS_[Check Equiparación],"Sí")</f>
        <v>0</v>
      </c>
      <c r="I46" s="292" t="n">
        <f aca="false" t="array" ref="I46:I46">IFERROR( AVERAGE(IF(DATOS_[Sexo]=$B46,IF(DATOS_[[AGRUP. VALOR. PTO.]:[AGRUP. VALOR. PTO.]]=$B45,IF(DATOS_[Check Equiparado]="Sí",IF(DATOS_[Check Periodo Ref.]="Dentro",DATOS_[SALARIO BASE Eq],0))))), 0)</f>
        <v>0</v>
      </c>
      <c r="J46" s="302" t="n">
        <f aca="false" t="array" ref="J46:J46">IFERROR( (AVERAGE((IF(DATOS_[[Sexo]:[Sexo]]=$B46,IF(DATOS_[[AGRUP. VALOR. PTO.]:[AGRUP. VALOR. PTO.]]=$B45,IF(DATOS_[[Check Periodo Ref.]:[Check Periodo Ref.]]="Dentro",IF(DATOS_[[Check Equiparado]:[Check Equiparado]]="Sí",IF(DATOS!AE$4="Sí",(1/DATOS_[[% anualiz]:[% anualiz]]),1)*IF(DATOS!AE$5="Sí",1/DATOS_[[% normaliz]:[% normaliz]],1)*(DATOS_[Conc.Sal.01])))))))), 0)</f>
        <v>0</v>
      </c>
      <c r="K46" s="302" t="n">
        <f aca="false" t="array" ref="K46:K46">IFERROR( (AVERAGE((IF(DATOS_[[Sexo]:[Sexo]]=$B46,IF(DATOS_[[AGRUP. VALOR. PTO.]:[AGRUP. VALOR. PTO.]]=$B45,IF(DATOS_[[Check Periodo Ref.]:[Check Periodo Ref.]]="Dentro",IF(DATOS_[[Check Equiparado]:[Check Equiparado]]="Sí",IF(DATOS!AF$4="Sí",(1/DATOS_[[% anualiz]:[% anualiz]]),1)*IF(DATOS!AF$5="Sí",1/DATOS_[[% normaliz]:[% normaliz]],1)*(DATOS_[Conc.Sal.02])))))))), 0)</f>
        <v>0</v>
      </c>
      <c r="L46" s="302" t="n">
        <f aca="false" t="array" ref="L46:L46">IFERROR( (AVERAGE((IF(DATOS_[[Sexo]:[Sexo]]=$B46,IF(DATOS_[[AGRUP. VALOR. PTO.]:[AGRUP. VALOR. PTO.]]=$B45,IF(DATOS_[[Check Periodo Ref.]:[Check Periodo Ref.]]="Dentro",IF(DATOS_[[Check Equiparado]:[Check Equiparado]]="Sí",IF(DATOS!AG$4="Sí",(1/DATOS_[[% anualiz]:[% anualiz]]),1)*IF(DATOS!AG$5="Sí",1/DATOS_[[% normaliz]:[% normaliz]],1)*(DATOS_[Conc.Sal.03])))))))), 0)</f>
        <v>0</v>
      </c>
      <c r="M46" s="302" t="n">
        <f aca="false" t="array" ref="M46:M46">IFERROR( (AVERAGE((IF(DATOS_[[Sexo]:[Sexo]]=$B46,IF(DATOS_[[AGRUP. VALOR. PTO.]:[AGRUP. VALOR. PTO.]]=$B45,IF(DATOS_[[Check Periodo Ref.]:[Check Periodo Ref.]]="Dentro",IF(DATOS_[[Check Equiparado]:[Check Equiparado]]="Sí",IF(DATOS!AH$4="Sí",(1/DATOS_[[% anualiz]:[% anualiz]]),1)*IF(DATOS!AH$5="Sí",1/DATOS_[[% normaliz]:[% normaliz]],1)*(DATOS_[Conc.Sal.04])))))))), 0)</f>
        <v>0</v>
      </c>
      <c r="N46" s="302" t="n">
        <f aca="false" t="array" ref="N46:N46">IFERROR( (AVERAGE((IF(DATOS_[[Sexo]:[Sexo]]=$B46,IF(DATOS_[[AGRUP. VALOR. PTO.]:[AGRUP. VALOR. PTO.]]=$B45,IF(DATOS_[[Check Periodo Ref.]:[Check Periodo Ref.]]="Dentro",IF(DATOS_[[Check Equiparado]:[Check Equiparado]]="Sí",IF(DATOS!AI$4="Sí",(1/DATOS_[[% anualiz]:[% anualiz]]),1)*IF(DATOS!AI$5="Sí",1/DATOS_[[% normaliz]:[% normaliz]],1)*(DATOS_[Conc.Sal.05])))))))), 0)</f>
        <v>0</v>
      </c>
      <c r="O46" s="302" t="n">
        <f aca="false" t="array" ref="O46:O46">IFERROR( (AVERAGE((IF(DATOS_[[Sexo]:[Sexo]]=$B46,IF(DATOS_[[AGRUP. VALOR. PTO.]:[AGRUP. VALOR. PTO.]]=$B45,IF(DATOS_[[Check Periodo Ref.]:[Check Periodo Ref.]]="Dentro",IF(DATOS_[[Check Equiparado]:[Check Equiparado]]="Sí",IF(DATOS!AJ$4="Sí",(1/DATOS_[[% anualiz]:[% anualiz]]),1)*IF(DATOS!AJ$5="Sí",1/DATOS_[[% normaliz]:[% normaliz]],1)*(DATOS_[Conc.Sal.06])))))))), 0)</f>
        <v>0</v>
      </c>
      <c r="P46" s="302" t="n">
        <f aca="false" t="array" ref="P46:P46">IFERROR( (AVERAGE((IF(DATOS_[[Sexo]:[Sexo]]=$B46,IF(DATOS_[[AGRUP. VALOR. PTO.]:[AGRUP. VALOR. PTO.]]=$B45,IF(DATOS_[[Check Periodo Ref.]:[Check Periodo Ref.]]="Dentro",IF(DATOS_[[Check Equiparado]:[Check Equiparado]]="Sí",IF(DATOS!AK$4="Sí",(1/DATOS_[[% anualiz]:[% anualiz]]),1)*IF(DATOS!AK$5="Sí",1/DATOS_[[% normaliz]:[% normaliz]],1)*(DATOS_[Conc.Sal.07])))))))), 0)</f>
        <v>0</v>
      </c>
      <c r="Q46" s="302" t="n">
        <f aca="false" t="array" ref="Q46:Q46">IFERROR( (AVERAGE((IF(DATOS_[[Sexo]:[Sexo]]=$B46,IF(DATOS_[[AGRUP. VALOR. PTO.]:[AGRUP. VALOR. PTO.]]=$B45,IF(DATOS_[[Check Periodo Ref.]:[Check Periodo Ref.]]="Dentro",IF(DATOS_[[Check Equiparado]:[Check Equiparado]]="Sí",IF(DATOS!AL$4="Sí",(1/DATOS_[[% anualiz]:[% anualiz]]),1)*IF(DATOS!AL$5="Sí",1/DATOS_[[% normaliz]:[% normaliz]],1)*(DATOS_[Conc.Sal.08])))))))), 0)</f>
        <v>0</v>
      </c>
      <c r="R46" s="302" t="n">
        <f aca="false" t="array" ref="R46:R46">IFERROR( (AVERAGE((IF(DATOS_[[Sexo]:[Sexo]]=$B46,IF(DATOS_[[AGRUP. VALOR. PTO.]:[AGRUP. VALOR. PTO.]]=$B45,IF(DATOS_[[Check Periodo Ref.]:[Check Periodo Ref.]]="Dentro",IF(DATOS_[[Check Equiparado]:[Check Equiparado]]="Sí",IF(DATOS!AM$4="Sí",(1/DATOS_[[% anualiz]:[% anualiz]]),1)*IF(DATOS!AM$5="Sí",1/DATOS_[[% normaliz]:[% normaliz]],1)*(DATOS_[Conc.Sal.09])))))))), 0)</f>
        <v>0</v>
      </c>
      <c r="S46" s="302" t="n">
        <f aca="false" t="array" ref="S46:S46">IFERROR( (AVERAGE((IF(DATOS_[[Sexo]:[Sexo]]=$B46,IF(DATOS_[[AGRUP. VALOR. PTO.]:[AGRUP. VALOR. PTO.]]=$B45,IF(DATOS_[[Check Periodo Ref.]:[Check Periodo Ref.]]="Dentro",IF(DATOS_[[Check Equiparado]:[Check Equiparado]]="Sí",IF(DATOS!AN$4="Sí",(1/DATOS_[[% anualiz]:[% anualiz]]),1)*IF(DATOS!AN$5="Sí",1/DATOS_[[% normaliz]:[% normaliz]],1)*(DATOS_[Conc.Sal.10])))))))), 0)</f>
        <v>0</v>
      </c>
      <c r="T46" s="302" t="n">
        <f aca="false" t="array" ref="T46:T46">IFERROR( (AVERAGE((IF(DATOS_[[Sexo]:[Sexo]]=$B46,IF(DATOS_[[AGRUP. VALOR. PTO.]:[AGRUP. VALOR. PTO.]]=$B45,IF(DATOS_[[Check Periodo Ref.]:[Check Periodo Ref.]]="Dentro",IF(DATOS_[[Check Equiparado]:[Check Equiparado]]="Sí",IF(DATOS!AO$4="Sí",(1/DATOS_[[% anualiz]:[% anualiz]]),1)*IF(DATOS!AO$5="Sí",1/DATOS_[[% normaliz]:[% normaliz]],1)*(DATOS_[Conc.Sal.11])))))))), 0)</f>
        <v>0</v>
      </c>
      <c r="U46" s="302" t="n">
        <f aca="false" t="array" ref="U46:U46">IFERROR( (AVERAGE((IF(DATOS_[[Sexo]:[Sexo]]=$B46,IF(DATOS_[[AGRUP. VALOR. PTO.]:[AGRUP. VALOR. PTO.]]=$B45,IF(DATOS_[[Check Periodo Ref.]:[Check Periodo Ref.]]="Dentro",IF(DATOS_[[Check Equiparado]:[Check Equiparado]]="Sí",IF(DATOS!AP$4="Sí",(1/DATOS_[[% anualiz]:[% anualiz]]),1)*IF(DATOS!AP$5="Sí",1/DATOS_[[% normaliz]:[% normaliz]],1)*(DATOS_[Conc.Sal.12])))))))), 0)</f>
        <v>0</v>
      </c>
      <c r="V46" s="302" t="n">
        <f aca="false" t="array" ref="V46:V46">IFERROR( (AVERAGE((IF(DATOS_[[Sexo]:[Sexo]]=$B46,IF(DATOS_[[AGRUP. VALOR. PTO.]:[AGRUP. VALOR. PTO.]]=$B45,IF(DATOS_[[Check Periodo Ref.]:[Check Periodo Ref.]]="Dentro",IF(DATOS_[[Check Equiparado]:[Check Equiparado]]="Sí",IF(DATOS!AQ$4="Sí",(1/DATOS_[[% anualiz]:[% anualiz]]),1)*IF(DATOS!AQ$5="Sí",1/DATOS_[[% normaliz]:[% normaliz]],1)*(DATOS_[Conc.Sal.13])))))))), 0)</f>
        <v>0</v>
      </c>
      <c r="W46" s="302" t="n">
        <f aca="false" t="array" ref="W46:W46">IFERROR( (AVERAGE((IF(DATOS_[[Sexo]:[Sexo]]=$B46,IF(DATOS_[[AGRUP. VALOR. PTO.]:[AGRUP. VALOR. PTO.]]=$B45,IF(DATOS_[[Check Periodo Ref.]:[Check Periodo Ref.]]="Dentro",IF(DATOS_[[Check Equiparado]:[Check Equiparado]]="Sí",IF(DATOS!AR$4="Sí",(1/DATOS_[[% anualiz]:[% anualiz]]),1)*IF(DATOS!AR$5="Sí",1/DATOS_[[% normaliz]:[% normaliz]],1)*(DATOS_[Conc.Sal.14])))))))), 0)</f>
        <v>0</v>
      </c>
      <c r="X46" s="302" t="n">
        <f aca="false" t="array" ref="X46:X46">IFERROR( (AVERAGE((IF(DATOS_[[Sexo]:[Sexo]]=$B46,IF(DATOS_[[AGRUP. VALOR. PTO.]:[AGRUP. VALOR. PTO.]]=$B45,IF(DATOS_[[Check Periodo Ref.]:[Check Periodo Ref.]]="Dentro",IF(DATOS_[[Check Equiparado]:[Check Equiparado]]="Sí",IF(DATOS!AS$4="Sí",(1/DATOS_[[% anualiz]:[% anualiz]]),1)*IF(DATOS!AS$5="Sí",1/DATOS_[[% normaliz]:[% normaliz]],1)*(DATOS_[Conc.Sal.15])))))))), 0)</f>
        <v>0</v>
      </c>
      <c r="Y46" s="302" t="n">
        <f aca="false" t="array" ref="Y46:Y46">IFERROR( (AVERAGE((IF(DATOS_[[Sexo]:[Sexo]]=$B46,IF(DATOS_[[AGRUP. VALOR. PTO.]:[AGRUP. VALOR. PTO.]]=$B45,IF(DATOS_[[Check Periodo Ref.]:[Check Periodo Ref.]]="Dentro",IF(DATOS_[[Check Equiparado]:[Check Equiparado]]="Sí",IF(DATOS!AT$4="Sí",(1/DATOS_[[% anualiz]:[% anualiz]]),1)*IF(DATOS!AT$5="Sí",1/DATOS_[[% normaliz]:[% normaliz]],1)*(DATOS_[Conc.Sal.16])))))))), 0)</f>
        <v>0</v>
      </c>
      <c r="Z46" s="302" t="n">
        <f aca="false" t="array" ref="Z46:Z46">IFERROR( (AVERAGE((IF(DATOS_[[Sexo]:[Sexo]]=$B46,IF(DATOS_[[AGRUP. VALOR. PTO.]:[AGRUP. VALOR. PTO.]]=$B45,IF(DATOS_[[Check Periodo Ref.]:[Check Periodo Ref.]]="Dentro",IF(DATOS_[[Check Equiparado]:[Check Equiparado]]="Sí",IF(DATOS!AU$4="Sí",(1/DATOS_[[% anualiz]:[% anualiz]]),1)*IF(DATOS!AU$5="Sí",1/DATOS_[[% normaliz]:[% normaliz]],1)*(DATOS_[Conc.Sal.17])))))))), 0)</f>
        <v>0</v>
      </c>
      <c r="AA46" s="302" t="n">
        <f aca="false" t="array" ref="AA46:AA46">IFERROR( (AVERAGE((IF(DATOS_[[Sexo]:[Sexo]]=$B46,IF(DATOS_[[AGRUP. VALOR. PTO.]:[AGRUP. VALOR. PTO.]]=$B45,IF(DATOS_[[Check Periodo Ref.]:[Check Periodo Ref.]]="Dentro",IF(DATOS_[[Check Equiparado]:[Check Equiparado]]="Sí",IF(DATOS!AV$4="Sí",(1/DATOS_[[% anualiz]:[% anualiz]]),1)*IF(DATOS!AV$5="Sí",1/DATOS_[[% normaliz]:[% normaliz]],1)*(DATOS_[Conc.Sal.18])))))))), 0)</f>
        <v>0</v>
      </c>
      <c r="AB46" s="302" t="n">
        <f aca="false" t="array" ref="AB46:AB46">IFERROR( (AVERAGE((IF(DATOS_[[Sexo]:[Sexo]]=$B46,IF(DATOS_[[AGRUP. VALOR. PTO.]:[AGRUP. VALOR. PTO.]]=$B45,IF(DATOS_[[Check Periodo Ref.]:[Check Periodo Ref.]]="Dentro",IF(DATOS_[[Check Equiparado]:[Check Equiparado]]="Sí",IF(DATOS!AW$4="Sí",(1/DATOS_[[% anualiz]:[% anualiz]]),1)*IF(DATOS!AW$5="Sí",1/DATOS_[[% normaliz]:[% normaliz]],1)*(DATOS_[Conc.Sal.19])))))))), 0)</f>
        <v>0</v>
      </c>
      <c r="AC46" s="302" t="n">
        <f aca="false" t="array" ref="AC46:AC46">IFERROR( (AVERAGE((IF(DATOS_[[Sexo]:[Sexo]]=$B46,IF(DATOS_[[AGRUP. VALOR. PTO.]:[AGRUP. VALOR. PTO.]]=$B45,IF(DATOS_[[Check Periodo Ref.]:[Check Periodo Ref.]]="Dentro",IF(DATOS_[[Check Equiparado]:[Check Equiparado]]="Sí",IF(DATOS!AX$4="Sí",(1/DATOS_[[% anualiz]:[% anualiz]]),1)*IF(DATOS!AX$5="Sí",1/DATOS_[[% normaliz]:[% normaliz]],1)*(DATOS_[Conc.Sal.20])))))))), 0)</f>
        <v>0</v>
      </c>
      <c r="AD46" s="302" t="n">
        <f aca="false" t="array" ref="AD46:AD46">IFERROR( (AVERAGE((IF(DATOS_[[Sexo]:[Sexo]]=$B46,IF(DATOS_[[AGRUP. VALOR. PTO.]:[AGRUP. VALOR. PTO.]]=$B45,IF(DATOS_[[Check Periodo Ref.]:[Check Periodo Ref.]]="Dentro",IF(DATOS_[[Check Equiparado]:[Check Equiparado]]="Sí",IF(DATOS!AY$4="Sí",(1/DATOS_[[% anualiz]:[% anualiz]]),1)*IF(DATOS!AY$5="Sí",1/DATOS_[[% normaliz]:[% normaliz]],1)*(DATOS_[Conc.Sal.21])))))))), 0)</f>
        <v>0</v>
      </c>
      <c r="AE46" s="302" t="n">
        <f aca="false" t="array" ref="AE46:AE46">IFERROR( (AVERAGE((IF(DATOS_[[Sexo]:[Sexo]]=$B46,IF(DATOS_[[AGRUP. VALOR. PTO.]:[AGRUP. VALOR. PTO.]]=$B45,IF(DATOS_[[Check Periodo Ref.]:[Check Periodo Ref.]]="Dentro",IF(DATOS_[[Check Equiparado]:[Check Equiparado]]="Sí",IF(DATOS!AZ$4="Sí",(1/DATOS_[[% anualiz]:[% anualiz]]),1)*IF(DATOS!AZ$5="Sí",1/DATOS_[[% normaliz]:[% normaliz]],1)*(DATOS_[Conc.Sal.22])))))))), 0)</f>
        <v>0</v>
      </c>
      <c r="AF46" s="302" t="n">
        <f aca="false" t="array" ref="AF46:AF46">IFERROR( (AVERAGE((IF(DATOS_[[Sexo]:[Sexo]]=$B46,IF(DATOS_[[AGRUP. VALOR. PTO.]:[AGRUP. VALOR. PTO.]]=$B45,IF(DATOS_[[Check Periodo Ref.]:[Check Periodo Ref.]]="Dentro",IF(DATOS_[[Check Equiparado]:[Check Equiparado]]="Sí",IF(DATOS!BA$4="Sí",(1/DATOS_[[% anualiz]:[% anualiz]]),1)*IF(DATOS!BA$5="Sí",1/DATOS_[[% normaliz]:[% normaliz]],1)*(DATOS_[Conc.Sal.23])))))))), 0)</f>
        <v>0</v>
      </c>
      <c r="AG46" s="302" t="n">
        <f aca="false" t="array" ref="AG46:AG46">IFERROR( (AVERAGE((IF(DATOS_[[Sexo]:[Sexo]]=$B46,IF(DATOS_[[AGRUP. VALOR. PTO.]:[AGRUP. VALOR. PTO.]]=$B45,IF(DATOS_[[Check Periodo Ref.]:[Check Periodo Ref.]]="Dentro",IF(DATOS_[[Check Equiparado]:[Check Equiparado]]="Sí",IF(DATOS!BB$4="Sí",(1/DATOS_[[% anualiz]:[% anualiz]]),1)*IF(DATOS!BB$5="Sí",1/DATOS_[[% normaliz]:[% normaliz]],1)*(DATOS_[Conc.Sal.24])))))))), 0)</f>
        <v>0</v>
      </c>
      <c r="AH46" s="302" t="n">
        <f aca="false" t="array" ref="AH46:AH46">IFERROR( (AVERAGE((IF(DATOS_[[Sexo]:[Sexo]]=$B46,IF(DATOS_[[AGRUP. VALOR. PTO.]:[AGRUP. VALOR. PTO.]]=$B45,IF(DATOS_[[Check Periodo Ref.]:[Check Periodo Ref.]]="Dentro",IF(DATOS_[[Check Equiparado]:[Check Equiparado]]="Sí",IF(DATOS!BC$4="Sí",(1/DATOS_[[% anualiz]:[% anualiz]]),1)*IF(DATOS!BC$5="Sí",1/DATOS_[[% normaliz]:[% normaliz]],1)*(DATOS_[Conc.Sal.25])))))))), 0)</f>
        <v>0</v>
      </c>
      <c r="AI46" s="302" t="n">
        <f aca="false" t="array" ref="AI46:AI46">IFERROR( (AVERAGE((IF(DATOS_[[Sexo]:[Sexo]]=$B46,IF(DATOS_[[AGRUP. VALOR. PTO.]:[AGRUP. VALOR. PTO.]]=$B45,IF(DATOS_[[Check Periodo Ref.]:[Check Periodo Ref.]]="Dentro",IF(DATOS_[[Check Equiparado]:[Check Equiparado]]="Sí",IF(DATOS!BD$4="Sí",(1/DATOS_[[% anualiz]:[% anualiz]]),1)*IF(DATOS!BD$5="Sí",1/DATOS_[[% normaliz]:[% normaliz]],1)*(DATOS_[Conc.Sal.26])))))))), 0)</f>
        <v>0</v>
      </c>
      <c r="AJ46" s="302" t="n">
        <f aca="false" t="array" ref="AJ46:AJ46">IFERROR( (AVERAGE((IF(DATOS_[[Sexo]:[Sexo]]=$B46,IF(DATOS_[[AGRUP. VALOR. PTO.]:[AGRUP. VALOR. PTO.]]=$B45,IF(DATOS_[[Check Periodo Ref.]:[Check Periodo Ref.]]="Dentro",IF(DATOS_[[Check Equiparado]:[Check Equiparado]]="Sí",IF(DATOS!BE$4="Sí",(1/DATOS_[[% anualiz]:[% anualiz]]),1)*IF(DATOS!BE$5="Sí",1/DATOS_[[% normaliz]:[% normaliz]],1)*(DATOS_[Conc.Sal.27])))))))), 0)</f>
        <v>0</v>
      </c>
      <c r="AK46" s="302" t="n">
        <f aca="false" t="array" ref="AK46:AK46">IFERROR( (AVERAGE((IF(DATOS_[[Sexo]:[Sexo]]=$B46,IF(DATOS_[[AGRUP. VALOR. PTO.]:[AGRUP. VALOR. PTO.]]=$B45,IF(DATOS_[[Check Periodo Ref.]:[Check Periodo Ref.]]="Dentro",IF(DATOS_[[Check Equiparado]:[Check Equiparado]]="Sí",IF(DATOS!BF$4="Sí",(1/DATOS_[[% anualiz]:[% anualiz]]),1)*IF(DATOS!BF$5="Sí",1/DATOS_[[% normaliz]:[% normaliz]],1)*(DATOS_[Conc.Sal.28])))))))), 0)</f>
        <v>0</v>
      </c>
      <c r="AL46" s="302" t="n">
        <f aca="false" t="array" ref="AL46:AL46">IFERROR( (AVERAGE((IF(DATOS_[[Sexo]:[Sexo]]=$B46,IF(DATOS_[[AGRUP. VALOR. PTO.]:[AGRUP. VALOR. PTO.]]=$B45,IF(DATOS_[[Check Periodo Ref.]:[Check Periodo Ref.]]="Dentro",IF(DATOS_[[Check Equiparado]:[Check Equiparado]]="Sí",IF(DATOS!BG$4="Sí",(1/DATOS_[[% anualiz]:[% anualiz]]),1)*IF(DATOS!BG$5="Sí",1/DATOS_[[% normaliz]:[% normaliz]],1)*(DATOS_[Conc.Sal.29])))))))), 0)</f>
        <v>0</v>
      </c>
      <c r="AM46" s="302" t="n">
        <f aca="false" t="array" ref="AM46:AM46">IFERROR( (AVERAGE((IF(DATOS_[[Sexo]:[Sexo]]=$B46,IF(DATOS_[[AGRUP. VALOR. PTO.]:[AGRUP. VALOR. PTO.]]=$B45,IF(DATOS_[[Check Periodo Ref.]:[Check Periodo Ref.]]="Dentro",IF(DATOS_[[Check Equiparado]:[Check Equiparado]]="Sí",IF(DATOS!BH$4="Sí",(1/DATOS_[[% anualiz]:[% anualiz]]),1)*IF(DATOS!BH$5="Sí",1/DATOS_[[% normaliz]:[% normaliz]],1)*(DATOS_[Conc.Sal.30])))))))), 0)</f>
        <v>0</v>
      </c>
      <c r="AN46" s="294" t="n">
        <f aca="false" t="array" ref="AN46:AN46">IFERROR( AVERAGE(IF(DATOS_[Sexo]=$B46,IF(DATOS_[[AGRUP. VALOR. PTO.]:[AGRUP. VALOR. PTO.]]=$B45,IF(DATOS_[Check Equiparado]="Sí",IF(DATOS_[Check Periodo Ref.]="Dentro",DATOS_[Tot COMPL.SAL Eq],0))))), 0)</f>
        <v>0</v>
      </c>
      <c r="AO46" s="295" t="n">
        <f aca="false" t="array" ref="AO46:AO46">IFERROR( AVERAGE(IF(DATOS_[Sexo]=$B46,IF(DATOS_[[AGRUP. VALOR. PTO.]:[AGRUP. VALOR. PTO.]]=$B45,IF(DATOS_[Check Equiparado]="Sí",IF(DATOS_[Check Periodo Ref.]="Dentro",DATOS_[TOTAL SALARIO Eq],0))))), 0)</f>
        <v>0</v>
      </c>
      <c r="AP46" s="303" t="n">
        <f aca="false" t="array" ref="AP46:AP46">IFERROR( (AVERAGE((IF(DATOS_[[Sexo]:[Sexo]]=$B46,IF(DATOS_[[AGRUP. VALOR. PTO.]:[AGRUP. VALOR. PTO.]]=$B45,IF(DATOS_[[Check Periodo Ref.]:[Check Periodo Ref.]]="Dentro",IF(DATOS_[[Check Equiparado]:[Check Equiparado]]="Sí",IF(DATOS!BI$4="Sí",(1/DATOS_[[% anualiz]:[% anualiz]]),1)*IF(DATOS!BI$5="Sí",1/DATOS_[[% normaliz]:[% normaliz]],1)*(DATOS_[C.Extra.01])))))))), 0)</f>
        <v>0</v>
      </c>
      <c r="AQ46" s="303" t="n">
        <f aca="false" t="array" ref="AQ46:AQ46">IFERROR( (AVERAGE((IF(DATOS_[[Sexo]:[Sexo]]=$B46,IF(DATOS_[[AGRUP. VALOR. PTO.]:[AGRUP. VALOR. PTO.]]=$B45,IF(DATOS_[[Check Periodo Ref.]:[Check Periodo Ref.]]="Dentro",IF(DATOS_[[Check Equiparado]:[Check Equiparado]]="Sí",IF(DATOS!BJ$4="Sí",(1/DATOS_[[% anualiz]:[% anualiz]]),1)*IF(DATOS!BJ$5="Sí",1/DATOS_[[% normaliz]:[% normaliz]],1)*(DATOS_[C.Extra.02])))))))), 0)</f>
        <v>0</v>
      </c>
      <c r="AR46" s="303" t="n">
        <f aca="false" t="array" ref="AR46:AR46">IFERROR( (AVERAGE((IF(DATOS_[[Sexo]:[Sexo]]=$B46,IF(DATOS_[[AGRUP. VALOR. PTO.]:[AGRUP. VALOR. PTO.]]=$B45,IF(DATOS_[[Check Periodo Ref.]:[Check Periodo Ref.]]="Dentro",IF(DATOS_[[Check Equiparado]:[Check Equiparado]]="Sí",IF(DATOS!BK$4="Sí",(1/DATOS_[[% anualiz]:[% anualiz]]),1)*IF(DATOS!BK$5="Sí",1/DATOS_[[% normaliz]:[% normaliz]],1)*(DATOS_[C.Extra.03])))))))), 0)</f>
        <v>0</v>
      </c>
      <c r="AS46" s="303" t="n">
        <f aca="false" t="array" ref="AS46:AS46">IFERROR( (AVERAGE((IF(DATOS_[[Sexo]:[Sexo]]=$B46,IF(DATOS_[[AGRUP. VALOR. PTO.]:[AGRUP. VALOR. PTO.]]=$B45,IF(DATOS_[[Check Periodo Ref.]:[Check Periodo Ref.]]="Dentro",IF(DATOS_[[Check Equiparado]:[Check Equiparado]]="Sí",IF(DATOS!BL$4="Sí",(1/DATOS_[[% anualiz]:[% anualiz]]),1)*IF(DATOS!BL$5="Sí",1/DATOS_[[% normaliz]:[% normaliz]],1)*(DATOS_[C.Extra.04])))))))), 0)</f>
        <v>0</v>
      </c>
      <c r="AT46" s="303" t="n">
        <f aca="false" t="array" ref="AT46:AT46">IFERROR( (AVERAGE((IF(DATOS_[[Sexo]:[Sexo]]=$B46,IF(DATOS_[[AGRUP. VALOR. PTO.]:[AGRUP. VALOR. PTO.]]=$B45,IF(DATOS_[[Check Periodo Ref.]:[Check Periodo Ref.]]="Dentro",IF(DATOS_[[Check Equiparado]:[Check Equiparado]]="Sí",IF(DATOS!BM$4="Sí",(1/DATOS_[[% anualiz]:[% anualiz]]),1)*IF(DATOS!BM$5="Sí",1/DATOS_[[% normaliz]:[% normaliz]],1)*(DATOS_[C.Extra.05])))))))), 0)</f>
        <v>0</v>
      </c>
      <c r="AU46" s="297" t="n">
        <f aca="false" t="array" ref="AU46:AU46">IFERROR( AVERAGE(IF(DATOS_[Sexo]=$B46,IF(DATOS_[[AGRUP. VALOR. PTO.]:[AGRUP. VALOR. PTO.]]=$B45,IF(DATOS_[Check Equiparado]="Sí",IF(DATOS_[Check Periodo Ref.]="Dentro",DATOS_[Tot Extrasalarial Eq],0))))), 0)</f>
        <v>0</v>
      </c>
      <c r="AV46" s="298" t="n">
        <f aca="false" t="array" ref="AV46:AV46">IFERROR( AVERAGE(IF(DATOS_[Sexo]=$B46,IF(DATOS_[[AGRUP. VALOR. PTO.]:[AGRUP. VALOR. PTO.]]=$B45,IF(DATOS_[Check Equiparado]="Sí",IF(DATOS_[Check Periodo Ref.]="Dentro",DATOS_[TOTAL Retrib Eq],0))))), 0)</f>
        <v>0</v>
      </c>
    </row>
    <row r="47" customFormat="false" ht="14.25" hidden="false" customHeight="false" outlineLevel="0" collapsed="false">
      <c r="A47" s="166" t="str">
        <f aca="false">+A46</f>
        <v>[ocultar]</v>
      </c>
      <c r="B47" s="289" t="s">
        <v>372</v>
      </c>
      <c r="C47" s="290" t="n">
        <f aca="false" t="array" ref="C47:C47">SUM(IF($B47=DATOS_[Sexo], IF($B45=DATOS_[AGRUP. VALOR. PTO.], IF("Dentro"=DATOS_[Check Periodo Ref.], 1/(COUNTIFS(DATOS_[Sexo],$B47,DATOS_[AGRUP. VALOR. PTO.],$B45,DATOS_[Check Periodo Ref.],"Dentro",DATOS_[id],DATOS_[id]))))))</f>
        <v>0</v>
      </c>
      <c r="D47" s="291" t="n">
        <f aca="false">COUNTIFS(DATOS_[AGRUP. VALOR. PTO.],$B45,DATOS_[Sexo],$B47,DATOS_[Check Periodo Ref.],"Dentro")</f>
        <v>0</v>
      </c>
      <c r="E47" s="291" t="n">
        <f aca="false">COUNTIFS(DATOS_[AGRUP. VALOR. PTO.],$B45,DATOS_[Sexo],$B47,DATOS_[Check Periodo Ref.],"Dentro",DATOS_[Check Nº SC Norm],"Sí")</f>
        <v>0</v>
      </c>
      <c r="F47" s="291" t="n">
        <f aca="false">COUNTIFS(DATOS_[AGRUP. VALOR. PTO.],$B45,DATOS_[Sexo],$B47,DATOS_[Check Periodo Ref.],"Dentro",DATOS_[Check Nº SC Anualiz],"Sí")</f>
        <v>0</v>
      </c>
      <c r="G47" s="291" t="n">
        <f aca="false">COUNTIFS(DATOS_[AGRUP. VALOR. PTO.],$B45,DATOS_[Sexo],$B47,DATOS_[Check Periodo Ref.],"Dentro",DATOS_[Check Nº SC Norm y Anualiz],"Sí")</f>
        <v>0</v>
      </c>
      <c r="H47" s="291" t="n">
        <f aca="false">COUNTIFS(DATOS_[AGRUP. VALOR. PTO.],$B45,DATOS_[Sexo],$B47,DATOS_[Check Periodo Ref.],"Dentro",DATOS_[Check Equiparación],"Sí")</f>
        <v>0</v>
      </c>
      <c r="I47" s="292" t="n">
        <f aca="false" t="array" ref="I47:I47">IFERROR( AVERAGE(IF(DATOS_[Sexo]=$B47,IF(DATOS_[[AGRUP. VALOR. PTO.]:[AGRUP. VALOR. PTO.]]=$B45,IF(DATOS_[Check Equiparado]="Sí",IF(DATOS_[Check Periodo Ref.]="Dentro",DATOS_[SALARIO BASE Eq],0))))), 0)</f>
        <v>0</v>
      </c>
      <c r="J47" s="302" t="n">
        <f aca="false" t="array" ref="J47:J47">IFERROR( (AVERAGE((IF(DATOS_[[Sexo]:[Sexo]]=$B47,IF(DATOS_[[AGRUP. VALOR. PTO.]:[AGRUP. VALOR. PTO.]]=$B45,IF(DATOS_[[Check Periodo Ref.]:[Check Periodo Ref.]]="Dentro",IF(DATOS_[[Check Equiparado]:[Check Equiparado]]="Sí",IF(DATOS!AE$4="Sí",(1/DATOS_[[% anualiz]:[% anualiz]]),1)*IF(DATOS!AE$5="Sí",1/DATOS_[[% normaliz]:[% normaliz]],1)*(DATOS_[Conc.Sal.01])))))))), 0)</f>
        <v>0</v>
      </c>
      <c r="K47" s="302" t="n">
        <f aca="false" t="array" ref="K47:K47">IFERROR( (AVERAGE((IF(DATOS_[[Sexo]:[Sexo]]=$B47,IF(DATOS_[[AGRUP. VALOR. PTO.]:[AGRUP. VALOR. PTO.]]=$B45,IF(DATOS_[[Check Periodo Ref.]:[Check Periodo Ref.]]="Dentro",IF(DATOS_[[Check Equiparado]:[Check Equiparado]]="Sí",IF(DATOS!AF$4="Sí",(1/DATOS_[[% anualiz]:[% anualiz]]),1)*IF(DATOS!AF$5="Sí",1/DATOS_[[% normaliz]:[% normaliz]],1)*(DATOS_[Conc.Sal.02])))))))), 0)</f>
        <v>0</v>
      </c>
      <c r="L47" s="302" t="n">
        <f aca="false" t="array" ref="L47:L47">IFERROR( (AVERAGE((IF(DATOS_[[Sexo]:[Sexo]]=$B47,IF(DATOS_[[AGRUP. VALOR. PTO.]:[AGRUP. VALOR. PTO.]]=$B45,IF(DATOS_[[Check Periodo Ref.]:[Check Periodo Ref.]]="Dentro",IF(DATOS_[[Check Equiparado]:[Check Equiparado]]="Sí",IF(DATOS!AG$4="Sí",(1/DATOS_[[% anualiz]:[% anualiz]]),1)*IF(DATOS!AG$5="Sí",1/DATOS_[[% normaliz]:[% normaliz]],1)*(DATOS_[Conc.Sal.03])))))))), 0)</f>
        <v>0</v>
      </c>
      <c r="M47" s="302" t="n">
        <f aca="false" t="array" ref="M47:M47">IFERROR( (AVERAGE((IF(DATOS_[[Sexo]:[Sexo]]=$B47,IF(DATOS_[[AGRUP. VALOR. PTO.]:[AGRUP. VALOR. PTO.]]=$B45,IF(DATOS_[[Check Periodo Ref.]:[Check Periodo Ref.]]="Dentro",IF(DATOS_[[Check Equiparado]:[Check Equiparado]]="Sí",IF(DATOS!AH$4="Sí",(1/DATOS_[[% anualiz]:[% anualiz]]),1)*IF(DATOS!AH$5="Sí",1/DATOS_[[% normaliz]:[% normaliz]],1)*(DATOS_[Conc.Sal.04])))))))), 0)</f>
        <v>0</v>
      </c>
      <c r="N47" s="302" t="n">
        <f aca="false" t="array" ref="N47:N47">IFERROR( (AVERAGE((IF(DATOS_[[Sexo]:[Sexo]]=$B47,IF(DATOS_[[AGRUP. VALOR. PTO.]:[AGRUP. VALOR. PTO.]]=$B45,IF(DATOS_[[Check Periodo Ref.]:[Check Periodo Ref.]]="Dentro",IF(DATOS_[[Check Equiparado]:[Check Equiparado]]="Sí",IF(DATOS!AI$4="Sí",(1/DATOS_[[% anualiz]:[% anualiz]]),1)*IF(DATOS!AI$5="Sí",1/DATOS_[[% normaliz]:[% normaliz]],1)*(DATOS_[Conc.Sal.05])))))))), 0)</f>
        <v>0</v>
      </c>
      <c r="O47" s="302" t="n">
        <f aca="false" t="array" ref="O47:O47">IFERROR( (AVERAGE((IF(DATOS_[[Sexo]:[Sexo]]=$B47,IF(DATOS_[[AGRUP. VALOR. PTO.]:[AGRUP. VALOR. PTO.]]=$B45,IF(DATOS_[[Check Periodo Ref.]:[Check Periodo Ref.]]="Dentro",IF(DATOS_[[Check Equiparado]:[Check Equiparado]]="Sí",IF(DATOS!AJ$4="Sí",(1/DATOS_[[% anualiz]:[% anualiz]]),1)*IF(DATOS!AJ$5="Sí",1/DATOS_[[% normaliz]:[% normaliz]],1)*(DATOS_[Conc.Sal.06])))))))), 0)</f>
        <v>0</v>
      </c>
      <c r="P47" s="302" t="n">
        <f aca="false" t="array" ref="P47:P47">IFERROR( (AVERAGE((IF(DATOS_[[Sexo]:[Sexo]]=$B47,IF(DATOS_[[AGRUP. VALOR. PTO.]:[AGRUP. VALOR. PTO.]]=$B45,IF(DATOS_[[Check Periodo Ref.]:[Check Periodo Ref.]]="Dentro",IF(DATOS_[[Check Equiparado]:[Check Equiparado]]="Sí",IF(DATOS!AK$4="Sí",(1/DATOS_[[% anualiz]:[% anualiz]]),1)*IF(DATOS!AK$5="Sí",1/DATOS_[[% normaliz]:[% normaliz]],1)*(DATOS_[Conc.Sal.07])))))))), 0)</f>
        <v>0</v>
      </c>
      <c r="Q47" s="302" t="n">
        <f aca="false" t="array" ref="Q47:Q47">IFERROR( (AVERAGE((IF(DATOS_[[Sexo]:[Sexo]]=$B47,IF(DATOS_[[AGRUP. VALOR. PTO.]:[AGRUP. VALOR. PTO.]]=$B45,IF(DATOS_[[Check Periodo Ref.]:[Check Periodo Ref.]]="Dentro",IF(DATOS_[[Check Equiparado]:[Check Equiparado]]="Sí",IF(DATOS!AL$4="Sí",(1/DATOS_[[% anualiz]:[% anualiz]]),1)*IF(DATOS!AL$5="Sí",1/DATOS_[[% normaliz]:[% normaliz]],1)*(DATOS_[Conc.Sal.08])))))))), 0)</f>
        <v>0</v>
      </c>
      <c r="R47" s="302" t="n">
        <f aca="false" t="array" ref="R47:R47">IFERROR( (AVERAGE((IF(DATOS_[[Sexo]:[Sexo]]=$B47,IF(DATOS_[[AGRUP. VALOR. PTO.]:[AGRUP. VALOR. PTO.]]=$B45,IF(DATOS_[[Check Periodo Ref.]:[Check Periodo Ref.]]="Dentro",IF(DATOS_[[Check Equiparado]:[Check Equiparado]]="Sí",IF(DATOS!AM$4="Sí",(1/DATOS_[[% anualiz]:[% anualiz]]),1)*IF(DATOS!AM$5="Sí",1/DATOS_[[% normaliz]:[% normaliz]],1)*(DATOS_[Conc.Sal.09])))))))), 0)</f>
        <v>0</v>
      </c>
      <c r="S47" s="302" t="n">
        <f aca="false" t="array" ref="S47:S47">IFERROR( (AVERAGE((IF(DATOS_[[Sexo]:[Sexo]]=$B47,IF(DATOS_[[AGRUP. VALOR. PTO.]:[AGRUP. VALOR. PTO.]]=$B45,IF(DATOS_[[Check Periodo Ref.]:[Check Periodo Ref.]]="Dentro",IF(DATOS_[[Check Equiparado]:[Check Equiparado]]="Sí",IF(DATOS!AN$4="Sí",(1/DATOS_[[% anualiz]:[% anualiz]]),1)*IF(DATOS!AN$5="Sí",1/DATOS_[[% normaliz]:[% normaliz]],1)*(DATOS_[Conc.Sal.10])))))))), 0)</f>
        <v>0</v>
      </c>
      <c r="T47" s="302" t="n">
        <f aca="false" t="array" ref="T47:T47">IFERROR( (AVERAGE((IF(DATOS_[[Sexo]:[Sexo]]=$B47,IF(DATOS_[[AGRUP. VALOR. PTO.]:[AGRUP. VALOR. PTO.]]=$B45,IF(DATOS_[[Check Periodo Ref.]:[Check Periodo Ref.]]="Dentro",IF(DATOS_[[Check Equiparado]:[Check Equiparado]]="Sí",IF(DATOS!AO$4="Sí",(1/DATOS_[[% anualiz]:[% anualiz]]),1)*IF(DATOS!AO$5="Sí",1/DATOS_[[% normaliz]:[% normaliz]],1)*(DATOS_[Conc.Sal.11])))))))), 0)</f>
        <v>0</v>
      </c>
      <c r="U47" s="302" t="n">
        <f aca="false" t="array" ref="U47:U47">IFERROR( (AVERAGE((IF(DATOS_[[Sexo]:[Sexo]]=$B47,IF(DATOS_[[AGRUP. VALOR. PTO.]:[AGRUP. VALOR. PTO.]]=$B45,IF(DATOS_[[Check Periodo Ref.]:[Check Periodo Ref.]]="Dentro",IF(DATOS_[[Check Equiparado]:[Check Equiparado]]="Sí",IF(DATOS!AP$4="Sí",(1/DATOS_[[% anualiz]:[% anualiz]]),1)*IF(DATOS!AP$5="Sí",1/DATOS_[[% normaliz]:[% normaliz]],1)*(DATOS_[Conc.Sal.12])))))))), 0)</f>
        <v>0</v>
      </c>
      <c r="V47" s="302" t="n">
        <f aca="false" t="array" ref="V47:V47">IFERROR( (AVERAGE((IF(DATOS_[[Sexo]:[Sexo]]=$B47,IF(DATOS_[[AGRUP. VALOR. PTO.]:[AGRUP. VALOR. PTO.]]=$B45,IF(DATOS_[[Check Periodo Ref.]:[Check Periodo Ref.]]="Dentro",IF(DATOS_[[Check Equiparado]:[Check Equiparado]]="Sí",IF(DATOS!AQ$4="Sí",(1/DATOS_[[% anualiz]:[% anualiz]]),1)*IF(DATOS!AQ$5="Sí",1/DATOS_[[% normaliz]:[% normaliz]],1)*(DATOS_[Conc.Sal.13])))))))), 0)</f>
        <v>0</v>
      </c>
      <c r="W47" s="302" t="n">
        <f aca="false" t="array" ref="W47:W47">IFERROR( (AVERAGE((IF(DATOS_[[Sexo]:[Sexo]]=$B47,IF(DATOS_[[AGRUP. VALOR. PTO.]:[AGRUP. VALOR. PTO.]]=$B45,IF(DATOS_[[Check Periodo Ref.]:[Check Periodo Ref.]]="Dentro",IF(DATOS_[[Check Equiparado]:[Check Equiparado]]="Sí",IF(DATOS!AR$4="Sí",(1/DATOS_[[% anualiz]:[% anualiz]]),1)*IF(DATOS!AR$5="Sí",1/DATOS_[[% normaliz]:[% normaliz]],1)*(DATOS_[Conc.Sal.14])))))))), 0)</f>
        <v>0</v>
      </c>
      <c r="X47" s="302" t="n">
        <f aca="false" t="array" ref="X47:X47">IFERROR( (AVERAGE((IF(DATOS_[[Sexo]:[Sexo]]=$B47,IF(DATOS_[[AGRUP. VALOR. PTO.]:[AGRUP. VALOR. PTO.]]=$B45,IF(DATOS_[[Check Periodo Ref.]:[Check Periodo Ref.]]="Dentro",IF(DATOS_[[Check Equiparado]:[Check Equiparado]]="Sí",IF(DATOS!AS$4="Sí",(1/DATOS_[[% anualiz]:[% anualiz]]),1)*IF(DATOS!AS$5="Sí",1/DATOS_[[% normaliz]:[% normaliz]],1)*(DATOS_[Conc.Sal.15])))))))), 0)</f>
        <v>0</v>
      </c>
      <c r="Y47" s="302" t="n">
        <f aca="false" t="array" ref="Y47:Y47">IFERROR( (AVERAGE((IF(DATOS_[[Sexo]:[Sexo]]=$B47,IF(DATOS_[[AGRUP. VALOR. PTO.]:[AGRUP. VALOR. PTO.]]=$B45,IF(DATOS_[[Check Periodo Ref.]:[Check Periodo Ref.]]="Dentro",IF(DATOS_[[Check Equiparado]:[Check Equiparado]]="Sí",IF(DATOS!AT$4="Sí",(1/DATOS_[[% anualiz]:[% anualiz]]),1)*IF(DATOS!AT$5="Sí",1/DATOS_[[% normaliz]:[% normaliz]],1)*(DATOS_[Conc.Sal.16])))))))), 0)</f>
        <v>0</v>
      </c>
      <c r="Z47" s="302" t="n">
        <f aca="false" t="array" ref="Z47:Z47">IFERROR( (AVERAGE((IF(DATOS_[[Sexo]:[Sexo]]=$B47,IF(DATOS_[[AGRUP. VALOR. PTO.]:[AGRUP. VALOR. PTO.]]=$B45,IF(DATOS_[[Check Periodo Ref.]:[Check Periodo Ref.]]="Dentro",IF(DATOS_[[Check Equiparado]:[Check Equiparado]]="Sí",IF(DATOS!AU$4="Sí",(1/DATOS_[[% anualiz]:[% anualiz]]),1)*IF(DATOS!AU$5="Sí",1/DATOS_[[% normaliz]:[% normaliz]],1)*(DATOS_[Conc.Sal.17])))))))), 0)</f>
        <v>0</v>
      </c>
      <c r="AA47" s="302" t="n">
        <f aca="false" t="array" ref="AA47:AA47">IFERROR( (AVERAGE((IF(DATOS_[[Sexo]:[Sexo]]=$B47,IF(DATOS_[[AGRUP. VALOR. PTO.]:[AGRUP. VALOR. PTO.]]=$B45,IF(DATOS_[[Check Periodo Ref.]:[Check Periodo Ref.]]="Dentro",IF(DATOS_[[Check Equiparado]:[Check Equiparado]]="Sí",IF(DATOS!AV$4="Sí",(1/DATOS_[[% anualiz]:[% anualiz]]),1)*IF(DATOS!AV$5="Sí",1/DATOS_[[% normaliz]:[% normaliz]],1)*(DATOS_[Conc.Sal.18])))))))), 0)</f>
        <v>0</v>
      </c>
      <c r="AB47" s="302" t="n">
        <f aca="false" t="array" ref="AB47:AB47">IFERROR( (AVERAGE((IF(DATOS_[[Sexo]:[Sexo]]=$B47,IF(DATOS_[[AGRUP. VALOR. PTO.]:[AGRUP. VALOR. PTO.]]=$B45,IF(DATOS_[[Check Periodo Ref.]:[Check Periodo Ref.]]="Dentro",IF(DATOS_[[Check Equiparado]:[Check Equiparado]]="Sí",IF(DATOS!AW$4="Sí",(1/DATOS_[[% anualiz]:[% anualiz]]),1)*IF(DATOS!AW$5="Sí",1/DATOS_[[% normaliz]:[% normaliz]],1)*(DATOS_[Conc.Sal.19])))))))), 0)</f>
        <v>0</v>
      </c>
      <c r="AC47" s="302" t="n">
        <f aca="false" t="array" ref="AC47:AC47">IFERROR( (AVERAGE((IF(DATOS_[[Sexo]:[Sexo]]=$B47,IF(DATOS_[[AGRUP. VALOR. PTO.]:[AGRUP. VALOR. PTO.]]=$B45,IF(DATOS_[[Check Periodo Ref.]:[Check Periodo Ref.]]="Dentro",IF(DATOS_[[Check Equiparado]:[Check Equiparado]]="Sí",IF(DATOS!AX$4="Sí",(1/DATOS_[[% anualiz]:[% anualiz]]),1)*IF(DATOS!AX$5="Sí",1/DATOS_[[% normaliz]:[% normaliz]],1)*(DATOS_[Conc.Sal.20])))))))), 0)</f>
        <v>0</v>
      </c>
      <c r="AD47" s="302" t="n">
        <f aca="false" t="array" ref="AD47:AD47">IFERROR( (AVERAGE((IF(DATOS_[[Sexo]:[Sexo]]=$B47,IF(DATOS_[[AGRUP. VALOR. PTO.]:[AGRUP. VALOR. PTO.]]=$B45,IF(DATOS_[[Check Periodo Ref.]:[Check Periodo Ref.]]="Dentro",IF(DATOS_[[Check Equiparado]:[Check Equiparado]]="Sí",IF(DATOS!AY$4="Sí",(1/DATOS_[[% anualiz]:[% anualiz]]),1)*IF(DATOS!AY$5="Sí",1/DATOS_[[% normaliz]:[% normaliz]],1)*(DATOS_[Conc.Sal.21])))))))), 0)</f>
        <v>0</v>
      </c>
      <c r="AE47" s="302" t="n">
        <f aca="false" t="array" ref="AE47:AE47">IFERROR( (AVERAGE((IF(DATOS_[[Sexo]:[Sexo]]=$B47,IF(DATOS_[[AGRUP. VALOR. PTO.]:[AGRUP. VALOR. PTO.]]=$B45,IF(DATOS_[[Check Periodo Ref.]:[Check Periodo Ref.]]="Dentro",IF(DATOS_[[Check Equiparado]:[Check Equiparado]]="Sí",IF(DATOS!AZ$4="Sí",(1/DATOS_[[% anualiz]:[% anualiz]]),1)*IF(DATOS!AZ$5="Sí",1/DATOS_[[% normaliz]:[% normaliz]],1)*(DATOS_[Conc.Sal.22])))))))), 0)</f>
        <v>0</v>
      </c>
      <c r="AF47" s="302" t="n">
        <f aca="false" t="array" ref="AF47:AF47">IFERROR( (AVERAGE((IF(DATOS_[[Sexo]:[Sexo]]=$B47,IF(DATOS_[[AGRUP. VALOR. PTO.]:[AGRUP. VALOR. PTO.]]=$B45,IF(DATOS_[[Check Periodo Ref.]:[Check Periodo Ref.]]="Dentro",IF(DATOS_[[Check Equiparado]:[Check Equiparado]]="Sí",IF(DATOS!BA$4="Sí",(1/DATOS_[[% anualiz]:[% anualiz]]),1)*IF(DATOS!BA$5="Sí",1/DATOS_[[% normaliz]:[% normaliz]],1)*(DATOS_[Conc.Sal.23])))))))), 0)</f>
        <v>0</v>
      </c>
      <c r="AG47" s="302" t="n">
        <f aca="false" t="array" ref="AG47:AG47">IFERROR( (AVERAGE((IF(DATOS_[[Sexo]:[Sexo]]=$B47,IF(DATOS_[[AGRUP. VALOR. PTO.]:[AGRUP. VALOR. PTO.]]=$B45,IF(DATOS_[[Check Periodo Ref.]:[Check Periodo Ref.]]="Dentro",IF(DATOS_[[Check Equiparado]:[Check Equiparado]]="Sí",IF(DATOS!BB$4="Sí",(1/DATOS_[[% anualiz]:[% anualiz]]),1)*IF(DATOS!BB$5="Sí",1/DATOS_[[% normaliz]:[% normaliz]],1)*(DATOS_[Conc.Sal.24])))))))), 0)</f>
        <v>0</v>
      </c>
      <c r="AH47" s="302" t="n">
        <f aca="false" t="array" ref="AH47:AH47">IFERROR( (AVERAGE((IF(DATOS_[[Sexo]:[Sexo]]=$B47,IF(DATOS_[[AGRUP. VALOR. PTO.]:[AGRUP. VALOR. PTO.]]=$B45,IF(DATOS_[[Check Periodo Ref.]:[Check Periodo Ref.]]="Dentro",IF(DATOS_[[Check Equiparado]:[Check Equiparado]]="Sí",IF(DATOS!BC$4="Sí",(1/DATOS_[[% anualiz]:[% anualiz]]),1)*IF(DATOS!BC$5="Sí",1/DATOS_[[% normaliz]:[% normaliz]],1)*(DATOS_[Conc.Sal.25])))))))), 0)</f>
        <v>0</v>
      </c>
      <c r="AI47" s="302" t="n">
        <f aca="false" t="array" ref="AI47:AI47">IFERROR( (AVERAGE((IF(DATOS_[[Sexo]:[Sexo]]=$B47,IF(DATOS_[[AGRUP. VALOR. PTO.]:[AGRUP. VALOR. PTO.]]=$B45,IF(DATOS_[[Check Periodo Ref.]:[Check Periodo Ref.]]="Dentro",IF(DATOS_[[Check Equiparado]:[Check Equiparado]]="Sí",IF(DATOS!BD$4="Sí",(1/DATOS_[[% anualiz]:[% anualiz]]),1)*IF(DATOS!BD$5="Sí",1/DATOS_[[% normaliz]:[% normaliz]],1)*(DATOS_[Conc.Sal.26])))))))), 0)</f>
        <v>0</v>
      </c>
      <c r="AJ47" s="302" t="n">
        <f aca="false" t="array" ref="AJ47:AJ47">IFERROR( (AVERAGE((IF(DATOS_[[Sexo]:[Sexo]]=$B47,IF(DATOS_[[AGRUP. VALOR. PTO.]:[AGRUP. VALOR. PTO.]]=$B45,IF(DATOS_[[Check Periodo Ref.]:[Check Periodo Ref.]]="Dentro",IF(DATOS_[[Check Equiparado]:[Check Equiparado]]="Sí",IF(DATOS!BE$4="Sí",(1/DATOS_[[% anualiz]:[% anualiz]]),1)*IF(DATOS!BE$5="Sí",1/DATOS_[[% normaliz]:[% normaliz]],1)*(DATOS_[Conc.Sal.27])))))))), 0)</f>
        <v>0</v>
      </c>
      <c r="AK47" s="302" t="n">
        <f aca="false" t="array" ref="AK47:AK47">IFERROR( (AVERAGE((IF(DATOS_[[Sexo]:[Sexo]]=$B47,IF(DATOS_[[AGRUP. VALOR. PTO.]:[AGRUP. VALOR. PTO.]]=$B45,IF(DATOS_[[Check Periodo Ref.]:[Check Periodo Ref.]]="Dentro",IF(DATOS_[[Check Equiparado]:[Check Equiparado]]="Sí",IF(DATOS!BF$4="Sí",(1/DATOS_[[% anualiz]:[% anualiz]]),1)*IF(DATOS!BF$5="Sí",1/DATOS_[[% normaliz]:[% normaliz]],1)*(DATOS_[Conc.Sal.28])))))))), 0)</f>
        <v>0</v>
      </c>
      <c r="AL47" s="302" t="n">
        <f aca="false" t="array" ref="AL47:AL47">IFERROR( (AVERAGE((IF(DATOS_[[Sexo]:[Sexo]]=$B47,IF(DATOS_[[AGRUP. VALOR. PTO.]:[AGRUP. VALOR. PTO.]]=$B45,IF(DATOS_[[Check Periodo Ref.]:[Check Periodo Ref.]]="Dentro",IF(DATOS_[[Check Equiparado]:[Check Equiparado]]="Sí",IF(DATOS!BG$4="Sí",(1/DATOS_[[% anualiz]:[% anualiz]]),1)*IF(DATOS!BG$5="Sí",1/DATOS_[[% normaliz]:[% normaliz]],1)*(DATOS_[Conc.Sal.29])))))))), 0)</f>
        <v>0</v>
      </c>
      <c r="AM47" s="302" t="n">
        <f aca="false" t="array" ref="AM47:AM47">IFERROR( (AVERAGE((IF(DATOS_[[Sexo]:[Sexo]]=$B47,IF(DATOS_[[AGRUP. VALOR. PTO.]:[AGRUP. VALOR. PTO.]]=$B45,IF(DATOS_[[Check Periodo Ref.]:[Check Periodo Ref.]]="Dentro",IF(DATOS_[[Check Equiparado]:[Check Equiparado]]="Sí",IF(DATOS!BH$4="Sí",(1/DATOS_[[% anualiz]:[% anualiz]]),1)*IF(DATOS!BH$5="Sí",1/DATOS_[[% normaliz]:[% normaliz]],1)*(DATOS_[Conc.Sal.30])))))))), 0)</f>
        <v>0</v>
      </c>
      <c r="AN47" s="294" t="n">
        <f aca="false" t="array" ref="AN47:AN47">IFERROR( AVERAGE(IF(DATOS_[Sexo]=$B47,IF(DATOS_[[AGRUP. VALOR. PTO.]:[AGRUP. VALOR. PTO.]]=$B45,IF(DATOS_[Check Equiparado]="Sí",IF(DATOS_[Check Periodo Ref.]="Dentro",DATOS_[Tot COMPL.SAL Eq],0))))), 0)</f>
        <v>0</v>
      </c>
      <c r="AO47" s="295" t="n">
        <f aca="false" t="array" ref="AO47:AO47">IFERROR( AVERAGE(IF(DATOS_[Sexo]=$B47,IF(DATOS_[[AGRUP. VALOR. PTO.]:[AGRUP. VALOR. PTO.]]=$B45,IF(DATOS_[Check Equiparado]="Sí",IF(DATOS_[Check Periodo Ref.]="Dentro",DATOS_[TOTAL SALARIO Eq],0))))), 0)</f>
        <v>0</v>
      </c>
      <c r="AP47" s="303" t="n">
        <f aca="false" t="array" ref="AP47:AP47">IFERROR( (AVERAGE((IF(DATOS_[[Sexo]:[Sexo]]=$B47,IF(DATOS_[[AGRUP. VALOR. PTO.]:[AGRUP. VALOR. PTO.]]=$B46,IF(DATOS_[[Check Periodo Ref.]:[Check Periodo Ref.]]="Dentro",IF(DATOS_[[Check Equiparado]:[Check Equiparado]]="Sí",IF(DATOS!BI$4="Sí",(1/DATOS_[[% anualiz]:[% anualiz]]),1)*IF(DATOS!BI$5="Sí",1/DATOS_[[% normaliz]:[% normaliz]],1)*(DATOS_[C.Extra.01])))))))), 0)</f>
        <v>0</v>
      </c>
      <c r="AQ47" s="303" t="n">
        <f aca="false" t="array" ref="AQ47:AQ47">IFERROR( (AVERAGE((IF(DATOS_[[Sexo]:[Sexo]]=$B47,IF(DATOS_[[AGRUP. VALOR. PTO.]:[AGRUP. VALOR. PTO.]]=$B46,IF(DATOS_[[Check Periodo Ref.]:[Check Periodo Ref.]]="Dentro",IF(DATOS_[[Check Equiparado]:[Check Equiparado]]="Sí",IF(DATOS!BJ$4="Sí",(1/DATOS_[[% anualiz]:[% anualiz]]),1)*IF(DATOS!BJ$5="Sí",1/DATOS_[[% normaliz]:[% normaliz]],1)*(DATOS_[C.Extra.02])))))))), 0)</f>
        <v>0</v>
      </c>
      <c r="AR47" s="303" t="n">
        <f aca="false" t="array" ref="AR47:AR47">IFERROR( (AVERAGE((IF(DATOS_[[Sexo]:[Sexo]]=$B47,IF(DATOS_[[AGRUP. VALOR. PTO.]:[AGRUP. VALOR. PTO.]]=$B46,IF(DATOS_[[Check Periodo Ref.]:[Check Periodo Ref.]]="Dentro",IF(DATOS_[[Check Equiparado]:[Check Equiparado]]="Sí",IF(DATOS!BK$4="Sí",(1/DATOS_[[% anualiz]:[% anualiz]]),1)*IF(DATOS!BK$5="Sí",1/DATOS_[[% normaliz]:[% normaliz]],1)*(DATOS_[C.Extra.03])))))))), 0)</f>
        <v>0</v>
      </c>
      <c r="AS47" s="303" t="n">
        <f aca="false" t="array" ref="AS47:AS47">IFERROR( (AVERAGE((IF(DATOS_[[Sexo]:[Sexo]]=$B47,IF(DATOS_[[AGRUP. VALOR. PTO.]:[AGRUP. VALOR. PTO.]]=$B46,IF(DATOS_[[Check Periodo Ref.]:[Check Periodo Ref.]]="Dentro",IF(DATOS_[[Check Equiparado]:[Check Equiparado]]="Sí",IF(DATOS!BL$4="Sí",(1/DATOS_[[% anualiz]:[% anualiz]]),1)*IF(DATOS!BL$5="Sí",1/DATOS_[[% normaliz]:[% normaliz]],1)*(DATOS_[C.Extra.04])))))))), 0)</f>
        <v>0</v>
      </c>
      <c r="AT47" s="303" t="n">
        <f aca="false" t="array" ref="AT47:AT47">IFERROR( (AVERAGE((IF(DATOS_[[Sexo]:[Sexo]]=$B47,IF(DATOS_[[AGRUP. VALOR. PTO.]:[AGRUP. VALOR. PTO.]]=$B46,IF(DATOS_[[Check Periodo Ref.]:[Check Periodo Ref.]]="Dentro",IF(DATOS_[[Check Equiparado]:[Check Equiparado]]="Sí",IF(DATOS!BM$4="Sí",(1/DATOS_[[% anualiz]:[% anualiz]]),1)*IF(DATOS!BM$5="Sí",1/DATOS_[[% normaliz]:[% normaliz]],1)*(DATOS_[C.Extra.05])))))))), 0)</f>
        <v>0</v>
      </c>
      <c r="AU47" s="297" t="n">
        <f aca="false" t="array" ref="AU47:AU47">IFERROR( AVERAGE(IF(DATOS_[Sexo]=$B47,IF(DATOS_[[AGRUP. VALOR. PTO.]:[AGRUP. VALOR. PTO.]]=$B45,IF(DATOS_[Check Equiparado]="Sí",IF(DATOS_[Check Periodo Ref.]="Dentro",DATOS_[Tot Extrasalarial Eq],0))))), 0)</f>
        <v>0</v>
      </c>
      <c r="AV47" s="298" t="n">
        <f aca="false" t="array" ref="AV47:AV47">IFERROR( AVERAGE(IF(DATOS_[Sexo]=$B47,IF(DATOS_[[AGRUP. VALOR. PTO.]:[AGRUP. VALOR. PTO.]]=$B45,IF(DATOS_[Check Equiparado]="Sí",IF(DATOS_[Check Periodo Ref.]="Dentro",DATOS_[TOTAL Retrib Eq],0))))), 0)</f>
        <v>0</v>
      </c>
    </row>
    <row r="48" customFormat="false" ht="15.75" hidden="false" customHeight="false" outlineLevel="0" collapsed="false">
      <c r="A48" s="166" t="str">
        <f aca="false">+A49</f>
        <v>[ocultar]</v>
      </c>
      <c r="B48" s="276" t="s">
        <v>202</v>
      </c>
      <c r="C48" s="277"/>
      <c r="D48" s="278"/>
      <c r="E48" s="278"/>
      <c r="F48" s="278"/>
      <c r="G48" s="278"/>
      <c r="H48" s="278"/>
      <c r="I48" s="279" t="str">
        <f aca="false">IFERROR((I49-I50)/I49,"")</f>
        <v/>
      </c>
      <c r="J48" s="280" t="str">
        <f aca="false">IFERROR((J49-J50)/J49,"")</f>
        <v/>
      </c>
      <c r="K48" s="281" t="str">
        <f aca="false">IFERROR((K49-K50)/K49,"")</f>
        <v/>
      </c>
      <c r="L48" s="281" t="str">
        <f aca="false">IFERROR((L49-L50)/L49,"")</f>
        <v/>
      </c>
      <c r="M48" s="281" t="str">
        <f aca="false">IFERROR((M49-M50)/M49,"")</f>
        <v/>
      </c>
      <c r="N48" s="282" t="str">
        <f aca="false">IFERROR((N49-N50)/N49,"")</f>
        <v/>
      </c>
      <c r="O48" s="283" t="str">
        <f aca="false">IFERROR((O49-O50)/O49,"")</f>
        <v/>
      </c>
      <c r="P48" s="283" t="str">
        <f aca="false">IFERROR((P49-P50)/P49,"")</f>
        <v/>
      </c>
      <c r="Q48" s="283" t="str">
        <f aca="false">IFERROR((Q49-Q50)/Q49,"")</f>
        <v/>
      </c>
      <c r="R48" s="283" t="str">
        <f aca="false">IFERROR((R49-R50)/R49,"")</f>
        <v/>
      </c>
      <c r="S48" s="283" t="str">
        <f aca="false">IFERROR((S49-S50)/S49,"")</f>
        <v/>
      </c>
      <c r="T48" s="283" t="str">
        <f aca="false">IFERROR((T49-T50)/T49,"")</f>
        <v/>
      </c>
      <c r="U48" s="283" t="str">
        <f aca="false">IFERROR((U49-U50)/U49,"")</f>
        <v/>
      </c>
      <c r="V48" s="283" t="str">
        <f aca="false">IFERROR((V49-V50)/V49,"")</f>
        <v/>
      </c>
      <c r="W48" s="283" t="str">
        <f aca="false">IFERROR((W49-W50)/W49,"")</f>
        <v/>
      </c>
      <c r="X48" s="283" t="str">
        <f aca="false">IFERROR((X49-X50)/X49,"")</f>
        <v/>
      </c>
      <c r="Y48" s="283" t="str">
        <f aca="false">IFERROR((Y49-Y50)/Y49,"")</f>
        <v/>
      </c>
      <c r="Z48" s="282" t="str">
        <f aca="false">IFERROR((Z49-Z50)/Z49,"")</f>
        <v/>
      </c>
      <c r="AA48" s="282" t="str">
        <f aca="false">IFERROR((AA49-AA50)/AA49,"")</f>
        <v/>
      </c>
      <c r="AB48" s="282" t="str">
        <f aca="false">IFERROR((AB49-AB50)/AB49,"")</f>
        <v/>
      </c>
      <c r="AC48" s="282" t="str">
        <f aca="false">IFERROR((AC49-AC50)/AC49,"")</f>
        <v/>
      </c>
      <c r="AD48" s="282" t="str">
        <f aca="false">IFERROR((AD49-AD50)/AD49,"")</f>
        <v/>
      </c>
      <c r="AE48" s="282" t="str">
        <f aca="false">IFERROR((AE49-AE50)/AE49,"")</f>
        <v/>
      </c>
      <c r="AF48" s="282" t="str">
        <f aca="false">IFERROR((AF49-AF50)/AF49,"")</f>
        <v/>
      </c>
      <c r="AG48" s="282" t="str">
        <f aca="false">IFERROR((AG49-AG50)/AG49,"")</f>
        <v/>
      </c>
      <c r="AH48" s="282" t="str">
        <f aca="false">IFERROR((AH49-AH50)/AH49,"")</f>
        <v/>
      </c>
      <c r="AI48" s="282" t="str">
        <f aca="false">IFERROR((AI49-AI50)/AI49,"")</f>
        <v/>
      </c>
      <c r="AJ48" s="282" t="str">
        <f aca="false">IFERROR((AJ49-AJ50)/AJ49,"")</f>
        <v/>
      </c>
      <c r="AK48" s="282" t="str">
        <f aca="false">IFERROR((AK49-AK50)/AK49,"")</f>
        <v/>
      </c>
      <c r="AL48" s="282" t="str">
        <f aca="false">IFERROR((AL49-AL50)/AL49,"")</f>
        <v/>
      </c>
      <c r="AM48" s="282" t="str">
        <f aca="false">IFERROR((AM49-AM50)/AM49,"")</f>
        <v/>
      </c>
      <c r="AN48" s="284" t="str">
        <f aca="false">IFERROR((AN49-AN50)/AN49,"")</f>
        <v/>
      </c>
      <c r="AO48" s="285" t="str">
        <f aca="false">IFERROR((AO49-AO50)/AO49,"")</f>
        <v/>
      </c>
      <c r="AP48" s="286" t="str">
        <f aca="false">IFERROR((AP49-AP50)/AP49,"")</f>
        <v/>
      </c>
      <c r="AQ48" s="286" t="str">
        <f aca="false">IFERROR((AQ49-AQ50)/AQ49,"")</f>
        <v/>
      </c>
      <c r="AR48" s="286" t="str">
        <f aca="false">IFERROR((AR49-AR50)/AR49,"")</f>
        <v/>
      </c>
      <c r="AS48" s="286" t="str">
        <f aca="false">IFERROR((AS49-AS50)/AS49,"")</f>
        <v/>
      </c>
      <c r="AT48" s="286" t="str">
        <f aca="false">IFERROR((AT49-AT50)/AT49,"")</f>
        <v/>
      </c>
      <c r="AU48" s="287" t="str">
        <f aca="false">IFERROR((AU49-AU50)/AU49,"")</f>
        <v/>
      </c>
      <c r="AV48" s="288" t="str">
        <f aca="false">IFERROR((AV49-AV50)/AV49,"")</f>
        <v/>
      </c>
    </row>
    <row r="49" customFormat="false" ht="14.25" hidden="false" customHeight="false" outlineLevel="0" collapsed="false">
      <c r="A49" s="166" t="str">
        <f aca="false">+IF(C49+C50=0,"[ocultar]","")</f>
        <v>[ocultar]</v>
      </c>
      <c r="B49" s="289" t="s">
        <v>371</v>
      </c>
      <c r="C49" s="290" t="n">
        <f aca="false" t="array" ref="C49:C49">SUM(IF($B49=DATOS_[Sexo], IF($B48=DATOS_[AGRUP. VALOR. PTO.], IF("Dentro"=DATOS_[Check Periodo Ref.], 1/(COUNTIFS(DATOS_[Sexo],$B49,DATOS_[AGRUP. VALOR. PTO.],$B48,DATOS_[Check Periodo Ref.],"Dentro",DATOS_[id],DATOS_[id]))))))</f>
        <v>0</v>
      </c>
      <c r="D49" s="291" t="n">
        <f aca="false">COUNTIFS(DATOS_[AGRUP. VALOR. PTO.],$B48,DATOS_[Sexo],$B49,DATOS_[Check Periodo Ref.],"Dentro")</f>
        <v>0</v>
      </c>
      <c r="E49" s="291" t="n">
        <f aca="false">COUNTIFS(DATOS_[AGRUP. VALOR. PTO.],$B48,DATOS_[Sexo],$B49,DATOS_[Check Periodo Ref.],"Dentro",DATOS_[Check Nº SC Norm],"Sí")</f>
        <v>0</v>
      </c>
      <c r="F49" s="291" t="n">
        <f aca="false">COUNTIFS(DATOS_[AGRUP. VALOR. PTO.],$B48,DATOS_[Sexo],$B49,DATOS_[Check Periodo Ref.],"Dentro",DATOS_[Check Nº SC Anualiz],"Sí")</f>
        <v>0</v>
      </c>
      <c r="G49" s="291" t="n">
        <f aca="false">COUNTIFS(DATOS_[AGRUP. VALOR. PTO.],$B48,DATOS_[Sexo],$B49,DATOS_[Check Periodo Ref.],"Dentro",DATOS_[Check Nº SC Norm y Anualiz],"Sí")</f>
        <v>0</v>
      </c>
      <c r="H49" s="291" t="n">
        <f aca="false">COUNTIFS(DATOS_[AGRUP. VALOR. PTO.],$B48,DATOS_[Sexo],$B49,DATOS_[Check Periodo Ref.],"Dentro",DATOS_[Check Equiparación],"Sí")</f>
        <v>0</v>
      </c>
      <c r="I49" s="292" t="n">
        <f aca="false" t="array" ref="I49:I49">IFERROR( AVERAGE(IF(DATOS_[Sexo]=$B49,IF(DATOS_[[AGRUP. VALOR. PTO.]:[AGRUP. VALOR. PTO.]]=$B48,IF(DATOS_[Check Equiparado]="Sí",IF(DATOS_[Check Periodo Ref.]="Dentro",DATOS_[SALARIO BASE Eq],0))))), 0)</f>
        <v>0</v>
      </c>
      <c r="J49" s="302" t="n">
        <f aca="false" t="array" ref="J49:J49">IFERROR( (AVERAGE((IF(DATOS_[[Sexo]:[Sexo]]=$B49,IF(DATOS_[[AGRUP. VALOR. PTO.]:[AGRUP. VALOR. PTO.]]=$B48,IF(DATOS_[[Check Periodo Ref.]:[Check Periodo Ref.]]="Dentro",IF(DATOS_[[Check Equiparado]:[Check Equiparado]]="Sí",IF(DATOS!AE$4="Sí",(1/DATOS_[[% anualiz]:[% anualiz]]),1)*IF(DATOS!AE$5="Sí",1/DATOS_[[% normaliz]:[% normaliz]],1)*(DATOS_[Conc.Sal.01])))))))), 0)</f>
        <v>0</v>
      </c>
      <c r="K49" s="302" t="n">
        <f aca="false" t="array" ref="K49:K49">IFERROR( (AVERAGE((IF(DATOS_[[Sexo]:[Sexo]]=$B49,IF(DATOS_[[AGRUP. VALOR. PTO.]:[AGRUP. VALOR. PTO.]]=$B48,IF(DATOS_[[Check Periodo Ref.]:[Check Periodo Ref.]]="Dentro",IF(DATOS_[[Check Equiparado]:[Check Equiparado]]="Sí",IF(DATOS!AF$4="Sí",(1/DATOS_[[% anualiz]:[% anualiz]]),1)*IF(DATOS!AF$5="Sí",1/DATOS_[[% normaliz]:[% normaliz]],1)*(DATOS_[Conc.Sal.02])))))))), 0)</f>
        <v>0</v>
      </c>
      <c r="L49" s="302" t="n">
        <f aca="false" t="array" ref="L49:L49">IFERROR( (AVERAGE((IF(DATOS_[[Sexo]:[Sexo]]=$B49,IF(DATOS_[[AGRUP. VALOR. PTO.]:[AGRUP. VALOR. PTO.]]=$B48,IF(DATOS_[[Check Periodo Ref.]:[Check Periodo Ref.]]="Dentro",IF(DATOS_[[Check Equiparado]:[Check Equiparado]]="Sí",IF(DATOS!AG$4="Sí",(1/DATOS_[[% anualiz]:[% anualiz]]),1)*IF(DATOS!AG$5="Sí",1/DATOS_[[% normaliz]:[% normaliz]],1)*(DATOS_[Conc.Sal.03])))))))), 0)</f>
        <v>0</v>
      </c>
      <c r="M49" s="302" t="n">
        <f aca="false" t="array" ref="M49:M49">IFERROR( (AVERAGE((IF(DATOS_[[Sexo]:[Sexo]]=$B49,IF(DATOS_[[AGRUP. VALOR. PTO.]:[AGRUP. VALOR. PTO.]]=$B48,IF(DATOS_[[Check Periodo Ref.]:[Check Periodo Ref.]]="Dentro",IF(DATOS_[[Check Equiparado]:[Check Equiparado]]="Sí",IF(DATOS!AH$4="Sí",(1/DATOS_[[% anualiz]:[% anualiz]]),1)*IF(DATOS!AH$5="Sí",1/DATOS_[[% normaliz]:[% normaliz]],1)*(DATOS_[Conc.Sal.04])))))))), 0)</f>
        <v>0</v>
      </c>
      <c r="N49" s="302" t="n">
        <f aca="false" t="array" ref="N49:N49">IFERROR( (AVERAGE((IF(DATOS_[[Sexo]:[Sexo]]=$B49,IF(DATOS_[[AGRUP. VALOR. PTO.]:[AGRUP. VALOR. PTO.]]=$B48,IF(DATOS_[[Check Periodo Ref.]:[Check Periodo Ref.]]="Dentro",IF(DATOS_[[Check Equiparado]:[Check Equiparado]]="Sí",IF(DATOS!AI$4="Sí",(1/DATOS_[[% anualiz]:[% anualiz]]),1)*IF(DATOS!AI$5="Sí",1/DATOS_[[% normaliz]:[% normaliz]],1)*(DATOS_[Conc.Sal.05])))))))), 0)</f>
        <v>0</v>
      </c>
      <c r="O49" s="302" t="n">
        <f aca="false" t="array" ref="O49:O49">IFERROR( (AVERAGE((IF(DATOS_[[Sexo]:[Sexo]]=$B49,IF(DATOS_[[AGRUP. VALOR. PTO.]:[AGRUP. VALOR. PTO.]]=$B48,IF(DATOS_[[Check Periodo Ref.]:[Check Periodo Ref.]]="Dentro",IF(DATOS_[[Check Equiparado]:[Check Equiparado]]="Sí",IF(DATOS!AJ$4="Sí",(1/DATOS_[[% anualiz]:[% anualiz]]),1)*IF(DATOS!AJ$5="Sí",1/DATOS_[[% normaliz]:[% normaliz]],1)*(DATOS_[Conc.Sal.06])))))))), 0)</f>
        <v>0</v>
      </c>
      <c r="P49" s="302" t="n">
        <f aca="false" t="array" ref="P49:P49">IFERROR( (AVERAGE((IF(DATOS_[[Sexo]:[Sexo]]=$B49,IF(DATOS_[[AGRUP. VALOR. PTO.]:[AGRUP. VALOR. PTO.]]=$B48,IF(DATOS_[[Check Periodo Ref.]:[Check Periodo Ref.]]="Dentro",IF(DATOS_[[Check Equiparado]:[Check Equiparado]]="Sí",IF(DATOS!AK$4="Sí",(1/DATOS_[[% anualiz]:[% anualiz]]),1)*IF(DATOS!AK$5="Sí",1/DATOS_[[% normaliz]:[% normaliz]],1)*(DATOS_[Conc.Sal.07])))))))), 0)</f>
        <v>0</v>
      </c>
      <c r="Q49" s="302" t="n">
        <f aca="false" t="array" ref="Q49:Q49">IFERROR( (AVERAGE((IF(DATOS_[[Sexo]:[Sexo]]=$B49,IF(DATOS_[[AGRUP. VALOR. PTO.]:[AGRUP. VALOR. PTO.]]=$B48,IF(DATOS_[[Check Periodo Ref.]:[Check Periodo Ref.]]="Dentro",IF(DATOS_[[Check Equiparado]:[Check Equiparado]]="Sí",IF(DATOS!AL$4="Sí",(1/DATOS_[[% anualiz]:[% anualiz]]),1)*IF(DATOS!AL$5="Sí",1/DATOS_[[% normaliz]:[% normaliz]],1)*(DATOS_[Conc.Sal.08])))))))), 0)</f>
        <v>0</v>
      </c>
      <c r="R49" s="302" t="n">
        <f aca="false" t="array" ref="R49:R49">IFERROR( (AVERAGE((IF(DATOS_[[Sexo]:[Sexo]]=$B49,IF(DATOS_[[AGRUP. VALOR. PTO.]:[AGRUP. VALOR. PTO.]]=$B48,IF(DATOS_[[Check Periodo Ref.]:[Check Periodo Ref.]]="Dentro",IF(DATOS_[[Check Equiparado]:[Check Equiparado]]="Sí",IF(DATOS!AM$4="Sí",(1/DATOS_[[% anualiz]:[% anualiz]]),1)*IF(DATOS!AM$5="Sí",1/DATOS_[[% normaliz]:[% normaliz]],1)*(DATOS_[Conc.Sal.09])))))))), 0)</f>
        <v>0</v>
      </c>
      <c r="S49" s="302" t="n">
        <f aca="false" t="array" ref="S49:S49">IFERROR( (AVERAGE((IF(DATOS_[[Sexo]:[Sexo]]=$B49,IF(DATOS_[[AGRUP. VALOR. PTO.]:[AGRUP. VALOR. PTO.]]=$B48,IF(DATOS_[[Check Periodo Ref.]:[Check Periodo Ref.]]="Dentro",IF(DATOS_[[Check Equiparado]:[Check Equiparado]]="Sí",IF(DATOS!AN$4="Sí",(1/DATOS_[[% anualiz]:[% anualiz]]),1)*IF(DATOS!AN$5="Sí",1/DATOS_[[% normaliz]:[% normaliz]],1)*(DATOS_[Conc.Sal.10])))))))), 0)</f>
        <v>0</v>
      </c>
      <c r="T49" s="302" t="n">
        <f aca="false" t="array" ref="T49:T49">IFERROR( (AVERAGE((IF(DATOS_[[Sexo]:[Sexo]]=$B49,IF(DATOS_[[AGRUP. VALOR. PTO.]:[AGRUP. VALOR. PTO.]]=$B48,IF(DATOS_[[Check Periodo Ref.]:[Check Periodo Ref.]]="Dentro",IF(DATOS_[[Check Equiparado]:[Check Equiparado]]="Sí",IF(DATOS!AO$4="Sí",(1/DATOS_[[% anualiz]:[% anualiz]]),1)*IF(DATOS!AO$5="Sí",1/DATOS_[[% normaliz]:[% normaliz]],1)*(DATOS_[Conc.Sal.11])))))))), 0)</f>
        <v>0</v>
      </c>
      <c r="U49" s="302" t="n">
        <f aca="false" t="array" ref="U49:U49">IFERROR( (AVERAGE((IF(DATOS_[[Sexo]:[Sexo]]=$B49,IF(DATOS_[[AGRUP. VALOR. PTO.]:[AGRUP. VALOR. PTO.]]=$B48,IF(DATOS_[[Check Periodo Ref.]:[Check Periodo Ref.]]="Dentro",IF(DATOS_[[Check Equiparado]:[Check Equiparado]]="Sí",IF(DATOS!AP$4="Sí",(1/DATOS_[[% anualiz]:[% anualiz]]),1)*IF(DATOS!AP$5="Sí",1/DATOS_[[% normaliz]:[% normaliz]],1)*(DATOS_[Conc.Sal.12])))))))), 0)</f>
        <v>0</v>
      </c>
      <c r="V49" s="302" t="n">
        <f aca="false" t="array" ref="V49:V49">IFERROR( (AVERAGE((IF(DATOS_[[Sexo]:[Sexo]]=$B49,IF(DATOS_[[AGRUP. VALOR. PTO.]:[AGRUP. VALOR. PTO.]]=$B48,IF(DATOS_[[Check Periodo Ref.]:[Check Periodo Ref.]]="Dentro",IF(DATOS_[[Check Equiparado]:[Check Equiparado]]="Sí",IF(DATOS!AQ$4="Sí",(1/DATOS_[[% anualiz]:[% anualiz]]),1)*IF(DATOS!AQ$5="Sí",1/DATOS_[[% normaliz]:[% normaliz]],1)*(DATOS_[Conc.Sal.13])))))))), 0)</f>
        <v>0</v>
      </c>
      <c r="W49" s="302" t="n">
        <f aca="false" t="array" ref="W49:W49">IFERROR( (AVERAGE((IF(DATOS_[[Sexo]:[Sexo]]=$B49,IF(DATOS_[[AGRUP. VALOR. PTO.]:[AGRUP. VALOR. PTO.]]=$B48,IF(DATOS_[[Check Periodo Ref.]:[Check Periodo Ref.]]="Dentro",IF(DATOS_[[Check Equiparado]:[Check Equiparado]]="Sí",IF(DATOS!AR$4="Sí",(1/DATOS_[[% anualiz]:[% anualiz]]),1)*IF(DATOS!AR$5="Sí",1/DATOS_[[% normaliz]:[% normaliz]],1)*(DATOS_[Conc.Sal.14])))))))), 0)</f>
        <v>0</v>
      </c>
      <c r="X49" s="302" t="n">
        <f aca="false" t="array" ref="X49:X49">IFERROR( (AVERAGE((IF(DATOS_[[Sexo]:[Sexo]]=$B49,IF(DATOS_[[AGRUP. VALOR. PTO.]:[AGRUP. VALOR. PTO.]]=$B48,IF(DATOS_[[Check Periodo Ref.]:[Check Periodo Ref.]]="Dentro",IF(DATOS_[[Check Equiparado]:[Check Equiparado]]="Sí",IF(DATOS!AS$4="Sí",(1/DATOS_[[% anualiz]:[% anualiz]]),1)*IF(DATOS!AS$5="Sí",1/DATOS_[[% normaliz]:[% normaliz]],1)*(DATOS_[Conc.Sal.15])))))))), 0)</f>
        <v>0</v>
      </c>
      <c r="Y49" s="302" t="n">
        <f aca="false" t="array" ref="Y49:Y49">IFERROR( (AVERAGE((IF(DATOS_[[Sexo]:[Sexo]]=$B49,IF(DATOS_[[AGRUP. VALOR. PTO.]:[AGRUP. VALOR. PTO.]]=$B48,IF(DATOS_[[Check Periodo Ref.]:[Check Periodo Ref.]]="Dentro",IF(DATOS_[[Check Equiparado]:[Check Equiparado]]="Sí",IF(DATOS!AT$4="Sí",(1/DATOS_[[% anualiz]:[% anualiz]]),1)*IF(DATOS!AT$5="Sí",1/DATOS_[[% normaliz]:[% normaliz]],1)*(DATOS_[Conc.Sal.16])))))))), 0)</f>
        <v>0</v>
      </c>
      <c r="Z49" s="302" t="n">
        <f aca="false" t="array" ref="Z49:Z49">IFERROR( (AVERAGE((IF(DATOS_[[Sexo]:[Sexo]]=$B49,IF(DATOS_[[AGRUP. VALOR. PTO.]:[AGRUP. VALOR. PTO.]]=$B48,IF(DATOS_[[Check Periodo Ref.]:[Check Periodo Ref.]]="Dentro",IF(DATOS_[[Check Equiparado]:[Check Equiparado]]="Sí",IF(DATOS!AU$4="Sí",(1/DATOS_[[% anualiz]:[% anualiz]]),1)*IF(DATOS!AU$5="Sí",1/DATOS_[[% normaliz]:[% normaliz]],1)*(DATOS_[Conc.Sal.17])))))))), 0)</f>
        <v>0</v>
      </c>
      <c r="AA49" s="302" t="n">
        <f aca="false" t="array" ref="AA49:AA49">IFERROR( (AVERAGE((IF(DATOS_[[Sexo]:[Sexo]]=$B49,IF(DATOS_[[AGRUP. VALOR. PTO.]:[AGRUP. VALOR. PTO.]]=$B48,IF(DATOS_[[Check Periodo Ref.]:[Check Periodo Ref.]]="Dentro",IF(DATOS_[[Check Equiparado]:[Check Equiparado]]="Sí",IF(DATOS!AV$4="Sí",(1/DATOS_[[% anualiz]:[% anualiz]]),1)*IF(DATOS!AV$5="Sí",1/DATOS_[[% normaliz]:[% normaliz]],1)*(DATOS_[Conc.Sal.18])))))))), 0)</f>
        <v>0</v>
      </c>
      <c r="AB49" s="302" t="n">
        <f aca="false" t="array" ref="AB49:AB49">IFERROR( (AVERAGE((IF(DATOS_[[Sexo]:[Sexo]]=$B49,IF(DATOS_[[AGRUP. VALOR. PTO.]:[AGRUP. VALOR. PTO.]]=$B48,IF(DATOS_[[Check Periodo Ref.]:[Check Periodo Ref.]]="Dentro",IF(DATOS_[[Check Equiparado]:[Check Equiparado]]="Sí",IF(DATOS!AW$4="Sí",(1/DATOS_[[% anualiz]:[% anualiz]]),1)*IF(DATOS!AW$5="Sí",1/DATOS_[[% normaliz]:[% normaliz]],1)*(DATOS_[Conc.Sal.19])))))))), 0)</f>
        <v>0</v>
      </c>
      <c r="AC49" s="302" t="n">
        <f aca="false" t="array" ref="AC49:AC49">IFERROR( (AVERAGE((IF(DATOS_[[Sexo]:[Sexo]]=$B49,IF(DATOS_[[AGRUP. VALOR. PTO.]:[AGRUP. VALOR. PTO.]]=$B48,IF(DATOS_[[Check Periodo Ref.]:[Check Periodo Ref.]]="Dentro",IF(DATOS_[[Check Equiparado]:[Check Equiparado]]="Sí",IF(DATOS!AX$4="Sí",(1/DATOS_[[% anualiz]:[% anualiz]]),1)*IF(DATOS!AX$5="Sí",1/DATOS_[[% normaliz]:[% normaliz]],1)*(DATOS_[Conc.Sal.20])))))))), 0)</f>
        <v>0</v>
      </c>
      <c r="AD49" s="302" t="n">
        <f aca="false" t="array" ref="AD49:AD49">IFERROR( (AVERAGE((IF(DATOS_[[Sexo]:[Sexo]]=$B49,IF(DATOS_[[AGRUP. VALOR. PTO.]:[AGRUP. VALOR. PTO.]]=$B48,IF(DATOS_[[Check Periodo Ref.]:[Check Periodo Ref.]]="Dentro",IF(DATOS_[[Check Equiparado]:[Check Equiparado]]="Sí",IF(DATOS!AY$4="Sí",(1/DATOS_[[% anualiz]:[% anualiz]]),1)*IF(DATOS!AY$5="Sí",1/DATOS_[[% normaliz]:[% normaliz]],1)*(DATOS_[Conc.Sal.21])))))))), 0)</f>
        <v>0</v>
      </c>
      <c r="AE49" s="302" t="n">
        <f aca="false" t="array" ref="AE49:AE49">IFERROR( (AVERAGE((IF(DATOS_[[Sexo]:[Sexo]]=$B49,IF(DATOS_[[AGRUP. VALOR. PTO.]:[AGRUP. VALOR. PTO.]]=$B48,IF(DATOS_[[Check Periodo Ref.]:[Check Periodo Ref.]]="Dentro",IF(DATOS_[[Check Equiparado]:[Check Equiparado]]="Sí",IF(DATOS!AZ$4="Sí",(1/DATOS_[[% anualiz]:[% anualiz]]),1)*IF(DATOS!AZ$5="Sí",1/DATOS_[[% normaliz]:[% normaliz]],1)*(DATOS_[Conc.Sal.22])))))))), 0)</f>
        <v>0</v>
      </c>
      <c r="AF49" s="302" t="n">
        <f aca="false" t="array" ref="AF49:AF49">IFERROR( (AVERAGE((IF(DATOS_[[Sexo]:[Sexo]]=$B49,IF(DATOS_[[AGRUP. VALOR. PTO.]:[AGRUP. VALOR. PTO.]]=$B48,IF(DATOS_[[Check Periodo Ref.]:[Check Periodo Ref.]]="Dentro",IF(DATOS_[[Check Equiparado]:[Check Equiparado]]="Sí",IF(DATOS!BA$4="Sí",(1/DATOS_[[% anualiz]:[% anualiz]]),1)*IF(DATOS!BA$5="Sí",1/DATOS_[[% normaliz]:[% normaliz]],1)*(DATOS_[Conc.Sal.23])))))))), 0)</f>
        <v>0</v>
      </c>
      <c r="AG49" s="302" t="n">
        <f aca="false" t="array" ref="AG49:AG49">IFERROR( (AVERAGE((IF(DATOS_[[Sexo]:[Sexo]]=$B49,IF(DATOS_[[AGRUP. VALOR. PTO.]:[AGRUP. VALOR. PTO.]]=$B48,IF(DATOS_[[Check Periodo Ref.]:[Check Periodo Ref.]]="Dentro",IF(DATOS_[[Check Equiparado]:[Check Equiparado]]="Sí",IF(DATOS!BB$4="Sí",(1/DATOS_[[% anualiz]:[% anualiz]]),1)*IF(DATOS!BB$5="Sí",1/DATOS_[[% normaliz]:[% normaliz]],1)*(DATOS_[Conc.Sal.24])))))))), 0)</f>
        <v>0</v>
      </c>
      <c r="AH49" s="302" t="n">
        <f aca="false" t="array" ref="AH49:AH49">IFERROR( (AVERAGE((IF(DATOS_[[Sexo]:[Sexo]]=$B49,IF(DATOS_[[AGRUP. VALOR. PTO.]:[AGRUP. VALOR. PTO.]]=$B48,IF(DATOS_[[Check Periodo Ref.]:[Check Periodo Ref.]]="Dentro",IF(DATOS_[[Check Equiparado]:[Check Equiparado]]="Sí",IF(DATOS!BC$4="Sí",(1/DATOS_[[% anualiz]:[% anualiz]]),1)*IF(DATOS!BC$5="Sí",1/DATOS_[[% normaliz]:[% normaliz]],1)*(DATOS_[Conc.Sal.25])))))))), 0)</f>
        <v>0</v>
      </c>
      <c r="AI49" s="302" t="n">
        <f aca="false" t="array" ref="AI49:AI49">IFERROR( (AVERAGE((IF(DATOS_[[Sexo]:[Sexo]]=$B49,IF(DATOS_[[AGRUP. VALOR. PTO.]:[AGRUP. VALOR. PTO.]]=$B48,IF(DATOS_[[Check Periodo Ref.]:[Check Periodo Ref.]]="Dentro",IF(DATOS_[[Check Equiparado]:[Check Equiparado]]="Sí",IF(DATOS!BD$4="Sí",(1/DATOS_[[% anualiz]:[% anualiz]]),1)*IF(DATOS!BD$5="Sí",1/DATOS_[[% normaliz]:[% normaliz]],1)*(DATOS_[Conc.Sal.26])))))))), 0)</f>
        <v>0</v>
      </c>
      <c r="AJ49" s="302" t="n">
        <f aca="false" t="array" ref="AJ49:AJ49">IFERROR( (AVERAGE((IF(DATOS_[[Sexo]:[Sexo]]=$B49,IF(DATOS_[[AGRUP. VALOR. PTO.]:[AGRUP. VALOR. PTO.]]=$B48,IF(DATOS_[[Check Periodo Ref.]:[Check Periodo Ref.]]="Dentro",IF(DATOS_[[Check Equiparado]:[Check Equiparado]]="Sí",IF(DATOS!BE$4="Sí",(1/DATOS_[[% anualiz]:[% anualiz]]),1)*IF(DATOS!BE$5="Sí",1/DATOS_[[% normaliz]:[% normaliz]],1)*(DATOS_[Conc.Sal.27])))))))), 0)</f>
        <v>0</v>
      </c>
      <c r="AK49" s="302" t="n">
        <f aca="false" t="array" ref="AK49:AK49">IFERROR( (AVERAGE((IF(DATOS_[[Sexo]:[Sexo]]=$B49,IF(DATOS_[[AGRUP. VALOR. PTO.]:[AGRUP. VALOR. PTO.]]=$B48,IF(DATOS_[[Check Periodo Ref.]:[Check Periodo Ref.]]="Dentro",IF(DATOS_[[Check Equiparado]:[Check Equiparado]]="Sí",IF(DATOS!BF$4="Sí",(1/DATOS_[[% anualiz]:[% anualiz]]),1)*IF(DATOS!BF$5="Sí",1/DATOS_[[% normaliz]:[% normaliz]],1)*(DATOS_[Conc.Sal.28])))))))), 0)</f>
        <v>0</v>
      </c>
      <c r="AL49" s="302" t="n">
        <f aca="false" t="array" ref="AL49:AL49">IFERROR( (AVERAGE((IF(DATOS_[[Sexo]:[Sexo]]=$B49,IF(DATOS_[[AGRUP. VALOR. PTO.]:[AGRUP. VALOR. PTO.]]=$B48,IF(DATOS_[[Check Periodo Ref.]:[Check Periodo Ref.]]="Dentro",IF(DATOS_[[Check Equiparado]:[Check Equiparado]]="Sí",IF(DATOS!BG$4="Sí",(1/DATOS_[[% anualiz]:[% anualiz]]),1)*IF(DATOS!BG$5="Sí",1/DATOS_[[% normaliz]:[% normaliz]],1)*(DATOS_[Conc.Sal.29])))))))), 0)</f>
        <v>0</v>
      </c>
      <c r="AM49" s="302" t="n">
        <f aca="false" t="array" ref="AM49:AM49">IFERROR( (AVERAGE((IF(DATOS_[[Sexo]:[Sexo]]=$B49,IF(DATOS_[[AGRUP. VALOR. PTO.]:[AGRUP. VALOR. PTO.]]=$B48,IF(DATOS_[[Check Periodo Ref.]:[Check Periodo Ref.]]="Dentro",IF(DATOS_[[Check Equiparado]:[Check Equiparado]]="Sí",IF(DATOS!BH$4="Sí",(1/DATOS_[[% anualiz]:[% anualiz]]),1)*IF(DATOS!BH$5="Sí",1/DATOS_[[% normaliz]:[% normaliz]],1)*(DATOS_[Conc.Sal.30])))))))), 0)</f>
        <v>0</v>
      </c>
      <c r="AN49" s="294" t="n">
        <f aca="false" t="array" ref="AN49:AN49">IFERROR( AVERAGE(IF(DATOS_[Sexo]=$B49,IF(DATOS_[[AGRUP. VALOR. PTO.]:[AGRUP. VALOR. PTO.]]=$B48,IF(DATOS_[Check Equiparado]="Sí",IF(DATOS_[Check Periodo Ref.]="Dentro",DATOS_[Tot COMPL.SAL Eq],0))))), 0)</f>
        <v>0</v>
      </c>
      <c r="AO49" s="295" t="n">
        <f aca="false" t="array" ref="AO49:AO49">IFERROR( AVERAGE(IF(DATOS_[Sexo]=$B49,IF(DATOS_[[AGRUP. VALOR. PTO.]:[AGRUP. VALOR. PTO.]]=$B48,IF(DATOS_[Check Equiparado]="Sí",IF(DATOS_[Check Periodo Ref.]="Dentro",DATOS_[TOTAL SALARIO Eq],0))))), 0)</f>
        <v>0</v>
      </c>
      <c r="AP49" s="303" t="n">
        <f aca="false" t="array" ref="AP49:AP49">IFERROR( (AVERAGE((IF(DATOS_[[Sexo]:[Sexo]]=$B49,IF(DATOS_[[AGRUP. VALOR. PTO.]:[AGRUP. VALOR. PTO.]]=$B48,IF(DATOS_[[Check Periodo Ref.]:[Check Periodo Ref.]]="Dentro",IF(DATOS_[[Check Equiparado]:[Check Equiparado]]="Sí",IF(DATOS!BI$4="Sí",(1/DATOS_[[% anualiz]:[% anualiz]]),1)*IF(DATOS!BI$5="Sí",1/DATOS_[[% normaliz]:[% normaliz]],1)*(DATOS_[C.Extra.01])))))))), 0)</f>
        <v>0</v>
      </c>
      <c r="AQ49" s="303" t="n">
        <f aca="false" t="array" ref="AQ49:AQ49">IFERROR( (AVERAGE((IF(DATOS_[[Sexo]:[Sexo]]=$B49,IF(DATOS_[[AGRUP. VALOR. PTO.]:[AGRUP. VALOR. PTO.]]=$B48,IF(DATOS_[[Check Periodo Ref.]:[Check Periodo Ref.]]="Dentro",IF(DATOS_[[Check Equiparado]:[Check Equiparado]]="Sí",IF(DATOS!BJ$4="Sí",(1/DATOS_[[% anualiz]:[% anualiz]]),1)*IF(DATOS!BJ$5="Sí",1/DATOS_[[% normaliz]:[% normaliz]],1)*(DATOS_[C.Extra.02])))))))), 0)</f>
        <v>0</v>
      </c>
      <c r="AR49" s="303" t="n">
        <f aca="false" t="array" ref="AR49:AR49">IFERROR( (AVERAGE((IF(DATOS_[[Sexo]:[Sexo]]=$B49,IF(DATOS_[[AGRUP. VALOR. PTO.]:[AGRUP. VALOR. PTO.]]=$B48,IF(DATOS_[[Check Periodo Ref.]:[Check Periodo Ref.]]="Dentro",IF(DATOS_[[Check Equiparado]:[Check Equiparado]]="Sí",IF(DATOS!BK$4="Sí",(1/DATOS_[[% anualiz]:[% anualiz]]),1)*IF(DATOS!BK$5="Sí",1/DATOS_[[% normaliz]:[% normaliz]],1)*(DATOS_[C.Extra.03])))))))), 0)</f>
        <v>0</v>
      </c>
      <c r="AS49" s="303" t="n">
        <f aca="false" t="array" ref="AS49:AS49">IFERROR( (AVERAGE((IF(DATOS_[[Sexo]:[Sexo]]=$B49,IF(DATOS_[[AGRUP. VALOR. PTO.]:[AGRUP. VALOR. PTO.]]=$B48,IF(DATOS_[[Check Periodo Ref.]:[Check Periodo Ref.]]="Dentro",IF(DATOS_[[Check Equiparado]:[Check Equiparado]]="Sí",IF(DATOS!BL$4="Sí",(1/DATOS_[[% anualiz]:[% anualiz]]),1)*IF(DATOS!BL$5="Sí",1/DATOS_[[% normaliz]:[% normaliz]],1)*(DATOS_[C.Extra.04])))))))), 0)</f>
        <v>0</v>
      </c>
      <c r="AT49" s="303" t="n">
        <f aca="false" t="array" ref="AT49:AT49">IFERROR( (AVERAGE((IF(DATOS_[[Sexo]:[Sexo]]=$B49,IF(DATOS_[[AGRUP. VALOR. PTO.]:[AGRUP. VALOR. PTO.]]=$B48,IF(DATOS_[[Check Periodo Ref.]:[Check Periodo Ref.]]="Dentro",IF(DATOS_[[Check Equiparado]:[Check Equiparado]]="Sí",IF(DATOS!BM$4="Sí",(1/DATOS_[[% anualiz]:[% anualiz]]),1)*IF(DATOS!BM$5="Sí",1/DATOS_[[% normaliz]:[% normaliz]],1)*(DATOS_[C.Extra.05])))))))), 0)</f>
        <v>0</v>
      </c>
      <c r="AU49" s="297" t="n">
        <f aca="false" t="array" ref="AU49:AU49">IFERROR( AVERAGE(IF(DATOS_[Sexo]=$B49,IF(DATOS_[[AGRUP. VALOR. PTO.]:[AGRUP. VALOR. PTO.]]=$B48,IF(DATOS_[Check Equiparado]="Sí",IF(DATOS_[Check Periodo Ref.]="Dentro",DATOS_[Tot Extrasalarial Eq],0))))), 0)</f>
        <v>0</v>
      </c>
      <c r="AV49" s="298" t="n">
        <f aca="false" t="array" ref="AV49:AV49">IFERROR( AVERAGE(IF(DATOS_[Sexo]=$B49,IF(DATOS_[[AGRUP. VALOR. PTO.]:[AGRUP. VALOR. PTO.]]=$B48,IF(DATOS_[Check Equiparado]="Sí",IF(DATOS_[Check Periodo Ref.]="Dentro",DATOS_[TOTAL Retrib Eq],0))))), 0)</f>
        <v>0</v>
      </c>
    </row>
    <row r="50" customFormat="false" ht="14.25" hidden="false" customHeight="false" outlineLevel="0" collapsed="false">
      <c r="A50" s="166" t="str">
        <f aca="false">+A49</f>
        <v>[ocultar]</v>
      </c>
      <c r="B50" s="289" t="s">
        <v>372</v>
      </c>
      <c r="C50" s="290" t="n">
        <f aca="false" t="array" ref="C50:C50">SUM(IF($B50=DATOS_[Sexo], IF($B48=DATOS_[AGRUP. VALOR. PTO.], IF("Dentro"=DATOS_[Check Periodo Ref.], 1/(COUNTIFS(DATOS_[Sexo],$B50,DATOS_[AGRUP. VALOR. PTO.],$B48,DATOS_[Check Periodo Ref.],"Dentro",DATOS_[id],DATOS_[id]))))))</f>
        <v>0</v>
      </c>
      <c r="D50" s="291" t="n">
        <f aca="false">COUNTIFS(DATOS_[AGRUP. VALOR. PTO.],$B48,DATOS_[Sexo],$B50,DATOS_[Check Periodo Ref.],"Dentro")</f>
        <v>0</v>
      </c>
      <c r="E50" s="291" t="n">
        <f aca="false">COUNTIFS(DATOS_[AGRUP. VALOR. PTO.],$B48,DATOS_[Sexo],$B50,DATOS_[Check Periodo Ref.],"Dentro",DATOS_[Check Nº SC Norm],"Sí")</f>
        <v>0</v>
      </c>
      <c r="F50" s="291" t="n">
        <f aca="false">COUNTIFS(DATOS_[AGRUP. VALOR. PTO.],$B48,DATOS_[Sexo],$B50,DATOS_[Check Periodo Ref.],"Dentro",DATOS_[Check Nº SC Anualiz],"Sí")</f>
        <v>0</v>
      </c>
      <c r="G50" s="291" t="n">
        <f aca="false">COUNTIFS(DATOS_[AGRUP. VALOR. PTO.],$B48,DATOS_[Sexo],$B50,DATOS_[Check Periodo Ref.],"Dentro",DATOS_[Check Nº SC Norm y Anualiz],"Sí")</f>
        <v>0</v>
      </c>
      <c r="H50" s="291" t="n">
        <f aca="false">COUNTIFS(DATOS_[AGRUP. VALOR. PTO.],$B48,DATOS_[Sexo],$B50,DATOS_[Check Periodo Ref.],"Dentro",DATOS_[Check Equiparación],"Sí")</f>
        <v>0</v>
      </c>
      <c r="I50" s="292" t="n">
        <f aca="false" t="array" ref="I50:I50">IFERROR( AVERAGE(IF(DATOS_[Sexo]=$B50,IF(DATOS_[[AGRUP. VALOR. PTO.]:[AGRUP. VALOR. PTO.]]=$B48,IF(DATOS_[Check Equiparado]="Sí",IF(DATOS_[Check Periodo Ref.]="Dentro",DATOS_[SALARIO BASE Eq],0))))), 0)</f>
        <v>0</v>
      </c>
      <c r="J50" s="302" t="n">
        <f aca="false" t="array" ref="J50:J50">IFERROR( (AVERAGE((IF(DATOS_[[Sexo]:[Sexo]]=$B50,IF(DATOS_[[AGRUP. VALOR. PTO.]:[AGRUP. VALOR. PTO.]]=$B48,IF(DATOS_[[Check Periodo Ref.]:[Check Periodo Ref.]]="Dentro",IF(DATOS_[[Check Equiparado]:[Check Equiparado]]="Sí",IF(DATOS!AE$4="Sí",(1/DATOS_[[% anualiz]:[% anualiz]]),1)*IF(DATOS!AE$5="Sí",1/DATOS_[[% normaliz]:[% normaliz]],1)*(DATOS_[Conc.Sal.01])))))))), 0)</f>
        <v>0</v>
      </c>
      <c r="K50" s="302" t="n">
        <f aca="false" t="array" ref="K50:K50">IFERROR( (AVERAGE((IF(DATOS_[[Sexo]:[Sexo]]=$B50,IF(DATOS_[[AGRUP. VALOR. PTO.]:[AGRUP. VALOR. PTO.]]=$B48,IF(DATOS_[[Check Periodo Ref.]:[Check Periodo Ref.]]="Dentro",IF(DATOS_[[Check Equiparado]:[Check Equiparado]]="Sí",IF(DATOS!AF$4="Sí",(1/DATOS_[[% anualiz]:[% anualiz]]),1)*IF(DATOS!AF$5="Sí",1/DATOS_[[% normaliz]:[% normaliz]],1)*(DATOS_[Conc.Sal.02])))))))), 0)</f>
        <v>0</v>
      </c>
      <c r="L50" s="302" t="n">
        <f aca="false" t="array" ref="L50:L50">IFERROR( (AVERAGE((IF(DATOS_[[Sexo]:[Sexo]]=$B50,IF(DATOS_[[AGRUP. VALOR. PTO.]:[AGRUP. VALOR. PTO.]]=$B48,IF(DATOS_[[Check Periodo Ref.]:[Check Periodo Ref.]]="Dentro",IF(DATOS_[[Check Equiparado]:[Check Equiparado]]="Sí",IF(DATOS!AG$4="Sí",(1/DATOS_[[% anualiz]:[% anualiz]]),1)*IF(DATOS!AG$5="Sí",1/DATOS_[[% normaliz]:[% normaliz]],1)*(DATOS_[Conc.Sal.03])))))))), 0)</f>
        <v>0</v>
      </c>
      <c r="M50" s="302" t="n">
        <f aca="false" t="array" ref="M50:M50">IFERROR( (AVERAGE((IF(DATOS_[[Sexo]:[Sexo]]=$B50,IF(DATOS_[[AGRUP. VALOR. PTO.]:[AGRUP. VALOR. PTO.]]=$B48,IF(DATOS_[[Check Periodo Ref.]:[Check Periodo Ref.]]="Dentro",IF(DATOS_[[Check Equiparado]:[Check Equiparado]]="Sí",IF(DATOS!AH$4="Sí",(1/DATOS_[[% anualiz]:[% anualiz]]),1)*IF(DATOS!AH$5="Sí",1/DATOS_[[% normaliz]:[% normaliz]],1)*(DATOS_[Conc.Sal.04])))))))), 0)</f>
        <v>0</v>
      </c>
      <c r="N50" s="302" t="n">
        <f aca="false" t="array" ref="N50:N50">IFERROR( (AVERAGE((IF(DATOS_[[Sexo]:[Sexo]]=$B50,IF(DATOS_[[AGRUP. VALOR. PTO.]:[AGRUP. VALOR. PTO.]]=$B48,IF(DATOS_[[Check Periodo Ref.]:[Check Periodo Ref.]]="Dentro",IF(DATOS_[[Check Equiparado]:[Check Equiparado]]="Sí",IF(DATOS!AI$4="Sí",(1/DATOS_[[% anualiz]:[% anualiz]]),1)*IF(DATOS!AI$5="Sí",1/DATOS_[[% normaliz]:[% normaliz]],1)*(DATOS_[Conc.Sal.05])))))))), 0)</f>
        <v>0</v>
      </c>
      <c r="O50" s="302" t="n">
        <f aca="false" t="array" ref="O50:O50">IFERROR( (AVERAGE((IF(DATOS_[[Sexo]:[Sexo]]=$B50,IF(DATOS_[[AGRUP. VALOR. PTO.]:[AGRUP. VALOR. PTO.]]=$B48,IF(DATOS_[[Check Periodo Ref.]:[Check Periodo Ref.]]="Dentro",IF(DATOS_[[Check Equiparado]:[Check Equiparado]]="Sí",IF(DATOS!AJ$4="Sí",(1/DATOS_[[% anualiz]:[% anualiz]]),1)*IF(DATOS!AJ$5="Sí",1/DATOS_[[% normaliz]:[% normaliz]],1)*(DATOS_[Conc.Sal.06])))))))), 0)</f>
        <v>0</v>
      </c>
      <c r="P50" s="302" t="n">
        <f aca="false" t="array" ref="P50:P50">IFERROR( (AVERAGE((IF(DATOS_[[Sexo]:[Sexo]]=$B50,IF(DATOS_[[AGRUP. VALOR. PTO.]:[AGRUP. VALOR. PTO.]]=$B48,IF(DATOS_[[Check Periodo Ref.]:[Check Periodo Ref.]]="Dentro",IF(DATOS_[[Check Equiparado]:[Check Equiparado]]="Sí",IF(DATOS!AK$4="Sí",(1/DATOS_[[% anualiz]:[% anualiz]]),1)*IF(DATOS!AK$5="Sí",1/DATOS_[[% normaliz]:[% normaliz]],1)*(DATOS_[Conc.Sal.07])))))))), 0)</f>
        <v>0</v>
      </c>
      <c r="Q50" s="302" t="n">
        <f aca="false" t="array" ref="Q50:Q50">IFERROR( (AVERAGE((IF(DATOS_[[Sexo]:[Sexo]]=$B50,IF(DATOS_[[AGRUP. VALOR. PTO.]:[AGRUP. VALOR. PTO.]]=$B48,IF(DATOS_[[Check Periodo Ref.]:[Check Periodo Ref.]]="Dentro",IF(DATOS_[[Check Equiparado]:[Check Equiparado]]="Sí",IF(DATOS!AL$4="Sí",(1/DATOS_[[% anualiz]:[% anualiz]]),1)*IF(DATOS!AL$5="Sí",1/DATOS_[[% normaliz]:[% normaliz]],1)*(DATOS_[Conc.Sal.08])))))))), 0)</f>
        <v>0</v>
      </c>
      <c r="R50" s="302" t="n">
        <f aca="false" t="array" ref="R50:R50">IFERROR( (AVERAGE((IF(DATOS_[[Sexo]:[Sexo]]=$B50,IF(DATOS_[[AGRUP. VALOR. PTO.]:[AGRUP. VALOR. PTO.]]=$B48,IF(DATOS_[[Check Periodo Ref.]:[Check Periodo Ref.]]="Dentro",IF(DATOS_[[Check Equiparado]:[Check Equiparado]]="Sí",IF(DATOS!AM$4="Sí",(1/DATOS_[[% anualiz]:[% anualiz]]),1)*IF(DATOS!AM$5="Sí",1/DATOS_[[% normaliz]:[% normaliz]],1)*(DATOS_[Conc.Sal.09])))))))), 0)</f>
        <v>0</v>
      </c>
      <c r="S50" s="302" t="n">
        <f aca="false" t="array" ref="S50:S50">IFERROR( (AVERAGE((IF(DATOS_[[Sexo]:[Sexo]]=$B50,IF(DATOS_[[AGRUP. VALOR. PTO.]:[AGRUP. VALOR. PTO.]]=$B48,IF(DATOS_[[Check Periodo Ref.]:[Check Periodo Ref.]]="Dentro",IF(DATOS_[[Check Equiparado]:[Check Equiparado]]="Sí",IF(DATOS!AN$4="Sí",(1/DATOS_[[% anualiz]:[% anualiz]]),1)*IF(DATOS!AN$5="Sí",1/DATOS_[[% normaliz]:[% normaliz]],1)*(DATOS_[Conc.Sal.10])))))))), 0)</f>
        <v>0</v>
      </c>
      <c r="T50" s="302" t="n">
        <f aca="false" t="array" ref="T50:T50">IFERROR( (AVERAGE((IF(DATOS_[[Sexo]:[Sexo]]=$B50,IF(DATOS_[[AGRUP. VALOR. PTO.]:[AGRUP. VALOR. PTO.]]=$B48,IF(DATOS_[[Check Periodo Ref.]:[Check Periodo Ref.]]="Dentro",IF(DATOS_[[Check Equiparado]:[Check Equiparado]]="Sí",IF(DATOS!AO$4="Sí",(1/DATOS_[[% anualiz]:[% anualiz]]),1)*IF(DATOS!AO$5="Sí",1/DATOS_[[% normaliz]:[% normaliz]],1)*(DATOS_[Conc.Sal.11])))))))), 0)</f>
        <v>0</v>
      </c>
      <c r="U50" s="302" t="n">
        <f aca="false" t="array" ref="U50:U50">IFERROR( (AVERAGE((IF(DATOS_[[Sexo]:[Sexo]]=$B50,IF(DATOS_[[AGRUP. VALOR. PTO.]:[AGRUP. VALOR. PTO.]]=$B48,IF(DATOS_[[Check Periodo Ref.]:[Check Periodo Ref.]]="Dentro",IF(DATOS_[[Check Equiparado]:[Check Equiparado]]="Sí",IF(DATOS!AP$4="Sí",(1/DATOS_[[% anualiz]:[% anualiz]]),1)*IF(DATOS!AP$5="Sí",1/DATOS_[[% normaliz]:[% normaliz]],1)*(DATOS_[Conc.Sal.12])))))))), 0)</f>
        <v>0</v>
      </c>
      <c r="V50" s="302" t="n">
        <f aca="false" t="array" ref="V50:V50">IFERROR( (AVERAGE((IF(DATOS_[[Sexo]:[Sexo]]=$B50,IF(DATOS_[[AGRUP. VALOR. PTO.]:[AGRUP. VALOR. PTO.]]=$B48,IF(DATOS_[[Check Periodo Ref.]:[Check Periodo Ref.]]="Dentro",IF(DATOS_[[Check Equiparado]:[Check Equiparado]]="Sí",IF(DATOS!AQ$4="Sí",(1/DATOS_[[% anualiz]:[% anualiz]]),1)*IF(DATOS!AQ$5="Sí",1/DATOS_[[% normaliz]:[% normaliz]],1)*(DATOS_[Conc.Sal.13])))))))), 0)</f>
        <v>0</v>
      </c>
      <c r="W50" s="302" t="n">
        <f aca="false" t="array" ref="W50:W50">IFERROR( (AVERAGE((IF(DATOS_[[Sexo]:[Sexo]]=$B50,IF(DATOS_[[AGRUP. VALOR. PTO.]:[AGRUP. VALOR. PTO.]]=$B48,IF(DATOS_[[Check Periodo Ref.]:[Check Periodo Ref.]]="Dentro",IF(DATOS_[[Check Equiparado]:[Check Equiparado]]="Sí",IF(DATOS!AR$4="Sí",(1/DATOS_[[% anualiz]:[% anualiz]]),1)*IF(DATOS!AR$5="Sí",1/DATOS_[[% normaliz]:[% normaliz]],1)*(DATOS_[Conc.Sal.14])))))))), 0)</f>
        <v>0</v>
      </c>
      <c r="X50" s="302" t="n">
        <f aca="false" t="array" ref="X50:X50">IFERROR( (AVERAGE((IF(DATOS_[[Sexo]:[Sexo]]=$B50,IF(DATOS_[[AGRUP. VALOR. PTO.]:[AGRUP. VALOR. PTO.]]=$B48,IF(DATOS_[[Check Periodo Ref.]:[Check Periodo Ref.]]="Dentro",IF(DATOS_[[Check Equiparado]:[Check Equiparado]]="Sí",IF(DATOS!AS$4="Sí",(1/DATOS_[[% anualiz]:[% anualiz]]),1)*IF(DATOS!AS$5="Sí",1/DATOS_[[% normaliz]:[% normaliz]],1)*(DATOS_[Conc.Sal.15])))))))), 0)</f>
        <v>0</v>
      </c>
      <c r="Y50" s="302" t="n">
        <f aca="false" t="array" ref="Y50:Y50">IFERROR( (AVERAGE((IF(DATOS_[[Sexo]:[Sexo]]=$B50,IF(DATOS_[[AGRUP. VALOR. PTO.]:[AGRUP. VALOR. PTO.]]=$B48,IF(DATOS_[[Check Periodo Ref.]:[Check Periodo Ref.]]="Dentro",IF(DATOS_[[Check Equiparado]:[Check Equiparado]]="Sí",IF(DATOS!AT$4="Sí",(1/DATOS_[[% anualiz]:[% anualiz]]),1)*IF(DATOS!AT$5="Sí",1/DATOS_[[% normaliz]:[% normaliz]],1)*(DATOS_[Conc.Sal.16])))))))), 0)</f>
        <v>0</v>
      </c>
      <c r="Z50" s="302" t="n">
        <f aca="false" t="array" ref="Z50:Z50">IFERROR( (AVERAGE((IF(DATOS_[[Sexo]:[Sexo]]=$B50,IF(DATOS_[[AGRUP. VALOR. PTO.]:[AGRUP. VALOR. PTO.]]=$B48,IF(DATOS_[[Check Periodo Ref.]:[Check Periodo Ref.]]="Dentro",IF(DATOS_[[Check Equiparado]:[Check Equiparado]]="Sí",IF(DATOS!AU$4="Sí",(1/DATOS_[[% anualiz]:[% anualiz]]),1)*IF(DATOS!AU$5="Sí",1/DATOS_[[% normaliz]:[% normaliz]],1)*(DATOS_[Conc.Sal.17])))))))), 0)</f>
        <v>0</v>
      </c>
      <c r="AA50" s="302" t="n">
        <f aca="false" t="array" ref="AA50:AA50">IFERROR( (AVERAGE((IF(DATOS_[[Sexo]:[Sexo]]=$B50,IF(DATOS_[[AGRUP. VALOR. PTO.]:[AGRUP. VALOR. PTO.]]=$B48,IF(DATOS_[[Check Periodo Ref.]:[Check Periodo Ref.]]="Dentro",IF(DATOS_[[Check Equiparado]:[Check Equiparado]]="Sí",IF(DATOS!AV$4="Sí",(1/DATOS_[[% anualiz]:[% anualiz]]),1)*IF(DATOS!AV$5="Sí",1/DATOS_[[% normaliz]:[% normaliz]],1)*(DATOS_[Conc.Sal.18])))))))), 0)</f>
        <v>0</v>
      </c>
      <c r="AB50" s="302" t="n">
        <f aca="false" t="array" ref="AB50:AB50">IFERROR( (AVERAGE((IF(DATOS_[[Sexo]:[Sexo]]=$B50,IF(DATOS_[[AGRUP. VALOR. PTO.]:[AGRUP. VALOR. PTO.]]=$B48,IF(DATOS_[[Check Periodo Ref.]:[Check Periodo Ref.]]="Dentro",IF(DATOS_[[Check Equiparado]:[Check Equiparado]]="Sí",IF(DATOS!AW$4="Sí",(1/DATOS_[[% anualiz]:[% anualiz]]),1)*IF(DATOS!AW$5="Sí",1/DATOS_[[% normaliz]:[% normaliz]],1)*(DATOS_[Conc.Sal.19])))))))), 0)</f>
        <v>0</v>
      </c>
      <c r="AC50" s="302" t="n">
        <f aca="false" t="array" ref="AC50:AC50">IFERROR( (AVERAGE((IF(DATOS_[[Sexo]:[Sexo]]=$B50,IF(DATOS_[[AGRUP. VALOR. PTO.]:[AGRUP. VALOR. PTO.]]=$B48,IF(DATOS_[[Check Periodo Ref.]:[Check Periodo Ref.]]="Dentro",IF(DATOS_[[Check Equiparado]:[Check Equiparado]]="Sí",IF(DATOS!AX$4="Sí",(1/DATOS_[[% anualiz]:[% anualiz]]),1)*IF(DATOS!AX$5="Sí",1/DATOS_[[% normaliz]:[% normaliz]],1)*(DATOS_[Conc.Sal.20])))))))), 0)</f>
        <v>0</v>
      </c>
      <c r="AD50" s="302" t="n">
        <f aca="false" t="array" ref="AD50:AD50">IFERROR( (AVERAGE((IF(DATOS_[[Sexo]:[Sexo]]=$B50,IF(DATOS_[[AGRUP. VALOR. PTO.]:[AGRUP. VALOR. PTO.]]=$B48,IF(DATOS_[[Check Periodo Ref.]:[Check Periodo Ref.]]="Dentro",IF(DATOS_[[Check Equiparado]:[Check Equiparado]]="Sí",IF(DATOS!AY$4="Sí",(1/DATOS_[[% anualiz]:[% anualiz]]),1)*IF(DATOS!AY$5="Sí",1/DATOS_[[% normaliz]:[% normaliz]],1)*(DATOS_[Conc.Sal.21])))))))), 0)</f>
        <v>0</v>
      </c>
      <c r="AE50" s="302" t="n">
        <f aca="false" t="array" ref="AE50:AE50">IFERROR( (AVERAGE((IF(DATOS_[[Sexo]:[Sexo]]=$B50,IF(DATOS_[[AGRUP. VALOR. PTO.]:[AGRUP. VALOR. PTO.]]=$B48,IF(DATOS_[[Check Periodo Ref.]:[Check Periodo Ref.]]="Dentro",IF(DATOS_[[Check Equiparado]:[Check Equiparado]]="Sí",IF(DATOS!AZ$4="Sí",(1/DATOS_[[% anualiz]:[% anualiz]]),1)*IF(DATOS!AZ$5="Sí",1/DATOS_[[% normaliz]:[% normaliz]],1)*(DATOS_[Conc.Sal.22])))))))), 0)</f>
        <v>0</v>
      </c>
      <c r="AF50" s="302" t="n">
        <f aca="false" t="array" ref="AF50:AF50">IFERROR( (AVERAGE((IF(DATOS_[[Sexo]:[Sexo]]=$B50,IF(DATOS_[[AGRUP. VALOR. PTO.]:[AGRUP. VALOR. PTO.]]=$B48,IF(DATOS_[[Check Periodo Ref.]:[Check Periodo Ref.]]="Dentro",IF(DATOS_[[Check Equiparado]:[Check Equiparado]]="Sí",IF(DATOS!BA$4="Sí",(1/DATOS_[[% anualiz]:[% anualiz]]),1)*IF(DATOS!BA$5="Sí",1/DATOS_[[% normaliz]:[% normaliz]],1)*(DATOS_[Conc.Sal.23])))))))), 0)</f>
        <v>0</v>
      </c>
      <c r="AG50" s="302" t="n">
        <f aca="false" t="array" ref="AG50:AG50">IFERROR( (AVERAGE((IF(DATOS_[[Sexo]:[Sexo]]=$B50,IF(DATOS_[[AGRUP. VALOR. PTO.]:[AGRUP. VALOR. PTO.]]=$B48,IF(DATOS_[[Check Periodo Ref.]:[Check Periodo Ref.]]="Dentro",IF(DATOS_[[Check Equiparado]:[Check Equiparado]]="Sí",IF(DATOS!BB$4="Sí",(1/DATOS_[[% anualiz]:[% anualiz]]),1)*IF(DATOS!BB$5="Sí",1/DATOS_[[% normaliz]:[% normaliz]],1)*(DATOS_[Conc.Sal.24])))))))), 0)</f>
        <v>0</v>
      </c>
      <c r="AH50" s="302" t="n">
        <f aca="false" t="array" ref="AH50:AH50">IFERROR( (AVERAGE((IF(DATOS_[[Sexo]:[Sexo]]=$B50,IF(DATOS_[[AGRUP. VALOR. PTO.]:[AGRUP. VALOR. PTO.]]=$B48,IF(DATOS_[[Check Periodo Ref.]:[Check Periodo Ref.]]="Dentro",IF(DATOS_[[Check Equiparado]:[Check Equiparado]]="Sí",IF(DATOS!BC$4="Sí",(1/DATOS_[[% anualiz]:[% anualiz]]),1)*IF(DATOS!BC$5="Sí",1/DATOS_[[% normaliz]:[% normaliz]],1)*(DATOS_[Conc.Sal.25])))))))), 0)</f>
        <v>0</v>
      </c>
      <c r="AI50" s="302" t="n">
        <f aca="false" t="array" ref="AI50:AI50">IFERROR( (AVERAGE((IF(DATOS_[[Sexo]:[Sexo]]=$B50,IF(DATOS_[[AGRUP. VALOR. PTO.]:[AGRUP. VALOR. PTO.]]=$B48,IF(DATOS_[[Check Periodo Ref.]:[Check Periodo Ref.]]="Dentro",IF(DATOS_[[Check Equiparado]:[Check Equiparado]]="Sí",IF(DATOS!BD$4="Sí",(1/DATOS_[[% anualiz]:[% anualiz]]),1)*IF(DATOS!BD$5="Sí",1/DATOS_[[% normaliz]:[% normaliz]],1)*(DATOS_[Conc.Sal.26])))))))), 0)</f>
        <v>0</v>
      </c>
      <c r="AJ50" s="302" t="n">
        <f aca="false" t="array" ref="AJ50:AJ50">IFERROR( (AVERAGE((IF(DATOS_[[Sexo]:[Sexo]]=$B50,IF(DATOS_[[AGRUP. VALOR. PTO.]:[AGRUP. VALOR. PTO.]]=$B48,IF(DATOS_[[Check Periodo Ref.]:[Check Periodo Ref.]]="Dentro",IF(DATOS_[[Check Equiparado]:[Check Equiparado]]="Sí",IF(DATOS!BE$4="Sí",(1/DATOS_[[% anualiz]:[% anualiz]]),1)*IF(DATOS!BE$5="Sí",1/DATOS_[[% normaliz]:[% normaliz]],1)*(DATOS_[Conc.Sal.27])))))))), 0)</f>
        <v>0</v>
      </c>
      <c r="AK50" s="302" t="n">
        <f aca="false" t="array" ref="AK50:AK50">IFERROR( (AVERAGE((IF(DATOS_[[Sexo]:[Sexo]]=$B50,IF(DATOS_[[AGRUP. VALOR. PTO.]:[AGRUP. VALOR. PTO.]]=$B48,IF(DATOS_[[Check Periodo Ref.]:[Check Periodo Ref.]]="Dentro",IF(DATOS_[[Check Equiparado]:[Check Equiparado]]="Sí",IF(DATOS!BF$4="Sí",(1/DATOS_[[% anualiz]:[% anualiz]]),1)*IF(DATOS!BF$5="Sí",1/DATOS_[[% normaliz]:[% normaliz]],1)*(DATOS_[Conc.Sal.28])))))))), 0)</f>
        <v>0</v>
      </c>
      <c r="AL50" s="302" t="n">
        <f aca="false" t="array" ref="AL50:AL50">IFERROR( (AVERAGE((IF(DATOS_[[Sexo]:[Sexo]]=$B50,IF(DATOS_[[AGRUP. VALOR. PTO.]:[AGRUP. VALOR. PTO.]]=$B48,IF(DATOS_[[Check Periodo Ref.]:[Check Periodo Ref.]]="Dentro",IF(DATOS_[[Check Equiparado]:[Check Equiparado]]="Sí",IF(DATOS!BG$4="Sí",(1/DATOS_[[% anualiz]:[% anualiz]]),1)*IF(DATOS!BG$5="Sí",1/DATOS_[[% normaliz]:[% normaliz]],1)*(DATOS_[Conc.Sal.29])))))))), 0)</f>
        <v>0</v>
      </c>
      <c r="AM50" s="302" t="n">
        <f aca="false" t="array" ref="AM50:AM50">IFERROR( (AVERAGE((IF(DATOS_[[Sexo]:[Sexo]]=$B50,IF(DATOS_[[AGRUP. VALOR. PTO.]:[AGRUP. VALOR. PTO.]]=$B48,IF(DATOS_[[Check Periodo Ref.]:[Check Periodo Ref.]]="Dentro",IF(DATOS_[[Check Equiparado]:[Check Equiparado]]="Sí",IF(DATOS!BH$4="Sí",(1/DATOS_[[% anualiz]:[% anualiz]]),1)*IF(DATOS!BH$5="Sí",1/DATOS_[[% normaliz]:[% normaliz]],1)*(DATOS_[Conc.Sal.30])))))))), 0)</f>
        <v>0</v>
      </c>
      <c r="AN50" s="294" t="n">
        <f aca="false" t="array" ref="AN50:AN50">IFERROR( AVERAGE(IF(DATOS_[Sexo]=$B50,IF(DATOS_[[AGRUP. VALOR. PTO.]:[AGRUP. VALOR. PTO.]]=$B48,IF(DATOS_[Check Equiparado]="Sí",IF(DATOS_[Check Periodo Ref.]="Dentro",DATOS_[Tot COMPL.SAL Eq],0))))), 0)</f>
        <v>0</v>
      </c>
      <c r="AO50" s="295" t="n">
        <f aca="false" t="array" ref="AO50:AO50">IFERROR( AVERAGE(IF(DATOS_[Sexo]=$B50,IF(DATOS_[[AGRUP. VALOR. PTO.]:[AGRUP. VALOR. PTO.]]=$B48,IF(DATOS_[Check Equiparado]="Sí",IF(DATOS_[Check Periodo Ref.]="Dentro",DATOS_[TOTAL SALARIO Eq],0))))), 0)</f>
        <v>0</v>
      </c>
      <c r="AP50" s="303" t="n">
        <f aca="false" t="array" ref="AP50:AP50">IFERROR( (AVERAGE((IF(DATOS_[[Sexo]:[Sexo]]=$B50,IF(DATOS_[[AGRUP. VALOR. PTO.]:[AGRUP. VALOR. PTO.]]=$B49,IF(DATOS_[[Check Periodo Ref.]:[Check Periodo Ref.]]="Dentro",IF(DATOS_[[Check Equiparado]:[Check Equiparado]]="Sí",IF(DATOS!BI$4="Sí",(1/DATOS_[[% anualiz]:[% anualiz]]),1)*IF(DATOS!BI$5="Sí",1/DATOS_[[% normaliz]:[% normaliz]],1)*(DATOS_[C.Extra.01])))))))), 0)</f>
        <v>0</v>
      </c>
      <c r="AQ50" s="303" t="n">
        <f aca="false" t="array" ref="AQ50:AQ50">IFERROR( (AVERAGE((IF(DATOS_[[Sexo]:[Sexo]]=$B50,IF(DATOS_[[AGRUP. VALOR. PTO.]:[AGRUP. VALOR. PTO.]]=$B49,IF(DATOS_[[Check Periodo Ref.]:[Check Periodo Ref.]]="Dentro",IF(DATOS_[[Check Equiparado]:[Check Equiparado]]="Sí",IF(DATOS!BJ$4="Sí",(1/DATOS_[[% anualiz]:[% anualiz]]),1)*IF(DATOS!BJ$5="Sí",1/DATOS_[[% normaliz]:[% normaliz]],1)*(DATOS_[C.Extra.02])))))))), 0)</f>
        <v>0</v>
      </c>
      <c r="AR50" s="303" t="n">
        <f aca="false" t="array" ref="AR50:AR50">IFERROR( (AVERAGE((IF(DATOS_[[Sexo]:[Sexo]]=$B50,IF(DATOS_[[AGRUP. VALOR. PTO.]:[AGRUP. VALOR. PTO.]]=$B49,IF(DATOS_[[Check Periodo Ref.]:[Check Periodo Ref.]]="Dentro",IF(DATOS_[[Check Equiparado]:[Check Equiparado]]="Sí",IF(DATOS!BK$4="Sí",(1/DATOS_[[% anualiz]:[% anualiz]]),1)*IF(DATOS!BK$5="Sí",1/DATOS_[[% normaliz]:[% normaliz]],1)*(DATOS_[C.Extra.03])))))))), 0)</f>
        <v>0</v>
      </c>
      <c r="AS50" s="303" t="n">
        <f aca="false" t="array" ref="AS50:AS50">IFERROR( (AVERAGE((IF(DATOS_[[Sexo]:[Sexo]]=$B50,IF(DATOS_[[AGRUP. VALOR. PTO.]:[AGRUP. VALOR. PTO.]]=$B49,IF(DATOS_[[Check Periodo Ref.]:[Check Periodo Ref.]]="Dentro",IF(DATOS_[[Check Equiparado]:[Check Equiparado]]="Sí",IF(DATOS!BL$4="Sí",(1/DATOS_[[% anualiz]:[% anualiz]]),1)*IF(DATOS!BL$5="Sí",1/DATOS_[[% normaliz]:[% normaliz]],1)*(DATOS_[C.Extra.04])))))))), 0)</f>
        <v>0</v>
      </c>
      <c r="AT50" s="303" t="n">
        <f aca="false" t="array" ref="AT50:AT50">IFERROR( (AVERAGE((IF(DATOS_[[Sexo]:[Sexo]]=$B50,IF(DATOS_[[AGRUP. VALOR. PTO.]:[AGRUP. VALOR. PTO.]]=$B49,IF(DATOS_[[Check Periodo Ref.]:[Check Periodo Ref.]]="Dentro",IF(DATOS_[[Check Equiparado]:[Check Equiparado]]="Sí",IF(DATOS!BM$4="Sí",(1/DATOS_[[% anualiz]:[% anualiz]]),1)*IF(DATOS!BM$5="Sí",1/DATOS_[[% normaliz]:[% normaliz]],1)*(DATOS_[C.Extra.05])))))))), 0)</f>
        <v>0</v>
      </c>
      <c r="AU50" s="297" t="n">
        <f aca="false" t="array" ref="AU50:AU50">IFERROR( AVERAGE(IF(DATOS_[Sexo]=$B50,IF(DATOS_[[AGRUP. VALOR. PTO.]:[AGRUP. VALOR. PTO.]]=$B48,IF(DATOS_[Check Equiparado]="Sí",IF(DATOS_[Check Periodo Ref.]="Dentro",DATOS_[Tot Extrasalarial Eq],0))))), 0)</f>
        <v>0</v>
      </c>
      <c r="AV50" s="298" t="n">
        <f aca="false" t="array" ref="AV50:AV50">IFERROR( AVERAGE(IF(DATOS_[Sexo]=$B50,IF(DATOS_[[AGRUP. VALOR. PTO.]:[AGRUP. VALOR. PTO.]]=$B48,IF(DATOS_[Check Equiparado]="Sí",IF(DATOS_[Check Periodo Ref.]="Dentro",DATOS_[TOTAL Retrib Eq],0))))), 0)</f>
        <v>0</v>
      </c>
    </row>
    <row r="51" customFormat="false" ht="15.75" hidden="false" customHeight="false" outlineLevel="0" collapsed="false">
      <c r="A51" s="166" t="str">
        <f aca="false">+A52</f>
        <v>[ocultar]</v>
      </c>
      <c r="B51" s="276" t="s">
        <v>205</v>
      </c>
      <c r="C51" s="277"/>
      <c r="D51" s="278"/>
      <c r="E51" s="278"/>
      <c r="F51" s="278"/>
      <c r="G51" s="278"/>
      <c r="H51" s="278"/>
      <c r="I51" s="279" t="str">
        <f aca="false">IFERROR((I52-I53)/I52,"")</f>
        <v/>
      </c>
      <c r="J51" s="280" t="str">
        <f aca="false">IFERROR((J52-J53)/J52,"")</f>
        <v/>
      </c>
      <c r="K51" s="281" t="str">
        <f aca="false">IFERROR((K52-K53)/K52,"")</f>
        <v/>
      </c>
      <c r="L51" s="281" t="str">
        <f aca="false">IFERROR((L52-L53)/L52,"")</f>
        <v/>
      </c>
      <c r="M51" s="281" t="str">
        <f aca="false">IFERROR((M52-M53)/M52,"")</f>
        <v/>
      </c>
      <c r="N51" s="282" t="str">
        <f aca="false">IFERROR((N52-N53)/N52,"")</f>
        <v/>
      </c>
      <c r="O51" s="283" t="str">
        <f aca="false">IFERROR((O52-O53)/O52,"")</f>
        <v/>
      </c>
      <c r="P51" s="283" t="str">
        <f aca="false">IFERROR((P52-P53)/P52,"")</f>
        <v/>
      </c>
      <c r="Q51" s="283" t="str">
        <f aca="false">IFERROR((Q52-Q53)/Q52,"")</f>
        <v/>
      </c>
      <c r="R51" s="283" t="str">
        <f aca="false">IFERROR((R52-R53)/R52,"")</f>
        <v/>
      </c>
      <c r="S51" s="283" t="str">
        <f aca="false">IFERROR((S52-S53)/S52,"")</f>
        <v/>
      </c>
      <c r="T51" s="283" t="str">
        <f aca="false">IFERROR((T52-T53)/T52,"")</f>
        <v/>
      </c>
      <c r="U51" s="283" t="str">
        <f aca="false">IFERROR((U52-U53)/U52,"")</f>
        <v/>
      </c>
      <c r="V51" s="283" t="str">
        <f aca="false">IFERROR((V52-V53)/V52,"")</f>
        <v/>
      </c>
      <c r="W51" s="283" t="str">
        <f aca="false">IFERROR((W52-W53)/W52,"")</f>
        <v/>
      </c>
      <c r="X51" s="283" t="str">
        <f aca="false">IFERROR((X52-X53)/X52,"")</f>
        <v/>
      </c>
      <c r="Y51" s="283" t="str">
        <f aca="false">IFERROR((Y52-Y53)/Y52,"")</f>
        <v/>
      </c>
      <c r="Z51" s="282" t="str">
        <f aca="false">IFERROR((Z52-Z53)/Z52,"")</f>
        <v/>
      </c>
      <c r="AA51" s="282" t="str">
        <f aca="false">IFERROR((AA52-AA53)/AA52,"")</f>
        <v/>
      </c>
      <c r="AB51" s="282" t="str">
        <f aca="false">IFERROR((AB52-AB53)/AB52,"")</f>
        <v/>
      </c>
      <c r="AC51" s="282" t="str">
        <f aca="false">IFERROR((AC52-AC53)/AC52,"")</f>
        <v/>
      </c>
      <c r="AD51" s="282" t="str">
        <f aca="false">IFERROR((AD52-AD53)/AD52,"")</f>
        <v/>
      </c>
      <c r="AE51" s="282" t="str">
        <f aca="false">IFERROR((AE52-AE53)/AE52,"")</f>
        <v/>
      </c>
      <c r="AF51" s="282" t="str">
        <f aca="false">IFERROR((AF52-AF53)/AF52,"")</f>
        <v/>
      </c>
      <c r="AG51" s="282" t="str">
        <f aca="false">IFERROR((AG52-AG53)/AG52,"")</f>
        <v/>
      </c>
      <c r="AH51" s="282" t="str">
        <f aca="false">IFERROR((AH52-AH53)/AH52,"")</f>
        <v/>
      </c>
      <c r="AI51" s="282" t="str">
        <f aca="false">IFERROR((AI52-AI53)/AI52,"")</f>
        <v/>
      </c>
      <c r="AJ51" s="282" t="str">
        <f aca="false">IFERROR((AJ52-AJ53)/AJ52,"")</f>
        <v/>
      </c>
      <c r="AK51" s="282" t="str">
        <f aca="false">IFERROR((AK52-AK53)/AK52,"")</f>
        <v/>
      </c>
      <c r="AL51" s="282" t="str">
        <f aca="false">IFERROR((AL52-AL53)/AL52,"")</f>
        <v/>
      </c>
      <c r="AM51" s="282" t="str">
        <f aca="false">IFERROR((AM52-AM53)/AM52,"")</f>
        <v/>
      </c>
      <c r="AN51" s="284" t="str">
        <f aca="false">IFERROR((AN52-AN53)/AN52,"")</f>
        <v/>
      </c>
      <c r="AO51" s="285" t="str">
        <f aca="false">IFERROR((AO52-AO53)/AO52,"")</f>
        <v/>
      </c>
      <c r="AP51" s="286" t="str">
        <f aca="false">IFERROR((AP52-AP53)/AP52,"")</f>
        <v/>
      </c>
      <c r="AQ51" s="286" t="str">
        <f aca="false">IFERROR((AQ52-AQ53)/AQ52,"")</f>
        <v/>
      </c>
      <c r="AR51" s="286" t="str">
        <f aca="false">IFERROR((AR52-AR53)/AR52,"")</f>
        <v/>
      </c>
      <c r="AS51" s="286" t="str">
        <f aca="false">IFERROR((AS52-AS53)/AS52,"")</f>
        <v/>
      </c>
      <c r="AT51" s="286" t="str">
        <f aca="false">IFERROR((AT52-AT53)/AT52,"")</f>
        <v/>
      </c>
      <c r="AU51" s="287" t="str">
        <f aca="false">IFERROR((AU52-AU53)/AU52,"")</f>
        <v/>
      </c>
      <c r="AV51" s="288" t="str">
        <f aca="false">IFERROR((AV52-AV53)/AV52,"")</f>
        <v/>
      </c>
    </row>
    <row r="52" customFormat="false" ht="14.25" hidden="false" customHeight="false" outlineLevel="0" collapsed="false">
      <c r="A52" s="166" t="str">
        <f aca="false">+IF(C52+C53=0,"[ocultar]","")</f>
        <v>[ocultar]</v>
      </c>
      <c r="B52" s="289" t="s">
        <v>371</v>
      </c>
      <c r="C52" s="290" t="n">
        <f aca="false" t="array" ref="C52:C52">SUM(IF($B52=DATOS_[Sexo], IF($B51=DATOS_[AGRUP. VALOR. PTO.], IF("Dentro"=DATOS_[Check Periodo Ref.], 1/(COUNTIFS(DATOS_[Sexo],$B52,DATOS_[AGRUP. VALOR. PTO.],$B51,DATOS_[Check Periodo Ref.],"Dentro",DATOS_[id],DATOS_[id]))))))</f>
        <v>0</v>
      </c>
      <c r="D52" s="291" t="n">
        <f aca="false">COUNTIFS(DATOS_[AGRUP. VALOR. PTO.],$B51,DATOS_[Sexo],$B52,DATOS_[Check Periodo Ref.],"Dentro")</f>
        <v>0</v>
      </c>
      <c r="E52" s="291" t="n">
        <f aca="false">COUNTIFS(DATOS_[AGRUP. VALOR. PTO.],$B51,DATOS_[Sexo],$B52,DATOS_[Check Periodo Ref.],"Dentro",DATOS_[Check Nº SC Norm],"Sí")</f>
        <v>0</v>
      </c>
      <c r="F52" s="291" t="n">
        <f aca="false">COUNTIFS(DATOS_[AGRUP. VALOR. PTO.],$B51,DATOS_[Sexo],$B52,DATOS_[Check Periodo Ref.],"Dentro",DATOS_[Check Nº SC Anualiz],"Sí")</f>
        <v>0</v>
      </c>
      <c r="G52" s="291" t="n">
        <f aca="false">COUNTIFS(DATOS_[AGRUP. VALOR. PTO.],$B51,DATOS_[Sexo],$B52,DATOS_[Check Periodo Ref.],"Dentro",DATOS_[Check Nº SC Norm y Anualiz],"Sí")</f>
        <v>0</v>
      </c>
      <c r="H52" s="291" t="n">
        <f aca="false">COUNTIFS(DATOS_[AGRUP. VALOR. PTO.],$B51,DATOS_[Sexo],$B52,DATOS_[Check Periodo Ref.],"Dentro",DATOS_[Check Equiparación],"Sí")</f>
        <v>0</v>
      </c>
      <c r="I52" s="292" t="n">
        <f aca="false" t="array" ref="I52:I52">IFERROR( AVERAGE(IF(DATOS_[Sexo]=$B52,IF(DATOS_[[AGRUP. VALOR. PTO.]:[AGRUP. VALOR. PTO.]]=$B51,IF(DATOS_[Check Equiparado]="Sí",IF(DATOS_[Check Periodo Ref.]="Dentro",DATOS_[SALARIO BASE Eq],0))))), 0)</f>
        <v>0</v>
      </c>
      <c r="J52" s="302" t="n">
        <f aca="false" t="array" ref="J52:J52">IFERROR( (AVERAGE((IF(DATOS_[[Sexo]:[Sexo]]=$B52,IF(DATOS_[[AGRUP. VALOR. PTO.]:[AGRUP. VALOR. PTO.]]=$B51,IF(DATOS_[[Check Periodo Ref.]:[Check Periodo Ref.]]="Dentro",IF(DATOS_[[Check Equiparado]:[Check Equiparado]]="Sí",IF(DATOS!AE$4="Sí",(1/DATOS_[[% anualiz]:[% anualiz]]),1)*IF(DATOS!AE$5="Sí",1/DATOS_[[% normaliz]:[% normaliz]],1)*(DATOS_[Conc.Sal.01])))))))), 0)</f>
        <v>0</v>
      </c>
      <c r="K52" s="302" t="n">
        <f aca="false" t="array" ref="K52:K52">IFERROR( (AVERAGE((IF(DATOS_[[Sexo]:[Sexo]]=$B52,IF(DATOS_[[AGRUP. VALOR. PTO.]:[AGRUP. VALOR. PTO.]]=$B51,IF(DATOS_[[Check Periodo Ref.]:[Check Periodo Ref.]]="Dentro",IF(DATOS_[[Check Equiparado]:[Check Equiparado]]="Sí",IF(DATOS!AF$4="Sí",(1/DATOS_[[% anualiz]:[% anualiz]]),1)*IF(DATOS!AF$5="Sí",1/DATOS_[[% normaliz]:[% normaliz]],1)*(DATOS_[Conc.Sal.02])))))))), 0)</f>
        <v>0</v>
      </c>
      <c r="L52" s="302" t="n">
        <f aca="false" t="array" ref="L52:L52">IFERROR( (AVERAGE((IF(DATOS_[[Sexo]:[Sexo]]=$B52,IF(DATOS_[[AGRUP. VALOR. PTO.]:[AGRUP. VALOR. PTO.]]=$B51,IF(DATOS_[[Check Periodo Ref.]:[Check Periodo Ref.]]="Dentro",IF(DATOS_[[Check Equiparado]:[Check Equiparado]]="Sí",IF(DATOS!AG$4="Sí",(1/DATOS_[[% anualiz]:[% anualiz]]),1)*IF(DATOS!AG$5="Sí",1/DATOS_[[% normaliz]:[% normaliz]],1)*(DATOS_[Conc.Sal.03])))))))), 0)</f>
        <v>0</v>
      </c>
      <c r="M52" s="302" t="n">
        <f aca="false" t="array" ref="M52:M52">IFERROR( (AVERAGE((IF(DATOS_[[Sexo]:[Sexo]]=$B52,IF(DATOS_[[AGRUP. VALOR. PTO.]:[AGRUP. VALOR. PTO.]]=$B51,IF(DATOS_[[Check Periodo Ref.]:[Check Periodo Ref.]]="Dentro",IF(DATOS_[[Check Equiparado]:[Check Equiparado]]="Sí",IF(DATOS!AH$4="Sí",(1/DATOS_[[% anualiz]:[% anualiz]]),1)*IF(DATOS!AH$5="Sí",1/DATOS_[[% normaliz]:[% normaliz]],1)*(DATOS_[Conc.Sal.04])))))))), 0)</f>
        <v>0</v>
      </c>
      <c r="N52" s="302" t="n">
        <f aca="false" t="array" ref="N52:N52">IFERROR( (AVERAGE((IF(DATOS_[[Sexo]:[Sexo]]=$B52,IF(DATOS_[[AGRUP. VALOR. PTO.]:[AGRUP. VALOR. PTO.]]=$B51,IF(DATOS_[[Check Periodo Ref.]:[Check Periodo Ref.]]="Dentro",IF(DATOS_[[Check Equiparado]:[Check Equiparado]]="Sí",IF(DATOS!AI$4="Sí",(1/DATOS_[[% anualiz]:[% anualiz]]),1)*IF(DATOS!AI$5="Sí",1/DATOS_[[% normaliz]:[% normaliz]],1)*(DATOS_[Conc.Sal.05])))))))), 0)</f>
        <v>0</v>
      </c>
      <c r="O52" s="302" t="n">
        <f aca="false" t="array" ref="O52:O52">IFERROR( (AVERAGE((IF(DATOS_[[Sexo]:[Sexo]]=$B52,IF(DATOS_[[AGRUP. VALOR. PTO.]:[AGRUP. VALOR. PTO.]]=$B51,IF(DATOS_[[Check Periodo Ref.]:[Check Periodo Ref.]]="Dentro",IF(DATOS_[[Check Equiparado]:[Check Equiparado]]="Sí",IF(DATOS!AJ$4="Sí",(1/DATOS_[[% anualiz]:[% anualiz]]),1)*IF(DATOS!AJ$5="Sí",1/DATOS_[[% normaliz]:[% normaliz]],1)*(DATOS_[Conc.Sal.06])))))))), 0)</f>
        <v>0</v>
      </c>
      <c r="P52" s="302" t="n">
        <f aca="false" t="array" ref="P52:P52">IFERROR( (AVERAGE((IF(DATOS_[[Sexo]:[Sexo]]=$B52,IF(DATOS_[[AGRUP. VALOR. PTO.]:[AGRUP. VALOR. PTO.]]=$B51,IF(DATOS_[[Check Periodo Ref.]:[Check Periodo Ref.]]="Dentro",IF(DATOS_[[Check Equiparado]:[Check Equiparado]]="Sí",IF(DATOS!AK$4="Sí",(1/DATOS_[[% anualiz]:[% anualiz]]),1)*IF(DATOS!AK$5="Sí",1/DATOS_[[% normaliz]:[% normaliz]],1)*(DATOS_[Conc.Sal.07])))))))), 0)</f>
        <v>0</v>
      </c>
      <c r="Q52" s="302" t="n">
        <f aca="false" t="array" ref="Q52:Q52">IFERROR( (AVERAGE((IF(DATOS_[[Sexo]:[Sexo]]=$B52,IF(DATOS_[[AGRUP. VALOR. PTO.]:[AGRUP. VALOR. PTO.]]=$B51,IF(DATOS_[[Check Periodo Ref.]:[Check Periodo Ref.]]="Dentro",IF(DATOS_[[Check Equiparado]:[Check Equiparado]]="Sí",IF(DATOS!AL$4="Sí",(1/DATOS_[[% anualiz]:[% anualiz]]),1)*IF(DATOS!AL$5="Sí",1/DATOS_[[% normaliz]:[% normaliz]],1)*(DATOS_[Conc.Sal.08])))))))), 0)</f>
        <v>0</v>
      </c>
      <c r="R52" s="302" t="n">
        <f aca="false" t="array" ref="R52:R52">IFERROR( (AVERAGE((IF(DATOS_[[Sexo]:[Sexo]]=$B52,IF(DATOS_[[AGRUP. VALOR. PTO.]:[AGRUP. VALOR. PTO.]]=$B51,IF(DATOS_[[Check Periodo Ref.]:[Check Periodo Ref.]]="Dentro",IF(DATOS_[[Check Equiparado]:[Check Equiparado]]="Sí",IF(DATOS!AM$4="Sí",(1/DATOS_[[% anualiz]:[% anualiz]]),1)*IF(DATOS!AM$5="Sí",1/DATOS_[[% normaliz]:[% normaliz]],1)*(DATOS_[Conc.Sal.09])))))))), 0)</f>
        <v>0</v>
      </c>
      <c r="S52" s="302" t="n">
        <f aca="false" t="array" ref="S52:S52">IFERROR( (AVERAGE((IF(DATOS_[[Sexo]:[Sexo]]=$B52,IF(DATOS_[[AGRUP. VALOR. PTO.]:[AGRUP. VALOR. PTO.]]=$B51,IF(DATOS_[[Check Periodo Ref.]:[Check Periodo Ref.]]="Dentro",IF(DATOS_[[Check Equiparado]:[Check Equiparado]]="Sí",IF(DATOS!AN$4="Sí",(1/DATOS_[[% anualiz]:[% anualiz]]),1)*IF(DATOS!AN$5="Sí",1/DATOS_[[% normaliz]:[% normaliz]],1)*(DATOS_[Conc.Sal.10])))))))), 0)</f>
        <v>0</v>
      </c>
      <c r="T52" s="302" t="n">
        <f aca="false" t="array" ref="T52:T52">IFERROR( (AVERAGE((IF(DATOS_[[Sexo]:[Sexo]]=$B52,IF(DATOS_[[AGRUP. VALOR. PTO.]:[AGRUP. VALOR. PTO.]]=$B51,IF(DATOS_[[Check Periodo Ref.]:[Check Periodo Ref.]]="Dentro",IF(DATOS_[[Check Equiparado]:[Check Equiparado]]="Sí",IF(DATOS!AO$4="Sí",(1/DATOS_[[% anualiz]:[% anualiz]]),1)*IF(DATOS!AO$5="Sí",1/DATOS_[[% normaliz]:[% normaliz]],1)*(DATOS_[Conc.Sal.11])))))))), 0)</f>
        <v>0</v>
      </c>
      <c r="U52" s="302" t="n">
        <f aca="false" t="array" ref="U52:U52">IFERROR( (AVERAGE((IF(DATOS_[[Sexo]:[Sexo]]=$B52,IF(DATOS_[[AGRUP. VALOR. PTO.]:[AGRUP. VALOR. PTO.]]=$B51,IF(DATOS_[[Check Periodo Ref.]:[Check Periodo Ref.]]="Dentro",IF(DATOS_[[Check Equiparado]:[Check Equiparado]]="Sí",IF(DATOS!AP$4="Sí",(1/DATOS_[[% anualiz]:[% anualiz]]),1)*IF(DATOS!AP$5="Sí",1/DATOS_[[% normaliz]:[% normaliz]],1)*(DATOS_[Conc.Sal.12])))))))), 0)</f>
        <v>0</v>
      </c>
      <c r="V52" s="302" t="n">
        <f aca="false" t="array" ref="V52:V52">IFERROR( (AVERAGE((IF(DATOS_[[Sexo]:[Sexo]]=$B52,IF(DATOS_[[AGRUP. VALOR. PTO.]:[AGRUP. VALOR. PTO.]]=$B51,IF(DATOS_[[Check Periodo Ref.]:[Check Periodo Ref.]]="Dentro",IF(DATOS_[[Check Equiparado]:[Check Equiparado]]="Sí",IF(DATOS!AQ$4="Sí",(1/DATOS_[[% anualiz]:[% anualiz]]),1)*IF(DATOS!AQ$5="Sí",1/DATOS_[[% normaliz]:[% normaliz]],1)*(DATOS_[Conc.Sal.13])))))))), 0)</f>
        <v>0</v>
      </c>
      <c r="W52" s="302" t="n">
        <f aca="false" t="array" ref="W52:W52">IFERROR( (AVERAGE((IF(DATOS_[[Sexo]:[Sexo]]=$B52,IF(DATOS_[[AGRUP. VALOR. PTO.]:[AGRUP. VALOR. PTO.]]=$B51,IF(DATOS_[[Check Periodo Ref.]:[Check Periodo Ref.]]="Dentro",IF(DATOS_[[Check Equiparado]:[Check Equiparado]]="Sí",IF(DATOS!AR$4="Sí",(1/DATOS_[[% anualiz]:[% anualiz]]),1)*IF(DATOS!AR$5="Sí",1/DATOS_[[% normaliz]:[% normaliz]],1)*(DATOS_[Conc.Sal.14])))))))), 0)</f>
        <v>0</v>
      </c>
      <c r="X52" s="302" t="n">
        <f aca="false" t="array" ref="X52:X52">IFERROR( (AVERAGE((IF(DATOS_[[Sexo]:[Sexo]]=$B52,IF(DATOS_[[AGRUP. VALOR. PTO.]:[AGRUP. VALOR. PTO.]]=$B51,IF(DATOS_[[Check Periodo Ref.]:[Check Periodo Ref.]]="Dentro",IF(DATOS_[[Check Equiparado]:[Check Equiparado]]="Sí",IF(DATOS!AS$4="Sí",(1/DATOS_[[% anualiz]:[% anualiz]]),1)*IF(DATOS!AS$5="Sí",1/DATOS_[[% normaliz]:[% normaliz]],1)*(DATOS_[Conc.Sal.15])))))))), 0)</f>
        <v>0</v>
      </c>
      <c r="Y52" s="302" t="n">
        <f aca="false" t="array" ref="Y52:Y52">IFERROR( (AVERAGE((IF(DATOS_[[Sexo]:[Sexo]]=$B52,IF(DATOS_[[AGRUP. VALOR. PTO.]:[AGRUP. VALOR. PTO.]]=$B51,IF(DATOS_[[Check Periodo Ref.]:[Check Periodo Ref.]]="Dentro",IF(DATOS_[[Check Equiparado]:[Check Equiparado]]="Sí",IF(DATOS!AT$4="Sí",(1/DATOS_[[% anualiz]:[% anualiz]]),1)*IF(DATOS!AT$5="Sí",1/DATOS_[[% normaliz]:[% normaliz]],1)*(DATOS_[Conc.Sal.16])))))))), 0)</f>
        <v>0</v>
      </c>
      <c r="Z52" s="302" t="n">
        <f aca="false" t="array" ref="Z52:Z52">IFERROR( (AVERAGE((IF(DATOS_[[Sexo]:[Sexo]]=$B52,IF(DATOS_[[AGRUP. VALOR. PTO.]:[AGRUP. VALOR. PTO.]]=$B51,IF(DATOS_[[Check Periodo Ref.]:[Check Periodo Ref.]]="Dentro",IF(DATOS_[[Check Equiparado]:[Check Equiparado]]="Sí",IF(DATOS!AU$4="Sí",(1/DATOS_[[% anualiz]:[% anualiz]]),1)*IF(DATOS!AU$5="Sí",1/DATOS_[[% normaliz]:[% normaliz]],1)*(DATOS_[Conc.Sal.17])))))))), 0)</f>
        <v>0</v>
      </c>
      <c r="AA52" s="302" t="n">
        <f aca="false" t="array" ref="AA52:AA52">IFERROR( (AVERAGE((IF(DATOS_[[Sexo]:[Sexo]]=$B52,IF(DATOS_[[AGRUP. VALOR. PTO.]:[AGRUP. VALOR. PTO.]]=$B51,IF(DATOS_[[Check Periodo Ref.]:[Check Periodo Ref.]]="Dentro",IF(DATOS_[[Check Equiparado]:[Check Equiparado]]="Sí",IF(DATOS!AV$4="Sí",(1/DATOS_[[% anualiz]:[% anualiz]]),1)*IF(DATOS!AV$5="Sí",1/DATOS_[[% normaliz]:[% normaliz]],1)*(DATOS_[Conc.Sal.18])))))))), 0)</f>
        <v>0</v>
      </c>
      <c r="AB52" s="302" t="n">
        <f aca="false" t="array" ref="AB52:AB52">IFERROR( (AVERAGE((IF(DATOS_[[Sexo]:[Sexo]]=$B52,IF(DATOS_[[AGRUP. VALOR. PTO.]:[AGRUP. VALOR. PTO.]]=$B51,IF(DATOS_[[Check Periodo Ref.]:[Check Periodo Ref.]]="Dentro",IF(DATOS_[[Check Equiparado]:[Check Equiparado]]="Sí",IF(DATOS!AW$4="Sí",(1/DATOS_[[% anualiz]:[% anualiz]]),1)*IF(DATOS!AW$5="Sí",1/DATOS_[[% normaliz]:[% normaliz]],1)*(DATOS_[Conc.Sal.19])))))))), 0)</f>
        <v>0</v>
      </c>
      <c r="AC52" s="302" t="n">
        <f aca="false" t="array" ref="AC52:AC52">IFERROR( (AVERAGE((IF(DATOS_[[Sexo]:[Sexo]]=$B52,IF(DATOS_[[AGRUP. VALOR. PTO.]:[AGRUP. VALOR. PTO.]]=$B51,IF(DATOS_[[Check Periodo Ref.]:[Check Periodo Ref.]]="Dentro",IF(DATOS_[[Check Equiparado]:[Check Equiparado]]="Sí",IF(DATOS!AX$4="Sí",(1/DATOS_[[% anualiz]:[% anualiz]]),1)*IF(DATOS!AX$5="Sí",1/DATOS_[[% normaliz]:[% normaliz]],1)*(DATOS_[Conc.Sal.20])))))))), 0)</f>
        <v>0</v>
      </c>
      <c r="AD52" s="302" t="n">
        <f aca="false" t="array" ref="AD52:AD52">IFERROR( (AVERAGE((IF(DATOS_[[Sexo]:[Sexo]]=$B52,IF(DATOS_[[AGRUP. VALOR. PTO.]:[AGRUP. VALOR. PTO.]]=$B51,IF(DATOS_[[Check Periodo Ref.]:[Check Periodo Ref.]]="Dentro",IF(DATOS_[[Check Equiparado]:[Check Equiparado]]="Sí",IF(DATOS!AY$4="Sí",(1/DATOS_[[% anualiz]:[% anualiz]]),1)*IF(DATOS!AY$5="Sí",1/DATOS_[[% normaliz]:[% normaliz]],1)*(DATOS_[Conc.Sal.21])))))))), 0)</f>
        <v>0</v>
      </c>
      <c r="AE52" s="302" t="n">
        <f aca="false" t="array" ref="AE52:AE52">IFERROR( (AVERAGE((IF(DATOS_[[Sexo]:[Sexo]]=$B52,IF(DATOS_[[AGRUP. VALOR. PTO.]:[AGRUP. VALOR. PTO.]]=$B51,IF(DATOS_[[Check Periodo Ref.]:[Check Periodo Ref.]]="Dentro",IF(DATOS_[[Check Equiparado]:[Check Equiparado]]="Sí",IF(DATOS!AZ$4="Sí",(1/DATOS_[[% anualiz]:[% anualiz]]),1)*IF(DATOS!AZ$5="Sí",1/DATOS_[[% normaliz]:[% normaliz]],1)*(DATOS_[Conc.Sal.22])))))))), 0)</f>
        <v>0</v>
      </c>
      <c r="AF52" s="302" t="n">
        <f aca="false" t="array" ref="AF52:AF52">IFERROR( (AVERAGE((IF(DATOS_[[Sexo]:[Sexo]]=$B52,IF(DATOS_[[AGRUP. VALOR. PTO.]:[AGRUP. VALOR. PTO.]]=$B51,IF(DATOS_[[Check Periodo Ref.]:[Check Periodo Ref.]]="Dentro",IF(DATOS_[[Check Equiparado]:[Check Equiparado]]="Sí",IF(DATOS!BA$4="Sí",(1/DATOS_[[% anualiz]:[% anualiz]]),1)*IF(DATOS!BA$5="Sí",1/DATOS_[[% normaliz]:[% normaliz]],1)*(DATOS_[Conc.Sal.23])))))))), 0)</f>
        <v>0</v>
      </c>
      <c r="AG52" s="302" t="n">
        <f aca="false" t="array" ref="AG52:AG52">IFERROR( (AVERAGE((IF(DATOS_[[Sexo]:[Sexo]]=$B52,IF(DATOS_[[AGRUP. VALOR. PTO.]:[AGRUP. VALOR. PTO.]]=$B51,IF(DATOS_[[Check Periodo Ref.]:[Check Periodo Ref.]]="Dentro",IF(DATOS_[[Check Equiparado]:[Check Equiparado]]="Sí",IF(DATOS!BB$4="Sí",(1/DATOS_[[% anualiz]:[% anualiz]]),1)*IF(DATOS!BB$5="Sí",1/DATOS_[[% normaliz]:[% normaliz]],1)*(DATOS_[Conc.Sal.24])))))))), 0)</f>
        <v>0</v>
      </c>
      <c r="AH52" s="302" t="n">
        <f aca="false" t="array" ref="AH52:AH52">IFERROR( (AVERAGE((IF(DATOS_[[Sexo]:[Sexo]]=$B52,IF(DATOS_[[AGRUP. VALOR. PTO.]:[AGRUP. VALOR. PTO.]]=$B51,IF(DATOS_[[Check Periodo Ref.]:[Check Periodo Ref.]]="Dentro",IF(DATOS_[[Check Equiparado]:[Check Equiparado]]="Sí",IF(DATOS!BC$4="Sí",(1/DATOS_[[% anualiz]:[% anualiz]]),1)*IF(DATOS!BC$5="Sí",1/DATOS_[[% normaliz]:[% normaliz]],1)*(DATOS_[Conc.Sal.25])))))))), 0)</f>
        <v>0</v>
      </c>
      <c r="AI52" s="302" t="n">
        <f aca="false" t="array" ref="AI52:AI52">IFERROR( (AVERAGE((IF(DATOS_[[Sexo]:[Sexo]]=$B52,IF(DATOS_[[AGRUP. VALOR. PTO.]:[AGRUP. VALOR. PTO.]]=$B51,IF(DATOS_[[Check Periodo Ref.]:[Check Periodo Ref.]]="Dentro",IF(DATOS_[[Check Equiparado]:[Check Equiparado]]="Sí",IF(DATOS!BD$4="Sí",(1/DATOS_[[% anualiz]:[% anualiz]]),1)*IF(DATOS!BD$5="Sí",1/DATOS_[[% normaliz]:[% normaliz]],1)*(DATOS_[Conc.Sal.26])))))))), 0)</f>
        <v>0</v>
      </c>
      <c r="AJ52" s="302" t="n">
        <f aca="false" t="array" ref="AJ52:AJ52">IFERROR( (AVERAGE((IF(DATOS_[[Sexo]:[Sexo]]=$B52,IF(DATOS_[[AGRUP. VALOR. PTO.]:[AGRUP. VALOR. PTO.]]=$B51,IF(DATOS_[[Check Periodo Ref.]:[Check Periodo Ref.]]="Dentro",IF(DATOS_[[Check Equiparado]:[Check Equiparado]]="Sí",IF(DATOS!BE$4="Sí",(1/DATOS_[[% anualiz]:[% anualiz]]),1)*IF(DATOS!BE$5="Sí",1/DATOS_[[% normaliz]:[% normaliz]],1)*(DATOS_[Conc.Sal.27])))))))), 0)</f>
        <v>0</v>
      </c>
      <c r="AK52" s="302" t="n">
        <f aca="false" t="array" ref="AK52:AK52">IFERROR( (AVERAGE((IF(DATOS_[[Sexo]:[Sexo]]=$B52,IF(DATOS_[[AGRUP. VALOR. PTO.]:[AGRUP. VALOR. PTO.]]=$B51,IF(DATOS_[[Check Periodo Ref.]:[Check Periodo Ref.]]="Dentro",IF(DATOS_[[Check Equiparado]:[Check Equiparado]]="Sí",IF(DATOS!BF$4="Sí",(1/DATOS_[[% anualiz]:[% anualiz]]),1)*IF(DATOS!BF$5="Sí",1/DATOS_[[% normaliz]:[% normaliz]],1)*(DATOS_[Conc.Sal.28])))))))), 0)</f>
        <v>0</v>
      </c>
      <c r="AL52" s="302" t="n">
        <f aca="false" t="array" ref="AL52:AL52">IFERROR( (AVERAGE((IF(DATOS_[[Sexo]:[Sexo]]=$B52,IF(DATOS_[[AGRUP. VALOR. PTO.]:[AGRUP. VALOR. PTO.]]=$B51,IF(DATOS_[[Check Periodo Ref.]:[Check Periodo Ref.]]="Dentro",IF(DATOS_[[Check Equiparado]:[Check Equiparado]]="Sí",IF(DATOS!BG$4="Sí",(1/DATOS_[[% anualiz]:[% anualiz]]),1)*IF(DATOS!BG$5="Sí",1/DATOS_[[% normaliz]:[% normaliz]],1)*(DATOS_[Conc.Sal.29])))))))), 0)</f>
        <v>0</v>
      </c>
      <c r="AM52" s="302" t="n">
        <f aca="false" t="array" ref="AM52:AM52">IFERROR( (AVERAGE((IF(DATOS_[[Sexo]:[Sexo]]=$B52,IF(DATOS_[[AGRUP. VALOR. PTO.]:[AGRUP. VALOR. PTO.]]=$B51,IF(DATOS_[[Check Periodo Ref.]:[Check Periodo Ref.]]="Dentro",IF(DATOS_[[Check Equiparado]:[Check Equiparado]]="Sí",IF(DATOS!BH$4="Sí",(1/DATOS_[[% anualiz]:[% anualiz]]),1)*IF(DATOS!BH$5="Sí",1/DATOS_[[% normaliz]:[% normaliz]],1)*(DATOS_[Conc.Sal.30])))))))), 0)</f>
        <v>0</v>
      </c>
      <c r="AN52" s="294" t="n">
        <f aca="false" t="array" ref="AN52:AN52">IFERROR( AVERAGE(IF(DATOS_[Sexo]=$B52,IF(DATOS_[[AGRUP. VALOR. PTO.]:[AGRUP. VALOR. PTO.]]=$B51,IF(DATOS_[Check Equiparado]="Sí",IF(DATOS_[Check Periodo Ref.]="Dentro",DATOS_[Tot COMPL.SAL Eq],0))))), 0)</f>
        <v>0</v>
      </c>
      <c r="AO52" s="295" t="n">
        <f aca="false" t="array" ref="AO52:AO52">IFERROR( AVERAGE(IF(DATOS_[Sexo]=$B52,IF(DATOS_[[AGRUP. VALOR. PTO.]:[AGRUP. VALOR. PTO.]]=$B51,IF(DATOS_[Check Equiparado]="Sí",IF(DATOS_[Check Periodo Ref.]="Dentro",DATOS_[TOTAL SALARIO Eq],0))))), 0)</f>
        <v>0</v>
      </c>
      <c r="AP52" s="303" t="n">
        <f aca="false" t="array" ref="AP52:AP52">IFERROR( (AVERAGE((IF(DATOS_[[Sexo]:[Sexo]]=$B52,IF(DATOS_[[AGRUP. VALOR. PTO.]:[AGRUP. VALOR. PTO.]]=$B51,IF(DATOS_[[Check Periodo Ref.]:[Check Periodo Ref.]]="Dentro",IF(DATOS_[[Check Equiparado]:[Check Equiparado]]="Sí",IF(DATOS!BI$4="Sí",(1/DATOS_[[% anualiz]:[% anualiz]]),1)*IF(DATOS!BI$5="Sí",1/DATOS_[[% normaliz]:[% normaliz]],1)*(DATOS_[C.Extra.01])))))))), 0)</f>
        <v>0</v>
      </c>
      <c r="AQ52" s="303" t="n">
        <f aca="false" t="array" ref="AQ52:AQ52">IFERROR( (AVERAGE((IF(DATOS_[[Sexo]:[Sexo]]=$B52,IF(DATOS_[[AGRUP. VALOR. PTO.]:[AGRUP. VALOR. PTO.]]=$B51,IF(DATOS_[[Check Periodo Ref.]:[Check Periodo Ref.]]="Dentro",IF(DATOS_[[Check Equiparado]:[Check Equiparado]]="Sí",IF(DATOS!BJ$4="Sí",(1/DATOS_[[% anualiz]:[% anualiz]]),1)*IF(DATOS!BJ$5="Sí",1/DATOS_[[% normaliz]:[% normaliz]],1)*(DATOS_[C.Extra.02])))))))), 0)</f>
        <v>0</v>
      </c>
      <c r="AR52" s="303" t="n">
        <f aca="false" t="array" ref="AR52:AR52">IFERROR( (AVERAGE((IF(DATOS_[[Sexo]:[Sexo]]=$B52,IF(DATOS_[[AGRUP. VALOR. PTO.]:[AGRUP. VALOR. PTO.]]=$B51,IF(DATOS_[[Check Periodo Ref.]:[Check Periodo Ref.]]="Dentro",IF(DATOS_[[Check Equiparado]:[Check Equiparado]]="Sí",IF(DATOS!BK$4="Sí",(1/DATOS_[[% anualiz]:[% anualiz]]),1)*IF(DATOS!BK$5="Sí",1/DATOS_[[% normaliz]:[% normaliz]],1)*(DATOS_[C.Extra.03])))))))), 0)</f>
        <v>0</v>
      </c>
      <c r="AS52" s="303" t="n">
        <f aca="false" t="array" ref="AS52:AS52">IFERROR( (AVERAGE((IF(DATOS_[[Sexo]:[Sexo]]=$B52,IF(DATOS_[[AGRUP. VALOR. PTO.]:[AGRUP. VALOR. PTO.]]=$B51,IF(DATOS_[[Check Periodo Ref.]:[Check Periodo Ref.]]="Dentro",IF(DATOS_[[Check Equiparado]:[Check Equiparado]]="Sí",IF(DATOS!BL$4="Sí",(1/DATOS_[[% anualiz]:[% anualiz]]),1)*IF(DATOS!BL$5="Sí",1/DATOS_[[% normaliz]:[% normaliz]],1)*(DATOS_[C.Extra.04])))))))), 0)</f>
        <v>0</v>
      </c>
      <c r="AT52" s="303" t="n">
        <f aca="false" t="array" ref="AT52:AT52">IFERROR( (AVERAGE((IF(DATOS_[[Sexo]:[Sexo]]=$B52,IF(DATOS_[[AGRUP. VALOR. PTO.]:[AGRUP. VALOR. PTO.]]=$B51,IF(DATOS_[[Check Periodo Ref.]:[Check Periodo Ref.]]="Dentro",IF(DATOS_[[Check Equiparado]:[Check Equiparado]]="Sí",IF(DATOS!BM$4="Sí",(1/DATOS_[[% anualiz]:[% anualiz]]),1)*IF(DATOS!BM$5="Sí",1/DATOS_[[% normaliz]:[% normaliz]],1)*(DATOS_[C.Extra.05])))))))), 0)</f>
        <v>0</v>
      </c>
      <c r="AU52" s="297" t="n">
        <f aca="false" t="array" ref="AU52:AU52">IFERROR( AVERAGE(IF(DATOS_[Sexo]=$B52,IF(DATOS_[[AGRUP. VALOR. PTO.]:[AGRUP. VALOR. PTO.]]=$B51,IF(DATOS_[Check Equiparado]="Sí",IF(DATOS_[Check Periodo Ref.]="Dentro",DATOS_[Tot Extrasalarial Eq],0))))), 0)</f>
        <v>0</v>
      </c>
      <c r="AV52" s="298" t="n">
        <f aca="false" t="array" ref="AV52:AV52">IFERROR( AVERAGE(IF(DATOS_[Sexo]=$B52,IF(DATOS_[[AGRUP. VALOR. PTO.]:[AGRUP. VALOR. PTO.]]=$B51,IF(DATOS_[Check Equiparado]="Sí",IF(DATOS_[Check Periodo Ref.]="Dentro",DATOS_[TOTAL Retrib Eq],0))))), 0)</f>
        <v>0</v>
      </c>
    </row>
    <row r="53" customFormat="false" ht="14.25" hidden="false" customHeight="false" outlineLevel="0" collapsed="false">
      <c r="A53" s="166" t="str">
        <f aca="false">+A52</f>
        <v>[ocultar]</v>
      </c>
      <c r="B53" s="289" t="s">
        <v>372</v>
      </c>
      <c r="C53" s="290" t="n">
        <f aca="false" t="array" ref="C53:C53">SUM(IF($B53=DATOS_[Sexo], IF($B51=DATOS_[AGRUP. VALOR. PTO.], IF("Dentro"=DATOS_[Check Periodo Ref.], 1/(COUNTIFS(DATOS_[Sexo],$B53,DATOS_[AGRUP. VALOR. PTO.],$B51,DATOS_[Check Periodo Ref.],"Dentro",DATOS_[id],DATOS_[id]))))))</f>
        <v>0</v>
      </c>
      <c r="D53" s="291" t="n">
        <f aca="false">COUNTIFS(DATOS_[AGRUP. VALOR. PTO.],$B51,DATOS_[Sexo],$B53,DATOS_[Check Periodo Ref.],"Dentro")</f>
        <v>0</v>
      </c>
      <c r="E53" s="291" t="n">
        <f aca="false">COUNTIFS(DATOS_[AGRUP. VALOR. PTO.],$B51,DATOS_[Sexo],$B53,DATOS_[Check Periodo Ref.],"Dentro",DATOS_[Check Nº SC Norm],"Sí")</f>
        <v>0</v>
      </c>
      <c r="F53" s="291" t="n">
        <f aca="false">COUNTIFS(DATOS_[AGRUP. VALOR. PTO.],$B51,DATOS_[Sexo],$B53,DATOS_[Check Periodo Ref.],"Dentro",DATOS_[Check Nº SC Anualiz],"Sí")</f>
        <v>0</v>
      </c>
      <c r="G53" s="291" t="n">
        <f aca="false">COUNTIFS(DATOS_[AGRUP. VALOR. PTO.],$B51,DATOS_[Sexo],$B53,DATOS_[Check Periodo Ref.],"Dentro",DATOS_[Check Nº SC Norm y Anualiz],"Sí")</f>
        <v>0</v>
      </c>
      <c r="H53" s="291" t="n">
        <f aca="false">COUNTIFS(DATOS_[AGRUP. VALOR. PTO.],$B51,DATOS_[Sexo],$B53,DATOS_[Check Periodo Ref.],"Dentro",DATOS_[Check Equiparación],"Sí")</f>
        <v>0</v>
      </c>
      <c r="I53" s="292" t="n">
        <f aca="false" t="array" ref="I53:I53">IFERROR( AVERAGE(IF(DATOS_[Sexo]=$B53,IF(DATOS_[[AGRUP. VALOR. PTO.]:[AGRUP. VALOR. PTO.]]=$B51,IF(DATOS_[Check Equiparado]="Sí",IF(DATOS_[Check Periodo Ref.]="Dentro",DATOS_[SALARIO BASE Eq],0))))), 0)</f>
        <v>0</v>
      </c>
      <c r="J53" s="302" t="n">
        <f aca="false" t="array" ref="J53:J53">IFERROR( (AVERAGE((IF(DATOS_[[Sexo]:[Sexo]]=$B53,IF(DATOS_[[AGRUP. VALOR. PTO.]:[AGRUP. VALOR. PTO.]]=$B51,IF(DATOS_[[Check Periodo Ref.]:[Check Periodo Ref.]]="Dentro",IF(DATOS_[[Check Equiparado]:[Check Equiparado]]="Sí",IF(DATOS!AE$4="Sí",(1/DATOS_[[% anualiz]:[% anualiz]]),1)*IF(DATOS!AE$5="Sí",1/DATOS_[[% normaliz]:[% normaliz]],1)*(DATOS_[Conc.Sal.01])))))))), 0)</f>
        <v>0</v>
      </c>
      <c r="K53" s="302" t="n">
        <f aca="false" t="array" ref="K53:K53">IFERROR( (AVERAGE((IF(DATOS_[[Sexo]:[Sexo]]=$B53,IF(DATOS_[[AGRUP. VALOR. PTO.]:[AGRUP. VALOR. PTO.]]=$B51,IF(DATOS_[[Check Periodo Ref.]:[Check Periodo Ref.]]="Dentro",IF(DATOS_[[Check Equiparado]:[Check Equiparado]]="Sí",IF(DATOS!AF$4="Sí",(1/DATOS_[[% anualiz]:[% anualiz]]),1)*IF(DATOS!AF$5="Sí",1/DATOS_[[% normaliz]:[% normaliz]],1)*(DATOS_[Conc.Sal.02])))))))), 0)</f>
        <v>0</v>
      </c>
      <c r="L53" s="302" t="n">
        <f aca="false" t="array" ref="L53:L53">IFERROR( (AVERAGE((IF(DATOS_[[Sexo]:[Sexo]]=$B53,IF(DATOS_[[AGRUP. VALOR. PTO.]:[AGRUP. VALOR. PTO.]]=$B51,IF(DATOS_[[Check Periodo Ref.]:[Check Periodo Ref.]]="Dentro",IF(DATOS_[[Check Equiparado]:[Check Equiparado]]="Sí",IF(DATOS!AG$4="Sí",(1/DATOS_[[% anualiz]:[% anualiz]]),1)*IF(DATOS!AG$5="Sí",1/DATOS_[[% normaliz]:[% normaliz]],1)*(DATOS_[Conc.Sal.03])))))))), 0)</f>
        <v>0</v>
      </c>
      <c r="M53" s="302" t="n">
        <f aca="false" t="array" ref="M53:M53">IFERROR( (AVERAGE((IF(DATOS_[[Sexo]:[Sexo]]=$B53,IF(DATOS_[[AGRUP. VALOR. PTO.]:[AGRUP. VALOR. PTO.]]=$B51,IF(DATOS_[[Check Periodo Ref.]:[Check Periodo Ref.]]="Dentro",IF(DATOS_[[Check Equiparado]:[Check Equiparado]]="Sí",IF(DATOS!AH$4="Sí",(1/DATOS_[[% anualiz]:[% anualiz]]),1)*IF(DATOS!AH$5="Sí",1/DATOS_[[% normaliz]:[% normaliz]],1)*(DATOS_[Conc.Sal.04])))))))), 0)</f>
        <v>0</v>
      </c>
      <c r="N53" s="302" t="n">
        <f aca="false" t="array" ref="N53:N53">IFERROR( (AVERAGE((IF(DATOS_[[Sexo]:[Sexo]]=$B53,IF(DATOS_[[AGRUP. VALOR. PTO.]:[AGRUP. VALOR. PTO.]]=$B51,IF(DATOS_[[Check Periodo Ref.]:[Check Periodo Ref.]]="Dentro",IF(DATOS_[[Check Equiparado]:[Check Equiparado]]="Sí",IF(DATOS!AI$4="Sí",(1/DATOS_[[% anualiz]:[% anualiz]]),1)*IF(DATOS!AI$5="Sí",1/DATOS_[[% normaliz]:[% normaliz]],1)*(DATOS_[Conc.Sal.05])))))))), 0)</f>
        <v>0</v>
      </c>
      <c r="O53" s="302" t="n">
        <f aca="false" t="array" ref="O53:O53">IFERROR( (AVERAGE((IF(DATOS_[[Sexo]:[Sexo]]=$B53,IF(DATOS_[[AGRUP. VALOR. PTO.]:[AGRUP. VALOR. PTO.]]=$B51,IF(DATOS_[[Check Periodo Ref.]:[Check Periodo Ref.]]="Dentro",IF(DATOS_[[Check Equiparado]:[Check Equiparado]]="Sí",IF(DATOS!AJ$4="Sí",(1/DATOS_[[% anualiz]:[% anualiz]]),1)*IF(DATOS!AJ$5="Sí",1/DATOS_[[% normaliz]:[% normaliz]],1)*(DATOS_[Conc.Sal.06])))))))), 0)</f>
        <v>0</v>
      </c>
      <c r="P53" s="302" t="n">
        <f aca="false" t="array" ref="P53:P53">IFERROR( (AVERAGE((IF(DATOS_[[Sexo]:[Sexo]]=$B53,IF(DATOS_[[AGRUP. VALOR. PTO.]:[AGRUP. VALOR. PTO.]]=$B51,IF(DATOS_[[Check Periodo Ref.]:[Check Periodo Ref.]]="Dentro",IF(DATOS_[[Check Equiparado]:[Check Equiparado]]="Sí",IF(DATOS!AK$4="Sí",(1/DATOS_[[% anualiz]:[% anualiz]]),1)*IF(DATOS!AK$5="Sí",1/DATOS_[[% normaliz]:[% normaliz]],1)*(DATOS_[Conc.Sal.07])))))))), 0)</f>
        <v>0</v>
      </c>
      <c r="Q53" s="302" t="n">
        <f aca="false" t="array" ref="Q53:Q53">IFERROR( (AVERAGE((IF(DATOS_[[Sexo]:[Sexo]]=$B53,IF(DATOS_[[AGRUP. VALOR. PTO.]:[AGRUP. VALOR. PTO.]]=$B51,IF(DATOS_[[Check Periodo Ref.]:[Check Periodo Ref.]]="Dentro",IF(DATOS_[[Check Equiparado]:[Check Equiparado]]="Sí",IF(DATOS!AL$4="Sí",(1/DATOS_[[% anualiz]:[% anualiz]]),1)*IF(DATOS!AL$5="Sí",1/DATOS_[[% normaliz]:[% normaliz]],1)*(DATOS_[Conc.Sal.08])))))))), 0)</f>
        <v>0</v>
      </c>
      <c r="R53" s="302" t="n">
        <f aca="false" t="array" ref="R53:R53">IFERROR( (AVERAGE((IF(DATOS_[[Sexo]:[Sexo]]=$B53,IF(DATOS_[[AGRUP. VALOR. PTO.]:[AGRUP. VALOR. PTO.]]=$B51,IF(DATOS_[[Check Periodo Ref.]:[Check Periodo Ref.]]="Dentro",IF(DATOS_[[Check Equiparado]:[Check Equiparado]]="Sí",IF(DATOS!AM$4="Sí",(1/DATOS_[[% anualiz]:[% anualiz]]),1)*IF(DATOS!AM$5="Sí",1/DATOS_[[% normaliz]:[% normaliz]],1)*(DATOS_[Conc.Sal.09])))))))), 0)</f>
        <v>0</v>
      </c>
      <c r="S53" s="302" t="n">
        <f aca="false" t="array" ref="S53:S53">IFERROR( (AVERAGE((IF(DATOS_[[Sexo]:[Sexo]]=$B53,IF(DATOS_[[AGRUP. VALOR. PTO.]:[AGRUP. VALOR. PTO.]]=$B51,IF(DATOS_[[Check Periodo Ref.]:[Check Periodo Ref.]]="Dentro",IF(DATOS_[[Check Equiparado]:[Check Equiparado]]="Sí",IF(DATOS!AN$4="Sí",(1/DATOS_[[% anualiz]:[% anualiz]]),1)*IF(DATOS!AN$5="Sí",1/DATOS_[[% normaliz]:[% normaliz]],1)*(DATOS_[Conc.Sal.10])))))))), 0)</f>
        <v>0</v>
      </c>
      <c r="T53" s="302" t="n">
        <f aca="false" t="array" ref="T53:T53">IFERROR( (AVERAGE((IF(DATOS_[[Sexo]:[Sexo]]=$B53,IF(DATOS_[[AGRUP. VALOR. PTO.]:[AGRUP. VALOR. PTO.]]=$B51,IF(DATOS_[[Check Periodo Ref.]:[Check Periodo Ref.]]="Dentro",IF(DATOS_[[Check Equiparado]:[Check Equiparado]]="Sí",IF(DATOS!AO$4="Sí",(1/DATOS_[[% anualiz]:[% anualiz]]),1)*IF(DATOS!AO$5="Sí",1/DATOS_[[% normaliz]:[% normaliz]],1)*(DATOS_[Conc.Sal.11])))))))), 0)</f>
        <v>0</v>
      </c>
      <c r="U53" s="302" t="n">
        <f aca="false" t="array" ref="U53:U53">IFERROR( (AVERAGE((IF(DATOS_[[Sexo]:[Sexo]]=$B53,IF(DATOS_[[AGRUP. VALOR. PTO.]:[AGRUP. VALOR. PTO.]]=$B51,IF(DATOS_[[Check Periodo Ref.]:[Check Periodo Ref.]]="Dentro",IF(DATOS_[[Check Equiparado]:[Check Equiparado]]="Sí",IF(DATOS!AP$4="Sí",(1/DATOS_[[% anualiz]:[% anualiz]]),1)*IF(DATOS!AP$5="Sí",1/DATOS_[[% normaliz]:[% normaliz]],1)*(DATOS_[Conc.Sal.12])))))))), 0)</f>
        <v>0</v>
      </c>
      <c r="V53" s="302" t="n">
        <f aca="false" t="array" ref="V53:V53">IFERROR( (AVERAGE((IF(DATOS_[[Sexo]:[Sexo]]=$B53,IF(DATOS_[[AGRUP. VALOR. PTO.]:[AGRUP. VALOR. PTO.]]=$B51,IF(DATOS_[[Check Periodo Ref.]:[Check Periodo Ref.]]="Dentro",IF(DATOS_[[Check Equiparado]:[Check Equiparado]]="Sí",IF(DATOS!AQ$4="Sí",(1/DATOS_[[% anualiz]:[% anualiz]]),1)*IF(DATOS!AQ$5="Sí",1/DATOS_[[% normaliz]:[% normaliz]],1)*(DATOS_[Conc.Sal.13])))))))), 0)</f>
        <v>0</v>
      </c>
      <c r="W53" s="302" t="n">
        <f aca="false" t="array" ref="W53:W53">IFERROR( (AVERAGE((IF(DATOS_[[Sexo]:[Sexo]]=$B53,IF(DATOS_[[AGRUP. VALOR. PTO.]:[AGRUP. VALOR. PTO.]]=$B51,IF(DATOS_[[Check Periodo Ref.]:[Check Periodo Ref.]]="Dentro",IF(DATOS_[[Check Equiparado]:[Check Equiparado]]="Sí",IF(DATOS!AR$4="Sí",(1/DATOS_[[% anualiz]:[% anualiz]]),1)*IF(DATOS!AR$5="Sí",1/DATOS_[[% normaliz]:[% normaliz]],1)*(DATOS_[Conc.Sal.14])))))))), 0)</f>
        <v>0</v>
      </c>
      <c r="X53" s="302" t="n">
        <f aca="false" t="array" ref="X53:X53">IFERROR( (AVERAGE((IF(DATOS_[[Sexo]:[Sexo]]=$B53,IF(DATOS_[[AGRUP. VALOR. PTO.]:[AGRUP. VALOR. PTO.]]=$B51,IF(DATOS_[[Check Periodo Ref.]:[Check Periodo Ref.]]="Dentro",IF(DATOS_[[Check Equiparado]:[Check Equiparado]]="Sí",IF(DATOS!AS$4="Sí",(1/DATOS_[[% anualiz]:[% anualiz]]),1)*IF(DATOS!AS$5="Sí",1/DATOS_[[% normaliz]:[% normaliz]],1)*(DATOS_[Conc.Sal.15])))))))), 0)</f>
        <v>0</v>
      </c>
      <c r="Y53" s="302" t="n">
        <f aca="false" t="array" ref="Y53:Y53">IFERROR( (AVERAGE((IF(DATOS_[[Sexo]:[Sexo]]=$B53,IF(DATOS_[[AGRUP. VALOR. PTO.]:[AGRUP. VALOR. PTO.]]=$B51,IF(DATOS_[[Check Periodo Ref.]:[Check Periodo Ref.]]="Dentro",IF(DATOS_[[Check Equiparado]:[Check Equiparado]]="Sí",IF(DATOS!AT$4="Sí",(1/DATOS_[[% anualiz]:[% anualiz]]),1)*IF(DATOS!AT$5="Sí",1/DATOS_[[% normaliz]:[% normaliz]],1)*(DATOS_[Conc.Sal.16])))))))), 0)</f>
        <v>0</v>
      </c>
      <c r="Z53" s="302" t="n">
        <f aca="false" t="array" ref="Z53:Z53">IFERROR( (AVERAGE((IF(DATOS_[[Sexo]:[Sexo]]=$B53,IF(DATOS_[[AGRUP. VALOR. PTO.]:[AGRUP. VALOR. PTO.]]=$B51,IF(DATOS_[[Check Periodo Ref.]:[Check Periodo Ref.]]="Dentro",IF(DATOS_[[Check Equiparado]:[Check Equiparado]]="Sí",IF(DATOS!AU$4="Sí",(1/DATOS_[[% anualiz]:[% anualiz]]),1)*IF(DATOS!AU$5="Sí",1/DATOS_[[% normaliz]:[% normaliz]],1)*(DATOS_[Conc.Sal.17])))))))), 0)</f>
        <v>0</v>
      </c>
      <c r="AA53" s="302" t="n">
        <f aca="false" t="array" ref="AA53:AA53">IFERROR( (AVERAGE((IF(DATOS_[[Sexo]:[Sexo]]=$B53,IF(DATOS_[[AGRUP. VALOR. PTO.]:[AGRUP. VALOR. PTO.]]=$B51,IF(DATOS_[[Check Periodo Ref.]:[Check Periodo Ref.]]="Dentro",IF(DATOS_[[Check Equiparado]:[Check Equiparado]]="Sí",IF(DATOS!AV$4="Sí",(1/DATOS_[[% anualiz]:[% anualiz]]),1)*IF(DATOS!AV$5="Sí",1/DATOS_[[% normaliz]:[% normaliz]],1)*(DATOS_[Conc.Sal.18])))))))), 0)</f>
        <v>0</v>
      </c>
      <c r="AB53" s="302" t="n">
        <f aca="false" t="array" ref="AB53:AB53">IFERROR( (AVERAGE((IF(DATOS_[[Sexo]:[Sexo]]=$B53,IF(DATOS_[[AGRUP. VALOR. PTO.]:[AGRUP. VALOR. PTO.]]=$B51,IF(DATOS_[[Check Periodo Ref.]:[Check Periodo Ref.]]="Dentro",IF(DATOS_[[Check Equiparado]:[Check Equiparado]]="Sí",IF(DATOS!AW$4="Sí",(1/DATOS_[[% anualiz]:[% anualiz]]),1)*IF(DATOS!AW$5="Sí",1/DATOS_[[% normaliz]:[% normaliz]],1)*(DATOS_[Conc.Sal.19])))))))), 0)</f>
        <v>0</v>
      </c>
      <c r="AC53" s="302" t="n">
        <f aca="false" t="array" ref="AC53:AC53">IFERROR( (AVERAGE((IF(DATOS_[[Sexo]:[Sexo]]=$B53,IF(DATOS_[[AGRUP. VALOR. PTO.]:[AGRUP. VALOR. PTO.]]=$B51,IF(DATOS_[[Check Periodo Ref.]:[Check Periodo Ref.]]="Dentro",IF(DATOS_[[Check Equiparado]:[Check Equiparado]]="Sí",IF(DATOS!AX$4="Sí",(1/DATOS_[[% anualiz]:[% anualiz]]),1)*IF(DATOS!AX$5="Sí",1/DATOS_[[% normaliz]:[% normaliz]],1)*(DATOS_[Conc.Sal.20])))))))), 0)</f>
        <v>0</v>
      </c>
      <c r="AD53" s="302" t="n">
        <f aca="false" t="array" ref="AD53:AD53">IFERROR( (AVERAGE((IF(DATOS_[[Sexo]:[Sexo]]=$B53,IF(DATOS_[[AGRUP. VALOR. PTO.]:[AGRUP. VALOR. PTO.]]=$B51,IF(DATOS_[[Check Periodo Ref.]:[Check Periodo Ref.]]="Dentro",IF(DATOS_[[Check Equiparado]:[Check Equiparado]]="Sí",IF(DATOS!AY$4="Sí",(1/DATOS_[[% anualiz]:[% anualiz]]),1)*IF(DATOS!AY$5="Sí",1/DATOS_[[% normaliz]:[% normaliz]],1)*(DATOS_[Conc.Sal.21])))))))), 0)</f>
        <v>0</v>
      </c>
      <c r="AE53" s="302" t="n">
        <f aca="false" t="array" ref="AE53:AE53">IFERROR( (AVERAGE((IF(DATOS_[[Sexo]:[Sexo]]=$B53,IF(DATOS_[[AGRUP. VALOR. PTO.]:[AGRUP. VALOR. PTO.]]=$B51,IF(DATOS_[[Check Periodo Ref.]:[Check Periodo Ref.]]="Dentro",IF(DATOS_[[Check Equiparado]:[Check Equiparado]]="Sí",IF(DATOS!AZ$4="Sí",(1/DATOS_[[% anualiz]:[% anualiz]]),1)*IF(DATOS!AZ$5="Sí",1/DATOS_[[% normaliz]:[% normaliz]],1)*(DATOS_[Conc.Sal.22])))))))), 0)</f>
        <v>0</v>
      </c>
      <c r="AF53" s="302" t="n">
        <f aca="false" t="array" ref="AF53:AF53">IFERROR( (AVERAGE((IF(DATOS_[[Sexo]:[Sexo]]=$B53,IF(DATOS_[[AGRUP. VALOR. PTO.]:[AGRUP. VALOR. PTO.]]=$B51,IF(DATOS_[[Check Periodo Ref.]:[Check Periodo Ref.]]="Dentro",IF(DATOS_[[Check Equiparado]:[Check Equiparado]]="Sí",IF(DATOS!BA$4="Sí",(1/DATOS_[[% anualiz]:[% anualiz]]),1)*IF(DATOS!BA$5="Sí",1/DATOS_[[% normaliz]:[% normaliz]],1)*(DATOS_[Conc.Sal.23])))))))), 0)</f>
        <v>0</v>
      </c>
      <c r="AG53" s="302" t="n">
        <f aca="false" t="array" ref="AG53:AG53">IFERROR( (AVERAGE((IF(DATOS_[[Sexo]:[Sexo]]=$B53,IF(DATOS_[[AGRUP. VALOR. PTO.]:[AGRUP. VALOR. PTO.]]=$B51,IF(DATOS_[[Check Periodo Ref.]:[Check Periodo Ref.]]="Dentro",IF(DATOS_[[Check Equiparado]:[Check Equiparado]]="Sí",IF(DATOS!BB$4="Sí",(1/DATOS_[[% anualiz]:[% anualiz]]),1)*IF(DATOS!BB$5="Sí",1/DATOS_[[% normaliz]:[% normaliz]],1)*(DATOS_[Conc.Sal.24])))))))), 0)</f>
        <v>0</v>
      </c>
      <c r="AH53" s="302" t="n">
        <f aca="false" t="array" ref="AH53:AH53">IFERROR( (AVERAGE((IF(DATOS_[[Sexo]:[Sexo]]=$B53,IF(DATOS_[[AGRUP. VALOR. PTO.]:[AGRUP. VALOR. PTO.]]=$B51,IF(DATOS_[[Check Periodo Ref.]:[Check Periodo Ref.]]="Dentro",IF(DATOS_[[Check Equiparado]:[Check Equiparado]]="Sí",IF(DATOS!BC$4="Sí",(1/DATOS_[[% anualiz]:[% anualiz]]),1)*IF(DATOS!BC$5="Sí",1/DATOS_[[% normaliz]:[% normaliz]],1)*(DATOS_[Conc.Sal.25])))))))), 0)</f>
        <v>0</v>
      </c>
      <c r="AI53" s="302" t="n">
        <f aca="false" t="array" ref="AI53:AI53">IFERROR( (AVERAGE((IF(DATOS_[[Sexo]:[Sexo]]=$B53,IF(DATOS_[[AGRUP. VALOR. PTO.]:[AGRUP. VALOR. PTO.]]=$B51,IF(DATOS_[[Check Periodo Ref.]:[Check Periodo Ref.]]="Dentro",IF(DATOS_[[Check Equiparado]:[Check Equiparado]]="Sí",IF(DATOS!BD$4="Sí",(1/DATOS_[[% anualiz]:[% anualiz]]),1)*IF(DATOS!BD$5="Sí",1/DATOS_[[% normaliz]:[% normaliz]],1)*(DATOS_[Conc.Sal.26])))))))), 0)</f>
        <v>0</v>
      </c>
      <c r="AJ53" s="302" t="n">
        <f aca="false" t="array" ref="AJ53:AJ53">IFERROR( (AVERAGE((IF(DATOS_[[Sexo]:[Sexo]]=$B53,IF(DATOS_[[AGRUP. VALOR. PTO.]:[AGRUP. VALOR. PTO.]]=$B51,IF(DATOS_[[Check Periodo Ref.]:[Check Periodo Ref.]]="Dentro",IF(DATOS_[[Check Equiparado]:[Check Equiparado]]="Sí",IF(DATOS!BE$4="Sí",(1/DATOS_[[% anualiz]:[% anualiz]]),1)*IF(DATOS!BE$5="Sí",1/DATOS_[[% normaliz]:[% normaliz]],1)*(DATOS_[Conc.Sal.27])))))))), 0)</f>
        <v>0</v>
      </c>
      <c r="AK53" s="302" t="n">
        <f aca="false" t="array" ref="AK53:AK53">IFERROR( (AVERAGE((IF(DATOS_[[Sexo]:[Sexo]]=$B53,IF(DATOS_[[AGRUP. VALOR. PTO.]:[AGRUP. VALOR. PTO.]]=$B51,IF(DATOS_[[Check Periodo Ref.]:[Check Periodo Ref.]]="Dentro",IF(DATOS_[[Check Equiparado]:[Check Equiparado]]="Sí",IF(DATOS!BF$4="Sí",(1/DATOS_[[% anualiz]:[% anualiz]]),1)*IF(DATOS!BF$5="Sí",1/DATOS_[[% normaliz]:[% normaliz]],1)*(DATOS_[Conc.Sal.28])))))))), 0)</f>
        <v>0</v>
      </c>
      <c r="AL53" s="302" t="n">
        <f aca="false" t="array" ref="AL53:AL53">IFERROR( (AVERAGE((IF(DATOS_[[Sexo]:[Sexo]]=$B53,IF(DATOS_[[AGRUP. VALOR. PTO.]:[AGRUP. VALOR. PTO.]]=$B51,IF(DATOS_[[Check Periodo Ref.]:[Check Periodo Ref.]]="Dentro",IF(DATOS_[[Check Equiparado]:[Check Equiparado]]="Sí",IF(DATOS!BG$4="Sí",(1/DATOS_[[% anualiz]:[% anualiz]]),1)*IF(DATOS!BG$5="Sí",1/DATOS_[[% normaliz]:[% normaliz]],1)*(DATOS_[Conc.Sal.29])))))))), 0)</f>
        <v>0</v>
      </c>
      <c r="AM53" s="302" t="n">
        <f aca="false" t="array" ref="AM53:AM53">IFERROR( (AVERAGE((IF(DATOS_[[Sexo]:[Sexo]]=$B53,IF(DATOS_[[AGRUP. VALOR. PTO.]:[AGRUP. VALOR. PTO.]]=$B51,IF(DATOS_[[Check Periodo Ref.]:[Check Periodo Ref.]]="Dentro",IF(DATOS_[[Check Equiparado]:[Check Equiparado]]="Sí",IF(DATOS!BH$4="Sí",(1/DATOS_[[% anualiz]:[% anualiz]]),1)*IF(DATOS!BH$5="Sí",1/DATOS_[[% normaliz]:[% normaliz]],1)*(DATOS_[Conc.Sal.30])))))))), 0)</f>
        <v>0</v>
      </c>
      <c r="AN53" s="294" t="n">
        <f aca="false" t="array" ref="AN53:AN53">IFERROR( AVERAGE(IF(DATOS_[Sexo]=$B53,IF(DATOS_[[AGRUP. VALOR. PTO.]:[AGRUP. VALOR. PTO.]]=$B51,IF(DATOS_[Check Equiparado]="Sí",IF(DATOS_[Check Periodo Ref.]="Dentro",DATOS_[Tot COMPL.SAL Eq],0))))), 0)</f>
        <v>0</v>
      </c>
      <c r="AO53" s="295" t="n">
        <f aca="false" t="array" ref="AO53:AO53">IFERROR( AVERAGE(IF(DATOS_[Sexo]=$B53,IF(DATOS_[[AGRUP. VALOR. PTO.]:[AGRUP. VALOR. PTO.]]=$B51,IF(DATOS_[Check Equiparado]="Sí",IF(DATOS_[Check Periodo Ref.]="Dentro",DATOS_[TOTAL SALARIO Eq],0))))), 0)</f>
        <v>0</v>
      </c>
      <c r="AP53" s="303" t="n">
        <f aca="false" t="array" ref="AP53:AP53">IFERROR( (AVERAGE((IF(DATOS_[[Sexo]:[Sexo]]=$B53,IF(DATOS_[[AGRUP. VALOR. PTO.]:[AGRUP. VALOR. PTO.]]=$B52,IF(DATOS_[[Check Periodo Ref.]:[Check Periodo Ref.]]="Dentro",IF(DATOS_[[Check Equiparado]:[Check Equiparado]]="Sí",IF(DATOS!BI$4="Sí",(1/DATOS_[[% anualiz]:[% anualiz]]),1)*IF(DATOS!BI$5="Sí",1/DATOS_[[% normaliz]:[% normaliz]],1)*(DATOS_[C.Extra.01])))))))), 0)</f>
        <v>0</v>
      </c>
      <c r="AQ53" s="303" t="n">
        <f aca="false" t="array" ref="AQ53:AQ53">IFERROR( (AVERAGE((IF(DATOS_[[Sexo]:[Sexo]]=$B53,IF(DATOS_[[AGRUP. VALOR. PTO.]:[AGRUP. VALOR. PTO.]]=$B52,IF(DATOS_[[Check Periodo Ref.]:[Check Periodo Ref.]]="Dentro",IF(DATOS_[[Check Equiparado]:[Check Equiparado]]="Sí",IF(DATOS!BJ$4="Sí",(1/DATOS_[[% anualiz]:[% anualiz]]),1)*IF(DATOS!BJ$5="Sí",1/DATOS_[[% normaliz]:[% normaliz]],1)*(DATOS_[C.Extra.02])))))))), 0)</f>
        <v>0</v>
      </c>
      <c r="AR53" s="303" t="n">
        <f aca="false" t="array" ref="AR53:AR53">IFERROR( (AVERAGE((IF(DATOS_[[Sexo]:[Sexo]]=$B53,IF(DATOS_[[AGRUP. VALOR. PTO.]:[AGRUP. VALOR. PTO.]]=$B52,IF(DATOS_[[Check Periodo Ref.]:[Check Periodo Ref.]]="Dentro",IF(DATOS_[[Check Equiparado]:[Check Equiparado]]="Sí",IF(DATOS!BK$4="Sí",(1/DATOS_[[% anualiz]:[% anualiz]]),1)*IF(DATOS!BK$5="Sí",1/DATOS_[[% normaliz]:[% normaliz]],1)*(DATOS_[C.Extra.03])))))))), 0)</f>
        <v>0</v>
      </c>
      <c r="AS53" s="303" t="n">
        <f aca="false" t="array" ref="AS53:AS53">IFERROR( (AVERAGE((IF(DATOS_[[Sexo]:[Sexo]]=$B53,IF(DATOS_[[AGRUP. VALOR. PTO.]:[AGRUP. VALOR. PTO.]]=$B52,IF(DATOS_[[Check Periodo Ref.]:[Check Periodo Ref.]]="Dentro",IF(DATOS_[[Check Equiparado]:[Check Equiparado]]="Sí",IF(DATOS!BL$4="Sí",(1/DATOS_[[% anualiz]:[% anualiz]]),1)*IF(DATOS!BL$5="Sí",1/DATOS_[[% normaliz]:[% normaliz]],1)*(DATOS_[C.Extra.04])))))))), 0)</f>
        <v>0</v>
      </c>
      <c r="AT53" s="303" t="n">
        <f aca="false" t="array" ref="AT53:AT53">IFERROR( (AVERAGE((IF(DATOS_[[Sexo]:[Sexo]]=$B53,IF(DATOS_[[AGRUP. VALOR. PTO.]:[AGRUP. VALOR. PTO.]]=$B52,IF(DATOS_[[Check Periodo Ref.]:[Check Periodo Ref.]]="Dentro",IF(DATOS_[[Check Equiparado]:[Check Equiparado]]="Sí",IF(DATOS!BM$4="Sí",(1/DATOS_[[% anualiz]:[% anualiz]]),1)*IF(DATOS!BM$5="Sí",1/DATOS_[[% normaliz]:[% normaliz]],1)*(DATOS_[C.Extra.05])))))))), 0)</f>
        <v>0</v>
      </c>
      <c r="AU53" s="297" t="n">
        <f aca="false" t="array" ref="AU53:AU53">IFERROR( AVERAGE(IF(DATOS_[Sexo]=$B53,IF(DATOS_[[AGRUP. VALOR. PTO.]:[AGRUP. VALOR. PTO.]]=$B51,IF(DATOS_[Check Equiparado]="Sí",IF(DATOS_[Check Periodo Ref.]="Dentro",DATOS_[Tot Extrasalarial Eq],0))))), 0)</f>
        <v>0</v>
      </c>
      <c r="AV53" s="298" t="n">
        <f aca="false" t="array" ref="AV53:AV53">IFERROR( AVERAGE(IF(DATOS_[Sexo]=$B53,IF(DATOS_[[AGRUP. VALOR. PTO.]:[AGRUP. VALOR. PTO.]]=$B51,IF(DATOS_[Check Equiparado]="Sí",IF(DATOS_[Check Periodo Ref.]="Dentro",DATOS_[TOTAL Retrib Eq],0))))), 0)</f>
        <v>0</v>
      </c>
    </row>
    <row r="54" customFormat="false" ht="15.75" hidden="false" customHeight="false" outlineLevel="0" collapsed="false">
      <c r="A54" s="166" t="str">
        <f aca="false">+A55</f>
        <v>[ocultar]</v>
      </c>
      <c r="B54" s="276" t="s">
        <v>208</v>
      </c>
      <c r="C54" s="277"/>
      <c r="D54" s="278"/>
      <c r="E54" s="278"/>
      <c r="F54" s="278"/>
      <c r="G54" s="278"/>
      <c r="H54" s="278"/>
      <c r="I54" s="279" t="str">
        <f aca="false">IFERROR((I55-I56)/I55,"")</f>
        <v/>
      </c>
      <c r="J54" s="280" t="str">
        <f aca="false">IFERROR((J55-J56)/J55,"")</f>
        <v/>
      </c>
      <c r="K54" s="281" t="str">
        <f aca="false">IFERROR((K55-K56)/K55,"")</f>
        <v/>
      </c>
      <c r="L54" s="281" t="str">
        <f aca="false">IFERROR((L55-L56)/L55,"")</f>
        <v/>
      </c>
      <c r="M54" s="281" t="str">
        <f aca="false">IFERROR((M55-M56)/M55,"")</f>
        <v/>
      </c>
      <c r="N54" s="282" t="str">
        <f aca="false">IFERROR((N55-N56)/N55,"")</f>
        <v/>
      </c>
      <c r="O54" s="283" t="str">
        <f aca="false">IFERROR((O55-O56)/O55,"")</f>
        <v/>
      </c>
      <c r="P54" s="283" t="str">
        <f aca="false">IFERROR((P55-P56)/P55,"")</f>
        <v/>
      </c>
      <c r="Q54" s="283" t="str">
        <f aca="false">IFERROR((Q55-Q56)/Q55,"")</f>
        <v/>
      </c>
      <c r="R54" s="283" t="str">
        <f aca="false">IFERROR((R55-R56)/R55,"")</f>
        <v/>
      </c>
      <c r="S54" s="283" t="str">
        <f aca="false">IFERROR((S55-S56)/S55,"")</f>
        <v/>
      </c>
      <c r="T54" s="283" t="str">
        <f aca="false">IFERROR((T55-T56)/T55,"")</f>
        <v/>
      </c>
      <c r="U54" s="283" t="str">
        <f aca="false">IFERROR((U55-U56)/U55,"")</f>
        <v/>
      </c>
      <c r="V54" s="283" t="str">
        <f aca="false">IFERROR((V55-V56)/V55,"")</f>
        <v/>
      </c>
      <c r="W54" s="283" t="str">
        <f aca="false">IFERROR((W55-W56)/W55,"")</f>
        <v/>
      </c>
      <c r="X54" s="283" t="str">
        <f aca="false">IFERROR((X55-X56)/X55,"")</f>
        <v/>
      </c>
      <c r="Y54" s="283" t="str">
        <f aca="false">IFERROR((Y55-Y56)/Y55,"")</f>
        <v/>
      </c>
      <c r="Z54" s="282" t="str">
        <f aca="false">IFERROR((Z55-Z56)/Z55,"")</f>
        <v/>
      </c>
      <c r="AA54" s="282" t="str">
        <f aca="false">IFERROR((AA55-AA56)/AA55,"")</f>
        <v/>
      </c>
      <c r="AB54" s="282" t="str">
        <f aca="false">IFERROR((AB55-AB56)/AB55,"")</f>
        <v/>
      </c>
      <c r="AC54" s="282" t="str">
        <f aca="false">IFERROR((AC55-AC56)/AC55,"")</f>
        <v/>
      </c>
      <c r="AD54" s="282" t="str">
        <f aca="false">IFERROR((AD55-AD56)/AD55,"")</f>
        <v/>
      </c>
      <c r="AE54" s="282" t="str">
        <f aca="false">IFERROR((AE55-AE56)/AE55,"")</f>
        <v/>
      </c>
      <c r="AF54" s="282" t="str">
        <f aca="false">IFERROR((AF55-AF56)/AF55,"")</f>
        <v/>
      </c>
      <c r="AG54" s="282" t="str">
        <f aca="false">IFERROR((AG55-AG56)/AG55,"")</f>
        <v/>
      </c>
      <c r="AH54" s="282" t="str">
        <f aca="false">IFERROR((AH55-AH56)/AH55,"")</f>
        <v/>
      </c>
      <c r="AI54" s="282" t="str">
        <f aca="false">IFERROR((AI55-AI56)/AI55,"")</f>
        <v/>
      </c>
      <c r="AJ54" s="282" t="str">
        <f aca="false">IFERROR((AJ55-AJ56)/AJ55,"")</f>
        <v/>
      </c>
      <c r="AK54" s="282" t="str">
        <f aca="false">IFERROR((AK55-AK56)/AK55,"")</f>
        <v/>
      </c>
      <c r="AL54" s="282" t="str">
        <f aca="false">IFERROR((AL55-AL56)/AL55,"")</f>
        <v/>
      </c>
      <c r="AM54" s="282" t="str">
        <f aca="false">IFERROR((AM55-AM56)/AM55,"")</f>
        <v/>
      </c>
      <c r="AN54" s="284" t="str">
        <f aca="false">IFERROR((AN55-AN56)/AN55,"")</f>
        <v/>
      </c>
      <c r="AO54" s="285" t="str">
        <f aca="false">IFERROR((AO55-AO56)/AO55,"")</f>
        <v/>
      </c>
      <c r="AP54" s="286" t="str">
        <f aca="false">IFERROR((AP55-AP56)/AP55,"")</f>
        <v/>
      </c>
      <c r="AQ54" s="286" t="str">
        <f aca="false">IFERROR((AQ55-AQ56)/AQ55,"")</f>
        <v/>
      </c>
      <c r="AR54" s="286" t="str">
        <f aca="false">IFERROR((AR55-AR56)/AR55,"")</f>
        <v/>
      </c>
      <c r="AS54" s="286" t="str">
        <f aca="false">IFERROR((AS55-AS56)/AS55,"")</f>
        <v/>
      </c>
      <c r="AT54" s="286" t="str">
        <f aca="false">IFERROR((AT55-AT56)/AT55,"")</f>
        <v/>
      </c>
      <c r="AU54" s="287" t="str">
        <f aca="false">IFERROR((AU55-AU56)/AU55,"")</f>
        <v/>
      </c>
      <c r="AV54" s="288" t="str">
        <f aca="false">IFERROR((AV55-AV56)/AV55,"")</f>
        <v/>
      </c>
    </row>
    <row r="55" customFormat="false" ht="14.25" hidden="false" customHeight="false" outlineLevel="0" collapsed="false">
      <c r="A55" s="166" t="str">
        <f aca="false">+IF(C55+C56=0,"[ocultar]","")</f>
        <v>[ocultar]</v>
      </c>
      <c r="B55" s="289" t="s">
        <v>371</v>
      </c>
      <c r="C55" s="290" t="n">
        <f aca="false" t="array" ref="C55:C55">SUM(IF($B55=DATOS_[Sexo], IF($B54=DATOS_[AGRUP. VALOR. PTO.], IF("Dentro"=DATOS_[Check Periodo Ref.], 1/(COUNTIFS(DATOS_[Sexo],$B55,DATOS_[AGRUP. VALOR. PTO.],$B54,DATOS_[Check Periodo Ref.],"Dentro",DATOS_[id],DATOS_[id]))))))</f>
        <v>0</v>
      </c>
      <c r="D55" s="291" t="n">
        <f aca="false">COUNTIFS(DATOS_[AGRUP. VALOR. PTO.],$B54,DATOS_[Sexo],$B55,DATOS_[Check Periodo Ref.],"Dentro")</f>
        <v>0</v>
      </c>
      <c r="E55" s="291" t="n">
        <f aca="false">COUNTIFS(DATOS_[AGRUP. VALOR. PTO.],$B54,DATOS_[Sexo],$B55,DATOS_[Check Periodo Ref.],"Dentro",DATOS_[Check Nº SC Norm],"Sí")</f>
        <v>0</v>
      </c>
      <c r="F55" s="291" t="n">
        <f aca="false">COUNTIFS(DATOS_[AGRUP. VALOR. PTO.],$B54,DATOS_[Sexo],$B55,DATOS_[Check Periodo Ref.],"Dentro",DATOS_[Check Nº SC Anualiz],"Sí")</f>
        <v>0</v>
      </c>
      <c r="G55" s="291" t="n">
        <f aca="false">COUNTIFS(DATOS_[AGRUP. VALOR. PTO.],$B54,DATOS_[Sexo],$B55,DATOS_[Check Periodo Ref.],"Dentro",DATOS_[Check Nº SC Norm y Anualiz],"Sí")</f>
        <v>0</v>
      </c>
      <c r="H55" s="291" t="n">
        <f aca="false">COUNTIFS(DATOS_[AGRUP. VALOR. PTO.],$B54,DATOS_[Sexo],$B55,DATOS_[Check Periodo Ref.],"Dentro",DATOS_[Check Equiparación],"Sí")</f>
        <v>0</v>
      </c>
      <c r="I55" s="292" t="n">
        <f aca="false" t="array" ref="I55:I55">IFERROR( AVERAGE(IF(DATOS_[Sexo]=$B55,IF(DATOS_[[AGRUP. VALOR. PTO.]:[AGRUP. VALOR. PTO.]]=$B54,IF(DATOS_[Check Equiparado]="Sí",IF(DATOS_[Check Periodo Ref.]="Dentro",DATOS_[SALARIO BASE Eq],0))))), 0)</f>
        <v>0</v>
      </c>
      <c r="J55" s="302" t="n">
        <f aca="false" t="array" ref="J55:J55">IFERROR( (AVERAGE((IF(DATOS_[[Sexo]:[Sexo]]=$B55,IF(DATOS_[[AGRUP. VALOR. PTO.]:[AGRUP. VALOR. PTO.]]=$B54,IF(DATOS_[[Check Periodo Ref.]:[Check Periodo Ref.]]="Dentro",IF(DATOS_[[Check Equiparado]:[Check Equiparado]]="Sí",IF(DATOS!AE$4="Sí",(1/DATOS_[[% anualiz]:[% anualiz]]),1)*IF(DATOS!AE$5="Sí",1/DATOS_[[% normaliz]:[% normaliz]],1)*(DATOS_[Conc.Sal.01])))))))), 0)</f>
        <v>0</v>
      </c>
      <c r="K55" s="302" t="n">
        <f aca="false" t="array" ref="K55:K55">IFERROR( (AVERAGE((IF(DATOS_[[Sexo]:[Sexo]]=$B55,IF(DATOS_[[AGRUP. VALOR. PTO.]:[AGRUP. VALOR. PTO.]]=$B54,IF(DATOS_[[Check Periodo Ref.]:[Check Periodo Ref.]]="Dentro",IF(DATOS_[[Check Equiparado]:[Check Equiparado]]="Sí",IF(DATOS!AF$4="Sí",(1/DATOS_[[% anualiz]:[% anualiz]]),1)*IF(DATOS!AF$5="Sí",1/DATOS_[[% normaliz]:[% normaliz]],1)*(DATOS_[Conc.Sal.02])))))))), 0)</f>
        <v>0</v>
      </c>
      <c r="L55" s="302" t="n">
        <f aca="false" t="array" ref="L55:L55">IFERROR( (AVERAGE((IF(DATOS_[[Sexo]:[Sexo]]=$B55,IF(DATOS_[[AGRUP. VALOR. PTO.]:[AGRUP. VALOR. PTO.]]=$B54,IF(DATOS_[[Check Periodo Ref.]:[Check Periodo Ref.]]="Dentro",IF(DATOS_[[Check Equiparado]:[Check Equiparado]]="Sí",IF(DATOS!AG$4="Sí",(1/DATOS_[[% anualiz]:[% anualiz]]),1)*IF(DATOS!AG$5="Sí",1/DATOS_[[% normaliz]:[% normaliz]],1)*(DATOS_[Conc.Sal.03])))))))), 0)</f>
        <v>0</v>
      </c>
      <c r="M55" s="302" t="n">
        <f aca="false" t="array" ref="M55:M55">IFERROR( (AVERAGE((IF(DATOS_[[Sexo]:[Sexo]]=$B55,IF(DATOS_[[AGRUP. VALOR. PTO.]:[AGRUP. VALOR. PTO.]]=$B54,IF(DATOS_[[Check Periodo Ref.]:[Check Periodo Ref.]]="Dentro",IF(DATOS_[[Check Equiparado]:[Check Equiparado]]="Sí",IF(DATOS!AH$4="Sí",(1/DATOS_[[% anualiz]:[% anualiz]]),1)*IF(DATOS!AH$5="Sí",1/DATOS_[[% normaliz]:[% normaliz]],1)*(DATOS_[Conc.Sal.04])))))))), 0)</f>
        <v>0</v>
      </c>
      <c r="N55" s="302" t="n">
        <f aca="false" t="array" ref="N55:N55">IFERROR( (AVERAGE((IF(DATOS_[[Sexo]:[Sexo]]=$B55,IF(DATOS_[[AGRUP. VALOR. PTO.]:[AGRUP. VALOR. PTO.]]=$B54,IF(DATOS_[[Check Periodo Ref.]:[Check Periodo Ref.]]="Dentro",IF(DATOS_[[Check Equiparado]:[Check Equiparado]]="Sí",IF(DATOS!AI$4="Sí",(1/DATOS_[[% anualiz]:[% anualiz]]),1)*IF(DATOS!AI$5="Sí",1/DATOS_[[% normaliz]:[% normaliz]],1)*(DATOS_[Conc.Sal.05])))))))), 0)</f>
        <v>0</v>
      </c>
      <c r="O55" s="302" t="n">
        <f aca="false" t="array" ref="O55:O55">IFERROR( (AVERAGE((IF(DATOS_[[Sexo]:[Sexo]]=$B55,IF(DATOS_[[AGRUP. VALOR. PTO.]:[AGRUP. VALOR. PTO.]]=$B54,IF(DATOS_[[Check Periodo Ref.]:[Check Periodo Ref.]]="Dentro",IF(DATOS_[[Check Equiparado]:[Check Equiparado]]="Sí",IF(DATOS!AJ$4="Sí",(1/DATOS_[[% anualiz]:[% anualiz]]),1)*IF(DATOS!AJ$5="Sí",1/DATOS_[[% normaliz]:[% normaliz]],1)*(DATOS_[Conc.Sal.06])))))))), 0)</f>
        <v>0</v>
      </c>
      <c r="P55" s="302" t="n">
        <f aca="false" t="array" ref="P55:P55">IFERROR( (AVERAGE((IF(DATOS_[[Sexo]:[Sexo]]=$B55,IF(DATOS_[[AGRUP. VALOR. PTO.]:[AGRUP. VALOR. PTO.]]=$B54,IF(DATOS_[[Check Periodo Ref.]:[Check Periodo Ref.]]="Dentro",IF(DATOS_[[Check Equiparado]:[Check Equiparado]]="Sí",IF(DATOS!AK$4="Sí",(1/DATOS_[[% anualiz]:[% anualiz]]),1)*IF(DATOS!AK$5="Sí",1/DATOS_[[% normaliz]:[% normaliz]],1)*(DATOS_[Conc.Sal.07])))))))), 0)</f>
        <v>0</v>
      </c>
      <c r="Q55" s="302" t="n">
        <f aca="false" t="array" ref="Q55:Q55">IFERROR( (AVERAGE((IF(DATOS_[[Sexo]:[Sexo]]=$B55,IF(DATOS_[[AGRUP. VALOR. PTO.]:[AGRUP. VALOR. PTO.]]=$B54,IF(DATOS_[[Check Periodo Ref.]:[Check Periodo Ref.]]="Dentro",IF(DATOS_[[Check Equiparado]:[Check Equiparado]]="Sí",IF(DATOS!AL$4="Sí",(1/DATOS_[[% anualiz]:[% anualiz]]),1)*IF(DATOS!AL$5="Sí",1/DATOS_[[% normaliz]:[% normaliz]],1)*(DATOS_[Conc.Sal.08])))))))), 0)</f>
        <v>0</v>
      </c>
      <c r="R55" s="302" t="n">
        <f aca="false" t="array" ref="R55:R55">IFERROR( (AVERAGE((IF(DATOS_[[Sexo]:[Sexo]]=$B55,IF(DATOS_[[AGRUP. VALOR. PTO.]:[AGRUP. VALOR. PTO.]]=$B54,IF(DATOS_[[Check Periodo Ref.]:[Check Periodo Ref.]]="Dentro",IF(DATOS_[[Check Equiparado]:[Check Equiparado]]="Sí",IF(DATOS!AM$4="Sí",(1/DATOS_[[% anualiz]:[% anualiz]]),1)*IF(DATOS!AM$5="Sí",1/DATOS_[[% normaliz]:[% normaliz]],1)*(DATOS_[Conc.Sal.09])))))))), 0)</f>
        <v>0</v>
      </c>
      <c r="S55" s="302" t="n">
        <f aca="false" t="array" ref="S55:S55">IFERROR( (AVERAGE((IF(DATOS_[[Sexo]:[Sexo]]=$B55,IF(DATOS_[[AGRUP. VALOR. PTO.]:[AGRUP. VALOR. PTO.]]=$B54,IF(DATOS_[[Check Periodo Ref.]:[Check Periodo Ref.]]="Dentro",IF(DATOS_[[Check Equiparado]:[Check Equiparado]]="Sí",IF(DATOS!AN$4="Sí",(1/DATOS_[[% anualiz]:[% anualiz]]),1)*IF(DATOS!AN$5="Sí",1/DATOS_[[% normaliz]:[% normaliz]],1)*(DATOS_[Conc.Sal.10])))))))), 0)</f>
        <v>0</v>
      </c>
      <c r="T55" s="302" t="n">
        <f aca="false" t="array" ref="T55:T55">IFERROR( (AVERAGE((IF(DATOS_[[Sexo]:[Sexo]]=$B55,IF(DATOS_[[AGRUP. VALOR. PTO.]:[AGRUP. VALOR. PTO.]]=$B54,IF(DATOS_[[Check Periodo Ref.]:[Check Periodo Ref.]]="Dentro",IF(DATOS_[[Check Equiparado]:[Check Equiparado]]="Sí",IF(DATOS!AO$4="Sí",(1/DATOS_[[% anualiz]:[% anualiz]]),1)*IF(DATOS!AO$5="Sí",1/DATOS_[[% normaliz]:[% normaliz]],1)*(DATOS_[Conc.Sal.11])))))))), 0)</f>
        <v>0</v>
      </c>
      <c r="U55" s="302" t="n">
        <f aca="false" t="array" ref="U55:U55">IFERROR( (AVERAGE((IF(DATOS_[[Sexo]:[Sexo]]=$B55,IF(DATOS_[[AGRUP. VALOR. PTO.]:[AGRUP. VALOR. PTO.]]=$B54,IF(DATOS_[[Check Periodo Ref.]:[Check Periodo Ref.]]="Dentro",IF(DATOS_[[Check Equiparado]:[Check Equiparado]]="Sí",IF(DATOS!AP$4="Sí",(1/DATOS_[[% anualiz]:[% anualiz]]),1)*IF(DATOS!AP$5="Sí",1/DATOS_[[% normaliz]:[% normaliz]],1)*(DATOS_[Conc.Sal.12])))))))), 0)</f>
        <v>0</v>
      </c>
      <c r="V55" s="302" t="n">
        <f aca="false" t="array" ref="V55:V55">IFERROR( (AVERAGE((IF(DATOS_[[Sexo]:[Sexo]]=$B55,IF(DATOS_[[AGRUP. VALOR. PTO.]:[AGRUP. VALOR. PTO.]]=$B54,IF(DATOS_[[Check Periodo Ref.]:[Check Periodo Ref.]]="Dentro",IF(DATOS_[[Check Equiparado]:[Check Equiparado]]="Sí",IF(DATOS!AQ$4="Sí",(1/DATOS_[[% anualiz]:[% anualiz]]),1)*IF(DATOS!AQ$5="Sí",1/DATOS_[[% normaliz]:[% normaliz]],1)*(DATOS_[Conc.Sal.13])))))))), 0)</f>
        <v>0</v>
      </c>
      <c r="W55" s="302" t="n">
        <f aca="false" t="array" ref="W55:W55">IFERROR( (AVERAGE((IF(DATOS_[[Sexo]:[Sexo]]=$B55,IF(DATOS_[[AGRUP. VALOR. PTO.]:[AGRUP. VALOR. PTO.]]=$B54,IF(DATOS_[[Check Periodo Ref.]:[Check Periodo Ref.]]="Dentro",IF(DATOS_[[Check Equiparado]:[Check Equiparado]]="Sí",IF(DATOS!AR$4="Sí",(1/DATOS_[[% anualiz]:[% anualiz]]),1)*IF(DATOS!AR$5="Sí",1/DATOS_[[% normaliz]:[% normaliz]],1)*(DATOS_[Conc.Sal.14])))))))), 0)</f>
        <v>0</v>
      </c>
      <c r="X55" s="302" t="n">
        <f aca="false" t="array" ref="X55:X55">IFERROR( (AVERAGE((IF(DATOS_[[Sexo]:[Sexo]]=$B55,IF(DATOS_[[AGRUP. VALOR. PTO.]:[AGRUP. VALOR. PTO.]]=$B54,IF(DATOS_[[Check Periodo Ref.]:[Check Periodo Ref.]]="Dentro",IF(DATOS_[[Check Equiparado]:[Check Equiparado]]="Sí",IF(DATOS!AS$4="Sí",(1/DATOS_[[% anualiz]:[% anualiz]]),1)*IF(DATOS!AS$5="Sí",1/DATOS_[[% normaliz]:[% normaliz]],1)*(DATOS_[Conc.Sal.15])))))))), 0)</f>
        <v>0</v>
      </c>
      <c r="Y55" s="302" t="n">
        <f aca="false" t="array" ref="Y55:Y55">IFERROR( (AVERAGE((IF(DATOS_[[Sexo]:[Sexo]]=$B55,IF(DATOS_[[AGRUP. VALOR. PTO.]:[AGRUP. VALOR. PTO.]]=$B54,IF(DATOS_[[Check Periodo Ref.]:[Check Periodo Ref.]]="Dentro",IF(DATOS_[[Check Equiparado]:[Check Equiparado]]="Sí",IF(DATOS!AT$4="Sí",(1/DATOS_[[% anualiz]:[% anualiz]]),1)*IF(DATOS!AT$5="Sí",1/DATOS_[[% normaliz]:[% normaliz]],1)*(DATOS_[Conc.Sal.16])))))))), 0)</f>
        <v>0</v>
      </c>
      <c r="Z55" s="302" t="n">
        <f aca="false" t="array" ref="Z55:Z55">IFERROR( (AVERAGE((IF(DATOS_[[Sexo]:[Sexo]]=$B55,IF(DATOS_[[AGRUP. VALOR. PTO.]:[AGRUP. VALOR. PTO.]]=$B54,IF(DATOS_[[Check Periodo Ref.]:[Check Periodo Ref.]]="Dentro",IF(DATOS_[[Check Equiparado]:[Check Equiparado]]="Sí",IF(DATOS!AU$4="Sí",(1/DATOS_[[% anualiz]:[% anualiz]]),1)*IF(DATOS!AU$5="Sí",1/DATOS_[[% normaliz]:[% normaliz]],1)*(DATOS_[Conc.Sal.17])))))))), 0)</f>
        <v>0</v>
      </c>
      <c r="AA55" s="302" t="n">
        <f aca="false" t="array" ref="AA55:AA55">IFERROR( (AVERAGE((IF(DATOS_[[Sexo]:[Sexo]]=$B55,IF(DATOS_[[AGRUP. VALOR. PTO.]:[AGRUP. VALOR. PTO.]]=$B54,IF(DATOS_[[Check Periodo Ref.]:[Check Periodo Ref.]]="Dentro",IF(DATOS_[[Check Equiparado]:[Check Equiparado]]="Sí",IF(DATOS!AV$4="Sí",(1/DATOS_[[% anualiz]:[% anualiz]]),1)*IF(DATOS!AV$5="Sí",1/DATOS_[[% normaliz]:[% normaliz]],1)*(DATOS_[Conc.Sal.18])))))))), 0)</f>
        <v>0</v>
      </c>
      <c r="AB55" s="302" t="n">
        <f aca="false" t="array" ref="AB55:AB55">IFERROR( (AVERAGE((IF(DATOS_[[Sexo]:[Sexo]]=$B55,IF(DATOS_[[AGRUP. VALOR. PTO.]:[AGRUP. VALOR. PTO.]]=$B54,IF(DATOS_[[Check Periodo Ref.]:[Check Periodo Ref.]]="Dentro",IF(DATOS_[[Check Equiparado]:[Check Equiparado]]="Sí",IF(DATOS!AW$4="Sí",(1/DATOS_[[% anualiz]:[% anualiz]]),1)*IF(DATOS!AW$5="Sí",1/DATOS_[[% normaliz]:[% normaliz]],1)*(DATOS_[Conc.Sal.19])))))))), 0)</f>
        <v>0</v>
      </c>
      <c r="AC55" s="302" t="n">
        <f aca="false" t="array" ref="AC55:AC55">IFERROR( (AVERAGE((IF(DATOS_[[Sexo]:[Sexo]]=$B55,IF(DATOS_[[AGRUP. VALOR. PTO.]:[AGRUP. VALOR. PTO.]]=$B54,IF(DATOS_[[Check Periodo Ref.]:[Check Periodo Ref.]]="Dentro",IF(DATOS_[[Check Equiparado]:[Check Equiparado]]="Sí",IF(DATOS!AX$4="Sí",(1/DATOS_[[% anualiz]:[% anualiz]]),1)*IF(DATOS!AX$5="Sí",1/DATOS_[[% normaliz]:[% normaliz]],1)*(DATOS_[Conc.Sal.20])))))))), 0)</f>
        <v>0</v>
      </c>
      <c r="AD55" s="302" t="n">
        <f aca="false" t="array" ref="AD55:AD55">IFERROR( (AVERAGE((IF(DATOS_[[Sexo]:[Sexo]]=$B55,IF(DATOS_[[AGRUP. VALOR. PTO.]:[AGRUP. VALOR. PTO.]]=$B54,IF(DATOS_[[Check Periodo Ref.]:[Check Periodo Ref.]]="Dentro",IF(DATOS_[[Check Equiparado]:[Check Equiparado]]="Sí",IF(DATOS!AY$4="Sí",(1/DATOS_[[% anualiz]:[% anualiz]]),1)*IF(DATOS!AY$5="Sí",1/DATOS_[[% normaliz]:[% normaliz]],1)*(DATOS_[Conc.Sal.21])))))))), 0)</f>
        <v>0</v>
      </c>
      <c r="AE55" s="302" t="n">
        <f aca="false" t="array" ref="AE55:AE55">IFERROR( (AVERAGE((IF(DATOS_[[Sexo]:[Sexo]]=$B55,IF(DATOS_[[AGRUP. VALOR. PTO.]:[AGRUP. VALOR. PTO.]]=$B54,IF(DATOS_[[Check Periodo Ref.]:[Check Periodo Ref.]]="Dentro",IF(DATOS_[[Check Equiparado]:[Check Equiparado]]="Sí",IF(DATOS!AZ$4="Sí",(1/DATOS_[[% anualiz]:[% anualiz]]),1)*IF(DATOS!AZ$5="Sí",1/DATOS_[[% normaliz]:[% normaliz]],1)*(DATOS_[Conc.Sal.22])))))))), 0)</f>
        <v>0</v>
      </c>
      <c r="AF55" s="302" t="n">
        <f aca="false" t="array" ref="AF55:AF55">IFERROR( (AVERAGE((IF(DATOS_[[Sexo]:[Sexo]]=$B55,IF(DATOS_[[AGRUP. VALOR. PTO.]:[AGRUP. VALOR. PTO.]]=$B54,IF(DATOS_[[Check Periodo Ref.]:[Check Periodo Ref.]]="Dentro",IF(DATOS_[[Check Equiparado]:[Check Equiparado]]="Sí",IF(DATOS!BA$4="Sí",(1/DATOS_[[% anualiz]:[% anualiz]]),1)*IF(DATOS!BA$5="Sí",1/DATOS_[[% normaliz]:[% normaliz]],1)*(DATOS_[Conc.Sal.23])))))))), 0)</f>
        <v>0</v>
      </c>
      <c r="AG55" s="302" t="n">
        <f aca="false" t="array" ref="AG55:AG55">IFERROR( (AVERAGE((IF(DATOS_[[Sexo]:[Sexo]]=$B55,IF(DATOS_[[AGRUP. VALOR. PTO.]:[AGRUP. VALOR. PTO.]]=$B54,IF(DATOS_[[Check Periodo Ref.]:[Check Periodo Ref.]]="Dentro",IF(DATOS_[[Check Equiparado]:[Check Equiparado]]="Sí",IF(DATOS!BB$4="Sí",(1/DATOS_[[% anualiz]:[% anualiz]]),1)*IF(DATOS!BB$5="Sí",1/DATOS_[[% normaliz]:[% normaliz]],1)*(DATOS_[Conc.Sal.24])))))))), 0)</f>
        <v>0</v>
      </c>
      <c r="AH55" s="302" t="n">
        <f aca="false" t="array" ref="AH55:AH55">IFERROR( (AVERAGE((IF(DATOS_[[Sexo]:[Sexo]]=$B55,IF(DATOS_[[AGRUP. VALOR. PTO.]:[AGRUP. VALOR. PTO.]]=$B54,IF(DATOS_[[Check Periodo Ref.]:[Check Periodo Ref.]]="Dentro",IF(DATOS_[[Check Equiparado]:[Check Equiparado]]="Sí",IF(DATOS!BC$4="Sí",(1/DATOS_[[% anualiz]:[% anualiz]]),1)*IF(DATOS!BC$5="Sí",1/DATOS_[[% normaliz]:[% normaliz]],1)*(DATOS_[Conc.Sal.25])))))))), 0)</f>
        <v>0</v>
      </c>
      <c r="AI55" s="302" t="n">
        <f aca="false" t="array" ref="AI55:AI55">IFERROR( (AVERAGE((IF(DATOS_[[Sexo]:[Sexo]]=$B55,IF(DATOS_[[AGRUP. VALOR. PTO.]:[AGRUP. VALOR. PTO.]]=$B54,IF(DATOS_[[Check Periodo Ref.]:[Check Periodo Ref.]]="Dentro",IF(DATOS_[[Check Equiparado]:[Check Equiparado]]="Sí",IF(DATOS!BD$4="Sí",(1/DATOS_[[% anualiz]:[% anualiz]]),1)*IF(DATOS!BD$5="Sí",1/DATOS_[[% normaliz]:[% normaliz]],1)*(DATOS_[Conc.Sal.26])))))))), 0)</f>
        <v>0</v>
      </c>
      <c r="AJ55" s="302" t="n">
        <f aca="false" t="array" ref="AJ55:AJ55">IFERROR( (AVERAGE((IF(DATOS_[[Sexo]:[Sexo]]=$B55,IF(DATOS_[[AGRUP. VALOR. PTO.]:[AGRUP. VALOR. PTO.]]=$B54,IF(DATOS_[[Check Periodo Ref.]:[Check Periodo Ref.]]="Dentro",IF(DATOS_[[Check Equiparado]:[Check Equiparado]]="Sí",IF(DATOS!BE$4="Sí",(1/DATOS_[[% anualiz]:[% anualiz]]),1)*IF(DATOS!BE$5="Sí",1/DATOS_[[% normaliz]:[% normaliz]],1)*(DATOS_[Conc.Sal.27])))))))), 0)</f>
        <v>0</v>
      </c>
      <c r="AK55" s="302" t="n">
        <f aca="false" t="array" ref="AK55:AK55">IFERROR( (AVERAGE((IF(DATOS_[[Sexo]:[Sexo]]=$B55,IF(DATOS_[[AGRUP. VALOR. PTO.]:[AGRUP. VALOR. PTO.]]=$B54,IF(DATOS_[[Check Periodo Ref.]:[Check Periodo Ref.]]="Dentro",IF(DATOS_[[Check Equiparado]:[Check Equiparado]]="Sí",IF(DATOS!BF$4="Sí",(1/DATOS_[[% anualiz]:[% anualiz]]),1)*IF(DATOS!BF$5="Sí",1/DATOS_[[% normaliz]:[% normaliz]],1)*(DATOS_[Conc.Sal.28])))))))), 0)</f>
        <v>0</v>
      </c>
      <c r="AL55" s="302" t="n">
        <f aca="false" t="array" ref="AL55:AL55">IFERROR( (AVERAGE((IF(DATOS_[[Sexo]:[Sexo]]=$B55,IF(DATOS_[[AGRUP. VALOR. PTO.]:[AGRUP. VALOR. PTO.]]=$B54,IF(DATOS_[[Check Periodo Ref.]:[Check Periodo Ref.]]="Dentro",IF(DATOS_[[Check Equiparado]:[Check Equiparado]]="Sí",IF(DATOS!BG$4="Sí",(1/DATOS_[[% anualiz]:[% anualiz]]),1)*IF(DATOS!BG$5="Sí",1/DATOS_[[% normaliz]:[% normaliz]],1)*(DATOS_[Conc.Sal.29])))))))), 0)</f>
        <v>0</v>
      </c>
      <c r="AM55" s="302" t="n">
        <f aca="false" t="array" ref="AM55:AM55">IFERROR( (AVERAGE((IF(DATOS_[[Sexo]:[Sexo]]=$B55,IF(DATOS_[[AGRUP. VALOR. PTO.]:[AGRUP. VALOR. PTO.]]=$B54,IF(DATOS_[[Check Periodo Ref.]:[Check Periodo Ref.]]="Dentro",IF(DATOS_[[Check Equiparado]:[Check Equiparado]]="Sí",IF(DATOS!BH$4="Sí",(1/DATOS_[[% anualiz]:[% anualiz]]),1)*IF(DATOS!BH$5="Sí",1/DATOS_[[% normaliz]:[% normaliz]],1)*(DATOS_[Conc.Sal.30])))))))), 0)</f>
        <v>0</v>
      </c>
      <c r="AN55" s="294" t="n">
        <f aca="false" t="array" ref="AN55:AN55">IFERROR( AVERAGE(IF(DATOS_[Sexo]=$B55,IF(DATOS_[[AGRUP. VALOR. PTO.]:[AGRUP. VALOR. PTO.]]=$B54,IF(DATOS_[Check Equiparado]="Sí",IF(DATOS_[Check Periodo Ref.]="Dentro",DATOS_[Tot COMPL.SAL Eq],0))))), 0)</f>
        <v>0</v>
      </c>
      <c r="AO55" s="295" t="n">
        <f aca="false" t="array" ref="AO55:AO55">IFERROR( AVERAGE(IF(DATOS_[Sexo]=$B55,IF(DATOS_[[AGRUP. VALOR. PTO.]:[AGRUP. VALOR. PTO.]]=$B54,IF(DATOS_[Check Equiparado]="Sí",IF(DATOS_[Check Periodo Ref.]="Dentro",DATOS_[TOTAL SALARIO Eq],0))))), 0)</f>
        <v>0</v>
      </c>
      <c r="AP55" s="303" t="n">
        <f aca="false" t="array" ref="AP55:AP55">IFERROR( (AVERAGE((IF(DATOS_[[Sexo]:[Sexo]]=$B55,IF(DATOS_[[AGRUP. VALOR. PTO.]:[AGRUP. VALOR. PTO.]]=$B54,IF(DATOS_[[Check Periodo Ref.]:[Check Periodo Ref.]]="Dentro",IF(DATOS_[[Check Equiparado]:[Check Equiparado]]="Sí",IF(DATOS!BI$4="Sí",(1/DATOS_[[% anualiz]:[% anualiz]]),1)*IF(DATOS!BI$5="Sí",1/DATOS_[[% normaliz]:[% normaliz]],1)*(DATOS_[C.Extra.01])))))))), 0)</f>
        <v>0</v>
      </c>
      <c r="AQ55" s="303" t="n">
        <f aca="false" t="array" ref="AQ55:AQ55">IFERROR( (AVERAGE((IF(DATOS_[[Sexo]:[Sexo]]=$B55,IF(DATOS_[[AGRUP. VALOR. PTO.]:[AGRUP. VALOR. PTO.]]=$B54,IF(DATOS_[[Check Periodo Ref.]:[Check Periodo Ref.]]="Dentro",IF(DATOS_[[Check Equiparado]:[Check Equiparado]]="Sí",IF(DATOS!BJ$4="Sí",(1/DATOS_[[% anualiz]:[% anualiz]]),1)*IF(DATOS!BJ$5="Sí",1/DATOS_[[% normaliz]:[% normaliz]],1)*(DATOS_[C.Extra.02])))))))), 0)</f>
        <v>0</v>
      </c>
      <c r="AR55" s="303" t="n">
        <f aca="false" t="array" ref="AR55:AR55">IFERROR( (AVERAGE((IF(DATOS_[[Sexo]:[Sexo]]=$B55,IF(DATOS_[[AGRUP. VALOR. PTO.]:[AGRUP. VALOR. PTO.]]=$B54,IF(DATOS_[[Check Periodo Ref.]:[Check Periodo Ref.]]="Dentro",IF(DATOS_[[Check Equiparado]:[Check Equiparado]]="Sí",IF(DATOS!BK$4="Sí",(1/DATOS_[[% anualiz]:[% anualiz]]),1)*IF(DATOS!BK$5="Sí",1/DATOS_[[% normaliz]:[% normaliz]],1)*(DATOS_[C.Extra.03])))))))), 0)</f>
        <v>0</v>
      </c>
      <c r="AS55" s="303" t="n">
        <f aca="false" t="array" ref="AS55:AS55">IFERROR( (AVERAGE((IF(DATOS_[[Sexo]:[Sexo]]=$B55,IF(DATOS_[[AGRUP. VALOR. PTO.]:[AGRUP. VALOR. PTO.]]=$B54,IF(DATOS_[[Check Periodo Ref.]:[Check Periodo Ref.]]="Dentro",IF(DATOS_[[Check Equiparado]:[Check Equiparado]]="Sí",IF(DATOS!BL$4="Sí",(1/DATOS_[[% anualiz]:[% anualiz]]),1)*IF(DATOS!BL$5="Sí",1/DATOS_[[% normaliz]:[% normaliz]],1)*(DATOS_[C.Extra.04])))))))), 0)</f>
        <v>0</v>
      </c>
      <c r="AT55" s="303" t="n">
        <f aca="false" t="array" ref="AT55:AT55">IFERROR( (AVERAGE((IF(DATOS_[[Sexo]:[Sexo]]=$B55,IF(DATOS_[[AGRUP. VALOR. PTO.]:[AGRUP. VALOR. PTO.]]=$B54,IF(DATOS_[[Check Periodo Ref.]:[Check Periodo Ref.]]="Dentro",IF(DATOS_[[Check Equiparado]:[Check Equiparado]]="Sí",IF(DATOS!BM$4="Sí",(1/DATOS_[[% anualiz]:[% anualiz]]),1)*IF(DATOS!BM$5="Sí",1/DATOS_[[% normaliz]:[% normaliz]],1)*(DATOS_[C.Extra.05])))))))), 0)</f>
        <v>0</v>
      </c>
      <c r="AU55" s="297" t="n">
        <f aca="false" t="array" ref="AU55:AU55">IFERROR( AVERAGE(IF(DATOS_[Sexo]=$B55,IF(DATOS_[[AGRUP. VALOR. PTO.]:[AGRUP. VALOR. PTO.]]=$B54,IF(DATOS_[Check Equiparado]="Sí",IF(DATOS_[Check Periodo Ref.]="Dentro",DATOS_[Tot Extrasalarial Eq],0))))), 0)</f>
        <v>0</v>
      </c>
      <c r="AV55" s="298" t="n">
        <f aca="false" t="array" ref="AV55:AV55">IFERROR( AVERAGE(IF(DATOS_[Sexo]=$B55,IF(DATOS_[[AGRUP. VALOR. PTO.]:[AGRUP. VALOR. PTO.]]=$B54,IF(DATOS_[Check Equiparado]="Sí",IF(DATOS_[Check Periodo Ref.]="Dentro",DATOS_[TOTAL Retrib Eq],0))))), 0)</f>
        <v>0</v>
      </c>
    </row>
    <row r="56" customFormat="false" ht="14.25" hidden="false" customHeight="false" outlineLevel="0" collapsed="false">
      <c r="A56" s="166" t="str">
        <f aca="false">+A55</f>
        <v>[ocultar]</v>
      </c>
      <c r="B56" s="289" t="s">
        <v>372</v>
      </c>
      <c r="C56" s="290" t="n">
        <f aca="false" t="array" ref="C56:C56">SUM(IF($B56=DATOS_[Sexo], IF($B54=DATOS_[AGRUP. VALOR. PTO.], IF("Dentro"=DATOS_[Check Periodo Ref.], 1/(COUNTIFS(DATOS_[Sexo],$B56,DATOS_[AGRUP. VALOR. PTO.],$B54,DATOS_[Check Periodo Ref.],"Dentro",DATOS_[id],DATOS_[id]))))))</f>
        <v>0</v>
      </c>
      <c r="D56" s="291" t="n">
        <f aca="false">COUNTIFS(DATOS_[AGRUP. VALOR. PTO.],$B54,DATOS_[Sexo],$B56,DATOS_[Check Periodo Ref.],"Dentro")</f>
        <v>0</v>
      </c>
      <c r="E56" s="291" t="n">
        <f aca="false">COUNTIFS(DATOS_[AGRUP. VALOR. PTO.],$B54,DATOS_[Sexo],$B56,DATOS_[Check Periodo Ref.],"Dentro",DATOS_[Check Nº SC Norm],"Sí")</f>
        <v>0</v>
      </c>
      <c r="F56" s="291" t="n">
        <f aca="false">COUNTIFS(DATOS_[AGRUP. VALOR. PTO.],$B54,DATOS_[Sexo],$B56,DATOS_[Check Periodo Ref.],"Dentro",DATOS_[Check Nº SC Anualiz],"Sí")</f>
        <v>0</v>
      </c>
      <c r="G56" s="291" t="n">
        <f aca="false">COUNTIFS(DATOS_[AGRUP. VALOR. PTO.],$B54,DATOS_[Sexo],$B56,DATOS_[Check Periodo Ref.],"Dentro",DATOS_[Check Nº SC Norm y Anualiz],"Sí")</f>
        <v>0</v>
      </c>
      <c r="H56" s="291" t="n">
        <f aca="false">COUNTIFS(DATOS_[AGRUP. VALOR. PTO.],$B54,DATOS_[Sexo],$B56,DATOS_[Check Periodo Ref.],"Dentro",DATOS_[Check Equiparación],"Sí")</f>
        <v>0</v>
      </c>
      <c r="I56" s="292" t="n">
        <f aca="false" t="array" ref="I56:I56">IFERROR( AVERAGE(IF(DATOS_[Sexo]=$B56,IF(DATOS_[[AGRUP. VALOR. PTO.]:[AGRUP. VALOR. PTO.]]=$B54,IF(DATOS_[Check Equiparado]="Sí",IF(DATOS_[Check Periodo Ref.]="Dentro",DATOS_[SALARIO BASE Eq],0))))), 0)</f>
        <v>0</v>
      </c>
      <c r="J56" s="302" t="n">
        <f aca="false" t="array" ref="J56:J56">IFERROR( (AVERAGE((IF(DATOS_[[Sexo]:[Sexo]]=$B56,IF(DATOS_[[AGRUP. VALOR. PTO.]:[AGRUP. VALOR. PTO.]]=$B54,IF(DATOS_[[Check Periodo Ref.]:[Check Periodo Ref.]]="Dentro",IF(DATOS_[[Check Equiparado]:[Check Equiparado]]="Sí",IF(DATOS!AE$4="Sí",(1/DATOS_[[% anualiz]:[% anualiz]]),1)*IF(DATOS!AE$5="Sí",1/DATOS_[[% normaliz]:[% normaliz]],1)*(DATOS_[Conc.Sal.01])))))))), 0)</f>
        <v>0</v>
      </c>
      <c r="K56" s="302" t="n">
        <f aca="false" t="array" ref="K56:K56">IFERROR( (AVERAGE((IF(DATOS_[[Sexo]:[Sexo]]=$B56,IF(DATOS_[[AGRUP. VALOR. PTO.]:[AGRUP. VALOR. PTO.]]=$B54,IF(DATOS_[[Check Periodo Ref.]:[Check Periodo Ref.]]="Dentro",IF(DATOS_[[Check Equiparado]:[Check Equiparado]]="Sí",IF(DATOS!AF$4="Sí",(1/DATOS_[[% anualiz]:[% anualiz]]),1)*IF(DATOS!AF$5="Sí",1/DATOS_[[% normaliz]:[% normaliz]],1)*(DATOS_[Conc.Sal.02])))))))), 0)</f>
        <v>0</v>
      </c>
      <c r="L56" s="302" t="n">
        <f aca="false" t="array" ref="L56:L56">IFERROR( (AVERAGE((IF(DATOS_[[Sexo]:[Sexo]]=$B56,IF(DATOS_[[AGRUP. VALOR. PTO.]:[AGRUP. VALOR. PTO.]]=$B54,IF(DATOS_[[Check Periodo Ref.]:[Check Periodo Ref.]]="Dentro",IF(DATOS_[[Check Equiparado]:[Check Equiparado]]="Sí",IF(DATOS!AG$4="Sí",(1/DATOS_[[% anualiz]:[% anualiz]]),1)*IF(DATOS!AG$5="Sí",1/DATOS_[[% normaliz]:[% normaliz]],1)*(DATOS_[Conc.Sal.03])))))))), 0)</f>
        <v>0</v>
      </c>
      <c r="M56" s="302" t="n">
        <f aca="false" t="array" ref="M56:M56">IFERROR( (AVERAGE((IF(DATOS_[[Sexo]:[Sexo]]=$B56,IF(DATOS_[[AGRUP. VALOR. PTO.]:[AGRUP. VALOR. PTO.]]=$B54,IF(DATOS_[[Check Periodo Ref.]:[Check Periodo Ref.]]="Dentro",IF(DATOS_[[Check Equiparado]:[Check Equiparado]]="Sí",IF(DATOS!AH$4="Sí",(1/DATOS_[[% anualiz]:[% anualiz]]),1)*IF(DATOS!AH$5="Sí",1/DATOS_[[% normaliz]:[% normaliz]],1)*(DATOS_[Conc.Sal.04])))))))), 0)</f>
        <v>0</v>
      </c>
      <c r="N56" s="302" t="n">
        <f aca="false" t="array" ref="N56:N56">IFERROR( (AVERAGE((IF(DATOS_[[Sexo]:[Sexo]]=$B56,IF(DATOS_[[AGRUP. VALOR. PTO.]:[AGRUP. VALOR. PTO.]]=$B54,IF(DATOS_[[Check Periodo Ref.]:[Check Periodo Ref.]]="Dentro",IF(DATOS_[[Check Equiparado]:[Check Equiparado]]="Sí",IF(DATOS!AI$4="Sí",(1/DATOS_[[% anualiz]:[% anualiz]]),1)*IF(DATOS!AI$5="Sí",1/DATOS_[[% normaliz]:[% normaliz]],1)*(DATOS_[Conc.Sal.05])))))))), 0)</f>
        <v>0</v>
      </c>
      <c r="O56" s="302" t="n">
        <f aca="false" t="array" ref="O56:O56">IFERROR( (AVERAGE((IF(DATOS_[[Sexo]:[Sexo]]=$B56,IF(DATOS_[[AGRUP. VALOR. PTO.]:[AGRUP. VALOR. PTO.]]=$B54,IF(DATOS_[[Check Periodo Ref.]:[Check Periodo Ref.]]="Dentro",IF(DATOS_[[Check Equiparado]:[Check Equiparado]]="Sí",IF(DATOS!AJ$4="Sí",(1/DATOS_[[% anualiz]:[% anualiz]]),1)*IF(DATOS!AJ$5="Sí",1/DATOS_[[% normaliz]:[% normaliz]],1)*(DATOS_[Conc.Sal.06])))))))), 0)</f>
        <v>0</v>
      </c>
      <c r="P56" s="302" t="n">
        <f aca="false" t="array" ref="P56:P56">IFERROR( (AVERAGE((IF(DATOS_[[Sexo]:[Sexo]]=$B56,IF(DATOS_[[AGRUP. VALOR. PTO.]:[AGRUP. VALOR. PTO.]]=$B54,IF(DATOS_[[Check Periodo Ref.]:[Check Periodo Ref.]]="Dentro",IF(DATOS_[[Check Equiparado]:[Check Equiparado]]="Sí",IF(DATOS!AK$4="Sí",(1/DATOS_[[% anualiz]:[% anualiz]]),1)*IF(DATOS!AK$5="Sí",1/DATOS_[[% normaliz]:[% normaliz]],1)*(DATOS_[Conc.Sal.07])))))))), 0)</f>
        <v>0</v>
      </c>
      <c r="Q56" s="302" t="n">
        <f aca="false" t="array" ref="Q56:Q56">IFERROR( (AVERAGE((IF(DATOS_[[Sexo]:[Sexo]]=$B56,IF(DATOS_[[AGRUP. VALOR. PTO.]:[AGRUP. VALOR. PTO.]]=$B54,IF(DATOS_[[Check Periodo Ref.]:[Check Periodo Ref.]]="Dentro",IF(DATOS_[[Check Equiparado]:[Check Equiparado]]="Sí",IF(DATOS!AL$4="Sí",(1/DATOS_[[% anualiz]:[% anualiz]]),1)*IF(DATOS!AL$5="Sí",1/DATOS_[[% normaliz]:[% normaliz]],1)*(DATOS_[Conc.Sal.08])))))))), 0)</f>
        <v>0</v>
      </c>
      <c r="R56" s="302" t="n">
        <f aca="false" t="array" ref="R56:R56">IFERROR( (AVERAGE((IF(DATOS_[[Sexo]:[Sexo]]=$B56,IF(DATOS_[[AGRUP. VALOR. PTO.]:[AGRUP. VALOR. PTO.]]=$B54,IF(DATOS_[[Check Periodo Ref.]:[Check Periodo Ref.]]="Dentro",IF(DATOS_[[Check Equiparado]:[Check Equiparado]]="Sí",IF(DATOS!AM$4="Sí",(1/DATOS_[[% anualiz]:[% anualiz]]),1)*IF(DATOS!AM$5="Sí",1/DATOS_[[% normaliz]:[% normaliz]],1)*(DATOS_[Conc.Sal.09])))))))), 0)</f>
        <v>0</v>
      </c>
      <c r="S56" s="302" t="n">
        <f aca="false" t="array" ref="S56:S56">IFERROR( (AVERAGE((IF(DATOS_[[Sexo]:[Sexo]]=$B56,IF(DATOS_[[AGRUP. VALOR. PTO.]:[AGRUP. VALOR. PTO.]]=$B54,IF(DATOS_[[Check Periodo Ref.]:[Check Periodo Ref.]]="Dentro",IF(DATOS_[[Check Equiparado]:[Check Equiparado]]="Sí",IF(DATOS!AN$4="Sí",(1/DATOS_[[% anualiz]:[% anualiz]]),1)*IF(DATOS!AN$5="Sí",1/DATOS_[[% normaliz]:[% normaliz]],1)*(DATOS_[Conc.Sal.10])))))))), 0)</f>
        <v>0</v>
      </c>
      <c r="T56" s="302" t="n">
        <f aca="false" t="array" ref="T56:T56">IFERROR( (AVERAGE((IF(DATOS_[[Sexo]:[Sexo]]=$B56,IF(DATOS_[[AGRUP. VALOR. PTO.]:[AGRUP. VALOR. PTO.]]=$B54,IF(DATOS_[[Check Periodo Ref.]:[Check Periodo Ref.]]="Dentro",IF(DATOS_[[Check Equiparado]:[Check Equiparado]]="Sí",IF(DATOS!AO$4="Sí",(1/DATOS_[[% anualiz]:[% anualiz]]),1)*IF(DATOS!AO$5="Sí",1/DATOS_[[% normaliz]:[% normaliz]],1)*(DATOS_[Conc.Sal.11])))))))), 0)</f>
        <v>0</v>
      </c>
      <c r="U56" s="302" t="n">
        <f aca="false" t="array" ref="U56:U56">IFERROR( (AVERAGE((IF(DATOS_[[Sexo]:[Sexo]]=$B56,IF(DATOS_[[AGRUP. VALOR. PTO.]:[AGRUP. VALOR. PTO.]]=$B54,IF(DATOS_[[Check Periodo Ref.]:[Check Periodo Ref.]]="Dentro",IF(DATOS_[[Check Equiparado]:[Check Equiparado]]="Sí",IF(DATOS!AP$4="Sí",(1/DATOS_[[% anualiz]:[% anualiz]]),1)*IF(DATOS!AP$5="Sí",1/DATOS_[[% normaliz]:[% normaliz]],1)*(DATOS_[Conc.Sal.12])))))))), 0)</f>
        <v>0</v>
      </c>
      <c r="V56" s="302" t="n">
        <f aca="false" t="array" ref="V56:V56">IFERROR( (AVERAGE((IF(DATOS_[[Sexo]:[Sexo]]=$B56,IF(DATOS_[[AGRUP. VALOR. PTO.]:[AGRUP. VALOR. PTO.]]=$B54,IF(DATOS_[[Check Periodo Ref.]:[Check Periodo Ref.]]="Dentro",IF(DATOS_[[Check Equiparado]:[Check Equiparado]]="Sí",IF(DATOS!AQ$4="Sí",(1/DATOS_[[% anualiz]:[% anualiz]]),1)*IF(DATOS!AQ$5="Sí",1/DATOS_[[% normaliz]:[% normaliz]],1)*(DATOS_[Conc.Sal.13])))))))), 0)</f>
        <v>0</v>
      </c>
      <c r="W56" s="302" t="n">
        <f aca="false" t="array" ref="W56:W56">IFERROR( (AVERAGE((IF(DATOS_[[Sexo]:[Sexo]]=$B56,IF(DATOS_[[AGRUP. VALOR. PTO.]:[AGRUP. VALOR. PTO.]]=$B54,IF(DATOS_[[Check Periodo Ref.]:[Check Periodo Ref.]]="Dentro",IF(DATOS_[[Check Equiparado]:[Check Equiparado]]="Sí",IF(DATOS!AR$4="Sí",(1/DATOS_[[% anualiz]:[% anualiz]]),1)*IF(DATOS!AR$5="Sí",1/DATOS_[[% normaliz]:[% normaliz]],1)*(DATOS_[Conc.Sal.14])))))))), 0)</f>
        <v>0</v>
      </c>
      <c r="X56" s="302" t="n">
        <f aca="false" t="array" ref="X56:X56">IFERROR( (AVERAGE((IF(DATOS_[[Sexo]:[Sexo]]=$B56,IF(DATOS_[[AGRUP. VALOR. PTO.]:[AGRUP. VALOR. PTO.]]=$B54,IF(DATOS_[[Check Periodo Ref.]:[Check Periodo Ref.]]="Dentro",IF(DATOS_[[Check Equiparado]:[Check Equiparado]]="Sí",IF(DATOS!AS$4="Sí",(1/DATOS_[[% anualiz]:[% anualiz]]),1)*IF(DATOS!AS$5="Sí",1/DATOS_[[% normaliz]:[% normaliz]],1)*(DATOS_[Conc.Sal.15])))))))), 0)</f>
        <v>0</v>
      </c>
      <c r="Y56" s="302" t="n">
        <f aca="false" t="array" ref="Y56:Y56">IFERROR( (AVERAGE((IF(DATOS_[[Sexo]:[Sexo]]=$B56,IF(DATOS_[[AGRUP. VALOR. PTO.]:[AGRUP. VALOR. PTO.]]=$B54,IF(DATOS_[[Check Periodo Ref.]:[Check Periodo Ref.]]="Dentro",IF(DATOS_[[Check Equiparado]:[Check Equiparado]]="Sí",IF(DATOS!AT$4="Sí",(1/DATOS_[[% anualiz]:[% anualiz]]),1)*IF(DATOS!AT$5="Sí",1/DATOS_[[% normaliz]:[% normaliz]],1)*(DATOS_[Conc.Sal.16])))))))), 0)</f>
        <v>0</v>
      </c>
      <c r="Z56" s="302" t="n">
        <f aca="false" t="array" ref="Z56:Z56">IFERROR( (AVERAGE((IF(DATOS_[[Sexo]:[Sexo]]=$B56,IF(DATOS_[[AGRUP. VALOR. PTO.]:[AGRUP. VALOR. PTO.]]=$B54,IF(DATOS_[[Check Periodo Ref.]:[Check Periodo Ref.]]="Dentro",IF(DATOS_[[Check Equiparado]:[Check Equiparado]]="Sí",IF(DATOS!AU$4="Sí",(1/DATOS_[[% anualiz]:[% anualiz]]),1)*IF(DATOS!AU$5="Sí",1/DATOS_[[% normaliz]:[% normaliz]],1)*(DATOS_[Conc.Sal.17])))))))), 0)</f>
        <v>0</v>
      </c>
      <c r="AA56" s="302" t="n">
        <f aca="false" t="array" ref="AA56:AA56">IFERROR( (AVERAGE((IF(DATOS_[[Sexo]:[Sexo]]=$B56,IF(DATOS_[[AGRUP. VALOR. PTO.]:[AGRUP. VALOR. PTO.]]=$B54,IF(DATOS_[[Check Periodo Ref.]:[Check Periodo Ref.]]="Dentro",IF(DATOS_[[Check Equiparado]:[Check Equiparado]]="Sí",IF(DATOS!AV$4="Sí",(1/DATOS_[[% anualiz]:[% anualiz]]),1)*IF(DATOS!AV$5="Sí",1/DATOS_[[% normaliz]:[% normaliz]],1)*(DATOS_[Conc.Sal.18])))))))), 0)</f>
        <v>0</v>
      </c>
      <c r="AB56" s="302" t="n">
        <f aca="false" t="array" ref="AB56:AB56">IFERROR( (AVERAGE((IF(DATOS_[[Sexo]:[Sexo]]=$B56,IF(DATOS_[[AGRUP. VALOR. PTO.]:[AGRUP. VALOR. PTO.]]=$B54,IF(DATOS_[[Check Periodo Ref.]:[Check Periodo Ref.]]="Dentro",IF(DATOS_[[Check Equiparado]:[Check Equiparado]]="Sí",IF(DATOS!AW$4="Sí",(1/DATOS_[[% anualiz]:[% anualiz]]),1)*IF(DATOS!AW$5="Sí",1/DATOS_[[% normaliz]:[% normaliz]],1)*(DATOS_[Conc.Sal.19])))))))), 0)</f>
        <v>0</v>
      </c>
      <c r="AC56" s="302" t="n">
        <f aca="false" t="array" ref="AC56:AC56">IFERROR( (AVERAGE((IF(DATOS_[[Sexo]:[Sexo]]=$B56,IF(DATOS_[[AGRUP. VALOR. PTO.]:[AGRUP. VALOR. PTO.]]=$B54,IF(DATOS_[[Check Periodo Ref.]:[Check Periodo Ref.]]="Dentro",IF(DATOS_[[Check Equiparado]:[Check Equiparado]]="Sí",IF(DATOS!AX$4="Sí",(1/DATOS_[[% anualiz]:[% anualiz]]),1)*IF(DATOS!AX$5="Sí",1/DATOS_[[% normaliz]:[% normaliz]],1)*(DATOS_[Conc.Sal.20])))))))), 0)</f>
        <v>0</v>
      </c>
      <c r="AD56" s="302" t="n">
        <f aca="false" t="array" ref="AD56:AD56">IFERROR( (AVERAGE((IF(DATOS_[[Sexo]:[Sexo]]=$B56,IF(DATOS_[[AGRUP. VALOR. PTO.]:[AGRUP. VALOR. PTO.]]=$B54,IF(DATOS_[[Check Periodo Ref.]:[Check Periodo Ref.]]="Dentro",IF(DATOS_[[Check Equiparado]:[Check Equiparado]]="Sí",IF(DATOS!AY$4="Sí",(1/DATOS_[[% anualiz]:[% anualiz]]),1)*IF(DATOS!AY$5="Sí",1/DATOS_[[% normaliz]:[% normaliz]],1)*(DATOS_[Conc.Sal.21])))))))), 0)</f>
        <v>0</v>
      </c>
      <c r="AE56" s="302" t="n">
        <f aca="false" t="array" ref="AE56:AE56">IFERROR( (AVERAGE((IF(DATOS_[[Sexo]:[Sexo]]=$B56,IF(DATOS_[[AGRUP. VALOR. PTO.]:[AGRUP. VALOR. PTO.]]=$B54,IF(DATOS_[[Check Periodo Ref.]:[Check Periodo Ref.]]="Dentro",IF(DATOS_[[Check Equiparado]:[Check Equiparado]]="Sí",IF(DATOS!AZ$4="Sí",(1/DATOS_[[% anualiz]:[% anualiz]]),1)*IF(DATOS!AZ$5="Sí",1/DATOS_[[% normaliz]:[% normaliz]],1)*(DATOS_[Conc.Sal.22])))))))), 0)</f>
        <v>0</v>
      </c>
      <c r="AF56" s="302" t="n">
        <f aca="false" t="array" ref="AF56:AF56">IFERROR( (AVERAGE((IF(DATOS_[[Sexo]:[Sexo]]=$B56,IF(DATOS_[[AGRUP. VALOR. PTO.]:[AGRUP. VALOR. PTO.]]=$B54,IF(DATOS_[[Check Periodo Ref.]:[Check Periodo Ref.]]="Dentro",IF(DATOS_[[Check Equiparado]:[Check Equiparado]]="Sí",IF(DATOS!BA$4="Sí",(1/DATOS_[[% anualiz]:[% anualiz]]),1)*IF(DATOS!BA$5="Sí",1/DATOS_[[% normaliz]:[% normaliz]],1)*(DATOS_[Conc.Sal.23])))))))), 0)</f>
        <v>0</v>
      </c>
      <c r="AG56" s="302" t="n">
        <f aca="false" t="array" ref="AG56:AG56">IFERROR( (AVERAGE((IF(DATOS_[[Sexo]:[Sexo]]=$B56,IF(DATOS_[[AGRUP. VALOR. PTO.]:[AGRUP. VALOR. PTO.]]=$B54,IF(DATOS_[[Check Periodo Ref.]:[Check Periodo Ref.]]="Dentro",IF(DATOS_[[Check Equiparado]:[Check Equiparado]]="Sí",IF(DATOS!BB$4="Sí",(1/DATOS_[[% anualiz]:[% anualiz]]),1)*IF(DATOS!BB$5="Sí",1/DATOS_[[% normaliz]:[% normaliz]],1)*(DATOS_[Conc.Sal.24])))))))), 0)</f>
        <v>0</v>
      </c>
      <c r="AH56" s="302" t="n">
        <f aca="false" t="array" ref="AH56:AH56">IFERROR( (AVERAGE((IF(DATOS_[[Sexo]:[Sexo]]=$B56,IF(DATOS_[[AGRUP. VALOR. PTO.]:[AGRUP. VALOR. PTO.]]=$B54,IF(DATOS_[[Check Periodo Ref.]:[Check Periodo Ref.]]="Dentro",IF(DATOS_[[Check Equiparado]:[Check Equiparado]]="Sí",IF(DATOS!BC$4="Sí",(1/DATOS_[[% anualiz]:[% anualiz]]),1)*IF(DATOS!BC$5="Sí",1/DATOS_[[% normaliz]:[% normaliz]],1)*(DATOS_[Conc.Sal.25])))))))), 0)</f>
        <v>0</v>
      </c>
      <c r="AI56" s="302" t="n">
        <f aca="false" t="array" ref="AI56:AI56">IFERROR( (AVERAGE((IF(DATOS_[[Sexo]:[Sexo]]=$B56,IF(DATOS_[[AGRUP. VALOR. PTO.]:[AGRUP. VALOR. PTO.]]=$B54,IF(DATOS_[[Check Periodo Ref.]:[Check Periodo Ref.]]="Dentro",IF(DATOS_[[Check Equiparado]:[Check Equiparado]]="Sí",IF(DATOS!BD$4="Sí",(1/DATOS_[[% anualiz]:[% anualiz]]),1)*IF(DATOS!BD$5="Sí",1/DATOS_[[% normaliz]:[% normaliz]],1)*(DATOS_[Conc.Sal.26])))))))), 0)</f>
        <v>0</v>
      </c>
      <c r="AJ56" s="302" t="n">
        <f aca="false" t="array" ref="AJ56:AJ56">IFERROR( (AVERAGE((IF(DATOS_[[Sexo]:[Sexo]]=$B56,IF(DATOS_[[AGRUP. VALOR. PTO.]:[AGRUP. VALOR. PTO.]]=$B54,IF(DATOS_[[Check Periodo Ref.]:[Check Periodo Ref.]]="Dentro",IF(DATOS_[[Check Equiparado]:[Check Equiparado]]="Sí",IF(DATOS!BE$4="Sí",(1/DATOS_[[% anualiz]:[% anualiz]]),1)*IF(DATOS!BE$5="Sí",1/DATOS_[[% normaliz]:[% normaliz]],1)*(DATOS_[Conc.Sal.27])))))))), 0)</f>
        <v>0</v>
      </c>
      <c r="AK56" s="302" t="n">
        <f aca="false" t="array" ref="AK56:AK56">IFERROR( (AVERAGE((IF(DATOS_[[Sexo]:[Sexo]]=$B56,IF(DATOS_[[AGRUP. VALOR. PTO.]:[AGRUP. VALOR. PTO.]]=$B54,IF(DATOS_[[Check Periodo Ref.]:[Check Periodo Ref.]]="Dentro",IF(DATOS_[[Check Equiparado]:[Check Equiparado]]="Sí",IF(DATOS!BF$4="Sí",(1/DATOS_[[% anualiz]:[% anualiz]]),1)*IF(DATOS!BF$5="Sí",1/DATOS_[[% normaliz]:[% normaliz]],1)*(DATOS_[Conc.Sal.28])))))))), 0)</f>
        <v>0</v>
      </c>
      <c r="AL56" s="302" t="n">
        <f aca="false" t="array" ref="AL56:AL56">IFERROR( (AVERAGE((IF(DATOS_[[Sexo]:[Sexo]]=$B56,IF(DATOS_[[AGRUP. VALOR. PTO.]:[AGRUP. VALOR. PTO.]]=$B54,IF(DATOS_[[Check Periodo Ref.]:[Check Periodo Ref.]]="Dentro",IF(DATOS_[[Check Equiparado]:[Check Equiparado]]="Sí",IF(DATOS!BG$4="Sí",(1/DATOS_[[% anualiz]:[% anualiz]]),1)*IF(DATOS!BG$5="Sí",1/DATOS_[[% normaliz]:[% normaliz]],1)*(DATOS_[Conc.Sal.29])))))))), 0)</f>
        <v>0</v>
      </c>
      <c r="AM56" s="302" t="n">
        <f aca="false" t="array" ref="AM56:AM56">IFERROR( (AVERAGE((IF(DATOS_[[Sexo]:[Sexo]]=$B56,IF(DATOS_[[AGRUP. VALOR. PTO.]:[AGRUP. VALOR. PTO.]]=$B54,IF(DATOS_[[Check Periodo Ref.]:[Check Periodo Ref.]]="Dentro",IF(DATOS_[[Check Equiparado]:[Check Equiparado]]="Sí",IF(DATOS!BH$4="Sí",(1/DATOS_[[% anualiz]:[% anualiz]]),1)*IF(DATOS!BH$5="Sí",1/DATOS_[[% normaliz]:[% normaliz]],1)*(DATOS_[Conc.Sal.30])))))))), 0)</f>
        <v>0</v>
      </c>
      <c r="AN56" s="294" t="n">
        <f aca="false" t="array" ref="AN56:AN56">IFERROR( AVERAGE(IF(DATOS_[Sexo]=$B56,IF(DATOS_[[AGRUP. VALOR. PTO.]:[AGRUP. VALOR. PTO.]]=$B54,IF(DATOS_[Check Equiparado]="Sí",IF(DATOS_[Check Periodo Ref.]="Dentro",DATOS_[Tot COMPL.SAL Eq],0))))), 0)</f>
        <v>0</v>
      </c>
      <c r="AO56" s="295" t="n">
        <f aca="false" t="array" ref="AO56:AO56">IFERROR( AVERAGE(IF(DATOS_[Sexo]=$B56,IF(DATOS_[[AGRUP. VALOR. PTO.]:[AGRUP. VALOR. PTO.]]=$B54,IF(DATOS_[Check Equiparado]="Sí",IF(DATOS_[Check Periodo Ref.]="Dentro",DATOS_[TOTAL SALARIO Eq],0))))), 0)</f>
        <v>0</v>
      </c>
      <c r="AP56" s="303" t="n">
        <f aca="false" t="array" ref="AP56:AP56">IFERROR( (AVERAGE((IF(DATOS_[[Sexo]:[Sexo]]=$B56,IF(DATOS_[[AGRUP. VALOR. PTO.]:[AGRUP. VALOR. PTO.]]=$B55,IF(DATOS_[[Check Periodo Ref.]:[Check Periodo Ref.]]="Dentro",IF(DATOS_[[Check Equiparado]:[Check Equiparado]]="Sí",IF(DATOS!BI$4="Sí",(1/DATOS_[[% anualiz]:[% anualiz]]),1)*IF(DATOS!BI$5="Sí",1/DATOS_[[% normaliz]:[% normaliz]],1)*(DATOS_[C.Extra.01])))))))), 0)</f>
        <v>0</v>
      </c>
      <c r="AQ56" s="303" t="n">
        <f aca="false" t="array" ref="AQ56:AQ56">IFERROR( (AVERAGE((IF(DATOS_[[Sexo]:[Sexo]]=$B56,IF(DATOS_[[AGRUP. VALOR. PTO.]:[AGRUP. VALOR. PTO.]]=$B55,IF(DATOS_[[Check Periodo Ref.]:[Check Periodo Ref.]]="Dentro",IF(DATOS_[[Check Equiparado]:[Check Equiparado]]="Sí",IF(DATOS!BJ$4="Sí",(1/DATOS_[[% anualiz]:[% anualiz]]),1)*IF(DATOS!BJ$5="Sí",1/DATOS_[[% normaliz]:[% normaliz]],1)*(DATOS_[C.Extra.02])))))))), 0)</f>
        <v>0</v>
      </c>
      <c r="AR56" s="303" t="n">
        <f aca="false" t="array" ref="AR56:AR56">IFERROR( (AVERAGE((IF(DATOS_[[Sexo]:[Sexo]]=$B56,IF(DATOS_[[AGRUP. VALOR. PTO.]:[AGRUP. VALOR. PTO.]]=$B55,IF(DATOS_[[Check Periodo Ref.]:[Check Periodo Ref.]]="Dentro",IF(DATOS_[[Check Equiparado]:[Check Equiparado]]="Sí",IF(DATOS!BK$4="Sí",(1/DATOS_[[% anualiz]:[% anualiz]]),1)*IF(DATOS!BK$5="Sí",1/DATOS_[[% normaliz]:[% normaliz]],1)*(DATOS_[C.Extra.03])))))))), 0)</f>
        <v>0</v>
      </c>
      <c r="AS56" s="303" t="n">
        <f aca="false" t="array" ref="AS56:AS56">IFERROR( (AVERAGE((IF(DATOS_[[Sexo]:[Sexo]]=$B56,IF(DATOS_[[AGRUP. VALOR. PTO.]:[AGRUP. VALOR. PTO.]]=$B55,IF(DATOS_[[Check Periodo Ref.]:[Check Periodo Ref.]]="Dentro",IF(DATOS_[[Check Equiparado]:[Check Equiparado]]="Sí",IF(DATOS!BL$4="Sí",(1/DATOS_[[% anualiz]:[% anualiz]]),1)*IF(DATOS!BL$5="Sí",1/DATOS_[[% normaliz]:[% normaliz]],1)*(DATOS_[C.Extra.04])))))))), 0)</f>
        <v>0</v>
      </c>
      <c r="AT56" s="303" t="n">
        <f aca="false" t="array" ref="AT56:AT56">IFERROR( (AVERAGE((IF(DATOS_[[Sexo]:[Sexo]]=$B56,IF(DATOS_[[AGRUP. VALOR. PTO.]:[AGRUP. VALOR. PTO.]]=$B55,IF(DATOS_[[Check Periodo Ref.]:[Check Periodo Ref.]]="Dentro",IF(DATOS_[[Check Equiparado]:[Check Equiparado]]="Sí",IF(DATOS!BM$4="Sí",(1/DATOS_[[% anualiz]:[% anualiz]]),1)*IF(DATOS!BM$5="Sí",1/DATOS_[[% normaliz]:[% normaliz]],1)*(DATOS_[C.Extra.05])))))))), 0)</f>
        <v>0</v>
      </c>
      <c r="AU56" s="297" t="n">
        <f aca="false" t="array" ref="AU56:AU56">IFERROR( AVERAGE(IF(DATOS_[Sexo]=$B56,IF(DATOS_[[AGRUP. VALOR. PTO.]:[AGRUP. VALOR. PTO.]]=$B54,IF(DATOS_[Check Equiparado]="Sí",IF(DATOS_[Check Periodo Ref.]="Dentro",DATOS_[Tot Extrasalarial Eq],0))))), 0)</f>
        <v>0</v>
      </c>
      <c r="AV56" s="298" t="n">
        <f aca="false" t="array" ref="AV56:AV56">IFERROR( AVERAGE(IF(DATOS_[Sexo]=$B56,IF(DATOS_[[AGRUP. VALOR. PTO.]:[AGRUP. VALOR. PTO.]]=$B54,IF(DATOS_[Check Equiparado]="Sí",IF(DATOS_[Check Periodo Ref.]="Dentro",DATOS_[TOTAL Retrib Eq],0))))), 0)</f>
        <v>0</v>
      </c>
    </row>
    <row r="57" customFormat="false" ht="15.75" hidden="false" customHeight="false" outlineLevel="0" collapsed="false">
      <c r="A57" s="166" t="str">
        <f aca="false">+A58</f>
        <v>[ocultar]</v>
      </c>
      <c r="B57" s="276" t="s">
        <v>211</v>
      </c>
      <c r="C57" s="277"/>
      <c r="D57" s="278"/>
      <c r="E57" s="278"/>
      <c r="F57" s="278"/>
      <c r="G57" s="278"/>
      <c r="H57" s="278"/>
      <c r="I57" s="279" t="str">
        <f aca="false">IFERROR((I58-I59)/I58,"")</f>
        <v/>
      </c>
      <c r="J57" s="280" t="str">
        <f aca="false">IFERROR((J58-J59)/J58,"")</f>
        <v/>
      </c>
      <c r="K57" s="281" t="str">
        <f aca="false">IFERROR((K58-K59)/K58,"")</f>
        <v/>
      </c>
      <c r="L57" s="281" t="str">
        <f aca="false">IFERROR((L58-L59)/L58,"")</f>
        <v/>
      </c>
      <c r="M57" s="281" t="str">
        <f aca="false">IFERROR((M58-M59)/M58,"")</f>
        <v/>
      </c>
      <c r="N57" s="282" t="str">
        <f aca="false">IFERROR((N58-N59)/N58,"")</f>
        <v/>
      </c>
      <c r="O57" s="283" t="str">
        <f aca="false">IFERROR((O58-O59)/O58,"")</f>
        <v/>
      </c>
      <c r="P57" s="283" t="str">
        <f aca="false">IFERROR((P58-P59)/P58,"")</f>
        <v/>
      </c>
      <c r="Q57" s="283" t="str">
        <f aca="false">IFERROR((Q58-Q59)/Q58,"")</f>
        <v/>
      </c>
      <c r="R57" s="283" t="str">
        <f aca="false">IFERROR((R58-R59)/R58,"")</f>
        <v/>
      </c>
      <c r="S57" s="283" t="str">
        <f aca="false">IFERROR((S58-S59)/S58,"")</f>
        <v/>
      </c>
      <c r="T57" s="283" t="str">
        <f aca="false">IFERROR((T58-T59)/T58,"")</f>
        <v/>
      </c>
      <c r="U57" s="283" t="str">
        <f aca="false">IFERROR((U58-U59)/U58,"")</f>
        <v/>
      </c>
      <c r="V57" s="283" t="str">
        <f aca="false">IFERROR((V58-V59)/V58,"")</f>
        <v/>
      </c>
      <c r="W57" s="283" t="str">
        <f aca="false">IFERROR((W58-W59)/W58,"")</f>
        <v/>
      </c>
      <c r="X57" s="283" t="str">
        <f aca="false">IFERROR((X58-X59)/X58,"")</f>
        <v/>
      </c>
      <c r="Y57" s="283" t="str">
        <f aca="false">IFERROR((Y58-Y59)/Y58,"")</f>
        <v/>
      </c>
      <c r="Z57" s="282" t="str">
        <f aca="false">IFERROR((Z58-Z59)/Z58,"")</f>
        <v/>
      </c>
      <c r="AA57" s="282" t="str">
        <f aca="false">IFERROR((AA58-AA59)/AA58,"")</f>
        <v/>
      </c>
      <c r="AB57" s="282" t="str">
        <f aca="false">IFERROR((AB58-AB59)/AB58,"")</f>
        <v/>
      </c>
      <c r="AC57" s="282" t="str">
        <f aca="false">IFERROR((AC58-AC59)/AC58,"")</f>
        <v/>
      </c>
      <c r="AD57" s="282" t="str">
        <f aca="false">IFERROR((AD58-AD59)/AD58,"")</f>
        <v/>
      </c>
      <c r="AE57" s="282" t="str">
        <f aca="false">IFERROR((AE58-AE59)/AE58,"")</f>
        <v/>
      </c>
      <c r="AF57" s="282" t="str">
        <f aca="false">IFERROR((AF58-AF59)/AF58,"")</f>
        <v/>
      </c>
      <c r="AG57" s="282" t="str">
        <f aca="false">IFERROR((AG58-AG59)/AG58,"")</f>
        <v/>
      </c>
      <c r="AH57" s="282" t="str">
        <f aca="false">IFERROR((AH58-AH59)/AH58,"")</f>
        <v/>
      </c>
      <c r="AI57" s="282" t="str">
        <f aca="false">IFERROR((AI58-AI59)/AI58,"")</f>
        <v/>
      </c>
      <c r="AJ57" s="282" t="str">
        <f aca="false">IFERROR((AJ58-AJ59)/AJ58,"")</f>
        <v/>
      </c>
      <c r="AK57" s="282" t="str">
        <f aca="false">IFERROR((AK58-AK59)/AK58,"")</f>
        <v/>
      </c>
      <c r="AL57" s="282" t="str">
        <f aca="false">IFERROR((AL58-AL59)/AL58,"")</f>
        <v/>
      </c>
      <c r="AM57" s="282" t="str">
        <f aca="false">IFERROR((AM58-AM59)/AM58,"")</f>
        <v/>
      </c>
      <c r="AN57" s="284" t="str">
        <f aca="false">IFERROR((AN58-AN59)/AN58,"")</f>
        <v/>
      </c>
      <c r="AO57" s="285" t="str">
        <f aca="false">IFERROR((AO58-AO59)/AO58,"")</f>
        <v/>
      </c>
      <c r="AP57" s="286" t="str">
        <f aca="false">IFERROR((AP58-AP59)/AP58,"")</f>
        <v/>
      </c>
      <c r="AQ57" s="286" t="str">
        <f aca="false">IFERROR((AQ58-AQ59)/AQ58,"")</f>
        <v/>
      </c>
      <c r="AR57" s="286" t="str">
        <f aca="false">IFERROR((AR58-AR59)/AR58,"")</f>
        <v/>
      </c>
      <c r="AS57" s="286" t="str">
        <f aca="false">IFERROR((AS58-AS59)/AS58,"")</f>
        <v/>
      </c>
      <c r="AT57" s="286" t="str">
        <f aca="false">IFERROR((AT58-AT59)/AT58,"")</f>
        <v/>
      </c>
      <c r="AU57" s="287" t="str">
        <f aca="false">IFERROR((AU58-AU59)/AU58,"")</f>
        <v/>
      </c>
      <c r="AV57" s="288" t="str">
        <f aca="false">IFERROR((AV58-AV59)/AV58,"")</f>
        <v/>
      </c>
    </row>
    <row r="58" customFormat="false" ht="14.25" hidden="false" customHeight="false" outlineLevel="0" collapsed="false">
      <c r="A58" s="166" t="str">
        <f aca="false">+IF(C58+C59=0,"[ocultar]","")</f>
        <v>[ocultar]</v>
      </c>
      <c r="B58" s="289" t="s">
        <v>371</v>
      </c>
      <c r="C58" s="290" t="n">
        <f aca="false" t="array" ref="C58:C58">SUM(IF($B58=DATOS_[Sexo], IF($B57=DATOS_[AGRUP. VALOR. PTO.], IF("Dentro"=DATOS_[Check Periodo Ref.], 1/(COUNTIFS(DATOS_[Sexo],$B58,DATOS_[AGRUP. VALOR. PTO.],$B57,DATOS_[Check Periodo Ref.],"Dentro",DATOS_[id],DATOS_[id]))))))</f>
        <v>0</v>
      </c>
      <c r="D58" s="291" t="n">
        <f aca="false">COUNTIFS(DATOS_[AGRUP. VALOR. PTO.],$B57,DATOS_[Sexo],$B58,DATOS_[Check Periodo Ref.],"Dentro")</f>
        <v>0</v>
      </c>
      <c r="E58" s="291" t="n">
        <f aca="false">COUNTIFS(DATOS_[AGRUP. VALOR. PTO.],$B57,DATOS_[Sexo],$B58,DATOS_[Check Periodo Ref.],"Dentro",DATOS_[Check Nº SC Norm],"Sí")</f>
        <v>0</v>
      </c>
      <c r="F58" s="291" t="n">
        <f aca="false">COUNTIFS(DATOS_[AGRUP. VALOR. PTO.],$B57,DATOS_[Sexo],$B58,DATOS_[Check Periodo Ref.],"Dentro",DATOS_[Check Nº SC Anualiz],"Sí")</f>
        <v>0</v>
      </c>
      <c r="G58" s="291" t="n">
        <f aca="false">COUNTIFS(DATOS_[AGRUP. VALOR. PTO.],$B57,DATOS_[Sexo],$B58,DATOS_[Check Periodo Ref.],"Dentro",DATOS_[Check Nº SC Norm y Anualiz],"Sí")</f>
        <v>0</v>
      </c>
      <c r="H58" s="291" t="n">
        <f aca="false">COUNTIFS(DATOS_[AGRUP. VALOR. PTO.],$B57,DATOS_[Sexo],$B58,DATOS_[Check Periodo Ref.],"Dentro",DATOS_[Check Equiparación],"Sí")</f>
        <v>0</v>
      </c>
      <c r="I58" s="292" t="n">
        <f aca="false" t="array" ref="I58:I58">IFERROR( AVERAGE(IF(DATOS_[Sexo]=$B58,IF(DATOS_[[AGRUP. VALOR. PTO.]:[AGRUP. VALOR. PTO.]]=$B57,IF(DATOS_[Check Equiparado]="Sí",IF(DATOS_[Check Periodo Ref.]="Dentro",DATOS_[SALARIO BASE Eq],0))))), 0)</f>
        <v>0</v>
      </c>
      <c r="J58" s="302" t="n">
        <f aca="false" t="array" ref="J58:J58">IFERROR( (AVERAGE((IF(DATOS_[[Sexo]:[Sexo]]=$B58,IF(DATOS_[[AGRUP. VALOR. PTO.]:[AGRUP. VALOR. PTO.]]=$B57,IF(DATOS_[[Check Periodo Ref.]:[Check Periodo Ref.]]="Dentro",IF(DATOS_[[Check Equiparado]:[Check Equiparado]]="Sí",IF(DATOS!AE$4="Sí",(1/DATOS_[[% anualiz]:[% anualiz]]),1)*IF(DATOS!AE$5="Sí",1/DATOS_[[% normaliz]:[% normaliz]],1)*(DATOS_[Conc.Sal.01])))))))), 0)</f>
        <v>0</v>
      </c>
      <c r="K58" s="302" t="n">
        <f aca="false" t="array" ref="K58:K58">IFERROR( (AVERAGE((IF(DATOS_[[Sexo]:[Sexo]]=$B58,IF(DATOS_[[AGRUP. VALOR. PTO.]:[AGRUP. VALOR. PTO.]]=$B57,IF(DATOS_[[Check Periodo Ref.]:[Check Periodo Ref.]]="Dentro",IF(DATOS_[[Check Equiparado]:[Check Equiparado]]="Sí",IF(DATOS!AF$4="Sí",(1/DATOS_[[% anualiz]:[% anualiz]]),1)*IF(DATOS!AF$5="Sí",1/DATOS_[[% normaliz]:[% normaliz]],1)*(DATOS_[Conc.Sal.02])))))))), 0)</f>
        <v>0</v>
      </c>
      <c r="L58" s="302" t="n">
        <f aca="false" t="array" ref="L58:L58">IFERROR( (AVERAGE((IF(DATOS_[[Sexo]:[Sexo]]=$B58,IF(DATOS_[[AGRUP. VALOR. PTO.]:[AGRUP. VALOR. PTO.]]=$B57,IF(DATOS_[[Check Periodo Ref.]:[Check Periodo Ref.]]="Dentro",IF(DATOS_[[Check Equiparado]:[Check Equiparado]]="Sí",IF(DATOS!AG$4="Sí",(1/DATOS_[[% anualiz]:[% anualiz]]),1)*IF(DATOS!AG$5="Sí",1/DATOS_[[% normaliz]:[% normaliz]],1)*(DATOS_[Conc.Sal.03])))))))), 0)</f>
        <v>0</v>
      </c>
      <c r="M58" s="302" t="n">
        <f aca="false" t="array" ref="M58:M58">IFERROR( (AVERAGE((IF(DATOS_[[Sexo]:[Sexo]]=$B58,IF(DATOS_[[AGRUP. VALOR. PTO.]:[AGRUP. VALOR. PTO.]]=$B57,IF(DATOS_[[Check Periodo Ref.]:[Check Periodo Ref.]]="Dentro",IF(DATOS_[[Check Equiparado]:[Check Equiparado]]="Sí",IF(DATOS!AH$4="Sí",(1/DATOS_[[% anualiz]:[% anualiz]]),1)*IF(DATOS!AH$5="Sí",1/DATOS_[[% normaliz]:[% normaliz]],1)*(DATOS_[Conc.Sal.04])))))))), 0)</f>
        <v>0</v>
      </c>
      <c r="N58" s="302" t="n">
        <f aca="false" t="array" ref="N58:N58">IFERROR( (AVERAGE((IF(DATOS_[[Sexo]:[Sexo]]=$B58,IF(DATOS_[[AGRUP. VALOR. PTO.]:[AGRUP. VALOR. PTO.]]=$B57,IF(DATOS_[[Check Periodo Ref.]:[Check Periodo Ref.]]="Dentro",IF(DATOS_[[Check Equiparado]:[Check Equiparado]]="Sí",IF(DATOS!AI$4="Sí",(1/DATOS_[[% anualiz]:[% anualiz]]),1)*IF(DATOS!AI$5="Sí",1/DATOS_[[% normaliz]:[% normaliz]],1)*(DATOS_[Conc.Sal.05])))))))), 0)</f>
        <v>0</v>
      </c>
      <c r="O58" s="302" t="n">
        <f aca="false" t="array" ref="O58:O58">IFERROR( (AVERAGE((IF(DATOS_[[Sexo]:[Sexo]]=$B58,IF(DATOS_[[AGRUP. VALOR. PTO.]:[AGRUP. VALOR. PTO.]]=$B57,IF(DATOS_[[Check Periodo Ref.]:[Check Periodo Ref.]]="Dentro",IF(DATOS_[[Check Equiparado]:[Check Equiparado]]="Sí",IF(DATOS!AJ$4="Sí",(1/DATOS_[[% anualiz]:[% anualiz]]),1)*IF(DATOS!AJ$5="Sí",1/DATOS_[[% normaliz]:[% normaliz]],1)*(DATOS_[Conc.Sal.06])))))))), 0)</f>
        <v>0</v>
      </c>
      <c r="P58" s="302" t="n">
        <f aca="false" t="array" ref="P58:P58">IFERROR( (AVERAGE((IF(DATOS_[[Sexo]:[Sexo]]=$B58,IF(DATOS_[[AGRUP. VALOR. PTO.]:[AGRUP. VALOR. PTO.]]=$B57,IF(DATOS_[[Check Periodo Ref.]:[Check Periodo Ref.]]="Dentro",IF(DATOS_[[Check Equiparado]:[Check Equiparado]]="Sí",IF(DATOS!AK$4="Sí",(1/DATOS_[[% anualiz]:[% anualiz]]),1)*IF(DATOS!AK$5="Sí",1/DATOS_[[% normaliz]:[% normaliz]],1)*(DATOS_[Conc.Sal.07])))))))), 0)</f>
        <v>0</v>
      </c>
      <c r="Q58" s="302" t="n">
        <f aca="false" t="array" ref="Q58:Q58">IFERROR( (AVERAGE((IF(DATOS_[[Sexo]:[Sexo]]=$B58,IF(DATOS_[[AGRUP. VALOR. PTO.]:[AGRUP. VALOR. PTO.]]=$B57,IF(DATOS_[[Check Periodo Ref.]:[Check Periodo Ref.]]="Dentro",IF(DATOS_[[Check Equiparado]:[Check Equiparado]]="Sí",IF(DATOS!AL$4="Sí",(1/DATOS_[[% anualiz]:[% anualiz]]),1)*IF(DATOS!AL$5="Sí",1/DATOS_[[% normaliz]:[% normaliz]],1)*(DATOS_[Conc.Sal.08])))))))), 0)</f>
        <v>0</v>
      </c>
      <c r="R58" s="302" t="n">
        <f aca="false" t="array" ref="R58:R58">IFERROR( (AVERAGE((IF(DATOS_[[Sexo]:[Sexo]]=$B58,IF(DATOS_[[AGRUP. VALOR. PTO.]:[AGRUP. VALOR. PTO.]]=$B57,IF(DATOS_[[Check Periodo Ref.]:[Check Periodo Ref.]]="Dentro",IF(DATOS_[[Check Equiparado]:[Check Equiparado]]="Sí",IF(DATOS!AM$4="Sí",(1/DATOS_[[% anualiz]:[% anualiz]]),1)*IF(DATOS!AM$5="Sí",1/DATOS_[[% normaliz]:[% normaliz]],1)*(DATOS_[Conc.Sal.09])))))))), 0)</f>
        <v>0</v>
      </c>
      <c r="S58" s="302" t="n">
        <f aca="false" t="array" ref="S58:S58">IFERROR( (AVERAGE((IF(DATOS_[[Sexo]:[Sexo]]=$B58,IF(DATOS_[[AGRUP. VALOR. PTO.]:[AGRUP. VALOR. PTO.]]=$B57,IF(DATOS_[[Check Periodo Ref.]:[Check Periodo Ref.]]="Dentro",IF(DATOS_[[Check Equiparado]:[Check Equiparado]]="Sí",IF(DATOS!AN$4="Sí",(1/DATOS_[[% anualiz]:[% anualiz]]),1)*IF(DATOS!AN$5="Sí",1/DATOS_[[% normaliz]:[% normaliz]],1)*(DATOS_[Conc.Sal.10])))))))), 0)</f>
        <v>0</v>
      </c>
      <c r="T58" s="302" t="n">
        <f aca="false" t="array" ref="T58:T58">IFERROR( (AVERAGE((IF(DATOS_[[Sexo]:[Sexo]]=$B58,IF(DATOS_[[AGRUP. VALOR. PTO.]:[AGRUP. VALOR. PTO.]]=$B57,IF(DATOS_[[Check Periodo Ref.]:[Check Periodo Ref.]]="Dentro",IF(DATOS_[[Check Equiparado]:[Check Equiparado]]="Sí",IF(DATOS!AO$4="Sí",(1/DATOS_[[% anualiz]:[% anualiz]]),1)*IF(DATOS!AO$5="Sí",1/DATOS_[[% normaliz]:[% normaliz]],1)*(DATOS_[Conc.Sal.11])))))))), 0)</f>
        <v>0</v>
      </c>
      <c r="U58" s="302" t="n">
        <f aca="false" t="array" ref="U58:U58">IFERROR( (AVERAGE((IF(DATOS_[[Sexo]:[Sexo]]=$B58,IF(DATOS_[[AGRUP. VALOR. PTO.]:[AGRUP. VALOR. PTO.]]=$B57,IF(DATOS_[[Check Periodo Ref.]:[Check Periodo Ref.]]="Dentro",IF(DATOS_[[Check Equiparado]:[Check Equiparado]]="Sí",IF(DATOS!AP$4="Sí",(1/DATOS_[[% anualiz]:[% anualiz]]),1)*IF(DATOS!AP$5="Sí",1/DATOS_[[% normaliz]:[% normaliz]],1)*(DATOS_[Conc.Sal.12])))))))), 0)</f>
        <v>0</v>
      </c>
      <c r="V58" s="302" t="n">
        <f aca="false" t="array" ref="V58:V58">IFERROR( (AVERAGE((IF(DATOS_[[Sexo]:[Sexo]]=$B58,IF(DATOS_[[AGRUP. VALOR. PTO.]:[AGRUP. VALOR. PTO.]]=$B57,IF(DATOS_[[Check Periodo Ref.]:[Check Periodo Ref.]]="Dentro",IF(DATOS_[[Check Equiparado]:[Check Equiparado]]="Sí",IF(DATOS!AQ$4="Sí",(1/DATOS_[[% anualiz]:[% anualiz]]),1)*IF(DATOS!AQ$5="Sí",1/DATOS_[[% normaliz]:[% normaliz]],1)*(DATOS_[Conc.Sal.13])))))))), 0)</f>
        <v>0</v>
      </c>
      <c r="W58" s="302" t="n">
        <f aca="false" t="array" ref="W58:W58">IFERROR( (AVERAGE((IF(DATOS_[[Sexo]:[Sexo]]=$B58,IF(DATOS_[[AGRUP. VALOR. PTO.]:[AGRUP. VALOR. PTO.]]=$B57,IF(DATOS_[[Check Periodo Ref.]:[Check Periodo Ref.]]="Dentro",IF(DATOS_[[Check Equiparado]:[Check Equiparado]]="Sí",IF(DATOS!AR$4="Sí",(1/DATOS_[[% anualiz]:[% anualiz]]),1)*IF(DATOS!AR$5="Sí",1/DATOS_[[% normaliz]:[% normaliz]],1)*(DATOS_[Conc.Sal.14])))))))), 0)</f>
        <v>0</v>
      </c>
      <c r="X58" s="302" t="n">
        <f aca="false" t="array" ref="X58:X58">IFERROR( (AVERAGE((IF(DATOS_[[Sexo]:[Sexo]]=$B58,IF(DATOS_[[AGRUP. VALOR. PTO.]:[AGRUP. VALOR. PTO.]]=$B57,IF(DATOS_[[Check Periodo Ref.]:[Check Periodo Ref.]]="Dentro",IF(DATOS_[[Check Equiparado]:[Check Equiparado]]="Sí",IF(DATOS!AS$4="Sí",(1/DATOS_[[% anualiz]:[% anualiz]]),1)*IF(DATOS!AS$5="Sí",1/DATOS_[[% normaliz]:[% normaliz]],1)*(DATOS_[Conc.Sal.15])))))))), 0)</f>
        <v>0</v>
      </c>
      <c r="Y58" s="302" t="n">
        <f aca="false" t="array" ref="Y58:Y58">IFERROR( (AVERAGE((IF(DATOS_[[Sexo]:[Sexo]]=$B58,IF(DATOS_[[AGRUP. VALOR. PTO.]:[AGRUP. VALOR. PTO.]]=$B57,IF(DATOS_[[Check Periodo Ref.]:[Check Periodo Ref.]]="Dentro",IF(DATOS_[[Check Equiparado]:[Check Equiparado]]="Sí",IF(DATOS!AT$4="Sí",(1/DATOS_[[% anualiz]:[% anualiz]]),1)*IF(DATOS!AT$5="Sí",1/DATOS_[[% normaliz]:[% normaliz]],1)*(DATOS_[Conc.Sal.16])))))))), 0)</f>
        <v>0</v>
      </c>
      <c r="Z58" s="302" t="n">
        <f aca="false" t="array" ref="Z58:Z58">IFERROR( (AVERAGE((IF(DATOS_[[Sexo]:[Sexo]]=$B58,IF(DATOS_[[AGRUP. VALOR. PTO.]:[AGRUP. VALOR. PTO.]]=$B57,IF(DATOS_[[Check Periodo Ref.]:[Check Periodo Ref.]]="Dentro",IF(DATOS_[[Check Equiparado]:[Check Equiparado]]="Sí",IF(DATOS!AU$4="Sí",(1/DATOS_[[% anualiz]:[% anualiz]]),1)*IF(DATOS!AU$5="Sí",1/DATOS_[[% normaliz]:[% normaliz]],1)*(DATOS_[Conc.Sal.17])))))))), 0)</f>
        <v>0</v>
      </c>
      <c r="AA58" s="302" t="n">
        <f aca="false" t="array" ref="AA58:AA58">IFERROR( (AVERAGE((IF(DATOS_[[Sexo]:[Sexo]]=$B58,IF(DATOS_[[AGRUP. VALOR. PTO.]:[AGRUP. VALOR. PTO.]]=$B57,IF(DATOS_[[Check Periodo Ref.]:[Check Periodo Ref.]]="Dentro",IF(DATOS_[[Check Equiparado]:[Check Equiparado]]="Sí",IF(DATOS!AV$4="Sí",(1/DATOS_[[% anualiz]:[% anualiz]]),1)*IF(DATOS!AV$5="Sí",1/DATOS_[[% normaliz]:[% normaliz]],1)*(DATOS_[Conc.Sal.18])))))))), 0)</f>
        <v>0</v>
      </c>
      <c r="AB58" s="302" t="n">
        <f aca="false" t="array" ref="AB58:AB58">IFERROR( (AVERAGE((IF(DATOS_[[Sexo]:[Sexo]]=$B58,IF(DATOS_[[AGRUP. VALOR. PTO.]:[AGRUP. VALOR. PTO.]]=$B57,IF(DATOS_[[Check Periodo Ref.]:[Check Periodo Ref.]]="Dentro",IF(DATOS_[[Check Equiparado]:[Check Equiparado]]="Sí",IF(DATOS!AW$4="Sí",(1/DATOS_[[% anualiz]:[% anualiz]]),1)*IF(DATOS!AW$5="Sí",1/DATOS_[[% normaliz]:[% normaliz]],1)*(DATOS_[Conc.Sal.19])))))))), 0)</f>
        <v>0</v>
      </c>
      <c r="AC58" s="302" t="n">
        <f aca="false" t="array" ref="AC58:AC58">IFERROR( (AVERAGE((IF(DATOS_[[Sexo]:[Sexo]]=$B58,IF(DATOS_[[AGRUP. VALOR. PTO.]:[AGRUP. VALOR. PTO.]]=$B57,IF(DATOS_[[Check Periodo Ref.]:[Check Periodo Ref.]]="Dentro",IF(DATOS_[[Check Equiparado]:[Check Equiparado]]="Sí",IF(DATOS!AX$4="Sí",(1/DATOS_[[% anualiz]:[% anualiz]]),1)*IF(DATOS!AX$5="Sí",1/DATOS_[[% normaliz]:[% normaliz]],1)*(DATOS_[Conc.Sal.20])))))))), 0)</f>
        <v>0</v>
      </c>
      <c r="AD58" s="302" t="n">
        <f aca="false" t="array" ref="AD58:AD58">IFERROR( (AVERAGE((IF(DATOS_[[Sexo]:[Sexo]]=$B58,IF(DATOS_[[AGRUP. VALOR. PTO.]:[AGRUP. VALOR. PTO.]]=$B57,IF(DATOS_[[Check Periodo Ref.]:[Check Periodo Ref.]]="Dentro",IF(DATOS_[[Check Equiparado]:[Check Equiparado]]="Sí",IF(DATOS!AY$4="Sí",(1/DATOS_[[% anualiz]:[% anualiz]]),1)*IF(DATOS!AY$5="Sí",1/DATOS_[[% normaliz]:[% normaliz]],1)*(DATOS_[Conc.Sal.21])))))))), 0)</f>
        <v>0</v>
      </c>
      <c r="AE58" s="302" t="n">
        <f aca="false" t="array" ref="AE58:AE58">IFERROR( (AVERAGE((IF(DATOS_[[Sexo]:[Sexo]]=$B58,IF(DATOS_[[AGRUP. VALOR. PTO.]:[AGRUP. VALOR. PTO.]]=$B57,IF(DATOS_[[Check Periodo Ref.]:[Check Periodo Ref.]]="Dentro",IF(DATOS_[[Check Equiparado]:[Check Equiparado]]="Sí",IF(DATOS!AZ$4="Sí",(1/DATOS_[[% anualiz]:[% anualiz]]),1)*IF(DATOS!AZ$5="Sí",1/DATOS_[[% normaliz]:[% normaliz]],1)*(DATOS_[Conc.Sal.22])))))))), 0)</f>
        <v>0</v>
      </c>
      <c r="AF58" s="302" t="n">
        <f aca="false" t="array" ref="AF58:AF58">IFERROR( (AVERAGE((IF(DATOS_[[Sexo]:[Sexo]]=$B58,IF(DATOS_[[AGRUP. VALOR. PTO.]:[AGRUP. VALOR. PTO.]]=$B57,IF(DATOS_[[Check Periodo Ref.]:[Check Periodo Ref.]]="Dentro",IF(DATOS_[[Check Equiparado]:[Check Equiparado]]="Sí",IF(DATOS!BA$4="Sí",(1/DATOS_[[% anualiz]:[% anualiz]]),1)*IF(DATOS!BA$5="Sí",1/DATOS_[[% normaliz]:[% normaliz]],1)*(DATOS_[Conc.Sal.23])))))))), 0)</f>
        <v>0</v>
      </c>
      <c r="AG58" s="302" t="n">
        <f aca="false" t="array" ref="AG58:AG58">IFERROR( (AVERAGE((IF(DATOS_[[Sexo]:[Sexo]]=$B58,IF(DATOS_[[AGRUP. VALOR. PTO.]:[AGRUP. VALOR. PTO.]]=$B57,IF(DATOS_[[Check Periodo Ref.]:[Check Periodo Ref.]]="Dentro",IF(DATOS_[[Check Equiparado]:[Check Equiparado]]="Sí",IF(DATOS!BB$4="Sí",(1/DATOS_[[% anualiz]:[% anualiz]]),1)*IF(DATOS!BB$5="Sí",1/DATOS_[[% normaliz]:[% normaliz]],1)*(DATOS_[Conc.Sal.24])))))))), 0)</f>
        <v>0</v>
      </c>
      <c r="AH58" s="302" t="n">
        <f aca="false" t="array" ref="AH58:AH58">IFERROR( (AVERAGE((IF(DATOS_[[Sexo]:[Sexo]]=$B58,IF(DATOS_[[AGRUP. VALOR. PTO.]:[AGRUP. VALOR. PTO.]]=$B57,IF(DATOS_[[Check Periodo Ref.]:[Check Periodo Ref.]]="Dentro",IF(DATOS_[[Check Equiparado]:[Check Equiparado]]="Sí",IF(DATOS!BC$4="Sí",(1/DATOS_[[% anualiz]:[% anualiz]]),1)*IF(DATOS!BC$5="Sí",1/DATOS_[[% normaliz]:[% normaliz]],1)*(DATOS_[Conc.Sal.25])))))))), 0)</f>
        <v>0</v>
      </c>
      <c r="AI58" s="302" t="n">
        <f aca="false" t="array" ref="AI58:AI58">IFERROR( (AVERAGE((IF(DATOS_[[Sexo]:[Sexo]]=$B58,IF(DATOS_[[AGRUP. VALOR. PTO.]:[AGRUP. VALOR. PTO.]]=$B57,IF(DATOS_[[Check Periodo Ref.]:[Check Periodo Ref.]]="Dentro",IF(DATOS_[[Check Equiparado]:[Check Equiparado]]="Sí",IF(DATOS!BD$4="Sí",(1/DATOS_[[% anualiz]:[% anualiz]]),1)*IF(DATOS!BD$5="Sí",1/DATOS_[[% normaliz]:[% normaliz]],1)*(DATOS_[Conc.Sal.26])))))))), 0)</f>
        <v>0</v>
      </c>
      <c r="AJ58" s="302" t="n">
        <f aca="false" t="array" ref="AJ58:AJ58">IFERROR( (AVERAGE((IF(DATOS_[[Sexo]:[Sexo]]=$B58,IF(DATOS_[[AGRUP. VALOR. PTO.]:[AGRUP. VALOR. PTO.]]=$B57,IF(DATOS_[[Check Periodo Ref.]:[Check Periodo Ref.]]="Dentro",IF(DATOS_[[Check Equiparado]:[Check Equiparado]]="Sí",IF(DATOS!BE$4="Sí",(1/DATOS_[[% anualiz]:[% anualiz]]),1)*IF(DATOS!BE$5="Sí",1/DATOS_[[% normaliz]:[% normaliz]],1)*(DATOS_[Conc.Sal.27])))))))), 0)</f>
        <v>0</v>
      </c>
      <c r="AK58" s="302" t="n">
        <f aca="false" t="array" ref="AK58:AK58">IFERROR( (AVERAGE((IF(DATOS_[[Sexo]:[Sexo]]=$B58,IF(DATOS_[[AGRUP. VALOR. PTO.]:[AGRUP. VALOR. PTO.]]=$B57,IF(DATOS_[[Check Periodo Ref.]:[Check Periodo Ref.]]="Dentro",IF(DATOS_[[Check Equiparado]:[Check Equiparado]]="Sí",IF(DATOS!BF$4="Sí",(1/DATOS_[[% anualiz]:[% anualiz]]),1)*IF(DATOS!BF$5="Sí",1/DATOS_[[% normaliz]:[% normaliz]],1)*(DATOS_[Conc.Sal.28])))))))), 0)</f>
        <v>0</v>
      </c>
      <c r="AL58" s="302" t="n">
        <f aca="false" t="array" ref="AL58:AL58">IFERROR( (AVERAGE((IF(DATOS_[[Sexo]:[Sexo]]=$B58,IF(DATOS_[[AGRUP. VALOR. PTO.]:[AGRUP. VALOR. PTO.]]=$B57,IF(DATOS_[[Check Periodo Ref.]:[Check Periodo Ref.]]="Dentro",IF(DATOS_[[Check Equiparado]:[Check Equiparado]]="Sí",IF(DATOS!BG$4="Sí",(1/DATOS_[[% anualiz]:[% anualiz]]),1)*IF(DATOS!BG$5="Sí",1/DATOS_[[% normaliz]:[% normaliz]],1)*(DATOS_[Conc.Sal.29])))))))), 0)</f>
        <v>0</v>
      </c>
      <c r="AM58" s="302" t="n">
        <f aca="false" t="array" ref="AM58:AM58">IFERROR( (AVERAGE((IF(DATOS_[[Sexo]:[Sexo]]=$B58,IF(DATOS_[[AGRUP. VALOR. PTO.]:[AGRUP. VALOR. PTO.]]=$B57,IF(DATOS_[[Check Periodo Ref.]:[Check Periodo Ref.]]="Dentro",IF(DATOS_[[Check Equiparado]:[Check Equiparado]]="Sí",IF(DATOS!BH$4="Sí",(1/DATOS_[[% anualiz]:[% anualiz]]),1)*IF(DATOS!BH$5="Sí",1/DATOS_[[% normaliz]:[% normaliz]],1)*(DATOS_[Conc.Sal.30])))))))), 0)</f>
        <v>0</v>
      </c>
      <c r="AN58" s="294" t="n">
        <f aca="false" t="array" ref="AN58:AN58">IFERROR( AVERAGE(IF(DATOS_[Sexo]=$B58,IF(DATOS_[[AGRUP. VALOR. PTO.]:[AGRUP. VALOR. PTO.]]=$B57,IF(DATOS_[Check Equiparado]="Sí",IF(DATOS_[Check Periodo Ref.]="Dentro",DATOS_[Tot COMPL.SAL Eq],0))))), 0)</f>
        <v>0</v>
      </c>
      <c r="AO58" s="295" t="n">
        <f aca="false" t="array" ref="AO58:AO58">IFERROR( AVERAGE(IF(DATOS_[Sexo]=$B58,IF(DATOS_[[AGRUP. VALOR. PTO.]:[AGRUP. VALOR. PTO.]]=$B57,IF(DATOS_[Check Equiparado]="Sí",IF(DATOS_[Check Periodo Ref.]="Dentro",DATOS_[TOTAL SALARIO Eq],0))))), 0)</f>
        <v>0</v>
      </c>
      <c r="AP58" s="303" t="n">
        <f aca="false" t="array" ref="AP58:AP58">IFERROR( (AVERAGE((IF(DATOS_[[Sexo]:[Sexo]]=$B58,IF(DATOS_[[AGRUP. VALOR. PTO.]:[AGRUP. VALOR. PTO.]]=$B57,IF(DATOS_[[Check Periodo Ref.]:[Check Periodo Ref.]]="Dentro",IF(DATOS_[[Check Equiparado]:[Check Equiparado]]="Sí",IF(DATOS!BI$4="Sí",(1/DATOS_[[% anualiz]:[% anualiz]]),1)*IF(DATOS!BI$5="Sí",1/DATOS_[[% normaliz]:[% normaliz]],1)*(DATOS_[C.Extra.01])))))))), 0)</f>
        <v>0</v>
      </c>
      <c r="AQ58" s="303" t="n">
        <f aca="false" t="array" ref="AQ58:AQ58">IFERROR( (AVERAGE((IF(DATOS_[[Sexo]:[Sexo]]=$B58,IF(DATOS_[[AGRUP. VALOR. PTO.]:[AGRUP. VALOR. PTO.]]=$B57,IF(DATOS_[[Check Periodo Ref.]:[Check Periodo Ref.]]="Dentro",IF(DATOS_[[Check Equiparado]:[Check Equiparado]]="Sí",IF(DATOS!BJ$4="Sí",(1/DATOS_[[% anualiz]:[% anualiz]]),1)*IF(DATOS!BJ$5="Sí",1/DATOS_[[% normaliz]:[% normaliz]],1)*(DATOS_[C.Extra.02])))))))), 0)</f>
        <v>0</v>
      </c>
      <c r="AR58" s="303" t="n">
        <f aca="false" t="array" ref="AR58:AR58">IFERROR( (AVERAGE((IF(DATOS_[[Sexo]:[Sexo]]=$B58,IF(DATOS_[[AGRUP. VALOR. PTO.]:[AGRUP. VALOR. PTO.]]=$B57,IF(DATOS_[[Check Periodo Ref.]:[Check Periodo Ref.]]="Dentro",IF(DATOS_[[Check Equiparado]:[Check Equiparado]]="Sí",IF(DATOS!BK$4="Sí",(1/DATOS_[[% anualiz]:[% anualiz]]),1)*IF(DATOS!BK$5="Sí",1/DATOS_[[% normaliz]:[% normaliz]],1)*(DATOS_[C.Extra.03])))))))), 0)</f>
        <v>0</v>
      </c>
      <c r="AS58" s="303" t="n">
        <f aca="false" t="array" ref="AS58:AS58">IFERROR( (AVERAGE((IF(DATOS_[[Sexo]:[Sexo]]=$B58,IF(DATOS_[[AGRUP. VALOR. PTO.]:[AGRUP. VALOR. PTO.]]=$B57,IF(DATOS_[[Check Periodo Ref.]:[Check Periodo Ref.]]="Dentro",IF(DATOS_[[Check Equiparado]:[Check Equiparado]]="Sí",IF(DATOS!BL$4="Sí",(1/DATOS_[[% anualiz]:[% anualiz]]),1)*IF(DATOS!BL$5="Sí",1/DATOS_[[% normaliz]:[% normaliz]],1)*(DATOS_[C.Extra.04])))))))), 0)</f>
        <v>0</v>
      </c>
      <c r="AT58" s="303" t="n">
        <f aca="false" t="array" ref="AT58:AT58">IFERROR( (AVERAGE((IF(DATOS_[[Sexo]:[Sexo]]=$B58,IF(DATOS_[[AGRUP. VALOR. PTO.]:[AGRUP. VALOR. PTO.]]=$B57,IF(DATOS_[[Check Periodo Ref.]:[Check Periodo Ref.]]="Dentro",IF(DATOS_[[Check Equiparado]:[Check Equiparado]]="Sí",IF(DATOS!BM$4="Sí",(1/DATOS_[[% anualiz]:[% anualiz]]),1)*IF(DATOS!BM$5="Sí",1/DATOS_[[% normaliz]:[% normaliz]],1)*(DATOS_[C.Extra.05])))))))), 0)</f>
        <v>0</v>
      </c>
      <c r="AU58" s="297" t="n">
        <f aca="false" t="array" ref="AU58:AU58">IFERROR( AVERAGE(IF(DATOS_[Sexo]=$B58,IF(DATOS_[[AGRUP. VALOR. PTO.]:[AGRUP. VALOR. PTO.]]=$B57,IF(DATOS_[Check Equiparado]="Sí",IF(DATOS_[Check Periodo Ref.]="Dentro",DATOS_[Tot Extrasalarial Eq],0))))), 0)</f>
        <v>0</v>
      </c>
      <c r="AV58" s="298" t="n">
        <f aca="false" t="array" ref="AV58:AV58">IFERROR( AVERAGE(IF(DATOS_[Sexo]=$B58,IF(DATOS_[[AGRUP. VALOR. PTO.]:[AGRUP. VALOR. PTO.]]=$B57,IF(DATOS_[Check Equiparado]="Sí",IF(DATOS_[Check Periodo Ref.]="Dentro",DATOS_[TOTAL Retrib Eq],0))))), 0)</f>
        <v>0</v>
      </c>
    </row>
    <row r="59" customFormat="false" ht="14.25" hidden="false" customHeight="false" outlineLevel="0" collapsed="false">
      <c r="A59" s="166" t="str">
        <f aca="false">+A58</f>
        <v>[ocultar]</v>
      </c>
      <c r="B59" s="289" t="s">
        <v>372</v>
      </c>
      <c r="C59" s="290" t="n">
        <f aca="false" t="array" ref="C59:C59">SUM(IF($B59=DATOS_[Sexo], IF($B57=DATOS_[AGRUP. VALOR. PTO.], IF("Dentro"=DATOS_[Check Periodo Ref.], 1/(COUNTIFS(DATOS_[Sexo],$B59,DATOS_[AGRUP. VALOR. PTO.],$B57,DATOS_[Check Periodo Ref.],"Dentro",DATOS_[id],DATOS_[id]))))))</f>
        <v>0</v>
      </c>
      <c r="D59" s="291" t="n">
        <f aca="false">COUNTIFS(DATOS_[AGRUP. VALOR. PTO.],$B57,DATOS_[Sexo],$B59,DATOS_[Check Periodo Ref.],"Dentro")</f>
        <v>0</v>
      </c>
      <c r="E59" s="291" t="n">
        <f aca="false">COUNTIFS(DATOS_[AGRUP. VALOR. PTO.],$B57,DATOS_[Sexo],$B59,DATOS_[Check Periodo Ref.],"Dentro",DATOS_[Check Nº SC Norm],"Sí")</f>
        <v>0</v>
      </c>
      <c r="F59" s="291" t="n">
        <f aca="false">COUNTIFS(DATOS_[AGRUP. VALOR. PTO.],$B57,DATOS_[Sexo],$B59,DATOS_[Check Periodo Ref.],"Dentro",DATOS_[Check Nº SC Anualiz],"Sí")</f>
        <v>0</v>
      </c>
      <c r="G59" s="291" t="n">
        <f aca="false">COUNTIFS(DATOS_[AGRUP. VALOR. PTO.],$B57,DATOS_[Sexo],$B59,DATOS_[Check Periodo Ref.],"Dentro",DATOS_[Check Nº SC Norm y Anualiz],"Sí")</f>
        <v>0</v>
      </c>
      <c r="H59" s="291" t="n">
        <f aca="false">COUNTIFS(DATOS_[AGRUP. VALOR. PTO.],$B57,DATOS_[Sexo],$B59,DATOS_[Check Periodo Ref.],"Dentro",DATOS_[Check Equiparación],"Sí")</f>
        <v>0</v>
      </c>
      <c r="I59" s="292" t="n">
        <f aca="false" t="array" ref="I59:I59">IFERROR( AVERAGE(IF(DATOS_[Sexo]=$B59,IF(DATOS_[[AGRUP. VALOR. PTO.]:[AGRUP. VALOR. PTO.]]=$B57,IF(DATOS_[Check Equiparado]="Sí",IF(DATOS_[Check Periodo Ref.]="Dentro",DATOS_[SALARIO BASE Eq],0))))), 0)</f>
        <v>0</v>
      </c>
      <c r="J59" s="302" t="n">
        <f aca="false" t="array" ref="J59:J59">IFERROR( (AVERAGE((IF(DATOS_[[Sexo]:[Sexo]]=$B59,IF(DATOS_[[AGRUP. VALOR. PTO.]:[AGRUP. VALOR. PTO.]]=$B57,IF(DATOS_[[Check Periodo Ref.]:[Check Periodo Ref.]]="Dentro",IF(DATOS_[[Check Equiparado]:[Check Equiparado]]="Sí",IF(DATOS!AE$4="Sí",(1/DATOS_[[% anualiz]:[% anualiz]]),1)*IF(DATOS!AE$5="Sí",1/DATOS_[[% normaliz]:[% normaliz]],1)*(DATOS_[Conc.Sal.01])))))))), 0)</f>
        <v>0</v>
      </c>
      <c r="K59" s="302" t="n">
        <f aca="false" t="array" ref="K59:K59">IFERROR( (AVERAGE((IF(DATOS_[[Sexo]:[Sexo]]=$B59,IF(DATOS_[[AGRUP. VALOR. PTO.]:[AGRUP. VALOR. PTO.]]=$B57,IF(DATOS_[[Check Periodo Ref.]:[Check Periodo Ref.]]="Dentro",IF(DATOS_[[Check Equiparado]:[Check Equiparado]]="Sí",IF(DATOS!AF$4="Sí",(1/DATOS_[[% anualiz]:[% anualiz]]),1)*IF(DATOS!AF$5="Sí",1/DATOS_[[% normaliz]:[% normaliz]],1)*(DATOS_[Conc.Sal.02])))))))), 0)</f>
        <v>0</v>
      </c>
      <c r="L59" s="302" t="n">
        <f aca="false" t="array" ref="L59:L59">IFERROR( (AVERAGE((IF(DATOS_[[Sexo]:[Sexo]]=$B59,IF(DATOS_[[AGRUP. VALOR. PTO.]:[AGRUP. VALOR. PTO.]]=$B57,IF(DATOS_[[Check Periodo Ref.]:[Check Periodo Ref.]]="Dentro",IF(DATOS_[[Check Equiparado]:[Check Equiparado]]="Sí",IF(DATOS!AG$4="Sí",(1/DATOS_[[% anualiz]:[% anualiz]]),1)*IF(DATOS!AG$5="Sí",1/DATOS_[[% normaliz]:[% normaliz]],1)*(DATOS_[Conc.Sal.03])))))))), 0)</f>
        <v>0</v>
      </c>
      <c r="M59" s="302" t="n">
        <f aca="false" t="array" ref="M59:M59">IFERROR( (AVERAGE((IF(DATOS_[[Sexo]:[Sexo]]=$B59,IF(DATOS_[[AGRUP. VALOR. PTO.]:[AGRUP. VALOR. PTO.]]=$B57,IF(DATOS_[[Check Periodo Ref.]:[Check Periodo Ref.]]="Dentro",IF(DATOS_[[Check Equiparado]:[Check Equiparado]]="Sí",IF(DATOS!AH$4="Sí",(1/DATOS_[[% anualiz]:[% anualiz]]),1)*IF(DATOS!AH$5="Sí",1/DATOS_[[% normaliz]:[% normaliz]],1)*(DATOS_[Conc.Sal.04])))))))), 0)</f>
        <v>0</v>
      </c>
      <c r="N59" s="302" t="n">
        <f aca="false" t="array" ref="N59:N59">IFERROR( (AVERAGE((IF(DATOS_[[Sexo]:[Sexo]]=$B59,IF(DATOS_[[AGRUP. VALOR. PTO.]:[AGRUP. VALOR. PTO.]]=$B57,IF(DATOS_[[Check Periodo Ref.]:[Check Periodo Ref.]]="Dentro",IF(DATOS_[[Check Equiparado]:[Check Equiparado]]="Sí",IF(DATOS!AI$4="Sí",(1/DATOS_[[% anualiz]:[% anualiz]]),1)*IF(DATOS!AI$5="Sí",1/DATOS_[[% normaliz]:[% normaliz]],1)*(DATOS_[Conc.Sal.05])))))))), 0)</f>
        <v>0</v>
      </c>
      <c r="O59" s="302" t="n">
        <f aca="false" t="array" ref="O59:O59">IFERROR( (AVERAGE((IF(DATOS_[[Sexo]:[Sexo]]=$B59,IF(DATOS_[[AGRUP. VALOR. PTO.]:[AGRUP. VALOR. PTO.]]=$B57,IF(DATOS_[[Check Periodo Ref.]:[Check Periodo Ref.]]="Dentro",IF(DATOS_[[Check Equiparado]:[Check Equiparado]]="Sí",IF(DATOS!AJ$4="Sí",(1/DATOS_[[% anualiz]:[% anualiz]]),1)*IF(DATOS!AJ$5="Sí",1/DATOS_[[% normaliz]:[% normaliz]],1)*(DATOS_[Conc.Sal.06])))))))), 0)</f>
        <v>0</v>
      </c>
      <c r="P59" s="302" t="n">
        <f aca="false" t="array" ref="P59:P59">IFERROR( (AVERAGE((IF(DATOS_[[Sexo]:[Sexo]]=$B59,IF(DATOS_[[AGRUP. VALOR. PTO.]:[AGRUP. VALOR. PTO.]]=$B57,IF(DATOS_[[Check Periodo Ref.]:[Check Periodo Ref.]]="Dentro",IF(DATOS_[[Check Equiparado]:[Check Equiparado]]="Sí",IF(DATOS!AK$4="Sí",(1/DATOS_[[% anualiz]:[% anualiz]]),1)*IF(DATOS!AK$5="Sí",1/DATOS_[[% normaliz]:[% normaliz]],1)*(DATOS_[Conc.Sal.07])))))))), 0)</f>
        <v>0</v>
      </c>
      <c r="Q59" s="302" t="n">
        <f aca="false" t="array" ref="Q59:Q59">IFERROR( (AVERAGE((IF(DATOS_[[Sexo]:[Sexo]]=$B59,IF(DATOS_[[AGRUP. VALOR. PTO.]:[AGRUP. VALOR. PTO.]]=$B57,IF(DATOS_[[Check Periodo Ref.]:[Check Periodo Ref.]]="Dentro",IF(DATOS_[[Check Equiparado]:[Check Equiparado]]="Sí",IF(DATOS!AL$4="Sí",(1/DATOS_[[% anualiz]:[% anualiz]]),1)*IF(DATOS!AL$5="Sí",1/DATOS_[[% normaliz]:[% normaliz]],1)*(DATOS_[Conc.Sal.08])))))))), 0)</f>
        <v>0</v>
      </c>
      <c r="R59" s="302" t="n">
        <f aca="false" t="array" ref="R59:R59">IFERROR( (AVERAGE((IF(DATOS_[[Sexo]:[Sexo]]=$B59,IF(DATOS_[[AGRUP. VALOR. PTO.]:[AGRUP. VALOR. PTO.]]=$B57,IF(DATOS_[[Check Periodo Ref.]:[Check Periodo Ref.]]="Dentro",IF(DATOS_[[Check Equiparado]:[Check Equiparado]]="Sí",IF(DATOS!AM$4="Sí",(1/DATOS_[[% anualiz]:[% anualiz]]),1)*IF(DATOS!AM$5="Sí",1/DATOS_[[% normaliz]:[% normaliz]],1)*(DATOS_[Conc.Sal.09])))))))), 0)</f>
        <v>0</v>
      </c>
      <c r="S59" s="302" t="n">
        <f aca="false" t="array" ref="S59:S59">IFERROR( (AVERAGE((IF(DATOS_[[Sexo]:[Sexo]]=$B59,IF(DATOS_[[AGRUP. VALOR. PTO.]:[AGRUP. VALOR. PTO.]]=$B57,IF(DATOS_[[Check Periodo Ref.]:[Check Periodo Ref.]]="Dentro",IF(DATOS_[[Check Equiparado]:[Check Equiparado]]="Sí",IF(DATOS!AN$4="Sí",(1/DATOS_[[% anualiz]:[% anualiz]]),1)*IF(DATOS!AN$5="Sí",1/DATOS_[[% normaliz]:[% normaliz]],1)*(DATOS_[Conc.Sal.10])))))))), 0)</f>
        <v>0</v>
      </c>
      <c r="T59" s="302" t="n">
        <f aca="false" t="array" ref="T59:T59">IFERROR( (AVERAGE((IF(DATOS_[[Sexo]:[Sexo]]=$B59,IF(DATOS_[[AGRUP. VALOR. PTO.]:[AGRUP. VALOR. PTO.]]=$B57,IF(DATOS_[[Check Periodo Ref.]:[Check Periodo Ref.]]="Dentro",IF(DATOS_[[Check Equiparado]:[Check Equiparado]]="Sí",IF(DATOS!AO$4="Sí",(1/DATOS_[[% anualiz]:[% anualiz]]),1)*IF(DATOS!AO$5="Sí",1/DATOS_[[% normaliz]:[% normaliz]],1)*(DATOS_[Conc.Sal.11])))))))), 0)</f>
        <v>0</v>
      </c>
      <c r="U59" s="302" t="n">
        <f aca="false" t="array" ref="U59:U59">IFERROR( (AVERAGE((IF(DATOS_[[Sexo]:[Sexo]]=$B59,IF(DATOS_[[AGRUP. VALOR. PTO.]:[AGRUP. VALOR. PTO.]]=$B57,IF(DATOS_[[Check Periodo Ref.]:[Check Periodo Ref.]]="Dentro",IF(DATOS_[[Check Equiparado]:[Check Equiparado]]="Sí",IF(DATOS!AP$4="Sí",(1/DATOS_[[% anualiz]:[% anualiz]]),1)*IF(DATOS!AP$5="Sí",1/DATOS_[[% normaliz]:[% normaliz]],1)*(DATOS_[Conc.Sal.12])))))))), 0)</f>
        <v>0</v>
      </c>
      <c r="V59" s="302" t="n">
        <f aca="false" t="array" ref="V59:V59">IFERROR( (AVERAGE((IF(DATOS_[[Sexo]:[Sexo]]=$B59,IF(DATOS_[[AGRUP. VALOR. PTO.]:[AGRUP. VALOR. PTO.]]=$B57,IF(DATOS_[[Check Periodo Ref.]:[Check Periodo Ref.]]="Dentro",IF(DATOS_[[Check Equiparado]:[Check Equiparado]]="Sí",IF(DATOS!AQ$4="Sí",(1/DATOS_[[% anualiz]:[% anualiz]]),1)*IF(DATOS!AQ$5="Sí",1/DATOS_[[% normaliz]:[% normaliz]],1)*(DATOS_[Conc.Sal.13])))))))), 0)</f>
        <v>0</v>
      </c>
      <c r="W59" s="302" t="n">
        <f aca="false" t="array" ref="W59:W59">IFERROR( (AVERAGE((IF(DATOS_[[Sexo]:[Sexo]]=$B59,IF(DATOS_[[AGRUP. VALOR. PTO.]:[AGRUP. VALOR. PTO.]]=$B57,IF(DATOS_[[Check Periodo Ref.]:[Check Periodo Ref.]]="Dentro",IF(DATOS_[[Check Equiparado]:[Check Equiparado]]="Sí",IF(DATOS!AR$4="Sí",(1/DATOS_[[% anualiz]:[% anualiz]]),1)*IF(DATOS!AR$5="Sí",1/DATOS_[[% normaliz]:[% normaliz]],1)*(DATOS_[Conc.Sal.14])))))))), 0)</f>
        <v>0</v>
      </c>
      <c r="X59" s="302" t="n">
        <f aca="false" t="array" ref="X59:X59">IFERROR( (AVERAGE((IF(DATOS_[[Sexo]:[Sexo]]=$B59,IF(DATOS_[[AGRUP. VALOR. PTO.]:[AGRUP. VALOR. PTO.]]=$B57,IF(DATOS_[[Check Periodo Ref.]:[Check Periodo Ref.]]="Dentro",IF(DATOS_[[Check Equiparado]:[Check Equiparado]]="Sí",IF(DATOS!AS$4="Sí",(1/DATOS_[[% anualiz]:[% anualiz]]),1)*IF(DATOS!AS$5="Sí",1/DATOS_[[% normaliz]:[% normaliz]],1)*(DATOS_[Conc.Sal.15])))))))), 0)</f>
        <v>0</v>
      </c>
      <c r="Y59" s="302" t="n">
        <f aca="false" t="array" ref="Y59:Y59">IFERROR( (AVERAGE((IF(DATOS_[[Sexo]:[Sexo]]=$B59,IF(DATOS_[[AGRUP. VALOR. PTO.]:[AGRUP. VALOR. PTO.]]=$B57,IF(DATOS_[[Check Periodo Ref.]:[Check Periodo Ref.]]="Dentro",IF(DATOS_[[Check Equiparado]:[Check Equiparado]]="Sí",IF(DATOS!AT$4="Sí",(1/DATOS_[[% anualiz]:[% anualiz]]),1)*IF(DATOS!AT$5="Sí",1/DATOS_[[% normaliz]:[% normaliz]],1)*(DATOS_[Conc.Sal.16])))))))), 0)</f>
        <v>0</v>
      </c>
      <c r="Z59" s="302" t="n">
        <f aca="false" t="array" ref="Z59:Z59">IFERROR( (AVERAGE((IF(DATOS_[[Sexo]:[Sexo]]=$B59,IF(DATOS_[[AGRUP. VALOR. PTO.]:[AGRUP. VALOR. PTO.]]=$B57,IF(DATOS_[[Check Periodo Ref.]:[Check Periodo Ref.]]="Dentro",IF(DATOS_[[Check Equiparado]:[Check Equiparado]]="Sí",IF(DATOS!AU$4="Sí",(1/DATOS_[[% anualiz]:[% anualiz]]),1)*IF(DATOS!AU$5="Sí",1/DATOS_[[% normaliz]:[% normaliz]],1)*(DATOS_[Conc.Sal.17])))))))), 0)</f>
        <v>0</v>
      </c>
      <c r="AA59" s="302" t="n">
        <f aca="false" t="array" ref="AA59:AA59">IFERROR( (AVERAGE((IF(DATOS_[[Sexo]:[Sexo]]=$B59,IF(DATOS_[[AGRUP. VALOR. PTO.]:[AGRUP. VALOR. PTO.]]=$B57,IF(DATOS_[[Check Periodo Ref.]:[Check Periodo Ref.]]="Dentro",IF(DATOS_[[Check Equiparado]:[Check Equiparado]]="Sí",IF(DATOS!AV$4="Sí",(1/DATOS_[[% anualiz]:[% anualiz]]),1)*IF(DATOS!AV$5="Sí",1/DATOS_[[% normaliz]:[% normaliz]],1)*(DATOS_[Conc.Sal.18])))))))), 0)</f>
        <v>0</v>
      </c>
      <c r="AB59" s="302" t="n">
        <f aca="false" t="array" ref="AB59:AB59">IFERROR( (AVERAGE((IF(DATOS_[[Sexo]:[Sexo]]=$B59,IF(DATOS_[[AGRUP. VALOR. PTO.]:[AGRUP. VALOR. PTO.]]=$B57,IF(DATOS_[[Check Periodo Ref.]:[Check Periodo Ref.]]="Dentro",IF(DATOS_[[Check Equiparado]:[Check Equiparado]]="Sí",IF(DATOS!AW$4="Sí",(1/DATOS_[[% anualiz]:[% anualiz]]),1)*IF(DATOS!AW$5="Sí",1/DATOS_[[% normaliz]:[% normaliz]],1)*(DATOS_[Conc.Sal.19])))))))), 0)</f>
        <v>0</v>
      </c>
      <c r="AC59" s="302" t="n">
        <f aca="false" t="array" ref="AC59:AC59">IFERROR( (AVERAGE((IF(DATOS_[[Sexo]:[Sexo]]=$B59,IF(DATOS_[[AGRUP. VALOR. PTO.]:[AGRUP. VALOR. PTO.]]=$B57,IF(DATOS_[[Check Periodo Ref.]:[Check Periodo Ref.]]="Dentro",IF(DATOS_[[Check Equiparado]:[Check Equiparado]]="Sí",IF(DATOS!AX$4="Sí",(1/DATOS_[[% anualiz]:[% anualiz]]),1)*IF(DATOS!AX$5="Sí",1/DATOS_[[% normaliz]:[% normaliz]],1)*(DATOS_[Conc.Sal.20])))))))), 0)</f>
        <v>0</v>
      </c>
      <c r="AD59" s="302" t="n">
        <f aca="false" t="array" ref="AD59:AD59">IFERROR( (AVERAGE((IF(DATOS_[[Sexo]:[Sexo]]=$B59,IF(DATOS_[[AGRUP. VALOR. PTO.]:[AGRUP. VALOR. PTO.]]=$B57,IF(DATOS_[[Check Periodo Ref.]:[Check Periodo Ref.]]="Dentro",IF(DATOS_[[Check Equiparado]:[Check Equiparado]]="Sí",IF(DATOS!AY$4="Sí",(1/DATOS_[[% anualiz]:[% anualiz]]),1)*IF(DATOS!AY$5="Sí",1/DATOS_[[% normaliz]:[% normaliz]],1)*(DATOS_[Conc.Sal.21])))))))), 0)</f>
        <v>0</v>
      </c>
      <c r="AE59" s="302" t="n">
        <f aca="false" t="array" ref="AE59:AE59">IFERROR( (AVERAGE((IF(DATOS_[[Sexo]:[Sexo]]=$B59,IF(DATOS_[[AGRUP. VALOR. PTO.]:[AGRUP. VALOR. PTO.]]=$B57,IF(DATOS_[[Check Periodo Ref.]:[Check Periodo Ref.]]="Dentro",IF(DATOS_[[Check Equiparado]:[Check Equiparado]]="Sí",IF(DATOS!AZ$4="Sí",(1/DATOS_[[% anualiz]:[% anualiz]]),1)*IF(DATOS!AZ$5="Sí",1/DATOS_[[% normaliz]:[% normaliz]],1)*(DATOS_[Conc.Sal.22])))))))), 0)</f>
        <v>0</v>
      </c>
      <c r="AF59" s="302" t="n">
        <f aca="false" t="array" ref="AF59:AF59">IFERROR( (AVERAGE((IF(DATOS_[[Sexo]:[Sexo]]=$B59,IF(DATOS_[[AGRUP. VALOR. PTO.]:[AGRUP. VALOR. PTO.]]=$B57,IF(DATOS_[[Check Periodo Ref.]:[Check Periodo Ref.]]="Dentro",IF(DATOS_[[Check Equiparado]:[Check Equiparado]]="Sí",IF(DATOS!BA$4="Sí",(1/DATOS_[[% anualiz]:[% anualiz]]),1)*IF(DATOS!BA$5="Sí",1/DATOS_[[% normaliz]:[% normaliz]],1)*(DATOS_[Conc.Sal.23])))))))), 0)</f>
        <v>0</v>
      </c>
      <c r="AG59" s="302" t="n">
        <f aca="false" t="array" ref="AG59:AG59">IFERROR( (AVERAGE((IF(DATOS_[[Sexo]:[Sexo]]=$B59,IF(DATOS_[[AGRUP. VALOR. PTO.]:[AGRUP. VALOR. PTO.]]=$B57,IF(DATOS_[[Check Periodo Ref.]:[Check Periodo Ref.]]="Dentro",IF(DATOS_[[Check Equiparado]:[Check Equiparado]]="Sí",IF(DATOS!BB$4="Sí",(1/DATOS_[[% anualiz]:[% anualiz]]),1)*IF(DATOS!BB$5="Sí",1/DATOS_[[% normaliz]:[% normaliz]],1)*(DATOS_[Conc.Sal.24])))))))), 0)</f>
        <v>0</v>
      </c>
      <c r="AH59" s="302" t="n">
        <f aca="false" t="array" ref="AH59:AH59">IFERROR( (AVERAGE((IF(DATOS_[[Sexo]:[Sexo]]=$B59,IF(DATOS_[[AGRUP. VALOR. PTO.]:[AGRUP. VALOR. PTO.]]=$B57,IF(DATOS_[[Check Periodo Ref.]:[Check Periodo Ref.]]="Dentro",IF(DATOS_[[Check Equiparado]:[Check Equiparado]]="Sí",IF(DATOS!BC$4="Sí",(1/DATOS_[[% anualiz]:[% anualiz]]),1)*IF(DATOS!BC$5="Sí",1/DATOS_[[% normaliz]:[% normaliz]],1)*(DATOS_[Conc.Sal.25])))))))), 0)</f>
        <v>0</v>
      </c>
      <c r="AI59" s="302" t="n">
        <f aca="false" t="array" ref="AI59:AI59">IFERROR( (AVERAGE((IF(DATOS_[[Sexo]:[Sexo]]=$B59,IF(DATOS_[[AGRUP. VALOR. PTO.]:[AGRUP. VALOR. PTO.]]=$B57,IF(DATOS_[[Check Periodo Ref.]:[Check Periodo Ref.]]="Dentro",IF(DATOS_[[Check Equiparado]:[Check Equiparado]]="Sí",IF(DATOS!BD$4="Sí",(1/DATOS_[[% anualiz]:[% anualiz]]),1)*IF(DATOS!BD$5="Sí",1/DATOS_[[% normaliz]:[% normaliz]],1)*(DATOS_[Conc.Sal.26])))))))), 0)</f>
        <v>0</v>
      </c>
      <c r="AJ59" s="302" t="n">
        <f aca="false" t="array" ref="AJ59:AJ59">IFERROR( (AVERAGE((IF(DATOS_[[Sexo]:[Sexo]]=$B59,IF(DATOS_[[AGRUP. VALOR. PTO.]:[AGRUP. VALOR. PTO.]]=$B57,IF(DATOS_[[Check Periodo Ref.]:[Check Periodo Ref.]]="Dentro",IF(DATOS_[[Check Equiparado]:[Check Equiparado]]="Sí",IF(DATOS!BE$4="Sí",(1/DATOS_[[% anualiz]:[% anualiz]]),1)*IF(DATOS!BE$5="Sí",1/DATOS_[[% normaliz]:[% normaliz]],1)*(DATOS_[Conc.Sal.27])))))))), 0)</f>
        <v>0</v>
      </c>
      <c r="AK59" s="302" t="n">
        <f aca="false" t="array" ref="AK59:AK59">IFERROR( (AVERAGE((IF(DATOS_[[Sexo]:[Sexo]]=$B59,IF(DATOS_[[AGRUP. VALOR. PTO.]:[AGRUP. VALOR. PTO.]]=$B57,IF(DATOS_[[Check Periodo Ref.]:[Check Periodo Ref.]]="Dentro",IF(DATOS_[[Check Equiparado]:[Check Equiparado]]="Sí",IF(DATOS!BF$4="Sí",(1/DATOS_[[% anualiz]:[% anualiz]]),1)*IF(DATOS!BF$5="Sí",1/DATOS_[[% normaliz]:[% normaliz]],1)*(DATOS_[Conc.Sal.28])))))))), 0)</f>
        <v>0</v>
      </c>
      <c r="AL59" s="302" t="n">
        <f aca="false" t="array" ref="AL59:AL59">IFERROR( (AVERAGE((IF(DATOS_[[Sexo]:[Sexo]]=$B59,IF(DATOS_[[AGRUP. VALOR. PTO.]:[AGRUP. VALOR. PTO.]]=$B57,IF(DATOS_[[Check Periodo Ref.]:[Check Periodo Ref.]]="Dentro",IF(DATOS_[[Check Equiparado]:[Check Equiparado]]="Sí",IF(DATOS!BG$4="Sí",(1/DATOS_[[% anualiz]:[% anualiz]]),1)*IF(DATOS!BG$5="Sí",1/DATOS_[[% normaliz]:[% normaliz]],1)*(DATOS_[Conc.Sal.29])))))))), 0)</f>
        <v>0</v>
      </c>
      <c r="AM59" s="302" t="n">
        <f aca="false" t="array" ref="AM59:AM59">IFERROR( (AVERAGE((IF(DATOS_[[Sexo]:[Sexo]]=$B59,IF(DATOS_[[AGRUP. VALOR. PTO.]:[AGRUP. VALOR. PTO.]]=$B57,IF(DATOS_[[Check Periodo Ref.]:[Check Periodo Ref.]]="Dentro",IF(DATOS_[[Check Equiparado]:[Check Equiparado]]="Sí",IF(DATOS!BH$4="Sí",(1/DATOS_[[% anualiz]:[% anualiz]]),1)*IF(DATOS!BH$5="Sí",1/DATOS_[[% normaliz]:[% normaliz]],1)*(DATOS_[Conc.Sal.30])))))))), 0)</f>
        <v>0</v>
      </c>
      <c r="AN59" s="294" t="n">
        <f aca="false" t="array" ref="AN59:AN59">IFERROR( AVERAGE(IF(DATOS_[Sexo]=$B59,IF(DATOS_[[AGRUP. VALOR. PTO.]:[AGRUP. VALOR. PTO.]]=$B57,IF(DATOS_[Check Equiparado]="Sí",IF(DATOS_[Check Periodo Ref.]="Dentro",DATOS_[Tot COMPL.SAL Eq],0))))), 0)</f>
        <v>0</v>
      </c>
      <c r="AO59" s="295" t="n">
        <f aca="false" t="array" ref="AO59:AO59">IFERROR( AVERAGE(IF(DATOS_[Sexo]=$B59,IF(DATOS_[[AGRUP. VALOR. PTO.]:[AGRUP. VALOR. PTO.]]=$B57,IF(DATOS_[Check Equiparado]="Sí",IF(DATOS_[Check Periodo Ref.]="Dentro",DATOS_[TOTAL SALARIO Eq],0))))), 0)</f>
        <v>0</v>
      </c>
      <c r="AP59" s="303" t="n">
        <f aca="false" t="array" ref="AP59:AP59">IFERROR( (AVERAGE((IF(DATOS_[[Sexo]:[Sexo]]=$B59,IF(DATOS_[[AGRUP. VALOR. PTO.]:[AGRUP. VALOR. PTO.]]=$B58,IF(DATOS_[[Check Periodo Ref.]:[Check Periodo Ref.]]="Dentro",IF(DATOS_[[Check Equiparado]:[Check Equiparado]]="Sí",IF(DATOS!BI$4="Sí",(1/DATOS_[[% anualiz]:[% anualiz]]),1)*IF(DATOS!BI$5="Sí",1/DATOS_[[% normaliz]:[% normaliz]],1)*(DATOS_[C.Extra.01])))))))), 0)</f>
        <v>0</v>
      </c>
      <c r="AQ59" s="303" t="n">
        <f aca="false" t="array" ref="AQ59:AQ59">IFERROR( (AVERAGE((IF(DATOS_[[Sexo]:[Sexo]]=$B59,IF(DATOS_[[AGRUP. VALOR. PTO.]:[AGRUP. VALOR. PTO.]]=$B58,IF(DATOS_[[Check Periodo Ref.]:[Check Periodo Ref.]]="Dentro",IF(DATOS_[[Check Equiparado]:[Check Equiparado]]="Sí",IF(DATOS!BJ$4="Sí",(1/DATOS_[[% anualiz]:[% anualiz]]),1)*IF(DATOS!BJ$5="Sí",1/DATOS_[[% normaliz]:[% normaliz]],1)*(DATOS_[C.Extra.02])))))))), 0)</f>
        <v>0</v>
      </c>
      <c r="AR59" s="303" t="n">
        <f aca="false" t="array" ref="AR59:AR59">IFERROR( (AVERAGE((IF(DATOS_[[Sexo]:[Sexo]]=$B59,IF(DATOS_[[AGRUP. VALOR. PTO.]:[AGRUP. VALOR. PTO.]]=$B58,IF(DATOS_[[Check Periodo Ref.]:[Check Periodo Ref.]]="Dentro",IF(DATOS_[[Check Equiparado]:[Check Equiparado]]="Sí",IF(DATOS!BK$4="Sí",(1/DATOS_[[% anualiz]:[% anualiz]]),1)*IF(DATOS!BK$5="Sí",1/DATOS_[[% normaliz]:[% normaliz]],1)*(DATOS_[C.Extra.03])))))))), 0)</f>
        <v>0</v>
      </c>
      <c r="AS59" s="303" t="n">
        <f aca="false" t="array" ref="AS59:AS59">IFERROR( (AVERAGE((IF(DATOS_[[Sexo]:[Sexo]]=$B59,IF(DATOS_[[AGRUP. VALOR. PTO.]:[AGRUP. VALOR. PTO.]]=$B58,IF(DATOS_[[Check Periodo Ref.]:[Check Periodo Ref.]]="Dentro",IF(DATOS_[[Check Equiparado]:[Check Equiparado]]="Sí",IF(DATOS!BL$4="Sí",(1/DATOS_[[% anualiz]:[% anualiz]]),1)*IF(DATOS!BL$5="Sí",1/DATOS_[[% normaliz]:[% normaliz]],1)*(DATOS_[C.Extra.04])))))))), 0)</f>
        <v>0</v>
      </c>
      <c r="AT59" s="303" t="n">
        <f aca="false" t="array" ref="AT59:AT59">IFERROR( (AVERAGE((IF(DATOS_[[Sexo]:[Sexo]]=$B59,IF(DATOS_[[AGRUP. VALOR. PTO.]:[AGRUP. VALOR. PTO.]]=$B58,IF(DATOS_[[Check Periodo Ref.]:[Check Periodo Ref.]]="Dentro",IF(DATOS_[[Check Equiparado]:[Check Equiparado]]="Sí",IF(DATOS!BM$4="Sí",(1/DATOS_[[% anualiz]:[% anualiz]]),1)*IF(DATOS!BM$5="Sí",1/DATOS_[[% normaliz]:[% normaliz]],1)*(DATOS_[C.Extra.05])))))))), 0)</f>
        <v>0</v>
      </c>
      <c r="AU59" s="297" t="n">
        <f aca="false" t="array" ref="AU59:AU59">IFERROR( AVERAGE(IF(DATOS_[Sexo]=$B59,IF(DATOS_[[AGRUP. VALOR. PTO.]:[AGRUP. VALOR. PTO.]]=$B57,IF(DATOS_[Check Equiparado]="Sí",IF(DATOS_[Check Periodo Ref.]="Dentro",DATOS_[Tot Extrasalarial Eq],0))))), 0)</f>
        <v>0</v>
      </c>
      <c r="AV59" s="298" t="n">
        <f aca="false" t="array" ref="AV59:AV59">IFERROR( AVERAGE(IF(DATOS_[Sexo]=$B59,IF(DATOS_[[AGRUP. VALOR. PTO.]:[AGRUP. VALOR. PTO.]]=$B57,IF(DATOS_[Check Equiparado]="Sí",IF(DATOS_[Check Periodo Ref.]="Dentro",DATOS_[TOTAL Retrib Eq],0))))), 0)</f>
        <v>0</v>
      </c>
    </row>
    <row r="60" customFormat="false" ht="15.75" hidden="false" customHeight="false" outlineLevel="0" collapsed="false">
      <c r="A60" s="166" t="str">
        <f aca="false">+A61</f>
        <v>[ocultar]</v>
      </c>
      <c r="B60" s="276" t="s">
        <v>214</v>
      </c>
      <c r="C60" s="277"/>
      <c r="D60" s="278"/>
      <c r="E60" s="278"/>
      <c r="F60" s="278"/>
      <c r="G60" s="278"/>
      <c r="H60" s="278"/>
      <c r="I60" s="279" t="str">
        <f aca="false">IFERROR((I61-I62)/I61,"")</f>
        <v/>
      </c>
      <c r="J60" s="280" t="str">
        <f aca="false">IFERROR((J61-J62)/J61,"")</f>
        <v/>
      </c>
      <c r="K60" s="281" t="str">
        <f aca="false">IFERROR((K61-K62)/K61,"")</f>
        <v/>
      </c>
      <c r="L60" s="281" t="str">
        <f aca="false">IFERROR((L61-L62)/L61,"")</f>
        <v/>
      </c>
      <c r="M60" s="281" t="str">
        <f aca="false">IFERROR((M61-M62)/M61,"")</f>
        <v/>
      </c>
      <c r="N60" s="282" t="str">
        <f aca="false">IFERROR((N61-N62)/N61,"")</f>
        <v/>
      </c>
      <c r="O60" s="283" t="str">
        <f aca="false">IFERROR((O61-O62)/O61,"")</f>
        <v/>
      </c>
      <c r="P60" s="283" t="str">
        <f aca="false">IFERROR((P61-P62)/P61,"")</f>
        <v/>
      </c>
      <c r="Q60" s="283" t="str">
        <f aca="false">IFERROR((Q61-Q62)/Q61,"")</f>
        <v/>
      </c>
      <c r="R60" s="283" t="str">
        <f aca="false">IFERROR((R61-R62)/R61,"")</f>
        <v/>
      </c>
      <c r="S60" s="283" t="str">
        <f aca="false">IFERROR((S61-S62)/S61,"")</f>
        <v/>
      </c>
      <c r="T60" s="283" t="str">
        <f aca="false">IFERROR((T61-T62)/T61,"")</f>
        <v/>
      </c>
      <c r="U60" s="283" t="str">
        <f aca="false">IFERROR((U61-U62)/U61,"")</f>
        <v/>
      </c>
      <c r="V60" s="283" t="str">
        <f aca="false">IFERROR((V61-V62)/V61,"")</f>
        <v/>
      </c>
      <c r="W60" s="283" t="str">
        <f aca="false">IFERROR((W61-W62)/W61,"")</f>
        <v/>
      </c>
      <c r="X60" s="283" t="str">
        <f aca="false">IFERROR((X61-X62)/X61,"")</f>
        <v/>
      </c>
      <c r="Y60" s="283" t="str">
        <f aca="false">IFERROR((Y61-Y62)/Y61,"")</f>
        <v/>
      </c>
      <c r="Z60" s="282" t="str">
        <f aca="false">IFERROR((Z61-Z62)/Z61,"")</f>
        <v/>
      </c>
      <c r="AA60" s="282" t="str">
        <f aca="false">IFERROR((AA61-AA62)/AA61,"")</f>
        <v/>
      </c>
      <c r="AB60" s="282" t="str">
        <f aca="false">IFERROR((AB61-AB62)/AB61,"")</f>
        <v/>
      </c>
      <c r="AC60" s="282" t="str">
        <f aca="false">IFERROR((AC61-AC62)/AC61,"")</f>
        <v/>
      </c>
      <c r="AD60" s="282" t="str">
        <f aca="false">IFERROR((AD61-AD62)/AD61,"")</f>
        <v/>
      </c>
      <c r="AE60" s="282" t="str">
        <f aca="false">IFERROR((AE61-AE62)/AE61,"")</f>
        <v/>
      </c>
      <c r="AF60" s="282" t="str">
        <f aca="false">IFERROR((AF61-AF62)/AF61,"")</f>
        <v/>
      </c>
      <c r="AG60" s="282" t="str">
        <f aca="false">IFERROR((AG61-AG62)/AG61,"")</f>
        <v/>
      </c>
      <c r="AH60" s="282" t="str">
        <f aca="false">IFERROR((AH61-AH62)/AH61,"")</f>
        <v/>
      </c>
      <c r="AI60" s="282" t="str">
        <f aca="false">IFERROR((AI61-AI62)/AI61,"")</f>
        <v/>
      </c>
      <c r="AJ60" s="282" t="str">
        <f aca="false">IFERROR((AJ61-AJ62)/AJ61,"")</f>
        <v/>
      </c>
      <c r="AK60" s="282" t="str">
        <f aca="false">IFERROR((AK61-AK62)/AK61,"")</f>
        <v/>
      </c>
      <c r="AL60" s="282" t="str">
        <f aca="false">IFERROR((AL61-AL62)/AL61,"")</f>
        <v/>
      </c>
      <c r="AM60" s="282" t="str">
        <f aca="false">IFERROR((AM61-AM62)/AM61,"")</f>
        <v/>
      </c>
      <c r="AN60" s="284" t="str">
        <f aca="false">IFERROR((AN61-AN62)/AN61,"")</f>
        <v/>
      </c>
      <c r="AO60" s="285" t="str">
        <f aca="false">IFERROR((AO61-AO62)/AO61,"")</f>
        <v/>
      </c>
      <c r="AP60" s="286" t="str">
        <f aca="false">IFERROR((AP61-AP62)/AP61,"")</f>
        <v/>
      </c>
      <c r="AQ60" s="286" t="str">
        <f aca="false">IFERROR((AQ61-AQ62)/AQ61,"")</f>
        <v/>
      </c>
      <c r="AR60" s="286" t="str">
        <f aca="false">IFERROR((AR61-AR62)/AR61,"")</f>
        <v/>
      </c>
      <c r="AS60" s="286" t="str">
        <f aca="false">IFERROR((AS61-AS62)/AS61,"")</f>
        <v/>
      </c>
      <c r="AT60" s="286" t="str">
        <f aca="false">IFERROR((AT61-AT62)/AT61,"")</f>
        <v/>
      </c>
      <c r="AU60" s="287" t="str">
        <f aca="false">IFERROR((AU61-AU62)/AU61,"")</f>
        <v/>
      </c>
      <c r="AV60" s="288" t="str">
        <f aca="false">IFERROR((AV61-AV62)/AV61,"")</f>
        <v/>
      </c>
    </row>
    <row r="61" customFormat="false" ht="14.25" hidden="false" customHeight="false" outlineLevel="0" collapsed="false">
      <c r="A61" s="166" t="str">
        <f aca="false">+IF(C61+C62=0,"[ocultar]","")</f>
        <v>[ocultar]</v>
      </c>
      <c r="B61" s="289" t="s">
        <v>371</v>
      </c>
      <c r="C61" s="290" t="n">
        <f aca="false" t="array" ref="C61:C61">SUM(IF($B61=DATOS_[Sexo], IF($B60=DATOS_[AGRUP. VALOR. PTO.], IF("Dentro"=DATOS_[Check Periodo Ref.], 1/(COUNTIFS(DATOS_[Sexo],$B61,DATOS_[AGRUP. VALOR. PTO.],$B60,DATOS_[Check Periodo Ref.],"Dentro",DATOS_[id],DATOS_[id]))))))</f>
        <v>0</v>
      </c>
      <c r="D61" s="291" t="n">
        <f aca="false">COUNTIFS(DATOS_[AGRUP. VALOR. PTO.],$B60,DATOS_[Sexo],$B61,DATOS_[Check Periodo Ref.],"Dentro")</f>
        <v>0</v>
      </c>
      <c r="E61" s="291" t="n">
        <f aca="false">COUNTIFS(DATOS_[AGRUP. VALOR. PTO.],$B60,DATOS_[Sexo],$B61,DATOS_[Check Periodo Ref.],"Dentro",DATOS_[Check Nº SC Norm],"Sí")</f>
        <v>0</v>
      </c>
      <c r="F61" s="291" t="n">
        <f aca="false">COUNTIFS(DATOS_[AGRUP. VALOR. PTO.],$B60,DATOS_[Sexo],$B61,DATOS_[Check Periodo Ref.],"Dentro",DATOS_[Check Nº SC Anualiz],"Sí")</f>
        <v>0</v>
      </c>
      <c r="G61" s="291" t="n">
        <f aca="false">COUNTIFS(DATOS_[AGRUP. VALOR. PTO.],$B60,DATOS_[Sexo],$B61,DATOS_[Check Periodo Ref.],"Dentro",DATOS_[Check Nº SC Norm y Anualiz],"Sí")</f>
        <v>0</v>
      </c>
      <c r="H61" s="291" t="n">
        <f aca="false">COUNTIFS(DATOS_[AGRUP. VALOR. PTO.],$B60,DATOS_[Sexo],$B61,DATOS_[Check Periodo Ref.],"Dentro",DATOS_[Check Equiparación],"Sí")</f>
        <v>0</v>
      </c>
      <c r="I61" s="292" t="n">
        <f aca="false" t="array" ref="I61:I61">IFERROR( AVERAGE(IF(DATOS_[Sexo]=$B61,IF(DATOS_[[AGRUP. VALOR. PTO.]:[AGRUP. VALOR. PTO.]]=$B60,IF(DATOS_[Check Equiparado]="Sí",IF(DATOS_[Check Periodo Ref.]="Dentro",DATOS_[SALARIO BASE Eq],0))))), 0)</f>
        <v>0</v>
      </c>
      <c r="J61" s="302" t="n">
        <f aca="false" t="array" ref="J61:J61">IFERROR( (AVERAGE((IF(DATOS_[[Sexo]:[Sexo]]=$B61,IF(DATOS_[[AGRUP. VALOR. PTO.]:[AGRUP. VALOR. PTO.]]=$B60,IF(DATOS_[[Check Periodo Ref.]:[Check Periodo Ref.]]="Dentro",IF(DATOS_[[Check Equiparado]:[Check Equiparado]]="Sí",IF(DATOS!AE$4="Sí",(1/DATOS_[[% anualiz]:[% anualiz]]),1)*IF(DATOS!AE$5="Sí",1/DATOS_[[% normaliz]:[% normaliz]],1)*(DATOS_[Conc.Sal.01])))))))), 0)</f>
        <v>0</v>
      </c>
      <c r="K61" s="302" t="n">
        <f aca="false" t="array" ref="K61:K61">IFERROR( (AVERAGE((IF(DATOS_[[Sexo]:[Sexo]]=$B61,IF(DATOS_[[AGRUP. VALOR. PTO.]:[AGRUP. VALOR. PTO.]]=$B60,IF(DATOS_[[Check Periodo Ref.]:[Check Periodo Ref.]]="Dentro",IF(DATOS_[[Check Equiparado]:[Check Equiparado]]="Sí",IF(DATOS!AF$4="Sí",(1/DATOS_[[% anualiz]:[% anualiz]]),1)*IF(DATOS!AF$5="Sí",1/DATOS_[[% normaliz]:[% normaliz]],1)*(DATOS_[Conc.Sal.02])))))))), 0)</f>
        <v>0</v>
      </c>
      <c r="L61" s="302" t="n">
        <f aca="false" t="array" ref="L61:L61">IFERROR( (AVERAGE((IF(DATOS_[[Sexo]:[Sexo]]=$B61,IF(DATOS_[[AGRUP. VALOR. PTO.]:[AGRUP. VALOR. PTO.]]=$B60,IF(DATOS_[[Check Periodo Ref.]:[Check Periodo Ref.]]="Dentro",IF(DATOS_[[Check Equiparado]:[Check Equiparado]]="Sí",IF(DATOS!AG$4="Sí",(1/DATOS_[[% anualiz]:[% anualiz]]),1)*IF(DATOS!AG$5="Sí",1/DATOS_[[% normaliz]:[% normaliz]],1)*(DATOS_[Conc.Sal.03])))))))), 0)</f>
        <v>0</v>
      </c>
      <c r="M61" s="302" t="n">
        <f aca="false" t="array" ref="M61:M61">IFERROR( (AVERAGE((IF(DATOS_[[Sexo]:[Sexo]]=$B61,IF(DATOS_[[AGRUP. VALOR. PTO.]:[AGRUP. VALOR. PTO.]]=$B60,IF(DATOS_[[Check Periodo Ref.]:[Check Periodo Ref.]]="Dentro",IF(DATOS_[[Check Equiparado]:[Check Equiparado]]="Sí",IF(DATOS!AH$4="Sí",(1/DATOS_[[% anualiz]:[% anualiz]]),1)*IF(DATOS!AH$5="Sí",1/DATOS_[[% normaliz]:[% normaliz]],1)*(DATOS_[Conc.Sal.04])))))))), 0)</f>
        <v>0</v>
      </c>
      <c r="N61" s="302" t="n">
        <f aca="false" t="array" ref="N61:N61">IFERROR( (AVERAGE((IF(DATOS_[[Sexo]:[Sexo]]=$B61,IF(DATOS_[[AGRUP. VALOR. PTO.]:[AGRUP. VALOR. PTO.]]=$B60,IF(DATOS_[[Check Periodo Ref.]:[Check Periodo Ref.]]="Dentro",IF(DATOS_[[Check Equiparado]:[Check Equiparado]]="Sí",IF(DATOS!AI$4="Sí",(1/DATOS_[[% anualiz]:[% anualiz]]),1)*IF(DATOS!AI$5="Sí",1/DATOS_[[% normaliz]:[% normaliz]],1)*(DATOS_[Conc.Sal.05])))))))), 0)</f>
        <v>0</v>
      </c>
      <c r="O61" s="302" t="n">
        <f aca="false" t="array" ref="O61:O61">IFERROR( (AVERAGE((IF(DATOS_[[Sexo]:[Sexo]]=$B61,IF(DATOS_[[AGRUP. VALOR. PTO.]:[AGRUP. VALOR. PTO.]]=$B60,IF(DATOS_[[Check Periodo Ref.]:[Check Periodo Ref.]]="Dentro",IF(DATOS_[[Check Equiparado]:[Check Equiparado]]="Sí",IF(DATOS!AJ$4="Sí",(1/DATOS_[[% anualiz]:[% anualiz]]),1)*IF(DATOS!AJ$5="Sí",1/DATOS_[[% normaliz]:[% normaliz]],1)*(DATOS_[Conc.Sal.06])))))))), 0)</f>
        <v>0</v>
      </c>
      <c r="P61" s="302" t="n">
        <f aca="false" t="array" ref="P61:P61">IFERROR( (AVERAGE((IF(DATOS_[[Sexo]:[Sexo]]=$B61,IF(DATOS_[[AGRUP. VALOR. PTO.]:[AGRUP. VALOR. PTO.]]=$B60,IF(DATOS_[[Check Periodo Ref.]:[Check Periodo Ref.]]="Dentro",IF(DATOS_[[Check Equiparado]:[Check Equiparado]]="Sí",IF(DATOS!AK$4="Sí",(1/DATOS_[[% anualiz]:[% anualiz]]),1)*IF(DATOS!AK$5="Sí",1/DATOS_[[% normaliz]:[% normaliz]],1)*(DATOS_[Conc.Sal.07])))))))), 0)</f>
        <v>0</v>
      </c>
      <c r="Q61" s="302" t="n">
        <f aca="false" t="array" ref="Q61:Q61">IFERROR( (AVERAGE((IF(DATOS_[[Sexo]:[Sexo]]=$B61,IF(DATOS_[[AGRUP. VALOR. PTO.]:[AGRUP. VALOR. PTO.]]=$B60,IF(DATOS_[[Check Periodo Ref.]:[Check Periodo Ref.]]="Dentro",IF(DATOS_[[Check Equiparado]:[Check Equiparado]]="Sí",IF(DATOS!AL$4="Sí",(1/DATOS_[[% anualiz]:[% anualiz]]),1)*IF(DATOS!AL$5="Sí",1/DATOS_[[% normaliz]:[% normaliz]],1)*(DATOS_[Conc.Sal.08])))))))), 0)</f>
        <v>0</v>
      </c>
      <c r="R61" s="302" t="n">
        <f aca="false" t="array" ref="R61:R61">IFERROR( (AVERAGE((IF(DATOS_[[Sexo]:[Sexo]]=$B61,IF(DATOS_[[AGRUP. VALOR. PTO.]:[AGRUP. VALOR. PTO.]]=$B60,IF(DATOS_[[Check Periodo Ref.]:[Check Periodo Ref.]]="Dentro",IF(DATOS_[[Check Equiparado]:[Check Equiparado]]="Sí",IF(DATOS!AM$4="Sí",(1/DATOS_[[% anualiz]:[% anualiz]]),1)*IF(DATOS!AM$5="Sí",1/DATOS_[[% normaliz]:[% normaliz]],1)*(DATOS_[Conc.Sal.09])))))))), 0)</f>
        <v>0</v>
      </c>
      <c r="S61" s="302" t="n">
        <f aca="false" t="array" ref="S61:S61">IFERROR( (AVERAGE((IF(DATOS_[[Sexo]:[Sexo]]=$B61,IF(DATOS_[[AGRUP. VALOR. PTO.]:[AGRUP. VALOR. PTO.]]=$B60,IF(DATOS_[[Check Periodo Ref.]:[Check Periodo Ref.]]="Dentro",IF(DATOS_[[Check Equiparado]:[Check Equiparado]]="Sí",IF(DATOS!AN$4="Sí",(1/DATOS_[[% anualiz]:[% anualiz]]),1)*IF(DATOS!AN$5="Sí",1/DATOS_[[% normaliz]:[% normaliz]],1)*(DATOS_[Conc.Sal.10])))))))), 0)</f>
        <v>0</v>
      </c>
      <c r="T61" s="302" t="n">
        <f aca="false" t="array" ref="T61:T61">IFERROR( (AVERAGE((IF(DATOS_[[Sexo]:[Sexo]]=$B61,IF(DATOS_[[AGRUP. VALOR. PTO.]:[AGRUP. VALOR. PTO.]]=$B60,IF(DATOS_[[Check Periodo Ref.]:[Check Periodo Ref.]]="Dentro",IF(DATOS_[[Check Equiparado]:[Check Equiparado]]="Sí",IF(DATOS!AO$4="Sí",(1/DATOS_[[% anualiz]:[% anualiz]]),1)*IF(DATOS!AO$5="Sí",1/DATOS_[[% normaliz]:[% normaliz]],1)*(DATOS_[Conc.Sal.11])))))))), 0)</f>
        <v>0</v>
      </c>
      <c r="U61" s="302" t="n">
        <f aca="false" t="array" ref="U61:U61">IFERROR( (AVERAGE((IF(DATOS_[[Sexo]:[Sexo]]=$B61,IF(DATOS_[[AGRUP. VALOR. PTO.]:[AGRUP. VALOR. PTO.]]=$B60,IF(DATOS_[[Check Periodo Ref.]:[Check Periodo Ref.]]="Dentro",IF(DATOS_[[Check Equiparado]:[Check Equiparado]]="Sí",IF(DATOS!AP$4="Sí",(1/DATOS_[[% anualiz]:[% anualiz]]),1)*IF(DATOS!AP$5="Sí",1/DATOS_[[% normaliz]:[% normaliz]],1)*(DATOS_[Conc.Sal.12])))))))), 0)</f>
        <v>0</v>
      </c>
      <c r="V61" s="302" t="n">
        <f aca="false" t="array" ref="V61:V61">IFERROR( (AVERAGE((IF(DATOS_[[Sexo]:[Sexo]]=$B61,IF(DATOS_[[AGRUP. VALOR. PTO.]:[AGRUP. VALOR. PTO.]]=$B60,IF(DATOS_[[Check Periodo Ref.]:[Check Periodo Ref.]]="Dentro",IF(DATOS_[[Check Equiparado]:[Check Equiparado]]="Sí",IF(DATOS!AQ$4="Sí",(1/DATOS_[[% anualiz]:[% anualiz]]),1)*IF(DATOS!AQ$5="Sí",1/DATOS_[[% normaliz]:[% normaliz]],1)*(DATOS_[Conc.Sal.13])))))))), 0)</f>
        <v>0</v>
      </c>
      <c r="W61" s="302" t="n">
        <f aca="false" t="array" ref="W61:W61">IFERROR( (AVERAGE((IF(DATOS_[[Sexo]:[Sexo]]=$B61,IF(DATOS_[[AGRUP. VALOR. PTO.]:[AGRUP. VALOR. PTO.]]=$B60,IF(DATOS_[[Check Periodo Ref.]:[Check Periodo Ref.]]="Dentro",IF(DATOS_[[Check Equiparado]:[Check Equiparado]]="Sí",IF(DATOS!AR$4="Sí",(1/DATOS_[[% anualiz]:[% anualiz]]),1)*IF(DATOS!AR$5="Sí",1/DATOS_[[% normaliz]:[% normaliz]],1)*(DATOS_[Conc.Sal.14])))))))), 0)</f>
        <v>0</v>
      </c>
      <c r="X61" s="302" t="n">
        <f aca="false" t="array" ref="X61:X61">IFERROR( (AVERAGE((IF(DATOS_[[Sexo]:[Sexo]]=$B61,IF(DATOS_[[AGRUP. VALOR. PTO.]:[AGRUP. VALOR. PTO.]]=$B60,IF(DATOS_[[Check Periodo Ref.]:[Check Periodo Ref.]]="Dentro",IF(DATOS_[[Check Equiparado]:[Check Equiparado]]="Sí",IF(DATOS!AS$4="Sí",(1/DATOS_[[% anualiz]:[% anualiz]]),1)*IF(DATOS!AS$5="Sí",1/DATOS_[[% normaliz]:[% normaliz]],1)*(DATOS_[Conc.Sal.15])))))))), 0)</f>
        <v>0</v>
      </c>
      <c r="Y61" s="302" t="n">
        <f aca="false" t="array" ref="Y61:Y61">IFERROR( (AVERAGE((IF(DATOS_[[Sexo]:[Sexo]]=$B61,IF(DATOS_[[AGRUP. VALOR. PTO.]:[AGRUP. VALOR. PTO.]]=$B60,IF(DATOS_[[Check Periodo Ref.]:[Check Periodo Ref.]]="Dentro",IF(DATOS_[[Check Equiparado]:[Check Equiparado]]="Sí",IF(DATOS!AT$4="Sí",(1/DATOS_[[% anualiz]:[% anualiz]]),1)*IF(DATOS!AT$5="Sí",1/DATOS_[[% normaliz]:[% normaliz]],1)*(DATOS_[Conc.Sal.16])))))))), 0)</f>
        <v>0</v>
      </c>
      <c r="Z61" s="302" t="n">
        <f aca="false" t="array" ref="Z61:Z61">IFERROR( (AVERAGE((IF(DATOS_[[Sexo]:[Sexo]]=$B61,IF(DATOS_[[AGRUP. VALOR. PTO.]:[AGRUP. VALOR. PTO.]]=$B60,IF(DATOS_[[Check Periodo Ref.]:[Check Periodo Ref.]]="Dentro",IF(DATOS_[[Check Equiparado]:[Check Equiparado]]="Sí",IF(DATOS!AU$4="Sí",(1/DATOS_[[% anualiz]:[% anualiz]]),1)*IF(DATOS!AU$5="Sí",1/DATOS_[[% normaliz]:[% normaliz]],1)*(DATOS_[Conc.Sal.17])))))))), 0)</f>
        <v>0</v>
      </c>
      <c r="AA61" s="302" t="n">
        <f aca="false" t="array" ref="AA61:AA61">IFERROR( (AVERAGE((IF(DATOS_[[Sexo]:[Sexo]]=$B61,IF(DATOS_[[AGRUP. VALOR. PTO.]:[AGRUP. VALOR. PTO.]]=$B60,IF(DATOS_[[Check Periodo Ref.]:[Check Periodo Ref.]]="Dentro",IF(DATOS_[[Check Equiparado]:[Check Equiparado]]="Sí",IF(DATOS!AV$4="Sí",(1/DATOS_[[% anualiz]:[% anualiz]]),1)*IF(DATOS!AV$5="Sí",1/DATOS_[[% normaliz]:[% normaliz]],1)*(DATOS_[Conc.Sal.18])))))))), 0)</f>
        <v>0</v>
      </c>
      <c r="AB61" s="302" t="n">
        <f aca="false" t="array" ref="AB61:AB61">IFERROR( (AVERAGE((IF(DATOS_[[Sexo]:[Sexo]]=$B61,IF(DATOS_[[AGRUP. VALOR. PTO.]:[AGRUP. VALOR. PTO.]]=$B60,IF(DATOS_[[Check Periodo Ref.]:[Check Periodo Ref.]]="Dentro",IF(DATOS_[[Check Equiparado]:[Check Equiparado]]="Sí",IF(DATOS!AW$4="Sí",(1/DATOS_[[% anualiz]:[% anualiz]]),1)*IF(DATOS!AW$5="Sí",1/DATOS_[[% normaliz]:[% normaliz]],1)*(DATOS_[Conc.Sal.19])))))))), 0)</f>
        <v>0</v>
      </c>
      <c r="AC61" s="302" t="n">
        <f aca="false" t="array" ref="AC61:AC61">IFERROR( (AVERAGE((IF(DATOS_[[Sexo]:[Sexo]]=$B61,IF(DATOS_[[AGRUP. VALOR. PTO.]:[AGRUP. VALOR. PTO.]]=$B60,IF(DATOS_[[Check Periodo Ref.]:[Check Periodo Ref.]]="Dentro",IF(DATOS_[[Check Equiparado]:[Check Equiparado]]="Sí",IF(DATOS!AX$4="Sí",(1/DATOS_[[% anualiz]:[% anualiz]]),1)*IF(DATOS!AX$5="Sí",1/DATOS_[[% normaliz]:[% normaliz]],1)*(DATOS_[Conc.Sal.20])))))))), 0)</f>
        <v>0</v>
      </c>
      <c r="AD61" s="302" t="n">
        <f aca="false" t="array" ref="AD61:AD61">IFERROR( (AVERAGE((IF(DATOS_[[Sexo]:[Sexo]]=$B61,IF(DATOS_[[AGRUP. VALOR. PTO.]:[AGRUP. VALOR. PTO.]]=$B60,IF(DATOS_[[Check Periodo Ref.]:[Check Periodo Ref.]]="Dentro",IF(DATOS_[[Check Equiparado]:[Check Equiparado]]="Sí",IF(DATOS!AY$4="Sí",(1/DATOS_[[% anualiz]:[% anualiz]]),1)*IF(DATOS!AY$5="Sí",1/DATOS_[[% normaliz]:[% normaliz]],1)*(DATOS_[Conc.Sal.21])))))))), 0)</f>
        <v>0</v>
      </c>
      <c r="AE61" s="302" t="n">
        <f aca="false" t="array" ref="AE61:AE61">IFERROR( (AVERAGE((IF(DATOS_[[Sexo]:[Sexo]]=$B61,IF(DATOS_[[AGRUP. VALOR. PTO.]:[AGRUP. VALOR. PTO.]]=$B60,IF(DATOS_[[Check Periodo Ref.]:[Check Periodo Ref.]]="Dentro",IF(DATOS_[[Check Equiparado]:[Check Equiparado]]="Sí",IF(DATOS!AZ$4="Sí",(1/DATOS_[[% anualiz]:[% anualiz]]),1)*IF(DATOS!AZ$5="Sí",1/DATOS_[[% normaliz]:[% normaliz]],1)*(DATOS_[Conc.Sal.22])))))))), 0)</f>
        <v>0</v>
      </c>
      <c r="AF61" s="302" t="n">
        <f aca="false" t="array" ref="AF61:AF61">IFERROR( (AVERAGE((IF(DATOS_[[Sexo]:[Sexo]]=$B61,IF(DATOS_[[AGRUP. VALOR. PTO.]:[AGRUP. VALOR. PTO.]]=$B60,IF(DATOS_[[Check Periodo Ref.]:[Check Periodo Ref.]]="Dentro",IF(DATOS_[[Check Equiparado]:[Check Equiparado]]="Sí",IF(DATOS!BA$4="Sí",(1/DATOS_[[% anualiz]:[% anualiz]]),1)*IF(DATOS!BA$5="Sí",1/DATOS_[[% normaliz]:[% normaliz]],1)*(DATOS_[Conc.Sal.23])))))))), 0)</f>
        <v>0</v>
      </c>
      <c r="AG61" s="302" t="n">
        <f aca="false" t="array" ref="AG61:AG61">IFERROR( (AVERAGE((IF(DATOS_[[Sexo]:[Sexo]]=$B61,IF(DATOS_[[AGRUP. VALOR. PTO.]:[AGRUP. VALOR. PTO.]]=$B60,IF(DATOS_[[Check Periodo Ref.]:[Check Periodo Ref.]]="Dentro",IF(DATOS_[[Check Equiparado]:[Check Equiparado]]="Sí",IF(DATOS!BB$4="Sí",(1/DATOS_[[% anualiz]:[% anualiz]]),1)*IF(DATOS!BB$5="Sí",1/DATOS_[[% normaliz]:[% normaliz]],1)*(DATOS_[Conc.Sal.24])))))))), 0)</f>
        <v>0</v>
      </c>
      <c r="AH61" s="302" t="n">
        <f aca="false" t="array" ref="AH61:AH61">IFERROR( (AVERAGE((IF(DATOS_[[Sexo]:[Sexo]]=$B61,IF(DATOS_[[AGRUP. VALOR. PTO.]:[AGRUP. VALOR. PTO.]]=$B60,IF(DATOS_[[Check Periodo Ref.]:[Check Periodo Ref.]]="Dentro",IF(DATOS_[[Check Equiparado]:[Check Equiparado]]="Sí",IF(DATOS!BC$4="Sí",(1/DATOS_[[% anualiz]:[% anualiz]]),1)*IF(DATOS!BC$5="Sí",1/DATOS_[[% normaliz]:[% normaliz]],1)*(DATOS_[Conc.Sal.25])))))))), 0)</f>
        <v>0</v>
      </c>
      <c r="AI61" s="302" t="n">
        <f aca="false" t="array" ref="AI61:AI61">IFERROR( (AVERAGE((IF(DATOS_[[Sexo]:[Sexo]]=$B61,IF(DATOS_[[AGRUP. VALOR. PTO.]:[AGRUP. VALOR. PTO.]]=$B60,IF(DATOS_[[Check Periodo Ref.]:[Check Periodo Ref.]]="Dentro",IF(DATOS_[[Check Equiparado]:[Check Equiparado]]="Sí",IF(DATOS!BD$4="Sí",(1/DATOS_[[% anualiz]:[% anualiz]]),1)*IF(DATOS!BD$5="Sí",1/DATOS_[[% normaliz]:[% normaliz]],1)*(DATOS_[Conc.Sal.26])))))))), 0)</f>
        <v>0</v>
      </c>
      <c r="AJ61" s="302" t="n">
        <f aca="false" t="array" ref="AJ61:AJ61">IFERROR( (AVERAGE((IF(DATOS_[[Sexo]:[Sexo]]=$B61,IF(DATOS_[[AGRUP. VALOR. PTO.]:[AGRUP. VALOR. PTO.]]=$B60,IF(DATOS_[[Check Periodo Ref.]:[Check Periodo Ref.]]="Dentro",IF(DATOS_[[Check Equiparado]:[Check Equiparado]]="Sí",IF(DATOS!BE$4="Sí",(1/DATOS_[[% anualiz]:[% anualiz]]),1)*IF(DATOS!BE$5="Sí",1/DATOS_[[% normaliz]:[% normaliz]],1)*(DATOS_[Conc.Sal.27])))))))), 0)</f>
        <v>0</v>
      </c>
      <c r="AK61" s="302" t="n">
        <f aca="false" t="array" ref="AK61:AK61">IFERROR( (AVERAGE((IF(DATOS_[[Sexo]:[Sexo]]=$B61,IF(DATOS_[[AGRUP. VALOR. PTO.]:[AGRUP. VALOR. PTO.]]=$B60,IF(DATOS_[[Check Periodo Ref.]:[Check Periodo Ref.]]="Dentro",IF(DATOS_[[Check Equiparado]:[Check Equiparado]]="Sí",IF(DATOS!BF$4="Sí",(1/DATOS_[[% anualiz]:[% anualiz]]),1)*IF(DATOS!BF$5="Sí",1/DATOS_[[% normaliz]:[% normaliz]],1)*(DATOS_[Conc.Sal.28])))))))), 0)</f>
        <v>0</v>
      </c>
      <c r="AL61" s="302" t="n">
        <f aca="false" t="array" ref="AL61:AL61">IFERROR( (AVERAGE((IF(DATOS_[[Sexo]:[Sexo]]=$B61,IF(DATOS_[[AGRUP. VALOR. PTO.]:[AGRUP. VALOR. PTO.]]=$B60,IF(DATOS_[[Check Periodo Ref.]:[Check Periodo Ref.]]="Dentro",IF(DATOS_[[Check Equiparado]:[Check Equiparado]]="Sí",IF(DATOS!BG$4="Sí",(1/DATOS_[[% anualiz]:[% anualiz]]),1)*IF(DATOS!BG$5="Sí",1/DATOS_[[% normaliz]:[% normaliz]],1)*(DATOS_[Conc.Sal.29])))))))), 0)</f>
        <v>0</v>
      </c>
      <c r="AM61" s="302" t="n">
        <f aca="false" t="array" ref="AM61:AM61">IFERROR( (AVERAGE((IF(DATOS_[[Sexo]:[Sexo]]=$B61,IF(DATOS_[[AGRUP. VALOR. PTO.]:[AGRUP. VALOR. PTO.]]=$B60,IF(DATOS_[[Check Periodo Ref.]:[Check Periodo Ref.]]="Dentro",IF(DATOS_[[Check Equiparado]:[Check Equiparado]]="Sí",IF(DATOS!BH$4="Sí",(1/DATOS_[[% anualiz]:[% anualiz]]),1)*IF(DATOS!BH$5="Sí",1/DATOS_[[% normaliz]:[% normaliz]],1)*(DATOS_[Conc.Sal.30])))))))), 0)</f>
        <v>0</v>
      </c>
      <c r="AN61" s="294" t="n">
        <f aca="false" t="array" ref="AN61:AN61">IFERROR( AVERAGE(IF(DATOS_[Sexo]=$B61,IF(DATOS_[[AGRUP. VALOR. PTO.]:[AGRUP. VALOR. PTO.]]=$B60,IF(DATOS_[Check Equiparado]="Sí",IF(DATOS_[Check Periodo Ref.]="Dentro",DATOS_[Tot COMPL.SAL Eq],0))))), 0)</f>
        <v>0</v>
      </c>
      <c r="AO61" s="295" t="n">
        <f aca="false" t="array" ref="AO61:AO61">IFERROR( AVERAGE(IF(DATOS_[Sexo]=$B61,IF(DATOS_[[AGRUP. VALOR. PTO.]:[AGRUP. VALOR. PTO.]]=$B60,IF(DATOS_[Check Equiparado]="Sí",IF(DATOS_[Check Periodo Ref.]="Dentro",DATOS_[TOTAL SALARIO Eq],0))))), 0)</f>
        <v>0</v>
      </c>
      <c r="AP61" s="303" t="n">
        <f aca="false" t="array" ref="AP61:AP61">IFERROR( (AVERAGE((IF(DATOS_[[Sexo]:[Sexo]]=$B61,IF(DATOS_[[AGRUP. VALOR. PTO.]:[AGRUP. VALOR. PTO.]]=$B60,IF(DATOS_[[Check Periodo Ref.]:[Check Periodo Ref.]]="Dentro",IF(DATOS_[[Check Equiparado]:[Check Equiparado]]="Sí",IF(DATOS!BI$4="Sí",(1/DATOS_[[% anualiz]:[% anualiz]]),1)*IF(DATOS!BI$5="Sí",1/DATOS_[[% normaliz]:[% normaliz]],1)*(DATOS_[C.Extra.01])))))))), 0)</f>
        <v>0</v>
      </c>
      <c r="AQ61" s="303" t="n">
        <f aca="false" t="array" ref="AQ61:AQ61">IFERROR( (AVERAGE((IF(DATOS_[[Sexo]:[Sexo]]=$B61,IF(DATOS_[[AGRUP. VALOR. PTO.]:[AGRUP. VALOR. PTO.]]=$B60,IF(DATOS_[[Check Periodo Ref.]:[Check Periodo Ref.]]="Dentro",IF(DATOS_[[Check Equiparado]:[Check Equiparado]]="Sí",IF(DATOS!BJ$4="Sí",(1/DATOS_[[% anualiz]:[% anualiz]]),1)*IF(DATOS!BJ$5="Sí",1/DATOS_[[% normaliz]:[% normaliz]],1)*(DATOS_[C.Extra.02])))))))), 0)</f>
        <v>0</v>
      </c>
      <c r="AR61" s="303" t="n">
        <f aca="false" t="array" ref="AR61:AR61">IFERROR( (AVERAGE((IF(DATOS_[[Sexo]:[Sexo]]=$B61,IF(DATOS_[[AGRUP. VALOR. PTO.]:[AGRUP. VALOR. PTO.]]=$B60,IF(DATOS_[[Check Periodo Ref.]:[Check Periodo Ref.]]="Dentro",IF(DATOS_[[Check Equiparado]:[Check Equiparado]]="Sí",IF(DATOS!BK$4="Sí",(1/DATOS_[[% anualiz]:[% anualiz]]),1)*IF(DATOS!BK$5="Sí",1/DATOS_[[% normaliz]:[% normaliz]],1)*(DATOS_[C.Extra.03])))))))), 0)</f>
        <v>0</v>
      </c>
      <c r="AS61" s="303" t="n">
        <f aca="false" t="array" ref="AS61:AS61">IFERROR( (AVERAGE((IF(DATOS_[[Sexo]:[Sexo]]=$B61,IF(DATOS_[[AGRUP. VALOR. PTO.]:[AGRUP. VALOR. PTO.]]=$B60,IF(DATOS_[[Check Periodo Ref.]:[Check Periodo Ref.]]="Dentro",IF(DATOS_[[Check Equiparado]:[Check Equiparado]]="Sí",IF(DATOS!BL$4="Sí",(1/DATOS_[[% anualiz]:[% anualiz]]),1)*IF(DATOS!BL$5="Sí",1/DATOS_[[% normaliz]:[% normaliz]],1)*(DATOS_[C.Extra.04])))))))), 0)</f>
        <v>0</v>
      </c>
      <c r="AT61" s="303" t="n">
        <f aca="false" t="array" ref="AT61:AT61">IFERROR( (AVERAGE((IF(DATOS_[[Sexo]:[Sexo]]=$B61,IF(DATOS_[[AGRUP. VALOR. PTO.]:[AGRUP. VALOR. PTO.]]=$B60,IF(DATOS_[[Check Periodo Ref.]:[Check Periodo Ref.]]="Dentro",IF(DATOS_[[Check Equiparado]:[Check Equiparado]]="Sí",IF(DATOS!BM$4="Sí",(1/DATOS_[[% anualiz]:[% anualiz]]),1)*IF(DATOS!BM$5="Sí",1/DATOS_[[% normaliz]:[% normaliz]],1)*(DATOS_[C.Extra.05])))))))), 0)</f>
        <v>0</v>
      </c>
      <c r="AU61" s="297" t="n">
        <f aca="false" t="array" ref="AU61:AU61">IFERROR( AVERAGE(IF(DATOS_[Sexo]=$B61,IF(DATOS_[[AGRUP. VALOR. PTO.]:[AGRUP. VALOR. PTO.]]=$B60,IF(DATOS_[Check Equiparado]="Sí",IF(DATOS_[Check Periodo Ref.]="Dentro",DATOS_[Tot Extrasalarial Eq],0))))), 0)</f>
        <v>0</v>
      </c>
      <c r="AV61" s="298" t="n">
        <f aca="false" t="array" ref="AV61:AV61">IFERROR( AVERAGE(IF(DATOS_[Sexo]=$B61,IF(DATOS_[[AGRUP. VALOR. PTO.]:[AGRUP. VALOR. PTO.]]=$B60,IF(DATOS_[Check Equiparado]="Sí",IF(DATOS_[Check Periodo Ref.]="Dentro",DATOS_[TOTAL Retrib Eq],0))))), 0)</f>
        <v>0</v>
      </c>
    </row>
    <row r="62" customFormat="false" ht="14.25" hidden="false" customHeight="false" outlineLevel="0" collapsed="false">
      <c r="A62" s="166" t="str">
        <f aca="false">+A61</f>
        <v>[ocultar]</v>
      </c>
      <c r="B62" s="289" t="s">
        <v>372</v>
      </c>
      <c r="C62" s="290" t="n">
        <f aca="false" t="array" ref="C62:C62">SUM(IF($B62=DATOS_[Sexo], IF($B60=DATOS_[AGRUP. VALOR. PTO.], IF("Dentro"=DATOS_[Check Periodo Ref.], 1/(COUNTIFS(DATOS_[Sexo],$B62,DATOS_[AGRUP. VALOR. PTO.],$B60,DATOS_[Check Periodo Ref.],"Dentro",DATOS_[id],DATOS_[id]))))))</f>
        <v>0</v>
      </c>
      <c r="D62" s="291" t="n">
        <f aca="false">COUNTIFS(DATOS_[AGRUP. VALOR. PTO.],$B60,DATOS_[Sexo],$B62,DATOS_[Check Periodo Ref.],"Dentro")</f>
        <v>0</v>
      </c>
      <c r="E62" s="291" t="n">
        <f aca="false">COUNTIFS(DATOS_[AGRUP. VALOR. PTO.],$B60,DATOS_[Sexo],$B62,DATOS_[Check Periodo Ref.],"Dentro",DATOS_[Check Nº SC Norm],"Sí")</f>
        <v>0</v>
      </c>
      <c r="F62" s="291" t="n">
        <f aca="false">COUNTIFS(DATOS_[AGRUP. VALOR. PTO.],$B60,DATOS_[Sexo],$B62,DATOS_[Check Periodo Ref.],"Dentro",DATOS_[Check Nº SC Anualiz],"Sí")</f>
        <v>0</v>
      </c>
      <c r="G62" s="291" t="n">
        <f aca="false">COUNTIFS(DATOS_[AGRUP. VALOR. PTO.],$B60,DATOS_[Sexo],$B62,DATOS_[Check Periodo Ref.],"Dentro",DATOS_[Check Nº SC Norm y Anualiz],"Sí")</f>
        <v>0</v>
      </c>
      <c r="H62" s="291" t="n">
        <f aca="false">COUNTIFS(DATOS_[AGRUP. VALOR. PTO.],$B60,DATOS_[Sexo],$B62,DATOS_[Check Periodo Ref.],"Dentro",DATOS_[Check Equiparación],"Sí")</f>
        <v>0</v>
      </c>
      <c r="I62" s="292" t="n">
        <f aca="false" t="array" ref="I62:I62">IFERROR( AVERAGE(IF(DATOS_[Sexo]=$B62,IF(DATOS_[[AGRUP. VALOR. PTO.]:[AGRUP. VALOR. PTO.]]=$B60,IF(DATOS_[Check Equiparado]="Sí",IF(DATOS_[Check Periodo Ref.]="Dentro",DATOS_[SALARIO BASE Eq],0))))), 0)</f>
        <v>0</v>
      </c>
      <c r="J62" s="302" t="n">
        <f aca="false" t="array" ref="J62:J62">IFERROR( (AVERAGE((IF(DATOS_[[Sexo]:[Sexo]]=$B62,IF(DATOS_[[AGRUP. VALOR. PTO.]:[AGRUP. VALOR. PTO.]]=$B60,IF(DATOS_[[Check Periodo Ref.]:[Check Periodo Ref.]]="Dentro",IF(DATOS_[[Check Equiparado]:[Check Equiparado]]="Sí",IF(DATOS!AE$4="Sí",(1/DATOS_[[% anualiz]:[% anualiz]]),1)*IF(DATOS!AE$5="Sí",1/DATOS_[[% normaliz]:[% normaliz]],1)*(DATOS_[Conc.Sal.01])))))))), 0)</f>
        <v>0</v>
      </c>
      <c r="K62" s="302" t="n">
        <f aca="false" t="array" ref="K62:K62">IFERROR( (AVERAGE((IF(DATOS_[[Sexo]:[Sexo]]=$B62,IF(DATOS_[[AGRUP. VALOR. PTO.]:[AGRUP. VALOR. PTO.]]=$B60,IF(DATOS_[[Check Periodo Ref.]:[Check Periodo Ref.]]="Dentro",IF(DATOS_[[Check Equiparado]:[Check Equiparado]]="Sí",IF(DATOS!AF$4="Sí",(1/DATOS_[[% anualiz]:[% anualiz]]),1)*IF(DATOS!AF$5="Sí",1/DATOS_[[% normaliz]:[% normaliz]],1)*(DATOS_[Conc.Sal.02])))))))), 0)</f>
        <v>0</v>
      </c>
      <c r="L62" s="302" t="n">
        <f aca="false" t="array" ref="L62:L62">IFERROR( (AVERAGE((IF(DATOS_[[Sexo]:[Sexo]]=$B62,IF(DATOS_[[AGRUP. VALOR. PTO.]:[AGRUP. VALOR. PTO.]]=$B60,IF(DATOS_[[Check Periodo Ref.]:[Check Periodo Ref.]]="Dentro",IF(DATOS_[[Check Equiparado]:[Check Equiparado]]="Sí",IF(DATOS!AG$4="Sí",(1/DATOS_[[% anualiz]:[% anualiz]]),1)*IF(DATOS!AG$5="Sí",1/DATOS_[[% normaliz]:[% normaliz]],1)*(DATOS_[Conc.Sal.03])))))))), 0)</f>
        <v>0</v>
      </c>
      <c r="M62" s="302" t="n">
        <f aca="false" t="array" ref="M62:M62">IFERROR( (AVERAGE((IF(DATOS_[[Sexo]:[Sexo]]=$B62,IF(DATOS_[[AGRUP. VALOR. PTO.]:[AGRUP. VALOR. PTO.]]=$B60,IF(DATOS_[[Check Periodo Ref.]:[Check Periodo Ref.]]="Dentro",IF(DATOS_[[Check Equiparado]:[Check Equiparado]]="Sí",IF(DATOS!AH$4="Sí",(1/DATOS_[[% anualiz]:[% anualiz]]),1)*IF(DATOS!AH$5="Sí",1/DATOS_[[% normaliz]:[% normaliz]],1)*(DATOS_[Conc.Sal.04])))))))), 0)</f>
        <v>0</v>
      </c>
      <c r="N62" s="302" t="n">
        <f aca="false" t="array" ref="N62:N62">IFERROR( (AVERAGE((IF(DATOS_[[Sexo]:[Sexo]]=$B62,IF(DATOS_[[AGRUP. VALOR. PTO.]:[AGRUP. VALOR. PTO.]]=$B60,IF(DATOS_[[Check Periodo Ref.]:[Check Periodo Ref.]]="Dentro",IF(DATOS_[[Check Equiparado]:[Check Equiparado]]="Sí",IF(DATOS!AI$4="Sí",(1/DATOS_[[% anualiz]:[% anualiz]]),1)*IF(DATOS!AI$5="Sí",1/DATOS_[[% normaliz]:[% normaliz]],1)*(DATOS_[Conc.Sal.05])))))))), 0)</f>
        <v>0</v>
      </c>
      <c r="O62" s="302" t="n">
        <f aca="false" t="array" ref="O62:O62">IFERROR( (AVERAGE((IF(DATOS_[[Sexo]:[Sexo]]=$B62,IF(DATOS_[[AGRUP. VALOR. PTO.]:[AGRUP. VALOR. PTO.]]=$B60,IF(DATOS_[[Check Periodo Ref.]:[Check Periodo Ref.]]="Dentro",IF(DATOS_[[Check Equiparado]:[Check Equiparado]]="Sí",IF(DATOS!AJ$4="Sí",(1/DATOS_[[% anualiz]:[% anualiz]]),1)*IF(DATOS!AJ$5="Sí",1/DATOS_[[% normaliz]:[% normaliz]],1)*(DATOS_[Conc.Sal.06])))))))), 0)</f>
        <v>0</v>
      </c>
      <c r="P62" s="302" t="n">
        <f aca="false" t="array" ref="P62:P62">IFERROR( (AVERAGE((IF(DATOS_[[Sexo]:[Sexo]]=$B62,IF(DATOS_[[AGRUP. VALOR. PTO.]:[AGRUP. VALOR. PTO.]]=$B60,IF(DATOS_[[Check Periodo Ref.]:[Check Periodo Ref.]]="Dentro",IF(DATOS_[[Check Equiparado]:[Check Equiparado]]="Sí",IF(DATOS!AK$4="Sí",(1/DATOS_[[% anualiz]:[% anualiz]]),1)*IF(DATOS!AK$5="Sí",1/DATOS_[[% normaliz]:[% normaliz]],1)*(DATOS_[Conc.Sal.07])))))))), 0)</f>
        <v>0</v>
      </c>
      <c r="Q62" s="302" t="n">
        <f aca="false" t="array" ref="Q62:Q62">IFERROR( (AVERAGE((IF(DATOS_[[Sexo]:[Sexo]]=$B62,IF(DATOS_[[AGRUP. VALOR. PTO.]:[AGRUP. VALOR. PTO.]]=$B60,IF(DATOS_[[Check Periodo Ref.]:[Check Periodo Ref.]]="Dentro",IF(DATOS_[[Check Equiparado]:[Check Equiparado]]="Sí",IF(DATOS!AL$4="Sí",(1/DATOS_[[% anualiz]:[% anualiz]]),1)*IF(DATOS!AL$5="Sí",1/DATOS_[[% normaliz]:[% normaliz]],1)*(DATOS_[Conc.Sal.08])))))))), 0)</f>
        <v>0</v>
      </c>
      <c r="R62" s="302" t="n">
        <f aca="false" t="array" ref="R62:R62">IFERROR( (AVERAGE((IF(DATOS_[[Sexo]:[Sexo]]=$B62,IF(DATOS_[[AGRUP. VALOR. PTO.]:[AGRUP. VALOR. PTO.]]=$B60,IF(DATOS_[[Check Periodo Ref.]:[Check Periodo Ref.]]="Dentro",IF(DATOS_[[Check Equiparado]:[Check Equiparado]]="Sí",IF(DATOS!AM$4="Sí",(1/DATOS_[[% anualiz]:[% anualiz]]),1)*IF(DATOS!AM$5="Sí",1/DATOS_[[% normaliz]:[% normaliz]],1)*(DATOS_[Conc.Sal.09])))))))), 0)</f>
        <v>0</v>
      </c>
      <c r="S62" s="302" t="n">
        <f aca="false" t="array" ref="S62:S62">IFERROR( (AVERAGE((IF(DATOS_[[Sexo]:[Sexo]]=$B62,IF(DATOS_[[AGRUP. VALOR. PTO.]:[AGRUP. VALOR. PTO.]]=$B60,IF(DATOS_[[Check Periodo Ref.]:[Check Periodo Ref.]]="Dentro",IF(DATOS_[[Check Equiparado]:[Check Equiparado]]="Sí",IF(DATOS!AN$4="Sí",(1/DATOS_[[% anualiz]:[% anualiz]]),1)*IF(DATOS!AN$5="Sí",1/DATOS_[[% normaliz]:[% normaliz]],1)*(DATOS_[Conc.Sal.10])))))))), 0)</f>
        <v>0</v>
      </c>
      <c r="T62" s="302" t="n">
        <f aca="false" t="array" ref="T62:T62">IFERROR( (AVERAGE((IF(DATOS_[[Sexo]:[Sexo]]=$B62,IF(DATOS_[[AGRUP. VALOR. PTO.]:[AGRUP. VALOR. PTO.]]=$B60,IF(DATOS_[[Check Periodo Ref.]:[Check Periodo Ref.]]="Dentro",IF(DATOS_[[Check Equiparado]:[Check Equiparado]]="Sí",IF(DATOS!AO$4="Sí",(1/DATOS_[[% anualiz]:[% anualiz]]),1)*IF(DATOS!AO$5="Sí",1/DATOS_[[% normaliz]:[% normaliz]],1)*(DATOS_[Conc.Sal.11])))))))), 0)</f>
        <v>0</v>
      </c>
      <c r="U62" s="302" t="n">
        <f aca="false" t="array" ref="U62:U62">IFERROR( (AVERAGE((IF(DATOS_[[Sexo]:[Sexo]]=$B62,IF(DATOS_[[AGRUP. VALOR. PTO.]:[AGRUP. VALOR. PTO.]]=$B60,IF(DATOS_[[Check Periodo Ref.]:[Check Periodo Ref.]]="Dentro",IF(DATOS_[[Check Equiparado]:[Check Equiparado]]="Sí",IF(DATOS!AP$4="Sí",(1/DATOS_[[% anualiz]:[% anualiz]]),1)*IF(DATOS!AP$5="Sí",1/DATOS_[[% normaliz]:[% normaliz]],1)*(DATOS_[Conc.Sal.12])))))))), 0)</f>
        <v>0</v>
      </c>
      <c r="V62" s="302" t="n">
        <f aca="false" t="array" ref="V62:V62">IFERROR( (AVERAGE((IF(DATOS_[[Sexo]:[Sexo]]=$B62,IF(DATOS_[[AGRUP. VALOR. PTO.]:[AGRUP. VALOR. PTO.]]=$B60,IF(DATOS_[[Check Periodo Ref.]:[Check Periodo Ref.]]="Dentro",IF(DATOS_[[Check Equiparado]:[Check Equiparado]]="Sí",IF(DATOS!AQ$4="Sí",(1/DATOS_[[% anualiz]:[% anualiz]]),1)*IF(DATOS!AQ$5="Sí",1/DATOS_[[% normaliz]:[% normaliz]],1)*(DATOS_[Conc.Sal.13])))))))), 0)</f>
        <v>0</v>
      </c>
      <c r="W62" s="302" t="n">
        <f aca="false" t="array" ref="W62:W62">IFERROR( (AVERAGE((IF(DATOS_[[Sexo]:[Sexo]]=$B62,IF(DATOS_[[AGRUP. VALOR. PTO.]:[AGRUP. VALOR. PTO.]]=$B60,IF(DATOS_[[Check Periodo Ref.]:[Check Periodo Ref.]]="Dentro",IF(DATOS_[[Check Equiparado]:[Check Equiparado]]="Sí",IF(DATOS!AR$4="Sí",(1/DATOS_[[% anualiz]:[% anualiz]]),1)*IF(DATOS!AR$5="Sí",1/DATOS_[[% normaliz]:[% normaliz]],1)*(DATOS_[Conc.Sal.14])))))))), 0)</f>
        <v>0</v>
      </c>
      <c r="X62" s="302" t="n">
        <f aca="false" t="array" ref="X62:X62">IFERROR( (AVERAGE((IF(DATOS_[[Sexo]:[Sexo]]=$B62,IF(DATOS_[[AGRUP. VALOR. PTO.]:[AGRUP. VALOR. PTO.]]=$B60,IF(DATOS_[[Check Periodo Ref.]:[Check Periodo Ref.]]="Dentro",IF(DATOS_[[Check Equiparado]:[Check Equiparado]]="Sí",IF(DATOS!AS$4="Sí",(1/DATOS_[[% anualiz]:[% anualiz]]),1)*IF(DATOS!AS$5="Sí",1/DATOS_[[% normaliz]:[% normaliz]],1)*(DATOS_[Conc.Sal.15])))))))), 0)</f>
        <v>0</v>
      </c>
      <c r="Y62" s="302" t="n">
        <f aca="false" t="array" ref="Y62:Y62">IFERROR( (AVERAGE((IF(DATOS_[[Sexo]:[Sexo]]=$B62,IF(DATOS_[[AGRUP. VALOR. PTO.]:[AGRUP. VALOR. PTO.]]=$B60,IF(DATOS_[[Check Periodo Ref.]:[Check Periodo Ref.]]="Dentro",IF(DATOS_[[Check Equiparado]:[Check Equiparado]]="Sí",IF(DATOS!AT$4="Sí",(1/DATOS_[[% anualiz]:[% anualiz]]),1)*IF(DATOS!AT$5="Sí",1/DATOS_[[% normaliz]:[% normaliz]],1)*(DATOS_[Conc.Sal.16])))))))), 0)</f>
        <v>0</v>
      </c>
      <c r="Z62" s="302" t="n">
        <f aca="false" t="array" ref="Z62:Z62">IFERROR( (AVERAGE((IF(DATOS_[[Sexo]:[Sexo]]=$B62,IF(DATOS_[[AGRUP. VALOR. PTO.]:[AGRUP. VALOR. PTO.]]=$B60,IF(DATOS_[[Check Periodo Ref.]:[Check Periodo Ref.]]="Dentro",IF(DATOS_[[Check Equiparado]:[Check Equiparado]]="Sí",IF(DATOS!AU$4="Sí",(1/DATOS_[[% anualiz]:[% anualiz]]),1)*IF(DATOS!AU$5="Sí",1/DATOS_[[% normaliz]:[% normaliz]],1)*(DATOS_[Conc.Sal.17])))))))), 0)</f>
        <v>0</v>
      </c>
      <c r="AA62" s="302" t="n">
        <f aca="false" t="array" ref="AA62:AA62">IFERROR( (AVERAGE((IF(DATOS_[[Sexo]:[Sexo]]=$B62,IF(DATOS_[[AGRUP. VALOR. PTO.]:[AGRUP. VALOR. PTO.]]=$B60,IF(DATOS_[[Check Periodo Ref.]:[Check Periodo Ref.]]="Dentro",IF(DATOS_[[Check Equiparado]:[Check Equiparado]]="Sí",IF(DATOS!AV$4="Sí",(1/DATOS_[[% anualiz]:[% anualiz]]),1)*IF(DATOS!AV$5="Sí",1/DATOS_[[% normaliz]:[% normaliz]],1)*(DATOS_[Conc.Sal.18])))))))), 0)</f>
        <v>0</v>
      </c>
      <c r="AB62" s="302" t="n">
        <f aca="false" t="array" ref="AB62:AB62">IFERROR( (AVERAGE((IF(DATOS_[[Sexo]:[Sexo]]=$B62,IF(DATOS_[[AGRUP. VALOR. PTO.]:[AGRUP. VALOR. PTO.]]=$B60,IF(DATOS_[[Check Periodo Ref.]:[Check Periodo Ref.]]="Dentro",IF(DATOS_[[Check Equiparado]:[Check Equiparado]]="Sí",IF(DATOS!AW$4="Sí",(1/DATOS_[[% anualiz]:[% anualiz]]),1)*IF(DATOS!AW$5="Sí",1/DATOS_[[% normaliz]:[% normaliz]],1)*(DATOS_[Conc.Sal.19])))))))), 0)</f>
        <v>0</v>
      </c>
      <c r="AC62" s="302" t="n">
        <f aca="false" t="array" ref="AC62:AC62">IFERROR( (AVERAGE((IF(DATOS_[[Sexo]:[Sexo]]=$B62,IF(DATOS_[[AGRUP. VALOR. PTO.]:[AGRUP. VALOR. PTO.]]=$B60,IF(DATOS_[[Check Periodo Ref.]:[Check Periodo Ref.]]="Dentro",IF(DATOS_[[Check Equiparado]:[Check Equiparado]]="Sí",IF(DATOS!AX$4="Sí",(1/DATOS_[[% anualiz]:[% anualiz]]),1)*IF(DATOS!AX$5="Sí",1/DATOS_[[% normaliz]:[% normaliz]],1)*(DATOS_[Conc.Sal.20])))))))), 0)</f>
        <v>0</v>
      </c>
      <c r="AD62" s="302" t="n">
        <f aca="false" t="array" ref="AD62:AD62">IFERROR( (AVERAGE((IF(DATOS_[[Sexo]:[Sexo]]=$B62,IF(DATOS_[[AGRUP. VALOR. PTO.]:[AGRUP. VALOR. PTO.]]=$B60,IF(DATOS_[[Check Periodo Ref.]:[Check Periodo Ref.]]="Dentro",IF(DATOS_[[Check Equiparado]:[Check Equiparado]]="Sí",IF(DATOS!AY$4="Sí",(1/DATOS_[[% anualiz]:[% anualiz]]),1)*IF(DATOS!AY$5="Sí",1/DATOS_[[% normaliz]:[% normaliz]],1)*(DATOS_[Conc.Sal.21])))))))), 0)</f>
        <v>0</v>
      </c>
      <c r="AE62" s="302" t="n">
        <f aca="false" t="array" ref="AE62:AE62">IFERROR( (AVERAGE((IF(DATOS_[[Sexo]:[Sexo]]=$B62,IF(DATOS_[[AGRUP. VALOR. PTO.]:[AGRUP. VALOR. PTO.]]=$B60,IF(DATOS_[[Check Periodo Ref.]:[Check Periodo Ref.]]="Dentro",IF(DATOS_[[Check Equiparado]:[Check Equiparado]]="Sí",IF(DATOS!AZ$4="Sí",(1/DATOS_[[% anualiz]:[% anualiz]]),1)*IF(DATOS!AZ$5="Sí",1/DATOS_[[% normaliz]:[% normaliz]],1)*(DATOS_[Conc.Sal.22])))))))), 0)</f>
        <v>0</v>
      </c>
      <c r="AF62" s="302" t="n">
        <f aca="false" t="array" ref="AF62:AF62">IFERROR( (AVERAGE((IF(DATOS_[[Sexo]:[Sexo]]=$B62,IF(DATOS_[[AGRUP. VALOR. PTO.]:[AGRUP. VALOR. PTO.]]=$B60,IF(DATOS_[[Check Periodo Ref.]:[Check Periodo Ref.]]="Dentro",IF(DATOS_[[Check Equiparado]:[Check Equiparado]]="Sí",IF(DATOS!BA$4="Sí",(1/DATOS_[[% anualiz]:[% anualiz]]),1)*IF(DATOS!BA$5="Sí",1/DATOS_[[% normaliz]:[% normaliz]],1)*(DATOS_[Conc.Sal.23])))))))), 0)</f>
        <v>0</v>
      </c>
      <c r="AG62" s="302" t="n">
        <f aca="false" t="array" ref="AG62:AG62">IFERROR( (AVERAGE((IF(DATOS_[[Sexo]:[Sexo]]=$B62,IF(DATOS_[[AGRUP. VALOR. PTO.]:[AGRUP. VALOR. PTO.]]=$B60,IF(DATOS_[[Check Periodo Ref.]:[Check Periodo Ref.]]="Dentro",IF(DATOS_[[Check Equiparado]:[Check Equiparado]]="Sí",IF(DATOS!BB$4="Sí",(1/DATOS_[[% anualiz]:[% anualiz]]),1)*IF(DATOS!BB$5="Sí",1/DATOS_[[% normaliz]:[% normaliz]],1)*(DATOS_[Conc.Sal.24])))))))), 0)</f>
        <v>0</v>
      </c>
      <c r="AH62" s="302" t="n">
        <f aca="false" t="array" ref="AH62:AH62">IFERROR( (AVERAGE((IF(DATOS_[[Sexo]:[Sexo]]=$B62,IF(DATOS_[[AGRUP. VALOR. PTO.]:[AGRUP. VALOR. PTO.]]=$B60,IF(DATOS_[[Check Periodo Ref.]:[Check Periodo Ref.]]="Dentro",IF(DATOS_[[Check Equiparado]:[Check Equiparado]]="Sí",IF(DATOS!BC$4="Sí",(1/DATOS_[[% anualiz]:[% anualiz]]),1)*IF(DATOS!BC$5="Sí",1/DATOS_[[% normaliz]:[% normaliz]],1)*(DATOS_[Conc.Sal.25])))))))), 0)</f>
        <v>0</v>
      </c>
      <c r="AI62" s="302" t="n">
        <f aca="false" t="array" ref="AI62:AI62">IFERROR( (AVERAGE((IF(DATOS_[[Sexo]:[Sexo]]=$B62,IF(DATOS_[[AGRUP. VALOR. PTO.]:[AGRUP. VALOR. PTO.]]=$B60,IF(DATOS_[[Check Periodo Ref.]:[Check Periodo Ref.]]="Dentro",IF(DATOS_[[Check Equiparado]:[Check Equiparado]]="Sí",IF(DATOS!BD$4="Sí",(1/DATOS_[[% anualiz]:[% anualiz]]),1)*IF(DATOS!BD$5="Sí",1/DATOS_[[% normaliz]:[% normaliz]],1)*(DATOS_[Conc.Sal.26])))))))), 0)</f>
        <v>0</v>
      </c>
      <c r="AJ62" s="302" t="n">
        <f aca="false" t="array" ref="AJ62:AJ62">IFERROR( (AVERAGE((IF(DATOS_[[Sexo]:[Sexo]]=$B62,IF(DATOS_[[AGRUP. VALOR. PTO.]:[AGRUP. VALOR. PTO.]]=$B60,IF(DATOS_[[Check Periodo Ref.]:[Check Periodo Ref.]]="Dentro",IF(DATOS_[[Check Equiparado]:[Check Equiparado]]="Sí",IF(DATOS!BE$4="Sí",(1/DATOS_[[% anualiz]:[% anualiz]]),1)*IF(DATOS!BE$5="Sí",1/DATOS_[[% normaliz]:[% normaliz]],1)*(DATOS_[Conc.Sal.27])))))))), 0)</f>
        <v>0</v>
      </c>
      <c r="AK62" s="302" t="n">
        <f aca="false" t="array" ref="AK62:AK62">IFERROR( (AVERAGE((IF(DATOS_[[Sexo]:[Sexo]]=$B62,IF(DATOS_[[AGRUP. VALOR. PTO.]:[AGRUP. VALOR. PTO.]]=$B60,IF(DATOS_[[Check Periodo Ref.]:[Check Periodo Ref.]]="Dentro",IF(DATOS_[[Check Equiparado]:[Check Equiparado]]="Sí",IF(DATOS!BF$4="Sí",(1/DATOS_[[% anualiz]:[% anualiz]]),1)*IF(DATOS!BF$5="Sí",1/DATOS_[[% normaliz]:[% normaliz]],1)*(DATOS_[Conc.Sal.28])))))))), 0)</f>
        <v>0</v>
      </c>
      <c r="AL62" s="302" t="n">
        <f aca="false" t="array" ref="AL62:AL62">IFERROR( (AVERAGE((IF(DATOS_[[Sexo]:[Sexo]]=$B62,IF(DATOS_[[AGRUP. VALOR. PTO.]:[AGRUP. VALOR. PTO.]]=$B60,IF(DATOS_[[Check Periodo Ref.]:[Check Periodo Ref.]]="Dentro",IF(DATOS_[[Check Equiparado]:[Check Equiparado]]="Sí",IF(DATOS!BG$4="Sí",(1/DATOS_[[% anualiz]:[% anualiz]]),1)*IF(DATOS!BG$5="Sí",1/DATOS_[[% normaliz]:[% normaliz]],1)*(DATOS_[Conc.Sal.29])))))))), 0)</f>
        <v>0</v>
      </c>
      <c r="AM62" s="302" t="n">
        <f aca="false" t="array" ref="AM62:AM62">IFERROR( (AVERAGE((IF(DATOS_[[Sexo]:[Sexo]]=$B62,IF(DATOS_[[AGRUP. VALOR. PTO.]:[AGRUP. VALOR. PTO.]]=$B60,IF(DATOS_[[Check Periodo Ref.]:[Check Periodo Ref.]]="Dentro",IF(DATOS_[[Check Equiparado]:[Check Equiparado]]="Sí",IF(DATOS!BH$4="Sí",(1/DATOS_[[% anualiz]:[% anualiz]]),1)*IF(DATOS!BH$5="Sí",1/DATOS_[[% normaliz]:[% normaliz]],1)*(DATOS_[Conc.Sal.30])))))))), 0)</f>
        <v>0</v>
      </c>
      <c r="AN62" s="294" t="n">
        <f aca="false" t="array" ref="AN62:AN62">IFERROR( AVERAGE(IF(DATOS_[Sexo]=$B62,IF(DATOS_[[AGRUP. VALOR. PTO.]:[AGRUP. VALOR. PTO.]]=$B60,IF(DATOS_[Check Equiparado]="Sí",IF(DATOS_[Check Periodo Ref.]="Dentro",DATOS_[Tot COMPL.SAL Eq],0))))), 0)</f>
        <v>0</v>
      </c>
      <c r="AO62" s="295" t="n">
        <f aca="false" t="array" ref="AO62:AO62">IFERROR( AVERAGE(IF(DATOS_[Sexo]=$B62,IF(DATOS_[[AGRUP. VALOR. PTO.]:[AGRUP. VALOR. PTO.]]=$B60,IF(DATOS_[Check Equiparado]="Sí",IF(DATOS_[Check Periodo Ref.]="Dentro",DATOS_[TOTAL SALARIO Eq],0))))), 0)</f>
        <v>0</v>
      </c>
      <c r="AP62" s="303" t="n">
        <f aca="false" t="array" ref="AP62:AP62">IFERROR( (AVERAGE((IF(DATOS_[[Sexo]:[Sexo]]=$B62,IF(DATOS_[[AGRUP. VALOR. PTO.]:[AGRUP. VALOR. PTO.]]=$B61,IF(DATOS_[[Check Periodo Ref.]:[Check Periodo Ref.]]="Dentro",IF(DATOS_[[Check Equiparado]:[Check Equiparado]]="Sí",IF(DATOS!BI$4="Sí",(1/DATOS_[[% anualiz]:[% anualiz]]),1)*IF(DATOS!BI$5="Sí",1/DATOS_[[% normaliz]:[% normaliz]],1)*(DATOS_[C.Extra.01])))))))), 0)</f>
        <v>0</v>
      </c>
      <c r="AQ62" s="303" t="n">
        <f aca="false" t="array" ref="AQ62:AQ62">IFERROR( (AVERAGE((IF(DATOS_[[Sexo]:[Sexo]]=$B62,IF(DATOS_[[AGRUP. VALOR. PTO.]:[AGRUP. VALOR. PTO.]]=$B61,IF(DATOS_[[Check Periodo Ref.]:[Check Periodo Ref.]]="Dentro",IF(DATOS_[[Check Equiparado]:[Check Equiparado]]="Sí",IF(DATOS!BJ$4="Sí",(1/DATOS_[[% anualiz]:[% anualiz]]),1)*IF(DATOS!BJ$5="Sí",1/DATOS_[[% normaliz]:[% normaliz]],1)*(DATOS_[C.Extra.02])))))))), 0)</f>
        <v>0</v>
      </c>
      <c r="AR62" s="303" t="n">
        <f aca="false" t="array" ref="AR62:AR62">IFERROR( (AVERAGE((IF(DATOS_[[Sexo]:[Sexo]]=$B62,IF(DATOS_[[AGRUP. VALOR. PTO.]:[AGRUP. VALOR. PTO.]]=$B61,IF(DATOS_[[Check Periodo Ref.]:[Check Periodo Ref.]]="Dentro",IF(DATOS_[[Check Equiparado]:[Check Equiparado]]="Sí",IF(DATOS!BK$4="Sí",(1/DATOS_[[% anualiz]:[% anualiz]]),1)*IF(DATOS!BK$5="Sí",1/DATOS_[[% normaliz]:[% normaliz]],1)*(DATOS_[C.Extra.03])))))))), 0)</f>
        <v>0</v>
      </c>
      <c r="AS62" s="303" t="n">
        <f aca="false" t="array" ref="AS62:AS62">IFERROR( (AVERAGE((IF(DATOS_[[Sexo]:[Sexo]]=$B62,IF(DATOS_[[AGRUP. VALOR. PTO.]:[AGRUP. VALOR. PTO.]]=$B61,IF(DATOS_[[Check Periodo Ref.]:[Check Periodo Ref.]]="Dentro",IF(DATOS_[[Check Equiparado]:[Check Equiparado]]="Sí",IF(DATOS!BL$4="Sí",(1/DATOS_[[% anualiz]:[% anualiz]]),1)*IF(DATOS!BL$5="Sí",1/DATOS_[[% normaliz]:[% normaliz]],1)*(DATOS_[C.Extra.04])))))))), 0)</f>
        <v>0</v>
      </c>
      <c r="AT62" s="303" t="n">
        <f aca="false" t="array" ref="AT62:AT62">IFERROR( (AVERAGE((IF(DATOS_[[Sexo]:[Sexo]]=$B62,IF(DATOS_[[AGRUP. VALOR. PTO.]:[AGRUP. VALOR. PTO.]]=$B61,IF(DATOS_[[Check Periodo Ref.]:[Check Periodo Ref.]]="Dentro",IF(DATOS_[[Check Equiparado]:[Check Equiparado]]="Sí",IF(DATOS!BM$4="Sí",(1/DATOS_[[% anualiz]:[% anualiz]]),1)*IF(DATOS!BM$5="Sí",1/DATOS_[[% normaliz]:[% normaliz]],1)*(DATOS_[C.Extra.05])))))))), 0)</f>
        <v>0</v>
      </c>
      <c r="AU62" s="297" t="n">
        <f aca="false" t="array" ref="AU62:AU62">IFERROR( AVERAGE(IF(DATOS_[Sexo]=$B62,IF(DATOS_[[AGRUP. VALOR. PTO.]:[AGRUP. VALOR. PTO.]]=$B60,IF(DATOS_[Check Equiparado]="Sí",IF(DATOS_[Check Periodo Ref.]="Dentro",DATOS_[Tot Extrasalarial Eq],0))))), 0)</f>
        <v>0</v>
      </c>
      <c r="AV62" s="298" t="n">
        <f aca="false" t="array" ref="AV62:AV62">IFERROR( AVERAGE(IF(DATOS_[Sexo]=$B62,IF(DATOS_[[AGRUP. VALOR. PTO.]:[AGRUP. VALOR. PTO.]]=$B60,IF(DATOS_[Check Equiparado]="Sí",IF(DATOS_[Check Periodo Ref.]="Dentro",DATOS_[TOTAL Retrib Eq],0))))), 0)</f>
        <v>0</v>
      </c>
    </row>
    <row r="63" customFormat="false" ht="15.75" hidden="false" customHeight="false" outlineLevel="0" collapsed="false">
      <c r="A63" s="166" t="str">
        <f aca="false">+A64</f>
        <v>[ocultar]</v>
      </c>
      <c r="B63" s="276" t="s">
        <v>217</v>
      </c>
      <c r="C63" s="277"/>
      <c r="D63" s="278"/>
      <c r="E63" s="278"/>
      <c r="F63" s="278"/>
      <c r="G63" s="278"/>
      <c r="H63" s="278"/>
      <c r="I63" s="279" t="str">
        <f aca="false">IFERROR((I64-I65)/I64,"")</f>
        <v/>
      </c>
      <c r="J63" s="280" t="str">
        <f aca="false">IFERROR((J64-J65)/J64,"")</f>
        <v/>
      </c>
      <c r="K63" s="281" t="str">
        <f aca="false">IFERROR((K64-K65)/K64,"")</f>
        <v/>
      </c>
      <c r="L63" s="281" t="str">
        <f aca="false">IFERROR((L64-L65)/L64,"")</f>
        <v/>
      </c>
      <c r="M63" s="281" t="str">
        <f aca="false">IFERROR((M64-M65)/M64,"")</f>
        <v/>
      </c>
      <c r="N63" s="282" t="str">
        <f aca="false">IFERROR((N64-N65)/N64,"")</f>
        <v/>
      </c>
      <c r="O63" s="283" t="str">
        <f aca="false">IFERROR((O64-O65)/O64,"")</f>
        <v/>
      </c>
      <c r="P63" s="283" t="str">
        <f aca="false">IFERROR((P64-P65)/P64,"")</f>
        <v/>
      </c>
      <c r="Q63" s="283" t="str">
        <f aca="false">IFERROR((Q64-Q65)/Q64,"")</f>
        <v/>
      </c>
      <c r="R63" s="283" t="str">
        <f aca="false">IFERROR((R64-R65)/R64,"")</f>
        <v/>
      </c>
      <c r="S63" s="283" t="str">
        <f aca="false">IFERROR((S64-S65)/S64,"")</f>
        <v/>
      </c>
      <c r="T63" s="283" t="str">
        <f aca="false">IFERROR((T64-T65)/T64,"")</f>
        <v/>
      </c>
      <c r="U63" s="283" t="str">
        <f aca="false">IFERROR((U64-U65)/U64,"")</f>
        <v/>
      </c>
      <c r="V63" s="283" t="str">
        <f aca="false">IFERROR((V64-V65)/V64,"")</f>
        <v/>
      </c>
      <c r="W63" s="283" t="str">
        <f aca="false">IFERROR((W64-W65)/W64,"")</f>
        <v/>
      </c>
      <c r="X63" s="283" t="str">
        <f aca="false">IFERROR((X64-X65)/X64,"")</f>
        <v/>
      </c>
      <c r="Y63" s="283" t="str">
        <f aca="false">IFERROR((Y64-Y65)/Y64,"")</f>
        <v/>
      </c>
      <c r="Z63" s="282" t="str">
        <f aca="false">IFERROR((Z64-Z65)/Z64,"")</f>
        <v/>
      </c>
      <c r="AA63" s="282" t="str">
        <f aca="false">IFERROR((AA64-AA65)/AA64,"")</f>
        <v/>
      </c>
      <c r="AB63" s="282" t="str">
        <f aca="false">IFERROR((AB64-AB65)/AB64,"")</f>
        <v/>
      </c>
      <c r="AC63" s="282" t="str">
        <f aca="false">IFERROR((AC64-AC65)/AC64,"")</f>
        <v/>
      </c>
      <c r="AD63" s="282" t="str">
        <f aca="false">IFERROR((AD64-AD65)/AD64,"")</f>
        <v/>
      </c>
      <c r="AE63" s="282" t="str">
        <f aca="false">IFERROR((AE64-AE65)/AE64,"")</f>
        <v/>
      </c>
      <c r="AF63" s="282" t="str">
        <f aca="false">IFERROR((AF64-AF65)/AF64,"")</f>
        <v/>
      </c>
      <c r="AG63" s="282" t="str">
        <f aca="false">IFERROR((AG64-AG65)/AG64,"")</f>
        <v/>
      </c>
      <c r="AH63" s="282" t="str">
        <f aca="false">IFERROR((AH64-AH65)/AH64,"")</f>
        <v/>
      </c>
      <c r="AI63" s="282" t="str">
        <f aca="false">IFERROR((AI64-AI65)/AI64,"")</f>
        <v/>
      </c>
      <c r="AJ63" s="282" t="str">
        <f aca="false">IFERROR((AJ64-AJ65)/AJ64,"")</f>
        <v/>
      </c>
      <c r="AK63" s="282" t="str">
        <f aca="false">IFERROR((AK64-AK65)/AK64,"")</f>
        <v/>
      </c>
      <c r="AL63" s="282" t="str">
        <f aca="false">IFERROR((AL64-AL65)/AL64,"")</f>
        <v/>
      </c>
      <c r="AM63" s="282" t="str">
        <f aca="false">IFERROR((AM64-AM65)/AM64,"")</f>
        <v/>
      </c>
      <c r="AN63" s="284" t="str">
        <f aca="false">IFERROR((AN64-AN65)/AN64,"")</f>
        <v/>
      </c>
      <c r="AO63" s="285" t="str">
        <f aca="false">IFERROR((AO64-AO65)/AO64,"")</f>
        <v/>
      </c>
      <c r="AP63" s="286" t="str">
        <f aca="false">IFERROR((AP64-AP65)/AP64,"")</f>
        <v/>
      </c>
      <c r="AQ63" s="286" t="str">
        <f aca="false">IFERROR((AQ64-AQ65)/AQ64,"")</f>
        <v/>
      </c>
      <c r="AR63" s="286" t="str">
        <f aca="false">IFERROR((AR64-AR65)/AR64,"")</f>
        <v/>
      </c>
      <c r="AS63" s="286" t="str">
        <f aca="false">IFERROR((AS64-AS65)/AS64,"")</f>
        <v/>
      </c>
      <c r="AT63" s="286" t="str">
        <f aca="false">IFERROR((AT64-AT65)/AT64,"")</f>
        <v/>
      </c>
      <c r="AU63" s="287" t="str">
        <f aca="false">IFERROR((AU64-AU65)/AU64,"")</f>
        <v/>
      </c>
      <c r="AV63" s="288" t="str">
        <f aca="false">IFERROR((AV64-AV65)/AV64,"")</f>
        <v/>
      </c>
    </row>
    <row r="64" customFormat="false" ht="14.25" hidden="false" customHeight="false" outlineLevel="0" collapsed="false">
      <c r="A64" s="166" t="str">
        <f aca="false">+IF(C64+C65=0,"[ocultar]","")</f>
        <v>[ocultar]</v>
      </c>
      <c r="B64" s="289" t="s">
        <v>371</v>
      </c>
      <c r="C64" s="290" t="n">
        <f aca="false" t="array" ref="C64:C64">SUM(IF($B64=DATOS_[Sexo], IF($B63=DATOS_[AGRUP. VALOR. PTO.], IF("Dentro"=DATOS_[Check Periodo Ref.], 1/(COUNTIFS(DATOS_[Sexo],$B64,DATOS_[AGRUP. VALOR. PTO.],$B63,DATOS_[Check Periodo Ref.],"Dentro",DATOS_[id],DATOS_[id]))))))</f>
        <v>0</v>
      </c>
      <c r="D64" s="291" t="n">
        <f aca="false">COUNTIFS(DATOS_[AGRUP. VALOR. PTO.],$B63,DATOS_[Sexo],$B64,DATOS_[Check Periodo Ref.],"Dentro")</f>
        <v>0</v>
      </c>
      <c r="E64" s="291" t="n">
        <f aca="false">COUNTIFS(DATOS_[AGRUP. VALOR. PTO.],$B63,DATOS_[Sexo],$B64,DATOS_[Check Periodo Ref.],"Dentro",DATOS_[Check Nº SC Norm],"Sí")</f>
        <v>0</v>
      </c>
      <c r="F64" s="291" t="n">
        <f aca="false">COUNTIFS(DATOS_[AGRUP. VALOR. PTO.],$B63,DATOS_[Sexo],$B64,DATOS_[Check Periodo Ref.],"Dentro",DATOS_[Check Nº SC Anualiz],"Sí")</f>
        <v>0</v>
      </c>
      <c r="G64" s="291" t="n">
        <f aca="false">COUNTIFS(DATOS_[AGRUP. VALOR. PTO.],$B63,DATOS_[Sexo],$B64,DATOS_[Check Periodo Ref.],"Dentro",DATOS_[Check Nº SC Norm y Anualiz],"Sí")</f>
        <v>0</v>
      </c>
      <c r="H64" s="291" t="n">
        <f aca="false">COUNTIFS(DATOS_[AGRUP. VALOR. PTO.],$B63,DATOS_[Sexo],$B64,DATOS_[Check Periodo Ref.],"Dentro",DATOS_[Check Equiparación],"Sí")</f>
        <v>0</v>
      </c>
      <c r="I64" s="292" t="n">
        <f aca="false" t="array" ref="I64:I64">IFERROR( AVERAGE(IF(DATOS_[Sexo]=$B64,IF(DATOS_[[AGRUP. VALOR. PTO.]:[AGRUP. VALOR. PTO.]]=$B63,IF(DATOS_[Check Equiparado]="Sí",IF(DATOS_[Check Periodo Ref.]="Dentro",DATOS_[SALARIO BASE Eq],0))))), 0)</f>
        <v>0</v>
      </c>
      <c r="J64" s="302" t="n">
        <f aca="false" t="array" ref="J64:J64">IFERROR( (AVERAGE((IF(DATOS_[[Sexo]:[Sexo]]=$B64,IF(DATOS_[[AGRUP. VALOR. PTO.]:[AGRUP. VALOR. PTO.]]=$B63,IF(DATOS_[[Check Periodo Ref.]:[Check Periodo Ref.]]="Dentro",IF(DATOS_[[Check Equiparado]:[Check Equiparado]]="Sí",IF(DATOS!AE$4="Sí",(1/DATOS_[[% anualiz]:[% anualiz]]),1)*IF(DATOS!AE$5="Sí",1/DATOS_[[% normaliz]:[% normaliz]],1)*(DATOS_[Conc.Sal.01])))))))), 0)</f>
        <v>0</v>
      </c>
      <c r="K64" s="302" t="n">
        <f aca="false" t="array" ref="K64:K64">IFERROR( (AVERAGE((IF(DATOS_[[Sexo]:[Sexo]]=$B64,IF(DATOS_[[AGRUP. VALOR. PTO.]:[AGRUP. VALOR. PTO.]]=$B63,IF(DATOS_[[Check Periodo Ref.]:[Check Periodo Ref.]]="Dentro",IF(DATOS_[[Check Equiparado]:[Check Equiparado]]="Sí",IF(DATOS!AF$4="Sí",(1/DATOS_[[% anualiz]:[% anualiz]]),1)*IF(DATOS!AF$5="Sí",1/DATOS_[[% normaliz]:[% normaliz]],1)*(DATOS_[Conc.Sal.02])))))))), 0)</f>
        <v>0</v>
      </c>
      <c r="L64" s="302" t="n">
        <f aca="false" t="array" ref="L64:L64">IFERROR( (AVERAGE((IF(DATOS_[[Sexo]:[Sexo]]=$B64,IF(DATOS_[[AGRUP. VALOR. PTO.]:[AGRUP. VALOR. PTO.]]=$B63,IF(DATOS_[[Check Periodo Ref.]:[Check Periodo Ref.]]="Dentro",IF(DATOS_[[Check Equiparado]:[Check Equiparado]]="Sí",IF(DATOS!AG$4="Sí",(1/DATOS_[[% anualiz]:[% anualiz]]),1)*IF(DATOS!AG$5="Sí",1/DATOS_[[% normaliz]:[% normaliz]],1)*(DATOS_[Conc.Sal.03])))))))), 0)</f>
        <v>0</v>
      </c>
      <c r="M64" s="302" t="n">
        <f aca="false" t="array" ref="M64:M64">IFERROR( (AVERAGE((IF(DATOS_[[Sexo]:[Sexo]]=$B64,IF(DATOS_[[AGRUP. VALOR. PTO.]:[AGRUP. VALOR. PTO.]]=$B63,IF(DATOS_[[Check Periodo Ref.]:[Check Periodo Ref.]]="Dentro",IF(DATOS_[[Check Equiparado]:[Check Equiparado]]="Sí",IF(DATOS!AH$4="Sí",(1/DATOS_[[% anualiz]:[% anualiz]]),1)*IF(DATOS!AH$5="Sí",1/DATOS_[[% normaliz]:[% normaliz]],1)*(DATOS_[Conc.Sal.04])))))))), 0)</f>
        <v>0</v>
      </c>
      <c r="N64" s="302" t="n">
        <f aca="false" t="array" ref="N64:N64">IFERROR( (AVERAGE((IF(DATOS_[[Sexo]:[Sexo]]=$B64,IF(DATOS_[[AGRUP. VALOR. PTO.]:[AGRUP. VALOR. PTO.]]=$B63,IF(DATOS_[[Check Periodo Ref.]:[Check Periodo Ref.]]="Dentro",IF(DATOS_[[Check Equiparado]:[Check Equiparado]]="Sí",IF(DATOS!AI$4="Sí",(1/DATOS_[[% anualiz]:[% anualiz]]),1)*IF(DATOS!AI$5="Sí",1/DATOS_[[% normaliz]:[% normaliz]],1)*(DATOS_[Conc.Sal.05])))))))), 0)</f>
        <v>0</v>
      </c>
      <c r="O64" s="302" t="n">
        <f aca="false" t="array" ref="O64:O64">IFERROR( (AVERAGE((IF(DATOS_[[Sexo]:[Sexo]]=$B64,IF(DATOS_[[AGRUP. VALOR. PTO.]:[AGRUP. VALOR. PTO.]]=$B63,IF(DATOS_[[Check Periodo Ref.]:[Check Periodo Ref.]]="Dentro",IF(DATOS_[[Check Equiparado]:[Check Equiparado]]="Sí",IF(DATOS!AJ$4="Sí",(1/DATOS_[[% anualiz]:[% anualiz]]),1)*IF(DATOS!AJ$5="Sí",1/DATOS_[[% normaliz]:[% normaliz]],1)*(DATOS_[Conc.Sal.06])))))))), 0)</f>
        <v>0</v>
      </c>
      <c r="P64" s="302" t="n">
        <f aca="false" t="array" ref="P64:P64">IFERROR( (AVERAGE((IF(DATOS_[[Sexo]:[Sexo]]=$B64,IF(DATOS_[[AGRUP. VALOR. PTO.]:[AGRUP. VALOR. PTO.]]=$B63,IF(DATOS_[[Check Periodo Ref.]:[Check Periodo Ref.]]="Dentro",IF(DATOS_[[Check Equiparado]:[Check Equiparado]]="Sí",IF(DATOS!AK$4="Sí",(1/DATOS_[[% anualiz]:[% anualiz]]),1)*IF(DATOS!AK$5="Sí",1/DATOS_[[% normaliz]:[% normaliz]],1)*(DATOS_[Conc.Sal.07])))))))), 0)</f>
        <v>0</v>
      </c>
      <c r="Q64" s="302" t="n">
        <f aca="false" t="array" ref="Q64:Q64">IFERROR( (AVERAGE((IF(DATOS_[[Sexo]:[Sexo]]=$B64,IF(DATOS_[[AGRUP. VALOR. PTO.]:[AGRUP. VALOR. PTO.]]=$B63,IF(DATOS_[[Check Periodo Ref.]:[Check Periodo Ref.]]="Dentro",IF(DATOS_[[Check Equiparado]:[Check Equiparado]]="Sí",IF(DATOS!AL$4="Sí",(1/DATOS_[[% anualiz]:[% anualiz]]),1)*IF(DATOS!AL$5="Sí",1/DATOS_[[% normaliz]:[% normaliz]],1)*(DATOS_[Conc.Sal.08])))))))), 0)</f>
        <v>0</v>
      </c>
      <c r="R64" s="302" t="n">
        <f aca="false" t="array" ref="R64:R64">IFERROR( (AVERAGE((IF(DATOS_[[Sexo]:[Sexo]]=$B64,IF(DATOS_[[AGRUP. VALOR. PTO.]:[AGRUP. VALOR. PTO.]]=$B63,IF(DATOS_[[Check Periodo Ref.]:[Check Periodo Ref.]]="Dentro",IF(DATOS_[[Check Equiparado]:[Check Equiparado]]="Sí",IF(DATOS!AM$4="Sí",(1/DATOS_[[% anualiz]:[% anualiz]]),1)*IF(DATOS!AM$5="Sí",1/DATOS_[[% normaliz]:[% normaliz]],1)*(DATOS_[Conc.Sal.09])))))))), 0)</f>
        <v>0</v>
      </c>
      <c r="S64" s="302" t="n">
        <f aca="false" t="array" ref="S64:S64">IFERROR( (AVERAGE((IF(DATOS_[[Sexo]:[Sexo]]=$B64,IF(DATOS_[[AGRUP. VALOR. PTO.]:[AGRUP. VALOR. PTO.]]=$B63,IF(DATOS_[[Check Periodo Ref.]:[Check Periodo Ref.]]="Dentro",IF(DATOS_[[Check Equiparado]:[Check Equiparado]]="Sí",IF(DATOS!AN$4="Sí",(1/DATOS_[[% anualiz]:[% anualiz]]),1)*IF(DATOS!AN$5="Sí",1/DATOS_[[% normaliz]:[% normaliz]],1)*(DATOS_[Conc.Sal.10])))))))), 0)</f>
        <v>0</v>
      </c>
      <c r="T64" s="302" t="n">
        <f aca="false" t="array" ref="T64:T64">IFERROR( (AVERAGE((IF(DATOS_[[Sexo]:[Sexo]]=$B64,IF(DATOS_[[AGRUP. VALOR. PTO.]:[AGRUP. VALOR. PTO.]]=$B63,IF(DATOS_[[Check Periodo Ref.]:[Check Periodo Ref.]]="Dentro",IF(DATOS_[[Check Equiparado]:[Check Equiparado]]="Sí",IF(DATOS!AO$4="Sí",(1/DATOS_[[% anualiz]:[% anualiz]]),1)*IF(DATOS!AO$5="Sí",1/DATOS_[[% normaliz]:[% normaliz]],1)*(DATOS_[Conc.Sal.11])))))))), 0)</f>
        <v>0</v>
      </c>
      <c r="U64" s="302" t="n">
        <f aca="false" t="array" ref="U64:U64">IFERROR( (AVERAGE((IF(DATOS_[[Sexo]:[Sexo]]=$B64,IF(DATOS_[[AGRUP. VALOR. PTO.]:[AGRUP. VALOR. PTO.]]=$B63,IF(DATOS_[[Check Periodo Ref.]:[Check Periodo Ref.]]="Dentro",IF(DATOS_[[Check Equiparado]:[Check Equiparado]]="Sí",IF(DATOS!AP$4="Sí",(1/DATOS_[[% anualiz]:[% anualiz]]),1)*IF(DATOS!AP$5="Sí",1/DATOS_[[% normaliz]:[% normaliz]],1)*(DATOS_[Conc.Sal.12])))))))), 0)</f>
        <v>0</v>
      </c>
      <c r="V64" s="302" t="n">
        <f aca="false" t="array" ref="V64:V64">IFERROR( (AVERAGE((IF(DATOS_[[Sexo]:[Sexo]]=$B64,IF(DATOS_[[AGRUP. VALOR. PTO.]:[AGRUP. VALOR. PTO.]]=$B63,IF(DATOS_[[Check Periodo Ref.]:[Check Periodo Ref.]]="Dentro",IF(DATOS_[[Check Equiparado]:[Check Equiparado]]="Sí",IF(DATOS!AQ$4="Sí",(1/DATOS_[[% anualiz]:[% anualiz]]),1)*IF(DATOS!AQ$5="Sí",1/DATOS_[[% normaliz]:[% normaliz]],1)*(DATOS_[Conc.Sal.13])))))))), 0)</f>
        <v>0</v>
      </c>
      <c r="W64" s="302" t="n">
        <f aca="false" t="array" ref="W64:W64">IFERROR( (AVERAGE((IF(DATOS_[[Sexo]:[Sexo]]=$B64,IF(DATOS_[[AGRUP. VALOR. PTO.]:[AGRUP. VALOR. PTO.]]=$B63,IF(DATOS_[[Check Periodo Ref.]:[Check Periodo Ref.]]="Dentro",IF(DATOS_[[Check Equiparado]:[Check Equiparado]]="Sí",IF(DATOS!AR$4="Sí",(1/DATOS_[[% anualiz]:[% anualiz]]),1)*IF(DATOS!AR$5="Sí",1/DATOS_[[% normaliz]:[% normaliz]],1)*(DATOS_[Conc.Sal.14])))))))), 0)</f>
        <v>0</v>
      </c>
      <c r="X64" s="302" t="n">
        <f aca="false" t="array" ref="X64:X64">IFERROR( (AVERAGE((IF(DATOS_[[Sexo]:[Sexo]]=$B64,IF(DATOS_[[AGRUP. VALOR. PTO.]:[AGRUP. VALOR. PTO.]]=$B63,IF(DATOS_[[Check Periodo Ref.]:[Check Periodo Ref.]]="Dentro",IF(DATOS_[[Check Equiparado]:[Check Equiparado]]="Sí",IF(DATOS!AS$4="Sí",(1/DATOS_[[% anualiz]:[% anualiz]]),1)*IF(DATOS!AS$5="Sí",1/DATOS_[[% normaliz]:[% normaliz]],1)*(DATOS_[Conc.Sal.15])))))))), 0)</f>
        <v>0</v>
      </c>
      <c r="Y64" s="302" t="n">
        <f aca="false" t="array" ref="Y64:Y64">IFERROR( (AVERAGE((IF(DATOS_[[Sexo]:[Sexo]]=$B64,IF(DATOS_[[AGRUP. VALOR. PTO.]:[AGRUP. VALOR. PTO.]]=$B63,IF(DATOS_[[Check Periodo Ref.]:[Check Periodo Ref.]]="Dentro",IF(DATOS_[[Check Equiparado]:[Check Equiparado]]="Sí",IF(DATOS!AT$4="Sí",(1/DATOS_[[% anualiz]:[% anualiz]]),1)*IF(DATOS!AT$5="Sí",1/DATOS_[[% normaliz]:[% normaliz]],1)*(DATOS_[Conc.Sal.16])))))))), 0)</f>
        <v>0</v>
      </c>
      <c r="Z64" s="302" t="n">
        <f aca="false" t="array" ref="Z64:Z64">IFERROR( (AVERAGE((IF(DATOS_[[Sexo]:[Sexo]]=$B64,IF(DATOS_[[AGRUP. VALOR. PTO.]:[AGRUP. VALOR. PTO.]]=$B63,IF(DATOS_[[Check Periodo Ref.]:[Check Periodo Ref.]]="Dentro",IF(DATOS_[[Check Equiparado]:[Check Equiparado]]="Sí",IF(DATOS!AU$4="Sí",(1/DATOS_[[% anualiz]:[% anualiz]]),1)*IF(DATOS!AU$5="Sí",1/DATOS_[[% normaliz]:[% normaliz]],1)*(DATOS_[Conc.Sal.17])))))))), 0)</f>
        <v>0</v>
      </c>
      <c r="AA64" s="302" t="n">
        <f aca="false" t="array" ref="AA64:AA64">IFERROR( (AVERAGE((IF(DATOS_[[Sexo]:[Sexo]]=$B64,IF(DATOS_[[AGRUP. VALOR. PTO.]:[AGRUP. VALOR. PTO.]]=$B63,IF(DATOS_[[Check Periodo Ref.]:[Check Periodo Ref.]]="Dentro",IF(DATOS_[[Check Equiparado]:[Check Equiparado]]="Sí",IF(DATOS!AV$4="Sí",(1/DATOS_[[% anualiz]:[% anualiz]]),1)*IF(DATOS!AV$5="Sí",1/DATOS_[[% normaliz]:[% normaliz]],1)*(DATOS_[Conc.Sal.18])))))))), 0)</f>
        <v>0</v>
      </c>
      <c r="AB64" s="302" t="n">
        <f aca="false" t="array" ref="AB64:AB64">IFERROR( (AVERAGE((IF(DATOS_[[Sexo]:[Sexo]]=$B64,IF(DATOS_[[AGRUP. VALOR. PTO.]:[AGRUP. VALOR. PTO.]]=$B63,IF(DATOS_[[Check Periodo Ref.]:[Check Periodo Ref.]]="Dentro",IF(DATOS_[[Check Equiparado]:[Check Equiparado]]="Sí",IF(DATOS!AW$4="Sí",(1/DATOS_[[% anualiz]:[% anualiz]]),1)*IF(DATOS!AW$5="Sí",1/DATOS_[[% normaliz]:[% normaliz]],1)*(DATOS_[Conc.Sal.19])))))))), 0)</f>
        <v>0</v>
      </c>
      <c r="AC64" s="302" t="n">
        <f aca="false" t="array" ref="AC64:AC64">IFERROR( (AVERAGE((IF(DATOS_[[Sexo]:[Sexo]]=$B64,IF(DATOS_[[AGRUP. VALOR. PTO.]:[AGRUP. VALOR. PTO.]]=$B63,IF(DATOS_[[Check Periodo Ref.]:[Check Periodo Ref.]]="Dentro",IF(DATOS_[[Check Equiparado]:[Check Equiparado]]="Sí",IF(DATOS!AX$4="Sí",(1/DATOS_[[% anualiz]:[% anualiz]]),1)*IF(DATOS!AX$5="Sí",1/DATOS_[[% normaliz]:[% normaliz]],1)*(DATOS_[Conc.Sal.20])))))))), 0)</f>
        <v>0</v>
      </c>
      <c r="AD64" s="302" t="n">
        <f aca="false" t="array" ref="AD64:AD64">IFERROR( (AVERAGE((IF(DATOS_[[Sexo]:[Sexo]]=$B64,IF(DATOS_[[AGRUP. VALOR. PTO.]:[AGRUP. VALOR. PTO.]]=$B63,IF(DATOS_[[Check Periodo Ref.]:[Check Periodo Ref.]]="Dentro",IF(DATOS_[[Check Equiparado]:[Check Equiparado]]="Sí",IF(DATOS!AY$4="Sí",(1/DATOS_[[% anualiz]:[% anualiz]]),1)*IF(DATOS!AY$5="Sí",1/DATOS_[[% normaliz]:[% normaliz]],1)*(DATOS_[Conc.Sal.21])))))))), 0)</f>
        <v>0</v>
      </c>
      <c r="AE64" s="302" t="n">
        <f aca="false" t="array" ref="AE64:AE64">IFERROR( (AVERAGE((IF(DATOS_[[Sexo]:[Sexo]]=$B64,IF(DATOS_[[AGRUP. VALOR. PTO.]:[AGRUP. VALOR. PTO.]]=$B63,IF(DATOS_[[Check Periodo Ref.]:[Check Periodo Ref.]]="Dentro",IF(DATOS_[[Check Equiparado]:[Check Equiparado]]="Sí",IF(DATOS!AZ$4="Sí",(1/DATOS_[[% anualiz]:[% anualiz]]),1)*IF(DATOS!AZ$5="Sí",1/DATOS_[[% normaliz]:[% normaliz]],1)*(DATOS_[Conc.Sal.22])))))))), 0)</f>
        <v>0</v>
      </c>
      <c r="AF64" s="302" t="n">
        <f aca="false" t="array" ref="AF64:AF64">IFERROR( (AVERAGE((IF(DATOS_[[Sexo]:[Sexo]]=$B64,IF(DATOS_[[AGRUP. VALOR. PTO.]:[AGRUP. VALOR. PTO.]]=$B63,IF(DATOS_[[Check Periodo Ref.]:[Check Periodo Ref.]]="Dentro",IF(DATOS_[[Check Equiparado]:[Check Equiparado]]="Sí",IF(DATOS!BA$4="Sí",(1/DATOS_[[% anualiz]:[% anualiz]]),1)*IF(DATOS!BA$5="Sí",1/DATOS_[[% normaliz]:[% normaliz]],1)*(DATOS_[Conc.Sal.23])))))))), 0)</f>
        <v>0</v>
      </c>
      <c r="AG64" s="302" t="n">
        <f aca="false" t="array" ref="AG64:AG64">IFERROR( (AVERAGE((IF(DATOS_[[Sexo]:[Sexo]]=$B64,IF(DATOS_[[AGRUP. VALOR. PTO.]:[AGRUP. VALOR. PTO.]]=$B63,IF(DATOS_[[Check Periodo Ref.]:[Check Periodo Ref.]]="Dentro",IF(DATOS_[[Check Equiparado]:[Check Equiparado]]="Sí",IF(DATOS!BB$4="Sí",(1/DATOS_[[% anualiz]:[% anualiz]]),1)*IF(DATOS!BB$5="Sí",1/DATOS_[[% normaliz]:[% normaliz]],1)*(DATOS_[Conc.Sal.24])))))))), 0)</f>
        <v>0</v>
      </c>
      <c r="AH64" s="302" t="n">
        <f aca="false" t="array" ref="AH64:AH64">IFERROR( (AVERAGE((IF(DATOS_[[Sexo]:[Sexo]]=$B64,IF(DATOS_[[AGRUP. VALOR. PTO.]:[AGRUP. VALOR. PTO.]]=$B63,IF(DATOS_[[Check Periodo Ref.]:[Check Periodo Ref.]]="Dentro",IF(DATOS_[[Check Equiparado]:[Check Equiparado]]="Sí",IF(DATOS!BC$4="Sí",(1/DATOS_[[% anualiz]:[% anualiz]]),1)*IF(DATOS!BC$5="Sí",1/DATOS_[[% normaliz]:[% normaliz]],1)*(DATOS_[Conc.Sal.25])))))))), 0)</f>
        <v>0</v>
      </c>
      <c r="AI64" s="302" t="n">
        <f aca="false" t="array" ref="AI64:AI64">IFERROR( (AVERAGE((IF(DATOS_[[Sexo]:[Sexo]]=$B64,IF(DATOS_[[AGRUP. VALOR. PTO.]:[AGRUP. VALOR. PTO.]]=$B63,IF(DATOS_[[Check Periodo Ref.]:[Check Periodo Ref.]]="Dentro",IF(DATOS_[[Check Equiparado]:[Check Equiparado]]="Sí",IF(DATOS!BD$4="Sí",(1/DATOS_[[% anualiz]:[% anualiz]]),1)*IF(DATOS!BD$5="Sí",1/DATOS_[[% normaliz]:[% normaliz]],1)*(DATOS_[Conc.Sal.26])))))))), 0)</f>
        <v>0</v>
      </c>
      <c r="AJ64" s="302" t="n">
        <f aca="false" t="array" ref="AJ64:AJ64">IFERROR( (AVERAGE((IF(DATOS_[[Sexo]:[Sexo]]=$B64,IF(DATOS_[[AGRUP. VALOR. PTO.]:[AGRUP. VALOR. PTO.]]=$B63,IF(DATOS_[[Check Periodo Ref.]:[Check Periodo Ref.]]="Dentro",IF(DATOS_[[Check Equiparado]:[Check Equiparado]]="Sí",IF(DATOS!BE$4="Sí",(1/DATOS_[[% anualiz]:[% anualiz]]),1)*IF(DATOS!BE$5="Sí",1/DATOS_[[% normaliz]:[% normaliz]],1)*(DATOS_[Conc.Sal.27])))))))), 0)</f>
        <v>0</v>
      </c>
      <c r="AK64" s="302" t="n">
        <f aca="false" t="array" ref="AK64:AK64">IFERROR( (AVERAGE((IF(DATOS_[[Sexo]:[Sexo]]=$B64,IF(DATOS_[[AGRUP. VALOR. PTO.]:[AGRUP. VALOR. PTO.]]=$B63,IF(DATOS_[[Check Periodo Ref.]:[Check Periodo Ref.]]="Dentro",IF(DATOS_[[Check Equiparado]:[Check Equiparado]]="Sí",IF(DATOS!BF$4="Sí",(1/DATOS_[[% anualiz]:[% anualiz]]),1)*IF(DATOS!BF$5="Sí",1/DATOS_[[% normaliz]:[% normaliz]],1)*(DATOS_[Conc.Sal.28])))))))), 0)</f>
        <v>0</v>
      </c>
      <c r="AL64" s="302" t="n">
        <f aca="false" t="array" ref="AL64:AL64">IFERROR( (AVERAGE((IF(DATOS_[[Sexo]:[Sexo]]=$B64,IF(DATOS_[[AGRUP. VALOR. PTO.]:[AGRUP. VALOR. PTO.]]=$B63,IF(DATOS_[[Check Periodo Ref.]:[Check Periodo Ref.]]="Dentro",IF(DATOS_[[Check Equiparado]:[Check Equiparado]]="Sí",IF(DATOS!BG$4="Sí",(1/DATOS_[[% anualiz]:[% anualiz]]),1)*IF(DATOS!BG$5="Sí",1/DATOS_[[% normaliz]:[% normaliz]],1)*(DATOS_[Conc.Sal.29])))))))), 0)</f>
        <v>0</v>
      </c>
      <c r="AM64" s="302" t="n">
        <f aca="false" t="array" ref="AM64:AM64">IFERROR( (AVERAGE((IF(DATOS_[[Sexo]:[Sexo]]=$B64,IF(DATOS_[[AGRUP. VALOR. PTO.]:[AGRUP. VALOR. PTO.]]=$B63,IF(DATOS_[[Check Periodo Ref.]:[Check Periodo Ref.]]="Dentro",IF(DATOS_[[Check Equiparado]:[Check Equiparado]]="Sí",IF(DATOS!BH$4="Sí",(1/DATOS_[[% anualiz]:[% anualiz]]),1)*IF(DATOS!BH$5="Sí",1/DATOS_[[% normaliz]:[% normaliz]],1)*(DATOS_[Conc.Sal.30])))))))), 0)</f>
        <v>0</v>
      </c>
      <c r="AN64" s="294" t="n">
        <f aca="false" t="array" ref="AN64:AN64">IFERROR( AVERAGE(IF(DATOS_[Sexo]=$B64,IF(DATOS_[[AGRUP. VALOR. PTO.]:[AGRUP. VALOR. PTO.]]=$B63,IF(DATOS_[Check Equiparado]="Sí",IF(DATOS_[Check Periodo Ref.]="Dentro",DATOS_[Tot COMPL.SAL Eq],0))))), 0)</f>
        <v>0</v>
      </c>
      <c r="AO64" s="295" t="n">
        <f aca="false" t="array" ref="AO64:AO64">IFERROR( AVERAGE(IF(DATOS_[Sexo]=$B64,IF(DATOS_[[AGRUP. VALOR. PTO.]:[AGRUP. VALOR. PTO.]]=$B63,IF(DATOS_[Check Equiparado]="Sí",IF(DATOS_[Check Periodo Ref.]="Dentro",DATOS_[TOTAL SALARIO Eq],0))))), 0)</f>
        <v>0</v>
      </c>
      <c r="AP64" s="303" t="n">
        <f aca="false" t="array" ref="AP64:AP64">IFERROR( (AVERAGE((IF(DATOS_[[Sexo]:[Sexo]]=$B64,IF(DATOS_[[AGRUP. VALOR. PTO.]:[AGRUP. VALOR. PTO.]]=$B63,IF(DATOS_[[Check Periodo Ref.]:[Check Periodo Ref.]]="Dentro",IF(DATOS_[[Check Equiparado]:[Check Equiparado]]="Sí",IF(DATOS!BI$4="Sí",(1/DATOS_[[% anualiz]:[% anualiz]]),1)*IF(DATOS!BI$5="Sí",1/DATOS_[[% normaliz]:[% normaliz]],1)*(DATOS_[C.Extra.01])))))))), 0)</f>
        <v>0</v>
      </c>
      <c r="AQ64" s="303" t="n">
        <f aca="false" t="array" ref="AQ64:AQ64">IFERROR( (AVERAGE((IF(DATOS_[[Sexo]:[Sexo]]=$B64,IF(DATOS_[[AGRUP. VALOR. PTO.]:[AGRUP. VALOR. PTO.]]=$B63,IF(DATOS_[[Check Periodo Ref.]:[Check Periodo Ref.]]="Dentro",IF(DATOS_[[Check Equiparado]:[Check Equiparado]]="Sí",IF(DATOS!BJ$4="Sí",(1/DATOS_[[% anualiz]:[% anualiz]]),1)*IF(DATOS!BJ$5="Sí",1/DATOS_[[% normaliz]:[% normaliz]],1)*(DATOS_[C.Extra.02])))))))), 0)</f>
        <v>0</v>
      </c>
      <c r="AR64" s="303" t="n">
        <f aca="false" t="array" ref="AR64:AR64">IFERROR( (AVERAGE((IF(DATOS_[[Sexo]:[Sexo]]=$B64,IF(DATOS_[[AGRUP. VALOR. PTO.]:[AGRUP. VALOR. PTO.]]=$B63,IF(DATOS_[[Check Periodo Ref.]:[Check Periodo Ref.]]="Dentro",IF(DATOS_[[Check Equiparado]:[Check Equiparado]]="Sí",IF(DATOS!BK$4="Sí",(1/DATOS_[[% anualiz]:[% anualiz]]),1)*IF(DATOS!BK$5="Sí",1/DATOS_[[% normaliz]:[% normaliz]],1)*(DATOS_[C.Extra.03])))))))), 0)</f>
        <v>0</v>
      </c>
      <c r="AS64" s="303" t="n">
        <f aca="false" t="array" ref="AS64:AS64">IFERROR( (AVERAGE((IF(DATOS_[[Sexo]:[Sexo]]=$B64,IF(DATOS_[[AGRUP. VALOR. PTO.]:[AGRUP. VALOR. PTO.]]=$B63,IF(DATOS_[[Check Periodo Ref.]:[Check Periodo Ref.]]="Dentro",IF(DATOS_[[Check Equiparado]:[Check Equiparado]]="Sí",IF(DATOS!BL$4="Sí",(1/DATOS_[[% anualiz]:[% anualiz]]),1)*IF(DATOS!BL$5="Sí",1/DATOS_[[% normaliz]:[% normaliz]],1)*(DATOS_[C.Extra.04])))))))), 0)</f>
        <v>0</v>
      </c>
      <c r="AT64" s="303" t="n">
        <f aca="false" t="array" ref="AT64:AT64">IFERROR( (AVERAGE((IF(DATOS_[[Sexo]:[Sexo]]=$B64,IF(DATOS_[[AGRUP. VALOR. PTO.]:[AGRUP. VALOR. PTO.]]=$B63,IF(DATOS_[[Check Periodo Ref.]:[Check Periodo Ref.]]="Dentro",IF(DATOS_[[Check Equiparado]:[Check Equiparado]]="Sí",IF(DATOS!BM$4="Sí",(1/DATOS_[[% anualiz]:[% anualiz]]),1)*IF(DATOS!BM$5="Sí",1/DATOS_[[% normaliz]:[% normaliz]],1)*(DATOS_[C.Extra.05])))))))), 0)</f>
        <v>0</v>
      </c>
      <c r="AU64" s="297" t="n">
        <f aca="false" t="array" ref="AU64:AU64">IFERROR( AVERAGE(IF(DATOS_[Sexo]=$B64,IF(DATOS_[[AGRUP. VALOR. PTO.]:[AGRUP. VALOR. PTO.]]=$B63,IF(DATOS_[Check Equiparado]="Sí",IF(DATOS_[Check Periodo Ref.]="Dentro",DATOS_[Tot Extrasalarial Eq],0))))), 0)</f>
        <v>0</v>
      </c>
      <c r="AV64" s="298" t="n">
        <f aca="false" t="array" ref="AV64:AV64">IFERROR( AVERAGE(IF(DATOS_[Sexo]=$B64,IF(DATOS_[[AGRUP. VALOR. PTO.]:[AGRUP. VALOR. PTO.]]=$B63,IF(DATOS_[Check Equiparado]="Sí",IF(DATOS_[Check Periodo Ref.]="Dentro",DATOS_[TOTAL Retrib Eq],0))))), 0)</f>
        <v>0</v>
      </c>
    </row>
    <row r="65" customFormat="false" ht="14.25" hidden="false" customHeight="false" outlineLevel="0" collapsed="false">
      <c r="A65" s="166" t="str">
        <f aca="false">+A64</f>
        <v>[ocultar]</v>
      </c>
      <c r="B65" s="289" t="s">
        <v>372</v>
      </c>
      <c r="C65" s="290" t="n">
        <f aca="false" t="array" ref="C65:C65">SUM(IF($B65=DATOS_[Sexo], IF($B63=DATOS_[AGRUP. VALOR. PTO.], IF("Dentro"=DATOS_[Check Periodo Ref.], 1/(COUNTIFS(DATOS_[Sexo],$B65,DATOS_[AGRUP. VALOR. PTO.],$B63,DATOS_[Check Periodo Ref.],"Dentro",DATOS_[id],DATOS_[id]))))))</f>
        <v>0</v>
      </c>
      <c r="D65" s="291" t="n">
        <f aca="false">COUNTIFS(DATOS_[AGRUP. VALOR. PTO.],$B63,DATOS_[Sexo],$B65,DATOS_[Check Periodo Ref.],"Dentro")</f>
        <v>0</v>
      </c>
      <c r="E65" s="291" t="n">
        <f aca="false">COUNTIFS(DATOS_[AGRUP. VALOR. PTO.],$B63,DATOS_[Sexo],$B65,DATOS_[Check Periodo Ref.],"Dentro",DATOS_[Check Nº SC Norm],"Sí")</f>
        <v>0</v>
      </c>
      <c r="F65" s="291" t="n">
        <f aca="false">COUNTIFS(DATOS_[AGRUP. VALOR. PTO.],$B63,DATOS_[Sexo],$B65,DATOS_[Check Periodo Ref.],"Dentro",DATOS_[Check Nº SC Anualiz],"Sí")</f>
        <v>0</v>
      </c>
      <c r="G65" s="291" t="n">
        <f aca="false">COUNTIFS(DATOS_[AGRUP. VALOR. PTO.],$B63,DATOS_[Sexo],$B65,DATOS_[Check Periodo Ref.],"Dentro",DATOS_[Check Nº SC Norm y Anualiz],"Sí")</f>
        <v>0</v>
      </c>
      <c r="H65" s="291" t="n">
        <f aca="false">COUNTIFS(DATOS_[AGRUP. VALOR. PTO.],$B63,DATOS_[Sexo],$B65,DATOS_[Check Periodo Ref.],"Dentro",DATOS_[Check Equiparación],"Sí")</f>
        <v>0</v>
      </c>
      <c r="I65" s="292" t="n">
        <f aca="false" t="array" ref="I65:I65">IFERROR( AVERAGE(IF(DATOS_[Sexo]=$B65,IF(DATOS_[[AGRUP. VALOR. PTO.]:[AGRUP. VALOR. PTO.]]=$B63,IF(DATOS_[Check Equiparado]="Sí",IF(DATOS_[Check Periodo Ref.]="Dentro",DATOS_[SALARIO BASE Eq],0))))), 0)</f>
        <v>0</v>
      </c>
      <c r="J65" s="302" t="n">
        <f aca="false" t="array" ref="J65:J65">IFERROR( (AVERAGE((IF(DATOS_[[Sexo]:[Sexo]]=$B65,IF(DATOS_[[AGRUP. VALOR. PTO.]:[AGRUP. VALOR. PTO.]]=$B63,IF(DATOS_[[Check Periodo Ref.]:[Check Periodo Ref.]]="Dentro",IF(DATOS_[[Check Equiparado]:[Check Equiparado]]="Sí",IF(DATOS!AE$4="Sí",(1/DATOS_[[% anualiz]:[% anualiz]]),1)*IF(DATOS!AE$5="Sí",1/DATOS_[[% normaliz]:[% normaliz]],1)*(DATOS_[Conc.Sal.01])))))))), 0)</f>
        <v>0</v>
      </c>
      <c r="K65" s="302" t="n">
        <f aca="false" t="array" ref="K65:K65">IFERROR( (AVERAGE((IF(DATOS_[[Sexo]:[Sexo]]=$B65,IF(DATOS_[[AGRUP. VALOR. PTO.]:[AGRUP. VALOR. PTO.]]=$B63,IF(DATOS_[[Check Periodo Ref.]:[Check Periodo Ref.]]="Dentro",IF(DATOS_[[Check Equiparado]:[Check Equiparado]]="Sí",IF(DATOS!AF$4="Sí",(1/DATOS_[[% anualiz]:[% anualiz]]),1)*IF(DATOS!AF$5="Sí",1/DATOS_[[% normaliz]:[% normaliz]],1)*(DATOS_[Conc.Sal.02])))))))), 0)</f>
        <v>0</v>
      </c>
      <c r="L65" s="302" t="n">
        <f aca="false" t="array" ref="L65:L65">IFERROR( (AVERAGE((IF(DATOS_[[Sexo]:[Sexo]]=$B65,IF(DATOS_[[AGRUP. VALOR. PTO.]:[AGRUP. VALOR. PTO.]]=$B63,IF(DATOS_[[Check Periodo Ref.]:[Check Periodo Ref.]]="Dentro",IF(DATOS_[[Check Equiparado]:[Check Equiparado]]="Sí",IF(DATOS!AG$4="Sí",(1/DATOS_[[% anualiz]:[% anualiz]]),1)*IF(DATOS!AG$5="Sí",1/DATOS_[[% normaliz]:[% normaliz]],1)*(DATOS_[Conc.Sal.03])))))))), 0)</f>
        <v>0</v>
      </c>
      <c r="M65" s="302" t="n">
        <f aca="false" t="array" ref="M65:M65">IFERROR( (AVERAGE((IF(DATOS_[[Sexo]:[Sexo]]=$B65,IF(DATOS_[[AGRUP. VALOR. PTO.]:[AGRUP. VALOR. PTO.]]=$B63,IF(DATOS_[[Check Periodo Ref.]:[Check Periodo Ref.]]="Dentro",IF(DATOS_[[Check Equiparado]:[Check Equiparado]]="Sí",IF(DATOS!AH$4="Sí",(1/DATOS_[[% anualiz]:[% anualiz]]),1)*IF(DATOS!AH$5="Sí",1/DATOS_[[% normaliz]:[% normaliz]],1)*(DATOS_[Conc.Sal.04])))))))), 0)</f>
        <v>0</v>
      </c>
      <c r="N65" s="302" t="n">
        <f aca="false" t="array" ref="N65:N65">IFERROR( (AVERAGE((IF(DATOS_[[Sexo]:[Sexo]]=$B65,IF(DATOS_[[AGRUP. VALOR. PTO.]:[AGRUP. VALOR. PTO.]]=$B63,IF(DATOS_[[Check Periodo Ref.]:[Check Periodo Ref.]]="Dentro",IF(DATOS_[[Check Equiparado]:[Check Equiparado]]="Sí",IF(DATOS!AI$4="Sí",(1/DATOS_[[% anualiz]:[% anualiz]]),1)*IF(DATOS!AI$5="Sí",1/DATOS_[[% normaliz]:[% normaliz]],1)*(DATOS_[Conc.Sal.05])))))))), 0)</f>
        <v>0</v>
      </c>
      <c r="O65" s="302" t="n">
        <f aca="false" t="array" ref="O65:O65">IFERROR( (AVERAGE((IF(DATOS_[[Sexo]:[Sexo]]=$B65,IF(DATOS_[[AGRUP. VALOR. PTO.]:[AGRUP. VALOR. PTO.]]=$B63,IF(DATOS_[[Check Periodo Ref.]:[Check Periodo Ref.]]="Dentro",IF(DATOS_[[Check Equiparado]:[Check Equiparado]]="Sí",IF(DATOS!AJ$4="Sí",(1/DATOS_[[% anualiz]:[% anualiz]]),1)*IF(DATOS!AJ$5="Sí",1/DATOS_[[% normaliz]:[% normaliz]],1)*(DATOS_[Conc.Sal.06])))))))), 0)</f>
        <v>0</v>
      </c>
      <c r="P65" s="302" t="n">
        <f aca="false" t="array" ref="P65:P65">IFERROR( (AVERAGE((IF(DATOS_[[Sexo]:[Sexo]]=$B65,IF(DATOS_[[AGRUP. VALOR. PTO.]:[AGRUP. VALOR. PTO.]]=$B63,IF(DATOS_[[Check Periodo Ref.]:[Check Periodo Ref.]]="Dentro",IF(DATOS_[[Check Equiparado]:[Check Equiparado]]="Sí",IF(DATOS!AK$4="Sí",(1/DATOS_[[% anualiz]:[% anualiz]]),1)*IF(DATOS!AK$5="Sí",1/DATOS_[[% normaliz]:[% normaliz]],1)*(DATOS_[Conc.Sal.07])))))))), 0)</f>
        <v>0</v>
      </c>
      <c r="Q65" s="302" t="n">
        <f aca="false" t="array" ref="Q65:Q65">IFERROR( (AVERAGE((IF(DATOS_[[Sexo]:[Sexo]]=$B65,IF(DATOS_[[AGRUP. VALOR. PTO.]:[AGRUP. VALOR. PTO.]]=$B63,IF(DATOS_[[Check Periodo Ref.]:[Check Periodo Ref.]]="Dentro",IF(DATOS_[[Check Equiparado]:[Check Equiparado]]="Sí",IF(DATOS!AL$4="Sí",(1/DATOS_[[% anualiz]:[% anualiz]]),1)*IF(DATOS!AL$5="Sí",1/DATOS_[[% normaliz]:[% normaliz]],1)*(DATOS_[Conc.Sal.08])))))))), 0)</f>
        <v>0</v>
      </c>
      <c r="R65" s="302" t="n">
        <f aca="false" t="array" ref="R65:R65">IFERROR( (AVERAGE((IF(DATOS_[[Sexo]:[Sexo]]=$B65,IF(DATOS_[[AGRUP. VALOR. PTO.]:[AGRUP. VALOR. PTO.]]=$B63,IF(DATOS_[[Check Periodo Ref.]:[Check Periodo Ref.]]="Dentro",IF(DATOS_[[Check Equiparado]:[Check Equiparado]]="Sí",IF(DATOS!AM$4="Sí",(1/DATOS_[[% anualiz]:[% anualiz]]),1)*IF(DATOS!AM$5="Sí",1/DATOS_[[% normaliz]:[% normaliz]],1)*(DATOS_[Conc.Sal.09])))))))), 0)</f>
        <v>0</v>
      </c>
      <c r="S65" s="302" t="n">
        <f aca="false" t="array" ref="S65:S65">IFERROR( (AVERAGE((IF(DATOS_[[Sexo]:[Sexo]]=$B65,IF(DATOS_[[AGRUP. VALOR. PTO.]:[AGRUP. VALOR. PTO.]]=$B63,IF(DATOS_[[Check Periodo Ref.]:[Check Periodo Ref.]]="Dentro",IF(DATOS_[[Check Equiparado]:[Check Equiparado]]="Sí",IF(DATOS!AN$4="Sí",(1/DATOS_[[% anualiz]:[% anualiz]]),1)*IF(DATOS!AN$5="Sí",1/DATOS_[[% normaliz]:[% normaliz]],1)*(DATOS_[Conc.Sal.10])))))))), 0)</f>
        <v>0</v>
      </c>
      <c r="T65" s="302" t="n">
        <f aca="false" t="array" ref="T65:T65">IFERROR( (AVERAGE((IF(DATOS_[[Sexo]:[Sexo]]=$B65,IF(DATOS_[[AGRUP. VALOR. PTO.]:[AGRUP. VALOR. PTO.]]=$B63,IF(DATOS_[[Check Periodo Ref.]:[Check Periodo Ref.]]="Dentro",IF(DATOS_[[Check Equiparado]:[Check Equiparado]]="Sí",IF(DATOS!AO$4="Sí",(1/DATOS_[[% anualiz]:[% anualiz]]),1)*IF(DATOS!AO$5="Sí",1/DATOS_[[% normaliz]:[% normaliz]],1)*(DATOS_[Conc.Sal.11])))))))), 0)</f>
        <v>0</v>
      </c>
      <c r="U65" s="302" t="n">
        <f aca="false" t="array" ref="U65:U65">IFERROR( (AVERAGE((IF(DATOS_[[Sexo]:[Sexo]]=$B65,IF(DATOS_[[AGRUP. VALOR. PTO.]:[AGRUP. VALOR. PTO.]]=$B63,IF(DATOS_[[Check Periodo Ref.]:[Check Periodo Ref.]]="Dentro",IF(DATOS_[[Check Equiparado]:[Check Equiparado]]="Sí",IF(DATOS!AP$4="Sí",(1/DATOS_[[% anualiz]:[% anualiz]]),1)*IF(DATOS!AP$5="Sí",1/DATOS_[[% normaliz]:[% normaliz]],1)*(DATOS_[Conc.Sal.12])))))))), 0)</f>
        <v>0</v>
      </c>
      <c r="V65" s="302" t="n">
        <f aca="false" t="array" ref="V65:V65">IFERROR( (AVERAGE((IF(DATOS_[[Sexo]:[Sexo]]=$B65,IF(DATOS_[[AGRUP. VALOR. PTO.]:[AGRUP. VALOR. PTO.]]=$B63,IF(DATOS_[[Check Periodo Ref.]:[Check Periodo Ref.]]="Dentro",IF(DATOS_[[Check Equiparado]:[Check Equiparado]]="Sí",IF(DATOS!AQ$4="Sí",(1/DATOS_[[% anualiz]:[% anualiz]]),1)*IF(DATOS!AQ$5="Sí",1/DATOS_[[% normaliz]:[% normaliz]],1)*(DATOS_[Conc.Sal.13])))))))), 0)</f>
        <v>0</v>
      </c>
      <c r="W65" s="302" t="n">
        <f aca="false" t="array" ref="W65:W65">IFERROR( (AVERAGE((IF(DATOS_[[Sexo]:[Sexo]]=$B65,IF(DATOS_[[AGRUP. VALOR. PTO.]:[AGRUP. VALOR. PTO.]]=$B63,IF(DATOS_[[Check Periodo Ref.]:[Check Periodo Ref.]]="Dentro",IF(DATOS_[[Check Equiparado]:[Check Equiparado]]="Sí",IF(DATOS!AR$4="Sí",(1/DATOS_[[% anualiz]:[% anualiz]]),1)*IF(DATOS!AR$5="Sí",1/DATOS_[[% normaliz]:[% normaliz]],1)*(DATOS_[Conc.Sal.14])))))))), 0)</f>
        <v>0</v>
      </c>
      <c r="X65" s="302" t="n">
        <f aca="false" t="array" ref="X65:X65">IFERROR( (AVERAGE((IF(DATOS_[[Sexo]:[Sexo]]=$B65,IF(DATOS_[[AGRUP. VALOR. PTO.]:[AGRUP. VALOR. PTO.]]=$B63,IF(DATOS_[[Check Periodo Ref.]:[Check Periodo Ref.]]="Dentro",IF(DATOS_[[Check Equiparado]:[Check Equiparado]]="Sí",IF(DATOS!AS$4="Sí",(1/DATOS_[[% anualiz]:[% anualiz]]),1)*IF(DATOS!AS$5="Sí",1/DATOS_[[% normaliz]:[% normaliz]],1)*(DATOS_[Conc.Sal.15])))))))), 0)</f>
        <v>0</v>
      </c>
      <c r="Y65" s="302" t="n">
        <f aca="false" t="array" ref="Y65:Y65">IFERROR( (AVERAGE((IF(DATOS_[[Sexo]:[Sexo]]=$B65,IF(DATOS_[[AGRUP. VALOR. PTO.]:[AGRUP. VALOR. PTO.]]=$B63,IF(DATOS_[[Check Periodo Ref.]:[Check Periodo Ref.]]="Dentro",IF(DATOS_[[Check Equiparado]:[Check Equiparado]]="Sí",IF(DATOS!AT$4="Sí",(1/DATOS_[[% anualiz]:[% anualiz]]),1)*IF(DATOS!AT$5="Sí",1/DATOS_[[% normaliz]:[% normaliz]],1)*(DATOS_[Conc.Sal.16])))))))), 0)</f>
        <v>0</v>
      </c>
      <c r="Z65" s="302" t="n">
        <f aca="false" t="array" ref="Z65:Z65">IFERROR( (AVERAGE((IF(DATOS_[[Sexo]:[Sexo]]=$B65,IF(DATOS_[[AGRUP. VALOR. PTO.]:[AGRUP. VALOR. PTO.]]=$B63,IF(DATOS_[[Check Periodo Ref.]:[Check Periodo Ref.]]="Dentro",IF(DATOS_[[Check Equiparado]:[Check Equiparado]]="Sí",IF(DATOS!AU$4="Sí",(1/DATOS_[[% anualiz]:[% anualiz]]),1)*IF(DATOS!AU$5="Sí",1/DATOS_[[% normaliz]:[% normaliz]],1)*(DATOS_[Conc.Sal.17])))))))), 0)</f>
        <v>0</v>
      </c>
      <c r="AA65" s="302" t="n">
        <f aca="false" t="array" ref="AA65:AA65">IFERROR( (AVERAGE((IF(DATOS_[[Sexo]:[Sexo]]=$B65,IF(DATOS_[[AGRUP. VALOR. PTO.]:[AGRUP. VALOR. PTO.]]=$B63,IF(DATOS_[[Check Periodo Ref.]:[Check Periodo Ref.]]="Dentro",IF(DATOS_[[Check Equiparado]:[Check Equiparado]]="Sí",IF(DATOS!AV$4="Sí",(1/DATOS_[[% anualiz]:[% anualiz]]),1)*IF(DATOS!AV$5="Sí",1/DATOS_[[% normaliz]:[% normaliz]],1)*(DATOS_[Conc.Sal.18])))))))), 0)</f>
        <v>0</v>
      </c>
      <c r="AB65" s="302" t="n">
        <f aca="false" t="array" ref="AB65:AB65">IFERROR( (AVERAGE((IF(DATOS_[[Sexo]:[Sexo]]=$B65,IF(DATOS_[[AGRUP. VALOR. PTO.]:[AGRUP. VALOR. PTO.]]=$B63,IF(DATOS_[[Check Periodo Ref.]:[Check Periodo Ref.]]="Dentro",IF(DATOS_[[Check Equiparado]:[Check Equiparado]]="Sí",IF(DATOS!AW$4="Sí",(1/DATOS_[[% anualiz]:[% anualiz]]),1)*IF(DATOS!AW$5="Sí",1/DATOS_[[% normaliz]:[% normaliz]],1)*(DATOS_[Conc.Sal.19])))))))), 0)</f>
        <v>0</v>
      </c>
      <c r="AC65" s="302" t="n">
        <f aca="false" t="array" ref="AC65:AC65">IFERROR( (AVERAGE((IF(DATOS_[[Sexo]:[Sexo]]=$B65,IF(DATOS_[[AGRUP. VALOR. PTO.]:[AGRUP. VALOR. PTO.]]=$B63,IF(DATOS_[[Check Periodo Ref.]:[Check Periodo Ref.]]="Dentro",IF(DATOS_[[Check Equiparado]:[Check Equiparado]]="Sí",IF(DATOS!AX$4="Sí",(1/DATOS_[[% anualiz]:[% anualiz]]),1)*IF(DATOS!AX$5="Sí",1/DATOS_[[% normaliz]:[% normaliz]],1)*(DATOS_[Conc.Sal.20])))))))), 0)</f>
        <v>0</v>
      </c>
      <c r="AD65" s="302" t="n">
        <f aca="false" t="array" ref="AD65:AD65">IFERROR( (AVERAGE((IF(DATOS_[[Sexo]:[Sexo]]=$B65,IF(DATOS_[[AGRUP. VALOR. PTO.]:[AGRUP. VALOR. PTO.]]=$B63,IF(DATOS_[[Check Periodo Ref.]:[Check Periodo Ref.]]="Dentro",IF(DATOS_[[Check Equiparado]:[Check Equiparado]]="Sí",IF(DATOS!AY$4="Sí",(1/DATOS_[[% anualiz]:[% anualiz]]),1)*IF(DATOS!AY$5="Sí",1/DATOS_[[% normaliz]:[% normaliz]],1)*(DATOS_[Conc.Sal.21])))))))), 0)</f>
        <v>0</v>
      </c>
      <c r="AE65" s="302" t="n">
        <f aca="false" t="array" ref="AE65:AE65">IFERROR( (AVERAGE((IF(DATOS_[[Sexo]:[Sexo]]=$B65,IF(DATOS_[[AGRUP. VALOR. PTO.]:[AGRUP. VALOR. PTO.]]=$B63,IF(DATOS_[[Check Periodo Ref.]:[Check Periodo Ref.]]="Dentro",IF(DATOS_[[Check Equiparado]:[Check Equiparado]]="Sí",IF(DATOS!AZ$4="Sí",(1/DATOS_[[% anualiz]:[% anualiz]]),1)*IF(DATOS!AZ$5="Sí",1/DATOS_[[% normaliz]:[% normaliz]],1)*(DATOS_[Conc.Sal.22])))))))), 0)</f>
        <v>0</v>
      </c>
      <c r="AF65" s="302" t="n">
        <f aca="false" t="array" ref="AF65:AF65">IFERROR( (AVERAGE((IF(DATOS_[[Sexo]:[Sexo]]=$B65,IF(DATOS_[[AGRUP. VALOR. PTO.]:[AGRUP. VALOR. PTO.]]=$B63,IF(DATOS_[[Check Periodo Ref.]:[Check Periodo Ref.]]="Dentro",IF(DATOS_[[Check Equiparado]:[Check Equiparado]]="Sí",IF(DATOS!BA$4="Sí",(1/DATOS_[[% anualiz]:[% anualiz]]),1)*IF(DATOS!BA$5="Sí",1/DATOS_[[% normaliz]:[% normaliz]],1)*(DATOS_[Conc.Sal.23])))))))), 0)</f>
        <v>0</v>
      </c>
      <c r="AG65" s="302" t="n">
        <f aca="false" t="array" ref="AG65:AG65">IFERROR( (AVERAGE((IF(DATOS_[[Sexo]:[Sexo]]=$B65,IF(DATOS_[[AGRUP. VALOR. PTO.]:[AGRUP. VALOR. PTO.]]=$B63,IF(DATOS_[[Check Periodo Ref.]:[Check Periodo Ref.]]="Dentro",IF(DATOS_[[Check Equiparado]:[Check Equiparado]]="Sí",IF(DATOS!BB$4="Sí",(1/DATOS_[[% anualiz]:[% anualiz]]),1)*IF(DATOS!BB$5="Sí",1/DATOS_[[% normaliz]:[% normaliz]],1)*(DATOS_[Conc.Sal.24])))))))), 0)</f>
        <v>0</v>
      </c>
      <c r="AH65" s="302" t="n">
        <f aca="false" t="array" ref="AH65:AH65">IFERROR( (AVERAGE((IF(DATOS_[[Sexo]:[Sexo]]=$B65,IF(DATOS_[[AGRUP. VALOR. PTO.]:[AGRUP. VALOR. PTO.]]=$B63,IF(DATOS_[[Check Periodo Ref.]:[Check Periodo Ref.]]="Dentro",IF(DATOS_[[Check Equiparado]:[Check Equiparado]]="Sí",IF(DATOS!BC$4="Sí",(1/DATOS_[[% anualiz]:[% anualiz]]),1)*IF(DATOS!BC$5="Sí",1/DATOS_[[% normaliz]:[% normaliz]],1)*(DATOS_[Conc.Sal.25])))))))), 0)</f>
        <v>0</v>
      </c>
      <c r="AI65" s="302" t="n">
        <f aca="false" t="array" ref="AI65:AI65">IFERROR( (AVERAGE((IF(DATOS_[[Sexo]:[Sexo]]=$B65,IF(DATOS_[[AGRUP. VALOR. PTO.]:[AGRUP. VALOR. PTO.]]=$B63,IF(DATOS_[[Check Periodo Ref.]:[Check Periodo Ref.]]="Dentro",IF(DATOS_[[Check Equiparado]:[Check Equiparado]]="Sí",IF(DATOS!BD$4="Sí",(1/DATOS_[[% anualiz]:[% anualiz]]),1)*IF(DATOS!BD$5="Sí",1/DATOS_[[% normaliz]:[% normaliz]],1)*(DATOS_[Conc.Sal.26])))))))), 0)</f>
        <v>0</v>
      </c>
      <c r="AJ65" s="302" t="n">
        <f aca="false" t="array" ref="AJ65:AJ65">IFERROR( (AVERAGE((IF(DATOS_[[Sexo]:[Sexo]]=$B65,IF(DATOS_[[AGRUP. VALOR. PTO.]:[AGRUP. VALOR. PTO.]]=$B63,IF(DATOS_[[Check Periodo Ref.]:[Check Periodo Ref.]]="Dentro",IF(DATOS_[[Check Equiparado]:[Check Equiparado]]="Sí",IF(DATOS!BE$4="Sí",(1/DATOS_[[% anualiz]:[% anualiz]]),1)*IF(DATOS!BE$5="Sí",1/DATOS_[[% normaliz]:[% normaliz]],1)*(DATOS_[Conc.Sal.27])))))))), 0)</f>
        <v>0</v>
      </c>
      <c r="AK65" s="302" t="n">
        <f aca="false" t="array" ref="AK65:AK65">IFERROR( (AVERAGE((IF(DATOS_[[Sexo]:[Sexo]]=$B65,IF(DATOS_[[AGRUP. VALOR. PTO.]:[AGRUP. VALOR. PTO.]]=$B63,IF(DATOS_[[Check Periodo Ref.]:[Check Periodo Ref.]]="Dentro",IF(DATOS_[[Check Equiparado]:[Check Equiparado]]="Sí",IF(DATOS!BF$4="Sí",(1/DATOS_[[% anualiz]:[% anualiz]]),1)*IF(DATOS!BF$5="Sí",1/DATOS_[[% normaliz]:[% normaliz]],1)*(DATOS_[Conc.Sal.28])))))))), 0)</f>
        <v>0</v>
      </c>
      <c r="AL65" s="302" t="n">
        <f aca="false" t="array" ref="AL65:AL65">IFERROR( (AVERAGE((IF(DATOS_[[Sexo]:[Sexo]]=$B65,IF(DATOS_[[AGRUP. VALOR. PTO.]:[AGRUP. VALOR. PTO.]]=$B63,IF(DATOS_[[Check Periodo Ref.]:[Check Periodo Ref.]]="Dentro",IF(DATOS_[[Check Equiparado]:[Check Equiparado]]="Sí",IF(DATOS!BG$4="Sí",(1/DATOS_[[% anualiz]:[% anualiz]]),1)*IF(DATOS!BG$5="Sí",1/DATOS_[[% normaliz]:[% normaliz]],1)*(DATOS_[Conc.Sal.29])))))))), 0)</f>
        <v>0</v>
      </c>
      <c r="AM65" s="302" t="n">
        <f aca="false" t="array" ref="AM65:AM65">IFERROR( (AVERAGE((IF(DATOS_[[Sexo]:[Sexo]]=$B65,IF(DATOS_[[AGRUP. VALOR. PTO.]:[AGRUP. VALOR. PTO.]]=$B63,IF(DATOS_[[Check Periodo Ref.]:[Check Periodo Ref.]]="Dentro",IF(DATOS_[[Check Equiparado]:[Check Equiparado]]="Sí",IF(DATOS!BH$4="Sí",(1/DATOS_[[% anualiz]:[% anualiz]]),1)*IF(DATOS!BH$5="Sí",1/DATOS_[[% normaliz]:[% normaliz]],1)*(DATOS_[Conc.Sal.30])))))))), 0)</f>
        <v>0</v>
      </c>
      <c r="AN65" s="294" t="n">
        <f aca="false" t="array" ref="AN65:AN65">IFERROR( AVERAGE(IF(DATOS_[Sexo]=$B65,IF(DATOS_[[AGRUP. VALOR. PTO.]:[AGRUP. VALOR. PTO.]]=$B63,IF(DATOS_[Check Equiparado]="Sí",IF(DATOS_[Check Periodo Ref.]="Dentro",DATOS_[Tot COMPL.SAL Eq],0))))), 0)</f>
        <v>0</v>
      </c>
      <c r="AO65" s="295" t="n">
        <f aca="false" t="array" ref="AO65:AO65">IFERROR( AVERAGE(IF(DATOS_[Sexo]=$B65,IF(DATOS_[[AGRUP. VALOR. PTO.]:[AGRUP. VALOR. PTO.]]=$B63,IF(DATOS_[Check Equiparado]="Sí",IF(DATOS_[Check Periodo Ref.]="Dentro",DATOS_[TOTAL SALARIO Eq],0))))), 0)</f>
        <v>0</v>
      </c>
      <c r="AP65" s="303" t="n">
        <f aca="false" t="array" ref="AP65:AP65">IFERROR( (AVERAGE((IF(DATOS_[[Sexo]:[Sexo]]=$B65,IF(DATOS_[[AGRUP. VALOR. PTO.]:[AGRUP. VALOR. PTO.]]=$B64,IF(DATOS_[[Check Periodo Ref.]:[Check Periodo Ref.]]="Dentro",IF(DATOS_[[Check Equiparado]:[Check Equiparado]]="Sí",IF(DATOS!BI$4="Sí",(1/DATOS_[[% anualiz]:[% anualiz]]),1)*IF(DATOS!BI$5="Sí",1/DATOS_[[% normaliz]:[% normaliz]],1)*(DATOS_[C.Extra.01])))))))), 0)</f>
        <v>0</v>
      </c>
      <c r="AQ65" s="303" t="n">
        <f aca="false" t="array" ref="AQ65:AQ65">IFERROR( (AVERAGE((IF(DATOS_[[Sexo]:[Sexo]]=$B65,IF(DATOS_[[AGRUP. VALOR. PTO.]:[AGRUP. VALOR. PTO.]]=$B64,IF(DATOS_[[Check Periodo Ref.]:[Check Periodo Ref.]]="Dentro",IF(DATOS_[[Check Equiparado]:[Check Equiparado]]="Sí",IF(DATOS!BJ$4="Sí",(1/DATOS_[[% anualiz]:[% anualiz]]),1)*IF(DATOS!BJ$5="Sí",1/DATOS_[[% normaliz]:[% normaliz]],1)*(DATOS_[C.Extra.02])))))))), 0)</f>
        <v>0</v>
      </c>
      <c r="AR65" s="303" t="n">
        <f aca="false" t="array" ref="AR65:AR65">IFERROR( (AVERAGE((IF(DATOS_[[Sexo]:[Sexo]]=$B65,IF(DATOS_[[AGRUP. VALOR. PTO.]:[AGRUP. VALOR. PTO.]]=$B64,IF(DATOS_[[Check Periodo Ref.]:[Check Periodo Ref.]]="Dentro",IF(DATOS_[[Check Equiparado]:[Check Equiparado]]="Sí",IF(DATOS!BK$4="Sí",(1/DATOS_[[% anualiz]:[% anualiz]]),1)*IF(DATOS!BK$5="Sí",1/DATOS_[[% normaliz]:[% normaliz]],1)*(DATOS_[C.Extra.03])))))))), 0)</f>
        <v>0</v>
      </c>
      <c r="AS65" s="303" t="n">
        <f aca="false" t="array" ref="AS65:AS65">IFERROR( (AVERAGE((IF(DATOS_[[Sexo]:[Sexo]]=$B65,IF(DATOS_[[AGRUP. VALOR. PTO.]:[AGRUP. VALOR. PTO.]]=$B64,IF(DATOS_[[Check Periodo Ref.]:[Check Periodo Ref.]]="Dentro",IF(DATOS_[[Check Equiparado]:[Check Equiparado]]="Sí",IF(DATOS!BL$4="Sí",(1/DATOS_[[% anualiz]:[% anualiz]]),1)*IF(DATOS!BL$5="Sí",1/DATOS_[[% normaliz]:[% normaliz]],1)*(DATOS_[C.Extra.04])))))))), 0)</f>
        <v>0</v>
      </c>
      <c r="AT65" s="303" t="n">
        <f aca="false" t="array" ref="AT65:AT65">IFERROR( (AVERAGE((IF(DATOS_[[Sexo]:[Sexo]]=$B65,IF(DATOS_[[AGRUP. VALOR. PTO.]:[AGRUP. VALOR. PTO.]]=$B64,IF(DATOS_[[Check Periodo Ref.]:[Check Periodo Ref.]]="Dentro",IF(DATOS_[[Check Equiparado]:[Check Equiparado]]="Sí",IF(DATOS!BM$4="Sí",(1/DATOS_[[% anualiz]:[% anualiz]]),1)*IF(DATOS!BM$5="Sí",1/DATOS_[[% normaliz]:[% normaliz]],1)*(DATOS_[C.Extra.05])))))))), 0)</f>
        <v>0</v>
      </c>
      <c r="AU65" s="297" t="n">
        <f aca="false" t="array" ref="AU65:AU65">IFERROR( AVERAGE(IF(DATOS_[Sexo]=$B65,IF(DATOS_[[AGRUP. VALOR. PTO.]:[AGRUP. VALOR. PTO.]]=$B63,IF(DATOS_[Check Equiparado]="Sí",IF(DATOS_[Check Periodo Ref.]="Dentro",DATOS_[Tot Extrasalarial Eq],0))))), 0)</f>
        <v>0</v>
      </c>
      <c r="AV65" s="298" t="n">
        <f aca="false" t="array" ref="AV65:AV65">IFERROR( AVERAGE(IF(DATOS_[Sexo]=$B65,IF(DATOS_[[AGRUP. VALOR. PTO.]:[AGRUP. VALOR. PTO.]]=$B63,IF(DATOS_[Check Equiparado]="Sí",IF(DATOS_[Check Periodo Ref.]="Dentro",DATOS_[TOTAL Retrib Eq],0))))), 0)</f>
        <v>0</v>
      </c>
    </row>
    <row r="66" customFormat="false" ht="15.75" hidden="false" customHeight="false" outlineLevel="0" collapsed="false">
      <c r="A66" s="166" t="str">
        <f aca="false">+A67</f>
        <v>[ocultar]</v>
      </c>
      <c r="B66" s="276" t="s">
        <v>220</v>
      </c>
      <c r="C66" s="277"/>
      <c r="D66" s="278"/>
      <c r="E66" s="278"/>
      <c r="F66" s="278"/>
      <c r="G66" s="278"/>
      <c r="H66" s="278"/>
      <c r="I66" s="279" t="str">
        <f aca="false">IFERROR((I67-I68)/I67,"")</f>
        <v/>
      </c>
      <c r="J66" s="280" t="str">
        <f aca="false">IFERROR((J67-J68)/J67,"")</f>
        <v/>
      </c>
      <c r="K66" s="281" t="str">
        <f aca="false">IFERROR((K67-K68)/K67,"")</f>
        <v/>
      </c>
      <c r="L66" s="281" t="str">
        <f aca="false">IFERROR((L67-L68)/L67,"")</f>
        <v/>
      </c>
      <c r="M66" s="281" t="str">
        <f aca="false">IFERROR((M67-M68)/M67,"")</f>
        <v/>
      </c>
      <c r="N66" s="282" t="str">
        <f aca="false">IFERROR((N67-N68)/N67,"")</f>
        <v/>
      </c>
      <c r="O66" s="283" t="str">
        <f aca="false">IFERROR((O67-O68)/O67,"")</f>
        <v/>
      </c>
      <c r="P66" s="283" t="str">
        <f aca="false">IFERROR((P67-P68)/P67,"")</f>
        <v/>
      </c>
      <c r="Q66" s="283" t="str">
        <f aca="false">IFERROR((Q67-Q68)/Q67,"")</f>
        <v/>
      </c>
      <c r="R66" s="283" t="str">
        <f aca="false">IFERROR((R67-R68)/R67,"")</f>
        <v/>
      </c>
      <c r="S66" s="283" t="str">
        <f aca="false">IFERROR((S67-S68)/S67,"")</f>
        <v/>
      </c>
      <c r="T66" s="283" t="str">
        <f aca="false">IFERROR((T67-T68)/T67,"")</f>
        <v/>
      </c>
      <c r="U66" s="283" t="str">
        <f aca="false">IFERROR((U67-U68)/U67,"")</f>
        <v/>
      </c>
      <c r="V66" s="283" t="str">
        <f aca="false">IFERROR((V67-V68)/V67,"")</f>
        <v/>
      </c>
      <c r="W66" s="283" t="str">
        <f aca="false">IFERROR((W67-W68)/W67,"")</f>
        <v/>
      </c>
      <c r="X66" s="283" t="str">
        <f aca="false">IFERROR((X67-X68)/X67,"")</f>
        <v/>
      </c>
      <c r="Y66" s="283" t="str">
        <f aca="false">IFERROR((Y67-Y68)/Y67,"")</f>
        <v/>
      </c>
      <c r="Z66" s="282" t="str">
        <f aca="false">IFERROR((Z67-Z68)/Z67,"")</f>
        <v/>
      </c>
      <c r="AA66" s="282" t="str">
        <f aca="false">IFERROR((AA67-AA68)/AA67,"")</f>
        <v/>
      </c>
      <c r="AB66" s="282" t="str">
        <f aca="false">IFERROR((AB67-AB68)/AB67,"")</f>
        <v/>
      </c>
      <c r="AC66" s="282" t="str">
        <f aca="false">IFERROR((AC67-AC68)/AC67,"")</f>
        <v/>
      </c>
      <c r="AD66" s="282" t="str">
        <f aca="false">IFERROR((AD67-AD68)/AD67,"")</f>
        <v/>
      </c>
      <c r="AE66" s="282" t="str">
        <f aca="false">IFERROR((AE67-AE68)/AE67,"")</f>
        <v/>
      </c>
      <c r="AF66" s="282" t="str">
        <f aca="false">IFERROR((AF67-AF68)/AF67,"")</f>
        <v/>
      </c>
      <c r="AG66" s="282" t="str">
        <f aca="false">IFERROR((AG67-AG68)/AG67,"")</f>
        <v/>
      </c>
      <c r="AH66" s="282" t="str">
        <f aca="false">IFERROR((AH67-AH68)/AH67,"")</f>
        <v/>
      </c>
      <c r="AI66" s="282" t="str">
        <f aca="false">IFERROR((AI67-AI68)/AI67,"")</f>
        <v/>
      </c>
      <c r="AJ66" s="282" t="str">
        <f aca="false">IFERROR((AJ67-AJ68)/AJ67,"")</f>
        <v/>
      </c>
      <c r="AK66" s="282" t="str">
        <f aca="false">IFERROR((AK67-AK68)/AK67,"")</f>
        <v/>
      </c>
      <c r="AL66" s="282" t="str">
        <f aca="false">IFERROR((AL67-AL68)/AL67,"")</f>
        <v/>
      </c>
      <c r="AM66" s="282" t="str">
        <f aca="false">IFERROR((AM67-AM68)/AM67,"")</f>
        <v/>
      </c>
      <c r="AN66" s="284" t="str">
        <f aca="false">IFERROR((AN67-AN68)/AN67,"")</f>
        <v/>
      </c>
      <c r="AO66" s="285" t="str">
        <f aca="false">IFERROR((AO67-AO68)/AO67,"")</f>
        <v/>
      </c>
      <c r="AP66" s="286" t="str">
        <f aca="false">IFERROR((AP67-AP68)/AP67,"")</f>
        <v/>
      </c>
      <c r="AQ66" s="286" t="str">
        <f aca="false">IFERROR((AQ67-AQ68)/AQ67,"")</f>
        <v/>
      </c>
      <c r="AR66" s="286" t="str">
        <f aca="false">IFERROR((AR67-AR68)/AR67,"")</f>
        <v/>
      </c>
      <c r="AS66" s="286" t="str">
        <f aca="false">IFERROR((AS67-AS68)/AS67,"")</f>
        <v/>
      </c>
      <c r="AT66" s="286" t="str">
        <f aca="false">IFERROR((AT67-AT68)/AT67,"")</f>
        <v/>
      </c>
      <c r="AU66" s="287" t="str">
        <f aca="false">IFERROR((AU67-AU68)/AU67,"")</f>
        <v/>
      </c>
      <c r="AV66" s="288" t="str">
        <f aca="false">IFERROR((AV67-AV68)/AV67,"")</f>
        <v/>
      </c>
    </row>
    <row r="67" customFormat="false" ht="14.25" hidden="false" customHeight="false" outlineLevel="0" collapsed="false">
      <c r="A67" s="166" t="str">
        <f aca="false">+IF(C67+C68=0,"[ocultar]","")</f>
        <v>[ocultar]</v>
      </c>
      <c r="B67" s="289" t="s">
        <v>371</v>
      </c>
      <c r="C67" s="290" t="n">
        <f aca="false" t="array" ref="C67:C67">SUM(IF($B67=DATOS_[Sexo], IF($B66=DATOS_[AGRUP. VALOR. PTO.], IF("Dentro"=DATOS_[Check Periodo Ref.], 1/(COUNTIFS(DATOS_[Sexo],$B67,DATOS_[AGRUP. VALOR. PTO.],$B66,DATOS_[Check Periodo Ref.],"Dentro",DATOS_[id],DATOS_[id]))))))</f>
        <v>0</v>
      </c>
      <c r="D67" s="291" t="n">
        <f aca="false">COUNTIFS(DATOS_[AGRUP. VALOR. PTO.],$B66,DATOS_[Sexo],$B67,DATOS_[Check Periodo Ref.],"Dentro")</f>
        <v>0</v>
      </c>
      <c r="E67" s="291" t="n">
        <f aca="false">COUNTIFS(DATOS_[AGRUP. VALOR. PTO.],$B66,DATOS_[Sexo],$B67,DATOS_[Check Periodo Ref.],"Dentro",DATOS_[Check Nº SC Norm],"Sí")</f>
        <v>0</v>
      </c>
      <c r="F67" s="291" t="n">
        <f aca="false">COUNTIFS(DATOS_[AGRUP. VALOR. PTO.],$B66,DATOS_[Sexo],$B67,DATOS_[Check Periodo Ref.],"Dentro",DATOS_[Check Nº SC Anualiz],"Sí")</f>
        <v>0</v>
      </c>
      <c r="G67" s="291" t="n">
        <f aca="false">COUNTIFS(DATOS_[AGRUP. VALOR. PTO.],$B66,DATOS_[Sexo],$B67,DATOS_[Check Periodo Ref.],"Dentro",DATOS_[Check Nº SC Norm y Anualiz],"Sí")</f>
        <v>0</v>
      </c>
      <c r="H67" s="291" t="n">
        <f aca="false">COUNTIFS(DATOS_[AGRUP. VALOR. PTO.],$B66,DATOS_[Sexo],$B67,DATOS_[Check Periodo Ref.],"Dentro",DATOS_[Check Equiparación],"Sí")</f>
        <v>0</v>
      </c>
      <c r="I67" s="292" t="n">
        <f aca="false" t="array" ref="I67:I67">IFERROR( AVERAGE(IF(DATOS_[Sexo]=$B67,IF(DATOS_[[AGRUP. VALOR. PTO.]:[AGRUP. VALOR. PTO.]]=$B66,IF(DATOS_[Check Equiparado]="Sí",IF(DATOS_[Check Periodo Ref.]="Dentro",DATOS_[SALARIO BASE Eq],0))))), 0)</f>
        <v>0</v>
      </c>
      <c r="J67" s="302" t="n">
        <f aca="false" t="array" ref="J67:J67">IFERROR( (AVERAGE((IF(DATOS_[[Sexo]:[Sexo]]=$B67,IF(DATOS_[[AGRUP. VALOR. PTO.]:[AGRUP. VALOR. PTO.]]=$B66,IF(DATOS_[[Check Periodo Ref.]:[Check Periodo Ref.]]="Dentro",IF(DATOS_[[Check Equiparado]:[Check Equiparado]]="Sí",IF(DATOS!AE$4="Sí",(1/DATOS_[[% anualiz]:[% anualiz]]),1)*IF(DATOS!AE$5="Sí",1/DATOS_[[% normaliz]:[% normaliz]],1)*(DATOS_[Conc.Sal.01])))))))), 0)</f>
        <v>0</v>
      </c>
      <c r="K67" s="302" t="n">
        <f aca="false" t="array" ref="K67:K67">IFERROR( (AVERAGE((IF(DATOS_[[Sexo]:[Sexo]]=$B67,IF(DATOS_[[AGRUP. VALOR. PTO.]:[AGRUP. VALOR. PTO.]]=$B66,IF(DATOS_[[Check Periodo Ref.]:[Check Periodo Ref.]]="Dentro",IF(DATOS_[[Check Equiparado]:[Check Equiparado]]="Sí",IF(DATOS!AF$4="Sí",(1/DATOS_[[% anualiz]:[% anualiz]]),1)*IF(DATOS!AF$5="Sí",1/DATOS_[[% normaliz]:[% normaliz]],1)*(DATOS_[Conc.Sal.02])))))))), 0)</f>
        <v>0</v>
      </c>
      <c r="L67" s="302" t="n">
        <f aca="false" t="array" ref="L67:L67">IFERROR( (AVERAGE((IF(DATOS_[[Sexo]:[Sexo]]=$B67,IF(DATOS_[[AGRUP. VALOR. PTO.]:[AGRUP. VALOR. PTO.]]=$B66,IF(DATOS_[[Check Periodo Ref.]:[Check Periodo Ref.]]="Dentro",IF(DATOS_[[Check Equiparado]:[Check Equiparado]]="Sí",IF(DATOS!AG$4="Sí",(1/DATOS_[[% anualiz]:[% anualiz]]),1)*IF(DATOS!AG$5="Sí",1/DATOS_[[% normaliz]:[% normaliz]],1)*(DATOS_[Conc.Sal.03])))))))), 0)</f>
        <v>0</v>
      </c>
      <c r="M67" s="302" t="n">
        <f aca="false" t="array" ref="M67:M67">IFERROR( (AVERAGE((IF(DATOS_[[Sexo]:[Sexo]]=$B67,IF(DATOS_[[AGRUP. VALOR. PTO.]:[AGRUP. VALOR. PTO.]]=$B66,IF(DATOS_[[Check Periodo Ref.]:[Check Periodo Ref.]]="Dentro",IF(DATOS_[[Check Equiparado]:[Check Equiparado]]="Sí",IF(DATOS!AH$4="Sí",(1/DATOS_[[% anualiz]:[% anualiz]]),1)*IF(DATOS!AH$5="Sí",1/DATOS_[[% normaliz]:[% normaliz]],1)*(DATOS_[Conc.Sal.04])))))))), 0)</f>
        <v>0</v>
      </c>
      <c r="N67" s="302" t="n">
        <f aca="false" t="array" ref="N67:N67">IFERROR( (AVERAGE((IF(DATOS_[[Sexo]:[Sexo]]=$B67,IF(DATOS_[[AGRUP. VALOR. PTO.]:[AGRUP. VALOR. PTO.]]=$B66,IF(DATOS_[[Check Periodo Ref.]:[Check Periodo Ref.]]="Dentro",IF(DATOS_[[Check Equiparado]:[Check Equiparado]]="Sí",IF(DATOS!AI$4="Sí",(1/DATOS_[[% anualiz]:[% anualiz]]),1)*IF(DATOS!AI$5="Sí",1/DATOS_[[% normaliz]:[% normaliz]],1)*(DATOS_[Conc.Sal.05])))))))), 0)</f>
        <v>0</v>
      </c>
      <c r="O67" s="302" t="n">
        <f aca="false" t="array" ref="O67:O67">IFERROR( (AVERAGE((IF(DATOS_[[Sexo]:[Sexo]]=$B67,IF(DATOS_[[AGRUP. VALOR. PTO.]:[AGRUP. VALOR. PTO.]]=$B66,IF(DATOS_[[Check Periodo Ref.]:[Check Periodo Ref.]]="Dentro",IF(DATOS_[[Check Equiparado]:[Check Equiparado]]="Sí",IF(DATOS!AJ$4="Sí",(1/DATOS_[[% anualiz]:[% anualiz]]),1)*IF(DATOS!AJ$5="Sí",1/DATOS_[[% normaliz]:[% normaliz]],1)*(DATOS_[Conc.Sal.06])))))))), 0)</f>
        <v>0</v>
      </c>
      <c r="P67" s="302" t="n">
        <f aca="false" t="array" ref="P67:P67">IFERROR( (AVERAGE((IF(DATOS_[[Sexo]:[Sexo]]=$B67,IF(DATOS_[[AGRUP. VALOR. PTO.]:[AGRUP. VALOR. PTO.]]=$B66,IF(DATOS_[[Check Periodo Ref.]:[Check Periodo Ref.]]="Dentro",IF(DATOS_[[Check Equiparado]:[Check Equiparado]]="Sí",IF(DATOS!AK$4="Sí",(1/DATOS_[[% anualiz]:[% anualiz]]),1)*IF(DATOS!AK$5="Sí",1/DATOS_[[% normaliz]:[% normaliz]],1)*(DATOS_[Conc.Sal.07])))))))), 0)</f>
        <v>0</v>
      </c>
      <c r="Q67" s="302" t="n">
        <f aca="false" t="array" ref="Q67:Q67">IFERROR( (AVERAGE((IF(DATOS_[[Sexo]:[Sexo]]=$B67,IF(DATOS_[[AGRUP. VALOR. PTO.]:[AGRUP. VALOR. PTO.]]=$B66,IF(DATOS_[[Check Periodo Ref.]:[Check Periodo Ref.]]="Dentro",IF(DATOS_[[Check Equiparado]:[Check Equiparado]]="Sí",IF(DATOS!AL$4="Sí",(1/DATOS_[[% anualiz]:[% anualiz]]),1)*IF(DATOS!AL$5="Sí",1/DATOS_[[% normaliz]:[% normaliz]],1)*(DATOS_[Conc.Sal.08])))))))), 0)</f>
        <v>0</v>
      </c>
      <c r="R67" s="302" t="n">
        <f aca="false" t="array" ref="R67:R67">IFERROR( (AVERAGE((IF(DATOS_[[Sexo]:[Sexo]]=$B67,IF(DATOS_[[AGRUP. VALOR. PTO.]:[AGRUP. VALOR. PTO.]]=$B66,IF(DATOS_[[Check Periodo Ref.]:[Check Periodo Ref.]]="Dentro",IF(DATOS_[[Check Equiparado]:[Check Equiparado]]="Sí",IF(DATOS!AM$4="Sí",(1/DATOS_[[% anualiz]:[% anualiz]]),1)*IF(DATOS!AM$5="Sí",1/DATOS_[[% normaliz]:[% normaliz]],1)*(DATOS_[Conc.Sal.09])))))))), 0)</f>
        <v>0</v>
      </c>
      <c r="S67" s="302" t="n">
        <f aca="false" t="array" ref="S67:S67">IFERROR( (AVERAGE((IF(DATOS_[[Sexo]:[Sexo]]=$B67,IF(DATOS_[[AGRUP. VALOR. PTO.]:[AGRUP. VALOR. PTO.]]=$B66,IF(DATOS_[[Check Periodo Ref.]:[Check Periodo Ref.]]="Dentro",IF(DATOS_[[Check Equiparado]:[Check Equiparado]]="Sí",IF(DATOS!AN$4="Sí",(1/DATOS_[[% anualiz]:[% anualiz]]),1)*IF(DATOS!AN$5="Sí",1/DATOS_[[% normaliz]:[% normaliz]],1)*(DATOS_[Conc.Sal.10])))))))), 0)</f>
        <v>0</v>
      </c>
      <c r="T67" s="302" t="n">
        <f aca="false" t="array" ref="T67:T67">IFERROR( (AVERAGE((IF(DATOS_[[Sexo]:[Sexo]]=$B67,IF(DATOS_[[AGRUP. VALOR. PTO.]:[AGRUP. VALOR. PTO.]]=$B66,IF(DATOS_[[Check Periodo Ref.]:[Check Periodo Ref.]]="Dentro",IF(DATOS_[[Check Equiparado]:[Check Equiparado]]="Sí",IF(DATOS!AO$4="Sí",(1/DATOS_[[% anualiz]:[% anualiz]]),1)*IF(DATOS!AO$5="Sí",1/DATOS_[[% normaliz]:[% normaliz]],1)*(DATOS_[Conc.Sal.11])))))))), 0)</f>
        <v>0</v>
      </c>
      <c r="U67" s="302" t="n">
        <f aca="false" t="array" ref="U67:U67">IFERROR( (AVERAGE((IF(DATOS_[[Sexo]:[Sexo]]=$B67,IF(DATOS_[[AGRUP. VALOR. PTO.]:[AGRUP. VALOR. PTO.]]=$B66,IF(DATOS_[[Check Periodo Ref.]:[Check Periodo Ref.]]="Dentro",IF(DATOS_[[Check Equiparado]:[Check Equiparado]]="Sí",IF(DATOS!AP$4="Sí",(1/DATOS_[[% anualiz]:[% anualiz]]),1)*IF(DATOS!AP$5="Sí",1/DATOS_[[% normaliz]:[% normaliz]],1)*(DATOS_[Conc.Sal.12])))))))), 0)</f>
        <v>0</v>
      </c>
      <c r="V67" s="302" t="n">
        <f aca="false" t="array" ref="V67:V67">IFERROR( (AVERAGE((IF(DATOS_[[Sexo]:[Sexo]]=$B67,IF(DATOS_[[AGRUP. VALOR. PTO.]:[AGRUP. VALOR. PTO.]]=$B66,IF(DATOS_[[Check Periodo Ref.]:[Check Periodo Ref.]]="Dentro",IF(DATOS_[[Check Equiparado]:[Check Equiparado]]="Sí",IF(DATOS!AQ$4="Sí",(1/DATOS_[[% anualiz]:[% anualiz]]),1)*IF(DATOS!AQ$5="Sí",1/DATOS_[[% normaliz]:[% normaliz]],1)*(DATOS_[Conc.Sal.13])))))))), 0)</f>
        <v>0</v>
      </c>
      <c r="W67" s="302" t="n">
        <f aca="false" t="array" ref="W67:W67">IFERROR( (AVERAGE((IF(DATOS_[[Sexo]:[Sexo]]=$B67,IF(DATOS_[[AGRUP. VALOR. PTO.]:[AGRUP. VALOR. PTO.]]=$B66,IF(DATOS_[[Check Periodo Ref.]:[Check Periodo Ref.]]="Dentro",IF(DATOS_[[Check Equiparado]:[Check Equiparado]]="Sí",IF(DATOS!AR$4="Sí",(1/DATOS_[[% anualiz]:[% anualiz]]),1)*IF(DATOS!AR$5="Sí",1/DATOS_[[% normaliz]:[% normaliz]],1)*(DATOS_[Conc.Sal.14])))))))), 0)</f>
        <v>0</v>
      </c>
      <c r="X67" s="302" t="n">
        <f aca="false" t="array" ref="X67:X67">IFERROR( (AVERAGE((IF(DATOS_[[Sexo]:[Sexo]]=$B67,IF(DATOS_[[AGRUP. VALOR. PTO.]:[AGRUP. VALOR. PTO.]]=$B66,IF(DATOS_[[Check Periodo Ref.]:[Check Periodo Ref.]]="Dentro",IF(DATOS_[[Check Equiparado]:[Check Equiparado]]="Sí",IF(DATOS!AS$4="Sí",(1/DATOS_[[% anualiz]:[% anualiz]]),1)*IF(DATOS!AS$5="Sí",1/DATOS_[[% normaliz]:[% normaliz]],1)*(DATOS_[Conc.Sal.15])))))))), 0)</f>
        <v>0</v>
      </c>
      <c r="Y67" s="302" t="n">
        <f aca="false" t="array" ref="Y67:Y67">IFERROR( (AVERAGE((IF(DATOS_[[Sexo]:[Sexo]]=$B67,IF(DATOS_[[AGRUP. VALOR. PTO.]:[AGRUP. VALOR. PTO.]]=$B66,IF(DATOS_[[Check Periodo Ref.]:[Check Periodo Ref.]]="Dentro",IF(DATOS_[[Check Equiparado]:[Check Equiparado]]="Sí",IF(DATOS!AT$4="Sí",(1/DATOS_[[% anualiz]:[% anualiz]]),1)*IF(DATOS!AT$5="Sí",1/DATOS_[[% normaliz]:[% normaliz]],1)*(DATOS_[Conc.Sal.16])))))))), 0)</f>
        <v>0</v>
      </c>
      <c r="Z67" s="302" t="n">
        <f aca="false" t="array" ref="Z67:Z67">IFERROR( (AVERAGE((IF(DATOS_[[Sexo]:[Sexo]]=$B67,IF(DATOS_[[AGRUP. VALOR. PTO.]:[AGRUP. VALOR. PTO.]]=$B66,IF(DATOS_[[Check Periodo Ref.]:[Check Periodo Ref.]]="Dentro",IF(DATOS_[[Check Equiparado]:[Check Equiparado]]="Sí",IF(DATOS!AU$4="Sí",(1/DATOS_[[% anualiz]:[% anualiz]]),1)*IF(DATOS!AU$5="Sí",1/DATOS_[[% normaliz]:[% normaliz]],1)*(DATOS_[Conc.Sal.17])))))))), 0)</f>
        <v>0</v>
      </c>
      <c r="AA67" s="302" t="n">
        <f aca="false" t="array" ref="AA67:AA67">IFERROR( (AVERAGE((IF(DATOS_[[Sexo]:[Sexo]]=$B67,IF(DATOS_[[AGRUP. VALOR. PTO.]:[AGRUP. VALOR. PTO.]]=$B66,IF(DATOS_[[Check Periodo Ref.]:[Check Periodo Ref.]]="Dentro",IF(DATOS_[[Check Equiparado]:[Check Equiparado]]="Sí",IF(DATOS!AV$4="Sí",(1/DATOS_[[% anualiz]:[% anualiz]]),1)*IF(DATOS!AV$5="Sí",1/DATOS_[[% normaliz]:[% normaliz]],1)*(DATOS_[Conc.Sal.18])))))))), 0)</f>
        <v>0</v>
      </c>
      <c r="AB67" s="302" t="n">
        <f aca="false" t="array" ref="AB67:AB67">IFERROR( (AVERAGE((IF(DATOS_[[Sexo]:[Sexo]]=$B67,IF(DATOS_[[AGRUP. VALOR. PTO.]:[AGRUP. VALOR. PTO.]]=$B66,IF(DATOS_[[Check Periodo Ref.]:[Check Periodo Ref.]]="Dentro",IF(DATOS_[[Check Equiparado]:[Check Equiparado]]="Sí",IF(DATOS!AW$4="Sí",(1/DATOS_[[% anualiz]:[% anualiz]]),1)*IF(DATOS!AW$5="Sí",1/DATOS_[[% normaliz]:[% normaliz]],1)*(DATOS_[Conc.Sal.19])))))))), 0)</f>
        <v>0</v>
      </c>
      <c r="AC67" s="302" t="n">
        <f aca="false" t="array" ref="AC67:AC67">IFERROR( (AVERAGE((IF(DATOS_[[Sexo]:[Sexo]]=$B67,IF(DATOS_[[AGRUP. VALOR. PTO.]:[AGRUP. VALOR. PTO.]]=$B66,IF(DATOS_[[Check Periodo Ref.]:[Check Periodo Ref.]]="Dentro",IF(DATOS_[[Check Equiparado]:[Check Equiparado]]="Sí",IF(DATOS!AX$4="Sí",(1/DATOS_[[% anualiz]:[% anualiz]]),1)*IF(DATOS!AX$5="Sí",1/DATOS_[[% normaliz]:[% normaliz]],1)*(DATOS_[Conc.Sal.20])))))))), 0)</f>
        <v>0</v>
      </c>
      <c r="AD67" s="302" t="n">
        <f aca="false" t="array" ref="AD67:AD67">IFERROR( (AVERAGE((IF(DATOS_[[Sexo]:[Sexo]]=$B67,IF(DATOS_[[AGRUP. VALOR. PTO.]:[AGRUP. VALOR. PTO.]]=$B66,IF(DATOS_[[Check Periodo Ref.]:[Check Periodo Ref.]]="Dentro",IF(DATOS_[[Check Equiparado]:[Check Equiparado]]="Sí",IF(DATOS!AY$4="Sí",(1/DATOS_[[% anualiz]:[% anualiz]]),1)*IF(DATOS!AY$5="Sí",1/DATOS_[[% normaliz]:[% normaliz]],1)*(DATOS_[Conc.Sal.21])))))))), 0)</f>
        <v>0</v>
      </c>
      <c r="AE67" s="302" t="n">
        <f aca="false" t="array" ref="AE67:AE67">IFERROR( (AVERAGE((IF(DATOS_[[Sexo]:[Sexo]]=$B67,IF(DATOS_[[AGRUP. VALOR. PTO.]:[AGRUP. VALOR. PTO.]]=$B66,IF(DATOS_[[Check Periodo Ref.]:[Check Periodo Ref.]]="Dentro",IF(DATOS_[[Check Equiparado]:[Check Equiparado]]="Sí",IF(DATOS!AZ$4="Sí",(1/DATOS_[[% anualiz]:[% anualiz]]),1)*IF(DATOS!AZ$5="Sí",1/DATOS_[[% normaliz]:[% normaliz]],1)*(DATOS_[Conc.Sal.22])))))))), 0)</f>
        <v>0</v>
      </c>
      <c r="AF67" s="302" t="n">
        <f aca="false" t="array" ref="AF67:AF67">IFERROR( (AVERAGE((IF(DATOS_[[Sexo]:[Sexo]]=$B67,IF(DATOS_[[AGRUP. VALOR. PTO.]:[AGRUP. VALOR. PTO.]]=$B66,IF(DATOS_[[Check Periodo Ref.]:[Check Periodo Ref.]]="Dentro",IF(DATOS_[[Check Equiparado]:[Check Equiparado]]="Sí",IF(DATOS!BA$4="Sí",(1/DATOS_[[% anualiz]:[% anualiz]]),1)*IF(DATOS!BA$5="Sí",1/DATOS_[[% normaliz]:[% normaliz]],1)*(DATOS_[Conc.Sal.23])))))))), 0)</f>
        <v>0</v>
      </c>
      <c r="AG67" s="302" t="n">
        <f aca="false" t="array" ref="AG67:AG67">IFERROR( (AVERAGE((IF(DATOS_[[Sexo]:[Sexo]]=$B67,IF(DATOS_[[AGRUP. VALOR. PTO.]:[AGRUP. VALOR. PTO.]]=$B66,IF(DATOS_[[Check Periodo Ref.]:[Check Periodo Ref.]]="Dentro",IF(DATOS_[[Check Equiparado]:[Check Equiparado]]="Sí",IF(DATOS!BB$4="Sí",(1/DATOS_[[% anualiz]:[% anualiz]]),1)*IF(DATOS!BB$5="Sí",1/DATOS_[[% normaliz]:[% normaliz]],1)*(DATOS_[Conc.Sal.24])))))))), 0)</f>
        <v>0</v>
      </c>
      <c r="AH67" s="302" t="n">
        <f aca="false" t="array" ref="AH67:AH67">IFERROR( (AVERAGE((IF(DATOS_[[Sexo]:[Sexo]]=$B67,IF(DATOS_[[AGRUP. VALOR. PTO.]:[AGRUP. VALOR. PTO.]]=$B66,IF(DATOS_[[Check Periodo Ref.]:[Check Periodo Ref.]]="Dentro",IF(DATOS_[[Check Equiparado]:[Check Equiparado]]="Sí",IF(DATOS!BC$4="Sí",(1/DATOS_[[% anualiz]:[% anualiz]]),1)*IF(DATOS!BC$5="Sí",1/DATOS_[[% normaliz]:[% normaliz]],1)*(DATOS_[Conc.Sal.25])))))))), 0)</f>
        <v>0</v>
      </c>
      <c r="AI67" s="302" t="n">
        <f aca="false" t="array" ref="AI67:AI67">IFERROR( (AVERAGE((IF(DATOS_[[Sexo]:[Sexo]]=$B67,IF(DATOS_[[AGRUP. VALOR. PTO.]:[AGRUP. VALOR. PTO.]]=$B66,IF(DATOS_[[Check Periodo Ref.]:[Check Periodo Ref.]]="Dentro",IF(DATOS_[[Check Equiparado]:[Check Equiparado]]="Sí",IF(DATOS!BD$4="Sí",(1/DATOS_[[% anualiz]:[% anualiz]]),1)*IF(DATOS!BD$5="Sí",1/DATOS_[[% normaliz]:[% normaliz]],1)*(DATOS_[Conc.Sal.26])))))))), 0)</f>
        <v>0</v>
      </c>
      <c r="AJ67" s="302" t="n">
        <f aca="false" t="array" ref="AJ67:AJ67">IFERROR( (AVERAGE((IF(DATOS_[[Sexo]:[Sexo]]=$B67,IF(DATOS_[[AGRUP. VALOR. PTO.]:[AGRUP. VALOR. PTO.]]=$B66,IF(DATOS_[[Check Periodo Ref.]:[Check Periodo Ref.]]="Dentro",IF(DATOS_[[Check Equiparado]:[Check Equiparado]]="Sí",IF(DATOS!BE$4="Sí",(1/DATOS_[[% anualiz]:[% anualiz]]),1)*IF(DATOS!BE$5="Sí",1/DATOS_[[% normaliz]:[% normaliz]],1)*(DATOS_[Conc.Sal.27])))))))), 0)</f>
        <v>0</v>
      </c>
      <c r="AK67" s="302" t="n">
        <f aca="false" t="array" ref="AK67:AK67">IFERROR( (AVERAGE((IF(DATOS_[[Sexo]:[Sexo]]=$B67,IF(DATOS_[[AGRUP. VALOR. PTO.]:[AGRUP. VALOR. PTO.]]=$B66,IF(DATOS_[[Check Periodo Ref.]:[Check Periodo Ref.]]="Dentro",IF(DATOS_[[Check Equiparado]:[Check Equiparado]]="Sí",IF(DATOS!BF$4="Sí",(1/DATOS_[[% anualiz]:[% anualiz]]),1)*IF(DATOS!BF$5="Sí",1/DATOS_[[% normaliz]:[% normaliz]],1)*(DATOS_[Conc.Sal.28])))))))), 0)</f>
        <v>0</v>
      </c>
      <c r="AL67" s="302" t="n">
        <f aca="false" t="array" ref="AL67:AL67">IFERROR( (AVERAGE((IF(DATOS_[[Sexo]:[Sexo]]=$B67,IF(DATOS_[[AGRUP. VALOR. PTO.]:[AGRUP. VALOR. PTO.]]=$B66,IF(DATOS_[[Check Periodo Ref.]:[Check Periodo Ref.]]="Dentro",IF(DATOS_[[Check Equiparado]:[Check Equiparado]]="Sí",IF(DATOS!BG$4="Sí",(1/DATOS_[[% anualiz]:[% anualiz]]),1)*IF(DATOS!BG$5="Sí",1/DATOS_[[% normaliz]:[% normaliz]],1)*(DATOS_[Conc.Sal.29])))))))), 0)</f>
        <v>0</v>
      </c>
      <c r="AM67" s="302" t="n">
        <f aca="false" t="array" ref="AM67:AM67">IFERROR( (AVERAGE((IF(DATOS_[[Sexo]:[Sexo]]=$B67,IF(DATOS_[[AGRUP. VALOR. PTO.]:[AGRUP. VALOR. PTO.]]=$B66,IF(DATOS_[[Check Periodo Ref.]:[Check Periodo Ref.]]="Dentro",IF(DATOS_[[Check Equiparado]:[Check Equiparado]]="Sí",IF(DATOS!BH$4="Sí",(1/DATOS_[[% anualiz]:[% anualiz]]),1)*IF(DATOS!BH$5="Sí",1/DATOS_[[% normaliz]:[% normaliz]],1)*(DATOS_[Conc.Sal.30])))))))), 0)</f>
        <v>0</v>
      </c>
      <c r="AN67" s="294" t="n">
        <f aca="false" t="array" ref="AN67:AN67">IFERROR( AVERAGE(IF(DATOS_[Sexo]=$B67,IF(DATOS_[[AGRUP. VALOR. PTO.]:[AGRUP. VALOR. PTO.]]=$B66,IF(DATOS_[Check Equiparado]="Sí",IF(DATOS_[Check Periodo Ref.]="Dentro",DATOS_[Tot COMPL.SAL Eq],0))))), 0)</f>
        <v>0</v>
      </c>
      <c r="AO67" s="295" t="n">
        <f aca="false" t="array" ref="AO67:AO67">IFERROR( AVERAGE(IF(DATOS_[Sexo]=$B67,IF(DATOS_[[AGRUP. VALOR. PTO.]:[AGRUP. VALOR. PTO.]]=$B66,IF(DATOS_[Check Equiparado]="Sí",IF(DATOS_[Check Periodo Ref.]="Dentro",DATOS_[TOTAL SALARIO Eq],0))))), 0)</f>
        <v>0</v>
      </c>
      <c r="AP67" s="303" t="n">
        <f aca="false" t="array" ref="AP67:AP67">IFERROR( (AVERAGE((IF(DATOS_[[Sexo]:[Sexo]]=$B67,IF(DATOS_[[AGRUP. VALOR. PTO.]:[AGRUP. VALOR. PTO.]]=$B66,IF(DATOS_[[Check Periodo Ref.]:[Check Periodo Ref.]]="Dentro",IF(DATOS_[[Check Equiparado]:[Check Equiparado]]="Sí",IF(DATOS!BI$4="Sí",(1/DATOS_[[% anualiz]:[% anualiz]]),1)*IF(DATOS!BI$5="Sí",1/DATOS_[[% normaliz]:[% normaliz]],1)*(DATOS_[C.Extra.01])))))))), 0)</f>
        <v>0</v>
      </c>
      <c r="AQ67" s="303" t="n">
        <f aca="false" t="array" ref="AQ67:AQ67">IFERROR( (AVERAGE((IF(DATOS_[[Sexo]:[Sexo]]=$B67,IF(DATOS_[[AGRUP. VALOR. PTO.]:[AGRUP. VALOR. PTO.]]=$B66,IF(DATOS_[[Check Periodo Ref.]:[Check Periodo Ref.]]="Dentro",IF(DATOS_[[Check Equiparado]:[Check Equiparado]]="Sí",IF(DATOS!BJ$4="Sí",(1/DATOS_[[% anualiz]:[% anualiz]]),1)*IF(DATOS!BJ$5="Sí",1/DATOS_[[% normaliz]:[% normaliz]],1)*(DATOS_[C.Extra.02])))))))), 0)</f>
        <v>0</v>
      </c>
      <c r="AR67" s="303" t="n">
        <f aca="false" t="array" ref="AR67:AR67">IFERROR( (AVERAGE((IF(DATOS_[[Sexo]:[Sexo]]=$B67,IF(DATOS_[[AGRUP. VALOR. PTO.]:[AGRUP. VALOR. PTO.]]=$B66,IF(DATOS_[[Check Periodo Ref.]:[Check Periodo Ref.]]="Dentro",IF(DATOS_[[Check Equiparado]:[Check Equiparado]]="Sí",IF(DATOS!BK$4="Sí",(1/DATOS_[[% anualiz]:[% anualiz]]),1)*IF(DATOS!BK$5="Sí",1/DATOS_[[% normaliz]:[% normaliz]],1)*(DATOS_[C.Extra.03])))))))), 0)</f>
        <v>0</v>
      </c>
      <c r="AS67" s="303" t="n">
        <f aca="false" t="array" ref="AS67:AS67">IFERROR( (AVERAGE((IF(DATOS_[[Sexo]:[Sexo]]=$B67,IF(DATOS_[[AGRUP. VALOR. PTO.]:[AGRUP. VALOR. PTO.]]=$B66,IF(DATOS_[[Check Periodo Ref.]:[Check Periodo Ref.]]="Dentro",IF(DATOS_[[Check Equiparado]:[Check Equiparado]]="Sí",IF(DATOS!BL$4="Sí",(1/DATOS_[[% anualiz]:[% anualiz]]),1)*IF(DATOS!BL$5="Sí",1/DATOS_[[% normaliz]:[% normaliz]],1)*(DATOS_[C.Extra.04])))))))), 0)</f>
        <v>0</v>
      </c>
      <c r="AT67" s="303" t="n">
        <f aca="false" t="array" ref="AT67:AT67">IFERROR( (AVERAGE((IF(DATOS_[[Sexo]:[Sexo]]=$B67,IF(DATOS_[[AGRUP. VALOR. PTO.]:[AGRUP. VALOR. PTO.]]=$B66,IF(DATOS_[[Check Periodo Ref.]:[Check Periodo Ref.]]="Dentro",IF(DATOS_[[Check Equiparado]:[Check Equiparado]]="Sí",IF(DATOS!BM$4="Sí",(1/DATOS_[[% anualiz]:[% anualiz]]),1)*IF(DATOS!BM$5="Sí",1/DATOS_[[% normaliz]:[% normaliz]],1)*(DATOS_[C.Extra.05])))))))), 0)</f>
        <v>0</v>
      </c>
      <c r="AU67" s="297" t="n">
        <f aca="false" t="array" ref="AU67:AU67">IFERROR( AVERAGE(IF(DATOS_[Sexo]=$B67,IF(DATOS_[[AGRUP. VALOR. PTO.]:[AGRUP. VALOR. PTO.]]=$B66,IF(DATOS_[Check Equiparado]="Sí",IF(DATOS_[Check Periodo Ref.]="Dentro",DATOS_[Tot Extrasalarial Eq],0))))), 0)</f>
        <v>0</v>
      </c>
      <c r="AV67" s="298" t="n">
        <f aca="false" t="array" ref="AV67:AV67">IFERROR( AVERAGE(IF(DATOS_[Sexo]=$B67,IF(DATOS_[[AGRUP. VALOR. PTO.]:[AGRUP. VALOR. PTO.]]=$B66,IF(DATOS_[Check Equiparado]="Sí",IF(DATOS_[Check Periodo Ref.]="Dentro",DATOS_[TOTAL Retrib Eq],0))))), 0)</f>
        <v>0</v>
      </c>
    </row>
    <row r="68" customFormat="false" ht="14.25" hidden="false" customHeight="false" outlineLevel="0" collapsed="false">
      <c r="A68" s="166" t="str">
        <f aca="false">+A67</f>
        <v>[ocultar]</v>
      </c>
      <c r="B68" s="289" t="s">
        <v>372</v>
      </c>
      <c r="C68" s="290" t="n">
        <f aca="false" t="array" ref="C68:C68">SUM(IF($B68=DATOS_[Sexo], IF($B66=DATOS_[AGRUP. VALOR. PTO.], IF("Dentro"=DATOS_[Check Periodo Ref.], 1/(COUNTIFS(DATOS_[Sexo],$B68,DATOS_[AGRUP. VALOR. PTO.],$B66,DATOS_[Check Periodo Ref.],"Dentro",DATOS_[id],DATOS_[id]))))))</f>
        <v>0</v>
      </c>
      <c r="D68" s="291" t="n">
        <f aca="false">COUNTIFS(DATOS_[AGRUP. VALOR. PTO.],$B66,DATOS_[Sexo],$B68,DATOS_[Check Periodo Ref.],"Dentro")</f>
        <v>0</v>
      </c>
      <c r="E68" s="291" t="n">
        <f aca="false">COUNTIFS(DATOS_[AGRUP. VALOR. PTO.],$B66,DATOS_[Sexo],$B68,DATOS_[Check Periodo Ref.],"Dentro",DATOS_[Check Nº SC Norm],"Sí")</f>
        <v>0</v>
      </c>
      <c r="F68" s="291" t="n">
        <f aca="false">COUNTIFS(DATOS_[AGRUP. VALOR. PTO.],$B66,DATOS_[Sexo],$B68,DATOS_[Check Periodo Ref.],"Dentro",DATOS_[Check Nº SC Anualiz],"Sí")</f>
        <v>0</v>
      </c>
      <c r="G68" s="291" t="n">
        <f aca="false">COUNTIFS(DATOS_[AGRUP. VALOR. PTO.],$B66,DATOS_[Sexo],$B68,DATOS_[Check Periodo Ref.],"Dentro",DATOS_[Check Nº SC Norm y Anualiz],"Sí")</f>
        <v>0</v>
      </c>
      <c r="H68" s="291" t="n">
        <f aca="false">COUNTIFS(DATOS_[AGRUP. VALOR. PTO.],$B66,DATOS_[Sexo],$B68,DATOS_[Check Periodo Ref.],"Dentro",DATOS_[Check Equiparación],"Sí")</f>
        <v>0</v>
      </c>
      <c r="I68" s="292" t="n">
        <f aca="false" t="array" ref="I68:I68">IFERROR( AVERAGE(IF(DATOS_[Sexo]=$B68,IF(DATOS_[[AGRUP. VALOR. PTO.]:[AGRUP. VALOR. PTO.]]=$B66,IF(DATOS_[Check Equiparado]="Sí",IF(DATOS_[Check Periodo Ref.]="Dentro",DATOS_[SALARIO BASE Eq],0))))), 0)</f>
        <v>0</v>
      </c>
      <c r="J68" s="302" t="n">
        <f aca="false" t="array" ref="J68:J68">IFERROR( (AVERAGE((IF(DATOS_[[Sexo]:[Sexo]]=$B68,IF(DATOS_[[AGRUP. VALOR. PTO.]:[AGRUP. VALOR. PTO.]]=$B66,IF(DATOS_[[Check Periodo Ref.]:[Check Periodo Ref.]]="Dentro",IF(DATOS_[[Check Equiparado]:[Check Equiparado]]="Sí",IF(DATOS!AE$4="Sí",(1/DATOS_[[% anualiz]:[% anualiz]]),1)*IF(DATOS!AE$5="Sí",1/DATOS_[[% normaliz]:[% normaliz]],1)*(DATOS_[Conc.Sal.01])))))))), 0)</f>
        <v>0</v>
      </c>
      <c r="K68" s="302" t="n">
        <f aca="false" t="array" ref="K68:K68">IFERROR( (AVERAGE((IF(DATOS_[[Sexo]:[Sexo]]=$B68,IF(DATOS_[[AGRUP. VALOR. PTO.]:[AGRUP. VALOR. PTO.]]=$B66,IF(DATOS_[[Check Periodo Ref.]:[Check Periodo Ref.]]="Dentro",IF(DATOS_[[Check Equiparado]:[Check Equiparado]]="Sí",IF(DATOS!AF$4="Sí",(1/DATOS_[[% anualiz]:[% anualiz]]),1)*IF(DATOS!AF$5="Sí",1/DATOS_[[% normaliz]:[% normaliz]],1)*(DATOS_[Conc.Sal.02])))))))), 0)</f>
        <v>0</v>
      </c>
      <c r="L68" s="302" t="n">
        <f aca="false" t="array" ref="L68:L68">IFERROR( (AVERAGE((IF(DATOS_[[Sexo]:[Sexo]]=$B68,IF(DATOS_[[AGRUP. VALOR. PTO.]:[AGRUP. VALOR. PTO.]]=$B66,IF(DATOS_[[Check Periodo Ref.]:[Check Periodo Ref.]]="Dentro",IF(DATOS_[[Check Equiparado]:[Check Equiparado]]="Sí",IF(DATOS!AG$4="Sí",(1/DATOS_[[% anualiz]:[% anualiz]]),1)*IF(DATOS!AG$5="Sí",1/DATOS_[[% normaliz]:[% normaliz]],1)*(DATOS_[Conc.Sal.03])))))))), 0)</f>
        <v>0</v>
      </c>
      <c r="M68" s="302" t="n">
        <f aca="false" t="array" ref="M68:M68">IFERROR( (AVERAGE((IF(DATOS_[[Sexo]:[Sexo]]=$B68,IF(DATOS_[[AGRUP. VALOR. PTO.]:[AGRUP. VALOR. PTO.]]=$B66,IF(DATOS_[[Check Periodo Ref.]:[Check Periodo Ref.]]="Dentro",IF(DATOS_[[Check Equiparado]:[Check Equiparado]]="Sí",IF(DATOS!AH$4="Sí",(1/DATOS_[[% anualiz]:[% anualiz]]),1)*IF(DATOS!AH$5="Sí",1/DATOS_[[% normaliz]:[% normaliz]],1)*(DATOS_[Conc.Sal.04])))))))), 0)</f>
        <v>0</v>
      </c>
      <c r="N68" s="302" t="n">
        <f aca="false" t="array" ref="N68:N68">IFERROR( (AVERAGE((IF(DATOS_[[Sexo]:[Sexo]]=$B68,IF(DATOS_[[AGRUP. VALOR. PTO.]:[AGRUP. VALOR. PTO.]]=$B66,IF(DATOS_[[Check Periodo Ref.]:[Check Periodo Ref.]]="Dentro",IF(DATOS_[[Check Equiparado]:[Check Equiparado]]="Sí",IF(DATOS!AI$4="Sí",(1/DATOS_[[% anualiz]:[% anualiz]]),1)*IF(DATOS!AI$5="Sí",1/DATOS_[[% normaliz]:[% normaliz]],1)*(DATOS_[Conc.Sal.05])))))))), 0)</f>
        <v>0</v>
      </c>
      <c r="O68" s="302" t="n">
        <f aca="false" t="array" ref="O68:O68">IFERROR( (AVERAGE((IF(DATOS_[[Sexo]:[Sexo]]=$B68,IF(DATOS_[[AGRUP. VALOR. PTO.]:[AGRUP. VALOR. PTO.]]=$B66,IF(DATOS_[[Check Periodo Ref.]:[Check Periodo Ref.]]="Dentro",IF(DATOS_[[Check Equiparado]:[Check Equiparado]]="Sí",IF(DATOS!AJ$4="Sí",(1/DATOS_[[% anualiz]:[% anualiz]]),1)*IF(DATOS!AJ$5="Sí",1/DATOS_[[% normaliz]:[% normaliz]],1)*(DATOS_[Conc.Sal.06])))))))), 0)</f>
        <v>0</v>
      </c>
      <c r="P68" s="302" t="n">
        <f aca="false" t="array" ref="P68:P68">IFERROR( (AVERAGE((IF(DATOS_[[Sexo]:[Sexo]]=$B68,IF(DATOS_[[AGRUP. VALOR. PTO.]:[AGRUP. VALOR. PTO.]]=$B66,IF(DATOS_[[Check Periodo Ref.]:[Check Periodo Ref.]]="Dentro",IF(DATOS_[[Check Equiparado]:[Check Equiparado]]="Sí",IF(DATOS!AK$4="Sí",(1/DATOS_[[% anualiz]:[% anualiz]]),1)*IF(DATOS!AK$5="Sí",1/DATOS_[[% normaliz]:[% normaliz]],1)*(DATOS_[Conc.Sal.07])))))))), 0)</f>
        <v>0</v>
      </c>
      <c r="Q68" s="302" t="n">
        <f aca="false" t="array" ref="Q68:Q68">IFERROR( (AVERAGE((IF(DATOS_[[Sexo]:[Sexo]]=$B68,IF(DATOS_[[AGRUP. VALOR. PTO.]:[AGRUP. VALOR. PTO.]]=$B66,IF(DATOS_[[Check Periodo Ref.]:[Check Periodo Ref.]]="Dentro",IF(DATOS_[[Check Equiparado]:[Check Equiparado]]="Sí",IF(DATOS!AL$4="Sí",(1/DATOS_[[% anualiz]:[% anualiz]]),1)*IF(DATOS!AL$5="Sí",1/DATOS_[[% normaliz]:[% normaliz]],1)*(DATOS_[Conc.Sal.08])))))))), 0)</f>
        <v>0</v>
      </c>
      <c r="R68" s="302" t="n">
        <f aca="false" t="array" ref="R68:R68">IFERROR( (AVERAGE((IF(DATOS_[[Sexo]:[Sexo]]=$B68,IF(DATOS_[[AGRUP. VALOR. PTO.]:[AGRUP. VALOR. PTO.]]=$B66,IF(DATOS_[[Check Periodo Ref.]:[Check Periodo Ref.]]="Dentro",IF(DATOS_[[Check Equiparado]:[Check Equiparado]]="Sí",IF(DATOS!AM$4="Sí",(1/DATOS_[[% anualiz]:[% anualiz]]),1)*IF(DATOS!AM$5="Sí",1/DATOS_[[% normaliz]:[% normaliz]],1)*(DATOS_[Conc.Sal.09])))))))), 0)</f>
        <v>0</v>
      </c>
      <c r="S68" s="302" t="n">
        <f aca="false" t="array" ref="S68:S68">IFERROR( (AVERAGE((IF(DATOS_[[Sexo]:[Sexo]]=$B68,IF(DATOS_[[AGRUP. VALOR. PTO.]:[AGRUP. VALOR. PTO.]]=$B66,IF(DATOS_[[Check Periodo Ref.]:[Check Periodo Ref.]]="Dentro",IF(DATOS_[[Check Equiparado]:[Check Equiparado]]="Sí",IF(DATOS!AN$4="Sí",(1/DATOS_[[% anualiz]:[% anualiz]]),1)*IF(DATOS!AN$5="Sí",1/DATOS_[[% normaliz]:[% normaliz]],1)*(DATOS_[Conc.Sal.10])))))))), 0)</f>
        <v>0</v>
      </c>
      <c r="T68" s="302" t="n">
        <f aca="false" t="array" ref="T68:T68">IFERROR( (AVERAGE((IF(DATOS_[[Sexo]:[Sexo]]=$B68,IF(DATOS_[[AGRUP. VALOR. PTO.]:[AGRUP. VALOR. PTO.]]=$B66,IF(DATOS_[[Check Periodo Ref.]:[Check Periodo Ref.]]="Dentro",IF(DATOS_[[Check Equiparado]:[Check Equiparado]]="Sí",IF(DATOS!AO$4="Sí",(1/DATOS_[[% anualiz]:[% anualiz]]),1)*IF(DATOS!AO$5="Sí",1/DATOS_[[% normaliz]:[% normaliz]],1)*(DATOS_[Conc.Sal.11])))))))), 0)</f>
        <v>0</v>
      </c>
      <c r="U68" s="302" t="n">
        <f aca="false" t="array" ref="U68:U68">IFERROR( (AVERAGE((IF(DATOS_[[Sexo]:[Sexo]]=$B68,IF(DATOS_[[AGRUP. VALOR. PTO.]:[AGRUP. VALOR. PTO.]]=$B66,IF(DATOS_[[Check Periodo Ref.]:[Check Periodo Ref.]]="Dentro",IF(DATOS_[[Check Equiparado]:[Check Equiparado]]="Sí",IF(DATOS!AP$4="Sí",(1/DATOS_[[% anualiz]:[% anualiz]]),1)*IF(DATOS!AP$5="Sí",1/DATOS_[[% normaliz]:[% normaliz]],1)*(DATOS_[Conc.Sal.12])))))))), 0)</f>
        <v>0</v>
      </c>
      <c r="V68" s="302" t="n">
        <f aca="false" t="array" ref="V68:V68">IFERROR( (AVERAGE((IF(DATOS_[[Sexo]:[Sexo]]=$B68,IF(DATOS_[[AGRUP. VALOR. PTO.]:[AGRUP. VALOR. PTO.]]=$B66,IF(DATOS_[[Check Periodo Ref.]:[Check Periodo Ref.]]="Dentro",IF(DATOS_[[Check Equiparado]:[Check Equiparado]]="Sí",IF(DATOS!AQ$4="Sí",(1/DATOS_[[% anualiz]:[% anualiz]]),1)*IF(DATOS!AQ$5="Sí",1/DATOS_[[% normaliz]:[% normaliz]],1)*(DATOS_[Conc.Sal.13])))))))), 0)</f>
        <v>0</v>
      </c>
      <c r="W68" s="302" t="n">
        <f aca="false" t="array" ref="W68:W68">IFERROR( (AVERAGE((IF(DATOS_[[Sexo]:[Sexo]]=$B68,IF(DATOS_[[AGRUP. VALOR. PTO.]:[AGRUP. VALOR. PTO.]]=$B66,IF(DATOS_[[Check Periodo Ref.]:[Check Periodo Ref.]]="Dentro",IF(DATOS_[[Check Equiparado]:[Check Equiparado]]="Sí",IF(DATOS!AR$4="Sí",(1/DATOS_[[% anualiz]:[% anualiz]]),1)*IF(DATOS!AR$5="Sí",1/DATOS_[[% normaliz]:[% normaliz]],1)*(DATOS_[Conc.Sal.14])))))))), 0)</f>
        <v>0</v>
      </c>
      <c r="X68" s="302" t="n">
        <f aca="false" t="array" ref="X68:X68">IFERROR( (AVERAGE((IF(DATOS_[[Sexo]:[Sexo]]=$B68,IF(DATOS_[[AGRUP. VALOR. PTO.]:[AGRUP. VALOR. PTO.]]=$B66,IF(DATOS_[[Check Periodo Ref.]:[Check Periodo Ref.]]="Dentro",IF(DATOS_[[Check Equiparado]:[Check Equiparado]]="Sí",IF(DATOS!AS$4="Sí",(1/DATOS_[[% anualiz]:[% anualiz]]),1)*IF(DATOS!AS$5="Sí",1/DATOS_[[% normaliz]:[% normaliz]],1)*(DATOS_[Conc.Sal.15])))))))), 0)</f>
        <v>0</v>
      </c>
      <c r="Y68" s="302" t="n">
        <f aca="false" t="array" ref="Y68:Y68">IFERROR( (AVERAGE((IF(DATOS_[[Sexo]:[Sexo]]=$B68,IF(DATOS_[[AGRUP. VALOR. PTO.]:[AGRUP. VALOR. PTO.]]=$B66,IF(DATOS_[[Check Periodo Ref.]:[Check Periodo Ref.]]="Dentro",IF(DATOS_[[Check Equiparado]:[Check Equiparado]]="Sí",IF(DATOS!AT$4="Sí",(1/DATOS_[[% anualiz]:[% anualiz]]),1)*IF(DATOS!AT$5="Sí",1/DATOS_[[% normaliz]:[% normaliz]],1)*(DATOS_[Conc.Sal.16])))))))), 0)</f>
        <v>0</v>
      </c>
      <c r="Z68" s="302" t="n">
        <f aca="false" t="array" ref="Z68:Z68">IFERROR( (AVERAGE((IF(DATOS_[[Sexo]:[Sexo]]=$B68,IF(DATOS_[[AGRUP. VALOR. PTO.]:[AGRUP. VALOR. PTO.]]=$B66,IF(DATOS_[[Check Periodo Ref.]:[Check Periodo Ref.]]="Dentro",IF(DATOS_[[Check Equiparado]:[Check Equiparado]]="Sí",IF(DATOS!AU$4="Sí",(1/DATOS_[[% anualiz]:[% anualiz]]),1)*IF(DATOS!AU$5="Sí",1/DATOS_[[% normaliz]:[% normaliz]],1)*(DATOS_[Conc.Sal.17])))))))), 0)</f>
        <v>0</v>
      </c>
      <c r="AA68" s="302" t="n">
        <f aca="false" t="array" ref="AA68:AA68">IFERROR( (AVERAGE((IF(DATOS_[[Sexo]:[Sexo]]=$B68,IF(DATOS_[[AGRUP. VALOR. PTO.]:[AGRUP. VALOR. PTO.]]=$B66,IF(DATOS_[[Check Periodo Ref.]:[Check Periodo Ref.]]="Dentro",IF(DATOS_[[Check Equiparado]:[Check Equiparado]]="Sí",IF(DATOS!AV$4="Sí",(1/DATOS_[[% anualiz]:[% anualiz]]),1)*IF(DATOS!AV$5="Sí",1/DATOS_[[% normaliz]:[% normaliz]],1)*(DATOS_[Conc.Sal.18])))))))), 0)</f>
        <v>0</v>
      </c>
      <c r="AB68" s="302" t="n">
        <f aca="false" t="array" ref="AB68:AB68">IFERROR( (AVERAGE((IF(DATOS_[[Sexo]:[Sexo]]=$B68,IF(DATOS_[[AGRUP. VALOR. PTO.]:[AGRUP. VALOR. PTO.]]=$B66,IF(DATOS_[[Check Periodo Ref.]:[Check Periodo Ref.]]="Dentro",IF(DATOS_[[Check Equiparado]:[Check Equiparado]]="Sí",IF(DATOS!AW$4="Sí",(1/DATOS_[[% anualiz]:[% anualiz]]),1)*IF(DATOS!AW$5="Sí",1/DATOS_[[% normaliz]:[% normaliz]],1)*(DATOS_[Conc.Sal.19])))))))), 0)</f>
        <v>0</v>
      </c>
      <c r="AC68" s="302" t="n">
        <f aca="false" t="array" ref="AC68:AC68">IFERROR( (AVERAGE((IF(DATOS_[[Sexo]:[Sexo]]=$B68,IF(DATOS_[[AGRUP. VALOR. PTO.]:[AGRUP. VALOR. PTO.]]=$B66,IF(DATOS_[[Check Periodo Ref.]:[Check Periodo Ref.]]="Dentro",IF(DATOS_[[Check Equiparado]:[Check Equiparado]]="Sí",IF(DATOS!AX$4="Sí",(1/DATOS_[[% anualiz]:[% anualiz]]),1)*IF(DATOS!AX$5="Sí",1/DATOS_[[% normaliz]:[% normaliz]],1)*(DATOS_[Conc.Sal.20])))))))), 0)</f>
        <v>0</v>
      </c>
      <c r="AD68" s="302" t="n">
        <f aca="false" t="array" ref="AD68:AD68">IFERROR( (AVERAGE((IF(DATOS_[[Sexo]:[Sexo]]=$B68,IF(DATOS_[[AGRUP. VALOR. PTO.]:[AGRUP. VALOR. PTO.]]=$B66,IF(DATOS_[[Check Periodo Ref.]:[Check Periodo Ref.]]="Dentro",IF(DATOS_[[Check Equiparado]:[Check Equiparado]]="Sí",IF(DATOS!AY$4="Sí",(1/DATOS_[[% anualiz]:[% anualiz]]),1)*IF(DATOS!AY$5="Sí",1/DATOS_[[% normaliz]:[% normaliz]],1)*(DATOS_[Conc.Sal.21])))))))), 0)</f>
        <v>0</v>
      </c>
      <c r="AE68" s="302" t="n">
        <f aca="false" t="array" ref="AE68:AE68">IFERROR( (AVERAGE((IF(DATOS_[[Sexo]:[Sexo]]=$B68,IF(DATOS_[[AGRUP. VALOR. PTO.]:[AGRUP. VALOR. PTO.]]=$B66,IF(DATOS_[[Check Periodo Ref.]:[Check Periodo Ref.]]="Dentro",IF(DATOS_[[Check Equiparado]:[Check Equiparado]]="Sí",IF(DATOS!AZ$4="Sí",(1/DATOS_[[% anualiz]:[% anualiz]]),1)*IF(DATOS!AZ$5="Sí",1/DATOS_[[% normaliz]:[% normaliz]],1)*(DATOS_[Conc.Sal.22])))))))), 0)</f>
        <v>0</v>
      </c>
      <c r="AF68" s="302" t="n">
        <f aca="false" t="array" ref="AF68:AF68">IFERROR( (AVERAGE((IF(DATOS_[[Sexo]:[Sexo]]=$B68,IF(DATOS_[[AGRUP. VALOR. PTO.]:[AGRUP. VALOR. PTO.]]=$B66,IF(DATOS_[[Check Periodo Ref.]:[Check Periodo Ref.]]="Dentro",IF(DATOS_[[Check Equiparado]:[Check Equiparado]]="Sí",IF(DATOS!BA$4="Sí",(1/DATOS_[[% anualiz]:[% anualiz]]),1)*IF(DATOS!BA$5="Sí",1/DATOS_[[% normaliz]:[% normaliz]],1)*(DATOS_[Conc.Sal.23])))))))), 0)</f>
        <v>0</v>
      </c>
      <c r="AG68" s="302" t="n">
        <f aca="false" t="array" ref="AG68:AG68">IFERROR( (AVERAGE((IF(DATOS_[[Sexo]:[Sexo]]=$B68,IF(DATOS_[[AGRUP. VALOR. PTO.]:[AGRUP. VALOR. PTO.]]=$B66,IF(DATOS_[[Check Periodo Ref.]:[Check Periodo Ref.]]="Dentro",IF(DATOS_[[Check Equiparado]:[Check Equiparado]]="Sí",IF(DATOS!BB$4="Sí",(1/DATOS_[[% anualiz]:[% anualiz]]),1)*IF(DATOS!BB$5="Sí",1/DATOS_[[% normaliz]:[% normaliz]],1)*(DATOS_[Conc.Sal.24])))))))), 0)</f>
        <v>0</v>
      </c>
      <c r="AH68" s="302" t="n">
        <f aca="false" t="array" ref="AH68:AH68">IFERROR( (AVERAGE((IF(DATOS_[[Sexo]:[Sexo]]=$B68,IF(DATOS_[[AGRUP. VALOR. PTO.]:[AGRUP. VALOR. PTO.]]=$B66,IF(DATOS_[[Check Periodo Ref.]:[Check Periodo Ref.]]="Dentro",IF(DATOS_[[Check Equiparado]:[Check Equiparado]]="Sí",IF(DATOS!BC$4="Sí",(1/DATOS_[[% anualiz]:[% anualiz]]),1)*IF(DATOS!BC$5="Sí",1/DATOS_[[% normaliz]:[% normaliz]],1)*(DATOS_[Conc.Sal.25])))))))), 0)</f>
        <v>0</v>
      </c>
      <c r="AI68" s="302" t="n">
        <f aca="false" t="array" ref="AI68:AI68">IFERROR( (AVERAGE((IF(DATOS_[[Sexo]:[Sexo]]=$B68,IF(DATOS_[[AGRUP. VALOR. PTO.]:[AGRUP. VALOR. PTO.]]=$B66,IF(DATOS_[[Check Periodo Ref.]:[Check Periodo Ref.]]="Dentro",IF(DATOS_[[Check Equiparado]:[Check Equiparado]]="Sí",IF(DATOS!BD$4="Sí",(1/DATOS_[[% anualiz]:[% anualiz]]),1)*IF(DATOS!BD$5="Sí",1/DATOS_[[% normaliz]:[% normaliz]],1)*(DATOS_[Conc.Sal.26])))))))), 0)</f>
        <v>0</v>
      </c>
      <c r="AJ68" s="302" t="n">
        <f aca="false" t="array" ref="AJ68:AJ68">IFERROR( (AVERAGE((IF(DATOS_[[Sexo]:[Sexo]]=$B68,IF(DATOS_[[AGRUP. VALOR. PTO.]:[AGRUP. VALOR. PTO.]]=$B66,IF(DATOS_[[Check Periodo Ref.]:[Check Periodo Ref.]]="Dentro",IF(DATOS_[[Check Equiparado]:[Check Equiparado]]="Sí",IF(DATOS!BE$4="Sí",(1/DATOS_[[% anualiz]:[% anualiz]]),1)*IF(DATOS!BE$5="Sí",1/DATOS_[[% normaliz]:[% normaliz]],1)*(DATOS_[Conc.Sal.27])))))))), 0)</f>
        <v>0</v>
      </c>
      <c r="AK68" s="302" t="n">
        <f aca="false" t="array" ref="AK68:AK68">IFERROR( (AVERAGE((IF(DATOS_[[Sexo]:[Sexo]]=$B68,IF(DATOS_[[AGRUP. VALOR. PTO.]:[AGRUP. VALOR. PTO.]]=$B66,IF(DATOS_[[Check Periodo Ref.]:[Check Periodo Ref.]]="Dentro",IF(DATOS_[[Check Equiparado]:[Check Equiparado]]="Sí",IF(DATOS!BF$4="Sí",(1/DATOS_[[% anualiz]:[% anualiz]]),1)*IF(DATOS!BF$5="Sí",1/DATOS_[[% normaliz]:[% normaliz]],1)*(DATOS_[Conc.Sal.28])))))))), 0)</f>
        <v>0</v>
      </c>
      <c r="AL68" s="302" t="n">
        <f aca="false" t="array" ref="AL68:AL68">IFERROR( (AVERAGE((IF(DATOS_[[Sexo]:[Sexo]]=$B68,IF(DATOS_[[AGRUP. VALOR. PTO.]:[AGRUP. VALOR. PTO.]]=$B66,IF(DATOS_[[Check Periodo Ref.]:[Check Periodo Ref.]]="Dentro",IF(DATOS_[[Check Equiparado]:[Check Equiparado]]="Sí",IF(DATOS!BG$4="Sí",(1/DATOS_[[% anualiz]:[% anualiz]]),1)*IF(DATOS!BG$5="Sí",1/DATOS_[[% normaliz]:[% normaliz]],1)*(DATOS_[Conc.Sal.29])))))))), 0)</f>
        <v>0</v>
      </c>
      <c r="AM68" s="302" t="n">
        <f aca="false" t="array" ref="AM68:AM68">IFERROR( (AVERAGE((IF(DATOS_[[Sexo]:[Sexo]]=$B68,IF(DATOS_[[AGRUP. VALOR. PTO.]:[AGRUP. VALOR. PTO.]]=$B66,IF(DATOS_[[Check Periodo Ref.]:[Check Periodo Ref.]]="Dentro",IF(DATOS_[[Check Equiparado]:[Check Equiparado]]="Sí",IF(DATOS!BH$4="Sí",(1/DATOS_[[% anualiz]:[% anualiz]]),1)*IF(DATOS!BH$5="Sí",1/DATOS_[[% normaliz]:[% normaliz]],1)*(DATOS_[Conc.Sal.30])))))))), 0)</f>
        <v>0</v>
      </c>
      <c r="AN68" s="294" t="n">
        <f aca="false" t="array" ref="AN68:AN68">IFERROR( AVERAGE(IF(DATOS_[Sexo]=$B68,IF(DATOS_[[AGRUP. VALOR. PTO.]:[AGRUP. VALOR. PTO.]]=$B66,IF(DATOS_[Check Equiparado]="Sí",IF(DATOS_[Check Periodo Ref.]="Dentro",DATOS_[Tot COMPL.SAL Eq],0))))), 0)</f>
        <v>0</v>
      </c>
      <c r="AO68" s="295" t="n">
        <f aca="false" t="array" ref="AO68:AO68">IFERROR( AVERAGE(IF(DATOS_[Sexo]=$B68,IF(DATOS_[[AGRUP. VALOR. PTO.]:[AGRUP. VALOR. PTO.]]=$B66,IF(DATOS_[Check Equiparado]="Sí",IF(DATOS_[Check Periodo Ref.]="Dentro",DATOS_[TOTAL SALARIO Eq],0))))), 0)</f>
        <v>0</v>
      </c>
      <c r="AP68" s="303" t="n">
        <f aca="false" t="array" ref="AP68:AP68">IFERROR( (AVERAGE((IF(DATOS_[[Sexo]:[Sexo]]=$B68,IF(DATOS_[[AGRUP. VALOR. PTO.]:[AGRUP. VALOR. PTO.]]=$B67,IF(DATOS_[[Check Periodo Ref.]:[Check Periodo Ref.]]="Dentro",IF(DATOS_[[Check Equiparado]:[Check Equiparado]]="Sí",IF(DATOS!BI$4="Sí",(1/DATOS_[[% anualiz]:[% anualiz]]),1)*IF(DATOS!BI$5="Sí",1/DATOS_[[% normaliz]:[% normaliz]],1)*(DATOS_[C.Extra.01])))))))), 0)</f>
        <v>0</v>
      </c>
      <c r="AQ68" s="303" t="n">
        <f aca="false" t="array" ref="AQ68:AQ68">IFERROR( (AVERAGE((IF(DATOS_[[Sexo]:[Sexo]]=$B68,IF(DATOS_[[AGRUP. VALOR. PTO.]:[AGRUP. VALOR. PTO.]]=$B67,IF(DATOS_[[Check Periodo Ref.]:[Check Periodo Ref.]]="Dentro",IF(DATOS_[[Check Equiparado]:[Check Equiparado]]="Sí",IF(DATOS!BJ$4="Sí",(1/DATOS_[[% anualiz]:[% anualiz]]),1)*IF(DATOS!BJ$5="Sí",1/DATOS_[[% normaliz]:[% normaliz]],1)*(DATOS_[C.Extra.02])))))))), 0)</f>
        <v>0</v>
      </c>
      <c r="AR68" s="303" t="n">
        <f aca="false" t="array" ref="AR68:AR68">IFERROR( (AVERAGE((IF(DATOS_[[Sexo]:[Sexo]]=$B68,IF(DATOS_[[AGRUP. VALOR. PTO.]:[AGRUP. VALOR. PTO.]]=$B67,IF(DATOS_[[Check Periodo Ref.]:[Check Periodo Ref.]]="Dentro",IF(DATOS_[[Check Equiparado]:[Check Equiparado]]="Sí",IF(DATOS!BK$4="Sí",(1/DATOS_[[% anualiz]:[% anualiz]]),1)*IF(DATOS!BK$5="Sí",1/DATOS_[[% normaliz]:[% normaliz]],1)*(DATOS_[C.Extra.03])))))))), 0)</f>
        <v>0</v>
      </c>
      <c r="AS68" s="303" t="n">
        <f aca="false" t="array" ref="AS68:AS68">IFERROR( (AVERAGE((IF(DATOS_[[Sexo]:[Sexo]]=$B68,IF(DATOS_[[AGRUP. VALOR. PTO.]:[AGRUP. VALOR. PTO.]]=$B67,IF(DATOS_[[Check Periodo Ref.]:[Check Periodo Ref.]]="Dentro",IF(DATOS_[[Check Equiparado]:[Check Equiparado]]="Sí",IF(DATOS!BL$4="Sí",(1/DATOS_[[% anualiz]:[% anualiz]]),1)*IF(DATOS!BL$5="Sí",1/DATOS_[[% normaliz]:[% normaliz]],1)*(DATOS_[C.Extra.04])))))))), 0)</f>
        <v>0</v>
      </c>
      <c r="AT68" s="303" t="n">
        <f aca="false" t="array" ref="AT68:AT68">IFERROR( (AVERAGE((IF(DATOS_[[Sexo]:[Sexo]]=$B68,IF(DATOS_[[AGRUP. VALOR. PTO.]:[AGRUP. VALOR. PTO.]]=$B67,IF(DATOS_[[Check Periodo Ref.]:[Check Periodo Ref.]]="Dentro",IF(DATOS_[[Check Equiparado]:[Check Equiparado]]="Sí",IF(DATOS!BM$4="Sí",(1/DATOS_[[% anualiz]:[% anualiz]]),1)*IF(DATOS!BM$5="Sí",1/DATOS_[[% normaliz]:[% normaliz]],1)*(DATOS_[C.Extra.05])))))))), 0)</f>
        <v>0</v>
      </c>
      <c r="AU68" s="297" t="n">
        <f aca="false" t="array" ref="AU68:AU68">IFERROR( AVERAGE(IF(DATOS_[Sexo]=$B68,IF(DATOS_[[AGRUP. VALOR. PTO.]:[AGRUP. VALOR. PTO.]]=$B66,IF(DATOS_[Check Equiparado]="Sí",IF(DATOS_[Check Periodo Ref.]="Dentro",DATOS_[Tot Extrasalarial Eq],0))))), 0)</f>
        <v>0</v>
      </c>
      <c r="AV68" s="298" t="n">
        <f aca="false" t="array" ref="AV68:AV68">IFERROR( AVERAGE(IF(DATOS_[Sexo]=$B68,IF(DATOS_[[AGRUP. VALOR. PTO.]:[AGRUP. VALOR. PTO.]]=$B66,IF(DATOS_[Check Equiparado]="Sí",IF(DATOS_[Check Periodo Ref.]="Dentro",DATOS_[TOTAL Retrib Eq],0))))), 0)</f>
        <v>0</v>
      </c>
    </row>
    <row r="69" customFormat="false" ht="15.75" hidden="false" customHeight="false" outlineLevel="0" collapsed="false">
      <c r="A69" s="166" t="str">
        <f aca="false">+A70</f>
        <v>[ocultar]</v>
      </c>
      <c r="B69" s="276" t="s">
        <v>223</v>
      </c>
      <c r="C69" s="277"/>
      <c r="D69" s="278"/>
      <c r="E69" s="278"/>
      <c r="F69" s="278"/>
      <c r="G69" s="278"/>
      <c r="H69" s="278"/>
      <c r="I69" s="279" t="str">
        <f aca="false">IFERROR((I70-I71)/I70,"")</f>
        <v/>
      </c>
      <c r="J69" s="280" t="str">
        <f aca="false">IFERROR((J70-J71)/J70,"")</f>
        <v/>
      </c>
      <c r="K69" s="281" t="str">
        <f aca="false">IFERROR((K70-K71)/K70,"")</f>
        <v/>
      </c>
      <c r="L69" s="281" t="str">
        <f aca="false">IFERROR((L70-L71)/L70,"")</f>
        <v/>
      </c>
      <c r="M69" s="281" t="str">
        <f aca="false">IFERROR((M70-M71)/M70,"")</f>
        <v/>
      </c>
      <c r="N69" s="282" t="str">
        <f aca="false">IFERROR((N70-N71)/N70,"")</f>
        <v/>
      </c>
      <c r="O69" s="283" t="str">
        <f aca="false">IFERROR((O70-O71)/O70,"")</f>
        <v/>
      </c>
      <c r="P69" s="283" t="str">
        <f aca="false">IFERROR((P70-P71)/P70,"")</f>
        <v/>
      </c>
      <c r="Q69" s="283" t="str">
        <f aca="false">IFERROR((Q70-Q71)/Q70,"")</f>
        <v/>
      </c>
      <c r="R69" s="283" t="str">
        <f aca="false">IFERROR((R70-R71)/R70,"")</f>
        <v/>
      </c>
      <c r="S69" s="283" t="str">
        <f aca="false">IFERROR((S70-S71)/S70,"")</f>
        <v/>
      </c>
      <c r="T69" s="283" t="str">
        <f aca="false">IFERROR((T70-T71)/T70,"")</f>
        <v/>
      </c>
      <c r="U69" s="283" t="str">
        <f aca="false">IFERROR((U70-U71)/U70,"")</f>
        <v/>
      </c>
      <c r="V69" s="283" t="str">
        <f aca="false">IFERROR((V70-V71)/V70,"")</f>
        <v/>
      </c>
      <c r="W69" s="283" t="str">
        <f aca="false">IFERROR((W70-W71)/W70,"")</f>
        <v/>
      </c>
      <c r="X69" s="283" t="str">
        <f aca="false">IFERROR((X70-X71)/X70,"")</f>
        <v/>
      </c>
      <c r="Y69" s="283" t="str">
        <f aca="false">IFERROR((Y70-Y71)/Y70,"")</f>
        <v/>
      </c>
      <c r="Z69" s="282" t="str">
        <f aca="false">IFERROR((Z70-Z71)/Z70,"")</f>
        <v/>
      </c>
      <c r="AA69" s="282" t="str">
        <f aca="false">IFERROR((AA70-AA71)/AA70,"")</f>
        <v/>
      </c>
      <c r="AB69" s="282" t="str">
        <f aca="false">IFERROR((AB70-AB71)/AB70,"")</f>
        <v/>
      </c>
      <c r="AC69" s="282" t="str">
        <f aca="false">IFERROR((AC70-AC71)/AC70,"")</f>
        <v/>
      </c>
      <c r="AD69" s="282" t="str">
        <f aca="false">IFERROR((AD70-AD71)/AD70,"")</f>
        <v/>
      </c>
      <c r="AE69" s="282" t="str">
        <f aca="false">IFERROR((AE70-AE71)/AE70,"")</f>
        <v/>
      </c>
      <c r="AF69" s="282" t="str">
        <f aca="false">IFERROR((AF70-AF71)/AF70,"")</f>
        <v/>
      </c>
      <c r="AG69" s="282" t="str">
        <f aca="false">IFERROR((AG70-AG71)/AG70,"")</f>
        <v/>
      </c>
      <c r="AH69" s="282" t="str">
        <f aca="false">IFERROR((AH70-AH71)/AH70,"")</f>
        <v/>
      </c>
      <c r="AI69" s="282" t="str">
        <f aca="false">IFERROR((AI70-AI71)/AI70,"")</f>
        <v/>
      </c>
      <c r="AJ69" s="282" t="str">
        <f aca="false">IFERROR((AJ70-AJ71)/AJ70,"")</f>
        <v/>
      </c>
      <c r="AK69" s="282" t="str">
        <f aca="false">IFERROR((AK70-AK71)/AK70,"")</f>
        <v/>
      </c>
      <c r="AL69" s="282" t="str">
        <f aca="false">IFERROR((AL70-AL71)/AL70,"")</f>
        <v/>
      </c>
      <c r="AM69" s="282" t="str">
        <f aca="false">IFERROR((AM70-AM71)/AM70,"")</f>
        <v/>
      </c>
      <c r="AN69" s="284" t="str">
        <f aca="false">IFERROR((AN70-AN71)/AN70,"")</f>
        <v/>
      </c>
      <c r="AO69" s="285" t="str">
        <f aca="false">IFERROR((AO70-AO71)/AO70,"")</f>
        <v/>
      </c>
      <c r="AP69" s="286" t="str">
        <f aca="false">IFERROR((AP70-AP71)/AP70,"")</f>
        <v/>
      </c>
      <c r="AQ69" s="286" t="str">
        <f aca="false">IFERROR((AQ70-AQ71)/AQ70,"")</f>
        <v/>
      </c>
      <c r="AR69" s="286" t="str">
        <f aca="false">IFERROR((AR70-AR71)/AR70,"")</f>
        <v/>
      </c>
      <c r="AS69" s="286" t="str">
        <f aca="false">IFERROR((AS70-AS71)/AS70,"")</f>
        <v/>
      </c>
      <c r="AT69" s="286" t="str">
        <f aca="false">IFERROR((AT70-AT71)/AT70,"")</f>
        <v/>
      </c>
      <c r="AU69" s="287" t="str">
        <f aca="false">IFERROR((AU70-AU71)/AU70,"")</f>
        <v/>
      </c>
      <c r="AV69" s="288" t="str">
        <f aca="false">IFERROR((AV70-AV71)/AV70,"")</f>
        <v/>
      </c>
    </row>
    <row r="70" customFormat="false" ht="14.25" hidden="false" customHeight="false" outlineLevel="0" collapsed="false">
      <c r="A70" s="166" t="str">
        <f aca="false">+IF(C70+C71=0,"[ocultar]","")</f>
        <v>[ocultar]</v>
      </c>
      <c r="B70" s="289" t="s">
        <v>371</v>
      </c>
      <c r="C70" s="290" t="n">
        <f aca="false" t="array" ref="C70:C70">SUM(IF($B70=DATOS_[Sexo], IF($B69=DATOS_[AGRUP. VALOR. PTO.], IF("Dentro"=DATOS_[Check Periodo Ref.], 1/(COUNTIFS(DATOS_[Sexo],$B70,DATOS_[AGRUP. VALOR. PTO.],$B69,DATOS_[Check Periodo Ref.],"Dentro",DATOS_[id],DATOS_[id]))))))</f>
        <v>0</v>
      </c>
      <c r="D70" s="291" t="n">
        <f aca="false">COUNTIFS(DATOS_[AGRUP. VALOR. PTO.],$B69,DATOS_[Sexo],$B70,DATOS_[Check Periodo Ref.],"Dentro")</f>
        <v>0</v>
      </c>
      <c r="E70" s="291" t="n">
        <f aca="false">COUNTIFS(DATOS_[AGRUP. VALOR. PTO.],$B69,DATOS_[Sexo],$B70,DATOS_[Check Periodo Ref.],"Dentro",DATOS_[Check Nº SC Norm],"Sí")</f>
        <v>0</v>
      </c>
      <c r="F70" s="291" t="n">
        <f aca="false">COUNTIFS(DATOS_[AGRUP. VALOR. PTO.],$B69,DATOS_[Sexo],$B70,DATOS_[Check Periodo Ref.],"Dentro",DATOS_[Check Nº SC Anualiz],"Sí")</f>
        <v>0</v>
      </c>
      <c r="G70" s="291" t="n">
        <f aca="false">COUNTIFS(DATOS_[AGRUP. VALOR. PTO.],$B69,DATOS_[Sexo],$B70,DATOS_[Check Periodo Ref.],"Dentro",DATOS_[Check Nº SC Norm y Anualiz],"Sí")</f>
        <v>0</v>
      </c>
      <c r="H70" s="291" t="n">
        <f aca="false">COUNTIFS(DATOS_[AGRUP. VALOR. PTO.],$B69,DATOS_[Sexo],$B70,DATOS_[Check Periodo Ref.],"Dentro",DATOS_[Check Equiparación],"Sí")</f>
        <v>0</v>
      </c>
      <c r="I70" s="292" t="n">
        <f aca="false" t="array" ref="I70:I70">IFERROR( AVERAGE(IF(DATOS_[Sexo]=$B70,IF(DATOS_[[AGRUP. VALOR. PTO.]:[AGRUP. VALOR. PTO.]]=$B69,IF(DATOS_[Check Equiparado]="Sí",IF(DATOS_[Check Periodo Ref.]="Dentro",DATOS_[SALARIO BASE Eq],0))))), 0)</f>
        <v>0</v>
      </c>
      <c r="J70" s="302" t="n">
        <f aca="false" t="array" ref="J70:J70">IFERROR( (AVERAGE((IF(DATOS_[[Sexo]:[Sexo]]=$B70,IF(DATOS_[[AGRUP. VALOR. PTO.]:[AGRUP. VALOR. PTO.]]=$B69,IF(DATOS_[[Check Periodo Ref.]:[Check Periodo Ref.]]="Dentro",IF(DATOS_[[Check Equiparado]:[Check Equiparado]]="Sí",IF(DATOS!AE$4="Sí",(1/DATOS_[[% anualiz]:[% anualiz]]),1)*IF(DATOS!AE$5="Sí",1/DATOS_[[% normaliz]:[% normaliz]],1)*(DATOS_[Conc.Sal.01])))))))), 0)</f>
        <v>0</v>
      </c>
      <c r="K70" s="302" t="n">
        <f aca="false" t="array" ref="K70:K70">IFERROR( (AVERAGE((IF(DATOS_[[Sexo]:[Sexo]]=$B70,IF(DATOS_[[AGRUP. VALOR. PTO.]:[AGRUP. VALOR. PTO.]]=$B69,IF(DATOS_[[Check Periodo Ref.]:[Check Periodo Ref.]]="Dentro",IF(DATOS_[[Check Equiparado]:[Check Equiparado]]="Sí",IF(DATOS!AF$4="Sí",(1/DATOS_[[% anualiz]:[% anualiz]]),1)*IF(DATOS!AF$5="Sí",1/DATOS_[[% normaliz]:[% normaliz]],1)*(DATOS_[Conc.Sal.02])))))))), 0)</f>
        <v>0</v>
      </c>
      <c r="L70" s="302" t="n">
        <f aca="false" t="array" ref="L70:L70">IFERROR( (AVERAGE((IF(DATOS_[[Sexo]:[Sexo]]=$B70,IF(DATOS_[[AGRUP. VALOR. PTO.]:[AGRUP. VALOR. PTO.]]=$B69,IF(DATOS_[[Check Periodo Ref.]:[Check Periodo Ref.]]="Dentro",IF(DATOS_[[Check Equiparado]:[Check Equiparado]]="Sí",IF(DATOS!AG$4="Sí",(1/DATOS_[[% anualiz]:[% anualiz]]),1)*IF(DATOS!AG$5="Sí",1/DATOS_[[% normaliz]:[% normaliz]],1)*(DATOS_[Conc.Sal.03])))))))), 0)</f>
        <v>0</v>
      </c>
      <c r="M70" s="302" t="n">
        <f aca="false" t="array" ref="M70:M70">IFERROR( (AVERAGE((IF(DATOS_[[Sexo]:[Sexo]]=$B70,IF(DATOS_[[AGRUP. VALOR. PTO.]:[AGRUP. VALOR. PTO.]]=$B69,IF(DATOS_[[Check Periodo Ref.]:[Check Periodo Ref.]]="Dentro",IF(DATOS_[[Check Equiparado]:[Check Equiparado]]="Sí",IF(DATOS!AH$4="Sí",(1/DATOS_[[% anualiz]:[% anualiz]]),1)*IF(DATOS!AH$5="Sí",1/DATOS_[[% normaliz]:[% normaliz]],1)*(DATOS_[Conc.Sal.04])))))))), 0)</f>
        <v>0</v>
      </c>
      <c r="N70" s="302" t="n">
        <f aca="false" t="array" ref="N70:N70">IFERROR( (AVERAGE((IF(DATOS_[[Sexo]:[Sexo]]=$B70,IF(DATOS_[[AGRUP. VALOR. PTO.]:[AGRUP. VALOR. PTO.]]=$B69,IF(DATOS_[[Check Periodo Ref.]:[Check Periodo Ref.]]="Dentro",IF(DATOS_[[Check Equiparado]:[Check Equiparado]]="Sí",IF(DATOS!AI$4="Sí",(1/DATOS_[[% anualiz]:[% anualiz]]),1)*IF(DATOS!AI$5="Sí",1/DATOS_[[% normaliz]:[% normaliz]],1)*(DATOS_[Conc.Sal.05])))))))), 0)</f>
        <v>0</v>
      </c>
      <c r="O70" s="302" t="n">
        <f aca="false" t="array" ref="O70:O70">IFERROR( (AVERAGE((IF(DATOS_[[Sexo]:[Sexo]]=$B70,IF(DATOS_[[AGRUP. VALOR. PTO.]:[AGRUP. VALOR. PTO.]]=$B69,IF(DATOS_[[Check Periodo Ref.]:[Check Periodo Ref.]]="Dentro",IF(DATOS_[[Check Equiparado]:[Check Equiparado]]="Sí",IF(DATOS!AJ$4="Sí",(1/DATOS_[[% anualiz]:[% anualiz]]),1)*IF(DATOS!AJ$5="Sí",1/DATOS_[[% normaliz]:[% normaliz]],1)*(DATOS_[Conc.Sal.06])))))))), 0)</f>
        <v>0</v>
      </c>
      <c r="P70" s="302" t="n">
        <f aca="false" t="array" ref="P70:P70">IFERROR( (AVERAGE((IF(DATOS_[[Sexo]:[Sexo]]=$B70,IF(DATOS_[[AGRUP. VALOR. PTO.]:[AGRUP. VALOR. PTO.]]=$B69,IF(DATOS_[[Check Periodo Ref.]:[Check Periodo Ref.]]="Dentro",IF(DATOS_[[Check Equiparado]:[Check Equiparado]]="Sí",IF(DATOS!AK$4="Sí",(1/DATOS_[[% anualiz]:[% anualiz]]),1)*IF(DATOS!AK$5="Sí",1/DATOS_[[% normaliz]:[% normaliz]],1)*(DATOS_[Conc.Sal.07])))))))), 0)</f>
        <v>0</v>
      </c>
      <c r="Q70" s="302" t="n">
        <f aca="false" t="array" ref="Q70:Q70">IFERROR( (AVERAGE((IF(DATOS_[[Sexo]:[Sexo]]=$B70,IF(DATOS_[[AGRUP. VALOR. PTO.]:[AGRUP. VALOR. PTO.]]=$B69,IF(DATOS_[[Check Periodo Ref.]:[Check Periodo Ref.]]="Dentro",IF(DATOS_[[Check Equiparado]:[Check Equiparado]]="Sí",IF(DATOS!AL$4="Sí",(1/DATOS_[[% anualiz]:[% anualiz]]),1)*IF(DATOS!AL$5="Sí",1/DATOS_[[% normaliz]:[% normaliz]],1)*(DATOS_[Conc.Sal.08])))))))), 0)</f>
        <v>0</v>
      </c>
      <c r="R70" s="302" t="n">
        <f aca="false" t="array" ref="R70:R70">IFERROR( (AVERAGE((IF(DATOS_[[Sexo]:[Sexo]]=$B70,IF(DATOS_[[AGRUP. VALOR. PTO.]:[AGRUP. VALOR. PTO.]]=$B69,IF(DATOS_[[Check Periodo Ref.]:[Check Periodo Ref.]]="Dentro",IF(DATOS_[[Check Equiparado]:[Check Equiparado]]="Sí",IF(DATOS!AM$4="Sí",(1/DATOS_[[% anualiz]:[% anualiz]]),1)*IF(DATOS!AM$5="Sí",1/DATOS_[[% normaliz]:[% normaliz]],1)*(DATOS_[Conc.Sal.09])))))))), 0)</f>
        <v>0</v>
      </c>
      <c r="S70" s="302" t="n">
        <f aca="false" t="array" ref="S70:S70">IFERROR( (AVERAGE((IF(DATOS_[[Sexo]:[Sexo]]=$B70,IF(DATOS_[[AGRUP. VALOR. PTO.]:[AGRUP. VALOR. PTO.]]=$B69,IF(DATOS_[[Check Periodo Ref.]:[Check Periodo Ref.]]="Dentro",IF(DATOS_[[Check Equiparado]:[Check Equiparado]]="Sí",IF(DATOS!AN$4="Sí",(1/DATOS_[[% anualiz]:[% anualiz]]),1)*IF(DATOS!AN$5="Sí",1/DATOS_[[% normaliz]:[% normaliz]],1)*(DATOS_[Conc.Sal.10])))))))), 0)</f>
        <v>0</v>
      </c>
      <c r="T70" s="302" t="n">
        <f aca="false" t="array" ref="T70:T70">IFERROR( (AVERAGE((IF(DATOS_[[Sexo]:[Sexo]]=$B70,IF(DATOS_[[AGRUP. VALOR. PTO.]:[AGRUP. VALOR. PTO.]]=$B69,IF(DATOS_[[Check Periodo Ref.]:[Check Periodo Ref.]]="Dentro",IF(DATOS_[[Check Equiparado]:[Check Equiparado]]="Sí",IF(DATOS!AO$4="Sí",(1/DATOS_[[% anualiz]:[% anualiz]]),1)*IF(DATOS!AO$5="Sí",1/DATOS_[[% normaliz]:[% normaliz]],1)*(DATOS_[Conc.Sal.11])))))))), 0)</f>
        <v>0</v>
      </c>
      <c r="U70" s="302" t="n">
        <f aca="false" t="array" ref="U70:U70">IFERROR( (AVERAGE((IF(DATOS_[[Sexo]:[Sexo]]=$B70,IF(DATOS_[[AGRUP. VALOR. PTO.]:[AGRUP. VALOR. PTO.]]=$B69,IF(DATOS_[[Check Periodo Ref.]:[Check Periodo Ref.]]="Dentro",IF(DATOS_[[Check Equiparado]:[Check Equiparado]]="Sí",IF(DATOS!AP$4="Sí",(1/DATOS_[[% anualiz]:[% anualiz]]),1)*IF(DATOS!AP$5="Sí",1/DATOS_[[% normaliz]:[% normaliz]],1)*(DATOS_[Conc.Sal.12])))))))), 0)</f>
        <v>0</v>
      </c>
      <c r="V70" s="302" t="n">
        <f aca="false" t="array" ref="V70:V70">IFERROR( (AVERAGE((IF(DATOS_[[Sexo]:[Sexo]]=$B70,IF(DATOS_[[AGRUP. VALOR. PTO.]:[AGRUP. VALOR. PTO.]]=$B69,IF(DATOS_[[Check Periodo Ref.]:[Check Periodo Ref.]]="Dentro",IF(DATOS_[[Check Equiparado]:[Check Equiparado]]="Sí",IF(DATOS!AQ$4="Sí",(1/DATOS_[[% anualiz]:[% anualiz]]),1)*IF(DATOS!AQ$5="Sí",1/DATOS_[[% normaliz]:[% normaliz]],1)*(DATOS_[Conc.Sal.13])))))))), 0)</f>
        <v>0</v>
      </c>
      <c r="W70" s="302" t="n">
        <f aca="false" t="array" ref="W70:W70">IFERROR( (AVERAGE((IF(DATOS_[[Sexo]:[Sexo]]=$B70,IF(DATOS_[[AGRUP. VALOR. PTO.]:[AGRUP. VALOR. PTO.]]=$B69,IF(DATOS_[[Check Periodo Ref.]:[Check Periodo Ref.]]="Dentro",IF(DATOS_[[Check Equiparado]:[Check Equiparado]]="Sí",IF(DATOS!AR$4="Sí",(1/DATOS_[[% anualiz]:[% anualiz]]),1)*IF(DATOS!AR$5="Sí",1/DATOS_[[% normaliz]:[% normaliz]],1)*(DATOS_[Conc.Sal.14])))))))), 0)</f>
        <v>0</v>
      </c>
      <c r="X70" s="302" t="n">
        <f aca="false" t="array" ref="X70:X70">IFERROR( (AVERAGE((IF(DATOS_[[Sexo]:[Sexo]]=$B70,IF(DATOS_[[AGRUP. VALOR. PTO.]:[AGRUP. VALOR. PTO.]]=$B69,IF(DATOS_[[Check Periodo Ref.]:[Check Periodo Ref.]]="Dentro",IF(DATOS_[[Check Equiparado]:[Check Equiparado]]="Sí",IF(DATOS!AS$4="Sí",(1/DATOS_[[% anualiz]:[% anualiz]]),1)*IF(DATOS!AS$5="Sí",1/DATOS_[[% normaliz]:[% normaliz]],1)*(DATOS_[Conc.Sal.15])))))))), 0)</f>
        <v>0</v>
      </c>
      <c r="Y70" s="302" t="n">
        <f aca="false" t="array" ref="Y70:Y70">IFERROR( (AVERAGE((IF(DATOS_[[Sexo]:[Sexo]]=$B70,IF(DATOS_[[AGRUP. VALOR. PTO.]:[AGRUP. VALOR. PTO.]]=$B69,IF(DATOS_[[Check Periodo Ref.]:[Check Periodo Ref.]]="Dentro",IF(DATOS_[[Check Equiparado]:[Check Equiparado]]="Sí",IF(DATOS!AT$4="Sí",(1/DATOS_[[% anualiz]:[% anualiz]]),1)*IF(DATOS!AT$5="Sí",1/DATOS_[[% normaliz]:[% normaliz]],1)*(DATOS_[Conc.Sal.16])))))))), 0)</f>
        <v>0</v>
      </c>
      <c r="Z70" s="302" t="n">
        <f aca="false" t="array" ref="Z70:Z70">IFERROR( (AVERAGE((IF(DATOS_[[Sexo]:[Sexo]]=$B70,IF(DATOS_[[AGRUP. VALOR. PTO.]:[AGRUP. VALOR. PTO.]]=$B69,IF(DATOS_[[Check Periodo Ref.]:[Check Periodo Ref.]]="Dentro",IF(DATOS_[[Check Equiparado]:[Check Equiparado]]="Sí",IF(DATOS!AU$4="Sí",(1/DATOS_[[% anualiz]:[% anualiz]]),1)*IF(DATOS!AU$5="Sí",1/DATOS_[[% normaliz]:[% normaliz]],1)*(DATOS_[Conc.Sal.17])))))))), 0)</f>
        <v>0</v>
      </c>
      <c r="AA70" s="302" t="n">
        <f aca="false" t="array" ref="AA70:AA70">IFERROR( (AVERAGE((IF(DATOS_[[Sexo]:[Sexo]]=$B70,IF(DATOS_[[AGRUP. VALOR. PTO.]:[AGRUP. VALOR. PTO.]]=$B69,IF(DATOS_[[Check Periodo Ref.]:[Check Periodo Ref.]]="Dentro",IF(DATOS_[[Check Equiparado]:[Check Equiparado]]="Sí",IF(DATOS!AV$4="Sí",(1/DATOS_[[% anualiz]:[% anualiz]]),1)*IF(DATOS!AV$5="Sí",1/DATOS_[[% normaliz]:[% normaliz]],1)*(DATOS_[Conc.Sal.18])))))))), 0)</f>
        <v>0</v>
      </c>
      <c r="AB70" s="302" t="n">
        <f aca="false" t="array" ref="AB70:AB70">IFERROR( (AVERAGE((IF(DATOS_[[Sexo]:[Sexo]]=$B70,IF(DATOS_[[AGRUP. VALOR. PTO.]:[AGRUP. VALOR. PTO.]]=$B69,IF(DATOS_[[Check Periodo Ref.]:[Check Periodo Ref.]]="Dentro",IF(DATOS_[[Check Equiparado]:[Check Equiparado]]="Sí",IF(DATOS!AW$4="Sí",(1/DATOS_[[% anualiz]:[% anualiz]]),1)*IF(DATOS!AW$5="Sí",1/DATOS_[[% normaliz]:[% normaliz]],1)*(DATOS_[Conc.Sal.19])))))))), 0)</f>
        <v>0</v>
      </c>
      <c r="AC70" s="302" t="n">
        <f aca="false" t="array" ref="AC70:AC70">IFERROR( (AVERAGE((IF(DATOS_[[Sexo]:[Sexo]]=$B70,IF(DATOS_[[AGRUP. VALOR. PTO.]:[AGRUP. VALOR. PTO.]]=$B69,IF(DATOS_[[Check Periodo Ref.]:[Check Periodo Ref.]]="Dentro",IF(DATOS_[[Check Equiparado]:[Check Equiparado]]="Sí",IF(DATOS!AX$4="Sí",(1/DATOS_[[% anualiz]:[% anualiz]]),1)*IF(DATOS!AX$5="Sí",1/DATOS_[[% normaliz]:[% normaliz]],1)*(DATOS_[Conc.Sal.20])))))))), 0)</f>
        <v>0</v>
      </c>
      <c r="AD70" s="302" t="n">
        <f aca="false" t="array" ref="AD70:AD70">IFERROR( (AVERAGE((IF(DATOS_[[Sexo]:[Sexo]]=$B70,IF(DATOS_[[AGRUP. VALOR. PTO.]:[AGRUP. VALOR. PTO.]]=$B69,IF(DATOS_[[Check Periodo Ref.]:[Check Periodo Ref.]]="Dentro",IF(DATOS_[[Check Equiparado]:[Check Equiparado]]="Sí",IF(DATOS!AY$4="Sí",(1/DATOS_[[% anualiz]:[% anualiz]]),1)*IF(DATOS!AY$5="Sí",1/DATOS_[[% normaliz]:[% normaliz]],1)*(DATOS_[Conc.Sal.21])))))))), 0)</f>
        <v>0</v>
      </c>
      <c r="AE70" s="302" t="n">
        <f aca="false" t="array" ref="AE70:AE70">IFERROR( (AVERAGE((IF(DATOS_[[Sexo]:[Sexo]]=$B70,IF(DATOS_[[AGRUP. VALOR. PTO.]:[AGRUP. VALOR. PTO.]]=$B69,IF(DATOS_[[Check Periodo Ref.]:[Check Periodo Ref.]]="Dentro",IF(DATOS_[[Check Equiparado]:[Check Equiparado]]="Sí",IF(DATOS!AZ$4="Sí",(1/DATOS_[[% anualiz]:[% anualiz]]),1)*IF(DATOS!AZ$5="Sí",1/DATOS_[[% normaliz]:[% normaliz]],1)*(DATOS_[Conc.Sal.22])))))))), 0)</f>
        <v>0</v>
      </c>
      <c r="AF70" s="302" t="n">
        <f aca="false" t="array" ref="AF70:AF70">IFERROR( (AVERAGE((IF(DATOS_[[Sexo]:[Sexo]]=$B70,IF(DATOS_[[AGRUP. VALOR. PTO.]:[AGRUP. VALOR. PTO.]]=$B69,IF(DATOS_[[Check Periodo Ref.]:[Check Periodo Ref.]]="Dentro",IF(DATOS_[[Check Equiparado]:[Check Equiparado]]="Sí",IF(DATOS!BA$4="Sí",(1/DATOS_[[% anualiz]:[% anualiz]]),1)*IF(DATOS!BA$5="Sí",1/DATOS_[[% normaliz]:[% normaliz]],1)*(DATOS_[Conc.Sal.23])))))))), 0)</f>
        <v>0</v>
      </c>
      <c r="AG70" s="302" t="n">
        <f aca="false" t="array" ref="AG70:AG70">IFERROR( (AVERAGE((IF(DATOS_[[Sexo]:[Sexo]]=$B70,IF(DATOS_[[AGRUP. VALOR. PTO.]:[AGRUP. VALOR. PTO.]]=$B69,IF(DATOS_[[Check Periodo Ref.]:[Check Periodo Ref.]]="Dentro",IF(DATOS_[[Check Equiparado]:[Check Equiparado]]="Sí",IF(DATOS!BB$4="Sí",(1/DATOS_[[% anualiz]:[% anualiz]]),1)*IF(DATOS!BB$5="Sí",1/DATOS_[[% normaliz]:[% normaliz]],1)*(DATOS_[Conc.Sal.24])))))))), 0)</f>
        <v>0</v>
      </c>
      <c r="AH70" s="302" t="n">
        <f aca="false" t="array" ref="AH70:AH70">IFERROR( (AVERAGE((IF(DATOS_[[Sexo]:[Sexo]]=$B70,IF(DATOS_[[AGRUP. VALOR. PTO.]:[AGRUP. VALOR. PTO.]]=$B69,IF(DATOS_[[Check Periodo Ref.]:[Check Periodo Ref.]]="Dentro",IF(DATOS_[[Check Equiparado]:[Check Equiparado]]="Sí",IF(DATOS!BC$4="Sí",(1/DATOS_[[% anualiz]:[% anualiz]]),1)*IF(DATOS!BC$5="Sí",1/DATOS_[[% normaliz]:[% normaliz]],1)*(DATOS_[Conc.Sal.25])))))))), 0)</f>
        <v>0</v>
      </c>
      <c r="AI70" s="302" t="n">
        <f aca="false" t="array" ref="AI70:AI70">IFERROR( (AVERAGE((IF(DATOS_[[Sexo]:[Sexo]]=$B70,IF(DATOS_[[AGRUP. VALOR. PTO.]:[AGRUP. VALOR. PTO.]]=$B69,IF(DATOS_[[Check Periodo Ref.]:[Check Periodo Ref.]]="Dentro",IF(DATOS_[[Check Equiparado]:[Check Equiparado]]="Sí",IF(DATOS!BD$4="Sí",(1/DATOS_[[% anualiz]:[% anualiz]]),1)*IF(DATOS!BD$5="Sí",1/DATOS_[[% normaliz]:[% normaliz]],1)*(DATOS_[Conc.Sal.26])))))))), 0)</f>
        <v>0</v>
      </c>
      <c r="AJ70" s="302" t="n">
        <f aca="false" t="array" ref="AJ70:AJ70">IFERROR( (AVERAGE((IF(DATOS_[[Sexo]:[Sexo]]=$B70,IF(DATOS_[[AGRUP. VALOR. PTO.]:[AGRUP. VALOR. PTO.]]=$B69,IF(DATOS_[[Check Periodo Ref.]:[Check Periodo Ref.]]="Dentro",IF(DATOS_[[Check Equiparado]:[Check Equiparado]]="Sí",IF(DATOS!BE$4="Sí",(1/DATOS_[[% anualiz]:[% anualiz]]),1)*IF(DATOS!BE$5="Sí",1/DATOS_[[% normaliz]:[% normaliz]],1)*(DATOS_[Conc.Sal.27])))))))), 0)</f>
        <v>0</v>
      </c>
      <c r="AK70" s="302" t="n">
        <f aca="false" t="array" ref="AK70:AK70">IFERROR( (AVERAGE((IF(DATOS_[[Sexo]:[Sexo]]=$B70,IF(DATOS_[[AGRUP. VALOR. PTO.]:[AGRUP. VALOR. PTO.]]=$B69,IF(DATOS_[[Check Periodo Ref.]:[Check Periodo Ref.]]="Dentro",IF(DATOS_[[Check Equiparado]:[Check Equiparado]]="Sí",IF(DATOS!BF$4="Sí",(1/DATOS_[[% anualiz]:[% anualiz]]),1)*IF(DATOS!BF$5="Sí",1/DATOS_[[% normaliz]:[% normaliz]],1)*(DATOS_[Conc.Sal.28])))))))), 0)</f>
        <v>0</v>
      </c>
      <c r="AL70" s="302" t="n">
        <f aca="false" t="array" ref="AL70:AL70">IFERROR( (AVERAGE((IF(DATOS_[[Sexo]:[Sexo]]=$B70,IF(DATOS_[[AGRUP. VALOR. PTO.]:[AGRUP. VALOR. PTO.]]=$B69,IF(DATOS_[[Check Periodo Ref.]:[Check Periodo Ref.]]="Dentro",IF(DATOS_[[Check Equiparado]:[Check Equiparado]]="Sí",IF(DATOS!BG$4="Sí",(1/DATOS_[[% anualiz]:[% anualiz]]),1)*IF(DATOS!BG$5="Sí",1/DATOS_[[% normaliz]:[% normaliz]],1)*(DATOS_[Conc.Sal.29])))))))), 0)</f>
        <v>0</v>
      </c>
      <c r="AM70" s="302" t="n">
        <f aca="false" t="array" ref="AM70:AM70">IFERROR( (AVERAGE((IF(DATOS_[[Sexo]:[Sexo]]=$B70,IF(DATOS_[[AGRUP. VALOR. PTO.]:[AGRUP. VALOR. PTO.]]=$B69,IF(DATOS_[[Check Periodo Ref.]:[Check Periodo Ref.]]="Dentro",IF(DATOS_[[Check Equiparado]:[Check Equiparado]]="Sí",IF(DATOS!BH$4="Sí",(1/DATOS_[[% anualiz]:[% anualiz]]),1)*IF(DATOS!BH$5="Sí",1/DATOS_[[% normaliz]:[% normaliz]],1)*(DATOS_[Conc.Sal.30])))))))), 0)</f>
        <v>0</v>
      </c>
      <c r="AN70" s="294" t="n">
        <f aca="false" t="array" ref="AN70:AN70">IFERROR( AVERAGE(IF(DATOS_[Sexo]=$B70,IF(DATOS_[[AGRUP. VALOR. PTO.]:[AGRUP. VALOR. PTO.]]=$B69,IF(DATOS_[Check Equiparado]="Sí",IF(DATOS_[Check Periodo Ref.]="Dentro",DATOS_[Tot COMPL.SAL Eq],0))))), 0)</f>
        <v>0</v>
      </c>
      <c r="AO70" s="295" t="n">
        <f aca="false" t="array" ref="AO70:AO70">IFERROR( AVERAGE(IF(DATOS_[Sexo]=$B70,IF(DATOS_[[AGRUP. VALOR. PTO.]:[AGRUP. VALOR. PTO.]]=$B69,IF(DATOS_[Check Equiparado]="Sí",IF(DATOS_[Check Periodo Ref.]="Dentro",DATOS_[TOTAL SALARIO Eq],0))))), 0)</f>
        <v>0</v>
      </c>
      <c r="AP70" s="303" t="n">
        <f aca="false" t="array" ref="AP70:AP70">IFERROR( (AVERAGE((IF(DATOS_[[Sexo]:[Sexo]]=$B70,IF(DATOS_[[AGRUP. VALOR. PTO.]:[AGRUP. VALOR. PTO.]]=$B69,IF(DATOS_[[Check Periodo Ref.]:[Check Periodo Ref.]]="Dentro",IF(DATOS_[[Check Equiparado]:[Check Equiparado]]="Sí",IF(DATOS!BI$4="Sí",(1/DATOS_[[% anualiz]:[% anualiz]]),1)*IF(DATOS!BI$5="Sí",1/DATOS_[[% normaliz]:[% normaliz]],1)*(DATOS_[C.Extra.01])))))))), 0)</f>
        <v>0</v>
      </c>
      <c r="AQ70" s="303" t="n">
        <f aca="false" t="array" ref="AQ70:AQ70">IFERROR( (AVERAGE((IF(DATOS_[[Sexo]:[Sexo]]=$B70,IF(DATOS_[[AGRUP. VALOR. PTO.]:[AGRUP. VALOR. PTO.]]=$B69,IF(DATOS_[[Check Periodo Ref.]:[Check Periodo Ref.]]="Dentro",IF(DATOS_[[Check Equiparado]:[Check Equiparado]]="Sí",IF(DATOS!BJ$4="Sí",(1/DATOS_[[% anualiz]:[% anualiz]]),1)*IF(DATOS!BJ$5="Sí",1/DATOS_[[% normaliz]:[% normaliz]],1)*(DATOS_[C.Extra.02])))))))), 0)</f>
        <v>0</v>
      </c>
      <c r="AR70" s="303" t="n">
        <f aca="false" t="array" ref="AR70:AR70">IFERROR( (AVERAGE((IF(DATOS_[[Sexo]:[Sexo]]=$B70,IF(DATOS_[[AGRUP. VALOR. PTO.]:[AGRUP. VALOR. PTO.]]=$B69,IF(DATOS_[[Check Periodo Ref.]:[Check Periodo Ref.]]="Dentro",IF(DATOS_[[Check Equiparado]:[Check Equiparado]]="Sí",IF(DATOS!BK$4="Sí",(1/DATOS_[[% anualiz]:[% anualiz]]),1)*IF(DATOS!BK$5="Sí",1/DATOS_[[% normaliz]:[% normaliz]],1)*(DATOS_[C.Extra.03])))))))), 0)</f>
        <v>0</v>
      </c>
      <c r="AS70" s="303" t="n">
        <f aca="false" t="array" ref="AS70:AS70">IFERROR( (AVERAGE((IF(DATOS_[[Sexo]:[Sexo]]=$B70,IF(DATOS_[[AGRUP. VALOR. PTO.]:[AGRUP. VALOR. PTO.]]=$B69,IF(DATOS_[[Check Periodo Ref.]:[Check Periodo Ref.]]="Dentro",IF(DATOS_[[Check Equiparado]:[Check Equiparado]]="Sí",IF(DATOS!BL$4="Sí",(1/DATOS_[[% anualiz]:[% anualiz]]),1)*IF(DATOS!BL$5="Sí",1/DATOS_[[% normaliz]:[% normaliz]],1)*(DATOS_[C.Extra.04])))))))), 0)</f>
        <v>0</v>
      </c>
      <c r="AT70" s="303" t="n">
        <f aca="false" t="array" ref="AT70:AT70">IFERROR( (AVERAGE((IF(DATOS_[[Sexo]:[Sexo]]=$B70,IF(DATOS_[[AGRUP. VALOR. PTO.]:[AGRUP. VALOR. PTO.]]=$B69,IF(DATOS_[[Check Periodo Ref.]:[Check Periodo Ref.]]="Dentro",IF(DATOS_[[Check Equiparado]:[Check Equiparado]]="Sí",IF(DATOS!BM$4="Sí",(1/DATOS_[[% anualiz]:[% anualiz]]),1)*IF(DATOS!BM$5="Sí",1/DATOS_[[% normaliz]:[% normaliz]],1)*(DATOS_[C.Extra.05])))))))), 0)</f>
        <v>0</v>
      </c>
      <c r="AU70" s="297" t="n">
        <f aca="false" t="array" ref="AU70:AU70">IFERROR( AVERAGE(IF(DATOS_[Sexo]=$B70,IF(DATOS_[[AGRUP. VALOR. PTO.]:[AGRUP. VALOR. PTO.]]=$B69,IF(DATOS_[Check Equiparado]="Sí",IF(DATOS_[Check Periodo Ref.]="Dentro",DATOS_[Tot Extrasalarial Eq],0))))), 0)</f>
        <v>0</v>
      </c>
      <c r="AV70" s="298" t="n">
        <f aca="false" t="array" ref="AV70:AV70">IFERROR( AVERAGE(IF(DATOS_[Sexo]=$B70,IF(DATOS_[[AGRUP. VALOR. PTO.]:[AGRUP. VALOR. PTO.]]=$B69,IF(DATOS_[Check Equiparado]="Sí",IF(DATOS_[Check Periodo Ref.]="Dentro",DATOS_[TOTAL Retrib Eq],0))))), 0)</f>
        <v>0</v>
      </c>
    </row>
    <row r="71" customFormat="false" ht="14.25" hidden="false" customHeight="false" outlineLevel="0" collapsed="false">
      <c r="A71" s="166" t="str">
        <f aca="false">+A70</f>
        <v>[ocultar]</v>
      </c>
      <c r="B71" s="289" t="s">
        <v>372</v>
      </c>
      <c r="C71" s="290" t="n">
        <f aca="false" t="array" ref="C71:C71">SUM(IF($B71=DATOS_[Sexo], IF($B69=DATOS_[AGRUP. VALOR. PTO.], IF("Dentro"=DATOS_[Check Periodo Ref.], 1/(COUNTIFS(DATOS_[Sexo],$B71,DATOS_[AGRUP. VALOR. PTO.],$B69,DATOS_[Check Periodo Ref.],"Dentro",DATOS_[id],DATOS_[id]))))))</f>
        <v>0</v>
      </c>
      <c r="D71" s="291" t="n">
        <f aca="false">COUNTIFS(DATOS_[AGRUP. VALOR. PTO.],$B69,DATOS_[Sexo],$B71,DATOS_[Check Periodo Ref.],"Dentro")</f>
        <v>0</v>
      </c>
      <c r="E71" s="291" t="n">
        <f aca="false">COUNTIFS(DATOS_[AGRUP. VALOR. PTO.],$B69,DATOS_[Sexo],$B71,DATOS_[Check Periodo Ref.],"Dentro",DATOS_[Check Nº SC Norm],"Sí")</f>
        <v>0</v>
      </c>
      <c r="F71" s="291" t="n">
        <f aca="false">COUNTIFS(DATOS_[AGRUP. VALOR. PTO.],$B69,DATOS_[Sexo],$B71,DATOS_[Check Periodo Ref.],"Dentro",DATOS_[Check Nº SC Anualiz],"Sí")</f>
        <v>0</v>
      </c>
      <c r="G71" s="291" t="n">
        <f aca="false">COUNTIFS(DATOS_[AGRUP. VALOR. PTO.],$B69,DATOS_[Sexo],$B71,DATOS_[Check Periodo Ref.],"Dentro",DATOS_[Check Nº SC Norm y Anualiz],"Sí")</f>
        <v>0</v>
      </c>
      <c r="H71" s="291" t="n">
        <f aca="false">COUNTIFS(DATOS_[AGRUP. VALOR. PTO.],$B69,DATOS_[Sexo],$B71,DATOS_[Check Periodo Ref.],"Dentro",DATOS_[Check Equiparación],"Sí")</f>
        <v>0</v>
      </c>
      <c r="I71" s="292" t="n">
        <f aca="false" t="array" ref="I71:I71">IFERROR( AVERAGE(IF(DATOS_[Sexo]=$B71,IF(DATOS_[[AGRUP. VALOR. PTO.]:[AGRUP. VALOR. PTO.]]=$B69,IF(DATOS_[Check Equiparado]="Sí",IF(DATOS_[Check Periodo Ref.]="Dentro",DATOS_[SALARIO BASE Eq],0))))), 0)</f>
        <v>0</v>
      </c>
      <c r="J71" s="302" t="n">
        <f aca="false" t="array" ref="J71:J71">IFERROR( (AVERAGE((IF(DATOS_[[Sexo]:[Sexo]]=$B71,IF(DATOS_[[AGRUP. VALOR. PTO.]:[AGRUP. VALOR. PTO.]]=$B69,IF(DATOS_[[Check Periodo Ref.]:[Check Periodo Ref.]]="Dentro",IF(DATOS_[[Check Equiparado]:[Check Equiparado]]="Sí",IF(DATOS!AE$4="Sí",(1/DATOS_[[% anualiz]:[% anualiz]]),1)*IF(DATOS!AE$5="Sí",1/DATOS_[[% normaliz]:[% normaliz]],1)*(DATOS_[Conc.Sal.01])))))))), 0)</f>
        <v>0</v>
      </c>
      <c r="K71" s="302" t="n">
        <f aca="false" t="array" ref="K71:K71">IFERROR( (AVERAGE((IF(DATOS_[[Sexo]:[Sexo]]=$B71,IF(DATOS_[[AGRUP. VALOR. PTO.]:[AGRUP. VALOR. PTO.]]=$B69,IF(DATOS_[[Check Periodo Ref.]:[Check Periodo Ref.]]="Dentro",IF(DATOS_[[Check Equiparado]:[Check Equiparado]]="Sí",IF(DATOS!AF$4="Sí",(1/DATOS_[[% anualiz]:[% anualiz]]),1)*IF(DATOS!AF$5="Sí",1/DATOS_[[% normaliz]:[% normaliz]],1)*(DATOS_[Conc.Sal.02])))))))), 0)</f>
        <v>0</v>
      </c>
      <c r="L71" s="302" t="n">
        <f aca="false" t="array" ref="L71:L71">IFERROR( (AVERAGE((IF(DATOS_[[Sexo]:[Sexo]]=$B71,IF(DATOS_[[AGRUP. VALOR. PTO.]:[AGRUP. VALOR. PTO.]]=$B69,IF(DATOS_[[Check Periodo Ref.]:[Check Periodo Ref.]]="Dentro",IF(DATOS_[[Check Equiparado]:[Check Equiparado]]="Sí",IF(DATOS!AG$4="Sí",(1/DATOS_[[% anualiz]:[% anualiz]]),1)*IF(DATOS!AG$5="Sí",1/DATOS_[[% normaliz]:[% normaliz]],1)*(DATOS_[Conc.Sal.03])))))))), 0)</f>
        <v>0</v>
      </c>
      <c r="M71" s="302" t="n">
        <f aca="false" t="array" ref="M71:M71">IFERROR( (AVERAGE((IF(DATOS_[[Sexo]:[Sexo]]=$B71,IF(DATOS_[[AGRUP. VALOR. PTO.]:[AGRUP. VALOR. PTO.]]=$B69,IF(DATOS_[[Check Periodo Ref.]:[Check Periodo Ref.]]="Dentro",IF(DATOS_[[Check Equiparado]:[Check Equiparado]]="Sí",IF(DATOS!AH$4="Sí",(1/DATOS_[[% anualiz]:[% anualiz]]),1)*IF(DATOS!AH$5="Sí",1/DATOS_[[% normaliz]:[% normaliz]],1)*(DATOS_[Conc.Sal.04])))))))), 0)</f>
        <v>0</v>
      </c>
      <c r="N71" s="302" t="n">
        <f aca="false" t="array" ref="N71:N71">IFERROR( (AVERAGE((IF(DATOS_[[Sexo]:[Sexo]]=$B71,IF(DATOS_[[AGRUP. VALOR. PTO.]:[AGRUP. VALOR. PTO.]]=$B69,IF(DATOS_[[Check Periodo Ref.]:[Check Periodo Ref.]]="Dentro",IF(DATOS_[[Check Equiparado]:[Check Equiparado]]="Sí",IF(DATOS!AI$4="Sí",(1/DATOS_[[% anualiz]:[% anualiz]]),1)*IF(DATOS!AI$5="Sí",1/DATOS_[[% normaliz]:[% normaliz]],1)*(DATOS_[Conc.Sal.05])))))))), 0)</f>
        <v>0</v>
      </c>
      <c r="O71" s="302" t="n">
        <f aca="false" t="array" ref="O71:O71">IFERROR( (AVERAGE((IF(DATOS_[[Sexo]:[Sexo]]=$B71,IF(DATOS_[[AGRUP. VALOR. PTO.]:[AGRUP. VALOR. PTO.]]=$B69,IF(DATOS_[[Check Periodo Ref.]:[Check Periodo Ref.]]="Dentro",IF(DATOS_[[Check Equiparado]:[Check Equiparado]]="Sí",IF(DATOS!AJ$4="Sí",(1/DATOS_[[% anualiz]:[% anualiz]]),1)*IF(DATOS!AJ$5="Sí",1/DATOS_[[% normaliz]:[% normaliz]],1)*(DATOS_[Conc.Sal.06])))))))), 0)</f>
        <v>0</v>
      </c>
      <c r="P71" s="302" t="n">
        <f aca="false" t="array" ref="P71:P71">IFERROR( (AVERAGE((IF(DATOS_[[Sexo]:[Sexo]]=$B71,IF(DATOS_[[AGRUP. VALOR. PTO.]:[AGRUP. VALOR. PTO.]]=$B69,IF(DATOS_[[Check Periodo Ref.]:[Check Periodo Ref.]]="Dentro",IF(DATOS_[[Check Equiparado]:[Check Equiparado]]="Sí",IF(DATOS!AK$4="Sí",(1/DATOS_[[% anualiz]:[% anualiz]]),1)*IF(DATOS!AK$5="Sí",1/DATOS_[[% normaliz]:[% normaliz]],1)*(DATOS_[Conc.Sal.07])))))))), 0)</f>
        <v>0</v>
      </c>
      <c r="Q71" s="302" t="n">
        <f aca="false" t="array" ref="Q71:Q71">IFERROR( (AVERAGE((IF(DATOS_[[Sexo]:[Sexo]]=$B71,IF(DATOS_[[AGRUP. VALOR. PTO.]:[AGRUP. VALOR. PTO.]]=$B69,IF(DATOS_[[Check Periodo Ref.]:[Check Periodo Ref.]]="Dentro",IF(DATOS_[[Check Equiparado]:[Check Equiparado]]="Sí",IF(DATOS!AL$4="Sí",(1/DATOS_[[% anualiz]:[% anualiz]]),1)*IF(DATOS!AL$5="Sí",1/DATOS_[[% normaliz]:[% normaliz]],1)*(DATOS_[Conc.Sal.08])))))))), 0)</f>
        <v>0</v>
      </c>
      <c r="R71" s="302" t="n">
        <f aca="false" t="array" ref="R71:R71">IFERROR( (AVERAGE((IF(DATOS_[[Sexo]:[Sexo]]=$B71,IF(DATOS_[[AGRUP. VALOR. PTO.]:[AGRUP. VALOR. PTO.]]=$B69,IF(DATOS_[[Check Periodo Ref.]:[Check Periodo Ref.]]="Dentro",IF(DATOS_[[Check Equiparado]:[Check Equiparado]]="Sí",IF(DATOS!AM$4="Sí",(1/DATOS_[[% anualiz]:[% anualiz]]),1)*IF(DATOS!AM$5="Sí",1/DATOS_[[% normaliz]:[% normaliz]],1)*(DATOS_[Conc.Sal.09])))))))), 0)</f>
        <v>0</v>
      </c>
      <c r="S71" s="302" t="n">
        <f aca="false" t="array" ref="S71:S71">IFERROR( (AVERAGE((IF(DATOS_[[Sexo]:[Sexo]]=$B71,IF(DATOS_[[AGRUP. VALOR. PTO.]:[AGRUP. VALOR. PTO.]]=$B69,IF(DATOS_[[Check Periodo Ref.]:[Check Periodo Ref.]]="Dentro",IF(DATOS_[[Check Equiparado]:[Check Equiparado]]="Sí",IF(DATOS!AN$4="Sí",(1/DATOS_[[% anualiz]:[% anualiz]]),1)*IF(DATOS!AN$5="Sí",1/DATOS_[[% normaliz]:[% normaliz]],1)*(DATOS_[Conc.Sal.10])))))))), 0)</f>
        <v>0</v>
      </c>
      <c r="T71" s="302" t="n">
        <f aca="false" t="array" ref="T71:T71">IFERROR( (AVERAGE((IF(DATOS_[[Sexo]:[Sexo]]=$B71,IF(DATOS_[[AGRUP. VALOR. PTO.]:[AGRUP. VALOR. PTO.]]=$B69,IF(DATOS_[[Check Periodo Ref.]:[Check Periodo Ref.]]="Dentro",IF(DATOS_[[Check Equiparado]:[Check Equiparado]]="Sí",IF(DATOS!AO$4="Sí",(1/DATOS_[[% anualiz]:[% anualiz]]),1)*IF(DATOS!AO$5="Sí",1/DATOS_[[% normaliz]:[% normaliz]],1)*(DATOS_[Conc.Sal.11])))))))), 0)</f>
        <v>0</v>
      </c>
      <c r="U71" s="302" t="n">
        <f aca="false" t="array" ref="U71:U71">IFERROR( (AVERAGE((IF(DATOS_[[Sexo]:[Sexo]]=$B71,IF(DATOS_[[AGRUP. VALOR. PTO.]:[AGRUP. VALOR. PTO.]]=$B69,IF(DATOS_[[Check Periodo Ref.]:[Check Periodo Ref.]]="Dentro",IF(DATOS_[[Check Equiparado]:[Check Equiparado]]="Sí",IF(DATOS!AP$4="Sí",(1/DATOS_[[% anualiz]:[% anualiz]]),1)*IF(DATOS!AP$5="Sí",1/DATOS_[[% normaliz]:[% normaliz]],1)*(DATOS_[Conc.Sal.12])))))))), 0)</f>
        <v>0</v>
      </c>
      <c r="V71" s="302" t="n">
        <f aca="false" t="array" ref="V71:V71">IFERROR( (AVERAGE((IF(DATOS_[[Sexo]:[Sexo]]=$B71,IF(DATOS_[[AGRUP. VALOR. PTO.]:[AGRUP. VALOR. PTO.]]=$B69,IF(DATOS_[[Check Periodo Ref.]:[Check Periodo Ref.]]="Dentro",IF(DATOS_[[Check Equiparado]:[Check Equiparado]]="Sí",IF(DATOS!AQ$4="Sí",(1/DATOS_[[% anualiz]:[% anualiz]]),1)*IF(DATOS!AQ$5="Sí",1/DATOS_[[% normaliz]:[% normaliz]],1)*(DATOS_[Conc.Sal.13])))))))), 0)</f>
        <v>0</v>
      </c>
      <c r="W71" s="302" t="n">
        <f aca="false" t="array" ref="W71:W71">IFERROR( (AVERAGE((IF(DATOS_[[Sexo]:[Sexo]]=$B71,IF(DATOS_[[AGRUP. VALOR. PTO.]:[AGRUP. VALOR. PTO.]]=$B69,IF(DATOS_[[Check Periodo Ref.]:[Check Periodo Ref.]]="Dentro",IF(DATOS_[[Check Equiparado]:[Check Equiparado]]="Sí",IF(DATOS!AR$4="Sí",(1/DATOS_[[% anualiz]:[% anualiz]]),1)*IF(DATOS!AR$5="Sí",1/DATOS_[[% normaliz]:[% normaliz]],1)*(DATOS_[Conc.Sal.14])))))))), 0)</f>
        <v>0</v>
      </c>
      <c r="X71" s="302" t="n">
        <f aca="false" t="array" ref="X71:X71">IFERROR( (AVERAGE((IF(DATOS_[[Sexo]:[Sexo]]=$B71,IF(DATOS_[[AGRUP. VALOR. PTO.]:[AGRUP. VALOR. PTO.]]=$B69,IF(DATOS_[[Check Periodo Ref.]:[Check Periodo Ref.]]="Dentro",IF(DATOS_[[Check Equiparado]:[Check Equiparado]]="Sí",IF(DATOS!AS$4="Sí",(1/DATOS_[[% anualiz]:[% anualiz]]),1)*IF(DATOS!AS$5="Sí",1/DATOS_[[% normaliz]:[% normaliz]],1)*(DATOS_[Conc.Sal.15])))))))), 0)</f>
        <v>0</v>
      </c>
      <c r="Y71" s="302" t="n">
        <f aca="false" t="array" ref="Y71:Y71">IFERROR( (AVERAGE((IF(DATOS_[[Sexo]:[Sexo]]=$B71,IF(DATOS_[[AGRUP. VALOR. PTO.]:[AGRUP. VALOR. PTO.]]=$B69,IF(DATOS_[[Check Periodo Ref.]:[Check Periodo Ref.]]="Dentro",IF(DATOS_[[Check Equiparado]:[Check Equiparado]]="Sí",IF(DATOS!AT$4="Sí",(1/DATOS_[[% anualiz]:[% anualiz]]),1)*IF(DATOS!AT$5="Sí",1/DATOS_[[% normaliz]:[% normaliz]],1)*(DATOS_[Conc.Sal.16])))))))), 0)</f>
        <v>0</v>
      </c>
      <c r="Z71" s="302" t="n">
        <f aca="false" t="array" ref="Z71:Z71">IFERROR( (AVERAGE((IF(DATOS_[[Sexo]:[Sexo]]=$B71,IF(DATOS_[[AGRUP. VALOR. PTO.]:[AGRUP. VALOR. PTO.]]=$B69,IF(DATOS_[[Check Periodo Ref.]:[Check Periodo Ref.]]="Dentro",IF(DATOS_[[Check Equiparado]:[Check Equiparado]]="Sí",IF(DATOS!AU$4="Sí",(1/DATOS_[[% anualiz]:[% anualiz]]),1)*IF(DATOS!AU$5="Sí",1/DATOS_[[% normaliz]:[% normaliz]],1)*(DATOS_[Conc.Sal.17])))))))), 0)</f>
        <v>0</v>
      </c>
      <c r="AA71" s="302" t="n">
        <f aca="false" t="array" ref="AA71:AA71">IFERROR( (AVERAGE((IF(DATOS_[[Sexo]:[Sexo]]=$B71,IF(DATOS_[[AGRUP. VALOR. PTO.]:[AGRUP. VALOR. PTO.]]=$B69,IF(DATOS_[[Check Periodo Ref.]:[Check Periodo Ref.]]="Dentro",IF(DATOS_[[Check Equiparado]:[Check Equiparado]]="Sí",IF(DATOS!AV$4="Sí",(1/DATOS_[[% anualiz]:[% anualiz]]),1)*IF(DATOS!AV$5="Sí",1/DATOS_[[% normaliz]:[% normaliz]],1)*(DATOS_[Conc.Sal.18])))))))), 0)</f>
        <v>0</v>
      </c>
      <c r="AB71" s="302" t="n">
        <f aca="false" t="array" ref="AB71:AB71">IFERROR( (AVERAGE((IF(DATOS_[[Sexo]:[Sexo]]=$B71,IF(DATOS_[[AGRUP. VALOR. PTO.]:[AGRUP. VALOR. PTO.]]=$B69,IF(DATOS_[[Check Periodo Ref.]:[Check Periodo Ref.]]="Dentro",IF(DATOS_[[Check Equiparado]:[Check Equiparado]]="Sí",IF(DATOS!AW$4="Sí",(1/DATOS_[[% anualiz]:[% anualiz]]),1)*IF(DATOS!AW$5="Sí",1/DATOS_[[% normaliz]:[% normaliz]],1)*(DATOS_[Conc.Sal.19])))))))), 0)</f>
        <v>0</v>
      </c>
      <c r="AC71" s="302" t="n">
        <f aca="false" t="array" ref="AC71:AC71">IFERROR( (AVERAGE((IF(DATOS_[[Sexo]:[Sexo]]=$B71,IF(DATOS_[[AGRUP. VALOR. PTO.]:[AGRUP. VALOR. PTO.]]=$B69,IF(DATOS_[[Check Periodo Ref.]:[Check Periodo Ref.]]="Dentro",IF(DATOS_[[Check Equiparado]:[Check Equiparado]]="Sí",IF(DATOS!AX$4="Sí",(1/DATOS_[[% anualiz]:[% anualiz]]),1)*IF(DATOS!AX$5="Sí",1/DATOS_[[% normaliz]:[% normaliz]],1)*(DATOS_[Conc.Sal.20])))))))), 0)</f>
        <v>0</v>
      </c>
      <c r="AD71" s="302" t="n">
        <f aca="false" t="array" ref="AD71:AD71">IFERROR( (AVERAGE((IF(DATOS_[[Sexo]:[Sexo]]=$B71,IF(DATOS_[[AGRUP. VALOR. PTO.]:[AGRUP. VALOR. PTO.]]=$B69,IF(DATOS_[[Check Periodo Ref.]:[Check Periodo Ref.]]="Dentro",IF(DATOS_[[Check Equiparado]:[Check Equiparado]]="Sí",IF(DATOS!AY$4="Sí",(1/DATOS_[[% anualiz]:[% anualiz]]),1)*IF(DATOS!AY$5="Sí",1/DATOS_[[% normaliz]:[% normaliz]],1)*(DATOS_[Conc.Sal.21])))))))), 0)</f>
        <v>0</v>
      </c>
      <c r="AE71" s="302" t="n">
        <f aca="false" t="array" ref="AE71:AE71">IFERROR( (AVERAGE((IF(DATOS_[[Sexo]:[Sexo]]=$B71,IF(DATOS_[[AGRUP. VALOR. PTO.]:[AGRUP. VALOR. PTO.]]=$B69,IF(DATOS_[[Check Periodo Ref.]:[Check Periodo Ref.]]="Dentro",IF(DATOS_[[Check Equiparado]:[Check Equiparado]]="Sí",IF(DATOS!AZ$4="Sí",(1/DATOS_[[% anualiz]:[% anualiz]]),1)*IF(DATOS!AZ$5="Sí",1/DATOS_[[% normaliz]:[% normaliz]],1)*(DATOS_[Conc.Sal.22])))))))), 0)</f>
        <v>0</v>
      </c>
      <c r="AF71" s="302" t="n">
        <f aca="false" t="array" ref="AF71:AF71">IFERROR( (AVERAGE((IF(DATOS_[[Sexo]:[Sexo]]=$B71,IF(DATOS_[[AGRUP. VALOR. PTO.]:[AGRUP. VALOR. PTO.]]=$B69,IF(DATOS_[[Check Periodo Ref.]:[Check Periodo Ref.]]="Dentro",IF(DATOS_[[Check Equiparado]:[Check Equiparado]]="Sí",IF(DATOS!BA$4="Sí",(1/DATOS_[[% anualiz]:[% anualiz]]),1)*IF(DATOS!BA$5="Sí",1/DATOS_[[% normaliz]:[% normaliz]],1)*(DATOS_[Conc.Sal.23])))))))), 0)</f>
        <v>0</v>
      </c>
      <c r="AG71" s="302" t="n">
        <f aca="false" t="array" ref="AG71:AG71">IFERROR( (AVERAGE((IF(DATOS_[[Sexo]:[Sexo]]=$B71,IF(DATOS_[[AGRUP. VALOR. PTO.]:[AGRUP. VALOR. PTO.]]=$B69,IF(DATOS_[[Check Periodo Ref.]:[Check Periodo Ref.]]="Dentro",IF(DATOS_[[Check Equiparado]:[Check Equiparado]]="Sí",IF(DATOS!BB$4="Sí",(1/DATOS_[[% anualiz]:[% anualiz]]),1)*IF(DATOS!BB$5="Sí",1/DATOS_[[% normaliz]:[% normaliz]],1)*(DATOS_[Conc.Sal.24])))))))), 0)</f>
        <v>0</v>
      </c>
      <c r="AH71" s="302" t="n">
        <f aca="false" t="array" ref="AH71:AH71">IFERROR( (AVERAGE((IF(DATOS_[[Sexo]:[Sexo]]=$B71,IF(DATOS_[[AGRUP. VALOR. PTO.]:[AGRUP. VALOR. PTO.]]=$B69,IF(DATOS_[[Check Periodo Ref.]:[Check Periodo Ref.]]="Dentro",IF(DATOS_[[Check Equiparado]:[Check Equiparado]]="Sí",IF(DATOS!BC$4="Sí",(1/DATOS_[[% anualiz]:[% anualiz]]),1)*IF(DATOS!BC$5="Sí",1/DATOS_[[% normaliz]:[% normaliz]],1)*(DATOS_[Conc.Sal.25])))))))), 0)</f>
        <v>0</v>
      </c>
      <c r="AI71" s="302" t="n">
        <f aca="false" t="array" ref="AI71:AI71">IFERROR( (AVERAGE((IF(DATOS_[[Sexo]:[Sexo]]=$B71,IF(DATOS_[[AGRUP. VALOR. PTO.]:[AGRUP. VALOR. PTO.]]=$B69,IF(DATOS_[[Check Periodo Ref.]:[Check Periodo Ref.]]="Dentro",IF(DATOS_[[Check Equiparado]:[Check Equiparado]]="Sí",IF(DATOS!BD$4="Sí",(1/DATOS_[[% anualiz]:[% anualiz]]),1)*IF(DATOS!BD$5="Sí",1/DATOS_[[% normaliz]:[% normaliz]],1)*(DATOS_[Conc.Sal.26])))))))), 0)</f>
        <v>0</v>
      </c>
      <c r="AJ71" s="302" t="n">
        <f aca="false" t="array" ref="AJ71:AJ71">IFERROR( (AVERAGE((IF(DATOS_[[Sexo]:[Sexo]]=$B71,IF(DATOS_[[AGRUP. VALOR. PTO.]:[AGRUP. VALOR. PTO.]]=$B69,IF(DATOS_[[Check Periodo Ref.]:[Check Periodo Ref.]]="Dentro",IF(DATOS_[[Check Equiparado]:[Check Equiparado]]="Sí",IF(DATOS!BE$4="Sí",(1/DATOS_[[% anualiz]:[% anualiz]]),1)*IF(DATOS!BE$5="Sí",1/DATOS_[[% normaliz]:[% normaliz]],1)*(DATOS_[Conc.Sal.27])))))))), 0)</f>
        <v>0</v>
      </c>
      <c r="AK71" s="302" t="n">
        <f aca="false" t="array" ref="AK71:AK71">IFERROR( (AVERAGE((IF(DATOS_[[Sexo]:[Sexo]]=$B71,IF(DATOS_[[AGRUP. VALOR. PTO.]:[AGRUP. VALOR. PTO.]]=$B69,IF(DATOS_[[Check Periodo Ref.]:[Check Periodo Ref.]]="Dentro",IF(DATOS_[[Check Equiparado]:[Check Equiparado]]="Sí",IF(DATOS!BF$4="Sí",(1/DATOS_[[% anualiz]:[% anualiz]]),1)*IF(DATOS!BF$5="Sí",1/DATOS_[[% normaliz]:[% normaliz]],1)*(DATOS_[Conc.Sal.28])))))))), 0)</f>
        <v>0</v>
      </c>
      <c r="AL71" s="302" t="n">
        <f aca="false" t="array" ref="AL71:AL71">IFERROR( (AVERAGE((IF(DATOS_[[Sexo]:[Sexo]]=$B71,IF(DATOS_[[AGRUP. VALOR. PTO.]:[AGRUP. VALOR. PTO.]]=$B69,IF(DATOS_[[Check Periodo Ref.]:[Check Periodo Ref.]]="Dentro",IF(DATOS_[[Check Equiparado]:[Check Equiparado]]="Sí",IF(DATOS!BG$4="Sí",(1/DATOS_[[% anualiz]:[% anualiz]]),1)*IF(DATOS!BG$5="Sí",1/DATOS_[[% normaliz]:[% normaliz]],1)*(DATOS_[Conc.Sal.29])))))))), 0)</f>
        <v>0</v>
      </c>
      <c r="AM71" s="302" t="n">
        <f aca="false" t="array" ref="AM71:AM71">IFERROR( (AVERAGE((IF(DATOS_[[Sexo]:[Sexo]]=$B71,IF(DATOS_[[AGRUP. VALOR. PTO.]:[AGRUP. VALOR. PTO.]]=$B69,IF(DATOS_[[Check Periodo Ref.]:[Check Periodo Ref.]]="Dentro",IF(DATOS_[[Check Equiparado]:[Check Equiparado]]="Sí",IF(DATOS!BH$4="Sí",(1/DATOS_[[% anualiz]:[% anualiz]]),1)*IF(DATOS!BH$5="Sí",1/DATOS_[[% normaliz]:[% normaliz]],1)*(DATOS_[Conc.Sal.30])))))))), 0)</f>
        <v>0</v>
      </c>
      <c r="AN71" s="294" t="n">
        <f aca="false" t="array" ref="AN71:AN71">IFERROR( AVERAGE(IF(DATOS_[Sexo]=$B71,IF(DATOS_[[AGRUP. VALOR. PTO.]:[AGRUP. VALOR. PTO.]]=$B69,IF(DATOS_[Check Equiparado]="Sí",IF(DATOS_[Check Periodo Ref.]="Dentro",DATOS_[Tot COMPL.SAL Eq],0))))), 0)</f>
        <v>0</v>
      </c>
      <c r="AO71" s="295" t="n">
        <f aca="false" t="array" ref="AO71:AO71">IFERROR( AVERAGE(IF(DATOS_[Sexo]=$B71,IF(DATOS_[[AGRUP. VALOR. PTO.]:[AGRUP. VALOR. PTO.]]=$B69,IF(DATOS_[Check Equiparado]="Sí",IF(DATOS_[Check Periodo Ref.]="Dentro",DATOS_[TOTAL SALARIO Eq],0))))), 0)</f>
        <v>0</v>
      </c>
      <c r="AP71" s="303" t="n">
        <f aca="false" t="array" ref="AP71:AP71">IFERROR( (AVERAGE((IF(DATOS_[[Sexo]:[Sexo]]=$B71,IF(DATOS_[[AGRUP. VALOR. PTO.]:[AGRUP. VALOR. PTO.]]=$B70,IF(DATOS_[[Check Periodo Ref.]:[Check Periodo Ref.]]="Dentro",IF(DATOS_[[Check Equiparado]:[Check Equiparado]]="Sí",IF(DATOS!BI$4="Sí",(1/DATOS_[[% anualiz]:[% anualiz]]),1)*IF(DATOS!BI$5="Sí",1/DATOS_[[% normaliz]:[% normaliz]],1)*(DATOS_[C.Extra.01])))))))), 0)</f>
        <v>0</v>
      </c>
      <c r="AQ71" s="303" t="n">
        <f aca="false" t="array" ref="AQ71:AQ71">IFERROR( (AVERAGE((IF(DATOS_[[Sexo]:[Sexo]]=$B71,IF(DATOS_[[AGRUP. VALOR. PTO.]:[AGRUP. VALOR. PTO.]]=$B70,IF(DATOS_[[Check Periodo Ref.]:[Check Periodo Ref.]]="Dentro",IF(DATOS_[[Check Equiparado]:[Check Equiparado]]="Sí",IF(DATOS!BJ$4="Sí",(1/DATOS_[[% anualiz]:[% anualiz]]),1)*IF(DATOS!BJ$5="Sí",1/DATOS_[[% normaliz]:[% normaliz]],1)*(DATOS_[C.Extra.02])))))))), 0)</f>
        <v>0</v>
      </c>
      <c r="AR71" s="303" t="n">
        <f aca="false" t="array" ref="AR71:AR71">IFERROR( (AVERAGE((IF(DATOS_[[Sexo]:[Sexo]]=$B71,IF(DATOS_[[AGRUP. VALOR. PTO.]:[AGRUP. VALOR. PTO.]]=$B70,IF(DATOS_[[Check Periodo Ref.]:[Check Periodo Ref.]]="Dentro",IF(DATOS_[[Check Equiparado]:[Check Equiparado]]="Sí",IF(DATOS!BK$4="Sí",(1/DATOS_[[% anualiz]:[% anualiz]]),1)*IF(DATOS!BK$5="Sí",1/DATOS_[[% normaliz]:[% normaliz]],1)*(DATOS_[C.Extra.03])))))))), 0)</f>
        <v>0</v>
      </c>
      <c r="AS71" s="303" t="n">
        <f aca="false" t="array" ref="AS71:AS71">IFERROR( (AVERAGE((IF(DATOS_[[Sexo]:[Sexo]]=$B71,IF(DATOS_[[AGRUP. VALOR. PTO.]:[AGRUP. VALOR. PTO.]]=$B70,IF(DATOS_[[Check Periodo Ref.]:[Check Periodo Ref.]]="Dentro",IF(DATOS_[[Check Equiparado]:[Check Equiparado]]="Sí",IF(DATOS!BL$4="Sí",(1/DATOS_[[% anualiz]:[% anualiz]]),1)*IF(DATOS!BL$5="Sí",1/DATOS_[[% normaliz]:[% normaliz]],1)*(DATOS_[C.Extra.04])))))))), 0)</f>
        <v>0</v>
      </c>
      <c r="AT71" s="303" t="n">
        <f aca="false" t="array" ref="AT71:AT71">IFERROR( (AVERAGE((IF(DATOS_[[Sexo]:[Sexo]]=$B71,IF(DATOS_[[AGRUP. VALOR. PTO.]:[AGRUP. VALOR. PTO.]]=$B70,IF(DATOS_[[Check Periodo Ref.]:[Check Periodo Ref.]]="Dentro",IF(DATOS_[[Check Equiparado]:[Check Equiparado]]="Sí",IF(DATOS!BM$4="Sí",(1/DATOS_[[% anualiz]:[% anualiz]]),1)*IF(DATOS!BM$5="Sí",1/DATOS_[[% normaliz]:[% normaliz]],1)*(DATOS_[C.Extra.05])))))))), 0)</f>
        <v>0</v>
      </c>
      <c r="AU71" s="297" t="n">
        <f aca="false" t="array" ref="AU71:AU71">IFERROR( AVERAGE(IF(DATOS_[Sexo]=$B71,IF(DATOS_[[AGRUP. VALOR. PTO.]:[AGRUP. VALOR. PTO.]]=$B69,IF(DATOS_[Check Equiparado]="Sí",IF(DATOS_[Check Periodo Ref.]="Dentro",DATOS_[Tot Extrasalarial Eq],0))))), 0)</f>
        <v>0</v>
      </c>
      <c r="AV71" s="298" t="n">
        <f aca="false" t="array" ref="AV71:AV71">IFERROR( AVERAGE(IF(DATOS_[Sexo]=$B71,IF(DATOS_[[AGRUP. VALOR. PTO.]:[AGRUP. VALOR. PTO.]]=$B69,IF(DATOS_[Check Equiparado]="Sí",IF(DATOS_[Check Periodo Ref.]="Dentro",DATOS_[TOTAL Retrib Eq],0))))), 0)</f>
        <v>0</v>
      </c>
    </row>
    <row r="72" customFormat="false" ht="15.75" hidden="false" customHeight="false" outlineLevel="0" collapsed="false">
      <c r="A72" s="166" t="str">
        <f aca="false">+A73</f>
        <v>[ocultar]</v>
      </c>
      <c r="B72" s="276" t="s">
        <v>226</v>
      </c>
      <c r="C72" s="277"/>
      <c r="D72" s="278"/>
      <c r="E72" s="278"/>
      <c r="F72" s="278"/>
      <c r="G72" s="278"/>
      <c r="H72" s="278"/>
      <c r="I72" s="279" t="str">
        <f aca="false">IFERROR((I73-I74)/I73,"")</f>
        <v/>
      </c>
      <c r="J72" s="280" t="str">
        <f aca="false">IFERROR((J73-J74)/J73,"")</f>
        <v/>
      </c>
      <c r="K72" s="281" t="str">
        <f aca="false">IFERROR((K73-K74)/K73,"")</f>
        <v/>
      </c>
      <c r="L72" s="281" t="str">
        <f aca="false">IFERROR((L73-L74)/L73,"")</f>
        <v/>
      </c>
      <c r="M72" s="281" t="str">
        <f aca="false">IFERROR((M73-M74)/M73,"")</f>
        <v/>
      </c>
      <c r="N72" s="282" t="str">
        <f aca="false">IFERROR((N73-N74)/N73,"")</f>
        <v/>
      </c>
      <c r="O72" s="283" t="str">
        <f aca="false">IFERROR((O73-O74)/O73,"")</f>
        <v/>
      </c>
      <c r="P72" s="283" t="str">
        <f aca="false">IFERROR((P73-P74)/P73,"")</f>
        <v/>
      </c>
      <c r="Q72" s="283" t="str">
        <f aca="false">IFERROR((Q73-Q74)/Q73,"")</f>
        <v/>
      </c>
      <c r="R72" s="283" t="str">
        <f aca="false">IFERROR((R73-R74)/R73,"")</f>
        <v/>
      </c>
      <c r="S72" s="283" t="str">
        <f aca="false">IFERROR((S73-S74)/S73,"")</f>
        <v/>
      </c>
      <c r="T72" s="283" t="str">
        <f aca="false">IFERROR((T73-T74)/T73,"")</f>
        <v/>
      </c>
      <c r="U72" s="283" t="str">
        <f aca="false">IFERROR((U73-U74)/U73,"")</f>
        <v/>
      </c>
      <c r="V72" s="283" t="str">
        <f aca="false">IFERROR((V73-V74)/V73,"")</f>
        <v/>
      </c>
      <c r="W72" s="283" t="str">
        <f aca="false">IFERROR((W73-W74)/W73,"")</f>
        <v/>
      </c>
      <c r="X72" s="283" t="str">
        <f aca="false">IFERROR((X73-X74)/X73,"")</f>
        <v/>
      </c>
      <c r="Y72" s="283" t="str">
        <f aca="false">IFERROR((Y73-Y74)/Y73,"")</f>
        <v/>
      </c>
      <c r="Z72" s="282" t="str">
        <f aca="false">IFERROR((Z73-Z74)/Z73,"")</f>
        <v/>
      </c>
      <c r="AA72" s="282" t="str">
        <f aca="false">IFERROR((AA73-AA74)/AA73,"")</f>
        <v/>
      </c>
      <c r="AB72" s="282" t="str">
        <f aca="false">IFERROR((AB73-AB74)/AB73,"")</f>
        <v/>
      </c>
      <c r="AC72" s="282" t="str">
        <f aca="false">IFERROR((AC73-AC74)/AC73,"")</f>
        <v/>
      </c>
      <c r="AD72" s="282" t="str">
        <f aca="false">IFERROR((AD73-AD74)/AD73,"")</f>
        <v/>
      </c>
      <c r="AE72" s="282" t="str">
        <f aca="false">IFERROR((AE73-AE74)/AE73,"")</f>
        <v/>
      </c>
      <c r="AF72" s="282" t="str">
        <f aca="false">IFERROR((AF73-AF74)/AF73,"")</f>
        <v/>
      </c>
      <c r="AG72" s="282" t="str">
        <f aca="false">IFERROR((AG73-AG74)/AG73,"")</f>
        <v/>
      </c>
      <c r="AH72" s="282" t="str">
        <f aca="false">IFERROR((AH73-AH74)/AH73,"")</f>
        <v/>
      </c>
      <c r="AI72" s="282" t="str">
        <f aca="false">IFERROR((AI73-AI74)/AI73,"")</f>
        <v/>
      </c>
      <c r="AJ72" s="282" t="str">
        <f aca="false">IFERROR((AJ73-AJ74)/AJ73,"")</f>
        <v/>
      </c>
      <c r="AK72" s="282" t="str">
        <f aca="false">IFERROR((AK73-AK74)/AK73,"")</f>
        <v/>
      </c>
      <c r="AL72" s="282" t="str">
        <f aca="false">IFERROR((AL73-AL74)/AL73,"")</f>
        <v/>
      </c>
      <c r="AM72" s="282" t="str">
        <f aca="false">IFERROR((AM73-AM74)/AM73,"")</f>
        <v/>
      </c>
      <c r="AN72" s="284" t="str">
        <f aca="false">IFERROR((AN73-AN74)/AN73,"")</f>
        <v/>
      </c>
      <c r="AO72" s="285" t="str">
        <f aca="false">IFERROR((AO73-AO74)/AO73,"")</f>
        <v/>
      </c>
      <c r="AP72" s="286" t="str">
        <f aca="false">IFERROR((AP73-AP74)/AP73,"")</f>
        <v/>
      </c>
      <c r="AQ72" s="286" t="str">
        <f aca="false">IFERROR((AQ73-AQ74)/AQ73,"")</f>
        <v/>
      </c>
      <c r="AR72" s="286" t="str">
        <f aca="false">IFERROR((AR73-AR74)/AR73,"")</f>
        <v/>
      </c>
      <c r="AS72" s="286" t="str">
        <f aca="false">IFERROR((AS73-AS74)/AS73,"")</f>
        <v/>
      </c>
      <c r="AT72" s="286" t="str">
        <f aca="false">IFERROR((AT73-AT74)/AT73,"")</f>
        <v/>
      </c>
      <c r="AU72" s="287" t="str">
        <f aca="false">IFERROR((AU73-AU74)/AU73,"")</f>
        <v/>
      </c>
      <c r="AV72" s="288" t="str">
        <f aca="false">IFERROR((AV73-AV74)/AV73,"")</f>
        <v/>
      </c>
    </row>
    <row r="73" customFormat="false" ht="14.25" hidden="false" customHeight="false" outlineLevel="0" collapsed="false">
      <c r="A73" s="166" t="str">
        <f aca="false">+IF(C73+C74=0,"[ocultar]","")</f>
        <v>[ocultar]</v>
      </c>
      <c r="B73" s="289" t="s">
        <v>371</v>
      </c>
      <c r="C73" s="290" t="n">
        <f aca="false" t="array" ref="C73:C73">SUM(IF($B73=DATOS_[Sexo], IF($B72=DATOS_[AGRUP. VALOR. PTO.], IF("Dentro"=DATOS_[Check Periodo Ref.], 1/(COUNTIFS(DATOS_[Sexo],$B73,DATOS_[AGRUP. VALOR. PTO.],$B72,DATOS_[Check Periodo Ref.],"Dentro",DATOS_[id],DATOS_[id]))))))</f>
        <v>0</v>
      </c>
      <c r="D73" s="291" t="n">
        <f aca="false">COUNTIFS(DATOS_[AGRUP. VALOR. PTO.],$B72,DATOS_[Sexo],$B73,DATOS_[Check Periodo Ref.],"Dentro")</f>
        <v>0</v>
      </c>
      <c r="E73" s="291" t="n">
        <f aca="false">COUNTIFS(DATOS_[AGRUP. VALOR. PTO.],$B72,DATOS_[Sexo],$B73,DATOS_[Check Periodo Ref.],"Dentro",DATOS_[Check Nº SC Norm],"Sí")</f>
        <v>0</v>
      </c>
      <c r="F73" s="291" t="n">
        <f aca="false">COUNTIFS(DATOS_[AGRUP. VALOR. PTO.],$B72,DATOS_[Sexo],$B73,DATOS_[Check Periodo Ref.],"Dentro",DATOS_[Check Nº SC Anualiz],"Sí")</f>
        <v>0</v>
      </c>
      <c r="G73" s="291" t="n">
        <f aca="false">COUNTIFS(DATOS_[AGRUP. VALOR. PTO.],$B72,DATOS_[Sexo],$B73,DATOS_[Check Periodo Ref.],"Dentro",DATOS_[Check Nº SC Norm y Anualiz],"Sí")</f>
        <v>0</v>
      </c>
      <c r="H73" s="291" t="n">
        <f aca="false">COUNTIFS(DATOS_[AGRUP. VALOR. PTO.],$B72,DATOS_[Sexo],$B73,DATOS_[Check Periodo Ref.],"Dentro",DATOS_[Check Equiparación],"Sí")</f>
        <v>0</v>
      </c>
      <c r="I73" s="292" t="n">
        <f aca="false" t="array" ref="I73:I73">IFERROR( AVERAGE(IF(DATOS_[Sexo]=$B73,IF(DATOS_[[AGRUP. VALOR. PTO.]:[AGRUP. VALOR. PTO.]]=$B72,IF(DATOS_[Check Equiparado]="Sí",IF(DATOS_[Check Periodo Ref.]="Dentro",DATOS_[SALARIO BASE Eq],0))))), 0)</f>
        <v>0</v>
      </c>
      <c r="J73" s="302" t="n">
        <f aca="false" t="array" ref="J73:J73">IFERROR( (AVERAGE((IF(DATOS_[[Sexo]:[Sexo]]=$B73,IF(DATOS_[[AGRUP. VALOR. PTO.]:[AGRUP. VALOR. PTO.]]=$B72,IF(DATOS_[[Check Periodo Ref.]:[Check Periodo Ref.]]="Dentro",IF(DATOS_[[Check Equiparado]:[Check Equiparado]]="Sí",IF(DATOS!AE$4="Sí",(1/DATOS_[[% anualiz]:[% anualiz]]),1)*IF(DATOS!AE$5="Sí",1/DATOS_[[% normaliz]:[% normaliz]],1)*(DATOS_[Conc.Sal.01])))))))), 0)</f>
        <v>0</v>
      </c>
      <c r="K73" s="302" t="n">
        <f aca="false" t="array" ref="K73:K73">IFERROR( (AVERAGE((IF(DATOS_[[Sexo]:[Sexo]]=$B73,IF(DATOS_[[AGRUP. VALOR. PTO.]:[AGRUP. VALOR. PTO.]]=$B72,IF(DATOS_[[Check Periodo Ref.]:[Check Periodo Ref.]]="Dentro",IF(DATOS_[[Check Equiparado]:[Check Equiparado]]="Sí",IF(DATOS!AF$4="Sí",(1/DATOS_[[% anualiz]:[% anualiz]]),1)*IF(DATOS!AF$5="Sí",1/DATOS_[[% normaliz]:[% normaliz]],1)*(DATOS_[Conc.Sal.02])))))))), 0)</f>
        <v>0</v>
      </c>
      <c r="L73" s="302" t="n">
        <f aca="false" t="array" ref="L73:L73">IFERROR( (AVERAGE((IF(DATOS_[[Sexo]:[Sexo]]=$B73,IF(DATOS_[[AGRUP. VALOR. PTO.]:[AGRUP. VALOR. PTO.]]=$B72,IF(DATOS_[[Check Periodo Ref.]:[Check Periodo Ref.]]="Dentro",IF(DATOS_[[Check Equiparado]:[Check Equiparado]]="Sí",IF(DATOS!AG$4="Sí",(1/DATOS_[[% anualiz]:[% anualiz]]),1)*IF(DATOS!AG$5="Sí",1/DATOS_[[% normaliz]:[% normaliz]],1)*(DATOS_[Conc.Sal.03])))))))), 0)</f>
        <v>0</v>
      </c>
      <c r="M73" s="302" t="n">
        <f aca="false" t="array" ref="M73:M73">IFERROR( (AVERAGE((IF(DATOS_[[Sexo]:[Sexo]]=$B73,IF(DATOS_[[AGRUP. VALOR. PTO.]:[AGRUP. VALOR. PTO.]]=$B72,IF(DATOS_[[Check Periodo Ref.]:[Check Periodo Ref.]]="Dentro",IF(DATOS_[[Check Equiparado]:[Check Equiparado]]="Sí",IF(DATOS!AH$4="Sí",(1/DATOS_[[% anualiz]:[% anualiz]]),1)*IF(DATOS!AH$5="Sí",1/DATOS_[[% normaliz]:[% normaliz]],1)*(DATOS_[Conc.Sal.04])))))))), 0)</f>
        <v>0</v>
      </c>
      <c r="N73" s="302" t="n">
        <f aca="false" t="array" ref="N73:N73">IFERROR( (AVERAGE((IF(DATOS_[[Sexo]:[Sexo]]=$B73,IF(DATOS_[[AGRUP. VALOR. PTO.]:[AGRUP. VALOR. PTO.]]=$B72,IF(DATOS_[[Check Periodo Ref.]:[Check Periodo Ref.]]="Dentro",IF(DATOS_[[Check Equiparado]:[Check Equiparado]]="Sí",IF(DATOS!AI$4="Sí",(1/DATOS_[[% anualiz]:[% anualiz]]),1)*IF(DATOS!AI$5="Sí",1/DATOS_[[% normaliz]:[% normaliz]],1)*(DATOS_[Conc.Sal.05])))))))), 0)</f>
        <v>0</v>
      </c>
      <c r="O73" s="302" t="n">
        <f aca="false" t="array" ref="O73:O73">IFERROR( (AVERAGE((IF(DATOS_[[Sexo]:[Sexo]]=$B73,IF(DATOS_[[AGRUP. VALOR. PTO.]:[AGRUP. VALOR. PTO.]]=$B72,IF(DATOS_[[Check Periodo Ref.]:[Check Periodo Ref.]]="Dentro",IF(DATOS_[[Check Equiparado]:[Check Equiparado]]="Sí",IF(DATOS!AJ$4="Sí",(1/DATOS_[[% anualiz]:[% anualiz]]),1)*IF(DATOS!AJ$5="Sí",1/DATOS_[[% normaliz]:[% normaliz]],1)*(DATOS_[Conc.Sal.06])))))))), 0)</f>
        <v>0</v>
      </c>
      <c r="P73" s="302" t="n">
        <f aca="false" t="array" ref="P73:P73">IFERROR( (AVERAGE((IF(DATOS_[[Sexo]:[Sexo]]=$B73,IF(DATOS_[[AGRUP. VALOR. PTO.]:[AGRUP. VALOR. PTO.]]=$B72,IF(DATOS_[[Check Periodo Ref.]:[Check Periodo Ref.]]="Dentro",IF(DATOS_[[Check Equiparado]:[Check Equiparado]]="Sí",IF(DATOS!AK$4="Sí",(1/DATOS_[[% anualiz]:[% anualiz]]),1)*IF(DATOS!AK$5="Sí",1/DATOS_[[% normaliz]:[% normaliz]],1)*(DATOS_[Conc.Sal.07])))))))), 0)</f>
        <v>0</v>
      </c>
      <c r="Q73" s="302" t="n">
        <f aca="false" t="array" ref="Q73:Q73">IFERROR( (AVERAGE((IF(DATOS_[[Sexo]:[Sexo]]=$B73,IF(DATOS_[[AGRUP. VALOR. PTO.]:[AGRUP. VALOR. PTO.]]=$B72,IF(DATOS_[[Check Periodo Ref.]:[Check Periodo Ref.]]="Dentro",IF(DATOS_[[Check Equiparado]:[Check Equiparado]]="Sí",IF(DATOS!AL$4="Sí",(1/DATOS_[[% anualiz]:[% anualiz]]),1)*IF(DATOS!AL$5="Sí",1/DATOS_[[% normaliz]:[% normaliz]],1)*(DATOS_[Conc.Sal.08])))))))), 0)</f>
        <v>0</v>
      </c>
      <c r="R73" s="302" t="n">
        <f aca="false" t="array" ref="R73:R73">IFERROR( (AVERAGE((IF(DATOS_[[Sexo]:[Sexo]]=$B73,IF(DATOS_[[AGRUP. VALOR. PTO.]:[AGRUP. VALOR. PTO.]]=$B72,IF(DATOS_[[Check Periodo Ref.]:[Check Periodo Ref.]]="Dentro",IF(DATOS_[[Check Equiparado]:[Check Equiparado]]="Sí",IF(DATOS!AM$4="Sí",(1/DATOS_[[% anualiz]:[% anualiz]]),1)*IF(DATOS!AM$5="Sí",1/DATOS_[[% normaliz]:[% normaliz]],1)*(DATOS_[Conc.Sal.09])))))))), 0)</f>
        <v>0</v>
      </c>
      <c r="S73" s="302" t="n">
        <f aca="false" t="array" ref="S73:S73">IFERROR( (AVERAGE((IF(DATOS_[[Sexo]:[Sexo]]=$B73,IF(DATOS_[[AGRUP. VALOR. PTO.]:[AGRUP. VALOR. PTO.]]=$B72,IF(DATOS_[[Check Periodo Ref.]:[Check Periodo Ref.]]="Dentro",IF(DATOS_[[Check Equiparado]:[Check Equiparado]]="Sí",IF(DATOS!AN$4="Sí",(1/DATOS_[[% anualiz]:[% anualiz]]),1)*IF(DATOS!AN$5="Sí",1/DATOS_[[% normaliz]:[% normaliz]],1)*(DATOS_[Conc.Sal.10])))))))), 0)</f>
        <v>0</v>
      </c>
      <c r="T73" s="302" t="n">
        <f aca="false" t="array" ref="T73:T73">IFERROR( (AVERAGE((IF(DATOS_[[Sexo]:[Sexo]]=$B73,IF(DATOS_[[AGRUP. VALOR. PTO.]:[AGRUP. VALOR. PTO.]]=$B72,IF(DATOS_[[Check Periodo Ref.]:[Check Periodo Ref.]]="Dentro",IF(DATOS_[[Check Equiparado]:[Check Equiparado]]="Sí",IF(DATOS!AO$4="Sí",(1/DATOS_[[% anualiz]:[% anualiz]]),1)*IF(DATOS!AO$5="Sí",1/DATOS_[[% normaliz]:[% normaliz]],1)*(DATOS_[Conc.Sal.11])))))))), 0)</f>
        <v>0</v>
      </c>
      <c r="U73" s="302" t="n">
        <f aca="false" t="array" ref="U73:U73">IFERROR( (AVERAGE((IF(DATOS_[[Sexo]:[Sexo]]=$B73,IF(DATOS_[[AGRUP. VALOR. PTO.]:[AGRUP. VALOR. PTO.]]=$B72,IF(DATOS_[[Check Periodo Ref.]:[Check Periodo Ref.]]="Dentro",IF(DATOS_[[Check Equiparado]:[Check Equiparado]]="Sí",IF(DATOS!AP$4="Sí",(1/DATOS_[[% anualiz]:[% anualiz]]),1)*IF(DATOS!AP$5="Sí",1/DATOS_[[% normaliz]:[% normaliz]],1)*(DATOS_[Conc.Sal.12])))))))), 0)</f>
        <v>0</v>
      </c>
      <c r="V73" s="302" t="n">
        <f aca="false" t="array" ref="V73:V73">IFERROR( (AVERAGE((IF(DATOS_[[Sexo]:[Sexo]]=$B73,IF(DATOS_[[AGRUP. VALOR. PTO.]:[AGRUP. VALOR. PTO.]]=$B72,IF(DATOS_[[Check Periodo Ref.]:[Check Periodo Ref.]]="Dentro",IF(DATOS_[[Check Equiparado]:[Check Equiparado]]="Sí",IF(DATOS!AQ$4="Sí",(1/DATOS_[[% anualiz]:[% anualiz]]),1)*IF(DATOS!AQ$5="Sí",1/DATOS_[[% normaliz]:[% normaliz]],1)*(DATOS_[Conc.Sal.13])))))))), 0)</f>
        <v>0</v>
      </c>
      <c r="W73" s="302" t="n">
        <f aca="false" t="array" ref="W73:W73">IFERROR( (AVERAGE((IF(DATOS_[[Sexo]:[Sexo]]=$B73,IF(DATOS_[[AGRUP. VALOR. PTO.]:[AGRUP. VALOR. PTO.]]=$B72,IF(DATOS_[[Check Periodo Ref.]:[Check Periodo Ref.]]="Dentro",IF(DATOS_[[Check Equiparado]:[Check Equiparado]]="Sí",IF(DATOS!AR$4="Sí",(1/DATOS_[[% anualiz]:[% anualiz]]),1)*IF(DATOS!AR$5="Sí",1/DATOS_[[% normaliz]:[% normaliz]],1)*(DATOS_[Conc.Sal.14])))))))), 0)</f>
        <v>0</v>
      </c>
      <c r="X73" s="302" t="n">
        <f aca="false" t="array" ref="X73:X73">IFERROR( (AVERAGE((IF(DATOS_[[Sexo]:[Sexo]]=$B73,IF(DATOS_[[AGRUP. VALOR. PTO.]:[AGRUP. VALOR. PTO.]]=$B72,IF(DATOS_[[Check Periodo Ref.]:[Check Periodo Ref.]]="Dentro",IF(DATOS_[[Check Equiparado]:[Check Equiparado]]="Sí",IF(DATOS!AS$4="Sí",(1/DATOS_[[% anualiz]:[% anualiz]]),1)*IF(DATOS!AS$5="Sí",1/DATOS_[[% normaliz]:[% normaliz]],1)*(DATOS_[Conc.Sal.15])))))))), 0)</f>
        <v>0</v>
      </c>
      <c r="Y73" s="302" t="n">
        <f aca="false" t="array" ref="Y73:Y73">IFERROR( (AVERAGE((IF(DATOS_[[Sexo]:[Sexo]]=$B73,IF(DATOS_[[AGRUP. VALOR. PTO.]:[AGRUP. VALOR. PTO.]]=$B72,IF(DATOS_[[Check Periodo Ref.]:[Check Periodo Ref.]]="Dentro",IF(DATOS_[[Check Equiparado]:[Check Equiparado]]="Sí",IF(DATOS!AT$4="Sí",(1/DATOS_[[% anualiz]:[% anualiz]]),1)*IF(DATOS!AT$5="Sí",1/DATOS_[[% normaliz]:[% normaliz]],1)*(DATOS_[Conc.Sal.16])))))))), 0)</f>
        <v>0</v>
      </c>
      <c r="Z73" s="302" t="n">
        <f aca="false" t="array" ref="Z73:Z73">IFERROR( (AVERAGE((IF(DATOS_[[Sexo]:[Sexo]]=$B73,IF(DATOS_[[AGRUP. VALOR. PTO.]:[AGRUP. VALOR. PTO.]]=$B72,IF(DATOS_[[Check Periodo Ref.]:[Check Periodo Ref.]]="Dentro",IF(DATOS_[[Check Equiparado]:[Check Equiparado]]="Sí",IF(DATOS!AU$4="Sí",(1/DATOS_[[% anualiz]:[% anualiz]]),1)*IF(DATOS!AU$5="Sí",1/DATOS_[[% normaliz]:[% normaliz]],1)*(DATOS_[Conc.Sal.17])))))))), 0)</f>
        <v>0</v>
      </c>
      <c r="AA73" s="302" t="n">
        <f aca="false" t="array" ref="AA73:AA73">IFERROR( (AVERAGE((IF(DATOS_[[Sexo]:[Sexo]]=$B73,IF(DATOS_[[AGRUP. VALOR. PTO.]:[AGRUP. VALOR. PTO.]]=$B72,IF(DATOS_[[Check Periodo Ref.]:[Check Periodo Ref.]]="Dentro",IF(DATOS_[[Check Equiparado]:[Check Equiparado]]="Sí",IF(DATOS!AV$4="Sí",(1/DATOS_[[% anualiz]:[% anualiz]]),1)*IF(DATOS!AV$5="Sí",1/DATOS_[[% normaliz]:[% normaliz]],1)*(DATOS_[Conc.Sal.18])))))))), 0)</f>
        <v>0</v>
      </c>
      <c r="AB73" s="302" t="n">
        <f aca="false" t="array" ref="AB73:AB73">IFERROR( (AVERAGE((IF(DATOS_[[Sexo]:[Sexo]]=$B73,IF(DATOS_[[AGRUP. VALOR. PTO.]:[AGRUP. VALOR. PTO.]]=$B72,IF(DATOS_[[Check Periodo Ref.]:[Check Periodo Ref.]]="Dentro",IF(DATOS_[[Check Equiparado]:[Check Equiparado]]="Sí",IF(DATOS!AW$4="Sí",(1/DATOS_[[% anualiz]:[% anualiz]]),1)*IF(DATOS!AW$5="Sí",1/DATOS_[[% normaliz]:[% normaliz]],1)*(DATOS_[Conc.Sal.19])))))))), 0)</f>
        <v>0</v>
      </c>
      <c r="AC73" s="302" t="n">
        <f aca="false" t="array" ref="AC73:AC73">IFERROR( (AVERAGE((IF(DATOS_[[Sexo]:[Sexo]]=$B73,IF(DATOS_[[AGRUP. VALOR. PTO.]:[AGRUP. VALOR. PTO.]]=$B72,IF(DATOS_[[Check Periodo Ref.]:[Check Periodo Ref.]]="Dentro",IF(DATOS_[[Check Equiparado]:[Check Equiparado]]="Sí",IF(DATOS!AX$4="Sí",(1/DATOS_[[% anualiz]:[% anualiz]]),1)*IF(DATOS!AX$5="Sí",1/DATOS_[[% normaliz]:[% normaliz]],1)*(DATOS_[Conc.Sal.20])))))))), 0)</f>
        <v>0</v>
      </c>
      <c r="AD73" s="302" t="n">
        <f aca="false" t="array" ref="AD73:AD73">IFERROR( (AVERAGE((IF(DATOS_[[Sexo]:[Sexo]]=$B73,IF(DATOS_[[AGRUP. VALOR. PTO.]:[AGRUP. VALOR. PTO.]]=$B72,IF(DATOS_[[Check Periodo Ref.]:[Check Periodo Ref.]]="Dentro",IF(DATOS_[[Check Equiparado]:[Check Equiparado]]="Sí",IF(DATOS!AY$4="Sí",(1/DATOS_[[% anualiz]:[% anualiz]]),1)*IF(DATOS!AY$5="Sí",1/DATOS_[[% normaliz]:[% normaliz]],1)*(DATOS_[Conc.Sal.21])))))))), 0)</f>
        <v>0</v>
      </c>
      <c r="AE73" s="302" t="n">
        <f aca="false" t="array" ref="AE73:AE73">IFERROR( (AVERAGE((IF(DATOS_[[Sexo]:[Sexo]]=$B73,IF(DATOS_[[AGRUP. VALOR. PTO.]:[AGRUP. VALOR. PTO.]]=$B72,IF(DATOS_[[Check Periodo Ref.]:[Check Periodo Ref.]]="Dentro",IF(DATOS_[[Check Equiparado]:[Check Equiparado]]="Sí",IF(DATOS!AZ$4="Sí",(1/DATOS_[[% anualiz]:[% anualiz]]),1)*IF(DATOS!AZ$5="Sí",1/DATOS_[[% normaliz]:[% normaliz]],1)*(DATOS_[Conc.Sal.22])))))))), 0)</f>
        <v>0</v>
      </c>
      <c r="AF73" s="302" t="n">
        <f aca="false" t="array" ref="AF73:AF73">IFERROR( (AVERAGE((IF(DATOS_[[Sexo]:[Sexo]]=$B73,IF(DATOS_[[AGRUP. VALOR. PTO.]:[AGRUP. VALOR. PTO.]]=$B72,IF(DATOS_[[Check Periodo Ref.]:[Check Periodo Ref.]]="Dentro",IF(DATOS_[[Check Equiparado]:[Check Equiparado]]="Sí",IF(DATOS!BA$4="Sí",(1/DATOS_[[% anualiz]:[% anualiz]]),1)*IF(DATOS!BA$5="Sí",1/DATOS_[[% normaliz]:[% normaliz]],1)*(DATOS_[Conc.Sal.23])))))))), 0)</f>
        <v>0</v>
      </c>
      <c r="AG73" s="302" t="n">
        <f aca="false" t="array" ref="AG73:AG73">IFERROR( (AVERAGE((IF(DATOS_[[Sexo]:[Sexo]]=$B73,IF(DATOS_[[AGRUP. VALOR. PTO.]:[AGRUP. VALOR. PTO.]]=$B72,IF(DATOS_[[Check Periodo Ref.]:[Check Periodo Ref.]]="Dentro",IF(DATOS_[[Check Equiparado]:[Check Equiparado]]="Sí",IF(DATOS!BB$4="Sí",(1/DATOS_[[% anualiz]:[% anualiz]]),1)*IF(DATOS!BB$5="Sí",1/DATOS_[[% normaliz]:[% normaliz]],1)*(DATOS_[Conc.Sal.24])))))))), 0)</f>
        <v>0</v>
      </c>
      <c r="AH73" s="302" t="n">
        <f aca="false" t="array" ref="AH73:AH73">IFERROR( (AVERAGE((IF(DATOS_[[Sexo]:[Sexo]]=$B73,IF(DATOS_[[AGRUP. VALOR. PTO.]:[AGRUP. VALOR. PTO.]]=$B72,IF(DATOS_[[Check Periodo Ref.]:[Check Periodo Ref.]]="Dentro",IF(DATOS_[[Check Equiparado]:[Check Equiparado]]="Sí",IF(DATOS!BC$4="Sí",(1/DATOS_[[% anualiz]:[% anualiz]]),1)*IF(DATOS!BC$5="Sí",1/DATOS_[[% normaliz]:[% normaliz]],1)*(DATOS_[Conc.Sal.25])))))))), 0)</f>
        <v>0</v>
      </c>
      <c r="AI73" s="302" t="n">
        <f aca="false" t="array" ref="AI73:AI73">IFERROR( (AVERAGE((IF(DATOS_[[Sexo]:[Sexo]]=$B73,IF(DATOS_[[AGRUP. VALOR. PTO.]:[AGRUP. VALOR. PTO.]]=$B72,IF(DATOS_[[Check Periodo Ref.]:[Check Periodo Ref.]]="Dentro",IF(DATOS_[[Check Equiparado]:[Check Equiparado]]="Sí",IF(DATOS!BD$4="Sí",(1/DATOS_[[% anualiz]:[% anualiz]]),1)*IF(DATOS!BD$5="Sí",1/DATOS_[[% normaliz]:[% normaliz]],1)*(DATOS_[Conc.Sal.26])))))))), 0)</f>
        <v>0</v>
      </c>
      <c r="AJ73" s="302" t="n">
        <f aca="false" t="array" ref="AJ73:AJ73">IFERROR( (AVERAGE((IF(DATOS_[[Sexo]:[Sexo]]=$B73,IF(DATOS_[[AGRUP. VALOR. PTO.]:[AGRUP. VALOR. PTO.]]=$B72,IF(DATOS_[[Check Periodo Ref.]:[Check Periodo Ref.]]="Dentro",IF(DATOS_[[Check Equiparado]:[Check Equiparado]]="Sí",IF(DATOS!BE$4="Sí",(1/DATOS_[[% anualiz]:[% anualiz]]),1)*IF(DATOS!BE$5="Sí",1/DATOS_[[% normaliz]:[% normaliz]],1)*(DATOS_[Conc.Sal.27])))))))), 0)</f>
        <v>0</v>
      </c>
      <c r="AK73" s="302" t="n">
        <f aca="false" t="array" ref="AK73:AK73">IFERROR( (AVERAGE((IF(DATOS_[[Sexo]:[Sexo]]=$B73,IF(DATOS_[[AGRUP. VALOR. PTO.]:[AGRUP. VALOR. PTO.]]=$B72,IF(DATOS_[[Check Periodo Ref.]:[Check Periodo Ref.]]="Dentro",IF(DATOS_[[Check Equiparado]:[Check Equiparado]]="Sí",IF(DATOS!BF$4="Sí",(1/DATOS_[[% anualiz]:[% anualiz]]),1)*IF(DATOS!BF$5="Sí",1/DATOS_[[% normaliz]:[% normaliz]],1)*(DATOS_[Conc.Sal.28])))))))), 0)</f>
        <v>0</v>
      </c>
      <c r="AL73" s="302" t="n">
        <f aca="false" t="array" ref="AL73:AL73">IFERROR( (AVERAGE((IF(DATOS_[[Sexo]:[Sexo]]=$B73,IF(DATOS_[[AGRUP. VALOR. PTO.]:[AGRUP. VALOR. PTO.]]=$B72,IF(DATOS_[[Check Periodo Ref.]:[Check Periodo Ref.]]="Dentro",IF(DATOS_[[Check Equiparado]:[Check Equiparado]]="Sí",IF(DATOS!BG$4="Sí",(1/DATOS_[[% anualiz]:[% anualiz]]),1)*IF(DATOS!BG$5="Sí",1/DATOS_[[% normaliz]:[% normaliz]],1)*(DATOS_[Conc.Sal.29])))))))), 0)</f>
        <v>0</v>
      </c>
      <c r="AM73" s="302" t="n">
        <f aca="false" t="array" ref="AM73:AM73">IFERROR( (AVERAGE((IF(DATOS_[[Sexo]:[Sexo]]=$B73,IF(DATOS_[[AGRUP. VALOR. PTO.]:[AGRUP. VALOR. PTO.]]=$B72,IF(DATOS_[[Check Periodo Ref.]:[Check Periodo Ref.]]="Dentro",IF(DATOS_[[Check Equiparado]:[Check Equiparado]]="Sí",IF(DATOS!BH$4="Sí",(1/DATOS_[[% anualiz]:[% anualiz]]),1)*IF(DATOS!BH$5="Sí",1/DATOS_[[% normaliz]:[% normaliz]],1)*(DATOS_[Conc.Sal.30])))))))), 0)</f>
        <v>0</v>
      </c>
      <c r="AN73" s="294" t="n">
        <f aca="false" t="array" ref="AN73:AN73">IFERROR( AVERAGE(IF(DATOS_[Sexo]=$B73,IF(DATOS_[[AGRUP. VALOR. PTO.]:[AGRUP. VALOR. PTO.]]=$B72,IF(DATOS_[Check Equiparado]="Sí",IF(DATOS_[Check Periodo Ref.]="Dentro",DATOS_[Tot COMPL.SAL Eq],0))))), 0)</f>
        <v>0</v>
      </c>
      <c r="AO73" s="295" t="n">
        <f aca="false" t="array" ref="AO73:AO73">IFERROR( AVERAGE(IF(DATOS_[Sexo]=$B73,IF(DATOS_[[AGRUP. VALOR. PTO.]:[AGRUP. VALOR. PTO.]]=$B72,IF(DATOS_[Check Equiparado]="Sí",IF(DATOS_[Check Periodo Ref.]="Dentro",DATOS_[TOTAL SALARIO Eq],0))))), 0)</f>
        <v>0</v>
      </c>
      <c r="AP73" s="303" t="n">
        <f aca="false" t="array" ref="AP73:AP73">IFERROR( (AVERAGE((IF(DATOS_[[Sexo]:[Sexo]]=$B73,IF(DATOS_[[AGRUP. VALOR. PTO.]:[AGRUP. VALOR. PTO.]]=$B72,IF(DATOS_[[Check Periodo Ref.]:[Check Periodo Ref.]]="Dentro",IF(DATOS_[[Check Equiparado]:[Check Equiparado]]="Sí",IF(DATOS!BI$4="Sí",(1/DATOS_[[% anualiz]:[% anualiz]]),1)*IF(DATOS!BI$5="Sí",1/DATOS_[[% normaliz]:[% normaliz]],1)*(DATOS_[C.Extra.01])))))))), 0)</f>
        <v>0</v>
      </c>
      <c r="AQ73" s="303" t="n">
        <f aca="false" t="array" ref="AQ73:AQ73">IFERROR( (AVERAGE((IF(DATOS_[[Sexo]:[Sexo]]=$B73,IF(DATOS_[[AGRUP. VALOR. PTO.]:[AGRUP. VALOR. PTO.]]=$B72,IF(DATOS_[[Check Periodo Ref.]:[Check Periodo Ref.]]="Dentro",IF(DATOS_[[Check Equiparado]:[Check Equiparado]]="Sí",IF(DATOS!BJ$4="Sí",(1/DATOS_[[% anualiz]:[% anualiz]]),1)*IF(DATOS!BJ$5="Sí",1/DATOS_[[% normaliz]:[% normaliz]],1)*(DATOS_[C.Extra.02])))))))), 0)</f>
        <v>0</v>
      </c>
      <c r="AR73" s="303" t="n">
        <f aca="false" t="array" ref="AR73:AR73">IFERROR( (AVERAGE((IF(DATOS_[[Sexo]:[Sexo]]=$B73,IF(DATOS_[[AGRUP. VALOR. PTO.]:[AGRUP. VALOR. PTO.]]=$B72,IF(DATOS_[[Check Periodo Ref.]:[Check Periodo Ref.]]="Dentro",IF(DATOS_[[Check Equiparado]:[Check Equiparado]]="Sí",IF(DATOS!BK$4="Sí",(1/DATOS_[[% anualiz]:[% anualiz]]),1)*IF(DATOS!BK$5="Sí",1/DATOS_[[% normaliz]:[% normaliz]],1)*(DATOS_[C.Extra.03])))))))), 0)</f>
        <v>0</v>
      </c>
      <c r="AS73" s="303" t="n">
        <f aca="false" t="array" ref="AS73:AS73">IFERROR( (AVERAGE((IF(DATOS_[[Sexo]:[Sexo]]=$B73,IF(DATOS_[[AGRUP. VALOR. PTO.]:[AGRUP. VALOR. PTO.]]=$B72,IF(DATOS_[[Check Periodo Ref.]:[Check Periodo Ref.]]="Dentro",IF(DATOS_[[Check Equiparado]:[Check Equiparado]]="Sí",IF(DATOS!BL$4="Sí",(1/DATOS_[[% anualiz]:[% anualiz]]),1)*IF(DATOS!BL$5="Sí",1/DATOS_[[% normaliz]:[% normaliz]],1)*(DATOS_[C.Extra.04])))))))), 0)</f>
        <v>0</v>
      </c>
      <c r="AT73" s="303" t="n">
        <f aca="false" t="array" ref="AT73:AT73">IFERROR( (AVERAGE((IF(DATOS_[[Sexo]:[Sexo]]=$B73,IF(DATOS_[[AGRUP. VALOR. PTO.]:[AGRUP. VALOR. PTO.]]=$B72,IF(DATOS_[[Check Periodo Ref.]:[Check Periodo Ref.]]="Dentro",IF(DATOS_[[Check Equiparado]:[Check Equiparado]]="Sí",IF(DATOS!BM$4="Sí",(1/DATOS_[[% anualiz]:[% anualiz]]),1)*IF(DATOS!BM$5="Sí",1/DATOS_[[% normaliz]:[% normaliz]],1)*(DATOS_[C.Extra.05])))))))), 0)</f>
        <v>0</v>
      </c>
      <c r="AU73" s="297" t="n">
        <f aca="false" t="array" ref="AU73:AU73">IFERROR( AVERAGE(IF(DATOS_[Sexo]=$B73,IF(DATOS_[[AGRUP. VALOR. PTO.]:[AGRUP. VALOR. PTO.]]=$B72,IF(DATOS_[Check Equiparado]="Sí",IF(DATOS_[Check Periodo Ref.]="Dentro",DATOS_[Tot Extrasalarial Eq],0))))), 0)</f>
        <v>0</v>
      </c>
      <c r="AV73" s="298" t="n">
        <f aca="false" t="array" ref="AV73:AV73">IFERROR( AVERAGE(IF(DATOS_[Sexo]=$B73,IF(DATOS_[[AGRUP. VALOR. PTO.]:[AGRUP. VALOR. PTO.]]=$B72,IF(DATOS_[Check Equiparado]="Sí",IF(DATOS_[Check Periodo Ref.]="Dentro",DATOS_[TOTAL Retrib Eq],0))))), 0)</f>
        <v>0</v>
      </c>
    </row>
    <row r="74" customFormat="false" ht="14.25" hidden="false" customHeight="false" outlineLevel="0" collapsed="false">
      <c r="A74" s="166" t="str">
        <f aca="false">+A73</f>
        <v>[ocultar]</v>
      </c>
      <c r="B74" s="289" t="s">
        <v>372</v>
      </c>
      <c r="C74" s="290" t="n">
        <f aca="false" t="array" ref="C74:C74">SUM(IF($B74=DATOS_[Sexo], IF($B72=DATOS_[AGRUP. VALOR. PTO.], IF("Dentro"=DATOS_[Check Periodo Ref.], 1/(COUNTIFS(DATOS_[Sexo],$B74,DATOS_[AGRUP. VALOR. PTO.],$B72,DATOS_[Check Periodo Ref.],"Dentro",DATOS_[id],DATOS_[id]))))))</f>
        <v>0</v>
      </c>
      <c r="D74" s="291" t="n">
        <f aca="false">COUNTIFS(DATOS_[AGRUP. VALOR. PTO.],$B72,DATOS_[Sexo],$B74,DATOS_[Check Periodo Ref.],"Dentro")</f>
        <v>0</v>
      </c>
      <c r="E74" s="291" t="n">
        <f aca="false">COUNTIFS(DATOS_[AGRUP. VALOR. PTO.],$B72,DATOS_[Sexo],$B74,DATOS_[Check Periodo Ref.],"Dentro",DATOS_[Check Nº SC Norm],"Sí")</f>
        <v>0</v>
      </c>
      <c r="F74" s="291" t="n">
        <f aca="false">COUNTIFS(DATOS_[AGRUP. VALOR. PTO.],$B72,DATOS_[Sexo],$B74,DATOS_[Check Periodo Ref.],"Dentro",DATOS_[Check Nº SC Anualiz],"Sí")</f>
        <v>0</v>
      </c>
      <c r="G74" s="291" t="n">
        <f aca="false">COUNTIFS(DATOS_[AGRUP. VALOR. PTO.],$B72,DATOS_[Sexo],$B74,DATOS_[Check Periodo Ref.],"Dentro",DATOS_[Check Nº SC Norm y Anualiz],"Sí")</f>
        <v>0</v>
      </c>
      <c r="H74" s="291" t="n">
        <f aca="false">COUNTIFS(DATOS_[AGRUP. VALOR. PTO.],$B72,DATOS_[Sexo],$B74,DATOS_[Check Periodo Ref.],"Dentro",DATOS_[Check Equiparación],"Sí")</f>
        <v>0</v>
      </c>
      <c r="I74" s="292" t="n">
        <f aca="false" t="array" ref="I74:I74">IFERROR( AVERAGE(IF(DATOS_[Sexo]=$B74,IF(DATOS_[[AGRUP. VALOR. PTO.]:[AGRUP. VALOR. PTO.]]=$B72,IF(DATOS_[Check Equiparado]="Sí",IF(DATOS_[Check Periodo Ref.]="Dentro",DATOS_[SALARIO BASE Eq],0))))), 0)</f>
        <v>0</v>
      </c>
      <c r="J74" s="302" t="n">
        <f aca="false" t="array" ref="J74:J74">IFERROR( (AVERAGE((IF(DATOS_[[Sexo]:[Sexo]]=$B74,IF(DATOS_[[AGRUP. VALOR. PTO.]:[AGRUP. VALOR. PTO.]]=$B72,IF(DATOS_[[Check Periodo Ref.]:[Check Periodo Ref.]]="Dentro",IF(DATOS_[[Check Equiparado]:[Check Equiparado]]="Sí",IF(DATOS!AE$4="Sí",(1/DATOS_[[% anualiz]:[% anualiz]]),1)*IF(DATOS!AE$5="Sí",1/DATOS_[[% normaliz]:[% normaliz]],1)*(DATOS_[Conc.Sal.01])))))))), 0)</f>
        <v>0</v>
      </c>
      <c r="K74" s="302" t="n">
        <f aca="false" t="array" ref="K74:K74">IFERROR( (AVERAGE((IF(DATOS_[[Sexo]:[Sexo]]=$B74,IF(DATOS_[[AGRUP. VALOR. PTO.]:[AGRUP. VALOR. PTO.]]=$B72,IF(DATOS_[[Check Periodo Ref.]:[Check Periodo Ref.]]="Dentro",IF(DATOS_[[Check Equiparado]:[Check Equiparado]]="Sí",IF(DATOS!AF$4="Sí",(1/DATOS_[[% anualiz]:[% anualiz]]),1)*IF(DATOS!AF$5="Sí",1/DATOS_[[% normaliz]:[% normaliz]],1)*(DATOS_[Conc.Sal.02])))))))), 0)</f>
        <v>0</v>
      </c>
      <c r="L74" s="302" t="n">
        <f aca="false" t="array" ref="L74:L74">IFERROR( (AVERAGE((IF(DATOS_[[Sexo]:[Sexo]]=$B74,IF(DATOS_[[AGRUP. VALOR. PTO.]:[AGRUP. VALOR. PTO.]]=$B72,IF(DATOS_[[Check Periodo Ref.]:[Check Periodo Ref.]]="Dentro",IF(DATOS_[[Check Equiparado]:[Check Equiparado]]="Sí",IF(DATOS!AG$4="Sí",(1/DATOS_[[% anualiz]:[% anualiz]]),1)*IF(DATOS!AG$5="Sí",1/DATOS_[[% normaliz]:[% normaliz]],1)*(DATOS_[Conc.Sal.03])))))))), 0)</f>
        <v>0</v>
      </c>
      <c r="M74" s="302" t="n">
        <f aca="false" t="array" ref="M74:M74">IFERROR( (AVERAGE((IF(DATOS_[[Sexo]:[Sexo]]=$B74,IF(DATOS_[[AGRUP. VALOR. PTO.]:[AGRUP. VALOR. PTO.]]=$B72,IF(DATOS_[[Check Periodo Ref.]:[Check Periodo Ref.]]="Dentro",IF(DATOS_[[Check Equiparado]:[Check Equiparado]]="Sí",IF(DATOS!AH$4="Sí",(1/DATOS_[[% anualiz]:[% anualiz]]),1)*IF(DATOS!AH$5="Sí",1/DATOS_[[% normaliz]:[% normaliz]],1)*(DATOS_[Conc.Sal.04])))))))), 0)</f>
        <v>0</v>
      </c>
      <c r="N74" s="302" t="n">
        <f aca="false" t="array" ref="N74:N74">IFERROR( (AVERAGE((IF(DATOS_[[Sexo]:[Sexo]]=$B74,IF(DATOS_[[AGRUP. VALOR. PTO.]:[AGRUP. VALOR. PTO.]]=$B72,IF(DATOS_[[Check Periodo Ref.]:[Check Periodo Ref.]]="Dentro",IF(DATOS_[[Check Equiparado]:[Check Equiparado]]="Sí",IF(DATOS!AI$4="Sí",(1/DATOS_[[% anualiz]:[% anualiz]]),1)*IF(DATOS!AI$5="Sí",1/DATOS_[[% normaliz]:[% normaliz]],1)*(DATOS_[Conc.Sal.05])))))))), 0)</f>
        <v>0</v>
      </c>
      <c r="O74" s="302" t="n">
        <f aca="false" t="array" ref="O74:O74">IFERROR( (AVERAGE((IF(DATOS_[[Sexo]:[Sexo]]=$B74,IF(DATOS_[[AGRUP. VALOR. PTO.]:[AGRUP. VALOR. PTO.]]=$B72,IF(DATOS_[[Check Periodo Ref.]:[Check Periodo Ref.]]="Dentro",IF(DATOS_[[Check Equiparado]:[Check Equiparado]]="Sí",IF(DATOS!AJ$4="Sí",(1/DATOS_[[% anualiz]:[% anualiz]]),1)*IF(DATOS!AJ$5="Sí",1/DATOS_[[% normaliz]:[% normaliz]],1)*(DATOS_[Conc.Sal.06])))))))), 0)</f>
        <v>0</v>
      </c>
      <c r="P74" s="302" t="n">
        <f aca="false" t="array" ref="P74:P74">IFERROR( (AVERAGE((IF(DATOS_[[Sexo]:[Sexo]]=$B74,IF(DATOS_[[AGRUP. VALOR. PTO.]:[AGRUP. VALOR. PTO.]]=$B72,IF(DATOS_[[Check Periodo Ref.]:[Check Periodo Ref.]]="Dentro",IF(DATOS_[[Check Equiparado]:[Check Equiparado]]="Sí",IF(DATOS!AK$4="Sí",(1/DATOS_[[% anualiz]:[% anualiz]]),1)*IF(DATOS!AK$5="Sí",1/DATOS_[[% normaliz]:[% normaliz]],1)*(DATOS_[Conc.Sal.07])))))))), 0)</f>
        <v>0</v>
      </c>
      <c r="Q74" s="302" t="n">
        <f aca="false" t="array" ref="Q74:Q74">IFERROR( (AVERAGE((IF(DATOS_[[Sexo]:[Sexo]]=$B74,IF(DATOS_[[AGRUP. VALOR. PTO.]:[AGRUP. VALOR. PTO.]]=$B72,IF(DATOS_[[Check Periodo Ref.]:[Check Periodo Ref.]]="Dentro",IF(DATOS_[[Check Equiparado]:[Check Equiparado]]="Sí",IF(DATOS!AL$4="Sí",(1/DATOS_[[% anualiz]:[% anualiz]]),1)*IF(DATOS!AL$5="Sí",1/DATOS_[[% normaliz]:[% normaliz]],1)*(DATOS_[Conc.Sal.08])))))))), 0)</f>
        <v>0</v>
      </c>
      <c r="R74" s="302" t="n">
        <f aca="false" t="array" ref="R74:R74">IFERROR( (AVERAGE((IF(DATOS_[[Sexo]:[Sexo]]=$B74,IF(DATOS_[[AGRUP. VALOR. PTO.]:[AGRUP. VALOR. PTO.]]=$B72,IF(DATOS_[[Check Periodo Ref.]:[Check Periodo Ref.]]="Dentro",IF(DATOS_[[Check Equiparado]:[Check Equiparado]]="Sí",IF(DATOS!AM$4="Sí",(1/DATOS_[[% anualiz]:[% anualiz]]),1)*IF(DATOS!AM$5="Sí",1/DATOS_[[% normaliz]:[% normaliz]],1)*(DATOS_[Conc.Sal.09])))))))), 0)</f>
        <v>0</v>
      </c>
      <c r="S74" s="302" t="n">
        <f aca="false" t="array" ref="S74:S74">IFERROR( (AVERAGE((IF(DATOS_[[Sexo]:[Sexo]]=$B74,IF(DATOS_[[AGRUP. VALOR. PTO.]:[AGRUP. VALOR. PTO.]]=$B72,IF(DATOS_[[Check Periodo Ref.]:[Check Periodo Ref.]]="Dentro",IF(DATOS_[[Check Equiparado]:[Check Equiparado]]="Sí",IF(DATOS!AN$4="Sí",(1/DATOS_[[% anualiz]:[% anualiz]]),1)*IF(DATOS!AN$5="Sí",1/DATOS_[[% normaliz]:[% normaliz]],1)*(DATOS_[Conc.Sal.10])))))))), 0)</f>
        <v>0</v>
      </c>
      <c r="T74" s="302" t="n">
        <f aca="false" t="array" ref="T74:T74">IFERROR( (AVERAGE((IF(DATOS_[[Sexo]:[Sexo]]=$B74,IF(DATOS_[[AGRUP. VALOR. PTO.]:[AGRUP. VALOR. PTO.]]=$B72,IF(DATOS_[[Check Periodo Ref.]:[Check Periodo Ref.]]="Dentro",IF(DATOS_[[Check Equiparado]:[Check Equiparado]]="Sí",IF(DATOS!AO$4="Sí",(1/DATOS_[[% anualiz]:[% anualiz]]),1)*IF(DATOS!AO$5="Sí",1/DATOS_[[% normaliz]:[% normaliz]],1)*(DATOS_[Conc.Sal.11])))))))), 0)</f>
        <v>0</v>
      </c>
      <c r="U74" s="302" t="n">
        <f aca="false" t="array" ref="U74:U74">IFERROR( (AVERAGE((IF(DATOS_[[Sexo]:[Sexo]]=$B74,IF(DATOS_[[AGRUP. VALOR. PTO.]:[AGRUP. VALOR. PTO.]]=$B72,IF(DATOS_[[Check Periodo Ref.]:[Check Periodo Ref.]]="Dentro",IF(DATOS_[[Check Equiparado]:[Check Equiparado]]="Sí",IF(DATOS!AP$4="Sí",(1/DATOS_[[% anualiz]:[% anualiz]]),1)*IF(DATOS!AP$5="Sí",1/DATOS_[[% normaliz]:[% normaliz]],1)*(DATOS_[Conc.Sal.12])))))))), 0)</f>
        <v>0</v>
      </c>
      <c r="V74" s="302" t="n">
        <f aca="false" t="array" ref="V74:V74">IFERROR( (AVERAGE((IF(DATOS_[[Sexo]:[Sexo]]=$B74,IF(DATOS_[[AGRUP. VALOR. PTO.]:[AGRUP. VALOR. PTO.]]=$B72,IF(DATOS_[[Check Periodo Ref.]:[Check Periodo Ref.]]="Dentro",IF(DATOS_[[Check Equiparado]:[Check Equiparado]]="Sí",IF(DATOS!AQ$4="Sí",(1/DATOS_[[% anualiz]:[% anualiz]]),1)*IF(DATOS!AQ$5="Sí",1/DATOS_[[% normaliz]:[% normaliz]],1)*(DATOS_[Conc.Sal.13])))))))), 0)</f>
        <v>0</v>
      </c>
      <c r="W74" s="302" t="n">
        <f aca="false" t="array" ref="W74:W74">IFERROR( (AVERAGE((IF(DATOS_[[Sexo]:[Sexo]]=$B74,IF(DATOS_[[AGRUP. VALOR. PTO.]:[AGRUP. VALOR. PTO.]]=$B72,IF(DATOS_[[Check Periodo Ref.]:[Check Periodo Ref.]]="Dentro",IF(DATOS_[[Check Equiparado]:[Check Equiparado]]="Sí",IF(DATOS!AR$4="Sí",(1/DATOS_[[% anualiz]:[% anualiz]]),1)*IF(DATOS!AR$5="Sí",1/DATOS_[[% normaliz]:[% normaliz]],1)*(DATOS_[Conc.Sal.14])))))))), 0)</f>
        <v>0</v>
      </c>
      <c r="X74" s="302" t="n">
        <f aca="false" t="array" ref="X74:X74">IFERROR( (AVERAGE((IF(DATOS_[[Sexo]:[Sexo]]=$B74,IF(DATOS_[[AGRUP. VALOR. PTO.]:[AGRUP. VALOR. PTO.]]=$B72,IF(DATOS_[[Check Periodo Ref.]:[Check Periodo Ref.]]="Dentro",IF(DATOS_[[Check Equiparado]:[Check Equiparado]]="Sí",IF(DATOS!AS$4="Sí",(1/DATOS_[[% anualiz]:[% anualiz]]),1)*IF(DATOS!AS$5="Sí",1/DATOS_[[% normaliz]:[% normaliz]],1)*(DATOS_[Conc.Sal.15])))))))), 0)</f>
        <v>0</v>
      </c>
      <c r="Y74" s="302" t="n">
        <f aca="false" t="array" ref="Y74:Y74">IFERROR( (AVERAGE((IF(DATOS_[[Sexo]:[Sexo]]=$B74,IF(DATOS_[[AGRUP. VALOR. PTO.]:[AGRUP. VALOR. PTO.]]=$B72,IF(DATOS_[[Check Periodo Ref.]:[Check Periodo Ref.]]="Dentro",IF(DATOS_[[Check Equiparado]:[Check Equiparado]]="Sí",IF(DATOS!AT$4="Sí",(1/DATOS_[[% anualiz]:[% anualiz]]),1)*IF(DATOS!AT$5="Sí",1/DATOS_[[% normaliz]:[% normaliz]],1)*(DATOS_[Conc.Sal.16])))))))), 0)</f>
        <v>0</v>
      </c>
      <c r="Z74" s="302" t="n">
        <f aca="false" t="array" ref="Z74:Z74">IFERROR( (AVERAGE((IF(DATOS_[[Sexo]:[Sexo]]=$B74,IF(DATOS_[[AGRUP. VALOR. PTO.]:[AGRUP. VALOR. PTO.]]=$B72,IF(DATOS_[[Check Periodo Ref.]:[Check Periodo Ref.]]="Dentro",IF(DATOS_[[Check Equiparado]:[Check Equiparado]]="Sí",IF(DATOS!AU$4="Sí",(1/DATOS_[[% anualiz]:[% anualiz]]),1)*IF(DATOS!AU$5="Sí",1/DATOS_[[% normaliz]:[% normaliz]],1)*(DATOS_[Conc.Sal.17])))))))), 0)</f>
        <v>0</v>
      </c>
      <c r="AA74" s="302" t="n">
        <f aca="false" t="array" ref="AA74:AA74">IFERROR( (AVERAGE((IF(DATOS_[[Sexo]:[Sexo]]=$B74,IF(DATOS_[[AGRUP. VALOR. PTO.]:[AGRUP. VALOR. PTO.]]=$B72,IF(DATOS_[[Check Periodo Ref.]:[Check Periodo Ref.]]="Dentro",IF(DATOS_[[Check Equiparado]:[Check Equiparado]]="Sí",IF(DATOS!AV$4="Sí",(1/DATOS_[[% anualiz]:[% anualiz]]),1)*IF(DATOS!AV$5="Sí",1/DATOS_[[% normaliz]:[% normaliz]],1)*(DATOS_[Conc.Sal.18])))))))), 0)</f>
        <v>0</v>
      </c>
      <c r="AB74" s="302" t="n">
        <f aca="false" t="array" ref="AB74:AB74">IFERROR( (AVERAGE((IF(DATOS_[[Sexo]:[Sexo]]=$B74,IF(DATOS_[[AGRUP. VALOR. PTO.]:[AGRUP. VALOR. PTO.]]=$B72,IF(DATOS_[[Check Periodo Ref.]:[Check Periodo Ref.]]="Dentro",IF(DATOS_[[Check Equiparado]:[Check Equiparado]]="Sí",IF(DATOS!AW$4="Sí",(1/DATOS_[[% anualiz]:[% anualiz]]),1)*IF(DATOS!AW$5="Sí",1/DATOS_[[% normaliz]:[% normaliz]],1)*(DATOS_[Conc.Sal.19])))))))), 0)</f>
        <v>0</v>
      </c>
      <c r="AC74" s="302" t="n">
        <f aca="false" t="array" ref="AC74:AC74">IFERROR( (AVERAGE((IF(DATOS_[[Sexo]:[Sexo]]=$B74,IF(DATOS_[[AGRUP. VALOR. PTO.]:[AGRUP. VALOR. PTO.]]=$B72,IF(DATOS_[[Check Periodo Ref.]:[Check Periodo Ref.]]="Dentro",IF(DATOS_[[Check Equiparado]:[Check Equiparado]]="Sí",IF(DATOS!AX$4="Sí",(1/DATOS_[[% anualiz]:[% anualiz]]),1)*IF(DATOS!AX$5="Sí",1/DATOS_[[% normaliz]:[% normaliz]],1)*(DATOS_[Conc.Sal.20])))))))), 0)</f>
        <v>0</v>
      </c>
      <c r="AD74" s="302" t="n">
        <f aca="false" t="array" ref="AD74:AD74">IFERROR( (AVERAGE((IF(DATOS_[[Sexo]:[Sexo]]=$B74,IF(DATOS_[[AGRUP. VALOR. PTO.]:[AGRUP. VALOR. PTO.]]=$B72,IF(DATOS_[[Check Periodo Ref.]:[Check Periodo Ref.]]="Dentro",IF(DATOS_[[Check Equiparado]:[Check Equiparado]]="Sí",IF(DATOS!AY$4="Sí",(1/DATOS_[[% anualiz]:[% anualiz]]),1)*IF(DATOS!AY$5="Sí",1/DATOS_[[% normaliz]:[% normaliz]],1)*(DATOS_[Conc.Sal.21])))))))), 0)</f>
        <v>0</v>
      </c>
      <c r="AE74" s="302" t="n">
        <f aca="false" t="array" ref="AE74:AE74">IFERROR( (AVERAGE((IF(DATOS_[[Sexo]:[Sexo]]=$B74,IF(DATOS_[[AGRUP. VALOR. PTO.]:[AGRUP. VALOR. PTO.]]=$B72,IF(DATOS_[[Check Periodo Ref.]:[Check Periodo Ref.]]="Dentro",IF(DATOS_[[Check Equiparado]:[Check Equiparado]]="Sí",IF(DATOS!AZ$4="Sí",(1/DATOS_[[% anualiz]:[% anualiz]]),1)*IF(DATOS!AZ$5="Sí",1/DATOS_[[% normaliz]:[% normaliz]],1)*(DATOS_[Conc.Sal.22])))))))), 0)</f>
        <v>0</v>
      </c>
      <c r="AF74" s="302" t="n">
        <f aca="false" t="array" ref="AF74:AF74">IFERROR( (AVERAGE((IF(DATOS_[[Sexo]:[Sexo]]=$B74,IF(DATOS_[[AGRUP. VALOR. PTO.]:[AGRUP. VALOR. PTO.]]=$B72,IF(DATOS_[[Check Periodo Ref.]:[Check Periodo Ref.]]="Dentro",IF(DATOS_[[Check Equiparado]:[Check Equiparado]]="Sí",IF(DATOS!BA$4="Sí",(1/DATOS_[[% anualiz]:[% anualiz]]),1)*IF(DATOS!BA$5="Sí",1/DATOS_[[% normaliz]:[% normaliz]],1)*(DATOS_[Conc.Sal.23])))))))), 0)</f>
        <v>0</v>
      </c>
      <c r="AG74" s="302" t="n">
        <f aca="false" t="array" ref="AG74:AG74">IFERROR( (AVERAGE((IF(DATOS_[[Sexo]:[Sexo]]=$B74,IF(DATOS_[[AGRUP. VALOR. PTO.]:[AGRUP. VALOR. PTO.]]=$B72,IF(DATOS_[[Check Periodo Ref.]:[Check Periodo Ref.]]="Dentro",IF(DATOS_[[Check Equiparado]:[Check Equiparado]]="Sí",IF(DATOS!BB$4="Sí",(1/DATOS_[[% anualiz]:[% anualiz]]),1)*IF(DATOS!BB$5="Sí",1/DATOS_[[% normaliz]:[% normaliz]],1)*(DATOS_[Conc.Sal.24])))))))), 0)</f>
        <v>0</v>
      </c>
      <c r="AH74" s="302" t="n">
        <f aca="false" t="array" ref="AH74:AH74">IFERROR( (AVERAGE((IF(DATOS_[[Sexo]:[Sexo]]=$B74,IF(DATOS_[[AGRUP. VALOR. PTO.]:[AGRUP. VALOR. PTO.]]=$B72,IF(DATOS_[[Check Periodo Ref.]:[Check Periodo Ref.]]="Dentro",IF(DATOS_[[Check Equiparado]:[Check Equiparado]]="Sí",IF(DATOS!BC$4="Sí",(1/DATOS_[[% anualiz]:[% anualiz]]),1)*IF(DATOS!BC$5="Sí",1/DATOS_[[% normaliz]:[% normaliz]],1)*(DATOS_[Conc.Sal.25])))))))), 0)</f>
        <v>0</v>
      </c>
      <c r="AI74" s="302" t="n">
        <f aca="false" t="array" ref="AI74:AI74">IFERROR( (AVERAGE((IF(DATOS_[[Sexo]:[Sexo]]=$B74,IF(DATOS_[[AGRUP. VALOR. PTO.]:[AGRUP. VALOR. PTO.]]=$B72,IF(DATOS_[[Check Periodo Ref.]:[Check Periodo Ref.]]="Dentro",IF(DATOS_[[Check Equiparado]:[Check Equiparado]]="Sí",IF(DATOS!BD$4="Sí",(1/DATOS_[[% anualiz]:[% anualiz]]),1)*IF(DATOS!BD$5="Sí",1/DATOS_[[% normaliz]:[% normaliz]],1)*(DATOS_[Conc.Sal.26])))))))), 0)</f>
        <v>0</v>
      </c>
      <c r="AJ74" s="302" t="n">
        <f aca="false" t="array" ref="AJ74:AJ74">IFERROR( (AVERAGE((IF(DATOS_[[Sexo]:[Sexo]]=$B74,IF(DATOS_[[AGRUP. VALOR. PTO.]:[AGRUP. VALOR. PTO.]]=$B72,IF(DATOS_[[Check Periodo Ref.]:[Check Periodo Ref.]]="Dentro",IF(DATOS_[[Check Equiparado]:[Check Equiparado]]="Sí",IF(DATOS!BE$4="Sí",(1/DATOS_[[% anualiz]:[% anualiz]]),1)*IF(DATOS!BE$5="Sí",1/DATOS_[[% normaliz]:[% normaliz]],1)*(DATOS_[Conc.Sal.27])))))))), 0)</f>
        <v>0</v>
      </c>
      <c r="AK74" s="302" t="n">
        <f aca="false" t="array" ref="AK74:AK74">IFERROR( (AVERAGE((IF(DATOS_[[Sexo]:[Sexo]]=$B74,IF(DATOS_[[AGRUP. VALOR. PTO.]:[AGRUP. VALOR. PTO.]]=$B72,IF(DATOS_[[Check Periodo Ref.]:[Check Periodo Ref.]]="Dentro",IF(DATOS_[[Check Equiparado]:[Check Equiparado]]="Sí",IF(DATOS!BF$4="Sí",(1/DATOS_[[% anualiz]:[% anualiz]]),1)*IF(DATOS!BF$5="Sí",1/DATOS_[[% normaliz]:[% normaliz]],1)*(DATOS_[Conc.Sal.28])))))))), 0)</f>
        <v>0</v>
      </c>
      <c r="AL74" s="302" t="n">
        <f aca="false" t="array" ref="AL74:AL74">IFERROR( (AVERAGE((IF(DATOS_[[Sexo]:[Sexo]]=$B74,IF(DATOS_[[AGRUP. VALOR. PTO.]:[AGRUP. VALOR. PTO.]]=$B72,IF(DATOS_[[Check Periodo Ref.]:[Check Periodo Ref.]]="Dentro",IF(DATOS_[[Check Equiparado]:[Check Equiparado]]="Sí",IF(DATOS!BG$4="Sí",(1/DATOS_[[% anualiz]:[% anualiz]]),1)*IF(DATOS!BG$5="Sí",1/DATOS_[[% normaliz]:[% normaliz]],1)*(DATOS_[Conc.Sal.29])))))))), 0)</f>
        <v>0</v>
      </c>
      <c r="AM74" s="302" t="n">
        <f aca="false" t="array" ref="AM74:AM74">IFERROR( (AVERAGE((IF(DATOS_[[Sexo]:[Sexo]]=$B74,IF(DATOS_[[AGRUP. VALOR. PTO.]:[AGRUP. VALOR. PTO.]]=$B72,IF(DATOS_[[Check Periodo Ref.]:[Check Periodo Ref.]]="Dentro",IF(DATOS_[[Check Equiparado]:[Check Equiparado]]="Sí",IF(DATOS!BH$4="Sí",(1/DATOS_[[% anualiz]:[% anualiz]]),1)*IF(DATOS!BH$5="Sí",1/DATOS_[[% normaliz]:[% normaliz]],1)*(DATOS_[Conc.Sal.30])))))))), 0)</f>
        <v>0</v>
      </c>
      <c r="AN74" s="294" t="n">
        <f aca="false" t="array" ref="AN74:AN74">IFERROR( AVERAGE(IF(DATOS_[Sexo]=$B74,IF(DATOS_[[AGRUP. VALOR. PTO.]:[AGRUP. VALOR. PTO.]]=$B72,IF(DATOS_[Check Equiparado]="Sí",IF(DATOS_[Check Periodo Ref.]="Dentro",DATOS_[Tot COMPL.SAL Eq],0))))), 0)</f>
        <v>0</v>
      </c>
      <c r="AO74" s="295" t="n">
        <f aca="false" t="array" ref="AO74:AO74">IFERROR( AVERAGE(IF(DATOS_[Sexo]=$B74,IF(DATOS_[[AGRUP. VALOR. PTO.]:[AGRUP. VALOR. PTO.]]=$B72,IF(DATOS_[Check Equiparado]="Sí",IF(DATOS_[Check Periodo Ref.]="Dentro",DATOS_[TOTAL SALARIO Eq],0))))), 0)</f>
        <v>0</v>
      </c>
      <c r="AP74" s="303" t="n">
        <f aca="false" t="array" ref="AP74:AP74">IFERROR( (AVERAGE((IF(DATOS_[[Sexo]:[Sexo]]=$B74,IF(DATOS_[[AGRUP. VALOR. PTO.]:[AGRUP. VALOR. PTO.]]=$B73,IF(DATOS_[[Check Periodo Ref.]:[Check Periodo Ref.]]="Dentro",IF(DATOS_[[Check Equiparado]:[Check Equiparado]]="Sí",IF(DATOS!BI$4="Sí",(1/DATOS_[[% anualiz]:[% anualiz]]),1)*IF(DATOS!BI$5="Sí",1/DATOS_[[% normaliz]:[% normaliz]],1)*(DATOS_[C.Extra.01])))))))), 0)</f>
        <v>0</v>
      </c>
      <c r="AQ74" s="303" t="n">
        <f aca="false" t="array" ref="AQ74:AQ74">IFERROR( (AVERAGE((IF(DATOS_[[Sexo]:[Sexo]]=$B74,IF(DATOS_[[AGRUP. VALOR. PTO.]:[AGRUP. VALOR. PTO.]]=$B73,IF(DATOS_[[Check Periodo Ref.]:[Check Periodo Ref.]]="Dentro",IF(DATOS_[[Check Equiparado]:[Check Equiparado]]="Sí",IF(DATOS!BJ$4="Sí",(1/DATOS_[[% anualiz]:[% anualiz]]),1)*IF(DATOS!BJ$5="Sí",1/DATOS_[[% normaliz]:[% normaliz]],1)*(DATOS_[C.Extra.02])))))))), 0)</f>
        <v>0</v>
      </c>
      <c r="AR74" s="303" t="n">
        <f aca="false" t="array" ref="AR74:AR74">IFERROR( (AVERAGE((IF(DATOS_[[Sexo]:[Sexo]]=$B74,IF(DATOS_[[AGRUP. VALOR. PTO.]:[AGRUP. VALOR. PTO.]]=$B73,IF(DATOS_[[Check Periodo Ref.]:[Check Periodo Ref.]]="Dentro",IF(DATOS_[[Check Equiparado]:[Check Equiparado]]="Sí",IF(DATOS!BK$4="Sí",(1/DATOS_[[% anualiz]:[% anualiz]]),1)*IF(DATOS!BK$5="Sí",1/DATOS_[[% normaliz]:[% normaliz]],1)*(DATOS_[C.Extra.03])))))))), 0)</f>
        <v>0</v>
      </c>
      <c r="AS74" s="303" t="n">
        <f aca="false" t="array" ref="AS74:AS74">IFERROR( (AVERAGE((IF(DATOS_[[Sexo]:[Sexo]]=$B74,IF(DATOS_[[AGRUP. VALOR. PTO.]:[AGRUP. VALOR. PTO.]]=$B73,IF(DATOS_[[Check Periodo Ref.]:[Check Periodo Ref.]]="Dentro",IF(DATOS_[[Check Equiparado]:[Check Equiparado]]="Sí",IF(DATOS!BL$4="Sí",(1/DATOS_[[% anualiz]:[% anualiz]]),1)*IF(DATOS!BL$5="Sí",1/DATOS_[[% normaliz]:[% normaliz]],1)*(DATOS_[C.Extra.04])))))))), 0)</f>
        <v>0</v>
      </c>
      <c r="AT74" s="303" t="n">
        <f aca="false" t="array" ref="AT74:AT74">IFERROR( (AVERAGE((IF(DATOS_[[Sexo]:[Sexo]]=$B74,IF(DATOS_[[AGRUP. VALOR. PTO.]:[AGRUP. VALOR. PTO.]]=$B73,IF(DATOS_[[Check Periodo Ref.]:[Check Periodo Ref.]]="Dentro",IF(DATOS_[[Check Equiparado]:[Check Equiparado]]="Sí",IF(DATOS!BM$4="Sí",(1/DATOS_[[% anualiz]:[% anualiz]]),1)*IF(DATOS!BM$5="Sí",1/DATOS_[[% normaliz]:[% normaliz]],1)*(DATOS_[C.Extra.05])))))))), 0)</f>
        <v>0</v>
      </c>
      <c r="AU74" s="297" t="n">
        <f aca="false" t="array" ref="AU74:AU74">IFERROR( AVERAGE(IF(DATOS_[Sexo]=$B74,IF(DATOS_[[AGRUP. VALOR. PTO.]:[AGRUP. VALOR. PTO.]]=$B72,IF(DATOS_[Check Equiparado]="Sí",IF(DATOS_[Check Periodo Ref.]="Dentro",DATOS_[Tot Extrasalarial Eq],0))))), 0)</f>
        <v>0</v>
      </c>
      <c r="AV74" s="298" t="n">
        <f aca="false" t="array" ref="AV74:AV74">IFERROR( AVERAGE(IF(DATOS_[Sexo]=$B74,IF(DATOS_[[AGRUP. VALOR. PTO.]:[AGRUP. VALOR. PTO.]]=$B72,IF(DATOS_[Check Equiparado]="Sí",IF(DATOS_[Check Periodo Ref.]="Dentro",DATOS_[TOTAL Retrib Eq],0))))), 0)</f>
        <v>0</v>
      </c>
    </row>
    <row r="75" customFormat="false" ht="15.75" hidden="false" customHeight="false" outlineLevel="0" collapsed="false">
      <c r="A75" s="166" t="str">
        <f aca="false">+A76</f>
        <v>[ocultar]</v>
      </c>
      <c r="B75" s="276" t="s">
        <v>229</v>
      </c>
      <c r="C75" s="277"/>
      <c r="D75" s="278"/>
      <c r="E75" s="278"/>
      <c r="F75" s="278"/>
      <c r="G75" s="278"/>
      <c r="H75" s="278"/>
      <c r="I75" s="279" t="str">
        <f aca="false">IFERROR((I76-I77)/I76,"")</f>
        <v/>
      </c>
      <c r="J75" s="280" t="str">
        <f aca="false">IFERROR((J76-J77)/J76,"")</f>
        <v/>
      </c>
      <c r="K75" s="281" t="str">
        <f aca="false">IFERROR((K76-K77)/K76,"")</f>
        <v/>
      </c>
      <c r="L75" s="281" t="str">
        <f aca="false">IFERROR((L76-L77)/L76,"")</f>
        <v/>
      </c>
      <c r="M75" s="281" t="str">
        <f aca="false">IFERROR((M76-M77)/M76,"")</f>
        <v/>
      </c>
      <c r="N75" s="282" t="str">
        <f aca="false">IFERROR((N76-N77)/N76,"")</f>
        <v/>
      </c>
      <c r="O75" s="283" t="str">
        <f aca="false">IFERROR((O76-O77)/O76,"")</f>
        <v/>
      </c>
      <c r="P75" s="283" t="str">
        <f aca="false">IFERROR((P76-P77)/P76,"")</f>
        <v/>
      </c>
      <c r="Q75" s="283" t="str">
        <f aca="false">IFERROR((Q76-Q77)/Q76,"")</f>
        <v/>
      </c>
      <c r="R75" s="283" t="str">
        <f aca="false">IFERROR((R76-R77)/R76,"")</f>
        <v/>
      </c>
      <c r="S75" s="283" t="str">
        <f aca="false">IFERROR((S76-S77)/S76,"")</f>
        <v/>
      </c>
      <c r="T75" s="283" t="str">
        <f aca="false">IFERROR((T76-T77)/T76,"")</f>
        <v/>
      </c>
      <c r="U75" s="283" t="str">
        <f aca="false">IFERROR((U76-U77)/U76,"")</f>
        <v/>
      </c>
      <c r="V75" s="283" t="str">
        <f aca="false">IFERROR((V76-V77)/V76,"")</f>
        <v/>
      </c>
      <c r="W75" s="283" t="str">
        <f aca="false">IFERROR((W76-W77)/W76,"")</f>
        <v/>
      </c>
      <c r="X75" s="283" t="str">
        <f aca="false">IFERROR((X76-X77)/X76,"")</f>
        <v/>
      </c>
      <c r="Y75" s="283" t="str">
        <f aca="false">IFERROR((Y76-Y77)/Y76,"")</f>
        <v/>
      </c>
      <c r="Z75" s="282" t="str">
        <f aca="false">IFERROR((Z76-Z77)/Z76,"")</f>
        <v/>
      </c>
      <c r="AA75" s="282" t="str">
        <f aca="false">IFERROR((AA76-AA77)/AA76,"")</f>
        <v/>
      </c>
      <c r="AB75" s="282" t="str">
        <f aca="false">IFERROR((AB76-AB77)/AB76,"")</f>
        <v/>
      </c>
      <c r="AC75" s="282" t="str">
        <f aca="false">IFERROR((AC76-AC77)/AC76,"")</f>
        <v/>
      </c>
      <c r="AD75" s="282" t="str">
        <f aca="false">IFERROR((AD76-AD77)/AD76,"")</f>
        <v/>
      </c>
      <c r="AE75" s="282" t="str">
        <f aca="false">IFERROR((AE76-AE77)/AE76,"")</f>
        <v/>
      </c>
      <c r="AF75" s="282" t="str">
        <f aca="false">IFERROR((AF76-AF77)/AF76,"")</f>
        <v/>
      </c>
      <c r="AG75" s="282" t="str">
        <f aca="false">IFERROR((AG76-AG77)/AG76,"")</f>
        <v/>
      </c>
      <c r="AH75" s="282" t="str">
        <f aca="false">IFERROR((AH76-AH77)/AH76,"")</f>
        <v/>
      </c>
      <c r="AI75" s="282" t="str">
        <f aca="false">IFERROR((AI76-AI77)/AI76,"")</f>
        <v/>
      </c>
      <c r="AJ75" s="282" t="str">
        <f aca="false">IFERROR((AJ76-AJ77)/AJ76,"")</f>
        <v/>
      </c>
      <c r="AK75" s="282" t="str">
        <f aca="false">IFERROR((AK76-AK77)/AK76,"")</f>
        <v/>
      </c>
      <c r="AL75" s="282" t="str">
        <f aca="false">IFERROR((AL76-AL77)/AL76,"")</f>
        <v/>
      </c>
      <c r="AM75" s="282" t="str">
        <f aca="false">IFERROR((AM76-AM77)/AM76,"")</f>
        <v/>
      </c>
      <c r="AN75" s="284" t="str">
        <f aca="false">IFERROR((AN76-AN77)/AN76,"")</f>
        <v/>
      </c>
      <c r="AO75" s="285" t="str">
        <f aca="false">IFERROR((AO76-AO77)/AO76,"")</f>
        <v/>
      </c>
      <c r="AP75" s="286" t="str">
        <f aca="false">IFERROR((AP76-AP77)/AP76,"")</f>
        <v/>
      </c>
      <c r="AQ75" s="286" t="str">
        <f aca="false">IFERROR((AQ76-AQ77)/AQ76,"")</f>
        <v/>
      </c>
      <c r="AR75" s="286" t="str">
        <f aca="false">IFERROR((AR76-AR77)/AR76,"")</f>
        <v/>
      </c>
      <c r="AS75" s="286" t="str">
        <f aca="false">IFERROR((AS76-AS77)/AS76,"")</f>
        <v/>
      </c>
      <c r="AT75" s="286" t="str">
        <f aca="false">IFERROR((AT76-AT77)/AT76,"")</f>
        <v/>
      </c>
      <c r="AU75" s="287" t="str">
        <f aca="false">IFERROR((AU76-AU77)/AU76,"")</f>
        <v/>
      </c>
      <c r="AV75" s="288" t="str">
        <f aca="false">IFERROR((AV76-AV77)/AV76,"")</f>
        <v/>
      </c>
    </row>
    <row r="76" customFormat="false" ht="14.25" hidden="false" customHeight="false" outlineLevel="0" collapsed="false">
      <c r="A76" s="166" t="str">
        <f aca="false">+IF(C76+C77=0,"[ocultar]","")</f>
        <v>[ocultar]</v>
      </c>
      <c r="B76" s="289" t="s">
        <v>371</v>
      </c>
      <c r="C76" s="290" t="n">
        <f aca="false" t="array" ref="C76:C76">SUM(IF($B76=DATOS_[Sexo], IF($B75=DATOS_[AGRUP. VALOR. PTO.], IF("Dentro"=DATOS_[Check Periodo Ref.], 1/(COUNTIFS(DATOS_[Sexo],$B76,DATOS_[AGRUP. VALOR. PTO.],$B75,DATOS_[Check Periodo Ref.],"Dentro",DATOS_[id],DATOS_[id]))))))</f>
        <v>0</v>
      </c>
      <c r="D76" s="291" t="n">
        <f aca="false">COUNTIFS(DATOS_[AGRUP. VALOR. PTO.],$B75,DATOS_[Sexo],$B76,DATOS_[Check Periodo Ref.],"Dentro")</f>
        <v>0</v>
      </c>
      <c r="E76" s="291" t="n">
        <f aca="false">COUNTIFS(DATOS_[AGRUP. VALOR. PTO.],$B75,DATOS_[Sexo],$B76,DATOS_[Check Periodo Ref.],"Dentro",DATOS_[Check Nº SC Norm],"Sí")</f>
        <v>0</v>
      </c>
      <c r="F76" s="291" t="n">
        <f aca="false">COUNTIFS(DATOS_[AGRUP. VALOR. PTO.],$B75,DATOS_[Sexo],$B76,DATOS_[Check Periodo Ref.],"Dentro",DATOS_[Check Nº SC Anualiz],"Sí")</f>
        <v>0</v>
      </c>
      <c r="G76" s="291" t="n">
        <f aca="false">COUNTIFS(DATOS_[AGRUP. VALOR. PTO.],$B75,DATOS_[Sexo],$B76,DATOS_[Check Periodo Ref.],"Dentro",DATOS_[Check Nº SC Norm y Anualiz],"Sí")</f>
        <v>0</v>
      </c>
      <c r="H76" s="291" t="n">
        <f aca="false">COUNTIFS(DATOS_[AGRUP. VALOR. PTO.],$B75,DATOS_[Sexo],$B76,DATOS_[Check Periodo Ref.],"Dentro",DATOS_[Check Equiparación],"Sí")</f>
        <v>0</v>
      </c>
      <c r="I76" s="292" t="n">
        <f aca="false" t="array" ref="I76:I76">IFERROR( AVERAGE(IF(DATOS_[Sexo]=$B76,IF(DATOS_[[AGRUP. VALOR. PTO.]:[AGRUP. VALOR. PTO.]]=$B75,IF(DATOS_[Check Equiparado]="Sí",IF(DATOS_[Check Periodo Ref.]="Dentro",DATOS_[SALARIO BASE Eq],0))))), 0)</f>
        <v>0</v>
      </c>
      <c r="J76" s="302" t="n">
        <f aca="false" t="array" ref="J76:J76">IFERROR( (AVERAGE((IF(DATOS_[[Sexo]:[Sexo]]=$B76,IF(DATOS_[[AGRUP. VALOR. PTO.]:[AGRUP. VALOR. PTO.]]=$B75,IF(DATOS_[[Check Periodo Ref.]:[Check Periodo Ref.]]="Dentro",IF(DATOS_[[Check Equiparado]:[Check Equiparado]]="Sí",IF(DATOS!AE$4="Sí",(1/DATOS_[[% anualiz]:[% anualiz]]),1)*IF(DATOS!AE$5="Sí",1/DATOS_[[% normaliz]:[% normaliz]],1)*(DATOS_[Conc.Sal.01])))))))), 0)</f>
        <v>0</v>
      </c>
      <c r="K76" s="302" t="n">
        <f aca="false" t="array" ref="K76:K76">IFERROR( (AVERAGE((IF(DATOS_[[Sexo]:[Sexo]]=$B76,IF(DATOS_[[AGRUP. VALOR. PTO.]:[AGRUP. VALOR. PTO.]]=$B75,IF(DATOS_[[Check Periodo Ref.]:[Check Periodo Ref.]]="Dentro",IF(DATOS_[[Check Equiparado]:[Check Equiparado]]="Sí",IF(DATOS!AF$4="Sí",(1/DATOS_[[% anualiz]:[% anualiz]]),1)*IF(DATOS!AF$5="Sí",1/DATOS_[[% normaliz]:[% normaliz]],1)*(DATOS_[Conc.Sal.02])))))))), 0)</f>
        <v>0</v>
      </c>
      <c r="L76" s="302" t="n">
        <f aca="false" t="array" ref="L76:L76">IFERROR( (AVERAGE((IF(DATOS_[[Sexo]:[Sexo]]=$B76,IF(DATOS_[[AGRUP. VALOR. PTO.]:[AGRUP. VALOR. PTO.]]=$B75,IF(DATOS_[[Check Periodo Ref.]:[Check Periodo Ref.]]="Dentro",IF(DATOS_[[Check Equiparado]:[Check Equiparado]]="Sí",IF(DATOS!AG$4="Sí",(1/DATOS_[[% anualiz]:[% anualiz]]),1)*IF(DATOS!AG$5="Sí",1/DATOS_[[% normaliz]:[% normaliz]],1)*(DATOS_[Conc.Sal.03])))))))), 0)</f>
        <v>0</v>
      </c>
      <c r="M76" s="302" t="n">
        <f aca="false" t="array" ref="M76:M76">IFERROR( (AVERAGE((IF(DATOS_[[Sexo]:[Sexo]]=$B76,IF(DATOS_[[AGRUP. VALOR. PTO.]:[AGRUP. VALOR. PTO.]]=$B75,IF(DATOS_[[Check Periodo Ref.]:[Check Periodo Ref.]]="Dentro",IF(DATOS_[[Check Equiparado]:[Check Equiparado]]="Sí",IF(DATOS!AH$4="Sí",(1/DATOS_[[% anualiz]:[% anualiz]]),1)*IF(DATOS!AH$5="Sí",1/DATOS_[[% normaliz]:[% normaliz]],1)*(DATOS_[Conc.Sal.04])))))))), 0)</f>
        <v>0</v>
      </c>
      <c r="N76" s="302" t="n">
        <f aca="false" t="array" ref="N76:N76">IFERROR( (AVERAGE((IF(DATOS_[[Sexo]:[Sexo]]=$B76,IF(DATOS_[[AGRUP. VALOR. PTO.]:[AGRUP. VALOR. PTO.]]=$B75,IF(DATOS_[[Check Periodo Ref.]:[Check Periodo Ref.]]="Dentro",IF(DATOS_[[Check Equiparado]:[Check Equiparado]]="Sí",IF(DATOS!AI$4="Sí",(1/DATOS_[[% anualiz]:[% anualiz]]),1)*IF(DATOS!AI$5="Sí",1/DATOS_[[% normaliz]:[% normaliz]],1)*(DATOS_[Conc.Sal.05])))))))), 0)</f>
        <v>0</v>
      </c>
      <c r="O76" s="302" t="n">
        <f aca="false" t="array" ref="O76:O76">IFERROR( (AVERAGE((IF(DATOS_[[Sexo]:[Sexo]]=$B76,IF(DATOS_[[AGRUP. VALOR. PTO.]:[AGRUP. VALOR. PTO.]]=$B75,IF(DATOS_[[Check Periodo Ref.]:[Check Periodo Ref.]]="Dentro",IF(DATOS_[[Check Equiparado]:[Check Equiparado]]="Sí",IF(DATOS!AJ$4="Sí",(1/DATOS_[[% anualiz]:[% anualiz]]),1)*IF(DATOS!AJ$5="Sí",1/DATOS_[[% normaliz]:[% normaliz]],1)*(DATOS_[Conc.Sal.06])))))))), 0)</f>
        <v>0</v>
      </c>
      <c r="P76" s="302" t="n">
        <f aca="false" t="array" ref="P76:P76">IFERROR( (AVERAGE((IF(DATOS_[[Sexo]:[Sexo]]=$B76,IF(DATOS_[[AGRUP. VALOR. PTO.]:[AGRUP. VALOR. PTO.]]=$B75,IF(DATOS_[[Check Periodo Ref.]:[Check Periodo Ref.]]="Dentro",IF(DATOS_[[Check Equiparado]:[Check Equiparado]]="Sí",IF(DATOS!AK$4="Sí",(1/DATOS_[[% anualiz]:[% anualiz]]),1)*IF(DATOS!AK$5="Sí",1/DATOS_[[% normaliz]:[% normaliz]],1)*(DATOS_[Conc.Sal.07])))))))), 0)</f>
        <v>0</v>
      </c>
      <c r="Q76" s="302" t="n">
        <f aca="false" t="array" ref="Q76:Q76">IFERROR( (AVERAGE((IF(DATOS_[[Sexo]:[Sexo]]=$B76,IF(DATOS_[[AGRUP. VALOR. PTO.]:[AGRUP. VALOR. PTO.]]=$B75,IF(DATOS_[[Check Periodo Ref.]:[Check Periodo Ref.]]="Dentro",IF(DATOS_[[Check Equiparado]:[Check Equiparado]]="Sí",IF(DATOS!AL$4="Sí",(1/DATOS_[[% anualiz]:[% anualiz]]),1)*IF(DATOS!AL$5="Sí",1/DATOS_[[% normaliz]:[% normaliz]],1)*(DATOS_[Conc.Sal.08])))))))), 0)</f>
        <v>0</v>
      </c>
      <c r="R76" s="302" t="n">
        <f aca="false" t="array" ref="R76:R76">IFERROR( (AVERAGE((IF(DATOS_[[Sexo]:[Sexo]]=$B76,IF(DATOS_[[AGRUP. VALOR. PTO.]:[AGRUP. VALOR. PTO.]]=$B75,IF(DATOS_[[Check Periodo Ref.]:[Check Periodo Ref.]]="Dentro",IF(DATOS_[[Check Equiparado]:[Check Equiparado]]="Sí",IF(DATOS!AM$4="Sí",(1/DATOS_[[% anualiz]:[% anualiz]]),1)*IF(DATOS!AM$5="Sí",1/DATOS_[[% normaliz]:[% normaliz]],1)*(DATOS_[Conc.Sal.09])))))))), 0)</f>
        <v>0</v>
      </c>
      <c r="S76" s="302" t="n">
        <f aca="false" t="array" ref="S76:S76">IFERROR( (AVERAGE((IF(DATOS_[[Sexo]:[Sexo]]=$B76,IF(DATOS_[[AGRUP. VALOR. PTO.]:[AGRUP. VALOR. PTO.]]=$B75,IF(DATOS_[[Check Periodo Ref.]:[Check Periodo Ref.]]="Dentro",IF(DATOS_[[Check Equiparado]:[Check Equiparado]]="Sí",IF(DATOS!AN$4="Sí",(1/DATOS_[[% anualiz]:[% anualiz]]),1)*IF(DATOS!AN$5="Sí",1/DATOS_[[% normaliz]:[% normaliz]],1)*(DATOS_[Conc.Sal.10])))))))), 0)</f>
        <v>0</v>
      </c>
      <c r="T76" s="302" t="n">
        <f aca="false" t="array" ref="T76:T76">IFERROR( (AVERAGE((IF(DATOS_[[Sexo]:[Sexo]]=$B76,IF(DATOS_[[AGRUP. VALOR. PTO.]:[AGRUP. VALOR. PTO.]]=$B75,IF(DATOS_[[Check Periodo Ref.]:[Check Periodo Ref.]]="Dentro",IF(DATOS_[[Check Equiparado]:[Check Equiparado]]="Sí",IF(DATOS!AO$4="Sí",(1/DATOS_[[% anualiz]:[% anualiz]]),1)*IF(DATOS!AO$5="Sí",1/DATOS_[[% normaliz]:[% normaliz]],1)*(DATOS_[Conc.Sal.11])))))))), 0)</f>
        <v>0</v>
      </c>
      <c r="U76" s="302" t="n">
        <f aca="false" t="array" ref="U76:U76">IFERROR( (AVERAGE((IF(DATOS_[[Sexo]:[Sexo]]=$B76,IF(DATOS_[[AGRUP. VALOR. PTO.]:[AGRUP. VALOR. PTO.]]=$B75,IF(DATOS_[[Check Periodo Ref.]:[Check Periodo Ref.]]="Dentro",IF(DATOS_[[Check Equiparado]:[Check Equiparado]]="Sí",IF(DATOS!AP$4="Sí",(1/DATOS_[[% anualiz]:[% anualiz]]),1)*IF(DATOS!AP$5="Sí",1/DATOS_[[% normaliz]:[% normaliz]],1)*(DATOS_[Conc.Sal.12])))))))), 0)</f>
        <v>0</v>
      </c>
      <c r="V76" s="302" t="n">
        <f aca="false" t="array" ref="V76:V76">IFERROR( (AVERAGE((IF(DATOS_[[Sexo]:[Sexo]]=$B76,IF(DATOS_[[AGRUP. VALOR. PTO.]:[AGRUP. VALOR. PTO.]]=$B75,IF(DATOS_[[Check Periodo Ref.]:[Check Periodo Ref.]]="Dentro",IF(DATOS_[[Check Equiparado]:[Check Equiparado]]="Sí",IF(DATOS!AQ$4="Sí",(1/DATOS_[[% anualiz]:[% anualiz]]),1)*IF(DATOS!AQ$5="Sí",1/DATOS_[[% normaliz]:[% normaliz]],1)*(DATOS_[Conc.Sal.13])))))))), 0)</f>
        <v>0</v>
      </c>
      <c r="W76" s="302" t="n">
        <f aca="false" t="array" ref="W76:W76">IFERROR( (AVERAGE((IF(DATOS_[[Sexo]:[Sexo]]=$B76,IF(DATOS_[[AGRUP. VALOR. PTO.]:[AGRUP. VALOR. PTO.]]=$B75,IF(DATOS_[[Check Periodo Ref.]:[Check Periodo Ref.]]="Dentro",IF(DATOS_[[Check Equiparado]:[Check Equiparado]]="Sí",IF(DATOS!AR$4="Sí",(1/DATOS_[[% anualiz]:[% anualiz]]),1)*IF(DATOS!AR$5="Sí",1/DATOS_[[% normaliz]:[% normaliz]],1)*(DATOS_[Conc.Sal.14])))))))), 0)</f>
        <v>0</v>
      </c>
      <c r="X76" s="302" t="n">
        <f aca="false" t="array" ref="X76:X76">IFERROR( (AVERAGE((IF(DATOS_[[Sexo]:[Sexo]]=$B76,IF(DATOS_[[AGRUP. VALOR. PTO.]:[AGRUP. VALOR. PTO.]]=$B75,IF(DATOS_[[Check Periodo Ref.]:[Check Periodo Ref.]]="Dentro",IF(DATOS_[[Check Equiparado]:[Check Equiparado]]="Sí",IF(DATOS!AS$4="Sí",(1/DATOS_[[% anualiz]:[% anualiz]]),1)*IF(DATOS!AS$5="Sí",1/DATOS_[[% normaliz]:[% normaliz]],1)*(DATOS_[Conc.Sal.15])))))))), 0)</f>
        <v>0</v>
      </c>
      <c r="Y76" s="302" t="n">
        <f aca="false" t="array" ref="Y76:Y76">IFERROR( (AVERAGE((IF(DATOS_[[Sexo]:[Sexo]]=$B76,IF(DATOS_[[AGRUP. VALOR. PTO.]:[AGRUP. VALOR. PTO.]]=$B75,IF(DATOS_[[Check Periodo Ref.]:[Check Periodo Ref.]]="Dentro",IF(DATOS_[[Check Equiparado]:[Check Equiparado]]="Sí",IF(DATOS!AT$4="Sí",(1/DATOS_[[% anualiz]:[% anualiz]]),1)*IF(DATOS!AT$5="Sí",1/DATOS_[[% normaliz]:[% normaliz]],1)*(DATOS_[Conc.Sal.16])))))))), 0)</f>
        <v>0</v>
      </c>
      <c r="Z76" s="302" t="n">
        <f aca="false" t="array" ref="Z76:Z76">IFERROR( (AVERAGE((IF(DATOS_[[Sexo]:[Sexo]]=$B76,IF(DATOS_[[AGRUP. VALOR. PTO.]:[AGRUP. VALOR. PTO.]]=$B75,IF(DATOS_[[Check Periodo Ref.]:[Check Periodo Ref.]]="Dentro",IF(DATOS_[[Check Equiparado]:[Check Equiparado]]="Sí",IF(DATOS!AU$4="Sí",(1/DATOS_[[% anualiz]:[% anualiz]]),1)*IF(DATOS!AU$5="Sí",1/DATOS_[[% normaliz]:[% normaliz]],1)*(DATOS_[Conc.Sal.17])))))))), 0)</f>
        <v>0</v>
      </c>
      <c r="AA76" s="302" t="n">
        <f aca="false" t="array" ref="AA76:AA76">IFERROR( (AVERAGE((IF(DATOS_[[Sexo]:[Sexo]]=$B76,IF(DATOS_[[AGRUP. VALOR. PTO.]:[AGRUP. VALOR. PTO.]]=$B75,IF(DATOS_[[Check Periodo Ref.]:[Check Periodo Ref.]]="Dentro",IF(DATOS_[[Check Equiparado]:[Check Equiparado]]="Sí",IF(DATOS!AV$4="Sí",(1/DATOS_[[% anualiz]:[% anualiz]]),1)*IF(DATOS!AV$5="Sí",1/DATOS_[[% normaliz]:[% normaliz]],1)*(DATOS_[Conc.Sal.18])))))))), 0)</f>
        <v>0</v>
      </c>
      <c r="AB76" s="302" t="n">
        <f aca="false" t="array" ref="AB76:AB76">IFERROR( (AVERAGE((IF(DATOS_[[Sexo]:[Sexo]]=$B76,IF(DATOS_[[AGRUP. VALOR. PTO.]:[AGRUP. VALOR. PTO.]]=$B75,IF(DATOS_[[Check Periodo Ref.]:[Check Periodo Ref.]]="Dentro",IF(DATOS_[[Check Equiparado]:[Check Equiparado]]="Sí",IF(DATOS!AW$4="Sí",(1/DATOS_[[% anualiz]:[% anualiz]]),1)*IF(DATOS!AW$5="Sí",1/DATOS_[[% normaliz]:[% normaliz]],1)*(DATOS_[Conc.Sal.19])))))))), 0)</f>
        <v>0</v>
      </c>
      <c r="AC76" s="302" t="n">
        <f aca="false" t="array" ref="AC76:AC76">IFERROR( (AVERAGE((IF(DATOS_[[Sexo]:[Sexo]]=$B76,IF(DATOS_[[AGRUP. VALOR. PTO.]:[AGRUP. VALOR. PTO.]]=$B75,IF(DATOS_[[Check Periodo Ref.]:[Check Periodo Ref.]]="Dentro",IF(DATOS_[[Check Equiparado]:[Check Equiparado]]="Sí",IF(DATOS!AX$4="Sí",(1/DATOS_[[% anualiz]:[% anualiz]]),1)*IF(DATOS!AX$5="Sí",1/DATOS_[[% normaliz]:[% normaliz]],1)*(DATOS_[Conc.Sal.20])))))))), 0)</f>
        <v>0</v>
      </c>
      <c r="AD76" s="302" t="n">
        <f aca="false" t="array" ref="AD76:AD76">IFERROR( (AVERAGE((IF(DATOS_[[Sexo]:[Sexo]]=$B76,IF(DATOS_[[AGRUP. VALOR. PTO.]:[AGRUP. VALOR. PTO.]]=$B75,IF(DATOS_[[Check Periodo Ref.]:[Check Periodo Ref.]]="Dentro",IF(DATOS_[[Check Equiparado]:[Check Equiparado]]="Sí",IF(DATOS!AY$4="Sí",(1/DATOS_[[% anualiz]:[% anualiz]]),1)*IF(DATOS!AY$5="Sí",1/DATOS_[[% normaliz]:[% normaliz]],1)*(DATOS_[Conc.Sal.21])))))))), 0)</f>
        <v>0</v>
      </c>
      <c r="AE76" s="302" t="n">
        <f aca="false" t="array" ref="AE76:AE76">IFERROR( (AVERAGE((IF(DATOS_[[Sexo]:[Sexo]]=$B76,IF(DATOS_[[AGRUP. VALOR. PTO.]:[AGRUP. VALOR. PTO.]]=$B75,IF(DATOS_[[Check Periodo Ref.]:[Check Periodo Ref.]]="Dentro",IF(DATOS_[[Check Equiparado]:[Check Equiparado]]="Sí",IF(DATOS!AZ$4="Sí",(1/DATOS_[[% anualiz]:[% anualiz]]),1)*IF(DATOS!AZ$5="Sí",1/DATOS_[[% normaliz]:[% normaliz]],1)*(DATOS_[Conc.Sal.22])))))))), 0)</f>
        <v>0</v>
      </c>
      <c r="AF76" s="302" t="n">
        <f aca="false" t="array" ref="AF76:AF76">IFERROR( (AVERAGE((IF(DATOS_[[Sexo]:[Sexo]]=$B76,IF(DATOS_[[AGRUP. VALOR. PTO.]:[AGRUP. VALOR. PTO.]]=$B75,IF(DATOS_[[Check Periodo Ref.]:[Check Periodo Ref.]]="Dentro",IF(DATOS_[[Check Equiparado]:[Check Equiparado]]="Sí",IF(DATOS!BA$4="Sí",(1/DATOS_[[% anualiz]:[% anualiz]]),1)*IF(DATOS!BA$5="Sí",1/DATOS_[[% normaliz]:[% normaliz]],1)*(DATOS_[Conc.Sal.23])))))))), 0)</f>
        <v>0</v>
      </c>
      <c r="AG76" s="302" t="n">
        <f aca="false" t="array" ref="AG76:AG76">IFERROR( (AVERAGE((IF(DATOS_[[Sexo]:[Sexo]]=$B76,IF(DATOS_[[AGRUP. VALOR. PTO.]:[AGRUP. VALOR. PTO.]]=$B75,IF(DATOS_[[Check Periodo Ref.]:[Check Periodo Ref.]]="Dentro",IF(DATOS_[[Check Equiparado]:[Check Equiparado]]="Sí",IF(DATOS!BB$4="Sí",(1/DATOS_[[% anualiz]:[% anualiz]]),1)*IF(DATOS!BB$5="Sí",1/DATOS_[[% normaliz]:[% normaliz]],1)*(DATOS_[Conc.Sal.24])))))))), 0)</f>
        <v>0</v>
      </c>
      <c r="AH76" s="302" t="n">
        <f aca="false" t="array" ref="AH76:AH76">IFERROR( (AVERAGE((IF(DATOS_[[Sexo]:[Sexo]]=$B76,IF(DATOS_[[AGRUP. VALOR. PTO.]:[AGRUP. VALOR. PTO.]]=$B75,IF(DATOS_[[Check Periodo Ref.]:[Check Periodo Ref.]]="Dentro",IF(DATOS_[[Check Equiparado]:[Check Equiparado]]="Sí",IF(DATOS!BC$4="Sí",(1/DATOS_[[% anualiz]:[% anualiz]]),1)*IF(DATOS!BC$5="Sí",1/DATOS_[[% normaliz]:[% normaliz]],1)*(DATOS_[Conc.Sal.25])))))))), 0)</f>
        <v>0</v>
      </c>
      <c r="AI76" s="302" t="n">
        <f aca="false" t="array" ref="AI76:AI76">IFERROR( (AVERAGE((IF(DATOS_[[Sexo]:[Sexo]]=$B76,IF(DATOS_[[AGRUP. VALOR. PTO.]:[AGRUP. VALOR. PTO.]]=$B75,IF(DATOS_[[Check Periodo Ref.]:[Check Periodo Ref.]]="Dentro",IF(DATOS_[[Check Equiparado]:[Check Equiparado]]="Sí",IF(DATOS!BD$4="Sí",(1/DATOS_[[% anualiz]:[% anualiz]]),1)*IF(DATOS!BD$5="Sí",1/DATOS_[[% normaliz]:[% normaliz]],1)*(DATOS_[Conc.Sal.26])))))))), 0)</f>
        <v>0</v>
      </c>
      <c r="AJ76" s="302" t="n">
        <f aca="false" t="array" ref="AJ76:AJ76">IFERROR( (AVERAGE((IF(DATOS_[[Sexo]:[Sexo]]=$B76,IF(DATOS_[[AGRUP. VALOR. PTO.]:[AGRUP. VALOR. PTO.]]=$B75,IF(DATOS_[[Check Periodo Ref.]:[Check Periodo Ref.]]="Dentro",IF(DATOS_[[Check Equiparado]:[Check Equiparado]]="Sí",IF(DATOS!BE$4="Sí",(1/DATOS_[[% anualiz]:[% anualiz]]),1)*IF(DATOS!BE$5="Sí",1/DATOS_[[% normaliz]:[% normaliz]],1)*(DATOS_[Conc.Sal.27])))))))), 0)</f>
        <v>0</v>
      </c>
      <c r="AK76" s="302" t="n">
        <f aca="false" t="array" ref="AK76:AK76">IFERROR( (AVERAGE((IF(DATOS_[[Sexo]:[Sexo]]=$B76,IF(DATOS_[[AGRUP. VALOR. PTO.]:[AGRUP. VALOR. PTO.]]=$B75,IF(DATOS_[[Check Periodo Ref.]:[Check Periodo Ref.]]="Dentro",IF(DATOS_[[Check Equiparado]:[Check Equiparado]]="Sí",IF(DATOS!BF$4="Sí",(1/DATOS_[[% anualiz]:[% anualiz]]),1)*IF(DATOS!BF$5="Sí",1/DATOS_[[% normaliz]:[% normaliz]],1)*(DATOS_[Conc.Sal.28])))))))), 0)</f>
        <v>0</v>
      </c>
      <c r="AL76" s="302" t="n">
        <f aca="false" t="array" ref="AL76:AL76">IFERROR( (AVERAGE((IF(DATOS_[[Sexo]:[Sexo]]=$B76,IF(DATOS_[[AGRUP. VALOR. PTO.]:[AGRUP. VALOR. PTO.]]=$B75,IF(DATOS_[[Check Periodo Ref.]:[Check Periodo Ref.]]="Dentro",IF(DATOS_[[Check Equiparado]:[Check Equiparado]]="Sí",IF(DATOS!BG$4="Sí",(1/DATOS_[[% anualiz]:[% anualiz]]),1)*IF(DATOS!BG$5="Sí",1/DATOS_[[% normaliz]:[% normaliz]],1)*(DATOS_[Conc.Sal.29])))))))), 0)</f>
        <v>0</v>
      </c>
      <c r="AM76" s="302" t="n">
        <f aca="false" t="array" ref="AM76:AM76">IFERROR( (AVERAGE((IF(DATOS_[[Sexo]:[Sexo]]=$B76,IF(DATOS_[[AGRUP. VALOR. PTO.]:[AGRUP. VALOR. PTO.]]=$B75,IF(DATOS_[[Check Periodo Ref.]:[Check Periodo Ref.]]="Dentro",IF(DATOS_[[Check Equiparado]:[Check Equiparado]]="Sí",IF(DATOS!BH$4="Sí",(1/DATOS_[[% anualiz]:[% anualiz]]),1)*IF(DATOS!BH$5="Sí",1/DATOS_[[% normaliz]:[% normaliz]],1)*(DATOS_[Conc.Sal.30])))))))), 0)</f>
        <v>0</v>
      </c>
      <c r="AN76" s="294" t="n">
        <f aca="false" t="array" ref="AN76:AN76">IFERROR( AVERAGE(IF(DATOS_[Sexo]=$B76,IF(DATOS_[[AGRUP. VALOR. PTO.]:[AGRUP. VALOR. PTO.]]=$B75,IF(DATOS_[Check Equiparado]="Sí",IF(DATOS_[Check Periodo Ref.]="Dentro",DATOS_[Tot COMPL.SAL Eq],0))))), 0)</f>
        <v>0</v>
      </c>
      <c r="AO76" s="295" t="n">
        <f aca="false" t="array" ref="AO76:AO76">IFERROR( AVERAGE(IF(DATOS_[Sexo]=$B76,IF(DATOS_[[AGRUP. VALOR. PTO.]:[AGRUP. VALOR. PTO.]]=$B75,IF(DATOS_[Check Equiparado]="Sí",IF(DATOS_[Check Periodo Ref.]="Dentro",DATOS_[TOTAL SALARIO Eq],0))))), 0)</f>
        <v>0</v>
      </c>
      <c r="AP76" s="303" t="n">
        <f aca="false" t="array" ref="AP76:AP76">IFERROR( (AVERAGE((IF(DATOS_[[Sexo]:[Sexo]]=$B76,IF(DATOS_[[AGRUP. VALOR. PTO.]:[AGRUP. VALOR. PTO.]]=$B75,IF(DATOS_[[Check Periodo Ref.]:[Check Periodo Ref.]]="Dentro",IF(DATOS_[[Check Equiparado]:[Check Equiparado]]="Sí",IF(DATOS!BI$4="Sí",(1/DATOS_[[% anualiz]:[% anualiz]]),1)*IF(DATOS!BI$5="Sí",1/DATOS_[[% normaliz]:[% normaliz]],1)*(DATOS_[C.Extra.01])))))))), 0)</f>
        <v>0</v>
      </c>
      <c r="AQ76" s="303" t="n">
        <f aca="false" t="array" ref="AQ76:AQ76">IFERROR( (AVERAGE((IF(DATOS_[[Sexo]:[Sexo]]=$B76,IF(DATOS_[[AGRUP. VALOR. PTO.]:[AGRUP. VALOR. PTO.]]=$B75,IF(DATOS_[[Check Periodo Ref.]:[Check Periodo Ref.]]="Dentro",IF(DATOS_[[Check Equiparado]:[Check Equiparado]]="Sí",IF(DATOS!BJ$4="Sí",(1/DATOS_[[% anualiz]:[% anualiz]]),1)*IF(DATOS!BJ$5="Sí",1/DATOS_[[% normaliz]:[% normaliz]],1)*(DATOS_[C.Extra.02])))))))), 0)</f>
        <v>0</v>
      </c>
      <c r="AR76" s="303" t="n">
        <f aca="false" t="array" ref="AR76:AR76">IFERROR( (AVERAGE((IF(DATOS_[[Sexo]:[Sexo]]=$B76,IF(DATOS_[[AGRUP. VALOR. PTO.]:[AGRUP. VALOR. PTO.]]=$B75,IF(DATOS_[[Check Periodo Ref.]:[Check Periodo Ref.]]="Dentro",IF(DATOS_[[Check Equiparado]:[Check Equiparado]]="Sí",IF(DATOS!BK$4="Sí",(1/DATOS_[[% anualiz]:[% anualiz]]),1)*IF(DATOS!BK$5="Sí",1/DATOS_[[% normaliz]:[% normaliz]],1)*(DATOS_[C.Extra.03])))))))), 0)</f>
        <v>0</v>
      </c>
      <c r="AS76" s="303" t="n">
        <f aca="false" t="array" ref="AS76:AS76">IFERROR( (AVERAGE((IF(DATOS_[[Sexo]:[Sexo]]=$B76,IF(DATOS_[[AGRUP. VALOR. PTO.]:[AGRUP. VALOR. PTO.]]=$B75,IF(DATOS_[[Check Periodo Ref.]:[Check Periodo Ref.]]="Dentro",IF(DATOS_[[Check Equiparado]:[Check Equiparado]]="Sí",IF(DATOS!BL$4="Sí",(1/DATOS_[[% anualiz]:[% anualiz]]),1)*IF(DATOS!BL$5="Sí",1/DATOS_[[% normaliz]:[% normaliz]],1)*(DATOS_[C.Extra.04])))))))), 0)</f>
        <v>0</v>
      </c>
      <c r="AT76" s="303" t="n">
        <f aca="false" t="array" ref="AT76:AT76">IFERROR( (AVERAGE((IF(DATOS_[[Sexo]:[Sexo]]=$B76,IF(DATOS_[[AGRUP. VALOR. PTO.]:[AGRUP. VALOR. PTO.]]=$B75,IF(DATOS_[[Check Periodo Ref.]:[Check Periodo Ref.]]="Dentro",IF(DATOS_[[Check Equiparado]:[Check Equiparado]]="Sí",IF(DATOS!BM$4="Sí",(1/DATOS_[[% anualiz]:[% anualiz]]),1)*IF(DATOS!BM$5="Sí",1/DATOS_[[% normaliz]:[% normaliz]],1)*(DATOS_[C.Extra.05])))))))), 0)</f>
        <v>0</v>
      </c>
      <c r="AU76" s="297" t="n">
        <f aca="false" t="array" ref="AU76:AU76">IFERROR( AVERAGE(IF(DATOS_[Sexo]=$B76,IF(DATOS_[[AGRUP. VALOR. PTO.]:[AGRUP. VALOR. PTO.]]=$B75,IF(DATOS_[Check Equiparado]="Sí",IF(DATOS_[Check Periodo Ref.]="Dentro",DATOS_[Tot Extrasalarial Eq],0))))), 0)</f>
        <v>0</v>
      </c>
      <c r="AV76" s="298" t="n">
        <f aca="false" t="array" ref="AV76:AV76">IFERROR( AVERAGE(IF(DATOS_[Sexo]=$B76,IF(DATOS_[[AGRUP. VALOR. PTO.]:[AGRUP. VALOR. PTO.]]=$B75,IF(DATOS_[Check Equiparado]="Sí",IF(DATOS_[Check Periodo Ref.]="Dentro",DATOS_[TOTAL Retrib Eq],0))))), 0)</f>
        <v>0</v>
      </c>
    </row>
    <row r="77" customFormat="false" ht="14.25" hidden="false" customHeight="false" outlineLevel="0" collapsed="false">
      <c r="A77" s="166" t="str">
        <f aca="false">+A76</f>
        <v>[ocultar]</v>
      </c>
      <c r="B77" s="289" t="s">
        <v>372</v>
      </c>
      <c r="C77" s="290" t="n">
        <f aca="false" t="array" ref="C77:C77">SUM(IF($B77=DATOS_[Sexo], IF($B75=DATOS_[AGRUP. VALOR. PTO.], IF("Dentro"=DATOS_[Check Periodo Ref.], 1/(COUNTIFS(DATOS_[Sexo],$B77,DATOS_[AGRUP. VALOR. PTO.],$B75,DATOS_[Check Periodo Ref.],"Dentro",DATOS_[id],DATOS_[id]))))))</f>
        <v>0</v>
      </c>
      <c r="D77" s="291" t="n">
        <f aca="false">COUNTIFS(DATOS_[AGRUP. VALOR. PTO.],$B75,DATOS_[Sexo],$B77,DATOS_[Check Periodo Ref.],"Dentro")</f>
        <v>0</v>
      </c>
      <c r="E77" s="291" t="n">
        <f aca="false">COUNTIFS(DATOS_[AGRUP. VALOR. PTO.],$B75,DATOS_[Sexo],$B77,DATOS_[Check Periodo Ref.],"Dentro",DATOS_[Check Nº SC Norm],"Sí")</f>
        <v>0</v>
      </c>
      <c r="F77" s="291" t="n">
        <f aca="false">COUNTIFS(DATOS_[AGRUP. VALOR. PTO.],$B75,DATOS_[Sexo],$B77,DATOS_[Check Periodo Ref.],"Dentro",DATOS_[Check Nº SC Anualiz],"Sí")</f>
        <v>0</v>
      </c>
      <c r="G77" s="291" t="n">
        <f aca="false">COUNTIFS(DATOS_[AGRUP. VALOR. PTO.],$B75,DATOS_[Sexo],$B77,DATOS_[Check Periodo Ref.],"Dentro",DATOS_[Check Nº SC Norm y Anualiz],"Sí")</f>
        <v>0</v>
      </c>
      <c r="H77" s="291" t="n">
        <f aca="false">COUNTIFS(DATOS_[AGRUP. VALOR. PTO.],$B75,DATOS_[Sexo],$B77,DATOS_[Check Periodo Ref.],"Dentro",DATOS_[Check Equiparación],"Sí")</f>
        <v>0</v>
      </c>
      <c r="I77" s="292" t="n">
        <f aca="false" t="array" ref="I77:I77">IFERROR( AVERAGE(IF(DATOS_[Sexo]=$B77,IF(DATOS_[[AGRUP. VALOR. PTO.]:[AGRUP. VALOR. PTO.]]=$B75,IF(DATOS_[Check Equiparado]="Sí",IF(DATOS_[Check Periodo Ref.]="Dentro",DATOS_[SALARIO BASE Eq],0))))), 0)</f>
        <v>0</v>
      </c>
      <c r="J77" s="302" t="n">
        <f aca="false" t="array" ref="J77:J77">IFERROR( (AVERAGE((IF(DATOS_[[Sexo]:[Sexo]]=$B77,IF(DATOS_[[AGRUP. VALOR. PTO.]:[AGRUP. VALOR. PTO.]]=$B75,IF(DATOS_[[Check Periodo Ref.]:[Check Periodo Ref.]]="Dentro",IF(DATOS_[[Check Equiparado]:[Check Equiparado]]="Sí",IF(DATOS!AE$4="Sí",(1/DATOS_[[% anualiz]:[% anualiz]]),1)*IF(DATOS!AE$5="Sí",1/DATOS_[[% normaliz]:[% normaliz]],1)*(DATOS_[Conc.Sal.01])))))))), 0)</f>
        <v>0</v>
      </c>
      <c r="K77" s="302" t="n">
        <f aca="false" t="array" ref="K77:K77">IFERROR( (AVERAGE((IF(DATOS_[[Sexo]:[Sexo]]=$B77,IF(DATOS_[[AGRUP. VALOR. PTO.]:[AGRUP. VALOR. PTO.]]=$B75,IF(DATOS_[[Check Periodo Ref.]:[Check Periodo Ref.]]="Dentro",IF(DATOS_[[Check Equiparado]:[Check Equiparado]]="Sí",IF(DATOS!AF$4="Sí",(1/DATOS_[[% anualiz]:[% anualiz]]),1)*IF(DATOS!AF$5="Sí",1/DATOS_[[% normaliz]:[% normaliz]],1)*(DATOS_[Conc.Sal.02])))))))), 0)</f>
        <v>0</v>
      </c>
      <c r="L77" s="302" t="n">
        <f aca="false" t="array" ref="L77:L77">IFERROR( (AVERAGE((IF(DATOS_[[Sexo]:[Sexo]]=$B77,IF(DATOS_[[AGRUP. VALOR. PTO.]:[AGRUP. VALOR. PTO.]]=$B75,IF(DATOS_[[Check Periodo Ref.]:[Check Periodo Ref.]]="Dentro",IF(DATOS_[[Check Equiparado]:[Check Equiparado]]="Sí",IF(DATOS!AG$4="Sí",(1/DATOS_[[% anualiz]:[% anualiz]]),1)*IF(DATOS!AG$5="Sí",1/DATOS_[[% normaliz]:[% normaliz]],1)*(DATOS_[Conc.Sal.03])))))))), 0)</f>
        <v>0</v>
      </c>
      <c r="M77" s="302" t="n">
        <f aca="false" t="array" ref="M77:M77">IFERROR( (AVERAGE((IF(DATOS_[[Sexo]:[Sexo]]=$B77,IF(DATOS_[[AGRUP. VALOR. PTO.]:[AGRUP. VALOR. PTO.]]=$B75,IF(DATOS_[[Check Periodo Ref.]:[Check Periodo Ref.]]="Dentro",IF(DATOS_[[Check Equiparado]:[Check Equiparado]]="Sí",IF(DATOS!AH$4="Sí",(1/DATOS_[[% anualiz]:[% anualiz]]),1)*IF(DATOS!AH$5="Sí",1/DATOS_[[% normaliz]:[% normaliz]],1)*(DATOS_[Conc.Sal.04])))))))), 0)</f>
        <v>0</v>
      </c>
      <c r="N77" s="302" t="n">
        <f aca="false" t="array" ref="N77:N77">IFERROR( (AVERAGE((IF(DATOS_[[Sexo]:[Sexo]]=$B77,IF(DATOS_[[AGRUP. VALOR. PTO.]:[AGRUP. VALOR. PTO.]]=$B75,IF(DATOS_[[Check Periodo Ref.]:[Check Periodo Ref.]]="Dentro",IF(DATOS_[[Check Equiparado]:[Check Equiparado]]="Sí",IF(DATOS!AI$4="Sí",(1/DATOS_[[% anualiz]:[% anualiz]]),1)*IF(DATOS!AI$5="Sí",1/DATOS_[[% normaliz]:[% normaliz]],1)*(DATOS_[Conc.Sal.05])))))))), 0)</f>
        <v>0</v>
      </c>
      <c r="O77" s="302" t="n">
        <f aca="false" t="array" ref="O77:O77">IFERROR( (AVERAGE((IF(DATOS_[[Sexo]:[Sexo]]=$B77,IF(DATOS_[[AGRUP. VALOR. PTO.]:[AGRUP. VALOR. PTO.]]=$B75,IF(DATOS_[[Check Periodo Ref.]:[Check Periodo Ref.]]="Dentro",IF(DATOS_[[Check Equiparado]:[Check Equiparado]]="Sí",IF(DATOS!AJ$4="Sí",(1/DATOS_[[% anualiz]:[% anualiz]]),1)*IF(DATOS!AJ$5="Sí",1/DATOS_[[% normaliz]:[% normaliz]],1)*(DATOS_[Conc.Sal.06])))))))), 0)</f>
        <v>0</v>
      </c>
      <c r="P77" s="302" t="n">
        <f aca="false" t="array" ref="P77:P77">IFERROR( (AVERAGE((IF(DATOS_[[Sexo]:[Sexo]]=$B77,IF(DATOS_[[AGRUP. VALOR. PTO.]:[AGRUP. VALOR. PTO.]]=$B75,IF(DATOS_[[Check Periodo Ref.]:[Check Periodo Ref.]]="Dentro",IF(DATOS_[[Check Equiparado]:[Check Equiparado]]="Sí",IF(DATOS!AK$4="Sí",(1/DATOS_[[% anualiz]:[% anualiz]]),1)*IF(DATOS!AK$5="Sí",1/DATOS_[[% normaliz]:[% normaliz]],1)*(DATOS_[Conc.Sal.07])))))))), 0)</f>
        <v>0</v>
      </c>
      <c r="Q77" s="302" t="n">
        <f aca="false" t="array" ref="Q77:Q77">IFERROR( (AVERAGE((IF(DATOS_[[Sexo]:[Sexo]]=$B77,IF(DATOS_[[AGRUP. VALOR. PTO.]:[AGRUP. VALOR. PTO.]]=$B75,IF(DATOS_[[Check Periodo Ref.]:[Check Periodo Ref.]]="Dentro",IF(DATOS_[[Check Equiparado]:[Check Equiparado]]="Sí",IF(DATOS!AL$4="Sí",(1/DATOS_[[% anualiz]:[% anualiz]]),1)*IF(DATOS!AL$5="Sí",1/DATOS_[[% normaliz]:[% normaliz]],1)*(DATOS_[Conc.Sal.08])))))))), 0)</f>
        <v>0</v>
      </c>
      <c r="R77" s="302" t="n">
        <f aca="false" t="array" ref="R77:R77">IFERROR( (AVERAGE((IF(DATOS_[[Sexo]:[Sexo]]=$B77,IF(DATOS_[[AGRUP. VALOR. PTO.]:[AGRUP. VALOR. PTO.]]=$B75,IF(DATOS_[[Check Periodo Ref.]:[Check Periodo Ref.]]="Dentro",IF(DATOS_[[Check Equiparado]:[Check Equiparado]]="Sí",IF(DATOS!AM$4="Sí",(1/DATOS_[[% anualiz]:[% anualiz]]),1)*IF(DATOS!AM$5="Sí",1/DATOS_[[% normaliz]:[% normaliz]],1)*(DATOS_[Conc.Sal.09])))))))), 0)</f>
        <v>0</v>
      </c>
      <c r="S77" s="302" t="n">
        <f aca="false" t="array" ref="S77:S77">IFERROR( (AVERAGE((IF(DATOS_[[Sexo]:[Sexo]]=$B77,IF(DATOS_[[AGRUP. VALOR. PTO.]:[AGRUP. VALOR. PTO.]]=$B75,IF(DATOS_[[Check Periodo Ref.]:[Check Periodo Ref.]]="Dentro",IF(DATOS_[[Check Equiparado]:[Check Equiparado]]="Sí",IF(DATOS!AN$4="Sí",(1/DATOS_[[% anualiz]:[% anualiz]]),1)*IF(DATOS!AN$5="Sí",1/DATOS_[[% normaliz]:[% normaliz]],1)*(DATOS_[Conc.Sal.10])))))))), 0)</f>
        <v>0</v>
      </c>
      <c r="T77" s="302" t="n">
        <f aca="false" t="array" ref="T77:T77">IFERROR( (AVERAGE((IF(DATOS_[[Sexo]:[Sexo]]=$B77,IF(DATOS_[[AGRUP. VALOR. PTO.]:[AGRUP. VALOR. PTO.]]=$B75,IF(DATOS_[[Check Periodo Ref.]:[Check Periodo Ref.]]="Dentro",IF(DATOS_[[Check Equiparado]:[Check Equiparado]]="Sí",IF(DATOS!AO$4="Sí",(1/DATOS_[[% anualiz]:[% anualiz]]),1)*IF(DATOS!AO$5="Sí",1/DATOS_[[% normaliz]:[% normaliz]],1)*(DATOS_[Conc.Sal.11])))))))), 0)</f>
        <v>0</v>
      </c>
      <c r="U77" s="302" t="n">
        <f aca="false" t="array" ref="U77:U77">IFERROR( (AVERAGE((IF(DATOS_[[Sexo]:[Sexo]]=$B77,IF(DATOS_[[AGRUP. VALOR. PTO.]:[AGRUP. VALOR. PTO.]]=$B75,IF(DATOS_[[Check Periodo Ref.]:[Check Periodo Ref.]]="Dentro",IF(DATOS_[[Check Equiparado]:[Check Equiparado]]="Sí",IF(DATOS!AP$4="Sí",(1/DATOS_[[% anualiz]:[% anualiz]]),1)*IF(DATOS!AP$5="Sí",1/DATOS_[[% normaliz]:[% normaliz]],1)*(DATOS_[Conc.Sal.12])))))))), 0)</f>
        <v>0</v>
      </c>
      <c r="V77" s="302" t="n">
        <f aca="false" t="array" ref="V77:V77">IFERROR( (AVERAGE((IF(DATOS_[[Sexo]:[Sexo]]=$B77,IF(DATOS_[[AGRUP. VALOR. PTO.]:[AGRUP. VALOR. PTO.]]=$B75,IF(DATOS_[[Check Periodo Ref.]:[Check Periodo Ref.]]="Dentro",IF(DATOS_[[Check Equiparado]:[Check Equiparado]]="Sí",IF(DATOS!AQ$4="Sí",(1/DATOS_[[% anualiz]:[% anualiz]]),1)*IF(DATOS!AQ$5="Sí",1/DATOS_[[% normaliz]:[% normaliz]],1)*(DATOS_[Conc.Sal.13])))))))), 0)</f>
        <v>0</v>
      </c>
      <c r="W77" s="302" t="n">
        <f aca="false" t="array" ref="W77:W77">IFERROR( (AVERAGE((IF(DATOS_[[Sexo]:[Sexo]]=$B77,IF(DATOS_[[AGRUP. VALOR. PTO.]:[AGRUP. VALOR. PTO.]]=$B75,IF(DATOS_[[Check Periodo Ref.]:[Check Periodo Ref.]]="Dentro",IF(DATOS_[[Check Equiparado]:[Check Equiparado]]="Sí",IF(DATOS!AR$4="Sí",(1/DATOS_[[% anualiz]:[% anualiz]]),1)*IF(DATOS!AR$5="Sí",1/DATOS_[[% normaliz]:[% normaliz]],1)*(DATOS_[Conc.Sal.14])))))))), 0)</f>
        <v>0</v>
      </c>
      <c r="X77" s="302" t="n">
        <f aca="false" t="array" ref="X77:X77">IFERROR( (AVERAGE((IF(DATOS_[[Sexo]:[Sexo]]=$B77,IF(DATOS_[[AGRUP. VALOR. PTO.]:[AGRUP. VALOR. PTO.]]=$B75,IF(DATOS_[[Check Periodo Ref.]:[Check Periodo Ref.]]="Dentro",IF(DATOS_[[Check Equiparado]:[Check Equiparado]]="Sí",IF(DATOS!AS$4="Sí",(1/DATOS_[[% anualiz]:[% anualiz]]),1)*IF(DATOS!AS$5="Sí",1/DATOS_[[% normaliz]:[% normaliz]],1)*(DATOS_[Conc.Sal.15])))))))), 0)</f>
        <v>0</v>
      </c>
      <c r="Y77" s="302" t="n">
        <f aca="false" t="array" ref="Y77:Y77">IFERROR( (AVERAGE((IF(DATOS_[[Sexo]:[Sexo]]=$B77,IF(DATOS_[[AGRUP. VALOR. PTO.]:[AGRUP. VALOR. PTO.]]=$B75,IF(DATOS_[[Check Periodo Ref.]:[Check Periodo Ref.]]="Dentro",IF(DATOS_[[Check Equiparado]:[Check Equiparado]]="Sí",IF(DATOS!AT$4="Sí",(1/DATOS_[[% anualiz]:[% anualiz]]),1)*IF(DATOS!AT$5="Sí",1/DATOS_[[% normaliz]:[% normaliz]],1)*(DATOS_[Conc.Sal.16])))))))), 0)</f>
        <v>0</v>
      </c>
      <c r="Z77" s="302" t="n">
        <f aca="false" t="array" ref="Z77:Z77">IFERROR( (AVERAGE((IF(DATOS_[[Sexo]:[Sexo]]=$B77,IF(DATOS_[[AGRUP. VALOR. PTO.]:[AGRUP. VALOR. PTO.]]=$B75,IF(DATOS_[[Check Periodo Ref.]:[Check Periodo Ref.]]="Dentro",IF(DATOS_[[Check Equiparado]:[Check Equiparado]]="Sí",IF(DATOS!AU$4="Sí",(1/DATOS_[[% anualiz]:[% anualiz]]),1)*IF(DATOS!AU$5="Sí",1/DATOS_[[% normaliz]:[% normaliz]],1)*(DATOS_[Conc.Sal.17])))))))), 0)</f>
        <v>0</v>
      </c>
      <c r="AA77" s="302" t="n">
        <f aca="false" t="array" ref="AA77:AA77">IFERROR( (AVERAGE((IF(DATOS_[[Sexo]:[Sexo]]=$B77,IF(DATOS_[[AGRUP. VALOR. PTO.]:[AGRUP. VALOR. PTO.]]=$B75,IF(DATOS_[[Check Periodo Ref.]:[Check Periodo Ref.]]="Dentro",IF(DATOS_[[Check Equiparado]:[Check Equiparado]]="Sí",IF(DATOS!AV$4="Sí",(1/DATOS_[[% anualiz]:[% anualiz]]),1)*IF(DATOS!AV$5="Sí",1/DATOS_[[% normaliz]:[% normaliz]],1)*(DATOS_[Conc.Sal.18])))))))), 0)</f>
        <v>0</v>
      </c>
      <c r="AB77" s="302" t="n">
        <f aca="false" t="array" ref="AB77:AB77">IFERROR( (AVERAGE((IF(DATOS_[[Sexo]:[Sexo]]=$B77,IF(DATOS_[[AGRUP. VALOR. PTO.]:[AGRUP. VALOR. PTO.]]=$B75,IF(DATOS_[[Check Periodo Ref.]:[Check Periodo Ref.]]="Dentro",IF(DATOS_[[Check Equiparado]:[Check Equiparado]]="Sí",IF(DATOS!AW$4="Sí",(1/DATOS_[[% anualiz]:[% anualiz]]),1)*IF(DATOS!AW$5="Sí",1/DATOS_[[% normaliz]:[% normaliz]],1)*(DATOS_[Conc.Sal.19])))))))), 0)</f>
        <v>0</v>
      </c>
      <c r="AC77" s="302" t="n">
        <f aca="false" t="array" ref="AC77:AC77">IFERROR( (AVERAGE((IF(DATOS_[[Sexo]:[Sexo]]=$B77,IF(DATOS_[[AGRUP. VALOR. PTO.]:[AGRUP. VALOR. PTO.]]=$B75,IF(DATOS_[[Check Periodo Ref.]:[Check Periodo Ref.]]="Dentro",IF(DATOS_[[Check Equiparado]:[Check Equiparado]]="Sí",IF(DATOS!AX$4="Sí",(1/DATOS_[[% anualiz]:[% anualiz]]),1)*IF(DATOS!AX$5="Sí",1/DATOS_[[% normaliz]:[% normaliz]],1)*(DATOS_[Conc.Sal.20])))))))), 0)</f>
        <v>0</v>
      </c>
      <c r="AD77" s="302" t="n">
        <f aca="false" t="array" ref="AD77:AD77">IFERROR( (AVERAGE((IF(DATOS_[[Sexo]:[Sexo]]=$B77,IF(DATOS_[[AGRUP. VALOR. PTO.]:[AGRUP. VALOR. PTO.]]=$B75,IF(DATOS_[[Check Periodo Ref.]:[Check Periodo Ref.]]="Dentro",IF(DATOS_[[Check Equiparado]:[Check Equiparado]]="Sí",IF(DATOS!AY$4="Sí",(1/DATOS_[[% anualiz]:[% anualiz]]),1)*IF(DATOS!AY$5="Sí",1/DATOS_[[% normaliz]:[% normaliz]],1)*(DATOS_[Conc.Sal.21])))))))), 0)</f>
        <v>0</v>
      </c>
      <c r="AE77" s="302" t="n">
        <f aca="false" t="array" ref="AE77:AE77">IFERROR( (AVERAGE((IF(DATOS_[[Sexo]:[Sexo]]=$B77,IF(DATOS_[[AGRUP. VALOR. PTO.]:[AGRUP. VALOR. PTO.]]=$B75,IF(DATOS_[[Check Periodo Ref.]:[Check Periodo Ref.]]="Dentro",IF(DATOS_[[Check Equiparado]:[Check Equiparado]]="Sí",IF(DATOS!AZ$4="Sí",(1/DATOS_[[% anualiz]:[% anualiz]]),1)*IF(DATOS!AZ$5="Sí",1/DATOS_[[% normaliz]:[% normaliz]],1)*(DATOS_[Conc.Sal.22])))))))), 0)</f>
        <v>0</v>
      </c>
      <c r="AF77" s="302" t="n">
        <f aca="false" t="array" ref="AF77:AF77">IFERROR( (AVERAGE((IF(DATOS_[[Sexo]:[Sexo]]=$B77,IF(DATOS_[[AGRUP. VALOR. PTO.]:[AGRUP. VALOR. PTO.]]=$B75,IF(DATOS_[[Check Periodo Ref.]:[Check Periodo Ref.]]="Dentro",IF(DATOS_[[Check Equiparado]:[Check Equiparado]]="Sí",IF(DATOS!BA$4="Sí",(1/DATOS_[[% anualiz]:[% anualiz]]),1)*IF(DATOS!BA$5="Sí",1/DATOS_[[% normaliz]:[% normaliz]],1)*(DATOS_[Conc.Sal.23])))))))), 0)</f>
        <v>0</v>
      </c>
      <c r="AG77" s="302" t="n">
        <f aca="false" t="array" ref="AG77:AG77">IFERROR( (AVERAGE((IF(DATOS_[[Sexo]:[Sexo]]=$B77,IF(DATOS_[[AGRUP. VALOR. PTO.]:[AGRUP. VALOR. PTO.]]=$B75,IF(DATOS_[[Check Periodo Ref.]:[Check Periodo Ref.]]="Dentro",IF(DATOS_[[Check Equiparado]:[Check Equiparado]]="Sí",IF(DATOS!BB$4="Sí",(1/DATOS_[[% anualiz]:[% anualiz]]),1)*IF(DATOS!BB$5="Sí",1/DATOS_[[% normaliz]:[% normaliz]],1)*(DATOS_[Conc.Sal.24])))))))), 0)</f>
        <v>0</v>
      </c>
      <c r="AH77" s="302" t="n">
        <f aca="false" t="array" ref="AH77:AH77">IFERROR( (AVERAGE((IF(DATOS_[[Sexo]:[Sexo]]=$B77,IF(DATOS_[[AGRUP. VALOR. PTO.]:[AGRUP. VALOR. PTO.]]=$B75,IF(DATOS_[[Check Periodo Ref.]:[Check Periodo Ref.]]="Dentro",IF(DATOS_[[Check Equiparado]:[Check Equiparado]]="Sí",IF(DATOS!BC$4="Sí",(1/DATOS_[[% anualiz]:[% anualiz]]),1)*IF(DATOS!BC$5="Sí",1/DATOS_[[% normaliz]:[% normaliz]],1)*(DATOS_[Conc.Sal.25])))))))), 0)</f>
        <v>0</v>
      </c>
      <c r="AI77" s="302" t="n">
        <f aca="false" t="array" ref="AI77:AI77">IFERROR( (AVERAGE((IF(DATOS_[[Sexo]:[Sexo]]=$B77,IF(DATOS_[[AGRUP. VALOR. PTO.]:[AGRUP. VALOR. PTO.]]=$B75,IF(DATOS_[[Check Periodo Ref.]:[Check Periodo Ref.]]="Dentro",IF(DATOS_[[Check Equiparado]:[Check Equiparado]]="Sí",IF(DATOS!BD$4="Sí",(1/DATOS_[[% anualiz]:[% anualiz]]),1)*IF(DATOS!BD$5="Sí",1/DATOS_[[% normaliz]:[% normaliz]],1)*(DATOS_[Conc.Sal.26])))))))), 0)</f>
        <v>0</v>
      </c>
      <c r="AJ77" s="302" t="n">
        <f aca="false" t="array" ref="AJ77:AJ77">IFERROR( (AVERAGE((IF(DATOS_[[Sexo]:[Sexo]]=$B77,IF(DATOS_[[AGRUP. VALOR. PTO.]:[AGRUP. VALOR. PTO.]]=$B75,IF(DATOS_[[Check Periodo Ref.]:[Check Periodo Ref.]]="Dentro",IF(DATOS_[[Check Equiparado]:[Check Equiparado]]="Sí",IF(DATOS!BE$4="Sí",(1/DATOS_[[% anualiz]:[% anualiz]]),1)*IF(DATOS!BE$5="Sí",1/DATOS_[[% normaliz]:[% normaliz]],1)*(DATOS_[Conc.Sal.27])))))))), 0)</f>
        <v>0</v>
      </c>
      <c r="AK77" s="302" t="n">
        <f aca="false" t="array" ref="AK77:AK77">IFERROR( (AVERAGE((IF(DATOS_[[Sexo]:[Sexo]]=$B77,IF(DATOS_[[AGRUP. VALOR. PTO.]:[AGRUP. VALOR. PTO.]]=$B75,IF(DATOS_[[Check Periodo Ref.]:[Check Periodo Ref.]]="Dentro",IF(DATOS_[[Check Equiparado]:[Check Equiparado]]="Sí",IF(DATOS!BF$4="Sí",(1/DATOS_[[% anualiz]:[% anualiz]]),1)*IF(DATOS!BF$5="Sí",1/DATOS_[[% normaliz]:[% normaliz]],1)*(DATOS_[Conc.Sal.28])))))))), 0)</f>
        <v>0</v>
      </c>
      <c r="AL77" s="302" t="n">
        <f aca="false" t="array" ref="AL77:AL77">IFERROR( (AVERAGE((IF(DATOS_[[Sexo]:[Sexo]]=$B77,IF(DATOS_[[AGRUP. VALOR. PTO.]:[AGRUP. VALOR. PTO.]]=$B75,IF(DATOS_[[Check Periodo Ref.]:[Check Periodo Ref.]]="Dentro",IF(DATOS_[[Check Equiparado]:[Check Equiparado]]="Sí",IF(DATOS!BG$4="Sí",(1/DATOS_[[% anualiz]:[% anualiz]]),1)*IF(DATOS!BG$5="Sí",1/DATOS_[[% normaliz]:[% normaliz]],1)*(DATOS_[Conc.Sal.29])))))))), 0)</f>
        <v>0</v>
      </c>
      <c r="AM77" s="302" t="n">
        <f aca="false" t="array" ref="AM77:AM77">IFERROR( (AVERAGE((IF(DATOS_[[Sexo]:[Sexo]]=$B77,IF(DATOS_[[AGRUP. VALOR. PTO.]:[AGRUP. VALOR. PTO.]]=$B75,IF(DATOS_[[Check Periodo Ref.]:[Check Periodo Ref.]]="Dentro",IF(DATOS_[[Check Equiparado]:[Check Equiparado]]="Sí",IF(DATOS!BH$4="Sí",(1/DATOS_[[% anualiz]:[% anualiz]]),1)*IF(DATOS!BH$5="Sí",1/DATOS_[[% normaliz]:[% normaliz]],1)*(DATOS_[Conc.Sal.30])))))))), 0)</f>
        <v>0</v>
      </c>
      <c r="AN77" s="294" t="n">
        <f aca="false" t="array" ref="AN77:AN77">IFERROR( AVERAGE(IF(DATOS_[Sexo]=$B77,IF(DATOS_[[AGRUP. VALOR. PTO.]:[AGRUP. VALOR. PTO.]]=$B75,IF(DATOS_[Check Equiparado]="Sí",IF(DATOS_[Check Periodo Ref.]="Dentro",DATOS_[Tot COMPL.SAL Eq],0))))), 0)</f>
        <v>0</v>
      </c>
      <c r="AO77" s="295" t="n">
        <f aca="false" t="array" ref="AO77:AO77">IFERROR( AVERAGE(IF(DATOS_[Sexo]=$B77,IF(DATOS_[[AGRUP. VALOR. PTO.]:[AGRUP. VALOR. PTO.]]=$B75,IF(DATOS_[Check Equiparado]="Sí",IF(DATOS_[Check Periodo Ref.]="Dentro",DATOS_[TOTAL SALARIO Eq],0))))), 0)</f>
        <v>0</v>
      </c>
      <c r="AP77" s="303" t="n">
        <f aca="false" t="array" ref="AP77:AP77">IFERROR( (AVERAGE((IF(DATOS_[[Sexo]:[Sexo]]=$B77,IF(DATOS_[[AGRUP. VALOR. PTO.]:[AGRUP. VALOR. PTO.]]=$B76,IF(DATOS_[[Check Periodo Ref.]:[Check Periodo Ref.]]="Dentro",IF(DATOS_[[Check Equiparado]:[Check Equiparado]]="Sí",IF(DATOS!BI$4="Sí",(1/DATOS_[[% anualiz]:[% anualiz]]),1)*IF(DATOS!BI$5="Sí",1/DATOS_[[% normaliz]:[% normaliz]],1)*(DATOS_[C.Extra.01])))))))), 0)</f>
        <v>0</v>
      </c>
      <c r="AQ77" s="303" t="n">
        <f aca="false" t="array" ref="AQ77:AQ77">IFERROR( (AVERAGE((IF(DATOS_[[Sexo]:[Sexo]]=$B77,IF(DATOS_[[AGRUP. VALOR. PTO.]:[AGRUP. VALOR. PTO.]]=$B76,IF(DATOS_[[Check Periodo Ref.]:[Check Periodo Ref.]]="Dentro",IF(DATOS_[[Check Equiparado]:[Check Equiparado]]="Sí",IF(DATOS!BJ$4="Sí",(1/DATOS_[[% anualiz]:[% anualiz]]),1)*IF(DATOS!BJ$5="Sí",1/DATOS_[[% normaliz]:[% normaliz]],1)*(DATOS_[C.Extra.02])))))))), 0)</f>
        <v>0</v>
      </c>
      <c r="AR77" s="303" t="n">
        <f aca="false" t="array" ref="AR77:AR77">IFERROR( (AVERAGE((IF(DATOS_[[Sexo]:[Sexo]]=$B77,IF(DATOS_[[AGRUP. VALOR. PTO.]:[AGRUP. VALOR. PTO.]]=$B76,IF(DATOS_[[Check Periodo Ref.]:[Check Periodo Ref.]]="Dentro",IF(DATOS_[[Check Equiparado]:[Check Equiparado]]="Sí",IF(DATOS!BK$4="Sí",(1/DATOS_[[% anualiz]:[% anualiz]]),1)*IF(DATOS!BK$5="Sí",1/DATOS_[[% normaliz]:[% normaliz]],1)*(DATOS_[C.Extra.03])))))))), 0)</f>
        <v>0</v>
      </c>
      <c r="AS77" s="303" t="n">
        <f aca="false" t="array" ref="AS77:AS77">IFERROR( (AVERAGE((IF(DATOS_[[Sexo]:[Sexo]]=$B77,IF(DATOS_[[AGRUP. VALOR. PTO.]:[AGRUP. VALOR. PTO.]]=$B76,IF(DATOS_[[Check Periodo Ref.]:[Check Periodo Ref.]]="Dentro",IF(DATOS_[[Check Equiparado]:[Check Equiparado]]="Sí",IF(DATOS!BL$4="Sí",(1/DATOS_[[% anualiz]:[% anualiz]]),1)*IF(DATOS!BL$5="Sí",1/DATOS_[[% normaliz]:[% normaliz]],1)*(DATOS_[C.Extra.04])))))))), 0)</f>
        <v>0</v>
      </c>
      <c r="AT77" s="303" t="n">
        <f aca="false" t="array" ref="AT77:AT77">IFERROR( (AVERAGE((IF(DATOS_[[Sexo]:[Sexo]]=$B77,IF(DATOS_[[AGRUP. VALOR. PTO.]:[AGRUP. VALOR. PTO.]]=$B76,IF(DATOS_[[Check Periodo Ref.]:[Check Periodo Ref.]]="Dentro",IF(DATOS_[[Check Equiparado]:[Check Equiparado]]="Sí",IF(DATOS!BM$4="Sí",(1/DATOS_[[% anualiz]:[% anualiz]]),1)*IF(DATOS!BM$5="Sí",1/DATOS_[[% normaliz]:[% normaliz]],1)*(DATOS_[C.Extra.05])))))))), 0)</f>
        <v>0</v>
      </c>
      <c r="AU77" s="297" t="n">
        <f aca="false" t="array" ref="AU77:AU77">IFERROR( AVERAGE(IF(DATOS_[Sexo]=$B77,IF(DATOS_[[AGRUP. VALOR. PTO.]:[AGRUP. VALOR. PTO.]]=$B75,IF(DATOS_[Check Equiparado]="Sí",IF(DATOS_[Check Periodo Ref.]="Dentro",DATOS_[Tot Extrasalarial Eq],0))))), 0)</f>
        <v>0</v>
      </c>
      <c r="AV77" s="298" t="n">
        <f aca="false" t="array" ref="AV77:AV77">IFERROR( AVERAGE(IF(DATOS_[Sexo]=$B77,IF(DATOS_[[AGRUP. VALOR. PTO.]:[AGRUP. VALOR. PTO.]]=$B75,IF(DATOS_[Check Equiparado]="Sí",IF(DATOS_[Check Periodo Ref.]="Dentro",DATOS_[TOTAL Retrib Eq],0))))), 0)</f>
        <v>0</v>
      </c>
    </row>
    <row r="78" customFormat="false" ht="15.75" hidden="false" customHeight="false" outlineLevel="0" collapsed="false">
      <c r="A78" s="166" t="str">
        <f aca="false">+A79</f>
        <v>[ocultar]</v>
      </c>
      <c r="B78" s="276" t="s">
        <v>232</v>
      </c>
      <c r="C78" s="277"/>
      <c r="D78" s="278"/>
      <c r="E78" s="278"/>
      <c r="F78" s="278"/>
      <c r="G78" s="278"/>
      <c r="H78" s="278"/>
      <c r="I78" s="279" t="str">
        <f aca="false">IFERROR((I79-I80)/I79,"")</f>
        <v/>
      </c>
      <c r="J78" s="280" t="str">
        <f aca="false">IFERROR((J79-J80)/J79,"")</f>
        <v/>
      </c>
      <c r="K78" s="281" t="str">
        <f aca="false">IFERROR((K79-K80)/K79,"")</f>
        <v/>
      </c>
      <c r="L78" s="281" t="str">
        <f aca="false">IFERROR((L79-L80)/L79,"")</f>
        <v/>
      </c>
      <c r="M78" s="281" t="str">
        <f aca="false">IFERROR((M79-M80)/M79,"")</f>
        <v/>
      </c>
      <c r="N78" s="282" t="str">
        <f aca="false">IFERROR((N79-N80)/N79,"")</f>
        <v/>
      </c>
      <c r="O78" s="283" t="str">
        <f aca="false">IFERROR((O79-O80)/O79,"")</f>
        <v/>
      </c>
      <c r="P78" s="283" t="str">
        <f aca="false">IFERROR((P79-P80)/P79,"")</f>
        <v/>
      </c>
      <c r="Q78" s="283" t="str">
        <f aca="false">IFERROR((Q79-Q80)/Q79,"")</f>
        <v/>
      </c>
      <c r="R78" s="283" t="str">
        <f aca="false">IFERROR((R79-R80)/R79,"")</f>
        <v/>
      </c>
      <c r="S78" s="283" t="str">
        <f aca="false">IFERROR((S79-S80)/S79,"")</f>
        <v/>
      </c>
      <c r="T78" s="283" t="str">
        <f aca="false">IFERROR((T79-T80)/T79,"")</f>
        <v/>
      </c>
      <c r="U78" s="283" t="str">
        <f aca="false">IFERROR((U79-U80)/U79,"")</f>
        <v/>
      </c>
      <c r="V78" s="283" t="str">
        <f aca="false">IFERROR((V79-V80)/V79,"")</f>
        <v/>
      </c>
      <c r="W78" s="283" t="str">
        <f aca="false">IFERROR((W79-W80)/W79,"")</f>
        <v/>
      </c>
      <c r="X78" s="283" t="str">
        <f aca="false">IFERROR((X79-X80)/X79,"")</f>
        <v/>
      </c>
      <c r="Y78" s="283" t="str">
        <f aca="false">IFERROR((Y79-Y80)/Y79,"")</f>
        <v/>
      </c>
      <c r="Z78" s="282" t="str">
        <f aca="false">IFERROR((Z79-Z80)/Z79,"")</f>
        <v/>
      </c>
      <c r="AA78" s="282" t="str">
        <f aca="false">IFERROR((AA79-AA80)/AA79,"")</f>
        <v/>
      </c>
      <c r="AB78" s="282" t="str">
        <f aca="false">IFERROR((AB79-AB80)/AB79,"")</f>
        <v/>
      </c>
      <c r="AC78" s="282" t="str">
        <f aca="false">IFERROR((AC79-AC80)/AC79,"")</f>
        <v/>
      </c>
      <c r="AD78" s="282" t="str">
        <f aca="false">IFERROR((AD79-AD80)/AD79,"")</f>
        <v/>
      </c>
      <c r="AE78" s="282" t="str">
        <f aca="false">IFERROR((AE79-AE80)/AE79,"")</f>
        <v/>
      </c>
      <c r="AF78" s="282" t="str">
        <f aca="false">IFERROR((AF79-AF80)/AF79,"")</f>
        <v/>
      </c>
      <c r="AG78" s="282" t="str">
        <f aca="false">IFERROR((AG79-AG80)/AG79,"")</f>
        <v/>
      </c>
      <c r="AH78" s="282" t="str">
        <f aca="false">IFERROR((AH79-AH80)/AH79,"")</f>
        <v/>
      </c>
      <c r="AI78" s="282" t="str">
        <f aca="false">IFERROR((AI79-AI80)/AI79,"")</f>
        <v/>
      </c>
      <c r="AJ78" s="282" t="str">
        <f aca="false">IFERROR((AJ79-AJ80)/AJ79,"")</f>
        <v/>
      </c>
      <c r="AK78" s="282" t="str">
        <f aca="false">IFERROR((AK79-AK80)/AK79,"")</f>
        <v/>
      </c>
      <c r="AL78" s="282" t="str">
        <f aca="false">IFERROR((AL79-AL80)/AL79,"")</f>
        <v/>
      </c>
      <c r="AM78" s="282" t="str">
        <f aca="false">IFERROR((AM79-AM80)/AM79,"")</f>
        <v/>
      </c>
      <c r="AN78" s="284" t="str">
        <f aca="false">IFERROR((AN79-AN80)/AN79,"")</f>
        <v/>
      </c>
      <c r="AO78" s="285" t="str">
        <f aca="false">IFERROR((AO79-AO80)/AO79,"")</f>
        <v/>
      </c>
      <c r="AP78" s="286" t="str">
        <f aca="false">IFERROR((AP79-AP80)/AP79,"")</f>
        <v/>
      </c>
      <c r="AQ78" s="286" t="str">
        <f aca="false">IFERROR((AQ79-AQ80)/AQ79,"")</f>
        <v/>
      </c>
      <c r="AR78" s="286" t="str">
        <f aca="false">IFERROR((AR79-AR80)/AR79,"")</f>
        <v/>
      </c>
      <c r="AS78" s="286" t="str">
        <f aca="false">IFERROR((AS79-AS80)/AS79,"")</f>
        <v/>
      </c>
      <c r="AT78" s="286" t="str">
        <f aca="false">IFERROR((AT79-AT80)/AT79,"")</f>
        <v/>
      </c>
      <c r="AU78" s="287" t="str">
        <f aca="false">IFERROR((AU79-AU80)/AU79,"")</f>
        <v/>
      </c>
      <c r="AV78" s="288" t="str">
        <f aca="false">IFERROR((AV79-AV80)/AV79,"")</f>
        <v/>
      </c>
    </row>
    <row r="79" customFormat="false" ht="14.25" hidden="false" customHeight="false" outlineLevel="0" collapsed="false">
      <c r="A79" s="166" t="str">
        <f aca="false">+IF(C79+C80=0,"[ocultar]","")</f>
        <v>[ocultar]</v>
      </c>
      <c r="B79" s="289" t="s">
        <v>371</v>
      </c>
      <c r="C79" s="290" t="n">
        <f aca="false" t="array" ref="C79:C79">SUM(IF($B79=DATOS_[Sexo], IF($B78=DATOS_[AGRUP. VALOR. PTO.], IF("Dentro"=DATOS_[Check Periodo Ref.], 1/(COUNTIFS(DATOS_[Sexo],$B79,DATOS_[AGRUP. VALOR. PTO.],$B78,DATOS_[Check Periodo Ref.],"Dentro",DATOS_[id],DATOS_[id]))))))</f>
        <v>0</v>
      </c>
      <c r="D79" s="291" t="n">
        <f aca="false">COUNTIFS(DATOS_[AGRUP. VALOR. PTO.],$B78,DATOS_[Sexo],$B79,DATOS_[Check Periodo Ref.],"Dentro")</f>
        <v>0</v>
      </c>
      <c r="E79" s="291" t="n">
        <f aca="false">COUNTIFS(DATOS_[AGRUP. VALOR. PTO.],$B78,DATOS_[Sexo],$B79,DATOS_[Check Periodo Ref.],"Dentro",DATOS_[Check Nº SC Norm],"Sí")</f>
        <v>0</v>
      </c>
      <c r="F79" s="291" t="n">
        <f aca="false">COUNTIFS(DATOS_[AGRUP. VALOR. PTO.],$B78,DATOS_[Sexo],$B79,DATOS_[Check Periodo Ref.],"Dentro",DATOS_[Check Nº SC Anualiz],"Sí")</f>
        <v>0</v>
      </c>
      <c r="G79" s="291" t="n">
        <f aca="false">COUNTIFS(DATOS_[AGRUP. VALOR. PTO.],$B78,DATOS_[Sexo],$B79,DATOS_[Check Periodo Ref.],"Dentro",DATOS_[Check Nº SC Norm y Anualiz],"Sí")</f>
        <v>0</v>
      </c>
      <c r="H79" s="291" t="n">
        <f aca="false">COUNTIFS(DATOS_[AGRUP. VALOR. PTO.],$B78,DATOS_[Sexo],$B79,DATOS_[Check Periodo Ref.],"Dentro",DATOS_[Check Equiparación],"Sí")</f>
        <v>0</v>
      </c>
      <c r="I79" s="292" t="n">
        <f aca="false" t="array" ref="I79:I79">IFERROR( AVERAGE(IF(DATOS_[Sexo]=$B79,IF(DATOS_[[AGRUP. VALOR. PTO.]:[AGRUP. VALOR. PTO.]]=$B78,IF(DATOS_[Check Equiparado]="Sí",IF(DATOS_[Check Periodo Ref.]="Dentro",DATOS_[SALARIO BASE Eq],0))))), 0)</f>
        <v>0</v>
      </c>
      <c r="J79" s="302" t="n">
        <f aca="false" t="array" ref="J79:J79">IFERROR( (AVERAGE((IF(DATOS_[[Sexo]:[Sexo]]=$B79,IF(DATOS_[[AGRUP. VALOR. PTO.]:[AGRUP. VALOR. PTO.]]=$B78,IF(DATOS_[[Check Periodo Ref.]:[Check Periodo Ref.]]="Dentro",IF(DATOS_[[Check Equiparado]:[Check Equiparado]]="Sí",IF(DATOS!AE$4="Sí",(1/DATOS_[[% anualiz]:[% anualiz]]),1)*IF(DATOS!AE$5="Sí",1/DATOS_[[% normaliz]:[% normaliz]],1)*(DATOS_[Conc.Sal.01])))))))), 0)</f>
        <v>0</v>
      </c>
      <c r="K79" s="302" t="n">
        <f aca="false" t="array" ref="K79:K79">IFERROR( (AVERAGE((IF(DATOS_[[Sexo]:[Sexo]]=$B79,IF(DATOS_[[AGRUP. VALOR. PTO.]:[AGRUP. VALOR. PTO.]]=$B78,IF(DATOS_[[Check Periodo Ref.]:[Check Periodo Ref.]]="Dentro",IF(DATOS_[[Check Equiparado]:[Check Equiparado]]="Sí",IF(DATOS!AF$4="Sí",(1/DATOS_[[% anualiz]:[% anualiz]]),1)*IF(DATOS!AF$5="Sí",1/DATOS_[[% normaliz]:[% normaliz]],1)*(DATOS_[Conc.Sal.02])))))))), 0)</f>
        <v>0</v>
      </c>
      <c r="L79" s="302" t="n">
        <f aca="false" t="array" ref="L79:L79">IFERROR( (AVERAGE((IF(DATOS_[[Sexo]:[Sexo]]=$B79,IF(DATOS_[[AGRUP. VALOR. PTO.]:[AGRUP. VALOR. PTO.]]=$B78,IF(DATOS_[[Check Periodo Ref.]:[Check Periodo Ref.]]="Dentro",IF(DATOS_[[Check Equiparado]:[Check Equiparado]]="Sí",IF(DATOS!AG$4="Sí",(1/DATOS_[[% anualiz]:[% anualiz]]),1)*IF(DATOS!AG$5="Sí",1/DATOS_[[% normaliz]:[% normaliz]],1)*(DATOS_[Conc.Sal.03])))))))), 0)</f>
        <v>0</v>
      </c>
      <c r="M79" s="302" t="n">
        <f aca="false" t="array" ref="M79:M79">IFERROR( (AVERAGE((IF(DATOS_[[Sexo]:[Sexo]]=$B79,IF(DATOS_[[AGRUP. VALOR. PTO.]:[AGRUP. VALOR. PTO.]]=$B78,IF(DATOS_[[Check Periodo Ref.]:[Check Periodo Ref.]]="Dentro",IF(DATOS_[[Check Equiparado]:[Check Equiparado]]="Sí",IF(DATOS!AH$4="Sí",(1/DATOS_[[% anualiz]:[% anualiz]]),1)*IF(DATOS!AH$5="Sí",1/DATOS_[[% normaliz]:[% normaliz]],1)*(DATOS_[Conc.Sal.04])))))))), 0)</f>
        <v>0</v>
      </c>
      <c r="N79" s="302" t="n">
        <f aca="false" t="array" ref="N79:N79">IFERROR( (AVERAGE((IF(DATOS_[[Sexo]:[Sexo]]=$B79,IF(DATOS_[[AGRUP. VALOR. PTO.]:[AGRUP. VALOR. PTO.]]=$B78,IF(DATOS_[[Check Periodo Ref.]:[Check Periodo Ref.]]="Dentro",IF(DATOS_[[Check Equiparado]:[Check Equiparado]]="Sí",IF(DATOS!AI$4="Sí",(1/DATOS_[[% anualiz]:[% anualiz]]),1)*IF(DATOS!AI$5="Sí",1/DATOS_[[% normaliz]:[% normaliz]],1)*(DATOS_[Conc.Sal.05])))))))), 0)</f>
        <v>0</v>
      </c>
      <c r="O79" s="302" t="n">
        <f aca="false" t="array" ref="O79:O79">IFERROR( (AVERAGE((IF(DATOS_[[Sexo]:[Sexo]]=$B79,IF(DATOS_[[AGRUP. VALOR. PTO.]:[AGRUP. VALOR. PTO.]]=$B78,IF(DATOS_[[Check Periodo Ref.]:[Check Periodo Ref.]]="Dentro",IF(DATOS_[[Check Equiparado]:[Check Equiparado]]="Sí",IF(DATOS!AJ$4="Sí",(1/DATOS_[[% anualiz]:[% anualiz]]),1)*IF(DATOS!AJ$5="Sí",1/DATOS_[[% normaliz]:[% normaliz]],1)*(DATOS_[Conc.Sal.06])))))))), 0)</f>
        <v>0</v>
      </c>
      <c r="P79" s="302" t="n">
        <f aca="false" t="array" ref="P79:P79">IFERROR( (AVERAGE((IF(DATOS_[[Sexo]:[Sexo]]=$B79,IF(DATOS_[[AGRUP. VALOR. PTO.]:[AGRUP. VALOR. PTO.]]=$B78,IF(DATOS_[[Check Periodo Ref.]:[Check Periodo Ref.]]="Dentro",IF(DATOS_[[Check Equiparado]:[Check Equiparado]]="Sí",IF(DATOS!AK$4="Sí",(1/DATOS_[[% anualiz]:[% anualiz]]),1)*IF(DATOS!AK$5="Sí",1/DATOS_[[% normaliz]:[% normaliz]],1)*(DATOS_[Conc.Sal.07])))))))), 0)</f>
        <v>0</v>
      </c>
      <c r="Q79" s="302" t="n">
        <f aca="false" t="array" ref="Q79:Q79">IFERROR( (AVERAGE((IF(DATOS_[[Sexo]:[Sexo]]=$B79,IF(DATOS_[[AGRUP. VALOR. PTO.]:[AGRUP. VALOR. PTO.]]=$B78,IF(DATOS_[[Check Periodo Ref.]:[Check Periodo Ref.]]="Dentro",IF(DATOS_[[Check Equiparado]:[Check Equiparado]]="Sí",IF(DATOS!AL$4="Sí",(1/DATOS_[[% anualiz]:[% anualiz]]),1)*IF(DATOS!AL$5="Sí",1/DATOS_[[% normaliz]:[% normaliz]],1)*(DATOS_[Conc.Sal.08])))))))), 0)</f>
        <v>0</v>
      </c>
      <c r="R79" s="302" t="n">
        <f aca="false" t="array" ref="R79:R79">IFERROR( (AVERAGE((IF(DATOS_[[Sexo]:[Sexo]]=$B79,IF(DATOS_[[AGRUP. VALOR. PTO.]:[AGRUP. VALOR. PTO.]]=$B78,IF(DATOS_[[Check Periodo Ref.]:[Check Periodo Ref.]]="Dentro",IF(DATOS_[[Check Equiparado]:[Check Equiparado]]="Sí",IF(DATOS!AM$4="Sí",(1/DATOS_[[% anualiz]:[% anualiz]]),1)*IF(DATOS!AM$5="Sí",1/DATOS_[[% normaliz]:[% normaliz]],1)*(DATOS_[Conc.Sal.09])))))))), 0)</f>
        <v>0</v>
      </c>
      <c r="S79" s="302" t="n">
        <f aca="false" t="array" ref="S79:S79">IFERROR( (AVERAGE((IF(DATOS_[[Sexo]:[Sexo]]=$B79,IF(DATOS_[[AGRUP. VALOR. PTO.]:[AGRUP. VALOR. PTO.]]=$B78,IF(DATOS_[[Check Periodo Ref.]:[Check Periodo Ref.]]="Dentro",IF(DATOS_[[Check Equiparado]:[Check Equiparado]]="Sí",IF(DATOS!AN$4="Sí",(1/DATOS_[[% anualiz]:[% anualiz]]),1)*IF(DATOS!AN$5="Sí",1/DATOS_[[% normaliz]:[% normaliz]],1)*(DATOS_[Conc.Sal.10])))))))), 0)</f>
        <v>0</v>
      </c>
      <c r="T79" s="302" t="n">
        <f aca="false" t="array" ref="T79:T79">IFERROR( (AVERAGE((IF(DATOS_[[Sexo]:[Sexo]]=$B79,IF(DATOS_[[AGRUP. VALOR. PTO.]:[AGRUP. VALOR. PTO.]]=$B78,IF(DATOS_[[Check Periodo Ref.]:[Check Periodo Ref.]]="Dentro",IF(DATOS_[[Check Equiparado]:[Check Equiparado]]="Sí",IF(DATOS!AO$4="Sí",(1/DATOS_[[% anualiz]:[% anualiz]]),1)*IF(DATOS!AO$5="Sí",1/DATOS_[[% normaliz]:[% normaliz]],1)*(DATOS_[Conc.Sal.11])))))))), 0)</f>
        <v>0</v>
      </c>
      <c r="U79" s="302" t="n">
        <f aca="false" t="array" ref="U79:U79">IFERROR( (AVERAGE((IF(DATOS_[[Sexo]:[Sexo]]=$B79,IF(DATOS_[[AGRUP. VALOR. PTO.]:[AGRUP. VALOR. PTO.]]=$B78,IF(DATOS_[[Check Periodo Ref.]:[Check Periodo Ref.]]="Dentro",IF(DATOS_[[Check Equiparado]:[Check Equiparado]]="Sí",IF(DATOS!AP$4="Sí",(1/DATOS_[[% anualiz]:[% anualiz]]),1)*IF(DATOS!AP$5="Sí",1/DATOS_[[% normaliz]:[% normaliz]],1)*(DATOS_[Conc.Sal.12])))))))), 0)</f>
        <v>0</v>
      </c>
      <c r="V79" s="302" t="n">
        <f aca="false" t="array" ref="V79:V79">IFERROR( (AVERAGE((IF(DATOS_[[Sexo]:[Sexo]]=$B79,IF(DATOS_[[AGRUP. VALOR. PTO.]:[AGRUP. VALOR. PTO.]]=$B78,IF(DATOS_[[Check Periodo Ref.]:[Check Periodo Ref.]]="Dentro",IF(DATOS_[[Check Equiparado]:[Check Equiparado]]="Sí",IF(DATOS!AQ$4="Sí",(1/DATOS_[[% anualiz]:[% anualiz]]),1)*IF(DATOS!AQ$5="Sí",1/DATOS_[[% normaliz]:[% normaliz]],1)*(DATOS_[Conc.Sal.13])))))))), 0)</f>
        <v>0</v>
      </c>
      <c r="W79" s="302" t="n">
        <f aca="false" t="array" ref="W79:W79">IFERROR( (AVERAGE((IF(DATOS_[[Sexo]:[Sexo]]=$B79,IF(DATOS_[[AGRUP. VALOR. PTO.]:[AGRUP. VALOR. PTO.]]=$B78,IF(DATOS_[[Check Periodo Ref.]:[Check Periodo Ref.]]="Dentro",IF(DATOS_[[Check Equiparado]:[Check Equiparado]]="Sí",IF(DATOS!AR$4="Sí",(1/DATOS_[[% anualiz]:[% anualiz]]),1)*IF(DATOS!AR$5="Sí",1/DATOS_[[% normaliz]:[% normaliz]],1)*(DATOS_[Conc.Sal.14])))))))), 0)</f>
        <v>0</v>
      </c>
      <c r="X79" s="302" t="n">
        <f aca="false" t="array" ref="X79:X79">IFERROR( (AVERAGE((IF(DATOS_[[Sexo]:[Sexo]]=$B79,IF(DATOS_[[AGRUP. VALOR. PTO.]:[AGRUP. VALOR. PTO.]]=$B78,IF(DATOS_[[Check Periodo Ref.]:[Check Periodo Ref.]]="Dentro",IF(DATOS_[[Check Equiparado]:[Check Equiparado]]="Sí",IF(DATOS!AS$4="Sí",(1/DATOS_[[% anualiz]:[% anualiz]]),1)*IF(DATOS!AS$5="Sí",1/DATOS_[[% normaliz]:[% normaliz]],1)*(DATOS_[Conc.Sal.15])))))))), 0)</f>
        <v>0</v>
      </c>
      <c r="Y79" s="302" t="n">
        <f aca="false" t="array" ref="Y79:Y79">IFERROR( (AVERAGE((IF(DATOS_[[Sexo]:[Sexo]]=$B79,IF(DATOS_[[AGRUP. VALOR. PTO.]:[AGRUP. VALOR. PTO.]]=$B78,IF(DATOS_[[Check Periodo Ref.]:[Check Periodo Ref.]]="Dentro",IF(DATOS_[[Check Equiparado]:[Check Equiparado]]="Sí",IF(DATOS!AT$4="Sí",(1/DATOS_[[% anualiz]:[% anualiz]]),1)*IF(DATOS!AT$5="Sí",1/DATOS_[[% normaliz]:[% normaliz]],1)*(DATOS_[Conc.Sal.16])))))))), 0)</f>
        <v>0</v>
      </c>
      <c r="Z79" s="302" t="n">
        <f aca="false" t="array" ref="Z79:Z79">IFERROR( (AVERAGE((IF(DATOS_[[Sexo]:[Sexo]]=$B79,IF(DATOS_[[AGRUP. VALOR. PTO.]:[AGRUP. VALOR. PTO.]]=$B78,IF(DATOS_[[Check Periodo Ref.]:[Check Periodo Ref.]]="Dentro",IF(DATOS_[[Check Equiparado]:[Check Equiparado]]="Sí",IF(DATOS!AU$4="Sí",(1/DATOS_[[% anualiz]:[% anualiz]]),1)*IF(DATOS!AU$5="Sí",1/DATOS_[[% normaliz]:[% normaliz]],1)*(DATOS_[Conc.Sal.17])))))))), 0)</f>
        <v>0</v>
      </c>
      <c r="AA79" s="302" t="n">
        <f aca="false" t="array" ref="AA79:AA79">IFERROR( (AVERAGE((IF(DATOS_[[Sexo]:[Sexo]]=$B79,IF(DATOS_[[AGRUP. VALOR. PTO.]:[AGRUP. VALOR. PTO.]]=$B78,IF(DATOS_[[Check Periodo Ref.]:[Check Periodo Ref.]]="Dentro",IF(DATOS_[[Check Equiparado]:[Check Equiparado]]="Sí",IF(DATOS!AV$4="Sí",(1/DATOS_[[% anualiz]:[% anualiz]]),1)*IF(DATOS!AV$5="Sí",1/DATOS_[[% normaliz]:[% normaliz]],1)*(DATOS_[Conc.Sal.18])))))))), 0)</f>
        <v>0</v>
      </c>
      <c r="AB79" s="302" t="n">
        <f aca="false" t="array" ref="AB79:AB79">IFERROR( (AVERAGE((IF(DATOS_[[Sexo]:[Sexo]]=$B79,IF(DATOS_[[AGRUP. VALOR. PTO.]:[AGRUP. VALOR. PTO.]]=$B78,IF(DATOS_[[Check Periodo Ref.]:[Check Periodo Ref.]]="Dentro",IF(DATOS_[[Check Equiparado]:[Check Equiparado]]="Sí",IF(DATOS!AW$4="Sí",(1/DATOS_[[% anualiz]:[% anualiz]]),1)*IF(DATOS!AW$5="Sí",1/DATOS_[[% normaliz]:[% normaliz]],1)*(DATOS_[Conc.Sal.19])))))))), 0)</f>
        <v>0</v>
      </c>
      <c r="AC79" s="302" t="n">
        <f aca="false" t="array" ref="AC79:AC79">IFERROR( (AVERAGE((IF(DATOS_[[Sexo]:[Sexo]]=$B79,IF(DATOS_[[AGRUP. VALOR. PTO.]:[AGRUP. VALOR. PTO.]]=$B78,IF(DATOS_[[Check Periodo Ref.]:[Check Periodo Ref.]]="Dentro",IF(DATOS_[[Check Equiparado]:[Check Equiparado]]="Sí",IF(DATOS!AX$4="Sí",(1/DATOS_[[% anualiz]:[% anualiz]]),1)*IF(DATOS!AX$5="Sí",1/DATOS_[[% normaliz]:[% normaliz]],1)*(DATOS_[Conc.Sal.20])))))))), 0)</f>
        <v>0</v>
      </c>
      <c r="AD79" s="302" t="n">
        <f aca="false" t="array" ref="AD79:AD79">IFERROR( (AVERAGE((IF(DATOS_[[Sexo]:[Sexo]]=$B79,IF(DATOS_[[AGRUP. VALOR. PTO.]:[AGRUP. VALOR. PTO.]]=$B78,IF(DATOS_[[Check Periodo Ref.]:[Check Periodo Ref.]]="Dentro",IF(DATOS_[[Check Equiparado]:[Check Equiparado]]="Sí",IF(DATOS!AY$4="Sí",(1/DATOS_[[% anualiz]:[% anualiz]]),1)*IF(DATOS!AY$5="Sí",1/DATOS_[[% normaliz]:[% normaliz]],1)*(DATOS_[Conc.Sal.21])))))))), 0)</f>
        <v>0</v>
      </c>
      <c r="AE79" s="302" t="n">
        <f aca="false" t="array" ref="AE79:AE79">IFERROR( (AVERAGE((IF(DATOS_[[Sexo]:[Sexo]]=$B79,IF(DATOS_[[AGRUP. VALOR. PTO.]:[AGRUP. VALOR. PTO.]]=$B78,IF(DATOS_[[Check Periodo Ref.]:[Check Periodo Ref.]]="Dentro",IF(DATOS_[[Check Equiparado]:[Check Equiparado]]="Sí",IF(DATOS!AZ$4="Sí",(1/DATOS_[[% anualiz]:[% anualiz]]),1)*IF(DATOS!AZ$5="Sí",1/DATOS_[[% normaliz]:[% normaliz]],1)*(DATOS_[Conc.Sal.22])))))))), 0)</f>
        <v>0</v>
      </c>
      <c r="AF79" s="302" t="n">
        <f aca="false" t="array" ref="AF79:AF79">IFERROR( (AVERAGE((IF(DATOS_[[Sexo]:[Sexo]]=$B79,IF(DATOS_[[AGRUP. VALOR. PTO.]:[AGRUP. VALOR. PTO.]]=$B78,IF(DATOS_[[Check Periodo Ref.]:[Check Periodo Ref.]]="Dentro",IF(DATOS_[[Check Equiparado]:[Check Equiparado]]="Sí",IF(DATOS!BA$4="Sí",(1/DATOS_[[% anualiz]:[% anualiz]]),1)*IF(DATOS!BA$5="Sí",1/DATOS_[[% normaliz]:[% normaliz]],1)*(DATOS_[Conc.Sal.23])))))))), 0)</f>
        <v>0</v>
      </c>
      <c r="AG79" s="302" t="n">
        <f aca="false" t="array" ref="AG79:AG79">IFERROR( (AVERAGE((IF(DATOS_[[Sexo]:[Sexo]]=$B79,IF(DATOS_[[AGRUP. VALOR. PTO.]:[AGRUP. VALOR. PTO.]]=$B78,IF(DATOS_[[Check Periodo Ref.]:[Check Periodo Ref.]]="Dentro",IF(DATOS_[[Check Equiparado]:[Check Equiparado]]="Sí",IF(DATOS!BB$4="Sí",(1/DATOS_[[% anualiz]:[% anualiz]]),1)*IF(DATOS!BB$5="Sí",1/DATOS_[[% normaliz]:[% normaliz]],1)*(DATOS_[Conc.Sal.24])))))))), 0)</f>
        <v>0</v>
      </c>
      <c r="AH79" s="302" t="n">
        <f aca="false" t="array" ref="AH79:AH79">IFERROR( (AVERAGE((IF(DATOS_[[Sexo]:[Sexo]]=$B79,IF(DATOS_[[AGRUP. VALOR. PTO.]:[AGRUP. VALOR. PTO.]]=$B78,IF(DATOS_[[Check Periodo Ref.]:[Check Periodo Ref.]]="Dentro",IF(DATOS_[[Check Equiparado]:[Check Equiparado]]="Sí",IF(DATOS!BC$4="Sí",(1/DATOS_[[% anualiz]:[% anualiz]]),1)*IF(DATOS!BC$5="Sí",1/DATOS_[[% normaliz]:[% normaliz]],1)*(DATOS_[Conc.Sal.25])))))))), 0)</f>
        <v>0</v>
      </c>
      <c r="AI79" s="302" t="n">
        <f aca="false" t="array" ref="AI79:AI79">IFERROR( (AVERAGE((IF(DATOS_[[Sexo]:[Sexo]]=$B79,IF(DATOS_[[AGRUP. VALOR. PTO.]:[AGRUP. VALOR. PTO.]]=$B78,IF(DATOS_[[Check Periodo Ref.]:[Check Periodo Ref.]]="Dentro",IF(DATOS_[[Check Equiparado]:[Check Equiparado]]="Sí",IF(DATOS!BD$4="Sí",(1/DATOS_[[% anualiz]:[% anualiz]]),1)*IF(DATOS!BD$5="Sí",1/DATOS_[[% normaliz]:[% normaliz]],1)*(DATOS_[Conc.Sal.26])))))))), 0)</f>
        <v>0</v>
      </c>
      <c r="AJ79" s="302" t="n">
        <f aca="false" t="array" ref="AJ79:AJ79">IFERROR( (AVERAGE((IF(DATOS_[[Sexo]:[Sexo]]=$B79,IF(DATOS_[[AGRUP. VALOR. PTO.]:[AGRUP. VALOR. PTO.]]=$B78,IF(DATOS_[[Check Periodo Ref.]:[Check Periodo Ref.]]="Dentro",IF(DATOS_[[Check Equiparado]:[Check Equiparado]]="Sí",IF(DATOS!BE$4="Sí",(1/DATOS_[[% anualiz]:[% anualiz]]),1)*IF(DATOS!BE$5="Sí",1/DATOS_[[% normaliz]:[% normaliz]],1)*(DATOS_[Conc.Sal.27])))))))), 0)</f>
        <v>0</v>
      </c>
      <c r="AK79" s="302" t="n">
        <f aca="false" t="array" ref="AK79:AK79">IFERROR( (AVERAGE((IF(DATOS_[[Sexo]:[Sexo]]=$B79,IF(DATOS_[[AGRUP. VALOR. PTO.]:[AGRUP. VALOR. PTO.]]=$B78,IF(DATOS_[[Check Periodo Ref.]:[Check Periodo Ref.]]="Dentro",IF(DATOS_[[Check Equiparado]:[Check Equiparado]]="Sí",IF(DATOS!BF$4="Sí",(1/DATOS_[[% anualiz]:[% anualiz]]),1)*IF(DATOS!BF$5="Sí",1/DATOS_[[% normaliz]:[% normaliz]],1)*(DATOS_[Conc.Sal.28])))))))), 0)</f>
        <v>0</v>
      </c>
      <c r="AL79" s="302" t="n">
        <f aca="false" t="array" ref="AL79:AL79">IFERROR( (AVERAGE((IF(DATOS_[[Sexo]:[Sexo]]=$B79,IF(DATOS_[[AGRUP. VALOR. PTO.]:[AGRUP. VALOR. PTO.]]=$B78,IF(DATOS_[[Check Periodo Ref.]:[Check Periodo Ref.]]="Dentro",IF(DATOS_[[Check Equiparado]:[Check Equiparado]]="Sí",IF(DATOS!BG$4="Sí",(1/DATOS_[[% anualiz]:[% anualiz]]),1)*IF(DATOS!BG$5="Sí",1/DATOS_[[% normaliz]:[% normaliz]],1)*(DATOS_[Conc.Sal.29])))))))), 0)</f>
        <v>0</v>
      </c>
      <c r="AM79" s="302" t="n">
        <f aca="false" t="array" ref="AM79:AM79">IFERROR( (AVERAGE((IF(DATOS_[[Sexo]:[Sexo]]=$B79,IF(DATOS_[[AGRUP. VALOR. PTO.]:[AGRUP. VALOR. PTO.]]=$B78,IF(DATOS_[[Check Periodo Ref.]:[Check Periodo Ref.]]="Dentro",IF(DATOS_[[Check Equiparado]:[Check Equiparado]]="Sí",IF(DATOS!BH$4="Sí",(1/DATOS_[[% anualiz]:[% anualiz]]),1)*IF(DATOS!BH$5="Sí",1/DATOS_[[% normaliz]:[% normaliz]],1)*(DATOS_[Conc.Sal.30])))))))), 0)</f>
        <v>0</v>
      </c>
      <c r="AN79" s="294" t="n">
        <f aca="false" t="array" ref="AN79:AN79">IFERROR( AVERAGE(IF(DATOS_[Sexo]=$B79,IF(DATOS_[[AGRUP. VALOR. PTO.]:[AGRUP. VALOR. PTO.]]=$B78,IF(DATOS_[Check Equiparado]="Sí",IF(DATOS_[Check Periodo Ref.]="Dentro",DATOS_[Tot COMPL.SAL Eq],0))))), 0)</f>
        <v>0</v>
      </c>
      <c r="AO79" s="295" t="n">
        <f aca="false" t="array" ref="AO79:AO79">IFERROR( AVERAGE(IF(DATOS_[Sexo]=$B79,IF(DATOS_[[AGRUP. VALOR. PTO.]:[AGRUP. VALOR. PTO.]]=$B78,IF(DATOS_[Check Equiparado]="Sí",IF(DATOS_[Check Periodo Ref.]="Dentro",DATOS_[TOTAL SALARIO Eq],0))))), 0)</f>
        <v>0</v>
      </c>
      <c r="AP79" s="303" t="n">
        <f aca="false" t="array" ref="AP79:AP79">IFERROR( (AVERAGE((IF(DATOS_[[Sexo]:[Sexo]]=$B79,IF(DATOS_[[AGRUP. VALOR. PTO.]:[AGRUP. VALOR. PTO.]]=$B78,IF(DATOS_[[Check Periodo Ref.]:[Check Periodo Ref.]]="Dentro",IF(DATOS_[[Check Equiparado]:[Check Equiparado]]="Sí",IF(DATOS!BI$4="Sí",(1/DATOS_[[% anualiz]:[% anualiz]]),1)*IF(DATOS!BI$5="Sí",1/DATOS_[[% normaliz]:[% normaliz]],1)*(DATOS_[C.Extra.01])))))))), 0)</f>
        <v>0</v>
      </c>
      <c r="AQ79" s="303" t="n">
        <f aca="false" t="array" ref="AQ79:AQ79">IFERROR( (AVERAGE((IF(DATOS_[[Sexo]:[Sexo]]=$B79,IF(DATOS_[[AGRUP. VALOR. PTO.]:[AGRUP. VALOR. PTO.]]=$B78,IF(DATOS_[[Check Periodo Ref.]:[Check Periodo Ref.]]="Dentro",IF(DATOS_[[Check Equiparado]:[Check Equiparado]]="Sí",IF(DATOS!BJ$4="Sí",(1/DATOS_[[% anualiz]:[% anualiz]]),1)*IF(DATOS!BJ$5="Sí",1/DATOS_[[% normaliz]:[% normaliz]],1)*(DATOS_[C.Extra.02])))))))), 0)</f>
        <v>0</v>
      </c>
      <c r="AR79" s="303" t="n">
        <f aca="false" t="array" ref="AR79:AR79">IFERROR( (AVERAGE((IF(DATOS_[[Sexo]:[Sexo]]=$B79,IF(DATOS_[[AGRUP. VALOR. PTO.]:[AGRUP. VALOR. PTO.]]=$B78,IF(DATOS_[[Check Periodo Ref.]:[Check Periodo Ref.]]="Dentro",IF(DATOS_[[Check Equiparado]:[Check Equiparado]]="Sí",IF(DATOS!BK$4="Sí",(1/DATOS_[[% anualiz]:[% anualiz]]),1)*IF(DATOS!BK$5="Sí",1/DATOS_[[% normaliz]:[% normaliz]],1)*(DATOS_[C.Extra.03])))))))), 0)</f>
        <v>0</v>
      </c>
      <c r="AS79" s="303" t="n">
        <f aca="false" t="array" ref="AS79:AS79">IFERROR( (AVERAGE((IF(DATOS_[[Sexo]:[Sexo]]=$B79,IF(DATOS_[[AGRUP. VALOR. PTO.]:[AGRUP. VALOR. PTO.]]=$B78,IF(DATOS_[[Check Periodo Ref.]:[Check Periodo Ref.]]="Dentro",IF(DATOS_[[Check Equiparado]:[Check Equiparado]]="Sí",IF(DATOS!BL$4="Sí",(1/DATOS_[[% anualiz]:[% anualiz]]),1)*IF(DATOS!BL$5="Sí",1/DATOS_[[% normaliz]:[% normaliz]],1)*(DATOS_[C.Extra.04])))))))), 0)</f>
        <v>0</v>
      </c>
      <c r="AT79" s="303" t="n">
        <f aca="false" t="array" ref="AT79:AT79">IFERROR( (AVERAGE((IF(DATOS_[[Sexo]:[Sexo]]=$B79,IF(DATOS_[[AGRUP. VALOR. PTO.]:[AGRUP. VALOR. PTO.]]=$B78,IF(DATOS_[[Check Periodo Ref.]:[Check Periodo Ref.]]="Dentro",IF(DATOS_[[Check Equiparado]:[Check Equiparado]]="Sí",IF(DATOS!BM$4="Sí",(1/DATOS_[[% anualiz]:[% anualiz]]),1)*IF(DATOS!BM$5="Sí",1/DATOS_[[% normaliz]:[% normaliz]],1)*(DATOS_[C.Extra.05])))))))), 0)</f>
        <v>0</v>
      </c>
      <c r="AU79" s="297" t="n">
        <f aca="false" t="array" ref="AU79:AU79">IFERROR( AVERAGE(IF(DATOS_[Sexo]=$B79,IF(DATOS_[[AGRUP. VALOR. PTO.]:[AGRUP. VALOR. PTO.]]=$B78,IF(DATOS_[Check Equiparado]="Sí",IF(DATOS_[Check Periodo Ref.]="Dentro",DATOS_[Tot Extrasalarial Eq],0))))), 0)</f>
        <v>0</v>
      </c>
      <c r="AV79" s="298" t="n">
        <f aca="false" t="array" ref="AV79:AV79">IFERROR( AVERAGE(IF(DATOS_[Sexo]=$B79,IF(DATOS_[[AGRUP. VALOR. PTO.]:[AGRUP. VALOR. PTO.]]=$B78,IF(DATOS_[Check Equiparado]="Sí",IF(DATOS_[Check Periodo Ref.]="Dentro",DATOS_[TOTAL Retrib Eq],0))))), 0)</f>
        <v>0</v>
      </c>
    </row>
    <row r="80" customFormat="false" ht="14.25" hidden="false" customHeight="false" outlineLevel="0" collapsed="false">
      <c r="A80" s="166" t="str">
        <f aca="false">+A79</f>
        <v>[ocultar]</v>
      </c>
      <c r="B80" s="289" t="s">
        <v>372</v>
      </c>
      <c r="C80" s="290" t="n">
        <f aca="false" t="array" ref="C80:C80">SUM(IF($B80=DATOS_[Sexo], IF($B78=DATOS_[AGRUP. VALOR. PTO.], IF("Dentro"=DATOS_[Check Periodo Ref.], 1/(COUNTIFS(DATOS_[Sexo],$B80,DATOS_[AGRUP. VALOR. PTO.],$B78,DATOS_[Check Periodo Ref.],"Dentro",DATOS_[id],DATOS_[id]))))))</f>
        <v>0</v>
      </c>
      <c r="D80" s="291" t="n">
        <f aca="false">COUNTIFS(DATOS_[AGRUP. VALOR. PTO.],$B78,DATOS_[Sexo],$B80,DATOS_[Check Periodo Ref.],"Dentro")</f>
        <v>0</v>
      </c>
      <c r="E80" s="291" t="n">
        <f aca="false">COUNTIFS(DATOS_[AGRUP. VALOR. PTO.],$B78,DATOS_[Sexo],$B80,DATOS_[Check Periodo Ref.],"Dentro",DATOS_[Check Nº SC Norm],"Sí")</f>
        <v>0</v>
      </c>
      <c r="F80" s="291" t="n">
        <f aca="false">COUNTIFS(DATOS_[AGRUP. VALOR. PTO.],$B78,DATOS_[Sexo],$B80,DATOS_[Check Periodo Ref.],"Dentro",DATOS_[Check Nº SC Anualiz],"Sí")</f>
        <v>0</v>
      </c>
      <c r="G80" s="291" t="n">
        <f aca="false">COUNTIFS(DATOS_[AGRUP. VALOR. PTO.],$B78,DATOS_[Sexo],$B80,DATOS_[Check Periodo Ref.],"Dentro",DATOS_[Check Nº SC Norm y Anualiz],"Sí")</f>
        <v>0</v>
      </c>
      <c r="H80" s="291" t="n">
        <f aca="false">COUNTIFS(DATOS_[AGRUP. VALOR. PTO.],$B78,DATOS_[Sexo],$B80,DATOS_[Check Periodo Ref.],"Dentro",DATOS_[Check Equiparación],"Sí")</f>
        <v>0</v>
      </c>
      <c r="I80" s="292" t="n">
        <f aca="false" t="array" ref="I80:I80">IFERROR( AVERAGE(IF(DATOS_[Sexo]=$B80,IF(DATOS_[[AGRUP. VALOR. PTO.]:[AGRUP. VALOR. PTO.]]=$B78,IF(DATOS_[Check Equiparado]="Sí",IF(DATOS_[Check Periodo Ref.]="Dentro",DATOS_[SALARIO BASE Eq],0))))), 0)</f>
        <v>0</v>
      </c>
      <c r="J80" s="302" t="n">
        <f aca="false" t="array" ref="J80:J80">IFERROR( (AVERAGE((IF(DATOS_[[Sexo]:[Sexo]]=$B80,IF(DATOS_[[AGRUP. VALOR. PTO.]:[AGRUP. VALOR. PTO.]]=$B78,IF(DATOS_[[Check Periodo Ref.]:[Check Periodo Ref.]]="Dentro",IF(DATOS_[[Check Equiparado]:[Check Equiparado]]="Sí",IF(DATOS!AE$4="Sí",(1/DATOS_[[% anualiz]:[% anualiz]]),1)*IF(DATOS!AE$5="Sí",1/DATOS_[[% normaliz]:[% normaliz]],1)*(DATOS_[Conc.Sal.01])))))))), 0)</f>
        <v>0</v>
      </c>
      <c r="K80" s="302" t="n">
        <f aca="false" t="array" ref="K80:K80">IFERROR( (AVERAGE((IF(DATOS_[[Sexo]:[Sexo]]=$B80,IF(DATOS_[[AGRUP. VALOR. PTO.]:[AGRUP. VALOR. PTO.]]=$B78,IF(DATOS_[[Check Periodo Ref.]:[Check Periodo Ref.]]="Dentro",IF(DATOS_[[Check Equiparado]:[Check Equiparado]]="Sí",IF(DATOS!AF$4="Sí",(1/DATOS_[[% anualiz]:[% anualiz]]),1)*IF(DATOS!AF$5="Sí",1/DATOS_[[% normaliz]:[% normaliz]],1)*(DATOS_[Conc.Sal.02])))))))), 0)</f>
        <v>0</v>
      </c>
      <c r="L80" s="302" t="n">
        <f aca="false" t="array" ref="L80:L80">IFERROR( (AVERAGE((IF(DATOS_[[Sexo]:[Sexo]]=$B80,IF(DATOS_[[AGRUP. VALOR. PTO.]:[AGRUP. VALOR. PTO.]]=$B78,IF(DATOS_[[Check Periodo Ref.]:[Check Periodo Ref.]]="Dentro",IF(DATOS_[[Check Equiparado]:[Check Equiparado]]="Sí",IF(DATOS!AG$4="Sí",(1/DATOS_[[% anualiz]:[% anualiz]]),1)*IF(DATOS!AG$5="Sí",1/DATOS_[[% normaliz]:[% normaliz]],1)*(DATOS_[Conc.Sal.03])))))))), 0)</f>
        <v>0</v>
      </c>
      <c r="M80" s="302" t="n">
        <f aca="false" t="array" ref="M80:M80">IFERROR( (AVERAGE((IF(DATOS_[[Sexo]:[Sexo]]=$B80,IF(DATOS_[[AGRUP. VALOR. PTO.]:[AGRUP. VALOR. PTO.]]=$B78,IF(DATOS_[[Check Periodo Ref.]:[Check Periodo Ref.]]="Dentro",IF(DATOS_[[Check Equiparado]:[Check Equiparado]]="Sí",IF(DATOS!AH$4="Sí",(1/DATOS_[[% anualiz]:[% anualiz]]),1)*IF(DATOS!AH$5="Sí",1/DATOS_[[% normaliz]:[% normaliz]],1)*(DATOS_[Conc.Sal.04])))))))), 0)</f>
        <v>0</v>
      </c>
      <c r="N80" s="302" t="n">
        <f aca="false" t="array" ref="N80:N80">IFERROR( (AVERAGE((IF(DATOS_[[Sexo]:[Sexo]]=$B80,IF(DATOS_[[AGRUP. VALOR. PTO.]:[AGRUP. VALOR. PTO.]]=$B78,IF(DATOS_[[Check Periodo Ref.]:[Check Periodo Ref.]]="Dentro",IF(DATOS_[[Check Equiparado]:[Check Equiparado]]="Sí",IF(DATOS!AI$4="Sí",(1/DATOS_[[% anualiz]:[% anualiz]]),1)*IF(DATOS!AI$5="Sí",1/DATOS_[[% normaliz]:[% normaliz]],1)*(DATOS_[Conc.Sal.05])))))))), 0)</f>
        <v>0</v>
      </c>
      <c r="O80" s="302" t="n">
        <f aca="false" t="array" ref="O80:O80">IFERROR( (AVERAGE((IF(DATOS_[[Sexo]:[Sexo]]=$B80,IF(DATOS_[[AGRUP. VALOR. PTO.]:[AGRUP. VALOR. PTO.]]=$B78,IF(DATOS_[[Check Periodo Ref.]:[Check Periodo Ref.]]="Dentro",IF(DATOS_[[Check Equiparado]:[Check Equiparado]]="Sí",IF(DATOS!AJ$4="Sí",(1/DATOS_[[% anualiz]:[% anualiz]]),1)*IF(DATOS!AJ$5="Sí",1/DATOS_[[% normaliz]:[% normaliz]],1)*(DATOS_[Conc.Sal.06])))))))), 0)</f>
        <v>0</v>
      </c>
      <c r="P80" s="302" t="n">
        <f aca="false" t="array" ref="P80:P80">IFERROR( (AVERAGE((IF(DATOS_[[Sexo]:[Sexo]]=$B80,IF(DATOS_[[AGRUP. VALOR. PTO.]:[AGRUP. VALOR. PTO.]]=$B78,IF(DATOS_[[Check Periodo Ref.]:[Check Periodo Ref.]]="Dentro",IF(DATOS_[[Check Equiparado]:[Check Equiparado]]="Sí",IF(DATOS!AK$4="Sí",(1/DATOS_[[% anualiz]:[% anualiz]]),1)*IF(DATOS!AK$5="Sí",1/DATOS_[[% normaliz]:[% normaliz]],1)*(DATOS_[Conc.Sal.07])))))))), 0)</f>
        <v>0</v>
      </c>
      <c r="Q80" s="302" t="n">
        <f aca="false" t="array" ref="Q80:Q80">IFERROR( (AVERAGE((IF(DATOS_[[Sexo]:[Sexo]]=$B80,IF(DATOS_[[AGRUP. VALOR. PTO.]:[AGRUP. VALOR. PTO.]]=$B78,IF(DATOS_[[Check Periodo Ref.]:[Check Periodo Ref.]]="Dentro",IF(DATOS_[[Check Equiparado]:[Check Equiparado]]="Sí",IF(DATOS!AL$4="Sí",(1/DATOS_[[% anualiz]:[% anualiz]]),1)*IF(DATOS!AL$5="Sí",1/DATOS_[[% normaliz]:[% normaliz]],1)*(DATOS_[Conc.Sal.08])))))))), 0)</f>
        <v>0</v>
      </c>
      <c r="R80" s="302" t="n">
        <f aca="false" t="array" ref="R80:R80">IFERROR( (AVERAGE((IF(DATOS_[[Sexo]:[Sexo]]=$B80,IF(DATOS_[[AGRUP. VALOR. PTO.]:[AGRUP. VALOR. PTO.]]=$B78,IF(DATOS_[[Check Periodo Ref.]:[Check Periodo Ref.]]="Dentro",IF(DATOS_[[Check Equiparado]:[Check Equiparado]]="Sí",IF(DATOS!AM$4="Sí",(1/DATOS_[[% anualiz]:[% anualiz]]),1)*IF(DATOS!AM$5="Sí",1/DATOS_[[% normaliz]:[% normaliz]],1)*(DATOS_[Conc.Sal.09])))))))), 0)</f>
        <v>0</v>
      </c>
      <c r="S80" s="302" t="n">
        <f aca="false" t="array" ref="S80:S80">IFERROR( (AVERAGE((IF(DATOS_[[Sexo]:[Sexo]]=$B80,IF(DATOS_[[AGRUP. VALOR. PTO.]:[AGRUP. VALOR. PTO.]]=$B78,IF(DATOS_[[Check Periodo Ref.]:[Check Periodo Ref.]]="Dentro",IF(DATOS_[[Check Equiparado]:[Check Equiparado]]="Sí",IF(DATOS!AN$4="Sí",(1/DATOS_[[% anualiz]:[% anualiz]]),1)*IF(DATOS!AN$5="Sí",1/DATOS_[[% normaliz]:[% normaliz]],1)*(DATOS_[Conc.Sal.10])))))))), 0)</f>
        <v>0</v>
      </c>
      <c r="T80" s="302" t="n">
        <f aca="false" t="array" ref="T80:T80">IFERROR( (AVERAGE((IF(DATOS_[[Sexo]:[Sexo]]=$B80,IF(DATOS_[[AGRUP. VALOR. PTO.]:[AGRUP. VALOR. PTO.]]=$B78,IF(DATOS_[[Check Periodo Ref.]:[Check Periodo Ref.]]="Dentro",IF(DATOS_[[Check Equiparado]:[Check Equiparado]]="Sí",IF(DATOS!AO$4="Sí",(1/DATOS_[[% anualiz]:[% anualiz]]),1)*IF(DATOS!AO$5="Sí",1/DATOS_[[% normaliz]:[% normaliz]],1)*(DATOS_[Conc.Sal.11])))))))), 0)</f>
        <v>0</v>
      </c>
      <c r="U80" s="302" t="n">
        <f aca="false" t="array" ref="U80:U80">IFERROR( (AVERAGE((IF(DATOS_[[Sexo]:[Sexo]]=$B80,IF(DATOS_[[AGRUP. VALOR. PTO.]:[AGRUP. VALOR. PTO.]]=$B78,IF(DATOS_[[Check Periodo Ref.]:[Check Periodo Ref.]]="Dentro",IF(DATOS_[[Check Equiparado]:[Check Equiparado]]="Sí",IF(DATOS!AP$4="Sí",(1/DATOS_[[% anualiz]:[% anualiz]]),1)*IF(DATOS!AP$5="Sí",1/DATOS_[[% normaliz]:[% normaliz]],1)*(DATOS_[Conc.Sal.12])))))))), 0)</f>
        <v>0</v>
      </c>
      <c r="V80" s="302" t="n">
        <f aca="false" t="array" ref="V80:V80">IFERROR( (AVERAGE((IF(DATOS_[[Sexo]:[Sexo]]=$B80,IF(DATOS_[[AGRUP. VALOR. PTO.]:[AGRUP. VALOR. PTO.]]=$B78,IF(DATOS_[[Check Periodo Ref.]:[Check Periodo Ref.]]="Dentro",IF(DATOS_[[Check Equiparado]:[Check Equiparado]]="Sí",IF(DATOS!AQ$4="Sí",(1/DATOS_[[% anualiz]:[% anualiz]]),1)*IF(DATOS!AQ$5="Sí",1/DATOS_[[% normaliz]:[% normaliz]],1)*(DATOS_[Conc.Sal.13])))))))), 0)</f>
        <v>0</v>
      </c>
      <c r="W80" s="302" t="n">
        <f aca="false" t="array" ref="W80:W80">IFERROR( (AVERAGE((IF(DATOS_[[Sexo]:[Sexo]]=$B80,IF(DATOS_[[AGRUP. VALOR. PTO.]:[AGRUP. VALOR. PTO.]]=$B78,IF(DATOS_[[Check Periodo Ref.]:[Check Periodo Ref.]]="Dentro",IF(DATOS_[[Check Equiparado]:[Check Equiparado]]="Sí",IF(DATOS!AR$4="Sí",(1/DATOS_[[% anualiz]:[% anualiz]]),1)*IF(DATOS!AR$5="Sí",1/DATOS_[[% normaliz]:[% normaliz]],1)*(DATOS_[Conc.Sal.14])))))))), 0)</f>
        <v>0</v>
      </c>
      <c r="X80" s="302" t="n">
        <f aca="false" t="array" ref="X80:X80">IFERROR( (AVERAGE((IF(DATOS_[[Sexo]:[Sexo]]=$B80,IF(DATOS_[[AGRUP. VALOR. PTO.]:[AGRUP. VALOR. PTO.]]=$B78,IF(DATOS_[[Check Periodo Ref.]:[Check Periodo Ref.]]="Dentro",IF(DATOS_[[Check Equiparado]:[Check Equiparado]]="Sí",IF(DATOS!AS$4="Sí",(1/DATOS_[[% anualiz]:[% anualiz]]),1)*IF(DATOS!AS$5="Sí",1/DATOS_[[% normaliz]:[% normaliz]],1)*(DATOS_[Conc.Sal.15])))))))), 0)</f>
        <v>0</v>
      </c>
      <c r="Y80" s="302" t="n">
        <f aca="false" t="array" ref="Y80:Y80">IFERROR( (AVERAGE((IF(DATOS_[[Sexo]:[Sexo]]=$B80,IF(DATOS_[[AGRUP. VALOR. PTO.]:[AGRUP. VALOR. PTO.]]=$B78,IF(DATOS_[[Check Periodo Ref.]:[Check Periodo Ref.]]="Dentro",IF(DATOS_[[Check Equiparado]:[Check Equiparado]]="Sí",IF(DATOS!AT$4="Sí",(1/DATOS_[[% anualiz]:[% anualiz]]),1)*IF(DATOS!AT$5="Sí",1/DATOS_[[% normaliz]:[% normaliz]],1)*(DATOS_[Conc.Sal.16])))))))), 0)</f>
        <v>0</v>
      </c>
      <c r="Z80" s="302" t="n">
        <f aca="false" t="array" ref="Z80:Z80">IFERROR( (AVERAGE((IF(DATOS_[[Sexo]:[Sexo]]=$B80,IF(DATOS_[[AGRUP. VALOR. PTO.]:[AGRUP. VALOR. PTO.]]=$B78,IF(DATOS_[[Check Periodo Ref.]:[Check Periodo Ref.]]="Dentro",IF(DATOS_[[Check Equiparado]:[Check Equiparado]]="Sí",IF(DATOS!AU$4="Sí",(1/DATOS_[[% anualiz]:[% anualiz]]),1)*IF(DATOS!AU$5="Sí",1/DATOS_[[% normaliz]:[% normaliz]],1)*(DATOS_[Conc.Sal.17])))))))), 0)</f>
        <v>0</v>
      </c>
      <c r="AA80" s="302" t="n">
        <f aca="false" t="array" ref="AA80:AA80">IFERROR( (AVERAGE((IF(DATOS_[[Sexo]:[Sexo]]=$B80,IF(DATOS_[[AGRUP. VALOR. PTO.]:[AGRUP. VALOR. PTO.]]=$B78,IF(DATOS_[[Check Periodo Ref.]:[Check Periodo Ref.]]="Dentro",IF(DATOS_[[Check Equiparado]:[Check Equiparado]]="Sí",IF(DATOS!AV$4="Sí",(1/DATOS_[[% anualiz]:[% anualiz]]),1)*IF(DATOS!AV$5="Sí",1/DATOS_[[% normaliz]:[% normaliz]],1)*(DATOS_[Conc.Sal.18])))))))), 0)</f>
        <v>0</v>
      </c>
      <c r="AB80" s="302" t="n">
        <f aca="false" t="array" ref="AB80:AB80">IFERROR( (AVERAGE((IF(DATOS_[[Sexo]:[Sexo]]=$B80,IF(DATOS_[[AGRUP. VALOR. PTO.]:[AGRUP. VALOR. PTO.]]=$B78,IF(DATOS_[[Check Periodo Ref.]:[Check Periodo Ref.]]="Dentro",IF(DATOS_[[Check Equiparado]:[Check Equiparado]]="Sí",IF(DATOS!AW$4="Sí",(1/DATOS_[[% anualiz]:[% anualiz]]),1)*IF(DATOS!AW$5="Sí",1/DATOS_[[% normaliz]:[% normaliz]],1)*(DATOS_[Conc.Sal.19])))))))), 0)</f>
        <v>0</v>
      </c>
      <c r="AC80" s="302" t="n">
        <f aca="false" t="array" ref="AC80:AC80">IFERROR( (AVERAGE((IF(DATOS_[[Sexo]:[Sexo]]=$B80,IF(DATOS_[[AGRUP. VALOR. PTO.]:[AGRUP. VALOR. PTO.]]=$B78,IF(DATOS_[[Check Periodo Ref.]:[Check Periodo Ref.]]="Dentro",IF(DATOS_[[Check Equiparado]:[Check Equiparado]]="Sí",IF(DATOS!AX$4="Sí",(1/DATOS_[[% anualiz]:[% anualiz]]),1)*IF(DATOS!AX$5="Sí",1/DATOS_[[% normaliz]:[% normaliz]],1)*(DATOS_[Conc.Sal.20])))))))), 0)</f>
        <v>0</v>
      </c>
      <c r="AD80" s="302" t="n">
        <f aca="false" t="array" ref="AD80:AD80">IFERROR( (AVERAGE((IF(DATOS_[[Sexo]:[Sexo]]=$B80,IF(DATOS_[[AGRUP. VALOR. PTO.]:[AGRUP. VALOR. PTO.]]=$B78,IF(DATOS_[[Check Periodo Ref.]:[Check Periodo Ref.]]="Dentro",IF(DATOS_[[Check Equiparado]:[Check Equiparado]]="Sí",IF(DATOS!AY$4="Sí",(1/DATOS_[[% anualiz]:[% anualiz]]),1)*IF(DATOS!AY$5="Sí",1/DATOS_[[% normaliz]:[% normaliz]],1)*(DATOS_[Conc.Sal.21])))))))), 0)</f>
        <v>0</v>
      </c>
      <c r="AE80" s="302" t="n">
        <f aca="false" t="array" ref="AE80:AE80">IFERROR( (AVERAGE((IF(DATOS_[[Sexo]:[Sexo]]=$B80,IF(DATOS_[[AGRUP. VALOR. PTO.]:[AGRUP. VALOR. PTO.]]=$B78,IF(DATOS_[[Check Periodo Ref.]:[Check Periodo Ref.]]="Dentro",IF(DATOS_[[Check Equiparado]:[Check Equiparado]]="Sí",IF(DATOS!AZ$4="Sí",(1/DATOS_[[% anualiz]:[% anualiz]]),1)*IF(DATOS!AZ$5="Sí",1/DATOS_[[% normaliz]:[% normaliz]],1)*(DATOS_[Conc.Sal.22])))))))), 0)</f>
        <v>0</v>
      </c>
      <c r="AF80" s="302" t="n">
        <f aca="false" t="array" ref="AF80:AF80">IFERROR( (AVERAGE((IF(DATOS_[[Sexo]:[Sexo]]=$B80,IF(DATOS_[[AGRUP. VALOR. PTO.]:[AGRUP. VALOR. PTO.]]=$B78,IF(DATOS_[[Check Periodo Ref.]:[Check Periodo Ref.]]="Dentro",IF(DATOS_[[Check Equiparado]:[Check Equiparado]]="Sí",IF(DATOS!BA$4="Sí",(1/DATOS_[[% anualiz]:[% anualiz]]),1)*IF(DATOS!BA$5="Sí",1/DATOS_[[% normaliz]:[% normaliz]],1)*(DATOS_[Conc.Sal.23])))))))), 0)</f>
        <v>0</v>
      </c>
      <c r="AG80" s="302" t="n">
        <f aca="false" t="array" ref="AG80:AG80">IFERROR( (AVERAGE((IF(DATOS_[[Sexo]:[Sexo]]=$B80,IF(DATOS_[[AGRUP. VALOR. PTO.]:[AGRUP. VALOR. PTO.]]=$B78,IF(DATOS_[[Check Periodo Ref.]:[Check Periodo Ref.]]="Dentro",IF(DATOS_[[Check Equiparado]:[Check Equiparado]]="Sí",IF(DATOS!BB$4="Sí",(1/DATOS_[[% anualiz]:[% anualiz]]),1)*IF(DATOS!BB$5="Sí",1/DATOS_[[% normaliz]:[% normaliz]],1)*(DATOS_[Conc.Sal.24])))))))), 0)</f>
        <v>0</v>
      </c>
      <c r="AH80" s="302" t="n">
        <f aca="false" t="array" ref="AH80:AH80">IFERROR( (AVERAGE((IF(DATOS_[[Sexo]:[Sexo]]=$B80,IF(DATOS_[[AGRUP. VALOR. PTO.]:[AGRUP. VALOR. PTO.]]=$B78,IF(DATOS_[[Check Periodo Ref.]:[Check Periodo Ref.]]="Dentro",IF(DATOS_[[Check Equiparado]:[Check Equiparado]]="Sí",IF(DATOS!BC$4="Sí",(1/DATOS_[[% anualiz]:[% anualiz]]),1)*IF(DATOS!BC$5="Sí",1/DATOS_[[% normaliz]:[% normaliz]],1)*(DATOS_[Conc.Sal.25])))))))), 0)</f>
        <v>0</v>
      </c>
      <c r="AI80" s="302" t="n">
        <f aca="false" t="array" ref="AI80:AI80">IFERROR( (AVERAGE((IF(DATOS_[[Sexo]:[Sexo]]=$B80,IF(DATOS_[[AGRUP. VALOR. PTO.]:[AGRUP. VALOR. PTO.]]=$B78,IF(DATOS_[[Check Periodo Ref.]:[Check Periodo Ref.]]="Dentro",IF(DATOS_[[Check Equiparado]:[Check Equiparado]]="Sí",IF(DATOS!BD$4="Sí",(1/DATOS_[[% anualiz]:[% anualiz]]),1)*IF(DATOS!BD$5="Sí",1/DATOS_[[% normaliz]:[% normaliz]],1)*(DATOS_[Conc.Sal.26])))))))), 0)</f>
        <v>0</v>
      </c>
      <c r="AJ80" s="302" t="n">
        <f aca="false" t="array" ref="AJ80:AJ80">IFERROR( (AVERAGE((IF(DATOS_[[Sexo]:[Sexo]]=$B80,IF(DATOS_[[AGRUP. VALOR. PTO.]:[AGRUP. VALOR. PTO.]]=$B78,IF(DATOS_[[Check Periodo Ref.]:[Check Periodo Ref.]]="Dentro",IF(DATOS_[[Check Equiparado]:[Check Equiparado]]="Sí",IF(DATOS!BE$4="Sí",(1/DATOS_[[% anualiz]:[% anualiz]]),1)*IF(DATOS!BE$5="Sí",1/DATOS_[[% normaliz]:[% normaliz]],1)*(DATOS_[Conc.Sal.27])))))))), 0)</f>
        <v>0</v>
      </c>
      <c r="AK80" s="302" t="n">
        <f aca="false" t="array" ref="AK80:AK80">IFERROR( (AVERAGE((IF(DATOS_[[Sexo]:[Sexo]]=$B80,IF(DATOS_[[AGRUP. VALOR. PTO.]:[AGRUP. VALOR. PTO.]]=$B78,IF(DATOS_[[Check Periodo Ref.]:[Check Periodo Ref.]]="Dentro",IF(DATOS_[[Check Equiparado]:[Check Equiparado]]="Sí",IF(DATOS!BF$4="Sí",(1/DATOS_[[% anualiz]:[% anualiz]]),1)*IF(DATOS!BF$5="Sí",1/DATOS_[[% normaliz]:[% normaliz]],1)*(DATOS_[Conc.Sal.28])))))))), 0)</f>
        <v>0</v>
      </c>
      <c r="AL80" s="302" t="n">
        <f aca="false" t="array" ref="AL80:AL80">IFERROR( (AVERAGE((IF(DATOS_[[Sexo]:[Sexo]]=$B80,IF(DATOS_[[AGRUP. VALOR. PTO.]:[AGRUP. VALOR. PTO.]]=$B78,IF(DATOS_[[Check Periodo Ref.]:[Check Periodo Ref.]]="Dentro",IF(DATOS_[[Check Equiparado]:[Check Equiparado]]="Sí",IF(DATOS!BG$4="Sí",(1/DATOS_[[% anualiz]:[% anualiz]]),1)*IF(DATOS!BG$5="Sí",1/DATOS_[[% normaliz]:[% normaliz]],1)*(DATOS_[Conc.Sal.29])))))))), 0)</f>
        <v>0</v>
      </c>
      <c r="AM80" s="302" t="n">
        <f aca="false" t="array" ref="AM80:AM80">IFERROR( (AVERAGE((IF(DATOS_[[Sexo]:[Sexo]]=$B80,IF(DATOS_[[AGRUP. VALOR. PTO.]:[AGRUP. VALOR. PTO.]]=$B78,IF(DATOS_[[Check Periodo Ref.]:[Check Periodo Ref.]]="Dentro",IF(DATOS_[[Check Equiparado]:[Check Equiparado]]="Sí",IF(DATOS!BH$4="Sí",(1/DATOS_[[% anualiz]:[% anualiz]]),1)*IF(DATOS!BH$5="Sí",1/DATOS_[[% normaliz]:[% normaliz]],1)*(DATOS_[Conc.Sal.30])))))))), 0)</f>
        <v>0</v>
      </c>
      <c r="AN80" s="294" t="n">
        <f aca="false" t="array" ref="AN80:AN80">IFERROR( AVERAGE(IF(DATOS_[Sexo]=$B80,IF(DATOS_[[AGRUP. VALOR. PTO.]:[AGRUP. VALOR. PTO.]]=$B78,IF(DATOS_[Check Equiparado]="Sí",IF(DATOS_[Check Periodo Ref.]="Dentro",DATOS_[Tot COMPL.SAL Eq],0))))), 0)</f>
        <v>0</v>
      </c>
      <c r="AO80" s="295" t="n">
        <f aca="false" t="array" ref="AO80:AO80">IFERROR( AVERAGE(IF(DATOS_[Sexo]=$B80,IF(DATOS_[[AGRUP. VALOR. PTO.]:[AGRUP. VALOR. PTO.]]=$B78,IF(DATOS_[Check Equiparado]="Sí",IF(DATOS_[Check Periodo Ref.]="Dentro",DATOS_[TOTAL SALARIO Eq],0))))), 0)</f>
        <v>0</v>
      </c>
      <c r="AP80" s="303" t="n">
        <f aca="false" t="array" ref="AP80:AP80">IFERROR( (AVERAGE((IF(DATOS_[[Sexo]:[Sexo]]=$B80,IF(DATOS_[[AGRUP. VALOR. PTO.]:[AGRUP. VALOR. PTO.]]=$B79,IF(DATOS_[[Check Periodo Ref.]:[Check Periodo Ref.]]="Dentro",IF(DATOS_[[Check Equiparado]:[Check Equiparado]]="Sí",IF(DATOS!BI$4="Sí",(1/DATOS_[[% anualiz]:[% anualiz]]),1)*IF(DATOS!BI$5="Sí",1/DATOS_[[% normaliz]:[% normaliz]],1)*(DATOS_[C.Extra.01])))))))), 0)</f>
        <v>0</v>
      </c>
      <c r="AQ80" s="303" t="n">
        <f aca="false" t="array" ref="AQ80:AQ80">IFERROR( (AVERAGE((IF(DATOS_[[Sexo]:[Sexo]]=$B80,IF(DATOS_[[AGRUP. VALOR. PTO.]:[AGRUP. VALOR. PTO.]]=$B79,IF(DATOS_[[Check Periodo Ref.]:[Check Periodo Ref.]]="Dentro",IF(DATOS_[[Check Equiparado]:[Check Equiparado]]="Sí",IF(DATOS!BJ$4="Sí",(1/DATOS_[[% anualiz]:[% anualiz]]),1)*IF(DATOS!BJ$5="Sí",1/DATOS_[[% normaliz]:[% normaliz]],1)*(DATOS_[C.Extra.02])))))))), 0)</f>
        <v>0</v>
      </c>
      <c r="AR80" s="303" t="n">
        <f aca="false" t="array" ref="AR80:AR80">IFERROR( (AVERAGE((IF(DATOS_[[Sexo]:[Sexo]]=$B80,IF(DATOS_[[AGRUP. VALOR. PTO.]:[AGRUP. VALOR. PTO.]]=$B79,IF(DATOS_[[Check Periodo Ref.]:[Check Periodo Ref.]]="Dentro",IF(DATOS_[[Check Equiparado]:[Check Equiparado]]="Sí",IF(DATOS!BK$4="Sí",(1/DATOS_[[% anualiz]:[% anualiz]]),1)*IF(DATOS!BK$5="Sí",1/DATOS_[[% normaliz]:[% normaliz]],1)*(DATOS_[C.Extra.03])))))))), 0)</f>
        <v>0</v>
      </c>
      <c r="AS80" s="303" t="n">
        <f aca="false" t="array" ref="AS80:AS80">IFERROR( (AVERAGE((IF(DATOS_[[Sexo]:[Sexo]]=$B80,IF(DATOS_[[AGRUP. VALOR. PTO.]:[AGRUP. VALOR. PTO.]]=$B79,IF(DATOS_[[Check Periodo Ref.]:[Check Periodo Ref.]]="Dentro",IF(DATOS_[[Check Equiparado]:[Check Equiparado]]="Sí",IF(DATOS!BL$4="Sí",(1/DATOS_[[% anualiz]:[% anualiz]]),1)*IF(DATOS!BL$5="Sí",1/DATOS_[[% normaliz]:[% normaliz]],1)*(DATOS_[C.Extra.04])))))))), 0)</f>
        <v>0</v>
      </c>
      <c r="AT80" s="303" t="n">
        <f aca="false" t="array" ref="AT80:AT80">IFERROR( (AVERAGE((IF(DATOS_[[Sexo]:[Sexo]]=$B80,IF(DATOS_[[AGRUP. VALOR. PTO.]:[AGRUP. VALOR. PTO.]]=$B79,IF(DATOS_[[Check Periodo Ref.]:[Check Periodo Ref.]]="Dentro",IF(DATOS_[[Check Equiparado]:[Check Equiparado]]="Sí",IF(DATOS!BM$4="Sí",(1/DATOS_[[% anualiz]:[% anualiz]]),1)*IF(DATOS!BM$5="Sí",1/DATOS_[[% normaliz]:[% normaliz]],1)*(DATOS_[C.Extra.05])))))))), 0)</f>
        <v>0</v>
      </c>
      <c r="AU80" s="297" t="n">
        <f aca="false" t="array" ref="AU80:AU80">IFERROR( AVERAGE(IF(DATOS_[Sexo]=$B80,IF(DATOS_[[AGRUP. VALOR. PTO.]:[AGRUP. VALOR. PTO.]]=$B78,IF(DATOS_[Check Equiparado]="Sí",IF(DATOS_[Check Periodo Ref.]="Dentro",DATOS_[Tot Extrasalarial Eq],0))))), 0)</f>
        <v>0</v>
      </c>
      <c r="AV80" s="298" t="n">
        <f aca="false" t="array" ref="AV80:AV80">IFERROR( AVERAGE(IF(DATOS_[Sexo]=$B80,IF(DATOS_[[AGRUP. VALOR. PTO.]:[AGRUP. VALOR. PTO.]]=$B78,IF(DATOS_[Check Equiparado]="Sí",IF(DATOS_[Check Periodo Ref.]="Dentro",DATOS_[TOTAL Retrib Eq],0))))), 0)</f>
        <v>0</v>
      </c>
    </row>
    <row r="81" customFormat="false" ht="15.75" hidden="false" customHeight="false" outlineLevel="0" collapsed="false">
      <c r="A81" s="166" t="str">
        <f aca="false">+A82</f>
        <v>[ocultar]</v>
      </c>
      <c r="B81" s="276" t="s">
        <v>235</v>
      </c>
      <c r="C81" s="277"/>
      <c r="D81" s="278"/>
      <c r="E81" s="278"/>
      <c r="F81" s="278"/>
      <c r="G81" s="278"/>
      <c r="H81" s="278"/>
      <c r="I81" s="279" t="str">
        <f aca="false">IFERROR((I82-I83)/I82,"")</f>
        <v/>
      </c>
      <c r="J81" s="280" t="str">
        <f aca="false">IFERROR((J82-J83)/J82,"")</f>
        <v/>
      </c>
      <c r="K81" s="281" t="str">
        <f aca="false">IFERROR((K82-K83)/K82,"")</f>
        <v/>
      </c>
      <c r="L81" s="281" t="str">
        <f aca="false">IFERROR((L82-L83)/L82,"")</f>
        <v/>
      </c>
      <c r="M81" s="281" t="str">
        <f aca="false">IFERROR((M82-M83)/M82,"")</f>
        <v/>
      </c>
      <c r="N81" s="282" t="str">
        <f aca="false">IFERROR((N82-N83)/N82,"")</f>
        <v/>
      </c>
      <c r="O81" s="283" t="str">
        <f aca="false">IFERROR((O82-O83)/O82,"")</f>
        <v/>
      </c>
      <c r="P81" s="283" t="str">
        <f aca="false">IFERROR((P82-P83)/P82,"")</f>
        <v/>
      </c>
      <c r="Q81" s="283" t="str">
        <f aca="false">IFERROR((Q82-Q83)/Q82,"")</f>
        <v/>
      </c>
      <c r="R81" s="283" t="str">
        <f aca="false">IFERROR((R82-R83)/R82,"")</f>
        <v/>
      </c>
      <c r="S81" s="283" t="str">
        <f aca="false">IFERROR((S82-S83)/S82,"")</f>
        <v/>
      </c>
      <c r="T81" s="283" t="str">
        <f aca="false">IFERROR((T82-T83)/T82,"")</f>
        <v/>
      </c>
      <c r="U81" s="283" t="str">
        <f aca="false">IFERROR((U82-U83)/U82,"")</f>
        <v/>
      </c>
      <c r="V81" s="283" t="str">
        <f aca="false">IFERROR((V82-V83)/V82,"")</f>
        <v/>
      </c>
      <c r="W81" s="283" t="str">
        <f aca="false">IFERROR((W82-W83)/W82,"")</f>
        <v/>
      </c>
      <c r="X81" s="283" t="str">
        <f aca="false">IFERROR((X82-X83)/X82,"")</f>
        <v/>
      </c>
      <c r="Y81" s="283" t="str">
        <f aca="false">IFERROR((Y82-Y83)/Y82,"")</f>
        <v/>
      </c>
      <c r="Z81" s="282" t="str">
        <f aca="false">IFERROR((Z82-Z83)/Z82,"")</f>
        <v/>
      </c>
      <c r="AA81" s="282" t="str">
        <f aca="false">IFERROR((AA82-AA83)/AA82,"")</f>
        <v/>
      </c>
      <c r="AB81" s="282" t="str">
        <f aca="false">IFERROR((AB82-AB83)/AB82,"")</f>
        <v/>
      </c>
      <c r="AC81" s="282" t="str">
        <f aca="false">IFERROR((AC82-AC83)/AC82,"")</f>
        <v/>
      </c>
      <c r="AD81" s="282" t="str">
        <f aca="false">IFERROR((AD82-AD83)/AD82,"")</f>
        <v/>
      </c>
      <c r="AE81" s="282" t="str">
        <f aca="false">IFERROR((AE82-AE83)/AE82,"")</f>
        <v/>
      </c>
      <c r="AF81" s="282" t="str">
        <f aca="false">IFERROR((AF82-AF83)/AF82,"")</f>
        <v/>
      </c>
      <c r="AG81" s="282" t="str">
        <f aca="false">IFERROR((AG82-AG83)/AG82,"")</f>
        <v/>
      </c>
      <c r="AH81" s="282" t="str">
        <f aca="false">IFERROR((AH82-AH83)/AH82,"")</f>
        <v/>
      </c>
      <c r="AI81" s="282" t="str">
        <f aca="false">IFERROR((AI82-AI83)/AI82,"")</f>
        <v/>
      </c>
      <c r="AJ81" s="282" t="str">
        <f aca="false">IFERROR((AJ82-AJ83)/AJ82,"")</f>
        <v/>
      </c>
      <c r="AK81" s="282" t="str">
        <f aca="false">IFERROR((AK82-AK83)/AK82,"")</f>
        <v/>
      </c>
      <c r="AL81" s="282" t="str">
        <f aca="false">IFERROR((AL82-AL83)/AL82,"")</f>
        <v/>
      </c>
      <c r="AM81" s="282" t="str">
        <f aca="false">IFERROR((AM82-AM83)/AM82,"")</f>
        <v/>
      </c>
      <c r="AN81" s="284" t="str">
        <f aca="false">IFERROR((AN82-AN83)/AN82,"")</f>
        <v/>
      </c>
      <c r="AO81" s="285" t="str">
        <f aca="false">IFERROR((AO82-AO83)/AO82,"")</f>
        <v/>
      </c>
      <c r="AP81" s="286" t="str">
        <f aca="false">IFERROR((AP82-AP83)/AP82,"")</f>
        <v/>
      </c>
      <c r="AQ81" s="286" t="str">
        <f aca="false">IFERROR((AQ82-AQ83)/AQ82,"")</f>
        <v/>
      </c>
      <c r="AR81" s="286" t="str">
        <f aca="false">IFERROR((AR82-AR83)/AR82,"")</f>
        <v/>
      </c>
      <c r="AS81" s="286" t="str">
        <f aca="false">IFERROR((AS82-AS83)/AS82,"")</f>
        <v/>
      </c>
      <c r="AT81" s="286" t="str">
        <f aca="false">IFERROR((AT82-AT83)/AT82,"")</f>
        <v/>
      </c>
      <c r="AU81" s="287" t="str">
        <f aca="false">IFERROR((AU82-AU83)/AU82,"")</f>
        <v/>
      </c>
      <c r="AV81" s="288" t="str">
        <f aca="false">IFERROR((AV82-AV83)/AV82,"")</f>
        <v/>
      </c>
    </row>
    <row r="82" customFormat="false" ht="14.25" hidden="false" customHeight="false" outlineLevel="0" collapsed="false">
      <c r="A82" s="166" t="str">
        <f aca="false">+IF(C82+C83=0,"[ocultar]","")</f>
        <v>[ocultar]</v>
      </c>
      <c r="B82" s="289" t="s">
        <v>371</v>
      </c>
      <c r="C82" s="290" t="n">
        <f aca="false" t="array" ref="C82:C82">SUM(IF($B82=DATOS_[Sexo], IF($B81=DATOS_[AGRUP. VALOR. PTO.], IF("Dentro"=DATOS_[Check Periodo Ref.], 1/(COUNTIFS(DATOS_[Sexo],$B82,DATOS_[AGRUP. VALOR. PTO.],$B81,DATOS_[Check Periodo Ref.],"Dentro",DATOS_[id],DATOS_[id]))))))</f>
        <v>0</v>
      </c>
      <c r="D82" s="291" t="n">
        <f aca="false">COUNTIFS(DATOS_[AGRUP. VALOR. PTO.],$B81,DATOS_[Sexo],$B82,DATOS_[Check Periodo Ref.],"Dentro")</f>
        <v>0</v>
      </c>
      <c r="E82" s="291" t="n">
        <f aca="false">COUNTIFS(DATOS_[AGRUP. VALOR. PTO.],$B81,DATOS_[Sexo],$B82,DATOS_[Check Periodo Ref.],"Dentro",DATOS_[Check Nº SC Norm],"Sí")</f>
        <v>0</v>
      </c>
      <c r="F82" s="291" t="n">
        <f aca="false">COUNTIFS(DATOS_[AGRUP. VALOR. PTO.],$B81,DATOS_[Sexo],$B82,DATOS_[Check Periodo Ref.],"Dentro",DATOS_[Check Nº SC Anualiz],"Sí")</f>
        <v>0</v>
      </c>
      <c r="G82" s="291" t="n">
        <f aca="false">COUNTIFS(DATOS_[AGRUP. VALOR. PTO.],$B81,DATOS_[Sexo],$B82,DATOS_[Check Periodo Ref.],"Dentro",DATOS_[Check Nº SC Norm y Anualiz],"Sí")</f>
        <v>0</v>
      </c>
      <c r="H82" s="291" t="n">
        <f aca="false">COUNTIFS(DATOS_[AGRUP. VALOR. PTO.],$B81,DATOS_[Sexo],$B82,DATOS_[Check Periodo Ref.],"Dentro",DATOS_[Check Equiparación],"Sí")</f>
        <v>0</v>
      </c>
      <c r="I82" s="292" t="n">
        <f aca="false" t="array" ref="I82:I82">IFERROR( AVERAGE(IF(DATOS_[Sexo]=$B82,IF(DATOS_[[AGRUP. VALOR. PTO.]:[AGRUP. VALOR. PTO.]]=$B81,IF(DATOS_[Check Equiparado]="Sí",IF(DATOS_[Check Periodo Ref.]="Dentro",DATOS_[SALARIO BASE Eq],0))))), 0)</f>
        <v>0</v>
      </c>
      <c r="J82" s="302" t="n">
        <f aca="false" t="array" ref="J82:J82">IFERROR( (AVERAGE((IF(DATOS_[[Sexo]:[Sexo]]=$B82,IF(DATOS_[[AGRUP. VALOR. PTO.]:[AGRUP. VALOR. PTO.]]=$B81,IF(DATOS_[[Check Periodo Ref.]:[Check Periodo Ref.]]="Dentro",IF(DATOS_[[Check Equiparado]:[Check Equiparado]]="Sí",IF(DATOS!AE$4="Sí",(1/DATOS_[[% anualiz]:[% anualiz]]),1)*IF(DATOS!AE$5="Sí",1/DATOS_[[% normaliz]:[% normaliz]],1)*(DATOS_[Conc.Sal.01])))))))), 0)</f>
        <v>0</v>
      </c>
      <c r="K82" s="302" t="n">
        <f aca="false" t="array" ref="K82:K82">IFERROR( (AVERAGE((IF(DATOS_[[Sexo]:[Sexo]]=$B82,IF(DATOS_[[AGRUP. VALOR. PTO.]:[AGRUP. VALOR. PTO.]]=$B81,IF(DATOS_[[Check Periodo Ref.]:[Check Periodo Ref.]]="Dentro",IF(DATOS_[[Check Equiparado]:[Check Equiparado]]="Sí",IF(DATOS!AF$4="Sí",(1/DATOS_[[% anualiz]:[% anualiz]]),1)*IF(DATOS!AF$5="Sí",1/DATOS_[[% normaliz]:[% normaliz]],1)*(DATOS_[Conc.Sal.02])))))))), 0)</f>
        <v>0</v>
      </c>
      <c r="L82" s="302" t="n">
        <f aca="false" t="array" ref="L82:L82">IFERROR( (AVERAGE((IF(DATOS_[[Sexo]:[Sexo]]=$B82,IF(DATOS_[[AGRUP. VALOR. PTO.]:[AGRUP. VALOR. PTO.]]=$B81,IF(DATOS_[[Check Periodo Ref.]:[Check Periodo Ref.]]="Dentro",IF(DATOS_[[Check Equiparado]:[Check Equiparado]]="Sí",IF(DATOS!AG$4="Sí",(1/DATOS_[[% anualiz]:[% anualiz]]),1)*IF(DATOS!AG$5="Sí",1/DATOS_[[% normaliz]:[% normaliz]],1)*(DATOS_[Conc.Sal.03])))))))), 0)</f>
        <v>0</v>
      </c>
      <c r="M82" s="302" t="n">
        <f aca="false" t="array" ref="M82:M82">IFERROR( (AVERAGE((IF(DATOS_[[Sexo]:[Sexo]]=$B82,IF(DATOS_[[AGRUP. VALOR. PTO.]:[AGRUP. VALOR. PTO.]]=$B81,IF(DATOS_[[Check Periodo Ref.]:[Check Periodo Ref.]]="Dentro",IF(DATOS_[[Check Equiparado]:[Check Equiparado]]="Sí",IF(DATOS!AH$4="Sí",(1/DATOS_[[% anualiz]:[% anualiz]]),1)*IF(DATOS!AH$5="Sí",1/DATOS_[[% normaliz]:[% normaliz]],1)*(DATOS_[Conc.Sal.04])))))))), 0)</f>
        <v>0</v>
      </c>
      <c r="N82" s="302" t="n">
        <f aca="false" t="array" ref="N82:N82">IFERROR( (AVERAGE((IF(DATOS_[[Sexo]:[Sexo]]=$B82,IF(DATOS_[[AGRUP. VALOR. PTO.]:[AGRUP. VALOR. PTO.]]=$B81,IF(DATOS_[[Check Periodo Ref.]:[Check Periodo Ref.]]="Dentro",IF(DATOS_[[Check Equiparado]:[Check Equiparado]]="Sí",IF(DATOS!AI$4="Sí",(1/DATOS_[[% anualiz]:[% anualiz]]),1)*IF(DATOS!AI$5="Sí",1/DATOS_[[% normaliz]:[% normaliz]],1)*(DATOS_[Conc.Sal.05])))))))), 0)</f>
        <v>0</v>
      </c>
      <c r="O82" s="302" t="n">
        <f aca="false" t="array" ref="O82:O82">IFERROR( (AVERAGE((IF(DATOS_[[Sexo]:[Sexo]]=$B82,IF(DATOS_[[AGRUP. VALOR. PTO.]:[AGRUP. VALOR. PTO.]]=$B81,IF(DATOS_[[Check Periodo Ref.]:[Check Periodo Ref.]]="Dentro",IF(DATOS_[[Check Equiparado]:[Check Equiparado]]="Sí",IF(DATOS!AJ$4="Sí",(1/DATOS_[[% anualiz]:[% anualiz]]),1)*IF(DATOS!AJ$5="Sí",1/DATOS_[[% normaliz]:[% normaliz]],1)*(DATOS_[Conc.Sal.06])))))))), 0)</f>
        <v>0</v>
      </c>
      <c r="P82" s="302" t="n">
        <f aca="false" t="array" ref="P82:P82">IFERROR( (AVERAGE((IF(DATOS_[[Sexo]:[Sexo]]=$B82,IF(DATOS_[[AGRUP. VALOR. PTO.]:[AGRUP. VALOR. PTO.]]=$B81,IF(DATOS_[[Check Periodo Ref.]:[Check Periodo Ref.]]="Dentro",IF(DATOS_[[Check Equiparado]:[Check Equiparado]]="Sí",IF(DATOS!AK$4="Sí",(1/DATOS_[[% anualiz]:[% anualiz]]),1)*IF(DATOS!AK$5="Sí",1/DATOS_[[% normaliz]:[% normaliz]],1)*(DATOS_[Conc.Sal.07])))))))), 0)</f>
        <v>0</v>
      </c>
      <c r="Q82" s="302" t="n">
        <f aca="false" t="array" ref="Q82:Q82">IFERROR( (AVERAGE((IF(DATOS_[[Sexo]:[Sexo]]=$B82,IF(DATOS_[[AGRUP. VALOR. PTO.]:[AGRUP. VALOR. PTO.]]=$B81,IF(DATOS_[[Check Periodo Ref.]:[Check Periodo Ref.]]="Dentro",IF(DATOS_[[Check Equiparado]:[Check Equiparado]]="Sí",IF(DATOS!AL$4="Sí",(1/DATOS_[[% anualiz]:[% anualiz]]),1)*IF(DATOS!AL$5="Sí",1/DATOS_[[% normaliz]:[% normaliz]],1)*(DATOS_[Conc.Sal.08])))))))), 0)</f>
        <v>0</v>
      </c>
      <c r="R82" s="302" t="n">
        <f aca="false" t="array" ref="R82:R82">IFERROR( (AVERAGE((IF(DATOS_[[Sexo]:[Sexo]]=$B82,IF(DATOS_[[AGRUP. VALOR. PTO.]:[AGRUP. VALOR. PTO.]]=$B81,IF(DATOS_[[Check Periodo Ref.]:[Check Periodo Ref.]]="Dentro",IF(DATOS_[[Check Equiparado]:[Check Equiparado]]="Sí",IF(DATOS!AM$4="Sí",(1/DATOS_[[% anualiz]:[% anualiz]]),1)*IF(DATOS!AM$5="Sí",1/DATOS_[[% normaliz]:[% normaliz]],1)*(DATOS_[Conc.Sal.09])))))))), 0)</f>
        <v>0</v>
      </c>
      <c r="S82" s="302" t="n">
        <f aca="false" t="array" ref="S82:S82">IFERROR( (AVERAGE((IF(DATOS_[[Sexo]:[Sexo]]=$B82,IF(DATOS_[[AGRUP. VALOR. PTO.]:[AGRUP. VALOR. PTO.]]=$B81,IF(DATOS_[[Check Periodo Ref.]:[Check Periodo Ref.]]="Dentro",IF(DATOS_[[Check Equiparado]:[Check Equiparado]]="Sí",IF(DATOS!AN$4="Sí",(1/DATOS_[[% anualiz]:[% anualiz]]),1)*IF(DATOS!AN$5="Sí",1/DATOS_[[% normaliz]:[% normaliz]],1)*(DATOS_[Conc.Sal.10])))))))), 0)</f>
        <v>0</v>
      </c>
      <c r="T82" s="302" t="n">
        <f aca="false" t="array" ref="T82:T82">IFERROR( (AVERAGE((IF(DATOS_[[Sexo]:[Sexo]]=$B82,IF(DATOS_[[AGRUP. VALOR. PTO.]:[AGRUP. VALOR. PTO.]]=$B81,IF(DATOS_[[Check Periodo Ref.]:[Check Periodo Ref.]]="Dentro",IF(DATOS_[[Check Equiparado]:[Check Equiparado]]="Sí",IF(DATOS!AO$4="Sí",(1/DATOS_[[% anualiz]:[% anualiz]]),1)*IF(DATOS!AO$5="Sí",1/DATOS_[[% normaliz]:[% normaliz]],1)*(DATOS_[Conc.Sal.11])))))))), 0)</f>
        <v>0</v>
      </c>
      <c r="U82" s="302" t="n">
        <f aca="false" t="array" ref="U82:U82">IFERROR( (AVERAGE((IF(DATOS_[[Sexo]:[Sexo]]=$B82,IF(DATOS_[[AGRUP. VALOR. PTO.]:[AGRUP. VALOR. PTO.]]=$B81,IF(DATOS_[[Check Periodo Ref.]:[Check Periodo Ref.]]="Dentro",IF(DATOS_[[Check Equiparado]:[Check Equiparado]]="Sí",IF(DATOS!AP$4="Sí",(1/DATOS_[[% anualiz]:[% anualiz]]),1)*IF(DATOS!AP$5="Sí",1/DATOS_[[% normaliz]:[% normaliz]],1)*(DATOS_[Conc.Sal.12])))))))), 0)</f>
        <v>0</v>
      </c>
      <c r="V82" s="302" t="n">
        <f aca="false" t="array" ref="V82:V82">IFERROR( (AVERAGE((IF(DATOS_[[Sexo]:[Sexo]]=$B82,IF(DATOS_[[AGRUP. VALOR. PTO.]:[AGRUP. VALOR. PTO.]]=$B81,IF(DATOS_[[Check Periodo Ref.]:[Check Periodo Ref.]]="Dentro",IF(DATOS_[[Check Equiparado]:[Check Equiparado]]="Sí",IF(DATOS!AQ$4="Sí",(1/DATOS_[[% anualiz]:[% anualiz]]),1)*IF(DATOS!AQ$5="Sí",1/DATOS_[[% normaliz]:[% normaliz]],1)*(DATOS_[Conc.Sal.13])))))))), 0)</f>
        <v>0</v>
      </c>
      <c r="W82" s="302" t="n">
        <f aca="false" t="array" ref="W82:W82">IFERROR( (AVERAGE((IF(DATOS_[[Sexo]:[Sexo]]=$B82,IF(DATOS_[[AGRUP. VALOR. PTO.]:[AGRUP. VALOR. PTO.]]=$B81,IF(DATOS_[[Check Periodo Ref.]:[Check Periodo Ref.]]="Dentro",IF(DATOS_[[Check Equiparado]:[Check Equiparado]]="Sí",IF(DATOS!AR$4="Sí",(1/DATOS_[[% anualiz]:[% anualiz]]),1)*IF(DATOS!AR$5="Sí",1/DATOS_[[% normaliz]:[% normaliz]],1)*(DATOS_[Conc.Sal.14])))))))), 0)</f>
        <v>0</v>
      </c>
      <c r="X82" s="302" t="n">
        <f aca="false" t="array" ref="X82:X82">IFERROR( (AVERAGE((IF(DATOS_[[Sexo]:[Sexo]]=$B82,IF(DATOS_[[AGRUP. VALOR. PTO.]:[AGRUP. VALOR. PTO.]]=$B81,IF(DATOS_[[Check Periodo Ref.]:[Check Periodo Ref.]]="Dentro",IF(DATOS_[[Check Equiparado]:[Check Equiparado]]="Sí",IF(DATOS!AS$4="Sí",(1/DATOS_[[% anualiz]:[% anualiz]]),1)*IF(DATOS!AS$5="Sí",1/DATOS_[[% normaliz]:[% normaliz]],1)*(DATOS_[Conc.Sal.15])))))))), 0)</f>
        <v>0</v>
      </c>
      <c r="Y82" s="302" t="n">
        <f aca="false" t="array" ref="Y82:Y82">IFERROR( (AVERAGE((IF(DATOS_[[Sexo]:[Sexo]]=$B82,IF(DATOS_[[AGRUP. VALOR. PTO.]:[AGRUP. VALOR. PTO.]]=$B81,IF(DATOS_[[Check Periodo Ref.]:[Check Periodo Ref.]]="Dentro",IF(DATOS_[[Check Equiparado]:[Check Equiparado]]="Sí",IF(DATOS!AT$4="Sí",(1/DATOS_[[% anualiz]:[% anualiz]]),1)*IF(DATOS!AT$5="Sí",1/DATOS_[[% normaliz]:[% normaliz]],1)*(DATOS_[Conc.Sal.16])))))))), 0)</f>
        <v>0</v>
      </c>
      <c r="Z82" s="302" t="n">
        <f aca="false" t="array" ref="Z82:Z82">IFERROR( (AVERAGE((IF(DATOS_[[Sexo]:[Sexo]]=$B82,IF(DATOS_[[AGRUP. VALOR. PTO.]:[AGRUP. VALOR. PTO.]]=$B81,IF(DATOS_[[Check Periodo Ref.]:[Check Periodo Ref.]]="Dentro",IF(DATOS_[[Check Equiparado]:[Check Equiparado]]="Sí",IF(DATOS!AU$4="Sí",(1/DATOS_[[% anualiz]:[% anualiz]]),1)*IF(DATOS!AU$5="Sí",1/DATOS_[[% normaliz]:[% normaliz]],1)*(DATOS_[Conc.Sal.17])))))))), 0)</f>
        <v>0</v>
      </c>
      <c r="AA82" s="302" t="n">
        <f aca="false" t="array" ref="AA82:AA82">IFERROR( (AVERAGE((IF(DATOS_[[Sexo]:[Sexo]]=$B82,IF(DATOS_[[AGRUP. VALOR. PTO.]:[AGRUP. VALOR. PTO.]]=$B81,IF(DATOS_[[Check Periodo Ref.]:[Check Periodo Ref.]]="Dentro",IF(DATOS_[[Check Equiparado]:[Check Equiparado]]="Sí",IF(DATOS!AV$4="Sí",(1/DATOS_[[% anualiz]:[% anualiz]]),1)*IF(DATOS!AV$5="Sí",1/DATOS_[[% normaliz]:[% normaliz]],1)*(DATOS_[Conc.Sal.18])))))))), 0)</f>
        <v>0</v>
      </c>
      <c r="AB82" s="302" t="n">
        <f aca="false" t="array" ref="AB82:AB82">IFERROR( (AVERAGE((IF(DATOS_[[Sexo]:[Sexo]]=$B82,IF(DATOS_[[AGRUP. VALOR. PTO.]:[AGRUP. VALOR. PTO.]]=$B81,IF(DATOS_[[Check Periodo Ref.]:[Check Periodo Ref.]]="Dentro",IF(DATOS_[[Check Equiparado]:[Check Equiparado]]="Sí",IF(DATOS!AW$4="Sí",(1/DATOS_[[% anualiz]:[% anualiz]]),1)*IF(DATOS!AW$5="Sí",1/DATOS_[[% normaliz]:[% normaliz]],1)*(DATOS_[Conc.Sal.19])))))))), 0)</f>
        <v>0</v>
      </c>
      <c r="AC82" s="302" t="n">
        <f aca="false" t="array" ref="AC82:AC82">IFERROR( (AVERAGE((IF(DATOS_[[Sexo]:[Sexo]]=$B82,IF(DATOS_[[AGRUP. VALOR. PTO.]:[AGRUP. VALOR. PTO.]]=$B81,IF(DATOS_[[Check Periodo Ref.]:[Check Periodo Ref.]]="Dentro",IF(DATOS_[[Check Equiparado]:[Check Equiparado]]="Sí",IF(DATOS!AX$4="Sí",(1/DATOS_[[% anualiz]:[% anualiz]]),1)*IF(DATOS!AX$5="Sí",1/DATOS_[[% normaliz]:[% normaliz]],1)*(DATOS_[Conc.Sal.20])))))))), 0)</f>
        <v>0</v>
      </c>
      <c r="AD82" s="302" t="n">
        <f aca="false" t="array" ref="AD82:AD82">IFERROR( (AVERAGE((IF(DATOS_[[Sexo]:[Sexo]]=$B82,IF(DATOS_[[AGRUP. VALOR. PTO.]:[AGRUP. VALOR. PTO.]]=$B81,IF(DATOS_[[Check Periodo Ref.]:[Check Periodo Ref.]]="Dentro",IF(DATOS_[[Check Equiparado]:[Check Equiparado]]="Sí",IF(DATOS!AY$4="Sí",(1/DATOS_[[% anualiz]:[% anualiz]]),1)*IF(DATOS!AY$5="Sí",1/DATOS_[[% normaliz]:[% normaliz]],1)*(DATOS_[Conc.Sal.21])))))))), 0)</f>
        <v>0</v>
      </c>
      <c r="AE82" s="302" t="n">
        <f aca="false" t="array" ref="AE82:AE82">IFERROR( (AVERAGE((IF(DATOS_[[Sexo]:[Sexo]]=$B82,IF(DATOS_[[AGRUP. VALOR. PTO.]:[AGRUP. VALOR. PTO.]]=$B81,IF(DATOS_[[Check Periodo Ref.]:[Check Periodo Ref.]]="Dentro",IF(DATOS_[[Check Equiparado]:[Check Equiparado]]="Sí",IF(DATOS!AZ$4="Sí",(1/DATOS_[[% anualiz]:[% anualiz]]),1)*IF(DATOS!AZ$5="Sí",1/DATOS_[[% normaliz]:[% normaliz]],1)*(DATOS_[Conc.Sal.22])))))))), 0)</f>
        <v>0</v>
      </c>
      <c r="AF82" s="302" t="n">
        <f aca="false" t="array" ref="AF82:AF82">IFERROR( (AVERAGE((IF(DATOS_[[Sexo]:[Sexo]]=$B82,IF(DATOS_[[AGRUP. VALOR. PTO.]:[AGRUP. VALOR. PTO.]]=$B81,IF(DATOS_[[Check Periodo Ref.]:[Check Periodo Ref.]]="Dentro",IF(DATOS_[[Check Equiparado]:[Check Equiparado]]="Sí",IF(DATOS!BA$4="Sí",(1/DATOS_[[% anualiz]:[% anualiz]]),1)*IF(DATOS!BA$5="Sí",1/DATOS_[[% normaliz]:[% normaliz]],1)*(DATOS_[Conc.Sal.23])))))))), 0)</f>
        <v>0</v>
      </c>
      <c r="AG82" s="302" t="n">
        <f aca="false" t="array" ref="AG82:AG82">IFERROR( (AVERAGE((IF(DATOS_[[Sexo]:[Sexo]]=$B82,IF(DATOS_[[AGRUP. VALOR. PTO.]:[AGRUP. VALOR. PTO.]]=$B81,IF(DATOS_[[Check Periodo Ref.]:[Check Periodo Ref.]]="Dentro",IF(DATOS_[[Check Equiparado]:[Check Equiparado]]="Sí",IF(DATOS!BB$4="Sí",(1/DATOS_[[% anualiz]:[% anualiz]]),1)*IF(DATOS!BB$5="Sí",1/DATOS_[[% normaliz]:[% normaliz]],1)*(DATOS_[Conc.Sal.24])))))))), 0)</f>
        <v>0</v>
      </c>
      <c r="AH82" s="302" t="n">
        <f aca="false" t="array" ref="AH82:AH82">IFERROR( (AVERAGE((IF(DATOS_[[Sexo]:[Sexo]]=$B82,IF(DATOS_[[AGRUP. VALOR. PTO.]:[AGRUP. VALOR. PTO.]]=$B81,IF(DATOS_[[Check Periodo Ref.]:[Check Periodo Ref.]]="Dentro",IF(DATOS_[[Check Equiparado]:[Check Equiparado]]="Sí",IF(DATOS!BC$4="Sí",(1/DATOS_[[% anualiz]:[% anualiz]]),1)*IF(DATOS!BC$5="Sí",1/DATOS_[[% normaliz]:[% normaliz]],1)*(DATOS_[Conc.Sal.25])))))))), 0)</f>
        <v>0</v>
      </c>
      <c r="AI82" s="302" t="n">
        <f aca="false" t="array" ref="AI82:AI82">IFERROR( (AVERAGE((IF(DATOS_[[Sexo]:[Sexo]]=$B82,IF(DATOS_[[AGRUP. VALOR. PTO.]:[AGRUP. VALOR. PTO.]]=$B81,IF(DATOS_[[Check Periodo Ref.]:[Check Periodo Ref.]]="Dentro",IF(DATOS_[[Check Equiparado]:[Check Equiparado]]="Sí",IF(DATOS!BD$4="Sí",(1/DATOS_[[% anualiz]:[% anualiz]]),1)*IF(DATOS!BD$5="Sí",1/DATOS_[[% normaliz]:[% normaliz]],1)*(DATOS_[Conc.Sal.26])))))))), 0)</f>
        <v>0</v>
      </c>
      <c r="AJ82" s="302" t="n">
        <f aca="false" t="array" ref="AJ82:AJ82">IFERROR( (AVERAGE((IF(DATOS_[[Sexo]:[Sexo]]=$B82,IF(DATOS_[[AGRUP. VALOR. PTO.]:[AGRUP. VALOR. PTO.]]=$B81,IF(DATOS_[[Check Periodo Ref.]:[Check Periodo Ref.]]="Dentro",IF(DATOS_[[Check Equiparado]:[Check Equiparado]]="Sí",IF(DATOS!BE$4="Sí",(1/DATOS_[[% anualiz]:[% anualiz]]),1)*IF(DATOS!BE$5="Sí",1/DATOS_[[% normaliz]:[% normaliz]],1)*(DATOS_[Conc.Sal.27])))))))), 0)</f>
        <v>0</v>
      </c>
      <c r="AK82" s="302" t="n">
        <f aca="false" t="array" ref="AK82:AK82">IFERROR( (AVERAGE((IF(DATOS_[[Sexo]:[Sexo]]=$B82,IF(DATOS_[[AGRUP. VALOR. PTO.]:[AGRUP. VALOR. PTO.]]=$B81,IF(DATOS_[[Check Periodo Ref.]:[Check Periodo Ref.]]="Dentro",IF(DATOS_[[Check Equiparado]:[Check Equiparado]]="Sí",IF(DATOS!BF$4="Sí",(1/DATOS_[[% anualiz]:[% anualiz]]),1)*IF(DATOS!BF$5="Sí",1/DATOS_[[% normaliz]:[% normaliz]],1)*(DATOS_[Conc.Sal.28])))))))), 0)</f>
        <v>0</v>
      </c>
      <c r="AL82" s="302" t="n">
        <f aca="false" t="array" ref="AL82:AL82">IFERROR( (AVERAGE((IF(DATOS_[[Sexo]:[Sexo]]=$B82,IF(DATOS_[[AGRUP. VALOR. PTO.]:[AGRUP. VALOR. PTO.]]=$B81,IF(DATOS_[[Check Periodo Ref.]:[Check Periodo Ref.]]="Dentro",IF(DATOS_[[Check Equiparado]:[Check Equiparado]]="Sí",IF(DATOS!BG$4="Sí",(1/DATOS_[[% anualiz]:[% anualiz]]),1)*IF(DATOS!BG$5="Sí",1/DATOS_[[% normaliz]:[% normaliz]],1)*(DATOS_[Conc.Sal.29])))))))), 0)</f>
        <v>0</v>
      </c>
      <c r="AM82" s="302" t="n">
        <f aca="false" t="array" ref="AM82:AM82">IFERROR( (AVERAGE((IF(DATOS_[[Sexo]:[Sexo]]=$B82,IF(DATOS_[[AGRUP. VALOR. PTO.]:[AGRUP. VALOR. PTO.]]=$B81,IF(DATOS_[[Check Periodo Ref.]:[Check Periodo Ref.]]="Dentro",IF(DATOS_[[Check Equiparado]:[Check Equiparado]]="Sí",IF(DATOS!BH$4="Sí",(1/DATOS_[[% anualiz]:[% anualiz]]),1)*IF(DATOS!BH$5="Sí",1/DATOS_[[% normaliz]:[% normaliz]],1)*(DATOS_[Conc.Sal.30])))))))), 0)</f>
        <v>0</v>
      </c>
      <c r="AN82" s="294" t="n">
        <f aca="false" t="array" ref="AN82:AN82">IFERROR( AVERAGE(IF(DATOS_[Sexo]=$B82,IF(DATOS_[[AGRUP. VALOR. PTO.]:[AGRUP. VALOR. PTO.]]=$B81,IF(DATOS_[Check Equiparado]="Sí",IF(DATOS_[Check Periodo Ref.]="Dentro",DATOS_[Tot COMPL.SAL Eq],0))))), 0)</f>
        <v>0</v>
      </c>
      <c r="AO82" s="295" t="n">
        <f aca="false" t="array" ref="AO82:AO82">IFERROR( AVERAGE(IF(DATOS_[Sexo]=$B82,IF(DATOS_[[AGRUP. VALOR. PTO.]:[AGRUP. VALOR. PTO.]]=$B81,IF(DATOS_[Check Equiparado]="Sí",IF(DATOS_[Check Periodo Ref.]="Dentro",DATOS_[TOTAL SALARIO Eq],0))))), 0)</f>
        <v>0</v>
      </c>
      <c r="AP82" s="303" t="n">
        <f aca="false" t="array" ref="AP82:AP82">IFERROR( (AVERAGE((IF(DATOS_[[Sexo]:[Sexo]]=$B82,IF(DATOS_[[AGRUP. VALOR. PTO.]:[AGRUP. VALOR. PTO.]]=$B81,IF(DATOS_[[Check Periodo Ref.]:[Check Periodo Ref.]]="Dentro",IF(DATOS_[[Check Equiparado]:[Check Equiparado]]="Sí",IF(DATOS!BI$4="Sí",(1/DATOS_[[% anualiz]:[% anualiz]]),1)*IF(DATOS!BI$5="Sí",1/DATOS_[[% normaliz]:[% normaliz]],1)*(DATOS_[C.Extra.01])))))))), 0)</f>
        <v>0</v>
      </c>
      <c r="AQ82" s="303" t="n">
        <f aca="false" t="array" ref="AQ82:AQ82">IFERROR( (AVERAGE((IF(DATOS_[[Sexo]:[Sexo]]=$B82,IF(DATOS_[[AGRUP. VALOR. PTO.]:[AGRUP. VALOR. PTO.]]=$B81,IF(DATOS_[[Check Periodo Ref.]:[Check Periodo Ref.]]="Dentro",IF(DATOS_[[Check Equiparado]:[Check Equiparado]]="Sí",IF(DATOS!BJ$4="Sí",(1/DATOS_[[% anualiz]:[% anualiz]]),1)*IF(DATOS!BJ$5="Sí",1/DATOS_[[% normaliz]:[% normaliz]],1)*(DATOS_[C.Extra.02])))))))), 0)</f>
        <v>0</v>
      </c>
      <c r="AR82" s="303" t="n">
        <f aca="false" t="array" ref="AR82:AR82">IFERROR( (AVERAGE((IF(DATOS_[[Sexo]:[Sexo]]=$B82,IF(DATOS_[[AGRUP. VALOR. PTO.]:[AGRUP. VALOR. PTO.]]=$B81,IF(DATOS_[[Check Periodo Ref.]:[Check Periodo Ref.]]="Dentro",IF(DATOS_[[Check Equiparado]:[Check Equiparado]]="Sí",IF(DATOS!BK$4="Sí",(1/DATOS_[[% anualiz]:[% anualiz]]),1)*IF(DATOS!BK$5="Sí",1/DATOS_[[% normaliz]:[% normaliz]],1)*(DATOS_[C.Extra.03])))))))), 0)</f>
        <v>0</v>
      </c>
      <c r="AS82" s="303" t="n">
        <f aca="false" t="array" ref="AS82:AS82">IFERROR( (AVERAGE((IF(DATOS_[[Sexo]:[Sexo]]=$B82,IF(DATOS_[[AGRUP. VALOR. PTO.]:[AGRUP. VALOR. PTO.]]=$B81,IF(DATOS_[[Check Periodo Ref.]:[Check Periodo Ref.]]="Dentro",IF(DATOS_[[Check Equiparado]:[Check Equiparado]]="Sí",IF(DATOS!BL$4="Sí",(1/DATOS_[[% anualiz]:[% anualiz]]),1)*IF(DATOS!BL$5="Sí",1/DATOS_[[% normaliz]:[% normaliz]],1)*(DATOS_[C.Extra.04])))))))), 0)</f>
        <v>0</v>
      </c>
      <c r="AT82" s="303" t="n">
        <f aca="false" t="array" ref="AT82:AT82">IFERROR( (AVERAGE((IF(DATOS_[[Sexo]:[Sexo]]=$B82,IF(DATOS_[[AGRUP. VALOR. PTO.]:[AGRUP. VALOR. PTO.]]=$B81,IF(DATOS_[[Check Periodo Ref.]:[Check Periodo Ref.]]="Dentro",IF(DATOS_[[Check Equiparado]:[Check Equiparado]]="Sí",IF(DATOS!BM$4="Sí",(1/DATOS_[[% anualiz]:[% anualiz]]),1)*IF(DATOS!BM$5="Sí",1/DATOS_[[% normaliz]:[% normaliz]],1)*(DATOS_[C.Extra.05])))))))), 0)</f>
        <v>0</v>
      </c>
      <c r="AU82" s="297" t="n">
        <f aca="false" t="array" ref="AU82:AU82">IFERROR( AVERAGE(IF(DATOS_[Sexo]=$B82,IF(DATOS_[[AGRUP. VALOR. PTO.]:[AGRUP. VALOR. PTO.]]=$B81,IF(DATOS_[Check Equiparado]="Sí",IF(DATOS_[Check Periodo Ref.]="Dentro",DATOS_[Tot Extrasalarial Eq],0))))), 0)</f>
        <v>0</v>
      </c>
      <c r="AV82" s="298" t="n">
        <f aca="false" t="array" ref="AV82:AV82">IFERROR( AVERAGE(IF(DATOS_[Sexo]=$B82,IF(DATOS_[[AGRUP. VALOR. PTO.]:[AGRUP. VALOR. PTO.]]=$B81,IF(DATOS_[Check Equiparado]="Sí",IF(DATOS_[Check Periodo Ref.]="Dentro",DATOS_[TOTAL Retrib Eq],0))))), 0)</f>
        <v>0</v>
      </c>
    </row>
    <row r="83" customFormat="false" ht="14.25" hidden="false" customHeight="false" outlineLevel="0" collapsed="false">
      <c r="A83" s="166" t="str">
        <f aca="false">+A82</f>
        <v>[ocultar]</v>
      </c>
      <c r="B83" s="289" t="s">
        <v>372</v>
      </c>
      <c r="C83" s="290" t="n">
        <f aca="false" t="array" ref="C83:C83">SUM(IF($B83=DATOS_[Sexo], IF($B81=DATOS_[AGRUP. VALOR. PTO.], IF("Dentro"=DATOS_[Check Periodo Ref.], 1/(COUNTIFS(DATOS_[Sexo],$B83,DATOS_[AGRUP. VALOR. PTO.],$B81,DATOS_[Check Periodo Ref.],"Dentro",DATOS_[id],DATOS_[id]))))))</f>
        <v>0</v>
      </c>
      <c r="D83" s="291" t="n">
        <f aca="false">COUNTIFS(DATOS_[AGRUP. VALOR. PTO.],$B81,DATOS_[Sexo],$B83,DATOS_[Check Periodo Ref.],"Dentro")</f>
        <v>0</v>
      </c>
      <c r="E83" s="291" t="n">
        <f aca="false">COUNTIFS(DATOS_[AGRUP. VALOR. PTO.],$B81,DATOS_[Sexo],$B83,DATOS_[Check Periodo Ref.],"Dentro",DATOS_[Check Nº SC Norm],"Sí")</f>
        <v>0</v>
      </c>
      <c r="F83" s="291" t="n">
        <f aca="false">COUNTIFS(DATOS_[AGRUP. VALOR. PTO.],$B81,DATOS_[Sexo],$B83,DATOS_[Check Periodo Ref.],"Dentro",DATOS_[Check Nº SC Anualiz],"Sí")</f>
        <v>0</v>
      </c>
      <c r="G83" s="291" t="n">
        <f aca="false">COUNTIFS(DATOS_[AGRUP. VALOR. PTO.],$B81,DATOS_[Sexo],$B83,DATOS_[Check Periodo Ref.],"Dentro",DATOS_[Check Nº SC Norm y Anualiz],"Sí")</f>
        <v>0</v>
      </c>
      <c r="H83" s="291" t="n">
        <f aca="false">COUNTIFS(DATOS_[AGRUP. VALOR. PTO.],$B81,DATOS_[Sexo],$B83,DATOS_[Check Periodo Ref.],"Dentro",DATOS_[Check Equiparación],"Sí")</f>
        <v>0</v>
      </c>
      <c r="I83" s="292" t="n">
        <f aca="false" t="array" ref="I83:I83">IFERROR( AVERAGE(IF(DATOS_[Sexo]=$B83,IF(DATOS_[[AGRUP. VALOR. PTO.]:[AGRUP. VALOR. PTO.]]=$B81,IF(DATOS_[Check Equiparado]="Sí",IF(DATOS_[Check Periodo Ref.]="Dentro",DATOS_[SALARIO BASE Eq],0))))), 0)</f>
        <v>0</v>
      </c>
      <c r="J83" s="302" t="n">
        <f aca="false" t="array" ref="J83:J83">IFERROR( (AVERAGE((IF(DATOS_[[Sexo]:[Sexo]]=$B83,IF(DATOS_[[AGRUP. VALOR. PTO.]:[AGRUP. VALOR. PTO.]]=$B81,IF(DATOS_[[Check Periodo Ref.]:[Check Periodo Ref.]]="Dentro",IF(DATOS_[[Check Equiparado]:[Check Equiparado]]="Sí",IF(DATOS!AE$4="Sí",(1/DATOS_[[% anualiz]:[% anualiz]]),1)*IF(DATOS!AE$5="Sí",1/DATOS_[[% normaliz]:[% normaliz]],1)*(DATOS_[Conc.Sal.01])))))))), 0)</f>
        <v>0</v>
      </c>
      <c r="K83" s="302" t="n">
        <f aca="false" t="array" ref="K83:K83">IFERROR( (AVERAGE((IF(DATOS_[[Sexo]:[Sexo]]=$B83,IF(DATOS_[[AGRUP. VALOR. PTO.]:[AGRUP. VALOR. PTO.]]=$B81,IF(DATOS_[[Check Periodo Ref.]:[Check Periodo Ref.]]="Dentro",IF(DATOS_[[Check Equiparado]:[Check Equiparado]]="Sí",IF(DATOS!AF$4="Sí",(1/DATOS_[[% anualiz]:[% anualiz]]),1)*IF(DATOS!AF$5="Sí",1/DATOS_[[% normaliz]:[% normaliz]],1)*(DATOS_[Conc.Sal.02])))))))), 0)</f>
        <v>0</v>
      </c>
      <c r="L83" s="302" t="n">
        <f aca="false" t="array" ref="L83:L83">IFERROR( (AVERAGE((IF(DATOS_[[Sexo]:[Sexo]]=$B83,IF(DATOS_[[AGRUP. VALOR. PTO.]:[AGRUP. VALOR. PTO.]]=$B81,IF(DATOS_[[Check Periodo Ref.]:[Check Periodo Ref.]]="Dentro",IF(DATOS_[[Check Equiparado]:[Check Equiparado]]="Sí",IF(DATOS!AG$4="Sí",(1/DATOS_[[% anualiz]:[% anualiz]]),1)*IF(DATOS!AG$5="Sí",1/DATOS_[[% normaliz]:[% normaliz]],1)*(DATOS_[Conc.Sal.03])))))))), 0)</f>
        <v>0</v>
      </c>
      <c r="M83" s="302" t="n">
        <f aca="false" t="array" ref="M83:M83">IFERROR( (AVERAGE((IF(DATOS_[[Sexo]:[Sexo]]=$B83,IF(DATOS_[[AGRUP. VALOR. PTO.]:[AGRUP. VALOR. PTO.]]=$B81,IF(DATOS_[[Check Periodo Ref.]:[Check Periodo Ref.]]="Dentro",IF(DATOS_[[Check Equiparado]:[Check Equiparado]]="Sí",IF(DATOS!AH$4="Sí",(1/DATOS_[[% anualiz]:[% anualiz]]),1)*IF(DATOS!AH$5="Sí",1/DATOS_[[% normaliz]:[% normaliz]],1)*(DATOS_[Conc.Sal.04])))))))), 0)</f>
        <v>0</v>
      </c>
      <c r="N83" s="302" t="n">
        <f aca="false" t="array" ref="N83:N83">IFERROR( (AVERAGE((IF(DATOS_[[Sexo]:[Sexo]]=$B83,IF(DATOS_[[AGRUP. VALOR. PTO.]:[AGRUP. VALOR. PTO.]]=$B81,IF(DATOS_[[Check Periodo Ref.]:[Check Periodo Ref.]]="Dentro",IF(DATOS_[[Check Equiparado]:[Check Equiparado]]="Sí",IF(DATOS!AI$4="Sí",(1/DATOS_[[% anualiz]:[% anualiz]]),1)*IF(DATOS!AI$5="Sí",1/DATOS_[[% normaliz]:[% normaliz]],1)*(DATOS_[Conc.Sal.05])))))))), 0)</f>
        <v>0</v>
      </c>
      <c r="O83" s="302" t="n">
        <f aca="false" t="array" ref="O83:O83">IFERROR( (AVERAGE((IF(DATOS_[[Sexo]:[Sexo]]=$B83,IF(DATOS_[[AGRUP. VALOR. PTO.]:[AGRUP. VALOR. PTO.]]=$B81,IF(DATOS_[[Check Periodo Ref.]:[Check Periodo Ref.]]="Dentro",IF(DATOS_[[Check Equiparado]:[Check Equiparado]]="Sí",IF(DATOS!AJ$4="Sí",(1/DATOS_[[% anualiz]:[% anualiz]]),1)*IF(DATOS!AJ$5="Sí",1/DATOS_[[% normaliz]:[% normaliz]],1)*(DATOS_[Conc.Sal.06])))))))), 0)</f>
        <v>0</v>
      </c>
      <c r="P83" s="302" t="n">
        <f aca="false" t="array" ref="P83:P83">IFERROR( (AVERAGE((IF(DATOS_[[Sexo]:[Sexo]]=$B83,IF(DATOS_[[AGRUP. VALOR. PTO.]:[AGRUP. VALOR. PTO.]]=$B81,IF(DATOS_[[Check Periodo Ref.]:[Check Periodo Ref.]]="Dentro",IF(DATOS_[[Check Equiparado]:[Check Equiparado]]="Sí",IF(DATOS!AK$4="Sí",(1/DATOS_[[% anualiz]:[% anualiz]]),1)*IF(DATOS!AK$5="Sí",1/DATOS_[[% normaliz]:[% normaliz]],1)*(DATOS_[Conc.Sal.07])))))))), 0)</f>
        <v>0</v>
      </c>
      <c r="Q83" s="302" t="n">
        <f aca="false" t="array" ref="Q83:Q83">IFERROR( (AVERAGE((IF(DATOS_[[Sexo]:[Sexo]]=$B83,IF(DATOS_[[AGRUP. VALOR. PTO.]:[AGRUP. VALOR. PTO.]]=$B81,IF(DATOS_[[Check Periodo Ref.]:[Check Periodo Ref.]]="Dentro",IF(DATOS_[[Check Equiparado]:[Check Equiparado]]="Sí",IF(DATOS!AL$4="Sí",(1/DATOS_[[% anualiz]:[% anualiz]]),1)*IF(DATOS!AL$5="Sí",1/DATOS_[[% normaliz]:[% normaliz]],1)*(DATOS_[Conc.Sal.08])))))))), 0)</f>
        <v>0</v>
      </c>
      <c r="R83" s="302" t="n">
        <f aca="false" t="array" ref="R83:R83">IFERROR( (AVERAGE((IF(DATOS_[[Sexo]:[Sexo]]=$B83,IF(DATOS_[[AGRUP. VALOR. PTO.]:[AGRUP. VALOR. PTO.]]=$B81,IF(DATOS_[[Check Periodo Ref.]:[Check Periodo Ref.]]="Dentro",IF(DATOS_[[Check Equiparado]:[Check Equiparado]]="Sí",IF(DATOS!AM$4="Sí",(1/DATOS_[[% anualiz]:[% anualiz]]),1)*IF(DATOS!AM$5="Sí",1/DATOS_[[% normaliz]:[% normaliz]],1)*(DATOS_[Conc.Sal.09])))))))), 0)</f>
        <v>0</v>
      </c>
      <c r="S83" s="302" t="n">
        <f aca="false" t="array" ref="S83:S83">IFERROR( (AVERAGE((IF(DATOS_[[Sexo]:[Sexo]]=$B83,IF(DATOS_[[AGRUP. VALOR. PTO.]:[AGRUP. VALOR. PTO.]]=$B81,IF(DATOS_[[Check Periodo Ref.]:[Check Periodo Ref.]]="Dentro",IF(DATOS_[[Check Equiparado]:[Check Equiparado]]="Sí",IF(DATOS!AN$4="Sí",(1/DATOS_[[% anualiz]:[% anualiz]]),1)*IF(DATOS!AN$5="Sí",1/DATOS_[[% normaliz]:[% normaliz]],1)*(DATOS_[Conc.Sal.10])))))))), 0)</f>
        <v>0</v>
      </c>
      <c r="T83" s="302" t="n">
        <f aca="false" t="array" ref="T83:T83">IFERROR( (AVERAGE((IF(DATOS_[[Sexo]:[Sexo]]=$B83,IF(DATOS_[[AGRUP. VALOR. PTO.]:[AGRUP. VALOR. PTO.]]=$B81,IF(DATOS_[[Check Periodo Ref.]:[Check Periodo Ref.]]="Dentro",IF(DATOS_[[Check Equiparado]:[Check Equiparado]]="Sí",IF(DATOS!AO$4="Sí",(1/DATOS_[[% anualiz]:[% anualiz]]),1)*IF(DATOS!AO$5="Sí",1/DATOS_[[% normaliz]:[% normaliz]],1)*(DATOS_[Conc.Sal.11])))))))), 0)</f>
        <v>0</v>
      </c>
      <c r="U83" s="302" t="n">
        <f aca="false" t="array" ref="U83:U83">IFERROR( (AVERAGE((IF(DATOS_[[Sexo]:[Sexo]]=$B83,IF(DATOS_[[AGRUP. VALOR. PTO.]:[AGRUP. VALOR. PTO.]]=$B81,IF(DATOS_[[Check Periodo Ref.]:[Check Periodo Ref.]]="Dentro",IF(DATOS_[[Check Equiparado]:[Check Equiparado]]="Sí",IF(DATOS!AP$4="Sí",(1/DATOS_[[% anualiz]:[% anualiz]]),1)*IF(DATOS!AP$5="Sí",1/DATOS_[[% normaliz]:[% normaliz]],1)*(DATOS_[Conc.Sal.12])))))))), 0)</f>
        <v>0</v>
      </c>
      <c r="V83" s="302" t="n">
        <f aca="false" t="array" ref="V83:V83">IFERROR( (AVERAGE((IF(DATOS_[[Sexo]:[Sexo]]=$B83,IF(DATOS_[[AGRUP. VALOR. PTO.]:[AGRUP. VALOR. PTO.]]=$B81,IF(DATOS_[[Check Periodo Ref.]:[Check Periodo Ref.]]="Dentro",IF(DATOS_[[Check Equiparado]:[Check Equiparado]]="Sí",IF(DATOS!AQ$4="Sí",(1/DATOS_[[% anualiz]:[% anualiz]]),1)*IF(DATOS!AQ$5="Sí",1/DATOS_[[% normaliz]:[% normaliz]],1)*(DATOS_[Conc.Sal.13])))))))), 0)</f>
        <v>0</v>
      </c>
      <c r="W83" s="302" t="n">
        <f aca="false" t="array" ref="W83:W83">IFERROR( (AVERAGE((IF(DATOS_[[Sexo]:[Sexo]]=$B83,IF(DATOS_[[AGRUP. VALOR. PTO.]:[AGRUP. VALOR. PTO.]]=$B81,IF(DATOS_[[Check Periodo Ref.]:[Check Periodo Ref.]]="Dentro",IF(DATOS_[[Check Equiparado]:[Check Equiparado]]="Sí",IF(DATOS!AR$4="Sí",(1/DATOS_[[% anualiz]:[% anualiz]]),1)*IF(DATOS!AR$5="Sí",1/DATOS_[[% normaliz]:[% normaliz]],1)*(DATOS_[Conc.Sal.14])))))))), 0)</f>
        <v>0</v>
      </c>
      <c r="X83" s="302" t="n">
        <f aca="false" t="array" ref="X83:X83">IFERROR( (AVERAGE((IF(DATOS_[[Sexo]:[Sexo]]=$B83,IF(DATOS_[[AGRUP. VALOR. PTO.]:[AGRUP. VALOR. PTO.]]=$B81,IF(DATOS_[[Check Periodo Ref.]:[Check Periodo Ref.]]="Dentro",IF(DATOS_[[Check Equiparado]:[Check Equiparado]]="Sí",IF(DATOS!AS$4="Sí",(1/DATOS_[[% anualiz]:[% anualiz]]),1)*IF(DATOS!AS$5="Sí",1/DATOS_[[% normaliz]:[% normaliz]],1)*(DATOS_[Conc.Sal.15])))))))), 0)</f>
        <v>0</v>
      </c>
      <c r="Y83" s="302" t="n">
        <f aca="false" t="array" ref="Y83:Y83">IFERROR( (AVERAGE((IF(DATOS_[[Sexo]:[Sexo]]=$B83,IF(DATOS_[[AGRUP. VALOR. PTO.]:[AGRUP. VALOR. PTO.]]=$B81,IF(DATOS_[[Check Periodo Ref.]:[Check Periodo Ref.]]="Dentro",IF(DATOS_[[Check Equiparado]:[Check Equiparado]]="Sí",IF(DATOS!AT$4="Sí",(1/DATOS_[[% anualiz]:[% anualiz]]),1)*IF(DATOS!AT$5="Sí",1/DATOS_[[% normaliz]:[% normaliz]],1)*(DATOS_[Conc.Sal.16])))))))), 0)</f>
        <v>0</v>
      </c>
      <c r="Z83" s="302" t="n">
        <f aca="false" t="array" ref="Z83:Z83">IFERROR( (AVERAGE((IF(DATOS_[[Sexo]:[Sexo]]=$B83,IF(DATOS_[[AGRUP. VALOR. PTO.]:[AGRUP. VALOR. PTO.]]=$B81,IF(DATOS_[[Check Periodo Ref.]:[Check Periodo Ref.]]="Dentro",IF(DATOS_[[Check Equiparado]:[Check Equiparado]]="Sí",IF(DATOS!AU$4="Sí",(1/DATOS_[[% anualiz]:[% anualiz]]),1)*IF(DATOS!AU$5="Sí",1/DATOS_[[% normaliz]:[% normaliz]],1)*(DATOS_[Conc.Sal.17])))))))), 0)</f>
        <v>0</v>
      </c>
      <c r="AA83" s="302" t="n">
        <f aca="false" t="array" ref="AA83:AA83">IFERROR( (AVERAGE((IF(DATOS_[[Sexo]:[Sexo]]=$B83,IF(DATOS_[[AGRUP. VALOR. PTO.]:[AGRUP. VALOR. PTO.]]=$B81,IF(DATOS_[[Check Periodo Ref.]:[Check Periodo Ref.]]="Dentro",IF(DATOS_[[Check Equiparado]:[Check Equiparado]]="Sí",IF(DATOS!AV$4="Sí",(1/DATOS_[[% anualiz]:[% anualiz]]),1)*IF(DATOS!AV$5="Sí",1/DATOS_[[% normaliz]:[% normaliz]],1)*(DATOS_[Conc.Sal.18])))))))), 0)</f>
        <v>0</v>
      </c>
      <c r="AB83" s="302" t="n">
        <f aca="false" t="array" ref="AB83:AB83">IFERROR( (AVERAGE((IF(DATOS_[[Sexo]:[Sexo]]=$B83,IF(DATOS_[[AGRUP. VALOR. PTO.]:[AGRUP. VALOR. PTO.]]=$B81,IF(DATOS_[[Check Periodo Ref.]:[Check Periodo Ref.]]="Dentro",IF(DATOS_[[Check Equiparado]:[Check Equiparado]]="Sí",IF(DATOS!AW$4="Sí",(1/DATOS_[[% anualiz]:[% anualiz]]),1)*IF(DATOS!AW$5="Sí",1/DATOS_[[% normaliz]:[% normaliz]],1)*(DATOS_[Conc.Sal.19])))))))), 0)</f>
        <v>0</v>
      </c>
      <c r="AC83" s="302" t="n">
        <f aca="false" t="array" ref="AC83:AC83">IFERROR( (AVERAGE((IF(DATOS_[[Sexo]:[Sexo]]=$B83,IF(DATOS_[[AGRUP. VALOR. PTO.]:[AGRUP. VALOR. PTO.]]=$B81,IF(DATOS_[[Check Periodo Ref.]:[Check Periodo Ref.]]="Dentro",IF(DATOS_[[Check Equiparado]:[Check Equiparado]]="Sí",IF(DATOS!AX$4="Sí",(1/DATOS_[[% anualiz]:[% anualiz]]),1)*IF(DATOS!AX$5="Sí",1/DATOS_[[% normaliz]:[% normaliz]],1)*(DATOS_[Conc.Sal.20])))))))), 0)</f>
        <v>0</v>
      </c>
      <c r="AD83" s="302" t="n">
        <f aca="false" t="array" ref="AD83:AD83">IFERROR( (AVERAGE((IF(DATOS_[[Sexo]:[Sexo]]=$B83,IF(DATOS_[[AGRUP. VALOR. PTO.]:[AGRUP. VALOR. PTO.]]=$B81,IF(DATOS_[[Check Periodo Ref.]:[Check Periodo Ref.]]="Dentro",IF(DATOS_[[Check Equiparado]:[Check Equiparado]]="Sí",IF(DATOS!AY$4="Sí",(1/DATOS_[[% anualiz]:[% anualiz]]),1)*IF(DATOS!AY$5="Sí",1/DATOS_[[% normaliz]:[% normaliz]],1)*(DATOS_[Conc.Sal.21])))))))), 0)</f>
        <v>0</v>
      </c>
      <c r="AE83" s="302" t="n">
        <f aca="false" t="array" ref="AE83:AE83">IFERROR( (AVERAGE((IF(DATOS_[[Sexo]:[Sexo]]=$B83,IF(DATOS_[[AGRUP. VALOR. PTO.]:[AGRUP. VALOR. PTO.]]=$B81,IF(DATOS_[[Check Periodo Ref.]:[Check Periodo Ref.]]="Dentro",IF(DATOS_[[Check Equiparado]:[Check Equiparado]]="Sí",IF(DATOS!AZ$4="Sí",(1/DATOS_[[% anualiz]:[% anualiz]]),1)*IF(DATOS!AZ$5="Sí",1/DATOS_[[% normaliz]:[% normaliz]],1)*(DATOS_[Conc.Sal.22])))))))), 0)</f>
        <v>0</v>
      </c>
      <c r="AF83" s="302" t="n">
        <f aca="false" t="array" ref="AF83:AF83">IFERROR( (AVERAGE((IF(DATOS_[[Sexo]:[Sexo]]=$B83,IF(DATOS_[[AGRUP. VALOR. PTO.]:[AGRUP. VALOR. PTO.]]=$B81,IF(DATOS_[[Check Periodo Ref.]:[Check Periodo Ref.]]="Dentro",IF(DATOS_[[Check Equiparado]:[Check Equiparado]]="Sí",IF(DATOS!BA$4="Sí",(1/DATOS_[[% anualiz]:[% anualiz]]),1)*IF(DATOS!BA$5="Sí",1/DATOS_[[% normaliz]:[% normaliz]],1)*(DATOS_[Conc.Sal.23])))))))), 0)</f>
        <v>0</v>
      </c>
      <c r="AG83" s="302" t="n">
        <f aca="false" t="array" ref="AG83:AG83">IFERROR( (AVERAGE((IF(DATOS_[[Sexo]:[Sexo]]=$B83,IF(DATOS_[[AGRUP. VALOR. PTO.]:[AGRUP. VALOR. PTO.]]=$B81,IF(DATOS_[[Check Periodo Ref.]:[Check Periodo Ref.]]="Dentro",IF(DATOS_[[Check Equiparado]:[Check Equiparado]]="Sí",IF(DATOS!BB$4="Sí",(1/DATOS_[[% anualiz]:[% anualiz]]),1)*IF(DATOS!BB$5="Sí",1/DATOS_[[% normaliz]:[% normaliz]],1)*(DATOS_[Conc.Sal.24])))))))), 0)</f>
        <v>0</v>
      </c>
      <c r="AH83" s="302" t="n">
        <f aca="false" t="array" ref="AH83:AH83">IFERROR( (AVERAGE((IF(DATOS_[[Sexo]:[Sexo]]=$B83,IF(DATOS_[[AGRUP. VALOR. PTO.]:[AGRUP. VALOR. PTO.]]=$B81,IF(DATOS_[[Check Periodo Ref.]:[Check Periodo Ref.]]="Dentro",IF(DATOS_[[Check Equiparado]:[Check Equiparado]]="Sí",IF(DATOS!BC$4="Sí",(1/DATOS_[[% anualiz]:[% anualiz]]),1)*IF(DATOS!BC$5="Sí",1/DATOS_[[% normaliz]:[% normaliz]],1)*(DATOS_[Conc.Sal.25])))))))), 0)</f>
        <v>0</v>
      </c>
      <c r="AI83" s="302" t="n">
        <f aca="false" t="array" ref="AI83:AI83">IFERROR( (AVERAGE((IF(DATOS_[[Sexo]:[Sexo]]=$B83,IF(DATOS_[[AGRUP. VALOR. PTO.]:[AGRUP. VALOR. PTO.]]=$B81,IF(DATOS_[[Check Periodo Ref.]:[Check Periodo Ref.]]="Dentro",IF(DATOS_[[Check Equiparado]:[Check Equiparado]]="Sí",IF(DATOS!BD$4="Sí",(1/DATOS_[[% anualiz]:[% anualiz]]),1)*IF(DATOS!BD$5="Sí",1/DATOS_[[% normaliz]:[% normaliz]],1)*(DATOS_[Conc.Sal.26])))))))), 0)</f>
        <v>0</v>
      </c>
      <c r="AJ83" s="302" t="n">
        <f aca="false" t="array" ref="AJ83:AJ83">IFERROR( (AVERAGE((IF(DATOS_[[Sexo]:[Sexo]]=$B83,IF(DATOS_[[AGRUP. VALOR. PTO.]:[AGRUP. VALOR. PTO.]]=$B81,IF(DATOS_[[Check Periodo Ref.]:[Check Periodo Ref.]]="Dentro",IF(DATOS_[[Check Equiparado]:[Check Equiparado]]="Sí",IF(DATOS!BE$4="Sí",(1/DATOS_[[% anualiz]:[% anualiz]]),1)*IF(DATOS!BE$5="Sí",1/DATOS_[[% normaliz]:[% normaliz]],1)*(DATOS_[Conc.Sal.27])))))))), 0)</f>
        <v>0</v>
      </c>
      <c r="AK83" s="302" t="n">
        <f aca="false" t="array" ref="AK83:AK83">IFERROR( (AVERAGE((IF(DATOS_[[Sexo]:[Sexo]]=$B83,IF(DATOS_[[AGRUP. VALOR. PTO.]:[AGRUP. VALOR. PTO.]]=$B81,IF(DATOS_[[Check Periodo Ref.]:[Check Periodo Ref.]]="Dentro",IF(DATOS_[[Check Equiparado]:[Check Equiparado]]="Sí",IF(DATOS!BF$4="Sí",(1/DATOS_[[% anualiz]:[% anualiz]]),1)*IF(DATOS!BF$5="Sí",1/DATOS_[[% normaliz]:[% normaliz]],1)*(DATOS_[Conc.Sal.28])))))))), 0)</f>
        <v>0</v>
      </c>
      <c r="AL83" s="302" t="n">
        <f aca="false" t="array" ref="AL83:AL83">IFERROR( (AVERAGE((IF(DATOS_[[Sexo]:[Sexo]]=$B83,IF(DATOS_[[AGRUP. VALOR. PTO.]:[AGRUP. VALOR. PTO.]]=$B81,IF(DATOS_[[Check Periodo Ref.]:[Check Periodo Ref.]]="Dentro",IF(DATOS_[[Check Equiparado]:[Check Equiparado]]="Sí",IF(DATOS!BG$4="Sí",(1/DATOS_[[% anualiz]:[% anualiz]]),1)*IF(DATOS!BG$5="Sí",1/DATOS_[[% normaliz]:[% normaliz]],1)*(DATOS_[Conc.Sal.29])))))))), 0)</f>
        <v>0</v>
      </c>
      <c r="AM83" s="302" t="n">
        <f aca="false" t="array" ref="AM83:AM83">IFERROR( (AVERAGE((IF(DATOS_[[Sexo]:[Sexo]]=$B83,IF(DATOS_[[AGRUP. VALOR. PTO.]:[AGRUP. VALOR. PTO.]]=$B81,IF(DATOS_[[Check Periodo Ref.]:[Check Periodo Ref.]]="Dentro",IF(DATOS_[[Check Equiparado]:[Check Equiparado]]="Sí",IF(DATOS!BH$4="Sí",(1/DATOS_[[% anualiz]:[% anualiz]]),1)*IF(DATOS!BH$5="Sí",1/DATOS_[[% normaliz]:[% normaliz]],1)*(DATOS_[Conc.Sal.30])))))))), 0)</f>
        <v>0</v>
      </c>
      <c r="AN83" s="294" t="n">
        <f aca="false" t="array" ref="AN83:AN83">IFERROR( AVERAGE(IF(DATOS_[Sexo]=$B83,IF(DATOS_[[AGRUP. VALOR. PTO.]:[AGRUP. VALOR. PTO.]]=$B81,IF(DATOS_[Check Equiparado]="Sí",IF(DATOS_[Check Periodo Ref.]="Dentro",DATOS_[Tot COMPL.SAL Eq],0))))), 0)</f>
        <v>0</v>
      </c>
      <c r="AO83" s="295" t="n">
        <f aca="false" t="array" ref="AO83:AO83">IFERROR( AVERAGE(IF(DATOS_[Sexo]=$B83,IF(DATOS_[[AGRUP. VALOR. PTO.]:[AGRUP. VALOR. PTO.]]=$B81,IF(DATOS_[Check Equiparado]="Sí",IF(DATOS_[Check Periodo Ref.]="Dentro",DATOS_[TOTAL SALARIO Eq],0))))), 0)</f>
        <v>0</v>
      </c>
      <c r="AP83" s="303" t="n">
        <f aca="false" t="array" ref="AP83:AP83">IFERROR( (AVERAGE((IF(DATOS_[[Sexo]:[Sexo]]=$B83,IF(DATOS_[[AGRUP. VALOR. PTO.]:[AGRUP. VALOR. PTO.]]=$B82,IF(DATOS_[[Check Periodo Ref.]:[Check Periodo Ref.]]="Dentro",IF(DATOS_[[Check Equiparado]:[Check Equiparado]]="Sí",IF(DATOS!BI$4="Sí",(1/DATOS_[[% anualiz]:[% anualiz]]),1)*IF(DATOS!BI$5="Sí",1/DATOS_[[% normaliz]:[% normaliz]],1)*(DATOS_[C.Extra.01])))))))), 0)</f>
        <v>0</v>
      </c>
      <c r="AQ83" s="303" t="n">
        <f aca="false" t="array" ref="AQ83:AQ83">IFERROR( (AVERAGE((IF(DATOS_[[Sexo]:[Sexo]]=$B83,IF(DATOS_[[AGRUP. VALOR. PTO.]:[AGRUP. VALOR. PTO.]]=$B82,IF(DATOS_[[Check Periodo Ref.]:[Check Periodo Ref.]]="Dentro",IF(DATOS_[[Check Equiparado]:[Check Equiparado]]="Sí",IF(DATOS!BJ$4="Sí",(1/DATOS_[[% anualiz]:[% anualiz]]),1)*IF(DATOS!BJ$5="Sí",1/DATOS_[[% normaliz]:[% normaliz]],1)*(DATOS_[C.Extra.02])))))))), 0)</f>
        <v>0</v>
      </c>
      <c r="AR83" s="303" t="n">
        <f aca="false" t="array" ref="AR83:AR83">IFERROR( (AVERAGE((IF(DATOS_[[Sexo]:[Sexo]]=$B83,IF(DATOS_[[AGRUP. VALOR. PTO.]:[AGRUP. VALOR. PTO.]]=$B82,IF(DATOS_[[Check Periodo Ref.]:[Check Periodo Ref.]]="Dentro",IF(DATOS_[[Check Equiparado]:[Check Equiparado]]="Sí",IF(DATOS!BK$4="Sí",(1/DATOS_[[% anualiz]:[% anualiz]]),1)*IF(DATOS!BK$5="Sí",1/DATOS_[[% normaliz]:[% normaliz]],1)*(DATOS_[C.Extra.03])))))))), 0)</f>
        <v>0</v>
      </c>
      <c r="AS83" s="303" t="n">
        <f aca="false" t="array" ref="AS83:AS83">IFERROR( (AVERAGE((IF(DATOS_[[Sexo]:[Sexo]]=$B83,IF(DATOS_[[AGRUP. VALOR. PTO.]:[AGRUP. VALOR. PTO.]]=$B82,IF(DATOS_[[Check Periodo Ref.]:[Check Periodo Ref.]]="Dentro",IF(DATOS_[[Check Equiparado]:[Check Equiparado]]="Sí",IF(DATOS!BL$4="Sí",(1/DATOS_[[% anualiz]:[% anualiz]]),1)*IF(DATOS!BL$5="Sí",1/DATOS_[[% normaliz]:[% normaliz]],1)*(DATOS_[C.Extra.04])))))))), 0)</f>
        <v>0</v>
      </c>
      <c r="AT83" s="303" t="n">
        <f aca="false" t="array" ref="AT83:AT83">IFERROR( (AVERAGE((IF(DATOS_[[Sexo]:[Sexo]]=$B83,IF(DATOS_[[AGRUP. VALOR. PTO.]:[AGRUP. VALOR. PTO.]]=$B82,IF(DATOS_[[Check Periodo Ref.]:[Check Periodo Ref.]]="Dentro",IF(DATOS_[[Check Equiparado]:[Check Equiparado]]="Sí",IF(DATOS!BM$4="Sí",(1/DATOS_[[% anualiz]:[% anualiz]]),1)*IF(DATOS!BM$5="Sí",1/DATOS_[[% normaliz]:[% normaliz]],1)*(DATOS_[C.Extra.05])))))))), 0)</f>
        <v>0</v>
      </c>
      <c r="AU83" s="297" t="n">
        <f aca="false" t="array" ref="AU83:AU83">IFERROR( AVERAGE(IF(DATOS_[Sexo]=$B83,IF(DATOS_[[AGRUP. VALOR. PTO.]:[AGRUP. VALOR. PTO.]]=$B81,IF(DATOS_[Check Equiparado]="Sí",IF(DATOS_[Check Periodo Ref.]="Dentro",DATOS_[Tot Extrasalarial Eq],0))))), 0)</f>
        <v>0</v>
      </c>
      <c r="AV83" s="298" t="n">
        <f aca="false" t="array" ref="AV83:AV83">IFERROR( AVERAGE(IF(DATOS_[Sexo]=$B83,IF(DATOS_[[AGRUP. VALOR. PTO.]:[AGRUP. VALOR. PTO.]]=$B81,IF(DATOS_[Check Equiparado]="Sí",IF(DATOS_[Check Periodo Ref.]="Dentro",DATOS_[TOTAL Retrib Eq],0))))), 0)</f>
        <v>0</v>
      </c>
    </row>
    <row r="84" customFormat="false" ht="15.75" hidden="false" customHeight="false" outlineLevel="0" collapsed="false">
      <c r="A84" s="166" t="str">
        <f aca="false">+A85</f>
        <v>[ocultar]</v>
      </c>
      <c r="B84" s="276" t="s">
        <v>238</v>
      </c>
      <c r="C84" s="277"/>
      <c r="D84" s="278"/>
      <c r="E84" s="278"/>
      <c r="F84" s="278"/>
      <c r="G84" s="278"/>
      <c r="H84" s="278"/>
      <c r="I84" s="279" t="str">
        <f aca="false">IFERROR((I85-I86)/I85,"")</f>
        <v/>
      </c>
      <c r="J84" s="280" t="str">
        <f aca="false">IFERROR((J85-J86)/J85,"")</f>
        <v/>
      </c>
      <c r="K84" s="281" t="str">
        <f aca="false">IFERROR((K85-K86)/K85,"")</f>
        <v/>
      </c>
      <c r="L84" s="281" t="str">
        <f aca="false">IFERROR((L85-L86)/L85,"")</f>
        <v/>
      </c>
      <c r="M84" s="281" t="str">
        <f aca="false">IFERROR((M85-M86)/M85,"")</f>
        <v/>
      </c>
      <c r="N84" s="282" t="str">
        <f aca="false">IFERROR((N85-N86)/N85,"")</f>
        <v/>
      </c>
      <c r="O84" s="283" t="str">
        <f aca="false">IFERROR((O85-O86)/O85,"")</f>
        <v/>
      </c>
      <c r="P84" s="283" t="str">
        <f aca="false">IFERROR((P85-P86)/P85,"")</f>
        <v/>
      </c>
      <c r="Q84" s="283" t="str">
        <f aca="false">IFERROR((Q85-Q86)/Q85,"")</f>
        <v/>
      </c>
      <c r="R84" s="283" t="str">
        <f aca="false">IFERROR((R85-R86)/R85,"")</f>
        <v/>
      </c>
      <c r="S84" s="283" t="str">
        <f aca="false">IFERROR((S85-S86)/S85,"")</f>
        <v/>
      </c>
      <c r="T84" s="283" t="str">
        <f aca="false">IFERROR((T85-T86)/T85,"")</f>
        <v/>
      </c>
      <c r="U84" s="283" t="str">
        <f aca="false">IFERROR((U85-U86)/U85,"")</f>
        <v/>
      </c>
      <c r="V84" s="283" t="str">
        <f aca="false">IFERROR((V85-V86)/V85,"")</f>
        <v/>
      </c>
      <c r="W84" s="283" t="str">
        <f aca="false">IFERROR((W85-W86)/W85,"")</f>
        <v/>
      </c>
      <c r="X84" s="283" t="str">
        <f aca="false">IFERROR((X85-X86)/X85,"")</f>
        <v/>
      </c>
      <c r="Y84" s="283" t="str">
        <f aca="false">IFERROR((Y85-Y86)/Y85,"")</f>
        <v/>
      </c>
      <c r="Z84" s="282" t="str">
        <f aca="false">IFERROR((Z85-Z86)/Z85,"")</f>
        <v/>
      </c>
      <c r="AA84" s="282" t="str">
        <f aca="false">IFERROR((AA85-AA86)/AA85,"")</f>
        <v/>
      </c>
      <c r="AB84" s="282" t="str">
        <f aca="false">IFERROR((AB85-AB86)/AB85,"")</f>
        <v/>
      </c>
      <c r="AC84" s="282" t="str">
        <f aca="false">IFERROR((AC85-AC86)/AC85,"")</f>
        <v/>
      </c>
      <c r="AD84" s="282" t="str">
        <f aca="false">IFERROR((AD85-AD86)/AD85,"")</f>
        <v/>
      </c>
      <c r="AE84" s="282" t="str">
        <f aca="false">IFERROR((AE85-AE86)/AE85,"")</f>
        <v/>
      </c>
      <c r="AF84" s="282" t="str">
        <f aca="false">IFERROR((AF85-AF86)/AF85,"")</f>
        <v/>
      </c>
      <c r="AG84" s="282" t="str">
        <f aca="false">IFERROR((AG85-AG86)/AG85,"")</f>
        <v/>
      </c>
      <c r="AH84" s="282" t="str">
        <f aca="false">IFERROR((AH85-AH86)/AH85,"")</f>
        <v/>
      </c>
      <c r="AI84" s="282" t="str">
        <f aca="false">IFERROR((AI85-AI86)/AI85,"")</f>
        <v/>
      </c>
      <c r="AJ84" s="282" t="str">
        <f aca="false">IFERROR((AJ85-AJ86)/AJ85,"")</f>
        <v/>
      </c>
      <c r="AK84" s="282" t="str">
        <f aca="false">IFERROR((AK85-AK86)/AK85,"")</f>
        <v/>
      </c>
      <c r="AL84" s="282" t="str">
        <f aca="false">IFERROR((AL85-AL86)/AL85,"")</f>
        <v/>
      </c>
      <c r="AM84" s="282" t="str">
        <f aca="false">IFERROR((AM85-AM86)/AM85,"")</f>
        <v/>
      </c>
      <c r="AN84" s="284" t="str">
        <f aca="false">IFERROR((AN85-AN86)/AN85,"")</f>
        <v/>
      </c>
      <c r="AO84" s="285" t="str">
        <f aca="false">IFERROR((AO85-AO86)/AO85,"")</f>
        <v/>
      </c>
      <c r="AP84" s="286" t="str">
        <f aca="false">IFERROR((AP85-AP86)/AP85,"")</f>
        <v/>
      </c>
      <c r="AQ84" s="286" t="str">
        <f aca="false">IFERROR((AQ85-AQ86)/AQ85,"")</f>
        <v/>
      </c>
      <c r="AR84" s="286" t="str">
        <f aca="false">IFERROR((AR85-AR86)/AR85,"")</f>
        <v/>
      </c>
      <c r="AS84" s="286" t="str">
        <f aca="false">IFERROR((AS85-AS86)/AS85,"")</f>
        <v/>
      </c>
      <c r="AT84" s="286" t="str">
        <f aca="false">IFERROR((AT85-AT86)/AT85,"")</f>
        <v/>
      </c>
      <c r="AU84" s="287" t="str">
        <f aca="false">IFERROR((AU85-AU86)/AU85,"")</f>
        <v/>
      </c>
      <c r="AV84" s="288" t="str">
        <f aca="false">IFERROR((AV85-AV86)/AV85,"")</f>
        <v/>
      </c>
    </row>
    <row r="85" customFormat="false" ht="14.25" hidden="false" customHeight="false" outlineLevel="0" collapsed="false">
      <c r="A85" s="166" t="str">
        <f aca="false">+IF(C85+C86=0,"[ocultar]","")</f>
        <v>[ocultar]</v>
      </c>
      <c r="B85" s="289" t="s">
        <v>371</v>
      </c>
      <c r="C85" s="290" t="n">
        <f aca="false" t="array" ref="C85:C85">SUM(IF($B85=DATOS_[Sexo], IF($B84=DATOS_[AGRUP. VALOR. PTO.], IF("Dentro"=DATOS_[Check Periodo Ref.], 1/(COUNTIFS(DATOS_[Sexo],$B85,DATOS_[AGRUP. VALOR. PTO.],$B84,DATOS_[Check Periodo Ref.],"Dentro",DATOS_[id],DATOS_[id]))))))</f>
        <v>0</v>
      </c>
      <c r="D85" s="291" t="n">
        <f aca="false">COUNTIFS(DATOS_[AGRUP. VALOR. PTO.],$B84,DATOS_[Sexo],$B85,DATOS_[Check Periodo Ref.],"Dentro")</f>
        <v>0</v>
      </c>
      <c r="E85" s="291" t="n">
        <f aca="false">COUNTIFS(DATOS_[AGRUP. VALOR. PTO.],$B84,DATOS_[Sexo],$B85,DATOS_[Check Periodo Ref.],"Dentro",DATOS_[Check Nº SC Norm],"Sí")</f>
        <v>0</v>
      </c>
      <c r="F85" s="291" t="n">
        <f aca="false">COUNTIFS(DATOS_[AGRUP. VALOR. PTO.],$B84,DATOS_[Sexo],$B85,DATOS_[Check Periodo Ref.],"Dentro",DATOS_[Check Nº SC Anualiz],"Sí")</f>
        <v>0</v>
      </c>
      <c r="G85" s="291" t="n">
        <f aca="false">COUNTIFS(DATOS_[AGRUP. VALOR. PTO.],$B84,DATOS_[Sexo],$B85,DATOS_[Check Periodo Ref.],"Dentro",DATOS_[Check Nº SC Norm y Anualiz],"Sí")</f>
        <v>0</v>
      </c>
      <c r="H85" s="291" t="n">
        <f aca="false">COUNTIFS(DATOS_[AGRUP. VALOR. PTO.],$B84,DATOS_[Sexo],$B85,DATOS_[Check Periodo Ref.],"Dentro",DATOS_[Check Equiparación],"Sí")</f>
        <v>0</v>
      </c>
      <c r="I85" s="292" t="n">
        <f aca="false" t="array" ref="I85:I85">IFERROR( AVERAGE(IF(DATOS_[Sexo]=$B85,IF(DATOS_[[AGRUP. VALOR. PTO.]:[AGRUP. VALOR. PTO.]]=$B84,IF(DATOS_[Check Equiparado]="Sí",IF(DATOS_[Check Periodo Ref.]="Dentro",DATOS_[SALARIO BASE Eq],0))))), 0)</f>
        <v>0</v>
      </c>
      <c r="J85" s="302" t="n">
        <f aca="false" t="array" ref="J85:J85">IFERROR( (AVERAGE((IF(DATOS_[[Sexo]:[Sexo]]=$B85,IF(DATOS_[[AGRUP. VALOR. PTO.]:[AGRUP. VALOR. PTO.]]=$B84,IF(DATOS_[[Check Periodo Ref.]:[Check Periodo Ref.]]="Dentro",IF(DATOS_[[Check Equiparado]:[Check Equiparado]]="Sí",IF(DATOS!AE$4="Sí",(1/DATOS_[[% anualiz]:[% anualiz]]),1)*IF(DATOS!AE$5="Sí",1/DATOS_[[% normaliz]:[% normaliz]],1)*(DATOS_[Conc.Sal.01])))))))), 0)</f>
        <v>0</v>
      </c>
      <c r="K85" s="302" t="n">
        <f aca="false" t="array" ref="K85:K85">IFERROR( (AVERAGE((IF(DATOS_[[Sexo]:[Sexo]]=$B85,IF(DATOS_[[AGRUP. VALOR. PTO.]:[AGRUP. VALOR. PTO.]]=$B84,IF(DATOS_[[Check Periodo Ref.]:[Check Periodo Ref.]]="Dentro",IF(DATOS_[[Check Equiparado]:[Check Equiparado]]="Sí",IF(DATOS!AF$4="Sí",(1/DATOS_[[% anualiz]:[% anualiz]]),1)*IF(DATOS!AF$5="Sí",1/DATOS_[[% normaliz]:[% normaliz]],1)*(DATOS_[Conc.Sal.02])))))))), 0)</f>
        <v>0</v>
      </c>
      <c r="L85" s="302" t="n">
        <f aca="false" t="array" ref="L85:L85">IFERROR( (AVERAGE((IF(DATOS_[[Sexo]:[Sexo]]=$B85,IF(DATOS_[[AGRUP. VALOR. PTO.]:[AGRUP. VALOR. PTO.]]=$B84,IF(DATOS_[[Check Periodo Ref.]:[Check Periodo Ref.]]="Dentro",IF(DATOS_[[Check Equiparado]:[Check Equiparado]]="Sí",IF(DATOS!AG$4="Sí",(1/DATOS_[[% anualiz]:[% anualiz]]),1)*IF(DATOS!AG$5="Sí",1/DATOS_[[% normaliz]:[% normaliz]],1)*(DATOS_[Conc.Sal.03])))))))), 0)</f>
        <v>0</v>
      </c>
      <c r="M85" s="302" t="n">
        <f aca="false" t="array" ref="M85:M85">IFERROR( (AVERAGE((IF(DATOS_[[Sexo]:[Sexo]]=$B85,IF(DATOS_[[AGRUP. VALOR. PTO.]:[AGRUP. VALOR. PTO.]]=$B84,IF(DATOS_[[Check Periodo Ref.]:[Check Periodo Ref.]]="Dentro",IF(DATOS_[[Check Equiparado]:[Check Equiparado]]="Sí",IF(DATOS!AH$4="Sí",(1/DATOS_[[% anualiz]:[% anualiz]]),1)*IF(DATOS!AH$5="Sí",1/DATOS_[[% normaliz]:[% normaliz]],1)*(DATOS_[Conc.Sal.04])))))))), 0)</f>
        <v>0</v>
      </c>
      <c r="N85" s="302" t="n">
        <f aca="false" t="array" ref="N85:N85">IFERROR( (AVERAGE((IF(DATOS_[[Sexo]:[Sexo]]=$B85,IF(DATOS_[[AGRUP. VALOR. PTO.]:[AGRUP. VALOR. PTO.]]=$B84,IF(DATOS_[[Check Periodo Ref.]:[Check Periodo Ref.]]="Dentro",IF(DATOS_[[Check Equiparado]:[Check Equiparado]]="Sí",IF(DATOS!AI$4="Sí",(1/DATOS_[[% anualiz]:[% anualiz]]),1)*IF(DATOS!AI$5="Sí",1/DATOS_[[% normaliz]:[% normaliz]],1)*(DATOS_[Conc.Sal.05])))))))), 0)</f>
        <v>0</v>
      </c>
      <c r="O85" s="302" t="n">
        <f aca="false" t="array" ref="O85:O85">IFERROR( (AVERAGE((IF(DATOS_[[Sexo]:[Sexo]]=$B85,IF(DATOS_[[AGRUP. VALOR. PTO.]:[AGRUP. VALOR. PTO.]]=$B84,IF(DATOS_[[Check Periodo Ref.]:[Check Periodo Ref.]]="Dentro",IF(DATOS_[[Check Equiparado]:[Check Equiparado]]="Sí",IF(DATOS!AJ$4="Sí",(1/DATOS_[[% anualiz]:[% anualiz]]),1)*IF(DATOS!AJ$5="Sí",1/DATOS_[[% normaliz]:[% normaliz]],1)*(DATOS_[Conc.Sal.06])))))))), 0)</f>
        <v>0</v>
      </c>
      <c r="P85" s="302" t="n">
        <f aca="false" t="array" ref="P85:P85">IFERROR( (AVERAGE((IF(DATOS_[[Sexo]:[Sexo]]=$B85,IF(DATOS_[[AGRUP. VALOR. PTO.]:[AGRUP. VALOR. PTO.]]=$B84,IF(DATOS_[[Check Periodo Ref.]:[Check Periodo Ref.]]="Dentro",IF(DATOS_[[Check Equiparado]:[Check Equiparado]]="Sí",IF(DATOS!AK$4="Sí",(1/DATOS_[[% anualiz]:[% anualiz]]),1)*IF(DATOS!AK$5="Sí",1/DATOS_[[% normaliz]:[% normaliz]],1)*(DATOS_[Conc.Sal.07])))))))), 0)</f>
        <v>0</v>
      </c>
      <c r="Q85" s="302" t="n">
        <f aca="false" t="array" ref="Q85:Q85">IFERROR( (AVERAGE((IF(DATOS_[[Sexo]:[Sexo]]=$B85,IF(DATOS_[[AGRUP. VALOR. PTO.]:[AGRUP. VALOR. PTO.]]=$B84,IF(DATOS_[[Check Periodo Ref.]:[Check Periodo Ref.]]="Dentro",IF(DATOS_[[Check Equiparado]:[Check Equiparado]]="Sí",IF(DATOS!AL$4="Sí",(1/DATOS_[[% anualiz]:[% anualiz]]),1)*IF(DATOS!AL$5="Sí",1/DATOS_[[% normaliz]:[% normaliz]],1)*(DATOS_[Conc.Sal.08])))))))), 0)</f>
        <v>0</v>
      </c>
      <c r="R85" s="302" t="n">
        <f aca="false" t="array" ref="R85:R85">IFERROR( (AVERAGE((IF(DATOS_[[Sexo]:[Sexo]]=$B85,IF(DATOS_[[AGRUP. VALOR. PTO.]:[AGRUP. VALOR. PTO.]]=$B84,IF(DATOS_[[Check Periodo Ref.]:[Check Periodo Ref.]]="Dentro",IF(DATOS_[[Check Equiparado]:[Check Equiparado]]="Sí",IF(DATOS!AM$4="Sí",(1/DATOS_[[% anualiz]:[% anualiz]]),1)*IF(DATOS!AM$5="Sí",1/DATOS_[[% normaliz]:[% normaliz]],1)*(DATOS_[Conc.Sal.09])))))))), 0)</f>
        <v>0</v>
      </c>
      <c r="S85" s="302" t="n">
        <f aca="false" t="array" ref="S85:S85">IFERROR( (AVERAGE((IF(DATOS_[[Sexo]:[Sexo]]=$B85,IF(DATOS_[[AGRUP. VALOR. PTO.]:[AGRUP. VALOR. PTO.]]=$B84,IF(DATOS_[[Check Periodo Ref.]:[Check Periodo Ref.]]="Dentro",IF(DATOS_[[Check Equiparado]:[Check Equiparado]]="Sí",IF(DATOS!AN$4="Sí",(1/DATOS_[[% anualiz]:[% anualiz]]),1)*IF(DATOS!AN$5="Sí",1/DATOS_[[% normaliz]:[% normaliz]],1)*(DATOS_[Conc.Sal.10])))))))), 0)</f>
        <v>0</v>
      </c>
      <c r="T85" s="302" t="n">
        <f aca="false" t="array" ref="T85:T85">IFERROR( (AVERAGE((IF(DATOS_[[Sexo]:[Sexo]]=$B85,IF(DATOS_[[AGRUP. VALOR. PTO.]:[AGRUP. VALOR. PTO.]]=$B84,IF(DATOS_[[Check Periodo Ref.]:[Check Periodo Ref.]]="Dentro",IF(DATOS_[[Check Equiparado]:[Check Equiparado]]="Sí",IF(DATOS!AO$4="Sí",(1/DATOS_[[% anualiz]:[% anualiz]]),1)*IF(DATOS!AO$5="Sí",1/DATOS_[[% normaliz]:[% normaliz]],1)*(DATOS_[Conc.Sal.11])))))))), 0)</f>
        <v>0</v>
      </c>
      <c r="U85" s="302" t="n">
        <f aca="false" t="array" ref="U85:U85">IFERROR( (AVERAGE((IF(DATOS_[[Sexo]:[Sexo]]=$B85,IF(DATOS_[[AGRUP. VALOR. PTO.]:[AGRUP. VALOR. PTO.]]=$B84,IF(DATOS_[[Check Periodo Ref.]:[Check Periodo Ref.]]="Dentro",IF(DATOS_[[Check Equiparado]:[Check Equiparado]]="Sí",IF(DATOS!AP$4="Sí",(1/DATOS_[[% anualiz]:[% anualiz]]),1)*IF(DATOS!AP$5="Sí",1/DATOS_[[% normaliz]:[% normaliz]],1)*(DATOS_[Conc.Sal.12])))))))), 0)</f>
        <v>0</v>
      </c>
      <c r="V85" s="302" t="n">
        <f aca="false" t="array" ref="V85:V85">IFERROR( (AVERAGE((IF(DATOS_[[Sexo]:[Sexo]]=$B85,IF(DATOS_[[AGRUP. VALOR. PTO.]:[AGRUP. VALOR. PTO.]]=$B84,IF(DATOS_[[Check Periodo Ref.]:[Check Periodo Ref.]]="Dentro",IF(DATOS_[[Check Equiparado]:[Check Equiparado]]="Sí",IF(DATOS!AQ$4="Sí",(1/DATOS_[[% anualiz]:[% anualiz]]),1)*IF(DATOS!AQ$5="Sí",1/DATOS_[[% normaliz]:[% normaliz]],1)*(DATOS_[Conc.Sal.13])))))))), 0)</f>
        <v>0</v>
      </c>
      <c r="W85" s="302" t="n">
        <f aca="false" t="array" ref="W85:W85">IFERROR( (AVERAGE((IF(DATOS_[[Sexo]:[Sexo]]=$B85,IF(DATOS_[[AGRUP. VALOR. PTO.]:[AGRUP. VALOR. PTO.]]=$B84,IF(DATOS_[[Check Periodo Ref.]:[Check Periodo Ref.]]="Dentro",IF(DATOS_[[Check Equiparado]:[Check Equiparado]]="Sí",IF(DATOS!AR$4="Sí",(1/DATOS_[[% anualiz]:[% anualiz]]),1)*IF(DATOS!AR$5="Sí",1/DATOS_[[% normaliz]:[% normaliz]],1)*(DATOS_[Conc.Sal.14])))))))), 0)</f>
        <v>0</v>
      </c>
      <c r="X85" s="302" t="n">
        <f aca="false" t="array" ref="X85:X85">IFERROR( (AVERAGE((IF(DATOS_[[Sexo]:[Sexo]]=$B85,IF(DATOS_[[AGRUP. VALOR. PTO.]:[AGRUP. VALOR. PTO.]]=$B84,IF(DATOS_[[Check Periodo Ref.]:[Check Periodo Ref.]]="Dentro",IF(DATOS_[[Check Equiparado]:[Check Equiparado]]="Sí",IF(DATOS!AS$4="Sí",(1/DATOS_[[% anualiz]:[% anualiz]]),1)*IF(DATOS!AS$5="Sí",1/DATOS_[[% normaliz]:[% normaliz]],1)*(DATOS_[Conc.Sal.15])))))))), 0)</f>
        <v>0</v>
      </c>
      <c r="Y85" s="302" t="n">
        <f aca="false" t="array" ref="Y85:Y85">IFERROR( (AVERAGE((IF(DATOS_[[Sexo]:[Sexo]]=$B85,IF(DATOS_[[AGRUP. VALOR. PTO.]:[AGRUP. VALOR. PTO.]]=$B84,IF(DATOS_[[Check Periodo Ref.]:[Check Periodo Ref.]]="Dentro",IF(DATOS_[[Check Equiparado]:[Check Equiparado]]="Sí",IF(DATOS!AT$4="Sí",(1/DATOS_[[% anualiz]:[% anualiz]]),1)*IF(DATOS!AT$5="Sí",1/DATOS_[[% normaliz]:[% normaliz]],1)*(DATOS_[Conc.Sal.16])))))))), 0)</f>
        <v>0</v>
      </c>
      <c r="Z85" s="302" t="n">
        <f aca="false" t="array" ref="Z85:Z85">IFERROR( (AVERAGE((IF(DATOS_[[Sexo]:[Sexo]]=$B85,IF(DATOS_[[AGRUP. VALOR. PTO.]:[AGRUP. VALOR. PTO.]]=$B84,IF(DATOS_[[Check Periodo Ref.]:[Check Periodo Ref.]]="Dentro",IF(DATOS_[[Check Equiparado]:[Check Equiparado]]="Sí",IF(DATOS!AU$4="Sí",(1/DATOS_[[% anualiz]:[% anualiz]]),1)*IF(DATOS!AU$5="Sí",1/DATOS_[[% normaliz]:[% normaliz]],1)*(DATOS_[Conc.Sal.17])))))))), 0)</f>
        <v>0</v>
      </c>
      <c r="AA85" s="302" t="n">
        <f aca="false" t="array" ref="AA85:AA85">IFERROR( (AVERAGE((IF(DATOS_[[Sexo]:[Sexo]]=$B85,IF(DATOS_[[AGRUP. VALOR. PTO.]:[AGRUP. VALOR. PTO.]]=$B84,IF(DATOS_[[Check Periodo Ref.]:[Check Periodo Ref.]]="Dentro",IF(DATOS_[[Check Equiparado]:[Check Equiparado]]="Sí",IF(DATOS!AV$4="Sí",(1/DATOS_[[% anualiz]:[% anualiz]]),1)*IF(DATOS!AV$5="Sí",1/DATOS_[[% normaliz]:[% normaliz]],1)*(DATOS_[Conc.Sal.18])))))))), 0)</f>
        <v>0</v>
      </c>
      <c r="AB85" s="302" t="n">
        <f aca="false" t="array" ref="AB85:AB85">IFERROR( (AVERAGE((IF(DATOS_[[Sexo]:[Sexo]]=$B85,IF(DATOS_[[AGRUP. VALOR. PTO.]:[AGRUP. VALOR. PTO.]]=$B84,IF(DATOS_[[Check Periodo Ref.]:[Check Periodo Ref.]]="Dentro",IF(DATOS_[[Check Equiparado]:[Check Equiparado]]="Sí",IF(DATOS!AW$4="Sí",(1/DATOS_[[% anualiz]:[% anualiz]]),1)*IF(DATOS!AW$5="Sí",1/DATOS_[[% normaliz]:[% normaliz]],1)*(DATOS_[Conc.Sal.19])))))))), 0)</f>
        <v>0</v>
      </c>
      <c r="AC85" s="302" t="n">
        <f aca="false" t="array" ref="AC85:AC85">IFERROR( (AVERAGE((IF(DATOS_[[Sexo]:[Sexo]]=$B85,IF(DATOS_[[AGRUP. VALOR. PTO.]:[AGRUP. VALOR. PTO.]]=$B84,IF(DATOS_[[Check Periodo Ref.]:[Check Periodo Ref.]]="Dentro",IF(DATOS_[[Check Equiparado]:[Check Equiparado]]="Sí",IF(DATOS!AX$4="Sí",(1/DATOS_[[% anualiz]:[% anualiz]]),1)*IF(DATOS!AX$5="Sí",1/DATOS_[[% normaliz]:[% normaliz]],1)*(DATOS_[Conc.Sal.20])))))))), 0)</f>
        <v>0</v>
      </c>
      <c r="AD85" s="302" t="n">
        <f aca="false" t="array" ref="AD85:AD85">IFERROR( (AVERAGE((IF(DATOS_[[Sexo]:[Sexo]]=$B85,IF(DATOS_[[AGRUP. VALOR. PTO.]:[AGRUP. VALOR. PTO.]]=$B84,IF(DATOS_[[Check Periodo Ref.]:[Check Periodo Ref.]]="Dentro",IF(DATOS_[[Check Equiparado]:[Check Equiparado]]="Sí",IF(DATOS!AY$4="Sí",(1/DATOS_[[% anualiz]:[% anualiz]]),1)*IF(DATOS!AY$5="Sí",1/DATOS_[[% normaliz]:[% normaliz]],1)*(DATOS_[Conc.Sal.21])))))))), 0)</f>
        <v>0</v>
      </c>
      <c r="AE85" s="302" t="n">
        <f aca="false" t="array" ref="AE85:AE85">IFERROR( (AVERAGE((IF(DATOS_[[Sexo]:[Sexo]]=$B85,IF(DATOS_[[AGRUP. VALOR. PTO.]:[AGRUP. VALOR. PTO.]]=$B84,IF(DATOS_[[Check Periodo Ref.]:[Check Periodo Ref.]]="Dentro",IF(DATOS_[[Check Equiparado]:[Check Equiparado]]="Sí",IF(DATOS!AZ$4="Sí",(1/DATOS_[[% anualiz]:[% anualiz]]),1)*IF(DATOS!AZ$5="Sí",1/DATOS_[[% normaliz]:[% normaliz]],1)*(DATOS_[Conc.Sal.22])))))))), 0)</f>
        <v>0</v>
      </c>
      <c r="AF85" s="302" t="n">
        <f aca="false" t="array" ref="AF85:AF85">IFERROR( (AVERAGE((IF(DATOS_[[Sexo]:[Sexo]]=$B85,IF(DATOS_[[AGRUP. VALOR. PTO.]:[AGRUP. VALOR. PTO.]]=$B84,IF(DATOS_[[Check Periodo Ref.]:[Check Periodo Ref.]]="Dentro",IF(DATOS_[[Check Equiparado]:[Check Equiparado]]="Sí",IF(DATOS!BA$4="Sí",(1/DATOS_[[% anualiz]:[% anualiz]]),1)*IF(DATOS!BA$5="Sí",1/DATOS_[[% normaliz]:[% normaliz]],1)*(DATOS_[Conc.Sal.23])))))))), 0)</f>
        <v>0</v>
      </c>
      <c r="AG85" s="302" t="n">
        <f aca="false" t="array" ref="AG85:AG85">IFERROR( (AVERAGE((IF(DATOS_[[Sexo]:[Sexo]]=$B85,IF(DATOS_[[AGRUP. VALOR. PTO.]:[AGRUP. VALOR. PTO.]]=$B84,IF(DATOS_[[Check Periodo Ref.]:[Check Periodo Ref.]]="Dentro",IF(DATOS_[[Check Equiparado]:[Check Equiparado]]="Sí",IF(DATOS!BB$4="Sí",(1/DATOS_[[% anualiz]:[% anualiz]]),1)*IF(DATOS!BB$5="Sí",1/DATOS_[[% normaliz]:[% normaliz]],1)*(DATOS_[Conc.Sal.24])))))))), 0)</f>
        <v>0</v>
      </c>
      <c r="AH85" s="302" t="n">
        <f aca="false" t="array" ref="AH85:AH85">IFERROR( (AVERAGE((IF(DATOS_[[Sexo]:[Sexo]]=$B85,IF(DATOS_[[AGRUP. VALOR. PTO.]:[AGRUP. VALOR. PTO.]]=$B84,IF(DATOS_[[Check Periodo Ref.]:[Check Periodo Ref.]]="Dentro",IF(DATOS_[[Check Equiparado]:[Check Equiparado]]="Sí",IF(DATOS!BC$4="Sí",(1/DATOS_[[% anualiz]:[% anualiz]]),1)*IF(DATOS!BC$5="Sí",1/DATOS_[[% normaliz]:[% normaliz]],1)*(DATOS_[Conc.Sal.25])))))))), 0)</f>
        <v>0</v>
      </c>
      <c r="AI85" s="302" t="n">
        <f aca="false" t="array" ref="AI85:AI85">IFERROR( (AVERAGE((IF(DATOS_[[Sexo]:[Sexo]]=$B85,IF(DATOS_[[AGRUP. VALOR. PTO.]:[AGRUP. VALOR. PTO.]]=$B84,IF(DATOS_[[Check Periodo Ref.]:[Check Periodo Ref.]]="Dentro",IF(DATOS_[[Check Equiparado]:[Check Equiparado]]="Sí",IF(DATOS!BD$4="Sí",(1/DATOS_[[% anualiz]:[% anualiz]]),1)*IF(DATOS!BD$5="Sí",1/DATOS_[[% normaliz]:[% normaliz]],1)*(DATOS_[Conc.Sal.26])))))))), 0)</f>
        <v>0</v>
      </c>
      <c r="AJ85" s="302" t="n">
        <f aca="false" t="array" ref="AJ85:AJ85">IFERROR( (AVERAGE((IF(DATOS_[[Sexo]:[Sexo]]=$B85,IF(DATOS_[[AGRUP. VALOR. PTO.]:[AGRUP. VALOR. PTO.]]=$B84,IF(DATOS_[[Check Periodo Ref.]:[Check Periodo Ref.]]="Dentro",IF(DATOS_[[Check Equiparado]:[Check Equiparado]]="Sí",IF(DATOS!BE$4="Sí",(1/DATOS_[[% anualiz]:[% anualiz]]),1)*IF(DATOS!BE$5="Sí",1/DATOS_[[% normaliz]:[% normaliz]],1)*(DATOS_[Conc.Sal.27])))))))), 0)</f>
        <v>0</v>
      </c>
      <c r="AK85" s="302" t="n">
        <f aca="false" t="array" ref="AK85:AK85">IFERROR( (AVERAGE((IF(DATOS_[[Sexo]:[Sexo]]=$B85,IF(DATOS_[[AGRUP. VALOR. PTO.]:[AGRUP. VALOR. PTO.]]=$B84,IF(DATOS_[[Check Periodo Ref.]:[Check Periodo Ref.]]="Dentro",IF(DATOS_[[Check Equiparado]:[Check Equiparado]]="Sí",IF(DATOS!BF$4="Sí",(1/DATOS_[[% anualiz]:[% anualiz]]),1)*IF(DATOS!BF$5="Sí",1/DATOS_[[% normaliz]:[% normaliz]],1)*(DATOS_[Conc.Sal.28])))))))), 0)</f>
        <v>0</v>
      </c>
      <c r="AL85" s="302" t="n">
        <f aca="false" t="array" ref="AL85:AL85">IFERROR( (AVERAGE((IF(DATOS_[[Sexo]:[Sexo]]=$B85,IF(DATOS_[[AGRUP. VALOR. PTO.]:[AGRUP. VALOR. PTO.]]=$B84,IF(DATOS_[[Check Periodo Ref.]:[Check Periodo Ref.]]="Dentro",IF(DATOS_[[Check Equiparado]:[Check Equiparado]]="Sí",IF(DATOS!BG$4="Sí",(1/DATOS_[[% anualiz]:[% anualiz]]),1)*IF(DATOS!BG$5="Sí",1/DATOS_[[% normaliz]:[% normaliz]],1)*(DATOS_[Conc.Sal.29])))))))), 0)</f>
        <v>0</v>
      </c>
      <c r="AM85" s="302" t="n">
        <f aca="false" t="array" ref="AM85:AM85">IFERROR( (AVERAGE((IF(DATOS_[[Sexo]:[Sexo]]=$B85,IF(DATOS_[[AGRUP. VALOR. PTO.]:[AGRUP. VALOR. PTO.]]=$B84,IF(DATOS_[[Check Periodo Ref.]:[Check Periodo Ref.]]="Dentro",IF(DATOS_[[Check Equiparado]:[Check Equiparado]]="Sí",IF(DATOS!BH$4="Sí",(1/DATOS_[[% anualiz]:[% anualiz]]),1)*IF(DATOS!BH$5="Sí",1/DATOS_[[% normaliz]:[% normaliz]],1)*(DATOS_[Conc.Sal.30])))))))), 0)</f>
        <v>0</v>
      </c>
      <c r="AN85" s="294" t="n">
        <f aca="false" t="array" ref="AN85:AN85">IFERROR( AVERAGE(IF(DATOS_[Sexo]=$B85,IF(DATOS_[[AGRUP. VALOR. PTO.]:[AGRUP. VALOR. PTO.]]=$B84,IF(DATOS_[Check Equiparado]="Sí",IF(DATOS_[Check Periodo Ref.]="Dentro",DATOS_[Tot COMPL.SAL Eq],0))))), 0)</f>
        <v>0</v>
      </c>
      <c r="AO85" s="295" t="n">
        <f aca="false" t="array" ref="AO85:AO85">IFERROR( AVERAGE(IF(DATOS_[Sexo]=$B85,IF(DATOS_[[AGRUP. VALOR. PTO.]:[AGRUP. VALOR. PTO.]]=$B84,IF(DATOS_[Check Equiparado]="Sí",IF(DATOS_[Check Periodo Ref.]="Dentro",DATOS_[TOTAL SALARIO Eq],0))))), 0)</f>
        <v>0</v>
      </c>
      <c r="AP85" s="303" t="n">
        <f aca="false" t="array" ref="AP85:AP85">IFERROR( (AVERAGE((IF(DATOS_[[Sexo]:[Sexo]]=$B85,IF(DATOS_[[AGRUP. VALOR. PTO.]:[AGRUP. VALOR. PTO.]]=$B84,IF(DATOS_[[Check Periodo Ref.]:[Check Periodo Ref.]]="Dentro",IF(DATOS_[[Check Equiparado]:[Check Equiparado]]="Sí",IF(DATOS!BI$4="Sí",(1/DATOS_[[% anualiz]:[% anualiz]]),1)*IF(DATOS!BI$5="Sí",1/DATOS_[[% normaliz]:[% normaliz]],1)*(DATOS_[C.Extra.01])))))))), 0)</f>
        <v>0</v>
      </c>
      <c r="AQ85" s="303" t="n">
        <f aca="false" t="array" ref="AQ85:AQ85">IFERROR( (AVERAGE((IF(DATOS_[[Sexo]:[Sexo]]=$B85,IF(DATOS_[[AGRUP. VALOR. PTO.]:[AGRUP. VALOR. PTO.]]=$B84,IF(DATOS_[[Check Periodo Ref.]:[Check Periodo Ref.]]="Dentro",IF(DATOS_[[Check Equiparado]:[Check Equiparado]]="Sí",IF(DATOS!BJ$4="Sí",(1/DATOS_[[% anualiz]:[% anualiz]]),1)*IF(DATOS!BJ$5="Sí",1/DATOS_[[% normaliz]:[% normaliz]],1)*(DATOS_[C.Extra.02])))))))), 0)</f>
        <v>0</v>
      </c>
      <c r="AR85" s="303" t="n">
        <f aca="false" t="array" ref="AR85:AR85">IFERROR( (AVERAGE((IF(DATOS_[[Sexo]:[Sexo]]=$B85,IF(DATOS_[[AGRUP. VALOR. PTO.]:[AGRUP. VALOR. PTO.]]=$B84,IF(DATOS_[[Check Periodo Ref.]:[Check Periodo Ref.]]="Dentro",IF(DATOS_[[Check Equiparado]:[Check Equiparado]]="Sí",IF(DATOS!BK$4="Sí",(1/DATOS_[[% anualiz]:[% anualiz]]),1)*IF(DATOS!BK$5="Sí",1/DATOS_[[% normaliz]:[% normaliz]],1)*(DATOS_[C.Extra.03])))))))), 0)</f>
        <v>0</v>
      </c>
      <c r="AS85" s="303" t="n">
        <f aca="false" t="array" ref="AS85:AS85">IFERROR( (AVERAGE((IF(DATOS_[[Sexo]:[Sexo]]=$B85,IF(DATOS_[[AGRUP. VALOR. PTO.]:[AGRUP. VALOR. PTO.]]=$B84,IF(DATOS_[[Check Periodo Ref.]:[Check Periodo Ref.]]="Dentro",IF(DATOS_[[Check Equiparado]:[Check Equiparado]]="Sí",IF(DATOS!BL$4="Sí",(1/DATOS_[[% anualiz]:[% anualiz]]),1)*IF(DATOS!BL$5="Sí",1/DATOS_[[% normaliz]:[% normaliz]],1)*(DATOS_[C.Extra.04])))))))), 0)</f>
        <v>0</v>
      </c>
      <c r="AT85" s="303" t="n">
        <f aca="false" t="array" ref="AT85:AT85">IFERROR( (AVERAGE((IF(DATOS_[[Sexo]:[Sexo]]=$B85,IF(DATOS_[[AGRUP. VALOR. PTO.]:[AGRUP. VALOR. PTO.]]=$B84,IF(DATOS_[[Check Periodo Ref.]:[Check Periodo Ref.]]="Dentro",IF(DATOS_[[Check Equiparado]:[Check Equiparado]]="Sí",IF(DATOS!BM$4="Sí",(1/DATOS_[[% anualiz]:[% anualiz]]),1)*IF(DATOS!BM$5="Sí",1/DATOS_[[% normaliz]:[% normaliz]],1)*(DATOS_[C.Extra.05])))))))), 0)</f>
        <v>0</v>
      </c>
      <c r="AU85" s="297" t="n">
        <f aca="false" t="array" ref="AU85:AU85">IFERROR( AVERAGE(IF(DATOS_[Sexo]=$B85,IF(DATOS_[[AGRUP. VALOR. PTO.]:[AGRUP. VALOR. PTO.]]=$B84,IF(DATOS_[Check Equiparado]="Sí",IF(DATOS_[Check Periodo Ref.]="Dentro",DATOS_[Tot Extrasalarial Eq],0))))), 0)</f>
        <v>0</v>
      </c>
      <c r="AV85" s="298" t="n">
        <f aca="false" t="array" ref="AV85:AV85">IFERROR( AVERAGE(IF(DATOS_[Sexo]=$B85,IF(DATOS_[[AGRUP. VALOR. PTO.]:[AGRUP. VALOR. PTO.]]=$B84,IF(DATOS_[Check Equiparado]="Sí",IF(DATOS_[Check Periodo Ref.]="Dentro",DATOS_[TOTAL Retrib Eq],0))))), 0)</f>
        <v>0</v>
      </c>
    </row>
    <row r="86" customFormat="false" ht="14.25" hidden="false" customHeight="false" outlineLevel="0" collapsed="false">
      <c r="A86" s="166" t="str">
        <f aca="false">+A85</f>
        <v>[ocultar]</v>
      </c>
      <c r="B86" s="289" t="s">
        <v>372</v>
      </c>
      <c r="C86" s="290" t="n">
        <f aca="false" t="array" ref="C86:C86">SUM(IF($B86=DATOS_[Sexo], IF($B84=DATOS_[AGRUP. VALOR. PTO.], IF("Dentro"=DATOS_[Check Periodo Ref.], 1/(COUNTIFS(DATOS_[Sexo],$B86,DATOS_[AGRUP. VALOR. PTO.],$B84,DATOS_[Check Periodo Ref.],"Dentro",DATOS_[id],DATOS_[id]))))))</f>
        <v>0</v>
      </c>
      <c r="D86" s="291" t="n">
        <f aca="false">COUNTIFS(DATOS_[AGRUP. VALOR. PTO.],$B84,DATOS_[Sexo],$B86,DATOS_[Check Periodo Ref.],"Dentro")</f>
        <v>0</v>
      </c>
      <c r="E86" s="291" t="n">
        <f aca="false">COUNTIFS(DATOS_[AGRUP. VALOR. PTO.],$B84,DATOS_[Sexo],$B86,DATOS_[Check Periodo Ref.],"Dentro",DATOS_[Check Nº SC Norm],"Sí")</f>
        <v>0</v>
      </c>
      <c r="F86" s="291" t="n">
        <f aca="false">COUNTIFS(DATOS_[AGRUP. VALOR. PTO.],$B84,DATOS_[Sexo],$B86,DATOS_[Check Periodo Ref.],"Dentro",DATOS_[Check Nº SC Anualiz],"Sí")</f>
        <v>0</v>
      </c>
      <c r="G86" s="291" t="n">
        <f aca="false">COUNTIFS(DATOS_[AGRUP. VALOR. PTO.],$B84,DATOS_[Sexo],$B86,DATOS_[Check Periodo Ref.],"Dentro",DATOS_[Check Nº SC Norm y Anualiz],"Sí")</f>
        <v>0</v>
      </c>
      <c r="H86" s="291" t="n">
        <f aca="false">COUNTIFS(DATOS_[AGRUP. VALOR. PTO.],$B84,DATOS_[Sexo],$B86,DATOS_[Check Periodo Ref.],"Dentro",DATOS_[Check Equiparación],"Sí")</f>
        <v>0</v>
      </c>
      <c r="I86" s="292" t="n">
        <f aca="false" t="array" ref="I86:I86">IFERROR( AVERAGE(IF(DATOS_[Sexo]=$B86,IF(DATOS_[[AGRUP. VALOR. PTO.]:[AGRUP. VALOR. PTO.]]=$B84,IF(DATOS_[Check Equiparado]="Sí",IF(DATOS_[Check Periodo Ref.]="Dentro",DATOS_[SALARIO BASE Eq],0))))), 0)</f>
        <v>0</v>
      </c>
      <c r="J86" s="302" t="n">
        <f aca="false" t="array" ref="J86:J86">IFERROR( (AVERAGE((IF(DATOS_[[Sexo]:[Sexo]]=$B86,IF(DATOS_[[AGRUP. VALOR. PTO.]:[AGRUP. VALOR. PTO.]]=$B84,IF(DATOS_[[Check Periodo Ref.]:[Check Periodo Ref.]]="Dentro",IF(DATOS_[[Check Equiparado]:[Check Equiparado]]="Sí",IF(DATOS!AE$4="Sí",(1/DATOS_[[% anualiz]:[% anualiz]]),1)*IF(DATOS!AE$5="Sí",1/DATOS_[[% normaliz]:[% normaliz]],1)*(DATOS_[Conc.Sal.01])))))))), 0)</f>
        <v>0</v>
      </c>
      <c r="K86" s="302" t="n">
        <f aca="false" t="array" ref="K86:K86">IFERROR( (AVERAGE((IF(DATOS_[[Sexo]:[Sexo]]=$B86,IF(DATOS_[[AGRUP. VALOR. PTO.]:[AGRUP. VALOR. PTO.]]=$B84,IF(DATOS_[[Check Periodo Ref.]:[Check Periodo Ref.]]="Dentro",IF(DATOS_[[Check Equiparado]:[Check Equiparado]]="Sí",IF(DATOS!AF$4="Sí",(1/DATOS_[[% anualiz]:[% anualiz]]),1)*IF(DATOS!AF$5="Sí",1/DATOS_[[% normaliz]:[% normaliz]],1)*(DATOS_[Conc.Sal.02])))))))), 0)</f>
        <v>0</v>
      </c>
      <c r="L86" s="302" t="n">
        <f aca="false" t="array" ref="L86:L86">IFERROR( (AVERAGE((IF(DATOS_[[Sexo]:[Sexo]]=$B86,IF(DATOS_[[AGRUP. VALOR. PTO.]:[AGRUP. VALOR. PTO.]]=$B84,IF(DATOS_[[Check Periodo Ref.]:[Check Periodo Ref.]]="Dentro",IF(DATOS_[[Check Equiparado]:[Check Equiparado]]="Sí",IF(DATOS!AG$4="Sí",(1/DATOS_[[% anualiz]:[% anualiz]]),1)*IF(DATOS!AG$5="Sí",1/DATOS_[[% normaliz]:[% normaliz]],1)*(DATOS_[Conc.Sal.03])))))))), 0)</f>
        <v>0</v>
      </c>
      <c r="M86" s="302" t="n">
        <f aca="false" t="array" ref="M86:M86">IFERROR( (AVERAGE((IF(DATOS_[[Sexo]:[Sexo]]=$B86,IF(DATOS_[[AGRUP. VALOR. PTO.]:[AGRUP. VALOR. PTO.]]=$B84,IF(DATOS_[[Check Periodo Ref.]:[Check Periodo Ref.]]="Dentro",IF(DATOS_[[Check Equiparado]:[Check Equiparado]]="Sí",IF(DATOS!AH$4="Sí",(1/DATOS_[[% anualiz]:[% anualiz]]),1)*IF(DATOS!AH$5="Sí",1/DATOS_[[% normaliz]:[% normaliz]],1)*(DATOS_[Conc.Sal.04])))))))), 0)</f>
        <v>0</v>
      </c>
      <c r="N86" s="302" t="n">
        <f aca="false" t="array" ref="N86:N86">IFERROR( (AVERAGE((IF(DATOS_[[Sexo]:[Sexo]]=$B86,IF(DATOS_[[AGRUP. VALOR. PTO.]:[AGRUP. VALOR. PTO.]]=$B84,IF(DATOS_[[Check Periodo Ref.]:[Check Periodo Ref.]]="Dentro",IF(DATOS_[[Check Equiparado]:[Check Equiparado]]="Sí",IF(DATOS!AI$4="Sí",(1/DATOS_[[% anualiz]:[% anualiz]]),1)*IF(DATOS!AI$5="Sí",1/DATOS_[[% normaliz]:[% normaliz]],1)*(DATOS_[Conc.Sal.05])))))))), 0)</f>
        <v>0</v>
      </c>
      <c r="O86" s="302" t="n">
        <f aca="false" t="array" ref="O86:O86">IFERROR( (AVERAGE((IF(DATOS_[[Sexo]:[Sexo]]=$B86,IF(DATOS_[[AGRUP. VALOR. PTO.]:[AGRUP. VALOR. PTO.]]=$B84,IF(DATOS_[[Check Periodo Ref.]:[Check Periodo Ref.]]="Dentro",IF(DATOS_[[Check Equiparado]:[Check Equiparado]]="Sí",IF(DATOS!AJ$4="Sí",(1/DATOS_[[% anualiz]:[% anualiz]]),1)*IF(DATOS!AJ$5="Sí",1/DATOS_[[% normaliz]:[% normaliz]],1)*(DATOS_[Conc.Sal.06])))))))), 0)</f>
        <v>0</v>
      </c>
      <c r="P86" s="302" t="n">
        <f aca="false" t="array" ref="P86:P86">IFERROR( (AVERAGE((IF(DATOS_[[Sexo]:[Sexo]]=$B86,IF(DATOS_[[AGRUP. VALOR. PTO.]:[AGRUP. VALOR. PTO.]]=$B84,IF(DATOS_[[Check Periodo Ref.]:[Check Periodo Ref.]]="Dentro",IF(DATOS_[[Check Equiparado]:[Check Equiparado]]="Sí",IF(DATOS!AK$4="Sí",(1/DATOS_[[% anualiz]:[% anualiz]]),1)*IF(DATOS!AK$5="Sí",1/DATOS_[[% normaliz]:[% normaliz]],1)*(DATOS_[Conc.Sal.07])))))))), 0)</f>
        <v>0</v>
      </c>
      <c r="Q86" s="302" t="n">
        <f aca="false" t="array" ref="Q86:Q86">IFERROR( (AVERAGE((IF(DATOS_[[Sexo]:[Sexo]]=$B86,IF(DATOS_[[AGRUP. VALOR. PTO.]:[AGRUP. VALOR. PTO.]]=$B84,IF(DATOS_[[Check Periodo Ref.]:[Check Periodo Ref.]]="Dentro",IF(DATOS_[[Check Equiparado]:[Check Equiparado]]="Sí",IF(DATOS!AL$4="Sí",(1/DATOS_[[% anualiz]:[% anualiz]]),1)*IF(DATOS!AL$5="Sí",1/DATOS_[[% normaliz]:[% normaliz]],1)*(DATOS_[Conc.Sal.08])))))))), 0)</f>
        <v>0</v>
      </c>
      <c r="R86" s="302" t="n">
        <f aca="false" t="array" ref="R86:R86">IFERROR( (AVERAGE((IF(DATOS_[[Sexo]:[Sexo]]=$B86,IF(DATOS_[[AGRUP. VALOR. PTO.]:[AGRUP. VALOR. PTO.]]=$B84,IF(DATOS_[[Check Periodo Ref.]:[Check Periodo Ref.]]="Dentro",IF(DATOS_[[Check Equiparado]:[Check Equiparado]]="Sí",IF(DATOS!AM$4="Sí",(1/DATOS_[[% anualiz]:[% anualiz]]),1)*IF(DATOS!AM$5="Sí",1/DATOS_[[% normaliz]:[% normaliz]],1)*(DATOS_[Conc.Sal.09])))))))), 0)</f>
        <v>0</v>
      </c>
      <c r="S86" s="302" t="n">
        <f aca="false" t="array" ref="S86:S86">IFERROR( (AVERAGE((IF(DATOS_[[Sexo]:[Sexo]]=$B86,IF(DATOS_[[AGRUP. VALOR. PTO.]:[AGRUP. VALOR. PTO.]]=$B84,IF(DATOS_[[Check Periodo Ref.]:[Check Periodo Ref.]]="Dentro",IF(DATOS_[[Check Equiparado]:[Check Equiparado]]="Sí",IF(DATOS!AN$4="Sí",(1/DATOS_[[% anualiz]:[% anualiz]]),1)*IF(DATOS!AN$5="Sí",1/DATOS_[[% normaliz]:[% normaliz]],1)*(DATOS_[Conc.Sal.10])))))))), 0)</f>
        <v>0</v>
      </c>
      <c r="T86" s="302" t="n">
        <f aca="false" t="array" ref="T86:T86">IFERROR( (AVERAGE((IF(DATOS_[[Sexo]:[Sexo]]=$B86,IF(DATOS_[[AGRUP. VALOR. PTO.]:[AGRUP. VALOR. PTO.]]=$B84,IF(DATOS_[[Check Periodo Ref.]:[Check Periodo Ref.]]="Dentro",IF(DATOS_[[Check Equiparado]:[Check Equiparado]]="Sí",IF(DATOS!AO$4="Sí",(1/DATOS_[[% anualiz]:[% anualiz]]),1)*IF(DATOS!AO$5="Sí",1/DATOS_[[% normaliz]:[% normaliz]],1)*(DATOS_[Conc.Sal.11])))))))), 0)</f>
        <v>0</v>
      </c>
      <c r="U86" s="302" t="n">
        <f aca="false" t="array" ref="U86:U86">IFERROR( (AVERAGE((IF(DATOS_[[Sexo]:[Sexo]]=$B86,IF(DATOS_[[AGRUP. VALOR. PTO.]:[AGRUP. VALOR. PTO.]]=$B84,IF(DATOS_[[Check Periodo Ref.]:[Check Periodo Ref.]]="Dentro",IF(DATOS_[[Check Equiparado]:[Check Equiparado]]="Sí",IF(DATOS!AP$4="Sí",(1/DATOS_[[% anualiz]:[% anualiz]]),1)*IF(DATOS!AP$5="Sí",1/DATOS_[[% normaliz]:[% normaliz]],1)*(DATOS_[Conc.Sal.12])))))))), 0)</f>
        <v>0</v>
      </c>
      <c r="V86" s="302" t="n">
        <f aca="false" t="array" ref="V86:V86">IFERROR( (AVERAGE((IF(DATOS_[[Sexo]:[Sexo]]=$B86,IF(DATOS_[[AGRUP. VALOR. PTO.]:[AGRUP. VALOR. PTO.]]=$B84,IF(DATOS_[[Check Periodo Ref.]:[Check Periodo Ref.]]="Dentro",IF(DATOS_[[Check Equiparado]:[Check Equiparado]]="Sí",IF(DATOS!AQ$4="Sí",(1/DATOS_[[% anualiz]:[% anualiz]]),1)*IF(DATOS!AQ$5="Sí",1/DATOS_[[% normaliz]:[% normaliz]],1)*(DATOS_[Conc.Sal.13])))))))), 0)</f>
        <v>0</v>
      </c>
      <c r="W86" s="302" t="n">
        <f aca="false" t="array" ref="W86:W86">IFERROR( (AVERAGE((IF(DATOS_[[Sexo]:[Sexo]]=$B86,IF(DATOS_[[AGRUP. VALOR. PTO.]:[AGRUP. VALOR. PTO.]]=$B84,IF(DATOS_[[Check Periodo Ref.]:[Check Periodo Ref.]]="Dentro",IF(DATOS_[[Check Equiparado]:[Check Equiparado]]="Sí",IF(DATOS!AR$4="Sí",(1/DATOS_[[% anualiz]:[% anualiz]]),1)*IF(DATOS!AR$5="Sí",1/DATOS_[[% normaliz]:[% normaliz]],1)*(DATOS_[Conc.Sal.14])))))))), 0)</f>
        <v>0</v>
      </c>
      <c r="X86" s="302" t="n">
        <f aca="false" t="array" ref="X86:X86">IFERROR( (AVERAGE((IF(DATOS_[[Sexo]:[Sexo]]=$B86,IF(DATOS_[[AGRUP. VALOR. PTO.]:[AGRUP. VALOR. PTO.]]=$B84,IF(DATOS_[[Check Periodo Ref.]:[Check Periodo Ref.]]="Dentro",IF(DATOS_[[Check Equiparado]:[Check Equiparado]]="Sí",IF(DATOS!AS$4="Sí",(1/DATOS_[[% anualiz]:[% anualiz]]),1)*IF(DATOS!AS$5="Sí",1/DATOS_[[% normaliz]:[% normaliz]],1)*(DATOS_[Conc.Sal.15])))))))), 0)</f>
        <v>0</v>
      </c>
      <c r="Y86" s="302" t="n">
        <f aca="false" t="array" ref="Y86:Y86">IFERROR( (AVERAGE((IF(DATOS_[[Sexo]:[Sexo]]=$B86,IF(DATOS_[[AGRUP. VALOR. PTO.]:[AGRUP. VALOR. PTO.]]=$B84,IF(DATOS_[[Check Periodo Ref.]:[Check Periodo Ref.]]="Dentro",IF(DATOS_[[Check Equiparado]:[Check Equiparado]]="Sí",IF(DATOS!AT$4="Sí",(1/DATOS_[[% anualiz]:[% anualiz]]),1)*IF(DATOS!AT$5="Sí",1/DATOS_[[% normaliz]:[% normaliz]],1)*(DATOS_[Conc.Sal.16])))))))), 0)</f>
        <v>0</v>
      </c>
      <c r="Z86" s="302" t="n">
        <f aca="false" t="array" ref="Z86:Z86">IFERROR( (AVERAGE((IF(DATOS_[[Sexo]:[Sexo]]=$B86,IF(DATOS_[[AGRUP. VALOR. PTO.]:[AGRUP. VALOR. PTO.]]=$B84,IF(DATOS_[[Check Periodo Ref.]:[Check Periodo Ref.]]="Dentro",IF(DATOS_[[Check Equiparado]:[Check Equiparado]]="Sí",IF(DATOS!AU$4="Sí",(1/DATOS_[[% anualiz]:[% anualiz]]),1)*IF(DATOS!AU$5="Sí",1/DATOS_[[% normaliz]:[% normaliz]],1)*(DATOS_[Conc.Sal.17])))))))), 0)</f>
        <v>0</v>
      </c>
      <c r="AA86" s="302" t="n">
        <f aca="false" t="array" ref="AA86:AA86">IFERROR( (AVERAGE((IF(DATOS_[[Sexo]:[Sexo]]=$B86,IF(DATOS_[[AGRUP. VALOR. PTO.]:[AGRUP. VALOR. PTO.]]=$B84,IF(DATOS_[[Check Periodo Ref.]:[Check Periodo Ref.]]="Dentro",IF(DATOS_[[Check Equiparado]:[Check Equiparado]]="Sí",IF(DATOS!AV$4="Sí",(1/DATOS_[[% anualiz]:[% anualiz]]),1)*IF(DATOS!AV$5="Sí",1/DATOS_[[% normaliz]:[% normaliz]],1)*(DATOS_[Conc.Sal.18])))))))), 0)</f>
        <v>0</v>
      </c>
      <c r="AB86" s="302" t="n">
        <f aca="false" t="array" ref="AB86:AB86">IFERROR( (AVERAGE((IF(DATOS_[[Sexo]:[Sexo]]=$B86,IF(DATOS_[[AGRUP. VALOR. PTO.]:[AGRUP. VALOR. PTO.]]=$B84,IF(DATOS_[[Check Periodo Ref.]:[Check Periodo Ref.]]="Dentro",IF(DATOS_[[Check Equiparado]:[Check Equiparado]]="Sí",IF(DATOS!AW$4="Sí",(1/DATOS_[[% anualiz]:[% anualiz]]),1)*IF(DATOS!AW$5="Sí",1/DATOS_[[% normaliz]:[% normaliz]],1)*(DATOS_[Conc.Sal.19])))))))), 0)</f>
        <v>0</v>
      </c>
      <c r="AC86" s="302" t="n">
        <f aca="false" t="array" ref="AC86:AC86">IFERROR( (AVERAGE((IF(DATOS_[[Sexo]:[Sexo]]=$B86,IF(DATOS_[[AGRUP. VALOR. PTO.]:[AGRUP. VALOR. PTO.]]=$B84,IF(DATOS_[[Check Periodo Ref.]:[Check Periodo Ref.]]="Dentro",IF(DATOS_[[Check Equiparado]:[Check Equiparado]]="Sí",IF(DATOS!AX$4="Sí",(1/DATOS_[[% anualiz]:[% anualiz]]),1)*IF(DATOS!AX$5="Sí",1/DATOS_[[% normaliz]:[% normaliz]],1)*(DATOS_[Conc.Sal.20])))))))), 0)</f>
        <v>0</v>
      </c>
      <c r="AD86" s="302" t="n">
        <f aca="false" t="array" ref="AD86:AD86">IFERROR( (AVERAGE((IF(DATOS_[[Sexo]:[Sexo]]=$B86,IF(DATOS_[[AGRUP. VALOR. PTO.]:[AGRUP. VALOR. PTO.]]=$B84,IF(DATOS_[[Check Periodo Ref.]:[Check Periodo Ref.]]="Dentro",IF(DATOS_[[Check Equiparado]:[Check Equiparado]]="Sí",IF(DATOS!AY$4="Sí",(1/DATOS_[[% anualiz]:[% anualiz]]),1)*IF(DATOS!AY$5="Sí",1/DATOS_[[% normaliz]:[% normaliz]],1)*(DATOS_[Conc.Sal.21])))))))), 0)</f>
        <v>0</v>
      </c>
      <c r="AE86" s="302" t="n">
        <f aca="false" t="array" ref="AE86:AE86">IFERROR( (AVERAGE((IF(DATOS_[[Sexo]:[Sexo]]=$B86,IF(DATOS_[[AGRUP. VALOR. PTO.]:[AGRUP. VALOR. PTO.]]=$B84,IF(DATOS_[[Check Periodo Ref.]:[Check Periodo Ref.]]="Dentro",IF(DATOS_[[Check Equiparado]:[Check Equiparado]]="Sí",IF(DATOS!AZ$4="Sí",(1/DATOS_[[% anualiz]:[% anualiz]]),1)*IF(DATOS!AZ$5="Sí",1/DATOS_[[% normaliz]:[% normaliz]],1)*(DATOS_[Conc.Sal.22])))))))), 0)</f>
        <v>0</v>
      </c>
      <c r="AF86" s="302" t="n">
        <f aca="false" t="array" ref="AF86:AF86">IFERROR( (AVERAGE((IF(DATOS_[[Sexo]:[Sexo]]=$B86,IF(DATOS_[[AGRUP. VALOR. PTO.]:[AGRUP. VALOR. PTO.]]=$B84,IF(DATOS_[[Check Periodo Ref.]:[Check Periodo Ref.]]="Dentro",IF(DATOS_[[Check Equiparado]:[Check Equiparado]]="Sí",IF(DATOS!BA$4="Sí",(1/DATOS_[[% anualiz]:[% anualiz]]),1)*IF(DATOS!BA$5="Sí",1/DATOS_[[% normaliz]:[% normaliz]],1)*(DATOS_[Conc.Sal.23])))))))), 0)</f>
        <v>0</v>
      </c>
      <c r="AG86" s="302" t="n">
        <f aca="false" t="array" ref="AG86:AG86">IFERROR( (AVERAGE((IF(DATOS_[[Sexo]:[Sexo]]=$B86,IF(DATOS_[[AGRUP. VALOR. PTO.]:[AGRUP. VALOR. PTO.]]=$B84,IF(DATOS_[[Check Periodo Ref.]:[Check Periodo Ref.]]="Dentro",IF(DATOS_[[Check Equiparado]:[Check Equiparado]]="Sí",IF(DATOS!BB$4="Sí",(1/DATOS_[[% anualiz]:[% anualiz]]),1)*IF(DATOS!BB$5="Sí",1/DATOS_[[% normaliz]:[% normaliz]],1)*(DATOS_[Conc.Sal.24])))))))), 0)</f>
        <v>0</v>
      </c>
      <c r="AH86" s="302" t="n">
        <f aca="false" t="array" ref="AH86:AH86">IFERROR( (AVERAGE((IF(DATOS_[[Sexo]:[Sexo]]=$B86,IF(DATOS_[[AGRUP. VALOR. PTO.]:[AGRUP. VALOR. PTO.]]=$B84,IF(DATOS_[[Check Periodo Ref.]:[Check Periodo Ref.]]="Dentro",IF(DATOS_[[Check Equiparado]:[Check Equiparado]]="Sí",IF(DATOS!BC$4="Sí",(1/DATOS_[[% anualiz]:[% anualiz]]),1)*IF(DATOS!BC$5="Sí",1/DATOS_[[% normaliz]:[% normaliz]],1)*(DATOS_[Conc.Sal.25])))))))), 0)</f>
        <v>0</v>
      </c>
      <c r="AI86" s="302" t="n">
        <f aca="false" t="array" ref="AI86:AI86">IFERROR( (AVERAGE((IF(DATOS_[[Sexo]:[Sexo]]=$B86,IF(DATOS_[[AGRUP. VALOR. PTO.]:[AGRUP. VALOR. PTO.]]=$B84,IF(DATOS_[[Check Periodo Ref.]:[Check Periodo Ref.]]="Dentro",IF(DATOS_[[Check Equiparado]:[Check Equiparado]]="Sí",IF(DATOS!BD$4="Sí",(1/DATOS_[[% anualiz]:[% anualiz]]),1)*IF(DATOS!BD$5="Sí",1/DATOS_[[% normaliz]:[% normaliz]],1)*(DATOS_[Conc.Sal.26])))))))), 0)</f>
        <v>0</v>
      </c>
      <c r="AJ86" s="302" t="n">
        <f aca="false" t="array" ref="AJ86:AJ86">IFERROR( (AVERAGE((IF(DATOS_[[Sexo]:[Sexo]]=$B86,IF(DATOS_[[AGRUP. VALOR. PTO.]:[AGRUP. VALOR. PTO.]]=$B84,IF(DATOS_[[Check Periodo Ref.]:[Check Periodo Ref.]]="Dentro",IF(DATOS_[[Check Equiparado]:[Check Equiparado]]="Sí",IF(DATOS!BE$4="Sí",(1/DATOS_[[% anualiz]:[% anualiz]]),1)*IF(DATOS!BE$5="Sí",1/DATOS_[[% normaliz]:[% normaliz]],1)*(DATOS_[Conc.Sal.27])))))))), 0)</f>
        <v>0</v>
      </c>
      <c r="AK86" s="302" t="n">
        <f aca="false" t="array" ref="AK86:AK86">IFERROR( (AVERAGE((IF(DATOS_[[Sexo]:[Sexo]]=$B86,IF(DATOS_[[AGRUP. VALOR. PTO.]:[AGRUP. VALOR. PTO.]]=$B84,IF(DATOS_[[Check Periodo Ref.]:[Check Periodo Ref.]]="Dentro",IF(DATOS_[[Check Equiparado]:[Check Equiparado]]="Sí",IF(DATOS!BF$4="Sí",(1/DATOS_[[% anualiz]:[% anualiz]]),1)*IF(DATOS!BF$5="Sí",1/DATOS_[[% normaliz]:[% normaliz]],1)*(DATOS_[Conc.Sal.28])))))))), 0)</f>
        <v>0</v>
      </c>
      <c r="AL86" s="302" t="n">
        <f aca="false" t="array" ref="AL86:AL86">IFERROR( (AVERAGE((IF(DATOS_[[Sexo]:[Sexo]]=$B86,IF(DATOS_[[AGRUP. VALOR. PTO.]:[AGRUP. VALOR. PTO.]]=$B84,IF(DATOS_[[Check Periodo Ref.]:[Check Periodo Ref.]]="Dentro",IF(DATOS_[[Check Equiparado]:[Check Equiparado]]="Sí",IF(DATOS!BG$4="Sí",(1/DATOS_[[% anualiz]:[% anualiz]]),1)*IF(DATOS!BG$5="Sí",1/DATOS_[[% normaliz]:[% normaliz]],1)*(DATOS_[Conc.Sal.29])))))))), 0)</f>
        <v>0</v>
      </c>
      <c r="AM86" s="302" t="n">
        <f aca="false" t="array" ref="AM86:AM86">IFERROR( (AVERAGE((IF(DATOS_[[Sexo]:[Sexo]]=$B86,IF(DATOS_[[AGRUP. VALOR. PTO.]:[AGRUP. VALOR. PTO.]]=$B84,IF(DATOS_[[Check Periodo Ref.]:[Check Periodo Ref.]]="Dentro",IF(DATOS_[[Check Equiparado]:[Check Equiparado]]="Sí",IF(DATOS!BH$4="Sí",(1/DATOS_[[% anualiz]:[% anualiz]]),1)*IF(DATOS!BH$5="Sí",1/DATOS_[[% normaliz]:[% normaliz]],1)*(DATOS_[Conc.Sal.30])))))))), 0)</f>
        <v>0</v>
      </c>
      <c r="AN86" s="294" t="n">
        <f aca="false" t="array" ref="AN86:AN86">IFERROR( AVERAGE(IF(DATOS_[Sexo]=$B86,IF(DATOS_[[AGRUP. VALOR. PTO.]:[AGRUP. VALOR. PTO.]]=$B84,IF(DATOS_[Check Equiparado]="Sí",IF(DATOS_[Check Periodo Ref.]="Dentro",DATOS_[Tot COMPL.SAL Eq],0))))), 0)</f>
        <v>0</v>
      </c>
      <c r="AO86" s="295" t="n">
        <f aca="false" t="array" ref="AO86:AO86">IFERROR( AVERAGE(IF(DATOS_[Sexo]=$B86,IF(DATOS_[[AGRUP. VALOR. PTO.]:[AGRUP. VALOR. PTO.]]=$B84,IF(DATOS_[Check Equiparado]="Sí",IF(DATOS_[Check Periodo Ref.]="Dentro",DATOS_[TOTAL SALARIO Eq],0))))), 0)</f>
        <v>0</v>
      </c>
      <c r="AP86" s="303" t="n">
        <f aca="false" t="array" ref="AP86:AP86">IFERROR( (AVERAGE((IF(DATOS_[[Sexo]:[Sexo]]=$B86,IF(DATOS_[[AGRUP. VALOR. PTO.]:[AGRUP. VALOR. PTO.]]=$B85,IF(DATOS_[[Check Periodo Ref.]:[Check Periodo Ref.]]="Dentro",IF(DATOS_[[Check Equiparado]:[Check Equiparado]]="Sí",IF(DATOS!BI$4="Sí",(1/DATOS_[[% anualiz]:[% anualiz]]),1)*IF(DATOS!BI$5="Sí",1/DATOS_[[% normaliz]:[% normaliz]],1)*(DATOS_[C.Extra.01])))))))), 0)</f>
        <v>0</v>
      </c>
      <c r="AQ86" s="303" t="n">
        <f aca="false" t="array" ref="AQ86:AQ86">IFERROR( (AVERAGE((IF(DATOS_[[Sexo]:[Sexo]]=$B86,IF(DATOS_[[AGRUP. VALOR. PTO.]:[AGRUP. VALOR. PTO.]]=$B85,IF(DATOS_[[Check Periodo Ref.]:[Check Periodo Ref.]]="Dentro",IF(DATOS_[[Check Equiparado]:[Check Equiparado]]="Sí",IF(DATOS!BJ$4="Sí",(1/DATOS_[[% anualiz]:[% anualiz]]),1)*IF(DATOS!BJ$5="Sí",1/DATOS_[[% normaliz]:[% normaliz]],1)*(DATOS_[C.Extra.02])))))))), 0)</f>
        <v>0</v>
      </c>
      <c r="AR86" s="303" t="n">
        <f aca="false" t="array" ref="AR86:AR86">IFERROR( (AVERAGE((IF(DATOS_[[Sexo]:[Sexo]]=$B86,IF(DATOS_[[AGRUP. VALOR. PTO.]:[AGRUP. VALOR. PTO.]]=$B85,IF(DATOS_[[Check Periodo Ref.]:[Check Periodo Ref.]]="Dentro",IF(DATOS_[[Check Equiparado]:[Check Equiparado]]="Sí",IF(DATOS!BK$4="Sí",(1/DATOS_[[% anualiz]:[% anualiz]]),1)*IF(DATOS!BK$5="Sí",1/DATOS_[[% normaliz]:[% normaliz]],1)*(DATOS_[C.Extra.03])))))))), 0)</f>
        <v>0</v>
      </c>
      <c r="AS86" s="303" t="n">
        <f aca="false" t="array" ref="AS86:AS86">IFERROR( (AVERAGE((IF(DATOS_[[Sexo]:[Sexo]]=$B86,IF(DATOS_[[AGRUP. VALOR. PTO.]:[AGRUP. VALOR. PTO.]]=$B85,IF(DATOS_[[Check Periodo Ref.]:[Check Periodo Ref.]]="Dentro",IF(DATOS_[[Check Equiparado]:[Check Equiparado]]="Sí",IF(DATOS!BL$4="Sí",(1/DATOS_[[% anualiz]:[% anualiz]]),1)*IF(DATOS!BL$5="Sí",1/DATOS_[[% normaliz]:[% normaliz]],1)*(DATOS_[C.Extra.04])))))))), 0)</f>
        <v>0</v>
      </c>
      <c r="AT86" s="303" t="n">
        <f aca="false" t="array" ref="AT86:AT86">IFERROR( (AVERAGE((IF(DATOS_[[Sexo]:[Sexo]]=$B86,IF(DATOS_[[AGRUP. VALOR. PTO.]:[AGRUP. VALOR. PTO.]]=$B85,IF(DATOS_[[Check Periodo Ref.]:[Check Periodo Ref.]]="Dentro",IF(DATOS_[[Check Equiparado]:[Check Equiparado]]="Sí",IF(DATOS!BM$4="Sí",(1/DATOS_[[% anualiz]:[% anualiz]]),1)*IF(DATOS!BM$5="Sí",1/DATOS_[[% normaliz]:[% normaliz]],1)*(DATOS_[C.Extra.05])))))))), 0)</f>
        <v>0</v>
      </c>
      <c r="AU86" s="297" t="n">
        <f aca="false" t="array" ref="AU86:AU86">IFERROR( AVERAGE(IF(DATOS_[Sexo]=$B86,IF(DATOS_[[AGRUP. VALOR. PTO.]:[AGRUP. VALOR. PTO.]]=$B84,IF(DATOS_[Check Equiparado]="Sí",IF(DATOS_[Check Periodo Ref.]="Dentro",DATOS_[Tot Extrasalarial Eq],0))))), 0)</f>
        <v>0</v>
      </c>
      <c r="AV86" s="298" t="n">
        <f aca="false" t="array" ref="AV86:AV86">IFERROR( AVERAGE(IF(DATOS_[Sexo]=$B86,IF(DATOS_[[AGRUP. VALOR. PTO.]:[AGRUP. VALOR. PTO.]]=$B84,IF(DATOS_[Check Equiparado]="Sí",IF(DATOS_[Check Periodo Ref.]="Dentro",DATOS_[TOTAL Retrib Eq],0))))), 0)</f>
        <v>0</v>
      </c>
    </row>
    <row r="87" customFormat="false" ht="15.75" hidden="false" customHeight="false" outlineLevel="0" collapsed="false">
      <c r="A87" s="166" t="str">
        <f aca="false">+A88</f>
        <v>[ocultar]</v>
      </c>
      <c r="B87" s="276" t="s">
        <v>241</v>
      </c>
      <c r="C87" s="277"/>
      <c r="D87" s="278"/>
      <c r="E87" s="278"/>
      <c r="F87" s="278"/>
      <c r="G87" s="278"/>
      <c r="H87" s="278"/>
      <c r="I87" s="279" t="str">
        <f aca="false">IFERROR((I88-I89)/I88,"")</f>
        <v/>
      </c>
      <c r="J87" s="280" t="str">
        <f aca="false">IFERROR((J88-J89)/J88,"")</f>
        <v/>
      </c>
      <c r="K87" s="281" t="str">
        <f aca="false">IFERROR((K88-K89)/K88,"")</f>
        <v/>
      </c>
      <c r="L87" s="281" t="str">
        <f aca="false">IFERROR((L88-L89)/L88,"")</f>
        <v/>
      </c>
      <c r="M87" s="281" t="str">
        <f aca="false">IFERROR((M88-M89)/M88,"")</f>
        <v/>
      </c>
      <c r="N87" s="282" t="str">
        <f aca="false">IFERROR((N88-N89)/N88,"")</f>
        <v/>
      </c>
      <c r="O87" s="283" t="str">
        <f aca="false">IFERROR((O88-O89)/O88,"")</f>
        <v/>
      </c>
      <c r="P87" s="283" t="str">
        <f aca="false">IFERROR((P88-P89)/P88,"")</f>
        <v/>
      </c>
      <c r="Q87" s="283" t="str">
        <f aca="false">IFERROR((Q88-Q89)/Q88,"")</f>
        <v/>
      </c>
      <c r="R87" s="283" t="str">
        <f aca="false">IFERROR((R88-R89)/R88,"")</f>
        <v/>
      </c>
      <c r="S87" s="283" t="str">
        <f aca="false">IFERROR((S88-S89)/S88,"")</f>
        <v/>
      </c>
      <c r="T87" s="283" t="str">
        <f aca="false">IFERROR((T88-T89)/T88,"")</f>
        <v/>
      </c>
      <c r="U87" s="283" t="str">
        <f aca="false">IFERROR((U88-U89)/U88,"")</f>
        <v/>
      </c>
      <c r="V87" s="283" t="str">
        <f aca="false">IFERROR((V88-V89)/V88,"")</f>
        <v/>
      </c>
      <c r="W87" s="283" t="str">
        <f aca="false">IFERROR((W88-W89)/W88,"")</f>
        <v/>
      </c>
      <c r="X87" s="283" t="str">
        <f aca="false">IFERROR((X88-X89)/X88,"")</f>
        <v/>
      </c>
      <c r="Y87" s="283" t="str">
        <f aca="false">IFERROR((Y88-Y89)/Y88,"")</f>
        <v/>
      </c>
      <c r="Z87" s="282" t="str">
        <f aca="false">IFERROR((Z88-Z89)/Z88,"")</f>
        <v/>
      </c>
      <c r="AA87" s="282" t="str">
        <f aca="false">IFERROR((AA88-AA89)/AA88,"")</f>
        <v/>
      </c>
      <c r="AB87" s="282" t="str">
        <f aca="false">IFERROR((AB88-AB89)/AB88,"")</f>
        <v/>
      </c>
      <c r="AC87" s="282" t="str">
        <f aca="false">IFERROR((AC88-AC89)/AC88,"")</f>
        <v/>
      </c>
      <c r="AD87" s="282" t="str">
        <f aca="false">IFERROR((AD88-AD89)/AD88,"")</f>
        <v/>
      </c>
      <c r="AE87" s="282" t="str">
        <f aca="false">IFERROR((AE88-AE89)/AE88,"")</f>
        <v/>
      </c>
      <c r="AF87" s="282" t="str">
        <f aca="false">IFERROR((AF88-AF89)/AF88,"")</f>
        <v/>
      </c>
      <c r="AG87" s="282" t="str">
        <f aca="false">IFERROR((AG88-AG89)/AG88,"")</f>
        <v/>
      </c>
      <c r="AH87" s="282" t="str">
        <f aca="false">IFERROR((AH88-AH89)/AH88,"")</f>
        <v/>
      </c>
      <c r="AI87" s="282" t="str">
        <f aca="false">IFERROR((AI88-AI89)/AI88,"")</f>
        <v/>
      </c>
      <c r="AJ87" s="282" t="str">
        <f aca="false">IFERROR((AJ88-AJ89)/AJ88,"")</f>
        <v/>
      </c>
      <c r="AK87" s="282" t="str">
        <f aca="false">IFERROR((AK88-AK89)/AK88,"")</f>
        <v/>
      </c>
      <c r="AL87" s="282" t="str">
        <f aca="false">IFERROR((AL88-AL89)/AL88,"")</f>
        <v/>
      </c>
      <c r="AM87" s="282" t="str">
        <f aca="false">IFERROR((AM88-AM89)/AM88,"")</f>
        <v/>
      </c>
      <c r="AN87" s="284" t="str">
        <f aca="false">IFERROR((AN88-AN89)/AN88,"")</f>
        <v/>
      </c>
      <c r="AO87" s="285" t="str">
        <f aca="false">IFERROR((AO88-AO89)/AO88,"")</f>
        <v/>
      </c>
      <c r="AP87" s="286" t="str">
        <f aca="false">IFERROR((AP88-AP89)/AP88,"")</f>
        <v/>
      </c>
      <c r="AQ87" s="286" t="str">
        <f aca="false">IFERROR((AQ88-AQ89)/AQ88,"")</f>
        <v/>
      </c>
      <c r="AR87" s="286" t="str">
        <f aca="false">IFERROR((AR88-AR89)/AR88,"")</f>
        <v/>
      </c>
      <c r="AS87" s="286" t="str">
        <f aca="false">IFERROR((AS88-AS89)/AS88,"")</f>
        <v/>
      </c>
      <c r="AT87" s="286" t="str">
        <f aca="false">IFERROR((AT88-AT89)/AT88,"")</f>
        <v/>
      </c>
      <c r="AU87" s="287" t="str">
        <f aca="false">IFERROR((AU88-AU89)/AU88,"")</f>
        <v/>
      </c>
      <c r="AV87" s="288" t="str">
        <f aca="false">IFERROR((AV88-AV89)/AV88,"")</f>
        <v/>
      </c>
    </row>
    <row r="88" customFormat="false" ht="14.25" hidden="false" customHeight="false" outlineLevel="0" collapsed="false">
      <c r="A88" s="166" t="str">
        <f aca="false">+IF(C88+C89=0,"[ocultar]","")</f>
        <v>[ocultar]</v>
      </c>
      <c r="B88" s="289" t="s">
        <v>371</v>
      </c>
      <c r="C88" s="290" t="n">
        <f aca="false" t="array" ref="C88:C88">SUM(IF($B88=DATOS_[Sexo], IF($B87=DATOS_[AGRUP. VALOR. PTO.], IF("Dentro"=DATOS_[Check Periodo Ref.], 1/(COUNTIFS(DATOS_[Sexo],$B88,DATOS_[AGRUP. VALOR. PTO.],$B87,DATOS_[Check Periodo Ref.],"Dentro",DATOS_[id],DATOS_[id]))))))</f>
        <v>0</v>
      </c>
      <c r="D88" s="291" t="n">
        <f aca="false">COUNTIFS(DATOS_[AGRUP. VALOR. PTO.],$B87,DATOS_[Sexo],$B88,DATOS_[Check Periodo Ref.],"Dentro")</f>
        <v>0</v>
      </c>
      <c r="E88" s="291" t="n">
        <f aca="false">COUNTIFS(DATOS_[AGRUP. VALOR. PTO.],$B87,DATOS_[Sexo],$B88,DATOS_[Check Periodo Ref.],"Dentro",DATOS_[Check Nº SC Norm],"Sí")</f>
        <v>0</v>
      </c>
      <c r="F88" s="291" t="n">
        <f aca="false">COUNTIFS(DATOS_[AGRUP. VALOR. PTO.],$B87,DATOS_[Sexo],$B88,DATOS_[Check Periodo Ref.],"Dentro",DATOS_[Check Nº SC Anualiz],"Sí")</f>
        <v>0</v>
      </c>
      <c r="G88" s="291" t="n">
        <f aca="false">COUNTIFS(DATOS_[AGRUP. VALOR. PTO.],$B87,DATOS_[Sexo],$B88,DATOS_[Check Periodo Ref.],"Dentro",DATOS_[Check Nº SC Norm y Anualiz],"Sí")</f>
        <v>0</v>
      </c>
      <c r="H88" s="291" t="n">
        <f aca="false">COUNTIFS(DATOS_[AGRUP. VALOR. PTO.],$B87,DATOS_[Sexo],$B88,DATOS_[Check Periodo Ref.],"Dentro",DATOS_[Check Equiparación],"Sí")</f>
        <v>0</v>
      </c>
      <c r="I88" s="292" t="n">
        <f aca="false" t="array" ref="I88:I88">IFERROR( AVERAGE(IF(DATOS_[Sexo]=$B88,IF(DATOS_[[AGRUP. VALOR. PTO.]:[AGRUP. VALOR. PTO.]]=$B87,IF(DATOS_[Check Equiparado]="Sí",IF(DATOS_[Check Periodo Ref.]="Dentro",DATOS_[SALARIO BASE Eq],0))))), 0)</f>
        <v>0</v>
      </c>
      <c r="J88" s="302" t="n">
        <f aca="false" t="array" ref="J88:J88">IFERROR( (AVERAGE((IF(DATOS_[[Sexo]:[Sexo]]=$B88,IF(DATOS_[[AGRUP. VALOR. PTO.]:[AGRUP. VALOR. PTO.]]=$B87,IF(DATOS_[[Check Periodo Ref.]:[Check Periodo Ref.]]="Dentro",IF(DATOS_[[Check Equiparado]:[Check Equiparado]]="Sí",IF(DATOS!AE$4="Sí",(1/DATOS_[[% anualiz]:[% anualiz]]),1)*IF(DATOS!AE$5="Sí",1/DATOS_[[% normaliz]:[% normaliz]],1)*(DATOS_[Conc.Sal.01])))))))), 0)</f>
        <v>0</v>
      </c>
      <c r="K88" s="302" t="n">
        <f aca="false" t="array" ref="K88:K88">IFERROR( (AVERAGE((IF(DATOS_[[Sexo]:[Sexo]]=$B88,IF(DATOS_[[AGRUP. VALOR. PTO.]:[AGRUP. VALOR. PTO.]]=$B87,IF(DATOS_[[Check Periodo Ref.]:[Check Periodo Ref.]]="Dentro",IF(DATOS_[[Check Equiparado]:[Check Equiparado]]="Sí",IF(DATOS!AF$4="Sí",(1/DATOS_[[% anualiz]:[% anualiz]]),1)*IF(DATOS!AF$5="Sí",1/DATOS_[[% normaliz]:[% normaliz]],1)*(DATOS_[Conc.Sal.02])))))))), 0)</f>
        <v>0</v>
      </c>
      <c r="L88" s="302" t="n">
        <f aca="false" t="array" ref="L88:L88">IFERROR( (AVERAGE((IF(DATOS_[[Sexo]:[Sexo]]=$B88,IF(DATOS_[[AGRUP. VALOR. PTO.]:[AGRUP. VALOR. PTO.]]=$B87,IF(DATOS_[[Check Periodo Ref.]:[Check Periodo Ref.]]="Dentro",IF(DATOS_[[Check Equiparado]:[Check Equiparado]]="Sí",IF(DATOS!AG$4="Sí",(1/DATOS_[[% anualiz]:[% anualiz]]),1)*IF(DATOS!AG$5="Sí",1/DATOS_[[% normaliz]:[% normaliz]],1)*(DATOS_[Conc.Sal.03])))))))), 0)</f>
        <v>0</v>
      </c>
      <c r="M88" s="302" t="n">
        <f aca="false" t="array" ref="M88:M88">IFERROR( (AVERAGE((IF(DATOS_[[Sexo]:[Sexo]]=$B88,IF(DATOS_[[AGRUP. VALOR. PTO.]:[AGRUP. VALOR. PTO.]]=$B87,IF(DATOS_[[Check Periodo Ref.]:[Check Periodo Ref.]]="Dentro",IF(DATOS_[[Check Equiparado]:[Check Equiparado]]="Sí",IF(DATOS!AH$4="Sí",(1/DATOS_[[% anualiz]:[% anualiz]]),1)*IF(DATOS!AH$5="Sí",1/DATOS_[[% normaliz]:[% normaliz]],1)*(DATOS_[Conc.Sal.04])))))))), 0)</f>
        <v>0</v>
      </c>
      <c r="N88" s="302" t="n">
        <f aca="false" t="array" ref="N88:N88">IFERROR( (AVERAGE((IF(DATOS_[[Sexo]:[Sexo]]=$B88,IF(DATOS_[[AGRUP. VALOR. PTO.]:[AGRUP. VALOR. PTO.]]=$B87,IF(DATOS_[[Check Periodo Ref.]:[Check Periodo Ref.]]="Dentro",IF(DATOS_[[Check Equiparado]:[Check Equiparado]]="Sí",IF(DATOS!AI$4="Sí",(1/DATOS_[[% anualiz]:[% anualiz]]),1)*IF(DATOS!AI$5="Sí",1/DATOS_[[% normaliz]:[% normaliz]],1)*(DATOS_[Conc.Sal.05])))))))), 0)</f>
        <v>0</v>
      </c>
      <c r="O88" s="302" t="n">
        <f aca="false" t="array" ref="O88:O88">IFERROR( (AVERAGE((IF(DATOS_[[Sexo]:[Sexo]]=$B88,IF(DATOS_[[AGRUP. VALOR. PTO.]:[AGRUP. VALOR. PTO.]]=$B87,IF(DATOS_[[Check Periodo Ref.]:[Check Periodo Ref.]]="Dentro",IF(DATOS_[[Check Equiparado]:[Check Equiparado]]="Sí",IF(DATOS!AJ$4="Sí",(1/DATOS_[[% anualiz]:[% anualiz]]),1)*IF(DATOS!AJ$5="Sí",1/DATOS_[[% normaliz]:[% normaliz]],1)*(DATOS_[Conc.Sal.06])))))))), 0)</f>
        <v>0</v>
      </c>
      <c r="P88" s="302" t="n">
        <f aca="false" t="array" ref="P88:P88">IFERROR( (AVERAGE((IF(DATOS_[[Sexo]:[Sexo]]=$B88,IF(DATOS_[[AGRUP. VALOR. PTO.]:[AGRUP. VALOR. PTO.]]=$B87,IF(DATOS_[[Check Periodo Ref.]:[Check Periodo Ref.]]="Dentro",IF(DATOS_[[Check Equiparado]:[Check Equiparado]]="Sí",IF(DATOS!AK$4="Sí",(1/DATOS_[[% anualiz]:[% anualiz]]),1)*IF(DATOS!AK$5="Sí",1/DATOS_[[% normaliz]:[% normaliz]],1)*(DATOS_[Conc.Sal.07])))))))), 0)</f>
        <v>0</v>
      </c>
      <c r="Q88" s="302" t="n">
        <f aca="false" t="array" ref="Q88:Q88">IFERROR( (AVERAGE((IF(DATOS_[[Sexo]:[Sexo]]=$B88,IF(DATOS_[[AGRUP. VALOR. PTO.]:[AGRUP. VALOR. PTO.]]=$B87,IF(DATOS_[[Check Periodo Ref.]:[Check Periodo Ref.]]="Dentro",IF(DATOS_[[Check Equiparado]:[Check Equiparado]]="Sí",IF(DATOS!AL$4="Sí",(1/DATOS_[[% anualiz]:[% anualiz]]),1)*IF(DATOS!AL$5="Sí",1/DATOS_[[% normaliz]:[% normaliz]],1)*(DATOS_[Conc.Sal.08])))))))), 0)</f>
        <v>0</v>
      </c>
      <c r="R88" s="302" t="n">
        <f aca="false" t="array" ref="R88:R88">IFERROR( (AVERAGE((IF(DATOS_[[Sexo]:[Sexo]]=$B88,IF(DATOS_[[AGRUP. VALOR. PTO.]:[AGRUP. VALOR. PTO.]]=$B87,IF(DATOS_[[Check Periodo Ref.]:[Check Periodo Ref.]]="Dentro",IF(DATOS_[[Check Equiparado]:[Check Equiparado]]="Sí",IF(DATOS!AM$4="Sí",(1/DATOS_[[% anualiz]:[% anualiz]]),1)*IF(DATOS!AM$5="Sí",1/DATOS_[[% normaliz]:[% normaliz]],1)*(DATOS_[Conc.Sal.09])))))))), 0)</f>
        <v>0</v>
      </c>
      <c r="S88" s="302" t="n">
        <f aca="false" t="array" ref="S88:S88">IFERROR( (AVERAGE((IF(DATOS_[[Sexo]:[Sexo]]=$B88,IF(DATOS_[[AGRUP. VALOR. PTO.]:[AGRUP. VALOR. PTO.]]=$B87,IF(DATOS_[[Check Periodo Ref.]:[Check Periodo Ref.]]="Dentro",IF(DATOS_[[Check Equiparado]:[Check Equiparado]]="Sí",IF(DATOS!AN$4="Sí",(1/DATOS_[[% anualiz]:[% anualiz]]),1)*IF(DATOS!AN$5="Sí",1/DATOS_[[% normaliz]:[% normaliz]],1)*(DATOS_[Conc.Sal.10])))))))), 0)</f>
        <v>0</v>
      </c>
      <c r="T88" s="302" t="n">
        <f aca="false" t="array" ref="T88:T88">IFERROR( (AVERAGE((IF(DATOS_[[Sexo]:[Sexo]]=$B88,IF(DATOS_[[AGRUP. VALOR. PTO.]:[AGRUP. VALOR. PTO.]]=$B87,IF(DATOS_[[Check Periodo Ref.]:[Check Periodo Ref.]]="Dentro",IF(DATOS_[[Check Equiparado]:[Check Equiparado]]="Sí",IF(DATOS!AO$4="Sí",(1/DATOS_[[% anualiz]:[% anualiz]]),1)*IF(DATOS!AO$5="Sí",1/DATOS_[[% normaliz]:[% normaliz]],1)*(DATOS_[Conc.Sal.11])))))))), 0)</f>
        <v>0</v>
      </c>
      <c r="U88" s="302" t="n">
        <f aca="false" t="array" ref="U88:U88">IFERROR( (AVERAGE((IF(DATOS_[[Sexo]:[Sexo]]=$B88,IF(DATOS_[[AGRUP. VALOR. PTO.]:[AGRUP. VALOR. PTO.]]=$B87,IF(DATOS_[[Check Periodo Ref.]:[Check Periodo Ref.]]="Dentro",IF(DATOS_[[Check Equiparado]:[Check Equiparado]]="Sí",IF(DATOS!AP$4="Sí",(1/DATOS_[[% anualiz]:[% anualiz]]),1)*IF(DATOS!AP$5="Sí",1/DATOS_[[% normaliz]:[% normaliz]],1)*(DATOS_[Conc.Sal.12])))))))), 0)</f>
        <v>0</v>
      </c>
      <c r="V88" s="302" t="n">
        <f aca="false" t="array" ref="V88:V88">IFERROR( (AVERAGE((IF(DATOS_[[Sexo]:[Sexo]]=$B88,IF(DATOS_[[AGRUP. VALOR. PTO.]:[AGRUP. VALOR. PTO.]]=$B87,IF(DATOS_[[Check Periodo Ref.]:[Check Periodo Ref.]]="Dentro",IF(DATOS_[[Check Equiparado]:[Check Equiparado]]="Sí",IF(DATOS!AQ$4="Sí",(1/DATOS_[[% anualiz]:[% anualiz]]),1)*IF(DATOS!AQ$5="Sí",1/DATOS_[[% normaliz]:[% normaliz]],1)*(DATOS_[Conc.Sal.13])))))))), 0)</f>
        <v>0</v>
      </c>
      <c r="W88" s="302" t="n">
        <f aca="false" t="array" ref="W88:W88">IFERROR( (AVERAGE((IF(DATOS_[[Sexo]:[Sexo]]=$B88,IF(DATOS_[[AGRUP. VALOR. PTO.]:[AGRUP. VALOR. PTO.]]=$B87,IF(DATOS_[[Check Periodo Ref.]:[Check Periodo Ref.]]="Dentro",IF(DATOS_[[Check Equiparado]:[Check Equiparado]]="Sí",IF(DATOS!AR$4="Sí",(1/DATOS_[[% anualiz]:[% anualiz]]),1)*IF(DATOS!AR$5="Sí",1/DATOS_[[% normaliz]:[% normaliz]],1)*(DATOS_[Conc.Sal.14])))))))), 0)</f>
        <v>0</v>
      </c>
      <c r="X88" s="302" t="n">
        <f aca="false" t="array" ref="X88:X88">IFERROR( (AVERAGE((IF(DATOS_[[Sexo]:[Sexo]]=$B88,IF(DATOS_[[AGRUP. VALOR. PTO.]:[AGRUP. VALOR. PTO.]]=$B87,IF(DATOS_[[Check Periodo Ref.]:[Check Periodo Ref.]]="Dentro",IF(DATOS_[[Check Equiparado]:[Check Equiparado]]="Sí",IF(DATOS!AS$4="Sí",(1/DATOS_[[% anualiz]:[% anualiz]]),1)*IF(DATOS!AS$5="Sí",1/DATOS_[[% normaliz]:[% normaliz]],1)*(DATOS_[Conc.Sal.15])))))))), 0)</f>
        <v>0</v>
      </c>
      <c r="Y88" s="302" t="n">
        <f aca="false" t="array" ref="Y88:Y88">IFERROR( (AVERAGE((IF(DATOS_[[Sexo]:[Sexo]]=$B88,IF(DATOS_[[AGRUP. VALOR. PTO.]:[AGRUP. VALOR. PTO.]]=$B87,IF(DATOS_[[Check Periodo Ref.]:[Check Periodo Ref.]]="Dentro",IF(DATOS_[[Check Equiparado]:[Check Equiparado]]="Sí",IF(DATOS!AT$4="Sí",(1/DATOS_[[% anualiz]:[% anualiz]]),1)*IF(DATOS!AT$5="Sí",1/DATOS_[[% normaliz]:[% normaliz]],1)*(DATOS_[Conc.Sal.16])))))))), 0)</f>
        <v>0</v>
      </c>
      <c r="Z88" s="302" t="n">
        <f aca="false" t="array" ref="Z88:Z88">IFERROR( (AVERAGE((IF(DATOS_[[Sexo]:[Sexo]]=$B88,IF(DATOS_[[AGRUP. VALOR. PTO.]:[AGRUP. VALOR. PTO.]]=$B87,IF(DATOS_[[Check Periodo Ref.]:[Check Periodo Ref.]]="Dentro",IF(DATOS_[[Check Equiparado]:[Check Equiparado]]="Sí",IF(DATOS!AU$4="Sí",(1/DATOS_[[% anualiz]:[% anualiz]]),1)*IF(DATOS!AU$5="Sí",1/DATOS_[[% normaliz]:[% normaliz]],1)*(DATOS_[Conc.Sal.17])))))))), 0)</f>
        <v>0</v>
      </c>
      <c r="AA88" s="302" t="n">
        <f aca="false" t="array" ref="AA88:AA88">IFERROR( (AVERAGE((IF(DATOS_[[Sexo]:[Sexo]]=$B88,IF(DATOS_[[AGRUP. VALOR. PTO.]:[AGRUP. VALOR. PTO.]]=$B87,IF(DATOS_[[Check Periodo Ref.]:[Check Periodo Ref.]]="Dentro",IF(DATOS_[[Check Equiparado]:[Check Equiparado]]="Sí",IF(DATOS!AV$4="Sí",(1/DATOS_[[% anualiz]:[% anualiz]]),1)*IF(DATOS!AV$5="Sí",1/DATOS_[[% normaliz]:[% normaliz]],1)*(DATOS_[Conc.Sal.18])))))))), 0)</f>
        <v>0</v>
      </c>
      <c r="AB88" s="302" t="n">
        <f aca="false" t="array" ref="AB88:AB88">IFERROR( (AVERAGE((IF(DATOS_[[Sexo]:[Sexo]]=$B88,IF(DATOS_[[AGRUP. VALOR. PTO.]:[AGRUP. VALOR. PTO.]]=$B87,IF(DATOS_[[Check Periodo Ref.]:[Check Periodo Ref.]]="Dentro",IF(DATOS_[[Check Equiparado]:[Check Equiparado]]="Sí",IF(DATOS!AW$4="Sí",(1/DATOS_[[% anualiz]:[% anualiz]]),1)*IF(DATOS!AW$5="Sí",1/DATOS_[[% normaliz]:[% normaliz]],1)*(DATOS_[Conc.Sal.19])))))))), 0)</f>
        <v>0</v>
      </c>
      <c r="AC88" s="302" t="n">
        <f aca="false" t="array" ref="AC88:AC88">IFERROR( (AVERAGE((IF(DATOS_[[Sexo]:[Sexo]]=$B88,IF(DATOS_[[AGRUP. VALOR. PTO.]:[AGRUP. VALOR. PTO.]]=$B87,IF(DATOS_[[Check Periodo Ref.]:[Check Periodo Ref.]]="Dentro",IF(DATOS_[[Check Equiparado]:[Check Equiparado]]="Sí",IF(DATOS!AX$4="Sí",(1/DATOS_[[% anualiz]:[% anualiz]]),1)*IF(DATOS!AX$5="Sí",1/DATOS_[[% normaliz]:[% normaliz]],1)*(DATOS_[Conc.Sal.20])))))))), 0)</f>
        <v>0</v>
      </c>
      <c r="AD88" s="302" t="n">
        <f aca="false" t="array" ref="AD88:AD88">IFERROR( (AVERAGE((IF(DATOS_[[Sexo]:[Sexo]]=$B88,IF(DATOS_[[AGRUP. VALOR. PTO.]:[AGRUP. VALOR. PTO.]]=$B87,IF(DATOS_[[Check Periodo Ref.]:[Check Periodo Ref.]]="Dentro",IF(DATOS_[[Check Equiparado]:[Check Equiparado]]="Sí",IF(DATOS!AY$4="Sí",(1/DATOS_[[% anualiz]:[% anualiz]]),1)*IF(DATOS!AY$5="Sí",1/DATOS_[[% normaliz]:[% normaliz]],1)*(DATOS_[Conc.Sal.21])))))))), 0)</f>
        <v>0</v>
      </c>
      <c r="AE88" s="302" t="n">
        <f aca="false" t="array" ref="AE88:AE88">IFERROR( (AVERAGE((IF(DATOS_[[Sexo]:[Sexo]]=$B88,IF(DATOS_[[AGRUP. VALOR. PTO.]:[AGRUP. VALOR. PTO.]]=$B87,IF(DATOS_[[Check Periodo Ref.]:[Check Periodo Ref.]]="Dentro",IF(DATOS_[[Check Equiparado]:[Check Equiparado]]="Sí",IF(DATOS!AZ$4="Sí",(1/DATOS_[[% anualiz]:[% anualiz]]),1)*IF(DATOS!AZ$5="Sí",1/DATOS_[[% normaliz]:[% normaliz]],1)*(DATOS_[Conc.Sal.22])))))))), 0)</f>
        <v>0</v>
      </c>
      <c r="AF88" s="302" t="n">
        <f aca="false" t="array" ref="AF88:AF88">IFERROR( (AVERAGE((IF(DATOS_[[Sexo]:[Sexo]]=$B88,IF(DATOS_[[AGRUP. VALOR. PTO.]:[AGRUP. VALOR. PTO.]]=$B87,IF(DATOS_[[Check Periodo Ref.]:[Check Periodo Ref.]]="Dentro",IF(DATOS_[[Check Equiparado]:[Check Equiparado]]="Sí",IF(DATOS!BA$4="Sí",(1/DATOS_[[% anualiz]:[% anualiz]]),1)*IF(DATOS!BA$5="Sí",1/DATOS_[[% normaliz]:[% normaliz]],1)*(DATOS_[Conc.Sal.23])))))))), 0)</f>
        <v>0</v>
      </c>
      <c r="AG88" s="302" t="n">
        <f aca="false" t="array" ref="AG88:AG88">IFERROR( (AVERAGE((IF(DATOS_[[Sexo]:[Sexo]]=$B88,IF(DATOS_[[AGRUP. VALOR. PTO.]:[AGRUP. VALOR. PTO.]]=$B87,IF(DATOS_[[Check Periodo Ref.]:[Check Periodo Ref.]]="Dentro",IF(DATOS_[[Check Equiparado]:[Check Equiparado]]="Sí",IF(DATOS!BB$4="Sí",(1/DATOS_[[% anualiz]:[% anualiz]]),1)*IF(DATOS!BB$5="Sí",1/DATOS_[[% normaliz]:[% normaliz]],1)*(DATOS_[Conc.Sal.24])))))))), 0)</f>
        <v>0</v>
      </c>
      <c r="AH88" s="302" t="n">
        <f aca="false" t="array" ref="AH88:AH88">IFERROR( (AVERAGE((IF(DATOS_[[Sexo]:[Sexo]]=$B88,IF(DATOS_[[AGRUP. VALOR. PTO.]:[AGRUP. VALOR. PTO.]]=$B87,IF(DATOS_[[Check Periodo Ref.]:[Check Periodo Ref.]]="Dentro",IF(DATOS_[[Check Equiparado]:[Check Equiparado]]="Sí",IF(DATOS!BC$4="Sí",(1/DATOS_[[% anualiz]:[% anualiz]]),1)*IF(DATOS!BC$5="Sí",1/DATOS_[[% normaliz]:[% normaliz]],1)*(DATOS_[Conc.Sal.25])))))))), 0)</f>
        <v>0</v>
      </c>
      <c r="AI88" s="302" t="n">
        <f aca="false" t="array" ref="AI88:AI88">IFERROR( (AVERAGE((IF(DATOS_[[Sexo]:[Sexo]]=$B88,IF(DATOS_[[AGRUP. VALOR. PTO.]:[AGRUP. VALOR. PTO.]]=$B87,IF(DATOS_[[Check Periodo Ref.]:[Check Periodo Ref.]]="Dentro",IF(DATOS_[[Check Equiparado]:[Check Equiparado]]="Sí",IF(DATOS!BD$4="Sí",(1/DATOS_[[% anualiz]:[% anualiz]]),1)*IF(DATOS!BD$5="Sí",1/DATOS_[[% normaliz]:[% normaliz]],1)*(DATOS_[Conc.Sal.26])))))))), 0)</f>
        <v>0</v>
      </c>
      <c r="AJ88" s="302" t="n">
        <f aca="false" t="array" ref="AJ88:AJ88">IFERROR( (AVERAGE((IF(DATOS_[[Sexo]:[Sexo]]=$B88,IF(DATOS_[[AGRUP. VALOR. PTO.]:[AGRUP. VALOR. PTO.]]=$B87,IF(DATOS_[[Check Periodo Ref.]:[Check Periodo Ref.]]="Dentro",IF(DATOS_[[Check Equiparado]:[Check Equiparado]]="Sí",IF(DATOS!BE$4="Sí",(1/DATOS_[[% anualiz]:[% anualiz]]),1)*IF(DATOS!BE$5="Sí",1/DATOS_[[% normaliz]:[% normaliz]],1)*(DATOS_[Conc.Sal.27])))))))), 0)</f>
        <v>0</v>
      </c>
      <c r="AK88" s="302" t="n">
        <f aca="false" t="array" ref="AK88:AK88">IFERROR( (AVERAGE((IF(DATOS_[[Sexo]:[Sexo]]=$B88,IF(DATOS_[[AGRUP. VALOR. PTO.]:[AGRUP. VALOR. PTO.]]=$B87,IF(DATOS_[[Check Periodo Ref.]:[Check Periodo Ref.]]="Dentro",IF(DATOS_[[Check Equiparado]:[Check Equiparado]]="Sí",IF(DATOS!BF$4="Sí",(1/DATOS_[[% anualiz]:[% anualiz]]),1)*IF(DATOS!BF$5="Sí",1/DATOS_[[% normaliz]:[% normaliz]],1)*(DATOS_[Conc.Sal.28])))))))), 0)</f>
        <v>0</v>
      </c>
      <c r="AL88" s="302" t="n">
        <f aca="false" t="array" ref="AL88:AL88">IFERROR( (AVERAGE((IF(DATOS_[[Sexo]:[Sexo]]=$B88,IF(DATOS_[[AGRUP. VALOR. PTO.]:[AGRUP. VALOR. PTO.]]=$B87,IF(DATOS_[[Check Periodo Ref.]:[Check Periodo Ref.]]="Dentro",IF(DATOS_[[Check Equiparado]:[Check Equiparado]]="Sí",IF(DATOS!BG$4="Sí",(1/DATOS_[[% anualiz]:[% anualiz]]),1)*IF(DATOS!BG$5="Sí",1/DATOS_[[% normaliz]:[% normaliz]],1)*(DATOS_[Conc.Sal.29])))))))), 0)</f>
        <v>0</v>
      </c>
      <c r="AM88" s="302" t="n">
        <f aca="false" t="array" ref="AM88:AM88">IFERROR( (AVERAGE((IF(DATOS_[[Sexo]:[Sexo]]=$B88,IF(DATOS_[[AGRUP. VALOR. PTO.]:[AGRUP. VALOR. PTO.]]=$B87,IF(DATOS_[[Check Periodo Ref.]:[Check Periodo Ref.]]="Dentro",IF(DATOS_[[Check Equiparado]:[Check Equiparado]]="Sí",IF(DATOS!BH$4="Sí",(1/DATOS_[[% anualiz]:[% anualiz]]),1)*IF(DATOS!BH$5="Sí",1/DATOS_[[% normaliz]:[% normaliz]],1)*(DATOS_[Conc.Sal.30])))))))), 0)</f>
        <v>0</v>
      </c>
      <c r="AN88" s="294" t="n">
        <f aca="false" t="array" ref="AN88:AN88">IFERROR( AVERAGE(IF(DATOS_[Sexo]=$B88,IF(DATOS_[[AGRUP. VALOR. PTO.]:[AGRUP. VALOR. PTO.]]=$B87,IF(DATOS_[Check Equiparado]="Sí",IF(DATOS_[Check Periodo Ref.]="Dentro",DATOS_[Tot COMPL.SAL Eq],0))))), 0)</f>
        <v>0</v>
      </c>
      <c r="AO88" s="295" t="n">
        <f aca="false" t="array" ref="AO88:AO88">IFERROR( AVERAGE(IF(DATOS_[Sexo]=$B88,IF(DATOS_[[AGRUP. VALOR. PTO.]:[AGRUP. VALOR. PTO.]]=$B87,IF(DATOS_[Check Equiparado]="Sí",IF(DATOS_[Check Periodo Ref.]="Dentro",DATOS_[TOTAL SALARIO Eq],0))))), 0)</f>
        <v>0</v>
      </c>
      <c r="AP88" s="303" t="n">
        <f aca="false" t="array" ref="AP88:AP88">IFERROR( (AVERAGE((IF(DATOS_[[Sexo]:[Sexo]]=$B88,IF(DATOS_[[AGRUP. VALOR. PTO.]:[AGRUP. VALOR. PTO.]]=$B87,IF(DATOS_[[Check Periodo Ref.]:[Check Periodo Ref.]]="Dentro",IF(DATOS_[[Check Equiparado]:[Check Equiparado]]="Sí",IF(DATOS!BI$4="Sí",(1/DATOS_[[% anualiz]:[% anualiz]]),1)*IF(DATOS!BI$5="Sí",1/DATOS_[[% normaliz]:[% normaliz]],1)*(DATOS_[C.Extra.01])))))))), 0)</f>
        <v>0</v>
      </c>
      <c r="AQ88" s="303" t="n">
        <f aca="false" t="array" ref="AQ88:AQ88">IFERROR( (AVERAGE((IF(DATOS_[[Sexo]:[Sexo]]=$B88,IF(DATOS_[[AGRUP. VALOR. PTO.]:[AGRUP. VALOR. PTO.]]=$B87,IF(DATOS_[[Check Periodo Ref.]:[Check Periodo Ref.]]="Dentro",IF(DATOS_[[Check Equiparado]:[Check Equiparado]]="Sí",IF(DATOS!BJ$4="Sí",(1/DATOS_[[% anualiz]:[% anualiz]]),1)*IF(DATOS!BJ$5="Sí",1/DATOS_[[% normaliz]:[% normaliz]],1)*(DATOS_[C.Extra.02])))))))), 0)</f>
        <v>0</v>
      </c>
      <c r="AR88" s="303" t="n">
        <f aca="false" t="array" ref="AR88:AR88">IFERROR( (AVERAGE((IF(DATOS_[[Sexo]:[Sexo]]=$B88,IF(DATOS_[[AGRUP. VALOR. PTO.]:[AGRUP. VALOR. PTO.]]=$B87,IF(DATOS_[[Check Periodo Ref.]:[Check Periodo Ref.]]="Dentro",IF(DATOS_[[Check Equiparado]:[Check Equiparado]]="Sí",IF(DATOS!BK$4="Sí",(1/DATOS_[[% anualiz]:[% anualiz]]),1)*IF(DATOS!BK$5="Sí",1/DATOS_[[% normaliz]:[% normaliz]],1)*(DATOS_[C.Extra.03])))))))), 0)</f>
        <v>0</v>
      </c>
      <c r="AS88" s="303" t="n">
        <f aca="false" t="array" ref="AS88:AS88">IFERROR( (AVERAGE((IF(DATOS_[[Sexo]:[Sexo]]=$B88,IF(DATOS_[[AGRUP. VALOR. PTO.]:[AGRUP. VALOR. PTO.]]=$B87,IF(DATOS_[[Check Periodo Ref.]:[Check Periodo Ref.]]="Dentro",IF(DATOS_[[Check Equiparado]:[Check Equiparado]]="Sí",IF(DATOS!BL$4="Sí",(1/DATOS_[[% anualiz]:[% anualiz]]),1)*IF(DATOS!BL$5="Sí",1/DATOS_[[% normaliz]:[% normaliz]],1)*(DATOS_[C.Extra.04])))))))), 0)</f>
        <v>0</v>
      </c>
      <c r="AT88" s="303" t="n">
        <f aca="false" t="array" ref="AT88:AT88">IFERROR( (AVERAGE((IF(DATOS_[[Sexo]:[Sexo]]=$B88,IF(DATOS_[[AGRUP. VALOR. PTO.]:[AGRUP. VALOR. PTO.]]=$B87,IF(DATOS_[[Check Periodo Ref.]:[Check Periodo Ref.]]="Dentro",IF(DATOS_[[Check Equiparado]:[Check Equiparado]]="Sí",IF(DATOS!BM$4="Sí",(1/DATOS_[[% anualiz]:[% anualiz]]),1)*IF(DATOS!BM$5="Sí",1/DATOS_[[% normaliz]:[% normaliz]],1)*(DATOS_[C.Extra.05])))))))), 0)</f>
        <v>0</v>
      </c>
      <c r="AU88" s="297" t="n">
        <f aca="false" t="array" ref="AU88:AU88">IFERROR( AVERAGE(IF(DATOS_[Sexo]=$B88,IF(DATOS_[[AGRUP. VALOR. PTO.]:[AGRUP. VALOR. PTO.]]=$B87,IF(DATOS_[Check Equiparado]="Sí",IF(DATOS_[Check Periodo Ref.]="Dentro",DATOS_[Tot Extrasalarial Eq],0))))), 0)</f>
        <v>0</v>
      </c>
      <c r="AV88" s="298" t="n">
        <f aca="false" t="array" ref="AV88:AV88">IFERROR( AVERAGE(IF(DATOS_[Sexo]=$B88,IF(DATOS_[[AGRUP. VALOR. PTO.]:[AGRUP. VALOR. PTO.]]=$B87,IF(DATOS_[Check Equiparado]="Sí",IF(DATOS_[Check Periodo Ref.]="Dentro",DATOS_[TOTAL Retrib Eq],0))))), 0)</f>
        <v>0</v>
      </c>
    </row>
    <row r="89" customFormat="false" ht="14.25" hidden="false" customHeight="false" outlineLevel="0" collapsed="false">
      <c r="A89" s="166" t="str">
        <f aca="false">+A88</f>
        <v>[ocultar]</v>
      </c>
      <c r="B89" s="289" t="s">
        <v>372</v>
      </c>
      <c r="C89" s="290" t="n">
        <f aca="false" t="array" ref="C89:C89">SUM(IF($B89=DATOS_[Sexo], IF($B87=DATOS_[AGRUP. VALOR. PTO.], IF("Dentro"=DATOS_[Check Periodo Ref.], 1/(COUNTIFS(DATOS_[Sexo],$B89,DATOS_[AGRUP. VALOR. PTO.],$B87,DATOS_[Check Periodo Ref.],"Dentro",DATOS_[id],DATOS_[id]))))))</f>
        <v>0</v>
      </c>
      <c r="D89" s="291" t="n">
        <f aca="false">COUNTIFS(DATOS_[AGRUP. VALOR. PTO.],$B87,DATOS_[Sexo],$B89,DATOS_[Check Periodo Ref.],"Dentro")</f>
        <v>0</v>
      </c>
      <c r="E89" s="291" t="n">
        <f aca="false">COUNTIFS(DATOS_[AGRUP. VALOR. PTO.],$B87,DATOS_[Sexo],$B89,DATOS_[Check Periodo Ref.],"Dentro",DATOS_[Check Nº SC Norm],"Sí")</f>
        <v>0</v>
      </c>
      <c r="F89" s="291" t="n">
        <f aca="false">COUNTIFS(DATOS_[AGRUP. VALOR. PTO.],$B87,DATOS_[Sexo],$B89,DATOS_[Check Periodo Ref.],"Dentro",DATOS_[Check Nº SC Anualiz],"Sí")</f>
        <v>0</v>
      </c>
      <c r="G89" s="291" t="n">
        <f aca="false">COUNTIFS(DATOS_[AGRUP. VALOR. PTO.],$B87,DATOS_[Sexo],$B89,DATOS_[Check Periodo Ref.],"Dentro",DATOS_[Check Nº SC Norm y Anualiz],"Sí")</f>
        <v>0</v>
      </c>
      <c r="H89" s="291" t="n">
        <f aca="false">COUNTIFS(DATOS_[AGRUP. VALOR. PTO.],$B87,DATOS_[Sexo],$B89,DATOS_[Check Periodo Ref.],"Dentro",DATOS_[Check Equiparación],"Sí")</f>
        <v>0</v>
      </c>
      <c r="I89" s="292" t="n">
        <f aca="false" t="array" ref="I89:I89">IFERROR( AVERAGE(IF(DATOS_[Sexo]=$B89,IF(DATOS_[[AGRUP. VALOR. PTO.]:[AGRUP. VALOR. PTO.]]=$B87,IF(DATOS_[Check Equiparado]="Sí",IF(DATOS_[Check Periodo Ref.]="Dentro",DATOS_[SALARIO BASE Eq],0))))), 0)</f>
        <v>0</v>
      </c>
      <c r="J89" s="302" t="n">
        <f aca="false" t="array" ref="J89:J89">IFERROR( (AVERAGE((IF(DATOS_[[Sexo]:[Sexo]]=$B89,IF(DATOS_[[AGRUP. VALOR. PTO.]:[AGRUP. VALOR. PTO.]]=$B87,IF(DATOS_[[Check Periodo Ref.]:[Check Periodo Ref.]]="Dentro",IF(DATOS_[[Check Equiparado]:[Check Equiparado]]="Sí",IF(DATOS!AE$4="Sí",(1/DATOS_[[% anualiz]:[% anualiz]]),1)*IF(DATOS!AE$5="Sí",1/DATOS_[[% normaliz]:[% normaliz]],1)*(DATOS_[Conc.Sal.01])))))))), 0)</f>
        <v>0</v>
      </c>
      <c r="K89" s="302" t="n">
        <f aca="false" t="array" ref="K89:K89">IFERROR( (AVERAGE((IF(DATOS_[[Sexo]:[Sexo]]=$B89,IF(DATOS_[[AGRUP. VALOR. PTO.]:[AGRUP. VALOR. PTO.]]=$B87,IF(DATOS_[[Check Periodo Ref.]:[Check Periodo Ref.]]="Dentro",IF(DATOS_[[Check Equiparado]:[Check Equiparado]]="Sí",IF(DATOS!AF$4="Sí",(1/DATOS_[[% anualiz]:[% anualiz]]),1)*IF(DATOS!AF$5="Sí",1/DATOS_[[% normaliz]:[% normaliz]],1)*(DATOS_[Conc.Sal.02])))))))), 0)</f>
        <v>0</v>
      </c>
      <c r="L89" s="302" t="n">
        <f aca="false" t="array" ref="L89:L89">IFERROR( (AVERAGE((IF(DATOS_[[Sexo]:[Sexo]]=$B89,IF(DATOS_[[AGRUP. VALOR. PTO.]:[AGRUP. VALOR. PTO.]]=$B87,IF(DATOS_[[Check Periodo Ref.]:[Check Periodo Ref.]]="Dentro",IF(DATOS_[[Check Equiparado]:[Check Equiparado]]="Sí",IF(DATOS!AG$4="Sí",(1/DATOS_[[% anualiz]:[% anualiz]]),1)*IF(DATOS!AG$5="Sí",1/DATOS_[[% normaliz]:[% normaliz]],1)*(DATOS_[Conc.Sal.03])))))))), 0)</f>
        <v>0</v>
      </c>
      <c r="M89" s="302" t="n">
        <f aca="false" t="array" ref="M89:M89">IFERROR( (AVERAGE((IF(DATOS_[[Sexo]:[Sexo]]=$B89,IF(DATOS_[[AGRUP. VALOR. PTO.]:[AGRUP. VALOR. PTO.]]=$B87,IF(DATOS_[[Check Periodo Ref.]:[Check Periodo Ref.]]="Dentro",IF(DATOS_[[Check Equiparado]:[Check Equiparado]]="Sí",IF(DATOS!AH$4="Sí",(1/DATOS_[[% anualiz]:[% anualiz]]),1)*IF(DATOS!AH$5="Sí",1/DATOS_[[% normaliz]:[% normaliz]],1)*(DATOS_[Conc.Sal.04])))))))), 0)</f>
        <v>0</v>
      </c>
      <c r="N89" s="302" t="n">
        <f aca="false" t="array" ref="N89:N89">IFERROR( (AVERAGE((IF(DATOS_[[Sexo]:[Sexo]]=$B89,IF(DATOS_[[AGRUP. VALOR. PTO.]:[AGRUP. VALOR. PTO.]]=$B87,IF(DATOS_[[Check Periodo Ref.]:[Check Periodo Ref.]]="Dentro",IF(DATOS_[[Check Equiparado]:[Check Equiparado]]="Sí",IF(DATOS!AI$4="Sí",(1/DATOS_[[% anualiz]:[% anualiz]]),1)*IF(DATOS!AI$5="Sí",1/DATOS_[[% normaliz]:[% normaliz]],1)*(DATOS_[Conc.Sal.05])))))))), 0)</f>
        <v>0</v>
      </c>
      <c r="O89" s="302" t="n">
        <f aca="false" t="array" ref="O89:O89">IFERROR( (AVERAGE((IF(DATOS_[[Sexo]:[Sexo]]=$B89,IF(DATOS_[[AGRUP. VALOR. PTO.]:[AGRUP. VALOR. PTO.]]=$B87,IF(DATOS_[[Check Periodo Ref.]:[Check Periodo Ref.]]="Dentro",IF(DATOS_[[Check Equiparado]:[Check Equiparado]]="Sí",IF(DATOS!AJ$4="Sí",(1/DATOS_[[% anualiz]:[% anualiz]]),1)*IF(DATOS!AJ$5="Sí",1/DATOS_[[% normaliz]:[% normaliz]],1)*(DATOS_[Conc.Sal.06])))))))), 0)</f>
        <v>0</v>
      </c>
      <c r="P89" s="302" t="n">
        <f aca="false" t="array" ref="P89:P89">IFERROR( (AVERAGE((IF(DATOS_[[Sexo]:[Sexo]]=$B89,IF(DATOS_[[AGRUP. VALOR. PTO.]:[AGRUP. VALOR. PTO.]]=$B87,IF(DATOS_[[Check Periodo Ref.]:[Check Periodo Ref.]]="Dentro",IF(DATOS_[[Check Equiparado]:[Check Equiparado]]="Sí",IF(DATOS!AK$4="Sí",(1/DATOS_[[% anualiz]:[% anualiz]]),1)*IF(DATOS!AK$5="Sí",1/DATOS_[[% normaliz]:[% normaliz]],1)*(DATOS_[Conc.Sal.07])))))))), 0)</f>
        <v>0</v>
      </c>
      <c r="Q89" s="302" t="n">
        <f aca="false" t="array" ref="Q89:Q89">IFERROR( (AVERAGE((IF(DATOS_[[Sexo]:[Sexo]]=$B89,IF(DATOS_[[AGRUP. VALOR. PTO.]:[AGRUP. VALOR. PTO.]]=$B87,IF(DATOS_[[Check Periodo Ref.]:[Check Periodo Ref.]]="Dentro",IF(DATOS_[[Check Equiparado]:[Check Equiparado]]="Sí",IF(DATOS!AL$4="Sí",(1/DATOS_[[% anualiz]:[% anualiz]]),1)*IF(DATOS!AL$5="Sí",1/DATOS_[[% normaliz]:[% normaliz]],1)*(DATOS_[Conc.Sal.08])))))))), 0)</f>
        <v>0</v>
      </c>
      <c r="R89" s="302" t="n">
        <f aca="false" t="array" ref="R89:R89">IFERROR( (AVERAGE((IF(DATOS_[[Sexo]:[Sexo]]=$B89,IF(DATOS_[[AGRUP. VALOR. PTO.]:[AGRUP. VALOR. PTO.]]=$B87,IF(DATOS_[[Check Periodo Ref.]:[Check Periodo Ref.]]="Dentro",IF(DATOS_[[Check Equiparado]:[Check Equiparado]]="Sí",IF(DATOS!AM$4="Sí",(1/DATOS_[[% anualiz]:[% anualiz]]),1)*IF(DATOS!AM$5="Sí",1/DATOS_[[% normaliz]:[% normaliz]],1)*(DATOS_[Conc.Sal.09])))))))), 0)</f>
        <v>0</v>
      </c>
      <c r="S89" s="302" t="n">
        <f aca="false" t="array" ref="S89:S89">IFERROR( (AVERAGE((IF(DATOS_[[Sexo]:[Sexo]]=$B89,IF(DATOS_[[AGRUP. VALOR. PTO.]:[AGRUP. VALOR. PTO.]]=$B87,IF(DATOS_[[Check Periodo Ref.]:[Check Periodo Ref.]]="Dentro",IF(DATOS_[[Check Equiparado]:[Check Equiparado]]="Sí",IF(DATOS!AN$4="Sí",(1/DATOS_[[% anualiz]:[% anualiz]]),1)*IF(DATOS!AN$5="Sí",1/DATOS_[[% normaliz]:[% normaliz]],1)*(DATOS_[Conc.Sal.10])))))))), 0)</f>
        <v>0</v>
      </c>
      <c r="T89" s="302" t="n">
        <f aca="false" t="array" ref="T89:T89">IFERROR( (AVERAGE((IF(DATOS_[[Sexo]:[Sexo]]=$B89,IF(DATOS_[[AGRUP. VALOR. PTO.]:[AGRUP. VALOR. PTO.]]=$B87,IF(DATOS_[[Check Periodo Ref.]:[Check Periodo Ref.]]="Dentro",IF(DATOS_[[Check Equiparado]:[Check Equiparado]]="Sí",IF(DATOS!AO$4="Sí",(1/DATOS_[[% anualiz]:[% anualiz]]),1)*IF(DATOS!AO$5="Sí",1/DATOS_[[% normaliz]:[% normaliz]],1)*(DATOS_[Conc.Sal.11])))))))), 0)</f>
        <v>0</v>
      </c>
      <c r="U89" s="302" t="n">
        <f aca="false" t="array" ref="U89:U89">IFERROR( (AVERAGE((IF(DATOS_[[Sexo]:[Sexo]]=$B89,IF(DATOS_[[AGRUP. VALOR. PTO.]:[AGRUP. VALOR. PTO.]]=$B87,IF(DATOS_[[Check Periodo Ref.]:[Check Periodo Ref.]]="Dentro",IF(DATOS_[[Check Equiparado]:[Check Equiparado]]="Sí",IF(DATOS!AP$4="Sí",(1/DATOS_[[% anualiz]:[% anualiz]]),1)*IF(DATOS!AP$5="Sí",1/DATOS_[[% normaliz]:[% normaliz]],1)*(DATOS_[Conc.Sal.12])))))))), 0)</f>
        <v>0</v>
      </c>
      <c r="V89" s="302" t="n">
        <f aca="false" t="array" ref="V89:V89">IFERROR( (AVERAGE((IF(DATOS_[[Sexo]:[Sexo]]=$B89,IF(DATOS_[[AGRUP. VALOR. PTO.]:[AGRUP. VALOR. PTO.]]=$B87,IF(DATOS_[[Check Periodo Ref.]:[Check Periodo Ref.]]="Dentro",IF(DATOS_[[Check Equiparado]:[Check Equiparado]]="Sí",IF(DATOS!AQ$4="Sí",(1/DATOS_[[% anualiz]:[% anualiz]]),1)*IF(DATOS!AQ$5="Sí",1/DATOS_[[% normaliz]:[% normaliz]],1)*(DATOS_[Conc.Sal.13])))))))), 0)</f>
        <v>0</v>
      </c>
      <c r="W89" s="302" t="n">
        <f aca="false" t="array" ref="W89:W89">IFERROR( (AVERAGE((IF(DATOS_[[Sexo]:[Sexo]]=$B89,IF(DATOS_[[AGRUP. VALOR. PTO.]:[AGRUP. VALOR. PTO.]]=$B87,IF(DATOS_[[Check Periodo Ref.]:[Check Periodo Ref.]]="Dentro",IF(DATOS_[[Check Equiparado]:[Check Equiparado]]="Sí",IF(DATOS!AR$4="Sí",(1/DATOS_[[% anualiz]:[% anualiz]]),1)*IF(DATOS!AR$5="Sí",1/DATOS_[[% normaliz]:[% normaliz]],1)*(DATOS_[Conc.Sal.14])))))))), 0)</f>
        <v>0</v>
      </c>
      <c r="X89" s="302" t="n">
        <f aca="false" t="array" ref="X89:X89">IFERROR( (AVERAGE((IF(DATOS_[[Sexo]:[Sexo]]=$B89,IF(DATOS_[[AGRUP. VALOR. PTO.]:[AGRUP. VALOR. PTO.]]=$B87,IF(DATOS_[[Check Periodo Ref.]:[Check Periodo Ref.]]="Dentro",IF(DATOS_[[Check Equiparado]:[Check Equiparado]]="Sí",IF(DATOS!AS$4="Sí",(1/DATOS_[[% anualiz]:[% anualiz]]),1)*IF(DATOS!AS$5="Sí",1/DATOS_[[% normaliz]:[% normaliz]],1)*(DATOS_[Conc.Sal.15])))))))), 0)</f>
        <v>0</v>
      </c>
      <c r="Y89" s="302" t="n">
        <f aca="false" t="array" ref="Y89:Y89">IFERROR( (AVERAGE((IF(DATOS_[[Sexo]:[Sexo]]=$B89,IF(DATOS_[[AGRUP. VALOR. PTO.]:[AGRUP. VALOR. PTO.]]=$B87,IF(DATOS_[[Check Periodo Ref.]:[Check Periodo Ref.]]="Dentro",IF(DATOS_[[Check Equiparado]:[Check Equiparado]]="Sí",IF(DATOS!AT$4="Sí",(1/DATOS_[[% anualiz]:[% anualiz]]),1)*IF(DATOS!AT$5="Sí",1/DATOS_[[% normaliz]:[% normaliz]],1)*(DATOS_[Conc.Sal.16])))))))), 0)</f>
        <v>0</v>
      </c>
      <c r="Z89" s="302" t="n">
        <f aca="false" t="array" ref="Z89:Z89">IFERROR( (AVERAGE((IF(DATOS_[[Sexo]:[Sexo]]=$B89,IF(DATOS_[[AGRUP. VALOR. PTO.]:[AGRUP. VALOR. PTO.]]=$B87,IF(DATOS_[[Check Periodo Ref.]:[Check Periodo Ref.]]="Dentro",IF(DATOS_[[Check Equiparado]:[Check Equiparado]]="Sí",IF(DATOS!AU$4="Sí",(1/DATOS_[[% anualiz]:[% anualiz]]),1)*IF(DATOS!AU$5="Sí",1/DATOS_[[% normaliz]:[% normaliz]],1)*(DATOS_[Conc.Sal.17])))))))), 0)</f>
        <v>0</v>
      </c>
      <c r="AA89" s="302" t="n">
        <f aca="false" t="array" ref="AA89:AA89">IFERROR( (AVERAGE((IF(DATOS_[[Sexo]:[Sexo]]=$B89,IF(DATOS_[[AGRUP. VALOR. PTO.]:[AGRUP. VALOR. PTO.]]=$B87,IF(DATOS_[[Check Periodo Ref.]:[Check Periodo Ref.]]="Dentro",IF(DATOS_[[Check Equiparado]:[Check Equiparado]]="Sí",IF(DATOS!AV$4="Sí",(1/DATOS_[[% anualiz]:[% anualiz]]),1)*IF(DATOS!AV$5="Sí",1/DATOS_[[% normaliz]:[% normaliz]],1)*(DATOS_[Conc.Sal.18])))))))), 0)</f>
        <v>0</v>
      </c>
      <c r="AB89" s="302" t="n">
        <f aca="false" t="array" ref="AB89:AB89">IFERROR( (AVERAGE((IF(DATOS_[[Sexo]:[Sexo]]=$B89,IF(DATOS_[[AGRUP. VALOR. PTO.]:[AGRUP. VALOR. PTO.]]=$B87,IF(DATOS_[[Check Periodo Ref.]:[Check Periodo Ref.]]="Dentro",IF(DATOS_[[Check Equiparado]:[Check Equiparado]]="Sí",IF(DATOS!AW$4="Sí",(1/DATOS_[[% anualiz]:[% anualiz]]),1)*IF(DATOS!AW$5="Sí",1/DATOS_[[% normaliz]:[% normaliz]],1)*(DATOS_[Conc.Sal.19])))))))), 0)</f>
        <v>0</v>
      </c>
      <c r="AC89" s="302" t="n">
        <f aca="false" t="array" ref="AC89:AC89">IFERROR( (AVERAGE((IF(DATOS_[[Sexo]:[Sexo]]=$B89,IF(DATOS_[[AGRUP. VALOR. PTO.]:[AGRUP. VALOR. PTO.]]=$B87,IF(DATOS_[[Check Periodo Ref.]:[Check Periodo Ref.]]="Dentro",IF(DATOS_[[Check Equiparado]:[Check Equiparado]]="Sí",IF(DATOS!AX$4="Sí",(1/DATOS_[[% anualiz]:[% anualiz]]),1)*IF(DATOS!AX$5="Sí",1/DATOS_[[% normaliz]:[% normaliz]],1)*(DATOS_[Conc.Sal.20])))))))), 0)</f>
        <v>0</v>
      </c>
      <c r="AD89" s="302" t="n">
        <f aca="false" t="array" ref="AD89:AD89">IFERROR( (AVERAGE((IF(DATOS_[[Sexo]:[Sexo]]=$B89,IF(DATOS_[[AGRUP. VALOR. PTO.]:[AGRUP. VALOR. PTO.]]=$B87,IF(DATOS_[[Check Periodo Ref.]:[Check Periodo Ref.]]="Dentro",IF(DATOS_[[Check Equiparado]:[Check Equiparado]]="Sí",IF(DATOS!AY$4="Sí",(1/DATOS_[[% anualiz]:[% anualiz]]),1)*IF(DATOS!AY$5="Sí",1/DATOS_[[% normaliz]:[% normaliz]],1)*(DATOS_[Conc.Sal.21])))))))), 0)</f>
        <v>0</v>
      </c>
      <c r="AE89" s="302" t="n">
        <f aca="false" t="array" ref="AE89:AE89">IFERROR( (AVERAGE((IF(DATOS_[[Sexo]:[Sexo]]=$B89,IF(DATOS_[[AGRUP. VALOR. PTO.]:[AGRUP. VALOR. PTO.]]=$B87,IF(DATOS_[[Check Periodo Ref.]:[Check Periodo Ref.]]="Dentro",IF(DATOS_[[Check Equiparado]:[Check Equiparado]]="Sí",IF(DATOS!AZ$4="Sí",(1/DATOS_[[% anualiz]:[% anualiz]]),1)*IF(DATOS!AZ$5="Sí",1/DATOS_[[% normaliz]:[% normaliz]],1)*(DATOS_[Conc.Sal.22])))))))), 0)</f>
        <v>0</v>
      </c>
      <c r="AF89" s="302" t="n">
        <f aca="false" t="array" ref="AF89:AF89">IFERROR( (AVERAGE((IF(DATOS_[[Sexo]:[Sexo]]=$B89,IF(DATOS_[[AGRUP. VALOR. PTO.]:[AGRUP. VALOR. PTO.]]=$B87,IF(DATOS_[[Check Periodo Ref.]:[Check Periodo Ref.]]="Dentro",IF(DATOS_[[Check Equiparado]:[Check Equiparado]]="Sí",IF(DATOS!BA$4="Sí",(1/DATOS_[[% anualiz]:[% anualiz]]),1)*IF(DATOS!BA$5="Sí",1/DATOS_[[% normaliz]:[% normaliz]],1)*(DATOS_[Conc.Sal.23])))))))), 0)</f>
        <v>0</v>
      </c>
      <c r="AG89" s="302" t="n">
        <f aca="false" t="array" ref="AG89:AG89">IFERROR( (AVERAGE((IF(DATOS_[[Sexo]:[Sexo]]=$B89,IF(DATOS_[[AGRUP. VALOR. PTO.]:[AGRUP. VALOR. PTO.]]=$B87,IF(DATOS_[[Check Periodo Ref.]:[Check Periodo Ref.]]="Dentro",IF(DATOS_[[Check Equiparado]:[Check Equiparado]]="Sí",IF(DATOS!BB$4="Sí",(1/DATOS_[[% anualiz]:[% anualiz]]),1)*IF(DATOS!BB$5="Sí",1/DATOS_[[% normaliz]:[% normaliz]],1)*(DATOS_[Conc.Sal.24])))))))), 0)</f>
        <v>0</v>
      </c>
      <c r="AH89" s="302" t="n">
        <f aca="false" t="array" ref="AH89:AH89">IFERROR( (AVERAGE((IF(DATOS_[[Sexo]:[Sexo]]=$B89,IF(DATOS_[[AGRUP. VALOR. PTO.]:[AGRUP. VALOR. PTO.]]=$B87,IF(DATOS_[[Check Periodo Ref.]:[Check Periodo Ref.]]="Dentro",IF(DATOS_[[Check Equiparado]:[Check Equiparado]]="Sí",IF(DATOS!BC$4="Sí",(1/DATOS_[[% anualiz]:[% anualiz]]),1)*IF(DATOS!BC$5="Sí",1/DATOS_[[% normaliz]:[% normaliz]],1)*(DATOS_[Conc.Sal.25])))))))), 0)</f>
        <v>0</v>
      </c>
      <c r="AI89" s="302" t="n">
        <f aca="false" t="array" ref="AI89:AI89">IFERROR( (AVERAGE((IF(DATOS_[[Sexo]:[Sexo]]=$B89,IF(DATOS_[[AGRUP. VALOR. PTO.]:[AGRUP. VALOR. PTO.]]=$B87,IF(DATOS_[[Check Periodo Ref.]:[Check Periodo Ref.]]="Dentro",IF(DATOS_[[Check Equiparado]:[Check Equiparado]]="Sí",IF(DATOS!BD$4="Sí",(1/DATOS_[[% anualiz]:[% anualiz]]),1)*IF(DATOS!BD$5="Sí",1/DATOS_[[% normaliz]:[% normaliz]],1)*(DATOS_[Conc.Sal.26])))))))), 0)</f>
        <v>0</v>
      </c>
      <c r="AJ89" s="302" t="n">
        <f aca="false" t="array" ref="AJ89:AJ89">IFERROR( (AVERAGE((IF(DATOS_[[Sexo]:[Sexo]]=$B89,IF(DATOS_[[AGRUP. VALOR. PTO.]:[AGRUP. VALOR. PTO.]]=$B87,IF(DATOS_[[Check Periodo Ref.]:[Check Periodo Ref.]]="Dentro",IF(DATOS_[[Check Equiparado]:[Check Equiparado]]="Sí",IF(DATOS!BE$4="Sí",(1/DATOS_[[% anualiz]:[% anualiz]]),1)*IF(DATOS!BE$5="Sí",1/DATOS_[[% normaliz]:[% normaliz]],1)*(DATOS_[Conc.Sal.27])))))))), 0)</f>
        <v>0</v>
      </c>
      <c r="AK89" s="302" t="n">
        <f aca="false" t="array" ref="AK89:AK89">IFERROR( (AVERAGE((IF(DATOS_[[Sexo]:[Sexo]]=$B89,IF(DATOS_[[AGRUP. VALOR. PTO.]:[AGRUP. VALOR. PTO.]]=$B87,IF(DATOS_[[Check Periodo Ref.]:[Check Periodo Ref.]]="Dentro",IF(DATOS_[[Check Equiparado]:[Check Equiparado]]="Sí",IF(DATOS!BF$4="Sí",(1/DATOS_[[% anualiz]:[% anualiz]]),1)*IF(DATOS!BF$5="Sí",1/DATOS_[[% normaliz]:[% normaliz]],1)*(DATOS_[Conc.Sal.28])))))))), 0)</f>
        <v>0</v>
      </c>
      <c r="AL89" s="302" t="n">
        <f aca="false" t="array" ref="AL89:AL89">IFERROR( (AVERAGE((IF(DATOS_[[Sexo]:[Sexo]]=$B89,IF(DATOS_[[AGRUP. VALOR. PTO.]:[AGRUP. VALOR. PTO.]]=$B87,IF(DATOS_[[Check Periodo Ref.]:[Check Periodo Ref.]]="Dentro",IF(DATOS_[[Check Equiparado]:[Check Equiparado]]="Sí",IF(DATOS!BG$4="Sí",(1/DATOS_[[% anualiz]:[% anualiz]]),1)*IF(DATOS!BG$5="Sí",1/DATOS_[[% normaliz]:[% normaliz]],1)*(DATOS_[Conc.Sal.29])))))))), 0)</f>
        <v>0</v>
      </c>
      <c r="AM89" s="302" t="n">
        <f aca="false" t="array" ref="AM89:AM89">IFERROR( (AVERAGE((IF(DATOS_[[Sexo]:[Sexo]]=$B89,IF(DATOS_[[AGRUP. VALOR. PTO.]:[AGRUP. VALOR. PTO.]]=$B87,IF(DATOS_[[Check Periodo Ref.]:[Check Periodo Ref.]]="Dentro",IF(DATOS_[[Check Equiparado]:[Check Equiparado]]="Sí",IF(DATOS!BH$4="Sí",(1/DATOS_[[% anualiz]:[% anualiz]]),1)*IF(DATOS!BH$5="Sí",1/DATOS_[[% normaliz]:[% normaliz]],1)*(DATOS_[Conc.Sal.30])))))))), 0)</f>
        <v>0</v>
      </c>
      <c r="AN89" s="294" t="n">
        <f aca="false" t="array" ref="AN89:AN89">IFERROR( AVERAGE(IF(DATOS_[Sexo]=$B89,IF(DATOS_[[AGRUP. VALOR. PTO.]:[AGRUP. VALOR. PTO.]]=$B87,IF(DATOS_[Check Equiparado]="Sí",IF(DATOS_[Check Periodo Ref.]="Dentro",DATOS_[Tot COMPL.SAL Eq],0))))), 0)</f>
        <v>0</v>
      </c>
      <c r="AO89" s="295" t="n">
        <f aca="false" t="array" ref="AO89:AO89">IFERROR( AVERAGE(IF(DATOS_[Sexo]=$B89,IF(DATOS_[[AGRUP. VALOR. PTO.]:[AGRUP. VALOR. PTO.]]=$B87,IF(DATOS_[Check Equiparado]="Sí",IF(DATOS_[Check Periodo Ref.]="Dentro",DATOS_[TOTAL SALARIO Eq],0))))), 0)</f>
        <v>0</v>
      </c>
      <c r="AP89" s="303" t="n">
        <f aca="false" t="array" ref="AP89:AP89">IFERROR( (AVERAGE((IF(DATOS_[[Sexo]:[Sexo]]=$B89,IF(DATOS_[[AGRUP. VALOR. PTO.]:[AGRUP. VALOR. PTO.]]=$B88,IF(DATOS_[[Check Periodo Ref.]:[Check Periodo Ref.]]="Dentro",IF(DATOS_[[Check Equiparado]:[Check Equiparado]]="Sí",IF(DATOS!BI$4="Sí",(1/DATOS_[[% anualiz]:[% anualiz]]),1)*IF(DATOS!BI$5="Sí",1/DATOS_[[% normaliz]:[% normaliz]],1)*(DATOS_[C.Extra.01])))))))), 0)</f>
        <v>0</v>
      </c>
      <c r="AQ89" s="303" t="n">
        <f aca="false" t="array" ref="AQ89:AQ89">IFERROR( (AVERAGE((IF(DATOS_[[Sexo]:[Sexo]]=$B89,IF(DATOS_[[AGRUP. VALOR. PTO.]:[AGRUP. VALOR. PTO.]]=$B88,IF(DATOS_[[Check Periodo Ref.]:[Check Periodo Ref.]]="Dentro",IF(DATOS_[[Check Equiparado]:[Check Equiparado]]="Sí",IF(DATOS!BJ$4="Sí",(1/DATOS_[[% anualiz]:[% anualiz]]),1)*IF(DATOS!BJ$5="Sí",1/DATOS_[[% normaliz]:[% normaliz]],1)*(DATOS_[C.Extra.02])))))))), 0)</f>
        <v>0</v>
      </c>
      <c r="AR89" s="303" t="n">
        <f aca="false" t="array" ref="AR89:AR89">IFERROR( (AVERAGE((IF(DATOS_[[Sexo]:[Sexo]]=$B89,IF(DATOS_[[AGRUP. VALOR. PTO.]:[AGRUP. VALOR. PTO.]]=$B88,IF(DATOS_[[Check Periodo Ref.]:[Check Periodo Ref.]]="Dentro",IF(DATOS_[[Check Equiparado]:[Check Equiparado]]="Sí",IF(DATOS!BK$4="Sí",(1/DATOS_[[% anualiz]:[% anualiz]]),1)*IF(DATOS!BK$5="Sí",1/DATOS_[[% normaliz]:[% normaliz]],1)*(DATOS_[C.Extra.03])))))))), 0)</f>
        <v>0</v>
      </c>
      <c r="AS89" s="303" t="n">
        <f aca="false" t="array" ref="AS89:AS89">IFERROR( (AVERAGE((IF(DATOS_[[Sexo]:[Sexo]]=$B89,IF(DATOS_[[AGRUP. VALOR. PTO.]:[AGRUP. VALOR. PTO.]]=$B88,IF(DATOS_[[Check Periodo Ref.]:[Check Periodo Ref.]]="Dentro",IF(DATOS_[[Check Equiparado]:[Check Equiparado]]="Sí",IF(DATOS!BL$4="Sí",(1/DATOS_[[% anualiz]:[% anualiz]]),1)*IF(DATOS!BL$5="Sí",1/DATOS_[[% normaliz]:[% normaliz]],1)*(DATOS_[C.Extra.04])))))))), 0)</f>
        <v>0</v>
      </c>
      <c r="AT89" s="303" t="n">
        <f aca="false" t="array" ref="AT89:AT89">IFERROR( (AVERAGE((IF(DATOS_[[Sexo]:[Sexo]]=$B89,IF(DATOS_[[AGRUP. VALOR. PTO.]:[AGRUP. VALOR. PTO.]]=$B88,IF(DATOS_[[Check Periodo Ref.]:[Check Periodo Ref.]]="Dentro",IF(DATOS_[[Check Equiparado]:[Check Equiparado]]="Sí",IF(DATOS!BM$4="Sí",(1/DATOS_[[% anualiz]:[% anualiz]]),1)*IF(DATOS!BM$5="Sí",1/DATOS_[[% normaliz]:[% normaliz]],1)*(DATOS_[C.Extra.05])))))))), 0)</f>
        <v>0</v>
      </c>
      <c r="AU89" s="297" t="n">
        <f aca="false" t="array" ref="AU89:AU89">IFERROR( AVERAGE(IF(DATOS_[Sexo]=$B89,IF(DATOS_[[AGRUP. VALOR. PTO.]:[AGRUP. VALOR. PTO.]]=$B87,IF(DATOS_[Check Equiparado]="Sí",IF(DATOS_[Check Periodo Ref.]="Dentro",DATOS_[Tot Extrasalarial Eq],0))))), 0)</f>
        <v>0</v>
      </c>
      <c r="AV89" s="298" t="n">
        <f aca="false" t="array" ref="AV89:AV89">IFERROR( AVERAGE(IF(DATOS_[Sexo]=$B89,IF(DATOS_[[AGRUP. VALOR. PTO.]:[AGRUP. VALOR. PTO.]]=$B87,IF(DATOS_[Check Equiparado]="Sí",IF(DATOS_[Check Periodo Ref.]="Dentro",DATOS_[TOTAL Retrib Eq],0))))), 0)</f>
        <v>0</v>
      </c>
    </row>
    <row r="90" customFormat="false" ht="15.75" hidden="false" customHeight="false" outlineLevel="0" collapsed="false">
      <c r="A90" s="166" t="str">
        <f aca="false">+A91</f>
        <v>[ocultar]</v>
      </c>
      <c r="B90" s="276" t="s">
        <v>244</v>
      </c>
      <c r="C90" s="277"/>
      <c r="D90" s="278"/>
      <c r="E90" s="278"/>
      <c r="F90" s="278"/>
      <c r="G90" s="278"/>
      <c r="H90" s="278"/>
      <c r="I90" s="279" t="str">
        <f aca="false">IFERROR((I91-I92)/I91,"")</f>
        <v/>
      </c>
      <c r="J90" s="280" t="str">
        <f aca="false">IFERROR((J91-J92)/J91,"")</f>
        <v/>
      </c>
      <c r="K90" s="281" t="str">
        <f aca="false">IFERROR((K91-K92)/K91,"")</f>
        <v/>
      </c>
      <c r="L90" s="281" t="str">
        <f aca="false">IFERROR((L91-L92)/L91,"")</f>
        <v/>
      </c>
      <c r="M90" s="281" t="str">
        <f aca="false">IFERROR((M91-M92)/M91,"")</f>
        <v/>
      </c>
      <c r="N90" s="282" t="str">
        <f aca="false">IFERROR((N91-N92)/N91,"")</f>
        <v/>
      </c>
      <c r="O90" s="283" t="str">
        <f aca="false">IFERROR((O91-O92)/O91,"")</f>
        <v/>
      </c>
      <c r="P90" s="283" t="str">
        <f aca="false">IFERROR((P91-P92)/P91,"")</f>
        <v/>
      </c>
      <c r="Q90" s="283" t="str">
        <f aca="false">IFERROR((Q91-Q92)/Q91,"")</f>
        <v/>
      </c>
      <c r="R90" s="283" t="str">
        <f aca="false">IFERROR((R91-R92)/R91,"")</f>
        <v/>
      </c>
      <c r="S90" s="283" t="str">
        <f aca="false">IFERROR((S91-S92)/S91,"")</f>
        <v/>
      </c>
      <c r="T90" s="283" t="str">
        <f aca="false">IFERROR((T91-T92)/T91,"")</f>
        <v/>
      </c>
      <c r="U90" s="283" t="str">
        <f aca="false">IFERROR((U91-U92)/U91,"")</f>
        <v/>
      </c>
      <c r="V90" s="283" t="str">
        <f aca="false">IFERROR((V91-V92)/V91,"")</f>
        <v/>
      </c>
      <c r="W90" s="283" t="str">
        <f aca="false">IFERROR((W91-W92)/W91,"")</f>
        <v/>
      </c>
      <c r="X90" s="283" t="str">
        <f aca="false">IFERROR((X91-X92)/X91,"")</f>
        <v/>
      </c>
      <c r="Y90" s="283" t="str">
        <f aca="false">IFERROR((Y91-Y92)/Y91,"")</f>
        <v/>
      </c>
      <c r="Z90" s="282" t="str">
        <f aca="false">IFERROR((Z91-Z92)/Z91,"")</f>
        <v/>
      </c>
      <c r="AA90" s="282" t="str">
        <f aca="false">IFERROR((AA91-AA92)/AA91,"")</f>
        <v/>
      </c>
      <c r="AB90" s="282" t="str">
        <f aca="false">IFERROR((AB91-AB92)/AB91,"")</f>
        <v/>
      </c>
      <c r="AC90" s="282" t="str">
        <f aca="false">IFERROR((AC91-AC92)/AC91,"")</f>
        <v/>
      </c>
      <c r="AD90" s="282" t="str">
        <f aca="false">IFERROR((AD91-AD92)/AD91,"")</f>
        <v/>
      </c>
      <c r="AE90" s="282" t="str">
        <f aca="false">IFERROR((AE91-AE92)/AE91,"")</f>
        <v/>
      </c>
      <c r="AF90" s="282" t="str">
        <f aca="false">IFERROR((AF91-AF92)/AF91,"")</f>
        <v/>
      </c>
      <c r="AG90" s="282" t="str">
        <f aca="false">IFERROR((AG91-AG92)/AG91,"")</f>
        <v/>
      </c>
      <c r="AH90" s="282" t="str">
        <f aca="false">IFERROR((AH91-AH92)/AH91,"")</f>
        <v/>
      </c>
      <c r="AI90" s="282" t="str">
        <f aca="false">IFERROR((AI91-AI92)/AI91,"")</f>
        <v/>
      </c>
      <c r="AJ90" s="282" t="str">
        <f aca="false">IFERROR((AJ91-AJ92)/AJ91,"")</f>
        <v/>
      </c>
      <c r="AK90" s="282" t="str">
        <f aca="false">IFERROR((AK91-AK92)/AK91,"")</f>
        <v/>
      </c>
      <c r="AL90" s="282" t="str">
        <f aca="false">IFERROR((AL91-AL92)/AL91,"")</f>
        <v/>
      </c>
      <c r="AM90" s="282" t="str">
        <f aca="false">IFERROR((AM91-AM92)/AM91,"")</f>
        <v/>
      </c>
      <c r="AN90" s="284" t="str">
        <f aca="false">IFERROR((AN91-AN92)/AN91,"")</f>
        <v/>
      </c>
      <c r="AO90" s="285" t="str">
        <f aca="false">IFERROR((AO91-AO92)/AO91,"")</f>
        <v/>
      </c>
      <c r="AP90" s="286" t="str">
        <f aca="false">IFERROR((AP91-AP92)/AP91,"")</f>
        <v/>
      </c>
      <c r="AQ90" s="286" t="str">
        <f aca="false">IFERROR((AQ91-AQ92)/AQ91,"")</f>
        <v/>
      </c>
      <c r="AR90" s="286" t="str">
        <f aca="false">IFERROR((AR91-AR92)/AR91,"")</f>
        <v/>
      </c>
      <c r="AS90" s="286" t="str">
        <f aca="false">IFERROR((AS91-AS92)/AS91,"")</f>
        <v/>
      </c>
      <c r="AT90" s="286" t="str">
        <f aca="false">IFERROR((AT91-AT92)/AT91,"")</f>
        <v/>
      </c>
      <c r="AU90" s="287" t="str">
        <f aca="false">IFERROR((AU91-AU92)/AU91,"")</f>
        <v/>
      </c>
      <c r="AV90" s="288" t="str">
        <f aca="false">IFERROR((AV91-AV92)/AV91,"")</f>
        <v/>
      </c>
    </row>
    <row r="91" customFormat="false" ht="14.25" hidden="false" customHeight="false" outlineLevel="0" collapsed="false">
      <c r="A91" s="166" t="str">
        <f aca="false">+IF(C91+C92=0,"[ocultar]","")</f>
        <v>[ocultar]</v>
      </c>
      <c r="B91" s="289" t="s">
        <v>371</v>
      </c>
      <c r="C91" s="290" t="n">
        <f aca="false" t="array" ref="C91:C91">SUM(IF($B91=DATOS_[Sexo], IF($B90=DATOS_[AGRUP. VALOR. PTO.], IF("Dentro"=DATOS_[Check Periodo Ref.], 1/(COUNTIFS(DATOS_[Sexo],$B91,DATOS_[AGRUP. VALOR. PTO.],$B90,DATOS_[Check Periodo Ref.],"Dentro",DATOS_[id],DATOS_[id]))))))</f>
        <v>0</v>
      </c>
      <c r="D91" s="291" t="n">
        <f aca="false">COUNTIFS(DATOS_[AGRUP. VALOR. PTO.],$B90,DATOS_[Sexo],$B91,DATOS_[Check Periodo Ref.],"Dentro")</f>
        <v>0</v>
      </c>
      <c r="E91" s="291" t="n">
        <f aca="false">COUNTIFS(DATOS_[AGRUP. VALOR. PTO.],$B90,DATOS_[Sexo],$B91,DATOS_[Check Periodo Ref.],"Dentro",DATOS_[Check Nº SC Norm],"Sí")</f>
        <v>0</v>
      </c>
      <c r="F91" s="291" t="n">
        <f aca="false">COUNTIFS(DATOS_[AGRUP. VALOR. PTO.],$B90,DATOS_[Sexo],$B91,DATOS_[Check Periodo Ref.],"Dentro",DATOS_[Check Nº SC Anualiz],"Sí")</f>
        <v>0</v>
      </c>
      <c r="G91" s="291" t="n">
        <f aca="false">COUNTIFS(DATOS_[AGRUP. VALOR. PTO.],$B90,DATOS_[Sexo],$B91,DATOS_[Check Periodo Ref.],"Dentro",DATOS_[Check Nº SC Norm y Anualiz],"Sí")</f>
        <v>0</v>
      </c>
      <c r="H91" s="291" t="n">
        <f aca="false">COUNTIFS(DATOS_[AGRUP. VALOR. PTO.],$B90,DATOS_[Sexo],$B91,DATOS_[Check Periodo Ref.],"Dentro",DATOS_[Check Equiparación],"Sí")</f>
        <v>0</v>
      </c>
      <c r="I91" s="292" t="n">
        <f aca="false" t="array" ref="I91:I91">IFERROR( AVERAGE(IF(DATOS_[Sexo]=$B91,IF(DATOS_[[AGRUP. VALOR. PTO.]:[AGRUP. VALOR. PTO.]]=$B90,IF(DATOS_[Check Equiparado]="Sí",IF(DATOS_[Check Periodo Ref.]="Dentro",DATOS_[SALARIO BASE Eq],0))))), 0)</f>
        <v>0</v>
      </c>
      <c r="J91" s="302" t="n">
        <f aca="false" t="array" ref="J91:J91">IFERROR( (AVERAGE((IF(DATOS_[[Sexo]:[Sexo]]=$B91,IF(DATOS_[[AGRUP. VALOR. PTO.]:[AGRUP. VALOR. PTO.]]=$B90,IF(DATOS_[[Check Periodo Ref.]:[Check Periodo Ref.]]="Dentro",IF(DATOS_[[Check Equiparado]:[Check Equiparado]]="Sí",IF(DATOS!AE$4="Sí",(1/DATOS_[[% anualiz]:[% anualiz]]),1)*IF(DATOS!AE$5="Sí",1/DATOS_[[% normaliz]:[% normaliz]],1)*(DATOS_[Conc.Sal.01])))))))), 0)</f>
        <v>0</v>
      </c>
      <c r="K91" s="302" t="n">
        <f aca="false" t="array" ref="K91:K91">IFERROR( (AVERAGE((IF(DATOS_[[Sexo]:[Sexo]]=$B91,IF(DATOS_[[AGRUP. VALOR. PTO.]:[AGRUP. VALOR. PTO.]]=$B90,IF(DATOS_[[Check Periodo Ref.]:[Check Periodo Ref.]]="Dentro",IF(DATOS_[[Check Equiparado]:[Check Equiparado]]="Sí",IF(DATOS!AF$4="Sí",(1/DATOS_[[% anualiz]:[% anualiz]]),1)*IF(DATOS!AF$5="Sí",1/DATOS_[[% normaliz]:[% normaliz]],1)*(DATOS_[Conc.Sal.02])))))))), 0)</f>
        <v>0</v>
      </c>
      <c r="L91" s="302" t="n">
        <f aca="false" t="array" ref="L91:L91">IFERROR( (AVERAGE((IF(DATOS_[[Sexo]:[Sexo]]=$B91,IF(DATOS_[[AGRUP. VALOR. PTO.]:[AGRUP. VALOR. PTO.]]=$B90,IF(DATOS_[[Check Periodo Ref.]:[Check Periodo Ref.]]="Dentro",IF(DATOS_[[Check Equiparado]:[Check Equiparado]]="Sí",IF(DATOS!AG$4="Sí",(1/DATOS_[[% anualiz]:[% anualiz]]),1)*IF(DATOS!AG$5="Sí",1/DATOS_[[% normaliz]:[% normaliz]],1)*(DATOS_[Conc.Sal.03])))))))), 0)</f>
        <v>0</v>
      </c>
      <c r="M91" s="302" t="n">
        <f aca="false" t="array" ref="M91:M91">IFERROR( (AVERAGE((IF(DATOS_[[Sexo]:[Sexo]]=$B91,IF(DATOS_[[AGRUP. VALOR. PTO.]:[AGRUP. VALOR. PTO.]]=$B90,IF(DATOS_[[Check Periodo Ref.]:[Check Periodo Ref.]]="Dentro",IF(DATOS_[[Check Equiparado]:[Check Equiparado]]="Sí",IF(DATOS!AH$4="Sí",(1/DATOS_[[% anualiz]:[% anualiz]]),1)*IF(DATOS!AH$5="Sí",1/DATOS_[[% normaliz]:[% normaliz]],1)*(DATOS_[Conc.Sal.04])))))))), 0)</f>
        <v>0</v>
      </c>
      <c r="N91" s="302" t="n">
        <f aca="false" t="array" ref="N91:N91">IFERROR( (AVERAGE((IF(DATOS_[[Sexo]:[Sexo]]=$B91,IF(DATOS_[[AGRUP. VALOR. PTO.]:[AGRUP. VALOR. PTO.]]=$B90,IF(DATOS_[[Check Periodo Ref.]:[Check Periodo Ref.]]="Dentro",IF(DATOS_[[Check Equiparado]:[Check Equiparado]]="Sí",IF(DATOS!AI$4="Sí",(1/DATOS_[[% anualiz]:[% anualiz]]),1)*IF(DATOS!AI$5="Sí",1/DATOS_[[% normaliz]:[% normaliz]],1)*(DATOS_[Conc.Sal.05])))))))), 0)</f>
        <v>0</v>
      </c>
      <c r="O91" s="302" t="n">
        <f aca="false" t="array" ref="O91:O91">IFERROR( (AVERAGE((IF(DATOS_[[Sexo]:[Sexo]]=$B91,IF(DATOS_[[AGRUP. VALOR. PTO.]:[AGRUP. VALOR. PTO.]]=$B90,IF(DATOS_[[Check Periodo Ref.]:[Check Periodo Ref.]]="Dentro",IF(DATOS_[[Check Equiparado]:[Check Equiparado]]="Sí",IF(DATOS!AJ$4="Sí",(1/DATOS_[[% anualiz]:[% anualiz]]),1)*IF(DATOS!AJ$5="Sí",1/DATOS_[[% normaliz]:[% normaliz]],1)*(DATOS_[Conc.Sal.06])))))))), 0)</f>
        <v>0</v>
      </c>
      <c r="P91" s="302" t="n">
        <f aca="false" t="array" ref="P91:P91">IFERROR( (AVERAGE((IF(DATOS_[[Sexo]:[Sexo]]=$B91,IF(DATOS_[[AGRUP. VALOR. PTO.]:[AGRUP. VALOR. PTO.]]=$B90,IF(DATOS_[[Check Periodo Ref.]:[Check Periodo Ref.]]="Dentro",IF(DATOS_[[Check Equiparado]:[Check Equiparado]]="Sí",IF(DATOS!AK$4="Sí",(1/DATOS_[[% anualiz]:[% anualiz]]),1)*IF(DATOS!AK$5="Sí",1/DATOS_[[% normaliz]:[% normaliz]],1)*(DATOS_[Conc.Sal.07])))))))), 0)</f>
        <v>0</v>
      </c>
      <c r="Q91" s="302" t="n">
        <f aca="false" t="array" ref="Q91:Q91">IFERROR( (AVERAGE((IF(DATOS_[[Sexo]:[Sexo]]=$B91,IF(DATOS_[[AGRUP. VALOR. PTO.]:[AGRUP. VALOR. PTO.]]=$B90,IF(DATOS_[[Check Periodo Ref.]:[Check Periodo Ref.]]="Dentro",IF(DATOS_[[Check Equiparado]:[Check Equiparado]]="Sí",IF(DATOS!AL$4="Sí",(1/DATOS_[[% anualiz]:[% anualiz]]),1)*IF(DATOS!AL$5="Sí",1/DATOS_[[% normaliz]:[% normaliz]],1)*(DATOS_[Conc.Sal.08])))))))), 0)</f>
        <v>0</v>
      </c>
      <c r="R91" s="302" t="n">
        <f aca="false" t="array" ref="R91:R91">IFERROR( (AVERAGE((IF(DATOS_[[Sexo]:[Sexo]]=$B91,IF(DATOS_[[AGRUP. VALOR. PTO.]:[AGRUP. VALOR. PTO.]]=$B90,IF(DATOS_[[Check Periodo Ref.]:[Check Periodo Ref.]]="Dentro",IF(DATOS_[[Check Equiparado]:[Check Equiparado]]="Sí",IF(DATOS!AM$4="Sí",(1/DATOS_[[% anualiz]:[% anualiz]]),1)*IF(DATOS!AM$5="Sí",1/DATOS_[[% normaliz]:[% normaliz]],1)*(DATOS_[Conc.Sal.09])))))))), 0)</f>
        <v>0</v>
      </c>
      <c r="S91" s="302" t="n">
        <f aca="false" t="array" ref="S91:S91">IFERROR( (AVERAGE((IF(DATOS_[[Sexo]:[Sexo]]=$B91,IF(DATOS_[[AGRUP. VALOR. PTO.]:[AGRUP. VALOR. PTO.]]=$B90,IF(DATOS_[[Check Periodo Ref.]:[Check Periodo Ref.]]="Dentro",IF(DATOS_[[Check Equiparado]:[Check Equiparado]]="Sí",IF(DATOS!AN$4="Sí",(1/DATOS_[[% anualiz]:[% anualiz]]),1)*IF(DATOS!AN$5="Sí",1/DATOS_[[% normaliz]:[% normaliz]],1)*(DATOS_[Conc.Sal.10])))))))), 0)</f>
        <v>0</v>
      </c>
      <c r="T91" s="302" t="n">
        <f aca="false" t="array" ref="T91:T91">IFERROR( (AVERAGE((IF(DATOS_[[Sexo]:[Sexo]]=$B91,IF(DATOS_[[AGRUP. VALOR. PTO.]:[AGRUP. VALOR. PTO.]]=$B90,IF(DATOS_[[Check Periodo Ref.]:[Check Periodo Ref.]]="Dentro",IF(DATOS_[[Check Equiparado]:[Check Equiparado]]="Sí",IF(DATOS!AO$4="Sí",(1/DATOS_[[% anualiz]:[% anualiz]]),1)*IF(DATOS!AO$5="Sí",1/DATOS_[[% normaliz]:[% normaliz]],1)*(DATOS_[Conc.Sal.11])))))))), 0)</f>
        <v>0</v>
      </c>
      <c r="U91" s="302" t="n">
        <f aca="false" t="array" ref="U91:U91">IFERROR( (AVERAGE((IF(DATOS_[[Sexo]:[Sexo]]=$B91,IF(DATOS_[[AGRUP. VALOR. PTO.]:[AGRUP. VALOR. PTO.]]=$B90,IF(DATOS_[[Check Periodo Ref.]:[Check Periodo Ref.]]="Dentro",IF(DATOS_[[Check Equiparado]:[Check Equiparado]]="Sí",IF(DATOS!AP$4="Sí",(1/DATOS_[[% anualiz]:[% anualiz]]),1)*IF(DATOS!AP$5="Sí",1/DATOS_[[% normaliz]:[% normaliz]],1)*(DATOS_[Conc.Sal.12])))))))), 0)</f>
        <v>0</v>
      </c>
      <c r="V91" s="302" t="n">
        <f aca="false" t="array" ref="V91:V91">IFERROR( (AVERAGE((IF(DATOS_[[Sexo]:[Sexo]]=$B91,IF(DATOS_[[AGRUP. VALOR. PTO.]:[AGRUP. VALOR. PTO.]]=$B90,IF(DATOS_[[Check Periodo Ref.]:[Check Periodo Ref.]]="Dentro",IF(DATOS_[[Check Equiparado]:[Check Equiparado]]="Sí",IF(DATOS!AQ$4="Sí",(1/DATOS_[[% anualiz]:[% anualiz]]),1)*IF(DATOS!AQ$5="Sí",1/DATOS_[[% normaliz]:[% normaliz]],1)*(DATOS_[Conc.Sal.13])))))))), 0)</f>
        <v>0</v>
      </c>
      <c r="W91" s="302" t="n">
        <f aca="false" t="array" ref="W91:W91">IFERROR( (AVERAGE((IF(DATOS_[[Sexo]:[Sexo]]=$B91,IF(DATOS_[[AGRUP. VALOR. PTO.]:[AGRUP. VALOR. PTO.]]=$B90,IF(DATOS_[[Check Periodo Ref.]:[Check Periodo Ref.]]="Dentro",IF(DATOS_[[Check Equiparado]:[Check Equiparado]]="Sí",IF(DATOS!AR$4="Sí",(1/DATOS_[[% anualiz]:[% anualiz]]),1)*IF(DATOS!AR$5="Sí",1/DATOS_[[% normaliz]:[% normaliz]],1)*(DATOS_[Conc.Sal.14])))))))), 0)</f>
        <v>0</v>
      </c>
      <c r="X91" s="302" t="n">
        <f aca="false" t="array" ref="X91:X91">IFERROR( (AVERAGE((IF(DATOS_[[Sexo]:[Sexo]]=$B91,IF(DATOS_[[AGRUP. VALOR. PTO.]:[AGRUP. VALOR. PTO.]]=$B90,IF(DATOS_[[Check Periodo Ref.]:[Check Periodo Ref.]]="Dentro",IF(DATOS_[[Check Equiparado]:[Check Equiparado]]="Sí",IF(DATOS!AS$4="Sí",(1/DATOS_[[% anualiz]:[% anualiz]]),1)*IF(DATOS!AS$5="Sí",1/DATOS_[[% normaliz]:[% normaliz]],1)*(DATOS_[Conc.Sal.15])))))))), 0)</f>
        <v>0</v>
      </c>
      <c r="Y91" s="302" t="n">
        <f aca="false" t="array" ref="Y91:Y91">IFERROR( (AVERAGE((IF(DATOS_[[Sexo]:[Sexo]]=$B91,IF(DATOS_[[AGRUP. VALOR. PTO.]:[AGRUP. VALOR. PTO.]]=$B90,IF(DATOS_[[Check Periodo Ref.]:[Check Periodo Ref.]]="Dentro",IF(DATOS_[[Check Equiparado]:[Check Equiparado]]="Sí",IF(DATOS!AT$4="Sí",(1/DATOS_[[% anualiz]:[% anualiz]]),1)*IF(DATOS!AT$5="Sí",1/DATOS_[[% normaliz]:[% normaliz]],1)*(DATOS_[Conc.Sal.16])))))))), 0)</f>
        <v>0</v>
      </c>
      <c r="Z91" s="302" t="n">
        <f aca="false" t="array" ref="Z91:Z91">IFERROR( (AVERAGE((IF(DATOS_[[Sexo]:[Sexo]]=$B91,IF(DATOS_[[AGRUP. VALOR. PTO.]:[AGRUP. VALOR. PTO.]]=$B90,IF(DATOS_[[Check Periodo Ref.]:[Check Periodo Ref.]]="Dentro",IF(DATOS_[[Check Equiparado]:[Check Equiparado]]="Sí",IF(DATOS!AU$4="Sí",(1/DATOS_[[% anualiz]:[% anualiz]]),1)*IF(DATOS!AU$5="Sí",1/DATOS_[[% normaliz]:[% normaliz]],1)*(DATOS_[Conc.Sal.17])))))))), 0)</f>
        <v>0</v>
      </c>
      <c r="AA91" s="302" t="n">
        <f aca="false" t="array" ref="AA91:AA91">IFERROR( (AVERAGE((IF(DATOS_[[Sexo]:[Sexo]]=$B91,IF(DATOS_[[AGRUP. VALOR. PTO.]:[AGRUP. VALOR. PTO.]]=$B90,IF(DATOS_[[Check Periodo Ref.]:[Check Periodo Ref.]]="Dentro",IF(DATOS_[[Check Equiparado]:[Check Equiparado]]="Sí",IF(DATOS!AV$4="Sí",(1/DATOS_[[% anualiz]:[% anualiz]]),1)*IF(DATOS!AV$5="Sí",1/DATOS_[[% normaliz]:[% normaliz]],1)*(DATOS_[Conc.Sal.18])))))))), 0)</f>
        <v>0</v>
      </c>
      <c r="AB91" s="302" t="n">
        <f aca="false" t="array" ref="AB91:AB91">IFERROR( (AVERAGE((IF(DATOS_[[Sexo]:[Sexo]]=$B91,IF(DATOS_[[AGRUP. VALOR. PTO.]:[AGRUP. VALOR. PTO.]]=$B90,IF(DATOS_[[Check Periodo Ref.]:[Check Periodo Ref.]]="Dentro",IF(DATOS_[[Check Equiparado]:[Check Equiparado]]="Sí",IF(DATOS!AW$4="Sí",(1/DATOS_[[% anualiz]:[% anualiz]]),1)*IF(DATOS!AW$5="Sí",1/DATOS_[[% normaliz]:[% normaliz]],1)*(DATOS_[Conc.Sal.19])))))))), 0)</f>
        <v>0</v>
      </c>
      <c r="AC91" s="302" t="n">
        <f aca="false" t="array" ref="AC91:AC91">IFERROR( (AVERAGE((IF(DATOS_[[Sexo]:[Sexo]]=$B91,IF(DATOS_[[AGRUP. VALOR. PTO.]:[AGRUP. VALOR. PTO.]]=$B90,IF(DATOS_[[Check Periodo Ref.]:[Check Periodo Ref.]]="Dentro",IF(DATOS_[[Check Equiparado]:[Check Equiparado]]="Sí",IF(DATOS!AX$4="Sí",(1/DATOS_[[% anualiz]:[% anualiz]]),1)*IF(DATOS!AX$5="Sí",1/DATOS_[[% normaliz]:[% normaliz]],1)*(DATOS_[Conc.Sal.20])))))))), 0)</f>
        <v>0</v>
      </c>
      <c r="AD91" s="302" t="n">
        <f aca="false" t="array" ref="AD91:AD91">IFERROR( (AVERAGE((IF(DATOS_[[Sexo]:[Sexo]]=$B91,IF(DATOS_[[AGRUP. VALOR. PTO.]:[AGRUP. VALOR. PTO.]]=$B90,IF(DATOS_[[Check Periodo Ref.]:[Check Periodo Ref.]]="Dentro",IF(DATOS_[[Check Equiparado]:[Check Equiparado]]="Sí",IF(DATOS!AY$4="Sí",(1/DATOS_[[% anualiz]:[% anualiz]]),1)*IF(DATOS!AY$5="Sí",1/DATOS_[[% normaliz]:[% normaliz]],1)*(DATOS_[Conc.Sal.21])))))))), 0)</f>
        <v>0</v>
      </c>
      <c r="AE91" s="302" t="n">
        <f aca="false" t="array" ref="AE91:AE91">IFERROR( (AVERAGE((IF(DATOS_[[Sexo]:[Sexo]]=$B91,IF(DATOS_[[AGRUP. VALOR. PTO.]:[AGRUP. VALOR. PTO.]]=$B90,IF(DATOS_[[Check Periodo Ref.]:[Check Periodo Ref.]]="Dentro",IF(DATOS_[[Check Equiparado]:[Check Equiparado]]="Sí",IF(DATOS!AZ$4="Sí",(1/DATOS_[[% anualiz]:[% anualiz]]),1)*IF(DATOS!AZ$5="Sí",1/DATOS_[[% normaliz]:[% normaliz]],1)*(DATOS_[Conc.Sal.22])))))))), 0)</f>
        <v>0</v>
      </c>
      <c r="AF91" s="302" t="n">
        <f aca="false" t="array" ref="AF91:AF91">IFERROR( (AVERAGE((IF(DATOS_[[Sexo]:[Sexo]]=$B91,IF(DATOS_[[AGRUP. VALOR. PTO.]:[AGRUP. VALOR. PTO.]]=$B90,IF(DATOS_[[Check Periodo Ref.]:[Check Periodo Ref.]]="Dentro",IF(DATOS_[[Check Equiparado]:[Check Equiparado]]="Sí",IF(DATOS!BA$4="Sí",(1/DATOS_[[% anualiz]:[% anualiz]]),1)*IF(DATOS!BA$5="Sí",1/DATOS_[[% normaliz]:[% normaliz]],1)*(DATOS_[Conc.Sal.23])))))))), 0)</f>
        <v>0</v>
      </c>
      <c r="AG91" s="302" t="n">
        <f aca="false" t="array" ref="AG91:AG91">IFERROR( (AVERAGE((IF(DATOS_[[Sexo]:[Sexo]]=$B91,IF(DATOS_[[AGRUP. VALOR. PTO.]:[AGRUP. VALOR. PTO.]]=$B90,IF(DATOS_[[Check Periodo Ref.]:[Check Periodo Ref.]]="Dentro",IF(DATOS_[[Check Equiparado]:[Check Equiparado]]="Sí",IF(DATOS!BB$4="Sí",(1/DATOS_[[% anualiz]:[% anualiz]]),1)*IF(DATOS!BB$5="Sí",1/DATOS_[[% normaliz]:[% normaliz]],1)*(DATOS_[Conc.Sal.24])))))))), 0)</f>
        <v>0</v>
      </c>
      <c r="AH91" s="302" t="n">
        <f aca="false" t="array" ref="AH91:AH91">IFERROR( (AVERAGE((IF(DATOS_[[Sexo]:[Sexo]]=$B91,IF(DATOS_[[AGRUP. VALOR. PTO.]:[AGRUP. VALOR. PTO.]]=$B90,IF(DATOS_[[Check Periodo Ref.]:[Check Periodo Ref.]]="Dentro",IF(DATOS_[[Check Equiparado]:[Check Equiparado]]="Sí",IF(DATOS!BC$4="Sí",(1/DATOS_[[% anualiz]:[% anualiz]]),1)*IF(DATOS!BC$5="Sí",1/DATOS_[[% normaliz]:[% normaliz]],1)*(DATOS_[Conc.Sal.25])))))))), 0)</f>
        <v>0</v>
      </c>
      <c r="AI91" s="302" t="n">
        <f aca="false" t="array" ref="AI91:AI91">IFERROR( (AVERAGE((IF(DATOS_[[Sexo]:[Sexo]]=$B91,IF(DATOS_[[AGRUP. VALOR. PTO.]:[AGRUP. VALOR. PTO.]]=$B90,IF(DATOS_[[Check Periodo Ref.]:[Check Periodo Ref.]]="Dentro",IF(DATOS_[[Check Equiparado]:[Check Equiparado]]="Sí",IF(DATOS!BD$4="Sí",(1/DATOS_[[% anualiz]:[% anualiz]]),1)*IF(DATOS!BD$5="Sí",1/DATOS_[[% normaliz]:[% normaliz]],1)*(DATOS_[Conc.Sal.26])))))))), 0)</f>
        <v>0</v>
      </c>
      <c r="AJ91" s="302" t="n">
        <f aca="false" t="array" ref="AJ91:AJ91">IFERROR( (AVERAGE((IF(DATOS_[[Sexo]:[Sexo]]=$B91,IF(DATOS_[[AGRUP. VALOR. PTO.]:[AGRUP. VALOR. PTO.]]=$B90,IF(DATOS_[[Check Periodo Ref.]:[Check Periodo Ref.]]="Dentro",IF(DATOS_[[Check Equiparado]:[Check Equiparado]]="Sí",IF(DATOS!BE$4="Sí",(1/DATOS_[[% anualiz]:[% anualiz]]),1)*IF(DATOS!BE$5="Sí",1/DATOS_[[% normaliz]:[% normaliz]],1)*(DATOS_[Conc.Sal.27])))))))), 0)</f>
        <v>0</v>
      </c>
      <c r="AK91" s="302" t="n">
        <f aca="false" t="array" ref="AK91:AK91">IFERROR( (AVERAGE((IF(DATOS_[[Sexo]:[Sexo]]=$B91,IF(DATOS_[[AGRUP. VALOR. PTO.]:[AGRUP. VALOR. PTO.]]=$B90,IF(DATOS_[[Check Periodo Ref.]:[Check Periodo Ref.]]="Dentro",IF(DATOS_[[Check Equiparado]:[Check Equiparado]]="Sí",IF(DATOS!BF$4="Sí",(1/DATOS_[[% anualiz]:[% anualiz]]),1)*IF(DATOS!BF$5="Sí",1/DATOS_[[% normaliz]:[% normaliz]],1)*(DATOS_[Conc.Sal.28])))))))), 0)</f>
        <v>0</v>
      </c>
      <c r="AL91" s="302" t="n">
        <f aca="false" t="array" ref="AL91:AL91">IFERROR( (AVERAGE((IF(DATOS_[[Sexo]:[Sexo]]=$B91,IF(DATOS_[[AGRUP. VALOR. PTO.]:[AGRUP. VALOR. PTO.]]=$B90,IF(DATOS_[[Check Periodo Ref.]:[Check Periodo Ref.]]="Dentro",IF(DATOS_[[Check Equiparado]:[Check Equiparado]]="Sí",IF(DATOS!BG$4="Sí",(1/DATOS_[[% anualiz]:[% anualiz]]),1)*IF(DATOS!BG$5="Sí",1/DATOS_[[% normaliz]:[% normaliz]],1)*(DATOS_[Conc.Sal.29])))))))), 0)</f>
        <v>0</v>
      </c>
      <c r="AM91" s="302" t="n">
        <f aca="false" t="array" ref="AM91:AM91">IFERROR( (AVERAGE((IF(DATOS_[[Sexo]:[Sexo]]=$B91,IF(DATOS_[[AGRUP. VALOR. PTO.]:[AGRUP. VALOR. PTO.]]=$B90,IF(DATOS_[[Check Periodo Ref.]:[Check Periodo Ref.]]="Dentro",IF(DATOS_[[Check Equiparado]:[Check Equiparado]]="Sí",IF(DATOS!BH$4="Sí",(1/DATOS_[[% anualiz]:[% anualiz]]),1)*IF(DATOS!BH$5="Sí",1/DATOS_[[% normaliz]:[% normaliz]],1)*(DATOS_[Conc.Sal.30])))))))), 0)</f>
        <v>0</v>
      </c>
      <c r="AN91" s="294" t="n">
        <f aca="false" t="array" ref="AN91:AN91">IFERROR( AVERAGE(IF(DATOS_[Sexo]=$B91,IF(DATOS_[[AGRUP. VALOR. PTO.]:[AGRUP. VALOR. PTO.]]=$B90,IF(DATOS_[Check Equiparado]="Sí",IF(DATOS_[Check Periodo Ref.]="Dentro",DATOS_[Tot COMPL.SAL Eq],0))))), 0)</f>
        <v>0</v>
      </c>
      <c r="AO91" s="295" t="n">
        <f aca="false" t="array" ref="AO91:AO91">IFERROR( AVERAGE(IF(DATOS_[Sexo]=$B91,IF(DATOS_[[AGRUP. VALOR. PTO.]:[AGRUP. VALOR. PTO.]]=$B90,IF(DATOS_[Check Equiparado]="Sí",IF(DATOS_[Check Periodo Ref.]="Dentro",DATOS_[TOTAL SALARIO Eq],0))))), 0)</f>
        <v>0</v>
      </c>
      <c r="AP91" s="303" t="n">
        <f aca="false" t="array" ref="AP91:AP91">IFERROR( (AVERAGE((IF(DATOS_[[Sexo]:[Sexo]]=$B91,IF(DATOS_[[AGRUP. VALOR. PTO.]:[AGRUP. VALOR. PTO.]]=$B90,IF(DATOS_[[Check Periodo Ref.]:[Check Periodo Ref.]]="Dentro",IF(DATOS_[[Check Equiparado]:[Check Equiparado]]="Sí",IF(DATOS!BI$4="Sí",(1/DATOS_[[% anualiz]:[% anualiz]]),1)*IF(DATOS!BI$5="Sí",1/DATOS_[[% normaliz]:[% normaliz]],1)*(DATOS_[C.Extra.01])))))))), 0)</f>
        <v>0</v>
      </c>
      <c r="AQ91" s="303" t="n">
        <f aca="false" t="array" ref="AQ91:AQ91">IFERROR( (AVERAGE((IF(DATOS_[[Sexo]:[Sexo]]=$B91,IF(DATOS_[[AGRUP. VALOR. PTO.]:[AGRUP. VALOR. PTO.]]=$B90,IF(DATOS_[[Check Periodo Ref.]:[Check Periodo Ref.]]="Dentro",IF(DATOS_[[Check Equiparado]:[Check Equiparado]]="Sí",IF(DATOS!BJ$4="Sí",(1/DATOS_[[% anualiz]:[% anualiz]]),1)*IF(DATOS!BJ$5="Sí",1/DATOS_[[% normaliz]:[% normaliz]],1)*(DATOS_[C.Extra.02])))))))), 0)</f>
        <v>0</v>
      </c>
      <c r="AR91" s="303" t="n">
        <f aca="false" t="array" ref="AR91:AR91">IFERROR( (AVERAGE((IF(DATOS_[[Sexo]:[Sexo]]=$B91,IF(DATOS_[[AGRUP. VALOR. PTO.]:[AGRUP. VALOR. PTO.]]=$B90,IF(DATOS_[[Check Periodo Ref.]:[Check Periodo Ref.]]="Dentro",IF(DATOS_[[Check Equiparado]:[Check Equiparado]]="Sí",IF(DATOS!BK$4="Sí",(1/DATOS_[[% anualiz]:[% anualiz]]),1)*IF(DATOS!BK$5="Sí",1/DATOS_[[% normaliz]:[% normaliz]],1)*(DATOS_[C.Extra.03])))))))), 0)</f>
        <v>0</v>
      </c>
      <c r="AS91" s="303" t="n">
        <f aca="false" t="array" ref="AS91:AS91">IFERROR( (AVERAGE((IF(DATOS_[[Sexo]:[Sexo]]=$B91,IF(DATOS_[[AGRUP. VALOR. PTO.]:[AGRUP. VALOR. PTO.]]=$B90,IF(DATOS_[[Check Periodo Ref.]:[Check Periodo Ref.]]="Dentro",IF(DATOS_[[Check Equiparado]:[Check Equiparado]]="Sí",IF(DATOS!BL$4="Sí",(1/DATOS_[[% anualiz]:[% anualiz]]),1)*IF(DATOS!BL$5="Sí",1/DATOS_[[% normaliz]:[% normaliz]],1)*(DATOS_[C.Extra.04])))))))), 0)</f>
        <v>0</v>
      </c>
      <c r="AT91" s="303" t="n">
        <f aca="false" t="array" ref="AT91:AT91">IFERROR( (AVERAGE((IF(DATOS_[[Sexo]:[Sexo]]=$B91,IF(DATOS_[[AGRUP. VALOR. PTO.]:[AGRUP. VALOR. PTO.]]=$B90,IF(DATOS_[[Check Periodo Ref.]:[Check Periodo Ref.]]="Dentro",IF(DATOS_[[Check Equiparado]:[Check Equiparado]]="Sí",IF(DATOS!BM$4="Sí",(1/DATOS_[[% anualiz]:[% anualiz]]),1)*IF(DATOS!BM$5="Sí",1/DATOS_[[% normaliz]:[% normaliz]],1)*(DATOS_[C.Extra.05])))))))), 0)</f>
        <v>0</v>
      </c>
      <c r="AU91" s="297" t="n">
        <f aca="false" t="array" ref="AU91:AU91">IFERROR( AVERAGE(IF(DATOS_[Sexo]=$B91,IF(DATOS_[[AGRUP. VALOR. PTO.]:[AGRUP. VALOR. PTO.]]=$B90,IF(DATOS_[Check Equiparado]="Sí",IF(DATOS_[Check Periodo Ref.]="Dentro",DATOS_[Tot Extrasalarial Eq],0))))), 0)</f>
        <v>0</v>
      </c>
      <c r="AV91" s="298" t="n">
        <f aca="false" t="array" ref="AV91:AV91">IFERROR( AVERAGE(IF(DATOS_[Sexo]=$B91,IF(DATOS_[[AGRUP. VALOR. PTO.]:[AGRUP. VALOR. PTO.]]=$B90,IF(DATOS_[Check Equiparado]="Sí",IF(DATOS_[Check Periodo Ref.]="Dentro",DATOS_[TOTAL Retrib Eq],0))))), 0)</f>
        <v>0</v>
      </c>
    </row>
    <row r="92" customFormat="false" ht="14.25" hidden="false" customHeight="false" outlineLevel="0" collapsed="false">
      <c r="A92" s="166" t="str">
        <f aca="false">+A91</f>
        <v>[ocultar]</v>
      </c>
      <c r="B92" s="289" t="s">
        <v>372</v>
      </c>
      <c r="C92" s="290" t="n">
        <f aca="false" t="array" ref="C92:C92">SUM(IF($B92=DATOS_[Sexo], IF($B90=DATOS_[AGRUP. VALOR. PTO.], IF("Dentro"=DATOS_[Check Periodo Ref.], 1/(COUNTIFS(DATOS_[Sexo],$B92,DATOS_[AGRUP. VALOR. PTO.],$B90,DATOS_[Check Periodo Ref.],"Dentro",DATOS_[id],DATOS_[id]))))))</f>
        <v>0</v>
      </c>
      <c r="D92" s="291" t="n">
        <f aca="false">COUNTIFS(DATOS_[AGRUP. VALOR. PTO.],$B90,DATOS_[Sexo],$B92,DATOS_[Check Periodo Ref.],"Dentro")</f>
        <v>0</v>
      </c>
      <c r="E92" s="291" t="n">
        <f aca="false">COUNTIFS(DATOS_[AGRUP. VALOR. PTO.],$B90,DATOS_[Sexo],$B92,DATOS_[Check Periodo Ref.],"Dentro",DATOS_[Check Nº SC Norm],"Sí")</f>
        <v>0</v>
      </c>
      <c r="F92" s="291" t="n">
        <f aca="false">COUNTIFS(DATOS_[AGRUP. VALOR. PTO.],$B90,DATOS_[Sexo],$B92,DATOS_[Check Periodo Ref.],"Dentro",DATOS_[Check Nº SC Anualiz],"Sí")</f>
        <v>0</v>
      </c>
      <c r="G92" s="291" t="n">
        <f aca="false">COUNTIFS(DATOS_[AGRUP. VALOR. PTO.],$B90,DATOS_[Sexo],$B92,DATOS_[Check Periodo Ref.],"Dentro",DATOS_[Check Nº SC Norm y Anualiz],"Sí")</f>
        <v>0</v>
      </c>
      <c r="H92" s="291" t="n">
        <f aca="false">COUNTIFS(DATOS_[AGRUP. VALOR. PTO.],$B90,DATOS_[Sexo],$B92,DATOS_[Check Periodo Ref.],"Dentro",DATOS_[Check Equiparación],"Sí")</f>
        <v>0</v>
      </c>
      <c r="I92" s="292" t="n">
        <f aca="false" t="array" ref="I92:I92">IFERROR( AVERAGE(IF(DATOS_[Sexo]=$B92,IF(DATOS_[[AGRUP. VALOR. PTO.]:[AGRUP. VALOR. PTO.]]=$B90,IF(DATOS_[Check Equiparado]="Sí",IF(DATOS_[Check Periodo Ref.]="Dentro",DATOS_[SALARIO BASE Eq],0))))), 0)</f>
        <v>0</v>
      </c>
      <c r="J92" s="302" t="n">
        <f aca="false" t="array" ref="J92:J92">IFERROR( (AVERAGE((IF(DATOS_[[Sexo]:[Sexo]]=$B92,IF(DATOS_[[AGRUP. VALOR. PTO.]:[AGRUP. VALOR. PTO.]]=$B90,IF(DATOS_[[Check Periodo Ref.]:[Check Periodo Ref.]]="Dentro",IF(DATOS_[[Check Equiparado]:[Check Equiparado]]="Sí",IF(DATOS!AE$4="Sí",(1/DATOS_[[% anualiz]:[% anualiz]]),1)*IF(DATOS!AE$5="Sí",1/DATOS_[[% normaliz]:[% normaliz]],1)*(DATOS_[Conc.Sal.01])))))))), 0)</f>
        <v>0</v>
      </c>
      <c r="K92" s="302" t="n">
        <f aca="false" t="array" ref="K92:K92">IFERROR( (AVERAGE((IF(DATOS_[[Sexo]:[Sexo]]=$B92,IF(DATOS_[[AGRUP. VALOR. PTO.]:[AGRUP. VALOR. PTO.]]=$B90,IF(DATOS_[[Check Periodo Ref.]:[Check Periodo Ref.]]="Dentro",IF(DATOS_[[Check Equiparado]:[Check Equiparado]]="Sí",IF(DATOS!AF$4="Sí",(1/DATOS_[[% anualiz]:[% anualiz]]),1)*IF(DATOS!AF$5="Sí",1/DATOS_[[% normaliz]:[% normaliz]],1)*(DATOS_[Conc.Sal.02])))))))), 0)</f>
        <v>0</v>
      </c>
      <c r="L92" s="302" t="n">
        <f aca="false" t="array" ref="L92:L92">IFERROR( (AVERAGE((IF(DATOS_[[Sexo]:[Sexo]]=$B92,IF(DATOS_[[AGRUP. VALOR. PTO.]:[AGRUP. VALOR. PTO.]]=$B90,IF(DATOS_[[Check Periodo Ref.]:[Check Periodo Ref.]]="Dentro",IF(DATOS_[[Check Equiparado]:[Check Equiparado]]="Sí",IF(DATOS!AG$4="Sí",(1/DATOS_[[% anualiz]:[% anualiz]]),1)*IF(DATOS!AG$5="Sí",1/DATOS_[[% normaliz]:[% normaliz]],1)*(DATOS_[Conc.Sal.03])))))))), 0)</f>
        <v>0</v>
      </c>
      <c r="M92" s="302" t="n">
        <f aca="false" t="array" ref="M92:M92">IFERROR( (AVERAGE((IF(DATOS_[[Sexo]:[Sexo]]=$B92,IF(DATOS_[[AGRUP. VALOR. PTO.]:[AGRUP. VALOR. PTO.]]=$B90,IF(DATOS_[[Check Periodo Ref.]:[Check Periodo Ref.]]="Dentro",IF(DATOS_[[Check Equiparado]:[Check Equiparado]]="Sí",IF(DATOS!AH$4="Sí",(1/DATOS_[[% anualiz]:[% anualiz]]),1)*IF(DATOS!AH$5="Sí",1/DATOS_[[% normaliz]:[% normaliz]],1)*(DATOS_[Conc.Sal.04])))))))), 0)</f>
        <v>0</v>
      </c>
      <c r="N92" s="302" t="n">
        <f aca="false" t="array" ref="N92:N92">IFERROR( (AVERAGE((IF(DATOS_[[Sexo]:[Sexo]]=$B92,IF(DATOS_[[AGRUP. VALOR. PTO.]:[AGRUP. VALOR. PTO.]]=$B90,IF(DATOS_[[Check Periodo Ref.]:[Check Periodo Ref.]]="Dentro",IF(DATOS_[[Check Equiparado]:[Check Equiparado]]="Sí",IF(DATOS!AI$4="Sí",(1/DATOS_[[% anualiz]:[% anualiz]]),1)*IF(DATOS!AI$5="Sí",1/DATOS_[[% normaliz]:[% normaliz]],1)*(DATOS_[Conc.Sal.05])))))))), 0)</f>
        <v>0</v>
      </c>
      <c r="O92" s="302" t="n">
        <f aca="false" t="array" ref="O92:O92">IFERROR( (AVERAGE((IF(DATOS_[[Sexo]:[Sexo]]=$B92,IF(DATOS_[[AGRUP. VALOR. PTO.]:[AGRUP. VALOR. PTO.]]=$B90,IF(DATOS_[[Check Periodo Ref.]:[Check Periodo Ref.]]="Dentro",IF(DATOS_[[Check Equiparado]:[Check Equiparado]]="Sí",IF(DATOS!AJ$4="Sí",(1/DATOS_[[% anualiz]:[% anualiz]]),1)*IF(DATOS!AJ$5="Sí",1/DATOS_[[% normaliz]:[% normaliz]],1)*(DATOS_[Conc.Sal.06])))))))), 0)</f>
        <v>0</v>
      </c>
      <c r="P92" s="302" t="n">
        <f aca="false" t="array" ref="P92:P92">IFERROR( (AVERAGE((IF(DATOS_[[Sexo]:[Sexo]]=$B92,IF(DATOS_[[AGRUP. VALOR. PTO.]:[AGRUP. VALOR. PTO.]]=$B90,IF(DATOS_[[Check Periodo Ref.]:[Check Periodo Ref.]]="Dentro",IF(DATOS_[[Check Equiparado]:[Check Equiparado]]="Sí",IF(DATOS!AK$4="Sí",(1/DATOS_[[% anualiz]:[% anualiz]]),1)*IF(DATOS!AK$5="Sí",1/DATOS_[[% normaliz]:[% normaliz]],1)*(DATOS_[Conc.Sal.07])))))))), 0)</f>
        <v>0</v>
      </c>
      <c r="Q92" s="302" t="n">
        <f aca="false" t="array" ref="Q92:Q92">IFERROR( (AVERAGE((IF(DATOS_[[Sexo]:[Sexo]]=$B92,IF(DATOS_[[AGRUP. VALOR. PTO.]:[AGRUP. VALOR. PTO.]]=$B90,IF(DATOS_[[Check Periodo Ref.]:[Check Periodo Ref.]]="Dentro",IF(DATOS_[[Check Equiparado]:[Check Equiparado]]="Sí",IF(DATOS!AL$4="Sí",(1/DATOS_[[% anualiz]:[% anualiz]]),1)*IF(DATOS!AL$5="Sí",1/DATOS_[[% normaliz]:[% normaliz]],1)*(DATOS_[Conc.Sal.08])))))))), 0)</f>
        <v>0</v>
      </c>
      <c r="R92" s="302" t="n">
        <f aca="false" t="array" ref="R92:R92">IFERROR( (AVERAGE((IF(DATOS_[[Sexo]:[Sexo]]=$B92,IF(DATOS_[[AGRUP. VALOR. PTO.]:[AGRUP. VALOR. PTO.]]=$B90,IF(DATOS_[[Check Periodo Ref.]:[Check Periodo Ref.]]="Dentro",IF(DATOS_[[Check Equiparado]:[Check Equiparado]]="Sí",IF(DATOS!AM$4="Sí",(1/DATOS_[[% anualiz]:[% anualiz]]),1)*IF(DATOS!AM$5="Sí",1/DATOS_[[% normaliz]:[% normaliz]],1)*(DATOS_[Conc.Sal.09])))))))), 0)</f>
        <v>0</v>
      </c>
      <c r="S92" s="302" t="n">
        <f aca="false" t="array" ref="S92:S92">IFERROR( (AVERAGE((IF(DATOS_[[Sexo]:[Sexo]]=$B92,IF(DATOS_[[AGRUP. VALOR. PTO.]:[AGRUP. VALOR. PTO.]]=$B90,IF(DATOS_[[Check Periodo Ref.]:[Check Periodo Ref.]]="Dentro",IF(DATOS_[[Check Equiparado]:[Check Equiparado]]="Sí",IF(DATOS!AN$4="Sí",(1/DATOS_[[% anualiz]:[% anualiz]]),1)*IF(DATOS!AN$5="Sí",1/DATOS_[[% normaliz]:[% normaliz]],1)*(DATOS_[Conc.Sal.10])))))))), 0)</f>
        <v>0</v>
      </c>
      <c r="T92" s="302" t="n">
        <f aca="false" t="array" ref="T92:T92">IFERROR( (AVERAGE((IF(DATOS_[[Sexo]:[Sexo]]=$B92,IF(DATOS_[[AGRUP. VALOR. PTO.]:[AGRUP. VALOR. PTO.]]=$B90,IF(DATOS_[[Check Periodo Ref.]:[Check Periodo Ref.]]="Dentro",IF(DATOS_[[Check Equiparado]:[Check Equiparado]]="Sí",IF(DATOS!AO$4="Sí",(1/DATOS_[[% anualiz]:[% anualiz]]),1)*IF(DATOS!AO$5="Sí",1/DATOS_[[% normaliz]:[% normaliz]],1)*(DATOS_[Conc.Sal.11])))))))), 0)</f>
        <v>0</v>
      </c>
      <c r="U92" s="302" t="n">
        <f aca="false" t="array" ref="U92:U92">IFERROR( (AVERAGE((IF(DATOS_[[Sexo]:[Sexo]]=$B92,IF(DATOS_[[AGRUP. VALOR. PTO.]:[AGRUP. VALOR. PTO.]]=$B90,IF(DATOS_[[Check Periodo Ref.]:[Check Periodo Ref.]]="Dentro",IF(DATOS_[[Check Equiparado]:[Check Equiparado]]="Sí",IF(DATOS!AP$4="Sí",(1/DATOS_[[% anualiz]:[% anualiz]]),1)*IF(DATOS!AP$5="Sí",1/DATOS_[[% normaliz]:[% normaliz]],1)*(DATOS_[Conc.Sal.12])))))))), 0)</f>
        <v>0</v>
      </c>
      <c r="V92" s="302" t="n">
        <f aca="false" t="array" ref="V92:V92">IFERROR( (AVERAGE((IF(DATOS_[[Sexo]:[Sexo]]=$B92,IF(DATOS_[[AGRUP. VALOR. PTO.]:[AGRUP. VALOR. PTO.]]=$B90,IF(DATOS_[[Check Periodo Ref.]:[Check Periodo Ref.]]="Dentro",IF(DATOS_[[Check Equiparado]:[Check Equiparado]]="Sí",IF(DATOS!AQ$4="Sí",(1/DATOS_[[% anualiz]:[% anualiz]]),1)*IF(DATOS!AQ$5="Sí",1/DATOS_[[% normaliz]:[% normaliz]],1)*(DATOS_[Conc.Sal.13])))))))), 0)</f>
        <v>0</v>
      </c>
      <c r="W92" s="302" t="n">
        <f aca="false" t="array" ref="W92:W92">IFERROR( (AVERAGE((IF(DATOS_[[Sexo]:[Sexo]]=$B92,IF(DATOS_[[AGRUP. VALOR. PTO.]:[AGRUP. VALOR. PTO.]]=$B90,IF(DATOS_[[Check Periodo Ref.]:[Check Periodo Ref.]]="Dentro",IF(DATOS_[[Check Equiparado]:[Check Equiparado]]="Sí",IF(DATOS!AR$4="Sí",(1/DATOS_[[% anualiz]:[% anualiz]]),1)*IF(DATOS!AR$5="Sí",1/DATOS_[[% normaliz]:[% normaliz]],1)*(DATOS_[Conc.Sal.14])))))))), 0)</f>
        <v>0</v>
      </c>
      <c r="X92" s="302" t="n">
        <f aca="false" t="array" ref="X92:X92">IFERROR( (AVERAGE((IF(DATOS_[[Sexo]:[Sexo]]=$B92,IF(DATOS_[[AGRUP. VALOR. PTO.]:[AGRUP. VALOR. PTO.]]=$B90,IF(DATOS_[[Check Periodo Ref.]:[Check Periodo Ref.]]="Dentro",IF(DATOS_[[Check Equiparado]:[Check Equiparado]]="Sí",IF(DATOS!AS$4="Sí",(1/DATOS_[[% anualiz]:[% anualiz]]),1)*IF(DATOS!AS$5="Sí",1/DATOS_[[% normaliz]:[% normaliz]],1)*(DATOS_[Conc.Sal.15])))))))), 0)</f>
        <v>0</v>
      </c>
      <c r="Y92" s="302" t="n">
        <f aca="false" t="array" ref="Y92:Y92">IFERROR( (AVERAGE((IF(DATOS_[[Sexo]:[Sexo]]=$B92,IF(DATOS_[[AGRUP. VALOR. PTO.]:[AGRUP. VALOR. PTO.]]=$B90,IF(DATOS_[[Check Periodo Ref.]:[Check Periodo Ref.]]="Dentro",IF(DATOS_[[Check Equiparado]:[Check Equiparado]]="Sí",IF(DATOS!AT$4="Sí",(1/DATOS_[[% anualiz]:[% anualiz]]),1)*IF(DATOS!AT$5="Sí",1/DATOS_[[% normaliz]:[% normaliz]],1)*(DATOS_[Conc.Sal.16])))))))), 0)</f>
        <v>0</v>
      </c>
      <c r="Z92" s="302" t="n">
        <f aca="false" t="array" ref="Z92:Z92">IFERROR( (AVERAGE((IF(DATOS_[[Sexo]:[Sexo]]=$B92,IF(DATOS_[[AGRUP. VALOR. PTO.]:[AGRUP. VALOR. PTO.]]=$B90,IF(DATOS_[[Check Periodo Ref.]:[Check Periodo Ref.]]="Dentro",IF(DATOS_[[Check Equiparado]:[Check Equiparado]]="Sí",IF(DATOS!AU$4="Sí",(1/DATOS_[[% anualiz]:[% anualiz]]),1)*IF(DATOS!AU$5="Sí",1/DATOS_[[% normaliz]:[% normaliz]],1)*(DATOS_[Conc.Sal.17])))))))), 0)</f>
        <v>0</v>
      </c>
      <c r="AA92" s="302" t="n">
        <f aca="false" t="array" ref="AA92:AA92">IFERROR( (AVERAGE((IF(DATOS_[[Sexo]:[Sexo]]=$B92,IF(DATOS_[[AGRUP. VALOR. PTO.]:[AGRUP. VALOR. PTO.]]=$B90,IF(DATOS_[[Check Periodo Ref.]:[Check Periodo Ref.]]="Dentro",IF(DATOS_[[Check Equiparado]:[Check Equiparado]]="Sí",IF(DATOS!AV$4="Sí",(1/DATOS_[[% anualiz]:[% anualiz]]),1)*IF(DATOS!AV$5="Sí",1/DATOS_[[% normaliz]:[% normaliz]],1)*(DATOS_[Conc.Sal.18])))))))), 0)</f>
        <v>0</v>
      </c>
      <c r="AB92" s="302" t="n">
        <f aca="false" t="array" ref="AB92:AB92">IFERROR( (AVERAGE((IF(DATOS_[[Sexo]:[Sexo]]=$B92,IF(DATOS_[[AGRUP. VALOR. PTO.]:[AGRUP. VALOR. PTO.]]=$B90,IF(DATOS_[[Check Periodo Ref.]:[Check Periodo Ref.]]="Dentro",IF(DATOS_[[Check Equiparado]:[Check Equiparado]]="Sí",IF(DATOS!AW$4="Sí",(1/DATOS_[[% anualiz]:[% anualiz]]),1)*IF(DATOS!AW$5="Sí",1/DATOS_[[% normaliz]:[% normaliz]],1)*(DATOS_[Conc.Sal.19])))))))), 0)</f>
        <v>0</v>
      </c>
      <c r="AC92" s="302" t="n">
        <f aca="false" t="array" ref="AC92:AC92">IFERROR( (AVERAGE((IF(DATOS_[[Sexo]:[Sexo]]=$B92,IF(DATOS_[[AGRUP. VALOR. PTO.]:[AGRUP. VALOR. PTO.]]=$B90,IF(DATOS_[[Check Periodo Ref.]:[Check Periodo Ref.]]="Dentro",IF(DATOS_[[Check Equiparado]:[Check Equiparado]]="Sí",IF(DATOS!AX$4="Sí",(1/DATOS_[[% anualiz]:[% anualiz]]),1)*IF(DATOS!AX$5="Sí",1/DATOS_[[% normaliz]:[% normaliz]],1)*(DATOS_[Conc.Sal.20])))))))), 0)</f>
        <v>0</v>
      </c>
      <c r="AD92" s="302" t="n">
        <f aca="false" t="array" ref="AD92:AD92">IFERROR( (AVERAGE((IF(DATOS_[[Sexo]:[Sexo]]=$B92,IF(DATOS_[[AGRUP. VALOR. PTO.]:[AGRUP. VALOR. PTO.]]=$B90,IF(DATOS_[[Check Periodo Ref.]:[Check Periodo Ref.]]="Dentro",IF(DATOS_[[Check Equiparado]:[Check Equiparado]]="Sí",IF(DATOS!AY$4="Sí",(1/DATOS_[[% anualiz]:[% anualiz]]),1)*IF(DATOS!AY$5="Sí",1/DATOS_[[% normaliz]:[% normaliz]],1)*(DATOS_[Conc.Sal.21])))))))), 0)</f>
        <v>0</v>
      </c>
      <c r="AE92" s="302" t="n">
        <f aca="false" t="array" ref="AE92:AE92">IFERROR( (AVERAGE((IF(DATOS_[[Sexo]:[Sexo]]=$B92,IF(DATOS_[[AGRUP. VALOR. PTO.]:[AGRUP. VALOR. PTO.]]=$B90,IF(DATOS_[[Check Periodo Ref.]:[Check Periodo Ref.]]="Dentro",IF(DATOS_[[Check Equiparado]:[Check Equiparado]]="Sí",IF(DATOS!AZ$4="Sí",(1/DATOS_[[% anualiz]:[% anualiz]]),1)*IF(DATOS!AZ$5="Sí",1/DATOS_[[% normaliz]:[% normaliz]],1)*(DATOS_[Conc.Sal.22])))))))), 0)</f>
        <v>0</v>
      </c>
      <c r="AF92" s="302" t="n">
        <f aca="false" t="array" ref="AF92:AF92">IFERROR( (AVERAGE((IF(DATOS_[[Sexo]:[Sexo]]=$B92,IF(DATOS_[[AGRUP. VALOR. PTO.]:[AGRUP. VALOR. PTO.]]=$B90,IF(DATOS_[[Check Periodo Ref.]:[Check Periodo Ref.]]="Dentro",IF(DATOS_[[Check Equiparado]:[Check Equiparado]]="Sí",IF(DATOS!BA$4="Sí",(1/DATOS_[[% anualiz]:[% anualiz]]),1)*IF(DATOS!BA$5="Sí",1/DATOS_[[% normaliz]:[% normaliz]],1)*(DATOS_[Conc.Sal.23])))))))), 0)</f>
        <v>0</v>
      </c>
      <c r="AG92" s="302" t="n">
        <f aca="false" t="array" ref="AG92:AG92">IFERROR( (AVERAGE((IF(DATOS_[[Sexo]:[Sexo]]=$B92,IF(DATOS_[[AGRUP. VALOR. PTO.]:[AGRUP. VALOR. PTO.]]=$B90,IF(DATOS_[[Check Periodo Ref.]:[Check Periodo Ref.]]="Dentro",IF(DATOS_[[Check Equiparado]:[Check Equiparado]]="Sí",IF(DATOS!BB$4="Sí",(1/DATOS_[[% anualiz]:[% anualiz]]),1)*IF(DATOS!BB$5="Sí",1/DATOS_[[% normaliz]:[% normaliz]],1)*(DATOS_[Conc.Sal.24])))))))), 0)</f>
        <v>0</v>
      </c>
      <c r="AH92" s="302" t="n">
        <f aca="false" t="array" ref="AH92:AH92">IFERROR( (AVERAGE((IF(DATOS_[[Sexo]:[Sexo]]=$B92,IF(DATOS_[[AGRUP. VALOR. PTO.]:[AGRUP. VALOR. PTO.]]=$B90,IF(DATOS_[[Check Periodo Ref.]:[Check Periodo Ref.]]="Dentro",IF(DATOS_[[Check Equiparado]:[Check Equiparado]]="Sí",IF(DATOS!BC$4="Sí",(1/DATOS_[[% anualiz]:[% anualiz]]),1)*IF(DATOS!BC$5="Sí",1/DATOS_[[% normaliz]:[% normaliz]],1)*(DATOS_[Conc.Sal.25])))))))), 0)</f>
        <v>0</v>
      </c>
      <c r="AI92" s="302" t="n">
        <f aca="false" t="array" ref="AI92:AI92">IFERROR( (AVERAGE((IF(DATOS_[[Sexo]:[Sexo]]=$B92,IF(DATOS_[[AGRUP. VALOR. PTO.]:[AGRUP. VALOR. PTO.]]=$B90,IF(DATOS_[[Check Periodo Ref.]:[Check Periodo Ref.]]="Dentro",IF(DATOS_[[Check Equiparado]:[Check Equiparado]]="Sí",IF(DATOS!BD$4="Sí",(1/DATOS_[[% anualiz]:[% anualiz]]),1)*IF(DATOS!BD$5="Sí",1/DATOS_[[% normaliz]:[% normaliz]],1)*(DATOS_[Conc.Sal.26])))))))), 0)</f>
        <v>0</v>
      </c>
      <c r="AJ92" s="302" t="n">
        <f aca="false" t="array" ref="AJ92:AJ92">IFERROR( (AVERAGE((IF(DATOS_[[Sexo]:[Sexo]]=$B92,IF(DATOS_[[AGRUP. VALOR. PTO.]:[AGRUP. VALOR. PTO.]]=$B90,IF(DATOS_[[Check Periodo Ref.]:[Check Periodo Ref.]]="Dentro",IF(DATOS_[[Check Equiparado]:[Check Equiparado]]="Sí",IF(DATOS!BE$4="Sí",(1/DATOS_[[% anualiz]:[% anualiz]]),1)*IF(DATOS!BE$5="Sí",1/DATOS_[[% normaliz]:[% normaliz]],1)*(DATOS_[Conc.Sal.27])))))))), 0)</f>
        <v>0</v>
      </c>
      <c r="AK92" s="302" t="n">
        <f aca="false" t="array" ref="AK92:AK92">IFERROR( (AVERAGE((IF(DATOS_[[Sexo]:[Sexo]]=$B92,IF(DATOS_[[AGRUP. VALOR. PTO.]:[AGRUP. VALOR. PTO.]]=$B90,IF(DATOS_[[Check Periodo Ref.]:[Check Periodo Ref.]]="Dentro",IF(DATOS_[[Check Equiparado]:[Check Equiparado]]="Sí",IF(DATOS!BF$4="Sí",(1/DATOS_[[% anualiz]:[% anualiz]]),1)*IF(DATOS!BF$5="Sí",1/DATOS_[[% normaliz]:[% normaliz]],1)*(DATOS_[Conc.Sal.28])))))))), 0)</f>
        <v>0</v>
      </c>
      <c r="AL92" s="302" t="n">
        <f aca="false" t="array" ref="AL92:AL92">IFERROR( (AVERAGE((IF(DATOS_[[Sexo]:[Sexo]]=$B92,IF(DATOS_[[AGRUP. VALOR. PTO.]:[AGRUP. VALOR. PTO.]]=$B90,IF(DATOS_[[Check Periodo Ref.]:[Check Periodo Ref.]]="Dentro",IF(DATOS_[[Check Equiparado]:[Check Equiparado]]="Sí",IF(DATOS!BG$4="Sí",(1/DATOS_[[% anualiz]:[% anualiz]]),1)*IF(DATOS!BG$5="Sí",1/DATOS_[[% normaliz]:[% normaliz]],1)*(DATOS_[Conc.Sal.29])))))))), 0)</f>
        <v>0</v>
      </c>
      <c r="AM92" s="302" t="n">
        <f aca="false" t="array" ref="AM92:AM92">IFERROR( (AVERAGE((IF(DATOS_[[Sexo]:[Sexo]]=$B92,IF(DATOS_[[AGRUP. VALOR. PTO.]:[AGRUP. VALOR. PTO.]]=$B90,IF(DATOS_[[Check Periodo Ref.]:[Check Periodo Ref.]]="Dentro",IF(DATOS_[[Check Equiparado]:[Check Equiparado]]="Sí",IF(DATOS!BH$4="Sí",(1/DATOS_[[% anualiz]:[% anualiz]]),1)*IF(DATOS!BH$5="Sí",1/DATOS_[[% normaliz]:[% normaliz]],1)*(DATOS_[Conc.Sal.30])))))))), 0)</f>
        <v>0</v>
      </c>
      <c r="AN92" s="294" t="n">
        <f aca="false" t="array" ref="AN92:AN92">IFERROR( AVERAGE(IF(DATOS_[Sexo]=$B92,IF(DATOS_[[AGRUP. VALOR. PTO.]:[AGRUP. VALOR. PTO.]]=$B90,IF(DATOS_[Check Equiparado]="Sí",IF(DATOS_[Check Periodo Ref.]="Dentro",DATOS_[Tot COMPL.SAL Eq],0))))), 0)</f>
        <v>0</v>
      </c>
      <c r="AO92" s="295" t="n">
        <f aca="false" t="array" ref="AO92:AO92">IFERROR( AVERAGE(IF(DATOS_[Sexo]=$B92,IF(DATOS_[[AGRUP. VALOR. PTO.]:[AGRUP. VALOR. PTO.]]=$B90,IF(DATOS_[Check Equiparado]="Sí",IF(DATOS_[Check Periodo Ref.]="Dentro",DATOS_[TOTAL SALARIO Eq],0))))), 0)</f>
        <v>0</v>
      </c>
      <c r="AP92" s="303" t="n">
        <f aca="false" t="array" ref="AP92:AP92">IFERROR( (AVERAGE((IF(DATOS_[[Sexo]:[Sexo]]=$B92,IF(DATOS_[[AGRUP. VALOR. PTO.]:[AGRUP. VALOR. PTO.]]=$B91,IF(DATOS_[[Check Periodo Ref.]:[Check Periodo Ref.]]="Dentro",IF(DATOS_[[Check Equiparado]:[Check Equiparado]]="Sí",IF(DATOS!BI$4="Sí",(1/DATOS_[[% anualiz]:[% anualiz]]),1)*IF(DATOS!BI$5="Sí",1/DATOS_[[% normaliz]:[% normaliz]],1)*(DATOS_[C.Extra.01])))))))), 0)</f>
        <v>0</v>
      </c>
      <c r="AQ92" s="303" t="n">
        <f aca="false" t="array" ref="AQ92:AQ92">IFERROR( (AVERAGE((IF(DATOS_[[Sexo]:[Sexo]]=$B92,IF(DATOS_[[AGRUP. VALOR. PTO.]:[AGRUP. VALOR. PTO.]]=$B91,IF(DATOS_[[Check Periodo Ref.]:[Check Periodo Ref.]]="Dentro",IF(DATOS_[[Check Equiparado]:[Check Equiparado]]="Sí",IF(DATOS!BJ$4="Sí",(1/DATOS_[[% anualiz]:[% anualiz]]),1)*IF(DATOS!BJ$5="Sí",1/DATOS_[[% normaliz]:[% normaliz]],1)*(DATOS_[C.Extra.02])))))))), 0)</f>
        <v>0</v>
      </c>
      <c r="AR92" s="303" t="n">
        <f aca="false" t="array" ref="AR92:AR92">IFERROR( (AVERAGE((IF(DATOS_[[Sexo]:[Sexo]]=$B92,IF(DATOS_[[AGRUP. VALOR. PTO.]:[AGRUP. VALOR. PTO.]]=$B91,IF(DATOS_[[Check Periodo Ref.]:[Check Periodo Ref.]]="Dentro",IF(DATOS_[[Check Equiparado]:[Check Equiparado]]="Sí",IF(DATOS!BK$4="Sí",(1/DATOS_[[% anualiz]:[% anualiz]]),1)*IF(DATOS!BK$5="Sí",1/DATOS_[[% normaliz]:[% normaliz]],1)*(DATOS_[C.Extra.03])))))))), 0)</f>
        <v>0</v>
      </c>
      <c r="AS92" s="303" t="n">
        <f aca="false" t="array" ref="AS92:AS92">IFERROR( (AVERAGE((IF(DATOS_[[Sexo]:[Sexo]]=$B92,IF(DATOS_[[AGRUP. VALOR. PTO.]:[AGRUP. VALOR. PTO.]]=$B91,IF(DATOS_[[Check Periodo Ref.]:[Check Periodo Ref.]]="Dentro",IF(DATOS_[[Check Equiparado]:[Check Equiparado]]="Sí",IF(DATOS!BL$4="Sí",(1/DATOS_[[% anualiz]:[% anualiz]]),1)*IF(DATOS!BL$5="Sí",1/DATOS_[[% normaliz]:[% normaliz]],1)*(DATOS_[C.Extra.04])))))))), 0)</f>
        <v>0</v>
      </c>
      <c r="AT92" s="303" t="n">
        <f aca="false" t="array" ref="AT92:AT92">IFERROR( (AVERAGE((IF(DATOS_[[Sexo]:[Sexo]]=$B92,IF(DATOS_[[AGRUP. VALOR. PTO.]:[AGRUP. VALOR. PTO.]]=$B91,IF(DATOS_[[Check Periodo Ref.]:[Check Periodo Ref.]]="Dentro",IF(DATOS_[[Check Equiparado]:[Check Equiparado]]="Sí",IF(DATOS!BM$4="Sí",(1/DATOS_[[% anualiz]:[% anualiz]]),1)*IF(DATOS!BM$5="Sí",1/DATOS_[[% normaliz]:[% normaliz]],1)*(DATOS_[C.Extra.05])))))))), 0)</f>
        <v>0</v>
      </c>
      <c r="AU92" s="297" t="n">
        <f aca="false" t="array" ref="AU92:AU92">IFERROR( AVERAGE(IF(DATOS_[Sexo]=$B92,IF(DATOS_[[AGRUP. VALOR. PTO.]:[AGRUP. VALOR. PTO.]]=$B90,IF(DATOS_[Check Equiparado]="Sí",IF(DATOS_[Check Periodo Ref.]="Dentro",DATOS_[Tot Extrasalarial Eq],0))))), 0)</f>
        <v>0</v>
      </c>
      <c r="AV92" s="298" t="n">
        <f aca="false" t="array" ref="AV92:AV92">IFERROR( AVERAGE(IF(DATOS_[Sexo]=$B92,IF(DATOS_[[AGRUP. VALOR. PTO.]:[AGRUP. VALOR. PTO.]]=$B90,IF(DATOS_[Check Equiparado]="Sí",IF(DATOS_[Check Periodo Ref.]="Dentro",DATOS_[TOTAL Retrib Eq],0))))), 0)</f>
        <v>0</v>
      </c>
    </row>
    <row r="93" customFormat="false" ht="15.75" hidden="false" customHeight="false" outlineLevel="0" collapsed="false">
      <c r="A93" s="166" t="str">
        <f aca="false">+A94</f>
        <v>[ocultar]</v>
      </c>
      <c r="B93" s="276" t="s">
        <v>247</v>
      </c>
      <c r="C93" s="277"/>
      <c r="D93" s="278"/>
      <c r="E93" s="278"/>
      <c r="F93" s="278"/>
      <c r="G93" s="278"/>
      <c r="H93" s="278"/>
      <c r="I93" s="279" t="str">
        <f aca="false">IFERROR((I94-I95)/I94,"")</f>
        <v/>
      </c>
      <c r="J93" s="280" t="str">
        <f aca="false">IFERROR((J94-J95)/J94,"")</f>
        <v/>
      </c>
      <c r="K93" s="281" t="str">
        <f aca="false">IFERROR((K94-K95)/K94,"")</f>
        <v/>
      </c>
      <c r="L93" s="281" t="str">
        <f aca="false">IFERROR((L94-L95)/L94,"")</f>
        <v/>
      </c>
      <c r="M93" s="281" t="str">
        <f aca="false">IFERROR((M94-M95)/M94,"")</f>
        <v/>
      </c>
      <c r="N93" s="282" t="str">
        <f aca="false">IFERROR((N94-N95)/N94,"")</f>
        <v/>
      </c>
      <c r="O93" s="283" t="str">
        <f aca="false">IFERROR((O94-O95)/O94,"")</f>
        <v/>
      </c>
      <c r="P93" s="283" t="str">
        <f aca="false">IFERROR((P94-P95)/P94,"")</f>
        <v/>
      </c>
      <c r="Q93" s="283" t="str">
        <f aca="false">IFERROR((Q94-Q95)/Q94,"")</f>
        <v/>
      </c>
      <c r="R93" s="283" t="str">
        <f aca="false">IFERROR((R94-R95)/R94,"")</f>
        <v/>
      </c>
      <c r="S93" s="283" t="str">
        <f aca="false">IFERROR((S94-S95)/S94,"")</f>
        <v/>
      </c>
      <c r="T93" s="283" t="str">
        <f aca="false">IFERROR((T94-T95)/T94,"")</f>
        <v/>
      </c>
      <c r="U93" s="283" t="str">
        <f aca="false">IFERROR((U94-U95)/U94,"")</f>
        <v/>
      </c>
      <c r="V93" s="283" t="str">
        <f aca="false">IFERROR((V94-V95)/V94,"")</f>
        <v/>
      </c>
      <c r="W93" s="283" t="str">
        <f aca="false">IFERROR((W94-W95)/W94,"")</f>
        <v/>
      </c>
      <c r="X93" s="283" t="str">
        <f aca="false">IFERROR((X94-X95)/X94,"")</f>
        <v/>
      </c>
      <c r="Y93" s="283" t="str">
        <f aca="false">IFERROR((Y94-Y95)/Y94,"")</f>
        <v/>
      </c>
      <c r="Z93" s="282" t="str">
        <f aca="false">IFERROR((Z94-Z95)/Z94,"")</f>
        <v/>
      </c>
      <c r="AA93" s="282" t="str">
        <f aca="false">IFERROR((AA94-AA95)/AA94,"")</f>
        <v/>
      </c>
      <c r="AB93" s="282" t="str">
        <f aca="false">IFERROR((AB94-AB95)/AB94,"")</f>
        <v/>
      </c>
      <c r="AC93" s="282" t="str">
        <f aca="false">IFERROR((AC94-AC95)/AC94,"")</f>
        <v/>
      </c>
      <c r="AD93" s="282" t="str">
        <f aca="false">IFERROR((AD94-AD95)/AD94,"")</f>
        <v/>
      </c>
      <c r="AE93" s="282" t="str">
        <f aca="false">IFERROR((AE94-AE95)/AE94,"")</f>
        <v/>
      </c>
      <c r="AF93" s="282" t="str">
        <f aca="false">IFERROR((AF94-AF95)/AF94,"")</f>
        <v/>
      </c>
      <c r="AG93" s="282" t="str">
        <f aca="false">IFERROR((AG94-AG95)/AG94,"")</f>
        <v/>
      </c>
      <c r="AH93" s="282" t="str">
        <f aca="false">IFERROR((AH94-AH95)/AH94,"")</f>
        <v/>
      </c>
      <c r="AI93" s="282" t="str">
        <f aca="false">IFERROR((AI94-AI95)/AI94,"")</f>
        <v/>
      </c>
      <c r="AJ93" s="282" t="str">
        <f aca="false">IFERROR((AJ94-AJ95)/AJ94,"")</f>
        <v/>
      </c>
      <c r="AK93" s="282" t="str">
        <f aca="false">IFERROR((AK94-AK95)/AK94,"")</f>
        <v/>
      </c>
      <c r="AL93" s="282" t="str">
        <f aca="false">IFERROR((AL94-AL95)/AL94,"")</f>
        <v/>
      </c>
      <c r="AM93" s="282" t="str">
        <f aca="false">IFERROR((AM94-AM95)/AM94,"")</f>
        <v/>
      </c>
      <c r="AN93" s="284" t="str">
        <f aca="false">IFERROR((AN94-AN95)/AN94,"")</f>
        <v/>
      </c>
      <c r="AO93" s="285" t="str">
        <f aca="false">IFERROR((AO94-AO95)/AO94,"")</f>
        <v/>
      </c>
      <c r="AP93" s="286" t="str">
        <f aca="false">IFERROR((AP94-AP95)/AP94,"")</f>
        <v/>
      </c>
      <c r="AQ93" s="286" t="str">
        <f aca="false">IFERROR((AQ94-AQ95)/AQ94,"")</f>
        <v/>
      </c>
      <c r="AR93" s="286" t="str">
        <f aca="false">IFERROR((AR94-AR95)/AR94,"")</f>
        <v/>
      </c>
      <c r="AS93" s="286" t="str">
        <f aca="false">IFERROR((AS94-AS95)/AS94,"")</f>
        <v/>
      </c>
      <c r="AT93" s="286" t="str">
        <f aca="false">IFERROR((AT94-AT95)/AT94,"")</f>
        <v/>
      </c>
      <c r="AU93" s="287" t="str">
        <f aca="false">IFERROR((AU94-AU95)/AU94,"")</f>
        <v/>
      </c>
      <c r="AV93" s="288" t="str">
        <f aca="false">IFERROR((AV94-AV95)/AV94,"")</f>
        <v/>
      </c>
    </row>
    <row r="94" customFormat="false" ht="14.25" hidden="false" customHeight="false" outlineLevel="0" collapsed="false">
      <c r="A94" s="166" t="str">
        <f aca="false">+IF(C94+C95=0,"[ocultar]","")</f>
        <v>[ocultar]</v>
      </c>
      <c r="B94" s="289" t="s">
        <v>371</v>
      </c>
      <c r="C94" s="290" t="n">
        <f aca="false" t="array" ref="C94:C94">SUM(IF($B94=DATOS_[Sexo], IF($B93=DATOS_[AGRUP. VALOR. PTO.], IF("Dentro"=DATOS_[Check Periodo Ref.], 1/(COUNTIFS(DATOS_[Sexo],$B94,DATOS_[AGRUP. VALOR. PTO.],$B93,DATOS_[Check Periodo Ref.],"Dentro",DATOS_[id],DATOS_[id]))))))</f>
        <v>0</v>
      </c>
      <c r="D94" s="291" t="n">
        <f aca="false">COUNTIFS(DATOS_[AGRUP. VALOR. PTO.],$B93,DATOS_[Sexo],$B94,DATOS_[Check Periodo Ref.],"Dentro")</f>
        <v>0</v>
      </c>
      <c r="E94" s="291" t="n">
        <f aca="false">COUNTIFS(DATOS_[AGRUP. VALOR. PTO.],$B93,DATOS_[Sexo],$B94,DATOS_[Check Periodo Ref.],"Dentro",DATOS_[Check Nº SC Norm],"Sí")</f>
        <v>0</v>
      </c>
      <c r="F94" s="291" t="n">
        <f aca="false">COUNTIFS(DATOS_[AGRUP. VALOR. PTO.],$B93,DATOS_[Sexo],$B94,DATOS_[Check Periodo Ref.],"Dentro",DATOS_[Check Nº SC Anualiz],"Sí")</f>
        <v>0</v>
      </c>
      <c r="G94" s="291" t="n">
        <f aca="false">COUNTIFS(DATOS_[AGRUP. VALOR. PTO.],$B93,DATOS_[Sexo],$B94,DATOS_[Check Periodo Ref.],"Dentro",DATOS_[Check Nº SC Norm y Anualiz],"Sí")</f>
        <v>0</v>
      </c>
      <c r="H94" s="291" t="n">
        <f aca="false">COUNTIFS(DATOS_[AGRUP. VALOR. PTO.],$B93,DATOS_[Sexo],$B94,DATOS_[Check Periodo Ref.],"Dentro",DATOS_[Check Equiparación],"Sí")</f>
        <v>0</v>
      </c>
      <c r="I94" s="292" t="n">
        <f aca="false" t="array" ref="I94:I94">IFERROR( AVERAGE(IF(DATOS_[Sexo]=$B94,IF(DATOS_[[AGRUP. VALOR. PTO.]:[AGRUP. VALOR. PTO.]]=$B93,IF(DATOS_[Check Equiparado]="Sí",IF(DATOS_[Check Periodo Ref.]="Dentro",DATOS_[SALARIO BASE Eq],0))))), 0)</f>
        <v>0</v>
      </c>
      <c r="J94" s="302" t="n">
        <f aca="false" t="array" ref="J94:J94">IFERROR( (AVERAGE((IF(DATOS_[[Sexo]:[Sexo]]=$B94,IF(DATOS_[[AGRUP. VALOR. PTO.]:[AGRUP. VALOR. PTO.]]=$B93,IF(DATOS_[[Check Periodo Ref.]:[Check Periodo Ref.]]="Dentro",IF(DATOS_[[Check Equiparado]:[Check Equiparado]]="Sí",IF(DATOS!AE$4="Sí",(1/DATOS_[[% anualiz]:[% anualiz]]),1)*IF(DATOS!AE$5="Sí",1/DATOS_[[% normaliz]:[% normaliz]],1)*(DATOS_[Conc.Sal.01])))))))), 0)</f>
        <v>0</v>
      </c>
      <c r="K94" s="302" t="n">
        <f aca="false" t="array" ref="K94:K94">IFERROR( (AVERAGE((IF(DATOS_[[Sexo]:[Sexo]]=$B94,IF(DATOS_[[AGRUP. VALOR. PTO.]:[AGRUP. VALOR. PTO.]]=$B93,IF(DATOS_[[Check Periodo Ref.]:[Check Periodo Ref.]]="Dentro",IF(DATOS_[[Check Equiparado]:[Check Equiparado]]="Sí",IF(DATOS!AF$4="Sí",(1/DATOS_[[% anualiz]:[% anualiz]]),1)*IF(DATOS!AF$5="Sí",1/DATOS_[[% normaliz]:[% normaliz]],1)*(DATOS_[Conc.Sal.02])))))))), 0)</f>
        <v>0</v>
      </c>
      <c r="L94" s="302" t="n">
        <f aca="false" t="array" ref="L94:L94">IFERROR( (AVERAGE((IF(DATOS_[[Sexo]:[Sexo]]=$B94,IF(DATOS_[[AGRUP. VALOR. PTO.]:[AGRUP. VALOR. PTO.]]=$B93,IF(DATOS_[[Check Periodo Ref.]:[Check Periodo Ref.]]="Dentro",IF(DATOS_[[Check Equiparado]:[Check Equiparado]]="Sí",IF(DATOS!AG$4="Sí",(1/DATOS_[[% anualiz]:[% anualiz]]),1)*IF(DATOS!AG$5="Sí",1/DATOS_[[% normaliz]:[% normaliz]],1)*(DATOS_[Conc.Sal.03])))))))), 0)</f>
        <v>0</v>
      </c>
      <c r="M94" s="302" t="n">
        <f aca="false" t="array" ref="M94:M94">IFERROR( (AVERAGE((IF(DATOS_[[Sexo]:[Sexo]]=$B94,IF(DATOS_[[AGRUP. VALOR. PTO.]:[AGRUP. VALOR. PTO.]]=$B93,IF(DATOS_[[Check Periodo Ref.]:[Check Periodo Ref.]]="Dentro",IF(DATOS_[[Check Equiparado]:[Check Equiparado]]="Sí",IF(DATOS!AH$4="Sí",(1/DATOS_[[% anualiz]:[% anualiz]]),1)*IF(DATOS!AH$5="Sí",1/DATOS_[[% normaliz]:[% normaliz]],1)*(DATOS_[Conc.Sal.04])))))))), 0)</f>
        <v>0</v>
      </c>
      <c r="N94" s="302" t="n">
        <f aca="false" t="array" ref="N94:N94">IFERROR( (AVERAGE((IF(DATOS_[[Sexo]:[Sexo]]=$B94,IF(DATOS_[[AGRUP. VALOR. PTO.]:[AGRUP. VALOR. PTO.]]=$B93,IF(DATOS_[[Check Periodo Ref.]:[Check Periodo Ref.]]="Dentro",IF(DATOS_[[Check Equiparado]:[Check Equiparado]]="Sí",IF(DATOS!AI$4="Sí",(1/DATOS_[[% anualiz]:[% anualiz]]),1)*IF(DATOS!AI$5="Sí",1/DATOS_[[% normaliz]:[% normaliz]],1)*(DATOS_[Conc.Sal.05])))))))), 0)</f>
        <v>0</v>
      </c>
      <c r="O94" s="302" t="n">
        <f aca="false" t="array" ref="O94:O94">IFERROR( (AVERAGE((IF(DATOS_[[Sexo]:[Sexo]]=$B94,IF(DATOS_[[AGRUP. VALOR. PTO.]:[AGRUP. VALOR. PTO.]]=$B93,IF(DATOS_[[Check Periodo Ref.]:[Check Periodo Ref.]]="Dentro",IF(DATOS_[[Check Equiparado]:[Check Equiparado]]="Sí",IF(DATOS!AJ$4="Sí",(1/DATOS_[[% anualiz]:[% anualiz]]),1)*IF(DATOS!AJ$5="Sí",1/DATOS_[[% normaliz]:[% normaliz]],1)*(DATOS_[Conc.Sal.06])))))))), 0)</f>
        <v>0</v>
      </c>
      <c r="P94" s="302" t="n">
        <f aca="false" t="array" ref="P94:P94">IFERROR( (AVERAGE((IF(DATOS_[[Sexo]:[Sexo]]=$B94,IF(DATOS_[[AGRUP. VALOR. PTO.]:[AGRUP. VALOR. PTO.]]=$B93,IF(DATOS_[[Check Periodo Ref.]:[Check Periodo Ref.]]="Dentro",IF(DATOS_[[Check Equiparado]:[Check Equiparado]]="Sí",IF(DATOS!AK$4="Sí",(1/DATOS_[[% anualiz]:[% anualiz]]),1)*IF(DATOS!AK$5="Sí",1/DATOS_[[% normaliz]:[% normaliz]],1)*(DATOS_[Conc.Sal.07])))))))), 0)</f>
        <v>0</v>
      </c>
      <c r="Q94" s="302" t="n">
        <f aca="false" t="array" ref="Q94:Q94">IFERROR( (AVERAGE((IF(DATOS_[[Sexo]:[Sexo]]=$B94,IF(DATOS_[[AGRUP. VALOR. PTO.]:[AGRUP. VALOR. PTO.]]=$B93,IF(DATOS_[[Check Periodo Ref.]:[Check Periodo Ref.]]="Dentro",IF(DATOS_[[Check Equiparado]:[Check Equiparado]]="Sí",IF(DATOS!AL$4="Sí",(1/DATOS_[[% anualiz]:[% anualiz]]),1)*IF(DATOS!AL$5="Sí",1/DATOS_[[% normaliz]:[% normaliz]],1)*(DATOS_[Conc.Sal.08])))))))), 0)</f>
        <v>0</v>
      </c>
      <c r="R94" s="302" t="n">
        <f aca="false" t="array" ref="R94:R94">IFERROR( (AVERAGE((IF(DATOS_[[Sexo]:[Sexo]]=$B94,IF(DATOS_[[AGRUP. VALOR. PTO.]:[AGRUP. VALOR. PTO.]]=$B93,IF(DATOS_[[Check Periodo Ref.]:[Check Periodo Ref.]]="Dentro",IF(DATOS_[[Check Equiparado]:[Check Equiparado]]="Sí",IF(DATOS!AM$4="Sí",(1/DATOS_[[% anualiz]:[% anualiz]]),1)*IF(DATOS!AM$5="Sí",1/DATOS_[[% normaliz]:[% normaliz]],1)*(DATOS_[Conc.Sal.09])))))))), 0)</f>
        <v>0</v>
      </c>
      <c r="S94" s="302" t="n">
        <f aca="false" t="array" ref="S94:S94">IFERROR( (AVERAGE((IF(DATOS_[[Sexo]:[Sexo]]=$B94,IF(DATOS_[[AGRUP. VALOR. PTO.]:[AGRUP. VALOR. PTO.]]=$B93,IF(DATOS_[[Check Periodo Ref.]:[Check Periodo Ref.]]="Dentro",IF(DATOS_[[Check Equiparado]:[Check Equiparado]]="Sí",IF(DATOS!AN$4="Sí",(1/DATOS_[[% anualiz]:[% anualiz]]),1)*IF(DATOS!AN$5="Sí",1/DATOS_[[% normaliz]:[% normaliz]],1)*(DATOS_[Conc.Sal.10])))))))), 0)</f>
        <v>0</v>
      </c>
      <c r="T94" s="302" t="n">
        <f aca="false" t="array" ref="T94:T94">IFERROR( (AVERAGE((IF(DATOS_[[Sexo]:[Sexo]]=$B94,IF(DATOS_[[AGRUP. VALOR. PTO.]:[AGRUP. VALOR. PTO.]]=$B93,IF(DATOS_[[Check Periodo Ref.]:[Check Periodo Ref.]]="Dentro",IF(DATOS_[[Check Equiparado]:[Check Equiparado]]="Sí",IF(DATOS!AO$4="Sí",(1/DATOS_[[% anualiz]:[% anualiz]]),1)*IF(DATOS!AO$5="Sí",1/DATOS_[[% normaliz]:[% normaliz]],1)*(DATOS_[Conc.Sal.11])))))))), 0)</f>
        <v>0</v>
      </c>
      <c r="U94" s="302" t="n">
        <f aca="false" t="array" ref="U94:U94">IFERROR( (AVERAGE((IF(DATOS_[[Sexo]:[Sexo]]=$B94,IF(DATOS_[[AGRUP. VALOR. PTO.]:[AGRUP. VALOR. PTO.]]=$B93,IF(DATOS_[[Check Periodo Ref.]:[Check Periodo Ref.]]="Dentro",IF(DATOS_[[Check Equiparado]:[Check Equiparado]]="Sí",IF(DATOS!AP$4="Sí",(1/DATOS_[[% anualiz]:[% anualiz]]),1)*IF(DATOS!AP$5="Sí",1/DATOS_[[% normaliz]:[% normaliz]],1)*(DATOS_[Conc.Sal.12])))))))), 0)</f>
        <v>0</v>
      </c>
      <c r="V94" s="302" t="n">
        <f aca="false" t="array" ref="V94:V94">IFERROR( (AVERAGE((IF(DATOS_[[Sexo]:[Sexo]]=$B94,IF(DATOS_[[AGRUP. VALOR. PTO.]:[AGRUP. VALOR. PTO.]]=$B93,IF(DATOS_[[Check Periodo Ref.]:[Check Periodo Ref.]]="Dentro",IF(DATOS_[[Check Equiparado]:[Check Equiparado]]="Sí",IF(DATOS!AQ$4="Sí",(1/DATOS_[[% anualiz]:[% anualiz]]),1)*IF(DATOS!AQ$5="Sí",1/DATOS_[[% normaliz]:[% normaliz]],1)*(DATOS_[Conc.Sal.13])))))))), 0)</f>
        <v>0</v>
      </c>
      <c r="W94" s="302" t="n">
        <f aca="false" t="array" ref="W94:W94">IFERROR( (AVERAGE((IF(DATOS_[[Sexo]:[Sexo]]=$B94,IF(DATOS_[[AGRUP. VALOR. PTO.]:[AGRUP. VALOR. PTO.]]=$B93,IF(DATOS_[[Check Periodo Ref.]:[Check Periodo Ref.]]="Dentro",IF(DATOS_[[Check Equiparado]:[Check Equiparado]]="Sí",IF(DATOS!AR$4="Sí",(1/DATOS_[[% anualiz]:[% anualiz]]),1)*IF(DATOS!AR$5="Sí",1/DATOS_[[% normaliz]:[% normaliz]],1)*(DATOS_[Conc.Sal.14])))))))), 0)</f>
        <v>0</v>
      </c>
      <c r="X94" s="302" t="n">
        <f aca="false" t="array" ref="X94:X94">IFERROR( (AVERAGE((IF(DATOS_[[Sexo]:[Sexo]]=$B94,IF(DATOS_[[AGRUP. VALOR. PTO.]:[AGRUP. VALOR. PTO.]]=$B93,IF(DATOS_[[Check Periodo Ref.]:[Check Periodo Ref.]]="Dentro",IF(DATOS_[[Check Equiparado]:[Check Equiparado]]="Sí",IF(DATOS!AS$4="Sí",(1/DATOS_[[% anualiz]:[% anualiz]]),1)*IF(DATOS!AS$5="Sí",1/DATOS_[[% normaliz]:[% normaliz]],1)*(DATOS_[Conc.Sal.15])))))))), 0)</f>
        <v>0</v>
      </c>
      <c r="Y94" s="302" t="n">
        <f aca="false" t="array" ref="Y94:Y94">IFERROR( (AVERAGE((IF(DATOS_[[Sexo]:[Sexo]]=$B94,IF(DATOS_[[AGRUP. VALOR. PTO.]:[AGRUP. VALOR. PTO.]]=$B93,IF(DATOS_[[Check Periodo Ref.]:[Check Periodo Ref.]]="Dentro",IF(DATOS_[[Check Equiparado]:[Check Equiparado]]="Sí",IF(DATOS!AT$4="Sí",(1/DATOS_[[% anualiz]:[% anualiz]]),1)*IF(DATOS!AT$5="Sí",1/DATOS_[[% normaliz]:[% normaliz]],1)*(DATOS_[Conc.Sal.16])))))))), 0)</f>
        <v>0</v>
      </c>
      <c r="Z94" s="302" t="n">
        <f aca="false" t="array" ref="Z94:Z94">IFERROR( (AVERAGE((IF(DATOS_[[Sexo]:[Sexo]]=$B94,IF(DATOS_[[AGRUP. VALOR. PTO.]:[AGRUP. VALOR. PTO.]]=$B93,IF(DATOS_[[Check Periodo Ref.]:[Check Periodo Ref.]]="Dentro",IF(DATOS_[[Check Equiparado]:[Check Equiparado]]="Sí",IF(DATOS!AU$4="Sí",(1/DATOS_[[% anualiz]:[% anualiz]]),1)*IF(DATOS!AU$5="Sí",1/DATOS_[[% normaliz]:[% normaliz]],1)*(DATOS_[Conc.Sal.17])))))))), 0)</f>
        <v>0</v>
      </c>
      <c r="AA94" s="302" t="n">
        <f aca="false" t="array" ref="AA94:AA94">IFERROR( (AVERAGE((IF(DATOS_[[Sexo]:[Sexo]]=$B94,IF(DATOS_[[AGRUP. VALOR. PTO.]:[AGRUP. VALOR. PTO.]]=$B93,IF(DATOS_[[Check Periodo Ref.]:[Check Periodo Ref.]]="Dentro",IF(DATOS_[[Check Equiparado]:[Check Equiparado]]="Sí",IF(DATOS!AV$4="Sí",(1/DATOS_[[% anualiz]:[% anualiz]]),1)*IF(DATOS!AV$5="Sí",1/DATOS_[[% normaliz]:[% normaliz]],1)*(DATOS_[Conc.Sal.18])))))))), 0)</f>
        <v>0</v>
      </c>
      <c r="AB94" s="302" t="n">
        <f aca="false" t="array" ref="AB94:AB94">IFERROR( (AVERAGE((IF(DATOS_[[Sexo]:[Sexo]]=$B94,IF(DATOS_[[AGRUP. VALOR. PTO.]:[AGRUP. VALOR. PTO.]]=$B93,IF(DATOS_[[Check Periodo Ref.]:[Check Periodo Ref.]]="Dentro",IF(DATOS_[[Check Equiparado]:[Check Equiparado]]="Sí",IF(DATOS!AW$4="Sí",(1/DATOS_[[% anualiz]:[% anualiz]]),1)*IF(DATOS!AW$5="Sí",1/DATOS_[[% normaliz]:[% normaliz]],1)*(DATOS_[Conc.Sal.19])))))))), 0)</f>
        <v>0</v>
      </c>
      <c r="AC94" s="302" t="n">
        <f aca="false" t="array" ref="AC94:AC94">IFERROR( (AVERAGE((IF(DATOS_[[Sexo]:[Sexo]]=$B94,IF(DATOS_[[AGRUP. VALOR. PTO.]:[AGRUP. VALOR. PTO.]]=$B93,IF(DATOS_[[Check Periodo Ref.]:[Check Periodo Ref.]]="Dentro",IF(DATOS_[[Check Equiparado]:[Check Equiparado]]="Sí",IF(DATOS!AX$4="Sí",(1/DATOS_[[% anualiz]:[% anualiz]]),1)*IF(DATOS!AX$5="Sí",1/DATOS_[[% normaliz]:[% normaliz]],1)*(DATOS_[Conc.Sal.20])))))))), 0)</f>
        <v>0</v>
      </c>
      <c r="AD94" s="302" t="n">
        <f aca="false" t="array" ref="AD94:AD94">IFERROR( (AVERAGE((IF(DATOS_[[Sexo]:[Sexo]]=$B94,IF(DATOS_[[AGRUP. VALOR. PTO.]:[AGRUP. VALOR. PTO.]]=$B93,IF(DATOS_[[Check Periodo Ref.]:[Check Periodo Ref.]]="Dentro",IF(DATOS_[[Check Equiparado]:[Check Equiparado]]="Sí",IF(DATOS!AY$4="Sí",(1/DATOS_[[% anualiz]:[% anualiz]]),1)*IF(DATOS!AY$5="Sí",1/DATOS_[[% normaliz]:[% normaliz]],1)*(DATOS_[Conc.Sal.21])))))))), 0)</f>
        <v>0</v>
      </c>
      <c r="AE94" s="302" t="n">
        <f aca="false" t="array" ref="AE94:AE94">IFERROR( (AVERAGE((IF(DATOS_[[Sexo]:[Sexo]]=$B94,IF(DATOS_[[AGRUP. VALOR. PTO.]:[AGRUP. VALOR. PTO.]]=$B93,IF(DATOS_[[Check Periodo Ref.]:[Check Periodo Ref.]]="Dentro",IF(DATOS_[[Check Equiparado]:[Check Equiparado]]="Sí",IF(DATOS!AZ$4="Sí",(1/DATOS_[[% anualiz]:[% anualiz]]),1)*IF(DATOS!AZ$5="Sí",1/DATOS_[[% normaliz]:[% normaliz]],1)*(DATOS_[Conc.Sal.22])))))))), 0)</f>
        <v>0</v>
      </c>
      <c r="AF94" s="302" t="n">
        <f aca="false" t="array" ref="AF94:AF94">IFERROR( (AVERAGE((IF(DATOS_[[Sexo]:[Sexo]]=$B94,IF(DATOS_[[AGRUP. VALOR. PTO.]:[AGRUP. VALOR. PTO.]]=$B93,IF(DATOS_[[Check Periodo Ref.]:[Check Periodo Ref.]]="Dentro",IF(DATOS_[[Check Equiparado]:[Check Equiparado]]="Sí",IF(DATOS!BA$4="Sí",(1/DATOS_[[% anualiz]:[% anualiz]]),1)*IF(DATOS!BA$5="Sí",1/DATOS_[[% normaliz]:[% normaliz]],1)*(DATOS_[Conc.Sal.23])))))))), 0)</f>
        <v>0</v>
      </c>
      <c r="AG94" s="302" t="n">
        <f aca="false" t="array" ref="AG94:AG94">IFERROR( (AVERAGE((IF(DATOS_[[Sexo]:[Sexo]]=$B94,IF(DATOS_[[AGRUP. VALOR. PTO.]:[AGRUP. VALOR. PTO.]]=$B93,IF(DATOS_[[Check Periodo Ref.]:[Check Periodo Ref.]]="Dentro",IF(DATOS_[[Check Equiparado]:[Check Equiparado]]="Sí",IF(DATOS!BB$4="Sí",(1/DATOS_[[% anualiz]:[% anualiz]]),1)*IF(DATOS!BB$5="Sí",1/DATOS_[[% normaliz]:[% normaliz]],1)*(DATOS_[Conc.Sal.24])))))))), 0)</f>
        <v>0</v>
      </c>
      <c r="AH94" s="302" t="n">
        <f aca="false" t="array" ref="AH94:AH94">IFERROR( (AVERAGE((IF(DATOS_[[Sexo]:[Sexo]]=$B94,IF(DATOS_[[AGRUP. VALOR. PTO.]:[AGRUP. VALOR. PTO.]]=$B93,IF(DATOS_[[Check Periodo Ref.]:[Check Periodo Ref.]]="Dentro",IF(DATOS_[[Check Equiparado]:[Check Equiparado]]="Sí",IF(DATOS!BC$4="Sí",(1/DATOS_[[% anualiz]:[% anualiz]]),1)*IF(DATOS!BC$5="Sí",1/DATOS_[[% normaliz]:[% normaliz]],1)*(DATOS_[Conc.Sal.25])))))))), 0)</f>
        <v>0</v>
      </c>
      <c r="AI94" s="302" t="n">
        <f aca="false" t="array" ref="AI94:AI94">IFERROR( (AVERAGE((IF(DATOS_[[Sexo]:[Sexo]]=$B94,IF(DATOS_[[AGRUP. VALOR. PTO.]:[AGRUP. VALOR. PTO.]]=$B93,IF(DATOS_[[Check Periodo Ref.]:[Check Periodo Ref.]]="Dentro",IF(DATOS_[[Check Equiparado]:[Check Equiparado]]="Sí",IF(DATOS!BD$4="Sí",(1/DATOS_[[% anualiz]:[% anualiz]]),1)*IF(DATOS!BD$5="Sí",1/DATOS_[[% normaliz]:[% normaliz]],1)*(DATOS_[Conc.Sal.26])))))))), 0)</f>
        <v>0</v>
      </c>
      <c r="AJ94" s="302" t="n">
        <f aca="false" t="array" ref="AJ94:AJ94">IFERROR( (AVERAGE((IF(DATOS_[[Sexo]:[Sexo]]=$B94,IF(DATOS_[[AGRUP. VALOR. PTO.]:[AGRUP. VALOR. PTO.]]=$B93,IF(DATOS_[[Check Periodo Ref.]:[Check Periodo Ref.]]="Dentro",IF(DATOS_[[Check Equiparado]:[Check Equiparado]]="Sí",IF(DATOS!BE$4="Sí",(1/DATOS_[[% anualiz]:[% anualiz]]),1)*IF(DATOS!BE$5="Sí",1/DATOS_[[% normaliz]:[% normaliz]],1)*(DATOS_[Conc.Sal.27])))))))), 0)</f>
        <v>0</v>
      </c>
      <c r="AK94" s="302" t="n">
        <f aca="false" t="array" ref="AK94:AK94">IFERROR( (AVERAGE((IF(DATOS_[[Sexo]:[Sexo]]=$B94,IF(DATOS_[[AGRUP. VALOR. PTO.]:[AGRUP. VALOR. PTO.]]=$B93,IF(DATOS_[[Check Periodo Ref.]:[Check Periodo Ref.]]="Dentro",IF(DATOS_[[Check Equiparado]:[Check Equiparado]]="Sí",IF(DATOS!BF$4="Sí",(1/DATOS_[[% anualiz]:[% anualiz]]),1)*IF(DATOS!BF$5="Sí",1/DATOS_[[% normaliz]:[% normaliz]],1)*(DATOS_[Conc.Sal.28])))))))), 0)</f>
        <v>0</v>
      </c>
      <c r="AL94" s="302" t="n">
        <f aca="false" t="array" ref="AL94:AL94">IFERROR( (AVERAGE((IF(DATOS_[[Sexo]:[Sexo]]=$B94,IF(DATOS_[[AGRUP. VALOR. PTO.]:[AGRUP. VALOR. PTO.]]=$B93,IF(DATOS_[[Check Periodo Ref.]:[Check Periodo Ref.]]="Dentro",IF(DATOS_[[Check Equiparado]:[Check Equiparado]]="Sí",IF(DATOS!BG$4="Sí",(1/DATOS_[[% anualiz]:[% anualiz]]),1)*IF(DATOS!BG$5="Sí",1/DATOS_[[% normaliz]:[% normaliz]],1)*(DATOS_[Conc.Sal.29])))))))), 0)</f>
        <v>0</v>
      </c>
      <c r="AM94" s="302" t="n">
        <f aca="false" t="array" ref="AM94:AM94">IFERROR( (AVERAGE((IF(DATOS_[[Sexo]:[Sexo]]=$B94,IF(DATOS_[[AGRUP. VALOR. PTO.]:[AGRUP. VALOR. PTO.]]=$B93,IF(DATOS_[[Check Periodo Ref.]:[Check Periodo Ref.]]="Dentro",IF(DATOS_[[Check Equiparado]:[Check Equiparado]]="Sí",IF(DATOS!BH$4="Sí",(1/DATOS_[[% anualiz]:[% anualiz]]),1)*IF(DATOS!BH$5="Sí",1/DATOS_[[% normaliz]:[% normaliz]],1)*(DATOS_[Conc.Sal.30])))))))), 0)</f>
        <v>0</v>
      </c>
      <c r="AN94" s="294" t="n">
        <f aca="false" t="array" ref="AN94:AN94">IFERROR( AVERAGE(IF(DATOS_[Sexo]=$B94,IF(DATOS_[[AGRUP. VALOR. PTO.]:[AGRUP. VALOR. PTO.]]=$B93,IF(DATOS_[Check Equiparado]="Sí",IF(DATOS_[Check Periodo Ref.]="Dentro",DATOS_[Tot COMPL.SAL Eq],0))))), 0)</f>
        <v>0</v>
      </c>
      <c r="AO94" s="295" t="n">
        <f aca="false" t="array" ref="AO94:AO94">IFERROR( AVERAGE(IF(DATOS_[Sexo]=$B94,IF(DATOS_[[AGRUP. VALOR. PTO.]:[AGRUP. VALOR. PTO.]]=$B93,IF(DATOS_[Check Equiparado]="Sí",IF(DATOS_[Check Periodo Ref.]="Dentro",DATOS_[TOTAL SALARIO Eq],0))))), 0)</f>
        <v>0</v>
      </c>
      <c r="AP94" s="303" t="n">
        <f aca="false" t="array" ref="AP94:AP94">IFERROR( (AVERAGE((IF(DATOS_[[Sexo]:[Sexo]]=$B94,IF(DATOS_[[AGRUP. VALOR. PTO.]:[AGRUP. VALOR. PTO.]]=$B93,IF(DATOS_[[Check Periodo Ref.]:[Check Periodo Ref.]]="Dentro",IF(DATOS_[[Check Equiparado]:[Check Equiparado]]="Sí",IF(DATOS!BI$4="Sí",(1/DATOS_[[% anualiz]:[% anualiz]]),1)*IF(DATOS!BI$5="Sí",1/DATOS_[[% normaliz]:[% normaliz]],1)*(DATOS_[C.Extra.01])))))))), 0)</f>
        <v>0</v>
      </c>
      <c r="AQ94" s="303" t="n">
        <f aca="false" t="array" ref="AQ94:AQ94">IFERROR( (AVERAGE((IF(DATOS_[[Sexo]:[Sexo]]=$B94,IF(DATOS_[[AGRUP. VALOR. PTO.]:[AGRUP. VALOR. PTO.]]=$B93,IF(DATOS_[[Check Periodo Ref.]:[Check Periodo Ref.]]="Dentro",IF(DATOS_[[Check Equiparado]:[Check Equiparado]]="Sí",IF(DATOS!BJ$4="Sí",(1/DATOS_[[% anualiz]:[% anualiz]]),1)*IF(DATOS!BJ$5="Sí",1/DATOS_[[% normaliz]:[% normaliz]],1)*(DATOS_[C.Extra.02])))))))), 0)</f>
        <v>0</v>
      </c>
      <c r="AR94" s="303" t="n">
        <f aca="false" t="array" ref="AR94:AR94">IFERROR( (AVERAGE((IF(DATOS_[[Sexo]:[Sexo]]=$B94,IF(DATOS_[[AGRUP. VALOR. PTO.]:[AGRUP. VALOR. PTO.]]=$B93,IF(DATOS_[[Check Periodo Ref.]:[Check Periodo Ref.]]="Dentro",IF(DATOS_[[Check Equiparado]:[Check Equiparado]]="Sí",IF(DATOS!BK$4="Sí",(1/DATOS_[[% anualiz]:[% anualiz]]),1)*IF(DATOS!BK$5="Sí",1/DATOS_[[% normaliz]:[% normaliz]],1)*(DATOS_[C.Extra.03])))))))), 0)</f>
        <v>0</v>
      </c>
      <c r="AS94" s="303" t="n">
        <f aca="false" t="array" ref="AS94:AS94">IFERROR( (AVERAGE((IF(DATOS_[[Sexo]:[Sexo]]=$B94,IF(DATOS_[[AGRUP. VALOR. PTO.]:[AGRUP. VALOR. PTO.]]=$B93,IF(DATOS_[[Check Periodo Ref.]:[Check Periodo Ref.]]="Dentro",IF(DATOS_[[Check Equiparado]:[Check Equiparado]]="Sí",IF(DATOS!BL$4="Sí",(1/DATOS_[[% anualiz]:[% anualiz]]),1)*IF(DATOS!BL$5="Sí",1/DATOS_[[% normaliz]:[% normaliz]],1)*(DATOS_[C.Extra.04])))))))), 0)</f>
        <v>0</v>
      </c>
      <c r="AT94" s="303" t="n">
        <f aca="false" t="array" ref="AT94:AT94">IFERROR( (AVERAGE((IF(DATOS_[[Sexo]:[Sexo]]=$B94,IF(DATOS_[[AGRUP. VALOR. PTO.]:[AGRUP. VALOR. PTO.]]=$B93,IF(DATOS_[[Check Periodo Ref.]:[Check Periodo Ref.]]="Dentro",IF(DATOS_[[Check Equiparado]:[Check Equiparado]]="Sí",IF(DATOS!BM$4="Sí",(1/DATOS_[[% anualiz]:[% anualiz]]),1)*IF(DATOS!BM$5="Sí",1/DATOS_[[% normaliz]:[% normaliz]],1)*(DATOS_[C.Extra.05])))))))), 0)</f>
        <v>0</v>
      </c>
      <c r="AU94" s="297" t="n">
        <f aca="false" t="array" ref="AU94:AU94">IFERROR( AVERAGE(IF(DATOS_[Sexo]=$B94,IF(DATOS_[[AGRUP. VALOR. PTO.]:[AGRUP. VALOR. PTO.]]=$B93,IF(DATOS_[Check Equiparado]="Sí",IF(DATOS_[Check Periodo Ref.]="Dentro",DATOS_[Tot Extrasalarial Eq],0))))), 0)</f>
        <v>0</v>
      </c>
      <c r="AV94" s="298" t="n">
        <f aca="false" t="array" ref="AV94:AV94">IFERROR( AVERAGE(IF(DATOS_[Sexo]=$B94,IF(DATOS_[[AGRUP. VALOR. PTO.]:[AGRUP. VALOR. PTO.]]=$B93,IF(DATOS_[Check Equiparado]="Sí",IF(DATOS_[Check Periodo Ref.]="Dentro",DATOS_[TOTAL Retrib Eq],0))))), 0)</f>
        <v>0</v>
      </c>
    </row>
    <row r="95" customFormat="false" ht="14.25" hidden="false" customHeight="false" outlineLevel="0" collapsed="false">
      <c r="A95" s="166" t="str">
        <f aca="false">+A94</f>
        <v>[ocultar]</v>
      </c>
      <c r="B95" s="289" t="s">
        <v>372</v>
      </c>
      <c r="C95" s="290" t="n">
        <f aca="false" t="array" ref="C95:C95">SUM(IF($B95=DATOS_[Sexo], IF($B93=DATOS_[AGRUP. VALOR. PTO.], IF("Dentro"=DATOS_[Check Periodo Ref.], 1/(COUNTIFS(DATOS_[Sexo],$B95,DATOS_[AGRUP. VALOR. PTO.],$B93,DATOS_[Check Periodo Ref.],"Dentro",DATOS_[id],DATOS_[id]))))))</f>
        <v>0</v>
      </c>
      <c r="D95" s="291" t="n">
        <f aca="false">COUNTIFS(DATOS_[AGRUP. VALOR. PTO.],$B93,DATOS_[Sexo],$B95,DATOS_[Check Periodo Ref.],"Dentro")</f>
        <v>0</v>
      </c>
      <c r="E95" s="291" t="n">
        <f aca="false">COUNTIFS(DATOS_[AGRUP. VALOR. PTO.],$B93,DATOS_[Sexo],$B95,DATOS_[Check Periodo Ref.],"Dentro",DATOS_[Check Nº SC Norm],"Sí")</f>
        <v>0</v>
      </c>
      <c r="F95" s="291" t="n">
        <f aca="false">COUNTIFS(DATOS_[AGRUP. VALOR. PTO.],$B93,DATOS_[Sexo],$B95,DATOS_[Check Periodo Ref.],"Dentro",DATOS_[Check Nº SC Anualiz],"Sí")</f>
        <v>0</v>
      </c>
      <c r="G95" s="291" t="n">
        <f aca="false">COUNTIFS(DATOS_[AGRUP. VALOR. PTO.],$B93,DATOS_[Sexo],$B95,DATOS_[Check Periodo Ref.],"Dentro",DATOS_[Check Nº SC Norm y Anualiz],"Sí")</f>
        <v>0</v>
      </c>
      <c r="H95" s="291" t="n">
        <f aca="false">COUNTIFS(DATOS_[AGRUP. VALOR. PTO.],$B93,DATOS_[Sexo],$B95,DATOS_[Check Periodo Ref.],"Dentro",DATOS_[Check Equiparación],"Sí")</f>
        <v>0</v>
      </c>
      <c r="I95" s="292" t="n">
        <f aca="false" t="array" ref="I95:I95">IFERROR( AVERAGE(IF(DATOS_[Sexo]=$B95,IF(DATOS_[[AGRUP. VALOR. PTO.]:[AGRUP. VALOR. PTO.]]=$B93,IF(DATOS_[Check Equiparado]="Sí",IF(DATOS_[Check Periodo Ref.]="Dentro",DATOS_[SALARIO BASE Eq],0))))), 0)</f>
        <v>0</v>
      </c>
      <c r="J95" s="302" t="n">
        <f aca="false" t="array" ref="J95:J95">IFERROR( (AVERAGE((IF(DATOS_[[Sexo]:[Sexo]]=$B95,IF(DATOS_[[AGRUP. VALOR. PTO.]:[AGRUP. VALOR. PTO.]]=$B93,IF(DATOS_[[Check Periodo Ref.]:[Check Periodo Ref.]]="Dentro",IF(DATOS_[[Check Equiparado]:[Check Equiparado]]="Sí",IF(DATOS!AE$4="Sí",(1/DATOS_[[% anualiz]:[% anualiz]]),1)*IF(DATOS!AE$5="Sí",1/DATOS_[[% normaliz]:[% normaliz]],1)*(DATOS_[Conc.Sal.01])))))))), 0)</f>
        <v>0</v>
      </c>
      <c r="K95" s="302" t="n">
        <f aca="false" t="array" ref="K95:K95">IFERROR( (AVERAGE((IF(DATOS_[[Sexo]:[Sexo]]=$B95,IF(DATOS_[[AGRUP. VALOR. PTO.]:[AGRUP. VALOR. PTO.]]=$B93,IF(DATOS_[[Check Periodo Ref.]:[Check Periodo Ref.]]="Dentro",IF(DATOS_[[Check Equiparado]:[Check Equiparado]]="Sí",IF(DATOS!AF$4="Sí",(1/DATOS_[[% anualiz]:[% anualiz]]),1)*IF(DATOS!AF$5="Sí",1/DATOS_[[% normaliz]:[% normaliz]],1)*(DATOS_[Conc.Sal.02])))))))), 0)</f>
        <v>0</v>
      </c>
      <c r="L95" s="302" t="n">
        <f aca="false" t="array" ref="L95:L95">IFERROR( (AVERAGE((IF(DATOS_[[Sexo]:[Sexo]]=$B95,IF(DATOS_[[AGRUP. VALOR. PTO.]:[AGRUP. VALOR. PTO.]]=$B93,IF(DATOS_[[Check Periodo Ref.]:[Check Periodo Ref.]]="Dentro",IF(DATOS_[[Check Equiparado]:[Check Equiparado]]="Sí",IF(DATOS!AG$4="Sí",(1/DATOS_[[% anualiz]:[% anualiz]]),1)*IF(DATOS!AG$5="Sí",1/DATOS_[[% normaliz]:[% normaliz]],1)*(DATOS_[Conc.Sal.03])))))))), 0)</f>
        <v>0</v>
      </c>
      <c r="M95" s="302" t="n">
        <f aca="false" t="array" ref="M95:M95">IFERROR( (AVERAGE((IF(DATOS_[[Sexo]:[Sexo]]=$B95,IF(DATOS_[[AGRUP. VALOR. PTO.]:[AGRUP. VALOR. PTO.]]=$B93,IF(DATOS_[[Check Periodo Ref.]:[Check Periodo Ref.]]="Dentro",IF(DATOS_[[Check Equiparado]:[Check Equiparado]]="Sí",IF(DATOS!AH$4="Sí",(1/DATOS_[[% anualiz]:[% anualiz]]),1)*IF(DATOS!AH$5="Sí",1/DATOS_[[% normaliz]:[% normaliz]],1)*(DATOS_[Conc.Sal.04])))))))), 0)</f>
        <v>0</v>
      </c>
      <c r="N95" s="302" t="n">
        <f aca="false" t="array" ref="N95:N95">IFERROR( (AVERAGE((IF(DATOS_[[Sexo]:[Sexo]]=$B95,IF(DATOS_[[AGRUP. VALOR. PTO.]:[AGRUP. VALOR. PTO.]]=$B93,IF(DATOS_[[Check Periodo Ref.]:[Check Periodo Ref.]]="Dentro",IF(DATOS_[[Check Equiparado]:[Check Equiparado]]="Sí",IF(DATOS!AI$4="Sí",(1/DATOS_[[% anualiz]:[% anualiz]]),1)*IF(DATOS!AI$5="Sí",1/DATOS_[[% normaliz]:[% normaliz]],1)*(DATOS_[Conc.Sal.05])))))))), 0)</f>
        <v>0</v>
      </c>
      <c r="O95" s="302" t="n">
        <f aca="false" t="array" ref="O95:O95">IFERROR( (AVERAGE((IF(DATOS_[[Sexo]:[Sexo]]=$B95,IF(DATOS_[[AGRUP. VALOR. PTO.]:[AGRUP. VALOR. PTO.]]=$B93,IF(DATOS_[[Check Periodo Ref.]:[Check Periodo Ref.]]="Dentro",IF(DATOS_[[Check Equiparado]:[Check Equiparado]]="Sí",IF(DATOS!AJ$4="Sí",(1/DATOS_[[% anualiz]:[% anualiz]]),1)*IF(DATOS!AJ$5="Sí",1/DATOS_[[% normaliz]:[% normaliz]],1)*(DATOS_[Conc.Sal.06])))))))), 0)</f>
        <v>0</v>
      </c>
      <c r="P95" s="302" t="n">
        <f aca="false" t="array" ref="P95:P95">IFERROR( (AVERAGE((IF(DATOS_[[Sexo]:[Sexo]]=$B95,IF(DATOS_[[AGRUP. VALOR. PTO.]:[AGRUP. VALOR. PTO.]]=$B93,IF(DATOS_[[Check Periodo Ref.]:[Check Periodo Ref.]]="Dentro",IF(DATOS_[[Check Equiparado]:[Check Equiparado]]="Sí",IF(DATOS!AK$4="Sí",(1/DATOS_[[% anualiz]:[% anualiz]]),1)*IF(DATOS!AK$5="Sí",1/DATOS_[[% normaliz]:[% normaliz]],1)*(DATOS_[Conc.Sal.07])))))))), 0)</f>
        <v>0</v>
      </c>
      <c r="Q95" s="302" t="n">
        <f aca="false" t="array" ref="Q95:Q95">IFERROR( (AVERAGE((IF(DATOS_[[Sexo]:[Sexo]]=$B95,IF(DATOS_[[AGRUP. VALOR. PTO.]:[AGRUP. VALOR. PTO.]]=$B93,IF(DATOS_[[Check Periodo Ref.]:[Check Periodo Ref.]]="Dentro",IF(DATOS_[[Check Equiparado]:[Check Equiparado]]="Sí",IF(DATOS!AL$4="Sí",(1/DATOS_[[% anualiz]:[% anualiz]]),1)*IF(DATOS!AL$5="Sí",1/DATOS_[[% normaliz]:[% normaliz]],1)*(DATOS_[Conc.Sal.08])))))))), 0)</f>
        <v>0</v>
      </c>
      <c r="R95" s="302" t="n">
        <f aca="false" t="array" ref="R95:R95">IFERROR( (AVERAGE((IF(DATOS_[[Sexo]:[Sexo]]=$B95,IF(DATOS_[[AGRUP. VALOR. PTO.]:[AGRUP. VALOR. PTO.]]=$B93,IF(DATOS_[[Check Periodo Ref.]:[Check Periodo Ref.]]="Dentro",IF(DATOS_[[Check Equiparado]:[Check Equiparado]]="Sí",IF(DATOS!AM$4="Sí",(1/DATOS_[[% anualiz]:[% anualiz]]),1)*IF(DATOS!AM$5="Sí",1/DATOS_[[% normaliz]:[% normaliz]],1)*(DATOS_[Conc.Sal.09])))))))), 0)</f>
        <v>0</v>
      </c>
      <c r="S95" s="302" t="n">
        <f aca="false" t="array" ref="S95:S95">IFERROR( (AVERAGE((IF(DATOS_[[Sexo]:[Sexo]]=$B95,IF(DATOS_[[AGRUP. VALOR. PTO.]:[AGRUP. VALOR. PTO.]]=$B93,IF(DATOS_[[Check Periodo Ref.]:[Check Periodo Ref.]]="Dentro",IF(DATOS_[[Check Equiparado]:[Check Equiparado]]="Sí",IF(DATOS!AN$4="Sí",(1/DATOS_[[% anualiz]:[% anualiz]]),1)*IF(DATOS!AN$5="Sí",1/DATOS_[[% normaliz]:[% normaliz]],1)*(DATOS_[Conc.Sal.10])))))))), 0)</f>
        <v>0</v>
      </c>
      <c r="T95" s="302" t="n">
        <f aca="false" t="array" ref="T95:T95">IFERROR( (AVERAGE((IF(DATOS_[[Sexo]:[Sexo]]=$B95,IF(DATOS_[[AGRUP. VALOR. PTO.]:[AGRUP. VALOR. PTO.]]=$B93,IF(DATOS_[[Check Periodo Ref.]:[Check Periodo Ref.]]="Dentro",IF(DATOS_[[Check Equiparado]:[Check Equiparado]]="Sí",IF(DATOS!AO$4="Sí",(1/DATOS_[[% anualiz]:[% anualiz]]),1)*IF(DATOS!AO$5="Sí",1/DATOS_[[% normaliz]:[% normaliz]],1)*(DATOS_[Conc.Sal.11])))))))), 0)</f>
        <v>0</v>
      </c>
      <c r="U95" s="302" t="n">
        <f aca="false" t="array" ref="U95:U95">IFERROR( (AVERAGE((IF(DATOS_[[Sexo]:[Sexo]]=$B95,IF(DATOS_[[AGRUP. VALOR. PTO.]:[AGRUP. VALOR. PTO.]]=$B93,IF(DATOS_[[Check Periodo Ref.]:[Check Periodo Ref.]]="Dentro",IF(DATOS_[[Check Equiparado]:[Check Equiparado]]="Sí",IF(DATOS!AP$4="Sí",(1/DATOS_[[% anualiz]:[% anualiz]]),1)*IF(DATOS!AP$5="Sí",1/DATOS_[[% normaliz]:[% normaliz]],1)*(DATOS_[Conc.Sal.12])))))))), 0)</f>
        <v>0</v>
      </c>
      <c r="V95" s="302" t="n">
        <f aca="false" t="array" ref="V95:V95">IFERROR( (AVERAGE((IF(DATOS_[[Sexo]:[Sexo]]=$B95,IF(DATOS_[[AGRUP. VALOR. PTO.]:[AGRUP. VALOR. PTO.]]=$B93,IF(DATOS_[[Check Periodo Ref.]:[Check Periodo Ref.]]="Dentro",IF(DATOS_[[Check Equiparado]:[Check Equiparado]]="Sí",IF(DATOS!AQ$4="Sí",(1/DATOS_[[% anualiz]:[% anualiz]]),1)*IF(DATOS!AQ$5="Sí",1/DATOS_[[% normaliz]:[% normaliz]],1)*(DATOS_[Conc.Sal.13])))))))), 0)</f>
        <v>0</v>
      </c>
      <c r="W95" s="302" t="n">
        <f aca="false" t="array" ref="W95:W95">IFERROR( (AVERAGE((IF(DATOS_[[Sexo]:[Sexo]]=$B95,IF(DATOS_[[AGRUP. VALOR. PTO.]:[AGRUP. VALOR. PTO.]]=$B93,IF(DATOS_[[Check Periodo Ref.]:[Check Periodo Ref.]]="Dentro",IF(DATOS_[[Check Equiparado]:[Check Equiparado]]="Sí",IF(DATOS!AR$4="Sí",(1/DATOS_[[% anualiz]:[% anualiz]]),1)*IF(DATOS!AR$5="Sí",1/DATOS_[[% normaliz]:[% normaliz]],1)*(DATOS_[Conc.Sal.14])))))))), 0)</f>
        <v>0</v>
      </c>
      <c r="X95" s="302" t="n">
        <f aca="false" t="array" ref="X95:X95">IFERROR( (AVERAGE((IF(DATOS_[[Sexo]:[Sexo]]=$B95,IF(DATOS_[[AGRUP. VALOR. PTO.]:[AGRUP. VALOR. PTO.]]=$B93,IF(DATOS_[[Check Periodo Ref.]:[Check Periodo Ref.]]="Dentro",IF(DATOS_[[Check Equiparado]:[Check Equiparado]]="Sí",IF(DATOS!AS$4="Sí",(1/DATOS_[[% anualiz]:[% anualiz]]),1)*IF(DATOS!AS$5="Sí",1/DATOS_[[% normaliz]:[% normaliz]],1)*(DATOS_[Conc.Sal.15])))))))), 0)</f>
        <v>0</v>
      </c>
      <c r="Y95" s="302" t="n">
        <f aca="false" t="array" ref="Y95:Y95">IFERROR( (AVERAGE((IF(DATOS_[[Sexo]:[Sexo]]=$B95,IF(DATOS_[[AGRUP. VALOR. PTO.]:[AGRUP. VALOR. PTO.]]=$B93,IF(DATOS_[[Check Periodo Ref.]:[Check Periodo Ref.]]="Dentro",IF(DATOS_[[Check Equiparado]:[Check Equiparado]]="Sí",IF(DATOS!AT$4="Sí",(1/DATOS_[[% anualiz]:[% anualiz]]),1)*IF(DATOS!AT$5="Sí",1/DATOS_[[% normaliz]:[% normaliz]],1)*(DATOS_[Conc.Sal.16])))))))), 0)</f>
        <v>0</v>
      </c>
      <c r="Z95" s="302" t="n">
        <f aca="false" t="array" ref="Z95:Z95">IFERROR( (AVERAGE((IF(DATOS_[[Sexo]:[Sexo]]=$B95,IF(DATOS_[[AGRUP. VALOR. PTO.]:[AGRUP. VALOR. PTO.]]=$B93,IF(DATOS_[[Check Periodo Ref.]:[Check Periodo Ref.]]="Dentro",IF(DATOS_[[Check Equiparado]:[Check Equiparado]]="Sí",IF(DATOS!AU$4="Sí",(1/DATOS_[[% anualiz]:[% anualiz]]),1)*IF(DATOS!AU$5="Sí",1/DATOS_[[% normaliz]:[% normaliz]],1)*(DATOS_[Conc.Sal.17])))))))), 0)</f>
        <v>0</v>
      </c>
      <c r="AA95" s="302" t="n">
        <f aca="false" t="array" ref="AA95:AA95">IFERROR( (AVERAGE((IF(DATOS_[[Sexo]:[Sexo]]=$B95,IF(DATOS_[[AGRUP. VALOR. PTO.]:[AGRUP. VALOR. PTO.]]=$B93,IF(DATOS_[[Check Periodo Ref.]:[Check Periodo Ref.]]="Dentro",IF(DATOS_[[Check Equiparado]:[Check Equiparado]]="Sí",IF(DATOS!AV$4="Sí",(1/DATOS_[[% anualiz]:[% anualiz]]),1)*IF(DATOS!AV$5="Sí",1/DATOS_[[% normaliz]:[% normaliz]],1)*(DATOS_[Conc.Sal.18])))))))), 0)</f>
        <v>0</v>
      </c>
      <c r="AB95" s="302" t="n">
        <f aca="false" t="array" ref="AB95:AB95">IFERROR( (AVERAGE((IF(DATOS_[[Sexo]:[Sexo]]=$B95,IF(DATOS_[[AGRUP. VALOR. PTO.]:[AGRUP. VALOR. PTO.]]=$B93,IF(DATOS_[[Check Periodo Ref.]:[Check Periodo Ref.]]="Dentro",IF(DATOS_[[Check Equiparado]:[Check Equiparado]]="Sí",IF(DATOS!AW$4="Sí",(1/DATOS_[[% anualiz]:[% anualiz]]),1)*IF(DATOS!AW$5="Sí",1/DATOS_[[% normaliz]:[% normaliz]],1)*(DATOS_[Conc.Sal.19])))))))), 0)</f>
        <v>0</v>
      </c>
      <c r="AC95" s="302" t="n">
        <f aca="false" t="array" ref="AC95:AC95">IFERROR( (AVERAGE((IF(DATOS_[[Sexo]:[Sexo]]=$B95,IF(DATOS_[[AGRUP. VALOR. PTO.]:[AGRUP. VALOR. PTO.]]=$B93,IF(DATOS_[[Check Periodo Ref.]:[Check Periodo Ref.]]="Dentro",IF(DATOS_[[Check Equiparado]:[Check Equiparado]]="Sí",IF(DATOS!AX$4="Sí",(1/DATOS_[[% anualiz]:[% anualiz]]),1)*IF(DATOS!AX$5="Sí",1/DATOS_[[% normaliz]:[% normaliz]],1)*(DATOS_[Conc.Sal.20])))))))), 0)</f>
        <v>0</v>
      </c>
      <c r="AD95" s="302" t="n">
        <f aca="false" t="array" ref="AD95:AD95">IFERROR( (AVERAGE((IF(DATOS_[[Sexo]:[Sexo]]=$B95,IF(DATOS_[[AGRUP. VALOR. PTO.]:[AGRUP. VALOR. PTO.]]=$B93,IF(DATOS_[[Check Periodo Ref.]:[Check Periodo Ref.]]="Dentro",IF(DATOS_[[Check Equiparado]:[Check Equiparado]]="Sí",IF(DATOS!AY$4="Sí",(1/DATOS_[[% anualiz]:[% anualiz]]),1)*IF(DATOS!AY$5="Sí",1/DATOS_[[% normaliz]:[% normaliz]],1)*(DATOS_[Conc.Sal.21])))))))), 0)</f>
        <v>0</v>
      </c>
      <c r="AE95" s="302" t="n">
        <f aca="false" t="array" ref="AE95:AE95">IFERROR( (AVERAGE((IF(DATOS_[[Sexo]:[Sexo]]=$B95,IF(DATOS_[[AGRUP. VALOR. PTO.]:[AGRUP. VALOR. PTO.]]=$B93,IF(DATOS_[[Check Periodo Ref.]:[Check Periodo Ref.]]="Dentro",IF(DATOS_[[Check Equiparado]:[Check Equiparado]]="Sí",IF(DATOS!AZ$4="Sí",(1/DATOS_[[% anualiz]:[% anualiz]]),1)*IF(DATOS!AZ$5="Sí",1/DATOS_[[% normaliz]:[% normaliz]],1)*(DATOS_[Conc.Sal.22])))))))), 0)</f>
        <v>0</v>
      </c>
      <c r="AF95" s="302" t="n">
        <f aca="false" t="array" ref="AF95:AF95">IFERROR( (AVERAGE((IF(DATOS_[[Sexo]:[Sexo]]=$B95,IF(DATOS_[[AGRUP. VALOR. PTO.]:[AGRUP. VALOR. PTO.]]=$B93,IF(DATOS_[[Check Periodo Ref.]:[Check Periodo Ref.]]="Dentro",IF(DATOS_[[Check Equiparado]:[Check Equiparado]]="Sí",IF(DATOS!BA$4="Sí",(1/DATOS_[[% anualiz]:[% anualiz]]),1)*IF(DATOS!BA$5="Sí",1/DATOS_[[% normaliz]:[% normaliz]],1)*(DATOS_[Conc.Sal.23])))))))), 0)</f>
        <v>0</v>
      </c>
      <c r="AG95" s="302" t="n">
        <f aca="false" t="array" ref="AG95:AG95">IFERROR( (AVERAGE((IF(DATOS_[[Sexo]:[Sexo]]=$B95,IF(DATOS_[[AGRUP. VALOR. PTO.]:[AGRUP. VALOR. PTO.]]=$B93,IF(DATOS_[[Check Periodo Ref.]:[Check Periodo Ref.]]="Dentro",IF(DATOS_[[Check Equiparado]:[Check Equiparado]]="Sí",IF(DATOS!BB$4="Sí",(1/DATOS_[[% anualiz]:[% anualiz]]),1)*IF(DATOS!BB$5="Sí",1/DATOS_[[% normaliz]:[% normaliz]],1)*(DATOS_[Conc.Sal.24])))))))), 0)</f>
        <v>0</v>
      </c>
      <c r="AH95" s="302" t="n">
        <f aca="false" t="array" ref="AH95:AH95">IFERROR( (AVERAGE((IF(DATOS_[[Sexo]:[Sexo]]=$B95,IF(DATOS_[[AGRUP. VALOR. PTO.]:[AGRUP. VALOR. PTO.]]=$B93,IF(DATOS_[[Check Periodo Ref.]:[Check Periodo Ref.]]="Dentro",IF(DATOS_[[Check Equiparado]:[Check Equiparado]]="Sí",IF(DATOS!BC$4="Sí",(1/DATOS_[[% anualiz]:[% anualiz]]),1)*IF(DATOS!BC$5="Sí",1/DATOS_[[% normaliz]:[% normaliz]],1)*(DATOS_[Conc.Sal.25])))))))), 0)</f>
        <v>0</v>
      </c>
      <c r="AI95" s="302" t="n">
        <f aca="false" t="array" ref="AI95:AI95">IFERROR( (AVERAGE((IF(DATOS_[[Sexo]:[Sexo]]=$B95,IF(DATOS_[[AGRUP. VALOR. PTO.]:[AGRUP. VALOR. PTO.]]=$B93,IF(DATOS_[[Check Periodo Ref.]:[Check Periodo Ref.]]="Dentro",IF(DATOS_[[Check Equiparado]:[Check Equiparado]]="Sí",IF(DATOS!BD$4="Sí",(1/DATOS_[[% anualiz]:[% anualiz]]),1)*IF(DATOS!BD$5="Sí",1/DATOS_[[% normaliz]:[% normaliz]],1)*(DATOS_[Conc.Sal.26])))))))), 0)</f>
        <v>0</v>
      </c>
      <c r="AJ95" s="302" t="n">
        <f aca="false" t="array" ref="AJ95:AJ95">IFERROR( (AVERAGE((IF(DATOS_[[Sexo]:[Sexo]]=$B95,IF(DATOS_[[AGRUP. VALOR. PTO.]:[AGRUP. VALOR. PTO.]]=$B93,IF(DATOS_[[Check Periodo Ref.]:[Check Periodo Ref.]]="Dentro",IF(DATOS_[[Check Equiparado]:[Check Equiparado]]="Sí",IF(DATOS!BE$4="Sí",(1/DATOS_[[% anualiz]:[% anualiz]]),1)*IF(DATOS!BE$5="Sí",1/DATOS_[[% normaliz]:[% normaliz]],1)*(DATOS_[Conc.Sal.27])))))))), 0)</f>
        <v>0</v>
      </c>
      <c r="AK95" s="302" t="n">
        <f aca="false" t="array" ref="AK95:AK95">IFERROR( (AVERAGE((IF(DATOS_[[Sexo]:[Sexo]]=$B95,IF(DATOS_[[AGRUP. VALOR. PTO.]:[AGRUP. VALOR. PTO.]]=$B93,IF(DATOS_[[Check Periodo Ref.]:[Check Periodo Ref.]]="Dentro",IF(DATOS_[[Check Equiparado]:[Check Equiparado]]="Sí",IF(DATOS!BF$4="Sí",(1/DATOS_[[% anualiz]:[% anualiz]]),1)*IF(DATOS!BF$5="Sí",1/DATOS_[[% normaliz]:[% normaliz]],1)*(DATOS_[Conc.Sal.28])))))))), 0)</f>
        <v>0</v>
      </c>
      <c r="AL95" s="302" t="n">
        <f aca="false" t="array" ref="AL95:AL95">IFERROR( (AVERAGE((IF(DATOS_[[Sexo]:[Sexo]]=$B95,IF(DATOS_[[AGRUP. VALOR. PTO.]:[AGRUP. VALOR. PTO.]]=$B93,IF(DATOS_[[Check Periodo Ref.]:[Check Periodo Ref.]]="Dentro",IF(DATOS_[[Check Equiparado]:[Check Equiparado]]="Sí",IF(DATOS!BG$4="Sí",(1/DATOS_[[% anualiz]:[% anualiz]]),1)*IF(DATOS!BG$5="Sí",1/DATOS_[[% normaliz]:[% normaliz]],1)*(DATOS_[Conc.Sal.29])))))))), 0)</f>
        <v>0</v>
      </c>
      <c r="AM95" s="302" t="n">
        <f aca="false" t="array" ref="AM95:AM95">IFERROR( (AVERAGE((IF(DATOS_[[Sexo]:[Sexo]]=$B95,IF(DATOS_[[AGRUP. VALOR. PTO.]:[AGRUP. VALOR. PTO.]]=$B93,IF(DATOS_[[Check Periodo Ref.]:[Check Periodo Ref.]]="Dentro",IF(DATOS_[[Check Equiparado]:[Check Equiparado]]="Sí",IF(DATOS!BH$4="Sí",(1/DATOS_[[% anualiz]:[% anualiz]]),1)*IF(DATOS!BH$5="Sí",1/DATOS_[[% normaliz]:[% normaliz]],1)*(DATOS_[Conc.Sal.30])))))))), 0)</f>
        <v>0</v>
      </c>
      <c r="AN95" s="294" t="n">
        <f aca="false" t="array" ref="AN95:AN95">IFERROR( AVERAGE(IF(DATOS_[Sexo]=$B95,IF(DATOS_[[AGRUP. VALOR. PTO.]:[AGRUP. VALOR. PTO.]]=$B93,IF(DATOS_[Check Equiparado]="Sí",IF(DATOS_[Check Periodo Ref.]="Dentro",DATOS_[Tot COMPL.SAL Eq],0))))), 0)</f>
        <v>0</v>
      </c>
      <c r="AO95" s="295" t="n">
        <f aca="false" t="array" ref="AO95:AO95">IFERROR( AVERAGE(IF(DATOS_[Sexo]=$B95,IF(DATOS_[[AGRUP. VALOR. PTO.]:[AGRUP. VALOR. PTO.]]=$B93,IF(DATOS_[Check Equiparado]="Sí",IF(DATOS_[Check Periodo Ref.]="Dentro",DATOS_[TOTAL SALARIO Eq],0))))), 0)</f>
        <v>0</v>
      </c>
      <c r="AP95" s="303" t="n">
        <f aca="false" t="array" ref="AP95:AP95">IFERROR( (AVERAGE((IF(DATOS_[[Sexo]:[Sexo]]=$B95,IF(DATOS_[[AGRUP. VALOR. PTO.]:[AGRUP. VALOR. PTO.]]=$B94,IF(DATOS_[[Check Periodo Ref.]:[Check Periodo Ref.]]="Dentro",IF(DATOS_[[Check Equiparado]:[Check Equiparado]]="Sí",IF(DATOS!BI$4="Sí",(1/DATOS_[[% anualiz]:[% anualiz]]),1)*IF(DATOS!BI$5="Sí",1/DATOS_[[% normaliz]:[% normaliz]],1)*(DATOS_[C.Extra.01])))))))), 0)</f>
        <v>0</v>
      </c>
      <c r="AQ95" s="303" t="n">
        <f aca="false" t="array" ref="AQ95:AQ95">IFERROR( (AVERAGE((IF(DATOS_[[Sexo]:[Sexo]]=$B95,IF(DATOS_[[AGRUP. VALOR. PTO.]:[AGRUP. VALOR. PTO.]]=$B94,IF(DATOS_[[Check Periodo Ref.]:[Check Periodo Ref.]]="Dentro",IF(DATOS_[[Check Equiparado]:[Check Equiparado]]="Sí",IF(DATOS!BJ$4="Sí",(1/DATOS_[[% anualiz]:[% anualiz]]),1)*IF(DATOS!BJ$5="Sí",1/DATOS_[[% normaliz]:[% normaliz]],1)*(DATOS_[C.Extra.02])))))))), 0)</f>
        <v>0</v>
      </c>
      <c r="AR95" s="303" t="n">
        <f aca="false" t="array" ref="AR95:AR95">IFERROR( (AVERAGE((IF(DATOS_[[Sexo]:[Sexo]]=$B95,IF(DATOS_[[AGRUP. VALOR. PTO.]:[AGRUP. VALOR. PTO.]]=$B94,IF(DATOS_[[Check Periodo Ref.]:[Check Periodo Ref.]]="Dentro",IF(DATOS_[[Check Equiparado]:[Check Equiparado]]="Sí",IF(DATOS!BK$4="Sí",(1/DATOS_[[% anualiz]:[% anualiz]]),1)*IF(DATOS!BK$5="Sí",1/DATOS_[[% normaliz]:[% normaliz]],1)*(DATOS_[C.Extra.03])))))))), 0)</f>
        <v>0</v>
      </c>
      <c r="AS95" s="303" t="n">
        <f aca="false" t="array" ref="AS95:AS95">IFERROR( (AVERAGE((IF(DATOS_[[Sexo]:[Sexo]]=$B95,IF(DATOS_[[AGRUP. VALOR. PTO.]:[AGRUP. VALOR. PTO.]]=$B94,IF(DATOS_[[Check Periodo Ref.]:[Check Periodo Ref.]]="Dentro",IF(DATOS_[[Check Equiparado]:[Check Equiparado]]="Sí",IF(DATOS!BL$4="Sí",(1/DATOS_[[% anualiz]:[% anualiz]]),1)*IF(DATOS!BL$5="Sí",1/DATOS_[[% normaliz]:[% normaliz]],1)*(DATOS_[C.Extra.04])))))))), 0)</f>
        <v>0</v>
      </c>
      <c r="AT95" s="303" t="n">
        <f aca="false" t="array" ref="AT95:AT95">IFERROR( (AVERAGE((IF(DATOS_[[Sexo]:[Sexo]]=$B95,IF(DATOS_[[AGRUP. VALOR. PTO.]:[AGRUP. VALOR. PTO.]]=$B94,IF(DATOS_[[Check Periodo Ref.]:[Check Periodo Ref.]]="Dentro",IF(DATOS_[[Check Equiparado]:[Check Equiparado]]="Sí",IF(DATOS!BM$4="Sí",(1/DATOS_[[% anualiz]:[% anualiz]]),1)*IF(DATOS!BM$5="Sí",1/DATOS_[[% normaliz]:[% normaliz]],1)*(DATOS_[C.Extra.05])))))))), 0)</f>
        <v>0</v>
      </c>
      <c r="AU95" s="297" t="n">
        <f aca="false" t="array" ref="AU95:AU95">IFERROR( AVERAGE(IF(DATOS_[Sexo]=$B95,IF(DATOS_[[AGRUP. VALOR. PTO.]:[AGRUP. VALOR. PTO.]]=$B93,IF(DATOS_[Check Equiparado]="Sí",IF(DATOS_[Check Periodo Ref.]="Dentro",DATOS_[Tot Extrasalarial Eq],0))))), 0)</f>
        <v>0</v>
      </c>
      <c r="AV95" s="298" t="n">
        <f aca="false" t="array" ref="AV95:AV95">IFERROR( AVERAGE(IF(DATOS_[Sexo]=$B95,IF(DATOS_[[AGRUP. VALOR. PTO.]:[AGRUP. VALOR. PTO.]]=$B93,IF(DATOS_[Check Equiparado]="Sí",IF(DATOS_[Check Periodo Ref.]="Dentro",DATOS_[TOTAL Retrib Eq],0))))), 0)</f>
        <v>0</v>
      </c>
    </row>
    <row r="96" customFormat="false" ht="15.75" hidden="false" customHeight="false" outlineLevel="0" collapsed="false">
      <c r="A96" s="166" t="str">
        <f aca="false">+A97</f>
        <v>[ocultar]</v>
      </c>
      <c r="B96" s="276" t="s">
        <v>250</v>
      </c>
      <c r="C96" s="277"/>
      <c r="D96" s="278"/>
      <c r="E96" s="278"/>
      <c r="F96" s="278"/>
      <c r="G96" s="278"/>
      <c r="H96" s="278"/>
      <c r="I96" s="279" t="str">
        <f aca="false">IFERROR((I97-I98)/I97,"")</f>
        <v/>
      </c>
      <c r="J96" s="280" t="str">
        <f aca="false">IFERROR((J97-J98)/J97,"")</f>
        <v/>
      </c>
      <c r="K96" s="281" t="str">
        <f aca="false">IFERROR((K97-K98)/K97,"")</f>
        <v/>
      </c>
      <c r="L96" s="281" t="str">
        <f aca="false">IFERROR((L97-L98)/L97,"")</f>
        <v/>
      </c>
      <c r="M96" s="281" t="str">
        <f aca="false">IFERROR((M97-M98)/M97,"")</f>
        <v/>
      </c>
      <c r="N96" s="282" t="str">
        <f aca="false">IFERROR((N97-N98)/N97,"")</f>
        <v/>
      </c>
      <c r="O96" s="283" t="str">
        <f aca="false">IFERROR((O97-O98)/O97,"")</f>
        <v/>
      </c>
      <c r="P96" s="283" t="str">
        <f aca="false">IFERROR((P97-P98)/P97,"")</f>
        <v/>
      </c>
      <c r="Q96" s="283" t="str">
        <f aca="false">IFERROR((Q97-Q98)/Q97,"")</f>
        <v/>
      </c>
      <c r="R96" s="283" t="str">
        <f aca="false">IFERROR((R97-R98)/R97,"")</f>
        <v/>
      </c>
      <c r="S96" s="283" t="str">
        <f aca="false">IFERROR((S97-S98)/S97,"")</f>
        <v/>
      </c>
      <c r="T96" s="283" t="str">
        <f aca="false">IFERROR((T97-T98)/T97,"")</f>
        <v/>
      </c>
      <c r="U96" s="283" t="str">
        <f aca="false">IFERROR((U97-U98)/U97,"")</f>
        <v/>
      </c>
      <c r="V96" s="283" t="str">
        <f aca="false">IFERROR((V97-V98)/V97,"")</f>
        <v/>
      </c>
      <c r="W96" s="283" t="str">
        <f aca="false">IFERROR((W97-W98)/W97,"")</f>
        <v/>
      </c>
      <c r="X96" s="283" t="str">
        <f aca="false">IFERROR((X97-X98)/X97,"")</f>
        <v/>
      </c>
      <c r="Y96" s="283" t="str">
        <f aca="false">IFERROR((Y97-Y98)/Y97,"")</f>
        <v/>
      </c>
      <c r="Z96" s="282" t="str">
        <f aca="false">IFERROR((Z97-Z98)/Z97,"")</f>
        <v/>
      </c>
      <c r="AA96" s="282" t="str">
        <f aca="false">IFERROR((AA97-AA98)/AA97,"")</f>
        <v/>
      </c>
      <c r="AB96" s="282" t="str">
        <f aca="false">IFERROR((AB97-AB98)/AB97,"")</f>
        <v/>
      </c>
      <c r="AC96" s="282" t="str">
        <f aca="false">IFERROR((AC97-AC98)/AC97,"")</f>
        <v/>
      </c>
      <c r="AD96" s="282" t="str">
        <f aca="false">IFERROR((AD97-AD98)/AD97,"")</f>
        <v/>
      </c>
      <c r="AE96" s="282" t="str">
        <f aca="false">IFERROR((AE97-AE98)/AE97,"")</f>
        <v/>
      </c>
      <c r="AF96" s="282" t="str">
        <f aca="false">IFERROR((AF97-AF98)/AF97,"")</f>
        <v/>
      </c>
      <c r="AG96" s="282" t="str">
        <f aca="false">IFERROR((AG97-AG98)/AG97,"")</f>
        <v/>
      </c>
      <c r="AH96" s="282" t="str">
        <f aca="false">IFERROR((AH97-AH98)/AH97,"")</f>
        <v/>
      </c>
      <c r="AI96" s="282" t="str">
        <f aca="false">IFERROR((AI97-AI98)/AI97,"")</f>
        <v/>
      </c>
      <c r="AJ96" s="282" t="str">
        <f aca="false">IFERROR((AJ97-AJ98)/AJ97,"")</f>
        <v/>
      </c>
      <c r="AK96" s="282" t="str">
        <f aca="false">IFERROR((AK97-AK98)/AK97,"")</f>
        <v/>
      </c>
      <c r="AL96" s="282" t="str">
        <f aca="false">IFERROR((AL97-AL98)/AL97,"")</f>
        <v/>
      </c>
      <c r="AM96" s="282" t="str">
        <f aca="false">IFERROR((AM97-AM98)/AM97,"")</f>
        <v/>
      </c>
      <c r="AN96" s="284" t="str">
        <f aca="false">IFERROR((AN97-AN98)/AN97,"")</f>
        <v/>
      </c>
      <c r="AO96" s="285" t="str">
        <f aca="false">IFERROR((AO97-AO98)/AO97,"")</f>
        <v/>
      </c>
      <c r="AP96" s="286" t="str">
        <f aca="false">IFERROR((AP97-AP98)/AP97,"")</f>
        <v/>
      </c>
      <c r="AQ96" s="286" t="str">
        <f aca="false">IFERROR((AQ97-AQ98)/AQ97,"")</f>
        <v/>
      </c>
      <c r="AR96" s="286" t="str">
        <f aca="false">IFERROR((AR97-AR98)/AR97,"")</f>
        <v/>
      </c>
      <c r="AS96" s="286" t="str">
        <f aca="false">IFERROR((AS97-AS98)/AS97,"")</f>
        <v/>
      </c>
      <c r="AT96" s="286" t="str">
        <f aca="false">IFERROR((AT97-AT98)/AT97,"")</f>
        <v/>
      </c>
      <c r="AU96" s="287" t="str">
        <f aca="false">IFERROR((AU97-AU98)/AU97,"")</f>
        <v/>
      </c>
      <c r="AV96" s="288" t="str">
        <f aca="false">IFERROR((AV97-AV98)/AV97,"")</f>
        <v/>
      </c>
    </row>
    <row r="97" customFormat="false" ht="14.25" hidden="false" customHeight="false" outlineLevel="0" collapsed="false">
      <c r="A97" s="166" t="str">
        <f aca="false">+IF(C97+C98=0,"[ocultar]","")</f>
        <v>[ocultar]</v>
      </c>
      <c r="B97" s="289" t="s">
        <v>371</v>
      </c>
      <c r="C97" s="290" t="n">
        <f aca="false" t="array" ref="C97:C97">SUM(IF($B97=DATOS_[Sexo], IF($B96=DATOS_[AGRUP. VALOR. PTO.], IF("Dentro"=DATOS_[Check Periodo Ref.], 1/(COUNTIFS(DATOS_[Sexo],$B97,DATOS_[AGRUP. VALOR. PTO.],$B96,DATOS_[Check Periodo Ref.],"Dentro",DATOS_[id],DATOS_[id]))))))</f>
        <v>0</v>
      </c>
      <c r="D97" s="291" t="n">
        <f aca="false">COUNTIFS(DATOS_[AGRUP. VALOR. PTO.],$B96,DATOS_[Sexo],$B97,DATOS_[Check Periodo Ref.],"Dentro")</f>
        <v>0</v>
      </c>
      <c r="E97" s="291" t="n">
        <f aca="false">COUNTIFS(DATOS_[AGRUP. VALOR. PTO.],$B96,DATOS_[Sexo],$B97,DATOS_[Check Periodo Ref.],"Dentro",DATOS_[Check Nº SC Norm],"Sí")</f>
        <v>0</v>
      </c>
      <c r="F97" s="291" t="n">
        <f aca="false">COUNTIFS(DATOS_[AGRUP. VALOR. PTO.],$B96,DATOS_[Sexo],$B97,DATOS_[Check Periodo Ref.],"Dentro",DATOS_[Check Nº SC Anualiz],"Sí")</f>
        <v>0</v>
      </c>
      <c r="G97" s="291" t="n">
        <f aca="false">COUNTIFS(DATOS_[AGRUP. VALOR. PTO.],$B96,DATOS_[Sexo],$B97,DATOS_[Check Periodo Ref.],"Dentro",DATOS_[Check Nº SC Norm y Anualiz],"Sí")</f>
        <v>0</v>
      </c>
      <c r="H97" s="291" t="n">
        <f aca="false">COUNTIFS(DATOS_[AGRUP. VALOR. PTO.],$B96,DATOS_[Sexo],$B97,DATOS_[Check Periodo Ref.],"Dentro",DATOS_[Check Equiparación],"Sí")</f>
        <v>0</v>
      </c>
      <c r="I97" s="292" t="n">
        <f aca="false" t="array" ref="I97:I97">IFERROR( AVERAGE(IF(DATOS_[Sexo]=$B97,IF(DATOS_[[AGRUP. VALOR. PTO.]:[AGRUP. VALOR. PTO.]]=$B96,IF(DATOS_[Check Equiparado]="Sí",IF(DATOS_[Check Periodo Ref.]="Dentro",DATOS_[SALARIO BASE Eq],0))))), 0)</f>
        <v>0</v>
      </c>
      <c r="J97" s="302" t="n">
        <f aca="false" t="array" ref="J97:J97">IFERROR( (AVERAGE((IF(DATOS_[[Sexo]:[Sexo]]=$B97,IF(DATOS_[[AGRUP. VALOR. PTO.]:[AGRUP. VALOR. PTO.]]=$B96,IF(DATOS_[[Check Periodo Ref.]:[Check Periodo Ref.]]="Dentro",IF(DATOS_[[Check Equiparado]:[Check Equiparado]]="Sí",IF(DATOS!AE$4="Sí",(1/DATOS_[[% anualiz]:[% anualiz]]),1)*IF(DATOS!AE$5="Sí",1/DATOS_[[% normaliz]:[% normaliz]],1)*(DATOS_[Conc.Sal.01])))))))), 0)</f>
        <v>0</v>
      </c>
      <c r="K97" s="302" t="n">
        <f aca="false" t="array" ref="K97:K97">IFERROR( (AVERAGE((IF(DATOS_[[Sexo]:[Sexo]]=$B97,IF(DATOS_[[AGRUP. VALOR. PTO.]:[AGRUP. VALOR. PTO.]]=$B96,IF(DATOS_[[Check Periodo Ref.]:[Check Periodo Ref.]]="Dentro",IF(DATOS_[[Check Equiparado]:[Check Equiparado]]="Sí",IF(DATOS!AF$4="Sí",(1/DATOS_[[% anualiz]:[% anualiz]]),1)*IF(DATOS!AF$5="Sí",1/DATOS_[[% normaliz]:[% normaliz]],1)*(DATOS_[Conc.Sal.02])))))))), 0)</f>
        <v>0</v>
      </c>
      <c r="L97" s="302" t="n">
        <f aca="false" t="array" ref="L97:L97">IFERROR( (AVERAGE((IF(DATOS_[[Sexo]:[Sexo]]=$B97,IF(DATOS_[[AGRUP. VALOR. PTO.]:[AGRUP. VALOR. PTO.]]=$B96,IF(DATOS_[[Check Periodo Ref.]:[Check Periodo Ref.]]="Dentro",IF(DATOS_[[Check Equiparado]:[Check Equiparado]]="Sí",IF(DATOS!AG$4="Sí",(1/DATOS_[[% anualiz]:[% anualiz]]),1)*IF(DATOS!AG$5="Sí",1/DATOS_[[% normaliz]:[% normaliz]],1)*(DATOS_[Conc.Sal.03])))))))), 0)</f>
        <v>0</v>
      </c>
      <c r="M97" s="302" t="n">
        <f aca="false" t="array" ref="M97:M97">IFERROR( (AVERAGE((IF(DATOS_[[Sexo]:[Sexo]]=$B97,IF(DATOS_[[AGRUP. VALOR. PTO.]:[AGRUP. VALOR. PTO.]]=$B96,IF(DATOS_[[Check Periodo Ref.]:[Check Periodo Ref.]]="Dentro",IF(DATOS_[[Check Equiparado]:[Check Equiparado]]="Sí",IF(DATOS!AH$4="Sí",(1/DATOS_[[% anualiz]:[% anualiz]]),1)*IF(DATOS!AH$5="Sí",1/DATOS_[[% normaliz]:[% normaliz]],1)*(DATOS_[Conc.Sal.04])))))))), 0)</f>
        <v>0</v>
      </c>
      <c r="N97" s="302" t="n">
        <f aca="false" t="array" ref="N97:N97">IFERROR( (AVERAGE((IF(DATOS_[[Sexo]:[Sexo]]=$B97,IF(DATOS_[[AGRUP. VALOR. PTO.]:[AGRUP. VALOR. PTO.]]=$B96,IF(DATOS_[[Check Periodo Ref.]:[Check Periodo Ref.]]="Dentro",IF(DATOS_[[Check Equiparado]:[Check Equiparado]]="Sí",IF(DATOS!AI$4="Sí",(1/DATOS_[[% anualiz]:[% anualiz]]),1)*IF(DATOS!AI$5="Sí",1/DATOS_[[% normaliz]:[% normaliz]],1)*(DATOS_[Conc.Sal.05])))))))), 0)</f>
        <v>0</v>
      </c>
      <c r="O97" s="302" t="n">
        <f aca="false" t="array" ref="O97:O97">IFERROR( (AVERAGE((IF(DATOS_[[Sexo]:[Sexo]]=$B97,IF(DATOS_[[AGRUP. VALOR. PTO.]:[AGRUP. VALOR. PTO.]]=$B96,IF(DATOS_[[Check Periodo Ref.]:[Check Periodo Ref.]]="Dentro",IF(DATOS_[[Check Equiparado]:[Check Equiparado]]="Sí",IF(DATOS!AJ$4="Sí",(1/DATOS_[[% anualiz]:[% anualiz]]),1)*IF(DATOS!AJ$5="Sí",1/DATOS_[[% normaliz]:[% normaliz]],1)*(DATOS_[Conc.Sal.06])))))))), 0)</f>
        <v>0</v>
      </c>
      <c r="P97" s="302" t="n">
        <f aca="false" t="array" ref="P97:P97">IFERROR( (AVERAGE((IF(DATOS_[[Sexo]:[Sexo]]=$B97,IF(DATOS_[[AGRUP. VALOR. PTO.]:[AGRUP. VALOR. PTO.]]=$B96,IF(DATOS_[[Check Periodo Ref.]:[Check Periodo Ref.]]="Dentro",IF(DATOS_[[Check Equiparado]:[Check Equiparado]]="Sí",IF(DATOS!AK$4="Sí",(1/DATOS_[[% anualiz]:[% anualiz]]),1)*IF(DATOS!AK$5="Sí",1/DATOS_[[% normaliz]:[% normaliz]],1)*(DATOS_[Conc.Sal.07])))))))), 0)</f>
        <v>0</v>
      </c>
      <c r="Q97" s="302" t="n">
        <f aca="false" t="array" ref="Q97:Q97">IFERROR( (AVERAGE((IF(DATOS_[[Sexo]:[Sexo]]=$B97,IF(DATOS_[[AGRUP. VALOR. PTO.]:[AGRUP. VALOR. PTO.]]=$B96,IF(DATOS_[[Check Periodo Ref.]:[Check Periodo Ref.]]="Dentro",IF(DATOS_[[Check Equiparado]:[Check Equiparado]]="Sí",IF(DATOS!AL$4="Sí",(1/DATOS_[[% anualiz]:[% anualiz]]),1)*IF(DATOS!AL$5="Sí",1/DATOS_[[% normaliz]:[% normaliz]],1)*(DATOS_[Conc.Sal.08])))))))), 0)</f>
        <v>0</v>
      </c>
      <c r="R97" s="302" t="n">
        <f aca="false" t="array" ref="R97:R97">IFERROR( (AVERAGE((IF(DATOS_[[Sexo]:[Sexo]]=$B97,IF(DATOS_[[AGRUP. VALOR. PTO.]:[AGRUP. VALOR. PTO.]]=$B96,IF(DATOS_[[Check Periodo Ref.]:[Check Periodo Ref.]]="Dentro",IF(DATOS_[[Check Equiparado]:[Check Equiparado]]="Sí",IF(DATOS!AM$4="Sí",(1/DATOS_[[% anualiz]:[% anualiz]]),1)*IF(DATOS!AM$5="Sí",1/DATOS_[[% normaliz]:[% normaliz]],1)*(DATOS_[Conc.Sal.09])))))))), 0)</f>
        <v>0</v>
      </c>
      <c r="S97" s="302" t="n">
        <f aca="false" t="array" ref="S97:S97">IFERROR( (AVERAGE((IF(DATOS_[[Sexo]:[Sexo]]=$B97,IF(DATOS_[[AGRUP. VALOR. PTO.]:[AGRUP. VALOR. PTO.]]=$B96,IF(DATOS_[[Check Periodo Ref.]:[Check Periodo Ref.]]="Dentro",IF(DATOS_[[Check Equiparado]:[Check Equiparado]]="Sí",IF(DATOS!AN$4="Sí",(1/DATOS_[[% anualiz]:[% anualiz]]),1)*IF(DATOS!AN$5="Sí",1/DATOS_[[% normaliz]:[% normaliz]],1)*(DATOS_[Conc.Sal.10])))))))), 0)</f>
        <v>0</v>
      </c>
      <c r="T97" s="302" t="n">
        <f aca="false" t="array" ref="T97:T97">IFERROR( (AVERAGE((IF(DATOS_[[Sexo]:[Sexo]]=$B97,IF(DATOS_[[AGRUP. VALOR. PTO.]:[AGRUP. VALOR. PTO.]]=$B96,IF(DATOS_[[Check Periodo Ref.]:[Check Periodo Ref.]]="Dentro",IF(DATOS_[[Check Equiparado]:[Check Equiparado]]="Sí",IF(DATOS!AO$4="Sí",(1/DATOS_[[% anualiz]:[% anualiz]]),1)*IF(DATOS!AO$5="Sí",1/DATOS_[[% normaliz]:[% normaliz]],1)*(DATOS_[Conc.Sal.11])))))))), 0)</f>
        <v>0</v>
      </c>
      <c r="U97" s="302" t="n">
        <f aca="false" t="array" ref="U97:U97">IFERROR( (AVERAGE((IF(DATOS_[[Sexo]:[Sexo]]=$B97,IF(DATOS_[[AGRUP. VALOR. PTO.]:[AGRUP. VALOR. PTO.]]=$B96,IF(DATOS_[[Check Periodo Ref.]:[Check Periodo Ref.]]="Dentro",IF(DATOS_[[Check Equiparado]:[Check Equiparado]]="Sí",IF(DATOS!AP$4="Sí",(1/DATOS_[[% anualiz]:[% anualiz]]),1)*IF(DATOS!AP$5="Sí",1/DATOS_[[% normaliz]:[% normaliz]],1)*(DATOS_[Conc.Sal.12])))))))), 0)</f>
        <v>0</v>
      </c>
      <c r="V97" s="302" t="n">
        <f aca="false" t="array" ref="V97:V97">IFERROR( (AVERAGE((IF(DATOS_[[Sexo]:[Sexo]]=$B97,IF(DATOS_[[AGRUP. VALOR. PTO.]:[AGRUP. VALOR. PTO.]]=$B96,IF(DATOS_[[Check Periodo Ref.]:[Check Periodo Ref.]]="Dentro",IF(DATOS_[[Check Equiparado]:[Check Equiparado]]="Sí",IF(DATOS!AQ$4="Sí",(1/DATOS_[[% anualiz]:[% anualiz]]),1)*IF(DATOS!AQ$5="Sí",1/DATOS_[[% normaliz]:[% normaliz]],1)*(DATOS_[Conc.Sal.13])))))))), 0)</f>
        <v>0</v>
      </c>
      <c r="W97" s="302" t="n">
        <f aca="false" t="array" ref="W97:W97">IFERROR( (AVERAGE((IF(DATOS_[[Sexo]:[Sexo]]=$B97,IF(DATOS_[[AGRUP. VALOR. PTO.]:[AGRUP. VALOR. PTO.]]=$B96,IF(DATOS_[[Check Periodo Ref.]:[Check Periodo Ref.]]="Dentro",IF(DATOS_[[Check Equiparado]:[Check Equiparado]]="Sí",IF(DATOS!AR$4="Sí",(1/DATOS_[[% anualiz]:[% anualiz]]),1)*IF(DATOS!AR$5="Sí",1/DATOS_[[% normaliz]:[% normaliz]],1)*(DATOS_[Conc.Sal.14])))))))), 0)</f>
        <v>0</v>
      </c>
      <c r="X97" s="302" t="n">
        <f aca="false" t="array" ref="X97:X97">IFERROR( (AVERAGE((IF(DATOS_[[Sexo]:[Sexo]]=$B97,IF(DATOS_[[AGRUP. VALOR. PTO.]:[AGRUP. VALOR. PTO.]]=$B96,IF(DATOS_[[Check Periodo Ref.]:[Check Periodo Ref.]]="Dentro",IF(DATOS_[[Check Equiparado]:[Check Equiparado]]="Sí",IF(DATOS!AS$4="Sí",(1/DATOS_[[% anualiz]:[% anualiz]]),1)*IF(DATOS!AS$5="Sí",1/DATOS_[[% normaliz]:[% normaliz]],1)*(DATOS_[Conc.Sal.15])))))))), 0)</f>
        <v>0</v>
      </c>
      <c r="Y97" s="302" t="n">
        <f aca="false" t="array" ref="Y97:Y97">IFERROR( (AVERAGE((IF(DATOS_[[Sexo]:[Sexo]]=$B97,IF(DATOS_[[AGRUP. VALOR. PTO.]:[AGRUP. VALOR. PTO.]]=$B96,IF(DATOS_[[Check Periodo Ref.]:[Check Periodo Ref.]]="Dentro",IF(DATOS_[[Check Equiparado]:[Check Equiparado]]="Sí",IF(DATOS!AT$4="Sí",(1/DATOS_[[% anualiz]:[% anualiz]]),1)*IF(DATOS!AT$5="Sí",1/DATOS_[[% normaliz]:[% normaliz]],1)*(DATOS_[Conc.Sal.16])))))))), 0)</f>
        <v>0</v>
      </c>
      <c r="Z97" s="302" t="n">
        <f aca="false" t="array" ref="Z97:Z97">IFERROR( (AVERAGE((IF(DATOS_[[Sexo]:[Sexo]]=$B97,IF(DATOS_[[AGRUP. VALOR. PTO.]:[AGRUP. VALOR. PTO.]]=$B96,IF(DATOS_[[Check Periodo Ref.]:[Check Periodo Ref.]]="Dentro",IF(DATOS_[[Check Equiparado]:[Check Equiparado]]="Sí",IF(DATOS!AU$4="Sí",(1/DATOS_[[% anualiz]:[% anualiz]]),1)*IF(DATOS!AU$5="Sí",1/DATOS_[[% normaliz]:[% normaliz]],1)*(DATOS_[Conc.Sal.17])))))))), 0)</f>
        <v>0</v>
      </c>
      <c r="AA97" s="302" t="n">
        <f aca="false" t="array" ref="AA97:AA97">IFERROR( (AVERAGE((IF(DATOS_[[Sexo]:[Sexo]]=$B97,IF(DATOS_[[AGRUP. VALOR. PTO.]:[AGRUP. VALOR. PTO.]]=$B96,IF(DATOS_[[Check Periodo Ref.]:[Check Periodo Ref.]]="Dentro",IF(DATOS_[[Check Equiparado]:[Check Equiparado]]="Sí",IF(DATOS!AV$4="Sí",(1/DATOS_[[% anualiz]:[% anualiz]]),1)*IF(DATOS!AV$5="Sí",1/DATOS_[[% normaliz]:[% normaliz]],1)*(DATOS_[Conc.Sal.18])))))))), 0)</f>
        <v>0</v>
      </c>
      <c r="AB97" s="302" t="n">
        <f aca="false" t="array" ref="AB97:AB97">IFERROR( (AVERAGE((IF(DATOS_[[Sexo]:[Sexo]]=$B97,IF(DATOS_[[AGRUP. VALOR. PTO.]:[AGRUP. VALOR. PTO.]]=$B96,IF(DATOS_[[Check Periodo Ref.]:[Check Periodo Ref.]]="Dentro",IF(DATOS_[[Check Equiparado]:[Check Equiparado]]="Sí",IF(DATOS!AW$4="Sí",(1/DATOS_[[% anualiz]:[% anualiz]]),1)*IF(DATOS!AW$5="Sí",1/DATOS_[[% normaliz]:[% normaliz]],1)*(DATOS_[Conc.Sal.19])))))))), 0)</f>
        <v>0</v>
      </c>
      <c r="AC97" s="302" t="n">
        <f aca="false" t="array" ref="AC97:AC97">IFERROR( (AVERAGE((IF(DATOS_[[Sexo]:[Sexo]]=$B97,IF(DATOS_[[AGRUP. VALOR. PTO.]:[AGRUP. VALOR. PTO.]]=$B96,IF(DATOS_[[Check Periodo Ref.]:[Check Periodo Ref.]]="Dentro",IF(DATOS_[[Check Equiparado]:[Check Equiparado]]="Sí",IF(DATOS!AX$4="Sí",(1/DATOS_[[% anualiz]:[% anualiz]]),1)*IF(DATOS!AX$5="Sí",1/DATOS_[[% normaliz]:[% normaliz]],1)*(DATOS_[Conc.Sal.20])))))))), 0)</f>
        <v>0</v>
      </c>
      <c r="AD97" s="302" t="n">
        <f aca="false" t="array" ref="AD97:AD97">IFERROR( (AVERAGE((IF(DATOS_[[Sexo]:[Sexo]]=$B97,IF(DATOS_[[AGRUP. VALOR. PTO.]:[AGRUP. VALOR. PTO.]]=$B96,IF(DATOS_[[Check Periodo Ref.]:[Check Periodo Ref.]]="Dentro",IF(DATOS_[[Check Equiparado]:[Check Equiparado]]="Sí",IF(DATOS!AY$4="Sí",(1/DATOS_[[% anualiz]:[% anualiz]]),1)*IF(DATOS!AY$5="Sí",1/DATOS_[[% normaliz]:[% normaliz]],1)*(DATOS_[Conc.Sal.21])))))))), 0)</f>
        <v>0</v>
      </c>
      <c r="AE97" s="302" t="n">
        <f aca="false" t="array" ref="AE97:AE97">IFERROR( (AVERAGE((IF(DATOS_[[Sexo]:[Sexo]]=$B97,IF(DATOS_[[AGRUP. VALOR. PTO.]:[AGRUP. VALOR. PTO.]]=$B96,IF(DATOS_[[Check Periodo Ref.]:[Check Periodo Ref.]]="Dentro",IF(DATOS_[[Check Equiparado]:[Check Equiparado]]="Sí",IF(DATOS!AZ$4="Sí",(1/DATOS_[[% anualiz]:[% anualiz]]),1)*IF(DATOS!AZ$5="Sí",1/DATOS_[[% normaliz]:[% normaliz]],1)*(DATOS_[Conc.Sal.22])))))))), 0)</f>
        <v>0</v>
      </c>
      <c r="AF97" s="302" t="n">
        <f aca="false" t="array" ref="AF97:AF97">IFERROR( (AVERAGE((IF(DATOS_[[Sexo]:[Sexo]]=$B97,IF(DATOS_[[AGRUP. VALOR. PTO.]:[AGRUP. VALOR. PTO.]]=$B96,IF(DATOS_[[Check Periodo Ref.]:[Check Periodo Ref.]]="Dentro",IF(DATOS_[[Check Equiparado]:[Check Equiparado]]="Sí",IF(DATOS!BA$4="Sí",(1/DATOS_[[% anualiz]:[% anualiz]]),1)*IF(DATOS!BA$5="Sí",1/DATOS_[[% normaliz]:[% normaliz]],1)*(DATOS_[Conc.Sal.23])))))))), 0)</f>
        <v>0</v>
      </c>
      <c r="AG97" s="302" t="n">
        <f aca="false" t="array" ref="AG97:AG97">IFERROR( (AVERAGE((IF(DATOS_[[Sexo]:[Sexo]]=$B97,IF(DATOS_[[AGRUP. VALOR. PTO.]:[AGRUP. VALOR. PTO.]]=$B96,IF(DATOS_[[Check Periodo Ref.]:[Check Periodo Ref.]]="Dentro",IF(DATOS_[[Check Equiparado]:[Check Equiparado]]="Sí",IF(DATOS!BB$4="Sí",(1/DATOS_[[% anualiz]:[% anualiz]]),1)*IF(DATOS!BB$5="Sí",1/DATOS_[[% normaliz]:[% normaliz]],1)*(DATOS_[Conc.Sal.24])))))))), 0)</f>
        <v>0</v>
      </c>
      <c r="AH97" s="302" t="n">
        <f aca="false" t="array" ref="AH97:AH97">IFERROR( (AVERAGE((IF(DATOS_[[Sexo]:[Sexo]]=$B97,IF(DATOS_[[AGRUP. VALOR. PTO.]:[AGRUP. VALOR. PTO.]]=$B96,IF(DATOS_[[Check Periodo Ref.]:[Check Periodo Ref.]]="Dentro",IF(DATOS_[[Check Equiparado]:[Check Equiparado]]="Sí",IF(DATOS!BC$4="Sí",(1/DATOS_[[% anualiz]:[% anualiz]]),1)*IF(DATOS!BC$5="Sí",1/DATOS_[[% normaliz]:[% normaliz]],1)*(DATOS_[Conc.Sal.25])))))))), 0)</f>
        <v>0</v>
      </c>
      <c r="AI97" s="302" t="n">
        <f aca="false" t="array" ref="AI97:AI97">IFERROR( (AVERAGE((IF(DATOS_[[Sexo]:[Sexo]]=$B97,IF(DATOS_[[AGRUP. VALOR. PTO.]:[AGRUP. VALOR. PTO.]]=$B96,IF(DATOS_[[Check Periodo Ref.]:[Check Periodo Ref.]]="Dentro",IF(DATOS_[[Check Equiparado]:[Check Equiparado]]="Sí",IF(DATOS!BD$4="Sí",(1/DATOS_[[% anualiz]:[% anualiz]]),1)*IF(DATOS!BD$5="Sí",1/DATOS_[[% normaliz]:[% normaliz]],1)*(DATOS_[Conc.Sal.26])))))))), 0)</f>
        <v>0</v>
      </c>
      <c r="AJ97" s="302" t="n">
        <f aca="false" t="array" ref="AJ97:AJ97">IFERROR( (AVERAGE((IF(DATOS_[[Sexo]:[Sexo]]=$B97,IF(DATOS_[[AGRUP. VALOR. PTO.]:[AGRUP. VALOR. PTO.]]=$B96,IF(DATOS_[[Check Periodo Ref.]:[Check Periodo Ref.]]="Dentro",IF(DATOS_[[Check Equiparado]:[Check Equiparado]]="Sí",IF(DATOS!BE$4="Sí",(1/DATOS_[[% anualiz]:[% anualiz]]),1)*IF(DATOS!BE$5="Sí",1/DATOS_[[% normaliz]:[% normaliz]],1)*(DATOS_[Conc.Sal.27])))))))), 0)</f>
        <v>0</v>
      </c>
      <c r="AK97" s="302" t="n">
        <f aca="false" t="array" ref="AK97:AK97">IFERROR( (AVERAGE((IF(DATOS_[[Sexo]:[Sexo]]=$B97,IF(DATOS_[[AGRUP. VALOR. PTO.]:[AGRUP. VALOR. PTO.]]=$B96,IF(DATOS_[[Check Periodo Ref.]:[Check Periodo Ref.]]="Dentro",IF(DATOS_[[Check Equiparado]:[Check Equiparado]]="Sí",IF(DATOS!BF$4="Sí",(1/DATOS_[[% anualiz]:[% anualiz]]),1)*IF(DATOS!BF$5="Sí",1/DATOS_[[% normaliz]:[% normaliz]],1)*(DATOS_[Conc.Sal.28])))))))), 0)</f>
        <v>0</v>
      </c>
      <c r="AL97" s="302" t="n">
        <f aca="false" t="array" ref="AL97:AL97">IFERROR( (AVERAGE((IF(DATOS_[[Sexo]:[Sexo]]=$B97,IF(DATOS_[[AGRUP. VALOR. PTO.]:[AGRUP. VALOR. PTO.]]=$B96,IF(DATOS_[[Check Periodo Ref.]:[Check Periodo Ref.]]="Dentro",IF(DATOS_[[Check Equiparado]:[Check Equiparado]]="Sí",IF(DATOS!BG$4="Sí",(1/DATOS_[[% anualiz]:[% anualiz]]),1)*IF(DATOS!BG$5="Sí",1/DATOS_[[% normaliz]:[% normaliz]],1)*(DATOS_[Conc.Sal.29])))))))), 0)</f>
        <v>0</v>
      </c>
      <c r="AM97" s="302" t="n">
        <f aca="false" t="array" ref="AM97:AM97">IFERROR( (AVERAGE((IF(DATOS_[[Sexo]:[Sexo]]=$B97,IF(DATOS_[[AGRUP. VALOR. PTO.]:[AGRUP. VALOR. PTO.]]=$B96,IF(DATOS_[[Check Periodo Ref.]:[Check Periodo Ref.]]="Dentro",IF(DATOS_[[Check Equiparado]:[Check Equiparado]]="Sí",IF(DATOS!BH$4="Sí",(1/DATOS_[[% anualiz]:[% anualiz]]),1)*IF(DATOS!BH$5="Sí",1/DATOS_[[% normaliz]:[% normaliz]],1)*(DATOS_[Conc.Sal.30])))))))), 0)</f>
        <v>0</v>
      </c>
      <c r="AN97" s="294" t="n">
        <f aca="false" t="array" ref="AN97:AN97">IFERROR( AVERAGE(IF(DATOS_[Sexo]=$B97,IF(DATOS_[[AGRUP. VALOR. PTO.]:[AGRUP. VALOR. PTO.]]=$B96,IF(DATOS_[Check Equiparado]="Sí",IF(DATOS_[Check Periodo Ref.]="Dentro",DATOS_[Tot COMPL.SAL Eq],0))))), 0)</f>
        <v>0</v>
      </c>
      <c r="AO97" s="295" t="n">
        <f aca="false" t="array" ref="AO97:AO97">IFERROR( AVERAGE(IF(DATOS_[Sexo]=$B97,IF(DATOS_[[AGRUP. VALOR. PTO.]:[AGRUP. VALOR. PTO.]]=$B96,IF(DATOS_[Check Equiparado]="Sí",IF(DATOS_[Check Periodo Ref.]="Dentro",DATOS_[TOTAL SALARIO Eq],0))))), 0)</f>
        <v>0</v>
      </c>
      <c r="AP97" s="303" t="n">
        <f aca="false" t="array" ref="AP97:AP97">IFERROR( (AVERAGE((IF(DATOS_[[Sexo]:[Sexo]]=$B97,IF(DATOS_[[AGRUP. VALOR. PTO.]:[AGRUP. VALOR. PTO.]]=$B96,IF(DATOS_[[Check Periodo Ref.]:[Check Periodo Ref.]]="Dentro",IF(DATOS_[[Check Equiparado]:[Check Equiparado]]="Sí",IF(DATOS!BI$4="Sí",(1/DATOS_[[% anualiz]:[% anualiz]]),1)*IF(DATOS!BI$5="Sí",1/DATOS_[[% normaliz]:[% normaliz]],1)*(DATOS_[C.Extra.01])))))))), 0)</f>
        <v>0</v>
      </c>
      <c r="AQ97" s="303" t="n">
        <f aca="false" t="array" ref="AQ97:AQ97">IFERROR( (AVERAGE((IF(DATOS_[[Sexo]:[Sexo]]=$B97,IF(DATOS_[[AGRUP. VALOR. PTO.]:[AGRUP. VALOR. PTO.]]=$B96,IF(DATOS_[[Check Periodo Ref.]:[Check Periodo Ref.]]="Dentro",IF(DATOS_[[Check Equiparado]:[Check Equiparado]]="Sí",IF(DATOS!BJ$4="Sí",(1/DATOS_[[% anualiz]:[% anualiz]]),1)*IF(DATOS!BJ$5="Sí",1/DATOS_[[% normaliz]:[% normaliz]],1)*(DATOS_[C.Extra.02])))))))), 0)</f>
        <v>0</v>
      </c>
      <c r="AR97" s="303" t="n">
        <f aca="false" t="array" ref="AR97:AR97">IFERROR( (AVERAGE((IF(DATOS_[[Sexo]:[Sexo]]=$B97,IF(DATOS_[[AGRUP. VALOR. PTO.]:[AGRUP. VALOR. PTO.]]=$B96,IF(DATOS_[[Check Periodo Ref.]:[Check Periodo Ref.]]="Dentro",IF(DATOS_[[Check Equiparado]:[Check Equiparado]]="Sí",IF(DATOS!BK$4="Sí",(1/DATOS_[[% anualiz]:[% anualiz]]),1)*IF(DATOS!BK$5="Sí",1/DATOS_[[% normaliz]:[% normaliz]],1)*(DATOS_[C.Extra.03])))))))), 0)</f>
        <v>0</v>
      </c>
      <c r="AS97" s="303" t="n">
        <f aca="false" t="array" ref="AS97:AS97">IFERROR( (AVERAGE((IF(DATOS_[[Sexo]:[Sexo]]=$B97,IF(DATOS_[[AGRUP. VALOR. PTO.]:[AGRUP. VALOR. PTO.]]=$B96,IF(DATOS_[[Check Periodo Ref.]:[Check Periodo Ref.]]="Dentro",IF(DATOS_[[Check Equiparado]:[Check Equiparado]]="Sí",IF(DATOS!BL$4="Sí",(1/DATOS_[[% anualiz]:[% anualiz]]),1)*IF(DATOS!BL$5="Sí",1/DATOS_[[% normaliz]:[% normaliz]],1)*(DATOS_[C.Extra.04])))))))), 0)</f>
        <v>0</v>
      </c>
      <c r="AT97" s="303" t="n">
        <f aca="false" t="array" ref="AT97:AT97">IFERROR( (AVERAGE((IF(DATOS_[[Sexo]:[Sexo]]=$B97,IF(DATOS_[[AGRUP. VALOR. PTO.]:[AGRUP. VALOR. PTO.]]=$B96,IF(DATOS_[[Check Periodo Ref.]:[Check Periodo Ref.]]="Dentro",IF(DATOS_[[Check Equiparado]:[Check Equiparado]]="Sí",IF(DATOS!BM$4="Sí",(1/DATOS_[[% anualiz]:[% anualiz]]),1)*IF(DATOS!BM$5="Sí",1/DATOS_[[% normaliz]:[% normaliz]],1)*(DATOS_[C.Extra.05])))))))), 0)</f>
        <v>0</v>
      </c>
      <c r="AU97" s="297" t="n">
        <f aca="false" t="array" ref="AU97:AU97">IFERROR( AVERAGE(IF(DATOS_[Sexo]=$B97,IF(DATOS_[[AGRUP. VALOR. PTO.]:[AGRUP. VALOR. PTO.]]=$B96,IF(DATOS_[Check Equiparado]="Sí",IF(DATOS_[Check Periodo Ref.]="Dentro",DATOS_[Tot Extrasalarial Eq],0))))), 0)</f>
        <v>0</v>
      </c>
      <c r="AV97" s="298" t="n">
        <f aca="false" t="array" ref="AV97:AV97">IFERROR( AVERAGE(IF(DATOS_[Sexo]=$B97,IF(DATOS_[[AGRUP. VALOR. PTO.]:[AGRUP. VALOR. PTO.]]=$B96,IF(DATOS_[Check Equiparado]="Sí",IF(DATOS_[Check Periodo Ref.]="Dentro",DATOS_[TOTAL Retrib Eq],0))))), 0)</f>
        <v>0</v>
      </c>
    </row>
    <row r="98" customFormat="false" ht="14.25" hidden="false" customHeight="false" outlineLevel="0" collapsed="false">
      <c r="A98" s="166" t="str">
        <f aca="false">+A97</f>
        <v>[ocultar]</v>
      </c>
      <c r="B98" s="289" t="s">
        <v>372</v>
      </c>
      <c r="C98" s="290" t="n">
        <f aca="false" t="array" ref="C98:C98">SUM(IF($B98=DATOS_[Sexo], IF($B96=DATOS_[AGRUP. VALOR. PTO.], IF("Dentro"=DATOS_[Check Periodo Ref.], 1/(COUNTIFS(DATOS_[Sexo],$B98,DATOS_[AGRUP. VALOR. PTO.],$B96,DATOS_[Check Periodo Ref.],"Dentro",DATOS_[id],DATOS_[id]))))))</f>
        <v>0</v>
      </c>
      <c r="D98" s="291" t="n">
        <f aca="false">COUNTIFS(DATOS_[AGRUP. VALOR. PTO.],$B96,DATOS_[Sexo],$B98,DATOS_[Check Periodo Ref.],"Dentro")</f>
        <v>0</v>
      </c>
      <c r="E98" s="291" t="n">
        <f aca="false">COUNTIFS(DATOS_[AGRUP. VALOR. PTO.],$B96,DATOS_[Sexo],$B98,DATOS_[Check Periodo Ref.],"Dentro",DATOS_[Check Nº SC Norm],"Sí")</f>
        <v>0</v>
      </c>
      <c r="F98" s="291" t="n">
        <f aca="false">COUNTIFS(DATOS_[AGRUP. VALOR. PTO.],$B96,DATOS_[Sexo],$B98,DATOS_[Check Periodo Ref.],"Dentro",DATOS_[Check Nº SC Anualiz],"Sí")</f>
        <v>0</v>
      </c>
      <c r="G98" s="291" t="n">
        <f aca="false">COUNTIFS(DATOS_[AGRUP. VALOR. PTO.],$B96,DATOS_[Sexo],$B98,DATOS_[Check Periodo Ref.],"Dentro",DATOS_[Check Nº SC Norm y Anualiz],"Sí")</f>
        <v>0</v>
      </c>
      <c r="H98" s="291" t="n">
        <f aca="false">COUNTIFS(DATOS_[AGRUP. VALOR. PTO.],$B96,DATOS_[Sexo],$B98,DATOS_[Check Periodo Ref.],"Dentro",DATOS_[Check Equiparación],"Sí")</f>
        <v>0</v>
      </c>
      <c r="I98" s="292" t="n">
        <f aca="false" t="array" ref="I98:I98">IFERROR( AVERAGE(IF(DATOS_[Sexo]=$B98,IF(DATOS_[[AGRUP. VALOR. PTO.]:[AGRUP. VALOR. PTO.]]=$B96,IF(DATOS_[Check Equiparado]="Sí",IF(DATOS_[Check Periodo Ref.]="Dentro",DATOS_[SALARIO BASE Eq],0))))), 0)</f>
        <v>0</v>
      </c>
      <c r="J98" s="302" t="n">
        <f aca="false" t="array" ref="J98:J98">IFERROR( (AVERAGE((IF(DATOS_[[Sexo]:[Sexo]]=$B98,IF(DATOS_[[AGRUP. VALOR. PTO.]:[AGRUP. VALOR. PTO.]]=$B96,IF(DATOS_[[Check Periodo Ref.]:[Check Periodo Ref.]]="Dentro",IF(DATOS_[[Check Equiparado]:[Check Equiparado]]="Sí",IF(DATOS!AE$4="Sí",(1/DATOS_[[% anualiz]:[% anualiz]]),1)*IF(DATOS!AE$5="Sí",1/DATOS_[[% normaliz]:[% normaliz]],1)*(DATOS_[Conc.Sal.01])))))))), 0)</f>
        <v>0</v>
      </c>
      <c r="K98" s="302" t="n">
        <f aca="false" t="array" ref="K98:K98">IFERROR( (AVERAGE((IF(DATOS_[[Sexo]:[Sexo]]=$B98,IF(DATOS_[[AGRUP. VALOR. PTO.]:[AGRUP. VALOR. PTO.]]=$B96,IF(DATOS_[[Check Periodo Ref.]:[Check Periodo Ref.]]="Dentro",IF(DATOS_[[Check Equiparado]:[Check Equiparado]]="Sí",IF(DATOS!AF$4="Sí",(1/DATOS_[[% anualiz]:[% anualiz]]),1)*IF(DATOS!AF$5="Sí",1/DATOS_[[% normaliz]:[% normaliz]],1)*(DATOS_[Conc.Sal.02])))))))), 0)</f>
        <v>0</v>
      </c>
      <c r="L98" s="302" t="n">
        <f aca="false" t="array" ref="L98:L98">IFERROR( (AVERAGE((IF(DATOS_[[Sexo]:[Sexo]]=$B98,IF(DATOS_[[AGRUP. VALOR. PTO.]:[AGRUP. VALOR. PTO.]]=$B96,IF(DATOS_[[Check Periodo Ref.]:[Check Periodo Ref.]]="Dentro",IF(DATOS_[[Check Equiparado]:[Check Equiparado]]="Sí",IF(DATOS!AG$4="Sí",(1/DATOS_[[% anualiz]:[% anualiz]]),1)*IF(DATOS!AG$5="Sí",1/DATOS_[[% normaliz]:[% normaliz]],1)*(DATOS_[Conc.Sal.03])))))))), 0)</f>
        <v>0</v>
      </c>
      <c r="M98" s="302" t="n">
        <f aca="false" t="array" ref="M98:M98">IFERROR( (AVERAGE((IF(DATOS_[[Sexo]:[Sexo]]=$B98,IF(DATOS_[[AGRUP. VALOR. PTO.]:[AGRUP. VALOR. PTO.]]=$B96,IF(DATOS_[[Check Periodo Ref.]:[Check Periodo Ref.]]="Dentro",IF(DATOS_[[Check Equiparado]:[Check Equiparado]]="Sí",IF(DATOS!AH$4="Sí",(1/DATOS_[[% anualiz]:[% anualiz]]),1)*IF(DATOS!AH$5="Sí",1/DATOS_[[% normaliz]:[% normaliz]],1)*(DATOS_[Conc.Sal.04])))))))), 0)</f>
        <v>0</v>
      </c>
      <c r="N98" s="302" t="n">
        <f aca="false" t="array" ref="N98:N98">IFERROR( (AVERAGE((IF(DATOS_[[Sexo]:[Sexo]]=$B98,IF(DATOS_[[AGRUP. VALOR. PTO.]:[AGRUP. VALOR. PTO.]]=$B96,IF(DATOS_[[Check Periodo Ref.]:[Check Periodo Ref.]]="Dentro",IF(DATOS_[[Check Equiparado]:[Check Equiparado]]="Sí",IF(DATOS!AI$4="Sí",(1/DATOS_[[% anualiz]:[% anualiz]]),1)*IF(DATOS!AI$5="Sí",1/DATOS_[[% normaliz]:[% normaliz]],1)*(DATOS_[Conc.Sal.05])))))))), 0)</f>
        <v>0</v>
      </c>
      <c r="O98" s="302" t="n">
        <f aca="false" t="array" ref="O98:O98">IFERROR( (AVERAGE((IF(DATOS_[[Sexo]:[Sexo]]=$B98,IF(DATOS_[[AGRUP. VALOR. PTO.]:[AGRUP. VALOR. PTO.]]=$B96,IF(DATOS_[[Check Periodo Ref.]:[Check Periodo Ref.]]="Dentro",IF(DATOS_[[Check Equiparado]:[Check Equiparado]]="Sí",IF(DATOS!AJ$4="Sí",(1/DATOS_[[% anualiz]:[% anualiz]]),1)*IF(DATOS!AJ$5="Sí",1/DATOS_[[% normaliz]:[% normaliz]],1)*(DATOS_[Conc.Sal.06])))))))), 0)</f>
        <v>0</v>
      </c>
      <c r="P98" s="302" t="n">
        <f aca="false" t="array" ref="P98:P98">IFERROR( (AVERAGE((IF(DATOS_[[Sexo]:[Sexo]]=$B98,IF(DATOS_[[AGRUP. VALOR. PTO.]:[AGRUP. VALOR. PTO.]]=$B96,IF(DATOS_[[Check Periodo Ref.]:[Check Periodo Ref.]]="Dentro",IF(DATOS_[[Check Equiparado]:[Check Equiparado]]="Sí",IF(DATOS!AK$4="Sí",(1/DATOS_[[% anualiz]:[% anualiz]]),1)*IF(DATOS!AK$5="Sí",1/DATOS_[[% normaliz]:[% normaliz]],1)*(DATOS_[Conc.Sal.07])))))))), 0)</f>
        <v>0</v>
      </c>
      <c r="Q98" s="302" t="n">
        <f aca="false" t="array" ref="Q98:Q98">IFERROR( (AVERAGE((IF(DATOS_[[Sexo]:[Sexo]]=$B98,IF(DATOS_[[AGRUP. VALOR. PTO.]:[AGRUP. VALOR. PTO.]]=$B96,IF(DATOS_[[Check Periodo Ref.]:[Check Periodo Ref.]]="Dentro",IF(DATOS_[[Check Equiparado]:[Check Equiparado]]="Sí",IF(DATOS!AL$4="Sí",(1/DATOS_[[% anualiz]:[% anualiz]]),1)*IF(DATOS!AL$5="Sí",1/DATOS_[[% normaliz]:[% normaliz]],1)*(DATOS_[Conc.Sal.08])))))))), 0)</f>
        <v>0</v>
      </c>
      <c r="R98" s="302" t="n">
        <f aca="false" t="array" ref="R98:R98">IFERROR( (AVERAGE((IF(DATOS_[[Sexo]:[Sexo]]=$B98,IF(DATOS_[[AGRUP. VALOR. PTO.]:[AGRUP. VALOR. PTO.]]=$B96,IF(DATOS_[[Check Periodo Ref.]:[Check Periodo Ref.]]="Dentro",IF(DATOS_[[Check Equiparado]:[Check Equiparado]]="Sí",IF(DATOS!AM$4="Sí",(1/DATOS_[[% anualiz]:[% anualiz]]),1)*IF(DATOS!AM$5="Sí",1/DATOS_[[% normaliz]:[% normaliz]],1)*(DATOS_[Conc.Sal.09])))))))), 0)</f>
        <v>0</v>
      </c>
      <c r="S98" s="302" t="n">
        <f aca="false" t="array" ref="S98:S98">IFERROR( (AVERAGE((IF(DATOS_[[Sexo]:[Sexo]]=$B98,IF(DATOS_[[AGRUP. VALOR. PTO.]:[AGRUP. VALOR. PTO.]]=$B96,IF(DATOS_[[Check Periodo Ref.]:[Check Periodo Ref.]]="Dentro",IF(DATOS_[[Check Equiparado]:[Check Equiparado]]="Sí",IF(DATOS!AN$4="Sí",(1/DATOS_[[% anualiz]:[% anualiz]]),1)*IF(DATOS!AN$5="Sí",1/DATOS_[[% normaliz]:[% normaliz]],1)*(DATOS_[Conc.Sal.10])))))))), 0)</f>
        <v>0</v>
      </c>
      <c r="T98" s="302" t="n">
        <f aca="false" t="array" ref="T98:T98">IFERROR( (AVERAGE((IF(DATOS_[[Sexo]:[Sexo]]=$B98,IF(DATOS_[[AGRUP. VALOR. PTO.]:[AGRUP. VALOR. PTO.]]=$B96,IF(DATOS_[[Check Periodo Ref.]:[Check Periodo Ref.]]="Dentro",IF(DATOS_[[Check Equiparado]:[Check Equiparado]]="Sí",IF(DATOS!AO$4="Sí",(1/DATOS_[[% anualiz]:[% anualiz]]),1)*IF(DATOS!AO$5="Sí",1/DATOS_[[% normaliz]:[% normaliz]],1)*(DATOS_[Conc.Sal.11])))))))), 0)</f>
        <v>0</v>
      </c>
      <c r="U98" s="302" t="n">
        <f aca="false" t="array" ref="U98:U98">IFERROR( (AVERAGE((IF(DATOS_[[Sexo]:[Sexo]]=$B98,IF(DATOS_[[AGRUP. VALOR. PTO.]:[AGRUP. VALOR. PTO.]]=$B96,IF(DATOS_[[Check Periodo Ref.]:[Check Periodo Ref.]]="Dentro",IF(DATOS_[[Check Equiparado]:[Check Equiparado]]="Sí",IF(DATOS!AP$4="Sí",(1/DATOS_[[% anualiz]:[% anualiz]]),1)*IF(DATOS!AP$5="Sí",1/DATOS_[[% normaliz]:[% normaliz]],1)*(DATOS_[Conc.Sal.12])))))))), 0)</f>
        <v>0</v>
      </c>
      <c r="V98" s="302" t="n">
        <f aca="false" t="array" ref="V98:V98">IFERROR( (AVERAGE((IF(DATOS_[[Sexo]:[Sexo]]=$B98,IF(DATOS_[[AGRUP. VALOR. PTO.]:[AGRUP. VALOR. PTO.]]=$B96,IF(DATOS_[[Check Periodo Ref.]:[Check Periodo Ref.]]="Dentro",IF(DATOS_[[Check Equiparado]:[Check Equiparado]]="Sí",IF(DATOS!AQ$4="Sí",(1/DATOS_[[% anualiz]:[% anualiz]]),1)*IF(DATOS!AQ$5="Sí",1/DATOS_[[% normaliz]:[% normaliz]],1)*(DATOS_[Conc.Sal.13])))))))), 0)</f>
        <v>0</v>
      </c>
      <c r="W98" s="302" t="n">
        <f aca="false" t="array" ref="W98:W98">IFERROR( (AVERAGE((IF(DATOS_[[Sexo]:[Sexo]]=$B98,IF(DATOS_[[AGRUP. VALOR. PTO.]:[AGRUP. VALOR. PTO.]]=$B96,IF(DATOS_[[Check Periodo Ref.]:[Check Periodo Ref.]]="Dentro",IF(DATOS_[[Check Equiparado]:[Check Equiparado]]="Sí",IF(DATOS!AR$4="Sí",(1/DATOS_[[% anualiz]:[% anualiz]]),1)*IF(DATOS!AR$5="Sí",1/DATOS_[[% normaliz]:[% normaliz]],1)*(DATOS_[Conc.Sal.14])))))))), 0)</f>
        <v>0</v>
      </c>
      <c r="X98" s="302" t="n">
        <f aca="false" t="array" ref="X98:X98">IFERROR( (AVERAGE((IF(DATOS_[[Sexo]:[Sexo]]=$B98,IF(DATOS_[[AGRUP. VALOR. PTO.]:[AGRUP. VALOR. PTO.]]=$B96,IF(DATOS_[[Check Periodo Ref.]:[Check Periodo Ref.]]="Dentro",IF(DATOS_[[Check Equiparado]:[Check Equiparado]]="Sí",IF(DATOS!AS$4="Sí",(1/DATOS_[[% anualiz]:[% anualiz]]),1)*IF(DATOS!AS$5="Sí",1/DATOS_[[% normaliz]:[% normaliz]],1)*(DATOS_[Conc.Sal.15])))))))), 0)</f>
        <v>0</v>
      </c>
      <c r="Y98" s="302" t="n">
        <f aca="false" t="array" ref="Y98:Y98">IFERROR( (AVERAGE((IF(DATOS_[[Sexo]:[Sexo]]=$B98,IF(DATOS_[[AGRUP. VALOR. PTO.]:[AGRUP. VALOR. PTO.]]=$B96,IF(DATOS_[[Check Periodo Ref.]:[Check Periodo Ref.]]="Dentro",IF(DATOS_[[Check Equiparado]:[Check Equiparado]]="Sí",IF(DATOS!AT$4="Sí",(1/DATOS_[[% anualiz]:[% anualiz]]),1)*IF(DATOS!AT$5="Sí",1/DATOS_[[% normaliz]:[% normaliz]],1)*(DATOS_[Conc.Sal.16])))))))), 0)</f>
        <v>0</v>
      </c>
      <c r="Z98" s="302" t="n">
        <f aca="false" t="array" ref="Z98:Z98">IFERROR( (AVERAGE((IF(DATOS_[[Sexo]:[Sexo]]=$B98,IF(DATOS_[[AGRUP. VALOR. PTO.]:[AGRUP. VALOR. PTO.]]=$B96,IF(DATOS_[[Check Periodo Ref.]:[Check Periodo Ref.]]="Dentro",IF(DATOS_[[Check Equiparado]:[Check Equiparado]]="Sí",IF(DATOS!AU$4="Sí",(1/DATOS_[[% anualiz]:[% anualiz]]),1)*IF(DATOS!AU$5="Sí",1/DATOS_[[% normaliz]:[% normaliz]],1)*(DATOS_[Conc.Sal.17])))))))), 0)</f>
        <v>0</v>
      </c>
      <c r="AA98" s="302" t="n">
        <f aca="false" t="array" ref="AA98:AA98">IFERROR( (AVERAGE((IF(DATOS_[[Sexo]:[Sexo]]=$B98,IF(DATOS_[[AGRUP. VALOR. PTO.]:[AGRUP. VALOR. PTO.]]=$B96,IF(DATOS_[[Check Periodo Ref.]:[Check Periodo Ref.]]="Dentro",IF(DATOS_[[Check Equiparado]:[Check Equiparado]]="Sí",IF(DATOS!AV$4="Sí",(1/DATOS_[[% anualiz]:[% anualiz]]),1)*IF(DATOS!AV$5="Sí",1/DATOS_[[% normaliz]:[% normaliz]],1)*(DATOS_[Conc.Sal.18])))))))), 0)</f>
        <v>0</v>
      </c>
      <c r="AB98" s="302" t="n">
        <f aca="false" t="array" ref="AB98:AB98">IFERROR( (AVERAGE((IF(DATOS_[[Sexo]:[Sexo]]=$B98,IF(DATOS_[[AGRUP. VALOR. PTO.]:[AGRUP. VALOR. PTO.]]=$B96,IF(DATOS_[[Check Periodo Ref.]:[Check Periodo Ref.]]="Dentro",IF(DATOS_[[Check Equiparado]:[Check Equiparado]]="Sí",IF(DATOS!AW$4="Sí",(1/DATOS_[[% anualiz]:[% anualiz]]),1)*IF(DATOS!AW$5="Sí",1/DATOS_[[% normaliz]:[% normaliz]],1)*(DATOS_[Conc.Sal.19])))))))), 0)</f>
        <v>0</v>
      </c>
      <c r="AC98" s="302" t="n">
        <f aca="false" t="array" ref="AC98:AC98">IFERROR( (AVERAGE((IF(DATOS_[[Sexo]:[Sexo]]=$B98,IF(DATOS_[[AGRUP. VALOR. PTO.]:[AGRUP. VALOR. PTO.]]=$B96,IF(DATOS_[[Check Periodo Ref.]:[Check Periodo Ref.]]="Dentro",IF(DATOS_[[Check Equiparado]:[Check Equiparado]]="Sí",IF(DATOS!AX$4="Sí",(1/DATOS_[[% anualiz]:[% anualiz]]),1)*IF(DATOS!AX$5="Sí",1/DATOS_[[% normaliz]:[% normaliz]],1)*(DATOS_[Conc.Sal.20])))))))), 0)</f>
        <v>0</v>
      </c>
      <c r="AD98" s="302" t="n">
        <f aca="false" t="array" ref="AD98:AD98">IFERROR( (AVERAGE((IF(DATOS_[[Sexo]:[Sexo]]=$B98,IF(DATOS_[[AGRUP. VALOR. PTO.]:[AGRUP. VALOR. PTO.]]=$B96,IF(DATOS_[[Check Periodo Ref.]:[Check Periodo Ref.]]="Dentro",IF(DATOS_[[Check Equiparado]:[Check Equiparado]]="Sí",IF(DATOS!AY$4="Sí",(1/DATOS_[[% anualiz]:[% anualiz]]),1)*IF(DATOS!AY$5="Sí",1/DATOS_[[% normaliz]:[% normaliz]],1)*(DATOS_[Conc.Sal.21])))))))), 0)</f>
        <v>0</v>
      </c>
      <c r="AE98" s="302" t="n">
        <f aca="false" t="array" ref="AE98:AE98">IFERROR( (AVERAGE((IF(DATOS_[[Sexo]:[Sexo]]=$B98,IF(DATOS_[[AGRUP. VALOR. PTO.]:[AGRUP. VALOR. PTO.]]=$B96,IF(DATOS_[[Check Periodo Ref.]:[Check Periodo Ref.]]="Dentro",IF(DATOS_[[Check Equiparado]:[Check Equiparado]]="Sí",IF(DATOS!AZ$4="Sí",(1/DATOS_[[% anualiz]:[% anualiz]]),1)*IF(DATOS!AZ$5="Sí",1/DATOS_[[% normaliz]:[% normaliz]],1)*(DATOS_[Conc.Sal.22])))))))), 0)</f>
        <v>0</v>
      </c>
      <c r="AF98" s="302" t="n">
        <f aca="false" t="array" ref="AF98:AF98">IFERROR( (AVERAGE((IF(DATOS_[[Sexo]:[Sexo]]=$B98,IF(DATOS_[[AGRUP. VALOR. PTO.]:[AGRUP. VALOR. PTO.]]=$B96,IF(DATOS_[[Check Periodo Ref.]:[Check Periodo Ref.]]="Dentro",IF(DATOS_[[Check Equiparado]:[Check Equiparado]]="Sí",IF(DATOS!BA$4="Sí",(1/DATOS_[[% anualiz]:[% anualiz]]),1)*IF(DATOS!BA$5="Sí",1/DATOS_[[% normaliz]:[% normaliz]],1)*(DATOS_[Conc.Sal.23])))))))), 0)</f>
        <v>0</v>
      </c>
      <c r="AG98" s="302" t="n">
        <f aca="false" t="array" ref="AG98:AG98">IFERROR( (AVERAGE((IF(DATOS_[[Sexo]:[Sexo]]=$B98,IF(DATOS_[[AGRUP. VALOR. PTO.]:[AGRUP. VALOR. PTO.]]=$B96,IF(DATOS_[[Check Periodo Ref.]:[Check Periodo Ref.]]="Dentro",IF(DATOS_[[Check Equiparado]:[Check Equiparado]]="Sí",IF(DATOS!BB$4="Sí",(1/DATOS_[[% anualiz]:[% anualiz]]),1)*IF(DATOS!BB$5="Sí",1/DATOS_[[% normaliz]:[% normaliz]],1)*(DATOS_[Conc.Sal.24])))))))), 0)</f>
        <v>0</v>
      </c>
      <c r="AH98" s="302" t="n">
        <f aca="false" t="array" ref="AH98:AH98">IFERROR( (AVERAGE((IF(DATOS_[[Sexo]:[Sexo]]=$B98,IF(DATOS_[[AGRUP. VALOR. PTO.]:[AGRUP. VALOR. PTO.]]=$B96,IF(DATOS_[[Check Periodo Ref.]:[Check Periodo Ref.]]="Dentro",IF(DATOS_[[Check Equiparado]:[Check Equiparado]]="Sí",IF(DATOS!BC$4="Sí",(1/DATOS_[[% anualiz]:[% anualiz]]),1)*IF(DATOS!BC$5="Sí",1/DATOS_[[% normaliz]:[% normaliz]],1)*(DATOS_[Conc.Sal.25])))))))), 0)</f>
        <v>0</v>
      </c>
      <c r="AI98" s="302" t="n">
        <f aca="false" t="array" ref="AI98:AI98">IFERROR( (AVERAGE((IF(DATOS_[[Sexo]:[Sexo]]=$B98,IF(DATOS_[[AGRUP. VALOR. PTO.]:[AGRUP. VALOR. PTO.]]=$B96,IF(DATOS_[[Check Periodo Ref.]:[Check Periodo Ref.]]="Dentro",IF(DATOS_[[Check Equiparado]:[Check Equiparado]]="Sí",IF(DATOS!BD$4="Sí",(1/DATOS_[[% anualiz]:[% anualiz]]),1)*IF(DATOS!BD$5="Sí",1/DATOS_[[% normaliz]:[% normaliz]],1)*(DATOS_[Conc.Sal.26])))))))), 0)</f>
        <v>0</v>
      </c>
      <c r="AJ98" s="302" t="n">
        <f aca="false" t="array" ref="AJ98:AJ98">IFERROR( (AVERAGE((IF(DATOS_[[Sexo]:[Sexo]]=$B98,IF(DATOS_[[AGRUP. VALOR. PTO.]:[AGRUP. VALOR. PTO.]]=$B96,IF(DATOS_[[Check Periodo Ref.]:[Check Periodo Ref.]]="Dentro",IF(DATOS_[[Check Equiparado]:[Check Equiparado]]="Sí",IF(DATOS!BE$4="Sí",(1/DATOS_[[% anualiz]:[% anualiz]]),1)*IF(DATOS!BE$5="Sí",1/DATOS_[[% normaliz]:[% normaliz]],1)*(DATOS_[Conc.Sal.27])))))))), 0)</f>
        <v>0</v>
      </c>
      <c r="AK98" s="302" t="n">
        <f aca="false" t="array" ref="AK98:AK98">IFERROR( (AVERAGE((IF(DATOS_[[Sexo]:[Sexo]]=$B98,IF(DATOS_[[AGRUP. VALOR. PTO.]:[AGRUP. VALOR. PTO.]]=$B96,IF(DATOS_[[Check Periodo Ref.]:[Check Periodo Ref.]]="Dentro",IF(DATOS_[[Check Equiparado]:[Check Equiparado]]="Sí",IF(DATOS!BF$4="Sí",(1/DATOS_[[% anualiz]:[% anualiz]]),1)*IF(DATOS!BF$5="Sí",1/DATOS_[[% normaliz]:[% normaliz]],1)*(DATOS_[Conc.Sal.28])))))))), 0)</f>
        <v>0</v>
      </c>
      <c r="AL98" s="302" t="n">
        <f aca="false" t="array" ref="AL98:AL98">IFERROR( (AVERAGE((IF(DATOS_[[Sexo]:[Sexo]]=$B98,IF(DATOS_[[AGRUP. VALOR. PTO.]:[AGRUP. VALOR. PTO.]]=$B96,IF(DATOS_[[Check Periodo Ref.]:[Check Periodo Ref.]]="Dentro",IF(DATOS_[[Check Equiparado]:[Check Equiparado]]="Sí",IF(DATOS!BG$4="Sí",(1/DATOS_[[% anualiz]:[% anualiz]]),1)*IF(DATOS!BG$5="Sí",1/DATOS_[[% normaliz]:[% normaliz]],1)*(DATOS_[Conc.Sal.29])))))))), 0)</f>
        <v>0</v>
      </c>
      <c r="AM98" s="302" t="n">
        <f aca="false" t="array" ref="AM98:AM98">IFERROR( (AVERAGE((IF(DATOS_[[Sexo]:[Sexo]]=$B98,IF(DATOS_[[AGRUP. VALOR. PTO.]:[AGRUP. VALOR. PTO.]]=$B96,IF(DATOS_[[Check Periodo Ref.]:[Check Periodo Ref.]]="Dentro",IF(DATOS_[[Check Equiparado]:[Check Equiparado]]="Sí",IF(DATOS!BH$4="Sí",(1/DATOS_[[% anualiz]:[% anualiz]]),1)*IF(DATOS!BH$5="Sí",1/DATOS_[[% normaliz]:[% normaliz]],1)*(DATOS_[Conc.Sal.30])))))))), 0)</f>
        <v>0</v>
      </c>
      <c r="AN98" s="294" t="n">
        <f aca="false" t="array" ref="AN98:AN98">IFERROR( AVERAGE(IF(DATOS_[Sexo]=$B98,IF(DATOS_[[AGRUP. VALOR. PTO.]:[AGRUP. VALOR. PTO.]]=$B96,IF(DATOS_[Check Equiparado]="Sí",IF(DATOS_[Check Periodo Ref.]="Dentro",DATOS_[Tot COMPL.SAL Eq],0))))), 0)</f>
        <v>0</v>
      </c>
      <c r="AO98" s="295" t="n">
        <f aca="false" t="array" ref="AO98:AO98">IFERROR( AVERAGE(IF(DATOS_[Sexo]=$B98,IF(DATOS_[[AGRUP. VALOR. PTO.]:[AGRUP. VALOR. PTO.]]=$B96,IF(DATOS_[Check Equiparado]="Sí",IF(DATOS_[Check Periodo Ref.]="Dentro",DATOS_[TOTAL SALARIO Eq],0))))), 0)</f>
        <v>0</v>
      </c>
      <c r="AP98" s="303" t="n">
        <f aca="false" t="array" ref="AP98:AP98">IFERROR( (AVERAGE((IF(DATOS_[[Sexo]:[Sexo]]=$B98,IF(DATOS_[[AGRUP. VALOR. PTO.]:[AGRUP. VALOR. PTO.]]=$B97,IF(DATOS_[[Check Periodo Ref.]:[Check Periodo Ref.]]="Dentro",IF(DATOS_[[Check Equiparado]:[Check Equiparado]]="Sí",IF(DATOS!BI$4="Sí",(1/DATOS_[[% anualiz]:[% anualiz]]),1)*IF(DATOS!BI$5="Sí",1/DATOS_[[% normaliz]:[% normaliz]],1)*(DATOS_[C.Extra.01])))))))), 0)</f>
        <v>0</v>
      </c>
      <c r="AQ98" s="303" t="n">
        <f aca="false" t="array" ref="AQ98:AQ98">IFERROR( (AVERAGE((IF(DATOS_[[Sexo]:[Sexo]]=$B98,IF(DATOS_[[AGRUP. VALOR. PTO.]:[AGRUP. VALOR. PTO.]]=$B97,IF(DATOS_[[Check Periodo Ref.]:[Check Periodo Ref.]]="Dentro",IF(DATOS_[[Check Equiparado]:[Check Equiparado]]="Sí",IF(DATOS!BJ$4="Sí",(1/DATOS_[[% anualiz]:[% anualiz]]),1)*IF(DATOS!BJ$5="Sí",1/DATOS_[[% normaliz]:[% normaliz]],1)*(DATOS_[C.Extra.02])))))))), 0)</f>
        <v>0</v>
      </c>
      <c r="AR98" s="303" t="n">
        <f aca="false" t="array" ref="AR98:AR98">IFERROR( (AVERAGE((IF(DATOS_[[Sexo]:[Sexo]]=$B98,IF(DATOS_[[AGRUP. VALOR. PTO.]:[AGRUP. VALOR. PTO.]]=$B97,IF(DATOS_[[Check Periodo Ref.]:[Check Periodo Ref.]]="Dentro",IF(DATOS_[[Check Equiparado]:[Check Equiparado]]="Sí",IF(DATOS!BK$4="Sí",(1/DATOS_[[% anualiz]:[% anualiz]]),1)*IF(DATOS!BK$5="Sí",1/DATOS_[[% normaliz]:[% normaliz]],1)*(DATOS_[C.Extra.03])))))))), 0)</f>
        <v>0</v>
      </c>
      <c r="AS98" s="303" t="n">
        <f aca="false" t="array" ref="AS98:AS98">IFERROR( (AVERAGE((IF(DATOS_[[Sexo]:[Sexo]]=$B98,IF(DATOS_[[AGRUP. VALOR. PTO.]:[AGRUP. VALOR. PTO.]]=$B97,IF(DATOS_[[Check Periodo Ref.]:[Check Periodo Ref.]]="Dentro",IF(DATOS_[[Check Equiparado]:[Check Equiparado]]="Sí",IF(DATOS!BL$4="Sí",(1/DATOS_[[% anualiz]:[% anualiz]]),1)*IF(DATOS!BL$5="Sí",1/DATOS_[[% normaliz]:[% normaliz]],1)*(DATOS_[C.Extra.04])))))))), 0)</f>
        <v>0</v>
      </c>
      <c r="AT98" s="303" t="n">
        <f aca="false" t="array" ref="AT98:AT98">IFERROR( (AVERAGE((IF(DATOS_[[Sexo]:[Sexo]]=$B98,IF(DATOS_[[AGRUP. VALOR. PTO.]:[AGRUP. VALOR. PTO.]]=$B97,IF(DATOS_[[Check Periodo Ref.]:[Check Periodo Ref.]]="Dentro",IF(DATOS_[[Check Equiparado]:[Check Equiparado]]="Sí",IF(DATOS!BM$4="Sí",(1/DATOS_[[% anualiz]:[% anualiz]]),1)*IF(DATOS!BM$5="Sí",1/DATOS_[[% normaliz]:[% normaliz]],1)*(DATOS_[C.Extra.05])))))))), 0)</f>
        <v>0</v>
      </c>
      <c r="AU98" s="297" t="n">
        <f aca="false" t="array" ref="AU98:AU98">IFERROR( AVERAGE(IF(DATOS_[Sexo]=$B98,IF(DATOS_[[AGRUP. VALOR. PTO.]:[AGRUP. VALOR. PTO.]]=$B96,IF(DATOS_[Check Equiparado]="Sí",IF(DATOS_[Check Periodo Ref.]="Dentro",DATOS_[Tot Extrasalarial Eq],0))))), 0)</f>
        <v>0</v>
      </c>
      <c r="AV98" s="298" t="n">
        <f aca="false" t="array" ref="AV98:AV98">IFERROR( AVERAGE(IF(DATOS_[Sexo]=$B98,IF(DATOS_[[AGRUP. VALOR. PTO.]:[AGRUP. VALOR. PTO.]]=$B96,IF(DATOS_[Check Equiparado]="Sí",IF(DATOS_[Check Periodo Ref.]="Dentro",DATOS_[TOTAL Retrib Eq],0))))), 0)</f>
        <v>0</v>
      </c>
    </row>
    <row r="99" customFormat="false" ht="15.75" hidden="false" customHeight="false" outlineLevel="0" collapsed="false">
      <c r="A99" s="166" t="str">
        <f aca="false">+A100</f>
        <v>[ocultar]</v>
      </c>
      <c r="B99" s="276" t="s">
        <v>253</v>
      </c>
      <c r="C99" s="277"/>
      <c r="D99" s="278"/>
      <c r="E99" s="278"/>
      <c r="F99" s="278"/>
      <c r="G99" s="278"/>
      <c r="H99" s="278"/>
      <c r="I99" s="279" t="str">
        <f aca="false">IFERROR((I100-I101)/I100,"")</f>
        <v/>
      </c>
      <c r="J99" s="280" t="str">
        <f aca="false">IFERROR((J100-J101)/J100,"")</f>
        <v/>
      </c>
      <c r="K99" s="281" t="str">
        <f aca="false">IFERROR((K100-K101)/K100,"")</f>
        <v/>
      </c>
      <c r="L99" s="281" t="str">
        <f aca="false">IFERROR((L100-L101)/L100,"")</f>
        <v/>
      </c>
      <c r="M99" s="281" t="str">
        <f aca="false">IFERROR((M100-M101)/M100,"")</f>
        <v/>
      </c>
      <c r="N99" s="282" t="str">
        <f aca="false">IFERROR((N100-N101)/N100,"")</f>
        <v/>
      </c>
      <c r="O99" s="283" t="str">
        <f aca="false">IFERROR((O100-O101)/O100,"")</f>
        <v/>
      </c>
      <c r="P99" s="283" t="str">
        <f aca="false">IFERROR((P100-P101)/P100,"")</f>
        <v/>
      </c>
      <c r="Q99" s="283" t="str">
        <f aca="false">IFERROR((Q100-Q101)/Q100,"")</f>
        <v/>
      </c>
      <c r="R99" s="283" t="str">
        <f aca="false">IFERROR((R100-R101)/R100,"")</f>
        <v/>
      </c>
      <c r="S99" s="283" t="str">
        <f aca="false">IFERROR((S100-S101)/S100,"")</f>
        <v/>
      </c>
      <c r="T99" s="283" t="str">
        <f aca="false">IFERROR((T100-T101)/T100,"")</f>
        <v/>
      </c>
      <c r="U99" s="283" t="str">
        <f aca="false">IFERROR((U100-U101)/U100,"")</f>
        <v/>
      </c>
      <c r="V99" s="283" t="str">
        <f aca="false">IFERROR((V100-V101)/V100,"")</f>
        <v/>
      </c>
      <c r="W99" s="283" t="str">
        <f aca="false">IFERROR((W100-W101)/W100,"")</f>
        <v/>
      </c>
      <c r="X99" s="283" t="str">
        <f aca="false">IFERROR((X100-X101)/X100,"")</f>
        <v/>
      </c>
      <c r="Y99" s="283" t="str">
        <f aca="false">IFERROR((Y100-Y101)/Y100,"")</f>
        <v/>
      </c>
      <c r="Z99" s="282" t="str">
        <f aca="false">IFERROR((Z100-Z101)/Z100,"")</f>
        <v/>
      </c>
      <c r="AA99" s="282" t="str">
        <f aca="false">IFERROR((AA100-AA101)/AA100,"")</f>
        <v/>
      </c>
      <c r="AB99" s="282" t="str">
        <f aca="false">IFERROR((AB100-AB101)/AB100,"")</f>
        <v/>
      </c>
      <c r="AC99" s="282" t="str">
        <f aca="false">IFERROR((AC100-AC101)/AC100,"")</f>
        <v/>
      </c>
      <c r="AD99" s="282" t="str">
        <f aca="false">IFERROR((AD100-AD101)/AD100,"")</f>
        <v/>
      </c>
      <c r="AE99" s="282" t="str">
        <f aca="false">IFERROR((AE100-AE101)/AE100,"")</f>
        <v/>
      </c>
      <c r="AF99" s="282" t="str">
        <f aca="false">IFERROR((AF100-AF101)/AF100,"")</f>
        <v/>
      </c>
      <c r="AG99" s="282" t="str">
        <f aca="false">IFERROR((AG100-AG101)/AG100,"")</f>
        <v/>
      </c>
      <c r="AH99" s="282" t="str">
        <f aca="false">IFERROR((AH100-AH101)/AH100,"")</f>
        <v/>
      </c>
      <c r="AI99" s="282" t="str">
        <f aca="false">IFERROR((AI100-AI101)/AI100,"")</f>
        <v/>
      </c>
      <c r="AJ99" s="282" t="str">
        <f aca="false">IFERROR((AJ100-AJ101)/AJ100,"")</f>
        <v/>
      </c>
      <c r="AK99" s="282" t="str">
        <f aca="false">IFERROR((AK100-AK101)/AK100,"")</f>
        <v/>
      </c>
      <c r="AL99" s="282" t="str">
        <f aca="false">IFERROR((AL100-AL101)/AL100,"")</f>
        <v/>
      </c>
      <c r="AM99" s="282" t="str">
        <f aca="false">IFERROR((AM100-AM101)/AM100,"")</f>
        <v/>
      </c>
      <c r="AN99" s="284" t="str">
        <f aca="false">IFERROR((AN100-AN101)/AN100,"")</f>
        <v/>
      </c>
      <c r="AO99" s="285" t="str">
        <f aca="false">IFERROR((AO100-AO101)/AO100,"")</f>
        <v/>
      </c>
      <c r="AP99" s="286" t="str">
        <f aca="false">IFERROR((AP100-AP101)/AP100,"")</f>
        <v/>
      </c>
      <c r="AQ99" s="286" t="str">
        <f aca="false">IFERROR((AQ100-AQ101)/AQ100,"")</f>
        <v/>
      </c>
      <c r="AR99" s="286" t="str">
        <f aca="false">IFERROR((AR100-AR101)/AR100,"")</f>
        <v/>
      </c>
      <c r="AS99" s="286" t="str">
        <f aca="false">IFERROR((AS100-AS101)/AS100,"")</f>
        <v/>
      </c>
      <c r="AT99" s="286" t="str">
        <f aca="false">IFERROR((AT100-AT101)/AT100,"")</f>
        <v/>
      </c>
      <c r="AU99" s="287" t="str">
        <f aca="false">IFERROR((AU100-AU101)/AU100,"")</f>
        <v/>
      </c>
      <c r="AV99" s="288" t="str">
        <f aca="false">IFERROR((AV100-AV101)/AV100,"")</f>
        <v/>
      </c>
    </row>
    <row r="100" customFormat="false" ht="14.25" hidden="false" customHeight="false" outlineLevel="0" collapsed="false">
      <c r="A100" s="166" t="str">
        <f aca="false">+IF(C100+C101=0,"[ocultar]","")</f>
        <v>[ocultar]</v>
      </c>
      <c r="B100" s="289" t="s">
        <v>371</v>
      </c>
      <c r="C100" s="290" t="n">
        <f aca="false" t="array" ref="C100:C100">SUM(IF($B100=DATOS_[Sexo], IF($B99=DATOS_[AGRUP. VALOR. PTO.], IF("Dentro"=DATOS_[Check Periodo Ref.], 1/(COUNTIFS(DATOS_[Sexo],$B100,DATOS_[AGRUP. VALOR. PTO.],$B99,DATOS_[Check Periodo Ref.],"Dentro",DATOS_[id],DATOS_[id]))))))</f>
        <v>0</v>
      </c>
      <c r="D100" s="291" t="n">
        <f aca="false">COUNTIFS(DATOS_[AGRUP. VALOR. PTO.],$B99,DATOS_[Sexo],$B100,DATOS_[Check Periodo Ref.],"Dentro")</f>
        <v>0</v>
      </c>
      <c r="E100" s="291" t="n">
        <f aca="false">COUNTIFS(DATOS_[AGRUP. VALOR. PTO.],$B99,DATOS_[Sexo],$B100,DATOS_[Check Periodo Ref.],"Dentro",DATOS_[Check Nº SC Norm],"Sí")</f>
        <v>0</v>
      </c>
      <c r="F100" s="291" t="n">
        <f aca="false">COUNTIFS(DATOS_[AGRUP. VALOR. PTO.],$B99,DATOS_[Sexo],$B100,DATOS_[Check Periodo Ref.],"Dentro",DATOS_[Check Nº SC Anualiz],"Sí")</f>
        <v>0</v>
      </c>
      <c r="G100" s="291" t="n">
        <f aca="false">COUNTIFS(DATOS_[AGRUP. VALOR. PTO.],$B99,DATOS_[Sexo],$B100,DATOS_[Check Periodo Ref.],"Dentro",DATOS_[Check Nº SC Norm y Anualiz],"Sí")</f>
        <v>0</v>
      </c>
      <c r="H100" s="291" t="n">
        <f aca="false">COUNTIFS(DATOS_[AGRUP. VALOR. PTO.],$B99,DATOS_[Sexo],$B100,DATOS_[Check Periodo Ref.],"Dentro",DATOS_[Check Equiparación],"Sí")</f>
        <v>0</v>
      </c>
      <c r="I100" s="292" t="n">
        <f aca="false" t="array" ref="I100:I100">IFERROR( AVERAGE(IF(DATOS_[Sexo]=$B100,IF(DATOS_[[AGRUP. VALOR. PTO.]:[AGRUP. VALOR. PTO.]]=$B99,IF(DATOS_[Check Equiparado]="Sí",IF(DATOS_[Check Periodo Ref.]="Dentro",DATOS_[SALARIO BASE Eq],0))))), 0)</f>
        <v>0</v>
      </c>
      <c r="J100" s="302" t="n">
        <f aca="false" t="array" ref="J100:J100">IFERROR( (AVERAGE((IF(DATOS_[[Sexo]:[Sexo]]=$B100,IF(DATOS_[[AGRUP. VALOR. PTO.]:[AGRUP. VALOR. PTO.]]=$B99,IF(DATOS_[[Check Periodo Ref.]:[Check Periodo Ref.]]="Dentro",IF(DATOS_[[Check Equiparado]:[Check Equiparado]]="Sí",IF(DATOS!AE$4="Sí",(1/DATOS_[[% anualiz]:[% anualiz]]),1)*IF(DATOS!AE$5="Sí",1/DATOS_[[% normaliz]:[% normaliz]],1)*(DATOS_[Conc.Sal.01])))))))), 0)</f>
        <v>0</v>
      </c>
      <c r="K100" s="302" t="n">
        <f aca="false" t="array" ref="K100:K100">IFERROR( (AVERAGE((IF(DATOS_[[Sexo]:[Sexo]]=$B100,IF(DATOS_[[AGRUP. VALOR. PTO.]:[AGRUP. VALOR. PTO.]]=$B99,IF(DATOS_[[Check Periodo Ref.]:[Check Periodo Ref.]]="Dentro",IF(DATOS_[[Check Equiparado]:[Check Equiparado]]="Sí",IF(DATOS!AF$4="Sí",(1/DATOS_[[% anualiz]:[% anualiz]]),1)*IF(DATOS!AF$5="Sí",1/DATOS_[[% normaliz]:[% normaliz]],1)*(DATOS_[Conc.Sal.02])))))))), 0)</f>
        <v>0</v>
      </c>
      <c r="L100" s="302" t="n">
        <f aca="false" t="array" ref="L100:L100">IFERROR( (AVERAGE((IF(DATOS_[[Sexo]:[Sexo]]=$B100,IF(DATOS_[[AGRUP. VALOR. PTO.]:[AGRUP. VALOR. PTO.]]=$B99,IF(DATOS_[[Check Periodo Ref.]:[Check Periodo Ref.]]="Dentro",IF(DATOS_[[Check Equiparado]:[Check Equiparado]]="Sí",IF(DATOS!AG$4="Sí",(1/DATOS_[[% anualiz]:[% anualiz]]),1)*IF(DATOS!AG$5="Sí",1/DATOS_[[% normaliz]:[% normaliz]],1)*(DATOS_[Conc.Sal.03])))))))), 0)</f>
        <v>0</v>
      </c>
      <c r="M100" s="302" t="n">
        <f aca="false" t="array" ref="M100:M100">IFERROR( (AVERAGE((IF(DATOS_[[Sexo]:[Sexo]]=$B100,IF(DATOS_[[AGRUP. VALOR. PTO.]:[AGRUP. VALOR. PTO.]]=$B99,IF(DATOS_[[Check Periodo Ref.]:[Check Periodo Ref.]]="Dentro",IF(DATOS_[[Check Equiparado]:[Check Equiparado]]="Sí",IF(DATOS!AH$4="Sí",(1/DATOS_[[% anualiz]:[% anualiz]]),1)*IF(DATOS!AH$5="Sí",1/DATOS_[[% normaliz]:[% normaliz]],1)*(DATOS_[Conc.Sal.04])))))))), 0)</f>
        <v>0</v>
      </c>
      <c r="N100" s="302" t="n">
        <f aca="false" t="array" ref="N100:N100">IFERROR( (AVERAGE((IF(DATOS_[[Sexo]:[Sexo]]=$B100,IF(DATOS_[[AGRUP. VALOR. PTO.]:[AGRUP. VALOR. PTO.]]=$B99,IF(DATOS_[[Check Periodo Ref.]:[Check Periodo Ref.]]="Dentro",IF(DATOS_[[Check Equiparado]:[Check Equiparado]]="Sí",IF(DATOS!AI$4="Sí",(1/DATOS_[[% anualiz]:[% anualiz]]),1)*IF(DATOS!AI$5="Sí",1/DATOS_[[% normaliz]:[% normaliz]],1)*(DATOS_[Conc.Sal.05])))))))), 0)</f>
        <v>0</v>
      </c>
      <c r="O100" s="302" t="n">
        <f aca="false" t="array" ref="O100:O100">IFERROR( (AVERAGE((IF(DATOS_[[Sexo]:[Sexo]]=$B100,IF(DATOS_[[AGRUP. VALOR. PTO.]:[AGRUP. VALOR. PTO.]]=$B99,IF(DATOS_[[Check Periodo Ref.]:[Check Periodo Ref.]]="Dentro",IF(DATOS_[[Check Equiparado]:[Check Equiparado]]="Sí",IF(DATOS!AJ$4="Sí",(1/DATOS_[[% anualiz]:[% anualiz]]),1)*IF(DATOS!AJ$5="Sí",1/DATOS_[[% normaliz]:[% normaliz]],1)*(DATOS_[Conc.Sal.06])))))))), 0)</f>
        <v>0</v>
      </c>
      <c r="P100" s="302" t="n">
        <f aca="false" t="array" ref="P100:P100">IFERROR( (AVERAGE((IF(DATOS_[[Sexo]:[Sexo]]=$B100,IF(DATOS_[[AGRUP. VALOR. PTO.]:[AGRUP. VALOR. PTO.]]=$B99,IF(DATOS_[[Check Periodo Ref.]:[Check Periodo Ref.]]="Dentro",IF(DATOS_[[Check Equiparado]:[Check Equiparado]]="Sí",IF(DATOS!AK$4="Sí",(1/DATOS_[[% anualiz]:[% anualiz]]),1)*IF(DATOS!AK$5="Sí",1/DATOS_[[% normaliz]:[% normaliz]],1)*(DATOS_[Conc.Sal.07])))))))), 0)</f>
        <v>0</v>
      </c>
      <c r="Q100" s="302" t="n">
        <f aca="false" t="array" ref="Q100:Q100">IFERROR( (AVERAGE((IF(DATOS_[[Sexo]:[Sexo]]=$B100,IF(DATOS_[[AGRUP. VALOR. PTO.]:[AGRUP. VALOR. PTO.]]=$B99,IF(DATOS_[[Check Periodo Ref.]:[Check Periodo Ref.]]="Dentro",IF(DATOS_[[Check Equiparado]:[Check Equiparado]]="Sí",IF(DATOS!AL$4="Sí",(1/DATOS_[[% anualiz]:[% anualiz]]),1)*IF(DATOS!AL$5="Sí",1/DATOS_[[% normaliz]:[% normaliz]],1)*(DATOS_[Conc.Sal.08])))))))), 0)</f>
        <v>0</v>
      </c>
      <c r="R100" s="302" t="n">
        <f aca="false" t="array" ref="R100:R100">IFERROR( (AVERAGE((IF(DATOS_[[Sexo]:[Sexo]]=$B100,IF(DATOS_[[AGRUP. VALOR. PTO.]:[AGRUP. VALOR. PTO.]]=$B99,IF(DATOS_[[Check Periodo Ref.]:[Check Periodo Ref.]]="Dentro",IF(DATOS_[[Check Equiparado]:[Check Equiparado]]="Sí",IF(DATOS!AM$4="Sí",(1/DATOS_[[% anualiz]:[% anualiz]]),1)*IF(DATOS!AM$5="Sí",1/DATOS_[[% normaliz]:[% normaliz]],1)*(DATOS_[Conc.Sal.09])))))))), 0)</f>
        <v>0</v>
      </c>
      <c r="S100" s="302" t="n">
        <f aca="false" t="array" ref="S100:S100">IFERROR( (AVERAGE((IF(DATOS_[[Sexo]:[Sexo]]=$B100,IF(DATOS_[[AGRUP. VALOR. PTO.]:[AGRUP. VALOR. PTO.]]=$B99,IF(DATOS_[[Check Periodo Ref.]:[Check Periodo Ref.]]="Dentro",IF(DATOS_[[Check Equiparado]:[Check Equiparado]]="Sí",IF(DATOS!AN$4="Sí",(1/DATOS_[[% anualiz]:[% anualiz]]),1)*IF(DATOS!AN$5="Sí",1/DATOS_[[% normaliz]:[% normaliz]],1)*(DATOS_[Conc.Sal.10])))))))), 0)</f>
        <v>0</v>
      </c>
      <c r="T100" s="302" t="n">
        <f aca="false" t="array" ref="T100:T100">IFERROR( (AVERAGE((IF(DATOS_[[Sexo]:[Sexo]]=$B100,IF(DATOS_[[AGRUP. VALOR. PTO.]:[AGRUP. VALOR. PTO.]]=$B99,IF(DATOS_[[Check Periodo Ref.]:[Check Periodo Ref.]]="Dentro",IF(DATOS_[[Check Equiparado]:[Check Equiparado]]="Sí",IF(DATOS!AO$4="Sí",(1/DATOS_[[% anualiz]:[% anualiz]]),1)*IF(DATOS!AO$5="Sí",1/DATOS_[[% normaliz]:[% normaliz]],1)*(DATOS_[Conc.Sal.11])))))))), 0)</f>
        <v>0</v>
      </c>
      <c r="U100" s="302" t="n">
        <f aca="false" t="array" ref="U100:U100">IFERROR( (AVERAGE((IF(DATOS_[[Sexo]:[Sexo]]=$B100,IF(DATOS_[[AGRUP. VALOR. PTO.]:[AGRUP. VALOR. PTO.]]=$B99,IF(DATOS_[[Check Periodo Ref.]:[Check Periodo Ref.]]="Dentro",IF(DATOS_[[Check Equiparado]:[Check Equiparado]]="Sí",IF(DATOS!AP$4="Sí",(1/DATOS_[[% anualiz]:[% anualiz]]),1)*IF(DATOS!AP$5="Sí",1/DATOS_[[% normaliz]:[% normaliz]],1)*(DATOS_[Conc.Sal.12])))))))), 0)</f>
        <v>0</v>
      </c>
      <c r="V100" s="302" t="n">
        <f aca="false" t="array" ref="V100:V100">IFERROR( (AVERAGE((IF(DATOS_[[Sexo]:[Sexo]]=$B100,IF(DATOS_[[AGRUP. VALOR. PTO.]:[AGRUP. VALOR. PTO.]]=$B99,IF(DATOS_[[Check Periodo Ref.]:[Check Periodo Ref.]]="Dentro",IF(DATOS_[[Check Equiparado]:[Check Equiparado]]="Sí",IF(DATOS!AQ$4="Sí",(1/DATOS_[[% anualiz]:[% anualiz]]),1)*IF(DATOS!AQ$5="Sí",1/DATOS_[[% normaliz]:[% normaliz]],1)*(DATOS_[Conc.Sal.13])))))))), 0)</f>
        <v>0</v>
      </c>
      <c r="W100" s="302" t="n">
        <f aca="false" t="array" ref="W100:W100">IFERROR( (AVERAGE((IF(DATOS_[[Sexo]:[Sexo]]=$B100,IF(DATOS_[[AGRUP. VALOR. PTO.]:[AGRUP. VALOR. PTO.]]=$B99,IF(DATOS_[[Check Periodo Ref.]:[Check Periodo Ref.]]="Dentro",IF(DATOS_[[Check Equiparado]:[Check Equiparado]]="Sí",IF(DATOS!AR$4="Sí",(1/DATOS_[[% anualiz]:[% anualiz]]),1)*IF(DATOS!AR$5="Sí",1/DATOS_[[% normaliz]:[% normaliz]],1)*(DATOS_[Conc.Sal.14])))))))), 0)</f>
        <v>0</v>
      </c>
      <c r="X100" s="302" t="n">
        <f aca="false" t="array" ref="X100:X100">IFERROR( (AVERAGE((IF(DATOS_[[Sexo]:[Sexo]]=$B100,IF(DATOS_[[AGRUP. VALOR. PTO.]:[AGRUP. VALOR. PTO.]]=$B99,IF(DATOS_[[Check Periodo Ref.]:[Check Periodo Ref.]]="Dentro",IF(DATOS_[[Check Equiparado]:[Check Equiparado]]="Sí",IF(DATOS!AS$4="Sí",(1/DATOS_[[% anualiz]:[% anualiz]]),1)*IF(DATOS!AS$5="Sí",1/DATOS_[[% normaliz]:[% normaliz]],1)*(DATOS_[Conc.Sal.15])))))))), 0)</f>
        <v>0</v>
      </c>
      <c r="Y100" s="302" t="n">
        <f aca="false" t="array" ref="Y100:Y100">IFERROR( (AVERAGE((IF(DATOS_[[Sexo]:[Sexo]]=$B100,IF(DATOS_[[AGRUP. VALOR. PTO.]:[AGRUP. VALOR. PTO.]]=$B99,IF(DATOS_[[Check Periodo Ref.]:[Check Periodo Ref.]]="Dentro",IF(DATOS_[[Check Equiparado]:[Check Equiparado]]="Sí",IF(DATOS!AT$4="Sí",(1/DATOS_[[% anualiz]:[% anualiz]]),1)*IF(DATOS!AT$5="Sí",1/DATOS_[[% normaliz]:[% normaliz]],1)*(DATOS_[Conc.Sal.16])))))))), 0)</f>
        <v>0</v>
      </c>
      <c r="Z100" s="302" t="n">
        <f aca="false" t="array" ref="Z100:Z100">IFERROR( (AVERAGE((IF(DATOS_[[Sexo]:[Sexo]]=$B100,IF(DATOS_[[AGRUP. VALOR. PTO.]:[AGRUP. VALOR. PTO.]]=$B99,IF(DATOS_[[Check Periodo Ref.]:[Check Periodo Ref.]]="Dentro",IF(DATOS_[[Check Equiparado]:[Check Equiparado]]="Sí",IF(DATOS!AU$4="Sí",(1/DATOS_[[% anualiz]:[% anualiz]]),1)*IF(DATOS!AU$5="Sí",1/DATOS_[[% normaliz]:[% normaliz]],1)*(DATOS_[Conc.Sal.17])))))))), 0)</f>
        <v>0</v>
      </c>
      <c r="AA100" s="302" t="n">
        <f aca="false" t="array" ref="AA100:AA100">IFERROR( (AVERAGE((IF(DATOS_[[Sexo]:[Sexo]]=$B100,IF(DATOS_[[AGRUP. VALOR. PTO.]:[AGRUP. VALOR. PTO.]]=$B99,IF(DATOS_[[Check Periodo Ref.]:[Check Periodo Ref.]]="Dentro",IF(DATOS_[[Check Equiparado]:[Check Equiparado]]="Sí",IF(DATOS!AV$4="Sí",(1/DATOS_[[% anualiz]:[% anualiz]]),1)*IF(DATOS!AV$5="Sí",1/DATOS_[[% normaliz]:[% normaliz]],1)*(DATOS_[Conc.Sal.18])))))))), 0)</f>
        <v>0</v>
      </c>
      <c r="AB100" s="302" t="n">
        <f aca="false" t="array" ref="AB100:AB100">IFERROR( (AVERAGE((IF(DATOS_[[Sexo]:[Sexo]]=$B100,IF(DATOS_[[AGRUP. VALOR. PTO.]:[AGRUP. VALOR. PTO.]]=$B99,IF(DATOS_[[Check Periodo Ref.]:[Check Periodo Ref.]]="Dentro",IF(DATOS_[[Check Equiparado]:[Check Equiparado]]="Sí",IF(DATOS!AW$4="Sí",(1/DATOS_[[% anualiz]:[% anualiz]]),1)*IF(DATOS!AW$5="Sí",1/DATOS_[[% normaliz]:[% normaliz]],1)*(DATOS_[Conc.Sal.19])))))))), 0)</f>
        <v>0</v>
      </c>
      <c r="AC100" s="302" t="n">
        <f aca="false" t="array" ref="AC100:AC100">IFERROR( (AVERAGE((IF(DATOS_[[Sexo]:[Sexo]]=$B100,IF(DATOS_[[AGRUP. VALOR. PTO.]:[AGRUP. VALOR. PTO.]]=$B99,IF(DATOS_[[Check Periodo Ref.]:[Check Periodo Ref.]]="Dentro",IF(DATOS_[[Check Equiparado]:[Check Equiparado]]="Sí",IF(DATOS!AX$4="Sí",(1/DATOS_[[% anualiz]:[% anualiz]]),1)*IF(DATOS!AX$5="Sí",1/DATOS_[[% normaliz]:[% normaliz]],1)*(DATOS_[Conc.Sal.20])))))))), 0)</f>
        <v>0</v>
      </c>
      <c r="AD100" s="302" t="n">
        <f aca="false" t="array" ref="AD100:AD100">IFERROR( (AVERAGE((IF(DATOS_[[Sexo]:[Sexo]]=$B100,IF(DATOS_[[AGRUP. VALOR. PTO.]:[AGRUP. VALOR. PTO.]]=$B99,IF(DATOS_[[Check Periodo Ref.]:[Check Periodo Ref.]]="Dentro",IF(DATOS_[[Check Equiparado]:[Check Equiparado]]="Sí",IF(DATOS!AY$4="Sí",(1/DATOS_[[% anualiz]:[% anualiz]]),1)*IF(DATOS!AY$5="Sí",1/DATOS_[[% normaliz]:[% normaliz]],1)*(DATOS_[Conc.Sal.21])))))))), 0)</f>
        <v>0</v>
      </c>
      <c r="AE100" s="302" t="n">
        <f aca="false" t="array" ref="AE100:AE100">IFERROR( (AVERAGE((IF(DATOS_[[Sexo]:[Sexo]]=$B100,IF(DATOS_[[AGRUP. VALOR. PTO.]:[AGRUP. VALOR. PTO.]]=$B99,IF(DATOS_[[Check Periodo Ref.]:[Check Periodo Ref.]]="Dentro",IF(DATOS_[[Check Equiparado]:[Check Equiparado]]="Sí",IF(DATOS!AZ$4="Sí",(1/DATOS_[[% anualiz]:[% anualiz]]),1)*IF(DATOS!AZ$5="Sí",1/DATOS_[[% normaliz]:[% normaliz]],1)*(DATOS_[Conc.Sal.22])))))))), 0)</f>
        <v>0</v>
      </c>
      <c r="AF100" s="302" t="n">
        <f aca="false" t="array" ref="AF100:AF100">IFERROR( (AVERAGE((IF(DATOS_[[Sexo]:[Sexo]]=$B100,IF(DATOS_[[AGRUP. VALOR. PTO.]:[AGRUP. VALOR. PTO.]]=$B99,IF(DATOS_[[Check Periodo Ref.]:[Check Periodo Ref.]]="Dentro",IF(DATOS_[[Check Equiparado]:[Check Equiparado]]="Sí",IF(DATOS!BA$4="Sí",(1/DATOS_[[% anualiz]:[% anualiz]]),1)*IF(DATOS!BA$5="Sí",1/DATOS_[[% normaliz]:[% normaliz]],1)*(DATOS_[Conc.Sal.23])))))))), 0)</f>
        <v>0</v>
      </c>
      <c r="AG100" s="302" t="n">
        <f aca="false" t="array" ref="AG100:AG100">IFERROR( (AVERAGE((IF(DATOS_[[Sexo]:[Sexo]]=$B100,IF(DATOS_[[AGRUP. VALOR. PTO.]:[AGRUP. VALOR. PTO.]]=$B99,IF(DATOS_[[Check Periodo Ref.]:[Check Periodo Ref.]]="Dentro",IF(DATOS_[[Check Equiparado]:[Check Equiparado]]="Sí",IF(DATOS!BB$4="Sí",(1/DATOS_[[% anualiz]:[% anualiz]]),1)*IF(DATOS!BB$5="Sí",1/DATOS_[[% normaliz]:[% normaliz]],1)*(DATOS_[Conc.Sal.24])))))))), 0)</f>
        <v>0</v>
      </c>
      <c r="AH100" s="302" t="n">
        <f aca="false" t="array" ref="AH100:AH100">IFERROR( (AVERAGE((IF(DATOS_[[Sexo]:[Sexo]]=$B100,IF(DATOS_[[AGRUP. VALOR. PTO.]:[AGRUP. VALOR. PTO.]]=$B99,IF(DATOS_[[Check Periodo Ref.]:[Check Periodo Ref.]]="Dentro",IF(DATOS_[[Check Equiparado]:[Check Equiparado]]="Sí",IF(DATOS!BC$4="Sí",(1/DATOS_[[% anualiz]:[% anualiz]]),1)*IF(DATOS!BC$5="Sí",1/DATOS_[[% normaliz]:[% normaliz]],1)*(DATOS_[Conc.Sal.25])))))))), 0)</f>
        <v>0</v>
      </c>
      <c r="AI100" s="302" t="n">
        <f aca="false" t="array" ref="AI100:AI100">IFERROR( (AVERAGE((IF(DATOS_[[Sexo]:[Sexo]]=$B100,IF(DATOS_[[AGRUP. VALOR. PTO.]:[AGRUP. VALOR. PTO.]]=$B99,IF(DATOS_[[Check Periodo Ref.]:[Check Periodo Ref.]]="Dentro",IF(DATOS_[[Check Equiparado]:[Check Equiparado]]="Sí",IF(DATOS!BD$4="Sí",(1/DATOS_[[% anualiz]:[% anualiz]]),1)*IF(DATOS!BD$5="Sí",1/DATOS_[[% normaliz]:[% normaliz]],1)*(DATOS_[Conc.Sal.26])))))))), 0)</f>
        <v>0</v>
      </c>
      <c r="AJ100" s="302" t="n">
        <f aca="false" t="array" ref="AJ100:AJ100">IFERROR( (AVERAGE((IF(DATOS_[[Sexo]:[Sexo]]=$B100,IF(DATOS_[[AGRUP. VALOR. PTO.]:[AGRUP. VALOR. PTO.]]=$B99,IF(DATOS_[[Check Periodo Ref.]:[Check Periodo Ref.]]="Dentro",IF(DATOS_[[Check Equiparado]:[Check Equiparado]]="Sí",IF(DATOS!BE$4="Sí",(1/DATOS_[[% anualiz]:[% anualiz]]),1)*IF(DATOS!BE$5="Sí",1/DATOS_[[% normaliz]:[% normaliz]],1)*(DATOS_[Conc.Sal.27])))))))), 0)</f>
        <v>0</v>
      </c>
      <c r="AK100" s="302" t="n">
        <f aca="false" t="array" ref="AK100:AK100">IFERROR( (AVERAGE((IF(DATOS_[[Sexo]:[Sexo]]=$B100,IF(DATOS_[[AGRUP. VALOR. PTO.]:[AGRUP. VALOR. PTO.]]=$B99,IF(DATOS_[[Check Periodo Ref.]:[Check Periodo Ref.]]="Dentro",IF(DATOS_[[Check Equiparado]:[Check Equiparado]]="Sí",IF(DATOS!BF$4="Sí",(1/DATOS_[[% anualiz]:[% anualiz]]),1)*IF(DATOS!BF$5="Sí",1/DATOS_[[% normaliz]:[% normaliz]],1)*(DATOS_[Conc.Sal.28])))))))), 0)</f>
        <v>0</v>
      </c>
      <c r="AL100" s="302" t="n">
        <f aca="false" t="array" ref="AL100:AL100">IFERROR( (AVERAGE((IF(DATOS_[[Sexo]:[Sexo]]=$B100,IF(DATOS_[[AGRUP. VALOR. PTO.]:[AGRUP. VALOR. PTO.]]=$B99,IF(DATOS_[[Check Periodo Ref.]:[Check Periodo Ref.]]="Dentro",IF(DATOS_[[Check Equiparado]:[Check Equiparado]]="Sí",IF(DATOS!BG$4="Sí",(1/DATOS_[[% anualiz]:[% anualiz]]),1)*IF(DATOS!BG$5="Sí",1/DATOS_[[% normaliz]:[% normaliz]],1)*(DATOS_[Conc.Sal.29])))))))), 0)</f>
        <v>0</v>
      </c>
      <c r="AM100" s="302" t="n">
        <f aca="false" t="array" ref="AM100:AM100">IFERROR( (AVERAGE((IF(DATOS_[[Sexo]:[Sexo]]=$B100,IF(DATOS_[[AGRUP. VALOR. PTO.]:[AGRUP. VALOR. PTO.]]=$B99,IF(DATOS_[[Check Periodo Ref.]:[Check Periodo Ref.]]="Dentro",IF(DATOS_[[Check Equiparado]:[Check Equiparado]]="Sí",IF(DATOS!BH$4="Sí",(1/DATOS_[[% anualiz]:[% anualiz]]),1)*IF(DATOS!BH$5="Sí",1/DATOS_[[% normaliz]:[% normaliz]],1)*(DATOS_[Conc.Sal.30])))))))), 0)</f>
        <v>0</v>
      </c>
      <c r="AN100" s="294" t="n">
        <f aca="false" t="array" ref="AN100:AN100">IFERROR( AVERAGE(IF(DATOS_[Sexo]=$B100,IF(DATOS_[[AGRUP. VALOR. PTO.]:[AGRUP. VALOR. PTO.]]=$B99,IF(DATOS_[Check Equiparado]="Sí",IF(DATOS_[Check Periodo Ref.]="Dentro",DATOS_[Tot COMPL.SAL Eq],0))))), 0)</f>
        <v>0</v>
      </c>
      <c r="AO100" s="295" t="n">
        <f aca="false" t="array" ref="AO100:AO100">IFERROR( AVERAGE(IF(DATOS_[Sexo]=$B100,IF(DATOS_[[AGRUP. VALOR. PTO.]:[AGRUP. VALOR. PTO.]]=$B99,IF(DATOS_[Check Equiparado]="Sí",IF(DATOS_[Check Periodo Ref.]="Dentro",DATOS_[TOTAL SALARIO Eq],0))))), 0)</f>
        <v>0</v>
      </c>
      <c r="AP100" s="303" t="n">
        <f aca="false" t="array" ref="AP100:AP100">IFERROR( (AVERAGE((IF(DATOS_[[Sexo]:[Sexo]]=$B100,IF(DATOS_[[AGRUP. VALOR. PTO.]:[AGRUP. VALOR. PTO.]]=$B99,IF(DATOS_[[Check Periodo Ref.]:[Check Periodo Ref.]]="Dentro",IF(DATOS_[[Check Equiparado]:[Check Equiparado]]="Sí",IF(DATOS!BI$4="Sí",(1/DATOS_[[% anualiz]:[% anualiz]]),1)*IF(DATOS!BI$5="Sí",1/DATOS_[[% normaliz]:[% normaliz]],1)*(DATOS_[C.Extra.01])))))))), 0)</f>
        <v>0</v>
      </c>
      <c r="AQ100" s="303" t="n">
        <f aca="false" t="array" ref="AQ100:AQ100">IFERROR( (AVERAGE((IF(DATOS_[[Sexo]:[Sexo]]=$B100,IF(DATOS_[[AGRUP. VALOR. PTO.]:[AGRUP. VALOR. PTO.]]=$B99,IF(DATOS_[[Check Periodo Ref.]:[Check Periodo Ref.]]="Dentro",IF(DATOS_[[Check Equiparado]:[Check Equiparado]]="Sí",IF(DATOS!BJ$4="Sí",(1/DATOS_[[% anualiz]:[% anualiz]]),1)*IF(DATOS!BJ$5="Sí",1/DATOS_[[% normaliz]:[% normaliz]],1)*(DATOS_[C.Extra.02])))))))), 0)</f>
        <v>0</v>
      </c>
      <c r="AR100" s="303" t="n">
        <f aca="false" t="array" ref="AR100:AR100">IFERROR( (AVERAGE((IF(DATOS_[[Sexo]:[Sexo]]=$B100,IF(DATOS_[[AGRUP. VALOR. PTO.]:[AGRUP. VALOR. PTO.]]=$B99,IF(DATOS_[[Check Periodo Ref.]:[Check Periodo Ref.]]="Dentro",IF(DATOS_[[Check Equiparado]:[Check Equiparado]]="Sí",IF(DATOS!BK$4="Sí",(1/DATOS_[[% anualiz]:[% anualiz]]),1)*IF(DATOS!BK$5="Sí",1/DATOS_[[% normaliz]:[% normaliz]],1)*(DATOS_[C.Extra.03])))))))), 0)</f>
        <v>0</v>
      </c>
      <c r="AS100" s="303" t="n">
        <f aca="false" t="array" ref="AS100:AS100">IFERROR( (AVERAGE((IF(DATOS_[[Sexo]:[Sexo]]=$B100,IF(DATOS_[[AGRUP. VALOR. PTO.]:[AGRUP. VALOR. PTO.]]=$B99,IF(DATOS_[[Check Periodo Ref.]:[Check Periodo Ref.]]="Dentro",IF(DATOS_[[Check Equiparado]:[Check Equiparado]]="Sí",IF(DATOS!BL$4="Sí",(1/DATOS_[[% anualiz]:[% anualiz]]),1)*IF(DATOS!BL$5="Sí",1/DATOS_[[% normaliz]:[% normaliz]],1)*(DATOS_[C.Extra.04])))))))), 0)</f>
        <v>0</v>
      </c>
      <c r="AT100" s="303" t="n">
        <f aca="false" t="array" ref="AT100:AT100">IFERROR( (AVERAGE((IF(DATOS_[[Sexo]:[Sexo]]=$B100,IF(DATOS_[[AGRUP. VALOR. PTO.]:[AGRUP. VALOR. PTO.]]=$B99,IF(DATOS_[[Check Periodo Ref.]:[Check Periodo Ref.]]="Dentro",IF(DATOS_[[Check Equiparado]:[Check Equiparado]]="Sí",IF(DATOS!BM$4="Sí",(1/DATOS_[[% anualiz]:[% anualiz]]),1)*IF(DATOS!BM$5="Sí",1/DATOS_[[% normaliz]:[% normaliz]],1)*(DATOS_[C.Extra.05])))))))), 0)</f>
        <v>0</v>
      </c>
      <c r="AU100" s="297" t="n">
        <f aca="false" t="array" ref="AU100:AU100">IFERROR( AVERAGE(IF(DATOS_[Sexo]=$B100,IF(DATOS_[[AGRUP. VALOR. PTO.]:[AGRUP. VALOR. PTO.]]=$B99,IF(DATOS_[Check Equiparado]="Sí",IF(DATOS_[Check Periodo Ref.]="Dentro",DATOS_[Tot Extrasalarial Eq],0))))), 0)</f>
        <v>0</v>
      </c>
      <c r="AV100" s="298" t="n">
        <f aca="false" t="array" ref="AV100:AV100">IFERROR( AVERAGE(IF(DATOS_[Sexo]=$B100,IF(DATOS_[[AGRUP. VALOR. PTO.]:[AGRUP. VALOR. PTO.]]=$B99,IF(DATOS_[Check Equiparado]="Sí",IF(DATOS_[Check Periodo Ref.]="Dentro",DATOS_[TOTAL Retrib Eq],0))))), 0)</f>
        <v>0</v>
      </c>
    </row>
    <row r="101" customFormat="false" ht="14.25" hidden="false" customHeight="false" outlineLevel="0" collapsed="false">
      <c r="A101" s="166" t="str">
        <f aca="false">+A100</f>
        <v>[ocultar]</v>
      </c>
      <c r="B101" s="289" t="s">
        <v>372</v>
      </c>
      <c r="C101" s="290" t="n">
        <f aca="false" t="array" ref="C101:C101">SUM(IF($B101=DATOS_[Sexo], IF($B99=DATOS_[AGRUP. VALOR. PTO.], IF("Dentro"=DATOS_[Check Periodo Ref.], 1/(COUNTIFS(DATOS_[Sexo],$B101,DATOS_[AGRUP. VALOR. PTO.],$B99,DATOS_[Check Periodo Ref.],"Dentro",DATOS_[id],DATOS_[id]))))))</f>
        <v>0</v>
      </c>
      <c r="D101" s="291" t="n">
        <f aca="false">COUNTIFS(DATOS_[AGRUP. VALOR. PTO.],$B99,DATOS_[Sexo],$B101,DATOS_[Check Periodo Ref.],"Dentro")</f>
        <v>0</v>
      </c>
      <c r="E101" s="291" t="n">
        <f aca="false">COUNTIFS(DATOS_[AGRUP. VALOR. PTO.],$B99,DATOS_[Sexo],$B101,DATOS_[Check Periodo Ref.],"Dentro",DATOS_[Check Nº SC Norm],"Sí")</f>
        <v>0</v>
      </c>
      <c r="F101" s="291" t="n">
        <f aca="false">COUNTIFS(DATOS_[AGRUP. VALOR. PTO.],$B99,DATOS_[Sexo],$B101,DATOS_[Check Periodo Ref.],"Dentro",DATOS_[Check Nº SC Anualiz],"Sí")</f>
        <v>0</v>
      </c>
      <c r="G101" s="291" t="n">
        <f aca="false">COUNTIFS(DATOS_[AGRUP. VALOR. PTO.],$B99,DATOS_[Sexo],$B101,DATOS_[Check Periodo Ref.],"Dentro",DATOS_[Check Nº SC Norm y Anualiz],"Sí")</f>
        <v>0</v>
      </c>
      <c r="H101" s="291" t="n">
        <f aca="false">COUNTIFS(DATOS_[AGRUP. VALOR. PTO.],$B99,DATOS_[Sexo],$B101,DATOS_[Check Periodo Ref.],"Dentro",DATOS_[Check Equiparación],"Sí")</f>
        <v>0</v>
      </c>
      <c r="I101" s="292" t="n">
        <f aca="false" t="array" ref="I101:I101">IFERROR( AVERAGE(IF(DATOS_[Sexo]=$B101,IF(DATOS_[[AGRUP. VALOR. PTO.]:[AGRUP. VALOR. PTO.]]=$B99,IF(DATOS_[Check Equiparado]="Sí",IF(DATOS_[Check Periodo Ref.]="Dentro",DATOS_[SALARIO BASE Eq],0))))), 0)</f>
        <v>0</v>
      </c>
      <c r="J101" s="302" t="n">
        <f aca="false" t="array" ref="J101:J101">IFERROR( (AVERAGE((IF(DATOS_[[Sexo]:[Sexo]]=$B101,IF(DATOS_[[AGRUP. VALOR. PTO.]:[AGRUP. VALOR. PTO.]]=$B99,IF(DATOS_[[Check Periodo Ref.]:[Check Periodo Ref.]]="Dentro",IF(DATOS_[[Check Equiparado]:[Check Equiparado]]="Sí",IF(DATOS!AE$4="Sí",(1/DATOS_[[% anualiz]:[% anualiz]]),1)*IF(DATOS!AE$5="Sí",1/DATOS_[[% normaliz]:[% normaliz]],1)*(DATOS_[Conc.Sal.01])))))))), 0)</f>
        <v>0</v>
      </c>
      <c r="K101" s="302" t="n">
        <f aca="false" t="array" ref="K101:K101">IFERROR( (AVERAGE((IF(DATOS_[[Sexo]:[Sexo]]=$B101,IF(DATOS_[[AGRUP. VALOR. PTO.]:[AGRUP. VALOR. PTO.]]=$B99,IF(DATOS_[[Check Periodo Ref.]:[Check Periodo Ref.]]="Dentro",IF(DATOS_[[Check Equiparado]:[Check Equiparado]]="Sí",IF(DATOS!AF$4="Sí",(1/DATOS_[[% anualiz]:[% anualiz]]),1)*IF(DATOS!AF$5="Sí",1/DATOS_[[% normaliz]:[% normaliz]],1)*(DATOS_[Conc.Sal.02])))))))), 0)</f>
        <v>0</v>
      </c>
      <c r="L101" s="302" t="n">
        <f aca="false" t="array" ref="L101:L101">IFERROR( (AVERAGE((IF(DATOS_[[Sexo]:[Sexo]]=$B101,IF(DATOS_[[AGRUP. VALOR. PTO.]:[AGRUP. VALOR. PTO.]]=$B99,IF(DATOS_[[Check Periodo Ref.]:[Check Periodo Ref.]]="Dentro",IF(DATOS_[[Check Equiparado]:[Check Equiparado]]="Sí",IF(DATOS!AG$4="Sí",(1/DATOS_[[% anualiz]:[% anualiz]]),1)*IF(DATOS!AG$5="Sí",1/DATOS_[[% normaliz]:[% normaliz]],1)*(DATOS_[Conc.Sal.03])))))))), 0)</f>
        <v>0</v>
      </c>
      <c r="M101" s="302" t="n">
        <f aca="false" t="array" ref="M101:M101">IFERROR( (AVERAGE((IF(DATOS_[[Sexo]:[Sexo]]=$B101,IF(DATOS_[[AGRUP. VALOR. PTO.]:[AGRUP. VALOR. PTO.]]=$B99,IF(DATOS_[[Check Periodo Ref.]:[Check Periodo Ref.]]="Dentro",IF(DATOS_[[Check Equiparado]:[Check Equiparado]]="Sí",IF(DATOS!AH$4="Sí",(1/DATOS_[[% anualiz]:[% anualiz]]),1)*IF(DATOS!AH$5="Sí",1/DATOS_[[% normaliz]:[% normaliz]],1)*(DATOS_[Conc.Sal.04])))))))), 0)</f>
        <v>0</v>
      </c>
      <c r="N101" s="302" t="n">
        <f aca="false" t="array" ref="N101:N101">IFERROR( (AVERAGE((IF(DATOS_[[Sexo]:[Sexo]]=$B101,IF(DATOS_[[AGRUP. VALOR. PTO.]:[AGRUP. VALOR. PTO.]]=$B99,IF(DATOS_[[Check Periodo Ref.]:[Check Periodo Ref.]]="Dentro",IF(DATOS_[[Check Equiparado]:[Check Equiparado]]="Sí",IF(DATOS!AI$4="Sí",(1/DATOS_[[% anualiz]:[% anualiz]]),1)*IF(DATOS!AI$5="Sí",1/DATOS_[[% normaliz]:[% normaliz]],1)*(DATOS_[Conc.Sal.05])))))))), 0)</f>
        <v>0</v>
      </c>
      <c r="O101" s="302" t="n">
        <f aca="false" t="array" ref="O101:O101">IFERROR( (AVERAGE((IF(DATOS_[[Sexo]:[Sexo]]=$B101,IF(DATOS_[[AGRUP. VALOR. PTO.]:[AGRUP. VALOR. PTO.]]=$B99,IF(DATOS_[[Check Periodo Ref.]:[Check Periodo Ref.]]="Dentro",IF(DATOS_[[Check Equiparado]:[Check Equiparado]]="Sí",IF(DATOS!AJ$4="Sí",(1/DATOS_[[% anualiz]:[% anualiz]]),1)*IF(DATOS!AJ$5="Sí",1/DATOS_[[% normaliz]:[% normaliz]],1)*(DATOS_[Conc.Sal.06])))))))), 0)</f>
        <v>0</v>
      </c>
      <c r="P101" s="302" t="n">
        <f aca="false" t="array" ref="P101:P101">IFERROR( (AVERAGE((IF(DATOS_[[Sexo]:[Sexo]]=$B101,IF(DATOS_[[AGRUP. VALOR. PTO.]:[AGRUP. VALOR. PTO.]]=$B99,IF(DATOS_[[Check Periodo Ref.]:[Check Periodo Ref.]]="Dentro",IF(DATOS_[[Check Equiparado]:[Check Equiparado]]="Sí",IF(DATOS!AK$4="Sí",(1/DATOS_[[% anualiz]:[% anualiz]]),1)*IF(DATOS!AK$5="Sí",1/DATOS_[[% normaliz]:[% normaliz]],1)*(DATOS_[Conc.Sal.07])))))))), 0)</f>
        <v>0</v>
      </c>
      <c r="Q101" s="302" t="n">
        <f aca="false" t="array" ref="Q101:Q101">IFERROR( (AVERAGE((IF(DATOS_[[Sexo]:[Sexo]]=$B101,IF(DATOS_[[AGRUP. VALOR. PTO.]:[AGRUP. VALOR. PTO.]]=$B99,IF(DATOS_[[Check Periodo Ref.]:[Check Periodo Ref.]]="Dentro",IF(DATOS_[[Check Equiparado]:[Check Equiparado]]="Sí",IF(DATOS!AL$4="Sí",(1/DATOS_[[% anualiz]:[% anualiz]]),1)*IF(DATOS!AL$5="Sí",1/DATOS_[[% normaliz]:[% normaliz]],1)*(DATOS_[Conc.Sal.08])))))))), 0)</f>
        <v>0</v>
      </c>
      <c r="R101" s="302" t="n">
        <f aca="false" t="array" ref="R101:R101">IFERROR( (AVERAGE((IF(DATOS_[[Sexo]:[Sexo]]=$B101,IF(DATOS_[[AGRUP. VALOR. PTO.]:[AGRUP. VALOR. PTO.]]=$B99,IF(DATOS_[[Check Periodo Ref.]:[Check Periodo Ref.]]="Dentro",IF(DATOS_[[Check Equiparado]:[Check Equiparado]]="Sí",IF(DATOS!AM$4="Sí",(1/DATOS_[[% anualiz]:[% anualiz]]),1)*IF(DATOS!AM$5="Sí",1/DATOS_[[% normaliz]:[% normaliz]],1)*(DATOS_[Conc.Sal.09])))))))), 0)</f>
        <v>0</v>
      </c>
      <c r="S101" s="302" t="n">
        <f aca="false" t="array" ref="S101:S101">IFERROR( (AVERAGE((IF(DATOS_[[Sexo]:[Sexo]]=$B101,IF(DATOS_[[AGRUP. VALOR. PTO.]:[AGRUP. VALOR. PTO.]]=$B99,IF(DATOS_[[Check Periodo Ref.]:[Check Periodo Ref.]]="Dentro",IF(DATOS_[[Check Equiparado]:[Check Equiparado]]="Sí",IF(DATOS!AN$4="Sí",(1/DATOS_[[% anualiz]:[% anualiz]]),1)*IF(DATOS!AN$5="Sí",1/DATOS_[[% normaliz]:[% normaliz]],1)*(DATOS_[Conc.Sal.10])))))))), 0)</f>
        <v>0</v>
      </c>
      <c r="T101" s="302" t="n">
        <f aca="false" t="array" ref="T101:T101">IFERROR( (AVERAGE((IF(DATOS_[[Sexo]:[Sexo]]=$B101,IF(DATOS_[[AGRUP. VALOR. PTO.]:[AGRUP. VALOR. PTO.]]=$B99,IF(DATOS_[[Check Periodo Ref.]:[Check Periodo Ref.]]="Dentro",IF(DATOS_[[Check Equiparado]:[Check Equiparado]]="Sí",IF(DATOS!AO$4="Sí",(1/DATOS_[[% anualiz]:[% anualiz]]),1)*IF(DATOS!AO$5="Sí",1/DATOS_[[% normaliz]:[% normaliz]],1)*(DATOS_[Conc.Sal.11])))))))), 0)</f>
        <v>0</v>
      </c>
      <c r="U101" s="302" t="n">
        <f aca="false" t="array" ref="U101:U101">IFERROR( (AVERAGE((IF(DATOS_[[Sexo]:[Sexo]]=$B101,IF(DATOS_[[AGRUP. VALOR. PTO.]:[AGRUP. VALOR. PTO.]]=$B99,IF(DATOS_[[Check Periodo Ref.]:[Check Periodo Ref.]]="Dentro",IF(DATOS_[[Check Equiparado]:[Check Equiparado]]="Sí",IF(DATOS!AP$4="Sí",(1/DATOS_[[% anualiz]:[% anualiz]]),1)*IF(DATOS!AP$5="Sí",1/DATOS_[[% normaliz]:[% normaliz]],1)*(DATOS_[Conc.Sal.12])))))))), 0)</f>
        <v>0</v>
      </c>
      <c r="V101" s="302" t="n">
        <f aca="false" t="array" ref="V101:V101">IFERROR( (AVERAGE((IF(DATOS_[[Sexo]:[Sexo]]=$B101,IF(DATOS_[[AGRUP. VALOR. PTO.]:[AGRUP. VALOR. PTO.]]=$B99,IF(DATOS_[[Check Periodo Ref.]:[Check Periodo Ref.]]="Dentro",IF(DATOS_[[Check Equiparado]:[Check Equiparado]]="Sí",IF(DATOS!AQ$4="Sí",(1/DATOS_[[% anualiz]:[% anualiz]]),1)*IF(DATOS!AQ$5="Sí",1/DATOS_[[% normaliz]:[% normaliz]],1)*(DATOS_[Conc.Sal.13])))))))), 0)</f>
        <v>0</v>
      </c>
      <c r="W101" s="302" t="n">
        <f aca="false" t="array" ref="W101:W101">IFERROR( (AVERAGE((IF(DATOS_[[Sexo]:[Sexo]]=$B101,IF(DATOS_[[AGRUP. VALOR. PTO.]:[AGRUP. VALOR. PTO.]]=$B99,IF(DATOS_[[Check Periodo Ref.]:[Check Periodo Ref.]]="Dentro",IF(DATOS_[[Check Equiparado]:[Check Equiparado]]="Sí",IF(DATOS!AR$4="Sí",(1/DATOS_[[% anualiz]:[% anualiz]]),1)*IF(DATOS!AR$5="Sí",1/DATOS_[[% normaliz]:[% normaliz]],1)*(DATOS_[Conc.Sal.14])))))))), 0)</f>
        <v>0</v>
      </c>
      <c r="X101" s="302" t="n">
        <f aca="false" t="array" ref="X101:X101">IFERROR( (AVERAGE((IF(DATOS_[[Sexo]:[Sexo]]=$B101,IF(DATOS_[[AGRUP. VALOR. PTO.]:[AGRUP. VALOR. PTO.]]=$B99,IF(DATOS_[[Check Periodo Ref.]:[Check Periodo Ref.]]="Dentro",IF(DATOS_[[Check Equiparado]:[Check Equiparado]]="Sí",IF(DATOS!AS$4="Sí",(1/DATOS_[[% anualiz]:[% anualiz]]),1)*IF(DATOS!AS$5="Sí",1/DATOS_[[% normaliz]:[% normaliz]],1)*(DATOS_[Conc.Sal.15])))))))), 0)</f>
        <v>0</v>
      </c>
      <c r="Y101" s="302" t="n">
        <f aca="false" t="array" ref="Y101:Y101">IFERROR( (AVERAGE((IF(DATOS_[[Sexo]:[Sexo]]=$B101,IF(DATOS_[[AGRUP. VALOR. PTO.]:[AGRUP. VALOR. PTO.]]=$B99,IF(DATOS_[[Check Periodo Ref.]:[Check Periodo Ref.]]="Dentro",IF(DATOS_[[Check Equiparado]:[Check Equiparado]]="Sí",IF(DATOS!AT$4="Sí",(1/DATOS_[[% anualiz]:[% anualiz]]),1)*IF(DATOS!AT$5="Sí",1/DATOS_[[% normaliz]:[% normaliz]],1)*(DATOS_[Conc.Sal.16])))))))), 0)</f>
        <v>0</v>
      </c>
      <c r="Z101" s="302" t="n">
        <f aca="false" t="array" ref="Z101:Z101">IFERROR( (AVERAGE((IF(DATOS_[[Sexo]:[Sexo]]=$B101,IF(DATOS_[[AGRUP. VALOR. PTO.]:[AGRUP. VALOR. PTO.]]=$B99,IF(DATOS_[[Check Periodo Ref.]:[Check Periodo Ref.]]="Dentro",IF(DATOS_[[Check Equiparado]:[Check Equiparado]]="Sí",IF(DATOS!AU$4="Sí",(1/DATOS_[[% anualiz]:[% anualiz]]),1)*IF(DATOS!AU$5="Sí",1/DATOS_[[% normaliz]:[% normaliz]],1)*(DATOS_[Conc.Sal.17])))))))), 0)</f>
        <v>0</v>
      </c>
      <c r="AA101" s="302" t="n">
        <f aca="false" t="array" ref="AA101:AA101">IFERROR( (AVERAGE((IF(DATOS_[[Sexo]:[Sexo]]=$B101,IF(DATOS_[[AGRUP. VALOR. PTO.]:[AGRUP. VALOR. PTO.]]=$B99,IF(DATOS_[[Check Periodo Ref.]:[Check Periodo Ref.]]="Dentro",IF(DATOS_[[Check Equiparado]:[Check Equiparado]]="Sí",IF(DATOS!AV$4="Sí",(1/DATOS_[[% anualiz]:[% anualiz]]),1)*IF(DATOS!AV$5="Sí",1/DATOS_[[% normaliz]:[% normaliz]],1)*(DATOS_[Conc.Sal.18])))))))), 0)</f>
        <v>0</v>
      </c>
      <c r="AB101" s="302" t="n">
        <f aca="false" t="array" ref="AB101:AB101">IFERROR( (AVERAGE((IF(DATOS_[[Sexo]:[Sexo]]=$B101,IF(DATOS_[[AGRUP. VALOR. PTO.]:[AGRUP. VALOR. PTO.]]=$B99,IF(DATOS_[[Check Periodo Ref.]:[Check Periodo Ref.]]="Dentro",IF(DATOS_[[Check Equiparado]:[Check Equiparado]]="Sí",IF(DATOS!AW$4="Sí",(1/DATOS_[[% anualiz]:[% anualiz]]),1)*IF(DATOS!AW$5="Sí",1/DATOS_[[% normaliz]:[% normaliz]],1)*(DATOS_[Conc.Sal.19])))))))), 0)</f>
        <v>0</v>
      </c>
      <c r="AC101" s="302" t="n">
        <f aca="false" t="array" ref="AC101:AC101">IFERROR( (AVERAGE((IF(DATOS_[[Sexo]:[Sexo]]=$B101,IF(DATOS_[[AGRUP. VALOR. PTO.]:[AGRUP. VALOR. PTO.]]=$B99,IF(DATOS_[[Check Periodo Ref.]:[Check Periodo Ref.]]="Dentro",IF(DATOS_[[Check Equiparado]:[Check Equiparado]]="Sí",IF(DATOS!AX$4="Sí",(1/DATOS_[[% anualiz]:[% anualiz]]),1)*IF(DATOS!AX$5="Sí",1/DATOS_[[% normaliz]:[% normaliz]],1)*(DATOS_[Conc.Sal.20])))))))), 0)</f>
        <v>0</v>
      </c>
      <c r="AD101" s="302" t="n">
        <f aca="false" t="array" ref="AD101:AD101">IFERROR( (AVERAGE((IF(DATOS_[[Sexo]:[Sexo]]=$B101,IF(DATOS_[[AGRUP. VALOR. PTO.]:[AGRUP. VALOR. PTO.]]=$B99,IF(DATOS_[[Check Periodo Ref.]:[Check Periodo Ref.]]="Dentro",IF(DATOS_[[Check Equiparado]:[Check Equiparado]]="Sí",IF(DATOS!AY$4="Sí",(1/DATOS_[[% anualiz]:[% anualiz]]),1)*IF(DATOS!AY$5="Sí",1/DATOS_[[% normaliz]:[% normaliz]],1)*(DATOS_[Conc.Sal.21])))))))), 0)</f>
        <v>0</v>
      </c>
      <c r="AE101" s="302" t="n">
        <f aca="false" t="array" ref="AE101:AE101">IFERROR( (AVERAGE((IF(DATOS_[[Sexo]:[Sexo]]=$B101,IF(DATOS_[[AGRUP. VALOR. PTO.]:[AGRUP. VALOR. PTO.]]=$B99,IF(DATOS_[[Check Periodo Ref.]:[Check Periodo Ref.]]="Dentro",IF(DATOS_[[Check Equiparado]:[Check Equiparado]]="Sí",IF(DATOS!AZ$4="Sí",(1/DATOS_[[% anualiz]:[% anualiz]]),1)*IF(DATOS!AZ$5="Sí",1/DATOS_[[% normaliz]:[% normaliz]],1)*(DATOS_[Conc.Sal.22])))))))), 0)</f>
        <v>0</v>
      </c>
      <c r="AF101" s="302" t="n">
        <f aca="false" t="array" ref="AF101:AF101">IFERROR( (AVERAGE((IF(DATOS_[[Sexo]:[Sexo]]=$B101,IF(DATOS_[[AGRUP. VALOR. PTO.]:[AGRUP. VALOR. PTO.]]=$B99,IF(DATOS_[[Check Periodo Ref.]:[Check Periodo Ref.]]="Dentro",IF(DATOS_[[Check Equiparado]:[Check Equiparado]]="Sí",IF(DATOS!BA$4="Sí",(1/DATOS_[[% anualiz]:[% anualiz]]),1)*IF(DATOS!BA$5="Sí",1/DATOS_[[% normaliz]:[% normaliz]],1)*(DATOS_[Conc.Sal.23])))))))), 0)</f>
        <v>0</v>
      </c>
      <c r="AG101" s="302" t="n">
        <f aca="false" t="array" ref="AG101:AG101">IFERROR( (AVERAGE((IF(DATOS_[[Sexo]:[Sexo]]=$B101,IF(DATOS_[[AGRUP. VALOR. PTO.]:[AGRUP. VALOR. PTO.]]=$B99,IF(DATOS_[[Check Periodo Ref.]:[Check Periodo Ref.]]="Dentro",IF(DATOS_[[Check Equiparado]:[Check Equiparado]]="Sí",IF(DATOS!BB$4="Sí",(1/DATOS_[[% anualiz]:[% anualiz]]),1)*IF(DATOS!BB$5="Sí",1/DATOS_[[% normaliz]:[% normaliz]],1)*(DATOS_[Conc.Sal.24])))))))), 0)</f>
        <v>0</v>
      </c>
      <c r="AH101" s="302" t="n">
        <f aca="false" t="array" ref="AH101:AH101">IFERROR( (AVERAGE((IF(DATOS_[[Sexo]:[Sexo]]=$B101,IF(DATOS_[[AGRUP. VALOR. PTO.]:[AGRUP. VALOR. PTO.]]=$B99,IF(DATOS_[[Check Periodo Ref.]:[Check Periodo Ref.]]="Dentro",IF(DATOS_[[Check Equiparado]:[Check Equiparado]]="Sí",IF(DATOS!BC$4="Sí",(1/DATOS_[[% anualiz]:[% anualiz]]),1)*IF(DATOS!BC$5="Sí",1/DATOS_[[% normaliz]:[% normaliz]],1)*(DATOS_[Conc.Sal.25])))))))), 0)</f>
        <v>0</v>
      </c>
      <c r="AI101" s="302" t="n">
        <f aca="false" t="array" ref="AI101:AI101">IFERROR( (AVERAGE((IF(DATOS_[[Sexo]:[Sexo]]=$B101,IF(DATOS_[[AGRUP. VALOR. PTO.]:[AGRUP. VALOR. PTO.]]=$B99,IF(DATOS_[[Check Periodo Ref.]:[Check Periodo Ref.]]="Dentro",IF(DATOS_[[Check Equiparado]:[Check Equiparado]]="Sí",IF(DATOS!BD$4="Sí",(1/DATOS_[[% anualiz]:[% anualiz]]),1)*IF(DATOS!BD$5="Sí",1/DATOS_[[% normaliz]:[% normaliz]],1)*(DATOS_[Conc.Sal.26])))))))), 0)</f>
        <v>0</v>
      </c>
      <c r="AJ101" s="302" t="n">
        <f aca="false" t="array" ref="AJ101:AJ101">IFERROR( (AVERAGE((IF(DATOS_[[Sexo]:[Sexo]]=$B101,IF(DATOS_[[AGRUP. VALOR. PTO.]:[AGRUP. VALOR. PTO.]]=$B99,IF(DATOS_[[Check Periodo Ref.]:[Check Periodo Ref.]]="Dentro",IF(DATOS_[[Check Equiparado]:[Check Equiparado]]="Sí",IF(DATOS!BE$4="Sí",(1/DATOS_[[% anualiz]:[% anualiz]]),1)*IF(DATOS!BE$5="Sí",1/DATOS_[[% normaliz]:[% normaliz]],1)*(DATOS_[Conc.Sal.27])))))))), 0)</f>
        <v>0</v>
      </c>
      <c r="AK101" s="302" t="n">
        <f aca="false" t="array" ref="AK101:AK101">IFERROR( (AVERAGE((IF(DATOS_[[Sexo]:[Sexo]]=$B101,IF(DATOS_[[AGRUP. VALOR. PTO.]:[AGRUP. VALOR. PTO.]]=$B99,IF(DATOS_[[Check Periodo Ref.]:[Check Periodo Ref.]]="Dentro",IF(DATOS_[[Check Equiparado]:[Check Equiparado]]="Sí",IF(DATOS!BF$4="Sí",(1/DATOS_[[% anualiz]:[% anualiz]]),1)*IF(DATOS!BF$5="Sí",1/DATOS_[[% normaliz]:[% normaliz]],1)*(DATOS_[Conc.Sal.28])))))))), 0)</f>
        <v>0</v>
      </c>
      <c r="AL101" s="302" t="n">
        <f aca="false" t="array" ref="AL101:AL101">IFERROR( (AVERAGE((IF(DATOS_[[Sexo]:[Sexo]]=$B101,IF(DATOS_[[AGRUP. VALOR. PTO.]:[AGRUP. VALOR. PTO.]]=$B99,IF(DATOS_[[Check Periodo Ref.]:[Check Periodo Ref.]]="Dentro",IF(DATOS_[[Check Equiparado]:[Check Equiparado]]="Sí",IF(DATOS!BG$4="Sí",(1/DATOS_[[% anualiz]:[% anualiz]]),1)*IF(DATOS!BG$5="Sí",1/DATOS_[[% normaliz]:[% normaliz]],1)*(DATOS_[Conc.Sal.29])))))))), 0)</f>
        <v>0</v>
      </c>
      <c r="AM101" s="302" t="n">
        <f aca="false" t="array" ref="AM101:AM101">IFERROR( (AVERAGE((IF(DATOS_[[Sexo]:[Sexo]]=$B101,IF(DATOS_[[AGRUP. VALOR. PTO.]:[AGRUP. VALOR. PTO.]]=$B99,IF(DATOS_[[Check Periodo Ref.]:[Check Periodo Ref.]]="Dentro",IF(DATOS_[[Check Equiparado]:[Check Equiparado]]="Sí",IF(DATOS!BH$4="Sí",(1/DATOS_[[% anualiz]:[% anualiz]]),1)*IF(DATOS!BH$5="Sí",1/DATOS_[[% normaliz]:[% normaliz]],1)*(DATOS_[Conc.Sal.30])))))))), 0)</f>
        <v>0</v>
      </c>
      <c r="AN101" s="294" t="n">
        <f aca="false" t="array" ref="AN101:AN101">IFERROR( AVERAGE(IF(DATOS_[Sexo]=$B101,IF(DATOS_[[AGRUP. VALOR. PTO.]:[AGRUP. VALOR. PTO.]]=$B99,IF(DATOS_[Check Equiparado]="Sí",IF(DATOS_[Check Periodo Ref.]="Dentro",DATOS_[Tot COMPL.SAL Eq],0))))), 0)</f>
        <v>0</v>
      </c>
      <c r="AO101" s="295" t="n">
        <f aca="false" t="array" ref="AO101:AO101">IFERROR( AVERAGE(IF(DATOS_[Sexo]=$B101,IF(DATOS_[[AGRUP. VALOR. PTO.]:[AGRUP. VALOR. PTO.]]=$B99,IF(DATOS_[Check Equiparado]="Sí",IF(DATOS_[Check Periodo Ref.]="Dentro",DATOS_[TOTAL SALARIO Eq],0))))), 0)</f>
        <v>0</v>
      </c>
      <c r="AP101" s="303" t="n">
        <f aca="false" t="array" ref="AP101:AP101">IFERROR( (AVERAGE((IF(DATOS_[[Sexo]:[Sexo]]=$B101,IF(DATOS_[[AGRUP. VALOR. PTO.]:[AGRUP. VALOR. PTO.]]=$B100,IF(DATOS_[[Check Periodo Ref.]:[Check Periodo Ref.]]="Dentro",IF(DATOS_[[Check Equiparado]:[Check Equiparado]]="Sí",IF(DATOS!BI$4="Sí",(1/DATOS_[[% anualiz]:[% anualiz]]),1)*IF(DATOS!BI$5="Sí",1/DATOS_[[% normaliz]:[% normaliz]],1)*(DATOS_[C.Extra.01])))))))), 0)</f>
        <v>0</v>
      </c>
      <c r="AQ101" s="303" t="n">
        <f aca="false" t="array" ref="AQ101:AQ101">IFERROR( (AVERAGE((IF(DATOS_[[Sexo]:[Sexo]]=$B101,IF(DATOS_[[AGRUP. VALOR. PTO.]:[AGRUP. VALOR. PTO.]]=$B100,IF(DATOS_[[Check Periodo Ref.]:[Check Periodo Ref.]]="Dentro",IF(DATOS_[[Check Equiparado]:[Check Equiparado]]="Sí",IF(DATOS!BJ$4="Sí",(1/DATOS_[[% anualiz]:[% anualiz]]),1)*IF(DATOS!BJ$5="Sí",1/DATOS_[[% normaliz]:[% normaliz]],1)*(DATOS_[C.Extra.02])))))))), 0)</f>
        <v>0</v>
      </c>
      <c r="AR101" s="303" t="n">
        <f aca="false" t="array" ref="AR101:AR101">IFERROR( (AVERAGE((IF(DATOS_[[Sexo]:[Sexo]]=$B101,IF(DATOS_[[AGRUP. VALOR. PTO.]:[AGRUP. VALOR. PTO.]]=$B100,IF(DATOS_[[Check Periodo Ref.]:[Check Periodo Ref.]]="Dentro",IF(DATOS_[[Check Equiparado]:[Check Equiparado]]="Sí",IF(DATOS!BK$4="Sí",(1/DATOS_[[% anualiz]:[% anualiz]]),1)*IF(DATOS!BK$5="Sí",1/DATOS_[[% normaliz]:[% normaliz]],1)*(DATOS_[C.Extra.03])))))))), 0)</f>
        <v>0</v>
      </c>
      <c r="AS101" s="303" t="n">
        <f aca="false" t="array" ref="AS101:AS101">IFERROR( (AVERAGE((IF(DATOS_[[Sexo]:[Sexo]]=$B101,IF(DATOS_[[AGRUP. VALOR. PTO.]:[AGRUP. VALOR. PTO.]]=$B100,IF(DATOS_[[Check Periodo Ref.]:[Check Periodo Ref.]]="Dentro",IF(DATOS_[[Check Equiparado]:[Check Equiparado]]="Sí",IF(DATOS!BL$4="Sí",(1/DATOS_[[% anualiz]:[% anualiz]]),1)*IF(DATOS!BL$5="Sí",1/DATOS_[[% normaliz]:[% normaliz]],1)*(DATOS_[C.Extra.04])))))))), 0)</f>
        <v>0</v>
      </c>
      <c r="AT101" s="303" t="n">
        <f aca="false" t="array" ref="AT101:AT101">IFERROR( (AVERAGE((IF(DATOS_[[Sexo]:[Sexo]]=$B101,IF(DATOS_[[AGRUP. VALOR. PTO.]:[AGRUP. VALOR. PTO.]]=$B100,IF(DATOS_[[Check Periodo Ref.]:[Check Periodo Ref.]]="Dentro",IF(DATOS_[[Check Equiparado]:[Check Equiparado]]="Sí",IF(DATOS!BM$4="Sí",(1/DATOS_[[% anualiz]:[% anualiz]]),1)*IF(DATOS!BM$5="Sí",1/DATOS_[[% normaliz]:[% normaliz]],1)*(DATOS_[C.Extra.05])))))))), 0)</f>
        <v>0</v>
      </c>
      <c r="AU101" s="297" t="n">
        <f aca="false" t="array" ref="AU101:AU101">IFERROR( AVERAGE(IF(DATOS_[Sexo]=$B101,IF(DATOS_[[AGRUP. VALOR. PTO.]:[AGRUP. VALOR. PTO.]]=$B99,IF(DATOS_[Check Equiparado]="Sí",IF(DATOS_[Check Periodo Ref.]="Dentro",DATOS_[Tot Extrasalarial Eq],0))))), 0)</f>
        <v>0</v>
      </c>
      <c r="AV101" s="298" t="n">
        <f aca="false" t="array" ref="AV101:AV101">IFERROR( AVERAGE(IF(DATOS_[Sexo]=$B101,IF(DATOS_[[AGRUP. VALOR. PTO.]:[AGRUP. VALOR. PTO.]]=$B99,IF(DATOS_[Check Equiparado]="Sí",IF(DATOS_[Check Periodo Ref.]="Dentro",DATOS_[TOTAL Retrib Eq],0))))), 0)</f>
        <v>0</v>
      </c>
    </row>
    <row r="102" customFormat="false" ht="15.75" hidden="false" customHeight="false" outlineLevel="0" collapsed="false">
      <c r="A102" s="166" t="str">
        <f aca="false">+A103</f>
        <v>[ocultar]</v>
      </c>
      <c r="B102" s="276" t="s">
        <v>256</v>
      </c>
      <c r="C102" s="277"/>
      <c r="D102" s="278"/>
      <c r="E102" s="278"/>
      <c r="F102" s="278"/>
      <c r="G102" s="278"/>
      <c r="H102" s="278"/>
      <c r="I102" s="279" t="str">
        <f aca="false">IFERROR((I103-I104)/I103,"")</f>
        <v/>
      </c>
      <c r="J102" s="280" t="str">
        <f aca="false">IFERROR((J103-J104)/J103,"")</f>
        <v/>
      </c>
      <c r="K102" s="281" t="str">
        <f aca="false">IFERROR((K103-K104)/K103,"")</f>
        <v/>
      </c>
      <c r="L102" s="281" t="str">
        <f aca="false">IFERROR((L103-L104)/L103,"")</f>
        <v/>
      </c>
      <c r="M102" s="281" t="str">
        <f aca="false">IFERROR((M103-M104)/M103,"")</f>
        <v/>
      </c>
      <c r="N102" s="282" t="str">
        <f aca="false">IFERROR((N103-N104)/N103,"")</f>
        <v/>
      </c>
      <c r="O102" s="283" t="str">
        <f aca="false">IFERROR((O103-O104)/O103,"")</f>
        <v/>
      </c>
      <c r="P102" s="283" t="str">
        <f aca="false">IFERROR((P103-P104)/P103,"")</f>
        <v/>
      </c>
      <c r="Q102" s="283" t="str">
        <f aca="false">IFERROR((Q103-Q104)/Q103,"")</f>
        <v/>
      </c>
      <c r="R102" s="283" t="str">
        <f aca="false">IFERROR((R103-R104)/R103,"")</f>
        <v/>
      </c>
      <c r="S102" s="283" t="str">
        <f aca="false">IFERROR((S103-S104)/S103,"")</f>
        <v/>
      </c>
      <c r="T102" s="283" t="str">
        <f aca="false">IFERROR((T103-T104)/T103,"")</f>
        <v/>
      </c>
      <c r="U102" s="283" t="str">
        <f aca="false">IFERROR((U103-U104)/U103,"")</f>
        <v/>
      </c>
      <c r="V102" s="283" t="str">
        <f aca="false">IFERROR((V103-V104)/V103,"")</f>
        <v/>
      </c>
      <c r="W102" s="283" t="str">
        <f aca="false">IFERROR((W103-W104)/W103,"")</f>
        <v/>
      </c>
      <c r="X102" s="283" t="str">
        <f aca="false">IFERROR((X103-X104)/X103,"")</f>
        <v/>
      </c>
      <c r="Y102" s="283" t="str">
        <f aca="false">IFERROR((Y103-Y104)/Y103,"")</f>
        <v/>
      </c>
      <c r="Z102" s="282" t="str">
        <f aca="false">IFERROR((Z103-Z104)/Z103,"")</f>
        <v/>
      </c>
      <c r="AA102" s="282" t="str">
        <f aca="false">IFERROR((AA103-AA104)/AA103,"")</f>
        <v/>
      </c>
      <c r="AB102" s="282" t="str">
        <f aca="false">IFERROR((AB103-AB104)/AB103,"")</f>
        <v/>
      </c>
      <c r="AC102" s="282" t="str">
        <f aca="false">IFERROR((AC103-AC104)/AC103,"")</f>
        <v/>
      </c>
      <c r="AD102" s="282" t="str">
        <f aca="false">IFERROR((AD103-AD104)/AD103,"")</f>
        <v/>
      </c>
      <c r="AE102" s="282" t="str">
        <f aca="false">IFERROR((AE103-AE104)/AE103,"")</f>
        <v/>
      </c>
      <c r="AF102" s="282" t="str">
        <f aca="false">IFERROR((AF103-AF104)/AF103,"")</f>
        <v/>
      </c>
      <c r="AG102" s="282" t="str">
        <f aca="false">IFERROR((AG103-AG104)/AG103,"")</f>
        <v/>
      </c>
      <c r="AH102" s="282" t="str">
        <f aca="false">IFERROR((AH103-AH104)/AH103,"")</f>
        <v/>
      </c>
      <c r="AI102" s="282" t="str">
        <f aca="false">IFERROR((AI103-AI104)/AI103,"")</f>
        <v/>
      </c>
      <c r="AJ102" s="282" t="str">
        <f aca="false">IFERROR((AJ103-AJ104)/AJ103,"")</f>
        <v/>
      </c>
      <c r="AK102" s="282" t="str">
        <f aca="false">IFERROR((AK103-AK104)/AK103,"")</f>
        <v/>
      </c>
      <c r="AL102" s="282" t="str">
        <f aca="false">IFERROR((AL103-AL104)/AL103,"")</f>
        <v/>
      </c>
      <c r="AM102" s="282" t="str">
        <f aca="false">IFERROR((AM103-AM104)/AM103,"")</f>
        <v/>
      </c>
      <c r="AN102" s="284" t="str">
        <f aca="false">IFERROR((AN103-AN104)/AN103,"")</f>
        <v/>
      </c>
      <c r="AO102" s="285" t="str">
        <f aca="false">IFERROR((AO103-AO104)/AO103,"")</f>
        <v/>
      </c>
      <c r="AP102" s="286" t="str">
        <f aca="false">IFERROR((AP103-AP104)/AP103,"")</f>
        <v/>
      </c>
      <c r="AQ102" s="286" t="str">
        <f aca="false">IFERROR((AQ103-AQ104)/AQ103,"")</f>
        <v/>
      </c>
      <c r="AR102" s="286" t="str">
        <f aca="false">IFERROR((AR103-AR104)/AR103,"")</f>
        <v/>
      </c>
      <c r="AS102" s="286" t="str">
        <f aca="false">IFERROR((AS103-AS104)/AS103,"")</f>
        <v/>
      </c>
      <c r="AT102" s="286" t="str">
        <f aca="false">IFERROR((AT103-AT104)/AT103,"")</f>
        <v/>
      </c>
      <c r="AU102" s="287" t="str">
        <f aca="false">IFERROR((AU103-AU104)/AU103,"")</f>
        <v/>
      </c>
      <c r="AV102" s="288" t="str">
        <f aca="false">IFERROR((AV103-AV104)/AV103,"")</f>
        <v/>
      </c>
    </row>
    <row r="103" customFormat="false" ht="14.25" hidden="false" customHeight="false" outlineLevel="0" collapsed="false">
      <c r="A103" s="166" t="str">
        <f aca="false">+IF(C103+C104=0,"[ocultar]","")</f>
        <v>[ocultar]</v>
      </c>
      <c r="B103" s="289" t="s">
        <v>371</v>
      </c>
      <c r="C103" s="290" t="n">
        <f aca="false" t="array" ref="C103:C103">SUM(IF($B103=DATOS_[Sexo], IF($B102=DATOS_[AGRUP. VALOR. PTO.], IF("Dentro"=DATOS_[Check Periodo Ref.], 1/(COUNTIFS(DATOS_[Sexo],$B103,DATOS_[AGRUP. VALOR. PTO.],$B102,DATOS_[Check Periodo Ref.],"Dentro",DATOS_[id],DATOS_[id]))))))</f>
        <v>0</v>
      </c>
      <c r="D103" s="291" t="n">
        <f aca="false">COUNTIFS(DATOS_[AGRUP. VALOR. PTO.],$B102,DATOS_[Sexo],$B103,DATOS_[Check Periodo Ref.],"Dentro")</f>
        <v>0</v>
      </c>
      <c r="E103" s="291" t="n">
        <f aca="false">COUNTIFS(DATOS_[AGRUP. VALOR. PTO.],$B102,DATOS_[Sexo],$B103,DATOS_[Check Periodo Ref.],"Dentro",DATOS_[Check Nº SC Norm],"Sí")</f>
        <v>0</v>
      </c>
      <c r="F103" s="291" t="n">
        <f aca="false">COUNTIFS(DATOS_[AGRUP. VALOR. PTO.],$B102,DATOS_[Sexo],$B103,DATOS_[Check Periodo Ref.],"Dentro",DATOS_[Check Nº SC Anualiz],"Sí")</f>
        <v>0</v>
      </c>
      <c r="G103" s="291" t="n">
        <f aca="false">COUNTIFS(DATOS_[AGRUP. VALOR. PTO.],$B102,DATOS_[Sexo],$B103,DATOS_[Check Periodo Ref.],"Dentro",DATOS_[Check Nº SC Norm y Anualiz],"Sí")</f>
        <v>0</v>
      </c>
      <c r="H103" s="291" t="n">
        <f aca="false">COUNTIFS(DATOS_[AGRUP. VALOR. PTO.],$B102,DATOS_[Sexo],$B103,DATOS_[Check Periodo Ref.],"Dentro",DATOS_[Check Equiparación],"Sí")</f>
        <v>0</v>
      </c>
      <c r="I103" s="292" t="n">
        <f aca="false" t="array" ref="I103:I103">IFERROR( AVERAGE(IF(DATOS_[Sexo]=$B103,IF(DATOS_[[AGRUP. VALOR. PTO.]:[AGRUP. VALOR. PTO.]]=$B102,IF(DATOS_[Check Equiparado]="Sí",IF(DATOS_[Check Periodo Ref.]="Dentro",DATOS_[SALARIO BASE Eq],0))))), 0)</f>
        <v>0</v>
      </c>
      <c r="J103" s="302" t="n">
        <f aca="false" t="array" ref="J103:J103">IFERROR( (AVERAGE((IF(DATOS_[[Sexo]:[Sexo]]=$B103,IF(DATOS_[[AGRUP. VALOR. PTO.]:[AGRUP. VALOR. PTO.]]=$B102,IF(DATOS_[[Check Periodo Ref.]:[Check Periodo Ref.]]="Dentro",IF(DATOS_[[Check Equiparado]:[Check Equiparado]]="Sí",IF(DATOS!AE$4="Sí",(1/DATOS_[[% anualiz]:[% anualiz]]),1)*IF(DATOS!AE$5="Sí",1/DATOS_[[% normaliz]:[% normaliz]],1)*(DATOS_[Conc.Sal.01])))))))), 0)</f>
        <v>0</v>
      </c>
      <c r="K103" s="302" t="n">
        <f aca="false" t="array" ref="K103:K103">IFERROR( (AVERAGE((IF(DATOS_[[Sexo]:[Sexo]]=$B103,IF(DATOS_[[AGRUP. VALOR. PTO.]:[AGRUP. VALOR. PTO.]]=$B102,IF(DATOS_[[Check Periodo Ref.]:[Check Periodo Ref.]]="Dentro",IF(DATOS_[[Check Equiparado]:[Check Equiparado]]="Sí",IF(DATOS!AF$4="Sí",(1/DATOS_[[% anualiz]:[% anualiz]]),1)*IF(DATOS!AF$5="Sí",1/DATOS_[[% normaliz]:[% normaliz]],1)*(DATOS_[Conc.Sal.02])))))))), 0)</f>
        <v>0</v>
      </c>
      <c r="L103" s="302" t="n">
        <f aca="false" t="array" ref="L103:L103">IFERROR( (AVERAGE((IF(DATOS_[[Sexo]:[Sexo]]=$B103,IF(DATOS_[[AGRUP. VALOR. PTO.]:[AGRUP. VALOR. PTO.]]=$B102,IF(DATOS_[[Check Periodo Ref.]:[Check Periodo Ref.]]="Dentro",IF(DATOS_[[Check Equiparado]:[Check Equiparado]]="Sí",IF(DATOS!AG$4="Sí",(1/DATOS_[[% anualiz]:[% anualiz]]),1)*IF(DATOS!AG$5="Sí",1/DATOS_[[% normaliz]:[% normaliz]],1)*(DATOS_[Conc.Sal.03])))))))), 0)</f>
        <v>0</v>
      </c>
      <c r="M103" s="302" t="n">
        <f aca="false" t="array" ref="M103:M103">IFERROR( (AVERAGE((IF(DATOS_[[Sexo]:[Sexo]]=$B103,IF(DATOS_[[AGRUP. VALOR. PTO.]:[AGRUP. VALOR. PTO.]]=$B102,IF(DATOS_[[Check Periodo Ref.]:[Check Periodo Ref.]]="Dentro",IF(DATOS_[[Check Equiparado]:[Check Equiparado]]="Sí",IF(DATOS!AH$4="Sí",(1/DATOS_[[% anualiz]:[% anualiz]]),1)*IF(DATOS!AH$5="Sí",1/DATOS_[[% normaliz]:[% normaliz]],1)*(DATOS_[Conc.Sal.04])))))))), 0)</f>
        <v>0</v>
      </c>
      <c r="N103" s="302" t="n">
        <f aca="false" t="array" ref="N103:N103">IFERROR( (AVERAGE((IF(DATOS_[[Sexo]:[Sexo]]=$B103,IF(DATOS_[[AGRUP. VALOR. PTO.]:[AGRUP. VALOR. PTO.]]=$B102,IF(DATOS_[[Check Periodo Ref.]:[Check Periodo Ref.]]="Dentro",IF(DATOS_[[Check Equiparado]:[Check Equiparado]]="Sí",IF(DATOS!AI$4="Sí",(1/DATOS_[[% anualiz]:[% anualiz]]),1)*IF(DATOS!AI$5="Sí",1/DATOS_[[% normaliz]:[% normaliz]],1)*(DATOS_[Conc.Sal.05])))))))), 0)</f>
        <v>0</v>
      </c>
      <c r="O103" s="302" t="n">
        <f aca="false" t="array" ref="O103:O103">IFERROR( (AVERAGE((IF(DATOS_[[Sexo]:[Sexo]]=$B103,IF(DATOS_[[AGRUP. VALOR. PTO.]:[AGRUP. VALOR. PTO.]]=$B102,IF(DATOS_[[Check Periodo Ref.]:[Check Periodo Ref.]]="Dentro",IF(DATOS_[[Check Equiparado]:[Check Equiparado]]="Sí",IF(DATOS!AJ$4="Sí",(1/DATOS_[[% anualiz]:[% anualiz]]),1)*IF(DATOS!AJ$5="Sí",1/DATOS_[[% normaliz]:[% normaliz]],1)*(DATOS_[Conc.Sal.06])))))))), 0)</f>
        <v>0</v>
      </c>
      <c r="P103" s="302" t="n">
        <f aca="false" t="array" ref="P103:P103">IFERROR( (AVERAGE((IF(DATOS_[[Sexo]:[Sexo]]=$B103,IF(DATOS_[[AGRUP. VALOR. PTO.]:[AGRUP. VALOR. PTO.]]=$B102,IF(DATOS_[[Check Periodo Ref.]:[Check Periodo Ref.]]="Dentro",IF(DATOS_[[Check Equiparado]:[Check Equiparado]]="Sí",IF(DATOS!AK$4="Sí",(1/DATOS_[[% anualiz]:[% anualiz]]),1)*IF(DATOS!AK$5="Sí",1/DATOS_[[% normaliz]:[% normaliz]],1)*(DATOS_[Conc.Sal.07])))))))), 0)</f>
        <v>0</v>
      </c>
      <c r="Q103" s="302" t="n">
        <f aca="false" t="array" ref="Q103:Q103">IFERROR( (AVERAGE((IF(DATOS_[[Sexo]:[Sexo]]=$B103,IF(DATOS_[[AGRUP. VALOR. PTO.]:[AGRUP. VALOR. PTO.]]=$B102,IF(DATOS_[[Check Periodo Ref.]:[Check Periodo Ref.]]="Dentro",IF(DATOS_[[Check Equiparado]:[Check Equiparado]]="Sí",IF(DATOS!AL$4="Sí",(1/DATOS_[[% anualiz]:[% anualiz]]),1)*IF(DATOS!AL$5="Sí",1/DATOS_[[% normaliz]:[% normaliz]],1)*(DATOS_[Conc.Sal.08])))))))), 0)</f>
        <v>0</v>
      </c>
      <c r="R103" s="302" t="n">
        <f aca="false" t="array" ref="R103:R103">IFERROR( (AVERAGE((IF(DATOS_[[Sexo]:[Sexo]]=$B103,IF(DATOS_[[AGRUP. VALOR. PTO.]:[AGRUP. VALOR. PTO.]]=$B102,IF(DATOS_[[Check Periodo Ref.]:[Check Periodo Ref.]]="Dentro",IF(DATOS_[[Check Equiparado]:[Check Equiparado]]="Sí",IF(DATOS!AM$4="Sí",(1/DATOS_[[% anualiz]:[% anualiz]]),1)*IF(DATOS!AM$5="Sí",1/DATOS_[[% normaliz]:[% normaliz]],1)*(DATOS_[Conc.Sal.09])))))))), 0)</f>
        <v>0</v>
      </c>
      <c r="S103" s="302" t="n">
        <f aca="false" t="array" ref="S103:S103">IFERROR( (AVERAGE((IF(DATOS_[[Sexo]:[Sexo]]=$B103,IF(DATOS_[[AGRUP. VALOR. PTO.]:[AGRUP. VALOR. PTO.]]=$B102,IF(DATOS_[[Check Periodo Ref.]:[Check Periodo Ref.]]="Dentro",IF(DATOS_[[Check Equiparado]:[Check Equiparado]]="Sí",IF(DATOS!AN$4="Sí",(1/DATOS_[[% anualiz]:[% anualiz]]),1)*IF(DATOS!AN$5="Sí",1/DATOS_[[% normaliz]:[% normaliz]],1)*(DATOS_[Conc.Sal.10])))))))), 0)</f>
        <v>0</v>
      </c>
      <c r="T103" s="302" t="n">
        <f aca="false" t="array" ref="T103:T103">IFERROR( (AVERAGE((IF(DATOS_[[Sexo]:[Sexo]]=$B103,IF(DATOS_[[AGRUP. VALOR. PTO.]:[AGRUP. VALOR. PTO.]]=$B102,IF(DATOS_[[Check Periodo Ref.]:[Check Periodo Ref.]]="Dentro",IF(DATOS_[[Check Equiparado]:[Check Equiparado]]="Sí",IF(DATOS!AO$4="Sí",(1/DATOS_[[% anualiz]:[% anualiz]]),1)*IF(DATOS!AO$5="Sí",1/DATOS_[[% normaliz]:[% normaliz]],1)*(DATOS_[Conc.Sal.11])))))))), 0)</f>
        <v>0</v>
      </c>
      <c r="U103" s="302" t="n">
        <f aca="false" t="array" ref="U103:U103">IFERROR( (AVERAGE((IF(DATOS_[[Sexo]:[Sexo]]=$B103,IF(DATOS_[[AGRUP. VALOR. PTO.]:[AGRUP. VALOR. PTO.]]=$B102,IF(DATOS_[[Check Periodo Ref.]:[Check Periodo Ref.]]="Dentro",IF(DATOS_[[Check Equiparado]:[Check Equiparado]]="Sí",IF(DATOS!AP$4="Sí",(1/DATOS_[[% anualiz]:[% anualiz]]),1)*IF(DATOS!AP$5="Sí",1/DATOS_[[% normaliz]:[% normaliz]],1)*(DATOS_[Conc.Sal.12])))))))), 0)</f>
        <v>0</v>
      </c>
      <c r="V103" s="302" t="n">
        <f aca="false" t="array" ref="V103:V103">IFERROR( (AVERAGE((IF(DATOS_[[Sexo]:[Sexo]]=$B103,IF(DATOS_[[AGRUP. VALOR. PTO.]:[AGRUP. VALOR. PTO.]]=$B102,IF(DATOS_[[Check Periodo Ref.]:[Check Periodo Ref.]]="Dentro",IF(DATOS_[[Check Equiparado]:[Check Equiparado]]="Sí",IF(DATOS!AQ$4="Sí",(1/DATOS_[[% anualiz]:[% anualiz]]),1)*IF(DATOS!AQ$5="Sí",1/DATOS_[[% normaliz]:[% normaliz]],1)*(DATOS_[Conc.Sal.13])))))))), 0)</f>
        <v>0</v>
      </c>
      <c r="W103" s="302" t="n">
        <f aca="false" t="array" ref="W103:W103">IFERROR( (AVERAGE((IF(DATOS_[[Sexo]:[Sexo]]=$B103,IF(DATOS_[[AGRUP. VALOR. PTO.]:[AGRUP. VALOR. PTO.]]=$B102,IF(DATOS_[[Check Periodo Ref.]:[Check Periodo Ref.]]="Dentro",IF(DATOS_[[Check Equiparado]:[Check Equiparado]]="Sí",IF(DATOS!AR$4="Sí",(1/DATOS_[[% anualiz]:[% anualiz]]),1)*IF(DATOS!AR$5="Sí",1/DATOS_[[% normaliz]:[% normaliz]],1)*(DATOS_[Conc.Sal.14])))))))), 0)</f>
        <v>0</v>
      </c>
      <c r="X103" s="302" t="n">
        <f aca="false" t="array" ref="X103:X103">IFERROR( (AVERAGE((IF(DATOS_[[Sexo]:[Sexo]]=$B103,IF(DATOS_[[AGRUP. VALOR. PTO.]:[AGRUP. VALOR. PTO.]]=$B102,IF(DATOS_[[Check Periodo Ref.]:[Check Periodo Ref.]]="Dentro",IF(DATOS_[[Check Equiparado]:[Check Equiparado]]="Sí",IF(DATOS!AS$4="Sí",(1/DATOS_[[% anualiz]:[% anualiz]]),1)*IF(DATOS!AS$5="Sí",1/DATOS_[[% normaliz]:[% normaliz]],1)*(DATOS_[Conc.Sal.15])))))))), 0)</f>
        <v>0</v>
      </c>
      <c r="Y103" s="302" t="n">
        <f aca="false" t="array" ref="Y103:Y103">IFERROR( (AVERAGE((IF(DATOS_[[Sexo]:[Sexo]]=$B103,IF(DATOS_[[AGRUP. VALOR. PTO.]:[AGRUP. VALOR. PTO.]]=$B102,IF(DATOS_[[Check Periodo Ref.]:[Check Periodo Ref.]]="Dentro",IF(DATOS_[[Check Equiparado]:[Check Equiparado]]="Sí",IF(DATOS!AT$4="Sí",(1/DATOS_[[% anualiz]:[% anualiz]]),1)*IF(DATOS!AT$5="Sí",1/DATOS_[[% normaliz]:[% normaliz]],1)*(DATOS_[Conc.Sal.16])))))))), 0)</f>
        <v>0</v>
      </c>
      <c r="Z103" s="302" t="n">
        <f aca="false" t="array" ref="Z103:Z103">IFERROR( (AVERAGE((IF(DATOS_[[Sexo]:[Sexo]]=$B103,IF(DATOS_[[AGRUP. VALOR. PTO.]:[AGRUP. VALOR. PTO.]]=$B102,IF(DATOS_[[Check Periodo Ref.]:[Check Periodo Ref.]]="Dentro",IF(DATOS_[[Check Equiparado]:[Check Equiparado]]="Sí",IF(DATOS!AU$4="Sí",(1/DATOS_[[% anualiz]:[% anualiz]]),1)*IF(DATOS!AU$5="Sí",1/DATOS_[[% normaliz]:[% normaliz]],1)*(DATOS_[Conc.Sal.17])))))))), 0)</f>
        <v>0</v>
      </c>
      <c r="AA103" s="302" t="n">
        <f aca="false" t="array" ref="AA103:AA103">IFERROR( (AVERAGE((IF(DATOS_[[Sexo]:[Sexo]]=$B103,IF(DATOS_[[AGRUP. VALOR. PTO.]:[AGRUP. VALOR. PTO.]]=$B102,IF(DATOS_[[Check Periodo Ref.]:[Check Periodo Ref.]]="Dentro",IF(DATOS_[[Check Equiparado]:[Check Equiparado]]="Sí",IF(DATOS!AV$4="Sí",(1/DATOS_[[% anualiz]:[% anualiz]]),1)*IF(DATOS!AV$5="Sí",1/DATOS_[[% normaliz]:[% normaliz]],1)*(DATOS_[Conc.Sal.18])))))))), 0)</f>
        <v>0</v>
      </c>
      <c r="AB103" s="302" t="n">
        <f aca="false" t="array" ref="AB103:AB103">IFERROR( (AVERAGE((IF(DATOS_[[Sexo]:[Sexo]]=$B103,IF(DATOS_[[AGRUP. VALOR. PTO.]:[AGRUP. VALOR. PTO.]]=$B102,IF(DATOS_[[Check Periodo Ref.]:[Check Periodo Ref.]]="Dentro",IF(DATOS_[[Check Equiparado]:[Check Equiparado]]="Sí",IF(DATOS!AW$4="Sí",(1/DATOS_[[% anualiz]:[% anualiz]]),1)*IF(DATOS!AW$5="Sí",1/DATOS_[[% normaliz]:[% normaliz]],1)*(DATOS_[Conc.Sal.19])))))))), 0)</f>
        <v>0</v>
      </c>
      <c r="AC103" s="302" t="n">
        <f aca="false" t="array" ref="AC103:AC103">IFERROR( (AVERAGE((IF(DATOS_[[Sexo]:[Sexo]]=$B103,IF(DATOS_[[AGRUP. VALOR. PTO.]:[AGRUP. VALOR. PTO.]]=$B102,IF(DATOS_[[Check Periodo Ref.]:[Check Periodo Ref.]]="Dentro",IF(DATOS_[[Check Equiparado]:[Check Equiparado]]="Sí",IF(DATOS!AX$4="Sí",(1/DATOS_[[% anualiz]:[% anualiz]]),1)*IF(DATOS!AX$5="Sí",1/DATOS_[[% normaliz]:[% normaliz]],1)*(DATOS_[Conc.Sal.20])))))))), 0)</f>
        <v>0</v>
      </c>
      <c r="AD103" s="302" t="n">
        <f aca="false" t="array" ref="AD103:AD103">IFERROR( (AVERAGE((IF(DATOS_[[Sexo]:[Sexo]]=$B103,IF(DATOS_[[AGRUP. VALOR. PTO.]:[AGRUP. VALOR. PTO.]]=$B102,IF(DATOS_[[Check Periodo Ref.]:[Check Periodo Ref.]]="Dentro",IF(DATOS_[[Check Equiparado]:[Check Equiparado]]="Sí",IF(DATOS!AY$4="Sí",(1/DATOS_[[% anualiz]:[% anualiz]]),1)*IF(DATOS!AY$5="Sí",1/DATOS_[[% normaliz]:[% normaliz]],1)*(DATOS_[Conc.Sal.21])))))))), 0)</f>
        <v>0</v>
      </c>
      <c r="AE103" s="302" t="n">
        <f aca="false" t="array" ref="AE103:AE103">IFERROR( (AVERAGE((IF(DATOS_[[Sexo]:[Sexo]]=$B103,IF(DATOS_[[AGRUP. VALOR. PTO.]:[AGRUP. VALOR. PTO.]]=$B102,IF(DATOS_[[Check Periodo Ref.]:[Check Periodo Ref.]]="Dentro",IF(DATOS_[[Check Equiparado]:[Check Equiparado]]="Sí",IF(DATOS!AZ$4="Sí",(1/DATOS_[[% anualiz]:[% anualiz]]),1)*IF(DATOS!AZ$5="Sí",1/DATOS_[[% normaliz]:[% normaliz]],1)*(DATOS_[Conc.Sal.22])))))))), 0)</f>
        <v>0</v>
      </c>
      <c r="AF103" s="302" t="n">
        <f aca="false" t="array" ref="AF103:AF103">IFERROR( (AVERAGE((IF(DATOS_[[Sexo]:[Sexo]]=$B103,IF(DATOS_[[AGRUP. VALOR. PTO.]:[AGRUP. VALOR. PTO.]]=$B102,IF(DATOS_[[Check Periodo Ref.]:[Check Periodo Ref.]]="Dentro",IF(DATOS_[[Check Equiparado]:[Check Equiparado]]="Sí",IF(DATOS!BA$4="Sí",(1/DATOS_[[% anualiz]:[% anualiz]]),1)*IF(DATOS!BA$5="Sí",1/DATOS_[[% normaliz]:[% normaliz]],1)*(DATOS_[Conc.Sal.23])))))))), 0)</f>
        <v>0</v>
      </c>
      <c r="AG103" s="302" t="n">
        <f aca="false" t="array" ref="AG103:AG103">IFERROR( (AVERAGE((IF(DATOS_[[Sexo]:[Sexo]]=$B103,IF(DATOS_[[AGRUP. VALOR. PTO.]:[AGRUP. VALOR. PTO.]]=$B102,IF(DATOS_[[Check Periodo Ref.]:[Check Periodo Ref.]]="Dentro",IF(DATOS_[[Check Equiparado]:[Check Equiparado]]="Sí",IF(DATOS!BB$4="Sí",(1/DATOS_[[% anualiz]:[% anualiz]]),1)*IF(DATOS!BB$5="Sí",1/DATOS_[[% normaliz]:[% normaliz]],1)*(DATOS_[Conc.Sal.24])))))))), 0)</f>
        <v>0</v>
      </c>
      <c r="AH103" s="302" t="n">
        <f aca="false" t="array" ref="AH103:AH103">IFERROR( (AVERAGE((IF(DATOS_[[Sexo]:[Sexo]]=$B103,IF(DATOS_[[AGRUP. VALOR. PTO.]:[AGRUP. VALOR. PTO.]]=$B102,IF(DATOS_[[Check Periodo Ref.]:[Check Periodo Ref.]]="Dentro",IF(DATOS_[[Check Equiparado]:[Check Equiparado]]="Sí",IF(DATOS!BC$4="Sí",(1/DATOS_[[% anualiz]:[% anualiz]]),1)*IF(DATOS!BC$5="Sí",1/DATOS_[[% normaliz]:[% normaliz]],1)*(DATOS_[Conc.Sal.25])))))))), 0)</f>
        <v>0</v>
      </c>
      <c r="AI103" s="302" t="n">
        <f aca="false" t="array" ref="AI103:AI103">IFERROR( (AVERAGE((IF(DATOS_[[Sexo]:[Sexo]]=$B103,IF(DATOS_[[AGRUP. VALOR. PTO.]:[AGRUP. VALOR. PTO.]]=$B102,IF(DATOS_[[Check Periodo Ref.]:[Check Periodo Ref.]]="Dentro",IF(DATOS_[[Check Equiparado]:[Check Equiparado]]="Sí",IF(DATOS!BD$4="Sí",(1/DATOS_[[% anualiz]:[% anualiz]]),1)*IF(DATOS!BD$5="Sí",1/DATOS_[[% normaliz]:[% normaliz]],1)*(DATOS_[Conc.Sal.26])))))))), 0)</f>
        <v>0</v>
      </c>
      <c r="AJ103" s="302" t="n">
        <f aca="false" t="array" ref="AJ103:AJ103">IFERROR( (AVERAGE((IF(DATOS_[[Sexo]:[Sexo]]=$B103,IF(DATOS_[[AGRUP. VALOR. PTO.]:[AGRUP. VALOR. PTO.]]=$B102,IF(DATOS_[[Check Periodo Ref.]:[Check Periodo Ref.]]="Dentro",IF(DATOS_[[Check Equiparado]:[Check Equiparado]]="Sí",IF(DATOS!BE$4="Sí",(1/DATOS_[[% anualiz]:[% anualiz]]),1)*IF(DATOS!BE$5="Sí",1/DATOS_[[% normaliz]:[% normaliz]],1)*(DATOS_[Conc.Sal.27])))))))), 0)</f>
        <v>0</v>
      </c>
      <c r="AK103" s="302" t="n">
        <f aca="false" t="array" ref="AK103:AK103">IFERROR( (AVERAGE((IF(DATOS_[[Sexo]:[Sexo]]=$B103,IF(DATOS_[[AGRUP. VALOR. PTO.]:[AGRUP. VALOR. PTO.]]=$B102,IF(DATOS_[[Check Periodo Ref.]:[Check Periodo Ref.]]="Dentro",IF(DATOS_[[Check Equiparado]:[Check Equiparado]]="Sí",IF(DATOS!BF$4="Sí",(1/DATOS_[[% anualiz]:[% anualiz]]),1)*IF(DATOS!BF$5="Sí",1/DATOS_[[% normaliz]:[% normaliz]],1)*(DATOS_[Conc.Sal.28])))))))), 0)</f>
        <v>0</v>
      </c>
      <c r="AL103" s="302" t="n">
        <f aca="false" t="array" ref="AL103:AL103">IFERROR( (AVERAGE((IF(DATOS_[[Sexo]:[Sexo]]=$B103,IF(DATOS_[[AGRUP. VALOR. PTO.]:[AGRUP. VALOR. PTO.]]=$B102,IF(DATOS_[[Check Periodo Ref.]:[Check Periodo Ref.]]="Dentro",IF(DATOS_[[Check Equiparado]:[Check Equiparado]]="Sí",IF(DATOS!BG$4="Sí",(1/DATOS_[[% anualiz]:[% anualiz]]),1)*IF(DATOS!BG$5="Sí",1/DATOS_[[% normaliz]:[% normaliz]],1)*(DATOS_[Conc.Sal.29])))))))), 0)</f>
        <v>0</v>
      </c>
      <c r="AM103" s="302" t="n">
        <f aca="false" t="array" ref="AM103:AM103">IFERROR( (AVERAGE((IF(DATOS_[[Sexo]:[Sexo]]=$B103,IF(DATOS_[[AGRUP. VALOR. PTO.]:[AGRUP. VALOR. PTO.]]=$B102,IF(DATOS_[[Check Periodo Ref.]:[Check Periodo Ref.]]="Dentro",IF(DATOS_[[Check Equiparado]:[Check Equiparado]]="Sí",IF(DATOS!BH$4="Sí",(1/DATOS_[[% anualiz]:[% anualiz]]),1)*IF(DATOS!BH$5="Sí",1/DATOS_[[% normaliz]:[% normaliz]],1)*(DATOS_[Conc.Sal.30])))))))), 0)</f>
        <v>0</v>
      </c>
      <c r="AN103" s="294" t="n">
        <f aca="false" t="array" ref="AN103:AN103">IFERROR( AVERAGE(IF(DATOS_[Sexo]=$B103,IF(DATOS_[[AGRUP. VALOR. PTO.]:[AGRUP. VALOR. PTO.]]=$B102,IF(DATOS_[Check Equiparado]="Sí",IF(DATOS_[Check Periodo Ref.]="Dentro",DATOS_[Tot COMPL.SAL Eq],0))))), 0)</f>
        <v>0</v>
      </c>
      <c r="AO103" s="295" t="n">
        <f aca="false" t="array" ref="AO103:AO103">IFERROR( AVERAGE(IF(DATOS_[Sexo]=$B103,IF(DATOS_[[AGRUP. VALOR. PTO.]:[AGRUP. VALOR. PTO.]]=$B102,IF(DATOS_[Check Equiparado]="Sí",IF(DATOS_[Check Periodo Ref.]="Dentro",DATOS_[TOTAL SALARIO Eq],0))))), 0)</f>
        <v>0</v>
      </c>
      <c r="AP103" s="303" t="n">
        <f aca="false" t="array" ref="AP103:AP103">IFERROR( (AVERAGE((IF(DATOS_[[Sexo]:[Sexo]]=$B103,IF(DATOS_[[AGRUP. VALOR. PTO.]:[AGRUP. VALOR. PTO.]]=$B102,IF(DATOS_[[Check Periodo Ref.]:[Check Periodo Ref.]]="Dentro",IF(DATOS_[[Check Equiparado]:[Check Equiparado]]="Sí",IF(DATOS!BI$4="Sí",(1/DATOS_[[% anualiz]:[% anualiz]]),1)*IF(DATOS!BI$5="Sí",1/DATOS_[[% normaliz]:[% normaliz]],1)*(DATOS_[C.Extra.01])))))))), 0)</f>
        <v>0</v>
      </c>
      <c r="AQ103" s="303" t="n">
        <f aca="false" t="array" ref="AQ103:AQ103">IFERROR( (AVERAGE((IF(DATOS_[[Sexo]:[Sexo]]=$B103,IF(DATOS_[[AGRUP. VALOR. PTO.]:[AGRUP. VALOR. PTO.]]=$B102,IF(DATOS_[[Check Periodo Ref.]:[Check Periodo Ref.]]="Dentro",IF(DATOS_[[Check Equiparado]:[Check Equiparado]]="Sí",IF(DATOS!BJ$4="Sí",(1/DATOS_[[% anualiz]:[% anualiz]]),1)*IF(DATOS!BJ$5="Sí",1/DATOS_[[% normaliz]:[% normaliz]],1)*(DATOS_[C.Extra.02])))))))), 0)</f>
        <v>0</v>
      </c>
      <c r="AR103" s="303" t="n">
        <f aca="false" t="array" ref="AR103:AR103">IFERROR( (AVERAGE((IF(DATOS_[[Sexo]:[Sexo]]=$B103,IF(DATOS_[[AGRUP. VALOR. PTO.]:[AGRUP. VALOR. PTO.]]=$B102,IF(DATOS_[[Check Periodo Ref.]:[Check Periodo Ref.]]="Dentro",IF(DATOS_[[Check Equiparado]:[Check Equiparado]]="Sí",IF(DATOS!BK$4="Sí",(1/DATOS_[[% anualiz]:[% anualiz]]),1)*IF(DATOS!BK$5="Sí",1/DATOS_[[% normaliz]:[% normaliz]],1)*(DATOS_[C.Extra.03])))))))), 0)</f>
        <v>0</v>
      </c>
      <c r="AS103" s="303" t="n">
        <f aca="false" t="array" ref="AS103:AS103">IFERROR( (AVERAGE((IF(DATOS_[[Sexo]:[Sexo]]=$B103,IF(DATOS_[[AGRUP. VALOR. PTO.]:[AGRUP. VALOR. PTO.]]=$B102,IF(DATOS_[[Check Periodo Ref.]:[Check Periodo Ref.]]="Dentro",IF(DATOS_[[Check Equiparado]:[Check Equiparado]]="Sí",IF(DATOS!BL$4="Sí",(1/DATOS_[[% anualiz]:[% anualiz]]),1)*IF(DATOS!BL$5="Sí",1/DATOS_[[% normaliz]:[% normaliz]],1)*(DATOS_[C.Extra.04])))))))), 0)</f>
        <v>0</v>
      </c>
      <c r="AT103" s="303" t="n">
        <f aca="false" t="array" ref="AT103:AT103">IFERROR( (AVERAGE((IF(DATOS_[[Sexo]:[Sexo]]=$B103,IF(DATOS_[[AGRUP. VALOR. PTO.]:[AGRUP. VALOR. PTO.]]=$B102,IF(DATOS_[[Check Periodo Ref.]:[Check Periodo Ref.]]="Dentro",IF(DATOS_[[Check Equiparado]:[Check Equiparado]]="Sí",IF(DATOS!BM$4="Sí",(1/DATOS_[[% anualiz]:[% anualiz]]),1)*IF(DATOS!BM$5="Sí",1/DATOS_[[% normaliz]:[% normaliz]],1)*(DATOS_[C.Extra.05])))))))), 0)</f>
        <v>0</v>
      </c>
      <c r="AU103" s="297" t="n">
        <f aca="false" t="array" ref="AU103:AU103">IFERROR( AVERAGE(IF(DATOS_[Sexo]=$B103,IF(DATOS_[[AGRUP. VALOR. PTO.]:[AGRUP. VALOR. PTO.]]=$B102,IF(DATOS_[Check Equiparado]="Sí",IF(DATOS_[Check Periodo Ref.]="Dentro",DATOS_[Tot Extrasalarial Eq],0))))), 0)</f>
        <v>0</v>
      </c>
      <c r="AV103" s="298" t="n">
        <f aca="false" t="array" ref="AV103:AV103">IFERROR( AVERAGE(IF(DATOS_[Sexo]=$B103,IF(DATOS_[[AGRUP. VALOR. PTO.]:[AGRUP. VALOR. PTO.]]=$B102,IF(DATOS_[Check Equiparado]="Sí",IF(DATOS_[Check Periodo Ref.]="Dentro",DATOS_[TOTAL Retrib Eq],0))))), 0)</f>
        <v>0</v>
      </c>
    </row>
    <row r="104" customFormat="false" ht="14.25" hidden="false" customHeight="false" outlineLevel="0" collapsed="false">
      <c r="A104" s="166" t="str">
        <f aca="false">+A103</f>
        <v>[ocultar]</v>
      </c>
      <c r="B104" s="289" t="s">
        <v>372</v>
      </c>
      <c r="C104" s="290" t="n">
        <f aca="false" t="array" ref="C104:C104">SUM(IF($B104=DATOS_[Sexo], IF($B102=DATOS_[AGRUP. VALOR. PTO.], IF("Dentro"=DATOS_[Check Periodo Ref.], 1/(COUNTIFS(DATOS_[Sexo],$B104,DATOS_[AGRUP. VALOR. PTO.],$B102,DATOS_[Check Periodo Ref.],"Dentro",DATOS_[id],DATOS_[id]))))))</f>
        <v>0</v>
      </c>
      <c r="D104" s="291" t="n">
        <f aca="false">COUNTIFS(DATOS_[AGRUP. VALOR. PTO.],$B102,DATOS_[Sexo],$B104,DATOS_[Check Periodo Ref.],"Dentro")</f>
        <v>0</v>
      </c>
      <c r="E104" s="291" t="n">
        <f aca="false">COUNTIFS(DATOS_[AGRUP. VALOR. PTO.],$B102,DATOS_[Sexo],$B104,DATOS_[Check Periodo Ref.],"Dentro",DATOS_[Check Nº SC Norm],"Sí")</f>
        <v>0</v>
      </c>
      <c r="F104" s="291" t="n">
        <f aca="false">COUNTIFS(DATOS_[AGRUP. VALOR. PTO.],$B102,DATOS_[Sexo],$B104,DATOS_[Check Periodo Ref.],"Dentro",DATOS_[Check Nº SC Anualiz],"Sí")</f>
        <v>0</v>
      </c>
      <c r="G104" s="291" t="n">
        <f aca="false">COUNTIFS(DATOS_[AGRUP. VALOR. PTO.],$B102,DATOS_[Sexo],$B104,DATOS_[Check Periodo Ref.],"Dentro",DATOS_[Check Nº SC Norm y Anualiz],"Sí")</f>
        <v>0</v>
      </c>
      <c r="H104" s="291" t="n">
        <f aca="false">COUNTIFS(DATOS_[AGRUP. VALOR. PTO.],$B102,DATOS_[Sexo],$B104,DATOS_[Check Periodo Ref.],"Dentro",DATOS_[Check Equiparación],"Sí")</f>
        <v>0</v>
      </c>
      <c r="I104" s="292" t="n">
        <f aca="false" t="array" ref="I104:I104">IFERROR( AVERAGE(IF(DATOS_[Sexo]=$B104,IF(DATOS_[[AGRUP. VALOR. PTO.]:[AGRUP. VALOR. PTO.]]=$B102,IF(DATOS_[Check Equiparado]="Sí",IF(DATOS_[Check Periodo Ref.]="Dentro",DATOS_[SALARIO BASE Eq],0))))), 0)</f>
        <v>0</v>
      </c>
      <c r="J104" s="302" t="n">
        <f aca="false" t="array" ref="J104:J104">IFERROR( (AVERAGE((IF(DATOS_[[Sexo]:[Sexo]]=$B104,IF(DATOS_[[AGRUP. VALOR. PTO.]:[AGRUP. VALOR. PTO.]]=$B102,IF(DATOS_[[Check Periodo Ref.]:[Check Periodo Ref.]]="Dentro",IF(DATOS_[[Check Equiparado]:[Check Equiparado]]="Sí",IF(DATOS!AE$4="Sí",(1/DATOS_[[% anualiz]:[% anualiz]]),1)*IF(DATOS!AE$5="Sí",1/DATOS_[[% normaliz]:[% normaliz]],1)*(DATOS_[Conc.Sal.01])))))))), 0)</f>
        <v>0</v>
      </c>
      <c r="K104" s="302" t="n">
        <f aca="false" t="array" ref="K104:K104">IFERROR( (AVERAGE((IF(DATOS_[[Sexo]:[Sexo]]=$B104,IF(DATOS_[[AGRUP. VALOR. PTO.]:[AGRUP. VALOR. PTO.]]=$B102,IF(DATOS_[[Check Periodo Ref.]:[Check Periodo Ref.]]="Dentro",IF(DATOS_[[Check Equiparado]:[Check Equiparado]]="Sí",IF(DATOS!AF$4="Sí",(1/DATOS_[[% anualiz]:[% anualiz]]),1)*IF(DATOS!AF$5="Sí",1/DATOS_[[% normaliz]:[% normaliz]],1)*(DATOS_[Conc.Sal.02])))))))), 0)</f>
        <v>0</v>
      </c>
      <c r="L104" s="302" t="n">
        <f aca="false" t="array" ref="L104:L104">IFERROR( (AVERAGE((IF(DATOS_[[Sexo]:[Sexo]]=$B104,IF(DATOS_[[AGRUP. VALOR. PTO.]:[AGRUP. VALOR. PTO.]]=$B102,IF(DATOS_[[Check Periodo Ref.]:[Check Periodo Ref.]]="Dentro",IF(DATOS_[[Check Equiparado]:[Check Equiparado]]="Sí",IF(DATOS!AG$4="Sí",(1/DATOS_[[% anualiz]:[% anualiz]]),1)*IF(DATOS!AG$5="Sí",1/DATOS_[[% normaliz]:[% normaliz]],1)*(DATOS_[Conc.Sal.03])))))))), 0)</f>
        <v>0</v>
      </c>
      <c r="M104" s="302" t="n">
        <f aca="false" t="array" ref="M104:M104">IFERROR( (AVERAGE((IF(DATOS_[[Sexo]:[Sexo]]=$B104,IF(DATOS_[[AGRUP. VALOR. PTO.]:[AGRUP. VALOR. PTO.]]=$B102,IF(DATOS_[[Check Periodo Ref.]:[Check Periodo Ref.]]="Dentro",IF(DATOS_[[Check Equiparado]:[Check Equiparado]]="Sí",IF(DATOS!AH$4="Sí",(1/DATOS_[[% anualiz]:[% anualiz]]),1)*IF(DATOS!AH$5="Sí",1/DATOS_[[% normaliz]:[% normaliz]],1)*(DATOS_[Conc.Sal.04])))))))), 0)</f>
        <v>0</v>
      </c>
      <c r="N104" s="302" t="n">
        <f aca="false" t="array" ref="N104:N104">IFERROR( (AVERAGE((IF(DATOS_[[Sexo]:[Sexo]]=$B104,IF(DATOS_[[AGRUP. VALOR. PTO.]:[AGRUP. VALOR. PTO.]]=$B102,IF(DATOS_[[Check Periodo Ref.]:[Check Periodo Ref.]]="Dentro",IF(DATOS_[[Check Equiparado]:[Check Equiparado]]="Sí",IF(DATOS!AI$4="Sí",(1/DATOS_[[% anualiz]:[% anualiz]]),1)*IF(DATOS!AI$5="Sí",1/DATOS_[[% normaliz]:[% normaliz]],1)*(DATOS_[Conc.Sal.05])))))))), 0)</f>
        <v>0</v>
      </c>
      <c r="O104" s="302" t="n">
        <f aca="false" t="array" ref="O104:O104">IFERROR( (AVERAGE((IF(DATOS_[[Sexo]:[Sexo]]=$B104,IF(DATOS_[[AGRUP. VALOR. PTO.]:[AGRUP. VALOR. PTO.]]=$B102,IF(DATOS_[[Check Periodo Ref.]:[Check Periodo Ref.]]="Dentro",IF(DATOS_[[Check Equiparado]:[Check Equiparado]]="Sí",IF(DATOS!AJ$4="Sí",(1/DATOS_[[% anualiz]:[% anualiz]]),1)*IF(DATOS!AJ$5="Sí",1/DATOS_[[% normaliz]:[% normaliz]],1)*(DATOS_[Conc.Sal.06])))))))), 0)</f>
        <v>0</v>
      </c>
      <c r="P104" s="302" t="n">
        <f aca="false" t="array" ref="P104:P104">IFERROR( (AVERAGE((IF(DATOS_[[Sexo]:[Sexo]]=$B104,IF(DATOS_[[AGRUP. VALOR. PTO.]:[AGRUP. VALOR. PTO.]]=$B102,IF(DATOS_[[Check Periodo Ref.]:[Check Periodo Ref.]]="Dentro",IF(DATOS_[[Check Equiparado]:[Check Equiparado]]="Sí",IF(DATOS!AK$4="Sí",(1/DATOS_[[% anualiz]:[% anualiz]]),1)*IF(DATOS!AK$5="Sí",1/DATOS_[[% normaliz]:[% normaliz]],1)*(DATOS_[Conc.Sal.07])))))))), 0)</f>
        <v>0</v>
      </c>
      <c r="Q104" s="302" t="n">
        <f aca="false" t="array" ref="Q104:Q104">IFERROR( (AVERAGE((IF(DATOS_[[Sexo]:[Sexo]]=$B104,IF(DATOS_[[AGRUP. VALOR. PTO.]:[AGRUP. VALOR. PTO.]]=$B102,IF(DATOS_[[Check Periodo Ref.]:[Check Periodo Ref.]]="Dentro",IF(DATOS_[[Check Equiparado]:[Check Equiparado]]="Sí",IF(DATOS!AL$4="Sí",(1/DATOS_[[% anualiz]:[% anualiz]]),1)*IF(DATOS!AL$5="Sí",1/DATOS_[[% normaliz]:[% normaliz]],1)*(DATOS_[Conc.Sal.08])))))))), 0)</f>
        <v>0</v>
      </c>
      <c r="R104" s="302" t="n">
        <f aca="false" t="array" ref="R104:R104">IFERROR( (AVERAGE((IF(DATOS_[[Sexo]:[Sexo]]=$B104,IF(DATOS_[[AGRUP. VALOR. PTO.]:[AGRUP. VALOR. PTO.]]=$B102,IF(DATOS_[[Check Periodo Ref.]:[Check Periodo Ref.]]="Dentro",IF(DATOS_[[Check Equiparado]:[Check Equiparado]]="Sí",IF(DATOS!AM$4="Sí",(1/DATOS_[[% anualiz]:[% anualiz]]),1)*IF(DATOS!AM$5="Sí",1/DATOS_[[% normaliz]:[% normaliz]],1)*(DATOS_[Conc.Sal.09])))))))), 0)</f>
        <v>0</v>
      </c>
      <c r="S104" s="302" t="n">
        <f aca="false" t="array" ref="S104:S104">IFERROR( (AVERAGE((IF(DATOS_[[Sexo]:[Sexo]]=$B104,IF(DATOS_[[AGRUP. VALOR. PTO.]:[AGRUP. VALOR. PTO.]]=$B102,IF(DATOS_[[Check Periodo Ref.]:[Check Periodo Ref.]]="Dentro",IF(DATOS_[[Check Equiparado]:[Check Equiparado]]="Sí",IF(DATOS!AN$4="Sí",(1/DATOS_[[% anualiz]:[% anualiz]]),1)*IF(DATOS!AN$5="Sí",1/DATOS_[[% normaliz]:[% normaliz]],1)*(DATOS_[Conc.Sal.10])))))))), 0)</f>
        <v>0</v>
      </c>
      <c r="T104" s="302" t="n">
        <f aca="false" t="array" ref="T104:T104">IFERROR( (AVERAGE((IF(DATOS_[[Sexo]:[Sexo]]=$B104,IF(DATOS_[[AGRUP. VALOR. PTO.]:[AGRUP. VALOR. PTO.]]=$B102,IF(DATOS_[[Check Periodo Ref.]:[Check Periodo Ref.]]="Dentro",IF(DATOS_[[Check Equiparado]:[Check Equiparado]]="Sí",IF(DATOS!AO$4="Sí",(1/DATOS_[[% anualiz]:[% anualiz]]),1)*IF(DATOS!AO$5="Sí",1/DATOS_[[% normaliz]:[% normaliz]],1)*(DATOS_[Conc.Sal.11])))))))), 0)</f>
        <v>0</v>
      </c>
      <c r="U104" s="302" t="n">
        <f aca="false" t="array" ref="U104:U104">IFERROR( (AVERAGE((IF(DATOS_[[Sexo]:[Sexo]]=$B104,IF(DATOS_[[AGRUP. VALOR. PTO.]:[AGRUP. VALOR. PTO.]]=$B102,IF(DATOS_[[Check Periodo Ref.]:[Check Periodo Ref.]]="Dentro",IF(DATOS_[[Check Equiparado]:[Check Equiparado]]="Sí",IF(DATOS!AP$4="Sí",(1/DATOS_[[% anualiz]:[% anualiz]]),1)*IF(DATOS!AP$5="Sí",1/DATOS_[[% normaliz]:[% normaliz]],1)*(DATOS_[Conc.Sal.12])))))))), 0)</f>
        <v>0</v>
      </c>
      <c r="V104" s="302" t="n">
        <f aca="false" t="array" ref="V104:V104">IFERROR( (AVERAGE((IF(DATOS_[[Sexo]:[Sexo]]=$B104,IF(DATOS_[[AGRUP. VALOR. PTO.]:[AGRUP. VALOR. PTO.]]=$B102,IF(DATOS_[[Check Periodo Ref.]:[Check Periodo Ref.]]="Dentro",IF(DATOS_[[Check Equiparado]:[Check Equiparado]]="Sí",IF(DATOS!AQ$4="Sí",(1/DATOS_[[% anualiz]:[% anualiz]]),1)*IF(DATOS!AQ$5="Sí",1/DATOS_[[% normaliz]:[% normaliz]],1)*(DATOS_[Conc.Sal.13])))))))), 0)</f>
        <v>0</v>
      </c>
      <c r="W104" s="302" t="n">
        <f aca="false" t="array" ref="W104:W104">IFERROR( (AVERAGE((IF(DATOS_[[Sexo]:[Sexo]]=$B104,IF(DATOS_[[AGRUP. VALOR. PTO.]:[AGRUP. VALOR. PTO.]]=$B102,IF(DATOS_[[Check Periodo Ref.]:[Check Periodo Ref.]]="Dentro",IF(DATOS_[[Check Equiparado]:[Check Equiparado]]="Sí",IF(DATOS!AR$4="Sí",(1/DATOS_[[% anualiz]:[% anualiz]]),1)*IF(DATOS!AR$5="Sí",1/DATOS_[[% normaliz]:[% normaliz]],1)*(DATOS_[Conc.Sal.14])))))))), 0)</f>
        <v>0</v>
      </c>
      <c r="X104" s="302" t="n">
        <f aca="false" t="array" ref="X104:X104">IFERROR( (AVERAGE((IF(DATOS_[[Sexo]:[Sexo]]=$B104,IF(DATOS_[[AGRUP. VALOR. PTO.]:[AGRUP. VALOR. PTO.]]=$B102,IF(DATOS_[[Check Periodo Ref.]:[Check Periodo Ref.]]="Dentro",IF(DATOS_[[Check Equiparado]:[Check Equiparado]]="Sí",IF(DATOS!AS$4="Sí",(1/DATOS_[[% anualiz]:[% anualiz]]),1)*IF(DATOS!AS$5="Sí",1/DATOS_[[% normaliz]:[% normaliz]],1)*(DATOS_[Conc.Sal.15])))))))), 0)</f>
        <v>0</v>
      </c>
      <c r="Y104" s="302" t="n">
        <f aca="false" t="array" ref="Y104:Y104">IFERROR( (AVERAGE((IF(DATOS_[[Sexo]:[Sexo]]=$B104,IF(DATOS_[[AGRUP. VALOR. PTO.]:[AGRUP. VALOR. PTO.]]=$B102,IF(DATOS_[[Check Periodo Ref.]:[Check Periodo Ref.]]="Dentro",IF(DATOS_[[Check Equiparado]:[Check Equiparado]]="Sí",IF(DATOS!AT$4="Sí",(1/DATOS_[[% anualiz]:[% anualiz]]),1)*IF(DATOS!AT$5="Sí",1/DATOS_[[% normaliz]:[% normaliz]],1)*(DATOS_[Conc.Sal.16])))))))), 0)</f>
        <v>0</v>
      </c>
      <c r="Z104" s="302" t="n">
        <f aca="false" t="array" ref="Z104:Z104">IFERROR( (AVERAGE((IF(DATOS_[[Sexo]:[Sexo]]=$B104,IF(DATOS_[[AGRUP. VALOR. PTO.]:[AGRUP. VALOR. PTO.]]=$B102,IF(DATOS_[[Check Periodo Ref.]:[Check Periodo Ref.]]="Dentro",IF(DATOS_[[Check Equiparado]:[Check Equiparado]]="Sí",IF(DATOS!AU$4="Sí",(1/DATOS_[[% anualiz]:[% anualiz]]),1)*IF(DATOS!AU$5="Sí",1/DATOS_[[% normaliz]:[% normaliz]],1)*(DATOS_[Conc.Sal.17])))))))), 0)</f>
        <v>0</v>
      </c>
      <c r="AA104" s="302" t="n">
        <f aca="false" t="array" ref="AA104:AA104">IFERROR( (AVERAGE((IF(DATOS_[[Sexo]:[Sexo]]=$B104,IF(DATOS_[[AGRUP. VALOR. PTO.]:[AGRUP. VALOR. PTO.]]=$B102,IF(DATOS_[[Check Periodo Ref.]:[Check Periodo Ref.]]="Dentro",IF(DATOS_[[Check Equiparado]:[Check Equiparado]]="Sí",IF(DATOS!AV$4="Sí",(1/DATOS_[[% anualiz]:[% anualiz]]),1)*IF(DATOS!AV$5="Sí",1/DATOS_[[% normaliz]:[% normaliz]],1)*(DATOS_[Conc.Sal.18])))))))), 0)</f>
        <v>0</v>
      </c>
      <c r="AB104" s="302" t="n">
        <f aca="false" t="array" ref="AB104:AB104">IFERROR( (AVERAGE((IF(DATOS_[[Sexo]:[Sexo]]=$B104,IF(DATOS_[[AGRUP. VALOR. PTO.]:[AGRUP. VALOR. PTO.]]=$B102,IF(DATOS_[[Check Periodo Ref.]:[Check Periodo Ref.]]="Dentro",IF(DATOS_[[Check Equiparado]:[Check Equiparado]]="Sí",IF(DATOS!AW$4="Sí",(1/DATOS_[[% anualiz]:[% anualiz]]),1)*IF(DATOS!AW$5="Sí",1/DATOS_[[% normaliz]:[% normaliz]],1)*(DATOS_[Conc.Sal.19])))))))), 0)</f>
        <v>0</v>
      </c>
      <c r="AC104" s="302" t="n">
        <f aca="false" t="array" ref="AC104:AC104">IFERROR( (AVERAGE((IF(DATOS_[[Sexo]:[Sexo]]=$B104,IF(DATOS_[[AGRUP. VALOR. PTO.]:[AGRUP. VALOR. PTO.]]=$B102,IF(DATOS_[[Check Periodo Ref.]:[Check Periodo Ref.]]="Dentro",IF(DATOS_[[Check Equiparado]:[Check Equiparado]]="Sí",IF(DATOS!AX$4="Sí",(1/DATOS_[[% anualiz]:[% anualiz]]),1)*IF(DATOS!AX$5="Sí",1/DATOS_[[% normaliz]:[% normaliz]],1)*(DATOS_[Conc.Sal.20])))))))), 0)</f>
        <v>0</v>
      </c>
      <c r="AD104" s="302" t="n">
        <f aca="false" t="array" ref="AD104:AD104">IFERROR( (AVERAGE((IF(DATOS_[[Sexo]:[Sexo]]=$B104,IF(DATOS_[[AGRUP. VALOR. PTO.]:[AGRUP. VALOR. PTO.]]=$B102,IF(DATOS_[[Check Periodo Ref.]:[Check Periodo Ref.]]="Dentro",IF(DATOS_[[Check Equiparado]:[Check Equiparado]]="Sí",IF(DATOS!AY$4="Sí",(1/DATOS_[[% anualiz]:[% anualiz]]),1)*IF(DATOS!AY$5="Sí",1/DATOS_[[% normaliz]:[% normaliz]],1)*(DATOS_[Conc.Sal.21])))))))), 0)</f>
        <v>0</v>
      </c>
      <c r="AE104" s="302" t="n">
        <f aca="false" t="array" ref="AE104:AE104">IFERROR( (AVERAGE((IF(DATOS_[[Sexo]:[Sexo]]=$B104,IF(DATOS_[[AGRUP. VALOR. PTO.]:[AGRUP. VALOR. PTO.]]=$B102,IF(DATOS_[[Check Periodo Ref.]:[Check Periodo Ref.]]="Dentro",IF(DATOS_[[Check Equiparado]:[Check Equiparado]]="Sí",IF(DATOS!AZ$4="Sí",(1/DATOS_[[% anualiz]:[% anualiz]]),1)*IF(DATOS!AZ$5="Sí",1/DATOS_[[% normaliz]:[% normaliz]],1)*(DATOS_[Conc.Sal.22])))))))), 0)</f>
        <v>0</v>
      </c>
      <c r="AF104" s="302" t="n">
        <f aca="false" t="array" ref="AF104:AF104">IFERROR( (AVERAGE((IF(DATOS_[[Sexo]:[Sexo]]=$B104,IF(DATOS_[[AGRUP. VALOR. PTO.]:[AGRUP. VALOR. PTO.]]=$B102,IF(DATOS_[[Check Periodo Ref.]:[Check Periodo Ref.]]="Dentro",IF(DATOS_[[Check Equiparado]:[Check Equiparado]]="Sí",IF(DATOS!BA$4="Sí",(1/DATOS_[[% anualiz]:[% anualiz]]),1)*IF(DATOS!BA$5="Sí",1/DATOS_[[% normaliz]:[% normaliz]],1)*(DATOS_[Conc.Sal.23])))))))), 0)</f>
        <v>0</v>
      </c>
      <c r="AG104" s="302" t="n">
        <f aca="false" t="array" ref="AG104:AG104">IFERROR( (AVERAGE((IF(DATOS_[[Sexo]:[Sexo]]=$B104,IF(DATOS_[[AGRUP. VALOR. PTO.]:[AGRUP. VALOR. PTO.]]=$B102,IF(DATOS_[[Check Periodo Ref.]:[Check Periodo Ref.]]="Dentro",IF(DATOS_[[Check Equiparado]:[Check Equiparado]]="Sí",IF(DATOS!BB$4="Sí",(1/DATOS_[[% anualiz]:[% anualiz]]),1)*IF(DATOS!BB$5="Sí",1/DATOS_[[% normaliz]:[% normaliz]],1)*(DATOS_[Conc.Sal.24])))))))), 0)</f>
        <v>0</v>
      </c>
      <c r="AH104" s="302" t="n">
        <f aca="false" t="array" ref="AH104:AH104">IFERROR( (AVERAGE((IF(DATOS_[[Sexo]:[Sexo]]=$B104,IF(DATOS_[[AGRUP. VALOR. PTO.]:[AGRUP. VALOR. PTO.]]=$B102,IF(DATOS_[[Check Periodo Ref.]:[Check Periodo Ref.]]="Dentro",IF(DATOS_[[Check Equiparado]:[Check Equiparado]]="Sí",IF(DATOS!BC$4="Sí",(1/DATOS_[[% anualiz]:[% anualiz]]),1)*IF(DATOS!BC$5="Sí",1/DATOS_[[% normaliz]:[% normaliz]],1)*(DATOS_[Conc.Sal.25])))))))), 0)</f>
        <v>0</v>
      </c>
      <c r="AI104" s="302" t="n">
        <f aca="false" t="array" ref="AI104:AI104">IFERROR( (AVERAGE((IF(DATOS_[[Sexo]:[Sexo]]=$B104,IF(DATOS_[[AGRUP. VALOR. PTO.]:[AGRUP. VALOR. PTO.]]=$B102,IF(DATOS_[[Check Periodo Ref.]:[Check Periodo Ref.]]="Dentro",IF(DATOS_[[Check Equiparado]:[Check Equiparado]]="Sí",IF(DATOS!BD$4="Sí",(1/DATOS_[[% anualiz]:[% anualiz]]),1)*IF(DATOS!BD$5="Sí",1/DATOS_[[% normaliz]:[% normaliz]],1)*(DATOS_[Conc.Sal.26])))))))), 0)</f>
        <v>0</v>
      </c>
      <c r="AJ104" s="302" t="n">
        <f aca="false" t="array" ref="AJ104:AJ104">IFERROR( (AVERAGE((IF(DATOS_[[Sexo]:[Sexo]]=$B104,IF(DATOS_[[AGRUP. VALOR. PTO.]:[AGRUP. VALOR. PTO.]]=$B102,IF(DATOS_[[Check Periodo Ref.]:[Check Periodo Ref.]]="Dentro",IF(DATOS_[[Check Equiparado]:[Check Equiparado]]="Sí",IF(DATOS!BE$4="Sí",(1/DATOS_[[% anualiz]:[% anualiz]]),1)*IF(DATOS!BE$5="Sí",1/DATOS_[[% normaliz]:[% normaliz]],1)*(DATOS_[Conc.Sal.27])))))))), 0)</f>
        <v>0</v>
      </c>
      <c r="AK104" s="302" t="n">
        <f aca="false" t="array" ref="AK104:AK104">IFERROR( (AVERAGE((IF(DATOS_[[Sexo]:[Sexo]]=$B104,IF(DATOS_[[AGRUP. VALOR. PTO.]:[AGRUP. VALOR. PTO.]]=$B102,IF(DATOS_[[Check Periodo Ref.]:[Check Periodo Ref.]]="Dentro",IF(DATOS_[[Check Equiparado]:[Check Equiparado]]="Sí",IF(DATOS!BF$4="Sí",(1/DATOS_[[% anualiz]:[% anualiz]]),1)*IF(DATOS!BF$5="Sí",1/DATOS_[[% normaliz]:[% normaliz]],1)*(DATOS_[Conc.Sal.28])))))))), 0)</f>
        <v>0</v>
      </c>
      <c r="AL104" s="302" t="n">
        <f aca="false" t="array" ref="AL104:AL104">IFERROR( (AVERAGE((IF(DATOS_[[Sexo]:[Sexo]]=$B104,IF(DATOS_[[AGRUP. VALOR. PTO.]:[AGRUP. VALOR. PTO.]]=$B102,IF(DATOS_[[Check Periodo Ref.]:[Check Periodo Ref.]]="Dentro",IF(DATOS_[[Check Equiparado]:[Check Equiparado]]="Sí",IF(DATOS!BG$4="Sí",(1/DATOS_[[% anualiz]:[% anualiz]]),1)*IF(DATOS!BG$5="Sí",1/DATOS_[[% normaliz]:[% normaliz]],1)*(DATOS_[Conc.Sal.29])))))))), 0)</f>
        <v>0</v>
      </c>
      <c r="AM104" s="302" t="n">
        <f aca="false" t="array" ref="AM104:AM104">IFERROR( (AVERAGE((IF(DATOS_[[Sexo]:[Sexo]]=$B104,IF(DATOS_[[AGRUP. VALOR. PTO.]:[AGRUP. VALOR. PTO.]]=$B102,IF(DATOS_[[Check Periodo Ref.]:[Check Periodo Ref.]]="Dentro",IF(DATOS_[[Check Equiparado]:[Check Equiparado]]="Sí",IF(DATOS!BH$4="Sí",(1/DATOS_[[% anualiz]:[% anualiz]]),1)*IF(DATOS!BH$5="Sí",1/DATOS_[[% normaliz]:[% normaliz]],1)*(DATOS_[Conc.Sal.30])))))))), 0)</f>
        <v>0</v>
      </c>
      <c r="AN104" s="294" t="n">
        <f aca="false" t="array" ref="AN104:AN104">IFERROR( AVERAGE(IF(DATOS_[Sexo]=$B104,IF(DATOS_[[AGRUP. VALOR. PTO.]:[AGRUP. VALOR. PTO.]]=$B102,IF(DATOS_[Check Equiparado]="Sí",IF(DATOS_[Check Periodo Ref.]="Dentro",DATOS_[Tot COMPL.SAL Eq],0))))), 0)</f>
        <v>0</v>
      </c>
      <c r="AO104" s="295" t="n">
        <f aca="false" t="array" ref="AO104:AO104">IFERROR( AVERAGE(IF(DATOS_[Sexo]=$B104,IF(DATOS_[[AGRUP. VALOR. PTO.]:[AGRUP. VALOR. PTO.]]=$B102,IF(DATOS_[Check Equiparado]="Sí",IF(DATOS_[Check Periodo Ref.]="Dentro",DATOS_[TOTAL SALARIO Eq],0))))), 0)</f>
        <v>0</v>
      </c>
      <c r="AP104" s="303" t="n">
        <f aca="false" t="array" ref="AP104:AP104">IFERROR( (AVERAGE((IF(DATOS_[[Sexo]:[Sexo]]=$B104,IF(DATOS_[[AGRUP. VALOR. PTO.]:[AGRUP. VALOR. PTO.]]=$B103,IF(DATOS_[[Check Periodo Ref.]:[Check Periodo Ref.]]="Dentro",IF(DATOS_[[Check Equiparado]:[Check Equiparado]]="Sí",IF(DATOS!BI$4="Sí",(1/DATOS_[[% anualiz]:[% anualiz]]),1)*IF(DATOS!BI$5="Sí",1/DATOS_[[% normaliz]:[% normaliz]],1)*(DATOS_[C.Extra.01])))))))), 0)</f>
        <v>0</v>
      </c>
      <c r="AQ104" s="303" t="n">
        <f aca="false" t="array" ref="AQ104:AQ104">IFERROR( (AVERAGE((IF(DATOS_[[Sexo]:[Sexo]]=$B104,IF(DATOS_[[AGRUP. VALOR. PTO.]:[AGRUP. VALOR. PTO.]]=$B103,IF(DATOS_[[Check Periodo Ref.]:[Check Periodo Ref.]]="Dentro",IF(DATOS_[[Check Equiparado]:[Check Equiparado]]="Sí",IF(DATOS!BJ$4="Sí",(1/DATOS_[[% anualiz]:[% anualiz]]),1)*IF(DATOS!BJ$5="Sí",1/DATOS_[[% normaliz]:[% normaliz]],1)*(DATOS_[C.Extra.02])))))))), 0)</f>
        <v>0</v>
      </c>
      <c r="AR104" s="303" t="n">
        <f aca="false" t="array" ref="AR104:AR104">IFERROR( (AVERAGE((IF(DATOS_[[Sexo]:[Sexo]]=$B104,IF(DATOS_[[AGRUP. VALOR. PTO.]:[AGRUP. VALOR. PTO.]]=$B103,IF(DATOS_[[Check Periodo Ref.]:[Check Periodo Ref.]]="Dentro",IF(DATOS_[[Check Equiparado]:[Check Equiparado]]="Sí",IF(DATOS!BK$4="Sí",(1/DATOS_[[% anualiz]:[% anualiz]]),1)*IF(DATOS!BK$5="Sí",1/DATOS_[[% normaliz]:[% normaliz]],1)*(DATOS_[C.Extra.03])))))))), 0)</f>
        <v>0</v>
      </c>
      <c r="AS104" s="303" t="n">
        <f aca="false" t="array" ref="AS104:AS104">IFERROR( (AVERAGE((IF(DATOS_[[Sexo]:[Sexo]]=$B104,IF(DATOS_[[AGRUP. VALOR. PTO.]:[AGRUP. VALOR. PTO.]]=$B103,IF(DATOS_[[Check Periodo Ref.]:[Check Periodo Ref.]]="Dentro",IF(DATOS_[[Check Equiparado]:[Check Equiparado]]="Sí",IF(DATOS!BL$4="Sí",(1/DATOS_[[% anualiz]:[% anualiz]]),1)*IF(DATOS!BL$5="Sí",1/DATOS_[[% normaliz]:[% normaliz]],1)*(DATOS_[C.Extra.04])))))))), 0)</f>
        <v>0</v>
      </c>
      <c r="AT104" s="303" t="n">
        <f aca="false" t="array" ref="AT104:AT104">IFERROR( (AVERAGE((IF(DATOS_[[Sexo]:[Sexo]]=$B104,IF(DATOS_[[AGRUP. VALOR. PTO.]:[AGRUP. VALOR. PTO.]]=$B103,IF(DATOS_[[Check Periodo Ref.]:[Check Periodo Ref.]]="Dentro",IF(DATOS_[[Check Equiparado]:[Check Equiparado]]="Sí",IF(DATOS!BM$4="Sí",(1/DATOS_[[% anualiz]:[% anualiz]]),1)*IF(DATOS!BM$5="Sí",1/DATOS_[[% normaliz]:[% normaliz]],1)*(DATOS_[C.Extra.05])))))))), 0)</f>
        <v>0</v>
      </c>
      <c r="AU104" s="297" t="n">
        <f aca="false" t="array" ref="AU104:AU104">IFERROR( AVERAGE(IF(DATOS_[Sexo]=$B104,IF(DATOS_[[AGRUP. VALOR. PTO.]:[AGRUP. VALOR. PTO.]]=$B102,IF(DATOS_[Check Equiparado]="Sí",IF(DATOS_[Check Periodo Ref.]="Dentro",DATOS_[Tot Extrasalarial Eq],0))))), 0)</f>
        <v>0</v>
      </c>
      <c r="AV104" s="298" t="n">
        <f aca="false" t="array" ref="AV104:AV104">IFERROR( AVERAGE(IF(DATOS_[Sexo]=$B104,IF(DATOS_[[AGRUP. VALOR. PTO.]:[AGRUP. VALOR. PTO.]]=$B102,IF(DATOS_[Check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V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5" activeCellId="0" sqref="G5"/>
    </sheetView>
  </sheetViews>
  <sheetFormatPr defaultColWidth="7.2578125" defaultRowHeight="14.25" zeroHeight="false" outlineLevelRow="0" outlineLevelCol="1"/>
  <cols>
    <col collapsed="false" customWidth="true" hidden="false" outlineLevel="0" max="1" min="1" style="217" width="8.87"/>
    <col collapsed="false" customWidth="true" hidden="false" outlineLevel="0" max="2" min="2" style="217" width="10.76"/>
    <col collapsed="false" customWidth="false" hidden="false" outlineLevel="0" max="8" min="3" style="217" width="7.26"/>
    <col collapsed="false" customWidth="true" hidden="false" outlineLevel="0" max="9" min="9" style="217" width="10.35"/>
    <col collapsed="false" customWidth="true" hidden="false" outlineLevel="0" max="12" min="10" style="217" width="7.4"/>
    <col collapsed="false" customWidth="true" hidden="false" outlineLevel="0" max="13" min="13" style="217" width="7.53"/>
    <col collapsed="false" customWidth="false" hidden="false" outlineLevel="0" max="18" min="14" style="217" width="7.26"/>
    <col collapsed="false" customWidth="true" hidden="true" outlineLevel="0" max="19" min="19" style="217" width="10.17"/>
    <col collapsed="false" customWidth="false" hidden="true" outlineLevel="1" max="39" min="20" style="217" width="7.26"/>
    <col collapsed="false" customWidth="true" hidden="false" outlineLevel="0" max="41" min="40" style="217" width="8.87"/>
    <col collapsed="false" customWidth="true" hidden="false" outlineLevel="0" max="42" min="42" style="217" width="9.01"/>
    <col collapsed="false" customWidth="true" hidden="true" outlineLevel="0" max="46" min="43" style="217" width="10.17"/>
    <col collapsed="false" customWidth="true" hidden="false" outlineLevel="0" max="48" min="47" style="217" width="8.87"/>
    <col collapsed="false" customWidth="false" hidden="false" outlineLevel="0" max="1024" min="49" style="217" width="7.26"/>
  </cols>
  <sheetData>
    <row r="1" s="166" customFormat="true" ht="42.6" hidden="false" customHeight="true" outlineLevel="0" collapsed="false">
      <c r="E1" s="167" t="s">
        <v>374</v>
      </c>
    </row>
    <row r="2" customFormat="false" ht="13.9" hidden="false" customHeight="true" outlineLevel="0" collapsed="false">
      <c r="K2" s="217" t="str">
        <f aca="false">+IF(K8="[ocultar]",K8,"")</f>
        <v>[ocultar]</v>
      </c>
      <c r="L2" s="217" t="str">
        <f aca="false">+IF(L8="[ocultar]",L8,"")</f>
        <v>[ocultar]</v>
      </c>
      <c r="M2" s="217" t="str">
        <f aca="false">+IF(M8="[ocultar]",M8,"")</f>
        <v>[ocultar]</v>
      </c>
      <c r="N2" s="217" t="str">
        <f aca="false">+IF(N8="[ocultar]",N8,"")</f>
        <v>[ocultar]</v>
      </c>
      <c r="O2" s="217" t="str">
        <f aca="false">+IF(O8="[ocultar]",O8,"")</f>
        <v>[ocultar]</v>
      </c>
      <c r="P2" s="217" t="str">
        <f aca="false">+IF(P8="[ocultar]",P8,"")</f>
        <v>[ocultar]</v>
      </c>
      <c r="Q2" s="217" t="str">
        <f aca="false">+IF(Q8="[ocultar]",Q8,"")</f>
        <v>[ocultar]</v>
      </c>
      <c r="R2" s="217" t="str">
        <f aca="false">+IF(R8="[ocultar]",R8,"")</f>
        <v>[ocultar]</v>
      </c>
      <c r="S2" s="217" t="str">
        <f aca="false">+IF(S8="[ocultar]",S8,"")</f>
        <v>[ocultar]</v>
      </c>
      <c r="T2" s="217" t="str">
        <f aca="false">+IF(T8="[ocultar]",T8,"")</f>
        <v>[ocultar]</v>
      </c>
      <c r="U2" s="217" t="str">
        <f aca="false">+IF(U8="[ocultar]",U8,"")</f>
        <v>[ocultar]</v>
      </c>
      <c r="V2" s="217" t="str">
        <f aca="false">+IF(V8="[ocultar]",V8,"")</f>
        <v>[ocultar]</v>
      </c>
      <c r="W2" s="217" t="str">
        <f aca="false">+IF(W8="[ocultar]",W8,"")</f>
        <v>[ocultar]</v>
      </c>
      <c r="X2" s="217" t="str">
        <f aca="false">+IF(X8="[ocultar]",X8,"")</f>
        <v>[ocultar]</v>
      </c>
      <c r="Y2" s="217" t="str">
        <f aca="false">+IF(Y8="[ocultar]",Y8,"")</f>
        <v>[ocultar]</v>
      </c>
      <c r="Z2" s="217" t="str">
        <f aca="false">+IF(Z8="[ocultar]",Z8,"")</f>
        <v>[ocultar]</v>
      </c>
      <c r="AA2" s="217" t="str">
        <f aca="false">+IF(AA8="[ocultar]",AA8,"")</f>
        <v>[ocultar]</v>
      </c>
      <c r="AB2" s="217" t="str">
        <f aca="false">+IF(AB8="[ocultar]",AB8,"")</f>
        <v>[ocultar]</v>
      </c>
      <c r="AC2" s="217" t="str">
        <f aca="false">+IF(AC8="[ocultar]",AC8,"")</f>
        <v>[ocultar]</v>
      </c>
      <c r="AD2" s="217" t="str">
        <f aca="false">+IF(AD8="[ocultar]",AD8,"")</f>
        <v>[ocultar]</v>
      </c>
      <c r="AE2" s="217" t="str">
        <f aca="false">+IF(AE8="[ocultar]",AE8,"")</f>
        <v>[ocultar]</v>
      </c>
      <c r="AF2" s="217" t="str">
        <f aca="false">+IF(AF8="[ocultar]",AF8,"")</f>
        <v>[ocultar]</v>
      </c>
      <c r="AG2" s="217" t="str">
        <f aca="false">+IF(AG8="[ocultar]",AG8,"")</f>
        <v>[ocultar]</v>
      </c>
      <c r="AH2" s="217" t="str">
        <f aca="false">+IF(AH8="[ocultar]",AH8,"")</f>
        <v>[ocultar]</v>
      </c>
      <c r="AI2" s="217" t="str">
        <f aca="false">+IF(AI8="[ocultar]",AI8,"")</f>
        <v>[ocultar]</v>
      </c>
      <c r="AJ2" s="217" t="str">
        <f aca="false">+IF(AJ8="[ocultar]",AJ8,"")</f>
        <v>[ocultar]</v>
      </c>
      <c r="AK2" s="217" t="str">
        <f aca="false">+IF(AK8="[ocultar]",AK8,"")</f>
        <v>[ocultar]</v>
      </c>
      <c r="AL2" s="217" t="str">
        <f aca="false">+IF(AL8="[ocultar]",AL8,"")</f>
        <v>[ocultar]</v>
      </c>
      <c r="AM2" s="217" t="str">
        <f aca="false">+IF(AM8="[ocultar]",AM8,"")</f>
        <v>[ocultar]</v>
      </c>
      <c r="AN2" s="217" t="str">
        <f aca="false">+IF(AN8="[ocultar]",AN8,"")</f>
        <v/>
      </c>
      <c r="AO2" s="217" t="str">
        <f aca="false">+IF(AO8="[ocultar]",AO8,"")</f>
        <v/>
      </c>
      <c r="AP2" s="217" t="str">
        <f aca="false">+IF(AP8="[ocultar]",AP8,"")</f>
        <v>[ocultar]</v>
      </c>
      <c r="AQ2" s="217" t="str">
        <f aca="false">+IF(AQ8="[ocultar]",AQ8,"")</f>
        <v>[ocultar]</v>
      </c>
      <c r="AR2" s="217" t="str">
        <f aca="false">+IF(AR8="[ocultar]",AR8,"")</f>
        <v>[ocultar]</v>
      </c>
      <c r="AS2" s="217" t="str">
        <f aca="false">+IF(AS8="[ocultar]",AS8,"")</f>
        <v>[ocultar]</v>
      </c>
      <c r="AT2" s="217" t="str">
        <f aca="false">+IF(AT8="[ocultar]",AT8,"")</f>
        <v>[ocultar]</v>
      </c>
    </row>
    <row r="3" customFormat="false" ht="13.9" hidden="false" customHeight="true" outlineLevel="0" collapsed="false">
      <c r="I3" s="304" t="str">
        <f aca="false">+"Razón Social: "&amp;Inicio!C6&amp;"  -  NIF: "&amp;Inicio!C8</f>
        <v>Razón Social:   -  NIF:</v>
      </c>
      <c r="J3" s="305"/>
    </row>
    <row r="4" customFormat="false" ht="13.9" hidden="false" customHeight="true" outlineLevel="0" collapsed="false">
      <c r="I4" s="306" t="s">
        <v>2</v>
      </c>
      <c r="J4" s="307"/>
    </row>
    <row r="5" customFormat="false" ht="13.9" hidden="false" customHeight="true" outlineLevel="0" collapsed="false">
      <c r="I5" s="308" t="n">
        <f aca="false">+Inicio!E10</f>
        <v>0</v>
      </c>
      <c r="J5" s="309" t="str">
        <f aca="false">+Inicio!D10</f>
        <v>fecha inicio</v>
      </c>
    </row>
    <row r="6" customFormat="false" ht="13.9" hidden="false" customHeight="true" outlineLevel="0" collapsed="false">
      <c r="I6" s="308" t="n">
        <f aca="false">+Inicio!G10</f>
        <v>0</v>
      </c>
      <c r="J6" s="310" t="s">
        <v>4</v>
      </c>
    </row>
    <row r="7" s="179" customFormat="true" ht="13.9" hidden="false" customHeight="true" outlineLevel="0" collapsed="false"/>
    <row r="8" s="311" customFormat="true" ht="46.15" hidden="false" customHeight="true" outlineLevel="0" collapsed="false">
      <c r="B8" s="312"/>
      <c r="C8" s="312" t="s">
        <v>368</v>
      </c>
      <c r="D8" s="312" t="s">
        <v>369</v>
      </c>
      <c r="E8" s="312" t="s">
        <v>260</v>
      </c>
      <c r="F8" s="312" t="s">
        <v>262</v>
      </c>
      <c r="G8" s="312" t="s">
        <v>264</v>
      </c>
      <c r="H8" s="312" t="s">
        <v>373</v>
      </c>
      <c r="I8" s="313" t="s">
        <v>268</v>
      </c>
      <c r="J8" s="314" t="str">
        <f aca="false">+IF(DATOS!AE6="","[ocultar]",DATOS!AE6)</f>
        <v>[ocultar]</v>
      </c>
      <c r="K8" s="314" t="str">
        <f aca="false">+IF(DATOS!AF6="","[ocultar]",DATOS!AF6)</f>
        <v>[ocultar]</v>
      </c>
      <c r="L8" s="314" t="str">
        <f aca="false">+IF(DATOS!AG6="","[ocultar]",DATOS!AG6)</f>
        <v>[ocultar]</v>
      </c>
      <c r="M8" s="314" t="str">
        <f aca="false">+IF(DATOS!AH6="","[ocultar]",DATOS!AH6)</f>
        <v>[ocultar]</v>
      </c>
      <c r="N8" s="314" t="str">
        <f aca="false">+IF(DATOS!AI6="","[ocultar]",DATOS!AI6)</f>
        <v>[ocultar]</v>
      </c>
      <c r="O8" s="314" t="str">
        <f aca="false">+IF(DATOS!AJ6="","[ocultar]",DATOS!AJ6)</f>
        <v>[ocultar]</v>
      </c>
      <c r="P8" s="314" t="str">
        <f aca="false">+IF(DATOS!AK6="","[ocultar]",DATOS!AK6)</f>
        <v>[ocultar]</v>
      </c>
      <c r="Q8" s="314" t="str">
        <f aca="false">+IF(DATOS!AL6="","[ocultar]",DATOS!AL6)</f>
        <v>[ocultar]</v>
      </c>
      <c r="R8" s="314" t="str">
        <f aca="false">+IF(DATOS!AM6="","[ocultar]",DATOS!AM6)</f>
        <v>[ocultar]</v>
      </c>
      <c r="S8" s="314" t="str">
        <f aca="false">+IF(DATOS!AN6="","[ocultar]",DATOS!AN6)</f>
        <v>[ocultar]</v>
      </c>
      <c r="T8" s="314" t="str">
        <f aca="false">+IF(DATOS!AO6="","[ocultar]",DATOS!AO6)</f>
        <v>[ocultar]</v>
      </c>
      <c r="U8" s="314" t="str">
        <f aca="false">+IF(DATOS!AP6="","[ocultar]",DATOS!AP6)</f>
        <v>[ocultar]</v>
      </c>
      <c r="V8" s="314" t="str">
        <f aca="false">+IF(DATOS!AQ6="","[ocultar]",DATOS!AQ6)</f>
        <v>[ocultar]</v>
      </c>
      <c r="W8" s="314" t="str">
        <f aca="false">+IF(DATOS!AR6="","[ocultar]",DATOS!AR6)</f>
        <v>[ocultar]</v>
      </c>
      <c r="X8" s="314" t="str">
        <f aca="false">+IF(DATOS!AS6="","[ocultar]",DATOS!AS6)</f>
        <v>[ocultar]</v>
      </c>
      <c r="Y8" s="314" t="str">
        <f aca="false">+IF(DATOS!AT6="","[ocultar]",DATOS!AT6)</f>
        <v>[ocultar]</v>
      </c>
      <c r="Z8" s="314" t="str">
        <f aca="false">+IF(DATOS!AU6="","[ocultar]",DATOS!AU6)</f>
        <v>[ocultar]</v>
      </c>
      <c r="AA8" s="314" t="str">
        <f aca="false">+IF(DATOS!AV6="","[ocultar]",DATOS!AV6)</f>
        <v>[ocultar]</v>
      </c>
      <c r="AB8" s="314" t="str">
        <f aca="false">+IF(DATOS!AW6="","[ocultar]",DATOS!AW6)</f>
        <v>[ocultar]</v>
      </c>
      <c r="AC8" s="314" t="str">
        <f aca="false">+IF(DATOS!AX6="","[ocultar]",DATOS!AX6)</f>
        <v>[ocultar]</v>
      </c>
      <c r="AD8" s="314" t="str">
        <f aca="false">+IF(DATOS!AY6="","[ocultar]",DATOS!AY6)</f>
        <v>[ocultar]</v>
      </c>
      <c r="AE8" s="314" t="str">
        <f aca="false">+IF(DATOS!AZ6="","[ocultar]",DATOS!AZ6)</f>
        <v>[ocultar]</v>
      </c>
      <c r="AF8" s="314" t="str">
        <f aca="false">+IF(DATOS!BA6="","[ocultar]",DATOS!BA6)</f>
        <v>[ocultar]</v>
      </c>
      <c r="AG8" s="314" t="str">
        <f aca="false">+IF(DATOS!BB6="","[ocultar]",DATOS!BB6)</f>
        <v>[ocultar]</v>
      </c>
      <c r="AH8" s="314" t="str">
        <f aca="false">+IF(DATOS!BC6="","[ocultar]",DATOS!BC6)</f>
        <v>[ocultar]</v>
      </c>
      <c r="AI8" s="314" t="str">
        <f aca="false">+IF(DATOS!BD6="","[ocultar]",DATOS!BD6)</f>
        <v>[ocultar]</v>
      </c>
      <c r="AJ8" s="314" t="str">
        <f aca="false">+IF(DATOS!BE6="","[ocultar]",DATOS!BE6)</f>
        <v>[ocultar]</v>
      </c>
      <c r="AK8" s="314" t="str">
        <f aca="false">+IF(DATOS!BF6="","[ocultar]",DATOS!BF6)</f>
        <v>[ocultar]</v>
      </c>
      <c r="AL8" s="314" t="str">
        <f aca="false">+IF(DATOS!BG6="","[ocultar]",DATOS!BG6)</f>
        <v>[ocultar]</v>
      </c>
      <c r="AM8" s="314" t="str">
        <f aca="false">+IF(DATOS!BH6="","[ocultar]",DATOS!BH6)</f>
        <v>[ocultar]</v>
      </c>
      <c r="AN8" s="315" t="s">
        <v>269</v>
      </c>
      <c r="AO8" s="316" t="s">
        <v>270</v>
      </c>
      <c r="AP8" s="317" t="str">
        <f aca="false">+IF(DATOS!BI6="","[ocultar]",DATOS!BI6)</f>
        <v>[ocultar]</v>
      </c>
      <c r="AQ8" s="317" t="str">
        <f aca="false">+IF(DATOS!BJ6="","[ocultar]",DATOS!BJ6)</f>
        <v>[ocultar]</v>
      </c>
      <c r="AR8" s="317" t="str">
        <f aca="false">+IF(DATOS!BK6="","[ocultar]",DATOS!BK6)</f>
        <v>[ocultar]</v>
      </c>
      <c r="AS8" s="317" t="str">
        <f aca="false">+IF(DATOS!BL6="","[ocultar]",DATOS!BL6)</f>
        <v>[ocultar]</v>
      </c>
      <c r="AT8" s="317" t="str">
        <f aca="false">+IF(DATOS!BM6="","[ocultar]",DATOS!BM6)</f>
        <v>[ocultar]</v>
      </c>
      <c r="AU8" s="318" t="s">
        <v>271</v>
      </c>
      <c r="AV8" s="319" t="s">
        <v>272</v>
      </c>
    </row>
    <row r="9" customFormat="false" ht="15.75" hidden="false" customHeight="false" outlineLevel="0" collapsed="false">
      <c r="B9" s="320" t="s">
        <v>370</v>
      </c>
      <c r="C9" s="236"/>
      <c r="D9" s="237"/>
      <c r="E9" s="237"/>
      <c r="F9" s="237"/>
      <c r="G9" s="237"/>
      <c r="H9" s="237"/>
      <c r="I9" s="238" t="str">
        <f aca="false">IFERROR((I10-I11)/I10,"")</f>
        <v/>
      </c>
      <c r="J9" s="321" t="str">
        <f aca="false">IFERROR((J10-J11)/J10,"")</f>
        <v/>
      </c>
      <c r="K9" s="322" t="str">
        <f aca="false">IFERROR((K10-K11)/K10,"")</f>
        <v/>
      </c>
      <c r="L9" s="322" t="str">
        <f aca="false">IFERROR((L10-L11)/L10,"")</f>
        <v/>
      </c>
      <c r="M9" s="322" t="str">
        <f aca="false">IFERROR((M10-M11)/M10,"")</f>
        <v/>
      </c>
      <c r="N9" s="240" t="str">
        <f aca="false">IFERROR((N10-N11)/N10,"")</f>
        <v/>
      </c>
      <c r="O9" s="239" t="str">
        <f aca="false">IFERROR((O10-O11)/O10,"")</f>
        <v/>
      </c>
      <c r="P9" s="239" t="str">
        <f aca="false">IFERROR((P10-P11)/P10,"")</f>
        <v/>
      </c>
      <c r="Q9" s="239" t="str">
        <f aca="false">IFERROR((Q10-Q11)/Q10,"")</f>
        <v/>
      </c>
      <c r="R9" s="239" t="str">
        <f aca="false">IFERROR((R10-R11)/R10,"")</f>
        <v/>
      </c>
      <c r="S9" s="239" t="str">
        <f aca="false">IFERROR((S10-S11)/S10,"")</f>
        <v/>
      </c>
      <c r="T9" s="239" t="str">
        <f aca="false">IFERROR((T10-T11)/T10,"")</f>
        <v/>
      </c>
      <c r="U9" s="239" t="str">
        <f aca="false">IFERROR((U10-U11)/U10,"")</f>
        <v/>
      </c>
      <c r="V9" s="239" t="str">
        <f aca="false">IFERROR((V10-V11)/V10,"")</f>
        <v/>
      </c>
      <c r="W9" s="239" t="str">
        <f aca="false">IFERROR((W10-W11)/W10,"")</f>
        <v/>
      </c>
      <c r="X9" s="239" t="str">
        <f aca="false">IFERROR((X10-X11)/X10,"")</f>
        <v/>
      </c>
      <c r="Y9" s="239" t="str">
        <f aca="false">IFERROR((Y10-Y11)/Y10,"")</f>
        <v/>
      </c>
      <c r="Z9" s="240" t="str">
        <f aca="false">IFERROR((Z10-Z11)/Z10,"")</f>
        <v/>
      </c>
      <c r="AA9" s="240" t="str">
        <f aca="false">IFERROR((AA10-AA11)/AA10,"")</f>
        <v/>
      </c>
      <c r="AB9" s="240" t="str">
        <f aca="false">IFERROR((AB10-AB11)/AB10,"")</f>
        <v/>
      </c>
      <c r="AC9" s="240" t="str">
        <f aca="false">IFERROR((AC10-AC11)/AC10,"")</f>
        <v/>
      </c>
      <c r="AD9" s="240" t="str">
        <f aca="false">IFERROR((AD10-AD11)/AD10,"")</f>
        <v/>
      </c>
      <c r="AE9" s="240" t="str">
        <f aca="false">IFERROR((AE10-AE11)/AE10,"")</f>
        <v/>
      </c>
      <c r="AF9" s="240" t="str">
        <f aca="false">IFERROR((AF10-AF11)/AF10,"")</f>
        <v/>
      </c>
      <c r="AG9" s="240" t="str">
        <f aca="false">IFERROR((AG10-AG11)/AG10,"")</f>
        <v/>
      </c>
      <c r="AH9" s="240" t="str">
        <f aca="false">IFERROR((AH10-AH11)/AH10,"")</f>
        <v/>
      </c>
      <c r="AI9" s="240" t="str">
        <f aca="false">IFERROR((AI10-AI11)/AI10,"")</f>
        <v/>
      </c>
      <c r="AJ9" s="240" t="str">
        <f aca="false">IFERROR((AJ10-AJ11)/AJ10,"")</f>
        <v/>
      </c>
      <c r="AK9" s="240" t="str">
        <f aca="false">IFERROR((AK10-AK11)/AK10,"")</f>
        <v/>
      </c>
      <c r="AL9" s="240" t="str">
        <f aca="false">IFERROR((AL10-AL11)/AL10,"")</f>
        <v/>
      </c>
      <c r="AM9" s="240" t="str">
        <f aca="false">IFERROR((AM10-AM11)/AM10,"")</f>
        <v/>
      </c>
      <c r="AN9" s="241" t="str">
        <f aca="false">IFERROR((AN10-AN11)/AN10,"")</f>
        <v/>
      </c>
      <c r="AO9" s="242" t="str">
        <f aca="false">IFERROR((AO10-AO11)/AO10,"")</f>
        <v/>
      </c>
      <c r="AP9" s="243" t="str">
        <f aca="false">IFERROR((AP10-AP11)/AP10,"")</f>
        <v/>
      </c>
      <c r="AQ9" s="243" t="str">
        <f aca="false">IFERROR((AQ10-AQ11)/AQ10,"")</f>
        <v/>
      </c>
      <c r="AR9" s="243" t="str">
        <f aca="false">IFERROR((AR10-AR11)/AR10,"")</f>
        <v/>
      </c>
      <c r="AS9" s="243" t="str">
        <f aca="false">IFERROR((AS10-AS11)/AS10,"")</f>
        <v/>
      </c>
      <c r="AT9" s="243" t="str">
        <f aca="false">IFERROR((AT10-AT11)/AT10,"")</f>
        <v/>
      </c>
      <c r="AU9" s="244" t="str">
        <f aca="false">IFERROR((AU10-AU11)/AU10,"")</f>
        <v/>
      </c>
      <c r="AV9" s="245" t="str">
        <f aca="false">IFERROR((AV10-AV11)/AV10,"")</f>
        <v/>
      </c>
    </row>
    <row r="10" customFormat="false" ht="14.25" hidden="false" customHeight="false" outlineLevel="0" collapsed="false">
      <c r="B10" s="323" t="s">
        <v>371</v>
      </c>
      <c r="C10" s="247" t="n">
        <f aca="false" t="array" ref="C10:C10">SUM(IF($B10=DATOS_[Sexo], IF("Dentro"=DATOS_[Check Periodo Ref.], 1/(COUNTIFS(DATOS_[Sexo],$B10,DATOS_[Check Periodo Ref.],"Dentro",DATOS_[id],DATOS_[id])))))</f>
        <v>0</v>
      </c>
      <c r="D10" s="248" t="n">
        <f aca="false">COUNTIFS(DATOS_[AGRUP. VALOR. PTO.],"&lt;&gt;",DATOS_[Sexo],$B10,DATOS_[Check Periodo Ref.],"Dentro")</f>
        <v>0</v>
      </c>
      <c r="E10" s="248" t="n">
        <f aca="false">COUNTIFS(DATOS_[AGRUP. VALOR. PTO.],"&lt;&gt;",DATOS_[Sexo],$B10,DATOS_[Check Periodo Ref.],"Dentro",DATOS_[Check Nº SC Norm],"Sí")</f>
        <v>0</v>
      </c>
      <c r="F10" s="248" t="n">
        <f aca="false">COUNTIFS(DATOS_[AGRUP. VALOR. PTO.],"&lt;&gt;",DATOS_[Sexo],$B10,DATOS_[Check Periodo Ref.],"Dentro",DATOS_[Check Nº SC Anualiz],"Sí")</f>
        <v>0</v>
      </c>
      <c r="G10" s="248" t="n">
        <f aca="false">COUNTIFS(DATOS_[AGRUP. VALOR. PTO.],"&lt;&gt;",DATOS_[Sexo],$B10,DATOS_[Check Periodo Ref.],"Dentro",DATOS_[Check Nº SC Norm y Anualiz],"Sí")</f>
        <v>0</v>
      </c>
      <c r="H10" s="248" t="n">
        <f aca="false">COUNTIFS(DATOS_[AGRUP. VALOR. PTO.],"&lt;&gt;",DATOS_[Sexo],$B10,DATOS_[Check Periodo Ref.],"Dentro",DATOS_[Check Equiparación],"Sí")</f>
        <v>0</v>
      </c>
      <c r="I10" s="249" t="n">
        <f aca="false" t="array" ref="I10:I10">IFERROR( MEDIAN(IF(DATOS_[Sexo]=$B10,IF(DATOS_[Check Equiparado]="Sí",IF(DATOS_[Check Periodo Ref.]="Dentro",DATOS_[SALARIO BASE Eq],0)))), 0)</f>
        <v>0</v>
      </c>
      <c r="J10" s="250" t="n">
        <f aca="false" t="array" ref="J10:J10">IFERROR( (MEDIAN((IF(DATOS_[[Sexo]:[Sexo]]=$B10,IF(DATOS_[[Check Periodo Ref.]:[Check Periodo Ref.]]="Dentro",IF(DATOS_[[Check Equiparado]:[Check Equiparado]]="Sí",IF(DATOS!AE$4="Sí",(1/DATOS_[[% anualiz]:[% anualiz]]),1)*IF(DATOS!AE$5="Sí",1/DATOS_[[% normaliz]:[% normaliz]],1)*(DATOS_[Conc.Sal.01]))))))), 0)</f>
        <v>0</v>
      </c>
      <c r="K10" s="250" t="n">
        <f aca="false" t="array" ref="K10:K10">IFERROR( (MEDIAN((IF(DATOS_[[Sexo]:[Sexo]]=$B10,IF(DATOS_[[Check Periodo Ref.]:[Check Periodo Ref.]]="Dentro",IF(DATOS_[[Check Equiparado]:[Check Equiparado]]="Sí",IF(DATOS!AF$4="Sí",(1/DATOS_[[% anualiz]:[% anualiz]]),1)*IF(DATOS!AF$5="Sí",1/DATOS_[[% normaliz]:[% normaliz]],1)*(DATOS_[Conc.Sal.02]))))))), 0)</f>
        <v>0</v>
      </c>
      <c r="L10" s="250" t="n">
        <f aca="false" t="array" ref="L10:L10">IFERROR( (MEDIAN((IF(DATOS_[[Sexo]:[Sexo]]=$B10,IF(DATOS_[[Check Periodo Ref.]:[Check Periodo Ref.]]="Dentro",IF(DATOS_[[Check Equiparado]:[Check Equiparado]]="Sí",IF(DATOS!AG$4="Sí",(1/DATOS_[[% anualiz]:[% anualiz]]),1)*IF(DATOS!AG$5="Sí",1/DATOS_[[% normaliz]:[% normaliz]],1)*(DATOS_[Conc.Sal.03]))))))), 0)</f>
        <v>0</v>
      </c>
      <c r="M10" s="250" t="n">
        <f aca="false" t="array" ref="M10:M10">IFERROR( (MEDIAN((IF(DATOS_[[Sexo]:[Sexo]]=$B10,IF(DATOS_[[Check Periodo Ref.]:[Check Periodo Ref.]]="Dentro",IF(DATOS_[[Check Equiparado]:[Check Equiparado]]="Sí",IF(DATOS!AH$4="Sí",(1/DATOS_[[% anualiz]:[% anualiz]]),1)*IF(DATOS!AH$5="Sí",1/DATOS_[[% normaliz]:[% normaliz]],1)*(DATOS_[Conc.Sal.04]))))))), 0)</f>
        <v>0</v>
      </c>
      <c r="N10" s="250" t="n">
        <f aca="false" t="array" ref="N10:N10">IFERROR( (MEDIAN((IF(DATOS_[[Sexo]:[Sexo]]=$B10,IF(DATOS_[[Check Periodo Ref.]:[Check Periodo Ref.]]="Dentro",IF(DATOS_[[Check Equiparado]:[Check Equiparado]]="Sí",IF(DATOS!AI$4="Sí",(1/DATOS_[[% anualiz]:[% anualiz]]),1)*IF(DATOS!AI$5="Sí",1/DATOS_[[% normaliz]:[% normaliz]],1)*(DATOS_[Conc.Sal.05]))))))), 0)</f>
        <v>0</v>
      </c>
      <c r="O10" s="250" t="n">
        <f aca="false" t="array" ref="O10:O10">IFERROR( (MEDIAN((IF(DATOS_[[Sexo]:[Sexo]]=$B10,IF(DATOS_[[Check Periodo Ref.]:[Check Periodo Ref.]]="Dentro",IF(DATOS_[[Check Equiparado]:[Check Equiparado]]="Sí",IF(DATOS!AJ$4="Sí",(1/DATOS_[[% anualiz]:[% anualiz]]),1)*IF(DATOS!AJ$5="Sí",1/DATOS_[[% normaliz]:[% normaliz]],1)*(DATOS_[Conc.Sal.06]))))))), 0)</f>
        <v>0</v>
      </c>
      <c r="P10" s="250" t="n">
        <f aca="false" t="array" ref="P10:P10">IFERROR( (MEDIAN((IF(DATOS_[[Sexo]:[Sexo]]=$B10,IF(DATOS_[[Check Periodo Ref.]:[Check Periodo Ref.]]="Dentro",IF(DATOS_[[Check Equiparado]:[Check Equiparado]]="Sí",IF(DATOS!AK$4="Sí",(1/DATOS_[[% anualiz]:[% anualiz]]),1)*IF(DATOS!AK$5="Sí",1/DATOS_[[% normaliz]:[% normaliz]],1)*(DATOS_[Conc.Sal.07]))))))), 0)</f>
        <v>0</v>
      </c>
      <c r="Q10" s="250" t="n">
        <f aca="false" t="array" ref="Q10:Q10">IFERROR( (MEDIAN((IF(DATOS_[[Sexo]:[Sexo]]=$B10,IF(DATOS_[[Check Periodo Ref.]:[Check Periodo Ref.]]="Dentro",IF(DATOS_[[Check Equiparado]:[Check Equiparado]]="Sí",IF(DATOS!AL$4="Sí",(1/DATOS_[[% anualiz]:[% anualiz]]),1)*IF(DATOS!AL$5="Sí",1/DATOS_[[% normaliz]:[% normaliz]],1)*(DATOS_[Conc.Sal.08]))))))), 0)</f>
        <v>0</v>
      </c>
      <c r="R10" s="250" t="n">
        <f aca="false" t="array" ref="R10:R10">IFERROR( (MEDIAN((IF(DATOS_[[Sexo]:[Sexo]]=$B10,IF(DATOS_[[Check Periodo Ref.]:[Check Periodo Ref.]]="Dentro",IF(DATOS_[[Check Equiparado]:[Check Equiparado]]="Sí",IF(DATOS!AM$4="Sí",(1/DATOS_[[% anualiz]:[% anualiz]]),1)*IF(DATOS!AM$5="Sí",1/DATOS_[[% normaliz]:[% normaliz]],1)*(DATOS_[Conc.Sal.09]))))))), 0)</f>
        <v>0</v>
      </c>
      <c r="S10" s="250" t="n">
        <f aca="false" t="array" ref="S10:S10">IFERROR( (MEDIAN((IF(DATOS_[[Sexo]:[Sexo]]=$B10,IF(DATOS_[[Check Periodo Ref.]:[Check Periodo Ref.]]="Dentro",IF(DATOS_[[Check Equiparado]:[Check Equiparado]]="Sí",IF(DATOS!AN$4="Sí",(1/DATOS_[[% anualiz]:[% anualiz]]),1)*IF(DATOS!AN$5="Sí",1/DATOS_[[% normaliz]:[% normaliz]],1)*(DATOS_[Conc.Sal.10]))))))), 0)</f>
        <v>0</v>
      </c>
      <c r="T10" s="250" t="n">
        <f aca="false" t="array" ref="T10:T10">IFERROR( (MEDIAN((IF(DATOS_[[Sexo]:[Sexo]]=$B10,IF(DATOS_[[Check Periodo Ref.]:[Check Periodo Ref.]]="Dentro",IF(DATOS_[[Check Equiparado]:[Check Equiparado]]="Sí",IF(DATOS!AO$4="Sí",(1/DATOS_[[% anualiz]:[% anualiz]]),1)*IF(DATOS!AO$5="Sí",1/DATOS_[[% normaliz]:[% normaliz]],1)*(DATOS_[Conc.Sal.11]))))))), 0)</f>
        <v>0</v>
      </c>
      <c r="U10" s="250" t="n">
        <f aca="false" t="array" ref="U10:U10">IFERROR( (MEDIAN((IF(DATOS_[[Sexo]:[Sexo]]=$B10,IF(DATOS_[[Check Periodo Ref.]:[Check Periodo Ref.]]="Dentro",IF(DATOS_[[Check Equiparado]:[Check Equiparado]]="Sí",IF(DATOS!AP$4="Sí",(1/DATOS_[[% anualiz]:[% anualiz]]),1)*IF(DATOS!AP$5="Sí",1/DATOS_[[% normaliz]:[% normaliz]],1)*(DATOS_[Conc.Sal.12]))))))), 0)</f>
        <v>0</v>
      </c>
      <c r="V10" s="250" t="n">
        <f aca="false" t="array" ref="V10:V10">IFERROR( (MEDIAN((IF(DATOS_[[Sexo]:[Sexo]]=$B10,IF(DATOS_[[Check Periodo Ref.]:[Check Periodo Ref.]]="Dentro",IF(DATOS_[[Check Equiparado]:[Check Equiparado]]="Sí",IF(DATOS!AQ$4="Sí",(1/DATOS_[[% anualiz]:[% anualiz]]),1)*IF(DATOS!AQ$5="Sí",1/DATOS_[[% normaliz]:[% normaliz]],1)*(DATOS_[Conc.Sal.13]))))))), 0)</f>
        <v>0</v>
      </c>
      <c r="W10" s="250" t="n">
        <f aca="false" t="array" ref="W10:W10">IFERROR( (MEDIAN((IF(DATOS_[[Sexo]:[Sexo]]=$B10,IF(DATOS_[[Check Periodo Ref.]:[Check Periodo Ref.]]="Dentro",IF(DATOS_[[Check Equiparado]:[Check Equiparado]]="Sí",IF(DATOS!AR$4="Sí",(1/DATOS_[[% anualiz]:[% anualiz]]),1)*IF(DATOS!AR$5="Sí",1/DATOS_[[% normaliz]:[% normaliz]],1)*(DATOS_[Conc.Sal.14]))))))), 0)</f>
        <v>0</v>
      </c>
      <c r="X10" s="250" t="n">
        <f aca="false" t="array" ref="X10:X10">IFERROR( (MEDIAN((IF(DATOS_[[Sexo]:[Sexo]]=$B10,IF(DATOS_[[Check Periodo Ref.]:[Check Periodo Ref.]]="Dentro",IF(DATOS_[[Check Equiparado]:[Check Equiparado]]="Sí",IF(DATOS!AS$4="Sí",(1/DATOS_[[% anualiz]:[% anualiz]]),1)*IF(DATOS!AS$5="Sí",1/DATOS_[[% normaliz]:[% normaliz]],1)*(DATOS_[Conc.Sal.15]))))))), 0)</f>
        <v>0</v>
      </c>
      <c r="Y10" s="250" t="n">
        <f aca="false" t="array" ref="Y10:Y10">IFERROR( (MEDIAN((IF(DATOS_[[Sexo]:[Sexo]]=$B10,IF(DATOS_[[Check Periodo Ref.]:[Check Periodo Ref.]]="Dentro",IF(DATOS_[[Check Equiparado]:[Check Equiparado]]="Sí",IF(DATOS!AT$4="Sí",(1/DATOS_[[% anualiz]:[% anualiz]]),1)*IF(DATOS!AT$5="Sí",1/DATOS_[[% normaliz]:[% normaliz]],1)*(DATOS_[Conc.Sal.16]))))))), 0)</f>
        <v>0</v>
      </c>
      <c r="Z10" s="250" t="n">
        <f aca="false" t="array" ref="Z10:Z10">IFERROR( (MEDIAN((IF(DATOS_[[Sexo]:[Sexo]]=$B10,IF(DATOS_[[Check Periodo Ref.]:[Check Periodo Ref.]]="Dentro",IF(DATOS_[[Check Equiparado]:[Check Equiparado]]="Sí",IF(DATOS!AU$4="Sí",(1/DATOS_[[% anualiz]:[% anualiz]]),1)*IF(DATOS!AU$5="Sí",1/DATOS_[[% normaliz]:[% normaliz]],1)*(DATOS_[Conc.Sal.17]))))))), 0)</f>
        <v>0</v>
      </c>
      <c r="AA10" s="250" t="n">
        <f aca="false" t="array" ref="AA10:AA10">IFERROR( (MEDIAN((IF(DATOS_[[Sexo]:[Sexo]]=$B10,IF(DATOS_[[Check Periodo Ref.]:[Check Periodo Ref.]]="Dentro",IF(DATOS_[[Check Equiparado]:[Check Equiparado]]="Sí",IF(DATOS!AV$4="Sí",(1/DATOS_[[% anualiz]:[% anualiz]]),1)*IF(DATOS!AV$5="Sí",1/DATOS_[[% normaliz]:[% normaliz]],1)*(DATOS_[Conc.Sal.18]))))))), 0)</f>
        <v>0</v>
      </c>
      <c r="AB10" s="250" t="n">
        <f aca="false" t="array" ref="AB10:AB10">IFERROR( (MEDIAN((IF(DATOS_[[Sexo]:[Sexo]]=$B10,IF(DATOS_[[Check Periodo Ref.]:[Check Periodo Ref.]]="Dentro",IF(DATOS_[[Check Equiparado]:[Check Equiparado]]="Sí",IF(DATOS!AW$4="Sí",(1/DATOS_[[% anualiz]:[% anualiz]]),1)*IF(DATOS!AW$5="Sí",1/DATOS_[[% normaliz]:[% normaliz]],1)*(DATOS_[Conc.Sal.19]))))))), 0)</f>
        <v>0</v>
      </c>
      <c r="AC10" s="250" t="n">
        <f aca="false" t="array" ref="AC10:AC10">IFERROR( (MEDIAN((IF(DATOS_[[Sexo]:[Sexo]]=$B10,IF(DATOS_[[Check Periodo Ref.]:[Check Periodo Ref.]]="Dentro",IF(DATOS_[[Check Equiparado]:[Check Equiparado]]="Sí",IF(DATOS!AX$4="Sí",(1/DATOS_[[% anualiz]:[% anualiz]]),1)*IF(DATOS!AX$5="Sí",1/DATOS_[[% normaliz]:[% normaliz]],1)*(DATOS_[Conc.Sal.20]))))))), 0)</f>
        <v>0</v>
      </c>
      <c r="AD10" s="250" t="n">
        <f aca="false" t="array" ref="AD10:AD10">IFERROR( (MEDIAN((IF(DATOS_[[Sexo]:[Sexo]]=$B10,IF(DATOS_[[Check Periodo Ref.]:[Check Periodo Ref.]]="Dentro",IF(DATOS_[[Check Equiparado]:[Check Equiparado]]="Sí",IF(DATOS!AY$4="Sí",(1/DATOS_[[% anualiz]:[% anualiz]]),1)*IF(DATOS!AY$5="Sí",1/DATOS_[[% normaliz]:[% normaliz]],1)*(DATOS_[Conc.Sal.21]))))))), 0)</f>
        <v>0</v>
      </c>
      <c r="AE10" s="250" t="n">
        <f aca="false" t="array" ref="AE10:AE10">IFERROR( (MEDIAN((IF(DATOS_[[Sexo]:[Sexo]]=$B10,IF(DATOS_[[Check Periodo Ref.]:[Check Periodo Ref.]]="Dentro",IF(DATOS_[[Check Equiparado]:[Check Equiparado]]="Sí",IF(DATOS!AZ$4="Sí",(1/DATOS_[[% anualiz]:[% anualiz]]),1)*IF(DATOS!AZ$5="Sí",1/DATOS_[[% normaliz]:[% normaliz]],1)*(DATOS_[Conc.Sal.22]))))))), 0)</f>
        <v>0</v>
      </c>
      <c r="AF10" s="250" t="n">
        <f aca="false" t="array" ref="AF10:AF10">IFERROR( (MEDIAN((IF(DATOS_[[Sexo]:[Sexo]]=$B10,IF(DATOS_[[Check Periodo Ref.]:[Check Periodo Ref.]]="Dentro",IF(DATOS_[[Check Equiparado]:[Check Equiparado]]="Sí",IF(DATOS!BA$4="Sí",(1/DATOS_[[% anualiz]:[% anualiz]]),1)*IF(DATOS!BA$5="Sí",1/DATOS_[[% normaliz]:[% normaliz]],1)*(DATOS_[Conc.Sal.23]))))))), 0)</f>
        <v>0</v>
      </c>
      <c r="AG10" s="250" t="n">
        <f aca="false" t="array" ref="AG10:AG10">IFERROR( (MEDIAN((IF(DATOS_[[Sexo]:[Sexo]]=$B10,IF(DATOS_[[Check Periodo Ref.]:[Check Periodo Ref.]]="Dentro",IF(DATOS_[[Check Equiparado]:[Check Equiparado]]="Sí",IF(DATOS!BB$4="Sí",(1/DATOS_[[% anualiz]:[% anualiz]]),1)*IF(DATOS!BB$5="Sí",1/DATOS_[[% normaliz]:[% normaliz]],1)*(DATOS_[Conc.Sal.24]))))))), 0)</f>
        <v>0</v>
      </c>
      <c r="AH10" s="250" t="n">
        <f aca="false" t="array" ref="AH10:AH10">IFERROR( (MEDIAN((IF(DATOS_[[Sexo]:[Sexo]]=$B10,IF(DATOS_[[Check Periodo Ref.]:[Check Periodo Ref.]]="Dentro",IF(DATOS_[[Check Equiparado]:[Check Equiparado]]="Sí",IF(DATOS!BC$4="Sí",(1/DATOS_[[% anualiz]:[% anualiz]]),1)*IF(DATOS!BC$5="Sí",1/DATOS_[[% normaliz]:[% normaliz]],1)*(DATOS_[Conc.Sal.25]))))))), 0)</f>
        <v>0</v>
      </c>
      <c r="AI10" s="250" t="n">
        <f aca="false" t="array" ref="AI10:AI10">IFERROR( (MEDIAN((IF(DATOS_[[Sexo]:[Sexo]]=$B10,IF(DATOS_[[Check Periodo Ref.]:[Check Periodo Ref.]]="Dentro",IF(DATOS_[[Check Equiparado]:[Check Equiparado]]="Sí",IF(DATOS!BD$4="Sí",(1/DATOS_[[% anualiz]:[% anualiz]]),1)*IF(DATOS!BD$5="Sí",1/DATOS_[[% normaliz]:[% normaliz]],1)*(DATOS_[Conc.Sal.26]))))))), 0)</f>
        <v>0</v>
      </c>
      <c r="AJ10" s="250" t="n">
        <f aca="false" t="array" ref="AJ10:AJ10">IFERROR( (MEDIAN((IF(DATOS_[[Sexo]:[Sexo]]=$B10,IF(DATOS_[[Check Periodo Ref.]:[Check Periodo Ref.]]="Dentro",IF(DATOS_[[Check Equiparado]:[Check Equiparado]]="Sí",IF(DATOS!BE$4="Sí",(1/DATOS_[[% anualiz]:[% anualiz]]),1)*IF(DATOS!BE$5="Sí",1/DATOS_[[% normaliz]:[% normaliz]],1)*(DATOS_[Conc.Sal.27]))))))), 0)</f>
        <v>0</v>
      </c>
      <c r="AK10" s="250" t="n">
        <f aca="false" t="array" ref="AK10:AK10">IFERROR( (MEDIAN((IF(DATOS_[[Sexo]:[Sexo]]=$B10,IF(DATOS_[[Check Periodo Ref.]:[Check Periodo Ref.]]="Dentro",IF(DATOS_[[Check Equiparado]:[Check Equiparado]]="Sí",IF(DATOS!BF$4="Sí",(1/DATOS_[[% anualiz]:[% anualiz]]),1)*IF(DATOS!BF$5="Sí",1/DATOS_[[% normaliz]:[% normaliz]],1)*(DATOS_[Conc.Sal.28]))))))), 0)</f>
        <v>0</v>
      </c>
      <c r="AL10" s="250" t="n">
        <f aca="false" t="array" ref="AL10:AL10">IFERROR( (MEDIAN((IF(DATOS_[[Sexo]:[Sexo]]=$B10,IF(DATOS_[[Check Periodo Ref.]:[Check Periodo Ref.]]="Dentro",IF(DATOS_[[Check Equiparado]:[Check Equiparado]]="Sí",IF(DATOS!BG$4="Sí",(1/DATOS_[[% anualiz]:[% anualiz]]),1)*IF(DATOS!BG$5="Sí",1/DATOS_[[% normaliz]:[% normaliz]],1)*(DATOS_[Conc.Sal.29]))))))), 0)</f>
        <v>0</v>
      </c>
      <c r="AM10" s="250" t="n">
        <f aca="false" t="array" ref="AM10:AM10">IFERROR( (MEDIAN((IF(DATOS_[[Sexo]:[Sexo]]=$B10,IF(DATOS_[[Check Periodo Ref.]:[Check Periodo Ref.]]="Dentro",IF(DATOS_[[Check Equiparado]:[Check Equiparado]]="Sí",IF(DATOS!BH$4="Sí",(1/DATOS_[[% anualiz]:[% anualiz]]),1)*IF(DATOS!BH$5="Sí",1/DATOS_[[% normaliz]:[% normaliz]],1)*(DATOS_[Conc.Sal.30]))))))), 0)</f>
        <v>0</v>
      </c>
      <c r="AN10" s="251" t="n">
        <f aca="false" t="array" ref="AN10:AN10">IFERROR( MEDIAN(IF(DATOS_[Sexo]=$B10,IF(DATOS_[Check Equiparado]="Sí",IF(DATOS_[Check Periodo Ref.]="Dentro",DATOS_[Tot COMPL.SAL Eq],0)))), 0)</f>
        <v>0</v>
      </c>
      <c r="AO10" s="252" t="n">
        <f aca="false" t="array" ref="AO10:AO10">IFERROR( MEDIAN(IF(DATOS_[Sexo]=$B10,IF(DATOS_[Check Equiparado]="Sí",IF(DATOS_[Check Periodo Ref.]="Dentro",DATOS_[TOTAL SALARIO Eq],0)))), 0)</f>
        <v>0</v>
      </c>
      <c r="AP10" s="253" t="n">
        <f aca="false" t="array" ref="AP10:AP10">IFERROR( (MEDIAN((IF(DATOS_[[Sexo]:[Sexo]]=$B10,IF(DATOS_[[Check Periodo Ref.]:[Check Periodo Ref.]]="Dentro",IF(DATOS_[[Check Equiparado]:[Check Equiparado]]="Sí",IF(DATOS!BI$4="Sí",(1/DATOS_[[% anualiz]:[% anualiz]]),1)*IF(DATOS!BI$5="Sí",1/DATOS_[[% normaliz]:[% normaliz]],1)*(DATOS_[C.Extra.01]))))))), 0)</f>
        <v>0</v>
      </c>
      <c r="AQ10" s="253" t="n">
        <f aca="false" t="array" ref="AQ10:AQ10">IFERROR( (MEDIAN((IF(DATOS_[[Sexo]:[Sexo]]=$B10,IF(DATOS_[[Check Periodo Ref.]:[Check Periodo Ref.]]="Dentro",IF(DATOS_[[Check Equiparado]:[Check Equiparado]]="Sí",IF(DATOS!BJ$4="Sí",(1/DATOS_[[% anualiz]:[% anualiz]]),1)*IF(DATOS!BJ$5="Sí",1/DATOS_[[% normaliz]:[% normaliz]],1)*(DATOS_[C.Extra.02]))))))), 0)</f>
        <v>0</v>
      </c>
      <c r="AR10" s="253" t="n">
        <f aca="false" t="array" ref="AR10:AR10">IFERROR( (MEDIAN((IF(DATOS_[[Sexo]:[Sexo]]=$B10,IF(DATOS_[[Check Periodo Ref.]:[Check Periodo Ref.]]="Dentro",IF(DATOS_[[Check Equiparado]:[Check Equiparado]]="Sí",IF(DATOS!BK$4="Sí",(1/DATOS_[[% anualiz]:[% anualiz]]),1)*IF(DATOS!BK$5="Sí",1/DATOS_[[% normaliz]:[% normaliz]],1)*(DATOS_[C.Extra.03]))))))), 0)</f>
        <v>0</v>
      </c>
      <c r="AS10" s="253" t="n">
        <f aca="false" t="array" ref="AS10:AS10">IFERROR( (MEDIAN((IF(DATOS_[[Sexo]:[Sexo]]=$B10,IF(DATOS_[[Check Periodo Ref.]:[Check Periodo Ref.]]="Dentro",IF(DATOS_[[Check Equiparado]:[Check Equiparado]]="Sí",IF(DATOS!BL$4="Sí",(1/DATOS_[[% anualiz]:[% anualiz]]),1)*IF(DATOS!BL$5="Sí",1/DATOS_[[% normaliz]:[% normaliz]],1)*(DATOS_[C.Extra.04]))))))), 0)</f>
        <v>0</v>
      </c>
      <c r="AT10" s="253" t="n">
        <f aca="false" t="array" ref="AT10:AT10">IFERROR( (MEDIAN((IF(DATOS_[[Sexo]:[Sexo]]=$B10,IF(DATOS_[[Check Periodo Ref.]:[Check Periodo Ref.]]="Dentro",IF(DATOS_[[Check Equiparado]:[Check Equiparado]]="Sí",IF(DATOS!BM$4="Sí",(1/DATOS_[[% anualiz]:[% anualiz]]),1)*IF(DATOS!BM$5="Sí",1/DATOS_[[% normaliz]:[% normaliz]],1)*(DATOS_[C.Extra.05]))))))), 0)</f>
        <v>0</v>
      </c>
      <c r="AU10" s="254" t="n">
        <f aca="false" t="array" ref="AU10:AU10">IFERROR( MEDIAN(IF(DATOS_[Sexo]=$B10,IF(DATOS_[Check Equiparado]="Sí",IF(DATOS_[Check Periodo Ref.]="Dentro",DATOS_[Tot Extrasalarial Eq],0)))), 0)</f>
        <v>0</v>
      </c>
      <c r="AV10" s="255" t="n">
        <f aca="false" t="array" ref="AV10:AV10">IFERROR( MEDIAN(IF(DATOS_[Sexo]=$B10,IF(DATOS_[Check Equiparado]="Sí",IF(DATOS_[Check Periodo Ref.]="Dentro",DATOS_[TOTAL Retrib Eq],0)))), 0)</f>
        <v>0</v>
      </c>
    </row>
    <row r="11" customFormat="false" ht="14.25" hidden="false" customHeight="false" outlineLevel="0" collapsed="false">
      <c r="B11" s="323" t="s">
        <v>372</v>
      </c>
      <c r="C11" s="247" t="n">
        <f aca="false" t="array" ref="C11:C11">SUM(IF($B11=DATOS_[Sexo], IF("Dentro"=DATOS_[Check Periodo Ref.], 1/(COUNTIFS(DATOS_[Sexo],$B11,DATOS_[Check Periodo Ref.],"Dentro",DATOS_[id],DATOS_[id])))))</f>
        <v>0</v>
      </c>
      <c r="D11" s="248" t="n">
        <f aca="false">COUNTIFS(DATOS_[AGRUP. VALOR. PTO.],"&lt;&gt;",DATOS_[Sexo],$B11,DATOS_[Check Periodo Ref.],"Dentro")</f>
        <v>0</v>
      </c>
      <c r="E11" s="248" t="n">
        <f aca="false">COUNTIFS(DATOS_[AGRUP. VALOR. PTO.],"&lt;&gt;",DATOS_[Sexo],$B11,DATOS_[Check Periodo Ref.],"Dentro",DATOS_[Check Nº SC Norm],"Sí")</f>
        <v>0</v>
      </c>
      <c r="F11" s="248" t="n">
        <f aca="false">COUNTIFS(DATOS_[AGRUP. VALOR. PTO.],"&lt;&gt;",DATOS_[Sexo],$B11,DATOS_[Check Periodo Ref.],"Dentro",DATOS_[Check Nº SC Anualiz],"Sí")</f>
        <v>0</v>
      </c>
      <c r="G11" s="248" t="n">
        <f aca="false">COUNTIFS(DATOS_[AGRUP. VALOR. PTO.],"&lt;&gt;",DATOS_[Sexo],$B11,DATOS_[Check Periodo Ref.],"Dentro",DATOS_[Check Nº SC Norm y Anualiz],"Sí")</f>
        <v>0</v>
      </c>
      <c r="H11" s="248" t="n">
        <f aca="false">COUNTIFS(DATOS_[AGRUP. VALOR. PTO.],"&lt;&gt;",DATOS_[Sexo],$B11,DATOS_[Check Periodo Ref.],"Dentro",DATOS_[Check Equiparación],"Sí")</f>
        <v>0</v>
      </c>
      <c r="I11" s="249" t="n">
        <f aca="false" t="array" ref="I11:I11">IFERROR( MEDIAN(IF(DATOS_[Sexo]=$B11,IF(DATOS_[Check Equiparado]="Sí",IF(DATOS_[Check Periodo Ref.]="Dentro",DATOS_[SALARIO BASE Eq],0)))), 0)</f>
        <v>0</v>
      </c>
      <c r="J11" s="250" t="n">
        <f aca="false" t="array" ref="J11:J11">IFERROR( (MEDIAN((IF(DATOS_[[Sexo]:[Sexo]]=$B11,IF(DATOS_[[Check Periodo Ref.]:[Check Periodo Ref.]]="Dentro",IF(DATOS_[[Check Equiparado]:[Check Equiparado]]="Sí",IF(DATOS!AE$4="Sí",(1/DATOS_[[% anualiz]:[% anualiz]]),1)*IF(DATOS!AE$5="Sí",1/DATOS_[[% normaliz]:[% normaliz]],1)*(DATOS_[Conc.Sal.01]))))))), 0)</f>
        <v>0</v>
      </c>
      <c r="K11" s="250" t="n">
        <f aca="false" t="array" ref="K11:K11">IFERROR( (MEDIAN((IF(DATOS_[[Sexo]:[Sexo]]=$B11,IF(DATOS_[[Check Periodo Ref.]:[Check Periodo Ref.]]="Dentro",IF(DATOS_[[Check Equiparado]:[Check Equiparado]]="Sí",IF(DATOS!AF$4="Sí",(1/DATOS_[[% anualiz]:[% anualiz]]),1)*IF(DATOS!AF$5="Sí",1/DATOS_[[% normaliz]:[% normaliz]],1)*(DATOS_[Conc.Sal.02]))))))), 0)</f>
        <v>0</v>
      </c>
      <c r="L11" s="250" t="n">
        <f aca="false" t="array" ref="L11:L11">IFERROR( (MEDIAN((IF(DATOS_[[Sexo]:[Sexo]]=$B11,IF(DATOS_[[Check Periodo Ref.]:[Check Periodo Ref.]]="Dentro",IF(DATOS_[[Check Equiparado]:[Check Equiparado]]="Sí",IF(DATOS!AG$4="Sí",(1/DATOS_[[% anualiz]:[% anualiz]]),1)*IF(DATOS!AG$5="Sí",1/DATOS_[[% normaliz]:[% normaliz]],1)*(DATOS_[Conc.Sal.03]))))))), 0)</f>
        <v>0</v>
      </c>
      <c r="M11" s="250" t="n">
        <f aca="false" t="array" ref="M11:M11">IFERROR( (MEDIAN((IF(DATOS_[[Sexo]:[Sexo]]=$B11,IF(DATOS_[[Check Periodo Ref.]:[Check Periodo Ref.]]="Dentro",IF(DATOS_[[Check Equiparado]:[Check Equiparado]]="Sí",IF(DATOS!AH$4="Sí",(1/DATOS_[[% anualiz]:[% anualiz]]),1)*IF(DATOS!AH$5="Sí",1/DATOS_[[% normaliz]:[% normaliz]],1)*(DATOS_[Conc.Sal.04]))))))), 0)</f>
        <v>0</v>
      </c>
      <c r="N11" s="250" t="n">
        <f aca="false" t="array" ref="N11:N11">IFERROR( (MEDIAN((IF(DATOS_[[Sexo]:[Sexo]]=$B11,IF(DATOS_[[Check Periodo Ref.]:[Check Periodo Ref.]]="Dentro",IF(DATOS_[[Check Equiparado]:[Check Equiparado]]="Sí",IF(DATOS!AI$4="Sí",(1/DATOS_[[% anualiz]:[% anualiz]]),1)*IF(DATOS!AI$5="Sí",1/DATOS_[[% normaliz]:[% normaliz]],1)*(DATOS_[Conc.Sal.05]))))))), 0)</f>
        <v>0</v>
      </c>
      <c r="O11" s="250" t="n">
        <f aca="false" t="array" ref="O11:O11">IFERROR( (MEDIAN((IF(DATOS_[[Sexo]:[Sexo]]=$B11,IF(DATOS_[[Check Periodo Ref.]:[Check Periodo Ref.]]="Dentro",IF(DATOS_[[Check Equiparado]:[Check Equiparado]]="Sí",IF(DATOS!AJ$4="Sí",(1/DATOS_[[% anualiz]:[% anualiz]]),1)*IF(DATOS!AJ$5="Sí",1/DATOS_[[% normaliz]:[% normaliz]],1)*(DATOS_[Conc.Sal.06]))))))), 0)</f>
        <v>0</v>
      </c>
      <c r="P11" s="250" t="n">
        <f aca="false" t="array" ref="P11:P11">IFERROR( (MEDIAN((IF(DATOS_[[Sexo]:[Sexo]]=$B11,IF(DATOS_[[Check Periodo Ref.]:[Check Periodo Ref.]]="Dentro",IF(DATOS_[[Check Equiparado]:[Check Equiparado]]="Sí",IF(DATOS!AK$4="Sí",(1/DATOS_[[% anualiz]:[% anualiz]]),1)*IF(DATOS!AK$5="Sí",1/DATOS_[[% normaliz]:[% normaliz]],1)*(DATOS_[Conc.Sal.07]))))))), 0)</f>
        <v>0</v>
      </c>
      <c r="Q11" s="250" t="n">
        <f aca="false" t="array" ref="Q11:Q11">IFERROR( (MEDIAN((IF(DATOS_[[Sexo]:[Sexo]]=$B11,IF(DATOS_[[Check Periodo Ref.]:[Check Periodo Ref.]]="Dentro",IF(DATOS_[[Check Equiparado]:[Check Equiparado]]="Sí",IF(DATOS!AL$4="Sí",(1/DATOS_[[% anualiz]:[% anualiz]]),1)*IF(DATOS!AL$5="Sí",1/DATOS_[[% normaliz]:[% normaliz]],1)*(DATOS_[Conc.Sal.08]))))))), 0)</f>
        <v>0</v>
      </c>
      <c r="R11" s="250" t="n">
        <f aca="false" t="array" ref="R11:R11">IFERROR( (MEDIAN((IF(DATOS_[[Sexo]:[Sexo]]=$B11,IF(DATOS_[[Check Periodo Ref.]:[Check Periodo Ref.]]="Dentro",IF(DATOS_[[Check Equiparado]:[Check Equiparado]]="Sí",IF(DATOS!AM$4="Sí",(1/DATOS_[[% anualiz]:[% anualiz]]),1)*IF(DATOS!AM$5="Sí",1/DATOS_[[% normaliz]:[% normaliz]],1)*(DATOS_[Conc.Sal.09]))))))), 0)</f>
        <v>0</v>
      </c>
      <c r="S11" s="250" t="n">
        <f aca="false" t="array" ref="S11:S11">IFERROR( (MEDIAN((IF(DATOS_[[Sexo]:[Sexo]]=$B11,IF(DATOS_[[Check Periodo Ref.]:[Check Periodo Ref.]]="Dentro",IF(DATOS_[[Check Equiparado]:[Check Equiparado]]="Sí",IF(DATOS!AN$4="Sí",(1/DATOS_[[% anualiz]:[% anualiz]]),1)*IF(DATOS!AN$5="Sí",1/DATOS_[[% normaliz]:[% normaliz]],1)*(DATOS_[Conc.Sal.10]))))))), 0)</f>
        <v>0</v>
      </c>
      <c r="T11" s="250" t="n">
        <f aca="false" t="array" ref="T11:T11">IFERROR( (MEDIAN((IF(DATOS_[[Sexo]:[Sexo]]=$B11,IF(DATOS_[[Check Periodo Ref.]:[Check Periodo Ref.]]="Dentro",IF(DATOS_[[Check Equiparado]:[Check Equiparado]]="Sí",IF(DATOS!AO$4="Sí",(1/DATOS_[[% anualiz]:[% anualiz]]),1)*IF(DATOS!AO$5="Sí",1/DATOS_[[% normaliz]:[% normaliz]],1)*(DATOS_[Conc.Sal.11]))))))), 0)</f>
        <v>0</v>
      </c>
      <c r="U11" s="250" t="n">
        <f aca="false" t="array" ref="U11:U11">IFERROR( (MEDIAN((IF(DATOS_[[Sexo]:[Sexo]]=$B11,IF(DATOS_[[Check Periodo Ref.]:[Check Periodo Ref.]]="Dentro",IF(DATOS_[[Check Equiparado]:[Check Equiparado]]="Sí",IF(DATOS!AP$4="Sí",(1/DATOS_[[% anualiz]:[% anualiz]]),1)*IF(DATOS!AP$5="Sí",1/DATOS_[[% normaliz]:[% normaliz]],1)*(DATOS_[Conc.Sal.12]))))))), 0)</f>
        <v>0</v>
      </c>
      <c r="V11" s="250" t="n">
        <f aca="false" t="array" ref="V11:V11">IFERROR( (MEDIAN((IF(DATOS_[[Sexo]:[Sexo]]=$B11,IF(DATOS_[[Check Periodo Ref.]:[Check Periodo Ref.]]="Dentro",IF(DATOS_[[Check Equiparado]:[Check Equiparado]]="Sí",IF(DATOS!AQ$4="Sí",(1/DATOS_[[% anualiz]:[% anualiz]]),1)*IF(DATOS!AQ$5="Sí",1/DATOS_[[% normaliz]:[% normaliz]],1)*(DATOS_[Conc.Sal.13]))))))), 0)</f>
        <v>0</v>
      </c>
      <c r="W11" s="250" t="n">
        <f aca="false" t="array" ref="W11:W11">IFERROR( (MEDIAN((IF(DATOS_[[Sexo]:[Sexo]]=$B11,IF(DATOS_[[Check Periodo Ref.]:[Check Periodo Ref.]]="Dentro",IF(DATOS_[[Check Equiparado]:[Check Equiparado]]="Sí",IF(DATOS!AR$4="Sí",(1/DATOS_[[% anualiz]:[% anualiz]]),1)*IF(DATOS!AR$5="Sí",1/DATOS_[[% normaliz]:[% normaliz]],1)*(DATOS_[Conc.Sal.14]))))))), 0)</f>
        <v>0</v>
      </c>
      <c r="X11" s="250" t="n">
        <f aca="false" t="array" ref="X11:X11">IFERROR( (MEDIAN((IF(DATOS_[[Sexo]:[Sexo]]=$B11,IF(DATOS_[[Check Periodo Ref.]:[Check Periodo Ref.]]="Dentro",IF(DATOS_[[Check Equiparado]:[Check Equiparado]]="Sí",IF(DATOS!AS$4="Sí",(1/DATOS_[[% anualiz]:[% anualiz]]),1)*IF(DATOS!AS$5="Sí",1/DATOS_[[% normaliz]:[% normaliz]],1)*(DATOS_[Conc.Sal.15]))))))), 0)</f>
        <v>0</v>
      </c>
      <c r="Y11" s="250" t="n">
        <f aca="false" t="array" ref="Y11:Y11">IFERROR( (MEDIAN((IF(DATOS_[[Sexo]:[Sexo]]=$B11,IF(DATOS_[[Check Periodo Ref.]:[Check Periodo Ref.]]="Dentro",IF(DATOS_[[Check Equiparado]:[Check Equiparado]]="Sí",IF(DATOS!AT$4="Sí",(1/DATOS_[[% anualiz]:[% anualiz]]),1)*IF(DATOS!AT$5="Sí",1/DATOS_[[% normaliz]:[% normaliz]],1)*(DATOS_[Conc.Sal.16]))))))), 0)</f>
        <v>0</v>
      </c>
      <c r="Z11" s="250" t="n">
        <f aca="false" t="array" ref="Z11:Z11">IFERROR( (MEDIAN((IF(DATOS_[[Sexo]:[Sexo]]=$B11,IF(DATOS_[[Check Periodo Ref.]:[Check Periodo Ref.]]="Dentro",IF(DATOS_[[Check Equiparado]:[Check Equiparado]]="Sí",IF(DATOS!AU$4="Sí",(1/DATOS_[[% anualiz]:[% anualiz]]),1)*IF(DATOS!AU$5="Sí",1/DATOS_[[% normaliz]:[% normaliz]],1)*(DATOS_[Conc.Sal.17]))))))), 0)</f>
        <v>0</v>
      </c>
      <c r="AA11" s="250" t="n">
        <f aca="false" t="array" ref="AA11:AA11">IFERROR( (MEDIAN((IF(DATOS_[[Sexo]:[Sexo]]=$B11,IF(DATOS_[[Check Periodo Ref.]:[Check Periodo Ref.]]="Dentro",IF(DATOS_[[Check Equiparado]:[Check Equiparado]]="Sí",IF(DATOS!AV$4="Sí",(1/DATOS_[[% anualiz]:[% anualiz]]),1)*IF(DATOS!AV$5="Sí",1/DATOS_[[% normaliz]:[% normaliz]],1)*(DATOS_[Conc.Sal.18]))))))), 0)</f>
        <v>0</v>
      </c>
      <c r="AB11" s="250" t="n">
        <f aca="false" t="array" ref="AB11:AB11">IFERROR( (MEDIAN((IF(DATOS_[[Sexo]:[Sexo]]=$B11,IF(DATOS_[[Check Periodo Ref.]:[Check Periodo Ref.]]="Dentro",IF(DATOS_[[Check Equiparado]:[Check Equiparado]]="Sí",IF(DATOS!AW$4="Sí",(1/DATOS_[[% anualiz]:[% anualiz]]),1)*IF(DATOS!AW$5="Sí",1/DATOS_[[% normaliz]:[% normaliz]],1)*(DATOS_[Conc.Sal.19]))))))), 0)</f>
        <v>0</v>
      </c>
      <c r="AC11" s="250" t="n">
        <f aca="false" t="array" ref="AC11:AC11">IFERROR( (MEDIAN((IF(DATOS_[[Sexo]:[Sexo]]=$B11,IF(DATOS_[[Check Periodo Ref.]:[Check Periodo Ref.]]="Dentro",IF(DATOS_[[Check Equiparado]:[Check Equiparado]]="Sí",IF(DATOS!AX$4="Sí",(1/DATOS_[[% anualiz]:[% anualiz]]),1)*IF(DATOS!AX$5="Sí",1/DATOS_[[% normaliz]:[% normaliz]],1)*(DATOS_[Conc.Sal.20]))))))), 0)</f>
        <v>0</v>
      </c>
      <c r="AD11" s="250" t="n">
        <f aca="false" t="array" ref="AD11:AD11">IFERROR( (MEDIAN((IF(DATOS_[[Sexo]:[Sexo]]=$B11,IF(DATOS_[[Check Periodo Ref.]:[Check Periodo Ref.]]="Dentro",IF(DATOS_[[Check Equiparado]:[Check Equiparado]]="Sí",IF(DATOS!AY$4="Sí",(1/DATOS_[[% anualiz]:[% anualiz]]),1)*IF(DATOS!AY$5="Sí",1/DATOS_[[% normaliz]:[% normaliz]],1)*(DATOS_[Conc.Sal.21]))))))), 0)</f>
        <v>0</v>
      </c>
      <c r="AE11" s="250" t="n">
        <f aca="false" t="array" ref="AE11:AE11">IFERROR( (MEDIAN((IF(DATOS_[[Sexo]:[Sexo]]=$B11,IF(DATOS_[[Check Periodo Ref.]:[Check Periodo Ref.]]="Dentro",IF(DATOS_[[Check Equiparado]:[Check Equiparado]]="Sí",IF(DATOS!AZ$4="Sí",(1/DATOS_[[% anualiz]:[% anualiz]]),1)*IF(DATOS!AZ$5="Sí",1/DATOS_[[% normaliz]:[% normaliz]],1)*(DATOS_[Conc.Sal.22]))))))), 0)</f>
        <v>0</v>
      </c>
      <c r="AF11" s="250" t="n">
        <f aca="false" t="array" ref="AF11:AF11">IFERROR( (MEDIAN((IF(DATOS_[[Sexo]:[Sexo]]=$B11,IF(DATOS_[[Check Periodo Ref.]:[Check Periodo Ref.]]="Dentro",IF(DATOS_[[Check Equiparado]:[Check Equiparado]]="Sí",IF(DATOS!BA$4="Sí",(1/DATOS_[[% anualiz]:[% anualiz]]),1)*IF(DATOS!BA$5="Sí",1/DATOS_[[% normaliz]:[% normaliz]],1)*(DATOS_[Conc.Sal.23]))))))), 0)</f>
        <v>0</v>
      </c>
      <c r="AG11" s="250" t="n">
        <f aca="false" t="array" ref="AG11:AG11">IFERROR( (MEDIAN((IF(DATOS_[[Sexo]:[Sexo]]=$B11,IF(DATOS_[[Check Periodo Ref.]:[Check Periodo Ref.]]="Dentro",IF(DATOS_[[Check Equiparado]:[Check Equiparado]]="Sí",IF(DATOS!BB$4="Sí",(1/DATOS_[[% anualiz]:[% anualiz]]),1)*IF(DATOS!BB$5="Sí",1/DATOS_[[% normaliz]:[% normaliz]],1)*(DATOS_[Conc.Sal.24]))))))), 0)</f>
        <v>0</v>
      </c>
      <c r="AH11" s="250" t="n">
        <f aca="false" t="array" ref="AH11:AH11">IFERROR( (MEDIAN((IF(DATOS_[[Sexo]:[Sexo]]=$B11,IF(DATOS_[[Check Periodo Ref.]:[Check Periodo Ref.]]="Dentro",IF(DATOS_[[Check Equiparado]:[Check Equiparado]]="Sí",IF(DATOS!BC$4="Sí",(1/DATOS_[[% anualiz]:[% anualiz]]),1)*IF(DATOS!BC$5="Sí",1/DATOS_[[% normaliz]:[% normaliz]],1)*(DATOS_[Conc.Sal.25]))))))), 0)</f>
        <v>0</v>
      </c>
      <c r="AI11" s="250" t="n">
        <f aca="false" t="array" ref="AI11:AI11">IFERROR( (MEDIAN((IF(DATOS_[[Sexo]:[Sexo]]=$B11,IF(DATOS_[[Check Periodo Ref.]:[Check Periodo Ref.]]="Dentro",IF(DATOS_[[Check Equiparado]:[Check Equiparado]]="Sí",IF(DATOS!BD$4="Sí",(1/DATOS_[[% anualiz]:[% anualiz]]),1)*IF(DATOS!BD$5="Sí",1/DATOS_[[% normaliz]:[% normaliz]],1)*(DATOS_[Conc.Sal.26]))))))), 0)</f>
        <v>0</v>
      </c>
      <c r="AJ11" s="250" t="n">
        <f aca="false" t="array" ref="AJ11:AJ11">IFERROR( (MEDIAN((IF(DATOS_[[Sexo]:[Sexo]]=$B11,IF(DATOS_[[Check Periodo Ref.]:[Check Periodo Ref.]]="Dentro",IF(DATOS_[[Check Equiparado]:[Check Equiparado]]="Sí",IF(DATOS!BE$4="Sí",(1/DATOS_[[% anualiz]:[% anualiz]]),1)*IF(DATOS!BE$5="Sí",1/DATOS_[[% normaliz]:[% normaliz]],1)*(DATOS_[Conc.Sal.27]))))))), 0)</f>
        <v>0</v>
      </c>
      <c r="AK11" s="250" t="n">
        <f aca="false" t="array" ref="AK11:AK11">IFERROR( (MEDIAN((IF(DATOS_[[Sexo]:[Sexo]]=$B11,IF(DATOS_[[Check Periodo Ref.]:[Check Periodo Ref.]]="Dentro",IF(DATOS_[[Check Equiparado]:[Check Equiparado]]="Sí",IF(DATOS!BF$4="Sí",(1/DATOS_[[% anualiz]:[% anualiz]]),1)*IF(DATOS!BF$5="Sí",1/DATOS_[[% normaliz]:[% normaliz]],1)*(DATOS_[Conc.Sal.28]))))))), 0)</f>
        <v>0</v>
      </c>
      <c r="AL11" s="250" t="n">
        <f aca="false" t="array" ref="AL11:AL11">IFERROR( (MEDIAN((IF(DATOS_[[Sexo]:[Sexo]]=$B11,IF(DATOS_[[Check Periodo Ref.]:[Check Periodo Ref.]]="Dentro",IF(DATOS_[[Check Equiparado]:[Check Equiparado]]="Sí",IF(DATOS!BG$4="Sí",(1/DATOS_[[% anualiz]:[% anualiz]]),1)*IF(DATOS!BG$5="Sí",1/DATOS_[[% normaliz]:[% normaliz]],1)*(DATOS_[Conc.Sal.29]))))))), 0)</f>
        <v>0</v>
      </c>
      <c r="AM11" s="250" t="n">
        <f aca="false" t="array" ref="AM11:AM11">IFERROR( (MEDIAN((IF(DATOS_[[Sexo]:[Sexo]]=$B11,IF(DATOS_[[Check Periodo Ref.]:[Check Periodo Ref.]]="Dentro",IF(DATOS_[[Check Equiparado]:[Check Equiparado]]="Sí",IF(DATOS!BH$4="Sí",(1/DATOS_[[% anualiz]:[% anualiz]]),1)*IF(DATOS!BH$5="Sí",1/DATOS_[[% normaliz]:[% normaliz]],1)*(DATOS_[Conc.Sal.30]))))))), 0)</f>
        <v>0</v>
      </c>
      <c r="AN11" s="251" t="n">
        <f aca="false" t="array" ref="AN11:AN11">IFERROR( MEDIAN(IF(DATOS_[Sexo]=$B11,IF(DATOS_[Check Equiparado]="Sí",IF(DATOS_[Check Periodo Ref.]="Dentro",DATOS_[Tot COMPL.SAL Eq],0)))), 0)</f>
        <v>0</v>
      </c>
      <c r="AO11" s="252" t="n">
        <f aca="false" t="array" ref="AO11:AO11">IFERROR( MEDIAN(IF(DATOS_[Sexo]=$B11,IF(DATOS_[Check Equiparado]="Sí",IF(DATOS_[Check Periodo Ref.]="Dentro",DATOS_[TOTAL SALARIO Eq],0)))), 0)</f>
        <v>0</v>
      </c>
      <c r="AP11" s="253" t="n">
        <f aca="false" t="array" ref="AP11:AP11">IFERROR( (MEDIAN((IF(DATOS_[[Sexo]:[Sexo]]=$B11,IF(DATOS_[[Check Periodo Ref.]:[Check Periodo Ref.]]="Dentro",IF(DATOS_[[Check Equiparado]:[Check Equiparado]]="Sí",IF(DATOS!BI$4="Sí",(1/DATOS_[[% anualiz]:[% anualiz]]),1)*IF(DATOS!BI$5="Sí",1/DATOS_[[% normaliz]:[% normaliz]],1)*(DATOS_[C.Extra.01]))))))), 0)</f>
        <v>0</v>
      </c>
      <c r="AQ11" s="253" t="n">
        <f aca="false" t="array" ref="AQ11:AQ11">IFERROR( (MEDIAN((IF(DATOS_[[Sexo]:[Sexo]]=$B11,IF(DATOS_[[Check Periodo Ref.]:[Check Periodo Ref.]]="Dentro",IF(DATOS_[[Check Equiparado]:[Check Equiparado]]="Sí",IF(DATOS!BJ$4="Sí",(1/DATOS_[[% anualiz]:[% anualiz]]),1)*IF(DATOS!BJ$5="Sí",1/DATOS_[[% normaliz]:[% normaliz]],1)*(DATOS_[C.Extra.02]))))))), 0)</f>
        <v>0</v>
      </c>
      <c r="AR11" s="253" t="n">
        <f aca="false" t="array" ref="AR11:AR11">IFERROR( (MEDIAN((IF(DATOS_[[Sexo]:[Sexo]]=$B11,IF(DATOS_[[Check Periodo Ref.]:[Check Periodo Ref.]]="Dentro",IF(DATOS_[[Check Equiparado]:[Check Equiparado]]="Sí",IF(DATOS!BK$4="Sí",(1/DATOS_[[% anualiz]:[% anualiz]]),1)*IF(DATOS!BK$5="Sí",1/DATOS_[[% normaliz]:[% normaliz]],1)*(DATOS_[C.Extra.03]))))))), 0)</f>
        <v>0</v>
      </c>
      <c r="AS11" s="253" t="n">
        <f aca="false" t="array" ref="AS11:AS11">IFERROR( (MEDIAN((IF(DATOS_[[Sexo]:[Sexo]]=$B11,IF(DATOS_[[Check Periodo Ref.]:[Check Periodo Ref.]]="Dentro",IF(DATOS_[[Check Equiparado]:[Check Equiparado]]="Sí",IF(DATOS!BL$4="Sí",(1/DATOS_[[% anualiz]:[% anualiz]]),1)*IF(DATOS!BL$5="Sí",1/DATOS_[[% normaliz]:[% normaliz]],1)*(DATOS_[C.Extra.04]))))))), 0)</f>
        <v>0</v>
      </c>
      <c r="AT11" s="253" t="n">
        <f aca="false" t="array" ref="AT11:AT11">IFERROR( (MEDIAN((IF(DATOS_[[Sexo]:[Sexo]]=$B11,IF(DATOS_[[Check Periodo Ref.]:[Check Periodo Ref.]]="Dentro",IF(DATOS_[[Check Equiparado]:[Check Equiparado]]="Sí",IF(DATOS!BM$4="Sí",(1/DATOS_[[% anualiz]:[% anualiz]]),1)*IF(DATOS!BM$5="Sí",1/DATOS_[[% normaliz]:[% normaliz]],1)*(DATOS_[C.Extra.05]))))))), 0)</f>
        <v>0</v>
      </c>
      <c r="AU11" s="254" t="n">
        <f aca="false" t="array" ref="AU11:AU11">IFERROR( MEDIAN(IF(DATOS_[Sexo]=$B11,IF(DATOS_[Check Equiparado]="Sí",IF(DATOS_[Check Periodo Ref.]="Dentro",DATOS_[Tot Extrasalarial Eq],0)))), 0)</f>
        <v>0</v>
      </c>
      <c r="AV11" s="255" t="n">
        <f aca="false" t="array" ref="AV11:AV11">IFERROR( MEDIAN(IF(DATOS_[Sexo]=$B11,IF(DATOS_[Check Equiparado]="Sí",IF(DATOS_[Check Periodo Ref.]="Dentro",DATOS_[TOTAL Retrib Eq],0)))), 0)</f>
        <v>0</v>
      </c>
    </row>
    <row r="12" customFormat="false" ht="14.25" hidden="false" customHeight="false" outlineLevel="0" collapsed="false">
      <c r="D12" s="324"/>
      <c r="E12" s="324"/>
      <c r="F12" s="324"/>
      <c r="G12" s="324"/>
      <c r="H12" s="324"/>
      <c r="N12" s="325"/>
      <c r="O12" s="326"/>
      <c r="P12" s="326"/>
      <c r="Q12" s="326"/>
      <c r="R12" s="326"/>
      <c r="S12" s="326"/>
      <c r="T12" s="326"/>
      <c r="U12" s="326"/>
      <c r="V12" s="326"/>
      <c r="W12" s="326"/>
      <c r="X12" s="326"/>
      <c r="Y12" s="326"/>
      <c r="Z12" s="325"/>
      <c r="AA12" s="325"/>
      <c r="AB12" s="325"/>
      <c r="AC12" s="325"/>
      <c r="AD12" s="325"/>
      <c r="AE12" s="325"/>
      <c r="AF12" s="325"/>
      <c r="AG12" s="325"/>
      <c r="AH12" s="325"/>
      <c r="AI12" s="325"/>
      <c r="AJ12" s="325"/>
      <c r="AK12" s="325"/>
      <c r="AL12" s="325"/>
      <c r="AM12" s="325"/>
      <c r="AP12" s="326"/>
      <c r="AQ12" s="326"/>
      <c r="AR12" s="326"/>
      <c r="AS12" s="326"/>
      <c r="AT12" s="326"/>
    </row>
    <row r="13" customFormat="false" ht="14.25" hidden="false" customHeight="false" outlineLevel="0" collapsed="false">
      <c r="D13" s="324"/>
      <c r="E13" s="324"/>
      <c r="F13" s="324"/>
      <c r="G13" s="324"/>
      <c r="H13" s="324"/>
      <c r="N13" s="325"/>
      <c r="O13" s="326"/>
      <c r="P13" s="326"/>
      <c r="Q13" s="326"/>
      <c r="R13" s="326"/>
      <c r="S13" s="326"/>
      <c r="T13" s="326"/>
      <c r="U13" s="326"/>
      <c r="V13" s="326"/>
      <c r="W13" s="326"/>
      <c r="X13" s="326"/>
      <c r="Y13" s="326"/>
      <c r="Z13" s="325"/>
      <c r="AA13" s="325"/>
      <c r="AB13" s="325"/>
      <c r="AC13" s="325"/>
      <c r="AD13" s="325"/>
      <c r="AE13" s="325"/>
      <c r="AF13" s="325"/>
      <c r="AG13" s="325"/>
      <c r="AH13" s="325"/>
      <c r="AI13" s="325"/>
      <c r="AJ13" s="325"/>
      <c r="AK13" s="325"/>
      <c r="AL13" s="325"/>
      <c r="AM13" s="325"/>
      <c r="AP13" s="326"/>
      <c r="AQ13" s="326"/>
      <c r="AR13" s="326"/>
      <c r="AS13" s="326"/>
      <c r="AT13" s="326"/>
    </row>
    <row r="14" s="311" customFormat="true" ht="46.15" hidden="false" customHeight="true" outlineLevel="0" collapsed="false">
      <c r="B14" s="312"/>
      <c r="C14" s="312" t="s">
        <v>368</v>
      </c>
      <c r="D14" s="312" t="s">
        <v>369</v>
      </c>
      <c r="E14" s="312" t="s">
        <v>260</v>
      </c>
      <c r="F14" s="312" t="s">
        <v>262</v>
      </c>
      <c r="G14" s="312" t="s">
        <v>264</v>
      </c>
      <c r="H14" s="312" t="s">
        <v>373</v>
      </c>
      <c r="I14" s="313" t="s">
        <v>268</v>
      </c>
      <c r="J14" s="314" t="str">
        <f aca="false">+J8</f>
        <v>[ocultar]</v>
      </c>
      <c r="K14" s="314" t="str">
        <f aca="false">+K8</f>
        <v>[ocultar]</v>
      </c>
      <c r="L14" s="314" t="str">
        <f aca="false">+L8</f>
        <v>[ocultar]</v>
      </c>
      <c r="M14" s="314" t="str">
        <f aca="false">+M8</f>
        <v>[ocultar]</v>
      </c>
      <c r="N14" s="314" t="str">
        <f aca="false">+N8</f>
        <v>[ocultar]</v>
      </c>
      <c r="O14" s="314" t="str">
        <f aca="false">+O8</f>
        <v>[ocultar]</v>
      </c>
      <c r="P14" s="314" t="str">
        <f aca="false">+P8</f>
        <v>[ocultar]</v>
      </c>
      <c r="Q14" s="314" t="str">
        <f aca="false">+Q8</f>
        <v>[ocultar]</v>
      </c>
      <c r="R14" s="314" t="str">
        <f aca="false">+R8</f>
        <v>[ocultar]</v>
      </c>
      <c r="S14" s="314" t="str">
        <f aca="false">+S8</f>
        <v>[ocultar]</v>
      </c>
      <c r="T14" s="314" t="str">
        <f aca="false">+T8</f>
        <v>[ocultar]</v>
      </c>
      <c r="U14" s="314" t="str">
        <f aca="false">+U8</f>
        <v>[ocultar]</v>
      </c>
      <c r="V14" s="314" t="str">
        <f aca="false">+V8</f>
        <v>[ocultar]</v>
      </c>
      <c r="W14" s="314" t="str">
        <f aca="false">+W8</f>
        <v>[ocultar]</v>
      </c>
      <c r="X14" s="314" t="str">
        <f aca="false">+X8</f>
        <v>[ocultar]</v>
      </c>
      <c r="Y14" s="314" t="str">
        <f aca="false">+Y8</f>
        <v>[ocultar]</v>
      </c>
      <c r="Z14" s="314" t="str">
        <f aca="false">+Z8</f>
        <v>[ocultar]</v>
      </c>
      <c r="AA14" s="314" t="str">
        <f aca="false">+AA8</f>
        <v>[ocultar]</v>
      </c>
      <c r="AB14" s="314" t="str">
        <f aca="false">+AB8</f>
        <v>[ocultar]</v>
      </c>
      <c r="AC14" s="314" t="str">
        <f aca="false">+AC8</f>
        <v>[ocultar]</v>
      </c>
      <c r="AD14" s="314" t="str">
        <f aca="false">+AD8</f>
        <v>[ocultar]</v>
      </c>
      <c r="AE14" s="314" t="str">
        <f aca="false">+AE8</f>
        <v>[ocultar]</v>
      </c>
      <c r="AF14" s="314" t="str">
        <f aca="false">+AF8</f>
        <v>[ocultar]</v>
      </c>
      <c r="AG14" s="314" t="str">
        <f aca="false">+AG8</f>
        <v>[ocultar]</v>
      </c>
      <c r="AH14" s="314" t="str">
        <f aca="false">+AH8</f>
        <v>[ocultar]</v>
      </c>
      <c r="AI14" s="314" t="str">
        <f aca="false">+AI8</f>
        <v>[ocultar]</v>
      </c>
      <c r="AJ14" s="314" t="str">
        <f aca="false">+AJ8</f>
        <v>[ocultar]</v>
      </c>
      <c r="AK14" s="314" t="str">
        <f aca="false">+AK8</f>
        <v>[ocultar]</v>
      </c>
      <c r="AL14" s="314" t="str">
        <f aca="false">+AL8</f>
        <v>[ocultar]</v>
      </c>
      <c r="AM14" s="314" t="str">
        <f aca="false">+AM8</f>
        <v>[ocultar]</v>
      </c>
      <c r="AN14" s="315" t="s">
        <v>269</v>
      </c>
      <c r="AO14" s="316" t="s">
        <v>270</v>
      </c>
      <c r="AP14" s="317" t="str">
        <f aca="false">+AP8</f>
        <v>[ocultar]</v>
      </c>
      <c r="AQ14" s="317" t="str">
        <f aca="false">+AQ8</f>
        <v>[ocultar]</v>
      </c>
      <c r="AR14" s="317" t="str">
        <f aca="false">+AR8</f>
        <v>[ocultar]</v>
      </c>
      <c r="AS14" s="317" t="str">
        <f aca="false">+AS8</f>
        <v>[ocultar]</v>
      </c>
      <c r="AT14" s="317" t="str">
        <f aca="false">+AT8</f>
        <v>[ocultar]</v>
      </c>
      <c r="AU14" s="318" t="s">
        <v>271</v>
      </c>
      <c r="AV14" s="319" t="s">
        <v>272</v>
      </c>
    </row>
    <row r="15" customFormat="false" ht="15.75" hidden="false" customHeight="false" outlineLevel="0" collapsed="false">
      <c r="A15" s="217" t="str">
        <f aca="false">+A16</f>
        <v>[ocultar]</v>
      </c>
      <c r="B15" s="320" t="s">
        <v>174</v>
      </c>
      <c r="C15" s="236"/>
      <c r="D15" s="237"/>
      <c r="E15" s="237"/>
      <c r="F15" s="237"/>
      <c r="G15" s="237"/>
      <c r="H15" s="237"/>
      <c r="I15" s="238" t="str">
        <f aca="false">IFERROR((I16-I17)/I16,"")</f>
        <v/>
      </c>
      <c r="J15" s="239" t="str">
        <f aca="false">IFERROR((J16-J17)/J16,"")</f>
        <v/>
      </c>
      <c r="K15" s="239" t="str">
        <f aca="false">IFERROR((K16-K17)/K16,"")</f>
        <v/>
      </c>
      <c r="L15" s="239" t="str">
        <f aca="false">IFERROR((L16-L17)/L16,"")</f>
        <v/>
      </c>
      <c r="M15" s="239" t="str">
        <f aca="false">IFERROR((M16-M17)/M16,"")</f>
        <v/>
      </c>
      <c r="N15" s="239" t="str">
        <f aca="false">IFERROR((N16-N17)/N16,"")</f>
        <v/>
      </c>
      <c r="O15" s="239" t="str">
        <f aca="false">IFERROR((O16-O17)/O16,"")</f>
        <v/>
      </c>
      <c r="P15" s="239" t="str">
        <f aca="false">IFERROR((P16-P17)/P16,"")</f>
        <v/>
      </c>
      <c r="Q15" s="239" t="str">
        <f aca="false">IFERROR((Q16-Q17)/Q16,"")</f>
        <v/>
      </c>
      <c r="R15" s="239" t="str">
        <f aca="false">IFERROR((R16-R17)/R16,"")</f>
        <v/>
      </c>
      <c r="S15" s="239" t="str">
        <f aca="false">IFERROR((S16-S17)/S16,"")</f>
        <v/>
      </c>
      <c r="T15" s="239" t="str">
        <f aca="false">IFERROR((T16-T17)/T16,"")</f>
        <v/>
      </c>
      <c r="U15" s="239" t="str">
        <f aca="false">IFERROR((U16-U17)/U16,"")</f>
        <v/>
      </c>
      <c r="V15" s="239" t="str">
        <f aca="false">IFERROR((V16-V17)/V16,"")</f>
        <v/>
      </c>
      <c r="W15" s="239" t="str">
        <f aca="false">IFERROR((W16-W17)/W16,"")</f>
        <v/>
      </c>
      <c r="X15" s="239" t="str">
        <f aca="false">IFERROR((X16-X17)/X16,"")</f>
        <v/>
      </c>
      <c r="Y15" s="239" t="str">
        <f aca="false">IFERROR((Y16-Y17)/Y16,"")</f>
        <v/>
      </c>
      <c r="Z15" s="240" t="str">
        <f aca="false">IFERROR((Z16-Z17)/Z16,"")</f>
        <v/>
      </c>
      <c r="AA15" s="240" t="str">
        <f aca="false">IFERROR((AA16-AA17)/AA16,"")</f>
        <v/>
      </c>
      <c r="AB15" s="240" t="str">
        <f aca="false">IFERROR((AB16-AB17)/AB16,"")</f>
        <v/>
      </c>
      <c r="AC15" s="240" t="str">
        <f aca="false">IFERROR((AC16-AC17)/AC16,"")</f>
        <v/>
      </c>
      <c r="AD15" s="240" t="str">
        <f aca="false">IFERROR((AD16-AD17)/AD16,"")</f>
        <v/>
      </c>
      <c r="AE15" s="240" t="str">
        <f aca="false">IFERROR((AE16-AE17)/AE16,"")</f>
        <v/>
      </c>
      <c r="AF15" s="240" t="str">
        <f aca="false">IFERROR((AF16-AF17)/AF16,"")</f>
        <v/>
      </c>
      <c r="AG15" s="240" t="str">
        <f aca="false">IFERROR((AG16-AG17)/AG16,"")</f>
        <v/>
      </c>
      <c r="AH15" s="240" t="str">
        <f aca="false">IFERROR((AH16-AH17)/AH16,"")</f>
        <v/>
      </c>
      <c r="AI15" s="240" t="str">
        <f aca="false">IFERROR((AI16-AI17)/AI16,"")</f>
        <v/>
      </c>
      <c r="AJ15" s="240" t="str">
        <f aca="false">IFERROR((AJ16-AJ17)/AJ16,"")</f>
        <v/>
      </c>
      <c r="AK15" s="240" t="str">
        <f aca="false">IFERROR((AK16-AK17)/AK16,"")</f>
        <v/>
      </c>
      <c r="AL15" s="240" t="str">
        <f aca="false">IFERROR((AL16-AL17)/AL16,"")</f>
        <v/>
      </c>
      <c r="AM15" s="240" t="str">
        <f aca="false">IFERROR((AM16-AM17)/AM16,"")</f>
        <v/>
      </c>
      <c r="AN15" s="241" t="str">
        <f aca="false">IFERROR((AN16-AN17)/AN16,"")</f>
        <v/>
      </c>
      <c r="AO15" s="242" t="str">
        <f aca="false">IFERROR((AO16-AO17)/AO16,"")</f>
        <v/>
      </c>
      <c r="AP15" s="243" t="str">
        <f aca="false">IFERROR((AP16-AP17)/AP16,"")</f>
        <v/>
      </c>
      <c r="AQ15" s="243" t="str">
        <f aca="false">IFERROR((AQ16-AQ17)/AQ16,"")</f>
        <v/>
      </c>
      <c r="AR15" s="243" t="str">
        <f aca="false">IFERROR((AR16-AR17)/AR16,"")</f>
        <v/>
      </c>
      <c r="AS15" s="243" t="str">
        <f aca="false">IFERROR((AS16-AS17)/AS16,"")</f>
        <v/>
      </c>
      <c r="AT15" s="243" t="str">
        <f aca="false">IFERROR((AT16-AT17)/AT16,"")</f>
        <v/>
      </c>
      <c r="AU15" s="244" t="str">
        <f aca="false">IFERROR((AU16-AU17)/AU16,"")</f>
        <v/>
      </c>
      <c r="AV15" s="245" t="str">
        <f aca="false">IFERROR((AV16-AV17)/AV16,"")</f>
        <v/>
      </c>
    </row>
    <row r="16" customFormat="false" ht="14.25" hidden="false" customHeight="false" outlineLevel="0" collapsed="false">
      <c r="A16" s="217" t="str">
        <f aca="false">+IF(C16+C17=0,"[ocultar]","")</f>
        <v>[ocultar]</v>
      </c>
      <c r="B16" s="323" t="s">
        <v>371</v>
      </c>
      <c r="C16" s="247" t="n">
        <f aca="false" t="array" ref="C16:C16">SUM(IF($B16=DATOS_[Sexo], IF($B15=DATOS_[AGRUP. VALOR. PTO.], IF("Dentro"=DATOS_[Check Periodo Ref.], 1/(COUNTIFS(DATOS_[Sexo],$B16,DATOS_[AGRUP. VALOR. PTO.],$B15,DATOS_[Check Periodo Ref.],"Dentro",DATOS_[id],DATOS_[id]))))))</f>
        <v>0</v>
      </c>
      <c r="D16" s="248" t="n">
        <f aca="false">COUNTIFS(DATOS_[AGRUP. VALOR. PTO.],$B15,DATOS_[Sexo],$B16,DATOS_[Check Periodo Ref.],"Dentro")</f>
        <v>0</v>
      </c>
      <c r="E16" s="248" t="n">
        <f aca="false">COUNTIFS(DATOS_[AGRUP. VALOR. PTO.],$B15,DATOS_[Sexo],$B16,DATOS_[Check Periodo Ref.],"Dentro",DATOS_[Check Nº SC Norm],"Sí")</f>
        <v>0</v>
      </c>
      <c r="F16" s="248" t="n">
        <f aca="false">COUNTIFS(DATOS_[AGRUP. VALOR. PTO.],$B15,DATOS_[Sexo],$B16,DATOS_[Check Periodo Ref.],"Dentro",DATOS_[Check Nº SC Anualiz],"Sí")</f>
        <v>0</v>
      </c>
      <c r="G16" s="248" t="n">
        <f aca="false">COUNTIFS(DATOS_[AGRUP. VALOR. PTO.],$B15,DATOS_[Sexo],$B16,DATOS_[Check Periodo Ref.],"Dentro",DATOS_[Check Nº SC Norm y Anualiz],"Sí")</f>
        <v>0</v>
      </c>
      <c r="H16" s="248" t="n">
        <f aca="false">COUNTIFS(DATOS_[AGRUP. VALOR. PTO.],$B15,DATOS_[Sexo],$B16,DATOS_[Check Periodo Ref.],"Dentro",DATOS_[Check Equiparación],"Sí")</f>
        <v>0</v>
      </c>
      <c r="I16" s="249" t="n">
        <f aca="false" t="array" ref="I16:I16">IFERROR( MEDIAN(IF(DATOS_[Sexo]=$B16,IF(DATOS_[[AGRUP. VALOR. PTO.]:[AGRUP. VALOR. PTO.]]=$B15,IF(DATOS_[Check Equiparado]="Sí",IF(DATOS_[Check Periodo Ref.]="Dentro",DATOS_[SALARIO BASE Eq],0))))), 0)</f>
        <v>0</v>
      </c>
      <c r="J16" s="250" t="n">
        <f aca="false" t="array" ref="J16:J16">IFERROR( (MEDIAN((IF(DATOS_[[Sexo]:[Sexo]]=$B16,IF(DATOS_[[AGRUP. VALOR. PTO.]:[AGRUP. VALOR. PTO.]]=$B15,IF(DATOS_[[Check Periodo Ref.]:[Check Periodo Ref.]]="Dentro",IF(DATOS_[[Check Equiparado]:[Check Equiparado]]="Sí",IF(DATOS!AE$4="Sí",(1/DATOS_[[% anualiz]:[% anualiz]]),1)*IF(DATOS!AE$5="Sí",1/DATOS_[[% normaliz]:[% normaliz]],1)*(DATOS_[Conc.Sal.01])))))))), 0)</f>
        <v>0</v>
      </c>
      <c r="K16" s="250" t="n">
        <f aca="false" t="array" ref="K16:K16">IFERROR( (MEDIAN((IF(DATOS_[[Sexo]:[Sexo]]=$B16,IF(DATOS_[[AGRUP. VALOR. PTO.]:[AGRUP. VALOR. PTO.]]=$B15,IF(DATOS_[[Check Periodo Ref.]:[Check Periodo Ref.]]="Dentro",IF(DATOS_[[Check Equiparado]:[Check Equiparado]]="Sí",IF(DATOS!AF$4="Sí",(1/DATOS_[[% anualiz]:[% anualiz]]),1)*IF(DATOS!AF$5="Sí",1/DATOS_[[% normaliz]:[% normaliz]],1)*(DATOS_[Conc.Sal.02])))))))), 0)</f>
        <v>0</v>
      </c>
      <c r="L16" s="250" t="n">
        <f aca="false" t="array" ref="L16:L16">IFERROR( (MEDIAN((IF(DATOS_[[Sexo]:[Sexo]]=$B16,IF(DATOS_[[AGRUP. VALOR. PTO.]:[AGRUP. VALOR. PTO.]]=$B15,IF(DATOS_[[Check Periodo Ref.]:[Check Periodo Ref.]]="Dentro",IF(DATOS_[[Check Equiparado]:[Check Equiparado]]="Sí",IF(DATOS!AG$4="Sí",(1/DATOS_[[% anualiz]:[% anualiz]]),1)*IF(DATOS!AG$5="Sí",1/DATOS_[[% normaliz]:[% normaliz]],1)*(DATOS_[Conc.Sal.03])))))))), 0)</f>
        <v>0</v>
      </c>
      <c r="M16" s="250" t="n">
        <f aca="false" t="array" ref="M16:M16">IFERROR( (MEDIAN((IF(DATOS_[[Sexo]:[Sexo]]=$B16,IF(DATOS_[[AGRUP. VALOR. PTO.]:[AGRUP. VALOR. PTO.]]=$B15,IF(DATOS_[[Check Periodo Ref.]:[Check Periodo Ref.]]="Dentro",IF(DATOS_[[Check Equiparado]:[Check Equiparado]]="Sí",IF(DATOS!AH$4="Sí",(1/DATOS_[[% anualiz]:[% anualiz]]),1)*IF(DATOS!AH$5="Sí",1/DATOS_[[% normaliz]:[% normaliz]],1)*(DATOS_[Conc.Sal.04])))))))), 0)</f>
        <v>0</v>
      </c>
      <c r="N16" s="250" t="n">
        <f aca="false" t="array" ref="N16:N16">IFERROR( (MEDIAN((IF(DATOS_[[Sexo]:[Sexo]]=$B16,IF(DATOS_[[AGRUP. VALOR. PTO.]:[AGRUP. VALOR. PTO.]]=$B15,IF(DATOS_[[Check Periodo Ref.]:[Check Periodo Ref.]]="Dentro",IF(DATOS_[[Check Equiparado]:[Check Equiparado]]="Sí",IF(DATOS!AI$4="Sí",(1/DATOS_[[% anualiz]:[% anualiz]]),1)*IF(DATOS!AI$5="Sí",1/DATOS_[[% normaliz]:[% normaliz]],1)*(DATOS_[Conc.Sal.05])))))))), 0)</f>
        <v>0</v>
      </c>
      <c r="O16" s="250" t="n">
        <f aca="false" t="array" ref="O16:O16">IFERROR( (MEDIAN((IF(DATOS_[[Sexo]:[Sexo]]=$B16,IF(DATOS_[[AGRUP. VALOR. PTO.]:[AGRUP. VALOR. PTO.]]=$B15,IF(DATOS_[[Check Periodo Ref.]:[Check Periodo Ref.]]="Dentro",IF(DATOS_[[Check Equiparado]:[Check Equiparado]]="Sí",IF(DATOS!AJ$4="Sí",(1/DATOS_[[% anualiz]:[% anualiz]]),1)*IF(DATOS!AJ$5="Sí",1/DATOS_[[% normaliz]:[% normaliz]],1)*(DATOS_[Conc.Sal.06])))))))), 0)</f>
        <v>0</v>
      </c>
      <c r="P16" s="250" t="n">
        <f aca="false" t="array" ref="P16:P16">IFERROR( (MEDIAN((IF(DATOS_[[Sexo]:[Sexo]]=$B16,IF(DATOS_[[AGRUP. VALOR. PTO.]:[AGRUP. VALOR. PTO.]]=$B15,IF(DATOS_[[Check Periodo Ref.]:[Check Periodo Ref.]]="Dentro",IF(DATOS_[[Check Equiparado]:[Check Equiparado]]="Sí",IF(DATOS!AK$4="Sí",(1/DATOS_[[% anualiz]:[% anualiz]]),1)*IF(DATOS!AK$5="Sí",1/DATOS_[[% normaliz]:[% normaliz]],1)*(DATOS_[Conc.Sal.07])))))))), 0)</f>
        <v>0</v>
      </c>
      <c r="Q16" s="250" t="n">
        <f aca="false" t="array" ref="Q16:Q16">IFERROR( (MEDIAN((IF(DATOS_[[Sexo]:[Sexo]]=$B16,IF(DATOS_[[AGRUP. VALOR. PTO.]:[AGRUP. VALOR. PTO.]]=$B15,IF(DATOS_[[Check Periodo Ref.]:[Check Periodo Ref.]]="Dentro",IF(DATOS_[[Check Equiparado]:[Check Equiparado]]="Sí",IF(DATOS!AL$4="Sí",(1/DATOS_[[% anualiz]:[% anualiz]]),1)*IF(DATOS!AL$5="Sí",1/DATOS_[[% normaliz]:[% normaliz]],1)*(DATOS_[Conc.Sal.08])))))))), 0)</f>
        <v>0</v>
      </c>
      <c r="R16" s="250" t="n">
        <f aca="false" t="array" ref="R16:R16">IFERROR( (MEDIAN((IF(DATOS_[[Sexo]:[Sexo]]=$B16,IF(DATOS_[[AGRUP. VALOR. PTO.]:[AGRUP. VALOR. PTO.]]=$B15,IF(DATOS_[[Check Periodo Ref.]:[Check Periodo Ref.]]="Dentro",IF(DATOS_[[Check Equiparado]:[Check Equiparado]]="Sí",IF(DATOS!AM$4="Sí",(1/DATOS_[[% anualiz]:[% anualiz]]),1)*IF(DATOS!AM$5="Sí",1/DATOS_[[% normaliz]:[% normaliz]],1)*(DATOS_[Conc.Sal.09])))))))), 0)</f>
        <v>0</v>
      </c>
      <c r="S16" s="250" t="n">
        <f aca="false" t="array" ref="S16:S16">IFERROR( (MEDIAN((IF(DATOS_[[Sexo]:[Sexo]]=$B16,IF(DATOS_[[AGRUP. VALOR. PTO.]:[AGRUP. VALOR. PTO.]]=$B15,IF(DATOS_[[Check Periodo Ref.]:[Check Periodo Ref.]]="Dentro",IF(DATOS_[[Check Equiparado]:[Check Equiparado]]="Sí",IF(DATOS!AN$4="Sí",(1/DATOS_[[% anualiz]:[% anualiz]]),1)*IF(DATOS!AN$5="Sí",1/DATOS_[[% normaliz]:[% normaliz]],1)*(DATOS_[Conc.Sal.10])))))))), 0)</f>
        <v>0</v>
      </c>
      <c r="T16" s="250" t="n">
        <f aca="false" t="array" ref="T16:T16">IFERROR( (MEDIAN((IF(DATOS_[[Sexo]:[Sexo]]=$B16,IF(DATOS_[[AGRUP. VALOR. PTO.]:[AGRUP. VALOR. PTO.]]=$B15,IF(DATOS_[[Check Periodo Ref.]:[Check Periodo Ref.]]="Dentro",IF(DATOS_[[Check Equiparado]:[Check Equiparado]]="Sí",IF(DATOS!AO$4="Sí",(1/DATOS_[[% anualiz]:[% anualiz]]),1)*IF(DATOS!AO$5="Sí",1/DATOS_[[% normaliz]:[% normaliz]],1)*(DATOS_[Conc.Sal.11])))))))), 0)</f>
        <v>0</v>
      </c>
      <c r="U16" s="250" t="n">
        <f aca="false" t="array" ref="U16:U16">IFERROR( (MEDIAN((IF(DATOS_[[Sexo]:[Sexo]]=$B16,IF(DATOS_[[AGRUP. VALOR. PTO.]:[AGRUP. VALOR. PTO.]]=$B15,IF(DATOS_[[Check Periodo Ref.]:[Check Periodo Ref.]]="Dentro",IF(DATOS_[[Check Equiparado]:[Check Equiparado]]="Sí",IF(DATOS!AP$4="Sí",(1/DATOS_[[% anualiz]:[% anualiz]]),1)*IF(DATOS!AP$5="Sí",1/DATOS_[[% normaliz]:[% normaliz]],1)*(DATOS_[Conc.Sal.12])))))))), 0)</f>
        <v>0</v>
      </c>
      <c r="V16" s="250" t="n">
        <f aca="false" t="array" ref="V16:V16">IFERROR( (MEDIAN((IF(DATOS_[[Sexo]:[Sexo]]=$B16,IF(DATOS_[[AGRUP. VALOR. PTO.]:[AGRUP. VALOR. PTO.]]=$B15,IF(DATOS_[[Check Periodo Ref.]:[Check Periodo Ref.]]="Dentro",IF(DATOS_[[Check Equiparado]:[Check Equiparado]]="Sí",IF(DATOS!AQ$4="Sí",(1/DATOS_[[% anualiz]:[% anualiz]]),1)*IF(DATOS!AQ$5="Sí",1/DATOS_[[% normaliz]:[% normaliz]],1)*(DATOS_[Conc.Sal.13])))))))), 0)</f>
        <v>0</v>
      </c>
      <c r="W16" s="250" t="n">
        <f aca="false" t="array" ref="W16:W16">IFERROR( (MEDIAN((IF(DATOS_[[Sexo]:[Sexo]]=$B16,IF(DATOS_[[AGRUP. VALOR. PTO.]:[AGRUP. VALOR. PTO.]]=$B15,IF(DATOS_[[Check Periodo Ref.]:[Check Periodo Ref.]]="Dentro",IF(DATOS_[[Check Equiparado]:[Check Equiparado]]="Sí",IF(DATOS!AR$4="Sí",(1/DATOS_[[% anualiz]:[% anualiz]]),1)*IF(DATOS!AR$5="Sí",1/DATOS_[[% normaliz]:[% normaliz]],1)*(DATOS_[Conc.Sal.14])))))))), 0)</f>
        <v>0</v>
      </c>
      <c r="X16" s="250" t="n">
        <f aca="false" t="array" ref="X16:X16">IFERROR( (MEDIAN((IF(DATOS_[[Sexo]:[Sexo]]=$B16,IF(DATOS_[[AGRUP. VALOR. PTO.]:[AGRUP. VALOR. PTO.]]=$B15,IF(DATOS_[[Check Periodo Ref.]:[Check Periodo Ref.]]="Dentro",IF(DATOS_[[Check Equiparado]:[Check Equiparado]]="Sí",IF(DATOS!AS$4="Sí",(1/DATOS_[[% anualiz]:[% anualiz]]),1)*IF(DATOS!AS$5="Sí",1/DATOS_[[% normaliz]:[% normaliz]],1)*(DATOS_[Conc.Sal.15])))))))), 0)</f>
        <v>0</v>
      </c>
      <c r="Y16" s="250" t="n">
        <f aca="false" t="array" ref="Y16:Y16">IFERROR( (MEDIAN((IF(DATOS_[[Sexo]:[Sexo]]=$B16,IF(DATOS_[[AGRUP. VALOR. PTO.]:[AGRUP. VALOR. PTO.]]=$B15,IF(DATOS_[[Check Periodo Ref.]:[Check Periodo Ref.]]="Dentro",IF(DATOS_[[Check Equiparado]:[Check Equiparado]]="Sí",IF(DATOS!AT$4="Sí",(1/DATOS_[[% anualiz]:[% anualiz]]),1)*IF(DATOS!AT$5="Sí",1/DATOS_[[% normaliz]:[% normaliz]],1)*(DATOS_[Conc.Sal.16])))))))), 0)</f>
        <v>0</v>
      </c>
      <c r="Z16" s="250" t="n">
        <f aca="false" t="array" ref="Z16:Z16">IFERROR( (MEDIAN((IF(DATOS_[[Sexo]:[Sexo]]=$B16,IF(DATOS_[[AGRUP. VALOR. PTO.]:[AGRUP. VALOR. PTO.]]=$B15,IF(DATOS_[[Check Periodo Ref.]:[Check Periodo Ref.]]="Dentro",IF(DATOS_[[Check Equiparado]:[Check Equiparado]]="Sí",IF(DATOS!AU$4="Sí",(1/DATOS_[[% anualiz]:[% anualiz]]),1)*IF(DATOS!AU$5="Sí",1/DATOS_[[% normaliz]:[% normaliz]],1)*(DATOS_[Conc.Sal.17])))))))), 0)</f>
        <v>0</v>
      </c>
      <c r="AA16" s="250" t="n">
        <f aca="false" t="array" ref="AA16:AA16">IFERROR( (MEDIAN((IF(DATOS_[[Sexo]:[Sexo]]=$B16,IF(DATOS_[[AGRUP. VALOR. PTO.]:[AGRUP. VALOR. PTO.]]=$B15,IF(DATOS_[[Check Periodo Ref.]:[Check Periodo Ref.]]="Dentro",IF(DATOS_[[Check Equiparado]:[Check Equiparado]]="Sí",IF(DATOS!AV$4="Sí",(1/DATOS_[[% anualiz]:[% anualiz]]),1)*IF(DATOS!AV$5="Sí",1/DATOS_[[% normaliz]:[% normaliz]],1)*(DATOS_[Conc.Sal.18])))))))), 0)</f>
        <v>0</v>
      </c>
      <c r="AB16" s="250" t="n">
        <f aca="false" t="array" ref="AB16:AB16">IFERROR( (MEDIAN((IF(DATOS_[[Sexo]:[Sexo]]=$B16,IF(DATOS_[[AGRUP. VALOR. PTO.]:[AGRUP. VALOR. PTO.]]=$B15,IF(DATOS_[[Check Periodo Ref.]:[Check Periodo Ref.]]="Dentro",IF(DATOS_[[Check Equiparado]:[Check Equiparado]]="Sí",IF(DATOS!AW$4="Sí",(1/DATOS_[[% anualiz]:[% anualiz]]),1)*IF(DATOS!AW$5="Sí",1/DATOS_[[% normaliz]:[% normaliz]],1)*(DATOS_[Conc.Sal.19])))))))), 0)</f>
        <v>0</v>
      </c>
      <c r="AC16" s="250" t="n">
        <f aca="false" t="array" ref="AC16:AC16">IFERROR( (MEDIAN((IF(DATOS_[[Sexo]:[Sexo]]=$B16,IF(DATOS_[[AGRUP. VALOR. PTO.]:[AGRUP. VALOR. PTO.]]=$B15,IF(DATOS_[[Check Periodo Ref.]:[Check Periodo Ref.]]="Dentro",IF(DATOS_[[Check Equiparado]:[Check Equiparado]]="Sí",IF(DATOS!AX$4="Sí",(1/DATOS_[[% anualiz]:[% anualiz]]),1)*IF(DATOS!AX$5="Sí",1/DATOS_[[% normaliz]:[% normaliz]],1)*(DATOS_[Conc.Sal.20])))))))), 0)</f>
        <v>0</v>
      </c>
      <c r="AD16" s="250" t="n">
        <f aca="false" t="array" ref="AD16:AD16">IFERROR( (MEDIAN((IF(DATOS_[[Sexo]:[Sexo]]=$B16,IF(DATOS_[[AGRUP. VALOR. PTO.]:[AGRUP. VALOR. PTO.]]=$B15,IF(DATOS_[[Check Periodo Ref.]:[Check Periodo Ref.]]="Dentro",IF(DATOS_[[Check Equiparado]:[Check Equiparado]]="Sí",IF(DATOS!AY$4="Sí",(1/DATOS_[[% anualiz]:[% anualiz]]),1)*IF(DATOS!AY$5="Sí",1/DATOS_[[% normaliz]:[% normaliz]],1)*(DATOS_[Conc.Sal.21])))))))), 0)</f>
        <v>0</v>
      </c>
      <c r="AE16" s="250" t="n">
        <f aca="false" t="array" ref="AE16:AE16">IFERROR( (MEDIAN((IF(DATOS_[[Sexo]:[Sexo]]=$B16,IF(DATOS_[[AGRUP. VALOR. PTO.]:[AGRUP. VALOR. PTO.]]=$B15,IF(DATOS_[[Check Periodo Ref.]:[Check Periodo Ref.]]="Dentro",IF(DATOS_[[Check Equiparado]:[Check Equiparado]]="Sí",IF(DATOS!AZ$4="Sí",(1/DATOS_[[% anualiz]:[% anualiz]]),1)*IF(DATOS!AZ$5="Sí",1/DATOS_[[% normaliz]:[% normaliz]],1)*(DATOS_[Conc.Sal.22])))))))), 0)</f>
        <v>0</v>
      </c>
      <c r="AF16" s="250" t="n">
        <f aca="false" t="array" ref="AF16:AF16">IFERROR( (MEDIAN((IF(DATOS_[[Sexo]:[Sexo]]=$B16,IF(DATOS_[[AGRUP. VALOR. PTO.]:[AGRUP. VALOR. PTO.]]=$B15,IF(DATOS_[[Check Periodo Ref.]:[Check Periodo Ref.]]="Dentro",IF(DATOS_[[Check Equiparado]:[Check Equiparado]]="Sí",IF(DATOS!BA$4="Sí",(1/DATOS_[[% anualiz]:[% anualiz]]),1)*IF(DATOS!BA$5="Sí",1/DATOS_[[% normaliz]:[% normaliz]],1)*(DATOS_[Conc.Sal.23])))))))), 0)</f>
        <v>0</v>
      </c>
      <c r="AG16" s="250" t="n">
        <f aca="false" t="array" ref="AG16:AG16">IFERROR( (MEDIAN((IF(DATOS_[[Sexo]:[Sexo]]=$B16,IF(DATOS_[[AGRUP. VALOR. PTO.]:[AGRUP. VALOR. PTO.]]=$B15,IF(DATOS_[[Check Periodo Ref.]:[Check Periodo Ref.]]="Dentro",IF(DATOS_[[Check Equiparado]:[Check Equiparado]]="Sí",IF(DATOS!BB$4="Sí",(1/DATOS_[[% anualiz]:[% anualiz]]),1)*IF(DATOS!BB$5="Sí",1/DATOS_[[% normaliz]:[% normaliz]],1)*(DATOS_[Conc.Sal.24])))))))), 0)</f>
        <v>0</v>
      </c>
      <c r="AH16" s="250" t="n">
        <f aca="false" t="array" ref="AH16:AH16">IFERROR( (MEDIAN((IF(DATOS_[[Sexo]:[Sexo]]=$B16,IF(DATOS_[[AGRUP. VALOR. PTO.]:[AGRUP. VALOR. PTO.]]=$B15,IF(DATOS_[[Check Periodo Ref.]:[Check Periodo Ref.]]="Dentro",IF(DATOS_[[Check Equiparado]:[Check Equiparado]]="Sí",IF(DATOS!BC$4="Sí",(1/DATOS_[[% anualiz]:[% anualiz]]),1)*IF(DATOS!BC$5="Sí",1/DATOS_[[% normaliz]:[% normaliz]],1)*(DATOS_[Conc.Sal.25])))))))), 0)</f>
        <v>0</v>
      </c>
      <c r="AI16" s="250" t="n">
        <f aca="false" t="array" ref="AI16:AI16">IFERROR( (MEDIAN((IF(DATOS_[[Sexo]:[Sexo]]=$B16,IF(DATOS_[[AGRUP. VALOR. PTO.]:[AGRUP. VALOR. PTO.]]=$B15,IF(DATOS_[[Check Periodo Ref.]:[Check Periodo Ref.]]="Dentro",IF(DATOS_[[Check Equiparado]:[Check Equiparado]]="Sí",IF(DATOS!BD$4="Sí",(1/DATOS_[[% anualiz]:[% anualiz]]),1)*IF(DATOS!BD$5="Sí",1/DATOS_[[% normaliz]:[% normaliz]],1)*(DATOS_[Conc.Sal.26])))))))), 0)</f>
        <v>0</v>
      </c>
      <c r="AJ16" s="250" t="n">
        <f aca="false" t="array" ref="AJ16:AJ16">IFERROR( (MEDIAN((IF(DATOS_[[Sexo]:[Sexo]]=$B16,IF(DATOS_[[AGRUP. VALOR. PTO.]:[AGRUP. VALOR. PTO.]]=$B15,IF(DATOS_[[Check Periodo Ref.]:[Check Periodo Ref.]]="Dentro",IF(DATOS_[[Check Equiparado]:[Check Equiparado]]="Sí",IF(DATOS!BE$4="Sí",(1/DATOS_[[% anualiz]:[% anualiz]]),1)*IF(DATOS!BE$5="Sí",1/DATOS_[[% normaliz]:[% normaliz]],1)*(DATOS_[Conc.Sal.27])))))))), 0)</f>
        <v>0</v>
      </c>
      <c r="AK16" s="250" t="n">
        <f aca="false" t="array" ref="AK16:AK16">IFERROR( (MEDIAN((IF(DATOS_[[Sexo]:[Sexo]]=$B16,IF(DATOS_[[AGRUP. VALOR. PTO.]:[AGRUP. VALOR. PTO.]]=$B15,IF(DATOS_[[Check Periodo Ref.]:[Check Periodo Ref.]]="Dentro",IF(DATOS_[[Check Equiparado]:[Check Equiparado]]="Sí",IF(DATOS!BF$4="Sí",(1/DATOS_[[% anualiz]:[% anualiz]]),1)*IF(DATOS!BF$5="Sí",1/DATOS_[[% normaliz]:[% normaliz]],1)*(DATOS_[Conc.Sal.28])))))))), 0)</f>
        <v>0</v>
      </c>
      <c r="AL16" s="250" t="n">
        <f aca="false" t="array" ref="AL16:AL16">IFERROR( (MEDIAN((IF(DATOS_[[Sexo]:[Sexo]]=$B16,IF(DATOS_[[AGRUP. VALOR. PTO.]:[AGRUP. VALOR. PTO.]]=$B15,IF(DATOS_[[Check Periodo Ref.]:[Check Periodo Ref.]]="Dentro",IF(DATOS_[[Check Equiparado]:[Check Equiparado]]="Sí",IF(DATOS!BG$4="Sí",(1/DATOS_[[% anualiz]:[% anualiz]]),1)*IF(DATOS!BG$5="Sí",1/DATOS_[[% normaliz]:[% normaliz]],1)*(DATOS_[Conc.Sal.29])))))))), 0)</f>
        <v>0</v>
      </c>
      <c r="AM16" s="250" t="n">
        <f aca="false" t="array" ref="AM16:AM16">IFERROR( (MEDIAN((IF(DATOS_[[Sexo]:[Sexo]]=$B16,IF(DATOS_[[AGRUP. VALOR. PTO.]:[AGRUP. VALOR. PTO.]]=$B15,IF(DATOS_[[Check Periodo Ref.]:[Check Periodo Ref.]]="Dentro",IF(DATOS_[[Check Equiparado]:[Check Equiparado]]="Sí",IF(DATOS!BH$4="Sí",(1/DATOS_[[% anualiz]:[% anualiz]]),1)*IF(DATOS!BH$5="Sí",1/DATOS_[[% normaliz]:[% normaliz]],1)*(DATOS_[Conc.Sal.30])))))))), 0)</f>
        <v>0</v>
      </c>
      <c r="AN16" s="251" t="n">
        <f aca="false" t="array" ref="AN16:AN16">IFERROR( MEDIAN(IF(DATOS_[Sexo]=$B16,IF(DATOS_[[AGRUP. VALOR. PTO.]:[AGRUP. VALOR. PTO.]]=$B15,IF(DATOS_[Check Equiparado]="Sí",IF(DATOS_[Check Periodo Ref.]="Dentro",DATOS_[Tot COMPL.SAL Eq],0))))), 0)</f>
        <v>0</v>
      </c>
      <c r="AO16" s="252" t="n">
        <f aca="false" t="array" ref="AO16:AO16">IFERROR( MEDIAN(IF(DATOS_[Sexo]=$B16,IF(DATOS_[[AGRUP. VALOR. PTO.]:[AGRUP. VALOR. PTO.]]=$B15,IF(DATOS_[Check Equiparado]="Sí",IF(DATOS_[Check Periodo Ref.]="Dentro",DATOS_[TOTAL SALARIO Eq],0))))), 0)</f>
        <v>0</v>
      </c>
      <c r="AP16" s="259" t="n">
        <f aca="false" t="array" ref="AP16:AP16">IFERROR( (MEDIAN((IF(DATOS_[[Sexo]:[Sexo]]=$B16,IF(DATOS_[[AGRUP. VALOR. PTO.]:[AGRUP. VALOR. PTO.]]=$B15,IF(DATOS_[[Check Periodo Ref.]:[Check Periodo Ref.]]="Dentro",IF(DATOS_[[Check Equiparado]:[Check Equiparado]]="Sí",IF(DATOS!BI$4="Sí",(1/DATOS_[[% anualiz]:[% anualiz]]),1)*IF(DATOS!BI$5="Sí",1/DATOS_[[% normaliz]:[% normaliz]],1)*(DATOS_[C.Extra.01])))))))), 0)</f>
        <v>0</v>
      </c>
      <c r="AQ16" s="259" t="n">
        <f aca="false" t="array" ref="AQ16:AQ16">IFERROR( (MEDIAN((IF(DATOS_[[Sexo]:[Sexo]]=$B16,IF(DATOS_[[AGRUP. VALOR. PTO.]:[AGRUP. VALOR. PTO.]]=$B15,IF(DATOS_[[Check Periodo Ref.]:[Check Periodo Ref.]]="Dentro",IF(DATOS_[[Check Equiparado]:[Check Equiparado]]="Sí",IF(DATOS!BJ$4="Sí",(1/DATOS_[[% anualiz]:[% anualiz]]),1)*IF(DATOS!BJ$5="Sí",1/DATOS_[[% normaliz]:[% normaliz]],1)*(DATOS_[C.Extra.02])))))))), 0)</f>
        <v>0</v>
      </c>
      <c r="AR16" s="259" t="n">
        <f aca="false" t="array" ref="AR16:AR16">IFERROR( (MEDIAN((IF(DATOS_[[Sexo]:[Sexo]]=$B16,IF(DATOS_[[AGRUP. VALOR. PTO.]:[AGRUP. VALOR. PTO.]]=$B15,IF(DATOS_[[Check Periodo Ref.]:[Check Periodo Ref.]]="Dentro",IF(DATOS_[[Check Equiparado]:[Check Equiparado]]="Sí",IF(DATOS!BK$4="Sí",(1/DATOS_[[% anualiz]:[% anualiz]]),1)*IF(DATOS!BK$5="Sí",1/DATOS_[[% normaliz]:[% normaliz]],1)*(DATOS_[C.Extra.03])))))))), 0)</f>
        <v>0</v>
      </c>
      <c r="AS16" s="259" t="n">
        <f aca="false" t="array" ref="AS16:AS16">IFERROR( (MEDIAN((IF(DATOS_[[Sexo]:[Sexo]]=$B16,IF(DATOS_[[AGRUP. VALOR. PTO.]:[AGRUP. VALOR. PTO.]]=$B15,IF(DATOS_[[Check Periodo Ref.]:[Check Periodo Ref.]]="Dentro",IF(DATOS_[[Check Equiparado]:[Check Equiparado]]="Sí",IF(DATOS!BL$4="Sí",(1/DATOS_[[% anualiz]:[% anualiz]]),1)*IF(DATOS!BL$5="Sí",1/DATOS_[[% normaliz]:[% normaliz]],1)*(DATOS_[C.Extra.04])))))))), 0)</f>
        <v>0</v>
      </c>
      <c r="AT16" s="259" t="n">
        <f aca="false" t="array" ref="AT16:AT16">IFERROR( (MEDIAN((IF(DATOS_[[Sexo]:[Sexo]]=$B16,IF(DATOS_[[AGRUP. VALOR. PTO.]:[AGRUP. VALOR. PTO.]]=$B15,IF(DATOS_[[Check Periodo Ref.]:[Check Periodo Ref.]]="Dentro",IF(DATOS_[[Check Equiparado]:[Check Equiparado]]="Sí",IF(DATOS!BM$4="Sí",(1/DATOS_[[% anualiz]:[% anualiz]]),1)*IF(DATOS!BM$5="Sí",1/DATOS_[[% normaliz]:[% normaliz]],1)*(DATOS_[C.Extra.05])))))))), 0)</f>
        <v>0</v>
      </c>
      <c r="AU16" s="254" t="n">
        <f aca="false" t="array" ref="AU16:AU16">IFERROR( MEDIAN(IF(DATOS_[Sexo]=$B16,IF(DATOS_[[AGRUP. VALOR. PTO.]:[AGRUP. VALOR. PTO.]]=$B15,IF(DATOS_[Check Equiparado]="Sí",IF(DATOS_[Check Periodo Ref.]="Dentro",DATOS_[Tot Extrasalarial Eq],0))))), 0)</f>
        <v>0</v>
      </c>
      <c r="AV16" s="255" t="n">
        <f aca="false" t="array" ref="AV16:AV16">IFERROR( MEDIAN(IF(DATOS_[Sexo]=$B16,IF(DATOS_[[AGRUP. VALOR. PTO.]:[AGRUP. VALOR. PTO.]]=$B15,IF(DATOS_[Check Equiparado]="Sí",IF(DATOS_[Check Periodo Ref.]="Dentro",DATOS_[TOTAL Retrib Eq],0))))), 0)</f>
        <v>0</v>
      </c>
    </row>
    <row r="17" customFormat="false" ht="14.25" hidden="false" customHeight="false" outlineLevel="0" collapsed="false">
      <c r="A17" s="217" t="str">
        <f aca="false">+A16</f>
        <v>[ocultar]</v>
      </c>
      <c r="B17" s="323" t="s">
        <v>372</v>
      </c>
      <c r="C17" s="247" t="n">
        <f aca="false" t="array" ref="C17:C17">SUM(IF($B17=DATOS_[Sexo], IF($B15=DATOS_[AGRUP. VALOR. PTO.], IF("Dentro"=DATOS_[Check Periodo Ref.], 1/(COUNTIFS(DATOS_[Sexo],$B17,DATOS_[AGRUP. VALOR. PTO.],$B15,DATOS_[Check Periodo Ref.],"Dentro",DATOS_[id],DATOS_[id]))))))</f>
        <v>0</v>
      </c>
      <c r="D17" s="248" t="n">
        <f aca="false">COUNTIFS(DATOS_[AGRUP. VALOR. PTO.],$B15,DATOS_[Sexo],$B17,DATOS_[Check Periodo Ref.],"Dentro")</f>
        <v>0</v>
      </c>
      <c r="E17" s="248" t="n">
        <f aca="false">COUNTIFS(DATOS_[AGRUP. VALOR. PTO.],$B15,DATOS_[Sexo],$B17,DATOS_[Check Periodo Ref.],"Dentro",DATOS_[Check Nº SC Norm],"Sí")</f>
        <v>0</v>
      </c>
      <c r="F17" s="248" t="n">
        <f aca="false">COUNTIFS(DATOS_[AGRUP. VALOR. PTO.],$B15,DATOS_[Sexo],$B17,DATOS_[Check Periodo Ref.],"Dentro",DATOS_[Check Nº SC Anualiz],"Sí")</f>
        <v>0</v>
      </c>
      <c r="G17" s="248" t="n">
        <f aca="false">COUNTIFS(DATOS_[AGRUP. VALOR. PTO.],$B15,DATOS_[Sexo],$B17,DATOS_[Check Periodo Ref.],"Dentro",DATOS_[Check Nº SC Norm y Anualiz],"Sí")</f>
        <v>0</v>
      </c>
      <c r="H17" s="248" t="n">
        <f aca="false">COUNTIFS(DATOS_[AGRUP. VALOR. PTO.],$B15,DATOS_[Sexo],$B17,DATOS_[Check Periodo Ref.],"Dentro",DATOS_[Check Equiparación],"Sí")</f>
        <v>0</v>
      </c>
      <c r="I17" s="249" t="n">
        <f aca="false" t="array" ref="I17:I17">IFERROR( MEDIAN(IF(DATOS_[Sexo]=$B17,IF(DATOS_[[AGRUP. VALOR. PTO.]:[AGRUP. VALOR. PTO.]]=$B15,IF(DATOS_[Check Equiparado]="Sí",IF(DATOS_[Check Periodo Ref.]="Dentro",DATOS_[SALARIO BASE Eq],0))))), 0)</f>
        <v>0</v>
      </c>
      <c r="J17" s="250" t="n">
        <f aca="false" t="array" ref="J17:J17">IFERROR( (MEDIAN((IF(DATOS_[[Sexo]:[Sexo]]=$B17,IF(DATOS_[[AGRUP. VALOR. PTO.]:[AGRUP. VALOR. PTO.]]=$B15,IF(DATOS_[[Check Periodo Ref.]:[Check Periodo Ref.]]="Dentro",IF(DATOS_[[Check Equiparado]:[Check Equiparado]]="Sí",IF(DATOS!AE$4="Sí",(1/DATOS_[[% anualiz]:[% anualiz]]),1)*IF(DATOS!AE$5="Sí",1/DATOS_[[% normaliz]:[% normaliz]],1)*(DATOS_[Conc.Sal.01])))))))), 0)</f>
        <v>0</v>
      </c>
      <c r="K17" s="250" t="n">
        <f aca="false" t="array" ref="K17:K17">IFERROR( (MEDIAN((IF(DATOS_[[Sexo]:[Sexo]]=$B17,IF(DATOS_[[AGRUP. VALOR. PTO.]:[AGRUP. VALOR. PTO.]]=$B15,IF(DATOS_[[Check Periodo Ref.]:[Check Periodo Ref.]]="Dentro",IF(DATOS_[[Check Equiparado]:[Check Equiparado]]="Sí",IF(DATOS!AF$4="Sí",(1/DATOS_[[% anualiz]:[% anualiz]]),1)*IF(DATOS!AF$5="Sí",1/DATOS_[[% normaliz]:[% normaliz]],1)*(DATOS_[Conc.Sal.02])))))))), 0)</f>
        <v>0</v>
      </c>
      <c r="L17" s="250" t="n">
        <f aca="false" t="array" ref="L17:L17">IFERROR( (MEDIAN((IF(DATOS_[[Sexo]:[Sexo]]=$B17,IF(DATOS_[[AGRUP. VALOR. PTO.]:[AGRUP. VALOR. PTO.]]=$B15,IF(DATOS_[[Check Periodo Ref.]:[Check Periodo Ref.]]="Dentro",IF(DATOS_[[Check Equiparado]:[Check Equiparado]]="Sí",IF(DATOS!AG$4="Sí",(1/DATOS_[[% anualiz]:[% anualiz]]),1)*IF(DATOS!AG$5="Sí",1/DATOS_[[% normaliz]:[% normaliz]],1)*(DATOS_[Conc.Sal.03])))))))), 0)</f>
        <v>0</v>
      </c>
      <c r="M17" s="250" t="n">
        <f aca="false" t="array" ref="M17:M17">IFERROR( (MEDIAN((IF(DATOS_[[Sexo]:[Sexo]]=$B17,IF(DATOS_[[AGRUP. VALOR. PTO.]:[AGRUP. VALOR. PTO.]]=$B15,IF(DATOS_[[Check Periodo Ref.]:[Check Periodo Ref.]]="Dentro",IF(DATOS_[[Check Equiparado]:[Check Equiparado]]="Sí",IF(DATOS!AH$4="Sí",(1/DATOS_[[% anualiz]:[% anualiz]]),1)*IF(DATOS!AH$5="Sí",1/DATOS_[[% normaliz]:[% normaliz]],1)*(DATOS_[Conc.Sal.04])))))))), 0)</f>
        <v>0</v>
      </c>
      <c r="N17" s="250" t="n">
        <f aca="false" t="array" ref="N17:N17">IFERROR( (MEDIAN((IF(DATOS_[[Sexo]:[Sexo]]=$B17,IF(DATOS_[[AGRUP. VALOR. PTO.]:[AGRUP. VALOR. PTO.]]=$B15,IF(DATOS_[[Check Periodo Ref.]:[Check Periodo Ref.]]="Dentro",IF(DATOS_[[Check Equiparado]:[Check Equiparado]]="Sí",IF(DATOS!AI$4="Sí",(1/DATOS_[[% anualiz]:[% anualiz]]),1)*IF(DATOS!AI$5="Sí",1/DATOS_[[% normaliz]:[% normaliz]],1)*(DATOS_[Conc.Sal.05])))))))), 0)</f>
        <v>0</v>
      </c>
      <c r="O17" s="250" t="n">
        <f aca="false" t="array" ref="O17:O17">IFERROR( (MEDIAN((IF(DATOS_[[Sexo]:[Sexo]]=$B17,IF(DATOS_[[AGRUP. VALOR. PTO.]:[AGRUP. VALOR. PTO.]]=$B15,IF(DATOS_[[Check Periodo Ref.]:[Check Periodo Ref.]]="Dentro",IF(DATOS_[[Check Equiparado]:[Check Equiparado]]="Sí",IF(DATOS!AJ$4="Sí",(1/DATOS_[[% anualiz]:[% anualiz]]),1)*IF(DATOS!AJ$5="Sí",1/DATOS_[[% normaliz]:[% normaliz]],1)*(DATOS_[Conc.Sal.06])))))))), 0)</f>
        <v>0</v>
      </c>
      <c r="P17" s="250" t="n">
        <f aca="false" t="array" ref="P17:P17">IFERROR( (MEDIAN((IF(DATOS_[[Sexo]:[Sexo]]=$B17,IF(DATOS_[[AGRUP. VALOR. PTO.]:[AGRUP. VALOR. PTO.]]=$B15,IF(DATOS_[[Check Periodo Ref.]:[Check Periodo Ref.]]="Dentro",IF(DATOS_[[Check Equiparado]:[Check Equiparado]]="Sí",IF(DATOS!AK$4="Sí",(1/DATOS_[[% anualiz]:[% anualiz]]),1)*IF(DATOS!AK$5="Sí",1/DATOS_[[% normaliz]:[% normaliz]],1)*(DATOS_[Conc.Sal.07])))))))), 0)</f>
        <v>0</v>
      </c>
      <c r="Q17" s="250" t="n">
        <f aca="false" t="array" ref="Q17:Q17">IFERROR( (MEDIAN((IF(DATOS_[[Sexo]:[Sexo]]=$B17,IF(DATOS_[[AGRUP. VALOR. PTO.]:[AGRUP. VALOR. PTO.]]=$B15,IF(DATOS_[[Check Periodo Ref.]:[Check Periodo Ref.]]="Dentro",IF(DATOS_[[Check Equiparado]:[Check Equiparado]]="Sí",IF(DATOS!AL$4="Sí",(1/DATOS_[[% anualiz]:[% anualiz]]),1)*IF(DATOS!AL$5="Sí",1/DATOS_[[% normaliz]:[% normaliz]],1)*(DATOS_[Conc.Sal.08])))))))), 0)</f>
        <v>0</v>
      </c>
      <c r="R17" s="250" t="n">
        <f aca="false" t="array" ref="R17:R17">IFERROR( (MEDIAN((IF(DATOS_[[Sexo]:[Sexo]]=$B17,IF(DATOS_[[AGRUP. VALOR. PTO.]:[AGRUP. VALOR. PTO.]]=$B15,IF(DATOS_[[Check Periodo Ref.]:[Check Periodo Ref.]]="Dentro",IF(DATOS_[[Check Equiparado]:[Check Equiparado]]="Sí",IF(DATOS!AM$4="Sí",(1/DATOS_[[% anualiz]:[% anualiz]]),1)*IF(DATOS!AM$5="Sí",1/DATOS_[[% normaliz]:[% normaliz]],1)*(DATOS_[Conc.Sal.09])))))))), 0)</f>
        <v>0</v>
      </c>
      <c r="S17" s="250" t="n">
        <f aca="false" t="array" ref="S17:S17">IFERROR( (MEDIAN((IF(DATOS_[[Sexo]:[Sexo]]=$B17,IF(DATOS_[[AGRUP. VALOR. PTO.]:[AGRUP. VALOR. PTO.]]=$B15,IF(DATOS_[[Check Periodo Ref.]:[Check Periodo Ref.]]="Dentro",IF(DATOS_[[Check Equiparado]:[Check Equiparado]]="Sí",IF(DATOS!AN$4="Sí",(1/DATOS_[[% anualiz]:[% anualiz]]),1)*IF(DATOS!AN$5="Sí",1/DATOS_[[% normaliz]:[% normaliz]],1)*(DATOS_[Conc.Sal.10])))))))), 0)</f>
        <v>0</v>
      </c>
      <c r="T17" s="250" t="n">
        <f aca="false" t="array" ref="T17:T17">IFERROR( (MEDIAN((IF(DATOS_[[Sexo]:[Sexo]]=$B17,IF(DATOS_[[AGRUP. VALOR. PTO.]:[AGRUP. VALOR. PTO.]]=$B15,IF(DATOS_[[Check Periodo Ref.]:[Check Periodo Ref.]]="Dentro",IF(DATOS_[[Check Equiparado]:[Check Equiparado]]="Sí",IF(DATOS!AO$4="Sí",(1/DATOS_[[% anualiz]:[% anualiz]]),1)*IF(DATOS!AO$5="Sí",1/DATOS_[[% normaliz]:[% normaliz]],1)*(DATOS_[Conc.Sal.11])))))))), 0)</f>
        <v>0</v>
      </c>
      <c r="U17" s="250" t="n">
        <f aca="false" t="array" ref="U17:U17">IFERROR( (MEDIAN((IF(DATOS_[[Sexo]:[Sexo]]=$B17,IF(DATOS_[[AGRUP. VALOR. PTO.]:[AGRUP. VALOR. PTO.]]=$B15,IF(DATOS_[[Check Periodo Ref.]:[Check Periodo Ref.]]="Dentro",IF(DATOS_[[Check Equiparado]:[Check Equiparado]]="Sí",IF(DATOS!AP$4="Sí",(1/DATOS_[[% anualiz]:[% anualiz]]),1)*IF(DATOS!AP$5="Sí",1/DATOS_[[% normaliz]:[% normaliz]],1)*(DATOS_[Conc.Sal.12])))))))), 0)</f>
        <v>0</v>
      </c>
      <c r="V17" s="250" t="n">
        <f aca="false" t="array" ref="V17:V17">IFERROR( (MEDIAN((IF(DATOS_[[Sexo]:[Sexo]]=$B17,IF(DATOS_[[AGRUP. VALOR. PTO.]:[AGRUP. VALOR. PTO.]]=$B15,IF(DATOS_[[Check Periodo Ref.]:[Check Periodo Ref.]]="Dentro",IF(DATOS_[[Check Equiparado]:[Check Equiparado]]="Sí",IF(DATOS!AQ$4="Sí",(1/DATOS_[[% anualiz]:[% anualiz]]),1)*IF(DATOS!AQ$5="Sí",1/DATOS_[[% normaliz]:[% normaliz]],1)*(DATOS_[Conc.Sal.13])))))))), 0)</f>
        <v>0</v>
      </c>
      <c r="W17" s="250" t="n">
        <f aca="false" t="array" ref="W17:W17">IFERROR( (MEDIAN((IF(DATOS_[[Sexo]:[Sexo]]=$B17,IF(DATOS_[[AGRUP. VALOR. PTO.]:[AGRUP. VALOR. PTO.]]=$B15,IF(DATOS_[[Check Periodo Ref.]:[Check Periodo Ref.]]="Dentro",IF(DATOS_[[Check Equiparado]:[Check Equiparado]]="Sí",IF(DATOS!AR$4="Sí",(1/DATOS_[[% anualiz]:[% anualiz]]),1)*IF(DATOS!AR$5="Sí",1/DATOS_[[% normaliz]:[% normaliz]],1)*(DATOS_[Conc.Sal.14])))))))), 0)</f>
        <v>0</v>
      </c>
      <c r="X17" s="250" t="n">
        <f aca="false" t="array" ref="X17:X17">IFERROR( (MEDIAN((IF(DATOS_[[Sexo]:[Sexo]]=$B17,IF(DATOS_[[AGRUP. VALOR. PTO.]:[AGRUP. VALOR. PTO.]]=$B15,IF(DATOS_[[Check Periodo Ref.]:[Check Periodo Ref.]]="Dentro",IF(DATOS_[[Check Equiparado]:[Check Equiparado]]="Sí",IF(DATOS!AS$4="Sí",(1/DATOS_[[% anualiz]:[% anualiz]]),1)*IF(DATOS!AS$5="Sí",1/DATOS_[[% normaliz]:[% normaliz]],1)*(DATOS_[Conc.Sal.15])))))))), 0)</f>
        <v>0</v>
      </c>
      <c r="Y17" s="250" t="n">
        <f aca="false" t="array" ref="Y17:Y17">IFERROR( (MEDIAN((IF(DATOS_[[Sexo]:[Sexo]]=$B17,IF(DATOS_[[AGRUP. VALOR. PTO.]:[AGRUP. VALOR. PTO.]]=$B15,IF(DATOS_[[Check Periodo Ref.]:[Check Periodo Ref.]]="Dentro",IF(DATOS_[[Check Equiparado]:[Check Equiparado]]="Sí",IF(DATOS!AT$4="Sí",(1/DATOS_[[% anualiz]:[% anualiz]]),1)*IF(DATOS!AT$5="Sí",1/DATOS_[[% normaliz]:[% normaliz]],1)*(DATOS_[Conc.Sal.16])))))))), 0)</f>
        <v>0</v>
      </c>
      <c r="Z17" s="250" t="n">
        <f aca="false" t="array" ref="Z17:Z17">IFERROR( (MEDIAN((IF(DATOS_[[Sexo]:[Sexo]]=$B17,IF(DATOS_[[AGRUP. VALOR. PTO.]:[AGRUP. VALOR. PTO.]]=$B15,IF(DATOS_[[Check Periodo Ref.]:[Check Periodo Ref.]]="Dentro",IF(DATOS_[[Check Equiparado]:[Check Equiparado]]="Sí",IF(DATOS!AU$4="Sí",(1/DATOS_[[% anualiz]:[% anualiz]]),1)*IF(DATOS!AU$5="Sí",1/DATOS_[[% normaliz]:[% normaliz]],1)*(DATOS_[Conc.Sal.17])))))))), 0)</f>
        <v>0</v>
      </c>
      <c r="AA17" s="250" t="n">
        <f aca="false" t="array" ref="AA17:AA17">IFERROR( (MEDIAN((IF(DATOS_[[Sexo]:[Sexo]]=$B17,IF(DATOS_[[AGRUP. VALOR. PTO.]:[AGRUP. VALOR. PTO.]]=$B15,IF(DATOS_[[Check Periodo Ref.]:[Check Periodo Ref.]]="Dentro",IF(DATOS_[[Check Equiparado]:[Check Equiparado]]="Sí",IF(DATOS!AV$4="Sí",(1/DATOS_[[% anualiz]:[% anualiz]]),1)*IF(DATOS!AV$5="Sí",1/DATOS_[[% normaliz]:[% normaliz]],1)*(DATOS_[Conc.Sal.18])))))))), 0)</f>
        <v>0</v>
      </c>
      <c r="AB17" s="250" t="n">
        <f aca="false" t="array" ref="AB17:AB17">IFERROR( (MEDIAN((IF(DATOS_[[Sexo]:[Sexo]]=$B17,IF(DATOS_[[AGRUP. VALOR. PTO.]:[AGRUP. VALOR. PTO.]]=$B15,IF(DATOS_[[Check Periodo Ref.]:[Check Periodo Ref.]]="Dentro",IF(DATOS_[[Check Equiparado]:[Check Equiparado]]="Sí",IF(DATOS!AW$4="Sí",(1/DATOS_[[% anualiz]:[% anualiz]]),1)*IF(DATOS!AW$5="Sí",1/DATOS_[[% normaliz]:[% normaliz]],1)*(DATOS_[Conc.Sal.19])))))))), 0)</f>
        <v>0</v>
      </c>
      <c r="AC17" s="250" t="n">
        <f aca="false" t="array" ref="AC17:AC17">IFERROR( (MEDIAN((IF(DATOS_[[Sexo]:[Sexo]]=$B17,IF(DATOS_[[AGRUP. VALOR. PTO.]:[AGRUP. VALOR. PTO.]]=$B15,IF(DATOS_[[Check Periodo Ref.]:[Check Periodo Ref.]]="Dentro",IF(DATOS_[[Check Equiparado]:[Check Equiparado]]="Sí",IF(DATOS!AX$4="Sí",(1/DATOS_[[% anualiz]:[% anualiz]]),1)*IF(DATOS!AX$5="Sí",1/DATOS_[[% normaliz]:[% normaliz]],1)*(DATOS_[Conc.Sal.20])))))))), 0)</f>
        <v>0</v>
      </c>
      <c r="AD17" s="250" t="n">
        <f aca="false" t="array" ref="AD17:AD17">IFERROR( (MEDIAN((IF(DATOS_[[Sexo]:[Sexo]]=$B17,IF(DATOS_[[AGRUP. VALOR. PTO.]:[AGRUP. VALOR. PTO.]]=$B15,IF(DATOS_[[Check Periodo Ref.]:[Check Periodo Ref.]]="Dentro",IF(DATOS_[[Check Equiparado]:[Check Equiparado]]="Sí",IF(DATOS!AY$4="Sí",(1/DATOS_[[% anualiz]:[% anualiz]]),1)*IF(DATOS!AY$5="Sí",1/DATOS_[[% normaliz]:[% normaliz]],1)*(DATOS_[Conc.Sal.21])))))))), 0)</f>
        <v>0</v>
      </c>
      <c r="AE17" s="250" t="n">
        <f aca="false" t="array" ref="AE17:AE17">IFERROR( (MEDIAN((IF(DATOS_[[Sexo]:[Sexo]]=$B17,IF(DATOS_[[AGRUP. VALOR. PTO.]:[AGRUP. VALOR. PTO.]]=$B15,IF(DATOS_[[Check Periodo Ref.]:[Check Periodo Ref.]]="Dentro",IF(DATOS_[[Check Equiparado]:[Check Equiparado]]="Sí",IF(DATOS!AZ$4="Sí",(1/DATOS_[[% anualiz]:[% anualiz]]),1)*IF(DATOS!AZ$5="Sí",1/DATOS_[[% normaliz]:[% normaliz]],1)*(DATOS_[Conc.Sal.22])))))))), 0)</f>
        <v>0</v>
      </c>
      <c r="AF17" s="250" t="n">
        <f aca="false" t="array" ref="AF17:AF17">IFERROR( (MEDIAN((IF(DATOS_[[Sexo]:[Sexo]]=$B17,IF(DATOS_[[AGRUP. VALOR. PTO.]:[AGRUP. VALOR. PTO.]]=$B15,IF(DATOS_[[Check Periodo Ref.]:[Check Periodo Ref.]]="Dentro",IF(DATOS_[[Check Equiparado]:[Check Equiparado]]="Sí",IF(DATOS!BA$4="Sí",(1/DATOS_[[% anualiz]:[% anualiz]]),1)*IF(DATOS!BA$5="Sí",1/DATOS_[[% normaliz]:[% normaliz]],1)*(DATOS_[Conc.Sal.23])))))))), 0)</f>
        <v>0</v>
      </c>
      <c r="AG17" s="250" t="n">
        <f aca="false" t="array" ref="AG17:AG17">IFERROR( (MEDIAN((IF(DATOS_[[Sexo]:[Sexo]]=$B17,IF(DATOS_[[AGRUP. VALOR. PTO.]:[AGRUP. VALOR. PTO.]]=$B15,IF(DATOS_[[Check Periodo Ref.]:[Check Periodo Ref.]]="Dentro",IF(DATOS_[[Check Equiparado]:[Check Equiparado]]="Sí",IF(DATOS!BB$4="Sí",(1/DATOS_[[% anualiz]:[% anualiz]]),1)*IF(DATOS!BB$5="Sí",1/DATOS_[[% normaliz]:[% normaliz]],1)*(DATOS_[Conc.Sal.24])))))))), 0)</f>
        <v>0</v>
      </c>
      <c r="AH17" s="250" t="n">
        <f aca="false" t="array" ref="AH17:AH17">IFERROR( (MEDIAN((IF(DATOS_[[Sexo]:[Sexo]]=$B17,IF(DATOS_[[AGRUP. VALOR. PTO.]:[AGRUP. VALOR. PTO.]]=$B15,IF(DATOS_[[Check Periodo Ref.]:[Check Periodo Ref.]]="Dentro",IF(DATOS_[[Check Equiparado]:[Check Equiparado]]="Sí",IF(DATOS!BC$4="Sí",(1/DATOS_[[% anualiz]:[% anualiz]]),1)*IF(DATOS!BC$5="Sí",1/DATOS_[[% normaliz]:[% normaliz]],1)*(DATOS_[Conc.Sal.25])))))))), 0)</f>
        <v>0</v>
      </c>
      <c r="AI17" s="250" t="n">
        <f aca="false" t="array" ref="AI17:AI17">IFERROR( (MEDIAN((IF(DATOS_[[Sexo]:[Sexo]]=$B17,IF(DATOS_[[AGRUP. VALOR. PTO.]:[AGRUP. VALOR. PTO.]]=$B15,IF(DATOS_[[Check Periodo Ref.]:[Check Periodo Ref.]]="Dentro",IF(DATOS_[[Check Equiparado]:[Check Equiparado]]="Sí",IF(DATOS!BD$4="Sí",(1/DATOS_[[% anualiz]:[% anualiz]]),1)*IF(DATOS!BD$5="Sí",1/DATOS_[[% normaliz]:[% normaliz]],1)*(DATOS_[Conc.Sal.26])))))))), 0)</f>
        <v>0</v>
      </c>
      <c r="AJ17" s="250" t="n">
        <f aca="false" t="array" ref="AJ17:AJ17">IFERROR( (MEDIAN((IF(DATOS_[[Sexo]:[Sexo]]=$B17,IF(DATOS_[[AGRUP. VALOR. PTO.]:[AGRUP. VALOR. PTO.]]=$B15,IF(DATOS_[[Check Periodo Ref.]:[Check Periodo Ref.]]="Dentro",IF(DATOS_[[Check Equiparado]:[Check Equiparado]]="Sí",IF(DATOS!BE$4="Sí",(1/DATOS_[[% anualiz]:[% anualiz]]),1)*IF(DATOS!BE$5="Sí",1/DATOS_[[% normaliz]:[% normaliz]],1)*(DATOS_[Conc.Sal.27])))))))), 0)</f>
        <v>0</v>
      </c>
      <c r="AK17" s="250" t="n">
        <f aca="false" t="array" ref="AK17:AK17">IFERROR( (MEDIAN((IF(DATOS_[[Sexo]:[Sexo]]=$B17,IF(DATOS_[[AGRUP. VALOR. PTO.]:[AGRUP. VALOR. PTO.]]=$B15,IF(DATOS_[[Check Periodo Ref.]:[Check Periodo Ref.]]="Dentro",IF(DATOS_[[Check Equiparado]:[Check Equiparado]]="Sí",IF(DATOS!BF$4="Sí",(1/DATOS_[[% anualiz]:[% anualiz]]),1)*IF(DATOS!BF$5="Sí",1/DATOS_[[% normaliz]:[% normaliz]],1)*(DATOS_[Conc.Sal.28])))))))), 0)</f>
        <v>0</v>
      </c>
      <c r="AL17" s="250" t="n">
        <f aca="false" t="array" ref="AL17:AL17">IFERROR( (MEDIAN((IF(DATOS_[[Sexo]:[Sexo]]=$B17,IF(DATOS_[[AGRUP. VALOR. PTO.]:[AGRUP. VALOR. PTO.]]=$B15,IF(DATOS_[[Check Periodo Ref.]:[Check Periodo Ref.]]="Dentro",IF(DATOS_[[Check Equiparado]:[Check Equiparado]]="Sí",IF(DATOS!BG$4="Sí",(1/DATOS_[[% anualiz]:[% anualiz]]),1)*IF(DATOS!BG$5="Sí",1/DATOS_[[% normaliz]:[% normaliz]],1)*(DATOS_[Conc.Sal.29])))))))), 0)</f>
        <v>0</v>
      </c>
      <c r="AM17" s="250" t="n">
        <f aca="false" t="array" ref="AM17:AM17">IFERROR( (MEDIAN((IF(DATOS_[[Sexo]:[Sexo]]=$B17,IF(DATOS_[[AGRUP. VALOR. PTO.]:[AGRUP. VALOR. PTO.]]=$B15,IF(DATOS_[[Check Periodo Ref.]:[Check Periodo Ref.]]="Dentro",IF(DATOS_[[Check Equiparado]:[Check Equiparado]]="Sí",IF(DATOS!BH$4="Sí",(1/DATOS_[[% anualiz]:[% anualiz]]),1)*IF(DATOS!BH$5="Sí",1/DATOS_[[% normaliz]:[% normaliz]],1)*(DATOS_[Conc.Sal.30])))))))), 0)</f>
        <v>0</v>
      </c>
      <c r="AN17" s="251" t="n">
        <f aca="false" t="array" ref="AN17:AN17">IFERROR( MEDIAN(IF(DATOS_[Sexo]=$B17,IF(DATOS_[[AGRUP. VALOR. PTO.]:[AGRUP. VALOR. PTO.]]=$B15,IF(DATOS_[Check Equiparado]="Sí",IF(DATOS_[Check Periodo Ref.]="Dentro",DATOS_[Tot COMPL.SAL Eq],0))))), 0)</f>
        <v>0</v>
      </c>
      <c r="AO17" s="252" t="n">
        <f aca="false" t="array" ref="AO17:AO17">IFERROR( MEDIAN(IF(DATOS_[Sexo]=$B17,IF(DATOS_[[AGRUP. VALOR. PTO.]:[AGRUP. VALOR. PTO.]]=$B15,IF(DATOS_[Check Equiparado]="Sí",IF(DATOS_[Check Periodo Ref.]="Dentro",DATOS_[TOTAL SALARIO Eq],0))))), 0)</f>
        <v>0</v>
      </c>
      <c r="AP17" s="259" t="n">
        <f aca="false" t="array" ref="AP17:AP17">IFERROR( (MEDIAN((IF(DATOS_[[Sexo]:[Sexo]]=$B17,IF(DATOS_[[AGRUP. VALOR. PTO.]:[AGRUP. VALOR. PTO.]]=$B16,IF(DATOS_[[Check Periodo Ref.]:[Check Periodo Ref.]]="Dentro",IF(DATOS_[[Check Equiparado]:[Check Equiparado]]="Sí",IF(DATOS!BI$4="Sí",(1/DATOS_[[% anualiz]:[% anualiz]]),1)*IF(DATOS!BI$5="Sí",1/DATOS_[[% normaliz]:[% normaliz]],1)*(DATOS_[C.Extra.01])))))))), 0)</f>
        <v>0</v>
      </c>
      <c r="AQ17" s="259" t="n">
        <f aca="false" t="array" ref="AQ17:AQ17">IFERROR( (MEDIAN((IF(DATOS_[[Sexo]:[Sexo]]=$B17,IF(DATOS_[[AGRUP. VALOR. PTO.]:[AGRUP. VALOR. PTO.]]=$B16,IF(DATOS_[[Check Periodo Ref.]:[Check Periodo Ref.]]="Dentro",IF(DATOS_[[Check Equiparado]:[Check Equiparado]]="Sí",IF(DATOS!BJ$4="Sí",(1/DATOS_[[% anualiz]:[% anualiz]]),1)*IF(DATOS!BJ$5="Sí",1/DATOS_[[% normaliz]:[% normaliz]],1)*(DATOS_[C.Extra.02])))))))), 0)</f>
        <v>0</v>
      </c>
      <c r="AR17" s="259" t="n">
        <f aca="false" t="array" ref="AR17:AR17">IFERROR( (MEDIAN((IF(DATOS_[[Sexo]:[Sexo]]=$B17,IF(DATOS_[[AGRUP. VALOR. PTO.]:[AGRUP. VALOR. PTO.]]=$B16,IF(DATOS_[[Check Periodo Ref.]:[Check Periodo Ref.]]="Dentro",IF(DATOS_[[Check Equiparado]:[Check Equiparado]]="Sí",IF(DATOS!BK$4="Sí",(1/DATOS_[[% anualiz]:[% anualiz]]),1)*IF(DATOS!BK$5="Sí",1/DATOS_[[% normaliz]:[% normaliz]],1)*(DATOS_[C.Extra.03])))))))), 0)</f>
        <v>0</v>
      </c>
      <c r="AS17" s="259" t="n">
        <f aca="false" t="array" ref="AS17:AS17">IFERROR( (MEDIAN((IF(DATOS_[[Sexo]:[Sexo]]=$B17,IF(DATOS_[[AGRUP. VALOR. PTO.]:[AGRUP. VALOR. PTO.]]=$B16,IF(DATOS_[[Check Periodo Ref.]:[Check Periodo Ref.]]="Dentro",IF(DATOS_[[Check Equiparado]:[Check Equiparado]]="Sí",IF(DATOS!BL$4="Sí",(1/DATOS_[[% anualiz]:[% anualiz]]),1)*IF(DATOS!BL$5="Sí",1/DATOS_[[% normaliz]:[% normaliz]],1)*(DATOS_[C.Extra.04])))))))), 0)</f>
        <v>0</v>
      </c>
      <c r="AT17" s="259" t="n">
        <f aca="false" t="array" ref="AT17:AT17">IFERROR( (MEDIAN((IF(DATOS_[[Sexo]:[Sexo]]=$B17,IF(DATOS_[[AGRUP. VALOR. PTO.]:[AGRUP. VALOR. PTO.]]=$B16,IF(DATOS_[[Check Periodo Ref.]:[Check Periodo Ref.]]="Dentro",IF(DATOS_[[Check Equiparado]:[Check Equiparado]]="Sí",IF(DATOS!BM$4="Sí",(1/DATOS_[[% anualiz]:[% anualiz]]),1)*IF(DATOS!BM$5="Sí",1/DATOS_[[% normaliz]:[% normaliz]],1)*(DATOS_[C.Extra.05])))))))), 0)</f>
        <v>0</v>
      </c>
      <c r="AU17" s="254" t="n">
        <f aca="false" t="array" ref="AU17:AU17">IFERROR( MEDIAN(IF(DATOS_[Sexo]=$B17,IF(DATOS_[[AGRUP. VALOR. PTO.]:[AGRUP. VALOR. PTO.]]=$B15,IF(DATOS_[Check Equiparado]="Sí",IF(DATOS_[Check Periodo Ref.]="Dentro",DATOS_[Tot Extrasalarial Eq],0))))), 0)</f>
        <v>0</v>
      </c>
      <c r="AV17" s="255" t="n">
        <f aca="false" t="array" ref="AV17:AV17">IFERROR( MEDIAN(IF(DATOS_[Sexo]=$B17,IF(DATOS_[[AGRUP. VALOR. PTO.]:[AGRUP. VALOR. PTO.]]=$B15,IF(DATOS_[Check Equiparado]="Sí",IF(DATOS_[Check Periodo Ref.]="Dentro",DATOS_[TOTAL Retrib Eq],0))))), 0)</f>
        <v>0</v>
      </c>
    </row>
    <row r="18" customFormat="false" ht="15.75" hidden="false" customHeight="false" outlineLevel="0" collapsed="false">
      <c r="A18" s="217" t="str">
        <f aca="false">+A19</f>
        <v>[ocultar]</v>
      </c>
      <c r="B18" s="320" t="s">
        <v>176</v>
      </c>
      <c r="C18" s="236"/>
      <c r="D18" s="237"/>
      <c r="E18" s="237"/>
      <c r="F18" s="237"/>
      <c r="G18" s="237"/>
      <c r="H18" s="237"/>
      <c r="I18" s="238" t="str">
        <f aca="false">IFERROR((I19-I20)/I19,"")</f>
        <v/>
      </c>
      <c r="J18" s="239" t="str">
        <f aca="false">IFERROR((J19-J20)/J19,"")</f>
        <v/>
      </c>
      <c r="K18" s="239" t="str">
        <f aca="false">IFERROR((K19-K20)/K19,"")</f>
        <v/>
      </c>
      <c r="L18" s="239" t="str">
        <f aca="false">IFERROR((L19-L20)/L19,"")</f>
        <v/>
      </c>
      <c r="M18" s="239" t="str">
        <f aca="false">IFERROR((M19-M20)/M19,"")</f>
        <v/>
      </c>
      <c r="N18" s="239" t="str">
        <f aca="false">IFERROR((N19-N20)/N19,"")</f>
        <v/>
      </c>
      <c r="O18" s="239" t="str">
        <f aca="false">IFERROR((O19-O20)/O19,"")</f>
        <v/>
      </c>
      <c r="P18" s="239" t="str">
        <f aca="false">IFERROR((P19-P20)/P19,"")</f>
        <v/>
      </c>
      <c r="Q18" s="239" t="str">
        <f aca="false">IFERROR((Q19-Q20)/Q19,"")</f>
        <v/>
      </c>
      <c r="R18" s="239" t="str">
        <f aca="false">IFERROR((R19-R20)/R19,"")</f>
        <v/>
      </c>
      <c r="S18" s="239" t="str">
        <f aca="false">IFERROR((S19-S20)/S19,"")</f>
        <v/>
      </c>
      <c r="T18" s="239" t="str">
        <f aca="false">IFERROR((T19-T20)/T19,"")</f>
        <v/>
      </c>
      <c r="U18" s="239" t="str">
        <f aca="false">IFERROR((U19-U20)/U19,"")</f>
        <v/>
      </c>
      <c r="V18" s="239" t="str">
        <f aca="false">IFERROR((V19-V20)/V19,"")</f>
        <v/>
      </c>
      <c r="W18" s="239" t="str">
        <f aca="false">IFERROR((W19-W20)/W19,"")</f>
        <v/>
      </c>
      <c r="X18" s="239" t="str">
        <f aca="false">IFERROR((X19-X20)/X19,"")</f>
        <v/>
      </c>
      <c r="Y18" s="239" t="str">
        <f aca="false">IFERROR((Y19-Y20)/Y19,"")</f>
        <v/>
      </c>
      <c r="Z18" s="240" t="str">
        <f aca="false">IFERROR((Z19-Z20)/Z19,"")</f>
        <v/>
      </c>
      <c r="AA18" s="240" t="str">
        <f aca="false">IFERROR((AA19-AA20)/AA19,"")</f>
        <v/>
      </c>
      <c r="AB18" s="240" t="str">
        <f aca="false">IFERROR((AB19-AB20)/AB19,"")</f>
        <v/>
      </c>
      <c r="AC18" s="240" t="str">
        <f aca="false">IFERROR((AC19-AC20)/AC19,"")</f>
        <v/>
      </c>
      <c r="AD18" s="240" t="str">
        <f aca="false">IFERROR((AD19-AD20)/AD19,"")</f>
        <v/>
      </c>
      <c r="AE18" s="240" t="str">
        <f aca="false">IFERROR((AE19-AE20)/AE19,"")</f>
        <v/>
      </c>
      <c r="AF18" s="240" t="str">
        <f aca="false">IFERROR((AF19-AF20)/AF19,"")</f>
        <v/>
      </c>
      <c r="AG18" s="240" t="str">
        <f aca="false">IFERROR((AG19-AG20)/AG19,"")</f>
        <v/>
      </c>
      <c r="AH18" s="240" t="str">
        <f aca="false">IFERROR((AH19-AH20)/AH19,"")</f>
        <v/>
      </c>
      <c r="AI18" s="240" t="str">
        <f aca="false">IFERROR((AI19-AI20)/AI19,"")</f>
        <v/>
      </c>
      <c r="AJ18" s="240" t="str">
        <f aca="false">IFERROR((AJ19-AJ20)/AJ19,"")</f>
        <v/>
      </c>
      <c r="AK18" s="240" t="str">
        <f aca="false">IFERROR((AK19-AK20)/AK19,"")</f>
        <v/>
      </c>
      <c r="AL18" s="240" t="str">
        <f aca="false">IFERROR((AL19-AL20)/AL19,"")</f>
        <v/>
      </c>
      <c r="AM18" s="240" t="str">
        <f aca="false">IFERROR((AM19-AM20)/AM19,"")</f>
        <v/>
      </c>
      <c r="AN18" s="241" t="str">
        <f aca="false">IFERROR((AN19-AN20)/AN19,"")</f>
        <v/>
      </c>
      <c r="AO18" s="242" t="str">
        <f aca="false">IFERROR((AO19-AO20)/AO19,"")</f>
        <v/>
      </c>
      <c r="AP18" s="243" t="str">
        <f aca="false">IFERROR((AP19-AP20)/AP19,"")</f>
        <v/>
      </c>
      <c r="AQ18" s="243" t="str">
        <f aca="false">IFERROR((AQ19-AQ20)/AQ19,"")</f>
        <v/>
      </c>
      <c r="AR18" s="243" t="str">
        <f aca="false">IFERROR((AR19-AR20)/AR19,"")</f>
        <v/>
      </c>
      <c r="AS18" s="243" t="str">
        <f aca="false">IFERROR((AS19-AS20)/AS19,"")</f>
        <v/>
      </c>
      <c r="AT18" s="243" t="str">
        <f aca="false">IFERROR((AT19-AT20)/AT19,"")</f>
        <v/>
      </c>
      <c r="AU18" s="244" t="str">
        <f aca="false">IFERROR((AU19-AU20)/AU19,"")</f>
        <v/>
      </c>
      <c r="AV18" s="245" t="str">
        <f aca="false">IFERROR((AV19-AV20)/AV19,"")</f>
        <v/>
      </c>
    </row>
    <row r="19" customFormat="false" ht="14.25" hidden="false" customHeight="false" outlineLevel="0" collapsed="false">
      <c r="A19" s="217" t="str">
        <f aca="false">+IF(C19+C20=0,"[ocultar]","")</f>
        <v>[ocultar]</v>
      </c>
      <c r="B19" s="323" t="s">
        <v>371</v>
      </c>
      <c r="C19" s="247" t="n">
        <f aca="false" t="array" ref="C19:C19">SUM(IF($B19=DATOS_[Sexo], IF($B18=DATOS_[AGRUP. VALOR. PTO.], IF("Dentro"=DATOS_[Check Periodo Ref.], 1/(COUNTIFS(DATOS_[Sexo],$B19,DATOS_[AGRUP. VALOR. PTO.],$B18,DATOS_[Check Periodo Ref.],"Dentro",DATOS_[id],DATOS_[id]))))))</f>
        <v>0</v>
      </c>
      <c r="D19" s="248" t="n">
        <f aca="false">COUNTIFS(DATOS_[AGRUP. VALOR. PTO.],$B18,DATOS_[Sexo],$B19,DATOS_[Check Periodo Ref.],"Dentro")</f>
        <v>0</v>
      </c>
      <c r="E19" s="248" t="n">
        <f aca="false">COUNTIFS(DATOS_[AGRUP. VALOR. PTO.],$B18,DATOS_[Sexo],$B19,DATOS_[Check Periodo Ref.],"Dentro",DATOS_[Check Nº SC Norm],"Sí")</f>
        <v>0</v>
      </c>
      <c r="F19" s="248" t="n">
        <f aca="false">COUNTIFS(DATOS_[AGRUP. VALOR. PTO.],$B18,DATOS_[Sexo],$B19,DATOS_[Check Periodo Ref.],"Dentro",DATOS_[Check Nº SC Anualiz],"Sí")</f>
        <v>0</v>
      </c>
      <c r="G19" s="248" t="n">
        <f aca="false">COUNTIFS(DATOS_[AGRUP. VALOR. PTO.],$B18,DATOS_[Sexo],$B19,DATOS_[Check Periodo Ref.],"Dentro",DATOS_[Check Nº SC Norm y Anualiz],"Sí")</f>
        <v>0</v>
      </c>
      <c r="H19" s="248" t="n">
        <f aca="false">COUNTIFS(DATOS_[AGRUP. VALOR. PTO.],$B18,DATOS_[Sexo],$B19,DATOS_[Check Periodo Ref.],"Dentro",DATOS_[Check Equiparación],"Sí")</f>
        <v>0</v>
      </c>
      <c r="I19" s="249" t="n">
        <f aca="false" t="array" ref="I19:I19">IFERROR( MEDIAN(IF(DATOS_[Sexo]=$B19,IF(DATOS_[[AGRUP. VALOR. PTO.]:[AGRUP. VALOR. PTO.]]=$B18,IF(DATOS_[Check Equiparado]="Sí",IF(DATOS_[Check Periodo Ref.]="Dentro",DATOS_[SALARIO BASE Eq],0))))), 0)</f>
        <v>0</v>
      </c>
      <c r="J19" s="250" t="n">
        <f aca="false" t="array" ref="J19:J19">IFERROR( (MEDIAN((IF(DATOS_[[Sexo]:[Sexo]]=$B19,IF(DATOS_[[AGRUP. VALOR. PTO.]:[AGRUP. VALOR. PTO.]]=$B18,IF(DATOS_[[Check Periodo Ref.]:[Check Periodo Ref.]]="Dentro",IF(DATOS_[[Check Equiparado]:[Check Equiparado]]="Sí",IF(DATOS!AE$4="Sí",(1/DATOS_[[% anualiz]:[% anualiz]]),1)*IF(DATOS!AE$5="Sí",1/DATOS_[[% normaliz]:[% normaliz]],1)*(DATOS_[Conc.Sal.01])))))))), 0)</f>
        <v>0</v>
      </c>
      <c r="K19" s="250" t="n">
        <f aca="false" t="array" ref="K19:K19">IFERROR( (MEDIAN((IF(DATOS_[[Sexo]:[Sexo]]=$B19,IF(DATOS_[[AGRUP. VALOR. PTO.]:[AGRUP. VALOR. PTO.]]=$B18,IF(DATOS_[[Check Periodo Ref.]:[Check Periodo Ref.]]="Dentro",IF(DATOS_[[Check Equiparado]:[Check Equiparado]]="Sí",IF(DATOS!AF$4="Sí",(1/DATOS_[[% anualiz]:[% anualiz]]),1)*IF(DATOS!AF$5="Sí",1/DATOS_[[% normaliz]:[% normaliz]],1)*(DATOS_[Conc.Sal.02])))))))), 0)</f>
        <v>0</v>
      </c>
      <c r="L19" s="250" t="n">
        <f aca="false" t="array" ref="L19:L19">IFERROR( (MEDIAN((IF(DATOS_[[Sexo]:[Sexo]]=$B19,IF(DATOS_[[AGRUP. VALOR. PTO.]:[AGRUP. VALOR. PTO.]]=$B18,IF(DATOS_[[Check Periodo Ref.]:[Check Periodo Ref.]]="Dentro",IF(DATOS_[[Check Equiparado]:[Check Equiparado]]="Sí",IF(DATOS!AG$4="Sí",(1/DATOS_[[% anualiz]:[% anualiz]]),1)*IF(DATOS!AG$5="Sí",1/DATOS_[[% normaliz]:[% normaliz]],1)*(DATOS_[Conc.Sal.03])))))))), 0)</f>
        <v>0</v>
      </c>
      <c r="M19" s="250" t="n">
        <f aca="false" t="array" ref="M19:M19">IFERROR( (MEDIAN((IF(DATOS_[[Sexo]:[Sexo]]=$B19,IF(DATOS_[[AGRUP. VALOR. PTO.]:[AGRUP. VALOR. PTO.]]=$B18,IF(DATOS_[[Check Periodo Ref.]:[Check Periodo Ref.]]="Dentro",IF(DATOS_[[Check Equiparado]:[Check Equiparado]]="Sí",IF(DATOS!AH$4="Sí",(1/DATOS_[[% anualiz]:[% anualiz]]),1)*IF(DATOS!AH$5="Sí",1/DATOS_[[% normaliz]:[% normaliz]],1)*(DATOS_[Conc.Sal.04])))))))), 0)</f>
        <v>0</v>
      </c>
      <c r="N19" s="250" t="n">
        <f aca="false" t="array" ref="N19:N19">IFERROR( (MEDIAN((IF(DATOS_[[Sexo]:[Sexo]]=$B19,IF(DATOS_[[AGRUP. VALOR. PTO.]:[AGRUP. VALOR. PTO.]]=$B18,IF(DATOS_[[Check Periodo Ref.]:[Check Periodo Ref.]]="Dentro",IF(DATOS_[[Check Equiparado]:[Check Equiparado]]="Sí",IF(DATOS!AI$4="Sí",(1/DATOS_[[% anualiz]:[% anualiz]]),1)*IF(DATOS!AI$5="Sí",1/DATOS_[[% normaliz]:[% normaliz]],1)*(DATOS_[Conc.Sal.05])))))))), 0)</f>
        <v>0</v>
      </c>
      <c r="O19" s="250" t="n">
        <f aca="false" t="array" ref="O19:O19">IFERROR( (MEDIAN((IF(DATOS_[[Sexo]:[Sexo]]=$B19,IF(DATOS_[[AGRUP. VALOR. PTO.]:[AGRUP. VALOR. PTO.]]=$B18,IF(DATOS_[[Check Periodo Ref.]:[Check Periodo Ref.]]="Dentro",IF(DATOS_[[Check Equiparado]:[Check Equiparado]]="Sí",IF(DATOS!AJ$4="Sí",(1/DATOS_[[% anualiz]:[% anualiz]]),1)*IF(DATOS!AJ$5="Sí",1/DATOS_[[% normaliz]:[% normaliz]],1)*(DATOS_[Conc.Sal.06])))))))), 0)</f>
        <v>0</v>
      </c>
      <c r="P19" s="250" t="n">
        <f aca="false" t="array" ref="P19:P19">IFERROR( (MEDIAN((IF(DATOS_[[Sexo]:[Sexo]]=$B19,IF(DATOS_[[AGRUP. VALOR. PTO.]:[AGRUP. VALOR. PTO.]]=$B18,IF(DATOS_[[Check Periodo Ref.]:[Check Periodo Ref.]]="Dentro",IF(DATOS_[[Check Equiparado]:[Check Equiparado]]="Sí",IF(DATOS!AK$4="Sí",(1/DATOS_[[% anualiz]:[% anualiz]]),1)*IF(DATOS!AK$5="Sí",1/DATOS_[[% normaliz]:[% normaliz]],1)*(DATOS_[Conc.Sal.07])))))))), 0)</f>
        <v>0</v>
      </c>
      <c r="Q19" s="250" t="n">
        <f aca="false" t="array" ref="Q19:Q19">IFERROR( (MEDIAN((IF(DATOS_[[Sexo]:[Sexo]]=$B19,IF(DATOS_[[AGRUP. VALOR. PTO.]:[AGRUP. VALOR. PTO.]]=$B18,IF(DATOS_[[Check Periodo Ref.]:[Check Periodo Ref.]]="Dentro",IF(DATOS_[[Check Equiparado]:[Check Equiparado]]="Sí",IF(DATOS!AL$4="Sí",(1/DATOS_[[% anualiz]:[% anualiz]]),1)*IF(DATOS!AL$5="Sí",1/DATOS_[[% normaliz]:[% normaliz]],1)*(DATOS_[Conc.Sal.08])))))))), 0)</f>
        <v>0</v>
      </c>
      <c r="R19" s="250" t="n">
        <f aca="false" t="array" ref="R19:R19">IFERROR( (MEDIAN((IF(DATOS_[[Sexo]:[Sexo]]=$B19,IF(DATOS_[[AGRUP. VALOR. PTO.]:[AGRUP. VALOR. PTO.]]=$B18,IF(DATOS_[[Check Periodo Ref.]:[Check Periodo Ref.]]="Dentro",IF(DATOS_[[Check Equiparado]:[Check Equiparado]]="Sí",IF(DATOS!AM$4="Sí",(1/DATOS_[[% anualiz]:[% anualiz]]),1)*IF(DATOS!AM$5="Sí",1/DATOS_[[% normaliz]:[% normaliz]],1)*(DATOS_[Conc.Sal.09])))))))), 0)</f>
        <v>0</v>
      </c>
      <c r="S19" s="250" t="n">
        <f aca="false" t="array" ref="S19:S19">IFERROR( (MEDIAN((IF(DATOS_[[Sexo]:[Sexo]]=$B19,IF(DATOS_[[AGRUP. VALOR. PTO.]:[AGRUP. VALOR. PTO.]]=$B18,IF(DATOS_[[Check Periodo Ref.]:[Check Periodo Ref.]]="Dentro",IF(DATOS_[[Check Equiparado]:[Check Equiparado]]="Sí",IF(DATOS!AN$4="Sí",(1/DATOS_[[% anualiz]:[% anualiz]]),1)*IF(DATOS!AN$5="Sí",1/DATOS_[[% normaliz]:[% normaliz]],1)*(DATOS_[Conc.Sal.10])))))))), 0)</f>
        <v>0</v>
      </c>
      <c r="T19" s="250" t="n">
        <f aca="false" t="array" ref="T19:T19">IFERROR( (MEDIAN((IF(DATOS_[[Sexo]:[Sexo]]=$B19,IF(DATOS_[[AGRUP. VALOR. PTO.]:[AGRUP. VALOR. PTO.]]=$B18,IF(DATOS_[[Check Periodo Ref.]:[Check Periodo Ref.]]="Dentro",IF(DATOS_[[Check Equiparado]:[Check Equiparado]]="Sí",IF(DATOS!AO$4="Sí",(1/DATOS_[[% anualiz]:[% anualiz]]),1)*IF(DATOS!AO$5="Sí",1/DATOS_[[% normaliz]:[% normaliz]],1)*(DATOS_[Conc.Sal.11])))))))), 0)</f>
        <v>0</v>
      </c>
      <c r="U19" s="250" t="n">
        <f aca="false" t="array" ref="U19:U19">IFERROR( (MEDIAN((IF(DATOS_[[Sexo]:[Sexo]]=$B19,IF(DATOS_[[AGRUP. VALOR. PTO.]:[AGRUP. VALOR. PTO.]]=$B18,IF(DATOS_[[Check Periodo Ref.]:[Check Periodo Ref.]]="Dentro",IF(DATOS_[[Check Equiparado]:[Check Equiparado]]="Sí",IF(DATOS!AP$4="Sí",(1/DATOS_[[% anualiz]:[% anualiz]]),1)*IF(DATOS!AP$5="Sí",1/DATOS_[[% normaliz]:[% normaliz]],1)*(DATOS_[Conc.Sal.12])))))))), 0)</f>
        <v>0</v>
      </c>
      <c r="V19" s="250" t="n">
        <f aca="false" t="array" ref="V19:V19">IFERROR( (MEDIAN((IF(DATOS_[[Sexo]:[Sexo]]=$B19,IF(DATOS_[[AGRUP. VALOR. PTO.]:[AGRUP. VALOR. PTO.]]=$B18,IF(DATOS_[[Check Periodo Ref.]:[Check Periodo Ref.]]="Dentro",IF(DATOS_[[Check Equiparado]:[Check Equiparado]]="Sí",IF(DATOS!AQ$4="Sí",(1/DATOS_[[% anualiz]:[% anualiz]]),1)*IF(DATOS!AQ$5="Sí",1/DATOS_[[% normaliz]:[% normaliz]],1)*(DATOS_[Conc.Sal.13])))))))), 0)</f>
        <v>0</v>
      </c>
      <c r="W19" s="250" t="n">
        <f aca="false" t="array" ref="W19:W19">IFERROR( (MEDIAN((IF(DATOS_[[Sexo]:[Sexo]]=$B19,IF(DATOS_[[AGRUP. VALOR. PTO.]:[AGRUP. VALOR. PTO.]]=$B18,IF(DATOS_[[Check Periodo Ref.]:[Check Periodo Ref.]]="Dentro",IF(DATOS_[[Check Equiparado]:[Check Equiparado]]="Sí",IF(DATOS!AR$4="Sí",(1/DATOS_[[% anualiz]:[% anualiz]]),1)*IF(DATOS!AR$5="Sí",1/DATOS_[[% normaliz]:[% normaliz]],1)*(DATOS_[Conc.Sal.14])))))))), 0)</f>
        <v>0</v>
      </c>
      <c r="X19" s="250" t="n">
        <f aca="false" t="array" ref="X19:X19">IFERROR( (MEDIAN((IF(DATOS_[[Sexo]:[Sexo]]=$B19,IF(DATOS_[[AGRUP. VALOR. PTO.]:[AGRUP. VALOR. PTO.]]=$B18,IF(DATOS_[[Check Periodo Ref.]:[Check Periodo Ref.]]="Dentro",IF(DATOS_[[Check Equiparado]:[Check Equiparado]]="Sí",IF(DATOS!AS$4="Sí",(1/DATOS_[[% anualiz]:[% anualiz]]),1)*IF(DATOS!AS$5="Sí",1/DATOS_[[% normaliz]:[% normaliz]],1)*(DATOS_[Conc.Sal.15])))))))), 0)</f>
        <v>0</v>
      </c>
      <c r="Y19" s="250" t="n">
        <f aca="false" t="array" ref="Y19:Y19">IFERROR( (MEDIAN((IF(DATOS_[[Sexo]:[Sexo]]=$B19,IF(DATOS_[[AGRUP. VALOR. PTO.]:[AGRUP. VALOR. PTO.]]=$B18,IF(DATOS_[[Check Periodo Ref.]:[Check Periodo Ref.]]="Dentro",IF(DATOS_[[Check Equiparado]:[Check Equiparado]]="Sí",IF(DATOS!AT$4="Sí",(1/DATOS_[[% anualiz]:[% anualiz]]),1)*IF(DATOS!AT$5="Sí",1/DATOS_[[% normaliz]:[% normaliz]],1)*(DATOS_[Conc.Sal.16])))))))), 0)</f>
        <v>0</v>
      </c>
      <c r="Z19" s="250" t="n">
        <f aca="false" t="array" ref="Z19:Z19">IFERROR( (MEDIAN((IF(DATOS_[[Sexo]:[Sexo]]=$B19,IF(DATOS_[[AGRUP. VALOR. PTO.]:[AGRUP. VALOR. PTO.]]=$B18,IF(DATOS_[[Check Periodo Ref.]:[Check Periodo Ref.]]="Dentro",IF(DATOS_[[Check Equiparado]:[Check Equiparado]]="Sí",IF(DATOS!AU$4="Sí",(1/DATOS_[[% anualiz]:[% anualiz]]),1)*IF(DATOS!AU$5="Sí",1/DATOS_[[% normaliz]:[% normaliz]],1)*(DATOS_[Conc.Sal.17])))))))), 0)</f>
        <v>0</v>
      </c>
      <c r="AA19" s="250" t="n">
        <f aca="false" t="array" ref="AA19:AA19">IFERROR( (MEDIAN((IF(DATOS_[[Sexo]:[Sexo]]=$B19,IF(DATOS_[[AGRUP. VALOR. PTO.]:[AGRUP. VALOR. PTO.]]=$B18,IF(DATOS_[[Check Periodo Ref.]:[Check Periodo Ref.]]="Dentro",IF(DATOS_[[Check Equiparado]:[Check Equiparado]]="Sí",IF(DATOS!AV$4="Sí",(1/DATOS_[[% anualiz]:[% anualiz]]),1)*IF(DATOS!AV$5="Sí",1/DATOS_[[% normaliz]:[% normaliz]],1)*(DATOS_[Conc.Sal.18])))))))), 0)</f>
        <v>0</v>
      </c>
      <c r="AB19" s="250" t="n">
        <f aca="false" t="array" ref="AB19:AB19">IFERROR( (MEDIAN((IF(DATOS_[[Sexo]:[Sexo]]=$B19,IF(DATOS_[[AGRUP. VALOR. PTO.]:[AGRUP. VALOR. PTO.]]=$B18,IF(DATOS_[[Check Periodo Ref.]:[Check Periodo Ref.]]="Dentro",IF(DATOS_[[Check Equiparado]:[Check Equiparado]]="Sí",IF(DATOS!AW$4="Sí",(1/DATOS_[[% anualiz]:[% anualiz]]),1)*IF(DATOS!AW$5="Sí",1/DATOS_[[% normaliz]:[% normaliz]],1)*(DATOS_[Conc.Sal.19])))))))), 0)</f>
        <v>0</v>
      </c>
      <c r="AC19" s="250" t="n">
        <f aca="false" t="array" ref="AC19:AC19">IFERROR( (MEDIAN((IF(DATOS_[[Sexo]:[Sexo]]=$B19,IF(DATOS_[[AGRUP. VALOR. PTO.]:[AGRUP. VALOR. PTO.]]=$B18,IF(DATOS_[[Check Periodo Ref.]:[Check Periodo Ref.]]="Dentro",IF(DATOS_[[Check Equiparado]:[Check Equiparado]]="Sí",IF(DATOS!AX$4="Sí",(1/DATOS_[[% anualiz]:[% anualiz]]),1)*IF(DATOS!AX$5="Sí",1/DATOS_[[% normaliz]:[% normaliz]],1)*(DATOS_[Conc.Sal.20])))))))), 0)</f>
        <v>0</v>
      </c>
      <c r="AD19" s="250" t="n">
        <f aca="false" t="array" ref="AD19:AD19">IFERROR( (MEDIAN((IF(DATOS_[[Sexo]:[Sexo]]=$B19,IF(DATOS_[[AGRUP. VALOR. PTO.]:[AGRUP. VALOR. PTO.]]=$B18,IF(DATOS_[[Check Periodo Ref.]:[Check Periodo Ref.]]="Dentro",IF(DATOS_[[Check Equiparado]:[Check Equiparado]]="Sí",IF(DATOS!AY$4="Sí",(1/DATOS_[[% anualiz]:[% anualiz]]),1)*IF(DATOS!AY$5="Sí",1/DATOS_[[% normaliz]:[% normaliz]],1)*(DATOS_[Conc.Sal.21])))))))), 0)</f>
        <v>0</v>
      </c>
      <c r="AE19" s="250" t="n">
        <f aca="false" t="array" ref="AE19:AE19">IFERROR( (MEDIAN((IF(DATOS_[[Sexo]:[Sexo]]=$B19,IF(DATOS_[[AGRUP. VALOR. PTO.]:[AGRUP. VALOR. PTO.]]=$B18,IF(DATOS_[[Check Periodo Ref.]:[Check Periodo Ref.]]="Dentro",IF(DATOS_[[Check Equiparado]:[Check Equiparado]]="Sí",IF(DATOS!AZ$4="Sí",(1/DATOS_[[% anualiz]:[% anualiz]]),1)*IF(DATOS!AZ$5="Sí",1/DATOS_[[% normaliz]:[% normaliz]],1)*(DATOS_[Conc.Sal.22])))))))), 0)</f>
        <v>0</v>
      </c>
      <c r="AF19" s="250" t="n">
        <f aca="false" t="array" ref="AF19:AF19">IFERROR( (MEDIAN((IF(DATOS_[[Sexo]:[Sexo]]=$B19,IF(DATOS_[[AGRUP. VALOR. PTO.]:[AGRUP. VALOR. PTO.]]=$B18,IF(DATOS_[[Check Periodo Ref.]:[Check Periodo Ref.]]="Dentro",IF(DATOS_[[Check Equiparado]:[Check Equiparado]]="Sí",IF(DATOS!BA$4="Sí",(1/DATOS_[[% anualiz]:[% anualiz]]),1)*IF(DATOS!BA$5="Sí",1/DATOS_[[% normaliz]:[% normaliz]],1)*(DATOS_[Conc.Sal.23])))))))), 0)</f>
        <v>0</v>
      </c>
      <c r="AG19" s="250" t="n">
        <f aca="false" t="array" ref="AG19:AG19">IFERROR( (MEDIAN((IF(DATOS_[[Sexo]:[Sexo]]=$B19,IF(DATOS_[[AGRUP. VALOR. PTO.]:[AGRUP. VALOR. PTO.]]=$B18,IF(DATOS_[[Check Periodo Ref.]:[Check Periodo Ref.]]="Dentro",IF(DATOS_[[Check Equiparado]:[Check Equiparado]]="Sí",IF(DATOS!BB$4="Sí",(1/DATOS_[[% anualiz]:[% anualiz]]),1)*IF(DATOS!BB$5="Sí",1/DATOS_[[% normaliz]:[% normaliz]],1)*(DATOS_[Conc.Sal.24])))))))), 0)</f>
        <v>0</v>
      </c>
      <c r="AH19" s="250" t="n">
        <f aca="false" t="array" ref="AH19:AH19">IFERROR( (MEDIAN((IF(DATOS_[[Sexo]:[Sexo]]=$B19,IF(DATOS_[[AGRUP. VALOR. PTO.]:[AGRUP. VALOR. PTO.]]=$B18,IF(DATOS_[[Check Periodo Ref.]:[Check Periodo Ref.]]="Dentro",IF(DATOS_[[Check Equiparado]:[Check Equiparado]]="Sí",IF(DATOS!BC$4="Sí",(1/DATOS_[[% anualiz]:[% anualiz]]),1)*IF(DATOS!BC$5="Sí",1/DATOS_[[% normaliz]:[% normaliz]],1)*(DATOS_[Conc.Sal.25])))))))), 0)</f>
        <v>0</v>
      </c>
      <c r="AI19" s="250" t="n">
        <f aca="false" t="array" ref="AI19:AI19">IFERROR( (MEDIAN((IF(DATOS_[[Sexo]:[Sexo]]=$B19,IF(DATOS_[[AGRUP. VALOR. PTO.]:[AGRUP. VALOR. PTO.]]=$B18,IF(DATOS_[[Check Periodo Ref.]:[Check Periodo Ref.]]="Dentro",IF(DATOS_[[Check Equiparado]:[Check Equiparado]]="Sí",IF(DATOS!BD$4="Sí",(1/DATOS_[[% anualiz]:[% anualiz]]),1)*IF(DATOS!BD$5="Sí",1/DATOS_[[% normaliz]:[% normaliz]],1)*(DATOS_[Conc.Sal.26])))))))), 0)</f>
        <v>0</v>
      </c>
      <c r="AJ19" s="250" t="n">
        <f aca="false" t="array" ref="AJ19:AJ19">IFERROR( (MEDIAN((IF(DATOS_[[Sexo]:[Sexo]]=$B19,IF(DATOS_[[AGRUP. VALOR. PTO.]:[AGRUP. VALOR. PTO.]]=$B18,IF(DATOS_[[Check Periodo Ref.]:[Check Periodo Ref.]]="Dentro",IF(DATOS_[[Check Equiparado]:[Check Equiparado]]="Sí",IF(DATOS!BE$4="Sí",(1/DATOS_[[% anualiz]:[% anualiz]]),1)*IF(DATOS!BE$5="Sí",1/DATOS_[[% normaliz]:[% normaliz]],1)*(DATOS_[Conc.Sal.27])))))))), 0)</f>
        <v>0</v>
      </c>
      <c r="AK19" s="250" t="n">
        <f aca="false" t="array" ref="AK19:AK19">IFERROR( (MEDIAN((IF(DATOS_[[Sexo]:[Sexo]]=$B19,IF(DATOS_[[AGRUP. VALOR. PTO.]:[AGRUP. VALOR. PTO.]]=$B18,IF(DATOS_[[Check Periodo Ref.]:[Check Periodo Ref.]]="Dentro",IF(DATOS_[[Check Equiparado]:[Check Equiparado]]="Sí",IF(DATOS!BF$4="Sí",(1/DATOS_[[% anualiz]:[% anualiz]]),1)*IF(DATOS!BF$5="Sí",1/DATOS_[[% normaliz]:[% normaliz]],1)*(DATOS_[Conc.Sal.28])))))))), 0)</f>
        <v>0</v>
      </c>
      <c r="AL19" s="250" t="n">
        <f aca="false" t="array" ref="AL19:AL19">IFERROR( (MEDIAN((IF(DATOS_[[Sexo]:[Sexo]]=$B19,IF(DATOS_[[AGRUP. VALOR. PTO.]:[AGRUP. VALOR. PTO.]]=$B18,IF(DATOS_[[Check Periodo Ref.]:[Check Periodo Ref.]]="Dentro",IF(DATOS_[[Check Equiparado]:[Check Equiparado]]="Sí",IF(DATOS!BG$4="Sí",(1/DATOS_[[% anualiz]:[% anualiz]]),1)*IF(DATOS!BG$5="Sí",1/DATOS_[[% normaliz]:[% normaliz]],1)*(DATOS_[Conc.Sal.29])))))))), 0)</f>
        <v>0</v>
      </c>
      <c r="AM19" s="250" t="n">
        <f aca="false" t="array" ref="AM19:AM19">IFERROR( (MEDIAN((IF(DATOS_[[Sexo]:[Sexo]]=$B19,IF(DATOS_[[AGRUP. VALOR. PTO.]:[AGRUP. VALOR. PTO.]]=$B18,IF(DATOS_[[Check Periodo Ref.]:[Check Periodo Ref.]]="Dentro",IF(DATOS_[[Check Equiparado]:[Check Equiparado]]="Sí",IF(DATOS!BH$4="Sí",(1/DATOS_[[% anualiz]:[% anualiz]]),1)*IF(DATOS!BH$5="Sí",1/DATOS_[[% normaliz]:[% normaliz]],1)*(DATOS_[Conc.Sal.30])))))))), 0)</f>
        <v>0</v>
      </c>
      <c r="AN19" s="251" t="n">
        <f aca="false" t="array" ref="AN19:AN19">IFERROR( MEDIAN(IF(DATOS_[Sexo]=$B19,IF(DATOS_[[AGRUP. VALOR. PTO.]:[AGRUP. VALOR. PTO.]]=$B18,IF(DATOS_[Check Equiparado]="Sí",IF(DATOS_[Check Periodo Ref.]="Dentro",DATOS_[Tot COMPL.SAL Eq],0))))), 0)</f>
        <v>0</v>
      </c>
      <c r="AO19" s="252" t="n">
        <f aca="false" t="array" ref="AO19:AO19">IFERROR( MEDIAN(IF(DATOS_[Sexo]=$B19,IF(DATOS_[[AGRUP. VALOR. PTO.]:[AGRUP. VALOR. PTO.]]=$B18,IF(DATOS_[Check Equiparado]="Sí",IF(DATOS_[Check Periodo Ref.]="Dentro",DATOS_[TOTAL SALARIO Eq],0))))), 0)</f>
        <v>0</v>
      </c>
      <c r="AP19" s="259" t="n">
        <f aca="false" t="array" ref="AP19:AP19">IFERROR( (MEDIAN((IF(DATOS_[[Sexo]:[Sexo]]=$B19,IF(DATOS_[[AGRUP. VALOR. PTO.]:[AGRUP. VALOR. PTO.]]=$B18,IF(DATOS_[[Check Periodo Ref.]:[Check Periodo Ref.]]="Dentro",IF(DATOS_[[Check Equiparado]:[Check Equiparado]]="Sí",IF(DATOS!BI$4="Sí",(1/DATOS_[[% anualiz]:[% anualiz]]),1)*IF(DATOS!BI$5="Sí",1/DATOS_[[% normaliz]:[% normaliz]],1)*(DATOS_[C.Extra.01])))))))), 0)</f>
        <v>0</v>
      </c>
      <c r="AQ19" s="259" t="n">
        <f aca="false" t="array" ref="AQ19:AQ19">IFERROR( (MEDIAN((IF(DATOS_[[Sexo]:[Sexo]]=$B19,IF(DATOS_[[AGRUP. VALOR. PTO.]:[AGRUP. VALOR. PTO.]]=$B18,IF(DATOS_[[Check Periodo Ref.]:[Check Periodo Ref.]]="Dentro",IF(DATOS_[[Check Equiparado]:[Check Equiparado]]="Sí",IF(DATOS!BJ$4="Sí",(1/DATOS_[[% anualiz]:[% anualiz]]),1)*IF(DATOS!BJ$5="Sí",1/DATOS_[[% normaliz]:[% normaliz]],1)*(DATOS_[C.Extra.02])))))))), 0)</f>
        <v>0</v>
      </c>
      <c r="AR19" s="259" t="n">
        <f aca="false" t="array" ref="AR19:AR19">IFERROR( (MEDIAN((IF(DATOS_[[Sexo]:[Sexo]]=$B19,IF(DATOS_[[AGRUP. VALOR. PTO.]:[AGRUP. VALOR. PTO.]]=$B18,IF(DATOS_[[Check Periodo Ref.]:[Check Periodo Ref.]]="Dentro",IF(DATOS_[[Check Equiparado]:[Check Equiparado]]="Sí",IF(DATOS!BK$4="Sí",(1/DATOS_[[% anualiz]:[% anualiz]]),1)*IF(DATOS!BK$5="Sí",1/DATOS_[[% normaliz]:[% normaliz]],1)*(DATOS_[C.Extra.03])))))))), 0)</f>
        <v>0</v>
      </c>
      <c r="AS19" s="259" t="n">
        <f aca="false" t="array" ref="AS19:AS19">IFERROR( (MEDIAN((IF(DATOS_[[Sexo]:[Sexo]]=$B19,IF(DATOS_[[AGRUP. VALOR. PTO.]:[AGRUP. VALOR. PTO.]]=$B18,IF(DATOS_[[Check Periodo Ref.]:[Check Periodo Ref.]]="Dentro",IF(DATOS_[[Check Equiparado]:[Check Equiparado]]="Sí",IF(DATOS!BL$4="Sí",(1/DATOS_[[% anualiz]:[% anualiz]]),1)*IF(DATOS!BL$5="Sí",1/DATOS_[[% normaliz]:[% normaliz]],1)*(DATOS_[C.Extra.04])))))))), 0)</f>
        <v>0</v>
      </c>
      <c r="AT19" s="259" t="n">
        <f aca="false" t="array" ref="AT19:AT19">IFERROR( (MEDIAN((IF(DATOS_[[Sexo]:[Sexo]]=$B19,IF(DATOS_[[AGRUP. VALOR. PTO.]:[AGRUP. VALOR. PTO.]]=$B18,IF(DATOS_[[Check Periodo Ref.]:[Check Periodo Ref.]]="Dentro",IF(DATOS_[[Check Equiparado]:[Check Equiparado]]="Sí",IF(DATOS!BM$4="Sí",(1/DATOS_[[% anualiz]:[% anualiz]]),1)*IF(DATOS!BM$5="Sí",1/DATOS_[[% normaliz]:[% normaliz]],1)*(DATOS_[C.Extra.05])))))))), 0)</f>
        <v>0</v>
      </c>
      <c r="AU19" s="254" t="n">
        <f aca="false" t="array" ref="AU19:AU19">IFERROR( MEDIAN(IF(DATOS_[Sexo]=$B19,IF(DATOS_[[AGRUP. VALOR. PTO.]:[AGRUP. VALOR. PTO.]]=$B18,IF(DATOS_[Check Equiparado]="Sí",IF(DATOS_[Check Periodo Ref.]="Dentro",DATOS_[Tot Extrasalarial Eq],0))))), 0)</f>
        <v>0</v>
      </c>
      <c r="AV19" s="255" t="n">
        <f aca="false" t="array" ref="AV19:AV19">IFERROR( MEDIAN(IF(DATOS_[Sexo]=$B19,IF(DATOS_[[AGRUP. VALOR. PTO.]:[AGRUP. VALOR. PTO.]]=$B18,IF(DATOS_[Check Equiparado]="Sí",IF(DATOS_[Check Periodo Ref.]="Dentro",DATOS_[TOTAL Retrib Eq],0))))), 0)</f>
        <v>0</v>
      </c>
    </row>
    <row r="20" customFormat="false" ht="14.25" hidden="false" customHeight="false" outlineLevel="0" collapsed="false">
      <c r="A20" s="217" t="str">
        <f aca="false">+A19</f>
        <v>[ocultar]</v>
      </c>
      <c r="B20" s="323" t="s">
        <v>372</v>
      </c>
      <c r="C20" s="247" t="n">
        <f aca="false" t="array" ref="C20:C20">SUM(IF($B20=DATOS_[Sexo], IF($B18=DATOS_[AGRUP. VALOR. PTO.], IF("Dentro"=DATOS_[Check Periodo Ref.], 1/(COUNTIFS(DATOS_[Sexo],$B20,DATOS_[AGRUP. VALOR. PTO.],$B18,DATOS_[Check Periodo Ref.],"Dentro",DATOS_[id],DATOS_[id]))))))</f>
        <v>0</v>
      </c>
      <c r="D20" s="248" t="n">
        <f aca="false">COUNTIFS(DATOS_[AGRUP. VALOR. PTO.],$B18,DATOS_[Sexo],$B20,DATOS_[Check Periodo Ref.],"Dentro")</f>
        <v>0</v>
      </c>
      <c r="E20" s="248" t="n">
        <f aca="false">COUNTIFS(DATOS_[AGRUP. VALOR. PTO.],$B18,DATOS_[Sexo],$B20,DATOS_[Check Periodo Ref.],"Dentro",DATOS_[Check Nº SC Norm],"Sí")</f>
        <v>0</v>
      </c>
      <c r="F20" s="248" t="n">
        <f aca="false">COUNTIFS(DATOS_[AGRUP. VALOR. PTO.],$B18,DATOS_[Sexo],$B20,DATOS_[Check Periodo Ref.],"Dentro",DATOS_[Check Nº SC Anualiz],"Sí")</f>
        <v>0</v>
      </c>
      <c r="G20" s="248" t="n">
        <f aca="false">COUNTIFS(DATOS_[AGRUP. VALOR. PTO.],$B18,DATOS_[Sexo],$B20,DATOS_[Check Periodo Ref.],"Dentro",DATOS_[Check Nº SC Norm y Anualiz],"Sí")</f>
        <v>0</v>
      </c>
      <c r="H20" s="248" t="n">
        <f aca="false">COUNTIFS(DATOS_[AGRUP. VALOR. PTO.],$B18,DATOS_[Sexo],$B20,DATOS_[Check Periodo Ref.],"Dentro",DATOS_[Check Equiparación],"Sí")</f>
        <v>0</v>
      </c>
      <c r="I20" s="249" t="n">
        <f aca="false" t="array" ref="I20:I20">IFERROR( MEDIAN(IF(DATOS_[Sexo]=$B20,IF(DATOS_[[AGRUP. VALOR. PTO.]:[AGRUP. VALOR. PTO.]]=$B18,IF(DATOS_[Check Equiparado]="Sí",IF(DATOS_[Check Periodo Ref.]="Dentro",DATOS_[SALARIO BASE Eq],0))))), 0)</f>
        <v>0</v>
      </c>
      <c r="J20" s="250" t="n">
        <f aca="false" t="array" ref="J20:J20">IFERROR( (MEDIAN((IF(DATOS_[[Sexo]:[Sexo]]=$B20,IF(DATOS_[[AGRUP. VALOR. PTO.]:[AGRUP. VALOR. PTO.]]=$B18,IF(DATOS_[[Check Periodo Ref.]:[Check Periodo Ref.]]="Dentro",IF(DATOS_[[Check Equiparado]:[Check Equiparado]]="Sí",IF(DATOS!AE$4="Sí",(1/DATOS_[[% anualiz]:[% anualiz]]),1)*IF(DATOS!AE$5="Sí",1/DATOS_[[% normaliz]:[% normaliz]],1)*(DATOS_[Conc.Sal.01])))))))), 0)</f>
        <v>0</v>
      </c>
      <c r="K20" s="250" t="n">
        <f aca="false" t="array" ref="K20:K20">IFERROR( (MEDIAN((IF(DATOS_[[Sexo]:[Sexo]]=$B20,IF(DATOS_[[AGRUP. VALOR. PTO.]:[AGRUP. VALOR. PTO.]]=$B18,IF(DATOS_[[Check Periodo Ref.]:[Check Periodo Ref.]]="Dentro",IF(DATOS_[[Check Equiparado]:[Check Equiparado]]="Sí",IF(DATOS!AF$4="Sí",(1/DATOS_[[% anualiz]:[% anualiz]]),1)*IF(DATOS!AF$5="Sí",1/DATOS_[[% normaliz]:[% normaliz]],1)*(DATOS_[Conc.Sal.02])))))))), 0)</f>
        <v>0</v>
      </c>
      <c r="L20" s="250" t="n">
        <f aca="false" t="array" ref="L20:L20">IFERROR( (MEDIAN((IF(DATOS_[[Sexo]:[Sexo]]=$B20,IF(DATOS_[[AGRUP. VALOR. PTO.]:[AGRUP. VALOR. PTO.]]=$B18,IF(DATOS_[[Check Periodo Ref.]:[Check Periodo Ref.]]="Dentro",IF(DATOS_[[Check Equiparado]:[Check Equiparado]]="Sí",IF(DATOS!AG$4="Sí",(1/DATOS_[[% anualiz]:[% anualiz]]),1)*IF(DATOS!AG$5="Sí",1/DATOS_[[% normaliz]:[% normaliz]],1)*(DATOS_[Conc.Sal.03])))))))), 0)</f>
        <v>0</v>
      </c>
      <c r="M20" s="250" t="n">
        <f aca="false" t="array" ref="M20:M20">IFERROR( (MEDIAN((IF(DATOS_[[Sexo]:[Sexo]]=$B20,IF(DATOS_[[AGRUP. VALOR. PTO.]:[AGRUP. VALOR. PTO.]]=$B18,IF(DATOS_[[Check Periodo Ref.]:[Check Periodo Ref.]]="Dentro",IF(DATOS_[[Check Equiparado]:[Check Equiparado]]="Sí",IF(DATOS!AH$4="Sí",(1/DATOS_[[% anualiz]:[% anualiz]]),1)*IF(DATOS!AH$5="Sí",1/DATOS_[[% normaliz]:[% normaliz]],1)*(DATOS_[Conc.Sal.04])))))))), 0)</f>
        <v>0</v>
      </c>
      <c r="N20" s="250" t="n">
        <f aca="false" t="array" ref="N20:N20">IFERROR( (MEDIAN((IF(DATOS_[[Sexo]:[Sexo]]=$B20,IF(DATOS_[[AGRUP. VALOR. PTO.]:[AGRUP. VALOR. PTO.]]=$B18,IF(DATOS_[[Check Periodo Ref.]:[Check Periodo Ref.]]="Dentro",IF(DATOS_[[Check Equiparado]:[Check Equiparado]]="Sí",IF(DATOS!AI$4="Sí",(1/DATOS_[[% anualiz]:[% anualiz]]),1)*IF(DATOS!AI$5="Sí",1/DATOS_[[% normaliz]:[% normaliz]],1)*(DATOS_[Conc.Sal.05])))))))), 0)</f>
        <v>0</v>
      </c>
      <c r="O20" s="250" t="n">
        <f aca="false" t="array" ref="O20:O20">IFERROR( (MEDIAN((IF(DATOS_[[Sexo]:[Sexo]]=$B20,IF(DATOS_[[AGRUP. VALOR. PTO.]:[AGRUP. VALOR. PTO.]]=$B18,IF(DATOS_[[Check Periodo Ref.]:[Check Periodo Ref.]]="Dentro",IF(DATOS_[[Check Equiparado]:[Check Equiparado]]="Sí",IF(DATOS!AJ$4="Sí",(1/DATOS_[[% anualiz]:[% anualiz]]),1)*IF(DATOS!AJ$5="Sí",1/DATOS_[[% normaliz]:[% normaliz]],1)*(DATOS_[Conc.Sal.06])))))))), 0)</f>
        <v>0</v>
      </c>
      <c r="P20" s="250" t="n">
        <f aca="false" t="array" ref="P20:P20">IFERROR( (MEDIAN((IF(DATOS_[[Sexo]:[Sexo]]=$B20,IF(DATOS_[[AGRUP. VALOR. PTO.]:[AGRUP. VALOR. PTO.]]=$B18,IF(DATOS_[[Check Periodo Ref.]:[Check Periodo Ref.]]="Dentro",IF(DATOS_[[Check Equiparado]:[Check Equiparado]]="Sí",IF(DATOS!AK$4="Sí",(1/DATOS_[[% anualiz]:[% anualiz]]),1)*IF(DATOS!AK$5="Sí",1/DATOS_[[% normaliz]:[% normaliz]],1)*(DATOS_[Conc.Sal.07])))))))), 0)</f>
        <v>0</v>
      </c>
      <c r="Q20" s="250" t="n">
        <f aca="false" t="array" ref="Q20:Q20">IFERROR( (MEDIAN((IF(DATOS_[[Sexo]:[Sexo]]=$B20,IF(DATOS_[[AGRUP. VALOR. PTO.]:[AGRUP. VALOR. PTO.]]=$B18,IF(DATOS_[[Check Periodo Ref.]:[Check Periodo Ref.]]="Dentro",IF(DATOS_[[Check Equiparado]:[Check Equiparado]]="Sí",IF(DATOS!AL$4="Sí",(1/DATOS_[[% anualiz]:[% anualiz]]),1)*IF(DATOS!AL$5="Sí",1/DATOS_[[% normaliz]:[% normaliz]],1)*(DATOS_[Conc.Sal.08])))))))), 0)</f>
        <v>0</v>
      </c>
      <c r="R20" s="250" t="n">
        <f aca="false" t="array" ref="R20:R20">IFERROR( (MEDIAN((IF(DATOS_[[Sexo]:[Sexo]]=$B20,IF(DATOS_[[AGRUP. VALOR. PTO.]:[AGRUP. VALOR. PTO.]]=$B18,IF(DATOS_[[Check Periodo Ref.]:[Check Periodo Ref.]]="Dentro",IF(DATOS_[[Check Equiparado]:[Check Equiparado]]="Sí",IF(DATOS!AM$4="Sí",(1/DATOS_[[% anualiz]:[% anualiz]]),1)*IF(DATOS!AM$5="Sí",1/DATOS_[[% normaliz]:[% normaliz]],1)*(DATOS_[Conc.Sal.09])))))))), 0)</f>
        <v>0</v>
      </c>
      <c r="S20" s="250" t="n">
        <f aca="false" t="array" ref="S20:S20">IFERROR( (MEDIAN((IF(DATOS_[[Sexo]:[Sexo]]=$B20,IF(DATOS_[[AGRUP. VALOR. PTO.]:[AGRUP. VALOR. PTO.]]=$B18,IF(DATOS_[[Check Periodo Ref.]:[Check Periodo Ref.]]="Dentro",IF(DATOS_[[Check Equiparado]:[Check Equiparado]]="Sí",IF(DATOS!AN$4="Sí",(1/DATOS_[[% anualiz]:[% anualiz]]),1)*IF(DATOS!AN$5="Sí",1/DATOS_[[% normaliz]:[% normaliz]],1)*(DATOS_[Conc.Sal.10])))))))), 0)</f>
        <v>0</v>
      </c>
      <c r="T20" s="250" t="n">
        <f aca="false" t="array" ref="T20:T20">IFERROR( (MEDIAN((IF(DATOS_[[Sexo]:[Sexo]]=$B20,IF(DATOS_[[AGRUP. VALOR. PTO.]:[AGRUP. VALOR. PTO.]]=$B18,IF(DATOS_[[Check Periodo Ref.]:[Check Periodo Ref.]]="Dentro",IF(DATOS_[[Check Equiparado]:[Check Equiparado]]="Sí",IF(DATOS!AO$4="Sí",(1/DATOS_[[% anualiz]:[% anualiz]]),1)*IF(DATOS!AO$5="Sí",1/DATOS_[[% normaliz]:[% normaliz]],1)*(DATOS_[Conc.Sal.11])))))))), 0)</f>
        <v>0</v>
      </c>
      <c r="U20" s="250" t="n">
        <f aca="false" t="array" ref="U20:U20">IFERROR( (MEDIAN((IF(DATOS_[[Sexo]:[Sexo]]=$B20,IF(DATOS_[[AGRUP. VALOR. PTO.]:[AGRUP. VALOR. PTO.]]=$B18,IF(DATOS_[[Check Periodo Ref.]:[Check Periodo Ref.]]="Dentro",IF(DATOS_[[Check Equiparado]:[Check Equiparado]]="Sí",IF(DATOS!AP$4="Sí",(1/DATOS_[[% anualiz]:[% anualiz]]),1)*IF(DATOS!AP$5="Sí",1/DATOS_[[% normaliz]:[% normaliz]],1)*(DATOS_[Conc.Sal.12])))))))), 0)</f>
        <v>0</v>
      </c>
      <c r="V20" s="250" t="n">
        <f aca="false" t="array" ref="V20:V20">IFERROR( (MEDIAN((IF(DATOS_[[Sexo]:[Sexo]]=$B20,IF(DATOS_[[AGRUP. VALOR. PTO.]:[AGRUP. VALOR. PTO.]]=$B18,IF(DATOS_[[Check Periodo Ref.]:[Check Periodo Ref.]]="Dentro",IF(DATOS_[[Check Equiparado]:[Check Equiparado]]="Sí",IF(DATOS!AQ$4="Sí",(1/DATOS_[[% anualiz]:[% anualiz]]),1)*IF(DATOS!AQ$5="Sí",1/DATOS_[[% normaliz]:[% normaliz]],1)*(DATOS_[Conc.Sal.13])))))))), 0)</f>
        <v>0</v>
      </c>
      <c r="W20" s="250" t="n">
        <f aca="false" t="array" ref="W20:W20">IFERROR( (MEDIAN((IF(DATOS_[[Sexo]:[Sexo]]=$B20,IF(DATOS_[[AGRUP. VALOR. PTO.]:[AGRUP. VALOR. PTO.]]=$B18,IF(DATOS_[[Check Periodo Ref.]:[Check Periodo Ref.]]="Dentro",IF(DATOS_[[Check Equiparado]:[Check Equiparado]]="Sí",IF(DATOS!AR$4="Sí",(1/DATOS_[[% anualiz]:[% anualiz]]),1)*IF(DATOS!AR$5="Sí",1/DATOS_[[% normaliz]:[% normaliz]],1)*(DATOS_[Conc.Sal.14])))))))), 0)</f>
        <v>0</v>
      </c>
      <c r="X20" s="250" t="n">
        <f aca="false" t="array" ref="X20:X20">IFERROR( (MEDIAN((IF(DATOS_[[Sexo]:[Sexo]]=$B20,IF(DATOS_[[AGRUP. VALOR. PTO.]:[AGRUP. VALOR. PTO.]]=$B18,IF(DATOS_[[Check Periodo Ref.]:[Check Periodo Ref.]]="Dentro",IF(DATOS_[[Check Equiparado]:[Check Equiparado]]="Sí",IF(DATOS!AS$4="Sí",(1/DATOS_[[% anualiz]:[% anualiz]]),1)*IF(DATOS!AS$5="Sí",1/DATOS_[[% normaliz]:[% normaliz]],1)*(DATOS_[Conc.Sal.15])))))))), 0)</f>
        <v>0</v>
      </c>
      <c r="Y20" s="250" t="n">
        <f aca="false" t="array" ref="Y20:Y20">IFERROR( (MEDIAN((IF(DATOS_[[Sexo]:[Sexo]]=$B20,IF(DATOS_[[AGRUP. VALOR. PTO.]:[AGRUP. VALOR. PTO.]]=$B18,IF(DATOS_[[Check Periodo Ref.]:[Check Periodo Ref.]]="Dentro",IF(DATOS_[[Check Equiparado]:[Check Equiparado]]="Sí",IF(DATOS!AT$4="Sí",(1/DATOS_[[% anualiz]:[% anualiz]]),1)*IF(DATOS!AT$5="Sí",1/DATOS_[[% normaliz]:[% normaliz]],1)*(DATOS_[Conc.Sal.16])))))))), 0)</f>
        <v>0</v>
      </c>
      <c r="Z20" s="250" t="n">
        <f aca="false" t="array" ref="Z20:Z20">IFERROR( (MEDIAN((IF(DATOS_[[Sexo]:[Sexo]]=$B20,IF(DATOS_[[AGRUP. VALOR. PTO.]:[AGRUP. VALOR. PTO.]]=$B18,IF(DATOS_[[Check Periodo Ref.]:[Check Periodo Ref.]]="Dentro",IF(DATOS_[[Check Equiparado]:[Check Equiparado]]="Sí",IF(DATOS!AU$4="Sí",(1/DATOS_[[% anualiz]:[% anualiz]]),1)*IF(DATOS!AU$5="Sí",1/DATOS_[[% normaliz]:[% normaliz]],1)*(DATOS_[Conc.Sal.17])))))))), 0)</f>
        <v>0</v>
      </c>
      <c r="AA20" s="250" t="n">
        <f aca="false" t="array" ref="AA20:AA20">IFERROR( (MEDIAN((IF(DATOS_[[Sexo]:[Sexo]]=$B20,IF(DATOS_[[AGRUP. VALOR. PTO.]:[AGRUP. VALOR. PTO.]]=$B18,IF(DATOS_[[Check Periodo Ref.]:[Check Periodo Ref.]]="Dentro",IF(DATOS_[[Check Equiparado]:[Check Equiparado]]="Sí",IF(DATOS!AV$4="Sí",(1/DATOS_[[% anualiz]:[% anualiz]]),1)*IF(DATOS!AV$5="Sí",1/DATOS_[[% normaliz]:[% normaliz]],1)*(DATOS_[Conc.Sal.18])))))))), 0)</f>
        <v>0</v>
      </c>
      <c r="AB20" s="250" t="n">
        <f aca="false" t="array" ref="AB20:AB20">IFERROR( (MEDIAN((IF(DATOS_[[Sexo]:[Sexo]]=$B20,IF(DATOS_[[AGRUP. VALOR. PTO.]:[AGRUP. VALOR. PTO.]]=$B18,IF(DATOS_[[Check Periodo Ref.]:[Check Periodo Ref.]]="Dentro",IF(DATOS_[[Check Equiparado]:[Check Equiparado]]="Sí",IF(DATOS!AW$4="Sí",(1/DATOS_[[% anualiz]:[% anualiz]]),1)*IF(DATOS!AW$5="Sí",1/DATOS_[[% normaliz]:[% normaliz]],1)*(DATOS_[Conc.Sal.19])))))))), 0)</f>
        <v>0</v>
      </c>
      <c r="AC20" s="250" t="n">
        <f aca="false" t="array" ref="AC20:AC20">IFERROR( (MEDIAN((IF(DATOS_[[Sexo]:[Sexo]]=$B20,IF(DATOS_[[AGRUP. VALOR. PTO.]:[AGRUP. VALOR. PTO.]]=$B18,IF(DATOS_[[Check Periodo Ref.]:[Check Periodo Ref.]]="Dentro",IF(DATOS_[[Check Equiparado]:[Check Equiparado]]="Sí",IF(DATOS!AX$4="Sí",(1/DATOS_[[% anualiz]:[% anualiz]]),1)*IF(DATOS!AX$5="Sí",1/DATOS_[[% normaliz]:[% normaliz]],1)*(DATOS_[Conc.Sal.20])))))))), 0)</f>
        <v>0</v>
      </c>
      <c r="AD20" s="250" t="n">
        <f aca="false" t="array" ref="AD20:AD20">IFERROR( (MEDIAN((IF(DATOS_[[Sexo]:[Sexo]]=$B20,IF(DATOS_[[AGRUP. VALOR. PTO.]:[AGRUP. VALOR. PTO.]]=$B18,IF(DATOS_[[Check Periodo Ref.]:[Check Periodo Ref.]]="Dentro",IF(DATOS_[[Check Equiparado]:[Check Equiparado]]="Sí",IF(DATOS!AY$4="Sí",(1/DATOS_[[% anualiz]:[% anualiz]]),1)*IF(DATOS!AY$5="Sí",1/DATOS_[[% normaliz]:[% normaliz]],1)*(DATOS_[Conc.Sal.21])))))))), 0)</f>
        <v>0</v>
      </c>
      <c r="AE20" s="250" t="n">
        <f aca="false" t="array" ref="AE20:AE20">IFERROR( (MEDIAN((IF(DATOS_[[Sexo]:[Sexo]]=$B20,IF(DATOS_[[AGRUP. VALOR. PTO.]:[AGRUP. VALOR. PTO.]]=$B18,IF(DATOS_[[Check Periodo Ref.]:[Check Periodo Ref.]]="Dentro",IF(DATOS_[[Check Equiparado]:[Check Equiparado]]="Sí",IF(DATOS!AZ$4="Sí",(1/DATOS_[[% anualiz]:[% anualiz]]),1)*IF(DATOS!AZ$5="Sí",1/DATOS_[[% normaliz]:[% normaliz]],1)*(DATOS_[Conc.Sal.22])))))))), 0)</f>
        <v>0</v>
      </c>
      <c r="AF20" s="250" t="n">
        <f aca="false" t="array" ref="AF20:AF20">IFERROR( (MEDIAN((IF(DATOS_[[Sexo]:[Sexo]]=$B20,IF(DATOS_[[AGRUP. VALOR. PTO.]:[AGRUP. VALOR. PTO.]]=$B18,IF(DATOS_[[Check Periodo Ref.]:[Check Periodo Ref.]]="Dentro",IF(DATOS_[[Check Equiparado]:[Check Equiparado]]="Sí",IF(DATOS!BA$4="Sí",(1/DATOS_[[% anualiz]:[% anualiz]]),1)*IF(DATOS!BA$5="Sí",1/DATOS_[[% normaliz]:[% normaliz]],1)*(DATOS_[Conc.Sal.23])))))))), 0)</f>
        <v>0</v>
      </c>
      <c r="AG20" s="250" t="n">
        <f aca="false" t="array" ref="AG20:AG20">IFERROR( (MEDIAN((IF(DATOS_[[Sexo]:[Sexo]]=$B20,IF(DATOS_[[AGRUP. VALOR. PTO.]:[AGRUP. VALOR. PTO.]]=$B18,IF(DATOS_[[Check Periodo Ref.]:[Check Periodo Ref.]]="Dentro",IF(DATOS_[[Check Equiparado]:[Check Equiparado]]="Sí",IF(DATOS!BB$4="Sí",(1/DATOS_[[% anualiz]:[% anualiz]]),1)*IF(DATOS!BB$5="Sí",1/DATOS_[[% normaliz]:[% normaliz]],1)*(DATOS_[Conc.Sal.24])))))))), 0)</f>
        <v>0</v>
      </c>
      <c r="AH20" s="250" t="n">
        <f aca="false" t="array" ref="AH20:AH20">IFERROR( (MEDIAN((IF(DATOS_[[Sexo]:[Sexo]]=$B20,IF(DATOS_[[AGRUP. VALOR. PTO.]:[AGRUP. VALOR. PTO.]]=$B18,IF(DATOS_[[Check Periodo Ref.]:[Check Periodo Ref.]]="Dentro",IF(DATOS_[[Check Equiparado]:[Check Equiparado]]="Sí",IF(DATOS!BC$4="Sí",(1/DATOS_[[% anualiz]:[% anualiz]]),1)*IF(DATOS!BC$5="Sí",1/DATOS_[[% normaliz]:[% normaliz]],1)*(DATOS_[Conc.Sal.25])))))))), 0)</f>
        <v>0</v>
      </c>
      <c r="AI20" s="250" t="n">
        <f aca="false" t="array" ref="AI20:AI20">IFERROR( (MEDIAN((IF(DATOS_[[Sexo]:[Sexo]]=$B20,IF(DATOS_[[AGRUP. VALOR. PTO.]:[AGRUP. VALOR. PTO.]]=$B18,IF(DATOS_[[Check Periodo Ref.]:[Check Periodo Ref.]]="Dentro",IF(DATOS_[[Check Equiparado]:[Check Equiparado]]="Sí",IF(DATOS!BD$4="Sí",(1/DATOS_[[% anualiz]:[% anualiz]]),1)*IF(DATOS!BD$5="Sí",1/DATOS_[[% normaliz]:[% normaliz]],1)*(DATOS_[Conc.Sal.26])))))))), 0)</f>
        <v>0</v>
      </c>
      <c r="AJ20" s="250" t="n">
        <f aca="false" t="array" ref="AJ20:AJ20">IFERROR( (MEDIAN((IF(DATOS_[[Sexo]:[Sexo]]=$B20,IF(DATOS_[[AGRUP. VALOR. PTO.]:[AGRUP. VALOR. PTO.]]=$B18,IF(DATOS_[[Check Periodo Ref.]:[Check Periodo Ref.]]="Dentro",IF(DATOS_[[Check Equiparado]:[Check Equiparado]]="Sí",IF(DATOS!BE$4="Sí",(1/DATOS_[[% anualiz]:[% anualiz]]),1)*IF(DATOS!BE$5="Sí",1/DATOS_[[% normaliz]:[% normaliz]],1)*(DATOS_[Conc.Sal.27])))))))), 0)</f>
        <v>0</v>
      </c>
      <c r="AK20" s="250" t="n">
        <f aca="false" t="array" ref="AK20:AK20">IFERROR( (MEDIAN((IF(DATOS_[[Sexo]:[Sexo]]=$B20,IF(DATOS_[[AGRUP. VALOR. PTO.]:[AGRUP. VALOR. PTO.]]=$B18,IF(DATOS_[[Check Periodo Ref.]:[Check Periodo Ref.]]="Dentro",IF(DATOS_[[Check Equiparado]:[Check Equiparado]]="Sí",IF(DATOS!BF$4="Sí",(1/DATOS_[[% anualiz]:[% anualiz]]),1)*IF(DATOS!BF$5="Sí",1/DATOS_[[% normaliz]:[% normaliz]],1)*(DATOS_[Conc.Sal.28])))))))), 0)</f>
        <v>0</v>
      </c>
      <c r="AL20" s="250" t="n">
        <f aca="false" t="array" ref="AL20:AL20">IFERROR( (MEDIAN((IF(DATOS_[[Sexo]:[Sexo]]=$B20,IF(DATOS_[[AGRUP. VALOR. PTO.]:[AGRUP. VALOR. PTO.]]=$B18,IF(DATOS_[[Check Periodo Ref.]:[Check Periodo Ref.]]="Dentro",IF(DATOS_[[Check Equiparado]:[Check Equiparado]]="Sí",IF(DATOS!BG$4="Sí",(1/DATOS_[[% anualiz]:[% anualiz]]),1)*IF(DATOS!BG$5="Sí",1/DATOS_[[% normaliz]:[% normaliz]],1)*(DATOS_[Conc.Sal.29])))))))), 0)</f>
        <v>0</v>
      </c>
      <c r="AM20" s="250" t="n">
        <f aca="false" t="array" ref="AM20:AM20">IFERROR( (MEDIAN((IF(DATOS_[[Sexo]:[Sexo]]=$B20,IF(DATOS_[[AGRUP. VALOR. PTO.]:[AGRUP. VALOR. PTO.]]=$B18,IF(DATOS_[[Check Periodo Ref.]:[Check Periodo Ref.]]="Dentro",IF(DATOS_[[Check Equiparado]:[Check Equiparado]]="Sí",IF(DATOS!BH$4="Sí",(1/DATOS_[[% anualiz]:[% anualiz]]),1)*IF(DATOS!BH$5="Sí",1/DATOS_[[% normaliz]:[% normaliz]],1)*(DATOS_[Conc.Sal.30])))))))), 0)</f>
        <v>0</v>
      </c>
      <c r="AN20" s="251" t="n">
        <f aca="false" t="array" ref="AN20:AN20">IFERROR( MEDIAN(IF(DATOS_[Sexo]=$B20,IF(DATOS_[[AGRUP. VALOR. PTO.]:[AGRUP. VALOR. PTO.]]=$B18,IF(DATOS_[Check Equiparado]="Sí",IF(DATOS_[Check Periodo Ref.]="Dentro",DATOS_[Tot COMPL.SAL Eq],0))))), 0)</f>
        <v>0</v>
      </c>
      <c r="AO20" s="252" t="n">
        <f aca="false" t="array" ref="AO20:AO20">IFERROR( MEDIAN(IF(DATOS_[Sexo]=$B20,IF(DATOS_[[AGRUP. VALOR. PTO.]:[AGRUP. VALOR. PTO.]]=$B18,IF(DATOS_[Check Equiparado]="Sí",IF(DATOS_[Check Periodo Ref.]="Dentro",DATOS_[TOTAL SALARIO Eq],0))))), 0)</f>
        <v>0</v>
      </c>
      <c r="AP20" s="259" t="n">
        <f aca="false" t="array" ref="AP20:AP20">IFERROR( (MEDIAN((IF(DATOS_[[Sexo]:[Sexo]]=$B20,IF(DATOS_[[AGRUP. VALOR. PTO.]:[AGRUP. VALOR. PTO.]]=$B19,IF(DATOS_[[Check Periodo Ref.]:[Check Periodo Ref.]]="Dentro",IF(DATOS_[[Check Equiparado]:[Check Equiparado]]="Sí",IF(DATOS!BI$4="Sí",(1/DATOS_[[% anualiz]:[% anualiz]]),1)*IF(DATOS!BI$5="Sí",1/DATOS_[[% normaliz]:[% normaliz]],1)*(DATOS_[C.Extra.01])))))))), 0)</f>
        <v>0</v>
      </c>
      <c r="AQ20" s="259" t="n">
        <f aca="false" t="array" ref="AQ20:AQ20">IFERROR( (MEDIAN((IF(DATOS_[[Sexo]:[Sexo]]=$B20,IF(DATOS_[[AGRUP. VALOR. PTO.]:[AGRUP. VALOR. PTO.]]=$B19,IF(DATOS_[[Check Periodo Ref.]:[Check Periodo Ref.]]="Dentro",IF(DATOS_[[Check Equiparado]:[Check Equiparado]]="Sí",IF(DATOS!BJ$4="Sí",(1/DATOS_[[% anualiz]:[% anualiz]]),1)*IF(DATOS!BJ$5="Sí",1/DATOS_[[% normaliz]:[% normaliz]],1)*(DATOS_[C.Extra.02])))))))), 0)</f>
        <v>0</v>
      </c>
      <c r="AR20" s="259" t="n">
        <f aca="false" t="array" ref="AR20:AR20">IFERROR( (MEDIAN((IF(DATOS_[[Sexo]:[Sexo]]=$B20,IF(DATOS_[[AGRUP. VALOR. PTO.]:[AGRUP. VALOR. PTO.]]=$B19,IF(DATOS_[[Check Periodo Ref.]:[Check Periodo Ref.]]="Dentro",IF(DATOS_[[Check Equiparado]:[Check Equiparado]]="Sí",IF(DATOS!BK$4="Sí",(1/DATOS_[[% anualiz]:[% anualiz]]),1)*IF(DATOS!BK$5="Sí",1/DATOS_[[% normaliz]:[% normaliz]],1)*(DATOS_[C.Extra.03])))))))), 0)</f>
        <v>0</v>
      </c>
      <c r="AS20" s="259" t="n">
        <f aca="false" t="array" ref="AS20:AS20">IFERROR( (MEDIAN((IF(DATOS_[[Sexo]:[Sexo]]=$B20,IF(DATOS_[[AGRUP. VALOR. PTO.]:[AGRUP. VALOR. PTO.]]=$B19,IF(DATOS_[[Check Periodo Ref.]:[Check Periodo Ref.]]="Dentro",IF(DATOS_[[Check Equiparado]:[Check Equiparado]]="Sí",IF(DATOS!BL$4="Sí",(1/DATOS_[[% anualiz]:[% anualiz]]),1)*IF(DATOS!BL$5="Sí",1/DATOS_[[% normaliz]:[% normaliz]],1)*(DATOS_[C.Extra.04])))))))), 0)</f>
        <v>0</v>
      </c>
      <c r="AT20" s="259" t="n">
        <f aca="false" t="array" ref="AT20:AT20">IFERROR( (MEDIAN((IF(DATOS_[[Sexo]:[Sexo]]=$B20,IF(DATOS_[[AGRUP. VALOR. PTO.]:[AGRUP. VALOR. PTO.]]=$B19,IF(DATOS_[[Check Periodo Ref.]:[Check Periodo Ref.]]="Dentro",IF(DATOS_[[Check Equiparado]:[Check Equiparado]]="Sí",IF(DATOS!BM$4="Sí",(1/DATOS_[[% anualiz]:[% anualiz]]),1)*IF(DATOS!BM$5="Sí",1/DATOS_[[% normaliz]:[% normaliz]],1)*(DATOS_[C.Extra.05])))))))), 0)</f>
        <v>0</v>
      </c>
      <c r="AU20" s="254" t="n">
        <f aca="false" t="array" ref="AU20:AU20">IFERROR( MEDIAN(IF(DATOS_[Sexo]=$B20,IF(DATOS_[[AGRUP. VALOR. PTO.]:[AGRUP. VALOR. PTO.]]=$B18,IF(DATOS_[Check Equiparado]="Sí",IF(DATOS_[Check Periodo Ref.]="Dentro",DATOS_[Tot Extrasalarial Eq],0))))), 0)</f>
        <v>0</v>
      </c>
      <c r="AV20" s="255" t="n">
        <f aca="false" t="array" ref="AV20:AV20">IFERROR( MEDIAN(IF(DATOS_[Sexo]=$B20,IF(DATOS_[[AGRUP. VALOR. PTO.]:[AGRUP. VALOR. PTO.]]=$B18,IF(DATOS_[Check Equiparado]="Sí",IF(DATOS_[Check Periodo Ref.]="Dentro",DATOS_[TOTAL Retrib Eq],0))))), 0)</f>
        <v>0</v>
      </c>
    </row>
    <row r="21" customFormat="false" ht="15.75" hidden="false" customHeight="false" outlineLevel="0" collapsed="false">
      <c r="A21" s="217" t="str">
        <f aca="false">+A22</f>
        <v>[ocultar]</v>
      </c>
      <c r="B21" s="320" t="s">
        <v>178</v>
      </c>
      <c r="C21" s="236"/>
      <c r="D21" s="237"/>
      <c r="E21" s="237"/>
      <c r="F21" s="237"/>
      <c r="G21" s="237"/>
      <c r="H21" s="237"/>
      <c r="I21" s="238" t="str">
        <f aca="false">IFERROR((I22-I23)/I22,"")</f>
        <v/>
      </c>
      <c r="J21" s="239" t="str">
        <f aca="false">IFERROR((J22-J23)/J22,"")</f>
        <v/>
      </c>
      <c r="K21" s="239" t="str">
        <f aca="false">IFERROR((K22-K23)/K22,"")</f>
        <v/>
      </c>
      <c r="L21" s="239" t="str">
        <f aca="false">IFERROR((L22-L23)/L22,"")</f>
        <v/>
      </c>
      <c r="M21" s="239" t="str">
        <f aca="false">IFERROR((M22-M23)/M22,"")</f>
        <v/>
      </c>
      <c r="N21" s="239" t="str">
        <f aca="false">IFERROR((N22-N23)/N22,"")</f>
        <v/>
      </c>
      <c r="O21" s="239" t="str">
        <f aca="false">IFERROR((O22-O23)/O22,"")</f>
        <v/>
      </c>
      <c r="P21" s="239" t="str">
        <f aca="false">IFERROR((P22-P23)/P22,"")</f>
        <v/>
      </c>
      <c r="Q21" s="239" t="str">
        <f aca="false">IFERROR((Q22-Q23)/Q22,"")</f>
        <v/>
      </c>
      <c r="R21" s="239" t="str">
        <f aca="false">IFERROR((R22-R23)/R22,"")</f>
        <v/>
      </c>
      <c r="S21" s="239" t="str">
        <f aca="false">IFERROR((S22-S23)/S22,"")</f>
        <v/>
      </c>
      <c r="T21" s="239" t="str">
        <f aca="false">IFERROR((T22-T23)/T22,"")</f>
        <v/>
      </c>
      <c r="U21" s="239" t="str">
        <f aca="false">IFERROR((U22-U23)/U22,"")</f>
        <v/>
      </c>
      <c r="V21" s="239" t="str">
        <f aca="false">IFERROR((V22-V23)/V22,"")</f>
        <v/>
      </c>
      <c r="W21" s="239" t="str">
        <f aca="false">IFERROR((W22-W23)/W22,"")</f>
        <v/>
      </c>
      <c r="X21" s="239" t="str">
        <f aca="false">IFERROR((X22-X23)/X22,"")</f>
        <v/>
      </c>
      <c r="Y21" s="239" t="str">
        <f aca="false">IFERROR((Y22-Y23)/Y22,"")</f>
        <v/>
      </c>
      <c r="Z21" s="240" t="str">
        <f aca="false">IFERROR((Z22-Z23)/Z22,"")</f>
        <v/>
      </c>
      <c r="AA21" s="240" t="str">
        <f aca="false">IFERROR((AA22-AA23)/AA22,"")</f>
        <v/>
      </c>
      <c r="AB21" s="240" t="str">
        <f aca="false">IFERROR((AB22-AB23)/AB22,"")</f>
        <v/>
      </c>
      <c r="AC21" s="240" t="str">
        <f aca="false">IFERROR((AC22-AC23)/AC22,"")</f>
        <v/>
      </c>
      <c r="AD21" s="240" t="str">
        <f aca="false">IFERROR((AD22-AD23)/AD22,"")</f>
        <v/>
      </c>
      <c r="AE21" s="240" t="str">
        <f aca="false">IFERROR((AE22-AE23)/AE22,"")</f>
        <v/>
      </c>
      <c r="AF21" s="240" t="str">
        <f aca="false">IFERROR((AF22-AF23)/AF22,"")</f>
        <v/>
      </c>
      <c r="AG21" s="240" t="str">
        <f aca="false">IFERROR((AG22-AG23)/AG22,"")</f>
        <v/>
      </c>
      <c r="AH21" s="240" t="str">
        <f aca="false">IFERROR((AH22-AH23)/AH22,"")</f>
        <v/>
      </c>
      <c r="AI21" s="240" t="str">
        <f aca="false">IFERROR((AI22-AI23)/AI22,"")</f>
        <v/>
      </c>
      <c r="AJ21" s="240" t="str">
        <f aca="false">IFERROR((AJ22-AJ23)/AJ22,"")</f>
        <v/>
      </c>
      <c r="AK21" s="240" t="str">
        <f aca="false">IFERROR((AK22-AK23)/AK22,"")</f>
        <v/>
      </c>
      <c r="AL21" s="240" t="str">
        <f aca="false">IFERROR((AL22-AL23)/AL22,"")</f>
        <v/>
      </c>
      <c r="AM21" s="240" t="str">
        <f aca="false">IFERROR((AM22-AM23)/AM22,"")</f>
        <v/>
      </c>
      <c r="AN21" s="241" t="str">
        <f aca="false">IFERROR((AN22-AN23)/AN22,"")</f>
        <v/>
      </c>
      <c r="AO21" s="242" t="str">
        <f aca="false">IFERROR((AO22-AO23)/AO22,"")</f>
        <v/>
      </c>
      <c r="AP21" s="243" t="str">
        <f aca="false">IFERROR((AP22-AP23)/AP22,"")</f>
        <v/>
      </c>
      <c r="AQ21" s="243" t="str">
        <f aca="false">IFERROR((AQ22-AQ23)/AQ22,"")</f>
        <v/>
      </c>
      <c r="AR21" s="243" t="str">
        <f aca="false">IFERROR((AR22-AR23)/AR22,"")</f>
        <v/>
      </c>
      <c r="AS21" s="243" t="str">
        <f aca="false">IFERROR((AS22-AS23)/AS22,"")</f>
        <v/>
      </c>
      <c r="AT21" s="243" t="str">
        <f aca="false">IFERROR((AT22-AT23)/AT22,"")</f>
        <v/>
      </c>
      <c r="AU21" s="244" t="str">
        <f aca="false">IFERROR((AU22-AU23)/AU22,"")</f>
        <v/>
      </c>
      <c r="AV21" s="245" t="str">
        <f aca="false">IFERROR((AV22-AV23)/AV22,"")</f>
        <v/>
      </c>
    </row>
    <row r="22" customFormat="false" ht="14.25" hidden="false" customHeight="false" outlineLevel="0" collapsed="false">
      <c r="A22" s="217" t="str">
        <f aca="false">+IF(C22+C23=0,"[ocultar]","")</f>
        <v>[ocultar]</v>
      </c>
      <c r="B22" s="323" t="s">
        <v>371</v>
      </c>
      <c r="C22" s="247" t="n">
        <f aca="false" t="array" ref="C22:C22">SUM(IF($B22=DATOS_[Sexo], IF($B21=DATOS_[AGRUP. VALOR. PTO.], IF("Dentro"=DATOS_[Check Periodo Ref.], 1/(COUNTIFS(DATOS_[Sexo],$B22,DATOS_[AGRUP. VALOR. PTO.],$B21,DATOS_[Check Periodo Ref.],"Dentro",DATOS_[id],DATOS_[id]))))))</f>
        <v>0</v>
      </c>
      <c r="D22" s="248" t="n">
        <f aca="false">COUNTIFS(DATOS_[AGRUP. VALOR. PTO.],$B21,DATOS_[Sexo],$B22,DATOS_[Check Periodo Ref.],"Dentro")</f>
        <v>0</v>
      </c>
      <c r="E22" s="248" t="n">
        <f aca="false">COUNTIFS(DATOS_[AGRUP. VALOR. PTO.],$B21,DATOS_[Sexo],$B22,DATOS_[Check Periodo Ref.],"Dentro",DATOS_[Check Nº SC Norm],"Sí")</f>
        <v>0</v>
      </c>
      <c r="F22" s="248" t="n">
        <f aca="false">COUNTIFS(DATOS_[AGRUP. VALOR. PTO.],$B21,DATOS_[Sexo],$B22,DATOS_[Check Periodo Ref.],"Dentro",DATOS_[Check Nº SC Anualiz],"Sí")</f>
        <v>0</v>
      </c>
      <c r="G22" s="248" t="n">
        <f aca="false">COUNTIFS(DATOS_[AGRUP. VALOR. PTO.],$B21,DATOS_[Sexo],$B22,DATOS_[Check Periodo Ref.],"Dentro",DATOS_[Check Nº SC Norm y Anualiz],"Sí")</f>
        <v>0</v>
      </c>
      <c r="H22" s="248" t="n">
        <f aca="false">COUNTIFS(DATOS_[AGRUP. VALOR. PTO.],$B21,DATOS_[Sexo],$B22,DATOS_[Check Periodo Ref.],"Dentro",DATOS_[Check Equiparación],"Sí")</f>
        <v>0</v>
      </c>
      <c r="I22" s="249" t="n">
        <f aca="false" t="array" ref="I22:I22">IFERROR( MEDIAN(IF(DATOS_[Sexo]=$B22,IF(DATOS_[[AGRUP. VALOR. PTO.]:[AGRUP. VALOR. PTO.]]=$B21,IF(DATOS_[Check Equiparado]="Sí",IF(DATOS_[Check Periodo Ref.]="Dentro",DATOS_[SALARIO BASE Eq],0))))), 0)</f>
        <v>0</v>
      </c>
      <c r="J22" s="250" t="n">
        <f aca="false" t="array" ref="J22:J22">IFERROR( (MEDIAN((IF(DATOS_[[Sexo]:[Sexo]]=$B22,IF(DATOS_[[AGRUP. VALOR. PTO.]:[AGRUP. VALOR. PTO.]]=$B21,IF(DATOS_[[Check Periodo Ref.]:[Check Periodo Ref.]]="Dentro",IF(DATOS_[[Check Equiparado]:[Check Equiparado]]="Sí",IF(DATOS!AE$4="Sí",(1/DATOS_[[% anualiz]:[% anualiz]]),1)*IF(DATOS!AE$5="Sí",1/DATOS_[[% normaliz]:[% normaliz]],1)*(DATOS_[Conc.Sal.01])))))))), 0)</f>
        <v>0</v>
      </c>
      <c r="K22" s="250" t="n">
        <f aca="false" t="array" ref="K22:K22">IFERROR( (MEDIAN((IF(DATOS_[[Sexo]:[Sexo]]=$B22,IF(DATOS_[[AGRUP. VALOR. PTO.]:[AGRUP. VALOR. PTO.]]=$B21,IF(DATOS_[[Check Periodo Ref.]:[Check Periodo Ref.]]="Dentro",IF(DATOS_[[Check Equiparado]:[Check Equiparado]]="Sí",IF(DATOS!AF$4="Sí",(1/DATOS_[[% anualiz]:[% anualiz]]),1)*IF(DATOS!AF$5="Sí",1/DATOS_[[% normaliz]:[% normaliz]],1)*(DATOS_[Conc.Sal.02])))))))), 0)</f>
        <v>0</v>
      </c>
      <c r="L22" s="250" t="n">
        <f aca="false" t="array" ref="L22:L22">IFERROR( (MEDIAN((IF(DATOS_[[Sexo]:[Sexo]]=$B22,IF(DATOS_[[AGRUP. VALOR. PTO.]:[AGRUP. VALOR. PTO.]]=$B21,IF(DATOS_[[Check Periodo Ref.]:[Check Periodo Ref.]]="Dentro",IF(DATOS_[[Check Equiparado]:[Check Equiparado]]="Sí",IF(DATOS!AG$4="Sí",(1/DATOS_[[% anualiz]:[% anualiz]]),1)*IF(DATOS!AG$5="Sí",1/DATOS_[[% normaliz]:[% normaliz]],1)*(DATOS_[Conc.Sal.03])))))))), 0)</f>
        <v>0</v>
      </c>
      <c r="M22" s="250" t="n">
        <f aca="false" t="array" ref="M22:M22">IFERROR( (MEDIAN((IF(DATOS_[[Sexo]:[Sexo]]=$B22,IF(DATOS_[[AGRUP. VALOR. PTO.]:[AGRUP. VALOR. PTO.]]=$B21,IF(DATOS_[[Check Periodo Ref.]:[Check Periodo Ref.]]="Dentro",IF(DATOS_[[Check Equiparado]:[Check Equiparado]]="Sí",IF(DATOS!AH$4="Sí",(1/DATOS_[[% anualiz]:[% anualiz]]),1)*IF(DATOS!AH$5="Sí",1/DATOS_[[% normaliz]:[% normaliz]],1)*(DATOS_[Conc.Sal.04])))))))), 0)</f>
        <v>0</v>
      </c>
      <c r="N22" s="250" t="n">
        <f aca="false" t="array" ref="N22:N22">IFERROR( (MEDIAN((IF(DATOS_[[Sexo]:[Sexo]]=$B22,IF(DATOS_[[AGRUP. VALOR. PTO.]:[AGRUP. VALOR. PTO.]]=$B21,IF(DATOS_[[Check Periodo Ref.]:[Check Periodo Ref.]]="Dentro",IF(DATOS_[[Check Equiparado]:[Check Equiparado]]="Sí",IF(DATOS!AI$4="Sí",(1/DATOS_[[% anualiz]:[% anualiz]]),1)*IF(DATOS!AI$5="Sí",1/DATOS_[[% normaliz]:[% normaliz]],1)*(DATOS_[Conc.Sal.05])))))))), 0)</f>
        <v>0</v>
      </c>
      <c r="O22" s="250" t="n">
        <f aca="false" t="array" ref="O22:O22">IFERROR( (MEDIAN((IF(DATOS_[[Sexo]:[Sexo]]=$B22,IF(DATOS_[[AGRUP. VALOR. PTO.]:[AGRUP. VALOR. PTO.]]=$B21,IF(DATOS_[[Check Periodo Ref.]:[Check Periodo Ref.]]="Dentro",IF(DATOS_[[Check Equiparado]:[Check Equiparado]]="Sí",IF(DATOS!AJ$4="Sí",(1/DATOS_[[% anualiz]:[% anualiz]]),1)*IF(DATOS!AJ$5="Sí",1/DATOS_[[% normaliz]:[% normaliz]],1)*(DATOS_[Conc.Sal.06])))))))), 0)</f>
        <v>0</v>
      </c>
      <c r="P22" s="250" t="n">
        <f aca="false" t="array" ref="P22:P22">IFERROR( (MEDIAN((IF(DATOS_[[Sexo]:[Sexo]]=$B22,IF(DATOS_[[AGRUP. VALOR. PTO.]:[AGRUP. VALOR. PTO.]]=$B21,IF(DATOS_[[Check Periodo Ref.]:[Check Periodo Ref.]]="Dentro",IF(DATOS_[[Check Equiparado]:[Check Equiparado]]="Sí",IF(DATOS!AK$4="Sí",(1/DATOS_[[% anualiz]:[% anualiz]]),1)*IF(DATOS!AK$5="Sí",1/DATOS_[[% normaliz]:[% normaliz]],1)*(DATOS_[Conc.Sal.07])))))))), 0)</f>
        <v>0</v>
      </c>
      <c r="Q22" s="250" t="n">
        <f aca="false" t="array" ref="Q22:Q22">IFERROR( (MEDIAN((IF(DATOS_[[Sexo]:[Sexo]]=$B22,IF(DATOS_[[AGRUP. VALOR. PTO.]:[AGRUP. VALOR. PTO.]]=$B21,IF(DATOS_[[Check Periodo Ref.]:[Check Periodo Ref.]]="Dentro",IF(DATOS_[[Check Equiparado]:[Check Equiparado]]="Sí",IF(DATOS!AL$4="Sí",(1/DATOS_[[% anualiz]:[% anualiz]]),1)*IF(DATOS!AL$5="Sí",1/DATOS_[[% normaliz]:[% normaliz]],1)*(DATOS_[Conc.Sal.08])))))))), 0)</f>
        <v>0</v>
      </c>
      <c r="R22" s="250" t="n">
        <f aca="false" t="array" ref="R22:R22">IFERROR( (MEDIAN((IF(DATOS_[[Sexo]:[Sexo]]=$B22,IF(DATOS_[[AGRUP. VALOR. PTO.]:[AGRUP. VALOR. PTO.]]=$B21,IF(DATOS_[[Check Periodo Ref.]:[Check Periodo Ref.]]="Dentro",IF(DATOS_[[Check Equiparado]:[Check Equiparado]]="Sí",IF(DATOS!AM$4="Sí",(1/DATOS_[[% anualiz]:[% anualiz]]),1)*IF(DATOS!AM$5="Sí",1/DATOS_[[% normaliz]:[% normaliz]],1)*(DATOS_[Conc.Sal.09])))))))), 0)</f>
        <v>0</v>
      </c>
      <c r="S22" s="250" t="n">
        <f aca="false" t="array" ref="S22:S22">IFERROR( (MEDIAN((IF(DATOS_[[Sexo]:[Sexo]]=$B22,IF(DATOS_[[AGRUP. VALOR. PTO.]:[AGRUP. VALOR. PTO.]]=$B21,IF(DATOS_[[Check Periodo Ref.]:[Check Periodo Ref.]]="Dentro",IF(DATOS_[[Check Equiparado]:[Check Equiparado]]="Sí",IF(DATOS!AN$4="Sí",(1/DATOS_[[% anualiz]:[% anualiz]]),1)*IF(DATOS!AN$5="Sí",1/DATOS_[[% normaliz]:[% normaliz]],1)*(DATOS_[Conc.Sal.10])))))))), 0)</f>
        <v>0</v>
      </c>
      <c r="T22" s="250" t="n">
        <f aca="false" t="array" ref="T22:T22">IFERROR( (MEDIAN((IF(DATOS_[[Sexo]:[Sexo]]=$B22,IF(DATOS_[[AGRUP. VALOR. PTO.]:[AGRUP. VALOR. PTO.]]=$B21,IF(DATOS_[[Check Periodo Ref.]:[Check Periodo Ref.]]="Dentro",IF(DATOS_[[Check Equiparado]:[Check Equiparado]]="Sí",IF(DATOS!AO$4="Sí",(1/DATOS_[[% anualiz]:[% anualiz]]),1)*IF(DATOS!AO$5="Sí",1/DATOS_[[% normaliz]:[% normaliz]],1)*(DATOS_[Conc.Sal.11])))))))), 0)</f>
        <v>0</v>
      </c>
      <c r="U22" s="250" t="n">
        <f aca="false" t="array" ref="U22:U22">IFERROR( (MEDIAN((IF(DATOS_[[Sexo]:[Sexo]]=$B22,IF(DATOS_[[AGRUP. VALOR. PTO.]:[AGRUP. VALOR. PTO.]]=$B21,IF(DATOS_[[Check Periodo Ref.]:[Check Periodo Ref.]]="Dentro",IF(DATOS_[[Check Equiparado]:[Check Equiparado]]="Sí",IF(DATOS!AP$4="Sí",(1/DATOS_[[% anualiz]:[% anualiz]]),1)*IF(DATOS!AP$5="Sí",1/DATOS_[[% normaliz]:[% normaliz]],1)*(DATOS_[Conc.Sal.12])))))))), 0)</f>
        <v>0</v>
      </c>
      <c r="V22" s="250" t="n">
        <f aca="false" t="array" ref="V22:V22">IFERROR( (MEDIAN((IF(DATOS_[[Sexo]:[Sexo]]=$B22,IF(DATOS_[[AGRUP. VALOR. PTO.]:[AGRUP. VALOR. PTO.]]=$B21,IF(DATOS_[[Check Periodo Ref.]:[Check Periodo Ref.]]="Dentro",IF(DATOS_[[Check Equiparado]:[Check Equiparado]]="Sí",IF(DATOS!AQ$4="Sí",(1/DATOS_[[% anualiz]:[% anualiz]]),1)*IF(DATOS!AQ$5="Sí",1/DATOS_[[% normaliz]:[% normaliz]],1)*(DATOS_[Conc.Sal.13])))))))), 0)</f>
        <v>0</v>
      </c>
      <c r="W22" s="250" t="n">
        <f aca="false" t="array" ref="W22:W22">IFERROR( (MEDIAN((IF(DATOS_[[Sexo]:[Sexo]]=$B22,IF(DATOS_[[AGRUP. VALOR. PTO.]:[AGRUP. VALOR. PTO.]]=$B21,IF(DATOS_[[Check Periodo Ref.]:[Check Periodo Ref.]]="Dentro",IF(DATOS_[[Check Equiparado]:[Check Equiparado]]="Sí",IF(DATOS!AR$4="Sí",(1/DATOS_[[% anualiz]:[% anualiz]]),1)*IF(DATOS!AR$5="Sí",1/DATOS_[[% normaliz]:[% normaliz]],1)*(DATOS_[Conc.Sal.14])))))))), 0)</f>
        <v>0</v>
      </c>
      <c r="X22" s="250" t="n">
        <f aca="false" t="array" ref="X22:X22">IFERROR( (MEDIAN((IF(DATOS_[[Sexo]:[Sexo]]=$B22,IF(DATOS_[[AGRUP. VALOR. PTO.]:[AGRUP. VALOR. PTO.]]=$B21,IF(DATOS_[[Check Periodo Ref.]:[Check Periodo Ref.]]="Dentro",IF(DATOS_[[Check Equiparado]:[Check Equiparado]]="Sí",IF(DATOS!AS$4="Sí",(1/DATOS_[[% anualiz]:[% anualiz]]),1)*IF(DATOS!AS$5="Sí",1/DATOS_[[% normaliz]:[% normaliz]],1)*(DATOS_[Conc.Sal.15])))))))), 0)</f>
        <v>0</v>
      </c>
      <c r="Y22" s="250" t="n">
        <f aca="false" t="array" ref="Y22:Y22">IFERROR( (MEDIAN((IF(DATOS_[[Sexo]:[Sexo]]=$B22,IF(DATOS_[[AGRUP. VALOR. PTO.]:[AGRUP. VALOR. PTO.]]=$B21,IF(DATOS_[[Check Periodo Ref.]:[Check Periodo Ref.]]="Dentro",IF(DATOS_[[Check Equiparado]:[Check Equiparado]]="Sí",IF(DATOS!AT$4="Sí",(1/DATOS_[[% anualiz]:[% anualiz]]),1)*IF(DATOS!AT$5="Sí",1/DATOS_[[% normaliz]:[% normaliz]],1)*(DATOS_[Conc.Sal.16])))))))), 0)</f>
        <v>0</v>
      </c>
      <c r="Z22" s="250" t="n">
        <f aca="false" t="array" ref="Z22:Z22">IFERROR( (MEDIAN((IF(DATOS_[[Sexo]:[Sexo]]=$B22,IF(DATOS_[[AGRUP. VALOR. PTO.]:[AGRUP. VALOR. PTO.]]=$B21,IF(DATOS_[[Check Periodo Ref.]:[Check Periodo Ref.]]="Dentro",IF(DATOS_[[Check Equiparado]:[Check Equiparado]]="Sí",IF(DATOS!AU$4="Sí",(1/DATOS_[[% anualiz]:[% anualiz]]),1)*IF(DATOS!AU$5="Sí",1/DATOS_[[% normaliz]:[% normaliz]],1)*(DATOS_[Conc.Sal.17])))))))), 0)</f>
        <v>0</v>
      </c>
      <c r="AA22" s="250" t="n">
        <f aca="false" t="array" ref="AA22:AA22">IFERROR( (MEDIAN((IF(DATOS_[[Sexo]:[Sexo]]=$B22,IF(DATOS_[[AGRUP. VALOR. PTO.]:[AGRUP. VALOR. PTO.]]=$B21,IF(DATOS_[[Check Periodo Ref.]:[Check Periodo Ref.]]="Dentro",IF(DATOS_[[Check Equiparado]:[Check Equiparado]]="Sí",IF(DATOS!AV$4="Sí",(1/DATOS_[[% anualiz]:[% anualiz]]),1)*IF(DATOS!AV$5="Sí",1/DATOS_[[% normaliz]:[% normaliz]],1)*(DATOS_[Conc.Sal.18])))))))), 0)</f>
        <v>0</v>
      </c>
      <c r="AB22" s="250" t="n">
        <f aca="false" t="array" ref="AB22:AB22">IFERROR( (MEDIAN((IF(DATOS_[[Sexo]:[Sexo]]=$B22,IF(DATOS_[[AGRUP. VALOR. PTO.]:[AGRUP. VALOR. PTO.]]=$B21,IF(DATOS_[[Check Periodo Ref.]:[Check Periodo Ref.]]="Dentro",IF(DATOS_[[Check Equiparado]:[Check Equiparado]]="Sí",IF(DATOS!AW$4="Sí",(1/DATOS_[[% anualiz]:[% anualiz]]),1)*IF(DATOS!AW$5="Sí",1/DATOS_[[% normaliz]:[% normaliz]],1)*(DATOS_[Conc.Sal.19])))))))), 0)</f>
        <v>0</v>
      </c>
      <c r="AC22" s="250" t="n">
        <f aca="false" t="array" ref="AC22:AC22">IFERROR( (MEDIAN((IF(DATOS_[[Sexo]:[Sexo]]=$B22,IF(DATOS_[[AGRUP. VALOR. PTO.]:[AGRUP. VALOR. PTO.]]=$B21,IF(DATOS_[[Check Periodo Ref.]:[Check Periodo Ref.]]="Dentro",IF(DATOS_[[Check Equiparado]:[Check Equiparado]]="Sí",IF(DATOS!AX$4="Sí",(1/DATOS_[[% anualiz]:[% anualiz]]),1)*IF(DATOS!AX$5="Sí",1/DATOS_[[% normaliz]:[% normaliz]],1)*(DATOS_[Conc.Sal.20])))))))), 0)</f>
        <v>0</v>
      </c>
      <c r="AD22" s="250" t="n">
        <f aca="false" t="array" ref="AD22:AD22">IFERROR( (MEDIAN((IF(DATOS_[[Sexo]:[Sexo]]=$B22,IF(DATOS_[[AGRUP. VALOR. PTO.]:[AGRUP. VALOR. PTO.]]=$B21,IF(DATOS_[[Check Periodo Ref.]:[Check Periodo Ref.]]="Dentro",IF(DATOS_[[Check Equiparado]:[Check Equiparado]]="Sí",IF(DATOS!AY$4="Sí",(1/DATOS_[[% anualiz]:[% anualiz]]),1)*IF(DATOS!AY$5="Sí",1/DATOS_[[% normaliz]:[% normaliz]],1)*(DATOS_[Conc.Sal.21])))))))), 0)</f>
        <v>0</v>
      </c>
      <c r="AE22" s="250" t="n">
        <f aca="false" t="array" ref="AE22:AE22">IFERROR( (MEDIAN((IF(DATOS_[[Sexo]:[Sexo]]=$B22,IF(DATOS_[[AGRUP. VALOR. PTO.]:[AGRUP. VALOR. PTO.]]=$B21,IF(DATOS_[[Check Periodo Ref.]:[Check Periodo Ref.]]="Dentro",IF(DATOS_[[Check Equiparado]:[Check Equiparado]]="Sí",IF(DATOS!AZ$4="Sí",(1/DATOS_[[% anualiz]:[% anualiz]]),1)*IF(DATOS!AZ$5="Sí",1/DATOS_[[% normaliz]:[% normaliz]],1)*(DATOS_[Conc.Sal.22])))))))), 0)</f>
        <v>0</v>
      </c>
      <c r="AF22" s="250" t="n">
        <f aca="false" t="array" ref="AF22:AF22">IFERROR( (MEDIAN((IF(DATOS_[[Sexo]:[Sexo]]=$B22,IF(DATOS_[[AGRUP. VALOR. PTO.]:[AGRUP. VALOR. PTO.]]=$B21,IF(DATOS_[[Check Periodo Ref.]:[Check Periodo Ref.]]="Dentro",IF(DATOS_[[Check Equiparado]:[Check Equiparado]]="Sí",IF(DATOS!BA$4="Sí",(1/DATOS_[[% anualiz]:[% anualiz]]),1)*IF(DATOS!BA$5="Sí",1/DATOS_[[% normaliz]:[% normaliz]],1)*(DATOS_[Conc.Sal.23])))))))), 0)</f>
        <v>0</v>
      </c>
      <c r="AG22" s="250" t="n">
        <f aca="false" t="array" ref="AG22:AG22">IFERROR( (MEDIAN((IF(DATOS_[[Sexo]:[Sexo]]=$B22,IF(DATOS_[[AGRUP. VALOR. PTO.]:[AGRUP. VALOR. PTO.]]=$B21,IF(DATOS_[[Check Periodo Ref.]:[Check Periodo Ref.]]="Dentro",IF(DATOS_[[Check Equiparado]:[Check Equiparado]]="Sí",IF(DATOS!BB$4="Sí",(1/DATOS_[[% anualiz]:[% anualiz]]),1)*IF(DATOS!BB$5="Sí",1/DATOS_[[% normaliz]:[% normaliz]],1)*(DATOS_[Conc.Sal.24])))))))), 0)</f>
        <v>0</v>
      </c>
      <c r="AH22" s="250" t="n">
        <f aca="false" t="array" ref="AH22:AH22">IFERROR( (MEDIAN((IF(DATOS_[[Sexo]:[Sexo]]=$B22,IF(DATOS_[[AGRUP. VALOR. PTO.]:[AGRUP. VALOR. PTO.]]=$B21,IF(DATOS_[[Check Periodo Ref.]:[Check Periodo Ref.]]="Dentro",IF(DATOS_[[Check Equiparado]:[Check Equiparado]]="Sí",IF(DATOS!BC$4="Sí",(1/DATOS_[[% anualiz]:[% anualiz]]),1)*IF(DATOS!BC$5="Sí",1/DATOS_[[% normaliz]:[% normaliz]],1)*(DATOS_[Conc.Sal.25])))))))), 0)</f>
        <v>0</v>
      </c>
      <c r="AI22" s="250" t="n">
        <f aca="false" t="array" ref="AI22:AI22">IFERROR( (MEDIAN((IF(DATOS_[[Sexo]:[Sexo]]=$B22,IF(DATOS_[[AGRUP. VALOR. PTO.]:[AGRUP. VALOR. PTO.]]=$B21,IF(DATOS_[[Check Periodo Ref.]:[Check Periodo Ref.]]="Dentro",IF(DATOS_[[Check Equiparado]:[Check Equiparado]]="Sí",IF(DATOS!BD$4="Sí",(1/DATOS_[[% anualiz]:[% anualiz]]),1)*IF(DATOS!BD$5="Sí",1/DATOS_[[% normaliz]:[% normaliz]],1)*(DATOS_[Conc.Sal.26])))))))), 0)</f>
        <v>0</v>
      </c>
      <c r="AJ22" s="250" t="n">
        <f aca="false" t="array" ref="AJ22:AJ22">IFERROR( (MEDIAN((IF(DATOS_[[Sexo]:[Sexo]]=$B22,IF(DATOS_[[AGRUP. VALOR. PTO.]:[AGRUP. VALOR. PTO.]]=$B21,IF(DATOS_[[Check Periodo Ref.]:[Check Periodo Ref.]]="Dentro",IF(DATOS_[[Check Equiparado]:[Check Equiparado]]="Sí",IF(DATOS!BE$4="Sí",(1/DATOS_[[% anualiz]:[% anualiz]]),1)*IF(DATOS!BE$5="Sí",1/DATOS_[[% normaliz]:[% normaliz]],1)*(DATOS_[Conc.Sal.27])))))))), 0)</f>
        <v>0</v>
      </c>
      <c r="AK22" s="250" t="n">
        <f aca="false" t="array" ref="AK22:AK22">IFERROR( (MEDIAN((IF(DATOS_[[Sexo]:[Sexo]]=$B22,IF(DATOS_[[AGRUP. VALOR. PTO.]:[AGRUP. VALOR. PTO.]]=$B21,IF(DATOS_[[Check Periodo Ref.]:[Check Periodo Ref.]]="Dentro",IF(DATOS_[[Check Equiparado]:[Check Equiparado]]="Sí",IF(DATOS!BF$4="Sí",(1/DATOS_[[% anualiz]:[% anualiz]]),1)*IF(DATOS!BF$5="Sí",1/DATOS_[[% normaliz]:[% normaliz]],1)*(DATOS_[Conc.Sal.28])))))))), 0)</f>
        <v>0</v>
      </c>
      <c r="AL22" s="250" t="n">
        <f aca="false" t="array" ref="AL22:AL22">IFERROR( (MEDIAN((IF(DATOS_[[Sexo]:[Sexo]]=$B22,IF(DATOS_[[AGRUP. VALOR. PTO.]:[AGRUP. VALOR. PTO.]]=$B21,IF(DATOS_[[Check Periodo Ref.]:[Check Periodo Ref.]]="Dentro",IF(DATOS_[[Check Equiparado]:[Check Equiparado]]="Sí",IF(DATOS!BG$4="Sí",(1/DATOS_[[% anualiz]:[% anualiz]]),1)*IF(DATOS!BG$5="Sí",1/DATOS_[[% normaliz]:[% normaliz]],1)*(DATOS_[Conc.Sal.29])))))))), 0)</f>
        <v>0</v>
      </c>
      <c r="AM22" s="250" t="n">
        <f aca="false" t="array" ref="AM22:AM22">IFERROR( (MEDIAN((IF(DATOS_[[Sexo]:[Sexo]]=$B22,IF(DATOS_[[AGRUP. VALOR. PTO.]:[AGRUP. VALOR. PTO.]]=$B21,IF(DATOS_[[Check Periodo Ref.]:[Check Periodo Ref.]]="Dentro",IF(DATOS_[[Check Equiparado]:[Check Equiparado]]="Sí",IF(DATOS!BH$4="Sí",(1/DATOS_[[% anualiz]:[% anualiz]]),1)*IF(DATOS!BH$5="Sí",1/DATOS_[[% normaliz]:[% normaliz]],1)*(DATOS_[Conc.Sal.30])))))))), 0)</f>
        <v>0</v>
      </c>
      <c r="AN22" s="251" t="n">
        <f aca="false" t="array" ref="AN22:AN22">IFERROR( MEDIAN(IF(DATOS_[Sexo]=$B22,IF(DATOS_[[AGRUP. VALOR. PTO.]:[AGRUP. VALOR. PTO.]]=$B21,IF(DATOS_[Check Equiparado]="Sí",IF(DATOS_[Check Periodo Ref.]="Dentro",DATOS_[Tot COMPL.SAL Eq],0))))), 0)</f>
        <v>0</v>
      </c>
      <c r="AO22" s="252" t="n">
        <f aca="false" t="array" ref="AO22:AO22">IFERROR( MEDIAN(IF(DATOS_[Sexo]=$B22,IF(DATOS_[[AGRUP. VALOR. PTO.]:[AGRUP. VALOR. PTO.]]=$B21,IF(DATOS_[Check Equiparado]="Sí",IF(DATOS_[Check Periodo Ref.]="Dentro",DATOS_[TOTAL SALARIO Eq],0))))), 0)</f>
        <v>0</v>
      </c>
      <c r="AP22" s="259" t="n">
        <f aca="false" t="array" ref="AP22:AP22">IFERROR( (MEDIAN((IF(DATOS_[[Sexo]:[Sexo]]=$B22,IF(DATOS_[[AGRUP. VALOR. PTO.]:[AGRUP. VALOR. PTO.]]=$B21,IF(DATOS_[[Check Periodo Ref.]:[Check Periodo Ref.]]="Dentro",IF(DATOS_[[Check Equiparado]:[Check Equiparado]]="Sí",IF(DATOS!BI$4="Sí",(1/DATOS_[[% anualiz]:[% anualiz]]),1)*IF(DATOS!BI$5="Sí",1/DATOS_[[% normaliz]:[% normaliz]],1)*(DATOS_[C.Extra.01])))))))), 0)</f>
        <v>0</v>
      </c>
      <c r="AQ22" s="259" t="n">
        <f aca="false" t="array" ref="AQ22:AQ22">IFERROR( (MEDIAN((IF(DATOS_[[Sexo]:[Sexo]]=$B22,IF(DATOS_[[AGRUP. VALOR. PTO.]:[AGRUP. VALOR. PTO.]]=$B21,IF(DATOS_[[Check Periodo Ref.]:[Check Periodo Ref.]]="Dentro",IF(DATOS_[[Check Equiparado]:[Check Equiparado]]="Sí",IF(DATOS!BJ$4="Sí",(1/DATOS_[[% anualiz]:[% anualiz]]),1)*IF(DATOS!BJ$5="Sí",1/DATOS_[[% normaliz]:[% normaliz]],1)*(DATOS_[C.Extra.02])))))))), 0)</f>
        <v>0</v>
      </c>
      <c r="AR22" s="259" t="n">
        <f aca="false" t="array" ref="AR22:AR22">IFERROR( (MEDIAN((IF(DATOS_[[Sexo]:[Sexo]]=$B22,IF(DATOS_[[AGRUP. VALOR. PTO.]:[AGRUP. VALOR. PTO.]]=$B21,IF(DATOS_[[Check Periodo Ref.]:[Check Periodo Ref.]]="Dentro",IF(DATOS_[[Check Equiparado]:[Check Equiparado]]="Sí",IF(DATOS!BK$4="Sí",(1/DATOS_[[% anualiz]:[% anualiz]]),1)*IF(DATOS!BK$5="Sí",1/DATOS_[[% normaliz]:[% normaliz]],1)*(DATOS_[C.Extra.03])))))))), 0)</f>
        <v>0</v>
      </c>
      <c r="AS22" s="259" t="n">
        <f aca="false" t="array" ref="AS22:AS22">IFERROR( (MEDIAN((IF(DATOS_[[Sexo]:[Sexo]]=$B22,IF(DATOS_[[AGRUP. VALOR. PTO.]:[AGRUP. VALOR. PTO.]]=$B21,IF(DATOS_[[Check Periodo Ref.]:[Check Periodo Ref.]]="Dentro",IF(DATOS_[[Check Equiparado]:[Check Equiparado]]="Sí",IF(DATOS!BL$4="Sí",(1/DATOS_[[% anualiz]:[% anualiz]]),1)*IF(DATOS!BL$5="Sí",1/DATOS_[[% normaliz]:[% normaliz]],1)*(DATOS_[C.Extra.04])))))))), 0)</f>
        <v>0</v>
      </c>
      <c r="AT22" s="259" t="n">
        <f aca="false" t="array" ref="AT22:AT22">IFERROR( (MEDIAN((IF(DATOS_[[Sexo]:[Sexo]]=$B22,IF(DATOS_[[AGRUP. VALOR. PTO.]:[AGRUP. VALOR. PTO.]]=$B21,IF(DATOS_[[Check Periodo Ref.]:[Check Periodo Ref.]]="Dentro",IF(DATOS_[[Check Equiparado]:[Check Equiparado]]="Sí",IF(DATOS!BM$4="Sí",(1/DATOS_[[% anualiz]:[% anualiz]]),1)*IF(DATOS!BM$5="Sí",1/DATOS_[[% normaliz]:[% normaliz]],1)*(DATOS_[C.Extra.05])))))))), 0)</f>
        <v>0</v>
      </c>
      <c r="AU22" s="254" t="n">
        <f aca="false" t="array" ref="AU22:AU22">IFERROR( MEDIAN(IF(DATOS_[Sexo]=$B22,IF(DATOS_[[AGRUP. VALOR. PTO.]:[AGRUP. VALOR. PTO.]]=$B21,IF(DATOS_[Check Equiparado]="Sí",IF(DATOS_[Check Periodo Ref.]="Dentro",DATOS_[Tot Extrasalarial Eq],0))))), 0)</f>
        <v>0</v>
      </c>
      <c r="AV22" s="255" t="n">
        <f aca="false" t="array" ref="AV22:AV22">IFERROR( MEDIAN(IF(DATOS_[Sexo]=$B22,IF(DATOS_[[AGRUP. VALOR. PTO.]:[AGRUP. VALOR. PTO.]]=$B21,IF(DATOS_[Check Equiparado]="Sí",IF(DATOS_[Check Periodo Ref.]="Dentro",DATOS_[TOTAL Retrib Eq],0))))), 0)</f>
        <v>0</v>
      </c>
    </row>
    <row r="23" customFormat="false" ht="14.25" hidden="false" customHeight="false" outlineLevel="0" collapsed="false">
      <c r="A23" s="217" t="str">
        <f aca="false">+A22</f>
        <v>[ocultar]</v>
      </c>
      <c r="B23" s="323" t="s">
        <v>372</v>
      </c>
      <c r="C23" s="247" t="n">
        <f aca="false" t="array" ref="C23:C23">SUM(IF($B23=DATOS_[Sexo], IF($B21=DATOS_[AGRUP. VALOR. PTO.], IF("Dentro"=DATOS_[Check Periodo Ref.], 1/(COUNTIFS(DATOS_[Sexo],$B23,DATOS_[AGRUP. VALOR. PTO.],$B21,DATOS_[Check Periodo Ref.],"Dentro",DATOS_[id],DATOS_[id]))))))</f>
        <v>0</v>
      </c>
      <c r="D23" s="248" t="n">
        <f aca="false">COUNTIFS(DATOS_[AGRUP. VALOR. PTO.],$B21,DATOS_[Sexo],$B23,DATOS_[Check Periodo Ref.],"Dentro")</f>
        <v>0</v>
      </c>
      <c r="E23" s="248" t="n">
        <f aca="false">COUNTIFS(DATOS_[AGRUP. VALOR. PTO.],$B21,DATOS_[Sexo],$B23,DATOS_[Check Periodo Ref.],"Dentro",DATOS_[Check Nº SC Norm],"Sí")</f>
        <v>0</v>
      </c>
      <c r="F23" s="248" t="n">
        <f aca="false">COUNTIFS(DATOS_[AGRUP. VALOR. PTO.],$B21,DATOS_[Sexo],$B23,DATOS_[Check Periodo Ref.],"Dentro",DATOS_[Check Nº SC Anualiz],"Sí")</f>
        <v>0</v>
      </c>
      <c r="G23" s="248" t="n">
        <f aca="false">COUNTIFS(DATOS_[AGRUP. VALOR. PTO.],$B21,DATOS_[Sexo],$B23,DATOS_[Check Periodo Ref.],"Dentro",DATOS_[Check Nº SC Norm y Anualiz],"Sí")</f>
        <v>0</v>
      </c>
      <c r="H23" s="248" t="n">
        <f aca="false">COUNTIFS(DATOS_[AGRUP. VALOR. PTO.],$B21,DATOS_[Sexo],$B23,DATOS_[Check Periodo Ref.],"Dentro",DATOS_[Check Equiparación],"Sí")</f>
        <v>0</v>
      </c>
      <c r="I23" s="249" t="n">
        <f aca="false" t="array" ref="I23:I23">IFERROR( MEDIAN(IF(DATOS_[Sexo]=$B23,IF(DATOS_[[AGRUP. VALOR. PTO.]:[AGRUP. VALOR. PTO.]]=$B21,IF(DATOS_[Check Equiparado]="Sí",IF(DATOS_[Check Periodo Ref.]="Dentro",DATOS_[SALARIO BASE Eq],0))))), 0)</f>
        <v>0</v>
      </c>
      <c r="J23" s="250" t="n">
        <f aca="false" t="array" ref="J23:J23">IFERROR( (MEDIAN((IF(DATOS_[[Sexo]:[Sexo]]=$B23,IF(DATOS_[[AGRUP. VALOR. PTO.]:[AGRUP. VALOR. PTO.]]=$B21,IF(DATOS_[[Check Periodo Ref.]:[Check Periodo Ref.]]="Dentro",IF(DATOS_[[Check Equiparado]:[Check Equiparado]]="Sí",IF(DATOS!AE$4="Sí",(1/DATOS_[[% anualiz]:[% anualiz]]),1)*IF(DATOS!AE$5="Sí",1/DATOS_[[% normaliz]:[% normaliz]],1)*(DATOS_[Conc.Sal.01])))))))), 0)</f>
        <v>0</v>
      </c>
      <c r="K23" s="250" t="n">
        <f aca="false" t="array" ref="K23:K23">IFERROR( (MEDIAN((IF(DATOS_[[Sexo]:[Sexo]]=$B23,IF(DATOS_[[AGRUP. VALOR. PTO.]:[AGRUP. VALOR. PTO.]]=$B21,IF(DATOS_[[Check Periodo Ref.]:[Check Periodo Ref.]]="Dentro",IF(DATOS_[[Check Equiparado]:[Check Equiparado]]="Sí",IF(DATOS!AF$4="Sí",(1/DATOS_[[% anualiz]:[% anualiz]]),1)*IF(DATOS!AF$5="Sí",1/DATOS_[[% normaliz]:[% normaliz]],1)*(DATOS_[Conc.Sal.02])))))))), 0)</f>
        <v>0</v>
      </c>
      <c r="L23" s="250" t="n">
        <f aca="false" t="array" ref="L23:L23">IFERROR( (MEDIAN((IF(DATOS_[[Sexo]:[Sexo]]=$B23,IF(DATOS_[[AGRUP. VALOR. PTO.]:[AGRUP. VALOR. PTO.]]=$B21,IF(DATOS_[[Check Periodo Ref.]:[Check Periodo Ref.]]="Dentro",IF(DATOS_[[Check Equiparado]:[Check Equiparado]]="Sí",IF(DATOS!AG$4="Sí",(1/DATOS_[[% anualiz]:[% anualiz]]),1)*IF(DATOS!AG$5="Sí",1/DATOS_[[% normaliz]:[% normaliz]],1)*(DATOS_[Conc.Sal.03])))))))), 0)</f>
        <v>0</v>
      </c>
      <c r="M23" s="250" t="n">
        <f aca="false" t="array" ref="M23:M23">IFERROR( (MEDIAN((IF(DATOS_[[Sexo]:[Sexo]]=$B23,IF(DATOS_[[AGRUP. VALOR. PTO.]:[AGRUP. VALOR. PTO.]]=$B21,IF(DATOS_[[Check Periodo Ref.]:[Check Periodo Ref.]]="Dentro",IF(DATOS_[[Check Equiparado]:[Check Equiparado]]="Sí",IF(DATOS!AH$4="Sí",(1/DATOS_[[% anualiz]:[% anualiz]]),1)*IF(DATOS!AH$5="Sí",1/DATOS_[[% normaliz]:[% normaliz]],1)*(DATOS_[Conc.Sal.04])))))))), 0)</f>
        <v>0</v>
      </c>
      <c r="N23" s="250" t="n">
        <f aca="false" t="array" ref="N23:N23">IFERROR( (MEDIAN((IF(DATOS_[[Sexo]:[Sexo]]=$B23,IF(DATOS_[[AGRUP. VALOR. PTO.]:[AGRUP. VALOR. PTO.]]=$B21,IF(DATOS_[[Check Periodo Ref.]:[Check Periodo Ref.]]="Dentro",IF(DATOS_[[Check Equiparado]:[Check Equiparado]]="Sí",IF(DATOS!AI$4="Sí",(1/DATOS_[[% anualiz]:[% anualiz]]),1)*IF(DATOS!AI$5="Sí",1/DATOS_[[% normaliz]:[% normaliz]],1)*(DATOS_[Conc.Sal.05])))))))), 0)</f>
        <v>0</v>
      </c>
      <c r="O23" s="250" t="n">
        <f aca="false" t="array" ref="O23:O23">IFERROR( (MEDIAN((IF(DATOS_[[Sexo]:[Sexo]]=$B23,IF(DATOS_[[AGRUP. VALOR. PTO.]:[AGRUP. VALOR. PTO.]]=$B21,IF(DATOS_[[Check Periodo Ref.]:[Check Periodo Ref.]]="Dentro",IF(DATOS_[[Check Equiparado]:[Check Equiparado]]="Sí",IF(DATOS!AJ$4="Sí",(1/DATOS_[[% anualiz]:[% anualiz]]),1)*IF(DATOS!AJ$5="Sí",1/DATOS_[[% normaliz]:[% normaliz]],1)*(DATOS_[Conc.Sal.06])))))))), 0)</f>
        <v>0</v>
      </c>
      <c r="P23" s="250" t="n">
        <f aca="false" t="array" ref="P23:P23">IFERROR( (MEDIAN((IF(DATOS_[[Sexo]:[Sexo]]=$B23,IF(DATOS_[[AGRUP. VALOR. PTO.]:[AGRUP. VALOR. PTO.]]=$B21,IF(DATOS_[[Check Periodo Ref.]:[Check Periodo Ref.]]="Dentro",IF(DATOS_[[Check Equiparado]:[Check Equiparado]]="Sí",IF(DATOS!AK$4="Sí",(1/DATOS_[[% anualiz]:[% anualiz]]),1)*IF(DATOS!AK$5="Sí",1/DATOS_[[% normaliz]:[% normaliz]],1)*(DATOS_[Conc.Sal.07])))))))), 0)</f>
        <v>0</v>
      </c>
      <c r="Q23" s="250" t="n">
        <f aca="false" t="array" ref="Q23:Q23">IFERROR( (MEDIAN((IF(DATOS_[[Sexo]:[Sexo]]=$B23,IF(DATOS_[[AGRUP. VALOR. PTO.]:[AGRUP. VALOR. PTO.]]=$B21,IF(DATOS_[[Check Periodo Ref.]:[Check Periodo Ref.]]="Dentro",IF(DATOS_[[Check Equiparado]:[Check Equiparado]]="Sí",IF(DATOS!AL$4="Sí",(1/DATOS_[[% anualiz]:[% anualiz]]),1)*IF(DATOS!AL$5="Sí",1/DATOS_[[% normaliz]:[% normaliz]],1)*(DATOS_[Conc.Sal.08])))))))), 0)</f>
        <v>0</v>
      </c>
      <c r="R23" s="250" t="n">
        <f aca="false" t="array" ref="R23:R23">IFERROR( (MEDIAN((IF(DATOS_[[Sexo]:[Sexo]]=$B23,IF(DATOS_[[AGRUP. VALOR. PTO.]:[AGRUP. VALOR. PTO.]]=$B21,IF(DATOS_[[Check Periodo Ref.]:[Check Periodo Ref.]]="Dentro",IF(DATOS_[[Check Equiparado]:[Check Equiparado]]="Sí",IF(DATOS!AM$4="Sí",(1/DATOS_[[% anualiz]:[% anualiz]]),1)*IF(DATOS!AM$5="Sí",1/DATOS_[[% normaliz]:[% normaliz]],1)*(DATOS_[Conc.Sal.09])))))))), 0)</f>
        <v>0</v>
      </c>
      <c r="S23" s="250" t="n">
        <f aca="false" t="array" ref="S23:S23">IFERROR( (MEDIAN((IF(DATOS_[[Sexo]:[Sexo]]=$B23,IF(DATOS_[[AGRUP. VALOR. PTO.]:[AGRUP. VALOR. PTO.]]=$B21,IF(DATOS_[[Check Periodo Ref.]:[Check Periodo Ref.]]="Dentro",IF(DATOS_[[Check Equiparado]:[Check Equiparado]]="Sí",IF(DATOS!AN$4="Sí",(1/DATOS_[[% anualiz]:[% anualiz]]),1)*IF(DATOS!AN$5="Sí",1/DATOS_[[% normaliz]:[% normaliz]],1)*(DATOS_[Conc.Sal.10])))))))), 0)</f>
        <v>0</v>
      </c>
      <c r="T23" s="250" t="n">
        <f aca="false" t="array" ref="T23:T23">IFERROR( (MEDIAN((IF(DATOS_[[Sexo]:[Sexo]]=$B23,IF(DATOS_[[AGRUP. VALOR. PTO.]:[AGRUP. VALOR. PTO.]]=$B21,IF(DATOS_[[Check Periodo Ref.]:[Check Periodo Ref.]]="Dentro",IF(DATOS_[[Check Equiparado]:[Check Equiparado]]="Sí",IF(DATOS!AO$4="Sí",(1/DATOS_[[% anualiz]:[% anualiz]]),1)*IF(DATOS!AO$5="Sí",1/DATOS_[[% normaliz]:[% normaliz]],1)*(DATOS_[Conc.Sal.11])))))))), 0)</f>
        <v>0</v>
      </c>
      <c r="U23" s="250" t="n">
        <f aca="false" t="array" ref="U23:U23">IFERROR( (MEDIAN((IF(DATOS_[[Sexo]:[Sexo]]=$B23,IF(DATOS_[[AGRUP. VALOR. PTO.]:[AGRUP. VALOR. PTO.]]=$B21,IF(DATOS_[[Check Periodo Ref.]:[Check Periodo Ref.]]="Dentro",IF(DATOS_[[Check Equiparado]:[Check Equiparado]]="Sí",IF(DATOS!AP$4="Sí",(1/DATOS_[[% anualiz]:[% anualiz]]),1)*IF(DATOS!AP$5="Sí",1/DATOS_[[% normaliz]:[% normaliz]],1)*(DATOS_[Conc.Sal.12])))))))), 0)</f>
        <v>0</v>
      </c>
      <c r="V23" s="250" t="n">
        <f aca="false" t="array" ref="V23:V23">IFERROR( (MEDIAN((IF(DATOS_[[Sexo]:[Sexo]]=$B23,IF(DATOS_[[AGRUP. VALOR. PTO.]:[AGRUP. VALOR. PTO.]]=$B21,IF(DATOS_[[Check Periodo Ref.]:[Check Periodo Ref.]]="Dentro",IF(DATOS_[[Check Equiparado]:[Check Equiparado]]="Sí",IF(DATOS!AQ$4="Sí",(1/DATOS_[[% anualiz]:[% anualiz]]),1)*IF(DATOS!AQ$5="Sí",1/DATOS_[[% normaliz]:[% normaliz]],1)*(DATOS_[Conc.Sal.13])))))))), 0)</f>
        <v>0</v>
      </c>
      <c r="W23" s="250" t="n">
        <f aca="false" t="array" ref="W23:W23">IFERROR( (MEDIAN((IF(DATOS_[[Sexo]:[Sexo]]=$B23,IF(DATOS_[[AGRUP. VALOR. PTO.]:[AGRUP. VALOR. PTO.]]=$B21,IF(DATOS_[[Check Periodo Ref.]:[Check Periodo Ref.]]="Dentro",IF(DATOS_[[Check Equiparado]:[Check Equiparado]]="Sí",IF(DATOS!AR$4="Sí",(1/DATOS_[[% anualiz]:[% anualiz]]),1)*IF(DATOS!AR$5="Sí",1/DATOS_[[% normaliz]:[% normaliz]],1)*(DATOS_[Conc.Sal.14])))))))), 0)</f>
        <v>0</v>
      </c>
      <c r="X23" s="250" t="n">
        <f aca="false" t="array" ref="X23:X23">IFERROR( (MEDIAN((IF(DATOS_[[Sexo]:[Sexo]]=$B23,IF(DATOS_[[AGRUP. VALOR. PTO.]:[AGRUP. VALOR. PTO.]]=$B21,IF(DATOS_[[Check Periodo Ref.]:[Check Periodo Ref.]]="Dentro",IF(DATOS_[[Check Equiparado]:[Check Equiparado]]="Sí",IF(DATOS!AS$4="Sí",(1/DATOS_[[% anualiz]:[% anualiz]]),1)*IF(DATOS!AS$5="Sí",1/DATOS_[[% normaliz]:[% normaliz]],1)*(DATOS_[Conc.Sal.15])))))))), 0)</f>
        <v>0</v>
      </c>
      <c r="Y23" s="250" t="n">
        <f aca="false" t="array" ref="Y23:Y23">IFERROR( (MEDIAN((IF(DATOS_[[Sexo]:[Sexo]]=$B23,IF(DATOS_[[AGRUP. VALOR. PTO.]:[AGRUP. VALOR. PTO.]]=$B21,IF(DATOS_[[Check Periodo Ref.]:[Check Periodo Ref.]]="Dentro",IF(DATOS_[[Check Equiparado]:[Check Equiparado]]="Sí",IF(DATOS!AT$4="Sí",(1/DATOS_[[% anualiz]:[% anualiz]]),1)*IF(DATOS!AT$5="Sí",1/DATOS_[[% normaliz]:[% normaliz]],1)*(DATOS_[Conc.Sal.16])))))))), 0)</f>
        <v>0</v>
      </c>
      <c r="Z23" s="250" t="n">
        <f aca="false" t="array" ref="Z23:Z23">IFERROR( (MEDIAN((IF(DATOS_[[Sexo]:[Sexo]]=$B23,IF(DATOS_[[AGRUP. VALOR. PTO.]:[AGRUP. VALOR. PTO.]]=$B21,IF(DATOS_[[Check Periodo Ref.]:[Check Periodo Ref.]]="Dentro",IF(DATOS_[[Check Equiparado]:[Check Equiparado]]="Sí",IF(DATOS!AU$4="Sí",(1/DATOS_[[% anualiz]:[% anualiz]]),1)*IF(DATOS!AU$5="Sí",1/DATOS_[[% normaliz]:[% normaliz]],1)*(DATOS_[Conc.Sal.17])))))))), 0)</f>
        <v>0</v>
      </c>
      <c r="AA23" s="250" t="n">
        <f aca="false" t="array" ref="AA23:AA23">IFERROR( (MEDIAN((IF(DATOS_[[Sexo]:[Sexo]]=$B23,IF(DATOS_[[AGRUP. VALOR. PTO.]:[AGRUP. VALOR. PTO.]]=$B21,IF(DATOS_[[Check Periodo Ref.]:[Check Periodo Ref.]]="Dentro",IF(DATOS_[[Check Equiparado]:[Check Equiparado]]="Sí",IF(DATOS!AV$4="Sí",(1/DATOS_[[% anualiz]:[% anualiz]]),1)*IF(DATOS!AV$5="Sí",1/DATOS_[[% normaliz]:[% normaliz]],1)*(DATOS_[Conc.Sal.18])))))))), 0)</f>
        <v>0</v>
      </c>
      <c r="AB23" s="250" t="n">
        <f aca="false" t="array" ref="AB23:AB23">IFERROR( (MEDIAN((IF(DATOS_[[Sexo]:[Sexo]]=$B23,IF(DATOS_[[AGRUP. VALOR. PTO.]:[AGRUP. VALOR. PTO.]]=$B21,IF(DATOS_[[Check Periodo Ref.]:[Check Periodo Ref.]]="Dentro",IF(DATOS_[[Check Equiparado]:[Check Equiparado]]="Sí",IF(DATOS!AW$4="Sí",(1/DATOS_[[% anualiz]:[% anualiz]]),1)*IF(DATOS!AW$5="Sí",1/DATOS_[[% normaliz]:[% normaliz]],1)*(DATOS_[Conc.Sal.19])))))))), 0)</f>
        <v>0</v>
      </c>
      <c r="AC23" s="250" t="n">
        <f aca="false" t="array" ref="AC23:AC23">IFERROR( (MEDIAN((IF(DATOS_[[Sexo]:[Sexo]]=$B23,IF(DATOS_[[AGRUP. VALOR. PTO.]:[AGRUP. VALOR. PTO.]]=$B21,IF(DATOS_[[Check Periodo Ref.]:[Check Periodo Ref.]]="Dentro",IF(DATOS_[[Check Equiparado]:[Check Equiparado]]="Sí",IF(DATOS!AX$4="Sí",(1/DATOS_[[% anualiz]:[% anualiz]]),1)*IF(DATOS!AX$5="Sí",1/DATOS_[[% normaliz]:[% normaliz]],1)*(DATOS_[Conc.Sal.20])))))))), 0)</f>
        <v>0</v>
      </c>
      <c r="AD23" s="250" t="n">
        <f aca="false" t="array" ref="AD23:AD23">IFERROR( (MEDIAN((IF(DATOS_[[Sexo]:[Sexo]]=$B23,IF(DATOS_[[AGRUP. VALOR. PTO.]:[AGRUP. VALOR. PTO.]]=$B21,IF(DATOS_[[Check Periodo Ref.]:[Check Periodo Ref.]]="Dentro",IF(DATOS_[[Check Equiparado]:[Check Equiparado]]="Sí",IF(DATOS!AY$4="Sí",(1/DATOS_[[% anualiz]:[% anualiz]]),1)*IF(DATOS!AY$5="Sí",1/DATOS_[[% normaliz]:[% normaliz]],1)*(DATOS_[Conc.Sal.21])))))))), 0)</f>
        <v>0</v>
      </c>
      <c r="AE23" s="250" t="n">
        <f aca="false" t="array" ref="AE23:AE23">IFERROR( (MEDIAN((IF(DATOS_[[Sexo]:[Sexo]]=$B23,IF(DATOS_[[AGRUP. VALOR. PTO.]:[AGRUP. VALOR. PTO.]]=$B21,IF(DATOS_[[Check Periodo Ref.]:[Check Periodo Ref.]]="Dentro",IF(DATOS_[[Check Equiparado]:[Check Equiparado]]="Sí",IF(DATOS!AZ$4="Sí",(1/DATOS_[[% anualiz]:[% anualiz]]),1)*IF(DATOS!AZ$5="Sí",1/DATOS_[[% normaliz]:[% normaliz]],1)*(DATOS_[Conc.Sal.22])))))))), 0)</f>
        <v>0</v>
      </c>
      <c r="AF23" s="250" t="n">
        <f aca="false" t="array" ref="AF23:AF23">IFERROR( (MEDIAN((IF(DATOS_[[Sexo]:[Sexo]]=$B23,IF(DATOS_[[AGRUP. VALOR. PTO.]:[AGRUP. VALOR. PTO.]]=$B21,IF(DATOS_[[Check Periodo Ref.]:[Check Periodo Ref.]]="Dentro",IF(DATOS_[[Check Equiparado]:[Check Equiparado]]="Sí",IF(DATOS!BA$4="Sí",(1/DATOS_[[% anualiz]:[% anualiz]]),1)*IF(DATOS!BA$5="Sí",1/DATOS_[[% normaliz]:[% normaliz]],1)*(DATOS_[Conc.Sal.23])))))))), 0)</f>
        <v>0</v>
      </c>
      <c r="AG23" s="250" t="n">
        <f aca="false" t="array" ref="AG23:AG23">IFERROR( (MEDIAN((IF(DATOS_[[Sexo]:[Sexo]]=$B23,IF(DATOS_[[AGRUP. VALOR. PTO.]:[AGRUP. VALOR. PTO.]]=$B21,IF(DATOS_[[Check Periodo Ref.]:[Check Periodo Ref.]]="Dentro",IF(DATOS_[[Check Equiparado]:[Check Equiparado]]="Sí",IF(DATOS!BB$4="Sí",(1/DATOS_[[% anualiz]:[% anualiz]]),1)*IF(DATOS!BB$5="Sí",1/DATOS_[[% normaliz]:[% normaliz]],1)*(DATOS_[Conc.Sal.24])))))))), 0)</f>
        <v>0</v>
      </c>
      <c r="AH23" s="250" t="n">
        <f aca="false" t="array" ref="AH23:AH23">IFERROR( (MEDIAN((IF(DATOS_[[Sexo]:[Sexo]]=$B23,IF(DATOS_[[AGRUP. VALOR. PTO.]:[AGRUP. VALOR. PTO.]]=$B21,IF(DATOS_[[Check Periodo Ref.]:[Check Periodo Ref.]]="Dentro",IF(DATOS_[[Check Equiparado]:[Check Equiparado]]="Sí",IF(DATOS!BC$4="Sí",(1/DATOS_[[% anualiz]:[% anualiz]]),1)*IF(DATOS!BC$5="Sí",1/DATOS_[[% normaliz]:[% normaliz]],1)*(DATOS_[Conc.Sal.25])))))))), 0)</f>
        <v>0</v>
      </c>
      <c r="AI23" s="250" t="n">
        <f aca="false" t="array" ref="AI23:AI23">IFERROR( (MEDIAN((IF(DATOS_[[Sexo]:[Sexo]]=$B23,IF(DATOS_[[AGRUP. VALOR. PTO.]:[AGRUP. VALOR. PTO.]]=$B21,IF(DATOS_[[Check Periodo Ref.]:[Check Periodo Ref.]]="Dentro",IF(DATOS_[[Check Equiparado]:[Check Equiparado]]="Sí",IF(DATOS!BD$4="Sí",(1/DATOS_[[% anualiz]:[% anualiz]]),1)*IF(DATOS!BD$5="Sí",1/DATOS_[[% normaliz]:[% normaliz]],1)*(DATOS_[Conc.Sal.26])))))))), 0)</f>
        <v>0</v>
      </c>
      <c r="AJ23" s="250" t="n">
        <f aca="false" t="array" ref="AJ23:AJ23">IFERROR( (MEDIAN((IF(DATOS_[[Sexo]:[Sexo]]=$B23,IF(DATOS_[[AGRUP. VALOR. PTO.]:[AGRUP. VALOR. PTO.]]=$B21,IF(DATOS_[[Check Periodo Ref.]:[Check Periodo Ref.]]="Dentro",IF(DATOS_[[Check Equiparado]:[Check Equiparado]]="Sí",IF(DATOS!BE$4="Sí",(1/DATOS_[[% anualiz]:[% anualiz]]),1)*IF(DATOS!BE$5="Sí",1/DATOS_[[% normaliz]:[% normaliz]],1)*(DATOS_[Conc.Sal.27])))))))), 0)</f>
        <v>0</v>
      </c>
      <c r="AK23" s="250" t="n">
        <f aca="false" t="array" ref="AK23:AK23">IFERROR( (MEDIAN((IF(DATOS_[[Sexo]:[Sexo]]=$B23,IF(DATOS_[[AGRUP. VALOR. PTO.]:[AGRUP. VALOR. PTO.]]=$B21,IF(DATOS_[[Check Periodo Ref.]:[Check Periodo Ref.]]="Dentro",IF(DATOS_[[Check Equiparado]:[Check Equiparado]]="Sí",IF(DATOS!BF$4="Sí",(1/DATOS_[[% anualiz]:[% anualiz]]),1)*IF(DATOS!BF$5="Sí",1/DATOS_[[% normaliz]:[% normaliz]],1)*(DATOS_[Conc.Sal.28])))))))), 0)</f>
        <v>0</v>
      </c>
      <c r="AL23" s="250" t="n">
        <f aca="false" t="array" ref="AL23:AL23">IFERROR( (MEDIAN((IF(DATOS_[[Sexo]:[Sexo]]=$B23,IF(DATOS_[[AGRUP. VALOR. PTO.]:[AGRUP. VALOR. PTO.]]=$B21,IF(DATOS_[[Check Periodo Ref.]:[Check Periodo Ref.]]="Dentro",IF(DATOS_[[Check Equiparado]:[Check Equiparado]]="Sí",IF(DATOS!BG$4="Sí",(1/DATOS_[[% anualiz]:[% anualiz]]),1)*IF(DATOS!BG$5="Sí",1/DATOS_[[% normaliz]:[% normaliz]],1)*(DATOS_[Conc.Sal.29])))))))), 0)</f>
        <v>0</v>
      </c>
      <c r="AM23" s="250" t="n">
        <f aca="false" t="array" ref="AM23:AM23">IFERROR( (MEDIAN((IF(DATOS_[[Sexo]:[Sexo]]=$B23,IF(DATOS_[[AGRUP. VALOR. PTO.]:[AGRUP. VALOR. PTO.]]=$B21,IF(DATOS_[[Check Periodo Ref.]:[Check Periodo Ref.]]="Dentro",IF(DATOS_[[Check Equiparado]:[Check Equiparado]]="Sí",IF(DATOS!BH$4="Sí",(1/DATOS_[[% anualiz]:[% anualiz]]),1)*IF(DATOS!BH$5="Sí",1/DATOS_[[% normaliz]:[% normaliz]],1)*(DATOS_[Conc.Sal.30])))))))), 0)</f>
        <v>0</v>
      </c>
      <c r="AN23" s="251" t="n">
        <f aca="false" t="array" ref="AN23:AN23">IFERROR( MEDIAN(IF(DATOS_[Sexo]=$B23,IF(DATOS_[[AGRUP. VALOR. PTO.]:[AGRUP. VALOR. PTO.]]=$B21,IF(DATOS_[Check Equiparado]="Sí",IF(DATOS_[Check Periodo Ref.]="Dentro",DATOS_[Tot COMPL.SAL Eq],0))))), 0)</f>
        <v>0</v>
      </c>
      <c r="AO23" s="252" t="n">
        <f aca="false" t="array" ref="AO23:AO23">IFERROR( MEDIAN(IF(DATOS_[Sexo]=$B23,IF(DATOS_[[AGRUP. VALOR. PTO.]:[AGRUP. VALOR. PTO.]]=$B21,IF(DATOS_[Check Equiparado]="Sí",IF(DATOS_[Check Periodo Ref.]="Dentro",DATOS_[TOTAL SALARIO Eq],0))))), 0)</f>
        <v>0</v>
      </c>
      <c r="AP23" s="259" t="n">
        <f aca="false" t="array" ref="AP23:AP23">IFERROR( (MEDIAN((IF(DATOS_[[Sexo]:[Sexo]]=$B23,IF(DATOS_[[AGRUP. VALOR. PTO.]:[AGRUP. VALOR. PTO.]]=$B22,IF(DATOS_[[Check Periodo Ref.]:[Check Periodo Ref.]]="Dentro",IF(DATOS_[[Check Equiparado]:[Check Equiparado]]="Sí",IF(DATOS!BI$4="Sí",(1/DATOS_[[% anualiz]:[% anualiz]]),1)*IF(DATOS!BI$5="Sí",1/DATOS_[[% normaliz]:[% normaliz]],1)*(DATOS_[C.Extra.01])))))))), 0)</f>
        <v>0</v>
      </c>
      <c r="AQ23" s="259" t="n">
        <f aca="false" t="array" ref="AQ23:AQ23">IFERROR( (MEDIAN((IF(DATOS_[[Sexo]:[Sexo]]=$B23,IF(DATOS_[[AGRUP. VALOR. PTO.]:[AGRUP. VALOR. PTO.]]=$B22,IF(DATOS_[[Check Periodo Ref.]:[Check Periodo Ref.]]="Dentro",IF(DATOS_[[Check Equiparado]:[Check Equiparado]]="Sí",IF(DATOS!BJ$4="Sí",(1/DATOS_[[% anualiz]:[% anualiz]]),1)*IF(DATOS!BJ$5="Sí",1/DATOS_[[% normaliz]:[% normaliz]],1)*(DATOS_[C.Extra.02])))))))), 0)</f>
        <v>0</v>
      </c>
      <c r="AR23" s="259" t="n">
        <f aca="false" t="array" ref="AR23:AR23">IFERROR( (MEDIAN((IF(DATOS_[[Sexo]:[Sexo]]=$B23,IF(DATOS_[[AGRUP. VALOR. PTO.]:[AGRUP. VALOR. PTO.]]=$B22,IF(DATOS_[[Check Periodo Ref.]:[Check Periodo Ref.]]="Dentro",IF(DATOS_[[Check Equiparado]:[Check Equiparado]]="Sí",IF(DATOS!BK$4="Sí",(1/DATOS_[[% anualiz]:[% anualiz]]),1)*IF(DATOS!BK$5="Sí",1/DATOS_[[% normaliz]:[% normaliz]],1)*(DATOS_[C.Extra.03])))))))), 0)</f>
        <v>0</v>
      </c>
      <c r="AS23" s="259" t="n">
        <f aca="false" t="array" ref="AS23:AS23">IFERROR( (MEDIAN((IF(DATOS_[[Sexo]:[Sexo]]=$B23,IF(DATOS_[[AGRUP. VALOR. PTO.]:[AGRUP. VALOR. PTO.]]=$B22,IF(DATOS_[[Check Periodo Ref.]:[Check Periodo Ref.]]="Dentro",IF(DATOS_[[Check Equiparado]:[Check Equiparado]]="Sí",IF(DATOS!BL$4="Sí",(1/DATOS_[[% anualiz]:[% anualiz]]),1)*IF(DATOS!BL$5="Sí",1/DATOS_[[% normaliz]:[% normaliz]],1)*(DATOS_[C.Extra.04])))))))), 0)</f>
        <v>0</v>
      </c>
      <c r="AT23" s="259" t="n">
        <f aca="false" t="array" ref="AT23:AT23">IFERROR( (MEDIAN((IF(DATOS_[[Sexo]:[Sexo]]=$B23,IF(DATOS_[[AGRUP. VALOR. PTO.]:[AGRUP. VALOR. PTO.]]=$B22,IF(DATOS_[[Check Periodo Ref.]:[Check Periodo Ref.]]="Dentro",IF(DATOS_[[Check Equiparado]:[Check Equiparado]]="Sí",IF(DATOS!BM$4="Sí",(1/DATOS_[[% anualiz]:[% anualiz]]),1)*IF(DATOS!BM$5="Sí",1/DATOS_[[% normaliz]:[% normaliz]],1)*(DATOS_[C.Extra.05])))))))), 0)</f>
        <v>0</v>
      </c>
      <c r="AU23" s="254" t="n">
        <f aca="false" t="array" ref="AU23:AU23">IFERROR( MEDIAN(IF(DATOS_[Sexo]=$B23,IF(DATOS_[[AGRUP. VALOR. PTO.]:[AGRUP. VALOR. PTO.]]=$B21,IF(DATOS_[Check Equiparado]="Sí",IF(DATOS_[Check Periodo Ref.]="Dentro",DATOS_[Tot Extrasalarial Eq],0))))), 0)</f>
        <v>0</v>
      </c>
      <c r="AV23" s="255" t="n">
        <f aca="false" t="array" ref="AV23:AV23">IFERROR( MEDIAN(IF(DATOS_[Sexo]=$B23,IF(DATOS_[[AGRUP. VALOR. PTO.]:[AGRUP. VALOR. PTO.]]=$B21,IF(DATOS_[Check Equiparado]="Sí",IF(DATOS_[Check Periodo Ref.]="Dentro",DATOS_[TOTAL Retrib Eq],0))))), 0)</f>
        <v>0</v>
      </c>
    </row>
    <row r="24" customFormat="false" ht="15.75" hidden="false" customHeight="false" outlineLevel="0" collapsed="false">
      <c r="A24" s="217" t="str">
        <f aca="false">+A25</f>
        <v>[ocultar]</v>
      </c>
      <c r="B24" s="320" t="s">
        <v>180</v>
      </c>
      <c r="C24" s="236"/>
      <c r="D24" s="237"/>
      <c r="E24" s="237"/>
      <c r="F24" s="237"/>
      <c r="G24" s="237"/>
      <c r="H24" s="237"/>
      <c r="I24" s="238" t="str">
        <f aca="false">IFERROR((I25-I26)/I25,"")</f>
        <v/>
      </c>
      <c r="J24" s="239" t="str">
        <f aca="false">IFERROR((J25-J26)/J25,"")</f>
        <v/>
      </c>
      <c r="K24" s="239" t="str">
        <f aca="false">IFERROR((K25-K26)/K25,"")</f>
        <v/>
      </c>
      <c r="L24" s="239" t="str">
        <f aca="false">IFERROR((L25-L26)/L25,"")</f>
        <v/>
      </c>
      <c r="M24" s="239" t="str">
        <f aca="false">IFERROR((M25-M26)/M25,"")</f>
        <v/>
      </c>
      <c r="N24" s="239" t="str">
        <f aca="false">IFERROR((N25-N26)/N25,"")</f>
        <v/>
      </c>
      <c r="O24" s="239" t="str">
        <f aca="false">IFERROR((O25-O26)/O25,"")</f>
        <v/>
      </c>
      <c r="P24" s="239" t="str">
        <f aca="false">IFERROR((P25-P26)/P25,"")</f>
        <v/>
      </c>
      <c r="Q24" s="239" t="str">
        <f aca="false">IFERROR((Q25-Q26)/Q25,"")</f>
        <v/>
      </c>
      <c r="R24" s="239" t="str">
        <f aca="false">IFERROR((R25-R26)/R25,"")</f>
        <v/>
      </c>
      <c r="S24" s="239" t="str">
        <f aca="false">IFERROR((S25-S26)/S25,"")</f>
        <v/>
      </c>
      <c r="T24" s="239" t="str">
        <f aca="false">IFERROR((T25-T26)/T25,"")</f>
        <v/>
      </c>
      <c r="U24" s="239" t="str">
        <f aca="false">IFERROR((U25-U26)/U25,"")</f>
        <v/>
      </c>
      <c r="V24" s="239" t="str">
        <f aca="false">IFERROR((V25-V26)/V25,"")</f>
        <v/>
      </c>
      <c r="W24" s="239" t="str">
        <f aca="false">IFERROR((W25-W26)/W25,"")</f>
        <v/>
      </c>
      <c r="X24" s="239" t="str">
        <f aca="false">IFERROR((X25-X26)/X25,"")</f>
        <v/>
      </c>
      <c r="Y24" s="239" t="str">
        <f aca="false">IFERROR((Y25-Y26)/Y25,"")</f>
        <v/>
      </c>
      <c r="Z24" s="240" t="str">
        <f aca="false">IFERROR((Z25-Z26)/Z25,"")</f>
        <v/>
      </c>
      <c r="AA24" s="240" t="str">
        <f aca="false">IFERROR((AA25-AA26)/AA25,"")</f>
        <v/>
      </c>
      <c r="AB24" s="240" t="str">
        <f aca="false">IFERROR((AB25-AB26)/AB25,"")</f>
        <v/>
      </c>
      <c r="AC24" s="240" t="str">
        <f aca="false">IFERROR((AC25-AC26)/AC25,"")</f>
        <v/>
      </c>
      <c r="AD24" s="240" t="str">
        <f aca="false">IFERROR((AD25-AD26)/AD25,"")</f>
        <v/>
      </c>
      <c r="AE24" s="240" t="str">
        <f aca="false">IFERROR((AE25-AE26)/AE25,"")</f>
        <v/>
      </c>
      <c r="AF24" s="240" t="str">
        <f aca="false">IFERROR((AF25-AF26)/AF25,"")</f>
        <v/>
      </c>
      <c r="AG24" s="240" t="str">
        <f aca="false">IFERROR((AG25-AG26)/AG25,"")</f>
        <v/>
      </c>
      <c r="AH24" s="240" t="str">
        <f aca="false">IFERROR((AH25-AH26)/AH25,"")</f>
        <v/>
      </c>
      <c r="AI24" s="240" t="str">
        <f aca="false">IFERROR((AI25-AI26)/AI25,"")</f>
        <v/>
      </c>
      <c r="AJ24" s="240" t="str">
        <f aca="false">IFERROR((AJ25-AJ26)/AJ25,"")</f>
        <v/>
      </c>
      <c r="AK24" s="240" t="str">
        <f aca="false">IFERROR((AK25-AK26)/AK25,"")</f>
        <v/>
      </c>
      <c r="AL24" s="240" t="str">
        <f aca="false">IFERROR((AL25-AL26)/AL25,"")</f>
        <v/>
      </c>
      <c r="AM24" s="240" t="str">
        <f aca="false">IFERROR((AM25-AM26)/AM25,"")</f>
        <v/>
      </c>
      <c r="AN24" s="241" t="str">
        <f aca="false">IFERROR((AN25-AN26)/AN25,"")</f>
        <v/>
      </c>
      <c r="AO24" s="242" t="str">
        <f aca="false">IFERROR((AO25-AO26)/AO25,"")</f>
        <v/>
      </c>
      <c r="AP24" s="243" t="str">
        <f aca="false">IFERROR((AP25-AP26)/AP25,"")</f>
        <v/>
      </c>
      <c r="AQ24" s="243" t="str">
        <f aca="false">IFERROR((AQ25-AQ26)/AQ25,"")</f>
        <v/>
      </c>
      <c r="AR24" s="243" t="str">
        <f aca="false">IFERROR((AR25-AR26)/AR25,"")</f>
        <v/>
      </c>
      <c r="AS24" s="243" t="str">
        <f aca="false">IFERROR((AS25-AS26)/AS25,"")</f>
        <v/>
      </c>
      <c r="AT24" s="243" t="str">
        <f aca="false">IFERROR((AT25-AT26)/AT25,"")</f>
        <v/>
      </c>
      <c r="AU24" s="244" t="str">
        <f aca="false">IFERROR((AU25-AU26)/AU25,"")</f>
        <v/>
      </c>
      <c r="AV24" s="245" t="str">
        <f aca="false">IFERROR((AV25-AV26)/AV25,"")</f>
        <v/>
      </c>
    </row>
    <row r="25" customFormat="false" ht="14.25" hidden="false" customHeight="false" outlineLevel="0" collapsed="false">
      <c r="A25" s="217" t="str">
        <f aca="false">+IF(C25+C26=0,"[ocultar]","")</f>
        <v>[ocultar]</v>
      </c>
      <c r="B25" s="323" t="s">
        <v>371</v>
      </c>
      <c r="C25" s="247" t="n">
        <f aca="false" t="array" ref="C25:C25">SUM(IF($B25=DATOS_[Sexo], IF($B24=DATOS_[AGRUP. VALOR. PTO.], IF("Dentro"=DATOS_[Check Periodo Ref.], 1/(COUNTIFS(DATOS_[Sexo],$B25,DATOS_[AGRUP. VALOR. PTO.],$B24,DATOS_[Check Periodo Ref.],"Dentro",DATOS_[id],DATOS_[id]))))))</f>
        <v>0</v>
      </c>
      <c r="D25" s="248" t="n">
        <f aca="false">COUNTIFS(DATOS_[AGRUP. VALOR. PTO.],$B24,DATOS_[Sexo],$B25,DATOS_[Check Periodo Ref.],"Dentro")</f>
        <v>0</v>
      </c>
      <c r="E25" s="248" t="n">
        <f aca="false">COUNTIFS(DATOS_[AGRUP. VALOR. PTO.],$B24,DATOS_[Sexo],$B25,DATOS_[Check Periodo Ref.],"Dentro",DATOS_[Check Nº SC Norm],"Sí")</f>
        <v>0</v>
      </c>
      <c r="F25" s="248" t="n">
        <f aca="false">COUNTIFS(DATOS_[AGRUP. VALOR. PTO.],$B24,DATOS_[Sexo],$B25,DATOS_[Check Periodo Ref.],"Dentro",DATOS_[Check Nº SC Anualiz],"Sí")</f>
        <v>0</v>
      </c>
      <c r="G25" s="248" t="n">
        <f aca="false">COUNTIFS(DATOS_[AGRUP. VALOR. PTO.],$B24,DATOS_[Sexo],$B25,DATOS_[Check Periodo Ref.],"Dentro",DATOS_[Check Nº SC Norm y Anualiz],"Sí")</f>
        <v>0</v>
      </c>
      <c r="H25" s="248" t="n">
        <f aca="false">COUNTIFS(DATOS_[AGRUP. VALOR. PTO.],$B24,DATOS_[Sexo],$B25,DATOS_[Check Periodo Ref.],"Dentro",DATOS_[Check Equiparación],"Sí")</f>
        <v>0</v>
      </c>
      <c r="I25" s="249" t="n">
        <f aca="false" t="array" ref="I25:I25">IFERROR( MEDIAN(IF(DATOS_[Sexo]=$B25,IF(DATOS_[[AGRUP. VALOR. PTO.]:[AGRUP. VALOR. PTO.]]=$B24,IF(DATOS_[Check Equiparado]="Sí",IF(DATOS_[Check Periodo Ref.]="Dentro",DATOS_[SALARIO BASE Eq],0))))), 0)</f>
        <v>0</v>
      </c>
      <c r="J25" s="250" t="n">
        <f aca="false" t="array" ref="J25:J25">IFERROR( (MEDIAN((IF(DATOS_[[Sexo]:[Sexo]]=$B25,IF(DATOS_[[AGRUP. VALOR. PTO.]:[AGRUP. VALOR. PTO.]]=$B24,IF(DATOS_[[Check Periodo Ref.]:[Check Periodo Ref.]]="Dentro",IF(DATOS_[[Check Equiparado]:[Check Equiparado]]="Sí",IF(DATOS!AE$4="Sí",(1/DATOS_[[% anualiz]:[% anualiz]]),1)*IF(DATOS!AE$5="Sí",1/DATOS_[[% normaliz]:[% normaliz]],1)*(DATOS_[Conc.Sal.01])))))))), 0)</f>
        <v>0</v>
      </c>
      <c r="K25" s="250" t="n">
        <f aca="false" t="array" ref="K25:K25">IFERROR( (MEDIAN((IF(DATOS_[[Sexo]:[Sexo]]=$B25,IF(DATOS_[[AGRUP. VALOR. PTO.]:[AGRUP. VALOR. PTO.]]=$B24,IF(DATOS_[[Check Periodo Ref.]:[Check Periodo Ref.]]="Dentro",IF(DATOS_[[Check Equiparado]:[Check Equiparado]]="Sí",IF(DATOS!AF$4="Sí",(1/DATOS_[[% anualiz]:[% anualiz]]),1)*IF(DATOS!AF$5="Sí",1/DATOS_[[% normaliz]:[% normaliz]],1)*(DATOS_[Conc.Sal.02])))))))), 0)</f>
        <v>0</v>
      </c>
      <c r="L25" s="250" t="n">
        <f aca="false" t="array" ref="L25:L25">IFERROR( (MEDIAN((IF(DATOS_[[Sexo]:[Sexo]]=$B25,IF(DATOS_[[AGRUP. VALOR. PTO.]:[AGRUP. VALOR. PTO.]]=$B24,IF(DATOS_[[Check Periodo Ref.]:[Check Periodo Ref.]]="Dentro",IF(DATOS_[[Check Equiparado]:[Check Equiparado]]="Sí",IF(DATOS!AG$4="Sí",(1/DATOS_[[% anualiz]:[% anualiz]]),1)*IF(DATOS!AG$5="Sí",1/DATOS_[[% normaliz]:[% normaliz]],1)*(DATOS_[Conc.Sal.03])))))))), 0)</f>
        <v>0</v>
      </c>
      <c r="M25" s="250" t="n">
        <f aca="false" t="array" ref="M25:M25">IFERROR( (MEDIAN((IF(DATOS_[[Sexo]:[Sexo]]=$B25,IF(DATOS_[[AGRUP. VALOR. PTO.]:[AGRUP. VALOR. PTO.]]=$B24,IF(DATOS_[[Check Periodo Ref.]:[Check Periodo Ref.]]="Dentro",IF(DATOS_[[Check Equiparado]:[Check Equiparado]]="Sí",IF(DATOS!AH$4="Sí",(1/DATOS_[[% anualiz]:[% anualiz]]),1)*IF(DATOS!AH$5="Sí",1/DATOS_[[% normaliz]:[% normaliz]],1)*(DATOS_[Conc.Sal.04])))))))), 0)</f>
        <v>0</v>
      </c>
      <c r="N25" s="250" t="n">
        <f aca="false" t="array" ref="N25:N25">IFERROR( (MEDIAN((IF(DATOS_[[Sexo]:[Sexo]]=$B25,IF(DATOS_[[AGRUP. VALOR. PTO.]:[AGRUP. VALOR. PTO.]]=$B24,IF(DATOS_[[Check Periodo Ref.]:[Check Periodo Ref.]]="Dentro",IF(DATOS_[[Check Equiparado]:[Check Equiparado]]="Sí",IF(DATOS!AI$4="Sí",(1/DATOS_[[% anualiz]:[% anualiz]]),1)*IF(DATOS!AI$5="Sí",1/DATOS_[[% normaliz]:[% normaliz]],1)*(DATOS_[Conc.Sal.05])))))))), 0)</f>
        <v>0</v>
      </c>
      <c r="O25" s="250" t="n">
        <f aca="false" t="array" ref="O25:O25">IFERROR( (MEDIAN((IF(DATOS_[[Sexo]:[Sexo]]=$B25,IF(DATOS_[[AGRUP. VALOR. PTO.]:[AGRUP. VALOR. PTO.]]=$B24,IF(DATOS_[[Check Periodo Ref.]:[Check Periodo Ref.]]="Dentro",IF(DATOS_[[Check Equiparado]:[Check Equiparado]]="Sí",IF(DATOS!AJ$4="Sí",(1/DATOS_[[% anualiz]:[% anualiz]]),1)*IF(DATOS!AJ$5="Sí",1/DATOS_[[% normaliz]:[% normaliz]],1)*(DATOS_[Conc.Sal.06])))))))), 0)</f>
        <v>0</v>
      </c>
      <c r="P25" s="250" t="n">
        <f aca="false" t="array" ref="P25:P25">IFERROR( (MEDIAN((IF(DATOS_[[Sexo]:[Sexo]]=$B25,IF(DATOS_[[AGRUP. VALOR. PTO.]:[AGRUP. VALOR. PTO.]]=$B24,IF(DATOS_[[Check Periodo Ref.]:[Check Periodo Ref.]]="Dentro",IF(DATOS_[[Check Equiparado]:[Check Equiparado]]="Sí",IF(DATOS!AK$4="Sí",(1/DATOS_[[% anualiz]:[% anualiz]]),1)*IF(DATOS!AK$5="Sí",1/DATOS_[[% normaliz]:[% normaliz]],1)*(DATOS_[Conc.Sal.07])))))))), 0)</f>
        <v>0</v>
      </c>
      <c r="Q25" s="250" t="n">
        <f aca="false" t="array" ref="Q25:Q25">IFERROR( (MEDIAN((IF(DATOS_[[Sexo]:[Sexo]]=$B25,IF(DATOS_[[AGRUP. VALOR. PTO.]:[AGRUP. VALOR. PTO.]]=$B24,IF(DATOS_[[Check Periodo Ref.]:[Check Periodo Ref.]]="Dentro",IF(DATOS_[[Check Equiparado]:[Check Equiparado]]="Sí",IF(DATOS!AL$4="Sí",(1/DATOS_[[% anualiz]:[% anualiz]]),1)*IF(DATOS!AL$5="Sí",1/DATOS_[[% normaliz]:[% normaliz]],1)*(DATOS_[Conc.Sal.08])))))))), 0)</f>
        <v>0</v>
      </c>
      <c r="R25" s="250" t="n">
        <f aca="false" t="array" ref="R25:R25">IFERROR( (MEDIAN((IF(DATOS_[[Sexo]:[Sexo]]=$B25,IF(DATOS_[[AGRUP. VALOR. PTO.]:[AGRUP. VALOR. PTO.]]=$B24,IF(DATOS_[[Check Periodo Ref.]:[Check Periodo Ref.]]="Dentro",IF(DATOS_[[Check Equiparado]:[Check Equiparado]]="Sí",IF(DATOS!AM$4="Sí",(1/DATOS_[[% anualiz]:[% anualiz]]),1)*IF(DATOS!AM$5="Sí",1/DATOS_[[% normaliz]:[% normaliz]],1)*(DATOS_[Conc.Sal.09])))))))), 0)</f>
        <v>0</v>
      </c>
      <c r="S25" s="250" t="n">
        <f aca="false" t="array" ref="S25:S25">IFERROR( (MEDIAN((IF(DATOS_[[Sexo]:[Sexo]]=$B25,IF(DATOS_[[AGRUP. VALOR. PTO.]:[AGRUP. VALOR. PTO.]]=$B24,IF(DATOS_[[Check Periodo Ref.]:[Check Periodo Ref.]]="Dentro",IF(DATOS_[[Check Equiparado]:[Check Equiparado]]="Sí",IF(DATOS!AN$4="Sí",(1/DATOS_[[% anualiz]:[% anualiz]]),1)*IF(DATOS!AN$5="Sí",1/DATOS_[[% normaliz]:[% normaliz]],1)*(DATOS_[Conc.Sal.10])))))))), 0)</f>
        <v>0</v>
      </c>
      <c r="T25" s="250" t="n">
        <f aca="false" t="array" ref="T25:T25">IFERROR( (MEDIAN((IF(DATOS_[[Sexo]:[Sexo]]=$B25,IF(DATOS_[[AGRUP. VALOR. PTO.]:[AGRUP. VALOR. PTO.]]=$B24,IF(DATOS_[[Check Periodo Ref.]:[Check Periodo Ref.]]="Dentro",IF(DATOS_[[Check Equiparado]:[Check Equiparado]]="Sí",IF(DATOS!AO$4="Sí",(1/DATOS_[[% anualiz]:[% anualiz]]),1)*IF(DATOS!AO$5="Sí",1/DATOS_[[% normaliz]:[% normaliz]],1)*(DATOS_[Conc.Sal.11])))))))), 0)</f>
        <v>0</v>
      </c>
      <c r="U25" s="250" t="n">
        <f aca="false" t="array" ref="U25:U25">IFERROR( (MEDIAN((IF(DATOS_[[Sexo]:[Sexo]]=$B25,IF(DATOS_[[AGRUP. VALOR. PTO.]:[AGRUP. VALOR. PTO.]]=$B24,IF(DATOS_[[Check Periodo Ref.]:[Check Periodo Ref.]]="Dentro",IF(DATOS_[[Check Equiparado]:[Check Equiparado]]="Sí",IF(DATOS!AP$4="Sí",(1/DATOS_[[% anualiz]:[% anualiz]]),1)*IF(DATOS!AP$5="Sí",1/DATOS_[[% normaliz]:[% normaliz]],1)*(DATOS_[Conc.Sal.12])))))))), 0)</f>
        <v>0</v>
      </c>
      <c r="V25" s="250" t="n">
        <f aca="false" t="array" ref="V25:V25">IFERROR( (MEDIAN((IF(DATOS_[[Sexo]:[Sexo]]=$B25,IF(DATOS_[[AGRUP. VALOR. PTO.]:[AGRUP. VALOR. PTO.]]=$B24,IF(DATOS_[[Check Periodo Ref.]:[Check Periodo Ref.]]="Dentro",IF(DATOS_[[Check Equiparado]:[Check Equiparado]]="Sí",IF(DATOS!AQ$4="Sí",(1/DATOS_[[% anualiz]:[% anualiz]]),1)*IF(DATOS!AQ$5="Sí",1/DATOS_[[% normaliz]:[% normaliz]],1)*(DATOS_[Conc.Sal.13])))))))), 0)</f>
        <v>0</v>
      </c>
      <c r="W25" s="250" t="n">
        <f aca="false" t="array" ref="W25:W25">IFERROR( (MEDIAN((IF(DATOS_[[Sexo]:[Sexo]]=$B25,IF(DATOS_[[AGRUP. VALOR. PTO.]:[AGRUP. VALOR. PTO.]]=$B24,IF(DATOS_[[Check Periodo Ref.]:[Check Periodo Ref.]]="Dentro",IF(DATOS_[[Check Equiparado]:[Check Equiparado]]="Sí",IF(DATOS!AR$4="Sí",(1/DATOS_[[% anualiz]:[% anualiz]]),1)*IF(DATOS!AR$5="Sí",1/DATOS_[[% normaliz]:[% normaliz]],1)*(DATOS_[Conc.Sal.14])))))))), 0)</f>
        <v>0</v>
      </c>
      <c r="X25" s="250" t="n">
        <f aca="false" t="array" ref="X25:X25">IFERROR( (MEDIAN((IF(DATOS_[[Sexo]:[Sexo]]=$B25,IF(DATOS_[[AGRUP. VALOR. PTO.]:[AGRUP. VALOR. PTO.]]=$B24,IF(DATOS_[[Check Periodo Ref.]:[Check Periodo Ref.]]="Dentro",IF(DATOS_[[Check Equiparado]:[Check Equiparado]]="Sí",IF(DATOS!AS$4="Sí",(1/DATOS_[[% anualiz]:[% anualiz]]),1)*IF(DATOS!AS$5="Sí",1/DATOS_[[% normaliz]:[% normaliz]],1)*(DATOS_[Conc.Sal.15])))))))), 0)</f>
        <v>0</v>
      </c>
      <c r="Y25" s="250" t="n">
        <f aca="false" t="array" ref="Y25:Y25">IFERROR( (MEDIAN((IF(DATOS_[[Sexo]:[Sexo]]=$B25,IF(DATOS_[[AGRUP. VALOR. PTO.]:[AGRUP. VALOR. PTO.]]=$B24,IF(DATOS_[[Check Periodo Ref.]:[Check Periodo Ref.]]="Dentro",IF(DATOS_[[Check Equiparado]:[Check Equiparado]]="Sí",IF(DATOS!AT$4="Sí",(1/DATOS_[[% anualiz]:[% anualiz]]),1)*IF(DATOS!AT$5="Sí",1/DATOS_[[% normaliz]:[% normaliz]],1)*(DATOS_[Conc.Sal.16])))))))), 0)</f>
        <v>0</v>
      </c>
      <c r="Z25" s="250" t="n">
        <f aca="false" t="array" ref="Z25:Z25">IFERROR( (MEDIAN((IF(DATOS_[[Sexo]:[Sexo]]=$B25,IF(DATOS_[[AGRUP. VALOR. PTO.]:[AGRUP. VALOR. PTO.]]=$B24,IF(DATOS_[[Check Periodo Ref.]:[Check Periodo Ref.]]="Dentro",IF(DATOS_[[Check Equiparado]:[Check Equiparado]]="Sí",IF(DATOS!AU$4="Sí",(1/DATOS_[[% anualiz]:[% anualiz]]),1)*IF(DATOS!AU$5="Sí",1/DATOS_[[% normaliz]:[% normaliz]],1)*(DATOS_[Conc.Sal.17])))))))), 0)</f>
        <v>0</v>
      </c>
      <c r="AA25" s="250" t="n">
        <f aca="false" t="array" ref="AA25:AA25">IFERROR( (MEDIAN((IF(DATOS_[[Sexo]:[Sexo]]=$B25,IF(DATOS_[[AGRUP. VALOR. PTO.]:[AGRUP. VALOR. PTO.]]=$B24,IF(DATOS_[[Check Periodo Ref.]:[Check Periodo Ref.]]="Dentro",IF(DATOS_[[Check Equiparado]:[Check Equiparado]]="Sí",IF(DATOS!AV$4="Sí",(1/DATOS_[[% anualiz]:[% anualiz]]),1)*IF(DATOS!AV$5="Sí",1/DATOS_[[% normaliz]:[% normaliz]],1)*(DATOS_[Conc.Sal.18])))))))), 0)</f>
        <v>0</v>
      </c>
      <c r="AB25" s="250" t="n">
        <f aca="false" t="array" ref="AB25:AB25">IFERROR( (MEDIAN((IF(DATOS_[[Sexo]:[Sexo]]=$B25,IF(DATOS_[[AGRUP. VALOR. PTO.]:[AGRUP. VALOR. PTO.]]=$B24,IF(DATOS_[[Check Periodo Ref.]:[Check Periodo Ref.]]="Dentro",IF(DATOS_[[Check Equiparado]:[Check Equiparado]]="Sí",IF(DATOS!AW$4="Sí",(1/DATOS_[[% anualiz]:[% anualiz]]),1)*IF(DATOS!AW$5="Sí",1/DATOS_[[% normaliz]:[% normaliz]],1)*(DATOS_[Conc.Sal.19])))))))), 0)</f>
        <v>0</v>
      </c>
      <c r="AC25" s="250" t="n">
        <f aca="false" t="array" ref="AC25:AC25">IFERROR( (MEDIAN((IF(DATOS_[[Sexo]:[Sexo]]=$B25,IF(DATOS_[[AGRUP. VALOR. PTO.]:[AGRUP. VALOR. PTO.]]=$B24,IF(DATOS_[[Check Periodo Ref.]:[Check Periodo Ref.]]="Dentro",IF(DATOS_[[Check Equiparado]:[Check Equiparado]]="Sí",IF(DATOS!AX$4="Sí",(1/DATOS_[[% anualiz]:[% anualiz]]),1)*IF(DATOS!AX$5="Sí",1/DATOS_[[% normaliz]:[% normaliz]],1)*(DATOS_[Conc.Sal.20])))))))), 0)</f>
        <v>0</v>
      </c>
      <c r="AD25" s="250" t="n">
        <f aca="false" t="array" ref="AD25:AD25">IFERROR( (MEDIAN((IF(DATOS_[[Sexo]:[Sexo]]=$B25,IF(DATOS_[[AGRUP. VALOR. PTO.]:[AGRUP. VALOR. PTO.]]=$B24,IF(DATOS_[[Check Periodo Ref.]:[Check Periodo Ref.]]="Dentro",IF(DATOS_[[Check Equiparado]:[Check Equiparado]]="Sí",IF(DATOS!AY$4="Sí",(1/DATOS_[[% anualiz]:[% anualiz]]),1)*IF(DATOS!AY$5="Sí",1/DATOS_[[% normaliz]:[% normaliz]],1)*(DATOS_[Conc.Sal.21])))))))), 0)</f>
        <v>0</v>
      </c>
      <c r="AE25" s="250" t="n">
        <f aca="false" t="array" ref="AE25:AE25">IFERROR( (MEDIAN((IF(DATOS_[[Sexo]:[Sexo]]=$B25,IF(DATOS_[[AGRUP. VALOR. PTO.]:[AGRUP. VALOR. PTO.]]=$B24,IF(DATOS_[[Check Periodo Ref.]:[Check Periodo Ref.]]="Dentro",IF(DATOS_[[Check Equiparado]:[Check Equiparado]]="Sí",IF(DATOS!AZ$4="Sí",(1/DATOS_[[% anualiz]:[% anualiz]]),1)*IF(DATOS!AZ$5="Sí",1/DATOS_[[% normaliz]:[% normaliz]],1)*(DATOS_[Conc.Sal.22])))))))), 0)</f>
        <v>0</v>
      </c>
      <c r="AF25" s="250" t="n">
        <f aca="false" t="array" ref="AF25:AF25">IFERROR( (MEDIAN((IF(DATOS_[[Sexo]:[Sexo]]=$B25,IF(DATOS_[[AGRUP. VALOR. PTO.]:[AGRUP. VALOR. PTO.]]=$B24,IF(DATOS_[[Check Periodo Ref.]:[Check Periodo Ref.]]="Dentro",IF(DATOS_[[Check Equiparado]:[Check Equiparado]]="Sí",IF(DATOS!BA$4="Sí",(1/DATOS_[[% anualiz]:[% anualiz]]),1)*IF(DATOS!BA$5="Sí",1/DATOS_[[% normaliz]:[% normaliz]],1)*(DATOS_[Conc.Sal.23])))))))), 0)</f>
        <v>0</v>
      </c>
      <c r="AG25" s="250" t="n">
        <f aca="false" t="array" ref="AG25:AG25">IFERROR( (MEDIAN((IF(DATOS_[[Sexo]:[Sexo]]=$B25,IF(DATOS_[[AGRUP. VALOR. PTO.]:[AGRUP. VALOR. PTO.]]=$B24,IF(DATOS_[[Check Periodo Ref.]:[Check Periodo Ref.]]="Dentro",IF(DATOS_[[Check Equiparado]:[Check Equiparado]]="Sí",IF(DATOS!BB$4="Sí",(1/DATOS_[[% anualiz]:[% anualiz]]),1)*IF(DATOS!BB$5="Sí",1/DATOS_[[% normaliz]:[% normaliz]],1)*(DATOS_[Conc.Sal.24])))))))), 0)</f>
        <v>0</v>
      </c>
      <c r="AH25" s="250" t="n">
        <f aca="false" t="array" ref="AH25:AH25">IFERROR( (MEDIAN((IF(DATOS_[[Sexo]:[Sexo]]=$B25,IF(DATOS_[[AGRUP. VALOR. PTO.]:[AGRUP. VALOR. PTO.]]=$B24,IF(DATOS_[[Check Periodo Ref.]:[Check Periodo Ref.]]="Dentro",IF(DATOS_[[Check Equiparado]:[Check Equiparado]]="Sí",IF(DATOS!BC$4="Sí",(1/DATOS_[[% anualiz]:[% anualiz]]),1)*IF(DATOS!BC$5="Sí",1/DATOS_[[% normaliz]:[% normaliz]],1)*(DATOS_[Conc.Sal.25])))))))), 0)</f>
        <v>0</v>
      </c>
      <c r="AI25" s="250" t="n">
        <f aca="false" t="array" ref="AI25:AI25">IFERROR( (MEDIAN((IF(DATOS_[[Sexo]:[Sexo]]=$B25,IF(DATOS_[[AGRUP. VALOR. PTO.]:[AGRUP. VALOR. PTO.]]=$B24,IF(DATOS_[[Check Periodo Ref.]:[Check Periodo Ref.]]="Dentro",IF(DATOS_[[Check Equiparado]:[Check Equiparado]]="Sí",IF(DATOS!BD$4="Sí",(1/DATOS_[[% anualiz]:[% anualiz]]),1)*IF(DATOS!BD$5="Sí",1/DATOS_[[% normaliz]:[% normaliz]],1)*(DATOS_[Conc.Sal.26])))))))), 0)</f>
        <v>0</v>
      </c>
      <c r="AJ25" s="250" t="n">
        <f aca="false" t="array" ref="AJ25:AJ25">IFERROR( (MEDIAN((IF(DATOS_[[Sexo]:[Sexo]]=$B25,IF(DATOS_[[AGRUP. VALOR. PTO.]:[AGRUP. VALOR. PTO.]]=$B24,IF(DATOS_[[Check Periodo Ref.]:[Check Periodo Ref.]]="Dentro",IF(DATOS_[[Check Equiparado]:[Check Equiparado]]="Sí",IF(DATOS!BE$4="Sí",(1/DATOS_[[% anualiz]:[% anualiz]]),1)*IF(DATOS!BE$5="Sí",1/DATOS_[[% normaliz]:[% normaliz]],1)*(DATOS_[Conc.Sal.27])))))))), 0)</f>
        <v>0</v>
      </c>
      <c r="AK25" s="250" t="n">
        <f aca="false" t="array" ref="AK25:AK25">IFERROR( (MEDIAN((IF(DATOS_[[Sexo]:[Sexo]]=$B25,IF(DATOS_[[AGRUP. VALOR. PTO.]:[AGRUP. VALOR. PTO.]]=$B24,IF(DATOS_[[Check Periodo Ref.]:[Check Periodo Ref.]]="Dentro",IF(DATOS_[[Check Equiparado]:[Check Equiparado]]="Sí",IF(DATOS!BF$4="Sí",(1/DATOS_[[% anualiz]:[% anualiz]]),1)*IF(DATOS!BF$5="Sí",1/DATOS_[[% normaliz]:[% normaliz]],1)*(DATOS_[Conc.Sal.28])))))))), 0)</f>
        <v>0</v>
      </c>
      <c r="AL25" s="250" t="n">
        <f aca="false" t="array" ref="AL25:AL25">IFERROR( (MEDIAN((IF(DATOS_[[Sexo]:[Sexo]]=$B25,IF(DATOS_[[AGRUP. VALOR. PTO.]:[AGRUP. VALOR. PTO.]]=$B24,IF(DATOS_[[Check Periodo Ref.]:[Check Periodo Ref.]]="Dentro",IF(DATOS_[[Check Equiparado]:[Check Equiparado]]="Sí",IF(DATOS!BG$4="Sí",(1/DATOS_[[% anualiz]:[% anualiz]]),1)*IF(DATOS!BG$5="Sí",1/DATOS_[[% normaliz]:[% normaliz]],1)*(DATOS_[Conc.Sal.29])))))))), 0)</f>
        <v>0</v>
      </c>
      <c r="AM25" s="250" t="n">
        <f aca="false" t="array" ref="AM25:AM25">IFERROR( (MEDIAN((IF(DATOS_[[Sexo]:[Sexo]]=$B25,IF(DATOS_[[AGRUP. VALOR. PTO.]:[AGRUP. VALOR. PTO.]]=$B24,IF(DATOS_[[Check Periodo Ref.]:[Check Periodo Ref.]]="Dentro",IF(DATOS_[[Check Equiparado]:[Check Equiparado]]="Sí",IF(DATOS!BH$4="Sí",(1/DATOS_[[% anualiz]:[% anualiz]]),1)*IF(DATOS!BH$5="Sí",1/DATOS_[[% normaliz]:[% normaliz]],1)*(DATOS_[Conc.Sal.30])))))))), 0)</f>
        <v>0</v>
      </c>
      <c r="AN25" s="251" t="n">
        <f aca="false" t="array" ref="AN25:AN25">IFERROR( MEDIAN(IF(DATOS_[Sexo]=$B25,IF(DATOS_[[AGRUP. VALOR. PTO.]:[AGRUP. VALOR. PTO.]]=$B24,IF(DATOS_[Check Equiparado]="Sí",IF(DATOS_[Check Periodo Ref.]="Dentro",DATOS_[Tot COMPL.SAL Eq],0))))), 0)</f>
        <v>0</v>
      </c>
      <c r="AO25" s="252" t="n">
        <f aca="false" t="array" ref="AO25:AO25">IFERROR( MEDIAN(IF(DATOS_[Sexo]=$B25,IF(DATOS_[[AGRUP. VALOR. PTO.]:[AGRUP. VALOR. PTO.]]=$B24,IF(DATOS_[Check Equiparado]="Sí",IF(DATOS_[Check Periodo Ref.]="Dentro",DATOS_[TOTAL SALARIO Eq],0))))), 0)</f>
        <v>0</v>
      </c>
      <c r="AP25" s="259" t="n">
        <f aca="false" t="array" ref="AP25:AP25">IFERROR( (MEDIAN((IF(DATOS_[[Sexo]:[Sexo]]=$B25,IF(DATOS_[[AGRUP. VALOR. PTO.]:[AGRUP. VALOR. PTO.]]=$B24,IF(DATOS_[[Check Periodo Ref.]:[Check Periodo Ref.]]="Dentro",IF(DATOS_[[Check Equiparado]:[Check Equiparado]]="Sí",IF(DATOS!BI$4="Sí",(1/DATOS_[[% anualiz]:[% anualiz]]),1)*IF(DATOS!BI$5="Sí",1/DATOS_[[% normaliz]:[% normaliz]],1)*(DATOS_[C.Extra.01])))))))), 0)</f>
        <v>0</v>
      </c>
      <c r="AQ25" s="259" t="n">
        <f aca="false" t="array" ref="AQ25:AQ25">IFERROR( (MEDIAN((IF(DATOS_[[Sexo]:[Sexo]]=$B25,IF(DATOS_[[AGRUP. VALOR. PTO.]:[AGRUP. VALOR. PTO.]]=$B24,IF(DATOS_[[Check Periodo Ref.]:[Check Periodo Ref.]]="Dentro",IF(DATOS_[[Check Equiparado]:[Check Equiparado]]="Sí",IF(DATOS!BJ$4="Sí",(1/DATOS_[[% anualiz]:[% anualiz]]),1)*IF(DATOS!BJ$5="Sí",1/DATOS_[[% normaliz]:[% normaliz]],1)*(DATOS_[C.Extra.02])))))))), 0)</f>
        <v>0</v>
      </c>
      <c r="AR25" s="259" t="n">
        <f aca="false" t="array" ref="AR25:AR25">IFERROR( (MEDIAN((IF(DATOS_[[Sexo]:[Sexo]]=$B25,IF(DATOS_[[AGRUP. VALOR. PTO.]:[AGRUP. VALOR. PTO.]]=$B24,IF(DATOS_[[Check Periodo Ref.]:[Check Periodo Ref.]]="Dentro",IF(DATOS_[[Check Equiparado]:[Check Equiparado]]="Sí",IF(DATOS!BK$4="Sí",(1/DATOS_[[% anualiz]:[% anualiz]]),1)*IF(DATOS!BK$5="Sí",1/DATOS_[[% normaliz]:[% normaliz]],1)*(DATOS_[C.Extra.03])))))))), 0)</f>
        <v>0</v>
      </c>
      <c r="AS25" s="259" t="n">
        <f aca="false" t="array" ref="AS25:AS25">IFERROR( (MEDIAN((IF(DATOS_[[Sexo]:[Sexo]]=$B25,IF(DATOS_[[AGRUP. VALOR. PTO.]:[AGRUP. VALOR. PTO.]]=$B24,IF(DATOS_[[Check Periodo Ref.]:[Check Periodo Ref.]]="Dentro",IF(DATOS_[[Check Equiparado]:[Check Equiparado]]="Sí",IF(DATOS!BL$4="Sí",(1/DATOS_[[% anualiz]:[% anualiz]]),1)*IF(DATOS!BL$5="Sí",1/DATOS_[[% normaliz]:[% normaliz]],1)*(DATOS_[C.Extra.04])))))))), 0)</f>
        <v>0</v>
      </c>
      <c r="AT25" s="259" t="n">
        <f aca="false" t="array" ref="AT25:AT25">IFERROR( (MEDIAN((IF(DATOS_[[Sexo]:[Sexo]]=$B25,IF(DATOS_[[AGRUP. VALOR. PTO.]:[AGRUP. VALOR. PTO.]]=$B24,IF(DATOS_[[Check Periodo Ref.]:[Check Periodo Ref.]]="Dentro",IF(DATOS_[[Check Equiparado]:[Check Equiparado]]="Sí",IF(DATOS!BM$4="Sí",(1/DATOS_[[% anualiz]:[% anualiz]]),1)*IF(DATOS!BM$5="Sí",1/DATOS_[[% normaliz]:[% normaliz]],1)*(DATOS_[C.Extra.05])))))))), 0)</f>
        <v>0</v>
      </c>
      <c r="AU25" s="254" t="n">
        <f aca="false" t="array" ref="AU25:AU25">IFERROR( MEDIAN(IF(DATOS_[Sexo]=$B25,IF(DATOS_[[AGRUP. VALOR. PTO.]:[AGRUP. VALOR. PTO.]]=$B24,IF(DATOS_[Check Equiparado]="Sí",IF(DATOS_[Check Periodo Ref.]="Dentro",DATOS_[Tot Extrasalarial Eq],0))))), 0)</f>
        <v>0</v>
      </c>
      <c r="AV25" s="255" t="n">
        <f aca="false" t="array" ref="AV25:AV25">IFERROR( MEDIAN(IF(DATOS_[Sexo]=$B25,IF(DATOS_[[AGRUP. VALOR. PTO.]:[AGRUP. VALOR. PTO.]]=$B24,IF(DATOS_[Check Equiparado]="Sí",IF(DATOS_[Check Periodo Ref.]="Dentro",DATOS_[TOTAL Retrib Eq],0))))), 0)</f>
        <v>0</v>
      </c>
    </row>
    <row r="26" customFormat="false" ht="14.25" hidden="false" customHeight="false" outlineLevel="0" collapsed="false">
      <c r="A26" s="217" t="str">
        <f aca="false">+A25</f>
        <v>[ocultar]</v>
      </c>
      <c r="B26" s="323" t="s">
        <v>372</v>
      </c>
      <c r="C26" s="247" t="n">
        <f aca="false" t="array" ref="C26:C26">SUM(IF($B26=DATOS_[Sexo], IF($B24=DATOS_[AGRUP. VALOR. PTO.], IF("Dentro"=DATOS_[Check Periodo Ref.], 1/(COUNTIFS(DATOS_[Sexo],$B26,DATOS_[AGRUP. VALOR. PTO.],$B24,DATOS_[Check Periodo Ref.],"Dentro",DATOS_[id],DATOS_[id]))))))</f>
        <v>0</v>
      </c>
      <c r="D26" s="248" t="n">
        <f aca="false">COUNTIFS(DATOS_[AGRUP. VALOR. PTO.],$B24,DATOS_[Sexo],$B26,DATOS_[Check Periodo Ref.],"Dentro")</f>
        <v>0</v>
      </c>
      <c r="E26" s="248" t="n">
        <f aca="false">COUNTIFS(DATOS_[AGRUP. VALOR. PTO.],$B24,DATOS_[Sexo],$B26,DATOS_[Check Periodo Ref.],"Dentro",DATOS_[Check Nº SC Norm],"Sí")</f>
        <v>0</v>
      </c>
      <c r="F26" s="248" t="n">
        <f aca="false">COUNTIFS(DATOS_[AGRUP. VALOR. PTO.],$B24,DATOS_[Sexo],$B26,DATOS_[Check Periodo Ref.],"Dentro",DATOS_[Check Nº SC Anualiz],"Sí")</f>
        <v>0</v>
      </c>
      <c r="G26" s="248" t="n">
        <f aca="false">COUNTIFS(DATOS_[AGRUP. VALOR. PTO.],$B24,DATOS_[Sexo],$B26,DATOS_[Check Periodo Ref.],"Dentro",DATOS_[Check Nº SC Norm y Anualiz],"Sí")</f>
        <v>0</v>
      </c>
      <c r="H26" s="248" t="n">
        <f aca="false">COUNTIFS(DATOS_[AGRUP. VALOR. PTO.],$B24,DATOS_[Sexo],$B26,DATOS_[Check Periodo Ref.],"Dentro",DATOS_[Check Equiparación],"Sí")</f>
        <v>0</v>
      </c>
      <c r="I26" s="249" t="n">
        <f aca="false" t="array" ref="I26:I26">IFERROR( MEDIAN(IF(DATOS_[Sexo]=$B26,IF(DATOS_[[AGRUP. VALOR. PTO.]:[AGRUP. VALOR. PTO.]]=$B24,IF(DATOS_[Check Equiparado]="Sí",IF(DATOS_[Check Periodo Ref.]="Dentro",DATOS_[SALARIO BASE Eq],0))))), 0)</f>
        <v>0</v>
      </c>
      <c r="J26" s="250" t="n">
        <f aca="false" t="array" ref="J26:J26">IFERROR( (MEDIAN((IF(DATOS_[[Sexo]:[Sexo]]=$B26,IF(DATOS_[[AGRUP. VALOR. PTO.]:[AGRUP. VALOR. PTO.]]=$B24,IF(DATOS_[[Check Periodo Ref.]:[Check Periodo Ref.]]="Dentro",IF(DATOS_[[Check Equiparado]:[Check Equiparado]]="Sí",IF(DATOS!AE$4="Sí",(1/DATOS_[[% anualiz]:[% anualiz]]),1)*IF(DATOS!AE$5="Sí",1/DATOS_[[% normaliz]:[% normaliz]],1)*(DATOS_[Conc.Sal.01])))))))), 0)</f>
        <v>0</v>
      </c>
      <c r="K26" s="250" t="n">
        <f aca="false" t="array" ref="K26:K26">IFERROR( (MEDIAN((IF(DATOS_[[Sexo]:[Sexo]]=$B26,IF(DATOS_[[AGRUP. VALOR. PTO.]:[AGRUP. VALOR. PTO.]]=$B24,IF(DATOS_[[Check Periodo Ref.]:[Check Periodo Ref.]]="Dentro",IF(DATOS_[[Check Equiparado]:[Check Equiparado]]="Sí",IF(DATOS!AF$4="Sí",(1/DATOS_[[% anualiz]:[% anualiz]]),1)*IF(DATOS!AF$5="Sí",1/DATOS_[[% normaliz]:[% normaliz]],1)*(DATOS_[Conc.Sal.02])))))))), 0)</f>
        <v>0</v>
      </c>
      <c r="L26" s="250" t="n">
        <f aca="false" t="array" ref="L26:L26">IFERROR( (MEDIAN((IF(DATOS_[[Sexo]:[Sexo]]=$B26,IF(DATOS_[[AGRUP. VALOR. PTO.]:[AGRUP. VALOR. PTO.]]=$B24,IF(DATOS_[[Check Periodo Ref.]:[Check Periodo Ref.]]="Dentro",IF(DATOS_[[Check Equiparado]:[Check Equiparado]]="Sí",IF(DATOS!AG$4="Sí",(1/DATOS_[[% anualiz]:[% anualiz]]),1)*IF(DATOS!AG$5="Sí",1/DATOS_[[% normaliz]:[% normaliz]],1)*(DATOS_[Conc.Sal.03])))))))), 0)</f>
        <v>0</v>
      </c>
      <c r="M26" s="250" t="n">
        <f aca="false" t="array" ref="M26:M26">IFERROR( (MEDIAN((IF(DATOS_[[Sexo]:[Sexo]]=$B26,IF(DATOS_[[AGRUP. VALOR. PTO.]:[AGRUP. VALOR. PTO.]]=$B24,IF(DATOS_[[Check Periodo Ref.]:[Check Periodo Ref.]]="Dentro",IF(DATOS_[[Check Equiparado]:[Check Equiparado]]="Sí",IF(DATOS!AH$4="Sí",(1/DATOS_[[% anualiz]:[% anualiz]]),1)*IF(DATOS!AH$5="Sí",1/DATOS_[[% normaliz]:[% normaliz]],1)*(DATOS_[Conc.Sal.04])))))))), 0)</f>
        <v>0</v>
      </c>
      <c r="N26" s="250" t="n">
        <f aca="false" t="array" ref="N26:N26">IFERROR( (MEDIAN((IF(DATOS_[[Sexo]:[Sexo]]=$B26,IF(DATOS_[[AGRUP. VALOR. PTO.]:[AGRUP. VALOR. PTO.]]=$B24,IF(DATOS_[[Check Periodo Ref.]:[Check Periodo Ref.]]="Dentro",IF(DATOS_[[Check Equiparado]:[Check Equiparado]]="Sí",IF(DATOS!AI$4="Sí",(1/DATOS_[[% anualiz]:[% anualiz]]),1)*IF(DATOS!AI$5="Sí",1/DATOS_[[% normaliz]:[% normaliz]],1)*(DATOS_[Conc.Sal.05])))))))), 0)</f>
        <v>0</v>
      </c>
      <c r="O26" s="250" t="n">
        <f aca="false" t="array" ref="O26:O26">IFERROR( (MEDIAN((IF(DATOS_[[Sexo]:[Sexo]]=$B26,IF(DATOS_[[AGRUP. VALOR. PTO.]:[AGRUP. VALOR. PTO.]]=$B24,IF(DATOS_[[Check Periodo Ref.]:[Check Periodo Ref.]]="Dentro",IF(DATOS_[[Check Equiparado]:[Check Equiparado]]="Sí",IF(DATOS!AJ$4="Sí",(1/DATOS_[[% anualiz]:[% anualiz]]),1)*IF(DATOS!AJ$5="Sí",1/DATOS_[[% normaliz]:[% normaliz]],1)*(DATOS_[Conc.Sal.06])))))))), 0)</f>
        <v>0</v>
      </c>
      <c r="P26" s="250" t="n">
        <f aca="false" t="array" ref="P26:P26">IFERROR( (MEDIAN((IF(DATOS_[[Sexo]:[Sexo]]=$B26,IF(DATOS_[[AGRUP. VALOR. PTO.]:[AGRUP. VALOR. PTO.]]=$B24,IF(DATOS_[[Check Periodo Ref.]:[Check Periodo Ref.]]="Dentro",IF(DATOS_[[Check Equiparado]:[Check Equiparado]]="Sí",IF(DATOS!AK$4="Sí",(1/DATOS_[[% anualiz]:[% anualiz]]),1)*IF(DATOS!AK$5="Sí",1/DATOS_[[% normaliz]:[% normaliz]],1)*(DATOS_[Conc.Sal.07])))))))), 0)</f>
        <v>0</v>
      </c>
      <c r="Q26" s="250" t="n">
        <f aca="false" t="array" ref="Q26:Q26">IFERROR( (MEDIAN((IF(DATOS_[[Sexo]:[Sexo]]=$B26,IF(DATOS_[[AGRUP. VALOR. PTO.]:[AGRUP. VALOR. PTO.]]=$B24,IF(DATOS_[[Check Periodo Ref.]:[Check Periodo Ref.]]="Dentro",IF(DATOS_[[Check Equiparado]:[Check Equiparado]]="Sí",IF(DATOS!AL$4="Sí",(1/DATOS_[[% anualiz]:[% anualiz]]),1)*IF(DATOS!AL$5="Sí",1/DATOS_[[% normaliz]:[% normaliz]],1)*(DATOS_[Conc.Sal.08])))))))), 0)</f>
        <v>0</v>
      </c>
      <c r="R26" s="250" t="n">
        <f aca="false" t="array" ref="R26:R26">IFERROR( (MEDIAN((IF(DATOS_[[Sexo]:[Sexo]]=$B26,IF(DATOS_[[AGRUP. VALOR. PTO.]:[AGRUP. VALOR. PTO.]]=$B24,IF(DATOS_[[Check Periodo Ref.]:[Check Periodo Ref.]]="Dentro",IF(DATOS_[[Check Equiparado]:[Check Equiparado]]="Sí",IF(DATOS!AM$4="Sí",(1/DATOS_[[% anualiz]:[% anualiz]]),1)*IF(DATOS!AM$5="Sí",1/DATOS_[[% normaliz]:[% normaliz]],1)*(DATOS_[Conc.Sal.09])))))))), 0)</f>
        <v>0</v>
      </c>
      <c r="S26" s="250" t="n">
        <f aca="false" t="array" ref="S26:S26">IFERROR( (MEDIAN((IF(DATOS_[[Sexo]:[Sexo]]=$B26,IF(DATOS_[[AGRUP. VALOR. PTO.]:[AGRUP. VALOR. PTO.]]=$B24,IF(DATOS_[[Check Periodo Ref.]:[Check Periodo Ref.]]="Dentro",IF(DATOS_[[Check Equiparado]:[Check Equiparado]]="Sí",IF(DATOS!AN$4="Sí",(1/DATOS_[[% anualiz]:[% anualiz]]),1)*IF(DATOS!AN$5="Sí",1/DATOS_[[% normaliz]:[% normaliz]],1)*(DATOS_[Conc.Sal.10])))))))), 0)</f>
        <v>0</v>
      </c>
      <c r="T26" s="250" t="n">
        <f aca="false" t="array" ref="T26:T26">IFERROR( (MEDIAN((IF(DATOS_[[Sexo]:[Sexo]]=$B26,IF(DATOS_[[AGRUP. VALOR. PTO.]:[AGRUP. VALOR. PTO.]]=$B24,IF(DATOS_[[Check Periodo Ref.]:[Check Periodo Ref.]]="Dentro",IF(DATOS_[[Check Equiparado]:[Check Equiparado]]="Sí",IF(DATOS!AO$4="Sí",(1/DATOS_[[% anualiz]:[% anualiz]]),1)*IF(DATOS!AO$5="Sí",1/DATOS_[[% normaliz]:[% normaliz]],1)*(DATOS_[Conc.Sal.11])))))))), 0)</f>
        <v>0</v>
      </c>
      <c r="U26" s="250" t="n">
        <f aca="false" t="array" ref="U26:U26">IFERROR( (MEDIAN((IF(DATOS_[[Sexo]:[Sexo]]=$B26,IF(DATOS_[[AGRUP. VALOR. PTO.]:[AGRUP. VALOR. PTO.]]=$B24,IF(DATOS_[[Check Periodo Ref.]:[Check Periodo Ref.]]="Dentro",IF(DATOS_[[Check Equiparado]:[Check Equiparado]]="Sí",IF(DATOS!AP$4="Sí",(1/DATOS_[[% anualiz]:[% anualiz]]),1)*IF(DATOS!AP$5="Sí",1/DATOS_[[% normaliz]:[% normaliz]],1)*(DATOS_[Conc.Sal.12])))))))), 0)</f>
        <v>0</v>
      </c>
      <c r="V26" s="250" t="n">
        <f aca="false" t="array" ref="V26:V26">IFERROR( (MEDIAN((IF(DATOS_[[Sexo]:[Sexo]]=$B26,IF(DATOS_[[AGRUP. VALOR. PTO.]:[AGRUP. VALOR. PTO.]]=$B24,IF(DATOS_[[Check Periodo Ref.]:[Check Periodo Ref.]]="Dentro",IF(DATOS_[[Check Equiparado]:[Check Equiparado]]="Sí",IF(DATOS!AQ$4="Sí",(1/DATOS_[[% anualiz]:[% anualiz]]),1)*IF(DATOS!AQ$5="Sí",1/DATOS_[[% normaliz]:[% normaliz]],1)*(DATOS_[Conc.Sal.13])))))))), 0)</f>
        <v>0</v>
      </c>
      <c r="W26" s="250" t="n">
        <f aca="false" t="array" ref="W26:W26">IFERROR( (MEDIAN((IF(DATOS_[[Sexo]:[Sexo]]=$B26,IF(DATOS_[[AGRUP. VALOR. PTO.]:[AGRUP. VALOR. PTO.]]=$B24,IF(DATOS_[[Check Periodo Ref.]:[Check Periodo Ref.]]="Dentro",IF(DATOS_[[Check Equiparado]:[Check Equiparado]]="Sí",IF(DATOS!AR$4="Sí",(1/DATOS_[[% anualiz]:[% anualiz]]),1)*IF(DATOS!AR$5="Sí",1/DATOS_[[% normaliz]:[% normaliz]],1)*(DATOS_[Conc.Sal.14])))))))), 0)</f>
        <v>0</v>
      </c>
      <c r="X26" s="250" t="n">
        <f aca="false" t="array" ref="X26:X26">IFERROR( (MEDIAN((IF(DATOS_[[Sexo]:[Sexo]]=$B26,IF(DATOS_[[AGRUP. VALOR. PTO.]:[AGRUP. VALOR. PTO.]]=$B24,IF(DATOS_[[Check Periodo Ref.]:[Check Periodo Ref.]]="Dentro",IF(DATOS_[[Check Equiparado]:[Check Equiparado]]="Sí",IF(DATOS!AS$4="Sí",(1/DATOS_[[% anualiz]:[% anualiz]]),1)*IF(DATOS!AS$5="Sí",1/DATOS_[[% normaliz]:[% normaliz]],1)*(DATOS_[Conc.Sal.15])))))))), 0)</f>
        <v>0</v>
      </c>
      <c r="Y26" s="250" t="n">
        <f aca="false" t="array" ref="Y26:Y26">IFERROR( (MEDIAN((IF(DATOS_[[Sexo]:[Sexo]]=$B26,IF(DATOS_[[AGRUP. VALOR. PTO.]:[AGRUP. VALOR. PTO.]]=$B24,IF(DATOS_[[Check Periodo Ref.]:[Check Periodo Ref.]]="Dentro",IF(DATOS_[[Check Equiparado]:[Check Equiparado]]="Sí",IF(DATOS!AT$4="Sí",(1/DATOS_[[% anualiz]:[% anualiz]]),1)*IF(DATOS!AT$5="Sí",1/DATOS_[[% normaliz]:[% normaliz]],1)*(DATOS_[Conc.Sal.16])))))))), 0)</f>
        <v>0</v>
      </c>
      <c r="Z26" s="250" t="n">
        <f aca="false" t="array" ref="Z26:Z26">IFERROR( (MEDIAN((IF(DATOS_[[Sexo]:[Sexo]]=$B26,IF(DATOS_[[AGRUP. VALOR. PTO.]:[AGRUP. VALOR. PTO.]]=$B24,IF(DATOS_[[Check Periodo Ref.]:[Check Periodo Ref.]]="Dentro",IF(DATOS_[[Check Equiparado]:[Check Equiparado]]="Sí",IF(DATOS!AU$4="Sí",(1/DATOS_[[% anualiz]:[% anualiz]]),1)*IF(DATOS!AU$5="Sí",1/DATOS_[[% normaliz]:[% normaliz]],1)*(DATOS_[Conc.Sal.17])))))))), 0)</f>
        <v>0</v>
      </c>
      <c r="AA26" s="250" t="n">
        <f aca="false" t="array" ref="AA26:AA26">IFERROR( (MEDIAN((IF(DATOS_[[Sexo]:[Sexo]]=$B26,IF(DATOS_[[AGRUP. VALOR. PTO.]:[AGRUP. VALOR. PTO.]]=$B24,IF(DATOS_[[Check Periodo Ref.]:[Check Periodo Ref.]]="Dentro",IF(DATOS_[[Check Equiparado]:[Check Equiparado]]="Sí",IF(DATOS!AV$4="Sí",(1/DATOS_[[% anualiz]:[% anualiz]]),1)*IF(DATOS!AV$5="Sí",1/DATOS_[[% normaliz]:[% normaliz]],1)*(DATOS_[Conc.Sal.18])))))))), 0)</f>
        <v>0</v>
      </c>
      <c r="AB26" s="250" t="n">
        <f aca="false" t="array" ref="AB26:AB26">IFERROR( (MEDIAN((IF(DATOS_[[Sexo]:[Sexo]]=$B26,IF(DATOS_[[AGRUP. VALOR. PTO.]:[AGRUP. VALOR. PTO.]]=$B24,IF(DATOS_[[Check Periodo Ref.]:[Check Periodo Ref.]]="Dentro",IF(DATOS_[[Check Equiparado]:[Check Equiparado]]="Sí",IF(DATOS!AW$4="Sí",(1/DATOS_[[% anualiz]:[% anualiz]]),1)*IF(DATOS!AW$5="Sí",1/DATOS_[[% normaliz]:[% normaliz]],1)*(DATOS_[Conc.Sal.19])))))))), 0)</f>
        <v>0</v>
      </c>
      <c r="AC26" s="250" t="n">
        <f aca="false" t="array" ref="AC26:AC26">IFERROR( (MEDIAN((IF(DATOS_[[Sexo]:[Sexo]]=$B26,IF(DATOS_[[AGRUP. VALOR. PTO.]:[AGRUP. VALOR. PTO.]]=$B24,IF(DATOS_[[Check Periodo Ref.]:[Check Periodo Ref.]]="Dentro",IF(DATOS_[[Check Equiparado]:[Check Equiparado]]="Sí",IF(DATOS!AX$4="Sí",(1/DATOS_[[% anualiz]:[% anualiz]]),1)*IF(DATOS!AX$5="Sí",1/DATOS_[[% normaliz]:[% normaliz]],1)*(DATOS_[Conc.Sal.20])))))))), 0)</f>
        <v>0</v>
      </c>
      <c r="AD26" s="250" t="n">
        <f aca="false" t="array" ref="AD26:AD26">IFERROR( (MEDIAN((IF(DATOS_[[Sexo]:[Sexo]]=$B26,IF(DATOS_[[AGRUP. VALOR. PTO.]:[AGRUP. VALOR. PTO.]]=$B24,IF(DATOS_[[Check Periodo Ref.]:[Check Periodo Ref.]]="Dentro",IF(DATOS_[[Check Equiparado]:[Check Equiparado]]="Sí",IF(DATOS!AY$4="Sí",(1/DATOS_[[% anualiz]:[% anualiz]]),1)*IF(DATOS!AY$5="Sí",1/DATOS_[[% normaliz]:[% normaliz]],1)*(DATOS_[Conc.Sal.21])))))))), 0)</f>
        <v>0</v>
      </c>
      <c r="AE26" s="250" t="n">
        <f aca="false" t="array" ref="AE26:AE26">IFERROR( (MEDIAN((IF(DATOS_[[Sexo]:[Sexo]]=$B26,IF(DATOS_[[AGRUP. VALOR. PTO.]:[AGRUP. VALOR. PTO.]]=$B24,IF(DATOS_[[Check Periodo Ref.]:[Check Periodo Ref.]]="Dentro",IF(DATOS_[[Check Equiparado]:[Check Equiparado]]="Sí",IF(DATOS!AZ$4="Sí",(1/DATOS_[[% anualiz]:[% anualiz]]),1)*IF(DATOS!AZ$5="Sí",1/DATOS_[[% normaliz]:[% normaliz]],1)*(DATOS_[Conc.Sal.22])))))))), 0)</f>
        <v>0</v>
      </c>
      <c r="AF26" s="250" t="n">
        <f aca="false" t="array" ref="AF26:AF26">IFERROR( (MEDIAN((IF(DATOS_[[Sexo]:[Sexo]]=$B26,IF(DATOS_[[AGRUP. VALOR. PTO.]:[AGRUP. VALOR. PTO.]]=$B24,IF(DATOS_[[Check Periodo Ref.]:[Check Periodo Ref.]]="Dentro",IF(DATOS_[[Check Equiparado]:[Check Equiparado]]="Sí",IF(DATOS!BA$4="Sí",(1/DATOS_[[% anualiz]:[% anualiz]]),1)*IF(DATOS!BA$5="Sí",1/DATOS_[[% normaliz]:[% normaliz]],1)*(DATOS_[Conc.Sal.23])))))))), 0)</f>
        <v>0</v>
      </c>
      <c r="AG26" s="250" t="n">
        <f aca="false" t="array" ref="AG26:AG26">IFERROR( (MEDIAN((IF(DATOS_[[Sexo]:[Sexo]]=$B26,IF(DATOS_[[AGRUP. VALOR. PTO.]:[AGRUP. VALOR. PTO.]]=$B24,IF(DATOS_[[Check Periodo Ref.]:[Check Periodo Ref.]]="Dentro",IF(DATOS_[[Check Equiparado]:[Check Equiparado]]="Sí",IF(DATOS!BB$4="Sí",(1/DATOS_[[% anualiz]:[% anualiz]]),1)*IF(DATOS!BB$5="Sí",1/DATOS_[[% normaliz]:[% normaliz]],1)*(DATOS_[Conc.Sal.24])))))))), 0)</f>
        <v>0</v>
      </c>
      <c r="AH26" s="250" t="n">
        <f aca="false" t="array" ref="AH26:AH26">IFERROR( (MEDIAN((IF(DATOS_[[Sexo]:[Sexo]]=$B26,IF(DATOS_[[AGRUP. VALOR. PTO.]:[AGRUP. VALOR. PTO.]]=$B24,IF(DATOS_[[Check Periodo Ref.]:[Check Periodo Ref.]]="Dentro",IF(DATOS_[[Check Equiparado]:[Check Equiparado]]="Sí",IF(DATOS!BC$4="Sí",(1/DATOS_[[% anualiz]:[% anualiz]]),1)*IF(DATOS!BC$5="Sí",1/DATOS_[[% normaliz]:[% normaliz]],1)*(DATOS_[Conc.Sal.25])))))))), 0)</f>
        <v>0</v>
      </c>
      <c r="AI26" s="250" t="n">
        <f aca="false" t="array" ref="AI26:AI26">IFERROR( (MEDIAN((IF(DATOS_[[Sexo]:[Sexo]]=$B26,IF(DATOS_[[AGRUP. VALOR. PTO.]:[AGRUP. VALOR. PTO.]]=$B24,IF(DATOS_[[Check Periodo Ref.]:[Check Periodo Ref.]]="Dentro",IF(DATOS_[[Check Equiparado]:[Check Equiparado]]="Sí",IF(DATOS!BD$4="Sí",(1/DATOS_[[% anualiz]:[% anualiz]]),1)*IF(DATOS!BD$5="Sí",1/DATOS_[[% normaliz]:[% normaliz]],1)*(DATOS_[Conc.Sal.26])))))))), 0)</f>
        <v>0</v>
      </c>
      <c r="AJ26" s="250" t="n">
        <f aca="false" t="array" ref="AJ26:AJ26">IFERROR( (MEDIAN((IF(DATOS_[[Sexo]:[Sexo]]=$B26,IF(DATOS_[[AGRUP. VALOR. PTO.]:[AGRUP. VALOR. PTO.]]=$B24,IF(DATOS_[[Check Periodo Ref.]:[Check Periodo Ref.]]="Dentro",IF(DATOS_[[Check Equiparado]:[Check Equiparado]]="Sí",IF(DATOS!BE$4="Sí",(1/DATOS_[[% anualiz]:[% anualiz]]),1)*IF(DATOS!BE$5="Sí",1/DATOS_[[% normaliz]:[% normaliz]],1)*(DATOS_[Conc.Sal.27])))))))), 0)</f>
        <v>0</v>
      </c>
      <c r="AK26" s="250" t="n">
        <f aca="false" t="array" ref="AK26:AK26">IFERROR( (MEDIAN((IF(DATOS_[[Sexo]:[Sexo]]=$B26,IF(DATOS_[[AGRUP. VALOR. PTO.]:[AGRUP. VALOR. PTO.]]=$B24,IF(DATOS_[[Check Periodo Ref.]:[Check Periodo Ref.]]="Dentro",IF(DATOS_[[Check Equiparado]:[Check Equiparado]]="Sí",IF(DATOS!BF$4="Sí",(1/DATOS_[[% anualiz]:[% anualiz]]),1)*IF(DATOS!BF$5="Sí",1/DATOS_[[% normaliz]:[% normaliz]],1)*(DATOS_[Conc.Sal.28])))))))), 0)</f>
        <v>0</v>
      </c>
      <c r="AL26" s="250" t="n">
        <f aca="false" t="array" ref="AL26:AL26">IFERROR( (MEDIAN((IF(DATOS_[[Sexo]:[Sexo]]=$B26,IF(DATOS_[[AGRUP. VALOR. PTO.]:[AGRUP. VALOR. PTO.]]=$B24,IF(DATOS_[[Check Periodo Ref.]:[Check Periodo Ref.]]="Dentro",IF(DATOS_[[Check Equiparado]:[Check Equiparado]]="Sí",IF(DATOS!BG$4="Sí",(1/DATOS_[[% anualiz]:[% anualiz]]),1)*IF(DATOS!BG$5="Sí",1/DATOS_[[% normaliz]:[% normaliz]],1)*(DATOS_[Conc.Sal.29])))))))), 0)</f>
        <v>0</v>
      </c>
      <c r="AM26" s="250" t="n">
        <f aca="false" t="array" ref="AM26:AM26">IFERROR( (MEDIAN((IF(DATOS_[[Sexo]:[Sexo]]=$B26,IF(DATOS_[[AGRUP. VALOR. PTO.]:[AGRUP. VALOR. PTO.]]=$B24,IF(DATOS_[[Check Periodo Ref.]:[Check Periodo Ref.]]="Dentro",IF(DATOS_[[Check Equiparado]:[Check Equiparado]]="Sí",IF(DATOS!BH$4="Sí",(1/DATOS_[[% anualiz]:[% anualiz]]),1)*IF(DATOS!BH$5="Sí",1/DATOS_[[% normaliz]:[% normaliz]],1)*(DATOS_[Conc.Sal.30])))))))), 0)</f>
        <v>0</v>
      </c>
      <c r="AN26" s="251" t="n">
        <f aca="false" t="array" ref="AN26:AN26">IFERROR( MEDIAN(IF(DATOS_[Sexo]=$B26,IF(DATOS_[[AGRUP. VALOR. PTO.]:[AGRUP. VALOR. PTO.]]=$B24,IF(DATOS_[Check Equiparado]="Sí",IF(DATOS_[Check Periodo Ref.]="Dentro",DATOS_[Tot COMPL.SAL Eq],0))))), 0)</f>
        <v>0</v>
      </c>
      <c r="AO26" s="252" t="n">
        <f aca="false" t="array" ref="AO26:AO26">IFERROR( MEDIAN(IF(DATOS_[Sexo]=$B26,IF(DATOS_[[AGRUP. VALOR. PTO.]:[AGRUP. VALOR. PTO.]]=$B24,IF(DATOS_[Check Equiparado]="Sí",IF(DATOS_[Check Periodo Ref.]="Dentro",DATOS_[TOTAL SALARIO Eq],0))))), 0)</f>
        <v>0</v>
      </c>
      <c r="AP26" s="259" t="n">
        <f aca="false" t="array" ref="AP26:AP26">IFERROR( (MEDIAN((IF(DATOS_[[Sexo]:[Sexo]]=$B26,IF(DATOS_[[AGRUP. VALOR. PTO.]:[AGRUP. VALOR. PTO.]]=$B25,IF(DATOS_[[Check Periodo Ref.]:[Check Periodo Ref.]]="Dentro",IF(DATOS_[[Check Equiparado]:[Check Equiparado]]="Sí",IF(DATOS!BI$4="Sí",(1/DATOS_[[% anualiz]:[% anualiz]]),1)*IF(DATOS!BI$5="Sí",1/DATOS_[[% normaliz]:[% normaliz]],1)*(DATOS_[C.Extra.01])))))))), 0)</f>
        <v>0</v>
      </c>
      <c r="AQ26" s="259" t="n">
        <f aca="false" t="array" ref="AQ26:AQ26">IFERROR( (MEDIAN((IF(DATOS_[[Sexo]:[Sexo]]=$B26,IF(DATOS_[[AGRUP. VALOR. PTO.]:[AGRUP. VALOR. PTO.]]=$B25,IF(DATOS_[[Check Periodo Ref.]:[Check Periodo Ref.]]="Dentro",IF(DATOS_[[Check Equiparado]:[Check Equiparado]]="Sí",IF(DATOS!BJ$4="Sí",(1/DATOS_[[% anualiz]:[% anualiz]]),1)*IF(DATOS!BJ$5="Sí",1/DATOS_[[% normaliz]:[% normaliz]],1)*(DATOS_[C.Extra.02])))))))), 0)</f>
        <v>0</v>
      </c>
      <c r="AR26" s="259" t="n">
        <f aca="false" t="array" ref="AR26:AR26">IFERROR( (MEDIAN((IF(DATOS_[[Sexo]:[Sexo]]=$B26,IF(DATOS_[[AGRUP. VALOR. PTO.]:[AGRUP. VALOR. PTO.]]=$B25,IF(DATOS_[[Check Periodo Ref.]:[Check Periodo Ref.]]="Dentro",IF(DATOS_[[Check Equiparado]:[Check Equiparado]]="Sí",IF(DATOS!BK$4="Sí",(1/DATOS_[[% anualiz]:[% anualiz]]),1)*IF(DATOS!BK$5="Sí",1/DATOS_[[% normaliz]:[% normaliz]],1)*(DATOS_[C.Extra.03])))))))), 0)</f>
        <v>0</v>
      </c>
      <c r="AS26" s="259" t="n">
        <f aca="false" t="array" ref="AS26:AS26">IFERROR( (MEDIAN((IF(DATOS_[[Sexo]:[Sexo]]=$B26,IF(DATOS_[[AGRUP. VALOR. PTO.]:[AGRUP. VALOR. PTO.]]=$B25,IF(DATOS_[[Check Periodo Ref.]:[Check Periodo Ref.]]="Dentro",IF(DATOS_[[Check Equiparado]:[Check Equiparado]]="Sí",IF(DATOS!BL$4="Sí",(1/DATOS_[[% anualiz]:[% anualiz]]),1)*IF(DATOS!BL$5="Sí",1/DATOS_[[% normaliz]:[% normaliz]],1)*(DATOS_[C.Extra.04])))))))), 0)</f>
        <v>0</v>
      </c>
      <c r="AT26" s="259" t="n">
        <f aca="false" t="array" ref="AT26:AT26">IFERROR( (MEDIAN((IF(DATOS_[[Sexo]:[Sexo]]=$B26,IF(DATOS_[[AGRUP. VALOR. PTO.]:[AGRUP. VALOR. PTO.]]=$B25,IF(DATOS_[[Check Periodo Ref.]:[Check Periodo Ref.]]="Dentro",IF(DATOS_[[Check Equiparado]:[Check Equiparado]]="Sí",IF(DATOS!BM$4="Sí",(1/DATOS_[[% anualiz]:[% anualiz]]),1)*IF(DATOS!BM$5="Sí",1/DATOS_[[% normaliz]:[% normaliz]],1)*(DATOS_[C.Extra.05])))))))), 0)</f>
        <v>0</v>
      </c>
      <c r="AU26" s="254" t="n">
        <f aca="false" t="array" ref="AU26:AU26">IFERROR( MEDIAN(IF(DATOS_[Sexo]=$B26,IF(DATOS_[[AGRUP. VALOR. PTO.]:[AGRUP. VALOR. PTO.]]=$B24,IF(DATOS_[Check Equiparado]="Sí",IF(DATOS_[Check Periodo Ref.]="Dentro",DATOS_[Tot Extrasalarial Eq],0))))), 0)</f>
        <v>0</v>
      </c>
      <c r="AV26" s="255" t="n">
        <f aca="false" t="array" ref="AV26:AV26">IFERROR( MEDIAN(IF(DATOS_[Sexo]=$B26,IF(DATOS_[[AGRUP. VALOR. PTO.]:[AGRUP. VALOR. PTO.]]=$B24,IF(DATOS_[Check Equiparado]="Sí",IF(DATOS_[Check Periodo Ref.]="Dentro",DATOS_[TOTAL Retrib Eq],0))))), 0)</f>
        <v>0</v>
      </c>
    </row>
    <row r="27" customFormat="false" ht="15.75" hidden="false" customHeight="false" outlineLevel="0" collapsed="false">
      <c r="A27" s="217" t="str">
        <f aca="false">+A28</f>
        <v>[ocultar]</v>
      </c>
      <c r="B27" s="320" t="s">
        <v>182</v>
      </c>
      <c r="C27" s="236"/>
      <c r="D27" s="237"/>
      <c r="E27" s="237"/>
      <c r="F27" s="237"/>
      <c r="G27" s="237"/>
      <c r="H27" s="237"/>
      <c r="I27" s="238" t="str">
        <f aca="false">IFERROR((I28-I29)/I28,"")</f>
        <v/>
      </c>
      <c r="J27" s="239" t="str">
        <f aca="false">IFERROR((J28-J29)/J28,"")</f>
        <v/>
      </c>
      <c r="K27" s="239" t="str">
        <f aca="false">IFERROR((K28-K29)/K28,"")</f>
        <v/>
      </c>
      <c r="L27" s="239" t="str">
        <f aca="false">IFERROR((L28-L29)/L28,"")</f>
        <v/>
      </c>
      <c r="M27" s="239" t="str">
        <f aca="false">IFERROR((M28-M29)/M28,"")</f>
        <v/>
      </c>
      <c r="N27" s="239" t="str">
        <f aca="false">IFERROR((N28-N29)/N28,"")</f>
        <v/>
      </c>
      <c r="O27" s="239" t="str">
        <f aca="false">IFERROR((O28-O29)/O28,"")</f>
        <v/>
      </c>
      <c r="P27" s="239" t="str">
        <f aca="false">IFERROR((P28-P29)/P28,"")</f>
        <v/>
      </c>
      <c r="Q27" s="239" t="str">
        <f aca="false">IFERROR((Q28-Q29)/Q28,"")</f>
        <v/>
      </c>
      <c r="R27" s="239" t="str">
        <f aca="false">IFERROR((R28-R29)/R28,"")</f>
        <v/>
      </c>
      <c r="S27" s="239" t="str">
        <f aca="false">IFERROR((S28-S29)/S28,"")</f>
        <v/>
      </c>
      <c r="T27" s="239" t="str">
        <f aca="false">IFERROR((T28-T29)/T28,"")</f>
        <v/>
      </c>
      <c r="U27" s="239" t="str">
        <f aca="false">IFERROR((U28-U29)/U28,"")</f>
        <v/>
      </c>
      <c r="V27" s="239" t="str">
        <f aca="false">IFERROR((V28-V29)/V28,"")</f>
        <v/>
      </c>
      <c r="W27" s="239" t="str">
        <f aca="false">IFERROR((W28-W29)/W28,"")</f>
        <v/>
      </c>
      <c r="X27" s="239" t="str">
        <f aca="false">IFERROR((X28-X29)/X28,"")</f>
        <v/>
      </c>
      <c r="Y27" s="239" t="str">
        <f aca="false">IFERROR((Y28-Y29)/Y28,"")</f>
        <v/>
      </c>
      <c r="Z27" s="240" t="str">
        <f aca="false">IFERROR((Z28-Z29)/Z28,"")</f>
        <v/>
      </c>
      <c r="AA27" s="240" t="str">
        <f aca="false">IFERROR((AA28-AA29)/AA28,"")</f>
        <v/>
      </c>
      <c r="AB27" s="240" t="str">
        <f aca="false">IFERROR((AB28-AB29)/AB28,"")</f>
        <v/>
      </c>
      <c r="AC27" s="240" t="str">
        <f aca="false">IFERROR((AC28-AC29)/AC28,"")</f>
        <v/>
      </c>
      <c r="AD27" s="240" t="str">
        <f aca="false">IFERROR((AD28-AD29)/AD28,"")</f>
        <v/>
      </c>
      <c r="AE27" s="240" t="str">
        <f aca="false">IFERROR((AE28-AE29)/AE28,"")</f>
        <v/>
      </c>
      <c r="AF27" s="240" t="str">
        <f aca="false">IFERROR((AF28-AF29)/AF28,"")</f>
        <v/>
      </c>
      <c r="AG27" s="240" t="str">
        <f aca="false">IFERROR((AG28-AG29)/AG28,"")</f>
        <v/>
      </c>
      <c r="AH27" s="240" t="str">
        <f aca="false">IFERROR((AH28-AH29)/AH28,"")</f>
        <v/>
      </c>
      <c r="AI27" s="240" t="str">
        <f aca="false">IFERROR((AI28-AI29)/AI28,"")</f>
        <v/>
      </c>
      <c r="AJ27" s="240" t="str">
        <f aca="false">IFERROR((AJ28-AJ29)/AJ28,"")</f>
        <v/>
      </c>
      <c r="AK27" s="240" t="str">
        <f aca="false">IFERROR((AK28-AK29)/AK28,"")</f>
        <v/>
      </c>
      <c r="AL27" s="240" t="str">
        <f aca="false">IFERROR((AL28-AL29)/AL28,"")</f>
        <v/>
      </c>
      <c r="AM27" s="240" t="str">
        <f aca="false">IFERROR((AM28-AM29)/AM28,"")</f>
        <v/>
      </c>
      <c r="AN27" s="241" t="str">
        <f aca="false">IFERROR((AN28-AN29)/AN28,"")</f>
        <v/>
      </c>
      <c r="AO27" s="242" t="str">
        <f aca="false">IFERROR((AO28-AO29)/AO28,"")</f>
        <v/>
      </c>
      <c r="AP27" s="243" t="str">
        <f aca="false">IFERROR((AP28-AP29)/AP28,"")</f>
        <v/>
      </c>
      <c r="AQ27" s="243" t="str">
        <f aca="false">IFERROR((AQ28-AQ29)/AQ28,"")</f>
        <v/>
      </c>
      <c r="AR27" s="243" t="str">
        <f aca="false">IFERROR((AR28-AR29)/AR28,"")</f>
        <v/>
      </c>
      <c r="AS27" s="243" t="str">
        <f aca="false">IFERROR((AS28-AS29)/AS28,"")</f>
        <v/>
      </c>
      <c r="AT27" s="243" t="str">
        <f aca="false">IFERROR((AT28-AT29)/AT28,"")</f>
        <v/>
      </c>
      <c r="AU27" s="244" t="str">
        <f aca="false">IFERROR((AU28-AU29)/AU28,"")</f>
        <v/>
      </c>
      <c r="AV27" s="245" t="str">
        <f aca="false">IFERROR((AV28-AV29)/AV28,"")</f>
        <v/>
      </c>
    </row>
    <row r="28" customFormat="false" ht="14.25" hidden="false" customHeight="false" outlineLevel="0" collapsed="false">
      <c r="A28" s="217" t="str">
        <f aca="false">+IF(C28+C29=0,"[ocultar]","")</f>
        <v>[ocultar]</v>
      </c>
      <c r="B28" s="323" t="s">
        <v>371</v>
      </c>
      <c r="C28" s="247" t="n">
        <f aca="false" t="array" ref="C28:C28">SUM(IF($B28=DATOS_[Sexo], IF($B27=DATOS_[AGRUP. VALOR. PTO.], IF("Dentro"=DATOS_[Check Periodo Ref.], 1/(COUNTIFS(DATOS_[Sexo],$B28,DATOS_[AGRUP. VALOR. PTO.],$B27,DATOS_[Check Periodo Ref.],"Dentro",DATOS_[id],DATOS_[id]))))))</f>
        <v>0</v>
      </c>
      <c r="D28" s="248" t="n">
        <f aca="false">COUNTIFS(DATOS_[AGRUP. VALOR. PTO.],$B27,DATOS_[Sexo],$B28,DATOS_[Check Periodo Ref.],"Dentro")</f>
        <v>0</v>
      </c>
      <c r="E28" s="248" t="n">
        <f aca="false">COUNTIFS(DATOS_[AGRUP. VALOR. PTO.],$B27,DATOS_[Sexo],$B28,DATOS_[Check Periodo Ref.],"Dentro",DATOS_[Check Nº SC Norm],"Sí")</f>
        <v>0</v>
      </c>
      <c r="F28" s="248" t="n">
        <f aca="false">COUNTIFS(DATOS_[AGRUP. VALOR. PTO.],$B27,DATOS_[Sexo],$B28,DATOS_[Check Periodo Ref.],"Dentro",DATOS_[Check Nº SC Anualiz],"Sí")</f>
        <v>0</v>
      </c>
      <c r="G28" s="248" t="n">
        <f aca="false">COUNTIFS(DATOS_[AGRUP. VALOR. PTO.],$B27,DATOS_[Sexo],$B28,DATOS_[Check Periodo Ref.],"Dentro",DATOS_[Check Nº SC Norm y Anualiz],"Sí")</f>
        <v>0</v>
      </c>
      <c r="H28" s="248" t="n">
        <f aca="false">COUNTIFS(DATOS_[AGRUP. VALOR. PTO.],$B27,DATOS_[Sexo],$B28,DATOS_[Check Periodo Ref.],"Dentro",DATOS_[Check Equiparación],"Sí")</f>
        <v>0</v>
      </c>
      <c r="I28" s="249" t="n">
        <f aca="false" t="array" ref="I28:I28">IFERROR( MEDIAN(IF(DATOS_[Sexo]=$B28,IF(DATOS_[[AGRUP. VALOR. PTO.]:[AGRUP. VALOR. PTO.]]=$B27,IF(DATOS_[Check Equiparado]="Sí",IF(DATOS_[Check Periodo Ref.]="Dentro",DATOS_[SALARIO BASE Eq],0))))), 0)</f>
        <v>0</v>
      </c>
      <c r="J28" s="250" t="n">
        <f aca="false" t="array" ref="J28:J28">IFERROR( (MEDIAN((IF(DATOS_[[Sexo]:[Sexo]]=$B28,IF(DATOS_[[AGRUP. VALOR. PTO.]:[AGRUP. VALOR. PTO.]]=$B27,IF(DATOS_[[Check Periodo Ref.]:[Check Periodo Ref.]]="Dentro",IF(DATOS_[[Check Equiparado]:[Check Equiparado]]="Sí",IF(DATOS!AE$4="Sí",(1/DATOS_[[% anualiz]:[% anualiz]]),1)*IF(DATOS!AE$5="Sí",1/DATOS_[[% normaliz]:[% normaliz]],1)*(DATOS_[Conc.Sal.01])))))))), 0)</f>
        <v>0</v>
      </c>
      <c r="K28" s="250" t="n">
        <f aca="false" t="array" ref="K28:K28">IFERROR( (MEDIAN((IF(DATOS_[[Sexo]:[Sexo]]=$B28,IF(DATOS_[[AGRUP. VALOR. PTO.]:[AGRUP. VALOR. PTO.]]=$B27,IF(DATOS_[[Check Periodo Ref.]:[Check Periodo Ref.]]="Dentro",IF(DATOS_[[Check Equiparado]:[Check Equiparado]]="Sí",IF(DATOS!AF$4="Sí",(1/DATOS_[[% anualiz]:[% anualiz]]),1)*IF(DATOS!AF$5="Sí",1/DATOS_[[% normaliz]:[% normaliz]],1)*(DATOS_[Conc.Sal.02])))))))), 0)</f>
        <v>0</v>
      </c>
      <c r="L28" s="250" t="n">
        <f aca="false" t="array" ref="L28:L28">IFERROR( (MEDIAN((IF(DATOS_[[Sexo]:[Sexo]]=$B28,IF(DATOS_[[AGRUP. VALOR. PTO.]:[AGRUP. VALOR. PTO.]]=$B27,IF(DATOS_[[Check Periodo Ref.]:[Check Periodo Ref.]]="Dentro",IF(DATOS_[[Check Equiparado]:[Check Equiparado]]="Sí",IF(DATOS!AG$4="Sí",(1/DATOS_[[% anualiz]:[% anualiz]]),1)*IF(DATOS!AG$5="Sí",1/DATOS_[[% normaliz]:[% normaliz]],1)*(DATOS_[Conc.Sal.03])))))))), 0)</f>
        <v>0</v>
      </c>
      <c r="M28" s="250" t="n">
        <f aca="false" t="array" ref="M28:M28">IFERROR( (MEDIAN((IF(DATOS_[[Sexo]:[Sexo]]=$B28,IF(DATOS_[[AGRUP. VALOR. PTO.]:[AGRUP. VALOR. PTO.]]=$B27,IF(DATOS_[[Check Periodo Ref.]:[Check Periodo Ref.]]="Dentro",IF(DATOS_[[Check Equiparado]:[Check Equiparado]]="Sí",IF(DATOS!AH$4="Sí",(1/DATOS_[[% anualiz]:[% anualiz]]),1)*IF(DATOS!AH$5="Sí",1/DATOS_[[% normaliz]:[% normaliz]],1)*(DATOS_[Conc.Sal.04])))))))), 0)</f>
        <v>0</v>
      </c>
      <c r="N28" s="250" t="n">
        <f aca="false" t="array" ref="N28:N28">IFERROR( (MEDIAN((IF(DATOS_[[Sexo]:[Sexo]]=$B28,IF(DATOS_[[AGRUP. VALOR. PTO.]:[AGRUP. VALOR. PTO.]]=$B27,IF(DATOS_[[Check Periodo Ref.]:[Check Periodo Ref.]]="Dentro",IF(DATOS_[[Check Equiparado]:[Check Equiparado]]="Sí",IF(DATOS!AI$4="Sí",(1/DATOS_[[% anualiz]:[% anualiz]]),1)*IF(DATOS!AI$5="Sí",1/DATOS_[[% normaliz]:[% normaliz]],1)*(DATOS_[Conc.Sal.05])))))))), 0)</f>
        <v>0</v>
      </c>
      <c r="O28" s="250" t="n">
        <f aca="false" t="array" ref="O28:O28">IFERROR( (MEDIAN((IF(DATOS_[[Sexo]:[Sexo]]=$B28,IF(DATOS_[[AGRUP. VALOR. PTO.]:[AGRUP. VALOR. PTO.]]=$B27,IF(DATOS_[[Check Periodo Ref.]:[Check Periodo Ref.]]="Dentro",IF(DATOS_[[Check Equiparado]:[Check Equiparado]]="Sí",IF(DATOS!AJ$4="Sí",(1/DATOS_[[% anualiz]:[% anualiz]]),1)*IF(DATOS!AJ$5="Sí",1/DATOS_[[% normaliz]:[% normaliz]],1)*(DATOS_[Conc.Sal.06])))))))), 0)</f>
        <v>0</v>
      </c>
      <c r="P28" s="250" t="n">
        <f aca="false" t="array" ref="P28:P28">IFERROR( (MEDIAN((IF(DATOS_[[Sexo]:[Sexo]]=$B28,IF(DATOS_[[AGRUP. VALOR. PTO.]:[AGRUP. VALOR. PTO.]]=$B27,IF(DATOS_[[Check Periodo Ref.]:[Check Periodo Ref.]]="Dentro",IF(DATOS_[[Check Equiparado]:[Check Equiparado]]="Sí",IF(DATOS!AK$4="Sí",(1/DATOS_[[% anualiz]:[% anualiz]]),1)*IF(DATOS!AK$5="Sí",1/DATOS_[[% normaliz]:[% normaliz]],1)*(DATOS_[Conc.Sal.07])))))))), 0)</f>
        <v>0</v>
      </c>
      <c r="Q28" s="250" t="n">
        <f aca="false" t="array" ref="Q28:Q28">IFERROR( (MEDIAN((IF(DATOS_[[Sexo]:[Sexo]]=$B28,IF(DATOS_[[AGRUP. VALOR. PTO.]:[AGRUP. VALOR. PTO.]]=$B27,IF(DATOS_[[Check Periodo Ref.]:[Check Periodo Ref.]]="Dentro",IF(DATOS_[[Check Equiparado]:[Check Equiparado]]="Sí",IF(DATOS!AL$4="Sí",(1/DATOS_[[% anualiz]:[% anualiz]]),1)*IF(DATOS!AL$5="Sí",1/DATOS_[[% normaliz]:[% normaliz]],1)*(DATOS_[Conc.Sal.08])))))))), 0)</f>
        <v>0</v>
      </c>
      <c r="R28" s="250" t="n">
        <f aca="false" t="array" ref="R28:R28">IFERROR( (MEDIAN((IF(DATOS_[[Sexo]:[Sexo]]=$B28,IF(DATOS_[[AGRUP. VALOR. PTO.]:[AGRUP. VALOR. PTO.]]=$B27,IF(DATOS_[[Check Periodo Ref.]:[Check Periodo Ref.]]="Dentro",IF(DATOS_[[Check Equiparado]:[Check Equiparado]]="Sí",IF(DATOS!AM$4="Sí",(1/DATOS_[[% anualiz]:[% anualiz]]),1)*IF(DATOS!AM$5="Sí",1/DATOS_[[% normaliz]:[% normaliz]],1)*(DATOS_[Conc.Sal.09])))))))), 0)</f>
        <v>0</v>
      </c>
      <c r="S28" s="250" t="n">
        <f aca="false" t="array" ref="S28:S28">IFERROR( (MEDIAN((IF(DATOS_[[Sexo]:[Sexo]]=$B28,IF(DATOS_[[AGRUP. VALOR. PTO.]:[AGRUP. VALOR. PTO.]]=$B27,IF(DATOS_[[Check Periodo Ref.]:[Check Periodo Ref.]]="Dentro",IF(DATOS_[[Check Equiparado]:[Check Equiparado]]="Sí",IF(DATOS!AN$4="Sí",(1/DATOS_[[% anualiz]:[% anualiz]]),1)*IF(DATOS!AN$5="Sí",1/DATOS_[[% normaliz]:[% normaliz]],1)*(DATOS_[Conc.Sal.10])))))))), 0)</f>
        <v>0</v>
      </c>
      <c r="T28" s="250" t="n">
        <f aca="false" t="array" ref="T28:T28">IFERROR( (MEDIAN((IF(DATOS_[[Sexo]:[Sexo]]=$B28,IF(DATOS_[[AGRUP. VALOR. PTO.]:[AGRUP. VALOR. PTO.]]=$B27,IF(DATOS_[[Check Periodo Ref.]:[Check Periodo Ref.]]="Dentro",IF(DATOS_[[Check Equiparado]:[Check Equiparado]]="Sí",IF(DATOS!AO$4="Sí",(1/DATOS_[[% anualiz]:[% anualiz]]),1)*IF(DATOS!AO$5="Sí",1/DATOS_[[% normaliz]:[% normaliz]],1)*(DATOS_[Conc.Sal.11])))))))), 0)</f>
        <v>0</v>
      </c>
      <c r="U28" s="250" t="n">
        <f aca="false" t="array" ref="U28:U28">IFERROR( (MEDIAN((IF(DATOS_[[Sexo]:[Sexo]]=$B28,IF(DATOS_[[AGRUP. VALOR. PTO.]:[AGRUP. VALOR. PTO.]]=$B27,IF(DATOS_[[Check Periodo Ref.]:[Check Periodo Ref.]]="Dentro",IF(DATOS_[[Check Equiparado]:[Check Equiparado]]="Sí",IF(DATOS!AP$4="Sí",(1/DATOS_[[% anualiz]:[% anualiz]]),1)*IF(DATOS!AP$5="Sí",1/DATOS_[[% normaliz]:[% normaliz]],1)*(DATOS_[Conc.Sal.12])))))))), 0)</f>
        <v>0</v>
      </c>
      <c r="V28" s="250" t="n">
        <f aca="false" t="array" ref="V28:V28">IFERROR( (MEDIAN((IF(DATOS_[[Sexo]:[Sexo]]=$B28,IF(DATOS_[[AGRUP. VALOR. PTO.]:[AGRUP. VALOR. PTO.]]=$B27,IF(DATOS_[[Check Periodo Ref.]:[Check Periodo Ref.]]="Dentro",IF(DATOS_[[Check Equiparado]:[Check Equiparado]]="Sí",IF(DATOS!AQ$4="Sí",(1/DATOS_[[% anualiz]:[% anualiz]]),1)*IF(DATOS!AQ$5="Sí",1/DATOS_[[% normaliz]:[% normaliz]],1)*(DATOS_[Conc.Sal.13])))))))), 0)</f>
        <v>0</v>
      </c>
      <c r="W28" s="250" t="n">
        <f aca="false" t="array" ref="W28:W28">IFERROR( (MEDIAN((IF(DATOS_[[Sexo]:[Sexo]]=$B28,IF(DATOS_[[AGRUP. VALOR. PTO.]:[AGRUP. VALOR. PTO.]]=$B27,IF(DATOS_[[Check Periodo Ref.]:[Check Periodo Ref.]]="Dentro",IF(DATOS_[[Check Equiparado]:[Check Equiparado]]="Sí",IF(DATOS!AR$4="Sí",(1/DATOS_[[% anualiz]:[% anualiz]]),1)*IF(DATOS!AR$5="Sí",1/DATOS_[[% normaliz]:[% normaliz]],1)*(DATOS_[Conc.Sal.14])))))))), 0)</f>
        <v>0</v>
      </c>
      <c r="X28" s="250" t="n">
        <f aca="false" t="array" ref="X28:X28">IFERROR( (MEDIAN((IF(DATOS_[[Sexo]:[Sexo]]=$B28,IF(DATOS_[[AGRUP. VALOR. PTO.]:[AGRUP. VALOR. PTO.]]=$B27,IF(DATOS_[[Check Periodo Ref.]:[Check Periodo Ref.]]="Dentro",IF(DATOS_[[Check Equiparado]:[Check Equiparado]]="Sí",IF(DATOS!AS$4="Sí",(1/DATOS_[[% anualiz]:[% anualiz]]),1)*IF(DATOS!AS$5="Sí",1/DATOS_[[% normaliz]:[% normaliz]],1)*(DATOS_[Conc.Sal.15])))))))), 0)</f>
        <v>0</v>
      </c>
      <c r="Y28" s="250" t="n">
        <f aca="false" t="array" ref="Y28:Y28">IFERROR( (MEDIAN((IF(DATOS_[[Sexo]:[Sexo]]=$B28,IF(DATOS_[[AGRUP. VALOR. PTO.]:[AGRUP. VALOR. PTO.]]=$B27,IF(DATOS_[[Check Periodo Ref.]:[Check Periodo Ref.]]="Dentro",IF(DATOS_[[Check Equiparado]:[Check Equiparado]]="Sí",IF(DATOS!AT$4="Sí",(1/DATOS_[[% anualiz]:[% anualiz]]),1)*IF(DATOS!AT$5="Sí",1/DATOS_[[% normaliz]:[% normaliz]],1)*(DATOS_[Conc.Sal.16])))))))), 0)</f>
        <v>0</v>
      </c>
      <c r="Z28" s="250" t="n">
        <f aca="false" t="array" ref="Z28:Z28">IFERROR( (MEDIAN((IF(DATOS_[[Sexo]:[Sexo]]=$B28,IF(DATOS_[[AGRUP. VALOR. PTO.]:[AGRUP. VALOR. PTO.]]=$B27,IF(DATOS_[[Check Periodo Ref.]:[Check Periodo Ref.]]="Dentro",IF(DATOS_[[Check Equiparado]:[Check Equiparado]]="Sí",IF(DATOS!AU$4="Sí",(1/DATOS_[[% anualiz]:[% anualiz]]),1)*IF(DATOS!AU$5="Sí",1/DATOS_[[% normaliz]:[% normaliz]],1)*(DATOS_[Conc.Sal.17])))))))), 0)</f>
        <v>0</v>
      </c>
      <c r="AA28" s="250" t="n">
        <f aca="false" t="array" ref="AA28:AA28">IFERROR( (MEDIAN((IF(DATOS_[[Sexo]:[Sexo]]=$B28,IF(DATOS_[[AGRUP. VALOR. PTO.]:[AGRUP. VALOR. PTO.]]=$B27,IF(DATOS_[[Check Periodo Ref.]:[Check Periodo Ref.]]="Dentro",IF(DATOS_[[Check Equiparado]:[Check Equiparado]]="Sí",IF(DATOS!AV$4="Sí",(1/DATOS_[[% anualiz]:[% anualiz]]),1)*IF(DATOS!AV$5="Sí",1/DATOS_[[% normaliz]:[% normaliz]],1)*(DATOS_[Conc.Sal.18])))))))), 0)</f>
        <v>0</v>
      </c>
      <c r="AB28" s="250" t="n">
        <f aca="false" t="array" ref="AB28:AB28">IFERROR( (MEDIAN((IF(DATOS_[[Sexo]:[Sexo]]=$B28,IF(DATOS_[[AGRUP. VALOR. PTO.]:[AGRUP. VALOR. PTO.]]=$B27,IF(DATOS_[[Check Periodo Ref.]:[Check Periodo Ref.]]="Dentro",IF(DATOS_[[Check Equiparado]:[Check Equiparado]]="Sí",IF(DATOS!AW$4="Sí",(1/DATOS_[[% anualiz]:[% anualiz]]),1)*IF(DATOS!AW$5="Sí",1/DATOS_[[% normaliz]:[% normaliz]],1)*(DATOS_[Conc.Sal.19])))))))), 0)</f>
        <v>0</v>
      </c>
      <c r="AC28" s="250" t="n">
        <f aca="false" t="array" ref="AC28:AC28">IFERROR( (MEDIAN((IF(DATOS_[[Sexo]:[Sexo]]=$B28,IF(DATOS_[[AGRUP. VALOR. PTO.]:[AGRUP. VALOR. PTO.]]=$B27,IF(DATOS_[[Check Periodo Ref.]:[Check Periodo Ref.]]="Dentro",IF(DATOS_[[Check Equiparado]:[Check Equiparado]]="Sí",IF(DATOS!AX$4="Sí",(1/DATOS_[[% anualiz]:[% anualiz]]),1)*IF(DATOS!AX$5="Sí",1/DATOS_[[% normaliz]:[% normaliz]],1)*(DATOS_[Conc.Sal.20])))))))), 0)</f>
        <v>0</v>
      </c>
      <c r="AD28" s="250" t="n">
        <f aca="false" t="array" ref="AD28:AD28">IFERROR( (MEDIAN((IF(DATOS_[[Sexo]:[Sexo]]=$B28,IF(DATOS_[[AGRUP. VALOR. PTO.]:[AGRUP. VALOR. PTO.]]=$B27,IF(DATOS_[[Check Periodo Ref.]:[Check Periodo Ref.]]="Dentro",IF(DATOS_[[Check Equiparado]:[Check Equiparado]]="Sí",IF(DATOS!AY$4="Sí",(1/DATOS_[[% anualiz]:[% anualiz]]),1)*IF(DATOS!AY$5="Sí",1/DATOS_[[% normaliz]:[% normaliz]],1)*(DATOS_[Conc.Sal.21])))))))), 0)</f>
        <v>0</v>
      </c>
      <c r="AE28" s="250" t="n">
        <f aca="false" t="array" ref="AE28:AE28">IFERROR( (MEDIAN((IF(DATOS_[[Sexo]:[Sexo]]=$B28,IF(DATOS_[[AGRUP. VALOR. PTO.]:[AGRUP. VALOR. PTO.]]=$B27,IF(DATOS_[[Check Periodo Ref.]:[Check Periodo Ref.]]="Dentro",IF(DATOS_[[Check Equiparado]:[Check Equiparado]]="Sí",IF(DATOS!AZ$4="Sí",(1/DATOS_[[% anualiz]:[% anualiz]]),1)*IF(DATOS!AZ$5="Sí",1/DATOS_[[% normaliz]:[% normaliz]],1)*(DATOS_[Conc.Sal.22])))))))), 0)</f>
        <v>0</v>
      </c>
      <c r="AF28" s="250" t="n">
        <f aca="false" t="array" ref="AF28:AF28">IFERROR( (MEDIAN((IF(DATOS_[[Sexo]:[Sexo]]=$B28,IF(DATOS_[[AGRUP. VALOR. PTO.]:[AGRUP. VALOR. PTO.]]=$B27,IF(DATOS_[[Check Periodo Ref.]:[Check Periodo Ref.]]="Dentro",IF(DATOS_[[Check Equiparado]:[Check Equiparado]]="Sí",IF(DATOS!BA$4="Sí",(1/DATOS_[[% anualiz]:[% anualiz]]),1)*IF(DATOS!BA$5="Sí",1/DATOS_[[% normaliz]:[% normaliz]],1)*(DATOS_[Conc.Sal.23])))))))), 0)</f>
        <v>0</v>
      </c>
      <c r="AG28" s="250" t="n">
        <f aca="false" t="array" ref="AG28:AG28">IFERROR( (MEDIAN((IF(DATOS_[[Sexo]:[Sexo]]=$B28,IF(DATOS_[[AGRUP. VALOR. PTO.]:[AGRUP. VALOR. PTO.]]=$B27,IF(DATOS_[[Check Periodo Ref.]:[Check Periodo Ref.]]="Dentro",IF(DATOS_[[Check Equiparado]:[Check Equiparado]]="Sí",IF(DATOS!BB$4="Sí",(1/DATOS_[[% anualiz]:[% anualiz]]),1)*IF(DATOS!BB$5="Sí",1/DATOS_[[% normaliz]:[% normaliz]],1)*(DATOS_[Conc.Sal.24])))))))), 0)</f>
        <v>0</v>
      </c>
      <c r="AH28" s="250" t="n">
        <f aca="false" t="array" ref="AH28:AH28">IFERROR( (MEDIAN((IF(DATOS_[[Sexo]:[Sexo]]=$B28,IF(DATOS_[[AGRUP. VALOR. PTO.]:[AGRUP. VALOR. PTO.]]=$B27,IF(DATOS_[[Check Periodo Ref.]:[Check Periodo Ref.]]="Dentro",IF(DATOS_[[Check Equiparado]:[Check Equiparado]]="Sí",IF(DATOS!BC$4="Sí",(1/DATOS_[[% anualiz]:[% anualiz]]),1)*IF(DATOS!BC$5="Sí",1/DATOS_[[% normaliz]:[% normaliz]],1)*(DATOS_[Conc.Sal.25])))))))), 0)</f>
        <v>0</v>
      </c>
      <c r="AI28" s="250" t="n">
        <f aca="false" t="array" ref="AI28:AI28">IFERROR( (MEDIAN((IF(DATOS_[[Sexo]:[Sexo]]=$B28,IF(DATOS_[[AGRUP. VALOR. PTO.]:[AGRUP. VALOR. PTO.]]=$B27,IF(DATOS_[[Check Periodo Ref.]:[Check Periodo Ref.]]="Dentro",IF(DATOS_[[Check Equiparado]:[Check Equiparado]]="Sí",IF(DATOS!BD$4="Sí",(1/DATOS_[[% anualiz]:[% anualiz]]),1)*IF(DATOS!BD$5="Sí",1/DATOS_[[% normaliz]:[% normaliz]],1)*(DATOS_[Conc.Sal.26])))))))), 0)</f>
        <v>0</v>
      </c>
      <c r="AJ28" s="250" t="n">
        <f aca="false" t="array" ref="AJ28:AJ28">IFERROR( (MEDIAN((IF(DATOS_[[Sexo]:[Sexo]]=$B28,IF(DATOS_[[AGRUP. VALOR. PTO.]:[AGRUP. VALOR. PTO.]]=$B27,IF(DATOS_[[Check Periodo Ref.]:[Check Periodo Ref.]]="Dentro",IF(DATOS_[[Check Equiparado]:[Check Equiparado]]="Sí",IF(DATOS!BE$4="Sí",(1/DATOS_[[% anualiz]:[% anualiz]]),1)*IF(DATOS!BE$5="Sí",1/DATOS_[[% normaliz]:[% normaliz]],1)*(DATOS_[Conc.Sal.27])))))))), 0)</f>
        <v>0</v>
      </c>
      <c r="AK28" s="250" t="n">
        <f aca="false" t="array" ref="AK28:AK28">IFERROR( (MEDIAN((IF(DATOS_[[Sexo]:[Sexo]]=$B28,IF(DATOS_[[AGRUP. VALOR. PTO.]:[AGRUP. VALOR. PTO.]]=$B27,IF(DATOS_[[Check Periodo Ref.]:[Check Periodo Ref.]]="Dentro",IF(DATOS_[[Check Equiparado]:[Check Equiparado]]="Sí",IF(DATOS!BF$4="Sí",(1/DATOS_[[% anualiz]:[% anualiz]]),1)*IF(DATOS!BF$5="Sí",1/DATOS_[[% normaliz]:[% normaliz]],1)*(DATOS_[Conc.Sal.28])))))))), 0)</f>
        <v>0</v>
      </c>
      <c r="AL28" s="250" t="n">
        <f aca="false" t="array" ref="AL28:AL28">IFERROR( (MEDIAN((IF(DATOS_[[Sexo]:[Sexo]]=$B28,IF(DATOS_[[AGRUP. VALOR. PTO.]:[AGRUP. VALOR. PTO.]]=$B27,IF(DATOS_[[Check Periodo Ref.]:[Check Periodo Ref.]]="Dentro",IF(DATOS_[[Check Equiparado]:[Check Equiparado]]="Sí",IF(DATOS!BG$4="Sí",(1/DATOS_[[% anualiz]:[% anualiz]]),1)*IF(DATOS!BG$5="Sí",1/DATOS_[[% normaliz]:[% normaliz]],1)*(DATOS_[Conc.Sal.29])))))))), 0)</f>
        <v>0</v>
      </c>
      <c r="AM28" s="250" t="n">
        <f aca="false" t="array" ref="AM28:AM28">IFERROR( (MEDIAN((IF(DATOS_[[Sexo]:[Sexo]]=$B28,IF(DATOS_[[AGRUP. VALOR. PTO.]:[AGRUP. VALOR. PTO.]]=$B27,IF(DATOS_[[Check Periodo Ref.]:[Check Periodo Ref.]]="Dentro",IF(DATOS_[[Check Equiparado]:[Check Equiparado]]="Sí",IF(DATOS!BH$4="Sí",(1/DATOS_[[% anualiz]:[% anualiz]]),1)*IF(DATOS!BH$5="Sí",1/DATOS_[[% normaliz]:[% normaliz]],1)*(DATOS_[Conc.Sal.30])))))))), 0)</f>
        <v>0</v>
      </c>
      <c r="AN28" s="251" t="n">
        <f aca="false" t="array" ref="AN28:AN28">IFERROR( MEDIAN(IF(DATOS_[Sexo]=$B28,IF(DATOS_[[AGRUP. VALOR. PTO.]:[AGRUP. VALOR. PTO.]]=$B27,IF(DATOS_[Check Equiparado]="Sí",IF(DATOS_[Check Periodo Ref.]="Dentro",DATOS_[Tot COMPL.SAL Eq],0))))), 0)</f>
        <v>0</v>
      </c>
      <c r="AO28" s="252" t="n">
        <f aca="false" t="array" ref="AO28:AO28">IFERROR( MEDIAN(IF(DATOS_[Sexo]=$B28,IF(DATOS_[[AGRUP. VALOR. PTO.]:[AGRUP. VALOR. PTO.]]=$B27,IF(DATOS_[Check Equiparado]="Sí",IF(DATOS_[Check Periodo Ref.]="Dentro",DATOS_[TOTAL SALARIO Eq],0))))), 0)</f>
        <v>0</v>
      </c>
      <c r="AP28" s="259" t="n">
        <f aca="false" t="array" ref="AP28:AP28">IFERROR( (MEDIAN((IF(DATOS_[[Sexo]:[Sexo]]=$B28,IF(DATOS_[[AGRUP. VALOR. PTO.]:[AGRUP. VALOR. PTO.]]=$B27,IF(DATOS_[[Check Periodo Ref.]:[Check Periodo Ref.]]="Dentro",IF(DATOS_[[Check Equiparado]:[Check Equiparado]]="Sí",IF(DATOS!BI$4="Sí",(1/DATOS_[[% anualiz]:[% anualiz]]),1)*IF(DATOS!BI$5="Sí",1/DATOS_[[% normaliz]:[% normaliz]],1)*(DATOS_[C.Extra.01])))))))), 0)</f>
        <v>0</v>
      </c>
      <c r="AQ28" s="259" t="n">
        <f aca="false" t="array" ref="AQ28:AQ28">IFERROR( (MEDIAN((IF(DATOS_[[Sexo]:[Sexo]]=$B28,IF(DATOS_[[AGRUP. VALOR. PTO.]:[AGRUP. VALOR. PTO.]]=$B27,IF(DATOS_[[Check Periodo Ref.]:[Check Periodo Ref.]]="Dentro",IF(DATOS_[[Check Equiparado]:[Check Equiparado]]="Sí",IF(DATOS!BJ$4="Sí",(1/DATOS_[[% anualiz]:[% anualiz]]),1)*IF(DATOS!BJ$5="Sí",1/DATOS_[[% normaliz]:[% normaliz]],1)*(DATOS_[C.Extra.02])))))))), 0)</f>
        <v>0</v>
      </c>
      <c r="AR28" s="259" t="n">
        <f aca="false" t="array" ref="AR28:AR28">IFERROR( (MEDIAN((IF(DATOS_[[Sexo]:[Sexo]]=$B28,IF(DATOS_[[AGRUP. VALOR. PTO.]:[AGRUP. VALOR. PTO.]]=$B27,IF(DATOS_[[Check Periodo Ref.]:[Check Periodo Ref.]]="Dentro",IF(DATOS_[[Check Equiparado]:[Check Equiparado]]="Sí",IF(DATOS!BK$4="Sí",(1/DATOS_[[% anualiz]:[% anualiz]]),1)*IF(DATOS!BK$5="Sí",1/DATOS_[[% normaliz]:[% normaliz]],1)*(DATOS_[C.Extra.03])))))))), 0)</f>
        <v>0</v>
      </c>
      <c r="AS28" s="259" t="n">
        <f aca="false" t="array" ref="AS28:AS28">IFERROR( (MEDIAN((IF(DATOS_[[Sexo]:[Sexo]]=$B28,IF(DATOS_[[AGRUP. VALOR. PTO.]:[AGRUP. VALOR. PTO.]]=$B27,IF(DATOS_[[Check Periodo Ref.]:[Check Periodo Ref.]]="Dentro",IF(DATOS_[[Check Equiparado]:[Check Equiparado]]="Sí",IF(DATOS!BL$4="Sí",(1/DATOS_[[% anualiz]:[% anualiz]]),1)*IF(DATOS!BL$5="Sí",1/DATOS_[[% normaliz]:[% normaliz]],1)*(DATOS_[C.Extra.04])))))))), 0)</f>
        <v>0</v>
      </c>
      <c r="AT28" s="259" t="n">
        <f aca="false" t="array" ref="AT28:AT28">IFERROR( (MEDIAN((IF(DATOS_[[Sexo]:[Sexo]]=$B28,IF(DATOS_[[AGRUP. VALOR. PTO.]:[AGRUP. VALOR. PTO.]]=$B27,IF(DATOS_[[Check Periodo Ref.]:[Check Periodo Ref.]]="Dentro",IF(DATOS_[[Check Equiparado]:[Check Equiparado]]="Sí",IF(DATOS!BM$4="Sí",(1/DATOS_[[% anualiz]:[% anualiz]]),1)*IF(DATOS!BM$5="Sí",1/DATOS_[[% normaliz]:[% normaliz]],1)*(DATOS_[C.Extra.05])))))))), 0)</f>
        <v>0</v>
      </c>
      <c r="AU28" s="254" t="n">
        <f aca="false" t="array" ref="AU28:AU28">IFERROR( MEDIAN(IF(DATOS_[Sexo]=$B28,IF(DATOS_[[AGRUP. VALOR. PTO.]:[AGRUP. VALOR. PTO.]]=$B27,IF(DATOS_[Check Equiparado]="Sí",IF(DATOS_[Check Periodo Ref.]="Dentro",DATOS_[Tot Extrasalarial Eq],0))))), 0)</f>
        <v>0</v>
      </c>
      <c r="AV28" s="255" t="n">
        <f aca="false" t="array" ref="AV28:AV28">IFERROR( MEDIAN(IF(DATOS_[Sexo]=$B28,IF(DATOS_[[AGRUP. VALOR. PTO.]:[AGRUP. VALOR. PTO.]]=$B27,IF(DATOS_[Check Equiparado]="Sí",IF(DATOS_[Check Periodo Ref.]="Dentro",DATOS_[TOTAL Retrib Eq],0))))), 0)</f>
        <v>0</v>
      </c>
    </row>
    <row r="29" customFormat="false" ht="14.25" hidden="false" customHeight="false" outlineLevel="0" collapsed="false">
      <c r="A29" s="217" t="str">
        <f aca="false">+A28</f>
        <v>[ocultar]</v>
      </c>
      <c r="B29" s="323" t="s">
        <v>372</v>
      </c>
      <c r="C29" s="247" t="n">
        <f aca="false" t="array" ref="C29:C29">SUM(IF($B29=DATOS_[Sexo], IF($B27=DATOS_[AGRUP. VALOR. PTO.], IF("Dentro"=DATOS_[Check Periodo Ref.], 1/(COUNTIFS(DATOS_[Sexo],$B29,DATOS_[AGRUP. VALOR. PTO.],$B27,DATOS_[Check Periodo Ref.],"Dentro",DATOS_[id],DATOS_[id]))))))</f>
        <v>0</v>
      </c>
      <c r="D29" s="248" t="n">
        <f aca="false">COUNTIFS(DATOS_[AGRUP. VALOR. PTO.],$B27,DATOS_[Sexo],$B29,DATOS_[Check Periodo Ref.],"Dentro")</f>
        <v>0</v>
      </c>
      <c r="E29" s="248" t="n">
        <f aca="false">COUNTIFS(DATOS_[AGRUP. VALOR. PTO.],$B27,DATOS_[Sexo],$B29,DATOS_[Check Periodo Ref.],"Dentro",DATOS_[Check Nº SC Norm],"Sí")</f>
        <v>0</v>
      </c>
      <c r="F29" s="248" t="n">
        <f aca="false">COUNTIFS(DATOS_[AGRUP. VALOR. PTO.],$B27,DATOS_[Sexo],$B29,DATOS_[Check Periodo Ref.],"Dentro",DATOS_[Check Nº SC Anualiz],"Sí")</f>
        <v>0</v>
      </c>
      <c r="G29" s="248" t="n">
        <f aca="false">COUNTIFS(DATOS_[AGRUP. VALOR. PTO.],$B27,DATOS_[Sexo],$B29,DATOS_[Check Periodo Ref.],"Dentro",DATOS_[Check Nº SC Norm y Anualiz],"Sí")</f>
        <v>0</v>
      </c>
      <c r="H29" s="248" t="n">
        <f aca="false">COUNTIFS(DATOS_[AGRUP. VALOR. PTO.],$B27,DATOS_[Sexo],$B29,DATOS_[Check Periodo Ref.],"Dentro",DATOS_[Check Equiparación],"Sí")</f>
        <v>0</v>
      </c>
      <c r="I29" s="249" t="n">
        <f aca="false" t="array" ref="I29:I29">IFERROR( MEDIAN(IF(DATOS_[Sexo]=$B29,IF(DATOS_[[AGRUP. VALOR. PTO.]:[AGRUP. VALOR. PTO.]]=$B27,IF(DATOS_[Check Equiparado]="Sí",IF(DATOS_[Check Periodo Ref.]="Dentro",DATOS_[SALARIO BASE Eq],0))))), 0)</f>
        <v>0</v>
      </c>
      <c r="J29" s="250" t="n">
        <f aca="false" t="array" ref="J29:J29">IFERROR( (MEDIAN((IF(DATOS_[[Sexo]:[Sexo]]=$B29,IF(DATOS_[[AGRUP. VALOR. PTO.]:[AGRUP. VALOR. PTO.]]=$B27,IF(DATOS_[[Check Periodo Ref.]:[Check Periodo Ref.]]="Dentro",IF(DATOS_[[Check Equiparado]:[Check Equiparado]]="Sí",IF(DATOS!AE$4="Sí",(1/DATOS_[[% anualiz]:[% anualiz]]),1)*IF(DATOS!AE$5="Sí",1/DATOS_[[% normaliz]:[% normaliz]],1)*(DATOS_[Conc.Sal.01])))))))), 0)</f>
        <v>0</v>
      </c>
      <c r="K29" s="250" t="n">
        <f aca="false" t="array" ref="K29:K29">IFERROR( (MEDIAN((IF(DATOS_[[Sexo]:[Sexo]]=$B29,IF(DATOS_[[AGRUP. VALOR. PTO.]:[AGRUP. VALOR. PTO.]]=$B27,IF(DATOS_[[Check Periodo Ref.]:[Check Periodo Ref.]]="Dentro",IF(DATOS_[[Check Equiparado]:[Check Equiparado]]="Sí",IF(DATOS!AF$4="Sí",(1/DATOS_[[% anualiz]:[% anualiz]]),1)*IF(DATOS!AF$5="Sí",1/DATOS_[[% normaliz]:[% normaliz]],1)*(DATOS_[Conc.Sal.02])))))))), 0)</f>
        <v>0</v>
      </c>
      <c r="L29" s="250" t="n">
        <f aca="false" t="array" ref="L29:L29">IFERROR( (MEDIAN((IF(DATOS_[[Sexo]:[Sexo]]=$B29,IF(DATOS_[[AGRUP. VALOR. PTO.]:[AGRUP. VALOR. PTO.]]=$B27,IF(DATOS_[[Check Periodo Ref.]:[Check Periodo Ref.]]="Dentro",IF(DATOS_[[Check Equiparado]:[Check Equiparado]]="Sí",IF(DATOS!AG$4="Sí",(1/DATOS_[[% anualiz]:[% anualiz]]),1)*IF(DATOS!AG$5="Sí",1/DATOS_[[% normaliz]:[% normaliz]],1)*(DATOS_[Conc.Sal.03])))))))), 0)</f>
        <v>0</v>
      </c>
      <c r="M29" s="250" t="n">
        <f aca="false" t="array" ref="M29:M29">IFERROR( (MEDIAN((IF(DATOS_[[Sexo]:[Sexo]]=$B29,IF(DATOS_[[AGRUP. VALOR. PTO.]:[AGRUP. VALOR. PTO.]]=$B27,IF(DATOS_[[Check Periodo Ref.]:[Check Periodo Ref.]]="Dentro",IF(DATOS_[[Check Equiparado]:[Check Equiparado]]="Sí",IF(DATOS!AH$4="Sí",(1/DATOS_[[% anualiz]:[% anualiz]]),1)*IF(DATOS!AH$5="Sí",1/DATOS_[[% normaliz]:[% normaliz]],1)*(DATOS_[Conc.Sal.04])))))))), 0)</f>
        <v>0</v>
      </c>
      <c r="N29" s="250" t="n">
        <f aca="false" t="array" ref="N29:N29">IFERROR( (MEDIAN((IF(DATOS_[[Sexo]:[Sexo]]=$B29,IF(DATOS_[[AGRUP. VALOR. PTO.]:[AGRUP. VALOR. PTO.]]=$B27,IF(DATOS_[[Check Periodo Ref.]:[Check Periodo Ref.]]="Dentro",IF(DATOS_[[Check Equiparado]:[Check Equiparado]]="Sí",IF(DATOS!AI$4="Sí",(1/DATOS_[[% anualiz]:[% anualiz]]),1)*IF(DATOS!AI$5="Sí",1/DATOS_[[% normaliz]:[% normaliz]],1)*(DATOS_[Conc.Sal.05])))))))), 0)</f>
        <v>0</v>
      </c>
      <c r="O29" s="250" t="n">
        <f aca="false" t="array" ref="O29:O29">IFERROR( (MEDIAN((IF(DATOS_[[Sexo]:[Sexo]]=$B29,IF(DATOS_[[AGRUP. VALOR. PTO.]:[AGRUP. VALOR. PTO.]]=$B27,IF(DATOS_[[Check Periodo Ref.]:[Check Periodo Ref.]]="Dentro",IF(DATOS_[[Check Equiparado]:[Check Equiparado]]="Sí",IF(DATOS!AJ$4="Sí",(1/DATOS_[[% anualiz]:[% anualiz]]),1)*IF(DATOS!AJ$5="Sí",1/DATOS_[[% normaliz]:[% normaliz]],1)*(DATOS_[Conc.Sal.06])))))))), 0)</f>
        <v>0</v>
      </c>
      <c r="P29" s="250" t="n">
        <f aca="false" t="array" ref="P29:P29">IFERROR( (MEDIAN((IF(DATOS_[[Sexo]:[Sexo]]=$B29,IF(DATOS_[[AGRUP. VALOR. PTO.]:[AGRUP. VALOR. PTO.]]=$B27,IF(DATOS_[[Check Periodo Ref.]:[Check Periodo Ref.]]="Dentro",IF(DATOS_[[Check Equiparado]:[Check Equiparado]]="Sí",IF(DATOS!AK$4="Sí",(1/DATOS_[[% anualiz]:[% anualiz]]),1)*IF(DATOS!AK$5="Sí",1/DATOS_[[% normaliz]:[% normaliz]],1)*(DATOS_[Conc.Sal.07])))))))), 0)</f>
        <v>0</v>
      </c>
      <c r="Q29" s="250" t="n">
        <f aca="false" t="array" ref="Q29:Q29">IFERROR( (MEDIAN((IF(DATOS_[[Sexo]:[Sexo]]=$B29,IF(DATOS_[[AGRUP. VALOR. PTO.]:[AGRUP. VALOR. PTO.]]=$B27,IF(DATOS_[[Check Periodo Ref.]:[Check Periodo Ref.]]="Dentro",IF(DATOS_[[Check Equiparado]:[Check Equiparado]]="Sí",IF(DATOS!AL$4="Sí",(1/DATOS_[[% anualiz]:[% anualiz]]),1)*IF(DATOS!AL$5="Sí",1/DATOS_[[% normaliz]:[% normaliz]],1)*(DATOS_[Conc.Sal.08])))))))), 0)</f>
        <v>0</v>
      </c>
      <c r="R29" s="250" t="n">
        <f aca="false" t="array" ref="R29:R29">IFERROR( (MEDIAN((IF(DATOS_[[Sexo]:[Sexo]]=$B29,IF(DATOS_[[AGRUP. VALOR. PTO.]:[AGRUP. VALOR. PTO.]]=$B27,IF(DATOS_[[Check Periodo Ref.]:[Check Periodo Ref.]]="Dentro",IF(DATOS_[[Check Equiparado]:[Check Equiparado]]="Sí",IF(DATOS!AM$4="Sí",(1/DATOS_[[% anualiz]:[% anualiz]]),1)*IF(DATOS!AM$5="Sí",1/DATOS_[[% normaliz]:[% normaliz]],1)*(DATOS_[Conc.Sal.09])))))))), 0)</f>
        <v>0</v>
      </c>
      <c r="S29" s="250" t="n">
        <f aca="false" t="array" ref="S29:S29">IFERROR( (MEDIAN((IF(DATOS_[[Sexo]:[Sexo]]=$B29,IF(DATOS_[[AGRUP. VALOR. PTO.]:[AGRUP. VALOR. PTO.]]=$B27,IF(DATOS_[[Check Periodo Ref.]:[Check Periodo Ref.]]="Dentro",IF(DATOS_[[Check Equiparado]:[Check Equiparado]]="Sí",IF(DATOS!AN$4="Sí",(1/DATOS_[[% anualiz]:[% anualiz]]),1)*IF(DATOS!AN$5="Sí",1/DATOS_[[% normaliz]:[% normaliz]],1)*(DATOS_[Conc.Sal.10])))))))), 0)</f>
        <v>0</v>
      </c>
      <c r="T29" s="250" t="n">
        <f aca="false" t="array" ref="T29:T29">IFERROR( (MEDIAN((IF(DATOS_[[Sexo]:[Sexo]]=$B29,IF(DATOS_[[AGRUP. VALOR. PTO.]:[AGRUP. VALOR. PTO.]]=$B27,IF(DATOS_[[Check Periodo Ref.]:[Check Periodo Ref.]]="Dentro",IF(DATOS_[[Check Equiparado]:[Check Equiparado]]="Sí",IF(DATOS!AO$4="Sí",(1/DATOS_[[% anualiz]:[% anualiz]]),1)*IF(DATOS!AO$5="Sí",1/DATOS_[[% normaliz]:[% normaliz]],1)*(DATOS_[Conc.Sal.11])))))))), 0)</f>
        <v>0</v>
      </c>
      <c r="U29" s="250" t="n">
        <f aca="false" t="array" ref="U29:U29">IFERROR( (MEDIAN((IF(DATOS_[[Sexo]:[Sexo]]=$B29,IF(DATOS_[[AGRUP. VALOR. PTO.]:[AGRUP. VALOR. PTO.]]=$B27,IF(DATOS_[[Check Periodo Ref.]:[Check Periodo Ref.]]="Dentro",IF(DATOS_[[Check Equiparado]:[Check Equiparado]]="Sí",IF(DATOS!AP$4="Sí",(1/DATOS_[[% anualiz]:[% anualiz]]),1)*IF(DATOS!AP$5="Sí",1/DATOS_[[% normaliz]:[% normaliz]],1)*(DATOS_[Conc.Sal.12])))))))), 0)</f>
        <v>0</v>
      </c>
      <c r="V29" s="250" t="n">
        <f aca="false" t="array" ref="V29:V29">IFERROR( (MEDIAN((IF(DATOS_[[Sexo]:[Sexo]]=$B29,IF(DATOS_[[AGRUP. VALOR. PTO.]:[AGRUP. VALOR. PTO.]]=$B27,IF(DATOS_[[Check Periodo Ref.]:[Check Periodo Ref.]]="Dentro",IF(DATOS_[[Check Equiparado]:[Check Equiparado]]="Sí",IF(DATOS!AQ$4="Sí",(1/DATOS_[[% anualiz]:[% anualiz]]),1)*IF(DATOS!AQ$5="Sí",1/DATOS_[[% normaliz]:[% normaliz]],1)*(DATOS_[Conc.Sal.13])))))))), 0)</f>
        <v>0</v>
      </c>
      <c r="W29" s="250" t="n">
        <f aca="false" t="array" ref="W29:W29">IFERROR( (MEDIAN((IF(DATOS_[[Sexo]:[Sexo]]=$B29,IF(DATOS_[[AGRUP. VALOR. PTO.]:[AGRUP. VALOR. PTO.]]=$B27,IF(DATOS_[[Check Periodo Ref.]:[Check Periodo Ref.]]="Dentro",IF(DATOS_[[Check Equiparado]:[Check Equiparado]]="Sí",IF(DATOS!AR$4="Sí",(1/DATOS_[[% anualiz]:[% anualiz]]),1)*IF(DATOS!AR$5="Sí",1/DATOS_[[% normaliz]:[% normaliz]],1)*(DATOS_[Conc.Sal.14])))))))), 0)</f>
        <v>0</v>
      </c>
      <c r="X29" s="250" t="n">
        <f aca="false" t="array" ref="X29:X29">IFERROR( (MEDIAN((IF(DATOS_[[Sexo]:[Sexo]]=$B29,IF(DATOS_[[AGRUP. VALOR. PTO.]:[AGRUP. VALOR. PTO.]]=$B27,IF(DATOS_[[Check Periodo Ref.]:[Check Periodo Ref.]]="Dentro",IF(DATOS_[[Check Equiparado]:[Check Equiparado]]="Sí",IF(DATOS!AS$4="Sí",(1/DATOS_[[% anualiz]:[% anualiz]]),1)*IF(DATOS!AS$5="Sí",1/DATOS_[[% normaliz]:[% normaliz]],1)*(DATOS_[Conc.Sal.15])))))))), 0)</f>
        <v>0</v>
      </c>
      <c r="Y29" s="250" t="n">
        <f aca="false" t="array" ref="Y29:Y29">IFERROR( (MEDIAN((IF(DATOS_[[Sexo]:[Sexo]]=$B29,IF(DATOS_[[AGRUP. VALOR. PTO.]:[AGRUP. VALOR. PTO.]]=$B27,IF(DATOS_[[Check Periodo Ref.]:[Check Periodo Ref.]]="Dentro",IF(DATOS_[[Check Equiparado]:[Check Equiparado]]="Sí",IF(DATOS!AT$4="Sí",(1/DATOS_[[% anualiz]:[% anualiz]]),1)*IF(DATOS!AT$5="Sí",1/DATOS_[[% normaliz]:[% normaliz]],1)*(DATOS_[Conc.Sal.16])))))))), 0)</f>
        <v>0</v>
      </c>
      <c r="Z29" s="250" t="n">
        <f aca="false" t="array" ref="Z29:Z29">IFERROR( (MEDIAN((IF(DATOS_[[Sexo]:[Sexo]]=$B29,IF(DATOS_[[AGRUP. VALOR. PTO.]:[AGRUP. VALOR. PTO.]]=$B27,IF(DATOS_[[Check Periodo Ref.]:[Check Periodo Ref.]]="Dentro",IF(DATOS_[[Check Equiparado]:[Check Equiparado]]="Sí",IF(DATOS!AU$4="Sí",(1/DATOS_[[% anualiz]:[% anualiz]]),1)*IF(DATOS!AU$5="Sí",1/DATOS_[[% normaliz]:[% normaliz]],1)*(DATOS_[Conc.Sal.17])))))))), 0)</f>
        <v>0</v>
      </c>
      <c r="AA29" s="250" t="n">
        <f aca="false" t="array" ref="AA29:AA29">IFERROR( (MEDIAN((IF(DATOS_[[Sexo]:[Sexo]]=$B29,IF(DATOS_[[AGRUP. VALOR. PTO.]:[AGRUP. VALOR. PTO.]]=$B27,IF(DATOS_[[Check Periodo Ref.]:[Check Periodo Ref.]]="Dentro",IF(DATOS_[[Check Equiparado]:[Check Equiparado]]="Sí",IF(DATOS!AV$4="Sí",(1/DATOS_[[% anualiz]:[% anualiz]]),1)*IF(DATOS!AV$5="Sí",1/DATOS_[[% normaliz]:[% normaliz]],1)*(DATOS_[Conc.Sal.18])))))))), 0)</f>
        <v>0</v>
      </c>
      <c r="AB29" s="250" t="n">
        <f aca="false" t="array" ref="AB29:AB29">IFERROR( (MEDIAN((IF(DATOS_[[Sexo]:[Sexo]]=$B29,IF(DATOS_[[AGRUP. VALOR. PTO.]:[AGRUP. VALOR. PTO.]]=$B27,IF(DATOS_[[Check Periodo Ref.]:[Check Periodo Ref.]]="Dentro",IF(DATOS_[[Check Equiparado]:[Check Equiparado]]="Sí",IF(DATOS!AW$4="Sí",(1/DATOS_[[% anualiz]:[% anualiz]]),1)*IF(DATOS!AW$5="Sí",1/DATOS_[[% normaliz]:[% normaliz]],1)*(DATOS_[Conc.Sal.19])))))))), 0)</f>
        <v>0</v>
      </c>
      <c r="AC29" s="250" t="n">
        <f aca="false" t="array" ref="AC29:AC29">IFERROR( (MEDIAN((IF(DATOS_[[Sexo]:[Sexo]]=$B29,IF(DATOS_[[AGRUP. VALOR. PTO.]:[AGRUP. VALOR. PTO.]]=$B27,IF(DATOS_[[Check Periodo Ref.]:[Check Periodo Ref.]]="Dentro",IF(DATOS_[[Check Equiparado]:[Check Equiparado]]="Sí",IF(DATOS!AX$4="Sí",(1/DATOS_[[% anualiz]:[% anualiz]]),1)*IF(DATOS!AX$5="Sí",1/DATOS_[[% normaliz]:[% normaliz]],1)*(DATOS_[Conc.Sal.20])))))))), 0)</f>
        <v>0</v>
      </c>
      <c r="AD29" s="250" t="n">
        <f aca="false" t="array" ref="AD29:AD29">IFERROR( (MEDIAN((IF(DATOS_[[Sexo]:[Sexo]]=$B29,IF(DATOS_[[AGRUP. VALOR. PTO.]:[AGRUP. VALOR. PTO.]]=$B27,IF(DATOS_[[Check Periodo Ref.]:[Check Periodo Ref.]]="Dentro",IF(DATOS_[[Check Equiparado]:[Check Equiparado]]="Sí",IF(DATOS!AY$4="Sí",(1/DATOS_[[% anualiz]:[% anualiz]]),1)*IF(DATOS!AY$5="Sí",1/DATOS_[[% normaliz]:[% normaliz]],1)*(DATOS_[Conc.Sal.21])))))))), 0)</f>
        <v>0</v>
      </c>
      <c r="AE29" s="250" t="n">
        <f aca="false" t="array" ref="AE29:AE29">IFERROR( (MEDIAN((IF(DATOS_[[Sexo]:[Sexo]]=$B29,IF(DATOS_[[AGRUP. VALOR. PTO.]:[AGRUP. VALOR. PTO.]]=$B27,IF(DATOS_[[Check Periodo Ref.]:[Check Periodo Ref.]]="Dentro",IF(DATOS_[[Check Equiparado]:[Check Equiparado]]="Sí",IF(DATOS!AZ$4="Sí",(1/DATOS_[[% anualiz]:[% anualiz]]),1)*IF(DATOS!AZ$5="Sí",1/DATOS_[[% normaliz]:[% normaliz]],1)*(DATOS_[Conc.Sal.22])))))))), 0)</f>
        <v>0</v>
      </c>
      <c r="AF29" s="250" t="n">
        <f aca="false" t="array" ref="AF29:AF29">IFERROR( (MEDIAN((IF(DATOS_[[Sexo]:[Sexo]]=$B29,IF(DATOS_[[AGRUP. VALOR. PTO.]:[AGRUP. VALOR. PTO.]]=$B27,IF(DATOS_[[Check Periodo Ref.]:[Check Periodo Ref.]]="Dentro",IF(DATOS_[[Check Equiparado]:[Check Equiparado]]="Sí",IF(DATOS!BA$4="Sí",(1/DATOS_[[% anualiz]:[% anualiz]]),1)*IF(DATOS!BA$5="Sí",1/DATOS_[[% normaliz]:[% normaliz]],1)*(DATOS_[Conc.Sal.23])))))))), 0)</f>
        <v>0</v>
      </c>
      <c r="AG29" s="250" t="n">
        <f aca="false" t="array" ref="AG29:AG29">IFERROR( (MEDIAN((IF(DATOS_[[Sexo]:[Sexo]]=$B29,IF(DATOS_[[AGRUP. VALOR. PTO.]:[AGRUP. VALOR. PTO.]]=$B27,IF(DATOS_[[Check Periodo Ref.]:[Check Periodo Ref.]]="Dentro",IF(DATOS_[[Check Equiparado]:[Check Equiparado]]="Sí",IF(DATOS!BB$4="Sí",(1/DATOS_[[% anualiz]:[% anualiz]]),1)*IF(DATOS!BB$5="Sí",1/DATOS_[[% normaliz]:[% normaliz]],1)*(DATOS_[Conc.Sal.24])))))))), 0)</f>
        <v>0</v>
      </c>
      <c r="AH29" s="250" t="n">
        <f aca="false" t="array" ref="AH29:AH29">IFERROR( (MEDIAN((IF(DATOS_[[Sexo]:[Sexo]]=$B29,IF(DATOS_[[AGRUP. VALOR. PTO.]:[AGRUP. VALOR. PTO.]]=$B27,IF(DATOS_[[Check Periodo Ref.]:[Check Periodo Ref.]]="Dentro",IF(DATOS_[[Check Equiparado]:[Check Equiparado]]="Sí",IF(DATOS!BC$4="Sí",(1/DATOS_[[% anualiz]:[% anualiz]]),1)*IF(DATOS!BC$5="Sí",1/DATOS_[[% normaliz]:[% normaliz]],1)*(DATOS_[Conc.Sal.25])))))))), 0)</f>
        <v>0</v>
      </c>
      <c r="AI29" s="250" t="n">
        <f aca="false" t="array" ref="AI29:AI29">IFERROR( (MEDIAN((IF(DATOS_[[Sexo]:[Sexo]]=$B29,IF(DATOS_[[AGRUP. VALOR. PTO.]:[AGRUP. VALOR. PTO.]]=$B27,IF(DATOS_[[Check Periodo Ref.]:[Check Periodo Ref.]]="Dentro",IF(DATOS_[[Check Equiparado]:[Check Equiparado]]="Sí",IF(DATOS!BD$4="Sí",(1/DATOS_[[% anualiz]:[% anualiz]]),1)*IF(DATOS!BD$5="Sí",1/DATOS_[[% normaliz]:[% normaliz]],1)*(DATOS_[Conc.Sal.26])))))))), 0)</f>
        <v>0</v>
      </c>
      <c r="AJ29" s="250" t="n">
        <f aca="false" t="array" ref="AJ29:AJ29">IFERROR( (MEDIAN((IF(DATOS_[[Sexo]:[Sexo]]=$B29,IF(DATOS_[[AGRUP. VALOR. PTO.]:[AGRUP. VALOR. PTO.]]=$B27,IF(DATOS_[[Check Periodo Ref.]:[Check Periodo Ref.]]="Dentro",IF(DATOS_[[Check Equiparado]:[Check Equiparado]]="Sí",IF(DATOS!BE$4="Sí",(1/DATOS_[[% anualiz]:[% anualiz]]),1)*IF(DATOS!BE$5="Sí",1/DATOS_[[% normaliz]:[% normaliz]],1)*(DATOS_[Conc.Sal.27])))))))), 0)</f>
        <v>0</v>
      </c>
      <c r="AK29" s="250" t="n">
        <f aca="false" t="array" ref="AK29:AK29">IFERROR( (MEDIAN((IF(DATOS_[[Sexo]:[Sexo]]=$B29,IF(DATOS_[[AGRUP. VALOR. PTO.]:[AGRUP. VALOR. PTO.]]=$B27,IF(DATOS_[[Check Periodo Ref.]:[Check Periodo Ref.]]="Dentro",IF(DATOS_[[Check Equiparado]:[Check Equiparado]]="Sí",IF(DATOS!BF$4="Sí",(1/DATOS_[[% anualiz]:[% anualiz]]),1)*IF(DATOS!BF$5="Sí",1/DATOS_[[% normaliz]:[% normaliz]],1)*(DATOS_[Conc.Sal.28])))))))), 0)</f>
        <v>0</v>
      </c>
      <c r="AL29" s="250" t="n">
        <f aca="false" t="array" ref="AL29:AL29">IFERROR( (MEDIAN((IF(DATOS_[[Sexo]:[Sexo]]=$B29,IF(DATOS_[[AGRUP. VALOR. PTO.]:[AGRUP. VALOR. PTO.]]=$B27,IF(DATOS_[[Check Periodo Ref.]:[Check Periodo Ref.]]="Dentro",IF(DATOS_[[Check Equiparado]:[Check Equiparado]]="Sí",IF(DATOS!BG$4="Sí",(1/DATOS_[[% anualiz]:[% anualiz]]),1)*IF(DATOS!BG$5="Sí",1/DATOS_[[% normaliz]:[% normaliz]],1)*(DATOS_[Conc.Sal.29])))))))), 0)</f>
        <v>0</v>
      </c>
      <c r="AM29" s="250" t="n">
        <f aca="false" t="array" ref="AM29:AM29">IFERROR( (MEDIAN((IF(DATOS_[[Sexo]:[Sexo]]=$B29,IF(DATOS_[[AGRUP. VALOR. PTO.]:[AGRUP. VALOR. PTO.]]=$B27,IF(DATOS_[[Check Periodo Ref.]:[Check Periodo Ref.]]="Dentro",IF(DATOS_[[Check Equiparado]:[Check Equiparado]]="Sí",IF(DATOS!BH$4="Sí",(1/DATOS_[[% anualiz]:[% anualiz]]),1)*IF(DATOS!BH$5="Sí",1/DATOS_[[% normaliz]:[% normaliz]],1)*(DATOS_[Conc.Sal.30])))))))), 0)</f>
        <v>0</v>
      </c>
      <c r="AN29" s="251" t="n">
        <f aca="false" t="array" ref="AN29:AN29">IFERROR( MEDIAN(IF(DATOS_[Sexo]=$B29,IF(DATOS_[[AGRUP. VALOR. PTO.]:[AGRUP. VALOR. PTO.]]=$B27,IF(DATOS_[Check Equiparado]="Sí",IF(DATOS_[Check Periodo Ref.]="Dentro",DATOS_[Tot COMPL.SAL Eq],0))))), 0)</f>
        <v>0</v>
      </c>
      <c r="AO29" s="252" t="n">
        <f aca="false" t="array" ref="AO29:AO29">IFERROR( MEDIAN(IF(DATOS_[Sexo]=$B29,IF(DATOS_[[AGRUP. VALOR. PTO.]:[AGRUP. VALOR. PTO.]]=$B27,IF(DATOS_[Check Equiparado]="Sí",IF(DATOS_[Check Periodo Ref.]="Dentro",DATOS_[TOTAL SALARIO Eq],0))))), 0)</f>
        <v>0</v>
      </c>
      <c r="AP29" s="259" t="n">
        <f aca="false" t="array" ref="AP29:AP29">IFERROR( (MEDIAN((IF(DATOS_[[Sexo]:[Sexo]]=$B29,IF(DATOS_[[AGRUP. VALOR. PTO.]:[AGRUP. VALOR. PTO.]]=$B28,IF(DATOS_[[Check Periodo Ref.]:[Check Periodo Ref.]]="Dentro",IF(DATOS_[[Check Equiparado]:[Check Equiparado]]="Sí",IF(DATOS!BI$4="Sí",(1/DATOS_[[% anualiz]:[% anualiz]]),1)*IF(DATOS!BI$5="Sí",1/DATOS_[[% normaliz]:[% normaliz]],1)*(DATOS_[C.Extra.01])))))))), 0)</f>
        <v>0</v>
      </c>
      <c r="AQ29" s="259" t="n">
        <f aca="false" t="array" ref="AQ29:AQ29">IFERROR( (MEDIAN((IF(DATOS_[[Sexo]:[Sexo]]=$B29,IF(DATOS_[[AGRUP. VALOR. PTO.]:[AGRUP. VALOR. PTO.]]=$B28,IF(DATOS_[[Check Periodo Ref.]:[Check Periodo Ref.]]="Dentro",IF(DATOS_[[Check Equiparado]:[Check Equiparado]]="Sí",IF(DATOS!BJ$4="Sí",(1/DATOS_[[% anualiz]:[% anualiz]]),1)*IF(DATOS!BJ$5="Sí",1/DATOS_[[% normaliz]:[% normaliz]],1)*(DATOS_[C.Extra.02])))))))), 0)</f>
        <v>0</v>
      </c>
      <c r="AR29" s="259" t="n">
        <f aca="false" t="array" ref="AR29:AR29">IFERROR( (MEDIAN((IF(DATOS_[[Sexo]:[Sexo]]=$B29,IF(DATOS_[[AGRUP. VALOR. PTO.]:[AGRUP. VALOR. PTO.]]=$B28,IF(DATOS_[[Check Periodo Ref.]:[Check Periodo Ref.]]="Dentro",IF(DATOS_[[Check Equiparado]:[Check Equiparado]]="Sí",IF(DATOS!BK$4="Sí",(1/DATOS_[[% anualiz]:[% anualiz]]),1)*IF(DATOS!BK$5="Sí",1/DATOS_[[% normaliz]:[% normaliz]],1)*(DATOS_[C.Extra.03])))))))), 0)</f>
        <v>0</v>
      </c>
      <c r="AS29" s="259" t="n">
        <f aca="false" t="array" ref="AS29:AS29">IFERROR( (MEDIAN((IF(DATOS_[[Sexo]:[Sexo]]=$B29,IF(DATOS_[[AGRUP. VALOR. PTO.]:[AGRUP. VALOR. PTO.]]=$B28,IF(DATOS_[[Check Periodo Ref.]:[Check Periodo Ref.]]="Dentro",IF(DATOS_[[Check Equiparado]:[Check Equiparado]]="Sí",IF(DATOS!BL$4="Sí",(1/DATOS_[[% anualiz]:[% anualiz]]),1)*IF(DATOS!BL$5="Sí",1/DATOS_[[% normaliz]:[% normaliz]],1)*(DATOS_[C.Extra.04])))))))), 0)</f>
        <v>0</v>
      </c>
      <c r="AT29" s="259" t="n">
        <f aca="false" t="array" ref="AT29:AT29">IFERROR( (MEDIAN((IF(DATOS_[[Sexo]:[Sexo]]=$B29,IF(DATOS_[[AGRUP. VALOR. PTO.]:[AGRUP. VALOR. PTO.]]=$B28,IF(DATOS_[[Check Periodo Ref.]:[Check Periodo Ref.]]="Dentro",IF(DATOS_[[Check Equiparado]:[Check Equiparado]]="Sí",IF(DATOS!BM$4="Sí",(1/DATOS_[[% anualiz]:[% anualiz]]),1)*IF(DATOS!BM$5="Sí",1/DATOS_[[% normaliz]:[% normaliz]],1)*(DATOS_[C.Extra.05])))))))), 0)</f>
        <v>0</v>
      </c>
      <c r="AU29" s="254" t="n">
        <f aca="false" t="array" ref="AU29:AU29">IFERROR( MEDIAN(IF(DATOS_[Sexo]=$B29,IF(DATOS_[[AGRUP. VALOR. PTO.]:[AGRUP. VALOR. PTO.]]=$B27,IF(DATOS_[Check Equiparado]="Sí",IF(DATOS_[Check Periodo Ref.]="Dentro",DATOS_[Tot Extrasalarial Eq],0))))), 0)</f>
        <v>0</v>
      </c>
      <c r="AV29" s="255" t="n">
        <f aca="false" t="array" ref="AV29:AV29">IFERROR( MEDIAN(IF(DATOS_[Sexo]=$B29,IF(DATOS_[[AGRUP. VALOR. PTO.]:[AGRUP. VALOR. PTO.]]=$B27,IF(DATOS_[Check Equiparado]="Sí",IF(DATOS_[Check Periodo Ref.]="Dentro",DATOS_[TOTAL Retrib Eq],0))))), 0)</f>
        <v>0</v>
      </c>
    </row>
    <row r="30" customFormat="false" ht="15.75" hidden="false" customHeight="false" outlineLevel="0" collapsed="false">
      <c r="A30" s="217" t="str">
        <f aca="false">+A31</f>
        <v>[ocultar]</v>
      </c>
      <c r="B30" s="320" t="s">
        <v>184</v>
      </c>
      <c r="C30" s="236"/>
      <c r="D30" s="237"/>
      <c r="E30" s="237"/>
      <c r="F30" s="237"/>
      <c r="G30" s="237"/>
      <c r="H30" s="237"/>
      <c r="I30" s="238" t="str">
        <f aca="false">IFERROR((I31-I32)/I31,"")</f>
        <v/>
      </c>
      <c r="J30" s="239" t="str">
        <f aca="false">IFERROR((J31-J32)/J31,"")</f>
        <v/>
      </c>
      <c r="K30" s="239" t="str">
        <f aca="false">IFERROR((K31-K32)/K31,"")</f>
        <v/>
      </c>
      <c r="L30" s="239" t="str">
        <f aca="false">IFERROR((L31-L32)/L31,"")</f>
        <v/>
      </c>
      <c r="M30" s="239" t="str">
        <f aca="false">IFERROR((M31-M32)/M31,"")</f>
        <v/>
      </c>
      <c r="N30" s="239" t="str">
        <f aca="false">IFERROR((N31-N32)/N31,"")</f>
        <v/>
      </c>
      <c r="O30" s="239" t="str">
        <f aca="false">IFERROR((O31-O32)/O31,"")</f>
        <v/>
      </c>
      <c r="P30" s="239" t="str">
        <f aca="false">IFERROR((P31-P32)/P31,"")</f>
        <v/>
      </c>
      <c r="Q30" s="239" t="str">
        <f aca="false">IFERROR((Q31-Q32)/Q31,"")</f>
        <v/>
      </c>
      <c r="R30" s="239" t="str">
        <f aca="false">IFERROR((R31-R32)/R31,"")</f>
        <v/>
      </c>
      <c r="S30" s="239" t="str">
        <f aca="false">IFERROR((S31-S32)/S31,"")</f>
        <v/>
      </c>
      <c r="T30" s="239" t="str">
        <f aca="false">IFERROR((T31-T32)/T31,"")</f>
        <v/>
      </c>
      <c r="U30" s="239" t="str">
        <f aca="false">IFERROR((U31-U32)/U31,"")</f>
        <v/>
      </c>
      <c r="V30" s="239" t="str">
        <f aca="false">IFERROR((V31-V32)/V31,"")</f>
        <v/>
      </c>
      <c r="W30" s="239" t="str">
        <f aca="false">IFERROR((W31-W32)/W31,"")</f>
        <v/>
      </c>
      <c r="X30" s="239" t="str">
        <f aca="false">IFERROR((X31-X32)/X31,"")</f>
        <v/>
      </c>
      <c r="Y30" s="239" t="str">
        <f aca="false">IFERROR((Y31-Y32)/Y31,"")</f>
        <v/>
      </c>
      <c r="Z30" s="240" t="str">
        <f aca="false">IFERROR((Z31-Z32)/Z31,"")</f>
        <v/>
      </c>
      <c r="AA30" s="240" t="str">
        <f aca="false">IFERROR((AA31-AA32)/AA31,"")</f>
        <v/>
      </c>
      <c r="AB30" s="240" t="str">
        <f aca="false">IFERROR((AB31-AB32)/AB31,"")</f>
        <v/>
      </c>
      <c r="AC30" s="240" t="str">
        <f aca="false">IFERROR((AC31-AC32)/AC31,"")</f>
        <v/>
      </c>
      <c r="AD30" s="240" t="str">
        <f aca="false">IFERROR((AD31-AD32)/AD31,"")</f>
        <v/>
      </c>
      <c r="AE30" s="240" t="str">
        <f aca="false">IFERROR((AE31-AE32)/AE31,"")</f>
        <v/>
      </c>
      <c r="AF30" s="240" t="str">
        <f aca="false">IFERROR((AF31-AF32)/AF31,"")</f>
        <v/>
      </c>
      <c r="AG30" s="240" t="str">
        <f aca="false">IFERROR((AG31-AG32)/AG31,"")</f>
        <v/>
      </c>
      <c r="AH30" s="240" t="str">
        <f aca="false">IFERROR((AH31-AH32)/AH31,"")</f>
        <v/>
      </c>
      <c r="AI30" s="240" t="str">
        <f aca="false">IFERROR((AI31-AI32)/AI31,"")</f>
        <v/>
      </c>
      <c r="AJ30" s="240" t="str">
        <f aca="false">IFERROR((AJ31-AJ32)/AJ31,"")</f>
        <v/>
      </c>
      <c r="AK30" s="240" t="str">
        <f aca="false">IFERROR((AK31-AK32)/AK31,"")</f>
        <v/>
      </c>
      <c r="AL30" s="240" t="str">
        <f aca="false">IFERROR((AL31-AL32)/AL31,"")</f>
        <v/>
      </c>
      <c r="AM30" s="240" t="str">
        <f aca="false">IFERROR((AM31-AM32)/AM31,"")</f>
        <v/>
      </c>
      <c r="AN30" s="241" t="str">
        <f aca="false">IFERROR((AN31-AN32)/AN31,"")</f>
        <v/>
      </c>
      <c r="AO30" s="242" t="str">
        <f aca="false">IFERROR((AO31-AO32)/AO31,"")</f>
        <v/>
      </c>
      <c r="AP30" s="243" t="str">
        <f aca="false">IFERROR((AP31-AP32)/AP31,"")</f>
        <v/>
      </c>
      <c r="AQ30" s="243" t="str">
        <f aca="false">IFERROR((AQ31-AQ32)/AQ31,"")</f>
        <v/>
      </c>
      <c r="AR30" s="243" t="str">
        <f aca="false">IFERROR((AR31-AR32)/AR31,"")</f>
        <v/>
      </c>
      <c r="AS30" s="243" t="str">
        <f aca="false">IFERROR((AS31-AS32)/AS31,"")</f>
        <v/>
      </c>
      <c r="AT30" s="243" t="str">
        <f aca="false">IFERROR((AT31-AT32)/AT31,"")</f>
        <v/>
      </c>
      <c r="AU30" s="244" t="str">
        <f aca="false">IFERROR((AU31-AU32)/AU31,"")</f>
        <v/>
      </c>
      <c r="AV30" s="245" t="str">
        <f aca="false">IFERROR((AV31-AV32)/AV31,"")</f>
        <v/>
      </c>
    </row>
    <row r="31" customFormat="false" ht="14.25" hidden="false" customHeight="false" outlineLevel="0" collapsed="false">
      <c r="A31" s="217" t="str">
        <f aca="false">+IF(C31+C32=0,"[ocultar]","")</f>
        <v>[ocultar]</v>
      </c>
      <c r="B31" s="323" t="s">
        <v>371</v>
      </c>
      <c r="C31" s="247" t="n">
        <f aca="false" t="array" ref="C31:C31">SUM(IF($B31=DATOS_[Sexo], IF($B30=DATOS_[AGRUP. VALOR. PTO.], IF("Dentro"=DATOS_[Check Periodo Ref.], 1/(COUNTIFS(DATOS_[Sexo],$B31,DATOS_[AGRUP. VALOR. PTO.],$B30,DATOS_[Check Periodo Ref.],"Dentro",DATOS_[id],DATOS_[id]))))))</f>
        <v>0</v>
      </c>
      <c r="D31" s="248" t="n">
        <f aca="false">COUNTIFS(DATOS_[AGRUP. VALOR. PTO.],$B30,DATOS_[Sexo],$B31,DATOS_[Check Periodo Ref.],"Dentro")</f>
        <v>0</v>
      </c>
      <c r="E31" s="248" t="n">
        <f aca="false">COUNTIFS(DATOS_[AGRUP. VALOR. PTO.],$B30,DATOS_[Sexo],$B31,DATOS_[Check Periodo Ref.],"Dentro",DATOS_[Check Nº SC Norm],"Sí")</f>
        <v>0</v>
      </c>
      <c r="F31" s="248" t="n">
        <f aca="false">COUNTIFS(DATOS_[AGRUP. VALOR. PTO.],$B30,DATOS_[Sexo],$B31,DATOS_[Check Periodo Ref.],"Dentro",DATOS_[Check Nº SC Anualiz],"Sí")</f>
        <v>0</v>
      </c>
      <c r="G31" s="248" t="n">
        <f aca="false">COUNTIFS(DATOS_[AGRUP. VALOR. PTO.],$B30,DATOS_[Sexo],$B31,DATOS_[Check Periodo Ref.],"Dentro",DATOS_[Check Nº SC Norm y Anualiz],"Sí")</f>
        <v>0</v>
      </c>
      <c r="H31" s="248" t="n">
        <f aca="false">COUNTIFS(DATOS_[AGRUP. VALOR. PTO.],$B30,DATOS_[Sexo],$B31,DATOS_[Check Periodo Ref.],"Dentro",DATOS_[Check Equiparación],"Sí")</f>
        <v>0</v>
      </c>
      <c r="I31" s="249" t="n">
        <f aca="false" t="array" ref="I31:I31">IFERROR( MEDIAN(IF(DATOS_[Sexo]=$B31,IF(DATOS_[[AGRUP. VALOR. PTO.]:[AGRUP. VALOR. PTO.]]=$B30,IF(DATOS_[Check Equiparado]="Sí",IF(DATOS_[Check Periodo Ref.]="Dentro",DATOS_[SALARIO BASE Eq],0))))), 0)</f>
        <v>0</v>
      </c>
      <c r="J31" s="250" t="n">
        <f aca="false" t="array" ref="J31:J31">IFERROR( (MEDIAN((IF(DATOS_[[Sexo]:[Sexo]]=$B31,IF(DATOS_[[AGRUP. VALOR. PTO.]:[AGRUP. VALOR. PTO.]]=$B30,IF(DATOS_[[Check Periodo Ref.]:[Check Periodo Ref.]]="Dentro",IF(DATOS_[[Check Equiparado]:[Check Equiparado]]="Sí",IF(DATOS!AE$4="Sí",(1/DATOS_[[% anualiz]:[% anualiz]]),1)*IF(DATOS!AE$5="Sí",1/DATOS_[[% normaliz]:[% normaliz]],1)*(DATOS_[Conc.Sal.01])))))))), 0)</f>
        <v>0</v>
      </c>
      <c r="K31" s="250" t="n">
        <f aca="false" t="array" ref="K31:K31">IFERROR( (MEDIAN((IF(DATOS_[[Sexo]:[Sexo]]=$B31,IF(DATOS_[[AGRUP. VALOR. PTO.]:[AGRUP. VALOR. PTO.]]=$B30,IF(DATOS_[[Check Periodo Ref.]:[Check Periodo Ref.]]="Dentro",IF(DATOS_[[Check Equiparado]:[Check Equiparado]]="Sí",IF(DATOS!AF$4="Sí",(1/DATOS_[[% anualiz]:[% anualiz]]),1)*IF(DATOS!AF$5="Sí",1/DATOS_[[% normaliz]:[% normaliz]],1)*(DATOS_[Conc.Sal.02])))))))), 0)</f>
        <v>0</v>
      </c>
      <c r="L31" s="250" t="n">
        <f aca="false" t="array" ref="L31:L31">IFERROR( (MEDIAN((IF(DATOS_[[Sexo]:[Sexo]]=$B31,IF(DATOS_[[AGRUP. VALOR. PTO.]:[AGRUP. VALOR. PTO.]]=$B30,IF(DATOS_[[Check Periodo Ref.]:[Check Periodo Ref.]]="Dentro",IF(DATOS_[[Check Equiparado]:[Check Equiparado]]="Sí",IF(DATOS!AG$4="Sí",(1/DATOS_[[% anualiz]:[% anualiz]]),1)*IF(DATOS!AG$5="Sí",1/DATOS_[[% normaliz]:[% normaliz]],1)*(DATOS_[Conc.Sal.03])))))))), 0)</f>
        <v>0</v>
      </c>
      <c r="M31" s="250" t="n">
        <f aca="false" t="array" ref="M31:M31">IFERROR( (MEDIAN((IF(DATOS_[[Sexo]:[Sexo]]=$B31,IF(DATOS_[[AGRUP. VALOR. PTO.]:[AGRUP. VALOR. PTO.]]=$B30,IF(DATOS_[[Check Periodo Ref.]:[Check Periodo Ref.]]="Dentro",IF(DATOS_[[Check Equiparado]:[Check Equiparado]]="Sí",IF(DATOS!AH$4="Sí",(1/DATOS_[[% anualiz]:[% anualiz]]),1)*IF(DATOS!AH$5="Sí",1/DATOS_[[% normaliz]:[% normaliz]],1)*(DATOS_[Conc.Sal.04])))))))), 0)</f>
        <v>0</v>
      </c>
      <c r="N31" s="250" t="n">
        <f aca="false" t="array" ref="N31:N31">IFERROR( (MEDIAN((IF(DATOS_[[Sexo]:[Sexo]]=$B31,IF(DATOS_[[AGRUP. VALOR. PTO.]:[AGRUP. VALOR. PTO.]]=$B30,IF(DATOS_[[Check Periodo Ref.]:[Check Periodo Ref.]]="Dentro",IF(DATOS_[[Check Equiparado]:[Check Equiparado]]="Sí",IF(DATOS!AI$4="Sí",(1/DATOS_[[% anualiz]:[% anualiz]]),1)*IF(DATOS!AI$5="Sí",1/DATOS_[[% normaliz]:[% normaliz]],1)*(DATOS_[Conc.Sal.05])))))))), 0)</f>
        <v>0</v>
      </c>
      <c r="O31" s="250" t="n">
        <f aca="false" t="array" ref="O31:O31">IFERROR( (MEDIAN((IF(DATOS_[[Sexo]:[Sexo]]=$B31,IF(DATOS_[[AGRUP. VALOR. PTO.]:[AGRUP. VALOR. PTO.]]=$B30,IF(DATOS_[[Check Periodo Ref.]:[Check Periodo Ref.]]="Dentro",IF(DATOS_[[Check Equiparado]:[Check Equiparado]]="Sí",IF(DATOS!AJ$4="Sí",(1/DATOS_[[% anualiz]:[% anualiz]]),1)*IF(DATOS!AJ$5="Sí",1/DATOS_[[% normaliz]:[% normaliz]],1)*(DATOS_[Conc.Sal.06])))))))), 0)</f>
        <v>0</v>
      </c>
      <c r="P31" s="250" t="n">
        <f aca="false" t="array" ref="P31:P31">IFERROR( (MEDIAN((IF(DATOS_[[Sexo]:[Sexo]]=$B31,IF(DATOS_[[AGRUP. VALOR. PTO.]:[AGRUP. VALOR. PTO.]]=$B30,IF(DATOS_[[Check Periodo Ref.]:[Check Periodo Ref.]]="Dentro",IF(DATOS_[[Check Equiparado]:[Check Equiparado]]="Sí",IF(DATOS!AK$4="Sí",(1/DATOS_[[% anualiz]:[% anualiz]]),1)*IF(DATOS!AK$5="Sí",1/DATOS_[[% normaliz]:[% normaliz]],1)*(DATOS_[Conc.Sal.07])))))))), 0)</f>
        <v>0</v>
      </c>
      <c r="Q31" s="250" t="n">
        <f aca="false" t="array" ref="Q31:Q31">IFERROR( (MEDIAN((IF(DATOS_[[Sexo]:[Sexo]]=$B31,IF(DATOS_[[AGRUP. VALOR. PTO.]:[AGRUP. VALOR. PTO.]]=$B30,IF(DATOS_[[Check Periodo Ref.]:[Check Periodo Ref.]]="Dentro",IF(DATOS_[[Check Equiparado]:[Check Equiparado]]="Sí",IF(DATOS!AL$4="Sí",(1/DATOS_[[% anualiz]:[% anualiz]]),1)*IF(DATOS!AL$5="Sí",1/DATOS_[[% normaliz]:[% normaliz]],1)*(DATOS_[Conc.Sal.08])))))))), 0)</f>
        <v>0</v>
      </c>
      <c r="R31" s="250" t="n">
        <f aca="false" t="array" ref="R31:R31">IFERROR( (MEDIAN((IF(DATOS_[[Sexo]:[Sexo]]=$B31,IF(DATOS_[[AGRUP. VALOR. PTO.]:[AGRUP. VALOR. PTO.]]=$B30,IF(DATOS_[[Check Periodo Ref.]:[Check Periodo Ref.]]="Dentro",IF(DATOS_[[Check Equiparado]:[Check Equiparado]]="Sí",IF(DATOS!AM$4="Sí",(1/DATOS_[[% anualiz]:[% anualiz]]),1)*IF(DATOS!AM$5="Sí",1/DATOS_[[% normaliz]:[% normaliz]],1)*(DATOS_[Conc.Sal.09])))))))), 0)</f>
        <v>0</v>
      </c>
      <c r="S31" s="250" t="n">
        <f aca="false" t="array" ref="S31:S31">IFERROR( (MEDIAN((IF(DATOS_[[Sexo]:[Sexo]]=$B31,IF(DATOS_[[AGRUP. VALOR. PTO.]:[AGRUP. VALOR. PTO.]]=$B30,IF(DATOS_[[Check Periodo Ref.]:[Check Periodo Ref.]]="Dentro",IF(DATOS_[[Check Equiparado]:[Check Equiparado]]="Sí",IF(DATOS!AN$4="Sí",(1/DATOS_[[% anualiz]:[% anualiz]]),1)*IF(DATOS!AN$5="Sí",1/DATOS_[[% normaliz]:[% normaliz]],1)*(DATOS_[Conc.Sal.10])))))))), 0)</f>
        <v>0</v>
      </c>
      <c r="T31" s="250" t="n">
        <f aca="false" t="array" ref="T31:T31">IFERROR( (MEDIAN((IF(DATOS_[[Sexo]:[Sexo]]=$B31,IF(DATOS_[[AGRUP. VALOR. PTO.]:[AGRUP. VALOR. PTO.]]=$B30,IF(DATOS_[[Check Periodo Ref.]:[Check Periodo Ref.]]="Dentro",IF(DATOS_[[Check Equiparado]:[Check Equiparado]]="Sí",IF(DATOS!AO$4="Sí",(1/DATOS_[[% anualiz]:[% anualiz]]),1)*IF(DATOS!AO$5="Sí",1/DATOS_[[% normaliz]:[% normaliz]],1)*(DATOS_[Conc.Sal.11])))))))), 0)</f>
        <v>0</v>
      </c>
      <c r="U31" s="250" t="n">
        <f aca="false" t="array" ref="U31:U31">IFERROR( (MEDIAN((IF(DATOS_[[Sexo]:[Sexo]]=$B31,IF(DATOS_[[AGRUP. VALOR. PTO.]:[AGRUP. VALOR. PTO.]]=$B30,IF(DATOS_[[Check Periodo Ref.]:[Check Periodo Ref.]]="Dentro",IF(DATOS_[[Check Equiparado]:[Check Equiparado]]="Sí",IF(DATOS!AP$4="Sí",(1/DATOS_[[% anualiz]:[% anualiz]]),1)*IF(DATOS!AP$5="Sí",1/DATOS_[[% normaliz]:[% normaliz]],1)*(DATOS_[Conc.Sal.12])))))))), 0)</f>
        <v>0</v>
      </c>
      <c r="V31" s="250" t="n">
        <f aca="false" t="array" ref="V31:V31">IFERROR( (MEDIAN((IF(DATOS_[[Sexo]:[Sexo]]=$B31,IF(DATOS_[[AGRUP. VALOR. PTO.]:[AGRUP. VALOR. PTO.]]=$B30,IF(DATOS_[[Check Periodo Ref.]:[Check Periodo Ref.]]="Dentro",IF(DATOS_[[Check Equiparado]:[Check Equiparado]]="Sí",IF(DATOS!AQ$4="Sí",(1/DATOS_[[% anualiz]:[% anualiz]]),1)*IF(DATOS!AQ$5="Sí",1/DATOS_[[% normaliz]:[% normaliz]],1)*(DATOS_[Conc.Sal.13])))))))), 0)</f>
        <v>0</v>
      </c>
      <c r="W31" s="250" t="n">
        <f aca="false" t="array" ref="W31:W31">IFERROR( (MEDIAN((IF(DATOS_[[Sexo]:[Sexo]]=$B31,IF(DATOS_[[AGRUP. VALOR. PTO.]:[AGRUP. VALOR. PTO.]]=$B30,IF(DATOS_[[Check Periodo Ref.]:[Check Periodo Ref.]]="Dentro",IF(DATOS_[[Check Equiparado]:[Check Equiparado]]="Sí",IF(DATOS!AR$4="Sí",(1/DATOS_[[% anualiz]:[% anualiz]]),1)*IF(DATOS!AR$5="Sí",1/DATOS_[[% normaliz]:[% normaliz]],1)*(DATOS_[Conc.Sal.14])))))))), 0)</f>
        <v>0</v>
      </c>
      <c r="X31" s="250" t="n">
        <f aca="false" t="array" ref="X31:X31">IFERROR( (MEDIAN((IF(DATOS_[[Sexo]:[Sexo]]=$B31,IF(DATOS_[[AGRUP. VALOR. PTO.]:[AGRUP. VALOR. PTO.]]=$B30,IF(DATOS_[[Check Periodo Ref.]:[Check Periodo Ref.]]="Dentro",IF(DATOS_[[Check Equiparado]:[Check Equiparado]]="Sí",IF(DATOS!AS$4="Sí",(1/DATOS_[[% anualiz]:[% anualiz]]),1)*IF(DATOS!AS$5="Sí",1/DATOS_[[% normaliz]:[% normaliz]],1)*(DATOS_[Conc.Sal.15])))))))), 0)</f>
        <v>0</v>
      </c>
      <c r="Y31" s="250" t="n">
        <f aca="false" t="array" ref="Y31:Y31">IFERROR( (MEDIAN((IF(DATOS_[[Sexo]:[Sexo]]=$B31,IF(DATOS_[[AGRUP. VALOR. PTO.]:[AGRUP. VALOR. PTO.]]=$B30,IF(DATOS_[[Check Periodo Ref.]:[Check Periodo Ref.]]="Dentro",IF(DATOS_[[Check Equiparado]:[Check Equiparado]]="Sí",IF(DATOS!AT$4="Sí",(1/DATOS_[[% anualiz]:[% anualiz]]),1)*IF(DATOS!AT$5="Sí",1/DATOS_[[% normaliz]:[% normaliz]],1)*(DATOS_[Conc.Sal.16])))))))), 0)</f>
        <v>0</v>
      </c>
      <c r="Z31" s="250" t="n">
        <f aca="false" t="array" ref="Z31:Z31">IFERROR( (MEDIAN((IF(DATOS_[[Sexo]:[Sexo]]=$B31,IF(DATOS_[[AGRUP. VALOR. PTO.]:[AGRUP. VALOR. PTO.]]=$B30,IF(DATOS_[[Check Periodo Ref.]:[Check Periodo Ref.]]="Dentro",IF(DATOS_[[Check Equiparado]:[Check Equiparado]]="Sí",IF(DATOS!AU$4="Sí",(1/DATOS_[[% anualiz]:[% anualiz]]),1)*IF(DATOS!AU$5="Sí",1/DATOS_[[% normaliz]:[% normaliz]],1)*(DATOS_[Conc.Sal.17])))))))), 0)</f>
        <v>0</v>
      </c>
      <c r="AA31" s="250" t="n">
        <f aca="false" t="array" ref="AA31:AA31">IFERROR( (MEDIAN((IF(DATOS_[[Sexo]:[Sexo]]=$B31,IF(DATOS_[[AGRUP. VALOR. PTO.]:[AGRUP. VALOR. PTO.]]=$B30,IF(DATOS_[[Check Periodo Ref.]:[Check Periodo Ref.]]="Dentro",IF(DATOS_[[Check Equiparado]:[Check Equiparado]]="Sí",IF(DATOS!AV$4="Sí",(1/DATOS_[[% anualiz]:[% anualiz]]),1)*IF(DATOS!AV$5="Sí",1/DATOS_[[% normaliz]:[% normaliz]],1)*(DATOS_[Conc.Sal.18])))))))), 0)</f>
        <v>0</v>
      </c>
      <c r="AB31" s="250" t="n">
        <f aca="false" t="array" ref="AB31:AB31">IFERROR( (MEDIAN((IF(DATOS_[[Sexo]:[Sexo]]=$B31,IF(DATOS_[[AGRUP. VALOR. PTO.]:[AGRUP. VALOR. PTO.]]=$B30,IF(DATOS_[[Check Periodo Ref.]:[Check Periodo Ref.]]="Dentro",IF(DATOS_[[Check Equiparado]:[Check Equiparado]]="Sí",IF(DATOS!AW$4="Sí",(1/DATOS_[[% anualiz]:[% anualiz]]),1)*IF(DATOS!AW$5="Sí",1/DATOS_[[% normaliz]:[% normaliz]],1)*(DATOS_[Conc.Sal.19])))))))), 0)</f>
        <v>0</v>
      </c>
      <c r="AC31" s="250" t="n">
        <f aca="false" t="array" ref="AC31:AC31">IFERROR( (MEDIAN((IF(DATOS_[[Sexo]:[Sexo]]=$B31,IF(DATOS_[[AGRUP. VALOR. PTO.]:[AGRUP. VALOR. PTO.]]=$B30,IF(DATOS_[[Check Periodo Ref.]:[Check Periodo Ref.]]="Dentro",IF(DATOS_[[Check Equiparado]:[Check Equiparado]]="Sí",IF(DATOS!AX$4="Sí",(1/DATOS_[[% anualiz]:[% anualiz]]),1)*IF(DATOS!AX$5="Sí",1/DATOS_[[% normaliz]:[% normaliz]],1)*(DATOS_[Conc.Sal.20])))))))), 0)</f>
        <v>0</v>
      </c>
      <c r="AD31" s="250" t="n">
        <f aca="false" t="array" ref="AD31:AD31">IFERROR( (MEDIAN((IF(DATOS_[[Sexo]:[Sexo]]=$B31,IF(DATOS_[[AGRUP. VALOR. PTO.]:[AGRUP. VALOR. PTO.]]=$B30,IF(DATOS_[[Check Periodo Ref.]:[Check Periodo Ref.]]="Dentro",IF(DATOS_[[Check Equiparado]:[Check Equiparado]]="Sí",IF(DATOS!AY$4="Sí",(1/DATOS_[[% anualiz]:[% anualiz]]),1)*IF(DATOS!AY$5="Sí",1/DATOS_[[% normaliz]:[% normaliz]],1)*(DATOS_[Conc.Sal.21])))))))), 0)</f>
        <v>0</v>
      </c>
      <c r="AE31" s="250" t="n">
        <f aca="false" t="array" ref="AE31:AE31">IFERROR( (MEDIAN((IF(DATOS_[[Sexo]:[Sexo]]=$B31,IF(DATOS_[[AGRUP. VALOR. PTO.]:[AGRUP. VALOR. PTO.]]=$B30,IF(DATOS_[[Check Periodo Ref.]:[Check Periodo Ref.]]="Dentro",IF(DATOS_[[Check Equiparado]:[Check Equiparado]]="Sí",IF(DATOS!AZ$4="Sí",(1/DATOS_[[% anualiz]:[% anualiz]]),1)*IF(DATOS!AZ$5="Sí",1/DATOS_[[% normaliz]:[% normaliz]],1)*(DATOS_[Conc.Sal.22])))))))), 0)</f>
        <v>0</v>
      </c>
      <c r="AF31" s="250" t="n">
        <f aca="false" t="array" ref="AF31:AF31">IFERROR( (MEDIAN((IF(DATOS_[[Sexo]:[Sexo]]=$B31,IF(DATOS_[[AGRUP. VALOR. PTO.]:[AGRUP. VALOR. PTO.]]=$B30,IF(DATOS_[[Check Periodo Ref.]:[Check Periodo Ref.]]="Dentro",IF(DATOS_[[Check Equiparado]:[Check Equiparado]]="Sí",IF(DATOS!BA$4="Sí",(1/DATOS_[[% anualiz]:[% anualiz]]),1)*IF(DATOS!BA$5="Sí",1/DATOS_[[% normaliz]:[% normaliz]],1)*(DATOS_[Conc.Sal.23])))))))), 0)</f>
        <v>0</v>
      </c>
      <c r="AG31" s="250" t="n">
        <f aca="false" t="array" ref="AG31:AG31">IFERROR( (MEDIAN((IF(DATOS_[[Sexo]:[Sexo]]=$B31,IF(DATOS_[[AGRUP. VALOR. PTO.]:[AGRUP. VALOR. PTO.]]=$B30,IF(DATOS_[[Check Periodo Ref.]:[Check Periodo Ref.]]="Dentro",IF(DATOS_[[Check Equiparado]:[Check Equiparado]]="Sí",IF(DATOS!BB$4="Sí",(1/DATOS_[[% anualiz]:[% anualiz]]),1)*IF(DATOS!BB$5="Sí",1/DATOS_[[% normaliz]:[% normaliz]],1)*(DATOS_[Conc.Sal.24])))))))), 0)</f>
        <v>0</v>
      </c>
      <c r="AH31" s="250" t="n">
        <f aca="false" t="array" ref="AH31:AH31">IFERROR( (MEDIAN((IF(DATOS_[[Sexo]:[Sexo]]=$B31,IF(DATOS_[[AGRUP. VALOR. PTO.]:[AGRUP. VALOR. PTO.]]=$B30,IF(DATOS_[[Check Periodo Ref.]:[Check Periodo Ref.]]="Dentro",IF(DATOS_[[Check Equiparado]:[Check Equiparado]]="Sí",IF(DATOS!BC$4="Sí",(1/DATOS_[[% anualiz]:[% anualiz]]),1)*IF(DATOS!BC$5="Sí",1/DATOS_[[% normaliz]:[% normaliz]],1)*(DATOS_[Conc.Sal.25])))))))), 0)</f>
        <v>0</v>
      </c>
      <c r="AI31" s="250" t="n">
        <f aca="false" t="array" ref="AI31:AI31">IFERROR( (MEDIAN((IF(DATOS_[[Sexo]:[Sexo]]=$B31,IF(DATOS_[[AGRUP. VALOR. PTO.]:[AGRUP. VALOR. PTO.]]=$B30,IF(DATOS_[[Check Periodo Ref.]:[Check Periodo Ref.]]="Dentro",IF(DATOS_[[Check Equiparado]:[Check Equiparado]]="Sí",IF(DATOS!BD$4="Sí",(1/DATOS_[[% anualiz]:[% anualiz]]),1)*IF(DATOS!BD$5="Sí",1/DATOS_[[% normaliz]:[% normaliz]],1)*(DATOS_[Conc.Sal.26])))))))), 0)</f>
        <v>0</v>
      </c>
      <c r="AJ31" s="250" t="n">
        <f aca="false" t="array" ref="AJ31:AJ31">IFERROR( (MEDIAN((IF(DATOS_[[Sexo]:[Sexo]]=$B31,IF(DATOS_[[AGRUP. VALOR. PTO.]:[AGRUP. VALOR. PTO.]]=$B30,IF(DATOS_[[Check Periodo Ref.]:[Check Periodo Ref.]]="Dentro",IF(DATOS_[[Check Equiparado]:[Check Equiparado]]="Sí",IF(DATOS!BE$4="Sí",(1/DATOS_[[% anualiz]:[% anualiz]]),1)*IF(DATOS!BE$5="Sí",1/DATOS_[[% normaliz]:[% normaliz]],1)*(DATOS_[Conc.Sal.27])))))))), 0)</f>
        <v>0</v>
      </c>
      <c r="AK31" s="250" t="n">
        <f aca="false" t="array" ref="AK31:AK31">IFERROR( (MEDIAN((IF(DATOS_[[Sexo]:[Sexo]]=$B31,IF(DATOS_[[AGRUP. VALOR. PTO.]:[AGRUP. VALOR. PTO.]]=$B30,IF(DATOS_[[Check Periodo Ref.]:[Check Periodo Ref.]]="Dentro",IF(DATOS_[[Check Equiparado]:[Check Equiparado]]="Sí",IF(DATOS!BF$4="Sí",(1/DATOS_[[% anualiz]:[% anualiz]]),1)*IF(DATOS!BF$5="Sí",1/DATOS_[[% normaliz]:[% normaliz]],1)*(DATOS_[Conc.Sal.28])))))))), 0)</f>
        <v>0</v>
      </c>
      <c r="AL31" s="250" t="n">
        <f aca="false" t="array" ref="AL31:AL31">IFERROR( (MEDIAN((IF(DATOS_[[Sexo]:[Sexo]]=$B31,IF(DATOS_[[AGRUP. VALOR. PTO.]:[AGRUP. VALOR. PTO.]]=$B30,IF(DATOS_[[Check Periodo Ref.]:[Check Periodo Ref.]]="Dentro",IF(DATOS_[[Check Equiparado]:[Check Equiparado]]="Sí",IF(DATOS!BG$4="Sí",(1/DATOS_[[% anualiz]:[% anualiz]]),1)*IF(DATOS!BG$5="Sí",1/DATOS_[[% normaliz]:[% normaliz]],1)*(DATOS_[Conc.Sal.29])))))))), 0)</f>
        <v>0</v>
      </c>
      <c r="AM31" s="250" t="n">
        <f aca="false" t="array" ref="AM31:AM31">IFERROR( (MEDIAN((IF(DATOS_[[Sexo]:[Sexo]]=$B31,IF(DATOS_[[AGRUP. VALOR. PTO.]:[AGRUP. VALOR. PTO.]]=$B30,IF(DATOS_[[Check Periodo Ref.]:[Check Periodo Ref.]]="Dentro",IF(DATOS_[[Check Equiparado]:[Check Equiparado]]="Sí",IF(DATOS!BH$4="Sí",(1/DATOS_[[% anualiz]:[% anualiz]]),1)*IF(DATOS!BH$5="Sí",1/DATOS_[[% normaliz]:[% normaliz]],1)*(DATOS_[Conc.Sal.30])))))))), 0)</f>
        <v>0</v>
      </c>
      <c r="AN31" s="251" t="n">
        <f aca="false" t="array" ref="AN31:AN31">IFERROR( MEDIAN(IF(DATOS_[Sexo]=$B31,IF(DATOS_[[AGRUP. VALOR. PTO.]:[AGRUP. VALOR. PTO.]]=$B30,IF(DATOS_[Check Equiparado]="Sí",IF(DATOS_[Check Periodo Ref.]="Dentro",DATOS_[Tot COMPL.SAL Eq],0))))), 0)</f>
        <v>0</v>
      </c>
      <c r="AO31" s="252" t="n">
        <f aca="false" t="array" ref="AO31:AO31">IFERROR( MEDIAN(IF(DATOS_[Sexo]=$B31,IF(DATOS_[[AGRUP. VALOR. PTO.]:[AGRUP. VALOR. PTO.]]=$B30,IF(DATOS_[Check Equiparado]="Sí",IF(DATOS_[Check Periodo Ref.]="Dentro",DATOS_[TOTAL SALARIO Eq],0))))), 0)</f>
        <v>0</v>
      </c>
      <c r="AP31" s="259" t="n">
        <f aca="false" t="array" ref="AP31:AP31">IFERROR( (MEDIAN((IF(DATOS_[[Sexo]:[Sexo]]=$B31,IF(DATOS_[[AGRUP. VALOR. PTO.]:[AGRUP. VALOR. PTO.]]=$B30,IF(DATOS_[[Check Periodo Ref.]:[Check Periodo Ref.]]="Dentro",IF(DATOS_[[Check Equiparado]:[Check Equiparado]]="Sí",IF(DATOS!BI$4="Sí",(1/DATOS_[[% anualiz]:[% anualiz]]),1)*IF(DATOS!BI$5="Sí",1/DATOS_[[% normaliz]:[% normaliz]],1)*(DATOS_[C.Extra.01])))))))), 0)</f>
        <v>0</v>
      </c>
      <c r="AQ31" s="259" t="n">
        <f aca="false" t="array" ref="AQ31:AQ31">IFERROR( (MEDIAN((IF(DATOS_[[Sexo]:[Sexo]]=$B31,IF(DATOS_[[AGRUP. VALOR. PTO.]:[AGRUP. VALOR. PTO.]]=$B30,IF(DATOS_[[Check Periodo Ref.]:[Check Periodo Ref.]]="Dentro",IF(DATOS_[[Check Equiparado]:[Check Equiparado]]="Sí",IF(DATOS!BJ$4="Sí",(1/DATOS_[[% anualiz]:[% anualiz]]),1)*IF(DATOS!BJ$5="Sí",1/DATOS_[[% normaliz]:[% normaliz]],1)*(DATOS_[C.Extra.02])))))))), 0)</f>
        <v>0</v>
      </c>
      <c r="AR31" s="259" t="n">
        <f aca="false" t="array" ref="AR31:AR31">IFERROR( (MEDIAN((IF(DATOS_[[Sexo]:[Sexo]]=$B31,IF(DATOS_[[AGRUP. VALOR. PTO.]:[AGRUP. VALOR. PTO.]]=$B30,IF(DATOS_[[Check Periodo Ref.]:[Check Periodo Ref.]]="Dentro",IF(DATOS_[[Check Equiparado]:[Check Equiparado]]="Sí",IF(DATOS!BK$4="Sí",(1/DATOS_[[% anualiz]:[% anualiz]]),1)*IF(DATOS!BK$5="Sí",1/DATOS_[[% normaliz]:[% normaliz]],1)*(DATOS_[C.Extra.03])))))))), 0)</f>
        <v>0</v>
      </c>
      <c r="AS31" s="259" t="n">
        <f aca="false" t="array" ref="AS31:AS31">IFERROR( (MEDIAN((IF(DATOS_[[Sexo]:[Sexo]]=$B31,IF(DATOS_[[AGRUP. VALOR. PTO.]:[AGRUP. VALOR. PTO.]]=$B30,IF(DATOS_[[Check Periodo Ref.]:[Check Periodo Ref.]]="Dentro",IF(DATOS_[[Check Equiparado]:[Check Equiparado]]="Sí",IF(DATOS!BL$4="Sí",(1/DATOS_[[% anualiz]:[% anualiz]]),1)*IF(DATOS!BL$5="Sí",1/DATOS_[[% normaliz]:[% normaliz]],1)*(DATOS_[C.Extra.04])))))))), 0)</f>
        <v>0</v>
      </c>
      <c r="AT31" s="259" t="n">
        <f aca="false" t="array" ref="AT31:AT31">IFERROR( (MEDIAN((IF(DATOS_[[Sexo]:[Sexo]]=$B31,IF(DATOS_[[AGRUP. VALOR. PTO.]:[AGRUP. VALOR. PTO.]]=$B30,IF(DATOS_[[Check Periodo Ref.]:[Check Periodo Ref.]]="Dentro",IF(DATOS_[[Check Equiparado]:[Check Equiparado]]="Sí",IF(DATOS!BM$4="Sí",(1/DATOS_[[% anualiz]:[% anualiz]]),1)*IF(DATOS!BM$5="Sí",1/DATOS_[[% normaliz]:[% normaliz]],1)*(DATOS_[C.Extra.05])))))))), 0)</f>
        <v>0</v>
      </c>
      <c r="AU31" s="254" t="n">
        <f aca="false" t="array" ref="AU31:AU31">IFERROR( MEDIAN(IF(DATOS_[Sexo]=$B31,IF(DATOS_[[AGRUP. VALOR. PTO.]:[AGRUP. VALOR. PTO.]]=$B30,IF(DATOS_[Check Equiparado]="Sí",IF(DATOS_[Check Periodo Ref.]="Dentro",DATOS_[Tot Extrasalarial Eq],0))))), 0)</f>
        <v>0</v>
      </c>
      <c r="AV31" s="255" t="n">
        <f aca="false" t="array" ref="AV31:AV31">IFERROR( MEDIAN(IF(DATOS_[Sexo]=$B31,IF(DATOS_[[AGRUP. VALOR. PTO.]:[AGRUP. VALOR. PTO.]]=$B30,IF(DATOS_[Check Equiparado]="Sí",IF(DATOS_[Check Periodo Ref.]="Dentro",DATOS_[TOTAL Retrib Eq],0))))), 0)</f>
        <v>0</v>
      </c>
    </row>
    <row r="32" customFormat="false" ht="14.25" hidden="false" customHeight="false" outlineLevel="0" collapsed="false">
      <c r="A32" s="217" t="str">
        <f aca="false">+A31</f>
        <v>[ocultar]</v>
      </c>
      <c r="B32" s="323" t="s">
        <v>372</v>
      </c>
      <c r="C32" s="247" t="n">
        <f aca="false" t="array" ref="C32:C32">SUM(IF($B32=DATOS_[Sexo], IF($B30=DATOS_[AGRUP. VALOR. PTO.], IF("Dentro"=DATOS_[Check Periodo Ref.], 1/(COUNTIFS(DATOS_[Sexo],$B32,DATOS_[AGRUP. VALOR. PTO.],$B30,DATOS_[Check Periodo Ref.],"Dentro",DATOS_[id],DATOS_[id]))))))</f>
        <v>0</v>
      </c>
      <c r="D32" s="248" t="n">
        <f aca="false">COUNTIFS(DATOS_[AGRUP. VALOR. PTO.],$B30,DATOS_[Sexo],$B32,DATOS_[Check Periodo Ref.],"Dentro")</f>
        <v>0</v>
      </c>
      <c r="E32" s="248" t="n">
        <f aca="false">COUNTIFS(DATOS_[AGRUP. VALOR. PTO.],$B30,DATOS_[Sexo],$B32,DATOS_[Check Periodo Ref.],"Dentro",DATOS_[Check Nº SC Norm],"Sí")</f>
        <v>0</v>
      </c>
      <c r="F32" s="248" t="n">
        <f aca="false">COUNTIFS(DATOS_[AGRUP. VALOR. PTO.],$B30,DATOS_[Sexo],$B32,DATOS_[Check Periodo Ref.],"Dentro",DATOS_[Check Nº SC Anualiz],"Sí")</f>
        <v>0</v>
      </c>
      <c r="G32" s="248" t="n">
        <f aca="false">COUNTIFS(DATOS_[AGRUP. VALOR. PTO.],$B30,DATOS_[Sexo],$B32,DATOS_[Check Periodo Ref.],"Dentro",DATOS_[Check Nº SC Norm y Anualiz],"Sí")</f>
        <v>0</v>
      </c>
      <c r="H32" s="248" t="n">
        <f aca="false">COUNTIFS(DATOS_[AGRUP. VALOR. PTO.],$B30,DATOS_[Sexo],$B32,DATOS_[Check Periodo Ref.],"Dentro",DATOS_[Check Equiparación],"Sí")</f>
        <v>0</v>
      </c>
      <c r="I32" s="249" t="n">
        <f aca="false" t="array" ref="I32:I32">IFERROR( MEDIAN(IF(DATOS_[Sexo]=$B32,IF(DATOS_[[AGRUP. VALOR. PTO.]:[AGRUP. VALOR. PTO.]]=$B30,IF(DATOS_[Check Equiparado]="Sí",IF(DATOS_[Check Periodo Ref.]="Dentro",DATOS_[SALARIO BASE Eq],0))))), 0)</f>
        <v>0</v>
      </c>
      <c r="J32" s="250" t="n">
        <f aca="false" t="array" ref="J32:J32">IFERROR( (MEDIAN((IF(DATOS_[[Sexo]:[Sexo]]=$B32,IF(DATOS_[[AGRUP. VALOR. PTO.]:[AGRUP. VALOR. PTO.]]=$B30,IF(DATOS_[[Check Periodo Ref.]:[Check Periodo Ref.]]="Dentro",IF(DATOS_[[Check Equiparado]:[Check Equiparado]]="Sí",IF(DATOS!AE$4="Sí",(1/DATOS_[[% anualiz]:[% anualiz]]),1)*IF(DATOS!AE$5="Sí",1/DATOS_[[% normaliz]:[% normaliz]],1)*(DATOS_[Conc.Sal.01])))))))), 0)</f>
        <v>0</v>
      </c>
      <c r="K32" s="250" t="n">
        <f aca="false" t="array" ref="K32:K32">IFERROR( (MEDIAN((IF(DATOS_[[Sexo]:[Sexo]]=$B32,IF(DATOS_[[AGRUP. VALOR. PTO.]:[AGRUP. VALOR. PTO.]]=$B30,IF(DATOS_[[Check Periodo Ref.]:[Check Periodo Ref.]]="Dentro",IF(DATOS_[[Check Equiparado]:[Check Equiparado]]="Sí",IF(DATOS!AF$4="Sí",(1/DATOS_[[% anualiz]:[% anualiz]]),1)*IF(DATOS!AF$5="Sí",1/DATOS_[[% normaliz]:[% normaliz]],1)*(DATOS_[Conc.Sal.02])))))))), 0)</f>
        <v>0</v>
      </c>
      <c r="L32" s="250" t="n">
        <f aca="false" t="array" ref="L32:L32">IFERROR( (MEDIAN((IF(DATOS_[[Sexo]:[Sexo]]=$B32,IF(DATOS_[[AGRUP. VALOR. PTO.]:[AGRUP. VALOR. PTO.]]=$B30,IF(DATOS_[[Check Periodo Ref.]:[Check Periodo Ref.]]="Dentro",IF(DATOS_[[Check Equiparado]:[Check Equiparado]]="Sí",IF(DATOS!AG$4="Sí",(1/DATOS_[[% anualiz]:[% anualiz]]),1)*IF(DATOS!AG$5="Sí",1/DATOS_[[% normaliz]:[% normaliz]],1)*(DATOS_[Conc.Sal.03])))))))), 0)</f>
        <v>0</v>
      </c>
      <c r="M32" s="250" t="n">
        <f aca="false" t="array" ref="M32:M32">IFERROR( (MEDIAN((IF(DATOS_[[Sexo]:[Sexo]]=$B32,IF(DATOS_[[AGRUP. VALOR. PTO.]:[AGRUP. VALOR. PTO.]]=$B30,IF(DATOS_[[Check Periodo Ref.]:[Check Periodo Ref.]]="Dentro",IF(DATOS_[[Check Equiparado]:[Check Equiparado]]="Sí",IF(DATOS!AH$4="Sí",(1/DATOS_[[% anualiz]:[% anualiz]]),1)*IF(DATOS!AH$5="Sí",1/DATOS_[[% normaliz]:[% normaliz]],1)*(DATOS_[Conc.Sal.04])))))))), 0)</f>
        <v>0</v>
      </c>
      <c r="N32" s="250" t="n">
        <f aca="false" t="array" ref="N32:N32">IFERROR( (MEDIAN((IF(DATOS_[[Sexo]:[Sexo]]=$B32,IF(DATOS_[[AGRUP. VALOR. PTO.]:[AGRUP. VALOR. PTO.]]=$B30,IF(DATOS_[[Check Periodo Ref.]:[Check Periodo Ref.]]="Dentro",IF(DATOS_[[Check Equiparado]:[Check Equiparado]]="Sí",IF(DATOS!AI$4="Sí",(1/DATOS_[[% anualiz]:[% anualiz]]),1)*IF(DATOS!AI$5="Sí",1/DATOS_[[% normaliz]:[% normaliz]],1)*(DATOS_[Conc.Sal.05])))))))), 0)</f>
        <v>0</v>
      </c>
      <c r="O32" s="250" t="n">
        <f aca="false" t="array" ref="O32:O32">IFERROR( (MEDIAN((IF(DATOS_[[Sexo]:[Sexo]]=$B32,IF(DATOS_[[AGRUP. VALOR. PTO.]:[AGRUP. VALOR. PTO.]]=$B30,IF(DATOS_[[Check Periodo Ref.]:[Check Periodo Ref.]]="Dentro",IF(DATOS_[[Check Equiparado]:[Check Equiparado]]="Sí",IF(DATOS!AJ$4="Sí",(1/DATOS_[[% anualiz]:[% anualiz]]),1)*IF(DATOS!AJ$5="Sí",1/DATOS_[[% normaliz]:[% normaliz]],1)*(DATOS_[Conc.Sal.06])))))))), 0)</f>
        <v>0</v>
      </c>
      <c r="P32" s="250" t="n">
        <f aca="false" t="array" ref="P32:P32">IFERROR( (MEDIAN((IF(DATOS_[[Sexo]:[Sexo]]=$B32,IF(DATOS_[[AGRUP. VALOR. PTO.]:[AGRUP. VALOR. PTO.]]=$B30,IF(DATOS_[[Check Periodo Ref.]:[Check Periodo Ref.]]="Dentro",IF(DATOS_[[Check Equiparado]:[Check Equiparado]]="Sí",IF(DATOS!AK$4="Sí",(1/DATOS_[[% anualiz]:[% anualiz]]),1)*IF(DATOS!AK$5="Sí",1/DATOS_[[% normaliz]:[% normaliz]],1)*(DATOS_[Conc.Sal.07])))))))), 0)</f>
        <v>0</v>
      </c>
      <c r="Q32" s="250" t="n">
        <f aca="false" t="array" ref="Q32:Q32">IFERROR( (MEDIAN((IF(DATOS_[[Sexo]:[Sexo]]=$B32,IF(DATOS_[[AGRUP. VALOR. PTO.]:[AGRUP. VALOR. PTO.]]=$B30,IF(DATOS_[[Check Periodo Ref.]:[Check Periodo Ref.]]="Dentro",IF(DATOS_[[Check Equiparado]:[Check Equiparado]]="Sí",IF(DATOS!AL$4="Sí",(1/DATOS_[[% anualiz]:[% anualiz]]),1)*IF(DATOS!AL$5="Sí",1/DATOS_[[% normaliz]:[% normaliz]],1)*(DATOS_[Conc.Sal.08])))))))), 0)</f>
        <v>0</v>
      </c>
      <c r="R32" s="250" t="n">
        <f aca="false" t="array" ref="R32:R32">IFERROR( (MEDIAN((IF(DATOS_[[Sexo]:[Sexo]]=$B32,IF(DATOS_[[AGRUP. VALOR. PTO.]:[AGRUP. VALOR. PTO.]]=$B30,IF(DATOS_[[Check Periodo Ref.]:[Check Periodo Ref.]]="Dentro",IF(DATOS_[[Check Equiparado]:[Check Equiparado]]="Sí",IF(DATOS!AM$4="Sí",(1/DATOS_[[% anualiz]:[% anualiz]]),1)*IF(DATOS!AM$5="Sí",1/DATOS_[[% normaliz]:[% normaliz]],1)*(DATOS_[Conc.Sal.09])))))))), 0)</f>
        <v>0</v>
      </c>
      <c r="S32" s="250" t="n">
        <f aca="false" t="array" ref="S32:S32">IFERROR( (MEDIAN((IF(DATOS_[[Sexo]:[Sexo]]=$B32,IF(DATOS_[[AGRUP. VALOR. PTO.]:[AGRUP. VALOR. PTO.]]=$B30,IF(DATOS_[[Check Periodo Ref.]:[Check Periodo Ref.]]="Dentro",IF(DATOS_[[Check Equiparado]:[Check Equiparado]]="Sí",IF(DATOS!AN$4="Sí",(1/DATOS_[[% anualiz]:[% anualiz]]),1)*IF(DATOS!AN$5="Sí",1/DATOS_[[% normaliz]:[% normaliz]],1)*(DATOS_[Conc.Sal.10])))))))), 0)</f>
        <v>0</v>
      </c>
      <c r="T32" s="250" t="n">
        <f aca="false" t="array" ref="T32:T32">IFERROR( (MEDIAN((IF(DATOS_[[Sexo]:[Sexo]]=$B32,IF(DATOS_[[AGRUP. VALOR. PTO.]:[AGRUP. VALOR. PTO.]]=$B30,IF(DATOS_[[Check Periodo Ref.]:[Check Periodo Ref.]]="Dentro",IF(DATOS_[[Check Equiparado]:[Check Equiparado]]="Sí",IF(DATOS!AO$4="Sí",(1/DATOS_[[% anualiz]:[% anualiz]]),1)*IF(DATOS!AO$5="Sí",1/DATOS_[[% normaliz]:[% normaliz]],1)*(DATOS_[Conc.Sal.11])))))))), 0)</f>
        <v>0</v>
      </c>
      <c r="U32" s="250" t="n">
        <f aca="false" t="array" ref="U32:U32">IFERROR( (MEDIAN((IF(DATOS_[[Sexo]:[Sexo]]=$B32,IF(DATOS_[[AGRUP. VALOR. PTO.]:[AGRUP. VALOR. PTO.]]=$B30,IF(DATOS_[[Check Periodo Ref.]:[Check Periodo Ref.]]="Dentro",IF(DATOS_[[Check Equiparado]:[Check Equiparado]]="Sí",IF(DATOS!AP$4="Sí",(1/DATOS_[[% anualiz]:[% anualiz]]),1)*IF(DATOS!AP$5="Sí",1/DATOS_[[% normaliz]:[% normaliz]],1)*(DATOS_[Conc.Sal.12])))))))), 0)</f>
        <v>0</v>
      </c>
      <c r="V32" s="250" t="n">
        <f aca="false" t="array" ref="V32:V32">IFERROR( (MEDIAN((IF(DATOS_[[Sexo]:[Sexo]]=$B32,IF(DATOS_[[AGRUP. VALOR. PTO.]:[AGRUP. VALOR. PTO.]]=$B30,IF(DATOS_[[Check Periodo Ref.]:[Check Periodo Ref.]]="Dentro",IF(DATOS_[[Check Equiparado]:[Check Equiparado]]="Sí",IF(DATOS!AQ$4="Sí",(1/DATOS_[[% anualiz]:[% anualiz]]),1)*IF(DATOS!AQ$5="Sí",1/DATOS_[[% normaliz]:[% normaliz]],1)*(DATOS_[Conc.Sal.13])))))))), 0)</f>
        <v>0</v>
      </c>
      <c r="W32" s="250" t="n">
        <f aca="false" t="array" ref="W32:W32">IFERROR( (MEDIAN((IF(DATOS_[[Sexo]:[Sexo]]=$B32,IF(DATOS_[[AGRUP. VALOR. PTO.]:[AGRUP. VALOR. PTO.]]=$B30,IF(DATOS_[[Check Periodo Ref.]:[Check Periodo Ref.]]="Dentro",IF(DATOS_[[Check Equiparado]:[Check Equiparado]]="Sí",IF(DATOS!AR$4="Sí",(1/DATOS_[[% anualiz]:[% anualiz]]),1)*IF(DATOS!AR$5="Sí",1/DATOS_[[% normaliz]:[% normaliz]],1)*(DATOS_[Conc.Sal.14])))))))), 0)</f>
        <v>0</v>
      </c>
      <c r="X32" s="250" t="n">
        <f aca="false" t="array" ref="X32:X32">IFERROR( (MEDIAN((IF(DATOS_[[Sexo]:[Sexo]]=$B32,IF(DATOS_[[AGRUP. VALOR. PTO.]:[AGRUP. VALOR. PTO.]]=$B30,IF(DATOS_[[Check Periodo Ref.]:[Check Periodo Ref.]]="Dentro",IF(DATOS_[[Check Equiparado]:[Check Equiparado]]="Sí",IF(DATOS!AS$4="Sí",(1/DATOS_[[% anualiz]:[% anualiz]]),1)*IF(DATOS!AS$5="Sí",1/DATOS_[[% normaliz]:[% normaliz]],1)*(DATOS_[Conc.Sal.15])))))))), 0)</f>
        <v>0</v>
      </c>
      <c r="Y32" s="250" t="n">
        <f aca="false" t="array" ref="Y32:Y32">IFERROR( (MEDIAN((IF(DATOS_[[Sexo]:[Sexo]]=$B32,IF(DATOS_[[AGRUP. VALOR. PTO.]:[AGRUP. VALOR. PTO.]]=$B30,IF(DATOS_[[Check Periodo Ref.]:[Check Periodo Ref.]]="Dentro",IF(DATOS_[[Check Equiparado]:[Check Equiparado]]="Sí",IF(DATOS!AT$4="Sí",(1/DATOS_[[% anualiz]:[% anualiz]]),1)*IF(DATOS!AT$5="Sí",1/DATOS_[[% normaliz]:[% normaliz]],1)*(DATOS_[Conc.Sal.16])))))))), 0)</f>
        <v>0</v>
      </c>
      <c r="Z32" s="250" t="n">
        <f aca="false" t="array" ref="Z32:Z32">IFERROR( (MEDIAN((IF(DATOS_[[Sexo]:[Sexo]]=$B32,IF(DATOS_[[AGRUP. VALOR. PTO.]:[AGRUP. VALOR. PTO.]]=$B30,IF(DATOS_[[Check Periodo Ref.]:[Check Periodo Ref.]]="Dentro",IF(DATOS_[[Check Equiparado]:[Check Equiparado]]="Sí",IF(DATOS!AU$4="Sí",(1/DATOS_[[% anualiz]:[% anualiz]]),1)*IF(DATOS!AU$5="Sí",1/DATOS_[[% normaliz]:[% normaliz]],1)*(DATOS_[Conc.Sal.17])))))))), 0)</f>
        <v>0</v>
      </c>
      <c r="AA32" s="250" t="n">
        <f aca="false" t="array" ref="AA32:AA32">IFERROR( (MEDIAN((IF(DATOS_[[Sexo]:[Sexo]]=$B32,IF(DATOS_[[AGRUP. VALOR. PTO.]:[AGRUP. VALOR. PTO.]]=$B30,IF(DATOS_[[Check Periodo Ref.]:[Check Periodo Ref.]]="Dentro",IF(DATOS_[[Check Equiparado]:[Check Equiparado]]="Sí",IF(DATOS!AV$4="Sí",(1/DATOS_[[% anualiz]:[% anualiz]]),1)*IF(DATOS!AV$5="Sí",1/DATOS_[[% normaliz]:[% normaliz]],1)*(DATOS_[Conc.Sal.18])))))))), 0)</f>
        <v>0</v>
      </c>
      <c r="AB32" s="250" t="n">
        <f aca="false" t="array" ref="AB32:AB32">IFERROR( (MEDIAN((IF(DATOS_[[Sexo]:[Sexo]]=$B32,IF(DATOS_[[AGRUP. VALOR. PTO.]:[AGRUP. VALOR. PTO.]]=$B30,IF(DATOS_[[Check Periodo Ref.]:[Check Periodo Ref.]]="Dentro",IF(DATOS_[[Check Equiparado]:[Check Equiparado]]="Sí",IF(DATOS!AW$4="Sí",(1/DATOS_[[% anualiz]:[% anualiz]]),1)*IF(DATOS!AW$5="Sí",1/DATOS_[[% normaliz]:[% normaliz]],1)*(DATOS_[Conc.Sal.19])))))))), 0)</f>
        <v>0</v>
      </c>
      <c r="AC32" s="250" t="n">
        <f aca="false" t="array" ref="AC32:AC32">IFERROR( (MEDIAN((IF(DATOS_[[Sexo]:[Sexo]]=$B32,IF(DATOS_[[AGRUP. VALOR. PTO.]:[AGRUP. VALOR. PTO.]]=$B30,IF(DATOS_[[Check Periodo Ref.]:[Check Periodo Ref.]]="Dentro",IF(DATOS_[[Check Equiparado]:[Check Equiparado]]="Sí",IF(DATOS!AX$4="Sí",(1/DATOS_[[% anualiz]:[% anualiz]]),1)*IF(DATOS!AX$5="Sí",1/DATOS_[[% normaliz]:[% normaliz]],1)*(DATOS_[Conc.Sal.20])))))))), 0)</f>
        <v>0</v>
      </c>
      <c r="AD32" s="250" t="n">
        <f aca="false" t="array" ref="AD32:AD32">IFERROR( (MEDIAN((IF(DATOS_[[Sexo]:[Sexo]]=$B32,IF(DATOS_[[AGRUP. VALOR. PTO.]:[AGRUP. VALOR. PTO.]]=$B30,IF(DATOS_[[Check Periodo Ref.]:[Check Periodo Ref.]]="Dentro",IF(DATOS_[[Check Equiparado]:[Check Equiparado]]="Sí",IF(DATOS!AY$4="Sí",(1/DATOS_[[% anualiz]:[% anualiz]]),1)*IF(DATOS!AY$5="Sí",1/DATOS_[[% normaliz]:[% normaliz]],1)*(DATOS_[Conc.Sal.21])))))))), 0)</f>
        <v>0</v>
      </c>
      <c r="AE32" s="250" t="n">
        <f aca="false" t="array" ref="AE32:AE32">IFERROR( (MEDIAN((IF(DATOS_[[Sexo]:[Sexo]]=$B32,IF(DATOS_[[AGRUP. VALOR. PTO.]:[AGRUP. VALOR. PTO.]]=$B30,IF(DATOS_[[Check Periodo Ref.]:[Check Periodo Ref.]]="Dentro",IF(DATOS_[[Check Equiparado]:[Check Equiparado]]="Sí",IF(DATOS!AZ$4="Sí",(1/DATOS_[[% anualiz]:[% anualiz]]),1)*IF(DATOS!AZ$5="Sí",1/DATOS_[[% normaliz]:[% normaliz]],1)*(DATOS_[Conc.Sal.22])))))))), 0)</f>
        <v>0</v>
      </c>
      <c r="AF32" s="250" t="n">
        <f aca="false" t="array" ref="AF32:AF32">IFERROR( (MEDIAN((IF(DATOS_[[Sexo]:[Sexo]]=$B32,IF(DATOS_[[AGRUP. VALOR. PTO.]:[AGRUP. VALOR. PTO.]]=$B30,IF(DATOS_[[Check Periodo Ref.]:[Check Periodo Ref.]]="Dentro",IF(DATOS_[[Check Equiparado]:[Check Equiparado]]="Sí",IF(DATOS!BA$4="Sí",(1/DATOS_[[% anualiz]:[% anualiz]]),1)*IF(DATOS!BA$5="Sí",1/DATOS_[[% normaliz]:[% normaliz]],1)*(DATOS_[Conc.Sal.23])))))))), 0)</f>
        <v>0</v>
      </c>
      <c r="AG32" s="250" t="n">
        <f aca="false" t="array" ref="AG32:AG32">IFERROR( (MEDIAN((IF(DATOS_[[Sexo]:[Sexo]]=$B32,IF(DATOS_[[AGRUP. VALOR. PTO.]:[AGRUP. VALOR. PTO.]]=$B30,IF(DATOS_[[Check Periodo Ref.]:[Check Periodo Ref.]]="Dentro",IF(DATOS_[[Check Equiparado]:[Check Equiparado]]="Sí",IF(DATOS!BB$4="Sí",(1/DATOS_[[% anualiz]:[% anualiz]]),1)*IF(DATOS!BB$5="Sí",1/DATOS_[[% normaliz]:[% normaliz]],1)*(DATOS_[Conc.Sal.24])))))))), 0)</f>
        <v>0</v>
      </c>
      <c r="AH32" s="250" t="n">
        <f aca="false" t="array" ref="AH32:AH32">IFERROR( (MEDIAN((IF(DATOS_[[Sexo]:[Sexo]]=$B32,IF(DATOS_[[AGRUP. VALOR. PTO.]:[AGRUP. VALOR. PTO.]]=$B30,IF(DATOS_[[Check Periodo Ref.]:[Check Periodo Ref.]]="Dentro",IF(DATOS_[[Check Equiparado]:[Check Equiparado]]="Sí",IF(DATOS!BC$4="Sí",(1/DATOS_[[% anualiz]:[% anualiz]]),1)*IF(DATOS!BC$5="Sí",1/DATOS_[[% normaliz]:[% normaliz]],1)*(DATOS_[Conc.Sal.25])))))))), 0)</f>
        <v>0</v>
      </c>
      <c r="AI32" s="250" t="n">
        <f aca="false" t="array" ref="AI32:AI32">IFERROR( (MEDIAN((IF(DATOS_[[Sexo]:[Sexo]]=$B32,IF(DATOS_[[AGRUP. VALOR. PTO.]:[AGRUP. VALOR. PTO.]]=$B30,IF(DATOS_[[Check Periodo Ref.]:[Check Periodo Ref.]]="Dentro",IF(DATOS_[[Check Equiparado]:[Check Equiparado]]="Sí",IF(DATOS!BD$4="Sí",(1/DATOS_[[% anualiz]:[% anualiz]]),1)*IF(DATOS!BD$5="Sí",1/DATOS_[[% normaliz]:[% normaliz]],1)*(DATOS_[Conc.Sal.26])))))))), 0)</f>
        <v>0</v>
      </c>
      <c r="AJ32" s="250" t="n">
        <f aca="false" t="array" ref="AJ32:AJ32">IFERROR( (MEDIAN((IF(DATOS_[[Sexo]:[Sexo]]=$B32,IF(DATOS_[[AGRUP. VALOR. PTO.]:[AGRUP. VALOR. PTO.]]=$B30,IF(DATOS_[[Check Periodo Ref.]:[Check Periodo Ref.]]="Dentro",IF(DATOS_[[Check Equiparado]:[Check Equiparado]]="Sí",IF(DATOS!BE$4="Sí",(1/DATOS_[[% anualiz]:[% anualiz]]),1)*IF(DATOS!BE$5="Sí",1/DATOS_[[% normaliz]:[% normaliz]],1)*(DATOS_[Conc.Sal.27])))))))), 0)</f>
        <v>0</v>
      </c>
      <c r="AK32" s="250" t="n">
        <f aca="false" t="array" ref="AK32:AK32">IFERROR( (MEDIAN((IF(DATOS_[[Sexo]:[Sexo]]=$B32,IF(DATOS_[[AGRUP. VALOR. PTO.]:[AGRUP. VALOR. PTO.]]=$B30,IF(DATOS_[[Check Periodo Ref.]:[Check Periodo Ref.]]="Dentro",IF(DATOS_[[Check Equiparado]:[Check Equiparado]]="Sí",IF(DATOS!BF$4="Sí",(1/DATOS_[[% anualiz]:[% anualiz]]),1)*IF(DATOS!BF$5="Sí",1/DATOS_[[% normaliz]:[% normaliz]],1)*(DATOS_[Conc.Sal.28])))))))), 0)</f>
        <v>0</v>
      </c>
      <c r="AL32" s="250" t="n">
        <f aca="false" t="array" ref="AL32:AL32">IFERROR( (MEDIAN((IF(DATOS_[[Sexo]:[Sexo]]=$B32,IF(DATOS_[[AGRUP. VALOR. PTO.]:[AGRUP. VALOR. PTO.]]=$B30,IF(DATOS_[[Check Periodo Ref.]:[Check Periodo Ref.]]="Dentro",IF(DATOS_[[Check Equiparado]:[Check Equiparado]]="Sí",IF(DATOS!BG$4="Sí",(1/DATOS_[[% anualiz]:[% anualiz]]),1)*IF(DATOS!BG$5="Sí",1/DATOS_[[% normaliz]:[% normaliz]],1)*(DATOS_[Conc.Sal.29])))))))), 0)</f>
        <v>0</v>
      </c>
      <c r="AM32" s="250" t="n">
        <f aca="false" t="array" ref="AM32:AM32">IFERROR( (MEDIAN((IF(DATOS_[[Sexo]:[Sexo]]=$B32,IF(DATOS_[[AGRUP. VALOR. PTO.]:[AGRUP. VALOR. PTO.]]=$B30,IF(DATOS_[[Check Periodo Ref.]:[Check Periodo Ref.]]="Dentro",IF(DATOS_[[Check Equiparado]:[Check Equiparado]]="Sí",IF(DATOS!BH$4="Sí",(1/DATOS_[[% anualiz]:[% anualiz]]),1)*IF(DATOS!BH$5="Sí",1/DATOS_[[% normaliz]:[% normaliz]],1)*(DATOS_[Conc.Sal.30])))))))), 0)</f>
        <v>0</v>
      </c>
      <c r="AN32" s="251" t="n">
        <f aca="false" t="array" ref="AN32:AN32">IFERROR( MEDIAN(IF(DATOS_[Sexo]=$B32,IF(DATOS_[[AGRUP. VALOR. PTO.]:[AGRUP. VALOR. PTO.]]=$B30,IF(DATOS_[Check Equiparado]="Sí",IF(DATOS_[Check Periodo Ref.]="Dentro",DATOS_[Tot COMPL.SAL Eq],0))))), 0)</f>
        <v>0</v>
      </c>
      <c r="AO32" s="252" t="n">
        <f aca="false" t="array" ref="AO32:AO32">IFERROR( MEDIAN(IF(DATOS_[Sexo]=$B32,IF(DATOS_[[AGRUP. VALOR. PTO.]:[AGRUP. VALOR. PTO.]]=$B30,IF(DATOS_[Check Equiparado]="Sí",IF(DATOS_[Check Periodo Ref.]="Dentro",DATOS_[TOTAL SALARIO Eq],0))))), 0)</f>
        <v>0</v>
      </c>
      <c r="AP32" s="259" t="n">
        <f aca="false" t="array" ref="AP32:AP32">IFERROR( (MEDIAN((IF(DATOS_[[Sexo]:[Sexo]]=$B32,IF(DATOS_[[AGRUP. VALOR. PTO.]:[AGRUP. VALOR. PTO.]]=$B31,IF(DATOS_[[Check Periodo Ref.]:[Check Periodo Ref.]]="Dentro",IF(DATOS_[[Check Equiparado]:[Check Equiparado]]="Sí",IF(DATOS!BI$4="Sí",(1/DATOS_[[% anualiz]:[% anualiz]]),1)*IF(DATOS!BI$5="Sí",1/DATOS_[[% normaliz]:[% normaliz]],1)*(DATOS_[C.Extra.01])))))))), 0)</f>
        <v>0</v>
      </c>
      <c r="AQ32" s="259" t="n">
        <f aca="false" t="array" ref="AQ32:AQ32">IFERROR( (MEDIAN((IF(DATOS_[[Sexo]:[Sexo]]=$B32,IF(DATOS_[[AGRUP. VALOR. PTO.]:[AGRUP. VALOR. PTO.]]=$B31,IF(DATOS_[[Check Periodo Ref.]:[Check Periodo Ref.]]="Dentro",IF(DATOS_[[Check Equiparado]:[Check Equiparado]]="Sí",IF(DATOS!BJ$4="Sí",(1/DATOS_[[% anualiz]:[% anualiz]]),1)*IF(DATOS!BJ$5="Sí",1/DATOS_[[% normaliz]:[% normaliz]],1)*(DATOS_[C.Extra.02])))))))), 0)</f>
        <v>0</v>
      </c>
      <c r="AR32" s="259" t="n">
        <f aca="false" t="array" ref="AR32:AR32">IFERROR( (MEDIAN((IF(DATOS_[[Sexo]:[Sexo]]=$B32,IF(DATOS_[[AGRUP. VALOR. PTO.]:[AGRUP. VALOR. PTO.]]=$B31,IF(DATOS_[[Check Periodo Ref.]:[Check Periodo Ref.]]="Dentro",IF(DATOS_[[Check Equiparado]:[Check Equiparado]]="Sí",IF(DATOS!BK$4="Sí",(1/DATOS_[[% anualiz]:[% anualiz]]),1)*IF(DATOS!BK$5="Sí",1/DATOS_[[% normaliz]:[% normaliz]],1)*(DATOS_[C.Extra.03])))))))), 0)</f>
        <v>0</v>
      </c>
      <c r="AS32" s="259" t="n">
        <f aca="false" t="array" ref="AS32:AS32">IFERROR( (MEDIAN((IF(DATOS_[[Sexo]:[Sexo]]=$B32,IF(DATOS_[[AGRUP. VALOR. PTO.]:[AGRUP. VALOR. PTO.]]=$B31,IF(DATOS_[[Check Periodo Ref.]:[Check Periodo Ref.]]="Dentro",IF(DATOS_[[Check Equiparado]:[Check Equiparado]]="Sí",IF(DATOS!BL$4="Sí",(1/DATOS_[[% anualiz]:[% anualiz]]),1)*IF(DATOS!BL$5="Sí",1/DATOS_[[% normaliz]:[% normaliz]],1)*(DATOS_[C.Extra.04])))))))), 0)</f>
        <v>0</v>
      </c>
      <c r="AT32" s="259" t="n">
        <f aca="false" t="array" ref="AT32:AT32">IFERROR( (MEDIAN((IF(DATOS_[[Sexo]:[Sexo]]=$B32,IF(DATOS_[[AGRUP. VALOR. PTO.]:[AGRUP. VALOR. PTO.]]=$B31,IF(DATOS_[[Check Periodo Ref.]:[Check Periodo Ref.]]="Dentro",IF(DATOS_[[Check Equiparado]:[Check Equiparado]]="Sí",IF(DATOS!BM$4="Sí",(1/DATOS_[[% anualiz]:[% anualiz]]),1)*IF(DATOS!BM$5="Sí",1/DATOS_[[% normaliz]:[% normaliz]],1)*(DATOS_[C.Extra.05])))))))), 0)</f>
        <v>0</v>
      </c>
      <c r="AU32" s="254" t="n">
        <f aca="false" t="array" ref="AU32:AU32">IFERROR( MEDIAN(IF(DATOS_[Sexo]=$B32,IF(DATOS_[[AGRUP. VALOR. PTO.]:[AGRUP. VALOR. PTO.]]=$B30,IF(DATOS_[Check Equiparado]="Sí",IF(DATOS_[Check Periodo Ref.]="Dentro",DATOS_[Tot Extrasalarial Eq],0))))), 0)</f>
        <v>0</v>
      </c>
      <c r="AV32" s="255" t="n">
        <f aca="false" t="array" ref="AV32:AV32">IFERROR( MEDIAN(IF(DATOS_[Sexo]=$B32,IF(DATOS_[[AGRUP. VALOR. PTO.]:[AGRUP. VALOR. PTO.]]=$B30,IF(DATOS_[Check Equiparado]="Sí",IF(DATOS_[Check Periodo Ref.]="Dentro",DATOS_[TOTAL Retrib Eq],0))))), 0)</f>
        <v>0</v>
      </c>
    </row>
    <row r="33" customFormat="false" ht="15.75" hidden="false" customHeight="false" outlineLevel="0" collapsed="false">
      <c r="A33" s="217" t="str">
        <f aca="false">+A34</f>
        <v>[ocultar]</v>
      </c>
      <c r="B33" s="320" t="s">
        <v>187</v>
      </c>
      <c r="C33" s="236"/>
      <c r="D33" s="237"/>
      <c r="E33" s="237"/>
      <c r="F33" s="237"/>
      <c r="G33" s="237"/>
      <c r="H33" s="237"/>
      <c r="I33" s="238" t="str">
        <f aca="false">IFERROR((I34-I35)/I34,"")</f>
        <v/>
      </c>
      <c r="J33" s="239" t="str">
        <f aca="false">IFERROR((J34-J35)/J34,"")</f>
        <v/>
      </c>
      <c r="K33" s="239" t="str">
        <f aca="false">IFERROR((K34-K35)/K34,"")</f>
        <v/>
      </c>
      <c r="L33" s="239" t="str">
        <f aca="false">IFERROR((L34-L35)/L34,"")</f>
        <v/>
      </c>
      <c r="M33" s="239" t="str">
        <f aca="false">IFERROR((M34-M35)/M34,"")</f>
        <v/>
      </c>
      <c r="N33" s="239" t="str">
        <f aca="false">IFERROR((N34-N35)/N34,"")</f>
        <v/>
      </c>
      <c r="O33" s="239" t="str">
        <f aca="false">IFERROR((O34-O35)/O34,"")</f>
        <v/>
      </c>
      <c r="P33" s="239" t="str">
        <f aca="false">IFERROR((P34-P35)/P34,"")</f>
        <v/>
      </c>
      <c r="Q33" s="239" t="str">
        <f aca="false">IFERROR((Q34-Q35)/Q34,"")</f>
        <v/>
      </c>
      <c r="R33" s="239" t="str">
        <f aca="false">IFERROR((R34-R35)/R34,"")</f>
        <v/>
      </c>
      <c r="S33" s="239" t="str">
        <f aca="false">IFERROR((S34-S35)/S34,"")</f>
        <v/>
      </c>
      <c r="T33" s="239" t="str">
        <f aca="false">IFERROR((T34-T35)/T34,"")</f>
        <v/>
      </c>
      <c r="U33" s="239" t="str">
        <f aca="false">IFERROR((U34-U35)/U34,"")</f>
        <v/>
      </c>
      <c r="V33" s="239" t="str">
        <f aca="false">IFERROR((V34-V35)/V34,"")</f>
        <v/>
      </c>
      <c r="W33" s="239" t="str">
        <f aca="false">IFERROR((W34-W35)/W34,"")</f>
        <v/>
      </c>
      <c r="X33" s="239" t="str">
        <f aca="false">IFERROR((X34-X35)/X34,"")</f>
        <v/>
      </c>
      <c r="Y33" s="239" t="str">
        <f aca="false">IFERROR((Y34-Y35)/Y34,"")</f>
        <v/>
      </c>
      <c r="Z33" s="240" t="str">
        <f aca="false">IFERROR((Z34-Z35)/Z34,"")</f>
        <v/>
      </c>
      <c r="AA33" s="240" t="str">
        <f aca="false">IFERROR((AA34-AA35)/AA34,"")</f>
        <v/>
      </c>
      <c r="AB33" s="240" t="str">
        <f aca="false">IFERROR((AB34-AB35)/AB34,"")</f>
        <v/>
      </c>
      <c r="AC33" s="240" t="str">
        <f aca="false">IFERROR((AC34-AC35)/AC34,"")</f>
        <v/>
      </c>
      <c r="AD33" s="240" t="str">
        <f aca="false">IFERROR((AD34-AD35)/AD34,"")</f>
        <v/>
      </c>
      <c r="AE33" s="240" t="str">
        <f aca="false">IFERROR((AE34-AE35)/AE34,"")</f>
        <v/>
      </c>
      <c r="AF33" s="240" t="str">
        <f aca="false">IFERROR((AF34-AF35)/AF34,"")</f>
        <v/>
      </c>
      <c r="AG33" s="240" t="str">
        <f aca="false">IFERROR((AG34-AG35)/AG34,"")</f>
        <v/>
      </c>
      <c r="AH33" s="240" t="str">
        <f aca="false">IFERROR((AH34-AH35)/AH34,"")</f>
        <v/>
      </c>
      <c r="AI33" s="240" t="str">
        <f aca="false">IFERROR((AI34-AI35)/AI34,"")</f>
        <v/>
      </c>
      <c r="AJ33" s="240" t="str">
        <f aca="false">IFERROR((AJ34-AJ35)/AJ34,"")</f>
        <v/>
      </c>
      <c r="AK33" s="240" t="str">
        <f aca="false">IFERROR((AK34-AK35)/AK34,"")</f>
        <v/>
      </c>
      <c r="AL33" s="240" t="str">
        <f aca="false">IFERROR((AL34-AL35)/AL34,"")</f>
        <v/>
      </c>
      <c r="AM33" s="240" t="str">
        <f aca="false">IFERROR((AM34-AM35)/AM34,"")</f>
        <v/>
      </c>
      <c r="AN33" s="241" t="str">
        <f aca="false">IFERROR((AN34-AN35)/AN34,"")</f>
        <v/>
      </c>
      <c r="AO33" s="242" t="str">
        <f aca="false">IFERROR((AO34-AO35)/AO34,"")</f>
        <v/>
      </c>
      <c r="AP33" s="243" t="str">
        <f aca="false">IFERROR((AP34-AP35)/AP34,"")</f>
        <v/>
      </c>
      <c r="AQ33" s="243" t="str">
        <f aca="false">IFERROR((AQ34-AQ35)/AQ34,"")</f>
        <v/>
      </c>
      <c r="AR33" s="243" t="str">
        <f aca="false">IFERROR((AR34-AR35)/AR34,"")</f>
        <v/>
      </c>
      <c r="AS33" s="243" t="str">
        <f aca="false">IFERROR((AS34-AS35)/AS34,"")</f>
        <v/>
      </c>
      <c r="AT33" s="243" t="str">
        <f aca="false">IFERROR((AT34-AT35)/AT34,"")</f>
        <v/>
      </c>
      <c r="AU33" s="244" t="str">
        <f aca="false">IFERROR((AU34-AU35)/AU34,"")</f>
        <v/>
      </c>
      <c r="AV33" s="245" t="str">
        <f aca="false">IFERROR((AV34-AV35)/AV34,"")</f>
        <v/>
      </c>
    </row>
    <row r="34" customFormat="false" ht="14.25" hidden="false" customHeight="false" outlineLevel="0" collapsed="false">
      <c r="A34" s="217" t="str">
        <f aca="false">+IF(C34+C35=0,"[ocultar]","")</f>
        <v>[ocultar]</v>
      </c>
      <c r="B34" s="323" t="s">
        <v>371</v>
      </c>
      <c r="C34" s="247" t="n">
        <f aca="false" t="array" ref="C34:C34">SUM(IF($B34=DATOS_[Sexo], IF($B33=DATOS_[AGRUP. VALOR. PTO.], IF("Dentro"=DATOS_[Check Periodo Ref.], 1/(COUNTIFS(DATOS_[Sexo],$B34,DATOS_[AGRUP. VALOR. PTO.],$B33,DATOS_[Check Periodo Ref.],"Dentro",DATOS_[id],DATOS_[id]))))))</f>
        <v>0</v>
      </c>
      <c r="D34" s="248" t="n">
        <f aca="false">COUNTIFS(DATOS_[AGRUP. VALOR. PTO.],$B33,DATOS_[Sexo],$B34,DATOS_[Check Periodo Ref.],"Dentro")</f>
        <v>0</v>
      </c>
      <c r="E34" s="248" t="n">
        <f aca="false">COUNTIFS(DATOS_[AGRUP. VALOR. PTO.],$B33,DATOS_[Sexo],$B34,DATOS_[Check Periodo Ref.],"Dentro",DATOS_[Check Nº SC Norm],"Sí")</f>
        <v>0</v>
      </c>
      <c r="F34" s="248" t="n">
        <f aca="false">COUNTIFS(DATOS_[AGRUP. VALOR. PTO.],$B33,DATOS_[Sexo],$B34,DATOS_[Check Periodo Ref.],"Dentro",DATOS_[Check Nº SC Anualiz],"Sí")</f>
        <v>0</v>
      </c>
      <c r="G34" s="248" t="n">
        <f aca="false">COUNTIFS(DATOS_[AGRUP. VALOR. PTO.],$B33,DATOS_[Sexo],$B34,DATOS_[Check Periodo Ref.],"Dentro",DATOS_[Check Nº SC Norm y Anualiz],"Sí")</f>
        <v>0</v>
      </c>
      <c r="H34" s="248" t="n">
        <f aca="false">COUNTIFS(DATOS_[AGRUP. VALOR. PTO.],$B33,DATOS_[Sexo],$B34,DATOS_[Check Periodo Ref.],"Dentro",DATOS_[Check Equiparación],"Sí")</f>
        <v>0</v>
      </c>
      <c r="I34" s="249" t="n">
        <f aca="false" t="array" ref="I34:I34">IFERROR( MEDIAN(IF(DATOS_[Sexo]=$B34,IF(DATOS_[[AGRUP. VALOR. PTO.]:[AGRUP. VALOR. PTO.]]=$B33,IF(DATOS_[Check Equiparado]="Sí",IF(DATOS_[Check Periodo Ref.]="Dentro",DATOS_[SALARIO BASE Eq],0))))), 0)</f>
        <v>0</v>
      </c>
      <c r="J34" s="250" t="n">
        <f aca="false" t="array" ref="J34:J34">IFERROR( (MEDIAN((IF(DATOS_[[Sexo]:[Sexo]]=$B34,IF(DATOS_[[AGRUP. VALOR. PTO.]:[AGRUP. VALOR. PTO.]]=$B33,IF(DATOS_[[Check Periodo Ref.]:[Check Periodo Ref.]]="Dentro",IF(DATOS_[[Check Equiparado]:[Check Equiparado]]="Sí",IF(DATOS!AE$4="Sí",(1/DATOS_[[% anualiz]:[% anualiz]]),1)*IF(DATOS!AE$5="Sí",1/DATOS_[[% normaliz]:[% normaliz]],1)*(DATOS_[Conc.Sal.01])))))))), 0)</f>
        <v>0</v>
      </c>
      <c r="K34" s="250" t="n">
        <f aca="false" t="array" ref="K34:K34">IFERROR( (MEDIAN((IF(DATOS_[[Sexo]:[Sexo]]=$B34,IF(DATOS_[[AGRUP. VALOR. PTO.]:[AGRUP. VALOR. PTO.]]=$B33,IF(DATOS_[[Check Periodo Ref.]:[Check Periodo Ref.]]="Dentro",IF(DATOS_[[Check Equiparado]:[Check Equiparado]]="Sí",IF(DATOS!AF$4="Sí",(1/DATOS_[[% anualiz]:[% anualiz]]),1)*IF(DATOS!AF$5="Sí",1/DATOS_[[% normaliz]:[% normaliz]],1)*(DATOS_[Conc.Sal.02])))))))), 0)</f>
        <v>0</v>
      </c>
      <c r="L34" s="250" t="n">
        <f aca="false" t="array" ref="L34:L34">IFERROR( (MEDIAN((IF(DATOS_[[Sexo]:[Sexo]]=$B34,IF(DATOS_[[AGRUP. VALOR. PTO.]:[AGRUP. VALOR. PTO.]]=$B33,IF(DATOS_[[Check Periodo Ref.]:[Check Periodo Ref.]]="Dentro",IF(DATOS_[[Check Equiparado]:[Check Equiparado]]="Sí",IF(DATOS!AG$4="Sí",(1/DATOS_[[% anualiz]:[% anualiz]]),1)*IF(DATOS!AG$5="Sí",1/DATOS_[[% normaliz]:[% normaliz]],1)*(DATOS_[Conc.Sal.03])))))))), 0)</f>
        <v>0</v>
      </c>
      <c r="M34" s="250" t="n">
        <f aca="false" t="array" ref="M34:M34">IFERROR( (MEDIAN((IF(DATOS_[[Sexo]:[Sexo]]=$B34,IF(DATOS_[[AGRUP. VALOR. PTO.]:[AGRUP. VALOR. PTO.]]=$B33,IF(DATOS_[[Check Periodo Ref.]:[Check Periodo Ref.]]="Dentro",IF(DATOS_[[Check Equiparado]:[Check Equiparado]]="Sí",IF(DATOS!AH$4="Sí",(1/DATOS_[[% anualiz]:[% anualiz]]),1)*IF(DATOS!AH$5="Sí",1/DATOS_[[% normaliz]:[% normaliz]],1)*(DATOS_[Conc.Sal.04])))))))), 0)</f>
        <v>0</v>
      </c>
      <c r="N34" s="250" t="n">
        <f aca="false" t="array" ref="N34:N34">IFERROR( (MEDIAN((IF(DATOS_[[Sexo]:[Sexo]]=$B34,IF(DATOS_[[AGRUP. VALOR. PTO.]:[AGRUP. VALOR. PTO.]]=$B33,IF(DATOS_[[Check Periodo Ref.]:[Check Periodo Ref.]]="Dentro",IF(DATOS_[[Check Equiparado]:[Check Equiparado]]="Sí",IF(DATOS!AI$4="Sí",(1/DATOS_[[% anualiz]:[% anualiz]]),1)*IF(DATOS!AI$5="Sí",1/DATOS_[[% normaliz]:[% normaliz]],1)*(DATOS_[Conc.Sal.05])))))))), 0)</f>
        <v>0</v>
      </c>
      <c r="O34" s="250" t="n">
        <f aca="false" t="array" ref="O34:O34">IFERROR( (MEDIAN((IF(DATOS_[[Sexo]:[Sexo]]=$B34,IF(DATOS_[[AGRUP. VALOR. PTO.]:[AGRUP. VALOR. PTO.]]=$B33,IF(DATOS_[[Check Periodo Ref.]:[Check Periodo Ref.]]="Dentro",IF(DATOS_[[Check Equiparado]:[Check Equiparado]]="Sí",IF(DATOS!AJ$4="Sí",(1/DATOS_[[% anualiz]:[% anualiz]]),1)*IF(DATOS!AJ$5="Sí",1/DATOS_[[% normaliz]:[% normaliz]],1)*(DATOS_[Conc.Sal.06])))))))), 0)</f>
        <v>0</v>
      </c>
      <c r="P34" s="250" t="n">
        <f aca="false" t="array" ref="P34:P34">IFERROR( (MEDIAN((IF(DATOS_[[Sexo]:[Sexo]]=$B34,IF(DATOS_[[AGRUP. VALOR. PTO.]:[AGRUP. VALOR. PTO.]]=$B33,IF(DATOS_[[Check Periodo Ref.]:[Check Periodo Ref.]]="Dentro",IF(DATOS_[[Check Equiparado]:[Check Equiparado]]="Sí",IF(DATOS!AK$4="Sí",(1/DATOS_[[% anualiz]:[% anualiz]]),1)*IF(DATOS!AK$5="Sí",1/DATOS_[[% normaliz]:[% normaliz]],1)*(DATOS_[Conc.Sal.07])))))))), 0)</f>
        <v>0</v>
      </c>
      <c r="Q34" s="250" t="n">
        <f aca="false" t="array" ref="Q34:Q34">IFERROR( (MEDIAN((IF(DATOS_[[Sexo]:[Sexo]]=$B34,IF(DATOS_[[AGRUP. VALOR. PTO.]:[AGRUP. VALOR. PTO.]]=$B33,IF(DATOS_[[Check Periodo Ref.]:[Check Periodo Ref.]]="Dentro",IF(DATOS_[[Check Equiparado]:[Check Equiparado]]="Sí",IF(DATOS!AL$4="Sí",(1/DATOS_[[% anualiz]:[% anualiz]]),1)*IF(DATOS!AL$5="Sí",1/DATOS_[[% normaliz]:[% normaliz]],1)*(DATOS_[Conc.Sal.08])))))))), 0)</f>
        <v>0</v>
      </c>
      <c r="R34" s="250" t="n">
        <f aca="false" t="array" ref="R34:R34">IFERROR( (MEDIAN((IF(DATOS_[[Sexo]:[Sexo]]=$B34,IF(DATOS_[[AGRUP. VALOR. PTO.]:[AGRUP. VALOR. PTO.]]=$B33,IF(DATOS_[[Check Periodo Ref.]:[Check Periodo Ref.]]="Dentro",IF(DATOS_[[Check Equiparado]:[Check Equiparado]]="Sí",IF(DATOS!AM$4="Sí",(1/DATOS_[[% anualiz]:[% anualiz]]),1)*IF(DATOS!AM$5="Sí",1/DATOS_[[% normaliz]:[% normaliz]],1)*(DATOS_[Conc.Sal.09])))))))), 0)</f>
        <v>0</v>
      </c>
      <c r="S34" s="250" t="n">
        <f aca="false" t="array" ref="S34:S34">IFERROR( (MEDIAN((IF(DATOS_[[Sexo]:[Sexo]]=$B34,IF(DATOS_[[AGRUP. VALOR. PTO.]:[AGRUP. VALOR. PTO.]]=$B33,IF(DATOS_[[Check Periodo Ref.]:[Check Periodo Ref.]]="Dentro",IF(DATOS_[[Check Equiparado]:[Check Equiparado]]="Sí",IF(DATOS!AN$4="Sí",(1/DATOS_[[% anualiz]:[% anualiz]]),1)*IF(DATOS!AN$5="Sí",1/DATOS_[[% normaliz]:[% normaliz]],1)*(DATOS_[Conc.Sal.10])))))))), 0)</f>
        <v>0</v>
      </c>
      <c r="T34" s="250" t="n">
        <f aca="false" t="array" ref="T34:T34">IFERROR( (MEDIAN((IF(DATOS_[[Sexo]:[Sexo]]=$B34,IF(DATOS_[[AGRUP. VALOR. PTO.]:[AGRUP. VALOR. PTO.]]=$B33,IF(DATOS_[[Check Periodo Ref.]:[Check Periodo Ref.]]="Dentro",IF(DATOS_[[Check Equiparado]:[Check Equiparado]]="Sí",IF(DATOS!AO$4="Sí",(1/DATOS_[[% anualiz]:[% anualiz]]),1)*IF(DATOS!AO$5="Sí",1/DATOS_[[% normaliz]:[% normaliz]],1)*(DATOS_[Conc.Sal.11])))))))), 0)</f>
        <v>0</v>
      </c>
      <c r="U34" s="250" t="n">
        <f aca="false" t="array" ref="U34:U34">IFERROR( (MEDIAN((IF(DATOS_[[Sexo]:[Sexo]]=$B34,IF(DATOS_[[AGRUP. VALOR. PTO.]:[AGRUP. VALOR. PTO.]]=$B33,IF(DATOS_[[Check Periodo Ref.]:[Check Periodo Ref.]]="Dentro",IF(DATOS_[[Check Equiparado]:[Check Equiparado]]="Sí",IF(DATOS!AP$4="Sí",(1/DATOS_[[% anualiz]:[% anualiz]]),1)*IF(DATOS!AP$5="Sí",1/DATOS_[[% normaliz]:[% normaliz]],1)*(DATOS_[Conc.Sal.12])))))))), 0)</f>
        <v>0</v>
      </c>
      <c r="V34" s="250" t="n">
        <f aca="false" t="array" ref="V34:V34">IFERROR( (MEDIAN((IF(DATOS_[[Sexo]:[Sexo]]=$B34,IF(DATOS_[[AGRUP. VALOR. PTO.]:[AGRUP. VALOR. PTO.]]=$B33,IF(DATOS_[[Check Periodo Ref.]:[Check Periodo Ref.]]="Dentro",IF(DATOS_[[Check Equiparado]:[Check Equiparado]]="Sí",IF(DATOS!AQ$4="Sí",(1/DATOS_[[% anualiz]:[% anualiz]]),1)*IF(DATOS!AQ$5="Sí",1/DATOS_[[% normaliz]:[% normaliz]],1)*(DATOS_[Conc.Sal.13])))))))), 0)</f>
        <v>0</v>
      </c>
      <c r="W34" s="250" t="n">
        <f aca="false" t="array" ref="W34:W34">IFERROR( (MEDIAN((IF(DATOS_[[Sexo]:[Sexo]]=$B34,IF(DATOS_[[AGRUP. VALOR. PTO.]:[AGRUP. VALOR. PTO.]]=$B33,IF(DATOS_[[Check Periodo Ref.]:[Check Periodo Ref.]]="Dentro",IF(DATOS_[[Check Equiparado]:[Check Equiparado]]="Sí",IF(DATOS!AR$4="Sí",(1/DATOS_[[% anualiz]:[% anualiz]]),1)*IF(DATOS!AR$5="Sí",1/DATOS_[[% normaliz]:[% normaliz]],1)*(DATOS_[Conc.Sal.14])))))))), 0)</f>
        <v>0</v>
      </c>
      <c r="X34" s="250" t="n">
        <f aca="false" t="array" ref="X34:X34">IFERROR( (MEDIAN((IF(DATOS_[[Sexo]:[Sexo]]=$B34,IF(DATOS_[[AGRUP. VALOR. PTO.]:[AGRUP. VALOR. PTO.]]=$B33,IF(DATOS_[[Check Periodo Ref.]:[Check Periodo Ref.]]="Dentro",IF(DATOS_[[Check Equiparado]:[Check Equiparado]]="Sí",IF(DATOS!AS$4="Sí",(1/DATOS_[[% anualiz]:[% anualiz]]),1)*IF(DATOS!AS$5="Sí",1/DATOS_[[% normaliz]:[% normaliz]],1)*(DATOS_[Conc.Sal.15])))))))), 0)</f>
        <v>0</v>
      </c>
      <c r="Y34" s="250" t="n">
        <f aca="false" t="array" ref="Y34:Y34">IFERROR( (MEDIAN((IF(DATOS_[[Sexo]:[Sexo]]=$B34,IF(DATOS_[[AGRUP. VALOR. PTO.]:[AGRUP. VALOR. PTO.]]=$B33,IF(DATOS_[[Check Periodo Ref.]:[Check Periodo Ref.]]="Dentro",IF(DATOS_[[Check Equiparado]:[Check Equiparado]]="Sí",IF(DATOS!AT$4="Sí",(1/DATOS_[[% anualiz]:[% anualiz]]),1)*IF(DATOS!AT$5="Sí",1/DATOS_[[% normaliz]:[% normaliz]],1)*(DATOS_[Conc.Sal.16])))))))), 0)</f>
        <v>0</v>
      </c>
      <c r="Z34" s="250" t="n">
        <f aca="false" t="array" ref="Z34:Z34">IFERROR( (MEDIAN((IF(DATOS_[[Sexo]:[Sexo]]=$B34,IF(DATOS_[[AGRUP. VALOR. PTO.]:[AGRUP. VALOR. PTO.]]=$B33,IF(DATOS_[[Check Periodo Ref.]:[Check Periodo Ref.]]="Dentro",IF(DATOS_[[Check Equiparado]:[Check Equiparado]]="Sí",IF(DATOS!AU$4="Sí",(1/DATOS_[[% anualiz]:[% anualiz]]),1)*IF(DATOS!AU$5="Sí",1/DATOS_[[% normaliz]:[% normaliz]],1)*(DATOS_[Conc.Sal.17])))))))), 0)</f>
        <v>0</v>
      </c>
      <c r="AA34" s="250" t="n">
        <f aca="false" t="array" ref="AA34:AA34">IFERROR( (MEDIAN((IF(DATOS_[[Sexo]:[Sexo]]=$B34,IF(DATOS_[[AGRUP. VALOR. PTO.]:[AGRUP. VALOR. PTO.]]=$B33,IF(DATOS_[[Check Periodo Ref.]:[Check Periodo Ref.]]="Dentro",IF(DATOS_[[Check Equiparado]:[Check Equiparado]]="Sí",IF(DATOS!AV$4="Sí",(1/DATOS_[[% anualiz]:[% anualiz]]),1)*IF(DATOS!AV$5="Sí",1/DATOS_[[% normaliz]:[% normaliz]],1)*(DATOS_[Conc.Sal.18])))))))), 0)</f>
        <v>0</v>
      </c>
      <c r="AB34" s="250" t="n">
        <f aca="false" t="array" ref="AB34:AB34">IFERROR( (MEDIAN((IF(DATOS_[[Sexo]:[Sexo]]=$B34,IF(DATOS_[[AGRUP. VALOR. PTO.]:[AGRUP. VALOR. PTO.]]=$B33,IF(DATOS_[[Check Periodo Ref.]:[Check Periodo Ref.]]="Dentro",IF(DATOS_[[Check Equiparado]:[Check Equiparado]]="Sí",IF(DATOS!AW$4="Sí",(1/DATOS_[[% anualiz]:[% anualiz]]),1)*IF(DATOS!AW$5="Sí",1/DATOS_[[% normaliz]:[% normaliz]],1)*(DATOS_[Conc.Sal.19])))))))), 0)</f>
        <v>0</v>
      </c>
      <c r="AC34" s="250" t="n">
        <f aca="false" t="array" ref="AC34:AC34">IFERROR( (MEDIAN((IF(DATOS_[[Sexo]:[Sexo]]=$B34,IF(DATOS_[[AGRUP. VALOR. PTO.]:[AGRUP. VALOR. PTO.]]=$B33,IF(DATOS_[[Check Periodo Ref.]:[Check Periodo Ref.]]="Dentro",IF(DATOS_[[Check Equiparado]:[Check Equiparado]]="Sí",IF(DATOS!AX$4="Sí",(1/DATOS_[[% anualiz]:[% anualiz]]),1)*IF(DATOS!AX$5="Sí",1/DATOS_[[% normaliz]:[% normaliz]],1)*(DATOS_[Conc.Sal.20])))))))), 0)</f>
        <v>0</v>
      </c>
      <c r="AD34" s="250" t="n">
        <f aca="false" t="array" ref="AD34:AD34">IFERROR( (MEDIAN((IF(DATOS_[[Sexo]:[Sexo]]=$B34,IF(DATOS_[[AGRUP. VALOR. PTO.]:[AGRUP. VALOR. PTO.]]=$B33,IF(DATOS_[[Check Periodo Ref.]:[Check Periodo Ref.]]="Dentro",IF(DATOS_[[Check Equiparado]:[Check Equiparado]]="Sí",IF(DATOS!AY$4="Sí",(1/DATOS_[[% anualiz]:[% anualiz]]),1)*IF(DATOS!AY$5="Sí",1/DATOS_[[% normaliz]:[% normaliz]],1)*(DATOS_[Conc.Sal.21])))))))), 0)</f>
        <v>0</v>
      </c>
      <c r="AE34" s="250" t="n">
        <f aca="false" t="array" ref="AE34:AE34">IFERROR( (MEDIAN((IF(DATOS_[[Sexo]:[Sexo]]=$B34,IF(DATOS_[[AGRUP. VALOR. PTO.]:[AGRUP. VALOR. PTO.]]=$B33,IF(DATOS_[[Check Periodo Ref.]:[Check Periodo Ref.]]="Dentro",IF(DATOS_[[Check Equiparado]:[Check Equiparado]]="Sí",IF(DATOS!AZ$4="Sí",(1/DATOS_[[% anualiz]:[% anualiz]]),1)*IF(DATOS!AZ$5="Sí",1/DATOS_[[% normaliz]:[% normaliz]],1)*(DATOS_[Conc.Sal.22])))))))), 0)</f>
        <v>0</v>
      </c>
      <c r="AF34" s="250" t="n">
        <f aca="false" t="array" ref="AF34:AF34">IFERROR( (MEDIAN((IF(DATOS_[[Sexo]:[Sexo]]=$B34,IF(DATOS_[[AGRUP. VALOR. PTO.]:[AGRUP. VALOR. PTO.]]=$B33,IF(DATOS_[[Check Periodo Ref.]:[Check Periodo Ref.]]="Dentro",IF(DATOS_[[Check Equiparado]:[Check Equiparado]]="Sí",IF(DATOS!BA$4="Sí",(1/DATOS_[[% anualiz]:[% anualiz]]),1)*IF(DATOS!BA$5="Sí",1/DATOS_[[% normaliz]:[% normaliz]],1)*(DATOS_[Conc.Sal.23])))))))), 0)</f>
        <v>0</v>
      </c>
      <c r="AG34" s="250" t="n">
        <f aca="false" t="array" ref="AG34:AG34">IFERROR( (MEDIAN((IF(DATOS_[[Sexo]:[Sexo]]=$B34,IF(DATOS_[[AGRUP. VALOR. PTO.]:[AGRUP. VALOR. PTO.]]=$B33,IF(DATOS_[[Check Periodo Ref.]:[Check Periodo Ref.]]="Dentro",IF(DATOS_[[Check Equiparado]:[Check Equiparado]]="Sí",IF(DATOS!BB$4="Sí",(1/DATOS_[[% anualiz]:[% anualiz]]),1)*IF(DATOS!BB$5="Sí",1/DATOS_[[% normaliz]:[% normaliz]],1)*(DATOS_[Conc.Sal.24])))))))), 0)</f>
        <v>0</v>
      </c>
      <c r="AH34" s="250" t="n">
        <f aca="false" t="array" ref="AH34:AH34">IFERROR( (MEDIAN((IF(DATOS_[[Sexo]:[Sexo]]=$B34,IF(DATOS_[[AGRUP. VALOR. PTO.]:[AGRUP. VALOR. PTO.]]=$B33,IF(DATOS_[[Check Periodo Ref.]:[Check Periodo Ref.]]="Dentro",IF(DATOS_[[Check Equiparado]:[Check Equiparado]]="Sí",IF(DATOS!BC$4="Sí",(1/DATOS_[[% anualiz]:[% anualiz]]),1)*IF(DATOS!BC$5="Sí",1/DATOS_[[% normaliz]:[% normaliz]],1)*(DATOS_[Conc.Sal.25])))))))), 0)</f>
        <v>0</v>
      </c>
      <c r="AI34" s="250" t="n">
        <f aca="false" t="array" ref="AI34:AI34">IFERROR( (MEDIAN((IF(DATOS_[[Sexo]:[Sexo]]=$B34,IF(DATOS_[[AGRUP. VALOR. PTO.]:[AGRUP. VALOR. PTO.]]=$B33,IF(DATOS_[[Check Periodo Ref.]:[Check Periodo Ref.]]="Dentro",IF(DATOS_[[Check Equiparado]:[Check Equiparado]]="Sí",IF(DATOS!BD$4="Sí",(1/DATOS_[[% anualiz]:[% anualiz]]),1)*IF(DATOS!BD$5="Sí",1/DATOS_[[% normaliz]:[% normaliz]],1)*(DATOS_[Conc.Sal.26])))))))), 0)</f>
        <v>0</v>
      </c>
      <c r="AJ34" s="250" t="n">
        <f aca="false" t="array" ref="AJ34:AJ34">IFERROR( (MEDIAN((IF(DATOS_[[Sexo]:[Sexo]]=$B34,IF(DATOS_[[AGRUP. VALOR. PTO.]:[AGRUP. VALOR. PTO.]]=$B33,IF(DATOS_[[Check Periodo Ref.]:[Check Periodo Ref.]]="Dentro",IF(DATOS_[[Check Equiparado]:[Check Equiparado]]="Sí",IF(DATOS!BE$4="Sí",(1/DATOS_[[% anualiz]:[% anualiz]]),1)*IF(DATOS!BE$5="Sí",1/DATOS_[[% normaliz]:[% normaliz]],1)*(DATOS_[Conc.Sal.27])))))))), 0)</f>
        <v>0</v>
      </c>
      <c r="AK34" s="250" t="n">
        <f aca="false" t="array" ref="AK34:AK34">IFERROR( (MEDIAN((IF(DATOS_[[Sexo]:[Sexo]]=$B34,IF(DATOS_[[AGRUP. VALOR. PTO.]:[AGRUP. VALOR. PTO.]]=$B33,IF(DATOS_[[Check Periodo Ref.]:[Check Periodo Ref.]]="Dentro",IF(DATOS_[[Check Equiparado]:[Check Equiparado]]="Sí",IF(DATOS!BF$4="Sí",(1/DATOS_[[% anualiz]:[% anualiz]]),1)*IF(DATOS!BF$5="Sí",1/DATOS_[[% normaliz]:[% normaliz]],1)*(DATOS_[Conc.Sal.28])))))))), 0)</f>
        <v>0</v>
      </c>
      <c r="AL34" s="250" t="n">
        <f aca="false" t="array" ref="AL34:AL34">IFERROR( (MEDIAN((IF(DATOS_[[Sexo]:[Sexo]]=$B34,IF(DATOS_[[AGRUP. VALOR. PTO.]:[AGRUP. VALOR. PTO.]]=$B33,IF(DATOS_[[Check Periodo Ref.]:[Check Periodo Ref.]]="Dentro",IF(DATOS_[[Check Equiparado]:[Check Equiparado]]="Sí",IF(DATOS!BG$4="Sí",(1/DATOS_[[% anualiz]:[% anualiz]]),1)*IF(DATOS!BG$5="Sí",1/DATOS_[[% normaliz]:[% normaliz]],1)*(DATOS_[Conc.Sal.29])))))))), 0)</f>
        <v>0</v>
      </c>
      <c r="AM34" s="250" t="n">
        <f aca="false" t="array" ref="AM34:AM34">IFERROR( (MEDIAN((IF(DATOS_[[Sexo]:[Sexo]]=$B34,IF(DATOS_[[AGRUP. VALOR. PTO.]:[AGRUP. VALOR. PTO.]]=$B33,IF(DATOS_[[Check Periodo Ref.]:[Check Periodo Ref.]]="Dentro",IF(DATOS_[[Check Equiparado]:[Check Equiparado]]="Sí",IF(DATOS!BH$4="Sí",(1/DATOS_[[% anualiz]:[% anualiz]]),1)*IF(DATOS!BH$5="Sí",1/DATOS_[[% normaliz]:[% normaliz]],1)*(DATOS_[Conc.Sal.30])))))))), 0)</f>
        <v>0</v>
      </c>
      <c r="AN34" s="251" t="n">
        <f aca="false" t="array" ref="AN34:AN34">IFERROR( MEDIAN(IF(DATOS_[Sexo]=$B34,IF(DATOS_[[AGRUP. VALOR. PTO.]:[AGRUP. VALOR. PTO.]]=$B33,IF(DATOS_[Check Equiparado]="Sí",IF(DATOS_[Check Periodo Ref.]="Dentro",DATOS_[Tot COMPL.SAL Eq],0))))), 0)</f>
        <v>0</v>
      </c>
      <c r="AO34" s="252" t="n">
        <f aca="false" t="array" ref="AO34:AO34">IFERROR( MEDIAN(IF(DATOS_[Sexo]=$B34,IF(DATOS_[[AGRUP. VALOR. PTO.]:[AGRUP. VALOR. PTO.]]=$B33,IF(DATOS_[Check Equiparado]="Sí",IF(DATOS_[Check Periodo Ref.]="Dentro",DATOS_[TOTAL SALARIO Eq],0))))), 0)</f>
        <v>0</v>
      </c>
      <c r="AP34" s="259" t="n">
        <f aca="false" t="array" ref="AP34:AP34">IFERROR( (MEDIAN((IF(DATOS_[[Sexo]:[Sexo]]=$B34,IF(DATOS_[[AGRUP. VALOR. PTO.]:[AGRUP. VALOR. PTO.]]=$B33,IF(DATOS_[[Check Periodo Ref.]:[Check Periodo Ref.]]="Dentro",IF(DATOS_[[Check Equiparado]:[Check Equiparado]]="Sí",IF(DATOS!BI$4="Sí",(1/DATOS_[[% anualiz]:[% anualiz]]),1)*IF(DATOS!BI$5="Sí",1/DATOS_[[% normaliz]:[% normaliz]],1)*(DATOS_[C.Extra.01])))))))), 0)</f>
        <v>0</v>
      </c>
      <c r="AQ34" s="259" t="n">
        <f aca="false" t="array" ref="AQ34:AQ34">IFERROR( (MEDIAN((IF(DATOS_[[Sexo]:[Sexo]]=$B34,IF(DATOS_[[AGRUP. VALOR. PTO.]:[AGRUP. VALOR. PTO.]]=$B33,IF(DATOS_[[Check Periodo Ref.]:[Check Periodo Ref.]]="Dentro",IF(DATOS_[[Check Equiparado]:[Check Equiparado]]="Sí",IF(DATOS!BJ$4="Sí",(1/DATOS_[[% anualiz]:[% anualiz]]),1)*IF(DATOS!BJ$5="Sí",1/DATOS_[[% normaliz]:[% normaliz]],1)*(DATOS_[C.Extra.02])))))))), 0)</f>
        <v>0</v>
      </c>
      <c r="AR34" s="259" t="n">
        <f aca="false" t="array" ref="AR34:AR34">IFERROR( (MEDIAN((IF(DATOS_[[Sexo]:[Sexo]]=$B34,IF(DATOS_[[AGRUP. VALOR. PTO.]:[AGRUP. VALOR. PTO.]]=$B33,IF(DATOS_[[Check Periodo Ref.]:[Check Periodo Ref.]]="Dentro",IF(DATOS_[[Check Equiparado]:[Check Equiparado]]="Sí",IF(DATOS!BK$4="Sí",(1/DATOS_[[% anualiz]:[% anualiz]]),1)*IF(DATOS!BK$5="Sí",1/DATOS_[[% normaliz]:[% normaliz]],1)*(DATOS_[C.Extra.03])))))))), 0)</f>
        <v>0</v>
      </c>
      <c r="AS34" s="259" t="n">
        <f aca="false" t="array" ref="AS34:AS34">IFERROR( (MEDIAN((IF(DATOS_[[Sexo]:[Sexo]]=$B34,IF(DATOS_[[AGRUP. VALOR. PTO.]:[AGRUP. VALOR. PTO.]]=$B33,IF(DATOS_[[Check Periodo Ref.]:[Check Periodo Ref.]]="Dentro",IF(DATOS_[[Check Equiparado]:[Check Equiparado]]="Sí",IF(DATOS!BL$4="Sí",(1/DATOS_[[% anualiz]:[% anualiz]]),1)*IF(DATOS!BL$5="Sí",1/DATOS_[[% normaliz]:[% normaliz]],1)*(DATOS_[C.Extra.04])))))))), 0)</f>
        <v>0</v>
      </c>
      <c r="AT34" s="259" t="n">
        <f aca="false" t="array" ref="AT34:AT34">IFERROR( (MEDIAN((IF(DATOS_[[Sexo]:[Sexo]]=$B34,IF(DATOS_[[AGRUP. VALOR. PTO.]:[AGRUP. VALOR. PTO.]]=$B33,IF(DATOS_[[Check Periodo Ref.]:[Check Periodo Ref.]]="Dentro",IF(DATOS_[[Check Equiparado]:[Check Equiparado]]="Sí",IF(DATOS!BM$4="Sí",(1/DATOS_[[% anualiz]:[% anualiz]]),1)*IF(DATOS!BM$5="Sí",1/DATOS_[[% normaliz]:[% normaliz]],1)*(DATOS_[C.Extra.05])))))))), 0)</f>
        <v>0</v>
      </c>
      <c r="AU34" s="254" t="n">
        <f aca="false" t="array" ref="AU34:AU34">IFERROR( MEDIAN(IF(DATOS_[Sexo]=$B34,IF(DATOS_[[AGRUP. VALOR. PTO.]:[AGRUP. VALOR. PTO.]]=$B33,IF(DATOS_[Check Equiparado]="Sí",IF(DATOS_[Check Periodo Ref.]="Dentro",DATOS_[Tot Extrasalarial Eq],0))))), 0)</f>
        <v>0</v>
      </c>
      <c r="AV34" s="255" t="n">
        <f aca="false" t="array" ref="AV34:AV34">IFERROR( MEDIAN(IF(DATOS_[Sexo]=$B34,IF(DATOS_[[AGRUP. VALOR. PTO.]:[AGRUP. VALOR. PTO.]]=$B33,IF(DATOS_[Check Equiparado]="Sí",IF(DATOS_[Check Periodo Ref.]="Dentro",DATOS_[TOTAL Retrib Eq],0))))), 0)</f>
        <v>0</v>
      </c>
    </row>
    <row r="35" customFormat="false" ht="14.25" hidden="false" customHeight="false" outlineLevel="0" collapsed="false">
      <c r="A35" s="217" t="str">
        <f aca="false">+A34</f>
        <v>[ocultar]</v>
      </c>
      <c r="B35" s="323" t="s">
        <v>372</v>
      </c>
      <c r="C35" s="247" t="n">
        <f aca="false" t="array" ref="C35:C35">SUM(IF($B35=DATOS_[Sexo], IF($B33=DATOS_[AGRUP. VALOR. PTO.], IF("Dentro"=DATOS_[Check Periodo Ref.], 1/(COUNTIFS(DATOS_[Sexo],$B35,DATOS_[AGRUP. VALOR. PTO.],$B33,DATOS_[Check Periodo Ref.],"Dentro",DATOS_[id],DATOS_[id]))))))</f>
        <v>0</v>
      </c>
      <c r="D35" s="248" t="n">
        <f aca="false">COUNTIFS(DATOS_[AGRUP. VALOR. PTO.],$B33,DATOS_[Sexo],$B35,DATOS_[Check Periodo Ref.],"Dentro")</f>
        <v>0</v>
      </c>
      <c r="E35" s="248" t="n">
        <f aca="false">COUNTIFS(DATOS_[AGRUP. VALOR. PTO.],$B33,DATOS_[Sexo],$B35,DATOS_[Check Periodo Ref.],"Dentro",DATOS_[Check Nº SC Norm],"Sí")</f>
        <v>0</v>
      </c>
      <c r="F35" s="248" t="n">
        <f aca="false">COUNTIFS(DATOS_[AGRUP. VALOR. PTO.],$B33,DATOS_[Sexo],$B35,DATOS_[Check Periodo Ref.],"Dentro",DATOS_[Check Nº SC Anualiz],"Sí")</f>
        <v>0</v>
      </c>
      <c r="G35" s="248" t="n">
        <f aca="false">COUNTIFS(DATOS_[AGRUP. VALOR. PTO.],$B33,DATOS_[Sexo],$B35,DATOS_[Check Periodo Ref.],"Dentro",DATOS_[Check Nº SC Norm y Anualiz],"Sí")</f>
        <v>0</v>
      </c>
      <c r="H35" s="248" t="n">
        <f aca="false">COUNTIFS(DATOS_[AGRUP. VALOR. PTO.],$B33,DATOS_[Sexo],$B35,DATOS_[Check Periodo Ref.],"Dentro",DATOS_[Check Equiparación],"Sí")</f>
        <v>0</v>
      </c>
      <c r="I35" s="249" t="n">
        <f aca="false" t="array" ref="I35:I35">IFERROR( MEDIAN(IF(DATOS_[Sexo]=$B35,IF(DATOS_[[AGRUP. VALOR. PTO.]:[AGRUP. VALOR. PTO.]]=$B33,IF(DATOS_[Check Equiparado]="Sí",IF(DATOS_[Check Periodo Ref.]="Dentro",DATOS_[SALARIO BASE Eq],0))))), 0)</f>
        <v>0</v>
      </c>
      <c r="J35" s="250" t="n">
        <f aca="false" t="array" ref="J35:J35">IFERROR( (MEDIAN((IF(DATOS_[[Sexo]:[Sexo]]=$B35,IF(DATOS_[[AGRUP. VALOR. PTO.]:[AGRUP. VALOR. PTO.]]=$B33,IF(DATOS_[[Check Periodo Ref.]:[Check Periodo Ref.]]="Dentro",IF(DATOS_[[Check Equiparado]:[Check Equiparado]]="Sí",IF(DATOS!AE$4="Sí",(1/DATOS_[[% anualiz]:[% anualiz]]),1)*IF(DATOS!AE$5="Sí",1/DATOS_[[% normaliz]:[% normaliz]],1)*(DATOS_[Conc.Sal.01])))))))), 0)</f>
        <v>0</v>
      </c>
      <c r="K35" s="250" t="n">
        <f aca="false" t="array" ref="K35:K35">IFERROR( (MEDIAN((IF(DATOS_[[Sexo]:[Sexo]]=$B35,IF(DATOS_[[AGRUP. VALOR. PTO.]:[AGRUP. VALOR. PTO.]]=$B33,IF(DATOS_[[Check Periodo Ref.]:[Check Periodo Ref.]]="Dentro",IF(DATOS_[[Check Equiparado]:[Check Equiparado]]="Sí",IF(DATOS!AF$4="Sí",(1/DATOS_[[% anualiz]:[% anualiz]]),1)*IF(DATOS!AF$5="Sí",1/DATOS_[[% normaliz]:[% normaliz]],1)*(DATOS_[Conc.Sal.02])))))))), 0)</f>
        <v>0</v>
      </c>
      <c r="L35" s="250" t="n">
        <f aca="false" t="array" ref="L35:L35">IFERROR( (MEDIAN((IF(DATOS_[[Sexo]:[Sexo]]=$B35,IF(DATOS_[[AGRUP. VALOR. PTO.]:[AGRUP. VALOR. PTO.]]=$B33,IF(DATOS_[[Check Periodo Ref.]:[Check Periodo Ref.]]="Dentro",IF(DATOS_[[Check Equiparado]:[Check Equiparado]]="Sí",IF(DATOS!AG$4="Sí",(1/DATOS_[[% anualiz]:[% anualiz]]),1)*IF(DATOS!AG$5="Sí",1/DATOS_[[% normaliz]:[% normaliz]],1)*(DATOS_[Conc.Sal.03])))))))), 0)</f>
        <v>0</v>
      </c>
      <c r="M35" s="250" t="n">
        <f aca="false" t="array" ref="M35:M35">IFERROR( (MEDIAN((IF(DATOS_[[Sexo]:[Sexo]]=$B35,IF(DATOS_[[AGRUP. VALOR. PTO.]:[AGRUP. VALOR. PTO.]]=$B33,IF(DATOS_[[Check Periodo Ref.]:[Check Periodo Ref.]]="Dentro",IF(DATOS_[[Check Equiparado]:[Check Equiparado]]="Sí",IF(DATOS!AH$4="Sí",(1/DATOS_[[% anualiz]:[% anualiz]]),1)*IF(DATOS!AH$5="Sí",1/DATOS_[[% normaliz]:[% normaliz]],1)*(DATOS_[Conc.Sal.04])))))))), 0)</f>
        <v>0</v>
      </c>
      <c r="N35" s="250" t="n">
        <f aca="false" t="array" ref="N35:N35">IFERROR( (MEDIAN((IF(DATOS_[[Sexo]:[Sexo]]=$B35,IF(DATOS_[[AGRUP. VALOR. PTO.]:[AGRUP. VALOR. PTO.]]=$B33,IF(DATOS_[[Check Periodo Ref.]:[Check Periodo Ref.]]="Dentro",IF(DATOS_[[Check Equiparado]:[Check Equiparado]]="Sí",IF(DATOS!AI$4="Sí",(1/DATOS_[[% anualiz]:[% anualiz]]),1)*IF(DATOS!AI$5="Sí",1/DATOS_[[% normaliz]:[% normaliz]],1)*(DATOS_[Conc.Sal.05])))))))), 0)</f>
        <v>0</v>
      </c>
      <c r="O35" s="250" t="n">
        <f aca="false" t="array" ref="O35:O35">IFERROR( (MEDIAN((IF(DATOS_[[Sexo]:[Sexo]]=$B35,IF(DATOS_[[AGRUP. VALOR. PTO.]:[AGRUP. VALOR. PTO.]]=$B33,IF(DATOS_[[Check Periodo Ref.]:[Check Periodo Ref.]]="Dentro",IF(DATOS_[[Check Equiparado]:[Check Equiparado]]="Sí",IF(DATOS!AJ$4="Sí",(1/DATOS_[[% anualiz]:[% anualiz]]),1)*IF(DATOS!AJ$5="Sí",1/DATOS_[[% normaliz]:[% normaliz]],1)*(DATOS_[Conc.Sal.06])))))))), 0)</f>
        <v>0</v>
      </c>
      <c r="P35" s="250" t="n">
        <f aca="false" t="array" ref="P35:P35">IFERROR( (MEDIAN((IF(DATOS_[[Sexo]:[Sexo]]=$B35,IF(DATOS_[[AGRUP. VALOR. PTO.]:[AGRUP. VALOR. PTO.]]=$B33,IF(DATOS_[[Check Periodo Ref.]:[Check Periodo Ref.]]="Dentro",IF(DATOS_[[Check Equiparado]:[Check Equiparado]]="Sí",IF(DATOS!AK$4="Sí",(1/DATOS_[[% anualiz]:[% anualiz]]),1)*IF(DATOS!AK$5="Sí",1/DATOS_[[% normaliz]:[% normaliz]],1)*(DATOS_[Conc.Sal.07])))))))), 0)</f>
        <v>0</v>
      </c>
      <c r="Q35" s="250" t="n">
        <f aca="false" t="array" ref="Q35:Q35">IFERROR( (MEDIAN((IF(DATOS_[[Sexo]:[Sexo]]=$B35,IF(DATOS_[[AGRUP. VALOR. PTO.]:[AGRUP. VALOR. PTO.]]=$B33,IF(DATOS_[[Check Periodo Ref.]:[Check Periodo Ref.]]="Dentro",IF(DATOS_[[Check Equiparado]:[Check Equiparado]]="Sí",IF(DATOS!AL$4="Sí",(1/DATOS_[[% anualiz]:[% anualiz]]),1)*IF(DATOS!AL$5="Sí",1/DATOS_[[% normaliz]:[% normaliz]],1)*(DATOS_[Conc.Sal.08])))))))), 0)</f>
        <v>0</v>
      </c>
      <c r="R35" s="250" t="n">
        <f aca="false" t="array" ref="R35:R35">IFERROR( (MEDIAN((IF(DATOS_[[Sexo]:[Sexo]]=$B35,IF(DATOS_[[AGRUP. VALOR. PTO.]:[AGRUP. VALOR. PTO.]]=$B33,IF(DATOS_[[Check Periodo Ref.]:[Check Periodo Ref.]]="Dentro",IF(DATOS_[[Check Equiparado]:[Check Equiparado]]="Sí",IF(DATOS!AM$4="Sí",(1/DATOS_[[% anualiz]:[% anualiz]]),1)*IF(DATOS!AM$5="Sí",1/DATOS_[[% normaliz]:[% normaliz]],1)*(DATOS_[Conc.Sal.09])))))))), 0)</f>
        <v>0</v>
      </c>
      <c r="S35" s="250" t="n">
        <f aca="false" t="array" ref="S35:S35">IFERROR( (MEDIAN((IF(DATOS_[[Sexo]:[Sexo]]=$B35,IF(DATOS_[[AGRUP. VALOR. PTO.]:[AGRUP. VALOR. PTO.]]=$B33,IF(DATOS_[[Check Periodo Ref.]:[Check Periodo Ref.]]="Dentro",IF(DATOS_[[Check Equiparado]:[Check Equiparado]]="Sí",IF(DATOS!AN$4="Sí",(1/DATOS_[[% anualiz]:[% anualiz]]),1)*IF(DATOS!AN$5="Sí",1/DATOS_[[% normaliz]:[% normaliz]],1)*(DATOS_[Conc.Sal.10])))))))), 0)</f>
        <v>0</v>
      </c>
      <c r="T35" s="250" t="n">
        <f aca="false" t="array" ref="T35:T35">IFERROR( (MEDIAN((IF(DATOS_[[Sexo]:[Sexo]]=$B35,IF(DATOS_[[AGRUP. VALOR. PTO.]:[AGRUP. VALOR. PTO.]]=$B33,IF(DATOS_[[Check Periodo Ref.]:[Check Periodo Ref.]]="Dentro",IF(DATOS_[[Check Equiparado]:[Check Equiparado]]="Sí",IF(DATOS!AO$4="Sí",(1/DATOS_[[% anualiz]:[% anualiz]]),1)*IF(DATOS!AO$5="Sí",1/DATOS_[[% normaliz]:[% normaliz]],1)*(DATOS_[Conc.Sal.11])))))))), 0)</f>
        <v>0</v>
      </c>
      <c r="U35" s="250" t="n">
        <f aca="false" t="array" ref="U35:U35">IFERROR( (MEDIAN((IF(DATOS_[[Sexo]:[Sexo]]=$B35,IF(DATOS_[[AGRUP. VALOR. PTO.]:[AGRUP. VALOR. PTO.]]=$B33,IF(DATOS_[[Check Periodo Ref.]:[Check Periodo Ref.]]="Dentro",IF(DATOS_[[Check Equiparado]:[Check Equiparado]]="Sí",IF(DATOS!AP$4="Sí",(1/DATOS_[[% anualiz]:[% anualiz]]),1)*IF(DATOS!AP$5="Sí",1/DATOS_[[% normaliz]:[% normaliz]],1)*(DATOS_[Conc.Sal.12])))))))), 0)</f>
        <v>0</v>
      </c>
      <c r="V35" s="250" t="n">
        <f aca="false" t="array" ref="V35:V35">IFERROR( (MEDIAN((IF(DATOS_[[Sexo]:[Sexo]]=$B35,IF(DATOS_[[AGRUP. VALOR. PTO.]:[AGRUP. VALOR. PTO.]]=$B33,IF(DATOS_[[Check Periodo Ref.]:[Check Periodo Ref.]]="Dentro",IF(DATOS_[[Check Equiparado]:[Check Equiparado]]="Sí",IF(DATOS!AQ$4="Sí",(1/DATOS_[[% anualiz]:[% anualiz]]),1)*IF(DATOS!AQ$5="Sí",1/DATOS_[[% normaliz]:[% normaliz]],1)*(DATOS_[Conc.Sal.13])))))))), 0)</f>
        <v>0</v>
      </c>
      <c r="W35" s="250" t="n">
        <f aca="false" t="array" ref="W35:W35">IFERROR( (MEDIAN((IF(DATOS_[[Sexo]:[Sexo]]=$B35,IF(DATOS_[[AGRUP. VALOR. PTO.]:[AGRUP. VALOR. PTO.]]=$B33,IF(DATOS_[[Check Periodo Ref.]:[Check Periodo Ref.]]="Dentro",IF(DATOS_[[Check Equiparado]:[Check Equiparado]]="Sí",IF(DATOS!AR$4="Sí",(1/DATOS_[[% anualiz]:[% anualiz]]),1)*IF(DATOS!AR$5="Sí",1/DATOS_[[% normaliz]:[% normaliz]],1)*(DATOS_[Conc.Sal.14])))))))), 0)</f>
        <v>0</v>
      </c>
      <c r="X35" s="250" t="n">
        <f aca="false" t="array" ref="X35:X35">IFERROR( (MEDIAN((IF(DATOS_[[Sexo]:[Sexo]]=$B35,IF(DATOS_[[AGRUP. VALOR. PTO.]:[AGRUP. VALOR. PTO.]]=$B33,IF(DATOS_[[Check Periodo Ref.]:[Check Periodo Ref.]]="Dentro",IF(DATOS_[[Check Equiparado]:[Check Equiparado]]="Sí",IF(DATOS!AS$4="Sí",(1/DATOS_[[% anualiz]:[% anualiz]]),1)*IF(DATOS!AS$5="Sí",1/DATOS_[[% normaliz]:[% normaliz]],1)*(DATOS_[Conc.Sal.15])))))))), 0)</f>
        <v>0</v>
      </c>
      <c r="Y35" s="250" t="n">
        <f aca="false" t="array" ref="Y35:Y35">IFERROR( (MEDIAN((IF(DATOS_[[Sexo]:[Sexo]]=$B35,IF(DATOS_[[AGRUP. VALOR. PTO.]:[AGRUP. VALOR. PTO.]]=$B33,IF(DATOS_[[Check Periodo Ref.]:[Check Periodo Ref.]]="Dentro",IF(DATOS_[[Check Equiparado]:[Check Equiparado]]="Sí",IF(DATOS!AT$4="Sí",(1/DATOS_[[% anualiz]:[% anualiz]]),1)*IF(DATOS!AT$5="Sí",1/DATOS_[[% normaliz]:[% normaliz]],1)*(DATOS_[Conc.Sal.16])))))))), 0)</f>
        <v>0</v>
      </c>
      <c r="Z35" s="250" t="n">
        <f aca="false" t="array" ref="Z35:Z35">IFERROR( (MEDIAN((IF(DATOS_[[Sexo]:[Sexo]]=$B35,IF(DATOS_[[AGRUP. VALOR. PTO.]:[AGRUP. VALOR. PTO.]]=$B33,IF(DATOS_[[Check Periodo Ref.]:[Check Periodo Ref.]]="Dentro",IF(DATOS_[[Check Equiparado]:[Check Equiparado]]="Sí",IF(DATOS!AU$4="Sí",(1/DATOS_[[% anualiz]:[% anualiz]]),1)*IF(DATOS!AU$5="Sí",1/DATOS_[[% normaliz]:[% normaliz]],1)*(DATOS_[Conc.Sal.17])))))))), 0)</f>
        <v>0</v>
      </c>
      <c r="AA35" s="250" t="n">
        <f aca="false" t="array" ref="AA35:AA35">IFERROR( (MEDIAN((IF(DATOS_[[Sexo]:[Sexo]]=$B35,IF(DATOS_[[AGRUP. VALOR. PTO.]:[AGRUP. VALOR. PTO.]]=$B33,IF(DATOS_[[Check Periodo Ref.]:[Check Periodo Ref.]]="Dentro",IF(DATOS_[[Check Equiparado]:[Check Equiparado]]="Sí",IF(DATOS!AV$4="Sí",(1/DATOS_[[% anualiz]:[% anualiz]]),1)*IF(DATOS!AV$5="Sí",1/DATOS_[[% normaliz]:[% normaliz]],1)*(DATOS_[Conc.Sal.18])))))))), 0)</f>
        <v>0</v>
      </c>
      <c r="AB35" s="250" t="n">
        <f aca="false" t="array" ref="AB35:AB35">IFERROR( (MEDIAN((IF(DATOS_[[Sexo]:[Sexo]]=$B35,IF(DATOS_[[AGRUP. VALOR. PTO.]:[AGRUP. VALOR. PTO.]]=$B33,IF(DATOS_[[Check Periodo Ref.]:[Check Periodo Ref.]]="Dentro",IF(DATOS_[[Check Equiparado]:[Check Equiparado]]="Sí",IF(DATOS!AW$4="Sí",(1/DATOS_[[% anualiz]:[% anualiz]]),1)*IF(DATOS!AW$5="Sí",1/DATOS_[[% normaliz]:[% normaliz]],1)*(DATOS_[Conc.Sal.19])))))))), 0)</f>
        <v>0</v>
      </c>
      <c r="AC35" s="250" t="n">
        <f aca="false" t="array" ref="AC35:AC35">IFERROR( (MEDIAN((IF(DATOS_[[Sexo]:[Sexo]]=$B35,IF(DATOS_[[AGRUP. VALOR. PTO.]:[AGRUP. VALOR. PTO.]]=$B33,IF(DATOS_[[Check Periodo Ref.]:[Check Periodo Ref.]]="Dentro",IF(DATOS_[[Check Equiparado]:[Check Equiparado]]="Sí",IF(DATOS!AX$4="Sí",(1/DATOS_[[% anualiz]:[% anualiz]]),1)*IF(DATOS!AX$5="Sí",1/DATOS_[[% normaliz]:[% normaliz]],1)*(DATOS_[Conc.Sal.20])))))))), 0)</f>
        <v>0</v>
      </c>
      <c r="AD35" s="250" t="n">
        <f aca="false" t="array" ref="AD35:AD35">IFERROR( (MEDIAN((IF(DATOS_[[Sexo]:[Sexo]]=$B35,IF(DATOS_[[AGRUP. VALOR. PTO.]:[AGRUP. VALOR. PTO.]]=$B33,IF(DATOS_[[Check Periodo Ref.]:[Check Periodo Ref.]]="Dentro",IF(DATOS_[[Check Equiparado]:[Check Equiparado]]="Sí",IF(DATOS!AY$4="Sí",(1/DATOS_[[% anualiz]:[% anualiz]]),1)*IF(DATOS!AY$5="Sí",1/DATOS_[[% normaliz]:[% normaliz]],1)*(DATOS_[Conc.Sal.21])))))))), 0)</f>
        <v>0</v>
      </c>
      <c r="AE35" s="250" t="n">
        <f aca="false" t="array" ref="AE35:AE35">IFERROR( (MEDIAN((IF(DATOS_[[Sexo]:[Sexo]]=$B35,IF(DATOS_[[AGRUP. VALOR. PTO.]:[AGRUP. VALOR. PTO.]]=$B33,IF(DATOS_[[Check Periodo Ref.]:[Check Periodo Ref.]]="Dentro",IF(DATOS_[[Check Equiparado]:[Check Equiparado]]="Sí",IF(DATOS!AZ$4="Sí",(1/DATOS_[[% anualiz]:[% anualiz]]),1)*IF(DATOS!AZ$5="Sí",1/DATOS_[[% normaliz]:[% normaliz]],1)*(DATOS_[Conc.Sal.22])))))))), 0)</f>
        <v>0</v>
      </c>
      <c r="AF35" s="250" t="n">
        <f aca="false" t="array" ref="AF35:AF35">IFERROR( (MEDIAN((IF(DATOS_[[Sexo]:[Sexo]]=$B35,IF(DATOS_[[AGRUP. VALOR. PTO.]:[AGRUP. VALOR. PTO.]]=$B33,IF(DATOS_[[Check Periodo Ref.]:[Check Periodo Ref.]]="Dentro",IF(DATOS_[[Check Equiparado]:[Check Equiparado]]="Sí",IF(DATOS!BA$4="Sí",(1/DATOS_[[% anualiz]:[% anualiz]]),1)*IF(DATOS!BA$5="Sí",1/DATOS_[[% normaliz]:[% normaliz]],1)*(DATOS_[Conc.Sal.23])))))))), 0)</f>
        <v>0</v>
      </c>
      <c r="AG35" s="250" t="n">
        <f aca="false" t="array" ref="AG35:AG35">IFERROR( (MEDIAN((IF(DATOS_[[Sexo]:[Sexo]]=$B35,IF(DATOS_[[AGRUP. VALOR. PTO.]:[AGRUP. VALOR. PTO.]]=$B33,IF(DATOS_[[Check Periodo Ref.]:[Check Periodo Ref.]]="Dentro",IF(DATOS_[[Check Equiparado]:[Check Equiparado]]="Sí",IF(DATOS!BB$4="Sí",(1/DATOS_[[% anualiz]:[% anualiz]]),1)*IF(DATOS!BB$5="Sí",1/DATOS_[[% normaliz]:[% normaliz]],1)*(DATOS_[Conc.Sal.24])))))))), 0)</f>
        <v>0</v>
      </c>
      <c r="AH35" s="250" t="n">
        <f aca="false" t="array" ref="AH35:AH35">IFERROR( (MEDIAN((IF(DATOS_[[Sexo]:[Sexo]]=$B35,IF(DATOS_[[AGRUP. VALOR. PTO.]:[AGRUP. VALOR. PTO.]]=$B33,IF(DATOS_[[Check Periodo Ref.]:[Check Periodo Ref.]]="Dentro",IF(DATOS_[[Check Equiparado]:[Check Equiparado]]="Sí",IF(DATOS!BC$4="Sí",(1/DATOS_[[% anualiz]:[% anualiz]]),1)*IF(DATOS!BC$5="Sí",1/DATOS_[[% normaliz]:[% normaliz]],1)*(DATOS_[Conc.Sal.25])))))))), 0)</f>
        <v>0</v>
      </c>
      <c r="AI35" s="250" t="n">
        <f aca="false" t="array" ref="AI35:AI35">IFERROR( (MEDIAN((IF(DATOS_[[Sexo]:[Sexo]]=$B35,IF(DATOS_[[AGRUP. VALOR. PTO.]:[AGRUP. VALOR. PTO.]]=$B33,IF(DATOS_[[Check Periodo Ref.]:[Check Periodo Ref.]]="Dentro",IF(DATOS_[[Check Equiparado]:[Check Equiparado]]="Sí",IF(DATOS!BD$4="Sí",(1/DATOS_[[% anualiz]:[% anualiz]]),1)*IF(DATOS!BD$5="Sí",1/DATOS_[[% normaliz]:[% normaliz]],1)*(DATOS_[Conc.Sal.26])))))))), 0)</f>
        <v>0</v>
      </c>
      <c r="AJ35" s="250" t="n">
        <f aca="false" t="array" ref="AJ35:AJ35">IFERROR( (MEDIAN((IF(DATOS_[[Sexo]:[Sexo]]=$B35,IF(DATOS_[[AGRUP. VALOR. PTO.]:[AGRUP. VALOR. PTO.]]=$B33,IF(DATOS_[[Check Periodo Ref.]:[Check Periodo Ref.]]="Dentro",IF(DATOS_[[Check Equiparado]:[Check Equiparado]]="Sí",IF(DATOS!BE$4="Sí",(1/DATOS_[[% anualiz]:[% anualiz]]),1)*IF(DATOS!BE$5="Sí",1/DATOS_[[% normaliz]:[% normaliz]],1)*(DATOS_[Conc.Sal.27])))))))), 0)</f>
        <v>0</v>
      </c>
      <c r="AK35" s="250" t="n">
        <f aca="false" t="array" ref="AK35:AK35">IFERROR( (MEDIAN((IF(DATOS_[[Sexo]:[Sexo]]=$B35,IF(DATOS_[[AGRUP. VALOR. PTO.]:[AGRUP. VALOR. PTO.]]=$B33,IF(DATOS_[[Check Periodo Ref.]:[Check Periodo Ref.]]="Dentro",IF(DATOS_[[Check Equiparado]:[Check Equiparado]]="Sí",IF(DATOS!BF$4="Sí",(1/DATOS_[[% anualiz]:[% anualiz]]),1)*IF(DATOS!BF$5="Sí",1/DATOS_[[% normaliz]:[% normaliz]],1)*(DATOS_[Conc.Sal.28])))))))), 0)</f>
        <v>0</v>
      </c>
      <c r="AL35" s="250" t="n">
        <f aca="false" t="array" ref="AL35:AL35">IFERROR( (MEDIAN((IF(DATOS_[[Sexo]:[Sexo]]=$B35,IF(DATOS_[[AGRUP. VALOR. PTO.]:[AGRUP. VALOR. PTO.]]=$B33,IF(DATOS_[[Check Periodo Ref.]:[Check Periodo Ref.]]="Dentro",IF(DATOS_[[Check Equiparado]:[Check Equiparado]]="Sí",IF(DATOS!BG$4="Sí",(1/DATOS_[[% anualiz]:[% anualiz]]),1)*IF(DATOS!BG$5="Sí",1/DATOS_[[% normaliz]:[% normaliz]],1)*(DATOS_[Conc.Sal.29])))))))), 0)</f>
        <v>0</v>
      </c>
      <c r="AM35" s="250" t="n">
        <f aca="false" t="array" ref="AM35:AM35">IFERROR( (MEDIAN((IF(DATOS_[[Sexo]:[Sexo]]=$B35,IF(DATOS_[[AGRUP. VALOR. PTO.]:[AGRUP. VALOR. PTO.]]=$B33,IF(DATOS_[[Check Periodo Ref.]:[Check Periodo Ref.]]="Dentro",IF(DATOS_[[Check Equiparado]:[Check Equiparado]]="Sí",IF(DATOS!BH$4="Sí",(1/DATOS_[[% anualiz]:[% anualiz]]),1)*IF(DATOS!BH$5="Sí",1/DATOS_[[% normaliz]:[% normaliz]],1)*(DATOS_[Conc.Sal.30])))))))), 0)</f>
        <v>0</v>
      </c>
      <c r="AN35" s="251" t="n">
        <f aca="false" t="array" ref="AN35:AN35">IFERROR( MEDIAN(IF(DATOS_[Sexo]=$B35,IF(DATOS_[[AGRUP. VALOR. PTO.]:[AGRUP. VALOR. PTO.]]=$B33,IF(DATOS_[Check Equiparado]="Sí",IF(DATOS_[Check Periodo Ref.]="Dentro",DATOS_[Tot COMPL.SAL Eq],0))))), 0)</f>
        <v>0</v>
      </c>
      <c r="AO35" s="252" t="n">
        <f aca="false" t="array" ref="AO35:AO35">IFERROR( MEDIAN(IF(DATOS_[Sexo]=$B35,IF(DATOS_[[AGRUP. VALOR. PTO.]:[AGRUP. VALOR. PTO.]]=$B33,IF(DATOS_[Check Equiparado]="Sí",IF(DATOS_[Check Periodo Ref.]="Dentro",DATOS_[TOTAL SALARIO Eq],0))))), 0)</f>
        <v>0</v>
      </c>
      <c r="AP35" s="259" t="n">
        <f aca="false" t="array" ref="AP35:AP35">IFERROR( (MEDIAN((IF(DATOS_[[Sexo]:[Sexo]]=$B35,IF(DATOS_[[AGRUP. VALOR. PTO.]:[AGRUP. VALOR. PTO.]]=$B34,IF(DATOS_[[Check Periodo Ref.]:[Check Periodo Ref.]]="Dentro",IF(DATOS_[[Check Equiparado]:[Check Equiparado]]="Sí",IF(DATOS!BI$4="Sí",(1/DATOS_[[% anualiz]:[% anualiz]]),1)*IF(DATOS!BI$5="Sí",1/DATOS_[[% normaliz]:[% normaliz]],1)*(DATOS_[C.Extra.01])))))))), 0)</f>
        <v>0</v>
      </c>
      <c r="AQ35" s="259" t="n">
        <f aca="false" t="array" ref="AQ35:AQ35">IFERROR( (MEDIAN((IF(DATOS_[[Sexo]:[Sexo]]=$B35,IF(DATOS_[[AGRUP. VALOR. PTO.]:[AGRUP. VALOR. PTO.]]=$B34,IF(DATOS_[[Check Periodo Ref.]:[Check Periodo Ref.]]="Dentro",IF(DATOS_[[Check Equiparado]:[Check Equiparado]]="Sí",IF(DATOS!BJ$4="Sí",(1/DATOS_[[% anualiz]:[% anualiz]]),1)*IF(DATOS!BJ$5="Sí",1/DATOS_[[% normaliz]:[% normaliz]],1)*(DATOS_[C.Extra.02])))))))), 0)</f>
        <v>0</v>
      </c>
      <c r="AR35" s="259" t="n">
        <f aca="false" t="array" ref="AR35:AR35">IFERROR( (MEDIAN((IF(DATOS_[[Sexo]:[Sexo]]=$B35,IF(DATOS_[[AGRUP. VALOR. PTO.]:[AGRUP. VALOR. PTO.]]=$B34,IF(DATOS_[[Check Periodo Ref.]:[Check Periodo Ref.]]="Dentro",IF(DATOS_[[Check Equiparado]:[Check Equiparado]]="Sí",IF(DATOS!BK$4="Sí",(1/DATOS_[[% anualiz]:[% anualiz]]),1)*IF(DATOS!BK$5="Sí",1/DATOS_[[% normaliz]:[% normaliz]],1)*(DATOS_[C.Extra.03])))))))), 0)</f>
        <v>0</v>
      </c>
      <c r="AS35" s="259" t="n">
        <f aca="false" t="array" ref="AS35:AS35">IFERROR( (MEDIAN((IF(DATOS_[[Sexo]:[Sexo]]=$B35,IF(DATOS_[[AGRUP. VALOR. PTO.]:[AGRUP. VALOR. PTO.]]=$B34,IF(DATOS_[[Check Periodo Ref.]:[Check Periodo Ref.]]="Dentro",IF(DATOS_[[Check Equiparado]:[Check Equiparado]]="Sí",IF(DATOS!BL$4="Sí",(1/DATOS_[[% anualiz]:[% anualiz]]),1)*IF(DATOS!BL$5="Sí",1/DATOS_[[% normaliz]:[% normaliz]],1)*(DATOS_[C.Extra.04])))))))), 0)</f>
        <v>0</v>
      </c>
      <c r="AT35" s="259" t="n">
        <f aca="false" t="array" ref="AT35:AT35">IFERROR( (MEDIAN((IF(DATOS_[[Sexo]:[Sexo]]=$B35,IF(DATOS_[[AGRUP. VALOR. PTO.]:[AGRUP. VALOR. PTO.]]=$B34,IF(DATOS_[[Check Periodo Ref.]:[Check Periodo Ref.]]="Dentro",IF(DATOS_[[Check Equiparado]:[Check Equiparado]]="Sí",IF(DATOS!BM$4="Sí",(1/DATOS_[[% anualiz]:[% anualiz]]),1)*IF(DATOS!BM$5="Sí",1/DATOS_[[% normaliz]:[% normaliz]],1)*(DATOS_[C.Extra.05])))))))), 0)</f>
        <v>0</v>
      </c>
      <c r="AU35" s="254" t="n">
        <f aca="false" t="array" ref="AU35:AU35">IFERROR( MEDIAN(IF(DATOS_[Sexo]=$B35,IF(DATOS_[[AGRUP. VALOR. PTO.]:[AGRUP. VALOR. PTO.]]=$B33,IF(DATOS_[Check Equiparado]="Sí",IF(DATOS_[Check Periodo Ref.]="Dentro",DATOS_[Tot Extrasalarial Eq],0))))), 0)</f>
        <v>0</v>
      </c>
      <c r="AV35" s="255" t="n">
        <f aca="false" t="array" ref="AV35:AV35">IFERROR( MEDIAN(IF(DATOS_[Sexo]=$B35,IF(DATOS_[[AGRUP. VALOR. PTO.]:[AGRUP. VALOR. PTO.]]=$B33,IF(DATOS_[Check Equiparado]="Sí",IF(DATOS_[Check Periodo Ref.]="Dentro",DATOS_[TOTAL Retrib Eq],0))))), 0)</f>
        <v>0</v>
      </c>
    </row>
    <row r="36" customFormat="false" ht="15.75" hidden="false" customHeight="false" outlineLevel="0" collapsed="false">
      <c r="A36" s="217" t="str">
        <f aca="false">+A37</f>
        <v>[ocultar]</v>
      </c>
      <c r="B36" s="320" t="s">
        <v>190</v>
      </c>
      <c r="C36" s="236"/>
      <c r="D36" s="237"/>
      <c r="E36" s="237"/>
      <c r="F36" s="237"/>
      <c r="G36" s="237"/>
      <c r="H36" s="237"/>
      <c r="I36" s="238" t="str">
        <f aca="false">IFERROR((I37-I38)/I37,"")</f>
        <v/>
      </c>
      <c r="J36" s="239" t="str">
        <f aca="false">IFERROR((J37-J38)/J37,"")</f>
        <v/>
      </c>
      <c r="K36" s="239" t="str">
        <f aca="false">IFERROR((K37-K38)/K37,"")</f>
        <v/>
      </c>
      <c r="L36" s="239" t="str">
        <f aca="false">IFERROR((L37-L38)/L37,"")</f>
        <v/>
      </c>
      <c r="M36" s="239" t="str">
        <f aca="false">IFERROR((M37-M38)/M37,"")</f>
        <v/>
      </c>
      <c r="N36" s="239" t="str">
        <f aca="false">IFERROR((N37-N38)/N37,"")</f>
        <v/>
      </c>
      <c r="O36" s="239" t="str">
        <f aca="false">IFERROR((O37-O38)/O37,"")</f>
        <v/>
      </c>
      <c r="P36" s="239" t="str">
        <f aca="false">IFERROR((P37-P38)/P37,"")</f>
        <v/>
      </c>
      <c r="Q36" s="239" t="str">
        <f aca="false">IFERROR((Q37-Q38)/Q37,"")</f>
        <v/>
      </c>
      <c r="R36" s="239" t="str">
        <f aca="false">IFERROR((R37-R38)/R37,"")</f>
        <v/>
      </c>
      <c r="S36" s="239" t="str">
        <f aca="false">IFERROR((S37-S38)/S37,"")</f>
        <v/>
      </c>
      <c r="T36" s="239" t="str">
        <f aca="false">IFERROR((T37-T38)/T37,"")</f>
        <v/>
      </c>
      <c r="U36" s="239" t="str">
        <f aca="false">IFERROR((U37-U38)/U37,"")</f>
        <v/>
      </c>
      <c r="V36" s="239" t="str">
        <f aca="false">IFERROR((V37-V38)/V37,"")</f>
        <v/>
      </c>
      <c r="W36" s="239" t="str">
        <f aca="false">IFERROR((W37-W38)/W37,"")</f>
        <v/>
      </c>
      <c r="X36" s="239" t="str">
        <f aca="false">IFERROR((X37-X38)/X37,"")</f>
        <v/>
      </c>
      <c r="Y36" s="239" t="str">
        <f aca="false">IFERROR((Y37-Y38)/Y37,"")</f>
        <v/>
      </c>
      <c r="Z36" s="240" t="str">
        <f aca="false">IFERROR((Z37-Z38)/Z37,"")</f>
        <v/>
      </c>
      <c r="AA36" s="240" t="str">
        <f aca="false">IFERROR((AA37-AA38)/AA37,"")</f>
        <v/>
      </c>
      <c r="AB36" s="240" t="str">
        <f aca="false">IFERROR((AB37-AB38)/AB37,"")</f>
        <v/>
      </c>
      <c r="AC36" s="240" t="str">
        <f aca="false">IFERROR((AC37-AC38)/AC37,"")</f>
        <v/>
      </c>
      <c r="AD36" s="240" t="str">
        <f aca="false">IFERROR((AD37-AD38)/AD37,"")</f>
        <v/>
      </c>
      <c r="AE36" s="240" t="str">
        <f aca="false">IFERROR((AE37-AE38)/AE37,"")</f>
        <v/>
      </c>
      <c r="AF36" s="240" t="str">
        <f aca="false">IFERROR((AF37-AF38)/AF37,"")</f>
        <v/>
      </c>
      <c r="AG36" s="240" t="str">
        <f aca="false">IFERROR((AG37-AG38)/AG37,"")</f>
        <v/>
      </c>
      <c r="AH36" s="240" t="str">
        <f aca="false">IFERROR((AH37-AH38)/AH37,"")</f>
        <v/>
      </c>
      <c r="AI36" s="240" t="str">
        <f aca="false">IFERROR((AI37-AI38)/AI37,"")</f>
        <v/>
      </c>
      <c r="AJ36" s="240" t="str">
        <f aca="false">IFERROR((AJ37-AJ38)/AJ37,"")</f>
        <v/>
      </c>
      <c r="AK36" s="240" t="str">
        <f aca="false">IFERROR((AK37-AK38)/AK37,"")</f>
        <v/>
      </c>
      <c r="AL36" s="240" t="str">
        <f aca="false">IFERROR((AL37-AL38)/AL37,"")</f>
        <v/>
      </c>
      <c r="AM36" s="240" t="str">
        <f aca="false">IFERROR((AM37-AM38)/AM37,"")</f>
        <v/>
      </c>
      <c r="AN36" s="241" t="str">
        <f aca="false">IFERROR((AN37-AN38)/AN37,"")</f>
        <v/>
      </c>
      <c r="AO36" s="242" t="str">
        <f aca="false">IFERROR((AO37-AO38)/AO37,"")</f>
        <v/>
      </c>
      <c r="AP36" s="243" t="str">
        <f aca="false">IFERROR((AP37-AP38)/AP37,"")</f>
        <v/>
      </c>
      <c r="AQ36" s="243" t="str">
        <f aca="false">IFERROR((AQ37-AQ38)/AQ37,"")</f>
        <v/>
      </c>
      <c r="AR36" s="243" t="str">
        <f aca="false">IFERROR((AR37-AR38)/AR37,"")</f>
        <v/>
      </c>
      <c r="AS36" s="243" t="str">
        <f aca="false">IFERROR((AS37-AS38)/AS37,"")</f>
        <v/>
      </c>
      <c r="AT36" s="243" t="str">
        <f aca="false">IFERROR((AT37-AT38)/AT37,"")</f>
        <v/>
      </c>
      <c r="AU36" s="244" t="str">
        <f aca="false">IFERROR((AU37-AU38)/AU37,"")</f>
        <v/>
      </c>
      <c r="AV36" s="245" t="str">
        <f aca="false">IFERROR((AV37-AV38)/AV37,"")</f>
        <v/>
      </c>
    </row>
    <row r="37" customFormat="false" ht="14.25" hidden="false" customHeight="false" outlineLevel="0" collapsed="false">
      <c r="A37" s="217" t="str">
        <f aca="false">+IF(C37+C38=0,"[ocultar]","")</f>
        <v>[ocultar]</v>
      </c>
      <c r="B37" s="323" t="s">
        <v>371</v>
      </c>
      <c r="C37" s="247" t="n">
        <f aca="false" t="array" ref="C37:C37">SUM(IF($B37=DATOS_[Sexo], IF($B36=DATOS_[AGRUP. VALOR. PTO.], IF("Dentro"=DATOS_[Check Periodo Ref.], 1/(COUNTIFS(DATOS_[Sexo],$B37,DATOS_[AGRUP. VALOR. PTO.],$B36,DATOS_[Check Periodo Ref.],"Dentro",DATOS_[id],DATOS_[id]))))))</f>
        <v>0</v>
      </c>
      <c r="D37" s="248" t="n">
        <f aca="false">COUNTIFS(DATOS_[AGRUP. VALOR. PTO.],$B36,DATOS_[Sexo],$B37,DATOS_[Check Periodo Ref.],"Dentro")</f>
        <v>0</v>
      </c>
      <c r="E37" s="248" t="n">
        <f aca="false">COUNTIFS(DATOS_[AGRUP. VALOR. PTO.],$B36,DATOS_[Sexo],$B37,DATOS_[Check Periodo Ref.],"Dentro",DATOS_[Check Nº SC Norm],"Sí")</f>
        <v>0</v>
      </c>
      <c r="F37" s="248" t="n">
        <f aca="false">COUNTIFS(DATOS_[AGRUP. VALOR. PTO.],$B36,DATOS_[Sexo],$B37,DATOS_[Check Periodo Ref.],"Dentro",DATOS_[Check Nº SC Anualiz],"Sí")</f>
        <v>0</v>
      </c>
      <c r="G37" s="248" t="n">
        <f aca="false">COUNTIFS(DATOS_[AGRUP. VALOR. PTO.],$B36,DATOS_[Sexo],$B37,DATOS_[Check Periodo Ref.],"Dentro",DATOS_[Check Nº SC Norm y Anualiz],"Sí")</f>
        <v>0</v>
      </c>
      <c r="H37" s="248" t="n">
        <f aca="false">COUNTIFS(DATOS_[AGRUP. VALOR. PTO.],$B36,DATOS_[Sexo],$B37,DATOS_[Check Periodo Ref.],"Dentro",DATOS_[Check Equiparación],"Sí")</f>
        <v>0</v>
      </c>
      <c r="I37" s="249" t="n">
        <f aca="false" t="array" ref="I37:I37">IFERROR( MEDIAN(IF(DATOS_[Sexo]=$B37,IF(DATOS_[[AGRUP. VALOR. PTO.]:[AGRUP. VALOR. PTO.]]=$B36,IF(DATOS_[Check Equiparado]="Sí",IF(DATOS_[Check Periodo Ref.]="Dentro",DATOS_[SALARIO BASE Eq],0))))), 0)</f>
        <v>0</v>
      </c>
      <c r="J37" s="250" t="n">
        <f aca="false" t="array" ref="J37:J37">IFERROR( (MEDIAN((IF(DATOS_[[Sexo]:[Sexo]]=$B37,IF(DATOS_[[AGRUP. VALOR. PTO.]:[AGRUP. VALOR. PTO.]]=$B36,IF(DATOS_[[Check Periodo Ref.]:[Check Periodo Ref.]]="Dentro",IF(DATOS_[[Check Equiparado]:[Check Equiparado]]="Sí",IF(DATOS!AE$4="Sí",(1/DATOS_[[% anualiz]:[% anualiz]]),1)*IF(DATOS!AE$5="Sí",1/DATOS_[[% normaliz]:[% normaliz]],1)*(DATOS_[Conc.Sal.01])))))))), 0)</f>
        <v>0</v>
      </c>
      <c r="K37" s="250" t="n">
        <f aca="false" t="array" ref="K37:K37">IFERROR( (MEDIAN((IF(DATOS_[[Sexo]:[Sexo]]=$B37,IF(DATOS_[[AGRUP. VALOR. PTO.]:[AGRUP. VALOR. PTO.]]=$B36,IF(DATOS_[[Check Periodo Ref.]:[Check Periodo Ref.]]="Dentro",IF(DATOS_[[Check Equiparado]:[Check Equiparado]]="Sí",IF(DATOS!AF$4="Sí",(1/DATOS_[[% anualiz]:[% anualiz]]),1)*IF(DATOS!AF$5="Sí",1/DATOS_[[% normaliz]:[% normaliz]],1)*(DATOS_[Conc.Sal.02])))))))), 0)</f>
        <v>0</v>
      </c>
      <c r="L37" s="250" t="n">
        <f aca="false" t="array" ref="L37:L37">IFERROR( (MEDIAN((IF(DATOS_[[Sexo]:[Sexo]]=$B37,IF(DATOS_[[AGRUP. VALOR. PTO.]:[AGRUP. VALOR. PTO.]]=$B36,IF(DATOS_[[Check Periodo Ref.]:[Check Periodo Ref.]]="Dentro",IF(DATOS_[[Check Equiparado]:[Check Equiparado]]="Sí",IF(DATOS!AG$4="Sí",(1/DATOS_[[% anualiz]:[% anualiz]]),1)*IF(DATOS!AG$5="Sí",1/DATOS_[[% normaliz]:[% normaliz]],1)*(DATOS_[Conc.Sal.03])))))))), 0)</f>
        <v>0</v>
      </c>
      <c r="M37" s="250" t="n">
        <f aca="false" t="array" ref="M37:M37">IFERROR( (MEDIAN((IF(DATOS_[[Sexo]:[Sexo]]=$B37,IF(DATOS_[[AGRUP. VALOR. PTO.]:[AGRUP. VALOR. PTO.]]=$B36,IF(DATOS_[[Check Periodo Ref.]:[Check Periodo Ref.]]="Dentro",IF(DATOS_[[Check Equiparado]:[Check Equiparado]]="Sí",IF(DATOS!AH$4="Sí",(1/DATOS_[[% anualiz]:[% anualiz]]),1)*IF(DATOS!AH$5="Sí",1/DATOS_[[% normaliz]:[% normaliz]],1)*(DATOS_[Conc.Sal.04])))))))), 0)</f>
        <v>0</v>
      </c>
      <c r="N37" s="250" t="n">
        <f aca="false" t="array" ref="N37:N37">IFERROR( (MEDIAN((IF(DATOS_[[Sexo]:[Sexo]]=$B37,IF(DATOS_[[AGRUP. VALOR. PTO.]:[AGRUP. VALOR. PTO.]]=$B36,IF(DATOS_[[Check Periodo Ref.]:[Check Periodo Ref.]]="Dentro",IF(DATOS_[[Check Equiparado]:[Check Equiparado]]="Sí",IF(DATOS!AI$4="Sí",(1/DATOS_[[% anualiz]:[% anualiz]]),1)*IF(DATOS!AI$5="Sí",1/DATOS_[[% normaliz]:[% normaliz]],1)*(DATOS_[Conc.Sal.05])))))))), 0)</f>
        <v>0</v>
      </c>
      <c r="O37" s="250" t="n">
        <f aca="false" t="array" ref="O37:O37">IFERROR( (MEDIAN((IF(DATOS_[[Sexo]:[Sexo]]=$B37,IF(DATOS_[[AGRUP. VALOR. PTO.]:[AGRUP. VALOR. PTO.]]=$B36,IF(DATOS_[[Check Periodo Ref.]:[Check Periodo Ref.]]="Dentro",IF(DATOS_[[Check Equiparado]:[Check Equiparado]]="Sí",IF(DATOS!AJ$4="Sí",(1/DATOS_[[% anualiz]:[% anualiz]]),1)*IF(DATOS!AJ$5="Sí",1/DATOS_[[% normaliz]:[% normaliz]],1)*(DATOS_[Conc.Sal.06])))))))), 0)</f>
        <v>0</v>
      </c>
      <c r="P37" s="250" t="n">
        <f aca="false" t="array" ref="P37:P37">IFERROR( (MEDIAN((IF(DATOS_[[Sexo]:[Sexo]]=$B37,IF(DATOS_[[AGRUP. VALOR. PTO.]:[AGRUP. VALOR. PTO.]]=$B36,IF(DATOS_[[Check Periodo Ref.]:[Check Periodo Ref.]]="Dentro",IF(DATOS_[[Check Equiparado]:[Check Equiparado]]="Sí",IF(DATOS!AK$4="Sí",(1/DATOS_[[% anualiz]:[% anualiz]]),1)*IF(DATOS!AK$5="Sí",1/DATOS_[[% normaliz]:[% normaliz]],1)*(DATOS_[Conc.Sal.07])))))))), 0)</f>
        <v>0</v>
      </c>
      <c r="Q37" s="250" t="n">
        <f aca="false" t="array" ref="Q37:Q37">IFERROR( (MEDIAN((IF(DATOS_[[Sexo]:[Sexo]]=$B37,IF(DATOS_[[AGRUP. VALOR. PTO.]:[AGRUP. VALOR. PTO.]]=$B36,IF(DATOS_[[Check Periodo Ref.]:[Check Periodo Ref.]]="Dentro",IF(DATOS_[[Check Equiparado]:[Check Equiparado]]="Sí",IF(DATOS!AL$4="Sí",(1/DATOS_[[% anualiz]:[% anualiz]]),1)*IF(DATOS!AL$5="Sí",1/DATOS_[[% normaliz]:[% normaliz]],1)*(DATOS_[Conc.Sal.08])))))))), 0)</f>
        <v>0</v>
      </c>
      <c r="R37" s="250" t="n">
        <f aca="false" t="array" ref="R37:R37">IFERROR( (MEDIAN((IF(DATOS_[[Sexo]:[Sexo]]=$B37,IF(DATOS_[[AGRUP. VALOR. PTO.]:[AGRUP. VALOR. PTO.]]=$B36,IF(DATOS_[[Check Periodo Ref.]:[Check Periodo Ref.]]="Dentro",IF(DATOS_[[Check Equiparado]:[Check Equiparado]]="Sí",IF(DATOS!AM$4="Sí",(1/DATOS_[[% anualiz]:[% anualiz]]),1)*IF(DATOS!AM$5="Sí",1/DATOS_[[% normaliz]:[% normaliz]],1)*(DATOS_[Conc.Sal.09])))))))), 0)</f>
        <v>0</v>
      </c>
      <c r="S37" s="250" t="n">
        <f aca="false" t="array" ref="S37:S37">IFERROR( (MEDIAN((IF(DATOS_[[Sexo]:[Sexo]]=$B37,IF(DATOS_[[AGRUP. VALOR. PTO.]:[AGRUP. VALOR. PTO.]]=$B36,IF(DATOS_[[Check Periodo Ref.]:[Check Periodo Ref.]]="Dentro",IF(DATOS_[[Check Equiparado]:[Check Equiparado]]="Sí",IF(DATOS!AN$4="Sí",(1/DATOS_[[% anualiz]:[% anualiz]]),1)*IF(DATOS!AN$5="Sí",1/DATOS_[[% normaliz]:[% normaliz]],1)*(DATOS_[Conc.Sal.10])))))))), 0)</f>
        <v>0</v>
      </c>
      <c r="T37" s="250" t="n">
        <f aca="false" t="array" ref="T37:T37">IFERROR( (MEDIAN((IF(DATOS_[[Sexo]:[Sexo]]=$B37,IF(DATOS_[[AGRUP. VALOR. PTO.]:[AGRUP. VALOR. PTO.]]=$B36,IF(DATOS_[[Check Periodo Ref.]:[Check Periodo Ref.]]="Dentro",IF(DATOS_[[Check Equiparado]:[Check Equiparado]]="Sí",IF(DATOS!AO$4="Sí",(1/DATOS_[[% anualiz]:[% anualiz]]),1)*IF(DATOS!AO$5="Sí",1/DATOS_[[% normaliz]:[% normaliz]],1)*(DATOS_[Conc.Sal.11])))))))), 0)</f>
        <v>0</v>
      </c>
      <c r="U37" s="250" t="n">
        <f aca="false" t="array" ref="U37:U37">IFERROR( (MEDIAN((IF(DATOS_[[Sexo]:[Sexo]]=$B37,IF(DATOS_[[AGRUP. VALOR. PTO.]:[AGRUP. VALOR. PTO.]]=$B36,IF(DATOS_[[Check Periodo Ref.]:[Check Periodo Ref.]]="Dentro",IF(DATOS_[[Check Equiparado]:[Check Equiparado]]="Sí",IF(DATOS!AP$4="Sí",(1/DATOS_[[% anualiz]:[% anualiz]]),1)*IF(DATOS!AP$5="Sí",1/DATOS_[[% normaliz]:[% normaliz]],1)*(DATOS_[Conc.Sal.12])))))))), 0)</f>
        <v>0</v>
      </c>
      <c r="V37" s="250" t="n">
        <f aca="false" t="array" ref="V37:V37">IFERROR( (MEDIAN((IF(DATOS_[[Sexo]:[Sexo]]=$B37,IF(DATOS_[[AGRUP. VALOR. PTO.]:[AGRUP. VALOR. PTO.]]=$B36,IF(DATOS_[[Check Periodo Ref.]:[Check Periodo Ref.]]="Dentro",IF(DATOS_[[Check Equiparado]:[Check Equiparado]]="Sí",IF(DATOS!AQ$4="Sí",(1/DATOS_[[% anualiz]:[% anualiz]]),1)*IF(DATOS!AQ$5="Sí",1/DATOS_[[% normaliz]:[% normaliz]],1)*(DATOS_[Conc.Sal.13])))))))), 0)</f>
        <v>0</v>
      </c>
      <c r="W37" s="250" t="n">
        <f aca="false" t="array" ref="W37:W37">IFERROR( (MEDIAN((IF(DATOS_[[Sexo]:[Sexo]]=$B37,IF(DATOS_[[AGRUP. VALOR. PTO.]:[AGRUP. VALOR. PTO.]]=$B36,IF(DATOS_[[Check Periodo Ref.]:[Check Periodo Ref.]]="Dentro",IF(DATOS_[[Check Equiparado]:[Check Equiparado]]="Sí",IF(DATOS!AR$4="Sí",(1/DATOS_[[% anualiz]:[% anualiz]]),1)*IF(DATOS!AR$5="Sí",1/DATOS_[[% normaliz]:[% normaliz]],1)*(DATOS_[Conc.Sal.14])))))))), 0)</f>
        <v>0</v>
      </c>
      <c r="X37" s="250" t="n">
        <f aca="false" t="array" ref="X37:X37">IFERROR( (MEDIAN((IF(DATOS_[[Sexo]:[Sexo]]=$B37,IF(DATOS_[[AGRUP. VALOR. PTO.]:[AGRUP. VALOR. PTO.]]=$B36,IF(DATOS_[[Check Periodo Ref.]:[Check Periodo Ref.]]="Dentro",IF(DATOS_[[Check Equiparado]:[Check Equiparado]]="Sí",IF(DATOS!AS$4="Sí",(1/DATOS_[[% anualiz]:[% anualiz]]),1)*IF(DATOS!AS$5="Sí",1/DATOS_[[% normaliz]:[% normaliz]],1)*(DATOS_[Conc.Sal.15])))))))), 0)</f>
        <v>0</v>
      </c>
      <c r="Y37" s="250" t="n">
        <f aca="false" t="array" ref="Y37:Y37">IFERROR( (MEDIAN((IF(DATOS_[[Sexo]:[Sexo]]=$B37,IF(DATOS_[[AGRUP. VALOR. PTO.]:[AGRUP. VALOR. PTO.]]=$B36,IF(DATOS_[[Check Periodo Ref.]:[Check Periodo Ref.]]="Dentro",IF(DATOS_[[Check Equiparado]:[Check Equiparado]]="Sí",IF(DATOS!AT$4="Sí",(1/DATOS_[[% anualiz]:[% anualiz]]),1)*IF(DATOS!AT$5="Sí",1/DATOS_[[% normaliz]:[% normaliz]],1)*(DATOS_[Conc.Sal.16])))))))), 0)</f>
        <v>0</v>
      </c>
      <c r="Z37" s="250" t="n">
        <f aca="false" t="array" ref="Z37:Z37">IFERROR( (MEDIAN((IF(DATOS_[[Sexo]:[Sexo]]=$B37,IF(DATOS_[[AGRUP. VALOR. PTO.]:[AGRUP. VALOR. PTO.]]=$B36,IF(DATOS_[[Check Periodo Ref.]:[Check Periodo Ref.]]="Dentro",IF(DATOS_[[Check Equiparado]:[Check Equiparado]]="Sí",IF(DATOS!AU$4="Sí",(1/DATOS_[[% anualiz]:[% anualiz]]),1)*IF(DATOS!AU$5="Sí",1/DATOS_[[% normaliz]:[% normaliz]],1)*(DATOS_[Conc.Sal.17])))))))), 0)</f>
        <v>0</v>
      </c>
      <c r="AA37" s="250" t="n">
        <f aca="false" t="array" ref="AA37:AA37">IFERROR( (MEDIAN((IF(DATOS_[[Sexo]:[Sexo]]=$B37,IF(DATOS_[[AGRUP. VALOR. PTO.]:[AGRUP. VALOR. PTO.]]=$B36,IF(DATOS_[[Check Periodo Ref.]:[Check Periodo Ref.]]="Dentro",IF(DATOS_[[Check Equiparado]:[Check Equiparado]]="Sí",IF(DATOS!AV$4="Sí",(1/DATOS_[[% anualiz]:[% anualiz]]),1)*IF(DATOS!AV$5="Sí",1/DATOS_[[% normaliz]:[% normaliz]],1)*(DATOS_[Conc.Sal.18])))))))), 0)</f>
        <v>0</v>
      </c>
      <c r="AB37" s="250" t="n">
        <f aca="false" t="array" ref="AB37:AB37">IFERROR( (MEDIAN((IF(DATOS_[[Sexo]:[Sexo]]=$B37,IF(DATOS_[[AGRUP. VALOR. PTO.]:[AGRUP. VALOR. PTO.]]=$B36,IF(DATOS_[[Check Periodo Ref.]:[Check Periodo Ref.]]="Dentro",IF(DATOS_[[Check Equiparado]:[Check Equiparado]]="Sí",IF(DATOS!AW$4="Sí",(1/DATOS_[[% anualiz]:[% anualiz]]),1)*IF(DATOS!AW$5="Sí",1/DATOS_[[% normaliz]:[% normaliz]],1)*(DATOS_[Conc.Sal.19])))))))), 0)</f>
        <v>0</v>
      </c>
      <c r="AC37" s="250" t="n">
        <f aca="false" t="array" ref="AC37:AC37">IFERROR( (MEDIAN((IF(DATOS_[[Sexo]:[Sexo]]=$B37,IF(DATOS_[[AGRUP. VALOR. PTO.]:[AGRUP. VALOR. PTO.]]=$B36,IF(DATOS_[[Check Periodo Ref.]:[Check Periodo Ref.]]="Dentro",IF(DATOS_[[Check Equiparado]:[Check Equiparado]]="Sí",IF(DATOS!AX$4="Sí",(1/DATOS_[[% anualiz]:[% anualiz]]),1)*IF(DATOS!AX$5="Sí",1/DATOS_[[% normaliz]:[% normaliz]],1)*(DATOS_[Conc.Sal.20])))))))), 0)</f>
        <v>0</v>
      </c>
      <c r="AD37" s="250" t="n">
        <f aca="false" t="array" ref="AD37:AD37">IFERROR( (MEDIAN((IF(DATOS_[[Sexo]:[Sexo]]=$B37,IF(DATOS_[[AGRUP. VALOR. PTO.]:[AGRUP. VALOR. PTO.]]=$B36,IF(DATOS_[[Check Periodo Ref.]:[Check Periodo Ref.]]="Dentro",IF(DATOS_[[Check Equiparado]:[Check Equiparado]]="Sí",IF(DATOS!AY$4="Sí",(1/DATOS_[[% anualiz]:[% anualiz]]),1)*IF(DATOS!AY$5="Sí",1/DATOS_[[% normaliz]:[% normaliz]],1)*(DATOS_[Conc.Sal.21])))))))), 0)</f>
        <v>0</v>
      </c>
      <c r="AE37" s="250" t="n">
        <f aca="false" t="array" ref="AE37:AE37">IFERROR( (MEDIAN((IF(DATOS_[[Sexo]:[Sexo]]=$B37,IF(DATOS_[[AGRUP. VALOR. PTO.]:[AGRUP. VALOR. PTO.]]=$B36,IF(DATOS_[[Check Periodo Ref.]:[Check Periodo Ref.]]="Dentro",IF(DATOS_[[Check Equiparado]:[Check Equiparado]]="Sí",IF(DATOS!AZ$4="Sí",(1/DATOS_[[% anualiz]:[% anualiz]]),1)*IF(DATOS!AZ$5="Sí",1/DATOS_[[% normaliz]:[% normaliz]],1)*(DATOS_[Conc.Sal.22])))))))), 0)</f>
        <v>0</v>
      </c>
      <c r="AF37" s="250" t="n">
        <f aca="false" t="array" ref="AF37:AF37">IFERROR( (MEDIAN((IF(DATOS_[[Sexo]:[Sexo]]=$B37,IF(DATOS_[[AGRUP. VALOR. PTO.]:[AGRUP. VALOR. PTO.]]=$B36,IF(DATOS_[[Check Periodo Ref.]:[Check Periodo Ref.]]="Dentro",IF(DATOS_[[Check Equiparado]:[Check Equiparado]]="Sí",IF(DATOS!BA$4="Sí",(1/DATOS_[[% anualiz]:[% anualiz]]),1)*IF(DATOS!BA$5="Sí",1/DATOS_[[% normaliz]:[% normaliz]],1)*(DATOS_[Conc.Sal.23])))))))), 0)</f>
        <v>0</v>
      </c>
      <c r="AG37" s="250" t="n">
        <f aca="false" t="array" ref="AG37:AG37">IFERROR( (MEDIAN((IF(DATOS_[[Sexo]:[Sexo]]=$B37,IF(DATOS_[[AGRUP. VALOR. PTO.]:[AGRUP. VALOR. PTO.]]=$B36,IF(DATOS_[[Check Periodo Ref.]:[Check Periodo Ref.]]="Dentro",IF(DATOS_[[Check Equiparado]:[Check Equiparado]]="Sí",IF(DATOS!BB$4="Sí",(1/DATOS_[[% anualiz]:[% anualiz]]),1)*IF(DATOS!BB$5="Sí",1/DATOS_[[% normaliz]:[% normaliz]],1)*(DATOS_[Conc.Sal.24])))))))), 0)</f>
        <v>0</v>
      </c>
      <c r="AH37" s="250" t="n">
        <f aca="false" t="array" ref="AH37:AH37">IFERROR( (MEDIAN((IF(DATOS_[[Sexo]:[Sexo]]=$B37,IF(DATOS_[[AGRUP. VALOR. PTO.]:[AGRUP. VALOR. PTO.]]=$B36,IF(DATOS_[[Check Periodo Ref.]:[Check Periodo Ref.]]="Dentro",IF(DATOS_[[Check Equiparado]:[Check Equiparado]]="Sí",IF(DATOS!BC$4="Sí",(1/DATOS_[[% anualiz]:[% anualiz]]),1)*IF(DATOS!BC$5="Sí",1/DATOS_[[% normaliz]:[% normaliz]],1)*(DATOS_[Conc.Sal.25])))))))), 0)</f>
        <v>0</v>
      </c>
      <c r="AI37" s="250" t="n">
        <f aca="false" t="array" ref="AI37:AI37">IFERROR( (MEDIAN((IF(DATOS_[[Sexo]:[Sexo]]=$B37,IF(DATOS_[[AGRUP. VALOR. PTO.]:[AGRUP. VALOR. PTO.]]=$B36,IF(DATOS_[[Check Periodo Ref.]:[Check Periodo Ref.]]="Dentro",IF(DATOS_[[Check Equiparado]:[Check Equiparado]]="Sí",IF(DATOS!BD$4="Sí",(1/DATOS_[[% anualiz]:[% anualiz]]),1)*IF(DATOS!BD$5="Sí",1/DATOS_[[% normaliz]:[% normaliz]],1)*(DATOS_[Conc.Sal.26])))))))), 0)</f>
        <v>0</v>
      </c>
      <c r="AJ37" s="250" t="n">
        <f aca="false" t="array" ref="AJ37:AJ37">IFERROR( (MEDIAN((IF(DATOS_[[Sexo]:[Sexo]]=$B37,IF(DATOS_[[AGRUP. VALOR. PTO.]:[AGRUP. VALOR. PTO.]]=$B36,IF(DATOS_[[Check Periodo Ref.]:[Check Periodo Ref.]]="Dentro",IF(DATOS_[[Check Equiparado]:[Check Equiparado]]="Sí",IF(DATOS!BE$4="Sí",(1/DATOS_[[% anualiz]:[% anualiz]]),1)*IF(DATOS!BE$5="Sí",1/DATOS_[[% normaliz]:[% normaliz]],1)*(DATOS_[Conc.Sal.27])))))))), 0)</f>
        <v>0</v>
      </c>
      <c r="AK37" s="250" t="n">
        <f aca="false" t="array" ref="AK37:AK37">IFERROR( (MEDIAN((IF(DATOS_[[Sexo]:[Sexo]]=$B37,IF(DATOS_[[AGRUP. VALOR. PTO.]:[AGRUP. VALOR. PTO.]]=$B36,IF(DATOS_[[Check Periodo Ref.]:[Check Periodo Ref.]]="Dentro",IF(DATOS_[[Check Equiparado]:[Check Equiparado]]="Sí",IF(DATOS!BF$4="Sí",(1/DATOS_[[% anualiz]:[% anualiz]]),1)*IF(DATOS!BF$5="Sí",1/DATOS_[[% normaliz]:[% normaliz]],1)*(DATOS_[Conc.Sal.28])))))))), 0)</f>
        <v>0</v>
      </c>
      <c r="AL37" s="250" t="n">
        <f aca="false" t="array" ref="AL37:AL37">IFERROR( (MEDIAN((IF(DATOS_[[Sexo]:[Sexo]]=$B37,IF(DATOS_[[AGRUP. VALOR. PTO.]:[AGRUP. VALOR. PTO.]]=$B36,IF(DATOS_[[Check Periodo Ref.]:[Check Periodo Ref.]]="Dentro",IF(DATOS_[[Check Equiparado]:[Check Equiparado]]="Sí",IF(DATOS!BG$4="Sí",(1/DATOS_[[% anualiz]:[% anualiz]]),1)*IF(DATOS!BG$5="Sí",1/DATOS_[[% normaliz]:[% normaliz]],1)*(DATOS_[Conc.Sal.29])))))))), 0)</f>
        <v>0</v>
      </c>
      <c r="AM37" s="250" t="n">
        <f aca="false" t="array" ref="AM37:AM37">IFERROR( (MEDIAN((IF(DATOS_[[Sexo]:[Sexo]]=$B37,IF(DATOS_[[AGRUP. VALOR. PTO.]:[AGRUP. VALOR. PTO.]]=$B36,IF(DATOS_[[Check Periodo Ref.]:[Check Periodo Ref.]]="Dentro",IF(DATOS_[[Check Equiparado]:[Check Equiparado]]="Sí",IF(DATOS!BH$4="Sí",(1/DATOS_[[% anualiz]:[% anualiz]]),1)*IF(DATOS!BH$5="Sí",1/DATOS_[[% normaliz]:[% normaliz]],1)*(DATOS_[Conc.Sal.30])))))))), 0)</f>
        <v>0</v>
      </c>
      <c r="AN37" s="251" t="n">
        <f aca="false" t="array" ref="AN37:AN37">IFERROR( MEDIAN(IF(DATOS_[Sexo]=$B37,IF(DATOS_[[AGRUP. VALOR. PTO.]:[AGRUP. VALOR. PTO.]]=$B36,IF(DATOS_[Check Equiparado]="Sí",IF(DATOS_[Check Periodo Ref.]="Dentro",DATOS_[Tot COMPL.SAL Eq],0))))), 0)</f>
        <v>0</v>
      </c>
      <c r="AO37" s="252" t="n">
        <f aca="false" t="array" ref="AO37:AO37">IFERROR( MEDIAN(IF(DATOS_[Sexo]=$B37,IF(DATOS_[[AGRUP. VALOR. PTO.]:[AGRUP. VALOR. PTO.]]=$B36,IF(DATOS_[Check Equiparado]="Sí",IF(DATOS_[Check Periodo Ref.]="Dentro",DATOS_[TOTAL SALARIO Eq],0))))), 0)</f>
        <v>0</v>
      </c>
      <c r="AP37" s="259" t="n">
        <f aca="false" t="array" ref="AP37:AP37">IFERROR( (MEDIAN((IF(DATOS_[[Sexo]:[Sexo]]=$B37,IF(DATOS_[[AGRUP. VALOR. PTO.]:[AGRUP. VALOR. PTO.]]=$B36,IF(DATOS_[[Check Periodo Ref.]:[Check Periodo Ref.]]="Dentro",IF(DATOS_[[Check Equiparado]:[Check Equiparado]]="Sí",IF(DATOS!BI$4="Sí",(1/DATOS_[[% anualiz]:[% anualiz]]),1)*IF(DATOS!BI$5="Sí",1/DATOS_[[% normaliz]:[% normaliz]],1)*(DATOS_[C.Extra.01])))))))), 0)</f>
        <v>0</v>
      </c>
      <c r="AQ37" s="259" t="n">
        <f aca="false" t="array" ref="AQ37:AQ37">IFERROR( (MEDIAN((IF(DATOS_[[Sexo]:[Sexo]]=$B37,IF(DATOS_[[AGRUP. VALOR. PTO.]:[AGRUP. VALOR. PTO.]]=$B36,IF(DATOS_[[Check Periodo Ref.]:[Check Periodo Ref.]]="Dentro",IF(DATOS_[[Check Equiparado]:[Check Equiparado]]="Sí",IF(DATOS!BJ$4="Sí",(1/DATOS_[[% anualiz]:[% anualiz]]),1)*IF(DATOS!BJ$5="Sí",1/DATOS_[[% normaliz]:[% normaliz]],1)*(DATOS_[C.Extra.02])))))))), 0)</f>
        <v>0</v>
      </c>
      <c r="AR37" s="259" t="n">
        <f aca="false" t="array" ref="AR37:AR37">IFERROR( (MEDIAN((IF(DATOS_[[Sexo]:[Sexo]]=$B37,IF(DATOS_[[AGRUP. VALOR. PTO.]:[AGRUP. VALOR. PTO.]]=$B36,IF(DATOS_[[Check Periodo Ref.]:[Check Periodo Ref.]]="Dentro",IF(DATOS_[[Check Equiparado]:[Check Equiparado]]="Sí",IF(DATOS!BK$4="Sí",(1/DATOS_[[% anualiz]:[% anualiz]]),1)*IF(DATOS!BK$5="Sí",1/DATOS_[[% normaliz]:[% normaliz]],1)*(DATOS_[C.Extra.03])))))))), 0)</f>
        <v>0</v>
      </c>
      <c r="AS37" s="259" t="n">
        <f aca="false" t="array" ref="AS37:AS37">IFERROR( (MEDIAN((IF(DATOS_[[Sexo]:[Sexo]]=$B37,IF(DATOS_[[AGRUP. VALOR. PTO.]:[AGRUP. VALOR. PTO.]]=$B36,IF(DATOS_[[Check Periodo Ref.]:[Check Periodo Ref.]]="Dentro",IF(DATOS_[[Check Equiparado]:[Check Equiparado]]="Sí",IF(DATOS!BL$4="Sí",(1/DATOS_[[% anualiz]:[% anualiz]]),1)*IF(DATOS!BL$5="Sí",1/DATOS_[[% normaliz]:[% normaliz]],1)*(DATOS_[C.Extra.04])))))))), 0)</f>
        <v>0</v>
      </c>
      <c r="AT37" s="259" t="n">
        <f aca="false" t="array" ref="AT37:AT37">IFERROR( (MEDIAN((IF(DATOS_[[Sexo]:[Sexo]]=$B37,IF(DATOS_[[AGRUP. VALOR. PTO.]:[AGRUP. VALOR. PTO.]]=$B36,IF(DATOS_[[Check Periodo Ref.]:[Check Periodo Ref.]]="Dentro",IF(DATOS_[[Check Equiparado]:[Check Equiparado]]="Sí",IF(DATOS!BM$4="Sí",(1/DATOS_[[% anualiz]:[% anualiz]]),1)*IF(DATOS!BM$5="Sí",1/DATOS_[[% normaliz]:[% normaliz]],1)*(DATOS_[C.Extra.05])))))))), 0)</f>
        <v>0</v>
      </c>
      <c r="AU37" s="254" t="n">
        <f aca="false" t="array" ref="AU37:AU37">IFERROR( MEDIAN(IF(DATOS_[Sexo]=$B37,IF(DATOS_[[AGRUP. VALOR. PTO.]:[AGRUP. VALOR. PTO.]]=$B36,IF(DATOS_[Check Equiparado]="Sí",IF(DATOS_[Check Periodo Ref.]="Dentro",DATOS_[Tot Extrasalarial Eq],0))))), 0)</f>
        <v>0</v>
      </c>
      <c r="AV37" s="255" t="n">
        <f aca="false" t="array" ref="AV37:AV37">IFERROR( MEDIAN(IF(DATOS_[Sexo]=$B37,IF(DATOS_[[AGRUP. VALOR. PTO.]:[AGRUP. VALOR. PTO.]]=$B36,IF(DATOS_[Check Equiparado]="Sí",IF(DATOS_[Check Periodo Ref.]="Dentro",DATOS_[TOTAL Retrib Eq],0))))), 0)</f>
        <v>0</v>
      </c>
    </row>
    <row r="38" customFormat="false" ht="14.25" hidden="false" customHeight="false" outlineLevel="0" collapsed="false">
      <c r="A38" s="217" t="str">
        <f aca="false">+A37</f>
        <v>[ocultar]</v>
      </c>
      <c r="B38" s="323" t="s">
        <v>372</v>
      </c>
      <c r="C38" s="247" t="n">
        <f aca="false" t="array" ref="C38:C38">SUM(IF($B38=DATOS_[Sexo], IF($B36=DATOS_[AGRUP. VALOR. PTO.], IF("Dentro"=DATOS_[Check Periodo Ref.], 1/(COUNTIFS(DATOS_[Sexo],$B38,DATOS_[AGRUP. VALOR. PTO.],$B36,DATOS_[Check Periodo Ref.],"Dentro",DATOS_[id],DATOS_[id]))))))</f>
        <v>0</v>
      </c>
      <c r="D38" s="248" t="n">
        <f aca="false">COUNTIFS(DATOS_[AGRUP. VALOR. PTO.],$B36,DATOS_[Sexo],$B38,DATOS_[Check Periodo Ref.],"Dentro")</f>
        <v>0</v>
      </c>
      <c r="E38" s="248" t="n">
        <f aca="false">COUNTIFS(DATOS_[AGRUP. VALOR. PTO.],$B36,DATOS_[Sexo],$B38,DATOS_[Check Periodo Ref.],"Dentro",DATOS_[Check Nº SC Norm],"Sí")</f>
        <v>0</v>
      </c>
      <c r="F38" s="248" t="n">
        <f aca="false">COUNTIFS(DATOS_[AGRUP. VALOR. PTO.],$B36,DATOS_[Sexo],$B38,DATOS_[Check Periodo Ref.],"Dentro",DATOS_[Check Nº SC Anualiz],"Sí")</f>
        <v>0</v>
      </c>
      <c r="G38" s="248" t="n">
        <f aca="false">COUNTIFS(DATOS_[AGRUP. VALOR. PTO.],$B36,DATOS_[Sexo],$B38,DATOS_[Check Periodo Ref.],"Dentro",DATOS_[Check Nº SC Norm y Anualiz],"Sí")</f>
        <v>0</v>
      </c>
      <c r="H38" s="248" t="n">
        <f aca="false">COUNTIFS(DATOS_[AGRUP. VALOR. PTO.],$B36,DATOS_[Sexo],$B38,DATOS_[Check Periodo Ref.],"Dentro",DATOS_[Check Equiparación],"Sí")</f>
        <v>0</v>
      </c>
      <c r="I38" s="249" t="n">
        <f aca="false" t="array" ref="I38:I38">IFERROR( MEDIAN(IF(DATOS_[Sexo]=$B38,IF(DATOS_[[AGRUP. VALOR. PTO.]:[AGRUP. VALOR. PTO.]]=$B36,IF(DATOS_[Check Equiparado]="Sí",IF(DATOS_[Check Periodo Ref.]="Dentro",DATOS_[SALARIO BASE Eq],0))))), 0)</f>
        <v>0</v>
      </c>
      <c r="J38" s="250" t="n">
        <f aca="false" t="array" ref="J38:J38">IFERROR( (MEDIAN((IF(DATOS_[[Sexo]:[Sexo]]=$B38,IF(DATOS_[[AGRUP. VALOR. PTO.]:[AGRUP. VALOR. PTO.]]=$B36,IF(DATOS_[[Check Periodo Ref.]:[Check Periodo Ref.]]="Dentro",IF(DATOS_[[Check Equiparado]:[Check Equiparado]]="Sí",IF(DATOS!AE$4="Sí",(1/DATOS_[[% anualiz]:[% anualiz]]),1)*IF(DATOS!AE$5="Sí",1/DATOS_[[% normaliz]:[% normaliz]],1)*(DATOS_[Conc.Sal.01])))))))), 0)</f>
        <v>0</v>
      </c>
      <c r="K38" s="250" t="n">
        <f aca="false" t="array" ref="K38:K38">IFERROR( (MEDIAN((IF(DATOS_[[Sexo]:[Sexo]]=$B38,IF(DATOS_[[AGRUP. VALOR. PTO.]:[AGRUP. VALOR. PTO.]]=$B36,IF(DATOS_[[Check Periodo Ref.]:[Check Periodo Ref.]]="Dentro",IF(DATOS_[[Check Equiparado]:[Check Equiparado]]="Sí",IF(DATOS!AF$4="Sí",(1/DATOS_[[% anualiz]:[% anualiz]]),1)*IF(DATOS!AF$5="Sí",1/DATOS_[[% normaliz]:[% normaliz]],1)*(DATOS_[Conc.Sal.02])))))))), 0)</f>
        <v>0</v>
      </c>
      <c r="L38" s="250" t="n">
        <f aca="false" t="array" ref="L38:L38">IFERROR( (MEDIAN((IF(DATOS_[[Sexo]:[Sexo]]=$B38,IF(DATOS_[[AGRUP. VALOR. PTO.]:[AGRUP. VALOR. PTO.]]=$B36,IF(DATOS_[[Check Periodo Ref.]:[Check Periodo Ref.]]="Dentro",IF(DATOS_[[Check Equiparado]:[Check Equiparado]]="Sí",IF(DATOS!AG$4="Sí",(1/DATOS_[[% anualiz]:[% anualiz]]),1)*IF(DATOS!AG$5="Sí",1/DATOS_[[% normaliz]:[% normaliz]],1)*(DATOS_[Conc.Sal.03])))))))), 0)</f>
        <v>0</v>
      </c>
      <c r="M38" s="250" t="n">
        <f aca="false" t="array" ref="M38:M38">IFERROR( (MEDIAN((IF(DATOS_[[Sexo]:[Sexo]]=$B38,IF(DATOS_[[AGRUP. VALOR. PTO.]:[AGRUP. VALOR. PTO.]]=$B36,IF(DATOS_[[Check Periodo Ref.]:[Check Periodo Ref.]]="Dentro",IF(DATOS_[[Check Equiparado]:[Check Equiparado]]="Sí",IF(DATOS!AH$4="Sí",(1/DATOS_[[% anualiz]:[% anualiz]]),1)*IF(DATOS!AH$5="Sí",1/DATOS_[[% normaliz]:[% normaliz]],1)*(DATOS_[Conc.Sal.04])))))))), 0)</f>
        <v>0</v>
      </c>
      <c r="N38" s="250" t="n">
        <f aca="false" t="array" ref="N38:N38">IFERROR( (MEDIAN((IF(DATOS_[[Sexo]:[Sexo]]=$B38,IF(DATOS_[[AGRUP. VALOR. PTO.]:[AGRUP. VALOR. PTO.]]=$B36,IF(DATOS_[[Check Periodo Ref.]:[Check Periodo Ref.]]="Dentro",IF(DATOS_[[Check Equiparado]:[Check Equiparado]]="Sí",IF(DATOS!AI$4="Sí",(1/DATOS_[[% anualiz]:[% anualiz]]),1)*IF(DATOS!AI$5="Sí",1/DATOS_[[% normaliz]:[% normaliz]],1)*(DATOS_[Conc.Sal.05])))))))), 0)</f>
        <v>0</v>
      </c>
      <c r="O38" s="250" t="n">
        <f aca="false" t="array" ref="O38:O38">IFERROR( (MEDIAN((IF(DATOS_[[Sexo]:[Sexo]]=$B38,IF(DATOS_[[AGRUP. VALOR. PTO.]:[AGRUP. VALOR. PTO.]]=$B36,IF(DATOS_[[Check Periodo Ref.]:[Check Periodo Ref.]]="Dentro",IF(DATOS_[[Check Equiparado]:[Check Equiparado]]="Sí",IF(DATOS!AJ$4="Sí",(1/DATOS_[[% anualiz]:[% anualiz]]),1)*IF(DATOS!AJ$5="Sí",1/DATOS_[[% normaliz]:[% normaliz]],1)*(DATOS_[Conc.Sal.06])))))))), 0)</f>
        <v>0</v>
      </c>
      <c r="P38" s="250" t="n">
        <f aca="false" t="array" ref="P38:P38">IFERROR( (MEDIAN((IF(DATOS_[[Sexo]:[Sexo]]=$B38,IF(DATOS_[[AGRUP. VALOR. PTO.]:[AGRUP. VALOR. PTO.]]=$B36,IF(DATOS_[[Check Periodo Ref.]:[Check Periodo Ref.]]="Dentro",IF(DATOS_[[Check Equiparado]:[Check Equiparado]]="Sí",IF(DATOS!AK$4="Sí",(1/DATOS_[[% anualiz]:[% anualiz]]),1)*IF(DATOS!AK$5="Sí",1/DATOS_[[% normaliz]:[% normaliz]],1)*(DATOS_[Conc.Sal.07])))))))), 0)</f>
        <v>0</v>
      </c>
      <c r="Q38" s="250" t="n">
        <f aca="false" t="array" ref="Q38:Q38">IFERROR( (MEDIAN((IF(DATOS_[[Sexo]:[Sexo]]=$B38,IF(DATOS_[[AGRUP. VALOR. PTO.]:[AGRUP. VALOR. PTO.]]=$B36,IF(DATOS_[[Check Periodo Ref.]:[Check Periodo Ref.]]="Dentro",IF(DATOS_[[Check Equiparado]:[Check Equiparado]]="Sí",IF(DATOS!AL$4="Sí",(1/DATOS_[[% anualiz]:[% anualiz]]),1)*IF(DATOS!AL$5="Sí",1/DATOS_[[% normaliz]:[% normaliz]],1)*(DATOS_[Conc.Sal.08])))))))), 0)</f>
        <v>0</v>
      </c>
      <c r="R38" s="250" t="n">
        <f aca="false" t="array" ref="R38:R38">IFERROR( (MEDIAN((IF(DATOS_[[Sexo]:[Sexo]]=$B38,IF(DATOS_[[AGRUP. VALOR. PTO.]:[AGRUP. VALOR. PTO.]]=$B36,IF(DATOS_[[Check Periodo Ref.]:[Check Periodo Ref.]]="Dentro",IF(DATOS_[[Check Equiparado]:[Check Equiparado]]="Sí",IF(DATOS!AM$4="Sí",(1/DATOS_[[% anualiz]:[% anualiz]]),1)*IF(DATOS!AM$5="Sí",1/DATOS_[[% normaliz]:[% normaliz]],1)*(DATOS_[Conc.Sal.09])))))))), 0)</f>
        <v>0</v>
      </c>
      <c r="S38" s="250" t="n">
        <f aca="false" t="array" ref="S38:S38">IFERROR( (MEDIAN((IF(DATOS_[[Sexo]:[Sexo]]=$B38,IF(DATOS_[[AGRUP. VALOR. PTO.]:[AGRUP. VALOR. PTO.]]=$B36,IF(DATOS_[[Check Periodo Ref.]:[Check Periodo Ref.]]="Dentro",IF(DATOS_[[Check Equiparado]:[Check Equiparado]]="Sí",IF(DATOS!AN$4="Sí",(1/DATOS_[[% anualiz]:[% anualiz]]),1)*IF(DATOS!AN$5="Sí",1/DATOS_[[% normaliz]:[% normaliz]],1)*(DATOS_[Conc.Sal.10])))))))), 0)</f>
        <v>0</v>
      </c>
      <c r="T38" s="250" t="n">
        <f aca="false" t="array" ref="T38:T38">IFERROR( (MEDIAN((IF(DATOS_[[Sexo]:[Sexo]]=$B38,IF(DATOS_[[AGRUP. VALOR. PTO.]:[AGRUP. VALOR. PTO.]]=$B36,IF(DATOS_[[Check Periodo Ref.]:[Check Periodo Ref.]]="Dentro",IF(DATOS_[[Check Equiparado]:[Check Equiparado]]="Sí",IF(DATOS!AO$4="Sí",(1/DATOS_[[% anualiz]:[% anualiz]]),1)*IF(DATOS!AO$5="Sí",1/DATOS_[[% normaliz]:[% normaliz]],1)*(DATOS_[Conc.Sal.11])))))))), 0)</f>
        <v>0</v>
      </c>
      <c r="U38" s="250" t="n">
        <f aca="false" t="array" ref="U38:U38">IFERROR( (MEDIAN((IF(DATOS_[[Sexo]:[Sexo]]=$B38,IF(DATOS_[[AGRUP. VALOR. PTO.]:[AGRUP. VALOR. PTO.]]=$B36,IF(DATOS_[[Check Periodo Ref.]:[Check Periodo Ref.]]="Dentro",IF(DATOS_[[Check Equiparado]:[Check Equiparado]]="Sí",IF(DATOS!AP$4="Sí",(1/DATOS_[[% anualiz]:[% anualiz]]),1)*IF(DATOS!AP$5="Sí",1/DATOS_[[% normaliz]:[% normaliz]],1)*(DATOS_[Conc.Sal.12])))))))), 0)</f>
        <v>0</v>
      </c>
      <c r="V38" s="250" t="n">
        <f aca="false" t="array" ref="V38:V38">IFERROR( (MEDIAN((IF(DATOS_[[Sexo]:[Sexo]]=$B38,IF(DATOS_[[AGRUP. VALOR. PTO.]:[AGRUP. VALOR. PTO.]]=$B36,IF(DATOS_[[Check Periodo Ref.]:[Check Periodo Ref.]]="Dentro",IF(DATOS_[[Check Equiparado]:[Check Equiparado]]="Sí",IF(DATOS!AQ$4="Sí",(1/DATOS_[[% anualiz]:[% anualiz]]),1)*IF(DATOS!AQ$5="Sí",1/DATOS_[[% normaliz]:[% normaliz]],1)*(DATOS_[Conc.Sal.13])))))))), 0)</f>
        <v>0</v>
      </c>
      <c r="W38" s="250" t="n">
        <f aca="false" t="array" ref="W38:W38">IFERROR( (MEDIAN((IF(DATOS_[[Sexo]:[Sexo]]=$B38,IF(DATOS_[[AGRUP. VALOR. PTO.]:[AGRUP. VALOR. PTO.]]=$B36,IF(DATOS_[[Check Periodo Ref.]:[Check Periodo Ref.]]="Dentro",IF(DATOS_[[Check Equiparado]:[Check Equiparado]]="Sí",IF(DATOS!AR$4="Sí",(1/DATOS_[[% anualiz]:[% anualiz]]),1)*IF(DATOS!AR$5="Sí",1/DATOS_[[% normaliz]:[% normaliz]],1)*(DATOS_[Conc.Sal.14])))))))), 0)</f>
        <v>0</v>
      </c>
      <c r="X38" s="250" t="n">
        <f aca="false" t="array" ref="X38:X38">IFERROR( (MEDIAN((IF(DATOS_[[Sexo]:[Sexo]]=$B38,IF(DATOS_[[AGRUP. VALOR. PTO.]:[AGRUP. VALOR. PTO.]]=$B36,IF(DATOS_[[Check Periodo Ref.]:[Check Periodo Ref.]]="Dentro",IF(DATOS_[[Check Equiparado]:[Check Equiparado]]="Sí",IF(DATOS!AS$4="Sí",(1/DATOS_[[% anualiz]:[% anualiz]]),1)*IF(DATOS!AS$5="Sí",1/DATOS_[[% normaliz]:[% normaliz]],1)*(DATOS_[Conc.Sal.15])))))))), 0)</f>
        <v>0</v>
      </c>
      <c r="Y38" s="250" t="n">
        <f aca="false" t="array" ref="Y38:Y38">IFERROR( (MEDIAN((IF(DATOS_[[Sexo]:[Sexo]]=$B38,IF(DATOS_[[AGRUP. VALOR. PTO.]:[AGRUP. VALOR. PTO.]]=$B36,IF(DATOS_[[Check Periodo Ref.]:[Check Periodo Ref.]]="Dentro",IF(DATOS_[[Check Equiparado]:[Check Equiparado]]="Sí",IF(DATOS!AT$4="Sí",(1/DATOS_[[% anualiz]:[% anualiz]]),1)*IF(DATOS!AT$5="Sí",1/DATOS_[[% normaliz]:[% normaliz]],1)*(DATOS_[Conc.Sal.16])))))))), 0)</f>
        <v>0</v>
      </c>
      <c r="Z38" s="250" t="n">
        <f aca="false" t="array" ref="Z38:Z38">IFERROR( (MEDIAN((IF(DATOS_[[Sexo]:[Sexo]]=$B38,IF(DATOS_[[AGRUP. VALOR. PTO.]:[AGRUP. VALOR. PTO.]]=$B36,IF(DATOS_[[Check Periodo Ref.]:[Check Periodo Ref.]]="Dentro",IF(DATOS_[[Check Equiparado]:[Check Equiparado]]="Sí",IF(DATOS!AU$4="Sí",(1/DATOS_[[% anualiz]:[% anualiz]]),1)*IF(DATOS!AU$5="Sí",1/DATOS_[[% normaliz]:[% normaliz]],1)*(DATOS_[Conc.Sal.17])))))))), 0)</f>
        <v>0</v>
      </c>
      <c r="AA38" s="250" t="n">
        <f aca="false" t="array" ref="AA38:AA38">IFERROR( (MEDIAN((IF(DATOS_[[Sexo]:[Sexo]]=$B38,IF(DATOS_[[AGRUP. VALOR. PTO.]:[AGRUP. VALOR. PTO.]]=$B36,IF(DATOS_[[Check Periodo Ref.]:[Check Periodo Ref.]]="Dentro",IF(DATOS_[[Check Equiparado]:[Check Equiparado]]="Sí",IF(DATOS!AV$4="Sí",(1/DATOS_[[% anualiz]:[% anualiz]]),1)*IF(DATOS!AV$5="Sí",1/DATOS_[[% normaliz]:[% normaliz]],1)*(DATOS_[Conc.Sal.18])))))))), 0)</f>
        <v>0</v>
      </c>
      <c r="AB38" s="250" t="n">
        <f aca="false" t="array" ref="AB38:AB38">IFERROR( (MEDIAN((IF(DATOS_[[Sexo]:[Sexo]]=$B38,IF(DATOS_[[AGRUP. VALOR. PTO.]:[AGRUP. VALOR. PTO.]]=$B36,IF(DATOS_[[Check Periodo Ref.]:[Check Periodo Ref.]]="Dentro",IF(DATOS_[[Check Equiparado]:[Check Equiparado]]="Sí",IF(DATOS!AW$4="Sí",(1/DATOS_[[% anualiz]:[% anualiz]]),1)*IF(DATOS!AW$5="Sí",1/DATOS_[[% normaliz]:[% normaliz]],1)*(DATOS_[Conc.Sal.19])))))))), 0)</f>
        <v>0</v>
      </c>
      <c r="AC38" s="250" t="n">
        <f aca="false" t="array" ref="AC38:AC38">IFERROR( (MEDIAN((IF(DATOS_[[Sexo]:[Sexo]]=$B38,IF(DATOS_[[AGRUP. VALOR. PTO.]:[AGRUP. VALOR. PTO.]]=$B36,IF(DATOS_[[Check Periodo Ref.]:[Check Periodo Ref.]]="Dentro",IF(DATOS_[[Check Equiparado]:[Check Equiparado]]="Sí",IF(DATOS!AX$4="Sí",(1/DATOS_[[% anualiz]:[% anualiz]]),1)*IF(DATOS!AX$5="Sí",1/DATOS_[[% normaliz]:[% normaliz]],1)*(DATOS_[Conc.Sal.20])))))))), 0)</f>
        <v>0</v>
      </c>
      <c r="AD38" s="250" t="n">
        <f aca="false" t="array" ref="AD38:AD38">IFERROR( (MEDIAN((IF(DATOS_[[Sexo]:[Sexo]]=$B38,IF(DATOS_[[AGRUP. VALOR. PTO.]:[AGRUP. VALOR. PTO.]]=$B36,IF(DATOS_[[Check Periodo Ref.]:[Check Periodo Ref.]]="Dentro",IF(DATOS_[[Check Equiparado]:[Check Equiparado]]="Sí",IF(DATOS!AY$4="Sí",(1/DATOS_[[% anualiz]:[% anualiz]]),1)*IF(DATOS!AY$5="Sí",1/DATOS_[[% normaliz]:[% normaliz]],1)*(DATOS_[Conc.Sal.21])))))))), 0)</f>
        <v>0</v>
      </c>
      <c r="AE38" s="250" t="n">
        <f aca="false" t="array" ref="AE38:AE38">IFERROR( (MEDIAN((IF(DATOS_[[Sexo]:[Sexo]]=$B38,IF(DATOS_[[AGRUP. VALOR. PTO.]:[AGRUP. VALOR. PTO.]]=$B36,IF(DATOS_[[Check Periodo Ref.]:[Check Periodo Ref.]]="Dentro",IF(DATOS_[[Check Equiparado]:[Check Equiparado]]="Sí",IF(DATOS!AZ$4="Sí",(1/DATOS_[[% anualiz]:[% anualiz]]),1)*IF(DATOS!AZ$5="Sí",1/DATOS_[[% normaliz]:[% normaliz]],1)*(DATOS_[Conc.Sal.22])))))))), 0)</f>
        <v>0</v>
      </c>
      <c r="AF38" s="250" t="n">
        <f aca="false" t="array" ref="AF38:AF38">IFERROR( (MEDIAN((IF(DATOS_[[Sexo]:[Sexo]]=$B38,IF(DATOS_[[AGRUP. VALOR. PTO.]:[AGRUP. VALOR. PTO.]]=$B36,IF(DATOS_[[Check Periodo Ref.]:[Check Periodo Ref.]]="Dentro",IF(DATOS_[[Check Equiparado]:[Check Equiparado]]="Sí",IF(DATOS!BA$4="Sí",(1/DATOS_[[% anualiz]:[% anualiz]]),1)*IF(DATOS!BA$5="Sí",1/DATOS_[[% normaliz]:[% normaliz]],1)*(DATOS_[Conc.Sal.23])))))))), 0)</f>
        <v>0</v>
      </c>
      <c r="AG38" s="250" t="n">
        <f aca="false" t="array" ref="AG38:AG38">IFERROR( (MEDIAN((IF(DATOS_[[Sexo]:[Sexo]]=$B38,IF(DATOS_[[AGRUP. VALOR. PTO.]:[AGRUP. VALOR. PTO.]]=$B36,IF(DATOS_[[Check Periodo Ref.]:[Check Periodo Ref.]]="Dentro",IF(DATOS_[[Check Equiparado]:[Check Equiparado]]="Sí",IF(DATOS!BB$4="Sí",(1/DATOS_[[% anualiz]:[% anualiz]]),1)*IF(DATOS!BB$5="Sí",1/DATOS_[[% normaliz]:[% normaliz]],1)*(DATOS_[Conc.Sal.24])))))))), 0)</f>
        <v>0</v>
      </c>
      <c r="AH38" s="250" t="n">
        <f aca="false" t="array" ref="AH38:AH38">IFERROR( (MEDIAN((IF(DATOS_[[Sexo]:[Sexo]]=$B38,IF(DATOS_[[AGRUP. VALOR. PTO.]:[AGRUP. VALOR. PTO.]]=$B36,IF(DATOS_[[Check Periodo Ref.]:[Check Periodo Ref.]]="Dentro",IF(DATOS_[[Check Equiparado]:[Check Equiparado]]="Sí",IF(DATOS!BC$4="Sí",(1/DATOS_[[% anualiz]:[% anualiz]]),1)*IF(DATOS!BC$5="Sí",1/DATOS_[[% normaliz]:[% normaliz]],1)*(DATOS_[Conc.Sal.25])))))))), 0)</f>
        <v>0</v>
      </c>
      <c r="AI38" s="250" t="n">
        <f aca="false" t="array" ref="AI38:AI38">IFERROR( (MEDIAN((IF(DATOS_[[Sexo]:[Sexo]]=$B38,IF(DATOS_[[AGRUP. VALOR. PTO.]:[AGRUP. VALOR. PTO.]]=$B36,IF(DATOS_[[Check Periodo Ref.]:[Check Periodo Ref.]]="Dentro",IF(DATOS_[[Check Equiparado]:[Check Equiparado]]="Sí",IF(DATOS!BD$4="Sí",(1/DATOS_[[% anualiz]:[% anualiz]]),1)*IF(DATOS!BD$5="Sí",1/DATOS_[[% normaliz]:[% normaliz]],1)*(DATOS_[Conc.Sal.26])))))))), 0)</f>
        <v>0</v>
      </c>
      <c r="AJ38" s="250" t="n">
        <f aca="false" t="array" ref="AJ38:AJ38">IFERROR( (MEDIAN((IF(DATOS_[[Sexo]:[Sexo]]=$B38,IF(DATOS_[[AGRUP. VALOR. PTO.]:[AGRUP. VALOR. PTO.]]=$B36,IF(DATOS_[[Check Periodo Ref.]:[Check Periodo Ref.]]="Dentro",IF(DATOS_[[Check Equiparado]:[Check Equiparado]]="Sí",IF(DATOS!BE$4="Sí",(1/DATOS_[[% anualiz]:[% anualiz]]),1)*IF(DATOS!BE$5="Sí",1/DATOS_[[% normaliz]:[% normaliz]],1)*(DATOS_[Conc.Sal.27])))))))), 0)</f>
        <v>0</v>
      </c>
      <c r="AK38" s="250" t="n">
        <f aca="false" t="array" ref="AK38:AK38">IFERROR( (MEDIAN((IF(DATOS_[[Sexo]:[Sexo]]=$B38,IF(DATOS_[[AGRUP. VALOR. PTO.]:[AGRUP. VALOR. PTO.]]=$B36,IF(DATOS_[[Check Periodo Ref.]:[Check Periodo Ref.]]="Dentro",IF(DATOS_[[Check Equiparado]:[Check Equiparado]]="Sí",IF(DATOS!BF$4="Sí",(1/DATOS_[[% anualiz]:[% anualiz]]),1)*IF(DATOS!BF$5="Sí",1/DATOS_[[% normaliz]:[% normaliz]],1)*(DATOS_[Conc.Sal.28])))))))), 0)</f>
        <v>0</v>
      </c>
      <c r="AL38" s="250" t="n">
        <f aca="false" t="array" ref="AL38:AL38">IFERROR( (MEDIAN((IF(DATOS_[[Sexo]:[Sexo]]=$B38,IF(DATOS_[[AGRUP. VALOR. PTO.]:[AGRUP. VALOR. PTO.]]=$B36,IF(DATOS_[[Check Periodo Ref.]:[Check Periodo Ref.]]="Dentro",IF(DATOS_[[Check Equiparado]:[Check Equiparado]]="Sí",IF(DATOS!BG$4="Sí",(1/DATOS_[[% anualiz]:[% anualiz]]),1)*IF(DATOS!BG$5="Sí",1/DATOS_[[% normaliz]:[% normaliz]],1)*(DATOS_[Conc.Sal.29])))))))), 0)</f>
        <v>0</v>
      </c>
      <c r="AM38" s="250" t="n">
        <f aca="false" t="array" ref="AM38:AM38">IFERROR( (MEDIAN((IF(DATOS_[[Sexo]:[Sexo]]=$B38,IF(DATOS_[[AGRUP. VALOR. PTO.]:[AGRUP. VALOR. PTO.]]=$B36,IF(DATOS_[[Check Periodo Ref.]:[Check Periodo Ref.]]="Dentro",IF(DATOS_[[Check Equiparado]:[Check Equiparado]]="Sí",IF(DATOS!BH$4="Sí",(1/DATOS_[[% anualiz]:[% anualiz]]),1)*IF(DATOS!BH$5="Sí",1/DATOS_[[% normaliz]:[% normaliz]],1)*(DATOS_[Conc.Sal.30])))))))), 0)</f>
        <v>0</v>
      </c>
      <c r="AN38" s="251" t="n">
        <f aca="false" t="array" ref="AN38:AN38">IFERROR( MEDIAN(IF(DATOS_[Sexo]=$B38,IF(DATOS_[[AGRUP. VALOR. PTO.]:[AGRUP. VALOR. PTO.]]=$B36,IF(DATOS_[Check Equiparado]="Sí",IF(DATOS_[Check Periodo Ref.]="Dentro",DATOS_[Tot COMPL.SAL Eq],0))))), 0)</f>
        <v>0</v>
      </c>
      <c r="AO38" s="252" t="n">
        <f aca="false" t="array" ref="AO38:AO38">IFERROR( MEDIAN(IF(DATOS_[Sexo]=$B38,IF(DATOS_[[AGRUP. VALOR. PTO.]:[AGRUP. VALOR. PTO.]]=$B36,IF(DATOS_[Check Equiparado]="Sí",IF(DATOS_[Check Periodo Ref.]="Dentro",DATOS_[TOTAL SALARIO Eq],0))))), 0)</f>
        <v>0</v>
      </c>
      <c r="AP38" s="259" t="n">
        <f aca="false" t="array" ref="AP38:AP38">IFERROR( (MEDIAN((IF(DATOS_[[Sexo]:[Sexo]]=$B38,IF(DATOS_[[AGRUP. VALOR. PTO.]:[AGRUP. VALOR. PTO.]]=$B37,IF(DATOS_[[Check Periodo Ref.]:[Check Periodo Ref.]]="Dentro",IF(DATOS_[[Check Equiparado]:[Check Equiparado]]="Sí",IF(DATOS!BI$4="Sí",(1/DATOS_[[% anualiz]:[% anualiz]]),1)*IF(DATOS!BI$5="Sí",1/DATOS_[[% normaliz]:[% normaliz]],1)*(DATOS_[C.Extra.01])))))))), 0)</f>
        <v>0</v>
      </c>
      <c r="AQ38" s="259" t="n">
        <f aca="false" t="array" ref="AQ38:AQ38">IFERROR( (MEDIAN((IF(DATOS_[[Sexo]:[Sexo]]=$B38,IF(DATOS_[[AGRUP. VALOR. PTO.]:[AGRUP. VALOR. PTO.]]=$B37,IF(DATOS_[[Check Periodo Ref.]:[Check Periodo Ref.]]="Dentro",IF(DATOS_[[Check Equiparado]:[Check Equiparado]]="Sí",IF(DATOS!BJ$4="Sí",(1/DATOS_[[% anualiz]:[% anualiz]]),1)*IF(DATOS!BJ$5="Sí",1/DATOS_[[% normaliz]:[% normaliz]],1)*(DATOS_[C.Extra.02])))))))), 0)</f>
        <v>0</v>
      </c>
      <c r="AR38" s="259" t="n">
        <f aca="false" t="array" ref="AR38:AR38">IFERROR( (MEDIAN((IF(DATOS_[[Sexo]:[Sexo]]=$B38,IF(DATOS_[[AGRUP. VALOR. PTO.]:[AGRUP. VALOR. PTO.]]=$B37,IF(DATOS_[[Check Periodo Ref.]:[Check Periodo Ref.]]="Dentro",IF(DATOS_[[Check Equiparado]:[Check Equiparado]]="Sí",IF(DATOS!BK$4="Sí",(1/DATOS_[[% anualiz]:[% anualiz]]),1)*IF(DATOS!BK$5="Sí",1/DATOS_[[% normaliz]:[% normaliz]],1)*(DATOS_[C.Extra.03])))))))), 0)</f>
        <v>0</v>
      </c>
      <c r="AS38" s="259" t="n">
        <f aca="false" t="array" ref="AS38:AS38">IFERROR( (MEDIAN((IF(DATOS_[[Sexo]:[Sexo]]=$B38,IF(DATOS_[[AGRUP. VALOR. PTO.]:[AGRUP. VALOR. PTO.]]=$B37,IF(DATOS_[[Check Periodo Ref.]:[Check Periodo Ref.]]="Dentro",IF(DATOS_[[Check Equiparado]:[Check Equiparado]]="Sí",IF(DATOS!BL$4="Sí",(1/DATOS_[[% anualiz]:[% anualiz]]),1)*IF(DATOS!BL$5="Sí",1/DATOS_[[% normaliz]:[% normaliz]],1)*(DATOS_[C.Extra.04])))))))), 0)</f>
        <v>0</v>
      </c>
      <c r="AT38" s="259" t="n">
        <f aca="false" t="array" ref="AT38:AT38">IFERROR( (MEDIAN((IF(DATOS_[[Sexo]:[Sexo]]=$B38,IF(DATOS_[[AGRUP. VALOR. PTO.]:[AGRUP. VALOR. PTO.]]=$B37,IF(DATOS_[[Check Periodo Ref.]:[Check Periodo Ref.]]="Dentro",IF(DATOS_[[Check Equiparado]:[Check Equiparado]]="Sí",IF(DATOS!BM$4="Sí",(1/DATOS_[[% anualiz]:[% anualiz]]),1)*IF(DATOS!BM$5="Sí",1/DATOS_[[% normaliz]:[% normaliz]],1)*(DATOS_[C.Extra.05])))))))), 0)</f>
        <v>0</v>
      </c>
      <c r="AU38" s="254" t="n">
        <f aca="false" t="array" ref="AU38:AU38">IFERROR( MEDIAN(IF(DATOS_[Sexo]=$B38,IF(DATOS_[[AGRUP. VALOR. PTO.]:[AGRUP. VALOR. PTO.]]=$B36,IF(DATOS_[Check Equiparado]="Sí",IF(DATOS_[Check Periodo Ref.]="Dentro",DATOS_[Tot Extrasalarial Eq],0))))), 0)</f>
        <v>0</v>
      </c>
      <c r="AV38" s="255" t="n">
        <f aca="false" t="array" ref="AV38:AV38">IFERROR( MEDIAN(IF(DATOS_[Sexo]=$B38,IF(DATOS_[[AGRUP. VALOR. PTO.]:[AGRUP. VALOR. PTO.]]=$B36,IF(DATOS_[Check Equiparado]="Sí",IF(DATOS_[Check Periodo Ref.]="Dentro",DATOS_[TOTAL Retrib Eq],0))))), 0)</f>
        <v>0</v>
      </c>
    </row>
    <row r="39" customFormat="false" ht="15.75" hidden="false" customHeight="false" outlineLevel="0" collapsed="false">
      <c r="A39" s="217" t="str">
        <f aca="false">+A40</f>
        <v>[ocultar]</v>
      </c>
      <c r="B39" s="320" t="s">
        <v>193</v>
      </c>
      <c r="C39" s="236"/>
      <c r="D39" s="237"/>
      <c r="E39" s="237"/>
      <c r="F39" s="237"/>
      <c r="G39" s="237"/>
      <c r="H39" s="237"/>
      <c r="I39" s="238" t="str">
        <f aca="false">IFERROR((I40-I41)/I40,"")</f>
        <v/>
      </c>
      <c r="J39" s="239" t="str">
        <f aca="false">IFERROR((J40-J41)/J40,"")</f>
        <v/>
      </c>
      <c r="K39" s="239" t="str">
        <f aca="false">IFERROR((K40-K41)/K40,"")</f>
        <v/>
      </c>
      <c r="L39" s="239" t="str">
        <f aca="false">IFERROR((L40-L41)/L40,"")</f>
        <v/>
      </c>
      <c r="M39" s="239" t="str">
        <f aca="false">IFERROR((M40-M41)/M40,"")</f>
        <v/>
      </c>
      <c r="N39" s="239" t="str">
        <f aca="false">IFERROR((N40-N41)/N40,"")</f>
        <v/>
      </c>
      <c r="O39" s="239" t="str">
        <f aca="false">IFERROR((O40-O41)/O40,"")</f>
        <v/>
      </c>
      <c r="P39" s="239" t="str">
        <f aca="false">IFERROR((P40-P41)/P40,"")</f>
        <v/>
      </c>
      <c r="Q39" s="239" t="str">
        <f aca="false">IFERROR((Q40-Q41)/Q40,"")</f>
        <v/>
      </c>
      <c r="R39" s="239" t="str">
        <f aca="false">IFERROR((R40-R41)/R40,"")</f>
        <v/>
      </c>
      <c r="S39" s="239" t="str">
        <f aca="false">IFERROR((S40-S41)/S40,"")</f>
        <v/>
      </c>
      <c r="T39" s="239" t="str">
        <f aca="false">IFERROR((T40-T41)/T40,"")</f>
        <v/>
      </c>
      <c r="U39" s="239" t="str">
        <f aca="false">IFERROR((U40-U41)/U40,"")</f>
        <v/>
      </c>
      <c r="V39" s="239" t="str">
        <f aca="false">IFERROR((V40-V41)/V40,"")</f>
        <v/>
      </c>
      <c r="W39" s="239" t="str">
        <f aca="false">IFERROR((W40-W41)/W40,"")</f>
        <v/>
      </c>
      <c r="X39" s="239" t="str">
        <f aca="false">IFERROR((X40-X41)/X40,"")</f>
        <v/>
      </c>
      <c r="Y39" s="239" t="str">
        <f aca="false">IFERROR((Y40-Y41)/Y40,"")</f>
        <v/>
      </c>
      <c r="Z39" s="240" t="str">
        <f aca="false">IFERROR((Z40-Z41)/Z40,"")</f>
        <v/>
      </c>
      <c r="AA39" s="240" t="str">
        <f aca="false">IFERROR((AA40-AA41)/AA40,"")</f>
        <v/>
      </c>
      <c r="AB39" s="240" t="str">
        <f aca="false">IFERROR((AB40-AB41)/AB40,"")</f>
        <v/>
      </c>
      <c r="AC39" s="240" t="str">
        <f aca="false">IFERROR((AC40-AC41)/AC40,"")</f>
        <v/>
      </c>
      <c r="AD39" s="240" t="str">
        <f aca="false">IFERROR((AD40-AD41)/AD40,"")</f>
        <v/>
      </c>
      <c r="AE39" s="240" t="str">
        <f aca="false">IFERROR((AE40-AE41)/AE40,"")</f>
        <v/>
      </c>
      <c r="AF39" s="240" t="str">
        <f aca="false">IFERROR((AF40-AF41)/AF40,"")</f>
        <v/>
      </c>
      <c r="AG39" s="240" t="str">
        <f aca="false">IFERROR((AG40-AG41)/AG40,"")</f>
        <v/>
      </c>
      <c r="AH39" s="240" t="str">
        <f aca="false">IFERROR((AH40-AH41)/AH40,"")</f>
        <v/>
      </c>
      <c r="AI39" s="240" t="str">
        <f aca="false">IFERROR((AI40-AI41)/AI40,"")</f>
        <v/>
      </c>
      <c r="AJ39" s="240" t="str">
        <f aca="false">IFERROR((AJ40-AJ41)/AJ40,"")</f>
        <v/>
      </c>
      <c r="AK39" s="240" t="str">
        <f aca="false">IFERROR((AK40-AK41)/AK40,"")</f>
        <v/>
      </c>
      <c r="AL39" s="240" t="str">
        <f aca="false">IFERROR((AL40-AL41)/AL40,"")</f>
        <v/>
      </c>
      <c r="AM39" s="240" t="str">
        <f aca="false">IFERROR((AM40-AM41)/AM40,"")</f>
        <v/>
      </c>
      <c r="AN39" s="241" t="str">
        <f aca="false">IFERROR((AN40-AN41)/AN40,"")</f>
        <v/>
      </c>
      <c r="AO39" s="242" t="str">
        <f aca="false">IFERROR((AO40-AO41)/AO40,"")</f>
        <v/>
      </c>
      <c r="AP39" s="243" t="str">
        <f aca="false">IFERROR((AP40-AP41)/AP40,"")</f>
        <v/>
      </c>
      <c r="AQ39" s="243" t="str">
        <f aca="false">IFERROR((AQ40-AQ41)/AQ40,"")</f>
        <v/>
      </c>
      <c r="AR39" s="243" t="str">
        <f aca="false">IFERROR((AR40-AR41)/AR40,"")</f>
        <v/>
      </c>
      <c r="AS39" s="243" t="str">
        <f aca="false">IFERROR((AS40-AS41)/AS40,"")</f>
        <v/>
      </c>
      <c r="AT39" s="243" t="str">
        <f aca="false">IFERROR((AT40-AT41)/AT40,"")</f>
        <v/>
      </c>
      <c r="AU39" s="244" t="str">
        <f aca="false">IFERROR((AU40-AU41)/AU40,"")</f>
        <v/>
      </c>
      <c r="AV39" s="245" t="str">
        <f aca="false">IFERROR((AV40-AV41)/AV40,"")</f>
        <v/>
      </c>
    </row>
    <row r="40" customFormat="false" ht="14.25" hidden="false" customHeight="false" outlineLevel="0" collapsed="false">
      <c r="A40" s="217" t="str">
        <f aca="false">+IF(C40+C41=0,"[ocultar]","")</f>
        <v>[ocultar]</v>
      </c>
      <c r="B40" s="323" t="s">
        <v>371</v>
      </c>
      <c r="C40" s="247" t="n">
        <f aca="false" t="array" ref="C40:C40">SUM(IF($B40=DATOS_[Sexo], IF($B39=DATOS_[AGRUP. VALOR. PTO.], IF("Dentro"=DATOS_[Check Periodo Ref.], 1/(COUNTIFS(DATOS_[Sexo],$B40,DATOS_[AGRUP. VALOR. PTO.],$B39,DATOS_[Check Periodo Ref.],"Dentro",DATOS_[id],DATOS_[id]))))))</f>
        <v>0</v>
      </c>
      <c r="D40" s="248" t="n">
        <f aca="false">COUNTIFS(DATOS_[AGRUP. VALOR. PTO.],$B39,DATOS_[Sexo],$B40,DATOS_[Check Periodo Ref.],"Dentro")</f>
        <v>0</v>
      </c>
      <c r="E40" s="248" t="n">
        <f aca="false">COUNTIFS(DATOS_[AGRUP. VALOR. PTO.],$B39,DATOS_[Sexo],$B40,DATOS_[Check Periodo Ref.],"Dentro",DATOS_[Check Nº SC Norm],"Sí")</f>
        <v>0</v>
      </c>
      <c r="F40" s="248" t="n">
        <f aca="false">COUNTIFS(DATOS_[AGRUP. VALOR. PTO.],$B39,DATOS_[Sexo],$B40,DATOS_[Check Periodo Ref.],"Dentro",DATOS_[Check Nº SC Anualiz],"Sí")</f>
        <v>0</v>
      </c>
      <c r="G40" s="248" t="n">
        <f aca="false">COUNTIFS(DATOS_[AGRUP. VALOR. PTO.],$B39,DATOS_[Sexo],$B40,DATOS_[Check Periodo Ref.],"Dentro",DATOS_[Check Nº SC Norm y Anualiz],"Sí")</f>
        <v>0</v>
      </c>
      <c r="H40" s="248" t="n">
        <f aca="false">COUNTIFS(DATOS_[AGRUP. VALOR. PTO.],$B39,DATOS_[Sexo],$B40,DATOS_[Check Periodo Ref.],"Dentro",DATOS_[Check Equiparación],"Sí")</f>
        <v>0</v>
      </c>
      <c r="I40" s="249" t="n">
        <f aca="false" t="array" ref="I40:I40">IFERROR( MEDIAN(IF(DATOS_[Sexo]=$B40,IF(DATOS_[[AGRUP. VALOR. PTO.]:[AGRUP. VALOR. PTO.]]=$B39,IF(DATOS_[Check Equiparado]="Sí",IF(DATOS_[Check Periodo Ref.]="Dentro",DATOS_[SALARIO BASE Eq],0))))), 0)</f>
        <v>0</v>
      </c>
      <c r="J40" s="250" t="n">
        <f aca="false" t="array" ref="J40:J40">IFERROR( (MEDIAN((IF(DATOS_[[Sexo]:[Sexo]]=$B40,IF(DATOS_[[AGRUP. VALOR. PTO.]:[AGRUP. VALOR. PTO.]]=$B39,IF(DATOS_[[Check Periodo Ref.]:[Check Periodo Ref.]]="Dentro",IF(DATOS_[[Check Equiparado]:[Check Equiparado]]="Sí",IF(DATOS!AE$4="Sí",(1/DATOS_[[% anualiz]:[% anualiz]]),1)*IF(DATOS!AE$5="Sí",1/DATOS_[[% normaliz]:[% normaliz]],1)*(DATOS_[Conc.Sal.01])))))))), 0)</f>
        <v>0</v>
      </c>
      <c r="K40" s="250" t="n">
        <f aca="false" t="array" ref="K40:K40">IFERROR( (MEDIAN((IF(DATOS_[[Sexo]:[Sexo]]=$B40,IF(DATOS_[[AGRUP. VALOR. PTO.]:[AGRUP. VALOR. PTO.]]=$B39,IF(DATOS_[[Check Periodo Ref.]:[Check Periodo Ref.]]="Dentro",IF(DATOS_[[Check Equiparado]:[Check Equiparado]]="Sí",IF(DATOS!AF$4="Sí",(1/DATOS_[[% anualiz]:[% anualiz]]),1)*IF(DATOS!AF$5="Sí",1/DATOS_[[% normaliz]:[% normaliz]],1)*(DATOS_[Conc.Sal.02])))))))), 0)</f>
        <v>0</v>
      </c>
      <c r="L40" s="250" t="n">
        <f aca="false" t="array" ref="L40:L40">IFERROR( (MEDIAN((IF(DATOS_[[Sexo]:[Sexo]]=$B40,IF(DATOS_[[AGRUP. VALOR. PTO.]:[AGRUP. VALOR. PTO.]]=$B39,IF(DATOS_[[Check Periodo Ref.]:[Check Periodo Ref.]]="Dentro",IF(DATOS_[[Check Equiparado]:[Check Equiparado]]="Sí",IF(DATOS!AG$4="Sí",(1/DATOS_[[% anualiz]:[% anualiz]]),1)*IF(DATOS!AG$5="Sí",1/DATOS_[[% normaliz]:[% normaliz]],1)*(DATOS_[Conc.Sal.03])))))))), 0)</f>
        <v>0</v>
      </c>
      <c r="M40" s="250" t="n">
        <f aca="false" t="array" ref="M40:M40">IFERROR( (MEDIAN((IF(DATOS_[[Sexo]:[Sexo]]=$B40,IF(DATOS_[[AGRUP. VALOR. PTO.]:[AGRUP. VALOR. PTO.]]=$B39,IF(DATOS_[[Check Periodo Ref.]:[Check Periodo Ref.]]="Dentro",IF(DATOS_[[Check Equiparado]:[Check Equiparado]]="Sí",IF(DATOS!AH$4="Sí",(1/DATOS_[[% anualiz]:[% anualiz]]),1)*IF(DATOS!AH$5="Sí",1/DATOS_[[% normaliz]:[% normaliz]],1)*(DATOS_[Conc.Sal.04])))))))), 0)</f>
        <v>0</v>
      </c>
      <c r="N40" s="250" t="n">
        <f aca="false" t="array" ref="N40:N40">IFERROR( (MEDIAN((IF(DATOS_[[Sexo]:[Sexo]]=$B40,IF(DATOS_[[AGRUP. VALOR. PTO.]:[AGRUP. VALOR. PTO.]]=$B39,IF(DATOS_[[Check Periodo Ref.]:[Check Periodo Ref.]]="Dentro",IF(DATOS_[[Check Equiparado]:[Check Equiparado]]="Sí",IF(DATOS!AI$4="Sí",(1/DATOS_[[% anualiz]:[% anualiz]]),1)*IF(DATOS!AI$5="Sí",1/DATOS_[[% normaliz]:[% normaliz]],1)*(DATOS_[Conc.Sal.05])))))))), 0)</f>
        <v>0</v>
      </c>
      <c r="O40" s="250" t="n">
        <f aca="false" t="array" ref="O40:O40">IFERROR( (MEDIAN((IF(DATOS_[[Sexo]:[Sexo]]=$B40,IF(DATOS_[[AGRUP. VALOR. PTO.]:[AGRUP. VALOR. PTO.]]=$B39,IF(DATOS_[[Check Periodo Ref.]:[Check Periodo Ref.]]="Dentro",IF(DATOS_[[Check Equiparado]:[Check Equiparado]]="Sí",IF(DATOS!AJ$4="Sí",(1/DATOS_[[% anualiz]:[% anualiz]]),1)*IF(DATOS!AJ$5="Sí",1/DATOS_[[% normaliz]:[% normaliz]],1)*(DATOS_[Conc.Sal.06])))))))), 0)</f>
        <v>0</v>
      </c>
      <c r="P40" s="250" t="n">
        <f aca="false" t="array" ref="P40:P40">IFERROR( (MEDIAN((IF(DATOS_[[Sexo]:[Sexo]]=$B40,IF(DATOS_[[AGRUP. VALOR. PTO.]:[AGRUP. VALOR. PTO.]]=$B39,IF(DATOS_[[Check Periodo Ref.]:[Check Periodo Ref.]]="Dentro",IF(DATOS_[[Check Equiparado]:[Check Equiparado]]="Sí",IF(DATOS!AK$4="Sí",(1/DATOS_[[% anualiz]:[% anualiz]]),1)*IF(DATOS!AK$5="Sí",1/DATOS_[[% normaliz]:[% normaliz]],1)*(DATOS_[Conc.Sal.07])))))))), 0)</f>
        <v>0</v>
      </c>
      <c r="Q40" s="250" t="n">
        <f aca="false" t="array" ref="Q40:Q40">IFERROR( (MEDIAN((IF(DATOS_[[Sexo]:[Sexo]]=$B40,IF(DATOS_[[AGRUP. VALOR. PTO.]:[AGRUP. VALOR. PTO.]]=$B39,IF(DATOS_[[Check Periodo Ref.]:[Check Periodo Ref.]]="Dentro",IF(DATOS_[[Check Equiparado]:[Check Equiparado]]="Sí",IF(DATOS!AL$4="Sí",(1/DATOS_[[% anualiz]:[% anualiz]]),1)*IF(DATOS!AL$5="Sí",1/DATOS_[[% normaliz]:[% normaliz]],1)*(DATOS_[Conc.Sal.08])))))))), 0)</f>
        <v>0</v>
      </c>
      <c r="R40" s="250" t="n">
        <f aca="false" t="array" ref="R40:R40">IFERROR( (MEDIAN((IF(DATOS_[[Sexo]:[Sexo]]=$B40,IF(DATOS_[[AGRUP. VALOR. PTO.]:[AGRUP. VALOR. PTO.]]=$B39,IF(DATOS_[[Check Periodo Ref.]:[Check Periodo Ref.]]="Dentro",IF(DATOS_[[Check Equiparado]:[Check Equiparado]]="Sí",IF(DATOS!AM$4="Sí",(1/DATOS_[[% anualiz]:[% anualiz]]),1)*IF(DATOS!AM$5="Sí",1/DATOS_[[% normaliz]:[% normaliz]],1)*(DATOS_[Conc.Sal.09])))))))), 0)</f>
        <v>0</v>
      </c>
      <c r="S40" s="250" t="n">
        <f aca="false" t="array" ref="S40:S40">IFERROR( (MEDIAN((IF(DATOS_[[Sexo]:[Sexo]]=$B40,IF(DATOS_[[AGRUP. VALOR. PTO.]:[AGRUP. VALOR. PTO.]]=$B39,IF(DATOS_[[Check Periodo Ref.]:[Check Periodo Ref.]]="Dentro",IF(DATOS_[[Check Equiparado]:[Check Equiparado]]="Sí",IF(DATOS!AN$4="Sí",(1/DATOS_[[% anualiz]:[% anualiz]]),1)*IF(DATOS!AN$5="Sí",1/DATOS_[[% normaliz]:[% normaliz]],1)*(DATOS_[Conc.Sal.10])))))))), 0)</f>
        <v>0</v>
      </c>
      <c r="T40" s="250" t="n">
        <f aca="false" t="array" ref="T40:T40">IFERROR( (MEDIAN((IF(DATOS_[[Sexo]:[Sexo]]=$B40,IF(DATOS_[[AGRUP. VALOR. PTO.]:[AGRUP. VALOR. PTO.]]=$B39,IF(DATOS_[[Check Periodo Ref.]:[Check Periodo Ref.]]="Dentro",IF(DATOS_[[Check Equiparado]:[Check Equiparado]]="Sí",IF(DATOS!AO$4="Sí",(1/DATOS_[[% anualiz]:[% anualiz]]),1)*IF(DATOS!AO$5="Sí",1/DATOS_[[% normaliz]:[% normaliz]],1)*(DATOS_[Conc.Sal.11])))))))), 0)</f>
        <v>0</v>
      </c>
      <c r="U40" s="250" t="n">
        <f aca="false" t="array" ref="U40:U40">IFERROR( (MEDIAN((IF(DATOS_[[Sexo]:[Sexo]]=$B40,IF(DATOS_[[AGRUP. VALOR. PTO.]:[AGRUP. VALOR. PTO.]]=$B39,IF(DATOS_[[Check Periodo Ref.]:[Check Periodo Ref.]]="Dentro",IF(DATOS_[[Check Equiparado]:[Check Equiparado]]="Sí",IF(DATOS!AP$4="Sí",(1/DATOS_[[% anualiz]:[% anualiz]]),1)*IF(DATOS!AP$5="Sí",1/DATOS_[[% normaliz]:[% normaliz]],1)*(DATOS_[Conc.Sal.12])))))))), 0)</f>
        <v>0</v>
      </c>
      <c r="V40" s="250" t="n">
        <f aca="false" t="array" ref="V40:V40">IFERROR( (MEDIAN((IF(DATOS_[[Sexo]:[Sexo]]=$B40,IF(DATOS_[[AGRUP. VALOR. PTO.]:[AGRUP. VALOR. PTO.]]=$B39,IF(DATOS_[[Check Periodo Ref.]:[Check Periodo Ref.]]="Dentro",IF(DATOS_[[Check Equiparado]:[Check Equiparado]]="Sí",IF(DATOS!AQ$4="Sí",(1/DATOS_[[% anualiz]:[% anualiz]]),1)*IF(DATOS!AQ$5="Sí",1/DATOS_[[% normaliz]:[% normaliz]],1)*(DATOS_[Conc.Sal.13])))))))), 0)</f>
        <v>0</v>
      </c>
      <c r="W40" s="250" t="n">
        <f aca="false" t="array" ref="W40:W40">IFERROR( (MEDIAN((IF(DATOS_[[Sexo]:[Sexo]]=$B40,IF(DATOS_[[AGRUP. VALOR. PTO.]:[AGRUP. VALOR. PTO.]]=$B39,IF(DATOS_[[Check Periodo Ref.]:[Check Periodo Ref.]]="Dentro",IF(DATOS_[[Check Equiparado]:[Check Equiparado]]="Sí",IF(DATOS!AR$4="Sí",(1/DATOS_[[% anualiz]:[% anualiz]]),1)*IF(DATOS!AR$5="Sí",1/DATOS_[[% normaliz]:[% normaliz]],1)*(DATOS_[Conc.Sal.14])))))))), 0)</f>
        <v>0</v>
      </c>
      <c r="X40" s="250" t="n">
        <f aca="false" t="array" ref="X40:X40">IFERROR( (MEDIAN((IF(DATOS_[[Sexo]:[Sexo]]=$B40,IF(DATOS_[[AGRUP. VALOR. PTO.]:[AGRUP. VALOR. PTO.]]=$B39,IF(DATOS_[[Check Periodo Ref.]:[Check Periodo Ref.]]="Dentro",IF(DATOS_[[Check Equiparado]:[Check Equiparado]]="Sí",IF(DATOS!AS$4="Sí",(1/DATOS_[[% anualiz]:[% anualiz]]),1)*IF(DATOS!AS$5="Sí",1/DATOS_[[% normaliz]:[% normaliz]],1)*(DATOS_[Conc.Sal.15])))))))), 0)</f>
        <v>0</v>
      </c>
      <c r="Y40" s="250" t="n">
        <f aca="false" t="array" ref="Y40:Y40">IFERROR( (MEDIAN((IF(DATOS_[[Sexo]:[Sexo]]=$B40,IF(DATOS_[[AGRUP. VALOR. PTO.]:[AGRUP. VALOR. PTO.]]=$B39,IF(DATOS_[[Check Periodo Ref.]:[Check Periodo Ref.]]="Dentro",IF(DATOS_[[Check Equiparado]:[Check Equiparado]]="Sí",IF(DATOS!AT$4="Sí",(1/DATOS_[[% anualiz]:[% anualiz]]),1)*IF(DATOS!AT$5="Sí",1/DATOS_[[% normaliz]:[% normaliz]],1)*(DATOS_[Conc.Sal.16])))))))), 0)</f>
        <v>0</v>
      </c>
      <c r="Z40" s="250" t="n">
        <f aca="false" t="array" ref="Z40:Z40">IFERROR( (MEDIAN((IF(DATOS_[[Sexo]:[Sexo]]=$B40,IF(DATOS_[[AGRUP. VALOR. PTO.]:[AGRUP. VALOR. PTO.]]=$B39,IF(DATOS_[[Check Periodo Ref.]:[Check Periodo Ref.]]="Dentro",IF(DATOS_[[Check Equiparado]:[Check Equiparado]]="Sí",IF(DATOS!AU$4="Sí",(1/DATOS_[[% anualiz]:[% anualiz]]),1)*IF(DATOS!AU$5="Sí",1/DATOS_[[% normaliz]:[% normaliz]],1)*(DATOS_[Conc.Sal.17])))))))), 0)</f>
        <v>0</v>
      </c>
      <c r="AA40" s="250" t="n">
        <f aca="false" t="array" ref="AA40:AA40">IFERROR( (MEDIAN((IF(DATOS_[[Sexo]:[Sexo]]=$B40,IF(DATOS_[[AGRUP. VALOR. PTO.]:[AGRUP. VALOR. PTO.]]=$B39,IF(DATOS_[[Check Periodo Ref.]:[Check Periodo Ref.]]="Dentro",IF(DATOS_[[Check Equiparado]:[Check Equiparado]]="Sí",IF(DATOS!AV$4="Sí",(1/DATOS_[[% anualiz]:[% anualiz]]),1)*IF(DATOS!AV$5="Sí",1/DATOS_[[% normaliz]:[% normaliz]],1)*(DATOS_[Conc.Sal.18])))))))), 0)</f>
        <v>0</v>
      </c>
      <c r="AB40" s="250" t="n">
        <f aca="false" t="array" ref="AB40:AB40">IFERROR( (MEDIAN((IF(DATOS_[[Sexo]:[Sexo]]=$B40,IF(DATOS_[[AGRUP. VALOR. PTO.]:[AGRUP. VALOR. PTO.]]=$B39,IF(DATOS_[[Check Periodo Ref.]:[Check Periodo Ref.]]="Dentro",IF(DATOS_[[Check Equiparado]:[Check Equiparado]]="Sí",IF(DATOS!AW$4="Sí",(1/DATOS_[[% anualiz]:[% anualiz]]),1)*IF(DATOS!AW$5="Sí",1/DATOS_[[% normaliz]:[% normaliz]],1)*(DATOS_[Conc.Sal.19])))))))), 0)</f>
        <v>0</v>
      </c>
      <c r="AC40" s="250" t="n">
        <f aca="false" t="array" ref="AC40:AC40">IFERROR( (MEDIAN((IF(DATOS_[[Sexo]:[Sexo]]=$B40,IF(DATOS_[[AGRUP. VALOR. PTO.]:[AGRUP. VALOR. PTO.]]=$B39,IF(DATOS_[[Check Periodo Ref.]:[Check Periodo Ref.]]="Dentro",IF(DATOS_[[Check Equiparado]:[Check Equiparado]]="Sí",IF(DATOS!AX$4="Sí",(1/DATOS_[[% anualiz]:[% anualiz]]),1)*IF(DATOS!AX$5="Sí",1/DATOS_[[% normaliz]:[% normaliz]],1)*(DATOS_[Conc.Sal.20])))))))), 0)</f>
        <v>0</v>
      </c>
      <c r="AD40" s="250" t="n">
        <f aca="false" t="array" ref="AD40:AD40">IFERROR( (MEDIAN((IF(DATOS_[[Sexo]:[Sexo]]=$B40,IF(DATOS_[[AGRUP. VALOR. PTO.]:[AGRUP. VALOR. PTO.]]=$B39,IF(DATOS_[[Check Periodo Ref.]:[Check Periodo Ref.]]="Dentro",IF(DATOS_[[Check Equiparado]:[Check Equiparado]]="Sí",IF(DATOS!AY$4="Sí",(1/DATOS_[[% anualiz]:[% anualiz]]),1)*IF(DATOS!AY$5="Sí",1/DATOS_[[% normaliz]:[% normaliz]],1)*(DATOS_[Conc.Sal.21])))))))), 0)</f>
        <v>0</v>
      </c>
      <c r="AE40" s="250" t="n">
        <f aca="false" t="array" ref="AE40:AE40">IFERROR( (MEDIAN((IF(DATOS_[[Sexo]:[Sexo]]=$B40,IF(DATOS_[[AGRUP. VALOR. PTO.]:[AGRUP. VALOR. PTO.]]=$B39,IF(DATOS_[[Check Periodo Ref.]:[Check Periodo Ref.]]="Dentro",IF(DATOS_[[Check Equiparado]:[Check Equiparado]]="Sí",IF(DATOS!AZ$4="Sí",(1/DATOS_[[% anualiz]:[% anualiz]]),1)*IF(DATOS!AZ$5="Sí",1/DATOS_[[% normaliz]:[% normaliz]],1)*(DATOS_[Conc.Sal.22])))))))), 0)</f>
        <v>0</v>
      </c>
      <c r="AF40" s="250" t="n">
        <f aca="false" t="array" ref="AF40:AF40">IFERROR( (MEDIAN((IF(DATOS_[[Sexo]:[Sexo]]=$B40,IF(DATOS_[[AGRUP. VALOR. PTO.]:[AGRUP. VALOR. PTO.]]=$B39,IF(DATOS_[[Check Periodo Ref.]:[Check Periodo Ref.]]="Dentro",IF(DATOS_[[Check Equiparado]:[Check Equiparado]]="Sí",IF(DATOS!BA$4="Sí",(1/DATOS_[[% anualiz]:[% anualiz]]),1)*IF(DATOS!BA$5="Sí",1/DATOS_[[% normaliz]:[% normaliz]],1)*(DATOS_[Conc.Sal.23])))))))), 0)</f>
        <v>0</v>
      </c>
      <c r="AG40" s="250" t="n">
        <f aca="false" t="array" ref="AG40:AG40">IFERROR( (MEDIAN((IF(DATOS_[[Sexo]:[Sexo]]=$B40,IF(DATOS_[[AGRUP. VALOR. PTO.]:[AGRUP. VALOR. PTO.]]=$B39,IF(DATOS_[[Check Periodo Ref.]:[Check Periodo Ref.]]="Dentro",IF(DATOS_[[Check Equiparado]:[Check Equiparado]]="Sí",IF(DATOS!BB$4="Sí",(1/DATOS_[[% anualiz]:[% anualiz]]),1)*IF(DATOS!BB$5="Sí",1/DATOS_[[% normaliz]:[% normaliz]],1)*(DATOS_[Conc.Sal.24])))))))), 0)</f>
        <v>0</v>
      </c>
      <c r="AH40" s="250" t="n">
        <f aca="false" t="array" ref="AH40:AH40">IFERROR( (MEDIAN((IF(DATOS_[[Sexo]:[Sexo]]=$B40,IF(DATOS_[[AGRUP. VALOR. PTO.]:[AGRUP. VALOR. PTO.]]=$B39,IF(DATOS_[[Check Periodo Ref.]:[Check Periodo Ref.]]="Dentro",IF(DATOS_[[Check Equiparado]:[Check Equiparado]]="Sí",IF(DATOS!BC$4="Sí",(1/DATOS_[[% anualiz]:[% anualiz]]),1)*IF(DATOS!BC$5="Sí",1/DATOS_[[% normaliz]:[% normaliz]],1)*(DATOS_[Conc.Sal.25])))))))), 0)</f>
        <v>0</v>
      </c>
      <c r="AI40" s="250" t="n">
        <f aca="false" t="array" ref="AI40:AI40">IFERROR( (MEDIAN((IF(DATOS_[[Sexo]:[Sexo]]=$B40,IF(DATOS_[[AGRUP. VALOR. PTO.]:[AGRUP. VALOR. PTO.]]=$B39,IF(DATOS_[[Check Periodo Ref.]:[Check Periodo Ref.]]="Dentro",IF(DATOS_[[Check Equiparado]:[Check Equiparado]]="Sí",IF(DATOS!BD$4="Sí",(1/DATOS_[[% anualiz]:[% anualiz]]),1)*IF(DATOS!BD$5="Sí",1/DATOS_[[% normaliz]:[% normaliz]],1)*(DATOS_[Conc.Sal.26])))))))), 0)</f>
        <v>0</v>
      </c>
      <c r="AJ40" s="250" t="n">
        <f aca="false" t="array" ref="AJ40:AJ40">IFERROR( (MEDIAN((IF(DATOS_[[Sexo]:[Sexo]]=$B40,IF(DATOS_[[AGRUP. VALOR. PTO.]:[AGRUP. VALOR. PTO.]]=$B39,IF(DATOS_[[Check Periodo Ref.]:[Check Periodo Ref.]]="Dentro",IF(DATOS_[[Check Equiparado]:[Check Equiparado]]="Sí",IF(DATOS!BE$4="Sí",(1/DATOS_[[% anualiz]:[% anualiz]]),1)*IF(DATOS!BE$5="Sí",1/DATOS_[[% normaliz]:[% normaliz]],1)*(DATOS_[Conc.Sal.27])))))))), 0)</f>
        <v>0</v>
      </c>
      <c r="AK40" s="250" t="n">
        <f aca="false" t="array" ref="AK40:AK40">IFERROR( (MEDIAN((IF(DATOS_[[Sexo]:[Sexo]]=$B40,IF(DATOS_[[AGRUP. VALOR. PTO.]:[AGRUP. VALOR. PTO.]]=$B39,IF(DATOS_[[Check Periodo Ref.]:[Check Periodo Ref.]]="Dentro",IF(DATOS_[[Check Equiparado]:[Check Equiparado]]="Sí",IF(DATOS!BF$4="Sí",(1/DATOS_[[% anualiz]:[% anualiz]]),1)*IF(DATOS!BF$5="Sí",1/DATOS_[[% normaliz]:[% normaliz]],1)*(DATOS_[Conc.Sal.28])))))))), 0)</f>
        <v>0</v>
      </c>
      <c r="AL40" s="250" t="n">
        <f aca="false" t="array" ref="AL40:AL40">IFERROR( (MEDIAN((IF(DATOS_[[Sexo]:[Sexo]]=$B40,IF(DATOS_[[AGRUP. VALOR. PTO.]:[AGRUP. VALOR. PTO.]]=$B39,IF(DATOS_[[Check Periodo Ref.]:[Check Periodo Ref.]]="Dentro",IF(DATOS_[[Check Equiparado]:[Check Equiparado]]="Sí",IF(DATOS!BG$4="Sí",(1/DATOS_[[% anualiz]:[% anualiz]]),1)*IF(DATOS!BG$5="Sí",1/DATOS_[[% normaliz]:[% normaliz]],1)*(DATOS_[Conc.Sal.29])))))))), 0)</f>
        <v>0</v>
      </c>
      <c r="AM40" s="250" t="n">
        <f aca="false" t="array" ref="AM40:AM40">IFERROR( (MEDIAN((IF(DATOS_[[Sexo]:[Sexo]]=$B40,IF(DATOS_[[AGRUP. VALOR. PTO.]:[AGRUP. VALOR. PTO.]]=$B39,IF(DATOS_[[Check Periodo Ref.]:[Check Periodo Ref.]]="Dentro",IF(DATOS_[[Check Equiparado]:[Check Equiparado]]="Sí",IF(DATOS!BH$4="Sí",(1/DATOS_[[% anualiz]:[% anualiz]]),1)*IF(DATOS!BH$5="Sí",1/DATOS_[[% normaliz]:[% normaliz]],1)*(DATOS_[Conc.Sal.30])))))))), 0)</f>
        <v>0</v>
      </c>
      <c r="AN40" s="251" t="n">
        <f aca="false" t="array" ref="AN40:AN40">IFERROR( MEDIAN(IF(DATOS_[Sexo]=$B40,IF(DATOS_[[AGRUP. VALOR. PTO.]:[AGRUP. VALOR. PTO.]]=$B39,IF(DATOS_[Check Equiparado]="Sí",IF(DATOS_[Check Periodo Ref.]="Dentro",DATOS_[Tot COMPL.SAL Eq],0))))), 0)</f>
        <v>0</v>
      </c>
      <c r="AO40" s="252" t="n">
        <f aca="false" t="array" ref="AO40:AO40">IFERROR( MEDIAN(IF(DATOS_[Sexo]=$B40,IF(DATOS_[[AGRUP. VALOR. PTO.]:[AGRUP. VALOR. PTO.]]=$B39,IF(DATOS_[Check Equiparado]="Sí",IF(DATOS_[Check Periodo Ref.]="Dentro",DATOS_[TOTAL SALARIO Eq],0))))), 0)</f>
        <v>0</v>
      </c>
      <c r="AP40" s="259" t="n">
        <f aca="false" t="array" ref="AP40:AP40">IFERROR( (MEDIAN((IF(DATOS_[[Sexo]:[Sexo]]=$B40,IF(DATOS_[[AGRUP. VALOR. PTO.]:[AGRUP. VALOR. PTO.]]=$B39,IF(DATOS_[[Check Periodo Ref.]:[Check Periodo Ref.]]="Dentro",IF(DATOS_[[Check Equiparado]:[Check Equiparado]]="Sí",IF(DATOS!BI$4="Sí",(1/DATOS_[[% anualiz]:[% anualiz]]),1)*IF(DATOS!BI$5="Sí",1/DATOS_[[% normaliz]:[% normaliz]],1)*(DATOS_[C.Extra.01])))))))), 0)</f>
        <v>0</v>
      </c>
      <c r="AQ40" s="259" t="n">
        <f aca="false" t="array" ref="AQ40:AQ40">IFERROR( (MEDIAN((IF(DATOS_[[Sexo]:[Sexo]]=$B40,IF(DATOS_[[AGRUP. VALOR. PTO.]:[AGRUP. VALOR. PTO.]]=$B39,IF(DATOS_[[Check Periodo Ref.]:[Check Periodo Ref.]]="Dentro",IF(DATOS_[[Check Equiparado]:[Check Equiparado]]="Sí",IF(DATOS!BJ$4="Sí",(1/DATOS_[[% anualiz]:[% anualiz]]),1)*IF(DATOS!BJ$5="Sí",1/DATOS_[[% normaliz]:[% normaliz]],1)*(DATOS_[C.Extra.02])))))))), 0)</f>
        <v>0</v>
      </c>
      <c r="AR40" s="259" t="n">
        <f aca="false" t="array" ref="AR40:AR40">IFERROR( (MEDIAN((IF(DATOS_[[Sexo]:[Sexo]]=$B40,IF(DATOS_[[AGRUP. VALOR. PTO.]:[AGRUP. VALOR. PTO.]]=$B39,IF(DATOS_[[Check Periodo Ref.]:[Check Periodo Ref.]]="Dentro",IF(DATOS_[[Check Equiparado]:[Check Equiparado]]="Sí",IF(DATOS!BK$4="Sí",(1/DATOS_[[% anualiz]:[% anualiz]]),1)*IF(DATOS!BK$5="Sí",1/DATOS_[[% normaliz]:[% normaliz]],1)*(DATOS_[C.Extra.03])))))))), 0)</f>
        <v>0</v>
      </c>
      <c r="AS40" s="259" t="n">
        <f aca="false" t="array" ref="AS40:AS40">IFERROR( (MEDIAN((IF(DATOS_[[Sexo]:[Sexo]]=$B40,IF(DATOS_[[AGRUP. VALOR. PTO.]:[AGRUP. VALOR. PTO.]]=$B39,IF(DATOS_[[Check Periodo Ref.]:[Check Periodo Ref.]]="Dentro",IF(DATOS_[[Check Equiparado]:[Check Equiparado]]="Sí",IF(DATOS!BL$4="Sí",(1/DATOS_[[% anualiz]:[% anualiz]]),1)*IF(DATOS!BL$5="Sí",1/DATOS_[[% normaliz]:[% normaliz]],1)*(DATOS_[C.Extra.04])))))))), 0)</f>
        <v>0</v>
      </c>
      <c r="AT40" s="259" t="n">
        <f aca="false" t="array" ref="AT40:AT40">IFERROR( (MEDIAN((IF(DATOS_[[Sexo]:[Sexo]]=$B40,IF(DATOS_[[AGRUP. VALOR. PTO.]:[AGRUP. VALOR. PTO.]]=$B39,IF(DATOS_[[Check Periodo Ref.]:[Check Periodo Ref.]]="Dentro",IF(DATOS_[[Check Equiparado]:[Check Equiparado]]="Sí",IF(DATOS!BM$4="Sí",(1/DATOS_[[% anualiz]:[% anualiz]]),1)*IF(DATOS!BM$5="Sí",1/DATOS_[[% normaliz]:[% normaliz]],1)*(DATOS_[C.Extra.05])))))))), 0)</f>
        <v>0</v>
      </c>
      <c r="AU40" s="254" t="n">
        <f aca="false" t="array" ref="AU40:AU40">IFERROR( MEDIAN(IF(DATOS_[Sexo]=$B40,IF(DATOS_[[AGRUP. VALOR. PTO.]:[AGRUP. VALOR. PTO.]]=$B39,IF(DATOS_[Check Equiparado]="Sí",IF(DATOS_[Check Periodo Ref.]="Dentro",DATOS_[Tot Extrasalarial Eq],0))))), 0)</f>
        <v>0</v>
      </c>
      <c r="AV40" s="255" t="n">
        <f aca="false" t="array" ref="AV40:AV40">IFERROR( MEDIAN(IF(DATOS_[Sexo]=$B40,IF(DATOS_[[AGRUP. VALOR. PTO.]:[AGRUP. VALOR. PTO.]]=$B39,IF(DATOS_[Check Equiparado]="Sí",IF(DATOS_[Check Periodo Ref.]="Dentro",DATOS_[TOTAL Retrib Eq],0))))), 0)</f>
        <v>0</v>
      </c>
    </row>
    <row r="41" customFormat="false" ht="14.25" hidden="false" customHeight="false" outlineLevel="0" collapsed="false">
      <c r="A41" s="217" t="str">
        <f aca="false">+A40</f>
        <v>[ocultar]</v>
      </c>
      <c r="B41" s="323" t="s">
        <v>372</v>
      </c>
      <c r="C41" s="247" t="n">
        <f aca="false" t="array" ref="C41:C41">SUM(IF($B41=DATOS_[Sexo], IF($B39=DATOS_[AGRUP. VALOR. PTO.], IF("Dentro"=DATOS_[Check Periodo Ref.], 1/(COUNTIFS(DATOS_[Sexo],$B41,DATOS_[AGRUP. VALOR. PTO.],$B39,DATOS_[Check Periodo Ref.],"Dentro",DATOS_[id],DATOS_[id]))))))</f>
        <v>0</v>
      </c>
      <c r="D41" s="248" t="n">
        <f aca="false">COUNTIFS(DATOS_[AGRUP. VALOR. PTO.],$B39,DATOS_[Sexo],$B41,DATOS_[Check Periodo Ref.],"Dentro")</f>
        <v>0</v>
      </c>
      <c r="E41" s="248" t="n">
        <f aca="false">COUNTIFS(DATOS_[AGRUP. VALOR. PTO.],$B39,DATOS_[Sexo],$B41,DATOS_[Check Periodo Ref.],"Dentro",DATOS_[Check Nº SC Norm],"Sí")</f>
        <v>0</v>
      </c>
      <c r="F41" s="248" t="n">
        <f aca="false">COUNTIFS(DATOS_[AGRUP. VALOR. PTO.],$B39,DATOS_[Sexo],$B41,DATOS_[Check Periodo Ref.],"Dentro",DATOS_[Check Nº SC Anualiz],"Sí")</f>
        <v>0</v>
      </c>
      <c r="G41" s="248" t="n">
        <f aca="false">COUNTIFS(DATOS_[AGRUP. VALOR. PTO.],$B39,DATOS_[Sexo],$B41,DATOS_[Check Periodo Ref.],"Dentro",DATOS_[Check Nº SC Norm y Anualiz],"Sí")</f>
        <v>0</v>
      </c>
      <c r="H41" s="248" t="n">
        <f aca="false">COUNTIFS(DATOS_[AGRUP. VALOR. PTO.],$B39,DATOS_[Sexo],$B41,DATOS_[Check Periodo Ref.],"Dentro",DATOS_[Check Equiparación],"Sí")</f>
        <v>0</v>
      </c>
      <c r="I41" s="249" t="n">
        <f aca="false" t="array" ref="I41:I41">IFERROR( MEDIAN(IF(DATOS_[Sexo]=$B41,IF(DATOS_[[AGRUP. VALOR. PTO.]:[AGRUP. VALOR. PTO.]]=$B39,IF(DATOS_[Check Equiparado]="Sí",IF(DATOS_[Check Periodo Ref.]="Dentro",DATOS_[SALARIO BASE Eq],0))))), 0)</f>
        <v>0</v>
      </c>
      <c r="J41" s="250" t="n">
        <f aca="false" t="array" ref="J41:J41">IFERROR( (MEDIAN((IF(DATOS_[[Sexo]:[Sexo]]=$B41,IF(DATOS_[[AGRUP. VALOR. PTO.]:[AGRUP. VALOR. PTO.]]=$B39,IF(DATOS_[[Check Periodo Ref.]:[Check Periodo Ref.]]="Dentro",IF(DATOS_[[Check Equiparado]:[Check Equiparado]]="Sí",IF(DATOS!AE$4="Sí",(1/DATOS_[[% anualiz]:[% anualiz]]),1)*IF(DATOS!AE$5="Sí",1/DATOS_[[% normaliz]:[% normaliz]],1)*(DATOS_[Conc.Sal.01])))))))), 0)</f>
        <v>0</v>
      </c>
      <c r="K41" s="250" t="n">
        <f aca="false" t="array" ref="K41:K41">IFERROR( (MEDIAN((IF(DATOS_[[Sexo]:[Sexo]]=$B41,IF(DATOS_[[AGRUP. VALOR. PTO.]:[AGRUP. VALOR. PTO.]]=$B39,IF(DATOS_[[Check Periodo Ref.]:[Check Periodo Ref.]]="Dentro",IF(DATOS_[[Check Equiparado]:[Check Equiparado]]="Sí",IF(DATOS!AF$4="Sí",(1/DATOS_[[% anualiz]:[% anualiz]]),1)*IF(DATOS!AF$5="Sí",1/DATOS_[[% normaliz]:[% normaliz]],1)*(DATOS_[Conc.Sal.02])))))))), 0)</f>
        <v>0</v>
      </c>
      <c r="L41" s="250" t="n">
        <f aca="false" t="array" ref="L41:L41">IFERROR( (MEDIAN((IF(DATOS_[[Sexo]:[Sexo]]=$B41,IF(DATOS_[[AGRUP. VALOR. PTO.]:[AGRUP. VALOR. PTO.]]=$B39,IF(DATOS_[[Check Periodo Ref.]:[Check Periodo Ref.]]="Dentro",IF(DATOS_[[Check Equiparado]:[Check Equiparado]]="Sí",IF(DATOS!AG$4="Sí",(1/DATOS_[[% anualiz]:[% anualiz]]),1)*IF(DATOS!AG$5="Sí",1/DATOS_[[% normaliz]:[% normaliz]],1)*(DATOS_[Conc.Sal.03])))))))), 0)</f>
        <v>0</v>
      </c>
      <c r="M41" s="250" t="n">
        <f aca="false" t="array" ref="M41:M41">IFERROR( (MEDIAN((IF(DATOS_[[Sexo]:[Sexo]]=$B41,IF(DATOS_[[AGRUP. VALOR. PTO.]:[AGRUP. VALOR. PTO.]]=$B39,IF(DATOS_[[Check Periodo Ref.]:[Check Periodo Ref.]]="Dentro",IF(DATOS_[[Check Equiparado]:[Check Equiparado]]="Sí",IF(DATOS!AH$4="Sí",(1/DATOS_[[% anualiz]:[% anualiz]]),1)*IF(DATOS!AH$5="Sí",1/DATOS_[[% normaliz]:[% normaliz]],1)*(DATOS_[Conc.Sal.04])))))))), 0)</f>
        <v>0</v>
      </c>
      <c r="N41" s="250" t="n">
        <f aca="false" t="array" ref="N41:N41">IFERROR( (MEDIAN((IF(DATOS_[[Sexo]:[Sexo]]=$B41,IF(DATOS_[[AGRUP. VALOR. PTO.]:[AGRUP. VALOR. PTO.]]=$B39,IF(DATOS_[[Check Periodo Ref.]:[Check Periodo Ref.]]="Dentro",IF(DATOS_[[Check Equiparado]:[Check Equiparado]]="Sí",IF(DATOS!AI$4="Sí",(1/DATOS_[[% anualiz]:[% anualiz]]),1)*IF(DATOS!AI$5="Sí",1/DATOS_[[% normaliz]:[% normaliz]],1)*(DATOS_[Conc.Sal.05])))))))), 0)</f>
        <v>0</v>
      </c>
      <c r="O41" s="250" t="n">
        <f aca="false" t="array" ref="O41:O41">IFERROR( (MEDIAN((IF(DATOS_[[Sexo]:[Sexo]]=$B41,IF(DATOS_[[AGRUP. VALOR. PTO.]:[AGRUP. VALOR. PTO.]]=$B39,IF(DATOS_[[Check Periodo Ref.]:[Check Periodo Ref.]]="Dentro",IF(DATOS_[[Check Equiparado]:[Check Equiparado]]="Sí",IF(DATOS!AJ$4="Sí",(1/DATOS_[[% anualiz]:[% anualiz]]),1)*IF(DATOS!AJ$5="Sí",1/DATOS_[[% normaliz]:[% normaliz]],1)*(DATOS_[Conc.Sal.06])))))))), 0)</f>
        <v>0</v>
      </c>
      <c r="P41" s="250" t="n">
        <f aca="false" t="array" ref="P41:P41">IFERROR( (MEDIAN((IF(DATOS_[[Sexo]:[Sexo]]=$B41,IF(DATOS_[[AGRUP. VALOR. PTO.]:[AGRUP. VALOR. PTO.]]=$B39,IF(DATOS_[[Check Periodo Ref.]:[Check Periodo Ref.]]="Dentro",IF(DATOS_[[Check Equiparado]:[Check Equiparado]]="Sí",IF(DATOS!AK$4="Sí",(1/DATOS_[[% anualiz]:[% anualiz]]),1)*IF(DATOS!AK$5="Sí",1/DATOS_[[% normaliz]:[% normaliz]],1)*(DATOS_[Conc.Sal.07])))))))), 0)</f>
        <v>0</v>
      </c>
      <c r="Q41" s="250" t="n">
        <f aca="false" t="array" ref="Q41:Q41">IFERROR( (MEDIAN((IF(DATOS_[[Sexo]:[Sexo]]=$B41,IF(DATOS_[[AGRUP. VALOR. PTO.]:[AGRUP. VALOR. PTO.]]=$B39,IF(DATOS_[[Check Periodo Ref.]:[Check Periodo Ref.]]="Dentro",IF(DATOS_[[Check Equiparado]:[Check Equiparado]]="Sí",IF(DATOS!AL$4="Sí",(1/DATOS_[[% anualiz]:[% anualiz]]),1)*IF(DATOS!AL$5="Sí",1/DATOS_[[% normaliz]:[% normaliz]],1)*(DATOS_[Conc.Sal.08])))))))), 0)</f>
        <v>0</v>
      </c>
      <c r="R41" s="250" t="n">
        <f aca="false" t="array" ref="R41:R41">IFERROR( (MEDIAN((IF(DATOS_[[Sexo]:[Sexo]]=$B41,IF(DATOS_[[AGRUP. VALOR. PTO.]:[AGRUP. VALOR. PTO.]]=$B39,IF(DATOS_[[Check Periodo Ref.]:[Check Periodo Ref.]]="Dentro",IF(DATOS_[[Check Equiparado]:[Check Equiparado]]="Sí",IF(DATOS!AM$4="Sí",(1/DATOS_[[% anualiz]:[% anualiz]]),1)*IF(DATOS!AM$5="Sí",1/DATOS_[[% normaliz]:[% normaliz]],1)*(DATOS_[Conc.Sal.09])))))))), 0)</f>
        <v>0</v>
      </c>
      <c r="S41" s="250" t="n">
        <f aca="false" t="array" ref="S41:S41">IFERROR( (MEDIAN((IF(DATOS_[[Sexo]:[Sexo]]=$B41,IF(DATOS_[[AGRUP. VALOR. PTO.]:[AGRUP. VALOR. PTO.]]=$B39,IF(DATOS_[[Check Periodo Ref.]:[Check Periodo Ref.]]="Dentro",IF(DATOS_[[Check Equiparado]:[Check Equiparado]]="Sí",IF(DATOS!AN$4="Sí",(1/DATOS_[[% anualiz]:[% anualiz]]),1)*IF(DATOS!AN$5="Sí",1/DATOS_[[% normaliz]:[% normaliz]],1)*(DATOS_[Conc.Sal.10])))))))), 0)</f>
        <v>0</v>
      </c>
      <c r="T41" s="250" t="n">
        <f aca="false" t="array" ref="T41:T41">IFERROR( (MEDIAN((IF(DATOS_[[Sexo]:[Sexo]]=$B41,IF(DATOS_[[AGRUP. VALOR. PTO.]:[AGRUP. VALOR. PTO.]]=$B39,IF(DATOS_[[Check Periodo Ref.]:[Check Periodo Ref.]]="Dentro",IF(DATOS_[[Check Equiparado]:[Check Equiparado]]="Sí",IF(DATOS!AO$4="Sí",(1/DATOS_[[% anualiz]:[% anualiz]]),1)*IF(DATOS!AO$5="Sí",1/DATOS_[[% normaliz]:[% normaliz]],1)*(DATOS_[Conc.Sal.11])))))))), 0)</f>
        <v>0</v>
      </c>
      <c r="U41" s="250" t="n">
        <f aca="false" t="array" ref="U41:U41">IFERROR( (MEDIAN((IF(DATOS_[[Sexo]:[Sexo]]=$B41,IF(DATOS_[[AGRUP. VALOR. PTO.]:[AGRUP. VALOR. PTO.]]=$B39,IF(DATOS_[[Check Periodo Ref.]:[Check Periodo Ref.]]="Dentro",IF(DATOS_[[Check Equiparado]:[Check Equiparado]]="Sí",IF(DATOS!AP$4="Sí",(1/DATOS_[[% anualiz]:[% anualiz]]),1)*IF(DATOS!AP$5="Sí",1/DATOS_[[% normaliz]:[% normaliz]],1)*(DATOS_[Conc.Sal.12])))))))), 0)</f>
        <v>0</v>
      </c>
      <c r="V41" s="250" t="n">
        <f aca="false" t="array" ref="V41:V41">IFERROR( (MEDIAN((IF(DATOS_[[Sexo]:[Sexo]]=$B41,IF(DATOS_[[AGRUP. VALOR. PTO.]:[AGRUP. VALOR. PTO.]]=$B39,IF(DATOS_[[Check Periodo Ref.]:[Check Periodo Ref.]]="Dentro",IF(DATOS_[[Check Equiparado]:[Check Equiparado]]="Sí",IF(DATOS!AQ$4="Sí",(1/DATOS_[[% anualiz]:[% anualiz]]),1)*IF(DATOS!AQ$5="Sí",1/DATOS_[[% normaliz]:[% normaliz]],1)*(DATOS_[Conc.Sal.13])))))))), 0)</f>
        <v>0</v>
      </c>
      <c r="W41" s="250" t="n">
        <f aca="false" t="array" ref="W41:W41">IFERROR( (MEDIAN((IF(DATOS_[[Sexo]:[Sexo]]=$B41,IF(DATOS_[[AGRUP. VALOR. PTO.]:[AGRUP. VALOR. PTO.]]=$B39,IF(DATOS_[[Check Periodo Ref.]:[Check Periodo Ref.]]="Dentro",IF(DATOS_[[Check Equiparado]:[Check Equiparado]]="Sí",IF(DATOS!AR$4="Sí",(1/DATOS_[[% anualiz]:[% anualiz]]),1)*IF(DATOS!AR$5="Sí",1/DATOS_[[% normaliz]:[% normaliz]],1)*(DATOS_[Conc.Sal.14])))))))), 0)</f>
        <v>0</v>
      </c>
      <c r="X41" s="250" t="n">
        <f aca="false" t="array" ref="X41:X41">IFERROR( (MEDIAN((IF(DATOS_[[Sexo]:[Sexo]]=$B41,IF(DATOS_[[AGRUP. VALOR. PTO.]:[AGRUP. VALOR. PTO.]]=$B39,IF(DATOS_[[Check Periodo Ref.]:[Check Periodo Ref.]]="Dentro",IF(DATOS_[[Check Equiparado]:[Check Equiparado]]="Sí",IF(DATOS!AS$4="Sí",(1/DATOS_[[% anualiz]:[% anualiz]]),1)*IF(DATOS!AS$5="Sí",1/DATOS_[[% normaliz]:[% normaliz]],1)*(DATOS_[Conc.Sal.15])))))))), 0)</f>
        <v>0</v>
      </c>
      <c r="Y41" s="250" t="n">
        <f aca="false" t="array" ref="Y41:Y41">IFERROR( (MEDIAN((IF(DATOS_[[Sexo]:[Sexo]]=$B41,IF(DATOS_[[AGRUP. VALOR. PTO.]:[AGRUP. VALOR. PTO.]]=$B39,IF(DATOS_[[Check Periodo Ref.]:[Check Periodo Ref.]]="Dentro",IF(DATOS_[[Check Equiparado]:[Check Equiparado]]="Sí",IF(DATOS!AT$4="Sí",(1/DATOS_[[% anualiz]:[% anualiz]]),1)*IF(DATOS!AT$5="Sí",1/DATOS_[[% normaliz]:[% normaliz]],1)*(DATOS_[Conc.Sal.16])))))))), 0)</f>
        <v>0</v>
      </c>
      <c r="Z41" s="250" t="n">
        <f aca="false" t="array" ref="Z41:Z41">IFERROR( (MEDIAN((IF(DATOS_[[Sexo]:[Sexo]]=$B41,IF(DATOS_[[AGRUP. VALOR. PTO.]:[AGRUP. VALOR. PTO.]]=$B39,IF(DATOS_[[Check Periodo Ref.]:[Check Periodo Ref.]]="Dentro",IF(DATOS_[[Check Equiparado]:[Check Equiparado]]="Sí",IF(DATOS!AU$4="Sí",(1/DATOS_[[% anualiz]:[% anualiz]]),1)*IF(DATOS!AU$5="Sí",1/DATOS_[[% normaliz]:[% normaliz]],1)*(DATOS_[Conc.Sal.17])))))))), 0)</f>
        <v>0</v>
      </c>
      <c r="AA41" s="250" t="n">
        <f aca="false" t="array" ref="AA41:AA41">IFERROR( (MEDIAN((IF(DATOS_[[Sexo]:[Sexo]]=$B41,IF(DATOS_[[AGRUP. VALOR. PTO.]:[AGRUP. VALOR. PTO.]]=$B39,IF(DATOS_[[Check Periodo Ref.]:[Check Periodo Ref.]]="Dentro",IF(DATOS_[[Check Equiparado]:[Check Equiparado]]="Sí",IF(DATOS!AV$4="Sí",(1/DATOS_[[% anualiz]:[% anualiz]]),1)*IF(DATOS!AV$5="Sí",1/DATOS_[[% normaliz]:[% normaliz]],1)*(DATOS_[Conc.Sal.18])))))))), 0)</f>
        <v>0</v>
      </c>
      <c r="AB41" s="250" t="n">
        <f aca="false" t="array" ref="AB41:AB41">IFERROR( (MEDIAN((IF(DATOS_[[Sexo]:[Sexo]]=$B41,IF(DATOS_[[AGRUP. VALOR. PTO.]:[AGRUP. VALOR. PTO.]]=$B39,IF(DATOS_[[Check Periodo Ref.]:[Check Periodo Ref.]]="Dentro",IF(DATOS_[[Check Equiparado]:[Check Equiparado]]="Sí",IF(DATOS!AW$4="Sí",(1/DATOS_[[% anualiz]:[% anualiz]]),1)*IF(DATOS!AW$5="Sí",1/DATOS_[[% normaliz]:[% normaliz]],1)*(DATOS_[Conc.Sal.19])))))))), 0)</f>
        <v>0</v>
      </c>
      <c r="AC41" s="250" t="n">
        <f aca="false" t="array" ref="AC41:AC41">IFERROR( (MEDIAN((IF(DATOS_[[Sexo]:[Sexo]]=$B41,IF(DATOS_[[AGRUP. VALOR. PTO.]:[AGRUP. VALOR. PTO.]]=$B39,IF(DATOS_[[Check Periodo Ref.]:[Check Periodo Ref.]]="Dentro",IF(DATOS_[[Check Equiparado]:[Check Equiparado]]="Sí",IF(DATOS!AX$4="Sí",(1/DATOS_[[% anualiz]:[% anualiz]]),1)*IF(DATOS!AX$5="Sí",1/DATOS_[[% normaliz]:[% normaliz]],1)*(DATOS_[Conc.Sal.20])))))))), 0)</f>
        <v>0</v>
      </c>
      <c r="AD41" s="250" t="n">
        <f aca="false" t="array" ref="AD41:AD41">IFERROR( (MEDIAN((IF(DATOS_[[Sexo]:[Sexo]]=$B41,IF(DATOS_[[AGRUP. VALOR. PTO.]:[AGRUP. VALOR. PTO.]]=$B39,IF(DATOS_[[Check Periodo Ref.]:[Check Periodo Ref.]]="Dentro",IF(DATOS_[[Check Equiparado]:[Check Equiparado]]="Sí",IF(DATOS!AY$4="Sí",(1/DATOS_[[% anualiz]:[% anualiz]]),1)*IF(DATOS!AY$5="Sí",1/DATOS_[[% normaliz]:[% normaliz]],1)*(DATOS_[Conc.Sal.21])))))))), 0)</f>
        <v>0</v>
      </c>
      <c r="AE41" s="250" t="n">
        <f aca="false" t="array" ref="AE41:AE41">IFERROR( (MEDIAN((IF(DATOS_[[Sexo]:[Sexo]]=$B41,IF(DATOS_[[AGRUP. VALOR. PTO.]:[AGRUP. VALOR. PTO.]]=$B39,IF(DATOS_[[Check Periodo Ref.]:[Check Periodo Ref.]]="Dentro",IF(DATOS_[[Check Equiparado]:[Check Equiparado]]="Sí",IF(DATOS!AZ$4="Sí",(1/DATOS_[[% anualiz]:[% anualiz]]),1)*IF(DATOS!AZ$5="Sí",1/DATOS_[[% normaliz]:[% normaliz]],1)*(DATOS_[Conc.Sal.22])))))))), 0)</f>
        <v>0</v>
      </c>
      <c r="AF41" s="250" t="n">
        <f aca="false" t="array" ref="AF41:AF41">IFERROR( (MEDIAN((IF(DATOS_[[Sexo]:[Sexo]]=$B41,IF(DATOS_[[AGRUP. VALOR. PTO.]:[AGRUP. VALOR. PTO.]]=$B39,IF(DATOS_[[Check Periodo Ref.]:[Check Periodo Ref.]]="Dentro",IF(DATOS_[[Check Equiparado]:[Check Equiparado]]="Sí",IF(DATOS!BA$4="Sí",(1/DATOS_[[% anualiz]:[% anualiz]]),1)*IF(DATOS!BA$5="Sí",1/DATOS_[[% normaliz]:[% normaliz]],1)*(DATOS_[Conc.Sal.23])))))))), 0)</f>
        <v>0</v>
      </c>
      <c r="AG41" s="250" t="n">
        <f aca="false" t="array" ref="AG41:AG41">IFERROR( (MEDIAN((IF(DATOS_[[Sexo]:[Sexo]]=$B41,IF(DATOS_[[AGRUP. VALOR. PTO.]:[AGRUP. VALOR. PTO.]]=$B39,IF(DATOS_[[Check Periodo Ref.]:[Check Periodo Ref.]]="Dentro",IF(DATOS_[[Check Equiparado]:[Check Equiparado]]="Sí",IF(DATOS!BB$4="Sí",(1/DATOS_[[% anualiz]:[% anualiz]]),1)*IF(DATOS!BB$5="Sí",1/DATOS_[[% normaliz]:[% normaliz]],1)*(DATOS_[Conc.Sal.24])))))))), 0)</f>
        <v>0</v>
      </c>
      <c r="AH41" s="250" t="n">
        <f aca="false" t="array" ref="AH41:AH41">IFERROR( (MEDIAN((IF(DATOS_[[Sexo]:[Sexo]]=$B41,IF(DATOS_[[AGRUP. VALOR. PTO.]:[AGRUP. VALOR. PTO.]]=$B39,IF(DATOS_[[Check Periodo Ref.]:[Check Periodo Ref.]]="Dentro",IF(DATOS_[[Check Equiparado]:[Check Equiparado]]="Sí",IF(DATOS!BC$4="Sí",(1/DATOS_[[% anualiz]:[% anualiz]]),1)*IF(DATOS!BC$5="Sí",1/DATOS_[[% normaliz]:[% normaliz]],1)*(DATOS_[Conc.Sal.25])))))))), 0)</f>
        <v>0</v>
      </c>
      <c r="AI41" s="250" t="n">
        <f aca="false" t="array" ref="AI41:AI41">IFERROR( (MEDIAN((IF(DATOS_[[Sexo]:[Sexo]]=$B41,IF(DATOS_[[AGRUP. VALOR. PTO.]:[AGRUP. VALOR. PTO.]]=$B39,IF(DATOS_[[Check Periodo Ref.]:[Check Periodo Ref.]]="Dentro",IF(DATOS_[[Check Equiparado]:[Check Equiparado]]="Sí",IF(DATOS!BD$4="Sí",(1/DATOS_[[% anualiz]:[% anualiz]]),1)*IF(DATOS!BD$5="Sí",1/DATOS_[[% normaliz]:[% normaliz]],1)*(DATOS_[Conc.Sal.26])))))))), 0)</f>
        <v>0</v>
      </c>
      <c r="AJ41" s="250" t="n">
        <f aca="false" t="array" ref="AJ41:AJ41">IFERROR( (MEDIAN((IF(DATOS_[[Sexo]:[Sexo]]=$B41,IF(DATOS_[[AGRUP. VALOR. PTO.]:[AGRUP. VALOR. PTO.]]=$B39,IF(DATOS_[[Check Periodo Ref.]:[Check Periodo Ref.]]="Dentro",IF(DATOS_[[Check Equiparado]:[Check Equiparado]]="Sí",IF(DATOS!BE$4="Sí",(1/DATOS_[[% anualiz]:[% anualiz]]),1)*IF(DATOS!BE$5="Sí",1/DATOS_[[% normaliz]:[% normaliz]],1)*(DATOS_[Conc.Sal.27])))))))), 0)</f>
        <v>0</v>
      </c>
      <c r="AK41" s="250" t="n">
        <f aca="false" t="array" ref="AK41:AK41">IFERROR( (MEDIAN((IF(DATOS_[[Sexo]:[Sexo]]=$B41,IF(DATOS_[[AGRUP. VALOR. PTO.]:[AGRUP. VALOR. PTO.]]=$B39,IF(DATOS_[[Check Periodo Ref.]:[Check Periodo Ref.]]="Dentro",IF(DATOS_[[Check Equiparado]:[Check Equiparado]]="Sí",IF(DATOS!BF$4="Sí",(1/DATOS_[[% anualiz]:[% anualiz]]),1)*IF(DATOS!BF$5="Sí",1/DATOS_[[% normaliz]:[% normaliz]],1)*(DATOS_[Conc.Sal.28])))))))), 0)</f>
        <v>0</v>
      </c>
      <c r="AL41" s="250" t="n">
        <f aca="false" t="array" ref="AL41:AL41">IFERROR( (MEDIAN((IF(DATOS_[[Sexo]:[Sexo]]=$B41,IF(DATOS_[[AGRUP. VALOR. PTO.]:[AGRUP. VALOR. PTO.]]=$B39,IF(DATOS_[[Check Periodo Ref.]:[Check Periodo Ref.]]="Dentro",IF(DATOS_[[Check Equiparado]:[Check Equiparado]]="Sí",IF(DATOS!BG$4="Sí",(1/DATOS_[[% anualiz]:[% anualiz]]),1)*IF(DATOS!BG$5="Sí",1/DATOS_[[% normaliz]:[% normaliz]],1)*(DATOS_[Conc.Sal.29])))))))), 0)</f>
        <v>0</v>
      </c>
      <c r="AM41" s="250" t="n">
        <f aca="false" t="array" ref="AM41:AM41">IFERROR( (MEDIAN((IF(DATOS_[[Sexo]:[Sexo]]=$B41,IF(DATOS_[[AGRUP. VALOR. PTO.]:[AGRUP. VALOR. PTO.]]=$B39,IF(DATOS_[[Check Periodo Ref.]:[Check Periodo Ref.]]="Dentro",IF(DATOS_[[Check Equiparado]:[Check Equiparado]]="Sí",IF(DATOS!BH$4="Sí",(1/DATOS_[[% anualiz]:[% anualiz]]),1)*IF(DATOS!BH$5="Sí",1/DATOS_[[% normaliz]:[% normaliz]],1)*(DATOS_[Conc.Sal.30])))))))), 0)</f>
        <v>0</v>
      </c>
      <c r="AN41" s="251" t="n">
        <f aca="false" t="array" ref="AN41:AN41">IFERROR( MEDIAN(IF(DATOS_[Sexo]=$B41,IF(DATOS_[[AGRUP. VALOR. PTO.]:[AGRUP. VALOR. PTO.]]=$B39,IF(DATOS_[Check Equiparado]="Sí",IF(DATOS_[Check Periodo Ref.]="Dentro",DATOS_[Tot COMPL.SAL Eq],0))))), 0)</f>
        <v>0</v>
      </c>
      <c r="AO41" s="252" t="n">
        <f aca="false" t="array" ref="AO41:AO41">IFERROR( MEDIAN(IF(DATOS_[Sexo]=$B41,IF(DATOS_[[AGRUP. VALOR. PTO.]:[AGRUP. VALOR. PTO.]]=$B39,IF(DATOS_[Check Equiparado]="Sí",IF(DATOS_[Check Periodo Ref.]="Dentro",DATOS_[TOTAL SALARIO Eq],0))))), 0)</f>
        <v>0</v>
      </c>
      <c r="AP41" s="259" t="n">
        <f aca="false" t="array" ref="AP41:AP41">IFERROR( (MEDIAN((IF(DATOS_[[Sexo]:[Sexo]]=$B41,IF(DATOS_[[AGRUP. VALOR. PTO.]:[AGRUP. VALOR. PTO.]]=$B40,IF(DATOS_[[Check Periodo Ref.]:[Check Periodo Ref.]]="Dentro",IF(DATOS_[[Check Equiparado]:[Check Equiparado]]="Sí",IF(DATOS!BI$4="Sí",(1/DATOS_[[% anualiz]:[% anualiz]]),1)*IF(DATOS!BI$5="Sí",1/DATOS_[[% normaliz]:[% normaliz]],1)*(DATOS_[C.Extra.01])))))))), 0)</f>
        <v>0</v>
      </c>
      <c r="AQ41" s="259" t="n">
        <f aca="false" t="array" ref="AQ41:AQ41">IFERROR( (MEDIAN((IF(DATOS_[[Sexo]:[Sexo]]=$B41,IF(DATOS_[[AGRUP. VALOR. PTO.]:[AGRUP. VALOR. PTO.]]=$B40,IF(DATOS_[[Check Periodo Ref.]:[Check Periodo Ref.]]="Dentro",IF(DATOS_[[Check Equiparado]:[Check Equiparado]]="Sí",IF(DATOS!BJ$4="Sí",(1/DATOS_[[% anualiz]:[% anualiz]]),1)*IF(DATOS!BJ$5="Sí",1/DATOS_[[% normaliz]:[% normaliz]],1)*(DATOS_[C.Extra.02])))))))), 0)</f>
        <v>0</v>
      </c>
      <c r="AR41" s="259" t="n">
        <f aca="false" t="array" ref="AR41:AR41">IFERROR( (MEDIAN((IF(DATOS_[[Sexo]:[Sexo]]=$B41,IF(DATOS_[[AGRUP. VALOR. PTO.]:[AGRUP. VALOR. PTO.]]=$B40,IF(DATOS_[[Check Periodo Ref.]:[Check Periodo Ref.]]="Dentro",IF(DATOS_[[Check Equiparado]:[Check Equiparado]]="Sí",IF(DATOS!BK$4="Sí",(1/DATOS_[[% anualiz]:[% anualiz]]),1)*IF(DATOS!BK$5="Sí",1/DATOS_[[% normaliz]:[% normaliz]],1)*(DATOS_[C.Extra.03])))))))), 0)</f>
        <v>0</v>
      </c>
      <c r="AS41" s="259" t="n">
        <f aca="false" t="array" ref="AS41:AS41">IFERROR( (MEDIAN((IF(DATOS_[[Sexo]:[Sexo]]=$B41,IF(DATOS_[[AGRUP. VALOR. PTO.]:[AGRUP. VALOR. PTO.]]=$B40,IF(DATOS_[[Check Periodo Ref.]:[Check Periodo Ref.]]="Dentro",IF(DATOS_[[Check Equiparado]:[Check Equiparado]]="Sí",IF(DATOS!BL$4="Sí",(1/DATOS_[[% anualiz]:[% anualiz]]),1)*IF(DATOS!BL$5="Sí",1/DATOS_[[% normaliz]:[% normaliz]],1)*(DATOS_[C.Extra.04])))))))), 0)</f>
        <v>0</v>
      </c>
      <c r="AT41" s="259" t="n">
        <f aca="false" t="array" ref="AT41:AT41">IFERROR( (MEDIAN((IF(DATOS_[[Sexo]:[Sexo]]=$B41,IF(DATOS_[[AGRUP. VALOR. PTO.]:[AGRUP. VALOR. PTO.]]=$B40,IF(DATOS_[[Check Periodo Ref.]:[Check Periodo Ref.]]="Dentro",IF(DATOS_[[Check Equiparado]:[Check Equiparado]]="Sí",IF(DATOS!BM$4="Sí",(1/DATOS_[[% anualiz]:[% anualiz]]),1)*IF(DATOS!BM$5="Sí",1/DATOS_[[% normaliz]:[% normaliz]],1)*(DATOS_[C.Extra.05])))))))), 0)</f>
        <v>0</v>
      </c>
      <c r="AU41" s="254" t="n">
        <f aca="false" t="array" ref="AU41:AU41">IFERROR( MEDIAN(IF(DATOS_[Sexo]=$B41,IF(DATOS_[[AGRUP. VALOR. PTO.]:[AGRUP. VALOR. PTO.]]=$B39,IF(DATOS_[Check Equiparado]="Sí",IF(DATOS_[Check Periodo Ref.]="Dentro",DATOS_[Tot Extrasalarial Eq],0))))), 0)</f>
        <v>0</v>
      </c>
      <c r="AV41" s="255" t="n">
        <f aca="false" t="array" ref="AV41:AV41">IFERROR( MEDIAN(IF(DATOS_[Sexo]=$B41,IF(DATOS_[[AGRUP. VALOR. PTO.]:[AGRUP. VALOR. PTO.]]=$B39,IF(DATOS_[Check Equiparado]="Sí",IF(DATOS_[Check Periodo Ref.]="Dentro",DATOS_[TOTAL Retrib Eq],0))))), 0)</f>
        <v>0</v>
      </c>
    </row>
    <row r="42" customFormat="false" ht="15.75" hidden="false" customHeight="false" outlineLevel="0" collapsed="false">
      <c r="A42" s="217" t="str">
        <f aca="false">+A43</f>
        <v>[ocultar]</v>
      </c>
      <c r="B42" s="320" t="s">
        <v>196</v>
      </c>
      <c r="C42" s="236"/>
      <c r="D42" s="237"/>
      <c r="E42" s="237"/>
      <c r="F42" s="237"/>
      <c r="G42" s="237"/>
      <c r="H42" s="237"/>
      <c r="I42" s="238" t="str">
        <f aca="false">IFERROR((I43-I44)/I43,"")</f>
        <v/>
      </c>
      <c r="J42" s="239" t="str">
        <f aca="false">IFERROR((J43-J44)/J43,"")</f>
        <v/>
      </c>
      <c r="K42" s="239" t="str">
        <f aca="false">IFERROR((K43-K44)/K43,"")</f>
        <v/>
      </c>
      <c r="L42" s="239" t="str">
        <f aca="false">IFERROR((L43-L44)/L43,"")</f>
        <v/>
      </c>
      <c r="M42" s="239" t="str">
        <f aca="false">IFERROR((M43-M44)/M43,"")</f>
        <v/>
      </c>
      <c r="N42" s="239" t="str">
        <f aca="false">IFERROR((N43-N44)/N43,"")</f>
        <v/>
      </c>
      <c r="O42" s="239" t="str">
        <f aca="false">IFERROR((O43-O44)/O43,"")</f>
        <v/>
      </c>
      <c r="P42" s="239" t="str">
        <f aca="false">IFERROR((P43-P44)/P43,"")</f>
        <v/>
      </c>
      <c r="Q42" s="239" t="str">
        <f aca="false">IFERROR((Q43-Q44)/Q43,"")</f>
        <v/>
      </c>
      <c r="R42" s="239" t="str">
        <f aca="false">IFERROR((R43-R44)/R43,"")</f>
        <v/>
      </c>
      <c r="S42" s="239" t="str">
        <f aca="false">IFERROR((S43-S44)/S43,"")</f>
        <v/>
      </c>
      <c r="T42" s="239" t="str">
        <f aca="false">IFERROR((T43-T44)/T43,"")</f>
        <v/>
      </c>
      <c r="U42" s="239" t="str">
        <f aca="false">IFERROR((U43-U44)/U43,"")</f>
        <v/>
      </c>
      <c r="V42" s="239" t="str">
        <f aca="false">IFERROR((V43-V44)/V43,"")</f>
        <v/>
      </c>
      <c r="W42" s="239" t="str">
        <f aca="false">IFERROR((W43-W44)/W43,"")</f>
        <v/>
      </c>
      <c r="X42" s="239" t="str">
        <f aca="false">IFERROR((X43-X44)/X43,"")</f>
        <v/>
      </c>
      <c r="Y42" s="239" t="str">
        <f aca="false">IFERROR((Y43-Y44)/Y43,"")</f>
        <v/>
      </c>
      <c r="Z42" s="240" t="str">
        <f aca="false">IFERROR((Z43-Z44)/Z43,"")</f>
        <v/>
      </c>
      <c r="AA42" s="240" t="str">
        <f aca="false">IFERROR((AA43-AA44)/AA43,"")</f>
        <v/>
      </c>
      <c r="AB42" s="240" t="str">
        <f aca="false">IFERROR((AB43-AB44)/AB43,"")</f>
        <v/>
      </c>
      <c r="AC42" s="240" t="str">
        <f aca="false">IFERROR((AC43-AC44)/AC43,"")</f>
        <v/>
      </c>
      <c r="AD42" s="240" t="str">
        <f aca="false">IFERROR((AD43-AD44)/AD43,"")</f>
        <v/>
      </c>
      <c r="AE42" s="240" t="str">
        <f aca="false">IFERROR((AE43-AE44)/AE43,"")</f>
        <v/>
      </c>
      <c r="AF42" s="240" t="str">
        <f aca="false">IFERROR((AF43-AF44)/AF43,"")</f>
        <v/>
      </c>
      <c r="AG42" s="240" t="str">
        <f aca="false">IFERROR((AG43-AG44)/AG43,"")</f>
        <v/>
      </c>
      <c r="AH42" s="240" t="str">
        <f aca="false">IFERROR((AH43-AH44)/AH43,"")</f>
        <v/>
      </c>
      <c r="AI42" s="240" t="str">
        <f aca="false">IFERROR((AI43-AI44)/AI43,"")</f>
        <v/>
      </c>
      <c r="AJ42" s="240" t="str">
        <f aca="false">IFERROR((AJ43-AJ44)/AJ43,"")</f>
        <v/>
      </c>
      <c r="AK42" s="240" t="str">
        <f aca="false">IFERROR((AK43-AK44)/AK43,"")</f>
        <v/>
      </c>
      <c r="AL42" s="240" t="str">
        <f aca="false">IFERROR((AL43-AL44)/AL43,"")</f>
        <v/>
      </c>
      <c r="AM42" s="240" t="str">
        <f aca="false">IFERROR((AM43-AM44)/AM43,"")</f>
        <v/>
      </c>
      <c r="AN42" s="241" t="str">
        <f aca="false">IFERROR((AN43-AN44)/AN43,"")</f>
        <v/>
      </c>
      <c r="AO42" s="242" t="str">
        <f aca="false">IFERROR((AO43-AO44)/AO43,"")</f>
        <v/>
      </c>
      <c r="AP42" s="243" t="str">
        <f aca="false">IFERROR((AP43-AP44)/AP43,"")</f>
        <v/>
      </c>
      <c r="AQ42" s="243" t="str">
        <f aca="false">IFERROR((AQ43-AQ44)/AQ43,"")</f>
        <v/>
      </c>
      <c r="AR42" s="243" t="str">
        <f aca="false">IFERROR((AR43-AR44)/AR43,"")</f>
        <v/>
      </c>
      <c r="AS42" s="243" t="str">
        <f aca="false">IFERROR((AS43-AS44)/AS43,"")</f>
        <v/>
      </c>
      <c r="AT42" s="243" t="str">
        <f aca="false">IFERROR((AT43-AT44)/AT43,"")</f>
        <v/>
      </c>
      <c r="AU42" s="244" t="str">
        <f aca="false">IFERROR((AU43-AU44)/AU43,"")</f>
        <v/>
      </c>
      <c r="AV42" s="245" t="str">
        <f aca="false">IFERROR((AV43-AV44)/AV43,"")</f>
        <v/>
      </c>
    </row>
    <row r="43" customFormat="false" ht="14.25" hidden="false" customHeight="false" outlineLevel="0" collapsed="false">
      <c r="A43" s="217" t="str">
        <f aca="false">+IF(C43+C44=0,"[ocultar]","")</f>
        <v>[ocultar]</v>
      </c>
      <c r="B43" s="323" t="s">
        <v>371</v>
      </c>
      <c r="C43" s="247" t="n">
        <f aca="false" t="array" ref="C43:C43">SUM(IF($B43=DATOS_[Sexo], IF($B42=DATOS_[AGRUP. VALOR. PTO.], IF("Dentro"=DATOS_[Check Periodo Ref.], 1/(COUNTIFS(DATOS_[Sexo],$B43,DATOS_[AGRUP. VALOR. PTO.],$B42,DATOS_[Check Periodo Ref.],"Dentro",DATOS_[id],DATOS_[id]))))))</f>
        <v>0</v>
      </c>
      <c r="D43" s="248" t="n">
        <f aca="false">COUNTIFS(DATOS_[AGRUP. VALOR. PTO.],$B42,DATOS_[Sexo],$B43,DATOS_[Check Periodo Ref.],"Dentro")</f>
        <v>0</v>
      </c>
      <c r="E43" s="248" t="n">
        <f aca="false">COUNTIFS(DATOS_[AGRUP. VALOR. PTO.],$B42,DATOS_[Sexo],$B43,DATOS_[Check Periodo Ref.],"Dentro",DATOS_[Check Nº SC Norm],"Sí")</f>
        <v>0</v>
      </c>
      <c r="F43" s="248" t="n">
        <f aca="false">COUNTIFS(DATOS_[AGRUP. VALOR. PTO.],$B42,DATOS_[Sexo],$B43,DATOS_[Check Periodo Ref.],"Dentro",DATOS_[Check Nº SC Anualiz],"Sí")</f>
        <v>0</v>
      </c>
      <c r="G43" s="248" t="n">
        <f aca="false">COUNTIFS(DATOS_[AGRUP. VALOR. PTO.],$B42,DATOS_[Sexo],$B43,DATOS_[Check Periodo Ref.],"Dentro",DATOS_[Check Nº SC Norm y Anualiz],"Sí")</f>
        <v>0</v>
      </c>
      <c r="H43" s="248" t="n">
        <f aca="false">COUNTIFS(DATOS_[AGRUP. VALOR. PTO.],$B42,DATOS_[Sexo],$B43,DATOS_[Check Periodo Ref.],"Dentro",DATOS_[Check Equiparación],"Sí")</f>
        <v>0</v>
      </c>
      <c r="I43" s="249" t="n">
        <f aca="false" t="array" ref="I43:I43">IFERROR( MEDIAN(IF(DATOS_[Sexo]=$B43,IF(DATOS_[[AGRUP. VALOR. PTO.]:[AGRUP. VALOR. PTO.]]=$B42,IF(DATOS_[Check Equiparado]="Sí",IF(DATOS_[Check Periodo Ref.]="Dentro",DATOS_[SALARIO BASE Eq],0))))), 0)</f>
        <v>0</v>
      </c>
      <c r="J43" s="250" t="n">
        <f aca="false" t="array" ref="J43:J43">IFERROR( (MEDIAN((IF(DATOS_[[Sexo]:[Sexo]]=$B43,IF(DATOS_[[AGRUP. VALOR. PTO.]:[AGRUP. VALOR. PTO.]]=$B42,IF(DATOS_[[Check Periodo Ref.]:[Check Periodo Ref.]]="Dentro",IF(DATOS_[[Check Equiparado]:[Check Equiparado]]="Sí",IF(DATOS!AE$4="Sí",(1/DATOS_[[% anualiz]:[% anualiz]]),1)*IF(DATOS!AE$5="Sí",1/DATOS_[[% normaliz]:[% normaliz]],1)*(DATOS_[Conc.Sal.01])))))))), 0)</f>
        <v>0</v>
      </c>
      <c r="K43" s="250" t="n">
        <f aca="false" t="array" ref="K43:K43">IFERROR( (MEDIAN((IF(DATOS_[[Sexo]:[Sexo]]=$B43,IF(DATOS_[[AGRUP. VALOR. PTO.]:[AGRUP. VALOR. PTO.]]=$B42,IF(DATOS_[[Check Periodo Ref.]:[Check Periodo Ref.]]="Dentro",IF(DATOS_[[Check Equiparado]:[Check Equiparado]]="Sí",IF(DATOS!AF$4="Sí",(1/DATOS_[[% anualiz]:[% anualiz]]),1)*IF(DATOS!AF$5="Sí",1/DATOS_[[% normaliz]:[% normaliz]],1)*(DATOS_[Conc.Sal.02])))))))), 0)</f>
        <v>0</v>
      </c>
      <c r="L43" s="250" t="n">
        <f aca="false" t="array" ref="L43:L43">IFERROR( (MEDIAN((IF(DATOS_[[Sexo]:[Sexo]]=$B43,IF(DATOS_[[AGRUP. VALOR. PTO.]:[AGRUP. VALOR. PTO.]]=$B42,IF(DATOS_[[Check Periodo Ref.]:[Check Periodo Ref.]]="Dentro",IF(DATOS_[[Check Equiparado]:[Check Equiparado]]="Sí",IF(DATOS!AG$4="Sí",(1/DATOS_[[% anualiz]:[% anualiz]]),1)*IF(DATOS!AG$5="Sí",1/DATOS_[[% normaliz]:[% normaliz]],1)*(DATOS_[Conc.Sal.03])))))))), 0)</f>
        <v>0</v>
      </c>
      <c r="M43" s="250" t="n">
        <f aca="false" t="array" ref="M43:M43">IFERROR( (MEDIAN((IF(DATOS_[[Sexo]:[Sexo]]=$B43,IF(DATOS_[[AGRUP. VALOR. PTO.]:[AGRUP. VALOR. PTO.]]=$B42,IF(DATOS_[[Check Periodo Ref.]:[Check Periodo Ref.]]="Dentro",IF(DATOS_[[Check Equiparado]:[Check Equiparado]]="Sí",IF(DATOS!AH$4="Sí",(1/DATOS_[[% anualiz]:[% anualiz]]),1)*IF(DATOS!AH$5="Sí",1/DATOS_[[% normaliz]:[% normaliz]],1)*(DATOS_[Conc.Sal.04])))))))), 0)</f>
        <v>0</v>
      </c>
      <c r="N43" s="250" t="n">
        <f aca="false" t="array" ref="N43:N43">IFERROR( (MEDIAN((IF(DATOS_[[Sexo]:[Sexo]]=$B43,IF(DATOS_[[AGRUP. VALOR. PTO.]:[AGRUP. VALOR. PTO.]]=$B42,IF(DATOS_[[Check Periodo Ref.]:[Check Periodo Ref.]]="Dentro",IF(DATOS_[[Check Equiparado]:[Check Equiparado]]="Sí",IF(DATOS!AI$4="Sí",(1/DATOS_[[% anualiz]:[% anualiz]]),1)*IF(DATOS!AI$5="Sí",1/DATOS_[[% normaliz]:[% normaliz]],1)*(DATOS_[Conc.Sal.05])))))))), 0)</f>
        <v>0</v>
      </c>
      <c r="O43" s="250" t="n">
        <f aca="false" t="array" ref="O43:O43">IFERROR( (MEDIAN((IF(DATOS_[[Sexo]:[Sexo]]=$B43,IF(DATOS_[[AGRUP. VALOR. PTO.]:[AGRUP. VALOR. PTO.]]=$B42,IF(DATOS_[[Check Periodo Ref.]:[Check Periodo Ref.]]="Dentro",IF(DATOS_[[Check Equiparado]:[Check Equiparado]]="Sí",IF(DATOS!AJ$4="Sí",(1/DATOS_[[% anualiz]:[% anualiz]]),1)*IF(DATOS!AJ$5="Sí",1/DATOS_[[% normaliz]:[% normaliz]],1)*(DATOS_[Conc.Sal.06])))))))), 0)</f>
        <v>0</v>
      </c>
      <c r="P43" s="250" t="n">
        <f aca="false" t="array" ref="P43:P43">IFERROR( (MEDIAN((IF(DATOS_[[Sexo]:[Sexo]]=$B43,IF(DATOS_[[AGRUP. VALOR. PTO.]:[AGRUP. VALOR. PTO.]]=$B42,IF(DATOS_[[Check Periodo Ref.]:[Check Periodo Ref.]]="Dentro",IF(DATOS_[[Check Equiparado]:[Check Equiparado]]="Sí",IF(DATOS!AK$4="Sí",(1/DATOS_[[% anualiz]:[% anualiz]]),1)*IF(DATOS!AK$5="Sí",1/DATOS_[[% normaliz]:[% normaliz]],1)*(DATOS_[Conc.Sal.07])))))))), 0)</f>
        <v>0</v>
      </c>
      <c r="Q43" s="250" t="n">
        <f aca="false" t="array" ref="Q43:Q43">IFERROR( (MEDIAN((IF(DATOS_[[Sexo]:[Sexo]]=$B43,IF(DATOS_[[AGRUP. VALOR. PTO.]:[AGRUP. VALOR. PTO.]]=$B42,IF(DATOS_[[Check Periodo Ref.]:[Check Periodo Ref.]]="Dentro",IF(DATOS_[[Check Equiparado]:[Check Equiparado]]="Sí",IF(DATOS!AL$4="Sí",(1/DATOS_[[% anualiz]:[% anualiz]]),1)*IF(DATOS!AL$5="Sí",1/DATOS_[[% normaliz]:[% normaliz]],1)*(DATOS_[Conc.Sal.08])))))))), 0)</f>
        <v>0</v>
      </c>
      <c r="R43" s="250" t="n">
        <f aca="false" t="array" ref="R43:R43">IFERROR( (MEDIAN((IF(DATOS_[[Sexo]:[Sexo]]=$B43,IF(DATOS_[[AGRUP. VALOR. PTO.]:[AGRUP. VALOR. PTO.]]=$B42,IF(DATOS_[[Check Periodo Ref.]:[Check Periodo Ref.]]="Dentro",IF(DATOS_[[Check Equiparado]:[Check Equiparado]]="Sí",IF(DATOS!AM$4="Sí",(1/DATOS_[[% anualiz]:[% anualiz]]),1)*IF(DATOS!AM$5="Sí",1/DATOS_[[% normaliz]:[% normaliz]],1)*(DATOS_[Conc.Sal.09])))))))), 0)</f>
        <v>0</v>
      </c>
      <c r="S43" s="250" t="n">
        <f aca="false" t="array" ref="S43:S43">IFERROR( (MEDIAN((IF(DATOS_[[Sexo]:[Sexo]]=$B43,IF(DATOS_[[AGRUP. VALOR. PTO.]:[AGRUP. VALOR. PTO.]]=$B42,IF(DATOS_[[Check Periodo Ref.]:[Check Periodo Ref.]]="Dentro",IF(DATOS_[[Check Equiparado]:[Check Equiparado]]="Sí",IF(DATOS!AN$4="Sí",(1/DATOS_[[% anualiz]:[% anualiz]]),1)*IF(DATOS!AN$5="Sí",1/DATOS_[[% normaliz]:[% normaliz]],1)*(DATOS_[Conc.Sal.10])))))))), 0)</f>
        <v>0</v>
      </c>
      <c r="T43" s="250" t="n">
        <f aca="false" t="array" ref="T43:T43">IFERROR( (MEDIAN((IF(DATOS_[[Sexo]:[Sexo]]=$B43,IF(DATOS_[[AGRUP. VALOR. PTO.]:[AGRUP. VALOR. PTO.]]=$B42,IF(DATOS_[[Check Periodo Ref.]:[Check Periodo Ref.]]="Dentro",IF(DATOS_[[Check Equiparado]:[Check Equiparado]]="Sí",IF(DATOS!AO$4="Sí",(1/DATOS_[[% anualiz]:[% anualiz]]),1)*IF(DATOS!AO$5="Sí",1/DATOS_[[% normaliz]:[% normaliz]],1)*(DATOS_[Conc.Sal.11])))))))), 0)</f>
        <v>0</v>
      </c>
      <c r="U43" s="250" t="n">
        <f aca="false" t="array" ref="U43:U43">IFERROR( (MEDIAN((IF(DATOS_[[Sexo]:[Sexo]]=$B43,IF(DATOS_[[AGRUP. VALOR. PTO.]:[AGRUP. VALOR. PTO.]]=$B42,IF(DATOS_[[Check Periodo Ref.]:[Check Periodo Ref.]]="Dentro",IF(DATOS_[[Check Equiparado]:[Check Equiparado]]="Sí",IF(DATOS!AP$4="Sí",(1/DATOS_[[% anualiz]:[% anualiz]]),1)*IF(DATOS!AP$5="Sí",1/DATOS_[[% normaliz]:[% normaliz]],1)*(DATOS_[Conc.Sal.12])))))))), 0)</f>
        <v>0</v>
      </c>
      <c r="V43" s="250" t="n">
        <f aca="false" t="array" ref="V43:V43">IFERROR( (MEDIAN((IF(DATOS_[[Sexo]:[Sexo]]=$B43,IF(DATOS_[[AGRUP. VALOR. PTO.]:[AGRUP. VALOR. PTO.]]=$B42,IF(DATOS_[[Check Periodo Ref.]:[Check Periodo Ref.]]="Dentro",IF(DATOS_[[Check Equiparado]:[Check Equiparado]]="Sí",IF(DATOS!AQ$4="Sí",(1/DATOS_[[% anualiz]:[% anualiz]]),1)*IF(DATOS!AQ$5="Sí",1/DATOS_[[% normaliz]:[% normaliz]],1)*(DATOS_[Conc.Sal.13])))))))), 0)</f>
        <v>0</v>
      </c>
      <c r="W43" s="250" t="n">
        <f aca="false" t="array" ref="W43:W43">IFERROR( (MEDIAN((IF(DATOS_[[Sexo]:[Sexo]]=$B43,IF(DATOS_[[AGRUP. VALOR. PTO.]:[AGRUP. VALOR. PTO.]]=$B42,IF(DATOS_[[Check Periodo Ref.]:[Check Periodo Ref.]]="Dentro",IF(DATOS_[[Check Equiparado]:[Check Equiparado]]="Sí",IF(DATOS!AR$4="Sí",(1/DATOS_[[% anualiz]:[% anualiz]]),1)*IF(DATOS!AR$5="Sí",1/DATOS_[[% normaliz]:[% normaliz]],1)*(DATOS_[Conc.Sal.14])))))))), 0)</f>
        <v>0</v>
      </c>
      <c r="X43" s="250" t="n">
        <f aca="false" t="array" ref="X43:X43">IFERROR( (MEDIAN((IF(DATOS_[[Sexo]:[Sexo]]=$B43,IF(DATOS_[[AGRUP. VALOR. PTO.]:[AGRUP. VALOR. PTO.]]=$B42,IF(DATOS_[[Check Periodo Ref.]:[Check Periodo Ref.]]="Dentro",IF(DATOS_[[Check Equiparado]:[Check Equiparado]]="Sí",IF(DATOS!AS$4="Sí",(1/DATOS_[[% anualiz]:[% anualiz]]),1)*IF(DATOS!AS$5="Sí",1/DATOS_[[% normaliz]:[% normaliz]],1)*(DATOS_[Conc.Sal.15])))))))), 0)</f>
        <v>0</v>
      </c>
      <c r="Y43" s="250" t="n">
        <f aca="false" t="array" ref="Y43:Y43">IFERROR( (MEDIAN((IF(DATOS_[[Sexo]:[Sexo]]=$B43,IF(DATOS_[[AGRUP. VALOR. PTO.]:[AGRUP. VALOR. PTO.]]=$B42,IF(DATOS_[[Check Periodo Ref.]:[Check Periodo Ref.]]="Dentro",IF(DATOS_[[Check Equiparado]:[Check Equiparado]]="Sí",IF(DATOS!AT$4="Sí",(1/DATOS_[[% anualiz]:[% anualiz]]),1)*IF(DATOS!AT$5="Sí",1/DATOS_[[% normaliz]:[% normaliz]],1)*(DATOS_[Conc.Sal.16])))))))), 0)</f>
        <v>0</v>
      </c>
      <c r="Z43" s="250" t="n">
        <f aca="false" t="array" ref="Z43:Z43">IFERROR( (MEDIAN((IF(DATOS_[[Sexo]:[Sexo]]=$B43,IF(DATOS_[[AGRUP. VALOR. PTO.]:[AGRUP. VALOR. PTO.]]=$B42,IF(DATOS_[[Check Periodo Ref.]:[Check Periodo Ref.]]="Dentro",IF(DATOS_[[Check Equiparado]:[Check Equiparado]]="Sí",IF(DATOS!AU$4="Sí",(1/DATOS_[[% anualiz]:[% anualiz]]),1)*IF(DATOS!AU$5="Sí",1/DATOS_[[% normaliz]:[% normaliz]],1)*(DATOS_[Conc.Sal.17])))))))), 0)</f>
        <v>0</v>
      </c>
      <c r="AA43" s="250" t="n">
        <f aca="false" t="array" ref="AA43:AA43">IFERROR( (MEDIAN((IF(DATOS_[[Sexo]:[Sexo]]=$B43,IF(DATOS_[[AGRUP. VALOR. PTO.]:[AGRUP. VALOR. PTO.]]=$B42,IF(DATOS_[[Check Periodo Ref.]:[Check Periodo Ref.]]="Dentro",IF(DATOS_[[Check Equiparado]:[Check Equiparado]]="Sí",IF(DATOS!AV$4="Sí",(1/DATOS_[[% anualiz]:[% anualiz]]),1)*IF(DATOS!AV$5="Sí",1/DATOS_[[% normaliz]:[% normaliz]],1)*(DATOS_[Conc.Sal.18])))))))), 0)</f>
        <v>0</v>
      </c>
      <c r="AB43" s="250" t="n">
        <f aca="false" t="array" ref="AB43:AB43">IFERROR( (MEDIAN((IF(DATOS_[[Sexo]:[Sexo]]=$B43,IF(DATOS_[[AGRUP. VALOR. PTO.]:[AGRUP. VALOR. PTO.]]=$B42,IF(DATOS_[[Check Periodo Ref.]:[Check Periodo Ref.]]="Dentro",IF(DATOS_[[Check Equiparado]:[Check Equiparado]]="Sí",IF(DATOS!AW$4="Sí",(1/DATOS_[[% anualiz]:[% anualiz]]),1)*IF(DATOS!AW$5="Sí",1/DATOS_[[% normaliz]:[% normaliz]],1)*(DATOS_[Conc.Sal.19])))))))), 0)</f>
        <v>0</v>
      </c>
      <c r="AC43" s="250" t="n">
        <f aca="false" t="array" ref="AC43:AC43">IFERROR( (MEDIAN((IF(DATOS_[[Sexo]:[Sexo]]=$B43,IF(DATOS_[[AGRUP. VALOR. PTO.]:[AGRUP. VALOR. PTO.]]=$B42,IF(DATOS_[[Check Periodo Ref.]:[Check Periodo Ref.]]="Dentro",IF(DATOS_[[Check Equiparado]:[Check Equiparado]]="Sí",IF(DATOS!AX$4="Sí",(1/DATOS_[[% anualiz]:[% anualiz]]),1)*IF(DATOS!AX$5="Sí",1/DATOS_[[% normaliz]:[% normaliz]],1)*(DATOS_[Conc.Sal.20])))))))), 0)</f>
        <v>0</v>
      </c>
      <c r="AD43" s="250" t="n">
        <f aca="false" t="array" ref="AD43:AD43">IFERROR( (MEDIAN((IF(DATOS_[[Sexo]:[Sexo]]=$B43,IF(DATOS_[[AGRUP. VALOR. PTO.]:[AGRUP. VALOR. PTO.]]=$B42,IF(DATOS_[[Check Periodo Ref.]:[Check Periodo Ref.]]="Dentro",IF(DATOS_[[Check Equiparado]:[Check Equiparado]]="Sí",IF(DATOS!AY$4="Sí",(1/DATOS_[[% anualiz]:[% anualiz]]),1)*IF(DATOS!AY$5="Sí",1/DATOS_[[% normaliz]:[% normaliz]],1)*(DATOS_[Conc.Sal.21])))))))), 0)</f>
        <v>0</v>
      </c>
      <c r="AE43" s="250" t="n">
        <f aca="false" t="array" ref="AE43:AE43">IFERROR( (MEDIAN((IF(DATOS_[[Sexo]:[Sexo]]=$B43,IF(DATOS_[[AGRUP. VALOR. PTO.]:[AGRUP. VALOR. PTO.]]=$B42,IF(DATOS_[[Check Periodo Ref.]:[Check Periodo Ref.]]="Dentro",IF(DATOS_[[Check Equiparado]:[Check Equiparado]]="Sí",IF(DATOS!AZ$4="Sí",(1/DATOS_[[% anualiz]:[% anualiz]]),1)*IF(DATOS!AZ$5="Sí",1/DATOS_[[% normaliz]:[% normaliz]],1)*(DATOS_[Conc.Sal.22])))))))), 0)</f>
        <v>0</v>
      </c>
      <c r="AF43" s="250" t="n">
        <f aca="false" t="array" ref="AF43:AF43">IFERROR( (MEDIAN((IF(DATOS_[[Sexo]:[Sexo]]=$B43,IF(DATOS_[[AGRUP. VALOR. PTO.]:[AGRUP. VALOR. PTO.]]=$B42,IF(DATOS_[[Check Periodo Ref.]:[Check Periodo Ref.]]="Dentro",IF(DATOS_[[Check Equiparado]:[Check Equiparado]]="Sí",IF(DATOS!BA$4="Sí",(1/DATOS_[[% anualiz]:[% anualiz]]),1)*IF(DATOS!BA$5="Sí",1/DATOS_[[% normaliz]:[% normaliz]],1)*(DATOS_[Conc.Sal.23])))))))), 0)</f>
        <v>0</v>
      </c>
      <c r="AG43" s="250" t="n">
        <f aca="false" t="array" ref="AG43:AG43">IFERROR( (MEDIAN((IF(DATOS_[[Sexo]:[Sexo]]=$B43,IF(DATOS_[[AGRUP. VALOR. PTO.]:[AGRUP. VALOR. PTO.]]=$B42,IF(DATOS_[[Check Periodo Ref.]:[Check Periodo Ref.]]="Dentro",IF(DATOS_[[Check Equiparado]:[Check Equiparado]]="Sí",IF(DATOS!BB$4="Sí",(1/DATOS_[[% anualiz]:[% anualiz]]),1)*IF(DATOS!BB$5="Sí",1/DATOS_[[% normaliz]:[% normaliz]],1)*(DATOS_[Conc.Sal.24])))))))), 0)</f>
        <v>0</v>
      </c>
      <c r="AH43" s="250" t="n">
        <f aca="false" t="array" ref="AH43:AH43">IFERROR( (MEDIAN((IF(DATOS_[[Sexo]:[Sexo]]=$B43,IF(DATOS_[[AGRUP. VALOR. PTO.]:[AGRUP. VALOR. PTO.]]=$B42,IF(DATOS_[[Check Periodo Ref.]:[Check Periodo Ref.]]="Dentro",IF(DATOS_[[Check Equiparado]:[Check Equiparado]]="Sí",IF(DATOS!BC$4="Sí",(1/DATOS_[[% anualiz]:[% anualiz]]),1)*IF(DATOS!BC$5="Sí",1/DATOS_[[% normaliz]:[% normaliz]],1)*(DATOS_[Conc.Sal.25])))))))), 0)</f>
        <v>0</v>
      </c>
      <c r="AI43" s="250" t="n">
        <f aca="false" t="array" ref="AI43:AI43">IFERROR( (MEDIAN((IF(DATOS_[[Sexo]:[Sexo]]=$B43,IF(DATOS_[[AGRUP. VALOR. PTO.]:[AGRUP. VALOR. PTO.]]=$B42,IF(DATOS_[[Check Periodo Ref.]:[Check Periodo Ref.]]="Dentro",IF(DATOS_[[Check Equiparado]:[Check Equiparado]]="Sí",IF(DATOS!BD$4="Sí",(1/DATOS_[[% anualiz]:[% anualiz]]),1)*IF(DATOS!BD$5="Sí",1/DATOS_[[% normaliz]:[% normaliz]],1)*(DATOS_[Conc.Sal.26])))))))), 0)</f>
        <v>0</v>
      </c>
      <c r="AJ43" s="250" t="n">
        <f aca="false" t="array" ref="AJ43:AJ43">IFERROR( (MEDIAN((IF(DATOS_[[Sexo]:[Sexo]]=$B43,IF(DATOS_[[AGRUP. VALOR. PTO.]:[AGRUP. VALOR. PTO.]]=$B42,IF(DATOS_[[Check Periodo Ref.]:[Check Periodo Ref.]]="Dentro",IF(DATOS_[[Check Equiparado]:[Check Equiparado]]="Sí",IF(DATOS!BE$4="Sí",(1/DATOS_[[% anualiz]:[% anualiz]]),1)*IF(DATOS!BE$5="Sí",1/DATOS_[[% normaliz]:[% normaliz]],1)*(DATOS_[Conc.Sal.27])))))))), 0)</f>
        <v>0</v>
      </c>
      <c r="AK43" s="250" t="n">
        <f aca="false" t="array" ref="AK43:AK43">IFERROR( (MEDIAN((IF(DATOS_[[Sexo]:[Sexo]]=$B43,IF(DATOS_[[AGRUP. VALOR. PTO.]:[AGRUP. VALOR. PTO.]]=$B42,IF(DATOS_[[Check Periodo Ref.]:[Check Periodo Ref.]]="Dentro",IF(DATOS_[[Check Equiparado]:[Check Equiparado]]="Sí",IF(DATOS!BF$4="Sí",(1/DATOS_[[% anualiz]:[% anualiz]]),1)*IF(DATOS!BF$5="Sí",1/DATOS_[[% normaliz]:[% normaliz]],1)*(DATOS_[Conc.Sal.28])))))))), 0)</f>
        <v>0</v>
      </c>
      <c r="AL43" s="250" t="n">
        <f aca="false" t="array" ref="AL43:AL43">IFERROR( (MEDIAN((IF(DATOS_[[Sexo]:[Sexo]]=$B43,IF(DATOS_[[AGRUP. VALOR. PTO.]:[AGRUP. VALOR. PTO.]]=$B42,IF(DATOS_[[Check Periodo Ref.]:[Check Periodo Ref.]]="Dentro",IF(DATOS_[[Check Equiparado]:[Check Equiparado]]="Sí",IF(DATOS!BG$4="Sí",(1/DATOS_[[% anualiz]:[% anualiz]]),1)*IF(DATOS!BG$5="Sí",1/DATOS_[[% normaliz]:[% normaliz]],1)*(DATOS_[Conc.Sal.29])))))))), 0)</f>
        <v>0</v>
      </c>
      <c r="AM43" s="250" t="n">
        <f aca="false" t="array" ref="AM43:AM43">IFERROR( (MEDIAN((IF(DATOS_[[Sexo]:[Sexo]]=$B43,IF(DATOS_[[AGRUP. VALOR. PTO.]:[AGRUP. VALOR. PTO.]]=$B42,IF(DATOS_[[Check Periodo Ref.]:[Check Periodo Ref.]]="Dentro",IF(DATOS_[[Check Equiparado]:[Check Equiparado]]="Sí",IF(DATOS!BH$4="Sí",(1/DATOS_[[% anualiz]:[% anualiz]]),1)*IF(DATOS!BH$5="Sí",1/DATOS_[[% normaliz]:[% normaliz]],1)*(DATOS_[Conc.Sal.30])))))))), 0)</f>
        <v>0</v>
      </c>
      <c r="AN43" s="251" t="n">
        <f aca="false" t="array" ref="AN43:AN43">IFERROR( MEDIAN(IF(DATOS_[Sexo]=$B43,IF(DATOS_[[AGRUP. VALOR. PTO.]:[AGRUP. VALOR. PTO.]]=$B42,IF(DATOS_[Check Equiparado]="Sí",IF(DATOS_[Check Periodo Ref.]="Dentro",DATOS_[Tot COMPL.SAL Eq],0))))), 0)</f>
        <v>0</v>
      </c>
      <c r="AO43" s="252" t="n">
        <f aca="false" t="array" ref="AO43:AO43">IFERROR( MEDIAN(IF(DATOS_[Sexo]=$B43,IF(DATOS_[[AGRUP. VALOR. PTO.]:[AGRUP. VALOR. PTO.]]=$B42,IF(DATOS_[Check Equiparado]="Sí",IF(DATOS_[Check Periodo Ref.]="Dentro",DATOS_[TOTAL SALARIO Eq],0))))), 0)</f>
        <v>0</v>
      </c>
      <c r="AP43" s="259" t="n">
        <f aca="false" t="array" ref="AP43:AP43">IFERROR( (MEDIAN((IF(DATOS_[[Sexo]:[Sexo]]=$B43,IF(DATOS_[[AGRUP. VALOR. PTO.]:[AGRUP. VALOR. PTO.]]=$B42,IF(DATOS_[[Check Periodo Ref.]:[Check Periodo Ref.]]="Dentro",IF(DATOS_[[Check Equiparado]:[Check Equiparado]]="Sí",IF(DATOS!BI$4="Sí",(1/DATOS_[[% anualiz]:[% anualiz]]),1)*IF(DATOS!BI$5="Sí",1/DATOS_[[% normaliz]:[% normaliz]],1)*(DATOS_[C.Extra.01])))))))), 0)</f>
        <v>0</v>
      </c>
      <c r="AQ43" s="259" t="n">
        <f aca="false" t="array" ref="AQ43:AQ43">IFERROR( (MEDIAN((IF(DATOS_[[Sexo]:[Sexo]]=$B43,IF(DATOS_[[AGRUP. VALOR. PTO.]:[AGRUP. VALOR. PTO.]]=$B42,IF(DATOS_[[Check Periodo Ref.]:[Check Periodo Ref.]]="Dentro",IF(DATOS_[[Check Equiparado]:[Check Equiparado]]="Sí",IF(DATOS!BJ$4="Sí",(1/DATOS_[[% anualiz]:[% anualiz]]),1)*IF(DATOS!BJ$5="Sí",1/DATOS_[[% normaliz]:[% normaliz]],1)*(DATOS_[C.Extra.02])))))))), 0)</f>
        <v>0</v>
      </c>
      <c r="AR43" s="259" t="n">
        <f aca="false" t="array" ref="AR43:AR43">IFERROR( (MEDIAN((IF(DATOS_[[Sexo]:[Sexo]]=$B43,IF(DATOS_[[AGRUP. VALOR. PTO.]:[AGRUP. VALOR. PTO.]]=$B42,IF(DATOS_[[Check Periodo Ref.]:[Check Periodo Ref.]]="Dentro",IF(DATOS_[[Check Equiparado]:[Check Equiparado]]="Sí",IF(DATOS!BK$4="Sí",(1/DATOS_[[% anualiz]:[% anualiz]]),1)*IF(DATOS!BK$5="Sí",1/DATOS_[[% normaliz]:[% normaliz]],1)*(DATOS_[C.Extra.03])))))))), 0)</f>
        <v>0</v>
      </c>
      <c r="AS43" s="259" t="n">
        <f aca="false" t="array" ref="AS43:AS43">IFERROR( (MEDIAN((IF(DATOS_[[Sexo]:[Sexo]]=$B43,IF(DATOS_[[AGRUP. VALOR. PTO.]:[AGRUP. VALOR. PTO.]]=$B42,IF(DATOS_[[Check Periodo Ref.]:[Check Periodo Ref.]]="Dentro",IF(DATOS_[[Check Equiparado]:[Check Equiparado]]="Sí",IF(DATOS!BL$4="Sí",(1/DATOS_[[% anualiz]:[% anualiz]]),1)*IF(DATOS!BL$5="Sí",1/DATOS_[[% normaliz]:[% normaliz]],1)*(DATOS_[C.Extra.04])))))))), 0)</f>
        <v>0</v>
      </c>
      <c r="AT43" s="259" t="n">
        <f aca="false" t="array" ref="AT43:AT43">IFERROR( (MEDIAN((IF(DATOS_[[Sexo]:[Sexo]]=$B43,IF(DATOS_[[AGRUP. VALOR. PTO.]:[AGRUP. VALOR. PTO.]]=$B42,IF(DATOS_[[Check Periodo Ref.]:[Check Periodo Ref.]]="Dentro",IF(DATOS_[[Check Equiparado]:[Check Equiparado]]="Sí",IF(DATOS!BM$4="Sí",(1/DATOS_[[% anualiz]:[% anualiz]]),1)*IF(DATOS!BM$5="Sí",1/DATOS_[[% normaliz]:[% normaliz]],1)*(DATOS_[C.Extra.05])))))))), 0)</f>
        <v>0</v>
      </c>
      <c r="AU43" s="254" t="n">
        <f aca="false" t="array" ref="AU43:AU43">IFERROR( MEDIAN(IF(DATOS_[Sexo]=$B43,IF(DATOS_[[AGRUP. VALOR. PTO.]:[AGRUP. VALOR. PTO.]]=$B42,IF(DATOS_[Check Equiparado]="Sí",IF(DATOS_[Check Periodo Ref.]="Dentro",DATOS_[Tot Extrasalarial Eq],0))))), 0)</f>
        <v>0</v>
      </c>
      <c r="AV43" s="255" t="n">
        <f aca="false" t="array" ref="AV43:AV43">IFERROR( MEDIAN(IF(DATOS_[Sexo]=$B43,IF(DATOS_[[AGRUP. VALOR. PTO.]:[AGRUP. VALOR. PTO.]]=$B42,IF(DATOS_[Check Equiparado]="Sí",IF(DATOS_[Check Periodo Ref.]="Dentro",DATOS_[TOTAL Retrib Eq],0))))), 0)</f>
        <v>0</v>
      </c>
    </row>
    <row r="44" customFormat="false" ht="14.25" hidden="false" customHeight="false" outlineLevel="0" collapsed="false">
      <c r="A44" s="217" t="str">
        <f aca="false">+A43</f>
        <v>[ocultar]</v>
      </c>
      <c r="B44" s="323" t="s">
        <v>372</v>
      </c>
      <c r="C44" s="247" t="n">
        <f aca="false" t="array" ref="C44:C44">SUM(IF($B44=DATOS_[Sexo], IF($B42=DATOS_[AGRUP. VALOR. PTO.], IF("Dentro"=DATOS_[Check Periodo Ref.], 1/(COUNTIFS(DATOS_[Sexo],$B44,DATOS_[AGRUP. VALOR. PTO.],$B42,DATOS_[Check Periodo Ref.],"Dentro",DATOS_[id],DATOS_[id]))))))</f>
        <v>0</v>
      </c>
      <c r="D44" s="248" t="n">
        <f aca="false">COUNTIFS(DATOS_[AGRUP. VALOR. PTO.],$B42,DATOS_[Sexo],$B44,DATOS_[Check Periodo Ref.],"Dentro")</f>
        <v>0</v>
      </c>
      <c r="E44" s="248" t="n">
        <f aca="false">COUNTIFS(DATOS_[AGRUP. VALOR. PTO.],$B42,DATOS_[Sexo],$B44,DATOS_[Check Periodo Ref.],"Dentro",DATOS_[Check Nº SC Norm],"Sí")</f>
        <v>0</v>
      </c>
      <c r="F44" s="248" t="n">
        <f aca="false">COUNTIFS(DATOS_[AGRUP. VALOR. PTO.],$B42,DATOS_[Sexo],$B44,DATOS_[Check Periodo Ref.],"Dentro",DATOS_[Check Nº SC Anualiz],"Sí")</f>
        <v>0</v>
      </c>
      <c r="G44" s="248" t="n">
        <f aca="false">COUNTIFS(DATOS_[AGRUP. VALOR. PTO.],$B42,DATOS_[Sexo],$B44,DATOS_[Check Periodo Ref.],"Dentro",DATOS_[Check Nº SC Norm y Anualiz],"Sí")</f>
        <v>0</v>
      </c>
      <c r="H44" s="248" t="n">
        <f aca="false">COUNTIFS(DATOS_[AGRUP. VALOR. PTO.],$B42,DATOS_[Sexo],$B44,DATOS_[Check Periodo Ref.],"Dentro",DATOS_[Check Equiparación],"Sí")</f>
        <v>0</v>
      </c>
      <c r="I44" s="249" t="n">
        <f aca="false" t="array" ref="I44:I44">IFERROR( MEDIAN(IF(DATOS_[Sexo]=$B44,IF(DATOS_[[AGRUP. VALOR. PTO.]:[AGRUP. VALOR. PTO.]]=$B42,IF(DATOS_[Check Equiparado]="Sí",IF(DATOS_[Check Periodo Ref.]="Dentro",DATOS_[SALARIO BASE Eq],0))))), 0)</f>
        <v>0</v>
      </c>
      <c r="J44" s="250" t="n">
        <f aca="false" t="array" ref="J44:J44">IFERROR( (MEDIAN((IF(DATOS_[[Sexo]:[Sexo]]=$B44,IF(DATOS_[[AGRUP. VALOR. PTO.]:[AGRUP. VALOR. PTO.]]=$B42,IF(DATOS_[[Check Periodo Ref.]:[Check Periodo Ref.]]="Dentro",IF(DATOS_[[Check Equiparado]:[Check Equiparado]]="Sí",IF(DATOS!AE$4="Sí",(1/DATOS_[[% anualiz]:[% anualiz]]),1)*IF(DATOS!AE$5="Sí",1/DATOS_[[% normaliz]:[% normaliz]],1)*(DATOS_[Conc.Sal.01])))))))), 0)</f>
        <v>0</v>
      </c>
      <c r="K44" s="250" t="n">
        <f aca="false" t="array" ref="K44:K44">IFERROR( (MEDIAN((IF(DATOS_[[Sexo]:[Sexo]]=$B44,IF(DATOS_[[AGRUP. VALOR. PTO.]:[AGRUP. VALOR. PTO.]]=$B42,IF(DATOS_[[Check Periodo Ref.]:[Check Periodo Ref.]]="Dentro",IF(DATOS_[[Check Equiparado]:[Check Equiparado]]="Sí",IF(DATOS!AF$4="Sí",(1/DATOS_[[% anualiz]:[% anualiz]]),1)*IF(DATOS!AF$5="Sí",1/DATOS_[[% normaliz]:[% normaliz]],1)*(DATOS_[Conc.Sal.02])))))))), 0)</f>
        <v>0</v>
      </c>
      <c r="L44" s="250" t="n">
        <f aca="false" t="array" ref="L44:L44">IFERROR( (MEDIAN((IF(DATOS_[[Sexo]:[Sexo]]=$B44,IF(DATOS_[[AGRUP. VALOR. PTO.]:[AGRUP. VALOR. PTO.]]=$B42,IF(DATOS_[[Check Periodo Ref.]:[Check Periodo Ref.]]="Dentro",IF(DATOS_[[Check Equiparado]:[Check Equiparado]]="Sí",IF(DATOS!AG$4="Sí",(1/DATOS_[[% anualiz]:[% anualiz]]),1)*IF(DATOS!AG$5="Sí",1/DATOS_[[% normaliz]:[% normaliz]],1)*(DATOS_[Conc.Sal.03])))))))), 0)</f>
        <v>0</v>
      </c>
      <c r="M44" s="250" t="n">
        <f aca="false" t="array" ref="M44:M44">IFERROR( (MEDIAN((IF(DATOS_[[Sexo]:[Sexo]]=$B44,IF(DATOS_[[AGRUP. VALOR. PTO.]:[AGRUP. VALOR. PTO.]]=$B42,IF(DATOS_[[Check Periodo Ref.]:[Check Periodo Ref.]]="Dentro",IF(DATOS_[[Check Equiparado]:[Check Equiparado]]="Sí",IF(DATOS!AH$4="Sí",(1/DATOS_[[% anualiz]:[% anualiz]]),1)*IF(DATOS!AH$5="Sí",1/DATOS_[[% normaliz]:[% normaliz]],1)*(DATOS_[Conc.Sal.04])))))))), 0)</f>
        <v>0</v>
      </c>
      <c r="N44" s="250" t="n">
        <f aca="false" t="array" ref="N44:N44">IFERROR( (MEDIAN((IF(DATOS_[[Sexo]:[Sexo]]=$B44,IF(DATOS_[[AGRUP. VALOR. PTO.]:[AGRUP. VALOR. PTO.]]=$B42,IF(DATOS_[[Check Periodo Ref.]:[Check Periodo Ref.]]="Dentro",IF(DATOS_[[Check Equiparado]:[Check Equiparado]]="Sí",IF(DATOS!AI$4="Sí",(1/DATOS_[[% anualiz]:[% anualiz]]),1)*IF(DATOS!AI$5="Sí",1/DATOS_[[% normaliz]:[% normaliz]],1)*(DATOS_[Conc.Sal.05])))))))), 0)</f>
        <v>0</v>
      </c>
      <c r="O44" s="250" t="n">
        <f aca="false" t="array" ref="O44:O44">IFERROR( (MEDIAN((IF(DATOS_[[Sexo]:[Sexo]]=$B44,IF(DATOS_[[AGRUP. VALOR. PTO.]:[AGRUP. VALOR. PTO.]]=$B42,IF(DATOS_[[Check Periodo Ref.]:[Check Periodo Ref.]]="Dentro",IF(DATOS_[[Check Equiparado]:[Check Equiparado]]="Sí",IF(DATOS!AJ$4="Sí",(1/DATOS_[[% anualiz]:[% anualiz]]),1)*IF(DATOS!AJ$5="Sí",1/DATOS_[[% normaliz]:[% normaliz]],1)*(DATOS_[Conc.Sal.06])))))))), 0)</f>
        <v>0</v>
      </c>
      <c r="P44" s="250" t="n">
        <f aca="false" t="array" ref="P44:P44">IFERROR( (MEDIAN((IF(DATOS_[[Sexo]:[Sexo]]=$B44,IF(DATOS_[[AGRUP. VALOR. PTO.]:[AGRUP. VALOR. PTO.]]=$B42,IF(DATOS_[[Check Periodo Ref.]:[Check Periodo Ref.]]="Dentro",IF(DATOS_[[Check Equiparado]:[Check Equiparado]]="Sí",IF(DATOS!AK$4="Sí",(1/DATOS_[[% anualiz]:[% anualiz]]),1)*IF(DATOS!AK$5="Sí",1/DATOS_[[% normaliz]:[% normaliz]],1)*(DATOS_[Conc.Sal.07])))))))), 0)</f>
        <v>0</v>
      </c>
      <c r="Q44" s="250" t="n">
        <f aca="false" t="array" ref="Q44:Q44">IFERROR( (MEDIAN((IF(DATOS_[[Sexo]:[Sexo]]=$B44,IF(DATOS_[[AGRUP. VALOR. PTO.]:[AGRUP. VALOR. PTO.]]=$B42,IF(DATOS_[[Check Periodo Ref.]:[Check Periodo Ref.]]="Dentro",IF(DATOS_[[Check Equiparado]:[Check Equiparado]]="Sí",IF(DATOS!AL$4="Sí",(1/DATOS_[[% anualiz]:[% anualiz]]),1)*IF(DATOS!AL$5="Sí",1/DATOS_[[% normaliz]:[% normaliz]],1)*(DATOS_[Conc.Sal.08])))))))), 0)</f>
        <v>0</v>
      </c>
      <c r="R44" s="250" t="n">
        <f aca="false" t="array" ref="R44:R44">IFERROR( (MEDIAN((IF(DATOS_[[Sexo]:[Sexo]]=$B44,IF(DATOS_[[AGRUP. VALOR. PTO.]:[AGRUP. VALOR. PTO.]]=$B42,IF(DATOS_[[Check Periodo Ref.]:[Check Periodo Ref.]]="Dentro",IF(DATOS_[[Check Equiparado]:[Check Equiparado]]="Sí",IF(DATOS!AM$4="Sí",(1/DATOS_[[% anualiz]:[% anualiz]]),1)*IF(DATOS!AM$5="Sí",1/DATOS_[[% normaliz]:[% normaliz]],1)*(DATOS_[Conc.Sal.09])))))))), 0)</f>
        <v>0</v>
      </c>
      <c r="S44" s="250" t="n">
        <f aca="false" t="array" ref="S44:S44">IFERROR( (MEDIAN((IF(DATOS_[[Sexo]:[Sexo]]=$B44,IF(DATOS_[[AGRUP. VALOR. PTO.]:[AGRUP. VALOR. PTO.]]=$B42,IF(DATOS_[[Check Periodo Ref.]:[Check Periodo Ref.]]="Dentro",IF(DATOS_[[Check Equiparado]:[Check Equiparado]]="Sí",IF(DATOS!AN$4="Sí",(1/DATOS_[[% anualiz]:[% anualiz]]),1)*IF(DATOS!AN$5="Sí",1/DATOS_[[% normaliz]:[% normaliz]],1)*(DATOS_[Conc.Sal.10])))))))), 0)</f>
        <v>0</v>
      </c>
      <c r="T44" s="250" t="n">
        <f aca="false" t="array" ref="T44:T44">IFERROR( (MEDIAN((IF(DATOS_[[Sexo]:[Sexo]]=$B44,IF(DATOS_[[AGRUP. VALOR. PTO.]:[AGRUP. VALOR. PTO.]]=$B42,IF(DATOS_[[Check Periodo Ref.]:[Check Periodo Ref.]]="Dentro",IF(DATOS_[[Check Equiparado]:[Check Equiparado]]="Sí",IF(DATOS!AO$4="Sí",(1/DATOS_[[% anualiz]:[% anualiz]]),1)*IF(DATOS!AO$5="Sí",1/DATOS_[[% normaliz]:[% normaliz]],1)*(DATOS_[Conc.Sal.11])))))))), 0)</f>
        <v>0</v>
      </c>
      <c r="U44" s="250" t="n">
        <f aca="false" t="array" ref="U44:U44">IFERROR( (MEDIAN((IF(DATOS_[[Sexo]:[Sexo]]=$B44,IF(DATOS_[[AGRUP. VALOR. PTO.]:[AGRUP. VALOR. PTO.]]=$B42,IF(DATOS_[[Check Periodo Ref.]:[Check Periodo Ref.]]="Dentro",IF(DATOS_[[Check Equiparado]:[Check Equiparado]]="Sí",IF(DATOS!AP$4="Sí",(1/DATOS_[[% anualiz]:[% anualiz]]),1)*IF(DATOS!AP$5="Sí",1/DATOS_[[% normaliz]:[% normaliz]],1)*(DATOS_[Conc.Sal.12])))))))), 0)</f>
        <v>0</v>
      </c>
      <c r="V44" s="250" t="n">
        <f aca="false" t="array" ref="V44:V44">IFERROR( (MEDIAN((IF(DATOS_[[Sexo]:[Sexo]]=$B44,IF(DATOS_[[AGRUP. VALOR. PTO.]:[AGRUP. VALOR. PTO.]]=$B42,IF(DATOS_[[Check Periodo Ref.]:[Check Periodo Ref.]]="Dentro",IF(DATOS_[[Check Equiparado]:[Check Equiparado]]="Sí",IF(DATOS!AQ$4="Sí",(1/DATOS_[[% anualiz]:[% anualiz]]),1)*IF(DATOS!AQ$5="Sí",1/DATOS_[[% normaliz]:[% normaliz]],1)*(DATOS_[Conc.Sal.13])))))))), 0)</f>
        <v>0</v>
      </c>
      <c r="W44" s="250" t="n">
        <f aca="false" t="array" ref="W44:W44">IFERROR( (MEDIAN((IF(DATOS_[[Sexo]:[Sexo]]=$B44,IF(DATOS_[[AGRUP. VALOR. PTO.]:[AGRUP. VALOR. PTO.]]=$B42,IF(DATOS_[[Check Periodo Ref.]:[Check Periodo Ref.]]="Dentro",IF(DATOS_[[Check Equiparado]:[Check Equiparado]]="Sí",IF(DATOS!AR$4="Sí",(1/DATOS_[[% anualiz]:[% anualiz]]),1)*IF(DATOS!AR$5="Sí",1/DATOS_[[% normaliz]:[% normaliz]],1)*(DATOS_[Conc.Sal.14])))))))), 0)</f>
        <v>0</v>
      </c>
      <c r="X44" s="250" t="n">
        <f aca="false" t="array" ref="X44:X44">IFERROR( (MEDIAN((IF(DATOS_[[Sexo]:[Sexo]]=$B44,IF(DATOS_[[AGRUP. VALOR. PTO.]:[AGRUP. VALOR. PTO.]]=$B42,IF(DATOS_[[Check Periodo Ref.]:[Check Periodo Ref.]]="Dentro",IF(DATOS_[[Check Equiparado]:[Check Equiparado]]="Sí",IF(DATOS!AS$4="Sí",(1/DATOS_[[% anualiz]:[% anualiz]]),1)*IF(DATOS!AS$5="Sí",1/DATOS_[[% normaliz]:[% normaliz]],1)*(DATOS_[Conc.Sal.15])))))))), 0)</f>
        <v>0</v>
      </c>
      <c r="Y44" s="250" t="n">
        <f aca="false" t="array" ref="Y44:Y44">IFERROR( (MEDIAN((IF(DATOS_[[Sexo]:[Sexo]]=$B44,IF(DATOS_[[AGRUP. VALOR. PTO.]:[AGRUP. VALOR. PTO.]]=$B42,IF(DATOS_[[Check Periodo Ref.]:[Check Periodo Ref.]]="Dentro",IF(DATOS_[[Check Equiparado]:[Check Equiparado]]="Sí",IF(DATOS!AT$4="Sí",(1/DATOS_[[% anualiz]:[% anualiz]]),1)*IF(DATOS!AT$5="Sí",1/DATOS_[[% normaliz]:[% normaliz]],1)*(DATOS_[Conc.Sal.16])))))))), 0)</f>
        <v>0</v>
      </c>
      <c r="Z44" s="250" t="n">
        <f aca="false" t="array" ref="Z44:Z44">IFERROR( (MEDIAN((IF(DATOS_[[Sexo]:[Sexo]]=$B44,IF(DATOS_[[AGRUP. VALOR. PTO.]:[AGRUP. VALOR. PTO.]]=$B42,IF(DATOS_[[Check Periodo Ref.]:[Check Periodo Ref.]]="Dentro",IF(DATOS_[[Check Equiparado]:[Check Equiparado]]="Sí",IF(DATOS!AU$4="Sí",(1/DATOS_[[% anualiz]:[% anualiz]]),1)*IF(DATOS!AU$5="Sí",1/DATOS_[[% normaliz]:[% normaliz]],1)*(DATOS_[Conc.Sal.17])))))))), 0)</f>
        <v>0</v>
      </c>
      <c r="AA44" s="250" t="n">
        <f aca="false" t="array" ref="AA44:AA44">IFERROR( (MEDIAN((IF(DATOS_[[Sexo]:[Sexo]]=$B44,IF(DATOS_[[AGRUP. VALOR. PTO.]:[AGRUP. VALOR. PTO.]]=$B42,IF(DATOS_[[Check Periodo Ref.]:[Check Periodo Ref.]]="Dentro",IF(DATOS_[[Check Equiparado]:[Check Equiparado]]="Sí",IF(DATOS!AV$4="Sí",(1/DATOS_[[% anualiz]:[% anualiz]]),1)*IF(DATOS!AV$5="Sí",1/DATOS_[[% normaliz]:[% normaliz]],1)*(DATOS_[Conc.Sal.18])))))))), 0)</f>
        <v>0</v>
      </c>
      <c r="AB44" s="250" t="n">
        <f aca="false" t="array" ref="AB44:AB44">IFERROR( (MEDIAN((IF(DATOS_[[Sexo]:[Sexo]]=$B44,IF(DATOS_[[AGRUP. VALOR. PTO.]:[AGRUP. VALOR. PTO.]]=$B42,IF(DATOS_[[Check Periodo Ref.]:[Check Periodo Ref.]]="Dentro",IF(DATOS_[[Check Equiparado]:[Check Equiparado]]="Sí",IF(DATOS!AW$4="Sí",(1/DATOS_[[% anualiz]:[% anualiz]]),1)*IF(DATOS!AW$5="Sí",1/DATOS_[[% normaliz]:[% normaliz]],1)*(DATOS_[Conc.Sal.19])))))))), 0)</f>
        <v>0</v>
      </c>
      <c r="AC44" s="250" t="n">
        <f aca="false" t="array" ref="AC44:AC44">IFERROR( (MEDIAN((IF(DATOS_[[Sexo]:[Sexo]]=$B44,IF(DATOS_[[AGRUP. VALOR. PTO.]:[AGRUP. VALOR. PTO.]]=$B42,IF(DATOS_[[Check Periodo Ref.]:[Check Periodo Ref.]]="Dentro",IF(DATOS_[[Check Equiparado]:[Check Equiparado]]="Sí",IF(DATOS!AX$4="Sí",(1/DATOS_[[% anualiz]:[% anualiz]]),1)*IF(DATOS!AX$5="Sí",1/DATOS_[[% normaliz]:[% normaliz]],1)*(DATOS_[Conc.Sal.20])))))))), 0)</f>
        <v>0</v>
      </c>
      <c r="AD44" s="250" t="n">
        <f aca="false" t="array" ref="AD44:AD44">IFERROR( (MEDIAN((IF(DATOS_[[Sexo]:[Sexo]]=$B44,IF(DATOS_[[AGRUP. VALOR. PTO.]:[AGRUP. VALOR. PTO.]]=$B42,IF(DATOS_[[Check Periodo Ref.]:[Check Periodo Ref.]]="Dentro",IF(DATOS_[[Check Equiparado]:[Check Equiparado]]="Sí",IF(DATOS!AY$4="Sí",(1/DATOS_[[% anualiz]:[% anualiz]]),1)*IF(DATOS!AY$5="Sí",1/DATOS_[[% normaliz]:[% normaliz]],1)*(DATOS_[Conc.Sal.21])))))))), 0)</f>
        <v>0</v>
      </c>
      <c r="AE44" s="250" t="n">
        <f aca="false" t="array" ref="AE44:AE44">IFERROR( (MEDIAN((IF(DATOS_[[Sexo]:[Sexo]]=$B44,IF(DATOS_[[AGRUP. VALOR. PTO.]:[AGRUP. VALOR. PTO.]]=$B42,IF(DATOS_[[Check Periodo Ref.]:[Check Periodo Ref.]]="Dentro",IF(DATOS_[[Check Equiparado]:[Check Equiparado]]="Sí",IF(DATOS!AZ$4="Sí",(1/DATOS_[[% anualiz]:[% anualiz]]),1)*IF(DATOS!AZ$5="Sí",1/DATOS_[[% normaliz]:[% normaliz]],1)*(DATOS_[Conc.Sal.22])))))))), 0)</f>
        <v>0</v>
      </c>
      <c r="AF44" s="250" t="n">
        <f aca="false" t="array" ref="AF44:AF44">IFERROR( (MEDIAN((IF(DATOS_[[Sexo]:[Sexo]]=$B44,IF(DATOS_[[AGRUP. VALOR. PTO.]:[AGRUP. VALOR. PTO.]]=$B42,IF(DATOS_[[Check Periodo Ref.]:[Check Periodo Ref.]]="Dentro",IF(DATOS_[[Check Equiparado]:[Check Equiparado]]="Sí",IF(DATOS!BA$4="Sí",(1/DATOS_[[% anualiz]:[% anualiz]]),1)*IF(DATOS!BA$5="Sí",1/DATOS_[[% normaliz]:[% normaliz]],1)*(DATOS_[Conc.Sal.23])))))))), 0)</f>
        <v>0</v>
      </c>
      <c r="AG44" s="250" t="n">
        <f aca="false" t="array" ref="AG44:AG44">IFERROR( (MEDIAN((IF(DATOS_[[Sexo]:[Sexo]]=$B44,IF(DATOS_[[AGRUP. VALOR. PTO.]:[AGRUP. VALOR. PTO.]]=$B42,IF(DATOS_[[Check Periodo Ref.]:[Check Periodo Ref.]]="Dentro",IF(DATOS_[[Check Equiparado]:[Check Equiparado]]="Sí",IF(DATOS!BB$4="Sí",(1/DATOS_[[% anualiz]:[% anualiz]]),1)*IF(DATOS!BB$5="Sí",1/DATOS_[[% normaliz]:[% normaliz]],1)*(DATOS_[Conc.Sal.24])))))))), 0)</f>
        <v>0</v>
      </c>
      <c r="AH44" s="250" t="n">
        <f aca="false" t="array" ref="AH44:AH44">IFERROR( (MEDIAN((IF(DATOS_[[Sexo]:[Sexo]]=$B44,IF(DATOS_[[AGRUP. VALOR. PTO.]:[AGRUP. VALOR. PTO.]]=$B42,IF(DATOS_[[Check Periodo Ref.]:[Check Periodo Ref.]]="Dentro",IF(DATOS_[[Check Equiparado]:[Check Equiparado]]="Sí",IF(DATOS!BC$4="Sí",(1/DATOS_[[% anualiz]:[% anualiz]]),1)*IF(DATOS!BC$5="Sí",1/DATOS_[[% normaliz]:[% normaliz]],1)*(DATOS_[Conc.Sal.25])))))))), 0)</f>
        <v>0</v>
      </c>
      <c r="AI44" s="250" t="n">
        <f aca="false" t="array" ref="AI44:AI44">IFERROR( (MEDIAN((IF(DATOS_[[Sexo]:[Sexo]]=$B44,IF(DATOS_[[AGRUP. VALOR. PTO.]:[AGRUP. VALOR. PTO.]]=$B42,IF(DATOS_[[Check Periodo Ref.]:[Check Periodo Ref.]]="Dentro",IF(DATOS_[[Check Equiparado]:[Check Equiparado]]="Sí",IF(DATOS!BD$4="Sí",(1/DATOS_[[% anualiz]:[% anualiz]]),1)*IF(DATOS!BD$5="Sí",1/DATOS_[[% normaliz]:[% normaliz]],1)*(DATOS_[Conc.Sal.26])))))))), 0)</f>
        <v>0</v>
      </c>
      <c r="AJ44" s="250" t="n">
        <f aca="false" t="array" ref="AJ44:AJ44">IFERROR( (MEDIAN((IF(DATOS_[[Sexo]:[Sexo]]=$B44,IF(DATOS_[[AGRUP. VALOR. PTO.]:[AGRUP. VALOR. PTO.]]=$B42,IF(DATOS_[[Check Periodo Ref.]:[Check Periodo Ref.]]="Dentro",IF(DATOS_[[Check Equiparado]:[Check Equiparado]]="Sí",IF(DATOS!BE$4="Sí",(1/DATOS_[[% anualiz]:[% anualiz]]),1)*IF(DATOS!BE$5="Sí",1/DATOS_[[% normaliz]:[% normaliz]],1)*(DATOS_[Conc.Sal.27])))))))), 0)</f>
        <v>0</v>
      </c>
      <c r="AK44" s="250" t="n">
        <f aca="false" t="array" ref="AK44:AK44">IFERROR( (MEDIAN((IF(DATOS_[[Sexo]:[Sexo]]=$B44,IF(DATOS_[[AGRUP. VALOR. PTO.]:[AGRUP. VALOR. PTO.]]=$B42,IF(DATOS_[[Check Periodo Ref.]:[Check Periodo Ref.]]="Dentro",IF(DATOS_[[Check Equiparado]:[Check Equiparado]]="Sí",IF(DATOS!BF$4="Sí",(1/DATOS_[[% anualiz]:[% anualiz]]),1)*IF(DATOS!BF$5="Sí",1/DATOS_[[% normaliz]:[% normaliz]],1)*(DATOS_[Conc.Sal.28])))))))), 0)</f>
        <v>0</v>
      </c>
      <c r="AL44" s="250" t="n">
        <f aca="false" t="array" ref="AL44:AL44">IFERROR( (MEDIAN((IF(DATOS_[[Sexo]:[Sexo]]=$B44,IF(DATOS_[[AGRUP. VALOR. PTO.]:[AGRUP. VALOR. PTO.]]=$B42,IF(DATOS_[[Check Periodo Ref.]:[Check Periodo Ref.]]="Dentro",IF(DATOS_[[Check Equiparado]:[Check Equiparado]]="Sí",IF(DATOS!BG$4="Sí",(1/DATOS_[[% anualiz]:[% anualiz]]),1)*IF(DATOS!BG$5="Sí",1/DATOS_[[% normaliz]:[% normaliz]],1)*(DATOS_[Conc.Sal.29])))))))), 0)</f>
        <v>0</v>
      </c>
      <c r="AM44" s="250" t="n">
        <f aca="false" t="array" ref="AM44:AM44">IFERROR( (MEDIAN((IF(DATOS_[[Sexo]:[Sexo]]=$B44,IF(DATOS_[[AGRUP. VALOR. PTO.]:[AGRUP. VALOR. PTO.]]=$B42,IF(DATOS_[[Check Periodo Ref.]:[Check Periodo Ref.]]="Dentro",IF(DATOS_[[Check Equiparado]:[Check Equiparado]]="Sí",IF(DATOS!BH$4="Sí",(1/DATOS_[[% anualiz]:[% anualiz]]),1)*IF(DATOS!BH$5="Sí",1/DATOS_[[% normaliz]:[% normaliz]],1)*(DATOS_[Conc.Sal.30])))))))), 0)</f>
        <v>0</v>
      </c>
      <c r="AN44" s="251" t="n">
        <f aca="false" t="array" ref="AN44:AN44">IFERROR( MEDIAN(IF(DATOS_[Sexo]=$B44,IF(DATOS_[[AGRUP. VALOR. PTO.]:[AGRUP. VALOR. PTO.]]=$B42,IF(DATOS_[Check Equiparado]="Sí",IF(DATOS_[Check Periodo Ref.]="Dentro",DATOS_[Tot COMPL.SAL Eq],0))))), 0)</f>
        <v>0</v>
      </c>
      <c r="AO44" s="252" t="n">
        <f aca="false" t="array" ref="AO44:AO44">IFERROR( MEDIAN(IF(DATOS_[Sexo]=$B44,IF(DATOS_[[AGRUP. VALOR. PTO.]:[AGRUP. VALOR. PTO.]]=$B42,IF(DATOS_[Check Equiparado]="Sí",IF(DATOS_[Check Periodo Ref.]="Dentro",DATOS_[TOTAL SALARIO Eq],0))))), 0)</f>
        <v>0</v>
      </c>
      <c r="AP44" s="259" t="n">
        <f aca="false" t="array" ref="AP44:AP44">IFERROR( (MEDIAN((IF(DATOS_[[Sexo]:[Sexo]]=$B44,IF(DATOS_[[AGRUP. VALOR. PTO.]:[AGRUP. VALOR. PTO.]]=$B43,IF(DATOS_[[Check Periodo Ref.]:[Check Periodo Ref.]]="Dentro",IF(DATOS_[[Check Equiparado]:[Check Equiparado]]="Sí",IF(DATOS!BI$4="Sí",(1/DATOS_[[% anualiz]:[% anualiz]]),1)*IF(DATOS!BI$5="Sí",1/DATOS_[[% normaliz]:[% normaliz]],1)*(DATOS_[C.Extra.01])))))))), 0)</f>
        <v>0</v>
      </c>
      <c r="AQ44" s="259" t="n">
        <f aca="false" t="array" ref="AQ44:AQ44">IFERROR( (MEDIAN((IF(DATOS_[[Sexo]:[Sexo]]=$B44,IF(DATOS_[[AGRUP. VALOR. PTO.]:[AGRUP. VALOR. PTO.]]=$B43,IF(DATOS_[[Check Periodo Ref.]:[Check Periodo Ref.]]="Dentro",IF(DATOS_[[Check Equiparado]:[Check Equiparado]]="Sí",IF(DATOS!BJ$4="Sí",(1/DATOS_[[% anualiz]:[% anualiz]]),1)*IF(DATOS!BJ$5="Sí",1/DATOS_[[% normaliz]:[% normaliz]],1)*(DATOS_[C.Extra.02])))))))), 0)</f>
        <v>0</v>
      </c>
      <c r="AR44" s="259" t="n">
        <f aca="false" t="array" ref="AR44:AR44">IFERROR( (MEDIAN((IF(DATOS_[[Sexo]:[Sexo]]=$B44,IF(DATOS_[[AGRUP. VALOR. PTO.]:[AGRUP. VALOR. PTO.]]=$B43,IF(DATOS_[[Check Periodo Ref.]:[Check Periodo Ref.]]="Dentro",IF(DATOS_[[Check Equiparado]:[Check Equiparado]]="Sí",IF(DATOS!BK$4="Sí",(1/DATOS_[[% anualiz]:[% anualiz]]),1)*IF(DATOS!BK$5="Sí",1/DATOS_[[% normaliz]:[% normaliz]],1)*(DATOS_[C.Extra.03])))))))), 0)</f>
        <v>0</v>
      </c>
      <c r="AS44" s="259" t="n">
        <f aca="false" t="array" ref="AS44:AS44">IFERROR( (MEDIAN((IF(DATOS_[[Sexo]:[Sexo]]=$B44,IF(DATOS_[[AGRUP. VALOR. PTO.]:[AGRUP. VALOR. PTO.]]=$B43,IF(DATOS_[[Check Periodo Ref.]:[Check Periodo Ref.]]="Dentro",IF(DATOS_[[Check Equiparado]:[Check Equiparado]]="Sí",IF(DATOS!BL$4="Sí",(1/DATOS_[[% anualiz]:[% anualiz]]),1)*IF(DATOS!BL$5="Sí",1/DATOS_[[% normaliz]:[% normaliz]],1)*(DATOS_[C.Extra.04])))))))), 0)</f>
        <v>0</v>
      </c>
      <c r="AT44" s="259" t="n">
        <f aca="false" t="array" ref="AT44:AT44">IFERROR( (MEDIAN((IF(DATOS_[[Sexo]:[Sexo]]=$B44,IF(DATOS_[[AGRUP. VALOR. PTO.]:[AGRUP. VALOR. PTO.]]=$B43,IF(DATOS_[[Check Periodo Ref.]:[Check Periodo Ref.]]="Dentro",IF(DATOS_[[Check Equiparado]:[Check Equiparado]]="Sí",IF(DATOS!BM$4="Sí",(1/DATOS_[[% anualiz]:[% anualiz]]),1)*IF(DATOS!BM$5="Sí",1/DATOS_[[% normaliz]:[% normaliz]],1)*(DATOS_[C.Extra.05])))))))), 0)</f>
        <v>0</v>
      </c>
      <c r="AU44" s="254" t="n">
        <f aca="false" t="array" ref="AU44:AU44">IFERROR( MEDIAN(IF(DATOS_[Sexo]=$B44,IF(DATOS_[[AGRUP. VALOR. PTO.]:[AGRUP. VALOR. PTO.]]=$B42,IF(DATOS_[Check Equiparado]="Sí",IF(DATOS_[Check Periodo Ref.]="Dentro",DATOS_[Tot Extrasalarial Eq],0))))), 0)</f>
        <v>0</v>
      </c>
      <c r="AV44" s="255" t="n">
        <f aca="false" t="array" ref="AV44:AV44">IFERROR( MEDIAN(IF(DATOS_[Sexo]=$B44,IF(DATOS_[[AGRUP. VALOR. PTO.]:[AGRUP. VALOR. PTO.]]=$B42,IF(DATOS_[Check Equiparado]="Sí",IF(DATOS_[Check Periodo Ref.]="Dentro",DATOS_[TOTAL Retrib Eq],0))))), 0)</f>
        <v>0</v>
      </c>
    </row>
    <row r="45" customFormat="false" ht="15.75" hidden="false" customHeight="false" outlineLevel="0" collapsed="false">
      <c r="A45" s="217" t="str">
        <f aca="false">+A46</f>
        <v>[ocultar]</v>
      </c>
      <c r="B45" s="320" t="s">
        <v>199</v>
      </c>
      <c r="C45" s="236"/>
      <c r="D45" s="237"/>
      <c r="E45" s="237"/>
      <c r="F45" s="237"/>
      <c r="G45" s="237"/>
      <c r="H45" s="237"/>
      <c r="I45" s="238" t="str">
        <f aca="false">IFERROR((I46-I47)/I46,"")</f>
        <v/>
      </c>
      <c r="J45" s="239" t="str">
        <f aca="false">IFERROR((J46-J47)/J46,"")</f>
        <v/>
      </c>
      <c r="K45" s="239" t="str">
        <f aca="false">IFERROR((K46-K47)/K46,"")</f>
        <v/>
      </c>
      <c r="L45" s="239" t="str">
        <f aca="false">IFERROR((L46-L47)/L46,"")</f>
        <v/>
      </c>
      <c r="M45" s="239" t="str">
        <f aca="false">IFERROR((M46-M47)/M46,"")</f>
        <v/>
      </c>
      <c r="N45" s="239" t="str">
        <f aca="false">IFERROR((N46-N47)/N46,"")</f>
        <v/>
      </c>
      <c r="O45" s="239" t="str">
        <f aca="false">IFERROR((O46-O47)/O46,"")</f>
        <v/>
      </c>
      <c r="P45" s="239" t="str">
        <f aca="false">IFERROR((P46-P47)/P46,"")</f>
        <v/>
      </c>
      <c r="Q45" s="239" t="str">
        <f aca="false">IFERROR((Q46-Q47)/Q46,"")</f>
        <v/>
      </c>
      <c r="R45" s="239" t="str">
        <f aca="false">IFERROR((R46-R47)/R46,"")</f>
        <v/>
      </c>
      <c r="S45" s="239" t="str">
        <f aca="false">IFERROR((S46-S47)/S46,"")</f>
        <v/>
      </c>
      <c r="T45" s="239" t="str">
        <f aca="false">IFERROR((T46-T47)/T46,"")</f>
        <v/>
      </c>
      <c r="U45" s="239" t="str">
        <f aca="false">IFERROR((U46-U47)/U46,"")</f>
        <v/>
      </c>
      <c r="V45" s="239" t="str">
        <f aca="false">IFERROR((V46-V47)/V46,"")</f>
        <v/>
      </c>
      <c r="W45" s="239" t="str">
        <f aca="false">IFERROR((W46-W47)/W46,"")</f>
        <v/>
      </c>
      <c r="X45" s="239" t="str">
        <f aca="false">IFERROR((X46-X47)/X46,"")</f>
        <v/>
      </c>
      <c r="Y45" s="239" t="str">
        <f aca="false">IFERROR((Y46-Y47)/Y46,"")</f>
        <v/>
      </c>
      <c r="Z45" s="240" t="str">
        <f aca="false">IFERROR((Z46-Z47)/Z46,"")</f>
        <v/>
      </c>
      <c r="AA45" s="240" t="str">
        <f aca="false">IFERROR((AA46-AA47)/AA46,"")</f>
        <v/>
      </c>
      <c r="AB45" s="240" t="str">
        <f aca="false">IFERROR((AB46-AB47)/AB46,"")</f>
        <v/>
      </c>
      <c r="AC45" s="240" t="str">
        <f aca="false">IFERROR((AC46-AC47)/AC46,"")</f>
        <v/>
      </c>
      <c r="AD45" s="240" t="str">
        <f aca="false">IFERROR((AD46-AD47)/AD46,"")</f>
        <v/>
      </c>
      <c r="AE45" s="240" t="str">
        <f aca="false">IFERROR((AE46-AE47)/AE46,"")</f>
        <v/>
      </c>
      <c r="AF45" s="240" t="str">
        <f aca="false">IFERROR((AF46-AF47)/AF46,"")</f>
        <v/>
      </c>
      <c r="AG45" s="240" t="str">
        <f aca="false">IFERROR((AG46-AG47)/AG46,"")</f>
        <v/>
      </c>
      <c r="AH45" s="240" t="str">
        <f aca="false">IFERROR((AH46-AH47)/AH46,"")</f>
        <v/>
      </c>
      <c r="AI45" s="240" t="str">
        <f aca="false">IFERROR((AI46-AI47)/AI46,"")</f>
        <v/>
      </c>
      <c r="AJ45" s="240" t="str">
        <f aca="false">IFERROR((AJ46-AJ47)/AJ46,"")</f>
        <v/>
      </c>
      <c r="AK45" s="240" t="str">
        <f aca="false">IFERROR((AK46-AK47)/AK46,"")</f>
        <v/>
      </c>
      <c r="AL45" s="240" t="str">
        <f aca="false">IFERROR((AL46-AL47)/AL46,"")</f>
        <v/>
      </c>
      <c r="AM45" s="240" t="str">
        <f aca="false">IFERROR((AM46-AM47)/AM46,"")</f>
        <v/>
      </c>
      <c r="AN45" s="241" t="str">
        <f aca="false">IFERROR((AN46-AN47)/AN46,"")</f>
        <v/>
      </c>
      <c r="AO45" s="242" t="str">
        <f aca="false">IFERROR((AO46-AO47)/AO46,"")</f>
        <v/>
      </c>
      <c r="AP45" s="243" t="str">
        <f aca="false">IFERROR((AP46-AP47)/AP46,"")</f>
        <v/>
      </c>
      <c r="AQ45" s="243" t="str">
        <f aca="false">IFERROR((AQ46-AQ47)/AQ46,"")</f>
        <v/>
      </c>
      <c r="AR45" s="243" t="str">
        <f aca="false">IFERROR((AR46-AR47)/AR46,"")</f>
        <v/>
      </c>
      <c r="AS45" s="243" t="str">
        <f aca="false">IFERROR((AS46-AS47)/AS46,"")</f>
        <v/>
      </c>
      <c r="AT45" s="243" t="str">
        <f aca="false">IFERROR((AT46-AT47)/AT46,"")</f>
        <v/>
      </c>
      <c r="AU45" s="244" t="str">
        <f aca="false">IFERROR((AU46-AU47)/AU46,"")</f>
        <v/>
      </c>
      <c r="AV45" s="245" t="str">
        <f aca="false">IFERROR((AV46-AV47)/AV46,"")</f>
        <v/>
      </c>
    </row>
    <row r="46" customFormat="false" ht="14.25" hidden="false" customHeight="false" outlineLevel="0" collapsed="false">
      <c r="A46" s="217" t="str">
        <f aca="false">+IF(C46+C47=0,"[ocultar]","")</f>
        <v>[ocultar]</v>
      </c>
      <c r="B46" s="323" t="s">
        <v>371</v>
      </c>
      <c r="C46" s="247" t="n">
        <f aca="false" t="array" ref="C46:C46">SUM(IF($B46=DATOS_[Sexo], IF($B45=DATOS_[AGRUP. VALOR. PTO.], IF("Dentro"=DATOS_[Check Periodo Ref.], 1/(COUNTIFS(DATOS_[Sexo],$B46,DATOS_[AGRUP. VALOR. PTO.],$B45,DATOS_[Check Periodo Ref.],"Dentro",DATOS_[id],DATOS_[id]))))))</f>
        <v>0</v>
      </c>
      <c r="D46" s="248" t="n">
        <f aca="false">COUNTIFS(DATOS_[AGRUP. VALOR. PTO.],$B45,DATOS_[Sexo],$B46,DATOS_[Check Periodo Ref.],"Dentro")</f>
        <v>0</v>
      </c>
      <c r="E46" s="248" t="n">
        <f aca="false">COUNTIFS(DATOS_[AGRUP. VALOR. PTO.],$B45,DATOS_[Sexo],$B46,DATOS_[Check Periodo Ref.],"Dentro",DATOS_[Check Nº SC Norm],"Sí")</f>
        <v>0</v>
      </c>
      <c r="F46" s="248" t="n">
        <f aca="false">COUNTIFS(DATOS_[AGRUP. VALOR. PTO.],$B45,DATOS_[Sexo],$B46,DATOS_[Check Periodo Ref.],"Dentro",DATOS_[Check Nº SC Anualiz],"Sí")</f>
        <v>0</v>
      </c>
      <c r="G46" s="248" t="n">
        <f aca="false">COUNTIFS(DATOS_[AGRUP. VALOR. PTO.],$B45,DATOS_[Sexo],$B46,DATOS_[Check Periodo Ref.],"Dentro",DATOS_[Check Nº SC Norm y Anualiz],"Sí")</f>
        <v>0</v>
      </c>
      <c r="H46" s="248" t="n">
        <f aca="false">COUNTIFS(DATOS_[AGRUP. VALOR. PTO.],$B45,DATOS_[Sexo],$B46,DATOS_[Check Periodo Ref.],"Dentro",DATOS_[Check Equiparación],"Sí")</f>
        <v>0</v>
      </c>
      <c r="I46" s="249" t="n">
        <f aca="false" t="array" ref="I46:I46">IFERROR( MEDIAN(IF(DATOS_[Sexo]=$B46,IF(DATOS_[[AGRUP. VALOR. PTO.]:[AGRUP. VALOR. PTO.]]=$B45,IF(DATOS_[Check Equiparado]="Sí",IF(DATOS_[Check Periodo Ref.]="Dentro",DATOS_[SALARIO BASE Eq],0))))), 0)</f>
        <v>0</v>
      </c>
      <c r="J46" s="250" t="n">
        <f aca="false" t="array" ref="J46:J46">IFERROR( (MEDIAN((IF(DATOS_[[Sexo]:[Sexo]]=$B46,IF(DATOS_[[AGRUP. VALOR. PTO.]:[AGRUP. VALOR. PTO.]]=$B45,IF(DATOS_[[Check Periodo Ref.]:[Check Periodo Ref.]]="Dentro",IF(DATOS_[[Check Equiparado]:[Check Equiparado]]="Sí",IF(DATOS!AE$4="Sí",(1/DATOS_[[% anualiz]:[% anualiz]]),1)*IF(DATOS!AE$5="Sí",1/DATOS_[[% normaliz]:[% normaliz]],1)*(DATOS_[Conc.Sal.01])))))))), 0)</f>
        <v>0</v>
      </c>
      <c r="K46" s="250" t="n">
        <f aca="false" t="array" ref="K46:K46">IFERROR( (MEDIAN((IF(DATOS_[[Sexo]:[Sexo]]=$B46,IF(DATOS_[[AGRUP. VALOR. PTO.]:[AGRUP. VALOR. PTO.]]=$B45,IF(DATOS_[[Check Periodo Ref.]:[Check Periodo Ref.]]="Dentro",IF(DATOS_[[Check Equiparado]:[Check Equiparado]]="Sí",IF(DATOS!AF$4="Sí",(1/DATOS_[[% anualiz]:[% anualiz]]),1)*IF(DATOS!AF$5="Sí",1/DATOS_[[% normaliz]:[% normaliz]],1)*(DATOS_[Conc.Sal.02])))))))), 0)</f>
        <v>0</v>
      </c>
      <c r="L46" s="250" t="n">
        <f aca="false" t="array" ref="L46:L46">IFERROR( (MEDIAN((IF(DATOS_[[Sexo]:[Sexo]]=$B46,IF(DATOS_[[AGRUP. VALOR. PTO.]:[AGRUP. VALOR. PTO.]]=$B45,IF(DATOS_[[Check Periodo Ref.]:[Check Periodo Ref.]]="Dentro",IF(DATOS_[[Check Equiparado]:[Check Equiparado]]="Sí",IF(DATOS!AG$4="Sí",(1/DATOS_[[% anualiz]:[% anualiz]]),1)*IF(DATOS!AG$5="Sí",1/DATOS_[[% normaliz]:[% normaliz]],1)*(DATOS_[Conc.Sal.03])))))))), 0)</f>
        <v>0</v>
      </c>
      <c r="M46" s="250" t="n">
        <f aca="false" t="array" ref="M46:M46">IFERROR( (MEDIAN((IF(DATOS_[[Sexo]:[Sexo]]=$B46,IF(DATOS_[[AGRUP. VALOR. PTO.]:[AGRUP. VALOR. PTO.]]=$B45,IF(DATOS_[[Check Periodo Ref.]:[Check Periodo Ref.]]="Dentro",IF(DATOS_[[Check Equiparado]:[Check Equiparado]]="Sí",IF(DATOS!AH$4="Sí",(1/DATOS_[[% anualiz]:[% anualiz]]),1)*IF(DATOS!AH$5="Sí",1/DATOS_[[% normaliz]:[% normaliz]],1)*(DATOS_[Conc.Sal.04])))))))), 0)</f>
        <v>0</v>
      </c>
      <c r="N46" s="250" t="n">
        <f aca="false" t="array" ref="N46:N46">IFERROR( (MEDIAN((IF(DATOS_[[Sexo]:[Sexo]]=$B46,IF(DATOS_[[AGRUP. VALOR. PTO.]:[AGRUP. VALOR. PTO.]]=$B45,IF(DATOS_[[Check Periodo Ref.]:[Check Periodo Ref.]]="Dentro",IF(DATOS_[[Check Equiparado]:[Check Equiparado]]="Sí",IF(DATOS!AI$4="Sí",(1/DATOS_[[% anualiz]:[% anualiz]]),1)*IF(DATOS!AI$5="Sí",1/DATOS_[[% normaliz]:[% normaliz]],1)*(DATOS_[Conc.Sal.05])))))))), 0)</f>
        <v>0</v>
      </c>
      <c r="O46" s="250" t="n">
        <f aca="false" t="array" ref="O46:O46">IFERROR( (MEDIAN((IF(DATOS_[[Sexo]:[Sexo]]=$B46,IF(DATOS_[[AGRUP. VALOR. PTO.]:[AGRUP. VALOR. PTO.]]=$B45,IF(DATOS_[[Check Periodo Ref.]:[Check Periodo Ref.]]="Dentro",IF(DATOS_[[Check Equiparado]:[Check Equiparado]]="Sí",IF(DATOS!AJ$4="Sí",(1/DATOS_[[% anualiz]:[% anualiz]]),1)*IF(DATOS!AJ$5="Sí",1/DATOS_[[% normaliz]:[% normaliz]],1)*(DATOS_[Conc.Sal.06])))))))), 0)</f>
        <v>0</v>
      </c>
      <c r="P46" s="250" t="n">
        <f aca="false" t="array" ref="P46:P46">IFERROR( (MEDIAN((IF(DATOS_[[Sexo]:[Sexo]]=$B46,IF(DATOS_[[AGRUP. VALOR. PTO.]:[AGRUP. VALOR. PTO.]]=$B45,IF(DATOS_[[Check Periodo Ref.]:[Check Periodo Ref.]]="Dentro",IF(DATOS_[[Check Equiparado]:[Check Equiparado]]="Sí",IF(DATOS!AK$4="Sí",(1/DATOS_[[% anualiz]:[% anualiz]]),1)*IF(DATOS!AK$5="Sí",1/DATOS_[[% normaliz]:[% normaliz]],1)*(DATOS_[Conc.Sal.07])))))))), 0)</f>
        <v>0</v>
      </c>
      <c r="Q46" s="250" t="n">
        <f aca="false" t="array" ref="Q46:Q46">IFERROR( (MEDIAN((IF(DATOS_[[Sexo]:[Sexo]]=$B46,IF(DATOS_[[AGRUP. VALOR. PTO.]:[AGRUP. VALOR. PTO.]]=$B45,IF(DATOS_[[Check Periodo Ref.]:[Check Periodo Ref.]]="Dentro",IF(DATOS_[[Check Equiparado]:[Check Equiparado]]="Sí",IF(DATOS!AL$4="Sí",(1/DATOS_[[% anualiz]:[% anualiz]]),1)*IF(DATOS!AL$5="Sí",1/DATOS_[[% normaliz]:[% normaliz]],1)*(DATOS_[Conc.Sal.08])))))))), 0)</f>
        <v>0</v>
      </c>
      <c r="R46" s="250" t="n">
        <f aca="false" t="array" ref="R46:R46">IFERROR( (MEDIAN((IF(DATOS_[[Sexo]:[Sexo]]=$B46,IF(DATOS_[[AGRUP. VALOR. PTO.]:[AGRUP. VALOR. PTO.]]=$B45,IF(DATOS_[[Check Periodo Ref.]:[Check Periodo Ref.]]="Dentro",IF(DATOS_[[Check Equiparado]:[Check Equiparado]]="Sí",IF(DATOS!AM$4="Sí",(1/DATOS_[[% anualiz]:[% anualiz]]),1)*IF(DATOS!AM$5="Sí",1/DATOS_[[% normaliz]:[% normaliz]],1)*(DATOS_[Conc.Sal.09])))))))), 0)</f>
        <v>0</v>
      </c>
      <c r="S46" s="250" t="n">
        <f aca="false" t="array" ref="S46:S46">IFERROR( (MEDIAN((IF(DATOS_[[Sexo]:[Sexo]]=$B46,IF(DATOS_[[AGRUP. VALOR. PTO.]:[AGRUP. VALOR. PTO.]]=$B45,IF(DATOS_[[Check Periodo Ref.]:[Check Periodo Ref.]]="Dentro",IF(DATOS_[[Check Equiparado]:[Check Equiparado]]="Sí",IF(DATOS!AN$4="Sí",(1/DATOS_[[% anualiz]:[% anualiz]]),1)*IF(DATOS!AN$5="Sí",1/DATOS_[[% normaliz]:[% normaliz]],1)*(DATOS_[Conc.Sal.10])))))))), 0)</f>
        <v>0</v>
      </c>
      <c r="T46" s="250" t="n">
        <f aca="false" t="array" ref="T46:T46">IFERROR( (MEDIAN((IF(DATOS_[[Sexo]:[Sexo]]=$B46,IF(DATOS_[[AGRUP. VALOR. PTO.]:[AGRUP. VALOR. PTO.]]=$B45,IF(DATOS_[[Check Periodo Ref.]:[Check Periodo Ref.]]="Dentro",IF(DATOS_[[Check Equiparado]:[Check Equiparado]]="Sí",IF(DATOS!AO$4="Sí",(1/DATOS_[[% anualiz]:[% anualiz]]),1)*IF(DATOS!AO$5="Sí",1/DATOS_[[% normaliz]:[% normaliz]],1)*(DATOS_[Conc.Sal.11])))))))), 0)</f>
        <v>0</v>
      </c>
      <c r="U46" s="250" t="n">
        <f aca="false" t="array" ref="U46:U46">IFERROR( (MEDIAN((IF(DATOS_[[Sexo]:[Sexo]]=$B46,IF(DATOS_[[AGRUP. VALOR. PTO.]:[AGRUP. VALOR. PTO.]]=$B45,IF(DATOS_[[Check Periodo Ref.]:[Check Periodo Ref.]]="Dentro",IF(DATOS_[[Check Equiparado]:[Check Equiparado]]="Sí",IF(DATOS!AP$4="Sí",(1/DATOS_[[% anualiz]:[% anualiz]]),1)*IF(DATOS!AP$5="Sí",1/DATOS_[[% normaliz]:[% normaliz]],1)*(DATOS_[Conc.Sal.12])))))))), 0)</f>
        <v>0</v>
      </c>
      <c r="V46" s="250" t="n">
        <f aca="false" t="array" ref="V46:V46">IFERROR( (MEDIAN((IF(DATOS_[[Sexo]:[Sexo]]=$B46,IF(DATOS_[[AGRUP. VALOR. PTO.]:[AGRUP. VALOR. PTO.]]=$B45,IF(DATOS_[[Check Periodo Ref.]:[Check Periodo Ref.]]="Dentro",IF(DATOS_[[Check Equiparado]:[Check Equiparado]]="Sí",IF(DATOS!AQ$4="Sí",(1/DATOS_[[% anualiz]:[% anualiz]]),1)*IF(DATOS!AQ$5="Sí",1/DATOS_[[% normaliz]:[% normaliz]],1)*(DATOS_[Conc.Sal.13])))))))), 0)</f>
        <v>0</v>
      </c>
      <c r="W46" s="250" t="n">
        <f aca="false" t="array" ref="W46:W46">IFERROR( (MEDIAN((IF(DATOS_[[Sexo]:[Sexo]]=$B46,IF(DATOS_[[AGRUP. VALOR. PTO.]:[AGRUP. VALOR. PTO.]]=$B45,IF(DATOS_[[Check Periodo Ref.]:[Check Periodo Ref.]]="Dentro",IF(DATOS_[[Check Equiparado]:[Check Equiparado]]="Sí",IF(DATOS!AR$4="Sí",(1/DATOS_[[% anualiz]:[% anualiz]]),1)*IF(DATOS!AR$5="Sí",1/DATOS_[[% normaliz]:[% normaliz]],1)*(DATOS_[Conc.Sal.14])))))))), 0)</f>
        <v>0</v>
      </c>
      <c r="X46" s="250" t="n">
        <f aca="false" t="array" ref="X46:X46">IFERROR( (MEDIAN((IF(DATOS_[[Sexo]:[Sexo]]=$B46,IF(DATOS_[[AGRUP. VALOR. PTO.]:[AGRUP. VALOR. PTO.]]=$B45,IF(DATOS_[[Check Periodo Ref.]:[Check Periodo Ref.]]="Dentro",IF(DATOS_[[Check Equiparado]:[Check Equiparado]]="Sí",IF(DATOS!AS$4="Sí",(1/DATOS_[[% anualiz]:[% anualiz]]),1)*IF(DATOS!AS$5="Sí",1/DATOS_[[% normaliz]:[% normaliz]],1)*(DATOS_[Conc.Sal.15])))))))), 0)</f>
        <v>0</v>
      </c>
      <c r="Y46" s="250" t="n">
        <f aca="false" t="array" ref="Y46:Y46">IFERROR( (MEDIAN((IF(DATOS_[[Sexo]:[Sexo]]=$B46,IF(DATOS_[[AGRUP. VALOR. PTO.]:[AGRUP. VALOR. PTO.]]=$B45,IF(DATOS_[[Check Periodo Ref.]:[Check Periodo Ref.]]="Dentro",IF(DATOS_[[Check Equiparado]:[Check Equiparado]]="Sí",IF(DATOS!AT$4="Sí",(1/DATOS_[[% anualiz]:[% anualiz]]),1)*IF(DATOS!AT$5="Sí",1/DATOS_[[% normaliz]:[% normaliz]],1)*(DATOS_[Conc.Sal.16])))))))), 0)</f>
        <v>0</v>
      </c>
      <c r="Z46" s="250" t="n">
        <f aca="false" t="array" ref="Z46:Z46">IFERROR( (MEDIAN((IF(DATOS_[[Sexo]:[Sexo]]=$B46,IF(DATOS_[[AGRUP. VALOR. PTO.]:[AGRUP. VALOR. PTO.]]=$B45,IF(DATOS_[[Check Periodo Ref.]:[Check Periodo Ref.]]="Dentro",IF(DATOS_[[Check Equiparado]:[Check Equiparado]]="Sí",IF(DATOS!AU$4="Sí",(1/DATOS_[[% anualiz]:[% anualiz]]),1)*IF(DATOS!AU$5="Sí",1/DATOS_[[% normaliz]:[% normaliz]],1)*(DATOS_[Conc.Sal.17])))))))), 0)</f>
        <v>0</v>
      </c>
      <c r="AA46" s="250" t="n">
        <f aca="false" t="array" ref="AA46:AA46">IFERROR( (MEDIAN((IF(DATOS_[[Sexo]:[Sexo]]=$B46,IF(DATOS_[[AGRUP. VALOR. PTO.]:[AGRUP. VALOR. PTO.]]=$B45,IF(DATOS_[[Check Periodo Ref.]:[Check Periodo Ref.]]="Dentro",IF(DATOS_[[Check Equiparado]:[Check Equiparado]]="Sí",IF(DATOS!AV$4="Sí",(1/DATOS_[[% anualiz]:[% anualiz]]),1)*IF(DATOS!AV$5="Sí",1/DATOS_[[% normaliz]:[% normaliz]],1)*(DATOS_[Conc.Sal.18])))))))), 0)</f>
        <v>0</v>
      </c>
      <c r="AB46" s="250" t="n">
        <f aca="false" t="array" ref="AB46:AB46">IFERROR( (MEDIAN((IF(DATOS_[[Sexo]:[Sexo]]=$B46,IF(DATOS_[[AGRUP. VALOR. PTO.]:[AGRUP. VALOR. PTO.]]=$B45,IF(DATOS_[[Check Periodo Ref.]:[Check Periodo Ref.]]="Dentro",IF(DATOS_[[Check Equiparado]:[Check Equiparado]]="Sí",IF(DATOS!AW$4="Sí",(1/DATOS_[[% anualiz]:[% anualiz]]),1)*IF(DATOS!AW$5="Sí",1/DATOS_[[% normaliz]:[% normaliz]],1)*(DATOS_[Conc.Sal.19])))))))), 0)</f>
        <v>0</v>
      </c>
      <c r="AC46" s="250" t="n">
        <f aca="false" t="array" ref="AC46:AC46">IFERROR( (MEDIAN((IF(DATOS_[[Sexo]:[Sexo]]=$B46,IF(DATOS_[[AGRUP. VALOR. PTO.]:[AGRUP. VALOR. PTO.]]=$B45,IF(DATOS_[[Check Periodo Ref.]:[Check Periodo Ref.]]="Dentro",IF(DATOS_[[Check Equiparado]:[Check Equiparado]]="Sí",IF(DATOS!AX$4="Sí",(1/DATOS_[[% anualiz]:[% anualiz]]),1)*IF(DATOS!AX$5="Sí",1/DATOS_[[% normaliz]:[% normaliz]],1)*(DATOS_[Conc.Sal.20])))))))), 0)</f>
        <v>0</v>
      </c>
      <c r="AD46" s="250" t="n">
        <f aca="false" t="array" ref="AD46:AD46">IFERROR( (MEDIAN((IF(DATOS_[[Sexo]:[Sexo]]=$B46,IF(DATOS_[[AGRUP. VALOR. PTO.]:[AGRUP. VALOR. PTO.]]=$B45,IF(DATOS_[[Check Periodo Ref.]:[Check Periodo Ref.]]="Dentro",IF(DATOS_[[Check Equiparado]:[Check Equiparado]]="Sí",IF(DATOS!AY$4="Sí",(1/DATOS_[[% anualiz]:[% anualiz]]),1)*IF(DATOS!AY$5="Sí",1/DATOS_[[% normaliz]:[% normaliz]],1)*(DATOS_[Conc.Sal.21])))))))), 0)</f>
        <v>0</v>
      </c>
      <c r="AE46" s="250" t="n">
        <f aca="false" t="array" ref="AE46:AE46">IFERROR( (MEDIAN((IF(DATOS_[[Sexo]:[Sexo]]=$B46,IF(DATOS_[[AGRUP. VALOR. PTO.]:[AGRUP. VALOR. PTO.]]=$B45,IF(DATOS_[[Check Periodo Ref.]:[Check Periodo Ref.]]="Dentro",IF(DATOS_[[Check Equiparado]:[Check Equiparado]]="Sí",IF(DATOS!AZ$4="Sí",(1/DATOS_[[% anualiz]:[% anualiz]]),1)*IF(DATOS!AZ$5="Sí",1/DATOS_[[% normaliz]:[% normaliz]],1)*(DATOS_[Conc.Sal.22])))))))), 0)</f>
        <v>0</v>
      </c>
      <c r="AF46" s="250" t="n">
        <f aca="false" t="array" ref="AF46:AF46">IFERROR( (MEDIAN((IF(DATOS_[[Sexo]:[Sexo]]=$B46,IF(DATOS_[[AGRUP. VALOR. PTO.]:[AGRUP. VALOR. PTO.]]=$B45,IF(DATOS_[[Check Periodo Ref.]:[Check Periodo Ref.]]="Dentro",IF(DATOS_[[Check Equiparado]:[Check Equiparado]]="Sí",IF(DATOS!BA$4="Sí",(1/DATOS_[[% anualiz]:[% anualiz]]),1)*IF(DATOS!BA$5="Sí",1/DATOS_[[% normaliz]:[% normaliz]],1)*(DATOS_[Conc.Sal.23])))))))), 0)</f>
        <v>0</v>
      </c>
      <c r="AG46" s="250" t="n">
        <f aca="false" t="array" ref="AG46:AG46">IFERROR( (MEDIAN((IF(DATOS_[[Sexo]:[Sexo]]=$B46,IF(DATOS_[[AGRUP. VALOR. PTO.]:[AGRUP. VALOR. PTO.]]=$B45,IF(DATOS_[[Check Periodo Ref.]:[Check Periodo Ref.]]="Dentro",IF(DATOS_[[Check Equiparado]:[Check Equiparado]]="Sí",IF(DATOS!BB$4="Sí",(1/DATOS_[[% anualiz]:[% anualiz]]),1)*IF(DATOS!BB$5="Sí",1/DATOS_[[% normaliz]:[% normaliz]],1)*(DATOS_[Conc.Sal.24])))))))), 0)</f>
        <v>0</v>
      </c>
      <c r="AH46" s="250" t="n">
        <f aca="false" t="array" ref="AH46:AH46">IFERROR( (MEDIAN((IF(DATOS_[[Sexo]:[Sexo]]=$B46,IF(DATOS_[[AGRUP. VALOR. PTO.]:[AGRUP. VALOR. PTO.]]=$B45,IF(DATOS_[[Check Periodo Ref.]:[Check Periodo Ref.]]="Dentro",IF(DATOS_[[Check Equiparado]:[Check Equiparado]]="Sí",IF(DATOS!BC$4="Sí",(1/DATOS_[[% anualiz]:[% anualiz]]),1)*IF(DATOS!BC$5="Sí",1/DATOS_[[% normaliz]:[% normaliz]],1)*(DATOS_[Conc.Sal.25])))))))), 0)</f>
        <v>0</v>
      </c>
      <c r="AI46" s="250" t="n">
        <f aca="false" t="array" ref="AI46:AI46">IFERROR( (MEDIAN((IF(DATOS_[[Sexo]:[Sexo]]=$B46,IF(DATOS_[[AGRUP. VALOR. PTO.]:[AGRUP. VALOR. PTO.]]=$B45,IF(DATOS_[[Check Periodo Ref.]:[Check Periodo Ref.]]="Dentro",IF(DATOS_[[Check Equiparado]:[Check Equiparado]]="Sí",IF(DATOS!BD$4="Sí",(1/DATOS_[[% anualiz]:[% anualiz]]),1)*IF(DATOS!BD$5="Sí",1/DATOS_[[% normaliz]:[% normaliz]],1)*(DATOS_[Conc.Sal.26])))))))), 0)</f>
        <v>0</v>
      </c>
      <c r="AJ46" s="250" t="n">
        <f aca="false" t="array" ref="AJ46:AJ46">IFERROR( (MEDIAN((IF(DATOS_[[Sexo]:[Sexo]]=$B46,IF(DATOS_[[AGRUP. VALOR. PTO.]:[AGRUP. VALOR. PTO.]]=$B45,IF(DATOS_[[Check Periodo Ref.]:[Check Periodo Ref.]]="Dentro",IF(DATOS_[[Check Equiparado]:[Check Equiparado]]="Sí",IF(DATOS!BE$4="Sí",(1/DATOS_[[% anualiz]:[% anualiz]]),1)*IF(DATOS!BE$5="Sí",1/DATOS_[[% normaliz]:[% normaliz]],1)*(DATOS_[Conc.Sal.27])))))))), 0)</f>
        <v>0</v>
      </c>
      <c r="AK46" s="250" t="n">
        <f aca="false" t="array" ref="AK46:AK46">IFERROR( (MEDIAN((IF(DATOS_[[Sexo]:[Sexo]]=$B46,IF(DATOS_[[AGRUP. VALOR. PTO.]:[AGRUP. VALOR. PTO.]]=$B45,IF(DATOS_[[Check Periodo Ref.]:[Check Periodo Ref.]]="Dentro",IF(DATOS_[[Check Equiparado]:[Check Equiparado]]="Sí",IF(DATOS!BF$4="Sí",(1/DATOS_[[% anualiz]:[% anualiz]]),1)*IF(DATOS!BF$5="Sí",1/DATOS_[[% normaliz]:[% normaliz]],1)*(DATOS_[Conc.Sal.28])))))))), 0)</f>
        <v>0</v>
      </c>
      <c r="AL46" s="250" t="n">
        <f aca="false" t="array" ref="AL46:AL46">IFERROR( (MEDIAN((IF(DATOS_[[Sexo]:[Sexo]]=$B46,IF(DATOS_[[AGRUP. VALOR. PTO.]:[AGRUP. VALOR. PTO.]]=$B45,IF(DATOS_[[Check Periodo Ref.]:[Check Periodo Ref.]]="Dentro",IF(DATOS_[[Check Equiparado]:[Check Equiparado]]="Sí",IF(DATOS!BG$4="Sí",(1/DATOS_[[% anualiz]:[% anualiz]]),1)*IF(DATOS!BG$5="Sí",1/DATOS_[[% normaliz]:[% normaliz]],1)*(DATOS_[Conc.Sal.29])))))))), 0)</f>
        <v>0</v>
      </c>
      <c r="AM46" s="250" t="n">
        <f aca="false" t="array" ref="AM46:AM46">IFERROR( (MEDIAN((IF(DATOS_[[Sexo]:[Sexo]]=$B46,IF(DATOS_[[AGRUP. VALOR. PTO.]:[AGRUP. VALOR. PTO.]]=$B45,IF(DATOS_[[Check Periodo Ref.]:[Check Periodo Ref.]]="Dentro",IF(DATOS_[[Check Equiparado]:[Check Equiparado]]="Sí",IF(DATOS!BH$4="Sí",(1/DATOS_[[% anualiz]:[% anualiz]]),1)*IF(DATOS!BH$5="Sí",1/DATOS_[[% normaliz]:[% normaliz]],1)*(DATOS_[Conc.Sal.30])))))))), 0)</f>
        <v>0</v>
      </c>
      <c r="AN46" s="251" t="n">
        <f aca="false" t="array" ref="AN46:AN46">IFERROR( MEDIAN(IF(DATOS_[Sexo]=$B46,IF(DATOS_[[AGRUP. VALOR. PTO.]:[AGRUP. VALOR. PTO.]]=$B45,IF(DATOS_[Check Equiparado]="Sí",IF(DATOS_[Check Periodo Ref.]="Dentro",DATOS_[Tot COMPL.SAL Eq],0))))), 0)</f>
        <v>0</v>
      </c>
      <c r="AO46" s="252" t="n">
        <f aca="false" t="array" ref="AO46:AO46">IFERROR( MEDIAN(IF(DATOS_[Sexo]=$B46,IF(DATOS_[[AGRUP. VALOR. PTO.]:[AGRUP. VALOR. PTO.]]=$B45,IF(DATOS_[Check Equiparado]="Sí",IF(DATOS_[Check Periodo Ref.]="Dentro",DATOS_[TOTAL SALARIO Eq],0))))), 0)</f>
        <v>0</v>
      </c>
      <c r="AP46" s="259" t="n">
        <f aca="false" t="array" ref="AP46:AP46">IFERROR( (MEDIAN((IF(DATOS_[[Sexo]:[Sexo]]=$B46,IF(DATOS_[[AGRUP. VALOR. PTO.]:[AGRUP. VALOR. PTO.]]=$B45,IF(DATOS_[[Check Periodo Ref.]:[Check Periodo Ref.]]="Dentro",IF(DATOS_[[Check Equiparado]:[Check Equiparado]]="Sí",IF(DATOS!BI$4="Sí",(1/DATOS_[[% anualiz]:[% anualiz]]),1)*IF(DATOS!BI$5="Sí",1/DATOS_[[% normaliz]:[% normaliz]],1)*(DATOS_[C.Extra.01])))))))), 0)</f>
        <v>0</v>
      </c>
      <c r="AQ46" s="259" t="n">
        <f aca="false" t="array" ref="AQ46:AQ46">IFERROR( (MEDIAN((IF(DATOS_[[Sexo]:[Sexo]]=$B46,IF(DATOS_[[AGRUP. VALOR. PTO.]:[AGRUP. VALOR. PTO.]]=$B45,IF(DATOS_[[Check Periodo Ref.]:[Check Periodo Ref.]]="Dentro",IF(DATOS_[[Check Equiparado]:[Check Equiparado]]="Sí",IF(DATOS!BJ$4="Sí",(1/DATOS_[[% anualiz]:[% anualiz]]),1)*IF(DATOS!BJ$5="Sí",1/DATOS_[[% normaliz]:[% normaliz]],1)*(DATOS_[C.Extra.02])))))))), 0)</f>
        <v>0</v>
      </c>
      <c r="AR46" s="259" t="n">
        <f aca="false" t="array" ref="AR46:AR46">IFERROR( (MEDIAN((IF(DATOS_[[Sexo]:[Sexo]]=$B46,IF(DATOS_[[AGRUP. VALOR. PTO.]:[AGRUP. VALOR. PTO.]]=$B45,IF(DATOS_[[Check Periodo Ref.]:[Check Periodo Ref.]]="Dentro",IF(DATOS_[[Check Equiparado]:[Check Equiparado]]="Sí",IF(DATOS!BK$4="Sí",(1/DATOS_[[% anualiz]:[% anualiz]]),1)*IF(DATOS!BK$5="Sí",1/DATOS_[[% normaliz]:[% normaliz]],1)*(DATOS_[C.Extra.03])))))))), 0)</f>
        <v>0</v>
      </c>
      <c r="AS46" s="259" t="n">
        <f aca="false" t="array" ref="AS46:AS46">IFERROR( (MEDIAN((IF(DATOS_[[Sexo]:[Sexo]]=$B46,IF(DATOS_[[AGRUP. VALOR. PTO.]:[AGRUP. VALOR. PTO.]]=$B45,IF(DATOS_[[Check Periodo Ref.]:[Check Periodo Ref.]]="Dentro",IF(DATOS_[[Check Equiparado]:[Check Equiparado]]="Sí",IF(DATOS!BL$4="Sí",(1/DATOS_[[% anualiz]:[% anualiz]]),1)*IF(DATOS!BL$5="Sí",1/DATOS_[[% normaliz]:[% normaliz]],1)*(DATOS_[C.Extra.04])))))))), 0)</f>
        <v>0</v>
      </c>
      <c r="AT46" s="259" t="n">
        <f aca="false" t="array" ref="AT46:AT46">IFERROR( (MEDIAN((IF(DATOS_[[Sexo]:[Sexo]]=$B46,IF(DATOS_[[AGRUP. VALOR. PTO.]:[AGRUP. VALOR. PTO.]]=$B45,IF(DATOS_[[Check Periodo Ref.]:[Check Periodo Ref.]]="Dentro",IF(DATOS_[[Check Equiparado]:[Check Equiparado]]="Sí",IF(DATOS!BM$4="Sí",(1/DATOS_[[% anualiz]:[% anualiz]]),1)*IF(DATOS!BM$5="Sí",1/DATOS_[[% normaliz]:[% normaliz]],1)*(DATOS_[C.Extra.05])))))))), 0)</f>
        <v>0</v>
      </c>
      <c r="AU46" s="254" t="n">
        <f aca="false" t="array" ref="AU46:AU46">IFERROR( MEDIAN(IF(DATOS_[Sexo]=$B46,IF(DATOS_[[AGRUP. VALOR. PTO.]:[AGRUP. VALOR. PTO.]]=$B45,IF(DATOS_[Check Equiparado]="Sí",IF(DATOS_[Check Periodo Ref.]="Dentro",DATOS_[Tot Extrasalarial Eq],0))))), 0)</f>
        <v>0</v>
      </c>
      <c r="AV46" s="255" t="n">
        <f aca="false" t="array" ref="AV46:AV46">IFERROR( MEDIAN(IF(DATOS_[Sexo]=$B46,IF(DATOS_[[AGRUP. VALOR. PTO.]:[AGRUP. VALOR. PTO.]]=$B45,IF(DATOS_[Check Equiparado]="Sí",IF(DATOS_[Check Periodo Ref.]="Dentro",DATOS_[TOTAL Retrib Eq],0))))), 0)</f>
        <v>0</v>
      </c>
    </row>
    <row r="47" customFormat="false" ht="14.25" hidden="false" customHeight="false" outlineLevel="0" collapsed="false">
      <c r="A47" s="217" t="str">
        <f aca="false">+A46</f>
        <v>[ocultar]</v>
      </c>
      <c r="B47" s="323" t="s">
        <v>372</v>
      </c>
      <c r="C47" s="247" t="n">
        <f aca="false" t="array" ref="C47:C47">SUM(IF($B47=DATOS_[Sexo], IF($B45=DATOS_[AGRUP. VALOR. PTO.], IF("Dentro"=DATOS_[Check Periodo Ref.], 1/(COUNTIFS(DATOS_[Sexo],$B47,DATOS_[AGRUP. VALOR. PTO.],$B45,DATOS_[Check Periodo Ref.],"Dentro",DATOS_[id],DATOS_[id]))))))</f>
        <v>0</v>
      </c>
      <c r="D47" s="248" t="n">
        <f aca="false">COUNTIFS(DATOS_[AGRUP. VALOR. PTO.],$B45,DATOS_[Sexo],$B47,DATOS_[Check Periodo Ref.],"Dentro")</f>
        <v>0</v>
      </c>
      <c r="E47" s="248" t="n">
        <f aca="false">COUNTIFS(DATOS_[AGRUP. VALOR. PTO.],$B45,DATOS_[Sexo],$B47,DATOS_[Check Periodo Ref.],"Dentro",DATOS_[Check Nº SC Norm],"Sí")</f>
        <v>0</v>
      </c>
      <c r="F47" s="248" t="n">
        <f aca="false">COUNTIFS(DATOS_[AGRUP. VALOR. PTO.],$B45,DATOS_[Sexo],$B47,DATOS_[Check Periodo Ref.],"Dentro",DATOS_[Check Nº SC Anualiz],"Sí")</f>
        <v>0</v>
      </c>
      <c r="G47" s="248" t="n">
        <f aca="false">COUNTIFS(DATOS_[AGRUP. VALOR. PTO.],$B45,DATOS_[Sexo],$B47,DATOS_[Check Periodo Ref.],"Dentro",DATOS_[Check Nº SC Norm y Anualiz],"Sí")</f>
        <v>0</v>
      </c>
      <c r="H47" s="248" t="n">
        <f aca="false">COUNTIFS(DATOS_[AGRUP. VALOR. PTO.],$B45,DATOS_[Sexo],$B47,DATOS_[Check Periodo Ref.],"Dentro",DATOS_[Check Equiparación],"Sí")</f>
        <v>0</v>
      </c>
      <c r="I47" s="249" t="n">
        <f aca="false" t="array" ref="I47:I47">IFERROR( MEDIAN(IF(DATOS_[Sexo]=$B47,IF(DATOS_[[AGRUP. VALOR. PTO.]:[AGRUP. VALOR. PTO.]]=$B45,IF(DATOS_[Check Equiparado]="Sí",IF(DATOS_[Check Periodo Ref.]="Dentro",DATOS_[SALARIO BASE Eq],0))))), 0)</f>
        <v>0</v>
      </c>
      <c r="J47" s="250" t="n">
        <f aca="false" t="array" ref="J47:J47">IFERROR( (MEDIAN((IF(DATOS_[[Sexo]:[Sexo]]=$B47,IF(DATOS_[[AGRUP. VALOR. PTO.]:[AGRUP. VALOR. PTO.]]=$B45,IF(DATOS_[[Check Periodo Ref.]:[Check Periodo Ref.]]="Dentro",IF(DATOS_[[Check Equiparado]:[Check Equiparado]]="Sí",IF(DATOS!AE$4="Sí",(1/DATOS_[[% anualiz]:[% anualiz]]),1)*IF(DATOS!AE$5="Sí",1/DATOS_[[% normaliz]:[% normaliz]],1)*(DATOS_[Conc.Sal.01])))))))), 0)</f>
        <v>0</v>
      </c>
      <c r="K47" s="250" t="n">
        <f aca="false" t="array" ref="K47:K47">IFERROR( (MEDIAN((IF(DATOS_[[Sexo]:[Sexo]]=$B47,IF(DATOS_[[AGRUP. VALOR. PTO.]:[AGRUP. VALOR. PTO.]]=$B45,IF(DATOS_[[Check Periodo Ref.]:[Check Periodo Ref.]]="Dentro",IF(DATOS_[[Check Equiparado]:[Check Equiparado]]="Sí",IF(DATOS!AF$4="Sí",(1/DATOS_[[% anualiz]:[% anualiz]]),1)*IF(DATOS!AF$5="Sí",1/DATOS_[[% normaliz]:[% normaliz]],1)*(DATOS_[Conc.Sal.02])))))))), 0)</f>
        <v>0</v>
      </c>
      <c r="L47" s="250" t="n">
        <f aca="false" t="array" ref="L47:L47">IFERROR( (MEDIAN((IF(DATOS_[[Sexo]:[Sexo]]=$B47,IF(DATOS_[[AGRUP. VALOR. PTO.]:[AGRUP. VALOR. PTO.]]=$B45,IF(DATOS_[[Check Periodo Ref.]:[Check Periodo Ref.]]="Dentro",IF(DATOS_[[Check Equiparado]:[Check Equiparado]]="Sí",IF(DATOS!AG$4="Sí",(1/DATOS_[[% anualiz]:[% anualiz]]),1)*IF(DATOS!AG$5="Sí",1/DATOS_[[% normaliz]:[% normaliz]],1)*(DATOS_[Conc.Sal.03])))))))), 0)</f>
        <v>0</v>
      </c>
      <c r="M47" s="250" t="n">
        <f aca="false" t="array" ref="M47:M47">IFERROR( (MEDIAN((IF(DATOS_[[Sexo]:[Sexo]]=$B47,IF(DATOS_[[AGRUP. VALOR. PTO.]:[AGRUP. VALOR. PTO.]]=$B45,IF(DATOS_[[Check Periodo Ref.]:[Check Periodo Ref.]]="Dentro",IF(DATOS_[[Check Equiparado]:[Check Equiparado]]="Sí",IF(DATOS!AH$4="Sí",(1/DATOS_[[% anualiz]:[% anualiz]]),1)*IF(DATOS!AH$5="Sí",1/DATOS_[[% normaliz]:[% normaliz]],1)*(DATOS_[Conc.Sal.04])))))))), 0)</f>
        <v>0</v>
      </c>
      <c r="N47" s="250" t="n">
        <f aca="false" t="array" ref="N47:N47">IFERROR( (MEDIAN((IF(DATOS_[[Sexo]:[Sexo]]=$B47,IF(DATOS_[[AGRUP. VALOR. PTO.]:[AGRUP. VALOR. PTO.]]=$B45,IF(DATOS_[[Check Periodo Ref.]:[Check Periodo Ref.]]="Dentro",IF(DATOS_[[Check Equiparado]:[Check Equiparado]]="Sí",IF(DATOS!AI$4="Sí",(1/DATOS_[[% anualiz]:[% anualiz]]),1)*IF(DATOS!AI$5="Sí",1/DATOS_[[% normaliz]:[% normaliz]],1)*(DATOS_[Conc.Sal.05])))))))), 0)</f>
        <v>0</v>
      </c>
      <c r="O47" s="250" t="n">
        <f aca="false" t="array" ref="O47:O47">IFERROR( (MEDIAN((IF(DATOS_[[Sexo]:[Sexo]]=$B47,IF(DATOS_[[AGRUP. VALOR. PTO.]:[AGRUP. VALOR. PTO.]]=$B45,IF(DATOS_[[Check Periodo Ref.]:[Check Periodo Ref.]]="Dentro",IF(DATOS_[[Check Equiparado]:[Check Equiparado]]="Sí",IF(DATOS!AJ$4="Sí",(1/DATOS_[[% anualiz]:[% anualiz]]),1)*IF(DATOS!AJ$5="Sí",1/DATOS_[[% normaliz]:[% normaliz]],1)*(DATOS_[Conc.Sal.06])))))))), 0)</f>
        <v>0</v>
      </c>
      <c r="P47" s="250" t="n">
        <f aca="false" t="array" ref="P47:P47">IFERROR( (MEDIAN((IF(DATOS_[[Sexo]:[Sexo]]=$B47,IF(DATOS_[[AGRUP. VALOR. PTO.]:[AGRUP. VALOR. PTO.]]=$B45,IF(DATOS_[[Check Periodo Ref.]:[Check Periodo Ref.]]="Dentro",IF(DATOS_[[Check Equiparado]:[Check Equiparado]]="Sí",IF(DATOS!AK$4="Sí",(1/DATOS_[[% anualiz]:[% anualiz]]),1)*IF(DATOS!AK$5="Sí",1/DATOS_[[% normaliz]:[% normaliz]],1)*(DATOS_[Conc.Sal.07])))))))), 0)</f>
        <v>0</v>
      </c>
      <c r="Q47" s="250" t="n">
        <f aca="false" t="array" ref="Q47:Q47">IFERROR( (MEDIAN((IF(DATOS_[[Sexo]:[Sexo]]=$B47,IF(DATOS_[[AGRUP. VALOR. PTO.]:[AGRUP. VALOR. PTO.]]=$B45,IF(DATOS_[[Check Periodo Ref.]:[Check Periodo Ref.]]="Dentro",IF(DATOS_[[Check Equiparado]:[Check Equiparado]]="Sí",IF(DATOS!AL$4="Sí",(1/DATOS_[[% anualiz]:[% anualiz]]),1)*IF(DATOS!AL$5="Sí",1/DATOS_[[% normaliz]:[% normaliz]],1)*(DATOS_[Conc.Sal.08])))))))), 0)</f>
        <v>0</v>
      </c>
      <c r="R47" s="250" t="n">
        <f aca="false" t="array" ref="R47:R47">IFERROR( (MEDIAN((IF(DATOS_[[Sexo]:[Sexo]]=$B47,IF(DATOS_[[AGRUP. VALOR. PTO.]:[AGRUP. VALOR. PTO.]]=$B45,IF(DATOS_[[Check Periodo Ref.]:[Check Periodo Ref.]]="Dentro",IF(DATOS_[[Check Equiparado]:[Check Equiparado]]="Sí",IF(DATOS!AM$4="Sí",(1/DATOS_[[% anualiz]:[% anualiz]]),1)*IF(DATOS!AM$5="Sí",1/DATOS_[[% normaliz]:[% normaliz]],1)*(DATOS_[Conc.Sal.09])))))))), 0)</f>
        <v>0</v>
      </c>
      <c r="S47" s="250" t="n">
        <f aca="false" t="array" ref="S47:S47">IFERROR( (MEDIAN((IF(DATOS_[[Sexo]:[Sexo]]=$B47,IF(DATOS_[[AGRUP. VALOR. PTO.]:[AGRUP. VALOR. PTO.]]=$B45,IF(DATOS_[[Check Periodo Ref.]:[Check Periodo Ref.]]="Dentro",IF(DATOS_[[Check Equiparado]:[Check Equiparado]]="Sí",IF(DATOS!AN$4="Sí",(1/DATOS_[[% anualiz]:[% anualiz]]),1)*IF(DATOS!AN$5="Sí",1/DATOS_[[% normaliz]:[% normaliz]],1)*(DATOS_[Conc.Sal.10])))))))), 0)</f>
        <v>0</v>
      </c>
      <c r="T47" s="250" t="n">
        <f aca="false" t="array" ref="T47:T47">IFERROR( (MEDIAN((IF(DATOS_[[Sexo]:[Sexo]]=$B47,IF(DATOS_[[AGRUP. VALOR. PTO.]:[AGRUP. VALOR. PTO.]]=$B45,IF(DATOS_[[Check Periodo Ref.]:[Check Periodo Ref.]]="Dentro",IF(DATOS_[[Check Equiparado]:[Check Equiparado]]="Sí",IF(DATOS!AO$4="Sí",(1/DATOS_[[% anualiz]:[% anualiz]]),1)*IF(DATOS!AO$5="Sí",1/DATOS_[[% normaliz]:[% normaliz]],1)*(DATOS_[Conc.Sal.11])))))))), 0)</f>
        <v>0</v>
      </c>
      <c r="U47" s="250" t="n">
        <f aca="false" t="array" ref="U47:U47">IFERROR( (MEDIAN((IF(DATOS_[[Sexo]:[Sexo]]=$B47,IF(DATOS_[[AGRUP. VALOR. PTO.]:[AGRUP. VALOR. PTO.]]=$B45,IF(DATOS_[[Check Periodo Ref.]:[Check Periodo Ref.]]="Dentro",IF(DATOS_[[Check Equiparado]:[Check Equiparado]]="Sí",IF(DATOS!AP$4="Sí",(1/DATOS_[[% anualiz]:[% anualiz]]),1)*IF(DATOS!AP$5="Sí",1/DATOS_[[% normaliz]:[% normaliz]],1)*(DATOS_[Conc.Sal.12])))))))), 0)</f>
        <v>0</v>
      </c>
      <c r="V47" s="250" t="n">
        <f aca="false" t="array" ref="V47:V47">IFERROR( (MEDIAN((IF(DATOS_[[Sexo]:[Sexo]]=$B47,IF(DATOS_[[AGRUP. VALOR. PTO.]:[AGRUP. VALOR. PTO.]]=$B45,IF(DATOS_[[Check Periodo Ref.]:[Check Periodo Ref.]]="Dentro",IF(DATOS_[[Check Equiparado]:[Check Equiparado]]="Sí",IF(DATOS!AQ$4="Sí",(1/DATOS_[[% anualiz]:[% anualiz]]),1)*IF(DATOS!AQ$5="Sí",1/DATOS_[[% normaliz]:[% normaliz]],1)*(DATOS_[Conc.Sal.13])))))))), 0)</f>
        <v>0</v>
      </c>
      <c r="W47" s="250" t="n">
        <f aca="false" t="array" ref="W47:W47">IFERROR( (MEDIAN((IF(DATOS_[[Sexo]:[Sexo]]=$B47,IF(DATOS_[[AGRUP. VALOR. PTO.]:[AGRUP. VALOR. PTO.]]=$B45,IF(DATOS_[[Check Periodo Ref.]:[Check Periodo Ref.]]="Dentro",IF(DATOS_[[Check Equiparado]:[Check Equiparado]]="Sí",IF(DATOS!AR$4="Sí",(1/DATOS_[[% anualiz]:[% anualiz]]),1)*IF(DATOS!AR$5="Sí",1/DATOS_[[% normaliz]:[% normaliz]],1)*(DATOS_[Conc.Sal.14])))))))), 0)</f>
        <v>0</v>
      </c>
      <c r="X47" s="250" t="n">
        <f aca="false" t="array" ref="X47:X47">IFERROR( (MEDIAN((IF(DATOS_[[Sexo]:[Sexo]]=$B47,IF(DATOS_[[AGRUP. VALOR. PTO.]:[AGRUP. VALOR. PTO.]]=$B45,IF(DATOS_[[Check Periodo Ref.]:[Check Periodo Ref.]]="Dentro",IF(DATOS_[[Check Equiparado]:[Check Equiparado]]="Sí",IF(DATOS!AS$4="Sí",(1/DATOS_[[% anualiz]:[% anualiz]]),1)*IF(DATOS!AS$5="Sí",1/DATOS_[[% normaliz]:[% normaliz]],1)*(DATOS_[Conc.Sal.15])))))))), 0)</f>
        <v>0</v>
      </c>
      <c r="Y47" s="250" t="n">
        <f aca="false" t="array" ref="Y47:Y47">IFERROR( (MEDIAN((IF(DATOS_[[Sexo]:[Sexo]]=$B47,IF(DATOS_[[AGRUP. VALOR. PTO.]:[AGRUP. VALOR. PTO.]]=$B45,IF(DATOS_[[Check Periodo Ref.]:[Check Periodo Ref.]]="Dentro",IF(DATOS_[[Check Equiparado]:[Check Equiparado]]="Sí",IF(DATOS!AT$4="Sí",(1/DATOS_[[% anualiz]:[% anualiz]]),1)*IF(DATOS!AT$5="Sí",1/DATOS_[[% normaliz]:[% normaliz]],1)*(DATOS_[Conc.Sal.16])))))))), 0)</f>
        <v>0</v>
      </c>
      <c r="Z47" s="250" t="n">
        <f aca="false" t="array" ref="Z47:Z47">IFERROR( (MEDIAN((IF(DATOS_[[Sexo]:[Sexo]]=$B47,IF(DATOS_[[AGRUP. VALOR. PTO.]:[AGRUP. VALOR. PTO.]]=$B45,IF(DATOS_[[Check Periodo Ref.]:[Check Periodo Ref.]]="Dentro",IF(DATOS_[[Check Equiparado]:[Check Equiparado]]="Sí",IF(DATOS!AU$4="Sí",(1/DATOS_[[% anualiz]:[% anualiz]]),1)*IF(DATOS!AU$5="Sí",1/DATOS_[[% normaliz]:[% normaliz]],1)*(DATOS_[Conc.Sal.17])))))))), 0)</f>
        <v>0</v>
      </c>
      <c r="AA47" s="250" t="n">
        <f aca="false" t="array" ref="AA47:AA47">IFERROR( (MEDIAN((IF(DATOS_[[Sexo]:[Sexo]]=$B47,IF(DATOS_[[AGRUP. VALOR. PTO.]:[AGRUP. VALOR. PTO.]]=$B45,IF(DATOS_[[Check Periodo Ref.]:[Check Periodo Ref.]]="Dentro",IF(DATOS_[[Check Equiparado]:[Check Equiparado]]="Sí",IF(DATOS!AV$4="Sí",(1/DATOS_[[% anualiz]:[% anualiz]]),1)*IF(DATOS!AV$5="Sí",1/DATOS_[[% normaliz]:[% normaliz]],1)*(DATOS_[Conc.Sal.18])))))))), 0)</f>
        <v>0</v>
      </c>
      <c r="AB47" s="250" t="n">
        <f aca="false" t="array" ref="AB47:AB47">IFERROR( (MEDIAN((IF(DATOS_[[Sexo]:[Sexo]]=$B47,IF(DATOS_[[AGRUP. VALOR. PTO.]:[AGRUP. VALOR. PTO.]]=$B45,IF(DATOS_[[Check Periodo Ref.]:[Check Periodo Ref.]]="Dentro",IF(DATOS_[[Check Equiparado]:[Check Equiparado]]="Sí",IF(DATOS!AW$4="Sí",(1/DATOS_[[% anualiz]:[% anualiz]]),1)*IF(DATOS!AW$5="Sí",1/DATOS_[[% normaliz]:[% normaliz]],1)*(DATOS_[Conc.Sal.19])))))))), 0)</f>
        <v>0</v>
      </c>
      <c r="AC47" s="250" t="n">
        <f aca="false" t="array" ref="AC47:AC47">IFERROR( (MEDIAN((IF(DATOS_[[Sexo]:[Sexo]]=$B47,IF(DATOS_[[AGRUP. VALOR. PTO.]:[AGRUP. VALOR. PTO.]]=$B45,IF(DATOS_[[Check Periodo Ref.]:[Check Periodo Ref.]]="Dentro",IF(DATOS_[[Check Equiparado]:[Check Equiparado]]="Sí",IF(DATOS!AX$4="Sí",(1/DATOS_[[% anualiz]:[% anualiz]]),1)*IF(DATOS!AX$5="Sí",1/DATOS_[[% normaliz]:[% normaliz]],1)*(DATOS_[Conc.Sal.20])))))))), 0)</f>
        <v>0</v>
      </c>
      <c r="AD47" s="250" t="n">
        <f aca="false" t="array" ref="AD47:AD47">IFERROR( (MEDIAN((IF(DATOS_[[Sexo]:[Sexo]]=$B47,IF(DATOS_[[AGRUP. VALOR. PTO.]:[AGRUP. VALOR. PTO.]]=$B45,IF(DATOS_[[Check Periodo Ref.]:[Check Periodo Ref.]]="Dentro",IF(DATOS_[[Check Equiparado]:[Check Equiparado]]="Sí",IF(DATOS!AY$4="Sí",(1/DATOS_[[% anualiz]:[% anualiz]]),1)*IF(DATOS!AY$5="Sí",1/DATOS_[[% normaliz]:[% normaliz]],1)*(DATOS_[Conc.Sal.21])))))))), 0)</f>
        <v>0</v>
      </c>
      <c r="AE47" s="250" t="n">
        <f aca="false" t="array" ref="AE47:AE47">IFERROR( (MEDIAN((IF(DATOS_[[Sexo]:[Sexo]]=$B47,IF(DATOS_[[AGRUP. VALOR. PTO.]:[AGRUP. VALOR. PTO.]]=$B45,IF(DATOS_[[Check Periodo Ref.]:[Check Periodo Ref.]]="Dentro",IF(DATOS_[[Check Equiparado]:[Check Equiparado]]="Sí",IF(DATOS!AZ$4="Sí",(1/DATOS_[[% anualiz]:[% anualiz]]),1)*IF(DATOS!AZ$5="Sí",1/DATOS_[[% normaliz]:[% normaliz]],1)*(DATOS_[Conc.Sal.22])))))))), 0)</f>
        <v>0</v>
      </c>
      <c r="AF47" s="250" t="n">
        <f aca="false" t="array" ref="AF47:AF47">IFERROR( (MEDIAN((IF(DATOS_[[Sexo]:[Sexo]]=$B47,IF(DATOS_[[AGRUP. VALOR. PTO.]:[AGRUP. VALOR. PTO.]]=$B45,IF(DATOS_[[Check Periodo Ref.]:[Check Periodo Ref.]]="Dentro",IF(DATOS_[[Check Equiparado]:[Check Equiparado]]="Sí",IF(DATOS!BA$4="Sí",(1/DATOS_[[% anualiz]:[% anualiz]]),1)*IF(DATOS!BA$5="Sí",1/DATOS_[[% normaliz]:[% normaliz]],1)*(DATOS_[Conc.Sal.23])))))))), 0)</f>
        <v>0</v>
      </c>
      <c r="AG47" s="250" t="n">
        <f aca="false" t="array" ref="AG47:AG47">IFERROR( (MEDIAN((IF(DATOS_[[Sexo]:[Sexo]]=$B47,IF(DATOS_[[AGRUP. VALOR. PTO.]:[AGRUP. VALOR. PTO.]]=$B45,IF(DATOS_[[Check Periodo Ref.]:[Check Periodo Ref.]]="Dentro",IF(DATOS_[[Check Equiparado]:[Check Equiparado]]="Sí",IF(DATOS!BB$4="Sí",(1/DATOS_[[% anualiz]:[% anualiz]]),1)*IF(DATOS!BB$5="Sí",1/DATOS_[[% normaliz]:[% normaliz]],1)*(DATOS_[Conc.Sal.24])))))))), 0)</f>
        <v>0</v>
      </c>
      <c r="AH47" s="250" t="n">
        <f aca="false" t="array" ref="AH47:AH47">IFERROR( (MEDIAN((IF(DATOS_[[Sexo]:[Sexo]]=$B47,IF(DATOS_[[AGRUP. VALOR. PTO.]:[AGRUP. VALOR. PTO.]]=$B45,IF(DATOS_[[Check Periodo Ref.]:[Check Periodo Ref.]]="Dentro",IF(DATOS_[[Check Equiparado]:[Check Equiparado]]="Sí",IF(DATOS!BC$4="Sí",(1/DATOS_[[% anualiz]:[% anualiz]]),1)*IF(DATOS!BC$5="Sí",1/DATOS_[[% normaliz]:[% normaliz]],1)*(DATOS_[Conc.Sal.25])))))))), 0)</f>
        <v>0</v>
      </c>
      <c r="AI47" s="250" t="n">
        <f aca="false" t="array" ref="AI47:AI47">IFERROR( (MEDIAN((IF(DATOS_[[Sexo]:[Sexo]]=$B47,IF(DATOS_[[AGRUP. VALOR. PTO.]:[AGRUP. VALOR. PTO.]]=$B45,IF(DATOS_[[Check Periodo Ref.]:[Check Periodo Ref.]]="Dentro",IF(DATOS_[[Check Equiparado]:[Check Equiparado]]="Sí",IF(DATOS!BD$4="Sí",(1/DATOS_[[% anualiz]:[% anualiz]]),1)*IF(DATOS!BD$5="Sí",1/DATOS_[[% normaliz]:[% normaliz]],1)*(DATOS_[Conc.Sal.26])))))))), 0)</f>
        <v>0</v>
      </c>
      <c r="AJ47" s="250" t="n">
        <f aca="false" t="array" ref="AJ47:AJ47">IFERROR( (MEDIAN((IF(DATOS_[[Sexo]:[Sexo]]=$B47,IF(DATOS_[[AGRUP. VALOR. PTO.]:[AGRUP. VALOR. PTO.]]=$B45,IF(DATOS_[[Check Periodo Ref.]:[Check Periodo Ref.]]="Dentro",IF(DATOS_[[Check Equiparado]:[Check Equiparado]]="Sí",IF(DATOS!BE$4="Sí",(1/DATOS_[[% anualiz]:[% anualiz]]),1)*IF(DATOS!BE$5="Sí",1/DATOS_[[% normaliz]:[% normaliz]],1)*(DATOS_[Conc.Sal.27])))))))), 0)</f>
        <v>0</v>
      </c>
      <c r="AK47" s="250" t="n">
        <f aca="false" t="array" ref="AK47:AK47">IFERROR( (MEDIAN((IF(DATOS_[[Sexo]:[Sexo]]=$B47,IF(DATOS_[[AGRUP. VALOR. PTO.]:[AGRUP. VALOR. PTO.]]=$B45,IF(DATOS_[[Check Periodo Ref.]:[Check Periodo Ref.]]="Dentro",IF(DATOS_[[Check Equiparado]:[Check Equiparado]]="Sí",IF(DATOS!BF$4="Sí",(1/DATOS_[[% anualiz]:[% anualiz]]),1)*IF(DATOS!BF$5="Sí",1/DATOS_[[% normaliz]:[% normaliz]],1)*(DATOS_[Conc.Sal.28])))))))), 0)</f>
        <v>0</v>
      </c>
      <c r="AL47" s="250" t="n">
        <f aca="false" t="array" ref="AL47:AL47">IFERROR( (MEDIAN((IF(DATOS_[[Sexo]:[Sexo]]=$B47,IF(DATOS_[[AGRUP. VALOR. PTO.]:[AGRUP. VALOR. PTO.]]=$B45,IF(DATOS_[[Check Periodo Ref.]:[Check Periodo Ref.]]="Dentro",IF(DATOS_[[Check Equiparado]:[Check Equiparado]]="Sí",IF(DATOS!BG$4="Sí",(1/DATOS_[[% anualiz]:[% anualiz]]),1)*IF(DATOS!BG$5="Sí",1/DATOS_[[% normaliz]:[% normaliz]],1)*(DATOS_[Conc.Sal.29])))))))), 0)</f>
        <v>0</v>
      </c>
      <c r="AM47" s="250" t="n">
        <f aca="false" t="array" ref="AM47:AM47">IFERROR( (MEDIAN((IF(DATOS_[[Sexo]:[Sexo]]=$B47,IF(DATOS_[[AGRUP. VALOR. PTO.]:[AGRUP. VALOR. PTO.]]=$B45,IF(DATOS_[[Check Periodo Ref.]:[Check Periodo Ref.]]="Dentro",IF(DATOS_[[Check Equiparado]:[Check Equiparado]]="Sí",IF(DATOS!BH$4="Sí",(1/DATOS_[[% anualiz]:[% anualiz]]),1)*IF(DATOS!BH$5="Sí",1/DATOS_[[% normaliz]:[% normaliz]],1)*(DATOS_[Conc.Sal.30])))))))), 0)</f>
        <v>0</v>
      </c>
      <c r="AN47" s="251" t="n">
        <f aca="false" t="array" ref="AN47:AN47">IFERROR( MEDIAN(IF(DATOS_[Sexo]=$B47,IF(DATOS_[[AGRUP. VALOR. PTO.]:[AGRUP. VALOR. PTO.]]=$B45,IF(DATOS_[Check Equiparado]="Sí",IF(DATOS_[Check Periodo Ref.]="Dentro",DATOS_[Tot COMPL.SAL Eq],0))))), 0)</f>
        <v>0</v>
      </c>
      <c r="AO47" s="252" t="n">
        <f aca="false" t="array" ref="AO47:AO47">IFERROR( MEDIAN(IF(DATOS_[Sexo]=$B47,IF(DATOS_[[AGRUP. VALOR. PTO.]:[AGRUP. VALOR. PTO.]]=$B45,IF(DATOS_[Check Equiparado]="Sí",IF(DATOS_[Check Periodo Ref.]="Dentro",DATOS_[TOTAL SALARIO Eq],0))))), 0)</f>
        <v>0</v>
      </c>
      <c r="AP47" s="259" t="n">
        <f aca="false" t="array" ref="AP47:AP47">IFERROR( (MEDIAN((IF(DATOS_[[Sexo]:[Sexo]]=$B47,IF(DATOS_[[AGRUP. VALOR. PTO.]:[AGRUP. VALOR. PTO.]]=$B46,IF(DATOS_[[Check Periodo Ref.]:[Check Periodo Ref.]]="Dentro",IF(DATOS_[[Check Equiparado]:[Check Equiparado]]="Sí",IF(DATOS!BI$4="Sí",(1/DATOS_[[% anualiz]:[% anualiz]]),1)*IF(DATOS!BI$5="Sí",1/DATOS_[[% normaliz]:[% normaliz]],1)*(DATOS_[C.Extra.01])))))))), 0)</f>
        <v>0</v>
      </c>
      <c r="AQ47" s="259" t="n">
        <f aca="false" t="array" ref="AQ47:AQ47">IFERROR( (MEDIAN((IF(DATOS_[[Sexo]:[Sexo]]=$B47,IF(DATOS_[[AGRUP. VALOR. PTO.]:[AGRUP. VALOR. PTO.]]=$B46,IF(DATOS_[[Check Periodo Ref.]:[Check Periodo Ref.]]="Dentro",IF(DATOS_[[Check Equiparado]:[Check Equiparado]]="Sí",IF(DATOS!BJ$4="Sí",(1/DATOS_[[% anualiz]:[% anualiz]]),1)*IF(DATOS!BJ$5="Sí",1/DATOS_[[% normaliz]:[% normaliz]],1)*(DATOS_[C.Extra.02])))))))), 0)</f>
        <v>0</v>
      </c>
      <c r="AR47" s="259" t="n">
        <f aca="false" t="array" ref="AR47:AR47">IFERROR( (MEDIAN((IF(DATOS_[[Sexo]:[Sexo]]=$B47,IF(DATOS_[[AGRUP. VALOR. PTO.]:[AGRUP. VALOR. PTO.]]=$B46,IF(DATOS_[[Check Periodo Ref.]:[Check Periodo Ref.]]="Dentro",IF(DATOS_[[Check Equiparado]:[Check Equiparado]]="Sí",IF(DATOS!BK$4="Sí",(1/DATOS_[[% anualiz]:[% anualiz]]),1)*IF(DATOS!BK$5="Sí",1/DATOS_[[% normaliz]:[% normaliz]],1)*(DATOS_[C.Extra.03])))))))), 0)</f>
        <v>0</v>
      </c>
      <c r="AS47" s="259" t="n">
        <f aca="false" t="array" ref="AS47:AS47">IFERROR( (MEDIAN((IF(DATOS_[[Sexo]:[Sexo]]=$B47,IF(DATOS_[[AGRUP. VALOR. PTO.]:[AGRUP. VALOR. PTO.]]=$B46,IF(DATOS_[[Check Periodo Ref.]:[Check Periodo Ref.]]="Dentro",IF(DATOS_[[Check Equiparado]:[Check Equiparado]]="Sí",IF(DATOS!BL$4="Sí",(1/DATOS_[[% anualiz]:[% anualiz]]),1)*IF(DATOS!BL$5="Sí",1/DATOS_[[% normaliz]:[% normaliz]],1)*(DATOS_[C.Extra.04])))))))), 0)</f>
        <v>0</v>
      </c>
      <c r="AT47" s="259" t="n">
        <f aca="false" t="array" ref="AT47:AT47">IFERROR( (MEDIAN((IF(DATOS_[[Sexo]:[Sexo]]=$B47,IF(DATOS_[[AGRUP. VALOR. PTO.]:[AGRUP. VALOR. PTO.]]=$B46,IF(DATOS_[[Check Periodo Ref.]:[Check Periodo Ref.]]="Dentro",IF(DATOS_[[Check Equiparado]:[Check Equiparado]]="Sí",IF(DATOS!BM$4="Sí",(1/DATOS_[[% anualiz]:[% anualiz]]),1)*IF(DATOS!BM$5="Sí",1/DATOS_[[% normaliz]:[% normaliz]],1)*(DATOS_[C.Extra.05])))))))), 0)</f>
        <v>0</v>
      </c>
      <c r="AU47" s="254" t="n">
        <f aca="false" t="array" ref="AU47:AU47">IFERROR( MEDIAN(IF(DATOS_[Sexo]=$B47,IF(DATOS_[[AGRUP. VALOR. PTO.]:[AGRUP. VALOR. PTO.]]=$B45,IF(DATOS_[Check Equiparado]="Sí",IF(DATOS_[Check Periodo Ref.]="Dentro",DATOS_[Tot Extrasalarial Eq],0))))), 0)</f>
        <v>0</v>
      </c>
      <c r="AV47" s="255" t="n">
        <f aca="false" t="array" ref="AV47:AV47">IFERROR( MEDIAN(IF(DATOS_[Sexo]=$B47,IF(DATOS_[[AGRUP. VALOR. PTO.]:[AGRUP. VALOR. PTO.]]=$B45,IF(DATOS_[Check Equiparado]="Sí",IF(DATOS_[Check Periodo Ref.]="Dentro",DATOS_[TOTAL Retrib Eq],0))))), 0)</f>
        <v>0</v>
      </c>
    </row>
    <row r="48" customFormat="false" ht="15.75" hidden="false" customHeight="false" outlineLevel="0" collapsed="false">
      <c r="A48" s="217" t="str">
        <f aca="false">+A49</f>
        <v>[ocultar]</v>
      </c>
      <c r="B48" s="320" t="s">
        <v>202</v>
      </c>
      <c r="C48" s="236"/>
      <c r="D48" s="237"/>
      <c r="E48" s="237"/>
      <c r="F48" s="237"/>
      <c r="G48" s="237"/>
      <c r="H48" s="237"/>
      <c r="I48" s="238" t="str">
        <f aca="false">IFERROR((I49-I50)/I49,"")</f>
        <v/>
      </c>
      <c r="J48" s="239" t="str">
        <f aca="false">IFERROR((J49-J50)/J49,"")</f>
        <v/>
      </c>
      <c r="K48" s="239" t="str">
        <f aca="false">IFERROR((K49-K50)/K49,"")</f>
        <v/>
      </c>
      <c r="L48" s="239" t="str">
        <f aca="false">IFERROR((L49-L50)/L49,"")</f>
        <v/>
      </c>
      <c r="M48" s="239" t="str">
        <f aca="false">IFERROR((M49-M50)/M49,"")</f>
        <v/>
      </c>
      <c r="N48" s="239" t="str">
        <f aca="false">IFERROR((N49-N50)/N49,"")</f>
        <v/>
      </c>
      <c r="O48" s="239" t="str">
        <f aca="false">IFERROR((O49-O50)/O49,"")</f>
        <v/>
      </c>
      <c r="P48" s="239" t="str">
        <f aca="false">IFERROR((P49-P50)/P49,"")</f>
        <v/>
      </c>
      <c r="Q48" s="239" t="str">
        <f aca="false">IFERROR((Q49-Q50)/Q49,"")</f>
        <v/>
      </c>
      <c r="R48" s="239" t="str">
        <f aca="false">IFERROR((R49-R50)/R49,"")</f>
        <v/>
      </c>
      <c r="S48" s="239" t="str">
        <f aca="false">IFERROR((S49-S50)/S49,"")</f>
        <v/>
      </c>
      <c r="T48" s="239" t="str">
        <f aca="false">IFERROR((T49-T50)/T49,"")</f>
        <v/>
      </c>
      <c r="U48" s="239" t="str">
        <f aca="false">IFERROR((U49-U50)/U49,"")</f>
        <v/>
      </c>
      <c r="V48" s="239" t="str">
        <f aca="false">IFERROR((V49-V50)/V49,"")</f>
        <v/>
      </c>
      <c r="W48" s="239" t="str">
        <f aca="false">IFERROR((W49-W50)/W49,"")</f>
        <v/>
      </c>
      <c r="X48" s="239" t="str">
        <f aca="false">IFERROR((X49-X50)/X49,"")</f>
        <v/>
      </c>
      <c r="Y48" s="239" t="str">
        <f aca="false">IFERROR((Y49-Y50)/Y49,"")</f>
        <v/>
      </c>
      <c r="Z48" s="240" t="str">
        <f aca="false">IFERROR((Z49-Z50)/Z49,"")</f>
        <v/>
      </c>
      <c r="AA48" s="240" t="str">
        <f aca="false">IFERROR((AA49-AA50)/AA49,"")</f>
        <v/>
      </c>
      <c r="AB48" s="240" t="str">
        <f aca="false">IFERROR((AB49-AB50)/AB49,"")</f>
        <v/>
      </c>
      <c r="AC48" s="240" t="str">
        <f aca="false">IFERROR((AC49-AC50)/AC49,"")</f>
        <v/>
      </c>
      <c r="AD48" s="240" t="str">
        <f aca="false">IFERROR((AD49-AD50)/AD49,"")</f>
        <v/>
      </c>
      <c r="AE48" s="240" t="str">
        <f aca="false">IFERROR((AE49-AE50)/AE49,"")</f>
        <v/>
      </c>
      <c r="AF48" s="240" t="str">
        <f aca="false">IFERROR((AF49-AF50)/AF49,"")</f>
        <v/>
      </c>
      <c r="AG48" s="240" t="str">
        <f aca="false">IFERROR((AG49-AG50)/AG49,"")</f>
        <v/>
      </c>
      <c r="AH48" s="240" t="str">
        <f aca="false">IFERROR((AH49-AH50)/AH49,"")</f>
        <v/>
      </c>
      <c r="AI48" s="240" t="str">
        <f aca="false">IFERROR((AI49-AI50)/AI49,"")</f>
        <v/>
      </c>
      <c r="AJ48" s="240" t="str">
        <f aca="false">IFERROR((AJ49-AJ50)/AJ49,"")</f>
        <v/>
      </c>
      <c r="AK48" s="240" t="str">
        <f aca="false">IFERROR((AK49-AK50)/AK49,"")</f>
        <v/>
      </c>
      <c r="AL48" s="240" t="str">
        <f aca="false">IFERROR((AL49-AL50)/AL49,"")</f>
        <v/>
      </c>
      <c r="AM48" s="240" t="str">
        <f aca="false">IFERROR((AM49-AM50)/AM49,"")</f>
        <v/>
      </c>
      <c r="AN48" s="241" t="str">
        <f aca="false">IFERROR((AN49-AN50)/AN49,"")</f>
        <v/>
      </c>
      <c r="AO48" s="242" t="str">
        <f aca="false">IFERROR((AO49-AO50)/AO49,"")</f>
        <v/>
      </c>
      <c r="AP48" s="243" t="str">
        <f aca="false">IFERROR((AP49-AP50)/AP49,"")</f>
        <v/>
      </c>
      <c r="AQ48" s="243" t="str">
        <f aca="false">IFERROR((AQ49-AQ50)/AQ49,"")</f>
        <v/>
      </c>
      <c r="AR48" s="243" t="str">
        <f aca="false">IFERROR((AR49-AR50)/AR49,"")</f>
        <v/>
      </c>
      <c r="AS48" s="243" t="str">
        <f aca="false">IFERROR((AS49-AS50)/AS49,"")</f>
        <v/>
      </c>
      <c r="AT48" s="243" t="str">
        <f aca="false">IFERROR((AT49-AT50)/AT49,"")</f>
        <v/>
      </c>
      <c r="AU48" s="244" t="str">
        <f aca="false">IFERROR((AU49-AU50)/AU49,"")</f>
        <v/>
      </c>
      <c r="AV48" s="245" t="str">
        <f aca="false">IFERROR((AV49-AV50)/AV49,"")</f>
        <v/>
      </c>
    </row>
    <row r="49" customFormat="false" ht="14.25" hidden="false" customHeight="false" outlineLevel="0" collapsed="false">
      <c r="A49" s="217" t="str">
        <f aca="false">+IF(C49+C50=0,"[ocultar]","")</f>
        <v>[ocultar]</v>
      </c>
      <c r="B49" s="323" t="s">
        <v>371</v>
      </c>
      <c r="C49" s="247" t="n">
        <f aca="false" t="array" ref="C49:C49">SUM(IF($B49=DATOS_[Sexo], IF($B48=DATOS_[AGRUP. VALOR. PTO.], IF("Dentro"=DATOS_[Check Periodo Ref.], 1/(COUNTIFS(DATOS_[Sexo],$B49,DATOS_[AGRUP. VALOR. PTO.],$B48,DATOS_[Check Periodo Ref.],"Dentro",DATOS_[id],DATOS_[id]))))))</f>
        <v>0</v>
      </c>
      <c r="D49" s="248" t="n">
        <f aca="false">COUNTIFS(DATOS_[AGRUP. VALOR. PTO.],$B48,DATOS_[Sexo],$B49,DATOS_[Check Periodo Ref.],"Dentro")</f>
        <v>0</v>
      </c>
      <c r="E49" s="248" t="n">
        <f aca="false">COUNTIFS(DATOS_[AGRUP. VALOR. PTO.],$B48,DATOS_[Sexo],$B49,DATOS_[Check Periodo Ref.],"Dentro",DATOS_[Check Nº SC Norm],"Sí")</f>
        <v>0</v>
      </c>
      <c r="F49" s="248" t="n">
        <f aca="false">COUNTIFS(DATOS_[AGRUP. VALOR. PTO.],$B48,DATOS_[Sexo],$B49,DATOS_[Check Periodo Ref.],"Dentro",DATOS_[Check Nº SC Anualiz],"Sí")</f>
        <v>0</v>
      </c>
      <c r="G49" s="248" t="n">
        <f aca="false">COUNTIFS(DATOS_[AGRUP. VALOR. PTO.],$B48,DATOS_[Sexo],$B49,DATOS_[Check Periodo Ref.],"Dentro",DATOS_[Check Nº SC Norm y Anualiz],"Sí")</f>
        <v>0</v>
      </c>
      <c r="H49" s="248" t="n">
        <f aca="false">COUNTIFS(DATOS_[AGRUP. VALOR. PTO.],$B48,DATOS_[Sexo],$B49,DATOS_[Check Periodo Ref.],"Dentro",DATOS_[Check Equiparación],"Sí")</f>
        <v>0</v>
      </c>
      <c r="I49" s="249" t="n">
        <f aca="false" t="array" ref="I49:I49">IFERROR( MEDIAN(IF(DATOS_[Sexo]=$B49,IF(DATOS_[[AGRUP. VALOR. PTO.]:[AGRUP. VALOR. PTO.]]=$B48,IF(DATOS_[Check Equiparado]="Sí",IF(DATOS_[Check Periodo Ref.]="Dentro",DATOS_[SALARIO BASE Eq],0))))), 0)</f>
        <v>0</v>
      </c>
      <c r="J49" s="250" t="n">
        <f aca="false" t="array" ref="J49:J49">IFERROR( (MEDIAN((IF(DATOS_[[Sexo]:[Sexo]]=$B49,IF(DATOS_[[AGRUP. VALOR. PTO.]:[AGRUP. VALOR. PTO.]]=$B48,IF(DATOS_[[Check Periodo Ref.]:[Check Periodo Ref.]]="Dentro",IF(DATOS_[[Check Equiparado]:[Check Equiparado]]="Sí",IF(DATOS!AE$4="Sí",(1/DATOS_[[% anualiz]:[% anualiz]]),1)*IF(DATOS!AE$5="Sí",1/DATOS_[[% normaliz]:[% normaliz]],1)*(DATOS_[Conc.Sal.01])))))))), 0)</f>
        <v>0</v>
      </c>
      <c r="K49" s="250" t="n">
        <f aca="false" t="array" ref="K49:K49">IFERROR( (MEDIAN((IF(DATOS_[[Sexo]:[Sexo]]=$B49,IF(DATOS_[[AGRUP. VALOR. PTO.]:[AGRUP. VALOR. PTO.]]=$B48,IF(DATOS_[[Check Periodo Ref.]:[Check Periodo Ref.]]="Dentro",IF(DATOS_[[Check Equiparado]:[Check Equiparado]]="Sí",IF(DATOS!AF$4="Sí",(1/DATOS_[[% anualiz]:[% anualiz]]),1)*IF(DATOS!AF$5="Sí",1/DATOS_[[% normaliz]:[% normaliz]],1)*(DATOS_[Conc.Sal.02])))))))), 0)</f>
        <v>0</v>
      </c>
      <c r="L49" s="250" t="n">
        <f aca="false" t="array" ref="L49:L49">IFERROR( (MEDIAN((IF(DATOS_[[Sexo]:[Sexo]]=$B49,IF(DATOS_[[AGRUP. VALOR. PTO.]:[AGRUP. VALOR. PTO.]]=$B48,IF(DATOS_[[Check Periodo Ref.]:[Check Periodo Ref.]]="Dentro",IF(DATOS_[[Check Equiparado]:[Check Equiparado]]="Sí",IF(DATOS!AG$4="Sí",(1/DATOS_[[% anualiz]:[% anualiz]]),1)*IF(DATOS!AG$5="Sí",1/DATOS_[[% normaliz]:[% normaliz]],1)*(DATOS_[Conc.Sal.03])))))))), 0)</f>
        <v>0</v>
      </c>
      <c r="M49" s="250" t="n">
        <f aca="false" t="array" ref="M49:M49">IFERROR( (MEDIAN((IF(DATOS_[[Sexo]:[Sexo]]=$B49,IF(DATOS_[[AGRUP. VALOR. PTO.]:[AGRUP. VALOR. PTO.]]=$B48,IF(DATOS_[[Check Periodo Ref.]:[Check Periodo Ref.]]="Dentro",IF(DATOS_[[Check Equiparado]:[Check Equiparado]]="Sí",IF(DATOS!AH$4="Sí",(1/DATOS_[[% anualiz]:[% anualiz]]),1)*IF(DATOS!AH$5="Sí",1/DATOS_[[% normaliz]:[% normaliz]],1)*(DATOS_[Conc.Sal.04])))))))), 0)</f>
        <v>0</v>
      </c>
      <c r="N49" s="250" t="n">
        <f aca="false" t="array" ref="N49:N49">IFERROR( (MEDIAN((IF(DATOS_[[Sexo]:[Sexo]]=$B49,IF(DATOS_[[AGRUP. VALOR. PTO.]:[AGRUP. VALOR. PTO.]]=$B48,IF(DATOS_[[Check Periodo Ref.]:[Check Periodo Ref.]]="Dentro",IF(DATOS_[[Check Equiparado]:[Check Equiparado]]="Sí",IF(DATOS!AI$4="Sí",(1/DATOS_[[% anualiz]:[% anualiz]]),1)*IF(DATOS!AI$5="Sí",1/DATOS_[[% normaliz]:[% normaliz]],1)*(DATOS_[Conc.Sal.05])))))))), 0)</f>
        <v>0</v>
      </c>
      <c r="O49" s="250" t="n">
        <f aca="false" t="array" ref="O49:O49">IFERROR( (MEDIAN((IF(DATOS_[[Sexo]:[Sexo]]=$B49,IF(DATOS_[[AGRUP. VALOR. PTO.]:[AGRUP. VALOR. PTO.]]=$B48,IF(DATOS_[[Check Periodo Ref.]:[Check Periodo Ref.]]="Dentro",IF(DATOS_[[Check Equiparado]:[Check Equiparado]]="Sí",IF(DATOS!AJ$4="Sí",(1/DATOS_[[% anualiz]:[% anualiz]]),1)*IF(DATOS!AJ$5="Sí",1/DATOS_[[% normaliz]:[% normaliz]],1)*(DATOS_[Conc.Sal.06])))))))), 0)</f>
        <v>0</v>
      </c>
      <c r="P49" s="250" t="n">
        <f aca="false" t="array" ref="P49:P49">IFERROR( (MEDIAN((IF(DATOS_[[Sexo]:[Sexo]]=$B49,IF(DATOS_[[AGRUP. VALOR. PTO.]:[AGRUP. VALOR. PTO.]]=$B48,IF(DATOS_[[Check Periodo Ref.]:[Check Periodo Ref.]]="Dentro",IF(DATOS_[[Check Equiparado]:[Check Equiparado]]="Sí",IF(DATOS!AK$4="Sí",(1/DATOS_[[% anualiz]:[% anualiz]]),1)*IF(DATOS!AK$5="Sí",1/DATOS_[[% normaliz]:[% normaliz]],1)*(DATOS_[Conc.Sal.07])))))))), 0)</f>
        <v>0</v>
      </c>
      <c r="Q49" s="250" t="n">
        <f aca="false" t="array" ref="Q49:Q49">IFERROR( (MEDIAN((IF(DATOS_[[Sexo]:[Sexo]]=$B49,IF(DATOS_[[AGRUP. VALOR. PTO.]:[AGRUP. VALOR. PTO.]]=$B48,IF(DATOS_[[Check Periodo Ref.]:[Check Periodo Ref.]]="Dentro",IF(DATOS_[[Check Equiparado]:[Check Equiparado]]="Sí",IF(DATOS!AL$4="Sí",(1/DATOS_[[% anualiz]:[% anualiz]]),1)*IF(DATOS!AL$5="Sí",1/DATOS_[[% normaliz]:[% normaliz]],1)*(DATOS_[Conc.Sal.08])))))))), 0)</f>
        <v>0</v>
      </c>
      <c r="R49" s="250" t="n">
        <f aca="false" t="array" ref="R49:R49">IFERROR( (MEDIAN((IF(DATOS_[[Sexo]:[Sexo]]=$B49,IF(DATOS_[[AGRUP. VALOR. PTO.]:[AGRUP. VALOR. PTO.]]=$B48,IF(DATOS_[[Check Periodo Ref.]:[Check Periodo Ref.]]="Dentro",IF(DATOS_[[Check Equiparado]:[Check Equiparado]]="Sí",IF(DATOS!AM$4="Sí",(1/DATOS_[[% anualiz]:[% anualiz]]),1)*IF(DATOS!AM$5="Sí",1/DATOS_[[% normaliz]:[% normaliz]],1)*(DATOS_[Conc.Sal.09])))))))), 0)</f>
        <v>0</v>
      </c>
      <c r="S49" s="250" t="n">
        <f aca="false" t="array" ref="S49:S49">IFERROR( (MEDIAN((IF(DATOS_[[Sexo]:[Sexo]]=$B49,IF(DATOS_[[AGRUP. VALOR. PTO.]:[AGRUP. VALOR. PTO.]]=$B48,IF(DATOS_[[Check Periodo Ref.]:[Check Periodo Ref.]]="Dentro",IF(DATOS_[[Check Equiparado]:[Check Equiparado]]="Sí",IF(DATOS!AN$4="Sí",(1/DATOS_[[% anualiz]:[% anualiz]]),1)*IF(DATOS!AN$5="Sí",1/DATOS_[[% normaliz]:[% normaliz]],1)*(DATOS_[Conc.Sal.10])))))))), 0)</f>
        <v>0</v>
      </c>
      <c r="T49" s="250" t="n">
        <f aca="false" t="array" ref="T49:T49">IFERROR( (MEDIAN((IF(DATOS_[[Sexo]:[Sexo]]=$B49,IF(DATOS_[[AGRUP. VALOR. PTO.]:[AGRUP. VALOR. PTO.]]=$B48,IF(DATOS_[[Check Periodo Ref.]:[Check Periodo Ref.]]="Dentro",IF(DATOS_[[Check Equiparado]:[Check Equiparado]]="Sí",IF(DATOS!AO$4="Sí",(1/DATOS_[[% anualiz]:[% anualiz]]),1)*IF(DATOS!AO$5="Sí",1/DATOS_[[% normaliz]:[% normaliz]],1)*(DATOS_[Conc.Sal.11])))))))), 0)</f>
        <v>0</v>
      </c>
      <c r="U49" s="250" t="n">
        <f aca="false" t="array" ref="U49:U49">IFERROR( (MEDIAN((IF(DATOS_[[Sexo]:[Sexo]]=$B49,IF(DATOS_[[AGRUP. VALOR. PTO.]:[AGRUP. VALOR. PTO.]]=$B48,IF(DATOS_[[Check Periodo Ref.]:[Check Periodo Ref.]]="Dentro",IF(DATOS_[[Check Equiparado]:[Check Equiparado]]="Sí",IF(DATOS!AP$4="Sí",(1/DATOS_[[% anualiz]:[% anualiz]]),1)*IF(DATOS!AP$5="Sí",1/DATOS_[[% normaliz]:[% normaliz]],1)*(DATOS_[Conc.Sal.12])))))))), 0)</f>
        <v>0</v>
      </c>
      <c r="V49" s="250" t="n">
        <f aca="false" t="array" ref="V49:V49">IFERROR( (MEDIAN((IF(DATOS_[[Sexo]:[Sexo]]=$B49,IF(DATOS_[[AGRUP. VALOR. PTO.]:[AGRUP. VALOR. PTO.]]=$B48,IF(DATOS_[[Check Periodo Ref.]:[Check Periodo Ref.]]="Dentro",IF(DATOS_[[Check Equiparado]:[Check Equiparado]]="Sí",IF(DATOS!AQ$4="Sí",(1/DATOS_[[% anualiz]:[% anualiz]]),1)*IF(DATOS!AQ$5="Sí",1/DATOS_[[% normaliz]:[% normaliz]],1)*(DATOS_[Conc.Sal.13])))))))), 0)</f>
        <v>0</v>
      </c>
      <c r="W49" s="250" t="n">
        <f aca="false" t="array" ref="W49:W49">IFERROR( (MEDIAN((IF(DATOS_[[Sexo]:[Sexo]]=$B49,IF(DATOS_[[AGRUP. VALOR. PTO.]:[AGRUP. VALOR. PTO.]]=$B48,IF(DATOS_[[Check Periodo Ref.]:[Check Periodo Ref.]]="Dentro",IF(DATOS_[[Check Equiparado]:[Check Equiparado]]="Sí",IF(DATOS!AR$4="Sí",(1/DATOS_[[% anualiz]:[% anualiz]]),1)*IF(DATOS!AR$5="Sí",1/DATOS_[[% normaliz]:[% normaliz]],1)*(DATOS_[Conc.Sal.14])))))))), 0)</f>
        <v>0</v>
      </c>
      <c r="X49" s="250" t="n">
        <f aca="false" t="array" ref="X49:X49">IFERROR( (MEDIAN((IF(DATOS_[[Sexo]:[Sexo]]=$B49,IF(DATOS_[[AGRUP. VALOR. PTO.]:[AGRUP. VALOR. PTO.]]=$B48,IF(DATOS_[[Check Periodo Ref.]:[Check Periodo Ref.]]="Dentro",IF(DATOS_[[Check Equiparado]:[Check Equiparado]]="Sí",IF(DATOS!AS$4="Sí",(1/DATOS_[[% anualiz]:[% anualiz]]),1)*IF(DATOS!AS$5="Sí",1/DATOS_[[% normaliz]:[% normaliz]],1)*(DATOS_[Conc.Sal.15])))))))), 0)</f>
        <v>0</v>
      </c>
      <c r="Y49" s="250" t="n">
        <f aca="false" t="array" ref="Y49:Y49">IFERROR( (MEDIAN((IF(DATOS_[[Sexo]:[Sexo]]=$B49,IF(DATOS_[[AGRUP. VALOR. PTO.]:[AGRUP. VALOR. PTO.]]=$B48,IF(DATOS_[[Check Periodo Ref.]:[Check Periodo Ref.]]="Dentro",IF(DATOS_[[Check Equiparado]:[Check Equiparado]]="Sí",IF(DATOS!AT$4="Sí",(1/DATOS_[[% anualiz]:[% anualiz]]),1)*IF(DATOS!AT$5="Sí",1/DATOS_[[% normaliz]:[% normaliz]],1)*(DATOS_[Conc.Sal.16])))))))), 0)</f>
        <v>0</v>
      </c>
      <c r="Z49" s="250" t="n">
        <f aca="false" t="array" ref="Z49:Z49">IFERROR( (MEDIAN((IF(DATOS_[[Sexo]:[Sexo]]=$B49,IF(DATOS_[[AGRUP. VALOR. PTO.]:[AGRUP. VALOR. PTO.]]=$B48,IF(DATOS_[[Check Periodo Ref.]:[Check Periodo Ref.]]="Dentro",IF(DATOS_[[Check Equiparado]:[Check Equiparado]]="Sí",IF(DATOS!AU$4="Sí",(1/DATOS_[[% anualiz]:[% anualiz]]),1)*IF(DATOS!AU$5="Sí",1/DATOS_[[% normaliz]:[% normaliz]],1)*(DATOS_[Conc.Sal.17])))))))), 0)</f>
        <v>0</v>
      </c>
      <c r="AA49" s="250" t="n">
        <f aca="false" t="array" ref="AA49:AA49">IFERROR( (MEDIAN((IF(DATOS_[[Sexo]:[Sexo]]=$B49,IF(DATOS_[[AGRUP. VALOR. PTO.]:[AGRUP. VALOR. PTO.]]=$B48,IF(DATOS_[[Check Periodo Ref.]:[Check Periodo Ref.]]="Dentro",IF(DATOS_[[Check Equiparado]:[Check Equiparado]]="Sí",IF(DATOS!AV$4="Sí",(1/DATOS_[[% anualiz]:[% anualiz]]),1)*IF(DATOS!AV$5="Sí",1/DATOS_[[% normaliz]:[% normaliz]],1)*(DATOS_[Conc.Sal.18])))))))), 0)</f>
        <v>0</v>
      </c>
      <c r="AB49" s="250" t="n">
        <f aca="false" t="array" ref="AB49:AB49">IFERROR( (MEDIAN((IF(DATOS_[[Sexo]:[Sexo]]=$B49,IF(DATOS_[[AGRUP. VALOR. PTO.]:[AGRUP. VALOR. PTO.]]=$B48,IF(DATOS_[[Check Periodo Ref.]:[Check Periodo Ref.]]="Dentro",IF(DATOS_[[Check Equiparado]:[Check Equiparado]]="Sí",IF(DATOS!AW$4="Sí",(1/DATOS_[[% anualiz]:[% anualiz]]),1)*IF(DATOS!AW$5="Sí",1/DATOS_[[% normaliz]:[% normaliz]],1)*(DATOS_[Conc.Sal.19])))))))), 0)</f>
        <v>0</v>
      </c>
      <c r="AC49" s="250" t="n">
        <f aca="false" t="array" ref="AC49:AC49">IFERROR( (MEDIAN((IF(DATOS_[[Sexo]:[Sexo]]=$B49,IF(DATOS_[[AGRUP. VALOR. PTO.]:[AGRUP. VALOR. PTO.]]=$B48,IF(DATOS_[[Check Periodo Ref.]:[Check Periodo Ref.]]="Dentro",IF(DATOS_[[Check Equiparado]:[Check Equiparado]]="Sí",IF(DATOS!AX$4="Sí",(1/DATOS_[[% anualiz]:[% anualiz]]),1)*IF(DATOS!AX$5="Sí",1/DATOS_[[% normaliz]:[% normaliz]],1)*(DATOS_[Conc.Sal.20])))))))), 0)</f>
        <v>0</v>
      </c>
      <c r="AD49" s="250" t="n">
        <f aca="false" t="array" ref="AD49:AD49">IFERROR( (MEDIAN((IF(DATOS_[[Sexo]:[Sexo]]=$B49,IF(DATOS_[[AGRUP. VALOR. PTO.]:[AGRUP. VALOR. PTO.]]=$B48,IF(DATOS_[[Check Periodo Ref.]:[Check Periodo Ref.]]="Dentro",IF(DATOS_[[Check Equiparado]:[Check Equiparado]]="Sí",IF(DATOS!AY$4="Sí",(1/DATOS_[[% anualiz]:[% anualiz]]),1)*IF(DATOS!AY$5="Sí",1/DATOS_[[% normaliz]:[% normaliz]],1)*(DATOS_[Conc.Sal.21])))))))), 0)</f>
        <v>0</v>
      </c>
      <c r="AE49" s="250" t="n">
        <f aca="false" t="array" ref="AE49:AE49">IFERROR( (MEDIAN((IF(DATOS_[[Sexo]:[Sexo]]=$B49,IF(DATOS_[[AGRUP. VALOR. PTO.]:[AGRUP. VALOR. PTO.]]=$B48,IF(DATOS_[[Check Periodo Ref.]:[Check Periodo Ref.]]="Dentro",IF(DATOS_[[Check Equiparado]:[Check Equiparado]]="Sí",IF(DATOS!AZ$4="Sí",(1/DATOS_[[% anualiz]:[% anualiz]]),1)*IF(DATOS!AZ$5="Sí",1/DATOS_[[% normaliz]:[% normaliz]],1)*(DATOS_[Conc.Sal.22])))))))), 0)</f>
        <v>0</v>
      </c>
      <c r="AF49" s="250" t="n">
        <f aca="false" t="array" ref="AF49:AF49">IFERROR( (MEDIAN((IF(DATOS_[[Sexo]:[Sexo]]=$B49,IF(DATOS_[[AGRUP. VALOR. PTO.]:[AGRUP. VALOR. PTO.]]=$B48,IF(DATOS_[[Check Periodo Ref.]:[Check Periodo Ref.]]="Dentro",IF(DATOS_[[Check Equiparado]:[Check Equiparado]]="Sí",IF(DATOS!BA$4="Sí",(1/DATOS_[[% anualiz]:[% anualiz]]),1)*IF(DATOS!BA$5="Sí",1/DATOS_[[% normaliz]:[% normaliz]],1)*(DATOS_[Conc.Sal.23])))))))), 0)</f>
        <v>0</v>
      </c>
      <c r="AG49" s="250" t="n">
        <f aca="false" t="array" ref="AG49:AG49">IFERROR( (MEDIAN((IF(DATOS_[[Sexo]:[Sexo]]=$B49,IF(DATOS_[[AGRUP. VALOR. PTO.]:[AGRUP. VALOR. PTO.]]=$B48,IF(DATOS_[[Check Periodo Ref.]:[Check Periodo Ref.]]="Dentro",IF(DATOS_[[Check Equiparado]:[Check Equiparado]]="Sí",IF(DATOS!BB$4="Sí",(1/DATOS_[[% anualiz]:[% anualiz]]),1)*IF(DATOS!BB$5="Sí",1/DATOS_[[% normaliz]:[% normaliz]],1)*(DATOS_[Conc.Sal.24])))))))), 0)</f>
        <v>0</v>
      </c>
      <c r="AH49" s="250" t="n">
        <f aca="false" t="array" ref="AH49:AH49">IFERROR( (MEDIAN((IF(DATOS_[[Sexo]:[Sexo]]=$B49,IF(DATOS_[[AGRUP. VALOR. PTO.]:[AGRUP. VALOR. PTO.]]=$B48,IF(DATOS_[[Check Periodo Ref.]:[Check Periodo Ref.]]="Dentro",IF(DATOS_[[Check Equiparado]:[Check Equiparado]]="Sí",IF(DATOS!BC$4="Sí",(1/DATOS_[[% anualiz]:[% anualiz]]),1)*IF(DATOS!BC$5="Sí",1/DATOS_[[% normaliz]:[% normaliz]],1)*(DATOS_[Conc.Sal.25])))))))), 0)</f>
        <v>0</v>
      </c>
      <c r="AI49" s="250" t="n">
        <f aca="false" t="array" ref="AI49:AI49">IFERROR( (MEDIAN((IF(DATOS_[[Sexo]:[Sexo]]=$B49,IF(DATOS_[[AGRUP. VALOR. PTO.]:[AGRUP. VALOR. PTO.]]=$B48,IF(DATOS_[[Check Periodo Ref.]:[Check Periodo Ref.]]="Dentro",IF(DATOS_[[Check Equiparado]:[Check Equiparado]]="Sí",IF(DATOS!BD$4="Sí",(1/DATOS_[[% anualiz]:[% anualiz]]),1)*IF(DATOS!BD$5="Sí",1/DATOS_[[% normaliz]:[% normaliz]],1)*(DATOS_[Conc.Sal.26])))))))), 0)</f>
        <v>0</v>
      </c>
      <c r="AJ49" s="250" t="n">
        <f aca="false" t="array" ref="AJ49:AJ49">IFERROR( (MEDIAN((IF(DATOS_[[Sexo]:[Sexo]]=$B49,IF(DATOS_[[AGRUP. VALOR. PTO.]:[AGRUP. VALOR. PTO.]]=$B48,IF(DATOS_[[Check Periodo Ref.]:[Check Periodo Ref.]]="Dentro",IF(DATOS_[[Check Equiparado]:[Check Equiparado]]="Sí",IF(DATOS!BE$4="Sí",(1/DATOS_[[% anualiz]:[% anualiz]]),1)*IF(DATOS!BE$5="Sí",1/DATOS_[[% normaliz]:[% normaliz]],1)*(DATOS_[Conc.Sal.27])))))))), 0)</f>
        <v>0</v>
      </c>
      <c r="AK49" s="250" t="n">
        <f aca="false" t="array" ref="AK49:AK49">IFERROR( (MEDIAN((IF(DATOS_[[Sexo]:[Sexo]]=$B49,IF(DATOS_[[AGRUP. VALOR. PTO.]:[AGRUP. VALOR. PTO.]]=$B48,IF(DATOS_[[Check Periodo Ref.]:[Check Periodo Ref.]]="Dentro",IF(DATOS_[[Check Equiparado]:[Check Equiparado]]="Sí",IF(DATOS!BF$4="Sí",(1/DATOS_[[% anualiz]:[% anualiz]]),1)*IF(DATOS!BF$5="Sí",1/DATOS_[[% normaliz]:[% normaliz]],1)*(DATOS_[Conc.Sal.28])))))))), 0)</f>
        <v>0</v>
      </c>
      <c r="AL49" s="250" t="n">
        <f aca="false" t="array" ref="AL49:AL49">IFERROR( (MEDIAN((IF(DATOS_[[Sexo]:[Sexo]]=$B49,IF(DATOS_[[AGRUP. VALOR. PTO.]:[AGRUP. VALOR. PTO.]]=$B48,IF(DATOS_[[Check Periodo Ref.]:[Check Periodo Ref.]]="Dentro",IF(DATOS_[[Check Equiparado]:[Check Equiparado]]="Sí",IF(DATOS!BG$4="Sí",(1/DATOS_[[% anualiz]:[% anualiz]]),1)*IF(DATOS!BG$5="Sí",1/DATOS_[[% normaliz]:[% normaliz]],1)*(DATOS_[Conc.Sal.29])))))))), 0)</f>
        <v>0</v>
      </c>
      <c r="AM49" s="250" t="n">
        <f aca="false" t="array" ref="AM49:AM49">IFERROR( (MEDIAN((IF(DATOS_[[Sexo]:[Sexo]]=$B49,IF(DATOS_[[AGRUP. VALOR. PTO.]:[AGRUP. VALOR. PTO.]]=$B48,IF(DATOS_[[Check Periodo Ref.]:[Check Periodo Ref.]]="Dentro",IF(DATOS_[[Check Equiparado]:[Check Equiparado]]="Sí",IF(DATOS!BH$4="Sí",(1/DATOS_[[% anualiz]:[% anualiz]]),1)*IF(DATOS!BH$5="Sí",1/DATOS_[[% normaliz]:[% normaliz]],1)*(DATOS_[Conc.Sal.30])))))))), 0)</f>
        <v>0</v>
      </c>
      <c r="AN49" s="251" t="n">
        <f aca="false" t="array" ref="AN49:AN49">IFERROR( MEDIAN(IF(DATOS_[Sexo]=$B49,IF(DATOS_[[AGRUP. VALOR. PTO.]:[AGRUP. VALOR. PTO.]]=$B48,IF(DATOS_[Check Equiparado]="Sí",IF(DATOS_[Check Periodo Ref.]="Dentro",DATOS_[Tot COMPL.SAL Eq],0))))), 0)</f>
        <v>0</v>
      </c>
      <c r="AO49" s="252" t="n">
        <f aca="false" t="array" ref="AO49:AO49">IFERROR( MEDIAN(IF(DATOS_[Sexo]=$B49,IF(DATOS_[[AGRUP. VALOR. PTO.]:[AGRUP. VALOR. PTO.]]=$B48,IF(DATOS_[Check Equiparado]="Sí",IF(DATOS_[Check Periodo Ref.]="Dentro",DATOS_[TOTAL SALARIO Eq],0))))), 0)</f>
        <v>0</v>
      </c>
      <c r="AP49" s="259" t="n">
        <f aca="false" t="array" ref="AP49:AP49">IFERROR( (MEDIAN((IF(DATOS_[[Sexo]:[Sexo]]=$B49,IF(DATOS_[[AGRUP. VALOR. PTO.]:[AGRUP. VALOR. PTO.]]=$B48,IF(DATOS_[[Check Periodo Ref.]:[Check Periodo Ref.]]="Dentro",IF(DATOS_[[Check Equiparado]:[Check Equiparado]]="Sí",IF(DATOS!BI$4="Sí",(1/DATOS_[[% anualiz]:[% anualiz]]),1)*IF(DATOS!BI$5="Sí",1/DATOS_[[% normaliz]:[% normaliz]],1)*(DATOS_[C.Extra.01])))))))), 0)</f>
        <v>0</v>
      </c>
      <c r="AQ49" s="259" t="n">
        <f aca="false" t="array" ref="AQ49:AQ49">IFERROR( (MEDIAN((IF(DATOS_[[Sexo]:[Sexo]]=$B49,IF(DATOS_[[AGRUP. VALOR. PTO.]:[AGRUP. VALOR. PTO.]]=$B48,IF(DATOS_[[Check Periodo Ref.]:[Check Periodo Ref.]]="Dentro",IF(DATOS_[[Check Equiparado]:[Check Equiparado]]="Sí",IF(DATOS!BJ$4="Sí",(1/DATOS_[[% anualiz]:[% anualiz]]),1)*IF(DATOS!BJ$5="Sí",1/DATOS_[[% normaliz]:[% normaliz]],1)*(DATOS_[C.Extra.02])))))))), 0)</f>
        <v>0</v>
      </c>
      <c r="AR49" s="259" t="n">
        <f aca="false" t="array" ref="AR49:AR49">IFERROR( (MEDIAN((IF(DATOS_[[Sexo]:[Sexo]]=$B49,IF(DATOS_[[AGRUP. VALOR. PTO.]:[AGRUP. VALOR. PTO.]]=$B48,IF(DATOS_[[Check Periodo Ref.]:[Check Periodo Ref.]]="Dentro",IF(DATOS_[[Check Equiparado]:[Check Equiparado]]="Sí",IF(DATOS!BK$4="Sí",(1/DATOS_[[% anualiz]:[% anualiz]]),1)*IF(DATOS!BK$5="Sí",1/DATOS_[[% normaliz]:[% normaliz]],1)*(DATOS_[C.Extra.03])))))))), 0)</f>
        <v>0</v>
      </c>
      <c r="AS49" s="259" t="n">
        <f aca="false" t="array" ref="AS49:AS49">IFERROR( (MEDIAN((IF(DATOS_[[Sexo]:[Sexo]]=$B49,IF(DATOS_[[AGRUP. VALOR. PTO.]:[AGRUP. VALOR. PTO.]]=$B48,IF(DATOS_[[Check Periodo Ref.]:[Check Periodo Ref.]]="Dentro",IF(DATOS_[[Check Equiparado]:[Check Equiparado]]="Sí",IF(DATOS!BL$4="Sí",(1/DATOS_[[% anualiz]:[% anualiz]]),1)*IF(DATOS!BL$5="Sí",1/DATOS_[[% normaliz]:[% normaliz]],1)*(DATOS_[C.Extra.04])))))))), 0)</f>
        <v>0</v>
      </c>
      <c r="AT49" s="259" t="n">
        <f aca="false" t="array" ref="AT49:AT49">IFERROR( (MEDIAN((IF(DATOS_[[Sexo]:[Sexo]]=$B49,IF(DATOS_[[AGRUP. VALOR. PTO.]:[AGRUP. VALOR. PTO.]]=$B48,IF(DATOS_[[Check Periodo Ref.]:[Check Periodo Ref.]]="Dentro",IF(DATOS_[[Check Equiparado]:[Check Equiparado]]="Sí",IF(DATOS!BM$4="Sí",(1/DATOS_[[% anualiz]:[% anualiz]]),1)*IF(DATOS!BM$5="Sí",1/DATOS_[[% normaliz]:[% normaliz]],1)*(DATOS_[C.Extra.05])))))))), 0)</f>
        <v>0</v>
      </c>
      <c r="AU49" s="254" t="n">
        <f aca="false" t="array" ref="AU49:AU49">IFERROR( MEDIAN(IF(DATOS_[Sexo]=$B49,IF(DATOS_[[AGRUP. VALOR. PTO.]:[AGRUP. VALOR. PTO.]]=$B48,IF(DATOS_[Check Equiparado]="Sí",IF(DATOS_[Check Periodo Ref.]="Dentro",DATOS_[Tot Extrasalarial Eq],0))))), 0)</f>
        <v>0</v>
      </c>
      <c r="AV49" s="255" t="n">
        <f aca="false" t="array" ref="AV49:AV49">IFERROR( MEDIAN(IF(DATOS_[Sexo]=$B49,IF(DATOS_[[AGRUP. VALOR. PTO.]:[AGRUP. VALOR. PTO.]]=$B48,IF(DATOS_[Check Equiparado]="Sí",IF(DATOS_[Check Periodo Ref.]="Dentro",DATOS_[TOTAL Retrib Eq],0))))), 0)</f>
        <v>0</v>
      </c>
    </row>
    <row r="50" customFormat="false" ht="14.25" hidden="false" customHeight="false" outlineLevel="0" collapsed="false">
      <c r="A50" s="217" t="str">
        <f aca="false">+A49</f>
        <v>[ocultar]</v>
      </c>
      <c r="B50" s="323" t="s">
        <v>372</v>
      </c>
      <c r="C50" s="247" t="n">
        <f aca="false" t="array" ref="C50:C50">SUM(IF($B50=DATOS_[Sexo], IF($B48=DATOS_[AGRUP. VALOR. PTO.], IF("Dentro"=DATOS_[Check Periodo Ref.], 1/(COUNTIFS(DATOS_[Sexo],$B50,DATOS_[AGRUP. VALOR. PTO.],$B48,DATOS_[Check Periodo Ref.],"Dentro",DATOS_[id],DATOS_[id]))))))</f>
        <v>0</v>
      </c>
      <c r="D50" s="248" t="n">
        <f aca="false">COUNTIFS(DATOS_[AGRUP. VALOR. PTO.],$B48,DATOS_[Sexo],$B50,DATOS_[Check Periodo Ref.],"Dentro")</f>
        <v>0</v>
      </c>
      <c r="E50" s="248" t="n">
        <f aca="false">COUNTIFS(DATOS_[AGRUP. VALOR. PTO.],$B48,DATOS_[Sexo],$B50,DATOS_[Check Periodo Ref.],"Dentro",DATOS_[Check Nº SC Norm],"Sí")</f>
        <v>0</v>
      </c>
      <c r="F50" s="248" t="n">
        <f aca="false">COUNTIFS(DATOS_[AGRUP. VALOR. PTO.],$B48,DATOS_[Sexo],$B50,DATOS_[Check Periodo Ref.],"Dentro",DATOS_[Check Nº SC Anualiz],"Sí")</f>
        <v>0</v>
      </c>
      <c r="G50" s="248" t="n">
        <f aca="false">COUNTIFS(DATOS_[AGRUP. VALOR. PTO.],$B48,DATOS_[Sexo],$B50,DATOS_[Check Periodo Ref.],"Dentro",DATOS_[Check Nº SC Norm y Anualiz],"Sí")</f>
        <v>0</v>
      </c>
      <c r="H50" s="248" t="n">
        <f aca="false">COUNTIFS(DATOS_[AGRUP. VALOR. PTO.],$B48,DATOS_[Sexo],$B50,DATOS_[Check Periodo Ref.],"Dentro",DATOS_[Check Equiparación],"Sí")</f>
        <v>0</v>
      </c>
      <c r="I50" s="249" t="n">
        <f aca="false" t="array" ref="I50:I50">IFERROR( MEDIAN(IF(DATOS_[Sexo]=$B50,IF(DATOS_[[AGRUP. VALOR. PTO.]:[AGRUP. VALOR. PTO.]]=$B48,IF(DATOS_[Check Equiparado]="Sí",IF(DATOS_[Check Periodo Ref.]="Dentro",DATOS_[SALARIO BASE Eq],0))))), 0)</f>
        <v>0</v>
      </c>
      <c r="J50" s="250" t="n">
        <f aca="false" t="array" ref="J50:J50">IFERROR( (MEDIAN((IF(DATOS_[[Sexo]:[Sexo]]=$B50,IF(DATOS_[[AGRUP. VALOR. PTO.]:[AGRUP. VALOR. PTO.]]=$B48,IF(DATOS_[[Check Periodo Ref.]:[Check Periodo Ref.]]="Dentro",IF(DATOS_[[Check Equiparado]:[Check Equiparado]]="Sí",IF(DATOS!AE$4="Sí",(1/DATOS_[[% anualiz]:[% anualiz]]),1)*IF(DATOS!AE$5="Sí",1/DATOS_[[% normaliz]:[% normaliz]],1)*(DATOS_[Conc.Sal.01])))))))), 0)</f>
        <v>0</v>
      </c>
      <c r="K50" s="250" t="n">
        <f aca="false" t="array" ref="K50:K50">IFERROR( (MEDIAN((IF(DATOS_[[Sexo]:[Sexo]]=$B50,IF(DATOS_[[AGRUP. VALOR. PTO.]:[AGRUP. VALOR. PTO.]]=$B48,IF(DATOS_[[Check Periodo Ref.]:[Check Periodo Ref.]]="Dentro",IF(DATOS_[[Check Equiparado]:[Check Equiparado]]="Sí",IF(DATOS!AF$4="Sí",(1/DATOS_[[% anualiz]:[% anualiz]]),1)*IF(DATOS!AF$5="Sí",1/DATOS_[[% normaliz]:[% normaliz]],1)*(DATOS_[Conc.Sal.02])))))))), 0)</f>
        <v>0</v>
      </c>
      <c r="L50" s="250" t="n">
        <f aca="false" t="array" ref="L50:L50">IFERROR( (MEDIAN((IF(DATOS_[[Sexo]:[Sexo]]=$B50,IF(DATOS_[[AGRUP. VALOR. PTO.]:[AGRUP. VALOR. PTO.]]=$B48,IF(DATOS_[[Check Periodo Ref.]:[Check Periodo Ref.]]="Dentro",IF(DATOS_[[Check Equiparado]:[Check Equiparado]]="Sí",IF(DATOS!AG$4="Sí",(1/DATOS_[[% anualiz]:[% anualiz]]),1)*IF(DATOS!AG$5="Sí",1/DATOS_[[% normaliz]:[% normaliz]],1)*(DATOS_[Conc.Sal.03])))))))), 0)</f>
        <v>0</v>
      </c>
      <c r="M50" s="250" t="n">
        <f aca="false" t="array" ref="M50:M50">IFERROR( (MEDIAN((IF(DATOS_[[Sexo]:[Sexo]]=$B50,IF(DATOS_[[AGRUP. VALOR. PTO.]:[AGRUP. VALOR. PTO.]]=$B48,IF(DATOS_[[Check Periodo Ref.]:[Check Periodo Ref.]]="Dentro",IF(DATOS_[[Check Equiparado]:[Check Equiparado]]="Sí",IF(DATOS!AH$4="Sí",(1/DATOS_[[% anualiz]:[% anualiz]]),1)*IF(DATOS!AH$5="Sí",1/DATOS_[[% normaliz]:[% normaliz]],1)*(DATOS_[Conc.Sal.04])))))))), 0)</f>
        <v>0</v>
      </c>
      <c r="N50" s="250" t="n">
        <f aca="false" t="array" ref="N50:N50">IFERROR( (MEDIAN((IF(DATOS_[[Sexo]:[Sexo]]=$B50,IF(DATOS_[[AGRUP. VALOR. PTO.]:[AGRUP. VALOR. PTO.]]=$B48,IF(DATOS_[[Check Periodo Ref.]:[Check Periodo Ref.]]="Dentro",IF(DATOS_[[Check Equiparado]:[Check Equiparado]]="Sí",IF(DATOS!AI$4="Sí",(1/DATOS_[[% anualiz]:[% anualiz]]),1)*IF(DATOS!AI$5="Sí",1/DATOS_[[% normaliz]:[% normaliz]],1)*(DATOS_[Conc.Sal.05])))))))), 0)</f>
        <v>0</v>
      </c>
      <c r="O50" s="250" t="n">
        <f aca="false" t="array" ref="O50:O50">IFERROR( (MEDIAN((IF(DATOS_[[Sexo]:[Sexo]]=$B50,IF(DATOS_[[AGRUP. VALOR. PTO.]:[AGRUP. VALOR. PTO.]]=$B48,IF(DATOS_[[Check Periodo Ref.]:[Check Periodo Ref.]]="Dentro",IF(DATOS_[[Check Equiparado]:[Check Equiparado]]="Sí",IF(DATOS!AJ$4="Sí",(1/DATOS_[[% anualiz]:[% anualiz]]),1)*IF(DATOS!AJ$5="Sí",1/DATOS_[[% normaliz]:[% normaliz]],1)*(DATOS_[Conc.Sal.06])))))))), 0)</f>
        <v>0</v>
      </c>
      <c r="P50" s="250" t="n">
        <f aca="false" t="array" ref="P50:P50">IFERROR( (MEDIAN((IF(DATOS_[[Sexo]:[Sexo]]=$B50,IF(DATOS_[[AGRUP. VALOR. PTO.]:[AGRUP. VALOR. PTO.]]=$B48,IF(DATOS_[[Check Periodo Ref.]:[Check Periodo Ref.]]="Dentro",IF(DATOS_[[Check Equiparado]:[Check Equiparado]]="Sí",IF(DATOS!AK$4="Sí",(1/DATOS_[[% anualiz]:[% anualiz]]),1)*IF(DATOS!AK$5="Sí",1/DATOS_[[% normaliz]:[% normaliz]],1)*(DATOS_[Conc.Sal.07])))))))), 0)</f>
        <v>0</v>
      </c>
      <c r="Q50" s="250" t="n">
        <f aca="false" t="array" ref="Q50:Q50">IFERROR( (MEDIAN((IF(DATOS_[[Sexo]:[Sexo]]=$B50,IF(DATOS_[[AGRUP. VALOR. PTO.]:[AGRUP. VALOR. PTO.]]=$B48,IF(DATOS_[[Check Periodo Ref.]:[Check Periodo Ref.]]="Dentro",IF(DATOS_[[Check Equiparado]:[Check Equiparado]]="Sí",IF(DATOS!AL$4="Sí",(1/DATOS_[[% anualiz]:[% anualiz]]),1)*IF(DATOS!AL$5="Sí",1/DATOS_[[% normaliz]:[% normaliz]],1)*(DATOS_[Conc.Sal.08])))))))), 0)</f>
        <v>0</v>
      </c>
      <c r="R50" s="250" t="n">
        <f aca="false" t="array" ref="R50:R50">IFERROR( (MEDIAN((IF(DATOS_[[Sexo]:[Sexo]]=$B50,IF(DATOS_[[AGRUP. VALOR. PTO.]:[AGRUP. VALOR. PTO.]]=$B48,IF(DATOS_[[Check Periodo Ref.]:[Check Periodo Ref.]]="Dentro",IF(DATOS_[[Check Equiparado]:[Check Equiparado]]="Sí",IF(DATOS!AM$4="Sí",(1/DATOS_[[% anualiz]:[% anualiz]]),1)*IF(DATOS!AM$5="Sí",1/DATOS_[[% normaliz]:[% normaliz]],1)*(DATOS_[Conc.Sal.09])))))))), 0)</f>
        <v>0</v>
      </c>
      <c r="S50" s="250" t="n">
        <f aca="false" t="array" ref="S50:S50">IFERROR( (MEDIAN((IF(DATOS_[[Sexo]:[Sexo]]=$B50,IF(DATOS_[[AGRUP. VALOR. PTO.]:[AGRUP. VALOR. PTO.]]=$B48,IF(DATOS_[[Check Periodo Ref.]:[Check Periodo Ref.]]="Dentro",IF(DATOS_[[Check Equiparado]:[Check Equiparado]]="Sí",IF(DATOS!AN$4="Sí",(1/DATOS_[[% anualiz]:[% anualiz]]),1)*IF(DATOS!AN$5="Sí",1/DATOS_[[% normaliz]:[% normaliz]],1)*(DATOS_[Conc.Sal.10])))))))), 0)</f>
        <v>0</v>
      </c>
      <c r="T50" s="250" t="n">
        <f aca="false" t="array" ref="T50:T50">IFERROR( (MEDIAN((IF(DATOS_[[Sexo]:[Sexo]]=$B50,IF(DATOS_[[AGRUP. VALOR. PTO.]:[AGRUP. VALOR. PTO.]]=$B48,IF(DATOS_[[Check Periodo Ref.]:[Check Periodo Ref.]]="Dentro",IF(DATOS_[[Check Equiparado]:[Check Equiparado]]="Sí",IF(DATOS!AO$4="Sí",(1/DATOS_[[% anualiz]:[% anualiz]]),1)*IF(DATOS!AO$5="Sí",1/DATOS_[[% normaliz]:[% normaliz]],1)*(DATOS_[Conc.Sal.11])))))))), 0)</f>
        <v>0</v>
      </c>
      <c r="U50" s="250" t="n">
        <f aca="false" t="array" ref="U50:U50">IFERROR( (MEDIAN((IF(DATOS_[[Sexo]:[Sexo]]=$B50,IF(DATOS_[[AGRUP. VALOR. PTO.]:[AGRUP. VALOR. PTO.]]=$B48,IF(DATOS_[[Check Periodo Ref.]:[Check Periodo Ref.]]="Dentro",IF(DATOS_[[Check Equiparado]:[Check Equiparado]]="Sí",IF(DATOS!AP$4="Sí",(1/DATOS_[[% anualiz]:[% anualiz]]),1)*IF(DATOS!AP$5="Sí",1/DATOS_[[% normaliz]:[% normaliz]],1)*(DATOS_[Conc.Sal.12])))))))), 0)</f>
        <v>0</v>
      </c>
      <c r="V50" s="250" t="n">
        <f aca="false" t="array" ref="V50:V50">IFERROR( (MEDIAN((IF(DATOS_[[Sexo]:[Sexo]]=$B50,IF(DATOS_[[AGRUP. VALOR. PTO.]:[AGRUP. VALOR. PTO.]]=$B48,IF(DATOS_[[Check Periodo Ref.]:[Check Periodo Ref.]]="Dentro",IF(DATOS_[[Check Equiparado]:[Check Equiparado]]="Sí",IF(DATOS!AQ$4="Sí",(1/DATOS_[[% anualiz]:[% anualiz]]),1)*IF(DATOS!AQ$5="Sí",1/DATOS_[[% normaliz]:[% normaliz]],1)*(DATOS_[Conc.Sal.13])))))))), 0)</f>
        <v>0</v>
      </c>
      <c r="W50" s="250" t="n">
        <f aca="false" t="array" ref="W50:W50">IFERROR( (MEDIAN((IF(DATOS_[[Sexo]:[Sexo]]=$B50,IF(DATOS_[[AGRUP. VALOR. PTO.]:[AGRUP. VALOR. PTO.]]=$B48,IF(DATOS_[[Check Periodo Ref.]:[Check Periodo Ref.]]="Dentro",IF(DATOS_[[Check Equiparado]:[Check Equiparado]]="Sí",IF(DATOS!AR$4="Sí",(1/DATOS_[[% anualiz]:[% anualiz]]),1)*IF(DATOS!AR$5="Sí",1/DATOS_[[% normaliz]:[% normaliz]],1)*(DATOS_[Conc.Sal.14])))))))), 0)</f>
        <v>0</v>
      </c>
      <c r="X50" s="250" t="n">
        <f aca="false" t="array" ref="X50:X50">IFERROR( (MEDIAN((IF(DATOS_[[Sexo]:[Sexo]]=$B50,IF(DATOS_[[AGRUP. VALOR. PTO.]:[AGRUP. VALOR. PTO.]]=$B48,IF(DATOS_[[Check Periodo Ref.]:[Check Periodo Ref.]]="Dentro",IF(DATOS_[[Check Equiparado]:[Check Equiparado]]="Sí",IF(DATOS!AS$4="Sí",(1/DATOS_[[% anualiz]:[% anualiz]]),1)*IF(DATOS!AS$5="Sí",1/DATOS_[[% normaliz]:[% normaliz]],1)*(DATOS_[Conc.Sal.15])))))))), 0)</f>
        <v>0</v>
      </c>
      <c r="Y50" s="250" t="n">
        <f aca="false" t="array" ref="Y50:Y50">IFERROR( (MEDIAN((IF(DATOS_[[Sexo]:[Sexo]]=$B50,IF(DATOS_[[AGRUP. VALOR. PTO.]:[AGRUP. VALOR. PTO.]]=$B48,IF(DATOS_[[Check Periodo Ref.]:[Check Periodo Ref.]]="Dentro",IF(DATOS_[[Check Equiparado]:[Check Equiparado]]="Sí",IF(DATOS!AT$4="Sí",(1/DATOS_[[% anualiz]:[% anualiz]]),1)*IF(DATOS!AT$5="Sí",1/DATOS_[[% normaliz]:[% normaliz]],1)*(DATOS_[Conc.Sal.16])))))))), 0)</f>
        <v>0</v>
      </c>
      <c r="Z50" s="250" t="n">
        <f aca="false" t="array" ref="Z50:Z50">IFERROR( (MEDIAN((IF(DATOS_[[Sexo]:[Sexo]]=$B50,IF(DATOS_[[AGRUP. VALOR. PTO.]:[AGRUP. VALOR. PTO.]]=$B48,IF(DATOS_[[Check Periodo Ref.]:[Check Periodo Ref.]]="Dentro",IF(DATOS_[[Check Equiparado]:[Check Equiparado]]="Sí",IF(DATOS!AU$4="Sí",(1/DATOS_[[% anualiz]:[% anualiz]]),1)*IF(DATOS!AU$5="Sí",1/DATOS_[[% normaliz]:[% normaliz]],1)*(DATOS_[Conc.Sal.17])))))))), 0)</f>
        <v>0</v>
      </c>
      <c r="AA50" s="250" t="n">
        <f aca="false" t="array" ref="AA50:AA50">IFERROR( (MEDIAN((IF(DATOS_[[Sexo]:[Sexo]]=$B50,IF(DATOS_[[AGRUP. VALOR. PTO.]:[AGRUP. VALOR. PTO.]]=$B48,IF(DATOS_[[Check Periodo Ref.]:[Check Periodo Ref.]]="Dentro",IF(DATOS_[[Check Equiparado]:[Check Equiparado]]="Sí",IF(DATOS!AV$4="Sí",(1/DATOS_[[% anualiz]:[% anualiz]]),1)*IF(DATOS!AV$5="Sí",1/DATOS_[[% normaliz]:[% normaliz]],1)*(DATOS_[Conc.Sal.18])))))))), 0)</f>
        <v>0</v>
      </c>
      <c r="AB50" s="250" t="n">
        <f aca="false" t="array" ref="AB50:AB50">IFERROR( (MEDIAN((IF(DATOS_[[Sexo]:[Sexo]]=$B50,IF(DATOS_[[AGRUP. VALOR. PTO.]:[AGRUP. VALOR. PTO.]]=$B48,IF(DATOS_[[Check Periodo Ref.]:[Check Periodo Ref.]]="Dentro",IF(DATOS_[[Check Equiparado]:[Check Equiparado]]="Sí",IF(DATOS!AW$4="Sí",(1/DATOS_[[% anualiz]:[% anualiz]]),1)*IF(DATOS!AW$5="Sí",1/DATOS_[[% normaliz]:[% normaliz]],1)*(DATOS_[Conc.Sal.19])))))))), 0)</f>
        <v>0</v>
      </c>
      <c r="AC50" s="250" t="n">
        <f aca="false" t="array" ref="AC50:AC50">IFERROR( (MEDIAN((IF(DATOS_[[Sexo]:[Sexo]]=$B50,IF(DATOS_[[AGRUP. VALOR. PTO.]:[AGRUP. VALOR. PTO.]]=$B48,IF(DATOS_[[Check Periodo Ref.]:[Check Periodo Ref.]]="Dentro",IF(DATOS_[[Check Equiparado]:[Check Equiparado]]="Sí",IF(DATOS!AX$4="Sí",(1/DATOS_[[% anualiz]:[% anualiz]]),1)*IF(DATOS!AX$5="Sí",1/DATOS_[[% normaliz]:[% normaliz]],1)*(DATOS_[Conc.Sal.20])))))))), 0)</f>
        <v>0</v>
      </c>
      <c r="AD50" s="250" t="n">
        <f aca="false" t="array" ref="AD50:AD50">IFERROR( (MEDIAN((IF(DATOS_[[Sexo]:[Sexo]]=$B50,IF(DATOS_[[AGRUP. VALOR. PTO.]:[AGRUP. VALOR. PTO.]]=$B48,IF(DATOS_[[Check Periodo Ref.]:[Check Periodo Ref.]]="Dentro",IF(DATOS_[[Check Equiparado]:[Check Equiparado]]="Sí",IF(DATOS!AY$4="Sí",(1/DATOS_[[% anualiz]:[% anualiz]]),1)*IF(DATOS!AY$5="Sí",1/DATOS_[[% normaliz]:[% normaliz]],1)*(DATOS_[Conc.Sal.21])))))))), 0)</f>
        <v>0</v>
      </c>
      <c r="AE50" s="250" t="n">
        <f aca="false" t="array" ref="AE50:AE50">IFERROR( (MEDIAN((IF(DATOS_[[Sexo]:[Sexo]]=$B50,IF(DATOS_[[AGRUP. VALOR. PTO.]:[AGRUP. VALOR. PTO.]]=$B48,IF(DATOS_[[Check Periodo Ref.]:[Check Periodo Ref.]]="Dentro",IF(DATOS_[[Check Equiparado]:[Check Equiparado]]="Sí",IF(DATOS!AZ$4="Sí",(1/DATOS_[[% anualiz]:[% anualiz]]),1)*IF(DATOS!AZ$5="Sí",1/DATOS_[[% normaliz]:[% normaliz]],1)*(DATOS_[Conc.Sal.22])))))))), 0)</f>
        <v>0</v>
      </c>
      <c r="AF50" s="250" t="n">
        <f aca="false" t="array" ref="AF50:AF50">IFERROR( (MEDIAN((IF(DATOS_[[Sexo]:[Sexo]]=$B50,IF(DATOS_[[AGRUP. VALOR. PTO.]:[AGRUP. VALOR. PTO.]]=$B48,IF(DATOS_[[Check Periodo Ref.]:[Check Periodo Ref.]]="Dentro",IF(DATOS_[[Check Equiparado]:[Check Equiparado]]="Sí",IF(DATOS!BA$4="Sí",(1/DATOS_[[% anualiz]:[% anualiz]]),1)*IF(DATOS!BA$5="Sí",1/DATOS_[[% normaliz]:[% normaliz]],1)*(DATOS_[Conc.Sal.23])))))))), 0)</f>
        <v>0</v>
      </c>
      <c r="AG50" s="250" t="n">
        <f aca="false" t="array" ref="AG50:AG50">IFERROR( (MEDIAN((IF(DATOS_[[Sexo]:[Sexo]]=$B50,IF(DATOS_[[AGRUP. VALOR. PTO.]:[AGRUP. VALOR. PTO.]]=$B48,IF(DATOS_[[Check Periodo Ref.]:[Check Periodo Ref.]]="Dentro",IF(DATOS_[[Check Equiparado]:[Check Equiparado]]="Sí",IF(DATOS!BB$4="Sí",(1/DATOS_[[% anualiz]:[% anualiz]]),1)*IF(DATOS!BB$5="Sí",1/DATOS_[[% normaliz]:[% normaliz]],1)*(DATOS_[Conc.Sal.24])))))))), 0)</f>
        <v>0</v>
      </c>
      <c r="AH50" s="250" t="n">
        <f aca="false" t="array" ref="AH50:AH50">IFERROR( (MEDIAN((IF(DATOS_[[Sexo]:[Sexo]]=$B50,IF(DATOS_[[AGRUP. VALOR. PTO.]:[AGRUP. VALOR. PTO.]]=$B48,IF(DATOS_[[Check Periodo Ref.]:[Check Periodo Ref.]]="Dentro",IF(DATOS_[[Check Equiparado]:[Check Equiparado]]="Sí",IF(DATOS!BC$4="Sí",(1/DATOS_[[% anualiz]:[% anualiz]]),1)*IF(DATOS!BC$5="Sí",1/DATOS_[[% normaliz]:[% normaliz]],1)*(DATOS_[Conc.Sal.25])))))))), 0)</f>
        <v>0</v>
      </c>
      <c r="AI50" s="250" t="n">
        <f aca="false" t="array" ref="AI50:AI50">IFERROR( (MEDIAN((IF(DATOS_[[Sexo]:[Sexo]]=$B50,IF(DATOS_[[AGRUP. VALOR. PTO.]:[AGRUP. VALOR. PTO.]]=$B48,IF(DATOS_[[Check Periodo Ref.]:[Check Periodo Ref.]]="Dentro",IF(DATOS_[[Check Equiparado]:[Check Equiparado]]="Sí",IF(DATOS!BD$4="Sí",(1/DATOS_[[% anualiz]:[% anualiz]]),1)*IF(DATOS!BD$5="Sí",1/DATOS_[[% normaliz]:[% normaliz]],1)*(DATOS_[Conc.Sal.26])))))))), 0)</f>
        <v>0</v>
      </c>
      <c r="AJ50" s="250" t="n">
        <f aca="false" t="array" ref="AJ50:AJ50">IFERROR( (MEDIAN((IF(DATOS_[[Sexo]:[Sexo]]=$B50,IF(DATOS_[[AGRUP. VALOR. PTO.]:[AGRUP. VALOR. PTO.]]=$B48,IF(DATOS_[[Check Periodo Ref.]:[Check Periodo Ref.]]="Dentro",IF(DATOS_[[Check Equiparado]:[Check Equiparado]]="Sí",IF(DATOS!BE$4="Sí",(1/DATOS_[[% anualiz]:[% anualiz]]),1)*IF(DATOS!BE$5="Sí",1/DATOS_[[% normaliz]:[% normaliz]],1)*(DATOS_[Conc.Sal.27])))))))), 0)</f>
        <v>0</v>
      </c>
      <c r="AK50" s="250" t="n">
        <f aca="false" t="array" ref="AK50:AK50">IFERROR( (MEDIAN((IF(DATOS_[[Sexo]:[Sexo]]=$B50,IF(DATOS_[[AGRUP. VALOR. PTO.]:[AGRUP. VALOR. PTO.]]=$B48,IF(DATOS_[[Check Periodo Ref.]:[Check Periodo Ref.]]="Dentro",IF(DATOS_[[Check Equiparado]:[Check Equiparado]]="Sí",IF(DATOS!BF$4="Sí",(1/DATOS_[[% anualiz]:[% anualiz]]),1)*IF(DATOS!BF$5="Sí",1/DATOS_[[% normaliz]:[% normaliz]],1)*(DATOS_[Conc.Sal.28])))))))), 0)</f>
        <v>0</v>
      </c>
      <c r="AL50" s="250" t="n">
        <f aca="false" t="array" ref="AL50:AL50">IFERROR( (MEDIAN((IF(DATOS_[[Sexo]:[Sexo]]=$B50,IF(DATOS_[[AGRUP. VALOR. PTO.]:[AGRUP. VALOR. PTO.]]=$B48,IF(DATOS_[[Check Periodo Ref.]:[Check Periodo Ref.]]="Dentro",IF(DATOS_[[Check Equiparado]:[Check Equiparado]]="Sí",IF(DATOS!BG$4="Sí",(1/DATOS_[[% anualiz]:[% anualiz]]),1)*IF(DATOS!BG$5="Sí",1/DATOS_[[% normaliz]:[% normaliz]],1)*(DATOS_[Conc.Sal.29])))))))), 0)</f>
        <v>0</v>
      </c>
      <c r="AM50" s="250" t="n">
        <f aca="false" t="array" ref="AM50:AM50">IFERROR( (MEDIAN((IF(DATOS_[[Sexo]:[Sexo]]=$B50,IF(DATOS_[[AGRUP. VALOR. PTO.]:[AGRUP. VALOR. PTO.]]=$B48,IF(DATOS_[[Check Periodo Ref.]:[Check Periodo Ref.]]="Dentro",IF(DATOS_[[Check Equiparado]:[Check Equiparado]]="Sí",IF(DATOS!BH$4="Sí",(1/DATOS_[[% anualiz]:[% anualiz]]),1)*IF(DATOS!BH$5="Sí",1/DATOS_[[% normaliz]:[% normaliz]],1)*(DATOS_[Conc.Sal.30])))))))), 0)</f>
        <v>0</v>
      </c>
      <c r="AN50" s="251" t="n">
        <f aca="false" t="array" ref="AN50:AN50">IFERROR( MEDIAN(IF(DATOS_[Sexo]=$B50,IF(DATOS_[[AGRUP. VALOR. PTO.]:[AGRUP. VALOR. PTO.]]=$B48,IF(DATOS_[Check Equiparado]="Sí",IF(DATOS_[Check Periodo Ref.]="Dentro",DATOS_[Tot COMPL.SAL Eq],0))))), 0)</f>
        <v>0</v>
      </c>
      <c r="AO50" s="252" t="n">
        <f aca="false" t="array" ref="AO50:AO50">IFERROR( MEDIAN(IF(DATOS_[Sexo]=$B50,IF(DATOS_[[AGRUP. VALOR. PTO.]:[AGRUP. VALOR. PTO.]]=$B48,IF(DATOS_[Check Equiparado]="Sí",IF(DATOS_[Check Periodo Ref.]="Dentro",DATOS_[TOTAL SALARIO Eq],0))))), 0)</f>
        <v>0</v>
      </c>
      <c r="AP50" s="259" t="n">
        <f aca="false" t="array" ref="AP50:AP50">IFERROR( (MEDIAN((IF(DATOS_[[Sexo]:[Sexo]]=$B50,IF(DATOS_[[AGRUP. VALOR. PTO.]:[AGRUP. VALOR. PTO.]]=$B49,IF(DATOS_[[Check Periodo Ref.]:[Check Periodo Ref.]]="Dentro",IF(DATOS_[[Check Equiparado]:[Check Equiparado]]="Sí",IF(DATOS!BI$4="Sí",(1/DATOS_[[% anualiz]:[% anualiz]]),1)*IF(DATOS!BI$5="Sí",1/DATOS_[[% normaliz]:[% normaliz]],1)*(DATOS_[C.Extra.01])))))))), 0)</f>
        <v>0</v>
      </c>
      <c r="AQ50" s="259" t="n">
        <f aca="false" t="array" ref="AQ50:AQ50">IFERROR( (MEDIAN((IF(DATOS_[[Sexo]:[Sexo]]=$B50,IF(DATOS_[[AGRUP. VALOR. PTO.]:[AGRUP. VALOR. PTO.]]=$B49,IF(DATOS_[[Check Periodo Ref.]:[Check Periodo Ref.]]="Dentro",IF(DATOS_[[Check Equiparado]:[Check Equiparado]]="Sí",IF(DATOS!BJ$4="Sí",(1/DATOS_[[% anualiz]:[% anualiz]]),1)*IF(DATOS!BJ$5="Sí",1/DATOS_[[% normaliz]:[% normaliz]],1)*(DATOS_[C.Extra.02])))))))), 0)</f>
        <v>0</v>
      </c>
      <c r="AR50" s="259" t="n">
        <f aca="false" t="array" ref="AR50:AR50">IFERROR( (MEDIAN((IF(DATOS_[[Sexo]:[Sexo]]=$B50,IF(DATOS_[[AGRUP. VALOR. PTO.]:[AGRUP. VALOR. PTO.]]=$B49,IF(DATOS_[[Check Periodo Ref.]:[Check Periodo Ref.]]="Dentro",IF(DATOS_[[Check Equiparado]:[Check Equiparado]]="Sí",IF(DATOS!BK$4="Sí",(1/DATOS_[[% anualiz]:[% anualiz]]),1)*IF(DATOS!BK$5="Sí",1/DATOS_[[% normaliz]:[% normaliz]],1)*(DATOS_[C.Extra.03])))))))), 0)</f>
        <v>0</v>
      </c>
      <c r="AS50" s="259" t="n">
        <f aca="false" t="array" ref="AS50:AS50">IFERROR( (MEDIAN((IF(DATOS_[[Sexo]:[Sexo]]=$B50,IF(DATOS_[[AGRUP. VALOR. PTO.]:[AGRUP. VALOR. PTO.]]=$B49,IF(DATOS_[[Check Periodo Ref.]:[Check Periodo Ref.]]="Dentro",IF(DATOS_[[Check Equiparado]:[Check Equiparado]]="Sí",IF(DATOS!BL$4="Sí",(1/DATOS_[[% anualiz]:[% anualiz]]),1)*IF(DATOS!BL$5="Sí",1/DATOS_[[% normaliz]:[% normaliz]],1)*(DATOS_[C.Extra.04])))))))), 0)</f>
        <v>0</v>
      </c>
      <c r="AT50" s="259" t="n">
        <f aca="false" t="array" ref="AT50:AT50">IFERROR( (MEDIAN((IF(DATOS_[[Sexo]:[Sexo]]=$B50,IF(DATOS_[[AGRUP. VALOR. PTO.]:[AGRUP. VALOR. PTO.]]=$B49,IF(DATOS_[[Check Periodo Ref.]:[Check Periodo Ref.]]="Dentro",IF(DATOS_[[Check Equiparado]:[Check Equiparado]]="Sí",IF(DATOS!BM$4="Sí",(1/DATOS_[[% anualiz]:[% anualiz]]),1)*IF(DATOS!BM$5="Sí",1/DATOS_[[% normaliz]:[% normaliz]],1)*(DATOS_[C.Extra.05])))))))), 0)</f>
        <v>0</v>
      </c>
      <c r="AU50" s="254" t="n">
        <f aca="false" t="array" ref="AU50:AU50">IFERROR( MEDIAN(IF(DATOS_[Sexo]=$B50,IF(DATOS_[[AGRUP. VALOR. PTO.]:[AGRUP. VALOR. PTO.]]=$B48,IF(DATOS_[Check Equiparado]="Sí",IF(DATOS_[Check Periodo Ref.]="Dentro",DATOS_[Tot Extrasalarial Eq],0))))), 0)</f>
        <v>0</v>
      </c>
      <c r="AV50" s="255" t="n">
        <f aca="false" t="array" ref="AV50:AV50">IFERROR( MEDIAN(IF(DATOS_[Sexo]=$B50,IF(DATOS_[[AGRUP. VALOR. PTO.]:[AGRUP. VALOR. PTO.]]=$B48,IF(DATOS_[Check Equiparado]="Sí",IF(DATOS_[Check Periodo Ref.]="Dentro",DATOS_[TOTAL Retrib Eq],0))))), 0)</f>
        <v>0</v>
      </c>
    </row>
    <row r="51" customFormat="false" ht="15.75" hidden="false" customHeight="false" outlineLevel="0" collapsed="false">
      <c r="A51" s="217" t="str">
        <f aca="false">+A52</f>
        <v>[ocultar]</v>
      </c>
      <c r="B51" s="320" t="s">
        <v>205</v>
      </c>
      <c r="C51" s="236"/>
      <c r="D51" s="237"/>
      <c r="E51" s="237"/>
      <c r="F51" s="237"/>
      <c r="G51" s="237"/>
      <c r="H51" s="237"/>
      <c r="I51" s="238" t="str">
        <f aca="false">IFERROR((I52-I53)/I52,"")</f>
        <v/>
      </c>
      <c r="J51" s="239" t="str">
        <f aca="false">IFERROR((J52-J53)/J52,"")</f>
        <v/>
      </c>
      <c r="K51" s="239" t="str">
        <f aca="false">IFERROR((K52-K53)/K52,"")</f>
        <v/>
      </c>
      <c r="L51" s="239" t="str">
        <f aca="false">IFERROR((L52-L53)/L52,"")</f>
        <v/>
      </c>
      <c r="M51" s="239" t="str">
        <f aca="false">IFERROR((M52-M53)/M52,"")</f>
        <v/>
      </c>
      <c r="N51" s="239" t="str">
        <f aca="false">IFERROR((N52-N53)/N52,"")</f>
        <v/>
      </c>
      <c r="O51" s="239" t="str">
        <f aca="false">IFERROR((O52-O53)/O52,"")</f>
        <v/>
      </c>
      <c r="P51" s="239" t="str">
        <f aca="false">IFERROR((P52-P53)/P52,"")</f>
        <v/>
      </c>
      <c r="Q51" s="239" t="str">
        <f aca="false">IFERROR((Q52-Q53)/Q52,"")</f>
        <v/>
      </c>
      <c r="R51" s="239" t="str">
        <f aca="false">IFERROR((R52-R53)/R52,"")</f>
        <v/>
      </c>
      <c r="S51" s="239" t="str">
        <f aca="false">IFERROR((S52-S53)/S52,"")</f>
        <v/>
      </c>
      <c r="T51" s="239" t="str">
        <f aca="false">IFERROR((T52-T53)/T52,"")</f>
        <v/>
      </c>
      <c r="U51" s="239" t="str">
        <f aca="false">IFERROR((U52-U53)/U52,"")</f>
        <v/>
      </c>
      <c r="V51" s="239" t="str">
        <f aca="false">IFERROR((V52-V53)/V52,"")</f>
        <v/>
      </c>
      <c r="W51" s="239" t="str">
        <f aca="false">IFERROR((W52-W53)/W52,"")</f>
        <v/>
      </c>
      <c r="X51" s="239" t="str">
        <f aca="false">IFERROR((X52-X53)/X52,"")</f>
        <v/>
      </c>
      <c r="Y51" s="239" t="str">
        <f aca="false">IFERROR((Y52-Y53)/Y52,"")</f>
        <v/>
      </c>
      <c r="Z51" s="240" t="str">
        <f aca="false">IFERROR((Z52-Z53)/Z52,"")</f>
        <v/>
      </c>
      <c r="AA51" s="240" t="str">
        <f aca="false">IFERROR((AA52-AA53)/AA52,"")</f>
        <v/>
      </c>
      <c r="AB51" s="240" t="str">
        <f aca="false">IFERROR((AB52-AB53)/AB52,"")</f>
        <v/>
      </c>
      <c r="AC51" s="240" t="str">
        <f aca="false">IFERROR((AC52-AC53)/AC52,"")</f>
        <v/>
      </c>
      <c r="AD51" s="240" t="str">
        <f aca="false">IFERROR((AD52-AD53)/AD52,"")</f>
        <v/>
      </c>
      <c r="AE51" s="240" t="str">
        <f aca="false">IFERROR((AE52-AE53)/AE52,"")</f>
        <v/>
      </c>
      <c r="AF51" s="240" t="str">
        <f aca="false">IFERROR((AF52-AF53)/AF52,"")</f>
        <v/>
      </c>
      <c r="AG51" s="240" t="str">
        <f aca="false">IFERROR((AG52-AG53)/AG52,"")</f>
        <v/>
      </c>
      <c r="AH51" s="240" t="str">
        <f aca="false">IFERROR((AH52-AH53)/AH52,"")</f>
        <v/>
      </c>
      <c r="AI51" s="240" t="str">
        <f aca="false">IFERROR((AI52-AI53)/AI52,"")</f>
        <v/>
      </c>
      <c r="AJ51" s="240" t="str">
        <f aca="false">IFERROR((AJ52-AJ53)/AJ52,"")</f>
        <v/>
      </c>
      <c r="AK51" s="240" t="str">
        <f aca="false">IFERROR((AK52-AK53)/AK52,"")</f>
        <v/>
      </c>
      <c r="AL51" s="240" t="str">
        <f aca="false">IFERROR((AL52-AL53)/AL52,"")</f>
        <v/>
      </c>
      <c r="AM51" s="240" t="str">
        <f aca="false">IFERROR((AM52-AM53)/AM52,"")</f>
        <v/>
      </c>
      <c r="AN51" s="241" t="str">
        <f aca="false">IFERROR((AN52-AN53)/AN52,"")</f>
        <v/>
      </c>
      <c r="AO51" s="242" t="str">
        <f aca="false">IFERROR((AO52-AO53)/AO52,"")</f>
        <v/>
      </c>
      <c r="AP51" s="243" t="str">
        <f aca="false">IFERROR((AP52-AP53)/AP52,"")</f>
        <v/>
      </c>
      <c r="AQ51" s="243" t="str">
        <f aca="false">IFERROR((AQ52-AQ53)/AQ52,"")</f>
        <v/>
      </c>
      <c r="AR51" s="243" t="str">
        <f aca="false">IFERROR((AR52-AR53)/AR52,"")</f>
        <v/>
      </c>
      <c r="AS51" s="243" t="str">
        <f aca="false">IFERROR((AS52-AS53)/AS52,"")</f>
        <v/>
      </c>
      <c r="AT51" s="243" t="str">
        <f aca="false">IFERROR((AT52-AT53)/AT52,"")</f>
        <v/>
      </c>
      <c r="AU51" s="244" t="str">
        <f aca="false">IFERROR((AU52-AU53)/AU52,"")</f>
        <v/>
      </c>
      <c r="AV51" s="245" t="str">
        <f aca="false">IFERROR((AV52-AV53)/AV52,"")</f>
        <v/>
      </c>
    </row>
    <row r="52" customFormat="false" ht="14.25" hidden="false" customHeight="false" outlineLevel="0" collapsed="false">
      <c r="A52" s="217" t="str">
        <f aca="false">+IF(C52+C53=0,"[ocultar]","")</f>
        <v>[ocultar]</v>
      </c>
      <c r="B52" s="323" t="s">
        <v>371</v>
      </c>
      <c r="C52" s="247" t="n">
        <f aca="false" t="array" ref="C52:C52">SUM(IF($B52=DATOS_[Sexo], IF($B51=DATOS_[AGRUP. VALOR. PTO.], IF("Dentro"=DATOS_[Check Periodo Ref.], 1/(COUNTIFS(DATOS_[Sexo],$B52,DATOS_[AGRUP. VALOR. PTO.],$B51,DATOS_[Check Periodo Ref.],"Dentro",DATOS_[id],DATOS_[id]))))))</f>
        <v>0</v>
      </c>
      <c r="D52" s="248" t="n">
        <f aca="false">COUNTIFS(DATOS_[AGRUP. VALOR. PTO.],$B51,DATOS_[Sexo],$B52,DATOS_[Check Periodo Ref.],"Dentro")</f>
        <v>0</v>
      </c>
      <c r="E52" s="248" t="n">
        <f aca="false">COUNTIFS(DATOS_[AGRUP. VALOR. PTO.],$B51,DATOS_[Sexo],$B52,DATOS_[Check Periodo Ref.],"Dentro",DATOS_[Check Nº SC Norm],"Sí")</f>
        <v>0</v>
      </c>
      <c r="F52" s="248" t="n">
        <f aca="false">COUNTIFS(DATOS_[AGRUP. VALOR. PTO.],$B51,DATOS_[Sexo],$B52,DATOS_[Check Periodo Ref.],"Dentro",DATOS_[Check Nº SC Anualiz],"Sí")</f>
        <v>0</v>
      </c>
      <c r="G52" s="248" t="n">
        <f aca="false">COUNTIFS(DATOS_[AGRUP. VALOR. PTO.],$B51,DATOS_[Sexo],$B52,DATOS_[Check Periodo Ref.],"Dentro",DATOS_[Check Nº SC Norm y Anualiz],"Sí")</f>
        <v>0</v>
      </c>
      <c r="H52" s="248" t="n">
        <f aca="false">COUNTIFS(DATOS_[AGRUP. VALOR. PTO.],$B51,DATOS_[Sexo],$B52,DATOS_[Check Periodo Ref.],"Dentro",DATOS_[Check Equiparación],"Sí")</f>
        <v>0</v>
      </c>
      <c r="I52" s="249" t="n">
        <f aca="false" t="array" ref="I52:I52">IFERROR( MEDIAN(IF(DATOS_[Sexo]=$B52,IF(DATOS_[[AGRUP. VALOR. PTO.]:[AGRUP. VALOR. PTO.]]=$B51,IF(DATOS_[Check Equiparado]="Sí",IF(DATOS_[Check Periodo Ref.]="Dentro",DATOS_[SALARIO BASE Eq],0))))), 0)</f>
        <v>0</v>
      </c>
      <c r="J52" s="250" t="n">
        <f aca="false" t="array" ref="J52:J52">IFERROR( (MEDIAN((IF(DATOS_[[Sexo]:[Sexo]]=$B52,IF(DATOS_[[AGRUP. VALOR. PTO.]:[AGRUP. VALOR. PTO.]]=$B51,IF(DATOS_[[Check Periodo Ref.]:[Check Periodo Ref.]]="Dentro",IF(DATOS_[[Check Equiparado]:[Check Equiparado]]="Sí",IF(DATOS!AE$4="Sí",(1/DATOS_[[% anualiz]:[% anualiz]]),1)*IF(DATOS!AE$5="Sí",1/DATOS_[[% normaliz]:[% normaliz]],1)*(DATOS_[Conc.Sal.01])))))))), 0)</f>
        <v>0</v>
      </c>
      <c r="K52" s="250" t="n">
        <f aca="false" t="array" ref="K52:K52">IFERROR( (MEDIAN((IF(DATOS_[[Sexo]:[Sexo]]=$B52,IF(DATOS_[[AGRUP. VALOR. PTO.]:[AGRUP. VALOR. PTO.]]=$B51,IF(DATOS_[[Check Periodo Ref.]:[Check Periodo Ref.]]="Dentro",IF(DATOS_[[Check Equiparado]:[Check Equiparado]]="Sí",IF(DATOS!AF$4="Sí",(1/DATOS_[[% anualiz]:[% anualiz]]),1)*IF(DATOS!AF$5="Sí",1/DATOS_[[% normaliz]:[% normaliz]],1)*(DATOS_[Conc.Sal.02])))))))), 0)</f>
        <v>0</v>
      </c>
      <c r="L52" s="250" t="n">
        <f aca="false" t="array" ref="L52:L52">IFERROR( (MEDIAN((IF(DATOS_[[Sexo]:[Sexo]]=$B52,IF(DATOS_[[AGRUP. VALOR. PTO.]:[AGRUP. VALOR. PTO.]]=$B51,IF(DATOS_[[Check Periodo Ref.]:[Check Periodo Ref.]]="Dentro",IF(DATOS_[[Check Equiparado]:[Check Equiparado]]="Sí",IF(DATOS!AG$4="Sí",(1/DATOS_[[% anualiz]:[% anualiz]]),1)*IF(DATOS!AG$5="Sí",1/DATOS_[[% normaliz]:[% normaliz]],1)*(DATOS_[Conc.Sal.03])))))))), 0)</f>
        <v>0</v>
      </c>
      <c r="M52" s="250" t="n">
        <f aca="false" t="array" ref="M52:M52">IFERROR( (MEDIAN((IF(DATOS_[[Sexo]:[Sexo]]=$B52,IF(DATOS_[[AGRUP. VALOR. PTO.]:[AGRUP. VALOR. PTO.]]=$B51,IF(DATOS_[[Check Periodo Ref.]:[Check Periodo Ref.]]="Dentro",IF(DATOS_[[Check Equiparado]:[Check Equiparado]]="Sí",IF(DATOS!AH$4="Sí",(1/DATOS_[[% anualiz]:[% anualiz]]),1)*IF(DATOS!AH$5="Sí",1/DATOS_[[% normaliz]:[% normaliz]],1)*(DATOS_[Conc.Sal.04])))))))), 0)</f>
        <v>0</v>
      </c>
      <c r="N52" s="250" t="n">
        <f aca="false" t="array" ref="N52:N52">IFERROR( (MEDIAN((IF(DATOS_[[Sexo]:[Sexo]]=$B52,IF(DATOS_[[AGRUP. VALOR. PTO.]:[AGRUP. VALOR. PTO.]]=$B51,IF(DATOS_[[Check Periodo Ref.]:[Check Periodo Ref.]]="Dentro",IF(DATOS_[[Check Equiparado]:[Check Equiparado]]="Sí",IF(DATOS!AI$4="Sí",(1/DATOS_[[% anualiz]:[% anualiz]]),1)*IF(DATOS!AI$5="Sí",1/DATOS_[[% normaliz]:[% normaliz]],1)*(DATOS_[Conc.Sal.05])))))))), 0)</f>
        <v>0</v>
      </c>
      <c r="O52" s="250" t="n">
        <f aca="false" t="array" ref="O52:O52">IFERROR( (MEDIAN((IF(DATOS_[[Sexo]:[Sexo]]=$B52,IF(DATOS_[[AGRUP. VALOR. PTO.]:[AGRUP. VALOR. PTO.]]=$B51,IF(DATOS_[[Check Periodo Ref.]:[Check Periodo Ref.]]="Dentro",IF(DATOS_[[Check Equiparado]:[Check Equiparado]]="Sí",IF(DATOS!AJ$4="Sí",(1/DATOS_[[% anualiz]:[% anualiz]]),1)*IF(DATOS!AJ$5="Sí",1/DATOS_[[% normaliz]:[% normaliz]],1)*(DATOS_[Conc.Sal.06])))))))), 0)</f>
        <v>0</v>
      </c>
      <c r="P52" s="250" t="n">
        <f aca="false" t="array" ref="P52:P52">IFERROR( (MEDIAN((IF(DATOS_[[Sexo]:[Sexo]]=$B52,IF(DATOS_[[AGRUP. VALOR. PTO.]:[AGRUP. VALOR. PTO.]]=$B51,IF(DATOS_[[Check Periodo Ref.]:[Check Periodo Ref.]]="Dentro",IF(DATOS_[[Check Equiparado]:[Check Equiparado]]="Sí",IF(DATOS!AK$4="Sí",(1/DATOS_[[% anualiz]:[% anualiz]]),1)*IF(DATOS!AK$5="Sí",1/DATOS_[[% normaliz]:[% normaliz]],1)*(DATOS_[Conc.Sal.07])))))))), 0)</f>
        <v>0</v>
      </c>
      <c r="Q52" s="250" t="n">
        <f aca="false" t="array" ref="Q52:Q52">IFERROR( (MEDIAN((IF(DATOS_[[Sexo]:[Sexo]]=$B52,IF(DATOS_[[AGRUP. VALOR. PTO.]:[AGRUP. VALOR. PTO.]]=$B51,IF(DATOS_[[Check Periodo Ref.]:[Check Periodo Ref.]]="Dentro",IF(DATOS_[[Check Equiparado]:[Check Equiparado]]="Sí",IF(DATOS!AL$4="Sí",(1/DATOS_[[% anualiz]:[% anualiz]]),1)*IF(DATOS!AL$5="Sí",1/DATOS_[[% normaliz]:[% normaliz]],1)*(DATOS_[Conc.Sal.08])))))))), 0)</f>
        <v>0</v>
      </c>
      <c r="R52" s="250" t="n">
        <f aca="false" t="array" ref="R52:R52">IFERROR( (MEDIAN((IF(DATOS_[[Sexo]:[Sexo]]=$B52,IF(DATOS_[[AGRUP. VALOR. PTO.]:[AGRUP. VALOR. PTO.]]=$B51,IF(DATOS_[[Check Periodo Ref.]:[Check Periodo Ref.]]="Dentro",IF(DATOS_[[Check Equiparado]:[Check Equiparado]]="Sí",IF(DATOS!AM$4="Sí",(1/DATOS_[[% anualiz]:[% anualiz]]),1)*IF(DATOS!AM$5="Sí",1/DATOS_[[% normaliz]:[% normaliz]],1)*(DATOS_[Conc.Sal.09])))))))), 0)</f>
        <v>0</v>
      </c>
      <c r="S52" s="250" t="n">
        <f aca="false" t="array" ref="S52:S52">IFERROR( (MEDIAN((IF(DATOS_[[Sexo]:[Sexo]]=$B52,IF(DATOS_[[AGRUP. VALOR. PTO.]:[AGRUP. VALOR. PTO.]]=$B51,IF(DATOS_[[Check Periodo Ref.]:[Check Periodo Ref.]]="Dentro",IF(DATOS_[[Check Equiparado]:[Check Equiparado]]="Sí",IF(DATOS!AN$4="Sí",(1/DATOS_[[% anualiz]:[% anualiz]]),1)*IF(DATOS!AN$5="Sí",1/DATOS_[[% normaliz]:[% normaliz]],1)*(DATOS_[Conc.Sal.10])))))))), 0)</f>
        <v>0</v>
      </c>
      <c r="T52" s="250" t="n">
        <f aca="false" t="array" ref="T52:T52">IFERROR( (MEDIAN((IF(DATOS_[[Sexo]:[Sexo]]=$B52,IF(DATOS_[[AGRUP. VALOR. PTO.]:[AGRUP. VALOR. PTO.]]=$B51,IF(DATOS_[[Check Periodo Ref.]:[Check Periodo Ref.]]="Dentro",IF(DATOS_[[Check Equiparado]:[Check Equiparado]]="Sí",IF(DATOS!AO$4="Sí",(1/DATOS_[[% anualiz]:[% anualiz]]),1)*IF(DATOS!AO$5="Sí",1/DATOS_[[% normaliz]:[% normaliz]],1)*(DATOS_[Conc.Sal.11])))))))), 0)</f>
        <v>0</v>
      </c>
      <c r="U52" s="250" t="n">
        <f aca="false" t="array" ref="U52:U52">IFERROR( (MEDIAN((IF(DATOS_[[Sexo]:[Sexo]]=$B52,IF(DATOS_[[AGRUP. VALOR. PTO.]:[AGRUP. VALOR. PTO.]]=$B51,IF(DATOS_[[Check Periodo Ref.]:[Check Periodo Ref.]]="Dentro",IF(DATOS_[[Check Equiparado]:[Check Equiparado]]="Sí",IF(DATOS!AP$4="Sí",(1/DATOS_[[% anualiz]:[% anualiz]]),1)*IF(DATOS!AP$5="Sí",1/DATOS_[[% normaliz]:[% normaliz]],1)*(DATOS_[Conc.Sal.12])))))))), 0)</f>
        <v>0</v>
      </c>
      <c r="V52" s="250" t="n">
        <f aca="false" t="array" ref="V52:V52">IFERROR( (MEDIAN((IF(DATOS_[[Sexo]:[Sexo]]=$B52,IF(DATOS_[[AGRUP. VALOR. PTO.]:[AGRUP. VALOR. PTO.]]=$B51,IF(DATOS_[[Check Periodo Ref.]:[Check Periodo Ref.]]="Dentro",IF(DATOS_[[Check Equiparado]:[Check Equiparado]]="Sí",IF(DATOS!AQ$4="Sí",(1/DATOS_[[% anualiz]:[% anualiz]]),1)*IF(DATOS!AQ$5="Sí",1/DATOS_[[% normaliz]:[% normaliz]],1)*(DATOS_[Conc.Sal.13])))))))), 0)</f>
        <v>0</v>
      </c>
      <c r="W52" s="250" t="n">
        <f aca="false" t="array" ref="W52:W52">IFERROR( (MEDIAN((IF(DATOS_[[Sexo]:[Sexo]]=$B52,IF(DATOS_[[AGRUP. VALOR. PTO.]:[AGRUP. VALOR. PTO.]]=$B51,IF(DATOS_[[Check Periodo Ref.]:[Check Periodo Ref.]]="Dentro",IF(DATOS_[[Check Equiparado]:[Check Equiparado]]="Sí",IF(DATOS!AR$4="Sí",(1/DATOS_[[% anualiz]:[% anualiz]]),1)*IF(DATOS!AR$5="Sí",1/DATOS_[[% normaliz]:[% normaliz]],1)*(DATOS_[Conc.Sal.14])))))))), 0)</f>
        <v>0</v>
      </c>
      <c r="X52" s="250" t="n">
        <f aca="false" t="array" ref="X52:X52">IFERROR( (MEDIAN((IF(DATOS_[[Sexo]:[Sexo]]=$B52,IF(DATOS_[[AGRUP. VALOR. PTO.]:[AGRUP. VALOR. PTO.]]=$B51,IF(DATOS_[[Check Periodo Ref.]:[Check Periodo Ref.]]="Dentro",IF(DATOS_[[Check Equiparado]:[Check Equiparado]]="Sí",IF(DATOS!AS$4="Sí",(1/DATOS_[[% anualiz]:[% anualiz]]),1)*IF(DATOS!AS$5="Sí",1/DATOS_[[% normaliz]:[% normaliz]],1)*(DATOS_[Conc.Sal.15])))))))), 0)</f>
        <v>0</v>
      </c>
      <c r="Y52" s="250" t="n">
        <f aca="false" t="array" ref="Y52:Y52">IFERROR( (MEDIAN((IF(DATOS_[[Sexo]:[Sexo]]=$B52,IF(DATOS_[[AGRUP. VALOR. PTO.]:[AGRUP. VALOR. PTO.]]=$B51,IF(DATOS_[[Check Periodo Ref.]:[Check Periodo Ref.]]="Dentro",IF(DATOS_[[Check Equiparado]:[Check Equiparado]]="Sí",IF(DATOS!AT$4="Sí",(1/DATOS_[[% anualiz]:[% anualiz]]),1)*IF(DATOS!AT$5="Sí",1/DATOS_[[% normaliz]:[% normaliz]],1)*(DATOS_[Conc.Sal.16])))))))), 0)</f>
        <v>0</v>
      </c>
      <c r="Z52" s="250" t="n">
        <f aca="false" t="array" ref="Z52:Z52">IFERROR( (MEDIAN((IF(DATOS_[[Sexo]:[Sexo]]=$B52,IF(DATOS_[[AGRUP. VALOR. PTO.]:[AGRUP. VALOR. PTO.]]=$B51,IF(DATOS_[[Check Periodo Ref.]:[Check Periodo Ref.]]="Dentro",IF(DATOS_[[Check Equiparado]:[Check Equiparado]]="Sí",IF(DATOS!AU$4="Sí",(1/DATOS_[[% anualiz]:[% anualiz]]),1)*IF(DATOS!AU$5="Sí",1/DATOS_[[% normaliz]:[% normaliz]],1)*(DATOS_[Conc.Sal.17])))))))), 0)</f>
        <v>0</v>
      </c>
      <c r="AA52" s="250" t="n">
        <f aca="false" t="array" ref="AA52:AA52">IFERROR( (MEDIAN((IF(DATOS_[[Sexo]:[Sexo]]=$B52,IF(DATOS_[[AGRUP. VALOR. PTO.]:[AGRUP. VALOR. PTO.]]=$B51,IF(DATOS_[[Check Periodo Ref.]:[Check Periodo Ref.]]="Dentro",IF(DATOS_[[Check Equiparado]:[Check Equiparado]]="Sí",IF(DATOS!AV$4="Sí",(1/DATOS_[[% anualiz]:[% anualiz]]),1)*IF(DATOS!AV$5="Sí",1/DATOS_[[% normaliz]:[% normaliz]],1)*(DATOS_[Conc.Sal.18])))))))), 0)</f>
        <v>0</v>
      </c>
      <c r="AB52" s="250" t="n">
        <f aca="false" t="array" ref="AB52:AB52">IFERROR( (MEDIAN((IF(DATOS_[[Sexo]:[Sexo]]=$B52,IF(DATOS_[[AGRUP. VALOR. PTO.]:[AGRUP. VALOR. PTO.]]=$B51,IF(DATOS_[[Check Periodo Ref.]:[Check Periodo Ref.]]="Dentro",IF(DATOS_[[Check Equiparado]:[Check Equiparado]]="Sí",IF(DATOS!AW$4="Sí",(1/DATOS_[[% anualiz]:[% anualiz]]),1)*IF(DATOS!AW$5="Sí",1/DATOS_[[% normaliz]:[% normaliz]],1)*(DATOS_[Conc.Sal.19])))))))), 0)</f>
        <v>0</v>
      </c>
      <c r="AC52" s="250" t="n">
        <f aca="false" t="array" ref="AC52:AC52">IFERROR( (MEDIAN((IF(DATOS_[[Sexo]:[Sexo]]=$B52,IF(DATOS_[[AGRUP. VALOR. PTO.]:[AGRUP. VALOR. PTO.]]=$B51,IF(DATOS_[[Check Periodo Ref.]:[Check Periodo Ref.]]="Dentro",IF(DATOS_[[Check Equiparado]:[Check Equiparado]]="Sí",IF(DATOS!AX$4="Sí",(1/DATOS_[[% anualiz]:[% anualiz]]),1)*IF(DATOS!AX$5="Sí",1/DATOS_[[% normaliz]:[% normaliz]],1)*(DATOS_[Conc.Sal.20])))))))), 0)</f>
        <v>0</v>
      </c>
      <c r="AD52" s="250" t="n">
        <f aca="false" t="array" ref="AD52:AD52">IFERROR( (MEDIAN((IF(DATOS_[[Sexo]:[Sexo]]=$B52,IF(DATOS_[[AGRUP. VALOR. PTO.]:[AGRUP. VALOR. PTO.]]=$B51,IF(DATOS_[[Check Periodo Ref.]:[Check Periodo Ref.]]="Dentro",IF(DATOS_[[Check Equiparado]:[Check Equiparado]]="Sí",IF(DATOS!AY$4="Sí",(1/DATOS_[[% anualiz]:[% anualiz]]),1)*IF(DATOS!AY$5="Sí",1/DATOS_[[% normaliz]:[% normaliz]],1)*(DATOS_[Conc.Sal.21])))))))), 0)</f>
        <v>0</v>
      </c>
      <c r="AE52" s="250" t="n">
        <f aca="false" t="array" ref="AE52:AE52">IFERROR( (MEDIAN((IF(DATOS_[[Sexo]:[Sexo]]=$B52,IF(DATOS_[[AGRUP. VALOR. PTO.]:[AGRUP. VALOR. PTO.]]=$B51,IF(DATOS_[[Check Periodo Ref.]:[Check Periodo Ref.]]="Dentro",IF(DATOS_[[Check Equiparado]:[Check Equiparado]]="Sí",IF(DATOS!AZ$4="Sí",(1/DATOS_[[% anualiz]:[% anualiz]]),1)*IF(DATOS!AZ$5="Sí",1/DATOS_[[% normaliz]:[% normaliz]],1)*(DATOS_[Conc.Sal.22])))))))), 0)</f>
        <v>0</v>
      </c>
      <c r="AF52" s="250" t="n">
        <f aca="false" t="array" ref="AF52:AF52">IFERROR( (MEDIAN((IF(DATOS_[[Sexo]:[Sexo]]=$B52,IF(DATOS_[[AGRUP. VALOR. PTO.]:[AGRUP. VALOR. PTO.]]=$B51,IF(DATOS_[[Check Periodo Ref.]:[Check Periodo Ref.]]="Dentro",IF(DATOS_[[Check Equiparado]:[Check Equiparado]]="Sí",IF(DATOS!BA$4="Sí",(1/DATOS_[[% anualiz]:[% anualiz]]),1)*IF(DATOS!BA$5="Sí",1/DATOS_[[% normaliz]:[% normaliz]],1)*(DATOS_[Conc.Sal.23])))))))), 0)</f>
        <v>0</v>
      </c>
      <c r="AG52" s="250" t="n">
        <f aca="false" t="array" ref="AG52:AG52">IFERROR( (MEDIAN((IF(DATOS_[[Sexo]:[Sexo]]=$B52,IF(DATOS_[[AGRUP. VALOR. PTO.]:[AGRUP. VALOR. PTO.]]=$B51,IF(DATOS_[[Check Periodo Ref.]:[Check Periodo Ref.]]="Dentro",IF(DATOS_[[Check Equiparado]:[Check Equiparado]]="Sí",IF(DATOS!BB$4="Sí",(1/DATOS_[[% anualiz]:[% anualiz]]),1)*IF(DATOS!BB$5="Sí",1/DATOS_[[% normaliz]:[% normaliz]],1)*(DATOS_[Conc.Sal.24])))))))), 0)</f>
        <v>0</v>
      </c>
      <c r="AH52" s="250" t="n">
        <f aca="false" t="array" ref="AH52:AH52">IFERROR( (MEDIAN((IF(DATOS_[[Sexo]:[Sexo]]=$B52,IF(DATOS_[[AGRUP. VALOR. PTO.]:[AGRUP. VALOR. PTO.]]=$B51,IF(DATOS_[[Check Periodo Ref.]:[Check Periodo Ref.]]="Dentro",IF(DATOS_[[Check Equiparado]:[Check Equiparado]]="Sí",IF(DATOS!BC$4="Sí",(1/DATOS_[[% anualiz]:[% anualiz]]),1)*IF(DATOS!BC$5="Sí",1/DATOS_[[% normaliz]:[% normaliz]],1)*(DATOS_[Conc.Sal.25])))))))), 0)</f>
        <v>0</v>
      </c>
      <c r="AI52" s="250" t="n">
        <f aca="false" t="array" ref="AI52:AI52">IFERROR( (MEDIAN((IF(DATOS_[[Sexo]:[Sexo]]=$B52,IF(DATOS_[[AGRUP. VALOR. PTO.]:[AGRUP. VALOR. PTO.]]=$B51,IF(DATOS_[[Check Periodo Ref.]:[Check Periodo Ref.]]="Dentro",IF(DATOS_[[Check Equiparado]:[Check Equiparado]]="Sí",IF(DATOS!BD$4="Sí",(1/DATOS_[[% anualiz]:[% anualiz]]),1)*IF(DATOS!BD$5="Sí",1/DATOS_[[% normaliz]:[% normaliz]],1)*(DATOS_[Conc.Sal.26])))))))), 0)</f>
        <v>0</v>
      </c>
      <c r="AJ52" s="250" t="n">
        <f aca="false" t="array" ref="AJ52:AJ52">IFERROR( (MEDIAN((IF(DATOS_[[Sexo]:[Sexo]]=$B52,IF(DATOS_[[AGRUP. VALOR. PTO.]:[AGRUP. VALOR. PTO.]]=$B51,IF(DATOS_[[Check Periodo Ref.]:[Check Periodo Ref.]]="Dentro",IF(DATOS_[[Check Equiparado]:[Check Equiparado]]="Sí",IF(DATOS!BE$4="Sí",(1/DATOS_[[% anualiz]:[% anualiz]]),1)*IF(DATOS!BE$5="Sí",1/DATOS_[[% normaliz]:[% normaliz]],1)*(DATOS_[Conc.Sal.27])))))))), 0)</f>
        <v>0</v>
      </c>
      <c r="AK52" s="250" t="n">
        <f aca="false" t="array" ref="AK52:AK52">IFERROR( (MEDIAN((IF(DATOS_[[Sexo]:[Sexo]]=$B52,IF(DATOS_[[AGRUP. VALOR. PTO.]:[AGRUP. VALOR. PTO.]]=$B51,IF(DATOS_[[Check Periodo Ref.]:[Check Periodo Ref.]]="Dentro",IF(DATOS_[[Check Equiparado]:[Check Equiparado]]="Sí",IF(DATOS!BF$4="Sí",(1/DATOS_[[% anualiz]:[% anualiz]]),1)*IF(DATOS!BF$5="Sí",1/DATOS_[[% normaliz]:[% normaliz]],1)*(DATOS_[Conc.Sal.28])))))))), 0)</f>
        <v>0</v>
      </c>
      <c r="AL52" s="250" t="n">
        <f aca="false" t="array" ref="AL52:AL52">IFERROR( (MEDIAN((IF(DATOS_[[Sexo]:[Sexo]]=$B52,IF(DATOS_[[AGRUP. VALOR. PTO.]:[AGRUP. VALOR. PTO.]]=$B51,IF(DATOS_[[Check Periodo Ref.]:[Check Periodo Ref.]]="Dentro",IF(DATOS_[[Check Equiparado]:[Check Equiparado]]="Sí",IF(DATOS!BG$4="Sí",(1/DATOS_[[% anualiz]:[% anualiz]]),1)*IF(DATOS!BG$5="Sí",1/DATOS_[[% normaliz]:[% normaliz]],1)*(DATOS_[Conc.Sal.29])))))))), 0)</f>
        <v>0</v>
      </c>
      <c r="AM52" s="250" t="n">
        <f aca="false" t="array" ref="AM52:AM52">IFERROR( (MEDIAN((IF(DATOS_[[Sexo]:[Sexo]]=$B52,IF(DATOS_[[AGRUP. VALOR. PTO.]:[AGRUP. VALOR. PTO.]]=$B51,IF(DATOS_[[Check Periodo Ref.]:[Check Periodo Ref.]]="Dentro",IF(DATOS_[[Check Equiparado]:[Check Equiparado]]="Sí",IF(DATOS!BH$4="Sí",(1/DATOS_[[% anualiz]:[% anualiz]]),1)*IF(DATOS!BH$5="Sí",1/DATOS_[[% normaliz]:[% normaliz]],1)*(DATOS_[Conc.Sal.30])))))))), 0)</f>
        <v>0</v>
      </c>
      <c r="AN52" s="251" t="n">
        <f aca="false" t="array" ref="AN52:AN52">IFERROR( MEDIAN(IF(DATOS_[Sexo]=$B52,IF(DATOS_[[AGRUP. VALOR. PTO.]:[AGRUP. VALOR. PTO.]]=$B51,IF(DATOS_[Check Equiparado]="Sí",IF(DATOS_[Check Periodo Ref.]="Dentro",DATOS_[Tot COMPL.SAL Eq],0))))), 0)</f>
        <v>0</v>
      </c>
      <c r="AO52" s="252" t="n">
        <f aca="false" t="array" ref="AO52:AO52">IFERROR( MEDIAN(IF(DATOS_[Sexo]=$B52,IF(DATOS_[[AGRUP. VALOR. PTO.]:[AGRUP. VALOR. PTO.]]=$B51,IF(DATOS_[Check Equiparado]="Sí",IF(DATOS_[Check Periodo Ref.]="Dentro",DATOS_[TOTAL SALARIO Eq],0))))), 0)</f>
        <v>0</v>
      </c>
      <c r="AP52" s="259" t="n">
        <f aca="false" t="array" ref="AP52:AP52">IFERROR( (MEDIAN((IF(DATOS_[[Sexo]:[Sexo]]=$B52,IF(DATOS_[[AGRUP. VALOR. PTO.]:[AGRUP. VALOR. PTO.]]=$B51,IF(DATOS_[[Check Periodo Ref.]:[Check Periodo Ref.]]="Dentro",IF(DATOS_[[Check Equiparado]:[Check Equiparado]]="Sí",IF(DATOS!BI$4="Sí",(1/DATOS_[[% anualiz]:[% anualiz]]),1)*IF(DATOS!BI$5="Sí",1/DATOS_[[% normaliz]:[% normaliz]],1)*(DATOS_[C.Extra.01])))))))), 0)</f>
        <v>0</v>
      </c>
      <c r="AQ52" s="259" t="n">
        <f aca="false" t="array" ref="AQ52:AQ52">IFERROR( (MEDIAN((IF(DATOS_[[Sexo]:[Sexo]]=$B52,IF(DATOS_[[AGRUP. VALOR. PTO.]:[AGRUP. VALOR. PTO.]]=$B51,IF(DATOS_[[Check Periodo Ref.]:[Check Periodo Ref.]]="Dentro",IF(DATOS_[[Check Equiparado]:[Check Equiparado]]="Sí",IF(DATOS!BJ$4="Sí",(1/DATOS_[[% anualiz]:[% anualiz]]),1)*IF(DATOS!BJ$5="Sí",1/DATOS_[[% normaliz]:[% normaliz]],1)*(DATOS_[C.Extra.02])))))))), 0)</f>
        <v>0</v>
      </c>
      <c r="AR52" s="259" t="n">
        <f aca="false" t="array" ref="AR52:AR52">IFERROR( (MEDIAN((IF(DATOS_[[Sexo]:[Sexo]]=$B52,IF(DATOS_[[AGRUP. VALOR. PTO.]:[AGRUP. VALOR. PTO.]]=$B51,IF(DATOS_[[Check Periodo Ref.]:[Check Periodo Ref.]]="Dentro",IF(DATOS_[[Check Equiparado]:[Check Equiparado]]="Sí",IF(DATOS!BK$4="Sí",(1/DATOS_[[% anualiz]:[% anualiz]]),1)*IF(DATOS!BK$5="Sí",1/DATOS_[[% normaliz]:[% normaliz]],1)*(DATOS_[C.Extra.03])))))))), 0)</f>
        <v>0</v>
      </c>
      <c r="AS52" s="259" t="n">
        <f aca="false" t="array" ref="AS52:AS52">IFERROR( (MEDIAN((IF(DATOS_[[Sexo]:[Sexo]]=$B52,IF(DATOS_[[AGRUP. VALOR. PTO.]:[AGRUP. VALOR. PTO.]]=$B51,IF(DATOS_[[Check Periodo Ref.]:[Check Periodo Ref.]]="Dentro",IF(DATOS_[[Check Equiparado]:[Check Equiparado]]="Sí",IF(DATOS!BL$4="Sí",(1/DATOS_[[% anualiz]:[% anualiz]]),1)*IF(DATOS!BL$5="Sí",1/DATOS_[[% normaliz]:[% normaliz]],1)*(DATOS_[C.Extra.04])))))))), 0)</f>
        <v>0</v>
      </c>
      <c r="AT52" s="259" t="n">
        <f aca="false" t="array" ref="AT52:AT52">IFERROR( (MEDIAN((IF(DATOS_[[Sexo]:[Sexo]]=$B52,IF(DATOS_[[AGRUP. VALOR. PTO.]:[AGRUP. VALOR. PTO.]]=$B51,IF(DATOS_[[Check Periodo Ref.]:[Check Periodo Ref.]]="Dentro",IF(DATOS_[[Check Equiparado]:[Check Equiparado]]="Sí",IF(DATOS!BM$4="Sí",(1/DATOS_[[% anualiz]:[% anualiz]]),1)*IF(DATOS!BM$5="Sí",1/DATOS_[[% normaliz]:[% normaliz]],1)*(DATOS_[C.Extra.05])))))))), 0)</f>
        <v>0</v>
      </c>
      <c r="AU52" s="254" t="n">
        <f aca="false" t="array" ref="AU52:AU52">IFERROR( MEDIAN(IF(DATOS_[Sexo]=$B52,IF(DATOS_[[AGRUP. VALOR. PTO.]:[AGRUP. VALOR. PTO.]]=$B51,IF(DATOS_[Check Equiparado]="Sí",IF(DATOS_[Check Periodo Ref.]="Dentro",DATOS_[Tot Extrasalarial Eq],0))))), 0)</f>
        <v>0</v>
      </c>
      <c r="AV52" s="255" t="n">
        <f aca="false" t="array" ref="AV52:AV52">IFERROR( MEDIAN(IF(DATOS_[Sexo]=$B52,IF(DATOS_[[AGRUP. VALOR. PTO.]:[AGRUP. VALOR. PTO.]]=$B51,IF(DATOS_[Check Equiparado]="Sí",IF(DATOS_[Check Periodo Ref.]="Dentro",DATOS_[TOTAL Retrib Eq],0))))), 0)</f>
        <v>0</v>
      </c>
    </row>
    <row r="53" customFormat="false" ht="14.25" hidden="false" customHeight="false" outlineLevel="0" collapsed="false">
      <c r="A53" s="217" t="str">
        <f aca="false">+A52</f>
        <v>[ocultar]</v>
      </c>
      <c r="B53" s="323" t="s">
        <v>372</v>
      </c>
      <c r="C53" s="247" t="n">
        <f aca="false" t="array" ref="C53:C53">SUM(IF($B53=DATOS_[Sexo], IF($B51=DATOS_[AGRUP. VALOR. PTO.], IF("Dentro"=DATOS_[Check Periodo Ref.], 1/(COUNTIFS(DATOS_[Sexo],$B53,DATOS_[AGRUP. VALOR. PTO.],$B51,DATOS_[Check Periodo Ref.],"Dentro",DATOS_[id],DATOS_[id]))))))</f>
        <v>0</v>
      </c>
      <c r="D53" s="248" t="n">
        <f aca="false">COUNTIFS(DATOS_[AGRUP. VALOR. PTO.],$B51,DATOS_[Sexo],$B53,DATOS_[Check Periodo Ref.],"Dentro")</f>
        <v>0</v>
      </c>
      <c r="E53" s="248" t="n">
        <f aca="false">COUNTIFS(DATOS_[AGRUP. VALOR. PTO.],$B51,DATOS_[Sexo],$B53,DATOS_[Check Periodo Ref.],"Dentro",DATOS_[Check Nº SC Norm],"Sí")</f>
        <v>0</v>
      </c>
      <c r="F53" s="248" t="n">
        <f aca="false">COUNTIFS(DATOS_[AGRUP. VALOR. PTO.],$B51,DATOS_[Sexo],$B53,DATOS_[Check Periodo Ref.],"Dentro",DATOS_[Check Nº SC Anualiz],"Sí")</f>
        <v>0</v>
      </c>
      <c r="G53" s="248" t="n">
        <f aca="false">COUNTIFS(DATOS_[AGRUP. VALOR. PTO.],$B51,DATOS_[Sexo],$B53,DATOS_[Check Periodo Ref.],"Dentro",DATOS_[Check Nº SC Norm y Anualiz],"Sí")</f>
        <v>0</v>
      </c>
      <c r="H53" s="248" t="n">
        <f aca="false">COUNTIFS(DATOS_[AGRUP. VALOR. PTO.],$B51,DATOS_[Sexo],$B53,DATOS_[Check Periodo Ref.],"Dentro",DATOS_[Check Equiparación],"Sí")</f>
        <v>0</v>
      </c>
      <c r="I53" s="249" t="n">
        <f aca="false" t="array" ref="I53:I53">IFERROR( MEDIAN(IF(DATOS_[Sexo]=$B53,IF(DATOS_[[AGRUP. VALOR. PTO.]:[AGRUP. VALOR. PTO.]]=$B51,IF(DATOS_[Check Equiparado]="Sí",IF(DATOS_[Check Periodo Ref.]="Dentro",DATOS_[SALARIO BASE Eq],0))))), 0)</f>
        <v>0</v>
      </c>
      <c r="J53" s="250" t="n">
        <f aca="false" t="array" ref="J53:J53">IFERROR( (MEDIAN((IF(DATOS_[[Sexo]:[Sexo]]=$B53,IF(DATOS_[[AGRUP. VALOR. PTO.]:[AGRUP. VALOR. PTO.]]=$B51,IF(DATOS_[[Check Periodo Ref.]:[Check Periodo Ref.]]="Dentro",IF(DATOS_[[Check Equiparado]:[Check Equiparado]]="Sí",IF(DATOS!AE$4="Sí",(1/DATOS_[[% anualiz]:[% anualiz]]),1)*IF(DATOS!AE$5="Sí",1/DATOS_[[% normaliz]:[% normaliz]],1)*(DATOS_[Conc.Sal.01])))))))), 0)</f>
        <v>0</v>
      </c>
      <c r="K53" s="250" t="n">
        <f aca="false" t="array" ref="K53:K53">IFERROR( (MEDIAN((IF(DATOS_[[Sexo]:[Sexo]]=$B53,IF(DATOS_[[AGRUP. VALOR. PTO.]:[AGRUP. VALOR. PTO.]]=$B51,IF(DATOS_[[Check Periodo Ref.]:[Check Periodo Ref.]]="Dentro",IF(DATOS_[[Check Equiparado]:[Check Equiparado]]="Sí",IF(DATOS!AF$4="Sí",(1/DATOS_[[% anualiz]:[% anualiz]]),1)*IF(DATOS!AF$5="Sí",1/DATOS_[[% normaliz]:[% normaliz]],1)*(DATOS_[Conc.Sal.02])))))))), 0)</f>
        <v>0</v>
      </c>
      <c r="L53" s="250" t="n">
        <f aca="false" t="array" ref="L53:L53">IFERROR( (MEDIAN((IF(DATOS_[[Sexo]:[Sexo]]=$B53,IF(DATOS_[[AGRUP. VALOR. PTO.]:[AGRUP. VALOR. PTO.]]=$B51,IF(DATOS_[[Check Periodo Ref.]:[Check Periodo Ref.]]="Dentro",IF(DATOS_[[Check Equiparado]:[Check Equiparado]]="Sí",IF(DATOS!AG$4="Sí",(1/DATOS_[[% anualiz]:[% anualiz]]),1)*IF(DATOS!AG$5="Sí",1/DATOS_[[% normaliz]:[% normaliz]],1)*(DATOS_[Conc.Sal.03])))))))), 0)</f>
        <v>0</v>
      </c>
      <c r="M53" s="250" t="n">
        <f aca="false" t="array" ref="M53:M53">IFERROR( (MEDIAN((IF(DATOS_[[Sexo]:[Sexo]]=$B53,IF(DATOS_[[AGRUP. VALOR. PTO.]:[AGRUP. VALOR. PTO.]]=$B51,IF(DATOS_[[Check Periodo Ref.]:[Check Periodo Ref.]]="Dentro",IF(DATOS_[[Check Equiparado]:[Check Equiparado]]="Sí",IF(DATOS!AH$4="Sí",(1/DATOS_[[% anualiz]:[% anualiz]]),1)*IF(DATOS!AH$5="Sí",1/DATOS_[[% normaliz]:[% normaliz]],1)*(DATOS_[Conc.Sal.04])))))))), 0)</f>
        <v>0</v>
      </c>
      <c r="N53" s="250" t="n">
        <f aca="false" t="array" ref="N53:N53">IFERROR( (MEDIAN((IF(DATOS_[[Sexo]:[Sexo]]=$B53,IF(DATOS_[[AGRUP. VALOR. PTO.]:[AGRUP. VALOR. PTO.]]=$B51,IF(DATOS_[[Check Periodo Ref.]:[Check Periodo Ref.]]="Dentro",IF(DATOS_[[Check Equiparado]:[Check Equiparado]]="Sí",IF(DATOS!AI$4="Sí",(1/DATOS_[[% anualiz]:[% anualiz]]),1)*IF(DATOS!AI$5="Sí",1/DATOS_[[% normaliz]:[% normaliz]],1)*(DATOS_[Conc.Sal.05])))))))), 0)</f>
        <v>0</v>
      </c>
      <c r="O53" s="250" t="n">
        <f aca="false" t="array" ref="O53:O53">IFERROR( (MEDIAN((IF(DATOS_[[Sexo]:[Sexo]]=$B53,IF(DATOS_[[AGRUP. VALOR. PTO.]:[AGRUP. VALOR. PTO.]]=$B51,IF(DATOS_[[Check Periodo Ref.]:[Check Periodo Ref.]]="Dentro",IF(DATOS_[[Check Equiparado]:[Check Equiparado]]="Sí",IF(DATOS!AJ$4="Sí",(1/DATOS_[[% anualiz]:[% anualiz]]),1)*IF(DATOS!AJ$5="Sí",1/DATOS_[[% normaliz]:[% normaliz]],1)*(DATOS_[Conc.Sal.06])))))))), 0)</f>
        <v>0</v>
      </c>
      <c r="P53" s="250" t="n">
        <f aca="false" t="array" ref="P53:P53">IFERROR( (MEDIAN((IF(DATOS_[[Sexo]:[Sexo]]=$B53,IF(DATOS_[[AGRUP. VALOR. PTO.]:[AGRUP. VALOR. PTO.]]=$B51,IF(DATOS_[[Check Periodo Ref.]:[Check Periodo Ref.]]="Dentro",IF(DATOS_[[Check Equiparado]:[Check Equiparado]]="Sí",IF(DATOS!AK$4="Sí",(1/DATOS_[[% anualiz]:[% anualiz]]),1)*IF(DATOS!AK$5="Sí",1/DATOS_[[% normaliz]:[% normaliz]],1)*(DATOS_[Conc.Sal.07])))))))), 0)</f>
        <v>0</v>
      </c>
      <c r="Q53" s="250" t="n">
        <f aca="false" t="array" ref="Q53:Q53">IFERROR( (MEDIAN((IF(DATOS_[[Sexo]:[Sexo]]=$B53,IF(DATOS_[[AGRUP. VALOR. PTO.]:[AGRUP. VALOR. PTO.]]=$B51,IF(DATOS_[[Check Periodo Ref.]:[Check Periodo Ref.]]="Dentro",IF(DATOS_[[Check Equiparado]:[Check Equiparado]]="Sí",IF(DATOS!AL$4="Sí",(1/DATOS_[[% anualiz]:[% anualiz]]),1)*IF(DATOS!AL$5="Sí",1/DATOS_[[% normaliz]:[% normaliz]],1)*(DATOS_[Conc.Sal.08])))))))), 0)</f>
        <v>0</v>
      </c>
      <c r="R53" s="250" t="n">
        <f aca="false" t="array" ref="R53:R53">IFERROR( (MEDIAN((IF(DATOS_[[Sexo]:[Sexo]]=$B53,IF(DATOS_[[AGRUP. VALOR. PTO.]:[AGRUP. VALOR. PTO.]]=$B51,IF(DATOS_[[Check Periodo Ref.]:[Check Periodo Ref.]]="Dentro",IF(DATOS_[[Check Equiparado]:[Check Equiparado]]="Sí",IF(DATOS!AM$4="Sí",(1/DATOS_[[% anualiz]:[% anualiz]]),1)*IF(DATOS!AM$5="Sí",1/DATOS_[[% normaliz]:[% normaliz]],1)*(DATOS_[Conc.Sal.09])))))))), 0)</f>
        <v>0</v>
      </c>
      <c r="S53" s="250" t="n">
        <f aca="false" t="array" ref="S53:S53">IFERROR( (MEDIAN((IF(DATOS_[[Sexo]:[Sexo]]=$B53,IF(DATOS_[[AGRUP. VALOR. PTO.]:[AGRUP. VALOR. PTO.]]=$B51,IF(DATOS_[[Check Periodo Ref.]:[Check Periodo Ref.]]="Dentro",IF(DATOS_[[Check Equiparado]:[Check Equiparado]]="Sí",IF(DATOS!AN$4="Sí",(1/DATOS_[[% anualiz]:[% anualiz]]),1)*IF(DATOS!AN$5="Sí",1/DATOS_[[% normaliz]:[% normaliz]],1)*(DATOS_[Conc.Sal.10])))))))), 0)</f>
        <v>0</v>
      </c>
      <c r="T53" s="250" t="n">
        <f aca="false" t="array" ref="T53:T53">IFERROR( (MEDIAN((IF(DATOS_[[Sexo]:[Sexo]]=$B53,IF(DATOS_[[AGRUP. VALOR. PTO.]:[AGRUP. VALOR. PTO.]]=$B51,IF(DATOS_[[Check Periodo Ref.]:[Check Periodo Ref.]]="Dentro",IF(DATOS_[[Check Equiparado]:[Check Equiparado]]="Sí",IF(DATOS!AO$4="Sí",(1/DATOS_[[% anualiz]:[% anualiz]]),1)*IF(DATOS!AO$5="Sí",1/DATOS_[[% normaliz]:[% normaliz]],1)*(DATOS_[Conc.Sal.11])))))))), 0)</f>
        <v>0</v>
      </c>
      <c r="U53" s="250" t="n">
        <f aca="false" t="array" ref="U53:U53">IFERROR( (MEDIAN((IF(DATOS_[[Sexo]:[Sexo]]=$B53,IF(DATOS_[[AGRUP. VALOR. PTO.]:[AGRUP. VALOR. PTO.]]=$B51,IF(DATOS_[[Check Periodo Ref.]:[Check Periodo Ref.]]="Dentro",IF(DATOS_[[Check Equiparado]:[Check Equiparado]]="Sí",IF(DATOS!AP$4="Sí",(1/DATOS_[[% anualiz]:[% anualiz]]),1)*IF(DATOS!AP$5="Sí",1/DATOS_[[% normaliz]:[% normaliz]],1)*(DATOS_[Conc.Sal.12])))))))), 0)</f>
        <v>0</v>
      </c>
      <c r="V53" s="250" t="n">
        <f aca="false" t="array" ref="V53:V53">IFERROR( (MEDIAN((IF(DATOS_[[Sexo]:[Sexo]]=$B53,IF(DATOS_[[AGRUP. VALOR. PTO.]:[AGRUP. VALOR. PTO.]]=$B51,IF(DATOS_[[Check Periodo Ref.]:[Check Periodo Ref.]]="Dentro",IF(DATOS_[[Check Equiparado]:[Check Equiparado]]="Sí",IF(DATOS!AQ$4="Sí",(1/DATOS_[[% anualiz]:[% anualiz]]),1)*IF(DATOS!AQ$5="Sí",1/DATOS_[[% normaliz]:[% normaliz]],1)*(DATOS_[Conc.Sal.13])))))))), 0)</f>
        <v>0</v>
      </c>
      <c r="W53" s="250" t="n">
        <f aca="false" t="array" ref="W53:W53">IFERROR( (MEDIAN((IF(DATOS_[[Sexo]:[Sexo]]=$B53,IF(DATOS_[[AGRUP. VALOR. PTO.]:[AGRUP. VALOR. PTO.]]=$B51,IF(DATOS_[[Check Periodo Ref.]:[Check Periodo Ref.]]="Dentro",IF(DATOS_[[Check Equiparado]:[Check Equiparado]]="Sí",IF(DATOS!AR$4="Sí",(1/DATOS_[[% anualiz]:[% anualiz]]),1)*IF(DATOS!AR$5="Sí",1/DATOS_[[% normaliz]:[% normaliz]],1)*(DATOS_[Conc.Sal.14])))))))), 0)</f>
        <v>0</v>
      </c>
      <c r="X53" s="250" t="n">
        <f aca="false" t="array" ref="X53:X53">IFERROR( (MEDIAN((IF(DATOS_[[Sexo]:[Sexo]]=$B53,IF(DATOS_[[AGRUP. VALOR. PTO.]:[AGRUP. VALOR. PTO.]]=$B51,IF(DATOS_[[Check Periodo Ref.]:[Check Periodo Ref.]]="Dentro",IF(DATOS_[[Check Equiparado]:[Check Equiparado]]="Sí",IF(DATOS!AS$4="Sí",(1/DATOS_[[% anualiz]:[% anualiz]]),1)*IF(DATOS!AS$5="Sí",1/DATOS_[[% normaliz]:[% normaliz]],1)*(DATOS_[Conc.Sal.15])))))))), 0)</f>
        <v>0</v>
      </c>
      <c r="Y53" s="250" t="n">
        <f aca="false" t="array" ref="Y53:Y53">IFERROR( (MEDIAN((IF(DATOS_[[Sexo]:[Sexo]]=$B53,IF(DATOS_[[AGRUP. VALOR. PTO.]:[AGRUP. VALOR. PTO.]]=$B51,IF(DATOS_[[Check Periodo Ref.]:[Check Periodo Ref.]]="Dentro",IF(DATOS_[[Check Equiparado]:[Check Equiparado]]="Sí",IF(DATOS!AT$4="Sí",(1/DATOS_[[% anualiz]:[% anualiz]]),1)*IF(DATOS!AT$5="Sí",1/DATOS_[[% normaliz]:[% normaliz]],1)*(DATOS_[Conc.Sal.16])))))))), 0)</f>
        <v>0</v>
      </c>
      <c r="Z53" s="250" t="n">
        <f aca="false" t="array" ref="Z53:Z53">IFERROR( (MEDIAN((IF(DATOS_[[Sexo]:[Sexo]]=$B53,IF(DATOS_[[AGRUP. VALOR. PTO.]:[AGRUP. VALOR. PTO.]]=$B51,IF(DATOS_[[Check Periodo Ref.]:[Check Periodo Ref.]]="Dentro",IF(DATOS_[[Check Equiparado]:[Check Equiparado]]="Sí",IF(DATOS!AU$4="Sí",(1/DATOS_[[% anualiz]:[% anualiz]]),1)*IF(DATOS!AU$5="Sí",1/DATOS_[[% normaliz]:[% normaliz]],1)*(DATOS_[Conc.Sal.17])))))))), 0)</f>
        <v>0</v>
      </c>
      <c r="AA53" s="250" t="n">
        <f aca="false" t="array" ref="AA53:AA53">IFERROR( (MEDIAN((IF(DATOS_[[Sexo]:[Sexo]]=$B53,IF(DATOS_[[AGRUP. VALOR. PTO.]:[AGRUP. VALOR. PTO.]]=$B51,IF(DATOS_[[Check Periodo Ref.]:[Check Periodo Ref.]]="Dentro",IF(DATOS_[[Check Equiparado]:[Check Equiparado]]="Sí",IF(DATOS!AV$4="Sí",(1/DATOS_[[% anualiz]:[% anualiz]]),1)*IF(DATOS!AV$5="Sí",1/DATOS_[[% normaliz]:[% normaliz]],1)*(DATOS_[Conc.Sal.18])))))))), 0)</f>
        <v>0</v>
      </c>
      <c r="AB53" s="250" t="n">
        <f aca="false" t="array" ref="AB53:AB53">IFERROR( (MEDIAN((IF(DATOS_[[Sexo]:[Sexo]]=$B53,IF(DATOS_[[AGRUP. VALOR. PTO.]:[AGRUP. VALOR. PTO.]]=$B51,IF(DATOS_[[Check Periodo Ref.]:[Check Periodo Ref.]]="Dentro",IF(DATOS_[[Check Equiparado]:[Check Equiparado]]="Sí",IF(DATOS!AW$4="Sí",(1/DATOS_[[% anualiz]:[% anualiz]]),1)*IF(DATOS!AW$5="Sí",1/DATOS_[[% normaliz]:[% normaliz]],1)*(DATOS_[Conc.Sal.19])))))))), 0)</f>
        <v>0</v>
      </c>
      <c r="AC53" s="250" t="n">
        <f aca="false" t="array" ref="AC53:AC53">IFERROR( (MEDIAN((IF(DATOS_[[Sexo]:[Sexo]]=$B53,IF(DATOS_[[AGRUP. VALOR. PTO.]:[AGRUP. VALOR. PTO.]]=$B51,IF(DATOS_[[Check Periodo Ref.]:[Check Periodo Ref.]]="Dentro",IF(DATOS_[[Check Equiparado]:[Check Equiparado]]="Sí",IF(DATOS!AX$4="Sí",(1/DATOS_[[% anualiz]:[% anualiz]]),1)*IF(DATOS!AX$5="Sí",1/DATOS_[[% normaliz]:[% normaliz]],1)*(DATOS_[Conc.Sal.20])))))))), 0)</f>
        <v>0</v>
      </c>
      <c r="AD53" s="250" t="n">
        <f aca="false" t="array" ref="AD53:AD53">IFERROR( (MEDIAN((IF(DATOS_[[Sexo]:[Sexo]]=$B53,IF(DATOS_[[AGRUP. VALOR. PTO.]:[AGRUP. VALOR. PTO.]]=$B51,IF(DATOS_[[Check Periodo Ref.]:[Check Periodo Ref.]]="Dentro",IF(DATOS_[[Check Equiparado]:[Check Equiparado]]="Sí",IF(DATOS!AY$4="Sí",(1/DATOS_[[% anualiz]:[% anualiz]]),1)*IF(DATOS!AY$5="Sí",1/DATOS_[[% normaliz]:[% normaliz]],1)*(DATOS_[Conc.Sal.21])))))))), 0)</f>
        <v>0</v>
      </c>
      <c r="AE53" s="250" t="n">
        <f aca="false" t="array" ref="AE53:AE53">IFERROR( (MEDIAN((IF(DATOS_[[Sexo]:[Sexo]]=$B53,IF(DATOS_[[AGRUP. VALOR. PTO.]:[AGRUP. VALOR. PTO.]]=$B51,IF(DATOS_[[Check Periodo Ref.]:[Check Periodo Ref.]]="Dentro",IF(DATOS_[[Check Equiparado]:[Check Equiparado]]="Sí",IF(DATOS!AZ$4="Sí",(1/DATOS_[[% anualiz]:[% anualiz]]),1)*IF(DATOS!AZ$5="Sí",1/DATOS_[[% normaliz]:[% normaliz]],1)*(DATOS_[Conc.Sal.22])))))))), 0)</f>
        <v>0</v>
      </c>
      <c r="AF53" s="250" t="n">
        <f aca="false" t="array" ref="AF53:AF53">IFERROR( (MEDIAN((IF(DATOS_[[Sexo]:[Sexo]]=$B53,IF(DATOS_[[AGRUP. VALOR. PTO.]:[AGRUP. VALOR. PTO.]]=$B51,IF(DATOS_[[Check Periodo Ref.]:[Check Periodo Ref.]]="Dentro",IF(DATOS_[[Check Equiparado]:[Check Equiparado]]="Sí",IF(DATOS!BA$4="Sí",(1/DATOS_[[% anualiz]:[% anualiz]]),1)*IF(DATOS!BA$5="Sí",1/DATOS_[[% normaliz]:[% normaliz]],1)*(DATOS_[Conc.Sal.23])))))))), 0)</f>
        <v>0</v>
      </c>
      <c r="AG53" s="250" t="n">
        <f aca="false" t="array" ref="AG53:AG53">IFERROR( (MEDIAN((IF(DATOS_[[Sexo]:[Sexo]]=$B53,IF(DATOS_[[AGRUP. VALOR. PTO.]:[AGRUP. VALOR. PTO.]]=$B51,IF(DATOS_[[Check Periodo Ref.]:[Check Periodo Ref.]]="Dentro",IF(DATOS_[[Check Equiparado]:[Check Equiparado]]="Sí",IF(DATOS!BB$4="Sí",(1/DATOS_[[% anualiz]:[% anualiz]]),1)*IF(DATOS!BB$5="Sí",1/DATOS_[[% normaliz]:[% normaliz]],1)*(DATOS_[Conc.Sal.24])))))))), 0)</f>
        <v>0</v>
      </c>
      <c r="AH53" s="250" t="n">
        <f aca="false" t="array" ref="AH53:AH53">IFERROR( (MEDIAN((IF(DATOS_[[Sexo]:[Sexo]]=$B53,IF(DATOS_[[AGRUP. VALOR. PTO.]:[AGRUP. VALOR. PTO.]]=$B51,IF(DATOS_[[Check Periodo Ref.]:[Check Periodo Ref.]]="Dentro",IF(DATOS_[[Check Equiparado]:[Check Equiparado]]="Sí",IF(DATOS!BC$4="Sí",(1/DATOS_[[% anualiz]:[% anualiz]]),1)*IF(DATOS!BC$5="Sí",1/DATOS_[[% normaliz]:[% normaliz]],1)*(DATOS_[Conc.Sal.25])))))))), 0)</f>
        <v>0</v>
      </c>
      <c r="AI53" s="250" t="n">
        <f aca="false" t="array" ref="AI53:AI53">IFERROR( (MEDIAN((IF(DATOS_[[Sexo]:[Sexo]]=$B53,IF(DATOS_[[AGRUP. VALOR. PTO.]:[AGRUP. VALOR. PTO.]]=$B51,IF(DATOS_[[Check Periodo Ref.]:[Check Periodo Ref.]]="Dentro",IF(DATOS_[[Check Equiparado]:[Check Equiparado]]="Sí",IF(DATOS!BD$4="Sí",(1/DATOS_[[% anualiz]:[% anualiz]]),1)*IF(DATOS!BD$5="Sí",1/DATOS_[[% normaliz]:[% normaliz]],1)*(DATOS_[Conc.Sal.26])))))))), 0)</f>
        <v>0</v>
      </c>
      <c r="AJ53" s="250" t="n">
        <f aca="false" t="array" ref="AJ53:AJ53">IFERROR( (MEDIAN((IF(DATOS_[[Sexo]:[Sexo]]=$B53,IF(DATOS_[[AGRUP. VALOR. PTO.]:[AGRUP. VALOR. PTO.]]=$B51,IF(DATOS_[[Check Periodo Ref.]:[Check Periodo Ref.]]="Dentro",IF(DATOS_[[Check Equiparado]:[Check Equiparado]]="Sí",IF(DATOS!BE$4="Sí",(1/DATOS_[[% anualiz]:[% anualiz]]),1)*IF(DATOS!BE$5="Sí",1/DATOS_[[% normaliz]:[% normaliz]],1)*(DATOS_[Conc.Sal.27])))))))), 0)</f>
        <v>0</v>
      </c>
      <c r="AK53" s="250" t="n">
        <f aca="false" t="array" ref="AK53:AK53">IFERROR( (MEDIAN((IF(DATOS_[[Sexo]:[Sexo]]=$B53,IF(DATOS_[[AGRUP. VALOR. PTO.]:[AGRUP. VALOR. PTO.]]=$B51,IF(DATOS_[[Check Periodo Ref.]:[Check Periodo Ref.]]="Dentro",IF(DATOS_[[Check Equiparado]:[Check Equiparado]]="Sí",IF(DATOS!BF$4="Sí",(1/DATOS_[[% anualiz]:[% anualiz]]),1)*IF(DATOS!BF$5="Sí",1/DATOS_[[% normaliz]:[% normaliz]],1)*(DATOS_[Conc.Sal.28])))))))), 0)</f>
        <v>0</v>
      </c>
      <c r="AL53" s="250" t="n">
        <f aca="false" t="array" ref="AL53:AL53">IFERROR( (MEDIAN((IF(DATOS_[[Sexo]:[Sexo]]=$B53,IF(DATOS_[[AGRUP. VALOR. PTO.]:[AGRUP. VALOR. PTO.]]=$B51,IF(DATOS_[[Check Periodo Ref.]:[Check Periodo Ref.]]="Dentro",IF(DATOS_[[Check Equiparado]:[Check Equiparado]]="Sí",IF(DATOS!BG$4="Sí",(1/DATOS_[[% anualiz]:[% anualiz]]),1)*IF(DATOS!BG$5="Sí",1/DATOS_[[% normaliz]:[% normaliz]],1)*(DATOS_[Conc.Sal.29])))))))), 0)</f>
        <v>0</v>
      </c>
      <c r="AM53" s="250" t="n">
        <f aca="false" t="array" ref="AM53:AM53">IFERROR( (MEDIAN((IF(DATOS_[[Sexo]:[Sexo]]=$B53,IF(DATOS_[[AGRUP. VALOR. PTO.]:[AGRUP. VALOR. PTO.]]=$B51,IF(DATOS_[[Check Periodo Ref.]:[Check Periodo Ref.]]="Dentro",IF(DATOS_[[Check Equiparado]:[Check Equiparado]]="Sí",IF(DATOS!BH$4="Sí",(1/DATOS_[[% anualiz]:[% anualiz]]),1)*IF(DATOS!BH$5="Sí",1/DATOS_[[% normaliz]:[% normaliz]],1)*(DATOS_[Conc.Sal.30])))))))), 0)</f>
        <v>0</v>
      </c>
      <c r="AN53" s="251" t="n">
        <f aca="false" t="array" ref="AN53:AN53">IFERROR( MEDIAN(IF(DATOS_[Sexo]=$B53,IF(DATOS_[[AGRUP. VALOR. PTO.]:[AGRUP. VALOR. PTO.]]=$B51,IF(DATOS_[Check Equiparado]="Sí",IF(DATOS_[Check Periodo Ref.]="Dentro",DATOS_[Tot COMPL.SAL Eq],0))))), 0)</f>
        <v>0</v>
      </c>
      <c r="AO53" s="252" t="n">
        <f aca="false" t="array" ref="AO53:AO53">IFERROR( MEDIAN(IF(DATOS_[Sexo]=$B53,IF(DATOS_[[AGRUP. VALOR. PTO.]:[AGRUP. VALOR. PTO.]]=$B51,IF(DATOS_[Check Equiparado]="Sí",IF(DATOS_[Check Periodo Ref.]="Dentro",DATOS_[TOTAL SALARIO Eq],0))))), 0)</f>
        <v>0</v>
      </c>
      <c r="AP53" s="259" t="n">
        <f aca="false" t="array" ref="AP53:AP53">IFERROR( (MEDIAN((IF(DATOS_[[Sexo]:[Sexo]]=$B53,IF(DATOS_[[AGRUP. VALOR. PTO.]:[AGRUP. VALOR. PTO.]]=$B52,IF(DATOS_[[Check Periodo Ref.]:[Check Periodo Ref.]]="Dentro",IF(DATOS_[[Check Equiparado]:[Check Equiparado]]="Sí",IF(DATOS!BI$4="Sí",(1/DATOS_[[% anualiz]:[% anualiz]]),1)*IF(DATOS!BI$5="Sí",1/DATOS_[[% normaliz]:[% normaliz]],1)*(DATOS_[C.Extra.01])))))))), 0)</f>
        <v>0</v>
      </c>
      <c r="AQ53" s="259" t="n">
        <f aca="false" t="array" ref="AQ53:AQ53">IFERROR( (MEDIAN((IF(DATOS_[[Sexo]:[Sexo]]=$B53,IF(DATOS_[[AGRUP. VALOR. PTO.]:[AGRUP. VALOR. PTO.]]=$B52,IF(DATOS_[[Check Periodo Ref.]:[Check Periodo Ref.]]="Dentro",IF(DATOS_[[Check Equiparado]:[Check Equiparado]]="Sí",IF(DATOS!BJ$4="Sí",(1/DATOS_[[% anualiz]:[% anualiz]]),1)*IF(DATOS!BJ$5="Sí",1/DATOS_[[% normaliz]:[% normaliz]],1)*(DATOS_[C.Extra.02])))))))), 0)</f>
        <v>0</v>
      </c>
      <c r="AR53" s="259" t="n">
        <f aca="false" t="array" ref="AR53:AR53">IFERROR( (MEDIAN((IF(DATOS_[[Sexo]:[Sexo]]=$B53,IF(DATOS_[[AGRUP. VALOR. PTO.]:[AGRUP. VALOR. PTO.]]=$B52,IF(DATOS_[[Check Periodo Ref.]:[Check Periodo Ref.]]="Dentro",IF(DATOS_[[Check Equiparado]:[Check Equiparado]]="Sí",IF(DATOS!BK$4="Sí",(1/DATOS_[[% anualiz]:[% anualiz]]),1)*IF(DATOS!BK$5="Sí",1/DATOS_[[% normaliz]:[% normaliz]],1)*(DATOS_[C.Extra.03])))))))), 0)</f>
        <v>0</v>
      </c>
      <c r="AS53" s="259" t="n">
        <f aca="false" t="array" ref="AS53:AS53">IFERROR( (MEDIAN((IF(DATOS_[[Sexo]:[Sexo]]=$B53,IF(DATOS_[[AGRUP. VALOR. PTO.]:[AGRUP. VALOR. PTO.]]=$B52,IF(DATOS_[[Check Periodo Ref.]:[Check Periodo Ref.]]="Dentro",IF(DATOS_[[Check Equiparado]:[Check Equiparado]]="Sí",IF(DATOS!BL$4="Sí",(1/DATOS_[[% anualiz]:[% anualiz]]),1)*IF(DATOS!BL$5="Sí",1/DATOS_[[% normaliz]:[% normaliz]],1)*(DATOS_[C.Extra.04])))))))), 0)</f>
        <v>0</v>
      </c>
      <c r="AT53" s="259" t="n">
        <f aca="false" t="array" ref="AT53:AT53">IFERROR( (MEDIAN((IF(DATOS_[[Sexo]:[Sexo]]=$B53,IF(DATOS_[[AGRUP. VALOR. PTO.]:[AGRUP. VALOR. PTO.]]=$B52,IF(DATOS_[[Check Periodo Ref.]:[Check Periodo Ref.]]="Dentro",IF(DATOS_[[Check Equiparado]:[Check Equiparado]]="Sí",IF(DATOS!BM$4="Sí",(1/DATOS_[[% anualiz]:[% anualiz]]),1)*IF(DATOS!BM$5="Sí",1/DATOS_[[% normaliz]:[% normaliz]],1)*(DATOS_[C.Extra.05])))))))), 0)</f>
        <v>0</v>
      </c>
      <c r="AU53" s="254" t="n">
        <f aca="false" t="array" ref="AU53:AU53">IFERROR( MEDIAN(IF(DATOS_[Sexo]=$B53,IF(DATOS_[[AGRUP. VALOR. PTO.]:[AGRUP. VALOR. PTO.]]=$B51,IF(DATOS_[Check Equiparado]="Sí",IF(DATOS_[Check Periodo Ref.]="Dentro",DATOS_[Tot Extrasalarial Eq],0))))), 0)</f>
        <v>0</v>
      </c>
      <c r="AV53" s="255" t="n">
        <f aca="false" t="array" ref="AV53:AV53">IFERROR( MEDIAN(IF(DATOS_[Sexo]=$B53,IF(DATOS_[[AGRUP. VALOR. PTO.]:[AGRUP. VALOR. PTO.]]=$B51,IF(DATOS_[Check Equiparado]="Sí",IF(DATOS_[Check Periodo Ref.]="Dentro",DATOS_[TOTAL Retrib Eq],0))))), 0)</f>
        <v>0</v>
      </c>
    </row>
    <row r="54" customFormat="false" ht="15.75" hidden="false" customHeight="false" outlineLevel="0" collapsed="false">
      <c r="A54" s="217" t="str">
        <f aca="false">+A55</f>
        <v>[ocultar]</v>
      </c>
      <c r="B54" s="320" t="s">
        <v>208</v>
      </c>
      <c r="C54" s="236"/>
      <c r="D54" s="237"/>
      <c r="E54" s="237"/>
      <c r="F54" s="237"/>
      <c r="G54" s="237"/>
      <c r="H54" s="237"/>
      <c r="I54" s="238" t="str">
        <f aca="false">IFERROR((I55-I56)/I55,"")</f>
        <v/>
      </c>
      <c r="J54" s="239" t="str">
        <f aca="false">IFERROR((J55-J56)/J55,"")</f>
        <v/>
      </c>
      <c r="K54" s="239" t="str">
        <f aca="false">IFERROR((K55-K56)/K55,"")</f>
        <v/>
      </c>
      <c r="L54" s="239" t="str">
        <f aca="false">IFERROR((L55-L56)/L55,"")</f>
        <v/>
      </c>
      <c r="M54" s="239" t="str">
        <f aca="false">IFERROR((M55-M56)/M55,"")</f>
        <v/>
      </c>
      <c r="N54" s="239" t="str">
        <f aca="false">IFERROR((N55-N56)/N55,"")</f>
        <v/>
      </c>
      <c r="O54" s="239" t="str">
        <f aca="false">IFERROR((O55-O56)/O55,"")</f>
        <v/>
      </c>
      <c r="P54" s="239" t="str">
        <f aca="false">IFERROR((P55-P56)/P55,"")</f>
        <v/>
      </c>
      <c r="Q54" s="239" t="str">
        <f aca="false">IFERROR((Q55-Q56)/Q55,"")</f>
        <v/>
      </c>
      <c r="R54" s="239" t="str">
        <f aca="false">IFERROR((R55-R56)/R55,"")</f>
        <v/>
      </c>
      <c r="S54" s="239" t="str">
        <f aca="false">IFERROR((S55-S56)/S55,"")</f>
        <v/>
      </c>
      <c r="T54" s="239" t="str">
        <f aca="false">IFERROR((T55-T56)/T55,"")</f>
        <v/>
      </c>
      <c r="U54" s="239" t="str">
        <f aca="false">IFERROR((U55-U56)/U55,"")</f>
        <v/>
      </c>
      <c r="V54" s="239" t="str">
        <f aca="false">IFERROR((V55-V56)/V55,"")</f>
        <v/>
      </c>
      <c r="W54" s="239" t="str">
        <f aca="false">IFERROR((W55-W56)/W55,"")</f>
        <v/>
      </c>
      <c r="X54" s="239" t="str">
        <f aca="false">IFERROR((X55-X56)/X55,"")</f>
        <v/>
      </c>
      <c r="Y54" s="239" t="str">
        <f aca="false">IFERROR((Y55-Y56)/Y55,"")</f>
        <v/>
      </c>
      <c r="Z54" s="240" t="str">
        <f aca="false">IFERROR((Z55-Z56)/Z55,"")</f>
        <v/>
      </c>
      <c r="AA54" s="240" t="str">
        <f aca="false">IFERROR((AA55-AA56)/AA55,"")</f>
        <v/>
      </c>
      <c r="AB54" s="240" t="str">
        <f aca="false">IFERROR((AB55-AB56)/AB55,"")</f>
        <v/>
      </c>
      <c r="AC54" s="240" t="str">
        <f aca="false">IFERROR((AC55-AC56)/AC55,"")</f>
        <v/>
      </c>
      <c r="AD54" s="240" t="str">
        <f aca="false">IFERROR((AD55-AD56)/AD55,"")</f>
        <v/>
      </c>
      <c r="AE54" s="240" t="str">
        <f aca="false">IFERROR((AE55-AE56)/AE55,"")</f>
        <v/>
      </c>
      <c r="AF54" s="240" t="str">
        <f aca="false">IFERROR((AF55-AF56)/AF55,"")</f>
        <v/>
      </c>
      <c r="AG54" s="240" t="str">
        <f aca="false">IFERROR((AG55-AG56)/AG55,"")</f>
        <v/>
      </c>
      <c r="AH54" s="240" t="str">
        <f aca="false">IFERROR((AH55-AH56)/AH55,"")</f>
        <v/>
      </c>
      <c r="AI54" s="240" t="str">
        <f aca="false">IFERROR((AI55-AI56)/AI55,"")</f>
        <v/>
      </c>
      <c r="AJ54" s="240" t="str">
        <f aca="false">IFERROR((AJ55-AJ56)/AJ55,"")</f>
        <v/>
      </c>
      <c r="AK54" s="240" t="str">
        <f aca="false">IFERROR((AK55-AK56)/AK55,"")</f>
        <v/>
      </c>
      <c r="AL54" s="240" t="str">
        <f aca="false">IFERROR((AL55-AL56)/AL55,"")</f>
        <v/>
      </c>
      <c r="AM54" s="240" t="str">
        <f aca="false">IFERROR((AM55-AM56)/AM55,"")</f>
        <v/>
      </c>
      <c r="AN54" s="241" t="str">
        <f aca="false">IFERROR((AN55-AN56)/AN55,"")</f>
        <v/>
      </c>
      <c r="AO54" s="242" t="str">
        <f aca="false">IFERROR((AO55-AO56)/AO55,"")</f>
        <v/>
      </c>
      <c r="AP54" s="243" t="str">
        <f aca="false">IFERROR((AP55-AP56)/AP55,"")</f>
        <v/>
      </c>
      <c r="AQ54" s="243" t="str">
        <f aca="false">IFERROR((AQ55-AQ56)/AQ55,"")</f>
        <v/>
      </c>
      <c r="AR54" s="243" t="str">
        <f aca="false">IFERROR((AR55-AR56)/AR55,"")</f>
        <v/>
      </c>
      <c r="AS54" s="243" t="str">
        <f aca="false">IFERROR((AS55-AS56)/AS55,"")</f>
        <v/>
      </c>
      <c r="AT54" s="243" t="str">
        <f aca="false">IFERROR((AT55-AT56)/AT55,"")</f>
        <v/>
      </c>
      <c r="AU54" s="244" t="str">
        <f aca="false">IFERROR((AU55-AU56)/AU55,"")</f>
        <v/>
      </c>
      <c r="AV54" s="245" t="str">
        <f aca="false">IFERROR((AV55-AV56)/AV55,"")</f>
        <v/>
      </c>
    </row>
    <row r="55" customFormat="false" ht="14.25" hidden="false" customHeight="false" outlineLevel="0" collapsed="false">
      <c r="A55" s="217" t="str">
        <f aca="false">+IF(C55+C56=0,"[ocultar]","")</f>
        <v>[ocultar]</v>
      </c>
      <c r="B55" s="323" t="s">
        <v>371</v>
      </c>
      <c r="C55" s="247" t="n">
        <f aca="false" t="array" ref="C55:C55">SUM(IF($B55=DATOS_[Sexo], IF($B54=DATOS_[AGRUP. VALOR. PTO.], IF("Dentro"=DATOS_[Check Periodo Ref.], 1/(COUNTIFS(DATOS_[Sexo],$B55,DATOS_[AGRUP. VALOR. PTO.],$B54,DATOS_[Check Periodo Ref.],"Dentro",DATOS_[id],DATOS_[id]))))))</f>
        <v>0</v>
      </c>
      <c r="D55" s="248" t="n">
        <f aca="false">COUNTIFS(DATOS_[AGRUP. VALOR. PTO.],$B54,DATOS_[Sexo],$B55,DATOS_[Check Periodo Ref.],"Dentro")</f>
        <v>0</v>
      </c>
      <c r="E55" s="248" t="n">
        <f aca="false">COUNTIFS(DATOS_[AGRUP. VALOR. PTO.],$B54,DATOS_[Sexo],$B55,DATOS_[Check Periodo Ref.],"Dentro",DATOS_[Check Nº SC Norm],"Sí")</f>
        <v>0</v>
      </c>
      <c r="F55" s="248" t="n">
        <f aca="false">COUNTIFS(DATOS_[AGRUP. VALOR. PTO.],$B54,DATOS_[Sexo],$B55,DATOS_[Check Periodo Ref.],"Dentro",DATOS_[Check Nº SC Anualiz],"Sí")</f>
        <v>0</v>
      </c>
      <c r="G55" s="248" t="n">
        <f aca="false">COUNTIFS(DATOS_[AGRUP. VALOR. PTO.],$B54,DATOS_[Sexo],$B55,DATOS_[Check Periodo Ref.],"Dentro",DATOS_[Check Nº SC Norm y Anualiz],"Sí")</f>
        <v>0</v>
      </c>
      <c r="H55" s="248" t="n">
        <f aca="false">COUNTIFS(DATOS_[AGRUP. VALOR. PTO.],$B54,DATOS_[Sexo],$B55,DATOS_[Check Periodo Ref.],"Dentro",DATOS_[Check Equiparación],"Sí")</f>
        <v>0</v>
      </c>
      <c r="I55" s="249" t="n">
        <f aca="false" t="array" ref="I55:I55">IFERROR( MEDIAN(IF(DATOS_[Sexo]=$B55,IF(DATOS_[[AGRUP. VALOR. PTO.]:[AGRUP. VALOR. PTO.]]=$B54,IF(DATOS_[Check Equiparado]="Sí",IF(DATOS_[Check Periodo Ref.]="Dentro",DATOS_[SALARIO BASE Eq],0))))), 0)</f>
        <v>0</v>
      </c>
      <c r="J55" s="250" t="n">
        <f aca="false" t="array" ref="J55:J55">IFERROR( (MEDIAN((IF(DATOS_[[Sexo]:[Sexo]]=$B55,IF(DATOS_[[AGRUP. VALOR. PTO.]:[AGRUP. VALOR. PTO.]]=$B54,IF(DATOS_[[Check Periodo Ref.]:[Check Periodo Ref.]]="Dentro",IF(DATOS_[[Check Equiparado]:[Check Equiparado]]="Sí",IF(DATOS!AE$4="Sí",(1/DATOS_[[% anualiz]:[% anualiz]]),1)*IF(DATOS!AE$5="Sí",1/DATOS_[[% normaliz]:[% normaliz]],1)*(DATOS_[Conc.Sal.01])))))))), 0)</f>
        <v>0</v>
      </c>
      <c r="K55" s="250" t="n">
        <f aca="false" t="array" ref="K55:K55">IFERROR( (MEDIAN((IF(DATOS_[[Sexo]:[Sexo]]=$B55,IF(DATOS_[[AGRUP. VALOR. PTO.]:[AGRUP. VALOR. PTO.]]=$B54,IF(DATOS_[[Check Periodo Ref.]:[Check Periodo Ref.]]="Dentro",IF(DATOS_[[Check Equiparado]:[Check Equiparado]]="Sí",IF(DATOS!AF$4="Sí",(1/DATOS_[[% anualiz]:[% anualiz]]),1)*IF(DATOS!AF$5="Sí",1/DATOS_[[% normaliz]:[% normaliz]],1)*(DATOS_[Conc.Sal.02])))))))), 0)</f>
        <v>0</v>
      </c>
      <c r="L55" s="250" t="n">
        <f aca="false" t="array" ref="L55:L55">IFERROR( (MEDIAN((IF(DATOS_[[Sexo]:[Sexo]]=$B55,IF(DATOS_[[AGRUP. VALOR. PTO.]:[AGRUP. VALOR. PTO.]]=$B54,IF(DATOS_[[Check Periodo Ref.]:[Check Periodo Ref.]]="Dentro",IF(DATOS_[[Check Equiparado]:[Check Equiparado]]="Sí",IF(DATOS!AG$4="Sí",(1/DATOS_[[% anualiz]:[% anualiz]]),1)*IF(DATOS!AG$5="Sí",1/DATOS_[[% normaliz]:[% normaliz]],1)*(DATOS_[Conc.Sal.03])))))))), 0)</f>
        <v>0</v>
      </c>
      <c r="M55" s="250" t="n">
        <f aca="false" t="array" ref="M55:M55">IFERROR( (MEDIAN((IF(DATOS_[[Sexo]:[Sexo]]=$B55,IF(DATOS_[[AGRUP. VALOR. PTO.]:[AGRUP. VALOR. PTO.]]=$B54,IF(DATOS_[[Check Periodo Ref.]:[Check Periodo Ref.]]="Dentro",IF(DATOS_[[Check Equiparado]:[Check Equiparado]]="Sí",IF(DATOS!AH$4="Sí",(1/DATOS_[[% anualiz]:[% anualiz]]),1)*IF(DATOS!AH$5="Sí",1/DATOS_[[% normaliz]:[% normaliz]],1)*(DATOS_[Conc.Sal.04])))))))), 0)</f>
        <v>0</v>
      </c>
      <c r="N55" s="250" t="n">
        <f aca="false" t="array" ref="N55:N55">IFERROR( (MEDIAN((IF(DATOS_[[Sexo]:[Sexo]]=$B55,IF(DATOS_[[AGRUP. VALOR. PTO.]:[AGRUP. VALOR. PTO.]]=$B54,IF(DATOS_[[Check Periodo Ref.]:[Check Periodo Ref.]]="Dentro",IF(DATOS_[[Check Equiparado]:[Check Equiparado]]="Sí",IF(DATOS!AI$4="Sí",(1/DATOS_[[% anualiz]:[% anualiz]]),1)*IF(DATOS!AI$5="Sí",1/DATOS_[[% normaliz]:[% normaliz]],1)*(DATOS_[Conc.Sal.05])))))))), 0)</f>
        <v>0</v>
      </c>
      <c r="O55" s="250" t="n">
        <f aca="false" t="array" ref="O55:O55">IFERROR( (MEDIAN((IF(DATOS_[[Sexo]:[Sexo]]=$B55,IF(DATOS_[[AGRUP. VALOR. PTO.]:[AGRUP. VALOR. PTO.]]=$B54,IF(DATOS_[[Check Periodo Ref.]:[Check Periodo Ref.]]="Dentro",IF(DATOS_[[Check Equiparado]:[Check Equiparado]]="Sí",IF(DATOS!AJ$4="Sí",(1/DATOS_[[% anualiz]:[% anualiz]]),1)*IF(DATOS!AJ$5="Sí",1/DATOS_[[% normaliz]:[% normaliz]],1)*(DATOS_[Conc.Sal.06])))))))), 0)</f>
        <v>0</v>
      </c>
      <c r="P55" s="250" t="n">
        <f aca="false" t="array" ref="P55:P55">IFERROR( (MEDIAN((IF(DATOS_[[Sexo]:[Sexo]]=$B55,IF(DATOS_[[AGRUP. VALOR. PTO.]:[AGRUP. VALOR. PTO.]]=$B54,IF(DATOS_[[Check Periodo Ref.]:[Check Periodo Ref.]]="Dentro",IF(DATOS_[[Check Equiparado]:[Check Equiparado]]="Sí",IF(DATOS!AK$4="Sí",(1/DATOS_[[% anualiz]:[% anualiz]]),1)*IF(DATOS!AK$5="Sí",1/DATOS_[[% normaliz]:[% normaliz]],1)*(DATOS_[Conc.Sal.07])))))))), 0)</f>
        <v>0</v>
      </c>
      <c r="Q55" s="250" t="n">
        <f aca="false" t="array" ref="Q55:Q55">IFERROR( (MEDIAN((IF(DATOS_[[Sexo]:[Sexo]]=$B55,IF(DATOS_[[AGRUP. VALOR. PTO.]:[AGRUP. VALOR. PTO.]]=$B54,IF(DATOS_[[Check Periodo Ref.]:[Check Periodo Ref.]]="Dentro",IF(DATOS_[[Check Equiparado]:[Check Equiparado]]="Sí",IF(DATOS!AL$4="Sí",(1/DATOS_[[% anualiz]:[% anualiz]]),1)*IF(DATOS!AL$5="Sí",1/DATOS_[[% normaliz]:[% normaliz]],1)*(DATOS_[Conc.Sal.08])))))))), 0)</f>
        <v>0</v>
      </c>
      <c r="R55" s="250" t="n">
        <f aca="false" t="array" ref="R55:R55">IFERROR( (MEDIAN((IF(DATOS_[[Sexo]:[Sexo]]=$B55,IF(DATOS_[[AGRUP. VALOR. PTO.]:[AGRUP. VALOR. PTO.]]=$B54,IF(DATOS_[[Check Periodo Ref.]:[Check Periodo Ref.]]="Dentro",IF(DATOS_[[Check Equiparado]:[Check Equiparado]]="Sí",IF(DATOS!AM$4="Sí",(1/DATOS_[[% anualiz]:[% anualiz]]),1)*IF(DATOS!AM$5="Sí",1/DATOS_[[% normaliz]:[% normaliz]],1)*(DATOS_[Conc.Sal.09])))))))), 0)</f>
        <v>0</v>
      </c>
      <c r="S55" s="250" t="n">
        <f aca="false" t="array" ref="S55:S55">IFERROR( (MEDIAN((IF(DATOS_[[Sexo]:[Sexo]]=$B55,IF(DATOS_[[AGRUP. VALOR. PTO.]:[AGRUP. VALOR. PTO.]]=$B54,IF(DATOS_[[Check Periodo Ref.]:[Check Periodo Ref.]]="Dentro",IF(DATOS_[[Check Equiparado]:[Check Equiparado]]="Sí",IF(DATOS!AN$4="Sí",(1/DATOS_[[% anualiz]:[% anualiz]]),1)*IF(DATOS!AN$5="Sí",1/DATOS_[[% normaliz]:[% normaliz]],1)*(DATOS_[Conc.Sal.10])))))))), 0)</f>
        <v>0</v>
      </c>
      <c r="T55" s="250" t="n">
        <f aca="false" t="array" ref="T55:T55">IFERROR( (MEDIAN((IF(DATOS_[[Sexo]:[Sexo]]=$B55,IF(DATOS_[[AGRUP. VALOR. PTO.]:[AGRUP. VALOR. PTO.]]=$B54,IF(DATOS_[[Check Periodo Ref.]:[Check Periodo Ref.]]="Dentro",IF(DATOS_[[Check Equiparado]:[Check Equiparado]]="Sí",IF(DATOS!AO$4="Sí",(1/DATOS_[[% anualiz]:[% anualiz]]),1)*IF(DATOS!AO$5="Sí",1/DATOS_[[% normaliz]:[% normaliz]],1)*(DATOS_[Conc.Sal.11])))))))), 0)</f>
        <v>0</v>
      </c>
      <c r="U55" s="250" t="n">
        <f aca="false" t="array" ref="U55:U55">IFERROR( (MEDIAN((IF(DATOS_[[Sexo]:[Sexo]]=$B55,IF(DATOS_[[AGRUP. VALOR. PTO.]:[AGRUP. VALOR. PTO.]]=$B54,IF(DATOS_[[Check Periodo Ref.]:[Check Periodo Ref.]]="Dentro",IF(DATOS_[[Check Equiparado]:[Check Equiparado]]="Sí",IF(DATOS!AP$4="Sí",(1/DATOS_[[% anualiz]:[% anualiz]]),1)*IF(DATOS!AP$5="Sí",1/DATOS_[[% normaliz]:[% normaliz]],1)*(DATOS_[Conc.Sal.12])))))))), 0)</f>
        <v>0</v>
      </c>
      <c r="V55" s="250" t="n">
        <f aca="false" t="array" ref="V55:V55">IFERROR( (MEDIAN((IF(DATOS_[[Sexo]:[Sexo]]=$B55,IF(DATOS_[[AGRUP. VALOR. PTO.]:[AGRUP. VALOR. PTO.]]=$B54,IF(DATOS_[[Check Periodo Ref.]:[Check Periodo Ref.]]="Dentro",IF(DATOS_[[Check Equiparado]:[Check Equiparado]]="Sí",IF(DATOS!AQ$4="Sí",(1/DATOS_[[% anualiz]:[% anualiz]]),1)*IF(DATOS!AQ$5="Sí",1/DATOS_[[% normaliz]:[% normaliz]],1)*(DATOS_[Conc.Sal.13])))))))), 0)</f>
        <v>0</v>
      </c>
      <c r="W55" s="250" t="n">
        <f aca="false" t="array" ref="W55:W55">IFERROR( (MEDIAN((IF(DATOS_[[Sexo]:[Sexo]]=$B55,IF(DATOS_[[AGRUP. VALOR. PTO.]:[AGRUP. VALOR. PTO.]]=$B54,IF(DATOS_[[Check Periodo Ref.]:[Check Periodo Ref.]]="Dentro",IF(DATOS_[[Check Equiparado]:[Check Equiparado]]="Sí",IF(DATOS!AR$4="Sí",(1/DATOS_[[% anualiz]:[% anualiz]]),1)*IF(DATOS!AR$5="Sí",1/DATOS_[[% normaliz]:[% normaliz]],1)*(DATOS_[Conc.Sal.14])))))))), 0)</f>
        <v>0</v>
      </c>
      <c r="X55" s="250" t="n">
        <f aca="false" t="array" ref="X55:X55">IFERROR( (MEDIAN((IF(DATOS_[[Sexo]:[Sexo]]=$B55,IF(DATOS_[[AGRUP. VALOR. PTO.]:[AGRUP. VALOR. PTO.]]=$B54,IF(DATOS_[[Check Periodo Ref.]:[Check Periodo Ref.]]="Dentro",IF(DATOS_[[Check Equiparado]:[Check Equiparado]]="Sí",IF(DATOS!AS$4="Sí",(1/DATOS_[[% anualiz]:[% anualiz]]),1)*IF(DATOS!AS$5="Sí",1/DATOS_[[% normaliz]:[% normaliz]],1)*(DATOS_[Conc.Sal.15])))))))), 0)</f>
        <v>0</v>
      </c>
      <c r="Y55" s="250" t="n">
        <f aca="false" t="array" ref="Y55:Y55">IFERROR( (MEDIAN((IF(DATOS_[[Sexo]:[Sexo]]=$B55,IF(DATOS_[[AGRUP. VALOR. PTO.]:[AGRUP. VALOR. PTO.]]=$B54,IF(DATOS_[[Check Periodo Ref.]:[Check Periodo Ref.]]="Dentro",IF(DATOS_[[Check Equiparado]:[Check Equiparado]]="Sí",IF(DATOS!AT$4="Sí",(1/DATOS_[[% anualiz]:[% anualiz]]),1)*IF(DATOS!AT$5="Sí",1/DATOS_[[% normaliz]:[% normaliz]],1)*(DATOS_[Conc.Sal.16])))))))), 0)</f>
        <v>0</v>
      </c>
      <c r="Z55" s="250" t="n">
        <f aca="false" t="array" ref="Z55:Z55">IFERROR( (MEDIAN((IF(DATOS_[[Sexo]:[Sexo]]=$B55,IF(DATOS_[[AGRUP. VALOR. PTO.]:[AGRUP. VALOR. PTO.]]=$B54,IF(DATOS_[[Check Periodo Ref.]:[Check Periodo Ref.]]="Dentro",IF(DATOS_[[Check Equiparado]:[Check Equiparado]]="Sí",IF(DATOS!AU$4="Sí",(1/DATOS_[[% anualiz]:[% anualiz]]),1)*IF(DATOS!AU$5="Sí",1/DATOS_[[% normaliz]:[% normaliz]],1)*(DATOS_[Conc.Sal.17])))))))), 0)</f>
        <v>0</v>
      </c>
      <c r="AA55" s="250" t="n">
        <f aca="false" t="array" ref="AA55:AA55">IFERROR( (MEDIAN((IF(DATOS_[[Sexo]:[Sexo]]=$B55,IF(DATOS_[[AGRUP. VALOR. PTO.]:[AGRUP. VALOR. PTO.]]=$B54,IF(DATOS_[[Check Periodo Ref.]:[Check Periodo Ref.]]="Dentro",IF(DATOS_[[Check Equiparado]:[Check Equiparado]]="Sí",IF(DATOS!AV$4="Sí",(1/DATOS_[[% anualiz]:[% anualiz]]),1)*IF(DATOS!AV$5="Sí",1/DATOS_[[% normaliz]:[% normaliz]],1)*(DATOS_[Conc.Sal.18])))))))), 0)</f>
        <v>0</v>
      </c>
      <c r="AB55" s="250" t="n">
        <f aca="false" t="array" ref="AB55:AB55">IFERROR( (MEDIAN((IF(DATOS_[[Sexo]:[Sexo]]=$B55,IF(DATOS_[[AGRUP. VALOR. PTO.]:[AGRUP. VALOR. PTO.]]=$B54,IF(DATOS_[[Check Periodo Ref.]:[Check Periodo Ref.]]="Dentro",IF(DATOS_[[Check Equiparado]:[Check Equiparado]]="Sí",IF(DATOS!AW$4="Sí",(1/DATOS_[[% anualiz]:[% anualiz]]),1)*IF(DATOS!AW$5="Sí",1/DATOS_[[% normaliz]:[% normaliz]],1)*(DATOS_[Conc.Sal.19])))))))), 0)</f>
        <v>0</v>
      </c>
      <c r="AC55" s="250" t="n">
        <f aca="false" t="array" ref="AC55:AC55">IFERROR( (MEDIAN((IF(DATOS_[[Sexo]:[Sexo]]=$B55,IF(DATOS_[[AGRUP. VALOR. PTO.]:[AGRUP. VALOR. PTO.]]=$B54,IF(DATOS_[[Check Periodo Ref.]:[Check Periodo Ref.]]="Dentro",IF(DATOS_[[Check Equiparado]:[Check Equiparado]]="Sí",IF(DATOS!AX$4="Sí",(1/DATOS_[[% anualiz]:[% anualiz]]),1)*IF(DATOS!AX$5="Sí",1/DATOS_[[% normaliz]:[% normaliz]],1)*(DATOS_[Conc.Sal.20])))))))), 0)</f>
        <v>0</v>
      </c>
      <c r="AD55" s="250" t="n">
        <f aca="false" t="array" ref="AD55:AD55">IFERROR( (MEDIAN((IF(DATOS_[[Sexo]:[Sexo]]=$B55,IF(DATOS_[[AGRUP. VALOR. PTO.]:[AGRUP. VALOR. PTO.]]=$B54,IF(DATOS_[[Check Periodo Ref.]:[Check Periodo Ref.]]="Dentro",IF(DATOS_[[Check Equiparado]:[Check Equiparado]]="Sí",IF(DATOS!AY$4="Sí",(1/DATOS_[[% anualiz]:[% anualiz]]),1)*IF(DATOS!AY$5="Sí",1/DATOS_[[% normaliz]:[% normaliz]],1)*(DATOS_[Conc.Sal.21])))))))), 0)</f>
        <v>0</v>
      </c>
      <c r="AE55" s="250" t="n">
        <f aca="false" t="array" ref="AE55:AE55">IFERROR( (MEDIAN((IF(DATOS_[[Sexo]:[Sexo]]=$B55,IF(DATOS_[[AGRUP. VALOR. PTO.]:[AGRUP. VALOR. PTO.]]=$B54,IF(DATOS_[[Check Periodo Ref.]:[Check Periodo Ref.]]="Dentro",IF(DATOS_[[Check Equiparado]:[Check Equiparado]]="Sí",IF(DATOS!AZ$4="Sí",(1/DATOS_[[% anualiz]:[% anualiz]]),1)*IF(DATOS!AZ$5="Sí",1/DATOS_[[% normaliz]:[% normaliz]],1)*(DATOS_[Conc.Sal.22])))))))), 0)</f>
        <v>0</v>
      </c>
      <c r="AF55" s="250" t="n">
        <f aca="false" t="array" ref="AF55:AF55">IFERROR( (MEDIAN((IF(DATOS_[[Sexo]:[Sexo]]=$B55,IF(DATOS_[[AGRUP. VALOR. PTO.]:[AGRUP. VALOR. PTO.]]=$B54,IF(DATOS_[[Check Periodo Ref.]:[Check Periodo Ref.]]="Dentro",IF(DATOS_[[Check Equiparado]:[Check Equiparado]]="Sí",IF(DATOS!BA$4="Sí",(1/DATOS_[[% anualiz]:[% anualiz]]),1)*IF(DATOS!BA$5="Sí",1/DATOS_[[% normaliz]:[% normaliz]],1)*(DATOS_[Conc.Sal.23])))))))), 0)</f>
        <v>0</v>
      </c>
      <c r="AG55" s="250" t="n">
        <f aca="false" t="array" ref="AG55:AG55">IFERROR( (MEDIAN((IF(DATOS_[[Sexo]:[Sexo]]=$B55,IF(DATOS_[[AGRUP. VALOR. PTO.]:[AGRUP. VALOR. PTO.]]=$B54,IF(DATOS_[[Check Periodo Ref.]:[Check Periodo Ref.]]="Dentro",IF(DATOS_[[Check Equiparado]:[Check Equiparado]]="Sí",IF(DATOS!BB$4="Sí",(1/DATOS_[[% anualiz]:[% anualiz]]),1)*IF(DATOS!BB$5="Sí",1/DATOS_[[% normaliz]:[% normaliz]],1)*(DATOS_[Conc.Sal.24])))))))), 0)</f>
        <v>0</v>
      </c>
      <c r="AH55" s="250" t="n">
        <f aca="false" t="array" ref="AH55:AH55">IFERROR( (MEDIAN((IF(DATOS_[[Sexo]:[Sexo]]=$B55,IF(DATOS_[[AGRUP. VALOR. PTO.]:[AGRUP. VALOR. PTO.]]=$B54,IF(DATOS_[[Check Periodo Ref.]:[Check Periodo Ref.]]="Dentro",IF(DATOS_[[Check Equiparado]:[Check Equiparado]]="Sí",IF(DATOS!BC$4="Sí",(1/DATOS_[[% anualiz]:[% anualiz]]),1)*IF(DATOS!BC$5="Sí",1/DATOS_[[% normaliz]:[% normaliz]],1)*(DATOS_[Conc.Sal.25])))))))), 0)</f>
        <v>0</v>
      </c>
      <c r="AI55" s="250" t="n">
        <f aca="false" t="array" ref="AI55:AI55">IFERROR( (MEDIAN((IF(DATOS_[[Sexo]:[Sexo]]=$B55,IF(DATOS_[[AGRUP. VALOR. PTO.]:[AGRUP. VALOR. PTO.]]=$B54,IF(DATOS_[[Check Periodo Ref.]:[Check Periodo Ref.]]="Dentro",IF(DATOS_[[Check Equiparado]:[Check Equiparado]]="Sí",IF(DATOS!BD$4="Sí",(1/DATOS_[[% anualiz]:[% anualiz]]),1)*IF(DATOS!BD$5="Sí",1/DATOS_[[% normaliz]:[% normaliz]],1)*(DATOS_[Conc.Sal.26])))))))), 0)</f>
        <v>0</v>
      </c>
      <c r="AJ55" s="250" t="n">
        <f aca="false" t="array" ref="AJ55:AJ55">IFERROR( (MEDIAN((IF(DATOS_[[Sexo]:[Sexo]]=$B55,IF(DATOS_[[AGRUP. VALOR. PTO.]:[AGRUP. VALOR. PTO.]]=$B54,IF(DATOS_[[Check Periodo Ref.]:[Check Periodo Ref.]]="Dentro",IF(DATOS_[[Check Equiparado]:[Check Equiparado]]="Sí",IF(DATOS!BE$4="Sí",(1/DATOS_[[% anualiz]:[% anualiz]]),1)*IF(DATOS!BE$5="Sí",1/DATOS_[[% normaliz]:[% normaliz]],1)*(DATOS_[Conc.Sal.27])))))))), 0)</f>
        <v>0</v>
      </c>
      <c r="AK55" s="250" t="n">
        <f aca="false" t="array" ref="AK55:AK55">IFERROR( (MEDIAN((IF(DATOS_[[Sexo]:[Sexo]]=$B55,IF(DATOS_[[AGRUP. VALOR. PTO.]:[AGRUP. VALOR. PTO.]]=$B54,IF(DATOS_[[Check Periodo Ref.]:[Check Periodo Ref.]]="Dentro",IF(DATOS_[[Check Equiparado]:[Check Equiparado]]="Sí",IF(DATOS!BF$4="Sí",(1/DATOS_[[% anualiz]:[% anualiz]]),1)*IF(DATOS!BF$5="Sí",1/DATOS_[[% normaliz]:[% normaliz]],1)*(DATOS_[Conc.Sal.28])))))))), 0)</f>
        <v>0</v>
      </c>
      <c r="AL55" s="250" t="n">
        <f aca="false" t="array" ref="AL55:AL55">IFERROR( (MEDIAN((IF(DATOS_[[Sexo]:[Sexo]]=$B55,IF(DATOS_[[AGRUP. VALOR. PTO.]:[AGRUP. VALOR. PTO.]]=$B54,IF(DATOS_[[Check Periodo Ref.]:[Check Periodo Ref.]]="Dentro",IF(DATOS_[[Check Equiparado]:[Check Equiparado]]="Sí",IF(DATOS!BG$4="Sí",(1/DATOS_[[% anualiz]:[% anualiz]]),1)*IF(DATOS!BG$5="Sí",1/DATOS_[[% normaliz]:[% normaliz]],1)*(DATOS_[Conc.Sal.29])))))))), 0)</f>
        <v>0</v>
      </c>
      <c r="AM55" s="250" t="n">
        <f aca="false" t="array" ref="AM55:AM55">IFERROR( (MEDIAN((IF(DATOS_[[Sexo]:[Sexo]]=$B55,IF(DATOS_[[AGRUP. VALOR. PTO.]:[AGRUP. VALOR. PTO.]]=$B54,IF(DATOS_[[Check Periodo Ref.]:[Check Periodo Ref.]]="Dentro",IF(DATOS_[[Check Equiparado]:[Check Equiparado]]="Sí",IF(DATOS!BH$4="Sí",(1/DATOS_[[% anualiz]:[% anualiz]]),1)*IF(DATOS!BH$5="Sí",1/DATOS_[[% normaliz]:[% normaliz]],1)*(DATOS_[Conc.Sal.30])))))))), 0)</f>
        <v>0</v>
      </c>
      <c r="AN55" s="251" t="n">
        <f aca="false" t="array" ref="AN55:AN55">IFERROR( MEDIAN(IF(DATOS_[Sexo]=$B55,IF(DATOS_[[AGRUP. VALOR. PTO.]:[AGRUP. VALOR. PTO.]]=$B54,IF(DATOS_[Check Equiparado]="Sí",IF(DATOS_[Check Periodo Ref.]="Dentro",DATOS_[Tot COMPL.SAL Eq],0))))), 0)</f>
        <v>0</v>
      </c>
      <c r="AO55" s="252" t="n">
        <f aca="false" t="array" ref="AO55:AO55">IFERROR( MEDIAN(IF(DATOS_[Sexo]=$B55,IF(DATOS_[[AGRUP. VALOR. PTO.]:[AGRUP. VALOR. PTO.]]=$B54,IF(DATOS_[Check Equiparado]="Sí",IF(DATOS_[Check Periodo Ref.]="Dentro",DATOS_[TOTAL SALARIO Eq],0))))), 0)</f>
        <v>0</v>
      </c>
      <c r="AP55" s="259" t="n">
        <f aca="false" t="array" ref="AP55:AP55">IFERROR( (MEDIAN((IF(DATOS_[[Sexo]:[Sexo]]=$B55,IF(DATOS_[[AGRUP. VALOR. PTO.]:[AGRUP. VALOR. PTO.]]=$B54,IF(DATOS_[[Check Periodo Ref.]:[Check Periodo Ref.]]="Dentro",IF(DATOS_[[Check Equiparado]:[Check Equiparado]]="Sí",IF(DATOS!BI$4="Sí",(1/DATOS_[[% anualiz]:[% anualiz]]),1)*IF(DATOS!BI$5="Sí",1/DATOS_[[% normaliz]:[% normaliz]],1)*(DATOS_[C.Extra.01])))))))), 0)</f>
        <v>0</v>
      </c>
      <c r="AQ55" s="259" t="n">
        <f aca="false" t="array" ref="AQ55:AQ55">IFERROR( (MEDIAN((IF(DATOS_[[Sexo]:[Sexo]]=$B55,IF(DATOS_[[AGRUP. VALOR. PTO.]:[AGRUP. VALOR. PTO.]]=$B54,IF(DATOS_[[Check Periodo Ref.]:[Check Periodo Ref.]]="Dentro",IF(DATOS_[[Check Equiparado]:[Check Equiparado]]="Sí",IF(DATOS!BJ$4="Sí",(1/DATOS_[[% anualiz]:[% anualiz]]),1)*IF(DATOS!BJ$5="Sí",1/DATOS_[[% normaliz]:[% normaliz]],1)*(DATOS_[C.Extra.02])))))))), 0)</f>
        <v>0</v>
      </c>
      <c r="AR55" s="259" t="n">
        <f aca="false" t="array" ref="AR55:AR55">IFERROR( (MEDIAN((IF(DATOS_[[Sexo]:[Sexo]]=$B55,IF(DATOS_[[AGRUP. VALOR. PTO.]:[AGRUP. VALOR. PTO.]]=$B54,IF(DATOS_[[Check Periodo Ref.]:[Check Periodo Ref.]]="Dentro",IF(DATOS_[[Check Equiparado]:[Check Equiparado]]="Sí",IF(DATOS!BK$4="Sí",(1/DATOS_[[% anualiz]:[% anualiz]]),1)*IF(DATOS!BK$5="Sí",1/DATOS_[[% normaliz]:[% normaliz]],1)*(DATOS_[C.Extra.03])))))))), 0)</f>
        <v>0</v>
      </c>
      <c r="AS55" s="259" t="n">
        <f aca="false" t="array" ref="AS55:AS55">IFERROR( (MEDIAN((IF(DATOS_[[Sexo]:[Sexo]]=$B55,IF(DATOS_[[AGRUP. VALOR. PTO.]:[AGRUP. VALOR. PTO.]]=$B54,IF(DATOS_[[Check Periodo Ref.]:[Check Periodo Ref.]]="Dentro",IF(DATOS_[[Check Equiparado]:[Check Equiparado]]="Sí",IF(DATOS!BL$4="Sí",(1/DATOS_[[% anualiz]:[% anualiz]]),1)*IF(DATOS!BL$5="Sí",1/DATOS_[[% normaliz]:[% normaliz]],1)*(DATOS_[C.Extra.04])))))))), 0)</f>
        <v>0</v>
      </c>
      <c r="AT55" s="259" t="n">
        <f aca="false" t="array" ref="AT55:AT55">IFERROR( (MEDIAN((IF(DATOS_[[Sexo]:[Sexo]]=$B55,IF(DATOS_[[AGRUP. VALOR. PTO.]:[AGRUP. VALOR. PTO.]]=$B54,IF(DATOS_[[Check Periodo Ref.]:[Check Periodo Ref.]]="Dentro",IF(DATOS_[[Check Equiparado]:[Check Equiparado]]="Sí",IF(DATOS!BM$4="Sí",(1/DATOS_[[% anualiz]:[% anualiz]]),1)*IF(DATOS!BM$5="Sí",1/DATOS_[[% normaliz]:[% normaliz]],1)*(DATOS_[C.Extra.05])))))))), 0)</f>
        <v>0</v>
      </c>
      <c r="AU55" s="254" t="n">
        <f aca="false" t="array" ref="AU55:AU55">IFERROR( MEDIAN(IF(DATOS_[Sexo]=$B55,IF(DATOS_[[AGRUP. VALOR. PTO.]:[AGRUP. VALOR. PTO.]]=$B54,IF(DATOS_[Check Equiparado]="Sí",IF(DATOS_[Check Periodo Ref.]="Dentro",DATOS_[Tot Extrasalarial Eq],0))))), 0)</f>
        <v>0</v>
      </c>
      <c r="AV55" s="255" t="n">
        <f aca="false" t="array" ref="AV55:AV55">IFERROR( MEDIAN(IF(DATOS_[Sexo]=$B55,IF(DATOS_[[AGRUP. VALOR. PTO.]:[AGRUP. VALOR. PTO.]]=$B54,IF(DATOS_[Check Equiparado]="Sí",IF(DATOS_[Check Periodo Ref.]="Dentro",DATOS_[TOTAL Retrib Eq],0))))), 0)</f>
        <v>0</v>
      </c>
    </row>
    <row r="56" customFormat="false" ht="14.25" hidden="false" customHeight="false" outlineLevel="0" collapsed="false">
      <c r="A56" s="217" t="str">
        <f aca="false">+A55</f>
        <v>[ocultar]</v>
      </c>
      <c r="B56" s="323" t="s">
        <v>372</v>
      </c>
      <c r="C56" s="247" t="n">
        <f aca="false" t="array" ref="C56:C56">SUM(IF($B56=DATOS_[Sexo], IF($B54=DATOS_[AGRUP. VALOR. PTO.], IF("Dentro"=DATOS_[Check Periodo Ref.], 1/(COUNTIFS(DATOS_[Sexo],$B56,DATOS_[AGRUP. VALOR. PTO.],$B54,DATOS_[Check Periodo Ref.],"Dentro",DATOS_[id],DATOS_[id]))))))</f>
        <v>0</v>
      </c>
      <c r="D56" s="248" t="n">
        <f aca="false">COUNTIFS(DATOS_[AGRUP. VALOR. PTO.],$B54,DATOS_[Sexo],$B56,DATOS_[Check Periodo Ref.],"Dentro")</f>
        <v>0</v>
      </c>
      <c r="E56" s="248" t="n">
        <f aca="false">COUNTIFS(DATOS_[AGRUP. VALOR. PTO.],$B54,DATOS_[Sexo],$B56,DATOS_[Check Periodo Ref.],"Dentro",DATOS_[Check Nº SC Norm],"Sí")</f>
        <v>0</v>
      </c>
      <c r="F56" s="248" t="n">
        <f aca="false">COUNTIFS(DATOS_[AGRUP. VALOR. PTO.],$B54,DATOS_[Sexo],$B56,DATOS_[Check Periodo Ref.],"Dentro",DATOS_[Check Nº SC Anualiz],"Sí")</f>
        <v>0</v>
      </c>
      <c r="G56" s="248" t="n">
        <f aca="false">COUNTIFS(DATOS_[AGRUP. VALOR. PTO.],$B54,DATOS_[Sexo],$B56,DATOS_[Check Periodo Ref.],"Dentro",DATOS_[Check Nº SC Norm y Anualiz],"Sí")</f>
        <v>0</v>
      </c>
      <c r="H56" s="248" t="n">
        <f aca="false">COUNTIFS(DATOS_[AGRUP. VALOR. PTO.],$B54,DATOS_[Sexo],$B56,DATOS_[Check Periodo Ref.],"Dentro",DATOS_[Check Equiparación],"Sí")</f>
        <v>0</v>
      </c>
      <c r="I56" s="249" t="n">
        <f aca="false" t="array" ref="I56:I56">IFERROR( MEDIAN(IF(DATOS_[Sexo]=$B56,IF(DATOS_[[AGRUP. VALOR. PTO.]:[AGRUP. VALOR. PTO.]]=$B54,IF(DATOS_[Check Equiparado]="Sí",IF(DATOS_[Check Periodo Ref.]="Dentro",DATOS_[SALARIO BASE Eq],0))))), 0)</f>
        <v>0</v>
      </c>
      <c r="J56" s="250" t="n">
        <f aca="false" t="array" ref="J56:J56">IFERROR( (MEDIAN((IF(DATOS_[[Sexo]:[Sexo]]=$B56,IF(DATOS_[[AGRUP. VALOR. PTO.]:[AGRUP. VALOR. PTO.]]=$B54,IF(DATOS_[[Check Periodo Ref.]:[Check Periodo Ref.]]="Dentro",IF(DATOS_[[Check Equiparado]:[Check Equiparado]]="Sí",IF(DATOS!AE$4="Sí",(1/DATOS_[[% anualiz]:[% anualiz]]),1)*IF(DATOS!AE$5="Sí",1/DATOS_[[% normaliz]:[% normaliz]],1)*(DATOS_[Conc.Sal.01])))))))), 0)</f>
        <v>0</v>
      </c>
      <c r="K56" s="250" t="n">
        <f aca="false" t="array" ref="K56:K56">IFERROR( (MEDIAN((IF(DATOS_[[Sexo]:[Sexo]]=$B56,IF(DATOS_[[AGRUP. VALOR. PTO.]:[AGRUP. VALOR. PTO.]]=$B54,IF(DATOS_[[Check Periodo Ref.]:[Check Periodo Ref.]]="Dentro",IF(DATOS_[[Check Equiparado]:[Check Equiparado]]="Sí",IF(DATOS!AF$4="Sí",(1/DATOS_[[% anualiz]:[% anualiz]]),1)*IF(DATOS!AF$5="Sí",1/DATOS_[[% normaliz]:[% normaliz]],1)*(DATOS_[Conc.Sal.02])))))))), 0)</f>
        <v>0</v>
      </c>
      <c r="L56" s="250" t="n">
        <f aca="false" t="array" ref="L56:L56">IFERROR( (MEDIAN((IF(DATOS_[[Sexo]:[Sexo]]=$B56,IF(DATOS_[[AGRUP. VALOR. PTO.]:[AGRUP. VALOR. PTO.]]=$B54,IF(DATOS_[[Check Periodo Ref.]:[Check Periodo Ref.]]="Dentro",IF(DATOS_[[Check Equiparado]:[Check Equiparado]]="Sí",IF(DATOS!AG$4="Sí",(1/DATOS_[[% anualiz]:[% anualiz]]),1)*IF(DATOS!AG$5="Sí",1/DATOS_[[% normaliz]:[% normaliz]],1)*(DATOS_[Conc.Sal.03])))))))), 0)</f>
        <v>0</v>
      </c>
      <c r="M56" s="250" t="n">
        <f aca="false" t="array" ref="M56:M56">IFERROR( (MEDIAN((IF(DATOS_[[Sexo]:[Sexo]]=$B56,IF(DATOS_[[AGRUP. VALOR. PTO.]:[AGRUP. VALOR. PTO.]]=$B54,IF(DATOS_[[Check Periodo Ref.]:[Check Periodo Ref.]]="Dentro",IF(DATOS_[[Check Equiparado]:[Check Equiparado]]="Sí",IF(DATOS!AH$4="Sí",(1/DATOS_[[% anualiz]:[% anualiz]]),1)*IF(DATOS!AH$5="Sí",1/DATOS_[[% normaliz]:[% normaliz]],1)*(DATOS_[Conc.Sal.04])))))))), 0)</f>
        <v>0</v>
      </c>
      <c r="N56" s="250" t="n">
        <f aca="false" t="array" ref="N56:N56">IFERROR( (MEDIAN((IF(DATOS_[[Sexo]:[Sexo]]=$B56,IF(DATOS_[[AGRUP. VALOR. PTO.]:[AGRUP. VALOR. PTO.]]=$B54,IF(DATOS_[[Check Periodo Ref.]:[Check Periodo Ref.]]="Dentro",IF(DATOS_[[Check Equiparado]:[Check Equiparado]]="Sí",IF(DATOS!AI$4="Sí",(1/DATOS_[[% anualiz]:[% anualiz]]),1)*IF(DATOS!AI$5="Sí",1/DATOS_[[% normaliz]:[% normaliz]],1)*(DATOS_[Conc.Sal.05])))))))), 0)</f>
        <v>0</v>
      </c>
      <c r="O56" s="250" t="n">
        <f aca="false" t="array" ref="O56:O56">IFERROR( (MEDIAN((IF(DATOS_[[Sexo]:[Sexo]]=$B56,IF(DATOS_[[AGRUP. VALOR. PTO.]:[AGRUP. VALOR. PTO.]]=$B54,IF(DATOS_[[Check Periodo Ref.]:[Check Periodo Ref.]]="Dentro",IF(DATOS_[[Check Equiparado]:[Check Equiparado]]="Sí",IF(DATOS!AJ$4="Sí",(1/DATOS_[[% anualiz]:[% anualiz]]),1)*IF(DATOS!AJ$5="Sí",1/DATOS_[[% normaliz]:[% normaliz]],1)*(DATOS_[Conc.Sal.06])))))))), 0)</f>
        <v>0</v>
      </c>
      <c r="P56" s="250" t="n">
        <f aca="false" t="array" ref="P56:P56">IFERROR( (MEDIAN((IF(DATOS_[[Sexo]:[Sexo]]=$B56,IF(DATOS_[[AGRUP. VALOR. PTO.]:[AGRUP. VALOR. PTO.]]=$B54,IF(DATOS_[[Check Periodo Ref.]:[Check Periodo Ref.]]="Dentro",IF(DATOS_[[Check Equiparado]:[Check Equiparado]]="Sí",IF(DATOS!AK$4="Sí",(1/DATOS_[[% anualiz]:[% anualiz]]),1)*IF(DATOS!AK$5="Sí",1/DATOS_[[% normaliz]:[% normaliz]],1)*(DATOS_[Conc.Sal.07])))))))), 0)</f>
        <v>0</v>
      </c>
      <c r="Q56" s="250" t="n">
        <f aca="false" t="array" ref="Q56:Q56">IFERROR( (MEDIAN((IF(DATOS_[[Sexo]:[Sexo]]=$B56,IF(DATOS_[[AGRUP. VALOR. PTO.]:[AGRUP. VALOR. PTO.]]=$B54,IF(DATOS_[[Check Periodo Ref.]:[Check Periodo Ref.]]="Dentro",IF(DATOS_[[Check Equiparado]:[Check Equiparado]]="Sí",IF(DATOS!AL$4="Sí",(1/DATOS_[[% anualiz]:[% anualiz]]),1)*IF(DATOS!AL$5="Sí",1/DATOS_[[% normaliz]:[% normaliz]],1)*(DATOS_[Conc.Sal.08])))))))), 0)</f>
        <v>0</v>
      </c>
      <c r="R56" s="250" t="n">
        <f aca="false" t="array" ref="R56:R56">IFERROR( (MEDIAN((IF(DATOS_[[Sexo]:[Sexo]]=$B56,IF(DATOS_[[AGRUP. VALOR. PTO.]:[AGRUP. VALOR. PTO.]]=$B54,IF(DATOS_[[Check Periodo Ref.]:[Check Periodo Ref.]]="Dentro",IF(DATOS_[[Check Equiparado]:[Check Equiparado]]="Sí",IF(DATOS!AM$4="Sí",(1/DATOS_[[% anualiz]:[% anualiz]]),1)*IF(DATOS!AM$5="Sí",1/DATOS_[[% normaliz]:[% normaliz]],1)*(DATOS_[Conc.Sal.09])))))))), 0)</f>
        <v>0</v>
      </c>
      <c r="S56" s="250" t="n">
        <f aca="false" t="array" ref="S56:S56">IFERROR( (MEDIAN((IF(DATOS_[[Sexo]:[Sexo]]=$B56,IF(DATOS_[[AGRUP. VALOR. PTO.]:[AGRUP. VALOR. PTO.]]=$B54,IF(DATOS_[[Check Periodo Ref.]:[Check Periodo Ref.]]="Dentro",IF(DATOS_[[Check Equiparado]:[Check Equiparado]]="Sí",IF(DATOS!AN$4="Sí",(1/DATOS_[[% anualiz]:[% anualiz]]),1)*IF(DATOS!AN$5="Sí",1/DATOS_[[% normaliz]:[% normaliz]],1)*(DATOS_[Conc.Sal.10])))))))), 0)</f>
        <v>0</v>
      </c>
      <c r="T56" s="250" t="n">
        <f aca="false" t="array" ref="T56:T56">IFERROR( (MEDIAN((IF(DATOS_[[Sexo]:[Sexo]]=$B56,IF(DATOS_[[AGRUP. VALOR. PTO.]:[AGRUP. VALOR. PTO.]]=$B54,IF(DATOS_[[Check Periodo Ref.]:[Check Periodo Ref.]]="Dentro",IF(DATOS_[[Check Equiparado]:[Check Equiparado]]="Sí",IF(DATOS!AO$4="Sí",(1/DATOS_[[% anualiz]:[% anualiz]]),1)*IF(DATOS!AO$5="Sí",1/DATOS_[[% normaliz]:[% normaliz]],1)*(DATOS_[Conc.Sal.11])))))))), 0)</f>
        <v>0</v>
      </c>
      <c r="U56" s="250" t="n">
        <f aca="false" t="array" ref="U56:U56">IFERROR( (MEDIAN((IF(DATOS_[[Sexo]:[Sexo]]=$B56,IF(DATOS_[[AGRUP. VALOR. PTO.]:[AGRUP. VALOR. PTO.]]=$B54,IF(DATOS_[[Check Periodo Ref.]:[Check Periodo Ref.]]="Dentro",IF(DATOS_[[Check Equiparado]:[Check Equiparado]]="Sí",IF(DATOS!AP$4="Sí",(1/DATOS_[[% anualiz]:[% anualiz]]),1)*IF(DATOS!AP$5="Sí",1/DATOS_[[% normaliz]:[% normaliz]],1)*(DATOS_[Conc.Sal.12])))))))), 0)</f>
        <v>0</v>
      </c>
      <c r="V56" s="250" t="n">
        <f aca="false" t="array" ref="V56:V56">IFERROR( (MEDIAN((IF(DATOS_[[Sexo]:[Sexo]]=$B56,IF(DATOS_[[AGRUP. VALOR. PTO.]:[AGRUP. VALOR. PTO.]]=$B54,IF(DATOS_[[Check Periodo Ref.]:[Check Periodo Ref.]]="Dentro",IF(DATOS_[[Check Equiparado]:[Check Equiparado]]="Sí",IF(DATOS!AQ$4="Sí",(1/DATOS_[[% anualiz]:[% anualiz]]),1)*IF(DATOS!AQ$5="Sí",1/DATOS_[[% normaliz]:[% normaliz]],1)*(DATOS_[Conc.Sal.13])))))))), 0)</f>
        <v>0</v>
      </c>
      <c r="W56" s="250" t="n">
        <f aca="false" t="array" ref="W56:W56">IFERROR( (MEDIAN((IF(DATOS_[[Sexo]:[Sexo]]=$B56,IF(DATOS_[[AGRUP. VALOR. PTO.]:[AGRUP. VALOR. PTO.]]=$B54,IF(DATOS_[[Check Periodo Ref.]:[Check Periodo Ref.]]="Dentro",IF(DATOS_[[Check Equiparado]:[Check Equiparado]]="Sí",IF(DATOS!AR$4="Sí",(1/DATOS_[[% anualiz]:[% anualiz]]),1)*IF(DATOS!AR$5="Sí",1/DATOS_[[% normaliz]:[% normaliz]],1)*(DATOS_[Conc.Sal.14])))))))), 0)</f>
        <v>0</v>
      </c>
      <c r="X56" s="250" t="n">
        <f aca="false" t="array" ref="X56:X56">IFERROR( (MEDIAN((IF(DATOS_[[Sexo]:[Sexo]]=$B56,IF(DATOS_[[AGRUP. VALOR. PTO.]:[AGRUP. VALOR. PTO.]]=$B54,IF(DATOS_[[Check Periodo Ref.]:[Check Periodo Ref.]]="Dentro",IF(DATOS_[[Check Equiparado]:[Check Equiparado]]="Sí",IF(DATOS!AS$4="Sí",(1/DATOS_[[% anualiz]:[% anualiz]]),1)*IF(DATOS!AS$5="Sí",1/DATOS_[[% normaliz]:[% normaliz]],1)*(DATOS_[Conc.Sal.15])))))))), 0)</f>
        <v>0</v>
      </c>
      <c r="Y56" s="250" t="n">
        <f aca="false" t="array" ref="Y56:Y56">IFERROR( (MEDIAN((IF(DATOS_[[Sexo]:[Sexo]]=$B56,IF(DATOS_[[AGRUP. VALOR. PTO.]:[AGRUP. VALOR. PTO.]]=$B54,IF(DATOS_[[Check Periodo Ref.]:[Check Periodo Ref.]]="Dentro",IF(DATOS_[[Check Equiparado]:[Check Equiparado]]="Sí",IF(DATOS!AT$4="Sí",(1/DATOS_[[% anualiz]:[% anualiz]]),1)*IF(DATOS!AT$5="Sí",1/DATOS_[[% normaliz]:[% normaliz]],1)*(DATOS_[Conc.Sal.16])))))))), 0)</f>
        <v>0</v>
      </c>
      <c r="Z56" s="250" t="n">
        <f aca="false" t="array" ref="Z56:Z56">IFERROR( (MEDIAN((IF(DATOS_[[Sexo]:[Sexo]]=$B56,IF(DATOS_[[AGRUP. VALOR. PTO.]:[AGRUP. VALOR. PTO.]]=$B54,IF(DATOS_[[Check Periodo Ref.]:[Check Periodo Ref.]]="Dentro",IF(DATOS_[[Check Equiparado]:[Check Equiparado]]="Sí",IF(DATOS!AU$4="Sí",(1/DATOS_[[% anualiz]:[% anualiz]]),1)*IF(DATOS!AU$5="Sí",1/DATOS_[[% normaliz]:[% normaliz]],1)*(DATOS_[Conc.Sal.17])))))))), 0)</f>
        <v>0</v>
      </c>
      <c r="AA56" s="250" t="n">
        <f aca="false" t="array" ref="AA56:AA56">IFERROR( (MEDIAN((IF(DATOS_[[Sexo]:[Sexo]]=$B56,IF(DATOS_[[AGRUP. VALOR. PTO.]:[AGRUP. VALOR. PTO.]]=$B54,IF(DATOS_[[Check Periodo Ref.]:[Check Periodo Ref.]]="Dentro",IF(DATOS_[[Check Equiparado]:[Check Equiparado]]="Sí",IF(DATOS!AV$4="Sí",(1/DATOS_[[% anualiz]:[% anualiz]]),1)*IF(DATOS!AV$5="Sí",1/DATOS_[[% normaliz]:[% normaliz]],1)*(DATOS_[Conc.Sal.18])))))))), 0)</f>
        <v>0</v>
      </c>
      <c r="AB56" s="250" t="n">
        <f aca="false" t="array" ref="AB56:AB56">IFERROR( (MEDIAN((IF(DATOS_[[Sexo]:[Sexo]]=$B56,IF(DATOS_[[AGRUP. VALOR. PTO.]:[AGRUP. VALOR. PTO.]]=$B54,IF(DATOS_[[Check Periodo Ref.]:[Check Periodo Ref.]]="Dentro",IF(DATOS_[[Check Equiparado]:[Check Equiparado]]="Sí",IF(DATOS!AW$4="Sí",(1/DATOS_[[% anualiz]:[% anualiz]]),1)*IF(DATOS!AW$5="Sí",1/DATOS_[[% normaliz]:[% normaliz]],1)*(DATOS_[Conc.Sal.19])))))))), 0)</f>
        <v>0</v>
      </c>
      <c r="AC56" s="250" t="n">
        <f aca="false" t="array" ref="AC56:AC56">IFERROR( (MEDIAN((IF(DATOS_[[Sexo]:[Sexo]]=$B56,IF(DATOS_[[AGRUP. VALOR. PTO.]:[AGRUP. VALOR. PTO.]]=$B54,IF(DATOS_[[Check Periodo Ref.]:[Check Periodo Ref.]]="Dentro",IF(DATOS_[[Check Equiparado]:[Check Equiparado]]="Sí",IF(DATOS!AX$4="Sí",(1/DATOS_[[% anualiz]:[% anualiz]]),1)*IF(DATOS!AX$5="Sí",1/DATOS_[[% normaliz]:[% normaliz]],1)*(DATOS_[Conc.Sal.20])))))))), 0)</f>
        <v>0</v>
      </c>
      <c r="AD56" s="250" t="n">
        <f aca="false" t="array" ref="AD56:AD56">IFERROR( (MEDIAN((IF(DATOS_[[Sexo]:[Sexo]]=$B56,IF(DATOS_[[AGRUP. VALOR. PTO.]:[AGRUP. VALOR. PTO.]]=$B54,IF(DATOS_[[Check Periodo Ref.]:[Check Periodo Ref.]]="Dentro",IF(DATOS_[[Check Equiparado]:[Check Equiparado]]="Sí",IF(DATOS!AY$4="Sí",(1/DATOS_[[% anualiz]:[% anualiz]]),1)*IF(DATOS!AY$5="Sí",1/DATOS_[[% normaliz]:[% normaliz]],1)*(DATOS_[Conc.Sal.21])))))))), 0)</f>
        <v>0</v>
      </c>
      <c r="AE56" s="250" t="n">
        <f aca="false" t="array" ref="AE56:AE56">IFERROR( (MEDIAN((IF(DATOS_[[Sexo]:[Sexo]]=$B56,IF(DATOS_[[AGRUP. VALOR. PTO.]:[AGRUP. VALOR. PTO.]]=$B54,IF(DATOS_[[Check Periodo Ref.]:[Check Periodo Ref.]]="Dentro",IF(DATOS_[[Check Equiparado]:[Check Equiparado]]="Sí",IF(DATOS!AZ$4="Sí",(1/DATOS_[[% anualiz]:[% anualiz]]),1)*IF(DATOS!AZ$5="Sí",1/DATOS_[[% normaliz]:[% normaliz]],1)*(DATOS_[Conc.Sal.22])))))))), 0)</f>
        <v>0</v>
      </c>
      <c r="AF56" s="250" t="n">
        <f aca="false" t="array" ref="AF56:AF56">IFERROR( (MEDIAN((IF(DATOS_[[Sexo]:[Sexo]]=$B56,IF(DATOS_[[AGRUP. VALOR. PTO.]:[AGRUP. VALOR. PTO.]]=$B54,IF(DATOS_[[Check Periodo Ref.]:[Check Periodo Ref.]]="Dentro",IF(DATOS_[[Check Equiparado]:[Check Equiparado]]="Sí",IF(DATOS!BA$4="Sí",(1/DATOS_[[% anualiz]:[% anualiz]]),1)*IF(DATOS!BA$5="Sí",1/DATOS_[[% normaliz]:[% normaliz]],1)*(DATOS_[Conc.Sal.23])))))))), 0)</f>
        <v>0</v>
      </c>
      <c r="AG56" s="250" t="n">
        <f aca="false" t="array" ref="AG56:AG56">IFERROR( (MEDIAN((IF(DATOS_[[Sexo]:[Sexo]]=$B56,IF(DATOS_[[AGRUP. VALOR. PTO.]:[AGRUP. VALOR. PTO.]]=$B54,IF(DATOS_[[Check Periodo Ref.]:[Check Periodo Ref.]]="Dentro",IF(DATOS_[[Check Equiparado]:[Check Equiparado]]="Sí",IF(DATOS!BB$4="Sí",(1/DATOS_[[% anualiz]:[% anualiz]]),1)*IF(DATOS!BB$5="Sí",1/DATOS_[[% normaliz]:[% normaliz]],1)*(DATOS_[Conc.Sal.24])))))))), 0)</f>
        <v>0</v>
      </c>
      <c r="AH56" s="250" t="n">
        <f aca="false" t="array" ref="AH56:AH56">IFERROR( (MEDIAN((IF(DATOS_[[Sexo]:[Sexo]]=$B56,IF(DATOS_[[AGRUP. VALOR. PTO.]:[AGRUP. VALOR. PTO.]]=$B54,IF(DATOS_[[Check Periodo Ref.]:[Check Periodo Ref.]]="Dentro",IF(DATOS_[[Check Equiparado]:[Check Equiparado]]="Sí",IF(DATOS!BC$4="Sí",(1/DATOS_[[% anualiz]:[% anualiz]]),1)*IF(DATOS!BC$5="Sí",1/DATOS_[[% normaliz]:[% normaliz]],1)*(DATOS_[Conc.Sal.25])))))))), 0)</f>
        <v>0</v>
      </c>
      <c r="AI56" s="250" t="n">
        <f aca="false" t="array" ref="AI56:AI56">IFERROR( (MEDIAN((IF(DATOS_[[Sexo]:[Sexo]]=$B56,IF(DATOS_[[AGRUP. VALOR. PTO.]:[AGRUP. VALOR. PTO.]]=$B54,IF(DATOS_[[Check Periodo Ref.]:[Check Periodo Ref.]]="Dentro",IF(DATOS_[[Check Equiparado]:[Check Equiparado]]="Sí",IF(DATOS!BD$4="Sí",(1/DATOS_[[% anualiz]:[% anualiz]]),1)*IF(DATOS!BD$5="Sí",1/DATOS_[[% normaliz]:[% normaliz]],1)*(DATOS_[Conc.Sal.26])))))))), 0)</f>
        <v>0</v>
      </c>
      <c r="AJ56" s="250" t="n">
        <f aca="false" t="array" ref="AJ56:AJ56">IFERROR( (MEDIAN((IF(DATOS_[[Sexo]:[Sexo]]=$B56,IF(DATOS_[[AGRUP. VALOR. PTO.]:[AGRUP. VALOR. PTO.]]=$B54,IF(DATOS_[[Check Periodo Ref.]:[Check Periodo Ref.]]="Dentro",IF(DATOS_[[Check Equiparado]:[Check Equiparado]]="Sí",IF(DATOS!BE$4="Sí",(1/DATOS_[[% anualiz]:[% anualiz]]),1)*IF(DATOS!BE$5="Sí",1/DATOS_[[% normaliz]:[% normaliz]],1)*(DATOS_[Conc.Sal.27])))))))), 0)</f>
        <v>0</v>
      </c>
      <c r="AK56" s="250" t="n">
        <f aca="false" t="array" ref="AK56:AK56">IFERROR( (MEDIAN((IF(DATOS_[[Sexo]:[Sexo]]=$B56,IF(DATOS_[[AGRUP. VALOR. PTO.]:[AGRUP. VALOR. PTO.]]=$B54,IF(DATOS_[[Check Periodo Ref.]:[Check Periodo Ref.]]="Dentro",IF(DATOS_[[Check Equiparado]:[Check Equiparado]]="Sí",IF(DATOS!BF$4="Sí",(1/DATOS_[[% anualiz]:[% anualiz]]),1)*IF(DATOS!BF$5="Sí",1/DATOS_[[% normaliz]:[% normaliz]],1)*(DATOS_[Conc.Sal.28])))))))), 0)</f>
        <v>0</v>
      </c>
      <c r="AL56" s="250" t="n">
        <f aca="false" t="array" ref="AL56:AL56">IFERROR( (MEDIAN((IF(DATOS_[[Sexo]:[Sexo]]=$B56,IF(DATOS_[[AGRUP. VALOR. PTO.]:[AGRUP. VALOR. PTO.]]=$B54,IF(DATOS_[[Check Periodo Ref.]:[Check Periodo Ref.]]="Dentro",IF(DATOS_[[Check Equiparado]:[Check Equiparado]]="Sí",IF(DATOS!BG$4="Sí",(1/DATOS_[[% anualiz]:[% anualiz]]),1)*IF(DATOS!BG$5="Sí",1/DATOS_[[% normaliz]:[% normaliz]],1)*(DATOS_[Conc.Sal.29])))))))), 0)</f>
        <v>0</v>
      </c>
      <c r="AM56" s="250" t="n">
        <f aca="false" t="array" ref="AM56:AM56">IFERROR( (MEDIAN((IF(DATOS_[[Sexo]:[Sexo]]=$B56,IF(DATOS_[[AGRUP. VALOR. PTO.]:[AGRUP. VALOR. PTO.]]=$B54,IF(DATOS_[[Check Periodo Ref.]:[Check Periodo Ref.]]="Dentro",IF(DATOS_[[Check Equiparado]:[Check Equiparado]]="Sí",IF(DATOS!BH$4="Sí",(1/DATOS_[[% anualiz]:[% anualiz]]),1)*IF(DATOS!BH$5="Sí",1/DATOS_[[% normaliz]:[% normaliz]],1)*(DATOS_[Conc.Sal.30])))))))), 0)</f>
        <v>0</v>
      </c>
      <c r="AN56" s="251" t="n">
        <f aca="false" t="array" ref="AN56:AN56">IFERROR( MEDIAN(IF(DATOS_[Sexo]=$B56,IF(DATOS_[[AGRUP. VALOR. PTO.]:[AGRUP. VALOR. PTO.]]=$B54,IF(DATOS_[Check Equiparado]="Sí",IF(DATOS_[Check Periodo Ref.]="Dentro",DATOS_[Tot COMPL.SAL Eq],0))))), 0)</f>
        <v>0</v>
      </c>
      <c r="AO56" s="252" t="n">
        <f aca="false" t="array" ref="AO56:AO56">IFERROR( MEDIAN(IF(DATOS_[Sexo]=$B56,IF(DATOS_[[AGRUP. VALOR. PTO.]:[AGRUP. VALOR. PTO.]]=$B54,IF(DATOS_[Check Equiparado]="Sí",IF(DATOS_[Check Periodo Ref.]="Dentro",DATOS_[TOTAL SALARIO Eq],0))))), 0)</f>
        <v>0</v>
      </c>
      <c r="AP56" s="259" t="n">
        <f aca="false" t="array" ref="AP56:AP56">IFERROR( (MEDIAN((IF(DATOS_[[Sexo]:[Sexo]]=$B56,IF(DATOS_[[AGRUP. VALOR. PTO.]:[AGRUP. VALOR. PTO.]]=$B55,IF(DATOS_[[Check Periodo Ref.]:[Check Periodo Ref.]]="Dentro",IF(DATOS_[[Check Equiparado]:[Check Equiparado]]="Sí",IF(DATOS!BI$4="Sí",(1/DATOS_[[% anualiz]:[% anualiz]]),1)*IF(DATOS!BI$5="Sí",1/DATOS_[[% normaliz]:[% normaliz]],1)*(DATOS_[C.Extra.01])))))))), 0)</f>
        <v>0</v>
      </c>
      <c r="AQ56" s="259" t="n">
        <f aca="false" t="array" ref="AQ56:AQ56">IFERROR( (MEDIAN((IF(DATOS_[[Sexo]:[Sexo]]=$B56,IF(DATOS_[[AGRUP. VALOR. PTO.]:[AGRUP. VALOR. PTO.]]=$B55,IF(DATOS_[[Check Periodo Ref.]:[Check Periodo Ref.]]="Dentro",IF(DATOS_[[Check Equiparado]:[Check Equiparado]]="Sí",IF(DATOS!BJ$4="Sí",(1/DATOS_[[% anualiz]:[% anualiz]]),1)*IF(DATOS!BJ$5="Sí",1/DATOS_[[% normaliz]:[% normaliz]],1)*(DATOS_[C.Extra.02])))))))), 0)</f>
        <v>0</v>
      </c>
      <c r="AR56" s="259" t="n">
        <f aca="false" t="array" ref="AR56:AR56">IFERROR( (MEDIAN((IF(DATOS_[[Sexo]:[Sexo]]=$B56,IF(DATOS_[[AGRUP. VALOR. PTO.]:[AGRUP. VALOR. PTO.]]=$B55,IF(DATOS_[[Check Periodo Ref.]:[Check Periodo Ref.]]="Dentro",IF(DATOS_[[Check Equiparado]:[Check Equiparado]]="Sí",IF(DATOS!BK$4="Sí",(1/DATOS_[[% anualiz]:[% anualiz]]),1)*IF(DATOS!BK$5="Sí",1/DATOS_[[% normaliz]:[% normaliz]],1)*(DATOS_[C.Extra.03])))))))), 0)</f>
        <v>0</v>
      </c>
      <c r="AS56" s="259" t="n">
        <f aca="false" t="array" ref="AS56:AS56">IFERROR( (MEDIAN((IF(DATOS_[[Sexo]:[Sexo]]=$B56,IF(DATOS_[[AGRUP. VALOR. PTO.]:[AGRUP. VALOR. PTO.]]=$B55,IF(DATOS_[[Check Periodo Ref.]:[Check Periodo Ref.]]="Dentro",IF(DATOS_[[Check Equiparado]:[Check Equiparado]]="Sí",IF(DATOS!BL$4="Sí",(1/DATOS_[[% anualiz]:[% anualiz]]),1)*IF(DATOS!BL$5="Sí",1/DATOS_[[% normaliz]:[% normaliz]],1)*(DATOS_[C.Extra.04])))))))), 0)</f>
        <v>0</v>
      </c>
      <c r="AT56" s="259" t="n">
        <f aca="false" t="array" ref="AT56:AT56">IFERROR( (MEDIAN((IF(DATOS_[[Sexo]:[Sexo]]=$B56,IF(DATOS_[[AGRUP. VALOR. PTO.]:[AGRUP. VALOR. PTO.]]=$B55,IF(DATOS_[[Check Periodo Ref.]:[Check Periodo Ref.]]="Dentro",IF(DATOS_[[Check Equiparado]:[Check Equiparado]]="Sí",IF(DATOS!BM$4="Sí",(1/DATOS_[[% anualiz]:[% anualiz]]),1)*IF(DATOS!BM$5="Sí",1/DATOS_[[% normaliz]:[% normaliz]],1)*(DATOS_[C.Extra.05])))))))), 0)</f>
        <v>0</v>
      </c>
      <c r="AU56" s="254" t="n">
        <f aca="false" t="array" ref="AU56:AU56">IFERROR( MEDIAN(IF(DATOS_[Sexo]=$B56,IF(DATOS_[[AGRUP. VALOR. PTO.]:[AGRUP. VALOR. PTO.]]=$B54,IF(DATOS_[Check Equiparado]="Sí",IF(DATOS_[Check Periodo Ref.]="Dentro",DATOS_[Tot Extrasalarial Eq],0))))), 0)</f>
        <v>0</v>
      </c>
      <c r="AV56" s="255" t="n">
        <f aca="false" t="array" ref="AV56:AV56">IFERROR( MEDIAN(IF(DATOS_[Sexo]=$B56,IF(DATOS_[[AGRUP. VALOR. PTO.]:[AGRUP. VALOR. PTO.]]=$B54,IF(DATOS_[Check Equiparado]="Sí",IF(DATOS_[Check Periodo Ref.]="Dentro",DATOS_[TOTAL Retrib Eq],0))))), 0)</f>
        <v>0</v>
      </c>
    </row>
    <row r="57" customFormat="false" ht="15.75" hidden="false" customHeight="false" outlineLevel="0" collapsed="false">
      <c r="A57" s="217" t="str">
        <f aca="false">+A58</f>
        <v>[ocultar]</v>
      </c>
      <c r="B57" s="320" t="s">
        <v>211</v>
      </c>
      <c r="C57" s="236"/>
      <c r="D57" s="237"/>
      <c r="E57" s="237"/>
      <c r="F57" s="237"/>
      <c r="G57" s="237"/>
      <c r="H57" s="237"/>
      <c r="I57" s="238" t="str">
        <f aca="false">IFERROR((I58-I59)/I58,"")</f>
        <v/>
      </c>
      <c r="J57" s="239" t="str">
        <f aca="false">IFERROR((J58-J59)/J58,"")</f>
        <v/>
      </c>
      <c r="K57" s="239" t="str">
        <f aca="false">IFERROR((K58-K59)/K58,"")</f>
        <v/>
      </c>
      <c r="L57" s="239" t="str">
        <f aca="false">IFERROR((L58-L59)/L58,"")</f>
        <v/>
      </c>
      <c r="M57" s="239" t="str">
        <f aca="false">IFERROR((M58-M59)/M58,"")</f>
        <v/>
      </c>
      <c r="N57" s="239" t="str">
        <f aca="false">IFERROR((N58-N59)/N58,"")</f>
        <v/>
      </c>
      <c r="O57" s="239" t="str">
        <f aca="false">IFERROR((O58-O59)/O58,"")</f>
        <v/>
      </c>
      <c r="P57" s="239" t="str">
        <f aca="false">IFERROR((P58-P59)/P58,"")</f>
        <v/>
      </c>
      <c r="Q57" s="239" t="str">
        <f aca="false">IFERROR((Q58-Q59)/Q58,"")</f>
        <v/>
      </c>
      <c r="R57" s="239" t="str">
        <f aca="false">IFERROR((R58-R59)/R58,"")</f>
        <v/>
      </c>
      <c r="S57" s="239" t="str">
        <f aca="false">IFERROR((S58-S59)/S58,"")</f>
        <v/>
      </c>
      <c r="T57" s="239" t="str">
        <f aca="false">IFERROR((T58-T59)/T58,"")</f>
        <v/>
      </c>
      <c r="U57" s="239" t="str">
        <f aca="false">IFERROR((U58-U59)/U58,"")</f>
        <v/>
      </c>
      <c r="V57" s="239" t="str">
        <f aca="false">IFERROR((V58-V59)/V58,"")</f>
        <v/>
      </c>
      <c r="W57" s="239" t="str">
        <f aca="false">IFERROR((W58-W59)/W58,"")</f>
        <v/>
      </c>
      <c r="X57" s="239" t="str">
        <f aca="false">IFERROR((X58-X59)/X58,"")</f>
        <v/>
      </c>
      <c r="Y57" s="239" t="str">
        <f aca="false">IFERROR((Y58-Y59)/Y58,"")</f>
        <v/>
      </c>
      <c r="Z57" s="240" t="str">
        <f aca="false">IFERROR((Z58-Z59)/Z58,"")</f>
        <v/>
      </c>
      <c r="AA57" s="240" t="str">
        <f aca="false">IFERROR((AA58-AA59)/AA58,"")</f>
        <v/>
      </c>
      <c r="AB57" s="240" t="str">
        <f aca="false">IFERROR((AB58-AB59)/AB58,"")</f>
        <v/>
      </c>
      <c r="AC57" s="240" t="str">
        <f aca="false">IFERROR((AC58-AC59)/AC58,"")</f>
        <v/>
      </c>
      <c r="AD57" s="240" t="str">
        <f aca="false">IFERROR((AD58-AD59)/AD58,"")</f>
        <v/>
      </c>
      <c r="AE57" s="240" t="str">
        <f aca="false">IFERROR((AE58-AE59)/AE58,"")</f>
        <v/>
      </c>
      <c r="AF57" s="240" t="str">
        <f aca="false">IFERROR((AF58-AF59)/AF58,"")</f>
        <v/>
      </c>
      <c r="AG57" s="240" t="str">
        <f aca="false">IFERROR((AG58-AG59)/AG58,"")</f>
        <v/>
      </c>
      <c r="AH57" s="240" t="str">
        <f aca="false">IFERROR((AH58-AH59)/AH58,"")</f>
        <v/>
      </c>
      <c r="AI57" s="240" t="str">
        <f aca="false">IFERROR((AI58-AI59)/AI58,"")</f>
        <v/>
      </c>
      <c r="AJ57" s="240" t="str">
        <f aca="false">IFERROR((AJ58-AJ59)/AJ58,"")</f>
        <v/>
      </c>
      <c r="AK57" s="240" t="str">
        <f aca="false">IFERROR((AK58-AK59)/AK58,"")</f>
        <v/>
      </c>
      <c r="AL57" s="240" t="str">
        <f aca="false">IFERROR((AL58-AL59)/AL58,"")</f>
        <v/>
      </c>
      <c r="AM57" s="240" t="str">
        <f aca="false">IFERROR((AM58-AM59)/AM58,"")</f>
        <v/>
      </c>
      <c r="AN57" s="241" t="str">
        <f aca="false">IFERROR((AN58-AN59)/AN58,"")</f>
        <v/>
      </c>
      <c r="AO57" s="242" t="str">
        <f aca="false">IFERROR((AO58-AO59)/AO58,"")</f>
        <v/>
      </c>
      <c r="AP57" s="243" t="str">
        <f aca="false">IFERROR((AP58-AP59)/AP58,"")</f>
        <v/>
      </c>
      <c r="AQ57" s="243" t="str">
        <f aca="false">IFERROR((AQ58-AQ59)/AQ58,"")</f>
        <v/>
      </c>
      <c r="AR57" s="243" t="str">
        <f aca="false">IFERROR((AR58-AR59)/AR58,"")</f>
        <v/>
      </c>
      <c r="AS57" s="243" t="str">
        <f aca="false">IFERROR((AS58-AS59)/AS58,"")</f>
        <v/>
      </c>
      <c r="AT57" s="243" t="str">
        <f aca="false">IFERROR((AT58-AT59)/AT58,"")</f>
        <v/>
      </c>
      <c r="AU57" s="244" t="str">
        <f aca="false">IFERROR((AU58-AU59)/AU58,"")</f>
        <v/>
      </c>
      <c r="AV57" s="245" t="str">
        <f aca="false">IFERROR((AV58-AV59)/AV58,"")</f>
        <v/>
      </c>
    </row>
    <row r="58" customFormat="false" ht="14.25" hidden="false" customHeight="false" outlineLevel="0" collapsed="false">
      <c r="A58" s="217" t="str">
        <f aca="false">+IF(C58+C59=0,"[ocultar]","")</f>
        <v>[ocultar]</v>
      </c>
      <c r="B58" s="323" t="s">
        <v>371</v>
      </c>
      <c r="C58" s="247" t="n">
        <f aca="false" t="array" ref="C58:C58">SUM(IF($B58=DATOS_[Sexo], IF($B57=DATOS_[AGRUP. VALOR. PTO.], IF("Dentro"=DATOS_[Check Periodo Ref.], 1/(COUNTIFS(DATOS_[Sexo],$B58,DATOS_[AGRUP. VALOR. PTO.],$B57,DATOS_[Check Periodo Ref.],"Dentro",DATOS_[id],DATOS_[id]))))))</f>
        <v>0</v>
      </c>
      <c r="D58" s="248" t="n">
        <f aca="false">COUNTIFS(DATOS_[AGRUP. VALOR. PTO.],$B57,DATOS_[Sexo],$B58,DATOS_[Check Periodo Ref.],"Dentro")</f>
        <v>0</v>
      </c>
      <c r="E58" s="248" t="n">
        <f aca="false">COUNTIFS(DATOS_[AGRUP. VALOR. PTO.],$B57,DATOS_[Sexo],$B58,DATOS_[Check Periodo Ref.],"Dentro",DATOS_[Check Nº SC Norm],"Sí")</f>
        <v>0</v>
      </c>
      <c r="F58" s="248" t="n">
        <f aca="false">COUNTIFS(DATOS_[AGRUP. VALOR. PTO.],$B57,DATOS_[Sexo],$B58,DATOS_[Check Periodo Ref.],"Dentro",DATOS_[Check Nº SC Anualiz],"Sí")</f>
        <v>0</v>
      </c>
      <c r="G58" s="248" t="n">
        <f aca="false">COUNTIFS(DATOS_[AGRUP. VALOR. PTO.],$B57,DATOS_[Sexo],$B58,DATOS_[Check Periodo Ref.],"Dentro",DATOS_[Check Nº SC Norm y Anualiz],"Sí")</f>
        <v>0</v>
      </c>
      <c r="H58" s="248" t="n">
        <f aca="false">COUNTIFS(DATOS_[AGRUP. VALOR. PTO.],$B57,DATOS_[Sexo],$B58,DATOS_[Check Periodo Ref.],"Dentro",DATOS_[Check Equiparación],"Sí")</f>
        <v>0</v>
      </c>
      <c r="I58" s="249" t="n">
        <f aca="false" t="array" ref="I58:I58">IFERROR( MEDIAN(IF(DATOS_[Sexo]=$B58,IF(DATOS_[[AGRUP. VALOR. PTO.]:[AGRUP. VALOR. PTO.]]=$B57,IF(DATOS_[Check Equiparado]="Sí",IF(DATOS_[Check Periodo Ref.]="Dentro",DATOS_[SALARIO BASE Eq],0))))), 0)</f>
        <v>0</v>
      </c>
      <c r="J58" s="250" t="n">
        <f aca="false" t="array" ref="J58:J58">IFERROR( (MEDIAN((IF(DATOS_[[Sexo]:[Sexo]]=$B58,IF(DATOS_[[AGRUP. VALOR. PTO.]:[AGRUP. VALOR. PTO.]]=$B57,IF(DATOS_[[Check Periodo Ref.]:[Check Periodo Ref.]]="Dentro",IF(DATOS_[[Check Equiparado]:[Check Equiparado]]="Sí",IF(DATOS!AE$4="Sí",(1/DATOS_[[% anualiz]:[% anualiz]]),1)*IF(DATOS!AE$5="Sí",1/DATOS_[[% normaliz]:[% normaliz]],1)*(DATOS_[Conc.Sal.01])))))))), 0)</f>
        <v>0</v>
      </c>
      <c r="K58" s="250" t="n">
        <f aca="false" t="array" ref="K58:K58">IFERROR( (MEDIAN((IF(DATOS_[[Sexo]:[Sexo]]=$B58,IF(DATOS_[[AGRUP. VALOR. PTO.]:[AGRUP. VALOR. PTO.]]=$B57,IF(DATOS_[[Check Periodo Ref.]:[Check Periodo Ref.]]="Dentro",IF(DATOS_[[Check Equiparado]:[Check Equiparado]]="Sí",IF(DATOS!AF$4="Sí",(1/DATOS_[[% anualiz]:[% anualiz]]),1)*IF(DATOS!AF$5="Sí",1/DATOS_[[% normaliz]:[% normaliz]],1)*(DATOS_[Conc.Sal.02])))))))), 0)</f>
        <v>0</v>
      </c>
      <c r="L58" s="250" t="n">
        <f aca="false" t="array" ref="L58:L58">IFERROR( (MEDIAN((IF(DATOS_[[Sexo]:[Sexo]]=$B58,IF(DATOS_[[AGRUP. VALOR. PTO.]:[AGRUP. VALOR. PTO.]]=$B57,IF(DATOS_[[Check Periodo Ref.]:[Check Periodo Ref.]]="Dentro",IF(DATOS_[[Check Equiparado]:[Check Equiparado]]="Sí",IF(DATOS!AG$4="Sí",(1/DATOS_[[% anualiz]:[% anualiz]]),1)*IF(DATOS!AG$5="Sí",1/DATOS_[[% normaliz]:[% normaliz]],1)*(DATOS_[Conc.Sal.03])))))))), 0)</f>
        <v>0</v>
      </c>
      <c r="M58" s="250" t="n">
        <f aca="false" t="array" ref="M58:M58">IFERROR( (MEDIAN((IF(DATOS_[[Sexo]:[Sexo]]=$B58,IF(DATOS_[[AGRUP. VALOR. PTO.]:[AGRUP. VALOR. PTO.]]=$B57,IF(DATOS_[[Check Periodo Ref.]:[Check Periodo Ref.]]="Dentro",IF(DATOS_[[Check Equiparado]:[Check Equiparado]]="Sí",IF(DATOS!AH$4="Sí",(1/DATOS_[[% anualiz]:[% anualiz]]),1)*IF(DATOS!AH$5="Sí",1/DATOS_[[% normaliz]:[% normaliz]],1)*(DATOS_[Conc.Sal.04])))))))), 0)</f>
        <v>0</v>
      </c>
      <c r="N58" s="250" t="n">
        <f aca="false" t="array" ref="N58:N58">IFERROR( (MEDIAN((IF(DATOS_[[Sexo]:[Sexo]]=$B58,IF(DATOS_[[AGRUP. VALOR. PTO.]:[AGRUP. VALOR. PTO.]]=$B57,IF(DATOS_[[Check Periodo Ref.]:[Check Periodo Ref.]]="Dentro",IF(DATOS_[[Check Equiparado]:[Check Equiparado]]="Sí",IF(DATOS!AI$4="Sí",(1/DATOS_[[% anualiz]:[% anualiz]]),1)*IF(DATOS!AI$5="Sí",1/DATOS_[[% normaliz]:[% normaliz]],1)*(DATOS_[Conc.Sal.05])))))))), 0)</f>
        <v>0</v>
      </c>
      <c r="O58" s="250" t="n">
        <f aca="false" t="array" ref="O58:O58">IFERROR( (MEDIAN((IF(DATOS_[[Sexo]:[Sexo]]=$B58,IF(DATOS_[[AGRUP. VALOR. PTO.]:[AGRUP. VALOR. PTO.]]=$B57,IF(DATOS_[[Check Periodo Ref.]:[Check Periodo Ref.]]="Dentro",IF(DATOS_[[Check Equiparado]:[Check Equiparado]]="Sí",IF(DATOS!AJ$4="Sí",(1/DATOS_[[% anualiz]:[% anualiz]]),1)*IF(DATOS!AJ$5="Sí",1/DATOS_[[% normaliz]:[% normaliz]],1)*(DATOS_[Conc.Sal.06])))))))), 0)</f>
        <v>0</v>
      </c>
      <c r="P58" s="250" t="n">
        <f aca="false" t="array" ref="P58:P58">IFERROR( (MEDIAN((IF(DATOS_[[Sexo]:[Sexo]]=$B58,IF(DATOS_[[AGRUP. VALOR. PTO.]:[AGRUP. VALOR. PTO.]]=$B57,IF(DATOS_[[Check Periodo Ref.]:[Check Periodo Ref.]]="Dentro",IF(DATOS_[[Check Equiparado]:[Check Equiparado]]="Sí",IF(DATOS!AK$4="Sí",(1/DATOS_[[% anualiz]:[% anualiz]]),1)*IF(DATOS!AK$5="Sí",1/DATOS_[[% normaliz]:[% normaliz]],1)*(DATOS_[Conc.Sal.07])))))))), 0)</f>
        <v>0</v>
      </c>
      <c r="Q58" s="250" t="n">
        <f aca="false" t="array" ref="Q58:Q58">IFERROR( (MEDIAN((IF(DATOS_[[Sexo]:[Sexo]]=$B58,IF(DATOS_[[AGRUP. VALOR. PTO.]:[AGRUP. VALOR. PTO.]]=$B57,IF(DATOS_[[Check Periodo Ref.]:[Check Periodo Ref.]]="Dentro",IF(DATOS_[[Check Equiparado]:[Check Equiparado]]="Sí",IF(DATOS!AL$4="Sí",(1/DATOS_[[% anualiz]:[% anualiz]]),1)*IF(DATOS!AL$5="Sí",1/DATOS_[[% normaliz]:[% normaliz]],1)*(DATOS_[Conc.Sal.08])))))))), 0)</f>
        <v>0</v>
      </c>
      <c r="R58" s="250" t="n">
        <f aca="false" t="array" ref="R58:R58">IFERROR( (MEDIAN((IF(DATOS_[[Sexo]:[Sexo]]=$B58,IF(DATOS_[[AGRUP. VALOR. PTO.]:[AGRUP. VALOR. PTO.]]=$B57,IF(DATOS_[[Check Periodo Ref.]:[Check Periodo Ref.]]="Dentro",IF(DATOS_[[Check Equiparado]:[Check Equiparado]]="Sí",IF(DATOS!AM$4="Sí",(1/DATOS_[[% anualiz]:[% anualiz]]),1)*IF(DATOS!AM$5="Sí",1/DATOS_[[% normaliz]:[% normaliz]],1)*(DATOS_[Conc.Sal.09])))))))), 0)</f>
        <v>0</v>
      </c>
      <c r="S58" s="250" t="n">
        <f aca="false" t="array" ref="S58:S58">IFERROR( (MEDIAN((IF(DATOS_[[Sexo]:[Sexo]]=$B58,IF(DATOS_[[AGRUP. VALOR. PTO.]:[AGRUP. VALOR. PTO.]]=$B57,IF(DATOS_[[Check Periodo Ref.]:[Check Periodo Ref.]]="Dentro",IF(DATOS_[[Check Equiparado]:[Check Equiparado]]="Sí",IF(DATOS!AN$4="Sí",(1/DATOS_[[% anualiz]:[% anualiz]]),1)*IF(DATOS!AN$5="Sí",1/DATOS_[[% normaliz]:[% normaliz]],1)*(DATOS_[Conc.Sal.10])))))))), 0)</f>
        <v>0</v>
      </c>
      <c r="T58" s="250" t="n">
        <f aca="false" t="array" ref="T58:T58">IFERROR( (MEDIAN((IF(DATOS_[[Sexo]:[Sexo]]=$B58,IF(DATOS_[[AGRUP. VALOR. PTO.]:[AGRUP. VALOR. PTO.]]=$B57,IF(DATOS_[[Check Periodo Ref.]:[Check Periodo Ref.]]="Dentro",IF(DATOS_[[Check Equiparado]:[Check Equiparado]]="Sí",IF(DATOS!AO$4="Sí",(1/DATOS_[[% anualiz]:[% anualiz]]),1)*IF(DATOS!AO$5="Sí",1/DATOS_[[% normaliz]:[% normaliz]],1)*(DATOS_[Conc.Sal.11])))))))), 0)</f>
        <v>0</v>
      </c>
      <c r="U58" s="250" t="n">
        <f aca="false" t="array" ref="U58:U58">IFERROR( (MEDIAN((IF(DATOS_[[Sexo]:[Sexo]]=$B58,IF(DATOS_[[AGRUP. VALOR. PTO.]:[AGRUP. VALOR. PTO.]]=$B57,IF(DATOS_[[Check Periodo Ref.]:[Check Periodo Ref.]]="Dentro",IF(DATOS_[[Check Equiparado]:[Check Equiparado]]="Sí",IF(DATOS!AP$4="Sí",(1/DATOS_[[% anualiz]:[% anualiz]]),1)*IF(DATOS!AP$5="Sí",1/DATOS_[[% normaliz]:[% normaliz]],1)*(DATOS_[Conc.Sal.12])))))))), 0)</f>
        <v>0</v>
      </c>
      <c r="V58" s="250" t="n">
        <f aca="false" t="array" ref="V58:V58">IFERROR( (MEDIAN((IF(DATOS_[[Sexo]:[Sexo]]=$B58,IF(DATOS_[[AGRUP. VALOR. PTO.]:[AGRUP. VALOR. PTO.]]=$B57,IF(DATOS_[[Check Periodo Ref.]:[Check Periodo Ref.]]="Dentro",IF(DATOS_[[Check Equiparado]:[Check Equiparado]]="Sí",IF(DATOS!AQ$4="Sí",(1/DATOS_[[% anualiz]:[% anualiz]]),1)*IF(DATOS!AQ$5="Sí",1/DATOS_[[% normaliz]:[% normaliz]],1)*(DATOS_[Conc.Sal.13])))))))), 0)</f>
        <v>0</v>
      </c>
      <c r="W58" s="250" t="n">
        <f aca="false" t="array" ref="W58:W58">IFERROR( (MEDIAN((IF(DATOS_[[Sexo]:[Sexo]]=$B58,IF(DATOS_[[AGRUP. VALOR. PTO.]:[AGRUP. VALOR. PTO.]]=$B57,IF(DATOS_[[Check Periodo Ref.]:[Check Periodo Ref.]]="Dentro",IF(DATOS_[[Check Equiparado]:[Check Equiparado]]="Sí",IF(DATOS!AR$4="Sí",(1/DATOS_[[% anualiz]:[% anualiz]]),1)*IF(DATOS!AR$5="Sí",1/DATOS_[[% normaliz]:[% normaliz]],1)*(DATOS_[Conc.Sal.14])))))))), 0)</f>
        <v>0</v>
      </c>
      <c r="X58" s="250" t="n">
        <f aca="false" t="array" ref="X58:X58">IFERROR( (MEDIAN((IF(DATOS_[[Sexo]:[Sexo]]=$B58,IF(DATOS_[[AGRUP. VALOR. PTO.]:[AGRUP. VALOR. PTO.]]=$B57,IF(DATOS_[[Check Periodo Ref.]:[Check Periodo Ref.]]="Dentro",IF(DATOS_[[Check Equiparado]:[Check Equiparado]]="Sí",IF(DATOS!AS$4="Sí",(1/DATOS_[[% anualiz]:[% anualiz]]),1)*IF(DATOS!AS$5="Sí",1/DATOS_[[% normaliz]:[% normaliz]],1)*(DATOS_[Conc.Sal.15])))))))), 0)</f>
        <v>0</v>
      </c>
      <c r="Y58" s="250" t="n">
        <f aca="false" t="array" ref="Y58:Y58">IFERROR( (MEDIAN((IF(DATOS_[[Sexo]:[Sexo]]=$B58,IF(DATOS_[[AGRUP. VALOR. PTO.]:[AGRUP. VALOR. PTO.]]=$B57,IF(DATOS_[[Check Periodo Ref.]:[Check Periodo Ref.]]="Dentro",IF(DATOS_[[Check Equiparado]:[Check Equiparado]]="Sí",IF(DATOS!AT$4="Sí",(1/DATOS_[[% anualiz]:[% anualiz]]),1)*IF(DATOS!AT$5="Sí",1/DATOS_[[% normaliz]:[% normaliz]],1)*(DATOS_[Conc.Sal.16])))))))), 0)</f>
        <v>0</v>
      </c>
      <c r="Z58" s="250" t="n">
        <f aca="false" t="array" ref="Z58:Z58">IFERROR( (MEDIAN((IF(DATOS_[[Sexo]:[Sexo]]=$B58,IF(DATOS_[[AGRUP. VALOR. PTO.]:[AGRUP. VALOR. PTO.]]=$B57,IF(DATOS_[[Check Periodo Ref.]:[Check Periodo Ref.]]="Dentro",IF(DATOS_[[Check Equiparado]:[Check Equiparado]]="Sí",IF(DATOS!AU$4="Sí",(1/DATOS_[[% anualiz]:[% anualiz]]),1)*IF(DATOS!AU$5="Sí",1/DATOS_[[% normaliz]:[% normaliz]],1)*(DATOS_[Conc.Sal.17])))))))), 0)</f>
        <v>0</v>
      </c>
      <c r="AA58" s="250" t="n">
        <f aca="false" t="array" ref="AA58:AA58">IFERROR( (MEDIAN((IF(DATOS_[[Sexo]:[Sexo]]=$B58,IF(DATOS_[[AGRUP. VALOR. PTO.]:[AGRUP. VALOR. PTO.]]=$B57,IF(DATOS_[[Check Periodo Ref.]:[Check Periodo Ref.]]="Dentro",IF(DATOS_[[Check Equiparado]:[Check Equiparado]]="Sí",IF(DATOS!AV$4="Sí",(1/DATOS_[[% anualiz]:[% anualiz]]),1)*IF(DATOS!AV$5="Sí",1/DATOS_[[% normaliz]:[% normaliz]],1)*(DATOS_[Conc.Sal.18])))))))), 0)</f>
        <v>0</v>
      </c>
      <c r="AB58" s="250" t="n">
        <f aca="false" t="array" ref="AB58:AB58">IFERROR( (MEDIAN((IF(DATOS_[[Sexo]:[Sexo]]=$B58,IF(DATOS_[[AGRUP. VALOR. PTO.]:[AGRUP. VALOR. PTO.]]=$B57,IF(DATOS_[[Check Periodo Ref.]:[Check Periodo Ref.]]="Dentro",IF(DATOS_[[Check Equiparado]:[Check Equiparado]]="Sí",IF(DATOS!AW$4="Sí",(1/DATOS_[[% anualiz]:[% anualiz]]),1)*IF(DATOS!AW$5="Sí",1/DATOS_[[% normaliz]:[% normaliz]],1)*(DATOS_[Conc.Sal.19])))))))), 0)</f>
        <v>0</v>
      </c>
      <c r="AC58" s="250" t="n">
        <f aca="false" t="array" ref="AC58:AC58">IFERROR( (MEDIAN((IF(DATOS_[[Sexo]:[Sexo]]=$B58,IF(DATOS_[[AGRUP. VALOR. PTO.]:[AGRUP. VALOR. PTO.]]=$B57,IF(DATOS_[[Check Periodo Ref.]:[Check Periodo Ref.]]="Dentro",IF(DATOS_[[Check Equiparado]:[Check Equiparado]]="Sí",IF(DATOS!AX$4="Sí",(1/DATOS_[[% anualiz]:[% anualiz]]),1)*IF(DATOS!AX$5="Sí",1/DATOS_[[% normaliz]:[% normaliz]],1)*(DATOS_[Conc.Sal.20])))))))), 0)</f>
        <v>0</v>
      </c>
      <c r="AD58" s="250" t="n">
        <f aca="false" t="array" ref="AD58:AD58">IFERROR( (MEDIAN((IF(DATOS_[[Sexo]:[Sexo]]=$B58,IF(DATOS_[[AGRUP. VALOR. PTO.]:[AGRUP. VALOR. PTO.]]=$B57,IF(DATOS_[[Check Periodo Ref.]:[Check Periodo Ref.]]="Dentro",IF(DATOS_[[Check Equiparado]:[Check Equiparado]]="Sí",IF(DATOS!AY$4="Sí",(1/DATOS_[[% anualiz]:[% anualiz]]),1)*IF(DATOS!AY$5="Sí",1/DATOS_[[% normaliz]:[% normaliz]],1)*(DATOS_[Conc.Sal.21])))))))), 0)</f>
        <v>0</v>
      </c>
      <c r="AE58" s="250" t="n">
        <f aca="false" t="array" ref="AE58:AE58">IFERROR( (MEDIAN((IF(DATOS_[[Sexo]:[Sexo]]=$B58,IF(DATOS_[[AGRUP. VALOR. PTO.]:[AGRUP. VALOR. PTO.]]=$B57,IF(DATOS_[[Check Periodo Ref.]:[Check Periodo Ref.]]="Dentro",IF(DATOS_[[Check Equiparado]:[Check Equiparado]]="Sí",IF(DATOS!AZ$4="Sí",(1/DATOS_[[% anualiz]:[% anualiz]]),1)*IF(DATOS!AZ$5="Sí",1/DATOS_[[% normaliz]:[% normaliz]],1)*(DATOS_[Conc.Sal.22])))))))), 0)</f>
        <v>0</v>
      </c>
      <c r="AF58" s="250" t="n">
        <f aca="false" t="array" ref="AF58:AF58">IFERROR( (MEDIAN((IF(DATOS_[[Sexo]:[Sexo]]=$B58,IF(DATOS_[[AGRUP. VALOR. PTO.]:[AGRUP. VALOR. PTO.]]=$B57,IF(DATOS_[[Check Periodo Ref.]:[Check Periodo Ref.]]="Dentro",IF(DATOS_[[Check Equiparado]:[Check Equiparado]]="Sí",IF(DATOS!BA$4="Sí",(1/DATOS_[[% anualiz]:[% anualiz]]),1)*IF(DATOS!BA$5="Sí",1/DATOS_[[% normaliz]:[% normaliz]],1)*(DATOS_[Conc.Sal.23])))))))), 0)</f>
        <v>0</v>
      </c>
      <c r="AG58" s="250" t="n">
        <f aca="false" t="array" ref="AG58:AG58">IFERROR( (MEDIAN((IF(DATOS_[[Sexo]:[Sexo]]=$B58,IF(DATOS_[[AGRUP. VALOR. PTO.]:[AGRUP. VALOR. PTO.]]=$B57,IF(DATOS_[[Check Periodo Ref.]:[Check Periodo Ref.]]="Dentro",IF(DATOS_[[Check Equiparado]:[Check Equiparado]]="Sí",IF(DATOS!BB$4="Sí",(1/DATOS_[[% anualiz]:[% anualiz]]),1)*IF(DATOS!BB$5="Sí",1/DATOS_[[% normaliz]:[% normaliz]],1)*(DATOS_[Conc.Sal.24])))))))), 0)</f>
        <v>0</v>
      </c>
      <c r="AH58" s="250" t="n">
        <f aca="false" t="array" ref="AH58:AH58">IFERROR( (MEDIAN((IF(DATOS_[[Sexo]:[Sexo]]=$B58,IF(DATOS_[[AGRUP. VALOR. PTO.]:[AGRUP. VALOR. PTO.]]=$B57,IF(DATOS_[[Check Periodo Ref.]:[Check Periodo Ref.]]="Dentro",IF(DATOS_[[Check Equiparado]:[Check Equiparado]]="Sí",IF(DATOS!BC$4="Sí",(1/DATOS_[[% anualiz]:[% anualiz]]),1)*IF(DATOS!BC$5="Sí",1/DATOS_[[% normaliz]:[% normaliz]],1)*(DATOS_[Conc.Sal.25])))))))), 0)</f>
        <v>0</v>
      </c>
      <c r="AI58" s="250" t="n">
        <f aca="false" t="array" ref="AI58:AI58">IFERROR( (MEDIAN((IF(DATOS_[[Sexo]:[Sexo]]=$B58,IF(DATOS_[[AGRUP. VALOR. PTO.]:[AGRUP. VALOR. PTO.]]=$B57,IF(DATOS_[[Check Periodo Ref.]:[Check Periodo Ref.]]="Dentro",IF(DATOS_[[Check Equiparado]:[Check Equiparado]]="Sí",IF(DATOS!BD$4="Sí",(1/DATOS_[[% anualiz]:[% anualiz]]),1)*IF(DATOS!BD$5="Sí",1/DATOS_[[% normaliz]:[% normaliz]],1)*(DATOS_[Conc.Sal.26])))))))), 0)</f>
        <v>0</v>
      </c>
      <c r="AJ58" s="250" t="n">
        <f aca="false" t="array" ref="AJ58:AJ58">IFERROR( (MEDIAN((IF(DATOS_[[Sexo]:[Sexo]]=$B58,IF(DATOS_[[AGRUP. VALOR. PTO.]:[AGRUP. VALOR. PTO.]]=$B57,IF(DATOS_[[Check Periodo Ref.]:[Check Periodo Ref.]]="Dentro",IF(DATOS_[[Check Equiparado]:[Check Equiparado]]="Sí",IF(DATOS!BE$4="Sí",(1/DATOS_[[% anualiz]:[% anualiz]]),1)*IF(DATOS!BE$5="Sí",1/DATOS_[[% normaliz]:[% normaliz]],1)*(DATOS_[Conc.Sal.27])))))))), 0)</f>
        <v>0</v>
      </c>
      <c r="AK58" s="250" t="n">
        <f aca="false" t="array" ref="AK58:AK58">IFERROR( (MEDIAN((IF(DATOS_[[Sexo]:[Sexo]]=$B58,IF(DATOS_[[AGRUP. VALOR. PTO.]:[AGRUP. VALOR. PTO.]]=$B57,IF(DATOS_[[Check Periodo Ref.]:[Check Periodo Ref.]]="Dentro",IF(DATOS_[[Check Equiparado]:[Check Equiparado]]="Sí",IF(DATOS!BF$4="Sí",(1/DATOS_[[% anualiz]:[% anualiz]]),1)*IF(DATOS!BF$5="Sí",1/DATOS_[[% normaliz]:[% normaliz]],1)*(DATOS_[Conc.Sal.28])))))))), 0)</f>
        <v>0</v>
      </c>
      <c r="AL58" s="250" t="n">
        <f aca="false" t="array" ref="AL58:AL58">IFERROR( (MEDIAN((IF(DATOS_[[Sexo]:[Sexo]]=$B58,IF(DATOS_[[AGRUP. VALOR. PTO.]:[AGRUP. VALOR. PTO.]]=$B57,IF(DATOS_[[Check Periodo Ref.]:[Check Periodo Ref.]]="Dentro",IF(DATOS_[[Check Equiparado]:[Check Equiparado]]="Sí",IF(DATOS!BG$4="Sí",(1/DATOS_[[% anualiz]:[% anualiz]]),1)*IF(DATOS!BG$5="Sí",1/DATOS_[[% normaliz]:[% normaliz]],1)*(DATOS_[Conc.Sal.29])))))))), 0)</f>
        <v>0</v>
      </c>
      <c r="AM58" s="250" t="n">
        <f aca="false" t="array" ref="AM58:AM58">IFERROR( (MEDIAN((IF(DATOS_[[Sexo]:[Sexo]]=$B58,IF(DATOS_[[AGRUP. VALOR. PTO.]:[AGRUP. VALOR. PTO.]]=$B57,IF(DATOS_[[Check Periodo Ref.]:[Check Periodo Ref.]]="Dentro",IF(DATOS_[[Check Equiparado]:[Check Equiparado]]="Sí",IF(DATOS!BH$4="Sí",(1/DATOS_[[% anualiz]:[% anualiz]]),1)*IF(DATOS!BH$5="Sí",1/DATOS_[[% normaliz]:[% normaliz]],1)*(DATOS_[Conc.Sal.30])))))))), 0)</f>
        <v>0</v>
      </c>
      <c r="AN58" s="251" t="n">
        <f aca="false" t="array" ref="AN58:AN58">IFERROR( MEDIAN(IF(DATOS_[Sexo]=$B58,IF(DATOS_[[AGRUP. VALOR. PTO.]:[AGRUP. VALOR. PTO.]]=$B57,IF(DATOS_[Check Equiparado]="Sí",IF(DATOS_[Check Periodo Ref.]="Dentro",DATOS_[Tot COMPL.SAL Eq],0))))), 0)</f>
        <v>0</v>
      </c>
      <c r="AO58" s="252" t="n">
        <f aca="false" t="array" ref="AO58:AO58">IFERROR( MEDIAN(IF(DATOS_[Sexo]=$B58,IF(DATOS_[[AGRUP. VALOR. PTO.]:[AGRUP. VALOR. PTO.]]=$B57,IF(DATOS_[Check Equiparado]="Sí",IF(DATOS_[Check Periodo Ref.]="Dentro",DATOS_[TOTAL SALARIO Eq],0))))), 0)</f>
        <v>0</v>
      </c>
      <c r="AP58" s="259" t="n">
        <f aca="false" t="array" ref="AP58:AP58">IFERROR( (MEDIAN((IF(DATOS_[[Sexo]:[Sexo]]=$B58,IF(DATOS_[[AGRUP. VALOR. PTO.]:[AGRUP. VALOR. PTO.]]=$B57,IF(DATOS_[[Check Periodo Ref.]:[Check Periodo Ref.]]="Dentro",IF(DATOS_[[Check Equiparado]:[Check Equiparado]]="Sí",IF(DATOS!BI$4="Sí",(1/DATOS_[[% anualiz]:[% anualiz]]),1)*IF(DATOS!BI$5="Sí",1/DATOS_[[% normaliz]:[% normaliz]],1)*(DATOS_[C.Extra.01])))))))), 0)</f>
        <v>0</v>
      </c>
      <c r="AQ58" s="259" t="n">
        <f aca="false" t="array" ref="AQ58:AQ58">IFERROR( (MEDIAN((IF(DATOS_[[Sexo]:[Sexo]]=$B58,IF(DATOS_[[AGRUP. VALOR. PTO.]:[AGRUP. VALOR. PTO.]]=$B57,IF(DATOS_[[Check Periodo Ref.]:[Check Periodo Ref.]]="Dentro",IF(DATOS_[[Check Equiparado]:[Check Equiparado]]="Sí",IF(DATOS!BJ$4="Sí",(1/DATOS_[[% anualiz]:[% anualiz]]),1)*IF(DATOS!BJ$5="Sí",1/DATOS_[[% normaliz]:[% normaliz]],1)*(DATOS_[C.Extra.02])))))))), 0)</f>
        <v>0</v>
      </c>
      <c r="AR58" s="259" t="n">
        <f aca="false" t="array" ref="AR58:AR58">IFERROR( (MEDIAN((IF(DATOS_[[Sexo]:[Sexo]]=$B58,IF(DATOS_[[AGRUP. VALOR. PTO.]:[AGRUP. VALOR. PTO.]]=$B57,IF(DATOS_[[Check Periodo Ref.]:[Check Periodo Ref.]]="Dentro",IF(DATOS_[[Check Equiparado]:[Check Equiparado]]="Sí",IF(DATOS!BK$4="Sí",(1/DATOS_[[% anualiz]:[% anualiz]]),1)*IF(DATOS!BK$5="Sí",1/DATOS_[[% normaliz]:[% normaliz]],1)*(DATOS_[C.Extra.03])))))))), 0)</f>
        <v>0</v>
      </c>
      <c r="AS58" s="259" t="n">
        <f aca="false" t="array" ref="AS58:AS58">IFERROR( (MEDIAN((IF(DATOS_[[Sexo]:[Sexo]]=$B58,IF(DATOS_[[AGRUP. VALOR. PTO.]:[AGRUP. VALOR. PTO.]]=$B57,IF(DATOS_[[Check Periodo Ref.]:[Check Periodo Ref.]]="Dentro",IF(DATOS_[[Check Equiparado]:[Check Equiparado]]="Sí",IF(DATOS!BL$4="Sí",(1/DATOS_[[% anualiz]:[% anualiz]]),1)*IF(DATOS!BL$5="Sí",1/DATOS_[[% normaliz]:[% normaliz]],1)*(DATOS_[C.Extra.04])))))))), 0)</f>
        <v>0</v>
      </c>
      <c r="AT58" s="259" t="n">
        <f aca="false" t="array" ref="AT58:AT58">IFERROR( (MEDIAN((IF(DATOS_[[Sexo]:[Sexo]]=$B58,IF(DATOS_[[AGRUP. VALOR. PTO.]:[AGRUP. VALOR. PTO.]]=$B57,IF(DATOS_[[Check Periodo Ref.]:[Check Periodo Ref.]]="Dentro",IF(DATOS_[[Check Equiparado]:[Check Equiparado]]="Sí",IF(DATOS!BM$4="Sí",(1/DATOS_[[% anualiz]:[% anualiz]]),1)*IF(DATOS!BM$5="Sí",1/DATOS_[[% normaliz]:[% normaliz]],1)*(DATOS_[C.Extra.05])))))))), 0)</f>
        <v>0</v>
      </c>
      <c r="AU58" s="254" t="n">
        <f aca="false" t="array" ref="AU58:AU58">IFERROR( MEDIAN(IF(DATOS_[Sexo]=$B58,IF(DATOS_[[AGRUP. VALOR. PTO.]:[AGRUP. VALOR. PTO.]]=$B57,IF(DATOS_[Check Equiparado]="Sí",IF(DATOS_[Check Periodo Ref.]="Dentro",DATOS_[Tot Extrasalarial Eq],0))))), 0)</f>
        <v>0</v>
      </c>
      <c r="AV58" s="255" t="n">
        <f aca="false" t="array" ref="AV58:AV58">IFERROR( MEDIAN(IF(DATOS_[Sexo]=$B58,IF(DATOS_[[AGRUP. VALOR. PTO.]:[AGRUP. VALOR. PTO.]]=$B57,IF(DATOS_[Check Equiparado]="Sí",IF(DATOS_[Check Periodo Ref.]="Dentro",DATOS_[TOTAL Retrib Eq],0))))), 0)</f>
        <v>0</v>
      </c>
    </row>
    <row r="59" customFormat="false" ht="14.25" hidden="false" customHeight="false" outlineLevel="0" collapsed="false">
      <c r="A59" s="217" t="str">
        <f aca="false">+A58</f>
        <v>[ocultar]</v>
      </c>
      <c r="B59" s="323" t="s">
        <v>372</v>
      </c>
      <c r="C59" s="247" t="n">
        <f aca="false" t="array" ref="C59:C59">SUM(IF($B59=DATOS_[Sexo], IF($B57=DATOS_[AGRUP. VALOR. PTO.], IF("Dentro"=DATOS_[Check Periodo Ref.], 1/(COUNTIFS(DATOS_[Sexo],$B59,DATOS_[AGRUP. VALOR. PTO.],$B57,DATOS_[Check Periodo Ref.],"Dentro",DATOS_[id],DATOS_[id]))))))</f>
        <v>0</v>
      </c>
      <c r="D59" s="248" t="n">
        <f aca="false">COUNTIFS(DATOS_[AGRUP. VALOR. PTO.],$B57,DATOS_[Sexo],$B59,DATOS_[Check Periodo Ref.],"Dentro")</f>
        <v>0</v>
      </c>
      <c r="E59" s="248" t="n">
        <f aca="false">COUNTIFS(DATOS_[AGRUP. VALOR. PTO.],$B57,DATOS_[Sexo],$B59,DATOS_[Check Periodo Ref.],"Dentro",DATOS_[Check Nº SC Norm],"Sí")</f>
        <v>0</v>
      </c>
      <c r="F59" s="248" t="n">
        <f aca="false">COUNTIFS(DATOS_[AGRUP. VALOR. PTO.],$B57,DATOS_[Sexo],$B59,DATOS_[Check Periodo Ref.],"Dentro",DATOS_[Check Nº SC Anualiz],"Sí")</f>
        <v>0</v>
      </c>
      <c r="G59" s="248" t="n">
        <f aca="false">COUNTIFS(DATOS_[AGRUP. VALOR. PTO.],$B57,DATOS_[Sexo],$B59,DATOS_[Check Periodo Ref.],"Dentro",DATOS_[Check Nº SC Norm y Anualiz],"Sí")</f>
        <v>0</v>
      </c>
      <c r="H59" s="248" t="n">
        <f aca="false">COUNTIFS(DATOS_[AGRUP. VALOR. PTO.],$B57,DATOS_[Sexo],$B59,DATOS_[Check Periodo Ref.],"Dentro",DATOS_[Check Equiparación],"Sí")</f>
        <v>0</v>
      </c>
      <c r="I59" s="249" t="n">
        <f aca="false" t="array" ref="I59:I59">IFERROR( MEDIAN(IF(DATOS_[Sexo]=$B59,IF(DATOS_[[AGRUP. VALOR. PTO.]:[AGRUP. VALOR. PTO.]]=$B57,IF(DATOS_[Check Equiparado]="Sí",IF(DATOS_[Check Periodo Ref.]="Dentro",DATOS_[SALARIO BASE Eq],0))))), 0)</f>
        <v>0</v>
      </c>
      <c r="J59" s="250" t="n">
        <f aca="false" t="array" ref="J59:J59">IFERROR( (MEDIAN((IF(DATOS_[[Sexo]:[Sexo]]=$B59,IF(DATOS_[[AGRUP. VALOR. PTO.]:[AGRUP. VALOR. PTO.]]=$B57,IF(DATOS_[[Check Periodo Ref.]:[Check Periodo Ref.]]="Dentro",IF(DATOS_[[Check Equiparado]:[Check Equiparado]]="Sí",IF(DATOS!AE$4="Sí",(1/DATOS_[[% anualiz]:[% anualiz]]),1)*IF(DATOS!AE$5="Sí",1/DATOS_[[% normaliz]:[% normaliz]],1)*(DATOS_[Conc.Sal.01])))))))), 0)</f>
        <v>0</v>
      </c>
      <c r="K59" s="250" t="n">
        <f aca="false" t="array" ref="K59:K59">IFERROR( (MEDIAN((IF(DATOS_[[Sexo]:[Sexo]]=$B59,IF(DATOS_[[AGRUP. VALOR. PTO.]:[AGRUP. VALOR. PTO.]]=$B57,IF(DATOS_[[Check Periodo Ref.]:[Check Periodo Ref.]]="Dentro",IF(DATOS_[[Check Equiparado]:[Check Equiparado]]="Sí",IF(DATOS!AF$4="Sí",(1/DATOS_[[% anualiz]:[% anualiz]]),1)*IF(DATOS!AF$5="Sí",1/DATOS_[[% normaliz]:[% normaliz]],1)*(DATOS_[Conc.Sal.02])))))))), 0)</f>
        <v>0</v>
      </c>
      <c r="L59" s="250" t="n">
        <f aca="false" t="array" ref="L59:L59">IFERROR( (MEDIAN((IF(DATOS_[[Sexo]:[Sexo]]=$B59,IF(DATOS_[[AGRUP. VALOR. PTO.]:[AGRUP. VALOR. PTO.]]=$B57,IF(DATOS_[[Check Periodo Ref.]:[Check Periodo Ref.]]="Dentro",IF(DATOS_[[Check Equiparado]:[Check Equiparado]]="Sí",IF(DATOS!AG$4="Sí",(1/DATOS_[[% anualiz]:[% anualiz]]),1)*IF(DATOS!AG$5="Sí",1/DATOS_[[% normaliz]:[% normaliz]],1)*(DATOS_[Conc.Sal.03])))))))), 0)</f>
        <v>0</v>
      </c>
      <c r="M59" s="250" t="n">
        <f aca="false" t="array" ref="M59:M59">IFERROR( (MEDIAN((IF(DATOS_[[Sexo]:[Sexo]]=$B59,IF(DATOS_[[AGRUP. VALOR. PTO.]:[AGRUP. VALOR. PTO.]]=$B57,IF(DATOS_[[Check Periodo Ref.]:[Check Periodo Ref.]]="Dentro",IF(DATOS_[[Check Equiparado]:[Check Equiparado]]="Sí",IF(DATOS!AH$4="Sí",(1/DATOS_[[% anualiz]:[% anualiz]]),1)*IF(DATOS!AH$5="Sí",1/DATOS_[[% normaliz]:[% normaliz]],1)*(DATOS_[Conc.Sal.04])))))))), 0)</f>
        <v>0</v>
      </c>
      <c r="N59" s="250" t="n">
        <f aca="false" t="array" ref="N59:N59">IFERROR( (MEDIAN((IF(DATOS_[[Sexo]:[Sexo]]=$B59,IF(DATOS_[[AGRUP. VALOR. PTO.]:[AGRUP. VALOR. PTO.]]=$B57,IF(DATOS_[[Check Periodo Ref.]:[Check Periodo Ref.]]="Dentro",IF(DATOS_[[Check Equiparado]:[Check Equiparado]]="Sí",IF(DATOS!AI$4="Sí",(1/DATOS_[[% anualiz]:[% anualiz]]),1)*IF(DATOS!AI$5="Sí",1/DATOS_[[% normaliz]:[% normaliz]],1)*(DATOS_[Conc.Sal.05])))))))), 0)</f>
        <v>0</v>
      </c>
      <c r="O59" s="250" t="n">
        <f aca="false" t="array" ref="O59:O59">IFERROR( (MEDIAN((IF(DATOS_[[Sexo]:[Sexo]]=$B59,IF(DATOS_[[AGRUP. VALOR. PTO.]:[AGRUP. VALOR. PTO.]]=$B57,IF(DATOS_[[Check Periodo Ref.]:[Check Periodo Ref.]]="Dentro",IF(DATOS_[[Check Equiparado]:[Check Equiparado]]="Sí",IF(DATOS!AJ$4="Sí",(1/DATOS_[[% anualiz]:[% anualiz]]),1)*IF(DATOS!AJ$5="Sí",1/DATOS_[[% normaliz]:[% normaliz]],1)*(DATOS_[Conc.Sal.06])))))))), 0)</f>
        <v>0</v>
      </c>
      <c r="P59" s="250" t="n">
        <f aca="false" t="array" ref="P59:P59">IFERROR( (MEDIAN((IF(DATOS_[[Sexo]:[Sexo]]=$B59,IF(DATOS_[[AGRUP. VALOR. PTO.]:[AGRUP. VALOR. PTO.]]=$B57,IF(DATOS_[[Check Periodo Ref.]:[Check Periodo Ref.]]="Dentro",IF(DATOS_[[Check Equiparado]:[Check Equiparado]]="Sí",IF(DATOS!AK$4="Sí",(1/DATOS_[[% anualiz]:[% anualiz]]),1)*IF(DATOS!AK$5="Sí",1/DATOS_[[% normaliz]:[% normaliz]],1)*(DATOS_[Conc.Sal.07])))))))), 0)</f>
        <v>0</v>
      </c>
      <c r="Q59" s="250" t="n">
        <f aca="false" t="array" ref="Q59:Q59">IFERROR( (MEDIAN((IF(DATOS_[[Sexo]:[Sexo]]=$B59,IF(DATOS_[[AGRUP. VALOR. PTO.]:[AGRUP. VALOR. PTO.]]=$B57,IF(DATOS_[[Check Periodo Ref.]:[Check Periodo Ref.]]="Dentro",IF(DATOS_[[Check Equiparado]:[Check Equiparado]]="Sí",IF(DATOS!AL$4="Sí",(1/DATOS_[[% anualiz]:[% anualiz]]),1)*IF(DATOS!AL$5="Sí",1/DATOS_[[% normaliz]:[% normaliz]],1)*(DATOS_[Conc.Sal.08])))))))), 0)</f>
        <v>0</v>
      </c>
      <c r="R59" s="250" t="n">
        <f aca="false" t="array" ref="R59:R59">IFERROR( (MEDIAN((IF(DATOS_[[Sexo]:[Sexo]]=$B59,IF(DATOS_[[AGRUP. VALOR. PTO.]:[AGRUP. VALOR. PTO.]]=$B57,IF(DATOS_[[Check Periodo Ref.]:[Check Periodo Ref.]]="Dentro",IF(DATOS_[[Check Equiparado]:[Check Equiparado]]="Sí",IF(DATOS!AM$4="Sí",(1/DATOS_[[% anualiz]:[% anualiz]]),1)*IF(DATOS!AM$5="Sí",1/DATOS_[[% normaliz]:[% normaliz]],1)*(DATOS_[Conc.Sal.09])))))))), 0)</f>
        <v>0</v>
      </c>
      <c r="S59" s="250" t="n">
        <f aca="false" t="array" ref="S59:S59">IFERROR( (MEDIAN((IF(DATOS_[[Sexo]:[Sexo]]=$B59,IF(DATOS_[[AGRUP. VALOR. PTO.]:[AGRUP. VALOR. PTO.]]=$B57,IF(DATOS_[[Check Periodo Ref.]:[Check Periodo Ref.]]="Dentro",IF(DATOS_[[Check Equiparado]:[Check Equiparado]]="Sí",IF(DATOS!AN$4="Sí",(1/DATOS_[[% anualiz]:[% anualiz]]),1)*IF(DATOS!AN$5="Sí",1/DATOS_[[% normaliz]:[% normaliz]],1)*(DATOS_[Conc.Sal.10])))))))), 0)</f>
        <v>0</v>
      </c>
      <c r="T59" s="250" t="n">
        <f aca="false" t="array" ref="T59:T59">IFERROR( (MEDIAN((IF(DATOS_[[Sexo]:[Sexo]]=$B59,IF(DATOS_[[AGRUP. VALOR. PTO.]:[AGRUP. VALOR. PTO.]]=$B57,IF(DATOS_[[Check Periodo Ref.]:[Check Periodo Ref.]]="Dentro",IF(DATOS_[[Check Equiparado]:[Check Equiparado]]="Sí",IF(DATOS!AO$4="Sí",(1/DATOS_[[% anualiz]:[% anualiz]]),1)*IF(DATOS!AO$5="Sí",1/DATOS_[[% normaliz]:[% normaliz]],1)*(DATOS_[Conc.Sal.11])))))))), 0)</f>
        <v>0</v>
      </c>
      <c r="U59" s="250" t="n">
        <f aca="false" t="array" ref="U59:U59">IFERROR( (MEDIAN((IF(DATOS_[[Sexo]:[Sexo]]=$B59,IF(DATOS_[[AGRUP. VALOR. PTO.]:[AGRUP. VALOR. PTO.]]=$B57,IF(DATOS_[[Check Periodo Ref.]:[Check Periodo Ref.]]="Dentro",IF(DATOS_[[Check Equiparado]:[Check Equiparado]]="Sí",IF(DATOS!AP$4="Sí",(1/DATOS_[[% anualiz]:[% anualiz]]),1)*IF(DATOS!AP$5="Sí",1/DATOS_[[% normaliz]:[% normaliz]],1)*(DATOS_[Conc.Sal.12])))))))), 0)</f>
        <v>0</v>
      </c>
      <c r="V59" s="250" t="n">
        <f aca="false" t="array" ref="V59:V59">IFERROR( (MEDIAN((IF(DATOS_[[Sexo]:[Sexo]]=$B59,IF(DATOS_[[AGRUP. VALOR. PTO.]:[AGRUP. VALOR. PTO.]]=$B57,IF(DATOS_[[Check Periodo Ref.]:[Check Periodo Ref.]]="Dentro",IF(DATOS_[[Check Equiparado]:[Check Equiparado]]="Sí",IF(DATOS!AQ$4="Sí",(1/DATOS_[[% anualiz]:[% anualiz]]),1)*IF(DATOS!AQ$5="Sí",1/DATOS_[[% normaliz]:[% normaliz]],1)*(DATOS_[Conc.Sal.13])))))))), 0)</f>
        <v>0</v>
      </c>
      <c r="W59" s="250" t="n">
        <f aca="false" t="array" ref="W59:W59">IFERROR( (MEDIAN((IF(DATOS_[[Sexo]:[Sexo]]=$B59,IF(DATOS_[[AGRUP. VALOR. PTO.]:[AGRUP. VALOR. PTO.]]=$B57,IF(DATOS_[[Check Periodo Ref.]:[Check Periodo Ref.]]="Dentro",IF(DATOS_[[Check Equiparado]:[Check Equiparado]]="Sí",IF(DATOS!AR$4="Sí",(1/DATOS_[[% anualiz]:[% anualiz]]),1)*IF(DATOS!AR$5="Sí",1/DATOS_[[% normaliz]:[% normaliz]],1)*(DATOS_[Conc.Sal.14])))))))), 0)</f>
        <v>0</v>
      </c>
      <c r="X59" s="250" t="n">
        <f aca="false" t="array" ref="X59:X59">IFERROR( (MEDIAN((IF(DATOS_[[Sexo]:[Sexo]]=$B59,IF(DATOS_[[AGRUP. VALOR. PTO.]:[AGRUP. VALOR. PTO.]]=$B57,IF(DATOS_[[Check Periodo Ref.]:[Check Periodo Ref.]]="Dentro",IF(DATOS_[[Check Equiparado]:[Check Equiparado]]="Sí",IF(DATOS!AS$4="Sí",(1/DATOS_[[% anualiz]:[% anualiz]]),1)*IF(DATOS!AS$5="Sí",1/DATOS_[[% normaliz]:[% normaliz]],1)*(DATOS_[Conc.Sal.15])))))))), 0)</f>
        <v>0</v>
      </c>
      <c r="Y59" s="250" t="n">
        <f aca="false" t="array" ref="Y59:Y59">IFERROR( (MEDIAN((IF(DATOS_[[Sexo]:[Sexo]]=$B59,IF(DATOS_[[AGRUP. VALOR. PTO.]:[AGRUP. VALOR. PTO.]]=$B57,IF(DATOS_[[Check Periodo Ref.]:[Check Periodo Ref.]]="Dentro",IF(DATOS_[[Check Equiparado]:[Check Equiparado]]="Sí",IF(DATOS!AT$4="Sí",(1/DATOS_[[% anualiz]:[% anualiz]]),1)*IF(DATOS!AT$5="Sí",1/DATOS_[[% normaliz]:[% normaliz]],1)*(DATOS_[Conc.Sal.16])))))))), 0)</f>
        <v>0</v>
      </c>
      <c r="Z59" s="250" t="n">
        <f aca="false" t="array" ref="Z59:Z59">IFERROR( (MEDIAN((IF(DATOS_[[Sexo]:[Sexo]]=$B59,IF(DATOS_[[AGRUP. VALOR. PTO.]:[AGRUP. VALOR. PTO.]]=$B57,IF(DATOS_[[Check Periodo Ref.]:[Check Periodo Ref.]]="Dentro",IF(DATOS_[[Check Equiparado]:[Check Equiparado]]="Sí",IF(DATOS!AU$4="Sí",(1/DATOS_[[% anualiz]:[% anualiz]]),1)*IF(DATOS!AU$5="Sí",1/DATOS_[[% normaliz]:[% normaliz]],1)*(DATOS_[Conc.Sal.17])))))))), 0)</f>
        <v>0</v>
      </c>
      <c r="AA59" s="250" t="n">
        <f aca="false" t="array" ref="AA59:AA59">IFERROR( (MEDIAN((IF(DATOS_[[Sexo]:[Sexo]]=$B59,IF(DATOS_[[AGRUP. VALOR. PTO.]:[AGRUP. VALOR. PTO.]]=$B57,IF(DATOS_[[Check Periodo Ref.]:[Check Periodo Ref.]]="Dentro",IF(DATOS_[[Check Equiparado]:[Check Equiparado]]="Sí",IF(DATOS!AV$4="Sí",(1/DATOS_[[% anualiz]:[% anualiz]]),1)*IF(DATOS!AV$5="Sí",1/DATOS_[[% normaliz]:[% normaliz]],1)*(DATOS_[Conc.Sal.18])))))))), 0)</f>
        <v>0</v>
      </c>
      <c r="AB59" s="250" t="n">
        <f aca="false" t="array" ref="AB59:AB59">IFERROR( (MEDIAN((IF(DATOS_[[Sexo]:[Sexo]]=$B59,IF(DATOS_[[AGRUP. VALOR. PTO.]:[AGRUP. VALOR. PTO.]]=$B57,IF(DATOS_[[Check Periodo Ref.]:[Check Periodo Ref.]]="Dentro",IF(DATOS_[[Check Equiparado]:[Check Equiparado]]="Sí",IF(DATOS!AW$4="Sí",(1/DATOS_[[% anualiz]:[% anualiz]]),1)*IF(DATOS!AW$5="Sí",1/DATOS_[[% normaliz]:[% normaliz]],1)*(DATOS_[Conc.Sal.19])))))))), 0)</f>
        <v>0</v>
      </c>
      <c r="AC59" s="250" t="n">
        <f aca="false" t="array" ref="AC59:AC59">IFERROR( (MEDIAN((IF(DATOS_[[Sexo]:[Sexo]]=$B59,IF(DATOS_[[AGRUP. VALOR. PTO.]:[AGRUP. VALOR. PTO.]]=$B57,IF(DATOS_[[Check Periodo Ref.]:[Check Periodo Ref.]]="Dentro",IF(DATOS_[[Check Equiparado]:[Check Equiparado]]="Sí",IF(DATOS!AX$4="Sí",(1/DATOS_[[% anualiz]:[% anualiz]]),1)*IF(DATOS!AX$5="Sí",1/DATOS_[[% normaliz]:[% normaliz]],1)*(DATOS_[Conc.Sal.20])))))))), 0)</f>
        <v>0</v>
      </c>
      <c r="AD59" s="250" t="n">
        <f aca="false" t="array" ref="AD59:AD59">IFERROR( (MEDIAN((IF(DATOS_[[Sexo]:[Sexo]]=$B59,IF(DATOS_[[AGRUP. VALOR. PTO.]:[AGRUP. VALOR. PTO.]]=$B57,IF(DATOS_[[Check Periodo Ref.]:[Check Periodo Ref.]]="Dentro",IF(DATOS_[[Check Equiparado]:[Check Equiparado]]="Sí",IF(DATOS!AY$4="Sí",(1/DATOS_[[% anualiz]:[% anualiz]]),1)*IF(DATOS!AY$5="Sí",1/DATOS_[[% normaliz]:[% normaliz]],1)*(DATOS_[Conc.Sal.21])))))))), 0)</f>
        <v>0</v>
      </c>
      <c r="AE59" s="250" t="n">
        <f aca="false" t="array" ref="AE59:AE59">IFERROR( (MEDIAN((IF(DATOS_[[Sexo]:[Sexo]]=$B59,IF(DATOS_[[AGRUP. VALOR. PTO.]:[AGRUP. VALOR. PTO.]]=$B57,IF(DATOS_[[Check Periodo Ref.]:[Check Periodo Ref.]]="Dentro",IF(DATOS_[[Check Equiparado]:[Check Equiparado]]="Sí",IF(DATOS!AZ$4="Sí",(1/DATOS_[[% anualiz]:[% anualiz]]),1)*IF(DATOS!AZ$5="Sí",1/DATOS_[[% normaliz]:[% normaliz]],1)*(DATOS_[Conc.Sal.22])))))))), 0)</f>
        <v>0</v>
      </c>
      <c r="AF59" s="250" t="n">
        <f aca="false" t="array" ref="AF59:AF59">IFERROR( (MEDIAN((IF(DATOS_[[Sexo]:[Sexo]]=$B59,IF(DATOS_[[AGRUP. VALOR. PTO.]:[AGRUP. VALOR. PTO.]]=$B57,IF(DATOS_[[Check Periodo Ref.]:[Check Periodo Ref.]]="Dentro",IF(DATOS_[[Check Equiparado]:[Check Equiparado]]="Sí",IF(DATOS!BA$4="Sí",(1/DATOS_[[% anualiz]:[% anualiz]]),1)*IF(DATOS!BA$5="Sí",1/DATOS_[[% normaliz]:[% normaliz]],1)*(DATOS_[Conc.Sal.23])))))))), 0)</f>
        <v>0</v>
      </c>
      <c r="AG59" s="250" t="n">
        <f aca="false" t="array" ref="AG59:AG59">IFERROR( (MEDIAN((IF(DATOS_[[Sexo]:[Sexo]]=$B59,IF(DATOS_[[AGRUP. VALOR. PTO.]:[AGRUP. VALOR. PTO.]]=$B57,IF(DATOS_[[Check Periodo Ref.]:[Check Periodo Ref.]]="Dentro",IF(DATOS_[[Check Equiparado]:[Check Equiparado]]="Sí",IF(DATOS!BB$4="Sí",(1/DATOS_[[% anualiz]:[% anualiz]]),1)*IF(DATOS!BB$5="Sí",1/DATOS_[[% normaliz]:[% normaliz]],1)*(DATOS_[Conc.Sal.24])))))))), 0)</f>
        <v>0</v>
      </c>
      <c r="AH59" s="250" t="n">
        <f aca="false" t="array" ref="AH59:AH59">IFERROR( (MEDIAN((IF(DATOS_[[Sexo]:[Sexo]]=$B59,IF(DATOS_[[AGRUP. VALOR. PTO.]:[AGRUP. VALOR. PTO.]]=$B57,IF(DATOS_[[Check Periodo Ref.]:[Check Periodo Ref.]]="Dentro",IF(DATOS_[[Check Equiparado]:[Check Equiparado]]="Sí",IF(DATOS!BC$4="Sí",(1/DATOS_[[% anualiz]:[% anualiz]]),1)*IF(DATOS!BC$5="Sí",1/DATOS_[[% normaliz]:[% normaliz]],1)*(DATOS_[Conc.Sal.25])))))))), 0)</f>
        <v>0</v>
      </c>
      <c r="AI59" s="250" t="n">
        <f aca="false" t="array" ref="AI59:AI59">IFERROR( (MEDIAN((IF(DATOS_[[Sexo]:[Sexo]]=$B59,IF(DATOS_[[AGRUP. VALOR. PTO.]:[AGRUP. VALOR. PTO.]]=$B57,IF(DATOS_[[Check Periodo Ref.]:[Check Periodo Ref.]]="Dentro",IF(DATOS_[[Check Equiparado]:[Check Equiparado]]="Sí",IF(DATOS!BD$4="Sí",(1/DATOS_[[% anualiz]:[% anualiz]]),1)*IF(DATOS!BD$5="Sí",1/DATOS_[[% normaliz]:[% normaliz]],1)*(DATOS_[Conc.Sal.26])))))))), 0)</f>
        <v>0</v>
      </c>
      <c r="AJ59" s="250" t="n">
        <f aca="false" t="array" ref="AJ59:AJ59">IFERROR( (MEDIAN((IF(DATOS_[[Sexo]:[Sexo]]=$B59,IF(DATOS_[[AGRUP. VALOR. PTO.]:[AGRUP. VALOR. PTO.]]=$B57,IF(DATOS_[[Check Periodo Ref.]:[Check Periodo Ref.]]="Dentro",IF(DATOS_[[Check Equiparado]:[Check Equiparado]]="Sí",IF(DATOS!BE$4="Sí",(1/DATOS_[[% anualiz]:[% anualiz]]),1)*IF(DATOS!BE$5="Sí",1/DATOS_[[% normaliz]:[% normaliz]],1)*(DATOS_[Conc.Sal.27])))))))), 0)</f>
        <v>0</v>
      </c>
      <c r="AK59" s="250" t="n">
        <f aca="false" t="array" ref="AK59:AK59">IFERROR( (MEDIAN((IF(DATOS_[[Sexo]:[Sexo]]=$B59,IF(DATOS_[[AGRUP. VALOR. PTO.]:[AGRUP. VALOR. PTO.]]=$B57,IF(DATOS_[[Check Periodo Ref.]:[Check Periodo Ref.]]="Dentro",IF(DATOS_[[Check Equiparado]:[Check Equiparado]]="Sí",IF(DATOS!BF$4="Sí",(1/DATOS_[[% anualiz]:[% anualiz]]),1)*IF(DATOS!BF$5="Sí",1/DATOS_[[% normaliz]:[% normaliz]],1)*(DATOS_[Conc.Sal.28])))))))), 0)</f>
        <v>0</v>
      </c>
      <c r="AL59" s="250" t="n">
        <f aca="false" t="array" ref="AL59:AL59">IFERROR( (MEDIAN((IF(DATOS_[[Sexo]:[Sexo]]=$B59,IF(DATOS_[[AGRUP. VALOR. PTO.]:[AGRUP. VALOR. PTO.]]=$B57,IF(DATOS_[[Check Periodo Ref.]:[Check Periodo Ref.]]="Dentro",IF(DATOS_[[Check Equiparado]:[Check Equiparado]]="Sí",IF(DATOS!BG$4="Sí",(1/DATOS_[[% anualiz]:[% anualiz]]),1)*IF(DATOS!BG$5="Sí",1/DATOS_[[% normaliz]:[% normaliz]],1)*(DATOS_[Conc.Sal.29])))))))), 0)</f>
        <v>0</v>
      </c>
      <c r="AM59" s="250" t="n">
        <f aca="false" t="array" ref="AM59:AM59">IFERROR( (MEDIAN((IF(DATOS_[[Sexo]:[Sexo]]=$B59,IF(DATOS_[[AGRUP. VALOR. PTO.]:[AGRUP. VALOR. PTO.]]=$B57,IF(DATOS_[[Check Periodo Ref.]:[Check Periodo Ref.]]="Dentro",IF(DATOS_[[Check Equiparado]:[Check Equiparado]]="Sí",IF(DATOS!BH$4="Sí",(1/DATOS_[[% anualiz]:[% anualiz]]),1)*IF(DATOS!BH$5="Sí",1/DATOS_[[% normaliz]:[% normaliz]],1)*(DATOS_[Conc.Sal.30])))))))), 0)</f>
        <v>0</v>
      </c>
      <c r="AN59" s="251" t="n">
        <f aca="false" t="array" ref="AN59:AN59">IFERROR( MEDIAN(IF(DATOS_[Sexo]=$B59,IF(DATOS_[[AGRUP. VALOR. PTO.]:[AGRUP. VALOR. PTO.]]=$B57,IF(DATOS_[Check Equiparado]="Sí",IF(DATOS_[Check Periodo Ref.]="Dentro",DATOS_[Tot COMPL.SAL Eq],0))))), 0)</f>
        <v>0</v>
      </c>
      <c r="AO59" s="252" t="n">
        <f aca="false" t="array" ref="AO59:AO59">IFERROR( MEDIAN(IF(DATOS_[Sexo]=$B59,IF(DATOS_[[AGRUP. VALOR. PTO.]:[AGRUP. VALOR. PTO.]]=$B57,IF(DATOS_[Check Equiparado]="Sí",IF(DATOS_[Check Periodo Ref.]="Dentro",DATOS_[TOTAL SALARIO Eq],0))))), 0)</f>
        <v>0</v>
      </c>
      <c r="AP59" s="259" t="n">
        <f aca="false" t="array" ref="AP59:AP59">IFERROR( (MEDIAN((IF(DATOS_[[Sexo]:[Sexo]]=$B59,IF(DATOS_[[AGRUP. VALOR. PTO.]:[AGRUP. VALOR. PTO.]]=$B58,IF(DATOS_[[Check Periodo Ref.]:[Check Periodo Ref.]]="Dentro",IF(DATOS_[[Check Equiparado]:[Check Equiparado]]="Sí",IF(DATOS!BI$4="Sí",(1/DATOS_[[% anualiz]:[% anualiz]]),1)*IF(DATOS!BI$5="Sí",1/DATOS_[[% normaliz]:[% normaliz]],1)*(DATOS_[C.Extra.01])))))))), 0)</f>
        <v>0</v>
      </c>
      <c r="AQ59" s="259" t="n">
        <f aca="false" t="array" ref="AQ59:AQ59">IFERROR( (MEDIAN((IF(DATOS_[[Sexo]:[Sexo]]=$B59,IF(DATOS_[[AGRUP. VALOR. PTO.]:[AGRUP. VALOR. PTO.]]=$B58,IF(DATOS_[[Check Periodo Ref.]:[Check Periodo Ref.]]="Dentro",IF(DATOS_[[Check Equiparado]:[Check Equiparado]]="Sí",IF(DATOS!BJ$4="Sí",(1/DATOS_[[% anualiz]:[% anualiz]]),1)*IF(DATOS!BJ$5="Sí",1/DATOS_[[% normaliz]:[% normaliz]],1)*(DATOS_[C.Extra.02])))))))), 0)</f>
        <v>0</v>
      </c>
      <c r="AR59" s="259" t="n">
        <f aca="false" t="array" ref="AR59:AR59">IFERROR( (MEDIAN((IF(DATOS_[[Sexo]:[Sexo]]=$B59,IF(DATOS_[[AGRUP. VALOR. PTO.]:[AGRUP. VALOR. PTO.]]=$B58,IF(DATOS_[[Check Periodo Ref.]:[Check Periodo Ref.]]="Dentro",IF(DATOS_[[Check Equiparado]:[Check Equiparado]]="Sí",IF(DATOS!BK$4="Sí",(1/DATOS_[[% anualiz]:[% anualiz]]),1)*IF(DATOS!BK$5="Sí",1/DATOS_[[% normaliz]:[% normaliz]],1)*(DATOS_[C.Extra.03])))))))), 0)</f>
        <v>0</v>
      </c>
      <c r="AS59" s="259" t="n">
        <f aca="false" t="array" ref="AS59:AS59">IFERROR( (MEDIAN((IF(DATOS_[[Sexo]:[Sexo]]=$B59,IF(DATOS_[[AGRUP. VALOR. PTO.]:[AGRUP. VALOR. PTO.]]=$B58,IF(DATOS_[[Check Periodo Ref.]:[Check Periodo Ref.]]="Dentro",IF(DATOS_[[Check Equiparado]:[Check Equiparado]]="Sí",IF(DATOS!BL$4="Sí",(1/DATOS_[[% anualiz]:[% anualiz]]),1)*IF(DATOS!BL$5="Sí",1/DATOS_[[% normaliz]:[% normaliz]],1)*(DATOS_[C.Extra.04])))))))), 0)</f>
        <v>0</v>
      </c>
      <c r="AT59" s="259" t="n">
        <f aca="false" t="array" ref="AT59:AT59">IFERROR( (MEDIAN((IF(DATOS_[[Sexo]:[Sexo]]=$B59,IF(DATOS_[[AGRUP. VALOR. PTO.]:[AGRUP. VALOR. PTO.]]=$B58,IF(DATOS_[[Check Periodo Ref.]:[Check Periodo Ref.]]="Dentro",IF(DATOS_[[Check Equiparado]:[Check Equiparado]]="Sí",IF(DATOS!BM$4="Sí",(1/DATOS_[[% anualiz]:[% anualiz]]),1)*IF(DATOS!BM$5="Sí",1/DATOS_[[% normaliz]:[% normaliz]],1)*(DATOS_[C.Extra.05])))))))), 0)</f>
        <v>0</v>
      </c>
      <c r="AU59" s="254" t="n">
        <f aca="false" t="array" ref="AU59:AU59">IFERROR( MEDIAN(IF(DATOS_[Sexo]=$B59,IF(DATOS_[[AGRUP. VALOR. PTO.]:[AGRUP. VALOR. PTO.]]=$B57,IF(DATOS_[Check Equiparado]="Sí",IF(DATOS_[Check Periodo Ref.]="Dentro",DATOS_[Tot Extrasalarial Eq],0))))), 0)</f>
        <v>0</v>
      </c>
      <c r="AV59" s="255" t="n">
        <f aca="false" t="array" ref="AV59:AV59">IFERROR( MEDIAN(IF(DATOS_[Sexo]=$B59,IF(DATOS_[[AGRUP. VALOR. PTO.]:[AGRUP. VALOR. PTO.]]=$B57,IF(DATOS_[Check Equiparado]="Sí",IF(DATOS_[Check Periodo Ref.]="Dentro",DATOS_[TOTAL Retrib Eq],0))))), 0)</f>
        <v>0</v>
      </c>
    </row>
    <row r="60" customFormat="false" ht="15.75" hidden="false" customHeight="false" outlineLevel="0" collapsed="false">
      <c r="A60" s="217" t="str">
        <f aca="false">+A61</f>
        <v>[ocultar]</v>
      </c>
      <c r="B60" s="320" t="s">
        <v>214</v>
      </c>
      <c r="C60" s="236"/>
      <c r="D60" s="237"/>
      <c r="E60" s="237"/>
      <c r="F60" s="237"/>
      <c r="G60" s="237"/>
      <c r="H60" s="237"/>
      <c r="I60" s="238" t="str">
        <f aca="false">IFERROR((I61-I62)/I61,"")</f>
        <v/>
      </c>
      <c r="J60" s="239" t="str">
        <f aca="false">IFERROR((J61-J62)/J61,"")</f>
        <v/>
      </c>
      <c r="K60" s="239" t="str">
        <f aca="false">IFERROR((K61-K62)/K61,"")</f>
        <v/>
      </c>
      <c r="L60" s="239" t="str">
        <f aca="false">IFERROR((L61-L62)/L61,"")</f>
        <v/>
      </c>
      <c r="M60" s="239" t="str">
        <f aca="false">IFERROR((M61-M62)/M61,"")</f>
        <v/>
      </c>
      <c r="N60" s="239" t="str">
        <f aca="false">IFERROR((N61-N62)/N61,"")</f>
        <v/>
      </c>
      <c r="O60" s="239" t="str">
        <f aca="false">IFERROR((O61-O62)/O61,"")</f>
        <v/>
      </c>
      <c r="P60" s="239" t="str">
        <f aca="false">IFERROR((P61-P62)/P61,"")</f>
        <v/>
      </c>
      <c r="Q60" s="239" t="str">
        <f aca="false">IFERROR((Q61-Q62)/Q61,"")</f>
        <v/>
      </c>
      <c r="R60" s="239" t="str">
        <f aca="false">IFERROR((R61-R62)/R61,"")</f>
        <v/>
      </c>
      <c r="S60" s="239" t="str">
        <f aca="false">IFERROR((S61-S62)/S61,"")</f>
        <v/>
      </c>
      <c r="T60" s="239" t="str">
        <f aca="false">IFERROR((T61-T62)/T61,"")</f>
        <v/>
      </c>
      <c r="U60" s="239" t="str">
        <f aca="false">IFERROR((U61-U62)/U61,"")</f>
        <v/>
      </c>
      <c r="V60" s="239" t="str">
        <f aca="false">IFERROR((V61-V62)/V61,"")</f>
        <v/>
      </c>
      <c r="W60" s="239" t="str">
        <f aca="false">IFERROR((W61-W62)/W61,"")</f>
        <v/>
      </c>
      <c r="X60" s="239" t="str">
        <f aca="false">IFERROR((X61-X62)/X61,"")</f>
        <v/>
      </c>
      <c r="Y60" s="239" t="str">
        <f aca="false">IFERROR((Y61-Y62)/Y61,"")</f>
        <v/>
      </c>
      <c r="Z60" s="240" t="str">
        <f aca="false">IFERROR((Z61-Z62)/Z61,"")</f>
        <v/>
      </c>
      <c r="AA60" s="240" t="str">
        <f aca="false">IFERROR((AA61-AA62)/AA61,"")</f>
        <v/>
      </c>
      <c r="AB60" s="240" t="str">
        <f aca="false">IFERROR((AB61-AB62)/AB61,"")</f>
        <v/>
      </c>
      <c r="AC60" s="240" t="str">
        <f aca="false">IFERROR((AC61-AC62)/AC61,"")</f>
        <v/>
      </c>
      <c r="AD60" s="240" t="str">
        <f aca="false">IFERROR((AD61-AD62)/AD61,"")</f>
        <v/>
      </c>
      <c r="AE60" s="240" t="str">
        <f aca="false">IFERROR((AE61-AE62)/AE61,"")</f>
        <v/>
      </c>
      <c r="AF60" s="240" t="str">
        <f aca="false">IFERROR((AF61-AF62)/AF61,"")</f>
        <v/>
      </c>
      <c r="AG60" s="240" t="str">
        <f aca="false">IFERROR((AG61-AG62)/AG61,"")</f>
        <v/>
      </c>
      <c r="AH60" s="240" t="str">
        <f aca="false">IFERROR((AH61-AH62)/AH61,"")</f>
        <v/>
      </c>
      <c r="AI60" s="240" t="str">
        <f aca="false">IFERROR((AI61-AI62)/AI61,"")</f>
        <v/>
      </c>
      <c r="AJ60" s="240" t="str">
        <f aca="false">IFERROR((AJ61-AJ62)/AJ61,"")</f>
        <v/>
      </c>
      <c r="AK60" s="240" t="str">
        <f aca="false">IFERROR((AK61-AK62)/AK61,"")</f>
        <v/>
      </c>
      <c r="AL60" s="240" t="str">
        <f aca="false">IFERROR((AL61-AL62)/AL61,"")</f>
        <v/>
      </c>
      <c r="AM60" s="240" t="str">
        <f aca="false">IFERROR((AM61-AM62)/AM61,"")</f>
        <v/>
      </c>
      <c r="AN60" s="241" t="str">
        <f aca="false">IFERROR((AN61-AN62)/AN61,"")</f>
        <v/>
      </c>
      <c r="AO60" s="242" t="str">
        <f aca="false">IFERROR((AO61-AO62)/AO61,"")</f>
        <v/>
      </c>
      <c r="AP60" s="243" t="str">
        <f aca="false">IFERROR((AP61-AP62)/AP61,"")</f>
        <v/>
      </c>
      <c r="AQ60" s="243" t="str">
        <f aca="false">IFERROR((AQ61-AQ62)/AQ61,"")</f>
        <v/>
      </c>
      <c r="AR60" s="243" t="str">
        <f aca="false">IFERROR((AR61-AR62)/AR61,"")</f>
        <v/>
      </c>
      <c r="AS60" s="243" t="str">
        <f aca="false">IFERROR((AS61-AS62)/AS61,"")</f>
        <v/>
      </c>
      <c r="AT60" s="243" t="str">
        <f aca="false">IFERROR((AT61-AT62)/AT61,"")</f>
        <v/>
      </c>
      <c r="AU60" s="244" t="str">
        <f aca="false">IFERROR((AU61-AU62)/AU61,"")</f>
        <v/>
      </c>
      <c r="AV60" s="245" t="str">
        <f aca="false">IFERROR((AV61-AV62)/AV61,"")</f>
        <v/>
      </c>
    </row>
    <row r="61" customFormat="false" ht="14.25" hidden="false" customHeight="false" outlineLevel="0" collapsed="false">
      <c r="A61" s="217" t="str">
        <f aca="false">+IF(C61+C62=0,"[ocultar]","")</f>
        <v>[ocultar]</v>
      </c>
      <c r="B61" s="323" t="s">
        <v>371</v>
      </c>
      <c r="C61" s="247" t="n">
        <f aca="false" t="array" ref="C61:C61">SUM(IF($B61=DATOS_[Sexo], IF($B60=DATOS_[AGRUP. VALOR. PTO.], IF("Dentro"=DATOS_[Check Periodo Ref.], 1/(COUNTIFS(DATOS_[Sexo],$B61,DATOS_[AGRUP. VALOR. PTO.],$B60,DATOS_[Check Periodo Ref.],"Dentro",DATOS_[id],DATOS_[id]))))))</f>
        <v>0</v>
      </c>
      <c r="D61" s="248" t="n">
        <f aca="false">COUNTIFS(DATOS_[AGRUP. VALOR. PTO.],$B60,DATOS_[Sexo],$B61,DATOS_[Check Periodo Ref.],"Dentro")</f>
        <v>0</v>
      </c>
      <c r="E61" s="248" t="n">
        <f aca="false">COUNTIFS(DATOS_[AGRUP. VALOR. PTO.],$B60,DATOS_[Sexo],$B61,DATOS_[Check Periodo Ref.],"Dentro",DATOS_[Check Nº SC Norm],"Sí")</f>
        <v>0</v>
      </c>
      <c r="F61" s="248" t="n">
        <f aca="false">COUNTIFS(DATOS_[AGRUP. VALOR. PTO.],$B60,DATOS_[Sexo],$B61,DATOS_[Check Periodo Ref.],"Dentro",DATOS_[Check Nº SC Anualiz],"Sí")</f>
        <v>0</v>
      </c>
      <c r="G61" s="248" t="n">
        <f aca="false">COUNTIFS(DATOS_[AGRUP. VALOR. PTO.],$B60,DATOS_[Sexo],$B61,DATOS_[Check Periodo Ref.],"Dentro",DATOS_[Check Nº SC Norm y Anualiz],"Sí")</f>
        <v>0</v>
      </c>
      <c r="H61" s="248" t="n">
        <f aca="false">COUNTIFS(DATOS_[AGRUP. VALOR. PTO.],$B60,DATOS_[Sexo],$B61,DATOS_[Check Periodo Ref.],"Dentro",DATOS_[Check Equiparación],"Sí")</f>
        <v>0</v>
      </c>
      <c r="I61" s="249" t="n">
        <f aca="false" t="array" ref="I61:I61">IFERROR( MEDIAN(IF(DATOS_[Sexo]=$B61,IF(DATOS_[[AGRUP. VALOR. PTO.]:[AGRUP. VALOR. PTO.]]=$B60,IF(DATOS_[Check Equiparado]="Sí",IF(DATOS_[Check Periodo Ref.]="Dentro",DATOS_[SALARIO BASE Eq],0))))), 0)</f>
        <v>0</v>
      </c>
      <c r="J61" s="250" t="n">
        <f aca="false" t="array" ref="J61:J61">IFERROR( (MEDIAN((IF(DATOS_[[Sexo]:[Sexo]]=$B61,IF(DATOS_[[AGRUP. VALOR. PTO.]:[AGRUP. VALOR. PTO.]]=$B60,IF(DATOS_[[Check Periodo Ref.]:[Check Periodo Ref.]]="Dentro",IF(DATOS_[[Check Equiparado]:[Check Equiparado]]="Sí",IF(DATOS!AE$4="Sí",(1/DATOS_[[% anualiz]:[% anualiz]]),1)*IF(DATOS!AE$5="Sí",1/DATOS_[[% normaliz]:[% normaliz]],1)*(DATOS_[Conc.Sal.01])))))))), 0)</f>
        <v>0</v>
      </c>
      <c r="K61" s="250" t="n">
        <f aca="false" t="array" ref="K61:K61">IFERROR( (MEDIAN((IF(DATOS_[[Sexo]:[Sexo]]=$B61,IF(DATOS_[[AGRUP. VALOR. PTO.]:[AGRUP. VALOR. PTO.]]=$B60,IF(DATOS_[[Check Periodo Ref.]:[Check Periodo Ref.]]="Dentro",IF(DATOS_[[Check Equiparado]:[Check Equiparado]]="Sí",IF(DATOS!AF$4="Sí",(1/DATOS_[[% anualiz]:[% anualiz]]),1)*IF(DATOS!AF$5="Sí",1/DATOS_[[% normaliz]:[% normaliz]],1)*(DATOS_[Conc.Sal.02])))))))), 0)</f>
        <v>0</v>
      </c>
      <c r="L61" s="250" t="n">
        <f aca="false" t="array" ref="L61:L61">IFERROR( (MEDIAN((IF(DATOS_[[Sexo]:[Sexo]]=$B61,IF(DATOS_[[AGRUP. VALOR. PTO.]:[AGRUP. VALOR. PTO.]]=$B60,IF(DATOS_[[Check Periodo Ref.]:[Check Periodo Ref.]]="Dentro",IF(DATOS_[[Check Equiparado]:[Check Equiparado]]="Sí",IF(DATOS!AG$4="Sí",(1/DATOS_[[% anualiz]:[% anualiz]]),1)*IF(DATOS!AG$5="Sí",1/DATOS_[[% normaliz]:[% normaliz]],1)*(DATOS_[Conc.Sal.03])))))))), 0)</f>
        <v>0</v>
      </c>
      <c r="M61" s="250" t="n">
        <f aca="false" t="array" ref="M61:M61">IFERROR( (MEDIAN((IF(DATOS_[[Sexo]:[Sexo]]=$B61,IF(DATOS_[[AGRUP. VALOR. PTO.]:[AGRUP. VALOR. PTO.]]=$B60,IF(DATOS_[[Check Periodo Ref.]:[Check Periodo Ref.]]="Dentro",IF(DATOS_[[Check Equiparado]:[Check Equiparado]]="Sí",IF(DATOS!AH$4="Sí",(1/DATOS_[[% anualiz]:[% anualiz]]),1)*IF(DATOS!AH$5="Sí",1/DATOS_[[% normaliz]:[% normaliz]],1)*(DATOS_[Conc.Sal.04])))))))), 0)</f>
        <v>0</v>
      </c>
      <c r="N61" s="250" t="n">
        <f aca="false" t="array" ref="N61:N61">IFERROR( (MEDIAN((IF(DATOS_[[Sexo]:[Sexo]]=$B61,IF(DATOS_[[AGRUP. VALOR. PTO.]:[AGRUP. VALOR. PTO.]]=$B60,IF(DATOS_[[Check Periodo Ref.]:[Check Periodo Ref.]]="Dentro",IF(DATOS_[[Check Equiparado]:[Check Equiparado]]="Sí",IF(DATOS!AI$4="Sí",(1/DATOS_[[% anualiz]:[% anualiz]]),1)*IF(DATOS!AI$5="Sí",1/DATOS_[[% normaliz]:[% normaliz]],1)*(DATOS_[Conc.Sal.05])))))))), 0)</f>
        <v>0</v>
      </c>
      <c r="O61" s="250" t="n">
        <f aca="false" t="array" ref="O61:O61">IFERROR( (MEDIAN((IF(DATOS_[[Sexo]:[Sexo]]=$B61,IF(DATOS_[[AGRUP. VALOR. PTO.]:[AGRUP. VALOR. PTO.]]=$B60,IF(DATOS_[[Check Periodo Ref.]:[Check Periodo Ref.]]="Dentro",IF(DATOS_[[Check Equiparado]:[Check Equiparado]]="Sí",IF(DATOS!AJ$4="Sí",(1/DATOS_[[% anualiz]:[% anualiz]]),1)*IF(DATOS!AJ$5="Sí",1/DATOS_[[% normaliz]:[% normaliz]],1)*(DATOS_[Conc.Sal.06])))))))), 0)</f>
        <v>0</v>
      </c>
      <c r="P61" s="250" t="n">
        <f aca="false" t="array" ref="P61:P61">IFERROR( (MEDIAN((IF(DATOS_[[Sexo]:[Sexo]]=$B61,IF(DATOS_[[AGRUP. VALOR. PTO.]:[AGRUP. VALOR. PTO.]]=$B60,IF(DATOS_[[Check Periodo Ref.]:[Check Periodo Ref.]]="Dentro",IF(DATOS_[[Check Equiparado]:[Check Equiparado]]="Sí",IF(DATOS!AK$4="Sí",(1/DATOS_[[% anualiz]:[% anualiz]]),1)*IF(DATOS!AK$5="Sí",1/DATOS_[[% normaliz]:[% normaliz]],1)*(DATOS_[Conc.Sal.07])))))))), 0)</f>
        <v>0</v>
      </c>
      <c r="Q61" s="250" t="n">
        <f aca="false" t="array" ref="Q61:Q61">IFERROR( (MEDIAN((IF(DATOS_[[Sexo]:[Sexo]]=$B61,IF(DATOS_[[AGRUP. VALOR. PTO.]:[AGRUP. VALOR. PTO.]]=$B60,IF(DATOS_[[Check Periodo Ref.]:[Check Periodo Ref.]]="Dentro",IF(DATOS_[[Check Equiparado]:[Check Equiparado]]="Sí",IF(DATOS!AL$4="Sí",(1/DATOS_[[% anualiz]:[% anualiz]]),1)*IF(DATOS!AL$5="Sí",1/DATOS_[[% normaliz]:[% normaliz]],1)*(DATOS_[Conc.Sal.08])))))))), 0)</f>
        <v>0</v>
      </c>
      <c r="R61" s="250" t="n">
        <f aca="false" t="array" ref="R61:R61">IFERROR( (MEDIAN((IF(DATOS_[[Sexo]:[Sexo]]=$B61,IF(DATOS_[[AGRUP. VALOR. PTO.]:[AGRUP. VALOR. PTO.]]=$B60,IF(DATOS_[[Check Periodo Ref.]:[Check Periodo Ref.]]="Dentro",IF(DATOS_[[Check Equiparado]:[Check Equiparado]]="Sí",IF(DATOS!AM$4="Sí",(1/DATOS_[[% anualiz]:[% anualiz]]),1)*IF(DATOS!AM$5="Sí",1/DATOS_[[% normaliz]:[% normaliz]],1)*(DATOS_[Conc.Sal.09])))))))), 0)</f>
        <v>0</v>
      </c>
      <c r="S61" s="250" t="n">
        <f aca="false" t="array" ref="S61:S61">IFERROR( (MEDIAN((IF(DATOS_[[Sexo]:[Sexo]]=$B61,IF(DATOS_[[AGRUP. VALOR. PTO.]:[AGRUP. VALOR. PTO.]]=$B60,IF(DATOS_[[Check Periodo Ref.]:[Check Periodo Ref.]]="Dentro",IF(DATOS_[[Check Equiparado]:[Check Equiparado]]="Sí",IF(DATOS!AN$4="Sí",(1/DATOS_[[% anualiz]:[% anualiz]]),1)*IF(DATOS!AN$5="Sí",1/DATOS_[[% normaliz]:[% normaliz]],1)*(DATOS_[Conc.Sal.10])))))))), 0)</f>
        <v>0</v>
      </c>
      <c r="T61" s="250" t="n">
        <f aca="false" t="array" ref="T61:T61">IFERROR( (MEDIAN((IF(DATOS_[[Sexo]:[Sexo]]=$B61,IF(DATOS_[[AGRUP. VALOR. PTO.]:[AGRUP. VALOR. PTO.]]=$B60,IF(DATOS_[[Check Periodo Ref.]:[Check Periodo Ref.]]="Dentro",IF(DATOS_[[Check Equiparado]:[Check Equiparado]]="Sí",IF(DATOS!AO$4="Sí",(1/DATOS_[[% anualiz]:[% anualiz]]),1)*IF(DATOS!AO$5="Sí",1/DATOS_[[% normaliz]:[% normaliz]],1)*(DATOS_[Conc.Sal.11])))))))), 0)</f>
        <v>0</v>
      </c>
      <c r="U61" s="250" t="n">
        <f aca="false" t="array" ref="U61:U61">IFERROR( (MEDIAN((IF(DATOS_[[Sexo]:[Sexo]]=$B61,IF(DATOS_[[AGRUP. VALOR. PTO.]:[AGRUP. VALOR. PTO.]]=$B60,IF(DATOS_[[Check Periodo Ref.]:[Check Periodo Ref.]]="Dentro",IF(DATOS_[[Check Equiparado]:[Check Equiparado]]="Sí",IF(DATOS!AP$4="Sí",(1/DATOS_[[% anualiz]:[% anualiz]]),1)*IF(DATOS!AP$5="Sí",1/DATOS_[[% normaliz]:[% normaliz]],1)*(DATOS_[Conc.Sal.12])))))))), 0)</f>
        <v>0</v>
      </c>
      <c r="V61" s="250" t="n">
        <f aca="false" t="array" ref="V61:V61">IFERROR( (MEDIAN((IF(DATOS_[[Sexo]:[Sexo]]=$B61,IF(DATOS_[[AGRUP. VALOR. PTO.]:[AGRUP. VALOR. PTO.]]=$B60,IF(DATOS_[[Check Periodo Ref.]:[Check Periodo Ref.]]="Dentro",IF(DATOS_[[Check Equiparado]:[Check Equiparado]]="Sí",IF(DATOS!AQ$4="Sí",(1/DATOS_[[% anualiz]:[% anualiz]]),1)*IF(DATOS!AQ$5="Sí",1/DATOS_[[% normaliz]:[% normaliz]],1)*(DATOS_[Conc.Sal.13])))))))), 0)</f>
        <v>0</v>
      </c>
      <c r="W61" s="250" t="n">
        <f aca="false" t="array" ref="W61:W61">IFERROR( (MEDIAN((IF(DATOS_[[Sexo]:[Sexo]]=$B61,IF(DATOS_[[AGRUP. VALOR. PTO.]:[AGRUP. VALOR. PTO.]]=$B60,IF(DATOS_[[Check Periodo Ref.]:[Check Periodo Ref.]]="Dentro",IF(DATOS_[[Check Equiparado]:[Check Equiparado]]="Sí",IF(DATOS!AR$4="Sí",(1/DATOS_[[% anualiz]:[% anualiz]]),1)*IF(DATOS!AR$5="Sí",1/DATOS_[[% normaliz]:[% normaliz]],1)*(DATOS_[Conc.Sal.14])))))))), 0)</f>
        <v>0</v>
      </c>
      <c r="X61" s="250" t="n">
        <f aca="false" t="array" ref="X61:X61">IFERROR( (MEDIAN((IF(DATOS_[[Sexo]:[Sexo]]=$B61,IF(DATOS_[[AGRUP. VALOR. PTO.]:[AGRUP. VALOR. PTO.]]=$B60,IF(DATOS_[[Check Periodo Ref.]:[Check Periodo Ref.]]="Dentro",IF(DATOS_[[Check Equiparado]:[Check Equiparado]]="Sí",IF(DATOS!AS$4="Sí",(1/DATOS_[[% anualiz]:[% anualiz]]),1)*IF(DATOS!AS$5="Sí",1/DATOS_[[% normaliz]:[% normaliz]],1)*(DATOS_[Conc.Sal.15])))))))), 0)</f>
        <v>0</v>
      </c>
      <c r="Y61" s="250" t="n">
        <f aca="false" t="array" ref="Y61:Y61">IFERROR( (MEDIAN((IF(DATOS_[[Sexo]:[Sexo]]=$B61,IF(DATOS_[[AGRUP. VALOR. PTO.]:[AGRUP. VALOR. PTO.]]=$B60,IF(DATOS_[[Check Periodo Ref.]:[Check Periodo Ref.]]="Dentro",IF(DATOS_[[Check Equiparado]:[Check Equiparado]]="Sí",IF(DATOS!AT$4="Sí",(1/DATOS_[[% anualiz]:[% anualiz]]),1)*IF(DATOS!AT$5="Sí",1/DATOS_[[% normaliz]:[% normaliz]],1)*(DATOS_[Conc.Sal.16])))))))), 0)</f>
        <v>0</v>
      </c>
      <c r="Z61" s="250" t="n">
        <f aca="false" t="array" ref="Z61:Z61">IFERROR( (MEDIAN((IF(DATOS_[[Sexo]:[Sexo]]=$B61,IF(DATOS_[[AGRUP. VALOR. PTO.]:[AGRUP. VALOR. PTO.]]=$B60,IF(DATOS_[[Check Periodo Ref.]:[Check Periodo Ref.]]="Dentro",IF(DATOS_[[Check Equiparado]:[Check Equiparado]]="Sí",IF(DATOS!AU$4="Sí",(1/DATOS_[[% anualiz]:[% anualiz]]),1)*IF(DATOS!AU$5="Sí",1/DATOS_[[% normaliz]:[% normaliz]],1)*(DATOS_[Conc.Sal.17])))))))), 0)</f>
        <v>0</v>
      </c>
      <c r="AA61" s="250" t="n">
        <f aca="false" t="array" ref="AA61:AA61">IFERROR( (MEDIAN((IF(DATOS_[[Sexo]:[Sexo]]=$B61,IF(DATOS_[[AGRUP. VALOR. PTO.]:[AGRUP. VALOR. PTO.]]=$B60,IF(DATOS_[[Check Periodo Ref.]:[Check Periodo Ref.]]="Dentro",IF(DATOS_[[Check Equiparado]:[Check Equiparado]]="Sí",IF(DATOS!AV$4="Sí",(1/DATOS_[[% anualiz]:[% anualiz]]),1)*IF(DATOS!AV$5="Sí",1/DATOS_[[% normaliz]:[% normaliz]],1)*(DATOS_[Conc.Sal.18])))))))), 0)</f>
        <v>0</v>
      </c>
      <c r="AB61" s="250" t="n">
        <f aca="false" t="array" ref="AB61:AB61">IFERROR( (MEDIAN((IF(DATOS_[[Sexo]:[Sexo]]=$B61,IF(DATOS_[[AGRUP. VALOR. PTO.]:[AGRUP. VALOR. PTO.]]=$B60,IF(DATOS_[[Check Periodo Ref.]:[Check Periodo Ref.]]="Dentro",IF(DATOS_[[Check Equiparado]:[Check Equiparado]]="Sí",IF(DATOS!AW$4="Sí",(1/DATOS_[[% anualiz]:[% anualiz]]),1)*IF(DATOS!AW$5="Sí",1/DATOS_[[% normaliz]:[% normaliz]],1)*(DATOS_[Conc.Sal.19])))))))), 0)</f>
        <v>0</v>
      </c>
      <c r="AC61" s="250" t="n">
        <f aca="false" t="array" ref="AC61:AC61">IFERROR( (MEDIAN((IF(DATOS_[[Sexo]:[Sexo]]=$B61,IF(DATOS_[[AGRUP. VALOR. PTO.]:[AGRUP. VALOR. PTO.]]=$B60,IF(DATOS_[[Check Periodo Ref.]:[Check Periodo Ref.]]="Dentro",IF(DATOS_[[Check Equiparado]:[Check Equiparado]]="Sí",IF(DATOS!AX$4="Sí",(1/DATOS_[[% anualiz]:[% anualiz]]),1)*IF(DATOS!AX$5="Sí",1/DATOS_[[% normaliz]:[% normaliz]],1)*(DATOS_[Conc.Sal.20])))))))), 0)</f>
        <v>0</v>
      </c>
      <c r="AD61" s="250" t="n">
        <f aca="false" t="array" ref="AD61:AD61">IFERROR( (MEDIAN((IF(DATOS_[[Sexo]:[Sexo]]=$B61,IF(DATOS_[[AGRUP. VALOR. PTO.]:[AGRUP. VALOR. PTO.]]=$B60,IF(DATOS_[[Check Periodo Ref.]:[Check Periodo Ref.]]="Dentro",IF(DATOS_[[Check Equiparado]:[Check Equiparado]]="Sí",IF(DATOS!AY$4="Sí",(1/DATOS_[[% anualiz]:[% anualiz]]),1)*IF(DATOS!AY$5="Sí",1/DATOS_[[% normaliz]:[% normaliz]],1)*(DATOS_[Conc.Sal.21])))))))), 0)</f>
        <v>0</v>
      </c>
      <c r="AE61" s="250" t="n">
        <f aca="false" t="array" ref="AE61:AE61">IFERROR( (MEDIAN((IF(DATOS_[[Sexo]:[Sexo]]=$B61,IF(DATOS_[[AGRUP. VALOR. PTO.]:[AGRUP. VALOR. PTO.]]=$B60,IF(DATOS_[[Check Periodo Ref.]:[Check Periodo Ref.]]="Dentro",IF(DATOS_[[Check Equiparado]:[Check Equiparado]]="Sí",IF(DATOS!AZ$4="Sí",(1/DATOS_[[% anualiz]:[% anualiz]]),1)*IF(DATOS!AZ$5="Sí",1/DATOS_[[% normaliz]:[% normaliz]],1)*(DATOS_[Conc.Sal.22])))))))), 0)</f>
        <v>0</v>
      </c>
      <c r="AF61" s="250" t="n">
        <f aca="false" t="array" ref="AF61:AF61">IFERROR( (MEDIAN((IF(DATOS_[[Sexo]:[Sexo]]=$B61,IF(DATOS_[[AGRUP. VALOR. PTO.]:[AGRUP. VALOR. PTO.]]=$B60,IF(DATOS_[[Check Periodo Ref.]:[Check Periodo Ref.]]="Dentro",IF(DATOS_[[Check Equiparado]:[Check Equiparado]]="Sí",IF(DATOS!BA$4="Sí",(1/DATOS_[[% anualiz]:[% anualiz]]),1)*IF(DATOS!BA$5="Sí",1/DATOS_[[% normaliz]:[% normaliz]],1)*(DATOS_[Conc.Sal.23])))))))), 0)</f>
        <v>0</v>
      </c>
      <c r="AG61" s="250" t="n">
        <f aca="false" t="array" ref="AG61:AG61">IFERROR( (MEDIAN((IF(DATOS_[[Sexo]:[Sexo]]=$B61,IF(DATOS_[[AGRUP. VALOR. PTO.]:[AGRUP. VALOR. PTO.]]=$B60,IF(DATOS_[[Check Periodo Ref.]:[Check Periodo Ref.]]="Dentro",IF(DATOS_[[Check Equiparado]:[Check Equiparado]]="Sí",IF(DATOS!BB$4="Sí",(1/DATOS_[[% anualiz]:[% anualiz]]),1)*IF(DATOS!BB$5="Sí",1/DATOS_[[% normaliz]:[% normaliz]],1)*(DATOS_[Conc.Sal.24])))))))), 0)</f>
        <v>0</v>
      </c>
      <c r="AH61" s="250" t="n">
        <f aca="false" t="array" ref="AH61:AH61">IFERROR( (MEDIAN((IF(DATOS_[[Sexo]:[Sexo]]=$B61,IF(DATOS_[[AGRUP. VALOR. PTO.]:[AGRUP. VALOR. PTO.]]=$B60,IF(DATOS_[[Check Periodo Ref.]:[Check Periodo Ref.]]="Dentro",IF(DATOS_[[Check Equiparado]:[Check Equiparado]]="Sí",IF(DATOS!BC$4="Sí",(1/DATOS_[[% anualiz]:[% anualiz]]),1)*IF(DATOS!BC$5="Sí",1/DATOS_[[% normaliz]:[% normaliz]],1)*(DATOS_[Conc.Sal.25])))))))), 0)</f>
        <v>0</v>
      </c>
      <c r="AI61" s="250" t="n">
        <f aca="false" t="array" ref="AI61:AI61">IFERROR( (MEDIAN((IF(DATOS_[[Sexo]:[Sexo]]=$B61,IF(DATOS_[[AGRUP. VALOR. PTO.]:[AGRUP. VALOR. PTO.]]=$B60,IF(DATOS_[[Check Periodo Ref.]:[Check Periodo Ref.]]="Dentro",IF(DATOS_[[Check Equiparado]:[Check Equiparado]]="Sí",IF(DATOS!BD$4="Sí",(1/DATOS_[[% anualiz]:[% anualiz]]),1)*IF(DATOS!BD$5="Sí",1/DATOS_[[% normaliz]:[% normaliz]],1)*(DATOS_[Conc.Sal.26])))))))), 0)</f>
        <v>0</v>
      </c>
      <c r="AJ61" s="250" t="n">
        <f aca="false" t="array" ref="AJ61:AJ61">IFERROR( (MEDIAN((IF(DATOS_[[Sexo]:[Sexo]]=$B61,IF(DATOS_[[AGRUP. VALOR. PTO.]:[AGRUP. VALOR. PTO.]]=$B60,IF(DATOS_[[Check Periodo Ref.]:[Check Periodo Ref.]]="Dentro",IF(DATOS_[[Check Equiparado]:[Check Equiparado]]="Sí",IF(DATOS!BE$4="Sí",(1/DATOS_[[% anualiz]:[% anualiz]]),1)*IF(DATOS!BE$5="Sí",1/DATOS_[[% normaliz]:[% normaliz]],1)*(DATOS_[Conc.Sal.27])))))))), 0)</f>
        <v>0</v>
      </c>
      <c r="AK61" s="250" t="n">
        <f aca="false" t="array" ref="AK61:AK61">IFERROR( (MEDIAN((IF(DATOS_[[Sexo]:[Sexo]]=$B61,IF(DATOS_[[AGRUP. VALOR. PTO.]:[AGRUP. VALOR. PTO.]]=$B60,IF(DATOS_[[Check Periodo Ref.]:[Check Periodo Ref.]]="Dentro",IF(DATOS_[[Check Equiparado]:[Check Equiparado]]="Sí",IF(DATOS!BF$4="Sí",(1/DATOS_[[% anualiz]:[% anualiz]]),1)*IF(DATOS!BF$5="Sí",1/DATOS_[[% normaliz]:[% normaliz]],1)*(DATOS_[Conc.Sal.28])))))))), 0)</f>
        <v>0</v>
      </c>
      <c r="AL61" s="250" t="n">
        <f aca="false" t="array" ref="AL61:AL61">IFERROR( (MEDIAN((IF(DATOS_[[Sexo]:[Sexo]]=$B61,IF(DATOS_[[AGRUP. VALOR. PTO.]:[AGRUP. VALOR. PTO.]]=$B60,IF(DATOS_[[Check Periodo Ref.]:[Check Periodo Ref.]]="Dentro",IF(DATOS_[[Check Equiparado]:[Check Equiparado]]="Sí",IF(DATOS!BG$4="Sí",(1/DATOS_[[% anualiz]:[% anualiz]]),1)*IF(DATOS!BG$5="Sí",1/DATOS_[[% normaliz]:[% normaliz]],1)*(DATOS_[Conc.Sal.29])))))))), 0)</f>
        <v>0</v>
      </c>
      <c r="AM61" s="250" t="n">
        <f aca="false" t="array" ref="AM61:AM61">IFERROR( (MEDIAN((IF(DATOS_[[Sexo]:[Sexo]]=$B61,IF(DATOS_[[AGRUP. VALOR. PTO.]:[AGRUP. VALOR. PTO.]]=$B60,IF(DATOS_[[Check Periodo Ref.]:[Check Periodo Ref.]]="Dentro",IF(DATOS_[[Check Equiparado]:[Check Equiparado]]="Sí",IF(DATOS!BH$4="Sí",(1/DATOS_[[% anualiz]:[% anualiz]]),1)*IF(DATOS!BH$5="Sí",1/DATOS_[[% normaliz]:[% normaliz]],1)*(DATOS_[Conc.Sal.30])))))))), 0)</f>
        <v>0</v>
      </c>
      <c r="AN61" s="251" t="n">
        <f aca="false" t="array" ref="AN61:AN61">IFERROR( MEDIAN(IF(DATOS_[Sexo]=$B61,IF(DATOS_[[AGRUP. VALOR. PTO.]:[AGRUP. VALOR. PTO.]]=$B60,IF(DATOS_[Check Equiparado]="Sí",IF(DATOS_[Check Periodo Ref.]="Dentro",DATOS_[Tot COMPL.SAL Eq],0))))), 0)</f>
        <v>0</v>
      </c>
      <c r="AO61" s="252" t="n">
        <f aca="false" t="array" ref="AO61:AO61">IFERROR( MEDIAN(IF(DATOS_[Sexo]=$B61,IF(DATOS_[[AGRUP. VALOR. PTO.]:[AGRUP. VALOR. PTO.]]=$B60,IF(DATOS_[Check Equiparado]="Sí",IF(DATOS_[Check Periodo Ref.]="Dentro",DATOS_[TOTAL SALARIO Eq],0))))), 0)</f>
        <v>0</v>
      </c>
      <c r="AP61" s="259" t="n">
        <f aca="false" t="array" ref="AP61:AP61">IFERROR( (MEDIAN((IF(DATOS_[[Sexo]:[Sexo]]=$B61,IF(DATOS_[[AGRUP. VALOR. PTO.]:[AGRUP. VALOR. PTO.]]=$B60,IF(DATOS_[[Check Periodo Ref.]:[Check Periodo Ref.]]="Dentro",IF(DATOS_[[Check Equiparado]:[Check Equiparado]]="Sí",IF(DATOS!BI$4="Sí",(1/DATOS_[[% anualiz]:[% anualiz]]),1)*IF(DATOS!BI$5="Sí",1/DATOS_[[% normaliz]:[% normaliz]],1)*(DATOS_[C.Extra.01])))))))), 0)</f>
        <v>0</v>
      </c>
      <c r="AQ61" s="259" t="n">
        <f aca="false" t="array" ref="AQ61:AQ61">IFERROR( (MEDIAN((IF(DATOS_[[Sexo]:[Sexo]]=$B61,IF(DATOS_[[AGRUP. VALOR. PTO.]:[AGRUP. VALOR. PTO.]]=$B60,IF(DATOS_[[Check Periodo Ref.]:[Check Periodo Ref.]]="Dentro",IF(DATOS_[[Check Equiparado]:[Check Equiparado]]="Sí",IF(DATOS!BJ$4="Sí",(1/DATOS_[[% anualiz]:[% anualiz]]),1)*IF(DATOS!BJ$5="Sí",1/DATOS_[[% normaliz]:[% normaliz]],1)*(DATOS_[C.Extra.02])))))))), 0)</f>
        <v>0</v>
      </c>
      <c r="AR61" s="259" t="n">
        <f aca="false" t="array" ref="AR61:AR61">IFERROR( (MEDIAN((IF(DATOS_[[Sexo]:[Sexo]]=$B61,IF(DATOS_[[AGRUP. VALOR. PTO.]:[AGRUP. VALOR. PTO.]]=$B60,IF(DATOS_[[Check Periodo Ref.]:[Check Periodo Ref.]]="Dentro",IF(DATOS_[[Check Equiparado]:[Check Equiparado]]="Sí",IF(DATOS!BK$4="Sí",(1/DATOS_[[% anualiz]:[% anualiz]]),1)*IF(DATOS!BK$5="Sí",1/DATOS_[[% normaliz]:[% normaliz]],1)*(DATOS_[C.Extra.03])))))))), 0)</f>
        <v>0</v>
      </c>
      <c r="AS61" s="259" t="n">
        <f aca="false" t="array" ref="AS61:AS61">IFERROR( (MEDIAN((IF(DATOS_[[Sexo]:[Sexo]]=$B61,IF(DATOS_[[AGRUP. VALOR. PTO.]:[AGRUP. VALOR. PTO.]]=$B60,IF(DATOS_[[Check Periodo Ref.]:[Check Periodo Ref.]]="Dentro",IF(DATOS_[[Check Equiparado]:[Check Equiparado]]="Sí",IF(DATOS!BL$4="Sí",(1/DATOS_[[% anualiz]:[% anualiz]]),1)*IF(DATOS!BL$5="Sí",1/DATOS_[[% normaliz]:[% normaliz]],1)*(DATOS_[C.Extra.04])))))))), 0)</f>
        <v>0</v>
      </c>
      <c r="AT61" s="259" t="n">
        <f aca="false" t="array" ref="AT61:AT61">IFERROR( (MEDIAN((IF(DATOS_[[Sexo]:[Sexo]]=$B61,IF(DATOS_[[AGRUP. VALOR. PTO.]:[AGRUP. VALOR. PTO.]]=$B60,IF(DATOS_[[Check Periodo Ref.]:[Check Periodo Ref.]]="Dentro",IF(DATOS_[[Check Equiparado]:[Check Equiparado]]="Sí",IF(DATOS!BM$4="Sí",(1/DATOS_[[% anualiz]:[% anualiz]]),1)*IF(DATOS!BM$5="Sí",1/DATOS_[[% normaliz]:[% normaliz]],1)*(DATOS_[C.Extra.05])))))))), 0)</f>
        <v>0</v>
      </c>
      <c r="AU61" s="254" t="n">
        <f aca="false" t="array" ref="AU61:AU61">IFERROR( MEDIAN(IF(DATOS_[Sexo]=$B61,IF(DATOS_[[AGRUP. VALOR. PTO.]:[AGRUP. VALOR. PTO.]]=$B60,IF(DATOS_[Check Equiparado]="Sí",IF(DATOS_[Check Periodo Ref.]="Dentro",DATOS_[Tot Extrasalarial Eq],0))))), 0)</f>
        <v>0</v>
      </c>
      <c r="AV61" s="255" t="n">
        <f aca="false" t="array" ref="AV61:AV61">IFERROR( MEDIAN(IF(DATOS_[Sexo]=$B61,IF(DATOS_[[AGRUP. VALOR. PTO.]:[AGRUP. VALOR. PTO.]]=$B60,IF(DATOS_[Check Equiparado]="Sí",IF(DATOS_[Check Periodo Ref.]="Dentro",DATOS_[TOTAL Retrib Eq],0))))), 0)</f>
        <v>0</v>
      </c>
    </row>
    <row r="62" customFormat="false" ht="14.25" hidden="false" customHeight="false" outlineLevel="0" collapsed="false">
      <c r="A62" s="217" t="str">
        <f aca="false">+A61</f>
        <v>[ocultar]</v>
      </c>
      <c r="B62" s="323" t="s">
        <v>372</v>
      </c>
      <c r="C62" s="247" t="n">
        <f aca="false" t="array" ref="C62:C62">SUM(IF($B62=DATOS_[Sexo], IF($B60=DATOS_[AGRUP. VALOR. PTO.], IF("Dentro"=DATOS_[Check Periodo Ref.], 1/(COUNTIFS(DATOS_[Sexo],$B62,DATOS_[AGRUP. VALOR. PTO.],$B60,DATOS_[Check Periodo Ref.],"Dentro",DATOS_[id],DATOS_[id]))))))</f>
        <v>0</v>
      </c>
      <c r="D62" s="248" t="n">
        <f aca="false">COUNTIFS(DATOS_[AGRUP. VALOR. PTO.],$B60,DATOS_[Sexo],$B62,DATOS_[Check Periodo Ref.],"Dentro")</f>
        <v>0</v>
      </c>
      <c r="E62" s="248" t="n">
        <f aca="false">COUNTIFS(DATOS_[AGRUP. VALOR. PTO.],$B60,DATOS_[Sexo],$B62,DATOS_[Check Periodo Ref.],"Dentro",DATOS_[Check Nº SC Norm],"Sí")</f>
        <v>0</v>
      </c>
      <c r="F62" s="248" t="n">
        <f aca="false">COUNTIFS(DATOS_[AGRUP. VALOR. PTO.],$B60,DATOS_[Sexo],$B62,DATOS_[Check Periodo Ref.],"Dentro",DATOS_[Check Nº SC Anualiz],"Sí")</f>
        <v>0</v>
      </c>
      <c r="G62" s="248" t="n">
        <f aca="false">COUNTIFS(DATOS_[AGRUP. VALOR. PTO.],$B60,DATOS_[Sexo],$B62,DATOS_[Check Periodo Ref.],"Dentro",DATOS_[Check Nº SC Norm y Anualiz],"Sí")</f>
        <v>0</v>
      </c>
      <c r="H62" s="248" t="n">
        <f aca="false">COUNTIFS(DATOS_[AGRUP. VALOR. PTO.],$B60,DATOS_[Sexo],$B62,DATOS_[Check Periodo Ref.],"Dentro",DATOS_[Check Equiparación],"Sí")</f>
        <v>0</v>
      </c>
      <c r="I62" s="249" t="n">
        <f aca="false" t="array" ref="I62:I62">IFERROR( MEDIAN(IF(DATOS_[Sexo]=$B62,IF(DATOS_[[AGRUP. VALOR. PTO.]:[AGRUP. VALOR. PTO.]]=$B60,IF(DATOS_[Check Equiparado]="Sí",IF(DATOS_[Check Periodo Ref.]="Dentro",DATOS_[SALARIO BASE Eq],0))))), 0)</f>
        <v>0</v>
      </c>
      <c r="J62" s="250" t="n">
        <f aca="false" t="array" ref="J62:J62">IFERROR( (MEDIAN((IF(DATOS_[[Sexo]:[Sexo]]=$B62,IF(DATOS_[[AGRUP. VALOR. PTO.]:[AGRUP. VALOR. PTO.]]=$B60,IF(DATOS_[[Check Periodo Ref.]:[Check Periodo Ref.]]="Dentro",IF(DATOS_[[Check Equiparado]:[Check Equiparado]]="Sí",IF(DATOS!AE$4="Sí",(1/DATOS_[[% anualiz]:[% anualiz]]),1)*IF(DATOS!AE$5="Sí",1/DATOS_[[% normaliz]:[% normaliz]],1)*(DATOS_[Conc.Sal.01])))))))), 0)</f>
        <v>0</v>
      </c>
      <c r="K62" s="250" t="n">
        <f aca="false" t="array" ref="K62:K62">IFERROR( (MEDIAN((IF(DATOS_[[Sexo]:[Sexo]]=$B62,IF(DATOS_[[AGRUP. VALOR. PTO.]:[AGRUP. VALOR. PTO.]]=$B60,IF(DATOS_[[Check Periodo Ref.]:[Check Periodo Ref.]]="Dentro",IF(DATOS_[[Check Equiparado]:[Check Equiparado]]="Sí",IF(DATOS!AF$4="Sí",(1/DATOS_[[% anualiz]:[% anualiz]]),1)*IF(DATOS!AF$5="Sí",1/DATOS_[[% normaliz]:[% normaliz]],1)*(DATOS_[Conc.Sal.02])))))))), 0)</f>
        <v>0</v>
      </c>
      <c r="L62" s="250" t="n">
        <f aca="false" t="array" ref="L62:L62">IFERROR( (MEDIAN((IF(DATOS_[[Sexo]:[Sexo]]=$B62,IF(DATOS_[[AGRUP. VALOR. PTO.]:[AGRUP. VALOR. PTO.]]=$B60,IF(DATOS_[[Check Periodo Ref.]:[Check Periodo Ref.]]="Dentro",IF(DATOS_[[Check Equiparado]:[Check Equiparado]]="Sí",IF(DATOS!AG$4="Sí",(1/DATOS_[[% anualiz]:[% anualiz]]),1)*IF(DATOS!AG$5="Sí",1/DATOS_[[% normaliz]:[% normaliz]],1)*(DATOS_[Conc.Sal.03])))))))), 0)</f>
        <v>0</v>
      </c>
      <c r="M62" s="250" t="n">
        <f aca="false" t="array" ref="M62:M62">IFERROR( (MEDIAN((IF(DATOS_[[Sexo]:[Sexo]]=$B62,IF(DATOS_[[AGRUP. VALOR. PTO.]:[AGRUP. VALOR. PTO.]]=$B60,IF(DATOS_[[Check Periodo Ref.]:[Check Periodo Ref.]]="Dentro",IF(DATOS_[[Check Equiparado]:[Check Equiparado]]="Sí",IF(DATOS!AH$4="Sí",(1/DATOS_[[% anualiz]:[% anualiz]]),1)*IF(DATOS!AH$5="Sí",1/DATOS_[[% normaliz]:[% normaliz]],1)*(DATOS_[Conc.Sal.04])))))))), 0)</f>
        <v>0</v>
      </c>
      <c r="N62" s="250" t="n">
        <f aca="false" t="array" ref="N62:N62">IFERROR( (MEDIAN((IF(DATOS_[[Sexo]:[Sexo]]=$B62,IF(DATOS_[[AGRUP. VALOR. PTO.]:[AGRUP. VALOR. PTO.]]=$B60,IF(DATOS_[[Check Periodo Ref.]:[Check Periodo Ref.]]="Dentro",IF(DATOS_[[Check Equiparado]:[Check Equiparado]]="Sí",IF(DATOS!AI$4="Sí",(1/DATOS_[[% anualiz]:[% anualiz]]),1)*IF(DATOS!AI$5="Sí",1/DATOS_[[% normaliz]:[% normaliz]],1)*(DATOS_[Conc.Sal.05])))))))), 0)</f>
        <v>0</v>
      </c>
      <c r="O62" s="250" t="n">
        <f aca="false" t="array" ref="O62:O62">IFERROR( (MEDIAN((IF(DATOS_[[Sexo]:[Sexo]]=$B62,IF(DATOS_[[AGRUP. VALOR. PTO.]:[AGRUP. VALOR. PTO.]]=$B60,IF(DATOS_[[Check Periodo Ref.]:[Check Periodo Ref.]]="Dentro",IF(DATOS_[[Check Equiparado]:[Check Equiparado]]="Sí",IF(DATOS!AJ$4="Sí",(1/DATOS_[[% anualiz]:[% anualiz]]),1)*IF(DATOS!AJ$5="Sí",1/DATOS_[[% normaliz]:[% normaliz]],1)*(DATOS_[Conc.Sal.06])))))))), 0)</f>
        <v>0</v>
      </c>
      <c r="P62" s="250" t="n">
        <f aca="false" t="array" ref="P62:P62">IFERROR( (MEDIAN((IF(DATOS_[[Sexo]:[Sexo]]=$B62,IF(DATOS_[[AGRUP. VALOR. PTO.]:[AGRUP. VALOR. PTO.]]=$B60,IF(DATOS_[[Check Periodo Ref.]:[Check Periodo Ref.]]="Dentro",IF(DATOS_[[Check Equiparado]:[Check Equiparado]]="Sí",IF(DATOS!AK$4="Sí",(1/DATOS_[[% anualiz]:[% anualiz]]),1)*IF(DATOS!AK$5="Sí",1/DATOS_[[% normaliz]:[% normaliz]],1)*(DATOS_[Conc.Sal.07])))))))), 0)</f>
        <v>0</v>
      </c>
      <c r="Q62" s="250" t="n">
        <f aca="false" t="array" ref="Q62:Q62">IFERROR( (MEDIAN((IF(DATOS_[[Sexo]:[Sexo]]=$B62,IF(DATOS_[[AGRUP. VALOR. PTO.]:[AGRUP. VALOR. PTO.]]=$B60,IF(DATOS_[[Check Periodo Ref.]:[Check Periodo Ref.]]="Dentro",IF(DATOS_[[Check Equiparado]:[Check Equiparado]]="Sí",IF(DATOS!AL$4="Sí",(1/DATOS_[[% anualiz]:[% anualiz]]),1)*IF(DATOS!AL$5="Sí",1/DATOS_[[% normaliz]:[% normaliz]],1)*(DATOS_[Conc.Sal.08])))))))), 0)</f>
        <v>0</v>
      </c>
      <c r="R62" s="250" t="n">
        <f aca="false" t="array" ref="R62:R62">IFERROR( (MEDIAN((IF(DATOS_[[Sexo]:[Sexo]]=$B62,IF(DATOS_[[AGRUP. VALOR. PTO.]:[AGRUP. VALOR. PTO.]]=$B60,IF(DATOS_[[Check Periodo Ref.]:[Check Periodo Ref.]]="Dentro",IF(DATOS_[[Check Equiparado]:[Check Equiparado]]="Sí",IF(DATOS!AM$4="Sí",(1/DATOS_[[% anualiz]:[% anualiz]]),1)*IF(DATOS!AM$5="Sí",1/DATOS_[[% normaliz]:[% normaliz]],1)*(DATOS_[Conc.Sal.09])))))))), 0)</f>
        <v>0</v>
      </c>
      <c r="S62" s="250" t="n">
        <f aca="false" t="array" ref="S62:S62">IFERROR( (MEDIAN((IF(DATOS_[[Sexo]:[Sexo]]=$B62,IF(DATOS_[[AGRUP. VALOR. PTO.]:[AGRUP. VALOR. PTO.]]=$B60,IF(DATOS_[[Check Periodo Ref.]:[Check Periodo Ref.]]="Dentro",IF(DATOS_[[Check Equiparado]:[Check Equiparado]]="Sí",IF(DATOS!AN$4="Sí",(1/DATOS_[[% anualiz]:[% anualiz]]),1)*IF(DATOS!AN$5="Sí",1/DATOS_[[% normaliz]:[% normaliz]],1)*(DATOS_[Conc.Sal.10])))))))), 0)</f>
        <v>0</v>
      </c>
      <c r="T62" s="250" t="n">
        <f aca="false" t="array" ref="T62:T62">IFERROR( (MEDIAN((IF(DATOS_[[Sexo]:[Sexo]]=$B62,IF(DATOS_[[AGRUP. VALOR. PTO.]:[AGRUP. VALOR. PTO.]]=$B60,IF(DATOS_[[Check Periodo Ref.]:[Check Periodo Ref.]]="Dentro",IF(DATOS_[[Check Equiparado]:[Check Equiparado]]="Sí",IF(DATOS!AO$4="Sí",(1/DATOS_[[% anualiz]:[% anualiz]]),1)*IF(DATOS!AO$5="Sí",1/DATOS_[[% normaliz]:[% normaliz]],1)*(DATOS_[Conc.Sal.11])))))))), 0)</f>
        <v>0</v>
      </c>
      <c r="U62" s="250" t="n">
        <f aca="false" t="array" ref="U62:U62">IFERROR( (MEDIAN((IF(DATOS_[[Sexo]:[Sexo]]=$B62,IF(DATOS_[[AGRUP. VALOR. PTO.]:[AGRUP. VALOR. PTO.]]=$B60,IF(DATOS_[[Check Periodo Ref.]:[Check Periodo Ref.]]="Dentro",IF(DATOS_[[Check Equiparado]:[Check Equiparado]]="Sí",IF(DATOS!AP$4="Sí",(1/DATOS_[[% anualiz]:[% anualiz]]),1)*IF(DATOS!AP$5="Sí",1/DATOS_[[% normaliz]:[% normaliz]],1)*(DATOS_[Conc.Sal.12])))))))), 0)</f>
        <v>0</v>
      </c>
      <c r="V62" s="250" t="n">
        <f aca="false" t="array" ref="V62:V62">IFERROR( (MEDIAN((IF(DATOS_[[Sexo]:[Sexo]]=$B62,IF(DATOS_[[AGRUP. VALOR. PTO.]:[AGRUP. VALOR. PTO.]]=$B60,IF(DATOS_[[Check Periodo Ref.]:[Check Periodo Ref.]]="Dentro",IF(DATOS_[[Check Equiparado]:[Check Equiparado]]="Sí",IF(DATOS!AQ$4="Sí",(1/DATOS_[[% anualiz]:[% anualiz]]),1)*IF(DATOS!AQ$5="Sí",1/DATOS_[[% normaliz]:[% normaliz]],1)*(DATOS_[Conc.Sal.13])))))))), 0)</f>
        <v>0</v>
      </c>
      <c r="W62" s="250" t="n">
        <f aca="false" t="array" ref="W62:W62">IFERROR( (MEDIAN((IF(DATOS_[[Sexo]:[Sexo]]=$B62,IF(DATOS_[[AGRUP. VALOR. PTO.]:[AGRUP. VALOR. PTO.]]=$B60,IF(DATOS_[[Check Periodo Ref.]:[Check Periodo Ref.]]="Dentro",IF(DATOS_[[Check Equiparado]:[Check Equiparado]]="Sí",IF(DATOS!AR$4="Sí",(1/DATOS_[[% anualiz]:[% anualiz]]),1)*IF(DATOS!AR$5="Sí",1/DATOS_[[% normaliz]:[% normaliz]],1)*(DATOS_[Conc.Sal.14])))))))), 0)</f>
        <v>0</v>
      </c>
      <c r="X62" s="250" t="n">
        <f aca="false" t="array" ref="X62:X62">IFERROR( (MEDIAN((IF(DATOS_[[Sexo]:[Sexo]]=$B62,IF(DATOS_[[AGRUP. VALOR. PTO.]:[AGRUP. VALOR. PTO.]]=$B60,IF(DATOS_[[Check Periodo Ref.]:[Check Periodo Ref.]]="Dentro",IF(DATOS_[[Check Equiparado]:[Check Equiparado]]="Sí",IF(DATOS!AS$4="Sí",(1/DATOS_[[% anualiz]:[% anualiz]]),1)*IF(DATOS!AS$5="Sí",1/DATOS_[[% normaliz]:[% normaliz]],1)*(DATOS_[Conc.Sal.15])))))))), 0)</f>
        <v>0</v>
      </c>
      <c r="Y62" s="250" t="n">
        <f aca="false" t="array" ref="Y62:Y62">IFERROR( (MEDIAN((IF(DATOS_[[Sexo]:[Sexo]]=$B62,IF(DATOS_[[AGRUP. VALOR. PTO.]:[AGRUP. VALOR. PTO.]]=$B60,IF(DATOS_[[Check Periodo Ref.]:[Check Periodo Ref.]]="Dentro",IF(DATOS_[[Check Equiparado]:[Check Equiparado]]="Sí",IF(DATOS!AT$4="Sí",(1/DATOS_[[% anualiz]:[% anualiz]]),1)*IF(DATOS!AT$5="Sí",1/DATOS_[[% normaliz]:[% normaliz]],1)*(DATOS_[Conc.Sal.16])))))))), 0)</f>
        <v>0</v>
      </c>
      <c r="Z62" s="250" t="n">
        <f aca="false" t="array" ref="Z62:Z62">IFERROR( (MEDIAN((IF(DATOS_[[Sexo]:[Sexo]]=$B62,IF(DATOS_[[AGRUP. VALOR. PTO.]:[AGRUP. VALOR. PTO.]]=$B60,IF(DATOS_[[Check Periodo Ref.]:[Check Periodo Ref.]]="Dentro",IF(DATOS_[[Check Equiparado]:[Check Equiparado]]="Sí",IF(DATOS!AU$4="Sí",(1/DATOS_[[% anualiz]:[% anualiz]]),1)*IF(DATOS!AU$5="Sí",1/DATOS_[[% normaliz]:[% normaliz]],1)*(DATOS_[Conc.Sal.17])))))))), 0)</f>
        <v>0</v>
      </c>
      <c r="AA62" s="250" t="n">
        <f aca="false" t="array" ref="AA62:AA62">IFERROR( (MEDIAN((IF(DATOS_[[Sexo]:[Sexo]]=$B62,IF(DATOS_[[AGRUP. VALOR. PTO.]:[AGRUP. VALOR. PTO.]]=$B60,IF(DATOS_[[Check Periodo Ref.]:[Check Periodo Ref.]]="Dentro",IF(DATOS_[[Check Equiparado]:[Check Equiparado]]="Sí",IF(DATOS!AV$4="Sí",(1/DATOS_[[% anualiz]:[% anualiz]]),1)*IF(DATOS!AV$5="Sí",1/DATOS_[[% normaliz]:[% normaliz]],1)*(DATOS_[Conc.Sal.18])))))))), 0)</f>
        <v>0</v>
      </c>
      <c r="AB62" s="250" t="n">
        <f aca="false" t="array" ref="AB62:AB62">IFERROR( (MEDIAN((IF(DATOS_[[Sexo]:[Sexo]]=$B62,IF(DATOS_[[AGRUP. VALOR. PTO.]:[AGRUP. VALOR. PTO.]]=$B60,IF(DATOS_[[Check Periodo Ref.]:[Check Periodo Ref.]]="Dentro",IF(DATOS_[[Check Equiparado]:[Check Equiparado]]="Sí",IF(DATOS!AW$4="Sí",(1/DATOS_[[% anualiz]:[% anualiz]]),1)*IF(DATOS!AW$5="Sí",1/DATOS_[[% normaliz]:[% normaliz]],1)*(DATOS_[Conc.Sal.19])))))))), 0)</f>
        <v>0</v>
      </c>
      <c r="AC62" s="250" t="n">
        <f aca="false" t="array" ref="AC62:AC62">IFERROR( (MEDIAN((IF(DATOS_[[Sexo]:[Sexo]]=$B62,IF(DATOS_[[AGRUP. VALOR. PTO.]:[AGRUP. VALOR. PTO.]]=$B60,IF(DATOS_[[Check Periodo Ref.]:[Check Periodo Ref.]]="Dentro",IF(DATOS_[[Check Equiparado]:[Check Equiparado]]="Sí",IF(DATOS!AX$4="Sí",(1/DATOS_[[% anualiz]:[% anualiz]]),1)*IF(DATOS!AX$5="Sí",1/DATOS_[[% normaliz]:[% normaliz]],1)*(DATOS_[Conc.Sal.20])))))))), 0)</f>
        <v>0</v>
      </c>
      <c r="AD62" s="250" t="n">
        <f aca="false" t="array" ref="AD62:AD62">IFERROR( (MEDIAN((IF(DATOS_[[Sexo]:[Sexo]]=$B62,IF(DATOS_[[AGRUP. VALOR. PTO.]:[AGRUP. VALOR. PTO.]]=$B60,IF(DATOS_[[Check Periodo Ref.]:[Check Periodo Ref.]]="Dentro",IF(DATOS_[[Check Equiparado]:[Check Equiparado]]="Sí",IF(DATOS!AY$4="Sí",(1/DATOS_[[% anualiz]:[% anualiz]]),1)*IF(DATOS!AY$5="Sí",1/DATOS_[[% normaliz]:[% normaliz]],1)*(DATOS_[Conc.Sal.21])))))))), 0)</f>
        <v>0</v>
      </c>
      <c r="AE62" s="250" t="n">
        <f aca="false" t="array" ref="AE62:AE62">IFERROR( (MEDIAN((IF(DATOS_[[Sexo]:[Sexo]]=$B62,IF(DATOS_[[AGRUP. VALOR. PTO.]:[AGRUP. VALOR. PTO.]]=$B60,IF(DATOS_[[Check Periodo Ref.]:[Check Periodo Ref.]]="Dentro",IF(DATOS_[[Check Equiparado]:[Check Equiparado]]="Sí",IF(DATOS!AZ$4="Sí",(1/DATOS_[[% anualiz]:[% anualiz]]),1)*IF(DATOS!AZ$5="Sí",1/DATOS_[[% normaliz]:[% normaliz]],1)*(DATOS_[Conc.Sal.22])))))))), 0)</f>
        <v>0</v>
      </c>
      <c r="AF62" s="250" t="n">
        <f aca="false" t="array" ref="AF62:AF62">IFERROR( (MEDIAN((IF(DATOS_[[Sexo]:[Sexo]]=$B62,IF(DATOS_[[AGRUP. VALOR. PTO.]:[AGRUP. VALOR. PTO.]]=$B60,IF(DATOS_[[Check Periodo Ref.]:[Check Periodo Ref.]]="Dentro",IF(DATOS_[[Check Equiparado]:[Check Equiparado]]="Sí",IF(DATOS!BA$4="Sí",(1/DATOS_[[% anualiz]:[% anualiz]]),1)*IF(DATOS!BA$5="Sí",1/DATOS_[[% normaliz]:[% normaliz]],1)*(DATOS_[Conc.Sal.23])))))))), 0)</f>
        <v>0</v>
      </c>
      <c r="AG62" s="250" t="n">
        <f aca="false" t="array" ref="AG62:AG62">IFERROR( (MEDIAN((IF(DATOS_[[Sexo]:[Sexo]]=$B62,IF(DATOS_[[AGRUP. VALOR. PTO.]:[AGRUP. VALOR. PTO.]]=$B60,IF(DATOS_[[Check Periodo Ref.]:[Check Periodo Ref.]]="Dentro",IF(DATOS_[[Check Equiparado]:[Check Equiparado]]="Sí",IF(DATOS!BB$4="Sí",(1/DATOS_[[% anualiz]:[% anualiz]]),1)*IF(DATOS!BB$5="Sí",1/DATOS_[[% normaliz]:[% normaliz]],1)*(DATOS_[Conc.Sal.24])))))))), 0)</f>
        <v>0</v>
      </c>
      <c r="AH62" s="250" t="n">
        <f aca="false" t="array" ref="AH62:AH62">IFERROR( (MEDIAN((IF(DATOS_[[Sexo]:[Sexo]]=$B62,IF(DATOS_[[AGRUP. VALOR. PTO.]:[AGRUP. VALOR. PTO.]]=$B60,IF(DATOS_[[Check Periodo Ref.]:[Check Periodo Ref.]]="Dentro",IF(DATOS_[[Check Equiparado]:[Check Equiparado]]="Sí",IF(DATOS!BC$4="Sí",(1/DATOS_[[% anualiz]:[% anualiz]]),1)*IF(DATOS!BC$5="Sí",1/DATOS_[[% normaliz]:[% normaliz]],1)*(DATOS_[Conc.Sal.25])))))))), 0)</f>
        <v>0</v>
      </c>
      <c r="AI62" s="250" t="n">
        <f aca="false" t="array" ref="AI62:AI62">IFERROR( (MEDIAN((IF(DATOS_[[Sexo]:[Sexo]]=$B62,IF(DATOS_[[AGRUP. VALOR. PTO.]:[AGRUP. VALOR. PTO.]]=$B60,IF(DATOS_[[Check Periodo Ref.]:[Check Periodo Ref.]]="Dentro",IF(DATOS_[[Check Equiparado]:[Check Equiparado]]="Sí",IF(DATOS!BD$4="Sí",(1/DATOS_[[% anualiz]:[% anualiz]]),1)*IF(DATOS!BD$5="Sí",1/DATOS_[[% normaliz]:[% normaliz]],1)*(DATOS_[Conc.Sal.26])))))))), 0)</f>
        <v>0</v>
      </c>
      <c r="AJ62" s="250" t="n">
        <f aca="false" t="array" ref="AJ62:AJ62">IFERROR( (MEDIAN((IF(DATOS_[[Sexo]:[Sexo]]=$B62,IF(DATOS_[[AGRUP. VALOR. PTO.]:[AGRUP. VALOR. PTO.]]=$B60,IF(DATOS_[[Check Periodo Ref.]:[Check Periodo Ref.]]="Dentro",IF(DATOS_[[Check Equiparado]:[Check Equiparado]]="Sí",IF(DATOS!BE$4="Sí",(1/DATOS_[[% anualiz]:[% anualiz]]),1)*IF(DATOS!BE$5="Sí",1/DATOS_[[% normaliz]:[% normaliz]],1)*(DATOS_[Conc.Sal.27])))))))), 0)</f>
        <v>0</v>
      </c>
      <c r="AK62" s="250" t="n">
        <f aca="false" t="array" ref="AK62:AK62">IFERROR( (MEDIAN((IF(DATOS_[[Sexo]:[Sexo]]=$B62,IF(DATOS_[[AGRUP. VALOR. PTO.]:[AGRUP. VALOR. PTO.]]=$B60,IF(DATOS_[[Check Periodo Ref.]:[Check Periodo Ref.]]="Dentro",IF(DATOS_[[Check Equiparado]:[Check Equiparado]]="Sí",IF(DATOS!BF$4="Sí",(1/DATOS_[[% anualiz]:[% anualiz]]),1)*IF(DATOS!BF$5="Sí",1/DATOS_[[% normaliz]:[% normaliz]],1)*(DATOS_[Conc.Sal.28])))))))), 0)</f>
        <v>0</v>
      </c>
      <c r="AL62" s="250" t="n">
        <f aca="false" t="array" ref="AL62:AL62">IFERROR( (MEDIAN((IF(DATOS_[[Sexo]:[Sexo]]=$B62,IF(DATOS_[[AGRUP. VALOR. PTO.]:[AGRUP. VALOR. PTO.]]=$B60,IF(DATOS_[[Check Periodo Ref.]:[Check Periodo Ref.]]="Dentro",IF(DATOS_[[Check Equiparado]:[Check Equiparado]]="Sí",IF(DATOS!BG$4="Sí",(1/DATOS_[[% anualiz]:[% anualiz]]),1)*IF(DATOS!BG$5="Sí",1/DATOS_[[% normaliz]:[% normaliz]],1)*(DATOS_[Conc.Sal.29])))))))), 0)</f>
        <v>0</v>
      </c>
      <c r="AM62" s="250" t="n">
        <f aca="false" t="array" ref="AM62:AM62">IFERROR( (MEDIAN((IF(DATOS_[[Sexo]:[Sexo]]=$B62,IF(DATOS_[[AGRUP. VALOR. PTO.]:[AGRUP. VALOR. PTO.]]=$B60,IF(DATOS_[[Check Periodo Ref.]:[Check Periodo Ref.]]="Dentro",IF(DATOS_[[Check Equiparado]:[Check Equiparado]]="Sí",IF(DATOS!BH$4="Sí",(1/DATOS_[[% anualiz]:[% anualiz]]),1)*IF(DATOS!BH$5="Sí",1/DATOS_[[% normaliz]:[% normaliz]],1)*(DATOS_[Conc.Sal.30])))))))), 0)</f>
        <v>0</v>
      </c>
      <c r="AN62" s="251" t="n">
        <f aca="false" t="array" ref="AN62:AN62">IFERROR( MEDIAN(IF(DATOS_[Sexo]=$B62,IF(DATOS_[[AGRUP. VALOR. PTO.]:[AGRUP. VALOR. PTO.]]=$B60,IF(DATOS_[Check Equiparado]="Sí",IF(DATOS_[Check Periodo Ref.]="Dentro",DATOS_[Tot COMPL.SAL Eq],0))))), 0)</f>
        <v>0</v>
      </c>
      <c r="AO62" s="252" t="n">
        <f aca="false" t="array" ref="AO62:AO62">IFERROR( MEDIAN(IF(DATOS_[Sexo]=$B62,IF(DATOS_[[AGRUP. VALOR. PTO.]:[AGRUP. VALOR. PTO.]]=$B60,IF(DATOS_[Check Equiparado]="Sí",IF(DATOS_[Check Periodo Ref.]="Dentro",DATOS_[TOTAL SALARIO Eq],0))))), 0)</f>
        <v>0</v>
      </c>
      <c r="AP62" s="259" t="n">
        <f aca="false" t="array" ref="AP62:AP62">IFERROR( (MEDIAN((IF(DATOS_[[Sexo]:[Sexo]]=$B62,IF(DATOS_[[AGRUP. VALOR. PTO.]:[AGRUP. VALOR. PTO.]]=$B61,IF(DATOS_[[Check Periodo Ref.]:[Check Periodo Ref.]]="Dentro",IF(DATOS_[[Check Equiparado]:[Check Equiparado]]="Sí",IF(DATOS!BI$4="Sí",(1/DATOS_[[% anualiz]:[% anualiz]]),1)*IF(DATOS!BI$5="Sí",1/DATOS_[[% normaliz]:[% normaliz]],1)*(DATOS_[C.Extra.01])))))))), 0)</f>
        <v>0</v>
      </c>
      <c r="AQ62" s="259" t="n">
        <f aca="false" t="array" ref="AQ62:AQ62">IFERROR( (MEDIAN((IF(DATOS_[[Sexo]:[Sexo]]=$B62,IF(DATOS_[[AGRUP. VALOR. PTO.]:[AGRUP. VALOR. PTO.]]=$B61,IF(DATOS_[[Check Periodo Ref.]:[Check Periodo Ref.]]="Dentro",IF(DATOS_[[Check Equiparado]:[Check Equiparado]]="Sí",IF(DATOS!BJ$4="Sí",(1/DATOS_[[% anualiz]:[% anualiz]]),1)*IF(DATOS!BJ$5="Sí",1/DATOS_[[% normaliz]:[% normaliz]],1)*(DATOS_[C.Extra.02])))))))), 0)</f>
        <v>0</v>
      </c>
      <c r="AR62" s="259" t="n">
        <f aca="false" t="array" ref="AR62:AR62">IFERROR( (MEDIAN((IF(DATOS_[[Sexo]:[Sexo]]=$B62,IF(DATOS_[[AGRUP. VALOR. PTO.]:[AGRUP. VALOR. PTO.]]=$B61,IF(DATOS_[[Check Periodo Ref.]:[Check Periodo Ref.]]="Dentro",IF(DATOS_[[Check Equiparado]:[Check Equiparado]]="Sí",IF(DATOS!BK$4="Sí",(1/DATOS_[[% anualiz]:[% anualiz]]),1)*IF(DATOS!BK$5="Sí",1/DATOS_[[% normaliz]:[% normaliz]],1)*(DATOS_[C.Extra.03])))))))), 0)</f>
        <v>0</v>
      </c>
      <c r="AS62" s="259" t="n">
        <f aca="false" t="array" ref="AS62:AS62">IFERROR( (MEDIAN((IF(DATOS_[[Sexo]:[Sexo]]=$B62,IF(DATOS_[[AGRUP. VALOR. PTO.]:[AGRUP. VALOR. PTO.]]=$B61,IF(DATOS_[[Check Periodo Ref.]:[Check Periodo Ref.]]="Dentro",IF(DATOS_[[Check Equiparado]:[Check Equiparado]]="Sí",IF(DATOS!BL$4="Sí",(1/DATOS_[[% anualiz]:[% anualiz]]),1)*IF(DATOS!BL$5="Sí",1/DATOS_[[% normaliz]:[% normaliz]],1)*(DATOS_[C.Extra.04])))))))), 0)</f>
        <v>0</v>
      </c>
      <c r="AT62" s="259" t="n">
        <f aca="false" t="array" ref="AT62:AT62">IFERROR( (MEDIAN((IF(DATOS_[[Sexo]:[Sexo]]=$B62,IF(DATOS_[[AGRUP. VALOR. PTO.]:[AGRUP. VALOR. PTO.]]=$B61,IF(DATOS_[[Check Periodo Ref.]:[Check Periodo Ref.]]="Dentro",IF(DATOS_[[Check Equiparado]:[Check Equiparado]]="Sí",IF(DATOS!BM$4="Sí",(1/DATOS_[[% anualiz]:[% anualiz]]),1)*IF(DATOS!BM$5="Sí",1/DATOS_[[% normaliz]:[% normaliz]],1)*(DATOS_[C.Extra.05])))))))), 0)</f>
        <v>0</v>
      </c>
      <c r="AU62" s="254" t="n">
        <f aca="false" t="array" ref="AU62:AU62">IFERROR( MEDIAN(IF(DATOS_[Sexo]=$B62,IF(DATOS_[[AGRUP. VALOR. PTO.]:[AGRUP. VALOR. PTO.]]=$B60,IF(DATOS_[Check Equiparado]="Sí",IF(DATOS_[Check Periodo Ref.]="Dentro",DATOS_[Tot Extrasalarial Eq],0))))), 0)</f>
        <v>0</v>
      </c>
      <c r="AV62" s="255" t="n">
        <f aca="false" t="array" ref="AV62:AV62">IFERROR( MEDIAN(IF(DATOS_[Sexo]=$B62,IF(DATOS_[[AGRUP. VALOR. PTO.]:[AGRUP. VALOR. PTO.]]=$B60,IF(DATOS_[Check Equiparado]="Sí",IF(DATOS_[Check Periodo Ref.]="Dentro",DATOS_[TOTAL Retrib Eq],0))))), 0)</f>
        <v>0</v>
      </c>
    </row>
    <row r="63" customFormat="false" ht="15.75" hidden="false" customHeight="false" outlineLevel="0" collapsed="false">
      <c r="A63" s="217" t="str">
        <f aca="false">+A64</f>
        <v>[ocultar]</v>
      </c>
      <c r="B63" s="320" t="s">
        <v>217</v>
      </c>
      <c r="C63" s="236"/>
      <c r="D63" s="237"/>
      <c r="E63" s="237"/>
      <c r="F63" s="237"/>
      <c r="G63" s="237"/>
      <c r="H63" s="237"/>
      <c r="I63" s="238" t="str">
        <f aca="false">IFERROR((I64-I65)/I64,"")</f>
        <v/>
      </c>
      <c r="J63" s="239" t="str">
        <f aca="false">IFERROR((J64-J65)/J64,"")</f>
        <v/>
      </c>
      <c r="K63" s="239" t="str">
        <f aca="false">IFERROR((K64-K65)/K64,"")</f>
        <v/>
      </c>
      <c r="L63" s="239" t="str">
        <f aca="false">IFERROR((L64-L65)/L64,"")</f>
        <v/>
      </c>
      <c r="M63" s="239" t="str">
        <f aca="false">IFERROR((M64-M65)/M64,"")</f>
        <v/>
      </c>
      <c r="N63" s="239" t="str">
        <f aca="false">IFERROR((N64-N65)/N64,"")</f>
        <v/>
      </c>
      <c r="O63" s="239" t="str">
        <f aca="false">IFERROR((O64-O65)/O64,"")</f>
        <v/>
      </c>
      <c r="P63" s="239" t="str">
        <f aca="false">IFERROR((P64-P65)/P64,"")</f>
        <v/>
      </c>
      <c r="Q63" s="239" t="str">
        <f aca="false">IFERROR((Q64-Q65)/Q64,"")</f>
        <v/>
      </c>
      <c r="R63" s="239" t="str">
        <f aca="false">IFERROR((R64-R65)/R64,"")</f>
        <v/>
      </c>
      <c r="S63" s="239" t="str">
        <f aca="false">IFERROR((S64-S65)/S64,"")</f>
        <v/>
      </c>
      <c r="T63" s="239" t="str">
        <f aca="false">IFERROR((T64-T65)/T64,"")</f>
        <v/>
      </c>
      <c r="U63" s="239" t="str">
        <f aca="false">IFERROR((U64-U65)/U64,"")</f>
        <v/>
      </c>
      <c r="V63" s="239" t="str">
        <f aca="false">IFERROR((V64-V65)/V64,"")</f>
        <v/>
      </c>
      <c r="W63" s="239" t="str">
        <f aca="false">IFERROR((W64-W65)/W64,"")</f>
        <v/>
      </c>
      <c r="X63" s="239" t="str">
        <f aca="false">IFERROR((X64-X65)/X64,"")</f>
        <v/>
      </c>
      <c r="Y63" s="239" t="str">
        <f aca="false">IFERROR((Y64-Y65)/Y64,"")</f>
        <v/>
      </c>
      <c r="Z63" s="240" t="str">
        <f aca="false">IFERROR((Z64-Z65)/Z64,"")</f>
        <v/>
      </c>
      <c r="AA63" s="240" t="str">
        <f aca="false">IFERROR((AA64-AA65)/AA64,"")</f>
        <v/>
      </c>
      <c r="AB63" s="240" t="str">
        <f aca="false">IFERROR((AB64-AB65)/AB64,"")</f>
        <v/>
      </c>
      <c r="AC63" s="240" t="str">
        <f aca="false">IFERROR((AC64-AC65)/AC64,"")</f>
        <v/>
      </c>
      <c r="AD63" s="240" t="str">
        <f aca="false">IFERROR((AD64-AD65)/AD64,"")</f>
        <v/>
      </c>
      <c r="AE63" s="240" t="str">
        <f aca="false">IFERROR((AE64-AE65)/AE64,"")</f>
        <v/>
      </c>
      <c r="AF63" s="240" t="str">
        <f aca="false">IFERROR((AF64-AF65)/AF64,"")</f>
        <v/>
      </c>
      <c r="AG63" s="240" t="str">
        <f aca="false">IFERROR((AG64-AG65)/AG64,"")</f>
        <v/>
      </c>
      <c r="AH63" s="240" t="str">
        <f aca="false">IFERROR((AH64-AH65)/AH64,"")</f>
        <v/>
      </c>
      <c r="AI63" s="240" t="str">
        <f aca="false">IFERROR((AI64-AI65)/AI64,"")</f>
        <v/>
      </c>
      <c r="AJ63" s="240" t="str">
        <f aca="false">IFERROR((AJ64-AJ65)/AJ64,"")</f>
        <v/>
      </c>
      <c r="AK63" s="240" t="str">
        <f aca="false">IFERROR((AK64-AK65)/AK64,"")</f>
        <v/>
      </c>
      <c r="AL63" s="240" t="str">
        <f aca="false">IFERROR((AL64-AL65)/AL64,"")</f>
        <v/>
      </c>
      <c r="AM63" s="240" t="str">
        <f aca="false">IFERROR((AM64-AM65)/AM64,"")</f>
        <v/>
      </c>
      <c r="AN63" s="241" t="str">
        <f aca="false">IFERROR((AN64-AN65)/AN64,"")</f>
        <v/>
      </c>
      <c r="AO63" s="242" t="str">
        <f aca="false">IFERROR((AO64-AO65)/AO64,"")</f>
        <v/>
      </c>
      <c r="AP63" s="243" t="str">
        <f aca="false">IFERROR((AP64-AP65)/AP64,"")</f>
        <v/>
      </c>
      <c r="AQ63" s="243" t="str">
        <f aca="false">IFERROR((AQ64-AQ65)/AQ64,"")</f>
        <v/>
      </c>
      <c r="AR63" s="243" t="str">
        <f aca="false">IFERROR((AR64-AR65)/AR64,"")</f>
        <v/>
      </c>
      <c r="AS63" s="243" t="str">
        <f aca="false">IFERROR((AS64-AS65)/AS64,"")</f>
        <v/>
      </c>
      <c r="AT63" s="243" t="str">
        <f aca="false">IFERROR((AT64-AT65)/AT64,"")</f>
        <v/>
      </c>
      <c r="AU63" s="244" t="str">
        <f aca="false">IFERROR((AU64-AU65)/AU64,"")</f>
        <v/>
      </c>
      <c r="AV63" s="245" t="str">
        <f aca="false">IFERROR((AV64-AV65)/AV64,"")</f>
        <v/>
      </c>
    </row>
    <row r="64" customFormat="false" ht="14.25" hidden="false" customHeight="false" outlineLevel="0" collapsed="false">
      <c r="A64" s="217" t="str">
        <f aca="false">+IF(C64+C65=0,"[ocultar]","")</f>
        <v>[ocultar]</v>
      </c>
      <c r="B64" s="323" t="s">
        <v>371</v>
      </c>
      <c r="C64" s="247" t="n">
        <f aca="false" t="array" ref="C64:C64">SUM(IF($B64=DATOS_[Sexo], IF($B63=DATOS_[AGRUP. VALOR. PTO.], IF("Dentro"=DATOS_[Check Periodo Ref.], 1/(COUNTIFS(DATOS_[Sexo],$B64,DATOS_[AGRUP. VALOR. PTO.],$B63,DATOS_[Check Periodo Ref.],"Dentro",DATOS_[id],DATOS_[id]))))))</f>
        <v>0</v>
      </c>
      <c r="D64" s="248" t="n">
        <f aca="false">COUNTIFS(DATOS_[AGRUP. VALOR. PTO.],$B63,DATOS_[Sexo],$B64,DATOS_[Check Periodo Ref.],"Dentro")</f>
        <v>0</v>
      </c>
      <c r="E64" s="248" t="n">
        <f aca="false">COUNTIFS(DATOS_[AGRUP. VALOR. PTO.],$B63,DATOS_[Sexo],$B64,DATOS_[Check Periodo Ref.],"Dentro",DATOS_[Check Nº SC Norm],"Sí")</f>
        <v>0</v>
      </c>
      <c r="F64" s="248" t="n">
        <f aca="false">COUNTIFS(DATOS_[AGRUP. VALOR. PTO.],$B63,DATOS_[Sexo],$B64,DATOS_[Check Periodo Ref.],"Dentro",DATOS_[Check Nº SC Anualiz],"Sí")</f>
        <v>0</v>
      </c>
      <c r="G64" s="248" t="n">
        <f aca="false">COUNTIFS(DATOS_[AGRUP. VALOR. PTO.],$B63,DATOS_[Sexo],$B64,DATOS_[Check Periodo Ref.],"Dentro",DATOS_[Check Nº SC Norm y Anualiz],"Sí")</f>
        <v>0</v>
      </c>
      <c r="H64" s="248" t="n">
        <f aca="false">COUNTIFS(DATOS_[AGRUP. VALOR. PTO.],$B63,DATOS_[Sexo],$B64,DATOS_[Check Periodo Ref.],"Dentro",DATOS_[Check Equiparación],"Sí")</f>
        <v>0</v>
      </c>
      <c r="I64" s="249" t="n">
        <f aca="false" t="array" ref="I64:I64">IFERROR( MEDIAN(IF(DATOS_[Sexo]=$B64,IF(DATOS_[[AGRUP. VALOR. PTO.]:[AGRUP. VALOR. PTO.]]=$B63,IF(DATOS_[Check Equiparado]="Sí",IF(DATOS_[Check Periodo Ref.]="Dentro",DATOS_[SALARIO BASE Eq],0))))), 0)</f>
        <v>0</v>
      </c>
      <c r="J64" s="250" t="n">
        <f aca="false" t="array" ref="J64:J64">IFERROR( (MEDIAN((IF(DATOS_[[Sexo]:[Sexo]]=$B64,IF(DATOS_[[AGRUP. VALOR. PTO.]:[AGRUP. VALOR. PTO.]]=$B63,IF(DATOS_[[Check Periodo Ref.]:[Check Periodo Ref.]]="Dentro",IF(DATOS_[[Check Equiparado]:[Check Equiparado]]="Sí",IF(DATOS!AE$4="Sí",(1/DATOS_[[% anualiz]:[% anualiz]]),1)*IF(DATOS!AE$5="Sí",1/DATOS_[[% normaliz]:[% normaliz]],1)*(DATOS_[Conc.Sal.01])))))))), 0)</f>
        <v>0</v>
      </c>
      <c r="K64" s="250" t="n">
        <f aca="false" t="array" ref="K64:K64">IFERROR( (MEDIAN((IF(DATOS_[[Sexo]:[Sexo]]=$B64,IF(DATOS_[[AGRUP. VALOR. PTO.]:[AGRUP. VALOR. PTO.]]=$B63,IF(DATOS_[[Check Periodo Ref.]:[Check Periodo Ref.]]="Dentro",IF(DATOS_[[Check Equiparado]:[Check Equiparado]]="Sí",IF(DATOS!AF$4="Sí",(1/DATOS_[[% anualiz]:[% anualiz]]),1)*IF(DATOS!AF$5="Sí",1/DATOS_[[% normaliz]:[% normaliz]],1)*(DATOS_[Conc.Sal.02])))))))), 0)</f>
        <v>0</v>
      </c>
      <c r="L64" s="250" t="n">
        <f aca="false" t="array" ref="L64:L64">IFERROR( (MEDIAN((IF(DATOS_[[Sexo]:[Sexo]]=$B64,IF(DATOS_[[AGRUP. VALOR. PTO.]:[AGRUP. VALOR. PTO.]]=$B63,IF(DATOS_[[Check Periodo Ref.]:[Check Periodo Ref.]]="Dentro",IF(DATOS_[[Check Equiparado]:[Check Equiparado]]="Sí",IF(DATOS!AG$4="Sí",(1/DATOS_[[% anualiz]:[% anualiz]]),1)*IF(DATOS!AG$5="Sí",1/DATOS_[[% normaliz]:[% normaliz]],1)*(DATOS_[Conc.Sal.03])))))))), 0)</f>
        <v>0</v>
      </c>
      <c r="M64" s="250" t="n">
        <f aca="false" t="array" ref="M64:M64">IFERROR( (MEDIAN((IF(DATOS_[[Sexo]:[Sexo]]=$B64,IF(DATOS_[[AGRUP. VALOR. PTO.]:[AGRUP. VALOR. PTO.]]=$B63,IF(DATOS_[[Check Periodo Ref.]:[Check Periodo Ref.]]="Dentro",IF(DATOS_[[Check Equiparado]:[Check Equiparado]]="Sí",IF(DATOS!AH$4="Sí",(1/DATOS_[[% anualiz]:[% anualiz]]),1)*IF(DATOS!AH$5="Sí",1/DATOS_[[% normaliz]:[% normaliz]],1)*(DATOS_[Conc.Sal.04])))))))), 0)</f>
        <v>0</v>
      </c>
      <c r="N64" s="250" t="n">
        <f aca="false" t="array" ref="N64:N64">IFERROR( (MEDIAN((IF(DATOS_[[Sexo]:[Sexo]]=$B64,IF(DATOS_[[AGRUP. VALOR. PTO.]:[AGRUP. VALOR. PTO.]]=$B63,IF(DATOS_[[Check Periodo Ref.]:[Check Periodo Ref.]]="Dentro",IF(DATOS_[[Check Equiparado]:[Check Equiparado]]="Sí",IF(DATOS!AI$4="Sí",(1/DATOS_[[% anualiz]:[% anualiz]]),1)*IF(DATOS!AI$5="Sí",1/DATOS_[[% normaliz]:[% normaliz]],1)*(DATOS_[Conc.Sal.05])))))))), 0)</f>
        <v>0</v>
      </c>
      <c r="O64" s="250" t="n">
        <f aca="false" t="array" ref="O64:O64">IFERROR( (MEDIAN((IF(DATOS_[[Sexo]:[Sexo]]=$B64,IF(DATOS_[[AGRUP. VALOR. PTO.]:[AGRUP. VALOR. PTO.]]=$B63,IF(DATOS_[[Check Periodo Ref.]:[Check Periodo Ref.]]="Dentro",IF(DATOS_[[Check Equiparado]:[Check Equiparado]]="Sí",IF(DATOS!AJ$4="Sí",(1/DATOS_[[% anualiz]:[% anualiz]]),1)*IF(DATOS!AJ$5="Sí",1/DATOS_[[% normaliz]:[% normaliz]],1)*(DATOS_[Conc.Sal.06])))))))), 0)</f>
        <v>0</v>
      </c>
      <c r="P64" s="250" t="n">
        <f aca="false" t="array" ref="P64:P64">IFERROR( (MEDIAN((IF(DATOS_[[Sexo]:[Sexo]]=$B64,IF(DATOS_[[AGRUP. VALOR. PTO.]:[AGRUP. VALOR. PTO.]]=$B63,IF(DATOS_[[Check Periodo Ref.]:[Check Periodo Ref.]]="Dentro",IF(DATOS_[[Check Equiparado]:[Check Equiparado]]="Sí",IF(DATOS!AK$4="Sí",(1/DATOS_[[% anualiz]:[% anualiz]]),1)*IF(DATOS!AK$5="Sí",1/DATOS_[[% normaliz]:[% normaliz]],1)*(DATOS_[Conc.Sal.07])))))))), 0)</f>
        <v>0</v>
      </c>
      <c r="Q64" s="250" t="n">
        <f aca="false" t="array" ref="Q64:Q64">IFERROR( (MEDIAN((IF(DATOS_[[Sexo]:[Sexo]]=$B64,IF(DATOS_[[AGRUP. VALOR. PTO.]:[AGRUP. VALOR. PTO.]]=$B63,IF(DATOS_[[Check Periodo Ref.]:[Check Periodo Ref.]]="Dentro",IF(DATOS_[[Check Equiparado]:[Check Equiparado]]="Sí",IF(DATOS!AL$4="Sí",(1/DATOS_[[% anualiz]:[% anualiz]]),1)*IF(DATOS!AL$5="Sí",1/DATOS_[[% normaliz]:[% normaliz]],1)*(DATOS_[Conc.Sal.08])))))))), 0)</f>
        <v>0</v>
      </c>
      <c r="R64" s="250" t="n">
        <f aca="false" t="array" ref="R64:R64">IFERROR( (MEDIAN((IF(DATOS_[[Sexo]:[Sexo]]=$B64,IF(DATOS_[[AGRUP. VALOR. PTO.]:[AGRUP. VALOR. PTO.]]=$B63,IF(DATOS_[[Check Periodo Ref.]:[Check Periodo Ref.]]="Dentro",IF(DATOS_[[Check Equiparado]:[Check Equiparado]]="Sí",IF(DATOS!AM$4="Sí",(1/DATOS_[[% anualiz]:[% anualiz]]),1)*IF(DATOS!AM$5="Sí",1/DATOS_[[% normaliz]:[% normaliz]],1)*(DATOS_[Conc.Sal.09])))))))), 0)</f>
        <v>0</v>
      </c>
      <c r="S64" s="250" t="n">
        <f aca="false" t="array" ref="S64:S64">IFERROR( (MEDIAN((IF(DATOS_[[Sexo]:[Sexo]]=$B64,IF(DATOS_[[AGRUP. VALOR. PTO.]:[AGRUP. VALOR. PTO.]]=$B63,IF(DATOS_[[Check Periodo Ref.]:[Check Periodo Ref.]]="Dentro",IF(DATOS_[[Check Equiparado]:[Check Equiparado]]="Sí",IF(DATOS!AN$4="Sí",(1/DATOS_[[% anualiz]:[% anualiz]]),1)*IF(DATOS!AN$5="Sí",1/DATOS_[[% normaliz]:[% normaliz]],1)*(DATOS_[Conc.Sal.10])))))))), 0)</f>
        <v>0</v>
      </c>
      <c r="T64" s="250" t="n">
        <f aca="false" t="array" ref="T64:T64">IFERROR( (MEDIAN((IF(DATOS_[[Sexo]:[Sexo]]=$B64,IF(DATOS_[[AGRUP. VALOR. PTO.]:[AGRUP. VALOR. PTO.]]=$B63,IF(DATOS_[[Check Periodo Ref.]:[Check Periodo Ref.]]="Dentro",IF(DATOS_[[Check Equiparado]:[Check Equiparado]]="Sí",IF(DATOS!AO$4="Sí",(1/DATOS_[[% anualiz]:[% anualiz]]),1)*IF(DATOS!AO$5="Sí",1/DATOS_[[% normaliz]:[% normaliz]],1)*(DATOS_[Conc.Sal.11])))))))), 0)</f>
        <v>0</v>
      </c>
      <c r="U64" s="250" t="n">
        <f aca="false" t="array" ref="U64:U64">IFERROR( (MEDIAN((IF(DATOS_[[Sexo]:[Sexo]]=$B64,IF(DATOS_[[AGRUP. VALOR. PTO.]:[AGRUP. VALOR. PTO.]]=$B63,IF(DATOS_[[Check Periodo Ref.]:[Check Periodo Ref.]]="Dentro",IF(DATOS_[[Check Equiparado]:[Check Equiparado]]="Sí",IF(DATOS!AP$4="Sí",(1/DATOS_[[% anualiz]:[% anualiz]]),1)*IF(DATOS!AP$5="Sí",1/DATOS_[[% normaliz]:[% normaliz]],1)*(DATOS_[Conc.Sal.12])))))))), 0)</f>
        <v>0</v>
      </c>
      <c r="V64" s="250" t="n">
        <f aca="false" t="array" ref="V64:V64">IFERROR( (MEDIAN((IF(DATOS_[[Sexo]:[Sexo]]=$B64,IF(DATOS_[[AGRUP. VALOR. PTO.]:[AGRUP. VALOR. PTO.]]=$B63,IF(DATOS_[[Check Periodo Ref.]:[Check Periodo Ref.]]="Dentro",IF(DATOS_[[Check Equiparado]:[Check Equiparado]]="Sí",IF(DATOS!AQ$4="Sí",(1/DATOS_[[% anualiz]:[% anualiz]]),1)*IF(DATOS!AQ$5="Sí",1/DATOS_[[% normaliz]:[% normaliz]],1)*(DATOS_[Conc.Sal.13])))))))), 0)</f>
        <v>0</v>
      </c>
      <c r="W64" s="250" t="n">
        <f aca="false" t="array" ref="W64:W64">IFERROR( (MEDIAN((IF(DATOS_[[Sexo]:[Sexo]]=$B64,IF(DATOS_[[AGRUP. VALOR. PTO.]:[AGRUP. VALOR. PTO.]]=$B63,IF(DATOS_[[Check Periodo Ref.]:[Check Periodo Ref.]]="Dentro",IF(DATOS_[[Check Equiparado]:[Check Equiparado]]="Sí",IF(DATOS!AR$4="Sí",(1/DATOS_[[% anualiz]:[% anualiz]]),1)*IF(DATOS!AR$5="Sí",1/DATOS_[[% normaliz]:[% normaliz]],1)*(DATOS_[Conc.Sal.14])))))))), 0)</f>
        <v>0</v>
      </c>
      <c r="X64" s="250" t="n">
        <f aca="false" t="array" ref="X64:X64">IFERROR( (MEDIAN((IF(DATOS_[[Sexo]:[Sexo]]=$B64,IF(DATOS_[[AGRUP. VALOR. PTO.]:[AGRUP. VALOR. PTO.]]=$B63,IF(DATOS_[[Check Periodo Ref.]:[Check Periodo Ref.]]="Dentro",IF(DATOS_[[Check Equiparado]:[Check Equiparado]]="Sí",IF(DATOS!AS$4="Sí",(1/DATOS_[[% anualiz]:[% anualiz]]),1)*IF(DATOS!AS$5="Sí",1/DATOS_[[% normaliz]:[% normaliz]],1)*(DATOS_[Conc.Sal.15])))))))), 0)</f>
        <v>0</v>
      </c>
      <c r="Y64" s="250" t="n">
        <f aca="false" t="array" ref="Y64:Y64">IFERROR( (MEDIAN((IF(DATOS_[[Sexo]:[Sexo]]=$B64,IF(DATOS_[[AGRUP. VALOR. PTO.]:[AGRUP. VALOR. PTO.]]=$B63,IF(DATOS_[[Check Periodo Ref.]:[Check Periodo Ref.]]="Dentro",IF(DATOS_[[Check Equiparado]:[Check Equiparado]]="Sí",IF(DATOS!AT$4="Sí",(1/DATOS_[[% anualiz]:[% anualiz]]),1)*IF(DATOS!AT$5="Sí",1/DATOS_[[% normaliz]:[% normaliz]],1)*(DATOS_[Conc.Sal.16])))))))), 0)</f>
        <v>0</v>
      </c>
      <c r="Z64" s="250" t="n">
        <f aca="false" t="array" ref="Z64:Z64">IFERROR( (MEDIAN((IF(DATOS_[[Sexo]:[Sexo]]=$B64,IF(DATOS_[[AGRUP. VALOR. PTO.]:[AGRUP. VALOR. PTO.]]=$B63,IF(DATOS_[[Check Periodo Ref.]:[Check Periodo Ref.]]="Dentro",IF(DATOS_[[Check Equiparado]:[Check Equiparado]]="Sí",IF(DATOS!AU$4="Sí",(1/DATOS_[[% anualiz]:[% anualiz]]),1)*IF(DATOS!AU$5="Sí",1/DATOS_[[% normaliz]:[% normaliz]],1)*(DATOS_[Conc.Sal.17])))))))), 0)</f>
        <v>0</v>
      </c>
      <c r="AA64" s="250" t="n">
        <f aca="false" t="array" ref="AA64:AA64">IFERROR( (MEDIAN((IF(DATOS_[[Sexo]:[Sexo]]=$B64,IF(DATOS_[[AGRUP. VALOR. PTO.]:[AGRUP. VALOR. PTO.]]=$B63,IF(DATOS_[[Check Periodo Ref.]:[Check Periodo Ref.]]="Dentro",IF(DATOS_[[Check Equiparado]:[Check Equiparado]]="Sí",IF(DATOS!AV$4="Sí",(1/DATOS_[[% anualiz]:[% anualiz]]),1)*IF(DATOS!AV$5="Sí",1/DATOS_[[% normaliz]:[% normaliz]],1)*(DATOS_[Conc.Sal.18])))))))), 0)</f>
        <v>0</v>
      </c>
      <c r="AB64" s="250" t="n">
        <f aca="false" t="array" ref="AB64:AB64">IFERROR( (MEDIAN((IF(DATOS_[[Sexo]:[Sexo]]=$B64,IF(DATOS_[[AGRUP. VALOR. PTO.]:[AGRUP. VALOR. PTO.]]=$B63,IF(DATOS_[[Check Periodo Ref.]:[Check Periodo Ref.]]="Dentro",IF(DATOS_[[Check Equiparado]:[Check Equiparado]]="Sí",IF(DATOS!AW$4="Sí",(1/DATOS_[[% anualiz]:[% anualiz]]),1)*IF(DATOS!AW$5="Sí",1/DATOS_[[% normaliz]:[% normaliz]],1)*(DATOS_[Conc.Sal.19])))))))), 0)</f>
        <v>0</v>
      </c>
      <c r="AC64" s="250" t="n">
        <f aca="false" t="array" ref="AC64:AC64">IFERROR( (MEDIAN((IF(DATOS_[[Sexo]:[Sexo]]=$B64,IF(DATOS_[[AGRUP. VALOR. PTO.]:[AGRUP. VALOR. PTO.]]=$B63,IF(DATOS_[[Check Periodo Ref.]:[Check Periodo Ref.]]="Dentro",IF(DATOS_[[Check Equiparado]:[Check Equiparado]]="Sí",IF(DATOS!AX$4="Sí",(1/DATOS_[[% anualiz]:[% anualiz]]),1)*IF(DATOS!AX$5="Sí",1/DATOS_[[% normaliz]:[% normaliz]],1)*(DATOS_[Conc.Sal.20])))))))), 0)</f>
        <v>0</v>
      </c>
      <c r="AD64" s="250" t="n">
        <f aca="false" t="array" ref="AD64:AD64">IFERROR( (MEDIAN((IF(DATOS_[[Sexo]:[Sexo]]=$B64,IF(DATOS_[[AGRUP. VALOR. PTO.]:[AGRUP. VALOR. PTO.]]=$B63,IF(DATOS_[[Check Periodo Ref.]:[Check Periodo Ref.]]="Dentro",IF(DATOS_[[Check Equiparado]:[Check Equiparado]]="Sí",IF(DATOS!AY$4="Sí",(1/DATOS_[[% anualiz]:[% anualiz]]),1)*IF(DATOS!AY$5="Sí",1/DATOS_[[% normaliz]:[% normaliz]],1)*(DATOS_[Conc.Sal.21])))))))), 0)</f>
        <v>0</v>
      </c>
      <c r="AE64" s="250" t="n">
        <f aca="false" t="array" ref="AE64:AE64">IFERROR( (MEDIAN((IF(DATOS_[[Sexo]:[Sexo]]=$B64,IF(DATOS_[[AGRUP. VALOR. PTO.]:[AGRUP. VALOR. PTO.]]=$B63,IF(DATOS_[[Check Periodo Ref.]:[Check Periodo Ref.]]="Dentro",IF(DATOS_[[Check Equiparado]:[Check Equiparado]]="Sí",IF(DATOS!AZ$4="Sí",(1/DATOS_[[% anualiz]:[% anualiz]]),1)*IF(DATOS!AZ$5="Sí",1/DATOS_[[% normaliz]:[% normaliz]],1)*(DATOS_[Conc.Sal.22])))))))), 0)</f>
        <v>0</v>
      </c>
      <c r="AF64" s="250" t="n">
        <f aca="false" t="array" ref="AF64:AF64">IFERROR( (MEDIAN((IF(DATOS_[[Sexo]:[Sexo]]=$B64,IF(DATOS_[[AGRUP. VALOR. PTO.]:[AGRUP. VALOR. PTO.]]=$B63,IF(DATOS_[[Check Periodo Ref.]:[Check Periodo Ref.]]="Dentro",IF(DATOS_[[Check Equiparado]:[Check Equiparado]]="Sí",IF(DATOS!BA$4="Sí",(1/DATOS_[[% anualiz]:[% anualiz]]),1)*IF(DATOS!BA$5="Sí",1/DATOS_[[% normaliz]:[% normaliz]],1)*(DATOS_[Conc.Sal.23])))))))), 0)</f>
        <v>0</v>
      </c>
      <c r="AG64" s="250" t="n">
        <f aca="false" t="array" ref="AG64:AG64">IFERROR( (MEDIAN((IF(DATOS_[[Sexo]:[Sexo]]=$B64,IF(DATOS_[[AGRUP. VALOR. PTO.]:[AGRUP. VALOR. PTO.]]=$B63,IF(DATOS_[[Check Periodo Ref.]:[Check Periodo Ref.]]="Dentro",IF(DATOS_[[Check Equiparado]:[Check Equiparado]]="Sí",IF(DATOS!BB$4="Sí",(1/DATOS_[[% anualiz]:[% anualiz]]),1)*IF(DATOS!BB$5="Sí",1/DATOS_[[% normaliz]:[% normaliz]],1)*(DATOS_[Conc.Sal.24])))))))), 0)</f>
        <v>0</v>
      </c>
      <c r="AH64" s="250" t="n">
        <f aca="false" t="array" ref="AH64:AH64">IFERROR( (MEDIAN((IF(DATOS_[[Sexo]:[Sexo]]=$B64,IF(DATOS_[[AGRUP. VALOR. PTO.]:[AGRUP. VALOR. PTO.]]=$B63,IF(DATOS_[[Check Periodo Ref.]:[Check Periodo Ref.]]="Dentro",IF(DATOS_[[Check Equiparado]:[Check Equiparado]]="Sí",IF(DATOS!BC$4="Sí",(1/DATOS_[[% anualiz]:[% anualiz]]),1)*IF(DATOS!BC$5="Sí",1/DATOS_[[% normaliz]:[% normaliz]],1)*(DATOS_[Conc.Sal.25])))))))), 0)</f>
        <v>0</v>
      </c>
      <c r="AI64" s="250" t="n">
        <f aca="false" t="array" ref="AI64:AI64">IFERROR( (MEDIAN((IF(DATOS_[[Sexo]:[Sexo]]=$B64,IF(DATOS_[[AGRUP. VALOR. PTO.]:[AGRUP. VALOR. PTO.]]=$B63,IF(DATOS_[[Check Periodo Ref.]:[Check Periodo Ref.]]="Dentro",IF(DATOS_[[Check Equiparado]:[Check Equiparado]]="Sí",IF(DATOS!BD$4="Sí",(1/DATOS_[[% anualiz]:[% anualiz]]),1)*IF(DATOS!BD$5="Sí",1/DATOS_[[% normaliz]:[% normaliz]],1)*(DATOS_[Conc.Sal.26])))))))), 0)</f>
        <v>0</v>
      </c>
      <c r="AJ64" s="250" t="n">
        <f aca="false" t="array" ref="AJ64:AJ64">IFERROR( (MEDIAN((IF(DATOS_[[Sexo]:[Sexo]]=$B64,IF(DATOS_[[AGRUP. VALOR. PTO.]:[AGRUP. VALOR. PTO.]]=$B63,IF(DATOS_[[Check Periodo Ref.]:[Check Periodo Ref.]]="Dentro",IF(DATOS_[[Check Equiparado]:[Check Equiparado]]="Sí",IF(DATOS!BE$4="Sí",(1/DATOS_[[% anualiz]:[% anualiz]]),1)*IF(DATOS!BE$5="Sí",1/DATOS_[[% normaliz]:[% normaliz]],1)*(DATOS_[Conc.Sal.27])))))))), 0)</f>
        <v>0</v>
      </c>
      <c r="AK64" s="250" t="n">
        <f aca="false" t="array" ref="AK64:AK64">IFERROR( (MEDIAN((IF(DATOS_[[Sexo]:[Sexo]]=$B64,IF(DATOS_[[AGRUP. VALOR. PTO.]:[AGRUP. VALOR. PTO.]]=$B63,IF(DATOS_[[Check Periodo Ref.]:[Check Periodo Ref.]]="Dentro",IF(DATOS_[[Check Equiparado]:[Check Equiparado]]="Sí",IF(DATOS!BF$4="Sí",(1/DATOS_[[% anualiz]:[% anualiz]]),1)*IF(DATOS!BF$5="Sí",1/DATOS_[[% normaliz]:[% normaliz]],1)*(DATOS_[Conc.Sal.28])))))))), 0)</f>
        <v>0</v>
      </c>
      <c r="AL64" s="250" t="n">
        <f aca="false" t="array" ref="AL64:AL64">IFERROR( (MEDIAN((IF(DATOS_[[Sexo]:[Sexo]]=$B64,IF(DATOS_[[AGRUP. VALOR. PTO.]:[AGRUP. VALOR. PTO.]]=$B63,IF(DATOS_[[Check Periodo Ref.]:[Check Periodo Ref.]]="Dentro",IF(DATOS_[[Check Equiparado]:[Check Equiparado]]="Sí",IF(DATOS!BG$4="Sí",(1/DATOS_[[% anualiz]:[% anualiz]]),1)*IF(DATOS!BG$5="Sí",1/DATOS_[[% normaliz]:[% normaliz]],1)*(DATOS_[Conc.Sal.29])))))))), 0)</f>
        <v>0</v>
      </c>
      <c r="AM64" s="250" t="n">
        <f aca="false" t="array" ref="AM64:AM64">IFERROR( (MEDIAN((IF(DATOS_[[Sexo]:[Sexo]]=$B64,IF(DATOS_[[AGRUP. VALOR. PTO.]:[AGRUP. VALOR. PTO.]]=$B63,IF(DATOS_[[Check Periodo Ref.]:[Check Periodo Ref.]]="Dentro",IF(DATOS_[[Check Equiparado]:[Check Equiparado]]="Sí",IF(DATOS!BH$4="Sí",(1/DATOS_[[% anualiz]:[% anualiz]]),1)*IF(DATOS!BH$5="Sí",1/DATOS_[[% normaliz]:[% normaliz]],1)*(DATOS_[Conc.Sal.30])))))))), 0)</f>
        <v>0</v>
      </c>
      <c r="AN64" s="251" t="n">
        <f aca="false" t="array" ref="AN64:AN64">IFERROR( MEDIAN(IF(DATOS_[Sexo]=$B64,IF(DATOS_[[AGRUP. VALOR. PTO.]:[AGRUP. VALOR. PTO.]]=$B63,IF(DATOS_[Check Equiparado]="Sí",IF(DATOS_[Check Periodo Ref.]="Dentro",DATOS_[Tot COMPL.SAL Eq],0))))), 0)</f>
        <v>0</v>
      </c>
      <c r="AO64" s="252" t="n">
        <f aca="false" t="array" ref="AO64:AO64">IFERROR( MEDIAN(IF(DATOS_[Sexo]=$B64,IF(DATOS_[[AGRUP. VALOR. PTO.]:[AGRUP. VALOR. PTO.]]=$B63,IF(DATOS_[Check Equiparado]="Sí",IF(DATOS_[Check Periodo Ref.]="Dentro",DATOS_[TOTAL SALARIO Eq],0))))), 0)</f>
        <v>0</v>
      </c>
      <c r="AP64" s="259" t="n">
        <f aca="false" t="array" ref="AP64:AP64">IFERROR( (MEDIAN((IF(DATOS_[[Sexo]:[Sexo]]=$B64,IF(DATOS_[[AGRUP. VALOR. PTO.]:[AGRUP. VALOR. PTO.]]=$B63,IF(DATOS_[[Check Periodo Ref.]:[Check Periodo Ref.]]="Dentro",IF(DATOS_[[Check Equiparado]:[Check Equiparado]]="Sí",IF(DATOS!BI$4="Sí",(1/DATOS_[[% anualiz]:[% anualiz]]),1)*IF(DATOS!BI$5="Sí",1/DATOS_[[% normaliz]:[% normaliz]],1)*(DATOS_[C.Extra.01])))))))), 0)</f>
        <v>0</v>
      </c>
      <c r="AQ64" s="259" t="n">
        <f aca="false" t="array" ref="AQ64:AQ64">IFERROR( (MEDIAN((IF(DATOS_[[Sexo]:[Sexo]]=$B64,IF(DATOS_[[AGRUP. VALOR. PTO.]:[AGRUP. VALOR. PTO.]]=$B63,IF(DATOS_[[Check Periodo Ref.]:[Check Periodo Ref.]]="Dentro",IF(DATOS_[[Check Equiparado]:[Check Equiparado]]="Sí",IF(DATOS!BJ$4="Sí",(1/DATOS_[[% anualiz]:[% anualiz]]),1)*IF(DATOS!BJ$5="Sí",1/DATOS_[[% normaliz]:[% normaliz]],1)*(DATOS_[C.Extra.02])))))))), 0)</f>
        <v>0</v>
      </c>
      <c r="AR64" s="259" t="n">
        <f aca="false" t="array" ref="AR64:AR64">IFERROR( (MEDIAN((IF(DATOS_[[Sexo]:[Sexo]]=$B64,IF(DATOS_[[AGRUP. VALOR. PTO.]:[AGRUP. VALOR. PTO.]]=$B63,IF(DATOS_[[Check Periodo Ref.]:[Check Periodo Ref.]]="Dentro",IF(DATOS_[[Check Equiparado]:[Check Equiparado]]="Sí",IF(DATOS!BK$4="Sí",(1/DATOS_[[% anualiz]:[% anualiz]]),1)*IF(DATOS!BK$5="Sí",1/DATOS_[[% normaliz]:[% normaliz]],1)*(DATOS_[C.Extra.03])))))))), 0)</f>
        <v>0</v>
      </c>
      <c r="AS64" s="259" t="n">
        <f aca="false" t="array" ref="AS64:AS64">IFERROR( (MEDIAN((IF(DATOS_[[Sexo]:[Sexo]]=$B64,IF(DATOS_[[AGRUP. VALOR. PTO.]:[AGRUP. VALOR. PTO.]]=$B63,IF(DATOS_[[Check Periodo Ref.]:[Check Periodo Ref.]]="Dentro",IF(DATOS_[[Check Equiparado]:[Check Equiparado]]="Sí",IF(DATOS!BL$4="Sí",(1/DATOS_[[% anualiz]:[% anualiz]]),1)*IF(DATOS!BL$5="Sí",1/DATOS_[[% normaliz]:[% normaliz]],1)*(DATOS_[C.Extra.04])))))))), 0)</f>
        <v>0</v>
      </c>
      <c r="AT64" s="259" t="n">
        <f aca="false" t="array" ref="AT64:AT64">IFERROR( (MEDIAN((IF(DATOS_[[Sexo]:[Sexo]]=$B64,IF(DATOS_[[AGRUP. VALOR. PTO.]:[AGRUP. VALOR. PTO.]]=$B63,IF(DATOS_[[Check Periodo Ref.]:[Check Periodo Ref.]]="Dentro",IF(DATOS_[[Check Equiparado]:[Check Equiparado]]="Sí",IF(DATOS!BM$4="Sí",(1/DATOS_[[% anualiz]:[% anualiz]]),1)*IF(DATOS!BM$5="Sí",1/DATOS_[[% normaliz]:[% normaliz]],1)*(DATOS_[C.Extra.05])))))))), 0)</f>
        <v>0</v>
      </c>
      <c r="AU64" s="254" t="n">
        <f aca="false" t="array" ref="AU64:AU64">IFERROR( MEDIAN(IF(DATOS_[Sexo]=$B64,IF(DATOS_[[AGRUP. VALOR. PTO.]:[AGRUP. VALOR. PTO.]]=$B63,IF(DATOS_[Check Equiparado]="Sí",IF(DATOS_[Check Periodo Ref.]="Dentro",DATOS_[Tot Extrasalarial Eq],0))))), 0)</f>
        <v>0</v>
      </c>
      <c r="AV64" s="255" t="n">
        <f aca="false" t="array" ref="AV64:AV64">IFERROR( MEDIAN(IF(DATOS_[Sexo]=$B64,IF(DATOS_[[AGRUP. VALOR. PTO.]:[AGRUP. VALOR. PTO.]]=$B63,IF(DATOS_[Check Equiparado]="Sí",IF(DATOS_[Check Periodo Ref.]="Dentro",DATOS_[TOTAL Retrib Eq],0))))), 0)</f>
        <v>0</v>
      </c>
    </row>
    <row r="65" customFormat="false" ht="14.25" hidden="false" customHeight="false" outlineLevel="0" collapsed="false">
      <c r="A65" s="217" t="str">
        <f aca="false">+A64</f>
        <v>[ocultar]</v>
      </c>
      <c r="B65" s="323" t="s">
        <v>372</v>
      </c>
      <c r="C65" s="247" t="n">
        <f aca="false" t="array" ref="C65:C65">SUM(IF($B65=DATOS_[Sexo], IF($B63=DATOS_[AGRUP. VALOR. PTO.], IF("Dentro"=DATOS_[Check Periodo Ref.], 1/(COUNTIFS(DATOS_[Sexo],$B65,DATOS_[AGRUP. VALOR. PTO.],$B63,DATOS_[Check Periodo Ref.],"Dentro",DATOS_[id],DATOS_[id]))))))</f>
        <v>0</v>
      </c>
      <c r="D65" s="248" t="n">
        <f aca="false">COUNTIFS(DATOS_[AGRUP. VALOR. PTO.],$B63,DATOS_[Sexo],$B65,DATOS_[Check Periodo Ref.],"Dentro")</f>
        <v>0</v>
      </c>
      <c r="E65" s="248" t="n">
        <f aca="false">COUNTIFS(DATOS_[AGRUP. VALOR. PTO.],$B63,DATOS_[Sexo],$B65,DATOS_[Check Periodo Ref.],"Dentro",DATOS_[Check Nº SC Norm],"Sí")</f>
        <v>0</v>
      </c>
      <c r="F65" s="248" t="n">
        <f aca="false">COUNTIFS(DATOS_[AGRUP. VALOR. PTO.],$B63,DATOS_[Sexo],$B65,DATOS_[Check Periodo Ref.],"Dentro",DATOS_[Check Nº SC Anualiz],"Sí")</f>
        <v>0</v>
      </c>
      <c r="G65" s="248" t="n">
        <f aca="false">COUNTIFS(DATOS_[AGRUP. VALOR. PTO.],$B63,DATOS_[Sexo],$B65,DATOS_[Check Periodo Ref.],"Dentro",DATOS_[Check Nº SC Norm y Anualiz],"Sí")</f>
        <v>0</v>
      </c>
      <c r="H65" s="248" t="n">
        <f aca="false">COUNTIFS(DATOS_[AGRUP. VALOR. PTO.],$B63,DATOS_[Sexo],$B65,DATOS_[Check Periodo Ref.],"Dentro",DATOS_[Check Equiparación],"Sí")</f>
        <v>0</v>
      </c>
      <c r="I65" s="249" t="n">
        <f aca="false" t="array" ref="I65:I65">IFERROR( MEDIAN(IF(DATOS_[Sexo]=$B65,IF(DATOS_[[AGRUP. VALOR. PTO.]:[AGRUP. VALOR. PTO.]]=$B63,IF(DATOS_[Check Equiparado]="Sí",IF(DATOS_[Check Periodo Ref.]="Dentro",DATOS_[SALARIO BASE Eq],0))))), 0)</f>
        <v>0</v>
      </c>
      <c r="J65" s="250" t="n">
        <f aca="false" t="array" ref="J65:J65">IFERROR( (MEDIAN((IF(DATOS_[[Sexo]:[Sexo]]=$B65,IF(DATOS_[[AGRUP. VALOR. PTO.]:[AGRUP. VALOR. PTO.]]=$B63,IF(DATOS_[[Check Periodo Ref.]:[Check Periodo Ref.]]="Dentro",IF(DATOS_[[Check Equiparado]:[Check Equiparado]]="Sí",IF(DATOS!AE$4="Sí",(1/DATOS_[[% anualiz]:[% anualiz]]),1)*IF(DATOS!AE$5="Sí",1/DATOS_[[% normaliz]:[% normaliz]],1)*(DATOS_[Conc.Sal.01])))))))), 0)</f>
        <v>0</v>
      </c>
      <c r="K65" s="250" t="n">
        <f aca="false" t="array" ref="K65:K65">IFERROR( (MEDIAN((IF(DATOS_[[Sexo]:[Sexo]]=$B65,IF(DATOS_[[AGRUP. VALOR. PTO.]:[AGRUP. VALOR. PTO.]]=$B63,IF(DATOS_[[Check Periodo Ref.]:[Check Periodo Ref.]]="Dentro",IF(DATOS_[[Check Equiparado]:[Check Equiparado]]="Sí",IF(DATOS!AF$4="Sí",(1/DATOS_[[% anualiz]:[% anualiz]]),1)*IF(DATOS!AF$5="Sí",1/DATOS_[[% normaliz]:[% normaliz]],1)*(DATOS_[Conc.Sal.02])))))))), 0)</f>
        <v>0</v>
      </c>
      <c r="L65" s="250" t="n">
        <f aca="false" t="array" ref="L65:L65">IFERROR( (MEDIAN((IF(DATOS_[[Sexo]:[Sexo]]=$B65,IF(DATOS_[[AGRUP. VALOR. PTO.]:[AGRUP. VALOR. PTO.]]=$B63,IF(DATOS_[[Check Periodo Ref.]:[Check Periodo Ref.]]="Dentro",IF(DATOS_[[Check Equiparado]:[Check Equiparado]]="Sí",IF(DATOS!AG$4="Sí",(1/DATOS_[[% anualiz]:[% anualiz]]),1)*IF(DATOS!AG$5="Sí",1/DATOS_[[% normaliz]:[% normaliz]],1)*(DATOS_[Conc.Sal.03])))))))), 0)</f>
        <v>0</v>
      </c>
      <c r="M65" s="250" t="n">
        <f aca="false" t="array" ref="M65:M65">IFERROR( (MEDIAN((IF(DATOS_[[Sexo]:[Sexo]]=$B65,IF(DATOS_[[AGRUP. VALOR. PTO.]:[AGRUP. VALOR. PTO.]]=$B63,IF(DATOS_[[Check Periodo Ref.]:[Check Periodo Ref.]]="Dentro",IF(DATOS_[[Check Equiparado]:[Check Equiparado]]="Sí",IF(DATOS!AH$4="Sí",(1/DATOS_[[% anualiz]:[% anualiz]]),1)*IF(DATOS!AH$5="Sí",1/DATOS_[[% normaliz]:[% normaliz]],1)*(DATOS_[Conc.Sal.04])))))))), 0)</f>
        <v>0</v>
      </c>
      <c r="N65" s="250" t="n">
        <f aca="false" t="array" ref="N65:N65">IFERROR( (MEDIAN((IF(DATOS_[[Sexo]:[Sexo]]=$B65,IF(DATOS_[[AGRUP. VALOR. PTO.]:[AGRUP. VALOR. PTO.]]=$B63,IF(DATOS_[[Check Periodo Ref.]:[Check Periodo Ref.]]="Dentro",IF(DATOS_[[Check Equiparado]:[Check Equiparado]]="Sí",IF(DATOS!AI$4="Sí",(1/DATOS_[[% anualiz]:[% anualiz]]),1)*IF(DATOS!AI$5="Sí",1/DATOS_[[% normaliz]:[% normaliz]],1)*(DATOS_[Conc.Sal.05])))))))), 0)</f>
        <v>0</v>
      </c>
      <c r="O65" s="250" t="n">
        <f aca="false" t="array" ref="O65:O65">IFERROR( (MEDIAN((IF(DATOS_[[Sexo]:[Sexo]]=$B65,IF(DATOS_[[AGRUP. VALOR. PTO.]:[AGRUP. VALOR. PTO.]]=$B63,IF(DATOS_[[Check Periodo Ref.]:[Check Periodo Ref.]]="Dentro",IF(DATOS_[[Check Equiparado]:[Check Equiparado]]="Sí",IF(DATOS!AJ$4="Sí",(1/DATOS_[[% anualiz]:[% anualiz]]),1)*IF(DATOS!AJ$5="Sí",1/DATOS_[[% normaliz]:[% normaliz]],1)*(DATOS_[Conc.Sal.06])))))))), 0)</f>
        <v>0</v>
      </c>
      <c r="P65" s="250" t="n">
        <f aca="false" t="array" ref="P65:P65">IFERROR( (MEDIAN((IF(DATOS_[[Sexo]:[Sexo]]=$B65,IF(DATOS_[[AGRUP. VALOR. PTO.]:[AGRUP. VALOR. PTO.]]=$B63,IF(DATOS_[[Check Periodo Ref.]:[Check Periodo Ref.]]="Dentro",IF(DATOS_[[Check Equiparado]:[Check Equiparado]]="Sí",IF(DATOS!AK$4="Sí",(1/DATOS_[[% anualiz]:[% anualiz]]),1)*IF(DATOS!AK$5="Sí",1/DATOS_[[% normaliz]:[% normaliz]],1)*(DATOS_[Conc.Sal.07])))))))), 0)</f>
        <v>0</v>
      </c>
      <c r="Q65" s="250" t="n">
        <f aca="false" t="array" ref="Q65:Q65">IFERROR( (MEDIAN((IF(DATOS_[[Sexo]:[Sexo]]=$B65,IF(DATOS_[[AGRUP. VALOR. PTO.]:[AGRUP. VALOR. PTO.]]=$B63,IF(DATOS_[[Check Periodo Ref.]:[Check Periodo Ref.]]="Dentro",IF(DATOS_[[Check Equiparado]:[Check Equiparado]]="Sí",IF(DATOS!AL$4="Sí",(1/DATOS_[[% anualiz]:[% anualiz]]),1)*IF(DATOS!AL$5="Sí",1/DATOS_[[% normaliz]:[% normaliz]],1)*(DATOS_[Conc.Sal.08])))))))), 0)</f>
        <v>0</v>
      </c>
      <c r="R65" s="250" t="n">
        <f aca="false" t="array" ref="R65:R65">IFERROR( (MEDIAN((IF(DATOS_[[Sexo]:[Sexo]]=$B65,IF(DATOS_[[AGRUP. VALOR. PTO.]:[AGRUP. VALOR. PTO.]]=$B63,IF(DATOS_[[Check Periodo Ref.]:[Check Periodo Ref.]]="Dentro",IF(DATOS_[[Check Equiparado]:[Check Equiparado]]="Sí",IF(DATOS!AM$4="Sí",(1/DATOS_[[% anualiz]:[% anualiz]]),1)*IF(DATOS!AM$5="Sí",1/DATOS_[[% normaliz]:[% normaliz]],1)*(DATOS_[Conc.Sal.09])))))))), 0)</f>
        <v>0</v>
      </c>
      <c r="S65" s="250" t="n">
        <f aca="false" t="array" ref="S65:S65">IFERROR( (MEDIAN((IF(DATOS_[[Sexo]:[Sexo]]=$B65,IF(DATOS_[[AGRUP. VALOR. PTO.]:[AGRUP. VALOR. PTO.]]=$B63,IF(DATOS_[[Check Periodo Ref.]:[Check Periodo Ref.]]="Dentro",IF(DATOS_[[Check Equiparado]:[Check Equiparado]]="Sí",IF(DATOS!AN$4="Sí",(1/DATOS_[[% anualiz]:[% anualiz]]),1)*IF(DATOS!AN$5="Sí",1/DATOS_[[% normaliz]:[% normaliz]],1)*(DATOS_[Conc.Sal.10])))))))), 0)</f>
        <v>0</v>
      </c>
      <c r="T65" s="250" t="n">
        <f aca="false" t="array" ref="T65:T65">IFERROR( (MEDIAN((IF(DATOS_[[Sexo]:[Sexo]]=$B65,IF(DATOS_[[AGRUP. VALOR. PTO.]:[AGRUP. VALOR. PTO.]]=$B63,IF(DATOS_[[Check Periodo Ref.]:[Check Periodo Ref.]]="Dentro",IF(DATOS_[[Check Equiparado]:[Check Equiparado]]="Sí",IF(DATOS!AO$4="Sí",(1/DATOS_[[% anualiz]:[% anualiz]]),1)*IF(DATOS!AO$5="Sí",1/DATOS_[[% normaliz]:[% normaliz]],1)*(DATOS_[Conc.Sal.11])))))))), 0)</f>
        <v>0</v>
      </c>
      <c r="U65" s="250" t="n">
        <f aca="false" t="array" ref="U65:U65">IFERROR( (MEDIAN((IF(DATOS_[[Sexo]:[Sexo]]=$B65,IF(DATOS_[[AGRUP. VALOR. PTO.]:[AGRUP. VALOR. PTO.]]=$B63,IF(DATOS_[[Check Periodo Ref.]:[Check Periodo Ref.]]="Dentro",IF(DATOS_[[Check Equiparado]:[Check Equiparado]]="Sí",IF(DATOS!AP$4="Sí",(1/DATOS_[[% anualiz]:[% anualiz]]),1)*IF(DATOS!AP$5="Sí",1/DATOS_[[% normaliz]:[% normaliz]],1)*(DATOS_[Conc.Sal.12])))))))), 0)</f>
        <v>0</v>
      </c>
      <c r="V65" s="250" t="n">
        <f aca="false" t="array" ref="V65:V65">IFERROR( (MEDIAN((IF(DATOS_[[Sexo]:[Sexo]]=$B65,IF(DATOS_[[AGRUP. VALOR. PTO.]:[AGRUP. VALOR. PTO.]]=$B63,IF(DATOS_[[Check Periodo Ref.]:[Check Periodo Ref.]]="Dentro",IF(DATOS_[[Check Equiparado]:[Check Equiparado]]="Sí",IF(DATOS!AQ$4="Sí",(1/DATOS_[[% anualiz]:[% anualiz]]),1)*IF(DATOS!AQ$5="Sí",1/DATOS_[[% normaliz]:[% normaliz]],1)*(DATOS_[Conc.Sal.13])))))))), 0)</f>
        <v>0</v>
      </c>
      <c r="W65" s="250" t="n">
        <f aca="false" t="array" ref="W65:W65">IFERROR( (MEDIAN((IF(DATOS_[[Sexo]:[Sexo]]=$B65,IF(DATOS_[[AGRUP. VALOR. PTO.]:[AGRUP. VALOR. PTO.]]=$B63,IF(DATOS_[[Check Periodo Ref.]:[Check Periodo Ref.]]="Dentro",IF(DATOS_[[Check Equiparado]:[Check Equiparado]]="Sí",IF(DATOS!AR$4="Sí",(1/DATOS_[[% anualiz]:[% anualiz]]),1)*IF(DATOS!AR$5="Sí",1/DATOS_[[% normaliz]:[% normaliz]],1)*(DATOS_[Conc.Sal.14])))))))), 0)</f>
        <v>0</v>
      </c>
      <c r="X65" s="250" t="n">
        <f aca="false" t="array" ref="X65:X65">IFERROR( (MEDIAN((IF(DATOS_[[Sexo]:[Sexo]]=$B65,IF(DATOS_[[AGRUP. VALOR. PTO.]:[AGRUP. VALOR. PTO.]]=$B63,IF(DATOS_[[Check Periodo Ref.]:[Check Periodo Ref.]]="Dentro",IF(DATOS_[[Check Equiparado]:[Check Equiparado]]="Sí",IF(DATOS!AS$4="Sí",(1/DATOS_[[% anualiz]:[% anualiz]]),1)*IF(DATOS!AS$5="Sí",1/DATOS_[[% normaliz]:[% normaliz]],1)*(DATOS_[Conc.Sal.15])))))))), 0)</f>
        <v>0</v>
      </c>
      <c r="Y65" s="250" t="n">
        <f aca="false" t="array" ref="Y65:Y65">IFERROR( (MEDIAN((IF(DATOS_[[Sexo]:[Sexo]]=$B65,IF(DATOS_[[AGRUP. VALOR. PTO.]:[AGRUP. VALOR. PTO.]]=$B63,IF(DATOS_[[Check Periodo Ref.]:[Check Periodo Ref.]]="Dentro",IF(DATOS_[[Check Equiparado]:[Check Equiparado]]="Sí",IF(DATOS!AT$4="Sí",(1/DATOS_[[% anualiz]:[% anualiz]]),1)*IF(DATOS!AT$5="Sí",1/DATOS_[[% normaliz]:[% normaliz]],1)*(DATOS_[Conc.Sal.16])))))))), 0)</f>
        <v>0</v>
      </c>
      <c r="Z65" s="250" t="n">
        <f aca="false" t="array" ref="Z65:Z65">IFERROR( (MEDIAN((IF(DATOS_[[Sexo]:[Sexo]]=$B65,IF(DATOS_[[AGRUP. VALOR. PTO.]:[AGRUP. VALOR. PTO.]]=$B63,IF(DATOS_[[Check Periodo Ref.]:[Check Periodo Ref.]]="Dentro",IF(DATOS_[[Check Equiparado]:[Check Equiparado]]="Sí",IF(DATOS!AU$4="Sí",(1/DATOS_[[% anualiz]:[% anualiz]]),1)*IF(DATOS!AU$5="Sí",1/DATOS_[[% normaliz]:[% normaliz]],1)*(DATOS_[Conc.Sal.17])))))))), 0)</f>
        <v>0</v>
      </c>
      <c r="AA65" s="250" t="n">
        <f aca="false" t="array" ref="AA65:AA65">IFERROR( (MEDIAN((IF(DATOS_[[Sexo]:[Sexo]]=$B65,IF(DATOS_[[AGRUP. VALOR. PTO.]:[AGRUP. VALOR. PTO.]]=$B63,IF(DATOS_[[Check Periodo Ref.]:[Check Periodo Ref.]]="Dentro",IF(DATOS_[[Check Equiparado]:[Check Equiparado]]="Sí",IF(DATOS!AV$4="Sí",(1/DATOS_[[% anualiz]:[% anualiz]]),1)*IF(DATOS!AV$5="Sí",1/DATOS_[[% normaliz]:[% normaliz]],1)*(DATOS_[Conc.Sal.18])))))))), 0)</f>
        <v>0</v>
      </c>
      <c r="AB65" s="250" t="n">
        <f aca="false" t="array" ref="AB65:AB65">IFERROR( (MEDIAN((IF(DATOS_[[Sexo]:[Sexo]]=$B65,IF(DATOS_[[AGRUP. VALOR. PTO.]:[AGRUP. VALOR. PTO.]]=$B63,IF(DATOS_[[Check Periodo Ref.]:[Check Periodo Ref.]]="Dentro",IF(DATOS_[[Check Equiparado]:[Check Equiparado]]="Sí",IF(DATOS!AW$4="Sí",(1/DATOS_[[% anualiz]:[% anualiz]]),1)*IF(DATOS!AW$5="Sí",1/DATOS_[[% normaliz]:[% normaliz]],1)*(DATOS_[Conc.Sal.19])))))))), 0)</f>
        <v>0</v>
      </c>
      <c r="AC65" s="250" t="n">
        <f aca="false" t="array" ref="AC65:AC65">IFERROR( (MEDIAN((IF(DATOS_[[Sexo]:[Sexo]]=$B65,IF(DATOS_[[AGRUP. VALOR. PTO.]:[AGRUP. VALOR. PTO.]]=$B63,IF(DATOS_[[Check Periodo Ref.]:[Check Periodo Ref.]]="Dentro",IF(DATOS_[[Check Equiparado]:[Check Equiparado]]="Sí",IF(DATOS!AX$4="Sí",(1/DATOS_[[% anualiz]:[% anualiz]]),1)*IF(DATOS!AX$5="Sí",1/DATOS_[[% normaliz]:[% normaliz]],1)*(DATOS_[Conc.Sal.20])))))))), 0)</f>
        <v>0</v>
      </c>
      <c r="AD65" s="250" t="n">
        <f aca="false" t="array" ref="AD65:AD65">IFERROR( (MEDIAN((IF(DATOS_[[Sexo]:[Sexo]]=$B65,IF(DATOS_[[AGRUP. VALOR. PTO.]:[AGRUP. VALOR. PTO.]]=$B63,IF(DATOS_[[Check Periodo Ref.]:[Check Periodo Ref.]]="Dentro",IF(DATOS_[[Check Equiparado]:[Check Equiparado]]="Sí",IF(DATOS!AY$4="Sí",(1/DATOS_[[% anualiz]:[% anualiz]]),1)*IF(DATOS!AY$5="Sí",1/DATOS_[[% normaliz]:[% normaliz]],1)*(DATOS_[Conc.Sal.21])))))))), 0)</f>
        <v>0</v>
      </c>
      <c r="AE65" s="250" t="n">
        <f aca="false" t="array" ref="AE65:AE65">IFERROR( (MEDIAN((IF(DATOS_[[Sexo]:[Sexo]]=$B65,IF(DATOS_[[AGRUP. VALOR. PTO.]:[AGRUP. VALOR. PTO.]]=$B63,IF(DATOS_[[Check Periodo Ref.]:[Check Periodo Ref.]]="Dentro",IF(DATOS_[[Check Equiparado]:[Check Equiparado]]="Sí",IF(DATOS!AZ$4="Sí",(1/DATOS_[[% anualiz]:[% anualiz]]),1)*IF(DATOS!AZ$5="Sí",1/DATOS_[[% normaliz]:[% normaliz]],1)*(DATOS_[Conc.Sal.22])))))))), 0)</f>
        <v>0</v>
      </c>
      <c r="AF65" s="250" t="n">
        <f aca="false" t="array" ref="AF65:AF65">IFERROR( (MEDIAN((IF(DATOS_[[Sexo]:[Sexo]]=$B65,IF(DATOS_[[AGRUP. VALOR. PTO.]:[AGRUP. VALOR. PTO.]]=$B63,IF(DATOS_[[Check Periodo Ref.]:[Check Periodo Ref.]]="Dentro",IF(DATOS_[[Check Equiparado]:[Check Equiparado]]="Sí",IF(DATOS!BA$4="Sí",(1/DATOS_[[% anualiz]:[% anualiz]]),1)*IF(DATOS!BA$5="Sí",1/DATOS_[[% normaliz]:[% normaliz]],1)*(DATOS_[Conc.Sal.23])))))))), 0)</f>
        <v>0</v>
      </c>
      <c r="AG65" s="250" t="n">
        <f aca="false" t="array" ref="AG65:AG65">IFERROR( (MEDIAN((IF(DATOS_[[Sexo]:[Sexo]]=$B65,IF(DATOS_[[AGRUP. VALOR. PTO.]:[AGRUP. VALOR. PTO.]]=$B63,IF(DATOS_[[Check Periodo Ref.]:[Check Periodo Ref.]]="Dentro",IF(DATOS_[[Check Equiparado]:[Check Equiparado]]="Sí",IF(DATOS!BB$4="Sí",(1/DATOS_[[% anualiz]:[% anualiz]]),1)*IF(DATOS!BB$5="Sí",1/DATOS_[[% normaliz]:[% normaliz]],1)*(DATOS_[Conc.Sal.24])))))))), 0)</f>
        <v>0</v>
      </c>
      <c r="AH65" s="250" t="n">
        <f aca="false" t="array" ref="AH65:AH65">IFERROR( (MEDIAN((IF(DATOS_[[Sexo]:[Sexo]]=$B65,IF(DATOS_[[AGRUP. VALOR. PTO.]:[AGRUP. VALOR. PTO.]]=$B63,IF(DATOS_[[Check Periodo Ref.]:[Check Periodo Ref.]]="Dentro",IF(DATOS_[[Check Equiparado]:[Check Equiparado]]="Sí",IF(DATOS!BC$4="Sí",(1/DATOS_[[% anualiz]:[% anualiz]]),1)*IF(DATOS!BC$5="Sí",1/DATOS_[[% normaliz]:[% normaliz]],1)*(DATOS_[Conc.Sal.25])))))))), 0)</f>
        <v>0</v>
      </c>
      <c r="AI65" s="250" t="n">
        <f aca="false" t="array" ref="AI65:AI65">IFERROR( (MEDIAN((IF(DATOS_[[Sexo]:[Sexo]]=$B65,IF(DATOS_[[AGRUP. VALOR. PTO.]:[AGRUP. VALOR. PTO.]]=$B63,IF(DATOS_[[Check Periodo Ref.]:[Check Periodo Ref.]]="Dentro",IF(DATOS_[[Check Equiparado]:[Check Equiparado]]="Sí",IF(DATOS!BD$4="Sí",(1/DATOS_[[% anualiz]:[% anualiz]]),1)*IF(DATOS!BD$5="Sí",1/DATOS_[[% normaliz]:[% normaliz]],1)*(DATOS_[Conc.Sal.26])))))))), 0)</f>
        <v>0</v>
      </c>
      <c r="AJ65" s="250" t="n">
        <f aca="false" t="array" ref="AJ65:AJ65">IFERROR( (MEDIAN((IF(DATOS_[[Sexo]:[Sexo]]=$B65,IF(DATOS_[[AGRUP. VALOR. PTO.]:[AGRUP. VALOR. PTO.]]=$B63,IF(DATOS_[[Check Periodo Ref.]:[Check Periodo Ref.]]="Dentro",IF(DATOS_[[Check Equiparado]:[Check Equiparado]]="Sí",IF(DATOS!BE$4="Sí",(1/DATOS_[[% anualiz]:[% anualiz]]),1)*IF(DATOS!BE$5="Sí",1/DATOS_[[% normaliz]:[% normaliz]],1)*(DATOS_[Conc.Sal.27])))))))), 0)</f>
        <v>0</v>
      </c>
      <c r="AK65" s="250" t="n">
        <f aca="false" t="array" ref="AK65:AK65">IFERROR( (MEDIAN((IF(DATOS_[[Sexo]:[Sexo]]=$B65,IF(DATOS_[[AGRUP. VALOR. PTO.]:[AGRUP. VALOR. PTO.]]=$B63,IF(DATOS_[[Check Periodo Ref.]:[Check Periodo Ref.]]="Dentro",IF(DATOS_[[Check Equiparado]:[Check Equiparado]]="Sí",IF(DATOS!BF$4="Sí",(1/DATOS_[[% anualiz]:[% anualiz]]),1)*IF(DATOS!BF$5="Sí",1/DATOS_[[% normaliz]:[% normaliz]],1)*(DATOS_[Conc.Sal.28])))))))), 0)</f>
        <v>0</v>
      </c>
      <c r="AL65" s="250" t="n">
        <f aca="false" t="array" ref="AL65:AL65">IFERROR( (MEDIAN((IF(DATOS_[[Sexo]:[Sexo]]=$B65,IF(DATOS_[[AGRUP. VALOR. PTO.]:[AGRUP. VALOR. PTO.]]=$B63,IF(DATOS_[[Check Periodo Ref.]:[Check Periodo Ref.]]="Dentro",IF(DATOS_[[Check Equiparado]:[Check Equiparado]]="Sí",IF(DATOS!BG$4="Sí",(1/DATOS_[[% anualiz]:[% anualiz]]),1)*IF(DATOS!BG$5="Sí",1/DATOS_[[% normaliz]:[% normaliz]],1)*(DATOS_[Conc.Sal.29])))))))), 0)</f>
        <v>0</v>
      </c>
      <c r="AM65" s="250" t="n">
        <f aca="false" t="array" ref="AM65:AM65">IFERROR( (MEDIAN((IF(DATOS_[[Sexo]:[Sexo]]=$B65,IF(DATOS_[[AGRUP. VALOR. PTO.]:[AGRUP. VALOR. PTO.]]=$B63,IF(DATOS_[[Check Periodo Ref.]:[Check Periodo Ref.]]="Dentro",IF(DATOS_[[Check Equiparado]:[Check Equiparado]]="Sí",IF(DATOS!BH$4="Sí",(1/DATOS_[[% anualiz]:[% anualiz]]),1)*IF(DATOS!BH$5="Sí",1/DATOS_[[% normaliz]:[% normaliz]],1)*(DATOS_[Conc.Sal.30])))))))), 0)</f>
        <v>0</v>
      </c>
      <c r="AN65" s="251" t="n">
        <f aca="false" t="array" ref="AN65:AN65">IFERROR( MEDIAN(IF(DATOS_[Sexo]=$B65,IF(DATOS_[[AGRUP. VALOR. PTO.]:[AGRUP. VALOR. PTO.]]=$B63,IF(DATOS_[Check Equiparado]="Sí",IF(DATOS_[Check Periodo Ref.]="Dentro",DATOS_[Tot COMPL.SAL Eq],0))))), 0)</f>
        <v>0</v>
      </c>
      <c r="AO65" s="252" t="n">
        <f aca="false" t="array" ref="AO65:AO65">IFERROR( MEDIAN(IF(DATOS_[Sexo]=$B65,IF(DATOS_[[AGRUP. VALOR. PTO.]:[AGRUP. VALOR. PTO.]]=$B63,IF(DATOS_[Check Equiparado]="Sí",IF(DATOS_[Check Periodo Ref.]="Dentro",DATOS_[TOTAL SALARIO Eq],0))))), 0)</f>
        <v>0</v>
      </c>
      <c r="AP65" s="259" t="n">
        <f aca="false" t="array" ref="AP65:AP65">IFERROR( (MEDIAN((IF(DATOS_[[Sexo]:[Sexo]]=$B65,IF(DATOS_[[AGRUP. VALOR. PTO.]:[AGRUP. VALOR. PTO.]]=$B64,IF(DATOS_[[Check Periodo Ref.]:[Check Periodo Ref.]]="Dentro",IF(DATOS_[[Check Equiparado]:[Check Equiparado]]="Sí",IF(DATOS!BI$4="Sí",(1/DATOS_[[% anualiz]:[% anualiz]]),1)*IF(DATOS!BI$5="Sí",1/DATOS_[[% normaliz]:[% normaliz]],1)*(DATOS_[C.Extra.01])))))))), 0)</f>
        <v>0</v>
      </c>
      <c r="AQ65" s="259" t="n">
        <f aca="false" t="array" ref="AQ65:AQ65">IFERROR( (MEDIAN((IF(DATOS_[[Sexo]:[Sexo]]=$B65,IF(DATOS_[[AGRUP. VALOR. PTO.]:[AGRUP. VALOR. PTO.]]=$B64,IF(DATOS_[[Check Periodo Ref.]:[Check Periodo Ref.]]="Dentro",IF(DATOS_[[Check Equiparado]:[Check Equiparado]]="Sí",IF(DATOS!BJ$4="Sí",(1/DATOS_[[% anualiz]:[% anualiz]]),1)*IF(DATOS!BJ$5="Sí",1/DATOS_[[% normaliz]:[% normaliz]],1)*(DATOS_[C.Extra.02])))))))), 0)</f>
        <v>0</v>
      </c>
      <c r="AR65" s="259" t="n">
        <f aca="false" t="array" ref="AR65:AR65">IFERROR( (MEDIAN((IF(DATOS_[[Sexo]:[Sexo]]=$B65,IF(DATOS_[[AGRUP. VALOR. PTO.]:[AGRUP. VALOR. PTO.]]=$B64,IF(DATOS_[[Check Periodo Ref.]:[Check Periodo Ref.]]="Dentro",IF(DATOS_[[Check Equiparado]:[Check Equiparado]]="Sí",IF(DATOS!BK$4="Sí",(1/DATOS_[[% anualiz]:[% anualiz]]),1)*IF(DATOS!BK$5="Sí",1/DATOS_[[% normaliz]:[% normaliz]],1)*(DATOS_[C.Extra.03])))))))), 0)</f>
        <v>0</v>
      </c>
      <c r="AS65" s="259" t="n">
        <f aca="false" t="array" ref="AS65:AS65">IFERROR( (MEDIAN((IF(DATOS_[[Sexo]:[Sexo]]=$B65,IF(DATOS_[[AGRUP. VALOR. PTO.]:[AGRUP. VALOR. PTO.]]=$B64,IF(DATOS_[[Check Periodo Ref.]:[Check Periodo Ref.]]="Dentro",IF(DATOS_[[Check Equiparado]:[Check Equiparado]]="Sí",IF(DATOS!BL$4="Sí",(1/DATOS_[[% anualiz]:[% anualiz]]),1)*IF(DATOS!BL$5="Sí",1/DATOS_[[% normaliz]:[% normaliz]],1)*(DATOS_[C.Extra.04])))))))), 0)</f>
        <v>0</v>
      </c>
      <c r="AT65" s="259" t="n">
        <f aca="false" t="array" ref="AT65:AT65">IFERROR( (MEDIAN((IF(DATOS_[[Sexo]:[Sexo]]=$B65,IF(DATOS_[[AGRUP. VALOR. PTO.]:[AGRUP. VALOR. PTO.]]=$B64,IF(DATOS_[[Check Periodo Ref.]:[Check Periodo Ref.]]="Dentro",IF(DATOS_[[Check Equiparado]:[Check Equiparado]]="Sí",IF(DATOS!BM$4="Sí",(1/DATOS_[[% anualiz]:[% anualiz]]),1)*IF(DATOS!BM$5="Sí",1/DATOS_[[% normaliz]:[% normaliz]],1)*(DATOS_[C.Extra.05])))))))), 0)</f>
        <v>0</v>
      </c>
      <c r="AU65" s="254" t="n">
        <f aca="false" t="array" ref="AU65:AU65">IFERROR( MEDIAN(IF(DATOS_[Sexo]=$B65,IF(DATOS_[[AGRUP. VALOR. PTO.]:[AGRUP. VALOR. PTO.]]=$B63,IF(DATOS_[Check Equiparado]="Sí",IF(DATOS_[Check Periodo Ref.]="Dentro",DATOS_[Tot Extrasalarial Eq],0))))), 0)</f>
        <v>0</v>
      </c>
      <c r="AV65" s="255" t="n">
        <f aca="false" t="array" ref="AV65:AV65">IFERROR( MEDIAN(IF(DATOS_[Sexo]=$B65,IF(DATOS_[[AGRUP. VALOR. PTO.]:[AGRUP. VALOR. PTO.]]=$B63,IF(DATOS_[Check Equiparado]="Sí",IF(DATOS_[Check Periodo Ref.]="Dentro",DATOS_[TOTAL Retrib Eq],0))))), 0)</f>
        <v>0</v>
      </c>
    </row>
    <row r="66" customFormat="false" ht="15.75" hidden="false" customHeight="false" outlineLevel="0" collapsed="false">
      <c r="A66" s="217" t="str">
        <f aca="false">+A67</f>
        <v>[ocultar]</v>
      </c>
      <c r="B66" s="320" t="s">
        <v>220</v>
      </c>
      <c r="C66" s="236"/>
      <c r="D66" s="237"/>
      <c r="E66" s="237"/>
      <c r="F66" s="237"/>
      <c r="G66" s="237"/>
      <c r="H66" s="237"/>
      <c r="I66" s="238" t="str">
        <f aca="false">IFERROR((I67-I68)/I67,"")</f>
        <v/>
      </c>
      <c r="J66" s="239" t="str">
        <f aca="false">IFERROR((J67-J68)/J67,"")</f>
        <v/>
      </c>
      <c r="K66" s="239" t="str">
        <f aca="false">IFERROR((K67-K68)/K67,"")</f>
        <v/>
      </c>
      <c r="L66" s="239" t="str">
        <f aca="false">IFERROR((L67-L68)/L67,"")</f>
        <v/>
      </c>
      <c r="M66" s="239" t="str">
        <f aca="false">IFERROR((M67-M68)/M67,"")</f>
        <v/>
      </c>
      <c r="N66" s="239" t="str">
        <f aca="false">IFERROR((N67-N68)/N67,"")</f>
        <v/>
      </c>
      <c r="O66" s="239" t="str">
        <f aca="false">IFERROR((O67-O68)/O67,"")</f>
        <v/>
      </c>
      <c r="P66" s="239" t="str">
        <f aca="false">IFERROR((P67-P68)/P67,"")</f>
        <v/>
      </c>
      <c r="Q66" s="239" t="str">
        <f aca="false">IFERROR((Q67-Q68)/Q67,"")</f>
        <v/>
      </c>
      <c r="R66" s="239" t="str">
        <f aca="false">IFERROR((R67-R68)/R67,"")</f>
        <v/>
      </c>
      <c r="S66" s="239" t="str">
        <f aca="false">IFERROR((S67-S68)/S67,"")</f>
        <v/>
      </c>
      <c r="T66" s="239" t="str">
        <f aca="false">IFERROR((T67-T68)/T67,"")</f>
        <v/>
      </c>
      <c r="U66" s="239" t="str">
        <f aca="false">IFERROR((U67-U68)/U67,"")</f>
        <v/>
      </c>
      <c r="V66" s="239" t="str">
        <f aca="false">IFERROR((V67-V68)/V67,"")</f>
        <v/>
      </c>
      <c r="W66" s="239" t="str">
        <f aca="false">IFERROR((W67-W68)/W67,"")</f>
        <v/>
      </c>
      <c r="X66" s="239" t="str">
        <f aca="false">IFERROR((X67-X68)/X67,"")</f>
        <v/>
      </c>
      <c r="Y66" s="239" t="str">
        <f aca="false">IFERROR((Y67-Y68)/Y67,"")</f>
        <v/>
      </c>
      <c r="Z66" s="240" t="str">
        <f aca="false">IFERROR((Z67-Z68)/Z67,"")</f>
        <v/>
      </c>
      <c r="AA66" s="240" t="str">
        <f aca="false">IFERROR((AA67-AA68)/AA67,"")</f>
        <v/>
      </c>
      <c r="AB66" s="240" t="str">
        <f aca="false">IFERROR((AB67-AB68)/AB67,"")</f>
        <v/>
      </c>
      <c r="AC66" s="240" t="str">
        <f aca="false">IFERROR((AC67-AC68)/AC67,"")</f>
        <v/>
      </c>
      <c r="AD66" s="240" t="str">
        <f aca="false">IFERROR((AD67-AD68)/AD67,"")</f>
        <v/>
      </c>
      <c r="AE66" s="240" t="str">
        <f aca="false">IFERROR((AE67-AE68)/AE67,"")</f>
        <v/>
      </c>
      <c r="AF66" s="240" t="str">
        <f aca="false">IFERROR((AF67-AF68)/AF67,"")</f>
        <v/>
      </c>
      <c r="AG66" s="240" t="str">
        <f aca="false">IFERROR((AG67-AG68)/AG67,"")</f>
        <v/>
      </c>
      <c r="AH66" s="240" t="str">
        <f aca="false">IFERROR((AH67-AH68)/AH67,"")</f>
        <v/>
      </c>
      <c r="AI66" s="240" t="str">
        <f aca="false">IFERROR((AI67-AI68)/AI67,"")</f>
        <v/>
      </c>
      <c r="AJ66" s="240" t="str">
        <f aca="false">IFERROR((AJ67-AJ68)/AJ67,"")</f>
        <v/>
      </c>
      <c r="AK66" s="240" t="str">
        <f aca="false">IFERROR((AK67-AK68)/AK67,"")</f>
        <v/>
      </c>
      <c r="AL66" s="240" t="str">
        <f aca="false">IFERROR((AL67-AL68)/AL67,"")</f>
        <v/>
      </c>
      <c r="AM66" s="240" t="str">
        <f aca="false">IFERROR((AM67-AM68)/AM67,"")</f>
        <v/>
      </c>
      <c r="AN66" s="241" t="str">
        <f aca="false">IFERROR((AN67-AN68)/AN67,"")</f>
        <v/>
      </c>
      <c r="AO66" s="242" t="str">
        <f aca="false">IFERROR((AO67-AO68)/AO67,"")</f>
        <v/>
      </c>
      <c r="AP66" s="243" t="str">
        <f aca="false">IFERROR((AP67-AP68)/AP67,"")</f>
        <v/>
      </c>
      <c r="AQ66" s="243" t="str">
        <f aca="false">IFERROR((AQ67-AQ68)/AQ67,"")</f>
        <v/>
      </c>
      <c r="AR66" s="243" t="str">
        <f aca="false">IFERROR((AR67-AR68)/AR67,"")</f>
        <v/>
      </c>
      <c r="AS66" s="243" t="str">
        <f aca="false">IFERROR((AS67-AS68)/AS67,"")</f>
        <v/>
      </c>
      <c r="AT66" s="243" t="str">
        <f aca="false">IFERROR((AT67-AT68)/AT67,"")</f>
        <v/>
      </c>
      <c r="AU66" s="244" t="str">
        <f aca="false">IFERROR((AU67-AU68)/AU67,"")</f>
        <v/>
      </c>
      <c r="AV66" s="245" t="str">
        <f aca="false">IFERROR((AV67-AV68)/AV67,"")</f>
        <v/>
      </c>
    </row>
    <row r="67" customFormat="false" ht="14.25" hidden="false" customHeight="false" outlineLevel="0" collapsed="false">
      <c r="A67" s="217" t="str">
        <f aca="false">+IF(C67+C68=0,"[ocultar]","")</f>
        <v>[ocultar]</v>
      </c>
      <c r="B67" s="323" t="s">
        <v>371</v>
      </c>
      <c r="C67" s="247" t="n">
        <f aca="false" t="array" ref="C67:C67">SUM(IF($B67=DATOS_[Sexo], IF($B66=DATOS_[AGRUP. VALOR. PTO.], IF("Dentro"=DATOS_[Check Periodo Ref.], 1/(COUNTIFS(DATOS_[Sexo],$B67,DATOS_[AGRUP. VALOR. PTO.],$B66,DATOS_[Check Periodo Ref.],"Dentro",DATOS_[id],DATOS_[id]))))))</f>
        <v>0</v>
      </c>
      <c r="D67" s="248" t="n">
        <f aca="false">COUNTIFS(DATOS_[AGRUP. VALOR. PTO.],$B66,DATOS_[Sexo],$B67,DATOS_[Check Periodo Ref.],"Dentro")</f>
        <v>0</v>
      </c>
      <c r="E67" s="248" t="n">
        <f aca="false">COUNTIFS(DATOS_[AGRUP. VALOR. PTO.],$B66,DATOS_[Sexo],$B67,DATOS_[Check Periodo Ref.],"Dentro",DATOS_[Check Nº SC Norm],"Sí")</f>
        <v>0</v>
      </c>
      <c r="F67" s="248" t="n">
        <f aca="false">COUNTIFS(DATOS_[AGRUP. VALOR. PTO.],$B66,DATOS_[Sexo],$B67,DATOS_[Check Periodo Ref.],"Dentro",DATOS_[Check Nº SC Anualiz],"Sí")</f>
        <v>0</v>
      </c>
      <c r="G67" s="248" t="n">
        <f aca="false">COUNTIFS(DATOS_[AGRUP. VALOR. PTO.],$B66,DATOS_[Sexo],$B67,DATOS_[Check Periodo Ref.],"Dentro",DATOS_[Check Nº SC Norm y Anualiz],"Sí")</f>
        <v>0</v>
      </c>
      <c r="H67" s="248" t="n">
        <f aca="false">COUNTIFS(DATOS_[AGRUP. VALOR. PTO.],$B66,DATOS_[Sexo],$B67,DATOS_[Check Periodo Ref.],"Dentro",DATOS_[Check Equiparación],"Sí")</f>
        <v>0</v>
      </c>
      <c r="I67" s="249" t="n">
        <f aca="false" t="array" ref="I67:I67">IFERROR( MEDIAN(IF(DATOS_[Sexo]=$B67,IF(DATOS_[[AGRUP. VALOR. PTO.]:[AGRUP. VALOR. PTO.]]=$B66,IF(DATOS_[Check Equiparado]="Sí",IF(DATOS_[Check Periodo Ref.]="Dentro",DATOS_[SALARIO BASE Eq],0))))), 0)</f>
        <v>0</v>
      </c>
      <c r="J67" s="250" t="n">
        <f aca="false" t="array" ref="J67:J67">IFERROR( (MEDIAN((IF(DATOS_[[Sexo]:[Sexo]]=$B67,IF(DATOS_[[AGRUP. VALOR. PTO.]:[AGRUP. VALOR. PTO.]]=$B66,IF(DATOS_[[Check Periodo Ref.]:[Check Periodo Ref.]]="Dentro",IF(DATOS_[[Check Equiparado]:[Check Equiparado]]="Sí",IF(DATOS!AE$4="Sí",(1/DATOS_[[% anualiz]:[% anualiz]]),1)*IF(DATOS!AE$5="Sí",1/DATOS_[[% normaliz]:[% normaliz]],1)*(DATOS_[Conc.Sal.01])))))))), 0)</f>
        <v>0</v>
      </c>
      <c r="K67" s="250" t="n">
        <f aca="false" t="array" ref="K67:K67">IFERROR( (MEDIAN((IF(DATOS_[[Sexo]:[Sexo]]=$B67,IF(DATOS_[[AGRUP. VALOR. PTO.]:[AGRUP. VALOR. PTO.]]=$B66,IF(DATOS_[[Check Periodo Ref.]:[Check Periodo Ref.]]="Dentro",IF(DATOS_[[Check Equiparado]:[Check Equiparado]]="Sí",IF(DATOS!AF$4="Sí",(1/DATOS_[[% anualiz]:[% anualiz]]),1)*IF(DATOS!AF$5="Sí",1/DATOS_[[% normaliz]:[% normaliz]],1)*(DATOS_[Conc.Sal.02])))))))), 0)</f>
        <v>0</v>
      </c>
      <c r="L67" s="250" t="n">
        <f aca="false" t="array" ref="L67:L67">IFERROR( (MEDIAN((IF(DATOS_[[Sexo]:[Sexo]]=$B67,IF(DATOS_[[AGRUP. VALOR. PTO.]:[AGRUP. VALOR. PTO.]]=$B66,IF(DATOS_[[Check Periodo Ref.]:[Check Periodo Ref.]]="Dentro",IF(DATOS_[[Check Equiparado]:[Check Equiparado]]="Sí",IF(DATOS!AG$4="Sí",(1/DATOS_[[% anualiz]:[% anualiz]]),1)*IF(DATOS!AG$5="Sí",1/DATOS_[[% normaliz]:[% normaliz]],1)*(DATOS_[Conc.Sal.03])))))))), 0)</f>
        <v>0</v>
      </c>
      <c r="M67" s="250" t="n">
        <f aca="false" t="array" ref="M67:M67">IFERROR( (MEDIAN((IF(DATOS_[[Sexo]:[Sexo]]=$B67,IF(DATOS_[[AGRUP. VALOR. PTO.]:[AGRUP. VALOR. PTO.]]=$B66,IF(DATOS_[[Check Periodo Ref.]:[Check Periodo Ref.]]="Dentro",IF(DATOS_[[Check Equiparado]:[Check Equiparado]]="Sí",IF(DATOS!AH$4="Sí",(1/DATOS_[[% anualiz]:[% anualiz]]),1)*IF(DATOS!AH$5="Sí",1/DATOS_[[% normaliz]:[% normaliz]],1)*(DATOS_[Conc.Sal.04])))))))), 0)</f>
        <v>0</v>
      </c>
      <c r="N67" s="250" t="n">
        <f aca="false" t="array" ref="N67:N67">IFERROR( (MEDIAN((IF(DATOS_[[Sexo]:[Sexo]]=$B67,IF(DATOS_[[AGRUP. VALOR. PTO.]:[AGRUP. VALOR. PTO.]]=$B66,IF(DATOS_[[Check Periodo Ref.]:[Check Periodo Ref.]]="Dentro",IF(DATOS_[[Check Equiparado]:[Check Equiparado]]="Sí",IF(DATOS!AI$4="Sí",(1/DATOS_[[% anualiz]:[% anualiz]]),1)*IF(DATOS!AI$5="Sí",1/DATOS_[[% normaliz]:[% normaliz]],1)*(DATOS_[Conc.Sal.05])))))))), 0)</f>
        <v>0</v>
      </c>
      <c r="O67" s="250" t="n">
        <f aca="false" t="array" ref="O67:O67">IFERROR( (MEDIAN((IF(DATOS_[[Sexo]:[Sexo]]=$B67,IF(DATOS_[[AGRUP. VALOR. PTO.]:[AGRUP. VALOR. PTO.]]=$B66,IF(DATOS_[[Check Periodo Ref.]:[Check Periodo Ref.]]="Dentro",IF(DATOS_[[Check Equiparado]:[Check Equiparado]]="Sí",IF(DATOS!AJ$4="Sí",(1/DATOS_[[% anualiz]:[% anualiz]]),1)*IF(DATOS!AJ$5="Sí",1/DATOS_[[% normaliz]:[% normaliz]],1)*(DATOS_[Conc.Sal.06])))))))), 0)</f>
        <v>0</v>
      </c>
      <c r="P67" s="250" t="n">
        <f aca="false" t="array" ref="P67:P67">IFERROR( (MEDIAN((IF(DATOS_[[Sexo]:[Sexo]]=$B67,IF(DATOS_[[AGRUP. VALOR. PTO.]:[AGRUP. VALOR. PTO.]]=$B66,IF(DATOS_[[Check Periodo Ref.]:[Check Periodo Ref.]]="Dentro",IF(DATOS_[[Check Equiparado]:[Check Equiparado]]="Sí",IF(DATOS!AK$4="Sí",(1/DATOS_[[% anualiz]:[% anualiz]]),1)*IF(DATOS!AK$5="Sí",1/DATOS_[[% normaliz]:[% normaliz]],1)*(DATOS_[Conc.Sal.07])))))))), 0)</f>
        <v>0</v>
      </c>
      <c r="Q67" s="250" t="n">
        <f aca="false" t="array" ref="Q67:Q67">IFERROR( (MEDIAN((IF(DATOS_[[Sexo]:[Sexo]]=$B67,IF(DATOS_[[AGRUP. VALOR. PTO.]:[AGRUP. VALOR. PTO.]]=$B66,IF(DATOS_[[Check Periodo Ref.]:[Check Periodo Ref.]]="Dentro",IF(DATOS_[[Check Equiparado]:[Check Equiparado]]="Sí",IF(DATOS!AL$4="Sí",(1/DATOS_[[% anualiz]:[% anualiz]]),1)*IF(DATOS!AL$5="Sí",1/DATOS_[[% normaliz]:[% normaliz]],1)*(DATOS_[Conc.Sal.08])))))))), 0)</f>
        <v>0</v>
      </c>
      <c r="R67" s="250" t="n">
        <f aca="false" t="array" ref="R67:R67">IFERROR( (MEDIAN((IF(DATOS_[[Sexo]:[Sexo]]=$B67,IF(DATOS_[[AGRUP. VALOR. PTO.]:[AGRUP. VALOR. PTO.]]=$B66,IF(DATOS_[[Check Periodo Ref.]:[Check Periodo Ref.]]="Dentro",IF(DATOS_[[Check Equiparado]:[Check Equiparado]]="Sí",IF(DATOS!AM$4="Sí",(1/DATOS_[[% anualiz]:[% anualiz]]),1)*IF(DATOS!AM$5="Sí",1/DATOS_[[% normaliz]:[% normaliz]],1)*(DATOS_[Conc.Sal.09])))))))), 0)</f>
        <v>0</v>
      </c>
      <c r="S67" s="250" t="n">
        <f aca="false" t="array" ref="S67:S67">IFERROR( (MEDIAN((IF(DATOS_[[Sexo]:[Sexo]]=$B67,IF(DATOS_[[AGRUP. VALOR. PTO.]:[AGRUP. VALOR. PTO.]]=$B66,IF(DATOS_[[Check Periodo Ref.]:[Check Periodo Ref.]]="Dentro",IF(DATOS_[[Check Equiparado]:[Check Equiparado]]="Sí",IF(DATOS!AN$4="Sí",(1/DATOS_[[% anualiz]:[% anualiz]]),1)*IF(DATOS!AN$5="Sí",1/DATOS_[[% normaliz]:[% normaliz]],1)*(DATOS_[Conc.Sal.10])))))))), 0)</f>
        <v>0</v>
      </c>
      <c r="T67" s="250" t="n">
        <f aca="false" t="array" ref="T67:T67">IFERROR( (MEDIAN((IF(DATOS_[[Sexo]:[Sexo]]=$B67,IF(DATOS_[[AGRUP. VALOR. PTO.]:[AGRUP. VALOR. PTO.]]=$B66,IF(DATOS_[[Check Periodo Ref.]:[Check Periodo Ref.]]="Dentro",IF(DATOS_[[Check Equiparado]:[Check Equiparado]]="Sí",IF(DATOS!AO$4="Sí",(1/DATOS_[[% anualiz]:[% anualiz]]),1)*IF(DATOS!AO$5="Sí",1/DATOS_[[% normaliz]:[% normaliz]],1)*(DATOS_[Conc.Sal.11])))))))), 0)</f>
        <v>0</v>
      </c>
      <c r="U67" s="250" t="n">
        <f aca="false" t="array" ref="U67:U67">IFERROR( (MEDIAN((IF(DATOS_[[Sexo]:[Sexo]]=$B67,IF(DATOS_[[AGRUP. VALOR. PTO.]:[AGRUP. VALOR. PTO.]]=$B66,IF(DATOS_[[Check Periodo Ref.]:[Check Periodo Ref.]]="Dentro",IF(DATOS_[[Check Equiparado]:[Check Equiparado]]="Sí",IF(DATOS!AP$4="Sí",(1/DATOS_[[% anualiz]:[% anualiz]]),1)*IF(DATOS!AP$5="Sí",1/DATOS_[[% normaliz]:[% normaliz]],1)*(DATOS_[Conc.Sal.12])))))))), 0)</f>
        <v>0</v>
      </c>
      <c r="V67" s="250" t="n">
        <f aca="false" t="array" ref="V67:V67">IFERROR( (MEDIAN((IF(DATOS_[[Sexo]:[Sexo]]=$B67,IF(DATOS_[[AGRUP. VALOR. PTO.]:[AGRUP. VALOR. PTO.]]=$B66,IF(DATOS_[[Check Periodo Ref.]:[Check Periodo Ref.]]="Dentro",IF(DATOS_[[Check Equiparado]:[Check Equiparado]]="Sí",IF(DATOS!AQ$4="Sí",(1/DATOS_[[% anualiz]:[% anualiz]]),1)*IF(DATOS!AQ$5="Sí",1/DATOS_[[% normaliz]:[% normaliz]],1)*(DATOS_[Conc.Sal.13])))))))), 0)</f>
        <v>0</v>
      </c>
      <c r="W67" s="250" t="n">
        <f aca="false" t="array" ref="W67:W67">IFERROR( (MEDIAN((IF(DATOS_[[Sexo]:[Sexo]]=$B67,IF(DATOS_[[AGRUP. VALOR. PTO.]:[AGRUP. VALOR. PTO.]]=$B66,IF(DATOS_[[Check Periodo Ref.]:[Check Periodo Ref.]]="Dentro",IF(DATOS_[[Check Equiparado]:[Check Equiparado]]="Sí",IF(DATOS!AR$4="Sí",(1/DATOS_[[% anualiz]:[% anualiz]]),1)*IF(DATOS!AR$5="Sí",1/DATOS_[[% normaliz]:[% normaliz]],1)*(DATOS_[Conc.Sal.14])))))))), 0)</f>
        <v>0</v>
      </c>
      <c r="X67" s="250" t="n">
        <f aca="false" t="array" ref="X67:X67">IFERROR( (MEDIAN((IF(DATOS_[[Sexo]:[Sexo]]=$B67,IF(DATOS_[[AGRUP. VALOR. PTO.]:[AGRUP. VALOR. PTO.]]=$B66,IF(DATOS_[[Check Periodo Ref.]:[Check Periodo Ref.]]="Dentro",IF(DATOS_[[Check Equiparado]:[Check Equiparado]]="Sí",IF(DATOS!AS$4="Sí",(1/DATOS_[[% anualiz]:[% anualiz]]),1)*IF(DATOS!AS$5="Sí",1/DATOS_[[% normaliz]:[% normaliz]],1)*(DATOS_[Conc.Sal.15])))))))), 0)</f>
        <v>0</v>
      </c>
      <c r="Y67" s="250" t="n">
        <f aca="false" t="array" ref="Y67:Y67">IFERROR( (MEDIAN((IF(DATOS_[[Sexo]:[Sexo]]=$B67,IF(DATOS_[[AGRUP. VALOR. PTO.]:[AGRUP. VALOR. PTO.]]=$B66,IF(DATOS_[[Check Periodo Ref.]:[Check Periodo Ref.]]="Dentro",IF(DATOS_[[Check Equiparado]:[Check Equiparado]]="Sí",IF(DATOS!AT$4="Sí",(1/DATOS_[[% anualiz]:[% anualiz]]),1)*IF(DATOS!AT$5="Sí",1/DATOS_[[% normaliz]:[% normaliz]],1)*(DATOS_[Conc.Sal.16])))))))), 0)</f>
        <v>0</v>
      </c>
      <c r="Z67" s="250" t="n">
        <f aca="false" t="array" ref="Z67:Z67">IFERROR( (MEDIAN((IF(DATOS_[[Sexo]:[Sexo]]=$B67,IF(DATOS_[[AGRUP. VALOR. PTO.]:[AGRUP. VALOR. PTO.]]=$B66,IF(DATOS_[[Check Periodo Ref.]:[Check Periodo Ref.]]="Dentro",IF(DATOS_[[Check Equiparado]:[Check Equiparado]]="Sí",IF(DATOS!AU$4="Sí",(1/DATOS_[[% anualiz]:[% anualiz]]),1)*IF(DATOS!AU$5="Sí",1/DATOS_[[% normaliz]:[% normaliz]],1)*(DATOS_[Conc.Sal.17])))))))), 0)</f>
        <v>0</v>
      </c>
      <c r="AA67" s="250" t="n">
        <f aca="false" t="array" ref="AA67:AA67">IFERROR( (MEDIAN((IF(DATOS_[[Sexo]:[Sexo]]=$B67,IF(DATOS_[[AGRUP. VALOR. PTO.]:[AGRUP. VALOR. PTO.]]=$B66,IF(DATOS_[[Check Periodo Ref.]:[Check Periodo Ref.]]="Dentro",IF(DATOS_[[Check Equiparado]:[Check Equiparado]]="Sí",IF(DATOS!AV$4="Sí",(1/DATOS_[[% anualiz]:[% anualiz]]),1)*IF(DATOS!AV$5="Sí",1/DATOS_[[% normaliz]:[% normaliz]],1)*(DATOS_[Conc.Sal.18])))))))), 0)</f>
        <v>0</v>
      </c>
      <c r="AB67" s="250" t="n">
        <f aca="false" t="array" ref="AB67:AB67">IFERROR( (MEDIAN((IF(DATOS_[[Sexo]:[Sexo]]=$B67,IF(DATOS_[[AGRUP. VALOR. PTO.]:[AGRUP. VALOR. PTO.]]=$B66,IF(DATOS_[[Check Periodo Ref.]:[Check Periodo Ref.]]="Dentro",IF(DATOS_[[Check Equiparado]:[Check Equiparado]]="Sí",IF(DATOS!AW$4="Sí",(1/DATOS_[[% anualiz]:[% anualiz]]),1)*IF(DATOS!AW$5="Sí",1/DATOS_[[% normaliz]:[% normaliz]],1)*(DATOS_[Conc.Sal.19])))))))), 0)</f>
        <v>0</v>
      </c>
      <c r="AC67" s="250" t="n">
        <f aca="false" t="array" ref="AC67:AC67">IFERROR( (MEDIAN((IF(DATOS_[[Sexo]:[Sexo]]=$B67,IF(DATOS_[[AGRUP. VALOR. PTO.]:[AGRUP. VALOR. PTO.]]=$B66,IF(DATOS_[[Check Periodo Ref.]:[Check Periodo Ref.]]="Dentro",IF(DATOS_[[Check Equiparado]:[Check Equiparado]]="Sí",IF(DATOS!AX$4="Sí",(1/DATOS_[[% anualiz]:[% anualiz]]),1)*IF(DATOS!AX$5="Sí",1/DATOS_[[% normaliz]:[% normaliz]],1)*(DATOS_[Conc.Sal.20])))))))), 0)</f>
        <v>0</v>
      </c>
      <c r="AD67" s="250" t="n">
        <f aca="false" t="array" ref="AD67:AD67">IFERROR( (MEDIAN((IF(DATOS_[[Sexo]:[Sexo]]=$B67,IF(DATOS_[[AGRUP. VALOR. PTO.]:[AGRUP. VALOR. PTO.]]=$B66,IF(DATOS_[[Check Periodo Ref.]:[Check Periodo Ref.]]="Dentro",IF(DATOS_[[Check Equiparado]:[Check Equiparado]]="Sí",IF(DATOS!AY$4="Sí",(1/DATOS_[[% anualiz]:[% anualiz]]),1)*IF(DATOS!AY$5="Sí",1/DATOS_[[% normaliz]:[% normaliz]],1)*(DATOS_[Conc.Sal.21])))))))), 0)</f>
        <v>0</v>
      </c>
      <c r="AE67" s="250" t="n">
        <f aca="false" t="array" ref="AE67:AE67">IFERROR( (MEDIAN((IF(DATOS_[[Sexo]:[Sexo]]=$B67,IF(DATOS_[[AGRUP. VALOR. PTO.]:[AGRUP. VALOR. PTO.]]=$B66,IF(DATOS_[[Check Periodo Ref.]:[Check Periodo Ref.]]="Dentro",IF(DATOS_[[Check Equiparado]:[Check Equiparado]]="Sí",IF(DATOS!AZ$4="Sí",(1/DATOS_[[% anualiz]:[% anualiz]]),1)*IF(DATOS!AZ$5="Sí",1/DATOS_[[% normaliz]:[% normaliz]],1)*(DATOS_[Conc.Sal.22])))))))), 0)</f>
        <v>0</v>
      </c>
      <c r="AF67" s="250" t="n">
        <f aca="false" t="array" ref="AF67:AF67">IFERROR( (MEDIAN((IF(DATOS_[[Sexo]:[Sexo]]=$B67,IF(DATOS_[[AGRUP. VALOR. PTO.]:[AGRUP. VALOR. PTO.]]=$B66,IF(DATOS_[[Check Periodo Ref.]:[Check Periodo Ref.]]="Dentro",IF(DATOS_[[Check Equiparado]:[Check Equiparado]]="Sí",IF(DATOS!BA$4="Sí",(1/DATOS_[[% anualiz]:[% anualiz]]),1)*IF(DATOS!BA$5="Sí",1/DATOS_[[% normaliz]:[% normaliz]],1)*(DATOS_[Conc.Sal.23])))))))), 0)</f>
        <v>0</v>
      </c>
      <c r="AG67" s="250" t="n">
        <f aca="false" t="array" ref="AG67:AG67">IFERROR( (MEDIAN((IF(DATOS_[[Sexo]:[Sexo]]=$B67,IF(DATOS_[[AGRUP. VALOR. PTO.]:[AGRUP. VALOR. PTO.]]=$B66,IF(DATOS_[[Check Periodo Ref.]:[Check Periodo Ref.]]="Dentro",IF(DATOS_[[Check Equiparado]:[Check Equiparado]]="Sí",IF(DATOS!BB$4="Sí",(1/DATOS_[[% anualiz]:[% anualiz]]),1)*IF(DATOS!BB$5="Sí",1/DATOS_[[% normaliz]:[% normaliz]],1)*(DATOS_[Conc.Sal.24])))))))), 0)</f>
        <v>0</v>
      </c>
      <c r="AH67" s="250" t="n">
        <f aca="false" t="array" ref="AH67:AH67">IFERROR( (MEDIAN((IF(DATOS_[[Sexo]:[Sexo]]=$B67,IF(DATOS_[[AGRUP. VALOR. PTO.]:[AGRUP. VALOR. PTO.]]=$B66,IF(DATOS_[[Check Periodo Ref.]:[Check Periodo Ref.]]="Dentro",IF(DATOS_[[Check Equiparado]:[Check Equiparado]]="Sí",IF(DATOS!BC$4="Sí",(1/DATOS_[[% anualiz]:[% anualiz]]),1)*IF(DATOS!BC$5="Sí",1/DATOS_[[% normaliz]:[% normaliz]],1)*(DATOS_[Conc.Sal.25])))))))), 0)</f>
        <v>0</v>
      </c>
      <c r="AI67" s="250" t="n">
        <f aca="false" t="array" ref="AI67:AI67">IFERROR( (MEDIAN((IF(DATOS_[[Sexo]:[Sexo]]=$B67,IF(DATOS_[[AGRUP. VALOR. PTO.]:[AGRUP. VALOR. PTO.]]=$B66,IF(DATOS_[[Check Periodo Ref.]:[Check Periodo Ref.]]="Dentro",IF(DATOS_[[Check Equiparado]:[Check Equiparado]]="Sí",IF(DATOS!BD$4="Sí",(1/DATOS_[[% anualiz]:[% anualiz]]),1)*IF(DATOS!BD$5="Sí",1/DATOS_[[% normaliz]:[% normaliz]],1)*(DATOS_[Conc.Sal.26])))))))), 0)</f>
        <v>0</v>
      </c>
      <c r="AJ67" s="250" t="n">
        <f aca="false" t="array" ref="AJ67:AJ67">IFERROR( (MEDIAN((IF(DATOS_[[Sexo]:[Sexo]]=$B67,IF(DATOS_[[AGRUP. VALOR. PTO.]:[AGRUP. VALOR. PTO.]]=$B66,IF(DATOS_[[Check Periodo Ref.]:[Check Periodo Ref.]]="Dentro",IF(DATOS_[[Check Equiparado]:[Check Equiparado]]="Sí",IF(DATOS!BE$4="Sí",(1/DATOS_[[% anualiz]:[% anualiz]]),1)*IF(DATOS!BE$5="Sí",1/DATOS_[[% normaliz]:[% normaliz]],1)*(DATOS_[Conc.Sal.27])))))))), 0)</f>
        <v>0</v>
      </c>
      <c r="AK67" s="250" t="n">
        <f aca="false" t="array" ref="AK67:AK67">IFERROR( (MEDIAN((IF(DATOS_[[Sexo]:[Sexo]]=$B67,IF(DATOS_[[AGRUP. VALOR. PTO.]:[AGRUP. VALOR. PTO.]]=$B66,IF(DATOS_[[Check Periodo Ref.]:[Check Periodo Ref.]]="Dentro",IF(DATOS_[[Check Equiparado]:[Check Equiparado]]="Sí",IF(DATOS!BF$4="Sí",(1/DATOS_[[% anualiz]:[% anualiz]]),1)*IF(DATOS!BF$5="Sí",1/DATOS_[[% normaliz]:[% normaliz]],1)*(DATOS_[Conc.Sal.28])))))))), 0)</f>
        <v>0</v>
      </c>
      <c r="AL67" s="250" t="n">
        <f aca="false" t="array" ref="AL67:AL67">IFERROR( (MEDIAN((IF(DATOS_[[Sexo]:[Sexo]]=$B67,IF(DATOS_[[AGRUP. VALOR. PTO.]:[AGRUP. VALOR. PTO.]]=$B66,IF(DATOS_[[Check Periodo Ref.]:[Check Periodo Ref.]]="Dentro",IF(DATOS_[[Check Equiparado]:[Check Equiparado]]="Sí",IF(DATOS!BG$4="Sí",(1/DATOS_[[% anualiz]:[% anualiz]]),1)*IF(DATOS!BG$5="Sí",1/DATOS_[[% normaliz]:[% normaliz]],1)*(DATOS_[Conc.Sal.29])))))))), 0)</f>
        <v>0</v>
      </c>
      <c r="AM67" s="250" t="n">
        <f aca="false" t="array" ref="AM67:AM67">IFERROR( (MEDIAN((IF(DATOS_[[Sexo]:[Sexo]]=$B67,IF(DATOS_[[AGRUP. VALOR. PTO.]:[AGRUP. VALOR. PTO.]]=$B66,IF(DATOS_[[Check Periodo Ref.]:[Check Periodo Ref.]]="Dentro",IF(DATOS_[[Check Equiparado]:[Check Equiparado]]="Sí",IF(DATOS!BH$4="Sí",(1/DATOS_[[% anualiz]:[% anualiz]]),1)*IF(DATOS!BH$5="Sí",1/DATOS_[[% normaliz]:[% normaliz]],1)*(DATOS_[Conc.Sal.30])))))))), 0)</f>
        <v>0</v>
      </c>
      <c r="AN67" s="251" t="n">
        <f aca="false" t="array" ref="AN67:AN67">IFERROR( MEDIAN(IF(DATOS_[Sexo]=$B67,IF(DATOS_[[AGRUP. VALOR. PTO.]:[AGRUP. VALOR. PTO.]]=$B66,IF(DATOS_[Check Equiparado]="Sí",IF(DATOS_[Check Periodo Ref.]="Dentro",DATOS_[Tot COMPL.SAL Eq],0))))), 0)</f>
        <v>0</v>
      </c>
      <c r="AO67" s="252" t="n">
        <f aca="false" t="array" ref="AO67:AO67">IFERROR( MEDIAN(IF(DATOS_[Sexo]=$B67,IF(DATOS_[[AGRUP. VALOR. PTO.]:[AGRUP. VALOR. PTO.]]=$B66,IF(DATOS_[Check Equiparado]="Sí",IF(DATOS_[Check Periodo Ref.]="Dentro",DATOS_[TOTAL SALARIO Eq],0))))), 0)</f>
        <v>0</v>
      </c>
      <c r="AP67" s="259" t="n">
        <f aca="false" t="array" ref="AP67:AP67">IFERROR( (MEDIAN((IF(DATOS_[[Sexo]:[Sexo]]=$B67,IF(DATOS_[[AGRUP. VALOR. PTO.]:[AGRUP. VALOR. PTO.]]=$B66,IF(DATOS_[[Check Periodo Ref.]:[Check Periodo Ref.]]="Dentro",IF(DATOS_[[Check Equiparado]:[Check Equiparado]]="Sí",IF(DATOS!BI$4="Sí",(1/DATOS_[[% anualiz]:[% anualiz]]),1)*IF(DATOS!BI$5="Sí",1/DATOS_[[% normaliz]:[% normaliz]],1)*(DATOS_[C.Extra.01])))))))), 0)</f>
        <v>0</v>
      </c>
      <c r="AQ67" s="259" t="n">
        <f aca="false" t="array" ref="AQ67:AQ67">IFERROR( (MEDIAN((IF(DATOS_[[Sexo]:[Sexo]]=$B67,IF(DATOS_[[AGRUP. VALOR. PTO.]:[AGRUP. VALOR. PTO.]]=$B66,IF(DATOS_[[Check Periodo Ref.]:[Check Periodo Ref.]]="Dentro",IF(DATOS_[[Check Equiparado]:[Check Equiparado]]="Sí",IF(DATOS!BJ$4="Sí",(1/DATOS_[[% anualiz]:[% anualiz]]),1)*IF(DATOS!BJ$5="Sí",1/DATOS_[[% normaliz]:[% normaliz]],1)*(DATOS_[C.Extra.02])))))))), 0)</f>
        <v>0</v>
      </c>
      <c r="AR67" s="259" t="n">
        <f aca="false" t="array" ref="AR67:AR67">IFERROR( (MEDIAN((IF(DATOS_[[Sexo]:[Sexo]]=$B67,IF(DATOS_[[AGRUP. VALOR. PTO.]:[AGRUP. VALOR. PTO.]]=$B66,IF(DATOS_[[Check Periodo Ref.]:[Check Periodo Ref.]]="Dentro",IF(DATOS_[[Check Equiparado]:[Check Equiparado]]="Sí",IF(DATOS!BK$4="Sí",(1/DATOS_[[% anualiz]:[% anualiz]]),1)*IF(DATOS!BK$5="Sí",1/DATOS_[[% normaliz]:[% normaliz]],1)*(DATOS_[C.Extra.03])))))))), 0)</f>
        <v>0</v>
      </c>
      <c r="AS67" s="259" t="n">
        <f aca="false" t="array" ref="AS67:AS67">IFERROR( (MEDIAN((IF(DATOS_[[Sexo]:[Sexo]]=$B67,IF(DATOS_[[AGRUP. VALOR. PTO.]:[AGRUP. VALOR. PTO.]]=$B66,IF(DATOS_[[Check Periodo Ref.]:[Check Periodo Ref.]]="Dentro",IF(DATOS_[[Check Equiparado]:[Check Equiparado]]="Sí",IF(DATOS!BL$4="Sí",(1/DATOS_[[% anualiz]:[% anualiz]]),1)*IF(DATOS!BL$5="Sí",1/DATOS_[[% normaliz]:[% normaliz]],1)*(DATOS_[C.Extra.04])))))))), 0)</f>
        <v>0</v>
      </c>
      <c r="AT67" s="259" t="n">
        <f aca="false" t="array" ref="AT67:AT67">IFERROR( (MEDIAN((IF(DATOS_[[Sexo]:[Sexo]]=$B67,IF(DATOS_[[AGRUP. VALOR. PTO.]:[AGRUP. VALOR. PTO.]]=$B66,IF(DATOS_[[Check Periodo Ref.]:[Check Periodo Ref.]]="Dentro",IF(DATOS_[[Check Equiparado]:[Check Equiparado]]="Sí",IF(DATOS!BM$4="Sí",(1/DATOS_[[% anualiz]:[% anualiz]]),1)*IF(DATOS!BM$5="Sí",1/DATOS_[[% normaliz]:[% normaliz]],1)*(DATOS_[C.Extra.05])))))))), 0)</f>
        <v>0</v>
      </c>
      <c r="AU67" s="254" t="n">
        <f aca="false" t="array" ref="AU67:AU67">IFERROR( MEDIAN(IF(DATOS_[Sexo]=$B67,IF(DATOS_[[AGRUP. VALOR. PTO.]:[AGRUP. VALOR. PTO.]]=$B66,IF(DATOS_[Check Equiparado]="Sí",IF(DATOS_[Check Periodo Ref.]="Dentro",DATOS_[Tot Extrasalarial Eq],0))))), 0)</f>
        <v>0</v>
      </c>
      <c r="AV67" s="255" t="n">
        <f aca="false" t="array" ref="AV67:AV67">IFERROR( MEDIAN(IF(DATOS_[Sexo]=$B67,IF(DATOS_[[AGRUP. VALOR. PTO.]:[AGRUP. VALOR. PTO.]]=$B66,IF(DATOS_[Check Equiparado]="Sí",IF(DATOS_[Check Periodo Ref.]="Dentro",DATOS_[TOTAL Retrib Eq],0))))), 0)</f>
        <v>0</v>
      </c>
    </row>
    <row r="68" customFormat="false" ht="14.25" hidden="false" customHeight="false" outlineLevel="0" collapsed="false">
      <c r="A68" s="217" t="str">
        <f aca="false">+A67</f>
        <v>[ocultar]</v>
      </c>
      <c r="B68" s="323" t="s">
        <v>372</v>
      </c>
      <c r="C68" s="247" t="n">
        <f aca="false" t="array" ref="C68:C68">SUM(IF($B68=DATOS_[Sexo], IF($B66=DATOS_[AGRUP. VALOR. PTO.], IF("Dentro"=DATOS_[Check Periodo Ref.], 1/(COUNTIFS(DATOS_[Sexo],$B68,DATOS_[AGRUP. VALOR. PTO.],$B66,DATOS_[Check Periodo Ref.],"Dentro",DATOS_[id],DATOS_[id]))))))</f>
        <v>0</v>
      </c>
      <c r="D68" s="248" t="n">
        <f aca="false">COUNTIFS(DATOS_[AGRUP. VALOR. PTO.],$B66,DATOS_[Sexo],$B68,DATOS_[Check Periodo Ref.],"Dentro")</f>
        <v>0</v>
      </c>
      <c r="E68" s="248" t="n">
        <f aca="false">COUNTIFS(DATOS_[AGRUP. VALOR. PTO.],$B66,DATOS_[Sexo],$B68,DATOS_[Check Periodo Ref.],"Dentro",DATOS_[Check Nº SC Norm],"Sí")</f>
        <v>0</v>
      </c>
      <c r="F68" s="248" t="n">
        <f aca="false">COUNTIFS(DATOS_[AGRUP. VALOR. PTO.],$B66,DATOS_[Sexo],$B68,DATOS_[Check Periodo Ref.],"Dentro",DATOS_[Check Nº SC Anualiz],"Sí")</f>
        <v>0</v>
      </c>
      <c r="G68" s="248" t="n">
        <f aca="false">COUNTIFS(DATOS_[AGRUP. VALOR. PTO.],$B66,DATOS_[Sexo],$B68,DATOS_[Check Periodo Ref.],"Dentro",DATOS_[Check Nº SC Norm y Anualiz],"Sí")</f>
        <v>0</v>
      </c>
      <c r="H68" s="248" t="n">
        <f aca="false">COUNTIFS(DATOS_[AGRUP. VALOR. PTO.],$B66,DATOS_[Sexo],$B68,DATOS_[Check Periodo Ref.],"Dentro",DATOS_[Check Equiparación],"Sí")</f>
        <v>0</v>
      </c>
      <c r="I68" s="249" t="n">
        <f aca="false" t="array" ref="I68:I68">IFERROR( MEDIAN(IF(DATOS_[Sexo]=$B68,IF(DATOS_[[AGRUP. VALOR. PTO.]:[AGRUP. VALOR. PTO.]]=$B66,IF(DATOS_[Check Equiparado]="Sí",IF(DATOS_[Check Periodo Ref.]="Dentro",DATOS_[SALARIO BASE Eq],0))))), 0)</f>
        <v>0</v>
      </c>
      <c r="J68" s="250" t="n">
        <f aca="false" t="array" ref="J68:J68">IFERROR( (MEDIAN((IF(DATOS_[[Sexo]:[Sexo]]=$B68,IF(DATOS_[[AGRUP. VALOR. PTO.]:[AGRUP. VALOR. PTO.]]=$B66,IF(DATOS_[[Check Periodo Ref.]:[Check Periodo Ref.]]="Dentro",IF(DATOS_[[Check Equiparado]:[Check Equiparado]]="Sí",IF(DATOS!AE$4="Sí",(1/DATOS_[[% anualiz]:[% anualiz]]),1)*IF(DATOS!AE$5="Sí",1/DATOS_[[% normaliz]:[% normaliz]],1)*(DATOS_[Conc.Sal.01])))))))), 0)</f>
        <v>0</v>
      </c>
      <c r="K68" s="250" t="n">
        <f aca="false" t="array" ref="K68:K68">IFERROR( (MEDIAN((IF(DATOS_[[Sexo]:[Sexo]]=$B68,IF(DATOS_[[AGRUP. VALOR. PTO.]:[AGRUP. VALOR. PTO.]]=$B66,IF(DATOS_[[Check Periodo Ref.]:[Check Periodo Ref.]]="Dentro",IF(DATOS_[[Check Equiparado]:[Check Equiparado]]="Sí",IF(DATOS!AF$4="Sí",(1/DATOS_[[% anualiz]:[% anualiz]]),1)*IF(DATOS!AF$5="Sí",1/DATOS_[[% normaliz]:[% normaliz]],1)*(DATOS_[Conc.Sal.02])))))))), 0)</f>
        <v>0</v>
      </c>
      <c r="L68" s="250" t="n">
        <f aca="false" t="array" ref="L68:L68">IFERROR( (MEDIAN((IF(DATOS_[[Sexo]:[Sexo]]=$B68,IF(DATOS_[[AGRUP. VALOR. PTO.]:[AGRUP. VALOR. PTO.]]=$B66,IF(DATOS_[[Check Periodo Ref.]:[Check Periodo Ref.]]="Dentro",IF(DATOS_[[Check Equiparado]:[Check Equiparado]]="Sí",IF(DATOS!AG$4="Sí",(1/DATOS_[[% anualiz]:[% anualiz]]),1)*IF(DATOS!AG$5="Sí",1/DATOS_[[% normaliz]:[% normaliz]],1)*(DATOS_[Conc.Sal.03])))))))), 0)</f>
        <v>0</v>
      </c>
      <c r="M68" s="250" t="n">
        <f aca="false" t="array" ref="M68:M68">IFERROR( (MEDIAN((IF(DATOS_[[Sexo]:[Sexo]]=$B68,IF(DATOS_[[AGRUP. VALOR. PTO.]:[AGRUP. VALOR. PTO.]]=$B66,IF(DATOS_[[Check Periodo Ref.]:[Check Periodo Ref.]]="Dentro",IF(DATOS_[[Check Equiparado]:[Check Equiparado]]="Sí",IF(DATOS!AH$4="Sí",(1/DATOS_[[% anualiz]:[% anualiz]]),1)*IF(DATOS!AH$5="Sí",1/DATOS_[[% normaliz]:[% normaliz]],1)*(DATOS_[Conc.Sal.04])))))))), 0)</f>
        <v>0</v>
      </c>
      <c r="N68" s="250" t="n">
        <f aca="false" t="array" ref="N68:N68">IFERROR( (MEDIAN((IF(DATOS_[[Sexo]:[Sexo]]=$B68,IF(DATOS_[[AGRUP. VALOR. PTO.]:[AGRUP. VALOR. PTO.]]=$B66,IF(DATOS_[[Check Periodo Ref.]:[Check Periodo Ref.]]="Dentro",IF(DATOS_[[Check Equiparado]:[Check Equiparado]]="Sí",IF(DATOS!AI$4="Sí",(1/DATOS_[[% anualiz]:[% anualiz]]),1)*IF(DATOS!AI$5="Sí",1/DATOS_[[% normaliz]:[% normaliz]],1)*(DATOS_[Conc.Sal.05])))))))), 0)</f>
        <v>0</v>
      </c>
      <c r="O68" s="250" t="n">
        <f aca="false" t="array" ref="O68:O68">IFERROR( (MEDIAN((IF(DATOS_[[Sexo]:[Sexo]]=$B68,IF(DATOS_[[AGRUP. VALOR. PTO.]:[AGRUP. VALOR. PTO.]]=$B66,IF(DATOS_[[Check Periodo Ref.]:[Check Periodo Ref.]]="Dentro",IF(DATOS_[[Check Equiparado]:[Check Equiparado]]="Sí",IF(DATOS!AJ$4="Sí",(1/DATOS_[[% anualiz]:[% anualiz]]),1)*IF(DATOS!AJ$5="Sí",1/DATOS_[[% normaliz]:[% normaliz]],1)*(DATOS_[Conc.Sal.06])))))))), 0)</f>
        <v>0</v>
      </c>
      <c r="P68" s="250" t="n">
        <f aca="false" t="array" ref="P68:P68">IFERROR( (MEDIAN((IF(DATOS_[[Sexo]:[Sexo]]=$B68,IF(DATOS_[[AGRUP. VALOR. PTO.]:[AGRUP. VALOR. PTO.]]=$B66,IF(DATOS_[[Check Periodo Ref.]:[Check Periodo Ref.]]="Dentro",IF(DATOS_[[Check Equiparado]:[Check Equiparado]]="Sí",IF(DATOS!AK$4="Sí",(1/DATOS_[[% anualiz]:[% anualiz]]),1)*IF(DATOS!AK$5="Sí",1/DATOS_[[% normaliz]:[% normaliz]],1)*(DATOS_[Conc.Sal.07])))))))), 0)</f>
        <v>0</v>
      </c>
      <c r="Q68" s="250" t="n">
        <f aca="false" t="array" ref="Q68:Q68">IFERROR( (MEDIAN((IF(DATOS_[[Sexo]:[Sexo]]=$B68,IF(DATOS_[[AGRUP. VALOR. PTO.]:[AGRUP. VALOR. PTO.]]=$B66,IF(DATOS_[[Check Periodo Ref.]:[Check Periodo Ref.]]="Dentro",IF(DATOS_[[Check Equiparado]:[Check Equiparado]]="Sí",IF(DATOS!AL$4="Sí",(1/DATOS_[[% anualiz]:[% anualiz]]),1)*IF(DATOS!AL$5="Sí",1/DATOS_[[% normaliz]:[% normaliz]],1)*(DATOS_[Conc.Sal.08])))))))), 0)</f>
        <v>0</v>
      </c>
      <c r="R68" s="250" t="n">
        <f aca="false" t="array" ref="R68:R68">IFERROR( (MEDIAN((IF(DATOS_[[Sexo]:[Sexo]]=$B68,IF(DATOS_[[AGRUP. VALOR. PTO.]:[AGRUP. VALOR. PTO.]]=$B66,IF(DATOS_[[Check Periodo Ref.]:[Check Periodo Ref.]]="Dentro",IF(DATOS_[[Check Equiparado]:[Check Equiparado]]="Sí",IF(DATOS!AM$4="Sí",(1/DATOS_[[% anualiz]:[% anualiz]]),1)*IF(DATOS!AM$5="Sí",1/DATOS_[[% normaliz]:[% normaliz]],1)*(DATOS_[Conc.Sal.09])))))))), 0)</f>
        <v>0</v>
      </c>
      <c r="S68" s="250" t="n">
        <f aca="false" t="array" ref="S68:S68">IFERROR( (MEDIAN((IF(DATOS_[[Sexo]:[Sexo]]=$B68,IF(DATOS_[[AGRUP. VALOR. PTO.]:[AGRUP. VALOR. PTO.]]=$B66,IF(DATOS_[[Check Periodo Ref.]:[Check Periodo Ref.]]="Dentro",IF(DATOS_[[Check Equiparado]:[Check Equiparado]]="Sí",IF(DATOS!AN$4="Sí",(1/DATOS_[[% anualiz]:[% anualiz]]),1)*IF(DATOS!AN$5="Sí",1/DATOS_[[% normaliz]:[% normaliz]],1)*(DATOS_[Conc.Sal.10])))))))), 0)</f>
        <v>0</v>
      </c>
      <c r="T68" s="250" t="n">
        <f aca="false" t="array" ref="T68:T68">IFERROR( (MEDIAN((IF(DATOS_[[Sexo]:[Sexo]]=$B68,IF(DATOS_[[AGRUP. VALOR. PTO.]:[AGRUP. VALOR. PTO.]]=$B66,IF(DATOS_[[Check Periodo Ref.]:[Check Periodo Ref.]]="Dentro",IF(DATOS_[[Check Equiparado]:[Check Equiparado]]="Sí",IF(DATOS!AO$4="Sí",(1/DATOS_[[% anualiz]:[% anualiz]]),1)*IF(DATOS!AO$5="Sí",1/DATOS_[[% normaliz]:[% normaliz]],1)*(DATOS_[Conc.Sal.11])))))))), 0)</f>
        <v>0</v>
      </c>
      <c r="U68" s="250" t="n">
        <f aca="false" t="array" ref="U68:U68">IFERROR( (MEDIAN((IF(DATOS_[[Sexo]:[Sexo]]=$B68,IF(DATOS_[[AGRUP. VALOR. PTO.]:[AGRUP. VALOR. PTO.]]=$B66,IF(DATOS_[[Check Periodo Ref.]:[Check Periodo Ref.]]="Dentro",IF(DATOS_[[Check Equiparado]:[Check Equiparado]]="Sí",IF(DATOS!AP$4="Sí",(1/DATOS_[[% anualiz]:[% anualiz]]),1)*IF(DATOS!AP$5="Sí",1/DATOS_[[% normaliz]:[% normaliz]],1)*(DATOS_[Conc.Sal.12])))))))), 0)</f>
        <v>0</v>
      </c>
      <c r="V68" s="250" t="n">
        <f aca="false" t="array" ref="V68:V68">IFERROR( (MEDIAN((IF(DATOS_[[Sexo]:[Sexo]]=$B68,IF(DATOS_[[AGRUP. VALOR. PTO.]:[AGRUP. VALOR. PTO.]]=$B66,IF(DATOS_[[Check Periodo Ref.]:[Check Periodo Ref.]]="Dentro",IF(DATOS_[[Check Equiparado]:[Check Equiparado]]="Sí",IF(DATOS!AQ$4="Sí",(1/DATOS_[[% anualiz]:[% anualiz]]),1)*IF(DATOS!AQ$5="Sí",1/DATOS_[[% normaliz]:[% normaliz]],1)*(DATOS_[Conc.Sal.13])))))))), 0)</f>
        <v>0</v>
      </c>
      <c r="W68" s="250" t="n">
        <f aca="false" t="array" ref="W68:W68">IFERROR( (MEDIAN((IF(DATOS_[[Sexo]:[Sexo]]=$B68,IF(DATOS_[[AGRUP. VALOR. PTO.]:[AGRUP. VALOR. PTO.]]=$B66,IF(DATOS_[[Check Periodo Ref.]:[Check Periodo Ref.]]="Dentro",IF(DATOS_[[Check Equiparado]:[Check Equiparado]]="Sí",IF(DATOS!AR$4="Sí",(1/DATOS_[[% anualiz]:[% anualiz]]),1)*IF(DATOS!AR$5="Sí",1/DATOS_[[% normaliz]:[% normaliz]],1)*(DATOS_[Conc.Sal.14])))))))), 0)</f>
        <v>0</v>
      </c>
      <c r="X68" s="250" t="n">
        <f aca="false" t="array" ref="X68:X68">IFERROR( (MEDIAN((IF(DATOS_[[Sexo]:[Sexo]]=$B68,IF(DATOS_[[AGRUP. VALOR. PTO.]:[AGRUP. VALOR. PTO.]]=$B66,IF(DATOS_[[Check Periodo Ref.]:[Check Periodo Ref.]]="Dentro",IF(DATOS_[[Check Equiparado]:[Check Equiparado]]="Sí",IF(DATOS!AS$4="Sí",(1/DATOS_[[% anualiz]:[% anualiz]]),1)*IF(DATOS!AS$5="Sí",1/DATOS_[[% normaliz]:[% normaliz]],1)*(DATOS_[Conc.Sal.15])))))))), 0)</f>
        <v>0</v>
      </c>
      <c r="Y68" s="250" t="n">
        <f aca="false" t="array" ref="Y68:Y68">IFERROR( (MEDIAN((IF(DATOS_[[Sexo]:[Sexo]]=$B68,IF(DATOS_[[AGRUP. VALOR. PTO.]:[AGRUP. VALOR. PTO.]]=$B66,IF(DATOS_[[Check Periodo Ref.]:[Check Periodo Ref.]]="Dentro",IF(DATOS_[[Check Equiparado]:[Check Equiparado]]="Sí",IF(DATOS!AT$4="Sí",(1/DATOS_[[% anualiz]:[% anualiz]]),1)*IF(DATOS!AT$5="Sí",1/DATOS_[[% normaliz]:[% normaliz]],1)*(DATOS_[Conc.Sal.16])))))))), 0)</f>
        <v>0</v>
      </c>
      <c r="Z68" s="250" t="n">
        <f aca="false" t="array" ref="Z68:Z68">IFERROR( (MEDIAN((IF(DATOS_[[Sexo]:[Sexo]]=$B68,IF(DATOS_[[AGRUP. VALOR. PTO.]:[AGRUP. VALOR. PTO.]]=$B66,IF(DATOS_[[Check Periodo Ref.]:[Check Periodo Ref.]]="Dentro",IF(DATOS_[[Check Equiparado]:[Check Equiparado]]="Sí",IF(DATOS!AU$4="Sí",(1/DATOS_[[% anualiz]:[% anualiz]]),1)*IF(DATOS!AU$5="Sí",1/DATOS_[[% normaliz]:[% normaliz]],1)*(DATOS_[Conc.Sal.17])))))))), 0)</f>
        <v>0</v>
      </c>
      <c r="AA68" s="250" t="n">
        <f aca="false" t="array" ref="AA68:AA68">IFERROR( (MEDIAN((IF(DATOS_[[Sexo]:[Sexo]]=$B68,IF(DATOS_[[AGRUP. VALOR. PTO.]:[AGRUP. VALOR. PTO.]]=$B66,IF(DATOS_[[Check Periodo Ref.]:[Check Periodo Ref.]]="Dentro",IF(DATOS_[[Check Equiparado]:[Check Equiparado]]="Sí",IF(DATOS!AV$4="Sí",(1/DATOS_[[% anualiz]:[% anualiz]]),1)*IF(DATOS!AV$5="Sí",1/DATOS_[[% normaliz]:[% normaliz]],1)*(DATOS_[Conc.Sal.18])))))))), 0)</f>
        <v>0</v>
      </c>
      <c r="AB68" s="250" t="n">
        <f aca="false" t="array" ref="AB68:AB68">IFERROR( (MEDIAN((IF(DATOS_[[Sexo]:[Sexo]]=$B68,IF(DATOS_[[AGRUP. VALOR. PTO.]:[AGRUP. VALOR. PTO.]]=$B66,IF(DATOS_[[Check Periodo Ref.]:[Check Periodo Ref.]]="Dentro",IF(DATOS_[[Check Equiparado]:[Check Equiparado]]="Sí",IF(DATOS!AW$4="Sí",(1/DATOS_[[% anualiz]:[% anualiz]]),1)*IF(DATOS!AW$5="Sí",1/DATOS_[[% normaliz]:[% normaliz]],1)*(DATOS_[Conc.Sal.19])))))))), 0)</f>
        <v>0</v>
      </c>
      <c r="AC68" s="250" t="n">
        <f aca="false" t="array" ref="AC68:AC68">IFERROR( (MEDIAN((IF(DATOS_[[Sexo]:[Sexo]]=$B68,IF(DATOS_[[AGRUP. VALOR. PTO.]:[AGRUP. VALOR. PTO.]]=$B66,IF(DATOS_[[Check Periodo Ref.]:[Check Periodo Ref.]]="Dentro",IF(DATOS_[[Check Equiparado]:[Check Equiparado]]="Sí",IF(DATOS!AX$4="Sí",(1/DATOS_[[% anualiz]:[% anualiz]]),1)*IF(DATOS!AX$5="Sí",1/DATOS_[[% normaliz]:[% normaliz]],1)*(DATOS_[Conc.Sal.20])))))))), 0)</f>
        <v>0</v>
      </c>
      <c r="AD68" s="250" t="n">
        <f aca="false" t="array" ref="AD68:AD68">IFERROR( (MEDIAN((IF(DATOS_[[Sexo]:[Sexo]]=$B68,IF(DATOS_[[AGRUP. VALOR. PTO.]:[AGRUP. VALOR. PTO.]]=$B66,IF(DATOS_[[Check Periodo Ref.]:[Check Periodo Ref.]]="Dentro",IF(DATOS_[[Check Equiparado]:[Check Equiparado]]="Sí",IF(DATOS!AY$4="Sí",(1/DATOS_[[% anualiz]:[% anualiz]]),1)*IF(DATOS!AY$5="Sí",1/DATOS_[[% normaliz]:[% normaliz]],1)*(DATOS_[Conc.Sal.21])))))))), 0)</f>
        <v>0</v>
      </c>
      <c r="AE68" s="250" t="n">
        <f aca="false" t="array" ref="AE68:AE68">IFERROR( (MEDIAN((IF(DATOS_[[Sexo]:[Sexo]]=$B68,IF(DATOS_[[AGRUP. VALOR. PTO.]:[AGRUP. VALOR. PTO.]]=$B66,IF(DATOS_[[Check Periodo Ref.]:[Check Periodo Ref.]]="Dentro",IF(DATOS_[[Check Equiparado]:[Check Equiparado]]="Sí",IF(DATOS!AZ$4="Sí",(1/DATOS_[[% anualiz]:[% anualiz]]),1)*IF(DATOS!AZ$5="Sí",1/DATOS_[[% normaliz]:[% normaliz]],1)*(DATOS_[Conc.Sal.22])))))))), 0)</f>
        <v>0</v>
      </c>
      <c r="AF68" s="250" t="n">
        <f aca="false" t="array" ref="AF68:AF68">IFERROR( (MEDIAN((IF(DATOS_[[Sexo]:[Sexo]]=$B68,IF(DATOS_[[AGRUP. VALOR. PTO.]:[AGRUP. VALOR. PTO.]]=$B66,IF(DATOS_[[Check Periodo Ref.]:[Check Periodo Ref.]]="Dentro",IF(DATOS_[[Check Equiparado]:[Check Equiparado]]="Sí",IF(DATOS!BA$4="Sí",(1/DATOS_[[% anualiz]:[% anualiz]]),1)*IF(DATOS!BA$5="Sí",1/DATOS_[[% normaliz]:[% normaliz]],1)*(DATOS_[Conc.Sal.23])))))))), 0)</f>
        <v>0</v>
      </c>
      <c r="AG68" s="250" t="n">
        <f aca="false" t="array" ref="AG68:AG68">IFERROR( (MEDIAN((IF(DATOS_[[Sexo]:[Sexo]]=$B68,IF(DATOS_[[AGRUP. VALOR. PTO.]:[AGRUP. VALOR. PTO.]]=$B66,IF(DATOS_[[Check Periodo Ref.]:[Check Periodo Ref.]]="Dentro",IF(DATOS_[[Check Equiparado]:[Check Equiparado]]="Sí",IF(DATOS!BB$4="Sí",(1/DATOS_[[% anualiz]:[% anualiz]]),1)*IF(DATOS!BB$5="Sí",1/DATOS_[[% normaliz]:[% normaliz]],1)*(DATOS_[Conc.Sal.24])))))))), 0)</f>
        <v>0</v>
      </c>
      <c r="AH68" s="250" t="n">
        <f aca="false" t="array" ref="AH68:AH68">IFERROR( (MEDIAN((IF(DATOS_[[Sexo]:[Sexo]]=$B68,IF(DATOS_[[AGRUP. VALOR. PTO.]:[AGRUP. VALOR. PTO.]]=$B66,IF(DATOS_[[Check Periodo Ref.]:[Check Periodo Ref.]]="Dentro",IF(DATOS_[[Check Equiparado]:[Check Equiparado]]="Sí",IF(DATOS!BC$4="Sí",(1/DATOS_[[% anualiz]:[% anualiz]]),1)*IF(DATOS!BC$5="Sí",1/DATOS_[[% normaliz]:[% normaliz]],1)*(DATOS_[Conc.Sal.25])))))))), 0)</f>
        <v>0</v>
      </c>
      <c r="AI68" s="250" t="n">
        <f aca="false" t="array" ref="AI68:AI68">IFERROR( (MEDIAN((IF(DATOS_[[Sexo]:[Sexo]]=$B68,IF(DATOS_[[AGRUP. VALOR. PTO.]:[AGRUP. VALOR. PTO.]]=$B66,IF(DATOS_[[Check Periodo Ref.]:[Check Periodo Ref.]]="Dentro",IF(DATOS_[[Check Equiparado]:[Check Equiparado]]="Sí",IF(DATOS!BD$4="Sí",(1/DATOS_[[% anualiz]:[% anualiz]]),1)*IF(DATOS!BD$5="Sí",1/DATOS_[[% normaliz]:[% normaliz]],1)*(DATOS_[Conc.Sal.26])))))))), 0)</f>
        <v>0</v>
      </c>
      <c r="AJ68" s="250" t="n">
        <f aca="false" t="array" ref="AJ68:AJ68">IFERROR( (MEDIAN((IF(DATOS_[[Sexo]:[Sexo]]=$B68,IF(DATOS_[[AGRUP. VALOR. PTO.]:[AGRUP. VALOR. PTO.]]=$B66,IF(DATOS_[[Check Periodo Ref.]:[Check Periodo Ref.]]="Dentro",IF(DATOS_[[Check Equiparado]:[Check Equiparado]]="Sí",IF(DATOS!BE$4="Sí",(1/DATOS_[[% anualiz]:[% anualiz]]),1)*IF(DATOS!BE$5="Sí",1/DATOS_[[% normaliz]:[% normaliz]],1)*(DATOS_[Conc.Sal.27])))))))), 0)</f>
        <v>0</v>
      </c>
      <c r="AK68" s="250" t="n">
        <f aca="false" t="array" ref="AK68:AK68">IFERROR( (MEDIAN((IF(DATOS_[[Sexo]:[Sexo]]=$B68,IF(DATOS_[[AGRUP. VALOR. PTO.]:[AGRUP. VALOR. PTO.]]=$B66,IF(DATOS_[[Check Periodo Ref.]:[Check Periodo Ref.]]="Dentro",IF(DATOS_[[Check Equiparado]:[Check Equiparado]]="Sí",IF(DATOS!BF$4="Sí",(1/DATOS_[[% anualiz]:[% anualiz]]),1)*IF(DATOS!BF$5="Sí",1/DATOS_[[% normaliz]:[% normaliz]],1)*(DATOS_[Conc.Sal.28])))))))), 0)</f>
        <v>0</v>
      </c>
      <c r="AL68" s="250" t="n">
        <f aca="false" t="array" ref="AL68:AL68">IFERROR( (MEDIAN((IF(DATOS_[[Sexo]:[Sexo]]=$B68,IF(DATOS_[[AGRUP. VALOR. PTO.]:[AGRUP. VALOR. PTO.]]=$B66,IF(DATOS_[[Check Periodo Ref.]:[Check Periodo Ref.]]="Dentro",IF(DATOS_[[Check Equiparado]:[Check Equiparado]]="Sí",IF(DATOS!BG$4="Sí",(1/DATOS_[[% anualiz]:[% anualiz]]),1)*IF(DATOS!BG$5="Sí",1/DATOS_[[% normaliz]:[% normaliz]],1)*(DATOS_[Conc.Sal.29])))))))), 0)</f>
        <v>0</v>
      </c>
      <c r="AM68" s="250" t="n">
        <f aca="false" t="array" ref="AM68:AM68">IFERROR( (MEDIAN((IF(DATOS_[[Sexo]:[Sexo]]=$B68,IF(DATOS_[[AGRUP. VALOR. PTO.]:[AGRUP. VALOR. PTO.]]=$B66,IF(DATOS_[[Check Periodo Ref.]:[Check Periodo Ref.]]="Dentro",IF(DATOS_[[Check Equiparado]:[Check Equiparado]]="Sí",IF(DATOS!BH$4="Sí",(1/DATOS_[[% anualiz]:[% anualiz]]),1)*IF(DATOS!BH$5="Sí",1/DATOS_[[% normaliz]:[% normaliz]],1)*(DATOS_[Conc.Sal.30])))))))), 0)</f>
        <v>0</v>
      </c>
      <c r="AN68" s="251" t="n">
        <f aca="false" t="array" ref="AN68:AN68">IFERROR( MEDIAN(IF(DATOS_[Sexo]=$B68,IF(DATOS_[[AGRUP. VALOR. PTO.]:[AGRUP. VALOR. PTO.]]=$B66,IF(DATOS_[Check Equiparado]="Sí",IF(DATOS_[Check Periodo Ref.]="Dentro",DATOS_[Tot COMPL.SAL Eq],0))))), 0)</f>
        <v>0</v>
      </c>
      <c r="AO68" s="252" t="n">
        <f aca="false" t="array" ref="AO68:AO68">IFERROR( MEDIAN(IF(DATOS_[Sexo]=$B68,IF(DATOS_[[AGRUP. VALOR. PTO.]:[AGRUP. VALOR. PTO.]]=$B66,IF(DATOS_[Check Equiparado]="Sí",IF(DATOS_[Check Periodo Ref.]="Dentro",DATOS_[TOTAL SALARIO Eq],0))))), 0)</f>
        <v>0</v>
      </c>
      <c r="AP68" s="259" t="n">
        <f aca="false" t="array" ref="AP68:AP68">IFERROR( (MEDIAN((IF(DATOS_[[Sexo]:[Sexo]]=$B68,IF(DATOS_[[AGRUP. VALOR. PTO.]:[AGRUP. VALOR. PTO.]]=$B67,IF(DATOS_[[Check Periodo Ref.]:[Check Periodo Ref.]]="Dentro",IF(DATOS_[[Check Equiparado]:[Check Equiparado]]="Sí",IF(DATOS!BI$4="Sí",(1/DATOS_[[% anualiz]:[% anualiz]]),1)*IF(DATOS!BI$5="Sí",1/DATOS_[[% normaliz]:[% normaliz]],1)*(DATOS_[C.Extra.01])))))))), 0)</f>
        <v>0</v>
      </c>
      <c r="AQ68" s="259" t="n">
        <f aca="false" t="array" ref="AQ68:AQ68">IFERROR( (MEDIAN((IF(DATOS_[[Sexo]:[Sexo]]=$B68,IF(DATOS_[[AGRUP. VALOR. PTO.]:[AGRUP. VALOR. PTO.]]=$B67,IF(DATOS_[[Check Periodo Ref.]:[Check Periodo Ref.]]="Dentro",IF(DATOS_[[Check Equiparado]:[Check Equiparado]]="Sí",IF(DATOS!BJ$4="Sí",(1/DATOS_[[% anualiz]:[% anualiz]]),1)*IF(DATOS!BJ$5="Sí",1/DATOS_[[% normaliz]:[% normaliz]],1)*(DATOS_[C.Extra.02])))))))), 0)</f>
        <v>0</v>
      </c>
      <c r="AR68" s="259" t="n">
        <f aca="false" t="array" ref="AR68:AR68">IFERROR( (MEDIAN((IF(DATOS_[[Sexo]:[Sexo]]=$B68,IF(DATOS_[[AGRUP. VALOR. PTO.]:[AGRUP. VALOR. PTO.]]=$B67,IF(DATOS_[[Check Periodo Ref.]:[Check Periodo Ref.]]="Dentro",IF(DATOS_[[Check Equiparado]:[Check Equiparado]]="Sí",IF(DATOS!BK$4="Sí",(1/DATOS_[[% anualiz]:[% anualiz]]),1)*IF(DATOS!BK$5="Sí",1/DATOS_[[% normaliz]:[% normaliz]],1)*(DATOS_[C.Extra.03])))))))), 0)</f>
        <v>0</v>
      </c>
      <c r="AS68" s="259" t="n">
        <f aca="false" t="array" ref="AS68:AS68">IFERROR( (MEDIAN((IF(DATOS_[[Sexo]:[Sexo]]=$B68,IF(DATOS_[[AGRUP. VALOR. PTO.]:[AGRUP. VALOR. PTO.]]=$B67,IF(DATOS_[[Check Periodo Ref.]:[Check Periodo Ref.]]="Dentro",IF(DATOS_[[Check Equiparado]:[Check Equiparado]]="Sí",IF(DATOS!BL$4="Sí",(1/DATOS_[[% anualiz]:[% anualiz]]),1)*IF(DATOS!BL$5="Sí",1/DATOS_[[% normaliz]:[% normaliz]],1)*(DATOS_[C.Extra.04])))))))), 0)</f>
        <v>0</v>
      </c>
      <c r="AT68" s="259" t="n">
        <f aca="false" t="array" ref="AT68:AT68">IFERROR( (MEDIAN((IF(DATOS_[[Sexo]:[Sexo]]=$B68,IF(DATOS_[[AGRUP. VALOR. PTO.]:[AGRUP. VALOR. PTO.]]=$B67,IF(DATOS_[[Check Periodo Ref.]:[Check Periodo Ref.]]="Dentro",IF(DATOS_[[Check Equiparado]:[Check Equiparado]]="Sí",IF(DATOS!BM$4="Sí",(1/DATOS_[[% anualiz]:[% anualiz]]),1)*IF(DATOS!BM$5="Sí",1/DATOS_[[% normaliz]:[% normaliz]],1)*(DATOS_[C.Extra.05])))))))), 0)</f>
        <v>0</v>
      </c>
      <c r="AU68" s="254" t="n">
        <f aca="false" t="array" ref="AU68:AU68">IFERROR( MEDIAN(IF(DATOS_[Sexo]=$B68,IF(DATOS_[[AGRUP. VALOR. PTO.]:[AGRUP. VALOR. PTO.]]=$B66,IF(DATOS_[Check Equiparado]="Sí",IF(DATOS_[Check Periodo Ref.]="Dentro",DATOS_[Tot Extrasalarial Eq],0))))), 0)</f>
        <v>0</v>
      </c>
      <c r="AV68" s="255" t="n">
        <f aca="false" t="array" ref="AV68:AV68">IFERROR( MEDIAN(IF(DATOS_[Sexo]=$B68,IF(DATOS_[[AGRUP. VALOR. PTO.]:[AGRUP. VALOR. PTO.]]=$B66,IF(DATOS_[Check Equiparado]="Sí",IF(DATOS_[Check Periodo Ref.]="Dentro",DATOS_[TOTAL Retrib Eq],0))))), 0)</f>
        <v>0</v>
      </c>
    </row>
    <row r="69" customFormat="false" ht="15.75" hidden="false" customHeight="false" outlineLevel="0" collapsed="false">
      <c r="A69" s="217" t="str">
        <f aca="false">+A70</f>
        <v>[ocultar]</v>
      </c>
      <c r="B69" s="320" t="s">
        <v>223</v>
      </c>
      <c r="C69" s="236"/>
      <c r="D69" s="237"/>
      <c r="E69" s="237"/>
      <c r="F69" s="237"/>
      <c r="G69" s="237"/>
      <c r="H69" s="237"/>
      <c r="I69" s="238" t="str">
        <f aca="false">IFERROR((I70-I71)/I70,"")</f>
        <v/>
      </c>
      <c r="J69" s="239" t="str">
        <f aca="false">IFERROR((J70-J71)/J70,"")</f>
        <v/>
      </c>
      <c r="K69" s="239" t="str">
        <f aca="false">IFERROR((K70-K71)/K70,"")</f>
        <v/>
      </c>
      <c r="L69" s="239" t="str">
        <f aca="false">IFERROR((L70-L71)/L70,"")</f>
        <v/>
      </c>
      <c r="M69" s="239" t="str">
        <f aca="false">IFERROR((M70-M71)/M70,"")</f>
        <v/>
      </c>
      <c r="N69" s="239" t="str">
        <f aca="false">IFERROR((N70-N71)/N70,"")</f>
        <v/>
      </c>
      <c r="O69" s="239" t="str">
        <f aca="false">IFERROR((O70-O71)/O70,"")</f>
        <v/>
      </c>
      <c r="P69" s="239" t="str">
        <f aca="false">IFERROR((P70-P71)/P70,"")</f>
        <v/>
      </c>
      <c r="Q69" s="239" t="str">
        <f aca="false">IFERROR((Q70-Q71)/Q70,"")</f>
        <v/>
      </c>
      <c r="R69" s="239" t="str">
        <f aca="false">IFERROR((R70-R71)/R70,"")</f>
        <v/>
      </c>
      <c r="S69" s="239" t="str">
        <f aca="false">IFERROR((S70-S71)/S70,"")</f>
        <v/>
      </c>
      <c r="T69" s="239" t="str">
        <f aca="false">IFERROR((T70-T71)/T70,"")</f>
        <v/>
      </c>
      <c r="U69" s="239" t="str">
        <f aca="false">IFERROR((U70-U71)/U70,"")</f>
        <v/>
      </c>
      <c r="V69" s="239" t="str">
        <f aca="false">IFERROR((V70-V71)/V70,"")</f>
        <v/>
      </c>
      <c r="W69" s="239" t="str">
        <f aca="false">IFERROR((W70-W71)/W70,"")</f>
        <v/>
      </c>
      <c r="X69" s="239" t="str">
        <f aca="false">IFERROR((X70-X71)/X70,"")</f>
        <v/>
      </c>
      <c r="Y69" s="239" t="str">
        <f aca="false">IFERROR((Y70-Y71)/Y70,"")</f>
        <v/>
      </c>
      <c r="Z69" s="240" t="str">
        <f aca="false">IFERROR((Z70-Z71)/Z70,"")</f>
        <v/>
      </c>
      <c r="AA69" s="240" t="str">
        <f aca="false">IFERROR((AA70-AA71)/AA70,"")</f>
        <v/>
      </c>
      <c r="AB69" s="240" t="str">
        <f aca="false">IFERROR((AB70-AB71)/AB70,"")</f>
        <v/>
      </c>
      <c r="AC69" s="240" t="str">
        <f aca="false">IFERROR((AC70-AC71)/AC70,"")</f>
        <v/>
      </c>
      <c r="AD69" s="240" t="str">
        <f aca="false">IFERROR((AD70-AD71)/AD70,"")</f>
        <v/>
      </c>
      <c r="AE69" s="240" t="str">
        <f aca="false">IFERROR((AE70-AE71)/AE70,"")</f>
        <v/>
      </c>
      <c r="AF69" s="240" t="str">
        <f aca="false">IFERROR((AF70-AF71)/AF70,"")</f>
        <v/>
      </c>
      <c r="AG69" s="240" t="str">
        <f aca="false">IFERROR((AG70-AG71)/AG70,"")</f>
        <v/>
      </c>
      <c r="AH69" s="240" t="str">
        <f aca="false">IFERROR((AH70-AH71)/AH70,"")</f>
        <v/>
      </c>
      <c r="AI69" s="240" t="str">
        <f aca="false">IFERROR((AI70-AI71)/AI70,"")</f>
        <v/>
      </c>
      <c r="AJ69" s="240" t="str">
        <f aca="false">IFERROR((AJ70-AJ71)/AJ70,"")</f>
        <v/>
      </c>
      <c r="AK69" s="240" t="str">
        <f aca="false">IFERROR((AK70-AK71)/AK70,"")</f>
        <v/>
      </c>
      <c r="AL69" s="240" t="str">
        <f aca="false">IFERROR((AL70-AL71)/AL70,"")</f>
        <v/>
      </c>
      <c r="AM69" s="240" t="str">
        <f aca="false">IFERROR((AM70-AM71)/AM70,"")</f>
        <v/>
      </c>
      <c r="AN69" s="241" t="str">
        <f aca="false">IFERROR((AN70-AN71)/AN70,"")</f>
        <v/>
      </c>
      <c r="AO69" s="242" t="str">
        <f aca="false">IFERROR((AO70-AO71)/AO70,"")</f>
        <v/>
      </c>
      <c r="AP69" s="243" t="str">
        <f aca="false">IFERROR((AP70-AP71)/AP70,"")</f>
        <v/>
      </c>
      <c r="AQ69" s="243" t="str">
        <f aca="false">IFERROR((AQ70-AQ71)/AQ70,"")</f>
        <v/>
      </c>
      <c r="AR69" s="243" t="str">
        <f aca="false">IFERROR((AR70-AR71)/AR70,"")</f>
        <v/>
      </c>
      <c r="AS69" s="243" t="str">
        <f aca="false">IFERROR((AS70-AS71)/AS70,"")</f>
        <v/>
      </c>
      <c r="AT69" s="243" t="str">
        <f aca="false">IFERROR((AT70-AT71)/AT70,"")</f>
        <v/>
      </c>
      <c r="AU69" s="244" t="str">
        <f aca="false">IFERROR((AU70-AU71)/AU70,"")</f>
        <v/>
      </c>
      <c r="AV69" s="245" t="str">
        <f aca="false">IFERROR((AV70-AV71)/AV70,"")</f>
        <v/>
      </c>
    </row>
    <row r="70" customFormat="false" ht="14.25" hidden="false" customHeight="false" outlineLevel="0" collapsed="false">
      <c r="A70" s="217" t="str">
        <f aca="false">+IF(C70+C71=0,"[ocultar]","")</f>
        <v>[ocultar]</v>
      </c>
      <c r="B70" s="323" t="s">
        <v>371</v>
      </c>
      <c r="C70" s="247" t="n">
        <f aca="false" t="array" ref="C70:C70">SUM(IF($B70=DATOS_[Sexo], IF($B69=DATOS_[AGRUP. VALOR. PTO.], IF("Dentro"=DATOS_[Check Periodo Ref.], 1/(COUNTIFS(DATOS_[Sexo],$B70,DATOS_[AGRUP. VALOR. PTO.],$B69,DATOS_[Check Periodo Ref.],"Dentro",DATOS_[id],DATOS_[id]))))))</f>
        <v>0</v>
      </c>
      <c r="D70" s="248" t="n">
        <f aca="false">COUNTIFS(DATOS_[AGRUP. VALOR. PTO.],$B69,DATOS_[Sexo],$B70,DATOS_[Check Periodo Ref.],"Dentro")</f>
        <v>0</v>
      </c>
      <c r="E70" s="248" t="n">
        <f aca="false">COUNTIFS(DATOS_[AGRUP. VALOR. PTO.],$B69,DATOS_[Sexo],$B70,DATOS_[Check Periodo Ref.],"Dentro",DATOS_[Check Nº SC Norm],"Sí")</f>
        <v>0</v>
      </c>
      <c r="F70" s="248" t="n">
        <f aca="false">COUNTIFS(DATOS_[AGRUP. VALOR. PTO.],$B69,DATOS_[Sexo],$B70,DATOS_[Check Periodo Ref.],"Dentro",DATOS_[Check Nº SC Anualiz],"Sí")</f>
        <v>0</v>
      </c>
      <c r="G70" s="248" t="n">
        <f aca="false">COUNTIFS(DATOS_[AGRUP. VALOR. PTO.],$B69,DATOS_[Sexo],$B70,DATOS_[Check Periodo Ref.],"Dentro",DATOS_[Check Nº SC Norm y Anualiz],"Sí")</f>
        <v>0</v>
      </c>
      <c r="H70" s="248" t="n">
        <f aca="false">COUNTIFS(DATOS_[AGRUP. VALOR. PTO.],$B69,DATOS_[Sexo],$B70,DATOS_[Check Periodo Ref.],"Dentro",DATOS_[Check Equiparación],"Sí")</f>
        <v>0</v>
      </c>
      <c r="I70" s="249" t="n">
        <f aca="false" t="array" ref="I70:I70">IFERROR( MEDIAN(IF(DATOS_[Sexo]=$B70,IF(DATOS_[[AGRUP. VALOR. PTO.]:[AGRUP. VALOR. PTO.]]=$B69,IF(DATOS_[Check Equiparado]="Sí",IF(DATOS_[Check Periodo Ref.]="Dentro",DATOS_[SALARIO BASE Eq],0))))), 0)</f>
        <v>0</v>
      </c>
      <c r="J70" s="250" t="n">
        <f aca="false" t="array" ref="J70:J70">IFERROR( (MEDIAN((IF(DATOS_[[Sexo]:[Sexo]]=$B70,IF(DATOS_[[AGRUP. VALOR. PTO.]:[AGRUP. VALOR. PTO.]]=$B69,IF(DATOS_[[Check Periodo Ref.]:[Check Periodo Ref.]]="Dentro",IF(DATOS_[[Check Equiparado]:[Check Equiparado]]="Sí",IF(DATOS!AE$4="Sí",(1/DATOS_[[% anualiz]:[% anualiz]]),1)*IF(DATOS!AE$5="Sí",1/DATOS_[[% normaliz]:[% normaliz]],1)*(DATOS_[Conc.Sal.01])))))))), 0)</f>
        <v>0</v>
      </c>
      <c r="K70" s="250" t="n">
        <f aca="false" t="array" ref="K70:K70">IFERROR( (MEDIAN((IF(DATOS_[[Sexo]:[Sexo]]=$B70,IF(DATOS_[[AGRUP. VALOR. PTO.]:[AGRUP. VALOR. PTO.]]=$B69,IF(DATOS_[[Check Periodo Ref.]:[Check Periodo Ref.]]="Dentro",IF(DATOS_[[Check Equiparado]:[Check Equiparado]]="Sí",IF(DATOS!AF$4="Sí",(1/DATOS_[[% anualiz]:[% anualiz]]),1)*IF(DATOS!AF$5="Sí",1/DATOS_[[% normaliz]:[% normaliz]],1)*(DATOS_[Conc.Sal.02])))))))), 0)</f>
        <v>0</v>
      </c>
      <c r="L70" s="250" t="n">
        <f aca="false" t="array" ref="L70:L70">IFERROR( (MEDIAN((IF(DATOS_[[Sexo]:[Sexo]]=$B70,IF(DATOS_[[AGRUP. VALOR. PTO.]:[AGRUP. VALOR. PTO.]]=$B69,IF(DATOS_[[Check Periodo Ref.]:[Check Periodo Ref.]]="Dentro",IF(DATOS_[[Check Equiparado]:[Check Equiparado]]="Sí",IF(DATOS!AG$4="Sí",(1/DATOS_[[% anualiz]:[% anualiz]]),1)*IF(DATOS!AG$5="Sí",1/DATOS_[[% normaliz]:[% normaliz]],1)*(DATOS_[Conc.Sal.03])))))))), 0)</f>
        <v>0</v>
      </c>
      <c r="M70" s="250" t="n">
        <f aca="false" t="array" ref="M70:M70">IFERROR( (MEDIAN((IF(DATOS_[[Sexo]:[Sexo]]=$B70,IF(DATOS_[[AGRUP. VALOR. PTO.]:[AGRUP. VALOR. PTO.]]=$B69,IF(DATOS_[[Check Periodo Ref.]:[Check Periodo Ref.]]="Dentro",IF(DATOS_[[Check Equiparado]:[Check Equiparado]]="Sí",IF(DATOS!AH$4="Sí",(1/DATOS_[[% anualiz]:[% anualiz]]),1)*IF(DATOS!AH$5="Sí",1/DATOS_[[% normaliz]:[% normaliz]],1)*(DATOS_[Conc.Sal.04])))))))), 0)</f>
        <v>0</v>
      </c>
      <c r="N70" s="250" t="n">
        <f aca="false" t="array" ref="N70:N70">IFERROR( (MEDIAN((IF(DATOS_[[Sexo]:[Sexo]]=$B70,IF(DATOS_[[AGRUP. VALOR. PTO.]:[AGRUP. VALOR. PTO.]]=$B69,IF(DATOS_[[Check Periodo Ref.]:[Check Periodo Ref.]]="Dentro",IF(DATOS_[[Check Equiparado]:[Check Equiparado]]="Sí",IF(DATOS!AI$4="Sí",(1/DATOS_[[% anualiz]:[% anualiz]]),1)*IF(DATOS!AI$5="Sí",1/DATOS_[[% normaliz]:[% normaliz]],1)*(DATOS_[Conc.Sal.05])))))))), 0)</f>
        <v>0</v>
      </c>
      <c r="O70" s="250" t="n">
        <f aca="false" t="array" ref="O70:O70">IFERROR( (MEDIAN((IF(DATOS_[[Sexo]:[Sexo]]=$B70,IF(DATOS_[[AGRUP. VALOR. PTO.]:[AGRUP. VALOR. PTO.]]=$B69,IF(DATOS_[[Check Periodo Ref.]:[Check Periodo Ref.]]="Dentro",IF(DATOS_[[Check Equiparado]:[Check Equiparado]]="Sí",IF(DATOS!AJ$4="Sí",(1/DATOS_[[% anualiz]:[% anualiz]]),1)*IF(DATOS!AJ$5="Sí",1/DATOS_[[% normaliz]:[% normaliz]],1)*(DATOS_[Conc.Sal.06])))))))), 0)</f>
        <v>0</v>
      </c>
      <c r="P70" s="250" t="n">
        <f aca="false" t="array" ref="P70:P70">IFERROR( (MEDIAN((IF(DATOS_[[Sexo]:[Sexo]]=$B70,IF(DATOS_[[AGRUP. VALOR. PTO.]:[AGRUP. VALOR. PTO.]]=$B69,IF(DATOS_[[Check Periodo Ref.]:[Check Periodo Ref.]]="Dentro",IF(DATOS_[[Check Equiparado]:[Check Equiparado]]="Sí",IF(DATOS!AK$4="Sí",(1/DATOS_[[% anualiz]:[% anualiz]]),1)*IF(DATOS!AK$5="Sí",1/DATOS_[[% normaliz]:[% normaliz]],1)*(DATOS_[Conc.Sal.07])))))))), 0)</f>
        <v>0</v>
      </c>
      <c r="Q70" s="250" t="n">
        <f aca="false" t="array" ref="Q70:Q70">IFERROR( (MEDIAN((IF(DATOS_[[Sexo]:[Sexo]]=$B70,IF(DATOS_[[AGRUP. VALOR. PTO.]:[AGRUP. VALOR. PTO.]]=$B69,IF(DATOS_[[Check Periodo Ref.]:[Check Periodo Ref.]]="Dentro",IF(DATOS_[[Check Equiparado]:[Check Equiparado]]="Sí",IF(DATOS!AL$4="Sí",(1/DATOS_[[% anualiz]:[% anualiz]]),1)*IF(DATOS!AL$5="Sí",1/DATOS_[[% normaliz]:[% normaliz]],1)*(DATOS_[Conc.Sal.08])))))))), 0)</f>
        <v>0</v>
      </c>
      <c r="R70" s="250" t="n">
        <f aca="false" t="array" ref="R70:R70">IFERROR( (MEDIAN((IF(DATOS_[[Sexo]:[Sexo]]=$B70,IF(DATOS_[[AGRUP. VALOR. PTO.]:[AGRUP. VALOR. PTO.]]=$B69,IF(DATOS_[[Check Periodo Ref.]:[Check Periodo Ref.]]="Dentro",IF(DATOS_[[Check Equiparado]:[Check Equiparado]]="Sí",IF(DATOS!AM$4="Sí",(1/DATOS_[[% anualiz]:[% anualiz]]),1)*IF(DATOS!AM$5="Sí",1/DATOS_[[% normaliz]:[% normaliz]],1)*(DATOS_[Conc.Sal.09])))))))), 0)</f>
        <v>0</v>
      </c>
      <c r="S70" s="250" t="n">
        <f aca="false" t="array" ref="S70:S70">IFERROR( (MEDIAN((IF(DATOS_[[Sexo]:[Sexo]]=$B70,IF(DATOS_[[AGRUP. VALOR. PTO.]:[AGRUP. VALOR. PTO.]]=$B69,IF(DATOS_[[Check Periodo Ref.]:[Check Periodo Ref.]]="Dentro",IF(DATOS_[[Check Equiparado]:[Check Equiparado]]="Sí",IF(DATOS!AN$4="Sí",(1/DATOS_[[% anualiz]:[% anualiz]]),1)*IF(DATOS!AN$5="Sí",1/DATOS_[[% normaliz]:[% normaliz]],1)*(DATOS_[Conc.Sal.10])))))))), 0)</f>
        <v>0</v>
      </c>
      <c r="T70" s="250" t="n">
        <f aca="false" t="array" ref="T70:T70">IFERROR( (MEDIAN((IF(DATOS_[[Sexo]:[Sexo]]=$B70,IF(DATOS_[[AGRUP. VALOR. PTO.]:[AGRUP. VALOR. PTO.]]=$B69,IF(DATOS_[[Check Periodo Ref.]:[Check Periodo Ref.]]="Dentro",IF(DATOS_[[Check Equiparado]:[Check Equiparado]]="Sí",IF(DATOS!AO$4="Sí",(1/DATOS_[[% anualiz]:[% anualiz]]),1)*IF(DATOS!AO$5="Sí",1/DATOS_[[% normaliz]:[% normaliz]],1)*(DATOS_[Conc.Sal.11])))))))), 0)</f>
        <v>0</v>
      </c>
      <c r="U70" s="250" t="n">
        <f aca="false" t="array" ref="U70:U70">IFERROR( (MEDIAN((IF(DATOS_[[Sexo]:[Sexo]]=$B70,IF(DATOS_[[AGRUP. VALOR. PTO.]:[AGRUP. VALOR. PTO.]]=$B69,IF(DATOS_[[Check Periodo Ref.]:[Check Periodo Ref.]]="Dentro",IF(DATOS_[[Check Equiparado]:[Check Equiparado]]="Sí",IF(DATOS!AP$4="Sí",(1/DATOS_[[% anualiz]:[% anualiz]]),1)*IF(DATOS!AP$5="Sí",1/DATOS_[[% normaliz]:[% normaliz]],1)*(DATOS_[Conc.Sal.12])))))))), 0)</f>
        <v>0</v>
      </c>
      <c r="V70" s="250" t="n">
        <f aca="false" t="array" ref="V70:V70">IFERROR( (MEDIAN((IF(DATOS_[[Sexo]:[Sexo]]=$B70,IF(DATOS_[[AGRUP. VALOR. PTO.]:[AGRUP. VALOR. PTO.]]=$B69,IF(DATOS_[[Check Periodo Ref.]:[Check Periodo Ref.]]="Dentro",IF(DATOS_[[Check Equiparado]:[Check Equiparado]]="Sí",IF(DATOS!AQ$4="Sí",(1/DATOS_[[% anualiz]:[% anualiz]]),1)*IF(DATOS!AQ$5="Sí",1/DATOS_[[% normaliz]:[% normaliz]],1)*(DATOS_[Conc.Sal.13])))))))), 0)</f>
        <v>0</v>
      </c>
      <c r="W70" s="250" t="n">
        <f aca="false" t="array" ref="W70:W70">IFERROR( (MEDIAN((IF(DATOS_[[Sexo]:[Sexo]]=$B70,IF(DATOS_[[AGRUP. VALOR. PTO.]:[AGRUP. VALOR. PTO.]]=$B69,IF(DATOS_[[Check Periodo Ref.]:[Check Periodo Ref.]]="Dentro",IF(DATOS_[[Check Equiparado]:[Check Equiparado]]="Sí",IF(DATOS!AR$4="Sí",(1/DATOS_[[% anualiz]:[% anualiz]]),1)*IF(DATOS!AR$5="Sí",1/DATOS_[[% normaliz]:[% normaliz]],1)*(DATOS_[Conc.Sal.14])))))))), 0)</f>
        <v>0</v>
      </c>
      <c r="X70" s="250" t="n">
        <f aca="false" t="array" ref="X70:X70">IFERROR( (MEDIAN((IF(DATOS_[[Sexo]:[Sexo]]=$B70,IF(DATOS_[[AGRUP. VALOR. PTO.]:[AGRUP. VALOR. PTO.]]=$B69,IF(DATOS_[[Check Periodo Ref.]:[Check Periodo Ref.]]="Dentro",IF(DATOS_[[Check Equiparado]:[Check Equiparado]]="Sí",IF(DATOS!AS$4="Sí",(1/DATOS_[[% anualiz]:[% anualiz]]),1)*IF(DATOS!AS$5="Sí",1/DATOS_[[% normaliz]:[% normaliz]],1)*(DATOS_[Conc.Sal.15])))))))), 0)</f>
        <v>0</v>
      </c>
      <c r="Y70" s="250" t="n">
        <f aca="false" t="array" ref="Y70:Y70">IFERROR( (MEDIAN((IF(DATOS_[[Sexo]:[Sexo]]=$B70,IF(DATOS_[[AGRUP. VALOR. PTO.]:[AGRUP. VALOR. PTO.]]=$B69,IF(DATOS_[[Check Periodo Ref.]:[Check Periodo Ref.]]="Dentro",IF(DATOS_[[Check Equiparado]:[Check Equiparado]]="Sí",IF(DATOS!AT$4="Sí",(1/DATOS_[[% anualiz]:[% anualiz]]),1)*IF(DATOS!AT$5="Sí",1/DATOS_[[% normaliz]:[% normaliz]],1)*(DATOS_[Conc.Sal.16])))))))), 0)</f>
        <v>0</v>
      </c>
      <c r="Z70" s="250" t="n">
        <f aca="false" t="array" ref="Z70:Z70">IFERROR( (MEDIAN((IF(DATOS_[[Sexo]:[Sexo]]=$B70,IF(DATOS_[[AGRUP. VALOR. PTO.]:[AGRUP. VALOR. PTO.]]=$B69,IF(DATOS_[[Check Periodo Ref.]:[Check Periodo Ref.]]="Dentro",IF(DATOS_[[Check Equiparado]:[Check Equiparado]]="Sí",IF(DATOS!AU$4="Sí",(1/DATOS_[[% anualiz]:[% anualiz]]),1)*IF(DATOS!AU$5="Sí",1/DATOS_[[% normaliz]:[% normaliz]],1)*(DATOS_[Conc.Sal.17])))))))), 0)</f>
        <v>0</v>
      </c>
      <c r="AA70" s="250" t="n">
        <f aca="false" t="array" ref="AA70:AA70">IFERROR( (MEDIAN((IF(DATOS_[[Sexo]:[Sexo]]=$B70,IF(DATOS_[[AGRUP. VALOR. PTO.]:[AGRUP. VALOR. PTO.]]=$B69,IF(DATOS_[[Check Periodo Ref.]:[Check Periodo Ref.]]="Dentro",IF(DATOS_[[Check Equiparado]:[Check Equiparado]]="Sí",IF(DATOS!AV$4="Sí",(1/DATOS_[[% anualiz]:[% anualiz]]),1)*IF(DATOS!AV$5="Sí",1/DATOS_[[% normaliz]:[% normaliz]],1)*(DATOS_[Conc.Sal.18])))))))), 0)</f>
        <v>0</v>
      </c>
      <c r="AB70" s="250" t="n">
        <f aca="false" t="array" ref="AB70:AB70">IFERROR( (MEDIAN((IF(DATOS_[[Sexo]:[Sexo]]=$B70,IF(DATOS_[[AGRUP. VALOR. PTO.]:[AGRUP. VALOR. PTO.]]=$B69,IF(DATOS_[[Check Periodo Ref.]:[Check Periodo Ref.]]="Dentro",IF(DATOS_[[Check Equiparado]:[Check Equiparado]]="Sí",IF(DATOS!AW$4="Sí",(1/DATOS_[[% anualiz]:[% anualiz]]),1)*IF(DATOS!AW$5="Sí",1/DATOS_[[% normaliz]:[% normaliz]],1)*(DATOS_[Conc.Sal.19])))))))), 0)</f>
        <v>0</v>
      </c>
      <c r="AC70" s="250" t="n">
        <f aca="false" t="array" ref="AC70:AC70">IFERROR( (MEDIAN((IF(DATOS_[[Sexo]:[Sexo]]=$B70,IF(DATOS_[[AGRUP. VALOR. PTO.]:[AGRUP. VALOR. PTO.]]=$B69,IF(DATOS_[[Check Periodo Ref.]:[Check Periodo Ref.]]="Dentro",IF(DATOS_[[Check Equiparado]:[Check Equiparado]]="Sí",IF(DATOS!AX$4="Sí",(1/DATOS_[[% anualiz]:[% anualiz]]),1)*IF(DATOS!AX$5="Sí",1/DATOS_[[% normaliz]:[% normaliz]],1)*(DATOS_[Conc.Sal.20])))))))), 0)</f>
        <v>0</v>
      </c>
      <c r="AD70" s="250" t="n">
        <f aca="false" t="array" ref="AD70:AD70">IFERROR( (MEDIAN((IF(DATOS_[[Sexo]:[Sexo]]=$B70,IF(DATOS_[[AGRUP. VALOR. PTO.]:[AGRUP. VALOR. PTO.]]=$B69,IF(DATOS_[[Check Periodo Ref.]:[Check Periodo Ref.]]="Dentro",IF(DATOS_[[Check Equiparado]:[Check Equiparado]]="Sí",IF(DATOS!AY$4="Sí",(1/DATOS_[[% anualiz]:[% anualiz]]),1)*IF(DATOS!AY$5="Sí",1/DATOS_[[% normaliz]:[% normaliz]],1)*(DATOS_[Conc.Sal.21])))))))), 0)</f>
        <v>0</v>
      </c>
      <c r="AE70" s="250" t="n">
        <f aca="false" t="array" ref="AE70:AE70">IFERROR( (MEDIAN((IF(DATOS_[[Sexo]:[Sexo]]=$B70,IF(DATOS_[[AGRUP. VALOR. PTO.]:[AGRUP. VALOR. PTO.]]=$B69,IF(DATOS_[[Check Periodo Ref.]:[Check Periodo Ref.]]="Dentro",IF(DATOS_[[Check Equiparado]:[Check Equiparado]]="Sí",IF(DATOS!AZ$4="Sí",(1/DATOS_[[% anualiz]:[% anualiz]]),1)*IF(DATOS!AZ$5="Sí",1/DATOS_[[% normaliz]:[% normaliz]],1)*(DATOS_[Conc.Sal.22])))))))), 0)</f>
        <v>0</v>
      </c>
      <c r="AF70" s="250" t="n">
        <f aca="false" t="array" ref="AF70:AF70">IFERROR( (MEDIAN((IF(DATOS_[[Sexo]:[Sexo]]=$B70,IF(DATOS_[[AGRUP. VALOR. PTO.]:[AGRUP. VALOR. PTO.]]=$B69,IF(DATOS_[[Check Periodo Ref.]:[Check Periodo Ref.]]="Dentro",IF(DATOS_[[Check Equiparado]:[Check Equiparado]]="Sí",IF(DATOS!BA$4="Sí",(1/DATOS_[[% anualiz]:[% anualiz]]),1)*IF(DATOS!BA$5="Sí",1/DATOS_[[% normaliz]:[% normaliz]],1)*(DATOS_[Conc.Sal.23])))))))), 0)</f>
        <v>0</v>
      </c>
      <c r="AG70" s="250" t="n">
        <f aca="false" t="array" ref="AG70:AG70">IFERROR( (MEDIAN((IF(DATOS_[[Sexo]:[Sexo]]=$B70,IF(DATOS_[[AGRUP. VALOR. PTO.]:[AGRUP. VALOR. PTO.]]=$B69,IF(DATOS_[[Check Periodo Ref.]:[Check Periodo Ref.]]="Dentro",IF(DATOS_[[Check Equiparado]:[Check Equiparado]]="Sí",IF(DATOS!BB$4="Sí",(1/DATOS_[[% anualiz]:[% anualiz]]),1)*IF(DATOS!BB$5="Sí",1/DATOS_[[% normaliz]:[% normaliz]],1)*(DATOS_[Conc.Sal.24])))))))), 0)</f>
        <v>0</v>
      </c>
      <c r="AH70" s="250" t="n">
        <f aca="false" t="array" ref="AH70:AH70">IFERROR( (MEDIAN((IF(DATOS_[[Sexo]:[Sexo]]=$B70,IF(DATOS_[[AGRUP. VALOR. PTO.]:[AGRUP. VALOR. PTO.]]=$B69,IF(DATOS_[[Check Periodo Ref.]:[Check Periodo Ref.]]="Dentro",IF(DATOS_[[Check Equiparado]:[Check Equiparado]]="Sí",IF(DATOS!BC$4="Sí",(1/DATOS_[[% anualiz]:[% anualiz]]),1)*IF(DATOS!BC$5="Sí",1/DATOS_[[% normaliz]:[% normaliz]],1)*(DATOS_[Conc.Sal.25])))))))), 0)</f>
        <v>0</v>
      </c>
      <c r="AI70" s="250" t="n">
        <f aca="false" t="array" ref="AI70:AI70">IFERROR( (MEDIAN((IF(DATOS_[[Sexo]:[Sexo]]=$B70,IF(DATOS_[[AGRUP. VALOR. PTO.]:[AGRUP. VALOR. PTO.]]=$B69,IF(DATOS_[[Check Periodo Ref.]:[Check Periodo Ref.]]="Dentro",IF(DATOS_[[Check Equiparado]:[Check Equiparado]]="Sí",IF(DATOS!BD$4="Sí",(1/DATOS_[[% anualiz]:[% anualiz]]),1)*IF(DATOS!BD$5="Sí",1/DATOS_[[% normaliz]:[% normaliz]],1)*(DATOS_[Conc.Sal.26])))))))), 0)</f>
        <v>0</v>
      </c>
      <c r="AJ70" s="250" t="n">
        <f aca="false" t="array" ref="AJ70:AJ70">IFERROR( (MEDIAN((IF(DATOS_[[Sexo]:[Sexo]]=$B70,IF(DATOS_[[AGRUP. VALOR. PTO.]:[AGRUP. VALOR. PTO.]]=$B69,IF(DATOS_[[Check Periodo Ref.]:[Check Periodo Ref.]]="Dentro",IF(DATOS_[[Check Equiparado]:[Check Equiparado]]="Sí",IF(DATOS!BE$4="Sí",(1/DATOS_[[% anualiz]:[% anualiz]]),1)*IF(DATOS!BE$5="Sí",1/DATOS_[[% normaliz]:[% normaliz]],1)*(DATOS_[Conc.Sal.27])))))))), 0)</f>
        <v>0</v>
      </c>
      <c r="AK70" s="250" t="n">
        <f aca="false" t="array" ref="AK70:AK70">IFERROR( (MEDIAN((IF(DATOS_[[Sexo]:[Sexo]]=$B70,IF(DATOS_[[AGRUP. VALOR. PTO.]:[AGRUP. VALOR. PTO.]]=$B69,IF(DATOS_[[Check Periodo Ref.]:[Check Periodo Ref.]]="Dentro",IF(DATOS_[[Check Equiparado]:[Check Equiparado]]="Sí",IF(DATOS!BF$4="Sí",(1/DATOS_[[% anualiz]:[% anualiz]]),1)*IF(DATOS!BF$5="Sí",1/DATOS_[[% normaliz]:[% normaliz]],1)*(DATOS_[Conc.Sal.28])))))))), 0)</f>
        <v>0</v>
      </c>
      <c r="AL70" s="250" t="n">
        <f aca="false" t="array" ref="AL70:AL70">IFERROR( (MEDIAN((IF(DATOS_[[Sexo]:[Sexo]]=$B70,IF(DATOS_[[AGRUP. VALOR. PTO.]:[AGRUP. VALOR. PTO.]]=$B69,IF(DATOS_[[Check Periodo Ref.]:[Check Periodo Ref.]]="Dentro",IF(DATOS_[[Check Equiparado]:[Check Equiparado]]="Sí",IF(DATOS!BG$4="Sí",(1/DATOS_[[% anualiz]:[% anualiz]]),1)*IF(DATOS!BG$5="Sí",1/DATOS_[[% normaliz]:[% normaliz]],1)*(DATOS_[Conc.Sal.29])))))))), 0)</f>
        <v>0</v>
      </c>
      <c r="AM70" s="250" t="n">
        <f aca="false" t="array" ref="AM70:AM70">IFERROR( (MEDIAN((IF(DATOS_[[Sexo]:[Sexo]]=$B70,IF(DATOS_[[AGRUP. VALOR. PTO.]:[AGRUP. VALOR. PTO.]]=$B69,IF(DATOS_[[Check Periodo Ref.]:[Check Periodo Ref.]]="Dentro",IF(DATOS_[[Check Equiparado]:[Check Equiparado]]="Sí",IF(DATOS!BH$4="Sí",(1/DATOS_[[% anualiz]:[% anualiz]]),1)*IF(DATOS!BH$5="Sí",1/DATOS_[[% normaliz]:[% normaliz]],1)*(DATOS_[Conc.Sal.30])))))))), 0)</f>
        <v>0</v>
      </c>
      <c r="AN70" s="251" t="n">
        <f aca="false" t="array" ref="AN70:AN70">IFERROR( MEDIAN(IF(DATOS_[Sexo]=$B70,IF(DATOS_[[AGRUP. VALOR. PTO.]:[AGRUP. VALOR. PTO.]]=$B69,IF(DATOS_[Check Equiparado]="Sí",IF(DATOS_[Check Periodo Ref.]="Dentro",DATOS_[Tot COMPL.SAL Eq],0))))), 0)</f>
        <v>0</v>
      </c>
      <c r="AO70" s="252" t="n">
        <f aca="false" t="array" ref="AO70:AO70">IFERROR( MEDIAN(IF(DATOS_[Sexo]=$B70,IF(DATOS_[[AGRUP. VALOR. PTO.]:[AGRUP. VALOR. PTO.]]=$B69,IF(DATOS_[Check Equiparado]="Sí",IF(DATOS_[Check Periodo Ref.]="Dentro",DATOS_[TOTAL SALARIO Eq],0))))), 0)</f>
        <v>0</v>
      </c>
      <c r="AP70" s="259" t="n">
        <f aca="false" t="array" ref="AP70:AP70">IFERROR( (MEDIAN((IF(DATOS_[[Sexo]:[Sexo]]=$B70,IF(DATOS_[[AGRUP. VALOR. PTO.]:[AGRUP. VALOR. PTO.]]=$B69,IF(DATOS_[[Check Periodo Ref.]:[Check Periodo Ref.]]="Dentro",IF(DATOS_[[Check Equiparado]:[Check Equiparado]]="Sí",IF(DATOS!BI$4="Sí",(1/DATOS_[[% anualiz]:[% anualiz]]),1)*IF(DATOS!BI$5="Sí",1/DATOS_[[% normaliz]:[% normaliz]],1)*(DATOS_[C.Extra.01])))))))), 0)</f>
        <v>0</v>
      </c>
      <c r="AQ70" s="259" t="n">
        <f aca="false" t="array" ref="AQ70:AQ70">IFERROR( (MEDIAN((IF(DATOS_[[Sexo]:[Sexo]]=$B70,IF(DATOS_[[AGRUP. VALOR. PTO.]:[AGRUP. VALOR. PTO.]]=$B69,IF(DATOS_[[Check Periodo Ref.]:[Check Periodo Ref.]]="Dentro",IF(DATOS_[[Check Equiparado]:[Check Equiparado]]="Sí",IF(DATOS!BJ$4="Sí",(1/DATOS_[[% anualiz]:[% anualiz]]),1)*IF(DATOS!BJ$5="Sí",1/DATOS_[[% normaliz]:[% normaliz]],1)*(DATOS_[C.Extra.02])))))))), 0)</f>
        <v>0</v>
      </c>
      <c r="AR70" s="259" t="n">
        <f aca="false" t="array" ref="AR70:AR70">IFERROR( (MEDIAN((IF(DATOS_[[Sexo]:[Sexo]]=$B70,IF(DATOS_[[AGRUP. VALOR. PTO.]:[AGRUP. VALOR. PTO.]]=$B69,IF(DATOS_[[Check Periodo Ref.]:[Check Periodo Ref.]]="Dentro",IF(DATOS_[[Check Equiparado]:[Check Equiparado]]="Sí",IF(DATOS!BK$4="Sí",(1/DATOS_[[% anualiz]:[% anualiz]]),1)*IF(DATOS!BK$5="Sí",1/DATOS_[[% normaliz]:[% normaliz]],1)*(DATOS_[C.Extra.03])))))))), 0)</f>
        <v>0</v>
      </c>
      <c r="AS70" s="259" t="n">
        <f aca="false" t="array" ref="AS70:AS70">IFERROR( (MEDIAN((IF(DATOS_[[Sexo]:[Sexo]]=$B70,IF(DATOS_[[AGRUP. VALOR. PTO.]:[AGRUP. VALOR. PTO.]]=$B69,IF(DATOS_[[Check Periodo Ref.]:[Check Periodo Ref.]]="Dentro",IF(DATOS_[[Check Equiparado]:[Check Equiparado]]="Sí",IF(DATOS!BL$4="Sí",(1/DATOS_[[% anualiz]:[% anualiz]]),1)*IF(DATOS!BL$5="Sí",1/DATOS_[[% normaliz]:[% normaliz]],1)*(DATOS_[C.Extra.04])))))))), 0)</f>
        <v>0</v>
      </c>
      <c r="AT70" s="259" t="n">
        <f aca="false" t="array" ref="AT70:AT70">IFERROR( (MEDIAN((IF(DATOS_[[Sexo]:[Sexo]]=$B70,IF(DATOS_[[AGRUP. VALOR. PTO.]:[AGRUP. VALOR. PTO.]]=$B69,IF(DATOS_[[Check Periodo Ref.]:[Check Periodo Ref.]]="Dentro",IF(DATOS_[[Check Equiparado]:[Check Equiparado]]="Sí",IF(DATOS!BM$4="Sí",(1/DATOS_[[% anualiz]:[% anualiz]]),1)*IF(DATOS!BM$5="Sí",1/DATOS_[[% normaliz]:[% normaliz]],1)*(DATOS_[C.Extra.05])))))))), 0)</f>
        <v>0</v>
      </c>
      <c r="AU70" s="254" t="n">
        <f aca="false" t="array" ref="AU70:AU70">IFERROR( MEDIAN(IF(DATOS_[Sexo]=$B70,IF(DATOS_[[AGRUP. VALOR. PTO.]:[AGRUP. VALOR. PTO.]]=$B69,IF(DATOS_[Check Equiparado]="Sí",IF(DATOS_[Check Periodo Ref.]="Dentro",DATOS_[Tot Extrasalarial Eq],0))))), 0)</f>
        <v>0</v>
      </c>
      <c r="AV70" s="255" t="n">
        <f aca="false" t="array" ref="AV70:AV70">IFERROR( MEDIAN(IF(DATOS_[Sexo]=$B70,IF(DATOS_[[AGRUP. VALOR. PTO.]:[AGRUP. VALOR. PTO.]]=$B69,IF(DATOS_[Check Equiparado]="Sí",IF(DATOS_[Check Periodo Ref.]="Dentro",DATOS_[TOTAL Retrib Eq],0))))), 0)</f>
        <v>0</v>
      </c>
    </row>
    <row r="71" customFormat="false" ht="14.25" hidden="false" customHeight="false" outlineLevel="0" collapsed="false">
      <c r="A71" s="217" t="str">
        <f aca="false">+A70</f>
        <v>[ocultar]</v>
      </c>
      <c r="B71" s="323" t="s">
        <v>372</v>
      </c>
      <c r="C71" s="247" t="n">
        <f aca="false" t="array" ref="C71:C71">SUM(IF($B71=DATOS_[Sexo], IF($B69=DATOS_[AGRUP. VALOR. PTO.], IF("Dentro"=DATOS_[Check Periodo Ref.], 1/(COUNTIFS(DATOS_[Sexo],$B71,DATOS_[AGRUP. VALOR. PTO.],$B69,DATOS_[Check Periodo Ref.],"Dentro",DATOS_[id],DATOS_[id]))))))</f>
        <v>0</v>
      </c>
      <c r="D71" s="248" t="n">
        <f aca="false">COUNTIFS(DATOS_[AGRUP. VALOR. PTO.],$B69,DATOS_[Sexo],$B71,DATOS_[Check Periodo Ref.],"Dentro")</f>
        <v>0</v>
      </c>
      <c r="E71" s="248" t="n">
        <f aca="false">COUNTIFS(DATOS_[AGRUP. VALOR. PTO.],$B69,DATOS_[Sexo],$B71,DATOS_[Check Periodo Ref.],"Dentro",DATOS_[Check Nº SC Norm],"Sí")</f>
        <v>0</v>
      </c>
      <c r="F71" s="248" t="n">
        <f aca="false">COUNTIFS(DATOS_[AGRUP. VALOR. PTO.],$B69,DATOS_[Sexo],$B71,DATOS_[Check Periodo Ref.],"Dentro",DATOS_[Check Nº SC Anualiz],"Sí")</f>
        <v>0</v>
      </c>
      <c r="G71" s="248" t="n">
        <f aca="false">COUNTIFS(DATOS_[AGRUP. VALOR. PTO.],$B69,DATOS_[Sexo],$B71,DATOS_[Check Periodo Ref.],"Dentro",DATOS_[Check Nº SC Norm y Anualiz],"Sí")</f>
        <v>0</v>
      </c>
      <c r="H71" s="248" t="n">
        <f aca="false">COUNTIFS(DATOS_[AGRUP. VALOR. PTO.],$B69,DATOS_[Sexo],$B71,DATOS_[Check Periodo Ref.],"Dentro",DATOS_[Check Equiparación],"Sí")</f>
        <v>0</v>
      </c>
      <c r="I71" s="249" t="n">
        <f aca="false" t="array" ref="I71:I71">IFERROR( MEDIAN(IF(DATOS_[Sexo]=$B71,IF(DATOS_[[AGRUP. VALOR. PTO.]:[AGRUP. VALOR. PTO.]]=$B69,IF(DATOS_[Check Equiparado]="Sí",IF(DATOS_[Check Periodo Ref.]="Dentro",DATOS_[SALARIO BASE Eq],0))))), 0)</f>
        <v>0</v>
      </c>
      <c r="J71" s="250" t="n">
        <f aca="false" t="array" ref="J71:J71">IFERROR( (MEDIAN((IF(DATOS_[[Sexo]:[Sexo]]=$B71,IF(DATOS_[[AGRUP. VALOR. PTO.]:[AGRUP. VALOR. PTO.]]=$B69,IF(DATOS_[[Check Periodo Ref.]:[Check Periodo Ref.]]="Dentro",IF(DATOS_[[Check Equiparado]:[Check Equiparado]]="Sí",IF(DATOS!AE$4="Sí",(1/DATOS_[[% anualiz]:[% anualiz]]),1)*IF(DATOS!AE$5="Sí",1/DATOS_[[% normaliz]:[% normaliz]],1)*(DATOS_[Conc.Sal.01])))))))), 0)</f>
        <v>0</v>
      </c>
      <c r="K71" s="250" t="n">
        <f aca="false" t="array" ref="K71:K71">IFERROR( (MEDIAN((IF(DATOS_[[Sexo]:[Sexo]]=$B71,IF(DATOS_[[AGRUP. VALOR. PTO.]:[AGRUP. VALOR. PTO.]]=$B69,IF(DATOS_[[Check Periodo Ref.]:[Check Periodo Ref.]]="Dentro",IF(DATOS_[[Check Equiparado]:[Check Equiparado]]="Sí",IF(DATOS!AF$4="Sí",(1/DATOS_[[% anualiz]:[% anualiz]]),1)*IF(DATOS!AF$5="Sí",1/DATOS_[[% normaliz]:[% normaliz]],1)*(DATOS_[Conc.Sal.02])))))))), 0)</f>
        <v>0</v>
      </c>
      <c r="L71" s="250" t="n">
        <f aca="false" t="array" ref="L71:L71">IFERROR( (MEDIAN((IF(DATOS_[[Sexo]:[Sexo]]=$B71,IF(DATOS_[[AGRUP. VALOR. PTO.]:[AGRUP. VALOR. PTO.]]=$B69,IF(DATOS_[[Check Periodo Ref.]:[Check Periodo Ref.]]="Dentro",IF(DATOS_[[Check Equiparado]:[Check Equiparado]]="Sí",IF(DATOS!AG$4="Sí",(1/DATOS_[[% anualiz]:[% anualiz]]),1)*IF(DATOS!AG$5="Sí",1/DATOS_[[% normaliz]:[% normaliz]],1)*(DATOS_[Conc.Sal.03])))))))), 0)</f>
        <v>0</v>
      </c>
      <c r="M71" s="250" t="n">
        <f aca="false" t="array" ref="M71:M71">IFERROR( (MEDIAN((IF(DATOS_[[Sexo]:[Sexo]]=$B71,IF(DATOS_[[AGRUP. VALOR. PTO.]:[AGRUP. VALOR. PTO.]]=$B69,IF(DATOS_[[Check Periodo Ref.]:[Check Periodo Ref.]]="Dentro",IF(DATOS_[[Check Equiparado]:[Check Equiparado]]="Sí",IF(DATOS!AH$4="Sí",(1/DATOS_[[% anualiz]:[% anualiz]]),1)*IF(DATOS!AH$5="Sí",1/DATOS_[[% normaliz]:[% normaliz]],1)*(DATOS_[Conc.Sal.04])))))))), 0)</f>
        <v>0</v>
      </c>
      <c r="N71" s="250" t="n">
        <f aca="false" t="array" ref="N71:N71">IFERROR( (MEDIAN((IF(DATOS_[[Sexo]:[Sexo]]=$B71,IF(DATOS_[[AGRUP. VALOR. PTO.]:[AGRUP. VALOR. PTO.]]=$B69,IF(DATOS_[[Check Periodo Ref.]:[Check Periodo Ref.]]="Dentro",IF(DATOS_[[Check Equiparado]:[Check Equiparado]]="Sí",IF(DATOS!AI$4="Sí",(1/DATOS_[[% anualiz]:[% anualiz]]),1)*IF(DATOS!AI$5="Sí",1/DATOS_[[% normaliz]:[% normaliz]],1)*(DATOS_[Conc.Sal.05])))))))), 0)</f>
        <v>0</v>
      </c>
      <c r="O71" s="250" t="n">
        <f aca="false" t="array" ref="O71:O71">IFERROR( (MEDIAN((IF(DATOS_[[Sexo]:[Sexo]]=$B71,IF(DATOS_[[AGRUP. VALOR. PTO.]:[AGRUP. VALOR. PTO.]]=$B69,IF(DATOS_[[Check Periodo Ref.]:[Check Periodo Ref.]]="Dentro",IF(DATOS_[[Check Equiparado]:[Check Equiparado]]="Sí",IF(DATOS!AJ$4="Sí",(1/DATOS_[[% anualiz]:[% anualiz]]),1)*IF(DATOS!AJ$5="Sí",1/DATOS_[[% normaliz]:[% normaliz]],1)*(DATOS_[Conc.Sal.06])))))))), 0)</f>
        <v>0</v>
      </c>
      <c r="P71" s="250" t="n">
        <f aca="false" t="array" ref="P71:P71">IFERROR( (MEDIAN((IF(DATOS_[[Sexo]:[Sexo]]=$B71,IF(DATOS_[[AGRUP. VALOR. PTO.]:[AGRUP. VALOR. PTO.]]=$B69,IF(DATOS_[[Check Periodo Ref.]:[Check Periodo Ref.]]="Dentro",IF(DATOS_[[Check Equiparado]:[Check Equiparado]]="Sí",IF(DATOS!AK$4="Sí",(1/DATOS_[[% anualiz]:[% anualiz]]),1)*IF(DATOS!AK$5="Sí",1/DATOS_[[% normaliz]:[% normaliz]],1)*(DATOS_[Conc.Sal.07])))))))), 0)</f>
        <v>0</v>
      </c>
      <c r="Q71" s="250" t="n">
        <f aca="false" t="array" ref="Q71:Q71">IFERROR( (MEDIAN((IF(DATOS_[[Sexo]:[Sexo]]=$B71,IF(DATOS_[[AGRUP. VALOR. PTO.]:[AGRUP. VALOR. PTO.]]=$B69,IF(DATOS_[[Check Periodo Ref.]:[Check Periodo Ref.]]="Dentro",IF(DATOS_[[Check Equiparado]:[Check Equiparado]]="Sí",IF(DATOS!AL$4="Sí",(1/DATOS_[[% anualiz]:[% anualiz]]),1)*IF(DATOS!AL$5="Sí",1/DATOS_[[% normaliz]:[% normaliz]],1)*(DATOS_[Conc.Sal.08])))))))), 0)</f>
        <v>0</v>
      </c>
      <c r="R71" s="250" t="n">
        <f aca="false" t="array" ref="R71:R71">IFERROR( (MEDIAN((IF(DATOS_[[Sexo]:[Sexo]]=$B71,IF(DATOS_[[AGRUP. VALOR. PTO.]:[AGRUP. VALOR. PTO.]]=$B69,IF(DATOS_[[Check Periodo Ref.]:[Check Periodo Ref.]]="Dentro",IF(DATOS_[[Check Equiparado]:[Check Equiparado]]="Sí",IF(DATOS!AM$4="Sí",(1/DATOS_[[% anualiz]:[% anualiz]]),1)*IF(DATOS!AM$5="Sí",1/DATOS_[[% normaliz]:[% normaliz]],1)*(DATOS_[Conc.Sal.09])))))))), 0)</f>
        <v>0</v>
      </c>
      <c r="S71" s="250" t="n">
        <f aca="false" t="array" ref="S71:S71">IFERROR( (MEDIAN((IF(DATOS_[[Sexo]:[Sexo]]=$B71,IF(DATOS_[[AGRUP. VALOR. PTO.]:[AGRUP. VALOR. PTO.]]=$B69,IF(DATOS_[[Check Periodo Ref.]:[Check Periodo Ref.]]="Dentro",IF(DATOS_[[Check Equiparado]:[Check Equiparado]]="Sí",IF(DATOS!AN$4="Sí",(1/DATOS_[[% anualiz]:[% anualiz]]),1)*IF(DATOS!AN$5="Sí",1/DATOS_[[% normaliz]:[% normaliz]],1)*(DATOS_[Conc.Sal.10])))))))), 0)</f>
        <v>0</v>
      </c>
      <c r="T71" s="250" t="n">
        <f aca="false" t="array" ref="T71:T71">IFERROR( (MEDIAN((IF(DATOS_[[Sexo]:[Sexo]]=$B71,IF(DATOS_[[AGRUP. VALOR. PTO.]:[AGRUP. VALOR. PTO.]]=$B69,IF(DATOS_[[Check Periodo Ref.]:[Check Periodo Ref.]]="Dentro",IF(DATOS_[[Check Equiparado]:[Check Equiparado]]="Sí",IF(DATOS!AO$4="Sí",(1/DATOS_[[% anualiz]:[% anualiz]]),1)*IF(DATOS!AO$5="Sí",1/DATOS_[[% normaliz]:[% normaliz]],1)*(DATOS_[Conc.Sal.11])))))))), 0)</f>
        <v>0</v>
      </c>
      <c r="U71" s="250" t="n">
        <f aca="false" t="array" ref="U71:U71">IFERROR( (MEDIAN((IF(DATOS_[[Sexo]:[Sexo]]=$B71,IF(DATOS_[[AGRUP. VALOR. PTO.]:[AGRUP. VALOR. PTO.]]=$B69,IF(DATOS_[[Check Periodo Ref.]:[Check Periodo Ref.]]="Dentro",IF(DATOS_[[Check Equiparado]:[Check Equiparado]]="Sí",IF(DATOS!AP$4="Sí",(1/DATOS_[[% anualiz]:[% anualiz]]),1)*IF(DATOS!AP$5="Sí",1/DATOS_[[% normaliz]:[% normaliz]],1)*(DATOS_[Conc.Sal.12])))))))), 0)</f>
        <v>0</v>
      </c>
      <c r="V71" s="250" t="n">
        <f aca="false" t="array" ref="V71:V71">IFERROR( (MEDIAN((IF(DATOS_[[Sexo]:[Sexo]]=$B71,IF(DATOS_[[AGRUP. VALOR. PTO.]:[AGRUP. VALOR. PTO.]]=$B69,IF(DATOS_[[Check Periodo Ref.]:[Check Periodo Ref.]]="Dentro",IF(DATOS_[[Check Equiparado]:[Check Equiparado]]="Sí",IF(DATOS!AQ$4="Sí",(1/DATOS_[[% anualiz]:[% anualiz]]),1)*IF(DATOS!AQ$5="Sí",1/DATOS_[[% normaliz]:[% normaliz]],1)*(DATOS_[Conc.Sal.13])))))))), 0)</f>
        <v>0</v>
      </c>
      <c r="W71" s="250" t="n">
        <f aca="false" t="array" ref="W71:W71">IFERROR( (MEDIAN((IF(DATOS_[[Sexo]:[Sexo]]=$B71,IF(DATOS_[[AGRUP. VALOR. PTO.]:[AGRUP. VALOR. PTO.]]=$B69,IF(DATOS_[[Check Periodo Ref.]:[Check Periodo Ref.]]="Dentro",IF(DATOS_[[Check Equiparado]:[Check Equiparado]]="Sí",IF(DATOS!AR$4="Sí",(1/DATOS_[[% anualiz]:[% anualiz]]),1)*IF(DATOS!AR$5="Sí",1/DATOS_[[% normaliz]:[% normaliz]],1)*(DATOS_[Conc.Sal.14])))))))), 0)</f>
        <v>0</v>
      </c>
      <c r="X71" s="250" t="n">
        <f aca="false" t="array" ref="X71:X71">IFERROR( (MEDIAN((IF(DATOS_[[Sexo]:[Sexo]]=$B71,IF(DATOS_[[AGRUP. VALOR. PTO.]:[AGRUP. VALOR. PTO.]]=$B69,IF(DATOS_[[Check Periodo Ref.]:[Check Periodo Ref.]]="Dentro",IF(DATOS_[[Check Equiparado]:[Check Equiparado]]="Sí",IF(DATOS!AS$4="Sí",(1/DATOS_[[% anualiz]:[% anualiz]]),1)*IF(DATOS!AS$5="Sí",1/DATOS_[[% normaliz]:[% normaliz]],1)*(DATOS_[Conc.Sal.15])))))))), 0)</f>
        <v>0</v>
      </c>
      <c r="Y71" s="250" t="n">
        <f aca="false" t="array" ref="Y71:Y71">IFERROR( (MEDIAN((IF(DATOS_[[Sexo]:[Sexo]]=$B71,IF(DATOS_[[AGRUP. VALOR. PTO.]:[AGRUP. VALOR. PTO.]]=$B69,IF(DATOS_[[Check Periodo Ref.]:[Check Periodo Ref.]]="Dentro",IF(DATOS_[[Check Equiparado]:[Check Equiparado]]="Sí",IF(DATOS!AT$4="Sí",(1/DATOS_[[% anualiz]:[% anualiz]]),1)*IF(DATOS!AT$5="Sí",1/DATOS_[[% normaliz]:[% normaliz]],1)*(DATOS_[Conc.Sal.16])))))))), 0)</f>
        <v>0</v>
      </c>
      <c r="Z71" s="250" t="n">
        <f aca="false" t="array" ref="Z71:Z71">IFERROR( (MEDIAN((IF(DATOS_[[Sexo]:[Sexo]]=$B71,IF(DATOS_[[AGRUP. VALOR. PTO.]:[AGRUP. VALOR. PTO.]]=$B69,IF(DATOS_[[Check Periodo Ref.]:[Check Periodo Ref.]]="Dentro",IF(DATOS_[[Check Equiparado]:[Check Equiparado]]="Sí",IF(DATOS!AU$4="Sí",(1/DATOS_[[% anualiz]:[% anualiz]]),1)*IF(DATOS!AU$5="Sí",1/DATOS_[[% normaliz]:[% normaliz]],1)*(DATOS_[Conc.Sal.17])))))))), 0)</f>
        <v>0</v>
      </c>
      <c r="AA71" s="250" t="n">
        <f aca="false" t="array" ref="AA71:AA71">IFERROR( (MEDIAN((IF(DATOS_[[Sexo]:[Sexo]]=$B71,IF(DATOS_[[AGRUP. VALOR. PTO.]:[AGRUP. VALOR. PTO.]]=$B69,IF(DATOS_[[Check Periodo Ref.]:[Check Periodo Ref.]]="Dentro",IF(DATOS_[[Check Equiparado]:[Check Equiparado]]="Sí",IF(DATOS!AV$4="Sí",(1/DATOS_[[% anualiz]:[% anualiz]]),1)*IF(DATOS!AV$5="Sí",1/DATOS_[[% normaliz]:[% normaliz]],1)*(DATOS_[Conc.Sal.18])))))))), 0)</f>
        <v>0</v>
      </c>
      <c r="AB71" s="250" t="n">
        <f aca="false" t="array" ref="AB71:AB71">IFERROR( (MEDIAN((IF(DATOS_[[Sexo]:[Sexo]]=$B71,IF(DATOS_[[AGRUP. VALOR. PTO.]:[AGRUP. VALOR. PTO.]]=$B69,IF(DATOS_[[Check Periodo Ref.]:[Check Periodo Ref.]]="Dentro",IF(DATOS_[[Check Equiparado]:[Check Equiparado]]="Sí",IF(DATOS!AW$4="Sí",(1/DATOS_[[% anualiz]:[% anualiz]]),1)*IF(DATOS!AW$5="Sí",1/DATOS_[[% normaliz]:[% normaliz]],1)*(DATOS_[Conc.Sal.19])))))))), 0)</f>
        <v>0</v>
      </c>
      <c r="AC71" s="250" t="n">
        <f aca="false" t="array" ref="AC71:AC71">IFERROR( (MEDIAN((IF(DATOS_[[Sexo]:[Sexo]]=$B71,IF(DATOS_[[AGRUP. VALOR. PTO.]:[AGRUP. VALOR. PTO.]]=$B69,IF(DATOS_[[Check Periodo Ref.]:[Check Periodo Ref.]]="Dentro",IF(DATOS_[[Check Equiparado]:[Check Equiparado]]="Sí",IF(DATOS!AX$4="Sí",(1/DATOS_[[% anualiz]:[% anualiz]]),1)*IF(DATOS!AX$5="Sí",1/DATOS_[[% normaliz]:[% normaliz]],1)*(DATOS_[Conc.Sal.20])))))))), 0)</f>
        <v>0</v>
      </c>
      <c r="AD71" s="250" t="n">
        <f aca="false" t="array" ref="AD71:AD71">IFERROR( (MEDIAN((IF(DATOS_[[Sexo]:[Sexo]]=$B71,IF(DATOS_[[AGRUP. VALOR. PTO.]:[AGRUP. VALOR. PTO.]]=$B69,IF(DATOS_[[Check Periodo Ref.]:[Check Periodo Ref.]]="Dentro",IF(DATOS_[[Check Equiparado]:[Check Equiparado]]="Sí",IF(DATOS!AY$4="Sí",(1/DATOS_[[% anualiz]:[% anualiz]]),1)*IF(DATOS!AY$5="Sí",1/DATOS_[[% normaliz]:[% normaliz]],1)*(DATOS_[Conc.Sal.21])))))))), 0)</f>
        <v>0</v>
      </c>
      <c r="AE71" s="250" t="n">
        <f aca="false" t="array" ref="AE71:AE71">IFERROR( (MEDIAN((IF(DATOS_[[Sexo]:[Sexo]]=$B71,IF(DATOS_[[AGRUP. VALOR. PTO.]:[AGRUP. VALOR. PTO.]]=$B69,IF(DATOS_[[Check Periodo Ref.]:[Check Periodo Ref.]]="Dentro",IF(DATOS_[[Check Equiparado]:[Check Equiparado]]="Sí",IF(DATOS!AZ$4="Sí",(1/DATOS_[[% anualiz]:[% anualiz]]),1)*IF(DATOS!AZ$5="Sí",1/DATOS_[[% normaliz]:[% normaliz]],1)*(DATOS_[Conc.Sal.22])))))))), 0)</f>
        <v>0</v>
      </c>
      <c r="AF71" s="250" t="n">
        <f aca="false" t="array" ref="AF71:AF71">IFERROR( (MEDIAN((IF(DATOS_[[Sexo]:[Sexo]]=$B71,IF(DATOS_[[AGRUP. VALOR. PTO.]:[AGRUP. VALOR. PTO.]]=$B69,IF(DATOS_[[Check Periodo Ref.]:[Check Periodo Ref.]]="Dentro",IF(DATOS_[[Check Equiparado]:[Check Equiparado]]="Sí",IF(DATOS!BA$4="Sí",(1/DATOS_[[% anualiz]:[% anualiz]]),1)*IF(DATOS!BA$5="Sí",1/DATOS_[[% normaliz]:[% normaliz]],1)*(DATOS_[Conc.Sal.23])))))))), 0)</f>
        <v>0</v>
      </c>
      <c r="AG71" s="250" t="n">
        <f aca="false" t="array" ref="AG71:AG71">IFERROR( (MEDIAN((IF(DATOS_[[Sexo]:[Sexo]]=$B71,IF(DATOS_[[AGRUP. VALOR. PTO.]:[AGRUP. VALOR. PTO.]]=$B69,IF(DATOS_[[Check Periodo Ref.]:[Check Periodo Ref.]]="Dentro",IF(DATOS_[[Check Equiparado]:[Check Equiparado]]="Sí",IF(DATOS!BB$4="Sí",(1/DATOS_[[% anualiz]:[% anualiz]]),1)*IF(DATOS!BB$5="Sí",1/DATOS_[[% normaliz]:[% normaliz]],1)*(DATOS_[Conc.Sal.24])))))))), 0)</f>
        <v>0</v>
      </c>
      <c r="AH71" s="250" t="n">
        <f aca="false" t="array" ref="AH71:AH71">IFERROR( (MEDIAN((IF(DATOS_[[Sexo]:[Sexo]]=$B71,IF(DATOS_[[AGRUP. VALOR. PTO.]:[AGRUP. VALOR. PTO.]]=$B69,IF(DATOS_[[Check Periodo Ref.]:[Check Periodo Ref.]]="Dentro",IF(DATOS_[[Check Equiparado]:[Check Equiparado]]="Sí",IF(DATOS!BC$4="Sí",(1/DATOS_[[% anualiz]:[% anualiz]]),1)*IF(DATOS!BC$5="Sí",1/DATOS_[[% normaliz]:[% normaliz]],1)*(DATOS_[Conc.Sal.25])))))))), 0)</f>
        <v>0</v>
      </c>
      <c r="AI71" s="250" t="n">
        <f aca="false" t="array" ref="AI71:AI71">IFERROR( (MEDIAN((IF(DATOS_[[Sexo]:[Sexo]]=$B71,IF(DATOS_[[AGRUP. VALOR. PTO.]:[AGRUP. VALOR. PTO.]]=$B69,IF(DATOS_[[Check Periodo Ref.]:[Check Periodo Ref.]]="Dentro",IF(DATOS_[[Check Equiparado]:[Check Equiparado]]="Sí",IF(DATOS!BD$4="Sí",(1/DATOS_[[% anualiz]:[% anualiz]]),1)*IF(DATOS!BD$5="Sí",1/DATOS_[[% normaliz]:[% normaliz]],1)*(DATOS_[Conc.Sal.26])))))))), 0)</f>
        <v>0</v>
      </c>
      <c r="AJ71" s="250" t="n">
        <f aca="false" t="array" ref="AJ71:AJ71">IFERROR( (MEDIAN((IF(DATOS_[[Sexo]:[Sexo]]=$B71,IF(DATOS_[[AGRUP. VALOR. PTO.]:[AGRUP. VALOR. PTO.]]=$B69,IF(DATOS_[[Check Periodo Ref.]:[Check Periodo Ref.]]="Dentro",IF(DATOS_[[Check Equiparado]:[Check Equiparado]]="Sí",IF(DATOS!BE$4="Sí",(1/DATOS_[[% anualiz]:[% anualiz]]),1)*IF(DATOS!BE$5="Sí",1/DATOS_[[% normaliz]:[% normaliz]],1)*(DATOS_[Conc.Sal.27])))))))), 0)</f>
        <v>0</v>
      </c>
      <c r="AK71" s="250" t="n">
        <f aca="false" t="array" ref="AK71:AK71">IFERROR( (MEDIAN((IF(DATOS_[[Sexo]:[Sexo]]=$B71,IF(DATOS_[[AGRUP. VALOR. PTO.]:[AGRUP. VALOR. PTO.]]=$B69,IF(DATOS_[[Check Periodo Ref.]:[Check Periodo Ref.]]="Dentro",IF(DATOS_[[Check Equiparado]:[Check Equiparado]]="Sí",IF(DATOS!BF$4="Sí",(1/DATOS_[[% anualiz]:[% anualiz]]),1)*IF(DATOS!BF$5="Sí",1/DATOS_[[% normaliz]:[% normaliz]],1)*(DATOS_[Conc.Sal.28])))))))), 0)</f>
        <v>0</v>
      </c>
      <c r="AL71" s="250" t="n">
        <f aca="false" t="array" ref="AL71:AL71">IFERROR( (MEDIAN((IF(DATOS_[[Sexo]:[Sexo]]=$B71,IF(DATOS_[[AGRUP. VALOR. PTO.]:[AGRUP. VALOR. PTO.]]=$B69,IF(DATOS_[[Check Periodo Ref.]:[Check Periodo Ref.]]="Dentro",IF(DATOS_[[Check Equiparado]:[Check Equiparado]]="Sí",IF(DATOS!BG$4="Sí",(1/DATOS_[[% anualiz]:[% anualiz]]),1)*IF(DATOS!BG$5="Sí",1/DATOS_[[% normaliz]:[% normaliz]],1)*(DATOS_[Conc.Sal.29])))))))), 0)</f>
        <v>0</v>
      </c>
      <c r="AM71" s="250" t="n">
        <f aca="false" t="array" ref="AM71:AM71">IFERROR( (MEDIAN((IF(DATOS_[[Sexo]:[Sexo]]=$B71,IF(DATOS_[[AGRUP. VALOR. PTO.]:[AGRUP. VALOR. PTO.]]=$B69,IF(DATOS_[[Check Periodo Ref.]:[Check Periodo Ref.]]="Dentro",IF(DATOS_[[Check Equiparado]:[Check Equiparado]]="Sí",IF(DATOS!BH$4="Sí",(1/DATOS_[[% anualiz]:[% anualiz]]),1)*IF(DATOS!BH$5="Sí",1/DATOS_[[% normaliz]:[% normaliz]],1)*(DATOS_[Conc.Sal.30])))))))), 0)</f>
        <v>0</v>
      </c>
      <c r="AN71" s="251" t="n">
        <f aca="false" t="array" ref="AN71:AN71">IFERROR( MEDIAN(IF(DATOS_[Sexo]=$B71,IF(DATOS_[[AGRUP. VALOR. PTO.]:[AGRUP. VALOR. PTO.]]=$B69,IF(DATOS_[Check Equiparado]="Sí",IF(DATOS_[Check Periodo Ref.]="Dentro",DATOS_[Tot COMPL.SAL Eq],0))))), 0)</f>
        <v>0</v>
      </c>
      <c r="AO71" s="252" t="n">
        <f aca="false" t="array" ref="AO71:AO71">IFERROR( MEDIAN(IF(DATOS_[Sexo]=$B71,IF(DATOS_[[AGRUP. VALOR. PTO.]:[AGRUP. VALOR. PTO.]]=$B69,IF(DATOS_[Check Equiparado]="Sí",IF(DATOS_[Check Periodo Ref.]="Dentro",DATOS_[TOTAL SALARIO Eq],0))))), 0)</f>
        <v>0</v>
      </c>
      <c r="AP71" s="259" t="n">
        <f aca="false" t="array" ref="AP71:AP71">IFERROR( (MEDIAN((IF(DATOS_[[Sexo]:[Sexo]]=$B71,IF(DATOS_[[AGRUP. VALOR. PTO.]:[AGRUP. VALOR. PTO.]]=$B70,IF(DATOS_[[Check Periodo Ref.]:[Check Periodo Ref.]]="Dentro",IF(DATOS_[[Check Equiparado]:[Check Equiparado]]="Sí",IF(DATOS!BI$4="Sí",(1/DATOS_[[% anualiz]:[% anualiz]]),1)*IF(DATOS!BI$5="Sí",1/DATOS_[[% normaliz]:[% normaliz]],1)*(DATOS_[C.Extra.01])))))))), 0)</f>
        <v>0</v>
      </c>
      <c r="AQ71" s="259" t="n">
        <f aca="false" t="array" ref="AQ71:AQ71">IFERROR( (MEDIAN((IF(DATOS_[[Sexo]:[Sexo]]=$B71,IF(DATOS_[[AGRUP. VALOR. PTO.]:[AGRUP. VALOR. PTO.]]=$B70,IF(DATOS_[[Check Periodo Ref.]:[Check Periodo Ref.]]="Dentro",IF(DATOS_[[Check Equiparado]:[Check Equiparado]]="Sí",IF(DATOS!BJ$4="Sí",(1/DATOS_[[% anualiz]:[% anualiz]]),1)*IF(DATOS!BJ$5="Sí",1/DATOS_[[% normaliz]:[% normaliz]],1)*(DATOS_[C.Extra.02])))))))), 0)</f>
        <v>0</v>
      </c>
      <c r="AR71" s="259" t="n">
        <f aca="false" t="array" ref="AR71:AR71">IFERROR( (MEDIAN((IF(DATOS_[[Sexo]:[Sexo]]=$B71,IF(DATOS_[[AGRUP. VALOR. PTO.]:[AGRUP. VALOR. PTO.]]=$B70,IF(DATOS_[[Check Periodo Ref.]:[Check Periodo Ref.]]="Dentro",IF(DATOS_[[Check Equiparado]:[Check Equiparado]]="Sí",IF(DATOS!BK$4="Sí",(1/DATOS_[[% anualiz]:[% anualiz]]),1)*IF(DATOS!BK$5="Sí",1/DATOS_[[% normaliz]:[% normaliz]],1)*(DATOS_[C.Extra.03])))))))), 0)</f>
        <v>0</v>
      </c>
      <c r="AS71" s="259" t="n">
        <f aca="false" t="array" ref="AS71:AS71">IFERROR( (MEDIAN((IF(DATOS_[[Sexo]:[Sexo]]=$B71,IF(DATOS_[[AGRUP. VALOR. PTO.]:[AGRUP. VALOR. PTO.]]=$B70,IF(DATOS_[[Check Periodo Ref.]:[Check Periodo Ref.]]="Dentro",IF(DATOS_[[Check Equiparado]:[Check Equiparado]]="Sí",IF(DATOS!BL$4="Sí",(1/DATOS_[[% anualiz]:[% anualiz]]),1)*IF(DATOS!BL$5="Sí",1/DATOS_[[% normaliz]:[% normaliz]],1)*(DATOS_[C.Extra.04])))))))), 0)</f>
        <v>0</v>
      </c>
      <c r="AT71" s="259" t="n">
        <f aca="false" t="array" ref="AT71:AT71">IFERROR( (MEDIAN((IF(DATOS_[[Sexo]:[Sexo]]=$B71,IF(DATOS_[[AGRUP. VALOR. PTO.]:[AGRUP. VALOR. PTO.]]=$B70,IF(DATOS_[[Check Periodo Ref.]:[Check Periodo Ref.]]="Dentro",IF(DATOS_[[Check Equiparado]:[Check Equiparado]]="Sí",IF(DATOS!BM$4="Sí",(1/DATOS_[[% anualiz]:[% anualiz]]),1)*IF(DATOS!BM$5="Sí",1/DATOS_[[% normaliz]:[% normaliz]],1)*(DATOS_[C.Extra.05])))))))), 0)</f>
        <v>0</v>
      </c>
      <c r="AU71" s="254" t="n">
        <f aca="false" t="array" ref="AU71:AU71">IFERROR( MEDIAN(IF(DATOS_[Sexo]=$B71,IF(DATOS_[[AGRUP. VALOR. PTO.]:[AGRUP. VALOR. PTO.]]=$B69,IF(DATOS_[Check Equiparado]="Sí",IF(DATOS_[Check Periodo Ref.]="Dentro",DATOS_[Tot Extrasalarial Eq],0))))), 0)</f>
        <v>0</v>
      </c>
      <c r="AV71" s="255" t="n">
        <f aca="false" t="array" ref="AV71:AV71">IFERROR( MEDIAN(IF(DATOS_[Sexo]=$B71,IF(DATOS_[[AGRUP. VALOR. PTO.]:[AGRUP. VALOR. PTO.]]=$B69,IF(DATOS_[Check Equiparado]="Sí",IF(DATOS_[Check Periodo Ref.]="Dentro",DATOS_[TOTAL Retrib Eq],0))))), 0)</f>
        <v>0</v>
      </c>
    </row>
    <row r="72" customFormat="false" ht="15.75" hidden="false" customHeight="false" outlineLevel="0" collapsed="false">
      <c r="A72" s="217" t="str">
        <f aca="false">+A73</f>
        <v>[ocultar]</v>
      </c>
      <c r="B72" s="320" t="s">
        <v>226</v>
      </c>
      <c r="C72" s="236"/>
      <c r="D72" s="237"/>
      <c r="E72" s="237"/>
      <c r="F72" s="237"/>
      <c r="G72" s="237"/>
      <c r="H72" s="237"/>
      <c r="I72" s="238" t="str">
        <f aca="false">IFERROR((I73-I74)/I73,"")</f>
        <v/>
      </c>
      <c r="J72" s="239" t="str">
        <f aca="false">IFERROR((J73-J74)/J73,"")</f>
        <v/>
      </c>
      <c r="K72" s="239" t="str">
        <f aca="false">IFERROR((K73-K74)/K73,"")</f>
        <v/>
      </c>
      <c r="L72" s="239" t="str">
        <f aca="false">IFERROR((L73-L74)/L73,"")</f>
        <v/>
      </c>
      <c r="M72" s="239" t="str">
        <f aca="false">IFERROR((M73-M74)/M73,"")</f>
        <v/>
      </c>
      <c r="N72" s="239" t="str">
        <f aca="false">IFERROR((N73-N74)/N73,"")</f>
        <v/>
      </c>
      <c r="O72" s="239" t="str">
        <f aca="false">IFERROR((O73-O74)/O73,"")</f>
        <v/>
      </c>
      <c r="P72" s="239" t="str">
        <f aca="false">IFERROR((P73-P74)/P73,"")</f>
        <v/>
      </c>
      <c r="Q72" s="239" t="str">
        <f aca="false">IFERROR((Q73-Q74)/Q73,"")</f>
        <v/>
      </c>
      <c r="R72" s="239" t="str">
        <f aca="false">IFERROR((R73-R74)/R73,"")</f>
        <v/>
      </c>
      <c r="S72" s="239" t="str">
        <f aca="false">IFERROR((S73-S74)/S73,"")</f>
        <v/>
      </c>
      <c r="T72" s="239" t="str">
        <f aca="false">IFERROR((T73-T74)/T73,"")</f>
        <v/>
      </c>
      <c r="U72" s="239" t="str">
        <f aca="false">IFERROR((U73-U74)/U73,"")</f>
        <v/>
      </c>
      <c r="V72" s="239" t="str">
        <f aca="false">IFERROR((V73-V74)/V73,"")</f>
        <v/>
      </c>
      <c r="W72" s="239" t="str">
        <f aca="false">IFERROR((W73-W74)/W73,"")</f>
        <v/>
      </c>
      <c r="X72" s="239" t="str">
        <f aca="false">IFERROR((X73-X74)/X73,"")</f>
        <v/>
      </c>
      <c r="Y72" s="239" t="str">
        <f aca="false">IFERROR((Y73-Y74)/Y73,"")</f>
        <v/>
      </c>
      <c r="Z72" s="240" t="str">
        <f aca="false">IFERROR((Z73-Z74)/Z73,"")</f>
        <v/>
      </c>
      <c r="AA72" s="240" t="str">
        <f aca="false">IFERROR((AA73-AA74)/AA73,"")</f>
        <v/>
      </c>
      <c r="AB72" s="240" t="str">
        <f aca="false">IFERROR((AB73-AB74)/AB73,"")</f>
        <v/>
      </c>
      <c r="AC72" s="240" t="str">
        <f aca="false">IFERROR((AC73-AC74)/AC73,"")</f>
        <v/>
      </c>
      <c r="AD72" s="240" t="str">
        <f aca="false">IFERROR((AD73-AD74)/AD73,"")</f>
        <v/>
      </c>
      <c r="AE72" s="240" t="str">
        <f aca="false">IFERROR((AE73-AE74)/AE73,"")</f>
        <v/>
      </c>
      <c r="AF72" s="240" t="str">
        <f aca="false">IFERROR((AF73-AF74)/AF73,"")</f>
        <v/>
      </c>
      <c r="AG72" s="240" t="str">
        <f aca="false">IFERROR((AG73-AG74)/AG73,"")</f>
        <v/>
      </c>
      <c r="AH72" s="240" t="str">
        <f aca="false">IFERROR((AH73-AH74)/AH73,"")</f>
        <v/>
      </c>
      <c r="AI72" s="240" t="str">
        <f aca="false">IFERROR((AI73-AI74)/AI73,"")</f>
        <v/>
      </c>
      <c r="AJ72" s="240" t="str">
        <f aca="false">IFERROR((AJ73-AJ74)/AJ73,"")</f>
        <v/>
      </c>
      <c r="AK72" s="240" t="str">
        <f aca="false">IFERROR((AK73-AK74)/AK73,"")</f>
        <v/>
      </c>
      <c r="AL72" s="240" t="str">
        <f aca="false">IFERROR((AL73-AL74)/AL73,"")</f>
        <v/>
      </c>
      <c r="AM72" s="240" t="str">
        <f aca="false">IFERROR((AM73-AM74)/AM73,"")</f>
        <v/>
      </c>
      <c r="AN72" s="241" t="str">
        <f aca="false">IFERROR((AN73-AN74)/AN73,"")</f>
        <v/>
      </c>
      <c r="AO72" s="242" t="str">
        <f aca="false">IFERROR((AO73-AO74)/AO73,"")</f>
        <v/>
      </c>
      <c r="AP72" s="243" t="str">
        <f aca="false">IFERROR((AP73-AP74)/AP73,"")</f>
        <v/>
      </c>
      <c r="AQ72" s="243" t="str">
        <f aca="false">IFERROR((AQ73-AQ74)/AQ73,"")</f>
        <v/>
      </c>
      <c r="AR72" s="243" t="str">
        <f aca="false">IFERROR((AR73-AR74)/AR73,"")</f>
        <v/>
      </c>
      <c r="AS72" s="243" t="str">
        <f aca="false">IFERROR((AS73-AS74)/AS73,"")</f>
        <v/>
      </c>
      <c r="AT72" s="243" t="str">
        <f aca="false">IFERROR((AT73-AT74)/AT73,"")</f>
        <v/>
      </c>
      <c r="AU72" s="244" t="str">
        <f aca="false">IFERROR((AU73-AU74)/AU73,"")</f>
        <v/>
      </c>
      <c r="AV72" s="245" t="str">
        <f aca="false">IFERROR((AV73-AV74)/AV73,"")</f>
        <v/>
      </c>
    </row>
    <row r="73" customFormat="false" ht="14.25" hidden="false" customHeight="false" outlineLevel="0" collapsed="false">
      <c r="A73" s="217" t="str">
        <f aca="false">+IF(C73+C74=0,"[ocultar]","")</f>
        <v>[ocultar]</v>
      </c>
      <c r="B73" s="323" t="s">
        <v>371</v>
      </c>
      <c r="C73" s="247" t="n">
        <f aca="false" t="array" ref="C73:C73">SUM(IF($B73=DATOS_[Sexo], IF($B72=DATOS_[AGRUP. VALOR. PTO.], IF("Dentro"=DATOS_[Check Periodo Ref.], 1/(COUNTIFS(DATOS_[Sexo],$B73,DATOS_[AGRUP. VALOR. PTO.],$B72,DATOS_[Check Periodo Ref.],"Dentro",DATOS_[id],DATOS_[id]))))))</f>
        <v>0</v>
      </c>
      <c r="D73" s="248" t="n">
        <f aca="false">COUNTIFS(DATOS_[AGRUP. VALOR. PTO.],$B72,DATOS_[Sexo],$B73,DATOS_[Check Periodo Ref.],"Dentro")</f>
        <v>0</v>
      </c>
      <c r="E73" s="248" t="n">
        <f aca="false">COUNTIFS(DATOS_[AGRUP. VALOR. PTO.],$B72,DATOS_[Sexo],$B73,DATOS_[Check Periodo Ref.],"Dentro",DATOS_[Check Nº SC Norm],"Sí")</f>
        <v>0</v>
      </c>
      <c r="F73" s="248" t="n">
        <f aca="false">COUNTIFS(DATOS_[AGRUP. VALOR. PTO.],$B72,DATOS_[Sexo],$B73,DATOS_[Check Periodo Ref.],"Dentro",DATOS_[Check Nº SC Anualiz],"Sí")</f>
        <v>0</v>
      </c>
      <c r="G73" s="248" t="n">
        <f aca="false">COUNTIFS(DATOS_[AGRUP. VALOR. PTO.],$B72,DATOS_[Sexo],$B73,DATOS_[Check Periodo Ref.],"Dentro",DATOS_[Check Nº SC Norm y Anualiz],"Sí")</f>
        <v>0</v>
      </c>
      <c r="H73" s="248" t="n">
        <f aca="false">COUNTIFS(DATOS_[AGRUP. VALOR. PTO.],$B72,DATOS_[Sexo],$B73,DATOS_[Check Periodo Ref.],"Dentro",DATOS_[Check Equiparación],"Sí")</f>
        <v>0</v>
      </c>
      <c r="I73" s="249" t="n">
        <f aca="false" t="array" ref="I73:I73">IFERROR( MEDIAN(IF(DATOS_[Sexo]=$B73,IF(DATOS_[[AGRUP. VALOR. PTO.]:[AGRUP. VALOR. PTO.]]=$B72,IF(DATOS_[Check Equiparado]="Sí",IF(DATOS_[Check Periodo Ref.]="Dentro",DATOS_[SALARIO BASE Eq],0))))), 0)</f>
        <v>0</v>
      </c>
      <c r="J73" s="250" t="n">
        <f aca="false" t="array" ref="J73:J73">IFERROR( (MEDIAN((IF(DATOS_[[Sexo]:[Sexo]]=$B73,IF(DATOS_[[AGRUP. VALOR. PTO.]:[AGRUP. VALOR. PTO.]]=$B72,IF(DATOS_[[Check Periodo Ref.]:[Check Periodo Ref.]]="Dentro",IF(DATOS_[[Check Equiparado]:[Check Equiparado]]="Sí",IF(DATOS!AE$4="Sí",(1/DATOS_[[% anualiz]:[% anualiz]]),1)*IF(DATOS!AE$5="Sí",1/DATOS_[[% normaliz]:[% normaliz]],1)*(DATOS_[Conc.Sal.01])))))))), 0)</f>
        <v>0</v>
      </c>
      <c r="K73" s="250" t="n">
        <f aca="false" t="array" ref="K73:K73">IFERROR( (MEDIAN((IF(DATOS_[[Sexo]:[Sexo]]=$B73,IF(DATOS_[[AGRUP. VALOR. PTO.]:[AGRUP. VALOR. PTO.]]=$B72,IF(DATOS_[[Check Periodo Ref.]:[Check Periodo Ref.]]="Dentro",IF(DATOS_[[Check Equiparado]:[Check Equiparado]]="Sí",IF(DATOS!AF$4="Sí",(1/DATOS_[[% anualiz]:[% anualiz]]),1)*IF(DATOS!AF$5="Sí",1/DATOS_[[% normaliz]:[% normaliz]],1)*(DATOS_[Conc.Sal.02])))))))), 0)</f>
        <v>0</v>
      </c>
      <c r="L73" s="250" t="n">
        <f aca="false" t="array" ref="L73:L73">IFERROR( (MEDIAN((IF(DATOS_[[Sexo]:[Sexo]]=$B73,IF(DATOS_[[AGRUP. VALOR. PTO.]:[AGRUP. VALOR. PTO.]]=$B72,IF(DATOS_[[Check Periodo Ref.]:[Check Periodo Ref.]]="Dentro",IF(DATOS_[[Check Equiparado]:[Check Equiparado]]="Sí",IF(DATOS!AG$4="Sí",(1/DATOS_[[% anualiz]:[% anualiz]]),1)*IF(DATOS!AG$5="Sí",1/DATOS_[[% normaliz]:[% normaliz]],1)*(DATOS_[Conc.Sal.03])))))))), 0)</f>
        <v>0</v>
      </c>
      <c r="M73" s="250" t="n">
        <f aca="false" t="array" ref="M73:M73">IFERROR( (MEDIAN((IF(DATOS_[[Sexo]:[Sexo]]=$B73,IF(DATOS_[[AGRUP. VALOR. PTO.]:[AGRUP. VALOR. PTO.]]=$B72,IF(DATOS_[[Check Periodo Ref.]:[Check Periodo Ref.]]="Dentro",IF(DATOS_[[Check Equiparado]:[Check Equiparado]]="Sí",IF(DATOS!AH$4="Sí",(1/DATOS_[[% anualiz]:[% anualiz]]),1)*IF(DATOS!AH$5="Sí",1/DATOS_[[% normaliz]:[% normaliz]],1)*(DATOS_[Conc.Sal.04])))))))), 0)</f>
        <v>0</v>
      </c>
      <c r="N73" s="250" t="n">
        <f aca="false" t="array" ref="N73:N73">IFERROR( (MEDIAN((IF(DATOS_[[Sexo]:[Sexo]]=$B73,IF(DATOS_[[AGRUP. VALOR. PTO.]:[AGRUP. VALOR. PTO.]]=$B72,IF(DATOS_[[Check Periodo Ref.]:[Check Periodo Ref.]]="Dentro",IF(DATOS_[[Check Equiparado]:[Check Equiparado]]="Sí",IF(DATOS!AI$4="Sí",(1/DATOS_[[% anualiz]:[% anualiz]]),1)*IF(DATOS!AI$5="Sí",1/DATOS_[[% normaliz]:[% normaliz]],1)*(DATOS_[Conc.Sal.05])))))))), 0)</f>
        <v>0</v>
      </c>
      <c r="O73" s="250" t="n">
        <f aca="false" t="array" ref="O73:O73">IFERROR( (MEDIAN((IF(DATOS_[[Sexo]:[Sexo]]=$B73,IF(DATOS_[[AGRUP. VALOR. PTO.]:[AGRUP. VALOR. PTO.]]=$B72,IF(DATOS_[[Check Periodo Ref.]:[Check Periodo Ref.]]="Dentro",IF(DATOS_[[Check Equiparado]:[Check Equiparado]]="Sí",IF(DATOS!AJ$4="Sí",(1/DATOS_[[% anualiz]:[% anualiz]]),1)*IF(DATOS!AJ$5="Sí",1/DATOS_[[% normaliz]:[% normaliz]],1)*(DATOS_[Conc.Sal.06])))))))), 0)</f>
        <v>0</v>
      </c>
      <c r="P73" s="250" t="n">
        <f aca="false" t="array" ref="P73:P73">IFERROR( (MEDIAN((IF(DATOS_[[Sexo]:[Sexo]]=$B73,IF(DATOS_[[AGRUP. VALOR. PTO.]:[AGRUP. VALOR. PTO.]]=$B72,IF(DATOS_[[Check Periodo Ref.]:[Check Periodo Ref.]]="Dentro",IF(DATOS_[[Check Equiparado]:[Check Equiparado]]="Sí",IF(DATOS!AK$4="Sí",(1/DATOS_[[% anualiz]:[% anualiz]]),1)*IF(DATOS!AK$5="Sí",1/DATOS_[[% normaliz]:[% normaliz]],1)*(DATOS_[Conc.Sal.07])))))))), 0)</f>
        <v>0</v>
      </c>
      <c r="Q73" s="250" t="n">
        <f aca="false" t="array" ref="Q73:Q73">IFERROR( (MEDIAN((IF(DATOS_[[Sexo]:[Sexo]]=$B73,IF(DATOS_[[AGRUP. VALOR. PTO.]:[AGRUP. VALOR. PTO.]]=$B72,IF(DATOS_[[Check Periodo Ref.]:[Check Periodo Ref.]]="Dentro",IF(DATOS_[[Check Equiparado]:[Check Equiparado]]="Sí",IF(DATOS!AL$4="Sí",(1/DATOS_[[% anualiz]:[% anualiz]]),1)*IF(DATOS!AL$5="Sí",1/DATOS_[[% normaliz]:[% normaliz]],1)*(DATOS_[Conc.Sal.08])))))))), 0)</f>
        <v>0</v>
      </c>
      <c r="R73" s="250" t="n">
        <f aca="false" t="array" ref="R73:R73">IFERROR( (MEDIAN((IF(DATOS_[[Sexo]:[Sexo]]=$B73,IF(DATOS_[[AGRUP. VALOR. PTO.]:[AGRUP. VALOR. PTO.]]=$B72,IF(DATOS_[[Check Periodo Ref.]:[Check Periodo Ref.]]="Dentro",IF(DATOS_[[Check Equiparado]:[Check Equiparado]]="Sí",IF(DATOS!AM$4="Sí",(1/DATOS_[[% anualiz]:[% anualiz]]),1)*IF(DATOS!AM$5="Sí",1/DATOS_[[% normaliz]:[% normaliz]],1)*(DATOS_[Conc.Sal.09])))))))), 0)</f>
        <v>0</v>
      </c>
      <c r="S73" s="250" t="n">
        <f aca="false" t="array" ref="S73:S73">IFERROR( (MEDIAN((IF(DATOS_[[Sexo]:[Sexo]]=$B73,IF(DATOS_[[AGRUP. VALOR. PTO.]:[AGRUP. VALOR. PTO.]]=$B72,IF(DATOS_[[Check Periodo Ref.]:[Check Periodo Ref.]]="Dentro",IF(DATOS_[[Check Equiparado]:[Check Equiparado]]="Sí",IF(DATOS!AN$4="Sí",(1/DATOS_[[% anualiz]:[% anualiz]]),1)*IF(DATOS!AN$5="Sí",1/DATOS_[[% normaliz]:[% normaliz]],1)*(DATOS_[Conc.Sal.10])))))))), 0)</f>
        <v>0</v>
      </c>
      <c r="T73" s="250" t="n">
        <f aca="false" t="array" ref="T73:T73">IFERROR( (MEDIAN((IF(DATOS_[[Sexo]:[Sexo]]=$B73,IF(DATOS_[[AGRUP. VALOR. PTO.]:[AGRUP. VALOR. PTO.]]=$B72,IF(DATOS_[[Check Periodo Ref.]:[Check Periodo Ref.]]="Dentro",IF(DATOS_[[Check Equiparado]:[Check Equiparado]]="Sí",IF(DATOS!AO$4="Sí",(1/DATOS_[[% anualiz]:[% anualiz]]),1)*IF(DATOS!AO$5="Sí",1/DATOS_[[% normaliz]:[% normaliz]],1)*(DATOS_[Conc.Sal.11])))))))), 0)</f>
        <v>0</v>
      </c>
      <c r="U73" s="250" t="n">
        <f aca="false" t="array" ref="U73:U73">IFERROR( (MEDIAN((IF(DATOS_[[Sexo]:[Sexo]]=$B73,IF(DATOS_[[AGRUP. VALOR. PTO.]:[AGRUP. VALOR. PTO.]]=$B72,IF(DATOS_[[Check Periodo Ref.]:[Check Periodo Ref.]]="Dentro",IF(DATOS_[[Check Equiparado]:[Check Equiparado]]="Sí",IF(DATOS!AP$4="Sí",(1/DATOS_[[% anualiz]:[% anualiz]]),1)*IF(DATOS!AP$5="Sí",1/DATOS_[[% normaliz]:[% normaliz]],1)*(DATOS_[Conc.Sal.12])))))))), 0)</f>
        <v>0</v>
      </c>
      <c r="V73" s="250" t="n">
        <f aca="false" t="array" ref="V73:V73">IFERROR( (MEDIAN((IF(DATOS_[[Sexo]:[Sexo]]=$B73,IF(DATOS_[[AGRUP. VALOR. PTO.]:[AGRUP. VALOR. PTO.]]=$B72,IF(DATOS_[[Check Periodo Ref.]:[Check Periodo Ref.]]="Dentro",IF(DATOS_[[Check Equiparado]:[Check Equiparado]]="Sí",IF(DATOS!AQ$4="Sí",(1/DATOS_[[% anualiz]:[% anualiz]]),1)*IF(DATOS!AQ$5="Sí",1/DATOS_[[% normaliz]:[% normaliz]],1)*(DATOS_[Conc.Sal.13])))))))), 0)</f>
        <v>0</v>
      </c>
      <c r="W73" s="250" t="n">
        <f aca="false" t="array" ref="W73:W73">IFERROR( (MEDIAN((IF(DATOS_[[Sexo]:[Sexo]]=$B73,IF(DATOS_[[AGRUP. VALOR. PTO.]:[AGRUP. VALOR. PTO.]]=$B72,IF(DATOS_[[Check Periodo Ref.]:[Check Periodo Ref.]]="Dentro",IF(DATOS_[[Check Equiparado]:[Check Equiparado]]="Sí",IF(DATOS!AR$4="Sí",(1/DATOS_[[% anualiz]:[% anualiz]]),1)*IF(DATOS!AR$5="Sí",1/DATOS_[[% normaliz]:[% normaliz]],1)*(DATOS_[Conc.Sal.14])))))))), 0)</f>
        <v>0</v>
      </c>
      <c r="X73" s="250" t="n">
        <f aca="false" t="array" ref="X73:X73">IFERROR( (MEDIAN((IF(DATOS_[[Sexo]:[Sexo]]=$B73,IF(DATOS_[[AGRUP. VALOR. PTO.]:[AGRUP. VALOR. PTO.]]=$B72,IF(DATOS_[[Check Periodo Ref.]:[Check Periodo Ref.]]="Dentro",IF(DATOS_[[Check Equiparado]:[Check Equiparado]]="Sí",IF(DATOS!AS$4="Sí",(1/DATOS_[[% anualiz]:[% anualiz]]),1)*IF(DATOS!AS$5="Sí",1/DATOS_[[% normaliz]:[% normaliz]],1)*(DATOS_[Conc.Sal.15])))))))), 0)</f>
        <v>0</v>
      </c>
      <c r="Y73" s="250" t="n">
        <f aca="false" t="array" ref="Y73:Y73">IFERROR( (MEDIAN((IF(DATOS_[[Sexo]:[Sexo]]=$B73,IF(DATOS_[[AGRUP. VALOR. PTO.]:[AGRUP. VALOR. PTO.]]=$B72,IF(DATOS_[[Check Periodo Ref.]:[Check Periodo Ref.]]="Dentro",IF(DATOS_[[Check Equiparado]:[Check Equiparado]]="Sí",IF(DATOS!AT$4="Sí",(1/DATOS_[[% anualiz]:[% anualiz]]),1)*IF(DATOS!AT$5="Sí",1/DATOS_[[% normaliz]:[% normaliz]],1)*(DATOS_[Conc.Sal.16])))))))), 0)</f>
        <v>0</v>
      </c>
      <c r="Z73" s="250" t="n">
        <f aca="false" t="array" ref="Z73:Z73">IFERROR( (MEDIAN((IF(DATOS_[[Sexo]:[Sexo]]=$B73,IF(DATOS_[[AGRUP. VALOR. PTO.]:[AGRUP. VALOR. PTO.]]=$B72,IF(DATOS_[[Check Periodo Ref.]:[Check Periodo Ref.]]="Dentro",IF(DATOS_[[Check Equiparado]:[Check Equiparado]]="Sí",IF(DATOS!AU$4="Sí",(1/DATOS_[[% anualiz]:[% anualiz]]),1)*IF(DATOS!AU$5="Sí",1/DATOS_[[% normaliz]:[% normaliz]],1)*(DATOS_[Conc.Sal.17])))))))), 0)</f>
        <v>0</v>
      </c>
      <c r="AA73" s="250" t="n">
        <f aca="false" t="array" ref="AA73:AA73">IFERROR( (MEDIAN((IF(DATOS_[[Sexo]:[Sexo]]=$B73,IF(DATOS_[[AGRUP. VALOR. PTO.]:[AGRUP. VALOR. PTO.]]=$B72,IF(DATOS_[[Check Periodo Ref.]:[Check Periodo Ref.]]="Dentro",IF(DATOS_[[Check Equiparado]:[Check Equiparado]]="Sí",IF(DATOS!AV$4="Sí",(1/DATOS_[[% anualiz]:[% anualiz]]),1)*IF(DATOS!AV$5="Sí",1/DATOS_[[% normaliz]:[% normaliz]],1)*(DATOS_[Conc.Sal.18])))))))), 0)</f>
        <v>0</v>
      </c>
      <c r="AB73" s="250" t="n">
        <f aca="false" t="array" ref="AB73:AB73">IFERROR( (MEDIAN((IF(DATOS_[[Sexo]:[Sexo]]=$B73,IF(DATOS_[[AGRUP. VALOR. PTO.]:[AGRUP. VALOR. PTO.]]=$B72,IF(DATOS_[[Check Periodo Ref.]:[Check Periodo Ref.]]="Dentro",IF(DATOS_[[Check Equiparado]:[Check Equiparado]]="Sí",IF(DATOS!AW$4="Sí",(1/DATOS_[[% anualiz]:[% anualiz]]),1)*IF(DATOS!AW$5="Sí",1/DATOS_[[% normaliz]:[% normaliz]],1)*(DATOS_[Conc.Sal.19])))))))), 0)</f>
        <v>0</v>
      </c>
      <c r="AC73" s="250" t="n">
        <f aca="false" t="array" ref="AC73:AC73">IFERROR( (MEDIAN((IF(DATOS_[[Sexo]:[Sexo]]=$B73,IF(DATOS_[[AGRUP. VALOR. PTO.]:[AGRUP. VALOR. PTO.]]=$B72,IF(DATOS_[[Check Periodo Ref.]:[Check Periodo Ref.]]="Dentro",IF(DATOS_[[Check Equiparado]:[Check Equiparado]]="Sí",IF(DATOS!AX$4="Sí",(1/DATOS_[[% anualiz]:[% anualiz]]),1)*IF(DATOS!AX$5="Sí",1/DATOS_[[% normaliz]:[% normaliz]],1)*(DATOS_[Conc.Sal.20])))))))), 0)</f>
        <v>0</v>
      </c>
      <c r="AD73" s="250" t="n">
        <f aca="false" t="array" ref="AD73:AD73">IFERROR( (MEDIAN((IF(DATOS_[[Sexo]:[Sexo]]=$B73,IF(DATOS_[[AGRUP. VALOR. PTO.]:[AGRUP. VALOR. PTO.]]=$B72,IF(DATOS_[[Check Periodo Ref.]:[Check Periodo Ref.]]="Dentro",IF(DATOS_[[Check Equiparado]:[Check Equiparado]]="Sí",IF(DATOS!AY$4="Sí",(1/DATOS_[[% anualiz]:[% anualiz]]),1)*IF(DATOS!AY$5="Sí",1/DATOS_[[% normaliz]:[% normaliz]],1)*(DATOS_[Conc.Sal.21])))))))), 0)</f>
        <v>0</v>
      </c>
      <c r="AE73" s="250" t="n">
        <f aca="false" t="array" ref="AE73:AE73">IFERROR( (MEDIAN((IF(DATOS_[[Sexo]:[Sexo]]=$B73,IF(DATOS_[[AGRUP. VALOR. PTO.]:[AGRUP. VALOR. PTO.]]=$B72,IF(DATOS_[[Check Periodo Ref.]:[Check Periodo Ref.]]="Dentro",IF(DATOS_[[Check Equiparado]:[Check Equiparado]]="Sí",IF(DATOS!AZ$4="Sí",(1/DATOS_[[% anualiz]:[% anualiz]]),1)*IF(DATOS!AZ$5="Sí",1/DATOS_[[% normaliz]:[% normaliz]],1)*(DATOS_[Conc.Sal.22])))))))), 0)</f>
        <v>0</v>
      </c>
      <c r="AF73" s="250" t="n">
        <f aca="false" t="array" ref="AF73:AF73">IFERROR( (MEDIAN((IF(DATOS_[[Sexo]:[Sexo]]=$B73,IF(DATOS_[[AGRUP. VALOR. PTO.]:[AGRUP. VALOR. PTO.]]=$B72,IF(DATOS_[[Check Periodo Ref.]:[Check Periodo Ref.]]="Dentro",IF(DATOS_[[Check Equiparado]:[Check Equiparado]]="Sí",IF(DATOS!BA$4="Sí",(1/DATOS_[[% anualiz]:[% anualiz]]),1)*IF(DATOS!BA$5="Sí",1/DATOS_[[% normaliz]:[% normaliz]],1)*(DATOS_[Conc.Sal.23])))))))), 0)</f>
        <v>0</v>
      </c>
      <c r="AG73" s="250" t="n">
        <f aca="false" t="array" ref="AG73:AG73">IFERROR( (MEDIAN((IF(DATOS_[[Sexo]:[Sexo]]=$B73,IF(DATOS_[[AGRUP. VALOR. PTO.]:[AGRUP. VALOR. PTO.]]=$B72,IF(DATOS_[[Check Periodo Ref.]:[Check Periodo Ref.]]="Dentro",IF(DATOS_[[Check Equiparado]:[Check Equiparado]]="Sí",IF(DATOS!BB$4="Sí",(1/DATOS_[[% anualiz]:[% anualiz]]),1)*IF(DATOS!BB$5="Sí",1/DATOS_[[% normaliz]:[% normaliz]],1)*(DATOS_[Conc.Sal.24])))))))), 0)</f>
        <v>0</v>
      </c>
      <c r="AH73" s="250" t="n">
        <f aca="false" t="array" ref="AH73:AH73">IFERROR( (MEDIAN((IF(DATOS_[[Sexo]:[Sexo]]=$B73,IF(DATOS_[[AGRUP. VALOR. PTO.]:[AGRUP. VALOR. PTO.]]=$B72,IF(DATOS_[[Check Periodo Ref.]:[Check Periodo Ref.]]="Dentro",IF(DATOS_[[Check Equiparado]:[Check Equiparado]]="Sí",IF(DATOS!BC$4="Sí",(1/DATOS_[[% anualiz]:[% anualiz]]),1)*IF(DATOS!BC$5="Sí",1/DATOS_[[% normaliz]:[% normaliz]],1)*(DATOS_[Conc.Sal.25])))))))), 0)</f>
        <v>0</v>
      </c>
      <c r="AI73" s="250" t="n">
        <f aca="false" t="array" ref="AI73:AI73">IFERROR( (MEDIAN((IF(DATOS_[[Sexo]:[Sexo]]=$B73,IF(DATOS_[[AGRUP. VALOR. PTO.]:[AGRUP. VALOR. PTO.]]=$B72,IF(DATOS_[[Check Periodo Ref.]:[Check Periodo Ref.]]="Dentro",IF(DATOS_[[Check Equiparado]:[Check Equiparado]]="Sí",IF(DATOS!BD$4="Sí",(1/DATOS_[[% anualiz]:[% anualiz]]),1)*IF(DATOS!BD$5="Sí",1/DATOS_[[% normaliz]:[% normaliz]],1)*(DATOS_[Conc.Sal.26])))))))), 0)</f>
        <v>0</v>
      </c>
      <c r="AJ73" s="250" t="n">
        <f aca="false" t="array" ref="AJ73:AJ73">IFERROR( (MEDIAN((IF(DATOS_[[Sexo]:[Sexo]]=$B73,IF(DATOS_[[AGRUP. VALOR. PTO.]:[AGRUP. VALOR. PTO.]]=$B72,IF(DATOS_[[Check Periodo Ref.]:[Check Periodo Ref.]]="Dentro",IF(DATOS_[[Check Equiparado]:[Check Equiparado]]="Sí",IF(DATOS!BE$4="Sí",(1/DATOS_[[% anualiz]:[% anualiz]]),1)*IF(DATOS!BE$5="Sí",1/DATOS_[[% normaliz]:[% normaliz]],1)*(DATOS_[Conc.Sal.27])))))))), 0)</f>
        <v>0</v>
      </c>
      <c r="AK73" s="250" t="n">
        <f aca="false" t="array" ref="AK73:AK73">IFERROR( (MEDIAN((IF(DATOS_[[Sexo]:[Sexo]]=$B73,IF(DATOS_[[AGRUP. VALOR. PTO.]:[AGRUP. VALOR. PTO.]]=$B72,IF(DATOS_[[Check Periodo Ref.]:[Check Periodo Ref.]]="Dentro",IF(DATOS_[[Check Equiparado]:[Check Equiparado]]="Sí",IF(DATOS!BF$4="Sí",(1/DATOS_[[% anualiz]:[% anualiz]]),1)*IF(DATOS!BF$5="Sí",1/DATOS_[[% normaliz]:[% normaliz]],1)*(DATOS_[Conc.Sal.28])))))))), 0)</f>
        <v>0</v>
      </c>
      <c r="AL73" s="250" t="n">
        <f aca="false" t="array" ref="AL73:AL73">IFERROR( (MEDIAN((IF(DATOS_[[Sexo]:[Sexo]]=$B73,IF(DATOS_[[AGRUP. VALOR. PTO.]:[AGRUP. VALOR. PTO.]]=$B72,IF(DATOS_[[Check Periodo Ref.]:[Check Periodo Ref.]]="Dentro",IF(DATOS_[[Check Equiparado]:[Check Equiparado]]="Sí",IF(DATOS!BG$4="Sí",(1/DATOS_[[% anualiz]:[% anualiz]]),1)*IF(DATOS!BG$5="Sí",1/DATOS_[[% normaliz]:[% normaliz]],1)*(DATOS_[Conc.Sal.29])))))))), 0)</f>
        <v>0</v>
      </c>
      <c r="AM73" s="250" t="n">
        <f aca="false" t="array" ref="AM73:AM73">IFERROR( (MEDIAN((IF(DATOS_[[Sexo]:[Sexo]]=$B73,IF(DATOS_[[AGRUP. VALOR. PTO.]:[AGRUP. VALOR. PTO.]]=$B72,IF(DATOS_[[Check Periodo Ref.]:[Check Periodo Ref.]]="Dentro",IF(DATOS_[[Check Equiparado]:[Check Equiparado]]="Sí",IF(DATOS!BH$4="Sí",(1/DATOS_[[% anualiz]:[% anualiz]]),1)*IF(DATOS!BH$5="Sí",1/DATOS_[[% normaliz]:[% normaliz]],1)*(DATOS_[Conc.Sal.30])))))))), 0)</f>
        <v>0</v>
      </c>
      <c r="AN73" s="251" t="n">
        <f aca="false" t="array" ref="AN73:AN73">IFERROR( MEDIAN(IF(DATOS_[Sexo]=$B73,IF(DATOS_[[AGRUP. VALOR. PTO.]:[AGRUP. VALOR. PTO.]]=$B72,IF(DATOS_[Check Equiparado]="Sí",IF(DATOS_[Check Periodo Ref.]="Dentro",DATOS_[Tot COMPL.SAL Eq],0))))), 0)</f>
        <v>0</v>
      </c>
      <c r="AO73" s="252" t="n">
        <f aca="false" t="array" ref="AO73:AO73">IFERROR( MEDIAN(IF(DATOS_[Sexo]=$B73,IF(DATOS_[[AGRUP. VALOR. PTO.]:[AGRUP. VALOR. PTO.]]=$B72,IF(DATOS_[Check Equiparado]="Sí",IF(DATOS_[Check Periodo Ref.]="Dentro",DATOS_[TOTAL SALARIO Eq],0))))), 0)</f>
        <v>0</v>
      </c>
      <c r="AP73" s="259" t="n">
        <f aca="false" t="array" ref="AP73:AP73">IFERROR( (MEDIAN((IF(DATOS_[[Sexo]:[Sexo]]=$B73,IF(DATOS_[[AGRUP. VALOR. PTO.]:[AGRUP. VALOR. PTO.]]=$B72,IF(DATOS_[[Check Periodo Ref.]:[Check Periodo Ref.]]="Dentro",IF(DATOS_[[Check Equiparado]:[Check Equiparado]]="Sí",IF(DATOS!BI$4="Sí",(1/DATOS_[[% anualiz]:[% anualiz]]),1)*IF(DATOS!BI$5="Sí",1/DATOS_[[% normaliz]:[% normaliz]],1)*(DATOS_[C.Extra.01])))))))), 0)</f>
        <v>0</v>
      </c>
      <c r="AQ73" s="259" t="n">
        <f aca="false" t="array" ref="AQ73:AQ73">IFERROR( (MEDIAN((IF(DATOS_[[Sexo]:[Sexo]]=$B73,IF(DATOS_[[AGRUP. VALOR. PTO.]:[AGRUP. VALOR. PTO.]]=$B72,IF(DATOS_[[Check Periodo Ref.]:[Check Periodo Ref.]]="Dentro",IF(DATOS_[[Check Equiparado]:[Check Equiparado]]="Sí",IF(DATOS!BJ$4="Sí",(1/DATOS_[[% anualiz]:[% anualiz]]),1)*IF(DATOS!BJ$5="Sí",1/DATOS_[[% normaliz]:[% normaliz]],1)*(DATOS_[C.Extra.02])))))))), 0)</f>
        <v>0</v>
      </c>
      <c r="AR73" s="259" t="n">
        <f aca="false" t="array" ref="AR73:AR73">IFERROR( (MEDIAN((IF(DATOS_[[Sexo]:[Sexo]]=$B73,IF(DATOS_[[AGRUP. VALOR. PTO.]:[AGRUP. VALOR. PTO.]]=$B72,IF(DATOS_[[Check Periodo Ref.]:[Check Periodo Ref.]]="Dentro",IF(DATOS_[[Check Equiparado]:[Check Equiparado]]="Sí",IF(DATOS!BK$4="Sí",(1/DATOS_[[% anualiz]:[% anualiz]]),1)*IF(DATOS!BK$5="Sí",1/DATOS_[[% normaliz]:[% normaliz]],1)*(DATOS_[C.Extra.03])))))))), 0)</f>
        <v>0</v>
      </c>
      <c r="AS73" s="259" t="n">
        <f aca="false" t="array" ref="AS73:AS73">IFERROR( (MEDIAN((IF(DATOS_[[Sexo]:[Sexo]]=$B73,IF(DATOS_[[AGRUP. VALOR. PTO.]:[AGRUP. VALOR. PTO.]]=$B72,IF(DATOS_[[Check Periodo Ref.]:[Check Periodo Ref.]]="Dentro",IF(DATOS_[[Check Equiparado]:[Check Equiparado]]="Sí",IF(DATOS!BL$4="Sí",(1/DATOS_[[% anualiz]:[% anualiz]]),1)*IF(DATOS!BL$5="Sí",1/DATOS_[[% normaliz]:[% normaliz]],1)*(DATOS_[C.Extra.04])))))))), 0)</f>
        <v>0</v>
      </c>
      <c r="AT73" s="259" t="n">
        <f aca="false" t="array" ref="AT73:AT73">IFERROR( (MEDIAN((IF(DATOS_[[Sexo]:[Sexo]]=$B73,IF(DATOS_[[AGRUP. VALOR. PTO.]:[AGRUP. VALOR. PTO.]]=$B72,IF(DATOS_[[Check Periodo Ref.]:[Check Periodo Ref.]]="Dentro",IF(DATOS_[[Check Equiparado]:[Check Equiparado]]="Sí",IF(DATOS!BM$4="Sí",(1/DATOS_[[% anualiz]:[% anualiz]]),1)*IF(DATOS!BM$5="Sí",1/DATOS_[[% normaliz]:[% normaliz]],1)*(DATOS_[C.Extra.05])))))))), 0)</f>
        <v>0</v>
      </c>
      <c r="AU73" s="254" t="n">
        <f aca="false" t="array" ref="AU73:AU73">IFERROR( MEDIAN(IF(DATOS_[Sexo]=$B73,IF(DATOS_[[AGRUP. VALOR. PTO.]:[AGRUP. VALOR. PTO.]]=$B72,IF(DATOS_[Check Equiparado]="Sí",IF(DATOS_[Check Periodo Ref.]="Dentro",DATOS_[Tot Extrasalarial Eq],0))))), 0)</f>
        <v>0</v>
      </c>
      <c r="AV73" s="255" t="n">
        <f aca="false" t="array" ref="AV73:AV73">IFERROR( MEDIAN(IF(DATOS_[Sexo]=$B73,IF(DATOS_[[AGRUP. VALOR. PTO.]:[AGRUP. VALOR. PTO.]]=$B72,IF(DATOS_[Check Equiparado]="Sí",IF(DATOS_[Check Periodo Ref.]="Dentro",DATOS_[TOTAL Retrib Eq],0))))), 0)</f>
        <v>0</v>
      </c>
    </row>
    <row r="74" customFormat="false" ht="14.25" hidden="false" customHeight="false" outlineLevel="0" collapsed="false">
      <c r="A74" s="217" t="str">
        <f aca="false">+A73</f>
        <v>[ocultar]</v>
      </c>
      <c r="B74" s="323" t="s">
        <v>372</v>
      </c>
      <c r="C74" s="247" t="n">
        <f aca="false" t="array" ref="C74:C74">SUM(IF($B74=DATOS_[Sexo], IF($B72=DATOS_[AGRUP. VALOR. PTO.], IF("Dentro"=DATOS_[Check Periodo Ref.], 1/(COUNTIFS(DATOS_[Sexo],$B74,DATOS_[AGRUP. VALOR. PTO.],$B72,DATOS_[Check Periodo Ref.],"Dentro",DATOS_[id],DATOS_[id]))))))</f>
        <v>0</v>
      </c>
      <c r="D74" s="248" t="n">
        <f aca="false">COUNTIFS(DATOS_[AGRUP. VALOR. PTO.],$B72,DATOS_[Sexo],$B74,DATOS_[Check Periodo Ref.],"Dentro")</f>
        <v>0</v>
      </c>
      <c r="E74" s="248" t="n">
        <f aca="false">COUNTIFS(DATOS_[AGRUP. VALOR. PTO.],$B72,DATOS_[Sexo],$B74,DATOS_[Check Periodo Ref.],"Dentro",DATOS_[Check Nº SC Norm],"Sí")</f>
        <v>0</v>
      </c>
      <c r="F74" s="248" t="n">
        <f aca="false">COUNTIFS(DATOS_[AGRUP. VALOR. PTO.],$B72,DATOS_[Sexo],$B74,DATOS_[Check Periodo Ref.],"Dentro",DATOS_[Check Nº SC Anualiz],"Sí")</f>
        <v>0</v>
      </c>
      <c r="G74" s="248" t="n">
        <f aca="false">COUNTIFS(DATOS_[AGRUP. VALOR. PTO.],$B72,DATOS_[Sexo],$B74,DATOS_[Check Periodo Ref.],"Dentro",DATOS_[Check Nº SC Norm y Anualiz],"Sí")</f>
        <v>0</v>
      </c>
      <c r="H74" s="248" t="n">
        <f aca="false">COUNTIFS(DATOS_[AGRUP. VALOR. PTO.],$B72,DATOS_[Sexo],$B74,DATOS_[Check Periodo Ref.],"Dentro",DATOS_[Check Equiparación],"Sí")</f>
        <v>0</v>
      </c>
      <c r="I74" s="249" t="n">
        <f aca="false" t="array" ref="I74:I74">IFERROR( MEDIAN(IF(DATOS_[Sexo]=$B74,IF(DATOS_[[AGRUP. VALOR. PTO.]:[AGRUP. VALOR. PTO.]]=$B72,IF(DATOS_[Check Equiparado]="Sí",IF(DATOS_[Check Periodo Ref.]="Dentro",DATOS_[SALARIO BASE Eq],0))))), 0)</f>
        <v>0</v>
      </c>
      <c r="J74" s="250" t="n">
        <f aca="false" t="array" ref="J74:J74">IFERROR( (MEDIAN((IF(DATOS_[[Sexo]:[Sexo]]=$B74,IF(DATOS_[[AGRUP. VALOR. PTO.]:[AGRUP. VALOR. PTO.]]=$B72,IF(DATOS_[[Check Periodo Ref.]:[Check Periodo Ref.]]="Dentro",IF(DATOS_[[Check Equiparado]:[Check Equiparado]]="Sí",IF(DATOS!AE$4="Sí",(1/DATOS_[[% anualiz]:[% anualiz]]),1)*IF(DATOS!AE$5="Sí",1/DATOS_[[% normaliz]:[% normaliz]],1)*(DATOS_[Conc.Sal.01])))))))), 0)</f>
        <v>0</v>
      </c>
      <c r="K74" s="250" t="n">
        <f aca="false" t="array" ref="K74:K74">IFERROR( (MEDIAN((IF(DATOS_[[Sexo]:[Sexo]]=$B74,IF(DATOS_[[AGRUP. VALOR. PTO.]:[AGRUP. VALOR. PTO.]]=$B72,IF(DATOS_[[Check Periodo Ref.]:[Check Periodo Ref.]]="Dentro",IF(DATOS_[[Check Equiparado]:[Check Equiparado]]="Sí",IF(DATOS!AF$4="Sí",(1/DATOS_[[% anualiz]:[% anualiz]]),1)*IF(DATOS!AF$5="Sí",1/DATOS_[[% normaliz]:[% normaliz]],1)*(DATOS_[Conc.Sal.02])))))))), 0)</f>
        <v>0</v>
      </c>
      <c r="L74" s="250" t="n">
        <f aca="false" t="array" ref="L74:L74">IFERROR( (MEDIAN((IF(DATOS_[[Sexo]:[Sexo]]=$B74,IF(DATOS_[[AGRUP. VALOR. PTO.]:[AGRUP. VALOR. PTO.]]=$B72,IF(DATOS_[[Check Periodo Ref.]:[Check Periodo Ref.]]="Dentro",IF(DATOS_[[Check Equiparado]:[Check Equiparado]]="Sí",IF(DATOS!AG$4="Sí",(1/DATOS_[[% anualiz]:[% anualiz]]),1)*IF(DATOS!AG$5="Sí",1/DATOS_[[% normaliz]:[% normaliz]],1)*(DATOS_[Conc.Sal.03])))))))), 0)</f>
        <v>0</v>
      </c>
      <c r="M74" s="250" t="n">
        <f aca="false" t="array" ref="M74:M74">IFERROR( (MEDIAN((IF(DATOS_[[Sexo]:[Sexo]]=$B74,IF(DATOS_[[AGRUP. VALOR. PTO.]:[AGRUP. VALOR. PTO.]]=$B72,IF(DATOS_[[Check Periodo Ref.]:[Check Periodo Ref.]]="Dentro",IF(DATOS_[[Check Equiparado]:[Check Equiparado]]="Sí",IF(DATOS!AH$4="Sí",(1/DATOS_[[% anualiz]:[% anualiz]]),1)*IF(DATOS!AH$5="Sí",1/DATOS_[[% normaliz]:[% normaliz]],1)*(DATOS_[Conc.Sal.04])))))))), 0)</f>
        <v>0</v>
      </c>
      <c r="N74" s="250" t="n">
        <f aca="false" t="array" ref="N74:N74">IFERROR( (MEDIAN((IF(DATOS_[[Sexo]:[Sexo]]=$B74,IF(DATOS_[[AGRUP. VALOR. PTO.]:[AGRUP. VALOR. PTO.]]=$B72,IF(DATOS_[[Check Periodo Ref.]:[Check Periodo Ref.]]="Dentro",IF(DATOS_[[Check Equiparado]:[Check Equiparado]]="Sí",IF(DATOS!AI$4="Sí",(1/DATOS_[[% anualiz]:[% anualiz]]),1)*IF(DATOS!AI$5="Sí",1/DATOS_[[% normaliz]:[% normaliz]],1)*(DATOS_[Conc.Sal.05])))))))), 0)</f>
        <v>0</v>
      </c>
      <c r="O74" s="250" t="n">
        <f aca="false" t="array" ref="O74:O74">IFERROR( (MEDIAN((IF(DATOS_[[Sexo]:[Sexo]]=$B74,IF(DATOS_[[AGRUP. VALOR. PTO.]:[AGRUP. VALOR. PTO.]]=$B72,IF(DATOS_[[Check Periodo Ref.]:[Check Periodo Ref.]]="Dentro",IF(DATOS_[[Check Equiparado]:[Check Equiparado]]="Sí",IF(DATOS!AJ$4="Sí",(1/DATOS_[[% anualiz]:[% anualiz]]),1)*IF(DATOS!AJ$5="Sí",1/DATOS_[[% normaliz]:[% normaliz]],1)*(DATOS_[Conc.Sal.06])))))))), 0)</f>
        <v>0</v>
      </c>
      <c r="P74" s="250" t="n">
        <f aca="false" t="array" ref="P74:P74">IFERROR( (MEDIAN((IF(DATOS_[[Sexo]:[Sexo]]=$B74,IF(DATOS_[[AGRUP. VALOR. PTO.]:[AGRUP. VALOR. PTO.]]=$B72,IF(DATOS_[[Check Periodo Ref.]:[Check Periodo Ref.]]="Dentro",IF(DATOS_[[Check Equiparado]:[Check Equiparado]]="Sí",IF(DATOS!AK$4="Sí",(1/DATOS_[[% anualiz]:[% anualiz]]),1)*IF(DATOS!AK$5="Sí",1/DATOS_[[% normaliz]:[% normaliz]],1)*(DATOS_[Conc.Sal.07])))))))), 0)</f>
        <v>0</v>
      </c>
      <c r="Q74" s="250" t="n">
        <f aca="false" t="array" ref="Q74:Q74">IFERROR( (MEDIAN((IF(DATOS_[[Sexo]:[Sexo]]=$B74,IF(DATOS_[[AGRUP. VALOR. PTO.]:[AGRUP. VALOR. PTO.]]=$B72,IF(DATOS_[[Check Periodo Ref.]:[Check Periodo Ref.]]="Dentro",IF(DATOS_[[Check Equiparado]:[Check Equiparado]]="Sí",IF(DATOS!AL$4="Sí",(1/DATOS_[[% anualiz]:[% anualiz]]),1)*IF(DATOS!AL$5="Sí",1/DATOS_[[% normaliz]:[% normaliz]],1)*(DATOS_[Conc.Sal.08])))))))), 0)</f>
        <v>0</v>
      </c>
      <c r="R74" s="250" t="n">
        <f aca="false" t="array" ref="R74:R74">IFERROR( (MEDIAN((IF(DATOS_[[Sexo]:[Sexo]]=$B74,IF(DATOS_[[AGRUP. VALOR. PTO.]:[AGRUP. VALOR. PTO.]]=$B72,IF(DATOS_[[Check Periodo Ref.]:[Check Periodo Ref.]]="Dentro",IF(DATOS_[[Check Equiparado]:[Check Equiparado]]="Sí",IF(DATOS!AM$4="Sí",(1/DATOS_[[% anualiz]:[% anualiz]]),1)*IF(DATOS!AM$5="Sí",1/DATOS_[[% normaliz]:[% normaliz]],1)*(DATOS_[Conc.Sal.09])))))))), 0)</f>
        <v>0</v>
      </c>
      <c r="S74" s="250" t="n">
        <f aca="false" t="array" ref="S74:S74">IFERROR( (MEDIAN((IF(DATOS_[[Sexo]:[Sexo]]=$B74,IF(DATOS_[[AGRUP. VALOR. PTO.]:[AGRUP. VALOR. PTO.]]=$B72,IF(DATOS_[[Check Periodo Ref.]:[Check Periodo Ref.]]="Dentro",IF(DATOS_[[Check Equiparado]:[Check Equiparado]]="Sí",IF(DATOS!AN$4="Sí",(1/DATOS_[[% anualiz]:[% anualiz]]),1)*IF(DATOS!AN$5="Sí",1/DATOS_[[% normaliz]:[% normaliz]],1)*(DATOS_[Conc.Sal.10])))))))), 0)</f>
        <v>0</v>
      </c>
      <c r="T74" s="250" t="n">
        <f aca="false" t="array" ref="T74:T74">IFERROR( (MEDIAN((IF(DATOS_[[Sexo]:[Sexo]]=$B74,IF(DATOS_[[AGRUP. VALOR. PTO.]:[AGRUP. VALOR. PTO.]]=$B72,IF(DATOS_[[Check Periodo Ref.]:[Check Periodo Ref.]]="Dentro",IF(DATOS_[[Check Equiparado]:[Check Equiparado]]="Sí",IF(DATOS!AO$4="Sí",(1/DATOS_[[% anualiz]:[% anualiz]]),1)*IF(DATOS!AO$5="Sí",1/DATOS_[[% normaliz]:[% normaliz]],1)*(DATOS_[Conc.Sal.11])))))))), 0)</f>
        <v>0</v>
      </c>
      <c r="U74" s="250" t="n">
        <f aca="false" t="array" ref="U74:U74">IFERROR( (MEDIAN((IF(DATOS_[[Sexo]:[Sexo]]=$B74,IF(DATOS_[[AGRUP. VALOR. PTO.]:[AGRUP. VALOR. PTO.]]=$B72,IF(DATOS_[[Check Periodo Ref.]:[Check Periodo Ref.]]="Dentro",IF(DATOS_[[Check Equiparado]:[Check Equiparado]]="Sí",IF(DATOS!AP$4="Sí",(1/DATOS_[[% anualiz]:[% anualiz]]),1)*IF(DATOS!AP$5="Sí",1/DATOS_[[% normaliz]:[% normaliz]],1)*(DATOS_[Conc.Sal.12])))))))), 0)</f>
        <v>0</v>
      </c>
      <c r="V74" s="250" t="n">
        <f aca="false" t="array" ref="V74:V74">IFERROR( (MEDIAN((IF(DATOS_[[Sexo]:[Sexo]]=$B74,IF(DATOS_[[AGRUP. VALOR. PTO.]:[AGRUP. VALOR. PTO.]]=$B72,IF(DATOS_[[Check Periodo Ref.]:[Check Periodo Ref.]]="Dentro",IF(DATOS_[[Check Equiparado]:[Check Equiparado]]="Sí",IF(DATOS!AQ$4="Sí",(1/DATOS_[[% anualiz]:[% anualiz]]),1)*IF(DATOS!AQ$5="Sí",1/DATOS_[[% normaliz]:[% normaliz]],1)*(DATOS_[Conc.Sal.13])))))))), 0)</f>
        <v>0</v>
      </c>
      <c r="W74" s="250" t="n">
        <f aca="false" t="array" ref="W74:W74">IFERROR( (MEDIAN((IF(DATOS_[[Sexo]:[Sexo]]=$B74,IF(DATOS_[[AGRUP. VALOR. PTO.]:[AGRUP. VALOR. PTO.]]=$B72,IF(DATOS_[[Check Periodo Ref.]:[Check Periodo Ref.]]="Dentro",IF(DATOS_[[Check Equiparado]:[Check Equiparado]]="Sí",IF(DATOS!AR$4="Sí",(1/DATOS_[[% anualiz]:[% anualiz]]),1)*IF(DATOS!AR$5="Sí",1/DATOS_[[% normaliz]:[% normaliz]],1)*(DATOS_[Conc.Sal.14])))))))), 0)</f>
        <v>0</v>
      </c>
      <c r="X74" s="250" t="n">
        <f aca="false" t="array" ref="X74:X74">IFERROR( (MEDIAN((IF(DATOS_[[Sexo]:[Sexo]]=$B74,IF(DATOS_[[AGRUP. VALOR. PTO.]:[AGRUP. VALOR. PTO.]]=$B72,IF(DATOS_[[Check Periodo Ref.]:[Check Periodo Ref.]]="Dentro",IF(DATOS_[[Check Equiparado]:[Check Equiparado]]="Sí",IF(DATOS!AS$4="Sí",(1/DATOS_[[% anualiz]:[% anualiz]]),1)*IF(DATOS!AS$5="Sí",1/DATOS_[[% normaliz]:[% normaliz]],1)*(DATOS_[Conc.Sal.15])))))))), 0)</f>
        <v>0</v>
      </c>
      <c r="Y74" s="250" t="n">
        <f aca="false" t="array" ref="Y74:Y74">IFERROR( (MEDIAN((IF(DATOS_[[Sexo]:[Sexo]]=$B74,IF(DATOS_[[AGRUP. VALOR. PTO.]:[AGRUP. VALOR. PTO.]]=$B72,IF(DATOS_[[Check Periodo Ref.]:[Check Periodo Ref.]]="Dentro",IF(DATOS_[[Check Equiparado]:[Check Equiparado]]="Sí",IF(DATOS!AT$4="Sí",(1/DATOS_[[% anualiz]:[% anualiz]]),1)*IF(DATOS!AT$5="Sí",1/DATOS_[[% normaliz]:[% normaliz]],1)*(DATOS_[Conc.Sal.16])))))))), 0)</f>
        <v>0</v>
      </c>
      <c r="Z74" s="250" t="n">
        <f aca="false" t="array" ref="Z74:Z74">IFERROR( (MEDIAN((IF(DATOS_[[Sexo]:[Sexo]]=$B74,IF(DATOS_[[AGRUP. VALOR. PTO.]:[AGRUP. VALOR. PTO.]]=$B72,IF(DATOS_[[Check Periodo Ref.]:[Check Periodo Ref.]]="Dentro",IF(DATOS_[[Check Equiparado]:[Check Equiparado]]="Sí",IF(DATOS!AU$4="Sí",(1/DATOS_[[% anualiz]:[% anualiz]]),1)*IF(DATOS!AU$5="Sí",1/DATOS_[[% normaliz]:[% normaliz]],1)*(DATOS_[Conc.Sal.17])))))))), 0)</f>
        <v>0</v>
      </c>
      <c r="AA74" s="250" t="n">
        <f aca="false" t="array" ref="AA74:AA74">IFERROR( (MEDIAN((IF(DATOS_[[Sexo]:[Sexo]]=$B74,IF(DATOS_[[AGRUP. VALOR. PTO.]:[AGRUP. VALOR. PTO.]]=$B72,IF(DATOS_[[Check Periodo Ref.]:[Check Periodo Ref.]]="Dentro",IF(DATOS_[[Check Equiparado]:[Check Equiparado]]="Sí",IF(DATOS!AV$4="Sí",(1/DATOS_[[% anualiz]:[% anualiz]]),1)*IF(DATOS!AV$5="Sí",1/DATOS_[[% normaliz]:[% normaliz]],1)*(DATOS_[Conc.Sal.18])))))))), 0)</f>
        <v>0</v>
      </c>
      <c r="AB74" s="250" t="n">
        <f aca="false" t="array" ref="AB74:AB74">IFERROR( (MEDIAN((IF(DATOS_[[Sexo]:[Sexo]]=$B74,IF(DATOS_[[AGRUP. VALOR. PTO.]:[AGRUP. VALOR. PTO.]]=$B72,IF(DATOS_[[Check Periodo Ref.]:[Check Periodo Ref.]]="Dentro",IF(DATOS_[[Check Equiparado]:[Check Equiparado]]="Sí",IF(DATOS!AW$4="Sí",(1/DATOS_[[% anualiz]:[% anualiz]]),1)*IF(DATOS!AW$5="Sí",1/DATOS_[[% normaliz]:[% normaliz]],1)*(DATOS_[Conc.Sal.19])))))))), 0)</f>
        <v>0</v>
      </c>
      <c r="AC74" s="250" t="n">
        <f aca="false" t="array" ref="AC74:AC74">IFERROR( (MEDIAN((IF(DATOS_[[Sexo]:[Sexo]]=$B74,IF(DATOS_[[AGRUP. VALOR. PTO.]:[AGRUP. VALOR. PTO.]]=$B72,IF(DATOS_[[Check Periodo Ref.]:[Check Periodo Ref.]]="Dentro",IF(DATOS_[[Check Equiparado]:[Check Equiparado]]="Sí",IF(DATOS!AX$4="Sí",(1/DATOS_[[% anualiz]:[% anualiz]]),1)*IF(DATOS!AX$5="Sí",1/DATOS_[[% normaliz]:[% normaliz]],1)*(DATOS_[Conc.Sal.20])))))))), 0)</f>
        <v>0</v>
      </c>
      <c r="AD74" s="250" t="n">
        <f aca="false" t="array" ref="AD74:AD74">IFERROR( (MEDIAN((IF(DATOS_[[Sexo]:[Sexo]]=$B74,IF(DATOS_[[AGRUP. VALOR. PTO.]:[AGRUP. VALOR. PTO.]]=$B72,IF(DATOS_[[Check Periodo Ref.]:[Check Periodo Ref.]]="Dentro",IF(DATOS_[[Check Equiparado]:[Check Equiparado]]="Sí",IF(DATOS!AY$4="Sí",(1/DATOS_[[% anualiz]:[% anualiz]]),1)*IF(DATOS!AY$5="Sí",1/DATOS_[[% normaliz]:[% normaliz]],1)*(DATOS_[Conc.Sal.21])))))))), 0)</f>
        <v>0</v>
      </c>
      <c r="AE74" s="250" t="n">
        <f aca="false" t="array" ref="AE74:AE74">IFERROR( (MEDIAN((IF(DATOS_[[Sexo]:[Sexo]]=$B74,IF(DATOS_[[AGRUP. VALOR. PTO.]:[AGRUP. VALOR. PTO.]]=$B72,IF(DATOS_[[Check Periodo Ref.]:[Check Periodo Ref.]]="Dentro",IF(DATOS_[[Check Equiparado]:[Check Equiparado]]="Sí",IF(DATOS!AZ$4="Sí",(1/DATOS_[[% anualiz]:[% anualiz]]),1)*IF(DATOS!AZ$5="Sí",1/DATOS_[[% normaliz]:[% normaliz]],1)*(DATOS_[Conc.Sal.22])))))))), 0)</f>
        <v>0</v>
      </c>
      <c r="AF74" s="250" t="n">
        <f aca="false" t="array" ref="AF74:AF74">IFERROR( (MEDIAN((IF(DATOS_[[Sexo]:[Sexo]]=$B74,IF(DATOS_[[AGRUP. VALOR. PTO.]:[AGRUP. VALOR. PTO.]]=$B72,IF(DATOS_[[Check Periodo Ref.]:[Check Periodo Ref.]]="Dentro",IF(DATOS_[[Check Equiparado]:[Check Equiparado]]="Sí",IF(DATOS!BA$4="Sí",(1/DATOS_[[% anualiz]:[% anualiz]]),1)*IF(DATOS!BA$5="Sí",1/DATOS_[[% normaliz]:[% normaliz]],1)*(DATOS_[Conc.Sal.23])))))))), 0)</f>
        <v>0</v>
      </c>
      <c r="AG74" s="250" t="n">
        <f aca="false" t="array" ref="AG74:AG74">IFERROR( (MEDIAN((IF(DATOS_[[Sexo]:[Sexo]]=$B74,IF(DATOS_[[AGRUP. VALOR. PTO.]:[AGRUP. VALOR. PTO.]]=$B72,IF(DATOS_[[Check Periodo Ref.]:[Check Periodo Ref.]]="Dentro",IF(DATOS_[[Check Equiparado]:[Check Equiparado]]="Sí",IF(DATOS!BB$4="Sí",(1/DATOS_[[% anualiz]:[% anualiz]]),1)*IF(DATOS!BB$5="Sí",1/DATOS_[[% normaliz]:[% normaliz]],1)*(DATOS_[Conc.Sal.24])))))))), 0)</f>
        <v>0</v>
      </c>
      <c r="AH74" s="250" t="n">
        <f aca="false" t="array" ref="AH74:AH74">IFERROR( (MEDIAN((IF(DATOS_[[Sexo]:[Sexo]]=$B74,IF(DATOS_[[AGRUP. VALOR. PTO.]:[AGRUP. VALOR. PTO.]]=$B72,IF(DATOS_[[Check Periodo Ref.]:[Check Periodo Ref.]]="Dentro",IF(DATOS_[[Check Equiparado]:[Check Equiparado]]="Sí",IF(DATOS!BC$4="Sí",(1/DATOS_[[% anualiz]:[% anualiz]]),1)*IF(DATOS!BC$5="Sí",1/DATOS_[[% normaliz]:[% normaliz]],1)*(DATOS_[Conc.Sal.25])))))))), 0)</f>
        <v>0</v>
      </c>
      <c r="AI74" s="250" t="n">
        <f aca="false" t="array" ref="AI74:AI74">IFERROR( (MEDIAN((IF(DATOS_[[Sexo]:[Sexo]]=$B74,IF(DATOS_[[AGRUP. VALOR. PTO.]:[AGRUP. VALOR. PTO.]]=$B72,IF(DATOS_[[Check Periodo Ref.]:[Check Periodo Ref.]]="Dentro",IF(DATOS_[[Check Equiparado]:[Check Equiparado]]="Sí",IF(DATOS!BD$4="Sí",(1/DATOS_[[% anualiz]:[% anualiz]]),1)*IF(DATOS!BD$5="Sí",1/DATOS_[[% normaliz]:[% normaliz]],1)*(DATOS_[Conc.Sal.26])))))))), 0)</f>
        <v>0</v>
      </c>
      <c r="AJ74" s="250" t="n">
        <f aca="false" t="array" ref="AJ74:AJ74">IFERROR( (MEDIAN((IF(DATOS_[[Sexo]:[Sexo]]=$B74,IF(DATOS_[[AGRUP. VALOR. PTO.]:[AGRUP. VALOR. PTO.]]=$B72,IF(DATOS_[[Check Periodo Ref.]:[Check Periodo Ref.]]="Dentro",IF(DATOS_[[Check Equiparado]:[Check Equiparado]]="Sí",IF(DATOS!BE$4="Sí",(1/DATOS_[[% anualiz]:[% anualiz]]),1)*IF(DATOS!BE$5="Sí",1/DATOS_[[% normaliz]:[% normaliz]],1)*(DATOS_[Conc.Sal.27])))))))), 0)</f>
        <v>0</v>
      </c>
      <c r="AK74" s="250" t="n">
        <f aca="false" t="array" ref="AK74:AK74">IFERROR( (MEDIAN((IF(DATOS_[[Sexo]:[Sexo]]=$B74,IF(DATOS_[[AGRUP. VALOR. PTO.]:[AGRUP. VALOR. PTO.]]=$B72,IF(DATOS_[[Check Periodo Ref.]:[Check Periodo Ref.]]="Dentro",IF(DATOS_[[Check Equiparado]:[Check Equiparado]]="Sí",IF(DATOS!BF$4="Sí",(1/DATOS_[[% anualiz]:[% anualiz]]),1)*IF(DATOS!BF$5="Sí",1/DATOS_[[% normaliz]:[% normaliz]],1)*(DATOS_[Conc.Sal.28])))))))), 0)</f>
        <v>0</v>
      </c>
      <c r="AL74" s="250" t="n">
        <f aca="false" t="array" ref="AL74:AL74">IFERROR( (MEDIAN((IF(DATOS_[[Sexo]:[Sexo]]=$B74,IF(DATOS_[[AGRUP. VALOR. PTO.]:[AGRUP. VALOR. PTO.]]=$B72,IF(DATOS_[[Check Periodo Ref.]:[Check Periodo Ref.]]="Dentro",IF(DATOS_[[Check Equiparado]:[Check Equiparado]]="Sí",IF(DATOS!BG$4="Sí",(1/DATOS_[[% anualiz]:[% anualiz]]),1)*IF(DATOS!BG$5="Sí",1/DATOS_[[% normaliz]:[% normaliz]],1)*(DATOS_[Conc.Sal.29])))))))), 0)</f>
        <v>0</v>
      </c>
      <c r="AM74" s="250" t="n">
        <f aca="false" t="array" ref="AM74:AM74">IFERROR( (MEDIAN((IF(DATOS_[[Sexo]:[Sexo]]=$B74,IF(DATOS_[[AGRUP. VALOR. PTO.]:[AGRUP. VALOR. PTO.]]=$B72,IF(DATOS_[[Check Periodo Ref.]:[Check Periodo Ref.]]="Dentro",IF(DATOS_[[Check Equiparado]:[Check Equiparado]]="Sí",IF(DATOS!BH$4="Sí",(1/DATOS_[[% anualiz]:[% anualiz]]),1)*IF(DATOS!BH$5="Sí",1/DATOS_[[% normaliz]:[% normaliz]],1)*(DATOS_[Conc.Sal.30])))))))), 0)</f>
        <v>0</v>
      </c>
      <c r="AN74" s="251" t="n">
        <f aca="false" t="array" ref="AN74:AN74">IFERROR( MEDIAN(IF(DATOS_[Sexo]=$B74,IF(DATOS_[[AGRUP. VALOR. PTO.]:[AGRUP. VALOR. PTO.]]=$B72,IF(DATOS_[Check Equiparado]="Sí",IF(DATOS_[Check Periodo Ref.]="Dentro",DATOS_[Tot COMPL.SAL Eq],0))))), 0)</f>
        <v>0</v>
      </c>
      <c r="AO74" s="252" t="n">
        <f aca="false" t="array" ref="AO74:AO74">IFERROR( MEDIAN(IF(DATOS_[Sexo]=$B74,IF(DATOS_[[AGRUP. VALOR. PTO.]:[AGRUP. VALOR. PTO.]]=$B72,IF(DATOS_[Check Equiparado]="Sí",IF(DATOS_[Check Periodo Ref.]="Dentro",DATOS_[TOTAL SALARIO Eq],0))))), 0)</f>
        <v>0</v>
      </c>
      <c r="AP74" s="259" t="n">
        <f aca="false" t="array" ref="AP74:AP74">IFERROR( (MEDIAN((IF(DATOS_[[Sexo]:[Sexo]]=$B74,IF(DATOS_[[AGRUP. VALOR. PTO.]:[AGRUP. VALOR. PTO.]]=$B73,IF(DATOS_[[Check Periodo Ref.]:[Check Periodo Ref.]]="Dentro",IF(DATOS_[[Check Equiparado]:[Check Equiparado]]="Sí",IF(DATOS!BI$4="Sí",(1/DATOS_[[% anualiz]:[% anualiz]]),1)*IF(DATOS!BI$5="Sí",1/DATOS_[[% normaliz]:[% normaliz]],1)*(DATOS_[C.Extra.01])))))))), 0)</f>
        <v>0</v>
      </c>
      <c r="AQ74" s="259" t="n">
        <f aca="false" t="array" ref="AQ74:AQ74">IFERROR( (MEDIAN((IF(DATOS_[[Sexo]:[Sexo]]=$B74,IF(DATOS_[[AGRUP. VALOR. PTO.]:[AGRUP. VALOR. PTO.]]=$B73,IF(DATOS_[[Check Periodo Ref.]:[Check Periodo Ref.]]="Dentro",IF(DATOS_[[Check Equiparado]:[Check Equiparado]]="Sí",IF(DATOS!BJ$4="Sí",(1/DATOS_[[% anualiz]:[% anualiz]]),1)*IF(DATOS!BJ$5="Sí",1/DATOS_[[% normaliz]:[% normaliz]],1)*(DATOS_[C.Extra.02])))))))), 0)</f>
        <v>0</v>
      </c>
      <c r="AR74" s="259" t="n">
        <f aca="false" t="array" ref="AR74:AR74">IFERROR( (MEDIAN((IF(DATOS_[[Sexo]:[Sexo]]=$B74,IF(DATOS_[[AGRUP. VALOR. PTO.]:[AGRUP. VALOR. PTO.]]=$B73,IF(DATOS_[[Check Periodo Ref.]:[Check Periodo Ref.]]="Dentro",IF(DATOS_[[Check Equiparado]:[Check Equiparado]]="Sí",IF(DATOS!BK$4="Sí",(1/DATOS_[[% anualiz]:[% anualiz]]),1)*IF(DATOS!BK$5="Sí",1/DATOS_[[% normaliz]:[% normaliz]],1)*(DATOS_[C.Extra.03])))))))), 0)</f>
        <v>0</v>
      </c>
      <c r="AS74" s="259" t="n">
        <f aca="false" t="array" ref="AS74:AS74">IFERROR( (MEDIAN((IF(DATOS_[[Sexo]:[Sexo]]=$B74,IF(DATOS_[[AGRUP. VALOR. PTO.]:[AGRUP. VALOR. PTO.]]=$B73,IF(DATOS_[[Check Periodo Ref.]:[Check Periodo Ref.]]="Dentro",IF(DATOS_[[Check Equiparado]:[Check Equiparado]]="Sí",IF(DATOS!BL$4="Sí",(1/DATOS_[[% anualiz]:[% anualiz]]),1)*IF(DATOS!BL$5="Sí",1/DATOS_[[% normaliz]:[% normaliz]],1)*(DATOS_[C.Extra.04])))))))), 0)</f>
        <v>0</v>
      </c>
      <c r="AT74" s="259" t="n">
        <f aca="false" t="array" ref="AT74:AT74">IFERROR( (MEDIAN((IF(DATOS_[[Sexo]:[Sexo]]=$B74,IF(DATOS_[[AGRUP. VALOR. PTO.]:[AGRUP. VALOR. PTO.]]=$B73,IF(DATOS_[[Check Periodo Ref.]:[Check Periodo Ref.]]="Dentro",IF(DATOS_[[Check Equiparado]:[Check Equiparado]]="Sí",IF(DATOS!BM$4="Sí",(1/DATOS_[[% anualiz]:[% anualiz]]),1)*IF(DATOS!BM$5="Sí",1/DATOS_[[% normaliz]:[% normaliz]],1)*(DATOS_[C.Extra.05])))))))), 0)</f>
        <v>0</v>
      </c>
      <c r="AU74" s="254" t="n">
        <f aca="false" t="array" ref="AU74:AU74">IFERROR( MEDIAN(IF(DATOS_[Sexo]=$B74,IF(DATOS_[[AGRUP. VALOR. PTO.]:[AGRUP. VALOR. PTO.]]=$B72,IF(DATOS_[Check Equiparado]="Sí",IF(DATOS_[Check Periodo Ref.]="Dentro",DATOS_[Tot Extrasalarial Eq],0))))), 0)</f>
        <v>0</v>
      </c>
      <c r="AV74" s="255" t="n">
        <f aca="false" t="array" ref="AV74:AV74">IFERROR( MEDIAN(IF(DATOS_[Sexo]=$B74,IF(DATOS_[[AGRUP. VALOR. PTO.]:[AGRUP. VALOR. PTO.]]=$B72,IF(DATOS_[Check Equiparado]="Sí",IF(DATOS_[Check Periodo Ref.]="Dentro",DATOS_[TOTAL Retrib Eq],0))))), 0)</f>
        <v>0</v>
      </c>
    </row>
    <row r="75" customFormat="false" ht="15.75" hidden="false" customHeight="false" outlineLevel="0" collapsed="false">
      <c r="A75" s="217" t="str">
        <f aca="false">+A76</f>
        <v>[ocultar]</v>
      </c>
      <c r="B75" s="320" t="s">
        <v>229</v>
      </c>
      <c r="C75" s="236"/>
      <c r="D75" s="237"/>
      <c r="E75" s="237"/>
      <c r="F75" s="237"/>
      <c r="G75" s="237"/>
      <c r="H75" s="237"/>
      <c r="I75" s="238" t="str">
        <f aca="false">IFERROR((I76-I77)/I76,"")</f>
        <v/>
      </c>
      <c r="J75" s="239" t="str">
        <f aca="false">IFERROR((J76-J77)/J76,"")</f>
        <v/>
      </c>
      <c r="K75" s="239" t="str">
        <f aca="false">IFERROR((K76-K77)/K76,"")</f>
        <v/>
      </c>
      <c r="L75" s="239" t="str">
        <f aca="false">IFERROR((L76-L77)/L76,"")</f>
        <v/>
      </c>
      <c r="M75" s="239" t="str">
        <f aca="false">IFERROR((M76-M77)/M76,"")</f>
        <v/>
      </c>
      <c r="N75" s="239" t="str">
        <f aca="false">IFERROR((N76-N77)/N76,"")</f>
        <v/>
      </c>
      <c r="O75" s="239" t="str">
        <f aca="false">IFERROR((O76-O77)/O76,"")</f>
        <v/>
      </c>
      <c r="P75" s="239" t="str">
        <f aca="false">IFERROR((P76-P77)/P76,"")</f>
        <v/>
      </c>
      <c r="Q75" s="239" t="str">
        <f aca="false">IFERROR((Q76-Q77)/Q76,"")</f>
        <v/>
      </c>
      <c r="R75" s="239" t="str">
        <f aca="false">IFERROR((R76-R77)/R76,"")</f>
        <v/>
      </c>
      <c r="S75" s="239" t="str">
        <f aca="false">IFERROR((S76-S77)/S76,"")</f>
        <v/>
      </c>
      <c r="T75" s="239" t="str">
        <f aca="false">IFERROR((T76-T77)/T76,"")</f>
        <v/>
      </c>
      <c r="U75" s="239" t="str">
        <f aca="false">IFERROR((U76-U77)/U76,"")</f>
        <v/>
      </c>
      <c r="V75" s="239" t="str">
        <f aca="false">IFERROR((V76-V77)/V76,"")</f>
        <v/>
      </c>
      <c r="W75" s="239" t="str">
        <f aca="false">IFERROR((W76-W77)/W76,"")</f>
        <v/>
      </c>
      <c r="X75" s="239" t="str">
        <f aca="false">IFERROR((X76-X77)/X76,"")</f>
        <v/>
      </c>
      <c r="Y75" s="239" t="str">
        <f aca="false">IFERROR((Y76-Y77)/Y76,"")</f>
        <v/>
      </c>
      <c r="Z75" s="240" t="str">
        <f aca="false">IFERROR((Z76-Z77)/Z76,"")</f>
        <v/>
      </c>
      <c r="AA75" s="240" t="str">
        <f aca="false">IFERROR((AA76-AA77)/AA76,"")</f>
        <v/>
      </c>
      <c r="AB75" s="240" t="str">
        <f aca="false">IFERROR((AB76-AB77)/AB76,"")</f>
        <v/>
      </c>
      <c r="AC75" s="240" t="str">
        <f aca="false">IFERROR((AC76-AC77)/AC76,"")</f>
        <v/>
      </c>
      <c r="AD75" s="240" t="str">
        <f aca="false">IFERROR((AD76-AD77)/AD76,"")</f>
        <v/>
      </c>
      <c r="AE75" s="240" t="str">
        <f aca="false">IFERROR((AE76-AE77)/AE76,"")</f>
        <v/>
      </c>
      <c r="AF75" s="240" t="str">
        <f aca="false">IFERROR((AF76-AF77)/AF76,"")</f>
        <v/>
      </c>
      <c r="AG75" s="240" t="str">
        <f aca="false">IFERROR((AG76-AG77)/AG76,"")</f>
        <v/>
      </c>
      <c r="AH75" s="240" t="str">
        <f aca="false">IFERROR((AH76-AH77)/AH76,"")</f>
        <v/>
      </c>
      <c r="AI75" s="240" t="str">
        <f aca="false">IFERROR((AI76-AI77)/AI76,"")</f>
        <v/>
      </c>
      <c r="AJ75" s="240" t="str">
        <f aca="false">IFERROR((AJ76-AJ77)/AJ76,"")</f>
        <v/>
      </c>
      <c r="AK75" s="240" t="str">
        <f aca="false">IFERROR((AK76-AK77)/AK76,"")</f>
        <v/>
      </c>
      <c r="AL75" s="240" t="str">
        <f aca="false">IFERROR((AL76-AL77)/AL76,"")</f>
        <v/>
      </c>
      <c r="AM75" s="240" t="str">
        <f aca="false">IFERROR((AM76-AM77)/AM76,"")</f>
        <v/>
      </c>
      <c r="AN75" s="241" t="str">
        <f aca="false">IFERROR((AN76-AN77)/AN76,"")</f>
        <v/>
      </c>
      <c r="AO75" s="242" t="str">
        <f aca="false">IFERROR((AO76-AO77)/AO76,"")</f>
        <v/>
      </c>
      <c r="AP75" s="243" t="str">
        <f aca="false">IFERROR((AP76-AP77)/AP76,"")</f>
        <v/>
      </c>
      <c r="AQ75" s="243" t="str">
        <f aca="false">IFERROR((AQ76-AQ77)/AQ76,"")</f>
        <v/>
      </c>
      <c r="AR75" s="243" t="str">
        <f aca="false">IFERROR((AR76-AR77)/AR76,"")</f>
        <v/>
      </c>
      <c r="AS75" s="243" t="str">
        <f aca="false">IFERROR((AS76-AS77)/AS76,"")</f>
        <v/>
      </c>
      <c r="AT75" s="243" t="str">
        <f aca="false">IFERROR((AT76-AT77)/AT76,"")</f>
        <v/>
      </c>
      <c r="AU75" s="244" t="str">
        <f aca="false">IFERROR((AU76-AU77)/AU76,"")</f>
        <v/>
      </c>
      <c r="AV75" s="245" t="str">
        <f aca="false">IFERROR((AV76-AV77)/AV76,"")</f>
        <v/>
      </c>
    </row>
    <row r="76" customFormat="false" ht="14.25" hidden="false" customHeight="false" outlineLevel="0" collapsed="false">
      <c r="A76" s="217" t="str">
        <f aca="false">+IF(C76+C77=0,"[ocultar]","")</f>
        <v>[ocultar]</v>
      </c>
      <c r="B76" s="323" t="s">
        <v>371</v>
      </c>
      <c r="C76" s="247" t="n">
        <f aca="false" t="array" ref="C76:C76">SUM(IF($B76=DATOS_[Sexo], IF($B75=DATOS_[AGRUP. VALOR. PTO.], IF("Dentro"=DATOS_[Check Periodo Ref.], 1/(COUNTIFS(DATOS_[Sexo],$B76,DATOS_[AGRUP. VALOR. PTO.],$B75,DATOS_[Check Periodo Ref.],"Dentro",DATOS_[id],DATOS_[id]))))))</f>
        <v>0</v>
      </c>
      <c r="D76" s="248" t="n">
        <f aca="false">COUNTIFS(DATOS_[AGRUP. VALOR. PTO.],$B75,DATOS_[Sexo],$B76,DATOS_[Check Periodo Ref.],"Dentro")</f>
        <v>0</v>
      </c>
      <c r="E76" s="248" t="n">
        <f aca="false">COUNTIFS(DATOS_[AGRUP. VALOR. PTO.],$B75,DATOS_[Sexo],$B76,DATOS_[Check Periodo Ref.],"Dentro",DATOS_[Check Nº SC Norm],"Sí")</f>
        <v>0</v>
      </c>
      <c r="F76" s="248" t="n">
        <f aca="false">COUNTIFS(DATOS_[AGRUP. VALOR. PTO.],$B75,DATOS_[Sexo],$B76,DATOS_[Check Periodo Ref.],"Dentro",DATOS_[Check Nº SC Anualiz],"Sí")</f>
        <v>0</v>
      </c>
      <c r="G76" s="248" t="n">
        <f aca="false">COUNTIFS(DATOS_[AGRUP. VALOR. PTO.],$B75,DATOS_[Sexo],$B76,DATOS_[Check Periodo Ref.],"Dentro",DATOS_[Check Nº SC Norm y Anualiz],"Sí")</f>
        <v>0</v>
      </c>
      <c r="H76" s="248" t="n">
        <f aca="false">COUNTIFS(DATOS_[AGRUP. VALOR. PTO.],$B75,DATOS_[Sexo],$B76,DATOS_[Check Periodo Ref.],"Dentro",DATOS_[Check Equiparación],"Sí")</f>
        <v>0</v>
      </c>
      <c r="I76" s="249" t="n">
        <f aca="false" t="array" ref="I76:I76">IFERROR( MEDIAN(IF(DATOS_[Sexo]=$B76,IF(DATOS_[[AGRUP. VALOR. PTO.]:[AGRUP. VALOR. PTO.]]=$B75,IF(DATOS_[Check Equiparado]="Sí",IF(DATOS_[Check Periodo Ref.]="Dentro",DATOS_[SALARIO BASE Eq],0))))), 0)</f>
        <v>0</v>
      </c>
      <c r="J76" s="250" t="n">
        <f aca="false" t="array" ref="J76:J76">IFERROR( (MEDIAN((IF(DATOS_[[Sexo]:[Sexo]]=$B76,IF(DATOS_[[AGRUP. VALOR. PTO.]:[AGRUP. VALOR. PTO.]]=$B75,IF(DATOS_[[Check Periodo Ref.]:[Check Periodo Ref.]]="Dentro",IF(DATOS_[[Check Equiparado]:[Check Equiparado]]="Sí",IF(DATOS!AE$4="Sí",(1/DATOS_[[% anualiz]:[% anualiz]]),1)*IF(DATOS!AE$5="Sí",1/DATOS_[[% normaliz]:[% normaliz]],1)*(DATOS_[Conc.Sal.01])))))))), 0)</f>
        <v>0</v>
      </c>
      <c r="K76" s="250" t="n">
        <f aca="false" t="array" ref="K76:K76">IFERROR( (MEDIAN((IF(DATOS_[[Sexo]:[Sexo]]=$B76,IF(DATOS_[[AGRUP. VALOR. PTO.]:[AGRUP. VALOR. PTO.]]=$B75,IF(DATOS_[[Check Periodo Ref.]:[Check Periodo Ref.]]="Dentro",IF(DATOS_[[Check Equiparado]:[Check Equiparado]]="Sí",IF(DATOS!AF$4="Sí",(1/DATOS_[[% anualiz]:[% anualiz]]),1)*IF(DATOS!AF$5="Sí",1/DATOS_[[% normaliz]:[% normaliz]],1)*(DATOS_[Conc.Sal.02])))))))), 0)</f>
        <v>0</v>
      </c>
      <c r="L76" s="250" t="n">
        <f aca="false" t="array" ref="L76:L76">IFERROR( (MEDIAN((IF(DATOS_[[Sexo]:[Sexo]]=$B76,IF(DATOS_[[AGRUP. VALOR. PTO.]:[AGRUP. VALOR. PTO.]]=$B75,IF(DATOS_[[Check Periodo Ref.]:[Check Periodo Ref.]]="Dentro",IF(DATOS_[[Check Equiparado]:[Check Equiparado]]="Sí",IF(DATOS!AG$4="Sí",(1/DATOS_[[% anualiz]:[% anualiz]]),1)*IF(DATOS!AG$5="Sí",1/DATOS_[[% normaliz]:[% normaliz]],1)*(DATOS_[Conc.Sal.03])))))))), 0)</f>
        <v>0</v>
      </c>
      <c r="M76" s="250" t="n">
        <f aca="false" t="array" ref="M76:M76">IFERROR( (MEDIAN((IF(DATOS_[[Sexo]:[Sexo]]=$B76,IF(DATOS_[[AGRUP. VALOR. PTO.]:[AGRUP. VALOR. PTO.]]=$B75,IF(DATOS_[[Check Periodo Ref.]:[Check Periodo Ref.]]="Dentro",IF(DATOS_[[Check Equiparado]:[Check Equiparado]]="Sí",IF(DATOS!AH$4="Sí",(1/DATOS_[[% anualiz]:[% anualiz]]),1)*IF(DATOS!AH$5="Sí",1/DATOS_[[% normaliz]:[% normaliz]],1)*(DATOS_[Conc.Sal.04])))))))), 0)</f>
        <v>0</v>
      </c>
      <c r="N76" s="250" t="n">
        <f aca="false" t="array" ref="N76:N76">IFERROR( (MEDIAN((IF(DATOS_[[Sexo]:[Sexo]]=$B76,IF(DATOS_[[AGRUP. VALOR. PTO.]:[AGRUP. VALOR. PTO.]]=$B75,IF(DATOS_[[Check Periodo Ref.]:[Check Periodo Ref.]]="Dentro",IF(DATOS_[[Check Equiparado]:[Check Equiparado]]="Sí",IF(DATOS!AI$4="Sí",(1/DATOS_[[% anualiz]:[% anualiz]]),1)*IF(DATOS!AI$5="Sí",1/DATOS_[[% normaliz]:[% normaliz]],1)*(DATOS_[Conc.Sal.05])))))))), 0)</f>
        <v>0</v>
      </c>
      <c r="O76" s="250" t="n">
        <f aca="false" t="array" ref="O76:O76">IFERROR( (MEDIAN((IF(DATOS_[[Sexo]:[Sexo]]=$B76,IF(DATOS_[[AGRUP. VALOR. PTO.]:[AGRUP. VALOR. PTO.]]=$B75,IF(DATOS_[[Check Periodo Ref.]:[Check Periodo Ref.]]="Dentro",IF(DATOS_[[Check Equiparado]:[Check Equiparado]]="Sí",IF(DATOS!AJ$4="Sí",(1/DATOS_[[% anualiz]:[% anualiz]]),1)*IF(DATOS!AJ$5="Sí",1/DATOS_[[% normaliz]:[% normaliz]],1)*(DATOS_[Conc.Sal.06])))))))), 0)</f>
        <v>0</v>
      </c>
      <c r="P76" s="250" t="n">
        <f aca="false" t="array" ref="P76:P76">IFERROR( (MEDIAN((IF(DATOS_[[Sexo]:[Sexo]]=$B76,IF(DATOS_[[AGRUP. VALOR. PTO.]:[AGRUP. VALOR. PTO.]]=$B75,IF(DATOS_[[Check Periodo Ref.]:[Check Periodo Ref.]]="Dentro",IF(DATOS_[[Check Equiparado]:[Check Equiparado]]="Sí",IF(DATOS!AK$4="Sí",(1/DATOS_[[% anualiz]:[% anualiz]]),1)*IF(DATOS!AK$5="Sí",1/DATOS_[[% normaliz]:[% normaliz]],1)*(DATOS_[Conc.Sal.07])))))))), 0)</f>
        <v>0</v>
      </c>
      <c r="Q76" s="250" t="n">
        <f aca="false" t="array" ref="Q76:Q76">IFERROR( (MEDIAN((IF(DATOS_[[Sexo]:[Sexo]]=$B76,IF(DATOS_[[AGRUP. VALOR. PTO.]:[AGRUP. VALOR. PTO.]]=$B75,IF(DATOS_[[Check Periodo Ref.]:[Check Periodo Ref.]]="Dentro",IF(DATOS_[[Check Equiparado]:[Check Equiparado]]="Sí",IF(DATOS!AL$4="Sí",(1/DATOS_[[% anualiz]:[% anualiz]]),1)*IF(DATOS!AL$5="Sí",1/DATOS_[[% normaliz]:[% normaliz]],1)*(DATOS_[Conc.Sal.08])))))))), 0)</f>
        <v>0</v>
      </c>
      <c r="R76" s="250" t="n">
        <f aca="false" t="array" ref="R76:R76">IFERROR( (MEDIAN((IF(DATOS_[[Sexo]:[Sexo]]=$B76,IF(DATOS_[[AGRUP. VALOR. PTO.]:[AGRUP. VALOR. PTO.]]=$B75,IF(DATOS_[[Check Periodo Ref.]:[Check Periodo Ref.]]="Dentro",IF(DATOS_[[Check Equiparado]:[Check Equiparado]]="Sí",IF(DATOS!AM$4="Sí",(1/DATOS_[[% anualiz]:[% anualiz]]),1)*IF(DATOS!AM$5="Sí",1/DATOS_[[% normaliz]:[% normaliz]],1)*(DATOS_[Conc.Sal.09])))))))), 0)</f>
        <v>0</v>
      </c>
      <c r="S76" s="250" t="n">
        <f aca="false" t="array" ref="S76:S76">IFERROR( (MEDIAN((IF(DATOS_[[Sexo]:[Sexo]]=$B76,IF(DATOS_[[AGRUP. VALOR. PTO.]:[AGRUP. VALOR. PTO.]]=$B75,IF(DATOS_[[Check Periodo Ref.]:[Check Periodo Ref.]]="Dentro",IF(DATOS_[[Check Equiparado]:[Check Equiparado]]="Sí",IF(DATOS!AN$4="Sí",(1/DATOS_[[% anualiz]:[% anualiz]]),1)*IF(DATOS!AN$5="Sí",1/DATOS_[[% normaliz]:[% normaliz]],1)*(DATOS_[Conc.Sal.10])))))))), 0)</f>
        <v>0</v>
      </c>
      <c r="T76" s="250" t="n">
        <f aca="false" t="array" ref="T76:T76">IFERROR( (MEDIAN((IF(DATOS_[[Sexo]:[Sexo]]=$B76,IF(DATOS_[[AGRUP. VALOR. PTO.]:[AGRUP. VALOR. PTO.]]=$B75,IF(DATOS_[[Check Periodo Ref.]:[Check Periodo Ref.]]="Dentro",IF(DATOS_[[Check Equiparado]:[Check Equiparado]]="Sí",IF(DATOS!AO$4="Sí",(1/DATOS_[[% anualiz]:[% anualiz]]),1)*IF(DATOS!AO$5="Sí",1/DATOS_[[% normaliz]:[% normaliz]],1)*(DATOS_[Conc.Sal.11])))))))), 0)</f>
        <v>0</v>
      </c>
      <c r="U76" s="250" t="n">
        <f aca="false" t="array" ref="U76:U76">IFERROR( (MEDIAN((IF(DATOS_[[Sexo]:[Sexo]]=$B76,IF(DATOS_[[AGRUP. VALOR. PTO.]:[AGRUP. VALOR. PTO.]]=$B75,IF(DATOS_[[Check Periodo Ref.]:[Check Periodo Ref.]]="Dentro",IF(DATOS_[[Check Equiparado]:[Check Equiparado]]="Sí",IF(DATOS!AP$4="Sí",(1/DATOS_[[% anualiz]:[% anualiz]]),1)*IF(DATOS!AP$5="Sí",1/DATOS_[[% normaliz]:[% normaliz]],1)*(DATOS_[Conc.Sal.12])))))))), 0)</f>
        <v>0</v>
      </c>
      <c r="V76" s="250" t="n">
        <f aca="false" t="array" ref="V76:V76">IFERROR( (MEDIAN((IF(DATOS_[[Sexo]:[Sexo]]=$B76,IF(DATOS_[[AGRUP. VALOR. PTO.]:[AGRUP. VALOR. PTO.]]=$B75,IF(DATOS_[[Check Periodo Ref.]:[Check Periodo Ref.]]="Dentro",IF(DATOS_[[Check Equiparado]:[Check Equiparado]]="Sí",IF(DATOS!AQ$4="Sí",(1/DATOS_[[% anualiz]:[% anualiz]]),1)*IF(DATOS!AQ$5="Sí",1/DATOS_[[% normaliz]:[% normaliz]],1)*(DATOS_[Conc.Sal.13])))))))), 0)</f>
        <v>0</v>
      </c>
      <c r="W76" s="250" t="n">
        <f aca="false" t="array" ref="W76:W76">IFERROR( (MEDIAN((IF(DATOS_[[Sexo]:[Sexo]]=$B76,IF(DATOS_[[AGRUP. VALOR. PTO.]:[AGRUP. VALOR. PTO.]]=$B75,IF(DATOS_[[Check Periodo Ref.]:[Check Periodo Ref.]]="Dentro",IF(DATOS_[[Check Equiparado]:[Check Equiparado]]="Sí",IF(DATOS!AR$4="Sí",(1/DATOS_[[% anualiz]:[% anualiz]]),1)*IF(DATOS!AR$5="Sí",1/DATOS_[[% normaliz]:[% normaliz]],1)*(DATOS_[Conc.Sal.14])))))))), 0)</f>
        <v>0</v>
      </c>
      <c r="X76" s="250" t="n">
        <f aca="false" t="array" ref="X76:X76">IFERROR( (MEDIAN((IF(DATOS_[[Sexo]:[Sexo]]=$B76,IF(DATOS_[[AGRUP. VALOR. PTO.]:[AGRUP. VALOR. PTO.]]=$B75,IF(DATOS_[[Check Periodo Ref.]:[Check Periodo Ref.]]="Dentro",IF(DATOS_[[Check Equiparado]:[Check Equiparado]]="Sí",IF(DATOS!AS$4="Sí",(1/DATOS_[[% anualiz]:[% anualiz]]),1)*IF(DATOS!AS$5="Sí",1/DATOS_[[% normaliz]:[% normaliz]],1)*(DATOS_[Conc.Sal.15])))))))), 0)</f>
        <v>0</v>
      </c>
      <c r="Y76" s="250" t="n">
        <f aca="false" t="array" ref="Y76:Y76">IFERROR( (MEDIAN((IF(DATOS_[[Sexo]:[Sexo]]=$B76,IF(DATOS_[[AGRUP. VALOR. PTO.]:[AGRUP. VALOR. PTO.]]=$B75,IF(DATOS_[[Check Periodo Ref.]:[Check Periodo Ref.]]="Dentro",IF(DATOS_[[Check Equiparado]:[Check Equiparado]]="Sí",IF(DATOS!AT$4="Sí",(1/DATOS_[[% anualiz]:[% anualiz]]),1)*IF(DATOS!AT$5="Sí",1/DATOS_[[% normaliz]:[% normaliz]],1)*(DATOS_[Conc.Sal.16])))))))), 0)</f>
        <v>0</v>
      </c>
      <c r="Z76" s="250" t="n">
        <f aca="false" t="array" ref="Z76:Z76">IFERROR( (MEDIAN((IF(DATOS_[[Sexo]:[Sexo]]=$B76,IF(DATOS_[[AGRUP. VALOR. PTO.]:[AGRUP. VALOR. PTO.]]=$B75,IF(DATOS_[[Check Periodo Ref.]:[Check Periodo Ref.]]="Dentro",IF(DATOS_[[Check Equiparado]:[Check Equiparado]]="Sí",IF(DATOS!AU$4="Sí",(1/DATOS_[[% anualiz]:[% anualiz]]),1)*IF(DATOS!AU$5="Sí",1/DATOS_[[% normaliz]:[% normaliz]],1)*(DATOS_[Conc.Sal.17])))))))), 0)</f>
        <v>0</v>
      </c>
      <c r="AA76" s="250" t="n">
        <f aca="false" t="array" ref="AA76:AA76">IFERROR( (MEDIAN((IF(DATOS_[[Sexo]:[Sexo]]=$B76,IF(DATOS_[[AGRUP. VALOR. PTO.]:[AGRUP. VALOR. PTO.]]=$B75,IF(DATOS_[[Check Periodo Ref.]:[Check Periodo Ref.]]="Dentro",IF(DATOS_[[Check Equiparado]:[Check Equiparado]]="Sí",IF(DATOS!AV$4="Sí",(1/DATOS_[[% anualiz]:[% anualiz]]),1)*IF(DATOS!AV$5="Sí",1/DATOS_[[% normaliz]:[% normaliz]],1)*(DATOS_[Conc.Sal.18])))))))), 0)</f>
        <v>0</v>
      </c>
      <c r="AB76" s="250" t="n">
        <f aca="false" t="array" ref="AB76:AB76">IFERROR( (MEDIAN((IF(DATOS_[[Sexo]:[Sexo]]=$B76,IF(DATOS_[[AGRUP. VALOR. PTO.]:[AGRUP. VALOR. PTO.]]=$B75,IF(DATOS_[[Check Periodo Ref.]:[Check Periodo Ref.]]="Dentro",IF(DATOS_[[Check Equiparado]:[Check Equiparado]]="Sí",IF(DATOS!AW$4="Sí",(1/DATOS_[[% anualiz]:[% anualiz]]),1)*IF(DATOS!AW$5="Sí",1/DATOS_[[% normaliz]:[% normaliz]],1)*(DATOS_[Conc.Sal.19])))))))), 0)</f>
        <v>0</v>
      </c>
      <c r="AC76" s="250" t="n">
        <f aca="false" t="array" ref="AC76:AC76">IFERROR( (MEDIAN((IF(DATOS_[[Sexo]:[Sexo]]=$B76,IF(DATOS_[[AGRUP. VALOR. PTO.]:[AGRUP. VALOR. PTO.]]=$B75,IF(DATOS_[[Check Periodo Ref.]:[Check Periodo Ref.]]="Dentro",IF(DATOS_[[Check Equiparado]:[Check Equiparado]]="Sí",IF(DATOS!AX$4="Sí",(1/DATOS_[[% anualiz]:[% anualiz]]),1)*IF(DATOS!AX$5="Sí",1/DATOS_[[% normaliz]:[% normaliz]],1)*(DATOS_[Conc.Sal.20])))))))), 0)</f>
        <v>0</v>
      </c>
      <c r="AD76" s="250" t="n">
        <f aca="false" t="array" ref="AD76:AD76">IFERROR( (MEDIAN((IF(DATOS_[[Sexo]:[Sexo]]=$B76,IF(DATOS_[[AGRUP. VALOR. PTO.]:[AGRUP. VALOR. PTO.]]=$B75,IF(DATOS_[[Check Periodo Ref.]:[Check Periodo Ref.]]="Dentro",IF(DATOS_[[Check Equiparado]:[Check Equiparado]]="Sí",IF(DATOS!AY$4="Sí",(1/DATOS_[[% anualiz]:[% anualiz]]),1)*IF(DATOS!AY$5="Sí",1/DATOS_[[% normaliz]:[% normaliz]],1)*(DATOS_[Conc.Sal.21])))))))), 0)</f>
        <v>0</v>
      </c>
      <c r="AE76" s="250" t="n">
        <f aca="false" t="array" ref="AE76:AE76">IFERROR( (MEDIAN((IF(DATOS_[[Sexo]:[Sexo]]=$B76,IF(DATOS_[[AGRUP. VALOR. PTO.]:[AGRUP. VALOR. PTO.]]=$B75,IF(DATOS_[[Check Periodo Ref.]:[Check Periodo Ref.]]="Dentro",IF(DATOS_[[Check Equiparado]:[Check Equiparado]]="Sí",IF(DATOS!AZ$4="Sí",(1/DATOS_[[% anualiz]:[% anualiz]]),1)*IF(DATOS!AZ$5="Sí",1/DATOS_[[% normaliz]:[% normaliz]],1)*(DATOS_[Conc.Sal.22])))))))), 0)</f>
        <v>0</v>
      </c>
      <c r="AF76" s="250" t="n">
        <f aca="false" t="array" ref="AF76:AF76">IFERROR( (MEDIAN((IF(DATOS_[[Sexo]:[Sexo]]=$B76,IF(DATOS_[[AGRUP. VALOR. PTO.]:[AGRUP. VALOR. PTO.]]=$B75,IF(DATOS_[[Check Periodo Ref.]:[Check Periodo Ref.]]="Dentro",IF(DATOS_[[Check Equiparado]:[Check Equiparado]]="Sí",IF(DATOS!BA$4="Sí",(1/DATOS_[[% anualiz]:[% anualiz]]),1)*IF(DATOS!BA$5="Sí",1/DATOS_[[% normaliz]:[% normaliz]],1)*(DATOS_[Conc.Sal.23])))))))), 0)</f>
        <v>0</v>
      </c>
      <c r="AG76" s="250" t="n">
        <f aca="false" t="array" ref="AG76:AG76">IFERROR( (MEDIAN((IF(DATOS_[[Sexo]:[Sexo]]=$B76,IF(DATOS_[[AGRUP. VALOR. PTO.]:[AGRUP. VALOR. PTO.]]=$B75,IF(DATOS_[[Check Periodo Ref.]:[Check Periodo Ref.]]="Dentro",IF(DATOS_[[Check Equiparado]:[Check Equiparado]]="Sí",IF(DATOS!BB$4="Sí",(1/DATOS_[[% anualiz]:[% anualiz]]),1)*IF(DATOS!BB$5="Sí",1/DATOS_[[% normaliz]:[% normaliz]],1)*(DATOS_[Conc.Sal.24])))))))), 0)</f>
        <v>0</v>
      </c>
      <c r="AH76" s="250" t="n">
        <f aca="false" t="array" ref="AH76:AH76">IFERROR( (MEDIAN((IF(DATOS_[[Sexo]:[Sexo]]=$B76,IF(DATOS_[[AGRUP. VALOR. PTO.]:[AGRUP. VALOR. PTO.]]=$B75,IF(DATOS_[[Check Periodo Ref.]:[Check Periodo Ref.]]="Dentro",IF(DATOS_[[Check Equiparado]:[Check Equiparado]]="Sí",IF(DATOS!BC$4="Sí",(1/DATOS_[[% anualiz]:[% anualiz]]),1)*IF(DATOS!BC$5="Sí",1/DATOS_[[% normaliz]:[% normaliz]],1)*(DATOS_[Conc.Sal.25])))))))), 0)</f>
        <v>0</v>
      </c>
      <c r="AI76" s="250" t="n">
        <f aca="false" t="array" ref="AI76:AI76">IFERROR( (MEDIAN((IF(DATOS_[[Sexo]:[Sexo]]=$B76,IF(DATOS_[[AGRUP. VALOR. PTO.]:[AGRUP. VALOR. PTO.]]=$B75,IF(DATOS_[[Check Periodo Ref.]:[Check Periodo Ref.]]="Dentro",IF(DATOS_[[Check Equiparado]:[Check Equiparado]]="Sí",IF(DATOS!BD$4="Sí",(1/DATOS_[[% anualiz]:[% anualiz]]),1)*IF(DATOS!BD$5="Sí",1/DATOS_[[% normaliz]:[% normaliz]],1)*(DATOS_[Conc.Sal.26])))))))), 0)</f>
        <v>0</v>
      </c>
      <c r="AJ76" s="250" t="n">
        <f aca="false" t="array" ref="AJ76:AJ76">IFERROR( (MEDIAN((IF(DATOS_[[Sexo]:[Sexo]]=$B76,IF(DATOS_[[AGRUP. VALOR. PTO.]:[AGRUP. VALOR. PTO.]]=$B75,IF(DATOS_[[Check Periodo Ref.]:[Check Periodo Ref.]]="Dentro",IF(DATOS_[[Check Equiparado]:[Check Equiparado]]="Sí",IF(DATOS!BE$4="Sí",(1/DATOS_[[% anualiz]:[% anualiz]]),1)*IF(DATOS!BE$5="Sí",1/DATOS_[[% normaliz]:[% normaliz]],1)*(DATOS_[Conc.Sal.27])))))))), 0)</f>
        <v>0</v>
      </c>
      <c r="AK76" s="250" t="n">
        <f aca="false" t="array" ref="AK76:AK76">IFERROR( (MEDIAN((IF(DATOS_[[Sexo]:[Sexo]]=$B76,IF(DATOS_[[AGRUP. VALOR. PTO.]:[AGRUP. VALOR. PTO.]]=$B75,IF(DATOS_[[Check Periodo Ref.]:[Check Periodo Ref.]]="Dentro",IF(DATOS_[[Check Equiparado]:[Check Equiparado]]="Sí",IF(DATOS!BF$4="Sí",(1/DATOS_[[% anualiz]:[% anualiz]]),1)*IF(DATOS!BF$5="Sí",1/DATOS_[[% normaliz]:[% normaliz]],1)*(DATOS_[Conc.Sal.28])))))))), 0)</f>
        <v>0</v>
      </c>
      <c r="AL76" s="250" t="n">
        <f aca="false" t="array" ref="AL76:AL76">IFERROR( (MEDIAN((IF(DATOS_[[Sexo]:[Sexo]]=$B76,IF(DATOS_[[AGRUP. VALOR. PTO.]:[AGRUP. VALOR. PTO.]]=$B75,IF(DATOS_[[Check Periodo Ref.]:[Check Periodo Ref.]]="Dentro",IF(DATOS_[[Check Equiparado]:[Check Equiparado]]="Sí",IF(DATOS!BG$4="Sí",(1/DATOS_[[% anualiz]:[% anualiz]]),1)*IF(DATOS!BG$5="Sí",1/DATOS_[[% normaliz]:[% normaliz]],1)*(DATOS_[Conc.Sal.29])))))))), 0)</f>
        <v>0</v>
      </c>
      <c r="AM76" s="250" t="n">
        <f aca="false" t="array" ref="AM76:AM76">IFERROR( (MEDIAN((IF(DATOS_[[Sexo]:[Sexo]]=$B76,IF(DATOS_[[AGRUP. VALOR. PTO.]:[AGRUP. VALOR. PTO.]]=$B75,IF(DATOS_[[Check Periodo Ref.]:[Check Periodo Ref.]]="Dentro",IF(DATOS_[[Check Equiparado]:[Check Equiparado]]="Sí",IF(DATOS!BH$4="Sí",(1/DATOS_[[% anualiz]:[% anualiz]]),1)*IF(DATOS!BH$5="Sí",1/DATOS_[[% normaliz]:[% normaliz]],1)*(DATOS_[Conc.Sal.30])))))))), 0)</f>
        <v>0</v>
      </c>
      <c r="AN76" s="251" t="n">
        <f aca="false" t="array" ref="AN76:AN76">IFERROR( MEDIAN(IF(DATOS_[Sexo]=$B76,IF(DATOS_[[AGRUP. VALOR. PTO.]:[AGRUP. VALOR. PTO.]]=$B75,IF(DATOS_[Check Equiparado]="Sí",IF(DATOS_[Check Periodo Ref.]="Dentro",DATOS_[Tot COMPL.SAL Eq],0))))), 0)</f>
        <v>0</v>
      </c>
      <c r="AO76" s="252" t="n">
        <f aca="false" t="array" ref="AO76:AO76">IFERROR( MEDIAN(IF(DATOS_[Sexo]=$B76,IF(DATOS_[[AGRUP. VALOR. PTO.]:[AGRUP. VALOR. PTO.]]=$B75,IF(DATOS_[Check Equiparado]="Sí",IF(DATOS_[Check Periodo Ref.]="Dentro",DATOS_[TOTAL SALARIO Eq],0))))), 0)</f>
        <v>0</v>
      </c>
      <c r="AP76" s="259" t="n">
        <f aca="false" t="array" ref="AP76:AP76">IFERROR( (MEDIAN((IF(DATOS_[[Sexo]:[Sexo]]=$B76,IF(DATOS_[[AGRUP. VALOR. PTO.]:[AGRUP. VALOR. PTO.]]=$B75,IF(DATOS_[[Check Periodo Ref.]:[Check Periodo Ref.]]="Dentro",IF(DATOS_[[Check Equiparado]:[Check Equiparado]]="Sí",IF(DATOS!BI$4="Sí",(1/DATOS_[[% anualiz]:[% anualiz]]),1)*IF(DATOS!BI$5="Sí",1/DATOS_[[% normaliz]:[% normaliz]],1)*(DATOS_[C.Extra.01])))))))), 0)</f>
        <v>0</v>
      </c>
      <c r="AQ76" s="259" t="n">
        <f aca="false" t="array" ref="AQ76:AQ76">IFERROR( (MEDIAN((IF(DATOS_[[Sexo]:[Sexo]]=$B76,IF(DATOS_[[AGRUP. VALOR. PTO.]:[AGRUP. VALOR. PTO.]]=$B75,IF(DATOS_[[Check Periodo Ref.]:[Check Periodo Ref.]]="Dentro",IF(DATOS_[[Check Equiparado]:[Check Equiparado]]="Sí",IF(DATOS!BJ$4="Sí",(1/DATOS_[[% anualiz]:[% anualiz]]),1)*IF(DATOS!BJ$5="Sí",1/DATOS_[[% normaliz]:[% normaliz]],1)*(DATOS_[C.Extra.02])))))))), 0)</f>
        <v>0</v>
      </c>
      <c r="AR76" s="259" t="n">
        <f aca="false" t="array" ref="AR76:AR76">IFERROR( (MEDIAN((IF(DATOS_[[Sexo]:[Sexo]]=$B76,IF(DATOS_[[AGRUP. VALOR. PTO.]:[AGRUP. VALOR. PTO.]]=$B75,IF(DATOS_[[Check Periodo Ref.]:[Check Periodo Ref.]]="Dentro",IF(DATOS_[[Check Equiparado]:[Check Equiparado]]="Sí",IF(DATOS!BK$4="Sí",(1/DATOS_[[% anualiz]:[% anualiz]]),1)*IF(DATOS!BK$5="Sí",1/DATOS_[[% normaliz]:[% normaliz]],1)*(DATOS_[C.Extra.03])))))))), 0)</f>
        <v>0</v>
      </c>
      <c r="AS76" s="259" t="n">
        <f aca="false" t="array" ref="AS76:AS76">IFERROR( (MEDIAN((IF(DATOS_[[Sexo]:[Sexo]]=$B76,IF(DATOS_[[AGRUP. VALOR. PTO.]:[AGRUP. VALOR. PTO.]]=$B75,IF(DATOS_[[Check Periodo Ref.]:[Check Periodo Ref.]]="Dentro",IF(DATOS_[[Check Equiparado]:[Check Equiparado]]="Sí",IF(DATOS!BL$4="Sí",(1/DATOS_[[% anualiz]:[% anualiz]]),1)*IF(DATOS!BL$5="Sí",1/DATOS_[[% normaliz]:[% normaliz]],1)*(DATOS_[C.Extra.04])))))))), 0)</f>
        <v>0</v>
      </c>
      <c r="AT76" s="259" t="n">
        <f aca="false" t="array" ref="AT76:AT76">IFERROR( (MEDIAN((IF(DATOS_[[Sexo]:[Sexo]]=$B76,IF(DATOS_[[AGRUP. VALOR. PTO.]:[AGRUP. VALOR. PTO.]]=$B75,IF(DATOS_[[Check Periodo Ref.]:[Check Periodo Ref.]]="Dentro",IF(DATOS_[[Check Equiparado]:[Check Equiparado]]="Sí",IF(DATOS!BM$4="Sí",(1/DATOS_[[% anualiz]:[% anualiz]]),1)*IF(DATOS!BM$5="Sí",1/DATOS_[[% normaliz]:[% normaliz]],1)*(DATOS_[C.Extra.05])))))))), 0)</f>
        <v>0</v>
      </c>
      <c r="AU76" s="254" t="n">
        <f aca="false" t="array" ref="AU76:AU76">IFERROR( MEDIAN(IF(DATOS_[Sexo]=$B76,IF(DATOS_[[AGRUP. VALOR. PTO.]:[AGRUP. VALOR. PTO.]]=$B75,IF(DATOS_[Check Equiparado]="Sí",IF(DATOS_[Check Periodo Ref.]="Dentro",DATOS_[Tot Extrasalarial Eq],0))))), 0)</f>
        <v>0</v>
      </c>
      <c r="AV76" s="255" t="n">
        <f aca="false" t="array" ref="AV76:AV76">IFERROR( MEDIAN(IF(DATOS_[Sexo]=$B76,IF(DATOS_[[AGRUP. VALOR. PTO.]:[AGRUP. VALOR. PTO.]]=$B75,IF(DATOS_[Check Equiparado]="Sí",IF(DATOS_[Check Periodo Ref.]="Dentro",DATOS_[TOTAL Retrib Eq],0))))), 0)</f>
        <v>0</v>
      </c>
    </row>
    <row r="77" customFormat="false" ht="14.25" hidden="false" customHeight="false" outlineLevel="0" collapsed="false">
      <c r="A77" s="217" t="str">
        <f aca="false">+A76</f>
        <v>[ocultar]</v>
      </c>
      <c r="B77" s="323" t="s">
        <v>372</v>
      </c>
      <c r="C77" s="247" t="n">
        <f aca="false" t="array" ref="C77:C77">SUM(IF($B77=DATOS_[Sexo], IF($B75=DATOS_[AGRUP. VALOR. PTO.], IF("Dentro"=DATOS_[Check Periodo Ref.], 1/(COUNTIFS(DATOS_[Sexo],$B77,DATOS_[AGRUP. VALOR. PTO.],$B75,DATOS_[Check Periodo Ref.],"Dentro",DATOS_[id],DATOS_[id]))))))</f>
        <v>0</v>
      </c>
      <c r="D77" s="248" t="n">
        <f aca="false">COUNTIFS(DATOS_[AGRUP. VALOR. PTO.],$B75,DATOS_[Sexo],$B77,DATOS_[Check Periodo Ref.],"Dentro")</f>
        <v>0</v>
      </c>
      <c r="E77" s="248" t="n">
        <f aca="false">COUNTIFS(DATOS_[AGRUP. VALOR. PTO.],$B75,DATOS_[Sexo],$B77,DATOS_[Check Periodo Ref.],"Dentro",DATOS_[Check Nº SC Norm],"Sí")</f>
        <v>0</v>
      </c>
      <c r="F77" s="248" t="n">
        <f aca="false">COUNTIFS(DATOS_[AGRUP. VALOR. PTO.],$B75,DATOS_[Sexo],$B77,DATOS_[Check Periodo Ref.],"Dentro",DATOS_[Check Nº SC Anualiz],"Sí")</f>
        <v>0</v>
      </c>
      <c r="G77" s="248" t="n">
        <f aca="false">COUNTIFS(DATOS_[AGRUP. VALOR. PTO.],$B75,DATOS_[Sexo],$B77,DATOS_[Check Periodo Ref.],"Dentro",DATOS_[Check Nº SC Norm y Anualiz],"Sí")</f>
        <v>0</v>
      </c>
      <c r="H77" s="248" t="n">
        <f aca="false">COUNTIFS(DATOS_[AGRUP. VALOR. PTO.],$B75,DATOS_[Sexo],$B77,DATOS_[Check Periodo Ref.],"Dentro",DATOS_[Check Equiparación],"Sí")</f>
        <v>0</v>
      </c>
      <c r="I77" s="249" t="n">
        <f aca="false" t="array" ref="I77:I77">IFERROR( MEDIAN(IF(DATOS_[Sexo]=$B77,IF(DATOS_[[AGRUP. VALOR. PTO.]:[AGRUP. VALOR. PTO.]]=$B75,IF(DATOS_[Check Equiparado]="Sí",IF(DATOS_[Check Periodo Ref.]="Dentro",DATOS_[SALARIO BASE Eq],0))))), 0)</f>
        <v>0</v>
      </c>
      <c r="J77" s="250" t="n">
        <f aca="false" t="array" ref="J77:J77">IFERROR( (MEDIAN((IF(DATOS_[[Sexo]:[Sexo]]=$B77,IF(DATOS_[[AGRUP. VALOR. PTO.]:[AGRUP. VALOR. PTO.]]=$B75,IF(DATOS_[[Check Periodo Ref.]:[Check Periodo Ref.]]="Dentro",IF(DATOS_[[Check Equiparado]:[Check Equiparado]]="Sí",IF(DATOS!AE$4="Sí",(1/DATOS_[[% anualiz]:[% anualiz]]),1)*IF(DATOS!AE$5="Sí",1/DATOS_[[% normaliz]:[% normaliz]],1)*(DATOS_[Conc.Sal.01])))))))), 0)</f>
        <v>0</v>
      </c>
      <c r="K77" s="250" t="n">
        <f aca="false" t="array" ref="K77:K77">IFERROR( (MEDIAN((IF(DATOS_[[Sexo]:[Sexo]]=$B77,IF(DATOS_[[AGRUP. VALOR. PTO.]:[AGRUP. VALOR. PTO.]]=$B75,IF(DATOS_[[Check Periodo Ref.]:[Check Periodo Ref.]]="Dentro",IF(DATOS_[[Check Equiparado]:[Check Equiparado]]="Sí",IF(DATOS!AF$4="Sí",(1/DATOS_[[% anualiz]:[% anualiz]]),1)*IF(DATOS!AF$5="Sí",1/DATOS_[[% normaliz]:[% normaliz]],1)*(DATOS_[Conc.Sal.02])))))))), 0)</f>
        <v>0</v>
      </c>
      <c r="L77" s="250" t="n">
        <f aca="false" t="array" ref="L77:L77">IFERROR( (MEDIAN((IF(DATOS_[[Sexo]:[Sexo]]=$B77,IF(DATOS_[[AGRUP. VALOR. PTO.]:[AGRUP. VALOR. PTO.]]=$B75,IF(DATOS_[[Check Periodo Ref.]:[Check Periodo Ref.]]="Dentro",IF(DATOS_[[Check Equiparado]:[Check Equiparado]]="Sí",IF(DATOS!AG$4="Sí",(1/DATOS_[[% anualiz]:[% anualiz]]),1)*IF(DATOS!AG$5="Sí",1/DATOS_[[% normaliz]:[% normaliz]],1)*(DATOS_[Conc.Sal.03])))))))), 0)</f>
        <v>0</v>
      </c>
      <c r="M77" s="250" t="n">
        <f aca="false" t="array" ref="M77:M77">IFERROR( (MEDIAN((IF(DATOS_[[Sexo]:[Sexo]]=$B77,IF(DATOS_[[AGRUP. VALOR. PTO.]:[AGRUP. VALOR. PTO.]]=$B75,IF(DATOS_[[Check Periodo Ref.]:[Check Periodo Ref.]]="Dentro",IF(DATOS_[[Check Equiparado]:[Check Equiparado]]="Sí",IF(DATOS!AH$4="Sí",(1/DATOS_[[% anualiz]:[% anualiz]]),1)*IF(DATOS!AH$5="Sí",1/DATOS_[[% normaliz]:[% normaliz]],1)*(DATOS_[Conc.Sal.04])))))))), 0)</f>
        <v>0</v>
      </c>
      <c r="N77" s="250" t="n">
        <f aca="false" t="array" ref="N77:N77">IFERROR( (MEDIAN((IF(DATOS_[[Sexo]:[Sexo]]=$B77,IF(DATOS_[[AGRUP. VALOR. PTO.]:[AGRUP. VALOR. PTO.]]=$B75,IF(DATOS_[[Check Periodo Ref.]:[Check Periodo Ref.]]="Dentro",IF(DATOS_[[Check Equiparado]:[Check Equiparado]]="Sí",IF(DATOS!AI$4="Sí",(1/DATOS_[[% anualiz]:[% anualiz]]),1)*IF(DATOS!AI$5="Sí",1/DATOS_[[% normaliz]:[% normaliz]],1)*(DATOS_[Conc.Sal.05])))))))), 0)</f>
        <v>0</v>
      </c>
      <c r="O77" s="250" t="n">
        <f aca="false" t="array" ref="O77:O77">IFERROR( (MEDIAN((IF(DATOS_[[Sexo]:[Sexo]]=$B77,IF(DATOS_[[AGRUP. VALOR. PTO.]:[AGRUP. VALOR. PTO.]]=$B75,IF(DATOS_[[Check Periodo Ref.]:[Check Periodo Ref.]]="Dentro",IF(DATOS_[[Check Equiparado]:[Check Equiparado]]="Sí",IF(DATOS!AJ$4="Sí",(1/DATOS_[[% anualiz]:[% anualiz]]),1)*IF(DATOS!AJ$5="Sí",1/DATOS_[[% normaliz]:[% normaliz]],1)*(DATOS_[Conc.Sal.06])))))))), 0)</f>
        <v>0</v>
      </c>
      <c r="P77" s="250" t="n">
        <f aca="false" t="array" ref="P77:P77">IFERROR( (MEDIAN((IF(DATOS_[[Sexo]:[Sexo]]=$B77,IF(DATOS_[[AGRUP. VALOR. PTO.]:[AGRUP. VALOR. PTO.]]=$B75,IF(DATOS_[[Check Periodo Ref.]:[Check Periodo Ref.]]="Dentro",IF(DATOS_[[Check Equiparado]:[Check Equiparado]]="Sí",IF(DATOS!AK$4="Sí",(1/DATOS_[[% anualiz]:[% anualiz]]),1)*IF(DATOS!AK$5="Sí",1/DATOS_[[% normaliz]:[% normaliz]],1)*(DATOS_[Conc.Sal.07])))))))), 0)</f>
        <v>0</v>
      </c>
      <c r="Q77" s="250" t="n">
        <f aca="false" t="array" ref="Q77:Q77">IFERROR( (MEDIAN((IF(DATOS_[[Sexo]:[Sexo]]=$B77,IF(DATOS_[[AGRUP. VALOR. PTO.]:[AGRUP. VALOR. PTO.]]=$B75,IF(DATOS_[[Check Periodo Ref.]:[Check Periodo Ref.]]="Dentro",IF(DATOS_[[Check Equiparado]:[Check Equiparado]]="Sí",IF(DATOS!AL$4="Sí",(1/DATOS_[[% anualiz]:[% anualiz]]),1)*IF(DATOS!AL$5="Sí",1/DATOS_[[% normaliz]:[% normaliz]],1)*(DATOS_[Conc.Sal.08])))))))), 0)</f>
        <v>0</v>
      </c>
      <c r="R77" s="250" t="n">
        <f aca="false" t="array" ref="R77:R77">IFERROR( (MEDIAN((IF(DATOS_[[Sexo]:[Sexo]]=$B77,IF(DATOS_[[AGRUP. VALOR. PTO.]:[AGRUP. VALOR. PTO.]]=$B75,IF(DATOS_[[Check Periodo Ref.]:[Check Periodo Ref.]]="Dentro",IF(DATOS_[[Check Equiparado]:[Check Equiparado]]="Sí",IF(DATOS!AM$4="Sí",(1/DATOS_[[% anualiz]:[% anualiz]]),1)*IF(DATOS!AM$5="Sí",1/DATOS_[[% normaliz]:[% normaliz]],1)*(DATOS_[Conc.Sal.09])))))))), 0)</f>
        <v>0</v>
      </c>
      <c r="S77" s="250" t="n">
        <f aca="false" t="array" ref="S77:S77">IFERROR( (MEDIAN((IF(DATOS_[[Sexo]:[Sexo]]=$B77,IF(DATOS_[[AGRUP. VALOR. PTO.]:[AGRUP. VALOR. PTO.]]=$B75,IF(DATOS_[[Check Periodo Ref.]:[Check Periodo Ref.]]="Dentro",IF(DATOS_[[Check Equiparado]:[Check Equiparado]]="Sí",IF(DATOS!AN$4="Sí",(1/DATOS_[[% anualiz]:[% anualiz]]),1)*IF(DATOS!AN$5="Sí",1/DATOS_[[% normaliz]:[% normaliz]],1)*(DATOS_[Conc.Sal.10])))))))), 0)</f>
        <v>0</v>
      </c>
      <c r="T77" s="250" t="n">
        <f aca="false" t="array" ref="T77:T77">IFERROR( (MEDIAN((IF(DATOS_[[Sexo]:[Sexo]]=$B77,IF(DATOS_[[AGRUP. VALOR. PTO.]:[AGRUP. VALOR. PTO.]]=$B75,IF(DATOS_[[Check Periodo Ref.]:[Check Periodo Ref.]]="Dentro",IF(DATOS_[[Check Equiparado]:[Check Equiparado]]="Sí",IF(DATOS!AO$4="Sí",(1/DATOS_[[% anualiz]:[% anualiz]]),1)*IF(DATOS!AO$5="Sí",1/DATOS_[[% normaliz]:[% normaliz]],1)*(DATOS_[Conc.Sal.11])))))))), 0)</f>
        <v>0</v>
      </c>
      <c r="U77" s="250" t="n">
        <f aca="false" t="array" ref="U77:U77">IFERROR( (MEDIAN((IF(DATOS_[[Sexo]:[Sexo]]=$B77,IF(DATOS_[[AGRUP. VALOR. PTO.]:[AGRUP. VALOR. PTO.]]=$B75,IF(DATOS_[[Check Periodo Ref.]:[Check Periodo Ref.]]="Dentro",IF(DATOS_[[Check Equiparado]:[Check Equiparado]]="Sí",IF(DATOS!AP$4="Sí",(1/DATOS_[[% anualiz]:[% anualiz]]),1)*IF(DATOS!AP$5="Sí",1/DATOS_[[% normaliz]:[% normaliz]],1)*(DATOS_[Conc.Sal.12])))))))), 0)</f>
        <v>0</v>
      </c>
      <c r="V77" s="250" t="n">
        <f aca="false" t="array" ref="V77:V77">IFERROR( (MEDIAN((IF(DATOS_[[Sexo]:[Sexo]]=$B77,IF(DATOS_[[AGRUP. VALOR. PTO.]:[AGRUP. VALOR. PTO.]]=$B75,IF(DATOS_[[Check Periodo Ref.]:[Check Periodo Ref.]]="Dentro",IF(DATOS_[[Check Equiparado]:[Check Equiparado]]="Sí",IF(DATOS!AQ$4="Sí",(1/DATOS_[[% anualiz]:[% anualiz]]),1)*IF(DATOS!AQ$5="Sí",1/DATOS_[[% normaliz]:[% normaliz]],1)*(DATOS_[Conc.Sal.13])))))))), 0)</f>
        <v>0</v>
      </c>
      <c r="W77" s="250" t="n">
        <f aca="false" t="array" ref="W77:W77">IFERROR( (MEDIAN((IF(DATOS_[[Sexo]:[Sexo]]=$B77,IF(DATOS_[[AGRUP. VALOR. PTO.]:[AGRUP. VALOR. PTO.]]=$B75,IF(DATOS_[[Check Periodo Ref.]:[Check Periodo Ref.]]="Dentro",IF(DATOS_[[Check Equiparado]:[Check Equiparado]]="Sí",IF(DATOS!AR$4="Sí",(1/DATOS_[[% anualiz]:[% anualiz]]),1)*IF(DATOS!AR$5="Sí",1/DATOS_[[% normaliz]:[% normaliz]],1)*(DATOS_[Conc.Sal.14])))))))), 0)</f>
        <v>0</v>
      </c>
      <c r="X77" s="250" t="n">
        <f aca="false" t="array" ref="X77:X77">IFERROR( (MEDIAN((IF(DATOS_[[Sexo]:[Sexo]]=$B77,IF(DATOS_[[AGRUP. VALOR. PTO.]:[AGRUP. VALOR. PTO.]]=$B75,IF(DATOS_[[Check Periodo Ref.]:[Check Periodo Ref.]]="Dentro",IF(DATOS_[[Check Equiparado]:[Check Equiparado]]="Sí",IF(DATOS!AS$4="Sí",(1/DATOS_[[% anualiz]:[% anualiz]]),1)*IF(DATOS!AS$5="Sí",1/DATOS_[[% normaliz]:[% normaliz]],1)*(DATOS_[Conc.Sal.15])))))))), 0)</f>
        <v>0</v>
      </c>
      <c r="Y77" s="250" t="n">
        <f aca="false" t="array" ref="Y77:Y77">IFERROR( (MEDIAN((IF(DATOS_[[Sexo]:[Sexo]]=$B77,IF(DATOS_[[AGRUP. VALOR. PTO.]:[AGRUP. VALOR. PTO.]]=$B75,IF(DATOS_[[Check Periodo Ref.]:[Check Periodo Ref.]]="Dentro",IF(DATOS_[[Check Equiparado]:[Check Equiparado]]="Sí",IF(DATOS!AT$4="Sí",(1/DATOS_[[% anualiz]:[% anualiz]]),1)*IF(DATOS!AT$5="Sí",1/DATOS_[[% normaliz]:[% normaliz]],1)*(DATOS_[Conc.Sal.16])))))))), 0)</f>
        <v>0</v>
      </c>
      <c r="Z77" s="250" t="n">
        <f aca="false" t="array" ref="Z77:Z77">IFERROR( (MEDIAN((IF(DATOS_[[Sexo]:[Sexo]]=$B77,IF(DATOS_[[AGRUP. VALOR. PTO.]:[AGRUP. VALOR. PTO.]]=$B75,IF(DATOS_[[Check Periodo Ref.]:[Check Periodo Ref.]]="Dentro",IF(DATOS_[[Check Equiparado]:[Check Equiparado]]="Sí",IF(DATOS!AU$4="Sí",(1/DATOS_[[% anualiz]:[% anualiz]]),1)*IF(DATOS!AU$5="Sí",1/DATOS_[[% normaliz]:[% normaliz]],1)*(DATOS_[Conc.Sal.17])))))))), 0)</f>
        <v>0</v>
      </c>
      <c r="AA77" s="250" t="n">
        <f aca="false" t="array" ref="AA77:AA77">IFERROR( (MEDIAN((IF(DATOS_[[Sexo]:[Sexo]]=$B77,IF(DATOS_[[AGRUP. VALOR. PTO.]:[AGRUP. VALOR. PTO.]]=$B75,IF(DATOS_[[Check Periodo Ref.]:[Check Periodo Ref.]]="Dentro",IF(DATOS_[[Check Equiparado]:[Check Equiparado]]="Sí",IF(DATOS!AV$4="Sí",(1/DATOS_[[% anualiz]:[% anualiz]]),1)*IF(DATOS!AV$5="Sí",1/DATOS_[[% normaliz]:[% normaliz]],1)*(DATOS_[Conc.Sal.18])))))))), 0)</f>
        <v>0</v>
      </c>
      <c r="AB77" s="250" t="n">
        <f aca="false" t="array" ref="AB77:AB77">IFERROR( (MEDIAN((IF(DATOS_[[Sexo]:[Sexo]]=$B77,IF(DATOS_[[AGRUP. VALOR. PTO.]:[AGRUP. VALOR. PTO.]]=$B75,IF(DATOS_[[Check Periodo Ref.]:[Check Periodo Ref.]]="Dentro",IF(DATOS_[[Check Equiparado]:[Check Equiparado]]="Sí",IF(DATOS!AW$4="Sí",(1/DATOS_[[% anualiz]:[% anualiz]]),1)*IF(DATOS!AW$5="Sí",1/DATOS_[[% normaliz]:[% normaliz]],1)*(DATOS_[Conc.Sal.19])))))))), 0)</f>
        <v>0</v>
      </c>
      <c r="AC77" s="250" t="n">
        <f aca="false" t="array" ref="AC77:AC77">IFERROR( (MEDIAN((IF(DATOS_[[Sexo]:[Sexo]]=$B77,IF(DATOS_[[AGRUP. VALOR. PTO.]:[AGRUP. VALOR. PTO.]]=$B75,IF(DATOS_[[Check Periodo Ref.]:[Check Periodo Ref.]]="Dentro",IF(DATOS_[[Check Equiparado]:[Check Equiparado]]="Sí",IF(DATOS!AX$4="Sí",(1/DATOS_[[% anualiz]:[% anualiz]]),1)*IF(DATOS!AX$5="Sí",1/DATOS_[[% normaliz]:[% normaliz]],1)*(DATOS_[Conc.Sal.20])))))))), 0)</f>
        <v>0</v>
      </c>
      <c r="AD77" s="250" t="n">
        <f aca="false" t="array" ref="AD77:AD77">IFERROR( (MEDIAN((IF(DATOS_[[Sexo]:[Sexo]]=$B77,IF(DATOS_[[AGRUP. VALOR. PTO.]:[AGRUP. VALOR. PTO.]]=$B75,IF(DATOS_[[Check Periodo Ref.]:[Check Periodo Ref.]]="Dentro",IF(DATOS_[[Check Equiparado]:[Check Equiparado]]="Sí",IF(DATOS!AY$4="Sí",(1/DATOS_[[% anualiz]:[% anualiz]]),1)*IF(DATOS!AY$5="Sí",1/DATOS_[[% normaliz]:[% normaliz]],1)*(DATOS_[Conc.Sal.21])))))))), 0)</f>
        <v>0</v>
      </c>
      <c r="AE77" s="250" t="n">
        <f aca="false" t="array" ref="AE77:AE77">IFERROR( (MEDIAN((IF(DATOS_[[Sexo]:[Sexo]]=$B77,IF(DATOS_[[AGRUP. VALOR. PTO.]:[AGRUP. VALOR. PTO.]]=$B75,IF(DATOS_[[Check Periodo Ref.]:[Check Periodo Ref.]]="Dentro",IF(DATOS_[[Check Equiparado]:[Check Equiparado]]="Sí",IF(DATOS!AZ$4="Sí",(1/DATOS_[[% anualiz]:[% anualiz]]),1)*IF(DATOS!AZ$5="Sí",1/DATOS_[[% normaliz]:[% normaliz]],1)*(DATOS_[Conc.Sal.22])))))))), 0)</f>
        <v>0</v>
      </c>
      <c r="AF77" s="250" t="n">
        <f aca="false" t="array" ref="AF77:AF77">IFERROR( (MEDIAN((IF(DATOS_[[Sexo]:[Sexo]]=$B77,IF(DATOS_[[AGRUP. VALOR. PTO.]:[AGRUP. VALOR. PTO.]]=$B75,IF(DATOS_[[Check Periodo Ref.]:[Check Periodo Ref.]]="Dentro",IF(DATOS_[[Check Equiparado]:[Check Equiparado]]="Sí",IF(DATOS!BA$4="Sí",(1/DATOS_[[% anualiz]:[% anualiz]]),1)*IF(DATOS!BA$5="Sí",1/DATOS_[[% normaliz]:[% normaliz]],1)*(DATOS_[Conc.Sal.23])))))))), 0)</f>
        <v>0</v>
      </c>
      <c r="AG77" s="250" t="n">
        <f aca="false" t="array" ref="AG77:AG77">IFERROR( (MEDIAN((IF(DATOS_[[Sexo]:[Sexo]]=$B77,IF(DATOS_[[AGRUP. VALOR. PTO.]:[AGRUP. VALOR. PTO.]]=$B75,IF(DATOS_[[Check Periodo Ref.]:[Check Periodo Ref.]]="Dentro",IF(DATOS_[[Check Equiparado]:[Check Equiparado]]="Sí",IF(DATOS!BB$4="Sí",(1/DATOS_[[% anualiz]:[% anualiz]]),1)*IF(DATOS!BB$5="Sí",1/DATOS_[[% normaliz]:[% normaliz]],1)*(DATOS_[Conc.Sal.24])))))))), 0)</f>
        <v>0</v>
      </c>
      <c r="AH77" s="250" t="n">
        <f aca="false" t="array" ref="AH77:AH77">IFERROR( (MEDIAN((IF(DATOS_[[Sexo]:[Sexo]]=$B77,IF(DATOS_[[AGRUP. VALOR. PTO.]:[AGRUP. VALOR. PTO.]]=$B75,IF(DATOS_[[Check Periodo Ref.]:[Check Periodo Ref.]]="Dentro",IF(DATOS_[[Check Equiparado]:[Check Equiparado]]="Sí",IF(DATOS!BC$4="Sí",(1/DATOS_[[% anualiz]:[% anualiz]]),1)*IF(DATOS!BC$5="Sí",1/DATOS_[[% normaliz]:[% normaliz]],1)*(DATOS_[Conc.Sal.25])))))))), 0)</f>
        <v>0</v>
      </c>
      <c r="AI77" s="250" t="n">
        <f aca="false" t="array" ref="AI77:AI77">IFERROR( (MEDIAN((IF(DATOS_[[Sexo]:[Sexo]]=$B77,IF(DATOS_[[AGRUP. VALOR. PTO.]:[AGRUP. VALOR. PTO.]]=$B75,IF(DATOS_[[Check Periodo Ref.]:[Check Periodo Ref.]]="Dentro",IF(DATOS_[[Check Equiparado]:[Check Equiparado]]="Sí",IF(DATOS!BD$4="Sí",(1/DATOS_[[% anualiz]:[% anualiz]]),1)*IF(DATOS!BD$5="Sí",1/DATOS_[[% normaliz]:[% normaliz]],1)*(DATOS_[Conc.Sal.26])))))))), 0)</f>
        <v>0</v>
      </c>
      <c r="AJ77" s="250" t="n">
        <f aca="false" t="array" ref="AJ77:AJ77">IFERROR( (MEDIAN((IF(DATOS_[[Sexo]:[Sexo]]=$B77,IF(DATOS_[[AGRUP. VALOR. PTO.]:[AGRUP. VALOR. PTO.]]=$B75,IF(DATOS_[[Check Periodo Ref.]:[Check Periodo Ref.]]="Dentro",IF(DATOS_[[Check Equiparado]:[Check Equiparado]]="Sí",IF(DATOS!BE$4="Sí",(1/DATOS_[[% anualiz]:[% anualiz]]),1)*IF(DATOS!BE$5="Sí",1/DATOS_[[% normaliz]:[% normaliz]],1)*(DATOS_[Conc.Sal.27])))))))), 0)</f>
        <v>0</v>
      </c>
      <c r="AK77" s="250" t="n">
        <f aca="false" t="array" ref="AK77:AK77">IFERROR( (MEDIAN((IF(DATOS_[[Sexo]:[Sexo]]=$B77,IF(DATOS_[[AGRUP. VALOR. PTO.]:[AGRUP. VALOR. PTO.]]=$B75,IF(DATOS_[[Check Periodo Ref.]:[Check Periodo Ref.]]="Dentro",IF(DATOS_[[Check Equiparado]:[Check Equiparado]]="Sí",IF(DATOS!BF$4="Sí",(1/DATOS_[[% anualiz]:[% anualiz]]),1)*IF(DATOS!BF$5="Sí",1/DATOS_[[% normaliz]:[% normaliz]],1)*(DATOS_[Conc.Sal.28])))))))), 0)</f>
        <v>0</v>
      </c>
      <c r="AL77" s="250" t="n">
        <f aca="false" t="array" ref="AL77:AL77">IFERROR( (MEDIAN((IF(DATOS_[[Sexo]:[Sexo]]=$B77,IF(DATOS_[[AGRUP. VALOR. PTO.]:[AGRUP. VALOR. PTO.]]=$B75,IF(DATOS_[[Check Periodo Ref.]:[Check Periodo Ref.]]="Dentro",IF(DATOS_[[Check Equiparado]:[Check Equiparado]]="Sí",IF(DATOS!BG$4="Sí",(1/DATOS_[[% anualiz]:[% anualiz]]),1)*IF(DATOS!BG$5="Sí",1/DATOS_[[% normaliz]:[% normaliz]],1)*(DATOS_[Conc.Sal.29])))))))), 0)</f>
        <v>0</v>
      </c>
      <c r="AM77" s="250" t="n">
        <f aca="false" t="array" ref="AM77:AM77">IFERROR( (MEDIAN((IF(DATOS_[[Sexo]:[Sexo]]=$B77,IF(DATOS_[[AGRUP. VALOR. PTO.]:[AGRUP. VALOR. PTO.]]=$B75,IF(DATOS_[[Check Periodo Ref.]:[Check Periodo Ref.]]="Dentro",IF(DATOS_[[Check Equiparado]:[Check Equiparado]]="Sí",IF(DATOS!BH$4="Sí",(1/DATOS_[[% anualiz]:[% anualiz]]),1)*IF(DATOS!BH$5="Sí",1/DATOS_[[% normaliz]:[% normaliz]],1)*(DATOS_[Conc.Sal.30])))))))), 0)</f>
        <v>0</v>
      </c>
      <c r="AN77" s="251" t="n">
        <f aca="false" t="array" ref="AN77:AN77">IFERROR( MEDIAN(IF(DATOS_[Sexo]=$B77,IF(DATOS_[[AGRUP. VALOR. PTO.]:[AGRUP. VALOR. PTO.]]=$B75,IF(DATOS_[Check Equiparado]="Sí",IF(DATOS_[Check Periodo Ref.]="Dentro",DATOS_[Tot COMPL.SAL Eq],0))))), 0)</f>
        <v>0</v>
      </c>
      <c r="AO77" s="252" t="n">
        <f aca="false" t="array" ref="AO77:AO77">IFERROR( MEDIAN(IF(DATOS_[Sexo]=$B77,IF(DATOS_[[AGRUP. VALOR. PTO.]:[AGRUP. VALOR. PTO.]]=$B75,IF(DATOS_[Check Equiparado]="Sí",IF(DATOS_[Check Periodo Ref.]="Dentro",DATOS_[TOTAL SALARIO Eq],0))))), 0)</f>
        <v>0</v>
      </c>
      <c r="AP77" s="259" t="n">
        <f aca="false" t="array" ref="AP77:AP77">IFERROR( (MEDIAN((IF(DATOS_[[Sexo]:[Sexo]]=$B77,IF(DATOS_[[AGRUP. VALOR. PTO.]:[AGRUP. VALOR. PTO.]]=$B76,IF(DATOS_[[Check Periodo Ref.]:[Check Periodo Ref.]]="Dentro",IF(DATOS_[[Check Equiparado]:[Check Equiparado]]="Sí",IF(DATOS!BI$4="Sí",(1/DATOS_[[% anualiz]:[% anualiz]]),1)*IF(DATOS!BI$5="Sí",1/DATOS_[[% normaliz]:[% normaliz]],1)*(DATOS_[C.Extra.01])))))))), 0)</f>
        <v>0</v>
      </c>
      <c r="AQ77" s="259" t="n">
        <f aca="false" t="array" ref="AQ77:AQ77">IFERROR( (MEDIAN((IF(DATOS_[[Sexo]:[Sexo]]=$B77,IF(DATOS_[[AGRUP. VALOR. PTO.]:[AGRUP. VALOR. PTO.]]=$B76,IF(DATOS_[[Check Periodo Ref.]:[Check Periodo Ref.]]="Dentro",IF(DATOS_[[Check Equiparado]:[Check Equiparado]]="Sí",IF(DATOS!BJ$4="Sí",(1/DATOS_[[% anualiz]:[% anualiz]]),1)*IF(DATOS!BJ$5="Sí",1/DATOS_[[% normaliz]:[% normaliz]],1)*(DATOS_[C.Extra.02])))))))), 0)</f>
        <v>0</v>
      </c>
      <c r="AR77" s="259" t="n">
        <f aca="false" t="array" ref="AR77:AR77">IFERROR( (MEDIAN((IF(DATOS_[[Sexo]:[Sexo]]=$B77,IF(DATOS_[[AGRUP. VALOR. PTO.]:[AGRUP. VALOR. PTO.]]=$B76,IF(DATOS_[[Check Periodo Ref.]:[Check Periodo Ref.]]="Dentro",IF(DATOS_[[Check Equiparado]:[Check Equiparado]]="Sí",IF(DATOS!BK$4="Sí",(1/DATOS_[[% anualiz]:[% anualiz]]),1)*IF(DATOS!BK$5="Sí",1/DATOS_[[% normaliz]:[% normaliz]],1)*(DATOS_[C.Extra.03])))))))), 0)</f>
        <v>0</v>
      </c>
      <c r="AS77" s="259" t="n">
        <f aca="false" t="array" ref="AS77:AS77">IFERROR( (MEDIAN((IF(DATOS_[[Sexo]:[Sexo]]=$B77,IF(DATOS_[[AGRUP. VALOR. PTO.]:[AGRUP. VALOR. PTO.]]=$B76,IF(DATOS_[[Check Periodo Ref.]:[Check Periodo Ref.]]="Dentro",IF(DATOS_[[Check Equiparado]:[Check Equiparado]]="Sí",IF(DATOS!BL$4="Sí",(1/DATOS_[[% anualiz]:[% anualiz]]),1)*IF(DATOS!BL$5="Sí",1/DATOS_[[% normaliz]:[% normaliz]],1)*(DATOS_[C.Extra.04])))))))), 0)</f>
        <v>0</v>
      </c>
      <c r="AT77" s="259" t="n">
        <f aca="false" t="array" ref="AT77:AT77">IFERROR( (MEDIAN((IF(DATOS_[[Sexo]:[Sexo]]=$B77,IF(DATOS_[[AGRUP. VALOR. PTO.]:[AGRUP. VALOR. PTO.]]=$B76,IF(DATOS_[[Check Periodo Ref.]:[Check Periodo Ref.]]="Dentro",IF(DATOS_[[Check Equiparado]:[Check Equiparado]]="Sí",IF(DATOS!BM$4="Sí",(1/DATOS_[[% anualiz]:[% anualiz]]),1)*IF(DATOS!BM$5="Sí",1/DATOS_[[% normaliz]:[% normaliz]],1)*(DATOS_[C.Extra.05])))))))), 0)</f>
        <v>0</v>
      </c>
      <c r="AU77" s="254" t="n">
        <f aca="false" t="array" ref="AU77:AU77">IFERROR( MEDIAN(IF(DATOS_[Sexo]=$B77,IF(DATOS_[[AGRUP. VALOR. PTO.]:[AGRUP. VALOR. PTO.]]=$B75,IF(DATOS_[Check Equiparado]="Sí",IF(DATOS_[Check Periodo Ref.]="Dentro",DATOS_[Tot Extrasalarial Eq],0))))), 0)</f>
        <v>0</v>
      </c>
      <c r="AV77" s="255" t="n">
        <f aca="false" t="array" ref="AV77:AV77">IFERROR( MEDIAN(IF(DATOS_[Sexo]=$B77,IF(DATOS_[[AGRUP. VALOR. PTO.]:[AGRUP. VALOR. PTO.]]=$B75,IF(DATOS_[Check Equiparado]="Sí",IF(DATOS_[Check Periodo Ref.]="Dentro",DATOS_[TOTAL Retrib Eq],0))))), 0)</f>
        <v>0</v>
      </c>
    </row>
    <row r="78" customFormat="false" ht="15.75" hidden="false" customHeight="false" outlineLevel="0" collapsed="false">
      <c r="A78" s="217" t="str">
        <f aca="false">+A79</f>
        <v>[ocultar]</v>
      </c>
      <c r="B78" s="320" t="s">
        <v>232</v>
      </c>
      <c r="C78" s="236"/>
      <c r="D78" s="237"/>
      <c r="E78" s="237"/>
      <c r="F78" s="237"/>
      <c r="G78" s="237"/>
      <c r="H78" s="237"/>
      <c r="I78" s="238" t="str">
        <f aca="false">IFERROR((I79-I80)/I79,"")</f>
        <v/>
      </c>
      <c r="J78" s="239" t="str">
        <f aca="false">IFERROR((J79-J80)/J79,"")</f>
        <v/>
      </c>
      <c r="K78" s="239" t="str">
        <f aca="false">IFERROR((K79-K80)/K79,"")</f>
        <v/>
      </c>
      <c r="L78" s="239" t="str">
        <f aca="false">IFERROR((L79-L80)/L79,"")</f>
        <v/>
      </c>
      <c r="M78" s="239" t="str">
        <f aca="false">IFERROR((M79-M80)/M79,"")</f>
        <v/>
      </c>
      <c r="N78" s="239" t="str">
        <f aca="false">IFERROR((N79-N80)/N79,"")</f>
        <v/>
      </c>
      <c r="O78" s="239" t="str">
        <f aca="false">IFERROR((O79-O80)/O79,"")</f>
        <v/>
      </c>
      <c r="P78" s="239" t="str">
        <f aca="false">IFERROR((P79-P80)/P79,"")</f>
        <v/>
      </c>
      <c r="Q78" s="239" t="str">
        <f aca="false">IFERROR((Q79-Q80)/Q79,"")</f>
        <v/>
      </c>
      <c r="R78" s="239" t="str">
        <f aca="false">IFERROR((R79-R80)/R79,"")</f>
        <v/>
      </c>
      <c r="S78" s="239" t="str">
        <f aca="false">IFERROR((S79-S80)/S79,"")</f>
        <v/>
      </c>
      <c r="T78" s="239" t="str">
        <f aca="false">IFERROR((T79-T80)/T79,"")</f>
        <v/>
      </c>
      <c r="U78" s="239" t="str">
        <f aca="false">IFERROR((U79-U80)/U79,"")</f>
        <v/>
      </c>
      <c r="V78" s="239" t="str">
        <f aca="false">IFERROR((V79-V80)/V79,"")</f>
        <v/>
      </c>
      <c r="W78" s="239" t="str">
        <f aca="false">IFERROR((W79-W80)/W79,"")</f>
        <v/>
      </c>
      <c r="X78" s="239" t="str">
        <f aca="false">IFERROR((X79-X80)/X79,"")</f>
        <v/>
      </c>
      <c r="Y78" s="239" t="str">
        <f aca="false">IFERROR((Y79-Y80)/Y79,"")</f>
        <v/>
      </c>
      <c r="Z78" s="240" t="str">
        <f aca="false">IFERROR((Z79-Z80)/Z79,"")</f>
        <v/>
      </c>
      <c r="AA78" s="240" t="str">
        <f aca="false">IFERROR((AA79-AA80)/AA79,"")</f>
        <v/>
      </c>
      <c r="AB78" s="240" t="str">
        <f aca="false">IFERROR((AB79-AB80)/AB79,"")</f>
        <v/>
      </c>
      <c r="AC78" s="240" t="str">
        <f aca="false">IFERROR((AC79-AC80)/AC79,"")</f>
        <v/>
      </c>
      <c r="AD78" s="240" t="str">
        <f aca="false">IFERROR((AD79-AD80)/AD79,"")</f>
        <v/>
      </c>
      <c r="AE78" s="240" t="str">
        <f aca="false">IFERROR((AE79-AE80)/AE79,"")</f>
        <v/>
      </c>
      <c r="AF78" s="240" t="str">
        <f aca="false">IFERROR((AF79-AF80)/AF79,"")</f>
        <v/>
      </c>
      <c r="AG78" s="240" t="str">
        <f aca="false">IFERROR((AG79-AG80)/AG79,"")</f>
        <v/>
      </c>
      <c r="AH78" s="240" t="str">
        <f aca="false">IFERROR((AH79-AH80)/AH79,"")</f>
        <v/>
      </c>
      <c r="AI78" s="240" t="str">
        <f aca="false">IFERROR((AI79-AI80)/AI79,"")</f>
        <v/>
      </c>
      <c r="AJ78" s="240" t="str">
        <f aca="false">IFERROR((AJ79-AJ80)/AJ79,"")</f>
        <v/>
      </c>
      <c r="AK78" s="240" t="str">
        <f aca="false">IFERROR((AK79-AK80)/AK79,"")</f>
        <v/>
      </c>
      <c r="AL78" s="240" t="str">
        <f aca="false">IFERROR((AL79-AL80)/AL79,"")</f>
        <v/>
      </c>
      <c r="AM78" s="240" t="str">
        <f aca="false">IFERROR((AM79-AM80)/AM79,"")</f>
        <v/>
      </c>
      <c r="AN78" s="241" t="str">
        <f aca="false">IFERROR((AN79-AN80)/AN79,"")</f>
        <v/>
      </c>
      <c r="AO78" s="242" t="str">
        <f aca="false">IFERROR((AO79-AO80)/AO79,"")</f>
        <v/>
      </c>
      <c r="AP78" s="243" t="str">
        <f aca="false">IFERROR((AP79-AP80)/AP79,"")</f>
        <v/>
      </c>
      <c r="AQ78" s="243" t="str">
        <f aca="false">IFERROR((AQ79-AQ80)/AQ79,"")</f>
        <v/>
      </c>
      <c r="AR78" s="243" t="str">
        <f aca="false">IFERROR((AR79-AR80)/AR79,"")</f>
        <v/>
      </c>
      <c r="AS78" s="243" t="str">
        <f aca="false">IFERROR((AS79-AS80)/AS79,"")</f>
        <v/>
      </c>
      <c r="AT78" s="243" t="str">
        <f aca="false">IFERROR((AT79-AT80)/AT79,"")</f>
        <v/>
      </c>
      <c r="AU78" s="244" t="str">
        <f aca="false">IFERROR((AU79-AU80)/AU79,"")</f>
        <v/>
      </c>
      <c r="AV78" s="245" t="str">
        <f aca="false">IFERROR((AV79-AV80)/AV79,"")</f>
        <v/>
      </c>
    </row>
    <row r="79" customFormat="false" ht="14.25" hidden="false" customHeight="false" outlineLevel="0" collapsed="false">
      <c r="A79" s="217" t="str">
        <f aca="false">+IF(C79+C80=0,"[ocultar]","")</f>
        <v>[ocultar]</v>
      </c>
      <c r="B79" s="323" t="s">
        <v>371</v>
      </c>
      <c r="C79" s="247" t="n">
        <f aca="false" t="array" ref="C79:C79">SUM(IF($B79=DATOS_[Sexo], IF($B78=DATOS_[AGRUP. VALOR. PTO.], IF("Dentro"=DATOS_[Check Periodo Ref.], 1/(COUNTIFS(DATOS_[Sexo],$B79,DATOS_[AGRUP. VALOR. PTO.],$B78,DATOS_[Check Periodo Ref.],"Dentro",DATOS_[id],DATOS_[id]))))))</f>
        <v>0</v>
      </c>
      <c r="D79" s="248" t="n">
        <f aca="false">COUNTIFS(DATOS_[AGRUP. VALOR. PTO.],$B78,DATOS_[Sexo],$B79,DATOS_[Check Periodo Ref.],"Dentro")</f>
        <v>0</v>
      </c>
      <c r="E79" s="248" t="n">
        <f aca="false">COUNTIFS(DATOS_[AGRUP. VALOR. PTO.],$B78,DATOS_[Sexo],$B79,DATOS_[Check Periodo Ref.],"Dentro",DATOS_[Check Nº SC Norm],"Sí")</f>
        <v>0</v>
      </c>
      <c r="F79" s="248" t="n">
        <f aca="false">COUNTIFS(DATOS_[AGRUP. VALOR. PTO.],$B78,DATOS_[Sexo],$B79,DATOS_[Check Periodo Ref.],"Dentro",DATOS_[Check Nº SC Anualiz],"Sí")</f>
        <v>0</v>
      </c>
      <c r="G79" s="248" t="n">
        <f aca="false">COUNTIFS(DATOS_[AGRUP. VALOR. PTO.],$B78,DATOS_[Sexo],$B79,DATOS_[Check Periodo Ref.],"Dentro",DATOS_[Check Nº SC Norm y Anualiz],"Sí")</f>
        <v>0</v>
      </c>
      <c r="H79" s="248" t="n">
        <f aca="false">COUNTIFS(DATOS_[AGRUP. VALOR. PTO.],$B78,DATOS_[Sexo],$B79,DATOS_[Check Periodo Ref.],"Dentro",DATOS_[Check Equiparación],"Sí")</f>
        <v>0</v>
      </c>
      <c r="I79" s="249" t="n">
        <f aca="false" t="array" ref="I79:I79">IFERROR( MEDIAN(IF(DATOS_[Sexo]=$B79,IF(DATOS_[[AGRUP. VALOR. PTO.]:[AGRUP. VALOR. PTO.]]=$B78,IF(DATOS_[Check Equiparado]="Sí",IF(DATOS_[Check Periodo Ref.]="Dentro",DATOS_[SALARIO BASE Eq],0))))), 0)</f>
        <v>0</v>
      </c>
      <c r="J79" s="250" t="n">
        <f aca="false" t="array" ref="J79:J79">IFERROR( (MEDIAN((IF(DATOS_[[Sexo]:[Sexo]]=$B79,IF(DATOS_[[AGRUP. VALOR. PTO.]:[AGRUP. VALOR. PTO.]]=$B78,IF(DATOS_[[Check Periodo Ref.]:[Check Periodo Ref.]]="Dentro",IF(DATOS_[[Check Equiparado]:[Check Equiparado]]="Sí",IF(DATOS!AE$4="Sí",(1/DATOS_[[% anualiz]:[% anualiz]]),1)*IF(DATOS!AE$5="Sí",1/DATOS_[[% normaliz]:[% normaliz]],1)*(DATOS_[Conc.Sal.01])))))))), 0)</f>
        <v>0</v>
      </c>
      <c r="K79" s="250" t="n">
        <f aca="false" t="array" ref="K79:K79">IFERROR( (MEDIAN((IF(DATOS_[[Sexo]:[Sexo]]=$B79,IF(DATOS_[[AGRUP. VALOR. PTO.]:[AGRUP. VALOR. PTO.]]=$B78,IF(DATOS_[[Check Periodo Ref.]:[Check Periodo Ref.]]="Dentro",IF(DATOS_[[Check Equiparado]:[Check Equiparado]]="Sí",IF(DATOS!AF$4="Sí",(1/DATOS_[[% anualiz]:[% anualiz]]),1)*IF(DATOS!AF$5="Sí",1/DATOS_[[% normaliz]:[% normaliz]],1)*(DATOS_[Conc.Sal.02])))))))), 0)</f>
        <v>0</v>
      </c>
      <c r="L79" s="250" t="n">
        <f aca="false" t="array" ref="L79:L79">IFERROR( (MEDIAN((IF(DATOS_[[Sexo]:[Sexo]]=$B79,IF(DATOS_[[AGRUP. VALOR. PTO.]:[AGRUP. VALOR. PTO.]]=$B78,IF(DATOS_[[Check Periodo Ref.]:[Check Periodo Ref.]]="Dentro",IF(DATOS_[[Check Equiparado]:[Check Equiparado]]="Sí",IF(DATOS!AG$4="Sí",(1/DATOS_[[% anualiz]:[% anualiz]]),1)*IF(DATOS!AG$5="Sí",1/DATOS_[[% normaliz]:[% normaliz]],1)*(DATOS_[Conc.Sal.03])))))))), 0)</f>
        <v>0</v>
      </c>
      <c r="M79" s="250" t="n">
        <f aca="false" t="array" ref="M79:M79">IFERROR( (MEDIAN((IF(DATOS_[[Sexo]:[Sexo]]=$B79,IF(DATOS_[[AGRUP. VALOR. PTO.]:[AGRUP. VALOR. PTO.]]=$B78,IF(DATOS_[[Check Periodo Ref.]:[Check Periodo Ref.]]="Dentro",IF(DATOS_[[Check Equiparado]:[Check Equiparado]]="Sí",IF(DATOS!AH$4="Sí",(1/DATOS_[[% anualiz]:[% anualiz]]),1)*IF(DATOS!AH$5="Sí",1/DATOS_[[% normaliz]:[% normaliz]],1)*(DATOS_[Conc.Sal.04])))))))), 0)</f>
        <v>0</v>
      </c>
      <c r="N79" s="250" t="n">
        <f aca="false" t="array" ref="N79:N79">IFERROR( (MEDIAN((IF(DATOS_[[Sexo]:[Sexo]]=$B79,IF(DATOS_[[AGRUP. VALOR. PTO.]:[AGRUP. VALOR. PTO.]]=$B78,IF(DATOS_[[Check Periodo Ref.]:[Check Periodo Ref.]]="Dentro",IF(DATOS_[[Check Equiparado]:[Check Equiparado]]="Sí",IF(DATOS!AI$4="Sí",(1/DATOS_[[% anualiz]:[% anualiz]]),1)*IF(DATOS!AI$5="Sí",1/DATOS_[[% normaliz]:[% normaliz]],1)*(DATOS_[Conc.Sal.05])))))))), 0)</f>
        <v>0</v>
      </c>
      <c r="O79" s="250" t="n">
        <f aca="false" t="array" ref="O79:O79">IFERROR( (MEDIAN((IF(DATOS_[[Sexo]:[Sexo]]=$B79,IF(DATOS_[[AGRUP. VALOR. PTO.]:[AGRUP. VALOR. PTO.]]=$B78,IF(DATOS_[[Check Periodo Ref.]:[Check Periodo Ref.]]="Dentro",IF(DATOS_[[Check Equiparado]:[Check Equiparado]]="Sí",IF(DATOS!AJ$4="Sí",(1/DATOS_[[% anualiz]:[% anualiz]]),1)*IF(DATOS!AJ$5="Sí",1/DATOS_[[% normaliz]:[% normaliz]],1)*(DATOS_[Conc.Sal.06])))))))), 0)</f>
        <v>0</v>
      </c>
      <c r="P79" s="250" t="n">
        <f aca="false" t="array" ref="P79:P79">IFERROR( (MEDIAN((IF(DATOS_[[Sexo]:[Sexo]]=$B79,IF(DATOS_[[AGRUP. VALOR. PTO.]:[AGRUP. VALOR. PTO.]]=$B78,IF(DATOS_[[Check Periodo Ref.]:[Check Periodo Ref.]]="Dentro",IF(DATOS_[[Check Equiparado]:[Check Equiparado]]="Sí",IF(DATOS!AK$4="Sí",(1/DATOS_[[% anualiz]:[% anualiz]]),1)*IF(DATOS!AK$5="Sí",1/DATOS_[[% normaliz]:[% normaliz]],1)*(DATOS_[Conc.Sal.07])))))))), 0)</f>
        <v>0</v>
      </c>
      <c r="Q79" s="250" t="n">
        <f aca="false" t="array" ref="Q79:Q79">IFERROR( (MEDIAN((IF(DATOS_[[Sexo]:[Sexo]]=$B79,IF(DATOS_[[AGRUP. VALOR. PTO.]:[AGRUP. VALOR. PTO.]]=$B78,IF(DATOS_[[Check Periodo Ref.]:[Check Periodo Ref.]]="Dentro",IF(DATOS_[[Check Equiparado]:[Check Equiparado]]="Sí",IF(DATOS!AL$4="Sí",(1/DATOS_[[% anualiz]:[% anualiz]]),1)*IF(DATOS!AL$5="Sí",1/DATOS_[[% normaliz]:[% normaliz]],1)*(DATOS_[Conc.Sal.08])))))))), 0)</f>
        <v>0</v>
      </c>
      <c r="R79" s="250" t="n">
        <f aca="false" t="array" ref="R79:R79">IFERROR( (MEDIAN((IF(DATOS_[[Sexo]:[Sexo]]=$B79,IF(DATOS_[[AGRUP. VALOR. PTO.]:[AGRUP. VALOR. PTO.]]=$B78,IF(DATOS_[[Check Periodo Ref.]:[Check Periodo Ref.]]="Dentro",IF(DATOS_[[Check Equiparado]:[Check Equiparado]]="Sí",IF(DATOS!AM$4="Sí",(1/DATOS_[[% anualiz]:[% anualiz]]),1)*IF(DATOS!AM$5="Sí",1/DATOS_[[% normaliz]:[% normaliz]],1)*(DATOS_[Conc.Sal.09])))))))), 0)</f>
        <v>0</v>
      </c>
      <c r="S79" s="250" t="n">
        <f aca="false" t="array" ref="S79:S79">IFERROR( (MEDIAN((IF(DATOS_[[Sexo]:[Sexo]]=$B79,IF(DATOS_[[AGRUP. VALOR. PTO.]:[AGRUP. VALOR. PTO.]]=$B78,IF(DATOS_[[Check Periodo Ref.]:[Check Periodo Ref.]]="Dentro",IF(DATOS_[[Check Equiparado]:[Check Equiparado]]="Sí",IF(DATOS!AN$4="Sí",(1/DATOS_[[% anualiz]:[% anualiz]]),1)*IF(DATOS!AN$5="Sí",1/DATOS_[[% normaliz]:[% normaliz]],1)*(DATOS_[Conc.Sal.10])))))))), 0)</f>
        <v>0</v>
      </c>
      <c r="T79" s="250" t="n">
        <f aca="false" t="array" ref="T79:T79">IFERROR( (MEDIAN((IF(DATOS_[[Sexo]:[Sexo]]=$B79,IF(DATOS_[[AGRUP. VALOR. PTO.]:[AGRUP. VALOR. PTO.]]=$B78,IF(DATOS_[[Check Periodo Ref.]:[Check Periodo Ref.]]="Dentro",IF(DATOS_[[Check Equiparado]:[Check Equiparado]]="Sí",IF(DATOS!AO$4="Sí",(1/DATOS_[[% anualiz]:[% anualiz]]),1)*IF(DATOS!AO$5="Sí",1/DATOS_[[% normaliz]:[% normaliz]],1)*(DATOS_[Conc.Sal.11])))))))), 0)</f>
        <v>0</v>
      </c>
      <c r="U79" s="250" t="n">
        <f aca="false" t="array" ref="U79:U79">IFERROR( (MEDIAN((IF(DATOS_[[Sexo]:[Sexo]]=$B79,IF(DATOS_[[AGRUP. VALOR. PTO.]:[AGRUP. VALOR. PTO.]]=$B78,IF(DATOS_[[Check Periodo Ref.]:[Check Periodo Ref.]]="Dentro",IF(DATOS_[[Check Equiparado]:[Check Equiparado]]="Sí",IF(DATOS!AP$4="Sí",(1/DATOS_[[% anualiz]:[% anualiz]]),1)*IF(DATOS!AP$5="Sí",1/DATOS_[[% normaliz]:[% normaliz]],1)*(DATOS_[Conc.Sal.12])))))))), 0)</f>
        <v>0</v>
      </c>
      <c r="V79" s="250" t="n">
        <f aca="false" t="array" ref="V79:V79">IFERROR( (MEDIAN((IF(DATOS_[[Sexo]:[Sexo]]=$B79,IF(DATOS_[[AGRUP. VALOR. PTO.]:[AGRUP. VALOR. PTO.]]=$B78,IF(DATOS_[[Check Periodo Ref.]:[Check Periodo Ref.]]="Dentro",IF(DATOS_[[Check Equiparado]:[Check Equiparado]]="Sí",IF(DATOS!AQ$4="Sí",(1/DATOS_[[% anualiz]:[% anualiz]]),1)*IF(DATOS!AQ$5="Sí",1/DATOS_[[% normaliz]:[% normaliz]],1)*(DATOS_[Conc.Sal.13])))))))), 0)</f>
        <v>0</v>
      </c>
      <c r="W79" s="250" t="n">
        <f aca="false" t="array" ref="W79:W79">IFERROR( (MEDIAN((IF(DATOS_[[Sexo]:[Sexo]]=$B79,IF(DATOS_[[AGRUP. VALOR. PTO.]:[AGRUP. VALOR. PTO.]]=$B78,IF(DATOS_[[Check Periodo Ref.]:[Check Periodo Ref.]]="Dentro",IF(DATOS_[[Check Equiparado]:[Check Equiparado]]="Sí",IF(DATOS!AR$4="Sí",(1/DATOS_[[% anualiz]:[% anualiz]]),1)*IF(DATOS!AR$5="Sí",1/DATOS_[[% normaliz]:[% normaliz]],1)*(DATOS_[Conc.Sal.14])))))))), 0)</f>
        <v>0</v>
      </c>
      <c r="X79" s="250" t="n">
        <f aca="false" t="array" ref="X79:X79">IFERROR( (MEDIAN((IF(DATOS_[[Sexo]:[Sexo]]=$B79,IF(DATOS_[[AGRUP. VALOR. PTO.]:[AGRUP. VALOR. PTO.]]=$B78,IF(DATOS_[[Check Periodo Ref.]:[Check Periodo Ref.]]="Dentro",IF(DATOS_[[Check Equiparado]:[Check Equiparado]]="Sí",IF(DATOS!AS$4="Sí",(1/DATOS_[[% anualiz]:[% anualiz]]),1)*IF(DATOS!AS$5="Sí",1/DATOS_[[% normaliz]:[% normaliz]],1)*(DATOS_[Conc.Sal.15])))))))), 0)</f>
        <v>0</v>
      </c>
      <c r="Y79" s="250" t="n">
        <f aca="false" t="array" ref="Y79:Y79">IFERROR( (MEDIAN((IF(DATOS_[[Sexo]:[Sexo]]=$B79,IF(DATOS_[[AGRUP. VALOR. PTO.]:[AGRUP. VALOR. PTO.]]=$B78,IF(DATOS_[[Check Periodo Ref.]:[Check Periodo Ref.]]="Dentro",IF(DATOS_[[Check Equiparado]:[Check Equiparado]]="Sí",IF(DATOS!AT$4="Sí",(1/DATOS_[[% anualiz]:[% anualiz]]),1)*IF(DATOS!AT$5="Sí",1/DATOS_[[% normaliz]:[% normaliz]],1)*(DATOS_[Conc.Sal.16])))))))), 0)</f>
        <v>0</v>
      </c>
      <c r="Z79" s="250" t="n">
        <f aca="false" t="array" ref="Z79:Z79">IFERROR( (MEDIAN((IF(DATOS_[[Sexo]:[Sexo]]=$B79,IF(DATOS_[[AGRUP. VALOR. PTO.]:[AGRUP. VALOR. PTO.]]=$B78,IF(DATOS_[[Check Periodo Ref.]:[Check Periodo Ref.]]="Dentro",IF(DATOS_[[Check Equiparado]:[Check Equiparado]]="Sí",IF(DATOS!AU$4="Sí",(1/DATOS_[[% anualiz]:[% anualiz]]),1)*IF(DATOS!AU$5="Sí",1/DATOS_[[% normaliz]:[% normaliz]],1)*(DATOS_[Conc.Sal.17])))))))), 0)</f>
        <v>0</v>
      </c>
      <c r="AA79" s="250" t="n">
        <f aca="false" t="array" ref="AA79:AA79">IFERROR( (MEDIAN((IF(DATOS_[[Sexo]:[Sexo]]=$B79,IF(DATOS_[[AGRUP. VALOR. PTO.]:[AGRUP. VALOR. PTO.]]=$B78,IF(DATOS_[[Check Periodo Ref.]:[Check Periodo Ref.]]="Dentro",IF(DATOS_[[Check Equiparado]:[Check Equiparado]]="Sí",IF(DATOS!AV$4="Sí",(1/DATOS_[[% anualiz]:[% anualiz]]),1)*IF(DATOS!AV$5="Sí",1/DATOS_[[% normaliz]:[% normaliz]],1)*(DATOS_[Conc.Sal.18])))))))), 0)</f>
        <v>0</v>
      </c>
      <c r="AB79" s="250" t="n">
        <f aca="false" t="array" ref="AB79:AB79">IFERROR( (MEDIAN((IF(DATOS_[[Sexo]:[Sexo]]=$B79,IF(DATOS_[[AGRUP. VALOR. PTO.]:[AGRUP. VALOR. PTO.]]=$B78,IF(DATOS_[[Check Periodo Ref.]:[Check Periodo Ref.]]="Dentro",IF(DATOS_[[Check Equiparado]:[Check Equiparado]]="Sí",IF(DATOS!AW$4="Sí",(1/DATOS_[[% anualiz]:[% anualiz]]),1)*IF(DATOS!AW$5="Sí",1/DATOS_[[% normaliz]:[% normaliz]],1)*(DATOS_[Conc.Sal.19])))))))), 0)</f>
        <v>0</v>
      </c>
      <c r="AC79" s="250" t="n">
        <f aca="false" t="array" ref="AC79:AC79">IFERROR( (MEDIAN((IF(DATOS_[[Sexo]:[Sexo]]=$B79,IF(DATOS_[[AGRUP. VALOR. PTO.]:[AGRUP. VALOR. PTO.]]=$B78,IF(DATOS_[[Check Periodo Ref.]:[Check Periodo Ref.]]="Dentro",IF(DATOS_[[Check Equiparado]:[Check Equiparado]]="Sí",IF(DATOS!AX$4="Sí",(1/DATOS_[[% anualiz]:[% anualiz]]),1)*IF(DATOS!AX$5="Sí",1/DATOS_[[% normaliz]:[% normaliz]],1)*(DATOS_[Conc.Sal.20])))))))), 0)</f>
        <v>0</v>
      </c>
      <c r="AD79" s="250" t="n">
        <f aca="false" t="array" ref="AD79:AD79">IFERROR( (MEDIAN((IF(DATOS_[[Sexo]:[Sexo]]=$B79,IF(DATOS_[[AGRUP. VALOR. PTO.]:[AGRUP. VALOR. PTO.]]=$B78,IF(DATOS_[[Check Periodo Ref.]:[Check Periodo Ref.]]="Dentro",IF(DATOS_[[Check Equiparado]:[Check Equiparado]]="Sí",IF(DATOS!AY$4="Sí",(1/DATOS_[[% anualiz]:[% anualiz]]),1)*IF(DATOS!AY$5="Sí",1/DATOS_[[% normaliz]:[% normaliz]],1)*(DATOS_[Conc.Sal.21])))))))), 0)</f>
        <v>0</v>
      </c>
      <c r="AE79" s="250" t="n">
        <f aca="false" t="array" ref="AE79:AE79">IFERROR( (MEDIAN((IF(DATOS_[[Sexo]:[Sexo]]=$B79,IF(DATOS_[[AGRUP. VALOR. PTO.]:[AGRUP. VALOR. PTO.]]=$B78,IF(DATOS_[[Check Periodo Ref.]:[Check Periodo Ref.]]="Dentro",IF(DATOS_[[Check Equiparado]:[Check Equiparado]]="Sí",IF(DATOS!AZ$4="Sí",(1/DATOS_[[% anualiz]:[% anualiz]]),1)*IF(DATOS!AZ$5="Sí",1/DATOS_[[% normaliz]:[% normaliz]],1)*(DATOS_[Conc.Sal.22])))))))), 0)</f>
        <v>0</v>
      </c>
      <c r="AF79" s="250" t="n">
        <f aca="false" t="array" ref="AF79:AF79">IFERROR( (MEDIAN((IF(DATOS_[[Sexo]:[Sexo]]=$B79,IF(DATOS_[[AGRUP. VALOR. PTO.]:[AGRUP. VALOR. PTO.]]=$B78,IF(DATOS_[[Check Periodo Ref.]:[Check Periodo Ref.]]="Dentro",IF(DATOS_[[Check Equiparado]:[Check Equiparado]]="Sí",IF(DATOS!BA$4="Sí",(1/DATOS_[[% anualiz]:[% anualiz]]),1)*IF(DATOS!BA$5="Sí",1/DATOS_[[% normaliz]:[% normaliz]],1)*(DATOS_[Conc.Sal.23])))))))), 0)</f>
        <v>0</v>
      </c>
      <c r="AG79" s="250" t="n">
        <f aca="false" t="array" ref="AG79:AG79">IFERROR( (MEDIAN((IF(DATOS_[[Sexo]:[Sexo]]=$B79,IF(DATOS_[[AGRUP. VALOR. PTO.]:[AGRUP. VALOR. PTO.]]=$B78,IF(DATOS_[[Check Periodo Ref.]:[Check Periodo Ref.]]="Dentro",IF(DATOS_[[Check Equiparado]:[Check Equiparado]]="Sí",IF(DATOS!BB$4="Sí",(1/DATOS_[[% anualiz]:[% anualiz]]),1)*IF(DATOS!BB$5="Sí",1/DATOS_[[% normaliz]:[% normaliz]],1)*(DATOS_[Conc.Sal.24])))))))), 0)</f>
        <v>0</v>
      </c>
      <c r="AH79" s="250" t="n">
        <f aca="false" t="array" ref="AH79:AH79">IFERROR( (MEDIAN((IF(DATOS_[[Sexo]:[Sexo]]=$B79,IF(DATOS_[[AGRUP. VALOR. PTO.]:[AGRUP. VALOR. PTO.]]=$B78,IF(DATOS_[[Check Periodo Ref.]:[Check Periodo Ref.]]="Dentro",IF(DATOS_[[Check Equiparado]:[Check Equiparado]]="Sí",IF(DATOS!BC$4="Sí",(1/DATOS_[[% anualiz]:[% anualiz]]),1)*IF(DATOS!BC$5="Sí",1/DATOS_[[% normaliz]:[% normaliz]],1)*(DATOS_[Conc.Sal.25])))))))), 0)</f>
        <v>0</v>
      </c>
      <c r="AI79" s="250" t="n">
        <f aca="false" t="array" ref="AI79:AI79">IFERROR( (MEDIAN((IF(DATOS_[[Sexo]:[Sexo]]=$B79,IF(DATOS_[[AGRUP. VALOR. PTO.]:[AGRUP. VALOR. PTO.]]=$B78,IF(DATOS_[[Check Periodo Ref.]:[Check Periodo Ref.]]="Dentro",IF(DATOS_[[Check Equiparado]:[Check Equiparado]]="Sí",IF(DATOS!BD$4="Sí",(1/DATOS_[[% anualiz]:[% anualiz]]),1)*IF(DATOS!BD$5="Sí",1/DATOS_[[% normaliz]:[% normaliz]],1)*(DATOS_[Conc.Sal.26])))))))), 0)</f>
        <v>0</v>
      </c>
      <c r="AJ79" s="250" t="n">
        <f aca="false" t="array" ref="AJ79:AJ79">IFERROR( (MEDIAN((IF(DATOS_[[Sexo]:[Sexo]]=$B79,IF(DATOS_[[AGRUP. VALOR. PTO.]:[AGRUP. VALOR. PTO.]]=$B78,IF(DATOS_[[Check Periodo Ref.]:[Check Periodo Ref.]]="Dentro",IF(DATOS_[[Check Equiparado]:[Check Equiparado]]="Sí",IF(DATOS!BE$4="Sí",(1/DATOS_[[% anualiz]:[% anualiz]]),1)*IF(DATOS!BE$5="Sí",1/DATOS_[[% normaliz]:[% normaliz]],1)*(DATOS_[Conc.Sal.27])))))))), 0)</f>
        <v>0</v>
      </c>
      <c r="AK79" s="250" t="n">
        <f aca="false" t="array" ref="AK79:AK79">IFERROR( (MEDIAN((IF(DATOS_[[Sexo]:[Sexo]]=$B79,IF(DATOS_[[AGRUP. VALOR. PTO.]:[AGRUP. VALOR. PTO.]]=$B78,IF(DATOS_[[Check Periodo Ref.]:[Check Periodo Ref.]]="Dentro",IF(DATOS_[[Check Equiparado]:[Check Equiparado]]="Sí",IF(DATOS!BF$4="Sí",(1/DATOS_[[% anualiz]:[% anualiz]]),1)*IF(DATOS!BF$5="Sí",1/DATOS_[[% normaliz]:[% normaliz]],1)*(DATOS_[Conc.Sal.28])))))))), 0)</f>
        <v>0</v>
      </c>
      <c r="AL79" s="250" t="n">
        <f aca="false" t="array" ref="AL79:AL79">IFERROR( (MEDIAN((IF(DATOS_[[Sexo]:[Sexo]]=$B79,IF(DATOS_[[AGRUP. VALOR. PTO.]:[AGRUP. VALOR. PTO.]]=$B78,IF(DATOS_[[Check Periodo Ref.]:[Check Periodo Ref.]]="Dentro",IF(DATOS_[[Check Equiparado]:[Check Equiparado]]="Sí",IF(DATOS!BG$4="Sí",(1/DATOS_[[% anualiz]:[% anualiz]]),1)*IF(DATOS!BG$5="Sí",1/DATOS_[[% normaliz]:[% normaliz]],1)*(DATOS_[Conc.Sal.29])))))))), 0)</f>
        <v>0</v>
      </c>
      <c r="AM79" s="250" t="n">
        <f aca="false" t="array" ref="AM79:AM79">IFERROR( (MEDIAN((IF(DATOS_[[Sexo]:[Sexo]]=$B79,IF(DATOS_[[AGRUP. VALOR. PTO.]:[AGRUP. VALOR. PTO.]]=$B78,IF(DATOS_[[Check Periodo Ref.]:[Check Periodo Ref.]]="Dentro",IF(DATOS_[[Check Equiparado]:[Check Equiparado]]="Sí",IF(DATOS!BH$4="Sí",(1/DATOS_[[% anualiz]:[% anualiz]]),1)*IF(DATOS!BH$5="Sí",1/DATOS_[[% normaliz]:[% normaliz]],1)*(DATOS_[Conc.Sal.30])))))))), 0)</f>
        <v>0</v>
      </c>
      <c r="AN79" s="251" t="n">
        <f aca="false" t="array" ref="AN79:AN79">IFERROR( MEDIAN(IF(DATOS_[Sexo]=$B79,IF(DATOS_[[AGRUP. VALOR. PTO.]:[AGRUP. VALOR. PTO.]]=$B78,IF(DATOS_[Check Equiparado]="Sí",IF(DATOS_[Check Periodo Ref.]="Dentro",DATOS_[Tot COMPL.SAL Eq],0))))), 0)</f>
        <v>0</v>
      </c>
      <c r="AO79" s="252" t="n">
        <f aca="false" t="array" ref="AO79:AO79">IFERROR( MEDIAN(IF(DATOS_[Sexo]=$B79,IF(DATOS_[[AGRUP. VALOR. PTO.]:[AGRUP. VALOR. PTO.]]=$B78,IF(DATOS_[Check Equiparado]="Sí",IF(DATOS_[Check Periodo Ref.]="Dentro",DATOS_[TOTAL SALARIO Eq],0))))), 0)</f>
        <v>0</v>
      </c>
      <c r="AP79" s="259" t="n">
        <f aca="false" t="array" ref="AP79:AP79">IFERROR( (MEDIAN((IF(DATOS_[[Sexo]:[Sexo]]=$B79,IF(DATOS_[[AGRUP. VALOR. PTO.]:[AGRUP. VALOR. PTO.]]=$B78,IF(DATOS_[[Check Periodo Ref.]:[Check Periodo Ref.]]="Dentro",IF(DATOS_[[Check Equiparado]:[Check Equiparado]]="Sí",IF(DATOS!BI$4="Sí",(1/DATOS_[[% anualiz]:[% anualiz]]),1)*IF(DATOS!BI$5="Sí",1/DATOS_[[% normaliz]:[% normaliz]],1)*(DATOS_[C.Extra.01])))))))), 0)</f>
        <v>0</v>
      </c>
      <c r="AQ79" s="259" t="n">
        <f aca="false" t="array" ref="AQ79:AQ79">IFERROR( (MEDIAN((IF(DATOS_[[Sexo]:[Sexo]]=$B79,IF(DATOS_[[AGRUP. VALOR. PTO.]:[AGRUP. VALOR. PTO.]]=$B78,IF(DATOS_[[Check Periodo Ref.]:[Check Periodo Ref.]]="Dentro",IF(DATOS_[[Check Equiparado]:[Check Equiparado]]="Sí",IF(DATOS!BJ$4="Sí",(1/DATOS_[[% anualiz]:[% anualiz]]),1)*IF(DATOS!BJ$5="Sí",1/DATOS_[[% normaliz]:[% normaliz]],1)*(DATOS_[C.Extra.02])))))))), 0)</f>
        <v>0</v>
      </c>
      <c r="AR79" s="259" t="n">
        <f aca="false" t="array" ref="AR79:AR79">IFERROR( (MEDIAN((IF(DATOS_[[Sexo]:[Sexo]]=$B79,IF(DATOS_[[AGRUP. VALOR. PTO.]:[AGRUP. VALOR. PTO.]]=$B78,IF(DATOS_[[Check Periodo Ref.]:[Check Periodo Ref.]]="Dentro",IF(DATOS_[[Check Equiparado]:[Check Equiparado]]="Sí",IF(DATOS!BK$4="Sí",(1/DATOS_[[% anualiz]:[% anualiz]]),1)*IF(DATOS!BK$5="Sí",1/DATOS_[[% normaliz]:[% normaliz]],1)*(DATOS_[C.Extra.03])))))))), 0)</f>
        <v>0</v>
      </c>
      <c r="AS79" s="259" t="n">
        <f aca="false" t="array" ref="AS79:AS79">IFERROR( (MEDIAN((IF(DATOS_[[Sexo]:[Sexo]]=$B79,IF(DATOS_[[AGRUP. VALOR. PTO.]:[AGRUP. VALOR. PTO.]]=$B78,IF(DATOS_[[Check Periodo Ref.]:[Check Periodo Ref.]]="Dentro",IF(DATOS_[[Check Equiparado]:[Check Equiparado]]="Sí",IF(DATOS!BL$4="Sí",(1/DATOS_[[% anualiz]:[% anualiz]]),1)*IF(DATOS!BL$5="Sí",1/DATOS_[[% normaliz]:[% normaliz]],1)*(DATOS_[C.Extra.04])))))))), 0)</f>
        <v>0</v>
      </c>
      <c r="AT79" s="259" t="n">
        <f aca="false" t="array" ref="AT79:AT79">IFERROR( (MEDIAN((IF(DATOS_[[Sexo]:[Sexo]]=$B79,IF(DATOS_[[AGRUP. VALOR. PTO.]:[AGRUP. VALOR. PTO.]]=$B78,IF(DATOS_[[Check Periodo Ref.]:[Check Periodo Ref.]]="Dentro",IF(DATOS_[[Check Equiparado]:[Check Equiparado]]="Sí",IF(DATOS!BM$4="Sí",(1/DATOS_[[% anualiz]:[% anualiz]]),1)*IF(DATOS!BM$5="Sí",1/DATOS_[[% normaliz]:[% normaliz]],1)*(DATOS_[C.Extra.05])))))))), 0)</f>
        <v>0</v>
      </c>
      <c r="AU79" s="254" t="n">
        <f aca="false" t="array" ref="AU79:AU79">IFERROR( MEDIAN(IF(DATOS_[Sexo]=$B79,IF(DATOS_[[AGRUP. VALOR. PTO.]:[AGRUP. VALOR. PTO.]]=$B78,IF(DATOS_[Check Equiparado]="Sí",IF(DATOS_[Check Periodo Ref.]="Dentro",DATOS_[Tot Extrasalarial Eq],0))))), 0)</f>
        <v>0</v>
      </c>
      <c r="AV79" s="255" t="n">
        <f aca="false" t="array" ref="AV79:AV79">IFERROR( MEDIAN(IF(DATOS_[Sexo]=$B79,IF(DATOS_[[AGRUP. VALOR. PTO.]:[AGRUP. VALOR. PTO.]]=$B78,IF(DATOS_[Check Equiparado]="Sí",IF(DATOS_[Check Periodo Ref.]="Dentro",DATOS_[TOTAL Retrib Eq],0))))), 0)</f>
        <v>0</v>
      </c>
    </row>
    <row r="80" customFormat="false" ht="14.25" hidden="false" customHeight="false" outlineLevel="0" collapsed="false">
      <c r="A80" s="217" t="str">
        <f aca="false">+A79</f>
        <v>[ocultar]</v>
      </c>
      <c r="B80" s="323" t="s">
        <v>372</v>
      </c>
      <c r="C80" s="247" t="n">
        <f aca="false" t="array" ref="C80:C80">SUM(IF($B80=DATOS_[Sexo], IF($B78=DATOS_[AGRUP. VALOR. PTO.], IF("Dentro"=DATOS_[Check Periodo Ref.], 1/(COUNTIFS(DATOS_[Sexo],$B80,DATOS_[AGRUP. VALOR. PTO.],$B78,DATOS_[Check Periodo Ref.],"Dentro",DATOS_[id],DATOS_[id]))))))</f>
        <v>0</v>
      </c>
      <c r="D80" s="248" t="n">
        <f aca="false">COUNTIFS(DATOS_[AGRUP. VALOR. PTO.],$B78,DATOS_[Sexo],$B80,DATOS_[Check Periodo Ref.],"Dentro")</f>
        <v>0</v>
      </c>
      <c r="E80" s="248" t="n">
        <f aca="false">COUNTIFS(DATOS_[AGRUP. VALOR. PTO.],$B78,DATOS_[Sexo],$B80,DATOS_[Check Periodo Ref.],"Dentro",DATOS_[Check Nº SC Norm],"Sí")</f>
        <v>0</v>
      </c>
      <c r="F80" s="248" t="n">
        <f aca="false">COUNTIFS(DATOS_[AGRUP. VALOR. PTO.],$B78,DATOS_[Sexo],$B80,DATOS_[Check Periodo Ref.],"Dentro",DATOS_[Check Nº SC Anualiz],"Sí")</f>
        <v>0</v>
      </c>
      <c r="G80" s="248" t="n">
        <f aca="false">COUNTIFS(DATOS_[AGRUP. VALOR. PTO.],$B78,DATOS_[Sexo],$B80,DATOS_[Check Periodo Ref.],"Dentro",DATOS_[Check Nº SC Norm y Anualiz],"Sí")</f>
        <v>0</v>
      </c>
      <c r="H80" s="248" t="n">
        <f aca="false">COUNTIFS(DATOS_[AGRUP. VALOR. PTO.],$B78,DATOS_[Sexo],$B80,DATOS_[Check Periodo Ref.],"Dentro",DATOS_[Check Equiparación],"Sí")</f>
        <v>0</v>
      </c>
      <c r="I80" s="249" t="n">
        <f aca="false" t="array" ref="I80:I80">IFERROR( MEDIAN(IF(DATOS_[Sexo]=$B80,IF(DATOS_[[AGRUP. VALOR. PTO.]:[AGRUP. VALOR. PTO.]]=$B78,IF(DATOS_[Check Equiparado]="Sí",IF(DATOS_[Check Periodo Ref.]="Dentro",DATOS_[SALARIO BASE Eq],0))))), 0)</f>
        <v>0</v>
      </c>
      <c r="J80" s="250" t="n">
        <f aca="false" t="array" ref="J80:J80">IFERROR( (MEDIAN((IF(DATOS_[[Sexo]:[Sexo]]=$B80,IF(DATOS_[[AGRUP. VALOR. PTO.]:[AGRUP. VALOR. PTO.]]=$B78,IF(DATOS_[[Check Periodo Ref.]:[Check Periodo Ref.]]="Dentro",IF(DATOS_[[Check Equiparado]:[Check Equiparado]]="Sí",IF(DATOS!AE$4="Sí",(1/DATOS_[[% anualiz]:[% anualiz]]),1)*IF(DATOS!AE$5="Sí",1/DATOS_[[% normaliz]:[% normaliz]],1)*(DATOS_[Conc.Sal.01])))))))), 0)</f>
        <v>0</v>
      </c>
      <c r="K80" s="250" t="n">
        <f aca="false" t="array" ref="K80:K80">IFERROR( (MEDIAN((IF(DATOS_[[Sexo]:[Sexo]]=$B80,IF(DATOS_[[AGRUP. VALOR. PTO.]:[AGRUP. VALOR. PTO.]]=$B78,IF(DATOS_[[Check Periodo Ref.]:[Check Periodo Ref.]]="Dentro",IF(DATOS_[[Check Equiparado]:[Check Equiparado]]="Sí",IF(DATOS!AF$4="Sí",(1/DATOS_[[% anualiz]:[% anualiz]]),1)*IF(DATOS!AF$5="Sí",1/DATOS_[[% normaliz]:[% normaliz]],1)*(DATOS_[Conc.Sal.02])))))))), 0)</f>
        <v>0</v>
      </c>
      <c r="L80" s="250" t="n">
        <f aca="false" t="array" ref="L80:L80">IFERROR( (MEDIAN((IF(DATOS_[[Sexo]:[Sexo]]=$B80,IF(DATOS_[[AGRUP. VALOR. PTO.]:[AGRUP. VALOR. PTO.]]=$B78,IF(DATOS_[[Check Periodo Ref.]:[Check Periodo Ref.]]="Dentro",IF(DATOS_[[Check Equiparado]:[Check Equiparado]]="Sí",IF(DATOS!AG$4="Sí",(1/DATOS_[[% anualiz]:[% anualiz]]),1)*IF(DATOS!AG$5="Sí",1/DATOS_[[% normaliz]:[% normaliz]],1)*(DATOS_[Conc.Sal.03])))))))), 0)</f>
        <v>0</v>
      </c>
      <c r="M80" s="250" t="n">
        <f aca="false" t="array" ref="M80:M80">IFERROR( (MEDIAN((IF(DATOS_[[Sexo]:[Sexo]]=$B80,IF(DATOS_[[AGRUP. VALOR. PTO.]:[AGRUP. VALOR. PTO.]]=$B78,IF(DATOS_[[Check Periodo Ref.]:[Check Periodo Ref.]]="Dentro",IF(DATOS_[[Check Equiparado]:[Check Equiparado]]="Sí",IF(DATOS!AH$4="Sí",(1/DATOS_[[% anualiz]:[% anualiz]]),1)*IF(DATOS!AH$5="Sí",1/DATOS_[[% normaliz]:[% normaliz]],1)*(DATOS_[Conc.Sal.04])))))))), 0)</f>
        <v>0</v>
      </c>
      <c r="N80" s="250" t="n">
        <f aca="false" t="array" ref="N80:N80">IFERROR( (MEDIAN((IF(DATOS_[[Sexo]:[Sexo]]=$B80,IF(DATOS_[[AGRUP. VALOR. PTO.]:[AGRUP. VALOR. PTO.]]=$B78,IF(DATOS_[[Check Periodo Ref.]:[Check Periodo Ref.]]="Dentro",IF(DATOS_[[Check Equiparado]:[Check Equiparado]]="Sí",IF(DATOS!AI$4="Sí",(1/DATOS_[[% anualiz]:[% anualiz]]),1)*IF(DATOS!AI$5="Sí",1/DATOS_[[% normaliz]:[% normaliz]],1)*(DATOS_[Conc.Sal.05])))))))), 0)</f>
        <v>0</v>
      </c>
      <c r="O80" s="250" t="n">
        <f aca="false" t="array" ref="O80:O80">IFERROR( (MEDIAN((IF(DATOS_[[Sexo]:[Sexo]]=$B80,IF(DATOS_[[AGRUP. VALOR. PTO.]:[AGRUP. VALOR. PTO.]]=$B78,IF(DATOS_[[Check Periodo Ref.]:[Check Periodo Ref.]]="Dentro",IF(DATOS_[[Check Equiparado]:[Check Equiparado]]="Sí",IF(DATOS!AJ$4="Sí",(1/DATOS_[[% anualiz]:[% anualiz]]),1)*IF(DATOS!AJ$5="Sí",1/DATOS_[[% normaliz]:[% normaliz]],1)*(DATOS_[Conc.Sal.06])))))))), 0)</f>
        <v>0</v>
      </c>
      <c r="P80" s="250" t="n">
        <f aca="false" t="array" ref="P80:P80">IFERROR( (MEDIAN((IF(DATOS_[[Sexo]:[Sexo]]=$B80,IF(DATOS_[[AGRUP. VALOR. PTO.]:[AGRUP. VALOR. PTO.]]=$B78,IF(DATOS_[[Check Periodo Ref.]:[Check Periodo Ref.]]="Dentro",IF(DATOS_[[Check Equiparado]:[Check Equiparado]]="Sí",IF(DATOS!AK$4="Sí",(1/DATOS_[[% anualiz]:[% anualiz]]),1)*IF(DATOS!AK$5="Sí",1/DATOS_[[% normaliz]:[% normaliz]],1)*(DATOS_[Conc.Sal.07])))))))), 0)</f>
        <v>0</v>
      </c>
      <c r="Q80" s="250" t="n">
        <f aca="false" t="array" ref="Q80:Q80">IFERROR( (MEDIAN((IF(DATOS_[[Sexo]:[Sexo]]=$B80,IF(DATOS_[[AGRUP. VALOR. PTO.]:[AGRUP. VALOR. PTO.]]=$B78,IF(DATOS_[[Check Periodo Ref.]:[Check Periodo Ref.]]="Dentro",IF(DATOS_[[Check Equiparado]:[Check Equiparado]]="Sí",IF(DATOS!AL$4="Sí",(1/DATOS_[[% anualiz]:[% anualiz]]),1)*IF(DATOS!AL$5="Sí",1/DATOS_[[% normaliz]:[% normaliz]],1)*(DATOS_[Conc.Sal.08])))))))), 0)</f>
        <v>0</v>
      </c>
      <c r="R80" s="250" t="n">
        <f aca="false" t="array" ref="R80:R80">IFERROR( (MEDIAN((IF(DATOS_[[Sexo]:[Sexo]]=$B80,IF(DATOS_[[AGRUP. VALOR. PTO.]:[AGRUP. VALOR. PTO.]]=$B78,IF(DATOS_[[Check Periodo Ref.]:[Check Periodo Ref.]]="Dentro",IF(DATOS_[[Check Equiparado]:[Check Equiparado]]="Sí",IF(DATOS!AM$4="Sí",(1/DATOS_[[% anualiz]:[% anualiz]]),1)*IF(DATOS!AM$5="Sí",1/DATOS_[[% normaliz]:[% normaliz]],1)*(DATOS_[Conc.Sal.09])))))))), 0)</f>
        <v>0</v>
      </c>
      <c r="S80" s="250" t="n">
        <f aca="false" t="array" ref="S80:S80">IFERROR( (MEDIAN((IF(DATOS_[[Sexo]:[Sexo]]=$B80,IF(DATOS_[[AGRUP. VALOR. PTO.]:[AGRUP. VALOR. PTO.]]=$B78,IF(DATOS_[[Check Periodo Ref.]:[Check Periodo Ref.]]="Dentro",IF(DATOS_[[Check Equiparado]:[Check Equiparado]]="Sí",IF(DATOS!AN$4="Sí",(1/DATOS_[[% anualiz]:[% anualiz]]),1)*IF(DATOS!AN$5="Sí",1/DATOS_[[% normaliz]:[% normaliz]],1)*(DATOS_[Conc.Sal.10])))))))), 0)</f>
        <v>0</v>
      </c>
      <c r="T80" s="250" t="n">
        <f aca="false" t="array" ref="T80:T80">IFERROR( (MEDIAN((IF(DATOS_[[Sexo]:[Sexo]]=$B80,IF(DATOS_[[AGRUP. VALOR. PTO.]:[AGRUP. VALOR. PTO.]]=$B78,IF(DATOS_[[Check Periodo Ref.]:[Check Periodo Ref.]]="Dentro",IF(DATOS_[[Check Equiparado]:[Check Equiparado]]="Sí",IF(DATOS!AO$4="Sí",(1/DATOS_[[% anualiz]:[% anualiz]]),1)*IF(DATOS!AO$5="Sí",1/DATOS_[[% normaliz]:[% normaliz]],1)*(DATOS_[Conc.Sal.11])))))))), 0)</f>
        <v>0</v>
      </c>
      <c r="U80" s="250" t="n">
        <f aca="false" t="array" ref="U80:U80">IFERROR( (MEDIAN((IF(DATOS_[[Sexo]:[Sexo]]=$B80,IF(DATOS_[[AGRUP. VALOR. PTO.]:[AGRUP. VALOR. PTO.]]=$B78,IF(DATOS_[[Check Periodo Ref.]:[Check Periodo Ref.]]="Dentro",IF(DATOS_[[Check Equiparado]:[Check Equiparado]]="Sí",IF(DATOS!AP$4="Sí",(1/DATOS_[[% anualiz]:[% anualiz]]),1)*IF(DATOS!AP$5="Sí",1/DATOS_[[% normaliz]:[% normaliz]],1)*(DATOS_[Conc.Sal.12])))))))), 0)</f>
        <v>0</v>
      </c>
      <c r="V80" s="250" t="n">
        <f aca="false" t="array" ref="V80:V80">IFERROR( (MEDIAN((IF(DATOS_[[Sexo]:[Sexo]]=$B80,IF(DATOS_[[AGRUP. VALOR. PTO.]:[AGRUP. VALOR. PTO.]]=$B78,IF(DATOS_[[Check Periodo Ref.]:[Check Periodo Ref.]]="Dentro",IF(DATOS_[[Check Equiparado]:[Check Equiparado]]="Sí",IF(DATOS!AQ$4="Sí",(1/DATOS_[[% anualiz]:[% anualiz]]),1)*IF(DATOS!AQ$5="Sí",1/DATOS_[[% normaliz]:[% normaliz]],1)*(DATOS_[Conc.Sal.13])))))))), 0)</f>
        <v>0</v>
      </c>
      <c r="W80" s="250" t="n">
        <f aca="false" t="array" ref="W80:W80">IFERROR( (MEDIAN((IF(DATOS_[[Sexo]:[Sexo]]=$B80,IF(DATOS_[[AGRUP. VALOR. PTO.]:[AGRUP. VALOR. PTO.]]=$B78,IF(DATOS_[[Check Periodo Ref.]:[Check Periodo Ref.]]="Dentro",IF(DATOS_[[Check Equiparado]:[Check Equiparado]]="Sí",IF(DATOS!AR$4="Sí",(1/DATOS_[[% anualiz]:[% anualiz]]),1)*IF(DATOS!AR$5="Sí",1/DATOS_[[% normaliz]:[% normaliz]],1)*(DATOS_[Conc.Sal.14])))))))), 0)</f>
        <v>0</v>
      </c>
      <c r="X80" s="250" t="n">
        <f aca="false" t="array" ref="X80:X80">IFERROR( (MEDIAN((IF(DATOS_[[Sexo]:[Sexo]]=$B80,IF(DATOS_[[AGRUP. VALOR. PTO.]:[AGRUP. VALOR. PTO.]]=$B78,IF(DATOS_[[Check Periodo Ref.]:[Check Periodo Ref.]]="Dentro",IF(DATOS_[[Check Equiparado]:[Check Equiparado]]="Sí",IF(DATOS!AS$4="Sí",(1/DATOS_[[% anualiz]:[% anualiz]]),1)*IF(DATOS!AS$5="Sí",1/DATOS_[[% normaliz]:[% normaliz]],1)*(DATOS_[Conc.Sal.15])))))))), 0)</f>
        <v>0</v>
      </c>
      <c r="Y80" s="250" t="n">
        <f aca="false" t="array" ref="Y80:Y80">IFERROR( (MEDIAN((IF(DATOS_[[Sexo]:[Sexo]]=$B80,IF(DATOS_[[AGRUP. VALOR. PTO.]:[AGRUP. VALOR. PTO.]]=$B78,IF(DATOS_[[Check Periodo Ref.]:[Check Periodo Ref.]]="Dentro",IF(DATOS_[[Check Equiparado]:[Check Equiparado]]="Sí",IF(DATOS!AT$4="Sí",(1/DATOS_[[% anualiz]:[% anualiz]]),1)*IF(DATOS!AT$5="Sí",1/DATOS_[[% normaliz]:[% normaliz]],1)*(DATOS_[Conc.Sal.16])))))))), 0)</f>
        <v>0</v>
      </c>
      <c r="Z80" s="250" t="n">
        <f aca="false" t="array" ref="Z80:Z80">IFERROR( (MEDIAN((IF(DATOS_[[Sexo]:[Sexo]]=$B80,IF(DATOS_[[AGRUP. VALOR. PTO.]:[AGRUP. VALOR. PTO.]]=$B78,IF(DATOS_[[Check Periodo Ref.]:[Check Periodo Ref.]]="Dentro",IF(DATOS_[[Check Equiparado]:[Check Equiparado]]="Sí",IF(DATOS!AU$4="Sí",(1/DATOS_[[% anualiz]:[% anualiz]]),1)*IF(DATOS!AU$5="Sí",1/DATOS_[[% normaliz]:[% normaliz]],1)*(DATOS_[Conc.Sal.17])))))))), 0)</f>
        <v>0</v>
      </c>
      <c r="AA80" s="250" t="n">
        <f aca="false" t="array" ref="AA80:AA80">IFERROR( (MEDIAN((IF(DATOS_[[Sexo]:[Sexo]]=$B80,IF(DATOS_[[AGRUP. VALOR. PTO.]:[AGRUP. VALOR. PTO.]]=$B78,IF(DATOS_[[Check Periodo Ref.]:[Check Periodo Ref.]]="Dentro",IF(DATOS_[[Check Equiparado]:[Check Equiparado]]="Sí",IF(DATOS!AV$4="Sí",(1/DATOS_[[% anualiz]:[% anualiz]]),1)*IF(DATOS!AV$5="Sí",1/DATOS_[[% normaliz]:[% normaliz]],1)*(DATOS_[Conc.Sal.18])))))))), 0)</f>
        <v>0</v>
      </c>
      <c r="AB80" s="250" t="n">
        <f aca="false" t="array" ref="AB80:AB80">IFERROR( (MEDIAN((IF(DATOS_[[Sexo]:[Sexo]]=$B80,IF(DATOS_[[AGRUP. VALOR. PTO.]:[AGRUP. VALOR. PTO.]]=$B78,IF(DATOS_[[Check Periodo Ref.]:[Check Periodo Ref.]]="Dentro",IF(DATOS_[[Check Equiparado]:[Check Equiparado]]="Sí",IF(DATOS!AW$4="Sí",(1/DATOS_[[% anualiz]:[% anualiz]]),1)*IF(DATOS!AW$5="Sí",1/DATOS_[[% normaliz]:[% normaliz]],1)*(DATOS_[Conc.Sal.19])))))))), 0)</f>
        <v>0</v>
      </c>
      <c r="AC80" s="250" t="n">
        <f aca="false" t="array" ref="AC80:AC80">IFERROR( (MEDIAN((IF(DATOS_[[Sexo]:[Sexo]]=$B80,IF(DATOS_[[AGRUP. VALOR. PTO.]:[AGRUP. VALOR. PTO.]]=$B78,IF(DATOS_[[Check Periodo Ref.]:[Check Periodo Ref.]]="Dentro",IF(DATOS_[[Check Equiparado]:[Check Equiparado]]="Sí",IF(DATOS!AX$4="Sí",(1/DATOS_[[% anualiz]:[% anualiz]]),1)*IF(DATOS!AX$5="Sí",1/DATOS_[[% normaliz]:[% normaliz]],1)*(DATOS_[Conc.Sal.20])))))))), 0)</f>
        <v>0</v>
      </c>
      <c r="AD80" s="250" t="n">
        <f aca="false" t="array" ref="AD80:AD80">IFERROR( (MEDIAN((IF(DATOS_[[Sexo]:[Sexo]]=$B80,IF(DATOS_[[AGRUP. VALOR. PTO.]:[AGRUP. VALOR. PTO.]]=$B78,IF(DATOS_[[Check Periodo Ref.]:[Check Periodo Ref.]]="Dentro",IF(DATOS_[[Check Equiparado]:[Check Equiparado]]="Sí",IF(DATOS!AY$4="Sí",(1/DATOS_[[% anualiz]:[% anualiz]]),1)*IF(DATOS!AY$5="Sí",1/DATOS_[[% normaliz]:[% normaliz]],1)*(DATOS_[Conc.Sal.21])))))))), 0)</f>
        <v>0</v>
      </c>
      <c r="AE80" s="250" t="n">
        <f aca="false" t="array" ref="AE80:AE80">IFERROR( (MEDIAN((IF(DATOS_[[Sexo]:[Sexo]]=$B80,IF(DATOS_[[AGRUP. VALOR. PTO.]:[AGRUP. VALOR. PTO.]]=$B78,IF(DATOS_[[Check Periodo Ref.]:[Check Periodo Ref.]]="Dentro",IF(DATOS_[[Check Equiparado]:[Check Equiparado]]="Sí",IF(DATOS!AZ$4="Sí",(1/DATOS_[[% anualiz]:[% anualiz]]),1)*IF(DATOS!AZ$5="Sí",1/DATOS_[[% normaliz]:[% normaliz]],1)*(DATOS_[Conc.Sal.22])))))))), 0)</f>
        <v>0</v>
      </c>
      <c r="AF80" s="250" t="n">
        <f aca="false" t="array" ref="AF80:AF80">IFERROR( (MEDIAN((IF(DATOS_[[Sexo]:[Sexo]]=$B80,IF(DATOS_[[AGRUP. VALOR. PTO.]:[AGRUP. VALOR. PTO.]]=$B78,IF(DATOS_[[Check Periodo Ref.]:[Check Periodo Ref.]]="Dentro",IF(DATOS_[[Check Equiparado]:[Check Equiparado]]="Sí",IF(DATOS!BA$4="Sí",(1/DATOS_[[% anualiz]:[% anualiz]]),1)*IF(DATOS!BA$5="Sí",1/DATOS_[[% normaliz]:[% normaliz]],1)*(DATOS_[Conc.Sal.23])))))))), 0)</f>
        <v>0</v>
      </c>
      <c r="AG80" s="250" t="n">
        <f aca="false" t="array" ref="AG80:AG80">IFERROR( (MEDIAN((IF(DATOS_[[Sexo]:[Sexo]]=$B80,IF(DATOS_[[AGRUP. VALOR. PTO.]:[AGRUP. VALOR. PTO.]]=$B78,IF(DATOS_[[Check Periodo Ref.]:[Check Periodo Ref.]]="Dentro",IF(DATOS_[[Check Equiparado]:[Check Equiparado]]="Sí",IF(DATOS!BB$4="Sí",(1/DATOS_[[% anualiz]:[% anualiz]]),1)*IF(DATOS!BB$5="Sí",1/DATOS_[[% normaliz]:[% normaliz]],1)*(DATOS_[Conc.Sal.24])))))))), 0)</f>
        <v>0</v>
      </c>
      <c r="AH80" s="250" t="n">
        <f aca="false" t="array" ref="AH80:AH80">IFERROR( (MEDIAN((IF(DATOS_[[Sexo]:[Sexo]]=$B80,IF(DATOS_[[AGRUP. VALOR. PTO.]:[AGRUP. VALOR. PTO.]]=$B78,IF(DATOS_[[Check Periodo Ref.]:[Check Periodo Ref.]]="Dentro",IF(DATOS_[[Check Equiparado]:[Check Equiparado]]="Sí",IF(DATOS!BC$4="Sí",(1/DATOS_[[% anualiz]:[% anualiz]]),1)*IF(DATOS!BC$5="Sí",1/DATOS_[[% normaliz]:[% normaliz]],1)*(DATOS_[Conc.Sal.25])))))))), 0)</f>
        <v>0</v>
      </c>
      <c r="AI80" s="250" t="n">
        <f aca="false" t="array" ref="AI80:AI80">IFERROR( (MEDIAN((IF(DATOS_[[Sexo]:[Sexo]]=$B80,IF(DATOS_[[AGRUP. VALOR. PTO.]:[AGRUP. VALOR. PTO.]]=$B78,IF(DATOS_[[Check Periodo Ref.]:[Check Periodo Ref.]]="Dentro",IF(DATOS_[[Check Equiparado]:[Check Equiparado]]="Sí",IF(DATOS!BD$4="Sí",(1/DATOS_[[% anualiz]:[% anualiz]]),1)*IF(DATOS!BD$5="Sí",1/DATOS_[[% normaliz]:[% normaliz]],1)*(DATOS_[Conc.Sal.26])))))))), 0)</f>
        <v>0</v>
      </c>
      <c r="AJ80" s="250" t="n">
        <f aca="false" t="array" ref="AJ80:AJ80">IFERROR( (MEDIAN((IF(DATOS_[[Sexo]:[Sexo]]=$B80,IF(DATOS_[[AGRUP. VALOR. PTO.]:[AGRUP. VALOR. PTO.]]=$B78,IF(DATOS_[[Check Periodo Ref.]:[Check Periodo Ref.]]="Dentro",IF(DATOS_[[Check Equiparado]:[Check Equiparado]]="Sí",IF(DATOS!BE$4="Sí",(1/DATOS_[[% anualiz]:[% anualiz]]),1)*IF(DATOS!BE$5="Sí",1/DATOS_[[% normaliz]:[% normaliz]],1)*(DATOS_[Conc.Sal.27])))))))), 0)</f>
        <v>0</v>
      </c>
      <c r="AK80" s="250" t="n">
        <f aca="false" t="array" ref="AK80:AK80">IFERROR( (MEDIAN((IF(DATOS_[[Sexo]:[Sexo]]=$B80,IF(DATOS_[[AGRUP. VALOR. PTO.]:[AGRUP. VALOR. PTO.]]=$B78,IF(DATOS_[[Check Periodo Ref.]:[Check Periodo Ref.]]="Dentro",IF(DATOS_[[Check Equiparado]:[Check Equiparado]]="Sí",IF(DATOS!BF$4="Sí",(1/DATOS_[[% anualiz]:[% anualiz]]),1)*IF(DATOS!BF$5="Sí",1/DATOS_[[% normaliz]:[% normaliz]],1)*(DATOS_[Conc.Sal.28])))))))), 0)</f>
        <v>0</v>
      </c>
      <c r="AL80" s="250" t="n">
        <f aca="false" t="array" ref="AL80:AL80">IFERROR( (MEDIAN((IF(DATOS_[[Sexo]:[Sexo]]=$B80,IF(DATOS_[[AGRUP. VALOR. PTO.]:[AGRUP. VALOR. PTO.]]=$B78,IF(DATOS_[[Check Periodo Ref.]:[Check Periodo Ref.]]="Dentro",IF(DATOS_[[Check Equiparado]:[Check Equiparado]]="Sí",IF(DATOS!BG$4="Sí",(1/DATOS_[[% anualiz]:[% anualiz]]),1)*IF(DATOS!BG$5="Sí",1/DATOS_[[% normaliz]:[% normaliz]],1)*(DATOS_[Conc.Sal.29])))))))), 0)</f>
        <v>0</v>
      </c>
      <c r="AM80" s="250" t="n">
        <f aca="false" t="array" ref="AM80:AM80">IFERROR( (MEDIAN((IF(DATOS_[[Sexo]:[Sexo]]=$B80,IF(DATOS_[[AGRUP. VALOR. PTO.]:[AGRUP. VALOR. PTO.]]=$B78,IF(DATOS_[[Check Periodo Ref.]:[Check Periodo Ref.]]="Dentro",IF(DATOS_[[Check Equiparado]:[Check Equiparado]]="Sí",IF(DATOS!BH$4="Sí",(1/DATOS_[[% anualiz]:[% anualiz]]),1)*IF(DATOS!BH$5="Sí",1/DATOS_[[% normaliz]:[% normaliz]],1)*(DATOS_[Conc.Sal.30])))))))), 0)</f>
        <v>0</v>
      </c>
      <c r="AN80" s="251" t="n">
        <f aca="false" t="array" ref="AN80:AN80">IFERROR( MEDIAN(IF(DATOS_[Sexo]=$B80,IF(DATOS_[[AGRUP. VALOR. PTO.]:[AGRUP. VALOR. PTO.]]=$B78,IF(DATOS_[Check Equiparado]="Sí",IF(DATOS_[Check Periodo Ref.]="Dentro",DATOS_[Tot COMPL.SAL Eq],0))))), 0)</f>
        <v>0</v>
      </c>
      <c r="AO80" s="252" t="n">
        <f aca="false" t="array" ref="AO80:AO80">IFERROR( MEDIAN(IF(DATOS_[Sexo]=$B80,IF(DATOS_[[AGRUP. VALOR. PTO.]:[AGRUP. VALOR. PTO.]]=$B78,IF(DATOS_[Check Equiparado]="Sí",IF(DATOS_[Check Periodo Ref.]="Dentro",DATOS_[TOTAL SALARIO Eq],0))))), 0)</f>
        <v>0</v>
      </c>
      <c r="AP80" s="259" t="n">
        <f aca="false" t="array" ref="AP80:AP80">IFERROR( (MEDIAN((IF(DATOS_[[Sexo]:[Sexo]]=$B80,IF(DATOS_[[AGRUP. VALOR. PTO.]:[AGRUP. VALOR. PTO.]]=$B79,IF(DATOS_[[Check Periodo Ref.]:[Check Periodo Ref.]]="Dentro",IF(DATOS_[[Check Equiparado]:[Check Equiparado]]="Sí",IF(DATOS!BI$4="Sí",(1/DATOS_[[% anualiz]:[% anualiz]]),1)*IF(DATOS!BI$5="Sí",1/DATOS_[[% normaliz]:[% normaliz]],1)*(DATOS_[C.Extra.01])))))))), 0)</f>
        <v>0</v>
      </c>
      <c r="AQ80" s="259" t="n">
        <f aca="false" t="array" ref="AQ80:AQ80">IFERROR( (MEDIAN((IF(DATOS_[[Sexo]:[Sexo]]=$B80,IF(DATOS_[[AGRUP. VALOR. PTO.]:[AGRUP. VALOR. PTO.]]=$B79,IF(DATOS_[[Check Periodo Ref.]:[Check Periodo Ref.]]="Dentro",IF(DATOS_[[Check Equiparado]:[Check Equiparado]]="Sí",IF(DATOS!BJ$4="Sí",(1/DATOS_[[% anualiz]:[% anualiz]]),1)*IF(DATOS!BJ$5="Sí",1/DATOS_[[% normaliz]:[% normaliz]],1)*(DATOS_[C.Extra.02])))))))), 0)</f>
        <v>0</v>
      </c>
      <c r="AR80" s="259" t="n">
        <f aca="false" t="array" ref="AR80:AR80">IFERROR( (MEDIAN((IF(DATOS_[[Sexo]:[Sexo]]=$B80,IF(DATOS_[[AGRUP. VALOR. PTO.]:[AGRUP. VALOR. PTO.]]=$B79,IF(DATOS_[[Check Periodo Ref.]:[Check Periodo Ref.]]="Dentro",IF(DATOS_[[Check Equiparado]:[Check Equiparado]]="Sí",IF(DATOS!BK$4="Sí",(1/DATOS_[[% anualiz]:[% anualiz]]),1)*IF(DATOS!BK$5="Sí",1/DATOS_[[% normaliz]:[% normaliz]],1)*(DATOS_[C.Extra.03])))))))), 0)</f>
        <v>0</v>
      </c>
      <c r="AS80" s="259" t="n">
        <f aca="false" t="array" ref="AS80:AS80">IFERROR( (MEDIAN((IF(DATOS_[[Sexo]:[Sexo]]=$B80,IF(DATOS_[[AGRUP. VALOR. PTO.]:[AGRUP. VALOR. PTO.]]=$B79,IF(DATOS_[[Check Periodo Ref.]:[Check Periodo Ref.]]="Dentro",IF(DATOS_[[Check Equiparado]:[Check Equiparado]]="Sí",IF(DATOS!BL$4="Sí",(1/DATOS_[[% anualiz]:[% anualiz]]),1)*IF(DATOS!BL$5="Sí",1/DATOS_[[% normaliz]:[% normaliz]],1)*(DATOS_[C.Extra.04])))))))), 0)</f>
        <v>0</v>
      </c>
      <c r="AT80" s="259" t="n">
        <f aca="false" t="array" ref="AT80:AT80">IFERROR( (MEDIAN((IF(DATOS_[[Sexo]:[Sexo]]=$B80,IF(DATOS_[[AGRUP. VALOR. PTO.]:[AGRUP. VALOR. PTO.]]=$B79,IF(DATOS_[[Check Periodo Ref.]:[Check Periodo Ref.]]="Dentro",IF(DATOS_[[Check Equiparado]:[Check Equiparado]]="Sí",IF(DATOS!BM$4="Sí",(1/DATOS_[[% anualiz]:[% anualiz]]),1)*IF(DATOS!BM$5="Sí",1/DATOS_[[% normaliz]:[% normaliz]],1)*(DATOS_[C.Extra.05])))))))), 0)</f>
        <v>0</v>
      </c>
      <c r="AU80" s="254" t="n">
        <f aca="false" t="array" ref="AU80:AU80">IFERROR( MEDIAN(IF(DATOS_[Sexo]=$B80,IF(DATOS_[[AGRUP. VALOR. PTO.]:[AGRUP. VALOR. PTO.]]=$B78,IF(DATOS_[Check Equiparado]="Sí",IF(DATOS_[Check Periodo Ref.]="Dentro",DATOS_[Tot Extrasalarial Eq],0))))), 0)</f>
        <v>0</v>
      </c>
      <c r="AV80" s="255" t="n">
        <f aca="false" t="array" ref="AV80:AV80">IFERROR( MEDIAN(IF(DATOS_[Sexo]=$B80,IF(DATOS_[[AGRUP. VALOR. PTO.]:[AGRUP. VALOR. PTO.]]=$B78,IF(DATOS_[Check Equiparado]="Sí",IF(DATOS_[Check Periodo Ref.]="Dentro",DATOS_[TOTAL Retrib Eq],0))))), 0)</f>
        <v>0</v>
      </c>
    </row>
    <row r="81" customFormat="false" ht="15.75" hidden="false" customHeight="false" outlineLevel="0" collapsed="false">
      <c r="A81" s="217" t="str">
        <f aca="false">+A82</f>
        <v>[ocultar]</v>
      </c>
      <c r="B81" s="320" t="s">
        <v>235</v>
      </c>
      <c r="C81" s="236"/>
      <c r="D81" s="237"/>
      <c r="E81" s="237"/>
      <c r="F81" s="237"/>
      <c r="G81" s="237"/>
      <c r="H81" s="237"/>
      <c r="I81" s="238" t="str">
        <f aca="false">IFERROR((I82-I83)/I82,"")</f>
        <v/>
      </c>
      <c r="J81" s="239" t="str">
        <f aca="false">IFERROR((J82-J83)/J82,"")</f>
        <v/>
      </c>
      <c r="K81" s="239" t="str">
        <f aca="false">IFERROR((K82-K83)/K82,"")</f>
        <v/>
      </c>
      <c r="L81" s="239" t="str">
        <f aca="false">IFERROR((L82-L83)/L82,"")</f>
        <v/>
      </c>
      <c r="M81" s="239" t="str">
        <f aca="false">IFERROR((M82-M83)/M82,"")</f>
        <v/>
      </c>
      <c r="N81" s="239" t="str">
        <f aca="false">IFERROR((N82-N83)/N82,"")</f>
        <v/>
      </c>
      <c r="O81" s="239" t="str">
        <f aca="false">IFERROR((O82-O83)/O82,"")</f>
        <v/>
      </c>
      <c r="P81" s="239" t="str">
        <f aca="false">IFERROR((P82-P83)/P82,"")</f>
        <v/>
      </c>
      <c r="Q81" s="239" t="str">
        <f aca="false">IFERROR((Q82-Q83)/Q82,"")</f>
        <v/>
      </c>
      <c r="R81" s="239" t="str">
        <f aca="false">IFERROR((R82-R83)/R82,"")</f>
        <v/>
      </c>
      <c r="S81" s="239" t="str">
        <f aca="false">IFERROR((S82-S83)/S82,"")</f>
        <v/>
      </c>
      <c r="T81" s="239" t="str">
        <f aca="false">IFERROR((T82-T83)/T82,"")</f>
        <v/>
      </c>
      <c r="U81" s="239" t="str">
        <f aca="false">IFERROR((U82-U83)/U82,"")</f>
        <v/>
      </c>
      <c r="V81" s="239" t="str">
        <f aca="false">IFERROR((V82-V83)/V82,"")</f>
        <v/>
      </c>
      <c r="W81" s="239" t="str">
        <f aca="false">IFERROR((W82-W83)/W82,"")</f>
        <v/>
      </c>
      <c r="X81" s="239" t="str">
        <f aca="false">IFERROR((X82-X83)/X82,"")</f>
        <v/>
      </c>
      <c r="Y81" s="239" t="str">
        <f aca="false">IFERROR((Y82-Y83)/Y82,"")</f>
        <v/>
      </c>
      <c r="Z81" s="240" t="str">
        <f aca="false">IFERROR((Z82-Z83)/Z82,"")</f>
        <v/>
      </c>
      <c r="AA81" s="240" t="str">
        <f aca="false">IFERROR((AA82-AA83)/AA82,"")</f>
        <v/>
      </c>
      <c r="AB81" s="240" t="str">
        <f aca="false">IFERROR((AB82-AB83)/AB82,"")</f>
        <v/>
      </c>
      <c r="AC81" s="240" t="str">
        <f aca="false">IFERROR((AC82-AC83)/AC82,"")</f>
        <v/>
      </c>
      <c r="AD81" s="240" t="str">
        <f aca="false">IFERROR((AD82-AD83)/AD82,"")</f>
        <v/>
      </c>
      <c r="AE81" s="240" t="str">
        <f aca="false">IFERROR((AE82-AE83)/AE82,"")</f>
        <v/>
      </c>
      <c r="AF81" s="240" t="str">
        <f aca="false">IFERROR((AF82-AF83)/AF82,"")</f>
        <v/>
      </c>
      <c r="AG81" s="240" t="str">
        <f aca="false">IFERROR((AG82-AG83)/AG82,"")</f>
        <v/>
      </c>
      <c r="AH81" s="240" t="str">
        <f aca="false">IFERROR((AH82-AH83)/AH82,"")</f>
        <v/>
      </c>
      <c r="AI81" s="240" t="str">
        <f aca="false">IFERROR((AI82-AI83)/AI82,"")</f>
        <v/>
      </c>
      <c r="AJ81" s="240" t="str">
        <f aca="false">IFERROR((AJ82-AJ83)/AJ82,"")</f>
        <v/>
      </c>
      <c r="AK81" s="240" t="str">
        <f aca="false">IFERROR((AK82-AK83)/AK82,"")</f>
        <v/>
      </c>
      <c r="AL81" s="240" t="str">
        <f aca="false">IFERROR((AL82-AL83)/AL82,"")</f>
        <v/>
      </c>
      <c r="AM81" s="240" t="str">
        <f aca="false">IFERROR((AM82-AM83)/AM82,"")</f>
        <v/>
      </c>
      <c r="AN81" s="241" t="str">
        <f aca="false">IFERROR((AN82-AN83)/AN82,"")</f>
        <v/>
      </c>
      <c r="AO81" s="242" t="str">
        <f aca="false">IFERROR((AO82-AO83)/AO82,"")</f>
        <v/>
      </c>
      <c r="AP81" s="243" t="str">
        <f aca="false">IFERROR((AP82-AP83)/AP82,"")</f>
        <v/>
      </c>
      <c r="AQ81" s="243" t="str">
        <f aca="false">IFERROR((AQ82-AQ83)/AQ82,"")</f>
        <v/>
      </c>
      <c r="AR81" s="243" t="str">
        <f aca="false">IFERROR((AR82-AR83)/AR82,"")</f>
        <v/>
      </c>
      <c r="AS81" s="243" t="str">
        <f aca="false">IFERROR((AS82-AS83)/AS82,"")</f>
        <v/>
      </c>
      <c r="AT81" s="243" t="str">
        <f aca="false">IFERROR((AT82-AT83)/AT82,"")</f>
        <v/>
      </c>
      <c r="AU81" s="244" t="str">
        <f aca="false">IFERROR((AU82-AU83)/AU82,"")</f>
        <v/>
      </c>
      <c r="AV81" s="245" t="str">
        <f aca="false">IFERROR((AV82-AV83)/AV82,"")</f>
        <v/>
      </c>
    </row>
    <row r="82" customFormat="false" ht="14.25" hidden="false" customHeight="false" outlineLevel="0" collapsed="false">
      <c r="A82" s="217" t="str">
        <f aca="false">+IF(C82+C83=0,"[ocultar]","")</f>
        <v>[ocultar]</v>
      </c>
      <c r="B82" s="323" t="s">
        <v>371</v>
      </c>
      <c r="C82" s="247" t="n">
        <f aca="false" t="array" ref="C82:C82">SUM(IF($B82=DATOS_[Sexo], IF($B81=DATOS_[AGRUP. VALOR. PTO.], IF("Dentro"=DATOS_[Check Periodo Ref.], 1/(COUNTIFS(DATOS_[Sexo],$B82,DATOS_[AGRUP. VALOR. PTO.],$B81,DATOS_[Check Periodo Ref.],"Dentro",DATOS_[id],DATOS_[id]))))))</f>
        <v>0</v>
      </c>
      <c r="D82" s="248" t="n">
        <f aca="false">COUNTIFS(DATOS_[AGRUP. VALOR. PTO.],$B81,DATOS_[Sexo],$B82,DATOS_[Check Periodo Ref.],"Dentro")</f>
        <v>0</v>
      </c>
      <c r="E82" s="248" t="n">
        <f aca="false">COUNTIFS(DATOS_[AGRUP. VALOR. PTO.],$B81,DATOS_[Sexo],$B82,DATOS_[Check Periodo Ref.],"Dentro",DATOS_[Check Nº SC Norm],"Sí")</f>
        <v>0</v>
      </c>
      <c r="F82" s="248" t="n">
        <f aca="false">COUNTIFS(DATOS_[AGRUP. VALOR. PTO.],$B81,DATOS_[Sexo],$B82,DATOS_[Check Periodo Ref.],"Dentro",DATOS_[Check Nº SC Anualiz],"Sí")</f>
        <v>0</v>
      </c>
      <c r="G82" s="248" t="n">
        <f aca="false">COUNTIFS(DATOS_[AGRUP. VALOR. PTO.],$B81,DATOS_[Sexo],$B82,DATOS_[Check Periodo Ref.],"Dentro",DATOS_[Check Nº SC Norm y Anualiz],"Sí")</f>
        <v>0</v>
      </c>
      <c r="H82" s="248" t="n">
        <f aca="false">COUNTIFS(DATOS_[AGRUP. VALOR. PTO.],$B81,DATOS_[Sexo],$B82,DATOS_[Check Periodo Ref.],"Dentro",DATOS_[Check Equiparación],"Sí")</f>
        <v>0</v>
      </c>
      <c r="I82" s="249" t="n">
        <f aca="false" t="array" ref="I82:I82">IFERROR( MEDIAN(IF(DATOS_[Sexo]=$B82,IF(DATOS_[[AGRUP. VALOR. PTO.]:[AGRUP. VALOR. PTO.]]=$B81,IF(DATOS_[Check Equiparado]="Sí",IF(DATOS_[Check Periodo Ref.]="Dentro",DATOS_[SALARIO BASE Eq],0))))), 0)</f>
        <v>0</v>
      </c>
      <c r="J82" s="250" t="n">
        <f aca="false" t="array" ref="J82:J82">IFERROR( (MEDIAN((IF(DATOS_[[Sexo]:[Sexo]]=$B82,IF(DATOS_[[AGRUP. VALOR. PTO.]:[AGRUP. VALOR. PTO.]]=$B81,IF(DATOS_[[Check Periodo Ref.]:[Check Periodo Ref.]]="Dentro",IF(DATOS_[[Check Equiparado]:[Check Equiparado]]="Sí",IF(DATOS!AE$4="Sí",(1/DATOS_[[% anualiz]:[% anualiz]]),1)*IF(DATOS!AE$5="Sí",1/DATOS_[[% normaliz]:[% normaliz]],1)*(DATOS_[Conc.Sal.01])))))))), 0)</f>
        <v>0</v>
      </c>
      <c r="K82" s="250" t="n">
        <f aca="false" t="array" ref="K82:K82">IFERROR( (MEDIAN((IF(DATOS_[[Sexo]:[Sexo]]=$B82,IF(DATOS_[[AGRUP. VALOR. PTO.]:[AGRUP. VALOR. PTO.]]=$B81,IF(DATOS_[[Check Periodo Ref.]:[Check Periodo Ref.]]="Dentro",IF(DATOS_[[Check Equiparado]:[Check Equiparado]]="Sí",IF(DATOS!AF$4="Sí",(1/DATOS_[[% anualiz]:[% anualiz]]),1)*IF(DATOS!AF$5="Sí",1/DATOS_[[% normaliz]:[% normaliz]],1)*(DATOS_[Conc.Sal.02])))))))), 0)</f>
        <v>0</v>
      </c>
      <c r="L82" s="250" t="n">
        <f aca="false" t="array" ref="L82:L82">IFERROR( (MEDIAN((IF(DATOS_[[Sexo]:[Sexo]]=$B82,IF(DATOS_[[AGRUP. VALOR. PTO.]:[AGRUP. VALOR. PTO.]]=$B81,IF(DATOS_[[Check Periodo Ref.]:[Check Periodo Ref.]]="Dentro",IF(DATOS_[[Check Equiparado]:[Check Equiparado]]="Sí",IF(DATOS!AG$4="Sí",(1/DATOS_[[% anualiz]:[% anualiz]]),1)*IF(DATOS!AG$5="Sí",1/DATOS_[[% normaliz]:[% normaliz]],1)*(DATOS_[Conc.Sal.03])))))))), 0)</f>
        <v>0</v>
      </c>
      <c r="M82" s="250" t="n">
        <f aca="false" t="array" ref="M82:M82">IFERROR( (MEDIAN((IF(DATOS_[[Sexo]:[Sexo]]=$B82,IF(DATOS_[[AGRUP. VALOR. PTO.]:[AGRUP. VALOR. PTO.]]=$B81,IF(DATOS_[[Check Periodo Ref.]:[Check Periodo Ref.]]="Dentro",IF(DATOS_[[Check Equiparado]:[Check Equiparado]]="Sí",IF(DATOS!AH$4="Sí",(1/DATOS_[[% anualiz]:[% anualiz]]),1)*IF(DATOS!AH$5="Sí",1/DATOS_[[% normaliz]:[% normaliz]],1)*(DATOS_[Conc.Sal.04])))))))), 0)</f>
        <v>0</v>
      </c>
      <c r="N82" s="250" t="n">
        <f aca="false" t="array" ref="N82:N82">IFERROR( (MEDIAN((IF(DATOS_[[Sexo]:[Sexo]]=$B82,IF(DATOS_[[AGRUP. VALOR. PTO.]:[AGRUP. VALOR. PTO.]]=$B81,IF(DATOS_[[Check Periodo Ref.]:[Check Periodo Ref.]]="Dentro",IF(DATOS_[[Check Equiparado]:[Check Equiparado]]="Sí",IF(DATOS!AI$4="Sí",(1/DATOS_[[% anualiz]:[% anualiz]]),1)*IF(DATOS!AI$5="Sí",1/DATOS_[[% normaliz]:[% normaliz]],1)*(DATOS_[Conc.Sal.05])))))))), 0)</f>
        <v>0</v>
      </c>
      <c r="O82" s="250" t="n">
        <f aca="false" t="array" ref="O82:O82">IFERROR( (MEDIAN((IF(DATOS_[[Sexo]:[Sexo]]=$B82,IF(DATOS_[[AGRUP. VALOR. PTO.]:[AGRUP. VALOR. PTO.]]=$B81,IF(DATOS_[[Check Periodo Ref.]:[Check Periodo Ref.]]="Dentro",IF(DATOS_[[Check Equiparado]:[Check Equiparado]]="Sí",IF(DATOS!AJ$4="Sí",(1/DATOS_[[% anualiz]:[% anualiz]]),1)*IF(DATOS!AJ$5="Sí",1/DATOS_[[% normaliz]:[% normaliz]],1)*(DATOS_[Conc.Sal.06])))))))), 0)</f>
        <v>0</v>
      </c>
      <c r="P82" s="250" t="n">
        <f aca="false" t="array" ref="P82:P82">IFERROR( (MEDIAN((IF(DATOS_[[Sexo]:[Sexo]]=$B82,IF(DATOS_[[AGRUP. VALOR. PTO.]:[AGRUP. VALOR. PTO.]]=$B81,IF(DATOS_[[Check Periodo Ref.]:[Check Periodo Ref.]]="Dentro",IF(DATOS_[[Check Equiparado]:[Check Equiparado]]="Sí",IF(DATOS!AK$4="Sí",(1/DATOS_[[% anualiz]:[% anualiz]]),1)*IF(DATOS!AK$5="Sí",1/DATOS_[[% normaliz]:[% normaliz]],1)*(DATOS_[Conc.Sal.07])))))))), 0)</f>
        <v>0</v>
      </c>
      <c r="Q82" s="250" t="n">
        <f aca="false" t="array" ref="Q82:Q82">IFERROR( (MEDIAN((IF(DATOS_[[Sexo]:[Sexo]]=$B82,IF(DATOS_[[AGRUP. VALOR. PTO.]:[AGRUP. VALOR. PTO.]]=$B81,IF(DATOS_[[Check Periodo Ref.]:[Check Periodo Ref.]]="Dentro",IF(DATOS_[[Check Equiparado]:[Check Equiparado]]="Sí",IF(DATOS!AL$4="Sí",(1/DATOS_[[% anualiz]:[% anualiz]]),1)*IF(DATOS!AL$5="Sí",1/DATOS_[[% normaliz]:[% normaliz]],1)*(DATOS_[Conc.Sal.08])))))))), 0)</f>
        <v>0</v>
      </c>
      <c r="R82" s="250" t="n">
        <f aca="false" t="array" ref="R82:R82">IFERROR( (MEDIAN((IF(DATOS_[[Sexo]:[Sexo]]=$B82,IF(DATOS_[[AGRUP. VALOR. PTO.]:[AGRUP. VALOR. PTO.]]=$B81,IF(DATOS_[[Check Periodo Ref.]:[Check Periodo Ref.]]="Dentro",IF(DATOS_[[Check Equiparado]:[Check Equiparado]]="Sí",IF(DATOS!AM$4="Sí",(1/DATOS_[[% anualiz]:[% anualiz]]),1)*IF(DATOS!AM$5="Sí",1/DATOS_[[% normaliz]:[% normaliz]],1)*(DATOS_[Conc.Sal.09])))))))), 0)</f>
        <v>0</v>
      </c>
      <c r="S82" s="250" t="n">
        <f aca="false" t="array" ref="S82:S82">IFERROR( (MEDIAN((IF(DATOS_[[Sexo]:[Sexo]]=$B82,IF(DATOS_[[AGRUP. VALOR. PTO.]:[AGRUP. VALOR. PTO.]]=$B81,IF(DATOS_[[Check Periodo Ref.]:[Check Periodo Ref.]]="Dentro",IF(DATOS_[[Check Equiparado]:[Check Equiparado]]="Sí",IF(DATOS!AN$4="Sí",(1/DATOS_[[% anualiz]:[% anualiz]]),1)*IF(DATOS!AN$5="Sí",1/DATOS_[[% normaliz]:[% normaliz]],1)*(DATOS_[Conc.Sal.10])))))))), 0)</f>
        <v>0</v>
      </c>
      <c r="T82" s="250" t="n">
        <f aca="false" t="array" ref="T82:T82">IFERROR( (MEDIAN((IF(DATOS_[[Sexo]:[Sexo]]=$B82,IF(DATOS_[[AGRUP. VALOR. PTO.]:[AGRUP. VALOR. PTO.]]=$B81,IF(DATOS_[[Check Periodo Ref.]:[Check Periodo Ref.]]="Dentro",IF(DATOS_[[Check Equiparado]:[Check Equiparado]]="Sí",IF(DATOS!AO$4="Sí",(1/DATOS_[[% anualiz]:[% anualiz]]),1)*IF(DATOS!AO$5="Sí",1/DATOS_[[% normaliz]:[% normaliz]],1)*(DATOS_[Conc.Sal.11])))))))), 0)</f>
        <v>0</v>
      </c>
      <c r="U82" s="250" t="n">
        <f aca="false" t="array" ref="U82:U82">IFERROR( (MEDIAN((IF(DATOS_[[Sexo]:[Sexo]]=$B82,IF(DATOS_[[AGRUP. VALOR. PTO.]:[AGRUP. VALOR. PTO.]]=$B81,IF(DATOS_[[Check Periodo Ref.]:[Check Periodo Ref.]]="Dentro",IF(DATOS_[[Check Equiparado]:[Check Equiparado]]="Sí",IF(DATOS!AP$4="Sí",(1/DATOS_[[% anualiz]:[% anualiz]]),1)*IF(DATOS!AP$5="Sí",1/DATOS_[[% normaliz]:[% normaliz]],1)*(DATOS_[Conc.Sal.12])))))))), 0)</f>
        <v>0</v>
      </c>
      <c r="V82" s="250" t="n">
        <f aca="false" t="array" ref="V82:V82">IFERROR( (MEDIAN((IF(DATOS_[[Sexo]:[Sexo]]=$B82,IF(DATOS_[[AGRUP. VALOR. PTO.]:[AGRUP. VALOR. PTO.]]=$B81,IF(DATOS_[[Check Periodo Ref.]:[Check Periodo Ref.]]="Dentro",IF(DATOS_[[Check Equiparado]:[Check Equiparado]]="Sí",IF(DATOS!AQ$4="Sí",(1/DATOS_[[% anualiz]:[% anualiz]]),1)*IF(DATOS!AQ$5="Sí",1/DATOS_[[% normaliz]:[% normaliz]],1)*(DATOS_[Conc.Sal.13])))))))), 0)</f>
        <v>0</v>
      </c>
      <c r="W82" s="250" t="n">
        <f aca="false" t="array" ref="W82:W82">IFERROR( (MEDIAN((IF(DATOS_[[Sexo]:[Sexo]]=$B82,IF(DATOS_[[AGRUP. VALOR. PTO.]:[AGRUP. VALOR. PTO.]]=$B81,IF(DATOS_[[Check Periodo Ref.]:[Check Periodo Ref.]]="Dentro",IF(DATOS_[[Check Equiparado]:[Check Equiparado]]="Sí",IF(DATOS!AR$4="Sí",(1/DATOS_[[% anualiz]:[% anualiz]]),1)*IF(DATOS!AR$5="Sí",1/DATOS_[[% normaliz]:[% normaliz]],1)*(DATOS_[Conc.Sal.14])))))))), 0)</f>
        <v>0</v>
      </c>
      <c r="X82" s="250" t="n">
        <f aca="false" t="array" ref="X82:X82">IFERROR( (MEDIAN((IF(DATOS_[[Sexo]:[Sexo]]=$B82,IF(DATOS_[[AGRUP. VALOR. PTO.]:[AGRUP. VALOR. PTO.]]=$B81,IF(DATOS_[[Check Periodo Ref.]:[Check Periodo Ref.]]="Dentro",IF(DATOS_[[Check Equiparado]:[Check Equiparado]]="Sí",IF(DATOS!AS$4="Sí",(1/DATOS_[[% anualiz]:[% anualiz]]),1)*IF(DATOS!AS$5="Sí",1/DATOS_[[% normaliz]:[% normaliz]],1)*(DATOS_[Conc.Sal.15])))))))), 0)</f>
        <v>0</v>
      </c>
      <c r="Y82" s="250" t="n">
        <f aca="false" t="array" ref="Y82:Y82">IFERROR( (MEDIAN((IF(DATOS_[[Sexo]:[Sexo]]=$B82,IF(DATOS_[[AGRUP. VALOR. PTO.]:[AGRUP. VALOR. PTO.]]=$B81,IF(DATOS_[[Check Periodo Ref.]:[Check Periodo Ref.]]="Dentro",IF(DATOS_[[Check Equiparado]:[Check Equiparado]]="Sí",IF(DATOS!AT$4="Sí",(1/DATOS_[[% anualiz]:[% anualiz]]),1)*IF(DATOS!AT$5="Sí",1/DATOS_[[% normaliz]:[% normaliz]],1)*(DATOS_[Conc.Sal.16])))))))), 0)</f>
        <v>0</v>
      </c>
      <c r="Z82" s="250" t="n">
        <f aca="false" t="array" ref="Z82:Z82">IFERROR( (MEDIAN((IF(DATOS_[[Sexo]:[Sexo]]=$B82,IF(DATOS_[[AGRUP. VALOR. PTO.]:[AGRUP. VALOR. PTO.]]=$B81,IF(DATOS_[[Check Periodo Ref.]:[Check Periodo Ref.]]="Dentro",IF(DATOS_[[Check Equiparado]:[Check Equiparado]]="Sí",IF(DATOS!AU$4="Sí",(1/DATOS_[[% anualiz]:[% anualiz]]),1)*IF(DATOS!AU$5="Sí",1/DATOS_[[% normaliz]:[% normaliz]],1)*(DATOS_[Conc.Sal.17])))))))), 0)</f>
        <v>0</v>
      </c>
      <c r="AA82" s="250" t="n">
        <f aca="false" t="array" ref="AA82:AA82">IFERROR( (MEDIAN((IF(DATOS_[[Sexo]:[Sexo]]=$B82,IF(DATOS_[[AGRUP. VALOR. PTO.]:[AGRUP. VALOR. PTO.]]=$B81,IF(DATOS_[[Check Periodo Ref.]:[Check Periodo Ref.]]="Dentro",IF(DATOS_[[Check Equiparado]:[Check Equiparado]]="Sí",IF(DATOS!AV$4="Sí",(1/DATOS_[[% anualiz]:[% anualiz]]),1)*IF(DATOS!AV$5="Sí",1/DATOS_[[% normaliz]:[% normaliz]],1)*(DATOS_[Conc.Sal.18])))))))), 0)</f>
        <v>0</v>
      </c>
      <c r="AB82" s="250" t="n">
        <f aca="false" t="array" ref="AB82:AB82">IFERROR( (MEDIAN((IF(DATOS_[[Sexo]:[Sexo]]=$B82,IF(DATOS_[[AGRUP. VALOR. PTO.]:[AGRUP. VALOR. PTO.]]=$B81,IF(DATOS_[[Check Periodo Ref.]:[Check Periodo Ref.]]="Dentro",IF(DATOS_[[Check Equiparado]:[Check Equiparado]]="Sí",IF(DATOS!AW$4="Sí",(1/DATOS_[[% anualiz]:[% anualiz]]),1)*IF(DATOS!AW$5="Sí",1/DATOS_[[% normaliz]:[% normaliz]],1)*(DATOS_[Conc.Sal.19])))))))), 0)</f>
        <v>0</v>
      </c>
      <c r="AC82" s="250" t="n">
        <f aca="false" t="array" ref="AC82:AC82">IFERROR( (MEDIAN((IF(DATOS_[[Sexo]:[Sexo]]=$B82,IF(DATOS_[[AGRUP. VALOR. PTO.]:[AGRUP. VALOR. PTO.]]=$B81,IF(DATOS_[[Check Periodo Ref.]:[Check Periodo Ref.]]="Dentro",IF(DATOS_[[Check Equiparado]:[Check Equiparado]]="Sí",IF(DATOS!AX$4="Sí",(1/DATOS_[[% anualiz]:[% anualiz]]),1)*IF(DATOS!AX$5="Sí",1/DATOS_[[% normaliz]:[% normaliz]],1)*(DATOS_[Conc.Sal.20])))))))), 0)</f>
        <v>0</v>
      </c>
      <c r="AD82" s="250" t="n">
        <f aca="false" t="array" ref="AD82:AD82">IFERROR( (MEDIAN((IF(DATOS_[[Sexo]:[Sexo]]=$B82,IF(DATOS_[[AGRUP. VALOR. PTO.]:[AGRUP. VALOR. PTO.]]=$B81,IF(DATOS_[[Check Periodo Ref.]:[Check Periodo Ref.]]="Dentro",IF(DATOS_[[Check Equiparado]:[Check Equiparado]]="Sí",IF(DATOS!AY$4="Sí",(1/DATOS_[[% anualiz]:[% anualiz]]),1)*IF(DATOS!AY$5="Sí",1/DATOS_[[% normaliz]:[% normaliz]],1)*(DATOS_[Conc.Sal.21])))))))), 0)</f>
        <v>0</v>
      </c>
      <c r="AE82" s="250" t="n">
        <f aca="false" t="array" ref="AE82:AE82">IFERROR( (MEDIAN((IF(DATOS_[[Sexo]:[Sexo]]=$B82,IF(DATOS_[[AGRUP. VALOR. PTO.]:[AGRUP. VALOR. PTO.]]=$B81,IF(DATOS_[[Check Periodo Ref.]:[Check Periodo Ref.]]="Dentro",IF(DATOS_[[Check Equiparado]:[Check Equiparado]]="Sí",IF(DATOS!AZ$4="Sí",(1/DATOS_[[% anualiz]:[% anualiz]]),1)*IF(DATOS!AZ$5="Sí",1/DATOS_[[% normaliz]:[% normaliz]],1)*(DATOS_[Conc.Sal.22])))))))), 0)</f>
        <v>0</v>
      </c>
      <c r="AF82" s="250" t="n">
        <f aca="false" t="array" ref="AF82:AF82">IFERROR( (MEDIAN((IF(DATOS_[[Sexo]:[Sexo]]=$B82,IF(DATOS_[[AGRUP. VALOR. PTO.]:[AGRUP. VALOR. PTO.]]=$B81,IF(DATOS_[[Check Periodo Ref.]:[Check Periodo Ref.]]="Dentro",IF(DATOS_[[Check Equiparado]:[Check Equiparado]]="Sí",IF(DATOS!BA$4="Sí",(1/DATOS_[[% anualiz]:[% anualiz]]),1)*IF(DATOS!BA$5="Sí",1/DATOS_[[% normaliz]:[% normaliz]],1)*(DATOS_[Conc.Sal.23])))))))), 0)</f>
        <v>0</v>
      </c>
      <c r="AG82" s="250" t="n">
        <f aca="false" t="array" ref="AG82:AG82">IFERROR( (MEDIAN((IF(DATOS_[[Sexo]:[Sexo]]=$B82,IF(DATOS_[[AGRUP. VALOR. PTO.]:[AGRUP. VALOR. PTO.]]=$B81,IF(DATOS_[[Check Periodo Ref.]:[Check Periodo Ref.]]="Dentro",IF(DATOS_[[Check Equiparado]:[Check Equiparado]]="Sí",IF(DATOS!BB$4="Sí",(1/DATOS_[[% anualiz]:[% anualiz]]),1)*IF(DATOS!BB$5="Sí",1/DATOS_[[% normaliz]:[% normaliz]],1)*(DATOS_[Conc.Sal.24])))))))), 0)</f>
        <v>0</v>
      </c>
      <c r="AH82" s="250" t="n">
        <f aca="false" t="array" ref="AH82:AH82">IFERROR( (MEDIAN((IF(DATOS_[[Sexo]:[Sexo]]=$B82,IF(DATOS_[[AGRUP. VALOR. PTO.]:[AGRUP. VALOR. PTO.]]=$B81,IF(DATOS_[[Check Periodo Ref.]:[Check Periodo Ref.]]="Dentro",IF(DATOS_[[Check Equiparado]:[Check Equiparado]]="Sí",IF(DATOS!BC$4="Sí",(1/DATOS_[[% anualiz]:[% anualiz]]),1)*IF(DATOS!BC$5="Sí",1/DATOS_[[% normaliz]:[% normaliz]],1)*(DATOS_[Conc.Sal.25])))))))), 0)</f>
        <v>0</v>
      </c>
      <c r="AI82" s="250" t="n">
        <f aca="false" t="array" ref="AI82:AI82">IFERROR( (MEDIAN((IF(DATOS_[[Sexo]:[Sexo]]=$B82,IF(DATOS_[[AGRUP. VALOR. PTO.]:[AGRUP. VALOR. PTO.]]=$B81,IF(DATOS_[[Check Periodo Ref.]:[Check Periodo Ref.]]="Dentro",IF(DATOS_[[Check Equiparado]:[Check Equiparado]]="Sí",IF(DATOS!BD$4="Sí",(1/DATOS_[[% anualiz]:[% anualiz]]),1)*IF(DATOS!BD$5="Sí",1/DATOS_[[% normaliz]:[% normaliz]],1)*(DATOS_[Conc.Sal.26])))))))), 0)</f>
        <v>0</v>
      </c>
      <c r="AJ82" s="250" t="n">
        <f aca="false" t="array" ref="AJ82:AJ82">IFERROR( (MEDIAN((IF(DATOS_[[Sexo]:[Sexo]]=$B82,IF(DATOS_[[AGRUP. VALOR. PTO.]:[AGRUP. VALOR. PTO.]]=$B81,IF(DATOS_[[Check Periodo Ref.]:[Check Periodo Ref.]]="Dentro",IF(DATOS_[[Check Equiparado]:[Check Equiparado]]="Sí",IF(DATOS!BE$4="Sí",(1/DATOS_[[% anualiz]:[% anualiz]]),1)*IF(DATOS!BE$5="Sí",1/DATOS_[[% normaliz]:[% normaliz]],1)*(DATOS_[Conc.Sal.27])))))))), 0)</f>
        <v>0</v>
      </c>
      <c r="AK82" s="250" t="n">
        <f aca="false" t="array" ref="AK82:AK82">IFERROR( (MEDIAN((IF(DATOS_[[Sexo]:[Sexo]]=$B82,IF(DATOS_[[AGRUP. VALOR. PTO.]:[AGRUP. VALOR. PTO.]]=$B81,IF(DATOS_[[Check Periodo Ref.]:[Check Periodo Ref.]]="Dentro",IF(DATOS_[[Check Equiparado]:[Check Equiparado]]="Sí",IF(DATOS!BF$4="Sí",(1/DATOS_[[% anualiz]:[% anualiz]]),1)*IF(DATOS!BF$5="Sí",1/DATOS_[[% normaliz]:[% normaliz]],1)*(DATOS_[Conc.Sal.28])))))))), 0)</f>
        <v>0</v>
      </c>
      <c r="AL82" s="250" t="n">
        <f aca="false" t="array" ref="AL82:AL82">IFERROR( (MEDIAN((IF(DATOS_[[Sexo]:[Sexo]]=$B82,IF(DATOS_[[AGRUP. VALOR. PTO.]:[AGRUP. VALOR. PTO.]]=$B81,IF(DATOS_[[Check Periodo Ref.]:[Check Periodo Ref.]]="Dentro",IF(DATOS_[[Check Equiparado]:[Check Equiparado]]="Sí",IF(DATOS!BG$4="Sí",(1/DATOS_[[% anualiz]:[% anualiz]]),1)*IF(DATOS!BG$5="Sí",1/DATOS_[[% normaliz]:[% normaliz]],1)*(DATOS_[Conc.Sal.29])))))))), 0)</f>
        <v>0</v>
      </c>
      <c r="AM82" s="250" t="n">
        <f aca="false" t="array" ref="AM82:AM82">IFERROR( (MEDIAN((IF(DATOS_[[Sexo]:[Sexo]]=$B82,IF(DATOS_[[AGRUP. VALOR. PTO.]:[AGRUP. VALOR. PTO.]]=$B81,IF(DATOS_[[Check Periodo Ref.]:[Check Periodo Ref.]]="Dentro",IF(DATOS_[[Check Equiparado]:[Check Equiparado]]="Sí",IF(DATOS!BH$4="Sí",(1/DATOS_[[% anualiz]:[% anualiz]]),1)*IF(DATOS!BH$5="Sí",1/DATOS_[[% normaliz]:[% normaliz]],1)*(DATOS_[Conc.Sal.30])))))))), 0)</f>
        <v>0</v>
      </c>
      <c r="AN82" s="251" t="n">
        <f aca="false" t="array" ref="AN82:AN82">IFERROR( MEDIAN(IF(DATOS_[Sexo]=$B82,IF(DATOS_[[AGRUP. VALOR. PTO.]:[AGRUP. VALOR. PTO.]]=$B81,IF(DATOS_[Check Equiparado]="Sí",IF(DATOS_[Check Periodo Ref.]="Dentro",DATOS_[Tot COMPL.SAL Eq],0))))), 0)</f>
        <v>0</v>
      </c>
      <c r="AO82" s="252" t="n">
        <f aca="false" t="array" ref="AO82:AO82">IFERROR( MEDIAN(IF(DATOS_[Sexo]=$B82,IF(DATOS_[[AGRUP. VALOR. PTO.]:[AGRUP. VALOR. PTO.]]=$B81,IF(DATOS_[Check Equiparado]="Sí",IF(DATOS_[Check Periodo Ref.]="Dentro",DATOS_[TOTAL SALARIO Eq],0))))), 0)</f>
        <v>0</v>
      </c>
      <c r="AP82" s="259" t="n">
        <f aca="false" t="array" ref="AP82:AP82">IFERROR( (MEDIAN((IF(DATOS_[[Sexo]:[Sexo]]=$B82,IF(DATOS_[[AGRUP. VALOR. PTO.]:[AGRUP. VALOR. PTO.]]=$B81,IF(DATOS_[[Check Periodo Ref.]:[Check Periodo Ref.]]="Dentro",IF(DATOS_[[Check Equiparado]:[Check Equiparado]]="Sí",IF(DATOS!BI$4="Sí",(1/DATOS_[[% anualiz]:[% anualiz]]),1)*IF(DATOS!BI$5="Sí",1/DATOS_[[% normaliz]:[% normaliz]],1)*(DATOS_[C.Extra.01])))))))), 0)</f>
        <v>0</v>
      </c>
      <c r="AQ82" s="259" t="n">
        <f aca="false" t="array" ref="AQ82:AQ82">IFERROR( (MEDIAN((IF(DATOS_[[Sexo]:[Sexo]]=$B82,IF(DATOS_[[AGRUP. VALOR. PTO.]:[AGRUP. VALOR. PTO.]]=$B81,IF(DATOS_[[Check Periodo Ref.]:[Check Periodo Ref.]]="Dentro",IF(DATOS_[[Check Equiparado]:[Check Equiparado]]="Sí",IF(DATOS!BJ$4="Sí",(1/DATOS_[[% anualiz]:[% anualiz]]),1)*IF(DATOS!BJ$5="Sí",1/DATOS_[[% normaliz]:[% normaliz]],1)*(DATOS_[C.Extra.02])))))))), 0)</f>
        <v>0</v>
      </c>
      <c r="AR82" s="259" t="n">
        <f aca="false" t="array" ref="AR82:AR82">IFERROR( (MEDIAN((IF(DATOS_[[Sexo]:[Sexo]]=$B82,IF(DATOS_[[AGRUP. VALOR. PTO.]:[AGRUP. VALOR. PTO.]]=$B81,IF(DATOS_[[Check Periodo Ref.]:[Check Periodo Ref.]]="Dentro",IF(DATOS_[[Check Equiparado]:[Check Equiparado]]="Sí",IF(DATOS!BK$4="Sí",(1/DATOS_[[% anualiz]:[% anualiz]]),1)*IF(DATOS!BK$5="Sí",1/DATOS_[[% normaliz]:[% normaliz]],1)*(DATOS_[C.Extra.03])))))))), 0)</f>
        <v>0</v>
      </c>
      <c r="AS82" s="259" t="n">
        <f aca="false" t="array" ref="AS82:AS82">IFERROR( (MEDIAN((IF(DATOS_[[Sexo]:[Sexo]]=$B82,IF(DATOS_[[AGRUP. VALOR. PTO.]:[AGRUP. VALOR. PTO.]]=$B81,IF(DATOS_[[Check Periodo Ref.]:[Check Periodo Ref.]]="Dentro",IF(DATOS_[[Check Equiparado]:[Check Equiparado]]="Sí",IF(DATOS!BL$4="Sí",(1/DATOS_[[% anualiz]:[% anualiz]]),1)*IF(DATOS!BL$5="Sí",1/DATOS_[[% normaliz]:[% normaliz]],1)*(DATOS_[C.Extra.04])))))))), 0)</f>
        <v>0</v>
      </c>
      <c r="AT82" s="259" t="n">
        <f aca="false" t="array" ref="AT82:AT82">IFERROR( (MEDIAN((IF(DATOS_[[Sexo]:[Sexo]]=$B82,IF(DATOS_[[AGRUP. VALOR. PTO.]:[AGRUP. VALOR. PTO.]]=$B81,IF(DATOS_[[Check Periodo Ref.]:[Check Periodo Ref.]]="Dentro",IF(DATOS_[[Check Equiparado]:[Check Equiparado]]="Sí",IF(DATOS!BM$4="Sí",(1/DATOS_[[% anualiz]:[% anualiz]]),1)*IF(DATOS!BM$5="Sí",1/DATOS_[[% normaliz]:[% normaliz]],1)*(DATOS_[C.Extra.05])))))))), 0)</f>
        <v>0</v>
      </c>
      <c r="AU82" s="254" t="n">
        <f aca="false" t="array" ref="AU82:AU82">IFERROR( MEDIAN(IF(DATOS_[Sexo]=$B82,IF(DATOS_[[AGRUP. VALOR. PTO.]:[AGRUP. VALOR. PTO.]]=$B81,IF(DATOS_[Check Equiparado]="Sí",IF(DATOS_[Check Periodo Ref.]="Dentro",DATOS_[Tot Extrasalarial Eq],0))))), 0)</f>
        <v>0</v>
      </c>
      <c r="AV82" s="255" t="n">
        <f aca="false" t="array" ref="AV82:AV82">IFERROR( MEDIAN(IF(DATOS_[Sexo]=$B82,IF(DATOS_[[AGRUP. VALOR. PTO.]:[AGRUP. VALOR. PTO.]]=$B81,IF(DATOS_[Check Equiparado]="Sí",IF(DATOS_[Check Periodo Ref.]="Dentro",DATOS_[TOTAL Retrib Eq],0))))), 0)</f>
        <v>0</v>
      </c>
    </row>
    <row r="83" customFormat="false" ht="14.25" hidden="false" customHeight="false" outlineLevel="0" collapsed="false">
      <c r="A83" s="217" t="str">
        <f aca="false">+A82</f>
        <v>[ocultar]</v>
      </c>
      <c r="B83" s="323" t="s">
        <v>372</v>
      </c>
      <c r="C83" s="247" t="n">
        <f aca="false" t="array" ref="C83:C83">SUM(IF($B83=DATOS_[Sexo], IF($B81=DATOS_[AGRUP. VALOR. PTO.], IF("Dentro"=DATOS_[Check Periodo Ref.], 1/(COUNTIFS(DATOS_[Sexo],$B83,DATOS_[AGRUP. VALOR. PTO.],$B81,DATOS_[Check Periodo Ref.],"Dentro",DATOS_[id],DATOS_[id]))))))</f>
        <v>0</v>
      </c>
      <c r="D83" s="248" t="n">
        <f aca="false">COUNTIFS(DATOS_[AGRUP. VALOR. PTO.],$B81,DATOS_[Sexo],$B83,DATOS_[Check Periodo Ref.],"Dentro")</f>
        <v>0</v>
      </c>
      <c r="E83" s="248" t="n">
        <f aca="false">COUNTIFS(DATOS_[AGRUP. VALOR. PTO.],$B81,DATOS_[Sexo],$B83,DATOS_[Check Periodo Ref.],"Dentro",DATOS_[Check Nº SC Norm],"Sí")</f>
        <v>0</v>
      </c>
      <c r="F83" s="248" t="n">
        <f aca="false">COUNTIFS(DATOS_[AGRUP. VALOR. PTO.],$B81,DATOS_[Sexo],$B83,DATOS_[Check Periodo Ref.],"Dentro",DATOS_[Check Nº SC Anualiz],"Sí")</f>
        <v>0</v>
      </c>
      <c r="G83" s="248" t="n">
        <f aca="false">COUNTIFS(DATOS_[AGRUP. VALOR. PTO.],$B81,DATOS_[Sexo],$B83,DATOS_[Check Periodo Ref.],"Dentro",DATOS_[Check Nº SC Norm y Anualiz],"Sí")</f>
        <v>0</v>
      </c>
      <c r="H83" s="248" t="n">
        <f aca="false">COUNTIFS(DATOS_[AGRUP. VALOR. PTO.],$B81,DATOS_[Sexo],$B83,DATOS_[Check Periodo Ref.],"Dentro",DATOS_[Check Equiparación],"Sí")</f>
        <v>0</v>
      </c>
      <c r="I83" s="249" t="n">
        <f aca="false" t="array" ref="I83:I83">IFERROR( MEDIAN(IF(DATOS_[Sexo]=$B83,IF(DATOS_[[AGRUP. VALOR. PTO.]:[AGRUP. VALOR. PTO.]]=$B81,IF(DATOS_[Check Equiparado]="Sí",IF(DATOS_[Check Periodo Ref.]="Dentro",DATOS_[SALARIO BASE Eq],0))))), 0)</f>
        <v>0</v>
      </c>
      <c r="J83" s="250" t="n">
        <f aca="false" t="array" ref="J83:J83">IFERROR( (MEDIAN((IF(DATOS_[[Sexo]:[Sexo]]=$B83,IF(DATOS_[[AGRUP. VALOR. PTO.]:[AGRUP. VALOR. PTO.]]=$B81,IF(DATOS_[[Check Periodo Ref.]:[Check Periodo Ref.]]="Dentro",IF(DATOS_[[Check Equiparado]:[Check Equiparado]]="Sí",IF(DATOS!AE$4="Sí",(1/DATOS_[[% anualiz]:[% anualiz]]),1)*IF(DATOS!AE$5="Sí",1/DATOS_[[% normaliz]:[% normaliz]],1)*(DATOS_[Conc.Sal.01])))))))), 0)</f>
        <v>0</v>
      </c>
      <c r="K83" s="250" t="n">
        <f aca="false" t="array" ref="K83:K83">IFERROR( (MEDIAN((IF(DATOS_[[Sexo]:[Sexo]]=$B83,IF(DATOS_[[AGRUP. VALOR. PTO.]:[AGRUP. VALOR. PTO.]]=$B81,IF(DATOS_[[Check Periodo Ref.]:[Check Periodo Ref.]]="Dentro",IF(DATOS_[[Check Equiparado]:[Check Equiparado]]="Sí",IF(DATOS!AF$4="Sí",(1/DATOS_[[% anualiz]:[% anualiz]]),1)*IF(DATOS!AF$5="Sí",1/DATOS_[[% normaliz]:[% normaliz]],1)*(DATOS_[Conc.Sal.02])))))))), 0)</f>
        <v>0</v>
      </c>
      <c r="L83" s="250" t="n">
        <f aca="false" t="array" ref="L83:L83">IFERROR( (MEDIAN((IF(DATOS_[[Sexo]:[Sexo]]=$B83,IF(DATOS_[[AGRUP. VALOR. PTO.]:[AGRUP. VALOR. PTO.]]=$B81,IF(DATOS_[[Check Periodo Ref.]:[Check Periodo Ref.]]="Dentro",IF(DATOS_[[Check Equiparado]:[Check Equiparado]]="Sí",IF(DATOS!AG$4="Sí",(1/DATOS_[[% anualiz]:[% anualiz]]),1)*IF(DATOS!AG$5="Sí",1/DATOS_[[% normaliz]:[% normaliz]],1)*(DATOS_[Conc.Sal.03])))))))), 0)</f>
        <v>0</v>
      </c>
      <c r="M83" s="250" t="n">
        <f aca="false" t="array" ref="M83:M83">IFERROR( (MEDIAN((IF(DATOS_[[Sexo]:[Sexo]]=$B83,IF(DATOS_[[AGRUP. VALOR. PTO.]:[AGRUP. VALOR. PTO.]]=$B81,IF(DATOS_[[Check Periodo Ref.]:[Check Periodo Ref.]]="Dentro",IF(DATOS_[[Check Equiparado]:[Check Equiparado]]="Sí",IF(DATOS!AH$4="Sí",(1/DATOS_[[% anualiz]:[% anualiz]]),1)*IF(DATOS!AH$5="Sí",1/DATOS_[[% normaliz]:[% normaliz]],1)*(DATOS_[Conc.Sal.04])))))))), 0)</f>
        <v>0</v>
      </c>
      <c r="N83" s="250" t="n">
        <f aca="false" t="array" ref="N83:N83">IFERROR( (MEDIAN((IF(DATOS_[[Sexo]:[Sexo]]=$B83,IF(DATOS_[[AGRUP. VALOR. PTO.]:[AGRUP. VALOR. PTO.]]=$B81,IF(DATOS_[[Check Periodo Ref.]:[Check Periodo Ref.]]="Dentro",IF(DATOS_[[Check Equiparado]:[Check Equiparado]]="Sí",IF(DATOS!AI$4="Sí",(1/DATOS_[[% anualiz]:[% anualiz]]),1)*IF(DATOS!AI$5="Sí",1/DATOS_[[% normaliz]:[% normaliz]],1)*(DATOS_[Conc.Sal.05])))))))), 0)</f>
        <v>0</v>
      </c>
      <c r="O83" s="250" t="n">
        <f aca="false" t="array" ref="O83:O83">IFERROR( (MEDIAN((IF(DATOS_[[Sexo]:[Sexo]]=$B83,IF(DATOS_[[AGRUP. VALOR. PTO.]:[AGRUP. VALOR. PTO.]]=$B81,IF(DATOS_[[Check Periodo Ref.]:[Check Periodo Ref.]]="Dentro",IF(DATOS_[[Check Equiparado]:[Check Equiparado]]="Sí",IF(DATOS!AJ$4="Sí",(1/DATOS_[[% anualiz]:[% anualiz]]),1)*IF(DATOS!AJ$5="Sí",1/DATOS_[[% normaliz]:[% normaliz]],1)*(DATOS_[Conc.Sal.06])))))))), 0)</f>
        <v>0</v>
      </c>
      <c r="P83" s="250" t="n">
        <f aca="false" t="array" ref="P83:P83">IFERROR( (MEDIAN((IF(DATOS_[[Sexo]:[Sexo]]=$B83,IF(DATOS_[[AGRUP. VALOR. PTO.]:[AGRUP. VALOR. PTO.]]=$B81,IF(DATOS_[[Check Periodo Ref.]:[Check Periodo Ref.]]="Dentro",IF(DATOS_[[Check Equiparado]:[Check Equiparado]]="Sí",IF(DATOS!AK$4="Sí",(1/DATOS_[[% anualiz]:[% anualiz]]),1)*IF(DATOS!AK$5="Sí",1/DATOS_[[% normaliz]:[% normaliz]],1)*(DATOS_[Conc.Sal.07])))))))), 0)</f>
        <v>0</v>
      </c>
      <c r="Q83" s="250" t="n">
        <f aca="false" t="array" ref="Q83:Q83">IFERROR( (MEDIAN((IF(DATOS_[[Sexo]:[Sexo]]=$B83,IF(DATOS_[[AGRUP. VALOR. PTO.]:[AGRUP. VALOR. PTO.]]=$B81,IF(DATOS_[[Check Periodo Ref.]:[Check Periodo Ref.]]="Dentro",IF(DATOS_[[Check Equiparado]:[Check Equiparado]]="Sí",IF(DATOS!AL$4="Sí",(1/DATOS_[[% anualiz]:[% anualiz]]),1)*IF(DATOS!AL$5="Sí",1/DATOS_[[% normaliz]:[% normaliz]],1)*(DATOS_[Conc.Sal.08])))))))), 0)</f>
        <v>0</v>
      </c>
      <c r="R83" s="250" t="n">
        <f aca="false" t="array" ref="R83:R83">IFERROR( (MEDIAN((IF(DATOS_[[Sexo]:[Sexo]]=$B83,IF(DATOS_[[AGRUP. VALOR. PTO.]:[AGRUP. VALOR. PTO.]]=$B81,IF(DATOS_[[Check Periodo Ref.]:[Check Periodo Ref.]]="Dentro",IF(DATOS_[[Check Equiparado]:[Check Equiparado]]="Sí",IF(DATOS!AM$4="Sí",(1/DATOS_[[% anualiz]:[% anualiz]]),1)*IF(DATOS!AM$5="Sí",1/DATOS_[[% normaliz]:[% normaliz]],1)*(DATOS_[Conc.Sal.09])))))))), 0)</f>
        <v>0</v>
      </c>
      <c r="S83" s="250" t="n">
        <f aca="false" t="array" ref="S83:S83">IFERROR( (MEDIAN((IF(DATOS_[[Sexo]:[Sexo]]=$B83,IF(DATOS_[[AGRUP. VALOR. PTO.]:[AGRUP. VALOR. PTO.]]=$B81,IF(DATOS_[[Check Periodo Ref.]:[Check Periodo Ref.]]="Dentro",IF(DATOS_[[Check Equiparado]:[Check Equiparado]]="Sí",IF(DATOS!AN$4="Sí",(1/DATOS_[[% anualiz]:[% anualiz]]),1)*IF(DATOS!AN$5="Sí",1/DATOS_[[% normaliz]:[% normaliz]],1)*(DATOS_[Conc.Sal.10])))))))), 0)</f>
        <v>0</v>
      </c>
      <c r="T83" s="250" t="n">
        <f aca="false" t="array" ref="T83:T83">IFERROR( (MEDIAN((IF(DATOS_[[Sexo]:[Sexo]]=$B83,IF(DATOS_[[AGRUP. VALOR. PTO.]:[AGRUP. VALOR. PTO.]]=$B81,IF(DATOS_[[Check Periodo Ref.]:[Check Periodo Ref.]]="Dentro",IF(DATOS_[[Check Equiparado]:[Check Equiparado]]="Sí",IF(DATOS!AO$4="Sí",(1/DATOS_[[% anualiz]:[% anualiz]]),1)*IF(DATOS!AO$5="Sí",1/DATOS_[[% normaliz]:[% normaliz]],1)*(DATOS_[Conc.Sal.11])))))))), 0)</f>
        <v>0</v>
      </c>
      <c r="U83" s="250" t="n">
        <f aca="false" t="array" ref="U83:U83">IFERROR( (MEDIAN((IF(DATOS_[[Sexo]:[Sexo]]=$B83,IF(DATOS_[[AGRUP. VALOR. PTO.]:[AGRUP. VALOR. PTO.]]=$B81,IF(DATOS_[[Check Periodo Ref.]:[Check Periodo Ref.]]="Dentro",IF(DATOS_[[Check Equiparado]:[Check Equiparado]]="Sí",IF(DATOS!AP$4="Sí",(1/DATOS_[[% anualiz]:[% anualiz]]),1)*IF(DATOS!AP$5="Sí",1/DATOS_[[% normaliz]:[% normaliz]],1)*(DATOS_[Conc.Sal.12])))))))), 0)</f>
        <v>0</v>
      </c>
      <c r="V83" s="250" t="n">
        <f aca="false" t="array" ref="V83:V83">IFERROR( (MEDIAN((IF(DATOS_[[Sexo]:[Sexo]]=$B83,IF(DATOS_[[AGRUP. VALOR. PTO.]:[AGRUP. VALOR. PTO.]]=$B81,IF(DATOS_[[Check Periodo Ref.]:[Check Periodo Ref.]]="Dentro",IF(DATOS_[[Check Equiparado]:[Check Equiparado]]="Sí",IF(DATOS!AQ$4="Sí",(1/DATOS_[[% anualiz]:[% anualiz]]),1)*IF(DATOS!AQ$5="Sí",1/DATOS_[[% normaliz]:[% normaliz]],1)*(DATOS_[Conc.Sal.13])))))))), 0)</f>
        <v>0</v>
      </c>
      <c r="W83" s="250" t="n">
        <f aca="false" t="array" ref="W83:W83">IFERROR( (MEDIAN((IF(DATOS_[[Sexo]:[Sexo]]=$B83,IF(DATOS_[[AGRUP. VALOR. PTO.]:[AGRUP. VALOR. PTO.]]=$B81,IF(DATOS_[[Check Periodo Ref.]:[Check Periodo Ref.]]="Dentro",IF(DATOS_[[Check Equiparado]:[Check Equiparado]]="Sí",IF(DATOS!AR$4="Sí",(1/DATOS_[[% anualiz]:[% anualiz]]),1)*IF(DATOS!AR$5="Sí",1/DATOS_[[% normaliz]:[% normaliz]],1)*(DATOS_[Conc.Sal.14])))))))), 0)</f>
        <v>0</v>
      </c>
      <c r="X83" s="250" t="n">
        <f aca="false" t="array" ref="X83:X83">IFERROR( (MEDIAN((IF(DATOS_[[Sexo]:[Sexo]]=$B83,IF(DATOS_[[AGRUP. VALOR. PTO.]:[AGRUP. VALOR. PTO.]]=$B81,IF(DATOS_[[Check Periodo Ref.]:[Check Periodo Ref.]]="Dentro",IF(DATOS_[[Check Equiparado]:[Check Equiparado]]="Sí",IF(DATOS!AS$4="Sí",(1/DATOS_[[% anualiz]:[% anualiz]]),1)*IF(DATOS!AS$5="Sí",1/DATOS_[[% normaliz]:[% normaliz]],1)*(DATOS_[Conc.Sal.15])))))))), 0)</f>
        <v>0</v>
      </c>
      <c r="Y83" s="250" t="n">
        <f aca="false" t="array" ref="Y83:Y83">IFERROR( (MEDIAN((IF(DATOS_[[Sexo]:[Sexo]]=$B83,IF(DATOS_[[AGRUP. VALOR. PTO.]:[AGRUP. VALOR. PTO.]]=$B81,IF(DATOS_[[Check Periodo Ref.]:[Check Periodo Ref.]]="Dentro",IF(DATOS_[[Check Equiparado]:[Check Equiparado]]="Sí",IF(DATOS!AT$4="Sí",(1/DATOS_[[% anualiz]:[% anualiz]]),1)*IF(DATOS!AT$5="Sí",1/DATOS_[[% normaliz]:[% normaliz]],1)*(DATOS_[Conc.Sal.16])))))))), 0)</f>
        <v>0</v>
      </c>
      <c r="Z83" s="250" t="n">
        <f aca="false" t="array" ref="Z83:Z83">IFERROR( (MEDIAN((IF(DATOS_[[Sexo]:[Sexo]]=$B83,IF(DATOS_[[AGRUP. VALOR. PTO.]:[AGRUP. VALOR. PTO.]]=$B81,IF(DATOS_[[Check Periodo Ref.]:[Check Periodo Ref.]]="Dentro",IF(DATOS_[[Check Equiparado]:[Check Equiparado]]="Sí",IF(DATOS!AU$4="Sí",(1/DATOS_[[% anualiz]:[% anualiz]]),1)*IF(DATOS!AU$5="Sí",1/DATOS_[[% normaliz]:[% normaliz]],1)*(DATOS_[Conc.Sal.17])))))))), 0)</f>
        <v>0</v>
      </c>
      <c r="AA83" s="250" t="n">
        <f aca="false" t="array" ref="AA83:AA83">IFERROR( (MEDIAN((IF(DATOS_[[Sexo]:[Sexo]]=$B83,IF(DATOS_[[AGRUP. VALOR. PTO.]:[AGRUP. VALOR. PTO.]]=$B81,IF(DATOS_[[Check Periodo Ref.]:[Check Periodo Ref.]]="Dentro",IF(DATOS_[[Check Equiparado]:[Check Equiparado]]="Sí",IF(DATOS!AV$4="Sí",(1/DATOS_[[% anualiz]:[% anualiz]]),1)*IF(DATOS!AV$5="Sí",1/DATOS_[[% normaliz]:[% normaliz]],1)*(DATOS_[Conc.Sal.18])))))))), 0)</f>
        <v>0</v>
      </c>
      <c r="AB83" s="250" t="n">
        <f aca="false" t="array" ref="AB83:AB83">IFERROR( (MEDIAN((IF(DATOS_[[Sexo]:[Sexo]]=$B83,IF(DATOS_[[AGRUP. VALOR. PTO.]:[AGRUP. VALOR. PTO.]]=$B81,IF(DATOS_[[Check Periodo Ref.]:[Check Periodo Ref.]]="Dentro",IF(DATOS_[[Check Equiparado]:[Check Equiparado]]="Sí",IF(DATOS!AW$4="Sí",(1/DATOS_[[% anualiz]:[% anualiz]]),1)*IF(DATOS!AW$5="Sí",1/DATOS_[[% normaliz]:[% normaliz]],1)*(DATOS_[Conc.Sal.19])))))))), 0)</f>
        <v>0</v>
      </c>
      <c r="AC83" s="250" t="n">
        <f aca="false" t="array" ref="AC83:AC83">IFERROR( (MEDIAN((IF(DATOS_[[Sexo]:[Sexo]]=$B83,IF(DATOS_[[AGRUP. VALOR. PTO.]:[AGRUP. VALOR. PTO.]]=$B81,IF(DATOS_[[Check Periodo Ref.]:[Check Periodo Ref.]]="Dentro",IF(DATOS_[[Check Equiparado]:[Check Equiparado]]="Sí",IF(DATOS!AX$4="Sí",(1/DATOS_[[% anualiz]:[% anualiz]]),1)*IF(DATOS!AX$5="Sí",1/DATOS_[[% normaliz]:[% normaliz]],1)*(DATOS_[Conc.Sal.20])))))))), 0)</f>
        <v>0</v>
      </c>
      <c r="AD83" s="250" t="n">
        <f aca="false" t="array" ref="AD83:AD83">IFERROR( (MEDIAN((IF(DATOS_[[Sexo]:[Sexo]]=$B83,IF(DATOS_[[AGRUP. VALOR. PTO.]:[AGRUP. VALOR. PTO.]]=$B81,IF(DATOS_[[Check Periodo Ref.]:[Check Periodo Ref.]]="Dentro",IF(DATOS_[[Check Equiparado]:[Check Equiparado]]="Sí",IF(DATOS!AY$4="Sí",(1/DATOS_[[% anualiz]:[% anualiz]]),1)*IF(DATOS!AY$5="Sí",1/DATOS_[[% normaliz]:[% normaliz]],1)*(DATOS_[Conc.Sal.21])))))))), 0)</f>
        <v>0</v>
      </c>
      <c r="AE83" s="250" t="n">
        <f aca="false" t="array" ref="AE83:AE83">IFERROR( (MEDIAN((IF(DATOS_[[Sexo]:[Sexo]]=$B83,IF(DATOS_[[AGRUP. VALOR. PTO.]:[AGRUP. VALOR. PTO.]]=$B81,IF(DATOS_[[Check Periodo Ref.]:[Check Periodo Ref.]]="Dentro",IF(DATOS_[[Check Equiparado]:[Check Equiparado]]="Sí",IF(DATOS!AZ$4="Sí",(1/DATOS_[[% anualiz]:[% anualiz]]),1)*IF(DATOS!AZ$5="Sí",1/DATOS_[[% normaliz]:[% normaliz]],1)*(DATOS_[Conc.Sal.22])))))))), 0)</f>
        <v>0</v>
      </c>
      <c r="AF83" s="250" t="n">
        <f aca="false" t="array" ref="AF83:AF83">IFERROR( (MEDIAN((IF(DATOS_[[Sexo]:[Sexo]]=$B83,IF(DATOS_[[AGRUP. VALOR. PTO.]:[AGRUP. VALOR. PTO.]]=$B81,IF(DATOS_[[Check Periodo Ref.]:[Check Periodo Ref.]]="Dentro",IF(DATOS_[[Check Equiparado]:[Check Equiparado]]="Sí",IF(DATOS!BA$4="Sí",(1/DATOS_[[% anualiz]:[% anualiz]]),1)*IF(DATOS!BA$5="Sí",1/DATOS_[[% normaliz]:[% normaliz]],1)*(DATOS_[Conc.Sal.23])))))))), 0)</f>
        <v>0</v>
      </c>
      <c r="AG83" s="250" t="n">
        <f aca="false" t="array" ref="AG83:AG83">IFERROR( (MEDIAN((IF(DATOS_[[Sexo]:[Sexo]]=$B83,IF(DATOS_[[AGRUP. VALOR. PTO.]:[AGRUP. VALOR. PTO.]]=$B81,IF(DATOS_[[Check Periodo Ref.]:[Check Periodo Ref.]]="Dentro",IF(DATOS_[[Check Equiparado]:[Check Equiparado]]="Sí",IF(DATOS!BB$4="Sí",(1/DATOS_[[% anualiz]:[% anualiz]]),1)*IF(DATOS!BB$5="Sí",1/DATOS_[[% normaliz]:[% normaliz]],1)*(DATOS_[Conc.Sal.24])))))))), 0)</f>
        <v>0</v>
      </c>
      <c r="AH83" s="250" t="n">
        <f aca="false" t="array" ref="AH83:AH83">IFERROR( (MEDIAN((IF(DATOS_[[Sexo]:[Sexo]]=$B83,IF(DATOS_[[AGRUP. VALOR. PTO.]:[AGRUP. VALOR. PTO.]]=$B81,IF(DATOS_[[Check Periodo Ref.]:[Check Periodo Ref.]]="Dentro",IF(DATOS_[[Check Equiparado]:[Check Equiparado]]="Sí",IF(DATOS!BC$4="Sí",(1/DATOS_[[% anualiz]:[% anualiz]]),1)*IF(DATOS!BC$5="Sí",1/DATOS_[[% normaliz]:[% normaliz]],1)*(DATOS_[Conc.Sal.25])))))))), 0)</f>
        <v>0</v>
      </c>
      <c r="AI83" s="250" t="n">
        <f aca="false" t="array" ref="AI83:AI83">IFERROR( (MEDIAN((IF(DATOS_[[Sexo]:[Sexo]]=$B83,IF(DATOS_[[AGRUP. VALOR. PTO.]:[AGRUP. VALOR. PTO.]]=$B81,IF(DATOS_[[Check Periodo Ref.]:[Check Periodo Ref.]]="Dentro",IF(DATOS_[[Check Equiparado]:[Check Equiparado]]="Sí",IF(DATOS!BD$4="Sí",(1/DATOS_[[% anualiz]:[% anualiz]]),1)*IF(DATOS!BD$5="Sí",1/DATOS_[[% normaliz]:[% normaliz]],1)*(DATOS_[Conc.Sal.26])))))))), 0)</f>
        <v>0</v>
      </c>
      <c r="AJ83" s="250" t="n">
        <f aca="false" t="array" ref="AJ83:AJ83">IFERROR( (MEDIAN((IF(DATOS_[[Sexo]:[Sexo]]=$B83,IF(DATOS_[[AGRUP. VALOR. PTO.]:[AGRUP. VALOR. PTO.]]=$B81,IF(DATOS_[[Check Periodo Ref.]:[Check Periodo Ref.]]="Dentro",IF(DATOS_[[Check Equiparado]:[Check Equiparado]]="Sí",IF(DATOS!BE$4="Sí",(1/DATOS_[[% anualiz]:[% anualiz]]),1)*IF(DATOS!BE$5="Sí",1/DATOS_[[% normaliz]:[% normaliz]],1)*(DATOS_[Conc.Sal.27])))))))), 0)</f>
        <v>0</v>
      </c>
      <c r="AK83" s="250" t="n">
        <f aca="false" t="array" ref="AK83:AK83">IFERROR( (MEDIAN((IF(DATOS_[[Sexo]:[Sexo]]=$B83,IF(DATOS_[[AGRUP. VALOR. PTO.]:[AGRUP. VALOR. PTO.]]=$B81,IF(DATOS_[[Check Periodo Ref.]:[Check Periodo Ref.]]="Dentro",IF(DATOS_[[Check Equiparado]:[Check Equiparado]]="Sí",IF(DATOS!BF$4="Sí",(1/DATOS_[[% anualiz]:[% anualiz]]),1)*IF(DATOS!BF$5="Sí",1/DATOS_[[% normaliz]:[% normaliz]],1)*(DATOS_[Conc.Sal.28])))))))), 0)</f>
        <v>0</v>
      </c>
      <c r="AL83" s="250" t="n">
        <f aca="false" t="array" ref="AL83:AL83">IFERROR( (MEDIAN((IF(DATOS_[[Sexo]:[Sexo]]=$B83,IF(DATOS_[[AGRUP. VALOR. PTO.]:[AGRUP. VALOR. PTO.]]=$B81,IF(DATOS_[[Check Periodo Ref.]:[Check Periodo Ref.]]="Dentro",IF(DATOS_[[Check Equiparado]:[Check Equiparado]]="Sí",IF(DATOS!BG$4="Sí",(1/DATOS_[[% anualiz]:[% anualiz]]),1)*IF(DATOS!BG$5="Sí",1/DATOS_[[% normaliz]:[% normaliz]],1)*(DATOS_[Conc.Sal.29])))))))), 0)</f>
        <v>0</v>
      </c>
      <c r="AM83" s="250" t="n">
        <f aca="false" t="array" ref="AM83:AM83">IFERROR( (MEDIAN((IF(DATOS_[[Sexo]:[Sexo]]=$B83,IF(DATOS_[[AGRUP. VALOR. PTO.]:[AGRUP. VALOR. PTO.]]=$B81,IF(DATOS_[[Check Periodo Ref.]:[Check Periodo Ref.]]="Dentro",IF(DATOS_[[Check Equiparado]:[Check Equiparado]]="Sí",IF(DATOS!BH$4="Sí",(1/DATOS_[[% anualiz]:[% anualiz]]),1)*IF(DATOS!BH$5="Sí",1/DATOS_[[% normaliz]:[% normaliz]],1)*(DATOS_[Conc.Sal.30])))))))), 0)</f>
        <v>0</v>
      </c>
      <c r="AN83" s="251" t="n">
        <f aca="false" t="array" ref="AN83:AN83">IFERROR( MEDIAN(IF(DATOS_[Sexo]=$B83,IF(DATOS_[[AGRUP. VALOR. PTO.]:[AGRUP. VALOR. PTO.]]=$B81,IF(DATOS_[Check Equiparado]="Sí",IF(DATOS_[Check Periodo Ref.]="Dentro",DATOS_[Tot COMPL.SAL Eq],0))))), 0)</f>
        <v>0</v>
      </c>
      <c r="AO83" s="252" t="n">
        <f aca="false" t="array" ref="AO83:AO83">IFERROR( MEDIAN(IF(DATOS_[Sexo]=$B83,IF(DATOS_[[AGRUP. VALOR. PTO.]:[AGRUP. VALOR. PTO.]]=$B81,IF(DATOS_[Check Equiparado]="Sí",IF(DATOS_[Check Periodo Ref.]="Dentro",DATOS_[TOTAL SALARIO Eq],0))))), 0)</f>
        <v>0</v>
      </c>
      <c r="AP83" s="259" t="n">
        <f aca="false" t="array" ref="AP83:AP83">IFERROR( (MEDIAN((IF(DATOS_[[Sexo]:[Sexo]]=$B83,IF(DATOS_[[AGRUP. VALOR. PTO.]:[AGRUP. VALOR. PTO.]]=$B82,IF(DATOS_[[Check Periodo Ref.]:[Check Periodo Ref.]]="Dentro",IF(DATOS_[[Check Equiparado]:[Check Equiparado]]="Sí",IF(DATOS!BI$4="Sí",(1/DATOS_[[% anualiz]:[% anualiz]]),1)*IF(DATOS!BI$5="Sí",1/DATOS_[[% normaliz]:[% normaliz]],1)*(DATOS_[C.Extra.01])))))))), 0)</f>
        <v>0</v>
      </c>
      <c r="AQ83" s="259" t="n">
        <f aca="false" t="array" ref="AQ83:AQ83">IFERROR( (MEDIAN((IF(DATOS_[[Sexo]:[Sexo]]=$B83,IF(DATOS_[[AGRUP. VALOR. PTO.]:[AGRUP. VALOR. PTO.]]=$B82,IF(DATOS_[[Check Periodo Ref.]:[Check Periodo Ref.]]="Dentro",IF(DATOS_[[Check Equiparado]:[Check Equiparado]]="Sí",IF(DATOS!BJ$4="Sí",(1/DATOS_[[% anualiz]:[% anualiz]]),1)*IF(DATOS!BJ$5="Sí",1/DATOS_[[% normaliz]:[% normaliz]],1)*(DATOS_[C.Extra.02])))))))), 0)</f>
        <v>0</v>
      </c>
      <c r="AR83" s="259" t="n">
        <f aca="false" t="array" ref="AR83:AR83">IFERROR( (MEDIAN((IF(DATOS_[[Sexo]:[Sexo]]=$B83,IF(DATOS_[[AGRUP. VALOR. PTO.]:[AGRUP. VALOR. PTO.]]=$B82,IF(DATOS_[[Check Periodo Ref.]:[Check Periodo Ref.]]="Dentro",IF(DATOS_[[Check Equiparado]:[Check Equiparado]]="Sí",IF(DATOS!BK$4="Sí",(1/DATOS_[[% anualiz]:[% anualiz]]),1)*IF(DATOS!BK$5="Sí",1/DATOS_[[% normaliz]:[% normaliz]],1)*(DATOS_[C.Extra.03])))))))), 0)</f>
        <v>0</v>
      </c>
      <c r="AS83" s="259" t="n">
        <f aca="false" t="array" ref="AS83:AS83">IFERROR( (MEDIAN((IF(DATOS_[[Sexo]:[Sexo]]=$B83,IF(DATOS_[[AGRUP. VALOR. PTO.]:[AGRUP. VALOR. PTO.]]=$B82,IF(DATOS_[[Check Periodo Ref.]:[Check Periodo Ref.]]="Dentro",IF(DATOS_[[Check Equiparado]:[Check Equiparado]]="Sí",IF(DATOS!BL$4="Sí",(1/DATOS_[[% anualiz]:[% anualiz]]),1)*IF(DATOS!BL$5="Sí",1/DATOS_[[% normaliz]:[% normaliz]],1)*(DATOS_[C.Extra.04])))))))), 0)</f>
        <v>0</v>
      </c>
      <c r="AT83" s="259" t="n">
        <f aca="false" t="array" ref="AT83:AT83">IFERROR( (MEDIAN((IF(DATOS_[[Sexo]:[Sexo]]=$B83,IF(DATOS_[[AGRUP. VALOR. PTO.]:[AGRUP. VALOR. PTO.]]=$B82,IF(DATOS_[[Check Periodo Ref.]:[Check Periodo Ref.]]="Dentro",IF(DATOS_[[Check Equiparado]:[Check Equiparado]]="Sí",IF(DATOS!BM$4="Sí",(1/DATOS_[[% anualiz]:[% anualiz]]),1)*IF(DATOS!BM$5="Sí",1/DATOS_[[% normaliz]:[% normaliz]],1)*(DATOS_[C.Extra.05])))))))), 0)</f>
        <v>0</v>
      </c>
      <c r="AU83" s="254" t="n">
        <f aca="false" t="array" ref="AU83:AU83">IFERROR( MEDIAN(IF(DATOS_[Sexo]=$B83,IF(DATOS_[[AGRUP. VALOR. PTO.]:[AGRUP. VALOR. PTO.]]=$B81,IF(DATOS_[Check Equiparado]="Sí",IF(DATOS_[Check Periodo Ref.]="Dentro",DATOS_[Tot Extrasalarial Eq],0))))), 0)</f>
        <v>0</v>
      </c>
      <c r="AV83" s="255" t="n">
        <f aca="false" t="array" ref="AV83:AV83">IFERROR( MEDIAN(IF(DATOS_[Sexo]=$B83,IF(DATOS_[[AGRUP. VALOR. PTO.]:[AGRUP. VALOR. PTO.]]=$B81,IF(DATOS_[Check Equiparado]="Sí",IF(DATOS_[Check Periodo Ref.]="Dentro",DATOS_[TOTAL Retrib Eq],0))))), 0)</f>
        <v>0</v>
      </c>
    </row>
    <row r="84" customFormat="false" ht="15.75" hidden="false" customHeight="false" outlineLevel="0" collapsed="false">
      <c r="A84" s="217" t="str">
        <f aca="false">+A85</f>
        <v>[ocultar]</v>
      </c>
      <c r="B84" s="320" t="s">
        <v>238</v>
      </c>
      <c r="C84" s="236"/>
      <c r="D84" s="237"/>
      <c r="E84" s="237"/>
      <c r="F84" s="237"/>
      <c r="G84" s="237"/>
      <c r="H84" s="237"/>
      <c r="I84" s="238" t="str">
        <f aca="false">IFERROR((I85-I86)/I85,"")</f>
        <v/>
      </c>
      <c r="J84" s="239" t="str">
        <f aca="false">IFERROR((J85-J86)/J85,"")</f>
        <v/>
      </c>
      <c r="K84" s="239" t="str">
        <f aca="false">IFERROR((K85-K86)/K85,"")</f>
        <v/>
      </c>
      <c r="L84" s="239" t="str">
        <f aca="false">IFERROR((L85-L86)/L85,"")</f>
        <v/>
      </c>
      <c r="M84" s="239" t="str">
        <f aca="false">IFERROR((M85-M86)/M85,"")</f>
        <v/>
      </c>
      <c r="N84" s="239" t="str">
        <f aca="false">IFERROR((N85-N86)/N85,"")</f>
        <v/>
      </c>
      <c r="O84" s="239" t="str">
        <f aca="false">IFERROR((O85-O86)/O85,"")</f>
        <v/>
      </c>
      <c r="P84" s="239" t="str">
        <f aca="false">IFERROR((P85-P86)/P85,"")</f>
        <v/>
      </c>
      <c r="Q84" s="239" t="str">
        <f aca="false">IFERROR((Q85-Q86)/Q85,"")</f>
        <v/>
      </c>
      <c r="R84" s="239" t="str">
        <f aca="false">IFERROR((R85-R86)/R85,"")</f>
        <v/>
      </c>
      <c r="S84" s="239" t="str">
        <f aca="false">IFERROR((S85-S86)/S85,"")</f>
        <v/>
      </c>
      <c r="T84" s="239" t="str">
        <f aca="false">IFERROR((T85-T86)/T85,"")</f>
        <v/>
      </c>
      <c r="U84" s="239" t="str">
        <f aca="false">IFERROR((U85-U86)/U85,"")</f>
        <v/>
      </c>
      <c r="V84" s="239" t="str">
        <f aca="false">IFERROR((V85-V86)/V85,"")</f>
        <v/>
      </c>
      <c r="W84" s="239" t="str">
        <f aca="false">IFERROR((W85-W86)/W85,"")</f>
        <v/>
      </c>
      <c r="X84" s="239" t="str">
        <f aca="false">IFERROR((X85-X86)/X85,"")</f>
        <v/>
      </c>
      <c r="Y84" s="239" t="str">
        <f aca="false">IFERROR((Y85-Y86)/Y85,"")</f>
        <v/>
      </c>
      <c r="Z84" s="240" t="str">
        <f aca="false">IFERROR((Z85-Z86)/Z85,"")</f>
        <v/>
      </c>
      <c r="AA84" s="240" t="str">
        <f aca="false">IFERROR((AA85-AA86)/AA85,"")</f>
        <v/>
      </c>
      <c r="AB84" s="240" t="str">
        <f aca="false">IFERROR((AB85-AB86)/AB85,"")</f>
        <v/>
      </c>
      <c r="AC84" s="240" t="str">
        <f aca="false">IFERROR((AC85-AC86)/AC85,"")</f>
        <v/>
      </c>
      <c r="AD84" s="240" t="str">
        <f aca="false">IFERROR((AD85-AD86)/AD85,"")</f>
        <v/>
      </c>
      <c r="AE84" s="240" t="str">
        <f aca="false">IFERROR((AE85-AE86)/AE85,"")</f>
        <v/>
      </c>
      <c r="AF84" s="240" t="str">
        <f aca="false">IFERROR((AF85-AF86)/AF85,"")</f>
        <v/>
      </c>
      <c r="AG84" s="240" t="str">
        <f aca="false">IFERROR((AG85-AG86)/AG85,"")</f>
        <v/>
      </c>
      <c r="AH84" s="240" t="str">
        <f aca="false">IFERROR((AH85-AH86)/AH85,"")</f>
        <v/>
      </c>
      <c r="AI84" s="240" t="str">
        <f aca="false">IFERROR((AI85-AI86)/AI85,"")</f>
        <v/>
      </c>
      <c r="AJ84" s="240" t="str">
        <f aca="false">IFERROR((AJ85-AJ86)/AJ85,"")</f>
        <v/>
      </c>
      <c r="AK84" s="240" t="str">
        <f aca="false">IFERROR((AK85-AK86)/AK85,"")</f>
        <v/>
      </c>
      <c r="AL84" s="240" t="str">
        <f aca="false">IFERROR((AL85-AL86)/AL85,"")</f>
        <v/>
      </c>
      <c r="AM84" s="240" t="str">
        <f aca="false">IFERROR((AM85-AM86)/AM85,"")</f>
        <v/>
      </c>
      <c r="AN84" s="241" t="str">
        <f aca="false">IFERROR((AN85-AN86)/AN85,"")</f>
        <v/>
      </c>
      <c r="AO84" s="242" t="str">
        <f aca="false">IFERROR((AO85-AO86)/AO85,"")</f>
        <v/>
      </c>
      <c r="AP84" s="243" t="str">
        <f aca="false">IFERROR((AP85-AP86)/AP85,"")</f>
        <v/>
      </c>
      <c r="AQ84" s="243" t="str">
        <f aca="false">IFERROR((AQ85-AQ86)/AQ85,"")</f>
        <v/>
      </c>
      <c r="AR84" s="243" t="str">
        <f aca="false">IFERROR((AR85-AR86)/AR85,"")</f>
        <v/>
      </c>
      <c r="AS84" s="243" t="str">
        <f aca="false">IFERROR((AS85-AS86)/AS85,"")</f>
        <v/>
      </c>
      <c r="AT84" s="243" t="str">
        <f aca="false">IFERROR((AT85-AT86)/AT85,"")</f>
        <v/>
      </c>
      <c r="AU84" s="244" t="str">
        <f aca="false">IFERROR((AU85-AU86)/AU85,"")</f>
        <v/>
      </c>
      <c r="AV84" s="245" t="str">
        <f aca="false">IFERROR((AV85-AV86)/AV85,"")</f>
        <v/>
      </c>
    </row>
    <row r="85" customFormat="false" ht="14.25" hidden="false" customHeight="false" outlineLevel="0" collapsed="false">
      <c r="A85" s="217" t="str">
        <f aca="false">+IF(C85+C86=0,"[ocultar]","")</f>
        <v>[ocultar]</v>
      </c>
      <c r="B85" s="323" t="s">
        <v>371</v>
      </c>
      <c r="C85" s="247" t="n">
        <f aca="false" t="array" ref="C85:C85">SUM(IF($B85=DATOS_[Sexo], IF($B84=DATOS_[AGRUP. VALOR. PTO.], IF("Dentro"=DATOS_[Check Periodo Ref.], 1/(COUNTIFS(DATOS_[Sexo],$B85,DATOS_[AGRUP. VALOR. PTO.],$B84,DATOS_[Check Periodo Ref.],"Dentro",DATOS_[id],DATOS_[id]))))))</f>
        <v>0</v>
      </c>
      <c r="D85" s="248" t="n">
        <f aca="false">COUNTIFS(DATOS_[AGRUP. VALOR. PTO.],$B84,DATOS_[Sexo],$B85,DATOS_[Check Periodo Ref.],"Dentro")</f>
        <v>0</v>
      </c>
      <c r="E85" s="248" t="n">
        <f aca="false">COUNTIFS(DATOS_[AGRUP. VALOR. PTO.],$B84,DATOS_[Sexo],$B85,DATOS_[Check Periodo Ref.],"Dentro",DATOS_[Check Nº SC Norm],"Sí")</f>
        <v>0</v>
      </c>
      <c r="F85" s="248" t="n">
        <f aca="false">COUNTIFS(DATOS_[AGRUP. VALOR. PTO.],$B84,DATOS_[Sexo],$B85,DATOS_[Check Periodo Ref.],"Dentro",DATOS_[Check Nº SC Anualiz],"Sí")</f>
        <v>0</v>
      </c>
      <c r="G85" s="248" t="n">
        <f aca="false">COUNTIFS(DATOS_[AGRUP. VALOR. PTO.],$B84,DATOS_[Sexo],$B85,DATOS_[Check Periodo Ref.],"Dentro",DATOS_[Check Nº SC Norm y Anualiz],"Sí")</f>
        <v>0</v>
      </c>
      <c r="H85" s="248" t="n">
        <f aca="false">COUNTIFS(DATOS_[AGRUP. VALOR. PTO.],$B84,DATOS_[Sexo],$B85,DATOS_[Check Periodo Ref.],"Dentro",DATOS_[Check Equiparación],"Sí")</f>
        <v>0</v>
      </c>
      <c r="I85" s="249" t="n">
        <f aca="false" t="array" ref="I85:I85">IFERROR( MEDIAN(IF(DATOS_[Sexo]=$B85,IF(DATOS_[[AGRUP. VALOR. PTO.]:[AGRUP. VALOR. PTO.]]=$B84,IF(DATOS_[Check Equiparado]="Sí",IF(DATOS_[Check Periodo Ref.]="Dentro",DATOS_[SALARIO BASE Eq],0))))), 0)</f>
        <v>0</v>
      </c>
      <c r="J85" s="250" t="n">
        <f aca="false" t="array" ref="J85:J85">IFERROR( (MEDIAN((IF(DATOS_[[Sexo]:[Sexo]]=$B85,IF(DATOS_[[AGRUP. VALOR. PTO.]:[AGRUP. VALOR. PTO.]]=$B84,IF(DATOS_[[Check Periodo Ref.]:[Check Periodo Ref.]]="Dentro",IF(DATOS_[[Check Equiparado]:[Check Equiparado]]="Sí",IF(DATOS!AE$4="Sí",(1/DATOS_[[% anualiz]:[% anualiz]]),1)*IF(DATOS!AE$5="Sí",1/DATOS_[[% normaliz]:[% normaliz]],1)*(DATOS_[Conc.Sal.01])))))))), 0)</f>
        <v>0</v>
      </c>
      <c r="K85" s="250" t="n">
        <f aca="false" t="array" ref="K85:K85">IFERROR( (MEDIAN((IF(DATOS_[[Sexo]:[Sexo]]=$B85,IF(DATOS_[[AGRUP. VALOR. PTO.]:[AGRUP. VALOR. PTO.]]=$B84,IF(DATOS_[[Check Periodo Ref.]:[Check Periodo Ref.]]="Dentro",IF(DATOS_[[Check Equiparado]:[Check Equiparado]]="Sí",IF(DATOS!AF$4="Sí",(1/DATOS_[[% anualiz]:[% anualiz]]),1)*IF(DATOS!AF$5="Sí",1/DATOS_[[% normaliz]:[% normaliz]],1)*(DATOS_[Conc.Sal.02])))))))), 0)</f>
        <v>0</v>
      </c>
      <c r="L85" s="250" t="n">
        <f aca="false" t="array" ref="L85:L85">IFERROR( (MEDIAN((IF(DATOS_[[Sexo]:[Sexo]]=$B85,IF(DATOS_[[AGRUP. VALOR. PTO.]:[AGRUP. VALOR. PTO.]]=$B84,IF(DATOS_[[Check Periodo Ref.]:[Check Periodo Ref.]]="Dentro",IF(DATOS_[[Check Equiparado]:[Check Equiparado]]="Sí",IF(DATOS!AG$4="Sí",(1/DATOS_[[% anualiz]:[% anualiz]]),1)*IF(DATOS!AG$5="Sí",1/DATOS_[[% normaliz]:[% normaliz]],1)*(DATOS_[Conc.Sal.03])))))))), 0)</f>
        <v>0</v>
      </c>
      <c r="M85" s="250" t="n">
        <f aca="false" t="array" ref="M85:M85">IFERROR( (MEDIAN((IF(DATOS_[[Sexo]:[Sexo]]=$B85,IF(DATOS_[[AGRUP. VALOR. PTO.]:[AGRUP. VALOR. PTO.]]=$B84,IF(DATOS_[[Check Periodo Ref.]:[Check Periodo Ref.]]="Dentro",IF(DATOS_[[Check Equiparado]:[Check Equiparado]]="Sí",IF(DATOS!AH$4="Sí",(1/DATOS_[[% anualiz]:[% anualiz]]),1)*IF(DATOS!AH$5="Sí",1/DATOS_[[% normaliz]:[% normaliz]],1)*(DATOS_[Conc.Sal.04])))))))), 0)</f>
        <v>0</v>
      </c>
      <c r="N85" s="250" t="n">
        <f aca="false" t="array" ref="N85:N85">IFERROR( (MEDIAN((IF(DATOS_[[Sexo]:[Sexo]]=$B85,IF(DATOS_[[AGRUP. VALOR. PTO.]:[AGRUP. VALOR. PTO.]]=$B84,IF(DATOS_[[Check Periodo Ref.]:[Check Periodo Ref.]]="Dentro",IF(DATOS_[[Check Equiparado]:[Check Equiparado]]="Sí",IF(DATOS!AI$4="Sí",(1/DATOS_[[% anualiz]:[% anualiz]]),1)*IF(DATOS!AI$5="Sí",1/DATOS_[[% normaliz]:[% normaliz]],1)*(DATOS_[Conc.Sal.05])))))))), 0)</f>
        <v>0</v>
      </c>
      <c r="O85" s="250" t="n">
        <f aca="false" t="array" ref="O85:O85">IFERROR( (MEDIAN((IF(DATOS_[[Sexo]:[Sexo]]=$B85,IF(DATOS_[[AGRUP. VALOR. PTO.]:[AGRUP. VALOR. PTO.]]=$B84,IF(DATOS_[[Check Periodo Ref.]:[Check Periodo Ref.]]="Dentro",IF(DATOS_[[Check Equiparado]:[Check Equiparado]]="Sí",IF(DATOS!AJ$4="Sí",(1/DATOS_[[% anualiz]:[% anualiz]]),1)*IF(DATOS!AJ$5="Sí",1/DATOS_[[% normaliz]:[% normaliz]],1)*(DATOS_[Conc.Sal.06])))))))), 0)</f>
        <v>0</v>
      </c>
      <c r="P85" s="250" t="n">
        <f aca="false" t="array" ref="P85:P85">IFERROR( (MEDIAN((IF(DATOS_[[Sexo]:[Sexo]]=$B85,IF(DATOS_[[AGRUP. VALOR. PTO.]:[AGRUP. VALOR. PTO.]]=$B84,IF(DATOS_[[Check Periodo Ref.]:[Check Periodo Ref.]]="Dentro",IF(DATOS_[[Check Equiparado]:[Check Equiparado]]="Sí",IF(DATOS!AK$4="Sí",(1/DATOS_[[% anualiz]:[% anualiz]]),1)*IF(DATOS!AK$5="Sí",1/DATOS_[[% normaliz]:[% normaliz]],1)*(DATOS_[Conc.Sal.07])))))))), 0)</f>
        <v>0</v>
      </c>
      <c r="Q85" s="250" t="n">
        <f aca="false" t="array" ref="Q85:Q85">IFERROR( (MEDIAN((IF(DATOS_[[Sexo]:[Sexo]]=$B85,IF(DATOS_[[AGRUP. VALOR. PTO.]:[AGRUP. VALOR. PTO.]]=$B84,IF(DATOS_[[Check Periodo Ref.]:[Check Periodo Ref.]]="Dentro",IF(DATOS_[[Check Equiparado]:[Check Equiparado]]="Sí",IF(DATOS!AL$4="Sí",(1/DATOS_[[% anualiz]:[% anualiz]]),1)*IF(DATOS!AL$5="Sí",1/DATOS_[[% normaliz]:[% normaliz]],1)*(DATOS_[Conc.Sal.08])))))))), 0)</f>
        <v>0</v>
      </c>
      <c r="R85" s="250" t="n">
        <f aca="false" t="array" ref="R85:R85">IFERROR( (MEDIAN((IF(DATOS_[[Sexo]:[Sexo]]=$B85,IF(DATOS_[[AGRUP. VALOR. PTO.]:[AGRUP. VALOR. PTO.]]=$B84,IF(DATOS_[[Check Periodo Ref.]:[Check Periodo Ref.]]="Dentro",IF(DATOS_[[Check Equiparado]:[Check Equiparado]]="Sí",IF(DATOS!AM$4="Sí",(1/DATOS_[[% anualiz]:[% anualiz]]),1)*IF(DATOS!AM$5="Sí",1/DATOS_[[% normaliz]:[% normaliz]],1)*(DATOS_[Conc.Sal.09])))))))), 0)</f>
        <v>0</v>
      </c>
      <c r="S85" s="250" t="n">
        <f aca="false" t="array" ref="S85:S85">IFERROR( (MEDIAN((IF(DATOS_[[Sexo]:[Sexo]]=$B85,IF(DATOS_[[AGRUP. VALOR. PTO.]:[AGRUP. VALOR. PTO.]]=$B84,IF(DATOS_[[Check Periodo Ref.]:[Check Periodo Ref.]]="Dentro",IF(DATOS_[[Check Equiparado]:[Check Equiparado]]="Sí",IF(DATOS!AN$4="Sí",(1/DATOS_[[% anualiz]:[% anualiz]]),1)*IF(DATOS!AN$5="Sí",1/DATOS_[[% normaliz]:[% normaliz]],1)*(DATOS_[Conc.Sal.10])))))))), 0)</f>
        <v>0</v>
      </c>
      <c r="T85" s="250" t="n">
        <f aca="false" t="array" ref="T85:T85">IFERROR( (MEDIAN((IF(DATOS_[[Sexo]:[Sexo]]=$B85,IF(DATOS_[[AGRUP. VALOR. PTO.]:[AGRUP. VALOR. PTO.]]=$B84,IF(DATOS_[[Check Periodo Ref.]:[Check Periodo Ref.]]="Dentro",IF(DATOS_[[Check Equiparado]:[Check Equiparado]]="Sí",IF(DATOS!AO$4="Sí",(1/DATOS_[[% anualiz]:[% anualiz]]),1)*IF(DATOS!AO$5="Sí",1/DATOS_[[% normaliz]:[% normaliz]],1)*(DATOS_[Conc.Sal.11])))))))), 0)</f>
        <v>0</v>
      </c>
      <c r="U85" s="250" t="n">
        <f aca="false" t="array" ref="U85:U85">IFERROR( (MEDIAN((IF(DATOS_[[Sexo]:[Sexo]]=$B85,IF(DATOS_[[AGRUP. VALOR. PTO.]:[AGRUP. VALOR. PTO.]]=$B84,IF(DATOS_[[Check Periodo Ref.]:[Check Periodo Ref.]]="Dentro",IF(DATOS_[[Check Equiparado]:[Check Equiparado]]="Sí",IF(DATOS!AP$4="Sí",(1/DATOS_[[% anualiz]:[% anualiz]]),1)*IF(DATOS!AP$5="Sí",1/DATOS_[[% normaliz]:[% normaliz]],1)*(DATOS_[Conc.Sal.12])))))))), 0)</f>
        <v>0</v>
      </c>
      <c r="V85" s="250" t="n">
        <f aca="false" t="array" ref="V85:V85">IFERROR( (MEDIAN((IF(DATOS_[[Sexo]:[Sexo]]=$B85,IF(DATOS_[[AGRUP. VALOR. PTO.]:[AGRUP. VALOR. PTO.]]=$B84,IF(DATOS_[[Check Periodo Ref.]:[Check Periodo Ref.]]="Dentro",IF(DATOS_[[Check Equiparado]:[Check Equiparado]]="Sí",IF(DATOS!AQ$4="Sí",(1/DATOS_[[% anualiz]:[% anualiz]]),1)*IF(DATOS!AQ$5="Sí",1/DATOS_[[% normaliz]:[% normaliz]],1)*(DATOS_[Conc.Sal.13])))))))), 0)</f>
        <v>0</v>
      </c>
      <c r="W85" s="250" t="n">
        <f aca="false" t="array" ref="W85:W85">IFERROR( (MEDIAN((IF(DATOS_[[Sexo]:[Sexo]]=$B85,IF(DATOS_[[AGRUP. VALOR. PTO.]:[AGRUP. VALOR. PTO.]]=$B84,IF(DATOS_[[Check Periodo Ref.]:[Check Periodo Ref.]]="Dentro",IF(DATOS_[[Check Equiparado]:[Check Equiparado]]="Sí",IF(DATOS!AR$4="Sí",(1/DATOS_[[% anualiz]:[% anualiz]]),1)*IF(DATOS!AR$5="Sí",1/DATOS_[[% normaliz]:[% normaliz]],1)*(DATOS_[Conc.Sal.14])))))))), 0)</f>
        <v>0</v>
      </c>
      <c r="X85" s="250" t="n">
        <f aca="false" t="array" ref="X85:X85">IFERROR( (MEDIAN((IF(DATOS_[[Sexo]:[Sexo]]=$B85,IF(DATOS_[[AGRUP. VALOR. PTO.]:[AGRUP. VALOR. PTO.]]=$B84,IF(DATOS_[[Check Periodo Ref.]:[Check Periodo Ref.]]="Dentro",IF(DATOS_[[Check Equiparado]:[Check Equiparado]]="Sí",IF(DATOS!AS$4="Sí",(1/DATOS_[[% anualiz]:[% anualiz]]),1)*IF(DATOS!AS$5="Sí",1/DATOS_[[% normaliz]:[% normaliz]],1)*(DATOS_[Conc.Sal.15])))))))), 0)</f>
        <v>0</v>
      </c>
      <c r="Y85" s="250" t="n">
        <f aca="false" t="array" ref="Y85:Y85">IFERROR( (MEDIAN((IF(DATOS_[[Sexo]:[Sexo]]=$B85,IF(DATOS_[[AGRUP. VALOR. PTO.]:[AGRUP. VALOR. PTO.]]=$B84,IF(DATOS_[[Check Periodo Ref.]:[Check Periodo Ref.]]="Dentro",IF(DATOS_[[Check Equiparado]:[Check Equiparado]]="Sí",IF(DATOS!AT$4="Sí",(1/DATOS_[[% anualiz]:[% anualiz]]),1)*IF(DATOS!AT$5="Sí",1/DATOS_[[% normaliz]:[% normaliz]],1)*(DATOS_[Conc.Sal.16])))))))), 0)</f>
        <v>0</v>
      </c>
      <c r="Z85" s="250" t="n">
        <f aca="false" t="array" ref="Z85:Z85">IFERROR( (MEDIAN((IF(DATOS_[[Sexo]:[Sexo]]=$B85,IF(DATOS_[[AGRUP. VALOR. PTO.]:[AGRUP. VALOR. PTO.]]=$B84,IF(DATOS_[[Check Periodo Ref.]:[Check Periodo Ref.]]="Dentro",IF(DATOS_[[Check Equiparado]:[Check Equiparado]]="Sí",IF(DATOS!AU$4="Sí",(1/DATOS_[[% anualiz]:[% anualiz]]),1)*IF(DATOS!AU$5="Sí",1/DATOS_[[% normaliz]:[% normaliz]],1)*(DATOS_[Conc.Sal.17])))))))), 0)</f>
        <v>0</v>
      </c>
      <c r="AA85" s="250" t="n">
        <f aca="false" t="array" ref="AA85:AA85">IFERROR( (MEDIAN((IF(DATOS_[[Sexo]:[Sexo]]=$B85,IF(DATOS_[[AGRUP. VALOR. PTO.]:[AGRUP. VALOR. PTO.]]=$B84,IF(DATOS_[[Check Periodo Ref.]:[Check Periodo Ref.]]="Dentro",IF(DATOS_[[Check Equiparado]:[Check Equiparado]]="Sí",IF(DATOS!AV$4="Sí",(1/DATOS_[[% anualiz]:[% anualiz]]),1)*IF(DATOS!AV$5="Sí",1/DATOS_[[% normaliz]:[% normaliz]],1)*(DATOS_[Conc.Sal.18])))))))), 0)</f>
        <v>0</v>
      </c>
      <c r="AB85" s="250" t="n">
        <f aca="false" t="array" ref="AB85:AB85">IFERROR( (MEDIAN((IF(DATOS_[[Sexo]:[Sexo]]=$B85,IF(DATOS_[[AGRUP. VALOR. PTO.]:[AGRUP. VALOR. PTO.]]=$B84,IF(DATOS_[[Check Periodo Ref.]:[Check Periodo Ref.]]="Dentro",IF(DATOS_[[Check Equiparado]:[Check Equiparado]]="Sí",IF(DATOS!AW$4="Sí",(1/DATOS_[[% anualiz]:[% anualiz]]),1)*IF(DATOS!AW$5="Sí",1/DATOS_[[% normaliz]:[% normaliz]],1)*(DATOS_[Conc.Sal.19])))))))), 0)</f>
        <v>0</v>
      </c>
      <c r="AC85" s="250" t="n">
        <f aca="false" t="array" ref="AC85:AC85">IFERROR( (MEDIAN((IF(DATOS_[[Sexo]:[Sexo]]=$B85,IF(DATOS_[[AGRUP. VALOR. PTO.]:[AGRUP. VALOR. PTO.]]=$B84,IF(DATOS_[[Check Periodo Ref.]:[Check Periodo Ref.]]="Dentro",IF(DATOS_[[Check Equiparado]:[Check Equiparado]]="Sí",IF(DATOS!AX$4="Sí",(1/DATOS_[[% anualiz]:[% anualiz]]),1)*IF(DATOS!AX$5="Sí",1/DATOS_[[% normaliz]:[% normaliz]],1)*(DATOS_[Conc.Sal.20])))))))), 0)</f>
        <v>0</v>
      </c>
      <c r="AD85" s="250" t="n">
        <f aca="false" t="array" ref="AD85:AD85">IFERROR( (MEDIAN((IF(DATOS_[[Sexo]:[Sexo]]=$B85,IF(DATOS_[[AGRUP. VALOR. PTO.]:[AGRUP. VALOR. PTO.]]=$B84,IF(DATOS_[[Check Periodo Ref.]:[Check Periodo Ref.]]="Dentro",IF(DATOS_[[Check Equiparado]:[Check Equiparado]]="Sí",IF(DATOS!AY$4="Sí",(1/DATOS_[[% anualiz]:[% anualiz]]),1)*IF(DATOS!AY$5="Sí",1/DATOS_[[% normaliz]:[% normaliz]],1)*(DATOS_[Conc.Sal.21])))))))), 0)</f>
        <v>0</v>
      </c>
      <c r="AE85" s="250" t="n">
        <f aca="false" t="array" ref="AE85:AE85">IFERROR( (MEDIAN((IF(DATOS_[[Sexo]:[Sexo]]=$B85,IF(DATOS_[[AGRUP. VALOR. PTO.]:[AGRUP. VALOR. PTO.]]=$B84,IF(DATOS_[[Check Periodo Ref.]:[Check Periodo Ref.]]="Dentro",IF(DATOS_[[Check Equiparado]:[Check Equiparado]]="Sí",IF(DATOS!AZ$4="Sí",(1/DATOS_[[% anualiz]:[% anualiz]]),1)*IF(DATOS!AZ$5="Sí",1/DATOS_[[% normaliz]:[% normaliz]],1)*(DATOS_[Conc.Sal.22])))))))), 0)</f>
        <v>0</v>
      </c>
      <c r="AF85" s="250" t="n">
        <f aca="false" t="array" ref="AF85:AF85">IFERROR( (MEDIAN((IF(DATOS_[[Sexo]:[Sexo]]=$B85,IF(DATOS_[[AGRUP. VALOR. PTO.]:[AGRUP. VALOR. PTO.]]=$B84,IF(DATOS_[[Check Periodo Ref.]:[Check Periodo Ref.]]="Dentro",IF(DATOS_[[Check Equiparado]:[Check Equiparado]]="Sí",IF(DATOS!BA$4="Sí",(1/DATOS_[[% anualiz]:[% anualiz]]),1)*IF(DATOS!BA$5="Sí",1/DATOS_[[% normaliz]:[% normaliz]],1)*(DATOS_[Conc.Sal.23])))))))), 0)</f>
        <v>0</v>
      </c>
      <c r="AG85" s="250" t="n">
        <f aca="false" t="array" ref="AG85:AG85">IFERROR( (MEDIAN((IF(DATOS_[[Sexo]:[Sexo]]=$B85,IF(DATOS_[[AGRUP. VALOR. PTO.]:[AGRUP. VALOR. PTO.]]=$B84,IF(DATOS_[[Check Periodo Ref.]:[Check Periodo Ref.]]="Dentro",IF(DATOS_[[Check Equiparado]:[Check Equiparado]]="Sí",IF(DATOS!BB$4="Sí",(1/DATOS_[[% anualiz]:[% anualiz]]),1)*IF(DATOS!BB$5="Sí",1/DATOS_[[% normaliz]:[% normaliz]],1)*(DATOS_[Conc.Sal.24])))))))), 0)</f>
        <v>0</v>
      </c>
      <c r="AH85" s="250" t="n">
        <f aca="false" t="array" ref="AH85:AH85">IFERROR( (MEDIAN((IF(DATOS_[[Sexo]:[Sexo]]=$B85,IF(DATOS_[[AGRUP. VALOR. PTO.]:[AGRUP. VALOR. PTO.]]=$B84,IF(DATOS_[[Check Periodo Ref.]:[Check Periodo Ref.]]="Dentro",IF(DATOS_[[Check Equiparado]:[Check Equiparado]]="Sí",IF(DATOS!BC$4="Sí",(1/DATOS_[[% anualiz]:[% anualiz]]),1)*IF(DATOS!BC$5="Sí",1/DATOS_[[% normaliz]:[% normaliz]],1)*(DATOS_[Conc.Sal.25])))))))), 0)</f>
        <v>0</v>
      </c>
      <c r="AI85" s="250" t="n">
        <f aca="false" t="array" ref="AI85:AI85">IFERROR( (MEDIAN((IF(DATOS_[[Sexo]:[Sexo]]=$B85,IF(DATOS_[[AGRUP. VALOR. PTO.]:[AGRUP. VALOR. PTO.]]=$B84,IF(DATOS_[[Check Periodo Ref.]:[Check Periodo Ref.]]="Dentro",IF(DATOS_[[Check Equiparado]:[Check Equiparado]]="Sí",IF(DATOS!BD$4="Sí",(1/DATOS_[[% anualiz]:[% anualiz]]),1)*IF(DATOS!BD$5="Sí",1/DATOS_[[% normaliz]:[% normaliz]],1)*(DATOS_[Conc.Sal.26])))))))), 0)</f>
        <v>0</v>
      </c>
      <c r="AJ85" s="250" t="n">
        <f aca="false" t="array" ref="AJ85:AJ85">IFERROR( (MEDIAN((IF(DATOS_[[Sexo]:[Sexo]]=$B85,IF(DATOS_[[AGRUP. VALOR. PTO.]:[AGRUP. VALOR. PTO.]]=$B84,IF(DATOS_[[Check Periodo Ref.]:[Check Periodo Ref.]]="Dentro",IF(DATOS_[[Check Equiparado]:[Check Equiparado]]="Sí",IF(DATOS!BE$4="Sí",(1/DATOS_[[% anualiz]:[% anualiz]]),1)*IF(DATOS!BE$5="Sí",1/DATOS_[[% normaliz]:[% normaliz]],1)*(DATOS_[Conc.Sal.27])))))))), 0)</f>
        <v>0</v>
      </c>
      <c r="AK85" s="250" t="n">
        <f aca="false" t="array" ref="AK85:AK85">IFERROR( (MEDIAN((IF(DATOS_[[Sexo]:[Sexo]]=$B85,IF(DATOS_[[AGRUP. VALOR. PTO.]:[AGRUP. VALOR. PTO.]]=$B84,IF(DATOS_[[Check Periodo Ref.]:[Check Periodo Ref.]]="Dentro",IF(DATOS_[[Check Equiparado]:[Check Equiparado]]="Sí",IF(DATOS!BF$4="Sí",(1/DATOS_[[% anualiz]:[% anualiz]]),1)*IF(DATOS!BF$5="Sí",1/DATOS_[[% normaliz]:[% normaliz]],1)*(DATOS_[Conc.Sal.28])))))))), 0)</f>
        <v>0</v>
      </c>
      <c r="AL85" s="250" t="n">
        <f aca="false" t="array" ref="AL85:AL85">IFERROR( (MEDIAN((IF(DATOS_[[Sexo]:[Sexo]]=$B85,IF(DATOS_[[AGRUP. VALOR. PTO.]:[AGRUP. VALOR. PTO.]]=$B84,IF(DATOS_[[Check Periodo Ref.]:[Check Periodo Ref.]]="Dentro",IF(DATOS_[[Check Equiparado]:[Check Equiparado]]="Sí",IF(DATOS!BG$4="Sí",(1/DATOS_[[% anualiz]:[% anualiz]]),1)*IF(DATOS!BG$5="Sí",1/DATOS_[[% normaliz]:[% normaliz]],1)*(DATOS_[Conc.Sal.29])))))))), 0)</f>
        <v>0</v>
      </c>
      <c r="AM85" s="250" t="n">
        <f aca="false" t="array" ref="AM85:AM85">IFERROR( (MEDIAN((IF(DATOS_[[Sexo]:[Sexo]]=$B85,IF(DATOS_[[AGRUP. VALOR. PTO.]:[AGRUP. VALOR. PTO.]]=$B84,IF(DATOS_[[Check Periodo Ref.]:[Check Periodo Ref.]]="Dentro",IF(DATOS_[[Check Equiparado]:[Check Equiparado]]="Sí",IF(DATOS!BH$4="Sí",(1/DATOS_[[% anualiz]:[% anualiz]]),1)*IF(DATOS!BH$5="Sí",1/DATOS_[[% normaliz]:[% normaliz]],1)*(DATOS_[Conc.Sal.30])))))))), 0)</f>
        <v>0</v>
      </c>
      <c r="AN85" s="251" t="n">
        <f aca="false" t="array" ref="AN85:AN85">IFERROR( MEDIAN(IF(DATOS_[Sexo]=$B85,IF(DATOS_[[AGRUP. VALOR. PTO.]:[AGRUP. VALOR. PTO.]]=$B84,IF(DATOS_[Check Equiparado]="Sí",IF(DATOS_[Check Periodo Ref.]="Dentro",DATOS_[Tot COMPL.SAL Eq],0))))), 0)</f>
        <v>0</v>
      </c>
      <c r="AO85" s="252" t="n">
        <f aca="false" t="array" ref="AO85:AO85">IFERROR( MEDIAN(IF(DATOS_[Sexo]=$B85,IF(DATOS_[[AGRUP. VALOR. PTO.]:[AGRUP. VALOR. PTO.]]=$B84,IF(DATOS_[Check Equiparado]="Sí",IF(DATOS_[Check Periodo Ref.]="Dentro",DATOS_[TOTAL SALARIO Eq],0))))), 0)</f>
        <v>0</v>
      </c>
      <c r="AP85" s="259" t="n">
        <f aca="false" t="array" ref="AP85:AP85">IFERROR( (MEDIAN((IF(DATOS_[[Sexo]:[Sexo]]=$B85,IF(DATOS_[[AGRUP. VALOR. PTO.]:[AGRUP. VALOR. PTO.]]=$B84,IF(DATOS_[[Check Periodo Ref.]:[Check Periodo Ref.]]="Dentro",IF(DATOS_[[Check Equiparado]:[Check Equiparado]]="Sí",IF(DATOS!BI$4="Sí",(1/DATOS_[[% anualiz]:[% anualiz]]),1)*IF(DATOS!BI$5="Sí",1/DATOS_[[% normaliz]:[% normaliz]],1)*(DATOS_[C.Extra.01])))))))), 0)</f>
        <v>0</v>
      </c>
      <c r="AQ85" s="259" t="n">
        <f aca="false" t="array" ref="AQ85:AQ85">IFERROR( (MEDIAN((IF(DATOS_[[Sexo]:[Sexo]]=$B85,IF(DATOS_[[AGRUP. VALOR. PTO.]:[AGRUP. VALOR. PTO.]]=$B84,IF(DATOS_[[Check Periodo Ref.]:[Check Periodo Ref.]]="Dentro",IF(DATOS_[[Check Equiparado]:[Check Equiparado]]="Sí",IF(DATOS!BJ$4="Sí",(1/DATOS_[[% anualiz]:[% anualiz]]),1)*IF(DATOS!BJ$5="Sí",1/DATOS_[[% normaliz]:[% normaliz]],1)*(DATOS_[C.Extra.02])))))))), 0)</f>
        <v>0</v>
      </c>
      <c r="AR85" s="259" t="n">
        <f aca="false" t="array" ref="AR85:AR85">IFERROR( (MEDIAN((IF(DATOS_[[Sexo]:[Sexo]]=$B85,IF(DATOS_[[AGRUP. VALOR. PTO.]:[AGRUP. VALOR. PTO.]]=$B84,IF(DATOS_[[Check Periodo Ref.]:[Check Periodo Ref.]]="Dentro",IF(DATOS_[[Check Equiparado]:[Check Equiparado]]="Sí",IF(DATOS!BK$4="Sí",(1/DATOS_[[% anualiz]:[% anualiz]]),1)*IF(DATOS!BK$5="Sí",1/DATOS_[[% normaliz]:[% normaliz]],1)*(DATOS_[C.Extra.03])))))))), 0)</f>
        <v>0</v>
      </c>
      <c r="AS85" s="259" t="n">
        <f aca="false" t="array" ref="AS85:AS85">IFERROR( (MEDIAN((IF(DATOS_[[Sexo]:[Sexo]]=$B85,IF(DATOS_[[AGRUP. VALOR. PTO.]:[AGRUP. VALOR. PTO.]]=$B84,IF(DATOS_[[Check Periodo Ref.]:[Check Periodo Ref.]]="Dentro",IF(DATOS_[[Check Equiparado]:[Check Equiparado]]="Sí",IF(DATOS!BL$4="Sí",(1/DATOS_[[% anualiz]:[% anualiz]]),1)*IF(DATOS!BL$5="Sí",1/DATOS_[[% normaliz]:[% normaliz]],1)*(DATOS_[C.Extra.04])))))))), 0)</f>
        <v>0</v>
      </c>
      <c r="AT85" s="259" t="n">
        <f aca="false" t="array" ref="AT85:AT85">IFERROR( (MEDIAN((IF(DATOS_[[Sexo]:[Sexo]]=$B85,IF(DATOS_[[AGRUP. VALOR. PTO.]:[AGRUP. VALOR. PTO.]]=$B84,IF(DATOS_[[Check Periodo Ref.]:[Check Periodo Ref.]]="Dentro",IF(DATOS_[[Check Equiparado]:[Check Equiparado]]="Sí",IF(DATOS!BM$4="Sí",(1/DATOS_[[% anualiz]:[% anualiz]]),1)*IF(DATOS!BM$5="Sí",1/DATOS_[[% normaliz]:[% normaliz]],1)*(DATOS_[C.Extra.05])))))))), 0)</f>
        <v>0</v>
      </c>
      <c r="AU85" s="254" t="n">
        <f aca="false" t="array" ref="AU85:AU85">IFERROR( MEDIAN(IF(DATOS_[Sexo]=$B85,IF(DATOS_[[AGRUP. VALOR. PTO.]:[AGRUP. VALOR. PTO.]]=$B84,IF(DATOS_[Check Equiparado]="Sí",IF(DATOS_[Check Periodo Ref.]="Dentro",DATOS_[Tot Extrasalarial Eq],0))))), 0)</f>
        <v>0</v>
      </c>
      <c r="AV85" s="255" t="n">
        <f aca="false" t="array" ref="AV85:AV85">IFERROR( MEDIAN(IF(DATOS_[Sexo]=$B85,IF(DATOS_[[AGRUP. VALOR. PTO.]:[AGRUP. VALOR. PTO.]]=$B84,IF(DATOS_[Check Equiparado]="Sí",IF(DATOS_[Check Periodo Ref.]="Dentro",DATOS_[TOTAL Retrib Eq],0))))), 0)</f>
        <v>0</v>
      </c>
    </row>
    <row r="86" customFormat="false" ht="14.25" hidden="false" customHeight="false" outlineLevel="0" collapsed="false">
      <c r="A86" s="217" t="str">
        <f aca="false">+A85</f>
        <v>[ocultar]</v>
      </c>
      <c r="B86" s="323" t="s">
        <v>372</v>
      </c>
      <c r="C86" s="247" t="n">
        <f aca="false" t="array" ref="C86:C86">SUM(IF($B86=DATOS_[Sexo], IF($B84=DATOS_[AGRUP. VALOR. PTO.], IF("Dentro"=DATOS_[Check Periodo Ref.], 1/(COUNTIFS(DATOS_[Sexo],$B86,DATOS_[AGRUP. VALOR. PTO.],$B84,DATOS_[Check Periodo Ref.],"Dentro",DATOS_[id],DATOS_[id]))))))</f>
        <v>0</v>
      </c>
      <c r="D86" s="248" t="n">
        <f aca="false">COUNTIFS(DATOS_[AGRUP. VALOR. PTO.],$B84,DATOS_[Sexo],$B86,DATOS_[Check Periodo Ref.],"Dentro")</f>
        <v>0</v>
      </c>
      <c r="E86" s="248" t="n">
        <f aca="false">COUNTIFS(DATOS_[AGRUP. VALOR. PTO.],$B84,DATOS_[Sexo],$B86,DATOS_[Check Periodo Ref.],"Dentro",DATOS_[Check Nº SC Norm],"Sí")</f>
        <v>0</v>
      </c>
      <c r="F86" s="248" t="n">
        <f aca="false">COUNTIFS(DATOS_[AGRUP. VALOR. PTO.],$B84,DATOS_[Sexo],$B86,DATOS_[Check Periodo Ref.],"Dentro",DATOS_[Check Nº SC Anualiz],"Sí")</f>
        <v>0</v>
      </c>
      <c r="G86" s="248" t="n">
        <f aca="false">COUNTIFS(DATOS_[AGRUP. VALOR. PTO.],$B84,DATOS_[Sexo],$B86,DATOS_[Check Periodo Ref.],"Dentro",DATOS_[Check Nº SC Norm y Anualiz],"Sí")</f>
        <v>0</v>
      </c>
      <c r="H86" s="248" t="n">
        <f aca="false">COUNTIFS(DATOS_[AGRUP. VALOR. PTO.],$B84,DATOS_[Sexo],$B86,DATOS_[Check Periodo Ref.],"Dentro",DATOS_[Check Equiparación],"Sí")</f>
        <v>0</v>
      </c>
      <c r="I86" s="249" t="n">
        <f aca="false" t="array" ref="I86:I86">IFERROR( MEDIAN(IF(DATOS_[Sexo]=$B86,IF(DATOS_[[AGRUP. VALOR. PTO.]:[AGRUP. VALOR. PTO.]]=$B84,IF(DATOS_[Check Equiparado]="Sí",IF(DATOS_[Check Periodo Ref.]="Dentro",DATOS_[SALARIO BASE Eq],0))))), 0)</f>
        <v>0</v>
      </c>
      <c r="J86" s="250" t="n">
        <f aca="false" t="array" ref="J86:J86">IFERROR( (MEDIAN((IF(DATOS_[[Sexo]:[Sexo]]=$B86,IF(DATOS_[[AGRUP. VALOR. PTO.]:[AGRUP. VALOR. PTO.]]=$B84,IF(DATOS_[[Check Periodo Ref.]:[Check Periodo Ref.]]="Dentro",IF(DATOS_[[Check Equiparado]:[Check Equiparado]]="Sí",IF(DATOS!AE$4="Sí",(1/DATOS_[[% anualiz]:[% anualiz]]),1)*IF(DATOS!AE$5="Sí",1/DATOS_[[% normaliz]:[% normaliz]],1)*(DATOS_[Conc.Sal.01])))))))), 0)</f>
        <v>0</v>
      </c>
      <c r="K86" s="250" t="n">
        <f aca="false" t="array" ref="K86:K86">IFERROR( (MEDIAN((IF(DATOS_[[Sexo]:[Sexo]]=$B86,IF(DATOS_[[AGRUP. VALOR. PTO.]:[AGRUP. VALOR. PTO.]]=$B84,IF(DATOS_[[Check Periodo Ref.]:[Check Periodo Ref.]]="Dentro",IF(DATOS_[[Check Equiparado]:[Check Equiparado]]="Sí",IF(DATOS!AF$4="Sí",(1/DATOS_[[% anualiz]:[% anualiz]]),1)*IF(DATOS!AF$5="Sí",1/DATOS_[[% normaliz]:[% normaliz]],1)*(DATOS_[Conc.Sal.02])))))))), 0)</f>
        <v>0</v>
      </c>
      <c r="L86" s="250" t="n">
        <f aca="false" t="array" ref="L86:L86">IFERROR( (MEDIAN((IF(DATOS_[[Sexo]:[Sexo]]=$B86,IF(DATOS_[[AGRUP. VALOR. PTO.]:[AGRUP. VALOR. PTO.]]=$B84,IF(DATOS_[[Check Periodo Ref.]:[Check Periodo Ref.]]="Dentro",IF(DATOS_[[Check Equiparado]:[Check Equiparado]]="Sí",IF(DATOS!AG$4="Sí",(1/DATOS_[[% anualiz]:[% anualiz]]),1)*IF(DATOS!AG$5="Sí",1/DATOS_[[% normaliz]:[% normaliz]],1)*(DATOS_[Conc.Sal.03])))))))), 0)</f>
        <v>0</v>
      </c>
      <c r="M86" s="250" t="n">
        <f aca="false" t="array" ref="M86:M86">IFERROR( (MEDIAN((IF(DATOS_[[Sexo]:[Sexo]]=$B86,IF(DATOS_[[AGRUP. VALOR. PTO.]:[AGRUP. VALOR. PTO.]]=$B84,IF(DATOS_[[Check Periodo Ref.]:[Check Periodo Ref.]]="Dentro",IF(DATOS_[[Check Equiparado]:[Check Equiparado]]="Sí",IF(DATOS!AH$4="Sí",(1/DATOS_[[% anualiz]:[% anualiz]]),1)*IF(DATOS!AH$5="Sí",1/DATOS_[[% normaliz]:[% normaliz]],1)*(DATOS_[Conc.Sal.04])))))))), 0)</f>
        <v>0</v>
      </c>
      <c r="N86" s="250" t="n">
        <f aca="false" t="array" ref="N86:N86">IFERROR( (MEDIAN((IF(DATOS_[[Sexo]:[Sexo]]=$B86,IF(DATOS_[[AGRUP. VALOR. PTO.]:[AGRUP. VALOR. PTO.]]=$B84,IF(DATOS_[[Check Periodo Ref.]:[Check Periodo Ref.]]="Dentro",IF(DATOS_[[Check Equiparado]:[Check Equiparado]]="Sí",IF(DATOS!AI$4="Sí",(1/DATOS_[[% anualiz]:[% anualiz]]),1)*IF(DATOS!AI$5="Sí",1/DATOS_[[% normaliz]:[% normaliz]],1)*(DATOS_[Conc.Sal.05])))))))), 0)</f>
        <v>0</v>
      </c>
      <c r="O86" s="250" t="n">
        <f aca="false" t="array" ref="O86:O86">IFERROR( (MEDIAN((IF(DATOS_[[Sexo]:[Sexo]]=$B86,IF(DATOS_[[AGRUP. VALOR. PTO.]:[AGRUP. VALOR. PTO.]]=$B84,IF(DATOS_[[Check Periodo Ref.]:[Check Periodo Ref.]]="Dentro",IF(DATOS_[[Check Equiparado]:[Check Equiparado]]="Sí",IF(DATOS!AJ$4="Sí",(1/DATOS_[[% anualiz]:[% anualiz]]),1)*IF(DATOS!AJ$5="Sí",1/DATOS_[[% normaliz]:[% normaliz]],1)*(DATOS_[Conc.Sal.06])))))))), 0)</f>
        <v>0</v>
      </c>
      <c r="P86" s="250" t="n">
        <f aca="false" t="array" ref="P86:P86">IFERROR( (MEDIAN((IF(DATOS_[[Sexo]:[Sexo]]=$B86,IF(DATOS_[[AGRUP. VALOR. PTO.]:[AGRUP. VALOR. PTO.]]=$B84,IF(DATOS_[[Check Periodo Ref.]:[Check Periodo Ref.]]="Dentro",IF(DATOS_[[Check Equiparado]:[Check Equiparado]]="Sí",IF(DATOS!AK$4="Sí",(1/DATOS_[[% anualiz]:[% anualiz]]),1)*IF(DATOS!AK$5="Sí",1/DATOS_[[% normaliz]:[% normaliz]],1)*(DATOS_[Conc.Sal.07])))))))), 0)</f>
        <v>0</v>
      </c>
      <c r="Q86" s="250" t="n">
        <f aca="false" t="array" ref="Q86:Q86">IFERROR( (MEDIAN((IF(DATOS_[[Sexo]:[Sexo]]=$B86,IF(DATOS_[[AGRUP. VALOR. PTO.]:[AGRUP. VALOR. PTO.]]=$B84,IF(DATOS_[[Check Periodo Ref.]:[Check Periodo Ref.]]="Dentro",IF(DATOS_[[Check Equiparado]:[Check Equiparado]]="Sí",IF(DATOS!AL$4="Sí",(1/DATOS_[[% anualiz]:[% anualiz]]),1)*IF(DATOS!AL$5="Sí",1/DATOS_[[% normaliz]:[% normaliz]],1)*(DATOS_[Conc.Sal.08])))))))), 0)</f>
        <v>0</v>
      </c>
      <c r="R86" s="250" t="n">
        <f aca="false" t="array" ref="R86:R86">IFERROR( (MEDIAN((IF(DATOS_[[Sexo]:[Sexo]]=$B86,IF(DATOS_[[AGRUP. VALOR. PTO.]:[AGRUP. VALOR. PTO.]]=$B84,IF(DATOS_[[Check Periodo Ref.]:[Check Periodo Ref.]]="Dentro",IF(DATOS_[[Check Equiparado]:[Check Equiparado]]="Sí",IF(DATOS!AM$4="Sí",(1/DATOS_[[% anualiz]:[% anualiz]]),1)*IF(DATOS!AM$5="Sí",1/DATOS_[[% normaliz]:[% normaliz]],1)*(DATOS_[Conc.Sal.09])))))))), 0)</f>
        <v>0</v>
      </c>
      <c r="S86" s="250" t="n">
        <f aca="false" t="array" ref="S86:S86">IFERROR( (MEDIAN((IF(DATOS_[[Sexo]:[Sexo]]=$B86,IF(DATOS_[[AGRUP. VALOR. PTO.]:[AGRUP. VALOR. PTO.]]=$B84,IF(DATOS_[[Check Periodo Ref.]:[Check Periodo Ref.]]="Dentro",IF(DATOS_[[Check Equiparado]:[Check Equiparado]]="Sí",IF(DATOS!AN$4="Sí",(1/DATOS_[[% anualiz]:[% anualiz]]),1)*IF(DATOS!AN$5="Sí",1/DATOS_[[% normaliz]:[% normaliz]],1)*(DATOS_[Conc.Sal.10])))))))), 0)</f>
        <v>0</v>
      </c>
      <c r="T86" s="250" t="n">
        <f aca="false" t="array" ref="T86:T86">IFERROR( (MEDIAN((IF(DATOS_[[Sexo]:[Sexo]]=$B86,IF(DATOS_[[AGRUP. VALOR. PTO.]:[AGRUP. VALOR. PTO.]]=$B84,IF(DATOS_[[Check Periodo Ref.]:[Check Periodo Ref.]]="Dentro",IF(DATOS_[[Check Equiparado]:[Check Equiparado]]="Sí",IF(DATOS!AO$4="Sí",(1/DATOS_[[% anualiz]:[% anualiz]]),1)*IF(DATOS!AO$5="Sí",1/DATOS_[[% normaliz]:[% normaliz]],1)*(DATOS_[Conc.Sal.11])))))))), 0)</f>
        <v>0</v>
      </c>
      <c r="U86" s="250" t="n">
        <f aca="false" t="array" ref="U86:U86">IFERROR( (MEDIAN((IF(DATOS_[[Sexo]:[Sexo]]=$B86,IF(DATOS_[[AGRUP. VALOR. PTO.]:[AGRUP. VALOR. PTO.]]=$B84,IF(DATOS_[[Check Periodo Ref.]:[Check Periodo Ref.]]="Dentro",IF(DATOS_[[Check Equiparado]:[Check Equiparado]]="Sí",IF(DATOS!AP$4="Sí",(1/DATOS_[[% anualiz]:[% anualiz]]),1)*IF(DATOS!AP$5="Sí",1/DATOS_[[% normaliz]:[% normaliz]],1)*(DATOS_[Conc.Sal.12])))))))), 0)</f>
        <v>0</v>
      </c>
      <c r="V86" s="250" t="n">
        <f aca="false" t="array" ref="V86:V86">IFERROR( (MEDIAN((IF(DATOS_[[Sexo]:[Sexo]]=$B86,IF(DATOS_[[AGRUP. VALOR. PTO.]:[AGRUP. VALOR. PTO.]]=$B84,IF(DATOS_[[Check Periodo Ref.]:[Check Periodo Ref.]]="Dentro",IF(DATOS_[[Check Equiparado]:[Check Equiparado]]="Sí",IF(DATOS!AQ$4="Sí",(1/DATOS_[[% anualiz]:[% anualiz]]),1)*IF(DATOS!AQ$5="Sí",1/DATOS_[[% normaliz]:[% normaliz]],1)*(DATOS_[Conc.Sal.13])))))))), 0)</f>
        <v>0</v>
      </c>
      <c r="W86" s="250" t="n">
        <f aca="false" t="array" ref="W86:W86">IFERROR( (MEDIAN((IF(DATOS_[[Sexo]:[Sexo]]=$B86,IF(DATOS_[[AGRUP. VALOR. PTO.]:[AGRUP. VALOR. PTO.]]=$B84,IF(DATOS_[[Check Periodo Ref.]:[Check Periodo Ref.]]="Dentro",IF(DATOS_[[Check Equiparado]:[Check Equiparado]]="Sí",IF(DATOS!AR$4="Sí",(1/DATOS_[[% anualiz]:[% anualiz]]),1)*IF(DATOS!AR$5="Sí",1/DATOS_[[% normaliz]:[% normaliz]],1)*(DATOS_[Conc.Sal.14])))))))), 0)</f>
        <v>0</v>
      </c>
      <c r="X86" s="250" t="n">
        <f aca="false" t="array" ref="X86:X86">IFERROR( (MEDIAN((IF(DATOS_[[Sexo]:[Sexo]]=$B86,IF(DATOS_[[AGRUP. VALOR. PTO.]:[AGRUP. VALOR. PTO.]]=$B84,IF(DATOS_[[Check Periodo Ref.]:[Check Periodo Ref.]]="Dentro",IF(DATOS_[[Check Equiparado]:[Check Equiparado]]="Sí",IF(DATOS!AS$4="Sí",(1/DATOS_[[% anualiz]:[% anualiz]]),1)*IF(DATOS!AS$5="Sí",1/DATOS_[[% normaliz]:[% normaliz]],1)*(DATOS_[Conc.Sal.15])))))))), 0)</f>
        <v>0</v>
      </c>
      <c r="Y86" s="250" t="n">
        <f aca="false" t="array" ref="Y86:Y86">IFERROR( (MEDIAN((IF(DATOS_[[Sexo]:[Sexo]]=$B86,IF(DATOS_[[AGRUP. VALOR. PTO.]:[AGRUP. VALOR. PTO.]]=$B84,IF(DATOS_[[Check Periodo Ref.]:[Check Periodo Ref.]]="Dentro",IF(DATOS_[[Check Equiparado]:[Check Equiparado]]="Sí",IF(DATOS!AT$4="Sí",(1/DATOS_[[% anualiz]:[% anualiz]]),1)*IF(DATOS!AT$5="Sí",1/DATOS_[[% normaliz]:[% normaliz]],1)*(DATOS_[Conc.Sal.16])))))))), 0)</f>
        <v>0</v>
      </c>
      <c r="Z86" s="250" t="n">
        <f aca="false" t="array" ref="Z86:Z86">IFERROR( (MEDIAN((IF(DATOS_[[Sexo]:[Sexo]]=$B86,IF(DATOS_[[AGRUP. VALOR. PTO.]:[AGRUP. VALOR. PTO.]]=$B84,IF(DATOS_[[Check Periodo Ref.]:[Check Periodo Ref.]]="Dentro",IF(DATOS_[[Check Equiparado]:[Check Equiparado]]="Sí",IF(DATOS!AU$4="Sí",(1/DATOS_[[% anualiz]:[% anualiz]]),1)*IF(DATOS!AU$5="Sí",1/DATOS_[[% normaliz]:[% normaliz]],1)*(DATOS_[Conc.Sal.17])))))))), 0)</f>
        <v>0</v>
      </c>
      <c r="AA86" s="250" t="n">
        <f aca="false" t="array" ref="AA86:AA86">IFERROR( (MEDIAN((IF(DATOS_[[Sexo]:[Sexo]]=$B86,IF(DATOS_[[AGRUP. VALOR. PTO.]:[AGRUP. VALOR. PTO.]]=$B84,IF(DATOS_[[Check Periodo Ref.]:[Check Periodo Ref.]]="Dentro",IF(DATOS_[[Check Equiparado]:[Check Equiparado]]="Sí",IF(DATOS!AV$4="Sí",(1/DATOS_[[% anualiz]:[% anualiz]]),1)*IF(DATOS!AV$5="Sí",1/DATOS_[[% normaliz]:[% normaliz]],1)*(DATOS_[Conc.Sal.18])))))))), 0)</f>
        <v>0</v>
      </c>
      <c r="AB86" s="250" t="n">
        <f aca="false" t="array" ref="AB86:AB86">IFERROR( (MEDIAN((IF(DATOS_[[Sexo]:[Sexo]]=$B86,IF(DATOS_[[AGRUP. VALOR. PTO.]:[AGRUP. VALOR. PTO.]]=$B84,IF(DATOS_[[Check Periodo Ref.]:[Check Periodo Ref.]]="Dentro",IF(DATOS_[[Check Equiparado]:[Check Equiparado]]="Sí",IF(DATOS!AW$4="Sí",(1/DATOS_[[% anualiz]:[% anualiz]]),1)*IF(DATOS!AW$5="Sí",1/DATOS_[[% normaliz]:[% normaliz]],1)*(DATOS_[Conc.Sal.19])))))))), 0)</f>
        <v>0</v>
      </c>
      <c r="AC86" s="250" t="n">
        <f aca="false" t="array" ref="AC86:AC86">IFERROR( (MEDIAN((IF(DATOS_[[Sexo]:[Sexo]]=$B86,IF(DATOS_[[AGRUP. VALOR. PTO.]:[AGRUP. VALOR. PTO.]]=$B84,IF(DATOS_[[Check Periodo Ref.]:[Check Periodo Ref.]]="Dentro",IF(DATOS_[[Check Equiparado]:[Check Equiparado]]="Sí",IF(DATOS!AX$4="Sí",(1/DATOS_[[% anualiz]:[% anualiz]]),1)*IF(DATOS!AX$5="Sí",1/DATOS_[[% normaliz]:[% normaliz]],1)*(DATOS_[Conc.Sal.20])))))))), 0)</f>
        <v>0</v>
      </c>
      <c r="AD86" s="250" t="n">
        <f aca="false" t="array" ref="AD86:AD86">IFERROR( (MEDIAN((IF(DATOS_[[Sexo]:[Sexo]]=$B86,IF(DATOS_[[AGRUP. VALOR. PTO.]:[AGRUP. VALOR. PTO.]]=$B84,IF(DATOS_[[Check Periodo Ref.]:[Check Periodo Ref.]]="Dentro",IF(DATOS_[[Check Equiparado]:[Check Equiparado]]="Sí",IF(DATOS!AY$4="Sí",(1/DATOS_[[% anualiz]:[% anualiz]]),1)*IF(DATOS!AY$5="Sí",1/DATOS_[[% normaliz]:[% normaliz]],1)*(DATOS_[Conc.Sal.21])))))))), 0)</f>
        <v>0</v>
      </c>
      <c r="AE86" s="250" t="n">
        <f aca="false" t="array" ref="AE86:AE86">IFERROR( (MEDIAN((IF(DATOS_[[Sexo]:[Sexo]]=$B86,IF(DATOS_[[AGRUP. VALOR. PTO.]:[AGRUP. VALOR. PTO.]]=$B84,IF(DATOS_[[Check Periodo Ref.]:[Check Periodo Ref.]]="Dentro",IF(DATOS_[[Check Equiparado]:[Check Equiparado]]="Sí",IF(DATOS!AZ$4="Sí",(1/DATOS_[[% anualiz]:[% anualiz]]),1)*IF(DATOS!AZ$5="Sí",1/DATOS_[[% normaliz]:[% normaliz]],1)*(DATOS_[Conc.Sal.22])))))))), 0)</f>
        <v>0</v>
      </c>
      <c r="AF86" s="250" t="n">
        <f aca="false" t="array" ref="AF86:AF86">IFERROR( (MEDIAN((IF(DATOS_[[Sexo]:[Sexo]]=$B86,IF(DATOS_[[AGRUP. VALOR. PTO.]:[AGRUP. VALOR. PTO.]]=$B84,IF(DATOS_[[Check Periodo Ref.]:[Check Periodo Ref.]]="Dentro",IF(DATOS_[[Check Equiparado]:[Check Equiparado]]="Sí",IF(DATOS!BA$4="Sí",(1/DATOS_[[% anualiz]:[% anualiz]]),1)*IF(DATOS!BA$5="Sí",1/DATOS_[[% normaliz]:[% normaliz]],1)*(DATOS_[Conc.Sal.23])))))))), 0)</f>
        <v>0</v>
      </c>
      <c r="AG86" s="250" t="n">
        <f aca="false" t="array" ref="AG86:AG86">IFERROR( (MEDIAN((IF(DATOS_[[Sexo]:[Sexo]]=$B86,IF(DATOS_[[AGRUP. VALOR. PTO.]:[AGRUP. VALOR. PTO.]]=$B84,IF(DATOS_[[Check Periodo Ref.]:[Check Periodo Ref.]]="Dentro",IF(DATOS_[[Check Equiparado]:[Check Equiparado]]="Sí",IF(DATOS!BB$4="Sí",(1/DATOS_[[% anualiz]:[% anualiz]]),1)*IF(DATOS!BB$5="Sí",1/DATOS_[[% normaliz]:[% normaliz]],1)*(DATOS_[Conc.Sal.24])))))))), 0)</f>
        <v>0</v>
      </c>
      <c r="AH86" s="250" t="n">
        <f aca="false" t="array" ref="AH86:AH86">IFERROR( (MEDIAN((IF(DATOS_[[Sexo]:[Sexo]]=$B86,IF(DATOS_[[AGRUP. VALOR. PTO.]:[AGRUP. VALOR. PTO.]]=$B84,IF(DATOS_[[Check Periodo Ref.]:[Check Periodo Ref.]]="Dentro",IF(DATOS_[[Check Equiparado]:[Check Equiparado]]="Sí",IF(DATOS!BC$4="Sí",(1/DATOS_[[% anualiz]:[% anualiz]]),1)*IF(DATOS!BC$5="Sí",1/DATOS_[[% normaliz]:[% normaliz]],1)*(DATOS_[Conc.Sal.25])))))))), 0)</f>
        <v>0</v>
      </c>
      <c r="AI86" s="250" t="n">
        <f aca="false" t="array" ref="AI86:AI86">IFERROR( (MEDIAN((IF(DATOS_[[Sexo]:[Sexo]]=$B86,IF(DATOS_[[AGRUP. VALOR. PTO.]:[AGRUP. VALOR. PTO.]]=$B84,IF(DATOS_[[Check Periodo Ref.]:[Check Periodo Ref.]]="Dentro",IF(DATOS_[[Check Equiparado]:[Check Equiparado]]="Sí",IF(DATOS!BD$4="Sí",(1/DATOS_[[% anualiz]:[% anualiz]]),1)*IF(DATOS!BD$5="Sí",1/DATOS_[[% normaliz]:[% normaliz]],1)*(DATOS_[Conc.Sal.26])))))))), 0)</f>
        <v>0</v>
      </c>
      <c r="AJ86" s="250" t="n">
        <f aca="false" t="array" ref="AJ86:AJ86">IFERROR( (MEDIAN((IF(DATOS_[[Sexo]:[Sexo]]=$B86,IF(DATOS_[[AGRUP. VALOR. PTO.]:[AGRUP. VALOR. PTO.]]=$B84,IF(DATOS_[[Check Periodo Ref.]:[Check Periodo Ref.]]="Dentro",IF(DATOS_[[Check Equiparado]:[Check Equiparado]]="Sí",IF(DATOS!BE$4="Sí",(1/DATOS_[[% anualiz]:[% anualiz]]),1)*IF(DATOS!BE$5="Sí",1/DATOS_[[% normaliz]:[% normaliz]],1)*(DATOS_[Conc.Sal.27])))))))), 0)</f>
        <v>0</v>
      </c>
      <c r="AK86" s="250" t="n">
        <f aca="false" t="array" ref="AK86:AK86">IFERROR( (MEDIAN((IF(DATOS_[[Sexo]:[Sexo]]=$B86,IF(DATOS_[[AGRUP. VALOR. PTO.]:[AGRUP. VALOR. PTO.]]=$B84,IF(DATOS_[[Check Periodo Ref.]:[Check Periodo Ref.]]="Dentro",IF(DATOS_[[Check Equiparado]:[Check Equiparado]]="Sí",IF(DATOS!BF$4="Sí",(1/DATOS_[[% anualiz]:[% anualiz]]),1)*IF(DATOS!BF$5="Sí",1/DATOS_[[% normaliz]:[% normaliz]],1)*(DATOS_[Conc.Sal.28])))))))), 0)</f>
        <v>0</v>
      </c>
      <c r="AL86" s="250" t="n">
        <f aca="false" t="array" ref="AL86:AL86">IFERROR( (MEDIAN((IF(DATOS_[[Sexo]:[Sexo]]=$B86,IF(DATOS_[[AGRUP. VALOR. PTO.]:[AGRUP. VALOR. PTO.]]=$B84,IF(DATOS_[[Check Periodo Ref.]:[Check Periodo Ref.]]="Dentro",IF(DATOS_[[Check Equiparado]:[Check Equiparado]]="Sí",IF(DATOS!BG$4="Sí",(1/DATOS_[[% anualiz]:[% anualiz]]),1)*IF(DATOS!BG$5="Sí",1/DATOS_[[% normaliz]:[% normaliz]],1)*(DATOS_[Conc.Sal.29])))))))), 0)</f>
        <v>0</v>
      </c>
      <c r="AM86" s="250" t="n">
        <f aca="false" t="array" ref="AM86:AM86">IFERROR( (MEDIAN((IF(DATOS_[[Sexo]:[Sexo]]=$B86,IF(DATOS_[[AGRUP. VALOR. PTO.]:[AGRUP. VALOR. PTO.]]=$B84,IF(DATOS_[[Check Periodo Ref.]:[Check Periodo Ref.]]="Dentro",IF(DATOS_[[Check Equiparado]:[Check Equiparado]]="Sí",IF(DATOS!BH$4="Sí",(1/DATOS_[[% anualiz]:[% anualiz]]),1)*IF(DATOS!BH$5="Sí",1/DATOS_[[% normaliz]:[% normaliz]],1)*(DATOS_[Conc.Sal.30])))))))), 0)</f>
        <v>0</v>
      </c>
      <c r="AN86" s="251" t="n">
        <f aca="false" t="array" ref="AN86:AN86">IFERROR( MEDIAN(IF(DATOS_[Sexo]=$B86,IF(DATOS_[[AGRUP. VALOR. PTO.]:[AGRUP. VALOR. PTO.]]=$B84,IF(DATOS_[Check Equiparado]="Sí",IF(DATOS_[Check Periodo Ref.]="Dentro",DATOS_[Tot COMPL.SAL Eq],0))))), 0)</f>
        <v>0</v>
      </c>
      <c r="AO86" s="252" t="n">
        <f aca="false" t="array" ref="AO86:AO86">IFERROR( MEDIAN(IF(DATOS_[Sexo]=$B86,IF(DATOS_[[AGRUP. VALOR. PTO.]:[AGRUP. VALOR. PTO.]]=$B84,IF(DATOS_[Check Equiparado]="Sí",IF(DATOS_[Check Periodo Ref.]="Dentro",DATOS_[TOTAL SALARIO Eq],0))))), 0)</f>
        <v>0</v>
      </c>
      <c r="AP86" s="259" t="n">
        <f aca="false" t="array" ref="AP86:AP86">IFERROR( (MEDIAN((IF(DATOS_[[Sexo]:[Sexo]]=$B86,IF(DATOS_[[AGRUP. VALOR. PTO.]:[AGRUP. VALOR. PTO.]]=$B85,IF(DATOS_[[Check Periodo Ref.]:[Check Periodo Ref.]]="Dentro",IF(DATOS_[[Check Equiparado]:[Check Equiparado]]="Sí",IF(DATOS!BI$4="Sí",(1/DATOS_[[% anualiz]:[% anualiz]]),1)*IF(DATOS!BI$5="Sí",1/DATOS_[[% normaliz]:[% normaliz]],1)*(DATOS_[C.Extra.01])))))))), 0)</f>
        <v>0</v>
      </c>
      <c r="AQ86" s="259" t="n">
        <f aca="false" t="array" ref="AQ86:AQ86">IFERROR( (MEDIAN((IF(DATOS_[[Sexo]:[Sexo]]=$B86,IF(DATOS_[[AGRUP. VALOR. PTO.]:[AGRUP. VALOR. PTO.]]=$B85,IF(DATOS_[[Check Periodo Ref.]:[Check Periodo Ref.]]="Dentro",IF(DATOS_[[Check Equiparado]:[Check Equiparado]]="Sí",IF(DATOS!BJ$4="Sí",(1/DATOS_[[% anualiz]:[% anualiz]]),1)*IF(DATOS!BJ$5="Sí",1/DATOS_[[% normaliz]:[% normaliz]],1)*(DATOS_[C.Extra.02])))))))), 0)</f>
        <v>0</v>
      </c>
      <c r="AR86" s="259" t="n">
        <f aca="false" t="array" ref="AR86:AR86">IFERROR( (MEDIAN((IF(DATOS_[[Sexo]:[Sexo]]=$B86,IF(DATOS_[[AGRUP. VALOR. PTO.]:[AGRUP. VALOR. PTO.]]=$B85,IF(DATOS_[[Check Periodo Ref.]:[Check Periodo Ref.]]="Dentro",IF(DATOS_[[Check Equiparado]:[Check Equiparado]]="Sí",IF(DATOS!BK$4="Sí",(1/DATOS_[[% anualiz]:[% anualiz]]),1)*IF(DATOS!BK$5="Sí",1/DATOS_[[% normaliz]:[% normaliz]],1)*(DATOS_[C.Extra.03])))))))), 0)</f>
        <v>0</v>
      </c>
      <c r="AS86" s="259" t="n">
        <f aca="false" t="array" ref="AS86:AS86">IFERROR( (MEDIAN((IF(DATOS_[[Sexo]:[Sexo]]=$B86,IF(DATOS_[[AGRUP. VALOR. PTO.]:[AGRUP. VALOR. PTO.]]=$B85,IF(DATOS_[[Check Periodo Ref.]:[Check Periodo Ref.]]="Dentro",IF(DATOS_[[Check Equiparado]:[Check Equiparado]]="Sí",IF(DATOS!BL$4="Sí",(1/DATOS_[[% anualiz]:[% anualiz]]),1)*IF(DATOS!BL$5="Sí",1/DATOS_[[% normaliz]:[% normaliz]],1)*(DATOS_[C.Extra.04])))))))), 0)</f>
        <v>0</v>
      </c>
      <c r="AT86" s="259" t="n">
        <f aca="false" t="array" ref="AT86:AT86">IFERROR( (MEDIAN((IF(DATOS_[[Sexo]:[Sexo]]=$B86,IF(DATOS_[[AGRUP. VALOR. PTO.]:[AGRUP. VALOR. PTO.]]=$B85,IF(DATOS_[[Check Periodo Ref.]:[Check Periodo Ref.]]="Dentro",IF(DATOS_[[Check Equiparado]:[Check Equiparado]]="Sí",IF(DATOS!BM$4="Sí",(1/DATOS_[[% anualiz]:[% anualiz]]),1)*IF(DATOS!BM$5="Sí",1/DATOS_[[% normaliz]:[% normaliz]],1)*(DATOS_[C.Extra.05])))))))), 0)</f>
        <v>0</v>
      </c>
      <c r="AU86" s="254" t="n">
        <f aca="false" t="array" ref="AU86:AU86">IFERROR( MEDIAN(IF(DATOS_[Sexo]=$B86,IF(DATOS_[[AGRUP. VALOR. PTO.]:[AGRUP. VALOR. PTO.]]=$B84,IF(DATOS_[Check Equiparado]="Sí",IF(DATOS_[Check Periodo Ref.]="Dentro",DATOS_[Tot Extrasalarial Eq],0))))), 0)</f>
        <v>0</v>
      </c>
      <c r="AV86" s="255" t="n">
        <f aca="false" t="array" ref="AV86:AV86">IFERROR( MEDIAN(IF(DATOS_[Sexo]=$B86,IF(DATOS_[[AGRUP. VALOR. PTO.]:[AGRUP. VALOR. PTO.]]=$B84,IF(DATOS_[Check Equiparado]="Sí",IF(DATOS_[Check Periodo Ref.]="Dentro",DATOS_[TOTAL Retrib Eq],0))))), 0)</f>
        <v>0</v>
      </c>
    </row>
    <row r="87" customFormat="false" ht="15.75" hidden="false" customHeight="false" outlineLevel="0" collapsed="false">
      <c r="A87" s="217" t="str">
        <f aca="false">+A88</f>
        <v>[ocultar]</v>
      </c>
      <c r="B87" s="320" t="s">
        <v>241</v>
      </c>
      <c r="C87" s="236"/>
      <c r="D87" s="237"/>
      <c r="E87" s="237"/>
      <c r="F87" s="237"/>
      <c r="G87" s="237"/>
      <c r="H87" s="237"/>
      <c r="I87" s="238" t="str">
        <f aca="false">IFERROR((I88-I89)/I88,"")</f>
        <v/>
      </c>
      <c r="J87" s="239" t="str">
        <f aca="false">IFERROR((J88-J89)/J88,"")</f>
        <v/>
      </c>
      <c r="K87" s="239" t="str">
        <f aca="false">IFERROR((K88-K89)/K88,"")</f>
        <v/>
      </c>
      <c r="L87" s="239" t="str">
        <f aca="false">IFERROR((L88-L89)/L88,"")</f>
        <v/>
      </c>
      <c r="M87" s="239" t="str">
        <f aca="false">IFERROR((M88-M89)/M88,"")</f>
        <v/>
      </c>
      <c r="N87" s="239" t="str">
        <f aca="false">IFERROR((N88-N89)/N88,"")</f>
        <v/>
      </c>
      <c r="O87" s="239" t="str">
        <f aca="false">IFERROR((O88-O89)/O88,"")</f>
        <v/>
      </c>
      <c r="P87" s="239" t="str">
        <f aca="false">IFERROR((P88-P89)/P88,"")</f>
        <v/>
      </c>
      <c r="Q87" s="239" t="str">
        <f aca="false">IFERROR((Q88-Q89)/Q88,"")</f>
        <v/>
      </c>
      <c r="R87" s="239" t="str">
        <f aca="false">IFERROR((R88-R89)/R88,"")</f>
        <v/>
      </c>
      <c r="S87" s="239" t="str">
        <f aca="false">IFERROR((S88-S89)/S88,"")</f>
        <v/>
      </c>
      <c r="T87" s="239" t="str">
        <f aca="false">IFERROR((T88-T89)/T88,"")</f>
        <v/>
      </c>
      <c r="U87" s="239" t="str">
        <f aca="false">IFERROR((U88-U89)/U88,"")</f>
        <v/>
      </c>
      <c r="V87" s="239" t="str">
        <f aca="false">IFERROR((V88-V89)/V88,"")</f>
        <v/>
      </c>
      <c r="W87" s="239" t="str">
        <f aca="false">IFERROR((W88-W89)/W88,"")</f>
        <v/>
      </c>
      <c r="X87" s="239" t="str">
        <f aca="false">IFERROR((X88-X89)/X88,"")</f>
        <v/>
      </c>
      <c r="Y87" s="239" t="str">
        <f aca="false">IFERROR((Y88-Y89)/Y88,"")</f>
        <v/>
      </c>
      <c r="Z87" s="240" t="str">
        <f aca="false">IFERROR((Z88-Z89)/Z88,"")</f>
        <v/>
      </c>
      <c r="AA87" s="240" t="str">
        <f aca="false">IFERROR((AA88-AA89)/AA88,"")</f>
        <v/>
      </c>
      <c r="AB87" s="240" t="str">
        <f aca="false">IFERROR((AB88-AB89)/AB88,"")</f>
        <v/>
      </c>
      <c r="AC87" s="240" t="str">
        <f aca="false">IFERROR((AC88-AC89)/AC88,"")</f>
        <v/>
      </c>
      <c r="AD87" s="240" t="str">
        <f aca="false">IFERROR((AD88-AD89)/AD88,"")</f>
        <v/>
      </c>
      <c r="AE87" s="240" t="str">
        <f aca="false">IFERROR((AE88-AE89)/AE88,"")</f>
        <v/>
      </c>
      <c r="AF87" s="240" t="str">
        <f aca="false">IFERROR((AF88-AF89)/AF88,"")</f>
        <v/>
      </c>
      <c r="AG87" s="240" t="str">
        <f aca="false">IFERROR((AG88-AG89)/AG88,"")</f>
        <v/>
      </c>
      <c r="AH87" s="240" t="str">
        <f aca="false">IFERROR((AH88-AH89)/AH88,"")</f>
        <v/>
      </c>
      <c r="AI87" s="240" t="str">
        <f aca="false">IFERROR((AI88-AI89)/AI88,"")</f>
        <v/>
      </c>
      <c r="AJ87" s="240" t="str">
        <f aca="false">IFERROR((AJ88-AJ89)/AJ88,"")</f>
        <v/>
      </c>
      <c r="AK87" s="240" t="str">
        <f aca="false">IFERROR((AK88-AK89)/AK88,"")</f>
        <v/>
      </c>
      <c r="AL87" s="240" t="str">
        <f aca="false">IFERROR((AL88-AL89)/AL88,"")</f>
        <v/>
      </c>
      <c r="AM87" s="240" t="str">
        <f aca="false">IFERROR((AM88-AM89)/AM88,"")</f>
        <v/>
      </c>
      <c r="AN87" s="241" t="str">
        <f aca="false">IFERROR((AN88-AN89)/AN88,"")</f>
        <v/>
      </c>
      <c r="AO87" s="242" t="str">
        <f aca="false">IFERROR((AO88-AO89)/AO88,"")</f>
        <v/>
      </c>
      <c r="AP87" s="243" t="str">
        <f aca="false">IFERROR((AP88-AP89)/AP88,"")</f>
        <v/>
      </c>
      <c r="AQ87" s="243" t="str">
        <f aca="false">IFERROR((AQ88-AQ89)/AQ88,"")</f>
        <v/>
      </c>
      <c r="AR87" s="243" t="str">
        <f aca="false">IFERROR((AR88-AR89)/AR88,"")</f>
        <v/>
      </c>
      <c r="AS87" s="243" t="str">
        <f aca="false">IFERROR((AS88-AS89)/AS88,"")</f>
        <v/>
      </c>
      <c r="AT87" s="243" t="str">
        <f aca="false">IFERROR((AT88-AT89)/AT88,"")</f>
        <v/>
      </c>
      <c r="AU87" s="244" t="str">
        <f aca="false">IFERROR((AU88-AU89)/AU88,"")</f>
        <v/>
      </c>
      <c r="AV87" s="245" t="str">
        <f aca="false">IFERROR((AV88-AV89)/AV88,"")</f>
        <v/>
      </c>
    </row>
    <row r="88" customFormat="false" ht="14.25" hidden="false" customHeight="false" outlineLevel="0" collapsed="false">
      <c r="A88" s="217" t="str">
        <f aca="false">+IF(C88+C89=0,"[ocultar]","")</f>
        <v>[ocultar]</v>
      </c>
      <c r="B88" s="323" t="s">
        <v>371</v>
      </c>
      <c r="C88" s="247" t="n">
        <f aca="false" t="array" ref="C88:C88">SUM(IF($B88=DATOS_[Sexo], IF($B87=DATOS_[AGRUP. VALOR. PTO.], IF("Dentro"=DATOS_[Check Periodo Ref.], 1/(COUNTIFS(DATOS_[Sexo],$B88,DATOS_[AGRUP. VALOR. PTO.],$B87,DATOS_[Check Periodo Ref.],"Dentro",DATOS_[id],DATOS_[id]))))))</f>
        <v>0</v>
      </c>
      <c r="D88" s="248" t="n">
        <f aca="false">COUNTIFS(DATOS_[AGRUP. VALOR. PTO.],$B87,DATOS_[Sexo],$B88,DATOS_[Check Periodo Ref.],"Dentro")</f>
        <v>0</v>
      </c>
      <c r="E88" s="248" t="n">
        <f aca="false">COUNTIFS(DATOS_[AGRUP. VALOR. PTO.],$B87,DATOS_[Sexo],$B88,DATOS_[Check Periodo Ref.],"Dentro",DATOS_[Check Nº SC Norm],"Sí")</f>
        <v>0</v>
      </c>
      <c r="F88" s="248" t="n">
        <f aca="false">COUNTIFS(DATOS_[AGRUP. VALOR. PTO.],$B87,DATOS_[Sexo],$B88,DATOS_[Check Periodo Ref.],"Dentro",DATOS_[Check Nº SC Anualiz],"Sí")</f>
        <v>0</v>
      </c>
      <c r="G88" s="248" t="n">
        <f aca="false">COUNTIFS(DATOS_[AGRUP. VALOR. PTO.],$B87,DATOS_[Sexo],$B88,DATOS_[Check Periodo Ref.],"Dentro",DATOS_[Check Nº SC Norm y Anualiz],"Sí")</f>
        <v>0</v>
      </c>
      <c r="H88" s="248" t="n">
        <f aca="false">COUNTIFS(DATOS_[AGRUP. VALOR. PTO.],$B87,DATOS_[Sexo],$B88,DATOS_[Check Periodo Ref.],"Dentro",DATOS_[Check Equiparación],"Sí")</f>
        <v>0</v>
      </c>
      <c r="I88" s="249" t="n">
        <f aca="false" t="array" ref="I88:I88">IFERROR( MEDIAN(IF(DATOS_[Sexo]=$B88,IF(DATOS_[[AGRUP. VALOR. PTO.]:[AGRUP. VALOR. PTO.]]=$B87,IF(DATOS_[Check Equiparado]="Sí",IF(DATOS_[Check Periodo Ref.]="Dentro",DATOS_[SALARIO BASE Eq],0))))), 0)</f>
        <v>0</v>
      </c>
      <c r="J88" s="250" t="n">
        <f aca="false" t="array" ref="J88:J88">IFERROR( (MEDIAN((IF(DATOS_[[Sexo]:[Sexo]]=$B88,IF(DATOS_[[AGRUP. VALOR. PTO.]:[AGRUP. VALOR. PTO.]]=$B87,IF(DATOS_[[Check Periodo Ref.]:[Check Periodo Ref.]]="Dentro",IF(DATOS_[[Check Equiparado]:[Check Equiparado]]="Sí",IF(DATOS!AE$4="Sí",(1/DATOS_[[% anualiz]:[% anualiz]]),1)*IF(DATOS!AE$5="Sí",1/DATOS_[[% normaliz]:[% normaliz]],1)*(DATOS_[Conc.Sal.01])))))))), 0)</f>
        <v>0</v>
      </c>
      <c r="K88" s="250" t="n">
        <f aca="false" t="array" ref="K88:K88">IFERROR( (MEDIAN((IF(DATOS_[[Sexo]:[Sexo]]=$B88,IF(DATOS_[[AGRUP. VALOR. PTO.]:[AGRUP. VALOR. PTO.]]=$B87,IF(DATOS_[[Check Periodo Ref.]:[Check Periodo Ref.]]="Dentro",IF(DATOS_[[Check Equiparado]:[Check Equiparado]]="Sí",IF(DATOS!AF$4="Sí",(1/DATOS_[[% anualiz]:[% anualiz]]),1)*IF(DATOS!AF$5="Sí",1/DATOS_[[% normaliz]:[% normaliz]],1)*(DATOS_[Conc.Sal.02])))))))), 0)</f>
        <v>0</v>
      </c>
      <c r="L88" s="250" t="n">
        <f aca="false" t="array" ref="L88:L88">IFERROR( (MEDIAN((IF(DATOS_[[Sexo]:[Sexo]]=$B88,IF(DATOS_[[AGRUP. VALOR. PTO.]:[AGRUP. VALOR. PTO.]]=$B87,IF(DATOS_[[Check Periodo Ref.]:[Check Periodo Ref.]]="Dentro",IF(DATOS_[[Check Equiparado]:[Check Equiparado]]="Sí",IF(DATOS!AG$4="Sí",(1/DATOS_[[% anualiz]:[% anualiz]]),1)*IF(DATOS!AG$5="Sí",1/DATOS_[[% normaliz]:[% normaliz]],1)*(DATOS_[Conc.Sal.03])))))))), 0)</f>
        <v>0</v>
      </c>
      <c r="M88" s="250" t="n">
        <f aca="false" t="array" ref="M88:M88">IFERROR( (MEDIAN((IF(DATOS_[[Sexo]:[Sexo]]=$B88,IF(DATOS_[[AGRUP. VALOR. PTO.]:[AGRUP. VALOR. PTO.]]=$B87,IF(DATOS_[[Check Periodo Ref.]:[Check Periodo Ref.]]="Dentro",IF(DATOS_[[Check Equiparado]:[Check Equiparado]]="Sí",IF(DATOS!AH$4="Sí",(1/DATOS_[[% anualiz]:[% anualiz]]),1)*IF(DATOS!AH$5="Sí",1/DATOS_[[% normaliz]:[% normaliz]],1)*(DATOS_[Conc.Sal.04])))))))), 0)</f>
        <v>0</v>
      </c>
      <c r="N88" s="250" t="n">
        <f aca="false" t="array" ref="N88:N88">IFERROR( (MEDIAN((IF(DATOS_[[Sexo]:[Sexo]]=$B88,IF(DATOS_[[AGRUP. VALOR. PTO.]:[AGRUP. VALOR. PTO.]]=$B87,IF(DATOS_[[Check Periodo Ref.]:[Check Periodo Ref.]]="Dentro",IF(DATOS_[[Check Equiparado]:[Check Equiparado]]="Sí",IF(DATOS!AI$4="Sí",(1/DATOS_[[% anualiz]:[% anualiz]]),1)*IF(DATOS!AI$5="Sí",1/DATOS_[[% normaliz]:[% normaliz]],1)*(DATOS_[Conc.Sal.05])))))))), 0)</f>
        <v>0</v>
      </c>
      <c r="O88" s="250" t="n">
        <f aca="false" t="array" ref="O88:O88">IFERROR( (MEDIAN((IF(DATOS_[[Sexo]:[Sexo]]=$B88,IF(DATOS_[[AGRUP. VALOR. PTO.]:[AGRUP. VALOR. PTO.]]=$B87,IF(DATOS_[[Check Periodo Ref.]:[Check Periodo Ref.]]="Dentro",IF(DATOS_[[Check Equiparado]:[Check Equiparado]]="Sí",IF(DATOS!AJ$4="Sí",(1/DATOS_[[% anualiz]:[% anualiz]]),1)*IF(DATOS!AJ$5="Sí",1/DATOS_[[% normaliz]:[% normaliz]],1)*(DATOS_[Conc.Sal.06])))))))), 0)</f>
        <v>0</v>
      </c>
      <c r="P88" s="250" t="n">
        <f aca="false" t="array" ref="P88:P88">IFERROR( (MEDIAN((IF(DATOS_[[Sexo]:[Sexo]]=$B88,IF(DATOS_[[AGRUP. VALOR. PTO.]:[AGRUP. VALOR. PTO.]]=$B87,IF(DATOS_[[Check Periodo Ref.]:[Check Periodo Ref.]]="Dentro",IF(DATOS_[[Check Equiparado]:[Check Equiparado]]="Sí",IF(DATOS!AK$4="Sí",(1/DATOS_[[% anualiz]:[% anualiz]]),1)*IF(DATOS!AK$5="Sí",1/DATOS_[[% normaliz]:[% normaliz]],1)*(DATOS_[Conc.Sal.07])))))))), 0)</f>
        <v>0</v>
      </c>
      <c r="Q88" s="250" t="n">
        <f aca="false" t="array" ref="Q88:Q88">IFERROR( (MEDIAN((IF(DATOS_[[Sexo]:[Sexo]]=$B88,IF(DATOS_[[AGRUP. VALOR. PTO.]:[AGRUP. VALOR. PTO.]]=$B87,IF(DATOS_[[Check Periodo Ref.]:[Check Periodo Ref.]]="Dentro",IF(DATOS_[[Check Equiparado]:[Check Equiparado]]="Sí",IF(DATOS!AL$4="Sí",(1/DATOS_[[% anualiz]:[% anualiz]]),1)*IF(DATOS!AL$5="Sí",1/DATOS_[[% normaliz]:[% normaliz]],1)*(DATOS_[Conc.Sal.08])))))))), 0)</f>
        <v>0</v>
      </c>
      <c r="R88" s="250" t="n">
        <f aca="false" t="array" ref="R88:R88">IFERROR( (MEDIAN((IF(DATOS_[[Sexo]:[Sexo]]=$B88,IF(DATOS_[[AGRUP. VALOR. PTO.]:[AGRUP. VALOR. PTO.]]=$B87,IF(DATOS_[[Check Periodo Ref.]:[Check Periodo Ref.]]="Dentro",IF(DATOS_[[Check Equiparado]:[Check Equiparado]]="Sí",IF(DATOS!AM$4="Sí",(1/DATOS_[[% anualiz]:[% anualiz]]),1)*IF(DATOS!AM$5="Sí",1/DATOS_[[% normaliz]:[% normaliz]],1)*(DATOS_[Conc.Sal.09])))))))), 0)</f>
        <v>0</v>
      </c>
      <c r="S88" s="250" t="n">
        <f aca="false" t="array" ref="S88:S88">IFERROR( (MEDIAN((IF(DATOS_[[Sexo]:[Sexo]]=$B88,IF(DATOS_[[AGRUP. VALOR. PTO.]:[AGRUP. VALOR. PTO.]]=$B87,IF(DATOS_[[Check Periodo Ref.]:[Check Periodo Ref.]]="Dentro",IF(DATOS_[[Check Equiparado]:[Check Equiparado]]="Sí",IF(DATOS!AN$4="Sí",(1/DATOS_[[% anualiz]:[% anualiz]]),1)*IF(DATOS!AN$5="Sí",1/DATOS_[[% normaliz]:[% normaliz]],1)*(DATOS_[Conc.Sal.10])))))))), 0)</f>
        <v>0</v>
      </c>
      <c r="T88" s="250" t="n">
        <f aca="false" t="array" ref="T88:T88">IFERROR( (MEDIAN((IF(DATOS_[[Sexo]:[Sexo]]=$B88,IF(DATOS_[[AGRUP. VALOR. PTO.]:[AGRUP. VALOR. PTO.]]=$B87,IF(DATOS_[[Check Periodo Ref.]:[Check Periodo Ref.]]="Dentro",IF(DATOS_[[Check Equiparado]:[Check Equiparado]]="Sí",IF(DATOS!AO$4="Sí",(1/DATOS_[[% anualiz]:[% anualiz]]),1)*IF(DATOS!AO$5="Sí",1/DATOS_[[% normaliz]:[% normaliz]],1)*(DATOS_[Conc.Sal.11])))))))), 0)</f>
        <v>0</v>
      </c>
      <c r="U88" s="250" t="n">
        <f aca="false" t="array" ref="U88:U88">IFERROR( (MEDIAN((IF(DATOS_[[Sexo]:[Sexo]]=$B88,IF(DATOS_[[AGRUP. VALOR. PTO.]:[AGRUP. VALOR. PTO.]]=$B87,IF(DATOS_[[Check Periodo Ref.]:[Check Periodo Ref.]]="Dentro",IF(DATOS_[[Check Equiparado]:[Check Equiparado]]="Sí",IF(DATOS!AP$4="Sí",(1/DATOS_[[% anualiz]:[% anualiz]]),1)*IF(DATOS!AP$5="Sí",1/DATOS_[[% normaliz]:[% normaliz]],1)*(DATOS_[Conc.Sal.12])))))))), 0)</f>
        <v>0</v>
      </c>
      <c r="V88" s="250" t="n">
        <f aca="false" t="array" ref="V88:V88">IFERROR( (MEDIAN((IF(DATOS_[[Sexo]:[Sexo]]=$B88,IF(DATOS_[[AGRUP. VALOR. PTO.]:[AGRUP. VALOR. PTO.]]=$B87,IF(DATOS_[[Check Periodo Ref.]:[Check Periodo Ref.]]="Dentro",IF(DATOS_[[Check Equiparado]:[Check Equiparado]]="Sí",IF(DATOS!AQ$4="Sí",(1/DATOS_[[% anualiz]:[% anualiz]]),1)*IF(DATOS!AQ$5="Sí",1/DATOS_[[% normaliz]:[% normaliz]],1)*(DATOS_[Conc.Sal.13])))))))), 0)</f>
        <v>0</v>
      </c>
      <c r="W88" s="250" t="n">
        <f aca="false" t="array" ref="W88:W88">IFERROR( (MEDIAN((IF(DATOS_[[Sexo]:[Sexo]]=$B88,IF(DATOS_[[AGRUP. VALOR. PTO.]:[AGRUP. VALOR. PTO.]]=$B87,IF(DATOS_[[Check Periodo Ref.]:[Check Periodo Ref.]]="Dentro",IF(DATOS_[[Check Equiparado]:[Check Equiparado]]="Sí",IF(DATOS!AR$4="Sí",(1/DATOS_[[% anualiz]:[% anualiz]]),1)*IF(DATOS!AR$5="Sí",1/DATOS_[[% normaliz]:[% normaliz]],1)*(DATOS_[Conc.Sal.14])))))))), 0)</f>
        <v>0</v>
      </c>
      <c r="X88" s="250" t="n">
        <f aca="false" t="array" ref="X88:X88">IFERROR( (MEDIAN((IF(DATOS_[[Sexo]:[Sexo]]=$B88,IF(DATOS_[[AGRUP. VALOR. PTO.]:[AGRUP. VALOR. PTO.]]=$B87,IF(DATOS_[[Check Periodo Ref.]:[Check Periodo Ref.]]="Dentro",IF(DATOS_[[Check Equiparado]:[Check Equiparado]]="Sí",IF(DATOS!AS$4="Sí",(1/DATOS_[[% anualiz]:[% anualiz]]),1)*IF(DATOS!AS$5="Sí",1/DATOS_[[% normaliz]:[% normaliz]],1)*(DATOS_[Conc.Sal.15])))))))), 0)</f>
        <v>0</v>
      </c>
      <c r="Y88" s="250" t="n">
        <f aca="false" t="array" ref="Y88:Y88">IFERROR( (MEDIAN((IF(DATOS_[[Sexo]:[Sexo]]=$B88,IF(DATOS_[[AGRUP. VALOR. PTO.]:[AGRUP. VALOR. PTO.]]=$B87,IF(DATOS_[[Check Periodo Ref.]:[Check Periodo Ref.]]="Dentro",IF(DATOS_[[Check Equiparado]:[Check Equiparado]]="Sí",IF(DATOS!AT$4="Sí",(1/DATOS_[[% anualiz]:[% anualiz]]),1)*IF(DATOS!AT$5="Sí",1/DATOS_[[% normaliz]:[% normaliz]],1)*(DATOS_[Conc.Sal.16])))))))), 0)</f>
        <v>0</v>
      </c>
      <c r="Z88" s="250" t="n">
        <f aca="false" t="array" ref="Z88:Z88">IFERROR( (MEDIAN((IF(DATOS_[[Sexo]:[Sexo]]=$B88,IF(DATOS_[[AGRUP. VALOR. PTO.]:[AGRUP. VALOR. PTO.]]=$B87,IF(DATOS_[[Check Periodo Ref.]:[Check Periodo Ref.]]="Dentro",IF(DATOS_[[Check Equiparado]:[Check Equiparado]]="Sí",IF(DATOS!AU$4="Sí",(1/DATOS_[[% anualiz]:[% anualiz]]),1)*IF(DATOS!AU$5="Sí",1/DATOS_[[% normaliz]:[% normaliz]],1)*(DATOS_[Conc.Sal.17])))))))), 0)</f>
        <v>0</v>
      </c>
      <c r="AA88" s="250" t="n">
        <f aca="false" t="array" ref="AA88:AA88">IFERROR( (MEDIAN((IF(DATOS_[[Sexo]:[Sexo]]=$B88,IF(DATOS_[[AGRUP. VALOR. PTO.]:[AGRUP. VALOR. PTO.]]=$B87,IF(DATOS_[[Check Periodo Ref.]:[Check Periodo Ref.]]="Dentro",IF(DATOS_[[Check Equiparado]:[Check Equiparado]]="Sí",IF(DATOS!AV$4="Sí",(1/DATOS_[[% anualiz]:[% anualiz]]),1)*IF(DATOS!AV$5="Sí",1/DATOS_[[% normaliz]:[% normaliz]],1)*(DATOS_[Conc.Sal.18])))))))), 0)</f>
        <v>0</v>
      </c>
      <c r="AB88" s="250" t="n">
        <f aca="false" t="array" ref="AB88:AB88">IFERROR( (MEDIAN((IF(DATOS_[[Sexo]:[Sexo]]=$B88,IF(DATOS_[[AGRUP. VALOR. PTO.]:[AGRUP. VALOR. PTO.]]=$B87,IF(DATOS_[[Check Periodo Ref.]:[Check Periodo Ref.]]="Dentro",IF(DATOS_[[Check Equiparado]:[Check Equiparado]]="Sí",IF(DATOS!AW$4="Sí",(1/DATOS_[[% anualiz]:[% anualiz]]),1)*IF(DATOS!AW$5="Sí",1/DATOS_[[% normaliz]:[% normaliz]],1)*(DATOS_[Conc.Sal.19])))))))), 0)</f>
        <v>0</v>
      </c>
      <c r="AC88" s="250" t="n">
        <f aca="false" t="array" ref="AC88:AC88">IFERROR( (MEDIAN((IF(DATOS_[[Sexo]:[Sexo]]=$B88,IF(DATOS_[[AGRUP. VALOR. PTO.]:[AGRUP. VALOR. PTO.]]=$B87,IF(DATOS_[[Check Periodo Ref.]:[Check Periodo Ref.]]="Dentro",IF(DATOS_[[Check Equiparado]:[Check Equiparado]]="Sí",IF(DATOS!AX$4="Sí",(1/DATOS_[[% anualiz]:[% anualiz]]),1)*IF(DATOS!AX$5="Sí",1/DATOS_[[% normaliz]:[% normaliz]],1)*(DATOS_[Conc.Sal.20])))))))), 0)</f>
        <v>0</v>
      </c>
      <c r="AD88" s="250" t="n">
        <f aca="false" t="array" ref="AD88:AD88">IFERROR( (MEDIAN((IF(DATOS_[[Sexo]:[Sexo]]=$B88,IF(DATOS_[[AGRUP. VALOR. PTO.]:[AGRUP. VALOR. PTO.]]=$B87,IF(DATOS_[[Check Periodo Ref.]:[Check Periodo Ref.]]="Dentro",IF(DATOS_[[Check Equiparado]:[Check Equiparado]]="Sí",IF(DATOS!AY$4="Sí",(1/DATOS_[[% anualiz]:[% anualiz]]),1)*IF(DATOS!AY$5="Sí",1/DATOS_[[% normaliz]:[% normaliz]],1)*(DATOS_[Conc.Sal.21])))))))), 0)</f>
        <v>0</v>
      </c>
      <c r="AE88" s="250" t="n">
        <f aca="false" t="array" ref="AE88:AE88">IFERROR( (MEDIAN((IF(DATOS_[[Sexo]:[Sexo]]=$B88,IF(DATOS_[[AGRUP. VALOR. PTO.]:[AGRUP. VALOR. PTO.]]=$B87,IF(DATOS_[[Check Periodo Ref.]:[Check Periodo Ref.]]="Dentro",IF(DATOS_[[Check Equiparado]:[Check Equiparado]]="Sí",IF(DATOS!AZ$4="Sí",(1/DATOS_[[% anualiz]:[% anualiz]]),1)*IF(DATOS!AZ$5="Sí",1/DATOS_[[% normaliz]:[% normaliz]],1)*(DATOS_[Conc.Sal.22])))))))), 0)</f>
        <v>0</v>
      </c>
      <c r="AF88" s="250" t="n">
        <f aca="false" t="array" ref="AF88:AF88">IFERROR( (MEDIAN((IF(DATOS_[[Sexo]:[Sexo]]=$B88,IF(DATOS_[[AGRUP. VALOR. PTO.]:[AGRUP. VALOR. PTO.]]=$B87,IF(DATOS_[[Check Periodo Ref.]:[Check Periodo Ref.]]="Dentro",IF(DATOS_[[Check Equiparado]:[Check Equiparado]]="Sí",IF(DATOS!BA$4="Sí",(1/DATOS_[[% anualiz]:[% anualiz]]),1)*IF(DATOS!BA$5="Sí",1/DATOS_[[% normaliz]:[% normaliz]],1)*(DATOS_[Conc.Sal.23])))))))), 0)</f>
        <v>0</v>
      </c>
      <c r="AG88" s="250" t="n">
        <f aca="false" t="array" ref="AG88:AG88">IFERROR( (MEDIAN((IF(DATOS_[[Sexo]:[Sexo]]=$B88,IF(DATOS_[[AGRUP. VALOR. PTO.]:[AGRUP. VALOR. PTO.]]=$B87,IF(DATOS_[[Check Periodo Ref.]:[Check Periodo Ref.]]="Dentro",IF(DATOS_[[Check Equiparado]:[Check Equiparado]]="Sí",IF(DATOS!BB$4="Sí",(1/DATOS_[[% anualiz]:[% anualiz]]),1)*IF(DATOS!BB$5="Sí",1/DATOS_[[% normaliz]:[% normaliz]],1)*(DATOS_[Conc.Sal.24])))))))), 0)</f>
        <v>0</v>
      </c>
      <c r="AH88" s="250" t="n">
        <f aca="false" t="array" ref="AH88:AH88">IFERROR( (MEDIAN((IF(DATOS_[[Sexo]:[Sexo]]=$B88,IF(DATOS_[[AGRUP. VALOR. PTO.]:[AGRUP. VALOR. PTO.]]=$B87,IF(DATOS_[[Check Periodo Ref.]:[Check Periodo Ref.]]="Dentro",IF(DATOS_[[Check Equiparado]:[Check Equiparado]]="Sí",IF(DATOS!BC$4="Sí",(1/DATOS_[[% anualiz]:[% anualiz]]),1)*IF(DATOS!BC$5="Sí",1/DATOS_[[% normaliz]:[% normaliz]],1)*(DATOS_[Conc.Sal.25])))))))), 0)</f>
        <v>0</v>
      </c>
      <c r="AI88" s="250" t="n">
        <f aca="false" t="array" ref="AI88:AI88">IFERROR( (MEDIAN((IF(DATOS_[[Sexo]:[Sexo]]=$B88,IF(DATOS_[[AGRUP. VALOR. PTO.]:[AGRUP. VALOR. PTO.]]=$B87,IF(DATOS_[[Check Periodo Ref.]:[Check Periodo Ref.]]="Dentro",IF(DATOS_[[Check Equiparado]:[Check Equiparado]]="Sí",IF(DATOS!BD$4="Sí",(1/DATOS_[[% anualiz]:[% anualiz]]),1)*IF(DATOS!BD$5="Sí",1/DATOS_[[% normaliz]:[% normaliz]],1)*(DATOS_[Conc.Sal.26])))))))), 0)</f>
        <v>0</v>
      </c>
      <c r="AJ88" s="250" t="n">
        <f aca="false" t="array" ref="AJ88:AJ88">IFERROR( (MEDIAN((IF(DATOS_[[Sexo]:[Sexo]]=$B88,IF(DATOS_[[AGRUP. VALOR. PTO.]:[AGRUP. VALOR. PTO.]]=$B87,IF(DATOS_[[Check Periodo Ref.]:[Check Periodo Ref.]]="Dentro",IF(DATOS_[[Check Equiparado]:[Check Equiparado]]="Sí",IF(DATOS!BE$4="Sí",(1/DATOS_[[% anualiz]:[% anualiz]]),1)*IF(DATOS!BE$5="Sí",1/DATOS_[[% normaliz]:[% normaliz]],1)*(DATOS_[Conc.Sal.27])))))))), 0)</f>
        <v>0</v>
      </c>
      <c r="AK88" s="250" t="n">
        <f aca="false" t="array" ref="AK88:AK88">IFERROR( (MEDIAN((IF(DATOS_[[Sexo]:[Sexo]]=$B88,IF(DATOS_[[AGRUP. VALOR. PTO.]:[AGRUP. VALOR. PTO.]]=$B87,IF(DATOS_[[Check Periodo Ref.]:[Check Periodo Ref.]]="Dentro",IF(DATOS_[[Check Equiparado]:[Check Equiparado]]="Sí",IF(DATOS!BF$4="Sí",(1/DATOS_[[% anualiz]:[% anualiz]]),1)*IF(DATOS!BF$5="Sí",1/DATOS_[[% normaliz]:[% normaliz]],1)*(DATOS_[Conc.Sal.28])))))))), 0)</f>
        <v>0</v>
      </c>
      <c r="AL88" s="250" t="n">
        <f aca="false" t="array" ref="AL88:AL88">IFERROR( (MEDIAN((IF(DATOS_[[Sexo]:[Sexo]]=$B88,IF(DATOS_[[AGRUP. VALOR. PTO.]:[AGRUP. VALOR. PTO.]]=$B87,IF(DATOS_[[Check Periodo Ref.]:[Check Periodo Ref.]]="Dentro",IF(DATOS_[[Check Equiparado]:[Check Equiparado]]="Sí",IF(DATOS!BG$4="Sí",(1/DATOS_[[% anualiz]:[% anualiz]]),1)*IF(DATOS!BG$5="Sí",1/DATOS_[[% normaliz]:[% normaliz]],1)*(DATOS_[Conc.Sal.29])))))))), 0)</f>
        <v>0</v>
      </c>
      <c r="AM88" s="250" t="n">
        <f aca="false" t="array" ref="AM88:AM88">IFERROR( (MEDIAN((IF(DATOS_[[Sexo]:[Sexo]]=$B88,IF(DATOS_[[AGRUP. VALOR. PTO.]:[AGRUP. VALOR. PTO.]]=$B87,IF(DATOS_[[Check Periodo Ref.]:[Check Periodo Ref.]]="Dentro",IF(DATOS_[[Check Equiparado]:[Check Equiparado]]="Sí",IF(DATOS!BH$4="Sí",(1/DATOS_[[% anualiz]:[% anualiz]]),1)*IF(DATOS!BH$5="Sí",1/DATOS_[[% normaliz]:[% normaliz]],1)*(DATOS_[Conc.Sal.30])))))))), 0)</f>
        <v>0</v>
      </c>
      <c r="AN88" s="251" t="n">
        <f aca="false" t="array" ref="AN88:AN88">IFERROR( MEDIAN(IF(DATOS_[Sexo]=$B88,IF(DATOS_[[AGRUP. VALOR. PTO.]:[AGRUP. VALOR. PTO.]]=$B87,IF(DATOS_[Check Equiparado]="Sí",IF(DATOS_[Check Periodo Ref.]="Dentro",DATOS_[Tot COMPL.SAL Eq],0))))), 0)</f>
        <v>0</v>
      </c>
      <c r="AO88" s="252" t="n">
        <f aca="false" t="array" ref="AO88:AO88">IFERROR( MEDIAN(IF(DATOS_[Sexo]=$B88,IF(DATOS_[[AGRUP. VALOR. PTO.]:[AGRUP. VALOR. PTO.]]=$B87,IF(DATOS_[Check Equiparado]="Sí",IF(DATOS_[Check Periodo Ref.]="Dentro",DATOS_[TOTAL SALARIO Eq],0))))), 0)</f>
        <v>0</v>
      </c>
      <c r="AP88" s="259" t="n">
        <f aca="false" t="array" ref="AP88:AP88">IFERROR( (MEDIAN((IF(DATOS_[[Sexo]:[Sexo]]=$B88,IF(DATOS_[[AGRUP. VALOR. PTO.]:[AGRUP. VALOR. PTO.]]=$B87,IF(DATOS_[[Check Periodo Ref.]:[Check Periodo Ref.]]="Dentro",IF(DATOS_[[Check Equiparado]:[Check Equiparado]]="Sí",IF(DATOS!BI$4="Sí",(1/DATOS_[[% anualiz]:[% anualiz]]),1)*IF(DATOS!BI$5="Sí",1/DATOS_[[% normaliz]:[% normaliz]],1)*(DATOS_[C.Extra.01])))))))), 0)</f>
        <v>0</v>
      </c>
      <c r="AQ88" s="259" t="n">
        <f aca="false" t="array" ref="AQ88:AQ88">IFERROR( (MEDIAN((IF(DATOS_[[Sexo]:[Sexo]]=$B88,IF(DATOS_[[AGRUP. VALOR. PTO.]:[AGRUP. VALOR. PTO.]]=$B87,IF(DATOS_[[Check Periodo Ref.]:[Check Periodo Ref.]]="Dentro",IF(DATOS_[[Check Equiparado]:[Check Equiparado]]="Sí",IF(DATOS!BJ$4="Sí",(1/DATOS_[[% anualiz]:[% anualiz]]),1)*IF(DATOS!BJ$5="Sí",1/DATOS_[[% normaliz]:[% normaliz]],1)*(DATOS_[C.Extra.02])))))))), 0)</f>
        <v>0</v>
      </c>
      <c r="AR88" s="259" t="n">
        <f aca="false" t="array" ref="AR88:AR88">IFERROR( (MEDIAN((IF(DATOS_[[Sexo]:[Sexo]]=$B88,IF(DATOS_[[AGRUP. VALOR. PTO.]:[AGRUP. VALOR. PTO.]]=$B87,IF(DATOS_[[Check Periodo Ref.]:[Check Periodo Ref.]]="Dentro",IF(DATOS_[[Check Equiparado]:[Check Equiparado]]="Sí",IF(DATOS!BK$4="Sí",(1/DATOS_[[% anualiz]:[% anualiz]]),1)*IF(DATOS!BK$5="Sí",1/DATOS_[[% normaliz]:[% normaliz]],1)*(DATOS_[C.Extra.03])))))))), 0)</f>
        <v>0</v>
      </c>
      <c r="AS88" s="259" t="n">
        <f aca="false" t="array" ref="AS88:AS88">IFERROR( (MEDIAN((IF(DATOS_[[Sexo]:[Sexo]]=$B88,IF(DATOS_[[AGRUP. VALOR. PTO.]:[AGRUP. VALOR. PTO.]]=$B87,IF(DATOS_[[Check Periodo Ref.]:[Check Periodo Ref.]]="Dentro",IF(DATOS_[[Check Equiparado]:[Check Equiparado]]="Sí",IF(DATOS!BL$4="Sí",(1/DATOS_[[% anualiz]:[% anualiz]]),1)*IF(DATOS!BL$5="Sí",1/DATOS_[[% normaliz]:[% normaliz]],1)*(DATOS_[C.Extra.04])))))))), 0)</f>
        <v>0</v>
      </c>
      <c r="AT88" s="259" t="n">
        <f aca="false" t="array" ref="AT88:AT88">IFERROR( (MEDIAN((IF(DATOS_[[Sexo]:[Sexo]]=$B88,IF(DATOS_[[AGRUP. VALOR. PTO.]:[AGRUP. VALOR. PTO.]]=$B87,IF(DATOS_[[Check Periodo Ref.]:[Check Periodo Ref.]]="Dentro",IF(DATOS_[[Check Equiparado]:[Check Equiparado]]="Sí",IF(DATOS!BM$4="Sí",(1/DATOS_[[% anualiz]:[% anualiz]]),1)*IF(DATOS!BM$5="Sí",1/DATOS_[[% normaliz]:[% normaliz]],1)*(DATOS_[C.Extra.05])))))))), 0)</f>
        <v>0</v>
      </c>
      <c r="AU88" s="254" t="n">
        <f aca="false" t="array" ref="AU88:AU88">IFERROR( MEDIAN(IF(DATOS_[Sexo]=$B88,IF(DATOS_[[AGRUP. VALOR. PTO.]:[AGRUP. VALOR. PTO.]]=$B87,IF(DATOS_[Check Equiparado]="Sí",IF(DATOS_[Check Periodo Ref.]="Dentro",DATOS_[Tot Extrasalarial Eq],0))))), 0)</f>
        <v>0</v>
      </c>
      <c r="AV88" s="255" t="n">
        <f aca="false" t="array" ref="AV88:AV88">IFERROR( MEDIAN(IF(DATOS_[Sexo]=$B88,IF(DATOS_[[AGRUP. VALOR. PTO.]:[AGRUP. VALOR. PTO.]]=$B87,IF(DATOS_[Check Equiparado]="Sí",IF(DATOS_[Check Periodo Ref.]="Dentro",DATOS_[TOTAL Retrib Eq],0))))), 0)</f>
        <v>0</v>
      </c>
    </row>
    <row r="89" customFormat="false" ht="14.25" hidden="false" customHeight="false" outlineLevel="0" collapsed="false">
      <c r="A89" s="217" t="str">
        <f aca="false">+A88</f>
        <v>[ocultar]</v>
      </c>
      <c r="B89" s="323" t="s">
        <v>372</v>
      </c>
      <c r="C89" s="247" t="n">
        <f aca="false" t="array" ref="C89:C89">SUM(IF($B89=DATOS_[Sexo], IF($B87=DATOS_[AGRUP. VALOR. PTO.], IF("Dentro"=DATOS_[Check Periodo Ref.], 1/(COUNTIFS(DATOS_[Sexo],$B89,DATOS_[AGRUP. VALOR. PTO.],$B87,DATOS_[Check Periodo Ref.],"Dentro",DATOS_[id],DATOS_[id]))))))</f>
        <v>0</v>
      </c>
      <c r="D89" s="248" t="n">
        <f aca="false">COUNTIFS(DATOS_[AGRUP. VALOR. PTO.],$B87,DATOS_[Sexo],$B89,DATOS_[Check Periodo Ref.],"Dentro")</f>
        <v>0</v>
      </c>
      <c r="E89" s="248" t="n">
        <f aca="false">COUNTIFS(DATOS_[AGRUP. VALOR. PTO.],$B87,DATOS_[Sexo],$B89,DATOS_[Check Periodo Ref.],"Dentro",DATOS_[Check Nº SC Norm],"Sí")</f>
        <v>0</v>
      </c>
      <c r="F89" s="248" t="n">
        <f aca="false">COUNTIFS(DATOS_[AGRUP. VALOR. PTO.],$B87,DATOS_[Sexo],$B89,DATOS_[Check Periodo Ref.],"Dentro",DATOS_[Check Nº SC Anualiz],"Sí")</f>
        <v>0</v>
      </c>
      <c r="G89" s="248" t="n">
        <f aca="false">COUNTIFS(DATOS_[AGRUP. VALOR. PTO.],$B87,DATOS_[Sexo],$B89,DATOS_[Check Periodo Ref.],"Dentro",DATOS_[Check Nº SC Norm y Anualiz],"Sí")</f>
        <v>0</v>
      </c>
      <c r="H89" s="248" t="n">
        <f aca="false">COUNTIFS(DATOS_[AGRUP. VALOR. PTO.],$B87,DATOS_[Sexo],$B89,DATOS_[Check Periodo Ref.],"Dentro",DATOS_[Check Equiparación],"Sí")</f>
        <v>0</v>
      </c>
      <c r="I89" s="249" t="n">
        <f aca="false" t="array" ref="I89:I89">IFERROR( MEDIAN(IF(DATOS_[Sexo]=$B89,IF(DATOS_[[AGRUP. VALOR. PTO.]:[AGRUP. VALOR. PTO.]]=$B87,IF(DATOS_[Check Equiparado]="Sí",IF(DATOS_[Check Periodo Ref.]="Dentro",DATOS_[SALARIO BASE Eq],0))))), 0)</f>
        <v>0</v>
      </c>
      <c r="J89" s="250" t="n">
        <f aca="false" t="array" ref="J89:J89">IFERROR( (MEDIAN((IF(DATOS_[[Sexo]:[Sexo]]=$B89,IF(DATOS_[[AGRUP. VALOR. PTO.]:[AGRUP. VALOR. PTO.]]=$B87,IF(DATOS_[[Check Periodo Ref.]:[Check Periodo Ref.]]="Dentro",IF(DATOS_[[Check Equiparado]:[Check Equiparado]]="Sí",IF(DATOS!AE$4="Sí",(1/DATOS_[[% anualiz]:[% anualiz]]),1)*IF(DATOS!AE$5="Sí",1/DATOS_[[% normaliz]:[% normaliz]],1)*(DATOS_[Conc.Sal.01])))))))), 0)</f>
        <v>0</v>
      </c>
      <c r="K89" s="250" t="n">
        <f aca="false" t="array" ref="K89:K89">IFERROR( (MEDIAN((IF(DATOS_[[Sexo]:[Sexo]]=$B89,IF(DATOS_[[AGRUP. VALOR. PTO.]:[AGRUP. VALOR. PTO.]]=$B87,IF(DATOS_[[Check Periodo Ref.]:[Check Periodo Ref.]]="Dentro",IF(DATOS_[[Check Equiparado]:[Check Equiparado]]="Sí",IF(DATOS!AF$4="Sí",(1/DATOS_[[% anualiz]:[% anualiz]]),1)*IF(DATOS!AF$5="Sí",1/DATOS_[[% normaliz]:[% normaliz]],1)*(DATOS_[Conc.Sal.02])))))))), 0)</f>
        <v>0</v>
      </c>
      <c r="L89" s="250" t="n">
        <f aca="false" t="array" ref="L89:L89">IFERROR( (MEDIAN((IF(DATOS_[[Sexo]:[Sexo]]=$B89,IF(DATOS_[[AGRUP. VALOR. PTO.]:[AGRUP. VALOR. PTO.]]=$B87,IF(DATOS_[[Check Periodo Ref.]:[Check Periodo Ref.]]="Dentro",IF(DATOS_[[Check Equiparado]:[Check Equiparado]]="Sí",IF(DATOS!AG$4="Sí",(1/DATOS_[[% anualiz]:[% anualiz]]),1)*IF(DATOS!AG$5="Sí",1/DATOS_[[% normaliz]:[% normaliz]],1)*(DATOS_[Conc.Sal.03])))))))), 0)</f>
        <v>0</v>
      </c>
      <c r="M89" s="250" t="n">
        <f aca="false" t="array" ref="M89:M89">IFERROR( (MEDIAN((IF(DATOS_[[Sexo]:[Sexo]]=$B89,IF(DATOS_[[AGRUP. VALOR. PTO.]:[AGRUP. VALOR. PTO.]]=$B87,IF(DATOS_[[Check Periodo Ref.]:[Check Periodo Ref.]]="Dentro",IF(DATOS_[[Check Equiparado]:[Check Equiparado]]="Sí",IF(DATOS!AH$4="Sí",(1/DATOS_[[% anualiz]:[% anualiz]]),1)*IF(DATOS!AH$5="Sí",1/DATOS_[[% normaliz]:[% normaliz]],1)*(DATOS_[Conc.Sal.04])))))))), 0)</f>
        <v>0</v>
      </c>
      <c r="N89" s="250" t="n">
        <f aca="false" t="array" ref="N89:N89">IFERROR( (MEDIAN((IF(DATOS_[[Sexo]:[Sexo]]=$B89,IF(DATOS_[[AGRUP. VALOR. PTO.]:[AGRUP. VALOR. PTO.]]=$B87,IF(DATOS_[[Check Periodo Ref.]:[Check Periodo Ref.]]="Dentro",IF(DATOS_[[Check Equiparado]:[Check Equiparado]]="Sí",IF(DATOS!AI$4="Sí",(1/DATOS_[[% anualiz]:[% anualiz]]),1)*IF(DATOS!AI$5="Sí",1/DATOS_[[% normaliz]:[% normaliz]],1)*(DATOS_[Conc.Sal.05])))))))), 0)</f>
        <v>0</v>
      </c>
      <c r="O89" s="250" t="n">
        <f aca="false" t="array" ref="O89:O89">IFERROR( (MEDIAN((IF(DATOS_[[Sexo]:[Sexo]]=$B89,IF(DATOS_[[AGRUP. VALOR. PTO.]:[AGRUP. VALOR. PTO.]]=$B87,IF(DATOS_[[Check Periodo Ref.]:[Check Periodo Ref.]]="Dentro",IF(DATOS_[[Check Equiparado]:[Check Equiparado]]="Sí",IF(DATOS!AJ$4="Sí",(1/DATOS_[[% anualiz]:[% anualiz]]),1)*IF(DATOS!AJ$5="Sí",1/DATOS_[[% normaliz]:[% normaliz]],1)*(DATOS_[Conc.Sal.06])))))))), 0)</f>
        <v>0</v>
      </c>
      <c r="P89" s="250" t="n">
        <f aca="false" t="array" ref="P89:P89">IFERROR( (MEDIAN((IF(DATOS_[[Sexo]:[Sexo]]=$B89,IF(DATOS_[[AGRUP. VALOR. PTO.]:[AGRUP. VALOR. PTO.]]=$B87,IF(DATOS_[[Check Periodo Ref.]:[Check Periodo Ref.]]="Dentro",IF(DATOS_[[Check Equiparado]:[Check Equiparado]]="Sí",IF(DATOS!AK$4="Sí",(1/DATOS_[[% anualiz]:[% anualiz]]),1)*IF(DATOS!AK$5="Sí",1/DATOS_[[% normaliz]:[% normaliz]],1)*(DATOS_[Conc.Sal.07])))))))), 0)</f>
        <v>0</v>
      </c>
      <c r="Q89" s="250" t="n">
        <f aca="false" t="array" ref="Q89:Q89">IFERROR( (MEDIAN((IF(DATOS_[[Sexo]:[Sexo]]=$B89,IF(DATOS_[[AGRUP. VALOR. PTO.]:[AGRUP. VALOR. PTO.]]=$B87,IF(DATOS_[[Check Periodo Ref.]:[Check Periodo Ref.]]="Dentro",IF(DATOS_[[Check Equiparado]:[Check Equiparado]]="Sí",IF(DATOS!AL$4="Sí",(1/DATOS_[[% anualiz]:[% anualiz]]),1)*IF(DATOS!AL$5="Sí",1/DATOS_[[% normaliz]:[% normaliz]],1)*(DATOS_[Conc.Sal.08])))))))), 0)</f>
        <v>0</v>
      </c>
      <c r="R89" s="250" t="n">
        <f aca="false" t="array" ref="R89:R89">IFERROR( (MEDIAN((IF(DATOS_[[Sexo]:[Sexo]]=$B89,IF(DATOS_[[AGRUP. VALOR. PTO.]:[AGRUP. VALOR. PTO.]]=$B87,IF(DATOS_[[Check Periodo Ref.]:[Check Periodo Ref.]]="Dentro",IF(DATOS_[[Check Equiparado]:[Check Equiparado]]="Sí",IF(DATOS!AM$4="Sí",(1/DATOS_[[% anualiz]:[% anualiz]]),1)*IF(DATOS!AM$5="Sí",1/DATOS_[[% normaliz]:[% normaliz]],1)*(DATOS_[Conc.Sal.09])))))))), 0)</f>
        <v>0</v>
      </c>
      <c r="S89" s="250" t="n">
        <f aca="false" t="array" ref="S89:S89">IFERROR( (MEDIAN((IF(DATOS_[[Sexo]:[Sexo]]=$B89,IF(DATOS_[[AGRUP. VALOR. PTO.]:[AGRUP. VALOR. PTO.]]=$B87,IF(DATOS_[[Check Periodo Ref.]:[Check Periodo Ref.]]="Dentro",IF(DATOS_[[Check Equiparado]:[Check Equiparado]]="Sí",IF(DATOS!AN$4="Sí",(1/DATOS_[[% anualiz]:[% anualiz]]),1)*IF(DATOS!AN$5="Sí",1/DATOS_[[% normaliz]:[% normaliz]],1)*(DATOS_[Conc.Sal.10])))))))), 0)</f>
        <v>0</v>
      </c>
      <c r="T89" s="250" t="n">
        <f aca="false" t="array" ref="T89:T89">IFERROR( (MEDIAN((IF(DATOS_[[Sexo]:[Sexo]]=$B89,IF(DATOS_[[AGRUP. VALOR. PTO.]:[AGRUP. VALOR. PTO.]]=$B87,IF(DATOS_[[Check Periodo Ref.]:[Check Periodo Ref.]]="Dentro",IF(DATOS_[[Check Equiparado]:[Check Equiparado]]="Sí",IF(DATOS!AO$4="Sí",(1/DATOS_[[% anualiz]:[% anualiz]]),1)*IF(DATOS!AO$5="Sí",1/DATOS_[[% normaliz]:[% normaliz]],1)*(DATOS_[Conc.Sal.11])))))))), 0)</f>
        <v>0</v>
      </c>
      <c r="U89" s="250" t="n">
        <f aca="false" t="array" ref="U89:U89">IFERROR( (MEDIAN((IF(DATOS_[[Sexo]:[Sexo]]=$B89,IF(DATOS_[[AGRUP. VALOR. PTO.]:[AGRUP. VALOR. PTO.]]=$B87,IF(DATOS_[[Check Periodo Ref.]:[Check Periodo Ref.]]="Dentro",IF(DATOS_[[Check Equiparado]:[Check Equiparado]]="Sí",IF(DATOS!AP$4="Sí",(1/DATOS_[[% anualiz]:[% anualiz]]),1)*IF(DATOS!AP$5="Sí",1/DATOS_[[% normaliz]:[% normaliz]],1)*(DATOS_[Conc.Sal.12])))))))), 0)</f>
        <v>0</v>
      </c>
      <c r="V89" s="250" t="n">
        <f aca="false" t="array" ref="V89:V89">IFERROR( (MEDIAN((IF(DATOS_[[Sexo]:[Sexo]]=$B89,IF(DATOS_[[AGRUP. VALOR. PTO.]:[AGRUP. VALOR. PTO.]]=$B87,IF(DATOS_[[Check Periodo Ref.]:[Check Periodo Ref.]]="Dentro",IF(DATOS_[[Check Equiparado]:[Check Equiparado]]="Sí",IF(DATOS!AQ$4="Sí",(1/DATOS_[[% anualiz]:[% anualiz]]),1)*IF(DATOS!AQ$5="Sí",1/DATOS_[[% normaliz]:[% normaliz]],1)*(DATOS_[Conc.Sal.13])))))))), 0)</f>
        <v>0</v>
      </c>
      <c r="W89" s="250" t="n">
        <f aca="false" t="array" ref="W89:W89">IFERROR( (MEDIAN((IF(DATOS_[[Sexo]:[Sexo]]=$B89,IF(DATOS_[[AGRUP. VALOR. PTO.]:[AGRUP. VALOR. PTO.]]=$B87,IF(DATOS_[[Check Periodo Ref.]:[Check Periodo Ref.]]="Dentro",IF(DATOS_[[Check Equiparado]:[Check Equiparado]]="Sí",IF(DATOS!AR$4="Sí",(1/DATOS_[[% anualiz]:[% anualiz]]),1)*IF(DATOS!AR$5="Sí",1/DATOS_[[% normaliz]:[% normaliz]],1)*(DATOS_[Conc.Sal.14])))))))), 0)</f>
        <v>0</v>
      </c>
      <c r="X89" s="250" t="n">
        <f aca="false" t="array" ref="X89:X89">IFERROR( (MEDIAN((IF(DATOS_[[Sexo]:[Sexo]]=$B89,IF(DATOS_[[AGRUP. VALOR. PTO.]:[AGRUP. VALOR. PTO.]]=$B87,IF(DATOS_[[Check Periodo Ref.]:[Check Periodo Ref.]]="Dentro",IF(DATOS_[[Check Equiparado]:[Check Equiparado]]="Sí",IF(DATOS!AS$4="Sí",(1/DATOS_[[% anualiz]:[% anualiz]]),1)*IF(DATOS!AS$5="Sí",1/DATOS_[[% normaliz]:[% normaliz]],1)*(DATOS_[Conc.Sal.15])))))))), 0)</f>
        <v>0</v>
      </c>
      <c r="Y89" s="250" t="n">
        <f aca="false" t="array" ref="Y89:Y89">IFERROR( (MEDIAN((IF(DATOS_[[Sexo]:[Sexo]]=$B89,IF(DATOS_[[AGRUP. VALOR. PTO.]:[AGRUP. VALOR. PTO.]]=$B87,IF(DATOS_[[Check Periodo Ref.]:[Check Periodo Ref.]]="Dentro",IF(DATOS_[[Check Equiparado]:[Check Equiparado]]="Sí",IF(DATOS!AT$4="Sí",(1/DATOS_[[% anualiz]:[% anualiz]]),1)*IF(DATOS!AT$5="Sí",1/DATOS_[[% normaliz]:[% normaliz]],1)*(DATOS_[Conc.Sal.16])))))))), 0)</f>
        <v>0</v>
      </c>
      <c r="Z89" s="250" t="n">
        <f aca="false" t="array" ref="Z89:Z89">IFERROR( (MEDIAN((IF(DATOS_[[Sexo]:[Sexo]]=$B89,IF(DATOS_[[AGRUP. VALOR. PTO.]:[AGRUP. VALOR. PTO.]]=$B87,IF(DATOS_[[Check Periodo Ref.]:[Check Periodo Ref.]]="Dentro",IF(DATOS_[[Check Equiparado]:[Check Equiparado]]="Sí",IF(DATOS!AU$4="Sí",(1/DATOS_[[% anualiz]:[% anualiz]]),1)*IF(DATOS!AU$5="Sí",1/DATOS_[[% normaliz]:[% normaliz]],1)*(DATOS_[Conc.Sal.17])))))))), 0)</f>
        <v>0</v>
      </c>
      <c r="AA89" s="250" t="n">
        <f aca="false" t="array" ref="AA89:AA89">IFERROR( (MEDIAN((IF(DATOS_[[Sexo]:[Sexo]]=$B89,IF(DATOS_[[AGRUP. VALOR. PTO.]:[AGRUP. VALOR. PTO.]]=$B87,IF(DATOS_[[Check Periodo Ref.]:[Check Periodo Ref.]]="Dentro",IF(DATOS_[[Check Equiparado]:[Check Equiparado]]="Sí",IF(DATOS!AV$4="Sí",(1/DATOS_[[% anualiz]:[% anualiz]]),1)*IF(DATOS!AV$5="Sí",1/DATOS_[[% normaliz]:[% normaliz]],1)*(DATOS_[Conc.Sal.18])))))))), 0)</f>
        <v>0</v>
      </c>
      <c r="AB89" s="250" t="n">
        <f aca="false" t="array" ref="AB89:AB89">IFERROR( (MEDIAN((IF(DATOS_[[Sexo]:[Sexo]]=$B89,IF(DATOS_[[AGRUP. VALOR. PTO.]:[AGRUP. VALOR. PTO.]]=$B87,IF(DATOS_[[Check Periodo Ref.]:[Check Periodo Ref.]]="Dentro",IF(DATOS_[[Check Equiparado]:[Check Equiparado]]="Sí",IF(DATOS!AW$4="Sí",(1/DATOS_[[% anualiz]:[% anualiz]]),1)*IF(DATOS!AW$5="Sí",1/DATOS_[[% normaliz]:[% normaliz]],1)*(DATOS_[Conc.Sal.19])))))))), 0)</f>
        <v>0</v>
      </c>
      <c r="AC89" s="250" t="n">
        <f aca="false" t="array" ref="AC89:AC89">IFERROR( (MEDIAN((IF(DATOS_[[Sexo]:[Sexo]]=$B89,IF(DATOS_[[AGRUP. VALOR. PTO.]:[AGRUP. VALOR. PTO.]]=$B87,IF(DATOS_[[Check Periodo Ref.]:[Check Periodo Ref.]]="Dentro",IF(DATOS_[[Check Equiparado]:[Check Equiparado]]="Sí",IF(DATOS!AX$4="Sí",(1/DATOS_[[% anualiz]:[% anualiz]]),1)*IF(DATOS!AX$5="Sí",1/DATOS_[[% normaliz]:[% normaliz]],1)*(DATOS_[Conc.Sal.20])))))))), 0)</f>
        <v>0</v>
      </c>
      <c r="AD89" s="250" t="n">
        <f aca="false" t="array" ref="AD89:AD89">IFERROR( (MEDIAN((IF(DATOS_[[Sexo]:[Sexo]]=$B89,IF(DATOS_[[AGRUP. VALOR. PTO.]:[AGRUP. VALOR. PTO.]]=$B87,IF(DATOS_[[Check Periodo Ref.]:[Check Periodo Ref.]]="Dentro",IF(DATOS_[[Check Equiparado]:[Check Equiparado]]="Sí",IF(DATOS!AY$4="Sí",(1/DATOS_[[% anualiz]:[% anualiz]]),1)*IF(DATOS!AY$5="Sí",1/DATOS_[[% normaliz]:[% normaliz]],1)*(DATOS_[Conc.Sal.21])))))))), 0)</f>
        <v>0</v>
      </c>
      <c r="AE89" s="250" t="n">
        <f aca="false" t="array" ref="AE89:AE89">IFERROR( (MEDIAN((IF(DATOS_[[Sexo]:[Sexo]]=$B89,IF(DATOS_[[AGRUP. VALOR. PTO.]:[AGRUP. VALOR. PTO.]]=$B87,IF(DATOS_[[Check Periodo Ref.]:[Check Periodo Ref.]]="Dentro",IF(DATOS_[[Check Equiparado]:[Check Equiparado]]="Sí",IF(DATOS!AZ$4="Sí",(1/DATOS_[[% anualiz]:[% anualiz]]),1)*IF(DATOS!AZ$5="Sí",1/DATOS_[[% normaliz]:[% normaliz]],1)*(DATOS_[Conc.Sal.22])))))))), 0)</f>
        <v>0</v>
      </c>
      <c r="AF89" s="250" t="n">
        <f aca="false" t="array" ref="AF89:AF89">IFERROR( (MEDIAN((IF(DATOS_[[Sexo]:[Sexo]]=$B89,IF(DATOS_[[AGRUP. VALOR. PTO.]:[AGRUP. VALOR. PTO.]]=$B87,IF(DATOS_[[Check Periodo Ref.]:[Check Periodo Ref.]]="Dentro",IF(DATOS_[[Check Equiparado]:[Check Equiparado]]="Sí",IF(DATOS!BA$4="Sí",(1/DATOS_[[% anualiz]:[% anualiz]]),1)*IF(DATOS!BA$5="Sí",1/DATOS_[[% normaliz]:[% normaliz]],1)*(DATOS_[Conc.Sal.23])))))))), 0)</f>
        <v>0</v>
      </c>
      <c r="AG89" s="250" t="n">
        <f aca="false" t="array" ref="AG89:AG89">IFERROR( (MEDIAN((IF(DATOS_[[Sexo]:[Sexo]]=$B89,IF(DATOS_[[AGRUP. VALOR. PTO.]:[AGRUP. VALOR. PTO.]]=$B87,IF(DATOS_[[Check Periodo Ref.]:[Check Periodo Ref.]]="Dentro",IF(DATOS_[[Check Equiparado]:[Check Equiparado]]="Sí",IF(DATOS!BB$4="Sí",(1/DATOS_[[% anualiz]:[% anualiz]]),1)*IF(DATOS!BB$5="Sí",1/DATOS_[[% normaliz]:[% normaliz]],1)*(DATOS_[Conc.Sal.24])))))))), 0)</f>
        <v>0</v>
      </c>
      <c r="AH89" s="250" t="n">
        <f aca="false" t="array" ref="AH89:AH89">IFERROR( (MEDIAN((IF(DATOS_[[Sexo]:[Sexo]]=$B89,IF(DATOS_[[AGRUP. VALOR. PTO.]:[AGRUP. VALOR. PTO.]]=$B87,IF(DATOS_[[Check Periodo Ref.]:[Check Periodo Ref.]]="Dentro",IF(DATOS_[[Check Equiparado]:[Check Equiparado]]="Sí",IF(DATOS!BC$4="Sí",(1/DATOS_[[% anualiz]:[% anualiz]]),1)*IF(DATOS!BC$5="Sí",1/DATOS_[[% normaliz]:[% normaliz]],1)*(DATOS_[Conc.Sal.25])))))))), 0)</f>
        <v>0</v>
      </c>
      <c r="AI89" s="250" t="n">
        <f aca="false" t="array" ref="AI89:AI89">IFERROR( (MEDIAN((IF(DATOS_[[Sexo]:[Sexo]]=$B89,IF(DATOS_[[AGRUP. VALOR. PTO.]:[AGRUP. VALOR. PTO.]]=$B87,IF(DATOS_[[Check Periodo Ref.]:[Check Periodo Ref.]]="Dentro",IF(DATOS_[[Check Equiparado]:[Check Equiparado]]="Sí",IF(DATOS!BD$4="Sí",(1/DATOS_[[% anualiz]:[% anualiz]]),1)*IF(DATOS!BD$5="Sí",1/DATOS_[[% normaliz]:[% normaliz]],1)*(DATOS_[Conc.Sal.26])))))))), 0)</f>
        <v>0</v>
      </c>
      <c r="AJ89" s="250" t="n">
        <f aca="false" t="array" ref="AJ89:AJ89">IFERROR( (MEDIAN((IF(DATOS_[[Sexo]:[Sexo]]=$B89,IF(DATOS_[[AGRUP. VALOR. PTO.]:[AGRUP. VALOR. PTO.]]=$B87,IF(DATOS_[[Check Periodo Ref.]:[Check Periodo Ref.]]="Dentro",IF(DATOS_[[Check Equiparado]:[Check Equiparado]]="Sí",IF(DATOS!BE$4="Sí",(1/DATOS_[[% anualiz]:[% anualiz]]),1)*IF(DATOS!BE$5="Sí",1/DATOS_[[% normaliz]:[% normaliz]],1)*(DATOS_[Conc.Sal.27])))))))), 0)</f>
        <v>0</v>
      </c>
      <c r="AK89" s="250" t="n">
        <f aca="false" t="array" ref="AK89:AK89">IFERROR( (MEDIAN((IF(DATOS_[[Sexo]:[Sexo]]=$B89,IF(DATOS_[[AGRUP. VALOR. PTO.]:[AGRUP. VALOR. PTO.]]=$B87,IF(DATOS_[[Check Periodo Ref.]:[Check Periodo Ref.]]="Dentro",IF(DATOS_[[Check Equiparado]:[Check Equiparado]]="Sí",IF(DATOS!BF$4="Sí",(1/DATOS_[[% anualiz]:[% anualiz]]),1)*IF(DATOS!BF$5="Sí",1/DATOS_[[% normaliz]:[% normaliz]],1)*(DATOS_[Conc.Sal.28])))))))), 0)</f>
        <v>0</v>
      </c>
      <c r="AL89" s="250" t="n">
        <f aca="false" t="array" ref="AL89:AL89">IFERROR( (MEDIAN((IF(DATOS_[[Sexo]:[Sexo]]=$B89,IF(DATOS_[[AGRUP. VALOR. PTO.]:[AGRUP. VALOR. PTO.]]=$B87,IF(DATOS_[[Check Periodo Ref.]:[Check Periodo Ref.]]="Dentro",IF(DATOS_[[Check Equiparado]:[Check Equiparado]]="Sí",IF(DATOS!BG$4="Sí",(1/DATOS_[[% anualiz]:[% anualiz]]),1)*IF(DATOS!BG$5="Sí",1/DATOS_[[% normaliz]:[% normaliz]],1)*(DATOS_[Conc.Sal.29])))))))), 0)</f>
        <v>0</v>
      </c>
      <c r="AM89" s="250" t="n">
        <f aca="false" t="array" ref="AM89:AM89">IFERROR( (MEDIAN((IF(DATOS_[[Sexo]:[Sexo]]=$B89,IF(DATOS_[[AGRUP. VALOR. PTO.]:[AGRUP. VALOR. PTO.]]=$B87,IF(DATOS_[[Check Periodo Ref.]:[Check Periodo Ref.]]="Dentro",IF(DATOS_[[Check Equiparado]:[Check Equiparado]]="Sí",IF(DATOS!BH$4="Sí",(1/DATOS_[[% anualiz]:[% anualiz]]),1)*IF(DATOS!BH$5="Sí",1/DATOS_[[% normaliz]:[% normaliz]],1)*(DATOS_[Conc.Sal.30])))))))), 0)</f>
        <v>0</v>
      </c>
      <c r="AN89" s="251" t="n">
        <f aca="false" t="array" ref="AN89:AN89">IFERROR( MEDIAN(IF(DATOS_[Sexo]=$B89,IF(DATOS_[[AGRUP. VALOR. PTO.]:[AGRUP. VALOR. PTO.]]=$B87,IF(DATOS_[Check Equiparado]="Sí",IF(DATOS_[Check Periodo Ref.]="Dentro",DATOS_[Tot COMPL.SAL Eq],0))))), 0)</f>
        <v>0</v>
      </c>
      <c r="AO89" s="252" t="n">
        <f aca="false" t="array" ref="AO89:AO89">IFERROR( MEDIAN(IF(DATOS_[Sexo]=$B89,IF(DATOS_[[AGRUP. VALOR. PTO.]:[AGRUP. VALOR. PTO.]]=$B87,IF(DATOS_[Check Equiparado]="Sí",IF(DATOS_[Check Periodo Ref.]="Dentro",DATOS_[TOTAL SALARIO Eq],0))))), 0)</f>
        <v>0</v>
      </c>
      <c r="AP89" s="259" t="n">
        <f aca="false" t="array" ref="AP89:AP89">IFERROR( (MEDIAN((IF(DATOS_[[Sexo]:[Sexo]]=$B89,IF(DATOS_[[AGRUP. VALOR. PTO.]:[AGRUP. VALOR. PTO.]]=$B88,IF(DATOS_[[Check Periodo Ref.]:[Check Periodo Ref.]]="Dentro",IF(DATOS_[[Check Equiparado]:[Check Equiparado]]="Sí",IF(DATOS!BI$4="Sí",(1/DATOS_[[% anualiz]:[% anualiz]]),1)*IF(DATOS!BI$5="Sí",1/DATOS_[[% normaliz]:[% normaliz]],1)*(DATOS_[C.Extra.01])))))))), 0)</f>
        <v>0</v>
      </c>
      <c r="AQ89" s="259" t="n">
        <f aca="false" t="array" ref="AQ89:AQ89">IFERROR( (MEDIAN((IF(DATOS_[[Sexo]:[Sexo]]=$B89,IF(DATOS_[[AGRUP. VALOR. PTO.]:[AGRUP. VALOR. PTO.]]=$B88,IF(DATOS_[[Check Periodo Ref.]:[Check Periodo Ref.]]="Dentro",IF(DATOS_[[Check Equiparado]:[Check Equiparado]]="Sí",IF(DATOS!BJ$4="Sí",(1/DATOS_[[% anualiz]:[% anualiz]]),1)*IF(DATOS!BJ$5="Sí",1/DATOS_[[% normaliz]:[% normaliz]],1)*(DATOS_[C.Extra.02])))))))), 0)</f>
        <v>0</v>
      </c>
      <c r="AR89" s="259" t="n">
        <f aca="false" t="array" ref="AR89:AR89">IFERROR( (MEDIAN((IF(DATOS_[[Sexo]:[Sexo]]=$B89,IF(DATOS_[[AGRUP. VALOR. PTO.]:[AGRUP. VALOR. PTO.]]=$B88,IF(DATOS_[[Check Periodo Ref.]:[Check Periodo Ref.]]="Dentro",IF(DATOS_[[Check Equiparado]:[Check Equiparado]]="Sí",IF(DATOS!BK$4="Sí",(1/DATOS_[[% anualiz]:[% anualiz]]),1)*IF(DATOS!BK$5="Sí",1/DATOS_[[% normaliz]:[% normaliz]],1)*(DATOS_[C.Extra.03])))))))), 0)</f>
        <v>0</v>
      </c>
      <c r="AS89" s="259" t="n">
        <f aca="false" t="array" ref="AS89:AS89">IFERROR( (MEDIAN((IF(DATOS_[[Sexo]:[Sexo]]=$B89,IF(DATOS_[[AGRUP. VALOR. PTO.]:[AGRUP. VALOR. PTO.]]=$B88,IF(DATOS_[[Check Periodo Ref.]:[Check Periodo Ref.]]="Dentro",IF(DATOS_[[Check Equiparado]:[Check Equiparado]]="Sí",IF(DATOS!BL$4="Sí",(1/DATOS_[[% anualiz]:[% anualiz]]),1)*IF(DATOS!BL$5="Sí",1/DATOS_[[% normaliz]:[% normaliz]],1)*(DATOS_[C.Extra.04])))))))), 0)</f>
        <v>0</v>
      </c>
      <c r="AT89" s="259" t="n">
        <f aca="false" t="array" ref="AT89:AT89">IFERROR( (MEDIAN((IF(DATOS_[[Sexo]:[Sexo]]=$B89,IF(DATOS_[[AGRUP. VALOR. PTO.]:[AGRUP. VALOR. PTO.]]=$B88,IF(DATOS_[[Check Periodo Ref.]:[Check Periodo Ref.]]="Dentro",IF(DATOS_[[Check Equiparado]:[Check Equiparado]]="Sí",IF(DATOS!BM$4="Sí",(1/DATOS_[[% anualiz]:[% anualiz]]),1)*IF(DATOS!BM$5="Sí",1/DATOS_[[% normaliz]:[% normaliz]],1)*(DATOS_[C.Extra.05])))))))), 0)</f>
        <v>0</v>
      </c>
      <c r="AU89" s="254" t="n">
        <f aca="false" t="array" ref="AU89:AU89">IFERROR( MEDIAN(IF(DATOS_[Sexo]=$B89,IF(DATOS_[[AGRUP. VALOR. PTO.]:[AGRUP. VALOR. PTO.]]=$B87,IF(DATOS_[Check Equiparado]="Sí",IF(DATOS_[Check Periodo Ref.]="Dentro",DATOS_[Tot Extrasalarial Eq],0))))), 0)</f>
        <v>0</v>
      </c>
      <c r="AV89" s="255" t="n">
        <f aca="false" t="array" ref="AV89:AV89">IFERROR( MEDIAN(IF(DATOS_[Sexo]=$B89,IF(DATOS_[[AGRUP. VALOR. PTO.]:[AGRUP. VALOR. PTO.]]=$B87,IF(DATOS_[Check Equiparado]="Sí",IF(DATOS_[Check Periodo Ref.]="Dentro",DATOS_[TOTAL Retrib Eq],0))))), 0)</f>
        <v>0</v>
      </c>
    </row>
    <row r="90" customFormat="false" ht="15.75" hidden="false" customHeight="false" outlineLevel="0" collapsed="false">
      <c r="A90" s="217" t="str">
        <f aca="false">+A91</f>
        <v>[ocultar]</v>
      </c>
      <c r="B90" s="320" t="s">
        <v>244</v>
      </c>
      <c r="C90" s="236"/>
      <c r="D90" s="237"/>
      <c r="E90" s="237"/>
      <c r="F90" s="237"/>
      <c r="G90" s="237"/>
      <c r="H90" s="237"/>
      <c r="I90" s="238" t="str">
        <f aca="false">IFERROR((I91-I92)/I91,"")</f>
        <v/>
      </c>
      <c r="J90" s="239" t="str">
        <f aca="false">IFERROR((J91-J92)/J91,"")</f>
        <v/>
      </c>
      <c r="K90" s="239" t="str">
        <f aca="false">IFERROR((K91-K92)/K91,"")</f>
        <v/>
      </c>
      <c r="L90" s="239" t="str">
        <f aca="false">IFERROR((L91-L92)/L91,"")</f>
        <v/>
      </c>
      <c r="M90" s="239" t="str">
        <f aca="false">IFERROR((M91-M92)/M91,"")</f>
        <v/>
      </c>
      <c r="N90" s="239" t="str">
        <f aca="false">IFERROR((N91-N92)/N91,"")</f>
        <v/>
      </c>
      <c r="O90" s="239" t="str">
        <f aca="false">IFERROR((O91-O92)/O91,"")</f>
        <v/>
      </c>
      <c r="P90" s="239" t="str">
        <f aca="false">IFERROR((P91-P92)/P91,"")</f>
        <v/>
      </c>
      <c r="Q90" s="239" t="str">
        <f aca="false">IFERROR((Q91-Q92)/Q91,"")</f>
        <v/>
      </c>
      <c r="R90" s="239" t="str">
        <f aca="false">IFERROR((R91-R92)/R91,"")</f>
        <v/>
      </c>
      <c r="S90" s="239" t="str">
        <f aca="false">IFERROR((S91-S92)/S91,"")</f>
        <v/>
      </c>
      <c r="T90" s="239" t="str">
        <f aca="false">IFERROR((T91-T92)/T91,"")</f>
        <v/>
      </c>
      <c r="U90" s="239" t="str">
        <f aca="false">IFERROR((U91-U92)/U91,"")</f>
        <v/>
      </c>
      <c r="V90" s="239" t="str">
        <f aca="false">IFERROR((V91-V92)/V91,"")</f>
        <v/>
      </c>
      <c r="W90" s="239" t="str">
        <f aca="false">IFERROR((W91-W92)/W91,"")</f>
        <v/>
      </c>
      <c r="X90" s="239" t="str">
        <f aca="false">IFERROR((X91-X92)/X91,"")</f>
        <v/>
      </c>
      <c r="Y90" s="239" t="str">
        <f aca="false">IFERROR((Y91-Y92)/Y91,"")</f>
        <v/>
      </c>
      <c r="Z90" s="240" t="str">
        <f aca="false">IFERROR((Z91-Z92)/Z91,"")</f>
        <v/>
      </c>
      <c r="AA90" s="240" t="str">
        <f aca="false">IFERROR((AA91-AA92)/AA91,"")</f>
        <v/>
      </c>
      <c r="AB90" s="240" t="str">
        <f aca="false">IFERROR((AB91-AB92)/AB91,"")</f>
        <v/>
      </c>
      <c r="AC90" s="240" t="str">
        <f aca="false">IFERROR((AC91-AC92)/AC91,"")</f>
        <v/>
      </c>
      <c r="AD90" s="240" t="str">
        <f aca="false">IFERROR((AD91-AD92)/AD91,"")</f>
        <v/>
      </c>
      <c r="AE90" s="240" t="str">
        <f aca="false">IFERROR((AE91-AE92)/AE91,"")</f>
        <v/>
      </c>
      <c r="AF90" s="240" t="str">
        <f aca="false">IFERROR((AF91-AF92)/AF91,"")</f>
        <v/>
      </c>
      <c r="AG90" s="240" t="str">
        <f aca="false">IFERROR((AG91-AG92)/AG91,"")</f>
        <v/>
      </c>
      <c r="AH90" s="240" t="str">
        <f aca="false">IFERROR((AH91-AH92)/AH91,"")</f>
        <v/>
      </c>
      <c r="AI90" s="240" t="str">
        <f aca="false">IFERROR((AI91-AI92)/AI91,"")</f>
        <v/>
      </c>
      <c r="AJ90" s="240" t="str">
        <f aca="false">IFERROR((AJ91-AJ92)/AJ91,"")</f>
        <v/>
      </c>
      <c r="AK90" s="240" t="str">
        <f aca="false">IFERROR((AK91-AK92)/AK91,"")</f>
        <v/>
      </c>
      <c r="AL90" s="240" t="str">
        <f aca="false">IFERROR((AL91-AL92)/AL91,"")</f>
        <v/>
      </c>
      <c r="AM90" s="240" t="str">
        <f aca="false">IFERROR((AM91-AM92)/AM91,"")</f>
        <v/>
      </c>
      <c r="AN90" s="241" t="str">
        <f aca="false">IFERROR((AN91-AN92)/AN91,"")</f>
        <v/>
      </c>
      <c r="AO90" s="242" t="str">
        <f aca="false">IFERROR((AO91-AO92)/AO91,"")</f>
        <v/>
      </c>
      <c r="AP90" s="243" t="str">
        <f aca="false">IFERROR((AP91-AP92)/AP91,"")</f>
        <v/>
      </c>
      <c r="AQ90" s="243" t="str">
        <f aca="false">IFERROR((AQ91-AQ92)/AQ91,"")</f>
        <v/>
      </c>
      <c r="AR90" s="243" t="str">
        <f aca="false">IFERROR((AR91-AR92)/AR91,"")</f>
        <v/>
      </c>
      <c r="AS90" s="243" t="str">
        <f aca="false">IFERROR((AS91-AS92)/AS91,"")</f>
        <v/>
      </c>
      <c r="AT90" s="243" t="str">
        <f aca="false">IFERROR((AT91-AT92)/AT91,"")</f>
        <v/>
      </c>
      <c r="AU90" s="244" t="str">
        <f aca="false">IFERROR((AU91-AU92)/AU91,"")</f>
        <v/>
      </c>
      <c r="AV90" s="245" t="str">
        <f aca="false">IFERROR((AV91-AV92)/AV91,"")</f>
        <v/>
      </c>
    </row>
    <row r="91" customFormat="false" ht="14.25" hidden="false" customHeight="false" outlineLevel="0" collapsed="false">
      <c r="A91" s="217" t="str">
        <f aca="false">+IF(C91+C92=0,"[ocultar]","")</f>
        <v>[ocultar]</v>
      </c>
      <c r="B91" s="323" t="s">
        <v>371</v>
      </c>
      <c r="C91" s="247" t="n">
        <f aca="false" t="array" ref="C91:C91">SUM(IF($B91=DATOS_[Sexo], IF($B90=DATOS_[AGRUP. VALOR. PTO.], IF("Dentro"=DATOS_[Check Periodo Ref.], 1/(COUNTIFS(DATOS_[Sexo],$B91,DATOS_[AGRUP. VALOR. PTO.],$B90,DATOS_[Check Periodo Ref.],"Dentro",DATOS_[id],DATOS_[id]))))))</f>
        <v>0</v>
      </c>
      <c r="D91" s="248" t="n">
        <f aca="false">COUNTIFS(DATOS_[AGRUP. VALOR. PTO.],$B90,DATOS_[Sexo],$B91,DATOS_[Check Periodo Ref.],"Dentro")</f>
        <v>0</v>
      </c>
      <c r="E91" s="248" t="n">
        <f aca="false">COUNTIFS(DATOS_[AGRUP. VALOR. PTO.],$B90,DATOS_[Sexo],$B91,DATOS_[Check Periodo Ref.],"Dentro",DATOS_[Check Nº SC Norm],"Sí")</f>
        <v>0</v>
      </c>
      <c r="F91" s="248" t="n">
        <f aca="false">COUNTIFS(DATOS_[AGRUP. VALOR. PTO.],$B90,DATOS_[Sexo],$B91,DATOS_[Check Periodo Ref.],"Dentro",DATOS_[Check Nº SC Anualiz],"Sí")</f>
        <v>0</v>
      </c>
      <c r="G91" s="248" t="n">
        <f aca="false">COUNTIFS(DATOS_[AGRUP. VALOR. PTO.],$B90,DATOS_[Sexo],$B91,DATOS_[Check Periodo Ref.],"Dentro",DATOS_[Check Nº SC Norm y Anualiz],"Sí")</f>
        <v>0</v>
      </c>
      <c r="H91" s="248" t="n">
        <f aca="false">COUNTIFS(DATOS_[AGRUP. VALOR. PTO.],$B90,DATOS_[Sexo],$B91,DATOS_[Check Periodo Ref.],"Dentro",DATOS_[Check Equiparación],"Sí")</f>
        <v>0</v>
      </c>
      <c r="I91" s="249" t="n">
        <f aca="false" t="array" ref="I91:I91">IFERROR( MEDIAN(IF(DATOS_[Sexo]=$B91,IF(DATOS_[[AGRUP. VALOR. PTO.]:[AGRUP. VALOR. PTO.]]=$B90,IF(DATOS_[Check Equiparado]="Sí",IF(DATOS_[Check Periodo Ref.]="Dentro",DATOS_[SALARIO BASE Eq],0))))), 0)</f>
        <v>0</v>
      </c>
      <c r="J91" s="250" t="n">
        <f aca="false" t="array" ref="J91:J91">IFERROR( (MEDIAN((IF(DATOS_[[Sexo]:[Sexo]]=$B91,IF(DATOS_[[AGRUP. VALOR. PTO.]:[AGRUP. VALOR. PTO.]]=$B90,IF(DATOS_[[Check Periodo Ref.]:[Check Periodo Ref.]]="Dentro",IF(DATOS_[[Check Equiparado]:[Check Equiparado]]="Sí",IF(DATOS!AE$4="Sí",(1/DATOS_[[% anualiz]:[% anualiz]]),1)*IF(DATOS!AE$5="Sí",1/DATOS_[[% normaliz]:[% normaliz]],1)*(DATOS_[Conc.Sal.01])))))))), 0)</f>
        <v>0</v>
      </c>
      <c r="K91" s="250" t="n">
        <f aca="false" t="array" ref="K91:K91">IFERROR( (MEDIAN((IF(DATOS_[[Sexo]:[Sexo]]=$B91,IF(DATOS_[[AGRUP. VALOR. PTO.]:[AGRUP. VALOR. PTO.]]=$B90,IF(DATOS_[[Check Periodo Ref.]:[Check Periodo Ref.]]="Dentro",IF(DATOS_[[Check Equiparado]:[Check Equiparado]]="Sí",IF(DATOS!AF$4="Sí",(1/DATOS_[[% anualiz]:[% anualiz]]),1)*IF(DATOS!AF$5="Sí",1/DATOS_[[% normaliz]:[% normaliz]],1)*(DATOS_[Conc.Sal.02])))))))), 0)</f>
        <v>0</v>
      </c>
      <c r="L91" s="250" t="n">
        <f aca="false" t="array" ref="L91:L91">IFERROR( (MEDIAN((IF(DATOS_[[Sexo]:[Sexo]]=$B91,IF(DATOS_[[AGRUP. VALOR. PTO.]:[AGRUP. VALOR. PTO.]]=$B90,IF(DATOS_[[Check Periodo Ref.]:[Check Periodo Ref.]]="Dentro",IF(DATOS_[[Check Equiparado]:[Check Equiparado]]="Sí",IF(DATOS!AG$4="Sí",(1/DATOS_[[% anualiz]:[% anualiz]]),1)*IF(DATOS!AG$5="Sí",1/DATOS_[[% normaliz]:[% normaliz]],1)*(DATOS_[Conc.Sal.03])))))))), 0)</f>
        <v>0</v>
      </c>
      <c r="M91" s="250" t="n">
        <f aca="false" t="array" ref="M91:M91">IFERROR( (MEDIAN((IF(DATOS_[[Sexo]:[Sexo]]=$B91,IF(DATOS_[[AGRUP. VALOR. PTO.]:[AGRUP. VALOR. PTO.]]=$B90,IF(DATOS_[[Check Periodo Ref.]:[Check Periodo Ref.]]="Dentro",IF(DATOS_[[Check Equiparado]:[Check Equiparado]]="Sí",IF(DATOS!AH$4="Sí",(1/DATOS_[[% anualiz]:[% anualiz]]),1)*IF(DATOS!AH$5="Sí",1/DATOS_[[% normaliz]:[% normaliz]],1)*(DATOS_[Conc.Sal.04])))))))), 0)</f>
        <v>0</v>
      </c>
      <c r="N91" s="250" t="n">
        <f aca="false" t="array" ref="N91:N91">IFERROR( (MEDIAN((IF(DATOS_[[Sexo]:[Sexo]]=$B91,IF(DATOS_[[AGRUP. VALOR. PTO.]:[AGRUP. VALOR. PTO.]]=$B90,IF(DATOS_[[Check Periodo Ref.]:[Check Periodo Ref.]]="Dentro",IF(DATOS_[[Check Equiparado]:[Check Equiparado]]="Sí",IF(DATOS!AI$4="Sí",(1/DATOS_[[% anualiz]:[% anualiz]]),1)*IF(DATOS!AI$5="Sí",1/DATOS_[[% normaliz]:[% normaliz]],1)*(DATOS_[Conc.Sal.05])))))))), 0)</f>
        <v>0</v>
      </c>
      <c r="O91" s="250" t="n">
        <f aca="false" t="array" ref="O91:O91">IFERROR( (MEDIAN((IF(DATOS_[[Sexo]:[Sexo]]=$B91,IF(DATOS_[[AGRUP. VALOR. PTO.]:[AGRUP. VALOR. PTO.]]=$B90,IF(DATOS_[[Check Periodo Ref.]:[Check Periodo Ref.]]="Dentro",IF(DATOS_[[Check Equiparado]:[Check Equiparado]]="Sí",IF(DATOS!AJ$4="Sí",(1/DATOS_[[% anualiz]:[% anualiz]]),1)*IF(DATOS!AJ$5="Sí",1/DATOS_[[% normaliz]:[% normaliz]],1)*(DATOS_[Conc.Sal.06])))))))), 0)</f>
        <v>0</v>
      </c>
      <c r="P91" s="250" t="n">
        <f aca="false" t="array" ref="P91:P91">IFERROR( (MEDIAN((IF(DATOS_[[Sexo]:[Sexo]]=$B91,IF(DATOS_[[AGRUP. VALOR. PTO.]:[AGRUP. VALOR. PTO.]]=$B90,IF(DATOS_[[Check Periodo Ref.]:[Check Periodo Ref.]]="Dentro",IF(DATOS_[[Check Equiparado]:[Check Equiparado]]="Sí",IF(DATOS!AK$4="Sí",(1/DATOS_[[% anualiz]:[% anualiz]]),1)*IF(DATOS!AK$5="Sí",1/DATOS_[[% normaliz]:[% normaliz]],1)*(DATOS_[Conc.Sal.07])))))))), 0)</f>
        <v>0</v>
      </c>
      <c r="Q91" s="250" t="n">
        <f aca="false" t="array" ref="Q91:Q91">IFERROR( (MEDIAN((IF(DATOS_[[Sexo]:[Sexo]]=$B91,IF(DATOS_[[AGRUP. VALOR. PTO.]:[AGRUP. VALOR. PTO.]]=$B90,IF(DATOS_[[Check Periodo Ref.]:[Check Periodo Ref.]]="Dentro",IF(DATOS_[[Check Equiparado]:[Check Equiparado]]="Sí",IF(DATOS!AL$4="Sí",(1/DATOS_[[% anualiz]:[% anualiz]]),1)*IF(DATOS!AL$5="Sí",1/DATOS_[[% normaliz]:[% normaliz]],1)*(DATOS_[Conc.Sal.08])))))))), 0)</f>
        <v>0</v>
      </c>
      <c r="R91" s="250" t="n">
        <f aca="false" t="array" ref="R91:R91">IFERROR( (MEDIAN((IF(DATOS_[[Sexo]:[Sexo]]=$B91,IF(DATOS_[[AGRUP. VALOR. PTO.]:[AGRUP. VALOR. PTO.]]=$B90,IF(DATOS_[[Check Periodo Ref.]:[Check Periodo Ref.]]="Dentro",IF(DATOS_[[Check Equiparado]:[Check Equiparado]]="Sí",IF(DATOS!AM$4="Sí",(1/DATOS_[[% anualiz]:[% anualiz]]),1)*IF(DATOS!AM$5="Sí",1/DATOS_[[% normaliz]:[% normaliz]],1)*(DATOS_[Conc.Sal.09])))))))), 0)</f>
        <v>0</v>
      </c>
      <c r="S91" s="250" t="n">
        <f aca="false" t="array" ref="S91:S91">IFERROR( (MEDIAN((IF(DATOS_[[Sexo]:[Sexo]]=$B91,IF(DATOS_[[AGRUP. VALOR. PTO.]:[AGRUP. VALOR. PTO.]]=$B90,IF(DATOS_[[Check Periodo Ref.]:[Check Periodo Ref.]]="Dentro",IF(DATOS_[[Check Equiparado]:[Check Equiparado]]="Sí",IF(DATOS!AN$4="Sí",(1/DATOS_[[% anualiz]:[% anualiz]]),1)*IF(DATOS!AN$5="Sí",1/DATOS_[[% normaliz]:[% normaliz]],1)*(DATOS_[Conc.Sal.10])))))))), 0)</f>
        <v>0</v>
      </c>
      <c r="T91" s="250" t="n">
        <f aca="false" t="array" ref="T91:T91">IFERROR( (MEDIAN((IF(DATOS_[[Sexo]:[Sexo]]=$B91,IF(DATOS_[[AGRUP. VALOR. PTO.]:[AGRUP. VALOR. PTO.]]=$B90,IF(DATOS_[[Check Periodo Ref.]:[Check Periodo Ref.]]="Dentro",IF(DATOS_[[Check Equiparado]:[Check Equiparado]]="Sí",IF(DATOS!AO$4="Sí",(1/DATOS_[[% anualiz]:[% anualiz]]),1)*IF(DATOS!AO$5="Sí",1/DATOS_[[% normaliz]:[% normaliz]],1)*(DATOS_[Conc.Sal.11])))))))), 0)</f>
        <v>0</v>
      </c>
      <c r="U91" s="250" t="n">
        <f aca="false" t="array" ref="U91:U91">IFERROR( (MEDIAN((IF(DATOS_[[Sexo]:[Sexo]]=$B91,IF(DATOS_[[AGRUP. VALOR. PTO.]:[AGRUP. VALOR. PTO.]]=$B90,IF(DATOS_[[Check Periodo Ref.]:[Check Periodo Ref.]]="Dentro",IF(DATOS_[[Check Equiparado]:[Check Equiparado]]="Sí",IF(DATOS!AP$4="Sí",(1/DATOS_[[% anualiz]:[% anualiz]]),1)*IF(DATOS!AP$5="Sí",1/DATOS_[[% normaliz]:[% normaliz]],1)*(DATOS_[Conc.Sal.12])))))))), 0)</f>
        <v>0</v>
      </c>
      <c r="V91" s="250" t="n">
        <f aca="false" t="array" ref="V91:V91">IFERROR( (MEDIAN((IF(DATOS_[[Sexo]:[Sexo]]=$B91,IF(DATOS_[[AGRUP. VALOR. PTO.]:[AGRUP. VALOR. PTO.]]=$B90,IF(DATOS_[[Check Periodo Ref.]:[Check Periodo Ref.]]="Dentro",IF(DATOS_[[Check Equiparado]:[Check Equiparado]]="Sí",IF(DATOS!AQ$4="Sí",(1/DATOS_[[% anualiz]:[% anualiz]]),1)*IF(DATOS!AQ$5="Sí",1/DATOS_[[% normaliz]:[% normaliz]],1)*(DATOS_[Conc.Sal.13])))))))), 0)</f>
        <v>0</v>
      </c>
      <c r="W91" s="250" t="n">
        <f aca="false" t="array" ref="W91:W91">IFERROR( (MEDIAN((IF(DATOS_[[Sexo]:[Sexo]]=$B91,IF(DATOS_[[AGRUP. VALOR. PTO.]:[AGRUP. VALOR. PTO.]]=$B90,IF(DATOS_[[Check Periodo Ref.]:[Check Periodo Ref.]]="Dentro",IF(DATOS_[[Check Equiparado]:[Check Equiparado]]="Sí",IF(DATOS!AR$4="Sí",(1/DATOS_[[% anualiz]:[% anualiz]]),1)*IF(DATOS!AR$5="Sí",1/DATOS_[[% normaliz]:[% normaliz]],1)*(DATOS_[Conc.Sal.14])))))))), 0)</f>
        <v>0</v>
      </c>
      <c r="X91" s="250" t="n">
        <f aca="false" t="array" ref="X91:X91">IFERROR( (MEDIAN((IF(DATOS_[[Sexo]:[Sexo]]=$B91,IF(DATOS_[[AGRUP. VALOR. PTO.]:[AGRUP. VALOR. PTO.]]=$B90,IF(DATOS_[[Check Periodo Ref.]:[Check Periodo Ref.]]="Dentro",IF(DATOS_[[Check Equiparado]:[Check Equiparado]]="Sí",IF(DATOS!AS$4="Sí",(1/DATOS_[[% anualiz]:[% anualiz]]),1)*IF(DATOS!AS$5="Sí",1/DATOS_[[% normaliz]:[% normaliz]],1)*(DATOS_[Conc.Sal.15])))))))), 0)</f>
        <v>0</v>
      </c>
      <c r="Y91" s="250" t="n">
        <f aca="false" t="array" ref="Y91:Y91">IFERROR( (MEDIAN((IF(DATOS_[[Sexo]:[Sexo]]=$B91,IF(DATOS_[[AGRUP. VALOR. PTO.]:[AGRUP. VALOR. PTO.]]=$B90,IF(DATOS_[[Check Periodo Ref.]:[Check Periodo Ref.]]="Dentro",IF(DATOS_[[Check Equiparado]:[Check Equiparado]]="Sí",IF(DATOS!AT$4="Sí",(1/DATOS_[[% anualiz]:[% anualiz]]),1)*IF(DATOS!AT$5="Sí",1/DATOS_[[% normaliz]:[% normaliz]],1)*(DATOS_[Conc.Sal.16])))))))), 0)</f>
        <v>0</v>
      </c>
      <c r="Z91" s="250" t="n">
        <f aca="false" t="array" ref="Z91:Z91">IFERROR( (MEDIAN((IF(DATOS_[[Sexo]:[Sexo]]=$B91,IF(DATOS_[[AGRUP. VALOR. PTO.]:[AGRUP. VALOR. PTO.]]=$B90,IF(DATOS_[[Check Periodo Ref.]:[Check Periodo Ref.]]="Dentro",IF(DATOS_[[Check Equiparado]:[Check Equiparado]]="Sí",IF(DATOS!AU$4="Sí",(1/DATOS_[[% anualiz]:[% anualiz]]),1)*IF(DATOS!AU$5="Sí",1/DATOS_[[% normaliz]:[% normaliz]],1)*(DATOS_[Conc.Sal.17])))))))), 0)</f>
        <v>0</v>
      </c>
      <c r="AA91" s="250" t="n">
        <f aca="false" t="array" ref="AA91:AA91">IFERROR( (MEDIAN((IF(DATOS_[[Sexo]:[Sexo]]=$B91,IF(DATOS_[[AGRUP. VALOR. PTO.]:[AGRUP. VALOR. PTO.]]=$B90,IF(DATOS_[[Check Periodo Ref.]:[Check Periodo Ref.]]="Dentro",IF(DATOS_[[Check Equiparado]:[Check Equiparado]]="Sí",IF(DATOS!AV$4="Sí",(1/DATOS_[[% anualiz]:[% anualiz]]),1)*IF(DATOS!AV$5="Sí",1/DATOS_[[% normaliz]:[% normaliz]],1)*(DATOS_[Conc.Sal.18])))))))), 0)</f>
        <v>0</v>
      </c>
      <c r="AB91" s="250" t="n">
        <f aca="false" t="array" ref="AB91:AB91">IFERROR( (MEDIAN((IF(DATOS_[[Sexo]:[Sexo]]=$B91,IF(DATOS_[[AGRUP. VALOR. PTO.]:[AGRUP. VALOR. PTO.]]=$B90,IF(DATOS_[[Check Periodo Ref.]:[Check Periodo Ref.]]="Dentro",IF(DATOS_[[Check Equiparado]:[Check Equiparado]]="Sí",IF(DATOS!AW$4="Sí",(1/DATOS_[[% anualiz]:[% anualiz]]),1)*IF(DATOS!AW$5="Sí",1/DATOS_[[% normaliz]:[% normaliz]],1)*(DATOS_[Conc.Sal.19])))))))), 0)</f>
        <v>0</v>
      </c>
      <c r="AC91" s="250" t="n">
        <f aca="false" t="array" ref="AC91:AC91">IFERROR( (MEDIAN((IF(DATOS_[[Sexo]:[Sexo]]=$B91,IF(DATOS_[[AGRUP. VALOR. PTO.]:[AGRUP. VALOR. PTO.]]=$B90,IF(DATOS_[[Check Periodo Ref.]:[Check Periodo Ref.]]="Dentro",IF(DATOS_[[Check Equiparado]:[Check Equiparado]]="Sí",IF(DATOS!AX$4="Sí",(1/DATOS_[[% anualiz]:[% anualiz]]),1)*IF(DATOS!AX$5="Sí",1/DATOS_[[% normaliz]:[% normaliz]],1)*(DATOS_[Conc.Sal.20])))))))), 0)</f>
        <v>0</v>
      </c>
      <c r="AD91" s="250" t="n">
        <f aca="false" t="array" ref="AD91:AD91">IFERROR( (MEDIAN((IF(DATOS_[[Sexo]:[Sexo]]=$B91,IF(DATOS_[[AGRUP. VALOR. PTO.]:[AGRUP. VALOR. PTO.]]=$B90,IF(DATOS_[[Check Periodo Ref.]:[Check Periodo Ref.]]="Dentro",IF(DATOS_[[Check Equiparado]:[Check Equiparado]]="Sí",IF(DATOS!AY$4="Sí",(1/DATOS_[[% anualiz]:[% anualiz]]),1)*IF(DATOS!AY$5="Sí",1/DATOS_[[% normaliz]:[% normaliz]],1)*(DATOS_[Conc.Sal.21])))))))), 0)</f>
        <v>0</v>
      </c>
      <c r="AE91" s="250" t="n">
        <f aca="false" t="array" ref="AE91:AE91">IFERROR( (MEDIAN((IF(DATOS_[[Sexo]:[Sexo]]=$B91,IF(DATOS_[[AGRUP. VALOR. PTO.]:[AGRUP. VALOR. PTO.]]=$B90,IF(DATOS_[[Check Periodo Ref.]:[Check Periodo Ref.]]="Dentro",IF(DATOS_[[Check Equiparado]:[Check Equiparado]]="Sí",IF(DATOS!AZ$4="Sí",(1/DATOS_[[% anualiz]:[% anualiz]]),1)*IF(DATOS!AZ$5="Sí",1/DATOS_[[% normaliz]:[% normaliz]],1)*(DATOS_[Conc.Sal.22])))))))), 0)</f>
        <v>0</v>
      </c>
      <c r="AF91" s="250" t="n">
        <f aca="false" t="array" ref="AF91:AF91">IFERROR( (MEDIAN((IF(DATOS_[[Sexo]:[Sexo]]=$B91,IF(DATOS_[[AGRUP. VALOR. PTO.]:[AGRUP. VALOR. PTO.]]=$B90,IF(DATOS_[[Check Periodo Ref.]:[Check Periodo Ref.]]="Dentro",IF(DATOS_[[Check Equiparado]:[Check Equiparado]]="Sí",IF(DATOS!BA$4="Sí",(1/DATOS_[[% anualiz]:[% anualiz]]),1)*IF(DATOS!BA$5="Sí",1/DATOS_[[% normaliz]:[% normaliz]],1)*(DATOS_[Conc.Sal.23])))))))), 0)</f>
        <v>0</v>
      </c>
      <c r="AG91" s="250" t="n">
        <f aca="false" t="array" ref="AG91:AG91">IFERROR( (MEDIAN((IF(DATOS_[[Sexo]:[Sexo]]=$B91,IF(DATOS_[[AGRUP. VALOR. PTO.]:[AGRUP. VALOR. PTO.]]=$B90,IF(DATOS_[[Check Periodo Ref.]:[Check Periodo Ref.]]="Dentro",IF(DATOS_[[Check Equiparado]:[Check Equiparado]]="Sí",IF(DATOS!BB$4="Sí",(1/DATOS_[[% anualiz]:[% anualiz]]),1)*IF(DATOS!BB$5="Sí",1/DATOS_[[% normaliz]:[% normaliz]],1)*(DATOS_[Conc.Sal.24])))))))), 0)</f>
        <v>0</v>
      </c>
      <c r="AH91" s="250" t="n">
        <f aca="false" t="array" ref="AH91:AH91">IFERROR( (MEDIAN((IF(DATOS_[[Sexo]:[Sexo]]=$B91,IF(DATOS_[[AGRUP. VALOR. PTO.]:[AGRUP. VALOR. PTO.]]=$B90,IF(DATOS_[[Check Periodo Ref.]:[Check Periodo Ref.]]="Dentro",IF(DATOS_[[Check Equiparado]:[Check Equiparado]]="Sí",IF(DATOS!BC$4="Sí",(1/DATOS_[[% anualiz]:[% anualiz]]),1)*IF(DATOS!BC$5="Sí",1/DATOS_[[% normaliz]:[% normaliz]],1)*(DATOS_[Conc.Sal.25])))))))), 0)</f>
        <v>0</v>
      </c>
      <c r="AI91" s="250" t="n">
        <f aca="false" t="array" ref="AI91:AI91">IFERROR( (MEDIAN((IF(DATOS_[[Sexo]:[Sexo]]=$B91,IF(DATOS_[[AGRUP. VALOR. PTO.]:[AGRUP. VALOR. PTO.]]=$B90,IF(DATOS_[[Check Periodo Ref.]:[Check Periodo Ref.]]="Dentro",IF(DATOS_[[Check Equiparado]:[Check Equiparado]]="Sí",IF(DATOS!BD$4="Sí",(1/DATOS_[[% anualiz]:[% anualiz]]),1)*IF(DATOS!BD$5="Sí",1/DATOS_[[% normaliz]:[% normaliz]],1)*(DATOS_[Conc.Sal.26])))))))), 0)</f>
        <v>0</v>
      </c>
      <c r="AJ91" s="250" t="n">
        <f aca="false" t="array" ref="AJ91:AJ91">IFERROR( (MEDIAN((IF(DATOS_[[Sexo]:[Sexo]]=$B91,IF(DATOS_[[AGRUP. VALOR. PTO.]:[AGRUP. VALOR. PTO.]]=$B90,IF(DATOS_[[Check Periodo Ref.]:[Check Periodo Ref.]]="Dentro",IF(DATOS_[[Check Equiparado]:[Check Equiparado]]="Sí",IF(DATOS!BE$4="Sí",(1/DATOS_[[% anualiz]:[% anualiz]]),1)*IF(DATOS!BE$5="Sí",1/DATOS_[[% normaliz]:[% normaliz]],1)*(DATOS_[Conc.Sal.27])))))))), 0)</f>
        <v>0</v>
      </c>
      <c r="AK91" s="250" t="n">
        <f aca="false" t="array" ref="AK91:AK91">IFERROR( (MEDIAN((IF(DATOS_[[Sexo]:[Sexo]]=$B91,IF(DATOS_[[AGRUP. VALOR. PTO.]:[AGRUP. VALOR. PTO.]]=$B90,IF(DATOS_[[Check Periodo Ref.]:[Check Periodo Ref.]]="Dentro",IF(DATOS_[[Check Equiparado]:[Check Equiparado]]="Sí",IF(DATOS!BF$4="Sí",(1/DATOS_[[% anualiz]:[% anualiz]]),1)*IF(DATOS!BF$5="Sí",1/DATOS_[[% normaliz]:[% normaliz]],1)*(DATOS_[Conc.Sal.28])))))))), 0)</f>
        <v>0</v>
      </c>
      <c r="AL91" s="250" t="n">
        <f aca="false" t="array" ref="AL91:AL91">IFERROR( (MEDIAN((IF(DATOS_[[Sexo]:[Sexo]]=$B91,IF(DATOS_[[AGRUP. VALOR. PTO.]:[AGRUP. VALOR. PTO.]]=$B90,IF(DATOS_[[Check Periodo Ref.]:[Check Periodo Ref.]]="Dentro",IF(DATOS_[[Check Equiparado]:[Check Equiparado]]="Sí",IF(DATOS!BG$4="Sí",(1/DATOS_[[% anualiz]:[% anualiz]]),1)*IF(DATOS!BG$5="Sí",1/DATOS_[[% normaliz]:[% normaliz]],1)*(DATOS_[Conc.Sal.29])))))))), 0)</f>
        <v>0</v>
      </c>
      <c r="AM91" s="250" t="n">
        <f aca="false" t="array" ref="AM91:AM91">IFERROR( (MEDIAN((IF(DATOS_[[Sexo]:[Sexo]]=$B91,IF(DATOS_[[AGRUP. VALOR. PTO.]:[AGRUP. VALOR. PTO.]]=$B90,IF(DATOS_[[Check Periodo Ref.]:[Check Periodo Ref.]]="Dentro",IF(DATOS_[[Check Equiparado]:[Check Equiparado]]="Sí",IF(DATOS!BH$4="Sí",(1/DATOS_[[% anualiz]:[% anualiz]]),1)*IF(DATOS!BH$5="Sí",1/DATOS_[[% normaliz]:[% normaliz]],1)*(DATOS_[Conc.Sal.30])))))))), 0)</f>
        <v>0</v>
      </c>
      <c r="AN91" s="251" t="n">
        <f aca="false" t="array" ref="AN91:AN91">IFERROR( MEDIAN(IF(DATOS_[Sexo]=$B91,IF(DATOS_[[AGRUP. VALOR. PTO.]:[AGRUP. VALOR. PTO.]]=$B90,IF(DATOS_[Check Equiparado]="Sí",IF(DATOS_[Check Periodo Ref.]="Dentro",DATOS_[Tot COMPL.SAL Eq],0))))), 0)</f>
        <v>0</v>
      </c>
      <c r="AO91" s="252" t="n">
        <f aca="false" t="array" ref="AO91:AO91">IFERROR( MEDIAN(IF(DATOS_[Sexo]=$B91,IF(DATOS_[[AGRUP. VALOR. PTO.]:[AGRUP. VALOR. PTO.]]=$B90,IF(DATOS_[Check Equiparado]="Sí",IF(DATOS_[Check Periodo Ref.]="Dentro",DATOS_[TOTAL SALARIO Eq],0))))), 0)</f>
        <v>0</v>
      </c>
      <c r="AP91" s="259" t="n">
        <f aca="false" t="array" ref="AP91:AP91">IFERROR( (MEDIAN((IF(DATOS_[[Sexo]:[Sexo]]=$B91,IF(DATOS_[[AGRUP. VALOR. PTO.]:[AGRUP. VALOR. PTO.]]=$B90,IF(DATOS_[[Check Periodo Ref.]:[Check Periodo Ref.]]="Dentro",IF(DATOS_[[Check Equiparado]:[Check Equiparado]]="Sí",IF(DATOS!BI$4="Sí",(1/DATOS_[[% anualiz]:[% anualiz]]),1)*IF(DATOS!BI$5="Sí",1/DATOS_[[% normaliz]:[% normaliz]],1)*(DATOS_[C.Extra.01])))))))), 0)</f>
        <v>0</v>
      </c>
      <c r="AQ91" s="259" t="n">
        <f aca="false" t="array" ref="AQ91:AQ91">IFERROR( (MEDIAN((IF(DATOS_[[Sexo]:[Sexo]]=$B91,IF(DATOS_[[AGRUP. VALOR. PTO.]:[AGRUP. VALOR. PTO.]]=$B90,IF(DATOS_[[Check Periodo Ref.]:[Check Periodo Ref.]]="Dentro",IF(DATOS_[[Check Equiparado]:[Check Equiparado]]="Sí",IF(DATOS!BJ$4="Sí",(1/DATOS_[[% anualiz]:[% anualiz]]),1)*IF(DATOS!BJ$5="Sí",1/DATOS_[[% normaliz]:[% normaliz]],1)*(DATOS_[C.Extra.02])))))))), 0)</f>
        <v>0</v>
      </c>
      <c r="AR91" s="259" t="n">
        <f aca="false" t="array" ref="AR91:AR91">IFERROR( (MEDIAN((IF(DATOS_[[Sexo]:[Sexo]]=$B91,IF(DATOS_[[AGRUP. VALOR. PTO.]:[AGRUP. VALOR. PTO.]]=$B90,IF(DATOS_[[Check Periodo Ref.]:[Check Periodo Ref.]]="Dentro",IF(DATOS_[[Check Equiparado]:[Check Equiparado]]="Sí",IF(DATOS!BK$4="Sí",(1/DATOS_[[% anualiz]:[% anualiz]]),1)*IF(DATOS!BK$5="Sí",1/DATOS_[[% normaliz]:[% normaliz]],1)*(DATOS_[C.Extra.03])))))))), 0)</f>
        <v>0</v>
      </c>
      <c r="AS91" s="259" t="n">
        <f aca="false" t="array" ref="AS91:AS91">IFERROR( (MEDIAN((IF(DATOS_[[Sexo]:[Sexo]]=$B91,IF(DATOS_[[AGRUP. VALOR. PTO.]:[AGRUP. VALOR. PTO.]]=$B90,IF(DATOS_[[Check Periodo Ref.]:[Check Periodo Ref.]]="Dentro",IF(DATOS_[[Check Equiparado]:[Check Equiparado]]="Sí",IF(DATOS!BL$4="Sí",(1/DATOS_[[% anualiz]:[% anualiz]]),1)*IF(DATOS!BL$5="Sí",1/DATOS_[[% normaliz]:[% normaliz]],1)*(DATOS_[C.Extra.04])))))))), 0)</f>
        <v>0</v>
      </c>
      <c r="AT91" s="259" t="n">
        <f aca="false" t="array" ref="AT91:AT91">IFERROR( (MEDIAN((IF(DATOS_[[Sexo]:[Sexo]]=$B91,IF(DATOS_[[AGRUP. VALOR. PTO.]:[AGRUP. VALOR. PTO.]]=$B90,IF(DATOS_[[Check Periodo Ref.]:[Check Periodo Ref.]]="Dentro",IF(DATOS_[[Check Equiparado]:[Check Equiparado]]="Sí",IF(DATOS!BM$4="Sí",(1/DATOS_[[% anualiz]:[% anualiz]]),1)*IF(DATOS!BM$5="Sí",1/DATOS_[[% normaliz]:[% normaliz]],1)*(DATOS_[C.Extra.05])))))))), 0)</f>
        <v>0</v>
      </c>
      <c r="AU91" s="254" t="n">
        <f aca="false" t="array" ref="AU91:AU91">IFERROR( MEDIAN(IF(DATOS_[Sexo]=$B91,IF(DATOS_[[AGRUP. VALOR. PTO.]:[AGRUP. VALOR. PTO.]]=$B90,IF(DATOS_[Check Equiparado]="Sí",IF(DATOS_[Check Periodo Ref.]="Dentro",DATOS_[Tot Extrasalarial Eq],0))))), 0)</f>
        <v>0</v>
      </c>
      <c r="AV91" s="255" t="n">
        <f aca="false" t="array" ref="AV91:AV91">IFERROR( MEDIAN(IF(DATOS_[Sexo]=$B91,IF(DATOS_[[AGRUP. VALOR. PTO.]:[AGRUP. VALOR. PTO.]]=$B90,IF(DATOS_[Check Equiparado]="Sí",IF(DATOS_[Check Periodo Ref.]="Dentro",DATOS_[TOTAL Retrib Eq],0))))), 0)</f>
        <v>0</v>
      </c>
    </row>
    <row r="92" customFormat="false" ht="14.25" hidden="false" customHeight="false" outlineLevel="0" collapsed="false">
      <c r="A92" s="217" t="str">
        <f aca="false">+A91</f>
        <v>[ocultar]</v>
      </c>
      <c r="B92" s="323" t="s">
        <v>372</v>
      </c>
      <c r="C92" s="247" t="n">
        <f aca="false" t="array" ref="C92:C92">SUM(IF($B92=DATOS_[Sexo], IF($B90=DATOS_[AGRUP. VALOR. PTO.], IF("Dentro"=DATOS_[Check Periodo Ref.], 1/(COUNTIFS(DATOS_[Sexo],$B92,DATOS_[AGRUP. VALOR. PTO.],$B90,DATOS_[Check Periodo Ref.],"Dentro",DATOS_[id],DATOS_[id]))))))</f>
        <v>0</v>
      </c>
      <c r="D92" s="248" t="n">
        <f aca="false">COUNTIFS(DATOS_[AGRUP. VALOR. PTO.],$B90,DATOS_[Sexo],$B92,DATOS_[Check Periodo Ref.],"Dentro")</f>
        <v>0</v>
      </c>
      <c r="E92" s="248" t="n">
        <f aca="false">COUNTIFS(DATOS_[AGRUP. VALOR. PTO.],$B90,DATOS_[Sexo],$B92,DATOS_[Check Periodo Ref.],"Dentro",DATOS_[Check Nº SC Norm],"Sí")</f>
        <v>0</v>
      </c>
      <c r="F92" s="248" t="n">
        <f aca="false">COUNTIFS(DATOS_[AGRUP. VALOR. PTO.],$B90,DATOS_[Sexo],$B92,DATOS_[Check Periodo Ref.],"Dentro",DATOS_[Check Nº SC Anualiz],"Sí")</f>
        <v>0</v>
      </c>
      <c r="G92" s="248" t="n">
        <f aca="false">COUNTIFS(DATOS_[AGRUP. VALOR. PTO.],$B90,DATOS_[Sexo],$B92,DATOS_[Check Periodo Ref.],"Dentro",DATOS_[Check Nº SC Norm y Anualiz],"Sí")</f>
        <v>0</v>
      </c>
      <c r="H92" s="248" t="n">
        <f aca="false">COUNTIFS(DATOS_[AGRUP. VALOR. PTO.],$B90,DATOS_[Sexo],$B92,DATOS_[Check Periodo Ref.],"Dentro",DATOS_[Check Equiparación],"Sí")</f>
        <v>0</v>
      </c>
      <c r="I92" s="249" t="n">
        <f aca="false" t="array" ref="I92:I92">IFERROR( MEDIAN(IF(DATOS_[Sexo]=$B92,IF(DATOS_[[AGRUP. VALOR. PTO.]:[AGRUP. VALOR. PTO.]]=$B90,IF(DATOS_[Check Equiparado]="Sí",IF(DATOS_[Check Periodo Ref.]="Dentro",DATOS_[SALARIO BASE Eq],0))))), 0)</f>
        <v>0</v>
      </c>
      <c r="J92" s="250" t="n">
        <f aca="false" t="array" ref="J92:J92">IFERROR( (MEDIAN((IF(DATOS_[[Sexo]:[Sexo]]=$B92,IF(DATOS_[[AGRUP. VALOR. PTO.]:[AGRUP. VALOR. PTO.]]=$B90,IF(DATOS_[[Check Periodo Ref.]:[Check Periodo Ref.]]="Dentro",IF(DATOS_[[Check Equiparado]:[Check Equiparado]]="Sí",IF(DATOS!AE$4="Sí",(1/DATOS_[[% anualiz]:[% anualiz]]),1)*IF(DATOS!AE$5="Sí",1/DATOS_[[% normaliz]:[% normaliz]],1)*(DATOS_[Conc.Sal.01])))))))), 0)</f>
        <v>0</v>
      </c>
      <c r="K92" s="250" t="n">
        <f aca="false" t="array" ref="K92:K92">IFERROR( (MEDIAN((IF(DATOS_[[Sexo]:[Sexo]]=$B92,IF(DATOS_[[AGRUP. VALOR. PTO.]:[AGRUP. VALOR. PTO.]]=$B90,IF(DATOS_[[Check Periodo Ref.]:[Check Periodo Ref.]]="Dentro",IF(DATOS_[[Check Equiparado]:[Check Equiparado]]="Sí",IF(DATOS!AF$4="Sí",(1/DATOS_[[% anualiz]:[% anualiz]]),1)*IF(DATOS!AF$5="Sí",1/DATOS_[[% normaliz]:[% normaliz]],1)*(DATOS_[Conc.Sal.02])))))))), 0)</f>
        <v>0</v>
      </c>
      <c r="L92" s="250" t="n">
        <f aca="false" t="array" ref="L92:L92">IFERROR( (MEDIAN((IF(DATOS_[[Sexo]:[Sexo]]=$B92,IF(DATOS_[[AGRUP. VALOR. PTO.]:[AGRUP. VALOR. PTO.]]=$B90,IF(DATOS_[[Check Periodo Ref.]:[Check Periodo Ref.]]="Dentro",IF(DATOS_[[Check Equiparado]:[Check Equiparado]]="Sí",IF(DATOS!AG$4="Sí",(1/DATOS_[[% anualiz]:[% anualiz]]),1)*IF(DATOS!AG$5="Sí",1/DATOS_[[% normaliz]:[% normaliz]],1)*(DATOS_[Conc.Sal.03])))))))), 0)</f>
        <v>0</v>
      </c>
      <c r="M92" s="250" t="n">
        <f aca="false" t="array" ref="M92:M92">IFERROR( (MEDIAN((IF(DATOS_[[Sexo]:[Sexo]]=$B92,IF(DATOS_[[AGRUP. VALOR. PTO.]:[AGRUP. VALOR. PTO.]]=$B90,IF(DATOS_[[Check Periodo Ref.]:[Check Periodo Ref.]]="Dentro",IF(DATOS_[[Check Equiparado]:[Check Equiparado]]="Sí",IF(DATOS!AH$4="Sí",(1/DATOS_[[% anualiz]:[% anualiz]]),1)*IF(DATOS!AH$5="Sí",1/DATOS_[[% normaliz]:[% normaliz]],1)*(DATOS_[Conc.Sal.04])))))))), 0)</f>
        <v>0</v>
      </c>
      <c r="N92" s="250" t="n">
        <f aca="false" t="array" ref="N92:N92">IFERROR( (MEDIAN((IF(DATOS_[[Sexo]:[Sexo]]=$B92,IF(DATOS_[[AGRUP. VALOR. PTO.]:[AGRUP. VALOR. PTO.]]=$B90,IF(DATOS_[[Check Periodo Ref.]:[Check Periodo Ref.]]="Dentro",IF(DATOS_[[Check Equiparado]:[Check Equiparado]]="Sí",IF(DATOS!AI$4="Sí",(1/DATOS_[[% anualiz]:[% anualiz]]),1)*IF(DATOS!AI$5="Sí",1/DATOS_[[% normaliz]:[% normaliz]],1)*(DATOS_[Conc.Sal.05])))))))), 0)</f>
        <v>0</v>
      </c>
      <c r="O92" s="250" t="n">
        <f aca="false" t="array" ref="O92:O92">IFERROR( (MEDIAN((IF(DATOS_[[Sexo]:[Sexo]]=$B92,IF(DATOS_[[AGRUP. VALOR. PTO.]:[AGRUP. VALOR. PTO.]]=$B90,IF(DATOS_[[Check Periodo Ref.]:[Check Periodo Ref.]]="Dentro",IF(DATOS_[[Check Equiparado]:[Check Equiparado]]="Sí",IF(DATOS!AJ$4="Sí",(1/DATOS_[[% anualiz]:[% anualiz]]),1)*IF(DATOS!AJ$5="Sí",1/DATOS_[[% normaliz]:[% normaliz]],1)*(DATOS_[Conc.Sal.06])))))))), 0)</f>
        <v>0</v>
      </c>
      <c r="P92" s="250" t="n">
        <f aca="false" t="array" ref="P92:P92">IFERROR( (MEDIAN((IF(DATOS_[[Sexo]:[Sexo]]=$B92,IF(DATOS_[[AGRUP. VALOR. PTO.]:[AGRUP. VALOR. PTO.]]=$B90,IF(DATOS_[[Check Periodo Ref.]:[Check Periodo Ref.]]="Dentro",IF(DATOS_[[Check Equiparado]:[Check Equiparado]]="Sí",IF(DATOS!AK$4="Sí",(1/DATOS_[[% anualiz]:[% anualiz]]),1)*IF(DATOS!AK$5="Sí",1/DATOS_[[% normaliz]:[% normaliz]],1)*(DATOS_[Conc.Sal.07])))))))), 0)</f>
        <v>0</v>
      </c>
      <c r="Q92" s="250" t="n">
        <f aca="false" t="array" ref="Q92:Q92">IFERROR( (MEDIAN((IF(DATOS_[[Sexo]:[Sexo]]=$B92,IF(DATOS_[[AGRUP. VALOR. PTO.]:[AGRUP. VALOR. PTO.]]=$B90,IF(DATOS_[[Check Periodo Ref.]:[Check Periodo Ref.]]="Dentro",IF(DATOS_[[Check Equiparado]:[Check Equiparado]]="Sí",IF(DATOS!AL$4="Sí",(1/DATOS_[[% anualiz]:[% anualiz]]),1)*IF(DATOS!AL$5="Sí",1/DATOS_[[% normaliz]:[% normaliz]],1)*(DATOS_[Conc.Sal.08])))))))), 0)</f>
        <v>0</v>
      </c>
      <c r="R92" s="250" t="n">
        <f aca="false" t="array" ref="R92:R92">IFERROR( (MEDIAN((IF(DATOS_[[Sexo]:[Sexo]]=$B92,IF(DATOS_[[AGRUP. VALOR. PTO.]:[AGRUP. VALOR. PTO.]]=$B90,IF(DATOS_[[Check Periodo Ref.]:[Check Periodo Ref.]]="Dentro",IF(DATOS_[[Check Equiparado]:[Check Equiparado]]="Sí",IF(DATOS!AM$4="Sí",(1/DATOS_[[% anualiz]:[% anualiz]]),1)*IF(DATOS!AM$5="Sí",1/DATOS_[[% normaliz]:[% normaliz]],1)*(DATOS_[Conc.Sal.09])))))))), 0)</f>
        <v>0</v>
      </c>
      <c r="S92" s="250" t="n">
        <f aca="false" t="array" ref="S92:S92">IFERROR( (MEDIAN((IF(DATOS_[[Sexo]:[Sexo]]=$B92,IF(DATOS_[[AGRUP. VALOR. PTO.]:[AGRUP. VALOR. PTO.]]=$B90,IF(DATOS_[[Check Periodo Ref.]:[Check Periodo Ref.]]="Dentro",IF(DATOS_[[Check Equiparado]:[Check Equiparado]]="Sí",IF(DATOS!AN$4="Sí",(1/DATOS_[[% anualiz]:[% anualiz]]),1)*IF(DATOS!AN$5="Sí",1/DATOS_[[% normaliz]:[% normaliz]],1)*(DATOS_[Conc.Sal.10])))))))), 0)</f>
        <v>0</v>
      </c>
      <c r="T92" s="250" t="n">
        <f aca="false" t="array" ref="T92:T92">IFERROR( (MEDIAN((IF(DATOS_[[Sexo]:[Sexo]]=$B92,IF(DATOS_[[AGRUP. VALOR. PTO.]:[AGRUP. VALOR. PTO.]]=$B90,IF(DATOS_[[Check Periodo Ref.]:[Check Periodo Ref.]]="Dentro",IF(DATOS_[[Check Equiparado]:[Check Equiparado]]="Sí",IF(DATOS!AO$4="Sí",(1/DATOS_[[% anualiz]:[% anualiz]]),1)*IF(DATOS!AO$5="Sí",1/DATOS_[[% normaliz]:[% normaliz]],1)*(DATOS_[Conc.Sal.11])))))))), 0)</f>
        <v>0</v>
      </c>
      <c r="U92" s="250" t="n">
        <f aca="false" t="array" ref="U92:U92">IFERROR( (MEDIAN((IF(DATOS_[[Sexo]:[Sexo]]=$B92,IF(DATOS_[[AGRUP. VALOR. PTO.]:[AGRUP. VALOR. PTO.]]=$B90,IF(DATOS_[[Check Periodo Ref.]:[Check Periodo Ref.]]="Dentro",IF(DATOS_[[Check Equiparado]:[Check Equiparado]]="Sí",IF(DATOS!AP$4="Sí",(1/DATOS_[[% anualiz]:[% anualiz]]),1)*IF(DATOS!AP$5="Sí",1/DATOS_[[% normaliz]:[% normaliz]],1)*(DATOS_[Conc.Sal.12])))))))), 0)</f>
        <v>0</v>
      </c>
      <c r="V92" s="250" t="n">
        <f aca="false" t="array" ref="V92:V92">IFERROR( (MEDIAN((IF(DATOS_[[Sexo]:[Sexo]]=$B92,IF(DATOS_[[AGRUP. VALOR. PTO.]:[AGRUP. VALOR. PTO.]]=$B90,IF(DATOS_[[Check Periodo Ref.]:[Check Periodo Ref.]]="Dentro",IF(DATOS_[[Check Equiparado]:[Check Equiparado]]="Sí",IF(DATOS!AQ$4="Sí",(1/DATOS_[[% anualiz]:[% anualiz]]),1)*IF(DATOS!AQ$5="Sí",1/DATOS_[[% normaliz]:[% normaliz]],1)*(DATOS_[Conc.Sal.13])))))))), 0)</f>
        <v>0</v>
      </c>
      <c r="W92" s="250" t="n">
        <f aca="false" t="array" ref="W92:W92">IFERROR( (MEDIAN((IF(DATOS_[[Sexo]:[Sexo]]=$B92,IF(DATOS_[[AGRUP. VALOR. PTO.]:[AGRUP. VALOR. PTO.]]=$B90,IF(DATOS_[[Check Periodo Ref.]:[Check Periodo Ref.]]="Dentro",IF(DATOS_[[Check Equiparado]:[Check Equiparado]]="Sí",IF(DATOS!AR$4="Sí",(1/DATOS_[[% anualiz]:[% anualiz]]),1)*IF(DATOS!AR$5="Sí",1/DATOS_[[% normaliz]:[% normaliz]],1)*(DATOS_[Conc.Sal.14])))))))), 0)</f>
        <v>0</v>
      </c>
      <c r="X92" s="250" t="n">
        <f aca="false" t="array" ref="X92:X92">IFERROR( (MEDIAN((IF(DATOS_[[Sexo]:[Sexo]]=$B92,IF(DATOS_[[AGRUP. VALOR. PTO.]:[AGRUP. VALOR. PTO.]]=$B90,IF(DATOS_[[Check Periodo Ref.]:[Check Periodo Ref.]]="Dentro",IF(DATOS_[[Check Equiparado]:[Check Equiparado]]="Sí",IF(DATOS!AS$4="Sí",(1/DATOS_[[% anualiz]:[% anualiz]]),1)*IF(DATOS!AS$5="Sí",1/DATOS_[[% normaliz]:[% normaliz]],1)*(DATOS_[Conc.Sal.15])))))))), 0)</f>
        <v>0</v>
      </c>
      <c r="Y92" s="250" t="n">
        <f aca="false" t="array" ref="Y92:Y92">IFERROR( (MEDIAN((IF(DATOS_[[Sexo]:[Sexo]]=$B92,IF(DATOS_[[AGRUP. VALOR. PTO.]:[AGRUP. VALOR. PTO.]]=$B90,IF(DATOS_[[Check Periodo Ref.]:[Check Periodo Ref.]]="Dentro",IF(DATOS_[[Check Equiparado]:[Check Equiparado]]="Sí",IF(DATOS!AT$4="Sí",(1/DATOS_[[% anualiz]:[% anualiz]]),1)*IF(DATOS!AT$5="Sí",1/DATOS_[[% normaliz]:[% normaliz]],1)*(DATOS_[Conc.Sal.16])))))))), 0)</f>
        <v>0</v>
      </c>
      <c r="Z92" s="250" t="n">
        <f aca="false" t="array" ref="Z92:Z92">IFERROR( (MEDIAN((IF(DATOS_[[Sexo]:[Sexo]]=$B92,IF(DATOS_[[AGRUP. VALOR. PTO.]:[AGRUP. VALOR. PTO.]]=$B90,IF(DATOS_[[Check Periodo Ref.]:[Check Periodo Ref.]]="Dentro",IF(DATOS_[[Check Equiparado]:[Check Equiparado]]="Sí",IF(DATOS!AU$4="Sí",(1/DATOS_[[% anualiz]:[% anualiz]]),1)*IF(DATOS!AU$5="Sí",1/DATOS_[[% normaliz]:[% normaliz]],1)*(DATOS_[Conc.Sal.17])))))))), 0)</f>
        <v>0</v>
      </c>
      <c r="AA92" s="250" t="n">
        <f aca="false" t="array" ref="AA92:AA92">IFERROR( (MEDIAN((IF(DATOS_[[Sexo]:[Sexo]]=$B92,IF(DATOS_[[AGRUP. VALOR. PTO.]:[AGRUP. VALOR. PTO.]]=$B90,IF(DATOS_[[Check Periodo Ref.]:[Check Periodo Ref.]]="Dentro",IF(DATOS_[[Check Equiparado]:[Check Equiparado]]="Sí",IF(DATOS!AV$4="Sí",(1/DATOS_[[% anualiz]:[% anualiz]]),1)*IF(DATOS!AV$5="Sí",1/DATOS_[[% normaliz]:[% normaliz]],1)*(DATOS_[Conc.Sal.18])))))))), 0)</f>
        <v>0</v>
      </c>
      <c r="AB92" s="250" t="n">
        <f aca="false" t="array" ref="AB92:AB92">IFERROR( (MEDIAN((IF(DATOS_[[Sexo]:[Sexo]]=$B92,IF(DATOS_[[AGRUP. VALOR. PTO.]:[AGRUP. VALOR. PTO.]]=$B90,IF(DATOS_[[Check Periodo Ref.]:[Check Periodo Ref.]]="Dentro",IF(DATOS_[[Check Equiparado]:[Check Equiparado]]="Sí",IF(DATOS!AW$4="Sí",(1/DATOS_[[% anualiz]:[% anualiz]]),1)*IF(DATOS!AW$5="Sí",1/DATOS_[[% normaliz]:[% normaliz]],1)*(DATOS_[Conc.Sal.19])))))))), 0)</f>
        <v>0</v>
      </c>
      <c r="AC92" s="250" t="n">
        <f aca="false" t="array" ref="AC92:AC92">IFERROR( (MEDIAN((IF(DATOS_[[Sexo]:[Sexo]]=$B92,IF(DATOS_[[AGRUP. VALOR. PTO.]:[AGRUP. VALOR. PTO.]]=$B90,IF(DATOS_[[Check Periodo Ref.]:[Check Periodo Ref.]]="Dentro",IF(DATOS_[[Check Equiparado]:[Check Equiparado]]="Sí",IF(DATOS!AX$4="Sí",(1/DATOS_[[% anualiz]:[% anualiz]]),1)*IF(DATOS!AX$5="Sí",1/DATOS_[[% normaliz]:[% normaliz]],1)*(DATOS_[Conc.Sal.20])))))))), 0)</f>
        <v>0</v>
      </c>
      <c r="AD92" s="250" t="n">
        <f aca="false" t="array" ref="AD92:AD92">IFERROR( (MEDIAN((IF(DATOS_[[Sexo]:[Sexo]]=$B92,IF(DATOS_[[AGRUP. VALOR. PTO.]:[AGRUP. VALOR. PTO.]]=$B90,IF(DATOS_[[Check Periodo Ref.]:[Check Periodo Ref.]]="Dentro",IF(DATOS_[[Check Equiparado]:[Check Equiparado]]="Sí",IF(DATOS!AY$4="Sí",(1/DATOS_[[% anualiz]:[% anualiz]]),1)*IF(DATOS!AY$5="Sí",1/DATOS_[[% normaliz]:[% normaliz]],1)*(DATOS_[Conc.Sal.21])))))))), 0)</f>
        <v>0</v>
      </c>
      <c r="AE92" s="250" t="n">
        <f aca="false" t="array" ref="AE92:AE92">IFERROR( (MEDIAN((IF(DATOS_[[Sexo]:[Sexo]]=$B92,IF(DATOS_[[AGRUP. VALOR. PTO.]:[AGRUP. VALOR. PTO.]]=$B90,IF(DATOS_[[Check Periodo Ref.]:[Check Periodo Ref.]]="Dentro",IF(DATOS_[[Check Equiparado]:[Check Equiparado]]="Sí",IF(DATOS!AZ$4="Sí",(1/DATOS_[[% anualiz]:[% anualiz]]),1)*IF(DATOS!AZ$5="Sí",1/DATOS_[[% normaliz]:[% normaliz]],1)*(DATOS_[Conc.Sal.22])))))))), 0)</f>
        <v>0</v>
      </c>
      <c r="AF92" s="250" t="n">
        <f aca="false" t="array" ref="AF92:AF92">IFERROR( (MEDIAN((IF(DATOS_[[Sexo]:[Sexo]]=$B92,IF(DATOS_[[AGRUP. VALOR. PTO.]:[AGRUP. VALOR. PTO.]]=$B90,IF(DATOS_[[Check Periodo Ref.]:[Check Periodo Ref.]]="Dentro",IF(DATOS_[[Check Equiparado]:[Check Equiparado]]="Sí",IF(DATOS!BA$4="Sí",(1/DATOS_[[% anualiz]:[% anualiz]]),1)*IF(DATOS!BA$5="Sí",1/DATOS_[[% normaliz]:[% normaliz]],1)*(DATOS_[Conc.Sal.23])))))))), 0)</f>
        <v>0</v>
      </c>
      <c r="AG92" s="250" t="n">
        <f aca="false" t="array" ref="AG92:AG92">IFERROR( (MEDIAN((IF(DATOS_[[Sexo]:[Sexo]]=$B92,IF(DATOS_[[AGRUP. VALOR. PTO.]:[AGRUP. VALOR. PTO.]]=$B90,IF(DATOS_[[Check Periodo Ref.]:[Check Periodo Ref.]]="Dentro",IF(DATOS_[[Check Equiparado]:[Check Equiparado]]="Sí",IF(DATOS!BB$4="Sí",(1/DATOS_[[% anualiz]:[% anualiz]]),1)*IF(DATOS!BB$5="Sí",1/DATOS_[[% normaliz]:[% normaliz]],1)*(DATOS_[Conc.Sal.24])))))))), 0)</f>
        <v>0</v>
      </c>
      <c r="AH92" s="250" t="n">
        <f aca="false" t="array" ref="AH92:AH92">IFERROR( (MEDIAN((IF(DATOS_[[Sexo]:[Sexo]]=$B92,IF(DATOS_[[AGRUP. VALOR. PTO.]:[AGRUP. VALOR. PTO.]]=$B90,IF(DATOS_[[Check Periodo Ref.]:[Check Periodo Ref.]]="Dentro",IF(DATOS_[[Check Equiparado]:[Check Equiparado]]="Sí",IF(DATOS!BC$4="Sí",(1/DATOS_[[% anualiz]:[% anualiz]]),1)*IF(DATOS!BC$5="Sí",1/DATOS_[[% normaliz]:[% normaliz]],1)*(DATOS_[Conc.Sal.25])))))))), 0)</f>
        <v>0</v>
      </c>
      <c r="AI92" s="250" t="n">
        <f aca="false" t="array" ref="AI92:AI92">IFERROR( (MEDIAN((IF(DATOS_[[Sexo]:[Sexo]]=$B92,IF(DATOS_[[AGRUP. VALOR. PTO.]:[AGRUP. VALOR. PTO.]]=$B90,IF(DATOS_[[Check Periodo Ref.]:[Check Periodo Ref.]]="Dentro",IF(DATOS_[[Check Equiparado]:[Check Equiparado]]="Sí",IF(DATOS!BD$4="Sí",(1/DATOS_[[% anualiz]:[% anualiz]]),1)*IF(DATOS!BD$5="Sí",1/DATOS_[[% normaliz]:[% normaliz]],1)*(DATOS_[Conc.Sal.26])))))))), 0)</f>
        <v>0</v>
      </c>
      <c r="AJ92" s="250" t="n">
        <f aca="false" t="array" ref="AJ92:AJ92">IFERROR( (MEDIAN((IF(DATOS_[[Sexo]:[Sexo]]=$B92,IF(DATOS_[[AGRUP. VALOR. PTO.]:[AGRUP. VALOR. PTO.]]=$B90,IF(DATOS_[[Check Periodo Ref.]:[Check Periodo Ref.]]="Dentro",IF(DATOS_[[Check Equiparado]:[Check Equiparado]]="Sí",IF(DATOS!BE$4="Sí",(1/DATOS_[[% anualiz]:[% anualiz]]),1)*IF(DATOS!BE$5="Sí",1/DATOS_[[% normaliz]:[% normaliz]],1)*(DATOS_[Conc.Sal.27])))))))), 0)</f>
        <v>0</v>
      </c>
      <c r="AK92" s="250" t="n">
        <f aca="false" t="array" ref="AK92:AK92">IFERROR( (MEDIAN((IF(DATOS_[[Sexo]:[Sexo]]=$B92,IF(DATOS_[[AGRUP. VALOR. PTO.]:[AGRUP. VALOR. PTO.]]=$B90,IF(DATOS_[[Check Periodo Ref.]:[Check Periodo Ref.]]="Dentro",IF(DATOS_[[Check Equiparado]:[Check Equiparado]]="Sí",IF(DATOS!BF$4="Sí",(1/DATOS_[[% anualiz]:[% anualiz]]),1)*IF(DATOS!BF$5="Sí",1/DATOS_[[% normaliz]:[% normaliz]],1)*(DATOS_[Conc.Sal.28])))))))), 0)</f>
        <v>0</v>
      </c>
      <c r="AL92" s="250" t="n">
        <f aca="false" t="array" ref="AL92:AL92">IFERROR( (MEDIAN((IF(DATOS_[[Sexo]:[Sexo]]=$B92,IF(DATOS_[[AGRUP. VALOR. PTO.]:[AGRUP. VALOR. PTO.]]=$B90,IF(DATOS_[[Check Periodo Ref.]:[Check Periodo Ref.]]="Dentro",IF(DATOS_[[Check Equiparado]:[Check Equiparado]]="Sí",IF(DATOS!BG$4="Sí",(1/DATOS_[[% anualiz]:[% anualiz]]),1)*IF(DATOS!BG$5="Sí",1/DATOS_[[% normaliz]:[% normaliz]],1)*(DATOS_[Conc.Sal.29])))))))), 0)</f>
        <v>0</v>
      </c>
      <c r="AM92" s="250" t="n">
        <f aca="false" t="array" ref="AM92:AM92">IFERROR( (MEDIAN((IF(DATOS_[[Sexo]:[Sexo]]=$B92,IF(DATOS_[[AGRUP. VALOR. PTO.]:[AGRUP. VALOR. PTO.]]=$B90,IF(DATOS_[[Check Periodo Ref.]:[Check Periodo Ref.]]="Dentro",IF(DATOS_[[Check Equiparado]:[Check Equiparado]]="Sí",IF(DATOS!BH$4="Sí",(1/DATOS_[[% anualiz]:[% anualiz]]),1)*IF(DATOS!BH$5="Sí",1/DATOS_[[% normaliz]:[% normaliz]],1)*(DATOS_[Conc.Sal.30])))))))), 0)</f>
        <v>0</v>
      </c>
      <c r="AN92" s="251" t="n">
        <f aca="false" t="array" ref="AN92:AN92">IFERROR( MEDIAN(IF(DATOS_[Sexo]=$B92,IF(DATOS_[[AGRUP. VALOR. PTO.]:[AGRUP. VALOR. PTO.]]=$B90,IF(DATOS_[Check Equiparado]="Sí",IF(DATOS_[Check Periodo Ref.]="Dentro",DATOS_[Tot COMPL.SAL Eq],0))))), 0)</f>
        <v>0</v>
      </c>
      <c r="AO92" s="252" t="n">
        <f aca="false" t="array" ref="AO92:AO92">IFERROR( MEDIAN(IF(DATOS_[Sexo]=$B92,IF(DATOS_[[AGRUP. VALOR. PTO.]:[AGRUP. VALOR. PTO.]]=$B90,IF(DATOS_[Check Equiparado]="Sí",IF(DATOS_[Check Periodo Ref.]="Dentro",DATOS_[TOTAL SALARIO Eq],0))))), 0)</f>
        <v>0</v>
      </c>
      <c r="AP92" s="259" t="n">
        <f aca="false" t="array" ref="AP92:AP92">IFERROR( (MEDIAN((IF(DATOS_[[Sexo]:[Sexo]]=$B92,IF(DATOS_[[AGRUP. VALOR. PTO.]:[AGRUP. VALOR. PTO.]]=$B91,IF(DATOS_[[Check Periodo Ref.]:[Check Periodo Ref.]]="Dentro",IF(DATOS_[[Check Equiparado]:[Check Equiparado]]="Sí",IF(DATOS!BI$4="Sí",(1/DATOS_[[% anualiz]:[% anualiz]]),1)*IF(DATOS!BI$5="Sí",1/DATOS_[[% normaliz]:[% normaliz]],1)*(DATOS_[C.Extra.01])))))))), 0)</f>
        <v>0</v>
      </c>
      <c r="AQ92" s="259" t="n">
        <f aca="false" t="array" ref="AQ92:AQ92">IFERROR( (MEDIAN((IF(DATOS_[[Sexo]:[Sexo]]=$B92,IF(DATOS_[[AGRUP. VALOR. PTO.]:[AGRUP. VALOR. PTO.]]=$B91,IF(DATOS_[[Check Periodo Ref.]:[Check Periodo Ref.]]="Dentro",IF(DATOS_[[Check Equiparado]:[Check Equiparado]]="Sí",IF(DATOS!BJ$4="Sí",(1/DATOS_[[% anualiz]:[% anualiz]]),1)*IF(DATOS!BJ$5="Sí",1/DATOS_[[% normaliz]:[% normaliz]],1)*(DATOS_[C.Extra.02])))))))), 0)</f>
        <v>0</v>
      </c>
      <c r="AR92" s="259" t="n">
        <f aca="false" t="array" ref="AR92:AR92">IFERROR( (MEDIAN((IF(DATOS_[[Sexo]:[Sexo]]=$B92,IF(DATOS_[[AGRUP. VALOR. PTO.]:[AGRUP. VALOR. PTO.]]=$B91,IF(DATOS_[[Check Periodo Ref.]:[Check Periodo Ref.]]="Dentro",IF(DATOS_[[Check Equiparado]:[Check Equiparado]]="Sí",IF(DATOS!BK$4="Sí",(1/DATOS_[[% anualiz]:[% anualiz]]),1)*IF(DATOS!BK$5="Sí",1/DATOS_[[% normaliz]:[% normaliz]],1)*(DATOS_[C.Extra.03])))))))), 0)</f>
        <v>0</v>
      </c>
      <c r="AS92" s="259" t="n">
        <f aca="false" t="array" ref="AS92:AS92">IFERROR( (MEDIAN((IF(DATOS_[[Sexo]:[Sexo]]=$B92,IF(DATOS_[[AGRUP. VALOR. PTO.]:[AGRUP. VALOR. PTO.]]=$B91,IF(DATOS_[[Check Periodo Ref.]:[Check Periodo Ref.]]="Dentro",IF(DATOS_[[Check Equiparado]:[Check Equiparado]]="Sí",IF(DATOS!BL$4="Sí",(1/DATOS_[[% anualiz]:[% anualiz]]),1)*IF(DATOS!BL$5="Sí",1/DATOS_[[% normaliz]:[% normaliz]],1)*(DATOS_[C.Extra.04])))))))), 0)</f>
        <v>0</v>
      </c>
      <c r="AT92" s="259" t="n">
        <f aca="false" t="array" ref="AT92:AT92">IFERROR( (MEDIAN((IF(DATOS_[[Sexo]:[Sexo]]=$B92,IF(DATOS_[[AGRUP. VALOR. PTO.]:[AGRUP. VALOR. PTO.]]=$B91,IF(DATOS_[[Check Periodo Ref.]:[Check Periodo Ref.]]="Dentro",IF(DATOS_[[Check Equiparado]:[Check Equiparado]]="Sí",IF(DATOS!BM$4="Sí",(1/DATOS_[[% anualiz]:[% anualiz]]),1)*IF(DATOS!BM$5="Sí",1/DATOS_[[% normaliz]:[% normaliz]],1)*(DATOS_[C.Extra.05])))))))), 0)</f>
        <v>0</v>
      </c>
      <c r="AU92" s="254" t="n">
        <f aca="false" t="array" ref="AU92:AU92">IFERROR( MEDIAN(IF(DATOS_[Sexo]=$B92,IF(DATOS_[[AGRUP. VALOR. PTO.]:[AGRUP. VALOR. PTO.]]=$B90,IF(DATOS_[Check Equiparado]="Sí",IF(DATOS_[Check Periodo Ref.]="Dentro",DATOS_[Tot Extrasalarial Eq],0))))), 0)</f>
        <v>0</v>
      </c>
      <c r="AV92" s="255" t="n">
        <f aca="false" t="array" ref="AV92:AV92">IFERROR( MEDIAN(IF(DATOS_[Sexo]=$B92,IF(DATOS_[[AGRUP. VALOR. PTO.]:[AGRUP. VALOR. PTO.]]=$B90,IF(DATOS_[Check Equiparado]="Sí",IF(DATOS_[Check Periodo Ref.]="Dentro",DATOS_[TOTAL Retrib Eq],0))))), 0)</f>
        <v>0</v>
      </c>
    </row>
    <row r="93" customFormat="false" ht="15.75" hidden="false" customHeight="false" outlineLevel="0" collapsed="false">
      <c r="A93" s="217" t="str">
        <f aca="false">+A94</f>
        <v>[ocultar]</v>
      </c>
      <c r="B93" s="320" t="s">
        <v>247</v>
      </c>
      <c r="C93" s="236"/>
      <c r="D93" s="237"/>
      <c r="E93" s="237"/>
      <c r="F93" s="237"/>
      <c r="G93" s="237"/>
      <c r="H93" s="237"/>
      <c r="I93" s="238" t="str">
        <f aca="false">IFERROR((I94-I95)/I94,"")</f>
        <v/>
      </c>
      <c r="J93" s="239" t="str">
        <f aca="false">IFERROR((J94-J95)/J94,"")</f>
        <v/>
      </c>
      <c r="K93" s="239" t="str">
        <f aca="false">IFERROR((K94-K95)/K94,"")</f>
        <v/>
      </c>
      <c r="L93" s="239" t="str">
        <f aca="false">IFERROR((L94-L95)/L94,"")</f>
        <v/>
      </c>
      <c r="M93" s="239" t="str">
        <f aca="false">IFERROR((M94-M95)/M94,"")</f>
        <v/>
      </c>
      <c r="N93" s="239" t="str">
        <f aca="false">IFERROR((N94-N95)/N94,"")</f>
        <v/>
      </c>
      <c r="O93" s="239" t="str">
        <f aca="false">IFERROR((O94-O95)/O94,"")</f>
        <v/>
      </c>
      <c r="P93" s="239" t="str">
        <f aca="false">IFERROR((P94-P95)/P94,"")</f>
        <v/>
      </c>
      <c r="Q93" s="239" t="str">
        <f aca="false">IFERROR((Q94-Q95)/Q94,"")</f>
        <v/>
      </c>
      <c r="R93" s="239" t="str">
        <f aca="false">IFERROR((R94-R95)/R94,"")</f>
        <v/>
      </c>
      <c r="S93" s="239" t="str">
        <f aca="false">IFERROR((S94-S95)/S94,"")</f>
        <v/>
      </c>
      <c r="T93" s="239" t="str">
        <f aca="false">IFERROR((T94-T95)/T94,"")</f>
        <v/>
      </c>
      <c r="U93" s="239" t="str">
        <f aca="false">IFERROR((U94-U95)/U94,"")</f>
        <v/>
      </c>
      <c r="V93" s="239" t="str">
        <f aca="false">IFERROR((V94-V95)/V94,"")</f>
        <v/>
      </c>
      <c r="W93" s="239" t="str">
        <f aca="false">IFERROR((W94-W95)/W94,"")</f>
        <v/>
      </c>
      <c r="X93" s="239" t="str">
        <f aca="false">IFERROR((X94-X95)/X94,"")</f>
        <v/>
      </c>
      <c r="Y93" s="239" t="str">
        <f aca="false">IFERROR((Y94-Y95)/Y94,"")</f>
        <v/>
      </c>
      <c r="Z93" s="240" t="str">
        <f aca="false">IFERROR((Z94-Z95)/Z94,"")</f>
        <v/>
      </c>
      <c r="AA93" s="240" t="str">
        <f aca="false">IFERROR((AA94-AA95)/AA94,"")</f>
        <v/>
      </c>
      <c r="AB93" s="240" t="str">
        <f aca="false">IFERROR((AB94-AB95)/AB94,"")</f>
        <v/>
      </c>
      <c r="AC93" s="240" t="str">
        <f aca="false">IFERROR((AC94-AC95)/AC94,"")</f>
        <v/>
      </c>
      <c r="AD93" s="240" t="str">
        <f aca="false">IFERROR((AD94-AD95)/AD94,"")</f>
        <v/>
      </c>
      <c r="AE93" s="240" t="str">
        <f aca="false">IFERROR((AE94-AE95)/AE94,"")</f>
        <v/>
      </c>
      <c r="AF93" s="240" t="str">
        <f aca="false">IFERROR((AF94-AF95)/AF94,"")</f>
        <v/>
      </c>
      <c r="AG93" s="240" t="str">
        <f aca="false">IFERROR((AG94-AG95)/AG94,"")</f>
        <v/>
      </c>
      <c r="AH93" s="240" t="str">
        <f aca="false">IFERROR((AH94-AH95)/AH94,"")</f>
        <v/>
      </c>
      <c r="AI93" s="240" t="str">
        <f aca="false">IFERROR((AI94-AI95)/AI94,"")</f>
        <v/>
      </c>
      <c r="AJ93" s="240" t="str">
        <f aca="false">IFERROR((AJ94-AJ95)/AJ94,"")</f>
        <v/>
      </c>
      <c r="AK93" s="240" t="str">
        <f aca="false">IFERROR((AK94-AK95)/AK94,"")</f>
        <v/>
      </c>
      <c r="AL93" s="240" t="str">
        <f aca="false">IFERROR((AL94-AL95)/AL94,"")</f>
        <v/>
      </c>
      <c r="AM93" s="240" t="str">
        <f aca="false">IFERROR((AM94-AM95)/AM94,"")</f>
        <v/>
      </c>
      <c r="AN93" s="241" t="str">
        <f aca="false">IFERROR((AN94-AN95)/AN94,"")</f>
        <v/>
      </c>
      <c r="AO93" s="242" t="str">
        <f aca="false">IFERROR((AO94-AO95)/AO94,"")</f>
        <v/>
      </c>
      <c r="AP93" s="243" t="str">
        <f aca="false">IFERROR((AP94-AP95)/AP94,"")</f>
        <v/>
      </c>
      <c r="AQ93" s="243" t="str">
        <f aca="false">IFERROR((AQ94-AQ95)/AQ94,"")</f>
        <v/>
      </c>
      <c r="AR93" s="243" t="str">
        <f aca="false">IFERROR((AR94-AR95)/AR94,"")</f>
        <v/>
      </c>
      <c r="AS93" s="243" t="str">
        <f aca="false">IFERROR((AS94-AS95)/AS94,"")</f>
        <v/>
      </c>
      <c r="AT93" s="243" t="str">
        <f aca="false">IFERROR((AT94-AT95)/AT94,"")</f>
        <v/>
      </c>
      <c r="AU93" s="244" t="str">
        <f aca="false">IFERROR((AU94-AU95)/AU94,"")</f>
        <v/>
      </c>
      <c r="AV93" s="245" t="str">
        <f aca="false">IFERROR((AV94-AV95)/AV94,"")</f>
        <v/>
      </c>
    </row>
    <row r="94" customFormat="false" ht="14.25" hidden="false" customHeight="false" outlineLevel="0" collapsed="false">
      <c r="A94" s="217" t="str">
        <f aca="false">+IF(C94+C95=0,"[ocultar]","")</f>
        <v>[ocultar]</v>
      </c>
      <c r="B94" s="323" t="s">
        <v>371</v>
      </c>
      <c r="C94" s="247" t="n">
        <f aca="false" t="array" ref="C94:C94">SUM(IF($B94=DATOS_[Sexo], IF($B93=DATOS_[AGRUP. VALOR. PTO.], IF("Dentro"=DATOS_[Check Periodo Ref.], 1/(COUNTIFS(DATOS_[Sexo],$B94,DATOS_[AGRUP. VALOR. PTO.],$B93,DATOS_[Check Periodo Ref.],"Dentro",DATOS_[id],DATOS_[id]))))))</f>
        <v>0</v>
      </c>
      <c r="D94" s="248" t="n">
        <f aca="false">COUNTIFS(DATOS_[AGRUP. VALOR. PTO.],$B93,DATOS_[Sexo],$B94,DATOS_[Check Periodo Ref.],"Dentro")</f>
        <v>0</v>
      </c>
      <c r="E94" s="248" t="n">
        <f aca="false">COUNTIFS(DATOS_[AGRUP. VALOR. PTO.],$B93,DATOS_[Sexo],$B94,DATOS_[Check Periodo Ref.],"Dentro",DATOS_[Check Nº SC Norm],"Sí")</f>
        <v>0</v>
      </c>
      <c r="F94" s="248" t="n">
        <f aca="false">COUNTIFS(DATOS_[AGRUP. VALOR. PTO.],$B93,DATOS_[Sexo],$B94,DATOS_[Check Periodo Ref.],"Dentro",DATOS_[Check Nº SC Anualiz],"Sí")</f>
        <v>0</v>
      </c>
      <c r="G94" s="248" t="n">
        <f aca="false">COUNTIFS(DATOS_[AGRUP. VALOR. PTO.],$B93,DATOS_[Sexo],$B94,DATOS_[Check Periodo Ref.],"Dentro",DATOS_[Check Nº SC Norm y Anualiz],"Sí")</f>
        <v>0</v>
      </c>
      <c r="H94" s="248" t="n">
        <f aca="false">COUNTIFS(DATOS_[AGRUP. VALOR. PTO.],$B93,DATOS_[Sexo],$B94,DATOS_[Check Periodo Ref.],"Dentro",DATOS_[Check Equiparación],"Sí")</f>
        <v>0</v>
      </c>
      <c r="I94" s="249" t="n">
        <f aca="false" t="array" ref="I94:I94">IFERROR( MEDIAN(IF(DATOS_[Sexo]=$B94,IF(DATOS_[[AGRUP. VALOR. PTO.]:[AGRUP. VALOR. PTO.]]=$B93,IF(DATOS_[Check Equiparado]="Sí",IF(DATOS_[Check Periodo Ref.]="Dentro",DATOS_[SALARIO BASE Eq],0))))), 0)</f>
        <v>0</v>
      </c>
      <c r="J94" s="250" t="n">
        <f aca="false" t="array" ref="J94:J94">IFERROR( (MEDIAN((IF(DATOS_[[Sexo]:[Sexo]]=$B94,IF(DATOS_[[AGRUP. VALOR. PTO.]:[AGRUP. VALOR. PTO.]]=$B93,IF(DATOS_[[Check Periodo Ref.]:[Check Periodo Ref.]]="Dentro",IF(DATOS_[[Check Equiparado]:[Check Equiparado]]="Sí",IF(DATOS!AE$4="Sí",(1/DATOS_[[% anualiz]:[% anualiz]]),1)*IF(DATOS!AE$5="Sí",1/DATOS_[[% normaliz]:[% normaliz]],1)*(DATOS_[Conc.Sal.01])))))))), 0)</f>
        <v>0</v>
      </c>
      <c r="K94" s="250" t="n">
        <f aca="false" t="array" ref="K94:K94">IFERROR( (MEDIAN((IF(DATOS_[[Sexo]:[Sexo]]=$B94,IF(DATOS_[[AGRUP. VALOR. PTO.]:[AGRUP. VALOR. PTO.]]=$B93,IF(DATOS_[[Check Periodo Ref.]:[Check Periodo Ref.]]="Dentro",IF(DATOS_[[Check Equiparado]:[Check Equiparado]]="Sí",IF(DATOS!AF$4="Sí",(1/DATOS_[[% anualiz]:[% anualiz]]),1)*IF(DATOS!AF$5="Sí",1/DATOS_[[% normaliz]:[% normaliz]],1)*(DATOS_[Conc.Sal.02])))))))), 0)</f>
        <v>0</v>
      </c>
      <c r="L94" s="250" t="n">
        <f aca="false" t="array" ref="L94:L94">IFERROR( (MEDIAN((IF(DATOS_[[Sexo]:[Sexo]]=$B94,IF(DATOS_[[AGRUP. VALOR. PTO.]:[AGRUP. VALOR. PTO.]]=$B93,IF(DATOS_[[Check Periodo Ref.]:[Check Periodo Ref.]]="Dentro",IF(DATOS_[[Check Equiparado]:[Check Equiparado]]="Sí",IF(DATOS!AG$4="Sí",(1/DATOS_[[% anualiz]:[% anualiz]]),1)*IF(DATOS!AG$5="Sí",1/DATOS_[[% normaliz]:[% normaliz]],1)*(DATOS_[Conc.Sal.03])))))))), 0)</f>
        <v>0</v>
      </c>
      <c r="M94" s="250" t="n">
        <f aca="false" t="array" ref="M94:M94">IFERROR( (MEDIAN((IF(DATOS_[[Sexo]:[Sexo]]=$B94,IF(DATOS_[[AGRUP. VALOR. PTO.]:[AGRUP. VALOR. PTO.]]=$B93,IF(DATOS_[[Check Periodo Ref.]:[Check Periodo Ref.]]="Dentro",IF(DATOS_[[Check Equiparado]:[Check Equiparado]]="Sí",IF(DATOS!AH$4="Sí",(1/DATOS_[[% anualiz]:[% anualiz]]),1)*IF(DATOS!AH$5="Sí",1/DATOS_[[% normaliz]:[% normaliz]],1)*(DATOS_[Conc.Sal.04])))))))), 0)</f>
        <v>0</v>
      </c>
      <c r="N94" s="250" t="n">
        <f aca="false" t="array" ref="N94:N94">IFERROR( (MEDIAN((IF(DATOS_[[Sexo]:[Sexo]]=$B94,IF(DATOS_[[AGRUP. VALOR. PTO.]:[AGRUP. VALOR. PTO.]]=$B93,IF(DATOS_[[Check Periodo Ref.]:[Check Periodo Ref.]]="Dentro",IF(DATOS_[[Check Equiparado]:[Check Equiparado]]="Sí",IF(DATOS!AI$4="Sí",(1/DATOS_[[% anualiz]:[% anualiz]]),1)*IF(DATOS!AI$5="Sí",1/DATOS_[[% normaliz]:[% normaliz]],1)*(DATOS_[Conc.Sal.05])))))))), 0)</f>
        <v>0</v>
      </c>
      <c r="O94" s="250" t="n">
        <f aca="false" t="array" ref="O94:O94">IFERROR( (MEDIAN((IF(DATOS_[[Sexo]:[Sexo]]=$B94,IF(DATOS_[[AGRUP. VALOR. PTO.]:[AGRUP. VALOR. PTO.]]=$B93,IF(DATOS_[[Check Periodo Ref.]:[Check Periodo Ref.]]="Dentro",IF(DATOS_[[Check Equiparado]:[Check Equiparado]]="Sí",IF(DATOS!AJ$4="Sí",(1/DATOS_[[% anualiz]:[% anualiz]]),1)*IF(DATOS!AJ$5="Sí",1/DATOS_[[% normaliz]:[% normaliz]],1)*(DATOS_[Conc.Sal.06])))))))), 0)</f>
        <v>0</v>
      </c>
      <c r="P94" s="250" t="n">
        <f aca="false" t="array" ref="P94:P94">IFERROR( (MEDIAN((IF(DATOS_[[Sexo]:[Sexo]]=$B94,IF(DATOS_[[AGRUP. VALOR. PTO.]:[AGRUP. VALOR. PTO.]]=$B93,IF(DATOS_[[Check Periodo Ref.]:[Check Periodo Ref.]]="Dentro",IF(DATOS_[[Check Equiparado]:[Check Equiparado]]="Sí",IF(DATOS!AK$4="Sí",(1/DATOS_[[% anualiz]:[% anualiz]]),1)*IF(DATOS!AK$5="Sí",1/DATOS_[[% normaliz]:[% normaliz]],1)*(DATOS_[Conc.Sal.07])))))))), 0)</f>
        <v>0</v>
      </c>
      <c r="Q94" s="250" t="n">
        <f aca="false" t="array" ref="Q94:Q94">IFERROR( (MEDIAN((IF(DATOS_[[Sexo]:[Sexo]]=$B94,IF(DATOS_[[AGRUP. VALOR. PTO.]:[AGRUP. VALOR. PTO.]]=$B93,IF(DATOS_[[Check Periodo Ref.]:[Check Periodo Ref.]]="Dentro",IF(DATOS_[[Check Equiparado]:[Check Equiparado]]="Sí",IF(DATOS!AL$4="Sí",(1/DATOS_[[% anualiz]:[% anualiz]]),1)*IF(DATOS!AL$5="Sí",1/DATOS_[[% normaliz]:[% normaliz]],1)*(DATOS_[Conc.Sal.08])))))))), 0)</f>
        <v>0</v>
      </c>
      <c r="R94" s="250" t="n">
        <f aca="false" t="array" ref="R94:R94">IFERROR( (MEDIAN((IF(DATOS_[[Sexo]:[Sexo]]=$B94,IF(DATOS_[[AGRUP. VALOR. PTO.]:[AGRUP. VALOR. PTO.]]=$B93,IF(DATOS_[[Check Periodo Ref.]:[Check Periodo Ref.]]="Dentro",IF(DATOS_[[Check Equiparado]:[Check Equiparado]]="Sí",IF(DATOS!AM$4="Sí",(1/DATOS_[[% anualiz]:[% anualiz]]),1)*IF(DATOS!AM$5="Sí",1/DATOS_[[% normaliz]:[% normaliz]],1)*(DATOS_[Conc.Sal.09])))))))), 0)</f>
        <v>0</v>
      </c>
      <c r="S94" s="250" t="n">
        <f aca="false" t="array" ref="S94:S94">IFERROR( (MEDIAN((IF(DATOS_[[Sexo]:[Sexo]]=$B94,IF(DATOS_[[AGRUP. VALOR. PTO.]:[AGRUP. VALOR. PTO.]]=$B93,IF(DATOS_[[Check Periodo Ref.]:[Check Periodo Ref.]]="Dentro",IF(DATOS_[[Check Equiparado]:[Check Equiparado]]="Sí",IF(DATOS!AN$4="Sí",(1/DATOS_[[% anualiz]:[% anualiz]]),1)*IF(DATOS!AN$5="Sí",1/DATOS_[[% normaliz]:[% normaliz]],1)*(DATOS_[Conc.Sal.10])))))))), 0)</f>
        <v>0</v>
      </c>
      <c r="T94" s="250" t="n">
        <f aca="false" t="array" ref="T94:T94">IFERROR( (MEDIAN((IF(DATOS_[[Sexo]:[Sexo]]=$B94,IF(DATOS_[[AGRUP. VALOR. PTO.]:[AGRUP. VALOR. PTO.]]=$B93,IF(DATOS_[[Check Periodo Ref.]:[Check Periodo Ref.]]="Dentro",IF(DATOS_[[Check Equiparado]:[Check Equiparado]]="Sí",IF(DATOS!AO$4="Sí",(1/DATOS_[[% anualiz]:[% anualiz]]),1)*IF(DATOS!AO$5="Sí",1/DATOS_[[% normaliz]:[% normaliz]],1)*(DATOS_[Conc.Sal.11])))))))), 0)</f>
        <v>0</v>
      </c>
      <c r="U94" s="250" t="n">
        <f aca="false" t="array" ref="U94:U94">IFERROR( (MEDIAN((IF(DATOS_[[Sexo]:[Sexo]]=$B94,IF(DATOS_[[AGRUP. VALOR. PTO.]:[AGRUP. VALOR. PTO.]]=$B93,IF(DATOS_[[Check Periodo Ref.]:[Check Periodo Ref.]]="Dentro",IF(DATOS_[[Check Equiparado]:[Check Equiparado]]="Sí",IF(DATOS!AP$4="Sí",(1/DATOS_[[% anualiz]:[% anualiz]]),1)*IF(DATOS!AP$5="Sí",1/DATOS_[[% normaliz]:[% normaliz]],1)*(DATOS_[Conc.Sal.12])))))))), 0)</f>
        <v>0</v>
      </c>
      <c r="V94" s="250" t="n">
        <f aca="false" t="array" ref="V94:V94">IFERROR( (MEDIAN((IF(DATOS_[[Sexo]:[Sexo]]=$B94,IF(DATOS_[[AGRUP. VALOR. PTO.]:[AGRUP. VALOR. PTO.]]=$B93,IF(DATOS_[[Check Periodo Ref.]:[Check Periodo Ref.]]="Dentro",IF(DATOS_[[Check Equiparado]:[Check Equiparado]]="Sí",IF(DATOS!AQ$4="Sí",(1/DATOS_[[% anualiz]:[% anualiz]]),1)*IF(DATOS!AQ$5="Sí",1/DATOS_[[% normaliz]:[% normaliz]],1)*(DATOS_[Conc.Sal.13])))))))), 0)</f>
        <v>0</v>
      </c>
      <c r="W94" s="250" t="n">
        <f aca="false" t="array" ref="W94:W94">IFERROR( (MEDIAN((IF(DATOS_[[Sexo]:[Sexo]]=$B94,IF(DATOS_[[AGRUP. VALOR. PTO.]:[AGRUP. VALOR. PTO.]]=$B93,IF(DATOS_[[Check Periodo Ref.]:[Check Periodo Ref.]]="Dentro",IF(DATOS_[[Check Equiparado]:[Check Equiparado]]="Sí",IF(DATOS!AR$4="Sí",(1/DATOS_[[% anualiz]:[% anualiz]]),1)*IF(DATOS!AR$5="Sí",1/DATOS_[[% normaliz]:[% normaliz]],1)*(DATOS_[Conc.Sal.14])))))))), 0)</f>
        <v>0</v>
      </c>
      <c r="X94" s="250" t="n">
        <f aca="false" t="array" ref="X94:X94">IFERROR( (MEDIAN((IF(DATOS_[[Sexo]:[Sexo]]=$B94,IF(DATOS_[[AGRUP. VALOR. PTO.]:[AGRUP. VALOR. PTO.]]=$B93,IF(DATOS_[[Check Periodo Ref.]:[Check Periodo Ref.]]="Dentro",IF(DATOS_[[Check Equiparado]:[Check Equiparado]]="Sí",IF(DATOS!AS$4="Sí",(1/DATOS_[[% anualiz]:[% anualiz]]),1)*IF(DATOS!AS$5="Sí",1/DATOS_[[% normaliz]:[% normaliz]],1)*(DATOS_[Conc.Sal.15])))))))), 0)</f>
        <v>0</v>
      </c>
      <c r="Y94" s="250" t="n">
        <f aca="false" t="array" ref="Y94:Y94">IFERROR( (MEDIAN((IF(DATOS_[[Sexo]:[Sexo]]=$B94,IF(DATOS_[[AGRUP. VALOR. PTO.]:[AGRUP. VALOR. PTO.]]=$B93,IF(DATOS_[[Check Periodo Ref.]:[Check Periodo Ref.]]="Dentro",IF(DATOS_[[Check Equiparado]:[Check Equiparado]]="Sí",IF(DATOS!AT$4="Sí",(1/DATOS_[[% anualiz]:[% anualiz]]),1)*IF(DATOS!AT$5="Sí",1/DATOS_[[% normaliz]:[% normaliz]],1)*(DATOS_[Conc.Sal.16])))))))), 0)</f>
        <v>0</v>
      </c>
      <c r="Z94" s="250" t="n">
        <f aca="false" t="array" ref="Z94:Z94">IFERROR( (MEDIAN((IF(DATOS_[[Sexo]:[Sexo]]=$B94,IF(DATOS_[[AGRUP. VALOR. PTO.]:[AGRUP. VALOR. PTO.]]=$B93,IF(DATOS_[[Check Periodo Ref.]:[Check Periodo Ref.]]="Dentro",IF(DATOS_[[Check Equiparado]:[Check Equiparado]]="Sí",IF(DATOS!AU$4="Sí",(1/DATOS_[[% anualiz]:[% anualiz]]),1)*IF(DATOS!AU$5="Sí",1/DATOS_[[% normaliz]:[% normaliz]],1)*(DATOS_[Conc.Sal.17])))))))), 0)</f>
        <v>0</v>
      </c>
      <c r="AA94" s="250" t="n">
        <f aca="false" t="array" ref="AA94:AA94">IFERROR( (MEDIAN((IF(DATOS_[[Sexo]:[Sexo]]=$B94,IF(DATOS_[[AGRUP. VALOR. PTO.]:[AGRUP. VALOR. PTO.]]=$B93,IF(DATOS_[[Check Periodo Ref.]:[Check Periodo Ref.]]="Dentro",IF(DATOS_[[Check Equiparado]:[Check Equiparado]]="Sí",IF(DATOS!AV$4="Sí",(1/DATOS_[[% anualiz]:[% anualiz]]),1)*IF(DATOS!AV$5="Sí",1/DATOS_[[% normaliz]:[% normaliz]],1)*(DATOS_[Conc.Sal.18])))))))), 0)</f>
        <v>0</v>
      </c>
      <c r="AB94" s="250" t="n">
        <f aca="false" t="array" ref="AB94:AB94">IFERROR( (MEDIAN((IF(DATOS_[[Sexo]:[Sexo]]=$B94,IF(DATOS_[[AGRUP. VALOR. PTO.]:[AGRUP. VALOR. PTO.]]=$B93,IF(DATOS_[[Check Periodo Ref.]:[Check Periodo Ref.]]="Dentro",IF(DATOS_[[Check Equiparado]:[Check Equiparado]]="Sí",IF(DATOS!AW$4="Sí",(1/DATOS_[[% anualiz]:[% anualiz]]),1)*IF(DATOS!AW$5="Sí",1/DATOS_[[% normaliz]:[% normaliz]],1)*(DATOS_[Conc.Sal.19])))))))), 0)</f>
        <v>0</v>
      </c>
      <c r="AC94" s="250" t="n">
        <f aca="false" t="array" ref="AC94:AC94">IFERROR( (MEDIAN((IF(DATOS_[[Sexo]:[Sexo]]=$B94,IF(DATOS_[[AGRUP. VALOR. PTO.]:[AGRUP. VALOR. PTO.]]=$B93,IF(DATOS_[[Check Periodo Ref.]:[Check Periodo Ref.]]="Dentro",IF(DATOS_[[Check Equiparado]:[Check Equiparado]]="Sí",IF(DATOS!AX$4="Sí",(1/DATOS_[[% anualiz]:[% anualiz]]),1)*IF(DATOS!AX$5="Sí",1/DATOS_[[% normaliz]:[% normaliz]],1)*(DATOS_[Conc.Sal.20])))))))), 0)</f>
        <v>0</v>
      </c>
      <c r="AD94" s="250" t="n">
        <f aca="false" t="array" ref="AD94:AD94">IFERROR( (MEDIAN((IF(DATOS_[[Sexo]:[Sexo]]=$B94,IF(DATOS_[[AGRUP. VALOR. PTO.]:[AGRUP. VALOR. PTO.]]=$B93,IF(DATOS_[[Check Periodo Ref.]:[Check Periodo Ref.]]="Dentro",IF(DATOS_[[Check Equiparado]:[Check Equiparado]]="Sí",IF(DATOS!AY$4="Sí",(1/DATOS_[[% anualiz]:[% anualiz]]),1)*IF(DATOS!AY$5="Sí",1/DATOS_[[% normaliz]:[% normaliz]],1)*(DATOS_[Conc.Sal.21])))))))), 0)</f>
        <v>0</v>
      </c>
      <c r="AE94" s="250" t="n">
        <f aca="false" t="array" ref="AE94:AE94">IFERROR( (MEDIAN((IF(DATOS_[[Sexo]:[Sexo]]=$B94,IF(DATOS_[[AGRUP. VALOR. PTO.]:[AGRUP. VALOR. PTO.]]=$B93,IF(DATOS_[[Check Periodo Ref.]:[Check Periodo Ref.]]="Dentro",IF(DATOS_[[Check Equiparado]:[Check Equiparado]]="Sí",IF(DATOS!AZ$4="Sí",(1/DATOS_[[% anualiz]:[% anualiz]]),1)*IF(DATOS!AZ$5="Sí",1/DATOS_[[% normaliz]:[% normaliz]],1)*(DATOS_[Conc.Sal.22])))))))), 0)</f>
        <v>0</v>
      </c>
      <c r="AF94" s="250" t="n">
        <f aca="false" t="array" ref="AF94:AF94">IFERROR( (MEDIAN((IF(DATOS_[[Sexo]:[Sexo]]=$B94,IF(DATOS_[[AGRUP. VALOR. PTO.]:[AGRUP. VALOR. PTO.]]=$B93,IF(DATOS_[[Check Periodo Ref.]:[Check Periodo Ref.]]="Dentro",IF(DATOS_[[Check Equiparado]:[Check Equiparado]]="Sí",IF(DATOS!BA$4="Sí",(1/DATOS_[[% anualiz]:[% anualiz]]),1)*IF(DATOS!BA$5="Sí",1/DATOS_[[% normaliz]:[% normaliz]],1)*(DATOS_[Conc.Sal.23])))))))), 0)</f>
        <v>0</v>
      </c>
      <c r="AG94" s="250" t="n">
        <f aca="false" t="array" ref="AG94:AG94">IFERROR( (MEDIAN((IF(DATOS_[[Sexo]:[Sexo]]=$B94,IF(DATOS_[[AGRUP. VALOR. PTO.]:[AGRUP. VALOR. PTO.]]=$B93,IF(DATOS_[[Check Periodo Ref.]:[Check Periodo Ref.]]="Dentro",IF(DATOS_[[Check Equiparado]:[Check Equiparado]]="Sí",IF(DATOS!BB$4="Sí",(1/DATOS_[[% anualiz]:[% anualiz]]),1)*IF(DATOS!BB$5="Sí",1/DATOS_[[% normaliz]:[% normaliz]],1)*(DATOS_[Conc.Sal.24])))))))), 0)</f>
        <v>0</v>
      </c>
      <c r="AH94" s="250" t="n">
        <f aca="false" t="array" ref="AH94:AH94">IFERROR( (MEDIAN((IF(DATOS_[[Sexo]:[Sexo]]=$B94,IF(DATOS_[[AGRUP. VALOR. PTO.]:[AGRUP. VALOR. PTO.]]=$B93,IF(DATOS_[[Check Periodo Ref.]:[Check Periodo Ref.]]="Dentro",IF(DATOS_[[Check Equiparado]:[Check Equiparado]]="Sí",IF(DATOS!BC$4="Sí",(1/DATOS_[[% anualiz]:[% anualiz]]),1)*IF(DATOS!BC$5="Sí",1/DATOS_[[% normaliz]:[% normaliz]],1)*(DATOS_[Conc.Sal.25])))))))), 0)</f>
        <v>0</v>
      </c>
      <c r="AI94" s="250" t="n">
        <f aca="false" t="array" ref="AI94:AI94">IFERROR( (MEDIAN((IF(DATOS_[[Sexo]:[Sexo]]=$B94,IF(DATOS_[[AGRUP. VALOR. PTO.]:[AGRUP. VALOR. PTO.]]=$B93,IF(DATOS_[[Check Periodo Ref.]:[Check Periodo Ref.]]="Dentro",IF(DATOS_[[Check Equiparado]:[Check Equiparado]]="Sí",IF(DATOS!BD$4="Sí",(1/DATOS_[[% anualiz]:[% anualiz]]),1)*IF(DATOS!BD$5="Sí",1/DATOS_[[% normaliz]:[% normaliz]],1)*(DATOS_[Conc.Sal.26])))))))), 0)</f>
        <v>0</v>
      </c>
      <c r="AJ94" s="250" t="n">
        <f aca="false" t="array" ref="AJ94:AJ94">IFERROR( (MEDIAN((IF(DATOS_[[Sexo]:[Sexo]]=$B94,IF(DATOS_[[AGRUP. VALOR. PTO.]:[AGRUP. VALOR. PTO.]]=$B93,IF(DATOS_[[Check Periodo Ref.]:[Check Periodo Ref.]]="Dentro",IF(DATOS_[[Check Equiparado]:[Check Equiparado]]="Sí",IF(DATOS!BE$4="Sí",(1/DATOS_[[% anualiz]:[% anualiz]]),1)*IF(DATOS!BE$5="Sí",1/DATOS_[[% normaliz]:[% normaliz]],1)*(DATOS_[Conc.Sal.27])))))))), 0)</f>
        <v>0</v>
      </c>
      <c r="AK94" s="250" t="n">
        <f aca="false" t="array" ref="AK94:AK94">IFERROR( (MEDIAN((IF(DATOS_[[Sexo]:[Sexo]]=$B94,IF(DATOS_[[AGRUP. VALOR. PTO.]:[AGRUP. VALOR. PTO.]]=$B93,IF(DATOS_[[Check Periodo Ref.]:[Check Periodo Ref.]]="Dentro",IF(DATOS_[[Check Equiparado]:[Check Equiparado]]="Sí",IF(DATOS!BF$4="Sí",(1/DATOS_[[% anualiz]:[% anualiz]]),1)*IF(DATOS!BF$5="Sí",1/DATOS_[[% normaliz]:[% normaliz]],1)*(DATOS_[Conc.Sal.28])))))))), 0)</f>
        <v>0</v>
      </c>
      <c r="AL94" s="250" t="n">
        <f aca="false" t="array" ref="AL94:AL94">IFERROR( (MEDIAN((IF(DATOS_[[Sexo]:[Sexo]]=$B94,IF(DATOS_[[AGRUP. VALOR. PTO.]:[AGRUP. VALOR. PTO.]]=$B93,IF(DATOS_[[Check Periodo Ref.]:[Check Periodo Ref.]]="Dentro",IF(DATOS_[[Check Equiparado]:[Check Equiparado]]="Sí",IF(DATOS!BG$4="Sí",(1/DATOS_[[% anualiz]:[% anualiz]]),1)*IF(DATOS!BG$5="Sí",1/DATOS_[[% normaliz]:[% normaliz]],1)*(DATOS_[Conc.Sal.29])))))))), 0)</f>
        <v>0</v>
      </c>
      <c r="AM94" s="250" t="n">
        <f aca="false" t="array" ref="AM94:AM94">IFERROR( (MEDIAN((IF(DATOS_[[Sexo]:[Sexo]]=$B94,IF(DATOS_[[AGRUP. VALOR. PTO.]:[AGRUP. VALOR. PTO.]]=$B93,IF(DATOS_[[Check Periodo Ref.]:[Check Periodo Ref.]]="Dentro",IF(DATOS_[[Check Equiparado]:[Check Equiparado]]="Sí",IF(DATOS!BH$4="Sí",(1/DATOS_[[% anualiz]:[% anualiz]]),1)*IF(DATOS!BH$5="Sí",1/DATOS_[[% normaliz]:[% normaliz]],1)*(DATOS_[Conc.Sal.30])))))))), 0)</f>
        <v>0</v>
      </c>
      <c r="AN94" s="251" t="n">
        <f aca="false" t="array" ref="AN94:AN94">IFERROR( MEDIAN(IF(DATOS_[Sexo]=$B94,IF(DATOS_[[AGRUP. VALOR. PTO.]:[AGRUP. VALOR. PTO.]]=$B93,IF(DATOS_[Check Equiparado]="Sí",IF(DATOS_[Check Periodo Ref.]="Dentro",DATOS_[Tot COMPL.SAL Eq],0))))), 0)</f>
        <v>0</v>
      </c>
      <c r="AO94" s="252" t="n">
        <f aca="false" t="array" ref="AO94:AO94">IFERROR( MEDIAN(IF(DATOS_[Sexo]=$B94,IF(DATOS_[[AGRUP. VALOR. PTO.]:[AGRUP. VALOR. PTO.]]=$B93,IF(DATOS_[Check Equiparado]="Sí",IF(DATOS_[Check Periodo Ref.]="Dentro",DATOS_[TOTAL SALARIO Eq],0))))), 0)</f>
        <v>0</v>
      </c>
      <c r="AP94" s="259" t="n">
        <f aca="false" t="array" ref="AP94:AP94">IFERROR( (MEDIAN((IF(DATOS_[[Sexo]:[Sexo]]=$B94,IF(DATOS_[[AGRUP. VALOR. PTO.]:[AGRUP. VALOR. PTO.]]=$B93,IF(DATOS_[[Check Periodo Ref.]:[Check Periodo Ref.]]="Dentro",IF(DATOS_[[Check Equiparado]:[Check Equiparado]]="Sí",IF(DATOS!BI$4="Sí",(1/DATOS_[[% anualiz]:[% anualiz]]),1)*IF(DATOS!BI$5="Sí",1/DATOS_[[% normaliz]:[% normaliz]],1)*(DATOS_[C.Extra.01])))))))), 0)</f>
        <v>0</v>
      </c>
      <c r="AQ94" s="259" t="n">
        <f aca="false" t="array" ref="AQ94:AQ94">IFERROR( (MEDIAN((IF(DATOS_[[Sexo]:[Sexo]]=$B94,IF(DATOS_[[AGRUP. VALOR. PTO.]:[AGRUP. VALOR. PTO.]]=$B93,IF(DATOS_[[Check Periodo Ref.]:[Check Periodo Ref.]]="Dentro",IF(DATOS_[[Check Equiparado]:[Check Equiparado]]="Sí",IF(DATOS!BJ$4="Sí",(1/DATOS_[[% anualiz]:[% anualiz]]),1)*IF(DATOS!BJ$5="Sí",1/DATOS_[[% normaliz]:[% normaliz]],1)*(DATOS_[C.Extra.02])))))))), 0)</f>
        <v>0</v>
      </c>
      <c r="AR94" s="259" t="n">
        <f aca="false" t="array" ref="AR94:AR94">IFERROR( (MEDIAN((IF(DATOS_[[Sexo]:[Sexo]]=$B94,IF(DATOS_[[AGRUP. VALOR. PTO.]:[AGRUP. VALOR. PTO.]]=$B93,IF(DATOS_[[Check Periodo Ref.]:[Check Periodo Ref.]]="Dentro",IF(DATOS_[[Check Equiparado]:[Check Equiparado]]="Sí",IF(DATOS!BK$4="Sí",(1/DATOS_[[% anualiz]:[% anualiz]]),1)*IF(DATOS!BK$5="Sí",1/DATOS_[[% normaliz]:[% normaliz]],1)*(DATOS_[C.Extra.03])))))))), 0)</f>
        <v>0</v>
      </c>
      <c r="AS94" s="259" t="n">
        <f aca="false" t="array" ref="AS94:AS94">IFERROR( (MEDIAN((IF(DATOS_[[Sexo]:[Sexo]]=$B94,IF(DATOS_[[AGRUP. VALOR. PTO.]:[AGRUP. VALOR. PTO.]]=$B93,IF(DATOS_[[Check Periodo Ref.]:[Check Periodo Ref.]]="Dentro",IF(DATOS_[[Check Equiparado]:[Check Equiparado]]="Sí",IF(DATOS!BL$4="Sí",(1/DATOS_[[% anualiz]:[% anualiz]]),1)*IF(DATOS!BL$5="Sí",1/DATOS_[[% normaliz]:[% normaliz]],1)*(DATOS_[C.Extra.04])))))))), 0)</f>
        <v>0</v>
      </c>
      <c r="AT94" s="259" t="n">
        <f aca="false" t="array" ref="AT94:AT94">IFERROR( (MEDIAN((IF(DATOS_[[Sexo]:[Sexo]]=$B94,IF(DATOS_[[AGRUP. VALOR. PTO.]:[AGRUP. VALOR. PTO.]]=$B93,IF(DATOS_[[Check Periodo Ref.]:[Check Periodo Ref.]]="Dentro",IF(DATOS_[[Check Equiparado]:[Check Equiparado]]="Sí",IF(DATOS!BM$4="Sí",(1/DATOS_[[% anualiz]:[% anualiz]]),1)*IF(DATOS!BM$5="Sí",1/DATOS_[[% normaliz]:[% normaliz]],1)*(DATOS_[C.Extra.05])))))))), 0)</f>
        <v>0</v>
      </c>
      <c r="AU94" s="254" t="n">
        <f aca="false" t="array" ref="AU94:AU94">IFERROR( MEDIAN(IF(DATOS_[Sexo]=$B94,IF(DATOS_[[AGRUP. VALOR. PTO.]:[AGRUP. VALOR. PTO.]]=$B93,IF(DATOS_[Check Equiparado]="Sí",IF(DATOS_[Check Periodo Ref.]="Dentro",DATOS_[Tot Extrasalarial Eq],0))))), 0)</f>
        <v>0</v>
      </c>
      <c r="AV94" s="255" t="n">
        <f aca="false" t="array" ref="AV94:AV94">IFERROR( MEDIAN(IF(DATOS_[Sexo]=$B94,IF(DATOS_[[AGRUP. VALOR. PTO.]:[AGRUP. VALOR. PTO.]]=$B93,IF(DATOS_[Check Equiparado]="Sí",IF(DATOS_[Check Periodo Ref.]="Dentro",DATOS_[TOTAL Retrib Eq],0))))), 0)</f>
        <v>0</v>
      </c>
    </row>
    <row r="95" customFormat="false" ht="14.25" hidden="false" customHeight="false" outlineLevel="0" collapsed="false">
      <c r="A95" s="217" t="str">
        <f aca="false">+A94</f>
        <v>[ocultar]</v>
      </c>
      <c r="B95" s="323" t="s">
        <v>372</v>
      </c>
      <c r="C95" s="247" t="n">
        <f aca="false" t="array" ref="C95:C95">SUM(IF($B95=DATOS_[Sexo], IF($B93=DATOS_[AGRUP. VALOR. PTO.], IF("Dentro"=DATOS_[Check Periodo Ref.], 1/(COUNTIFS(DATOS_[Sexo],$B95,DATOS_[AGRUP. VALOR. PTO.],$B93,DATOS_[Check Periodo Ref.],"Dentro",DATOS_[id],DATOS_[id]))))))</f>
        <v>0</v>
      </c>
      <c r="D95" s="248" t="n">
        <f aca="false">COUNTIFS(DATOS_[AGRUP. VALOR. PTO.],$B93,DATOS_[Sexo],$B95,DATOS_[Check Periodo Ref.],"Dentro")</f>
        <v>0</v>
      </c>
      <c r="E95" s="248" t="n">
        <f aca="false">COUNTIFS(DATOS_[AGRUP. VALOR. PTO.],$B93,DATOS_[Sexo],$B95,DATOS_[Check Periodo Ref.],"Dentro",DATOS_[Check Nº SC Norm],"Sí")</f>
        <v>0</v>
      </c>
      <c r="F95" s="248" t="n">
        <f aca="false">COUNTIFS(DATOS_[AGRUP. VALOR. PTO.],$B93,DATOS_[Sexo],$B95,DATOS_[Check Periodo Ref.],"Dentro",DATOS_[Check Nº SC Anualiz],"Sí")</f>
        <v>0</v>
      </c>
      <c r="G95" s="248" t="n">
        <f aca="false">COUNTIFS(DATOS_[AGRUP. VALOR. PTO.],$B93,DATOS_[Sexo],$B95,DATOS_[Check Periodo Ref.],"Dentro",DATOS_[Check Nº SC Norm y Anualiz],"Sí")</f>
        <v>0</v>
      </c>
      <c r="H95" s="248" t="n">
        <f aca="false">COUNTIFS(DATOS_[AGRUP. VALOR. PTO.],$B93,DATOS_[Sexo],$B95,DATOS_[Check Periodo Ref.],"Dentro",DATOS_[Check Equiparación],"Sí")</f>
        <v>0</v>
      </c>
      <c r="I95" s="249" t="n">
        <f aca="false" t="array" ref="I95:I95">IFERROR( MEDIAN(IF(DATOS_[Sexo]=$B95,IF(DATOS_[[AGRUP. VALOR. PTO.]:[AGRUP. VALOR. PTO.]]=$B93,IF(DATOS_[Check Equiparado]="Sí",IF(DATOS_[Check Periodo Ref.]="Dentro",DATOS_[SALARIO BASE Eq],0))))), 0)</f>
        <v>0</v>
      </c>
      <c r="J95" s="250" t="n">
        <f aca="false" t="array" ref="J95:J95">IFERROR( (MEDIAN((IF(DATOS_[[Sexo]:[Sexo]]=$B95,IF(DATOS_[[AGRUP. VALOR. PTO.]:[AGRUP. VALOR. PTO.]]=$B93,IF(DATOS_[[Check Periodo Ref.]:[Check Periodo Ref.]]="Dentro",IF(DATOS_[[Check Equiparado]:[Check Equiparado]]="Sí",IF(DATOS!AE$4="Sí",(1/DATOS_[[% anualiz]:[% anualiz]]),1)*IF(DATOS!AE$5="Sí",1/DATOS_[[% normaliz]:[% normaliz]],1)*(DATOS_[Conc.Sal.01])))))))), 0)</f>
        <v>0</v>
      </c>
      <c r="K95" s="250" t="n">
        <f aca="false" t="array" ref="K95:K95">IFERROR( (MEDIAN((IF(DATOS_[[Sexo]:[Sexo]]=$B95,IF(DATOS_[[AGRUP. VALOR. PTO.]:[AGRUP. VALOR. PTO.]]=$B93,IF(DATOS_[[Check Periodo Ref.]:[Check Periodo Ref.]]="Dentro",IF(DATOS_[[Check Equiparado]:[Check Equiparado]]="Sí",IF(DATOS!AF$4="Sí",(1/DATOS_[[% anualiz]:[% anualiz]]),1)*IF(DATOS!AF$5="Sí",1/DATOS_[[% normaliz]:[% normaliz]],1)*(DATOS_[Conc.Sal.02])))))))), 0)</f>
        <v>0</v>
      </c>
      <c r="L95" s="250" t="n">
        <f aca="false" t="array" ref="L95:L95">IFERROR( (MEDIAN((IF(DATOS_[[Sexo]:[Sexo]]=$B95,IF(DATOS_[[AGRUP. VALOR. PTO.]:[AGRUP. VALOR. PTO.]]=$B93,IF(DATOS_[[Check Periodo Ref.]:[Check Periodo Ref.]]="Dentro",IF(DATOS_[[Check Equiparado]:[Check Equiparado]]="Sí",IF(DATOS!AG$4="Sí",(1/DATOS_[[% anualiz]:[% anualiz]]),1)*IF(DATOS!AG$5="Sí",1/DATOS_[[% normaliz]:[% normaliz]],1)*(DATOS_[Conc.Sal.03])))))))), 0)</f>
        <v>0</v>
      </c>
      <c r="M95" s="250" t="n">
        <f aca="false" t="array" ref="M95:M95">IFERROR( (MEDIAN((IF(DATOS_[[Sexo]:[Sexo]]=$B95,IF(DATOS_[[AGRUP. VALOR. PTO.]:[AGRUP. VALOR. PTO.]]=$B93,IF(DATOS_[[Check Periodo Ref.]:[Check Periodo Ref.]]="Dentro",IF(DATOS_[[Check Equiparado]:[Check Equiparado]]="Sí",IF(DATOS!AH$4="Sí",(1/DATOS_[[% anualiz]:[% anualiz]]),1)*IF(DATOS!AH$5="Sí",1/DATOS_[[% normaliz]:[% normaliz]],1)*(DATOS_[Conc.Sal.04])))))))), 0)</f>
        <v>0</v>
      </c>
      <c r="N95" s="250" t="n">
        <f aca="false" t="array" ref="N95:N95">IFERROR( (MEDIAN((IF(DATOS_[[Sexo]:[Sexo]]=$B95,IF(DATOS_[[AGRUP. VALOR. PTO.]:[AGRUP. VALOR. PTO.]]=$B93,IF(DATOS_[[Check Periodo Ref.]:[Check Periodo Ref.]]="Dentro",IF(DATOS_[[Check Equiparado]:[Check Equiparado]]="Sí",IF(DATOS!AI$4="Sí",(1/DATOS_[[% anualiz]:[% anualiz]]),1)*IF(DATOS!AI$5="Sí",1/DATOS_[[% normaliz]:[% normaliz]],1)*(DATOS_[Conc.Sal.05])))))))), 0)</f>
        <v>0</v>
      </c>
      <c r="O95" s="250" t="n">
        <f aca="false" t="array" ref="O95:O95">IFERROR( (MEDIAN((IF(DATOS_[[Sexo]:[Sexo]]=$B95,IF(DATOS_[[AGRUP. VALOR. PTO.]:[AGRUP. VALOR. PTO.]]=$B93,IF(DATOS_[[Check Periodo Ref.]:[Check Periodo Ref.]]="Dentro",IF(DATOS_[[Check Equiparado]:[Check Equiparado]]="Sí",IF(DATOS!AJ$4="Sí",(1/DATOS_[[% anualiz]:[% anualiz]]),1)*IF(DATOS!AJ$5="Sí",1/DATOS_[[% normaliz]:[% normaliz]],1)*(DATOS_[Conc.Sal.06])))))))), 0)</f>
        <v>0</v>
      </c>
      <c r="P95" s="250" t="n">
        <f aca="false" t="array" ref="P95:P95">IFERROR( (MEDIAN((IF(DATOS_[[Sexo]:[Sexo]]=$B95,IF(DATOS_[[AGRUP. VALOR. PTO.]:[AGRUP. VALOR. PTO.]]=$B93,IF(DATOS_[[Check Periodo Ref.]:[Check Periodo Ref.]]="Dentro",IF(DATOS_[[Check Equiparado]:[Check Equiparado]]="Sí",IF(DATOS!AK$4="Sí",(1/DATOS_[[% anualiz]:[% anualiz]]),1)*IF(DATOS!AK$5="Sí",1/DATOS_[[% normaliz]:[% normaliz]],1)*(DATOS_[Conc.Sal.07])))))))), 0)</f>
        <v>0</v>
      </c>
      <c r="Q95" s="250" t="n">
        <f aca="false" t="array" ref="Q95:Q95">IFERROR( (MEDIAN((IF(DATOS_[[Sexo]:[Sexo]]=$B95,IF(DATOS_[[AGRUP. VALOR. PTO.]:[AGRUP. VALOR. PTO.]]=$B93,IF(DATOS_[[Check Periodo Ref.]:[Check Periodo Ref.]]="Dentro",IF(DATOS_[[Check Equiparado]:[Check Equiparado]]="Sí",IF(DATOS!AL$4="Sí",(1/DATOS_[[% anualiz]:[% anualiz]]),1)*IF(DATOS!AL$5="Sí",1/DATOS_[[% normaliz]:[% normaliz]],1)*(DATOS_[Conc.Sal.08])))))))), 0)</f>
        <v>0</v>
      </c>
      <c r="R95" s="250" t="n">
        <f aca="false" t="array" ref="R95:R95">IFERROR( (MEDIAN((IF(DATOS_[[Sexo]:[Sexo]]=$B95,IF(DATOS_[[AGRUP. VALOR. PTO.]:[AGRUP. VALOR. PTO.]]=$B93,IF(DATOS_[[Check Periodo Ref.]:[Check Periodo Ref.]]="Dentro",IF(DATOS_[[Check Equiparado]:[Check Equiparado]]="Sí",IF(DATOS!AM$4="Sí",(1/DATOS_[[% anualiz]:[% anualiz]]),1)*IF(DATOS!AM$5="Sí",1/DATOS_[[% normaliz]:[% normaliz]],1)*(DATOS_[Conc.Sal.09])))))))), 0)</f>
        <v>0</v>
      </c>
      <c r="S95" s="250" t="n">
        <f aca="false" t="array" ref="S95:S95">IFERROR( (MEDIAN((IF(DATOS_[[Sexo]:[Sexo]]=$B95,IF(DATOS_[[AGRUP. VALOR. PTO.]:[AGRUP. VALOR. PTO.]]=$B93,IF(DATOS_[[Check Periodo Ref.]:[Check Periodo Ref.]]="Dentro",IF(DATOS_[[Check Equiparado]:[Check Equiparado]]="Sí",IF(DATOS!AN$4="Sí",(1/DATOS_[[% anualiz]:[% anualiz]]),1)*IF(DATOS!AN$5="Sí",1/DATOS_[[% normaliz]:[% normaliz]],1)*(DATOS_[Conc.Sal.10])))))))), 0)</f>
        <v>0</v>
      </c>
      <c r="T95" s="250" t="n">
        <f aca="false" t="array" ref="T95:T95">IFERROR( (MEDIAN((IF(DATOS_[[Sexo]:[Sexo]]=$B95,IF(DATOS_[[AGRUP. VALOR. PTO.]:[AGRUP. VALOR. PTO.]]=$B93,IF(DATOS_[[Check Periodo Ref.]:[Check Periodo Ref.]]="Dentro",IF(DATOS_[[Check Equiparado]:[Check Equiparado]]="Sí",IF(DATOS!AO$4="Sí",(1/DATOS_[[% anualiz]:[% anualiz]]),1)*IF(DATOS!AO$5="Sí",1/DATOS_[[% normaliz]:[% normaliz]],1)*(DATOS_[Conc.Sal.11])))))))), 0)</f>
        <v>0</v>
      </c>
      <c r="U95" s="250" t="n">
        <f aca="false" t="array" ref="U95:U95">IFERROR( (MEDIAN((IF(DATOS_[[Sexo]:[Sexo]]=$B95,IF(DATOS_[[AGRUP. VALOR. PTO.]:[AGRUP. VALOR. PTO.]]=$B93,IF(DATOS_[[Check Periodo Ref.]:[Check Periodo Ref.]]="Dentro",IF(DATOS_[[Check Equiparado]:[Check Equiparado]]="Sí",IF(DATOS!AP$4="Sí",(1/DATOS_[[% anualiz]:[% anualiz]]),1)*IF(DATOS!AP$5="Sí",1/DATOS_[[% normaliz]:[% normaliz]],1)*(DATOS_[Conc.Sal.12])))))))), 0)</f>
        <v>0</v>
      </c>
      <c r="V95" s="250" t="n">
        <f aca="false" t="array" ref="V95:V95">IFERROR( (MEDIAN((IF(DATOS_[[Sexo]:[Sexo]]=$B95,IF(DATOS_[[AGRUP. VALOR. PTO.]:[AGRUP. VALOR. PTO.]]=$B93,IF(DATOS_[[Check Periodo Ref.]:[Check Periodo Ref.]]="Dentro",IF(DATOS_[[Check Equiparado]:[Check Equiparado]]="Sí",IF(DATOS!AQ$4="Sí",(1/DATOS_[[% anualiz]:[% anualiz]]),1)*IF(DATOS!AQ$5="Sí",1/DATOS_[[% normaliz]:[% normaliz]],1)*(DATOS_[Conc.Sal.13])))))))), 0)</f>
        <v>0</v>
      </c>
      <c r="W95" s="250" t="n">
        <f aca="false" t="array" ref="W95:W95">IFERROR( (MEDIAN((IF(DATOS_[[Sexo]:[Sexo]]=$B95,IF(DATOS_[[AGRUP. VALOR. PTO.]:[AGRUP. VALOR. PTO.]]=$B93,IF(DATOS_[[Check Periodo Ref.]:[Check Periodo Ref.]]="Dentro",IF(DATOS_[[Check Equiparado]:[Check Equiparado]]="Sí",IF(DATOS!AR$4="Sí",(1/DATOS_[[% anualiz]:[% anualiz]]),1)*IF(DATOS!AR$5="Sí",1/DATOS_[[% normaliz]:[% normaliz]],1)*(DATOS_[Conc.Sal.14])))))))), 0)</f>
        <v>0</v>
      </c>
      <c r="X95" s="250" t="n">
        <f aca="false" t="array" ref="X95:X95">IFERROR( (MEDIAN((IF(DATOS_[[Sexo]:[Sexo]]=$B95,IF(DATOS_[[AGRUP. VALOR. PTO.]:[AGRUP. VALOR. PTO.]]=$B93,IF(DATOS_[[Check Periodo Ref.]:[Check Periodo Ref.]]="Dentro",IF(DATOS_[[Check Equiparado]:[Check Equiparado]]="Sí",IF(DATOS!AS$4="Sí",(1/DATOS_[[% anualiz]:[% anualiz]]),1)*IF(DATOS!AS$5="Sí",1/DATOS_[[% normaliz]:[% normaliz]],1)*(DATOS_[Conc.Sal.15])))))))), 0)</f>
        <v>0</v>
      </c>
      <c r="Y95" s="250" t="n">
        <f aca="false" t="array" ref="Y95:Y95">IFERROR( (MEDIAN((IF(DATOS_[[Sexo]:[Sexo]]=$B95,IF(DATOS_[[AGRUP. VALOR. PTO.]:[AGRUP. VALOR. PTO.]]=$B93,IF(DATOS_[[Check Periodo Ref.]:[Check Periodo Ref.]]="Dentro",IF(DATOS_[[Check Equiparado]:[Check Equiparado]]="Sí",IF(DATOS!AT$4="Sí",(1/DATOS_[[% anualiz]:[% anualiz]]),1)*IF(DATOS!AT$5="Sí",1/DATOS_[[% normaliz]:[% normaliz]],1)*(DATOS_[Conc.Sal.16])))))))), 0)</f>
        <v>0</v>
      </c>
      <c r="Z95" s="250" t="n">
        <f aca="false" t="array" ref="Z95:Z95">IFERROR( (MEDIAN((IF(DATOS_[[Sexo]:[Sexo]]=$B95,IF(DATOS_[[AGRUP. VALOR. PTO.]:[AGRUP. VALOR. PTO.]]=$B93,IF(DATOS_[[Check Periodo Ref.]:[Check Periodo Ref.]]="Dentro",IF(DATOS_[[Check Equiparado]:[Check Equiparado]]="Sí",IF(DATOS!AU$4="Sí",(1/DATOS_[[% anualiz]:[% anualiz]]),1)*IF(DATOS!AU$5="Sí",1/DATOS_[[% normaliz]:[% normaliz]],1)*(DATOS_[Conc.Sal.17])))))))), 0)</f>
        <v>0</v>
      </c>
      <c r="AA95" s="250" t="n">
        <f aca="false" t="array" ref="AA95:AA95">IFERROR( (MEDIAN((IF(DATOS_[[Sexo]:[Sexo]]=$B95,IF(DATOS_[[AGRUP. VALOR. PTO.]:[AGRUP. VALOR. PTO.]]=$B93,IF(DATOS_[[Check Periodo Ref.]:[Check Periodo Ref.]]="Dentro",IF(DATOS_[[Check Equiparado]:[Check Equiparado]]="Sí",IF(DATOS!AV$4="Sí",(1/DATOS_[[% anualiz]:[% anualiz]]),1)*IF(DATOS!AV$5="Sí",1/DATOS_[[% normaliz]:[% normaliz]],1)*(DATOS_[Conc.Sal.18])))))))), 0)</f>
        <v>0</v>
      </c>
      <c r="AB95" s="250" t="n">
        <f aca="false" t="array" ref="AB95:AB95">IFERROR( (MEDIAN((IF(DATOS_[[Sexo]:[Sexo]]=$B95,IF(DATOS_[[AGRUP. VALOR. PTO.]:[AGRUP. VALOR. PTO.]]=$B93,IF(DATOS_[[Check Periodo Ref.]:[Check Periodo Ref.]]="Dentro",IF(DATOS_[[Check Equiparado]:[Check Equiparado]]="Sí",IF(DATOS!AW$4="Sí",(1/DATOS_[[% anualiz]:[% anualiz]]),1)*IF(DATOS!AW$5="Sí",1/DATOS_[[% normaliz]:[% normaliz]],1)*(DATOS_[Conc.Sal.19])))))))), 0)</f>
        <v>0</v>
      </c>
      <c r="AC95" s="250" t="n">
        <f aca="false" t="array" ref="AC95:AC95">IFERROR( (MEDIAN((IF(DATOS_[[Sexo]:[Sexo]]=$B95,IF(DATOS_[[AGRUP. VALOR. PTO.]:[AGRUP. VALOR. PTO.]]=$B93,IF(DATOS_[[Check Periodo Ref.]:[Check Periodo Ref.]]="Dentro",IF(DATOS_[[Check Equiparado]:[Check Equiparado]]="Sí",IF(DATOS!AX$4="Sí",(1/DATOS_[[% anualiz]:[% anualiz]]),1)*IF(DATOS!AX$5="Sí",1/DATOS_[[% normaliz]:[% normaliz]],1)*(DATOS_[Conc.Sal.20])))))))), 0)</f>
        <v>0</v>
      </c>
      <c r="AD95" s="250" t="n">
        <f aca="false" t="array" ref="AD95:AD95">IFERROR( (MEDIAN((IF(DATOS_[[Sexo]:[Sexo]]=$B95,IF(DATOS_[[AGRUP. VALOR. PTO.]:[AGRUP. VALOR. PTO.]]=$B93,IF(DATOS_[[Check Periodo Ref.]:[Check Periodo Ref.]]="Dentro",IF(DATOS_[[Check Equiparado]:[Check Equiparado]]="Sí",IF(DATOS!AY$4="Sí",(1/DATOS_[[% anualiz]:[% anualiz]]),1)*IF(DATOS!AY$5="Sí",1/DATOS_[[% normaliz]:[% normaliz]],1)*(DATOS_[Conc.Sal.21])))))))), 0)</f>
        <v>0</v>
      </c>
      <c r="AE95" s="250" t="n">
        <f aca="false" t="array" ref="AE95:AE95">IFERROR( (MEDIAN((IF(DATOS_[[Sexo]:[Sexo]]=$B95,IF(DATOS_[[AGRUP. VALOR. PTO.]:[AGRUP. VALOR. PTO.]]=$B93,IF(DATOS_[[Check Periodo Ref.]:[Check Periodo Ref.]]="Dentro",IF(DATOS_[[Check Equiparado]:[Check Equiparado]]="Sí",IF(DATOS!AZ$4="Sí",(1/DATOS_[[% anualiz]:[% anualiz]]),1)*IF(DATOS!AZ$5="Sí",1/DATOS_[[% normaliz]:[% normaliz]],1)*(DATOS_[Conc.Sal.22])))))))), 0)</f>
        <v>0</v>
      </c>
      <c r="AF95" s="250" t="n">
        <f aca="false" t="array" ref="AF95:AF95">IFERROR( (MEDIAN((IF(DATOS_[[Sexo]:[Sexo]]=$B95,IF(DATOS_[[AGRUP. VALOR. PTO.]:[AGRUP. VALOR. PTO.]]=$B93,IF(DATOS_[[Check Periodo Ref.]:[Check Periodo Ref.]]="Dentro",IF(DATOS_[[Check Equiparado]:[Check Equiparado]]="Sí",IF(DATOS!BA$4="Sí",(1/DATOS_[[% anualiz]:[% anualiz]]),1)*IF(DATOS!BA$5="Sí",1/DATOS_[[% normaliz]:[% normaliz]],1)*(DATOS_[Conc.Sal.23])))))))), 0)</f>
        <v>0</v>
      </c>
      <c r="AG95" s="250" t="n">
        <f aca="false" t="array" ref="AG95:AG95">IFERROR( (MEDIAN((IF(DATOS_[[Sexo]:[Sexo]]=$B95,IF(DATOS_[[AGRUP. VALOR. PTO.]:[AGRUP. VALOR. PTO.]]=$B93,IF(DATOS_[[Check Periodo Ref.]:[Check Periodo Ref.]]="Dentro",IF(DATOS_[[Check Equiparado]:[Check Equiparado]]="Sí",IF(DATOS!BB$4="Sí",(1/DATOS_[[% anualiz]:[% anualiz]]),1)*IF(DATOS!BB$5="Sí",1/DATOS_[[% normaliz]:[% normaliz]],1)*(DATOS_[Conc.Sal.24])))))))), 0)</f>
        <v>0</v>
      </c>
      <c r="AH95" s="250" t="n">
        <f aca="false" t="array" ref="AH95:AH95">IFERROR( (MEDIAN((IF(DATOS_[[Sexo]:[Sexo]]=$B95,IF(DATOS_[[AGRUP. VALOR. PTO.]:[AGRUP. VALOR. PTO.]]=$B93,IF(DATOS_[[Check Periodo Ref.]:[Check Periodo Ref.]]="Dentro",IF(DATOS_[[Check Equiparado]:[Check Equiparado]]="Sí",IF(DATOS!BC$4="Sí",(1/DATOS_[[% anualiz]:[% anualiz]]),1)*IF(DATOS!BC$5="Sí",1/DATOS_[[% normaliz]:[% normaliz]],1)*(DATOS_[Conc.Sal.25])))))))), 0)</f>
        <v>0</v>
      </c>
      <c r="AI95" s="250" t="n">
        <f aca="false" t="array" ref="AI95:AI95">IFERROR( (MEDIAN((IF(DATOS_[[Sexo]:[Sexo]]=$B95,IF(DATOS_[[AGRUP. VALOR. PTO.]:[AGRUP. VALOR. PTO.]]=$B93,IF(DATOS_[[Check Periodo Ref.]:[Check Periodo Ref.]]="Dentro",IF(DATOS_[[Check Equiparado]:[Check Equiparado]]="Sí",IF(DATOS!BD$4="Sí",(1/DATOS_[[% anualiz]:[% anualiz]]),1)*IF(DATOS!BD$5="Sí",1/DATOS_[[% normaliz]:[% normaliz]],1)*(DATOS_[Conc.Sal.26])))))))), 0)</f>
        <v>0</v>
      </c>
      <c r="AJ95" s="250" t="n">
        <f aca="false" t="array" ref="AJ95:AJ95">IFERROR( (MEDIAN((IF(DATOS_[[Sexo]:[Sexo]]=$B95,IF(DATOS_[[AGRUP. VALOR. PTO.]:[AGRUP. VALOR. PTO.]]=$B93,IF(DATOS_[[Check Periodo Ref.]:[Check Periodo Ref.]]="Dentro",IF(DATOS_[[Check Equiparado]:[Check Equiparado]]="Sí",IF(DATOS!BE$4="Sí",(1/DATOS_[[% anualiz]:[% anualiz]]),1)*IF(DATOS!BE$5="Sí",1/DATOS_[[% normaliz]:[% normaliz]],1)*(DATOS_[Conc.Sal.27])))))))), 0)</f>
        <v>0</v>
      </c>
      <c r="AK95" s="250" t="n">
        <f aca="false" t="array" ref="AK95:AK95">IFERROR( (MEDIAN((IF(DATOS_[[Sexo]:[Sexo]]=$B95,IF(DATOS_[[AGRUP. VALOR. PTO.]:[AGRUP. VALOR. PTO.]]=$B93,IF(DATOS_[[Check Periodo Ref.]:[Check Periodo Ref.]]="Dentro",IF(DATOS_[[Check Equiparado]:[Check Equiparado]]="Sí",IF(DATOS!BF$4="Sí",(1/DATOS_[[% anualiz]:[% anualiz]]),1)*IF(DATOS!BF$5="Sí",1/DATOS_[[% normaliz]:[% normaliz]],1)*(DATOS_[Conc.Sal.28])))))))), 0)</f>
        <v>0</v>
      </c>
      <c r="AL95" s="250" t="n">
        <f aca="false" t="array" ref="AL95:AL95">IFERROR( (MEDIAN((IF(DATOS_[[Sexo]:[Sexo]]=$B95,IF(DATOS_[[AGRUP. VALOR. PTO.]:[AGRUP. VALOR. PTO.]]=$B93,IF(DATOS_[[Check Periodo Ref.]:[Check Periodo Ref.]]="Dentro",IF(DATOS_[[Check Equiparado]:[Check Equiparado]]="Sí",IF(DATOS!BG$4="Sí",(1/DATOS_[[% anualiz]:[% anualiz]]),1)*IF(DATOS!BG$5="Sí",1/DATOS_[[% normaliz]:[% normaliz]],1)*(DATOS_[Conc.Sal.29])))))))), 0)</f>
        <v>0</v>
      </c>
      <c r="AM95" s="250" t="n">
        <f aca="false" t="array" ref="AM95:AM95">IFERROR( (MEDIAN((IF(DATOS_[[Sexo]:[Sexo]]=$B95,IF(DATOS_[[AGRUP. VALOR. PTO.]:[AGRUP. VALOR. PTO.]]=$B93,IF(DATOS_[[Check Periodo Ref.]:[Check Periodo Ref.]]="Dentro",IF(DATOS_[[Check Equiparado]:[Check Equiparado]]="Sí",IF(DATOS!BH$4="Sí",(1/DATOS_[[% anualiz]:[% anualiz]]),1)*IF(DATOS!BH$5="Sí",1/DATOS_[[% normaliz]:[% normaliz]],1)*(DATOS_[Conc.Sal.30])))))))), 0)</f>
        <v>0</v>
      </c>
      <c r="AN95" s="251" t="n">
        <f aca="false" t="array" ref="AN95:AN95">IFERROR( MEDIAN(IF(DATOS_[Sexo]=$B95,IF(DATOS_[[AGRUP. VALOR. PTO.]:[AGRUP. VALOR. PTO.]]=$B93,IF(DATOS_[Check Equiparado]="Sí",IF(DATOS_[Check Periodo Ref.]="Dentro",DATOS_[Tot COMPL.SAL Eq],0))))), 0)</f>
        <v>0</v>
      </c>
      <c r="AO95" s="252" t="n">
        <f aca="false" t="array" ref="AO95:AO95">IFERROR( MEDIAN(IF(DATOS_[Sexo]=$B95,IF(DATOS_[[AGRUP. VALOR. PTO.]:[AGRUP. VALOR. PTO.]]=$B93,IF(DATOS_[Check Equiparado]="Sí",IF(DATOS_[Check Periodo Ref.]="Dentro",DATOS_[TOTAL SALARIO Eq],0))))), 0)</f>
        <v>0</v>
      </c>
      <c r="AP95" s="259" t="n">
        <f aca="false" t="array" ref="AP95:AP95">IFERROR( (MEDIAN((IF(DATOS_[[Sexo]:[Sexo]]=$B95,IF(DATOS_[[AGRUP. VALOR. PTO.]:[AGRUP. VALOR. PTO.]]=$B94,IF(DATOS_[[Check Periodo Ref.]:[Check Periodo Ref.]]="Dentro",IF(DATOS_[[Check Equiparado]:[Check Equiparado]]="Sí",IF(DATOS!BI$4="Sí",(1/DATOS_[[% anualiz]:[% anualiz]]),1)*IF(DATOS!BI$5="Sí",1/DATOS_[[% normaliz]:[% normaliz]],1)*(DATOS_[C.Extra.01])))))))), 0)</f>
        <v>0</v>
      </c>
      <c r="AQ95" s="259" t="n">
        <f aca="false" t="array" ref="AQ95:AQ95">IFERROR( (MEDIAN((IF(DATOS_[[Sexo]:[Sexo]]=$B95,IF(DATOS_[[AGRUP. VALOR. PTO.]:[AGRUP. VALOR. PTO.]]=$B94,IF(DATOS_[[Check Periodo Ref.]:[Check Periodo Ref.]]="Dentro",IF(DATOS_[[Check Equiparado]:[Check Equiparado]]="Sí",IF(DATOS!BJ$4="Sí",(1/DATOS_[[% anualiz]:[% anualiz]]),1)*IF(DATOS!BJ$5="Sí",1/DATOS_[[% normaliz]:[% normaliz]],1)*(DATOS_[C.Extra.02])))))))), 0)</f>
        <v>0</v>
      </c>
      <c r="AR95" s="259" t="n">
        <f aca="false" t="array" ref="AR95:AR95">IFERROR( (MEDIAN((IF(DATOS_[[Sexo]:[Sexo]]=$B95,IF(DATOS_[[AGRUP. VALOR. PTO.]:[AGRUP. VALOR. PTO.]]=$B94,IF(DATOS_[[Check Periodo Ref.]:[Check Periodo Ref.]]="Dentro",IF(DATOS_[[Check Equiparado]:[Check Equiparado]]="Sí",IF(DATOS!BK$4="Sí",(1/DATOS_[[% anualiz]:[% anualiz]]),1)*IF(DATOS!BK$5="Sí",1/DATOS_[[% normaliz]:[% normaliz]],1)*(DATOS_[C.Extra.03])))))))), 0)</f>
        <v>0</v>
      </c>
      <c r="AS95" s="259" t="n">
        <f aca="false" t="array" ref="AS95:AS95">IFERROR( (MEDIAN((IF(DATOS_[[Sexo]:[Sexo]]=$B95,IF(DATOS_[[AGRUP. VALOR. PTO.]:[AGRUP. VALOR. PTO.]]=$B94,IF(DATOS_[[Check Periodo Ref.]:[Check Periodo Ref.]]="Dentro",IF(DATOS_[[Check Equiparado]:[Check Equiparado]]="Sí",IF(DATOS!BL$4="Sí",(1/DATOS_[[% anualiz]:[% anualiz]]),1)*IF(DATOS!BL$5="Sí",1/DATOS_[[% normaliz]:[% normaliz]],1)*(DATOS_[C.Extra.04])))))))), 0)</f>
        <v>0</v>
      </c>
      <c r="AT95" s="259" t="n">
        <f aca="false" t="array" ref="AT95:AT95">IFERROR( (MEDIAN((IF(DATOS_[[Sexo]:[Sexo]]=$B95,IF(DATOS_[[AGRUP. VALOR. PTO.]:[AGRUP. VALOR. PTO.]]=$B94,IF(DATOS_[[Check Periodo Ref.]:[Check Periodo Ref.]]="Dentro",IF(DATOS_[[Check Equiparado]:[Check Equiparado]]="Sí",IF(DATOS!BM$4="Sí",(1/DATOS_[[% anualiz]:[% anualiz]]),1)*IF(DATOS!BM$5="Sí",1/DATOS_[[% normaliz]:[% normaliz]],1)*(DATOS_[C.Extra.05])))))))), 0)</f>
        <v>0</v>
      </c>
      <c r="AU95" s="254" t="n">
        <f aca="false" t="array" ref="AU95:AU95">IFERROR( MEDIAN(IF(DATOS_[Sexo]=$B95,IF(DATOS_[[AGRUP. VALOR. PTO.]:[AGRUP. VALOR. PTO.]]=$B93,IF(DATOS_[Check Equiparado]="Sí",IF(DATOS_[Check Periodo Ref.]="Dentro",DATOS_[Tot Extrasalarial Eq],0))))), 0)</f>
        <v>0</v>
      </c>
      <c r="AV95" s="255" t="n">
        <f aca="false" t="array" ref="AV95:AV95">IFERROR( MEDIAN(IF(DATOS_[Sexo]=$B95,IF(DATOS_[[AGRUP. VALOR. PTO.]:[AGRUP. VALOR. PTO.]]=$B93,IF(DATOS_[Check Equiparado]="Sí",IF(DATOS_[Check Periodo Ref.]="Dentro",DATOS_[TOTAL Retrib Eq],0))))), 0)</f>
        <v>0</v>
      </c>
    </row>
    <row r="96" customFormat="false" ht="15.75" hidden="false" customHeight="false" outlineLevel="0" collapsed="false">
      <c r="A96" s="217" t="str">
        <f aca="false">+A97</f>
        <v>[ocultar]</v>
      </c>
      <c r="B96" s="320" t="s">
        <v>250</v>
      </c>
      <c r="C96" s="236"/>
      <c r="D96" s="237"/>
      <c r="E96" s="237"/>
      <c r="F96" s="237"/>
      <c r="G96" s="237"/>
      <c r="H96" s="237"/>
      <c r="I96" s="238" t="str">
        <f aca="false">IFERROR((I97-I98)/I97,"")</f>
        <v/>
      </c>
      <c r="J96" s="239" t="str">
        <f aca="false">IFERROR((J97-J98)/J97,"")</f>
        <v/>
      </c>
      <c r="K96" s="239" t="str">
        <f aca="false">IFERROR((K97-K98)/K97,"")</f>
        <v/>
      </c>
      <c r="L96" s="239" t="str">
        <f aca="false">IFERROR((L97-L98)/L97,"")</f>
        <v/>
      </c>
      <c r="M96" s="239" t="str">
        <f aca="false">IFERROR((M97-M98)/M97,"")</f>
        <v/>
      </c>
      <c r="N96" s="239" t="str">
        <f aca="false">IFERROR((N97-N98)/N97,"")</f>
        <v/>
      </c>
      <c r="O96" s="239" t="str">
        <f aca="false">IFERROR((O97-O98)/O97,"")</f>
        <v/>
      </c>
      <c r="P96" s="239" t="str">
        <f aca="false">IFERROR((P97-P98)/P97,"")</f>
        <v/>
      </c>
      <c r="Q96" s="239" t="str">
        <f aca="false">IFERROR((Q97-Q98)/Q97,"")</f>
        <v/>
      </c>
      <c r="R96" s="239" t="str">
        <f aca="false">IFERROR((R97-R98)/R97,"")</f>
        <v/>
      </c>
      <c r="S96" s="239" t="str">
        <f aca="false">IFERROR((S97-S98)/S97,"")</f>
        <v/>
      </c>
      <c r="T96" s="239" t="str">
        <f aca="false">IFERROR((T97-T98)/T97,"")</f>
        <v/>
      </c>
      <c r="U96" s="239" t="str">
        <f aca="false">IFERROR((U97-U98)/U97,"")</f>
        <v/>
      </c>
      <c r="V96" s="239" t="str">
        <f aca="false">IFERROR((V97-V98)/V97,"")</f>
        <v/>
      </c>
      <c r="W96" s="239" t="str">
        <f aca="false">IFERROR((W97-W98)/W97,"")</f>
        <v/>
      </c>
      <c r="X96" s="239" t="str">
        <f aca="false">IFERROR((X97-X98)/X97,"")</f>
        <v/>
      </c>
      <c r="Y96" s="239" t="str">
        <f aca="false">IFERROR((Y97-Y98)/Y97,"")</f>
        <v/>
      </c>
      <c r="Z96" s="240" t="str">
        <f aca="false">IFERROR((Z97-Z98)/Z97,"")</f>
        <v/>
      </c>
      <c r="AA96" s="240" t="str">
        <f aca="false">IFERROR((AA97-AA98)/AA97,"")</f>
        <v/>
      </c>
      <c r="AB96" s="240" t="str">
        <f aca="false">IFERROR((AB97-AB98)/AB97,"")</f>
        <v/>
      </c>
      <c r="AC96" s="240" t="str">
        <f aca="false">IFERROR((AC97-AC98)/AC97,"")</f>
        <v/>
      </c>
      <c r="AD96" s="240" t="str">
        <f aca="false">IFERROR((AD97-AD98)/AD97,"")</f>
        <v/>
      </c>
      <c r="AE96" s="240" t="str">
        <f aca="false">IFERROR((AE97-AE98)/AE97,"")</f>
        <v/>
      </c>
      <c r="AF96" s="240" t="str">
        <f aca="false">IFERROR((AF97-AF98)/AF97,"")</f>
        <v/>
      </c>
      <c r="AG96" s="240" t="str">
        <f aca="false">IFERROR((AG97-AG98)/AG97,"")</f>
        <v/>
      </c>
      <c r="AH96" s="240" t="str">
        <f aca="false">IFERROR((AH97-AH98)/AH97,"")</f>
        <v/>
      </c>
      <c r="AI96" s="240" t="str">
        <f aca="false">IFERROR((AI97-AI98)/AI97,"")</f>
        <v/>
      </c>
      <c r="AJ96" s="240" t="str">
        <f aca="false">IFERROR((AJ97-AJ98)/AJ97,"")</f>
        <v/>
      </c>
      <c r="AK96" s="240" t="str">
        <f aca="false">IFERROR((AK97-AK98)/AK97,"")</f>
        <v/>
      </c>
      <c r="AL96" s="240" t="str">
        <f aca="false">IFERROR((AL97-AL98)/AL97,"")</f>
        <v/>
      </c>
      <c r="AM96" s="240" t="str">
        <f aca="false">IFERROR((AM97-AM98)/AM97,"")</f>
        <v/>
      </c>
      <c r="AN96" s="241" t="str">
        <f aca="false">IFERROR((AN97-AN98)/AN97,"")</f>
        <v/>
      </c>
      <c r="AO96" s="242" t="str">
        <f aca="false">IFERROR((AO97-AO98)/AO97,"")</f>
        <v/>
      </c>
      <c r="AP96" s="243" t="str">
        <f aca="false">IFERROR((AP97-AP98)/AP97,"")</f>
        <v/>
      </c>
      <c r="AQ96" s="243" t="str">
        <f aca="false">IFERROR((AQ97-AQ98)/AQ97,"")</f>
        <v/>
      </c>
      <c r="AR96" s="243" t="str">
        <f aca="false">IFERROR((AR97-AR98)/AR97,"")</f>
        <v/>
      </c>
      <c r="AS96" s="243" t="str">
        <f aca="false">IFERROR((AS97-AS98)/AS97,"")</f>
        <v/>
      </c>
      <c r="AT96" s="243" t="str">
        <f aca="false">IFERROR((AT97-AT98)/AT97,"")</f>
        <v/>
      </c>
      <c r="AU96" s="244" t="str">
        <f aca="false">IFERROR((AU97-AU98)/AU97,"")</f>
        <v/>
      </c>
      <c r="AV96" s="245" t="str">
        <f aca="false">IFERROR((AV97-AV98)/AV97,"")</f>
        <v/>
      </c>
    </row>
    <row r="97" customFormat="false" ht="14.25" hidden="false" customHeight="false" outlineLevel="0" collapsed="false">
      <c r="A97" s="217" t="str">
        <f aca="false">+IF(C97+C98=0,"[ocultar]","")</f>
        <v>[ocultar]</v>
      </c>
      <c r="B97" s="323" t="s">
        <v>371</v>
      </c>
      <c r="C97" s="247" t="n">
        <f aca="false" t="array" ref="C97:C97">SUM(IF($B97=DATOS_[Sexo], IF($B96=DATOS_[AGRUP. VALOR. PTO.], IF("Dentro"=DATOS_[Check Periodo Ref.], 1/(COUNTIFS(DATOS_[Sexo],$B97,DATOS_[AGRUP. VALOR. PTO.],$B96,DATOS_[Check Periodo Ref.],"Dentro",DATOS_[id],DATOS_[id]))))))</f>
        <v>0</v>
      </c>
      <c r="D97" s="248" t="n">
        <f aca="false">COUNTIFS(DATOS_[AGRUP. VALOR. PTO.],$B96,DATOS_[Sexo],$B97,DATOS_[Check Periodo Ref.],"Dentro")</f>
        <v>0</v>
      </c>
      <c r="E97" s="248" t="n">
        <f aca="false">COUNTIFS(DATOS_[AGRUP. VALOR. PTO.],$B96,DATOS_[Sexo],$B97,DATOS_[Check Periodo Ref.],"Dentro",DATOS_[Check Nº SC Norm],"Sí")</f>
        <v>0</v>
      </c>
      <c r="F97" s="248" t="n">
        <f aca="false">COUNTIFS(DATOS_[AGRUP. VALOR. PTO.],$B96,DATOS_[Sexo],$B97,DATOS_[Check Periodo Ref.],"Dentro",DATOS_[Check Nº SC Anualiz],"Sí")</f>
        <v>0</v>
      </c>
      <c r="G97" s="248" t="n">
        <f aca="false">COUNTIFS(DATOS_[AGRUP. VALOR. PTO.],$B96,DATOS_[Sexo],$B97,DATOS_[Check Periodo Ref.],"Dentro",DATOS_[Check Nº SC Norm y Anualiz],"Sí")</f>
        <v>0</v>
      </c>
      <c r="H97" s="248" t="n">
        <f aca="false">COUNTIFS(DATOS_[AGRUP. VALOR. PTO.],$B96,DATOS_[Sexo],$B97,DATOS_[Check Periodo Ref.],"Dentro",DATOS_[Check Equiparación],"Sí")</f>
        <v>0</v>
      </c>
      <c r="I97" s="249" t="n">
        <f aca="false" t="array" ref="I97:I97">IFERROR( MEDIAN(IF(DATOS_[Sexo]=$B97,IF(DATOS_[[AGRUP. VALOR. PTO.]:[AGRUP. VALOR. PTO.]]=$B96,IF(DATOS_[Check Equiparado]="Sí",IF(DATOS_[Check Periodo Ref.]="Dentro",DATOS_[SALARIO BASE Eq],0))))), 0)</f>
        <v>0</v>
      </c>
      <c r="J97" s="250" t="n">
        <f aca="false" t="array" ref="J97:J97">IFERROR( (MEDIAN((IF(DATOS_[[Sexo]:[Sexo]]=$B97,IF(DATOS_[[AGRUP. VALOR. PTO.]:[AGRUP. VALOR. PTO.]]=$B96,IF(DATOS_[[Check Periodo Ref.]:[Check Periodo Ref.]]="Dentro",IF(DATOS_[[Check Equiparado]:[Check Equiparado]]="Sí",IF(DATOS!AE$4="Sí",(1/DATOS_[[% anualiz]:[% anualiz]]),1)*IF(DATOS!AE$5="Sí",1/DATOS_[[% normaliz]:[% normaliz]],1)*(DATOS_[Conc.Sal.01])))))))), 0)</f>
        <v>0</v>
      </c>
      <c r="K97" s="250" t="n">
        <f aca="false" t="array" ref="K97:K97">IFERROR( (MEDIAN((IF(DATOS_[[Sexo]:[Sexo]]=$B97,IF(DATOS_[[AGRUP. VALOR. PTO.]:[AGRUP. VALOR. PTO.]]=$B96,IF(DATOS_[[Check Periodo Ref.]:[Check Periodo Ref.]]="Dentro",IF(DATOS_[[Check Equiparado]:[Check Equiparado]]="Sí",IF(DATOS!AF$4="Sí",(1/DATOS_[[% anualiz]:[% anualiz]]),1)*IF(DATOS!AF$5="Sí",1/DATOS_[[% normaliz]:[% normaliz]],1)*(DATOS_[Conc.Sal.02])))))))), 0)</f>
        <v>0</v>
      </c>
      <c r="L97" s="250" t="n">
        <f aca="false" t="array" ref="L97:L97">IFERROR( (MEDIAN((IF(DATOS_[[Sexo]:[Sexo]]=$B97,IF(DATOS_[[AGRUP. VALOR. PTO.]:[AGRUP. VALOR. PTO.]]=$B96,IF(DATOS_[[Check Periodo Ref.]:[Check Periodo Ref.]]="Dentro",IF(DATOS_[[Check Equiparado]:[Check Equiparado]]="Sí",IF(DATOS!AG$4="Sí",(1/DATOS_[[% anualiz]:[% anualiz]]),1)*IF(DATOS!AG$5="Sí",1/DATOS_[[% normaliz]:[% normaliz]],1)*(DATOS_[Conc.Sal.03])))))))), 0)</f>
        <v>0</v>
      </c>
      <c r="M97" s="250" t="n">
        <f aca="false" t="array" ref="M97:M97">IFERROR( (MEDIAN((IF(DATOS_[[Sexo]:[Sexo]]=$B97,IF(DATOS_[[AGRUP. VALOR. PTO.]:[AGRUP. VALOR. PTO.]]=$B96,IF(DATOS_[[Check Periodo Ref.]:[Check Periodo Ref.]]="Dentro",IF(DATOS_[[Check Equiparado]:[Check Equiparado]]="Sí",IF(DATOS!AH$4="Sí",(1/DATOS_[[% anualiz]:[% anualiz]]),1)*IF(DATOS!AH$5="Sí",1/DATOS_[[% normaliz]:[% normaliz]],1)*(DATOS_[Conc.Sal.04])))))))), 0)</f>
        <v>0</v>
      </c>
      <c r="N97" s="250" t="n">
        <f aca="false" t="array" ref="N97:N97">IFERROR( (MEDIAN((IF(DATOS_[[Sexo]:[Sexo]]=$B97,IF(DATOS_[[AGRUP. VALOR. PTO.]:[AGRUP. VALOR. PTO.]]=$B96,IF(DATOS_[[Check Periodo Ref.]:[Check Periodo Ref.]]="Dentro",IF(DATOS_[[Check Equiparado]:[Check Equiparado]]="Sí",IF(DATOS!AI$4="Sí",(1/DATOS_[[% anualiz]:[% anualiz]]),1)*IF(DATOS!AI$5="Sí",1/DATOS_[[% normaliz]:[% normaliz]],1)*(DATOS_[Conc.Sal.05])))))))), 0)</f>
        <v>0</v>
      </c>
      <c r="O97" s="250" t="n">
        <f aca="false" t="array" ref="O97:O97">IFERROR( (MEDIAN((IF(DATOS_[[Sexo]:[Sexo]]=$B97,IF(DATOS_[[AGRUP. VALOR. PTO.]:[AGRUP. VALOR. PTO.]]=$B96,IF(DATOS_[[Check Periodo Ref.]:[Check Periodo Ref.]]="Dentro",IF(DATOS_[[Check Equiparado]:[Check Equiparado]]="Sí",IF(DATOS!AJ$4="Sí",(1/DATOS_[[% anualiz]:[% anualiz]]),1)*IF(DATOS!AJ$5="Sí",1/DATOS_[[% normaliz]:[% normaliz]],1)*(DATOS_[Conc.Sal.06])))))))), 0)</f>
        <v>0</v>
      </c>
      <c r="P97" s="250" t="n">
        <f aca="false" t="array" ref="P97:P97">IFERROR( (MEDIAN((IF(DATOS_[[Sexo]:[Sexo]]=$B97,IF(DATOS_[[AGRUP. VALOR. PTO.]:[AGRUP. VALOR. PTO.]]=$B96,IF(DATOS_[[Check Periodo Ref.]:[Check Periodo Ref.]]="Dentro",IF(DATOS_[[Check Equiparado]:[Check Equiparado]]="Sí",IF(DATOS!AK$4="Sí",(1/DATOS_[[% anualiz]:[% anualiz]]),1)*IF(DATOS!AK$5="Sí",1/DATOS_[[% normaliz]:[% normaliz]],1)*(DATOS_[Conc.Sal.07])))))))), 0)</f>
        <v>0</v>
      </c>
      <c r="Q97" s="250" t="n">
        <f aca="false" t="array" ref="Q97:Q97">IFERROR( (MEDIAN((IF(DATOS_[[Sexo]:[Sexo]]=$B97,IF(DATOS_[[AGRUP. VALOR. PTO.]:[AGRUP. VALOR. PTO.]]=$B96,IF(DATOS_[[Check Periodo Ref.]:[Check Periodo Ref.]]="Dentro",IF(DATOS_[[Check Equiparado]:[Check Equiparado]]="Sí",IF(DATOS!AL$4="Sí",(1/DATOS_[[% anualiz]:[% anualiz]]),1)*IF(DATOS!AL$5="Sí",1/DATOS_[[% normaliz]:[% normaliz]],1)*(DATOS_[Conc.Sal.08])))))))), 0)</f>
        <v>0</v>
      </c>
      <c r="R97" s="250" t="n">
        <f aca="false" t="array" ref="R97:R97">IFERROR( (MEDIAN((IF(DATOS_[[Sexo]:[Sexo]]=$B97,IF(DATOS_[[AGRUP. VALOR. PTO.]:[AGRUP. VALOR. PTO.]]=$B96,IF(DATOS_[[Check Periodo Ref.]:[Check Periodo Ref.]]="Dentro",IF(DATOS_[[Check Equiparado]:[Check Equiparado]]="Sí",IF(DATOS!AM$4="Sí",(1/DATOS_[[% anualiz]:[% anualiz]]),1)*IF(DATOS!AM$5="Sí",1/DATOS_[[% normaliz]:[% normaliz]],1)*(DATOS_[Conc.Sal.09])))))))), 0)</f>
        <v>0</v>
      </c>
      <c r="S97" s="250" t="n">
        <f aca="false" t="array" ref="S97:S97">IFERROR( (MEDIAN((IF(DATOS_[[Sexo]:[Sexo]]=$B97,IF(DATOS_[[AGRUP. VALOR. PTO.]:[AGRUP. VALOR. PTO.]]=$B96,IF(DATOS_[[Check Periodo Ref.]:[Check Periodo Ref.]]="Dentro",IF(DATOS_[[Check Equiparado]:[Check Equiparado]]="Sí",IF(DATOS!AN$4="Sí",(1/DATOS_[[% anualiz]:[% anualiz]]),1)*IF(DATOS!AN$5="Sí",1/DATOS_[[% normaliz]:[% normaliz]],1)*(DATOS_[Conc.Sal.10])))))))), 0)</f>
        <v>0</v>
      </c>
      <c r="T97" s="250" t="n">
        <f aca="false" t="array" ref="T97:T97">IFERROR( (MEDIAN((IF(DATOS_[[Sexo]:[Sexo]]=$B97,IF(DATOS_[[AGRUP. VALOR. PTO.]:[AGRUP. VALOR. PTO.]]=$B96,IF(DATOS_[[Check Periodo Ref.]:[Check Periodo Ref.]]="Dentro",IF(DATOS_[[Check Equiparado]:[Check Equiparado]]="Sí",IF(DATOS!AO$4="Sí",(1/DATOS_[[% anualiz]:[% anualiz]]),1)*IF(DATOS!AO$5="Sí",1/DATOS_[[% normaliz]:[% normaliz]],1)*(DATOS_[Conc.Sal.11])))))))), 0)</f>
        <v>0</v>
      </c>
      <c r="U97" s="250" t="n">
        <f aca="false" t="array" ref="U97:U97">IFERROR( (MEDIAN((IF(DATOS_[[Sexo]:[Sexo]]=$B97,IF(DATOS_[[AGRUP. VALOR. PTO.]:[AGRUP. VALOR. PTO.]]=$B96,IF(DATOS_[[Check Periodo Ref.]:[Check Periodo Ref.]]="Dentro",IF(DATOS_[[Check Equiparado]:[Check Equiparado]]="Sí",IF(DATOS!AP$4="Sí",(1/DATOS_[[% anualiz]:[% anualiz]]),1)*IF(DATOS!AP$5="Sí",1/DATOS_[[% normaliz]:[% normaliz]],1)*(DATOS_[Conc.Sal.12])))))))), 0)</f>
        <v>0</v>
      </c>
      <c r="V97" s="250" t="n">
        <f aca="false" t="array" ref="V97:V97">IFERROR( (MEDIAN((IF(DATOS_[[Sexo]:[Sexo]]=$B97,IF(DATOS_[[AGRUP. VALOR. PTO.]:[AGRUP. VALOR. PTO.]]=$B96,IF(DATOS_[[Check Periodo Ref.]:[Check Periodo Ref.]]="Dentro",IF(DATOS_[[Check Equiparado]:[Check Equiparado]]="Sí",IF(DATOS!AQ$4="Sí",(1/DATOS_[[% anualiz]:[% anualiz]]),1)*IF(DATOS!AQ$5="Sí",1/DATOS_[[% normaliz]:[% normaliz]],1)*(DATOS_[Conc.Sal.13])))))))), 0)</f>
        <v>0</v>
      </c>
      <c r="W97" s="250" t="n">
        <f aca="false" t="array" ref="W97:W97">IFERROR( (MEDIAN((IF(DATOS_[[Sexo]:[Sexo]]=$B97,IF(DATOS_[[AGRUP. VALOR. PTO.]:[AGRUP. VALOR. PTO.]]=$B96,IF(DATOS_[[Check Periodo Ref.]:[Check Periodo Ref.]]="Dentro",IF(DATOS_[[Check Equiparado]:[Check Equiparado]]="Sí",IF(DATOS!AR$4="Sí",(1/DATOS_[[% anualiz]:[% anualiz]]),1)*IF(DATOS!AR$5="Sí",1/DATOS_[[% normaliz]:[% normaliz]],1)*(DATOS_[Conc.Sal.14])))))))), 0)</f>
        <v>0</v>
      </c>
      <c r="X97" s="250" t="n">
        <f aca="false" t="array" ref="X97:X97">IFERROR( (MEDIAN((IF(DATOS_[[Sexo]:[Sexo]]=$B97,IF(DATOS_[[AGRUP. VALOR. PTO.]:[AGRUP. VALOR. PTO.]]=$B96,IF(DATOS_[[Check Periodo Ref.]:[Check Periodo Ref.]]="Dentro",IF(DATOS_[[Check Equiparado]:[Check Equiparado]]="Sí",IF(DATOS!AS$4="Sí",(1/DATOS_[[% anualiz]:[% anualiz]]),1)*IF(DATOS!AS$5="Sí",1/DATOS_[[% normaliz]:[% normaliz]],1)*(DATOS_[Conc.Sal.15])))))))), 0)</f>
        <v>0</v>
      </c>
      <c r="Y97" s="250" t="n">
        <f aca="false" t="array" ref="Y97:Y97">IFERROR( (MEDIAN((IF(DATOS_[[Sexo]:[Sexo]]=$B97,IF(DATOS_[[AGRUP. VALOR. PTO.]:[AGRUP. VALOR. PTO.]]=$B96,IF(DATOS_[[Check Periodo Ref.]:[Check Periodo Ref.]]="Dentro",IF(DATOS_[[Check Equiparado]:[Check Equiparado]]="Sí",IF(DATOS!AT$4="Sí",(1/DATOS_[[% anualiz]:[% anualiz]]),1)*IF(DATOS!AT$5="Sí",1/DATOS_[[% normaliz]:[% normaliz]],1)*(DATOS_[Conc.Sal.16])))))))), 0)</f>
        <v>0</v>
      </c>
      <c r="Z97" s="250" t="n">
        <f aca="false" t="array" ref="Z97:Z97">IFERROR( (MEDIAN((IF(DATOS_[[Sexo]:[Sexo]]=$B97,IF(DATOS_[[AGRUP. VALOR. PTO.]:[AGRUP. VALOR. PTO.]]=$B96,IF(DATOS_[[Check Periodo Ref.]:[Check Periodo Ref.]]="Dentro",IF(DATOS_[[Check Equiparado]:[Check Equiparado]]="Sí",IF(DATOS!AU$4="Sí",(1/DATOS_[[% anualiz]:[% anualiz]]),1)*IF(DATOS!AU$5="Sí",1/DATOS_[[% normaliz]:[% normaliz]],1)*(DATOS_[Conc.Sal.17])))))))), 0)</f>
        <v>0</v>
      </c>
      <c r="AA97" s="250" t="n">
        <f aca="false" t="array" ref="AA97:AA97">IFERROR( (MEDIAN((IF(DATOS_[[Sexo]:[Sexo]]=$B97,IF(DATOS_[[AGRUP. VALOR. PTO.]:[AGRUP. VALOR. PTO.]]=$B96,IF(DATOS_[[Check Periodo Ref.]:[Check Periodo Ref.]]="Dentro",IF(DATOS_[[Check Equiparado]:[Check Equiparado]]="Sí",IF(DATOS!AV$4="Sí",(1/DATOS_[[% anualiz]:[% anualiz]]),1)*IF(DATOS!AV$5="Sí",1/DATOS_[[% normaliz]:[% normaliz]],1)*(DATOS_[Conc.Sal.18])))))))), 0)</f>
        <v>0</v>
      </c>
      <c r="AB97" s="250" t="n">
        <f aca="false" t="array" ref="AB97:AB97">IFERROR( (MEDIAN((IF(DATOS_[[Sexo]:[Sexo]]=$B97,IF(DATOS_[[AGRUP. VALOR. PTO.]:[AGRUP. VALOR. PTO.]]=$B96,IF(DATOS_[[Check Periodo Ref.]:[Check Periodo Ref.]]="Dentro",IF(DATOS_[[Check Equiparado]:[Check Equiparado]]="Sí",IF(DATOS!AW$4="Sí",(1/DATOS_[[% anualiz]:[% anualiz]]),1)*IF(DATOS!AW$5="Sí",1/DATOS_[[% normaliz]:[% normaliz]],1)*(DATOS_[Conc.Sal.19])))))))), 0)</f>
        <v>0</v>
      </c>
      <c r="AC97" s="250" t="n">
        <f aca="false" t="array" ref="AC97:AC97">IFERROR( (MEDIAN((IF(DATOS_[[Sexo]:[Sexo]]=$B97,IF(DATOS_[[AGRUP. VALOR. PTO.]:[AGRUP. VALOR. PTO.]]=$B96,IF(DATOS_[[Check Periodo Ref.]:[Check Periodo Ref.]]="Dentro",IF(DATOS_[[Check Equiparado]:[Check Equiparado]]="Sí",IF(DATOS!AX$4="Sí",(1/DATOS_[[% anualiz]:[% anualiz]]),1)*IF(DATOS!AX$5="Sí",1/DATOS_[[% normaliz]:[% normaliz]],1)*(DATOS_[Conc.Sal.20])))))))), 0)</f>
        <v>0</v>
      </c>
      <c r="AD97" s="250" t="n">
        <f aca="false" t="array" ref="AD97:AD97">IFERROR( (MEDIAN((IF(DATOS_[[Sexo]:[Sexo]]=$B97,IF(DATOS_[[AGRUP. VALOR. PTO.]:[AGRUP. VALOR. PTO.]]=$B96,IF(DATOS_[[Check Periodo Ref.]:[Check Periodo Ref.]]="Dentro",IF(DATOS_[[Check Equiparado]:[Check Equiparado]]="Sí",IF(DATOS!AY$4="Sí",(1/DATOS_[[% anualiz]:[% anualiz]]),1)*IF(DATOS!AY$5="Sí",1/DATOS_[[% normaliz]:[% normaliz]],1)*(DATOS_[Conc.Sal.21])))))))), 0)</f>
        <v>0</v>
      </c>
      <c r="AE97" s="250" t="n">
        <f aca="false" t="array" ref="AE97:AE97">IFERROR( (MEDIAN((IF(DATOS_[[Sexo]:[Sexo]]=$B97,IF(DATOS_[[AGRUP. VALOR. PTO.]:[AGRUP. VALOR. PTO.]]=$B96,IF(DATOS_[[Check Periodo Ref.]:[Check Periodo Ref.]]="Dentro",IF(DATOS_[[Check Equiparado]:[Check Equiparado]]="Sí",IF(DATOS!AZ$4="Sí",(1/DATOS_[[% anualiz]:[% anualiz]]),1)*IF(DATOS!AZ$5="Sí",1/DATOS_[[% normaliz]:[% normaliz]],1)*(DATOS_[Conc.Sal.22])))))))), 0)</f>
        <v>0</v>
      </c>
      <c r="AF97" s="250" t="n">
        <f aca="false" t="array" ref="AF97:AF97">IFERROR( (MEDIAN((IF(DATOS_[[Sexo]:[Sexo]]=$B97,IF(DATOS_[[AGRUP. VALOR. PTO.]:[AGRUP. VALOR. PTO.]]=$B96,IF(DATOS_[[Check Periodo Ref.]:[Check Periodo Ref.]]="Dentro",IF(DATOS_[[Check Equiparado]:[Check Equiparado]]="Sí",IF(DATOS!BA$4="Sí",(1/DATOS_[[% anualiz]:[% anualiz]]),1)*IF(DATOS!BA$5="Sí",1/DATOS_[[% normaliz]:[% normaliz]],1)*(DATOS_[Conc.Sal.23])))))))), 0)</f>
        <v>0</v>
      </c>
      <c r="AG97" s="250" t="n">
        <f aca="false" t="array" ref="AG97:AG97">IFERROR( (MEDIAN((IF(DATOS_[[Sexo]:[Sexo]]=$B97,IF(DATOS_[[AGRUP. VALOR. PTO.]:[AGRUP. VALOR. PTO.]]=$B96,IF(DATOS_[[Check Periodo Ref.]:[Check Periodo Ref.]]="Dentro",IF(DATOS_[[Check Equiparado]:[Check Equiparado]]="Sí",IF(DATOS!BB$4="Sí",(1/DATOS_[[% anualiz]:[% anualiz]]),1)*IF(DATOS!BB$5="Sí",1/DATOS_[[% normaliz]:[% normaliz]],1)*(DATOS_[Conc.Sal.24])))))))), 0)</f>
        <v>0</v>
      </c>
      <c r="AH97" s="250" t="n">
        <f aca="false" t="array" ref="AH97:AH97">IFERROR( (MEDIAN((IF(DATOS_[[Sexo]:[Sexo]]=$B97,IF(DATOS_[[AGRUP. VALOR. PTO.]:[AGRUP. VALOR. PTO.]]=$B96,IF(DATOS_[[Check Periodo Ref.]:[Check Periodo Ref.]]="Dentro",IF(DATOS_[[Check Equiparado]:[Check Equiparado]]="Sí",IF(DATOS!BC$4="Sí",(1/DATOS_[[% anualiz]:[% anualiz]]),1)*IF(DATOS!BC$5="Sí",1/DATOS_[[% normaliz]:[% normaliz]],1)*(DATOS_[Conc.Sal.25])))))))), 0)</f>
        <v>0</v>
      </c>
      <c r="AI97" s="250" t="n">
        <f aca="false" t="array" ref="AI97:AI97">IFERROR( (MEDIAN((IF(DATOS_[[Sexo]:[Sexo]]=$B97,IF(DATOS_[[AGRUP. VALOR. PTO.]:[AGRUP. VALOR. PTO.]]=$B96,IF(DATOS_[[Check Periodo Ref.]:[Check Periodo Ref.]]="Dentro",IF(DATOS_[[Check Equiparado]:[Check Equiparado]]="Sí",IF(DATOS!BD$4="Sí",(1/DATOS_[[% anualiz]:[% anualiz]]),1)*IF(DATOS!BD$5="Sí",1/DATOS_[[% normaliz]:[% normaliz]],1)*(DATOS_[Conc.Sal.26])))))))), 0)</f>
        <v>0</v>
      </c>
      <c r="AJ97" s="250" t="n">
        <f aca="false" t="array" ref="AJ97:AJ97">IFERROR( (MEDIAN((IF(DATOS_[[Sexo]:[Sexo]]=$B97,IF(DATOS_[[AGRUP. VALOR. PTO.]:[AGRUP. VALOR. PTO.]]=$B96,IF(DATOS_[[Check Periodo Ref.]:[Check Periodo Ref.]]="Dentro",IF(DATOS_[[Check Equiparado]:[Check Equiparado]]="Sí",IF(DATOS!BE$4="Sí",(1/DATOS_[[% anualiz]:[% anualiz]]),1)*IF(DATOS!BE$5="Sí",1/DATOS_[[% normaliz]:[% normaliz]],1)*(DATOS_[Conc.Sal.27])))))))), 0)</f>
        <v>0</v>
      </c>
      <c r="AK97" s="250" t="n">
        <f aca="false" t="array" ref="AK97:AK97">IFERROR( (MEDIAN((IF(DATOS_[[Sexo]:[Sexo]]=$B97,IF(DATOS_[[AGRUP. VALOR. PTO.]:[AGRUP. VALOR. PTO.]]=$B96,IF(DATOS_[[Check Periodo Ref.]:[Check Periodo Ref.]]="Dentro",IF(DATOS_[[Check Equiparado]:[Check Equiparado]]="Sí",IF(DATOS!BF$4="Sí",(1/DATOS_[[% anualiz]:[% anualiz]]),1)*IF(DATOS!BF$5="Sí",1/DATOS_[[% normaliz]:[% normaliz]],1)*(DATOS_[Conc.Sal.28])))))))), 0)</f>
        <v>0</v>
      </c>
      <c r="AL97" s="250" t="n">
        <f aca="false" t="array" ref="AL97:AL97">IFERROR( (MEDIAN((IF(DATOS_[[Sexo]:[Sexo]]=$B97,IF(DATOS_[[AGRUP. VALOR. PTO.]:[AGRUP. VALOR. PTO.]]=$B96,IF(DATOS_[[Check Periodo Ref.]:[Check Periodo Ref.]]="Dentro",IF(DATOS_[[Check Equiparado]:[Check Equiparado]]="Sí",IF(DATOS!BG$4="Sí",(1/DATOS_[[% anualiz]:[% anualiz]]),1)*IF(DATOS!BG$5="Sí",1/DATOS_[[% normaliz]:[% normaliz]],1)*(DATOS_[Conc.Sal.29])))))))), 0)</f>
        <v>0</v>
      </c>
      <c r="AM97" s="250" t="n">
        <f aca="false" t="array" ref="AM97:AM97">IFERROR( (MEDIAN((IF(DATOS_[[Sexo]:[Sexo]]=$B97,IF(DATOS_[[AGRUP. VALOR. PTO.]:[AGRUP. VALOR. PTO.]]=$B96,IF(DATOS_[[Check Periodo Ref.]:[Check Periodo Ref.]]="Dentro",IF(DATOS_[[Check Equiparado]:[Check Equiparado]]="Sí",IF(DATOS!BH$4="Sí",(1/DATOS_[[% anualiz]:[% anualiz]]),1)*IF(DATOS!BH$5="Sí",1/DATOS_[[% normaliz]:[% normaliz]],1)*(DATOS_[Conc.Sal.30])))))))), 0)</f>
        <v>0</v>
      </c>
      <c r="AN97" s="251" t="n">
        <f aca="false" t="array" ref="AN97:AN97">IFERROR( MEDIAN(IF(DATOS_[Sexo]=$B97,IF(DATOS_[[AGRUP. VALOR. PTO.]:[AGRUP. VALOR. PTO.]]=$B96,IF(DATOS_[Check Equiparado]="Sí",IF(DATOS_[Check Periodo Ref.]="Dentro",DATOS_[Tot COMPL.SAL Eq],0))))), 0)</f>
        <v>0</v>
      </c>
      <c r="AO97" s="252" t="n">
        <f aca="false" t="array" ref="AO97:AO97">IFERROR( MEDIAN(IF(DATOS_[Sexo]=$B97,IF(DATOS_[[AGRUP. VALOR. PTO.]:[AGRUP. VALOR. PTO.]]=$B96,IF(DATOS_[Check Equiparado]="Sí",IF(DATOS_[Check Periodo Ref.]="Dentro",DATOS_[TOTAL SALARIO Eq],0))))), 0)</f>
        <v>0</v>
      </c>
      <c r="AP97" s="259" t="n">
        <f aca="false" t="array" ref="AP97:AP97">IFERROR( (MEDIAN((IF(DATOS_[[Sexo]:[Sexo]]=$B97,IF(DATOS_[[AGRUP. VALOR. PTO.]:[AGRUP. VALOR. PTO.]]=$B96,IF(DATOS_[[Check Periodo Ref.]:[Check Periodo Ref.]]="Dentro",IF(DATOS_[[Check Equiparado]:[Check Equiparado]]="Sí",IF(DATOS!BI$4="Sí",(1/DATOS_[[% anualiz]:[% anualiz]]),1)*IF(DATOS!BI$5="Sí",1/DATOS_[[% normaliz]:[% normaliz]],1)*(DATOS_[C.Extra.01])))))))), 0)</f>
        <v>0</v>
      </c>
      <c r="AQ97" s="259" t="n">
        <f aca="false" t="array" ref="AQ97:AQ97">IFERROR( (MEDIAN((IF(DATOS_[[Sexo]:[Sexo]]=$B97,IF(DATOS_[[AGRUP. VALOR. PTO.]:[AGRUP. VALOR. PTO.]]=$B96,IF(DATOS_[[Check Periodo Ref.]:[Check Periodo Ref.]]="Dentro",IF(DATOS_[[Check Equiparado]:[Check Equiparado]]="Sí",IF(DATOS!BJ$4="Sí",(1/DATOS_[[% anualiz]:[% anualiz]]),1)*IF(DATOS!BJ$5="Sí",1/DATOS_[[% normaliz]:[% normaliz]],1)*(DATOS_[C.Extra.02])))))))), 0)</f>
        <v>0</v>
      </c>
      <c r="AR97" s="259" t="n">
        <f aca="false" t="array" ref="AR97:AR97">IFERROR( (MEDIAN((IF(DATOS_[[Sexo]:[Sexo]]=$B97,IF(DATOS_[[AGRUP. VALOR. PTO.]:[AGRUP. VALOR. PTO.]]=$B96,IF(DATOS_[[Check Periodo Ref.]:[Check Periodo Ref.]]="Dentro",IF(DATOS_[[Check Equiparado]:[Check Equiparado]]="Sí",IF(DATOS!BK$4="Sí",(1/DATOS_[[% anualiz]:[% anualiz]]),1)*IF(DATOS!BK$5="Sí",1/DATOS_[[% normaliz]:[% normaliz]],1)*(DATOS_[C.Extra.03])))))))), 0)</f>
        <v>0</v>
      </c>
      <c r="AS97" s="259" t="n">
        <f aca="false" t="array" ref="AS97:AS97">IFERROR( (MEDIAN((IF(DATOS_[[Sexo]:[Sexo]]=$B97,IF(DATOS_[[AGRUP. VALOR. PTO.]:[AGRUP. VALOR. PTO.]]=$B96,IF(DATOS_[[Check Periodo Ref.]:[Check Periodo Ref.]]="Dentro",IF(DATOS_[[Check Equiparado]:[Check Equiparado]]="Sí",IF(DATOS!BL$4="Sí",(1/DATOS_[[% anualiz]:[% anualiz]]),1)*IF(DATOS!BL$5="Sí",1/DATOS_[[% normaliz]:[% normaliz]],1)*(DATOS_[C.Extra.04])))))))), 0)</f>
        <v>0</v>
      </c>
      <c r="AT97" s="259" t="n">
        <f aca="false" t="array" ref="AT97:AT97">IFERROR( (MEDIAN((IF(DATOS_[[Sexo]:[Sexo]]=$B97,IF(DATOS_[[AGRUP. VALOR. PTO.]:[AGRUP. VALOR. PTO.]]=$B96,IF(DATOS_[[Check Periodo Ref.]:[Check Periodo Ref.]]="Dentro",IF(DATOS_[[Check Equiparado]:[Check Equiparado]]="Sí",IF(DATOS!BM$4="Sí",(1/DATOS_[[% anualiz]:[% anualiz]]),1)*IF(DATOS!BM$5="Sí",1/DATOS_[[% normaliz]:[% normaliz]],1)*(DATOS_[C.Extra.05])))))))), 0)</f>
        <v>0</v>
      </c>
      <c r="AU97" s="254" t="n">
        <f aca="false" t="array" ref="AU97:AU97">IFERROR( MEDIAN(IF(DATOS_[Sexo]=$B97,IF(DATOS_[[AGRUP. VALOR. PTO.]:[AGRUP. VALOR. PTO.]]=$B96,IF(DATOS_[Check Equiparado]="Sí",IF(DATOS_[Check Periodo Ref.]="Dentro",DATOS_[Tot Extrasalarial Eq],0))))), 0)</f>
        <v>0</v>
      </c>
      <c r="AV97" s="255" t="n">
        <f aca="false" t="array" ref="AV97:AV97">IFERROR( MEDIAN(IF(DATOS_[Sexo]=$B97,IF(DATOS_[[AGRUP. VALOR. PTO.]:[AGRUP. VALOR. PTO.]]=$B96,IF(DATOS_[Check Equiparado]="Sí",IF(DATOS_[Check Periodo Ref.]="Dentro",DATOS_[TOTAL Retrib Eq],0))))), 0)</f>
        <v>0</v>
      </c>
    </row>
    <row r="98" customFormat="false" ht="14.25" hidden="false" customHeight="false" outlineLevel="0" collapsed="false">
      <c r="A98" s="217" t="str">
        <f aca="false">+A97</f>
        <v>[ocultar]</v>
      </c>
      <c r="B98" s="323" t="s">
        <v>372</v>
      </c>
      <c r="C98" s="247" t="n">
        <f aca="false" t="array" ref="C98:C98">SUM(IF($B98=DATOS_[Sexo], IF($B96=DATOS_[AGRUP. VALOR. PTO.], IF("Dentro"=DATOS_[Check Periodo Ref.], 1/(COUNTIFS(DATOS_[Sexo],$B98,DATOS_[AGRUP. VALOR. PTO.],$B96,DATOS_[Check Periodo Ref.],"Dentro",DATOS_[id],DATOS_[id]))))))</f>
        <v>0</v>
      </c>
      <c r="D98" s="248" t="n">
        <f aca="false">COUNTIFS(DATOS_[AGRUP. VALOR. PTO.],$B96,DATOS_[Sexo],$B98,DATOS_[Check Periodo Ref.],"Dentro")</f>
        <v>0</v>
      </c>
      <c r="E98" s="248" t="n">
        <f aca="false">COUNTIFS(DATOS_[AGRUP. VALOR. PTO.],$B96,DATOS_[Sexo],$B98,DATOS_[Check Periodo Ref.],"Dentro",DATOS_[Check Nº SC Norm],"Sí")</f>
        <v>0</v>
      </c>
      <c r="F98" s="248" t="n">
        <f aca="false">COUNTIFS(DATOS_[AGRUP. VALOR. PTO.],$B96,DATOS_[Sexo],$B98,DATOS_[Check Periodo Ref.],"Dentro",DATOS_[Check Nº SC Anualiz],"Sí")</f>
        <v>0</v>
      </c>
      <c r="G98" s="248" t="n">
        <f aca="false">COUNTIFS(DATOS_[AGRUP. VALOR. PTO.],$B96,DATOS_[Sexo],$B98,DATOS_[Check Periodo Ref.],"Dentro",DATOS_[Check Nº SC Norm y Anualiz],"Sí")</f>
        <v>0</v>
      </c>
      <c r="H98" s="248" t="n">
        <f aca="false">COUNTIFS(DATOS_[AGRUP. VALOR. PTO.],$B96,DATOS_[Sexo],$B98,DATOS_[Check Periodo Ref.],"Dentro",DATOS_[Check Equiparación],"Sí")</f>
        <v>0</v>
      </c>
      <c r="I98" s="249" t="n">
        <f aca="false" t="array" ref="I98:I98">IFERROR( MEDIAN(IF(DATOS_[Sexo]=$B98,IF(DATOS_[[AGRUP. VALOR. PTO.]:[AGRUP. VALOR. PTO.]]=$B96,IF(DATOS_[Check Equiparado]="Sí",IF(DATOS_[Check Periodo Ref.]="Dentro",DATOS_[SALARIO BASE Eq],0))))), 0)</f>
        <v>0</v>
      </c>
      <c r="J98" s="250" t="n">
        <f aca="false" t="array" ref="J98:J98">IFERROR( (MEDIAN((IF(DATOS_[[Sexo]:[Sexo]]=$B98,IF(DATOS_[[AGRUP. VALOR. PTO.]:[AGRUP. VALOR. PTO.]]=$B96,IF(DATOS_[[Check Periodo Ref.]:[Check Periodo Ref.]]="Dentro",IF(DATOS_[[Check Equiparado]:[Check Equiparado]]="Sí",IF(DATOS!AE$4="Sí",(1/DATOS_[[% anualiz]:[% anualiz]]),1)*IF(DATOS!AE$5="Sí",1/DATOS_[[% normaliz]:[% normaliz]],1)*(DATOS_[Conc.Sal.01])))))))), 0)</f>
        <v>0</v>
      </c>
      <c r="K98" s="250" t="n">
        <f aca="false" t="array" ref="K98:K98">IFERROR( (MEDIAN((IF(DATOS_[[Sexo]:[Sexo]]=$B98,IF(DATOS_[[AGRUP. VALOR. PTO.]:[AGRUP. VALOR. PTO.]]=$B96,IF(DATOS_[[Check Periodo Ref.]:[Check Periodo Ref.]]="Dentro",IF(DATOS_[[Check Equiparado]:[Check Equiparado]]="Sí",IF(DATOS!AF$4="Sí",(1/DATOS_[[% anualiz]:[% anualiz]]),1)*IF(DATOS!AF$5="Sí",1/DATOS_[[% normaliz]:[% normaliz]],1)*(DATOS_[Conc.Sal.02])))))))), 0)</f>
        <v>0</v>
      </c>
      <c r="L98" s="250" t="n">
        <f aca="false" t="array" ref="L98:L98">IFERROR( (MEDIAN((IF(DATOS_[[Sexo]:[Sexo]]=$B98,IF(DATOS_[[AGRUP. VALOR. PTO.]:[AGRUP. VALOR. PTO.]]=$B96,IF(DATOS_[[Check Periodo Ref.]:[Check Periodo Ref.]]="Dentro",IF(DATOS_[[Check Equiparado]:[Check Equiparado]]="Sí",IF(DATOS!AG$4="Sí",(1/DATOS_[[% anualiz]:[% anualiz]]),1)*IF(DATOS!AG$5="Sí",1/DATOS_[[% normaliz]:[% normaliz]],1)*(DATOS_[Conc.Sal.03])))))))), 0)</f>
        <v>0</v>
      </c>
      <c r="M98" s="250" t="n">
        <f aca="false" t="array" ref="M98:M98">IFERROR( (MEDIAN((IF(DATOS_[[Sexo]:[Sexo]]=$B98,IF(DATOS_[[AGRUP. VALOR. PTO.]:[AGRUP. VALOR. PTO.]]=$B96,IF(DATOS_[[Check Periodo Ref.]:[Check Periodo Ref.]]="Dentro",IF(DATOS_[[Check Equiparado]:[Check Equiparado]]="Sí",IF(DATOS!AH$4="Sí",(1/DATOS_[[% anualiz]:[% anualiz]]),1)*IF(DATOS!AH$5="Sí",1/DATOS_[[% normaliz]:[% normaliz]],1)*(DATOS_[Conc.Sal.04])))))))), 0)</f>
        <v>0</v>
      </c>
      <c r="N98" s="250" t="n">
        <f aca="false" t="array" ref="N98:N98">IFERROR( (MEDIAN((IF(DATOS_[[Sexo]:[Sexo]]=$B98,IF(DATOS_[[AGRUP. VALOR. PTO.]:[AGRUP. VALOR. PTO.]]=$B96,IF(DATOS_[[Check Periodo Ref.]:[Check Periodo Ref.]]="Dentro",IF(DATOS_[[Check Equiparado]:[Check Equiparado]]="Sí",IF(DATOS!AI$4="Sí",(1/DATOS_[[% anualiz]:[% anualiz]]),1)*IF(DATOS!AI$5="Sí",1/DATOS_[[% normaliz]:[% normaliz]],1)*(DATOS_[Conc.Sal.05])))))))), 0)</f>
        <v>0</v>
      </c>
      <c r="O98" s="250" t="n">
        <f aca="false" t="array" ref="O98:O98">IFERROR( (MEDIAN((IF(DATOS_[[Sexo]:[Sexo]]=$B98,IF(DATOS_[[AGRUP. VALOR. PTO.]:[AGRUP. VALOR. PTO.]]=$B96,IF(DATOS_[[Check Periodo Ref.]:[Check Periodo Ref.]]="Dentro",IF(DATOS_[[Check Equiparado]:[Check Equiparado]]="Sí",IF(DATOS!AJ$4="Sí",(1/DATOS_[[% anualiz]:[% anualiz]]),1)*IF(DATOS!AJ$5="Sí",1/DATOS_[[% normaliz]:[% normaliz]],1)*(DATOS_[Conc.Sal.06])))))))), 0)</f>
        <v>0</v>
      </c>
      <c r="P98" s="250" t="n">
        <f aca="false" t="array" ref="P98:P98">IFERROR( (MEDIAN((IF(DATOS_[[Sexo]:[Sexo]]=$B98,IF(DATOS_[[AGRUP. VALOR. PTO.]:[AGRUP. VALOR. PTO.]]=$B96,IF(DATOS_[[Check Periodo Ref.]:[Check Periodo Ref.]]="Dentro",IF(DATOS_[[Check Equiparado]:[Check Equiparado]]="Sí",IF(DATOS!AK$4="Sí",(1/DATOS_[[% anualiz]:[% anualiz]]),1)*IF(DATOS!AK$5="Sí",1/DATOS_[[% normaliz]:[% normaliz]],1)*(DATOS_[Conc.Sal.07])))))))), 0)</f>
        <v>0</v>
      </c>
      <c r="Q98" s="250" t="n">
        <f aca="false" t="array" ref="Q98:Q98">IFERROR( (MEDIAN((IF(DATOS_[[Sexo]:[Sexo]]=$B98,IF(DATOS_[[AGRUP. VALOR. PTO.]:[AGRUP. VALOR. PTO.]]=$B96,IF(DATOS_[[Check Periodo Ref.]:[Check Periodo Ref.]]="Dentro",IF(DATOS_[[Check Equiparado]:[Check Equiparado]]="Sí",IF(DATOS!AL$4="Sí",(1/DATOS_[[% anualiz]:[% anualiz]]),1)*IF(DATOS!AL$5="Sí",1/DATOS_[[% normaliz]:[% normaliz]],1)*(DATOS_[Conc.Sal.08])))))))), 0)</f>
        <v>0</v>
      </c>
      <c r="R98" s="250" t="n">
        <f aca="false" t="array" ref="R98:R98">IFERROR( (MEDIAN((IF(DATOS_[[Sexo]:[Sexo]]=$B98,IF(DATOS_[[AGRUP. VALOR. PTO.]:[AGRUP. VALOR. PTO.]]=$B96,IF(DATOS_[[Check Periodo Ref.]:[Check Periodo Ref.]]="Dentro",IF(DATOS_[[Check Equiparado]:[Check Equiparado]]="Sí",IF(DATOS!AM$4="Sí",(1/DATOS_[[% anualiz]:[% anualiz]]),1)*IF(DATOS!AM$5="Sí",1/DATOS_[[% normaliz]:[% normaliz]],1)*(DATOS_[Conc.Sal.09])))))))), 0)</f>
        <v>0</v>
      </c>
      <c r="S98" s="250" t="n">
        <f aca="false" t="array" ref="S98:S98">IFERROR( (MEDIAN((IF(DATOS_[[Sexo]:[Sexo]]=$B98,IF(DATOS_[[AGRUP. VALOR. PTO.]:[AGRUP. VALOR. PTO.]]=$B96,IF(DATOS_[[Check Periodo Ref.]:[Check Periodo Ref.]]="Dentro",IF(DATOS_[[Check Equiparado]:[Check Equiparado]]="Sí",IF(DATOS!AN$4="Sí",(1/DATOS_[[% anualiz]:[% anualiz]]),1)*IF(DATOS!AN$5="Sí",1/DATOS_[[% normaliz]:[% normaliz]],1)*(DATOS_[Conc.Sal.10])))))))), 0)</f>
        <v>0</v>
      </c>
      <c r="T98" s="250" t="n">
        <f aca="false" t="array" ref="T98:T98">IFERROR( (MEDIAN((IF(DATOS_[[Sexo]:[Sexo]]=$B98,IF(DATOS_[[AGRUP. VALOR. PTO.]:[AGRUP. VALOR. PTO.]]=$B96,IF(DATOS_[[Check Periodo Ref.]:[Check Periodo Ref.]]="Dentro",IF(DATOS_[[Check Equiparado]:[Check Equiparado]]="Sí",IF(DATOS!AO$4="Sí",(1/DATOS_[[% anualiz]:[% anualiz]]),1)*IF(DATOS!AO$5="Sí",1/DATOS_[[% normaliz]:[% normaliz]],1)*(DATOS_[Conc.Sal.11])))))))), 0)</f>
        <v>0</v>
      </c>
      <c r="U98" s="250" t="n">
        <f aca="false" t="array" ref="U98:U98">IFERROR( (MEDIAN((IF(DATOS_[[Sexo]:[Sexo]]=$B98,IF(DATOS_[[AGRUP. VALOR. PTO.]:[AGRUP. VALOR. PTO.]]=$B96,IF(DATOS_[[Check Periodo Ref.]:[Check Periodo Ref.]]="Dentro",IF(DATOS_[[Check Equiparado]:[Check Equiparado]]="Sí",IF(DATOS!AP$4="Sí",(1/DATOS_[[% anualiz]:[% anualiz]]),1)*IF(DATOS!AP$5="Sí",1/DATOS_[[% normaliz]:[% normaliz]],1)*(DATOS_[Conc.Sal.12])))))))), 0)</f>
        <v>0</v>
      </c>
      <c r="V98" s="250" t="n">
        <f aca="false" t="array" ref="V98:V98">IFERROR( (MEDIAN((IF(DATOS_[[Sexo]:[Sexo]]=$B98,IF(DATOS_[[AGRUP. VALOR. PTO.]:[AGRUP. VALOR. PTO.]]=$B96,IF(DATOS_[[Check Periodo Ref.]:[Check Periodo Ref.]]="Dentro",IF(DATOS_[[Check Equiparado]:[Check Equiparado]]="Sí",IF(DATOS!AQ$4="Sí",(1/DATOS_[[% anualiz]:[% anualiz]]),1)*IF(DATOS!AQ$5="Sí",1/DATOS_[[% normaliz]:[% normaliz]],1)*(DATOS_[Conc.Sal.13])))))))), 0)</f>
        <v>0</v>
      </c>
      <c r="W98" s="250" t="n">
        <f aca="false" t="array" ref="W98:W98">IFERROR( (MEDIAN((IF(DATOS_[[Sexo]:[Sexo]]=$B98,IF(DATOS_[[AGRUP. VALOR. PTO.]:[AGRUP. VALOR. PTO.]]=$B96,IF(DATOS_[[Check Periodo Ref.]:[Check Periodo Ref.]]="Dentro",IF(DATOS_[[Check Equiparado]:[Check Equiparado]]="Sí",IF(DATOS!AR$4="Sí",(1/DATOS_[[% anualiz]:[% anualiz]]),1)*IF(DATOS!AR$5="Sí",1/DATOS_[[% normaliz]:[% normaliz]],1)*(DATOS_[Conc.Sal.14])))))))), 0)</f>
        <v>0</v>
      </c>
      <c r="X98" s="250" t="n">
        <f aca="false" t="array" ref="X98:X98">IFERROR( (MEDIAN((IF(DATOS_[[Sexo]:[Sexo]]=$B98,IF(DATOS_[[AGRUP. VALOR. PTO.]:[AGRUP. VALOR. PTO.]]=$B96,IF(DATOS_[[Check Periodo Ref.]:[Check Periodo Ref.]]="Dentro",IF(DATOS_[[Check Equiparado]:[Check Equiparado]]="Sí",IF(DATOS!AS$4="Sí",(1/DATOS_[[% anualiz]:[% anualiz]]),1)*IF(DATOS!AS$5="Sí",1/DATOS_[[% normaliz]:[% normaliz]],1)*(DATOS_[Conc.Sal.15])))))))), 0)</f>
        <v>0</v>
      </c>
      <c r="Y98" s="250" t="n">
        <f aca="false" t="array" ref="Y98:Y98">IFERROR( (MEDIAN((IF(DATOS_[[Sexo]:[Sexo]]=$B98,IF(DATOS_[[AGRUP. VALOR. PTO.]:[AGRUP. VALOR. PTO.]]=$B96,IF(DATOS_[[Check Periodo Ref.]:[Check Periodo Ref.]]="Dentro",IF(DATOS_[[Check Equiparado]:[Check Equiparado]]="Sí",IF(DATOS!AT$4="Sí",(1/DATOS_[[% anualiz]:[% anualiz]]),1)*IF(DATOS!AT$5="Sí",1/DATOS_[[% normaliz]:[% normaliz]],1)*(DATOS_[Conc.Sal.16])))))))), 0)</f>
        <v>0</v>
      </c>
      <c r="Z98" s="250" t="n">
        <f aca="false" t="array" ref="Z98:Z98">IFERROR( (MEDIAN((IF(DATOS_[[Sexo]:[Sexo]]=$B98,IF(DATOS_[[AGRUP. VALOR. PTO.]:[AGRUP. VALOR. PTO.]]=$B96,IF(DATOS_[[Check Periodo Ref.]:[Check Periodo Ref.]]="Dentro",IF(DATOS_[[Check Equiparado]:[Check Equiparado]]="Sí",IF(DATOS!AU$4="Sí",(1/DATOS_[[% anualiz]:[% anualiz]]),1)*IF(DATOS!AU$5="Sí",1/DATOS_[[% normaliz]:[% normaliz]],1)*(DATOS_[Conc.Sal.17])))))))), 0)</f>
        <v>0</v>
      </c>
      <c r="AA98" s="250" t="n">
        <f aca="false" t="array" ref="AA98:AA98">IFERROR( (MEDIAN((IF(DATOS_[[Sexo]:[Sexo]]=$B98,IF(DATOS_[[AGRUP. VALOR. PTO.]:[AGRUP. VALOR. PTO.]]=$B96,IF(DATOS_[[Check Periodo Ref.]:[Check Periodo Ref.]]="Dentro",IF(DATOS_[[Check Equiparado]:[Check Equiparado]]="Sí",IF(DATOS!AV$4="Sí",(1/DATOS_[[% anualiz]:[% anualiz]]),1)*IF(DATOS!AV$5="Sí",1/DATOS_[[% normaliz]:[% normaliz]],1)*(DATOS_[Conc.Sal.18])))))))), 0)</f>
        <v>0</v>
      </c>
      <c r="AB98" s="250" t="n">
        <f aca="false" t="array" ref="AB98:AB98">IFERROR( (MEDIAN((IF(DATOS_[[Sexo]:[Sexo]]=$B98,IF(DATOS_[[AGRUP. VALOR. PTO.]:[AGRUP. VALOR. PTO.]]=$B96,IF(DATOS_[[Check Periodo Ref.]:[Check Periodo Ref.]]="Dentro",IF(DATOS_[[Check Equiparado]:[Check Equiparado]]="Sí",IF(DATOS!AW$4="Sí",(1/DATOS_[[% anualiz]:[% anualiz]]),1)*IF(DATOS!AW$5="Sí",1/DATOS_[[% normaliz]:[% normaliz]],1)*(DATOS_[Conc.Sal.19])))))))), 0)</f>
        <v>0</v>
      </c>
      <c r="AC98" s="250" t="n">
        <f aca="false" t="array" ref="AC98:AC98">IFERROR( (MEDIAN((IF(DATOS_[[Sexo]:[Sexo]]=$B98,IF(DATOS_[[AGRUP. VALOR. PTO.]:[AGRUP. VALOR. PTO.]]=$B96,IF(DATOS_[[Check Periodo Ref.]:[Check Periodo Ref.]]="Dentro",IF(DATOS_[[Check Equiparado]:[Check Equiparado]]="Sí",IF(DATOS!AX$4="Sí",(1/DATOS_[[% anualiz]:[% anualiz]]),1)*IF(DATOS!AX$5="Sí",1/DATOS_[[% normaliz]:[% normaliz]],1)*(DATOS_[Conc.Sal.20])))))))), 0)</f>
        <v>0</v>
      </c>
      <c r="AD98" s="250" t="n">
        <f aca="false" t="array" ref="AD98:AD98">IFERROR( (MEDIAN((IF(DATOS_[[Sexo]:[Sexo]]=$B98,IF(DATOS_[[AGRUP. VALOR. PTO.]:[AGRUP. VALOR. PTO.]]=$B96,IF(DATOS_[[Check Periodo Ref.]:[Check Periodo Ref.]]="Dentro",IF(DATOS_[[Check Equiparado]:[Check Equiparado]]="Sí",IF(DATOS!AY$4="Sí",(1/DATOS_[[% anualiz]:[% anualiz]]),1)*IF(DATOS!AY$5="Sí",1/DATOS_[[% normaliz]:[% normaliz]],1)*(DATOS_[Conc.Sal.21])))))))), 0)</f>
        <v>0</v>
      </c>
      <c r="AE98" s="250" t="n">
        <f aca="false" t="array" ref="AE98:AE98">IFERROR( (MEDIAN((IF(DATOS_[[Sexo]:[Sexo]]=$B98,IF(DATOS_[[AGRUP. VALOR. PTO.]:[AGRUP. VALOR. PTO.]]=$B96,IF(DATOS_[[Check Periodo Ref.]:[Check Periodo Ref.]]="Dentro",IF(DATOS_[[Check Equiparado]:[Check Equiparado]]="Sí",IF(DATOS!AZ$4="Sí",(1/DATOS_[[% anualiz]:[% anualiz]]),1)*IF(DATOS!AZ$5="Sí",1/DATOS_[[% normaliz]:[% normaliz]],1)*(DATOS_[Conc.Sal.22])))))))), 0)</f>
        <v>0</v>
      </c>
      <c r="AF98" s="250" t="n">
        <f aca="false" t="array" ref="AF98:AF98">IFERROR( (MEDIAN((IF(DATOS_[[Sexo]:[Sexo]]=$B98,IF(DATOS_[[AGRUP. VALOR. PTO.]:[AGRUP. VALOR. PTO.]]=$B96,IF(DATOS_[[Check Periodo Ref.]:[Check Periodo Ref.]]="Dentro",IF(DATOS_[[Check Equiparado]:[Check Equiparado]]="Sí",IF(DATOS!BA$4="Sí",(1/DATOS_[[% anualiz]:[% anualiz]]),1)*IF(DATOS!BA$5="Sí",1/DATOS_[[% normaliz]:[% normaliz]],1)*(DATOS_[Conc.Sal.23])))))))), 0)</f>
        <v>0</v>
      </c>
      <c r="AG98" s="250" t="n">
        <f aca="false" t="array" ref="AG98:AG98">IFERROR( (MEDIAN((IF(DATOS_[[Sexo]:[Sexo]]=$B98,IF(DATOS_[[AGRUP. VALOR. PTO.]:[AGRUP. VALOR. PTO.]]=$B96,IF(DATOS_[[Check Periodo Ref.]:[Check Periodo Ref.]]="Dentro",IF(DATOS_[[Check Equiparado]:[Check Equiparado]]="Sí",IF(DATOS!BB$4="Sí",(1/DATOS_[[% anualiz]:[% anualiz]]),1)*IF(DATOS!BB$5="Sí",1/DATOS_[[% normaliz]:[% normaliz]],1)*(DATOS_[Conc.Sal.24])))))))), 0)</f>
        <v>0</v>
      </c>
      <c r="AH98" s="250" t="n">
        <f aca="false" t="array" ref="AH98:AH98">IFERROR( (MEDIAN((IF(DATOS_[[Sexo]:[Sexo]]=$B98,IF(DATOS_[[AGRUP. VALOR. PTO.]:[AGRUP. VALOR. PTO.]]=$B96,IF(DATOS_[[Check Periodo Ref.]:[Check Periodo Ref.]]="Dentro",IF(DATOS_[[Check Equiparado]:[Check Equiparado]]="Sí",IF(DATOS!BC$4="Sí",(1/DATOS_[[% anualiz]:[% anualiz]]),1)*IF(DATOS!BC$5="Sí",1/DATOS_[[% normaliz]:[% normaliz]],1)*(DATOS_[Conc.Sal.25])))))))), 0)</f>
        <v>0</v>
      </c>
      <c r="AI98" s="250" t="n">
        <f aca="false" t="array" ref="AI98:AI98">IFERROR( (MEDIAN((IF(DATOS_[[Sexo]:[Sexo]]=$B98,IF(DATOS_[[AGRUP. VALOR. PTO.]:[AGRUP. VALOR. PTO.]]=$B96,IF(DATOS_[[Check Periodo Ref.]:[Check Periodo Ref.]]="Dentro",IF(DATOS_[[Check Equiparado]:[Check Equiparado]]="Sí",IF(DATOS!BD$4="Sí",(1/DATOS_[[% anualiz]:[% anualiz]]),1)*IF(DATOS!BD$5="Sí",1/DATOS_[[% normaliz]:[% normaliz]],1)*(DATOS_[Conc.Sal.26])))))))), 0)</f>
        <v>0</v>
      </c>
      <c r="AJ98" s="250" t="n">
        <f aca="false" t="array" ref="AJ98:AJ98">IFERROR( (MEDIAN((IF(DATOS_[[Sexo]:[Sexo]]=$B98,IF(DATOS_[[AGRUP. VALOR. PTO.]:[AGRUP. VALOR. PTO.]]=$B96,IF(DATOS_[[Check Periodo Ref.]:[Check Periodo Ref.]]="Dentro",IF(DATOS_[[Check Equiparado]:[Check Equiparado]]="Sí",IF(DATOS!BE$4="Sí",(1/DATOS_[[% anualiz]:[% anualiz]]),1)*IF(DATOS!BE$5="Sí",1/DATOS_[[% normaliz]:[% normaliz]],1)*(DATOS_[Conc.Sal.27])))))))), 0)</f>
        <v>0</v>
      </c>
      <c r="AK98" s="250" t="n">
        <f aca="false" t="array" ref="AK98:AK98">IFERROR( (MEDIAN((IF(DATOS_[[Sexo]:[Sexo]]=$B98,IF(DATOS_[[AGRUP. VALOR. PTO.]:[AGRUP. VALOR. PTO.]]=$B96,IF(DATOS_[[Check Periodo Ref.]:[Check Periodo Ref.]]="Dentro",IF(DATOS_[[Check Equiparado]:[Check Equiparado]]="Sí",IF(DATOS!BF$4="Sí",(1/DATOS_[[% anualiz]:[% anualiz]]),1)*IF(DATOS!BF$5="Sí",1/DATOS_[[% normaliz]:[% normaliz]],1)*(DATOS_[Conc.Sal.28])))))))), 0)</f>
        <v>0</v>
      </c>
      <c r="AL98" s="250" t="n">
        <f aca="false" t="array" ref="AL98:AL98">IFERROR( (MEDIAN((IF(DATOS_[[Sexo]:[Sexo]]=$B98,IF(DATOS_[[AGRUP. VALOR. PTO.]:[AGRUP. VALOR. PTO.]]=$B96,IF(DATOS_[[Check Periodo Ref.]:[Check Periodo Ref.]]="Dentro",IF(DATOS_[[Check Equiparado]:[Check Equiparado]]="Sí",IF(DATOS!BG$4="Sí",(1/DATOS_[[% anualiz]:[% anualiz]]),1)*IF(DATOS!BG$5="Sí",1/DATOS_[[% normaliz]:[% normaliz]],1)*(DATOS_[Conc.Sal.29])))))))), 0)</f>
        <v>0</v>
      </c>
      <c r="AM98" s="250" t="n">
        <f aca="false" t="array" ref="AM98:AM98">IFERROR( (MEDIAN((IF(DATOS_[[Sexo]:[Sexo]]=$B98,IF(DATOS_[[AGRUP. VALOR. PTO.]:[AGRUP. VALOR. PTO.]]=$B96,IF(DATOS_[[Check Periodo Ref.]:[Check Periodo Ref.]]="Dentro",IF(DATOS_[[Check Equiparado]:[Check Equiparado]]="Sí",IF(DATOS!BH$4="Sí",(1/DATOS_[[% anualiz]:[% anualiz]]),1)*IF(DATOS!BH$5="Sí",1/DATOS_[[% normaliz]:[% normaliz]],1)*(DATOS_[Conc.Sal.30])))))))), 0)</f>
        <v>0</v>
      </c>
      <c r="AN98" s="251" t="n">
        <f aca="false" t="array" ref="AN98:AN98">IFERROR( MEDIAN(IF(DATOS_[Sexo]=$B98,IF(DATOS_[[AGRUP. VALOR. PTO.]:[AGRUP. VALOR. PTO.]]=$B96,IF(DATOS_[Check Equiparado]="Sí",IF(DATOS_[Check Periodo Ref.]="Dentro",DATOS_[Tot COMPL.SAL Eq],0))))), 0)</f>
        <v>0</v>
      </c>
      <c r="AO98" s="252" t="n">
        <f aca="false" t="array" ref="AO98:AO98">IFERROR( MEDIAN(IF(DATOS_[Sexo]=$B98,IF(DATOS_[[AGRUP. VALOR. PTO.]:[AGRUP. VALOR. PTO.]]=$B96,IF(DATOS_[Check Equiparado]="Sí",IF(DATOS_[Check Periodo Ref.]="Dentro",DATOS_[TOTAL SALARIO Eq],0))))), 0)</f>
        <v>0</v>
      </c>
      <c r="AP98" s="259" t="n">
        <f aca="false" t="array" ref="AP98:AP98">IFERROR( (MEDIAN((IF(DATOS_[[Sexo]:[Sexo]]=$B98,IF(DATOS_[[AGRUP. VALOR. PTO.]:[AGRUP. VALOR. PTO.]]=$B97,IF(DATOS_[[Check Periodo Ref.]:[Check Periodo Ref.]]="Dentro",IF(DATOS_[[Check Equiparado]:[Check Equiparado]]="Sí",IF(DATOS!BI$4="Sí",(1/DATOS_[[% anualiz]:[% anualiz]]),1)*IF(DATOS!BI$5="Sí",1/DATOS_[[% normaliz]:[% normaliz]],1)*(DATOS_[C.Extra.01])))))))), 0)</f>
        <v>0</v>
      </c>
      <c r="AQ98" s="259" t="n">
        <f aca="false" t="array" ref="AQ98:AQ98">IFERROR( (MEDIAN((IF(DATOS_[[Sexo]:[Sexo]]=$B98,IF(DATOS_[[AGRUP. VALOR. PTO.]:[AGRUP. VALOR. PTO.]]=$B97,IF(DATOS_[[Check Periodo Ref.]:[Check Periodo Ref.]]="Dentro",IF(DATOS_[[Check Equiparado]:[Check Equiparado]]="Sí",IF(DATOS!BJ$4="Sí",(1/DATOS_[[% anualiz]:[% anualiz]]),1)*IF(DATOS!BJ$5="Sí",1/DATOS_[[% normaliz]:[% normaliz]],1)*(DATOS_[C.Extra.02])))))))), 0)</f>
        <v>0</v>
      </c>
      <c r="AR98" s="259" t="n">
        <f aca="false" t="array" ref="AR98:AR98">IFERROR( (MEDIAN((IF(DATOS_[[Sexo]:[Sexo]]=$B98,IF(DATOS_[[AGRUP. VALOR. PTO.]:[AGRUP. VALOR. PTO.]]=$B97,IF(DATOS_[[Check Periodo Ref.]:[Check Periodo Ref.]]="Dentro",IF(DATOS_[[Check Equiparado]:[Check Equiparado]]="Sí",IF(DATOS!BK$4="Sí",(1/DATOS_[[% anualiz]:[% anualiz]]),1)*IF(DATOS!BK$5="Sí",1/DATOS_[[% normaliz]:[% normaliz]],1)*(DATOS_[C.Extra.03])))))))), 0)</f>
        <v>0</v>
      </c>
      <c r="AS98" s="259" t="n">
        <f aca="false" t="array" ref="AS98:AS98">IFERROR( (MEDIAN((IF(DATOS_[[Sexo]:[Sexo]]=$B98,IF(DATOS_[[AGRUP. VALOR. PTO.]:[AGRUP. VALOR. PTO.]]=$B97,IF(DATOS_[[Check Periodo Ref.]:[Check Periodo Ref.]]="Dentro",IF(DATOS_[[Check Equiparado]:[Check Equiparado]]="Sí",IF(DATOS!BL$4="Sí",(1/DATOS_[[% anualiz]:[% anualiz]]),1)*IF(DATOS!BL$5="Sí",1/DATOS_[[% normaliz]:[% normaliz]],1)*(DATOS_[C.Extra.04])))))))), 0)</f>
        <v>0</v>
      </c>
      <c r="AT98" s="259" t="n">
        <f aca="false" t="array" ref="AT98:AT98">IFERROR( (MEDIAN((IF(DATOS_[[Sexo]:[Sexo]]=$B98,IF(DATOS_[[AGRUP. VALOR. PTO.]:[AGRUP. VALOR. PTO.]]=$B97,IF(DATOS_[[Check Periodo Ref.]:[Check Periodo Ref.]]="Dentro",IF(DATOS_[[Check Equiparado]:[Check Equiparado]]="Sí",IF(DATOS!BM$4="Sí",(1/DATOS_[[% anualiz]:[% anualiz]]),1)*IF(DATOS!BM$5="Sí",1/DATOS_[[% normaliz]:[% normaliz]],1)*(DATOS_[C.Extra.05])))))))), 0)</f>
        <v>0</v>
      </c>
      <c r="AU98" s="254" t="n">
        <f aca="false" t="array" ref="AU98:AU98">IFERROR( MEDIAN(IF(DATOS_[Sexo]=$B98,IF(DATOS_[[AGRUP. VALOR. PTO.]:[AGRUP. VALOR. PTO.]]=$B96,IF(DATOS_[Check Equiparado]="Sí",IF(DATOS_[Check Periodo Ref.]="Dentro",DATOS_[Tot Extrasalarial Eq],0))))), 0)</f>
        <v>0</v>
      </c>
      <c r="AV98" s="255" t="n">
        <f aca="false" t="array" ref="AV98:AV98">IFERROR( MEDIAN(IF(DATOS_[Sexo]=$B98,IF(DATOS_[[AGRUP. VALOR. PTO.]:[AGRUP. VALOR. PTO.]]=$B96,IF(DATOS_[Check Equiparado]="Sí",IF(DATOS_[Check Periodo Ref.]="Dentro",DATOS_[TOTAL Retrib Eq],0))))), 0)</f>
        <v>0</v>
      </c>
    </row>
    <row r="99" customFormat="false" ht="15.75" hidden="false" customHeight="false" outlineLevel="0" collapsed="false">
      <c r="A99" s="217" t="str">
        <f aca="false">+A100</f>
        <v>[ocultar]</v>
      </c>
      <c r="B99" s="320" t="s">
        <v>253</v>
      </c>
      <c r="C99" s="236"/>
      <c r="D99" s="237"/>
      <c r="E99" s="237"/>
      <c r="F99" s="237"/>
      <c r="G99" s="237"/>
      <c r="H99" s="237"/>
      <c r="I99" s="238" t="str">
        <f aca="false">IFERROR((I100-I101)/I100,"")</f>
        <v/>
      </c>
      <c r="J99" s="239" t="str">
        <f aca="false">IFERROR((J100-J101)/J100,"")</f>
        <v/>
      </c>
      <c r="K99" s="239" t="str">
        <f aca="false">IFERROR((K100-K101)/K100,"")</f>
        <v/>
      </c>
      <c r="L99" s="239" t="str">
        <f aca="false">IFERROR((L100-L101)/L100,"")</f>
        <v/>
      </c>
      <c r="M99" s="239" t="str">
        <f aca="false">IFERROR((M100-M101)/M100,"")</f>
        <v/>
      </c>
      <c r="N99" s="239" t="str">
        <f aca="false">IFERROR((N100-N101)/N100,"")</f>
        <v/>
      </c>
      <c r="O99" s="239" t="str">
        <f aca="false">IFERROR((O100-O101)/O100,"")</f>
        <v/>
      </c>
      <c r="P99" s="239" t="str">
        <f aca="false">IFERROR((P100-P101)/P100,"")</f>
        <v/>
      </c>
      <c r="Q99" s="239" t="str">
        <f aca="false">IFERROR((Q100-Q101)/Q100,"")</f>
        <v/>
      </c>
      <c r="R99" s="239" t="str">
        <f aca="false">IFERROR((R100-R101)/R100,"")</f>
        <v/>
      </c>
      <c r="S99" s="239" t="str">
        <f aca="false">IFERROR((S100-S101)/S100,"")</f>
        <v/>
      </c>
      <c r="T99" s="239" t="str">
        <f aca="false">IFERROR((T100-T101)/T100,"")</f>
        <v/>
      </c>
      <c r="U99" s="239" t="str">
        <f aca="false">IFERROR((U100-U101)/U100,"")</f>
        <v/>
      </c>
      <c r="V99" s="239" t="str">
        <f aca="false">IFERROR((V100-V101)/V100,"")</f>
        <v/>
      </c>
      <c r="W99" s="239" t="str">
        <f aca="false">IFERROR((W100-W101)/W100,"")</f>
        <v/>
      </c>
      <c r="X99" s="239" t="str">
        <f aca="false">IFERROR((X100-X101)/X100,"")</f>
        <v/>
      </c>
      <c r="Y99" s="239" t="str">
        <f aca="false">IFERROR((Y100-Y101)/Y100,"")</f>
        <v/>
      </c>
      <c r="Z99" s="240" t="str">
        <f aca="false">IFERROR((Z100-Z101)/Z100,"")</f>
        <v/>
      </c>
      <c r="AA99" s="240" t="str">
        <f aca="false">IFERROR((AA100-AA101)/AA100,"")</f>
        <v/>
      </c>
      <c r="AB99" s="240" t="str">
        <f aca="false">IFERROR((AB100-AB101)/AB100,"")</f>
        <v/>
      </c>
      <c r="AC99" s="240" t="str">
        <f aca="false">IFERROR((AC100-AC101)/AC100,"")</f>
        <v/>
      </c>
      <c r="AD99" s="240" t="str">
        <f aca="false">IFERROR((AD100-AD101)/AD100,"")</f>
        <v/>
      </c>
      <c r="AE99" s="240" t="str">
        <f aca="false">IFERROR((AE100-AE101)/AE100,"")</f>
        <v/>
      </c>
      <c r="AF99" s="240" t="str">
        <f aca="false">IFERROR((AF100-AF101)/AF100,"")</f>
        <v/>
      </c>
      <c r="AG99" s="240" t="str">
        <f aca="false">IFERROR((AG100-AG101)/AG100,"")</f>
        <v/>
      </c>
      <c r="AH99" s="240" t="str">
        <f aca="false">IFERROR((AH100-AH101)/AH100,"")</f>
        <v/>
      </c>
      <c r="AI99" s="240" t="str">
        <f aca="false">IFERROR((AI100-AI101)/AI100,"")</f>
        <v/>
      </c>
      <c r="AJ99" s="240" t="str">
        <f aca="false">IFERROR((AJ100-AJ101)/AJ100,"")</f>
        <v/>
      </c>
      <c r="AK99" s="240" t="str">
        <f aca="false">IFERROR((AK100-AK101)/AK100,"")</f>
        <v/>
      </c>
      <c r="AL99" s="240" t="str">
        <f aca="false">IFERROR((AL100-AL101)/AL100,"")</f>
        <v/>
      </c>
      <c r="AM99" s="240" t="str">
        <f aca="false">IFERROR((AM100-AM101)/AM100,"")</f>
        <v/>
      </c>
      <c r="AN99" s="241" t="str">
        <f aca="false">IFERROR((AN100-AN101)/AN100,"")</f>
        <v/>
      </c>
      <c r="AO99" s="242" t="str">
        <f aca="false">IFERROR((AO100-AO101)/AO100,"")</f>
        <v/>
      </c>
      <c r="AP99" s="243" t="str">
        <f aca="false">IFERROR((AP100-AP101)/AP100,"")</f>
        <v/>
      </c>
      <c r="AQ99" s="243" t="str">
        <f aca="false">IFERROR((AQ100-AQ101)/AQ100,"")</f>
        <v/>
      </c>
      <c r="AR99" s="243" t="str">
        <f aca="false">IFERROR((AR100-AR101)/AR100,"")</f>
        <v/>
      </c>
      <c r="AS99" s="243" t="str">
        <f aca="false">IFERROR((AS100-AS101)/AS100,"")</f>
        <v/>
      </c>
      <c r="AT99" s="243" t="str">
        <f aca="false">IFERROR((AT100-AT101)/AT100,"")</f>
        <v/>
      </c>
      <c r="AU99" s="244" t="str">
        <f aca="false">IFERROR((AU100-AU101)/AU100,"")</f>
        <v/>
      </c>
      <c r="AV99" s="245" t="str">
        <f aca="false">IFERROR((AV100-AV101)/AV100,"")</f>
        <v/>
      </c>
    </row>
    <row r="100" customFormat="false" ht="14.25" hidden="false" customHeight="false" outlineLevel="0" collapsed="false">
      <c r="A100" s="217" t="str">
        <f aca="false">+IF(C100+C101=0,"[ocultar]","")</f>
        <v>[ocultar]</v>
      </c>
      <c r="B100" s="323" t="s">
        <v>371</v>
      </c>
      <c r="C100" s="247" t="n">
        <f aca="false" t="array" ref="C100:C100">SUM(IF($B100=DATOS_[Sexo], IF($B99=DATOS_[AGRUP. VALOR. PTO.], IF("Dentro"=DATOS_[Check Periodo Ref.], 1/(COUNTIFS(DATOS_[Sexo],$B100,DATOS_[AGRUP. VALOR. PTO.],$B99,DATOS_[Check Periodo Ref.],"Dentro",DATOS_[id],DATOS_[id]))))))</f>
        <v>0</v>
      </c>
      <c r="D100" s="248" t="n">
        <f aca="false">COUNTIFS(DATOS_[AGRUP. VALOR. PTO.],$B99,DATOS_[Sexo],$B100,DATOS_[Check Periodo Ref.],"Dentro")</f>
        <v>0</v>
      </c>
      <c r="E100" s="248" t="n">
        <f aca="false">COUNTIFS(DATOS_[AGRUP. VALOR. PTO.],$B99,DATOS_[Sexo],$B100,DATOS_[Check Periodo Ref.],"Dentro",DATOS_[Check Nº SC Norm],"Sí")</f>
        <v>0</v>
      </c>
      <c r="F100" s="248" t="n">
        <f aca="false">COUNTIFS(DATOS_[AGRUP. VALOR. PTO.],$B99,DATOS_[Sexo],$B100,DATOS_[Check Periodo Ref.],"Dentro",DATOS_[Check Nº SC Anualiz],"Sí")</f>
        <v>0</v>
      </c>
      <c r="G100" s="248" t="n">
        <f aca="false">COUNTIFS(DATOS_[AGRUP. VALOR. PTO.],$B99,DATOS_[Sexo],$B100,DATOS_[Check Periodo Ref.],"Dentro",DATOS_[Check Nº SC Norm y Anualiz],"Sí")</f>
        <v>0</v>
      </c>
      <c r="H100" s="248" t="n">
        <f aca="false">COUNTIFS(DATOS_[AGRUP. VALOR. PTO.],$B99,DATOS_[Sexo],$B100,DATOS_[Check Periodo Ref.],"Dentro",DATOS_[Check Equiparación],"Sí")</f>
        <v>0</v>
      </c>
      <c r="I100" s="249" t="n">
        <f aca="false" t="array" ref="I100:I100">IFERROR( MEDIAN(IF(DATOS_[Sexo]=$B100,IF(DATOS_[[AGRUP. VALOR. PTO.]:[AGRUP. VALOR. PTO.]]=$B99,IF(DATOS_[Check Equiparado]="Sí",IF(DATOS_[Check Periodo Ref.]="Dentro",DATOS_[SALARIO BASE Eq],0))))), 0)</f>
        <v>0</v>
      </c>
      <c r="J100" s="250" t="n">
        <f aca="false" t="array" ref="J100:J100">IFERROR( (MEDIAN((IF(DATOS_[[Sexo]:[Sexo]]=$B100,IF(DATOS_[[AGRUP. VALOR. PTO.]:[AGRUP. VALOR. PTO.]]=$B99,IF(DATOS_[[Check Periodo Ref.]:[Check Periodo Ref.]]="Dentro",IF(DATOS_[[Check Equiparado]:[Check Equiparado]]="Sí",IF(DATOS!AE$4="Sí",(1/DATOS_[[% anualiz]:[% anualiz]]),1)*IF(DATOS!AE$5="Sí",1/DATOS_[[% normaliz]:[% normaliz]],1)*(DATOS_[Conc.Sal.01])))))))), 0)</f>
        <v>0</v>
      </c>
      <c r="K100" s="250" t="n">
        <f aca="false" t="array" ref="K100:K100">IFERROR( (MEDIAN((IF(DATOS_[[Sexo]:[Sexo]]=$B100,IF(DATOS_[[AGRUP. VALOR. PTO.]:[AGRUP. VALOR. PTO.]]=$B99,IF(DATOS_[[Check Periodo Ref.]:[Check Periodo Ref.]]="Dentro",IF(DATOS_[[Check Equiparado]:[Check Equiparado]]="Sí",IF(DATOS!AF$4="Sí",(1/DATOS_[[% anualiz]:[% anualiz]]),1)*IF(DATOS!AF$5="Sí",1/DATOS_[[% normaliz]:[% normaliz]],1)*(DATOS_[Conc.Sal.02])))))))), 0)</f>
        <v>0</v>
      </c>
      <c r="L100" s="250" t="n">
        <f aca="false" t="array" ref="L100:L100">IFERROR( (MEDIAN((IF(DATOS_[[Sexo]:[Sexo]]=$B100,IF(DATOS_[[AGRUP. VALOR. PTO.]:[AGRUP. VALOR. PTO.]]=$B99,IF(DATOS_[[Check Periodo Ref.]:[Check Periodo Ref.]]="Dentro",IF(DATOS_[[Check Equiparado]:[Check Equiparado]]="Sí",IF(DATOS!AG$4="Sí",(1/DATOS_[[% anualiz]:[% anualiz]]),1)*IF(DATOS!AG$5="Sí",1/DATOS_[[% normaliz]:[% normaliz]],1)*(DATOS_[Conc.Sal.03])))))))), 0)</f>
        <v>0</v>
      </c>
      <c r="M100" s="250" t="n">
        <f aca="false" t="array" ref="M100:M100">IFERROR( (MEDIAN((IF(DATOS_[[Sexo]:[Sexo]]=$B100,IF(DATOS_[[AGRUP. VALOR. PTO.]:[AGRUP. VALOR. PTO.]]=$B99,IF(DATOS_[[Check Periodo Ref.]:[Check Periodo Ref.]]="Dentro",IF(DATOS_[[Check Equiparado]:[Check Equiparado]]="Sí",IF(DATOS!AH$4="Sí",(1/DATOS_[[% anualiz]:[% anualiz]]),1)*IF(DATOS!AH$5="Sí",1/DATOS_[[% normaliz]:[% normaliz]],1)*(DATOS_[Conc.Sal.04])))))))), 0)</f>
        <v>0</v>
      </c>
      <c r="N100" s="250" t="n">
        <f aca="false" t="array" ref="N100:N100">IFERROR( (MEDIAN((IF(DATOS_[[Sexo]:[Sexo]]=$B100,IF(DATOS_[[AGRUP. VALOR. PTO.]:[AGRUP. VALOR. PTO.]]=$B99,IF(DATOS_[[Check Periodo Ref.]:[Check Periodo Ref.]]="Dentro",IF(DATOS_[[Check Equiparado]:[Check Equiparado]]="Sí",IF(DATOS!AI$4="Sí",(1/DATOS_[[% anualiz]:[% anualiz]]),1)*IF(DATOS!AI$5="Sí",1/DATOS_[[% normaliz]:[% normaliz]],1)*(DATOS_[Conc.Sal.05])))))))), 0)</f>
        <v>0</v>
      </c>
      <c r="O100" s="250" t="n">
        <f aca="false" t="array" ref="O100:O100">IFERROR( (MEDIAN((IF(DATOS_[[Sexo]:[Sexo]]=$B100,IF(DATOS_[[AGRUP. VALOR. PTO.]:[AGRUP. VALOR. PTO.]]=$B99,IF(DATOS_[[Check Periodo Ref.]:[Check Periodo Ref.]]="Dentro",IF(DATOS_[[Check Equiparado]:[Check Equiparado]]="Sí",IF(DATOS!AJ$4="Sí",(1/DATOS_[[% anualiz]:[% anualiz]]),1)*IF(DATOS!AJ$5="Sí",1/DATOS_[[% normaliz]:[% normaliz]],1)*(DATOS_[Conc.Sal.06])))))))), 0)</f>
        <v>0</v>
      </c>
      <c r="P100" s="250" t="n">
        <f aca="false" t="array" ref="P100:P100">IFERROR( (MEDIAN((IF(DATOS_[[Sexo]:[Sexo]]=$B100,IF(DATOS_[[AGRUP. VALOR. PTO.]:[AGRUP. VALOR. PTO.]]=$B99,IF(DATOS_[[Check Periodo Ref.]:[Check Periodo Ref.]]="Dentro",IF(DATOS_[[Check Equiparado]:[Check Equiparado]]="Sí",IF(DATOS!AK$4="Sí",(1/DATOS_[[% anualiz]:[% anualiz]]),1)*IF(DATOS!AK$5="Sí",1/DATOS_[[% normaliz]:[% normaliz]],1)*(DATOS_[Conc.Sal.07])))))))), 0)</f>
        <v>0</v>
      </c>
      <c r="Q100" s="250" t="n">
        <f aca="false" t="array" ref="Q100:Q100">IFERROR( (MEDIAN((IF(DATOS_[[Sexo]:[Sexo]]=$B100,IF(DATOS_[[AGRUP. VALOR. PTO.]:[AGRUP. VALOR. PTO.]]=$B99,IF(DATOS_[[Check Periodo Ref.]:[Check Periodo Ref.]]="Dentro",IF(DATOS_[[Check Equiparado]:[Check Equiparado]]="Sí",IF(DATOS!AL$4="Sí",(1/DATOS_[[% anualiz]:[% anualiz]]),1)*IF(DATOS!AL$5="Sí",1/DATOS_[[% normaliz]:[% normaliz]],1)*(DATOS_[Conc.Sal.08])))))))), 0)</f>
        <v>0</v>
      </c>
      <c r="R100" s="250" t="n">
        <f aca="false" t="array" ref="R100:R100">IFERROR( (MEDIAN((IF(DATOS_[[Sexo]:[Sexo]]=$B100,IF(DATOS_[[AGRUP. VALOR. PTO.]:[AGRUP. VALOR. PTO.]]=$B99,IF(DATOS_[[Check Periodo Ref.]:[Check Periodo Ref.]]="Dentro",IF(DATOS_[[Check Equiparado]:[Check Equiparado]]="Sí",IF(DATOS!AM$4="Sí",(1/DATOS_[[% anualiz]:[% anualiz]]),1)*IF(DATOS!AM$5="Sí",1/DATOS_[[% normaliz]:[% normaliz]],1)*(DATOS_[Conc.Sal.09])))))))), 0)</f>
        <v>0</v>
      </c>
      <c r="S100" s="250" t="n">
        <f aca="false" t="array" ref="S100:S100">IFERROR( (MEDIAN((IF(DATOS_[[Sexo]:[Sexo]]=$B100,IF(DATOS_[[AGRUP. VALOR. PTO.]:[AGRUP. VALOR. PTO.]]=$B99,IF(DATOS_[[Check Periodo Ref.]:[Check Periodo Ref.]]="Dentro",IF(DATOS_[[Check Equiparado]:[Check Equiparado]]="Sí",IF(DATOS!AN$4="Sí",(1/DATOS_[[% anualiz]:[% anualiz]]),1)*IF(DATOS!AN$5="Sí",1/DATOS_[[% normaliz]:[% normaliz]],1)*(DATOS_[Conc.Sal.10])))))))), 0)</f>
        <v>0</v>
      </c>
      <c r="T100" s="250" t="n">
        <f aca="false" t="array" ref="T100:T100">IFERROR( (MEDIAN((IF(DATOS_[[Sexo]:[Sexo]]=$B100,IF(DATOS_[[AGRUP. VALOR. PTO.]:[AGRUP. VALOR. PTO.]]=$B99,IF(DATOS_[[Check Periodo Ref.]:[Check Periodo Ref.]]="Dentro",IF(DATOS_[[Check Equiparado]:[Check Equiparado]]="Sí",IF(DATOS!AO$4="Sí",(1/DATOS_[[% anualiz]:[% anualiz]]),1)*IF(DATOS!AO$5="Sí",1/DATOS_[[% normaliz]:[% normaliz]],1)*(DATOS_[Conc.Sal.11])))))))), 0)</f>
        <v>0</v>
      </c>
      <c r="U100" s="250" t="n">
        <f aca="false" t="array" ref="U100:U100">IFERROR( (MEDIAN((IF(DATOS_[[Sexo]:[Sexo]]=$B100,IF(DATOS_[[AGRUP. VALOR. PTO.]:[AGRUP. VALOR. PTO.]]=$B99,IF(DATOS_[[Check Periodo Ref.]:[Check Periodo Ref.]]="Dentro",IF(DATOS_[[Check Equiparado]:[Check Equiparado]]="Sí",IF(DATOS!AP$4="Sí",(1/DATOS_[[% anualiz]:[% anualiz]]),1)*IF(DATOS!AP$5="Sí",1/DATOS_[[% normaliz]:[% normaliz]],1)*(DATOS_[Conc.Sal.12])))))))), 0)</f>
        <v>0</v>
      </c>
      <c r="V100" s="250" t="n">
        <f aca="false" t="array" ref="V100:V100">IFERROR( (MEDIAN((IF(DATOS_[[Sexo]:[Sexo]]=$B100,IF(DATOS_[[AGRUP. VALOR. PTO.]:[AGRUP. VALOR. PTO.]]=$B99,IF(DATOS_[[Check Periodo Ref.]:[Check Periodo Ref.]]="Dentro",IF(DATOS_[[Check Equiparado]:[Check Equiparado]]="Sí",IF(DATOS!AQ$4="Sí",(1/DATOS_[[% anualiz]:[% anualiz]]),1)*IF(DATOS!AQ$5="Sí",1/DATOS_[[% normaliz]:[% normaliz]],1)*(DATOS_[Conc.Sal.13])))))))), 0)</f>
        <v>0</v>
      </c>
      <c r="W100" s="250" t="n">
        <f aca="false" t="array" ref="W100:W100">IFERROR( (MEDIAN((IF(DATOS_[[Sexo]:[Sexo]]=$B100,IF(DATOS_[[AGRUP. VALOR. PTO.]:[AGRUP. VALOR. PTO.]]=$B99,IF(DATOS_[[Check Periodo Ref.]:[Check Periodo Ref.]]="Dentro",IF(DATOS_[[Check Equiparado]:[Check Equiparado]]="Sí",IF(DATOS!AR$4="Sí",(1/DATOS_[[% anualiz]:[% anualiz]]),1)*IF(DATOS!AR$5="Sí",1/DATOS_[[% normaliz]:[% normaliz]],1)*(DATOS_[Conc.Sal.14])))))))), 0)</f>
        <v>0</v>
      </c>
      <c r="X100" s="250" t="n">
        <f aca="false" t="array" ref="X100:X100">IFERROR( (MEDIAN((IF(DATOS_[[Sexo]:[Sexo]]=$B100,IF(DATOS_[[AGRUP. VALOR. PTO.]:[AGRUP. VALOR. PTO.]]=$B99,IF(DATOS_[[Check Periodo Ref.]:[Check Periodo Ref.]]="Dentro",IF(DATOS_[[Check Equiparado]:[Check Equiparado]]="Sí",IF(DATOS!AS$4="Sí",(1/DATOS_[[% anualiz]:[% anualiz]]),1)*IF(DATOS!AS$5="Sí",1/DATOS_[[% normaliz]:[% normaliz]],1)*(DATOS_[Conc.Sal.15])))))))), 0)</f>
        <v>0</v>
      </c>
      <c r="Y100" s="250" t="n">
        <f aca="false" t="array" ref="Y100:Y100">IFERROR( (MEDIAN((IF(DATOS_[[Sexo]:[Sexo]]=$B100,IF(DATOS_[[AGRUP. VALOR. PTO.]:[AGRUP. VALOR. PTO.]]=$B99,IF(DATOS_[[Check Periodo Ref.]:[Check Periodo Ref.]]="Dentro",IF(DATOS_[[Check Equiparado]:[Check Equiparado]]="Sí",IF(DATOS!AT$4="Sí",(1/DATOS_[[% anualiz]:[% anualiz]]),1)*IF(DATOS!AT$5="Sí",1/DATOS_[[% normaliz]:[% normaliz]],1)*(DATOS_[Conc.Sal.16])))))))), 0)</f>
        <v>0</v>
      </c>
      <c r="Z100" s="250" t="n">
        <f aca="false" t="array" ref="Z100:Z100">IFERROR( (MEDIAN((IF(DATOS_[[Sexo]:[Sexo]]=$B100,IF(DATOS_[[AGRUP. VALOR. PTO.]:[AGRUP. VALOR. PTO.]]=$B99,IF(DATOS_[[Check Periodo Ref.]:[Check Periodo Ref.]]="Dentro",IF(DATOS_[[Check Equiparado]:[Check Equiparado]]="Sí",IF(DATOS!AU$4="Sí",(1/DATOS_[[% anualiz]:[% anualiz]]),1)*IF(DATOS!AU$5="Sí",1/DATOS_[[% normaliz]:[% normaliz]],1)*(DATOS_[Conc.Sal.17])))))))), 0)</f>
        <v>0</v>
      </c>
      <c r="AA100" s="250" t="n">
        <f aca="false" t="array" ref="AA100:AA100">IFERROR( (MEDIAN((IF(DATOS_[[Sexo]:[Sexo]]=$B100,IF(DATOS_[[AGRUP. VALOR. PTO.]:[AGRUP. VALOR. PTO.]]=$B99,IF(DATOS_[[Check Periodo Ref.]:[Check Periodo Ref.]]="Dentro",IF(DATOS_[[Check Equiparado]:[Check Equiparado]]="Sí",IF(DATOS!AV$4="Sí",(1/DATOS_[[% anualiz]:[% anualiz]]),1)*IF(DATOS!AV$5="Sí",1/DATOS_[[% normaliz]:[% normaliz]],1)*(DATOS_[Conc.Sal.18])))))))), 0)</f>
        <v>0</v>
      </c>
      <c r="AB100" s="250" t="n">
        <f aca="false" t="array" ref="AB100:AB100">IFERROR( (MEDIAN((IF(DATOS_[[Sexo]:[Sexo]]=$B100,IF(DATOS_[[AGRUP. VALOR. PTO.]:[AGRUP. VALOR. PTO.]]=$B99,IF(DATOS_[[Check Periodo Ref.]:[Check Periodo Ref.]]="Dentro",IF(DATOS_[[Check Equiparado]:[Check Equiparado]]="Sí",IF(DATOS!AW$4="Sí",(1/DATOS_[[% anualiz]:[% anualiz]]),1)*IF(DATOS!AW$5="Sí",1/DATOS_[[% normaliz]:[% normaliz]],1)*(DATOS_[Conc.Sal.19])))))))), 0)</f>
        <v>0</v>
      </c>
      <c r="AC100" s="250" t="n">
        <f aca="false" t="array" ref="AC100:AC100">IFERROR( (MEDIAN((IF(DATOS_[[Sexo]:[Sexo]]=$B100,IF(DATOS_[[AGRUP. VALOR. PTO.]:[AGRUP. VALOR. PTO.]]=$B99,IF(DATOS_[[Check Periodo Ref.]:[Check Periodo Ref.]]="Dentro",IF(DATOS_[[Check Equiparado]:[Check Equiparado]]="Sí",IF(DATOS!AX$4="Sí",(1/DATOS_[[% anualiz]:[% anualiz]]),1)*IF(DATOS!AX$5="Sí",1/DATOS_[[% normaliz]:[% normaliz]],1)*(DATOS_[Conc.Sal.20])))))))), 0)</f>
        <v>0</v>
      </c>
      <c r="AD100" s="250" t="n">
        <f aca="false" t="array" ref="AD100:AD100">IFERROR( (MEDIAN((IF(DATOS_[[Sexo]:[Sexo]]=$B100,IF(DATOS_[[AGRUP. VALOR. PTO.]:[AGRUP. VALOR. PTO.]]=$B99,IF(DATOS_[[Check Periodo Ref.]:[Check Periodo Ref.]]="Dentro",IF(DATOS_[[Check Equiparado]:[Check Equiparado]]="Sí",IF(DATOS!AY$4="Sí",(1/DATOS_[[% anualiz]:[% anualiz]]),1)*IF(DATOS!AY$5="Sí",1/DATOS_[[% normaliz]:[% normaliz]],1)*(DATOS_[Conc.Sal.21])))))))), 0)</f>
        <v>0</v>
      </c>
      <c r="AE100" s="250" t="n">
        <f aca="false" t="array" ref="AE100:AE100">IFERROR( (MEDIAN((IF(DATOS_[[Sexo]:[Sexo]]=$B100,IF(DATOS_[[AGRUP. VALOR. PTO.]:[AGRUP. VALOR. PTO.]]=$B99,IF(DATOS_[[Check Periodo Ref.]:[Check Periodo Ref.]]="Dentro",IF(DATOS_[[Check Equiparado]:[Check Equiparado]]="Sí",IF(DATOS!AZ$4="Sí",(1/DATOS_[[% anualiz]:[% anualiz]]),1)*IF(DATOS!AZ$5="Sí",1/DATOS_[[% normaliz]:[% normaliz]],1)*(DATOS_[Conc.Sal.22])))))))), 0)</f>
        <v>0</v>
      </c>
      <c r="AF100" s="250" t="n">
        <f aca="false" t="array" ref="AF100:AF100">IFERROR( (MEDIAN((IF(DATOS_[[Sexo]:[Sexo]]=$B100,IF(DATOS_[[AGRUP. VALOR. PTO.]:[AGRUP. VALOR. PTO.]]=$B99,IF(DATOS_[[Check Periodo Ref.]:[Check Periodo Ref.]]="Dentro",IF(DATOS_[[Check Equiparado]:[Check Equiparado]]="Sí",IF(DATOS!BA$4="Sí",(1/DATOS_[[% anualiz]:[% anualiz]]),1)*IF(DATOS!BA$5="Sí",1/DATOS_[[% normaliz]:[% normaliz]],1)*(DATOS_[Conc.Sal.23])))))))), 0)</f>
        <v>0</v>
      </c>
      <c r="AG100" s="250" t="n">
        <f aca="false" t="array" ref="AG100:AG100">IFERROR( (MEDIAN((IF(DATOS_[[Sexo]:[Sexo]]=$B100,IF(DATOS_[[AGRUP. VALOR. PTO.]:[AGRUP. VALOR. PTO.]]=$B99,IF(DATOS_[[Check Periodo Ref.]:[Check Periodo Ref.]]="Dentro",IF(DATOS_[[Check Equiparado]:[Check Equiparado]]="Sí",IF(DATOS!BB$4="Sí",(1/DATOS_[[% anualiz]:[% anualiz]]),1)*IF(DATOS!BB$5="Sí",1/DATOS_[[% normaliz]:[% normaliz]],1)*(DATOS_[Conc.Sal.24])))))))), 0)</f>
        <v>0</v>
      </c>
      <c r="AH100" s="250" t="n">
        <f aca="false" t="array" ref="AH100:AH100">IFERROR( (MEDIAN((IF(DATOS_[[Sexo]:[Sexo]]=$B100,IF(DATOS_[[AGRUP. VALOR. PTO.]:[AGRUP. VALOR. PTO.]]=$B99,IF(DATOS_[[Check Periodo Ref.]:[Check Periodo Ref.]]="Dentro",IF(DATOS_[[Check Equiparado]:[Check Equiparado]]="Sí",IF(DATOS!BC$4="Sí",(1/DATOS_[[% anualiz]:[% anualiz]]),1)*IF(DATOS!BC$5="Sí",1/DATOS_[[% normaliz]:[% normaliz]],1)*(DATOS_[Conc.Sal.25])))))))), 0)</f>
        <v>0</v>
      </c>
      <c r="AI100" s="250" t="n">
        <f aca="false" t="array" ref="AI100:AI100">IFERROR( (MEDIAN((IF(DATOS_[[Sexo]:[Sexo]]=$B100,IF(DATOS_[[AGRUP. VALOR. PTO.]:[AGRUP. VALOR. PTO.]]=$B99,IF(DATOS_[[Check Periodo Ref.]:[Check Periodo Ref.]]="Dentro",IF(DATOS_[[Check Equiparado]:[Check Equiparado]]="Sí",IF(DATOS!BD$4="Sí",(1/DATOS_[[% anualiz]:[% anualiz]]),1)*IF(DATOS!BD$5="Sí",1/DATOS_[[% normaliz]:[% normaliz]],1)*(DATOS_[Conc.Sal.26])))))))), 0)</f>
        <v>0</v>
      </c>
      <c r="AJ100" s="250" t="n">
        <f aca="false" t="array" ref="AJ100:AJ100">IFERROR( (MEDIAN((IF(DATOS_[[Sexo]:[Sexo]]=$B100,IF(DATOS_[[AGRUP. VALOR. PTO.]:[AGRUP. VALOR. PTO.]]=$B99,IF(DATOS_[[Check Periodo Ref.]:[Check Periodo Ref.]]="Dentro",IF(DATOS_[[Check Equiparado]:[Check Equiparado]]="Sí",IF(DATOS!BE$4="Sí",(1/DATOS_[[% anualiz]:[% anualiz]]),1)*IF(DATOS!BE$5="Sí",1/DATOS_[[% normaliz]:[% normaliz]],1)*(DATOS_[Conc.Sal.27])))))))), 0)</f>
        <v>0</v>
      </c>
      <c r="AK100" s="250" t="n">
        <f aca="false" t="array" ref="AK100:AK100">IFERROR( (MEDIAN((IF(DATOS_[[Sexo]:[Sexo]]=$B100,IF(DATOS_[[AGRUP. VALOR. PTO.]:[AGRUP. VALOR. PTO.]]=$B99,IF(DATOS_[[Check Periodo Ref.]:[Check Periodo Ref.]]="Dentro",IF(DATOS_[[Check Equiparado]:[Check Equiparado]]="Sí",IF(DATOS!BF$4="Sí",(1/DATOS_[[% anualiz]:[% anualiz]]),1)*IF(DATOS!BF$5="Sí",1/DATOS_[[% normaliz]:[% normaliz]],1)*(DATOS_[Conc.Sal.28])))))))), 0)</f>
        <v>0</v>
      </c>
      <c r="AL100" s="250" t="n">
        <f aca="false" t="array" ref="AL100:AL100">IFERROR( (MEDIAN((IF(DATOS_[[Sexo]:[Sexo]]=$B100,IF(DATOS_[[AGRUP. VALOR. PTO.]:[AGRUP. VALOR. PTO.]]=$B99,IF(DATOS_[[Check Periodo Ref.]:[Check Periodo Ref.]]="Dentro",IF(DATOS_[[Check Equiparado]:[Check Equiparado]]="Sí",IF(DATOS!BG$4="Sí",(1/DATOS_[[% anualiz]:[% anualiz]]),1)*IF(DATOS!BG$5="Sí",1/DATOS_[[% normaliz]:[% normaliz]],1)*(DATOS_[Conc.Sal.29])))))))), 0)</f>
        <v>0</v>
      </c>
      <c r="AM100" s="250" t="n">
        <f aca="false" t="array" ref="AM100:AM100">IFERROR( (MEDIAN((IF(DATOS_[[Sexo]:[Sexo]]=$B100,IF(DATOS_[[AGRUP. VALOR. PTO.]:[AGRUP. VALOR. PTO.]]=$B99,IF(DATOS_[[Check Periodo Ref.]:[Check Periodo Ref.]]="Dentro",IF(DATOS_[[Check Equiparado]:[Check Equiparado]]="Sí",IF(DATOS!BH$4="Sí",(1/DATOS_[[% anualiz]:[% anualiz]]),1)*IF(DATOS!BH$5="Sí",1/DATOS_[[% normaliz]:[% normaliz]],1)*(DATOS_[Conc.Sal.30])))))))), 0)</f>
        <v>0</v>
      </c>
      <c r="AN100" s="251" t="n">
        <f aca="false" t="array" ref="AN100:AN100">IFERROR( MEDIAN(IF(DATOS_[Sexo]=$B100,IF(DATOS_[[AGRUP. VALOR. PTO.]:[AGRUP. VALOR. PTO.]]=$B99,IF(DATOS_[Check Equiparado]="Sí",IF(DATOS_[Check Periodo Ref.]="Dentro",DATOS_[Tot COMPL.SAL Eq],0))))), 0)</f>
        <v>0</v>
      </c>
      <c r="AO100" s="252" t="n">
        <f aca="false" t="array" ref="AO100:AO100">IFERROR( MEDIAN(IF(DATOS_[Sexo]=$B100,IF(DATOS_[[AGRUP. VALOR. PTO.]:[AGRUP. VALOR. PTO.]]=$B99,IF(DATOS_[Check Equiparado]="Sí",IF(DATOS_[Check Periodo Ref.]="Dentro",DATOS_[TOTAL SALARIO Eq],0))))), 0)</f>
        <v>0</v>
      </c>
      <c r="AP100" s="259" t="n">
        <f aca="false" t="array" ref="AP100:AP100">IFERROR( (MEDIAN((IF(DATOS_[[Sexo]:[Sexo]]=$B100,IF(DATOS_[[AGRUP. VALOR. PTO.]:[AGRUP. VALOR. PTO.]]=$B99,IF(DATOS_[[Check Periodo Ref.]:[Check Periodo Ref.]]="Dentro",IF(DATOS_[[Check Equiparado]:[Check Equiparado]]="Sí",IF(DATOS!BI$4="Sí",(1/DATOS_[[% anualiz]:[% anualiz]]),1)*IF(DATOS!BI$5="Sí",1/DATOS_[[% normaliz]:[% normaliz]],1)*(DATOS_[C.Extra.01])))))))), 0)</f>
        <v>0</v>
      </c>
      <c r="AQ100" s="259" t="n">
        <f aca="false" t="array" ref="AQ100:AQ100">IFERROR( (MEDIAN((IF(DATOS_[[Sexo]:[Sexo]]=$B100,IF(DATOS_[[AGRUP. VALOR. PTO.]:[AGRUP. VALOR. PTO.]]=$B99,IF(DATOS_[[Check Periodo Ref.]:[Check Periodo Ref.]]="Dentro",IF(DATOS_[[Check Equiparado]:[Check Equiparado]]="Sí",IF(DATOS!BJ$4="Sí",(1/DATOS_[[% anualiz]:[% anualiz]]),1)*IF(DATOS!BJ$5="Sí",1/DATOS_[[% normaliz]:[% normaliz]],1)*(DATOS_[C.Extra.02])))))))), 0)</f>
        <v>0</v>
      </c>
      <c r="AR100" s="259" t="n">
        <f aca="false" t="array" ref="AR100:AR100">IFERROR( (MEDIAN((IF(DATOS_[[Sexo]:[Sexo]]=$B100,IF(DATOS_[[AGRUP. VALOR. PTO.]:[AGRUP. VALOR. PTO.]]=$B99,IF(DATOS_[[Check Periodo Ref.]:[Check Periodo Ref.]]="Dentro",IF(DATOS_[[Check Equiparado]:[Check Equiparado]]="Sí",IF(DATOS!BK$4="Sí",(1/DATOS_[[% anualiz]:[% anualiz]]),1)*IF(DATOS!BK$5="Sí",1/DATOS_[[% normaliz]:[% normaliz]],1)*(DATOS_[C.Extra.03])))))))), 0)</f>
        <v>0</v>
      </c>
      <c r="AS100" s="259" t="n">
        <f aca="false" t="array" ref="AS100:AS100">IFERROR( (MEDIAN((IF(DATOS_[[Sexo]:[Sexo]]=$B100,IF(DATOS_[[AGRUP. VALOR. PTO.]:[AGRUP. VALOR. PTO.]]=$B99,IF(DATOS_[[Check Periodo Ref.]:[Check Periodo Ref.]]="Dentro",IF(DATOS_[[Check Equiparado]:[Check Equiparado]]="Sí",IF(DATOS!BL$4="Sí",(1/DATOS_[[% anualiz]:[% anualiz]]),1)*IF(DATOS!BL$5="Sí",1/DATOS_[[% normaliz]:[% normaliz]],1)*(DATOS_[C.Extra.04])))))))), 0)</f>
        <v>0</v>
      </c>
      <c r="AT100" s="259" t="n">
        <f aca="false" t="array" ref="AT100:AT100">IFERROR( (MEDIAN((IF(DATOS_[[Sexo]:[Sexo]]=$B100,IF(DATOS_[[AGRUP. VALOR. PTO.]:[AGRUP. VALOR. PTO.]]=$B99,IF(DATOS_[[Check Periodo Ref.]:[Check Periodo Ref.]]="Dentro",IF(DATOS_[[Check Equiparado]:[Check Equiparado]]="Sí",IF(DATOS!BM$4="Sí",(1/DATOS_[[% anualiz]:[% anualiz]]),1)*IF(DATOS!BM$5="Sí",1/DATOS_[[% normaliz]:[% normaliz]],1)*(DATOS_[C.Extra.05])))))))), 0)</f>
        <v>0</v>
      </c>
      <c r="AU100" s="254" t="n">
        <f aca="false" t="array" ref="AU100:AU100">IFERROR( MEDIAN(IF(DATOS_[Sexo]=$B100,IF(DATOS_[[AGRUP. VALOR. PTO.]:[AGRUP. VALOR. PTO.]]=$B99,IF(DATOS_[Check Equiparado]="Sí",IF(DATOS_[Check Periodo Ref.]="Dentro",DATOS_[Tot Extrasalarial Eq],0))))), 0)</f>
        <v>0</v>
      </c>
      <c r="AV100" s="255" t="n">
        <f aca="false" t="array" ref="AV100:AV100">IFERROR( MEDIAN(IF(DATOS_[Sexo]=$B100,IF(DATOS_[[AGRUP. VALOR. PTO.]:[AGRUP. VALOR. PTO.]]=$B99,IF(DATOS_[Check Equiparado]="Sí",IF(DATOS_[Check Periodo Ref.]="Dentro",DATOS_[TOTAL Retrib Eq],0))))), 0)</f>
        <v>0</v>
      </c>
    </row>
    <row r="101" customFormat="false" ht="14.25" hidden="false" customHeight="false" outlineLevel="0" collapsed="false">
      <c r="A101" s="217" t="str">
        <f aca="false">+A100</f>
        <v>[ocultar]</v>
      </c>
      <c r="B101" s="323" t="s">
        <v>372</v>
      </c>
      <c r="C101" s="247" t="n">
        <f aca="false" t="array" ref="C101:C101">SUM(IF($B101=DATOS_[Sexo], IF($B99=DATOS_[AGRUP. VALOR. PTO.], IF("Dentro"=DATOS_[Check Periodo Ref.], 1/(COUNTIFS(DATOS_[Sexo],$B101,DATOS_[AGRUP. VALOR. PTO.],$B99,DATOS_[Check Periodo Ref.],"Dentro",DATOS_[id],DATOS_[id]))))))</f>
        <v>0</v>
      </c>
      <c r="D101" s="248" t="n">
        <f aca="false">COUNTIFS(DATOS_[AGRUP. VALOR. PTO.],$B99,DATOS_[Sexo],$B101,DATOS_[Check Periodo Ref.],"Dentro")</f>
        <v>0</v>
      </c>
      <c r="E101" s="248" t="n">
        <f aca="false">COUNTIFS(DATOS_[AGRUP. VALOR. PTO.],$B99,DATOS_[Sexo],$B101,DATOS_[Check Periodo Ref.],"Dentro",DATOS_[Check Nº SC Norm],"Sí")</f>
        <v>0</v>
      </c>
      <c r="F101" s="248" t="n">
        <f aca="false">COUNTIFS(DATOS_[AGRUP. VALOR. PTO.],$B99,DATOS_[Sexo],$B101,DATOS_[Check Periodo Ref.],"Dentro",DATOS_[Check Nº SC Anualiz],"Sí")</f>
        <v>0</v>
      </c>
      <c r="G101" s="248" t="n">
        <f aca="false">COUNTIFS(DATOS_[AGRUP. VALOR. PTO.],$B99,DATOS_[Sexo],$B101,DATOS_[Check Periodo Ref.],"Dentro",DATOS_[Check Nº SC Norm y Anualiz],"Sí")</f>
        <v>0</v>
      </c>
      <c r="H101" s="248" t="n">
        <f aca="false">COUNTIFS(DATOS_[AGRUP. VALOR. PTO.],$B99,DATOS_[Sexo],$B101,DATOS_[Check Periodo Ref.],"Dentro",DATOS_[Check Equiparación],"Sí")</f>
        <v>0</v>
      </c>
      <c r="I101" s="249" t="n">
        <f aca="false" t="array" ref="I101:I101">IFERROR( MEDIAN(IF(DATOS_[Sexo]=$B101,IF(DATOS_[[AGRUP. VALOR. PTO.]:[AGRUP. VALOR. PTO.]]=$B99,IF(DATOS_[Check Equiparado]="Sí",IF(DATOS_[Check Periodo Ref.]="Dentro",DATOS_[SALARIO BASE Eq],0))))), 0)</f>
        <v>0</v>
      </c>
      <c r="J101" s="250" t="n">
        <f aca="false" t="array" ref="J101:J101">IFERROR( (MEDIAN((IF(DATOS_[[Sexo]:[Sexo]]=$B101,IF(DATOS_[[AGRUP. VALOR. PTO.]:[AGRUP. VALOR. PTO.]]=$B99,IF(DATOS_[[Check Periodo Ref.]:[Check Periodo Ref.]]="Dentro",IF(DATOS_[[Check Equiparado]:[Check Equiparado]]="Sí",IF(DATOS!AE$4="Sí",(1/DATOS_[[% anualiz]:[% anualiz]]),1)*IF(DATOS!AE$5="Sí",1/DATOS_[[% normaliz]:[% normaliz]],1)*(DATOS_[Conc.Sal.01])))))))), 0)</f>
        <v>0</v>
      </c>
      <c r="K101" s="250" t="n">
        <f aca="false" t="array" ref="K101:K101">IFERROR( (MEDIAN((IF(DATOS_[[Sexo]:[Sexo]]=$B101,IF(DATOS_[[AGRUP. VALOR. PTO.]:[AGRUP. VALOR. PTO.]]=$B99,IF(DATOS_[[Check Periodo Ref.]:[Check Periodo Ref.]]="Dentro",IF(DATOS_[[Check Equiparado]:[Check Equiparado]]="Sí",IF(DATOS!AF$4="Sí",(1/DATOS_[[% anualiz]:[% anualiz]]),1)*IF(DATOS!AF$5="Sí",1/DATOS_[[% normaliz]:[% normaliz]],1)*(DATOS_[Conc.Sal.02])))))))), 0)</f>
        <v>0</v>
      </c>
      <c r="L101" s="250" t="n">
        <f aca="false" t="array" ref="L101:L101">IFERROR( (MEDIAN((IF(DATOS_[[Sexo]:[Sexo]]=$B101,IF(DATOS_[[AGRUP. VALOR. PTO.]:[AGRUP. VALOR. PTO.]]=$B99,IF(DATOS_[[Check Periodo Ref.]:[Check Periodo Ref.]]="Dentro",IF(DATOS_[[Check Equiparado]:[Check Equiparado]]="Sí",IF(DATOS!AG$4="Sí",(1/DATOS_[[% anualiz]:[% anualiz]]),1)*IF(DATOS!AG$5="Sí",1/DATOS_[[% normaliz]:[% normaliz]],1)*(DATOS_[Conc.Sal.03])))))))), 0)</f>
        <v>0</v>
      </c>
      <c r="M101" s="250" t="n">
        <f aca="false" t="array" ref="M101:M101">IFERROR( (MEDIAN((IF(DATOS_[[Sexo]:[Sexo]]=$B101,IF(DATOS_[[AGRUP. VALOR. PTO.]:[AGRUP. VALOR. PTO.]]=$B99,IF(DATOS_[[Check Periodo Ref.]:[Check Periodo Ref.]]="Dentro",IF(DATOS_[[Check Equiparado]:[Check Equiparado]]="Sí",IF(DATOS!AH$4="Sí",(1/DATOS_[[% anualiz]:[% anualiz]]),1)*IF(DATOS!AH$5="Sí",1/DATOS_[[% normaliz]:[% normaliz]],1)*(DATOS_[Conc.Sal.04])))))))), 0)</f>
        <v>0</v>
      </c>
      <c r="N101" s="250" t="n">
        <f aca="false" t="array" ref="N101:N101">IFERROR( (MEDIAN((IF(DATOS_[[Sexo]:[Sexo]]=$B101,IF(DATOS_[[AGRUP. VALOR. PTO.]:[AGRUP. VALOR. PTO.]]=$B99,IF(DATOS_[[Check Periodo Ref.]:[Check Periodo Ref.]]="Dentro",IF(DATOS_[[Check Equiparado]:[Check Equiparado]]="Sí",IF(DATOS!AI$4="Sí",(1/DATOS_[[% anualiz]:[% anualiz]]),1)*IF(DATOS!AI$5="Sí",1/DATOS_[[% normaliz]:[% normaliz]],1)*(DATOS_[Conc.Sal.05])))))))), 0)</f>
        <v>0</v>
      </c>
      <c r="O101" s="250" t="n">
        <f aca="false" t="array" ref="O101:O101">IFERROR( (MEDIAN((IF(DATOS_[[Sexo]:[Sexo]]=$B101,IF(DATOS_[[AGRUP. VALOR. PTO.]:[AGRUP. VALOR. PTO.]]=$B99,IF(DATOS_[[Check Periodo Ref.]:[Check Periodo Ref.]]="Dentro",IF(DATOS_[[Check Equiparado]:[Check Equiparado]]="Sí",IF(DATOS!AJ$4="Sí",(1/DATOS_[[% anualiz]:[% anualiz]]),1)*IF(DATOS!AJ$5="Sí",1/DATOS_[[% normaliz]:[% normaliz]],1)*(DATOS_[Conc.Sal.06])))))))), 0)</f>
        <v>0</v>
      </c>
      <c r="P101" s="250" t="n">
        <f aca="false" t="array" ref="P101:P101">IFERROR( (MEDIAN((IF(DATOS_[[Sexo]:[Sexo]]=$B101,IF(DATOS_[[AGRUP. VALOR. PTO.]:[AGRUP. VALOR. PTO.]]=$B99,IF(DATOS_[[Check Periodo Ref.]:[Check Periodo Ref.]]="Dentro",IF(DATOS_[[Check Equiparado]:[Check Equiparado]]="Sí",IF(DATOS!AK$4="Sí",(1/DATOS_[[% anualiz]:[% anualiz]]),1)*IF(DATOS!AK$5="Sí",1/DATOS_[[% normaliz]:[% normaliz]],1)*(DATOS_[Conc.Sal.07])))))))), 0)</f>
        <v>0</v>
      </c>
      <c r="Q101" s="250" t="n">
        <f aca="false" t="array" ref="Q101:Q101">IFERROR( (MEDIAN((IF(DATOS_[[Sexo]:[Sexo]]=$B101,IF(DATOS_[[AGRUP. VALOR. PTO.]:[AGRUP. VALOR. PTO.]]=$B99,IF(DATOS_[[Check Periodo Ref.]:[Check Periodo Ref.]]="Dentro",IF(DATOS_[[Check Equiparado]:[Check Equiparado]]="Sí",IF(DATOS!AL$4="Sí",(1/DATOS_[[% anualiz]:[% anualiz]]),1)*IF(DATOS!AL$5="Sí",1/DATOS_[[% normaliz]:[% normaliz]],1)*(DATOS_[Conc.Sal.08])))))))), 0)</f>
        <v>0</v>
      </c>
      <c r="R101" s="250" t="n">
        <f aca="false" t="array" ref="R101:R101">IFERROR( (MEDIAN((IF(DATOS_[[Sexo]:[Sexo]]=$B101,IF(DATOS_[[AGRUP. VALOR. PTO.]:[AGRUP. VALOR. PTO.]]=$B99,IF(DATOS_[[Check Periodo Ref.]:[Check Periodo Ref.]]="Dentro",IF(DATOS_[[Check Equiparado]:[Check Equiparado]]="Sí",IF(DATOS!AM$4="Sí",(1/DATOS_[[% anualiz]:[% anualiz]]),1)*IF(DATOS!AM$5="Sí",1/DATOS_[[% normaliz]:[% normaliz]],1)*(DATOS_[Conc.Sal.09])))))))), 0)</f>
        <v>0</v>
      </c>
      <c r="S101" s="250" t="n">
        <f aca="false" t="array" ref="S101:S101">IFERROR( (MEDIAN((IF(DATOS_[[Sexo]:[Sexo]]=$B101,IF(DATOS_[[AGRUP. VALOR. PTO.]:[AGRUP. VALOR. PTO.]]=$B99,IF(DATOS_[[Check Periodo Ref.]:[Check Periodo Ref.]]="Dentro",IF(DATOS_[[Check Equiparado]:[Check Equiparado]]="Sí",IF(DATOS!AN$4="Sí",(1/DATOS_[[% anualiz]:[% anualiz]]),1)*IF(DATOS!AN$5="Sí",1/DATOS_[[% normaliz]:[% normaliz]],1)*(DATOS_[Conc.Sal.10])))))))), 0)</f>
        <v>0</v>
      </c>
      <c r="T101" s="250" t="n">
        <f aca="false" t="array" ref="T101:T101">IFERROR( (MEDIAN((IF(DATOS_[[Sexo]:[Sexo]]=$B101,IF(DATOS_[[AGRUP. VALOR. PTO.]:[AGRUP. VALOR. PTO.]]=$B99,IF(DATOS_[[Check Periodo Ref.]:[Check Periodo Ref.]]="Dentro",IF(DATOS_[[Check Equiparado]:[Check Equiparado]]="Sí",IF(DATOS!AO$4="Sí",(1/DATOS_[[% anualiz]:[% anualiz]]),1)*IF(DATOS!AO$5="Sí",1/DATOS_[[% normaliz]:[% normaliz]],1)*(DATOS_[Conc.Sal.11])))))))), 0)</f>
        <v>0</v>
      </c>
      <c r="U101" s="250" t="n">
        <f aca="false" t="array" ref="U101:U101">IFERROR( (MEDIAN((IF(DATOS_[[Sexo]:[Sexo]]=$B101,IF(DATOS_[[AGRUP. VALOR. PTO.]:[AGRUP. VALOR. PTO.]]=$B99,IF(DATOS_[[Check Periodo Ref.]:[Check Periodo Ref.]]="Dentro",IF(DATOS_[[Check Equiparado]:[Check Equiparado]]="Sí",IF(DATOS!AP$4="Sí",(1/DATOS_[[% anualiz]:[% anualiz]]),1)*IF(DATOS!AP$5="Sí",1/DATOS_[[% normaliz]:[% normaliz]],1)*(DATOS_[Conc.Sal.12])))))))), 0)</f>
        <v>0</v>
      </c>
      <c r="V101" s="250" t="n">
        <f aca="false" t="array" ref="V101:V101">IFERROR( (MEDIAN((IF(DATOS_[[Sexo]:[Sexo]]=$B101,IF(DATOS_[[AGRUP. VALOR. PTO.]:[AGRUP. VALOR. PTO.]]=$B99,IF(DATOS_[[Check Periodo Ref.]:[Check Periodo Ref.]]="Dentro",IF(DATOS_[[Check Equiparado]:[Check Equiparado]]="Sí",IF(DATOS!AQ$4="Sí",(1/DATOS_[[% anualiz]:[% anualiz]]),1)*IF(DATOS!AQ$5="Sí",1/DATOS_[[% normaliz]:[% normaliz]],1)*(DATOS_[Conc.Sal.13])))))))), 0)</f>
        <v>0</v>
      </c>
      <c r="W101" s="250" t="n">
        <f aca="false" t="array" ref="W101:W101">IFERROR( (MEDIAN((IF(DATOS_[[Sexo]:[Sexo]]=$B101,IF(DATOS_[[AGRUP. VALOR. PTO.]:[AGRUP. VALOR. PTO.]]=$B99,IF(DATOS_[[Check Periodo Ref.]:[Check Periodo Ref.]]="Dentro",IF(DATOS_[[Check Equiparado]:[Check Equiparado]]="Sí",IF(DATOS!AR$4="Sí",(1/DATOS_[[% anualiz]:[% anualiz]]),1)*IF(DATOS!AR$5="Sí",1/DATOS_[[% normaliz]:[% normaliz]],1)*(DATOS_[Conc.Sal.14])))))))), 0)</f>
        <v>0</v>
      </c>
      <c r="X101" s="250" t="n">
        <f aca="false" t="array" ref="X101:X101">IFERROR( (MEDIAN((IF(DATOS_[[Sexo]:[Sexo]]=$B101,IF(DATOS_[[AGRUP. VALOR. PTO.]:[AGRUP. VALOR. PTO.]]=$B99,IF(DATOS_[[Check Periodo Ref.]:[Check Periodo Ref.]]="Dentro",IF(DATOS_[[Check Equiparado]:[Check Equiparado]]="Sí",IF(DATOS!AS$4="Sí",(1/DATOS_[[% anualiz]:[% anualiz]]),1)*IF(DATOS!AS$5="Sí",1/DATOS_[[% normaliz]:[% normaliz]],1)*(DATOS_[Conc.Sal.15])))))))), 0)</f>
        <v>0</v>
      </c>
      <c r="Y101" s="250" t="n">
        <f aca="false" t="array" ref="Y101:Y101">IFERROR( (MEDIAN((IF(DATOS_[[Sexo]:[Sexo]]=$B101,IF(DATOS_[[AGRUP. VALOR. PTO.]:[AGRUP. VALOR. PTO.]]=$B99,IF(DATOS_[[Check Periodo Ref.]:[Check Periodo Ref.]]="Dentro",IF(DATOS_[[Check Equiparado]:[Check Equiparado]]="Sí",IF(DATOS!AT$4="Sí",(1/DATOS_[[% anualiz]:[% anualiz]]),1)*IF(DATOS!AT$5="Sí",1/DATOS_[[% normaliz]:[% normaliz]],1)*(DATOS_[Conc.Sal.16])))))))), 0)</f>
        <v>0</v>
      </c>
      <c r="Z101" s="250" t="n">
        <f aca="false" t="array" ref="Z101:Z101">IFERROR( (MEDIAN((IF(DATOS_[[Sexo]:[Sexo]]=$B101,IF(DATOS_[[AGRUP. VALOR. PTO.]:[AGRUP. VALOR. PTO.]]=$B99,IF(DATOS_[[Check Periodo Ref.]:[Check Periodo Ref.]]="Dentro",IF(DATOS_[[Check Equiparado]:[Check Equiparado]]="Sí",IF(DATOS!AU$4="Sí",(1/DATOS_[[% anualiz]:[% anualiz]]),1)*IF(DATOS!AU$5="Sí",1/DATOS_[[% normaliz]:[% normaliz]],1)*(DATOS_[Conc.Sal.17])))))))), 0)</f>
        <v>0</v>
      </c>
      <c r="AA101" s="250" t="n">
        <f aca="false" t="array" ref="AA101:AA101">IFERROR( (MEDIAN((IF(DATOS_[[Sexo]:[Sexo]]=$B101,IF(DATOS_[[AGRUP. VALOR. PTO.]:[AGRUP. VALOR. PTO.]]=$B99,IF(DATOS_[[Check Periodo Ref.]:[Check Periodo Ref.]]="Dentro",IF(DATOS_[[Check Equiparado]:[Check Equiparado]]="Sí",IF(DATOS!AV$4="Sí",(1/DATOS_[[% anualiz]:[% anualiz]]),1)*IF(DATOS!AV$5="Sí",1/DATOS_[[% normaliz]:[% normaliz]],1)*(DATOS_[Conc.Sal.18])))))))), 0)</f>
        <v>0</v>
      </c>
      <c r="AB101" s="250" t="n">
        <f aca="false" t="array" ref="AB101:AB101">IFERROR( (MEDIAN((IF(DATOS_[[Sexo]:[Sexo]]=$B101,IF(DATOS_[[AGRUP. VALOR. PTO.]:[AGRUP. VALOR. PTO.]]=$B99,IF(DATOS_[[Check Periodo Ref.]:[Check Periodo Ref.]]="Dentro",IF(DATOS_[[Check Equiparado]:[Check Equiparado]]="Sí",IF(DATOS!AW$4="Sí",(1/DATOS_[[% anualiz]:[% anualiz]]),1)*IF(DATOS!AW$5="Sí",1/DATOS_[[% normaliz]:[% normaliz]],1)*(DATOS_[Conc.Sal.19])))))))), 0)</f>
        <v>0</v>
      </c>
      <c r="AC101" s="250" t="n">
        <f aca="false" t="array" ref="AC101:AC101">IFERROR( (MEDIAN((IF(DATOS_[[Sexo]:[Sexo]]=$B101,IF(DATOS_[[AGRUP. VALOR. PTO.]:[AGRUP. VALOR. PTO.]]=$B99,IF(DATOS_[[Check Periodo Ref.]:[Check Periodo Ref.]]="Dentro",IF(DATOS_[[Check Equiparado]:[Check Equiparado]]="Sí",IF(DATOS!AX$4="Sí",(1/DATOS_[[% anualiz]:[% anualiz]]),1)*IF(DATOS!AX$5="Sí",1/DATOS_[[% normaliz]:[% normaliz]],1)*(DATOS_[Conc.Sal.20])))))))), 0)</f>
        <v>0</v>
      </c>
      <c r="AD101" s="250" t="n">
        <f aca="false" t="array" ref="AD101:AD101">IFERROR( (MEDIAN((IF(DATOS_[[Sexo]:[Sexo]]=$B101,IF(DATOS_[[AGRUP. VALOR. PTO.]:[AGRUP. VALOR. PTO.]]=$B99,IF(DATOS_[[Check Periodo Ref.]:[Check Periodo Ref.]]="Dentro",IF(DATOS_[[Check Equiparado]:[Check Equiparado]]="Sí",IF(DATOS!AY$4="Sí",(1/DATOS_[[% anualiz]:[% anualiz]]),1)*IF(DATOS!AY$5="Sí",1/DATOS_[[% normaliz]:[% normaliz]],1)*(DATOS_[Conc.Sal.21])))))))), 0)</f>
        <v>0</v>
      </c>
      <c r="AE101" s="250" t="n">
        <f aca="false" t="array" ref="AE101:AE101">IFERROR( (MEDIAN((IF(DATOS_[[Sexo]:[Sexo]]=$B101,IF(DATOS_[[AGRUP. VALOR. PTO.]:[AGRUP. VALOR. PTO.]]=$B99,IF(DATOS_[[Check Periodo Ref.]:[Check Periodo Ref.]]="Dentro",IF(DATOS_[[Check Equiparado]:[Check Equiparado]]="Sí",IF(DATOS!AZ$4="Sí",(1/DATOS_[[% anualiz]:[% anualiz]]),1)*IF(DATOS!AZ$5="Sí",1/DATOS_[[% normaliz]:[% normaliz]],1)*(DATOS_[Conc.Sal.22])))))))), 0)</f>
        <v>0</v>
      </c>
      <c r="AF101" s="250" t="n">
        <f aca="false" t="array" ref="AF101:AF101">IFERROR( (MEDIAN((IF(DATOS_[[Sexo]:[Sexo]]=$B101,IF(DATOS_[[AGRUP. VALOR. PTO.]:[AGRUP. VALOR. PTO.]]=$B99,IF(DATOS_[[Check Periodo Ref.]:[Check Periodo Ref.]]="Dentro",IF(DATOS_[[Check Equiparado]:[Check Equiparado]]="Sí",IF(DATOS!BA$4="Sí",(1/DATOS_[[% anualiz]:[% anualiz]]),1)*IF(DATOS!BA$5="Sí",1/DATOS_[[% normaliz]:[% normaliz]],1)*(DATOS_[Conc.Sal.23])))))))), 0)</f>
        <v>0</v>
      </c>
      <c r="AG101" s="250" t="n">
        <f aca="false" t="array" ref="AG101:AG101">IFERROR( (MEDIAN((IF(DATOS_[[Sexo]:[Sexo]]=$B101,IF(DATOS_[[AGRUP. VALOR. PTO.]:[AGRUP. VALOR. PTO.]]=$B99,IF(DATOS_[[Check Periodo Ref.]:[Check Periodo Ref.]]="Dentro",IF(DATOS_[[Check Equiparado]:[Check Equiparado]]="Sí",IF(DATOS!BB$4="Sí",(1/DATOS_[[% anualiz]:[% anualiz]]),1)*IF(DATOS!BB$5="Sí",1/DATOS_[[% normaliz]:[% normaliz]],1)*(DATOS_[Conc.Sal.24])))))))), 0)</f>
        <v>0</v>
      </c>
      <c r="AH101" s="250" t="n">
        <f aca="false" t="array" ref="AH101:AH101">IFERROR( (MEDIAN((IF(DATOS_[[Sexo]:[Sexo]]=$B101,IF(DATOS_[[AGRUP. VALOR. PTO.]:[AGRUP. VALOR. PTO.]]=$B99,IF(DATOS_[[Check Periodo Ref.]:[Check Periodo Ref.]]="Dentro",IF(DATOS_[[Check Equiparado]:[Check Equiparado]]="Sí",IF(DATOS!BC$4="Sí",(1/DATOS_[[% anualiz]:[% anualiz]]),1)*IF(DATOS!BC$5="Sí",1/DATOS_[[% normaliz]:[% normaliz]],1)*(DATOS_[Conc.Sal.25])))))))), 0)</f>
        <v>0</v>
      </c>
      <c r="AI101" s="250" t="n">
        <f aca="false" t="array" ref="AI101:AI101">IFERROR( (MEDIAN((IF(DATOS_[[Sexo]:[Sexo]]=$B101,IF(DATOS_[[AGRUP. VALOR. PTO.]:[AGRUP. VALOR. PTO.]]=$B99,IF(DATOS_[[Check Periodo Ref.]:[Check Periodo Ref.]]="Dentro",IF(DATOS_[[Check Equiparado]:[Check Equiparado]]="Sí",IF(DATOS!BD$4="Sí",(1/DATOS_[[% anualiz]:[% anualiz]]),1)*IF(DATOS!BD$5="Sí",1/DATOS_[[% normaliz]:[% normaliz]],1)*(DATOS_[Conc.Sal.26])))))))), 0)</f>
        <v>0</v>
      </c>
      <c r="AJ101" s="250" t="n">
        <f aca="false" t="array" ref="AJ101:AJ101">IFERROR( (MEDIAN((IF(DATOS_[[Sexo]:[Sexo]]=$B101,IF(DATOS_[[AGRUP. VALOR. PTO.]:[AGRUP. VALOR. PTO.]]=$B99,IF(DATOS_[[Check Periodo Ref.]:[Check Periodo Ref.]]="Dentro",IF(DATOS_[[Check Equiparado]:[Check Equiparado]]="Sí",IF(DATOS!BE$4="Sí",(1/DATOS_[[% anualiz]:[% anualiz]]),1)*IF(DATOS!BE$5="Sí",1/DATOS_[[% normaliz]:[% normaliz]],1)*(DATOS_[Conc.Sal.27])))))))), 0)</f>
        <v>0</v>
      </c>
      <c r="AK101" s="250" t="n">
        <f aca="false" t="array" ref="AK101:AK101">IFERROR( (MEDIAN((IF(DATOS_[[Sexo]:[Sexo]]=$B101,IF(DATOS_[[AGRUP. VALOR. PTO.]:[AGRUP. VALOR. PTO.]]=$B99,IF(DATOS_[[Check Periodo Ref.]:[Check Periodo Ref.]]="Dentro",IF(DATOS_[[Check Equiparado]:[Check Equiparado]]="Sí",IF(DATOS!BF$4="Sí",(1/DATOS_[[% anualiz]:[% anualiz]]),1)*IF(DATOS!BF$5="Sí",1/DATOS_[[% normaliz]:[% normaliz]],1)*(DATOS_[Conc.Sal.28])))))))), 0)</f>
        <v>0</v>
      </c>
      <c r="AL101" s="250" t="n">
        <f aca="false" t="array" ref="AL101:AL101">IFERROR( (MEDIAN((IF(DATOS_[[Sexo]:[Sexo]]=$B101,IF(DATOS_[[AGRUP. VALOR. PTO.]:[AGRUP. VALOR. PTO.]]=$B99,IF(DATOS_[[Check Periodo Ref.]:[Check Periodo Ref.]]="Dentro",IF(DATOS_[[Check Equiparado]:[Check Equiparado]]="Sí",IF(DATOS!BG$4="Sí",(1/DATOS_[[% anualiz]:[% anualiz]]),1)*IF(DATOS!BG$5="Sí",1/DATOS_[[% normaliz]:[% normaliz]],1)*(DATOS_[Conc.Sal.29])))))))), 0)</f>
        <v>0</v>
      </c>
      <c r="AM101" s="250" t="n">
        <f aca="false" t="array" ref="AM101:AM101">IFERROR( (MEDIAN((IF(DATOS_[[Sexo]:[Sexo]]=$B101,IF(DATOS_[[AGRUP. VALOR. PTO.]:[AGRUP. VALOR. PTO.]]=$B99,IF(DATOS_[[Check Periodo Ref.]:[Check Periodo Ref.]]="Dentro",IF(DATOS_[[Check Equiparado]:[Check Equiparado]]="Sí",IF(DATOS!BH$4="Sí",(1/DATOS_[[% anualiz]:[% anualiz]]),1)*IF(DATOS!BH$5="Sí",1/DATOS_[[% normaliz]:[% normaliz]],1)*(DATOS_[Conc.Sal.30])))))))), 0)</f>
        <v>0</v>
      </c>
      <c r="AN101" s="251" t="n">
        <f aca="false" t="array" ref="AN101:AN101">IFERROR( MEDIAN(IF(DATOS_[Sexo]=$B101,IF(DATOS_[[AGRUP. VALOR. PTO.]:[AGRUP. VALOR. PTO.]]=$B99,IF(DATOS_[Check Equiparado]="Sí",IF(DATOS_[Check Periodo Ref.]="Dentro",DATOS_[Tot COMPL.SAL Eq],0))))), 0)</f>
        <v>0</v>
      </c>
      <c r="AO101" s="252" t="n">
        <f aca="false" t="array" ref="AO101:AO101">IFERROR( MEDIAN(IF(DATOS_[Sexo]=$B101,IF(DATOS_[[AGRUP. VALOR. PTO.]:[AGRUP. VALOR. PTO.]]=$B99,IF(DATOS_[Check Equiparado]="Sí",IF(DATOS_[Check Periodo Ref.]="Dentro",DATOS_[TOTAL SALARIO Eq],0))))), 0)</f>
        <v>0</v>
      </c>
      <c r="AP101" s="259" t="n">
        <f aca="false" t="array" ref="AP101:AP101">IFERROR( (MEDIAN((IF(DATOS_[[Sexo]:[Sexo]]=$B101,IF(DATOS_[[AGRUP. VALOR. PTO.]:[AGRUP. VALOR. PTO.]]=$B100,IF(DATOS_[[Check Periodo Ref.]:[Check Periodo Ref.]]="Dentro",IF(DATOS_[[Check Equiparado]:[Check Equiparado]]="Sí",IF(DATOS!BI$4="Sí",(1/DATOS_[[% anualiz]:[% anualiz]]),1)*IF(DATOS!BI$5="Sí",1/DATOS_[[% normaliz]:[% normaliz]],1)*(DATOS_[C.Extra.01])))))))), 0)</f>
        <v>0</v>
      </c>
      <c r="AQ101" s="259" t="n">
        <f aca="false" t="array" ref="AQ101:AQ101">IFERROR( (MEDIAN((IF(DATOS_[[Sexo]:[Sexo]]=$B101,IF(DATOS_[[AGRUP. VALOR. PTO.]:[AGRUP. VALOR. PTO.]]=$B100,IF(DATOS_[[Check Periodo Ref.]:[Check Periodo Ref.]]="Dentro",IF(DATOS_[[Check Equiparado]:[Check Equiparado]]="Sí",IF(DATOS!BJ$4="Sí",(1/DATOS_[[% anualiz]:[% anualiz]]),1)*IF(DATOS!BJ$5="Sí",1/DATOS_[[% normaliz]:[% normaliz]],1)*(DATOS_[C.Extra.02])))))))), 0)</f>
        <v>0</v>
      </c>
      <c r="AR101" s="259" t="n">
        <f aca="false" t="array" ref="AR101:AR101">IFERROR( (MEDIAN((IF(DATOS_[[Sexo]:[Sexo]]=$B101,IF(DATOS_[[AGRUP. VALOR. PTO.]:[AGRUP. VALOR. PTO.]]=$B100,IF(DATOS_[[Check Periodo Ref.]:[Check Periodo Ref.]]="Dentro",IF(DATOS_[[Check Equiparado]:[Check Equiparado]]="Sí",IF(DATOS!BK$4="Sí",(1/DATOS_[[% anualiz]:[% anualiz]]),1)*IF(DATOS!BK$5="Sí",1/DATOS_[[% normaliz]:[% normaliz]],1)*(DATOS_[C.Extra.03])))))))), 0)</f>
        <v>0</v>
      </c>
      <c r="AS101" s="259" t="n">
        <f aca="false" t="array" ref="AS101:AS101">IFERROR( (MEDIAN((IF(DATOS_[[Sexo]:[Sexo]]=$B101,IF(DATOS_[[AGRUP. VALOR. PTO.]:[AGRUP. VALOR. PTO.]]=$B100,IF(DATOS_[[Check Periodo Ref.]:[Check Periodo Ref.]]="Dentro",IF(DATOS_[[Check Equiparado]:[Check Equiparado]]="Sí",IF(DATOS!BL$4="Sí",(1/DATOS_[[% anualiz]:[% anualiz]]),1)*IF(DATOS!BL$5="Sí",1/DATOS_[[% normaliz]:[% normaliz]],1)*(DATOS_[C.Extra.04])))))))), 0)</f>
        <v>0</v>
      </c>
      <c r="AT101" s="259" t="n">
        <f aca="false" t="array" ref="AT101:AT101">IFERROR( (MEDIAN((IF(DATOS_[[Sexo]:[Sexo]]=$B101,IF(DATOS_[[AGRUP. VALOR. PTO.]:[AGRUP. VALOR. PTO.]]=$B100,IF(DATOS_[[Check Periodo Ref.]:[Check Periodo Ref.]]="Dentro",IF(DATOS_[[Check Equiparado]:[Check Equiparado]]="Sí",IF(DATOS!BM$4="Sí",(1/DATOS_[[% anualiz]:[% anualiz]]),1)*IF(DATOS!BM$5="Sí",1/DATOS_[[% normaliz]:[% normaliz]],1)*(DATOS_[C.Extra.05])))))))), 0)</f>
        <v>0</v>
      </c>
      <c r="AU101" s="254" t="n">
        <f aca="false" t="array" ref="AU101:AU101">IFERROR( MEDIAN(IF(DATOS_[Sexo]=$B101,IF(DATOS_[[AGRUP. VALOR. PTO.]:[AGRUP. VALOR. PTO.]]=$B99,IF(DATOS_[Check Equiparado]="Sí",IF(DATOS_[Check Periodo Ref.]="Dentro",DATOS_[Tot Extrasalarial Eq],0))))), 0)</f>
        <v>0</v>
      </c>
      <c r="AV101" s="255" t="n">
        <f aca="false" t="array" ref="AV101:AV101">IFERROR( MEDIAN(IF(DATOS_[Sexo]=$B101,IF(DATOS_[[AGRUP. VALOR. PTO.]:[AGRUP. VALOR. PTO.]]=$B99,IF(DATOS_[Check Equiparado]="Sí",IF(DATOS_[Check Periodo Ref.]="Dentro",DATOS_[TOTAL Retrib Eq],0))))), 0)</f>
        <v>0</v>
      </c>
    </row>
    <row r="102" customFormat="false" ht="15.75" hidden="false" customHeight="false" outlineLevel="0" collapsed="false">
      <c r="A102" s="217" t="str">
        <f aca="false">+A103</f>
        <v>[ocultar]</v>
      </c>
      <c r="B102" s="320" t="s">
        <v>256</v>
      </c>
      <c r="C102" s="236"/>
      <c r="D102" s="237"/>
      <c r="E102" s="237"/>
      <c r="F102" s="237"/>
      <c r="G102" s="237"/>
      <c r="H102" s="237"/>
      <c r="I102" s="238" t="str">
        <f aca="false">IFERROR((I103-I104)/I103,"")</f>
        <v/>
      </c>
      <c r="J102" s="239" t="str">
        <f aca="false">IFERROR((J103-J104)/J103,"")</f>
        <v/>
      </c>
      <c r="K102" s="239" t="str">
        <f aca="false">IFERROR((K103-K104)/K103,"")</f>
        <v/>
      </c>
      <c r="L102" s="239" t="str">
        <f aca="false">IFERROR((L103-L104)/L103,"")</f>
        <v/>
      </c>
      <c r="M102" s="239" t="str">
        <f aca="false">IFERROR((M103-M104)/M103,"")</f>
        <v/>
      </c>
      <c r="N102" s="239" t="str">
        <f aca="false">IFERROR((N103-N104)/N103,"")</f>
        <v/>
      </c>
      <c r="O102" s="239" t="str">
        <f aca="false">IFERROR((O103-O104)/O103,"")</f>
        <v/>
      </c>
      <c r="P102" s="239" t="str">
        <f aca="false">IFERROR((P103-P104)/P103,"")</f>
        <v/>
      </c>
      <c r="Q102" s="239" t="str">
        <f aca="false">IFERROR((Q103-Q104)/Q103,"")</f>
        <v/>
      </c>
      <c r="R102" s="239" t="str">
        <f aca="false">IFERROR((R103-R104)/R103,"")</f>
        <v/>
      </c>
      <c r="S102" s="239" t="str">
        <f aca="false">IFERROR((S103-S104)/S103,"")</f>
        <v/>
      </c>
      <c r="T102" s="239" t="str">
        <f aca="false">IFERROR((T103-T104)/T103,"")</f>
        <v/>
      </c>
      <c r="U102" s="239" t="str">
        <f aca="false">IFERROR((U103-U104)/U103,"")</f>
        <v/>
      </c>
      <c r="V102" s="239" t="str">
        <f aca="false">IFERROR((V103-V104)/V103,"")</f>
        <v/>
      </c>
      <c r="W102" s="239" t="str">
        <f aca="false">IFERROR((W103-W104)/W103,"")</f>
        <v/>
      </c>
      <c r="X102" s="239" t="str">
        <f aca="false">IFERROR((X103-X104)/X103,"")</f>
        <v/>
      </c>
      <c r="Y102" s="239" t="str">
        <f aca="false">IFERROR((Y103-Y104)/Y103,"")</f>
        <v/>
      </c>
      <c r="Z102" s="240" t="str">
        <f aca="false">IFERROR((Z103-Z104)/Z103,"")</f>
        <v/>
      </c>
      <c r="AA102" s="240" t="str">
        <f aca="false">IFERROR((AA103-AA104)/AA103,"")</f>
        <v/>
      </c>
      <c r="AB102" s="240" t="str">
        <f aca="false">IFERROR((AB103-AB104)/AB103,"")</f>
        <v/>
      </c>
      <c r="AC102" s="240" t="str">
        <f aca="false">IFERROR((AC103-AC104)/AC103,"")</f>
        <v/>
      </c>
      <c r="AD102" s="240" t="str">
        <f aca="false">IFERROR((AD103-AD104)/AD103,"")</f>
        <v/>
      </c>
      <c r="AE102" s="240" t="str">
        <f aca="false">IFERROR((AE103-AE104)/AE103,"")</f>
        <v/>
      </c>
      <c r="AF102" s="240" t="str">
        <f aca="false">IFERROR((AF103-AF104)/AF103,"")</f>
        <v/>
      </c>
      <c r="AG102" s="240" t="str">
        <f aca="false">IFERROR((AG103-AG104)/AG103,"")</f>
        <v/>
      </c>
      <c r="AH102" s="240" t="str">
        <f aca="false">IFERROR((AH103-AH104)/AH103,"")</f>
        <v/>
      </c>
      <c r="AI102" s="240" t="str">
        <f aca="false">IFERROR((AI103-AI104)/AI103,"")</f>
        <v/>
      </c>
      <c r="AJ102" s="240" t="str">
        <f aca="false">IFERROR((AJ103-AJ104)/AJ103,"")</f>
        <v/>
      </c>
      <c r="AK102" s="240" t="str">
        <f aca="false">IFERROR((AK103-AK104)/AK103,"")</f>
        <v/>
      </c>
      <c r="AL102" s="240" t="str">
        <f aca="false">IFERROR((AL103-AL104)/AL103,"")</f>
        <v/>
      </c>
      <c r="AM102" s="240" t="str">
        <f aca="false">IFERROR((AM103-AM104)/AM103,"")</f>
        <v/>
      </c>
      <c r="AN102" s="241" t="str">
        <f aca="false">IFERROR((AN103-AN104)/AN103,"")</f>
        <v/>
      </c>
      <c r="AO102" s="242" t="str">
        <f aca="false">IFERROR((AO103-AO104)/AO103,"")</f>
        <v/>
      </c>
      <c r="AP102" s="243" t="str">
        <f aca="false">IFERROR((AP103-AP104)/AP103,"")</f>
        <v/>
      </c>
      <c r="AQ102" s="243" t="str">
        <f aca="false">IFERROR((AQ103-AQ104)/AQ103,"")</f>
        <v/>
      </c>
      <c r="AR102" s="243" t="str">
        <f aca="false">IFERROR((AR103-AR104)/AR103,"")</f>
        <v/>
      </c>
      <c r="AS102" s="243" t="str">
        <f aca="false">IFERROR((AS103-AS104)/AS103,"")</f>
        <v/>
      </c>
      <c r="AT102" s="243" t="str">
        <f aca="false">IFERROR((AT103-AT104)/AT103,"")</f>
        <v/>
      </c>
      <c r="AU102" s="244" t="str">
        <f aca="false">IFERROR((AU103-AU104)/AU103,"")</f>
        <v/>
      </c>
      <c r="AV102" s="245" t="str">
        <f aca="false">IFERROR((AV103-AV104)/AV103,"")</f>
        <v/>
      </c>
    </row>
    <row r="103" customFormat="false" ht="14.25" hidden="false" customHeight="false" outlineLevel="0" collapsed="false">
      <c r="A103" s="217" t="str">
        <f aca="false">+IF(C103+C104=0,"[ocultar]","")</f>
        <v>[ocultar]</v>
      </c>
      <c r="B103" s="323" t="s">
        <v>371</v>
      </c>
      <c r="C103" s="247" t="n">
        <f aca="false" t="array" ref="C103:C103">SUM(IF($B103=DATOS_[Sexo], IF($B102=DATOS_[AGRUP. VALOR. PTO.], IF("Dentro"=DATOS_[Check Periodo Ref.], 1/(COUNTIFS(DATOS_[Sexo],$B103,DATOS_[AGRUP. VALOR. PTO.],$B102,DATOS_[Check Periodo Ref.],"Dentro",DATOS_[id],DATOS_[id]))))))</f>
        <v>0</v>
      </c>
      <c r="D103" s="248" t="n">
        <f aca="false">COUNTIFS(DATOS_[AGRUP. VALOR. PTO.],$B102,DATOS_[Sexo],$B103,DATOS_[Check Periodo Ref.],"Dentro")</f>
        <v>0</v>
      </c>
      <c r="E103" s="248" t="n">
        <f aca="false">COUNTIFS(DATOS_[AGRUP. VALOR. PTO.],$B102,DATOS_[Sexo],$B103,DATOS_[Check Periodo Ref.],"Dentro",DATOS_[Check Nº SC Norm],"Sí")</f>
        <v>0</v>
      </c>
      <c r="F103" s="248" t="n">
        <f aca="false">COUNTIFS(DATOS_[AGRUP. VALOR. PTO.],$B102,DATOS_[Sexo],$B103,DATOS_[Check Periodo Ref.],"Dentro",DATOS_[Check Nº SC Anualiz],"Sí")</f>
        <v>0</v>
      </c>
      <c r="G103" s="248" t="n">
        <f aca="false">COUNTIFS(DATOS_[AGRUP. VALOR. PTO.],$B102,DATOS_[Sexo],$B103,DATOS_[Check Periodo Ref.],"Dentro",DATOS_[Check Nº SC Norm y Anualiz],"Sí")</f>
        <v>0</v>
      </c>
      <c r="H103" s="248" t="n">
        <f aca="false">COUNTIFS(DATOS_[AGRUP. VALOR. PTO.],$B102,DATOS_[Sexo],$B103,DATOS_[Check Periodo Ref.],"Dentro",DATOS_[Check Equiparación],"Sí")</f>
        <v>0</v>
      </c>
      <c r="I103" s="249" t="n">
        <f aca="false" t="array" ref="I103:I103">IFERROR( MEDIAN(IF(DATOS_[Sexo]=$B103,IF(DATOS_[[AGRUP. VALOR. PTO.]:[AGRUP. VALOR. PTO.]]=$B102,IF(DATOS_[Check Equiparado]="Sí",IF(DATOS_[Check Periodo Ref.]="Dentro",DATOS_[SALARIO BASE Eq],0))))), 0)</f>
        <v>0</v>
      </c>
      <c r="J103" s="250" t="n">
        <f aca="false" t="array" ref="J103:J103">IFERROR( (MEDIAN((IF(DATOS_[[Sexo]:[Sexo]]=$B103,IF(DATOS_[[AGRUP. VALOR. PTO.]:[AGRUP. VALOR. PTO.]]=$B102,IF(DATOS_[[Check Periodo Ref.]:[Check Periodo Ref.]]="Dentro",IF(DATOS_[[Check Equiparado]:[Check Equiparado]]="Sí",IF(DATOS!AE$4="Sí",(1/DATOS_[[% anualiz]:[% anualiz]]),1)*IF(DATOS!AE$5="Sí",1/DATOS_[[% normaliz]:[% normaliz]],1)*(DATOS_[Conc.Sal.01])))))))), 0)</f>
        <v>0</v>
      </c>
      <c r="K103" s="250" t="n">
        <f aca="false" t="array" ref="K103:K103">IFERROR( (MEDIAN((IF(DATOS_[[Sexo]:[Sexo]]=$B103,IF(DATOS_[[AGRUP. VALOR. PTO.]:[AGRUP. VALOR. PTO.]]=$B102,IF(DATOS_[[Check Periodo Ref.]:[Check Periodo Ref.]]="Dentro",IF(DATOS_[[Check Equiparado]:[Check Equiparado]]="Sí",IF(DATOS!AF$4="Sí",(1/DATOS_[[% anualiz]:[% anualiz]]),1)*IF(DATOS!AF$5="Sí",1/DATOS_[[% normaliz]:[% normaliz]],1)*(DATOS_[Conc.Sal.02])))))))), 0)</f>
        <v>0</v>
      </c>
      <c r="L103" s="250" t="n">
        <f aca="false" t="array" ref="L103:L103">IFERROR( (MEDIAN((IF(DATOS_[[Sexo]:[Sexo]]=$B103,IF(DATOS_[[AGRUP. VALOR. PTO.]:[AGRUP. VALOR. PTO.]]=$B102,IF(DATOS_[[Check Periodo Ref.]:[Check Periodo Ref.]]="Dentro",IF(DATOS_[[Check Equiparado]:[Check Equiparado]]="Sí",IF(DATOS!AG$4="Sí",(1/DATOS_[[% anualiz]:[% anualiz]]),1)*IF(DATOS!AG$5="Sí",1/DATOS_[[% normaliz]:[% normaliz]],1)*(DATOS_[Conc.Sal.03])))))))), 0)</f>
        <v>0</v>
      </c>
      <c r="M103" s="250" t="n">
        <f aca="false" t="array" ref="M103:M103">IFERROR( (MEDIAN((IF(DATOS_[[Sexo]:[Sexo]]=$B103,IF(DATOS_[[AGRUP. VALOR. PTO.]:[AGRUP. VALOR. PTO.]]=$B102,IF(DATOS_[[Check Periodo Ref.]:[Check Periodo Ref.]]="Dentro",IF(DATOS_[[Check Equiparado]:[Check Equiparado]]="Sí",IF(DATOS!AH$4="Sí",(1/DATOS_[[% anualiz]:[% anualiz]]),1)*IF(DATOS!AH$5="Sí",1/DATOS_[[% normaliz]:[% normaliz]],1)*(DATOS_[Conc.Sal.04])))))))), 0)</f>
        <v>0</v>
      </c>
      <c r="N103" s="250" t="n">
        <f aca="false" t="array" ref="N103:N103">IFERROR( (MEDIAN((IF(DATOS_[[Sexo]:[Sexo]]=$B103,IF(DATOS_[[AGRUP. VALOR. PTO.]:[AGRUP. VALOR. PTO.]]=$B102,IF(DATOS_[[Check Periodo Ref.]:[Check Periodo Ref.]]="Dentro",IF(DATOS_[[Check Equiparado]:[Check Equiparado]]="Sí",IF(DATOS!AI$4="Sí",(1/DATOS_[[% anualiz]:[% anualiz]]),1)*IF(DATOS!AI$5="Sí",1/DATOS_[[% normaliz]:[% normaliz]],1)*(DATOS_[Conc.Sal.05])))))))), 0)</f>
        <v>0</v>
      </c>
      <c r="O103" s="250" t="n">
        <f aca="false" t="array" ref="O103:O103">IFERROR( (MEDIAN((IF(DATOS_[[Sexo]:[Sexo]]=$B103,IF(DATOS_[[AGRUP. VALOR. PTO.]:[AGRUP. VALOR. PTO.]]=$B102,IF(DATOS_[[Check Periodo Ref.]:[Check Periodo Ref.]]="Dentro",IF(DATOS_[[Check Equiparado]:[Check Equiparado]]="Sí",IF(DATOS!AJ$4="Sí",(1/DATOS_[[% anualiz]:[% anualiz]]),1)*IF(DATOS!AJ$5="Sí",1/DATOS_[[% normaliz]:[% normaliz]],1)*(DATOS_[Conc.Sal.06])))))))), 0)</f>
        <v>0</v>
      </c>
      <c r="P103" s="250" t="n">
        <f aca="false" t="array" ref="P103:P103">IFERROR( (MEDIAN((IF(DATOS_[[Sexo]:[Sexo]]=$B103,IF(DATOS_[[AGRUP. VALOR. PTO.]:[AGRUP. VALOR. PTO.]]=$B102,IF(DATOS_[[Check Periodo Ref.]:[Check Periodo Ref.]]="Dentro",IF(DATOS_[[Check Equiparado]:[Check Equiparado]]="Sí",IF(DATOS!AK$4="Sí",(1/DATOS_[[% anualiz]:[% anualiz]]),1)*IF(DATOS!AK$5="Sí",1/DATOS_[[% normaliz]:[% normaliz]],1)*(DATOS_[Conc.Sal.07])))))))), 0)</f>
        <v>0</v>
      </c>
      <c r="Q103" s="250" t="n">
        <f aca="false" t="array" ref="Q103:Q103">IFERROR( (MEDIAN((IF(DATOS_[[Sexo]:[Sexo]]=$B103,IF(DATOS_[[AGRUP. VALOR. PTO.]:[AGRUP. VALOR. PTO.]]=$B102,IF(DATOS_[[Check Periodo Ref.]:[Check Periodo Ref.]]="Dentro",IF(DATOS_[[Check Equiparado]:[Check Equiparado]]="Sí",IF(DATOS!AL$4="Sí",(1/DATOS_[[% anualiz]:[% anualiz]]),1)*IF(DATOS!AL$5="Sí",1/DATOS_[[% normaliz]:[% normaliz]],1)*(DATOS_[Conc.Sal.08])))))))), 0)</f>
        <v>0</v>
      </c>
      <c r="R103" s="250" t="n">
        <f aca="false" t="array" ref="R103:R103">IFERROR( (MEDIAN((IF(DATOS_[[Sexo]:[Sexo]]=$B103,IF(DATOS_[[AGRUP. VALOR. PTO.]:[AGRUP. VALOR. PTO.]]=$B102,IF(DATOS_[[Check Periodo Ref.]:[Check Periodo Ref.]]="Dentro",IF(DATOS_[[Check Equiparado]:[Check Equiparado]]="Sí",IF(DATOS!AM$4="Sí",(1/DATOS_[[% anualiz]:[% anualiz]]),1)*IF(DATOS!AM$5="Sí",1/DATOS_[[% normaliz]:[% normaliz]],1)*(DATOS_[Conc.Sal.09])))))))), 0)</f>
        <v>0</v>
      </c>
      <c r="S103" s="250" t="n">
        <f aca="false" t="array" ref="S103:S103">IFERROR( (MEDIAN((IF(DATOS_[[Sexo]:[Sexo]]=$B103,IF(DATOS_[[AGRUP. VALOR. PTO.]:[AGRUP. VALOR. PTO.]]=$B102,IF(DATOS_[[Check Periodo Ref.]:[Check Periodo Ref.]]="Dentro",IF(DATOS_[[Check Equiparado]:[Check Equiparado]]="Sí",IF(DATOS!AN$4="Sí",(1/DATOS_[[% anualiz]:[% anualiz]]),1)*IF(DATOS!AN$5="Sí",1/DATOS_[[% normaliz]:[% normaliz]],1)*(DATOS_[Conc.Sal.10])))))))), 0)</f>
        <v>0</v>
      </c>
      <c r="T103" s="250" t="n">
        <f aca="false" t="array" ref="T103:T103">IFERROR( (MEDIAN((IF(DATOS_[[Sexo]:[Sexo]]=$B103,IF(DATOS_[[AGRUP. VALOR. PTO.]:[AGRUP. VALOR. PTO.]]=$B102,IF(DATOS_[[Check Periodo Ref.]:[Check Periodo Ref.]]="Dentro",IF(DATOS_[[Check Equiparado]:[Check Equiparado]]="Sí",IF(DATOS!AO$4="Sí",(1/DATOS_[[% anualiz]:[% anualiz]]),1)*IF(DATOS!AO$5="Sí",1/DATOS_[[% normaliz]:[% normaliz]],1)*(DATOS_[Conc.Sal.11])))))))), 0)</f>
        <v>0</v>
      </c>
      <c r="U103" s="250" t="n">
        <f aca="false" t="array" ref="U103:U103">IFERROR( (MEDIAN((IF(DATOS_[[Sexo]:[Sexo]]=$B103,IF(DATOS_[[AGRUP. VALOR. PTO.]:[AGRUP. VALOR. PTO.]]=$B102,IF(DATOS_[[Check Periodo Ref.]:[Check Periodo Ref.]]="Dentro",IF(DATOS_[[Check Equiparado]:[Check Equiparado]]="Sí",IF(DATOS!AP$4="Sí",(1/DATOS_[[% anualiz]:[% anualiz]]),1)*IF(DATOS!AP$5="Sí",1/DATOS_[[% normaliz]:[% normaliz]],1)*(DATOS_[Conc.Sal.12])))))))), 0)</f>
        <v>0</v>
      </c>
      <c r="V103" s="250" t="n">
        <f aca="false" t="array" ref="V103:V103">IFERROR( (MEDIAN((IF(DATOS_[[Sexo]:[Sexo]]=$B103,IF(DATOS_[[AGRUP. VALOR. PTO.]:[AGRUP. VALOR. PTO.]]=$B102,IF(DATOS_[[Check Periodo Ref.]:[Check Periodo Ref.]]="Dentro",IF(DATOS_[[Check Equiparado]:[Check Equiparado]]="Sí",IF(DATOS!AQ$4="Sí",(1/DATOS_[[% anualiz]:[% anualiz]]),1)*IF(DATOS!AQ$5="Sí",1/DATOS_[[% normaliz]:[% normaliz]],1)*(DATOS_[Conc.Sal.13])))))))), 0)</f>
        <v>0</v>
      </c>
      <c r="W103" s="250" t="n">
        <f aca="false" t="array" ref="W103:W103">IFERROR( (MEDIAN((IF(DATOS_[[Sexo]:[Sexo]]=$B103,IF(DATOS_[[AGRUP. VALOR. PTO.]:[AGRUP. VALOR. PTO.]]=$B102,IF(DATOS_[[Check Periodo Ref.]:[Check Periodo Ref.]]="Dentro",IF(DATOS_[[Check Equiparado]:[Check Equiparado]]="Sí",IF(DATOS!AR$4="Sí",(1/DATOS_[[% anualiz]:[% anualiz]]),1)*IF(DATOS!AR$5="Sí",1/DATOS_[[% normaliz]:[% normaliz]],1)*(DATOS_[Conc.Sal.14])))))))), 0)</f>
        <v>0</v>
      </c>
      <c r="X103" s="250" t="n">
        <f aca="false" t="array" ref="X103:X103">IFERROR( (MEDIAN((IF(DATOS_[[Sexo]:[Sexo]]=$B103,IF(DATOS_[[AGRUP. VALOR. PTO.]:[AGRUP. VALOR. PTO.]]=$B102,IF(DATOS_[[Check Periodo Ref.]:[Check Periodo Ref.]]="Dentro",IF(DATOS_[[Check Equiparado]:[Check Equiparado]]="Sí",IF(DATOS!AS$4="Sí",(1/DATOS_[[% anualiz]:[% anualiz]]),1)*IF(DATOS!AS$5="Sí",1/DATOS_[[% normaliz]:[% normaliz]],1)*(DATOS_[Conc.Sal.15])))))))), 0)</f>
        <v>0</v>
      </c>
      <c r="Y103" s="250" t="n">
        <f aca="false" t="array" ref="Y103:Y103">IFERROR( (MEDIAN((IF(DATOS_[[Sexo]:[Sexo]]=$B103,IF(DATOS_[[AGRUP. VALOR. PTO.]:[AGRUP. VALOR. PTO.]]=$B102,IF(DATOS_[[Check Periodo Ref.]:[Check Periodo Ref.]]="Dentro",IF(DATOS_[[Check Equiparado]:[Check Equiparado]]="Sí",IF(DATOS!AT$4="Sí",(1/DATOS_[[% anualiz]:[% anualiz]]),1)*IF(DATOS!AT$5="Sí",1/DATOS_[[% normaliz]:[% normaliz]],1)*(DATOS_[Conc.Sal.16])))))))), 0)</f>
        <v>0</v>
      </c>
      <c r="Z103" s="250" t="n">
        <f aca="false" t="array" ref="Z103:Z103">IFERROR( (MEDIAN((IF(DATOS_[[Sexo]:[Sexo]]=$B103,IF(DATOS_[[AGRUP. VALOR. PTO.]:[AGRUP. VALOR. PTO.]]=$B102,IF(DATOS_[[Check Periodo Ref.]:[Check Periodo Ref.]]="Dentro",IF(DATOS_[[Check Equiparado]:[Check Equiparado]]="Sí",IF(DATOS!AU$4="Sí",(1/DATOS_[[% anualiz]:[% anualiz]]),1)*IF(DATOS!AU$5="Sí",1/DATOS_[[% normaliz]:[% normaliz]],1)*(DATOS_[Conc.Sal.17])))))))), 0)</f>
        <v>0</v>
      </c>
      <c r="AA103" s="250" t="n">
        <f aca="false" t="array" ref="AA103:AA103">IFERROR( (MEDIAN((IF(DATOS_[[Sexo]:[Sexo]]=$B103,IF(DATOS_[[AGRUP. VALOR. PTO.]:[AGRUP. VALOR. PTO.]]=$B102,IF(DATOS_[[Check Periodo Ref.]:[Check Periodo Ref.]]="Dentro",IF(DATOS_[[Check Equiparado]:[Check Equiparado]]="Sí",IF(DATOS!AV$4="Sí",(1/DATOS_[[% anualiz]:[% anualiz]]),1)*IF(DATOS!AV$5="Sí",1/DATOS_[[% normaliz]:[% normaliz]],1)*(DATOS_[Conc.Sal.18])))))))), 0)</f>
        <v>0</v>
      </c>
      <c r="AB103" s="250" t="n">
        <f aca="false" t="array" ref="AB103:AB103">IFERROR( (MEDIAN((IF(DATOS_[[Sexo]:[Sexo]]=$B103,IF(DATOS_[[AGRUP. VALOR. PTO.]:[AGRUP. VALOR. PTO.]]=$B102,IF(DATOS_[[Check Periodo Ref.]:[Check Periodo Ref.]]="Dentro",IF(DATOS_[[Check Equiparado]:[Check Equiparado]]="Sí",IF(DATOS!AW$4="Sí",(1/DATOS_[[% anualiz]:[% anualiz]]),1)*IF(DATOS!AW$5="Sí",1/DATOS_[[% normaliz]:[% normaliz]],1)*(DATOS_[Conc.Sal.19])))))))), 0)</f>
        <v>0</v>
      </c>
      <c r="AC103" s="250" t="n">
        <f aca="false" t="array" ref="AC103:AC103">IFERROR( (MEDIAN((IF(DATOS_[[Sexo]:[Sexo]]=$B103,IF(DATOS_[[AGRUP. VALOR. PTO.]:[AGRUP. VALOR. PTO.]]=$B102,IF(DATOS_[[Check Periodo Ref.]:[Check Periodo Ref.]]="Dentro",IF(DATOS_[[Check Equiparado]:[Check Equiparado]]="Sí",IF(DATOS!AX$4="Sí",(1/DATOS_[[% anualiz]:[% anualiz]]),1)*IF(DATOS!AX$5="Sí",1/DATOS_[[% normaliz]:[% normaliz]],1)*(DATOS_[Conc.Sal.20])))))))), 0)</f>
        <v>0</v>
      </c>
      <c r="AD103" s="250" t="n">
        <f aca="false" t="array" ref="AD103:AD103">IFERROR( (MEDIAN((IF(DATOS_[[Sexo]:[Sexo]]=$B103,IF(DATOS_[[AGRUP. VALOR. PTO.]:[AGRUP. VALOR. PTO.]]=$B102,IF(DATOS_[[Check Periodo Ref.]:[Check Periodo Ref.]]="Dentro",IF(DATOS_[[Check Equiparado]:[Check Equiparado]]="Sí",IF(DATOS!AY$4="Sí",(1/DATOS_[[% anualiz]:[% anualiz]]),1)*IF(DATOS!AY$5="Sí",1/DATOS_[[% normaliz]:[% normaliz]],1)*(DATOS_[Conc.Sal.21])))))))), 0)</f>
        <v>0</v>
      </c>
      <c r="AE103" s="250" t="n">
        <f aca="false" t="array" ref="AE103:AE103">IFERROR( (MEDIAN((IF(DATOS_[[Sexo]:[Sexo]]=$B103,IF(DATOS_[[AGRUP. VALOR. PTO.]:[AGRUP. VALOR. PTO.]]=$B102,IF(DATOS_[[Check Periodo Ref.]:[Check Periodo Ref.]]="Dentro",IF(DATOS_[[Check Equiparado]:[Check Equiparado]]="Sí",IF(DATOS!AZ$4="Sí",(1/DATOS_[[% anualiz]:[% anualiz]]),1)*IF(DATOS!AZ$5="Sí",1/DATOS_[[% normaliz]:[% normaliz]],1)*(DATOS_[Conc.Sal.22])))))))), 0)</f>
        <v>0</v>
      </c>
      <c r="AF103" s="250" t="n">
        <f aca="false" t="array" ref="AF103:AF103">IFERROR( (MEDIAN((IF(DATOS_[[Sexo]:[Sexo]]=$B103,IF(DATOS_[[AGRUP. VALOR. PTO.]:[AGRUP. VALOR. PTO.]]=$B102,IF(DATOS_[[Check Periodo Ref.]:[Check Periodo Ref.]]="Dentro",IF(DATOS_[[Check Equiparado]:[Check Equiparado]]="Sí",IF(DATOS!BA$4="Sí",(1/DATOS_[[% anualiz]:[% anualiz]]),1)*IF(DATOS!BA$5="Sí",1/DATOS_[[% normaliz]:[% normaliz]],1)*(DATOS_[Conc.Sal.23])))))))), 0)</f>
        <v>0</v>
      </c>
      <c r="AG103" s="250" t="n">
        <f aca="false" t="array" ref="AG103:AG103">IFERROR( (MEDIAN((IF(DATOS_[[Sexo]:[Sexo]]=$B103,IF(DATOS_[[AGRUP. VALOR. PTO.]:[AGRUP. VALOR. PTO.]]=$B102,IF(DATOS_[[Check Periodo Ref.]:[Check Periodo Ref.]]="Dentro",IF(DATOS_[[Check Equiparado]:[Check Equiparado]]="Sí",IF(DATOS!BB$4="Sí",(1/DATOS_[[% anualiz]:[% anualiz]]),1)*IF(DATOS!BB$5="Sí",1/DATOS_[[% normaliz]:[% normaliz]],1)*(DATOS_[Conc.Sal.24])))))))), 0)</f>
        <v>0</v>
      </c>
      <c r="AH103" s="250" t="n">
        <f aca="false" t="array" ref="AH103:AH103">IFERROR( (MEDIAN((IF(DATOS_[[Sexo]:[Sexo]]=$B103,IF(DATOS_[[AGRUP. VALOR. PTO.]:[AGRUP. VALOR. PTO.]]=$B102,IF(DATOS_[[Check Periodo Ref.]:[Check Periodo Ref.]]="Dentro",IF(DATOS_[[Check Equiparado]:[Check Equiparado]]="Sí",IF(DATOS!BC$4="Sí",(1/DATOS_[[% anualiz]:[% anualiz]]),1)*IF(DATOS!BC$5="Sí",1/DATOS_[[% normaliz]:[% normaliz]],1)*(DATOS_[Conc.Sal.25])))))))), 0)</f>
        <v>0</v>
      </c>
      <c r="AI103" s="250" t="n">
        <f aca="false" t="array" ref="AI103:AI103">IFERROR( (MEDIAN((IF(DATOS_[[Sexo]:[Sexo]]=$B103,IF(DATOS_[[AGRUP. VALOR. PTO.]:[AGRUP. VALOR. PTO.]]=$B102,IF(DATOS_[[Check Periodo Ref.]:[Check Periodo Ref.]]="Dentro",IF(DATOS_[[Check Equiparado]:[Check Equiparado]]="Sí",IF(DATOS!BD$4="Sí",(1/DATOS_[[% anualiz]:[% anualiz]]),1)*IF(DATOS!BD$5="Sí",1/DATOS_[[% normaliz]:[% normaliz]],1)*(DATOS_[Conc.Sal.26])))))))), 0)</f>
        <v>0</v>
      </c>
      <c r="AJ103" s="250" t="n">
        <f aca="false" t="array" ref="AJ103:AJ103">IFERROR( (MEDIAN((IF(DATOS_[[Sexo]:[Sexo]]=$B103,IF(DATOS_[[AGRUP. VALOR. PTO.]:[AGRUP. VALOR. PTO.]]=$B102,IF(DATOS_[[Check Periodo Ref.]:[Check Periodo Ref.]]="Dentro",IF(DATOS_[[Check Equiparado]:[Check Equiparado]]="Sí",IF(DATOS!BE$4="Sí",(1/DATOS_[[% anualiz]:[% anualiz]]),1)*IF(DATOS!BE$5="Sí",1/DATOS_[[% normaliz]:[% normaliz]],1)*(DATOS_[Conc.Sal.27])))))))), 0)</f>
        <v>0</v>
      </c>
      <c r="AK103" s="250" t="n">
        <f aca="false" t="array" ref="AK103:AK103">IFERROR( (MEDIAN((IF(DATOS_[[Sexo]:[Sexo]]=$B103,IF(DATOS_[[AGRUP. VALOR. PTO.]:[AGRUP. VALOR. PTO.]]=$B102,IF(DATOS_[[Check Periodo Ref.]:[Check Periodo Ref.]]="Dentro",IF(DATOS_[[Check Equiparado]:[Check Equiparado]]="Sí",IF(DATOS!BF$4="Sí",(1/DATOS_[[% anualiz]:[% anualiz]]),1)*IF(DATOS!BF$5="Sí",1/DATOS_[[% normaliz]:[% normaliz]],1)*(DATOS_[Conc.Sal.28])))))))), 0)</f>
        <v>0</v>
      </c>
      <c r="AL103" s="250" t="n">
        <f aca="false" t="array" ref="AL103:AL103">IFERROR( (MEDIAN((IF(DATOS_[[Sexo]:[Sexo]]=$B103,IF(DATOS_[[AGRUP. VALOR. PTO.]:[AGRUP. VALOR. PTO.]]=$B102,IF(DATOS_[[Check Periodo Ref.]:[Check Periodo Ref.]]="Dentro",IF(DATOS_[[Check Equiparado]:[Check Equiparado]]="Sí",IF(DATOS!BG$4="Sí",(1/DATOS_[[% anualiz]:[% anualiz]]),1)*IF(DATOS!BG$5="Sí",1/DATOS_[[% normaliz]:[% normaliz]],1)*(DATOS_[Conc.Sal.29])))))))), 0)</f>
        <v>0</v>
      </c>
      <c r="AM103" s="250" t="n">
        <f aca="false" t="array" ref="AM103:AM103">IFERROR( (MEDIAN((IF(DATOS_[[Sexo]:[Sexo]]=$B103,IF(DATOS_[[AGRUP. VALOR. PTO.]:[AGRUP. VALOR. PTO.]]=$B102,IF(DATOS_[[Check Periodo Ref.]:[Check Periodo Ref.]]="Dentro",IF(DATOS_[[Check Equiparado]:[Check Equiparado]]="Sí",IF(DATOS!BH$4="Sí",(1/DATOS_[[% anualiz]:[% anualiz]]),1)*IF(DATOS!BH$5="Sí",1/DATOS_[[% normaliz]:[% normaliz]],1)*(DATOS_[Conc.Sal.30])))))))), 0)</f>
        <v>0</v>
      </c>
      <c r="AN103" s="251" t="n">
        <f aca="false" t="array" ref="AN103:AN103">IFERROR( MEDIAN(IF(DATOS_[Sexo]=$B103,IF(DATOS_[[AGRUP. VALOR. PTO.]:[AGRUP. VALOR. PTO.]]=$B102,IF(DATOS_[Check Equiparado]="Sí",IF(DATOS_[Check Periodo Ref.]="Dentro",DATOS_[Tot COMPL.SAL Eq],0))))), 0)</f>
        <v>0</v>
      </c>
      <c r="AO103" s="252" t="n">
        <f aca="false" t="array" ref="AO103:AO103">IFERROR( MEDIAN(IF(DATOS_[Sexo]=$B103,IF(DATOS_[[AGRUP. VALOR. PTO.]:[AGRUP. VALOR. PTO.]]=$B102,IF(DATOS_[Check Equiparado]="Sí",IF(DATOS_[Check Periodo Ref.]="Dentro",DATOS_[TOTAL SALARIO Eq],0))))), 0)</f>
        <v>0</v>
      </c>
      <c r="AP103" s="259" t="n">
        <f aca="false" t="array" ref="AP103:AP103">IFERROR( (MEDIAN((IF(DATOS_[[Sexo]:[Sexo]]=$B103,IF(DATOS_[[AGRUP. VALOR. PTO.]:[AGRUP. VALOR. PTO.]]=$B102,IF(DATOS_[[Check Periodo Ref.]:[Check Periodo Ref.]]="Dentro",IF(DATOS_[[Check Equiparado]:[Check Equiparado]]="Sí",IF(DATOS!BI$4="Sí",(1/DATOS_[[% anualiz]:[% anualiz]]),1)*IF(DATOS!BI$5="Sí",1/DATOS_[[% normaliz]:[% normaliz]],1)*(DATOS_[C.Extra.01])))))))), 0)</f>
        <v>0</v>
      </c>
      <c r="AQ103" s="259" t="n">
        <f aca="false" t="array" ref="AQ103:AQ103">IFERROR( (MEDIAN((IF(DATOS_[[Sexo]:[Sexo]]=$B103,IF(DATOS_[[AGRUP. VALOR. PTO.]:[AGRUP. VALOR. PTO.]]=$B102,IF(DATOS_[[Check Periodo Ref.]:[Check Periodo Ref.]]="Dentro",IF(DATOS_[[Check Equiparado]:[Check Equiparado]]="Sí",IF(DATOS!BJ$4="Sí",(1/DATOS_[[% anualiz]:[% anualiz]]),1)*IF(DATOS!BJ$5="Sí",1/DATOS_[[% normaliz]:[% normaliz]],1)*(DATOS_[C.Extra.02])))))))), 0)</f>
        <v>0</v>
      </c>
      <c r="AR103" s="259" t="n">
        <f aca="false" t="array" ref="AR103:AR103">IFERROR( (MEDIAN((IF(DATOS_[[Sexo]:[Sexo]]=$B103,IF(DATOS_[[AGRUP. VALOR. PTO.]:[AGRUP. VALOR. PTO.]]=$B102,IF(DATOS_[[Check Periodo Ref.]:[Check Periodo Ref.]]="Dentro",IF(DATOS_[[Check Equiparado]:[Check Equiparado]]="Sí",IF(DATOS!BK$4="Sí",(1/DATOS_[[% anualiz]:[% anualiz]]),1)*IF(DATOS!BK$5="Sí",1/DATOS_[[% normaliz]:[% normaliz]],1)*(DATOS_[C.Extra.03])))))))), 0)</f>
        <v>0</v>
      </c>
      <c r="AS103" s="259" t="n">
        <f aca="false" t="array" ref="AS103:AS103">IFERROR( (MEDIAN((IF(DATOS_[[Sexo]:[Sexo]]=$B103,IF(DATOS_[[AGRUP. VALOR. PTO.]:[AGRUP. VALOR. PTO.]]=$B102,IF(DATOS_[[Check Periodo Ref.]:[Check Periodo Ref.]]="Dentro",IF(DATOS_[[Check Equiparado]:[Check Equiparado]]="Sí",IF(DATOS!BL$4="Sí",(1/DATOS_[[% anualiz]:[% anualiz]]),1)*IF(DATOS!BL$5="Sí",1/DATOS_[[% normaliz]:[% normaliz]],1)*(DATOS_[C.Extra.04])))))))), 0)</f>
        <v>0</v>
      </c>
      <c r="AT103" s="259" t="n">
        <f aca="false" t="array" ref="AT103:AT103">IFERROR( (MEDIAN((IF(DATOS_[[Sexo]:[Sexo]]=$B103,IF(DATOS_[[AGRUP. VALOR. PTO.]:[AGRUP. VALOR. PTO.]]=$B102,IF(DATOS_[[Check Periodo Ref.]:[Check Periodo Ref.]]="Dentro",IF(DATOS_[[Check Equiparado]:[Check Equiparado]]="Sí",IF(DATOS!BM$4="Sí",(1/DATOS_[[% anualiz]:[% anualiz]]),1)*IF(DATOS!BM$5="Sí",1/DATOS_[[% normaliz]:[% normaliz]],1)*(DATOS_[C.Extra.05])))))))), 0)</f>
        <v>0</v>
      </c>
      <c r="AU103" s="254" t="n">
        <f aca="false" t="array" ref="AU103:AU103">IFERROR( MEDIAN(IF(DATOS_[Sexo]=$B103,IF(DATOS_[[AGRUP. VALOR. PTO.]:[AGRUP. VALOR. PTO.]]=$B102,IF(DATOS_[Check Equiparado]="Sí",IF(DATOS_[Check Periodo Ref.]="Dentro",DATOS_[Tot Extrasalarial Eq],0))))), 0)</f>
        <v>0</v>
      </c>
      <c r="AV103" s="255" t="n">
        <f aca="false" t="array" ref="AV103:AV103">IFERROR( MEDIAN(IF(DATOS_[Sexo]=$B103,IF(DATOS_[[AGRUP. VALOR. PTO.]:[AGRUP. VALOR. PTO.]]=$B102,IF(DATOS_[Check Equiparado]="Sí",IF(DATOS_[Check Periodo Ref.]="Dentro",DATOS_[TOTAL Retrib Eq],0))))), 0)</f>
        <v>0</v>
      </c>
    </row>
    <row r="104" customFormat="false" ht="14.25" hidden="false" customHeight="false" outlineLevel="0" collapsed="false">
      <c r="A104" s="217" t="str">
        <f aca="false">+A103</f>
        <v>[ocultar]</v>
      </c>
      <c r="B104" s="323" t="s">
        <v>372</v>
      </c>
      <c r="C104" s="247" t="n">
        <f aca="false" t="array" ref="C104:C104">SUM(IF($B104=DATOS_[Sexo], IF($B102=DATOS_[AGRUP. VALOR. PTO.], IF("Dentro"=DATOS_[Check Periodo Ref.], 1/(COUNTIFS(DATOS_[Sexo],$B104,DATOS_[AGRUP. VALOR. PTO.],$B102,DATOS_[Check Periodo Ref.],"Dentro",DATOS_[id],DATOS_[id]))))))</f>
        <v>0</v>
      </c>
      <c r="D104" s="248" t="n">
        <f aca="false">COUNTIFS(DATOS_[AGRUP. VALOR. PTO.],$B102,DATOS_[Sexo],$B104,DATOS_[Check Periodo Ref.],"Dentro")</f>
        <v>0</v>
      </c>
      <c r="E104" s="248" t="n">
        <f aca="false">COUNTIFS(DATOS_[AGRUP. VALOR. PTO.],$B102,DATOS_[Sexo],$B104,DATOS_[Check Periodo Ref.],"Dentro",DATOS_[Check Nº SC Norm],"Sí")</f>
        <v>0</v>
      </c>
      <c r="F104" s="248" t="n">
        <f aca="false">COUNTIFS(DATOS_[AGRUP. VALOR. PTO.],$B102,DATOS_[Sexo],$B104,DATOS_[Check Periodo Ref.],"Dentro",DATOS_[Check Nº SC Anualiz],"Sí")</f>
        <v>0</v>
      </c>
      <c r="G104" s="248" t="n">
        <f aca="false">COUNTIFS(DATOS_[AGRUP. VALOR. PTO.],$B102,DATOS_[Sexo],$B104,DATOS_[Check Periodo Ref.],"Dentro",DATOS_[Check Nº SC Norm y Anualiz],"Sí")</f>
        <v>0</v>
      </c>
      <c r="H104" s="248" t="n">
        <f aca="false">COUNTIFS(DATOS_[AGRUP. VALOR. PTO.],$B102,DATOS_[Sexo],$B104,DATOS_[Check Periodo Ref.],"Dentro",DATOS_[Check Equiparación],"Sí")</f>
        <v>0</v>
      </c>
      <c r="I104" s="249" t="n">
        <f aca="false" t="array" ref="I104:I104">IFERROR( MEDIAN(IF(DATOS_[Sexo]=$B104,IF(DATOS_[[AGRUP. VALOR. PTO.]:[AGRUP. VALOR. PTO.]]=$B102,IF(DATOS_[Check Equiparado]="Sí",IF(DATOS_[Check Periodo Ref.]="Dentro",DATOS_[SALARIO BASE Eq],0))))), 0)</f>
        <v>0</v>
      </c>
      <c r="J104" s="250" t="n">
        <f aca="false" t="array" ref="J104:J104">IFERROR( (MEDIAN((IF(DATOS_[[Sexo]:[Sexo]]=$B104,IF(DATOS_[[AGRUP. VALOR. PTO.]:[AGRUP. VALOR. PTO.]]=$B102,IF(DATOS_[[Check Periodo Ref.]:[Check Periodo Ref.]]="Dentro",IF(DATOS_[[Check Equiparado]:[Check Equiparado]]="Sí",IF(DATOS!AE$4="Sí",(1/DATOS_[[% anualiz]:[% anualiz]]),1)*IF(DATOS!AE$5="Sí",1/DATOS_[[% normaliz]:[% normaliz]],1)*(DATOS_[Conc.Sal.01])))))))), 0)</f>
        <v>0</v>
      </c>
      <c r="K104" s="250" t="n">
        <f aca="false" t="array" ref="K104:K104">IFERROR( (MEDIAN((IF(DATOS_[[Sexo]:[Sexo]]=$B104,IF(DATOS_[[AGRUP. VALOR. PTO.]:[AGRUP. VALOR. PTO.]]=$B102,IF(DATOS_[[Check Periodo Ref.]:[Check Periodo Ref.]]="Dentro",IF(DATOS_[[Check Equiparado]:[Check Equiparado]]="Sí",IF(DATOS!AF$4="Sí",(1/DATOS_[[% anualiz]:[% anualiz]]),1)*IF(DATOS!AF$5="Sí",1/DATOS_[[% normaliz]:[% normaliz]],1)*(DATOS_[Conc.Sal.02])))))))), 0)</f>
        <v>0</v>
      </c>
      <c r="L104" s="250" t="n">
        <f aca="false" t="array" ref="L104:L104">IFERROR( (MEDIAN((IF(DATOS_[[Sexo]:[Sexo]]=$B104,IF(DATOS_[[AGRUP. VALOR. PTO.]:[AGRUP. VALOR. PTO.]]=$B102,IF(DATOS_[[Check Periodo Ref.]:[Check Periodo Ref.]]="Dentro",IF(DATOS_[[Check Equiparado]:[Check Equiparado]]="Sí",IF(DATOS!AG$4="Sí",(1/DATOS_[[% anualiz]:[% anualiz]]),1)*IF(DATOS!AG$5="Sí",1/DATOS_[[% normaliz]:[% normaliz]],1)*(DATOS_[Conc.Sal.03])))))))), 0)</f>
        <v>0</v>
      </c>
      <c r="M104" s="250" t="n">
        <f aca="false" t="array" ref="M104:M104">IFERROR( (MEDIAN((IF(DATOS_[[Sexo]:[Sexo]]=$B104,IF(DATOS_[[AGRUP. VALOR. PTO.]:[AGRUP. VALOR. PTO.]]=$B102,IF(DATOS_[[Check Periodo Ref.]:[Check Periodo Ref.]]="Dentro",IF(DATOS_[[Check Equiparado]:[Check Equiparado]]="Sí",IF(DATOS!AH$4="Sí",(1/DATOS_[[% anualiz]:[% anualiz]]),1)*IF(DATOS!AH$5="Sí",1/DATOS_[[% normaliz]:[% normaliz]],1)*(DATOS_[Conc.Sal.04])))))))), 0)</f>
        <v>0</v>
      </c>
      <c r="N104" s="250" t="n">
        <f aca="false" t="array" ref="N104:N104">IFERROR( (MEDIAN((IF(DATOS_[[Sexo]:[Sexo]]=$B104,IF(DATOS_[[AGRUP. VALOR. PTO.]:[AGRUP. VALOR. PTO.]]=$B102,IF(DATOS_[[Check Periodo Ref.]:[Check Periodo Ref.]]="Dentro",IF(DATOS_[[Check Equiparado]:[Check Equiparado]]="Sí",IF(DATOS!AI$4="Sí",(1/DATOS_[[% anualiz]:[% anualiz]]),1)*IF(DATOS!AI$5="Sí",1/DATOS_[[% normaliz]:[% normaliz]],1)*(DATOS_[Conc.Sal.05])))))))), 0)</f>
        <v>0</v>
      </c>
      <c r="O104" s="250" t="n">
        <f aca="false" t="array" ref="O104:O104">IFERROR( (MEDIAN((IF(DATOS_[[Sexo]:[Sexo]]=$B104,IF(DATOS_[[AGRUP. VALOR. PTO.]:[AGRUP. VALOR. PTO.]]=$B102,IF(DATOS_[[Check Periodo Ref.]:[Check Periodo Ref.]]="Dentro",IF(DATOS_[[Check Equiparado]:[Check Equiparado]]="Sí",IF(DATOS!AJ$4="Sí",(1/DATOS_[[% anualiz]:[% anualiz]]),1)*IF(DATOS!AJ$5="Sí",1/DATOS_[[% normaliz]:[% normaliz]],1)*(DATOS_[Conc.Sal.06])))))))), 0)</f>
        <v>0</v>
      </c>
      <c r="P104" s="250" t="n">
        <f aca="false" t="array" ref="P104:P104">IFERROR( (MEDIAN((IF(DATOS_[[Sexo]:[Sexo]]=$B104,IF(DATOS_[[AGRUP. VALOR. PTO.]:[AGRUP. VALOR. PTO.]]=$B102,IF(DATOS_[[Check Periodo Ref.]:[Check Periodo Ref.]]="Dentro",IF(DATOS_[[Check Equiparado]:[Check Equiparado]]="Sí",IF(DATOS!AK$4="Sí",(1/DATOS_[[% anualiz]:[% anualiz]]),1)*IF(DATOS!AK$5="Sí",1/DATOS_[[% normaliz]:[% normaliz]],1)*(DATOS_[Conc.Sal.07])))))))), 0)</f>
        <v>0</v>
      </c>
      <c r="Q104" s="250" t="n">
        <f aca="false" t="array" ref="Q104:Q104">IFERROR( (MEDIAN((IF(DATOS_[[Sexo]:[Sexo]]=$B104,IF(DATOS_[[AGRUP. VALOR. PTO.]:[AGRUP. VALOR. PTO.]]=$B102,IF(DATOS_[[Check Periodo Ref.]:[Check Periodo Ref.]]="Dentro",IF(DATOS_[[Check Equiparado]:[Check Equiparado]]="Sí",IF(DATOS!AL$4="Sí",(1/DATOS_[[% anualiz]:[% anualiz]]),1)*IF(DATOS!AL$5="Sí",1/DATOS_[[% normaliz]:[% normaliz]],1)*(DATOS_[Conc.Sal.08])))))))), 0)</f>
        <v>0</v>
      </c>
      <c r="R104" s="250" t="n">
        <f aca="false" t="array" ref="R104:R104">IFERROR( (MEDIAN((IF(DATOS_[[Sexo]:[Sexo]]=$B104,IF(DATOS_[[AGRUP. VALOR. PTO.]:[AGRUP. VALOR. PTO.]]=$B102,IF(DATOS_[[Check Periodo Ref.]:[Check Periodo Ref.]]="Dentro",IF(DATOS_[[Check Equiparado]:[Check Equiparado]]="Sí",IF(DATOS!AM$4="Sí",(1/DATOS_[[% anualiz]:[% anualiz]]),1)*IF(DATOS!AM$5="Sí",1/DATOS_[[% normaliz]:[% normaliz]],1)*(DATOS_[Conc.Sal.09])))))))), 0)</f>
        <v>0</v>
      </c>
      <c r="S104" s="250" t="n">
        <f aca="false" t="array" ref="S104:S104">IFERROR( (MEDIAN((IF(DATOS_[[Sexo]:[Sexo]]=$B104,IF(DATOS_[[AGRUP. VALOR. PTO.]:[AGRUP. VALOR. PTO.]]=$B102,IF(DATOS_[[Check Periodo Ref.]:[Check Periodo Ref.]]="Dentro",IF(DATOS_[[Check Equiparado]:[Check Equiparado]]="Sí",IF(DATOS!AN$4="Sí",(1/DATOS_[[% anualiz]:[% anualiz]]),1)*IF(DATOS!AN$5="Sí",1/DATOS_[[% normaliz]:[% normaliz]],1)*(DATOS_[Conc.Sal.10])))))))), 0)</f>
        <v>0</v>
      </c>
      <c r="T104" s="250" t="n">
        <f aca="false" t="array" ref="T104:T104">IFERROR( (MEDIAN((IF(DATOS_[[Sexo]:[Sexo]]=$B104,IF(DATOS_[[AGRUP. VALOR. PTO.]:[AGRUP. VALOR. PTO.]]=$B102,IF(DATOS_[[Check Periodo Ref.]:[Check Periodo Ref.]]="Dentro",IF(DATOS_[[Check Equiparado]:[Check Equiparado]]="Sí",IF(DATOS!AO$4="Sí",(1/DATOS_[[% anualiz]:[% anualiz]]),1)*IF(DATOS!AO$5="Sí",1/DATOS_[[% normaliz]:[% normaliz]],1)*(DATOS_[Conc.Sal.11])))))))), 0)</f>
        <v>0</v>
      </c>
      <c r="U104" s="250" t="n">
        <f aca="false" t="array" ref="U104:U104">IFERROR( (MEDIAN((IF(DATOS_[[Sexo]:[Sexo]]=$B104,IF(DATOS_[[AGRUP. VALOR. PTO.]:[AGRUP. VALOR. PTO.]]=$B102,IF(DATOS_[[Check Periodo Ref.]:[Check Periodo Ref.]]="Dentro",IF(DATOS_[[Check Equiparado]:[Check Equiparado]]="Sí",IF(DATOS!AP$4="Sí",(1/DATOS_[[% anualiz]:[% anualiz]]),1)*IF(DATOS!AP$5="Sí",1/DATOS_[[% normaliz]:[% normaliz]],1)*(DATOS_[Conc.Sal.12])))))))), 0)</f>
        <v>0</v>
      </c>
      <c r="V104" s="250" t="n">
        <f aca="false" t="array" ref="V104:V104">IFERROR( (MEDIAN((IF(DATOS_[[Sexo]:[Sexo]]=$B104,IF(DATOS_[[AGRUP. VALOR. PTO.]:[AGRUP. VALOR. PTO.]]=$B102,IF(DATOS_[[Check Periodo Ref.]:[Check Periodo Ref.]]="Dentro",IF(DATOS_[[Check Equiparado]:[Check Equiparado]]="Sí",IF(DATOS!AQ$4="Sí",(1/DATOS_[[% anualiz]:[% anualiz]]),1)*IF(DATOS!AQ$5="Sí",1/DATOS_[[% normaliz]:[% normaliz]],1)*(DATOS_[Conc.Sal.13])))))))), 0)</f>
        <v>0</v>
      </c>
      <c r="W104" s="250" t="n">
        <f aca="false" t="array" ref="W104:W104">IFERROR( (MEDIAN((IF(DATOS_[[Sexo]:[Sexo]]=$B104,IF(DATOS_[[AGRUP. VALOR. PTO.]:[AGRUP. VALOR. PTO.]]=$B102,IF(DATOS_[[Check Periodo Ref.]:[Check Periodo Ref.]]="Dentro",IF(DATOS_[[Check Equiparado]:[Check Equiparado]]="Sí",IF(DATOS!AR$4="Sí",(1/DATOS_[[% anualiz]:[% anualiz]]),1)*IF(DATOS!AR$5="Sí",1/DATOS_[[% normaliz]:[% normaliz]],1)*(DATOS_[Conc.Sal.14])))))))), 0)</f>
        <v>0</v>
      </c>
      <c r="X104" s="250" t="n">
        <f aca="false" t="array" ref="X104:X104">IFERROR( (MEDIAN((IF(DATOS_[[Sexo]:[Sexo]]=$B104,IF(DATOS_[[AGRUP. VALOR. PTO.]:[AGRUP. VALOR. PTO.]]=$B102,IF(DATOS_[[Check Periodo Ref.]:[Check Periodo Ref.]]="Dentro",IF(DATOS_[[Check Equiparado]:[Check Equiparado]]="Sí",IF(DATOS!AS$4="Sí",(1/DATOS_[[% anualiz]:[% anualiz]]),1)*IF(DATOS!AS$5="Sí",1/DATOS_[[% normaliz]:[% normaliz]],1)*(DATOS_[Conc.Sal.15])))))))), 0)</f>
        <v>0</v>
      </c>
      <c r="Y104" s="250" t="n">
        <f aca="false" t="array" ref="Y104:Y104">IFERROR( (MEDIAN((IF(DATOS_[[Sexo]:[Sexo]]=$B104,IF(DATOS_[[AGRUP. VALOR. PTO.]:[AGRUP. VALOR. PTO.]]=$B102,IF(DATOS_[[Check Periodo Ref.]:[Check Periodo Ref.]]="Dentro",IF(DATOS_[[Check Equiparado]:[Check Equiparado]]="Sí",IF(DATOS!AT$4="Sí",(1/DATOS_[[% anualiz]:[% anualiz]]),1)*IF(DATOS!AT$5="Sí",1/DATOS_[[% normaliz]:[% normaliz]],1)*(DATOS_[Conc.Sal.16])))))))), 0)</f>
        <v>0</v>
      </c>
      <c r="Z104" s="250" t="n">
        <f aca="false" t="array" ref="Z104:Z104">IFERROR( (MEDIAN((IF(DATOS_[[Sexo]:[Sexo]]=$B104,IF(DATOS_[[AGRUP. VALOR. PTO.]:[AGRUP. VALOR. PTO.]]=$B102,IF(DATOS_[[Check Periodo Ref.]:[Check Periodo Ref.]]="Dentro",IF(DATOS_[[Check Equiparado]:[Check Equiparado]]="Sí",IF(DATOS!AU$4="Sí",(1/DATOS_[[% anualiz]:[% anualiz]]),1)*IF(DATOS!AU$5="Sí",1/DATOS_[[% normaliz]:[% normaliz]],1)*(DATOS_[Conc.Sal.17])))))))), 0)</f>
        <v>0</v>
      </c>
      <c r="AA104" s="250" t="n">
        <f aca="false" t="array" ref="AA104:AA104">IFERROR( (MEDIAN((IF(DATOS_[[Sexo]:[Sexo]]=$B104,IF(DATOS_[[AGRUP. VALOR. PTO.]:[AGRUP. VALOR. PTO.]]=$B102,IF(DATOS_[[Check Periodo Ref.]:[Check Periodo Ref.]]="Dentro",IF(DATOS_[[Check Equiparado]:[Check Equiparado]]="Sí",IF(DATOS!AV$4="Sí",(1/DATOS_[[% anualiz]:[% anualiz]]),1)*IF(DATOS!AV$5="Sí",1/DATOS_[[% normaliz]:[% normaliz]],1)*(DATOS_[Conc.Sal.18])))))))), 0)</f>
        <v>0</v>
      </c>
      <c r="AB104" s="250" t="n">
        <f aca="false" t="array" ref="AB104:AB104">IFERROR( (MEDIAN((IF(DATOS_[[Sexo]:[Sexo]]=$B104,IF(DATOS_[[AGRUP. VALOR. PTO.]:[AGRUP. VALOR. PTO.]]=$B102,IF(DATOS_[[Check Periodo Ref.]:[Check Periodo Ref.]]="Dentro",IF(DATOS_[[Check Equiparado]:[Check Equiparado]]="Sí",IF(DATOS!AW$4="Sí",(1/DATOS_[[% anualiz]:[% anualiz]]),1)*IF(DATOS!AW$5="Sí",1/DATOS_[[% normaliz]:[% normaliz]],1)*(DATOS_[Conc.Sal.19])))))))), 0)</f>
        <v>0</v>
      </c>
      <c r="AC104" s="250" t="n">
        <f aca="false" t="array" ref="AC104:AC104">IFERROR( (MEDIAN((IF(DATOS_[[Sexo]:[Sexo]]=$B104,IF(DATOS_[[AGRUP. VALOR. PTO.]:[AGRUP. VALOR. PTO.]]=$B102,IF(DATOS_[[Check Periodo Ref.]:[Check Periodo Ref.]]="Dentro",IF(DATOS_[[Check Equiparado]:[Check Equiparado]]="Sí",IF(DATOS!AX$4="Sí",(1/DATOS_[[% anualiz]:[% anualiz]]),1)*IF(DATOS!AX$5="Sí",1/DATOS_[[% normaliz]:[% normaliz]],1)*(DATOS_[Conc.Sal.20])))))))), 0)</f>
        <v>0</v>
      </c>
      <c r="AD104" s="250" t="n">
        <f aca="false" t="array" ref="AD104:AD104">IFERROR( (MEDIAN((IF(DATOS_[[Sexo]:[Sexo]]=$B104,IF(DATOS_[[AGRUP. VALOR. PTO.]:[AGRUP. VALOR. PTO.]]=$B102,IF(DATOS_[[Check Periodo Ref.]:[Check Periodo Ref.]]="Dentro",IF(DATOS_[[Check Equiparado]:[Check Equiparado]]="Sí",IF(DATOS!AY$4="Sí",(1/DATOS_[[% anualiz]:[% anualiz]]),1)*IF(DATOS!AY$5="Sí",1/DATOS_[[% normaliz]:[% normaliz]],1)*(DATOS_[Conc.Sal.21])))))))), 0)</f>
        <v>0</v>
      </c>
      <c r="AE104" s="250" t="n">
        <f aca="false" t="array" ref="AE104:AE104">IFERROR( (MEDIAN((IF(DATOS_[[Sexo]:[Sexo]]=$B104,IF(DATOS_[[AGRUP. VALOR. PTO.]:[AGRUP. VALOR. PTO.]]=$B102,IF(DATOS_[[Check Periodo Ref.]:[Check Periodo Ref.]]="Dentro",IF(DATOS_[[Check Equiparado]:[Check Equiparado]]="Sí",IF(DATOS!AZ$4="Sí",(1/DATOS_[[% anualiz]:[% anualiz]]),1)*IF(DATOS!AZ$5="Sí",1/DATOS_[[% normaliz]:[% normaliz]],1)*(DATOS_[Conc.Sal.22])))))))), 0)</f>
        <v>0</v>
      </c>
      <c r="AF104" s="250" t="n">
        <f aca="false" t="array" ref="AF104:AF104">IFERROR( (MEDIAN((IF(DATOS_[[Sexo]:[Sexo]]=$B104,IF(DATOS_[[AGRUP. VALOR. PTO.]:[AGRUP. VALOR. PTO.]]=$B102,IF(DATOS_[[Check Periodo Ref.]:[Check Periodo Ref.]]="Dentro",IF(DATOS_[[Check Equiparado]:[Check Equiparado]]="Sí",IF(DATOS!BA$4="Sí",(1/DATOS_[[% anualiz]:[% anualiz]]),1)*IF(DATOS!BA$5="Sí",1/DATOS_[[% normaliz]:[% normaliz]],1)*(DATOS_[Conc.Sal.23])))))))), 0)</f>
        <v>0</v>
      </c>
      <c r="AG104" s="250" t="n">
        <f aca="false" t="array" ref="AG104:AG104">IFERROR( (MEDIAN((IF(DATOS_[[Sexo]:[Sexo]]=$B104,IF(DATOS_[[AGRUP. VALOR. PTO.]:[AGRUP. VALOR. PTO.]]=$B102,IF(DATOS_[[Check Periodo Ref.]:[Check Periodo Ref.]]="Dentro",IF(DATOS_[[Check Equiparado]:[Check Equiparado]]="Sí",IF(DATOS!BB$4="Sí",(1/DATOS_[[% anualiz]:[% anualiz]]),1)*IF(DATOS!BB$5="Sí",1/DATOS_[[% normaliz]:[% normaliz]],1)*(DATOS_[Conc.Sal.24])))))))), 0)</f>
        <v>0</v>
      </c>
      <c r="AH104" s="250" t="n">
        <f aca="false" t="array" ref="AH104:AH104">IFERROR( (MEDIAN((IF(DATOS_[[Sexo]:[Sexo]]=$B104,IF(DATOS_[[AGRUP. VALOR. PTO.]:[AGRUP. VALOR. PTO.]]=$B102,IF(DATOS_[[Check Periodo Ref.]:[Check Periodo Ref.]]="Dentro",IF(DATOS_[[Check Equiparado]:[Check Equiparado]]="Sí",IF(DATOS!BC$4="Sí",(1/DATOS_[[% anualiz]:[% anualiz]]),1)*IF(DATOS!BC$5="Sí",1/DATOS_[[% normaliz]:[% normaliz]],1)*(DATOS_[Conc.Sal.25])))))))), 0)</f>
        <v>0</v>
      </c>
      <c r="AI104" s="250" t="n">
        <f aca="false" t="array" ref="AI104:AI104">IFERROR( (MEDIAN((IF(DATOS_[[Sexo]:[Sexo]]=$B104,IF(DATOS_[[AGRUP. VALOR. PTO.]:[AGRUP. VALOR. PTO.]]=$B102,IF(DATOS_[[Check Periodo Ref.]:[Check Periodo Ref.]]="Dentro",IF(DATOS_[[Check Equiparado]:[Check Equiparado]]="Sí",IF(DATOS!BD$4="Sí",(1/DATOS_[[% anualiz]:[% anualiz]]),1)*IF(DATOS!BD$5="Sí",1/DATOS_[[% normaliz]:[% normaliz]],1)*(DATOS_[Conc.Sal.26])))))))), 0)</f>
        <v>0</v>
      </c>
      <c r="AJ104" s="250" t="n">
        <f aca="false" t="array" ref="AJ104:AJ104">IFERROR( (MEDIAN((IF(DATOS_[[Sexo]:[Sexo]]=$B104,IF(DATOS_[[AGRUP. VALOR. PTO.]:[AGRUP. VALOR. PTO.]]=$B102,IF(DATOS_[[Check Periodo Ref.]:[Check Periodo Ref.]]="Dentro",IF(DATOS_[[Check Equiparado]:[Check Equiparado]]="Sí",IF(DATOS!BE$4="Sí",(1/DATOS_[[% anualiz]:[% anualiz]]),1)*IF(DATOS!BE$5="Sí",1/DATOS_[[% normaliz]:[% normaliz]],1)*(DATOS_[Conc.Sal.27])))))))), 0)</f>
        <v>0</v>
      </c>
      <c r="AK104" s="250" t="n">
        <f aca="false" t="array" ref="AK104:AK104">IFERROR( (MEDIAN((IF(DATOS_[[Sexo]:[Sexo]]=$B104,IF(DATOS_[[AGRUP. VALOR. PTO.]:[AGRUP. VALOR. PTO.]]=$B102,IF(DATOS_[[Check Periodo Ref.]:[Check Periodo Ref.]]="Dentro",IF(DATOS_[[Check Equiparado]:[Check Equiparado]]="Sí",IF(DATOS!BF$4="Sí",(1/DATOS_[[% anualiz]:[% anualiz]]),1)*IF(DATOS!BF$5="Sí",1/DATOS_[[% normaliz]:[% normaliz]],1)*(DATOS_[Conc.Sal.28])))))))), 0)</f>
        <v>0</v>
      </c>
      <c r="AL104" s="250" t="n">
        <f aca="false" t="array" ref="AL104:AL104">IFERROR( (MEDIAN((IF(DATOS_[[Sexo]:[Sexo]]=$B104,IF(DATOS_[[AGRUP. VALOR. PTO.]:[AGRUP. VALOR. PTO.]]=$B102,IF(DATOS_[[Check Periodo Ref.]:[Check Periodo Ref.]]="Dentro",IF(DATOS_[[Check Equiparado]:[Check Equiparado]]="Sí",IF(DATOS!BG$4="Sí",(1/DATOS_[[% anualiz]:[% anualiz]]),1)*IF(DATOS!BG$5="Sí",1/DATOS_[[% normaliz]:[% normaliz]],1)*(DATOS_[Conc.Sal.29])))))))), 0)</f>
        <v>0</v>
      </c>
      <c r="AM104" s="250" t="n">
        <f aca="false" t="array" ref="AM104:AM104">IFERROR( (MEDIAN((IF(DATOS_[[Sexo]:[Sexo]]=$B104,IF(DATOS_[[AGRUP. VALOR. PTO.]:[AGRUP. VALOR. PTO.]]=$B102,IF(DATOS_[[Check Periodo Ref.]:[Check Periodo Ref.]]="Dentro",IF(DATOS_[[Check Equiparado]:[Check Equiparado]]="Sí",IF(DATOS!BH$4="Sí",(1/DATOS_[[% anualiz]:[% anualiz]]),1)*IF(DATOS!BH$5="Sí",1/DATOS_[[% normaliz]:[% normaliz]],1)*(DATOS_[Conc.Sal.30])))))))), 0)</f>
        <v>0</v>
      </c>
      <c r="AN104" s="251" t="n">
        <f aca="false" t="array" ref="AN104:AN104">IFERROR( MEDIAN(IF(DATOS_[Sexo]=$B104,IF(DATOS_[[AGRUP. VALOR. PTO.]:[AGRUP. VALOR. PTO.]]=$B102,IF(DATOS_[Check Equiparado]="Sí",IF(DATOS_[Check Periodo Ref.]="Dentro",DATOS_[Tot COMPL.SAL Eq],0))))), 0)</f>
        <v>0</v>
      </c>
      <c r="AO104" s="252" t="n">
        <f aca="false" t="array" ref="AO104:AO104">IFERROR( MEDIAN(IF(DATOS_[Sexo]=$B104,IF(DATOS_[[AGRUP. VALOR. PTO.]:[AGRUP. VALOR. PTO.]]=$B102,IF(DATOS_[Check Equiparado]="Sí",IF(DATOS_[Check Periodo Ref.]="Dentro",DATOS_[TOTAL SALARIO Eq],0))))), 0)</f>
        <v>0</v>
      </c>
      <c r="AP104" s="259" t="n">
        <f aca="false" t="array" ref="AP104:AP104">IFERROR( (MEDIAN((IF(DATOS_[[Sexo]:[Sexo]]=$B104,IF(DATOS_[[AGRUP. VALOR. PTO.]:[AGRUP. VALOR. PTO.]]=$B103,IF(DATOS_[[Check Periodo Ref.]:[Check Periodo Ref.]]="Dentro",IF(DATOS_[[Check Equiparado]:[Check Equiparado]]="Sí",IF(DATOS!BI$4="Sí",(1/DATOS_[[% anualiz]:[% anualiz]]),1)*IF(DATOS!BI$5="Sí",1/DATOS_[[% normaliz]:[% normaliz]],1)*(DATOS_[C.Extra.01])))))))), 0)</f>
        <v>0</v>
      </c>
      <c r="AQ104" s="259" t="n">
        <f aca="false" t="array" ref="AQ104:AQ104">IFERROR( (MEDIAN((IF(DATOS_[[Sexo]:[Sexo]]=$B104,IF(DATOS_[[AGRUP. VALOR. PTO.]:[AGRUP. VALOR. PTO.]]=$B103,IF(DATOS_[[Check Periodo Ref.]:[Check Periodo Ref.]]="Dentro",IF(DATOS_[[Check Equiparado]:[Check Equiparado]]="Sí",IF(DATOS!BJ$4="Sí",(1/DATOS_[[% anualiz]:[% anualiz]]),1)*IF(DATOS!BJ$5="Sí",1/DATOS_[[% normaliz]:[% normaliz]],1)*(DATOS_[C.Extra.02])))))))), 0)</f>
        <v>0</v>
      </c>
      <c r="AR104" s="259" t="n">
        <f aca="false" t="array" ref="AR104:AR104">IFERROR( (MEDIAN((IF(DATOS_[[Sexo]:[Sexo]]=$B104,IF(DATOS_[[AGRUP. VALOR. PTO.]:[AGRUP. VALOR. PTO.]]=$B103,IF(DATOS_[[Check Periodo Ref.]:[Check Periodo Ref.]]="Dentro",IF(DATOS_[[Check Equiparado]:[Check Equiparado]]="Sí",IF(DATOS!BK$4="Sí",(1/DATOS_[[% anualiz]:[% anualiz]]),1)*IF(DATOS!BK$5="Sí",1/DATOS_[[% normaliz]:[% normaliz]],1)*(DATOS_[C.Extra.03])))))))), 0)</f>
        <v>0</v>
      </c>
      <c r="AS104" s="259" t="n">
        <f aca="false" t="array" ref="AS104:AS104">IFERROR( (MEDIAN((IF(DATOS_[[Sexo]:[Sexo]]=$B104,IF(DATOS_[[AGRUP. VALOR. PTO.]:[AGRUP. VALOR. PTO.]]=$B103,IF(DATOS_[[Check Periodo Ref.]:[Check Periodo Ref.]]="Dentro",IF(DATOS_[[Check Equiparado]:[Check Equiparado]]="Sí",IF(DATOS!BL$4="Sí",(1/DATOS_[[% anualiz]:[% anualiz]]),1)*IF(DATOS!BL$5="Sí",1/DATOS_[[% normaliz]:[% normaliz]],1)*(DATOS_[C.Extra.04])))))))), 0)</f>
        <v>0</v>
      </c>
      <c r="AT104" s="259" t="n">
        <f aca="false" t="array" ref="AT104:AT104">IFERROR( (MEDIAN((IF(DATOS_[[Sexo]:[Sexo]]=$B104,IF(DATOS_[[AGRUP. VALOR. PTO.]:[AGRUP. VALOR. PTO.]]=$B103,IF(DATOS_[[Check Periodo Ref.]:[Check Periodo Ref.]]="Dentro",IF(DATOS_[[Check Equiparado]:[Check Equiparado]]="Sí",IF(DATOS!BM$4="Sí",(1/DATOS_[[% anualiz]:[% anualiz]]),1)*IF(DATOS!BM$5="Sí",1/DATOS_[[% normaliz]:[% normaliz]],1)*(DATOS_[C.Extra.05])))))))), 0)</f>
        <v>0</v>
      </c>
      <c r="AU104" s="254" t="n">
        <f aca="false" t="array" ref="AU104:AU104">IFERROR( MEDIAN(IF(DATOS_[Sexo]=$B104,IF(DATOS_[[AGRUP. VALOR. PTO.]:[AGRUP. VALOR. PTO.]]=$B102,IF(DATOS_[Check Equiparado]="Sí",IF(DATOS_[Check Periodo Ref.]="Dentro",DATOS_[Tot Extrasalarial Eq],0))))), 0)</f>
        <v>0</v>
      </c>
      <c r="AV104" s="255" t="n">
        <f aca="false" t="array" ref="AV104:AV104">IFERROR( MEDIAN(IF(DATOS_[Sexo]=$B104,IF(DATOS_[[AGRUP. VALOR. PTO.]:[AGRUP. VALOR. PTO.]]=$B102,IF(DATOS_[Check Equiparado]="Sí",IF(DATOS_[Check Periodo Ref.]="Dentro",DATOS_[TOTAL Retrib Eq],0))))), 0)</f>
        <v>0</v>
      </c>
    </row>
  </sheetData>
  <printOptions headings="false" gridLines="false" gridLinesSet="true" horizontalCentered="false" verticalCentered="false"/>
  <pageMargins left="0.25" right="0.25" top="0.75" bottom="0.75"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Juan Fernández</dc:creator>
  <dc:description/>
  <dc:language>en-US</dc:language>
  <cp:lastModifiedBy/>
  <cp:lastPrinted>2021-04-04T16:33:07Z</cp:lastPrinted>
  <dcterms:modified xsi:type="dcterms:W3CDTF">2021-05-07T09:50:40Z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